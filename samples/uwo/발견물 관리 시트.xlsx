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uwo\game\cms\xls\"/>
    </mc:Choice>
  </mc:AlternateContent>
  <xr:revisionPtr revIDLastSave="0" documentId="13_ncr:1_{0B0C548C-A868-4711-8D46-2816579565CC}" xr6:coauthVersionLast="47" xr6:coauthVersionMax="47" xr10:uidLastSave="{00000000-0000-0000-0000-000000000000}"/>
  <bookViews>
    <workbookView xWindow="28680" yWindow="-120" windowWidth="29040" windowHeight="15840" activeTab="1" xr2:uid="{ECFDF6E1-4845-4018-B8F3-2AAB00A0A765}"/>
  </bookViews>
  <sheets>
    <sheet name="ReadMe" sheetId="8" r:id="rId1"/>
    <sheet name="발견물" sheetId="7" r:id="rId2"/>
    <sheet name="문화권 정리" sheetId="10" r:id="rId3"/>
    <sheet name="발견물 통계" sheetId="1" r:id="rId4"/>
    <sheet name="해양 오브젝트 배치" sheetId="3" r:id="rId5"/>
    <sheet name="육지 배치" sheetId="4" r:id="rId6"/>
    <sheet name="마을 배치" sheetId="5" r:id="rId7"/>
    <sheet name="낚시 배치" sheetId="6" r:id="rId8"/>
    <sheet name="퀘스트" sheetId="9" r:id="rId9"/>
  </sheets>
  <externalReferences>
    <externalReference r:id="rId10"/>
    <externalReference r:id="rId11"/>
    <externalReference r:id="rId12"/>
  </externalReferences>
  <definedNames>
    <definedName name="_xlnm._FilterDatabase" localSheetId="1" hidden="1">발견물!#REF!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B3" i="7"/>
  <c r="C3" i="7"/>
  <c r="D3" i="7"/>
  <c r="E3" i="7"/>
  <c r="F3" i="7"/>
  <c r="B4" i="7"/>
  <c r="C4" i="7"/>
  <c r="D4" i="7"/>
  <c r="E4" i="7"/>
  <c r="F4" i="7"/>
  <c r="B5" i="7"/>
  <c r="C5" i="7"/>
  <c r="D5" i="7"/>
  <c r="E5" i="7"/>
  <c r="F5" i="7"/>
  <c r="B6" i="7"/>
  <c r="C6" i="7"/>
  <c r="D6" i="7"/>
  <c r="E6" i="7"/>
  <c r="F6" i="7"/>
  <c r="B7" i="7"/>
  <c r="C7" i="7"/>
  <c r="D7" i="7"/>
  <c r="E7" i="7"/>
  <c r="F7" i="7"/>
  <c r="B8" i="7"/>
  <c r="C8" i="7"/>
  <c r="D8" i="7"/>
  <c r="E8" i="7"/>
  <c r="F8" i="7"/>
  <c r="B9" i="7"/>
  <c r="C9" i="7"/>
  <c r="D9" i="7"/>
  <c r="E9" i="7"/>
  <c r="F9" i="7"/>
  <c r="B10" i="7"/>
  <c r="C10" i="7"/>
  <c r="D10" i="7"/>
  <c r="E10" i="7"/>
  <c r="F10" i="7"/>
  <c r="B11" i="7"/>
  <c r="C11" i="7"/>
  <c r="D11" i="7"/>
  <c r="E11" i="7"/>
  <c r="F11" i="7"/>
  <c r="B12" i="7"/>
  <c r="C12" i="7"/>
  <c r="D12" i="7"/>
  <c r="E12" i="7"/>
  <c r="F12" i="7"/>
  <c r="B13" i="7"/>
  <c r="C13" i="7"/>
  <c r="D13" i="7"/>
  <c r="E13" i="7"/>
  <c r="F13" i="7"/>
  <c r="B14" i="7"/>
  <c r="C14" i="7"/>
  <c r="D14" i="7"/>
  <c r="E14" i="7"/>
  <c r="F14" i="7"/>
  <c r="B15" i="7"/>
  <c r="C15" i="7"/>
  <c r="D15" i="7"/>
  <c r="E15" i="7"/>
  <c r="F15" i="7"/>
  <c r="B16" i="7"/>
  <c r="C16" i="7"/>
  <c r="D16" i="7"/>
  <c r="E16" i="7"/>
  <c r="F16" i="7"/>
  <c r="B17" i="7"/>
  <c r="C17" i="7"/>
  <c r="D17" i="7"/>
  <c r="E17" i="7"/>
  <c r="F17" i="7"/>
  <c r="B18" i="7"/>
  <c r="C18" i="7"/>
  <c r="D18" i="7"/>
  <c r="E18" i="7"/>
  <c r="F18" i="7"/>
  <c r="B19" i="7"/>
  <c r="C19" i="7"/>
  <c r="D19" i="7"/>
  <c r="E19" i="7"/>
  <c r="F19" i="7"/>
  <c r="B20" i="7"/>
  <c r="C20" i="7"/>
  <c r="D20" i="7"/>
  <c r="E20" i="7"/>
  <c r="F20" i="7"/>
  <c r="B21" i="7"/>
  <c r="C21" i="7"/>
  <c r="D21" i="7"/>
  <c r="E21" i="7"/>
  <c r="F21" i="7"/>
  <c r="B22" i="7"/>
  <c r="C22" i="7"/>
  <c r="D22" i="7"/>
  <c r="E22" i="7"/>
  <c r="F22" i="7"/>
  <c r="B23" i="7"/>
  <c r="C23" i="7"/>
  <c r="D23" i="7"/>
  <c r="E23" i="7"/>
  <c r="F23" i="7"/>
  <c r="B24" i="7"/>
  <c r="C24" i="7"/>
  <c r="D24" i="7"/>
  <c r="E24" i="7"/>
  <c r="F24" i="7"/>
  <c r="B25" i="7"/>
  <c r="C25" i="7"/>
  <c r="D25" i="7"/>
  <c r="E25" i="7"/>
  <c r="F25" i="7"/>
  <c r="B26" i="7"/>
  <c r="C26" i="7"/>
  <c r="D26" i="7"/>
  <c r="E26" i="7"/>
  <c r="F26" i="7"/>
  <c r="B27" i="7"/>
  <c r="C27" i="7"/>
  <c r="D27" i="7"/>
  <c r="E27" i="7"/>
  <c r="F27" i="7"/>
  <c r="B28" i="7"/>
  <c r="C28" i="7"/>
  <c r="D28" i="7"/>
  <c r="E28" i="7"/>
  <c r="F28" i="7"/>
  <c r="B29" i="7"/>
  <c r="C29" i="7"/>
  <c r="D29" i="7"/>
  <c r="E29" i="7"/>
  <c r="F29" i="7"/>
  <c r="B30" i="7"/>
  <c r="C30" i="7"/>
  <c r="D30" i="7"/>
  <c r="E30" i="7"/>
  <c r="F30" i="7"/>
  <c r="B31" i="7"/>
  <c r="C31" i="7"/>
  <c r="D31" i="7"/>
  <c r="E31" i="7"/>
  <c r="F31" i="7"/>
  <c r="B32" i="7"/>
  <c r="C32" i="7"/>
  <c r="D32" i="7"/>
  <c r="E32" i="7"/>
  <c r="F32" i="7"/>
  <c r="B33" i="7"/>
  <c r="C33" i="7"/>
  <c r="D33" i="7"/>
  <c r="E33" i="7"/>
  <c r="F33" i="7"/>
  <c r="B34" i="7"/>
  <c r="C34" i="7"/>
  <c r="D34" i="7"/>
  <c r="E34" i="7"/>
  <c r="F34" i="7"/>
  <c r="B35" i="7"/>
  <c r="C35" i="7"/>
  <c r="D35" i="7"/>
  <c r="E35" i="7"/>
  <c r="F35" i="7"/>
  <c r="B36" i="7"/>
  <c r="C36" i="7"/>
  <c r="D36" i="7"/>
  <c r="E36" i="7"/>
  <c r="F36" i="7"/>
  <c r="B37" i="7"/>
  <c r="C37" i="7"/>
  <c r="D37" i="7"/>
  <c r="E37" i="7"/>
  <c r="F37" i="7"/>
  <c r="B38" i="7"/>
  <c r="C38" i="7"/>
  <c r="D38" i="7"/>
  <c r="E38" i="7"/>
  <c r="F38" i="7"/>
  <c r="B39" i="7"/>
  <c r="C39" i="7"/>
  <c r="D39" i="7"/>
  <c r="E39" i="7"/>
  <c r="F39" i="7"/>
  <c r="B40" i="7"/>
  <c r="C40" i="7"/>
  <c r="D40" i="7"/>
  <c r="E40" i="7"/>
  <c r="F40" i="7"/>
  <c r="B41" i="7"/>
  <c r="C41" i="7"/>
  <c r="D41" i="7"/>
  <c r="E41" i="7"/>
  <c r="F41" i="7"/>
  <c r="B42" i="7"/>
  <c r="C42" i="7"/>
  <c r="D42" i="7"/>
  <c r="E42" i="7"/>
  <c r="F42" i="7"/>
  <c r="B43" i="7"/>
  <c r="C43" i="7"/>
  <c r="D43" i="7"/>
  <c r="E43" i="7"/>
  <c r="F43" i="7"/>
  <c r="B44" i="7"/>
  <c r="C44" i="7"/>
  <c r="D44" i="7"/>
  <c r="E44" i="7"/>
  <c r="F44" i="7"/>
  <c r="B45" i="7"/>
  <c r="C45" i="7"/>
  <c r="D45" i="7"/>
  <c r="E45" i="7"/>
  <c r="F45" i="7"/>
  <c r="B46" i="7"/>
  <c r="C46" i="7"/>
  <c r="D46" i="7"/>
  <c r="E46" i="7"/>
  <c r="F46" i="7"/>
  <c r="B47" i="7"/>
  <c r="C47" i="7"/>
  <c r="D47" i="7"/>
  <c r="E47" i="7"/>
  <c r="F47" i="7"/>
  <c r="B48" i="7"/>
  <c r="C48" i="7"/>
  <c r="D48" i="7"/>
  <c r="E48" i="7"/>
  <c r="F48" i="7"/>
  <c r="B49" i="7"/>
  <c r="C49" i="7"/>
  <c r="D49" i="7"/>
  <c r="E49" i="7"/>
  <c r="F49" i="7"/>
  <c r="B50" i="7"/>
  <c r="C50" i="7"/>
  <c r="D50" i="7"/>
  <c r="E50" i="7"/>
  <c r="F50" i="7"/>
  <c r="B51" i="7"/>
  <c r="C51" i="7"/>
  <c r="D51" i="7"/>
  <c r="E51" i="7"/>
  <c r="F51" i="7"/>
  <c r="B52" i="7"/>
  <c r="C52" i="7"/>
  <c r="D52" i="7"/>
  <c r="E52" i="7"/>
  <c r="F52" i="7"/>
  <c r="B53" i="7"/>
  <c r="C53" i="7"/>
  <c r="D53" i="7"/>
  <c r="E53" i="7"/>
  <c r="F53" i="7"/>
  <c r="B54" i="7"/>
  <c r="C54" i="7"/>
  <c r="D54" i="7"/>
  <c r="E54" i="7"/>
  <c r="F54" i="7"/>
  <c r="B55" i="7"/>
  <c r="C55" i="7"/>
  <c r="D55" i="7"/>
  <c r="E55" i="7"/>
  <c r="F55" i="7"/>
  <c r="B56" i="7"/>
  <c r="C56" i="7"/>
  <c r="D56" i="7"/>
  <c r="E56" i="7"/>
  <c r="F56" i="7"/>
  <c r="B57" i="7"/>
  <c r="C57" i="7"/>
  <c r="D57" i="7"/>
  <c r="E57" i="7"/>
  <c r="F57" i="7"/>
  <c r="B58" i="7"/>
  <c r="C58" i="7"/>
  <c r="D58" i="7"/>
  <c r="E58" i="7"/>
  <c r="F58" i="7"/>
  <c r="B59" i="7"/>
  <c r="C59" i="7"/>
  <c r="D59" i="7"/>
  <c r="E59" i="7"/>
  <c r="F59" i="7"/>
  <c r="B60" i="7"/>
  <c r="C60" i="7"/>
  <c r="D60" i="7"/>
  <c r="E60" i="7"/>
  <c r="F60" i="7"/>
  <c r="B61" i="7"/>
  <c r="C61" i="7"/>
  <c r="D61" i="7"/>
  <c r="E61" i="7"/>
  <c r="F61" i="7"/>
  <c r="B62" i="7"/>
  <c r="C62" i="7"/>
  <c r="D62" i="7"/>
  <c r="E62" i="7"/>
  <c r="F62" i="7"/>
  <c r="B63" i="7"/>
  <c r="C63" i="7"/>
  <c r="D63" i="7"/>
  <c r="E63" i="7"/>
  <c r="F63" i="7"/>
  <c r="B64" i="7"/>
  <c r="C64" i="7"/>
  <c r="D64" i="7"/>
  <c r="E64" i="7"/>
  <c r="F64" i="7"/>
  <c r="B65" i="7"/>
  <c r="C65" i="7"/>
  <c r="D65" i="7"/>
  <c r="E65" i="7"/>
  <c r="F65" i="7"/>
  <c r="B66" i="7"/>
  <c r="C66" i="7"/>
  <c r="D66" i="7"/>
  <c r="E66" i="7"/>
  <c r="F66" i="7"/>
  <c r="B67" i="7"/>
  <c r="C67" i="7"/>
  <c r="D67" i="7"/>
  <c r="E67" i="7"/>
  <c r="F67" i="7"/>
  <c r="B68" i="7"/>
  <c r="C68" i="7"/>
  <c r="D68" i="7"/>
  <c r="E68" i="7"/>
  <c r="F68" i="7"/>
  <c r="B69" i="7"/>
  <c r="C69" i="7"/>
  <c r="D69" i="7"/>
  <c r="E69" i="7"/>
  <c r="F69" i="7"/>
  <c r="B70" i="7"/>
  <c r="C70" i="7"/>
  <c r="D70" i="7"/>
  <c r="E70" i="7"/>
  <c r="F70" i="7"/>
  <c r="B71" i="7"/>
  <c r="C71" i="7"/>
  <c r="D71" i="7"/>
  <c r="E71" i="7"/>
  <c r="F71" i="7"/>
  <c r="B72" i="7"/>
  <c r="C72" i="7"/>
  <c r="D72" i="7"/>
  <c r="E72" i="7"/>
  <c r="F72" i="7"/>
  <c r="B73" i="7"/>
  <c r="C73" i="7"/>
  <c r="D73" i="7"/>
  <c r="E73" i="7"/>
  <c r="F73" i="7"/>
  <c r="B74" i="7"/>
  <c r="C74" i="7"/>
  <c r="D74" i="7"/>
  <c r="E74" i="7"/>
  <c r="F74" i="7"/>
  <c r="B75" i="7"/>
  <c r="C75" i="7"/>
  <c r="D75" i="7"/>
  <c r="E75" i="7"/>
  <c r="F75" i="7"/>
  <c r="B76" i="7"/>
  <c r="C76" i="7"/>
  <c r="D76" i="7"/>
  <c r="E76" i="7"/>
  <c r="F76" i="7"/>
  <c r="B77" i="7"/>
  <c r="C77" i="7"/>
  <c r="D77" i="7"/>
  <c r="E77" i="7"/>
  <c r="F77" i="7"/>
  <c r="B78" i="7"/>
  <c r="C78" i="7"/>
  <c r="D78" i="7"/>
  <c r="E78" i="7"/>
  <c r="F78" i="7"/>
  <c r="B79" i="7"/>
  <c r="C79" i="7"/>
  <c r="D79" i="7"/>
  <c r="E79" i="7"/>
  <c r="F79" i="7"/>
  <c r="B80" i="7"/>
  <c r="C80" i="7"/>
  <c r="D80" i="7"/>
  <c r="E80" i="7"/>
  <c r="F80" i="7"/>
  <c r="B81" i="7"/>
  <c r="C81" i="7"/>
  <c r="D81" i="7"/>
  <c r="E81" i="7"/>
  <c r="F81" i="7"/>
  <c r="B82" i="7"/>
  <c r="C82" i="7"/>
  <c r="D82" i="7"/>
  <c r="E82" i="7"/>
  <c r="F82" i="7"/>
  <c r="B83" i="7"/>
  <c r="C83" i="7"/>
  <c r="D83" i="7"/>
  <c r="E83" i="7"/>
  <c r="F83" i="7"/>
  <c r="B84" i="7"/>
  <c r="C84" i="7"/>
  <c r="D84" i="7"/>
  <c r="E84" i="7"/>
  <c r="F84" i="7"/>
  <c r="B85" i="7"/>
  <c r="C85" i="7"/>
  <c r="D85" i="7"/>
  <c r="E85" i="7"/>
  <c r="F85" i="7"/>
  <c r="B86" i="7"/>
  <c r="C86" i="7"/>
  <c r="D86" i="7"/>
  <c r="E86" i="7"/>
  <c r="F86" i="7"/>
  <c r="B87" i="7"/>
  <c r="C87" i="7"/>
  <c r="D87" i="7"/>
  <c r="E87" i="7"/>
  <c r="F87" i="7"/>
  <c r="B88" i="7"/>
  <c r="C88" i="7"/>
  <c r="D88" i="7"/>
  <c r="E88" i="7"/>
  <c r="F88" i="7"/>
  <c r="B89" i="7"/>
  <c r="C89" i="7"/>
  <c r="D89" i="7"/>
  <c r="E89" i="7"/>
  <c r="F89" i="7"/>
  <c r="B90" i="7"/>
  <c r="C90" i="7"/>
  <c r="D90" i="7"/>
  <c r="E90" i="7"/>
  <c r="F90" i="7"/>
  <c r="B91" i="7"/>
  <c r="C91" i="7"/>
  <c r="D91" i="7"/>
  <c r="E91" i="7"/>
  <c r="F91" i="7"/>
  <c r="B92" i="7"/>
  <c r="C92" i="7"/>
  <c r="D92" i="7"/>
  <c r="E92" i="7"/>
  <c r="F92" i="7"/>
  <c r="B93" i="7"/>
  <c r="C93" i="7"/>
  <c r="D93" i="7"/>
  <c r="E93" i="7"/>
  <c r="F93" i="7"/>
  <c r="B94" i="7"/>
  <c r="C94" i="7"/>
  <c r="D94" i="7"/>
  <c r="E94" i="7"/>
  <c r="F94" i="7"/>
  <c r="B95" i="7"/>
  <c r="C95" i="7"/>
  <c r="D95" i="7"/>
  <c r="E95" i="7"/>
  <c r="F95" i="7"/>
  <c r="B96" i="7"/>
  <c r="C96" i="7"/>
  <c r="D96" i="7"/>
  <c r="E96" i="7"/>
  <c r="F96" i="7"/>
  <c r="B97" i="7"/>
  <c r="C97" i="7"/>
  <c r="D97" i="7"/>
  <c r="E97" i="7"/>
  <c r="F97" i="7"/>
  <c r="B98" i="7"/>
  <c r="C98" i="7"/>
  <c r="D98" i="7"/>
  <c r="E98" i="7"/>
  <c r="F98" i="7"/>
  <c r="B99" i="7"/>
  <c r="C99" i="7"/>
  <c r="D99" i="7"/>
  <c r="E99" i="7"/>
  <c r="F99" i="7"/>
  <c r="B100" i="7"/>
  <c r="C100" i="7"/>
  <c r="D100" i="7"/>
  <c r="E100" i="7"/>
  <c r="F100" i="7"/>
  <c r="B101" i="7"/>
  <c r="C101" i="7"/>
  <c r="D101" i="7"/>
  <c r="E101" i="7"/>
  <c r="F101" i="7"/>
  <c r="B102" i="7"/>
  <c r="C102" i="7"/>
  <c r="D102" i="7"/>
  <c r="E102" i="7"/>
  <c r="F102" i="7"/>
  <c r="B103" i="7"/>
  <c r="C103" i="7"/>
  <c r="D103" i="7"/>
  <c r="E103" i="7"/>
  <c r="F103" i="7"/>
  <c r="B104" i="7"/>
  <c r="C104" i="7"/>
  <c r="D104" i="7"/>
  <c r="E104" i="7"/>
  <c r="F104" i="7"/>
  <c r="B105" i="7"/>
  <c r="C105" i="7"/>
  <c r="D105" i="7"/>
  <c r="E105" i="7"/>
  <c r="F105" i="7"/>
  <c r="B106" i="7"/>
  <c r="C106" i="7"/>
  <c r="D106" i="7"/>
  <c r="E106" i="7"/>
  <c r="F106" i="7"/>
  <c r="B107" i="7"/>
  <c r="C107" i="7"/>
  <c r="D107" i="7"/>
  <c r="E107" i="7"/>
  <c r="F107" i="7"/>
  <c r="B108" i="7"/>
  <c r="C108" i="7"/>
  <c r="D108" i="7"/>
  <c r="E108" i="7"/>
  <c r="F108" i="7"/>
  <c r="B109" i="7"/>
  <c r="C109" i="7"/>
  <c r="D109" i="7"/>
  <c r="E109" i="7"/>
  <c r="F109" i="7"/>
  <c r="B110" i="7"/>
  <c r="C110" i="7"/>
  <c r="D110" i="7"/>
  <c r="E110" i="7"/>
  <c r="F110" i="7"/>
  <c r="B111" i="7"/>
  <c r="C111" i="7"/>
  <c r="D111" i="7"/>
  <c r="E111" i="7"/>
  <c r="F111" i="7"/>
  <c r="B112" i="7"/>
  <c r="C112" i="7"/>
  <c r="D112" i="7"/>
  <c r="E112" i="7"/>
  <c r="F112" i="7"/>
  <c r="B113" i="7"/>
  <c r="C113" i="7"/>
  <c r="D113" i="7"/>
  <c r="E113" i="7"/>
  <c r="F113" i="7"/>
  <c r="B114" i="7"/>
  <c r="C114" i="7"/>
  <c r="D114" i="7"/>
  <c r="E114" i="7"/>
  <c r="F114" i="7"/>
  <c r="B115" i="7"/>
  <c r="C115" i="7"/>
  <c r="D115" i="7"/>
  <c r="E115" i="7"/>
  <c r="F115" i="7"/>
  <c r="B116" i="7"/>
  <c r="C116" i="7"/>
  <c r="D116" i="7"/>
  <c r="E116" i="7"/>
  <c r="F116" i="7"/>
  <c r="B117" i="7"/>
  <c r="C117" i="7"/>
  <c r="D117" i="7"/>
  <c r="E117" i="7"/>
  <c r="F117" i="7"/>
  <c r="B118" i="7"/>
  <c r="C118" i="7"/>
  <c r="D118" i="7"/>
  <c r="E118" i="7"/>
  <c r="F118" i="7"/>
  <c r="B119" i="7"/>
  <c r="C119" i="7"/>
  <c r="D119" i="7"/>
  <c r="E119" i="7"/>
  <c r="F119" i="7"/>
  <c r="B120" i="7"/>
  <c r="C120" i="7"/>
  <c r="D120" i="7"/>
  <c r="E120" i="7"/>
  <c r="F120" i="7"/>
  <c r="B121" i="7"/>
  <c r="C121" i="7"/>
  <c r="D121" i="7"/>
  <c r="E121" i="7"/>
  <c r="F121" i="7"/>
  <c r="B122" i="7"/>
  <c r="C122" i="7"/>
  <c r="D122" i="7"/>
  <c r="E122" i="7"/>
  <c r="F122" i="7"/>
  <c r="B123" i="7"/>
  <c r="C123" i="7"/>
  <c r="D123" i="7"/>
  <c r="E123" i="7"/>
  <c r="F123" i="7"/>
  <c r="B124" i="7"/>
  <c r="C124" i="7"/>
  <c r="D124" i="7"/>
  <c r="E124" i="7"/>
  <c r="F124" i="7"/>
  <c r="B125" i="7"/>
  <c r="C125" i="7"/>
  <c r="D125" i="7"/>
  <c r="E125" i="7"/>
  <c r="F125" i="7"/>
  <c r="B126" i="7"/>
  <c r="C126" i="7"/>
  <c r="D126" i="7"/>
  <c r="E126" i="7"/>
  <c r="F126" i="7"/>
  <c r="B127" i="7"/>
  <c r="C127" i="7"/>
  <c r="D127" i="7"/>
  <c r="E127" i="7"/>
  <c r="F127" i="7"/>
  <c r="B128" i="7"/>
  <c r="C128" i="7"/>
  <c r="D128" i="7"/>
  <c r="E128" i="7"/>
  <c r="F128" i="7"/>
  <c r="B129" i="7"/>
  <c r="C129" i="7"/>
  <c r="D129" i="7"/>
  <c r="E129" i="7"/>
  <c r="F129" i="7"/>
  <c r="B130" i="7"/>
  <c r="C130" i="7"/>
  <c r="D130" i="7"/>
  <c r="E130" i="7"/>
  <c r="F130" i="7"/>
  <c r="B131" i="7"/>
  <c r="C131" i="7"/>
  <c r="D131" i="7"/>
  <c r="E131" i="7"/>
  <c r="F131" i="7"/>
  <c r="B132" i="7"/>
  <c r="C132" i="7"/>
  <c r="D132" i="7"/>
  <c r="E132" i="7"/>
  <c r="F132" i="7"/>
  <c r="B133" i="7"/>
  <c r="C133" i="7"/>
  <c r="D133" i="7"/>
  <c r="E133" i="7"/>
  <c r="F133" i="7"/>
  <c r="B134" i="7"/>
  <c r="C134" i="7"/>
  <c r="D134" i="7"/>
  <c r="E134" i="7"/>
  <c r="F134" i="7"/>
  <c r="B135" i="7"/>
  <c r="C135" i="7"/>
  <c r="D135" i="7"/>
  <c r="E135" i="7"/>
  <c r="F135" i="7"/>
  <c r="B136" i="7"/>
  <c r="C136" i="7"/>
  <c r="D136" i="7"/>
  <c r="E136" i="7"/>
  <c r="F136" i="7"/>
  <c r="B137" i="7"/>
  <c r="C137" i="7"/>
  <c r="D137" i="7"/>
  <c r="E137" i="7"/>
  <c r="F137" i="7"/>
  <c r="B138" i="7"/>
  <c r="C138" i="7"/>
  <c r="D138" i="7"/>
  <c r="E138" i="7"/>
  <c r="F138" i="7"/>
  <c r="B139" i="7"/>
  <c r="C139" i="7"/>
  <c r="D139" i="7"/>
  <c r="E139" i="7"/>
  <c r="F139" i="7"/>
  <c r="B140" i="7"/>
  <c r="C140" i="7"/>
  <c r="D140" i="7"/>
  <c r="E140" i="7"/>
  <c r="F140" i="7"/>
  <c r="B141" i="7"/>
  <c r="C141" i="7"/>
  <c r="D141" i="7"/>
  <c r="E141" i="7"/>
  <c r="F141" i="7"/>
  <c r="B142" i="7"/>
  <c r="C142" i="7"/>
  <c r="D142" i="7"/>
  <c r="E142" i="7"/>
  <c r="F142" i="7"/>
  <c r="B143" i="7"/>
  <c r="C143" i="7"/>
  <c r="D143" i="7"/>
  <c r="E143" i="7"/>
  <c r="F143" i="7"/>
  <c r="B144" i="7"/>
  <c r="C144" i="7"/>
  <c r="D144" i="7"/>
  <c r="E144" i="7"/>
  <c r="F144" i="7"/>
  <c r="B145" i="7"/>
  <c r="C145" i="7"/>
  <c r="D145" i="7"/>
  <c r="E145" i="7"/>
  <c r="F145" i="7"/>
  <c r="B146" i="7"/>
  <c r="C146" i="7"/>
  <c r="D146" i="7"/>
  <c r="E146" i="7"/>
  <c r="F146" i="7"/>
  <c r="B147" i="7"/>
  <c r="C147" i="7"/>
  <c r="D147" i="7"/>
  <c r="E147" i="7"/>
  <c r="F147" i="7"/>
  <c r="B148" i="7"/>
  <c r="C148" i="7"/>
  <c r="D148" i="7"/>
  <c r="E148" i="7"/>
  <c r="F148" i="7"/>
  <c r="B149" i="7"/>
  <c r="C149" i="7"/>
  <c r="D149" i="7"/>
  <c r="E149" i="7"/>
  <c r="F149" i="7"/>
  <c r="B150" i="7"/>
  <c r="C150" i="7"/>
  <c r="D150" i="7"/>
  <c r="E150" i="7"/>
  <c r="F150" i="7"/>
  <c r="B151" i="7"/>
  <c r="C151" i="7"/>
  <c r="D151" i="7"/>
  <c r="E151" i="7"/>
  <c r="F151" i="7"/>
  <c r="B152" i="7"/>
  <c r="C152" i="7"/>
  <c r="D152" i="7"/>
  <c r="E152" i="7"/>
  <c r="F152" i="7"/>
  <c r="B153" i="7"/>
  <c r="C153" i="7"/>
  <c r="D153" i="7"/>
  <c r="E153" i="7"/>
  <c r="F153" i="7"/>
  <c r="B154" i="7"/>
  <c r="C154" i="7"/>
  <c r="D154" i="7"/>
  <c r="E154" i="7"/>
  <c r="F154" i="7"/>
  <c r="B155" i="7"/>
  <c r="C155" i="7"/>
  <c r="D155" i="7"/>
  <c r="E155" i="7"/>
  <c r="F155" i="7"/>
  <c r="B156" i="7"/>
  <c r="C156" i="7"/>
  <c r="D156" i="7"/>
  <c r="E156" i="7"/>
  <c r="F156" i="7"/>
  <c r="B157" i="7"/>
  <c r="C157" i="7"/>
  <c r="D157" i="7"/>
  <c r="E157" i="7"/>
  <c r="F157" i="7"/>
  <c r="B158" i="7"/>
  <c r="C158" i="7"/>
  <c r="D158" i="7"/>
  <c r="E158" i="7"/>
  <c r="F158" i="7"/>
  <c r="B159" i="7"/>
  <c r="C159" i="7"/>
  <c r="D159" i="7"/>
  <c r="E159" i="7"/>
  <c r="F159" i="7"/>
  <c r="B160" i="7"/>
  <c r="C160" i="7"/>
  <c r="D160" i="7"/>
  <c r="E160" i="7"/>
  <c r="F160" i="7"/>
  <c r="B161" i="7"/>
  <c r="C161" i="7"/>
  <c r="D161" i="7"/>
  <c r="E161" i="7"/>
  <c r="F161" i="7"/>
  <c r="B162" i="7"/>
  <c r="C162" i="7"/>
  <c r="D162" i="7"/>
  <c r="E162" i="7"/>
  <c r="F162" i="7"/>
  <c r="B163" i="7"/>
  <c r="C163" i="7"/>
  <c r="D163" i="7"/>
  <c r="E163" i="7"/>
  <c r="F163" i="7"/>
  <c r="B164" i="7"/>
  <c r="C164" i="7"/>
  <c r="D164" i="7"/>
  <c r="E164" i="7"/>
  <c r="F164" i="7"/>
  <c r="B165" i="7"/>
  <c r="C165" i="7"/>
  <c r="D165" i="7"/>
  <c r="E165" i="7"/>
  <c r="F165" i="7"/>
  <c r="B166" i="7"/>
  <c r="C166" i="7"/>
  <c r="D166" i="7"/>
  <c r="E166" i="7"/>
  <c r="F166" i="7"/>
  <c r="B167" i="7"/>
  <c r="C167" i="7"/>
  <c r="D167" i="7"/>
  <c r="E167" i="7"/>
  <c r="F167" i="7"/>
  <c r="B168" i="7"/>
  <c r="C168" i="7"/>
  <c r="D168" i="7"/>
  <c r="E168" i="7"/>
  <c r="F168" i="7"/>
  <c r="B169" i="7"/>
  <c r="C169" i="7"/>
  <c r="D169" i="7"/>
  <c r="E169" i="7"/>
  <c r="F169" i="7"/>
  <c r="B170" i="7"/>
  <c r="C170" i="7"/>
  <c r="D170" i="7"/>
  <c r="E170" i="7"/>
  <c r="F170" i="7"/>
  <c r="B171" i="7"/>
  <c r="C171" i="7"/>
  <c r="D171" i="7"/>
  <c r="E171" i="7"/>
  <c r="F171" i="7"/>
  <c r="B172" i="7"/>
  <c r="C172" i="7"/>
  <c r="D172" i="7"/>
  <c r="E172" i="7"/>
  <c r="F172" i="7"/>
  <c r="B173" i="7"/>
  <c r="C173" i="7"/>
  <c r="D173" i="7"/>
  <c r="E173" i="7"/>
  <c r="F173" i="7"/>
  <c r="B174" i="7"/>
  <c r="C174" i="7"/>
  <c r="D174" i="7"/>
  <c r="E174" i="7"/>
  <c r="F174" i="7"/>
  <c r="B175" i="7"/>
  <c r="C175" i="7"/>
  <c r="D175" i="7"/>
  <c r="E175" i="7"/>
  <c r="F175" i="7"/>
  <c r="B176" i="7"/>
  <c r="C176" i="7"/>
  <c r="D176" i="7"/>
  <c r="E176" i="7"/>
  <c r="F176" i="7"/>
  <c r="B177" i="7"/>
  <c r="C177" i="7"/>
  <c r="D177" i="7"/>
  <c r="E177" i="7"/>
  <c r="F177" i="7"/>
  <c r="B178" i="7"/>
  <c r="C178" i="7"/>
  <c r="D178" i="7"/>
  <c r="E178" i="7"/>
  <c r="F178" i="7"/>
  <c r="B179" i="7"/>
  <c r="C179" i="7"/>
  <c r="D179" i="7"/>
  <c r="E179" i="7"/>
  <c r="F179" i="7"/>
  <c r="B180" i="7"/>
  <c r="C180" i="7"/>
  <c r="D180" i="7"/>
  <c r="E180" i="7"/>
  <c r="F180" i="7"/>
  <c r="B181" i="7"/>
  <c r="C181" i="7"/>
  <c r="D181" i="7"/>
  <c r="E181" i="7"/>
  <c r="F181" i="7"/>
  <c r="B182" i="7"/>
  <c r="C182" i="7"/>
  <c r="D182" i="7"/>
  <c r="E182" i="7"/>
  <c r="F182" i="7"/>
  <c r="B183" i="7"/>
  <c r="C183" i="7"/>
  <c r="D183" i="7"/>
  <c r="E183" i="7"/>
  <c r="F183" i="7"/>
  <c r="B184" i="7"/>
  <c r="C184" i="7"/>
  <c r="D184" i="7"/>
  <c r="E184" i="7"/>
  <c r="F184" i="7"/>
  <c r="B185" i="7"/>
  <c r="C185" i="7"/>
  <c r="D185" i="7"/>
  <c r="E185" i="7"/>
  <c r="F185" i="7"/>
  <c r="B186" i="7"/>
  <c r="C186" i="7"/>
  <c r="D186" i="7"/>
  <c r="E186" i="7"/>
  <c r="F186" i="7"/>
  <c r="B187" i="7"/>
  <c r="C187" i="7"/>
  <c r="D187" i="7"/>
  <c r="E187" i="7"/>
  <c r="F187" i="7"/>
  <c r="B188" i="7"/>
  <c r="C188" i="7"/>
  <c r="D188" i="7"/>
  <c r="E188" i="7"/>
  <c r="F188" i="7"/>
  <c r="B189" i="7"/>
  <c r="C189" i="7"/>
  <c r="D189" i="7"/>
  <c r="E189" i="7"/>
  <c r="F189" i="7"/>
  <c r="B190" i="7"/>
  <c r="C190" i="7"/>
  <c r="D190" i="7"/>
  <c r="E190" i="7"/>
  <c r="F190" i="7"/>
  <c r="B191" i="7"/>
  <c r="C191" i="7"/>
  <c r="D191" i="7"/>
  <c r="E191" i="7"/>
  <c r="F191" i="7"/>
  <c r="B192" i="7"/>
  <c r="C192" i="7"/>
  <c r="D192" i="7"/>
  <c r="E192" i="7"/>
  <c r="F192" i="7"/>
  <c r="B193" i="7"/>
  <c r="C193" i="7"/>
  <c r="D193" i="7"/>
  <c r="E193" i="7"/>
  <c r="F193" i="7"/>
  <c r="B194" i="7"/>
  <c r="C194" i="7"/>
  <c r="D194" i="7"/>
  <c r="E194" i="7"/>
  <c r="F194" i="7"/>
  <c r="B195" i="7"/>
  <c r="C195" i="7"/>
  <c r="D195" i="7"/>
  <c r="E195" i="7"/>
  <c r="F195" i="7"/>
  <c r="B196" i="7"/>
  <c r="C196" i="7"/>
  <c r="D196" i="7"/>
  <c r="E196" i="7"/>
  <c r="F196" i="7"/>
  <c r="B197" i="7"/>
  <c r="C197" i="7"/>
  <c r="D197" i="7"/>
  <c r="E197" i="7"/>
  <c r="F197" i="7"/>
  <c r="B198" i="7"/>
  <c r="C198" i="7"/>
  <c r="D198" i="7"/>
  <c r="E198" i="7"/>
  <c r="F198" i="7"/>
  <c r="B199" i="7"/>
  <c r="C199" i="7"/>
  <c r="D199" i="7"/>
  <c r="E199" i="7"/>
  <c r="F199" i="7"/>
  <c r="B200" i="7"/>
  <c r="C200" i="7"/>
  <c r="D200" i="7"/>
  <c r="E200" i="7"/>
  <c r="F200" i="7"/>
  <c r="B201" i="7"/>
  <c r="C201" i="7"/>
  <c r="D201" i="7"/>
  <c r="E201" i="7"/>
  <c r="F201" i="7"/>
  <c r="B202" i="7"/>
  <c r="C202" i="7"/>
  <c r="D202" i="7"/>
  <c r="E202" i="7"/>
  <c r="F202" i="7"/>
  <c r="B203" i="7"/>
  <c r="C203" i="7"/>
  <c r="D203" i="7"/>
  <c r="E203" i="7"/>
  <c r="F203" i="7"/>
  <c r="B204" i="7"/>
  <c r="C204" i="7"/>
  <c r="D204" i="7"/>
  <c r="E204" i="7"/>
  <c r="F204" i="7"/>
  <c r="B205" i="7"/>
  <c r="C205" i="7"/>
  <c r="D205" i="7"/>
  <c r="E205" i="7"/>
  <c r="F205" i="7"/>
  <c r="B206" i="7"/>
  <c r="C206" i="7"/>
  <c r="D206" i="7"/>
  <c r="E206" i="7"/>
  <c r="F206" i="7"/>
  <c r="B207" i="7"/>
  <c r="C207" i="7"/>
  <c r="D207" i="7"/>
  <c r="E207" i="7"/>
  <c r="F207" i="7"/>
  <c r="B208" i="7"/>
  <c r="C208" i="7"/>
  <c r="D208" i="7"/>
  <c r="E208" i="7"/>
  <c r="F208" i="7"/>
  <c r="B209" i="7"/>
  <c r="C209" i="7"/>
  <c r="D209" i="7"/>
  <c r="E209" i="7"/>
  <c r="F209" i="7"/>
  <c r="B210" i="7"/>
  <c r="C210" i="7"/>
  <c r="D210" i="7"/>
  <c r="E210" i="7"/>
  <c r="F210" i="7"/>
  <c r="B211" i="7"/>
  <c r="C211" i="7"/>
  <c r="D211" i="7"/>
  <c r="E211" i="7"/>
  <c r="F211" i="7"/>
  <c r="B212" i="7"/>
  <c r="C212" i="7"/>
  <c r="D212" i="7"/>
  <c r="E212" i="7"/>
  <c r="F212" i="7"/>
  <c r="B213" i="7"/>
  <c r="C213" i="7"/>
  <c r="D213" i="7"/>
  <c r="E213" i="7"/>
  <c r="F213" i="7"/>
  <c r="B214" i="7"/>
  <c r="C214" i="7"/>
  <c r="D214" i="7"/>
  <c r="E214" i="7"/>
  <c r="F214" i="7"/>
  <c r="B215" i="7"/>
  <c r="C215" i="7"/>
  <c r="D215" i="7"/>
  <c r="E215" i="7"/>
  <c r="F215" i="7"/>
  <c r="B216" i="7"/>
  <c r="C216" i="7"/>
  <c r="D216" i="7"/>
  <c r="E216" i="7"/>
  <c r="F216" i="7"/>
  <c r="B217" i="7"/>
  <c r="C217" i="7"/>
  <c r="D217" i="7"/>
  <c r="E217" i="7"/>
  <c r="F217" i="7"/>
  <c r="B218" i="7"/>
  <c r="C218" i="7"/>
  <c r="D218" i="7"/>
  <c r="E218" i="7"/>
  <c r="F218" i="7"/>
  <c r="B219" i="7"/>
  <c r="C219" i="7"/>
  <c r="D219" i="7"/>
  <c r="E219" i="7"/>
  <c r="F219" i="7"/>
  <c r="B220" i="7"/>
  <c r="C220" i="7"/>
  <c r="D220" i="7"/>
  <c r="E220" i="7"/>
  <c r="F220" i="7"/>
  <c r="B221" i="7"/>
  <c r="C221" i="7"/>
  <c r="D221" i="7"/>
  <c r="E221" i="7"/>
  <c r="F221" i="7"/>
  <c r="B222" i="7"/>
  <c r="C222" i="7"/>
  <c r="D222" i="7"/>
  <c r="E222" i="7"/>
  <c r="F222" i="7"/>
  <c r="B223" i="7"/>
  <c r="C223" i="7"/>
  <c r="D223" i="7"/>
  <c r="E223" i="7"/>
  <c r="F223" i="7"/>
  <c r="B224" i="7"/>
  <c r="C224" i="7"/>
  <c r="D224" i="7"/>
  <c r="E224" i="7"/>
  <c r="F224" i="7"/>
  <c r="B225" i="7"/>
  <c r="C225" i="7"/>
  <c r="D225" i="7"/>
  <c r="E225" i="7"/>
  <c r="F225" i="7"/>
  <c r="B226" i="7"/>
  <c r="C226" i="7"/>
  <c r="D226" i="7"/>
  <c r="E226" i="7"/>
  <c r="F226" i="7"/>
  <c r="B227" i="7"/>
  <c r="C227" i="7"/>
  <c r="D227" i="7"/>
  <c r="E227" i="7"/>
  <c r="F227" i="7"/>
  <c r="B228" i="7"/>
  <c r="C228" i="7"/>
  <c r="D228" i="7"/>
  <c r="E228" i="7"/>
  <c r="F228" i="7"/>
  <c r="B229" i="7"/>
  <c r="C229" i="7"/>
  <c r="D229" i="7"/>
  <c r="E229" i="7"/>
  <c r="F229" i="7"/>
  <c r="B230" i="7"/>
  <c r="C230" i="7"/>
  <c r="D230" i="7"/>
  <c r="E230" i="7"/>
  <c r="F230" i="7"/>
  <c r="B231" i="7"/>
  <c r="C231" i="7"/>
  <c r="D231" i="7"/>
  <c r="E231" i="7"/>
  <c r="F231" i="7"/>
  <c r="B232" i="7"/>
  <c r="C232" i="7"/>
  <c r="D232" i="7"/>
  <c r="E232" i="7"/>
  <c r="F232" i="7"/>
  <c r="B233" i="7"/>
  <c r="C233" i="7"/>
  <c r="D233" i="7"/>
  <c r="E233" i="7"/>
  <c r="F233" i="7"/>
  <c r="B234" i="7"/>
  <c r="C234" i="7"/>
  <c r="D234" i="7"/>
  <c r="E234" i="7"/>
  <c r="F234" i="7"/>
  <c r="B235" i="7"/>
  <c r="C235" i="7"/>
  <c r="D235" i="7"/>
  <c r="E235" i="7"/>
  <c r="F235" i="7"/>
  <c r="B236" i="7"/>
  <c r="C236" i="7"/>
  <c r="D236" i="7"/>
  <c r="E236" i="7"/>
  <c r="F236" i="7"/>
  <c r="B237" i="7"/>
  <c r="C237" i="7"/>
  <c r="D237" i="7"/>
  <c r="E237" i="7"/>
  <c r="F237" i="7"/>
  <c r="B238" i="7"/>
  <c r="C238" i="7"/>
  <c r="D238" i="7"/>
  <c r="E238" i="7"/>
  <c r="F238" i="7"/>
  <c r="B239" i="7"/>
  <c r="C239" i="7"/>
  <c r="D239" i="7"/>
  <c r="E239" i="7"/>
  <c r="F239" i="7"/>
  <c r="B240" i="7"/>
  <c r="C240" i="7"/>
  <c r="D240" i="7"/>
  <c r="E240" i="7"/>
  <c r="F240" i="7"/>
  <c r="B241" i="7"/>
  <c r="C241" i="7"/>
  <c r="D241" i="7"/>
  <c r="E241" i="7"/>
  <c r="F241" i="7"/>
  <c r="B242" i="7"/>
  <c r="C242" i="7"/>
  <c r="D242" i="7"/>
  <c r="E242" i="7"/>
  <c r="F242" i="7"/>
  <c r="B243" i="7"/>
  <c r="C243" i="7"/>
  <c r="D243" i="7"/>
  <c r="E243" i="7"/>
  <c r="F243" i="7"/>
  <c r="B244" i="7"/>
  <c r="C244" i="7"/>
  <c r="D244" i="7"/>
  <c r="E244" i="7"/>
  <c r="F244" i="7"/>
  <c r="B245" i="7"/>
  <c r="C245" i="7"/>
  <c r="D245" i="7"/>
  <c r="E245" i="7"/>
  <c r="F245" i="7"/>
  <c r="B246" i="7"/>
  <c r="C246" i="7"/>
  <c r="D246" i="7"/>
  <c r="E246" i="7"/>
  <c r="F246" i="7"/>
  <c r="B247" i="7"/>
  <c r="C247" i="7"/>
  <c r="D247" i="7"/>
  <c r="E247" i="7"/>
  <c r="F247" i="7"/>
  <c r="B248" i="7"/>
  <c r="C248" i="7"/>
  <c r="D248" i="7"/>
  <c r="E248" i="7"/>
  <c r="F248" i="7"/>
  <c r="B249" i="7"/>
  <c r="C249" i="7"/>
  <c r="D249" i="7"/>
  <c r="E249" i="7"/>
  <c r="F249" i="7"/>
  <c r="B250" i="7"/>
  <c r="C250" i="7"/>
  <c r="D250" i="7"/>
  <c r="E250" i="7"/>
  <c r="F250" i="7"/>
  <c r="B251" i="7"/>
  <c r="C251" i="7"/>
  <c r="D251" i="7"/>
  <c r="E251" i="7"/>
  <c r="F251" i="7"/>
  <c r="B252" i="7"/>
  <c r="C252" i="7"/>
  <c r="D252" i="7"/>
  <c r="E252" i="7"/>
  <c r="F252" i="7"/>
  <c r="B253" i="7"/>
  <c r="C253" i="7"/>
  <c r="D253" i="7"/>
  <c r="E253" i="7"/>
  <c r="F253" i="7"/>
  <c r="B254" i="7"/>
  <c r="C254" i="7"/>
  <c r="D254" i="7"/>
  <c r="E254" i="7"/>
  <c r="F254" i="7"/>
  <c r="B255" i="7"/>
  <c r="C255" i="7"/>
  <c r="D255" i="7"/>
  <c r="E255" i="7"/>
  <c r="F255" i="7"/>
  <c r="B256" i="7"/>
  <c r="C256" i="7"/>
  <c r="D256" i="7"/>
  <c r="E256" i="7"/>
  <c r="F256" i="7"/>
  <c r="B257" i="7"/>
  <c r="C257" i="7"/>
  <c r="D257" i="7"/>
  <c r="E257" i="7"/>
  <c r="F257" i="7"/>
  <c r="B258" i="7"/>
  <c r="C258" i="7"/>
  <c r="D258" i="7"/>
  <c r="E258" i="7"/>
  <c r="F258" i="7"/>
  <c r="B259" i="7"/>
  <c r="C259" i="7"/>
  <c r="D259" i="7"/>
  <c r="E259" i="7"/>
  <c r="F259" i="7"/>
  <c r="B260" i="7"/>
  <c r="C260" i="7"/>
  <c r="D260" i="7"/>
  <c r="E260" i="7"/>
  <c r="F260" i="7"/>
  <c r="B261" i="7"/>
  <c r="C261" i="7"/>
  <c r="D261" i="7"/>
  <c r="E261" i="7"/>
  <c r="F261" i="7"/>
  <c r="B262" i="7"/>
  <c r="C262" i="7"/>
  <c r="D262" i="7"/>
  <c r="E262" i="7"/>
  <c r="F262" i="7"/>
  <c r="B263" i="7"/>
  <c r="C263" i="7"/>
  <c r="D263" i="7"/>
  <c r="E263" i="7"/>
  <c r="F263" i="7"/>
  <c r="B264" i="7"/>
  <c r="C264" i="7"/>
  <c r="D264" i="7"/>
  <c r="E264" i="7"/>
  <c r="F264" i="7"/>
  <c r="B265" i="7"/>
  <c r="C265" i="7"/>
  <c r="D265" i="7"/>
  <c r="E265" i="7"/>
  <c r="F265" i="7"/>
  <c r="B266" i="7"/>
  <c r="C266" i="7"/>
  <c r="D266" i="7"/>
  <c r="E266" i="7"/>
  <c r="F266" i="7"/>
  <c r="B267" i="7"/>
  <c r="C267" i="7"/>
  <c r="D267" i="7"/>
  <c r="E267" i="7"/>
  <c r="F267" i="7"/>
  <c r="B268" i="7"/>
  <c r="C268" i="7"/>
  <c r="D268" i="7"/>
  <c r="E268" i="7"/>
  <c r="F268" i="7"/>
  <c r="B269" i="7"/>
  <c r="C269" i="7"/>
  <c r="D269" i="7"/>
  <c r="E269" i="7"/>
  <c r="F269" i="7"/>
  <c r="B270" i="7"/>
  <c r="C270" i="7"/>
  <c r="D270" i="7"/>
  <c r="E270" i="7"/>
  <c r="F270" i="7"/>
  <c r="B271" i="7"/>
  <c r="C271" i="7"/>
  <c r="D271" i="7"/>
  <c r="E271" i="7"/>
  <c r="F271" i="7"/>
  <c r="B272" i="7"/>
  <c r="C272" i="7"/>
  <c r="D272" i="7"/>
  <c r="E272" i="7"/>
  <c r="F272" i="7"/>
  <c r="B273" i="7"/>
  <c r="C273" i="7"/>
  <c r="D273" i="7"/>
  <c r="E273" i="7"/>
  <c r="F273" i="7"/>
  <c r="B274" i="7"/>
  <c r="C274" i="7"/>
  <c r="D274" i="7"/>
  <c r="E274" i="7"/>
  <c r="F274" i="7"/>
  <c r="B275" i="7"/>
  <c r="C275" i="7"/>
  <c r="D275" i="7"/>
  <c r="E275" i="7"/>
  <c r="F275" i="7"/>
  <c r="B276" i="7"/>
  <c r="C276" i="7"/>
  <c r="D276" i="7"/>
  <c r="E276" i="7"/>
  <c r="F276" i="7"/>
  <c r="B277" i="7"/>
  <c r="C277" i="7"/>
  <c r="D277" i="7"/>
  <c r="E277" i="7"/>
  <c r="F277" i="7"/>
  <c r="B278" i="7"/>
  <c r="C278" i="7"/>
  <c r="D278" i="7"/>
  <c r="E278" i="7"/>
  <c r="F278" i="7"/>
  <c r="B279" i="7"/>
  <c r="C279" i="7"/>
  <c r="D279" i="7"/>
  <c r="E279" i="7"/>
  <c r="F279" i="7"/>
  <c r="B280" i="7"/>
  <c r="C280" i="7"/>
  <c r="D280" i="7"/>
  <c r="E280" i="7"/>
  <c r="F280" i="7"/>
  <c r="B281" i="7"/>
  <c r="C281" i="7"/>
  <c r="D281" i="7"/>
  <c r="E281" i="7"/>
  <c r="F281" i="7"/>
  <c r="B282" i="7"/>
  <c r="C282" i="7"/>
  <c r="D282" i="7"/>
  <c r="E282" i="7"/>
  <c r="F282" i="7"/>
  <c r="B283" i="7"/>
  <c r="C283" i="7"/>
  <c r="D283" i="7"/>
  <c r="E283" i="7"/>
  <c r="F283" i="7"/>
  <c r="B284" i="7"/>
  <c r="C284" i="7"/>
  <c r="D284" i="7"/>
  <c r="E284" i="7"/>
  <c r="F284" i="7"/>
  <c r="B285" i="7"/>
  <c r="C285" i="7"/>
  <c r="D285" i="7"/>
  <c r="E285" i="7"/>
  <c r="F285" i="7"/>
  <c r="B286" i="7"/>
  <c r="C286" i="7"/>
  <c r="D286" i="7"/>
  <c r="E286" i="7"/>
  <c r="F286" i="7"/>
  <c r="B287" i="7"/>
  <c r="C287" i="7"/>
  <c r="D287" i="7"/>
  <c r="E287" i="7"/>
  <c r="F287" i="7"/>
  <c r="B288" i="7"/>
  <c r="C288" i="7"/>
  <c r="D288" i="7"/>
  <c r="E288" i="7"/>
  <c r="F288" i="7"/>
  <c r="B289" i="7"/>
  <c r="C289" i="7"/>
  <c r="D289" i="7"/>
  <c r="E289" i="7"/>
  <c r="F289" i="7"/>
  <c r="B290" i="7"/>
  <c r="C290" i="7"/>
  <c r="D290" i="7"/>
  <c r="E290" i="7"/>
  <c r="F290" i="7"/>
  <c r="B291" i="7"/>
  <c r="C291" i="7"/>
  <c r="D291" i="7"/>
  <c r="E291" i="7"/>
  <c r="F291" i="7"/>
  <c r="B292" i="7"/>
  <c r="C292" i="7"/>
  <c r="D292" i="7"/>
  <c r="E292" i="7"/>
  <c r="F292" i="7"/>
  <c r="B293" i="7"/>
  <c r="C293" i="7"/>
  <c r="D293" i="7"/>
  <c r="E293" i="7"/>
  <c r="F293" i="7"/>
  <c r="B294" i="7"/>
  <c r="C294" i="7"/>
  <c r="D294" i="7"/>
  <c r="E294" i="7"/>
  <c r="F294" i="7"/>
  <c r="B295" i="7"/>
  <c r="C295" i="7"/>
  <c r="D295" i="7"/>
  <c r="E295" i="7"/>
  <c r="F295" i="7"/>
  <c r="B296" i="7"/>
  <c r="C296" i="7"/>
  <c r="D296" i="7"/>
  <c r="E296" i="7"/>
  <c r="F296" i="7"/>
  <c r="B297" i="7"/>
  <c r="C297" i="7"/>
  <c r="D297" i="7"/>
  <c r="E297" i="7"/>
  <c r="F297" i="7"/>
  <c r="B298" i="7"/>
  <c r="C298" i="7"/>
  <c r="D298" i="7"/>
  <c r="E298" i="7"/>
  <c r="F298" i="7"/>
  <c r="B299" i="7"/>
  <c r="C299" i="7"/>
  <c r="D299" i="7"/>
  <c r="E299" i="7"/>
  <c r="F299" i="7"/>
  <c r="B300" i="7"/>
  <c r="C300" i="7"/>
  <c r="D300" i="7"/>
  <c r="E300" i="7"/>
  <c r="F300" i="7"/>
  <c r="B301" i="7"/>
  <c r="C301" i="7"/>
  <c r="D301" i="7"/>
  <c r="E301" i="7"/>
  <c r="F301" i="7"/>
  <c r="B302" i="7"/>
  <c r="C302" i="7"/>
  <c r="D302" i="7"/>
  <c r="E302" i="7"/>
  <c r="F302" i="7"/>
  <c r="B303" i="7"/>
  <c r="C303" i="7"/>
  <c r="D303" i="7"/>
  <c r="E303" i="7"/>
  <c r="F303" i="7"/>
  <c r="B304" i="7"/>
  <c r="C304" i="7"/>
  <c r="D304" i="7"/>
  <c r="E304" i="7"/>
  <c r="F304" i="7"/>
  <c r="B305" i="7"/>
  <c r="C305" i="7"/>
  <c r="D305" i="7"/>
  <c r="E305" i="7"/>
  <c r="F305" i="7"/>
  <c r="B306" i="7"/>
  <c r="C306" i="7"/>
  <c r="D306" i="7"/>
  <c r="E306" i="7"/>
  <c r="F306" i="7"/>
  <c r="B307" i="7"/>
  <c r="C307" i="7"/>
  <c r="D307" i="7"/>
  <c r="E307" i="7"/>
  <c r="F307" i="7"/>
  <c r="B308" i="7"/>
  <c r="C308" i="7"/>
  <c r="D308" i="7"/>
  <c r="E308" i="7"/>
  <c r="F308" i="7"/>
  <c r="B309" i="7"/>
  <c r="C309" i="7"/>
  <c r="D309" i="7"/>
  <c r="E309" i="7"/>
  <c r="F309" i="7"/>
  <c r="B310" i="7"/>
  <c r="C310" i="7"/>
  <c r="D310" i="7"/>
  <c r="E310" i="7"/>
  <c r="F310" i="7"/>
  <c r="B311" i="7"/>
  <c r="C311" i="7"/>
  <c r="D311" i="7"/>
  <c r="E311" i="7"/>
  <c r="F311" i="7"/>
  <c r="B312" i="7"/>
  <c r="C312" i="7"/>
  <c r="D312" i="7"/>
  <c r="E312" i="7"/>
  <c r="F312" i="7"/>
  <c r="B313" i="7"/>
  <c r="C313" i="7"/>
  <c r="D313" i="7"/>
  <c r="E313" i="7"/>
  <c r="F313" i="7"/>
  <c r="B314" i="7"/>
  <c r="C314" i="7"/>
  <c r="D314" i="7"/>
  <c r="E314" i="7"/>
  <c r="F314" i="7"/>
  <c r="B315" i="7"/>
  <c r="C315" i="7"/>
  <c r="D315" i="7"/>
  <c r="E315" i="7"/>
  <c r="F315" i="7"/>
  <c r="B316" i="7"/>
  <c r="C316" i="7"/>
  <c r="D316" i="7"/>
  <c r="E316" i="7"/>
  <c r="F316" i="7"/>
  <c r="B317" i="7"/>
  <c r="C317" i="7"/>
  <c r="D317" i="7"/>
  <c r="E317" i="7"/>
  <c r="F317" i="7"/>
  <c r="B318" i="7"/>
  <c r="C318" i="7"/>
  <c r="D318" i="7"/>
  <c r="E318" i="7"/>
  <c r="F318" i="7"/>
  <c r="B319" i="7"/>
  <c r="C319" i="7"/>
  <c r="D319" i="7"/>
  <c r="E319" i="7"/>
  <c r="F319" i="7"/>
  <c r="B320" i="7"/>
  <c r="C320" i="7"/>
  <c r="D320" i="7"/>
  <c r="E320" i="7"/>
  <c r="F320" i="7"/>
  <c r="B321" i="7"/>
  <c r="C321" i="7"/>
  <c r="D321" i="7"/>
  <c r="E321" i="7"/>
  <c r="F321" i="7"/>
  <c r="B322" i="7"/>
  <c r="C322" i="7"/>
  <c r="D322" i="7"/>
  <c r="E322" i="7"/>
  <c r="F322" i="7"/>
  <c r="B323" i="7"/>
  <c r="C323" i="7"/>
  <c r="D323" i="7"/>
  <c r="E323" i="7"/>
  <c r="F323" i="7"/>
  <c r="B324" i="7"/>
  <c r="C324" i="7"/>
  <c r="D324" i="7"/>
  <c r="E324" i="7"/>
  <c r="F324" i="7"/>
  <c r="B325" i="7"/>
  <c r="C325" i="7"/>
  <c r="D325" i="7"/>
  <c r="E325" i="7"/>
  <c r="F325" i="7"/>
  <c r="B326" i="7"/>
  <c r="C326" i="7"/>
  <c r="D326" i="7"/>
  <c r="E326" i="7"/>
  <c r="F326" i="7"/>
  <c r="B327" i="7"/>
  <c r="C327" i="7"/>
  <c r="D327" i="7"/>
  <c r="E327" i="7"/>
  <c r="F327" i="7"/>
  <c r="B328" i="7"/>
  <c r="C328" i="7"/>
  <c r="D328" i="7"/>
  <c r="E328" i="7"/>
  <c r="F328" i="7"/>
  <c r="B329" i="7"/>
  <c r="C329" i="7"/>
  <c r="D329" i="7"/>
  <c r="E329" i="7"/>
  <c r="F329" i="7"/>
  <c r="B330" i="7"/>
  <c r="C330" i="7"/>
  <c r="D330" i="7"/>
  <c r="E330" i="7"/>
  <c r="F330" i="7"/>
  <c r="B331" i="7"/>
  <c r="C331" i="7"/>
  <c r="D331" i="7"/>
  <c r="E331" i="7"/>
  <c r="F331" i="7"/>
  <c r="B332" i="7"/>
  <c r="C332" i="7"/>
  <c r="D332" i="7"/>
  <c r="E332" i="7"/>
  <c r="F332" i="7"/>
  <c r="B333" i="7"/>
  <c r="C333" i="7"/>
  <c r="D333" i="7"/>
  <c r="E333" i="7"/>
  <c r="F333" i="7"/>
  <c r="B334" i="7"/>
  <c r="C334" i="7"/>
  <c r="D334" i="7"/>
  <c r="E334" i="7"/>
  <c r="F334" i="7"/>
  <c r="B335" i="7"/>
  <c r="C335" i="7"/>
  <c r="D335" i="7"/>
  <c r="E335" i="7"/>
  <c r="F335" i="7"/>
  <c r="B336" i="7"/>
  <c r="C336" i="7"/>
  <c r="D336" i="7"/>
  <c r="E336" i="7"/>
  <c r="F336" i="7"/>
  <c r="B337" i="7"/>
  <c r="C337" i="7"/>
  <c r="D337" i="7"/>
  <c r="E337" i="7"/>
  <c r="F337" i="7"/>
  <c r="B338" i="7"/>
  <c r="C338" i="7"/>
  <c r="D338" i="7"/>
  <c r="E338" i="7"/>
  <c r="F338" i="7"/>
  <c r="B339" i="7"/>
  <c r="C339" i="7"/>
  <c r="D339" i="7"/>
  <c r="E339" i="7"/>
  <c r="F339" i="7"/>
  <c r="B340" i="7"/>
  <c r="C340" i="7"/>
  <c r="D340" i="7"/>
  <c r="E340" i="7"/>
  <c r="F340" i="7"/>
  <c r="B341" i="7"/>
  <c r="C341" i="7"/>
  <c r="D341" i="7"/>
  <c r="E341" i="7"/>
  <c r="F341" i="7"/>
  <c r="B342" i="7"/>
  <c r="C342" i="7"/>
  <c r="D342" i="7"/>
  <c r="E342" i="7"/>
  <c r="F342" i="7"/>
  <c r="B343" i="7"/>
  <c r="C343" i="7"/>
  <c r="D343" i="7"/>
  <c r="E343" i="7"/>
  <c r="F343" i="7"/>
  <c r="B344" i="7"/>
  <c r="C344" i="7"/>
  <c r="D344" i="7"/>
  <c r="E344" i="7"/>
  <c r="F344" i="7"/>
  <c r="B345" i="7"/>
  <c r="C345" i="7"/>
  <c r="D345" i="7"/>
  <c r="E345" i="7"/>
  <c r="F345" i="7"/>
  <c r="B346" i="7"/>
  <c r="C346" i="7"/>
  <c r="D346" i="7"/>
  <c r="E346" i="7"/>
  <c r="F346" i="7"/>
  <c r="B347" i="7"/>
  <c r="C347" i="7"/>
  <c r="D347" i="7"/>
  <c r="E347" i="7"/>
  <c r="F347" i="7"/>
  <c r="B348" i="7"/>
  <c r="C348" i="7"/>
  <c r="D348" i="7"/>
  <c r="E348" i="7"/>
  <c r="F348" i="7"/>
  <c r="B349" i="7"/>
  <c r="C349" i="7"/>
  <c r="D349" i="7"/>
  <c r="E349" i="7"/>
  <c r="F349" i="7"/>
  <c r="B350" i="7"/>
  <c r="C350" i="7"/>
  <c r="D350" i="7"/>
  <c r="E350" i="7"/>
  <c r="F350" i="7"/>
  <c r="B351" i="7"/>
  <c r="C351" i="7"/>
  <c r="D351" i="7"/>
  <c r="E351" i="7"/>
  <c r="F351" i="7"/>
  <c r="B352" i="7"/>
  <c r="C352" i="7"/>
  <c r="D352" i="7"/>
  <c r="E352" i="7"/>
  <c r="F352" i="7"/>
  <c r="B353" i="7"/>
  <c r="C353" i="7"/>
  <c r="D353" i="7"/>
  <c r="E353" i="7"/>
  <c r="F353" i="7"/>
  <c r="B354" i="7"/>
  <c r="C354" i="7"/>
  <c r="D354" i="7"/>
  <c r="E354" i="7"/>
  <c r="F354" i="7"/>
  <c r="B355" i="7"/>
  <c r="C355" i="7"/>
  <c r="D355" i="7"/>
  <c r="E355" i="7"/>
  <c r="F355" i="7"/>
  <c r="B356" i="7"/>
  <c r="C356" i="7"/>
  <c r="D356" i="7"/>
  <c r="E356" i="7"/>
  <c r="F356" i="7"/>
  <c r="B357" i="7"/>
  <c r="C357" i="7"/>
  <c r="D357" i="7"/>
  <c r="E357" i="7"/>
  <c r="F357" i="7"/>
  <c r="B358" i="7"/>
  <c r="C358" i="7"/>
  <c r="D358" i="7"/>
  <c r="E358" i="7"/>
  <c r="F358" i="7"/>
  <c r="B359" i="7"/>
  <c r="C359" i="7"/>
  <c r="D359" i="7"/>
  <c r="E359" i="7"/>
  <c r="F359" i="7"/>
  <c r="B360" i="7"/>
  <c r="C360" i="7"/>
  <c r="D360" i="7"/>
  <c r="E360" i="7"/>
  <c r="F360" i="7"/>
  <c r="B361" i="7"/>
  <c r="C361" i="7"/>
  <c r="D361" i="7"/>
  <c r="E361" i="7"/>
  <c r="F361" i="7"/>
  <c r="B362" i="7"/>
  <c r="C362" i="7"/>
  <c r="D362" i="7"/>
  <c r="E362" i="7"/>
  <c r="F362" i="7"/>
  <c r="B363" i="7"/>
  <c r="C363" i="7"/>
  <c r="D363" i="7"/>
  <c r="E363" i="7"/>
  <c r="F363" i="7"/>
  <c r="B364" i="7"/>
  <c r="C364" i="7"/>
  <c r="D364" i="7"/>
  <c r="E364" i="7"/>
  <c r="F364" i="7"/>
  <c r="B365" i="7"/>
  <c r="C365" i="7"/>
  <c r="D365" i="7"/>
  <c r="E365" i="7"/>
  <c r="F365" i="7"/>
  <c r="B366" i="7"/>
  <c r="C366" i="7"/>
  <c r="D366" i="7"/>
  <c r="E366" i="7"/>
  <c r="F366" i="7"/>
  <c r="B367" i="7"/>
  <c r="C367" i="7"/>
  <c r="D367" i="7"/>
  <c r="E367" i="7"/>
  <c r="F367" i="7"/>
  <c r="B368" i="7"/>
  <c r="C368" i="7"/>
  <c r="D368" i="7"/>
  <c r="E368" i="7"/>
  <c r="F368" i="7"/>
  <c r="B369" i="7"/>
  <c r="C369" i="7"/>
  <c r="D369" i="7"/>
  <c r="E369" i="7"/>
  <c r="F369" i="7"/>
  <c r="B370" i="7"/>
  <c r="C370" i="7"/>
  <c r="D370" i="7"/>
  <c r="E370" i="7"/>
  <c r="F370" i="7"/>
  <c r="B371" i="7"/>
  <c r="C371" i="7"/>
  <c r="D371" i="7"/>
  <c r="E371" i="7"/>
  <c r="F371" i="7"/>
  <c r="B372" i="7"/>
  <c r="C372" i="7"/>
  <c r="D372" i="7"/>
  <c r="E372" i="7"/>
  <c r="F372" i="7"/>
  <c r="B373" i="7"/>
  <c r="C373" i="7"/>
  <c r="D373" i="7"/>
  <c r="E373" i="7"/>
  <c r="F373" i="7"/>
  <c r="B374" i="7"/>
  <c r="C374" i="7"/>
  <c r="D374" i="7"/>
  <c r="E374" i="7"/>
  <c r="F374" i="7"/>
  <c r="B375" i="7"/>
  <c r="C375" i="7"/>
  <c r="D375" i="7"/>
  <c r="E375" i="7"/>
  <c r="F375" i="7"/>
  <c r="B376" i="7"/>
  <c r="C376" i="7"/>
  <c r="D376" i="7"/>
  <c r="E376" i="7"/>
  <c r="F376" i="7"/>
  <c r="B377" i="7"/>
  <c r="C377" i="7"/>
  <c r="D377" i="7"/>
  <c r="E377" i="7"/>
  <c r="F377" i="7"/>
  <c r="B378" i="7"/>
  <c r="C378" i="7"/>
  <c r="D378" i="7"/>
  <c r="E378" i="7"/>
  <c r="F378" i="7"/>
  <c r="B379" i="7"/>
  <c r="C379" i="7"/>
  <c r="D379" i="7"/>
  <c r="E379" i="7"/>
  <c r="F379" i="7"/>
  <c r="B380" i="7"/>
  <c r="C380" i="7"/>
  <c r="D380" i="7"/>
  <c r="E380" i="7"/>
  <c r="F380" i="7"/>
  <c r="B381" i="7"/>
  <c r="C381" i="7"/>
  <c r="D381" i="7"/>
  <c r="E381" i="7"/>
  <c r="F381" i="7"/>
  <c r="B382" i="7"/>
  <c r="C382" i="7"/>
  <c r="D382" i="7"/>
  <c r="E382" i="7"/>
  <c r="F382" i="7"/>
  <c r="B383" i="7"/>
  <c r="C383" i="7"/>
  <c r="D383" i="7"/>
  <c r="E383" i="7"/>
  <c r="F383" i="7"/>
  <c r="B384" i="7"/>
  <c r="C384" i="7"/>
  <c r="D384" i="7"/>
  <c r="E384" i="7"/>
  <c r="F384" i="7"/>
  <c r="B385" i="7"/>
  <c r="C385" i="7"/>
  <c r="D385" i="7"/>
  <c r="E385" i="7"/>
  <c r="F385" i="7"/>
  <c r="B386" i="7"/>
  <c r="C386" i="7"/>
  <c r="D386" i="7"/>
  <c r="E386" i="7"/>
  <c r="F386" i="7"/>
  <c r="B387" i="7"/>
  <c r="C387" i="7"/>
  <c r="D387" i="7"/>
  <c r="E387" i="7"/>
  <c r="F387" i="7"/>
  <c r="B388" i="7"/>
  <c r="C388" i="7"/>
  <c r="D388" i="7"/>
  <c r="E388" i="7"/>
  <c r="F388" i="7"/>
  <c r="B389" i="7"/>
  <c r="C389" i="7"/>
  <c r="D389" i="7"/>
  <c r="E389" i="7"/>
  <c r="F389" i="7"/>
  <c r="B390" i="7"/>
  <c r="C390" i="7"/>
  <c r="D390" i="7"/>
  <c r="E390" i="7"/>
  <c r="F390" i="7"/>
  <c r="B391" i="7"/>
  <c r="C391" i="7"/>
  <c r="D391" i="7"/>
  <c r="E391" i="7"/>
  <c r="F391" i="7"/>
  <c r="B392" i="7"/>
  <c r="C392" i="7"/>
  <c r="D392" i="7"/>
  <c r="E392" i="7"/>
  <c r="F392" i="7"/>
  <c r="B393" i="7"/>
  <c r="C393" i="7"/>
  <c r="D393" i="7"/>
  <c r="E393" i="7"/>
  <c r="F393" i="7"/>
  <c r="B394" i="7"/>
  <c r="C394" i="7"/>
  <c r="D394" i="7"/>
  <c r="E394" i="7"/>
  <c r="F394" i="7"/>
  <c r="B395" i="7"/>
  <c r="C395" i="7"/>
  <c r="D395" i="7"/>
  <c r="E395" i="7"/>
  <c r="F395" i="7"/>
  <c r="B396" i="7"/>
  <c r="C396" i="7"/>
  <c r="D396" i="7"/>
  <c r="E396" i="7"/>
  <c r="F396" i="7"/>
  <c r="B397" i="7"/>
  <c r="C397" i="7"/>
  <c r="D397" i="7"/>
  <c r="E397" i="7"/>
  <c r="F397" i="7"/>
  <c r="B398" i="7"/>
  <c r="C398" i="7"/>
  <c r="D398" i="7"/>
  <c r="E398" i="7"/>
  <c r="F398" i="7"/>
  <c r="B399" i="7"/>
  <c r="C399" i="7"/>
  <c r="D399" i="7"/>
  <c r="E399" i="7"/>
  <c r="F399" i="7"/>
  <c r="B400" i="7"/>
  <c r="C400" i="7"/>
  <c r="D400" i="7"/>
  <c r="E400" i="7"/>
  <c r="F400" i="7"/>
  <c r="B401" i="7"/>
  <c r="C401" i="7"/>
  <c r="D401" i="7"/>
  <c r="E401" i="7"/>
  <c r="F401" i="7"/>
  <c r="B402" i="7"/>
  <c r="C402" i="7"/>
  <c r="D402" i="7"/>
  <c r="E402" i="7"/>
  <c r="F402" i="7"/>
  <c r="B403" i="7"/>
  <c r="C403" i="7"/>
  <c r="D403" i="7"/>
  <c r="E403" i="7"/>
  <c r="F403" i="7"/>
  <c r="B404" i="7"/>
  <c r="C404" i="7"/>
  <c r="D404" i="7"/>
  <c r="E404" i="7"/>
  <c r="F404" i="7"/>
  <c r="B405" i="7"/>
  <c r="C405" i="7"/>
  <c r="D405" i="7"/>
  <c r="E405" i="7"/>
  <c r="F405" i="7"/>
  <c r="B406" i="7"/>
  <c r="C406" i="7"/>
  <c r="D406" i="7"/>
  <c r="E406" i="7"/>
  <c r="F406" i="7"/>
  <c r="B407" i="7"/>
  <c r="C407" i="7"/>
  <c r="D407" i="7"/>
  <c r="E407" i="7"/>
  <c r="F407" i="7"/>
  <c r="B408" i="7"/>
  <c r="C408" i="7"/>
  <c r="D408" i="7"/>
  <c r="E408" i="7"/>
  <c r="F408" i="7"/>
  <c r="B409" i="7"/>
  <c r="C409" i="7"/>
  <c r="D409" i="7"/>
  <c r="E409" i="7"/>
  <c r="F409" i="7"/>
  <c r="B410" i="7"/>
  <c r="C410" i="7"/>
  <c r="D410" i="7"/>
  <c r="E410" i="7"/>
  <c r="F410" i="7"/>
  <c r="B411" i="7"/>
  <c r="C411" i="7"/>
  <c r="D411" i="7"/>
  <c r="E411" i="7"/>
  <c r="F411" i="7"/>
  <c r="B412" i="7"/>
  <c r="C412" i="7"/>
  <c r="D412" i="7"/>
  <c r="E412" i="7"/>
  <c r="F412" i="7"/>
  <c r="B413" i="7"/>
  <c r="C413" i="7"/>
  <c r="D413" i="7"/>
  <c r="E413" i="7"/>
  <c r="F413" i="7"/>
  <c r="B414" i="7"/>
  <c r="C414" i="7"/>
  <c r="D414" i="7"/>
  <c r="E414" i="7"/>
  <c r="F414" i="7"/>
  <c r="B415" i="7"/>
  <c r="C415" i="7"/>
  <c r="D415" i="7"/>
  <c r="E415" i="7"/>
  <c r="F415" i="7"/>
  <c r="B416" i="7"/>
  <c r="C416" i="7"/>
  <c r="D416" i="7"/>
  <c r="E416" i="7"/>
  <c r="F416" i="7"/>
  <c r="B417" i="7"/>
  <c r="C417" i="7"/>
  <c r="D417" i="7"/>
  <c r="E417" i="7"/>
  <c r="F417" i="7"/>
  <c r="B418" i="7"/>
  <c r="C418" i="7"/>
  <c r="D418" i="7"/>
  <c r="E418" i="7"/>
  <c r="F418" i="7"/>
  <c r="B419" i="7"/>
  <c r="C419" i="7"/>
  <c r="D419" i="7"/>
  <c r="E419" i="7"/>
  <c r="F419" i="7"/>
  <c r="B420" i="7"/>
  <c r="C420" i="7"/>
  <c r="D420" i="7"/>
  <c r="E420" i="7"/>
  <c r="F420" i="7"/>
  <c r="B421" i="7"/>
  <c r="C421" i="7"/>
  <c r="D421" i="7"/>
  <c r="E421" i="7"/>
  <c r="F421" i="7"/>
  <c r="B422" i="7"/>
  <c r="C422" i="7"/>
  <c r="D422" i="7"/>
  <c r="E422" i="7"/>
  <c r="F422" i="7"/>
  <c r="B423" i="7"/>
  <c r="C423" i="7"/>
  <c r="D423" i="7"/>
  <c r="E423" i="7"/>
  <c r="F423" i="7"/>
  <c r="B424" i="7"/>
  <c r="C424" i="7"/>
  <c r="D424" i="7"/>
  <c r="E424" i="7"/>
  <c r="F424" i="7"/>
  <c r="B425" i="7"/>
  <c r="C425" i="7"/>
  <c r="D425" i="7"/>
  <c r="E425" i="7"/>
  <c r="F425" i="7"/>
  <c r="B426" i="7"/>
  <c r="C426" i="7"/>
  <c r="D426" i="7"/>
  <c r="E426" i="7"/>
  <c r="F426" i="7"/>
  <c r="B427" i="7"/>
  <c r="C427" i="7"/>
  <c r="D427" i="7"/>
  <c r="E427" i="7"/>
  <c r="F427" i="7"/>
  <c r="B428" i="7"/>
  <c r="C428" i="7"/>
  <c r="D428" i="7"/>
  <c r="E428" i="7"/>
  <c r="F428" i="7"/>
  <c r="B429" i="7"/>
  <c r="C429" i="7"/>
  <c r="D429" i="7"/>
  <c r="E429" i="7"/>
  <c r="F429" i="7"/>
  <c r="B430" i="7"/>
  <c r="C430" i="7"/>
  <c r="D430" i="7"/>
  <c r="E430" i="7"/>
  <c r="F430" i="7"/>
  <c r="B431" i="7"/>
  <c r="C431" i="7"/>
  <c r="D431" i="7"/>
  <c r="E431" i="7"/>
  <c r="F431" i="7"/>
  <c r="B432" i="7"/>
  <c r="C432" i="7"/>
  <c r="D432" i="7"/>
  <c r="E432" i="7"/>
  <c r="F432" i="7"/>
  <c r="B433" i="7"/>
  <c r="C433" i="7"/>
  <c r="D433" i="7"/>
  <c r="E433" i="7"/>
  <c r="F433" i="7"/>
  <c r="B434" i="7"/>
  <c r="C434" i="7"/>
  <c r="D434" i="7"/>
  <c r="E434" i="7"/>
  <c r="F434" i="7"/>
  <c r="B435" i="7"/>
  <c r="C435" i="7"/>
  <c r="D435" i="7"/>
  <c r="E435" i="7"/>
  <c r="F435" i="7"/>
  <c r="B436" i="7"/>
  <c r="C436" i="7"/>
  <c r="D436" i="7"/>
  <c r="E436" i="7"/>
  <c r="F436" i="7"/>
  <c r="B437" i="7"/>
  <c r="C437" i="7"/>
  <c r="D437" i="7"/>
  <c r="E437" i="7"/>
  <c r="F437" i="7"/>
  <c r="B438" i="7"/>
  <c r="C438" i="7"/>
  <c r="D438" i="7"/>
  <c r="E438" i="7"/>
  <c r="F438" i="7"/>
  <c r="B439" i="7"/>
  <c r="C439" i="7"/>
  <c r="D439" i="7"/>
  <c r="E439" i="7"/>
  <c r="F439" i="7"/>
  <c r="B440" i="7"/>
  <c r="C440" i="7"/>
  <c r="D440" i="7"/>
  <c r="E440" i="7"/>
  <c r="F440" i="7"/>
  <c r="B441" i="7"/>
  <c r="C441" i="7"/>
  <c r="D441" i="7"/>
  <c r="E441" i="7"/>
  <c r="F441" i="7"/>
  <c r="B442" i="7"/>
  <c r="C442" i="7"/>
  <c r="D442" i="7"/>
  <c r="E442" i="7"/>
  <c r="F442" i="7"/>
  <c r="B443" i="7"/>
  <c r="C443" i="7"/>
  <c r="D443" i="7"/>
  <c r="E443" i="7"/>
  <c r="F443" i="7"/>
  <c r="B444" i="7"/>
  <c r="C444" i="7"/>
  <c r="D444" i="7"/>
  <c r="E444" i="7"/>
  <c r="F444" i="7"/>
  <c r="B445" i="7"/>
  <c r="C445" i="7"/>
  <c r="D445" i="7"/>
  <c r="E445" i="7"/>
  <c r="F445" i="7"/>
  <c r="B446" i="7"/>
  <c r="C446" i="7"/>
  <c r="D446" i="7"/>
  <c r="E446" i="7"/>
  <c r="F446" i="7"/>
  <c r="B447" i="7"/>
  <c r="C447" i="7"/>
  <c r="D447" i="7"/>
  <c r="E447" i="7"/>
  <c r="F447" i="7"/>
  <c r="B448" i="7"/>
  <c r="C448" i="7"/>
  <c r="D448" i="7"/>
  <c r="E448" i="7"/>
  <c r="F448" i="7"/>
  <c r="B449" i="7"/>
  <c r="C449" i="7"/>
  <c r="D449" i="7"/>
  <c r="E449" i="7"/>
  <c r="F449" i="7"/>
  <c r="B450" i="7"/>
  <c r="C450" i="7"/>
  <c r="D450" i="7"/>
  <c r="E450" i="7"/>
  <c r="F450" i="7"/>
  <c r="B451" i="7"/>
  <c r="C451" i="7"/>
  <c r="D451" i="7"/>
  <c r="E451" i="7"/>
  <c r="F451" i="7"/>
  <c r="B452" i="7"/>
  <c r="C452" i="7"/>
  <c r="D452" i="7"/>
  <c r="E452" i="7"/>
  <c r="F452" i="7"/>
  <c r="B453" i="7"/>
  <c r="C453" i="7"/>
  <c r="D453" i="7"/>
  <c r="E453" i="7"/>
  <c r="F453" i="7"/>
  <c r="B454" i="7"/>
  <c r="C454" i="7"/>
  <c r="D454" i="7"/>
  <c r="E454" i="7"/>
  <c r="F454" i="7"/>
  <c r="B455" i="7"/>
  <c r="C455" i="7"/>
  <c r="D455" i="7"/>
  <c r="E455" i="7"/>
  <c r="F455" i="7"/>
  <c r="B456" i="7"/>
  <c r="C456" i="7"/>
  <c r="D456" i="7"/>
  <c r="E456" i="7"/>
  <c r="F456" i="7"/>
  <c r="B457" i="7"/>
  <c r="C457" i="7"/>
  <c r="D457" i="7"/>
  <c r="E457" i="7"/>
  <c r="F457" i="7"/>
  <c r="B458" i="7"/>
  <c r="C458" i="7"/>
  <c r="D458" i="7"/>
  <c r="E458" i="7"/>
  <c r="F458" i="7"/>
  <c r="B459" i="7"/>
  <c r="C459" i="7"/>
  <c r="D459" i="7"/>
  <c r="E459" i="7"/>
  <c r="F459" i="7"/>
  <c r="B460" i="7"/>
  <c r="C460" i="7"/>
  <c r="D460" i="7"/>
  <c r="E460" i="7"/>
  <c r="F460" i="7"/>
  <c r="B461" i="7"/>
  <c r="C461" i="7"/>
  <c r="D461" i="7"/>
  <c r="E461" i="7"/>
  <c r="F461" i="7"/>
  <c r="B462" i="7"/>
  <c r="C462" i="7"/>
  <c r="D462" i="7"/>
  <c r="E462" i="7"/>
  <c r="F462" i="7"/>
  <c r="B463" i="7"/>
  <c r="C463" i="7"/>
  <c r="D463" i="7"/>
  <c r="E463" i="7"/>
  <c r="F463" i="7"/>
  <c r="B464" i="7"/>
  <c r="C464" i="7"/>
  <c r="D464" i="7"/>
  <c r="E464" i="7"/>
  <c r="F464" i="7"/>
  <c r="B465" i="7"/>
  <c r="C465" i="7"/>
  <c r="D465" i="7"/>
  <c r="E465" i="7"/>
  <c r="F465" i="7"/>
  <c r="B466" i="7"/>
  <c r="C466" i="7"/>
  <c r="D466" i="7"/>
  <c r="E466" i="7"/>
  <c r="F466" i="7"/>
  <c r="B467" i="7"/>
  <c r="C467" i="7"/>
  <c r="D467" i="7"/>
  <c r="E467" i="7"/>
  <c r="F467" i="7"/>
  <c r="B468" i="7"/>
  <c r="C468" i="7"/>
  <c r="D468" i="7"/>
  <c r="E468" i="7"/>
  <c r="F468" i="7"/>
  <c r="B469" i="7"/>
  <c r="C469" i="7"/>
  <c r="D469" i="7"/>
  <c r="E469" i="7"/>
  <c r="F469" i="7"/>
  <c r="B470" i="7"/>
  <c r="C470" i="7"/>
  <c r="D470" i="7"/>
  <c r="E470" i="7"/>
  <c r="F470" i="7"/>
  <c r="B471" i="7"/>
  <c r="C471" i="7"/>
  <c r="D471" i="7"/>
  <c r="E471" i="7"/>
  <c r="F471" i="7"/>
  <c r="B472" i="7"/>
  <c r="C472" i="7"/>
  <c r="D472" i="7"/>
  <c r="E472" i="7"/>
  <c r="F472" i="7"/>
  <c r="B473" i="7"/>
  <c r="C473" i="7"/>
  <c r="D473" i="7"/>
  <c r="E473" i="7"/>
  <c r="F473" i="7"/>
  <c r="B474" i="7"/>
  <c r="C474" i="7"/>
  <c r="D474" i="7"/>
  <c r="E474" i="7"/>
  <c r="F474" i="7"/>
  <c r="B475" i="7"/>
  <c r="C475" i="7"/>
  <c r="D475" i="7"/>
  <c r="E475" i="7"/>
  <c r="F475" i="7"/>
  <c r="B476" i="7"/>
  <c r="C476" i="7"/>
  <c r="D476" i="7"/>
  <c r="E476" i="7"/>
  <c r="F476" i="7"/>
  <c r="B477" i="7"/>
  <c r="C477" i="7"/>
  <c r="D477" i="7"/>
  <c r="E477" i="7"/>
  <c r="F477" i="7"/>
  <c r="B478" i="7"/>
  <c r="C478" i="7"/>
  <c r="D478" i="7"/>
  <c r="E478" i="7"/>
  <c r="F478" i="7"/>
  <c r="B479" i="7"/>
  <c r="C479" i="7"/>
  <c r="D479" i="7"/>
  <c r="E479" i="7"/>
  <c r="F479" i="7"/>
  <c r="B480" i="7"/>
  <c r="C480" i="7"/>
  <c r="D480" i="7"/>
  <c r="E480" i="7"/>
  <c r="F480" i="7"/>
  <c r="B481" i="7"/>
  <c r="C481" i="7"/>
  <c r="D481" i="7"/>
  <c r="E481" i="7"/>
  <c r="F481" i="7"/>
  <c r="B482" i="7"/>
  <c r="C482" i="7"/>
  <c r="D482" i="7"/>
  <c r="E482" i="7"/>
  <c r="F482" i="7"/>
  <c r="B483" i="7"/>
  <c r="C483" i="7"/>
  <c r="D483" i="7"/>
  <c r="E483" i="7"/>
  <c r="F483" i="7"/>
  <c r="B484" i="7"/>
  <c r="C484" i="7"/>
  <c r="D484" i="7"/>
  <c r="E484" i="7"/>
  <c r="F484" i="7"/>
  <c r="B485" i="7"/>
  <c r="C485" i="7"/>
  <c r="D485" i="7"/>
  <c r="E485" i="7"/>
  <c r="F485" i="7"/>
  <c r="B486" i="7"/>
  <c r="C486" i="7"/>
  <c r="D486" i="7"/>
  <c r="E486" i="7"/>
  <c r="F486" i="7"/>
  <c r="B487" i="7"/>
  <c r="C487" i="7"/>
  <c r="D487" i="7"/>
  <c r="E487" i="7"/>
  <c r="F487" i="7"/>
  <c r="B488" i="7"/>
  <c r="C488" i="7"/>
  <c r="D488" i="7"/>
  <c r="E488" i="7"/>
  <c r="F488" i="7"/>
  <c r="B489" i="7"/>
  <c r="C489" i="7"/>
  <c r="D489" i="7"/>
  <c r="E489" i="7"/>
  <c r="F489" i="7"/>
  <c r="B490" i="7"/>
  <c r="C490" i="7"/>
  <c r="D490" i="7"/>
  <c r="E490" i="7"/>
  <c r="F490" i="7"/>
  <c r="B491" i="7"/>
  <c r="C491" i="7"/>
  <c r="D491" i="7"/>
  <c r="E491" i="7"/>
  <c r="F491" i="7"/>
  <c r="B492" i="7"/>
  <c r="C492" i="7"/>
  <c r="D492" i="7"/>
  <c r="E492" i="7"/>
  <c r="F492" i="7"/>
  <c r="B493" i="7"/>
  <c r="C493" i="7"/>
  <c r="D493" i="7"/>
  <c r="E493" i="7"/>
  <c r="F493" i="7"/>
  <c r="B494" i="7"/>
  <c r="C494" i="7"/>
  <c r="D494" i="7"/>
  <c r="E494" i="7"/>
  <c r="F494" i="7"/>
  <c r="B495" i="7"/>
  <c r="C495" i="7"/>
  <c r="D495" i="7"/>
  <c r="E495" i="7"/>
  <c r="F495" i="7"/>
  <c r="B496" i="7"/>
  <c r="C496" i="7"/>
  <c r="D496" i="7"/>
  <c r="E496" i="7"/>
  <c r="F496" i="7"/>
  <c r="B497" i="7"/>
  <c r="C497" i="7"/>
  <c r="D497" i="7"/>
  <c r="E497" i="7"/>
  <c r="F497" i="7"/>
  <c r="B498" i="7"/>
  <c r="C498" i="7"/>
  <c r="D498" i="7"/>
  <c r="E498" i="7"/>
  <c r="F498" i="7"/>
  <c r="B499" i="7"/>
  <c r="C499" i="7"/>
  <c r="D499" i="7"/>
  <c r="E499" i="7"/>
  <c r="F499" i="7"/>
  <c r="B500" i="7"/>
  <c r="C500" i="7"/>
  <c r="D500" i="7"/>
  <c r="E500" i="7"/>
  <c r="F500" i="7"/>
  <c r="B501" i="7"/>
  <c r="C501" i="7"/>
  <c r="D501" i="7"/>
  <c r="E501" i="7"/>
  <c r="F501" i="7"/>
  <c r="B502" i="7"/>
  <c r="C502" i="7"/>
  <c r="D502" i="7"/>
  <c r="E502" i="7"/>
  <c r="F502" i="7"/>
  <c r="B503" i="7"/>
  <c r="C503" i="7"/>
  <c r="D503" i="7"/>
  <c r="E503" i="7"/>
  <c r="F503" i="7"/>
  <c r="B504" i="7"/>
  <c r="C504" i="7"/>
  <c r="D504" i="7"/>
  <c r="E504" i="7"/>
  <c r="F504" i="7"/>
  <c r="B505" i="7"/>
  <c r="C505" i="7"/>
  <c r="D505" i="7"/>
  <c r="E505" i="7"/>
  <c r="F505" i="7"/>
  <c r="B506" i="7"/>
  <c r="C506" i="7"/>
  <c r="D506" i="7"/>
  <c r="E506" i="7"/>
  <c r="F506" i="7"/>
  <c r="B507" i="7"/>
  <c r="C507" i="7"/>
  <c r="D507" i="7"/>
  <c r="E507" i="7"/>
  <c r="F507" i="7"/>
  <c r="B508" i="7"/>
  <c r="C508" i="7"/>
  <c r="D508" i="7"/>
  <c r="E508" i="7"/>
  <c r="F508" i="7"/>
  <c r="B509" i="7"/>
  <c r="C509" i="7"/>
  <c r="D509" i="7"/>
  <c r="E509" i="7"/>
  <c r="F509" i="7"/>
  <c r="B510" i="7"/>
  <c r="C510" i="7"/>
  <c r="D510" i="7"/>
  <c r="E510" i="7"/>
  <c r="F510" i="7"/>
  <c r="B511" i="7"/>
  <c r="C511" i="7"/>
  <c r="D511" i="7"/>
  <c r="E511" i="7"/>
  <c r="F511" i="7"/>
  <c r="B512" i="7"/>
  <c r="C512" i="7"/>
  <c r="D512" i="7"/>
  <c r="E512" i="7"/>
  <c r="F512" i="7"/>
  <c r="B513" i="7"/>
  <c r="C513" i="7"/>
  <c r="D513" i="7"/>
  <c r="E513" i="7"/>
  <c r="F513" i="7"/>
  <c r="B514" i="7"/>
  <c r="C514" i="7"/>
  <c r="D514" i="7"/>
  <c r="E514" i="7"/>
  <c r="F514" i="7"/>
  <c r="B515" i="7"/>
  <c r="C515" i="7"/>
  <c r="D515" i="7"/>
  <c r="E515" i="7"/>
  <c r="F515" i="7"/>
  <c r="B516" i="7"/>
  <c r="C516" i="7"/>
  <c r="D516" i="7"/>
  <c r="E516" i="7"/>
  <c r="F516" i="7"/>
  <c r="B517" i="7"/>
  <c r="C517" i="7"/>
  <c r="D517" i="7"/>
  <c r="E517" i="7"/>
  <c r="F517" i="7"/>
  <c r="B518" i="7"/>
  <c r="C518" i="7"/>
  <c r="D518" i="7"/>
  <c r="E518" i="7"/>
  <c r="F518" i="7"/>
  <c r="B519" i="7"/>
  <c r="C519" i="7"/>
  <c r="D519" i="7"/>
  <c r="E519" i="7"/>
  <c r="F519" i="7"/>
  <c r="B520" i="7"/>
  <c r="C520" i="7"/>
  <c r="D520" i="7"/>
  <c r="E520" i="7"/>
  <c r="F520" i="7"/>
  <c r="B521" i="7"/>
  <c r="C521" i="7"/>
  <c r="D521" i="7"/>
  <c r="E521" i="7"/>
  <c r="F521" i="7"/>
  <c r="B522" i="7"/>
  <c r="C522" i="7"/>
  <c r="D522" i="7"/>
  <c r="E522" i="7"/>
  <c r="F522" i="7"/>
  <c r="B523" i="7"/>
  <c r="C523" i="7"/>
  <c r="D523" i="7"/>
  <c r="E523" i="7"/>
  <c r="F523" i="7"/>
  <c r="B524" i="7"/>
  <c r="C524" i="7"/>
  <c r="D524" i="7"/>
  <c r="E524" i="7"/>
  <c r="F524" i="7"/>
  <c r="B525" i="7"/>
  <c r="C525" i="7"/>
  <c r="D525" i="7"/>
  <c r="E525" i="7"/>
  <c r="F525" i="7"/>
  <c r="B526" i="7"/>
  <c r="C526" i="7"/>
  <c r="D526" i="7"/>
  <c r="E526" i="7"/>
  <c r="F526" i="7"/>
  <c r="B527" i="7"/>
  <c r="C527" i="7"/>
  <c r="D527" i="7"/>
  <c r="E527" i="7"/>
  <c r="F527" i="7"/>
  <c r="B528" i="7"/>
  <c r="C528" i="7"/>
  <c r="D528" i="7"/>
  <c r="E528" i="7"/>
  <c r="F528" i="7"/>
  <c r="B529" i="7"/>
  <c r="C529" i="7"/>
  <c r="D529" i="7"/>
  <c r="E529" i="7"/>
  <c r="F529" i="7"/>
  <c r="B530" i="7"/>
  <c r="C530" i="7"/>
  <c r="D530" i="7"/>
  <c r="E530" i="7"/>
  <c r="F530" i="7"/>
  <c r="B531" i="7"/>
  <c r="C531" i="7"/>
  <c r="D531" i="7"/>
  <c r="E531" i="7"/>
  <c r="F531" i="7"/>
  <c r="B532" i="7"/>
  <c r="C532" i="7"/>
  <c r="D532" i="7"/>
  <c r="E532" i="7"/>
  <c r="F532" i="7"/>
  <c r="B533" i="7"/>
  <c r="C533" i="7"/>
  <c r="D533" i="7"/>
  <c r="E533" i="7"/>
  <c r="F533" i="7"/>
  <c r="B534" i="7"/>
  <c r="C534" i="7"/>
  <c r="D534" i="7"/>
  <c r="E534" i="7"/>
  <c r="F534" i="7"/>
  <c r="B535" i="7"/>
  <c r="C535" i="7"/>
  <c r="D535" i="7"/>
  <c r="E535" i="7"/>
  <c r="F535" i="7"/>
  <c r="B536" i="7"/>
  <c r="C536" i="7"/>
  <c r="D536" i="7"/>
  <c r="E536" i="7"/>
  <c r="F536" i="7"/>
  <c r="B537" i="7"/>
  <c r="C537" i="7"/>
  <c r="D537" i="7"/>
  <c r="E537" i="7"/>
  <c r="F537" i="7"/>
  <c r="B538" i="7"/>
  <c r="C538" i="7"/>
  <c r="D538" i="7"/>
  <c r="E538" i="7"/>
  <c r="F538" i="7"/>
  <c r="B539" i="7"/>
  <c r="C539" i="7"/>
  <c r="D539" i="7"/>
  <c r="E539" i="7"/>
  <c r="F539" i="7"/>
  <c r="B540" i="7"/>
  <c r="C540" i="7"/>
  <c r="D540" i="7"/>
  <c r="E540" i="7"/>
  <c r="F540" i="7"/>
  <c r="B541" i="7"/>
  <c r="C541" i="7"/>
  <c r="D541" i="7"/>
  <c r="E541" i="7"/>
  <c r="F541" i="7"/>
  <c r="B542" i="7"/>
  <c r="C542" i="7"/>
  <c r="D542" i="7"/>
  <c r="E542" i="7"/>
  <c r="F542" i="7"/>
  <c r="B543" i="7"/>
  <c r="C543" i="7"/>
  <c r="D543" i="7"/>
  <c r="E543" i="7"/>
  <c r="F543" i="7"/>
  <c r="B544" i="7"/>
  <c r="C544" i="7"/>
  <c r="D544" i="7"/>
  <c r="E544" i="7"/>
  <c r="F544" i="7"/>
  <c r="B545" i="7"/>
  <c r="C545" i="7"/>
  <c r="D545" i="7"/>
  <c r="E545" i="7"/>
  <c r="F545" i="7"/>
  <c r="B546" i="7"/>
  <c r="C546" i="7"/>
  <c r="D546" i="7"/>
  <c r="E546" i="7"/>
  <c r="F546" i="7"/>
  <c r="B547" i="7"/>
  <c r="C547" i="7"/>
  <c r="D547" i="7"/>
  <c r="E547" i="7"/>
  <c r="F547" i="7"/>
  <c r="B548" i="7"/>
  <c r="C548" i="7"/>
  <c r="D548" i="7"/>
  <c r="E548" i="7"/>
  <c r="F548" i="7"/>
  <c r="B549" i="7"/>
  <c r="C549" i="7"/>
  <c r="D549" i="7"/>
  <c r="E549" i="7"/>
  <c r="F549" i="7"/>
  <c r="B550" i="7"/>
  <c r="C550" i="7"/>
  <c r="D550" i="7"/>
  <c r="E550" i="7"/>
  <c r="F550" i="7"/>
  <c r="B551" i="7"/>
  <c r="C551" i="7"/>
  <c r="D551" i="7"/>
  <c r="E551" i="7"/>
  <c r="F551" i="7"/>
  <c r="B552" i="7"/>
  <c r="C552" i="7"/>
  <c r="D552" i="7"/>
  <c r="E552" i="7"/>
  <c r="F552" i="7"/>
  <c r="B553" i="7"/>
  <c r="C553" i="7"/>
  <c r="D553" i="7"/>
  <c r="E553" i="7"/>
  <c r="F553" i="7"/>
  <c r="B554" i="7"/>
  <c r="C554" i="7"/>
  <c r="D554" i="7"/>
  <c r="E554" i="7"/>
  <c r="F554" i="7"/>
  <c r="B555" i="7"/>
  <c r="C555" i="7"/>
  <c r="D555" i="7"/>
  <c r="E555" i="7"/>
  <c r="F555" i="7"/>
  <c r="B556" i="7"/>
  <c r="C556" i="7"/>
  <c r="D556" i="7"/>
  <c r="E556" i="7"/>
  <c r="F556" i="7"/>
  <c r="B557" i="7"/>
  <c r="C557" i="7"/>
  <c r="D557" i="7"/>
  <c r="E557" i="7"/>
  <c r="F557" i="7"/>
  <c r="B558" i="7"/>
  <c r="C558" i="7"/>
  <c r="D558" i="7"/>
  <c r="E558" i="7"/>
  <c r="F558" i="7"/>
  <c r="B559" i="7"/>
  <c r="C559" i="7"/>
  <c r="D559" i="7"/>
  <c r="E559" i="7"/>
  <c r="F559" i="7"/>
  <c r="B560" i="7"/>
  <c r="C560" i="7"/>
  <c r="D560" i="7"/>
  <c r="E560" i="7"/>
  <c r="F560" i="7"/>
  <c r="B561" i="7"/>
  <c r="C561" i="7"/>
  <c r="D561" i="7"/>
  <c r="E561" i="7"/>
  <c r="F561" i="7"/>
  <c r="B562" i="7"/>
  <c r="C562" i="7"/>
  <c r="D562" i="7"/>
  <c r="E562" i="7"/>
  <c r="F562" i="7"/>
  <c r="B563" i="7"/>
  <c r="C563" i="7"/>
  <c r="D563" i="7"/>
  <c r="E563" i="7"/>
  <c r="F563" i="7"/>
  <c r="B564" i="7"/>
  <c r="C564" i="7"/>
  <c r="D564" i="7"/>
  <c r="E564" i="7"/>
  <c r="F564" i="7"/>
  <c r="B565" i="7"/>
  <c r="C565" i="7"/>
  <c r="D565" i="7"/>
  <c r="E565" i="7"/>
  <c r="F565" i="7"/>
  <c r="B566" i="7"/>
  <c r="C566" i="7"/>
  <c r="D566" i="7"/>
  <c r="E566" i="7"/>
  <c r="F566" i="7"/>
  <c r="B567" i="7"/>
  <c r="C567" i="7"/>
  <c r="D567" i="7"/>
  <c r="E567" i="7"/>
  <c r="F567" i="7"/>
  <c r="B568" i="7"/>
  <c r="C568" i="7"/>
  <c r="D568" i="7"/>
  <c r="E568" i="7"/>
  <c r="F568" i="7"/>
  <c r="B569" i="7"/>
  <c r="C569" i="7"/>
  <c r="D569" i="7"/>
  <c r="E569" i="7"/>
  <c r="F569" i="7"/>
  <c r="B570" i="7"/>
  <c r="C570" i="7"/>
  <c r="D570" i="7"/>
  <c r="E570" i="7"/>
  <c r="F570" i="7"/>
  <c r="B571" i="7"/>
  <c r="C571" i="7"/>
  <c r="D571" i="7"/>
  <c r="E571" i="7"/>
  <c r="F571" i="7"/>
  <c r="B572" i="7"/>
  <c r="C572" i="7"/>
  <c r="D572" i="7"/>
  <c r="E572" i="7"/>
  <c r="F572" i="7"/>
  <c r="B573" i="7"/>
  <c r="C573" i="7"/>
  <c r="D573" i="7"/>
  <c r="E573" i="7"/>
  <c r="F573" i="7"/>
  <c r="B574" i="7"/>
  <c r="C574" i="7"/>
  <c r="D574" i="7"/>
  <c r="E574" i="7"/>
  <c r="F574" i="7"/>
  <c r="B575" i="7"/>
  <c r="C575" i="7"/>
  <c r="D575" i="7"/>
  <c r="E575" i="7"/>
  <c r="F575" i="7"/>
  <c r="B576" i="7"/>
  <c r="C576" i="7"/>
  <c r="D576" i="7"/>
  <c r="E576" i="7"/>
  <c r="F576" i="7"/>
  <c r="B577" i="7"/>
  <c r="C577" i="7"/>
  <c r="D577" i="7"/>
  <c r="E577" i="7"/>
  <c r="F577" i="7"/>
  <c r="B578" i="7"/>
  <c r="C578" i="7"/>
  <c r="D578" i="7"/>
  <c r="E578" i="7"/>
  <c r="F578" i="7"/>
  <c r="B579" i="7"/>
  <c r="C579" i="7"/>
  <c r="D579" i="7"/>
  <c r="E579" i="7"/>
  <c r="F579" i="7"/>
  <c r="B580" i="7"/>
  <c r="C580" i="7"/>
  <c r="D580" i="7"/>
  <c r="E580" i="7"/>
  <c r="F580" i="7"/>
  <c r="B581" i="7"/>
  <c r="C581" i="7"/>
  <c r="D581" i="7"/>
  <c r="E581" i="7"/>
  <c r="F581" i="7"/>
  <c r="B582" i="7"/>
  <c r="C582" i="7"/>
  <c r="D582" i="7"/>
  <c r="E582" i="7"/>
  <c r="F582" i="7"/>
  <c r="B583" i="7"/>
  <c r="C583" i="7"/>
  <c r="D583" i="7"/>
  <c r="E583" i="7"/>
  <c r="F583" i="7"/>
  <c r="B584" i="7"/>
  <c r="C584" i="7"/>
  <c r="D584" i="7"/>
  <c r="E584" i="7"/>
  <c r="F584" i="7"/>
  <c r="B585" i="7"/>
  <c r="C585" i="7"/>
  <c r="D585" i="7"/>
  <c r="E585" i="7"/>
  <c r="F585" i="7"/>
  <c r="B586" i="7"/>
  <c r="C586" i="7"/>
  <c r="D586" i="7"/>
  <c r="E586" i="7"/>
  <c r="F586" i="7"/>
  <c r="B587" i="7"/>
  <c r="C587" i="7"/>
  <c r="D587" i="7"/>
  <c r="E587" i="7"/>
  <c r="F587" i="7"/>
  <c r="B588" i="7"/>
  <c r="C588" i="7"/>
  <c r="D588" i="7"/>
  <c r="E588" i="7"/>
  <c r="F588" i="7"/>
  <c r="B589" i="7"/>
  <c r="C589" i="7"/>
  <c r="D589" i="7"/>
  <c r="E589" i="7"/>
  <c r="F589" i="7"/>
  <c r="B590" i="7"/>
  <c r="C590" i="7"/>
  <c r="D590" i="7"/>
  <c r="E590" i="7"/>
  <c r="F590" i="7"/>
  <c r="B591" i="7"/>
  <c r="C591" i="7"/>
  <c r="D591" i="7"/>
  <c r="E591" i="7"/>
  <c r="F591" i="7"/>
  <c r="B592" i="7"/>
  <c r="C592" i="7"/>
  <c r="D592" i="7"/>
  <c r="E592" i="7"/>
  <c r="F592" i="7"/>
  <c r="B593" i="7"/>
  <c r="C593" i="7"/>
  <c r="D593" i="7"/>
  <c r="E593" i="7"/>
  <c r="F593" i="7"/>
  <c r="B594" i="7"/>
  <c r="C594" i="7"/>
  <c r="D594" i="7"/>
  <c r="E594" i="7"/>
  <c r="F594" i="7"/>
  <c r="B595" i="7"/>
  <c r="C595" i="7"/>
  <c r="D595" i="7"/>
  <c r="E595" i="7"/>
  <c r="F595" i="7"/>
  <c r="B596" i="7"/>
  <c r="C596" i="7"/>
  <c r="D596" i="7"/>
  <c r="E596" i="7"/>
  <c r="F596" i="7"/>
  <c r="B597" i="7"/>
  <c r="C597" i="7"/>
  <c r="D597" i="7"/>
  <c r="E597" i="7"/>
  <c r="F597" i="7"/>
  <c r="B598" i="7"/>
  <c r="C598" i="7"/>
  <c r="D598" i="7"/>
  <c r="E598" i="7"/>
  <c r="F598" i="7"/>
  <c r="B599" i="7"/>
  <c r="C599" i="7"/>
  <c r="D599" i="7"/>
  <c r="E599" i="7"/>
  <c r="F599" i="7"/>
  <c r="B600" i="7"/>
  <c r="C600" i="7"/>
  <c r="D600" i="7"/>
  <c r="E600" i="7"/>
  <c r="F600" i="7"/>
  <c r="B601" i="7"/>
  <c r="C601" i="7"/>
  <c r="D601" i="7"/>
  <c r="E601" i="7"/>
  <c r="F601" i="7"/>
  <c r="B602" i="7"/>
  <c r="C602" i="7"/>
  <c r="D602" i="7"/>
  <c r="E602" i="7"/>
  <c r="F602" i="7"/>
  <c r="B603" i="7"/>
  <c r="C603" i="7"/>
  <c r="D603" i="7"/>
  <c r="E603" i="7"/>
  <c r="F603" i="7"/>
  <c r="B604" i="7"/>
  <c r="C604" i="7"/>
  <c r="D604" i="7"/>
  <c r="E604" i="7"/>
  <c r="F604" i="7"/>
  <c r="B605" i="7"/>
  <c r="C605" i="7"/>
  <c r="D605" i="7"/>
  <c r="E605" i="7"/>
  <c r="F605" i="7"/>
  <c r="B606" i="7"/>
  <c r="C606" i="7"/>
  <c r="D606" i="7"/>
  <c r="E606" i="7"/>
  <c r="F606" i="7"/>
  <c r="B607" i="7"/>
  <c r="C607" i="7"/>
  <c r="D607" i="7"/>
  <c r="E607" i="7"/>
  <c r="F607" i="7"/>
  <c r="B608" i="7"/>
  <c r="C608" i="7"/>
  <c r="D608" i="7"/>
  <c r="E608" i="7"/>
  <c r="F608" i="7"/>
  <c r="B609" i="7"/>
  <c r="C609" i="7"/>
  <c r="D609" i="7"/>
  <c r="E609" i="7"/>
  <c r="F609" i="7"/>
  <c r="B610" i="7"/>
  <c r="C610" i="7"/>
  <c r="D610" i="7"/>
  <c r="E610" i="7"/>
  <c r="F610" i="7"/>
  <c r="B611" i="7"/>
  <c r="C611" i="7"/>
  <c r="D611" i="7"/>
  <c r="E611" i="7"/>
  <c r="F611" i="7"/>
  <c r="B612" i="7"/>
  <c r="C612" i="7"/>
  <c r="D612" i="7"/>
  <c r="E612" i="7"/>
  <c r="F612" i="7"/>
  <c r="B613" i="7"/>
  <c r="C613" i="7"/>
  <c r="D613" i="7"/>
  <c r="E613" i="7"/>
  <c r="F613" i="7"/>
  <c r="B614" i="7"/>
  <c r="C614" i="7"/>
  <c r="D614" i="7"/>
  <c r="E614" i="7"/>
  <c r="F614" i="7"/>
  <c r="B615" i="7"/>
  <c r="C615" i="7"/>
  <c r="D615" i="7"/>
  <c r="E615" i="7"/>
  <c r="F615" i="7"/>
  <c r="B616" i="7"/>
  <c r="C616" i="7"/>
  <c r="D616" i="7"/>
  <c r="E616" i="7"/>
  <c r="F616" i="7"/>
  <c r="B617" i="7"/>
  <c r="C617" i="7"/>
  <c r="D617" i="7"/>
  <c r="E617" i="7"/>
  <c r="F617" i="7"/>
  <c r="B618" i="7"/>
  <c r="C618" i="7"/>
  <c r="D618" i="7"/>
  <c r="E618" i="7"/>
  <c r="F618" i="7"/>
  <c r="B619" i="7"/>
  <c r="C619" i="7"/>
  <c r="D619" i="7"/>
  <c r="E619" i="7"/>
  <c r="F619" i="7"/>
  <c r="B620" i="7"/>
  <c r="C620" i="7"/>
  <c r="D620" i="7"/>
  <c r="E620" i="7"/>
  <c r="F620" i="7"/>
  <c r="B621" i="7"/>
  <c r="C621" i="7"/>
  <c r="D621" i="7"/>
  <c r="E621" i="7"/>
  <c r="F621" i="7"/>
  <c r="B622" i="7"/>
  <c r="C622" i="7"/>
  <c r="D622" i="7"/>
  <c r="E622" i="7"/>
  <c r="F622" i="7"/>
  <c r="B623" i="7"/>
  <c r="C623" i="7"/>
  <c r="D623" i="7"/>
  <c r="E623" i="7"/>
  <c r="F623" i="7"/>
  <c r="B624" i="7"/>
  <c r="C624" i="7"/>
  <c r="D624" i="7"/>
  <c r="E624" i="7"/>
  <c r="F624" i="7"/>
  <c r="B625" i="7"/>
  <c r="C625" i="7"/>
  <c r="D625" i="7"/>
  <c r="E625" i="7"/>
  <c r="F625" i="7"/>
  <c r="B626" i="7"/>
  <c r="C626" i="7"/>
  <c r="D626" i="7"/>
  <c r="E626" i="7"/>
  <c r="F626" i="7"/>
  <c r="B627" i="7"/>
  <c r="C627" i="7"/>
  <c r="D627" i="7"/>
  <c r="E627" i="7"/>
  <c r="F627" i="7"/>
  <c r="B628" i="7"/>
  <c r="C628" i="7"/>
  <c r="D628" i="7"/>
  <c r="E628" i="7"/>
  <c r="F628" i="7"/>
  <c r="B629" i="7"/>
  <c r="C629" i="7"/>
  <c r="D629" i="7"/>
  <c r="E629" i="7"/>
  <c r="F629" i="7"/>
  <c r="B630" i="7"/>
  <c r="C630" i="7"/>
  <c r="D630" i="7"/>
  <c r="E630" i="7"/>
  <c r="F630" i="7"/>
  <c r="B631" i="7"/>
  <c r="C631" i="7"/>
  <c r="D631" i="7"/>
  <c r="E631" i="7"/>
  <c r="F631" i="7"/>
  <c r="B632" i="7"/>
  <c r="C632" i="7"/>
  <c r="D632" i="7"/>
  <c r="E632" i="7"/>
  <c r="F632" i="7"/>
  <c r="B633" i="7"/>
  <c r="C633" i="7"/>
  <c r="D633" i="7"/>
  <c r="E633" i="7"/>
  <c r="F633" i="7"/>
  <c r="B634" i="7"/>
  <c r="C634" i="7"/>
  <c r="D634" i="7"/>
  <c r="E634" i="7"/>
  <c r="F634" i="7"/>
  <c r="B635" i="7"/>
  <c r="C635" i="7"/>
  <c r="D635" i="7"/>
  <c r="E635" i="7"/>
  <c r="F635" i="7"/>
  <c r="B636" i="7"/>
  <c r="C636" i="7"/>
  <c r="D636" i="7"/>
  <c r="E636" i="7"/>
  <c r="F636" i="7"/>
  <c r="B637" i="7"/>
  <c r="C637" i="7"/>
  <c r="D637" i="7"/>
  <c r="E637" i="7"/>
  <c r="F637" i="7"/>
  <c r="B638" i="7"/>
  <c r="C638" i="7"/>
  <c r="D638" i="7"/>
  <c r="E638" i="7"/>
  <c r="F638" i="7"/>
  <c r="B639" i="7"/>
  <c r="C639" i="7"/>
  <c r="D639" i="7"/>
  <c r="E639" i="7"/>
  <c r="F639" i="7"/>
  <c r="B640" i="7"/>
  <c r="C640" i="7"/>
  <c r="D640" i="7"/>
  <c r="E640" i="7"/>
  <c r="F640" i="7"/>
  <c r="B641" i="7"/>
  <c r="C641" i="7"/>
  <c r="D641" i="7"/>
  <c r="E641" i="7"/>
  <c r="F641" i="7"/>
  <c r="B642" i="7"/>
  <c r="C642" i="7"/>
  <c r="D642" i="7"/>
  <c r="E642" i="7"/>
  <c r="F642" i="7"/>
  <c r="B643" i="7"/>
  <c r="C643" i="7"/>
  <c r="D643" i="7"/>
  <c r="E643" i="7"/>
  <c r="F643" i="7"/>
  <c r="B644" i="7"/>
  <c r="C644" i="7"/>
  <c r="D644" i="7"/>
  <c r="E644" i="7"/>
  <c r="F644" i="7"/>
  <c r="B645" i="7"/>
  <c r="C645" i="7"/>
  <c r="D645" i="7"/>
  <c r="E645" i="7"/>
  <c r="F645" i="7"/>
  <c r="B646" i="7"/>
  <c r="C646" i="7"/>
  <c r="D646" i="7"/>
  <c r="E646" i="7"/>
  <c r="F646" i="7"/>
  <c r="B647" i="7"/>
  <c r="C647" i="7"/>
  <c r="D647" i="7"/>
  <c r="E647" i="7"/>
  <c r="F647" i="7"/>
  <c r="B648" i="7"/>
  <c r="C648" i="7"/>
  <c r="D648" i="7"/>
  <c r="E648" i="7"/>
  <c r="F648" i="7"/>
  <c r="B649" i="7"/>
  <c r="C649" i="7"/>
  <c r="D649" i="7"/>
  <c r="E649" i="7"/>
  <c r="F649" i="7"/>
  <c r="B650" i="7"/>
  <c r="C650" i="7"/>
  <c r="D650" i="7"/>
  <c r="E650" i="7"/>
  <c r="F650" i="7"/>
  <c r="B651" i="7"/>
  <c r="C651" i="7"/>
  <c r="D651" i="7"/>
  <c r="E651" i="7"/>
  <c r="F651" i="7"/>
  <c r="B652" i="7"/>
  <c r="C652" i="7"/>
  <c r="D652" i="7"/>
  <c r="E652" i="7"/>
  <c r="F652" i="7"/>
  <c r="B653" i="7"/>
  <c r="C653" i="7"/>
  <c r="D653" i="7"/>
  <c r="E653" i="7"/>
  <c r="F653" i="7"/>
  <c r="B654" i="7"/>
  <c r="C654" i="7"/>
  <c r="D654" i="7"/>
  <c r="E654" i="7"/>
  <c r="F654" i="7"/>
  <c r="B655" i="7"/>
  <c r="C655" i="7"/>
  <c r="D655" i="7"/>
  <c r="E655" i="7"/>
  <c r="F655" i="7"/>
  <c r="B656" i="7"/>
  <c r="C656" i="7"/>
  <c r="D656" i="7"/>
  <c r="E656" i="7"/>
  <c r="F656" i="7"/>
  <c r="B657" i="7"/>
  <c r="C657" i="7"/>
  <c r="D657" i="7"/>
  <c r="E657" i="7"/>
  <c r="F657" i="7"/>
  <c r="B658" i="7"/>
  <c r="C658" i="7"/>
  <c r="D658" i="7"/>
  <c r="E658" i="7"/>
  <c r="F658" i="7"/>
  <c r="B659" i="7"/>
  <c r="C659" i="7"/>
  <c r="D659" i="7"/>
  <c r="E659" i="7"/>
  <c r="F659" i="7"/>
  <c r="B660" i="7"/>
  <c r="C660" i="7"/>
  <c r="D660" i="7"/>
  <c r="E660" i="7"/>
  <c r="F660" i="7"/>
  <c r="B661" i="7"/>
  <c r="C661" i="7"/>
  <c r="D661" i="7"/>
  <c r="E661" i="7"/>
  <c r="F661" i="7"/>
  <c r="B662" i="7"/>
  <c r="C662" i="7"/>
  <c r="D662" i="7"/>
  <c r="E662" i="7"/>
  <c r="F662" i="7"/>
  <c r="B663" i="7"/>
  <c r="C663" i="7"/>
  <c r="D663" i="7"/>
  <c r="E663" i="7"/>
  <c r="F663" i="7"/>
  <c r="B664" i="7"/>
  <c r="C664" i="7"/>
  <c r="D664" i="7"/>
  <c r="E664" i="7"/>
  <c r="F664" i="7"/>
  <c r="B665" i="7"/>
  <c r="C665" i="7"/>
  <c r="D665" i="7"/>
  <c r="E665" i="7"/>
  <c r="F665" i="7"/>
  <c r="B666" i="7"/>
  <c r="C666" i="7"/>
  <c r="D666" i="7"/>
  <c r="E666" i="7"/>
  <c r="F666" i="7"/>
  <c r="B667" i="7"/>
  <c r="C667" i="7"/>
  <c r="D667" i="7"/>
  <c r="E667" i="7"/>
  <c r="F667" i="7"/>
  <c r="B668" i="7"/>
  <c r="C668" i="7"/>
  <c r="D668" i="7"/>
  <c r="E668" i="7"/>
  <c r="F668" i="7"/>
  <c r="B669" i="7"/>
  <c r="C669" i="7"/>
  <c r="D669" i="7"/>
  <c r="E669" i="7"/>
  <c r="F669" i="7"/>
  <c r="B670" i="7"/>
  <c r="C670" i="7"/>
  <c r="D670" i="7"/>
  <c r="E670" i="7"/>
  <c r="F670" i="7"/>
  <c r="B671" i="7"/>
  <c r="C671" i="7"/>
  <c r="D671" i="7"/>
  <c r="E671" i="7"/>
  <c r="F671" i="7"/>
  <c r="B672" i="7"/>
  <c r="C672" i="7"/>
  <c r="D672" i="7"/>
  <c r="E672" i="7"/>
  <c r="F672" i="7"/>
  <c r="B673" i="7"/>
  <c r="C673" i="7"/>
  <c r="D673" i="7"/>
  <c r="E673" i="7"/>
  <c r="F673" i="7"/>
  <c r="B674" i="7"/>
  <c r="C674" i="7"/>
  <c r="D674" i="7"/>
  <c r="E674" i="7"/>
  <c r="F674" i="7"/>
  <c r="B675" i="7"/>
  <c r="C675" i="7"/>
  <c r="D675" i="7"/>
  <c r="E675" i="7"/>
  <c r="F675" i="7"/>
  <c r="B676" i="7"/>
  <c r="C676" i="7"/>
  <c r="D676" i="7"/>
  <c r="E676" i="7"/>
  <c r="F676" i="7"/>
  <c r="B677" i="7"/>
  <c r="C677" i="7"/>
  <c r="D677" i="7"/>
  <c r="E677" i="7"/>
  <c r="F677" i="7"/>
  <c r="B678" i="7"/>
  <c r="C678" i="7"/>
  <c r="D678" i="7"/>
  <c r="E678" i="7"/>
  <c r="F678" i="7"/>
  <c r="B679" i="7"/>
  <c r="C679" i="7"/>
  <c r="D679" i="7"/>
  <c r="E679" i="7"/>
  <c r="F679" i="7"/>
  <c r="B680" i="7"/>
  <c r="C680" i="7"/>
  <c r="D680" i="7"/>
  <c r="E680" i="7"/>
  <c r="F680" i="7"/>
  <c r="B681" i="7"/>
  <c r="C681" i="7"/>
  <c r="D681" i="7"/>
  <c r="E681" i="7"/>
  <c r="F681" i="7"/>
  <c r="B682" i="7"/>
  <c r="C682" i="7"/>
  <c r="D682" i="7"/>
  <c r="E682" i="7"/>
  <c r="F682" i="7"/>
  <c r="B683" i="7"/>
  <c r="C683" i="7"/>
  <c r="D683" i="7"/>
  <c r="E683" i="7"/>
  <c r="F683" i="7"/>
  <c r="B684" i="7"/>
  <c r="C684" i="7"/>
  <c r="D684" i="7"/>
  <c r="E684" i="7"/>
  <c r="F684" i="7"/>
  <c r="B685" i="7"/>
  <c r="C685" i="7"/>
  <c r="D685" i="7"/>
  <c r="E685" i="7"/>
  <c r="F685" i="7"/>
  <c r="B686" i="7"/>
  <c r="C686" i="7"/>
  <c r="D686" i="7"/>
  <c r="E686" i="7"/>
  <c r="F686" i="7"/>
  <c r="B687" i="7"/>
  <c r="C687" i="7"/>
  <c r="D687" i="7"/>
  <c r="E687" i="7"/>
  <c r="F687" i="7"/>
  <c r="B688" i="7"/>
  <c r="C688" i="7"/>
  <c r="D688" i="7"/>
  <c r="E688" i="7"/>
  <c r="F688" i="7"/>
  <c r="B689" i="7"/>
  <c r="C689" i="7"/>
  <c r="D689" i="7"/>
  <c r="E689" i="7"/>
  <c r="F689" i="7"/>
  <c r="B690" i="7"/>
  <c r="C690" i="7"/>
  <c r="D690" i="7"/>
  <c r="E690" i="7"/>
  <c r="F690" i="7"/>
  <c r="B691" i="7"/>
  <c r="C691" i="7"/>
  <c r="D691" i="7"/>
  <c r="E691" i="7"/>
  <c r="F691" i="7"/>
  <c r="B692" i="7"/>
  <c r="C692" i="7"/>
  <c r="D692" i="7"/>
  <c r="E692" i="7"/>
  <c r="F692" i="7"/>
  <c r="B693" i="7"/>
  <c r="C693" i="7"/>
  <c r="D693" i="7"/>
  <c r="E693" i="7"/>
  <c r="F693" i="7"/>
  <c r="B694" i="7"/>
  <c r="C694" i="7"/>
  <c r="D694" i="7"/>
  <c r="E694" i="7"/>
  <c r="F694" i="7"/>
  <c r="B695" i="7"/>
  <c r="C695" i="7"/>
  <c r="D695" i="7"/>
  <c r="E695" i="7"/>
  <c r="F695" i="7"/>
  <c r="B696" i="7"/>
  <c r="C696" i="7"/>
  <c r="D696" i="7"/>
  <c r="E696" i="7"/>
  <c r="F696" i="7"/>
  <c r="B697" i="7"/>
  <c r="C697" i="7"/>
  <c r="D697" i="7"/>
  <c r="E697" i="7"/>
  <c r="F697" i="7"/>
  <c r="B698" i="7"/>
  <c r="C698" i="7"/>
  <c r="D698" i="7"/>
  <c r="E698" i="7"/>
  <c r="F698" i="7"/>
  <c r="B699" i="7"/>
  <c r="C699" i="7"/>
  <c r="D699" i="7"/>
  <c r="E699" i="7"/>
  <c r="F699" i="7"/>
  <c r="B700" i="7"/>
  <c r="C700" i="7"/>
  <c r="D700" i="7"/>
  <c r="E700" i="7"/>
  <c r="F700" i="7"/>
  <c r="B701" i="7"/>
  <c r="C701" i="7"/>
  <c r="D701" i="7"/>
  <c r="E701" i="7"/>
  <c r="F701" i="7"/>
  <c r="B702" i="7"/>
  <c r="C702" i="7"/>
  <c r="D702" i="7"/>
  <c r="E702" i="7"/>
  <c r="F702" i="7"/>
  <c r="B703" i="7"/>
  <c r="C703" i="7"/>
  <c r="D703" i="7"/>
  <c r="E703" i="7"/>
  <c r="F703" i="7"/>
  <c r="B704" i="7"/>
  <c r="C704" i="7"/>
  <c r="D704" i="7"/>
  <c r="E704" i="7"/>
  <c r="F704" i="7"/>
  <c r="B705" i="7"/>
  <c r="C705" i="7"/>
  <c r="D705" i="7"/>
  <c r="E705" i="7"/>
  <c r="F705" i="7"/>
  <c r="B706" i="7"/>
  <c r="C706" i="7"/>
  <c r="D706" i="7"/>
  <c r="E706" i="7"/>
  <c r="F706" i="7"/>
  <c r="B707" i="7"/>
  <c r="C707" i="7"/>
  <c r="D707" i="7"/>
  <c r="E707" i="7"/>
  <c r="F707" i="7"/>
  <c r="B708" i="7"/>
  <c r="C708" i="7"/>
  <c r="D708" i="7"/>
  <c r="E708" i="7"/>
  <c r="F708" i="7"/>
  <c r="B709" i="7"/>
  <c r="C709" i="7"/>
  <c r="D709" i="7"/>
  <c r="E709" i="7"/>
  <c r="F709" i="7"/>
  <c r="B710" i="7"/>
  <c r="C710" i="7"/>
  <c r="D710" i="7"/>
  <c r="E710" i="7"/>
  <c r="F710" i="7"/>
  <c r="B711" i="7"/>
  <c r="C711" i="7"/>
  <c r="D711" i="7"/>
  <c r="E711" i="7"/>
  <c r="F711" i="7"/>
  <c r="B712" i="7"/>
  <c r="C712" i="7"/>
  <c r="D712" i="7"/>
  <c r="E712" i="7"/>
  <c r="F712" i="7"/>
  <c r="B713" i="7"/>
  <c r="C713" i="7"/>
  <c r="D713" i="7"/>
  <c r="E713" i="7"/>
  <c r="F713" i="7"/>
  <c r="B714" i="7"/>
  <c r="C714" i="7"/>
  <c r="D714" i="7"/>
  <c r="E714" i="7"/>
  <c r="F714" i="7"/>
  <c r="B715" i="7"/>
  <c r="C715" i="7"/>
  <c r="D715" i="7"/>
  <c r="E715" i="7"/>
  <c r="F715" i="7"/>
  <c r="B716" i="7"/>
  <c r="C716" i="7"/>
  <c r="D716" i="7"/>
  <c r="E716" i="7"/>
  <c r="F716" i="7"/>
  <c r="B717" i="7"/>
  <c r="C717" i="7"/>
  <c r="D717" i="7"/>
  <c r="E717" i="7"/>
  <c r="F717" i="7"/>
  <c r="B718" i="7"/>
  <c r="C718" i="7"/>
  <c r="D718" i="7"/>
  <c r="E718" i="7"/>
  <c r="F718" i="7"/>
  <c r="B719" i="7"/>
  <c r="C719" i="7"/>
  <c r="D719" i="7"/>
  <c r="E719" i="7"/>
  <c r="F719" i="7"/>
  <c r="B720" i="7"/>
  <c r="C720" i="7"/>
  <c r="D720" i="7"/>
  <c r="E720" i="7"/>
  <c r="F720" i="7"/>
  <c r="B721" i="7"/>
  <c r="C721" i="7"/>
  <c r="D721" i="7"/>
  <c r="E721" i="7"/>
  <c r="F721" i="7"/>
  <c r="B722" i="7"/>
  <c r="C722" i="7"/>
  <c r="D722" i="7"/>
  <c r="E722" i="7"/>
  <c r="F722" i="7"/>
  <c r="B723" i="7"/>
  <c r="C723" i="7"/>
  <c r="D723" i="7"/>
  <c r="E723" i="7"/>
  <c r="F723" i="7"/>
  <c r="B724" i="7"/>
  <c r="C724" i="7"/>
  <c r="D724" i="7"/>
  <c r="E724" i="7"/>
  <c r="F724" i="7"/>
  <c r="B725" i="7"/>
  <c r="C725" i="7"/>
  <c r="D725" i="7"/>
  <c r="E725" i="7"/>
  <c r="F725" i="7"/>
  <c r="B726" i="7"/>
  <c r="C726" i="7"/>
  <c r="D726" i="7"/>
  <c r="E726" i="7"/>
  <c r="F726" i="7"/>
  <c r="B727" i="7"/>
  <c r="C727" i="7"/>
  <c r="D727" i="7"/>
  <c r="E727" i="7"/>
  <c r="F727" i="7"/>
  <c r="B728" i="7"/>
  <c r="C728" i="7"/>
  <c r="D728" i="7"/>
  <c r="E728" i="7"/>
  <c r="F728" i="7"/>
  <c r="B729" i="7"/>
  <c r="C729" i="7"/>
  <c r="D729" i="7"/>
  <c r="E729" i="7"/>
  <c r="F729" i="7"/>
  <c r="B730" i="7"/>
  <c r="C730" i="7"/>
  <c r="D730" i="7"/>
  <c r="E730" i="7"/>
  <c r="F730" i="7"/>
  <c r="B731" i="7"/>
  <c r="C731" i="7"/>
  <c r="D731" i="7"/>
  <c r="E731" i="7"/>
  <c r="F731" i="7"/>
  <c r="B732" i="7"/>
  <c r="C732" i="7"/>
  <c r="D732" i="7"/>
  <c r="E732" i="7"/>
  <c r="F732" i="7"/>
  <c r="B733" i="7"/>
  <c r="C733" i="7"/>
  <c r="D733" i="7"/>
  <c r="E733" i="7"/>
  <c r="F733" i="7"/>
  <c r="B734" i="7"/>
  <c r="C734" i="7"/>
  <c r="D734" i="7"/>
  <c r="E734" i="7"/>
  <c r="F734" i="7"/>
  <c r="B735" i="7"/>
  <c r="C735" i="7"/>
  <c r="D735" i="7"/>
  <c r="E735" i="7"/>
  <c r="F735" i="7"/>
  <c r="B736" i="7"/>
  <c r="C736" i="7"/>
  <c r="D736" i="7"/>
  <c r="E736" i="7"/>
  <c r="F736" i="7"/>
  <c r="B737" i="7"/>
  <c r="C737" i="7"/>
  <c r="D737" i="7"/>
  <c r="E737" i="7"/>
  <c r="F737" i="7"/>
  <c r="B738" i="7"/>
  <c r="C738" i="7"/>
  <c r="D738" i="7"/>
  <c r="E738" i="7"/>
  <c r="F738" i="7"/>
  <c r="B739" i="7"/>
  <c r="C739" i="7"/>
  <c r="D739" i="7"/>
  <c r="E739" i="7"/>
  <c r="F739" i="7"/>
  <c r="B740" i="7"/>
  <c r="C740" i="7"/>
  <c r="D740" i="7"/>
  <c r="E740" i="7"/>
  <c r="F740" i="7"/>
  <c r="B741" i="7"/>
  <c r="C741" i="7"/>
  <c r="D741" i="7"/>
  <c r="E741" i="7"/>
  <c r="F741" i="7"/>
  <c r="B742" i="7"/>
  <c r="C742" i="7"/>
  <c r="D742" i="7"/>
  <c r="E742" i="7"/>
  <c r="F742" i="7"/>
  <c r="B743" i="7"/>
  <c r="C743" i="7"/>
  <c r="D743" i="7"/>
  <c r="E743" i="7"/>
  <c r="F743" i="7"/>
  <c r="B744" i="7"/>
  <c r="C744" i="7"/>
  <c r="D744" i="7"/>
  <c r="E744" i="7"/>
  <c r="F744" i="7"/>
  <c r="B745" i="7"/>
  <c r="C745" i="7"/>
  <c r="D745" i="7"/>
  <c r="E745" i="7"/>
  <c r="F745" i="7"/>
  <c r="B746" i="7"/>
  <c r="C746" i="7"/>
  <c r="D746" i="7"/>
  <c r="E746" i="7"/>
  <c r="F746" i="7"/>
  <c r="B747" i="7"/>
  <c r="C747" i="7"/>
  <c r="D747" i="7"/>
  <c r="E747" i="7"/>
  <c r="F747" i="7"/>
  <c r="B748" i="7"/>
  <c r="C748" i="7"/>
  <c r="D748" i="7"/>
  <c r="E748" i="7"/>
  <c r="F748" i="7"/>
  <c r="B749" i="7"/>
  <c r="C749" i="7"/>
  <c r="D749" i="7"/>
  <c r="E749" i="7"/>
  <c r="F749" i="7"/>
  <c r="B750" i="7"/>
  <c r="C750" i="7"/>
  <c r="D750" i="7"/>
  <c r="E750" i="7"/>
  <c r="F750" i="7"/>
  <c r="B751" i="7"/>
  <c r="C751" i="7"/>
  <c r="D751" i="7"/>
  <c r="E751" i="7"/>
  <c r="F751" i="7"/>
  <c r="B752" i="7"/>
  <c r="C752" i="7"/>
  <c r="D752" i="7"/>
  <c r="E752" i="7"/>
  <c r="F752" i="7"/>
  <c r="B753" i="7"/>
  <c r="C753" i="7"/>
  <c r="D753" i="7"/>
  <c r="E753" i="7"/>
  <c r="F753" i="7"/>
  <c r="B754" i="7"/>
  <c r="C754" i="7"/>
  <c r="D754" i="7"/>
  <c r="E754" i="7"/>
  <c r="F754" i="7"/>
  <c r="B755" i="7"/>
  <c r="C755" i="7"/>
  <c r="D755" i="7"/>
  <c r="E755" i="7"/>
  <c r="F755" i="7"/>
  <c r="B756" i="7"/>
  <c r="C756" i="7"/>
  <c r="D756" i="7"/>
  <c r="E756" i="7"/>
  <c r="F756" i="7"/>
  <c r="B757" i="7"/>
  <c r="C757" i="7"/>
  <c r="D757" i="7"/>
  <c r="E757" i="7"/>
  <c r="F757" i="7"/>
  <c r="B758" i="7"/>
  <c r="C758" i="7"/>
  <c r="D758" i="7"/>
  <c r="E758" i="7"/>
  <c r="F758" i="7"/>
  <c r="B759" i="7"/>
  <c r="C759" i="7"/>
  <c r="D759" i="7"/>
  <c r="E759" i="7"/>
  <c r="F759" i="7"/>
  <c r="B760" i="7"/>
  <c r="C760" i="7"/>
  <c r="D760" i="7"/>
  <c r="E760" i="7"/>
  <c r="F760" i="7"/>
  <c r="B761" i="7"/>
  <c r="C761" i="7"/>
  <c r="D761" i="7"/>
  <c r="E761" i="7"/>
  <c r="F761" i="7"/>
  <c r="B762" i="7"/>
  <c r="C762" i="7"/>
  <c r="D762" i="7"/>
  <c r="E762" i="7"/>
  <c r="F762" i="7"/>
  <c r="B763" i="7"/>
  <c r="C763" i="7"/>
  <c r="D763" i="7"/>
  <c r="E763" i="7"/>
  <c r="F763" i="7"/>
  <c r="B764" i="7"/>
  <c r="C764" i="7"/>
  <c r="D764" i="7"/>
  <c r="E764" i="7"/>
  <c r="F764" i="7"/>
  <c r="B765" i="7"/>
  <c r="C765" i="7"/>
  <c r="D765" i="7"/>
  <c r="E765" i="7"/>
  <c r="F765" i="7"/>
  <c r="B766" i="7"/>
  <c r="C766" i="7"/>
  <c r="D766" i="7"/>
  <c r="E766" i="7"/>
  <c r="F766" i="7"/>
  <c r="B767" i="7"/>
  <c r="C767" i="7"/>
  <c r="D767" i="7"/>
  <c r="E767" i="7"/>
  <c r="F767" i="7"/>
  <c r="B768" i="7"/>
  <c r="C768" i="7"/>
  <c r="D768" i="7"/>
  <c r="E768" i="7"/>
  <c r="F768" i="7"/>
  <c r="B769" i="7"/>
  <c r="C769" i="7"/>
  <c r="D769" i="7"/>
  <c r="E769" i="7"/>
  <c r="F769" i="7"/>
  <c r="B770" i="7"/>
  <c r="C770" i="7"/>
  <c r="D770" i="7"/>
  <c r="E770" i="7"/>
  <c r="F770" i="7"/>
  <c r="B771" i="7"/>
  <c r="C771" i="7"/>
  <c r="D771" i="7"/>
  <c r="E771" i="7"/>
  <c r="F771" i="7"/>
  <c r="B772" i="7"/>
  <c r="C772" i="7"/>
  <c r="D772" i="7"/>
  <c r="E772" i="7"/>
  <c r="F772" i="7"/>
  <c r="B773" i="7"/>
  <c r="C773" i="7"/>
  <c r="D773" i="7"/>
  <c r="E773" i="7"/>
  <c r="F773" i="7"/>
  <c r="B774" i="7"/>
  <c r="C774" i="7"/>
  <c r="D774" i="7"/>
  <c r="E774" i="7"/>
  <c r="F774" i="7"/>
  <c r="B775" i="7"/>
  <c r="C775" i="7"/>
  <c r="D775" i="7"/>
  <c r="E775" i="7"/>
  <c r="F775" i="7"/>
  <c r="B776" i="7"/>
  <c r="C776" i="7"/>
  <c r="D776" i="7"/>
  <c r="E776" i="7"/>
  <c r="F776" i="7"/>
  <c r="B777" i="7"/>
  <c r="C777" i="7"/>
  <c r="D777" i="7"/>
  <c r="E777" i="7"/>
  <c r="F777" i="7"/>
  <c r="B778" i="7"/>
  <c r="C778" i="7"/>
  <c r="D778" i="7"/>
  <c r="E778" i="7"/>
  <c r="F778" i="7"/>
  <c r="B779" i="7"/>
  <c r="C779" i="7"/>
  <c r="D779" i="7"/>
  <c r="E779" i="7"/>
  <c r="F779" i="7"/>
  <c r="B780" i="7"/>
  <c r="C780" i="7"/>
  <c r="D780" i="7"/>
  <c r="E780" i="7"/>
  <c r="F780" i="7"/>
  <c r="B781" i="7"/>
  <c r="C781" i="7"/>
  <c r="D781" i="7"/>
  <c r="E781" i="7"/>
  <c r="F781" i="7"/>
  <c r="B782" i="7"/>
  <c r="C782" i="7"/>
  <c r="D782" i="7"/>
  <c r="E782" i="7"/>
  <c r="F782" i="7"/>
  <c r="B783" i="7"/>
  <c r="C783" i="7"/>
  <c r="D783" i="7"/>
  <c r="E783" i="7"/>
  <c r="F783" i="7"/>
  <c r="B784" i="7"/>
  <c r="C784" i="7"/>
  <c r="D784" i="7"/>
  <c r="E784" i="7"/>
  <c r="F784" i="7"/>
  <c r="B785" i="7"/>
  <c r="C785" i="7"/>
  <c r="D785" i="7"/>
  <c r="E785" i="7"/>
  <c r="F785" i="7"/>
  <c r="B786" i="7"/>
  <c r="C786" i="7"/>
  <c r="D786" i="7"/>
  <c r="E786" i="7"/>
  <c r="F786" i="7"/>
  <c r="B787" i="7"/>
  <c r="C787" i="7"/>
  <c r="D787" i="7"/>
  <c r="E787" i="7"/>
  <c r="F787" i="7"/>
  <c r="B788" i="7"/>
  <c r="C788" i="7"/>
  <c r="D788" i="7"/>
  <c r="E788" i="7"/>
  <c r="F788" i="7"/>
  <c r="B789" i="7"/>
  <c r="C789" i="7"/>
  <c r="D789" i="7"/>
  <c r="E789" i="7"/>
  <c r="F789" i="7"/>
  <c r="B790" i="7"/>
  <c r="C790" i="7"/>
  <c r="D790" i="7"/>
  <c r="E790" i="7"/>
  <c r="F790" i="7"/>
  <c r="B791" i="7"/>
  <c r="C791" i="7"/>
  <c r="D791" i="7"/>
  <c r="E791" i="7"/>
  <c r="F791" i="7"/>
  <c r="B792" i="7"/>
  <c r="C792" i="7"/>
  <c r="D792" i="7"/>
  <c r="E792" i="7"/>
  <c r="F792" i="7"/>
  <c r="B793" i="7"/>
  <c r="C793" i="7"/>
  <c r="D793" i="7"/>
  <c r="E793" i="7"/>
  <c r="F793" i="7"/>
  <c r="B794" i="7"/>
  <c r="C794" i="7"/>
  <c r="D794" i="7"/>
  <c r="E794" i="7"/>
  <c r="F794" i="7"/>
  <c r="B795" i="7"/>
  <c r="C795" i="7"/>
  <c r="D795" i="7"/>
  <c r="E795" i="7"/>
  <c r="F795" i="7"/>
  <c r="B796" i="7"/>
  <c r="C796" i="7"/>
  <c r="D796" i="7"/>
  <c r="E796" i="7"/>
  <c r="F796" i="7"/>
  <c r="B797" i="7"/>
  <c r="C797" i="7"/>
  <c r="D797" i="7"/>
  <c r="E797" i="7"/>
  <c r="F797" i="7"/>
  <c r="B798" i="7"/>
  <c r="C798" i="7"/>
  <c r="D798" i="7"/>
  <c r="E798" i="7"/>
  <c r="F798" i="7"/>
  <c r="B799" i="7"/>
  <c r="C799" i="7"/>
  <c r="D799" i="7"/>
  <c r="E799" i="7"/>
  <c r="F799" i="7"/>
  <c r="B800" i="7"/>
  <c r="C800" i="7"/>
  <c r="D800" i="7"/>
  <c r="E800" i="7"/>
  <c r="F800" i="7"/>
  <c r="B801" i="7"/>
  <c r="C801" i="7"/>
  <c r="D801" i="7"/>
  <c r="E801" i="7"/>
  <c r="F801" i="7"/>
  <c r="B802" i="7"/>
  <c r="C802" i="7"/>
  <c r="D802" i="7"/>
  <c r="E802" i="7"/>
  <c r="F802" i="7"/>
  <c r="B803" i="7"/>
  <c r="C803" i="7"/>
  <c r="D803" i="7"/>
  <c r="E803" i="7"/>
  <c r="F803" i="7"/>
  <c r="B804" i="7"/>
  <c r="C804" i="7"/>
  <c r="D804" i="7"/>
  <c r="E804" i="7"/>
  <c r="F804" i="7"/>
  <c r="B805" i="7"/>
  <c r="C805" i="7"/>
  <c r="D805" i="7"/>
  <c r="E805" i="7"/>
  <c r="F805" i="7"/>
  <c r="B806" i="7"/>
  <c r="C806" i="7"/>
  <c r="D806" i="7"/>
  <c r="E806" i="7"/>
  <c r="F806" i="7"/>
  <c r="B807" i="7"/>
  <c r="C807" i="7"/>
  <c r="D807" i="7"/>
  <c r="E807" i="7"/>
  <c r="F807" i="7"/>
  <c r="B808" i="7"/>
  <c r="C808" i="7"/>
  <c r="D808" i="7"/>
  <c r="E808" i="7"/>
  <c r="F808" i="7"/>
  <c r="B809" i="7"/>
  <c r="C809" i="7"/>
  <c r="D809" i="7"/>
  <c r="E809" i="7"/>
  <c r="F809" i="7"/>
  <c r="B810" i="7"/>
  <c r="C810" i="7"/>
  <c r="D810" i="7"/>
  <c r="E810" i="7"/>
  <c r="F810" i="7"/>
  <c r="B811" i="7"/>
  <c r="C811" i="7"/>
  <c r="D811" i="7"/>
  <c r="E811" i="7"/>
  <c r="F811" i="7"/>
  <c r="B812" i="7"/>
  <c r="C812" i="7"/>
  <c r="D812" i="7"/>
  <c r="E812" i="7"/>
  <c r="F812" i="7"/>
  <c r="B813" i="7"/>
  <c r="C813" i="7"/>
  <c r="D813" i="7"/>
  <c r="E813" i="7"/>
  <c r="F813" i="7"/>
  <c r="B814" i="7"/>
  <c r="C814" i="7"/>
  <c r="D814" i="7"/>
  <c r="E814" i="7"/>
  <c r="F814" i="7"/>
  <c r="B815" i="7"/>
  <c r="C815" i="7"/>
  <c r="D815" i="7"/>
  <c r="E815" i="7"/>
  <c r="F815" i="7"/>
  <c r="B816" i="7"/>
  <c r="C816" i="7"/>
  <c r="D816" i="7"/>
  <c r="E816" i="7"/>
  <c r="F816" i="7"/>
  <c r="B817" i="7"/>
  <c r="C817" i="7"/>
  <c r="D817" i="7"/>
  <c r="E817" i="7"/>
  <c r="F817" i="7"/>
  <c r="B818" i="7"/>
  <c r="C818" i="7"/>
  <c r="D818" i="7"/>
  <c r="E818" i="7"/>
  <c r="F818" i="7"/>
  <c r="B819" i="7"/>
  <c r="C819" i="7"/>
  <c r="D819" i="7"/>
  <c r="E819" i="7"/>
  <c r="F819" i="7"/>
  <c r="B820" i="7"/>
  <c r="C820" i="7"/>
  <c r="D820" i="7"/>
  <c r="E820" i="7"/>
  <c r="F820" i="7"/>
  <c r="B821" i="7"/>
  <c r="C821" i="7"/>
  <c r="D821" i="7"/>
  <c r="E821" i="7"/>
  <c r="F821" i="7"/>
  <c r="B822" i="7"/>
  <c r="C822" i="7"/>
  <c r="D822" i="7"/>
  <c r="E822" i="7"/>
  <c r="F822" i="7"/>
  <c r="B823" i="7"/>
  <c r="C823" i="7"/>
  <c r="D823" i="7"/>
  <c r="E823" i="7"/>
  <c r="F823" i="7"/>
  <c r="B824" i="7"/>
  <c r="C824" i="7"/>
  <c r="D824" i="7"/>
  <c r="E824" i="7"/>
  <c r="F824" i="7"/>
  <c r="B825" i="7"/>
  <c r="C825" i="7"/>
  <c r="D825" i="7"/>
  <c r="E825" i="7"/>
  <c r="F825" i="7"/>
  <c r="B826" i="7"/>
  <c r="C826" i="7"/>
  <c r="D826" i="7"/>
  <c r="E826" i="7"/>
  <c r="F826" i="7"/>
  <c r="B827" i="7"/>
  <c r="C827" i="7"/>
  <c r="D827" i="7"/>
  <c r="E827" i="7"/>
  <c r="F827" i="7"/>
  <c r="B828" i="7"/>
  <c r="C828" i="7"/>
  <c r="D828" i="7"/>
  <c r="E828" i="7"/>
  <c r="F828" i="7"/>
  <c r="B829" i="7"/>
  <c r="C829" i="7"/>
  <c r="D829" i="7"/>
  <c r="E829" i="7"/>
  <c r="F829" i="7"/>
  <c r="B830" i="7"/>
  <c r="C830" i="7"/>
  <c r="D830" i="7"/>
  <c r="E830" i="7"/>
  <c r="F830" i="7"/>
  <c r="B831" i="7"/>
  <c r="C831" i="7"/>
  <c r="D831" i="7"/>
  <c r="E831" i="7"/>
  <c r="F831" i="7"/>
  <c r="B832" i="7"/>
  <c r="C832" i="7"/>
  <c r="D832" i="7"/>
  <c r="E832" i="7"/>
  <c r="F832" i="7"/>
  <c r="B833" i="7"/>
  <c r="C833" i="7"/>
  <c r="D833" i="7"/>
  <c r="E833" i="7"/>
  <c r="F833" i="7"/>
  <c r="B834" i="7"/>
  <c r="C834" i="7"/>
  <c r="D834" i="7"/>
  <c r="E834" i="7"/>
  <c r="F834" i="7"/>
  <c r="B835" i="7"/>
  <c r="C835" i="7"/>
  <c r="D835" i="7"/>
  <c r="E835" i="7"/>
  <c r="F835" i="7"/>
  <c r="B836" i="7"/>
  <c r="C836" i="7"/>
  <c r="D836" i="7"/>
  <c r="E836" i="7"/>
  <c r="F836" i="7"/>
  <c r="B837" i="7"/>
  <c r="C837" i="7"/>
  <c r="D837" i="7"/>
  <c r="E837" i="7"/>
  <c r="F837" i="7"/>
  <c r="B838" i="7"/>
  <c r="C838" i="7"/>
  <c r="D838" i="7"/>
  <c r="E838" i="7"/>
  <c r="F838" i="7"/>
  <c r="B839" i="7"/>
  <c r="C839" i="7"/>
  <c r="D839" i="7"/>
  <c r="E839" i="7"/>
  <c r="F839" i="7"/>
  <c r="B840" i="7"/>
  <c r="C840" i="7"/>
  <c r="D840" i="7"/>
  <c r="E840" i="7"/>
  <c r="F840" i="7"/>
  <c r="B841" i="7"/>
  <c r="C841" i="7"/>
  <c r="D841" i="7"/>
  <c r="E841" i="7"/>
  <c r="F841" i="7"/>
  <c r="B842" i="7"/>
  <c r="C842" i="7"/>
  <c r="D842" i="7"/>
  <c r="E842" i="7"/>
  <c r="F842" i="7"/>
  <c r="B843" i="7"/>
  <c r="C843" i="7"/>
  <c r="D843" i="7"/>
  <c r="E843" i="7"/>
  <c r="F843" i="7"/>
  <c r="B844" i="7"/>
  <c r="C844" i="7"/>
  <c r="D844" i="7"/>
  <c r="E844" i="7"/>
  <c r="F844" i="7"/>
  <c r="B845" i="7"/>
  <c r="C845" i="7"/>
  <c r="D845" i="7"/>
  <c r="E845" i="7"/>
  <c r="F845" i="7"/>
  <c r="B846" i="7"/>
  <c r="C846" i="7"/>
  <c r="D846" i="7"/>
  <c r="E846" i="7"/>
  <c r="F846" i="7"/>
  <c r="B847" i="7"/>
  <c r="C847" i="7"/>
  <c r="D847" i="7"/>
  <c r="E847" i="7"/>
  <c r="F847" i="7"/>
  <c r="B848" i="7"/>
  <c r="C848" i="7"/>
  <c r="D848" i="7"/>
  <c r="E848" i="7"/>
  <c r="F848" i="7"/>
  <c r="B849" i="7"/>
  <c r="C849" i="7"/>
  <c r="D849" i="7"/>
  <c r="E849" i="7"/>
  <c r="F849" i="7"/>
  <c r="B850" i="7"/>
  <c r="C850" i="7"/>
  <c r="D850" i="7"/>
  <c r="E850" i="7"/>
  <c r="F850" i="7"/>
  <c r="B851" i="7"/>
  <c r="C851" i="7"/>
  <c r="D851" i="7"/>
  <c r="E851" i="7"/>
  <c r="F851" i="7"/>
  <c r="B852" i="7"/>
  <c r="C852" i="7"/>
  <c r="D852" i="7"/>
  <c r="E852" i="7"/>
  <c r="F852" i="7"/>
  <c r="B853" i="7"/>
  <c r="C853" i="7"/>
  <c r="D853" i="7"/>
  <c r="E853" i="7"/>
  <c r="F853" i="7"/>
  <c r="B854" i="7"/>
  <c r="C854" i="7"/>
  <c r="D854" i="7"/>
  <c r="E854" i="7"/>
  <c r="F854" i="7"/>
  <c r="B855" i="7"/>
  <c r="C855" i="7"/>
  <c r="D855" i="7"/>
  <c r="E855" i="7"/>
  <c r="F855" i="7"/>
  <c r="B856" i="7"/>
  <c r="C856" i="7"/>
  <c r="D856" i="7"/>
  <c r="E856" i="7"/>
  <c r="F856" i="7"/>
  <c r="B857" i="7"/>
  <c r="C857" i="7"/>
  <c r="D857" i="7"/>
  <c r="E857" i="7"/>
  <c r="F857" i="7"/>
  <c r="B858" i="7"/>
  <c r="C858" i="7"/>
  <c r="D858" i="7"/>
  <c r="E858" i="7"/>
  <c r="F858" i="7"/>
  <c r="B859" i="7"/>
  <c r="C859" i="7"/>
  <c r="D859" i="7"/>
  <c r="E859" i="7"/>
  <c r="F859" i="7"/>
  <c r="B860" i="7"/>
  <c r="C860" i="7"/>
  <c r="D860" i="7"/>
  <c r="E860" i="7"/>
  <c r="F860" i="7"/>
  <c r="B861" i="7"/>
  <c r="C861" i="7"/>
  <c r="D861" i="7"/>
  <c r="E861" i="7"/>
  <c r="F861" i="7"/>
  <c r="B862" i="7"/>
  <c r="C862" i="7"/>
  <c r="D862" i="7"/>
  <c r="E862" i="7"/>
  <c r="F862" i="7"/>
  <c r="B863" i="7"/>
  <c r="C863" i="7"/>
  <c r="D863" i="7"/>
  <c r="E863" i="7"/>
  <c r="F863" i="7"/>
  <c r="B864" i="7"/>
  <c r="C864" i="7"/>
  <c r="D864" i="7"/>
  <c r="E864" i="7"/>
  <c r="F864" i="7"/>
  <c r="B865" i="7"/>
  <c r="C865" i="7"/>
  <c r="D865" i="7"/>
  <c r="E865" i="7"/>
  <c r="F865" i="7"/>
  <c r="B866" i="7"/>
  <c r="C866" i="7"/>
  <c r="D866" i="7"/>
  <c r="E866" i="7"/>
  <c r="F866" i="7"/>
  <c r="B867" i="7"/>
  <c r="C867" i="7"/>
  <c r="D867" i="7"/>
  <c r="E867" i="7"/>
  <c r="F867" i="7"/>
  <c r="B868" i="7"/>
  <c r="C868" i="7"/>
  <c r="D868" i="7"/>
  <c r="E868" i="7"/>
  <c r="F868" i="7"/>
  <c r="B869" i="7"/>
  <c r="C869" i="7"/>
  <c r="D869" i="7"/>
  <c r="E869" i="7"/>
  <c r="F869" i="7"/>
  <c r="B870" i="7"/>
  <c r="C870" i="7"/>
  <c r="D870" i="7"/>
  <c r="E870" i="7"/>
  <c r="F870" i="7"/>
  <c r="B871" i="7"/>
  <c r="C871" i="7"/>
  <c r="D871" i="7"/>
  <c r="E871" i="7"/>
  <c r="F871" i="7"/>
  <c r="B872" i="7"/>
  <c r="C872" i="7"/>
  <c r="D872" i="7"/>
  <c r="E872" i="7"/>
  <c r="F872" i="7"/>
  <c r="B873" i="7"/>
  <c r="C873" i="7"/>
  <c r="D873" i="7"/>
  <c r="E873" i="7"/>
  <c r="F873" i="7"/>
  <c r="B874" i="7"/>
  <c r="C874" i="7"/>
  <c r="D874" i="7"/>
  <c r="E874" i="7"/>
  <c r="F874" i="7"/>
  <c r="B875" i="7"/>
  <c r="C875" i="7"/>
  <c r="D875" i="7"/>
  <c r="E875" i="7"/>
  <c r="F875" i="7"/>
  <c r="B876" i="7"/>
  <c r="C876" i="7"/>
  <c r="D876" i="7"/>
  <c r="E876" i="7"/>
  <c r="F876" i="7"/>
  <c r="B877" i="7"/>
  <c r="C877" i="7"/>
  <c r="D877" i="7"/>
  <c r="E877" i="7"/>
  <c r="F877" i="7"/>
  <c r="B878" i="7"/>
  <c r="C878" i="7"/>
  <c r="D878" i="7"/>
  <c r="E878" i="7"/>
  <c r="F878" i="7"/>
  <c r="B879" i="7"/>
  <c r="C879" i="7"/>
  <c r="D879" i="7"/>
  <c r="E879" i="7"/>
  <c r="F879" i="7"/>
  <c r="B880" i="7"/>
  <c r="C880" i="7"/>
  <c r="D880" i="7"/>
  <c r="E880" i="7"/>
  <c r="F880" i="7"/>
  <c r="B881" i="7"/>
  <c r="C881" i="7"/>
  <c r="D881" i="7"/>
  <c r="E881" i="7"/>
  <c r="F881" i="7"/>
  <c r="B882" i="7"/>
  <c r="C882" i="7"/>
  <c r="D882" i="7"/>
  <c r="E882" i="7"/>
  <c r="F882" i="7"/>
  <c r="B883" i="7"/>
  <c r="C883" i="7"/>
  <c r="D883" i="7"/>
  <c r="E883" i="7"/>
  <c r="F883" i="7"/>
  <c r="B884" i="7"/>
  <c r="C884" i="7"/>
  <c r="D884" i="7"/>
  <c r="E884" i="7"/>
  <c r="F884" i="7"/>
  <c r="B885" i="7"/>
  <c r="C885" i="7"/>
  <c r="D885" i="7"/>
  <c r="E885" i="7"/>
  <c r="F885" i="7"/>
  <c r="B886" i="7"/>
  <c r="C886" i="7"/>
  <c r="D886" i="7"/>
  <c r="E886" i="7"/>
  <c r="F886" i="7"/>
  <c r="B887" i="7"/>
  <c r="C887" i="7"/>
  <c r="D887" i="7"/>
  <c r="E887" i="7"/>
  <c r="F887" i="7"/>
  <c r="B888" i="7"/>
  <c r="C888" i="7"/>
  <c r="D888" i="7"/>
  <c r="E888" i="7"/>
  <c r="F888" i="7"/>
  <c r="B889" i="7"/>
  <c r="C889" i="7"/>
  <c r="D889" i="7"/>
  <c r="E889" i="7"/>
  <c r="F889" i="7"/>
  <c r="B890" i="7"/>
  <c r="C890" i="7"/>
  <c r="D890" i="7"/>
  <c r="E890" i="7"/>
  <c r="F890" i="7"/>
  <c r="B891" i="7"/>
  <c r="C891" i="7"/>
  <c r="D891" i="7"/>
  <c r="E891" i="7"/>
  <c r="F891" i="7"/>
  <c r="B892" i="7"/>
  <c r="C892" i="7"/>
  <c r="D892" i="7"/>
  <c r="E892" i="7"/>
  <c r="F892" i="7"/>
  <c r="B893" i="7"/>
  <c r="C893" i="7"/>
  <c r="D893" i="7"/>
  <c r="E893" i="7"/>
  <c r="F893" i="7"/>
  <c r="B894" i="7"/>
  <c r="C894" i="7"/>
  <c r="D894" i="7"/>
  <c r="E894" i="7"/>
  <c r="F894" i="7"/>
  <c r="B895" i="7"/>
  <c r="C895" i="7"/>
  <c r="D895" i="7"/>
  <c r="E895" i="7"/>
  <c r="F895" i="7"/>
  <c r="B896" i="7"/>
  <c r="C896" i="7"/>
  <c r="D896" i="7"/>
  <c r="E896" i="7"/>
  <c r="F896" i="7"/>
  <c r="B897" i="7"/>
  <c r="C897" i="7"/>
  <c r="D897" i="7"/>
  <c r="E897" i="7"/>
  <c r="F897" i="7"/>
  <c r="B898" i="7"/>
  <c r="C898" i="7"/>
  <c r="D898" i="7"/>
  <c r="E898" i="7"/>
  <c r="F898" i="7"/>
  <c r="B899" i="7"/>
  <c r="C899" i="7"/>
  <c r="D899" i="7"/>
  <c r="E899" i="7"/>
  <c r="F899" i="7"/>
  <c r="B900" i="7"/>
  <c r="C900" i="7"/>
  <c r="D900" i="7"/>
  <c r="E900" i="7"/>
  <c r="F900" i="7"/>
  <c r="B901" i="7"/>
  <c r="C901" i="7"/>
  <c r="D901" i="7"/>
  <c r="E901" i="7"/>
  <c r="F901" i="7"/>
  <c r="B902" i="7"/>
  <c r="C902" i="7"/>
  <c r="D902" i="7"/>
  <c r="E902" i="7"/>
  <c r="F902" i="7"/>
  <c r="B903" i="7"/>
  <c r="C903" i="7"/>
  <c r="D903" i="7"/>
  <c r="E903" i="7"/>
  <c r="F903" i="7"/>
  <c r="B904" i="7"/>
  <c r="C904" i="7"/>
  <c r="D904" i="7"/>
  <c r="E904" i="7"/>
  <c r="F904" i="7"/>
  <c r="B905" i="7"/>
  <c r="C905" i="7"/>
  <c r="D905" i="7"/>
  <c r="E905" i="7"/>
  <c r="F905" i="7"/>
  <c r="B906" i="7"/>
  <c r="C906" i="7"/>
  <c r="D906" i="7"/>
  <c r="E906" i="7"/>
  <c r="F906" i="7"/>
  <c r="B907" i="7"/>
  <c r="C907" i="7"/>
  <c r="D907" i="7"/>
  <c r="E907" i="7"/>
  <c r="F907" i="7"/>
  <c r="B908" i="7"/>
  <c r="C908" i="7"/>
  <c r="D908" i="7"/>
  <c r="E908" i="7"/>
  <c r="F908" i="7"/>
  <c r="B909" i="7"/>
  <c r="C909" i="7"/>
  <c r="D909" i="7"/>
  <c r="E909" i="7"/>
  <c r="F909" i="7"/>
  <c r="B910" i="7"/>
  <c r="C910" i="7"/>
  <c r="D910" i="7"/>
  <c r="E910" i="7"/>
  <c r="F910" i="7"/>
  <c r="B911" i="7"/>
  <c r="C911" i="7"/>
  <c r="D911" i="7"/>
  <c r="E911" i="7"/>
  <c r="F911" i="7"/>
  <c r="B912" i="7"/>
  <c r="C912" i="7"/>
  <c r="D912" i="7"/>
  <c r="E912" i="7"/>
  <c r="F912" i="7"/>
  <c r="B913" i="7"/>
  <c r="C913" i="7"/>
  <c r="D913" i="7"/>
  <c r="E913" i="7"/>
  <c r="F913" i="7"/>
  <c r="B914" i="7"/>
  <c r="C914" i="7"/>
  <c r="D914" i="7"/>
  <c r="E914" i="7"/>
  <c r="F914" i="7"/>
  <c r="B915" i="7"/>
  <c r="C915" i="7"/>
  <c r="D915" i="7"/>
  <c r="E915" i="7"/>
  <c r="F915" i="7"/>
  <c r="B916" i="7"/>
  <c r="C916" i="7"/>
  <c r="D916" i="7"/>
  <c r="E916" i="7"/>
  <c r="F916" i="7"/>
  <c r="B917" i="7"/>
  <c r="C917" i="7"/>
  <c r="D917" i="7"/>
  <c r="E917" i="7"/>
  <c r="F917" i="7"/>
  <c r="B918" i="7"/>
  <c r="C918" i="7"/>
  <c r="D918" i="7"/>
  <c r="E918" i="7"/>
  <c r="F918" i="7"/>
  <c r="B919" i="7"/>
  <c r="C919" i="7"/>
  <c r="D919" i="7"/>
  <c r="E919" i="7"/>
  <c r="F919" i="7"/>
  <c r="B920" i="7"/>
  <c r="C920" i="7"/>
  <c r="D920" i="7"/>
  <c r="E920" i="7"/>
  <c r="F920" i="7"/>
  <c r="B921" i="7"/>
  <c r="C921" i="7"/>
  <c r="D921" i="7"/>
  <c r="E921" i="7"/>
  <c r="F921" i="7"/>
  <c r="B922" i="7"/>
  <c r="C922" i="7"/>
  <c r="D922" i="7"/>
  <c r="E922" i="7"/>
  <c r="F922" i="7"/>
  <c r="B923" i="7"/>
  <c r="C923" i="7"/>
  <c r="D923" i="7"/>
  <c r="E923" i="7"/>
  <c r="F923" i="7"/>
  <c r="B924" i="7"/>
  <c r="C924" i="7"/>
  <c r="D924" i="7"/>
  <c r="E924" i="7"/>
  <c r="F924" i="7"/>
  <c r="B925" i="7"/>
  <c r="C925" i="7"/>
  <c r="D925" i="7"/>
  <c r="E925" i="7"/>
  <c r="F925" i="7"/>
  <c r="B926" i="7"/>
  <c r="C926" i="7"/>
  <c r="D926" i="7"/>
  <c r="E926" i="7"/>
  <c r="F926" i="7"/>
  <c r="B927" i="7"/>
  <c r="C927" i="7"/>
  <c r="D927" i="7"/>
  <c r="E927" i="7"/>
  <c r="F927" i="7"/>
  <c r="B928" i="7"/>
  <c r="C928" i="7"/>
  <c r="D928" i="7"/>
  <c r="E928" i="7"/>
  <c r="F928" i="7"/>
  <c r="B929" i="7"/>
  <c r="C929" i="7"/>
  <c r="D929" i="7"/>
  <c r="E929" i="7"/>
  <c r="F929" i="7"/>
  <c r="B930" i="7"/>
  <c r="C930" i="7"/>
  <c r="D930" i="7"/>
  <c r="E930" i="7"/>
  <c r="F930" i="7"/>
  <c r="B931" i="7"/>
  <c r="C931" i="7"/>
  <c r="D931" i="7"/>
  <c r="E931" i="7"/>
  <c r="F931" i="7"/>
  <c r="B932" i="7"/>
  <c r="C932" i="7"/>
  <c r="D932" i="7"/>
  <c r="E932" i="7"/>
  <c r="F932" i="7"/>
  <c r="B933" i="7"/>
  <c r="C933" i="7"/>
  <c r="D933" i="7"/>
  <c r="E933" i="7"/>
  <c r="F933" i="7"/>
  <c r="B934" i="7"/>
  <c r="C934" i="7"/>
  <c r="D934" i="7"/>
  <c r="E934" i="7"/>
  <c r="F934" i="7"/>
  <c r="B935" i="7"/>
  <c r="C935" i="7"/>
  <c r="D935" i="7"/>
  <c r="E935" i="7"/>
  <c r="F935" i="7"/>
  <c r="B936" i="7"/>
  <c r="C936" i="7"/>
  <c r="D936" i="7"/>
  <c r="E936" i="7"/>
  <c r="F936" i="7"/>
  <c r="B937" i="7"/>
  <c r="C937" i="7"/>
  <c r="D937" i="7"/>
  <c r="E937" i="7"/>
  <c r="F937" i="7"/>
  <c r="B938" i="7"/>
  <c r="C938" i="7"/>
  <c r="D938" i="7"/>
  <c r="E938" i="7"/>
  <c r="F938" i="7"/>
  <c r="B939" i="7"/>
  <c r="C939" i="7"/>
  <c r="D939" i="7"/>
  <c r="E939" i="7"/>
  <c r="F939" i="7"/>
  <c r="B940" i="7"/>
  <c r="C940" i="7"/>
  <c r="D940" i="7"/>
  <c r="E940" i="7"/>
  <c r="F940" i="7"/>
  <c r="B941" i="7"/>
  <c r="C941" i="7"/>
  <c r="D941" i="7"/>
  <c r="E941" i="7"/>
  <c r="F941" i="7"/>
  <c r="B942" i="7"/>
  <c r="C942" i="7"/>
  <c r="D942" i="7"/>
  <c r="E942" i="7"/>
  <c r="F942" i="7"/>
  <c r="B943" i="7"/>
  <c r="C943" i="7"/>
  <c r="D943" i="7"/>
  <c r="E943" i="7"/>
  <c r="F943" i="7"/>
  <c r="B944" i="7"/>
  <c r="C944" i="7"/>
  <c r="D944" i="7"/>
  <c r="E944" i="7"/>
  <c r="F944" i="7"/>
  <c r="B945" i="7"/>
  <c r="C945" i="7"/>
  <c r="D945" i="7"/>
  <c r="E945" i="7"/>
  <c r="F945" i="7"/>
  <c r="B946" i="7"/>
  <c r="C946" i="7"/>
  <c r="D946" i="7"/>
  <c r="E946" i="7"/>
  <c r="F946" i="7"/>
  <c r="B947" i="7"/>
  <c r="C947" i="7"/>
  <c r="D947" i="7"/>
  <c r="E947" i="7"/>
  <c r="F947" i="7"/>
  <c r="B948" i="7"/>
  <c r="C948" i="7"/>
  <c r="D948" i="7"/>
  <c r="E948" i="7"/>
  <c r="F948" i="7"/>
  <c r="B949" i="7"/>
  <c r="C949" i="7"/>
  <c r="D949" i="7"/>
  <c r="E949" i="7"/>
  <c r="F949" i="7"/>
  <c r="B950" i="7"/>
  <c r="C950" i="7"/>
  <c r="D950" i="7"/>
  <c r="E950" i="7"/>
  <c r="F950" i="7"/>
  <c r="B951" i="7"/>
  <c r="C951" i="7"/>
  <c r="D951" i="7"/>
  <c r="E951" i="7"/>
  <c r="F951" i="7"/>
  <c r="B952" i="7"/>
  <c r="C952" i="7"/>
  <c r="D952" i="7"/>
  <c r="E952" i="7"/>
  <c r="F952" i="7"/>
  <c r="B953" i="7"/>
  <c r="C953" i="7"/>
  <c r="D953" i="7"/>
  <c r="E953" i="7"/>
  <c r="F953" i="7"/>
  <c r="B954" i="7"/>
  <c r="C954" i="7"/>
  <c r="D954" i="7"/>
  <c r="E954" i="7"/>
  <c r="F954" i="7"/>
  <c r="B955" i="7"/>
  <c r="C955" i="7"/>
  <c r="D955" i="7"/>
  <c r="E955" i="7"/>
  <c r="F955" i="7"/>
  <c r="B956" i="7"/>
  <c r="C956" i="7"/>
  <c r="D956" i="7"/>
  <c r="E956" i="7"/>
  <c r="F956" i="7"/>
  <c r="B957" i="7"/>
  <c r="C957" i="7"/>
  <c r="D957" i="7"/>
  <c r="E957" i="7"/>
  <c r="F957" i="7"/>
  <c r="B958" i="7"/>
  <c r="C958" i="7"/>
  <c r="D958" i="7"/>
  <c r="E958" i="7"/>
  <c r="F958" i="7"/>
  <c r="B959" i="7"/>
  <c r="C959" i="7"/>
  <c r="D959" i="7"/>
  <c r="E959" i="7"/>
  <c r="F959" i="7"/>
  <c r="B960" i="7"/>
  <c r="C960" i="7"/>
  <c r="D960" i="7"/>
  <c r="E960" i="7"/>
  <c r="F960" i="7"/>
  <c r="B961" i="7"/>
  <c r="C961" i="7"/>
  <c r="D961" i="7"/>
  <c r="E961" i="7"/>
  <c r="F961" i="7"/>
  <c r="B962" i="7"/>
  <c r="C962" i="7"/>
  <c r="D962" i="7"/>
  <c r="E962" i="7"/>
  <c r="F962" i="7"/>
  <c r="B963" i="7"/>
  <c r="C963" i="7"/>
  <c r="D963" i="7"/>
  <c r="E963" i="7"/>
  <c r="F963" i="7"/>
  <c r="B964" i="7"/>
  <c r="C964" i="7"/>
  <c r="D964" i="7"/>
  <c r="E964" i="7"/>
  <c r="F964" i="7"/>
  <c r="B965" i="7"/>
  <c r="C965" i="7"/>
  <c r="D965" i="7"/>
  <c r="E965" i="7"/>
  <c r="F965" i="7"/>
  <c r="B966" i="7"/>
  <c r="C966" i="7"/>
  <c r="D966" i="7"/>
  <c r="E966" i="7"/>
  <c r="F966" i="7"/>
  <c r="B967" i="7"/>
  <c r="C967" i="7"/>
  <c r="D967" i="7"/>
  <c r="E967" i="7"/>
  <c r="F967" i="7"/>
  <c r="B968" i="7"/>
  <c r="C968" i="7"/>
  <c r="D968" i="7"/>
  <c r="E968" i="7"/>
  <c r="F968" i="7"/>
  <c r="B969" i="7"/>
  <c r="C969" i="7"/>
  <c r="D969" i="7"/>
  <c r="E969" i="7"/>
  <c r="F969" i="7"/>
  <c r="B970" i="7"/>
  <c r="C970" i="7"/>
  <c r="D970" i="7"/>
  <c r="E970" i="7"/>
  <c r="F970" i="7"/>
  <c r="B971" i="7"/>
  <c r="C971" i="7"/>
  <c r="D971" i="7"/>
  <c r="E971" i="7"/>
  <c r="F971" i="7"/>
  <c r="B972" i="7"/>
  <c r="C972" i="7"/>
  <c r="D972" i="7"/>
  <c r="E972" i="7"/>
  <c r="F972" i="7"/>
  <c r="B973" i="7"/>
  <c r="C973" i="7"/>
  <c r="D973" i="7"/>
  <c r="E973" i="7"/>
  <c r="F973" i="7"/>
  <c r="B974" i="7"/>
  <c r="C974" i="7"/>
  <c r="D974" i="7"/>
  <c r="E974" i="7"/>
  <c r="F974" i="7"/>
  <c r="B975" i="7"/>
  <c r="C975" i="7"/>
  <c r="D975" i="7"/>
  <c r="E975" i="7"/>
  <c r="F975" i="7"/>
  <c r="B976" i="7"/>
  <c r="C976" i="7"/>
  <c r="D976" i="7"/>
  <c r="E976" i="7"/>
  <c r="F976" i="7"/>
  <c r="B977" i="7"/>
  <c r="C977" i="7"/>
  <c r="D977" i="7"/>
  <c r="E977" i="7"/>
  <c r="F977" i="7"/>
  <c r="B978" i="7"/>
  <c r="C978" i="7"/>
  <c r="D978" i="7"/>
  <c r="E978" i="7"/>
  <c r="F978" i="7"/>
  <c r="B979" i="7"/>
  <c r="C979" i="7"/>
  <c r="D979" i="7"/>
  <c r="E979" i="7"/>
  <c r="F979" i="7"/>
  <c r="B980" i="7"/>
  <c r="C980" i="7"/>
  <c r="D980" i="7"/>
  <c r="E980" i="7"/>
  <c r="F980" i="7"/>
  <c r="B981" i="7"/>
  <c r="C981" i="7"/>
  <c r="D981" i="7"/>
  <c r="E981" i="7"/>
  <c r="F981" i="7"/>
  <c r="B982" i="7"/>
  <c r="C982" i="7"/>
  <c r="D982" i="7"/>
  <c r="E982" i="7"/>
  <c r="F982" i="7"/>
  <c r="B983" i="7"/>
  <c r="C983" i="7"/>
  <c r="D983" i="7"/>
  <c r="E983" i="7"/>
  <c r="F983" i="7"/>
  <c r="B984" i="7"/>
  <c r="C984" i="7"/>
  <c r="D984" i="7"/>
  <c r="E984" i="7"/>
  <c r="F984" i="7"/>
  <c r="B985" i="7"/>
  <c r="C985" i="7"/>
  <c r="D985" i="7"/>
  <c r="E985" i="7"/>
  <c r="F985" i="7"/>
  <c r="B986" i="7"/>
  <c r="C986" i="7"/>
  <c r="D986" i="7"/>
  <c r="E986" i="7"/>
  <c r="F986" i="7"/>
  <c r="B987" i="7"/>
  <c r="C987" i="7"/>
  <c r="D987" i="7"/>
  <c r="E987" i="7"/>
  <c r="F987" i="7"/>
  <c r="B988" i="7"/>
  <c r="C988" i="7"/>
  <c r="D988" i="7"/>
  <c r="E988" i="7"/>
  <c r="F988" i="7"/>
  <c r="B989" i="7"/>
  <c r="C989" i="7"/>
  <c r="D989" i="7"/>
  <c r="E989" i="7"/>
  <c r="F989" i="7"/>
  <c r="B990" i="7"/>
  <c r="C990" i="7"/>
  <c r="D990" i="7"/>
  <c r="E990" i="7"/>
  <c r="F990" i="7"/>
  <c r="B991" i="7"/>
  <c r="C991" i="7"/>
  <c r="D991" i="7"/>
  <c r="E991" i="7"/>
  <c r="F991" i="7"/>
  <c r="B992" i="7"/>
  <c r="C992" i="7"/>
  <c r="D992" i="7"/>
  <c r="E992" i="7"/>
  <c r="F992" i="7"/>
  <c r="B993" i="7"/>
  <c r="C993" i="7"/>
  <c r="D993" i="7"/>
  <c r="E993" i="7"/>
  <c r="F993" i="7"/>
  <c r="B994" i="7"/>
  <c r="C994" i="7"/>
  <c r="D994" i="7"/>
  <c r="E994" i="7"/>
  <c r="F994" i="7"/>
  <c r="B995" i="7"/>
  <c r="C995" i="7"/>
  <c r="D995" i="7"/>
  <c r="E995" i="7"/>
  <c r="F995" i="7"/>
  <c r="B996" i="7"/>
  <c r="C996" i="7"/>
  <c r="D996" i="7"/>
  <c r="E996" i="7"/>
  <c r="F996" i="7"/>
  <c r="B997" i="7"/>
  <c r="C997" i="7"/>
  <c r="D997" i="7"/>
  <c r="E997" i="7"/>
  <c r="F997" i="7"/>
  <c r="B998" i="7"/>
  <c r="C998" i="7"/>
  <c r="D998" i="7"/>
  <c r="E998" i="7"/>
  <c r="F998" i="7"/>
  <c r="B999" i="7"/>
  <c r="C999" i="7"/>
  <c r="D999" i="7"/>
  <c r="E999" i="7"/>
  <c r="F999" i="7"/>
  <c r="B1000" i="7"/>
  <c r="C1000" i="7"/>
  <c r="D1000" i="7"/>
  <c r="E1000" i="7"/>
  <c r="F1000" i="7"/>
  <c r="B1001" i="7"/>
  <c r="C1001" i="7"/>
  <c r="D1001" i="7"/>
  <c r="E1001" i="7"/>
  <c r="F1001" i="7"/>
  <c r="B1002" i="7"/>
  <c r="C1002" i="7"/>
  <c r="D1002" i="7"/>
  <c r="E1002" i="7"/>
  <c r="F1002" i="7"/>
  <c r="B1003" i="7"/>
  <c r="C1003" i="7"/>
  <c r="D1003" i="7"/>
  <c r="E1003" i="7"/>
  <c r="F1003" i="7"/>
  <c r="B1004" i="7"/>
  <c r="C1004" i="7"/>
  <c r="D1004" i="7"/>
  <c r="E1004" i="7"/>
  <c r="F1004" i="7"/>
  <c r="B1005" i="7"/>
  <c r="C1005" i="7"/>
  <c r="D1005" i="7"/>
  <c r="E1005" i="7"/>
  <c r="F1005" i="7"/>
  <c r="B1006" i="7"/>
  <c r="C1006" i="7"/>
  <c r="D1006" i="7"/>
  <c r="E1006" i="7"/>
  <c r="F1006" i="7"/>
  <c r="B1007" i="7"/>
  <c r="C1007" i="7"/>
  <c r="D1007" i="7"/>
  <c r="E1007" i="7"/>
  <c r="F1007" i="7"/>
  <c r="B1008" i="7"/>
  <c r="C1008" i="7"/>
  <c r="D1008" i="7"/>
  <c r="E1008" i="7"/>
  <c r="F1008" i="7"/>
  <c r="B1009" i="7"/>
  <c r="C1009" i="7"/>
  <c r="D1009" i="7"/>
  <c r="E1009" i="7"/>
  <c r="F1009" i="7"/>
  <c r="B1010" i="7"/>
  <c r="C1010" i="7"/>
  <c r="D1010" i="7"/>
  <c r="E1010" i="7"/>
  <c r="F1010" i="7"/>
  <c r="B1011" i="7"/>
  <c r="C1011" i="7"/>
  <c r="D1011" i="7"/>
  <c r="E1011" i="7"/>
  <c r="F1011" i="7"/>
  <c r="B1012" i="7"/>
  <c r="C1012" i="7"/>
  <c r="D1012" i="7"/>
  <c r="E1012" i="7"/>
  <c r="F1012" i="7"/>
  <c r="B1013" i="7"/>
  <c r="C1013" i="7"/>
  <c r="D1013" i="7"/>
  <c r="E1013" i="7"/>
  <c r="F1013" i="7"/>
  <c r="B1014" i="7"/>
  <c r="C1014" i="7"/>
  <c r="D1014" i="7"/>
  <c r="E1014" i="7"/>
  <c r="F1014" i="7"/>
  <c r="B1015" i="7"/>
  <c r="C1015" i="7"/>
  <c r="D1015" i="7"/>
  <c r="E1015" i="7"/>
  <c r="F1015" i="7"/>
  <c r="B1016" i="7"/>
  <c r="C1016" i="7"/>
  <c r="D1016" i="7"/>
  <c r="E1016" i="7"/>
  <c r="F1016" i="7"/>
  <c r="B1017" i="7"/>
  <c r="C1017" i="7"/>
  <c r="D1017" i="7"/>
  <c r="E1017" i="7"/>
  <c r="F1017" i="7"/>
  <c r="B1018" i="7"/>
  <c r="C1018" i="7"/>
  <c r="D1018" i="7"/>
  <c r="E1018" i="7"/>
  <c r="F1018" i="7"/>
  <c r="B1019" i="7"/>
  <c r="C1019" i="7"/>
  <c r="D1019" i="7"/>
  <c r="E1019" i="7"/>
  <c r="F1019" i="7"/>
  <c r="B1020" i="7"/>
  <c r="C1020" i="7"/>
  <c r="D1020" i="7"/>
  <c r="E1020" i="7"/>
  <c r="F1020" i="7"/>
  <c r="B1021" i="7"/>
  <c r="C1021" i="7"/>
  <c r="D1021" i="7"/>
  <c r="E1021" i="7"/>
  <c r="F1021" i="7"/>
  <c r="B1022" i="7"/>
  <c r="C1022" i="7"/>
  <c r="D1022" i="7"/>
  <c r="E1022" i="7"/>
  <c r="F1022" i="7"/>
  <c r="B1023" i="7"/>
  <c r="C1023" i="7"/>
  <c r="D1023" i="7"/>
  <c r="E1023" i="7"/>
  <c r="F1023" i="7"/>
  <c r="B1024" i="7"/>
  <c r="C1024" i="7"/>
  <c r="D1024" i="7"/>
  <c r="E1024" i="7"/>
  <c r="F1024" i="7"/>
  <c r="B1025" i="7"/>
  <c r="C1025" i="7"/>
  <c r="D1025" i="7"/>
  <c r="E1025" i="7"/>
  <c r="F1025" i="7"/>
  <c r="B1026" i="7"/>
  <c r="C1026" i="7"/>
  <c r="D1026" i="7"/>
  <c r="E1026" i="7"/>
  <c r="F1026" i="7"/>
  <c r="B1027" i="7"/>
  <c r="C1027" i="7"/>
  <c r="D1027" i="7"/>
  <c r="E1027" i="7"/>
  <c r="F1027" i="7"/>
  <c r="B1028" i="7"/>
  <c r="C1028" i="7"/>
  <c r="D1028" i="7"/>
  <c r="E1028" i="7"/>
  <c r="F1028" i="7"/>
  <c r="B1029" i="7"/>
  <c r="C1029" i="7"/>
  <c r="D1029" i="7"/>
  <c r="E1029" i="7"/>
  <c r="F1029" i="7"/>
  <c r="B1030" i="7"/>
  <c r="C1030" i="7"/>
  <c r="D1030" i="7"/>
  <c r="E1030" i="7"/>
  <c r="F1030" i="7"/>
  <c r="B1031" i="7"/>
  <c r="C1031" i="7"/>
  <c r="D1031" i="7"/>
  <c r="E1031" i="7"/>
  <c r="F1031" i="7"/>
  <c r="B1032" i="7"/>
  <c r="C1032" i="7"/>
  <c r="D1032" i="7"/>
  <c r="E1032" i="7"/>
  <c r="F1032" i="7"/>
  <c r="B1033" i="7"/>
  <c r="C1033" i="7"/>
  <c r="D1033" i="7"/>
  <c r="E1033" i="7"/>
  <c r="F1033" i="7"/>
  <c r="B1034" i="7"/>
  <c r="C1034" i="7"/>
  <c r="D1034" i="7"/>
  <c r="E1034" i="7"/>
  <c r="F1034" i="7"/>
  <c r="B1035" i="7"/>
  <c r="C1035" i="7"/>
  <c r="D1035" i="7"/>
  <c r="E1035" i="7"/>
  <c r="F1035" i="7"/>
  <c r="B1036" i="7"/>
  <c r="C1036" i="7"/>
  <c r="D1036" i="7"/>
  <c r="E1036" i="7"/>
  <c r="F1036" i="7"/>
  <c r="B1037" i="7"/>
  <c r="C1037" i="7"/>
  <c r="D1037" i="7"/>
  <c r="E1037" i="7"/>
  <c r="F1037" i="7"/>
  <c r="B1038" i="7"/>
  <c r="C1038" i="7"/>
  <c r="D1038" i="7"/>
  <c r="E1038" i="7"/>
  <c r="F1038" i="7"/>
  <c r="B1039" i="7"/>
  <c r="C1039" i="7"/>
  <c r="D1039" i="7"/>
  <c r="E1039" i="7"/>
  <c r="F1039" i="7"/>
  <c r="B1040" i="7"/>
  <c r="C1040" i="7"/>
  <c r="D1040" i="7"/>
  <c r="E1040" i="7"/>
  <c r="F1040" i="7"/>
  <c r="B1041" i="7"/>
  <c r="C1041" i="7"/>
  <c r="D1041" i="7"/>
  <c r="E1041" i="7"/>
  <c r="F1041" i="7"/>
  <c r="B1042" i="7"/>
  <c r="C1042" i="7"/>
  <c r="D1042" i="7"/>
  <c r="E1042" i="7"/>
  <c r="F1042" i="7"/>
  <c r="B1043" i="7"/>
  <c r="C1043" i="7"/>
  <c r="D1043" i="7"/>
  <c r="E1043" i="7"/>
  <c r="F1043" i="7"/>
  <c r="B1044" i="7"/>
  <c r="C1044" i="7"/>
  <c r="D1044" i="7"/>
  <c r="E1044" i="7"/>
  <c r="F1044" i="7"/>
  <c r="B1045" i="7"/>
  <c r="C1045" i="7"/>
  <c r="D1045" i="7"/>
  <c r="E1045" i="7"/>
  <c r="F1045" i="7"/>
  <c r="B1046" i="7"/>
  <c r="C1046" i="7"/>
  <c r="D1046" i="7"/>
  <c r="E1046" i="7"/>
  <c r="F1046" i="7"/>
  <c r="B1047" i="7"/>
  <c r="C1047" i="7"/>
  <c r="D1047" i="7"/>
  <c r="E1047" i="7"/>
  <c r="F1047" i="7"/>
  <c r="B1048" i="7"/>
  <c r="C1048" i="7"/>
  <c r="D1048" i="7"/>
  <c r="E1048" i="7"/>
  <c r="F1048" i="7"/>
  <c r="B1049" i="7"/>
  <c r="C1049" i="7"/>
  <c r="D1049" i="7"/>
  <c r="E1049" i="7"/>
  <c r="F1049" i="7"/>
  <c r="B1050" i="7"/>
  <c r="C1050" i="7"/>
  <c r="D1050" i="7"/>
  <c r="E1050" i="7"/>
  <c r="F1050" i="7"/>
  <c r="B1051" i="7"/>
  <c r="C1051" i="7"/>
  <c r="D1051" i="7"/>
  <c r="E1051" i="7"/>
  <c r="F1051" i="7"/>
  <c r="B1052" i="7"/>
  <c r="C1052" i="7"/>
  <c r="D1052" i="7"/>
  <c r="E1052" i="7"/>
  <c r="F1052" i="7"/>
  <c r="B1053" i="7"/>
  <c r="C1053" i="7"/>
  <c r="D1053" i="7"/>
  <c r="E1053" i="7"/>
  <c r="F1053" i="7"/>
  <c r="B1054" i="7"/>
  <c r="C1054" i="7"/>
  <c r="D1054" i="7"/>
  <c r="E1054" i="7"/>
  <c r="F1054" i="7"/>
  <c r="B1055" i="7"/>
  <c r="C1055" i="7"/>
  <c r="D1055" i="7"/>
  <c r="E1055" i="7"/>
  <c r="F1055" i="7"/>
  <c r="B1056" i="7"/>
  <c r="C1056" i="7"/>
  <c r="D1056" i="7"/>
  <c r="E1056" i="7"/>
  <c r="F1056" i="7"/>
  <c r="B1057" i="7"/>
  <c r="C1057" i="7"/>
  <c r="D1057" i="7"/>
  <c r="E1057" i="7"/>
  <c r="F1057" i="7"/>
  <c r="B1058" i="7"/>
  <c r="C1058" i="7"/>
  <c r="D1058" i="7"/>
  <c r="E1058" i="7"/>
  <c r="F1058" i="7"/>
  <c r="B1059" i="7"/>
  <c r="C1059" i="7"/>
  <c r="D1059" i="7"/>
  <c r="E1059" i="7"/>
  <c r="F1059" i="7"/>
  <c r="B1060" i="7"/>
  <c r="C1060" i="7"/>
  <c r="D1060" i="7"/>
  <c r="E1060" i="7"/>
  <c r="F1060" i="7"/>
  <c r="B1061" i="7"/>
  <c r="C1061" i="7"/>
  <c r="D1061" i="7"/>
  <c r="E1061" i="7"/>
  <c r="F1061" i="7"/>
  <c r="B1062" i="7"/>
  <c r="C1062" i="7"/>
  <c r="D1062" i="7"/>
  <c r="E1062" i="7"/>
  <c r="F1062" i="7"/>
  <c r="B1063" i="7"/>
  <c r="C1063" i="7"/>
  <c r="D1063" i="7"/>
  <c r="E1063" i="7"/>
  <c r="F1063" i="7"/>
  <c r="B1064" i="7"/>
  <c r="C1064" i="7"/>
  <c r="D1064" i="7"/>
  <c r="E1064" i="7"/>
  <c r="F1064" i="7"/>
  <c r="B1065" i="7"/>
  <c r="C1065" i="7"/>
  <c r="D1065" i="7"/>
  <c r="E1065" i="7"/>
  <c r="F1065" i="7"/>
  <c r="B1066" i="7"/>
  <c r="C1066" i="7"/>
  <c r="D1066" i="7"/>
  <c r="E1066" i="7"/>
  <c r="F1066" i="7"/>
  <c r="B1067" i="7"/>
  <c r="C1067" i="7"/>
  <c r="D1067" i="7"/>
  <c r="E1067" i="7"/>
  <c r="F1067" i="7"/>
  <c r="B1068" i="7"/>
  <c r="C1068" i="7"/>
  <c r="D1068" i="7"/>
  <c r="E1068" i="7"/>
  <c r="F1068" i="7"/>
  <c r="B1069" i="7"/>
  <c r="C1069" i="7"/>
  <c r="D1069" i="7"/>
  <c r="E1069" i="7"/>
  <c r="F1069" i="7"/>
  <c r="B1070" i="7"/>
  <c r="C1070" i="7"/>
  <c r="D1070" i="7"/>
  <c r="E1070" i="7"/>
  <c r="F1070" i="7"/>
  <c r="B1071" i="7"/>
  <c r="C1071" i="7"/>
  <c r="D1071" i="7"/>
  <c r="E1071" i="7"/>
  <c r="F1071" i="7"/>
  <c r="B1072" i="7"/>
  <c r="C1072" i="7"/>
  <c r="D1072" i="7"/>
  <c r="E1072" i="7"/>
  <c r="F1072" i="7"/>
  <c r="B1073" i="7"/>
  <c r="C1073" i="7"/>
  <c r="D1073" i="7"/>
  <c r="E1073" i="7"/>
  <c r="F1073" i="7"/>
  <c r="B1074" i="7"/>
  <c r="C1074" i="7"/>
  <c r="D1074" i="7"/>
  <c r="E1074" i="7"/>
  <c r="F1074" i="7"/>
  <c r="B1075" i="7"/>
  <c r="C1075" i="7"/>
  <c r="D1075" i="7"/>
  <c r="E1075" i="7"/>
  <c r="F1075" i="7"/>
  <c r="B1076" i="7"/>
  <c r="C1076" i="7"/>
  <c r="D1076" i="7"/>
  <c r="E1076" i="7"/>
  <c r="F1076" i="7"/>
  <c r="B1077" i="7"/>
  <c r="C1077" i="7"/>
  <c r="D1077" i="7"/>
  <c r="E1077" i="7"/>
  <c r="F1077" i="7"/>
  <c r="B1078" i="7"/>
  <c r="C1078" i="7"/>
  <c r="D1078" i="7"/>
  <c r="E1078" i="7"/>
  <c r="F1078" i="7"/>
  <c r="B1079" i="7"/>
  <c r="C1079" i="7"/>
  <c r="D1079" i="7"/>
  <c r="E1079" i="7"/>
  <c r="F1079" i="7"/>
  <c r="B1080" i="7"/>
  <c r="C1080" i="7"/>
  <c r="D1080" i="7"/>
  <c r="E1080" i="7"/>
  <c r="F1080" i="7"/>
  <c r="B1081" i="7"/>
  <c r="C1081" i="7"/>
  <c r="D1081" i="7"/>
  <c r="E1081" i="7"/>
  <c r="F1081" i="7"/>
  <c r="B1082" i="7"/>
  <c r="C1082" i="7"/>
  <c r="D1082" i="7"/>
  <c r="E1082" i="7"/>
  <c r="F1082" i="7"/>
  <c r="B1083" i="7"/>
  <c r="C1083" i="7"/>
  <c r="D1083" i="7"/>
  <c r="E1083" i="7"/>
  <c r="F1083" i="7"/>
  <c r="B1084" i="7"/>
  <c r="C1084" i="7"/>
  <c r="D1084" i="7"/>
  <c r="E1084" i="7"/>
  <c r="F1084" i="7"/>
  <c r="B1085" i="7"/>
  <c r="C1085" i="7"/>
  <c r="D1085" i="7"/>
  <c r="E1085" i="7"/>
  <c r="F1085" i="7"/>
  <c r="B1086" i="7"/>
  <c r="C1086" i="7"/>
  <c r="D1086" i="7"/>
  <c r="E1086" i="7"/>
  <c r="F1086" i="7"/>
  <c r="B1087" i="7"/>
  <c r="C1087" i="7"/>
  <c r="D1087" i="7"/>
  <c r="E1087" i="7"/>
  <c r="F1087" i="7"/>
  <c r="B1088" i="7"/>
  <c r="C1088" i="7"/>
  <c r="D1088" i="7"/>
  <c r="E1088" i="7"/>
  <c r="F1088" i="7"/>
  <c r="B1089" i="7"/>
  <c r="C1089" i="7"/>
  <c r="D1089" i="7"/>
  <c r="E1089" i="7"/>
  <c r="F1089" i="7"/>
  <c r="B1090" i="7"/>
  <c r="C1090" i="7"/>
  <c r="D1090" i="7"/>
  <c r="E1090" i="7"/>
  <c r="F1090" i="7"/>
  <c r="B1091" i="7"/>
  <c r="C1091" i="7"/>
  <c r="D1091" i="7"/>
  <c r="E1091" i="7"/>
  <c r="F1091" i="7"/>
  <c r="B1092" i="7"/>
  <c r="C1092" i="7"/>
  <c r="D1092" i="7"/>
  <c r="E1092" i="7"/>
  <c r="F1092" i="7"/>
  <c r="B1093" i="7"/>
  <c r="C1093" i="7"/>
  <c r="D1093" i="7"/>
  <c r="E1093" i="7"/>
  <c r="F1093" i="7"/>
  <c r="B1094" i="7"/>
  <c r="C1094" i="7"/>
  <c r="D1094" i="7"/>
  <c r="E1094" i="7"/>
  <c r="F1094" i="7"/>
  <c r="B1095" i="7"/>
  <c r="C1095" i="7"/>
  <c r="D1095" i="7"/>
  <c r="E1095" i="7"/>
  <c r="F1095" i="7"/>
  <c r="B1096" i="7"/>
  <c r="C1096" i="7"/>
  <c r="D1096" i="7"/>
  <c r="E1096" i="7"/>
  <c r="F1096" i="7"/>
  <c r="B1097" i="7"/>
  <c r="C1097" i="7"/>
  <c r="D1097" i="7"/>
  <c r="E1097" i="7"/>
  <c r="F1097" i="7"/>
  <c r="B1098" i="7"/>
  <c r="C1098" i="7"/>
  <c r="D1098" i="7"/>
  <c r="E1098" i="7"/>
  <c r="F1098" i="7"/>
  <c r="B1099" i="7"/>
  <c r="C1099" i="7"/>
  <c r="D1099" i="7"/>
  <c r="E1099" i="7"/>
  <c r="F1099" i="7"/>
  <c r="B1100" i="7"/>
  <c r="C1100" i="7"/>
  <c r="D1100" i="7"/>
  <c r="E1100" i="7"/>
  <c r="F1100" i="7"/>
  <c r="B1101" i="7"/>
  <c r="C1101" i="7"/>
  <c r="D1101" i="7"/>
  <c r="E1101" i="7"/>
  <c r="F1101" i="7"/>
  <c r="B1102" i="7"/>
  <c r="C1102" i="7"/>
  <c r="D1102" i="7"/>
  <c r="E1102" i="7"/>
  <c r="F1102" i="7"/>
  <c r="B1103" i="7"/>
  <c r="C1103" i="7"/>
  <c r="D1103" i="7"/>
  <c r="E1103" i="7"/>
  <c r="F1103" i="7"/>
  <c r="B1104" i="7"/>
  <c r="C1104" i="7"/>
  <c r="D1104" i="7"/>
  <c r="E1104" i="7"/>
  <c r="F1104" i="7"/>
  <c r="B1105" i="7"/>
  <c r="C1105" i="7"/>
  <c r="D1105" i="7"/>
  <c r="E1105" i="7"/>
  <c r="F1105" i="7"/>
  <c r="B1106" i="7"/>
  <c r="C1106" i="7"/>
  <c r="D1106" i="7"/>
  <c r="E1106" i="7"/>
  <c r="F1106" i="7"/>
  <c r="B1107" i="7"/>
  <c r="C1107" i="7"/>
  <c r="D1107" i="7"/>
  <c r="E1107" i="7"/>
  <c r="F1107" i="7"/>
  <c r="B1108" i="7"/>
  <c r="C1108" i="7"/>
  <c r="D1108" i="7"/>
  <c r="E1108" i="7"/>
  <c r="F1108" i="7"/>
  <c r="B1109" i="7"/>
  <c r="C1109" i="7"/>
  <c r="D1109" i="7"/>
  <c r="E1109" i="7"/>
  <c r="F1109" i="7"/>
  <c r="B1110" i="7"/>
  <c r="C1110" i="7"/>
  <c r="D1110" i="7"/>
  <c r="E1110" i="7"/>
  <c r="F1110" i="7"/>
  <c r="B1111" i="7"/>
  <c r="C1111" i="7"/>
  <c r="D1111" i="7"/>
  <c r="E1111" i="7"/>
  <c r="F1111" i="7"/>
  <c r="B1112" i="7"/>
  <c r="C1112" i="7"/>
  <c r="D1112" i="7"/>
  <c r="E1112" i="7"/>
  <c r="F1112" i="7"/>
  <c r="B1113" i="7"/>
  <c r="C1113" i="7"/>
  <c r="D1113" i="7"/>
  <c r="E1113" i="7"/>
  <c r="F1113" i="7"/>
  <c r="B1114" i="7"/>
  <c r="C1114" i="7"/>
  <c r="D1114" i="7"/>
  <c r="E1114" i="7"/>
  <c r="F1114" i="7"/>
  <c r="B1115" i="7"/>
  <c r="C1115" i="7"/>
  <c r="D1115" i="7"/>
  <c r="E1115" i="7"/>
  <c r="F1115" i="7"/>
  <c r="B1116" i="7"/>
  <c r="C1116" i="7"/>
  <c r="D1116" i="7"/>
  <c r="E1116" i="7"/>
  <c r="F1116" i="7"/>
  <c r="B1117" i="7"/>
  <c r="C1117" i="7"/>
  <c r="D1117" i="7"/>
  <c r="E1117" i="7"/>
  <c r="F1117" i="7"/>
  <c r="B1118" i="7"/>
  <c r="C1118" i="7"/>
  <c r="D1118" i="7"/>
  <c r="E1118" i="7"/>
  <c r="F1118" i="7"/>
  <c r="B1119" i="7"/>
  <c r="C1119" i="7"/>
  <c r="D1119" i="7"/>
  <c r="E1119" i="7"/>
  <c r="F1119" i="7"/>
  <c r="B1120" i="7"/>
  <c r="C1120" i="7"/>
  <c r="D1120" i="7"/>
  <c r="E1120" i="7"/>
  <c r="F1120" i="7"/>
  <c r="B1121" i="7"/>
  <c r="C1121" i="7"/>
  <c r="D1121" i="7"/>
  <c r="E1121" i="7"/>
  <c r="F1121" i="7"/>
  <c r="B1122" i="7"/>
  <c r="C1122" i="7"/>
  <c r="D1122" i="7"/>
  <c r="E1122" i="7"/>
  <c r="F1122" i="7"/>
  <c r="B1123" i="7"/>
  <c r="C1123" i="7"/>
  <c r="D1123" i="7"/>
  <c r="E1123" i="7"/>
  <c r="F1123" i="7"/>
  <c r="B1124" i="7"/>
  <c r="C1124" i="7"/>
  <c r="D1124" i="7"/>
  <c r="E1124" i="7"/>
  <c r="F1124" i="7"/>
  <c r="B1125" i="7"/>
  <c r="C1125" i="7"/>
  <c r="D1125" i="7"/>
  <c r="E1125" i="7"/>
  <c r="F1125" i="7"/>
  <c r="B1126" i="7"/>
  <c r="C1126" i="7"/>
  <c r="D1126" i="7"/>
  <c r="E1126" i="7"/>
  <c r="F1126" i="7"/>
  <c r="B1127" i="7"/>
  <c r="C1127" i="7"/>
  <c r="D1127" i="7"/>
  <c r="E1127" i="7"/>
  <c r="F1127" i="7"/>
  <c r="B1128" i="7"/>
  <c r="C1128" i="7"/>
  <c r="D1128" i="7"/>
  <c r="E1128" i="7"/>
  <c r="F1128" i="7"/>
  <c r="B1129" i="7"/>
  <c r="C1129" i="7"/>
  <c r="D1129" i="7"/>
  <c r="E1129" i="7"/>
  <c r="F1129" i="7"/>
  <c r="B1130" i="7"/>
  <c r="C1130" i="7"/>
  <c r="D1130" i="7"/>
  <c r="E1130" i="7"/>
  <c r="F1130" i="7"/>
  <c r="B1131" i="7"/>
  <c r="C1131" i="7"/>
  <c r="D1131" i="7"/>
  <c r="E1131" i="7"/>
  <c r="F1131" i="7"/>
  <c r="B1132" i="7"/>
  <c r="C1132" i="7"/>
  <c r="D1132" i="7"/>
  <c r="E1132" i="7"/>
  <c r="F1132" i="7"/>
  <c r="B1133" i="7"/>
  <c r="C1133" i="7"/>
  <c r="D1133" i="7"/>
  <c r="E1133" i="7"/>
  <c r="F1133" i="7"/>
  <c r="B1134" i="7"/>
  <c r="C1134" i="7"/>
  <c r="D1134" i="7"/>
  <c r="E1134" i="7"/>
  <c r="F1134" i="7"/>
  <c r="B1135" i="7"/>
  <c r="C1135" i="7"/>
  <c r="D1135" i="7"/>
  <c r="E1135" i="7"/>
  <c r="F1135" i="7"/>
  <c r="B1136" i="7"/>
  <c r="C1136" i="7"/>
  <c r="D1136" i="7"/>
  <c r="E1136" i="7"/>
  <c r="F1136" i="7"/>
  <c r="B1137" i="7"/>
  <c r="C1137" i="7"/>
  <c r="D1137" i="7"/>
  <c r="E1137" i="7"/>
  <c r="F1137" i="7"/>
  <c r="B1138" i="7"/>
  <c r="C1138" i="7"/>
  <c r="D1138" i="7"/>
  <c r="E1138" i="7"/>
  <c r="F1138" i="7"/>
  <c r="B1139" i="7"/>
  <c r="C1139" i="7"/>
  <c r="D1139" i="7"/>
  <c r="E1139" i="7"/>
  <c r="F1139" i="7"/>
  <c r="B1140" i="7"/>
  <c r="C1140" i="7"/>
  <c r="D1140" i="7"/>
  <c r="E1140" i="7"/>
  <c r="F1140" i="7"/>
  <c r="B1141" i="7"/>
  <c r="C1141" i="7"/>
  <c r="D1141" i="7"/>
  <c r="E1141" i="7"/>
  <c r="F1141" i="7"/>
  <c r="B1142" i="7"/>
  <c r="C1142" i="7"/>
  <c r="D1142" i="7"/>
  <c r="E1142" i="7"/>
  <c r="F1142" i="7"/>
  <c r="B1143" i="7"/>
  <c r="C1143" i="7"/>
  <c r="D1143" i="7"/>
  <c r="E1143" i="7"/>
  <c r="F1143" i="7"/>
  <c r="B1144" i="7"/>
  <c r="C1144" i="7"/>
  <c r="D1144" i="7"/>
  <c r="E1144" i="7"/>
  <c r="F1144" i="7"/>
  <c r="B1145" i="7"/>
  <c r="C1145" i="7"/>
  <c r="D1145" i="7"/>
  <c r="E1145" i="7"/>
  <c r="F1145" i="7"/>
  <c r="B1146" i="7"/>
  <c r="C1146" i="7"/>
  <c r="D1146" i="7"/>
  <c r="E1146" i="7"/>
  <c r="F1146" i="7"/>
  <c r="B1147" i="7"/>
  <c r="C1147" i="7"/>
  <c r="D1147" i="7"/>
  <c r="E1147" i="7"/>
  <c r="F1147" i="7"/>
  <c r="B1148" i="7"/>
  <c r="C1148" i="7"/>
  <c r="D1148" i="7"/>
  <c r="E1148" i="7"/>
  <c r="F1148" i="7"/>
  <c r="B1149" i="7"/>
  <c r="C1149" i="7"/>
  <c r="D1149" i="7"/>
  <c r="E1149" i="7"/>
  <c r="F1149" i="7"/>
  <c r="B1150" i="7"/>
  <c r="C1150" i="7"/>
  <c r="D1150" i="7"/>
  <c r="E1150" i="7"/>
  <c r="F1150" i="7"/>
  <c r="B1151" i="7"/>
  <c r="C1151" i="7"/>
  <c r="D1151" i="7"/>
  <c r="E1151" i="7"/>
  <c r="F1151" i="7"/>
  <c r="B1152" i="7"/>
  <c r="C1152" i="7"/>
  <c r="D1152" i="7"/>
  <c r="E1152" i="7"/>
  <c r="F1152" i="7"/>
  <c r="B1153" i="7"/>
  <c r="C1153" i="7"/>
  <c r="D1153" i="7"/>
  <c r="E1153" i="7"/>
  <c r="F1153" i="7"/>
  <c r="B1154" i="7"/>
  <c r="C1154" i="7"/>
  <c r="D1154" i="7"/>
  <c r="E1154" i="7"/>
  <c r="F1154" i="7"/>
  <c r="B1155" i="7"/>
  <c r="C1155" i="7"/>
  <c r="D1155" i="7"/>
  <c r="E1155" i="7"/>
  <c r="F1155" i="7"/>
  <c r="B1156" i="7"/>
  <c r="C1156" i="7"/>
  <c r="D1156" i="7"/>
  <c r="E1156" i="7"/>
  <c r="F1156" i="7"/>
  <c r="B1157" i="7"/>
  <c r="C1157" i="7"/>
  <c r="D1157" i="7"/>
  <c r="E1157" i="7"/>
  <c r="F1157" i="7"/>
  <c r="B1158" i="7"/>
  <c r="C1158" i="7"/>
  <c r="D1158" i="7"/>
  <c r="E1158" i="7"/>
  <c r="F1158" i="7"/>
  <c r="B1159" i="7"/>
  <c r="C1159" i="7"/>
  <c r="D1159" i="7"/>
  <c r="E1159" i="7"/>
  <c r="F1159" i="7"/>
  <c r="B1160" i="7"/>
  <c r="C1160" i="7"/>
  <c r="D1160" i="7"/>
  <c r="E1160" i="7"/>
  <c r="F1160" i="7"/>
  <c r="B1161" i="7"/>
  <c r="C1161" i="7"/>
  <c r="D1161" i="7"/>
  <c r="E1161" i="7"/>
  <c r="F1161" i="7"/>
  <c r="B1162" i="7"/>
  <c r="C1162" i="7"/>
  <c r="D1162" i="7"/>
  <c r="E1162" i="7"/>
  <c r="F1162" i="7"/>
  <c r="B1163" i="7"/>
  <c r="C1163" i="7"/>
  <c r="D1163" i="7"/>
  <c r="E1163" i="7"/>
  <c r="F1163" i="7"/>
  <c r="B1164" i="7"/>
  <c r="C1164" i="7"/>
  <c r="D1164" i="7"/>
  <c r="E1164" i="7"/>
  <c r="F1164" i="7"/>
  <c r="B1165" i="7"/>
  <c r="C1165" i="7"/>
  <c r="D1165" i="7"/>
  <c r="E1165" i="7"/>
  <c r="F1165" i="7"/>
  <c r="B1166" i="7"/>
  <c r="C1166" i="7"/>
  <c r="D1166" i="7"/>
  <c r="E1166" i="7"/>
  <c r="F1166" i="7"/>
  <c r="B1167" i="7"/>
  <c r="C1167" i="7"/>
  <c r="D1167" i="7"/>
  <c r="E1167" i="7"/>
  <c r="F1167" i="7"/>
  <c r="B1168" i="7"/>
  <c r="C1168" i="7"/>
  <c r="D1168" i="7"/>
  <c r="E1168" i="7"/>
  <c r="F1168" i="7"/>
  <c r="B1169" i="7"/>
  <c r="C1169" i="7"/>
  <c r="D1169" i="7"/>
  <c r="E1169" i="7"/>
  <c r="F1169" i="7"/>
  <c r="B1170" i="7"/>
  <c r="C1170" i="7"/>
  <c r="D1170" i="7"/>
  <c r="E1170" i="7"/>
  <c r="F1170" i="7"/>
  <c r="B1171" i="7"/>
  <c r="C1171" i="7"/>
  <c r="D1171" i="7"/>
  <c r="E1171" i="7"/>
  <c r="F1171" i="7"/>
  <c r="B1172" i="7"/>
  <c r="C1172" i="7"/>
  <c r="D1172" i="7"/>
  <c r="E1172" i="7"/>
  <c r="F1172" i="7"/>
  <c r="B1173" i="7"/>
  <c r="C1173" i="7"/>
  <c r="D1173" i="7"/>
  <c r="E1173" i="7"/>
  <c r="F1173" i="7"/>
  <c r="B1174" i="7"/>
  <c r="C1174" i="7"/>
  <c r="D1174" i="7"/>
  <c r="E1174" i="7"/>
  <c r="F1174" i="7"/>
  <c r="B1175" i="7"/>
  <c r="C1175" i="7"/>
  <c r="D1175" i="7"/>
  <c r="E1175" i="7"/>
  <c r="F1175" i="7"/>
  <c r="B1176" i="7"/>
  <c r="C1176" i="7"/>
  <c r="D1176" i="7"/>
  <c r="E1176" i="7"/>
  <c r="F1176" i="7"/>
  <c r="B1177" i="7"/>
  <c r="C1177" i="7"/>
  <c r="D1177" i="7"/>
  <c r="E1177" i="7"/>
  <c r="F1177" i="7"/>
  <c r="B1178" i="7"/>
  <c r="C1178" i="7"/>
  <c r="D1178" i="7"/>
  <c r="E1178" i="7"/>
  <c r="F1178" i="7"/>
  <c r="B1179" i="7"/>
  <c r="C1179" i="7"/>
  <c r="D1179" i="7"/>
  <c r="E1179" i="7"/>
  <c r="F1179" i="7"/>
  <c r="B1180" i="7"/>
  <c r="C1180" i="7"/>
  <c r="D1180" i="7"/>
  <c r="E1180" i="7"/>
  <c r="F1180" i="7"/>
  <c r="B1181" i="7"/>
  <c r="C1181" i="7"/>
  <c r="D1181" i="7"/>
  <c r="E1181" i="7"/>
  <c r="F1181" i="7"/>
  <c r="B1182" i="7"/>
  <c r="C1182" i="7"/>
  <c r="D1182" i="7"/>
  <c r="E1182" i="7"/>
  <c r="F1182" i="7"/>
  <c r="B1183" i="7"/>
  <c r="C1183" i="7"/>
  <c r="D1183" i="7"/>
  <c r="E1183" i="7"/>
  <c r="F1183" i="7"/>
  <c r="B1184" i="7"/>
  <c r="C1184" i="7"/>
  <c r="D1184" i="7"/>
  <c r="E1184" i="7"/>
  <c r="F1184" i="7"/>
  <c r="B1185" i="7"/>
  <c r="C1185" i="7"/>
  <c r="D1185" i="7"/>
  <c r="E1185" i="7"/>
  <c r="F1185" i="7"/>
  <c r="B1186" i="7"/>
  <c r="C1186" i="7"/>
  <c r="D1186" i="7"/>
  <c r="E1186" i="7"/>
  <c r="F1186" i="7"/>
  <c r="B1187" i="7"/>
  <c r="C1187" i="7"/>
  <c r="D1187" i="7"/>
  <c r="E1187" i="7"/>
  <c r="F1187" i="7"/>
  <c r="B1188" i="7"/>
  <c r="C1188" i="7"/>
  <c r="D1188" i="7"/>
  <c r="E1188" i="7"/>
  <c r="F1188" i="7"/>
  <c r="B1189" i="7"/>
  <c r="C1189" i="7"/>
  <c r="D1189" i="7"/>
  <c r="E1189" i="7"/>
  <c r="F1189" i="7"/>
  <c r="B1190" i="7"/>
  <c r="C1190" i="7"/>
  <c r="D1190" i="7"/>
  <c r="E1190" i="7"/>
  <c r="F1190" i="7"/>
  <c r="B1191" i="7"/>
  <c r="C1191" i="7"/>
  <c r="D1191" i="7"/>
  <c r="E1191" i="7"/>
  <c r="F1191" i="7"/>
  <c r="B1192" i="7"/>
  <c r="C1192" i="7"/>
  <c r="D1192" i="7"/>
  <c r="E1192" i="7"/>
  <c r="F1192" i="7"/>
  <c r="B1193" i="7"/>
  <c r="C1193" i="7"/>
  <c r="D1193" i="7"/>
  <c r="E1193" i="7"/>
  <c r="F1193" i="7"/>
  <c r="B1194" i="7"/>
  <c r="C1194" i="7"/>
  <c r="D1194" i="7"/>
  <c r="E1194" i="7"/>
  <c r="F1194" i="7"/>
  <c r="B1195" i="7"/>
  <c r="C1195" i="7"/>
  <c r="D1195" i="7"/>
  <c r="E1195" i="7"/>
  <c r="F1195" i="7"/>
  <c r="B1196" i="7"/>
  <c r="C1196" i="7"/>
  <c r="D1196" i="7"/>
  <c r="E1196" i="7"/>
  <c r="F1196" i="7"/>
  <c r="B1197" i="7"/>
  <c r="C1197" i="7"/>
  <c r="D1197" i="7"/>
  <c r="E1197" i="7"/>
  <c r="F1197" i="7"/>
  <c r="B1198" i="7"/>
  <c r="C1198" i="7"/>
  <c r="D1198" i="7"/>
  <c r="E1198" i="7"/>
  <c r="F1198" i="7"/>
  <c r="B1199" i="7"/>
  <c r="C1199" i="7"/>
  <c r="D1199" i="7"/>
  <c r="E1199" i="7"/>
  <c r="F1199" i="7"/>
  <c r="B1200" i="7"/>
  <c r="C1200" i="7"/>
  <c r="D1200" i="7"/>
  <c r="E1200" i="7"/>
  <c r="F1200" i="7"/>
  <c r="B1201" i="7"/>
  <c r="C1201" i="7"/>
  <c r="D1201" i="7"/>
  <c r="E1201" i="7"/>
  <c r="F1201" i="7"/>
  <c r="B1202" i="7"/>
  <c r="C1202" i="7"/>
  <c r="D1202" i="7"/>
  <c r="E1202" i="7"/>
  <c r="F1202" i="7"/>
  <c r="B1203" i="7"/>
  <c r="C1203" i="7"/>
  <c r="D1203" i="7"/>
  <c r="E1203" i="7"/>
  <c r="F1203" i="7"/>
  <c r="B1204" i="7"/>
  <c r="C1204" i="7"/>
  <c r="D1204" i="7"/>
  <c r="E1204" i="7"/>
  <c r="F1204" i="7"/>
  <c r="B1205" i="7"/>
  <c r="C1205" i="7"/>
  <c r="D1205" i="7"/>
  <c r="E1205" i="7"/>
  <c r="F1205" i="7"/>
  <c r="B1206" i="7"/>
  <c r="C1206" i="7"/>
  <c r="D1206" i="7"/>
  <c r="E1206" i="7"/>
  <c r="F1206" i="7"/>
  <c r="B1207" i="7"/>
  <c r="C1207" i="7"/>
  <c r="D1207" i="7"/>
  <c r="E1207" i="7"/>
  <c r="F1207" i="7"/>
  <c r="B1208" i="7"/>
  <c r="C1208" i="7"/>
  <c r="D1208" i="7"/>
  <c r="E1208" i="7"/>
  <c r="F1208" i="7"/>
  <c r="B1209" i="7"/>
  <c r="C1209" i="7"/>
  <c r="D1209" i="7"/>
  <c r="E1209" i="7"/>
  <c r="F1209" i="7"/>
  <c r="B1210" i="7"/>
  <c r="C1210" i="7"/>
  <c r="D1210" i="7"/>
  <c r="E1210" i="7"/>
  <c r="F1210" i="7"/>
  <c r="B1211" i="7"/>
  <c r="C1211" i="7"/>
  <c r="D1211" i="7"/>
  <c r="E1211" i="7"/>
  <c r="F1211" i="7"/>
  <c r="B1212" i="7"/>
  <c r="C1212" i="7"/>
  <c r="D1212" i="7"/>
  <c r="E1212" i="7"/>
  <c r="F1212" i="7"/>
  <c r="B1213" i="7"/>
  <c r="C1213" i="7"/>
  <c r="D1213" i="7"/>
  <c r="E1213" i="7"/>
  <c r="F1213" i="7"/>
  <c r="B1214" i="7"/>
  <c r="C1214" i="7"/>
  <c r="D1214" i="7"/>
  <c r="E1214" i="7"/>
  <c r="F1214" i="7"/>
  <c r="B1215" i="7"/>
  <c r="C1215" i="7"/>
  <c r="D1215" i="7"/>
  <c r="E1215" i="7"/>
  <c r="F1215" i="7"/>
  <c r="B1216" i="7"/>
  <c r="C1216" i="7"/>
  <c r="D1216" i="7"/>
  <c r="E1216" i="7"/>
  <c r="F1216" i="7"/>
  <c r="B1217" i="7"/>
  <c r="C1217" i="7"/>
  <c r="D1217" i="7"/>
  <c r="E1217" i="7"/>
  <c r="F1217" i="7"/>
  <c r="B1218" i="7"/>
  <c r="C1218" i="7"/>
  <c r="D1218" i="7"/>
  <c r="E1218" i="7"/>
  <c r="F1218" i="7"/>
  <c r="B1219" i="7"/>
  <c r="C1219" i="7"/>
  <c r="D1219" i="7"/>
  <c r="E1219" i="7"/>
  <c r="F1219" i="7"/>
  <c r="B1220" i="7"/>
  <c r="C1220" i="7"/>
  <c r="D1220" i="7"/>
  <c r="E1220" i="7"/>
  <c r="F1220" i="7"/>
  <c r="B1221" i="7"/>
  <c r="C1221" i="7"/>
  <c r="D1221" i="7"/>
  <c r="E1221" i="7"/>
  <c r="F1221" i="7"/>
  <c r="B1222" i="7"/>
  <c r="C1222" i="7"/>
  <c r="D1222" i="7"/>
  <c r="E1222" i="7"/>
  <c r="F1222" i="7"/>
  <c r="B1223" i="7"/>
  <c r="C1223" i="7"/>
  <c r="D1223" i="7"/>
  <c r="E1223" i="7"/>
  <c r="F1223" i="7"/>
  <c r="B1224" i="7"/>
  <c r="C1224" i="7"/>
  <c r="D1224" i="7"/>
  <c r="E1224" i="7"/>
  <c r="F1224" i="7"/>
  <c r="B1225" i="7"/>
  <c r="C1225" i="7"/>
  <c r="D1225" i="7"/>
  <c r="E1225" i="7"/>
  <c r="F1225" i="7"/>
  <c r="B1226" i="7"/>
  <c r="C1226" i="7"/>
  <c r="D1226" i="7"/>
  <c r="E1226" i="7"/>
  <c r="F1226" i="7"/>
  <c r="B1227" i="7"/>
  <c r="C1227" i="7"/>
  <c r="D1227" i="7"/>
  <c r="E1227" i="7"/>
  <c r="F1227" i="7"/>
  <c r="B1228" i="7"/>
  <c r="C1228" i="7"/>
  <c r="D1228" i="7"/>
  <c r="E1228" i="7"/>
  <c r="F1228" i="7"/>
  <c r="B1229" i="7"/>
  <c r="C1229" i="7"/>
  <c r="D1229" i="7"/>
  <c r="E1229" i="7"/>
  <c r="F1229" i="7"/>
  <c r="B1230" i="7"/>
  <c r="C1230" i="7"/>
  <c r="D1230" i="7"/>
  <c r="E1230" i="7"/>
  <c r="F1230" i="7"/>
  <c r="B1231" i="7"/>
  <c r="C1231" i="7"/>
  <c r="D1231" i="7"/>
  <c r="E1231" i="7"/>
  <c r="F1231" i="7"/>
  <c r="B1232" i="7"/>
  <c r="C1232" i="7"/>
  <c r="D1232" i="7"/>
  <c r="E1232" i="7"/>
  <c r="F1232" i="7"/>
  <c r="B1233" i="7"/>
  <c r="C1233" i="7"/>
  <c r="D1233" i="7"/>
  <c r="E1233" i="7"/>
  <c r="F1233" i="7"/>
  <c r="B1234" i="7"/>
  <c r="C1234" i="7"/>
  <c r="D1234" i="7"/>
  <c r="E1234" i="7"/>
  <c r="F1234" i="7"/>
  <c r="B1235" i="7"/>
  <c r="C1235" i="7"/>
  <c r="D1235" i="7"/>
  <c r="E1235" i="7"/>
  <c r="F1235" i="7"/>
  <c r="B1236" i="7"/>
  <c r="C1236" i="7"/>
  <c r="D1236" i="7"/>
  <c r="E1236" i="7"/>
  <c r="F1236" i="7"/>
  <c r="B1237" i="7"/>
  <c r="C1237" i="7"/>
  <c r="D1237" i="7"/>
  <c r="E1237" i="7"/>
  <c r="F1237" i="7"/>
  <c r="B1238" i="7"/>
  <c r="C1238" i="7"/>
  <c r="D1238" i="7"/>
  <c r="E1238" i="7"/>
  <c r="F1238" i="7"/>
  <c r="B1239" i="7"/>
  <c r="C1239" i="7"/>
  <c r="D1239" i="7"/>
  <c r="E1239" i="7"/>
  <c r="F1239" i="7"/>
  <c r="B1240" i="7"/>
  <c r="C1240" i="7"/>
  <c r="D1240" i="7"/>
  <c r="E1240" i="7"/>
  <c r="F1240" i="7"/>
  <c r="B1241" i="7"/>
  <c r="C1241" i="7"/>
  <c r="D1241" i="7"/>
  <c r="E1241" i="7"/>
  <c r="F1241" i="7"/>
  <c r="B1242" i="7"/>
  <c r="C1242" i="7"/>
  <c r="D1242" i="7"/>
  <c r="E1242" i="7"/>
  <c r="F1242" i="7"/>
  <c r="B1243" i="7"/>
  <c r="C1243" i="7"/>
  <c r="D1243" i="7"/>
  <c r="E1243" i="7"/>
  <c r="F1243" i="7"/>
  <c r="B1244" i="7"/>
  <c r="C1244" i="7"/>
  <c r="D1244" i="7"/>
  <c r="E1244" i="7"/>
  <c r="F1244" i="7"/>
  <c r="B1245" i="7"/>
  <c r="C1245" i="7"/>
  <c r="D1245" i="7"/>
  <c r="E1245" i="7"/>
  <c r="F1245" i="7"/>
  <c r="B1246" i="7"/>
  <c r="C1246" i="7"/>
  <c r="D1246" i="7"/>
  <c r="E1246" i="7"/>
  <c r="F1246" i="7"/>
  <c r="B1247" i="7"/>
  <c r="C1247" i="7"/>
  <c r="D1247" i="7"/>
  <c r="E1247" i="7"/>
  <c r="F1247" i="7"/>
  <c r="B1248" i="7"/>
  <c r="C1248" i="7"/>
  <c r="D1248" i="7"/>
  <c r="E1248" i="7"/>
  <c r="F1248" i="7"/>
  <c r="B1249" i="7"/>
  <c r="C1249" i="7"/>
  <c r="D1249" i="7"/>
  <c r="E1249" i="7"/>
  <c r="F1249" i="7"/>
  <c r="B1250" i="7"/>
  <c r="C1250" i="7"/>
  <c r="D1250" i="7"/>
  <c r="E1250" i="7"/>
  <c r="F1250" i="7"/>
  <c r="B1251" i="7"/>
  <c r="C1251" i="7"/>
  <c r="D1251" i="7"/>
  <c r="E1251" i="7"/>
  <c r="F1251" i="7"/>
  <c r="B1252" i="7"/>
  <c r="C1252" i="7"/>
  <c r="D1252" i="7"/>
  <c r="E1252" i="7"/>
  <c r="F1252" i="7"/>
  <c r="B1253" i="7"/>
  <c r="C1253" i="7"/>
  <c r="D1253" i="7"/>
  <c r="E1253" i="7"/>
  <c r="F1253" i="7"/>
  <c r="B1254" i="7"/>
  <c r="C1254" i="7"/>
  <c r="D1254" i="7"/>
  <c r="E1254" i="7"/>
  <c r="F1254" i="7"/>
  <c r="B1255" i="7"/>
  <c r="C1255" i="7"/>
  <c r="D1255" i="7"/>
  <c r="E1255" i="7"/>
  <c r="F1255" i="7"/>
  <c r="B1256" i="7"/>
  <c r="C1256" i="7"/>
  <c r="D1256" i="7"/>
  <c r="E1256" i="7"/>
  <c r="F1256" i="7"/>
  <c r="B1257" i="7"/>
  <c r="C1257" i="7"/>
  <c r="D1257" i="7"/>
  <c r="E1257" i="7"/>
  <c r="F1257" i="7"/>
  <c r="B1258" i="7"/>
  <c r="C1258" i="7"/>
  <c r="D1258" i="7"/>
  <c r="E1258" i="7"/>
  <c r="F1258" i="7"/>
  <c r="B1259" i="7"/>
  <c r="C1259" i="7"/>
  <c r="D1259" i="7"/>
  <c r="E1259" i="7"/>
  <c r="F1259" i="7"/>
  <c r="B1260" i="7"/>
  <c r="C1260" i="7"/>
  <c r="D1260" i="7"/>
  <c r="E1260" i="7"/>
  <c r="F1260" i="7"/>
  <c r="B1261" i="7"/>
  <c r="C1261" i="7"/>
  <c r="D1261" i="7"/>
  <c r="E1261" i="7"/>
  <c r="F1261" i="7"/>
  <c r="B1262" i="7"/>
  <c r="C1262" i="7"/>
  <c r="D1262" i="7"/>
  <c r="E1262" i="7"/>
  <c r="F1262" i="7"/>
  <c r="B1263" i="7"/>
  <c r="C1263" i="7"/>
  <c r="D1263" i="7"/>
  <c r="E1263" i="7"/>
  <c r="F1263" i="7"/>
  <c r="B1264" i="7"/>
  <c r="C1264" i="7"/>
  <c r="D1264" i="7"/>
  <c r="E1264" i="7"/>
  <c r="F1264" i="7"/>
  <c r="B1265" i="7"/>
  <c r="C1265" i="7"/>
  <c r="D1265" i="7"/>
  <c r="E1265" i="7"/>
  <c r="F1265" i="7"/>
  <c r="B1266" i="7"/>
  <c r="C1266" i="7"/>
  <c r="D1266" i="7"/>
  <c r="E1266" i="7"/>
  <c r="F1266" i="7"/>
  <c r="B1267" i="7"/>
  <c r="C1267" i="7"/>
  <c r="D1267" i="7"/>
  <c r="E1267" i="7"/>
  <c r="F1267" i="7"/>
  <c r="B1268" i="7"/>
  <c r="C1268" i="7"/>
  <c r="D1268" i="7"/>
  <c r="E1268" i="7"/>
  <c r="F1268" i="7"/>
  <c r="B1269" i="7"/>
  <c r="C1269" i="7"/>
  <c r="D1269" i="7"/>
  <c r="E1269" i="7"/>
  <c r="F1269" i="7"/>
  <c r="B1270" i="7"/>
  <c r="C1270" i="7"/>
  <c r="D1270" i="7"/>
  <c r="E1270" i="7"/>
  <c r="F1270" i="7"/>
  <c r="B1271" i="7"/>
  <c r="C1271" i="7"/>
  <c r="D1271" i="7"/>
  <c r="E1271" i="7"/>
  <c r="F1271" i="7"/>
  <c r="B1272" i="7"/>
  <c r="C1272" i="7"/>
  <c r="D1272" i="7"/>
  <c r="E1272" i="7"/>
  <c r="F1272" i="7"/>
  <c r="B1273" i="7"/>
  <c r="C1273" i="7"/>
  <c r="D1273" i="7"/>
  <c r="E1273" i="7"/>
  <c r="F1273" i="7"/>
  <c r="B1274" i="7"/>
  <c r="C1274" i="7"/>
  <c r="D1274" i="7"/>
  <c r="E1274" i="7"/>
  <c r="F1274" i="7"/>
  <c r="B1275" i="7"/>
  <c r="C1275" i="7"/>
  <c r="D1275" i="7"/>
  <c r="E1275" i="7"/>
  <c r="F1275" i="7"/>
  <c r="B1276" i="7"/>
  <c r="C1276" i="7"/>
  <c r="D1276" i="7"/>
  <c r="E1276" i="7"/>
  <c r="F1276" i="7"/>
  <c r="B1277" i="7"/>
  <c r="C1277" i="7"/>
  <c r="D1277" i="7"/>
  <c r="E1277" i="7"/>
  <c r="F1277" i="7"/>
  <c r="B1278" i="7"/>
  <c r="C1278" i="7"/>
  <c r="D1278" i="7"/>
  <c r="E1278" i="7"/>
  <c r="F1278" i="7"/>
  <c r="B1279" i="7"/>
  <c r="C1279" i="7"/>
  <c r="D1279" i="7"/>
  <c r="E1279" i="7"/>
  <c r="F1279" i="7"/>
  <c r="B1280" i="7"/>
  <c r="C1280" i="7"/>
  <c r="D1280" i="7"/>
  <c r="E1280" i="7"/>
  <c r="F1280" i="7"/>
  <c r="B1281" i="7"/>
  <c r="C1281" i="7"/>
  <c r="D1281" i="7"/>
  <c r="E1281" i="7"/>
  <c r="F1281" i="7"/>
  <c r="B1282" i="7"/>
  <c r="C1282" i="7"/>
  <c r="D1282" i="7"/>
  <c r="E1282" i="7"/>
  <c r="F1282" i="7"/>
  <c r="B1283" i="7"/>
  <c r="C1283" i="7"/>
  <c r="D1283" i="7"/>
  <c r="E1283" i="7"/>
  <c r="F1283" i="7"/>
  <c r="B1284" i="7"/>
  <c r="C1284" i="7"/>
  <c r="D1284" i="7"/>
  <c r="E1284" i="7"/>
  <c r="F1284" i="7"/>
  <c r="B1285" i="7"/>
  <c r="C1285" i="7"/>
  <c r="D1285" i="7"/>
  <c r="E1285" i="7"/>
  <c r="F1285" i="7"/>
  <c r="B1286" i="7"/>
  <c r="C1286" i="7"/>
  <c r="D1286" i="7"/>
  <c r="E1286" i="7"/>
  <c r="F1286" i="7"/>
  <c r="B1287" i="7"/>
  <c r="C1287" i="7"/>
  <c r="D1287" i="7"/>
  <c r="E1287" i="7"/>
  <c r="F1287" i="7"/>
  <c r="B1288" i="7"/>
  <c r="C1288" i="7"/>
  <c r="D1288" i="7"/>
  <c r="E1288" i="7"/>
  <c r="F1288" i="7"/>
  <c r="B1289" i="7"/>
  <c r="C1289" i="7"/>
  <c r="D1289" i="7"/>
  <c r="E1289" i="7"/>
  <c r="F1289" i="7"/>
  <c r="B1290" i="7"/>
  <c r="C1290" i="7"/>
  <c r="D1290" i="7"/>
  <c r="E1290" i="7"/>
  <c r="F1290" i="7"/>
  <c r="B1291" i="7"/>
  <c r="C1291" i="7"/>
  <c r="D1291" i="7"/>
  <c r="E1291" i="7"/>
  <c r="F1291" i="7"/>
  <c r="B1292" i="7"/>
  <c r="C1292" i="7"/>
  <c r="D1292" i="7"/>
  <c r="E1292" i="7"/>
  <c r="F1292" i="7"/>
  <c r="B1293" i="7"/>
  <c r="C1293" i="7"/>
  <c r="D1293" i="7"/>
  <c r="E1293" i="7"/>
  <c r="F1293" i="7"/>
  <c r="B1294" i="7"/>
  <c r="C1294" i="7"/>
  <c r="D1294" i="7"/>
  <c r="E1294" i="7"/>
  <c r="F1294" i="7"/>
  <c r="B1295" i="7"/>
  <c r="C1295" i="7"/>
  <c r="D1295" i="7"/>
  <c r="E1295" i="7"/>
  <c r="F1295" i="7"/>
  <c r="B1296" i="7"/>
  <c r="C1296" i="7"/>
  <c r="D1296" i="7"/>
  <c r="E1296" i="7"/>
  <c r="F1296" i="7"/>
  <c r="B1297" i="7"/>
  <c r="C1297" i="7"/>
  <c r="D1297" i="7"/>
  <c r="E1297" i="7"/>
  <c r="F1297" i="7"/>
  <c r="B1298" i="7"/>
  <c r="C1298" i="7"/>
  <c r="D1298" i="7"/>
  <c r="E1298" i="7"/>
  <c r="F1298" i="7"/>
  <c r="B1299" i="7"/>
  <c r="C1299" i="7"/>
  <c r="D1299" i="7"/>
  <c r="E1299" i="7"/>
  <c r="F1299" i="7"/>
  <c r="B1300" i="7"/>
  <c r="C1300" i="7"/>
  <c r="D1300" i="7"/>
  <c r="E1300" i="7"/>
  <c r="F1300" i="7"/>
  <c r="B1301" i="7"/>
  <c r="C1301" i="7"/>
  <c r="D1301" i="7"/>
  <c r="E1301" i="7"/>
  <c r="F1301" i="7"/>
  <c r="B1302" i="7"/>
  <c r="C1302" i="7"/>
  <c r="D1302" i="7"/>
  <c r="E1302" i="7"/>
  <c r="F1302" i="7"/>
  <c r="B1303" i="7"/>
  <c r="C1303" i="7"/>
  <c r="D1303" i="7"/>
  <c r="E1303" i="7"/>
  <c r="F1303" i="7"/>
  <c r="B1304" i="7"/>
  <c r="C1304" i="7"/>
  <c r="D1304" i="7"/>
  <c r="E1304" i="7"/>
  <c r="F1304" i="7"/>
  <c r="B1305" i="7"/>
  <c r="C1305" i="7"/>
  <c r="D1305" i="7"/>
  <c r="E1305" i="7"/>
  <c r="F1305" i="7"/>
  <c r="B1306" i="7"/>
  <c r="C1306" i="7"/>
  <c r="D1306" i="7"/>
  <c r="E1306" i="7"/>
  <c r="F1306" i="7"/>
  <c r="B1307" i="7"/>
  <c r="C1307" i="7"/>
  <c r="D1307" i="7"/>
  <c r="E1307" i="7"/>
  <c r="F1307" i="7"/>
  <c r="B1308" i="7"/>
  <c r="C1308" i="7"/>
  <c r="D1308" i="7"/>
  <c r="E1308" i="7"/>
  <c r="F1308" i="7"/>
  <c r="B1309" i="7"/>
  <c r="C1309" i="7"/>
  <c r="D1309" i="7"/>
  <c r="E1309" i="7"/>
  <c r="F1309" i="7"/>
  <c r="B1310" i="7"/>
  <c r="C1310" i="7"/>
  <c r="D1310" i="7"/>
  <c r="E1310" i="7"/>
  <c r="F1310" i="7"/>
  <c r="B1311" i="7"/>
  <c r="C1311" i="7"/>
  <c r="D1311" i="7"/>
  <c r="E1311" i="7"/>
  <c r="F1311" i="7"/>
  <c r="B1312" i="7"/>
  <c r="C1312" i="7"/>
  <c r="D1312" i="7"/>
  <c r="E1312" i="7"/>
  <c r="F1312" i="7"/>
  <c r="B1313" i="7"/>
  <c r="C1313" i="7"/>
  <c r="D1313" i="7"/>
  <c r="E1313" i="7"/>
  <c r="F1313" i="7"/>
  <c r="B1314" i="7"/>
  <c r="C1314" i="7"/>
  <c r="D1314" i="7"/>
  <c r="E1314" i="7"/>
  <c r="F1314" i="7"/>
  <c r="B1315" i="7"/>
  <c r="C1315" i="7"/>
  <c r="D1315" i="7"/>
  <c r="E1315" i="7"/>
  <c r="F1315" i="7"/>
  <c r="B1316" i="7"/>
  <c r="C1316" i="7"/>
  <c r="D1316" i="7"/>
  <c r="E1316" i="7"/>
  <c r="F1316" i="7"/>
  <c r="B1317" i="7"/>
  <c r="C1317" i="7"/>
  <c r="D1317" i="7"/>
  <c r="E1317" i="7"/>
  <c r="F1317" i="7"/>
  <c r="B1318" i="7"/>
  <c r="C1318" i="7"/>
  <c r="D1318" i="7"/>
  <c r="E1318" i="7"/>
  <c r="F1318" i="7"/>
  <c r="B1319" i="7"/>
  <c r="C1319" i="7"/>
  <c r="D1319" i="7"/>
  <c r="E1319" i="7"/>
  <c r="F1319" i="7"/>
  <c r="B1320" i="7"/>
  <c r="C1320" i="7"/>
  <c r="D1320" i="7"/>
  <c r="E1320" i="7"/>
  <c r="F1320" i="7"/>
  <c r="B1321" i="7"/>
  <c r="C1321" i="7"/>
  <c r="D1321" i="7"/>
  <c r="E1321" i="7"/>
  <c r="F1321" i="7"/>
  <c r="B1322" i="7"/>
  <c r="C1322" i="7"/>
  <c r="D1322" i="7"/>
  <c r="E1322" i="7"/>
  <c r="F1322" i="7"/>
  <c r="B1323" i="7"/>
  <c r="C1323" i="7"/>
  <c r="D1323" i="7"/>
  <c r="E1323" i="7"/>
  <c r="F1323" i="7"/>
  <c r="B1324" i="7"/>
  <c r="C1324" i="7"/>
  <c r="D1324" i="7"/>
  <c r="E1324" i="7"/>
  <c r="F1324" i="7"/>
  <c r="B1325" i="7"/>
  <c r="C1325" i="7"/>
  <c r="D1325" i="7"/>
  <c r="E1325" i="7"/>
  <c r="F1325" i="7"/>
  <c r="B1326" i="7"/>
  <c r="C1326" i="7"/>
  <c r="D1326" i="7"/>
  <c r="E1326" i="7"/>
  <c r="F1326" i="7"/>
  <c r="B1327" i="7"/>
  <c r="C1327" i="7"/>
  <c r="D1327" i="7"/>
  <c r="E1327" i="7"/>
  <c r="F1327" i="7"/>
  <c r="B1328" i="7"/>
  <c r="C1328" i="7"/>
  <c r="D1328" i="7"/>
  <c r="E1328" i="7"/>
  <c r="F1328" i="7"/>
  <c r="B1329" i="7"/>
  <c r="C1329" i="7"/>
  <c r="D1329" i="7"/>
  <c r="E1329" i="7"/>
  <c r="F1329" i="7"/>
  <c r="B1330" i="7"/>
  <c r="C1330" i="7"/>
  <c r="D1330" i="7"/>
  <c r="E1330" i="7"/>
  <c r="F1330" i="7"/>
  <c r="B1331" i="7"/>
  <c r="C1331" i="7"/>
  <c r="D1331" i="7"/>
  <c r="E1331" i="7"/>
  <c r="F1331" i="7"/>
  <c r="B1332" i="7"/>
  <c r="C1332" i="7"/>
  <c r="D1332" i="7"/>
  <c r="E1332" i="7"/>
  <c r="F1332" i="7"/>
  <c r="B1333" i="7"/>
  <c r="C1333" i="7"/>
  <c r="D1333" i="7"/>
  <c r="E1333" i="7"/>
  <c r="F1333" i="7"/>
  <c r="B1334" i="7"/>
  <c r="C1334" i="7"/>
  <c r="D1334" i="7"/>
  <c r="E1334" i="7"/>
  <c r="F1334" i="7"/>
  <c r="B1335" i="7"/>
  <c r="C1335" i="7"/>
  <c r="D1335" i="7"/>
  <c r="E1335" i="7"/>
  <c r="F1335" i="7"/>
  <c r="B1336" i="7"/>
  <c r="C1336" i="7"/>
  <c r="D1336" i="7"/>
  <c r="E1336" i="7"/>
  <c r="F1336" i="7"/>
  <c r="B1337" i="7"/>
  <c r="C1337" i="7"/>
  <c r="D1337" i="7"/>
  <c r="E1337" i="7"/>
  <c r="F1337" i="7"/>
  <c r="B1338" i="7"/>
  <c r="C1338" i="7"/>
  <c r="D1338" i="7"/>
  <c r="E1338" i="7"/>
  <c r="F1338" i="7"/>
  <c r="B1339" i="7"/>
  <c r="C1339" i="7"/>
  <c r="D1339" i="7"/>
  <c r="E1339" i="7"/>
  <c r="F1339" i="7"/>
  <c r="B1340" i="7"/>
  <c r="C1340" i="7"/>
  <c r="D1340" i="7"/>
  <c r="E1340" i="7"/>
  <c r="F1340" i="7"/>
  <c r="B1341" i="7"/>
  <c r="C1341" i="7"/>
  <c r="D1341" i="7"/>
  <c r="E1341" i="7"/>
  <c r="F1341" i="7"/>
  <c r="B1342" i="7"/>
  <c r="C1342" i="7"/>
  <c r="D1342" i="7"/>
  <c r="E1342" i="7"/>
  <c r="F1342" i="7"/>
  <c r="B1343" i="7"/>
  <c r="C1343" i="7"/>
  <c r="D1343" i="7"/>
  <c r="E1343" i="7"/>
  <c r="F1343" i="7"/>
  <c r="B1344" i="7"/>
  <c r="C1344" i="7"/>
  <c r="D1344" i="7"/>
  <c r="E1344" i="7"/>
  <c r="F1344" i="7"/>
  <c r="B1345" i="7"/>
  <c r="C1345" i="7"/>
  <c r="D1345" i="7"/>
  <c r="E1345" i="7"/>
  <c r="F1345" i="7"/>
  <c r="B1346" i="7"/>
  <c r="C1346" i="7"/>
  <c r="D1346" i="7"/>
  <c r="E1346" i="7"/>
  <c r="F1346" i="7"/>
  <c r="B1347" i="7"/>
  <c r="C1347" i="7"/>
  <c r="D1347" i="7"/>
  <c r="E1347" i="7"/>
  <c r="F1347" i="7"/>
  <c r="B1348" i="7"/>
  <c r="C1348" i="7"/>
  <c r="D1348" i="7"/>
  <c r="E1348" i="7"/>
  <c r="F1348" i="7"/>
  <c r="B1349" i="7"/>
  <c r="C1349" i="7"/>
  <c r="D1349" i="7"/>
  <c r="E1349" i="7"/>
  <c r="F1349" i="7"/>
  <c r="B1350" i="7"/>
  <c r="C1350" i="7"/>
  <c r="D1350" i="7"/>
  <c r="E1350" i="7"/>
  <c r="F1350" i="7"/>
  <c r="B1351" i="7"/>
  <c r="C1351" i="7"/>
  <c r="D1351" i="7"/>
  <c r="E1351" i="7"/>
  <c r="F1351" i="7"/>
  <c r="B1352" i="7"/>
  <c r="C1352" i="7"/>
  <c r="D1352" i="7"/>
  <c r="E1352" i="7"/>
  <c r="F1352" i="7"/>
  <c r="B1353" i="7"/>
  <c r="C1353" i="7"/>
  <c r="D1353" i="7"/>
  <c r="E1353" i="7"/>
  <c r="F1353" i="7"/>
  <c r="B1354" i="7"/>
  <c r="C1354" i="7"/>
  <c r="D1354" i="7"/>
  <c r="E1354" i="7"/>
  <c r="F1354" i="7"/>
  <c r="B1355" i="7"/>
  <c r="C1355" i="7"/>
  <c r="D1355" i="7"/>
  <c r="E1355" i="7"/>
  <c r="F1355" i="7"/>
  <c r="B1356" i="7"/>
  <c r="C1356" i="7"/>
  <c r="D1356" i="7"/>
  <c r="E1356" i="7"/>
  <c r="F1356" i="7"/>
  <c r="B1357" i="7"/>
  <c r="C1357" i="7"/>
  <c r="D1357" i="7"/>
  <c r="E1357" i="7"/>
  <c r="F1357" i="7"/>
  <c r="B1358" i="7"/>
  <c r="C1358" i="7"/>
  <c r="D1358" i="7"/>
  <c r="E1358" i="7"/>
  <c r="F1358" i="7"/>
  <c r="B1359" i="7"/>
  <c r="C1359" i="7"/>
  <c r="D1359" i="7"/>
  <c r="E1359" i="7"/>
  <c r="F1359" i="7"/>
  <c r="B1360" i="7"/>
  <c r="C1360" i="7"/>
  <c r="D1360" i="7"/>
  <c r="E1360" i="7"/>
  <c r="F1360" i="7"/>
  <c r="B1361" i="7"/>
  <c r="C1361" i="7"/>
  <c r="D1361" i="7"/>
  <c r="E1361" i="7"/>
  <c r="F1361" i="7"/>
  <c r="B1362" i="7"/>
  <c r="C1362" i="7"/>
  <c r="D1362" i="7"/>
  <c r="E1362" i="7"/>
  <c r="F1362" i="7"/>
  <c r="B1363" i="7"/>
  <c r="C1363" i="7"/>
  <c r="D1363" i="7"/>
  <c r="E1363" i="7"/>
  <c r="F1363" i="7"/>
  <c r="B1364" i="7"/>
  <c r="C1364" i="7"/>
  <c r="D1364" i="7"/>
  <c r="E1364" i="7"/>
  <c r="F1364" i="7"/>
  <c r="B1365" i="7"/>
  <c r="C1365" i="7"/>
  <c r="D1365" i="7"/>
  <c r="E1365" i="7"/>
  <c r="F1365" i="7"/>
  <c r="B1366" i="7"/>
  <c r="C1366" i="7"/>
  <c r="D1366" i="7"/>
  <c r="E1366" i="7"/>
  <c r="F1366" i="7"/>
  <c r="B1367" i="7"/>
  <c r="C1367" i="7"/>
  <c r="D1367" i="7"/>
  <c r="E1367" i="7"/>
  <c r="F1367" i="7"/>
  <c r="B1368" i="7"/>
  <c r="C1368" i="7"/>
  <c r="D1368" i="7"/>
  <c r="E1368" i="7"/>
  <c r="F1368" i="7"/>
  <c r="B1369" i="7"/>
  <c r="C1369" i="7"/>
  <c r="D1369" i="7"/>
  <c r="E1369" i="7"/>
  <c r="F1369" i="7"/>
  <c r="B1370" i="7"/>
  <c r="C1370" i="7"/>
  <c r="D1370" i="7"/>
  <c r="E1370" i="7"/>
  <c r="F1370" i="7"/>
  <c r="B1371" i="7"/>
  <c r="C1371" i="7"/>
  <c r="D1371" i="7"/>
  <c r="E1371" i="7"/>
  <c r="F1371" i="7"/>
  <c r="B1372" i="7"/>
  <c r="C1372" i="7"/>
  <c r="D1372" i="7"/>
  <c r="E1372" i="7"/>
  <c r="F1372" i="7"/>
  <c r="B1373" i="7"/>
  <c r="C1373" i="7"/>
  <c r="D1373" i="7"/>
  <c r="E1373" i="7"/>
  <c r="F1373" i="7"/>
  <c r="B1374" i="7"/>
  <c r="C1374" i="7"/>
  <c r="D1374" i="7"/>
  <c r="E1374" i="7"/>
  <c r="F1374" i="7"/>
  <c r="B1375" i="7"/>
  <c r="C1375" i="7"/>
  <c r="D1375" i="7"/>
  <c r="E1375" i="7"/>
  <c r="F1375" i="7"/>
  <c r="B1376" i="7"/>
  <c r="C1376" i="7"/>
  <c r="D1376" i="7"/>
  <c r="E1376" i="7"/>
  <c r="F1376" i="7"/>
  <c r="B1377" i="7"/>
  <c r="C1377" i="7"/>
  <c r="D1377" i="7"/>
  <c r="E1377" i="7"/>
  <c r="F1377" i="7"/>
  <c r="B1378" i="7"/>
  <c r="C1378" i="7"/>
  <c r="D1378" i="7"/>
  <c r="E1378" i="7"/>
  <c r="F1378" i="7"/>
  <c r="B1379" i="7"/>
  <c r="C1379" i="7"/>
  <c r="D1379" i="7"/>
  <c r="E1379" i="7"/>
  <c r="F1379" i="7"/>
  <c r="B1380" i="7"/>
  <c r="C1380" i="7"/>
  <c r="D1380" i="7"/>
  <c r="E1380" i="7"/>
  <c r="F1380" i="7"/>
  <c r="B1381" i="7"/>
  <c r="C1381" i="7"/>
  <c r="D1381" i="7"/>
  <c r="E1381" i="7"/>
  <c r="F1381" i="7"/>
  <c r="B1382" i="7"/>
  <c r="C1382" i="7"/>
  <c r="D1382" i="7"/>
  <c r="E1382" i="7"/>
  <c r="F1382" i="7"/>
  <c r="B1383" i="7"/>
  <c r="C1383" i="7"/>
  <c r="D1383" i="7"/>
  <c r="E1383" i="7"/>
  <c r="F1383" i="7"/>
  <c r="B1384" i="7"/>
  <c r="C1384" i="7"/>
  <c r="D1384" i="7"/>
  <c r="E1384" i="7"/>
  <c r="F1384" i="7"/>
  <c r="B1385" i="7"/>
  <c r="C1385" i="7"/>
  <c r="D1385" i="7"/>
  <c r="E1385" i="7"/>
  <c r="F1385" i="7"/>
  <c r="B1386" i="7"/>
  <c r="C1386" i="7"/>
  <c r="D1386" i="7"/>
  <c r="E1386" i="7"/>
  <c r="F1386" i="7"/>
  <c r="B1387" i="7"/>
  <c r="C1387" i="7"/>
  <c r="D1387" i="7"/>
  <c r="E1387" i="7"/>
  <c r="F1387" i="7"/>
  <c r="B1388" i="7"/>
  <c r="C1388" i="7"/>
  <c r="D1388" i="7"/>
  <c r="E1388" i="7"/>
  <c r="F1388" i="7"/>
  <c r="B1389" i="7"/>
  <c r="C1389" i="7"/>
  <c r="D1389" i="7"/>
  <c r="E1389" i="7"/>
  <c r="F1389" i="7"/>
  <c r="B1390" i="7"/>
  <c r="C1390" i="7"/>
  <c r="D1390" i="7"/>
  <c r="E1390" i="7"/>
  <c r="F1390" i="7"/>
  <c r="B1391" i="7"/>
  <c r="C1391" i="7"/>
  <c r="D1391" i="7"/>
  <c r="E1391" i="7"/>
  <c r="F1391" i="7"/>
  <c r="B1392" i="7"/>
  <c r="C1392" i="7"/>
  <c r="D1392" i="7"/>
  <c r="E1392" i="7"/>
  <c r="F1392" i="7"/>
  <c r="B1393" i="7"/>
  <c r="C1393" i="7"/>
  <c r="D1393" i="7"/>
  <c r="E1393" i="7"/>
  <c r="F1393" i="7"/>
  <c r="B1394" i="7"/>
  <c r="C1394" i="7"/>
  <c r="D1394" i="7"/>
  <c r="E1394" i="7"/>
  <c r="F1394" i="7"/>
  <c r="B1395" i="7"/>
  <c r="C1395" i="7"/>
  <c r="D1395" i="7"/>
  <c r="E1395" i="7"/>
  <c r="F1395" i="7"/>
  <c r="B1396" i="7"/>
  <c r="C1396" i="7"/>
  <c r="D1396" i="7"/>
  <c r="E1396" i="7"/>
  <c r="F1396" i="7"/>
  <c r="B1397" i="7"/>
  <c r="C1397" i="7"/>
  <c r="D1397" i="7"/>
  <c r="E1397" i="7"/>
  <c r="F1397" i="7"/>
  <c r="B1398" i="7"/>
  <c r="C1398" i="7"/>
  <c r="D1398" i="7"/>
  <c r="E1398" i="7"/>
  <c r="F1398" i="7"/>
  <c r="B1399" i="7"/>
  <c r="C1399" i="7"/>
  <c r="D1399" i="7"/>
  <c r="E1399" i="7"/>
  <c r="F1399" i="7"/>
  <c r="B1400" i="7"/>
  <c r="C1400" i="7"/>
  <c r="D1400" i="7"/>
  <c r="E1400" i="7"/>
  <c r="F1400" i="7"/>
  <c r="B1401" i="7"/>
  <c r="C1401" i="7"/>
  <c r="D1401" i="7"/>
  <c r="E1401" i="7"/>
  <c r="F1401" i="7"/>
  <c r="B1402" i="7"/>
  <c r="C1402" i="7"/>
  <c r="D1402" i="7"/>
  <c r="E1402" i="7"/>
  <c r="F1402" i="7"/>
  <c r="B1403" i="7"/>
  <c r="C1403" i="7"/>
  <c r="D1403" i="7"/>
  <c r="E1403" i="7"/>
  <c r="F1403" i="7"/>
  <c r="B1404" i="7"/>
  <c r="C1404" i="7"/>
  <c r="D1404" i="7"/>
  <c r="E1404" i="7"/>
  <c r="F1404" i="7"/>
  <c r="B1405" i="7"/>
  <c r="C1405" i="7"/>
  <c r="D1405" i="7"/>
  <c r="E1405" i="7"/>
  <c r="F1405" i="7"/>
  <c r="B1406" i="7"/>
  <c r="C1406" i="7"/>
  <c r="D1406" i="7"/>
  <c r="E1406" i="7"/>
  <c r="F1406" i="7"/>
  <c r="B1407" i="7"/>
  <c r="C1407" i="7"/>
  <c r="D1407" i="7"/>
  <c r="E1407" i="7"/>
  <c r="F1407" i="7"/>
  <c r="B1408" i="7"/>
  <c r="C1408" i="7"/>
  <c r="D1408" i="7"/>
  <c r="E1408" i="7"/>
  <c r="F1408" i="7"/>
  <c r="B1409" i="7"/>
  <c r="C1409" i="7"/>
  <c r="D1409" i="7"/>
  <c r="E1409" i="7"/>
  <c r="F1409" i="7"/>
  <c r="B1410" i="7"/>
  <c r="C1410" i="7"/>
  <c r="D1410" i="7"/>
  <c r="E1410" i="7"/>
  <c r="F1410" i="7"/>
  <c r="B1411" i="7"/>
  <c r="C1411" i="7"/>
  <c r="D1411" i="7"/>
  <c r="E1411" i="7"/>
  <c r="F1411" i="7"/>
  <c r="B1412" i="7"/>
  <c r="C1412" i="7"/>
  <c r="D1412" i="7"/>
  <c r="E1412" i="7"/>
  <c r="F1412" i="7"/>
  <c r="B1413" i="7"/>
  <c r="C1413" i="7"/>
  <c r="D1413" i="7"/>
  <c r="E1413" i="7"/>
  <c r="F1413" i="7"/>
  <c r="B1414" i="7"/>
  <c r="C1414" i="7"/>
  <c r="D1414" i="7"/>
  <c r="E1414" i="7"/>
  <c r="F1414" i="7"/>
  <c r="B1415" i="7"/>
  <c r="C1415" i="7"/>
  <c r="D1415" i="7"/>
  <c r="E1415" i="7"/>
  <c r="F1415" i="7"/>
  <c r="B1416" i="7"/>
  <c r="C1416" i="7"/>
  <c r="D1416" i="7"/>
  <c r="E1416" i="7"/>
  <c r="F1416" i="7"/>
  <c r="B1417" i="7"/>
  <c r="C1417" i="7"/>
  <c r="D1417" i="7"/>
  <c r="E1417" i="7"/>
  <c r="F1417" i="7"/>
  <c r="B1418" i="7"/>
  <c r="C1418" i="7"/>
  <c r="D1418" i="7"/>
  <c r="E1418" i="7"/>
  <c r="F1418" i="7"/>
  <c r="B1419" i="7"/>
  <c r="C1419" i="7"/>
  <c r="D1419" i="7"/>
  <c r="E1419" i="7"/>
  <c r="F1419" i="7"/>
  <c r="B1420" i="7"/>
  <c r="C1420" i="7"/>
  <c r="D1420" i="7"/>
  <c r="E1420" i="7"/>
  <c r="F1420" i="7"/>
  <c r="B1421" i="7"/>
  <c r="C1421" i="7"/>
  <c r="D1421" i="7"/>
  <c r="E1421" i="7"/>
  <c r="F1421" i="7"/>
  <c r="B1422" i="7"/>
  <c r="C1422" i="7"/>
  <c r="D1422" i="7"/>
  <c r="E1422" i="7"/>
  <c r="F1422" i="7"/>
  <c r="B1423" i="7"/>
  <c r="C1423" i="7"/>
  <c r="D1423" i="7"/>
  <c r="E1423" i="7"/>
  <c r="F1423" i="7"/>
  <c r="B1424" i="7"/>
  <c r="C1424" i="7"/>
  <c r="D1424" i="7"/>
  <c r="E1424" i="7"/>
  <c r="F1424" i="7"/>
  <c r="B1425" i="7"/>
  <c r="C1425" i="7"/>
  <c r="D1425" i="7"/>
  <c r="E1425" i="7"/>
  <c r="F1425" i="7"/>
  <c r="B1426" i="7"/>
  <c r="C1426" i="7"/>
  <c r="D1426" i="7"/>
  <c r="E1426" i="7"/>
  <c r="F1426" i="7"/>
  <c r="B1427" i="7"/>
  <c r="C1427" i="7"/>
  <c r="D1427" i="7"/>
  <c r="E1427" i="7"/>
  <c r="F1427" i="7"/>
  <c r="B1428" i="7"/>
  <c r="C1428" i="7"/>
  <c r="D1428" i="7"/>
  <c r="E1428" i="7"/>
  <c r="F1428" i="7"/>
  <c r="B1429" i="7"/>
  <c r="C1429" i="7"/>
  <c r="D1429" i="7"/>
  <c r="E1429" i="7"/>
  <c r="F1429" i="7"/>
  <c r="B1430" i="7"/>
  <c r="C1430" i="7"/>
  <c r="D1430" i="7"/>
  <c r="E1430" i="7"/>
  <c r="F1430" i="7"/>
  <c r="B1431" i="7"/>
  <c r="C1431" i="7"/>
  <c r="D1431" i="7"/>
  <c r="E1431" i="7"/>
  <c r="F1431" i="7"/>
  <c r="B1432" i="7"/>
  <c r="C1432" i="7"/>
  <c r="D1432" i="7"/>
  <c r="E1432" i="7"/>
  <c r="F1432" i="7"/>
  <c r="B1433" i="7"/>
  <c r="C1433" i="7"/>
  <c r="D1433" i="7"/>
  <c r="E1433" i="7"/>
  <c r="F1433" i="7"/>
  <c r="B1434" i="7"/>
  <c r="C1434" i="7"/>
  <c r="D1434" i="7"/>
  <c r="E1434" i="7"/>
  <c r="F1434" i="7"/>
  <c r="B1435" i="7"/>
  <c r="C1435" i="7"/>
  <c r="D1435" i="7"/>
  <c r="E1435" i="7"/>
  <c r="F1435" i="7"/>
  <c r="B1436" i="7"/>
  <c r="C1436" i="7"/>
  <c r="D1436" i="7"/>
  <c r="E1436" i="7"/>
  <c r="F1436" i="7"/>
  <c r="B1437" i="7"/>
  <c r="C1437" i="7"/>
  <c r="D1437" i="7"/>
  <c r="E1437" i="7"/>
  <c r="F1437" i="7"/>
  <c r="B1438" i="7"/>
  <c r="C1438" i="7"/>
  <c r="D1438" i="7"/>
  <c r="E1438" i="7"/>
  <c r="F1438" i="7"/>
  <c r="B1439" i="7"/>
  <c r="C1439" i="7"/>
  <c r="D1439" i="7"/>
  <c r="E1439" i="7"/>
  <c r="F1439" i="7"/>
  <c r="B1440" i="7"/>
  <c r="C1440" i="7"/>
  <c r="D1440" i="7"/>
  <c r="E1440" i="7"/>
  <c r="F1440" i="7"/>
  <c r="B1441" i="7"/>
  <c r="C1441" i="7"/>
  <c r="D1441" i="7"/>
  <c r="E1441" i="7"/>
  <c r="F1441" i="7"/>
  <c r="B1442" i="7"/>
  <c r="C1442" i="7"/>
  <c r="D1442" i="7"/>
  <c r="E1442" i="7"/>
  <c r="F1442" i="7"/>
  <c r="B1443" i="7"/>
  <c r="C1443" i="7"/>
  <c r="D1443" i="7"/>
  <c r="E1443" i="7"/>
  <c r="F1443" i="7"/>
  <c r="B1444" i="7"/>
  <c r="C1444" i="7"/>
  <c r="D1444" i="7"/>
  <c r="E1444" i="7"/>
  <c r="F1444" i="7"/>
  <c r="B1445" i="7"/>
  <c r="C1445" i="7"/>
  <c r="D1445" i="7"/>
  <c r="E1445" i="7"/>
  <c r="F1445" i="7"/>
  <c r="B1446" i="7"/>
  <c r="C1446" i="7"/>
  <c r="D1446" i="7"/>
  <c r="E1446" i="7"/>
  <c r="F1446" i="7"/>
  <c r="B1447" i="7"/>
  <c r="C1447" i="7"/>
  <c r="D1447" i="7"/>
  <c r="E1447" i="7"/>
  <c r="F1447" i="7"/>
  <c r="B1448" i="7"/>
  <c r="C1448" i="7"/>
  <c r="D1448" i="7"/>
  <c r="E1448" i="7"/>
  <c r="F1448" i="7"/>
  <c r="B1449" i="7"/>
  <c r="C1449" i="7"/>
  <c r="D1449" i="7"/>
  <c r="E1449" i="7"/>
  <c r="F1449" i="7"/>
  <c r="B1450" i="7"/>
  <c r="C1450" i="7"/>
  <c r="D1450" i="7"/>
  <c r="E1450" i="7"/>
  <c r="F1450" i="7"/>
  <c r="B1451" i="7"/>
  <c r="C1451" i="7"/>
  <c r="D1451" i="7"/>
  <c r="E1451" i="7"/>
  <c r="F1451" i="7"/>
  <c r="B1452" i="7"/>
  <c r="C1452" i="7"/>
  <c r="D1452" i="7"/>
  <c r="E1452" i="7"/>
  <c r="F1452" i="7"/>
  <c r="B1453" i="7"/>
  <c r="C1453" i="7"/>
  <c r="D1453" i="7"/>
  <c r="E1453" i="7"/>
  <c r="F1453" i="7"/>
  <c r="B1454" i="7"/>
  <c r="C1454" i="7"/>
  <c r="D1454" i="7"/>
  <c r="E1454" i="7"/>
  <c r="F1454" i="7"/>
  <c r="B1455" i="7"/>
  <c r="C1455" i="7"/>
  <c r="D1455" i="7"/>
  <c r="E1455" i="7"/>
  <c r="F1455" i="7"/>
  <c r="B1456" i="7"/>
  <c r="C1456" i="7"/>
  <c r="D1456" i="7"/>
  <c r="E1456" i="7"/>
  <c r="F1456" i="7"/>
  <c r="B1457" i="7"/>
  <c r="C1457" i="7"/>
  <c r="D1457" i="7"/>
  <c r="E1457" i="7"/>
  <c r="F1457" i="7"/>
  <c r="B1458" i="7"/>
  <c r="C1458" i="7"/>
  <c r="D1458" i="7"/>
  <c r="E1458" i="7"/>
  <c r="F1458" i="7"/>
  <c r="B1459" i="7"/>
  <c r="C1459" i="7"/>
  <c r="D1459" i="7"/>
  <c r="E1459" i="7"/>
  <c r="F1459" i="7"/>
  <c r="B1460" i="7"/>
  <c r="C1460" i="7"/>
  <c r="D1460" i="7"/>
  <c r="E1460" i="7"/>
  <c r="F1460" i="7"/>
  <c r="B1461" i="7"/>
  <c r="C1461" i="7"/>
  <c r="D1461" i="7"/>
  <c r="E1461" i="7"/>
  <c r="F1461" i="7"/>
  <c r="B1462" i="7"/>
  <c r="C1462" i="7"/>
  <c r="D1462" i="7"/>
  <c r="E1462" i="7"/>
  <c r="F1462" i="7"/>
  <c r="B1463" i="7"/>
  <c r="C1463" i="7"/>
  <c r="D1463" i="7"/>
  <c r="E1463" i="7"/>
  <c r="F1463" i="7"/>
  <c r="B1464" i="7"/>
  <c r="C1464" i="7"/>
  <c r="D1464" i="7"/>
  <c r="E1464" i="7"/>
  <c r="F1464" i="7"/>
  <c r="B1465" i="7"/>
  <c r="C1465" i="7"/>
  <c r="D1465" i="7"/>
  <c r="E1465" i="7"/>
  <c r="F1465" i="7"/>
  <c r="B1466" i="7"/>
  <c r="C1466" i="7"/>
  <c r="D1466" i="7"/>
  <c r="E1466" i="7"/>
  <c r="F1466" i="7"/>
  <c r="B1467" i="7"/>
  <c r="C1467" i="7"/>
  <c r="D1467" i="7"/>
  <c r="E1467" i="7"/>
  <c r="F1467" i="7"/>
  <c r="B1468" i="7"/>
  <c r="C1468" i="7"/>
  <c r="D1468" i="7"/>
  <c r="E1468" i="7"/>
  <c r="F1468" i="7"/>
  <c r="B1469" i="7"/>
  <c r="C1469" i="7"/>
  <c r="D1469" i="7"/>
  <c r="E1469" i="7"/>
  <c r="F1469" i="7"/>
  <c r="B1470" i="7"/>
  <c r="C1470" i="7"/>
  <c r="D1470" i="7"/>
  <c r="E1470" i="7"/>
  <c r="F1470" i="7"/>
  <c r="B1471" i="7"/>
  <c r="C1471" i="7"/>
  <c r="D1471" i="7"/>
  <c r="E1471" i="7"/>
  <c r="F1471" i="7"/>
  <c r="B1472" i="7"/>
  <c r="C1472" i="7"/>
  <c r="D1472" i="7"/>
  <c r="E1472" i="7"/>
  <c r="F1472" i="7"/>
  <c r="B1473" i="7"/>
  <c r="C1473" i="7"/>
  <c r="D1473" i="7"/>
  <c r="E1473" i="7"/>
  <c r="F1473" i="7"/>
  <c r="B1474" i="7"/>
  <c r="C1474" i="7"/>
  <c r="D1474" i="7"/>
  <c r="E1474" i="7"/>
  <c r="F1474" i="7"/>
  <c r="B1475" i="7"/>
  <c r="C1475" i="7"/>
  <c r="D1475" i="7"/>
  <c r="E1475" i="7"/>
  <c r="F1475" i="7"/>
  <c r="B1476" i="7"/>
  <c r="C1476" i="7"/>
  <c r="D1476" i="7"/>
  <c r="E1476" i="7"/>
  <c r="F1476" i="7"/>
  <c r="B1477" i="7"/>
  <c r="C1477" i="7"/>
  <c r="D1477" i="7"/>
  <c r="E1477" i="7"/>
  <c r="F1477" i="7"/>
  <c r="B1478" i="7"/>
  <c r="C1478" i="7"/>
  <c r="D1478" i="7"/>
  <c r="E1478" i="7"/>
  <c r="F1478" i="7"/>
  <c r="B1479" i="7"/>
  <c r="C1479" i="7"/>
  <c r="D1479" i="7"/>
  <c r="E1479" i="7"/>
  <c r="F1479" i="7"/>
  <c r="B1480" i="7"/>
  <c r="C1480" i="7"/>
  <c r="D1480" i="7"/>
  <c r="E1480" i="7"/>
  <c r="F1480" i="7"/>
  <c r="B1481" i="7"/>
  <c r="C1481" i="7"/>
  <c r="D1481" i="7"/>
  <c r="E1481" i="7"/>
  <c r="F1481" i="7"/>
  <c r="B1482" i="7"/>
  <c r="C1482" i="7"/>
  <c r="D1482" i="7"/>
  <c r="E1482" i="7"/>
  <c r="F1482" i="7"/>
  <c r="B1483" i="7"/>
  <c r="C1483" i="7"/>
  <c r="D1483" i="7"/>
  <c r="E1483" i="7"/>
  <c r="F1483" i="7"/>
  <c r="B1484" i="7"/>
  <c r="C1484" i="7"/>
  <c r="D1484" i="7"/>
  <c r="E1484" i="7"/>
  <c r="F1484" i="7"/>
  <c r="B1485" i="7"/>
  <c r="C1485" i="7"/>
  <c r="D1485" i="7"/>
  <c r="E1485" i="7"/>
  <c r="F1485" i="7"/>
  <c r="B1486" i="7"/>
  <c r="C1486" i="7"/>
  <c r="D1486" i="7"/>
  <c r="E1486" i="7"/>
  <c r="F1486" i="7"/>
  <c r="B1487" i="7"/>
  <c r="C1487" i="7"/>
  <c r="D1487" i="7"/>
  <c r="E1487" i="7"/>
  <c r="F1487" i="7"/>
  <c r="B1488" i="7"/>
  <c r="C1488" i="7"/>
  <c r="D1488" i="7"/>
  <c r="E1488" i="7"/>
  <c r="F1488" i="7"/>
  <c r="B1489" i="7"/>
  <c r="C1489" i="7"/>
  <c r="D1489" i="7"/>
  <c r="E1489" i="7"/>
  <c r="F1489" i="7"/>
  <c r="B1490" i="7"/>
  <c r="C1490" i="7"/>
  <c r="D1490" i="7"/>
  <c r="E1490" i="7"/>
  <c r="F1490" i="7"/>
  <c r="B1491" i="7"/>
  <c r="C1491" i="7"/>
  <c r="D1491" i="7"/>
  <c r="E1491" i="7"/>
  <c r="F1491" i="7"/>
  <c r="B1492" i="7"/>
  <c r="C1492" i="7"/>
  <c r="D1492" i="7"/>
  <c r="E1492" i="7"/>
  <c r="F1492" i="7"/>
  <c r="B1493" i="7"/>
  <c r="C1493" i="7"/>
  <c r="D1493" i="7"/>
  <c r="E1493" i="7"/>
  <c r="F1493" i="7"/>
  <c r="B1494" i="7"/>
  <c r="C1494" i="7"/>
  <c r="D1494" i="7"/>
  <c r="E1494" i="7"/>
  <c r="F1494" i="7"/>
  <c r="B1495" i="7"/>
  <c r="C1495" i="7"/>
  <c r="D1495" i="7"/>
  <c r="E1495" i="7"/>
  <c r="F1495" i="7"/>
  <c r="B1496" i="7"/>
  <c r="C1496" i="7"/>
  <c r="D1496" i="7"/>
  <c r="E1496" i="7"/>
  <c r="F1496" i="7"/>
  <c r="B1497" i="7"/>
  <c r="C1497" i="7"/>
  <c r="D1497" i="7"/>
  <c r="E1497" i="7"/>
  <c r="F1497" i="7"/>
  <c r="B1498" i="7"/>
  <c r="C1498" i="7"/>
  <c r="D1498" i="7"/>
  <c r="E1498" i="7"/>
  <c r="F1498" i="7"/>
  <c r="B1499" i="7"/>
  <c r="C1499" i="7"/>
  <c r="D1499" i="7"/>
  <c r="E1499" i="7"/>
  <c r="F1499" i="7"/>
  <c r="B1500" i="7"/>
  <c r="C1500" i="7"/>
  <c r="D1500" i="7"/>
  <c r="E1500" i="7"/>
  <c r="F1500" i="7"/>
  <c r="B1501" i="7"/>
  <c r="C1501" i="7"/>
  <c r="D1501" i="7"/>
  <c r="E1501" i="7"/>
  <c r="F1501" i="7"/>
  <c r="B1502" i="7"/>
  <c r="C1502" i="7"/>
  <c r="D1502" i="7"/>
  <c r="E1502" i="7"/>
  <c r="F1502" i="7"/>
  <c r="B1503" i="7"/>
  <c r="C1503" i="7"/>
  <c r="D1503" i="7"/>
  <c r="E1503" i="7"/>
  <c r="F1503" i="7"/>
  <c r="B1504" i="7"/>
  <c r="C1504" i="7"/>
  <c r="D1504" i="7"/>
  <c r="E1504" i="7"/>
  <c r="F1504" i="7"/>
  <c r="B1505" i="7"/>
  <c r="C1505" i="7"/>
  <c r="D1505" i="7"/>
  <c r="E1505" i="7"/>
  <c r="F1505" i="7"/>
  <c r="B1506" i="7"/>
  <c r="C1506" i="7"/>
  <c r="D1506" i="7"/>
  <c r="E1506" i="7"/>
  <c r="F1506" i="7"/>
  <c r="B1507" i="7"/>
  <c r="C1507" i="7"/>
  <c r="D1507" i="7"/>
  <c r="E1507" i="7"/>
  <c r="F1507" i="7"/>
  <c r="B1508" i="7"/>
  <c r="C1508" i="7"/>
  <c r="D1508" i="7"/>
  <c r="E1508" i="7"/>
  <c r="F1508" i="7"/>
  <c r="B1509" i="7"/>
  <c r="C1509" i="7"/>
  <c r="D1509" i="7"/>
  <c r="E1509" i="7"/>
  <c r="F1509" i="7"/>
  <c r="B1510" i="7"/>
  <c r="C1510" i="7"/>
  <c r="D1510" i="7"/>
  <c r="E1510" i="7"/>
  <c r="F1510" i="7"/>
  <c r="B1511" i="7"/>
  <c r="C1511" i="7"/>
  <c r="D1511" i="7"/>
  <c r="E1511" i="7"/>
  <c r="F1511" i="7"/>
  <c r="B1512" i="7"/>
  <c r="C1512" i="7"/>
  <c r="D1512" i="7"/>
  <c r="E1512" i="7"/>
  <c r="F1512" i="7"/>
  <c r="B1513" i="7"/>
  <c r="C1513" i="7"/>
  <c r="D1513" i="7"/>
  <c r="E1513" i="7"/>
  <c r="F1513" i="7"/>
  <c r="B1514" i="7"/>
  <c r="C1514" i="7"/>
  <c r="D1514" i="7"/>
  <c r="E1514" i="7"/>
  <c r="F1514" i="7"/>
  <c r="B1515" i="7"/>
  <c r="C1515" i="7"/>
  <c r="D1515" i="7"/>
  <c r="E1515" i="7"/>
  <c r="F1515" i="7"/>
  <c r="B1516" i="7"/>
  <c r="C1516" i="7"/>
  <c r="D1516" i="7"/>
  <c r="E1516" i="7"/>
  <c r="F1516" i="7"/>
  <c r="B1517" i="7"/>
  <c r="C1517" i="7"/>
  <c r="D1517" i="7"/>
  <c r="E1517" i="7"/>
  <c r="F1517" i="7"/>
  <c r="B1518" i="7"/>
  <c r="C1518" i="7"/>
  <c r="D1518" i="7"/>
  <c r="E1518" i="7"/>
  <c r="F1518" i="7"/>
  <c r="B1519" i="7"/>
  <c r="C1519" i="7"/>
  <c r="D1519" i="7"/>
  <c r="E1519" i="7"/>
  <c r="F1519" i="7"/>
  <c r="B1520" i="7"/>
  <c r="C1520" i="7"/>
  <c r="D1520" i="7"/>
  <c r="E1520" i="7"/>
  <c r="F1520" i="7"/>
  <c r="B1521" i="7"/>
  <c r="C1521" i="7"/>
  <c r="D1521" i="7"/>
  <c r="E1521" i="7"/>
  <c r="F1521" i="7"/>
  <c r="B1522" i="7"/>
  <c r="C1522" i="7"/>
  <c r="D1522" i="7"/>
  <c r="E1522" i="7"/>
  <c r="F1522" i="7"/>
  <c r="B1523" i="7"/>
  <c r="C1523" i="7"/>
  <c r="D1523" i="7"/>
  <c r="E1523" i="7"/>
  <c r="F1523" i="7"/>
  <c r="B1524" i="7"/>
  <c r="C1524" i="7"/>
  <c r="D1524" i="7"/>
  <c r="E1524" i="7"/>
  <c r="F1524" i="7"/>
  <c r="B1525" i="7"/>
  <c r="C1525" i="7"/>
  <c r="D1525" i="7"/>
  <c r="E1525" i="7"/>
  <c r="F1525" i="7"/>
  <c r="B1526" i="7"/>
  <c r="C1526" i="7"/>
  <c r="D1526" i="7"/>
  <c r="E1526" i="7"/>
  <c r="F1526" i="7"/>
  <c r="B1527" i="7"/>
  <c r="C1527" i="7"/>
  <c r="D1527" i="7"/>
  <c r="E1527" i="7"/>
  <c r="F1527" i="7"/>
  <c r="B1528" i="7"/>
  <c r="C1528" i="7"/>
  <c r="D1528" i="7"/>
  <c r="E1528" i="7"/>
  <c r="F1528" i="7"/>
  <c r="B1529" i="7"/>
  <c r="C1529" i="7"/>
  <c r="D1529" i="7"/>
  <c r="E1529" i="7"/>
  <c r="F1529" i="7"/>
  <c r="B1530" i="7"/>
  <c r="C1530" i="7"/>
  <c r="D1530" i="7"/>
  <c r="E1530" i="7"/>
  <c r="F1530" i="7"/>
  <c r="B1531" i="7"/>
  <c r="C1531" i="7"/>
  <c r="D1531" i="7"/>
  <c r="E1531" i="7"/>
  <c r="F1531" i="7"/>
  <c r="B1532" i="7"/>
  <c r="C1532" i="7"/>
  <c r="D1532" i="7"/>
  <c r="E1532" i="7"/>
  <c r="F1532" i="7"/>
  <c r="B1533" i="7"/>
  <c r="C1533" i="7"/>
  <c r="D1533" i="7"/>
  <c r="E1533" i="7"/>
  <c r="F1533" i="7"/>
  <c r="B1534" i="7"/>
  <c r="C1534" i="7"/>
  <c r="D1534" i="7"/>
  <c r="E1534" i="7"/>
  <c r="F1534" i="7"/>
  <c r="B1535" i="7"/>
  <c r="C1535" i="7"/>
  <c r="D1535" i="7"/>
  <c r="E1535" i="7"/>
  <c r="F1535" i="7"/>
  <c r="B1536" i="7"/>
  <c r="C1536" i="7"/>
  <c r="D1536" i="7"/>
  <c r="E1536" i="7"/>
  <c r="F1536" i="7"/>
  <c r="B1537" i="7"/>
  <c r="C1537" i="7"/>
  <c r="D1537" i="7"/>
  <c r="E1537" i="7"/>
  <c r="F1537" i="7"/>
  <c r="B1538" i="7"/>
  <c r="C1538" i="7"/>
  <c r="D1538" i="7"/>
  <c r="E1538" i="7"/>
  <c r="F1538" i="7"/>
  <c r="B1539" i="7"/>
  <c r="C1539" i="7"/>
  <c r="D1539" i="7"/>
  <c r="E1539" i="7"/>
  <c r="F1539" i="7"/>
  <c r="B1540" i="7"/>
  <c r="C1540" i="7"/>
  <c r="D1540" i="7"/>
  <c r="E1540" i="7"/>
  <c r="F1540" i="7"/>
  <c r="B1541" i="7"/>
  <c r="C1541" i="7"/>
  <c r="D1541" i="7"/>
  <c r="E1541" i="7"/>
  <c r="F1541" i="7"/>
  <c r="B1542" i="7"/>
  <c r="C1542" i="7"/>
  <c r="D1542" i="7"/>
  <c r="E1542" i="7"/>
  <c r="F1542" i="7"/>
  <c r="B1543" i="7"/>
  <c r="C1543" i="7"/>
  <c r="D1543" i="7"/>
  <c r="E1543" i="7"/>
  <c r="F1543" i="7"/>
  <c r="B1544" i="7"/>
  <c r="C1544" i="7"/>
  <c r="D1544" i="7"/>
  <c r="E1544" i="7"/>
  <c r="F1544" i="7"/>
  <c r="B1545" i="7"/>
  <c r="C1545" i="7"/>
  <c r="D1545" i="7"/>
  <c r="E1545" i="7"/>
  <c r="F1545" i="7"/>
  <c r="B1546" i="7"/>
  <c r="C1546" i="7"/>
  <c r="D1546" i="7"/>
  <c r="E1546" i="7"/>
  <c r="F1546" i="7"/>
  <c r="B1547" i="7"/>
  <c r="C1547" i="7"/>
  <c r="D1547" i="7"/>
  <c r="E1547" i="7"/>
  <c r="F1547" i="7"/>
  <c r="B1548" i="7"/>
  <c r="C1548" i="7"/>
  <c r="D1548" i="7"/>
  <c r="E1548" i="7"/>
  <c r="F1548" i="7"/>
  <c r="B1549" i="7"/>
  <c r="C1549" i="7"/>
  <c r="D1549" i="7"/>
  <c r="E1549" i="7"/>
  <c r="F1549" i="7"/>
  <c r="B1550" i="7"/>
  <c r="C1550" i="7"/>
  <c r="D1550" i="7"/>
  <c r="E1550" i="7"/>
  <c r="F1550" i="7"/>
  <c r="B1551" i="7"/>
  <c r="C1551" i="7"/>
  <c r="D1551" i="7"/>
  <c r="E1551" i="7"/>
  <c r="F1551" i="7"/>
  <c r="B1552" i="7"/>
  <c r="C1552" i="7"/>
  <c r="D1552" i="7"/>
  <c r="E1552" i="7"/>
  <c r="F1552" i="7"/>
  <c r="B1553" i="7"/>
  <c r="C1553" i="7"/>
  <c r="D1553" i="7"/>
  <c r="E1553" i="7"/>
  <c r="F1553" i="7"/>
  <c r="B1554" i="7"/>
  <c r="C1554" i="7"/>
  <c r="D1554" i="7"/>
  <c r="E1554" i="7"/>
  <c r="F1554" i="7"/>
  <c r="B1555" i="7"/>
  <c r="C1555" i="7"/>
  <c r="D1555" i="7"/>
  <c r="E1555" i="7"/>
  <c r="F1555" i="7"/>
  <c r="B1556" i="7"/>
  <c r="C1556" i="7"/>
  <c r="D1556" i="7"/>
  <c r="E1556" i="7"/>
  <c r="F1556" i="7"/>
  <c r="B1557" i="7"/>
  <c r="C1557" i="7"/>
  <c r="D1557" i="7"/>
  <c r="E1557" i="7"/>
  <c r="F1557" i="7"/>
  <c r="B1558" i="7"/>
  <c r="C1558" i="7"/>
  <c r="D1558" i="7"/>
  <c r="E1558" i="7"/>
  <c r="F1558" i="7"/>
  <c r="B1559" i="7"/>
  <c r="C1559" i="7"/>
  <c r="D1559" i="7"/>
  <c r="E1559" i="7"/>
  <c r="F1559" i="7"/>
  <c r="B1560" i="7"/>
  <c r="C1560" i="7"/>
  <c r="D1560" i="7"/>
  <c r="E1560" i="7"/>
  <c r="F1560" i="7"/>
  <c r="B1561" i="7"/>
  <c r="C1561" i="7"/>
  <c r="D1561" i="7"/>
  <c r="E1561" i="7"/>
  <c r="F1561" i="7"/>
  <c r="B1562" i="7"/>
  <c r="C1562" i="7"/>
  <c r="D1562" i="7"/>
  <c r="E1562" i="7"/>
  <c r="F1562" i="7"/>
  <c r="B1563" i="7"/>
  <c r="C1563" i="7"/>
  <c r="D1563" i="7"/>
  <c r="E1563" i="7"/>
  <c r="F1563" i="7"/>
  <c r="B1564" i="7"/>
  <c r="C1564" i="7"/>
  <c r="D1564" i="7"/>
  <c r="E1564" i="7"/>
  <c r="F1564" i="7"/>
  <c r="B1565" i="7"/>
  <c r="C1565" i="7"/>
  <c r="D1565" i="7"/>
  <c r="E1565" i="7"/>
  <c r="F1565" i="7"/>
  <c r="B1566" i="7"/>
  <c r="C1566" i="7"/>
  <c r="D1566" i="7"/>
  <c r="E1566" i="7"/>
  <c r="F1566" i="7"/>
  <c r="B1567" i="7"/>
  <c r="C1567" i="7"/>
  <c r="D1567" i="7"/>
  <c r="E1567" i="7"/>
  <c r="F1567" i="7"/>
  <c r="B1568" i="7"/>
  <c r="C1568" i="7"/>
  <c r="D1568" i="7"/>
  <c r="E1568" i="7"/>
  <c r="F1568" i="7"/>
  <c r="B1569" i="7"/>
  <c r="C1569" i="7"/>
  <c r="D1569" i="7"/>
  <c r="E1569" i="7"/>
  <c r="F1569" i="7"/>
  <c r="B1570" i="7"/>
  <c r="C1570" i="7"/>
  <c r="D1570" i="7"/>
  <c r="E1570" i="7"/>
  <c r="F1570" i="7"/>
  <c r="B1571" i="7"/>
  <c r="C1571" i="7"/>
  <c r="D1571" i="7"/>
  <c r="E1571" i="7"/>
  <c r="F1571" i="7"/>
  <c r="B1572" i="7"/>
  <c r="C1572" i="7"/>
  <c r="D1572" i="7"/>
  <c r="E1572" i="7"/>
  <c r="F1572" i="7"/>
  <c r="B1573" i="7"/>
  <c r="C1573" i="7"/>
  <c r="D1573" i="7"/>
  <c r="E1573" i="7"/>
  <c r="F1573" i="7"/>
  <c r="B1574" i="7"/>
  <c r="C1574" i="7"/>
  <c r="D1574" i="7"/>
  <c r="E1574" i="7"/>
  <c r="F1574" i="7"/>
  <c r="B1575" i="7"/>
  <c r="C1575" i="7"/>
  <c r="D1575" i="7"/>
  <c r="E1575" i="7"/>
  <c r="F1575" i="7"/>
  <c r="B1576" i="7"/>
  <c r="C1576" i="7"/>
  <c r="D1576" i="7"/>
  <c r="E1576" i="7"/>
  <c r="F1576" i="7"/>
  <c r="B1577" i="7"/>
  <c r="C1577" i="7"/>
  <c r="D1577" i="7"/>
  <c r="E1577" i="7"/>
  <c r="F1577" i="7"/>
  <c r="B1578" i="7"/>
  <c r="C1578" i="7"/>
  <c r="D1578" i="7"/>
  <c r="E1578" i="7"/>
  <c r="F1578" i="7"/>
  <c r="B1579" i="7"/>
  <c r="C1579" i="7"/>
  <c r="D1579" i="7"/>
  <c r="E1579" i="7"/>
  <c r="F1579" i="7"/>
  <c r="B1580" i="7"/>
  <c r="C1580" i="7"/>
  <c r="D1580" i="7"/>
  <c r="E1580" i="7"/>
  <c r="F1580" i="7"/>
  <c r="B1581" i="7"/>
  <c r="C1581" i="7"/>
  <c r="D1581" i="7"/>
  <c r="E1581" i="7"/>
  <c r="F1581" i="7"/>
  <c r="B1582" i="7"/>
  <c r="C1582" i="7"/>
  <c r="D1582" i="7"/>
  <c r="E1582" i="7"/>
  <c r="F1582" i="7"/>
  <c r="B1583" i="7"/>
  <c r="C1583" i="7"/>
  <c r="D1583" i="7"/>
  <c r="E1583" i="7"/>
  <c r="F1583" i="7"/>
  <c r="B1584" i="7"/>
  <c r="C1584" i="7"/>
  <c r="D1584" i="7"/>
  <c r="E1584" i="7"/>
  <c r="F1584" i="7"/>
  <c r="B1585" i="7"/>
  <c r="C1585" i="7"/>
  <c r="D1585" i="7"/>
  <c r="E1585" i="7"/>
  <c r="F1585" i="7"/>
  <c r="B1586" i="7"/>
  <c r="C1586" i="7"/>
  <c r="D1586" i="7"/>
  <c r="E1586" i="7"/>
  <c r="F1586" i="7"/>
  <c r="B1587" i="7"/>
  <c r="C1587" i="7"/>
  <c r="D1587" i="7"/>
  <c r="E1587" i="7"/>
  <c r="F1587" i="7"/>
  <c r="B1588" i="7"/>
  <c r="C1588" i="7"/>
  <c r="D1588" i="7"/>
  <c r="E1588" i="7"/>
  <c r="F1588" i="7"/>
  <c r="B1589" i="7"/>
  <c r="C1589" i="7"/>
  <c r="D1589" i="7"/>
  <c r="E1589" i="7"/>
  <c r="F1589" i="7"/>
  <c r="B1590" i="7"/>
  <c r="C1590" i="7"/>
  <c r="D1590" i="7"/>
  <c r="E1590" i="7"/>
  <c r="F1590" i="7"/>
  <c r="B1591" i="7"/>
  <c r="C1591" i="7"/>
  <c r="D1591" i="7"/>
  <c r="E1591" i="7"/>
  <c r="F1591" i="7"/>
  <c r="B1592" i="7"/>
  <c r="C1592" i="7"/>
  <c r="D1592" i="7"/>
  <c r="E1592" i="7"/>
  <c r="F1592" i="7"/>
  <c r="B1593" i="7"/>
  <c r="C1593" i="7"/>
  <c r="D1593" i="7"/>
  <c r="E1593" i="7"/>
  <c r="F1593" i="7"/>
  <c r="B1594" i="7"/>
  <c r="C1594" i="7"/>
  <c r="D1594" i="7"/>
  <c r="E1594" i="7"/>
  <c r="F1594" i="7"/>
  <c r="B1595" i="7"/>
  <c r="C1595" i="7"/>
  <c r="D1595" i="7"/>
  <c r="E1595" i="7"/>
  <c r="F1595" i="7"/>
  <c r="B1596" i="7"/>
  <c r="C1596" i="7"/>
  <c r="D1596" i="7"/>
  <c r="E1596" i="7"/>
  <c r="F1596" i="7"/>
  <c r="B1597" i="7"/>
  <c r="C1597" i="7"/>
  <c r="D1597" i="7"/>
  <c r="E1597" i="7"/>
  <c r="F1597" i="7"/>
  <c r="B1598" i="7"/>
  <c r="C1598" i="7"/>
  <c r="D1598" i="7"/>
  <c r="E1598" i="7"/>
  <c r="F1598" i="7"/>
  <c r="B1599" i="7"/>
  <c r="C1599" i="7"/>
  <c r="D1599" i="7"/>
  <c r="E1599" i="7"/>
  <c r="F1599" i="7"/>
  <c r="B1600" i="7"/>
  <c r="C1600" i="7"/>
  <c r="D1600" i="7"/>
  <c r="E1600" i="7"/>
  <c r="F1600" i="7"/>
  <c r="B1601" i="7"/>
  <c r="C1601" i="7"/>
  <c r="D1601" i="7"/>
  <c r="E1601" i="7"/>
  <c r="F1601" i="7"/>
  <c r="B1602" i="7"/>
  <c r="C1602" i="7"/>
  <c r="D1602" i="7"/>
  <c r="E1602" i="7"/>
  <c r="F1602" i="7"/>
  <c r="B1603" i="7"/>
  <c r="C1603" i="7"/>
  <c r="D1603" i="7"/>
  <c r="E1603" i="7"/>
  <c r="F1603" i="7"/>
  <c r="B1604" i="7"/>
  <c r="C1604" i="7"/>
  <c r="D1604" i="7"/>
  <c r="E1604" i="7"/>
  <c r="F1604" i="7"/>
  <c r="B1605" i="7"/>
  <c r="C1605" i="7"/>
  <c r="D1605" i="7"/>
  <c r="E1605" i="7"/>
  <c r="F1605" i="7"/>
  <c r="B1606" i="7"/>
  <c r="C1606" i="7"/>
  <c r="D1606" i="7"/>
  <c r="E1606" i="7"/>
  <c r="F1606" i="7"/>
  <c r="B1607" i="7"/>
  <c r="C1607" i="7"/>
  <c r="D1607" i="7"/>
  <c r="E1607" i="7"/>
  <c r="F1607" i="7"/>
  <c r="B1608" i="7"/>
  <c r="C1608" i="7"/>
  <c r="D1608" i="7"/>
  <c r="E1608" i="7"/>
  <c r="F1608" i="7"/>
  <c r="B1609" i="7"/>
  <c r="C1609" i="7"/>
  <c r="D1609" i="7"/>
  <c r="E1609" i="7"/>
  <c r="F1609" i="7"/>
  <c r="B1610" i="7"/>
  <c r="C1610" i="7"/>
  <c r="D1610" i="7"/>
  <c r="E1610" i="7"/>
  <c r="F1610" i="7"/>
  <c r="B1611" i="7"/>
  <c r="C1611" i="7"/>
  <c r="D1611" i="7"/>
  <c r="E1611" i="7"/>
  <c r="F1611" i="7"/>
  <c r="B1612" i="7"/>
  <c r="C1612" i="7"/>
  <c r="D1612" i="7"/>
  <c r="E1612" i="7"/>
  <c r="F1612" i="7"/>
  <c r="B1613" i="7"/>
  <c r="C1613" i="7"/>
  <c r="D1613" i="7"/>
  <c r="E1613" i="7"/>
  <c r="F1613" i="7"/>
  <c r="B1614" i="7"/>
  <c r="C1614" i="7"/>
  <c r="D1614" i="7"/>
  <c r="E1614" i="7"/>
  <c r="F1614" i="7"/>
  <c r="B1615" i="7"/>
  <c r="C1615" i="7"/>
  <c r="D1615" i="7"/>
  <c r="E1615" i="7"/>
  <c r="F1615" i="7"/>
  <c r="B1616" i="7"/>
  <c r="C1616" i="7"/>
  <c r="D1616" i="7"/>
  <c r="E1616" i="7"/>
  <c r="F1616" i="7"/>
  <c r="B1617" i="7"/>
  <c r="C1617" i="7"/>
  <c r="D1617" i="7"/>
  <c r="E1617" i="7"/>
  <c r="F1617" i="7"/>
  <c r="B1618" i="7"/>
  <c r="C1618" i="7"/>
  <c r="D1618" i="7"/>
  <c r="E1618" i="7"/>
  <c r="F1618" i="7"/>
  <c r="B1619" i="7"/>
  <c r="C1619" i="7"/>
  <c r="D1619" i="7"/>
  <c r="E1619" i="7"/>
  <c r="F1619" i="7"/>
  <c r="B1620" i="7"/>
  <c r="C1620" i="7"/>
  <c r="D1620" i="7"/>
  <c r="E1620" i="7"/>
  <c r="F1620" i="7"/>
  <c r="B1621" i="7"/>
  <c r="C1621" i="7"/>
  <c r="D1621" i="7"/>
  <c r="E1621" i="7"/>
  <c r="F1621" i="7"/>
  <c r="B1622" i="7"/>
  <c r="C1622" i="7"/>
  <c r="D1622" i="7"/>
  <c r="E1622" i="7"/>
  <c r="F1622" i="7"/>
  <c r="B1623" i="7"/>
  <c r="C1623" i="7"/>
  <c r="D1623" i="7"/>
  <c r="E1623" i="7"/>
  <c r="F1623" i="7"/>
  <c r="B1624" i="7"/>
  <c r="C1624" i="7"/>
  <c r="D1624" i="7"/>
  <c r="E1624" i="7"/>
  <c r="F1624" i="7"/>
  <c r="B1625" i="7"/>
  <c r="C1625" i="7"/>
  <c r="D1625" i="7"/>
  <c r="E1625" i="7"/>
  <c r="F1625" i="7"/>
  <c r="B1626" i="7"/>
  <c r="C1626" i="7"/>
  <c r="D1626" i="7"/>
  <c r="E1626" i="7"/>
  <c r="F1626" i="7"/>
  <c r="B1627" i="7"/>
  <c r="C1627" i="7"/>
  <c r="D1627" i="7"/>
  <c r="E1627" i="7"/>
  <c r="F1627" i="7"/>
  <c r="B1628" i="7"/>
  <c r="C1628" i="7"/>
  <c r="D1628" i="7"/>
  <c r="E1628" i="7"/>
  <c r="F1628" i="7"/>
  <c r="B1629" i="7"/>
  <c r="C1629" i="7"/>
  <c r="D1629" i="7"/>
  <c r="E1629" i="7"/>
  <c r="F1629" i="7"/>
  <c r="B1630" i="7"/>
  <c r="C1630" i="7"/>
  <c r="D1630" i="7"/>
  <c r="E1630" i="7"/>
  <c r="F1630" i="7"/>
  <c r="B1631" i="7"/>
  <c r="C1631" i="7"/>
  <c r="D1631" i="7"/>
  <c r="E1631" i="7"/>
  <c r="F1631" i="7"/>
  <c r="B1632" i="7"/>
  <c r="C1632" i="7"/>
  <c r="D1632" i="7"/>
  <c r="E1632" i="7"/>
  <c r="F1632" i="7"/>
  <c r="B1633" i="7"/>
  <c r="C1633" i="7"/>
  <c r="D1633" i="7"/>
  <c r="E1633" i="7"/>
  <c r="F1633" i="7"/>
  <c r="B1634" i="7"/>
  <c r="C1634" i="7"/>
  <c r="D1634" i="7"/>
  <c r="E1634" i="7"/>
  <c r="F1634" i="7"/>
  <c r="B1635" i="7"/>
  <c r="C1635" i="7"/>
  <c r="D1635" i="7"/>
  <c r="E1635" i="7"/>
  <c r="F1635" i="7"/>
  <c r="B1636" i="7"/>
  <c r="C1636" i="7"/>
  <c r="D1636" i="7"/>
  <c r="E1636" i="7"/>
  <c r="F1636" i="7"/>
  <c r="B1637" i="7"/>
  <c r="C1637" i="7"/>
  <c r="D1637" i="7"/>
  <c r="E1637" i="7"/>
  <c r="F1637" i="7"/>
  <c r="B1638" i="7"/>
  <c r="C1638" i="7"/>
  <c r="D1638" i="7"/>
  <c r="E1638" i="7"/>
  <c r="F1638" i="7"/>
  <c r="B1639" i="7"/>
  <c r="C1639" i="7"/>
  <c r="D1639" i="7"/>
  <c r="E1639" i="7"/>
  <c r="F1639" i="7"/>
  <c r="B1640" i="7"/>
  <c r="C1640" i="7"/>
  <c r="D1640" i="7"/>
  <c r="E1640" i="7"/>
  <c r="F1640" i="7"/>
  <c r="B1641" i="7"/>
  <c r="C1641" i="7"/>
  <c r="D1641" i="7"/>
  <c r="E1641" i="7"/>
  <c r="F1641" i="7"/>
  <c r="B1642" i="7"/>
  <c r="C1642" i="7"/>
  <c r="D1642" i="7"/>
  <c r="E1642" i="7"/>
  <c r="F1642" i="7"/>
  <c r="B1643" i="7"/>
  <c r="C1643" i="7"/>
  <c r="D1643" i="7"/>
  <c r="E1643" i="7"/>
  <c r="F1643" i="7"/>
  <c r="B1644" i="7"/>
  <c r="C1644" i="7"/>
  <c r="D1644" i="7"/>
  <c r="E1644" i="7"/>
  <c r="F1644" i="7"/>
  <c r="B1645" i="7"/>
  <c r="C1645" i="7"/>
  <c r="D1645" i="7"/>
  <c r="E1645" i="7"/>
  <c r="F1645" i="7"/>
  <c r="B1646" i="7"/>
  <c r="C1646" i="7"/>
  <c r="D1646" i="7"/>
  <c r="E1646" i="7"/>
  <c r="F1646" i="7"/>
  <c r="B1647" i="7"/>
  <c r="C1647" i="7"/>
  <c r="D1647" i="7"/>
  <c r="E1647" i="7"/>
  <c r="F1647" i="7"/>
  <c r="B1648" i="7"/>
  <c r="C1648" i="7"/>
  <c r="D1648" i="7"/>
  <c r="E1648" i="7"/>
  <c r="F1648" i="7"/>
  <c r="B1649" i="7"/>
  <c r="C1649" i="7"/>
  <c r="D1649" i="7"/>
  <c r="E1649" i="7"/>
  <c r="F1649" i="7"/>
  <c r="B1650" i="7"/>
  <c r="C1650" i="7"/>
  <c r="D1650" i="7"/>
  <c r="E1650" i="7"/>
  <c r="F1650" i="7"/>
  <c r="B1651" i="7"/>
  <c r="C1651" i="7"/>
  <c r="D1651" i="7"/>
  <c r="E1651" i="7"/>
  <c r="F1651" i="7"/>
  <c r="B1652" i="7"/>
  <c r="C1652" i="7"/>
  <c r="D1652" i="7"/>
  <c r="E1652" i="7"/>
  <c r="F1652" i="7"/>
  <c r="B1653" i="7"/>
  <c r="C1653" i="7"/>
  <c r="D1653" i="7"/>
  <c r="E1653" i="7"/>
  <c r="F1653" i="7"/>
  <c r="B1654" i="7"/>
  <c r="C1654" i="7"/>
  <c r="D1654" i="7"/>
  <c r="E1654" i="7"/>
  <c r="F1654" i="7"/>
  <c r="B1655" i="7"/>
  <c r="C1655" i="7"/>
  <c r="D1655" i="7"/>
  <c r="E1655" i="7"/>
  <c r="F1655" i="7"/>
  <c r="B1656" i="7"/>
  <c r="C1656" i="7"/>
  <c r="D1656" i="7"/>
  <c r="E1656" i="7"/>
  <c r="F1656" i="7"/>
  <c r="B1657" i="7"/>
  <c r="C1657" i="7"/>
  <c r="D1657" i="7"/>
  <c r="E1657" i="7"/>
  <c r="F1657" i="7"/>
  <c r="B1658" i="7"/>
  <c r="C1658" i="7"/>
  <c r="D1658" i="7"/>
  <c r="E1658" i="7"/>
  <c r="F1658" i="7"/>
  <c r="B1659" i="7"/>
  <c r="C1659" i="7"/>
  <c r="D1659" i="7"/>
  <c r="E1659" i="7"/>
  <c r="F1659" i="7"/>
  <c r="B1660" i="7"/>
  <c r="C1660" i="7"/>
  <c r="D1660" i="7"/>
  <c r="E1660" i="7"/>
  <c r="F1660" i="7"/>
  <c r="B1661" i="7"/>
  <c r="C1661" i="7"/>
  <c r="D1661" i="7"/>
  <c r="E1661" i="7"/>
  <c r="F1661" i="7"/>
  <c r="B1662" i="7"/>
  <c r="C1662" i="7"/>
  <c r="D1662" i="7"/>
  <c r="E1662" i="7"/>
  <c r="F1662" i="7"/>
  <c r="B1663" i="7"/>
  <c r="C1663" i="7"/>
  <c r="D1663" i="7"/>
  <c r="E1663" i="7"/>
  <c r="F1663" i="7"/>
  <c r="B1664" i="7"/>
  <c r="C1664" i="7"/>
  <c r="D1664" i="7"/>
  <c r="E1664" i="7"/>
  <c r="F1664" i="7"/>
  <c r="B1665" i="7"/>
  <c r="C1665" i="7"/>
  <c r="D1665" i="7"/>
  <c r="E1665" i="7"/>
  <c r="F1665" i="7"/>
  <c r="B1666" i="7"/>
  <c r="C1666" i="7"/>
  <c r="D1666" i="7"/>
  <c r="E1666" i="7"/>
  <c r="F1666" i="7"/>
  <c r="B1667" i="7"/>
  <c r="C1667" i="7"/>
  <c r="D1667" i="7"/>
  <c r="E1667" i="7"/>
  <c r="F1667" i="7"/>
  <c r="B1668" i="7"/>
  <c r="C1668" i="7"/>
  <c r="D1668" i="7"/>
  <c r="E1668" i="7"/>
  <c r="F1668" i="7"/>
  <c r="B1669" i="7"/>
  <c r="C1669" i="7"/>
  <c r="D1669" i="7"/>
  <c r="E1669" i="7"/>
  <c r="F1669" i="7"/>
  <c r="B1670" i="7"/>
  <c r="C1670" i="7"/>
  <c r="D1670" i="7"/>
  <c r="E1670" i="7"/>
  <c r="F1670" i="7"/>
  <c r="B1671" i="7"/>
  <c r="C1671" i="7"/>
  <c r="D1671" i="7"/>
  <c r="E1671" i="7"/>
  <c r="F1671" i="7"/>
  <c r="B1672" i="7"/>
  <c r="C1672" i="7"/>
  <c r="D1672" i="7"/>
  <c r="E1672" i="7"/>
  <c r="F1672" i="7"/>
  <c r="B1673" i="7"/>
  <c r="C1673" i="7"/>
  <c r="D1673" i="7"/>
  <c r="E1673" i="7"/>
  <c r="F1673" i="7"/>
  <c r="B1674" i="7"/>
  <c r="C1674" i="7"/>
  <c r="D1674" i="7"/>
  <c r="E1674" i="7"/>
  <c r="F1674" i="7"/>
  <c r="B1675" i="7"/>
  <c r="C1675" i="7"/>
  <c r="D1675" i="7"/>
  <c r="E1675" i="7"/>
  <c r="F1675" i="7"/>
  <c r="B1676" i="7"/>
  <c r="C1676" i="7"/>
  <c r="D1676" i="7"/>
  <c r="E1676" i="7"/>
  <c r="F1676" i="7"/>
  <c r="B1677" i="7"/>
  <c r="C1677" i="7"/>
  <c r="D1677" i="7"/>
  <c r="E1677" i="7"/>
  <c r="F1677" i="7"/>
  <c r="B1678" i="7"/>
  <c r="C1678" i="7"/>
  <c r="D1678" i="7"/>
  <c r="E1678" i="7"/>
  <c r="F1678" i="7"/>
  <c r="B1679" i="7"/>
  <c r="C1679" i="7"/>
  <c r="D1679" i="7"/>
  <c r="E1679" i="7"/>
  <c r="F1679" i="7"/>
  <c r="B1680" i="7"/>
  <c r="C1680" i="7"/>
  <c r="D1680" i="7"/>
  <c r="E1680" i="7"/>
  <c r="F1680" i="7"/>
  <c r="B1681" i="7"/>
  <c r="C1681" i="7"/>
  <c r="D1681" i="7"/>
  <c r="E1681" i="7"/>
  <c r="F1681" i="7"/>
  <c r="B1682" i="7"/>
  <c r="C1682" i="7"/>
  <c r="D1682" i="7"/>
  <c r="E1682" i="7"/>
  <c r="F1682" i="7"/>
  <c r="B1683" i="7"/>
  <c r="C1683" i="7"/>
  <c r="D1683" i="7"/>
  <c r="E1683" i="7"/>
  <c r="F1683" i="7"/>
  <c r="B1684" i="7"/>
  <c r="C1684" i="7"/>
  <c r="D1684" i="7"/>
  <c r="E1684" i="7"/>
  <c r="F1684" i="7"/>
  <c r="B1685" i="7"/>
  <c r="C1685" i="7"/>
  <c r="D1685" i="7"/>
  <c r="E1685" i="7"/>
  <c r="F1685" i="7"/>
  <c r="B1686" i="7"/>
  <c r="C1686" i="7"/>
  <c r="D1686" i="7"/>
  <c r="E1686" i="7"/>
  <c r="F1686" i="7"/>
  <c r="B1687" i="7"/>
  <c r="C1687" i="7"/>
  <c r="D1687" i="7"/>
  <c r="E1687" i="7"/>
  <c r="F1687" i="7"/>
  <c r="B1688" i="7"/>
  <c r="C1688" i="7"/>
  <c r="D1688" i="7"/>
  <c r="E1688" i="7"/>
  <c r="F1688" i="7"/>
  <c r="B1689" i="7"/>
  <c r="C1689" i="7"/>
  <c r="D1689" i="7"/>
  <c r="E1689" i="7"/>
  <c r="F1689" i="7"/>
  <c r="B1690" i="7"/>
  <c r="C1690" i="7"/>
  <c r="D1690" i="7"/>
  <c r="E1690" i="7"/>
  <c r="F1690" i="7"/>
  <c r="B1691" i="7"/>
  <c r="C1691" i="7"/>
  <c r="D1691" i="7"/>
  <c r="E1691" i="7"/>
  <c r="F1691" i="7"/>
  <c r="B1692" i="7"/>
  <c r="C1692" i="7"/>
  <c r="D1692" i="7"/>
  <c r="E1692" i="7"/>
  <c r="F1692" i="7"/>
  <c r="B1693" i="7"/>
  <c r="C1693" i="7"/>
  <c r="D1693" i="7"/>
  <c r="E1693" i="7"/>
  <c r="F1693" i="7"/>
  <c r="B1694" i="7"/>
  <c r="C1694" i="7"/>
  <c r="D1694" i="7"/>
  <c r="E1694" i="7"/>
  <c r="F1694" i="7"/>
  <c r="B1695" i="7"/>
  <c r="C1695" i="7"/>
  <c r="D1695" i="7"/>
  <c r="E1695" i="7"/>
  <c r="F1695" i="7"/>
  <c r="B1696" i="7"/>
  <c r="C1696" i="7"/>
  <c r="D1696" i="7"/>
  <c r="E1696" i="7"/>
  <c r="F1696" i="7"/>
  <c r="B1697" i="7"/>
  <c r="C1697" i="7"/>
  <c r="D1697" i="7"/>
  <c r="E1697" i="7"/>
  <c r="F1697" i="7"/>
  <c r="B1698" i="7"/>
  <c r="C1698" i="7"/>
  <c r="D1698" i="7"/>
  <c r="E1698" i="7"/>
  <c r="F1698" i="7"/>
  <c r="B1699" i="7"/>
  <c r="C1699" i="7"/>
  <c r="D1699" i="7"/>
  <c r="E1699" i="7"/>
  <c r="F1699" i="7"/>
  <c r="B1700" i="7"/>
  <c r="C1700" i="7"/>
  <c r="D1700" i="7"/>
  <c r="E1700" i="7"/>
  <c r="F1700" i="7"/>
  <c r="B1701" i="7"/>
  <c r="C1701" i="7"/>
  <c r="D1701" i="7"/>
  <c r="E1701" i="7"/>
  <c r="F1701" i="7"/>
  <c r="B1702" i="7"/>
  <c r="C1702" i="7"/>
  <c r="D1702" i="7"/>
  <c r="E1702" i="7"/>
  <c r="F1702" i="7"/>
  <c r="B1703" i="7"/>
  <c r="C1703" i="7"/>
  <c r="D1703" i="7"/>
  <c r="E1703" i="7"/>
  <c r="F1703" i="7"/>
  <c r="B1704" i="7"/>
  <c r="C1704" i="7"/>
  <c r="D1704" i="7"/>
  <c r="E1704" i="7"/>
  <c r="F1704" i="7"/>
  <c r="B1705" i="7"/>
  <c r="C1705" i="7"/>
  <c r="D1705" i="7"/>
  <c r="E1705" i="7"/>
  <c r="F1705" i="7"/>
  <c r="B1706" i="7"/>
  <c r="C1706" i="7"/>
  <c r="D1706" i="7"/>
  <c r="E1706" i="7"/>
  <c r="F1706" i="7"/>
  <c r="B1707" i="7"/>
  <c r="C1707" i="7"/>
  <c r="D1707" i="7"/>
  <c r="E1707" i="7"/>
  <c r="F1707" i="7"/>
  <c r="B1708" i="7"/>
  <c r="C1708" i="7"/>
  <c r="D1708" i="7"/>
  <c r="E1708" i="7"/>
  <c r="F1708" i="7"/>
  <c r="B1709" i="7"/>
  <c r="C1709" i="7"/>
  <c r="D1709" i="7"/>
  <c r="E1709" i="7"/>
  <c r="F1709" i="7"/>
  <c r="B1710" i="7"/>
  <c r="C1710" i="7"/>
  <c r="D1710" i="7"/>
  <c r="E1710" i="7"/>
  <c r="F1710" i="7"/>
  <c r="B1711" i="7"/>
  <c r="C1711" i="7"/>
  <c r="D1711" i="7"/>
  <c r="E1711" i="7"/>
  <c r="F1711" i="7"/>
  <c r="B1712" i="7"/>
  <c r="C1712" i="7"/>
  <c r="D1712" i="7"/>
  <c r="E1712" i="7"/>
  <c r="F1712" i="7"/>
  <c r="B1713" i="7"/>
  <c r="C1713" i="7"/>
  <c r="D1713" i="7"/>
  <c r="E1713" i="7"/>
  <c r="F1713" i="7"/>
  <c r="B1714" i="7"/>
  <c r="C1714" i="7"/>
  <c r="D1714" i="7"/>
  <c r="E1714" i="7"/>
  <c r="F1714" i="7"/>
  <c r="B1715" i="7"/>
  <c r="C1715" i="7"/>
  <c r="D1715" i="7"/>
  <c r="E1715" i="7"/>
  <c r="F1715" i="7"/>
  <c r="B1716" i="7"/>
  <c r="C1716" i="7"/>
  <c r="D1716" i="7"/>
  <c r="E1716" i="7"/>
  <c r="F1716" i="7"/>
  <c r="B1717" i="7"/>
  <c r="C1717" i="7"/>
  <c r="D1717" i="7"/>
  <c r="E1717" i="7"/>
  <c r="F1717" i="7"/>
  <c r="B1718" i="7"/>
  <c r="C1718" i="7"/>
  <c r="D1718" i="7"/>
  <c r="E1718" i="7"/>
  <c r="F1718" i="7"/>
  <c r="B1719" i="7"/>
  <c r="C1719" i="7"/>
  <c r="D1719" i="7"/>
  <c r="E1719" i="7"/>
  <c r="F1719" i="7"/>
  <c r="B1720" i="7"/>
  <c r="C1720" i="7"/>
  <c r="D1720" i="7"/>
  <c r="E1720" i="7"/>
  <c r="F1720" i="7"/>
  <c r="B1721" i="7"/>
  <c r="C1721" i="7"/>
  <c r="D1721" i="7"/>
  <c r="E1721" i="7"/>
  <c r="F1721" i="7"/>
  <c r="B1722" i="7"/>
  <c r="C1722" i="7"/>
  <c r="D1722" i="7"/>
  <c r="E1722" i="7"/>
  <c r="F1722" i="7"/>
  <c r="B1723" i="7"/>
  <c r="C1723" i="7"/>
  <c r="D1723" i="7"/>
  <c r="E1723" i="7"/>
  <c r="F1723" i="7"/>
  <c r="B1724" i="7"/>
  <c r="C1724" i="7"/>
  <c r="D1724" i="7"/>
  <c r="E1724" i="7"/>
  <c r="F1724" i="7"/>
  <c r="B1725" i="7"/>
  <c r="C1725" i="7"/>
  <c r="D1725" i="7"/>
  <c r="E1725" i="7"/>
  <c r="F1725" i="7"/>
  <c r="B1726" i="7"/>
  <c r="C1726" i="7"/>
  <c r="D1726" i="7"/>
  <c r="E1726" i="7"/>
  <c r="F1726" i="7"/>
  <c r="B1727" i="7"/>
  <c r="C1727" i="7"/>
  <c r="D1727" i="7"/>
  <c r="E1727" i="7"/>
  <c r="F1727" i="7"/>
  <c r="B1728" i="7"/>
  <c r="C1728" i="7"/>
  <c r="D1728" i="7"/>
  <c r="E1728" i="7"/>
  <c r="F1728" i="7"/>
  <c r="B1729" i="7"/>
  <c r="C1729" i="7"/>
  <c r="D1729" i="7"/>
  <c r="E1729" i="7"/>
  <c r="F1729" i="7"/>
  <c r="B1730" i="7"/>
  <c r="C1730" i="7"/>
  <c r="D1730" i="7"/>
  <c r="E1730" i="7"/>
  <c r="F1730" i="7"/>
  <c r="B1731" i="7"/>
  <c r="C1731" i="7"/>
  <c r="D1731" i="7"/>
  <c r="E1731" i="7"/>
  <c r="F1731" i="7"/>
  <c r="B1732" i="7"/>
  <c r="C1732" i="7"/>
  <c r="D1732" i="7"/>
  <c r="E1732" i="7"/>
  <c r="F1732" i="7"/>
  <c r="B1733" i="7"/>
  <c r="C1733" i="7"/>
  <c r="D1733" i="7"/>
  <c r="E1733" i="7"/>
  <c r="F1733" i="7"/>
  <c r="B1734" i="7"/>
  <c r="C1734" i="7"/>
  <c r="D1734" i="7"/>
  <c r="E1734" i="7"/>
  <c r="F1734" i="7"/>
  <c r="B1735" i="7"/>
  <c r="C1735" i="7"/>
  <c r="D1735" i="7"/>
  <c r="E1735" i="7"/>
  <c r="F1735" i="7"/>
  <c r="B1736" i="7"/>
  <c r="C1736" i="7"/>
  <c r="D1736" i="7"/>
  <c r="E1736" i="7"/>
  <c r="F1736" i="7"/>
  <c r="B1737" i="7"/>
  <c r="C1737" i="7"/>
  <c r="D1737" i="7"/>
  <c r="E1737" i="7"/>
  <c r="F1737" i="7"/>
  <c r="B1738" i="7"/>
  <c r="C1738" i="7"/>
  <c r="D1738" i="7"/>
  <c r="E1738" i="7"/>
  <c r="F1738" i="7"/>
  <c r="B1739" i="7"/>
  <c r="C1739" i="7"/>
  <c r="D1739" i="7"/>
  <c r="E1739" i="7"/>
  <c r="F1739" i="7"/>
  <c r="B1740" i="7"/>
  <c r="C1740" i="7"/>
  <c r="D1740" i="7"/>
  <c r="E1740" i="7"/>
  <c r="F1740" i="7"/>
  <c r="B1741" i="7"/>
  <c r="C1741" i="7"/>
  <c r="D1741" i="7"/>
  <c r="E1741" i="7"/>
  <c r="F1741" i="7"/>
  <c r="B1742" i="7"/>
  <c r="C1742" i="7"/>
  <c r="D1742" i="7"/>
  <c r="E1742" i="7"/>
  <c r="F1742" i="7"/>
  <c r="B1743" i="7"/>
  <c r="C1743" i="7"/>
  <c r="D1743" i="7"/>
  <c r="E1743" i="7"/>
  <c r="F1743" i="7"/>
  <c r="B1744" i="7"/>
  <c r="C1744" i="7"/>
  <c r="D1744" i="7"/>
  <c r="E1744" i="7"/>
  <c r="F1744" i="7"/>
  <c r="B1745" i="7"/>
  <c r="C1745" i="7"/>
  <c r="D1745" i="7"/>
  <c r="E1745" i="7"/>
  <c r="F1745" i="7"/>
  <c r="B1746" i="7"/>
  <c r="C1746" i="7"/>
  <c r="D1746" i="7"/>
  <c r="E1746" i="7"/>
  <c r="F1746" i="7"/>
  <c r="B1747" i="7"/>
  <c r="C1747" i="7"/>
  <c r="D1747" i="7"/>
  <c r="E1747" i="7"/>
  <c r="F1747" i="7"/>
  <c r="B1748" i="7"/>
  <c r="C1748" i="7"/>
  <c r="D1748" i="7"/>
  <c r="E1748" i="7"/>
  <c r="F1748" i="7"/>
  <c r="B1749" i="7"/>
  <c r="C1749" i="7"/>
  <c r="D1749" i="7"/>
  <c r="E1749" i="7"/>
  <c r="F1749" i="7"/>
  <c r="B1750" i="7"/>
  <c r="C1750" i="7"/>
  <c r="D1750" i="7"/>
  <c r="E1750" i="7"/>
  <c r="F1750" i="7"/>
  <c r="B1751" i="7"/>
  <c r="C1751" i="7"/>
  <c r="D1751" i="7"/>
  <c r="E1751" i="7"/>
  <c r="F1751" i="7"/>
  <c r="B1752" i="7"/>
  <c r="C1752" i="7"/>
  <c r="D1752" i="7"/>
  <c r="E1752" i="7"/>
  <c r="F1752" i="7"/>
  <c r="B1753" i="7"/>
  <c r="C1753" i="7"/>
  <c r="D1753" i="7"/>
  <c r="E1753" i="7"/>
  <c r="F1753" i="7"/>
  <c r="B1754" i="7"/>
  <c r="C1754" i="7"/>
  <c r="D1754" i="7"/>
  <c r="E1754" i="7"/>
  <c r="F1754" i="7"/>
  <c r="B1755" i="7"/>
  <c r="C1755" i="7"/>
  <c r="D1755" i="7"/>
  <c r="E1755" i="7"/>
  <c r="F1755" i="7"/>
  <c r="B1756" i="7"/>
  <c r="C1756" i="7"/>
  <c r="D1756" i="7"/>
  <c r="E1756" i="7"/>
  <c r="F1756" i="7"/>
  <c r="B1757" i="7"/>
  <c r="C1757" i="7"/>
  <c r="D1757" i="7"/>
  <c r="E1757" i="7"/>
  <c r="F1757" i="7"/>
  <c r="B1758" i="7"/>
  <c r="C1758" i="7"/>
  <c r="D1758" i="7"/>
  <c r="E1758" i="7"/>
  <c r="F1758" i="7"/>
  <c r="B1759" i="7"/>
  <c r="C1759" i="7"/>
  <c r="D1759" i="7"/>
  <c r="E1759" i="7"/>
  <c r="F1759" i="7"/>
  <c r="B1760" i="7"/>
  <c r="C1760" i="7"/>
  <c r="D1760" i="7"/>
  <c r="E1760" i="7"/>
  <c r="F1760" i="7"/>
  <c r="B1761" i="7"/>
  <c r="C1761" i="7"/>
  <c r="D1761" i="7"/>
  <c r="E1761" i="7"/>
  <c r="F1761" i="7"/>
  <c r="B1762" i="7"/>
  <c r="C1762" i="7"/>
  <c r="D1762" i="7"/>
  <c r="E1762" i="7"/>
  <c r="F1762" i="7"/>
  <c r="B1763" i="7"/>
  <c r="C1763" i="7"/>
  <c r="D1763" i="7"/>
  <c r="E1763" i="7"/>
  <c r="F1763" i="7"/>
  <c r="B1764" i="7"/>
  <c r="C1764" i="7"/>
  <c r="D1764" i="7"/>
  <c r="E1764" i="7"/>
  <c r="F1764" i="7"/>
  <c r="B1765" i="7"/>
  <c r="C1765" i="7"/>
  <c r="D1765" i="7"/>
  <c r="E1765" i="7"/>
  <c r="F1765" i="7"/>
  <c r="B1766" i="7"/>
  <c r="C1766" i="7"/>
  <c r="D1766" i="7"/>
  <c r="E1766" i="7"/>
  <c r="F1766" i="7"/>
  <c r="B1767" i="7"/>
  <c r="C1767" i="7"/>
  <c r="D1767" i="7"/>
  <c r="E1767" i="7"/>
  <c r="F1767" i="7"/>
  <c r="B1768" i="7"/>
  <c r="C1768" i="7"/>
  <c r="D1768" i="7"/>
  <c r="E1768" i="7"/>
  <c r="F1768" i="7"/>
  <c r="B1769" i="7"/>
  <c r="C1769" i="7"/>
  <c r="D1769" i="7"/>
  <c r="E1769" i="7"/>
  <c r="F1769" i="7"/>
  <c r="B1770" i="7"/>
  <c r="C1770" i="7"/>
  <c r="D1770" i="7"/>
  <c r="E1770" i="7"/>
  <c r="F1770" i="7"/>
  <c r="B1771" i="7"/>
  <c r="C1771" i="7"/>
  <c r="D1771" i="7"/>
  <c r="E1771" i="7"/>
  <c r="F1771" i="7"/>
  <c r="B1772" i="7"/>
  <c r="C1772" i="7"/>
  <c r="D1772" i="7"/>
  <c r="E1772" i="7"/>
  <c r="F1772" i="7"/>
  <c r="B1773" i="7"/>
  <c r="C1773" i="7"/>
  <c r="D1773" i="7"/>
  <c r="E1773" i="7"/>
  <c r="F1773" i="7"/>
  <c r="B1774" i="7"/>
  <c r="C1774" i="7"/>
  <c r="D1774" i="7"/>
  <c r="E1774" i="7"/>
  <c r="F1774" i="7"/>
  <c r="B1775" i="7"/>
  <c r="C1775" i="7"/>
  <c r="D1775" i="7"/>
  <c r="E1775" i="7"/>
  <c r="F1775" i="7"/>
  <c r="B1776" i="7"/>
  <c r="C1776" i="7"/>
  <c r="D1776" i="7"/>
  <c r="E1776" i="7"/>
  <c r="F1776" i="7"/>
  <c r="B1777" i="7"/>
  <c r="C1777" i="7"/>
  <c r="D1777" i="7"/>
  <c r="E1777" i="7"/>
  <c r="F1777" i="7"/>
  <c r="B1778" i="7"/>
  <c r="C1778" i="7"/>
  <c r="D1778" i="7"/>
  <c r="E1778" i="7"/>
  <c r="F1778" i="7"/>
  <c r="B1779" i="7"/>
  <c r="C1779" i="7"/>
  <c r="D1779" i="7"/>
  <c r="E1779" i="7"/>
  <c r="F1779" i="7"/>
  <c r="B1780" i="7"/>
  <c r="C1780" i="7"/>
  <c r="D1780" i="7"/>
  <c r="E1780" i="7"/>
  <c r="F1780" i="7"/>
  <c r="B1781" i="7"/>
  <c r="C1781" i="7"/>
  <c r="D1781" i="7"/>
  <c r="E1781" i="7"/>
  <c r="F1781" i="7"/>
  <c r="B1782" i="7"/>
  <c r="C1782" i="7"/>
  <c r="D1782" i="7"/>
  <c r="E1782" i="7"/>
  <c r="F1782" i="7"/>
  <c r="B1783" i="7"/>
  <c r="C1783" i="7"/>
  <c r="D1783" i="7"/>
  <c r="E1783" i="7"/>
  <c r="F1783" i="7"/>
  <c r="B1784" i="7"/>
  <c r="C1784" i="7"/>
  <c r="D1784" i="7"/>
  <c r="E1784" i="7"/>
  <c r="F1784" i="7"/>
  <c r="B1785" i="7"/>
  <c r="C1785" i="7"/>
  <c r="D1785" i="7"/>
  <c r="E1785" i="7"/>
  <c r="F1785" i="7"/>
  <c r="B1786" i="7"/>
  <c r="C1786" i="7"/>
  <c r="D1786" i="7"/>
  <c r="E1786" i="7"/>
  <c r="F1786" i="7"/>
  <c r="B1787" i="7"/>
  <c r="C1787" i="7"/>
  <c r="D1787" i="7"/>
  <c r="E1787" i="7"/>
  <c r="F1787" i="7"/>
  <c r="B1788" i="7"/>
  <c r="C1788" i="7"/>
  <c r="D1788" i="7"/>
  <c r="E1788" i="7"/>
  <c r="F1788" i="7"/>
  <c r="B1789" i="7"/>
  <c r="C1789" i="7"/>
  <c r="D1789" i="7"/>
  <c r="E1789" i="7"/>
  <c r="F1789" i="7"/>
  <c r="B1790" i="7"/>
  <c r="C1790" i="7"/>
  <c r="D1790" i="7"/>
  <c r="E1790" i="7"/>
  <c r="F1790" i="7"/>
  <c r="B1791" i="7"/>
  <c r="C1791" i="7"/>
  <c r="D1791" i="7"/>
  <c r="E1791" i="7"/>
  <c r="F1791" i="7"/>
  <c r="B1792" i="7"/>
  <c r="C1792" i="7"/>
  <c r="D1792" i="7"/>
  <c r="E1792" i="7"/>
  <c r="F1792" i="7"/>
  <c r="B1793" i="7"/>
  <c r="C1793" i="7"/>
  <c r="D1793" i="7"/>
  <c r="E1793" i="7"/>
  <c r="F1793" i="7"/>
  <c r="B1794" i="7"/>
  <c r="C1794" i="7"/>
  <c r="D1794" i="7"/>
  <c r="E1794" i="7"/>
  <c r="F1794" i="7"/>
  <c r="B1795" i="7"/>
  <c r="C1795" i="7"/>
  <c r="D1795" i="7"/>
  <c r="E1795" i="7"/>
  <c r="F1795" i="7"/>
  <c r="B1796" i="7"/>
  <c r="C1796" i="7"/>
  <c r="D1796" i="7"/>
  <c r="E1796" i="7"/>
  <c r="F1796" i="7"/>
  <c r="B1797" i="7"/>
  <c r="C1797" i="7"/>
  <c r="D1797" i="7"/>
  <c r="E1797" i="7"/>
  <c r="F1797" i="7"/>
  <c r="B1798" i="7"/>
  <c r="C1798" i="7"/>
  <c r="D1798" i="7"/>
  <c r="E1798" i="7"/>
  <c r="F1798" i="7"/>
  <c r="B1799" i="7"/>
  <c r="C1799" i="7"/>
  <c r="D1799" i="7"/>
  <c r="E1799" i="7"/>
  <c r="F1799" i="7"/>
  <c r="B1800" i="7"/>
  <c r="C1800" i="7"/>
  <c r="D1800" i="7"/>
  <c r="E1800" i="7"/>
  <c r="F1800" i="7"/>
  <c r="B1801" i="7"/>
  <c r="C1801" i="7"/>
  <c r="D1801" i="7"/>
  <c r="E1801" i="7"/>
  <c r="F1801" i="7"/>
  <c r="B1802" i="7"/>
  <c r="C1802" i="7"/>
  <c r="D1802" i="7"/>
  <c r="E1802" i="7"/>
  <c r="F1802" i="7"/>
  <c r="B1803" i="7"/>
  <c r="C1803" i="7"/>
  <c r="D1803" i="7"/>
  <c r="E1803" i="7"/>
  <c r="F1803" i="7"/>
  <c r="B1804" i="7"/>
  <c r="C1804" i="7"/>
  <c r="D1804" i="7"/>
  <c r="E1804" i="7"/>
  <c r="F1804" i="7"/>
  <c r="B1805" i="7"/>
  <c r="C1805" i="7"/>
  <c r="D1805" i="7"/>
  <c r="E1805" i="7"/>
  <c r="F1805" i="7"/>
  <c r="B1806" i="7"/>
  <c r="C1806" i="7"/>
  <c r="D1806" i="7"/>
  <c r="E1806" i="7"/>
  <c r="F1806" i="7"/>
  <c r="B1807" i="7"/>
  <c r="C1807" i="7"/>
  <c r="D1807" i="7"/>
  <c r="E1807" i="7"/>
  <c r="F1807" i="7"/>
  <c r="B1808" i="7"/>
  <c r="C1808" i="7"/>
  <c r="D1808" i="7"/>
  <c r="E1808" i="7"/>
  <c r="F1808" i="7"/>
  <c r="B1809" i="7"/>
  <c r="C1809" i="7"/>
  <c r="D1809" i="7"/>
  <c r="E1809" i="7"/>
  <c r="F1809" i="7"/>
  <c r="B1810" i="7"/>
  <c r="C1810" i="7"/>
  <c r="D1810" i="7"/>
  <c r="E1810" i="7"/>
  <c r="F1810" i="7"/>
  <c r="B1811" i="7"/>
  <c r="C1811" i="7"/>
  <c r="D1811" i="7"/>
  <c r="E1811" i="7"/>
  <c r="F1811" i="7"/>
  <c r="B1812" i="7"/>
  <c r="C1812" i="7"/>
  <c r="D1812" i="7"/>
  <c r="E1812" i="7"/>
  <c r="F1812" i="7"/>
  <c r="B1813" i="7"/>
  <c r="C1813" i="7"/>
  <c r="D1813" i="7"/>
  <c r="E1813" i="7"/>
  <c r="F1813" i="7"/>
  <c r="B1814" i="7"/>
  <c r="C1814" i="7"/>
  <c r="D1814" i="7"/>
  <c r="E1814" i="7"/>
  <c r="F1814" i="7"/>
  <c r="B1815" i="7"/>
  <c r="C1815" i="7"/>
  <c r="D1815" i="7"/>
  <c r="E1815" i="7"/>
  <c r="F1815" i="7"/>
  <c r="B1816" i="7"/>
  <c r="C1816" i="7"/>
  <c r="D1816" i="7"/>
  <c r="E1816" i="7"/>
  <c r="F1816" i="7"/>
  <c r="B1817" i="7"/>
  <c r="C1817" i="7"/>
  <c r="D1817" i="7"/>
  <c r="E1817" i="7"/>
  <c r="F1817" i="7"/>
  <c r="B1818" i="7"/>
  <c r="C1818" i="7"/>
  <c r="D1818" i="7"/>
  <c r="E1818" i="7"/>
  <c r="F1818" i="7"/>
  <c r="B1819" i="7"/>
  <c r="C1819" i="7"/>
  <c r="D1819" i="7"/>
  <c r="E1819" i="7"/>
  <c r="F1819" i="7"/>
  <c r="B1820" i="7"/>
  <c r="C1820" i="7"/>
  <c r="D1820" i="7"/>
  <c r="E1820" i="7"/>
  <c r="F1820" i="7"/>
  <c r="B1821" i="7"/>
  <c r="C1821" i="7"/>
  <c r="D1821" i="7"/>
  <c r="E1821" i="7"/>
  <c r="F1821" i="7"/>
  <c r="B1822" i="7"/>
  <c r="C1822" i="7"/>
  <c r="D1822" i="7"/>
  <c r="E1822" i="7"/>
  <c r="F1822" i="7"/>
  <c r="B1823" i="7"/>
  <c r="C1823" i="7"/>
  <c r="D1823" i="7"/>
  <c r="E1823" i="7"/>
  <c r="F1823" i="7"/>
  <c r="B1824" i="7"/>
  <c r="C1824" i="7"/>
  <c r="D1824" i="7"/>
  <c r="E1824" i="7"/>
  <c r="F1824" i="7"/>
  <c r="B1825" i="7"/>
  <c r="C1825" i="7"/>
  <c r="D1825" i="7"/>
  <c r="E1825" i="7"/>
  <c r="F1825" i="7"/>
  <c r="B1826" i="7"/>
  <c r="C1826" i="7"/>
  <c r="D1826" i="7"/>
  <c r="E1826" i="7"/>
  <c r="F1826" i="7"/>
  <c r="B1827" i="7"/>
  <c r="C1827" i="7"/>
  <c r="D1827" i="7"/>
  <c r="E1827" i="7"/>
  <c r="F1827" i="7"/>
  <c r="B1828" i="7"/>
  <c r="C1828" i="7"/>
  <c r="D1828" i="7"/>
  <c r="E1828" i="7"/>
  <c r="F1828" i="7"/>
  <c r="B1829" i="7"/>
  <c r="C1829" i="7"/>
  <c r="D1829" i="7"/>
  <c r="E1829" i="7"/>
  <c r="F1829" i="7"/>
  <c r="B1830" i="7"/>
  <c r="C1830" i="7"/>
  <c r="D1830" i="7"/>
  <c r="E1830" i="7"/>
  <c r="F1830" i="7"/>
  <c r="B1831" i="7"/>
  <c r="C1831" i="7"/>
  <c r="D1831" i="7"/>
  <c r="E1831" i="7"/>
  <c r="F1831" i="7"/>
  <c r="B1832" i="7"/>
  <c r="C1832" i="7"/>
  <c r="D1832" i="7"/>
  <c r="E1832" i="7"/>
  <c r="F1832" i="7"/>
  <c r="B1833" i="7"/>
  <c r="C1833" i="7"/>
  <c r="D1833" i="7"/>
  <c r="E1833" i="7"/>
  <c r="F1833" i="7"/>
  <c r="B1834" i="7"/>
  <c r="C1834" i="7"/>
  <c r="D1834" i="7"/>
  <c r="E1834" i="7"/>
  <c r="F1834" i="7"/>
  <c r="B1835" i="7"/>
  <c r="C1835" i="7"/>
  <c r="D1835" i="7"/>
  <c r="E1835" i="7"/>
  <c r="F1835" i="7"/>
  <c r="B1836" i="7"/>
  <c r="C1836" i="7"/>
  <c r="D1836" i="7"/>
  <c r="E1836" i="7"/>
  <c r="F1836" i="7"/>
  <c r="B1837" i="7"/>
  <c r="C1837" i="7"/>
  <c r="D1837" i="7"/>
  <c r="E1837" i="7"/>
  <c r="F1837" i="7"/>
  <c r="B1838" i="7"/>
  <c r="C1838" i="7"/>
  <c r="D1838" i="7"/>
  <c r="E1838" i="7"/>
  <c r="F1838" i="7"/>
  <c r="B1839" i="7"/>
  <c r="C1839" i="7"/>
  <c r="D1839" i="7"/>
  <c r="E1839" i="7"/>
  <c r="F1839" i="7"/>
  <c r="B1840" i="7"/>
  <c r="C1840" i="7"/>
  <c r="D1840" i="7"/>
  <c r="E1840" i="7"/>
  <c r="F1840" i="7"/>
  <c r="B1841" i="7"/>
  <c r="C1841" i="7"/>
  <c r="D1841" i="7"/>
  <c r="E1841" i="7"/>
  <c r="F1841" i="7"/>
  <c r="B1842" i="7"/>
  <c r="C1842" i="7"/>
  <c r="D1842" i="7"/>
  <c r="E1842" i="7"/>
  <c r="F1842" i="7"/>
  <c r="B1843" i="7"/>
  <c r="C1843" i="7"/>
  <c r="D1843" i="7"/>
  <c r="E1843" i="7"/>
  <c r="F1843" i="7"/>
  <c r="B1844" i="7"/>
  <c r="C1844" i="7"/>
  <c r="D1844" i="7"/>
  <c r="E1844" i="7"/>
  <c r="F1844" i="7"/>
  <c r="B1845" i="7"/>
  <c r="C1845" i="7"/>
  <c r="D1845" i="7"/>
  <c r="E1845" i="7"/>
  <c r="F1845" i="7"/>
  <c r="B1846" i="7"/>
  <c r="C1846" i="7"/>
  <c r="D1846" i="7"/>
  <c r="E1846" i="7"/>
  <c r="F1846" i="7"/>
  <c r="B1847" i="7"/>
  <c r="C1847" i="7"/>
  <c r="D1847" i="7"/>
  <c r="E1847" i="7"/>
  <c r="F1847" i="7"/>
  <c r="B1848" i="7"/>
  <c r="C1848" i="7"/>
  <c r="D1848" i="7"/>
  <c r="E1848" i="7"/>
  <c r="F1848" i="7"/>
  <c r="B1849" i="7"/>
  <c r="C1849" i="7"/>
  <c r="D1849" i="7"/>
  <c r="E1849" i="7"/>
  <c r="F1849" i="7"/>
  <c r="B1850" i="7"/>
  <c r="C1850" i="7"/>
  <c r="D1850" i="7"/>
  <c r="E1850" i="7"/>
  <c r="F1850" i="7"/>
  <c r="B1851" i="7"/>
  <c r="C1851" i="7"/>
  <c r="D1851" i="7"/>
  <c r="E1851" i="7"/>
  <c r="F1851" i="7"/>
  <c r="B1852" i="7"/>
  <c r="C1852" i="7"/>
  <c r="D1852" i="7"/>
  <c r="E1852" i="7"/>
  <c r="F1852" i="7"/>
  <c r="B1853" i="7"/>
  <c r="C1853" i="7"/>
  <c r="D1853" i="7"/>
  <c r="E1853" i="7"/>
  <c r="F1853" i="7"/>
  <c r="B1854" i="7"/>
  <c r="C1854" i="7"/>
  <c r="D1854" i="7"/>
  <c r="E1854" i="7"/>
  <c r="F1854" i="7"/>
  <c r="B1855" i="7"/>
  <c r="C1855" i="7"/>
  <c r="D1855" i="7"/>
  <c r="E1855" i="7"/>
  <c r="F1855" i="7"/>
  <c r="B1856" i="7"/>
  <c r="C1856" i="7"/>
  <c r="D1856" i="7"/>
  <c r="E1856" i="7"/>
  <c r="F1856" i="7"/>
  <c r="B1857" i="7"/>
  <c r="C1857" i="7"/>
  <c r="D1857" i="7"/>
  <c r="E1857" i="7"/>
  <c r="F1857" i="7"/>
  <c r="B1858" i="7"/>
  <c r="C1858" i="7"/>
  <c r="D1858" i="7"/>
  <c r="E1858" i="7"/>
  <c r="F1858" i="7"/>
  <c r="B1859" i="7"/>
  <c r="C1859" i="7"/>
  <c r="D1859" i="7"/>
  <c r="E1859" i="7"/>
  <c r="F1859" i="7"/>
  <c r="B1860" i="7"/>
  <c r="C1860" i="7"/>
  <c r="D1860" i="7"/>
  <c r="E1860" i="7"/>
  <c r="F1860" i="7"/>
  <c r="B1861" i="7"/>
  <c r="C1861" i="7"/>
  <c r="D1861" i="7"/>
  <c r="E1861" i="7"/>
  <c r="F1861" i="7"/>
  <c r="B1862" i="7"/>
  <c r="C1862" i="7"/>
  <c r="D1862" i="7"/>
  <c r="E1862" i="7"/>
  <c r="F1862" i="7"/>
  <c r="B1863" i="7"/>
  <c r="C1863" i="7"/>
  <c r="D1863" i="7"/>
  <c r="E1863" i="7"/>
  <c r="F1863" i="7"/>
  <c r="B1864" i="7"/>
  <c r="C1864" i="7"/>
  <c r="D1864" i="7"/>
  <c r="E1864" i="7"/>
  <c r="F1864" i="7"/>
  <c r="B1865" i="7"/>
  <c r="C1865" i="7"/>
  <c r="D1865" i="7"/>
  <c r="E1865" i="7"/>
  <c r="F1865" i="7"/>
  <c r="B1866" i="7"/>
  <c r="C1866" i="7"/>
  <c r="D1866" i="7"/>
  <c r="E1866" i="7"/>
  <c r="F1866" i="7"/>
  <c r="B1867" i="7"/>
  <c r="C1867" i="7"/>
  <c r="D1867" i="7"/>
  <c r="E1867" i="7"/>
  <c r="F1867" i="7"/>
  <c r="B1868" i="7"/>
  <c r="C1868" i="7"/>
  <c r="D1868" i="7"/>
  <c r="E1868" i="7"/>
  <c r="F1868" i="7"/>
  <c r="B1869" i="7"/>
  <c r="C1869" i="7"/>
  <c r="D1869" i="7"/>
  <c r="E1869" i="7"/>
  <c r="F1869" i="7"/>
  <c r="B1870" i="7"/>
  <c r="C1870" i="7"/>
  <c r="D1870" i="7"/>
  <c r="E1870" i="7"/>
  <c r="F1870" i="7"/>
  <c r="B1871" i="7"/>
  <c r="C1871" i="7"/>
  <c r="D1871" i="7"/>
  <c r="E1871" i="7"/>
  <c r="F1871" i="7"/>
  <c r="B1872" i="7"/>
  <c r="C1872" i="7"/>
  <c r="D1872" i="7"/>
  <c r="E1872" i="7"/>
  <c r="F1872" i="7"/>
  <c r="B1873" i="7"/>
  <c r="C1873" i="7"/>
  <c r="D1873" i="7"/>
  <c r="E1873" i="7"/>
  <c r="F1873" i="7"/>
  <c r="B1874" i="7"/>
  <c r="C1874" i="7"/>
  <c r="D1874" i="7"/>
  <c r="E1874" i="7"/>
  <c r="F1874" i="7"/>
  <c r="B1875" i="7"/>
  <c r="C1875" i="7"/>
  <c r="D1875" i="7"/>
  <c r="E1875" i="7"/>
  <c r="F1875" i="7"/>
  <c r="B1876" i="7"/>
  <c r="C1876" i="7"/>
  <c r="D1876" i="7"/>
  <c r="E1876" i="7"/>
  <c r="F1876" i="7"/>
  <c r="B1877" i="7"/>
  <c r="C1877" i="7"/>
  <c r="D1877" i="7"/>
  <c r="E1877" i="7"/>
  <c r="F1877" i="7"/>
  <c r="B1878" i="7"/>
  <c r="C1878" i="7"/>
  <c r="D1878" i="7"/>
  <c r="E1878" i="7"/>
  <c r="F1878" i="7"/>
  <c r="B1879" i="7"/>
  <c r="C1879" i="7"/>
  <c r="D1879" i="7"/>
  <c r="E1879" i="7"/>
  <c r="F1879" i="7"/>
  <c r="B1880" i="7"/>
  <c r="C1880" i="7"/>
  <c r="D1880" i="7"/>
  <c r="E1880" i="7"/>
  <c r="F1880" i="7"/>
  <c r="B1881" i="7"/>
  <c r="C1881" i="7"/>
  <c r="D1881" i="7"/>
  <c r="E1881" i="7"/>
  <c r="F1881" i="7"/>
  <c r="B1882" i="7"/>
  <c r="C1882" i="7"/>
  <c r="D1882" i="7"/>
  <c r="E1882" i="7"/>
  <c r="F1882" i="7"/>
  <c r="B1883" i="7"/>
  <c r="C1883" i="7"/>
  <c r="D1883" i="7"/>
  <c r="E1883" i="7"/>
  <c r="F1883" i="7"/>
  <c r="B1884" i="7"/>
  <c r="C1884" i="7"/>
  <c r="D1884" i="7"/>
  <c r="E1884" i="7"/>
  <c r="F1884" i="7"/>
  <c r="B1885" i="7"/>
  <c r="C1885" i="7"/>
  <c r="D1885" i="7"/>
  <c r="E1885" i="7"/>
  <c r="F1885" i="7"/>
  <c r="B1886" i="7"/>
  <c r="C1886" i="7"/>
  <c r="D1886" i="7"/>
  <c r="E1886" i="7"/>
  <c r="F1886" i="7"/>
  <c r="B1887" i="7"/>
  <c r="C1887" i="7"/>
  <c r="D1887" i="7"/>
  <c r="E1887" i="7"/>
  <c r="F1887" i="7"/>
  <c r="B1888" i="7"/>
  <c r="C1888" i="7"/>
  <c r="D1888" i="7"/>
  <c r="E1888" i="7"/>
  <c r="F1888" i="7"/>
  <c r="B1889" i="7"/>
  <c r="C1889" i="7"/>
  <c r="D1889" i="7"/>
  <c r="E1889" i="7"/>
  <c r="F1889" i="7"/>
  <c r="B1890" i="7"/>
  <c r="C1890" i="7"/>
  <c r="D1890" i="7"/>
  <c r="E1890" i="7"/>
  <c r="F1890" i="7"/>
  <c r="B1891" i="7"/>
  <c r="C1891" i="7"/>
  <c r="D1891" i="7"/>
  <c r="E1891" i="7"/>
  <c r="F1891" i="7"/>
  <c r="B1892" i="7"/>
  <c r="C1892" i="7"/>
  <c r="D1892" i="7"/>
  <c r="E1892" i="7"/>
  <c r="F1892" i="7"/>
  <c r="B1893" i="7"/>
  <c r="C1893" i="7"/>
  <c r="D1893" i="7"/>
  <c r="E1893" i="7"/>
  <c r="F1893" i="7"/>
  <c r="B1894" i="7"/>
  <c r="C1894" i="7"/>
  <c r="D1894" i="7"/>
  <c r="E1894" i="7"/>
  <c r="F1894" i="7"/>
  <c r="B1895" i="7"/>
  <c r="C1895" i="7"/>
  <c r="D1895" i="7"/>
  <c r="E1895" i="7"/>
  <c r="F1895" i="7"/>
  <c r="B1896" i="7"/>
  <c r="C1896" i="7"/>
  <c r="D1896" i="7"/>
  <c r="E1896" i="7"/>
  <c r="F1896" i="7"/>
  <c r="B1897" i="7"/>
  <c r="C1897" i="7"/>
  <c r="D1897" i="7"/>
  <c r="E1897" i="7"/>
  <c r="F1897" i="7"/>
  <c r="B1898" i="7"/>
  <c r="C1898" i="7"/>
  <c r="D1898" i="7"/>
  <c r="E1898" i="7"/>
  <c r="F1898" i="7"/>
  <c r="B1899" i="7"/>
  <c r="C1899" i="7"/>
  <c r="D1899" i="7"/>
  <c r="E1899" i="7"/>
  <c r="F1899" i="7"/>
  <c r="B1900" i="7"/>
  <c r="C1900" i="7"/>
  <c r="D1900" i="7"/>
  <c r="E1900" i="7"/>
  <c r="F1900" i="7"/>
  <c r="B1901" i="7"/>
  <c r="C1901" i="7"/>
  <c r="D1901" i="7"/>
  <c r="E1901" i="7"/>
  <c r="F1901" i="7"/>
  <c r="B1902" i="7"/>
  <c r="C1902" i="7"/>
  <c r="D1902" i="7"/>
  <c r="E1902" i="7"/>
  <c r="F1902" i="7"/>
  <c r="B1903" i="7"/>
  <c r="C1903" i="7"/>
  <c r="D1903" i="7"/>
  <c r="E1903" i="7"/>
  <c r="F1903" i="7"/>
  <c r="B1904" i="7"/>
  <c r="C1904" i="7"/>
  <c r="D1904" i="7"/>
  <c r="E1904" i="7"/>
  <c r="F1904" i="7"/>
  <c r="B1905" i="7"/>
  <c r="C1905" i="7"/>
  <c r="D1905" i="7"/>
  <c r="E1905" i="7"/>
  <c r="F1905" i="7"/>
  <c r="B1906" i="7"/>
  <c r="C1906" i="7"/>
  <c r="D1906" i="7"/>
  <c r="E1906" i="7"/>
  <c r="F1906" i="7"/>
  <c r="B1907" i="7"/>
  <c r="C1907" i="7"/>
  <c r="D1907" i="7"/>
  <c r="E1907" i="7"/>
  <c r="F1907" i="7"/>
  <c r="B1908" i="7"/>
  <c r="C1908" i="7"/>
  <c r="D1908" i="7"/>
  <c r="E1908" i="7"/>
  <c r="F1908" i="7"/>
  <c r="B1909" i="7"/>
  <c r="C1909" i="7"/>
  <c r="D1909" i="7"/>
  <c r="E1909" i="7"/>
  <c r="F1909" i="7"/>
  <c r="B1910" i="7"/>
  <c r="C1910" i="7"/>
  <c r="D1910" i="7"/>
  <c r="E1910" i="7"/>
  <c r="F1910" i="7"/>
  <c r="B1911" i="7"/>
  <c r="C1911" i="7"/>
  <c r="D1911" i="7"/>
  <c r="E1911" i="7"/>
  <c r="F1911" i="7"/>
  <c r="B1912" i="7"/>
  <c r="C1912" i="7"/>
  <c r="D1912" i="7"/>
  <c r="E1912" i="7"/>
  <c r="F1912" i="7"/>
  <c r="B1913" i="7"/>
  <c r="C1913" i="7"/>
  <c r="D1913" i="7"/>
  <c r="E1913" i="7"/>
  <c r="F1913" i="7"/>
  <c r="B1914" i="7"/>
  <c r="C1914" i="7"/>
  <c r="D1914" i="7"/>
  <c r="E1914" i="7"/>
  <c r="F1914" i="7"/>
  <c r="B1915" i="7"/>
  <c r="C1915" i="7"/>
  <c r="D1915" i="7"/>
  <c r="E1915" i="7"/>
  <c r="F1915" i="7"/>
  <c r="B1916" i="7"/>
  <c r="C1916" i="7"/>
  <c r="D1916" i="7"/>
  <c r="E1916" i="7"/>
  <c r="F1916" i="7"/>
  <c r="B1917" i="7"/>
  <c r="C1917" i="7"/>
  <c r="D1917" i="7"/>
  <c r="E1917" i="7"/>
  <c r="F1917" i="7"/>
  <c r="B1918" i="7"/>
  <c r="C1918" i="7"/>
  <c r="D1918" i="7"/>
  <c r="E1918" i="7"/>
  <c r="F1918" i="7"/>
  <c r="B1919" i="7"/>
  <c r="C1919" i="7"/>
  <c r="D1919" i="7"/>
  <c r="E1919" i="7"/>
  <c r="F1919" i="7"/>
  <c r="B1920" i="7"/>
  <c r="C1920" i="7"/>
  <c r="D1920" i="7"/>
  <c r="E1920" i="7"/>
  <c r="F1920" i="7"/>
  <c r="B1921" i="7"/>
  <c r="C1921" i="7"/>
  <c r="D1921" i="7"/>
  <c r="E1921" i="7"/>
  <c r="F1921" i="7"/>
  <c r="B1922" i="7"/>
  <c r="C1922" i="7"/>
  <c r="D1922" i="7"/>
  <c r="E1922" i="7"/>
  <c r="F1922" i="7"/>
  <c r="B1923" i="7"/>
  <c r="C1923" i="7"/>
  <c r="D1923" i="7"/>
  <c r="E1923" i="7"/>
  <c r="F1923" i="7"/>
  <c r="B1924" i="7"/>
  <c r="C1924" i="7"/>
  <c r="D1924" i="7"/>
  <c r="E1924" i="7"/>
  <c r="F1924" i="7"/>
  <c r="B1925" i="7"/>
  <c r="C1925" i="7"/>
  <c r="D1925" i="7"/>
  <c r="E1925" i="7"/>
  <c r="F1925" i="7"/>
  <c r="B1926" i="7"/>
  <c r="C1926" i="7"/>
  <c r="D1926" i="7"/>
  <c r="E1926" i="7"/>
  <c r="F1926" i="7"/>
  <c r="B1927" i="7"/>
  <c r="C1927" i="7"/>
  <c r="D1927" i="7"/>
  <c r="E1927" i="7"/>
  <c r="F1927" i="7"/>
  <c r="B1928" i="7"/>
  <c r="C1928" i="7"/>
  <c r="D1928" i="7"/>
  <c r="E1928" i="7"/>
  <c r="F1928" i="7"/>
  <c r="B1929" i="7"/>
  <c r="C1929" i="7"/>
  <c r="D1929" i="7"/>
  <c r="E1929" i="7"/>
  <c r="F1929" i="7"/>
  <c r="B1930" i="7"/>
  <c r="C1930" i="7"/>
  <c r="D1930" i="7"/>
  <c r="E1930" i="7"/>
  <c r="F1930" i="7"/>
  <c r="B1931" i="7"/>
  <c r="C1931" i="7"/>
  <c r="D1931" i="7"/>
  <c r="E1931" i="7"/>
  <c r="F1931" i="7"/>
  <c r="B1932" i="7"/>
  <c r="C1932" i="7"/>
  <c r="D1932" i="7"/>
  <c r="E1932" i="7"/>
  <c r="F1932" i="7"/>
  <c r="B1933" i="7"/>
  <c r="C1933" i="7"/>
  <c r="D1933" i="7"/>
  <c r="E1933" i="7"/>
  <c r="F1933" i="7"/>
  <c r="B1934" i="7"/>
  <c r="C1934" i="7"/>
  <c r="D1934" i="7"/>
  <c r="E1934" i="7"/>
  <c r="F1934" i="7"/>
  <c r="B1935" i="7"/>
  <c r="C1935" i="7"/>
  <c r="D1935" i="7"/>
  <c r="E1935" i="7"/>
  <c r="F1935" i="7"/>
  <c r="B1936" i="7"/>
  <c r="C1936" i="7"/>
  <c r="D1936" i="7"/>
  <c r="E1936" i="7"/>
  <c r="F1936" i="7"/>
  <c r="B1937" i="7"/>
  <c r="C1937" i="7"/>
  <c r="D1937" i="7"/>
  <c r="E1937" i="7"/>
  <c r="F1937" i="7"/>
  <c r="B1938" i="7"/>
  <c r="C1938" i="7"/>
  <c r="D1938" i="7"/>
  <c r="E1938" i="7"/>
  <c r="F1938" i="7"/>
  <c r="B1939" i="7"/>
  <c r="C1939" i="7"/>
  <c r="D1939" i="7"/>
  <c r="E1939" i="7"/>
  <c r="F1939" i="7"/>
  <c r="B1940" i="7"/>
  <c r="C1940" i="7"/>
  <c r="D1940" i="7"/>
  <c r="E1940" i="7"/>
  <c r="F1940" i="7"/>
  <c r="B1941" i="7"/>
  <c r="C1941" i="7"/>
  <c r="D1941" i="7"/>
  <c r="E1941" i="7"/>
  <c r="F1941" i="7"/>
  <c r="B1942" i="7"/>
  <c r="C1942" i="7"/>
  <c r="D1942" i="7"/>
  <c r="E1942" i="7"/>
  <c r="F1942" i="7"/>
  <c r="B1943" i="7"/>
  <c r="C1943" i="7"/>
  <c r="D1943" i="7"/>
  <c r="E1943" i="7"/>
  <c r="F1943" i="7"/>
  <c r="B1944" i="7"/>
  <c r="C1944" i="7"/>
  <c r="D1944" i="7"/>
  <c r="E1944" i="7"/>
  <c r="F1944" i="7"/>
  <c r="B1945" i="7"/>
  <c r="C1945" i="7"/>
  <c r="D1945" i="7"/>
  <c r="E1945" i="7"/>
  <c r="F1945" i="7"/>
  <c r="B1946" i="7"/>
  <c r="C1946" i="7"/>
  <c r="D1946" i="7"/>
  <c r="E1946" i="7"/>
  <c r="F1946" i="7"/>
  <c r="B1947" i="7"/>
  <c r="C1947" i="7"/>
  <c r="D1947" i="7"/>
  <c r="E1947" i="7"/>
  <c r="F1947" i="7"/>
  <c r="B1948" i="7"/>
  <c r="C1948" i="7"/>
  <c r="D1948" i="7"/>
  <c r="E1948" i="7"/>
  <c r="F1948" i="7"/>
  <c r="B1949" i="7"/>
  <c r="C1949" i="7"/>
  <c r="D1949" i="7"/>
  <c r="E1949" i="7"/>
  <c r="F1949" i="7"/>
  <c r="B1950" i="7"/>
  <c r="C1950" i="7"/>
  <c r="D1950" i="7"/>
  <c r="E1950" i="7"/>
  <c r="F1950" i="7"/>
  <c r="B1951" i="7"/>
  <c r="C1951" i="7"/>
  <c r="D1951" i="7"/>
  <c r="E1951" i="7"/>
  <c r="F1951" i="7"/>
  <c r="B1952" i="7"/>
  <c r="C1952" i="7"/>
  <c r="D1952" i="7"/>
  <c r="E1952" i="7"/>
  <c r="F1952" i="7"/>
  <c r="B1953" i="7"/>
  <c r="C1953" i="7"/>
  <c r="D1953" i="7"/>
  <c r="E1953" i="7"/>
  <c r="F1953" i="7"/>
  <c r="B1954" i="7"/>
  <c r="C1954" i="7"/>
  <c r="D1954" i="7"/>
  <c r="E1954" i="7"/>
  <c r="F1954" i="7"/>
  <c r="B1955" i="7"/>
  <c r="C1955" i="7"/>
  <c r="D1955" i="7"/>
  <c r="E1955" i="7"/>
  <c r="F1955" i="7"/>
  <c r="B1956" i="7"/>
  <c r="C1956" i="7"/>
  <c r="D1956" i="7"/>
  <c r="E1956" i="7"/>
  <c r="F1956" i="7"/>
  <c r="B1957" i="7"/>
  <c r="C1957" i="7"/>
  <c r="D1957" i="7"/>
  <c r="E1957" i="7"/>
  <c r="F1957" i="7"/>
  <c r="B1958" i="7"/>
  <c r="C1958" i="7"/>
  <c r="D1958" i="7"/>
  <c r="E1958" i="7"/>
  <c r="F1958" i="7"/>
  <c r="B1959" i="7"/>
  <c r="C1959" i="7"/>
  <c r="D1959" i="7"/>
  <c r="E1959" i="7"/>
  <c r="F1959" i="7"/>
  <c r="B1960" i="7"/>
  <c r="C1960" i="7"/>
  <c r="D1960" i="7"/>
  <c r="E1960" i="7"/>
  <c r="F1960" i="7"/>
  <c r="B1961" i="7"/>
  <c r="C1961" i="7"/>
  <c r="D1961" i="7"/>
  <c r="E1961" i="7"/>
  <c r="F1961" i="7"/>
  <c r="B1962" i="7"/>
  <c r="C1962" i="7"/>
  <c r="D1962" i="7"/>
  <c r="E1962" i="7"/>
  <c r="F1962" i="7"/>
  <c r="B1963" i="7"/>
  <c r="C1963" i="7"/>
  <c r="D1963" i="7"/>
  <c r="E1963" i="7"/>
  <c r="F1963" i="7"/>
  <c r="B1964" i="7"/>
  <c r="C1964" i="7"/>
  <c r="D1964" i="7"/>
  <c r="E1964" i="7"/>
  <c r="F1964" i="7"/>
  <c r="B1965" i="7"/>
  <c r="C1965" i="7"/>
  <c r="D1965" i="7"/>
  <c r="E1965" i="7"/>
  <c r="F1965" i="7"/>
  <c r="B1966" i="7"/>
  <c r="C1966" i="7"/>
  <c r="D1966" i="7"/>
  <c r="E1966" i="7"/>
  <c r="F1966" i="7"/>
  <c r="B1967" i="7"/>
  <c r="C1967" i="7"/>
  <c r="D1967" i="7"/>
  <c r="E1967" i="7"/>
  <c r="F1967" i="7"/>
  <c r="B1968" i="7"/>
  <c r="C1968" i="7"/>
  <c r="D1968" i="7"/>
  <c r="E1968" i="7"/>
  <c r="F1968" i="7"/>
  <c r="B1969" i="7"/>
  <c r="C1969" i="7"/>
  <c r="D1969" i="7"/>
  <c r="E1969" i="7"/>
  <c r="F1969" i="7"/>
  <c r="B1970" i="7"/>
  <c r="C1970" i="7"/>
  <c r="D1970" i="7"/>
  <c r="E1970" i="7"/>
  <c r="F1970" i="7"/>
  <c r="B1971" i="7"/>
  <c r="C1971" i="7"/>
  <c r="D1971" i="7"/>
  <c r="E1971" i="7"/>
  <c r="F1971" i="7"/>
  <c r="B1972" i="7"/>
  <c r="C1972" i="7"/>
  <c r="D1972" i="7"/>
  <c r="E1972" i="7"/>
  <c r="F1972" i="7"/>
  <c r="B1973" i="7"/>
  <c r="C1973" i="7"/>
  <c r="D1973" i="7"/>
  <c r="E1973" i="7"/>
  <c r="F1973" i="7"/>
  <c r="B1974" i="7"/>
  <c r="C1974" i="7"/>
  <c r="D1974" i="7"/>
  <c r="E1974" i="7"/>
  <c r="F1974" i="7"/>
  <c r="B1975" i="7"/>
  <c r="C1975" i="7"/>
  <c r="D1975" i="7"/>
  <c r="E1975" i="7"/>
  <c r="F1975" i="7"/>
  <c r="B1976" i="7"/>
  <c r="C1976" i="7"/>
  <c r="D1976" i="7"/>
  <c r="E1976" i="7"/>
  <c r="F1976" i="7"/>
  <c r="B1977" i="7"/>
  <c r="C1977" i="7"/>
  <c r="D1977" i="7"/>
  <c r="E1977" i="7"/>
  <c r="F1977" i="7"/>
  <c r="B1978" i="7"/>
  <c r="C1978" i="7"/>
  <c r="D1978" i="7"/>
  <c r="E1978" i="7"/>
  <c r="F1978" i="7"/>
  <c r="B1979" i="7"/>
  <c r="C1979" i="7"/>
  <c r="D1979" i="7"/>
  <c r="E1979" i="7"/>
  <c r="F1979" i="7"/>
  <c r="B1980" i="7"/>
  <c r="C1980" i="7"/>
  <c r="D1980" i="7"/>
  <c r="E1980" i="7"/>
  <c r="F1980" i="7"/>
  <c r="B1981" i="7"/>
  <c r="C1981" i="7"/>
  <c r="D1981" i="7"/>
  <c r="E1981" i="7"/>
  <c r="F1981" i="7"/>
  <c r="B1982" i="7"/>
  <c r="C1982" i="7"/>
  <c r="D1982" i="7"/>
  <c r="E1982" i="7"/>
  <c r="F1982" i="7"/>
  <c r="B1983" i="7"/>
  <c r="C1983" i="7"/>
  <c r="D1983" i="7"/>
  <c r="E1983" i="7"/>
  <c r="F1983" i="7"/>
  <c r="B1984" i="7"/>
  <c r="C1984" i="7"/>
  <c r="D1984" i="7"/>
  <c r="E1984" i="7"/>
  <c r="F1984" i="7"/>
  <c r="B1985" i="7"/>
  <c r="C1985" i="7"/>
  <c r="D1985" i="7"/>
  <c r="E1985" i="7"/>
  <c r="F1985" i="7"/>
  <c r="B1986" i="7"/>
  <c r="C1986" i="7"/>
  <c r="D1986" i="7"/>
  <c r="E1986" i="7"/>
  <c r="F1986" i="7"/>
  <c r="B1987" i="7"/>
  <c r="C1987" i="7"/>
  <c r="D1987" i="7"/>
  <c r="E1987" i="7"/>
  <c r="F1987" i="7"/>
  <c r="B1988" i="7"/>
  <c r="C1988" i="7"/>
  <c r="D1988" i="7"/>
  <c r="E1988" i="7"/>
  <c r="F1988" i="7"/>
  <c r="B1989" i="7"/>
  <c r="C1989" i="7"/>
  <c r="D1989" i="7"/>
  <c r="E1989" i="7"/>
  <c r="F1989" i="7"/>
  <c r="B1990" i="7"/>
  <c r="C1990" i="7"/>
  <c r="D1990" i="7"/>
  <c r="E1990" i="7"/>
  <c r="F1990" i="7"/>
  <c r="B1991" i="7"/>
  <c r="C1991" i="7"/>
  <c r="D1991" i="7"/>
  <c r="E1991" i="7"/>
  <c r="F1991" i="7"/>
  <c r="B1992" i="7"/>
  <c r="C1992" i="7"/>
  <c r="D1992" i="7"/>
  <c r="E1992" i="7"/>
  <c r="F1992" i="7"/>
  <c r="B1993" i="7"/>
  <c r="C1993" i="7"/>
  <c r="D1993" i="7"/>
  <c r="E1993" i="7"/>
  <c r="F1993" i="7"/>
  <c r="B1994" i="7"/>
  <c r="C1994" i="7"/>
  <c r="D1994" i="7"/>
  <c r="E1994" i="7"/>
  <c r="F1994" i="7"/>
  <c r="B1995" i="7"/>
  <c r="C1995" i="7"/>
  <c r="D1995" i="7"/>
  <c r="E1995" i="7"/>
  <c r="F1995" i="7"/>
  <c r="B1996" i="7"/>
  <c r="C1996" i="7"/>
  <c r="D1996" i="7"/>
  <c r="E1996" i="7"/>
  <c r="F1996" i="7"/>
  <c r="B1997" i="7"/>
  <c r="C1997" i="7"/>
  <c r="D1997" i="7"/>
  <c r="E1997" i="7"/>
  <c r="F1997" i="7"/>
  <c r="B1998" i="7"/>
  <c r="C1998" i="7"/>
  <c r="D1998" i="7"/>
  <c r="E1998" i="7"/>
  <c r="F1998" i="7"/>
  <c r="B1999" i="7"/>
  <c r="C1999" i="7"/>
  <c r="D1999" i="7"/>
  <c r="E1999" i="7"/>
  <c r="F1999" i="7"/>
  <c r="B2000" i="7"/>
  <c r="C2000" i="7"/>
  <c r="D2000" i="7"/>
  <c r="E2000" i="7"/>
  <c r="F2000" i="7"/>
  <c r="B2001" i="7"/>
  <c r="C2001" i="7"/>
  <c r="D2001" i="7"/>
  <c r="E2001" i="7"/>
  <c r="F2001" i="7"/>
  <c r="B2002" i="7"/>
  <c r="C2002" i="7"/>
  <c r="D2002" i="7"/>
  <c r="E2002" i="7"/>
  <c r="F2002" i="7"/>
  <c r="B2003" i="7"/>
  <c r="C2003" i="7"/>
  <c r="D2003" i="7"/>
  <c r="E2003" i="7"/>
  <c r="F2003" i="7"/>
  <c r="B2004" i="7"/>
  <c r="C2004" i="7"/>
  <c r="D2004" i="7"/>
  <c r="E2004" i="7"/>
  <c r="F2004" i="7"/>
  <c r="B2005" i="7"/>
  <c r="C2005" i="7"/>
  <c r="D2005" i="7"/>
  <c r="E2005" i="7"/>
  <c r="F2005" i="7"/>
  <c r="B2006" i="7"/>
  <c r="C2006" i="7"/>
  <c r="D2006" i="7"/>
  <c r="E2006" i="7"/>
  <c r="F2006" i="7"/>
  <c r="B2007" i="7"/>
  <c r="C2007" i="7"/>
  <c r="D2007" i="7"/>
  <c r="E2007" i="7"/>
  <c r="F2007" i="7"/>
  <c r="B2008" i="7"/>
  <c r="C2008" i="7"/>
  <c r="D2008" i="7"/>
  <c r="E2008" i="7"/>
  <c r="F2008" i="7"/>
  <c r="B2009" i="7"/>
  <c r="C2009" i="7"/>
  <c r="D2009" i="7"/>
  <c r="E2009" i="7"/>
  <c r="F2009" i="7"/>
  <c r="B2010" i="7"/>
  <c r="C2010" i="7"/>
  <c r="D2010" i="7"/>
  <c r="E2010" i="7"/>
  <c r="F2010" i="7"/>
  <c r="B2011" i="7"/>
  <c r="C2011" i="7"/>
  <c r="D2011" i="7"/>
  <c r="E2011" i="7"/>
  <c r="F2011" i="7"/>
  <c r="B2012" i="7"/>
  <c r="C2012" i="7"/>
  <c r="D2012" i="7"/>
  <c r="E2012" i="7"/>
  <c r="F2012" i="7"/>
  <c r="B2013" i="7"/>
  <c r="C2013" i="7"/>
  <c r="D2013" i="7"/>
  <c r="E2013" i="7"/>
  <c r="F2013" i="7"/>
  <c r="B2014" i="7"/>
  <c r="C2014" i="7"/>
  <c r="D2014" i="7"/>
  <c r="E2014" i="7"/>
  <c r="F2014" i="7"/>
  <c r="B2015" i="7"/>
  <c r="C2015" i="7"/>
  <c r="D2015" i="7"/>
  <c r="E2015" i="7"/>
  <c r="F2015" i="7"/>
  <c r="B2016" i="7"/>
  <c r="C2016" i="7"/>
  <c r="D2016" i="7"/>
  <c r="E2016" i="7"/>
  <c r="F2016" i="7"/>
  <c r="B2017" i="7"/>
  <c r="C2017" i="7"/>
  <c r="D2017" i="7"/>
  <c r="E2017" i="7"/>
  <c r="F2017" i="7"/>
  <c r="B2018" i="7"/>
  <c r="C2018" i="7"/>
  <c r="D2018" i="7"/>
  <c r="E2018" i="7"/>
  <c r="F2018" i="7"/>
  <c r="B2019" i="7"/>
  <c r="C2019" i="7"/>
  <c r="D2019" i="7"/>
  <c r="E2019" i="7"/>
  <c r="F2019" i="7"/>
  <c r="B2020" i="7"/>
  <c r="C2020" i="7"/>
  <c r="D2020" i="7"/>
  <c r="E2020" i="7"/>
  <c r="F2020" i="7"/>
  <c r="B2021" i="7"/>
  <c r="C2021" i="7"/>
  <c r="D2021" i="7"/>
  <c r="E2021" i="7"/>
  <c r="F2021" i="7"/>
  <c r="B2022" i="7"/>
  <c r="C2022" i="7"/>
  <c r="D2022" i="7"/>
  <c r="E2022" i="7"/>
  <c r="F2022" i="7"/>
  <c r="B2023" i="7"/>
  <c r="C2023" i="7"/>
  <c r="D2023" i="7"/>
  <c r="E2023" i="7"/>
  <c r="F2023" i="7"/>
  <c r="B2024" i="7"/>
  <c r="C2024" i="7"/>
  <c r="D2024" i="7"/>
  <c r="E2024" i="7"/>
  <c r="F2024" i="7"/>
  <c r="B2025" i="7"/>
  <c r="C2025" i="7"/>
  <c r="D2025" i="7"/>
  <c r="E2025" i="7"/>
  <c r="F2025" i="7"/>
  <c r="B2026" i="7"/>
  <c r="C2026" i="7"/>
  <c r="D2026" i="7"/>
  <c r="E2026" i="7"/>
  <c r="F2026" i="7"/>
  <c r="B2027" i="7"/>
  <c r="C2027" i="7"/>
  <c r="D2027" i="7"/>
  <c r="E2027" i="7"/>
  <c r="F2027" i="7"/>
  <c r="B2028" i="7"/>
  <c r="C2028" i="7"/>
  <c r="D2028" i="7"/>
  <c r="E2028" i="7"/>
  <c r="F2028" i="7"/>
  <c r="B2029" i="7"/>
  <c r="C2029" i="7"/>
  <c r="D2029" i="7"/>
  <c r="E2029" i="7"/>
  <c r="F2029" i="7"/>
  <c r="B2030" i="7"/>
  <c r="C2030" i="7"/>
  <c r="D2030" i="7"/>
  <c r="E2030" i="7"/>
  <c r="F2030" i="7"/>
  <c r="B2031" i="7"/>
  <c r="C2031" i="7"/>
  <c r="D2031" i="7"/>
  <c r="E2031" i="7"/>
  <c r="F2031" i="7"/>
  <c r="B2032" i="7"/>
  <c r="C2032" i="7"/>
  <c r="D2032" i="7"/>
  <c r="E2032" i="7"/>
  <c r="F2032" i="7"/>
  <c r="B2033" i="7"/>
  <c r="C2033" i="7"/>
  <c r="D2033" i="7"/>
  <c r="E2033" i="7"/>
  <c r="F2033" i="7"/>
  <c r="B2034" i="7"/>
  <c r="C2034" i="7"/>
  <c r="D2034" i="7"/>
  <c r="E2034" i="7"/>
  <c r="F2034" i="7"/>
  <c r="B2035" i="7"/>
  <c r="C2035" i="7"/>
  <c r="D2035" i="7"/>
  <c r="E2035" i="7"/>
  <c r="F2035" i="7"/>
  <c r="B2036" i="7"/>
  <c r="C2036" i="7"/>
  <c r="D2036" i="7"/>
  <c r="E2036" i="7"/>
  <c r="F2036" i="7"/>
  <c r="B2037" i="7"/>
  <c r="C2037" i="7"/>
  <c r="D2037" i="7"/>
  <c r="E2037" i="7"/>
  <c r="F2037" i="7"/>
  <c r="B2038" i="7"/>
  <c r="C2038" i="7"/>
  <c r="D2038" i="7"/>
  <c r="E2038" i="7"/>
  <c r="F2038" i="7"/>
  <c r="B2039" i="7"/>
  <c r="C2039" i="7"/>
  <c r="D2039" i="7"/>
  <c r="E2039" i="7"/>
  <c r="F2039" i="7"/>
  <c r="B2040" i="7"/>
  <c r="C2040" i="7"/>
  <c r="D2040" i="7"/>
  <c r="E2040" i="7"/>
  <c r="F2040" i="7"/>
  <c r="B2041" i="7"/>
  <c r="C2041" i="7"/>
  <c r="D2041" i="7"/>
  <c r="E2041" i="7"/>
  <c r="F2041" i="7"/>
  <c r="B2042" i="7"/>
  <c r="C2042" i="7"/>
  <c r="D2042" i="7"/>
  <c r="E2042" i="7"/>
  <c r="F2042" i="7"/>
  <c r="B2043" i="7"/>
  <c r="C2043" i="7"/>
  <c r="D2043" i="7"/>
  <c r="E2043" i="7"/>
  <c r="F2043" i="7"/>
  <c r="B2044" i="7"/>
  <c r="C2044" i="7"/>
  <c r="D2044" i="7"/>
  <c r="E2044" i="7"/>
  <c r="F2044" i="7"/>
  <c r="B2045" i="7"/>
  <c r="C2045" i="7"/>
  <c r="D2045" i="7"/>
  <c r="E2045" i="7"/>
  <c r="F2045" i="7"/>
  <c r="B2046" i="7"/>
  <c r="C2046" i="7"/>
  <c r="D2046" i="7"/>
  <c r="E2046" i="7"/>
  <c r="F2046" i="7"/>
  <c r="B2047" i="7"/>
  <c r="C2047" i="7"/>
  <c r="D2047" i="7"/>
  <c r="E2047" i="7"/>
  <c r="F2047" i="7"/>
  <c r="B2048" i="7"/>
  <c r="C2048" i="7"/>
  <c r="D2048" i="7"/>
  <c r="E2048" i="7"/>
  <c r="F2048" i="7"/>
  <c r="B2049" i="7"/>
  <c r="C2049" i="7"/>
  <c r="D2049" i="7"/>
  <c r="E2049" i="7"/>
  <c r="F2049" i="7"/>
  <c r="B2050" i="7"/>
  <c r="C2050" i="7"/>
  <c r="D2050" i="7"/>
  <c r="E2050" i="7"/>
  <c r="F2050" i="7"/>
  <c r="B2051" i="7"/>
  <c r="C2051" i="7"/>
  <c r="D2051" i="7"/>
  <c r="E2051" i="7"/>
  <c r="F2051" i="7"/>
  <c r="B2052" i="7"/>
  <c r="C2052" i="7"/>
  <c r="D2052" i="7"/>
  <c r="E2052" i="7"/>
  <c r="F2052" i="7"/>
  <c r="B2053" i="7"/>
  <c r="C2053" i="7"/>
  <c r="D2053" i="7"/>
  <c r="E2053" i="7"/>
  <c r="F2053" i="7"/>
  <c r="B2054" i="7"/>
  <c r="C2054" i="7"/>
  <c r="D2054" i="7"/>
  <c r="E2054" i="7"/>
  <c r="F2054" i="7"/>
  <c r="B2055" i="7"/>
  <c r="C2055" i="7"/>
  <c r="D2055" i="7"/>
  <c r="E2055" i="7"/>
  <c r="F2055" i="7"/>
  <c r="B2056" i="7"/>
  <c r="C2056" i="7"/>
  <c r="D2056" i="7"/>
  <c r="E2056" i="7"/>
  <c r="F2056" i="7"/>
  <c r="B2057" i="7"/>
  <c r="C2057" i="7"/>
  <c r="D2057" i="7"/>
  <c r="E2057" i="7"/>
  <c r="F2057" i="7"/>
  <c r="B2058" i="7"/>
  <c r="C2058" i="7"/>
  <c r="D2058" i="7"/>
  <c r="E2058" i="7"/>
  <c r="F2058" i="7"/>
  <c r="B2059" i="7"/>
  <c r="C2059" i="7"/>
  <c r="D2059" i="7"/>
  <c r="E2059" i="7"/>
  <c r="F2059" i="7"/>
  <c r="B2060" i="7"/>
  <c r="C2060" i="7"/>
  <c r="D2060" i="7"/>
  <c r="E2060" i="7"/>
  <c r="F2060" i="7"/>
  <c r="B2061" i="7"/>
  <c r="C2061" i="7"/>
  <c r="D2061" i="7"/>
  <c r="E2061" i="7"/>
  <c r="F2061" i="7"/>
  <c r="B2062" i="7"/>
  <c r="C2062" i="7"/>
  <c r="D2062" i="7"/>
  <c r="E2062" i="7"/>
  <c r="F2062" i="7"/>
  <c r="B2063" i="7"/>
  <c r="C2063" i="7"/>
  <c r="D2063" i="7"/>
  <c r="E2063" i="7"/>
  <c r="F2063" i="7"/>
  <c r="B2064" i="7"/>
  <c r="C2064" i="7"/>
  <c r="D2064" i="7"/>
  <c r="E2064" i="7"/>
  <c r="F2064" i="7"/>
  <c r="B2065" i="7"/>
  <c r="C2065" i="7"/>
  <c r="D2065" i="7"/>
  <c r="E2065" i="7"/>
  <c r="F2065" i="7"/>
  <c r="B2066" i="7"/>
  <c r="C2066" i="7"/>
  <c r="D2066" i="7"/>
  <c r="E2066" i="7"/>
  <c r="F2066" i="7"/>
  <c r="B2067" i="7"/>
  <c r="C2067" i="7"/>
  <c r="D2067" i="7"/>
  <c r="E2067" i="7"/>
  <c r="F2067" i="7"/>
  <c r="B2068" i="7"/>
  <c r="C2068" i="7"/>
  <c r="D2068" i="7"/>
  <c r="E2068" i="7"/>
  <c r="F2068" i="7"/>
  <c r="B2069" i="7"/>
  <c r="C2069" i="7"/>
  <c r="D2069" i="7"/>
  <c r="E2069" i="7"/>
  <c r="F2069" i="7"/>
  <c r="B2070" i="7"/>
  <c r="C2070" i="7"/>
  <c r="D2070" i="7"/>
  <c r="E2070" i="7"/>
  <c r="F2070" i="7"/>
  <c r="B2071" i="7"/>
  <c r="C2071" i="7"/>
  <c r="D2071" i="7"/>
  <c r="E2071" i="7"/>
  <c r="F2071" i="7"/>
  <c r="B2072" i="7"/>
  <c r="C2072" i="7"/>
  <c r="D2072" i="7"/>
  <c r="E2072" i="7"/>
  <c r="F2072" i="7"/>
  <c r="B2073" i="7"/>
  <c r="C2073" i="7"/>
  <c r="D2073" i="7"/>
  <c r="E2073" i="7"/>
  <c r="F2073" i="7"/>
  <c r="B2074" i="7"/>
  <c r="C2074" i="7"/>
  <c r="D2074" i="7"/>
  <c r="E2074" i="7"/>
  <c r="F2074" i="7"/>
  <c r="B2075" i="7"/>
  <c r="C2075" i="7"/>
  <c r="D2075" i="7"/>
  <c r="E2075" i="7"/>
  <c r="F2075" i="7"/>
  <c r="B2076" i="7"/>
  <c r="C2076" i="7"/>
  <c r="D2076" i="7"/>
  <c r="E2076" i="7"/>
  <c r="F2076" i="7"/>
  <c r="B2077" i="7"/>
  <c r="C2077" i="7"/>
  <c r="D2077" i="7"/>
  <c r="E2077" i="7"/>
  <c r="F2077" i="7"/>
  <c r="B2078" i="7"/>
  <c r="C2078" i="7"/>
  <c r="D2078" i="7"/>
  <c r="E2078" i="7"/>
  <c r="F2078" i="7"/>
  <c r="B2079" i="7"/>
  <c r="C2079" i="7"/>
  <c r="D2079" i="7"/>
  <c r="E2079" i="7"/>
  <c r="F2079" i="7"/>
  <c r="B2080" i="7"/>
  <c r="C2080" i="7"/>
  <c r="D2080" i="7"/>
  <c r="E2080" i="7"/>
  <c r="F2080" i="7"/>
  <c r="B2081" i="7"/>
  <c r="C2081" i="7"/>
  <c r="D2081" i="7"/>
  <c r="E2081" i="7"/>
  <c r="F2081" i="7"/>
  <c r="B2082" i="7"/>
  <c r="C2082" i="7"/>
  <c r="D2082" i="7"/>
  <c r="E2082" i="7"/>
  <c r="F2082" i="7"/>
  <c r="B2083" i="7"/>
  <c r="C2083" i="7"/>
  <c r="D2083" i="7"/>
  <c r="E2083" i="7"/>
  <c r="F2083" i="7"/>
  <c r="B2084" i="7"/>
  <c r="C2084" i="7"/>
  <c r="D2084" i="7"/>
  <c r="E2084" i="7"/>
  <c r="F2084" i="7"/>
  <c r="B2085" i="7"/>
  <c r="C2085" i="7"/>
  <c r="D2085" i="7"/>
  <c r="E2085" i="7"/>
  <c r="F2085" i="7"/>
  <c r="B2086" i="7"/>
  <c r="C2086" i="7"/>
  <c r="D2086" i="7"/>
  <c r="E2086" i="7"/>
  <c r="F2086" i="7"/>
  <c r="B2087" i="7"/>
  <c r="C2087" i="7"/>
  <c r="D2087" i="7"/>
  <c r="E2087" i="7"/>
  <c r="F2087" i="7"/>
  <c r="B2088" i="7"/>
  <c r="C2088" i="7"/>
  <c r="D2088" i="7"/>
  <c r="E2088" i="7"/>
  <c r="F2088" i="7"/>
  <c r="B2089" i="7"/>
  <c r="C2089" i="7"/>
  <c r="D2089" i="7"/>
  <c r="E2089" i="7"/>
  <c r="F2089" i="7"/>
  <c r="B2090" i="7"/>
  <c r="C2090" i="7"/>
  <c r="D2090" i="7"/>
  <c r="E2090" i="7"/>
  <c r="F2090" i="7"/>
  <c r="B2091" i="7"/>
  <c r="C2091" i="7"/>
  <c r="D2091" i="7"/>
  <c r="E2091" i="7"/>
  <c r="F2091" i="7"/>
  <c r="B2092" i="7"/>
  <c r="C2092" i="7"/>
  <c r="D2092" i="7"/>
  <c r="E2092" i="7"/>
  <c r="F2092" i="7"/>
  <c r="B2093" i="7"/>
  <c r="C2093" i="7"/>
  <c r="D2093" i="7"/>
  <c r="E2093" i="7"/>
  <c r="F2093" i="7"/>
  <c r="B2094" i="7"/>
  <c r="C2094" i="7"/>
  <c r="D2094" i="7"/>
  <c r="E2094" i="7"/>
  <c r="F2094" i="7"/>
  <c r="B2095" i="7"/>
  <c r="C2095" i="7"/>
  <c r="D2095" i="7"/>
  <c r="E2095" i="7"/>
  <c r="F2095" i="7"/>
  <c r="B2096" i="7"/>
  <c r="C2096" i="7"/>
  <c r="D2096" i="7"/>
  <c r="E2096" i="7"/>
  <c r="F2096" i="7"/>
  <c r="B2097" i="7"/>
  <c r="C2097" i="7"/>
  <c r="D2097" i="7"/>
  <c r="E2097" i="7"/>
  <c r="F2097" i="7"/>
  <c r="B2098" i="7"/>
  <c r="C2098" i="7"/>
  <c r="D2098" i="7"/>
  <c r="E2098" i="7"/>
  <c r="F2098" i="7"/>
  <c r="B2099" i="7"/>
  <c r="C2099" i="7"/>
  <c r="D2099" i="7"/>
  <c r="E2099" i="7"/>
  <c r="F2099" i="7"/>
  <c r="B2100" i="7"/>
  <c r="C2100" i="7"/>
  <c r="D2100" i="7"/>
  <c r="E2100" i="7"/>
  <c r="F2100" i="7"/>
  <c r="B2101" i="7"/>
  <c r="C2101" i="7"/>
  <c r="D2101" i="7"/>
  <c r="E2101" i="7"/>
  <c r="F2101" i="7"/>
  <c r="B2102" i="7"/>
  <c r="C2102" i="7"/>
  <c r="D2102" i="7"/>
  <c r="E2102" i="7"/>
  <c r="F2102" i="7"/>
  <c r="B2103" i="7"/>
  <c r="C2103" i="7"/>
  <c r="D2103" i="7"/>
  <c r="E2103" i="7"/>
  <c r="F2103" i="7"/>
  <c r="B2104" i="7"/>
  <c r="C2104" i="7"/>
  <c r="D2104" i="7"/>
  <c r="E2104" i="7"/>
  <c r="F2104" i="7"/>
  <c r="B2105" i="7"/>
  <c r="C2105" i="7"/>
  <c r="D2105" i="7"/>
  <c r="E2105" i="7"/>
  <c r="F2105" i="7"/>
  <c r="B2106" i="7"/>
  <c r="C2106" i="7"/>
  <c r="D2106" i="7"/>
  <c r="E2106" i="7"/>
  <c r="F2106" i="7"/>
  <c r="B2107" i="7"/>
  <c r="C2107" i="7"/>
  <c r="D2107" i="7"/>
  <c r="E2107" i="7"/>
  <c r="F2107" i="7"/>
  <c r="B2108" i="7"/>
  <c r="C2108" i="7"/>
  <c r="D2108" i="7"/>
  <c r="E2108" i="7"/>
  <c r="F2108" i="7"/>
  <c r="B2109" i="7"/>
  <c r="C2109" i="7"/>
  <c r="D2109" i="7"/>
  <c r="E2109" i="7"/>
  <c r="F2109" i="7"/>
  <c r="B2110" i="7"/>
  <c r="C2110" i="7"/>
  <c r="D2110" i="7"/>
  <c r="E2110" i="7"/>
  <c r="F2110" i="7"/>
  <c r="B2111" i="7"/>
  <c r="C2111" i="7"/>
  <c r="D2111" i="7"/>
  <c r="E2111" i="7"/>
  <c r="F2111" i="7"/>
  <c r="B2112" i="7"/>
  <c r="C2112" i="7"/>
  <c r="D2112" i="7"/>
  <c r="E2112" i="7"/>
  <c r="F2112" i="7"/>
  <c r="B2113" i="7"/>
  <c r="C2113" i="7"/>
  <c r="D2113" i="7"/>
  <c r="E2113" i="7"/>
  <c r="F2113" i="7"/>
  <c r="B2114" i="7"/>
  <c r="C2114" i="7"/>
  <c r="D2114" i="7"/>
  <c r="E2114" i="7"/>
  <c r="F2114" i="7"/>
  <c r="B2115" i="7"/>
  <c r="C2115" i="7"/>
  <c r="D2115" i="7"/>
  <c r="E2115" i="7"/>
  <c r="F2115" i="7"/>
  <c r="B2116" i="7"/>
  <c r="C2116" i="7"/>
  <c r="D2116" i="7"/>
  <c r="E2116" i="7"/>
  <c r="F2116" i="7"/>
  <c r="B2117" i="7"/>
  <c r="C2117" i="7"/>
  <c r="D2117" i="7"/>
  <c r="E2117" i="7"/>
  <c r="F2117" i="7"/>
  <c r="B2118" i="7"/>
  <c r="C2118" i="7"/>
  <c r="D2118" i="7"/>
  <c r="E2118" i="7"/>
  <c r="F2118" i="7"/>
  <c r="B2119" i="7"/>
  <c r="C2119" i="7"/>
  <c r="D2119" i="7"/>
  <c r="E2119" i="7"/>
  <c r="F2119" i="7"/>
  <c r="B2120" i="7"/>
  <c r="C2120" i="7"/>
  <c r="D2120" i="7"/>
  <c r="E2120" i="7"/>
  <c r="F2120" i="7"/>
  <c r="B2121" i="7"/>
  <c r="C2121" i="7"/>
  <c r="D2121" i="7"/>
  <c r="E2121" i="7"/>
  <c r="F2121" i="7"/>
  <c r="B2122" i="7"/>
  <c r="C2122" i="7"/>
  <c r="D2122" i="7"/>
  <c r="E2122" i="7"/>
  <c r="F2122" i="7"/>
  <c r="B2123" i="7"/>
  <c r="C2123" i="7"/>
  <c r="D2123" i="7"/>
  <c r="E2123" i="7"/>
  <c r="F2123" i="7"/>
  <c r="B2124" i="7"/>
  <c r="C2124" i="7"/>
  <c r="D2124" i="7"/>
  <c r="E2124" i="7"/>
  <c r="F2124" i="7"/>
  <c r="B2125" i="7"/>
  <c r="C2125" i="7"/>
  <c r="D2125" i="7"/>
  <c r="E2125" i="7"/>
  <c r="F2125" i="7"/>
  <c r="B2126" i="7"/>
  <c r="C2126" i="7"/>
  <c r="D2126" i="7"/>
  <c r="E2126" i="7"/>
  <c r="F2126" i="7"/>
  <c r="B2127" i="7"/>
  <c r="C2127" i="7"/>
  <c r="D2127" i="7"/>
  <c r="E2127" i="7"/>
  <c r="F2127" i="7"/>
  <c r="B2128" i="7"/>
  <c r="C2128" i="7"/>
  <c r="D2128" i="7"/>
  <c r="E2128" i="7"/>
  <c r="F2128" i="7"/>
  <c r="B2129" i="7"/>
  <c r="C2129" i="7"/>
  <c r="D2129" i="7"/>
  <c r="E2129" i="7"/>
  <c r="F2129" i="7"/>
  <c r="B2130" i="7"/>
  <c r="C2130" i="7"/>
  <c r="D2130" i="7"/>
  <c r="E2130" i="7"/>
  <c r="F2130" i="7"/>
  <c r="B2131" i="7"/>
  <c r="C2131" i="7"/>
  <c r="D2131" i="7"/>
  <c r="E2131" i="7"/>
  <c r="F2131" i="7"/>
  <c r="B2132" i="7"/>
  <c r="C2132" i="7"/>
  <c r="D2132" i="7"/>
  <c r="E2132" i="7"/>
  <c r="F2132" i="7"/>
  <c r="B2133" i="7"/>
  <c r="C2133" i="7"/>
  <c r="D2133" i="7"/>
  <c r="E2133" i="7"/>
  <c r="F2133" i="7"/>
  <c r="B2134" i="7"/>
  <c r="C2134" i="7"/>
  <c r="D2134" i="7"/>
  <c r="E2134" i="7"/>
  <c r="F2134" i="7"/>
  <c r="B2135" i="7"/>
  <c r="C2135" i="7"/>
  <c r="D2135" i="7"/>
  <c r="E2135" i="7"/>
  <c r="F2135" i="7"/>
  <c r="B2136" i="7"/>
  <c r="C2136" i="7"/>
  <c r="D2136" i="7"/>
  <c r="E2136" i="7"/>
  <c r="F2136" i="7"/>
  <c r="B2137" i="7"/>
  <c r="C2137" i="7"/>
  <c r="D2137" i="7"/>
  <c r="E2137" i="7"/>
  <c r="F2137" i="7"/>
  <c r="B2138" i="7"/>
  <c r="C2138" i="7"/>
  <c r="D2138" i="7"/>
  <c r="E2138" i="7"/>
  <c r="F2138" i="7"/>
  <c r="B2139" i="7"/>
  <c r="C2139" i="7"/>
  <c r="D2139" i="7"/>
  <c r="E2139" i="7"/>
  <c r="F2139" i="7"/>
  <c r="B2140" i="7"/>
  <c r="C2140" i="7"/>
  <c r="D2140" i="7"/>
  <c r="E2140" i="7"/>
  <c r="F2140" i="7"/>
  <c r="B2141" i="7"/>
  <c r="C2141" i="7"/>
  <c r="D2141" i="7"/>
  <c r="E2141" i="7"/>
  <c r="F2141" i="7"/>
  <c r="B2142" i="7"/>
  <c r="C2142" i="7"/>
  <c r="D2142" i="7"/>
  <c r="E2142" i="7"/>
  <c r="F2142" i="7"/>
  <c r="B2143" i="7"/>
  <c r="C2143" i="7"/>
  <c r="D2143" i="7"/>
  <c r="E2143" i="7"/>
  <c r="F2143" i="7"/>
  <c r="B2144" i="7"/>
  <c r="C2144" i="7"/>
  <c r="D2144" i="7"/>
  <c r="E2144" i="7"/>
  <c r="F2144" i="7"/>
  <c r="B2145" i="7"/>
  <c r="C2145" i="7"/>
  <c r="D2145" i="7"/>
  <c r="E2145" i="7"/>
  <c r="F2145" i="7"/>
  <c r="B2146" i="7"/>
  <c r="C2146" i="7"/>
  <c r="D2146" i="7"/>
  <c r="E2146" i="7"/>
  <c r="F2146" i="7"/>
  <c r="B2147" i="7"/>
  <c r="C2147" i="7"/>
  <c r="D2147" i="7"/>
  <c r="E2147" i="7"/>
  <c r="F2147" i="7"/>
  <c r="B2148" i="7"/>
  <c r="C2148" i="7"/>
  <c r="D2148" i="7"/>
  <c r="E2148" i="7"/>
  <c r="F2148" i="7"/>
  <c r="B2149" i="7"/>
  <c r="C2149" i="7"/>
  <c r="D2149" i="7"/>
  <c r="E2149" i="7"/>
  <c r="F2149" i="7"/>
  <c r="B2150" i="7"/>
  <c r="C2150" i="7"/>
  <c r="D2150" i="7"/>
  <c r="E2150" i="7"/>
  <c r="F2150" i="7"/>
  <c r="B2151" i="7"/>
  <c r="C2151" i="7"/>
  <c r="D2151" i="7"/>
  <c r="E2151" i="7"/>
  <c r="F2151" i="7"/>
  <c r="B2152" i="7"/>
  <c r="C2152" i="7"/>
  <c r="D2152" i="7"/>
  <c r="E2152" i="7"/>
  <c r="F2152" i="7"/>
  <c r="B2153" i="7"/>
  <c r="C2153" i="7"/>
  <c r="D2153" i="7"/>
  <c r="E2153" i="7"/>
  <c r="F2153" i="7"/>
  <c r="B2154" i="7"/>
  <c r="C2154" i="7"/>
  <c r="D2154" i="7"/>
  <c r="E2154" i="7"/>
  <c r="F2154" i="7"/>
  <c r="B2155" i="7"/>
  <c r="C2155" i="7"/>
  <c r="D2155" i="7"/>
  <c r="E2155" i="7"/>
  <c r="F2155" i="7"/>
  <c r="B2156" i="7"/>
  <c r="C2156" i="7"/>
  <c r="D2156" i="7"/>
  <c r="E2156" i="7"/>
  <c r="F2156" i="7"/>
  <c r="B2157" i="7"/>
  <c r="C2157" i="7"/>
  <c r="D2157" i="7"/>
  <c r="E2157" i="7"/>
  <c r="F2157" i="7"/>
  <c r="B2158" i="7"/>
  <c r="C2158" i="7"/>
  <c r="D2158" i="7"/>
  <c r="E2158" i="7"/>
  <c r="F2158" i="7"/>
  <c r="B2159" i="7"/>
  <c r="C2159" i="7"/>
  <c r="D2159" i="7"/>
  <c r="E2159" i="7"/>
  <c r="F2159" i="7"/>
  <c r="B2160" i="7"/>
  <c r="C2160" i="7"/>
  <c r="D2160" i="7"/>
  <c r="E2160" i="7"/>
  <c r="F2160" i="7"/>
  <c r="B2161" i="7"/>
  <c r="C2161" i="7"/>
  <c r="D2161" i="7"/>
  <c r="E2161" i="7"/>
  <c r="F2161" i="7"/>
  <c r="B2162" i="7"/>
  <c r="C2162" i="7"/>
  <c r="D2162" i="7"/>
  <c r="E2162" i="7"/>
  <c r="F2162" i="7"/>
  <c r="B2163" i="7"/>
  <c r="C2163" i="7"/>
  <c r="D2163" i="7"/>
  <c r="E2163" i="7"/>
  <c r="F2163" i="7"/>
  <c r="B2164" i="7"/>
  <c r="C2164" i="7"/>
  <c r="D2164" i="7"/>
  <c r="E2164" i="7"/>
  <c r="F2164" i="7"/>
  <c r="B2165" i="7"/>
  <c r="C2165" i="7"/>
  <c r="D2165" i="7"/>
  <c r="E2165" i="7"/>
  <c r="F2165" i="7"/>
  <c r="B2166" i="7"/>
  <c r="C2166" i="7"/>
  <c r="D2166" i="7"/>
  <c r="E2166" i="7"/>
  <c r="F2166" i="7"/>
  <c r="B2167" i="7"/>
  <c r="C2167" i="7"/>
  <c r="D2167" i="7"/>
  <c r="E2167" i="7"/>
  <c r="F2167" i="7"/>
  <c r="B2168" i="7"/>
  <c r="C2168" i="7"/>
  <c r="D2168" i="7"/>
  <c r="E2168" i="7"/>
  <c r="F2168" i="7"/>
  <c r="B2169" i="7"/>
  <c r="C2169" i="7"/>
  <c r="D2169" i="7"/>
  <c r="E2169" i="7"/>
  <c r="F2169" i="7"/>
  <c r="B2170" i="7"/>
  <c r="C2170" i="7"/>
  <c r="D2170" i="7"/>
  <c r="E2170" i="7"/>
  <c r="F2170" i="7"/>
  <c r="B2171" i="7"/>
  <c r="C2171" i="7"/>
  <c r="D2171" i="7"/>
  <c r="E2171" i="7"/>
  <c r="F2171" i="7"/>
  <c r="B2172" i="7"/>
  <c r="C2172" i="7"/>
  <c r="D2172" i="7"/>
  <c r="E2172" i="7"/>
  <c r="F2172" i="7"/>
  <c r="B2173" i="7"/>
  <c r="C2173" i="7"/>
  <c r="D2173" i="7"/>
  <c r="E2173" i="7"/>
  <c r="F2173" i="7"/>
  <c r="B2174" i="7"/>
  <c r="C2174" i="7"/>
  <c r="D2174" i="7"/>
  <c r="E2174" i="7"/>
  <c r="F2174" i="7"/>
  <c r="B2175" i="7"/>
  <c r="C2175" i="7"/>
  <c r="D2175" i="7"/>
  <c r="E2175" i="7"/>
  <c r="F2175" i="7"/>
  <c r="B2176" i="7"/>
  <c r="C2176" i="7"/>
  <c r="D2176" i="7"/>
  <c r="E2176" i="7"/>
  <c r="F2176" i="7"/>
  <c r="B2177" i="7"/>
  <c r="C2177" i="7"/>
  <c r="D2177" i="7"/>
  <c r="E2177" i="7"/>
  <c r="F2177" i="7"/>
  <c r="B2178" i="7"/>
  <c r="C2178" i="7"/>
  <c r="D2178" i="7"/>
  <c r="E2178" i="7"/>
  <c r="F2178" i="7"/>
  <c r="B2179" i="7"/>
  <c r="C2179" i="7"/>
  <c r="D2179" i="7"/>
  <c r="E2179" i="7"/>
  <c r="F2179" i="7"/>
  <c r="B2180" i="7"/>
  <c r="C2180" i="7"/>
  <c r="D2180" i="7"/>
  <c r="E2180" i="7"/>
  <c r="F2180" i="7"/>
  <c r="B2181" i="7"/>
  <c r="C2181" i="7"/>
  <c r="D2181" i="7"/>
  <c r="E2181" i="7"/>
  <c r="F2181" i="7"/>
  <c r="B2182" i="7"/>
  <c r="C2182" i="7"/>
  <c r="D2182" i="7"/>
  <c r="E2182" i="7"/>
  <c r="F2182" i="7"/>
  <c r="B2183" i="7"/>
  <c r="C2183" i="7"/>
  <c r="D2183" i="7"/>
  <c r="E2183" i="7"/>
  <c r="F2183" i="7"/>
  <c r="B2184" i="7"/>
  <c r="C2184" i="7"/>
  <c r="D2184" i="7"/>
  <c r="E2184" i="7"/>
  <c r="F2184" i="7"/>
  <c r="B2185" i="7"/>
  <c r="C2185" i="7"/>
  <c r="D2185" i="7"/>
  <c r="E2185" i="7"/>
  <c r="F2185" i="7"/>
  <c r="B2186" i="7"/>
  <c r="C2186" i="7"/>
  <c r="D2186" i="7"/>
  <c r="E2186" i="7"/>
  <c r="F2186" i="7"/>
  <c r="B2187" i="7"/>
  <c r="C2187" i="7"/>
  <c r="D2187" i="7"/>
  <c r="E2187" i="7"/>
  <c r="F2187" i="7"/>
  <c r="B2188" i="7"/>
  <c r="C2188" i="7"/>
  <c r="D2188" i="7"/>
  <c r="E2188" i="7"/>
  <c r="F2188" i="7"/>
  <c r="B2189" i="7"/>
  <c r="C2189" i="7"/>
  <c r="D2189" i="7"/>
  <c r="E2189" i="7"/>
  <c r="F2189" i="7"/>
  <c r="B2190" i="7"/>
  <c r="C2190" i="7"/>
  <c r="D2190" i="7"/>
  <c r="E2190" i="7"/>
  <c r="F2190" i="7"/>
  <c r="B2191" i="7"/>
  <c r="C2191" i="7"/>
  <c r="D2191" i="7"/>
  <c r="E2191" i="7"/>
  <c r="F2191" i="7"/>
  <c r="B2192" i="7"/>
  <c r="C2192" i="7"/>
  <c r="D2192" i="7"/>
  <c r="E2192" i="7"/>
  <c r="F2192" i="7"/>
  <c r="B2193" i="7"/>
  <c r="C2193" i="7"/>
  <c r="D2193" i="7"/>
  <c r="E2193" i="7"/>
  <c r="F2193" i="7"/>
  <c r="B2194" i="7"/>
  <c r="C2194" i="7"/>
  <c r="D2194" i="7"/>
  <c r="E2194" i="7"/>
  <c r="F2194" i="7"/>
  <c r="B2195" i="7"/>
  <c r="C2195" i="7"/>
  <c r="D2195" i="7"/>
  <c r="E2195" i="7"/>
  <c r="F2195" i="7"/>
  <c r="B2196" i="7"/>
  <c r="C2196" i="7"/>
  <c r="D2196" i="7"/>
  <c r="E2196" i="7"/>
  <c r="F2196" i="7"/>
  <c r="B2197" i="7"/>
  <c r="C2197" i="7"/>
  <c r="D2197" i="7"/>
  <c r="E2197" i="7"/>
  <c r="F2197" i="7"/>
  <c r="B2198" i="7"/>
  <c r="C2198" i="7"/>
  <c r="D2198" i="7"/>
  <c r="E2198" i="7"/>
  <c r="F2198" i="7"/>
  <c r="B2199" i="7"/>
  <c r="C2199" i="7"/>
  <c r="D2199" i="7"/>
  <c r="E2199" i="7"/>
  <c r="F2199" i="7"/>
  <c r="B2200" i="7"/>
  <c r="C2200" i="7"/>
  <c r="D2200" i="7"/>
  <c r="E2200" i="7"/>
  <c r="F2200" i="7"/>
  <c r="B2201" i="7"/>
  <c r="C2201" i="7"/>
  <c r="D2201" i="7"/>
  <c r="E2201" i="7"/>
  <c r="F2201" i="7"/>
  <c r="B2202" i="7"/>
  <c r="C2202" i="7"/>
  <c r="D2202" i="7"/>
  <c r="E2202" i="7"/>
  <c r="F2202" i="7"/>
  <c r="B2203" i="7"/>
  <c r="C2203" i="7"/>
  <c r="D2203" i="7"/>
  <c r="E2203" i="7"/>
  <c r="F2203" i="7"/>
  <c r="B2204" i="7"/>
  <c r="C2204" i="7"/>
  <c r="D2204" i="7"/>
  <c r="E2204" i="7"/>
  <c r="F2204" i="7"/>
  <c r="B2205" i="7"/>
  <c r="C2205" i="7"/>
  <c r="D2205" i="7"/>
  <c r="E2205" i="7"/>
  <c r="F2205" i="7"/>
  <c r="B2206" i="7"/>
  <c r="C2206" i="7"/>
  <c r="D2206" i="7"/>
  <c r="E2206" i="7"/>
  <c r="F2206" i="7"/>
  <c r="B2207" i="7"/>
  <c r="C2207" i="7"/>
  <c r="D2207" i="7"/>
  <c r="E2207" i="7"/>
  <c r="F2207" i="7"/>
  <c r="B2208" i="7"/>
  <c r="C2208" i="7"/>
  <c r="D2208" i="7"/>
  <c r="E2208" i="7"/>
  <c r="F2208" i="7"/>
  <c r="B2209" i="7"/>
  <c r="C2209" i="7"/>
  <c r="D2209" i="7"/>
  <c r="E2209" i="7"/>
  <c r="F2209" i="7"/>
  <c r="B2210" i="7"/>
  <c r="C2210" i="7"/>
  <c r="D2210" i="7"/>
  <c r="E2210" i="7"/>
  <c r="F2210" i="7"/>
  <c r="B2211" i="7"/>
  <c r="C2211" i="7"/>
  <c r="D2211" i="7"/>
  <c r="E2211" i="7"/>
  <c r="F2211" i="7"/>
  <c r="B2212" i="7"/>
  <c r="C2212" i="7"/>
  <c r="D2212" i="7"/>
  <c r="E2212" i="7"/>
  <c r="F2212" i="7"/>
  <c r="B2213" i="7"/>
  <c r="C2213" i="7"/>
  <c r="D2213" i="7"/>
  <c r="E2213" i="7"/>
  <c r="F2213" i="7"/>
  <c r="B2214" i="7"/>
  <c r="C2214" i="7"/>
  <c r="D2214" i="7"/>
  <c r="E2214" i="7"/>
  <c r="F2214" i="7"/>
  <c r="B2215" i="7"/>
  <c r="C2215" i="7"/>
  <c r="D2215" i="7"/>
  <c r="E2215" i="7"/>
  <c r="F2215" i="7"/>
  <c r="B2216" i="7"/>
  <c r="C2216" i="7"/>
  <c r="D2216" i="7"/>
  <c r="E2216" i="7"/>
  <c r="F2216" i="7"/>
  <c r="B2217" i="7"/>
  <c r="C2217" i="7"/>
  <c r="D2217" i="7"/>
  <c r="E2217" i="7"/>
  <c r="F2217" i="7"/>
  <c r="B2218" i="7"/>
  <c r="C2218" i="7"/>
  <c r="D2218" i="7"/>
  <c r="E2218" i="7"/>
  <c r="F2218" i="7"/>
  <c r="B2219" i="7"/>
  <c r="C2219" i="7"/>
  <c r="D2219" i="7"/>
  <c r="E2219" i="7"/>
  <c r="F2219" i="7"/>
  <c r="B2220" i="7"/>
  <c r="C2220" i="7"/>
  <c r="D2220" i="7"/>
  <c r="E2220" i="7"/>
  <c r="F2220" i="7"/>
  <c r="B2221" i="7"/>
  <c r="C2221" i="7"/>
  <c r="D2221" i="7"/>
  <c r="E2221" i="7"/>
  <c r="F2221" i="7"/>
  <c r="B2222" i="7"/>
  <c r="C2222" i="7"/>
  <c r="D2222" i="7"/>
  <c r="E2222" i="7"/>
  <c r="F2222" i="7"/>
  <c r="B2223" i="7"/>
  <c r="C2223" i="7"/>
  <c r="D2223" i="7"/>
  <c r="E2223" i="7"/>
  <c r="F2223" i="7"/>
  <c r="B2224" i="7"/>
  <c r="C2224" i="7"/>
  <c r="D2224" i="7"/>
  <c r="E2224" i="7"/>
  <c r="F2224" i="7"/>
  <c r="B2225" i="7"/>
  <c r="C2225" i="7"/>
  <c r="D2225" i="7"/>
  <c r="E2225" i="7"/>
  <c r="F2225" i="7"/>
  <c r="B2226" i="7"/>
  <c r="C2226" i="7"/>
  <c r="D2226" i="7"/>
  <c r="E2226" i="7"/>
  <c r="F2226" i="7"/>
  <c r="B2227" i="7"/>
  <c r="C2227" i="7"/>
  <c r="D2227" i="7"/>
  <c r="E2227" i="7"/>
  <c r="F2227" i="7"/>
  <c r="B2228" i="7"/>
  <c r="C2228" i="7"/>
  <c r="D2228" i="7"/>
  <c r="E2228" i="7"/>
  <c r="F2228" i="7"/>
  <c r="B2229" i="7"/>
  <c r="C2229" i="7"/>
  <c r="D2229" i="7"/>
  <c r="E2229" i="7"/>
  <c r="F2229" i="7"/>
  <c r="B2230" i="7"/>
  <c r="C2230" i="7"/>
  <c r="D2230" i="7"/>
  <c r="E2230" i="7"/>
  <c r="F2230" i="7"/>
  <c r="B2231" i="7"/>
  <c r="C2231" i="7"/>
  <c r="D2231" i="7"/>
  <c r="E2231" i="7"/>
  <c r="F2231" i="7"/>
  <c r="B2232" i="7"/>
  <c r="C2232" i="7"/>
  <c r="D2232" i="7"/>
  <c r="E2232" i="7"/>
  <c r="F2232" i="7"/>
  <c r="B2233" i="7"/>
  <c r="C2233" i="7"/>
  <c r="D2233" i="7"/>
  <c r="E2233" i="7"/>
  <c r="F2233" i="7"/>
  <c r="B2234" i="7"/>
  <c r="C2234" i="7"/>
  <c r="D2234" i="7"/>
  <c r="E2234" i="7"/>
  <c r="F2234" i="7"/>
  <c r="B2235" i="7"/>
  <c r="C2235" i="7"/>
  <c r="D2235" i="7"/>
  <c r="E2235" i="7"/>
  <c r="F2235" i="7"/>
  <c r="B2236" i="7"/>
  <c r="C2236" i="7"/>
  <c r="D2236" i="7"/>
  <c r="E2236" i="7"/>
  <c r="F2236" i="7"/>
  <c r="B2237" i="7"/>
  <c r="C2237" i="7"/>
  <c r="D2237" i="7"/>
  <c r="E2237" i="7"/>
  <c r="F2237" i="7"/>
  <c r="B2238" i="7"/>
  <c r="C2238" i="7"/>
  <c r="D2238" i="7"/>
  <c r="E2238" i="7"/>
  <c r="F2238" i="7"/>
  <c r="B2239" i="7"/>
  <c r="C2239" i="7"/>
  <c r="D2239" i="7"/>
  <c r="E2239" i="7"/>
  <c r="F2239" i="7"/>
  <c r="B2240" i="7"/>
  <c r="C2240" i="7"/>
  <c r="D2240" i="7"/>
  <c r="E2240" i="7"/>
  <c r="F2240" i="7"/>
  <c r="B2241" i="7"/>
  <c r="C2241" i="7"/>
  <c r="D2241" i="7"/>
  <c r="E2241" i="7"/>
  <c r="F2241" i="7"/>
  <c r="B2242" i="7"/>
  <c r="C2242" i="7"/>
  <c r="D2242" i="7"/>
  <c r="E2242" i="7"/>
  <c r="F2242" i="7"/>
  <c r="B2243" i="7"/>
  <c r="C2243" i="7"/>
  <c r="D2243" i="7"/>
  <c r="E2243" i="7"/>
  <c r="F2243" i="7"/>
  <c r="B2244" i="7"/>
  <c r="C2244" i="7"/>
  <c r="D2244" i="7"/>
  <c r="E2244" i="7"/>
  <c r="F2244" i="7"/>
  <c r="B2245" i="7"/>
  <c r="C2245" i="7"/>
  <c r="D2245" i="7"/>
  <c r="E2245" i="7"/>
  <c r="F2245" i="7"/>
  <c r="B2246" i="7"/>
  <c r="C2246" i="7"/>
  <c r="D2246" i="7"/>
  <c r="E2246" i="7"/>
  <c r="F2246" i="7"/>
  <c r="B2247" i="7"/>
  <c r="C2247" i="7"/>
  <c r="D2247" i="7"/>
  <c r="E2247" i="7"/>
  <c r="F2247" i="7"/>
  <c r="B2248" i="7"/>
  <c r="C2248" i="7"/>
  <c r="D2248" i="7"/>
  <c r="E2248" i="7"/>
  <c r="F2248" i="7"/>
  <c r="B2249" i="7"/>
  <c r="C2249" i="7"/>
  <c r="D2249" i="7"/>
  <c r="E2249" i="7"/>
  <c r="F2249" i="7"/>
  <c r="B2250" i="7"/>
  <c r="C2250" i="7"/>
  <c r="D2250" i="7"/>
  <c r="E2250" i="7"/>
  <c r="F2250" i="7"/>
  <c r="B2251" i="7"/>
  <c r="C2251" i="7"/>
  <c r="D2251" i="7"/>
  <c r="E2251" i="7"/>
  <c r="F2251" i="7"/>
  <c r="B2252" i="7"/>
  <c r="C2252" i="7"/>
  <c r="D2252" i="7"/>
  <c r="E2252" i="7"/>
  <c r="F2252" i="7"/>
  <c r="B2253" i="7"/>
  <c r="C2253" i="7"/>
  <c r="D2253" i="7"/>
  <c r="E2253" i="7"/>
  <c r="F2253" i="7"/>
  <c r="B2254" i="7"/>
  <c r="C2254" i="7"/>
  <c r="D2254" i="7"/>
  <c r="E2254" i="7"/>
  <c r="F2254" i="7"/>
  <c r="B2255" i="7"/>
  <c r="C2255" i="7"/>
  <c r="D2255" i="7"/>
  <c r="E2255" i="7"/>
  <c r="F2255" i="7"/>
  <c r="B2256" i="7"/>
  <c r="C2256" i="7"/>
  <c r="D2256" i="7"/>
  <c r="E2256" i="7"/>
  <c r="F2256" i="7"/>
  <c r="B2257" i="7"/>
  <c r="C2257" i="7"/>
  <c r="D2257" i="7"/>
  <c r="E2257" i="7"/>
  <c r="F2257" i="7"/>
  <c r="B2258" i="7"/>
  <c r="C2258" i="7"/>
  <c r="D2258" i="7"/>
  <c r="E2258" i="7"/>
  <c r="F2258" i="7"/>
  <c r="B2259" i="7"/>
  <c r="C2259" i="7"/>
  <c r="D2259" i="7"/>
  <c r="E2259" i="7"/>
  <c r="F2259" i="7"/>
  <c r="B2260" i="7"/>
  <c r="C2260" i="7"/>
  <c r="D2260" i="7"/>
  <c r="E2260" i="7"/>
  <c r="F2260" i="7"/>
  <c r="B2261" i="7"/>
  <c r="C2261" i="7"/>
  <c r="D2261" i="7"/>
  <c r="E2261" i="7"/>
  <c r="F2261" i="7"/>
  <c r="B2262" i="7"/>
  <c r="C2262" i="7"/>
  <c r="D2262" i="7"/>
  <c r="E2262" i="7"/>
  <c r="F2262" i="7"/>
  <c r="B2263" i="7"/>
  <c r="C2263" i="7"/>
  <c r="D2263" i="7"/>
  <c r="E2263" i="7"/>
  <c r="F2263" i="7"/>
  <c r="B2264" i="7"/>
  <c r="C2264" i="7"/>
  <c r="D2264" i="7"/>
  <c r="E2264" i="7"/>
  <c r="F2264" i="7"/>
  <c r="B2265" i="7"/>
  <c r="C2265" i="7"/>
  <c r="D2265" i="7"/>
  <c r="E2265" i="7"/>
  <c r="F2265" i="7"/>
  <c r="B2266" i="7"/>
  <c r="C2266" i="7"/>
  <c r="D2266" i="7"/>
  <c r="E2266" i="7"/>
  <c r="F2266" i="7"/>
  <c r="B2267" i="7"/>
  <c r="C2267" i="7"/>
  <c r="D2267" i="7"/>
  <c r="E2267" i="7"/>
  <c r="F2267" i="7"/>
  <c r="B2268" i="7"/>
  <c r="C2268" i="7"/>
  <c r="D2268" i="7"/>
  <c r="E2268" i="7"/>
  <c r="F2268" i="7"/>
  <c r="B2269" i="7"/>
  <c r="C2269" i="7"/>
  <c r="D2269" i="7"/>
  <c r="E2269" i="7"/>
  <c r="F2269" i="7"/>
  <c r="B2270" i="7"/>
  <c r="C2270" i="7"/>
  <c r="D2270" i="7"/>
  <c r="E2270" i="7"/>
  <c r="F2270" i="7"/>
  <c r="B2271" i="7"/>
  <c r="C2271" i="7"/>
  <c r="D2271" i="7"/>
  <c r="E2271" i="7"/>
  <c r="F2271" i="7"/>
  <c r="B2272" i="7"/>
  <c r="C2272" i="7"/>
  <c r="D2272" i="7"/>
  <c r="E2272" i="7"/>
  <c r="F2272" i="7"/>
  <c r="B2273" i="7"/>
  <c r="C2273" i="7"/>
  <c r="D2273" i="7"/>
  <c r="E2273" i="7"/>
  <c r="F2273" i="7"/>
  <c r="B2274" i="7"/>
  <c r="C2274" i="7"/>
  <c r="D2274" i="7"/>
  <c r="E2274" i="7"/>
  <c r="F2274" i="7"/>
  <c r="B2275" i="7"/>
  <c r="C2275" i="7"/>
  <c r="D2275" i="7"/>
  <c r="E2275" i="7"/>
  <c r="F2275" i="7"/>
  <c r="B2276" i="7"/>
  <c r="C2276" i="7"/>
  <c r="D2276" i="7"/>
  <c r="E2276" i="7"/>
  <c r="F2276" i="7"/>
  <c r="B2277" i="7"/>
  <c r="C2277" i="7"/>
  <c r="D2277" i="7"/>
  <c r="E2277" i="7"/>
  <c r="F2277" i="7"/>
  <c r="B2278" i="7"/>
  <c r="C2278" i="7"/>
  <c r="D2278" i="7"/>
  <c r="E2278" i="7"/>
  <c r="F2278" i="7"/>
  <c r="B2279" i="7"/>
  <c r="C2279" i="7"/>
  <c r="D2279" i="7"/>
  <c r="E2279" i="7"/>
  <c r="F2279" i="7"/>
  <c r="B2280" i="7"/>
  <c r="C2280" i="7"/>
  <c r="D2280" i="7"/>
  <c r="E2280" i="7"/>
  <c r="F2280" i="7"/>
  <c r="B2281" i="7"/>
  <c r="C2281" i="7"/>
  <c r="D2281" i="7"/>
  <c r="E2281" i="7"/>
  <c r="F2281" i="7"/>
  <c r="B2282" i="7"/>
  <c r="C2282" i="7"/>
  <c r="D2282" i="7"/>
  <c r="E2282" i="7"/>
  <c r="F2282" i="7"/>
  <c r="B2283" i="7"/>
  <c r="C2283" i="7"/>
  <c r="D2283" i="7"/>
  <c r="E2283" i="7"/>
  <c r="F2283" i="7"/>
  <c r="B2284" i="7"/>
  <c r="C2284" i="7"/>
  <c r="D2284" i="7"/>
  <c r="E2284" i="7"/>
  <c r="F2284" i="7"/>
  <c r="B2285" i="7"/>
  <c r="C2285" i="7"/>
  <c r="D2285" i="7"/>
  <c r="E2285" i="7"/>
  <c r="F2285" i="7"/>
  <c r="B2286" i="7"/>
  <c r="C2286" i="7"/>
  <c r="D2286" i="7"/>
  <c r="E2286" i="7"/>
  <c r="F2286" i="7"/>
  <c r="B2287" i="7"/>
  <c r="C2287" i="7"/>
  <c r="D2287" i="7"/>
  <c r="E2287" i="7"/>
  <c r="F2287" i="7"/>
  <c r="B2288" i="7"/>
  <c r="C2288" i="7"/>
  <c r="D2288" i="7"/>
  <c r="E2288" i="7"/>
  <c r="F2288" i="7"/>
  <c r="B2289" i="7"/>
  <c r="C2289" i="7"/>
  <c r="D2289" i="7"/>
  <c r="E2289" i="7"/>
  <c r="F2289" i="7"/>
  <c r="B2290" i="7"/>
  <c r="C2290" i="7"/>
  <c r="D2290" i="7"/>
  <c r="E2290" i="7"/>
  <c r="F2290" i="7"/>
  <c r="B2291" i="7"/>
  <c r="C2291" i="7"/>
  <c r="D2291" i="7"/>
  <c r="E2291" i="7"/>
  <c r="F2291" i="7"/>
  <c r="B2292" i="7"/>
  <c r="C2292" i="7"/>
  <c r="D2292" i="7"/>
  <c r="E2292" i="7"/>
  <c r="F2292" i="7"/>
  <c r="B2293" i="7"/>
  <c r="C2293" i="7"/>
  <c r="D2293" i="7"/>
  <c r="E2293" i="7"/>
  <c r="F2293" i="7"/>
  <c r="B2294" i="7"/>
  <c r="C2294" i="7"/>
  <c r="D2294" i="7"/>
  <c r="E2294" i="7"/>
  <c r="F2294" i="7"/>
  <c r="B2295" i="7"/>
  <c r="C2295" i="7"/>
  <c r="D2295" i="7"/>
  <c r="E2295" i="7"/>
  <c r="F2295" i="7"/>
  <c r="B2296" i="7"/>
  <c r="C2296" i="7"/>
  <c r="D2296" i="7"/>
  <c r="E2296" i="7"/>
  <c r="F2296" i="7"/>
  <c r="B2297" i="7"/>
  <c r="C2297" i="7"/>
  <c r="D2297" i="7"/>
  <c r="E2297" i="7"/>
  <c r="F2297" i="7"/>
  <c r="B2298" i="7"/>
  <c r="C2298" i="7"/>
  <c r="D2298" i="7"/>
  <c r="E2298" i="7"/>
  <c r="F2298" i="7"/>
  <c r="B2299" i="7"/>
  <c r="C2299" i="7"/>
  <c r="D2299" i="7"/>
  <c r="E2299" i="7"/>
  <c r="F2299" i="7"/>
  <c r="B2300" i="7"/>
  <c r="C2300" i="7"/>
  <c r="D2300" i="7"/>
  <c r="E2300" i="7"/>
  <c r="F2300" i="7"/>
  <c r="B2301" i="7"/>
  <c r="C2301" i="7"/>
  <c r="D2301" i="7"/>
  <c r="E2301" i="7"/>
  <c r="F2301" i="7"/>
  <c r="B2302" i="7"/>
  <c r="C2302" i="7"/>
  <c r="D2302" i="7"/>
  <c r="E2302" i="7"/>
  <c r="F2302" i="7"/>
  <c r="B2303" i="7"/>
  <c r="C2303" i="7"/>
  <c r="D2303" i="7"/>
  <c r="E2303" i="7"/>
  <c r="F2303" i="7"/>
  <c r="B2304" i="7"/>
  <c r="C2304" i="7"/>
  <c r="D2304" i="7"/>
  <c r="E2304" i="7"/>
  <c r="F2304" i="7"/>
  <c r="B2305" i="7"/>
  <c r="C2305" i="7"/>
  <c r="D2305" i="7"/>
  <c r="E2305" i="7"/>
  <c r="F2305" i="7"/>
  <c r="B2306" i="7"/>
  <c r="C2306" i="7"/>
  <c r="D2306" i="7"/>
  <c r="E2306" i="7"/>
  <c r="F2306" i="7"/>
  <c r="B2307" i="7"/>
  <c r="C2307" i="7"/>
  <c r="D2307" i="7"/>
  <c r="E2307" i="7"/>
  <c r="F2307" i="7"/>
  <c r="B2308" i="7"/>
  <c r="C2308" i="7"/>
  <c r="D2308" i="7"/>
  <c r="E2308" i="7"/>
  <c r="F2308" i="7"/>
  <c r="B2309" i="7"/>
  <c r="C2309" i="7"/>
  <c r="D2309" i="7"/>
  <c r="E2309" i="7"/>
  <c r="F2309" i="7"/>
  <c r="B2310" i="7"/>
  <c r="C2310" i="7"/>
  <c r="D2310" i="7"/>
  <c r="E2310" i="7"/>
  <c r="F2310" i="7"/>
  <c r="B2311" i="7"/>
  <c r="C2311" i="7"/>
  <c r="D2311" i="7"/>
  <c r="E2311" i="7"/>
  <c r="F2311" i="7"/>
  <c r="B2312" i="7"/>
  <c r="C2312" i="7"/>
  <c r="D2312" i="7"/>
  <c r="E2312" i="7"/>
  <c r="F2312" i="7"/>
  <c r="B2313" i="7"/>
  <c r="C2313" i="7"/>
  <c r="D2313" i="7"/>
  <c r="E2313" i="7"/>
  <c r="F2313" i="7"/>
  <c r="B2314" i="7"/>
  <c r="C2314" i="7"/>
  <c r="D2314" i="7"/>
  <c r="E2314" i="7"/>
  <c r="F2314" i="7"/>
  <c r="B2315" i="7"/>
  <c r="C2315" i="7"/>
  <c r="D2315" i="7"/>
  <c r="E2315" i="7"/>
  <c r="F2315" i="7"/>
  <c r="B2316" i="7"/>
  <c r="C2316" i="7"/>
  <c r="D2316" i="7"/>
  <c r="E2316" i="7"/>
  <c r="F2316" i="7"/>
  <c r="B2317" i="7"/>
  <c r="C2317" i="7"/>
  <c r="D2317" i="7"/>
  <c r="E2317" i="7"/>
  <c r="F2317" i="7"/>
  <c r="B2318" i="7"/>
  <c r="C2318" i="7"/>
  <c r="D2318" i="7"/>
  <c r="E2318" i="7"/>
  <c r="F2318" i="7"/>
  <c r="B2319" i="7"/>
  <c r="C2319" i="7"/>
  <c r="D2319" i="7"/>
  <c r="E2319" i="7"/>
  <c r="F2319" i="7"/>
  <c r="B2320" i="7"/>
  <c r="C2320" i="7"/>
  <c r="D2320" i="7"/>
  <c r="E2320" i="7"/>
  <c r="F2320" i="7"/>
  <c r="B2321" i="7"/>
  <c r="C2321" i="7"/>
  <c r="D2321" i="7"/>
  <c r="E2321" i="7"/>
  <c r="F2321" i="7"/>
  <c r="B2322" i="7"/>
  <c r="C2322" i="7"/>
  <c r="D2322" i="7"/>
  <c r="E2322" i="7"/>
  <c r="F2322" i="7"/>
  <c r="B2323" i="7"/>
  <c r="C2323" i="7"/>
  <c r="D2323" i="7"/>
  <c r="E2323" i="7"/>
  <c r="F2323" i="7"/>
  <c r="B2324" i="7"/>
  <c r="C2324" i="7"/>
  <c r="D2324" i="7"/>
  <c r="E2324" i="7"/>
  <c r="F2324" i="7"/>
  <c r="B2325" i="7"/>
  <c r="C2325" i="7"/>
  <c r="D2325" i="7"/>
  <c r="E2325" i="7"/>
  <c r="F2325" i="7"/>
  <c r="B2326" i="7"/>
  <c r="C2326" i="7"/>
  <c r="D2326" i="7"/>
  <c r="E2326" i="7"/>
  <c r="F2326" i="7"/>
  <c r="B2327" i="7"/>
  <c r="C2327" i="7"/>
  <c r="D2327" i="7"/>
  <c r="E2327" i="7"/>
  <c r="F2327" i="7"/>
  <c r="B2328" i="7"/>
  <c r="C2328" i="7"/>
  <c r="D2328" i="7"/>
  <c r="E2328" i="7"/>
  <c r="F2328" i="7"/>
  <c r="B2329" i="7"/>
  <c r="C2329" i="7"/>
  <c r="D2329" i="7"/>
  <c r="E2329" i="7"/>
  <c r="F2329" i="7"/>
  <c r="B2330" i="7"/>
  <c r="C2330" i="7"/>
  <c r="D2330" i="7"/>
  <c r="E2330" i="7"/>
  <c r="F2330" i="7"/>
  <c r="B2331" i="7"/>
  <c r="C2331" i="7"/>
  <c r="D2331" i="7"/>
  <c r="E2331" i="7"/>
  <c r="F2331" i="7"/>
  <c r="B2332" i="7"/>
  <c r="C2332" i="7"/>
  <c r="D2332" i="7"/>
  <c r="E2332" i="7"/>
  <c r="F2332" i="7"/>
  <c r="B2333" i="7"/>
  <c r="C2333" i="7"/>
  <c r="D2333" i="7"/>
  <c r="E2333" i="7"/>
  <c r="F2333" i="7"/>
  <c r="B2334" i="7"/>
  <c r="C2334" i="7"/>
  <c r="D2334" i="7"/>
  <c r="E2334" i="7"/>
  <c r="F2334" i="7"/>
  <c r="B2335" i="7"/>
  <c r="C2335" i="7"/>
  <c r="D2335" i="7"/>
  <c r="E2335" i="7"/>
  <c r="F2335" i="7"/>
  <c r="B2336" i="7"/>
  <c r="C2336" i="7"/>
  <c r="D2336" i="7"/>
  <c r="E2336" i="7"/>
  <c r="F2336" i="7"/>
  <c r="B2337" i="7"/>
  <c r="C2337" i="7"/>
  <c r="D2337" i="7"/>
  <c r="E2337" i="7"/>
  <c r="F2337" i="7"/>
  <c r="B2338" i="7"/>
  <c r="C2338" i="7"/>
  <c r="D2338" i="7"/>
  <c r="E2338" i="7"/>
  <c r="F2338" i="7"/>
  <c r="B2339" i="7"/>
  <c r="C2339" i="7"/>
  <c r="D2339" i="7"/>
  <c r="E2339" i="7"/>
  <c r="F2339" i="7"/>
  <c r="B2340" i="7"/>
  <c r="C2340" i="7"/>
  <c r="D2340" i="7"/>
  <c r="E2340" i="7"/>
  <c r="F2340" i="7"/>
  <c r="B2341" i="7"/>
  <c r="C2341" i="7"/>
  <c r="D2341" i="7"/>
  <c r="E2341" i="7"/>
  <c r="F2341" i="7"/>
  <c r="B2342" i="7"/>
  <c r="C2342" i="7"/>
  <c r="D2342" i="7"/>
  <c r="E2342" i="7"/>
  <c r="F2342" i="7"/>
  <c r="B2343" i="7"/>
  <c r="C2343" i="7"/>
  <c r="D2343" i="7"/>
  <c r="E2343" i="7"/>
  <c r="F2343" i="7"/>
  <c r="B2344" i="7"/>
  <c r="C2344" i="7"/>
  <c r="D2344" i="7"/>
  <c r="E2344" i="7"/>
  <c r="F2344" i="7"/>
  <c r="B2345" i="7"/>
  <c r="C2345" i="7"/>
  <c r="D2345" i="7"/>
  <c r="E2345" i="7"/>
  <c r="F2345" i="7"/>
  <c r="B2346" i="7"/>
  <c r="C2346" i="7"/>
  <c r="D2346" i="7"/>
  <c r="E2346" i="7"/>
  <c r="F2346" i="7"/>
  <c r="B2347" i="7"/>
  <c r="C2347" i="7"/>
  <c r="D2347" i="7"/>
  <c r="E2347" i="7"/>
  <c r="F2347" i="7"/>
  <c r="B2348" i="7"/>
  <c r="C2348" i="7"/>
  <c r="D2348" i="7"/>
  <c r="E2348" i="7"/>
  <c r="F2348" i="7"/>
  <c r="B2349" i="7"/>
  <c r="C2349" i="7"/>
  <c r="D2349" i="7"/>
  <c r="E2349" i="7"/>
  <c r="F2349" i="7"/>
  <c r="B2350" i="7"/>
  <c r="C2350" i="7"/>
  <c r="D2350" i="7"/>
  <c r="E2350" i="7"/>
  <c r="F2350" i="7"/>
  <c r="B2351" i="7"/>
  <c r="C2351" i="7"/>
  <c r="D2351" i="7"/>
  <c r="E2351" i="7"/>
  <c r="F2351" i="7"/>
  <c r="B2352" i="7"/>
  <c r="C2352" i="7"/>
  <c r="D2352" i="7"/>
  <c r="E2352" i="7"/>
  <c r="F2352" i="7"/>
  <c r="B2353" i="7"/>
  <c r="C2353" i="7"/>
  <c r="D2353" i="7"/>
  <c r="E2353" i="7"/>
  <c r="F2353" i="7"/>
  <c r="B2354" i="7"/>
  <c r="C2354" i="7"/>
  <c r="D2354" i="7"/>
  <c r="E2354" i="7"/>
  <c r="F2354" i="7"/>
  <c r="B2355" i="7"/>
  <c r="C2355" i="7"/>
  <c r="D2355" i="7"/>
  <c r="E2355" i="7"/>
  <c r="F2355" i="7"/>
  <c r="B2356" i="7"/>
  <c r="C2356" i="7"/>
  <c r="D2356" i="7"/>
  <c r="E2356" i="7"/>
  <c r="F2356" i="7"/>
  <c r="B2357" i="7"/>
  <c r="C2357" i="7"/>
  <c r="D2357" i="7"/>
  <c r="E2357" i="7"/>
  <c r="F2357" i="7"/>
  <c r="B2358" i="7"/>
  <c r="C2358" i="7"/>
  <c r="D2358" i="7"/>
  <c r="E2358" i="7"/>
  <c r="F2358" i="7"/>
  <c r="B2359" i="7"/>
  <c r="C2359" i="7"/>
  <c r="D2359" i="7"/>
  <c r="E2359" i="7"/>
  <c r="F2359" i="7"/>
  <c r="B2360" i="7"/>
  <c r="C2360" i="7"/>
  <c r="D2360" i="7"/>
  <c r="E2360" i="7"/>
  <c r="F2360" i="7"/>
  <c r="B2361" i="7"/>
  <c r="C2361" i="7"/>
  <c r="D2361" i="7"/>
  <c r="E2361" i="7"/>
  <c r="F2361" i="7"/>
  <c r="B2362" i="7"/>
  <c r="C2362" i="7"/>
  <c r="D2362" i="7"/>
  <c r="E2362" i="7"/>
  <c r="F2362" i="7"/>
  <c r="B2363" i="7"/>
  <c r="C2363" i="7"/>
  <c r="D2363" i="7"/>
  <c r="E2363" i="7"/>
  <c r="F2363" i="7"/>
  <c r="B2364" i="7"/>
  <c r="C2364" i="7"/>
  <c r="D2364" i="7"/>
  <c r="E2364" i="7"/>
  <c r="F2364" i="7"/>
  <c r="B2365" i="7"/>
  <c r="C2365" i="7"/>
  <c r="D2365" i="7"/>
  <c r="E2365" i="7"/>
  <c r="F2365" i="7"/>
  <c r="B2366" i="7"/>
  <c r="C2366" i="7"/>
  <c r="D2366" i="7"/>
  <c r="E2366" i="7"/>
  <c r="F2366" i="7"/>
  <c r="B2367" i="7"/>
  <c r="C2367" i="7"/>
  <c r="D2367" i="7"/>
  <c r="E2367" i="7"/>
  <c r="F2367" i="7"/>
  <c r="B2368" i="7"/>
  <c r="C2368" i="7"/>
  <c r="D2368" i="7"/>
  <c r="E2368" i="7"/>
  <c r="F2368" i="7"/>
  <c r="B2369" i="7"/>
  <c r="C2369" i="7"/>
  <c r="D2369" i="7"/>
  <c r="E2369" i="7"/>
  <c r="F2369" i="7"/>
  <c r="B2370" i="7"/>
  <c r="C2370" i="7"/>
  <c r="D2370" i="7"/>
  <c r="E2370" i="7"/>
  <c r="F2370" i="7"/>
  <c r="B2371" i="7"/>
  <c r="C2371" i="7"/>
  <c r="D2371" i="7"/>
  <c r="E2371" i="7"/>
  <c r="F2371" i="7"/>
  <c r="B2372" i="7"/>
  <c r="C2372" i="7"/>
  <c r="D2372" i="7"/>
  <c r="E2372" i="7"/>
  <c r="F2372" i="7"/>
  <c r="B2373" i="7"/>
  <c r="C2373" i="7"/>
  <c r="D2373" i="7"/>
  <c r="E2373" i="7"/>
  <c r="F2373" i="7"/>
  <c r="B2374" i="7"/>
  <c r="C2374" i="7"/>
  <c r="D2374" i="7"/>
  <c r="E2374" i="7"/>
  <c r="F2374" i="7"/>
  <c r="B2375" i="7"/>
  <c r="C2375" i="7"/>
  <c r="D2375" i="7"/>
  <c r="E2375" i="7"/>
  <c r="F2375" i="7"/>
  <c r="B2376" i="7"/>
  <c r="C2376" i="7"/>
  <c r="D2376" i="7"/>
  <c r="E2376" i="7"/>
  <c r="F2376" i="7"/>
  <c r="B2377" i="7"/>
  <c r="C2377" i="7"/>
  <c r="D2377" i="7"/>
  <c r="E2377" i="7"/>
  <c r="F2377" i="7"/>
  <c r="B2378" i="7"/>
  <c r="C2378" i="7"/>
  <c r="D2378" i="7"/>
  <c r="E2378" i="7"/>
  <c r="F2378" i="7"/>
  <c r="B2379" i="7"/>
  <c r="C2379" i="7"/>
  <c r="D2379" i="7"/>
  <c r="E2379" i="7"/>
  <c r="F2379" i="7"/>
  <c r="B2380" i="7"/>
  <c r="C2380" i="7"/>
  <c r="D2380" i="7"/>
  <c r="E2380" i="7"/>
  <c r="F2380" i="7"/>
  <c r="B2381" i="7"/>
  <c r="C2381" i="7"/>
  <c r="D2381" i="7"/>
  <c r="E2381" i="7"/>
  <c r="F2381" i="7"/>
  <c r="B2382" i="7"/>
  <c r="C2382" i="7"/>
  <c r="D2382" i="7"/>
  <c r="E2382" i="7"/>
  <c r="F2382" i="7"/>
  <c r="B2383" i="7"/>
  <c r="C2383" i="7"/>
  <c r="D2383" i="7"/>
  <c r="E2383" i="7"/>
  <c r="F2383" i="7"/>
  <c r="B2384" i="7"/>
  <c r="C2384" i="7"/>
  <c r="D2384" i="7"/>
  <c r="E2384" i="7"/>
  <c r="F2384" i="7"/>
  <c r="B2385" i="7"/>
  <c r="C2385" i="7"/>
  <c r="D2385" i="7"/>
  <c r="E2385" i="7"/>
  <c r="F2385" i="7"/>
  <c r="B2386" i="7"/>
  <c r="C2386" i="7"/>
  <c r="D2386" i="7"/>
  <c r="E2386" i="7"/>
  <c r="F2386" i="7"/>
  <c r="B2387" i="7"/>
  <c r="C2387" i="7"/>
  <c r="D2387" i="7"/>
  <c r="E2387" i="7"/>
  <c r="F2387" i="7"/>
  <c r="B2388" i="7"/>
  <c r="C2388" i="7"/>
  <c r="D2388" i="7"/>
  <c r="E2388" i="7"/>
  <c r="F2388" i="7"/>
  <c r="B2389" i="7"/>
  <c r="C2389" i="7"/>
  <c r="D2389" i="7"/>
  <c r="E2389" i="7"/>
  <c r="F2389" i="7"/>
  <c r="B2390" i="7"/>
  <c r="C2390" i="7"/>
  <c r="D2390" i="7"/>
  <c r="E2390" i="7"/>
  <c r="F2390" i="7"/>
  <c r="B2391" i="7"/>
  <c r="C2391" i="7"/>
  <c r="D2391" i="7"/>
  <c r="E2391" i="7"/>
  <c r="F2391" i="7"/>
  <c r="B2392" i="7"/>
  <c r="C2392" i="7"/>
  <c r="D2392" i="7"/>
  <c r="E2392" i="7"/>
  <c r="F2392" i="7"/>
  <c r="B2393" i="7"/>
  <c r="C2393" i="7"/>
  <c r="D2393" i="7"/>
  <c r="E2393" i="7"/>
  <c r="F2393" i="7"/>
  <c r="B2394" i="7"/>
  <c r="C2394" i="7"/>
  <c r="D2394" i="7"/>
  <c r="E2394" i="7"/>
  <c r="F2394" i="7"/>
  <c r="B2395" i="7"/>
  <c r="C2395" i="7"/>
  <c r="D2395" i="7"/>
  <c r="E2395" i="7"/>
  <c r="F2395" i="7"/>
  <c r="B2396" i="7"/>
  <c r="C2396" i="7"/>
  <c r="D2396" i="7"/>
  <c r="E2396" i="7"/>
  <c r="F2396" i="7"/>
  <c r="B2397" i="7"/>
  <c r="C2397" i="7"/>
  <c r="D2397" i="7"/>
  <c r="E2397" i="7"/>
  <c r="F2397" i="7"/>
  <c r="B2398" i="7"/>
  <c r="C2398" i="7"/>
  <c r="D2398" i="7"/>
  <c r="E2398" i="7"/>
  <c r="F2398" i="7"/>
  <c r="B2399" i="7"/>
  <c r="C2399" i="7"/>
  <c r="D2399" i="7"/>
  <c r="E2399" i="7"/>
  <c r="F2399" i="7"/>
  <c r="B2400" i="7"/>
  <c r="C2400" i="7"/>
  <c r="D2400" i="7"/>
  <c r="E2400" i="7"/>
  <c r="F2400" i="7"/>
  <c r="B2401" i="7"/>
  <c r="C2401" i="7"/>
  <c r="D2401" i="7"/>
  <c r="E2401" i="7"/>
  <c r="F2401" i="7"/>
  <c r="B2402" i="7"/>
  <c r="C2402" i="7"/>
  <c r="D2402" i="7"/>
  <c r="E2402" i="7"/>
  <c r="F2402" i="7"/>
  <c r="B2403" i="7"/>
  <c r="C2403" i="7"/>
  <c r="D2403" i="7"/>
  <c r="E2403" i="7"/>
  <c r="F2403" i="7"/>
  <c r="B2404" i="7"/>
  <c r="C2404" i="7"/>
  <c r="D2404" i="7"/>
  <c r="E2404" i="7"/>
  <c r="F2404" i="7"/>
  <c r="B2405" i="7"/>
  <c r="C2405" i="7"/>
  <c r="D2405" i="7"/>
  <c r="E2405" i="7"/>
  <c r="F2405" i="7"/>
  <c r="B2406" i="7"/>
  <c r="C2406" i="7"/>
  <c r="D2406" i="7"/>
  <c r="E2406" i="7"/>
  <c r="F2406" i="7"/>
  <c r="B2407" i="7"/>
  <c r="C2407" i="7"/>
  <c r="D2407" i="7"/>
  <c r="E2407" i="7"/>
  <c r="F2407" i="7"/>
  <c r="B2408" i="7"/>
  <c r="C2408" i="7"/>
  <c r="D2408" i="7"/>
  <c r="E2408" i="7"/>
  <c r="F2408" i="7"/>
  <c r="B2409" i="7"/>
  <c r="C2409" i="7"/>
  <c r="D2409" i="7"/>
  <c r="E2409" i="7"/>
  <c r="F2409" i="7"/>
  <c r="B2410" i="7"/>
  <c r="C2410" i="7"/>
  <c r="D2410" i="7"/>
  <c r="E2410" i="7"/>
  <c r="F2410" i="7"/>
  <c r="B2411" i="7"/>
  <c r="C2411" i="7"/>
  <c r="D2411" i="7"/>
  <c r="E2411" i="7"/>
  <c r="F2411" i="7"/>
  <c r="B2412" i="7"/>
  <c r="C2412" i="7"/>
  <c r="D2412" i="7"/>
  <c r="E2412" i="7"/>
  <c r="F2412" i="7"/>
  <c r="B2413" i="7"/>
  <c r="C2413" i="7"/>
  <c r="D2413" i="7"/>
  <c r="E2413" i="7"/>
  <c r="F2413" i="7"/>
  <c r="B2414" i="7"/>
  <c r="C2414" i="7"/>
  <c r="D2414" i="7"/>
  <c r="E2414" i="7"/>
  <c r="F2414" i="7"/>
  <c r="B2415" i="7"/>
  <c r="C2415" i="7"/>
  <c r="D2415" i="7"/>
  <c r="E2415" i="7"/>
  <c r="F2415" i="7"/>
  <c r="B2416" i="7"/>
  <c r="C2416" i="7"/>
  <c r="D2416" i="7"/>
  <c r="E2416" i="7"/>
  <c r="F2416" i="7"/>
  <c r="B2417" i="7"/>
  <c r="C2417" i="7"/>
  <c r="D2417" i="7"/>
  <c r="E2417" i="7"/>
  <c r="F2417" i="7"/>
  <c r="B2418" i="7"/>
  <c r="C2418" i="7"/>
  <c r="D2418" i="7"/>
  <c r="E2418" i="7"/>
  <c r="F2418" i="7"/>
  <c r="B2419" i="7"/>
  <c r="C2419" i="7"/>
  <c r="D2419" i="7"/>
  <c r="E2419" i="7"/>
  <c r="F2419" i="7"/>
  <c r="B2420" i="7"/>
  <c r="C2420" i="7"/>
  <c r="D2420" i="7"/>
  <c r="E2420" i="7"/>
  <c r="F2420" i="7"/>
  <c r="B2421" i="7"/>
  <c r="C2421" i="7"/>
  <c r="D2421" i="7"/>
  <c r="E2421" i="7"/>
  <c r="F2421" i="7"/>
  <c r="B2422" i="7"/>
  <c r="C2422" i="7"/>
  <c r="D2422" i="7"/>
  <c r="E2422" i="7"/>
  <c r="F2422" i="7"/>
  <c r="B2423" i="7"/>
  <c r="C2423" i="7"/>
  <c r="D2423" i="7"/>
  <c r="E2423" i="7"/>
  <c r="F2423" i="7"/>
  <c r="B2424" i="7"/>
  <c r="C2424" i="7"/>
  <c r="D2424" i="7"/>
  <c r="E2424" i="7"/>
  <c r="F2424" i="7"/>
  <c r="B2425" i="7"/>
  <c r="C2425" i="7"/>
  <c r="D2425" i="7"/>
  <c r="E2425" i="7"/>
  <c r="F2425" i="7"/>
  <c r="B2426" i="7"/>
  <c r="C2426" i="7"/>
  <c r="D2426" i="7"/>
  <c r="E2426" i="7"/>
  <c r="F2426" i="7"/>
  <c r="B2427" i="7"/>
  <c r="C2427" i="7"/>
  <c r="D2427" i="7"/>
  <c r="E2427" i="7"/>
  <c r="F2427" i="7"/>
  <c r="B2428" i="7"/>
  <c r="C2428" i="7"/>
  <c r="D2428" i="7"/>
  <c r="E2428" i="7"/>
  <c r="F2428" i="7"/>
  <c r="B2429" i="7"/>
  <c r="C2429" i="7"/>
  <c r="D2429" i="7"/>
  <c r="E2429" i="7"/>
  <c r="F2429" i="7"/>
  <c r="B2430" i="7"/>
  <c r="C2430" i="7"/>
  <c r="D2430" i="7"/>
  <c r="E2430" i="7"/>
  <c r="F2430" i="7"/>
  <c r="B2431" i="7"/>
  <c r="C2431" i="7"/>
  <c r="D2431" i="7"/>
  <c r="E2431" i="7"/>
  <c r="F2431" i="7"/>
  <c r="B2432" i="7"/>
  <c r="C2432" i="7"/>
  <c r="D2432" i="7"/>
  <c r="E2432" i="7"/>
  <c r="F2432" i="7"/>
  <c r="B2433" i="7"/>
  <c r="C2433" i="7"/>
  <c r="D2433" i="7"/>
  <c r="E2433" i="7"/>
  <c r="F2433" i="7"/>
  <c r="B2434" i="7"/>
  <c r="C2434" i="7"/>
  <c r="D2434" i="7"/>
  <c r="E2434" i="7"/>
  <c r="F2434" i="7"/>
  <c r="B2435" i="7"/>
  <c r="C2435" i="7"/>
  <c r="D2435" i="7"/>
  <c r="E2435" i="7"/>
  <c r="F2435" i="7"/>
  <c r="B2436" i="7"/>
  <c r="C2436" i="7"/>
  <c r="D2436" i="7"/>
  <c r="E2436" i="7"/>
  <c r="F2436" i="7"/>
  <c r="B2437" i="7"/>
  <c r="C2437" i="7"/>
  <c r="D2437" i="7"/>
  <c r="E2437" i="7"/>
  <c r="F2437" i="7"/>
  <c r="B2438" i="7"/>
  <c r="C2438" i="7"/>
  <c r="D2438" i="7"/>
  <c r="E2438" i="7"/>
  <c r="F2438" i="7"/>
  <c r="B2439" i="7"/>
  <c r="C2439" i="7"/>
  <c r="D2439" i="7"/>
  <c r="E2439" i="7"/>
  <c r="F2439" i="7"/>
  <c r="B2440" i="7"/>
  <c r="C2440" i="7"/>
  <c r="D2440" i="7"/>
  <c r="E2440" i="7"/>
  <c r="F2440" i="7"/>
  <c r="B2441" i="7"/>
  <c r="C2441" i="7"/>
  <c r="D2441" i="7"/>
  <c r="E2441" i="7"/>
  <c r="F2441" i="7"/>
  <c r="B2442" i="7"/>
  <c r="C2442" i="7"/>
  <c r="D2442" i="7"/>
  <c r="E2442" i="7"/>
  <c r="F2442" i="7"/>
  <c r="B2443" i="7"/>
  <c r="C2443" i="7"/>
  <c r="D2443" i="7"/>
  <c r="E2443" i="7"/>
  <c r="F2443" i="7"/>
  <c r="B2444" i="7"/>
  <c r="C2444" i="7"/>
  <c r="D2444" i="7"/>
  <c r="E2444" i="7"/>
  <c r="F2444" i="7"/>
  <c r="B2445" i="7"/>
  <c r="C2445" i="7"/>
  <c r="D2445" i="7"/>
  <c r="E2445" i="7"/>
  <c r="F2445" i="7"/>
  <c r="B2446" i="7"/>
  <c r="C2446" i="7"/>
  <c r="D2446" i="7"/>
  <c r="E2446" i="7"/>
  <c r="F2446" i="7"/>
  <c r="B2447" i="7"/>
  <c r="C2447" i="7"/>
  <c r="D2447" i="7"/>
  <c r="E2447" i="7"/>
  <c r="F2447" i="7"/>
  <c r="B2448" i="7"/>
  <c r="C2448" i="7"/>
  <c r="D2448" i="7"/>
  <c r="E2448" i="7"/>
  <c r="F2448" i="7"/>
  <c r="B2449" i="7"/>
  <c r="C2449" i="7"/>
  <c r="D2449" i="7"/>
  <c r="E2449" i="7"/>
  <c r="F2449" i="7"/>
  <c r="B2450" i="7"/>
  <c r="C2450" i="7"/>
  <c r="D2450" i="7"/>
  <c r="E2450" i="7"/>
  <c r="F2450" i="7"/>
  <c r="B2451" i="7"/>
  <c r="C2451" i="7"/>
  <c r="D2451" i="7"/>
  <c r="E2451" i="7"/>
  <c r="F2451" i="7"/>
  <c r="B2452" i="7"/>
  <c r="C2452" i="7"/>
  <c r="D2452" i="7"/>
  <c r="E2452" i="7"/>
  <c r="F2452" i="7"/>
  <c r="B2453" i="7"/>
  <c r="C2453" i="7"/>
  <c r="D2453" i="7"/>
  <c r="E2453" i="7"/>
  <c r="F2453" i="7"/>
  <c r="B2454" i="7"/>
  <c r="C2454" i="7"/>
  <c r="D2454" i="7"/>
  <c r="E2454" i="7"/>
  <c r="F2454" i="7"/>
  <c r="B2455" i="7"/>
  <c r="C2455" i="7"/>
  <c r="D2455" i="7"/>
  <c r="E2455" i="7"/>
  <c r="F2455" i="7"/>
  <c r="B2456" i="7"/>
  <c r="C2456" i="7"/>
  <c r="D2456" i="7"/>
  <c r="E2456" i="7"/>
  <c r="F2456" i="7"/>
  <c r="B2457" i="7"/>
  <c r="C2457" i="7"/>
  <c r="D2457" i="7"/>
  <c r="E2457" i="7"/>
  <c r="F2457" i="7"/>
  <c r="B2458" i="7"/>
  <c r="C2458" i="7"/>
  <c r="D2458" i="7"/>
  <c r="E2458" i="7"/>
  <c r="F2458" i="7"/>
  <c r="B2459" i="7"/>
  <c r="C2459" i="7"/>
  <c r="D2459" i="7"/>
  <c r="E2459" i="7"/>
  <c r="F2459" i="7"/>
  <c r="B2460" i="7"/>
  <c r="C2460" i="7"/>
  <c r="D2460" i="7"/>
  <c r="E2460" i="7"/>
  <c r="F2460" i="7"/>
  <c r="B2461" i="7"/>
  <c r="C2461" i="7"/>
  <c r="D2461" i="7"/>
  <c r="E2461" i="7"/>
  <c r="F2461" i="7"/>
  <c r="B2462" i="7"/>
  <c r="C2462" i="7"/>
  <c r="D2462" i="7"/>
  <c r="E2462" i="7"/>
  <c r="F2462" i="7"/>
  <c r="B2463" i="7"/>
  <c r="C2463" i="7"/>
  <c r="D2463" i="7"/>
  <c r="E2463" i="7"/>
  <c r="F2463" i="7"/>
  <c r="B2464" i="7"/>
  <c r="C2464" i="7"/>
  <c r="D2464" i="7"/>
  <c r="E2464" i="7"/>
  <c r="F2464" i="7"/>
  <c r="B2465" i="7"/>
  <c r="C2465" i="7"/>
  <c r="D2465" i="7"/>
  <c r="E2465" i="7"/>
  <c r="F2465" i="7"/>
  <c r="B2466" i="7"/>
  <c r="C2466" i="7"/>
  <c r="D2466" i="7"/>
  <c r="E2466" i="7"/>
  <c r="F2466" i="7"/>
  <c r="B2467" i="7"/>
  <c r="C2467" i="7"/>
  <c r="D2467" i="7"/>
  <c r="E2467" i="7"/>
  <c r="F2467" i="7"/>
  <c r="B2468" i="7"/>
  <c r="C2468" i="7"/>
  <c r="D2468" i="7"/>
  <c r="E2468" i="7"/>
  <c r="F2468" i="7"/>
  <c r="B2469" i="7"/>
  <c r="C2469" i="7"/>
  <c r="D2469" i="7"/>
  <c r="E2469" i="7"/>
  <c r="F2469" i="7"/>
  <c r="B2470" i="7"/>
  <c r="C2470" i="7"/>
  <c r="D2470" i="7"/>
  <c r="E2470" i="7"/>
  <c r="F2470" i="7"/>
  <c r="B2471" i="7"/>
  <c r="C2471" i="7"/>
  <c r="D2471" i="7"/>
  <c r="E2471" i="7"/>
  <c r="F2471" i="7"/>
  <c r="B2472" i="7"/>
  <c r="C2472" i="7"/>
  <c r="D2472" i="7"/>
  <c r="E2472" i="7"/>
  <c r="F2472" i="7"/>
  <c r="B2473" i="7"/>
  <c r="C2473" i="7"/>
  <c r="D2473" i="7"/>
  <c r="E2473" i="7"/>
  <c r="F2473" i="7"/>
  <c r="B2474" i="7"/>
  <c r="C2474" i="7"/>
  <c r="D2474" i="7"/>
  <c r="E2474" i="7"/>
  <c r="F2474" i="7"/>
  <c r="B2475" i="7"/>
  <c r="C2475" i="7"/>
  <c r="D2475" i="7"/>
  <c r="E2475" i="7"/>
  <c r="F2475" i="7"/>
  <c r="B2476" i="7"/>
  <c r="C2476" i="7"/>
  <c r="D2476" i="7"/>
  <c r="E2476" i="7"/>
  <c r="F2476" i="7"/>
  <c r="B2477" i="7"/>
  <c r="C2477" i="7"/>
  <c r="D2477" i="7"/>
  <c r="E2477" i="7"/>
  <c r="F2477" i="7"/>
  <c r="B2478" i="7"/>
  <c r="C2478" i="7"/>
  <c r="D2478" i="7"/>
  <c r="E2478" i="7"/>
  <c r="F2478" i="7"/>
  <c r="B2479" i="7"/>
  <c r="C2479" i="7"/>
  <c r="D2479" i="7"/>
  <c r="E2479" i="7"/>
  <c r="F2479" i="7"/>
  <c r="B2480" i="7"/>
  <c r="C2480" i="7"/>
  <c r="D2480" i="7"/>
  <c r="E2480" i="7"/>
  <c r="F2480" i="7"/>
  <c r="B2481" i="7"/>
  <c r="C2481" i="7"/>
  <c r="D2481" i="7"/>
  <c r="E2481" i="7"/>
  <c r="F2481" i="7"/>
  <c r="B2482" i="7"/>
  <c r="C2482" i="7"/>
  <c r="D2482" i="7"/>
  <c r="E2482" i="7"/>
  <c r="F2482" i="7"/>
  <c r="B2483" i="7"/>
  <c r="C2483" i="7"/>
  <c r="D2483" i="7"/>
  <c r="E2483" i="7"/>
  <c r="F2483" i="7"/>
  <c r="B2484" i="7"/>
  <c r="C2484" i="7"/>
  <c r="D2484" i="7"/>
  <c r="E2484" i="7"/>
  <c r="F2484" i="7"/>
  <c r="B2485" i="7"/>
  <c r="C2485" i="7"/>
  <c r="D2485" i="7"/>
  <c r="E2485" i="7"/>
  <c r="F2485" i="7"/>
  <c r="B2486" i="7"/>
  <c r="C2486" i="7"/>
  <c r="D2486" i="7"/>
  <c r="E2486" i="7"/>
  <c r="F2486" i="7"/>
  <c r="B2487" i="7"/>
  <c r="C2487" i="7"/>
  <c r="D2487" i="7"/>
  <c r="E2487" i="7"/>
  <c r="F2487" i="7"/>
  <c r="B2488" i="7"/>
  <c r="C2488" i="7"/>
  <c r="D2488" i="7"/>
  <c r="E2488" i="7"/>
  <c r="F2488" i="7"/>
  <c r="B2489" i="7"/>
  <c r="C2489" i="7"/>
  <c r="D2489" i="7"/>
  <c r="E2489" i="7"/>
  <c r="F2489" i="7"/>
  <c r="B2490" i="7"/>
  <c r="C2490" i="7"/>
  <c r="D2490" i="7"/>
  <c r="E2490" i="7"/>
  <c r="F2490" i="7"/>
  <c r="B2491" i="7"/>
  <c r="C2491" i="7"/>
  <c r="D2491" i="7"/>
  <c r="E2491" i="7"/>
  <c r="F2491" i="7"/>
  <c r="B2492" i="7"/>
  <c r="C2492" i="7"/>
  <c r="D2492" i="7"/>
  <c r="E2492" i="7"/>
  <c r="F2492" i="7"/>
  <c r="B2493" i="7"/>
  <c r="C2493" i="7"/>
  <c r="D2493" i="7"/>
  <c r="E2493" i="7"/>
  <c r="F2493" i="7"/>
  <c r="B2494" i="7"/>
  <c r="C2494" i="7"/>
  <c r="D2494" i="7"/>
  <c r="E2494" i="7"/>
  <c r="F2494" i="7"/>
  <c r="B2495" i="7"/>
  <c r="C2495" i="7"/>
  <c r="D2495" i="7"/>
  <c r="E2495" i="7"/>
  <c r="F2495" i="7"/>
  <c r="B2496" i="7"/>
  <c r="C2496" i="7"/>
  <c r="D2496" i="7"/>
  <c r="E2496" i="7"/>
  <c r="F2496" i="7"/>
  <c r="B2497" i="7"/>
  <c r="C2497" i="7"/>
  <c r="D2497" i="7"/>
  <c r="E2497" i="7"/>
  <c r="F2497" i="7"/>
  <c r="B2498" i="7"/>
  <c r="C2498" i="7"/>
  <c r="D2498" i="7"/>
  <c r="E2498" i="7"/>
  <c r="F2498" i="7"/>
  <c r="B2499" i="7"/>
  <c r="C2499" i="7"/>
  <c r="D2499" i="7"/>
  <c r="E2499" i="7"/>
  <c r="F2499" i="7"/>
  <c r="B2500" i="7"/>
  <c r="C2500" i="7"/>
  <c r="D2500" i="7"/>
  <c r="E2500" i="7"/>
  <c r="F2500" i="7"/>
  <c r="B2501" i="7"/>
  <c r="C2501" i="7"/>
  <c r="D2501" i="7"/>
  <c r="E2501" i="7"/>
  <c r="F2501" i="7"/>
  <c r="B2502" i="7"/>
  <c r="C2502" i="7"/>
  <c r="D2502" i="7"/>
  <c r="E2502" i="7"/>
  <c r="F2502" i="7"/>
  <c r="B2503" i="7"/>
  <c r="C2503" i="7"/>
  <c r="D2503" i="7"/>
  <c r="E2503" i="7"/>
  <c r="F2503" i="7"/>
  <c r="B2504" i="7"/>
  <c r="C2504" i="7"/>
  <c r="D2504" i="7"/>
  <c r="E2504" i="7"/>
  <c r="F2504" i="7"/>
  <c r="B2505" i="7"/>
  <c r="C2505" i="7"/>
  <c r="D2505" i="7"/>
  <c r="E2505" i="7"/>
  <c r="F2505" i="7"/>
  <c r="B2506" i="7"/>
  <c r="C2506" i="7"/>
  <c r="D2506" i="7"/>
  <c r="E2506" i="7"/>
  <c r="F2506" i="7"/>
  <c r="B2507" i="7"/>
  <c r="C2507" i="7"/>
  <c r="D2507" i="7"/>
  <c r="E2507" i="7"/>
  <c r="F2507" i="7"/>
  <c r="B2508" i="7"/>
  <c r="C2508" i="7"/>
  <c r="D2508" i="7"/>
  <c r="E2508" i="7"/>
  <c r="F2508" i="7"/>
  <c r="B2509" i="7"/>
  <c r="C2509" i="7"/>
  <c r="D2509" i="7"/>
  <c r="E2509" i="7"/>
  <c r="F2509" i="7"/>
  <c r="B2510" i="7"/>
  <c r="C2510" i="7"/>
  <c r="D2510" i="7"/>
  <c r="E2510" i="7"/>
  <c r="F2510" i="7"/>
  <c r="B2511" i="7"/>
  <c r="C2511" i="7"/>
  <c r="D2511" i="7"/>
  <c r="E2511" i="7"/>
  <c r="F2511" i="7"/>
  <c r="B2512" i="7"/>
  <c r="C2512" i="7"/>
  <c r="D2512" i="7"/>
  <c r="E2512" i="7"/>
  <c r="F2512" i="7"/>
  <c r="B2513" i="7"/>
  <c r="C2513" i="7"/>
  <c r="D2513" i="7"/>
  <c r="E2513" i="7"/>
  <c r="F2513" i="7"/>
  <c r="B2514" i="7"/>
  <c r="C2514" i="7"/>
  <c r="D2514" i="7"/>
  <c r="E2514" i="7"/>
  <c r="F2514" i="7"/>
  <c r="B2515" i="7"/>
  <c r="C2515" i="7"/>
  <c r="D2515" i="7"/>
  <c r="E2515" i="7"/>
  <c r="F2515" i="7"/>
  <c r="B2516" i="7"/>
  <c r="C2516" i="7"/>
  <c r="D2516" i="7"/>
  <c r="E2516" i="7"/>
  <c r="F2516" i="7"/>
  <c r="B2517" i="7"/>
  <c r="C2517" i="7"/>
  <c r="D2517" i="7"/>
  <c r="E2517" i="7"/>
  <c r="F2517" i="7"/>
  <c r="B2518" i="7"/>
  <c r="C2518" i="7"/>
  <c r="D2518" i="7"/>
  <c r="E2518" i="7"/>
  <c r="F2518" i="7"/>
  <c r="B2519" i="7"/>
  <c r="C2519" i="7"/>
  <c r="D2519" i="7"/>
  <c r="E2519" i="7"/>
  <c r="F2519" i="7"/>
  <c r="B2520" i="7"/>
  <c r="C2520" i="7"/>
  <c r="D2520" i="7"/>
  <c r="E2520" i="7"/>
  <c r="F2520" i="7"/>
  <c r="B2521" i="7"/>
  <c r="C2521" i="7"/>
  <c r="D2521" i="7"/>
  <c r="E2521" i="7"/>
  <c r="F2521" i="7"/>
  <c r="B2522" i="7"/>
  <c r="C2522" i="7"/>
  <c r="D2522" i="7"/>
  <c r="E2522" i="7"/>
  <c r="F2522" i="7"/>
  <c r="B2523" i="7"/>
  <c r="C2523" i="7"/>
  <c r="D2523" i="7"/>
  <c r="E2523" i="7"/>
  <c r="F2523" i="7"/>
  <c r="B2524" i="7"/>
  <c r="C2524" i="7"/>
  <c r="D2524" i="7"/>
  <c r="E2524" i="7"/>
  <c r="F2524" i="7"/>
  <c r="B2525" i="7"/>
  <c r="C2525" i="7"/>
  <c r="D2525" i="7"/>
  <c r="E2525" i="7"/>
  <c r="F2525" i="7"/>
  <c r="B2526" i="7"/>
  <c r="C2526" i="7"/>
  <c r="D2526" i="7"/>
  <c r="E2526" i="7"/>
  <c r="F2526" i="7"/>
  <c r="B2527" i="7"/>
  <c r="C2527" i="7"/>
  <c r="D2527" i="7"/>
  <c r="E2527" i="7"/>
  <c r="F2527" i="7"/>
  <c r="B2528" i="7"/>
  <c r="C2528" i="7"/>
  <c r="D2528" i="7"/>
  <c r="E2528" i="7"/>
  <c r="F2528" i="7"/>
  <c r="B2529" i="7"/>
  <c r="C2529" i="7"/>
  <c r="D2529" i="7"/>
  <c r="E2529" i="7"/>
  <c r="F2529" i="7"/>
  <c r="B2530" i="7"/>
  <c r="C2530" i="7"/>
  <c r="D2530" i="7"/>
  <c r="E2530" i="7"/>
  <c r="F2530" i="7"/>
  <c r="B2531" i="7"/>
  <c r="C2531" i="7"/>
  <c r="D2531" i="7"/>
  <c r="E2531" i="7"/>
  <c r="F2531" i="7"/>
  <c r="B2532" i="7"/>
  <c r="C2532" i="7"/>
  <c r="D2532" i="7"/>
  <c r="E2532" i="7"/>
  <c r="F2532" i="7"/>
  <c r="B2533" i="7"/>
  <c r="C2533" i="7"/>
  <c r="D2533" i="7"/>
  <c r="E2533" i="7"/>
  <c r="F2533" i="7"/>
  <c r="B2534" i="7"/>
  <c r="C2534" i="7"/>
  <c r="D2534" i="7"/>
  <c r="E2534" i="7"/>
  <c r="F2534" i="7"/>
  <c r="B2535" i="7"/>
  <c r="C2535" i="7"/>
  <c r="D2535" i="7"/>
  <c r="E2535" i="7"/>
  <c r="F2535" i="7"/>
  <c r="B2536" i="7"/>
  <c r="C2536" i="7"/>
  <c r="D2536" i="7"/>
  <c r="E2536" i="7"/>
  <c r="F2536" i="7"/>
  <c r="B2537" i="7"/>
  <c r="C2537" i="7"/>
  <c r="D2537" i="7"/>
  <c r="E2537" i="7"/>
  <c r="F2537" i="7"/>
  <c r="B2538" i="7"/>
  <c r="C2538" i="7"/>
  <c r="D2538" i="7"/>
  <c r="E2538" i="7"/>
  <c r="F2538" i="7"/>
  <c r="B2539" i="7"/>
  <c r="C2539" i="7"/>
  <c r="D2539" i="7"/>
  <c r="E2539" i="7"/>
  <c r="F2539" i="7"/>
  <c r="B2540" i="7"/>
  <c r="C2540" i="7"/>
  <c r="D2540" i="7"/>
  <c r="E2540" i="7"/>
  <c r="F2540" i="7"/>
  <c r="B2541" i="7"/>
  <c r="C2541" i="7"/>
  <c r="D2541" i="7"/>
  <c r="E2541" i="7"/>
  <c r="F2541" i="7"/>
  <c r="B2542" i="7"/>
  <c r="C2542" i="7"/>
  <c r="D2542" i="7"/>
  <c r="E2542" i="7"/>
  <c r="F2542" i="7"/>
  <c r="B2543" i="7"/>
  <c r="C2543" i="7"/>
  <c r="D2543" i="7"/>
  <c r="E2543" i="7"/>
  <c r="F2543" i="7"/>
  <c r="B2544" i="7"/>
  <c r="C2544" i="7"/>
  <c r="D2544" i="7"/>
  <c r="E2544" i="7"/>
  <c r="F2544" i="7"/>
  <c r="B2545" i="7"/>
  <c r="C2545" i="7"/>
  <c r="D2545" i="7"/>
  <c r="E2545" i="7"/>
  <c r="F2545" i="7"/>
  <c r="B2546" i="7"/>
  <c r="C2546" i="7"/>
  <c r="D2546" i="7"/>
  <c r="E2546" i="7"/>
  <c r="F2546" i="7"/>
  <c r="B2547" i="7"/>
  <c r="C2547" i="7"/>
  <c r="D2547" i="7"/>
  <c r="E2547" i="7"/>
  <c r="F2547" i="7"/>
  <c r="B2548" i="7"/>
  <c r="C2548" i="7"/>
  <c r="D2548" i="7"/>
  <c r="E2548" i="7"/>
  <c r="F2548" i="7"/>
  <c r="B2549" i="7"/>
  <c r="C2549" i="7"/>
  <c r="D2549" i="7"/>
  <c r="E2549" i="7"/>
  <c r="F2549" i="7"/>
  <c r="B2550" i="7"/>
  <c r="C2550" i="7"/>
  <c r="D2550" i="7"/>
  <c r="E2550" i="7"/>
  <c r="F2550" i="7"/>
  <c r="B2551" i="7"/>
  <c r="C2551" i="7"/>
  <c r="D2551" i="7"/>
  <c r="E2551" i="7"/>
  <c r="F2551" i="7"/>
  <c r="B2552" i="7"/>
  <c r="C2552" i="7"/>
  <c r="D2552" i="7"/>
  <c r="E2552" i="7"/>
  <c r="F2552" i="7"/>
  <c r="B2553" i="7"/>
  <c r="C2553" i="7"/>
  <c r="D2553" i="7"/>
  <c r="E2553" i="7"/>
  <c r="F2553" i="7"/>
  <c r="B2554" i="7"/>
  <c r="C2554" i="7"/>
  <c r="D2554" i="7"/>
  <c r="E2554" i="7"/>
  <c r="F2554" i="7"/>
  <c r="B2555" i="7"/>
  <c r="C2555" i="7"/>
  <c r="D2555" i="7"/>
  <c r="E2555" i="7"/>
  <c r="F2555" i="7"/>
  <c r="B2556" i="7"/>
  <c r="C2556" i="7"/>
  <c r="D2556" i="7"/>
  <c r="E2556" i="7"/>
  <c r="F2556" i="7"/>
  <c r="B2557" i="7"/>
  <c r="C2557" i="7"/>
  <c r="D2557" i="7"/>
  <c r="E2557" i="7"/>
  <c r="F2557" i="7"/>
  <c r="B2558" i="7"/>
  <c r="C2558" i="7"/>
  <c r="D2558" i="7"/>
  <c r="E2558" i="7"/>
  <c r="F2558" i="7"/>
  <c r="B2559" i="7"/>
  <c r="C2559" i="7"/>
  <c r="D2559" i="7"/>
  <c r="E2559" i="7"/>
  <c r="F2559" i="7"/>
  <c r="B2560" i="7"/>
  <c r="C2560" i="7"/>
  <c r="D2560" i="7"/>
  <c r="E2560" i="7"/>
  <c r="F2560" i="7"/>
  <c r="B2561" i="7"/>
  <c r="C2561" i="7"/>
  <c r="D2561" i="7"/>
  <c r="E2561" i="7"/>
  <c r="F2561" i="7"/>
  <c r="B2562" i="7"/>
  <c r="C2562" i="7"/>
  <c r="D2562" i="7"/>
  <c r="E2562" i="7"/>
  <c r="F2562" i="7"/>
  <c r="B2563" i="7"/>
  <c r="C2563" i="7"/>
  <c r="D2563" i="7"/>
  <c r="E2563" i="7"/>
  <c r="F2563" i="7"/>
  <c r="B2564" i="7"/>
  <c r="C2564" i="7"/>
  <c r="D2564" i="7"/>
  <c r="E2564" i="7"/>
  <c r="F2564" i="7"/>
  <c r="B2565" i="7"/>
  <c r="C2565" i="7"/>
  <c r="D2565" i="7"/>
  <c r="E2565" i="7"/>
  <c r="F2565" i="7"/>
  <c r="B2566" i="7"/>
  <c r="C2566" i="7"/>
  <c r="D2566" i="7"/>
  <c r="E2566" i="7"/>
  <c r="F2566" i="7"/>
  <c r="B2567" i="7"/>
  <c r="C2567" i="7"/>
  <c r="D2567" i="7"/>
  <c r="E2567" i="7"/>
  <c r="F2567" i="7"/>
  <c r="B2568" i="7"/>
  <c r="C2568" i="7"/>
  <c r="D2568" i="7"/>
  <c r="E2568" i="7"/>
  <c r="F2568" i="7"/>
  <c r="B2569" i="7"/>
  <c r="C2569" i="7"/>
  <c r="D2569" i="7"/>
  <c r="E2569" i="7"/>
  <c r="F2569" i="7"/>
  <c r="B2570" i="7"/>
  <c r="C2570" i="7"/>
  <c r="D2570" i="7"/>
  <c r="E2570" i="7"/>
  <c r="F2570" i="7"/>
  <c r="B2571" i="7"/>
  <c r="C2571" i="7"/>
  <c r="D2571" i="7"/>
  <c r="E2571" i="7"/>
  <c r="F2571" i="7"/>
  <c r="B2572" i="7"/>
  <c r="C2572" i="7"/>
  <c r="D2572" i="7"/>
  <c r="E2572" i="7"/>
  <c r="F2572" i="7"/>
  <c r="B2573" i="7"/>
  <c r="C2573" i="7"/>
  <c r="D2573" i="7"/>
  <c r="E2573" i="7"/>
  <c r="F2573" i="7"/>
  <c r="B2574" i="7"/>
  <c r="C2574" i="7"/>
  <c r="D2574" i="7"/>
  <c r="E2574" i="7"/>
  <c r="F2574" i="7"/>
  <c r="B2575" i="7"/>
  <c r="C2575" i="7"/>
  <c r="D2575" i="7"/>
  <c r="E2575" i="7"/>
  <c r="F2575" i="7"/>
  <c r="B2576" i="7"/>
  <c r="C2576" i="7"/>
  <c r="D2576" i="7"/>
  <c r="E2576" i="7"/>
  <c r="F2576" i="7"/>
  <c r="B2577" i="7"/>
  <c r="C2577" i="7"/>
  <c r="D2577" i="7"/>
  <c r="E2577" i="7"/>
  <c r="F2577" i="7"/>
  <c r="B2578" i="7"/>
  <c r="C2578" i="7"/>
  <c r="D2578" i="7"/>
  <c r="E2578" i="7"/>
  <c r="F2578" i="7"/>
  <c r="B2579" i="7"/>
  <c r="C2579" i="7"/>
  <c r="D2579" i="7"/>
  <c r="E2579" i="7"/>
  <c r="F2579" i="7"/>
  <c r="B2580" i="7"/>
  <c r="C2580" i="7"/>
  <c r="D2580" i="7"/>
  <c r="E2580" i="7"/>
  <c r="F2580" i="7"/>
  <c r="B2581" i="7"/>
  <c r="C2581" i="7"/>
  <c r="D2581" i="7"/>
  <c r="E2581" i="7"/>
  <c r="F2581" i="7"/>
  <c r="B2582" i="7"/>
  <c r="C2582" i="7"/>
  <c r="D2582" i="7"/>
  <c r="E2582" i="7"/>
  <c r="F2582" i="7"/>
  <c r="B2583" i="7"/>
  <c r="C2583" i="7"/>
  <c r="D2583" i="7"/>
  <c r="E2583" i="7"/>
  <c r="F2583" i="7"/>
  <c r="B2584" i="7"/>
  <c r="C2584" i="7"/>
  <c r="D2584" i="7"/>
  <c r="E2584" i="7"/>
  <c r="F2584" i="7"/>
  <c r="B2585" i="7"/>
  <c r="C2585" i="7"/>
  <c r="D2585" i="7"/>
  <c r="E2585" i="7"/>
  <c r="F2585" i="7"/>
  <c r="B2586" i="7"/>
  <c r="C2586" i="7"/>
  <c r="D2586" i="7"/>
  <c r="E2586" i="7"/>
  <c r="F2586" i="7"/>
  <c r="B2587" i="7"/>
  <c r="C2587" i="7"/>
  <c r="D2587" i="7"/>
  <c r="E2587" i="7"/>
  <c r="F2587" i="7"/>
  <c r="B2588" i="7"/>
  <c r="C2588" i="7"/>
  <c r="D2588" i="7"/>
  <c r="E2588" i="7"/>
  <c r="F2588" i="7"/>
  <c r="B2589" i="7"/>
  <c r="C2589" i="7"/>
  <c r="D2589" i="7"/>
  <c r="E2589" i="7"/>
  <c r="F2589" i="7"/>
  <c r="B2590" i="7"/>
  <c r="C2590" i="7"/>
  <c r="D2590" i="7"/>
  <c r="E2590" i="7"/>
  <c r="F2590" i="7"/>
  <c r="B2591" i="7"/>
  <c r="C2591" i="7"/>
  <c r="D2591" i="7"/>
  <c r="E2591" i="7"/>
  <c r="F2591" i="7"/>
  <c r="B2592" i="7"/>
  <c r="C2592" i="7"/>
  <c r="D2592" i="7"/>
  <c r="E2592" i="7"/>
  <c r="F2592" i="7"/>
  <c r="B2593" i="7"/>
  <c r="C2593" i="7"/>
  <c r="D2593" i="7"/>
  <c r="E2593" i="7"/>
  <c r="F2593" i="7"/>
  <c r="B2594" i="7"/>
  <c r="C2594" i="7"/>
  <c r="D2594" i="7"/>
  <c r="E2594" i="7"/>
  <c r="F2594" i="7"/>
  <c r="B2595" i="7"/>
  <c r="C2595" i="7"/>
  <c r="D2595" i="7"/>
  <c r="E2595" i="7"/>
  <c r="F2595" i="7"/>
  <c r="B2596" i="7"/>
  <c r="C2596" i="7"/>
  <c r="D2596" i="7"/>
  <c r="E2596" i="7"/>
  <c r="F2596" i="7"/>
  <c r="B2597" i="7"/>
  <c r="C2597" i="7"/>
  <c r="D2597" i="7"/>
  <c r="E2597" i="7"/>
  <c r="F2597" i="7"/>
  <c r="B2598" i="7"/>
  <c r="C2598" i="7"/>
  <c r="D2598" i="7"/>
  <c r="E2598" i="7"/>
  <c r="F2598" i="7"/>
  <c r="B2599" i="7"/>
  <c r="C2599" i="7"/>
  <c r="D2599" i="7"/>
  <c r="E2599" i="7"/>
  <c r="F2599" i="7"/>
  <c r="B2600" i="7"/>
  <c r="C2600" i="7"/>
  <c r="D2600" i="7"/>
  <c r="E2600" i="7"/>
  <c r="F2600" i="7"/>
  <c r="B2601" i="7"/>
  <c r="C2601" i="7"/>
  <c r="D2601" i="7"/>
  <c r="E2601" i="7"/>
  <c r="F2601" i="7"/>
  <c r="B2602" i="7"/>
  <c r="C2602" i="7"/>
  <c r="D2602" i="7"/>
  <c r="E2602" i="7"/>
  <c r="F2602" i="7"/>
  <c r="B2603" i="7"/>
  <c r="C2603" i="7"/>
  <c r="D2603" i="7"/>
  <c r="E2603" i="7"/>
  <c r="F2603" i="7"/>
  <c r="B2604" i="7"/>
  <c r="C2604" i="7"/>
  <c r="D2604" i="7"/>
  <c r="E2604" i="7"/>
  <c r="F2604" i="7"/>
  <c r="B2605" i="7"/>
  <c r="C2605" i="7"/>
  <c r="D2605" i="7"/>
  <c r="E2605" i="7"/>
  <c r="F2605" i="7"/>
  <c r="B2606" i="7"/>
  <c r="C2606" i="7"/>
  <c r="D2606" i="7"/>
  <c r="E2606" i="7"/>
  <c r="F2606" i="7"/>
  <c r="B2607" i="7"/>
  <c r="C2607" i="7"/>
  <c r="D2607" i="7"/>
  <c r="E2607" i="7"/>
  <c r="F2607" i="7"/>
  <c r="B2608" i="7"/>
  <c r="C2608" i="7"/>
  <c r="D2608" i="7"/>
  <c r="E2608" i="7"/>
  <c r="F2608" i="7"/>
  <c r="B2609" i="7"/>
  <c r="C2609" i="7"/>
  <c r="D2609" i="7"/>
  <c r="E2609" i="7"/>
  <c r="F2609" i="7"/>
  <c r="B2610" i="7"/>
  <c r="C2610" i="7"/>
  <c r="D2610" i="7"/>
  <c r="E2610" i="7"/>
  <c r="F2610" i="7"/>
  <c r="B2611" i="7"/>
  <c r="C2611" i="7"/>
  <c r="D2611" i="7"/>
  <c r="E2611" i="7"/>
  <c r="F2611" i="7"/>
  <c r="B2612" i="7"/>
  <c r="C2612" i="7"/>
  <c r="D2612" i="7"/>
  <c r="E2612" i="7"/>
  <c r="F2612" i="7"/>
  <c r="B2613" i="7"/>
  <c r="C2613" i="7"/>
  <c r="D2613" i="7"/>
  <c r="E2613" i="7"/>
  <c r="F2613" i="7"/>
  <c r="B2614" i="7"/>
  <c r="C2614" i="7"/>
  <c r="D2614" i="7"/>
  <c r="E2614" i="7"/>
  <c r="F2614" i="7"/>
  <c r="B2615" i="7"/>
  <c r="C2615" i="7"/>
  <c r="D2615" i="7"/>
  <c r="E2615" i="7"/>
  <c r="F2615" i="7"/>
  <c r="B2616" i="7"/>
  <c r="C2616" i="7"/>
  <c r="D2616" i="7"/>
  <c r="E2616" i="7"/>
  <c r="F2616" i="7"/>
  <c r="B2617" i="7"/>
  <c r="C2617" i="7"/>
  <c r="D2617" i="7"/>
  <c r="E2617" i="7"/>
  <c r="F2617" i="7"/>
  <c r="B2618" i="7"/>
  <c r="C2618" i="7"/>
  <c r="D2618" i="7"/>
  <c r="E2618" i="7"/>
  <c r="F2618" i="7"/>
  <c r="B2619" i="7"/>
  <c r="C2619" i="7"/>
  <c r="D2619" i="7"/>
  <c r="E2619" i="7"/>
  <c r="F2619" i="7"/>
  <c r="B2620" i="7"/>
  <c r="C2620" i="7"/>
  <c r="D2620" i="7"/>
  <c r="E2620" i="7"/>
  <c r="F2620" i="7"/>
  <c r="B2621" i="7"/>
  <c r="C2621" i="7"/>
  <c r="D2621" i="7"/>
  <c r="E2621" i="7"/>
  <c r="F2621" i="7"/>
  <c r="B2622" i="7"/>
  <c r="C2622" i="7"/>
  <c r="D2622" i="7"/>
  <c r="E2622" i="7"/>
  <c r="F2622" i="7"/>
  <c r="B2623" i="7"/>
  <c r="C2623" i="7"/>
  <c r="D2623" i="7"/>
  <c r="E2623" i="7"/>
  <c r="F2623" i="7"/>
  <c r="B2624" i="7"/>
  <c r="C2624" i="7"/>
  <c r="D2624" i="7"/>
  <c r="E2624" i="7"/>
  <c r="F2624" i="7"/>
  <c r="B2625" i="7"/>
  <c r="C2625" i="7"/>
  <c r="D2625" i="7"/>
  <c r="E2625" i="7"/>
  <c r="F2625" i="7"/>
  <c r="B2626" i="7"/>
  <c r="C2626" i="7"/>
  <c r="D2626" i="7"/>
  <c r="E2626" i="7"/>
  <c r="F2626" i="7"/>
  <c r="B2627" i="7"/>
  <c r="C2627" i="7"/>
  <c r="D2627" i="7"/>
  <c r="E2627" i="7"/>
  <c r="F2627" i="7"/>
  <c r="B2628" i="7"/>
  <c r="C2628" i="7"/>
  <c r="D2628" i="7"/>
  <c r="E2628" i="7"/>
  <c r="F2628" i="7"/>
  <c r="B2629" i="7"/>
  <c r="C2629" i="7"/>
  <c r="D2629" i="7"/>
  <c r="E2629" i="7"/>
  <c r="F2629" i="7"/>
  <c r="B2630" i="7"/>
  <c r="C2630" i="7"/>
  <c r="D2630" i="7"/>
  <c r="E2630" i="7"/>
  <c r="F2630" i="7"/>
  <c r="B2631" i="7"/>
  <c r="C2631" i="7"/>
  <c r="D2631" i="7"/>
  <c r="E2631" i="7"/>
  <c r="F2631" i="7"/>
  <c r="B2632" i="7"/>
  <c r="C2632" i="7"/>
  <c r="D2632" i="7"/>
  <c r="E2632" i="7"/>
  <c r="F2632" i="7"/>
  <c r="B2633" i="7"/>
  <c r="C2633" i="7"/>
  <c r="D2633" i="7"/>
  <c r="E2633" i="7"/>
  <c r="F2633" i="7"/>
  <c r="B2634" i="7"/>
  <c r="C2634" i="7"/>
  <c r="D2634" i="7"/>
  <c r="E2634" i="7"/>
  <c r="F2634" i="7"/>
  <c r="B2635" i="7"/>
  <c r="C2635" i="7"/>
  <c r="D2635" i="7"/>
  <c r="E2635" i="7"/>
  <c r="F2635" i="7"/>
  <c r="B2636" i="7"/>
  <c r="C2636" i="7"/>
  <c r="D2636" i="7"/>
  <c r="E2636" i="7"/>
  <c r="F2636" i="7"/>
  <c r="B2637" i="7"/>
  <c r="C2637" i="7"/>
  <c r="D2637" i="7"/>
  <c r="E2637" i="7"/>
  <c r="F2637" i="7"/>
  <c r="B2638" i="7"/>
  <c r="C2638" i="7"/>
  <c r="D2638" i="7"/>
  <c r="E2638" i="7"/>
  <c r="F2638" i="7"/>
  <c r="B2639" i="7"/>
  <c r="C2639" i="7"/>
  <c r="D2639" i="7"/>
  <c r="E2639" i="7"/>
  <c r="F2639" i="7"/>
  <c r="B2640" i="7"/>
  <c r="C2640" i="7"/>
  <c r="D2640" i="7"/>
  <c r="E2640" i="7"/>
  <c r="F2640" i="7"/>
  <c r="B2641" i="7"/>
  <c r="C2641" i="7"/>
  <c r="D2641" i="7"/>
  <c r="E2641" i="7"/>
  <c r="F2641" i="7"/>
  <c r="B2642" i="7"/>
  <c r="C2642" i="7"/>
  <c r="D2642" i="7"/>
  <c r="E2642" i="7"/>
  <c r="F2642" i="7"/>
  <c r="B2643" i="7"/>
  <c r="C2643" i="7"/>
  <c r="D2643" i="7"/>
  <c r="E2643" i="7"/>
  <c r="F2643" i="7"/>
  <c r="B2644" i="7"/>
  <c r="C2644" i="7"/>
  <c r="D2644" i="7"/>
  <c r="E2644" i="7"/>
  <c r="F2644" i="7"/>
  <c r="B2645" i="7"/>
  <c r="C2645" i="7"/>
  <c r="D2645" i="7"/>
  <c r="E2645" i="7"/>
  <c r="F2645" i="7"/>
  <c r="B2646" i="7"/>
  <c r="C2646" i="7"/>
  <c r="D2646" i="7"/>
  <c r="E2646" i="7"/>
  <c r="F2646" i="7"/>
  <c r="B2647" i="7"/>
  <c r="C2647" i="7"/>
  <c r="D2647" i="7"/>
  <c r="E2647" i="7"/>
  <c r="F2647" i="7"/>
  <c r="B2648" i="7"/>
  <c r="C2648" i="7"/>
  <c r="D2648" i="7"/>
  <c r="E2648" i="7"/>
  <c r="F2648" i="7"/>
  <c r="B2649" i="7"/>
  <c r="C2649" i="7"/>
  <c r="D2649" i="7"/>
  <c r="E2649" i="7"/>
  <c r="F2649" i="7"/>
  <c r="B2650" i="7"/>
  <c r="C2650" i="7"/>
  <c r="D2650" i="7"/>
  <c r="E2650" i="7"/>
  <c r="F2650" i="7"/>
  <c r="B2651" i="7"/>
  <c r="C2651" i="7"/>
  <c r="D2651" i="7"/>
  <c r="E2651" i="7"/>
  <c r="F2651" i="7"/>
  <c r="B2652" i="7"/>
  <c r="C2652" i="7"/>
  <c r="D2652" i="7"/>
  <c r="E2652" i="7"/>
  <c r="F2652" i="7"/>
  <c r="B2653" i="7"/>
  <c r="C2653" i="7"/>
  <c r="D2653" i="7"/>
  <c r="E2653" i="7"/>
  <c r="F2653" i="7"/>
  <c r="B2654" i="7"/>
  <c r="C2654" i="7"/>
  <c r="D2654" i="7"/>
  <c r="E2654" i="7"/>
  <c r="F2654" i="7"/>
  <c r="B2655" i="7"/>
  <c r="C2655" i="7"/>
  <c r="D2655" i="7"/>
  <c r="E2655" i="7"/>
  <c r="F2655" i="7"/>
  <c r="B2656" i="7"/>
  <c r="C2656" i="7"/>
  <c r="D2656" i="7"/>
  <c r="E2656" i="7"/>
  <c r="F2656" i="7"/>
  <c r="B2657" i="7"/>
  <c r="C2657" i="7"/>
  <c r="D2657" i="7"/>
  <c r="E2657" i="7"/>
  <c r="F2657" i="7"/>
  <c r="B2658" i="7"/>
  <c r="C2658" i="7"/>
  <c r="D2658" i="7"/>
  <c r="E2658" i="7"/>
  <c r="F2658" i="7"/>
  <c r="B2659" i="7"/>
  <c r="C2659" i="7"/>
  <c r="D2659" i="7"/>
  <c r="E2659" i="7"/>
  <c r="F2659" i="7"/>
  <c r="B2660" i="7"/>
  <c r="C2660" i="7"/>
  <c r="D2660" i="7"/>
  <c r="E2660" i="7"/>
  <c r="F2660" i="7"/>
  <c r="B2661" i="7"/>
  <c r="C2661" i="7"/>
  <c r="D2661" i="7"/>
  <c r="E2661" i="7"/>
  <c r="F2661" i="7"/>
  <c r="B2662" i="7"/>
  <c r="C2662" i="7"/>
  <c r="D2662" i="7"/>
  <c r="E2662" i="7"/>
  <c r="F2662" i="7"/>
  <c r="B2663" i="7"/>
  <c r="C2663" i="7"/>
  <c r="D2663" i="7"/>
  <c r="E2663" i="7"/>
  <c r="F2663" i="7"/>
  <c r="B2664" i="7"/>
  <c r="C2664" i="7"/>
  <c r="D2664" i="7"/>
  <c r="E2664" i="7"/>
  <c r="F2664" i="7"/>
  <c r="B2665" i="7"/>
  <c r="C2665" i="7"/>
  <c r="D2665" i="7"/>
  <c r="E2665" i="7"/>
  <c r="F2665" i="7"/>
  <c r="B2666" i="7"/>
  <c r="C2666" i="7"/>
  <c r="D2666" i="7"/>
  <c r="E2666" i="7"/>
  <c r="F2666" i="7"/>
  <c r="B2667" i="7"/>
  <c r="C2667" i="7"/>
  <c r="D2667" i="7"/>
  <c r="E2667" i="7"/>
  <c r="F2667" i="7"/>
  <c r="B2668" i="7"/>
  <c r="C2668" i="7"/>
  <c r="D2668" i="7"/>
  <c r="E2668" i="7"/>
  <c r="F2668" i="7"/>
  <c r="B2669" i="7"/>
  <c r="C2669" i="7"/>
  <c r="D2669" i="7"/>
  <c r="E2669" i="7"/>
  <c r="F2669" i="7"/>
  <c r="B2670" i="7"/>
  <c r="C2670" i="7"/>
  <c r="D2670" i="7"/>
  <c r="E2670" i="7"/>
  <c r="F2670" i="7"/>
  <c r="B2671" i="7"/>
  <c r="C2671" i="7"/>
  <c r="D2671" i="7"/>
  <c r="E2671" i="7"/>
  <c r="F2671" i="7"/>
  <c r="B2672" i="7"/>
  <c r="C2672" i="7"/>
  <c r="D2672" i="7"/>
  <c r="E2672" i="7"/>
  <c r="F2672" i="7"/>
  <c r="B2673" i="7"/>
  <c r="C2673" i="7"/>
  <c r="D2673" i="7"/>
  <c r="E2673" i="7"/>
  <c r="F2673" i="7"/>
  <c r="B2674" i="7"/>
  <c r="C2674" i="7"/>
  <c r="D2674" i="7"/>
  <c r="E2674" i="7"/>
  <c r="F2674" i="7"/>
  <c r="B2675" i="7"/>
  <c r="C2675" i="7"/>
  <c r="D2675" i="7"/>
  <c r="E2675" i="7"/>
  <c r="F2675" i="7"/>
  <c r="B2676" i="7"/>
  <c r="C2676" i="7"/>
  <c r="D2676" i="7"/>
  <c r="E2676" i="7"/>
  <c r="F2676" i="7"/>
  <c r="B2677" i="7"/>
  <c r="C2677" i="7"/>
  <c r="D2677" i="7"/>
  <c r="E2677" i="7"/>
  <c r="F2677" i="7"/>
  <c r="B2678" i="7"/>
  <c r="C2678" i="7"/>
  <c r="D2678" i="7"/>
  <c r="E2678" i="7"/>
  <c r="F2678" i="7"/>
  <c r="B2679" i="7"/>
  <c r="C2679" i="7"/>
  <c r="D2679" i="7"/>
  <c r="E2679" i="7"/>
  <c r="F2679" i="7"/>
  <c r="B2680" i="7"/>
  <c r="C2680" i="7"/>
  <c r="D2680" i="7"/>
  <c r="E2680" i="7"/>
  <c r="F2680" i="7"/>
  <c r="B2681" i="7"/>
  <c r="C2681" i="7"/>
  <c r="D2681" i="7"/>
  <c r="E2681" i="7"/>
  <c r="F2681" i="7"/>
  <c r="B2682" i="7"/>
  <c r="C2682" i="7"/>
  <c r="D2682" i="7"/>
  <c r="E2682" i="7"/>
  <c r="F2682" i="7"/>
  <c r="B2683" i="7"/>
  <c r="C2683" i="7"/>
  <c r="D2683" i="7"/>
  <c r="E2683" i="7"/>
  <c r="F2683" i="7"/>
  <c r="B2684" i="7"/>
  <c r="C2684" i="7"/>
  <c r="D2684" i="7"/>
  <c r="E2684" i="7"/>
  <c r="F2684" i="7"/>
  <c r="B2685" i="7"/>
  <c r="C2685" i="7"/>
  <c r="D2685" i="7"/>
  <c r="E2685" i="7"/>
  <c r="F2685" i="7"/>
  <c r="B2686" i="7"/>
  <c r="C2686" i="7"/>
  <c r="D2686" i="7"/>
  <c r="E2686" i="7"/>
  <c r="F2686" i="7"/>
  <c r="B2687" i="7"/>
  <c r="C2687" i="7"/>
  <c r="D2687" i="7"/>
  <c r="E2687" i="7"/>
  <c r="F2687" i="7"/>
  <c r="B2688" i="7"/>
  <c r="C2688" i="7"/>
  <c r="D2688" i="7"/>
  <c r="E2688" i="7"/>
  <c r="F2688" i="7"/>
  <c r="B2689" i="7"/>
  <c r="C2689" i="7"/>
  <c r="D2689" i="7"/>
  <c r="E2689" i="7"/>
  <c r="F2689" i="7"/>
  <c r="B2690" i="7"/>
  <c r="C2690" i="7"/>
  <c r="D2690" i="7"/>
  <c r="E2690" i="7"/>
  <c r="F2690" i="7"/>
  <c r="B2691" i="7"/>
  <c r="C2691" i="7"/>
  <c r="D2691" i="7"/>
  <c r="E2691" i="7"/>
  <c r="F2691" i="7"/>
  <c r="B2692" i="7"/>
  <c r="C2692" i="7"/>
  <c r="D2692" i="7"/>
  <c r="E2692" i="7"/>
  <c r="F2692" i="7"/>
  <c r="B2693" i="7"/>
  <c r="C2693" i="7"/>
  <c r="D2693" i="7"/>
  <c r="E2693" i="7"/>
  <c r="F2693" i="7"/>
  <c r="B2694" i="7"/>
  <c r="C2694" i="7"/>
  <c r="D2694" i="7"/>
  <c r="E2694" i="7"/>
  <c r="F2694" i="7"/>
  <c r="B2695" i="7"/>
  <c r="C2695" i="7"/>
  <c r="D2695" i="7"/>
  <c r="E2695" i="7"/>
  <c r="F2695" i="7"/>
  <c r="B2696" i="7"/>
  <c r="C2696" i="7"/>
  <c r="D2696" i="7"/>
  <c r="E2696" i="7"/>
  <c r="F2696" i="7"/>
  <c r="B2697" i="7"/>
  <c r="C2697" i="7"/>
  <c r="D2697" i="7"/>
  <c r="E2697" i="7"/>
  <c r="F2697" i="7"/>
  <c r="B2698" i="7"/>
  <c r="C2698" i="7"/>
  <c r="D2698" i="7"/>
  <c r="E2698" i="7"/>
  <c r="F2698" i="7"/>
  <c r="B2699" i="7"/>
  <c r="C2699" i="7"/>
  <c r="D2699" i="7"/>
  <c r="E2699" i="7"/>
  <c r="F2699" i="7"/>
  <c r="B2700" i="7"/>
  <c r="C2700" i="7"/>
  <c r="D2700" i="7"/>
  <c r="E2700" i="7"/>
  <c r="F2700" i="7"/>
  <c r="B2701" i="7"/>
  <c r="C2701" i="7"/>
  <c r="D2701" i="7"/>
  <c r="E2701" i="7"/>
  <c r="F2701" i="7"/>
  <c r="B2702" i="7"/>
  <c r="C2702" i="7"/>
  <c r="D2702" i="7"/>
  <c r="E2702" i="7"/>
  <c r="F2702" i="7"/>
  <c r="B2703" i="7"/>
  <c r="C2703" i="7"/>
  <c r="D2703" i="7"/>
  <c r="E2703" i="7"/>
  <c r="F2703" i="7"/>
  <c r="B2704" i="7"/>
  <c r="C2704" i="7"/>
  <c r="D2704" i="7"/>
  <c r="E2704" i="7"/>
  <c r="F2704" i="7"/>
  <c r="B2705" i="7"/>
  <c r="C2705" i="7"/>
  <c r="D2705" i="7"/>
  <c r="E2705" i="7"/>
  <c r="F2705" i="7"/>
  <c r="B2706" i="7"/>
  <c r="C2706" i="7"/>
  <c r="D2706" i="7"/>
  <c r="E2706" i="7"/>
  <c r="F2706" i="7"/>
  <c r="B2707" i="7"/>
  <c r="C2707" i="7"/>
  <c r="D2707" i="7"/>
  <c r="E2707" i="7"/>
  <c r="F2707" i="7"/>
  <c r="H2707" i="7"/>
  <c r="I2707" i="7"/>
  <c r="J2707" i="7"/>
  <c r="K2707" i="7"/>
  <c r="L2707" i="7"/>
  <c r="M2707" i="7"/>
  <c r="N2707" i="7"/>
  <c r="O2707" i="7"/>
  <c r="B2708" i="7"/>
  <c r="C2708" i="7"/>
  <c r="D2708" i="7"/>
  <c r="E2708" i="7"/>
  <c r="F2708" i="7"/>
  <c r="H2708" i="7"/>
  <c r="I2708" i="7"/>
  <c r="J2708" i="7"/>
  <c r="K2708" i="7"/>
  <c r="L2708" i="7"/>
  <c r="M2708" i="7"/>
  <c r="N2708" i="7"/>
  <c r="O2708" i="7"/>
  <c r="B2709" i="7"/>
  <c r="C2709" i="7"/>
  <c r="D2709" i="7"/>
  <c r="E2709" i="7"/>
  <c r="F2709" i="7"/>
  <c r="H2709" i="7"/>
  <c r="I2709" i="7"/>
  <c r="J2709" i="7"/>
  <c r="K2709" i="7"/>
  <c r="L2709" i="7"/>
  <c r="M2709" i="7"/>
  <c r="N2709" i="7"/>
  <c r="O2709" i="7"/>
  <c r="B2710" i="7"/>
  <c r="C2710" i="7"/>
  <c r="D2710" i="7"/>
  <c r="E2710" i="7"/>
  <c r="F2710" i="7"/>
  <c r="H2710" i="7"/>
  <c r="I2710" i="7"/>
  <c r="J2710" i="7"/>
  <c r="K2710" i="7"/>
  <c r="L2710" i="7"/>
  <c r="M2710" i="7"/>
  <c r="N2710" i="7"/>
  <c r="O2710" i="7"/>
  <c r="B2711" i="7"/>
  <c r="C2711" i="7"/>
  <c r="D2711" i="7"/>
  <c r="E2711" i="7"/>
  <c r="F2711" i="7"/>
  <c r="H2711" i="7"/>
  <c r="I2711" i="7"/>
  <c r="J2711" i="7"/>
  <c r="K2711" i="7"/>
  <c r="L2711" i="7"/>
  <c r="M2711" i="7"/>
  <c r="N2711" i="7"/>
  <c r="O2711" i="7"/>
  <c r="B2712" i="7"/>
  <c r="C2712" i="7"/>
  <c r="D2712" i="7"/>
  <c r="E2712" i="7"/>
  <c r="F2712" i="7"/>
  <c r="H2712" i="7"/>
  <c r="I2712" i="7"/>
  <c r="J2712" i="7"/>
  <c r="K2712" i="7"/>
  <c r="L2712" i="7"/>
  <c r="M2712" i="7"/>
  <c r="N2712" i="7"/>
  <c r="O2712" i="7"/>
  <c r="B2713" i="7"/>
  <c r="C2713" i="7"/>
  <c r="D2713" i="7"/>
  <c r="E2713" i="7"/>
  <c r="F2713" i="7"/>
  <c r="H2713" i="7"/>
  <c r="I2713" i="7"/>
  <c r="J2713" i="7"/>
  <c r="K2713" i="7"/>
  <c r="L2713" i="7"/>
  <c r="M2713" i="7"/>
  <c r="N2713" i="7"/>
  <c r="O2713" i="7"/>
  <c r="B2714" i="7"/>
  <c r="C2714" i="7"/>
  <c r="D2714" i="7"/>
  <c r="E2714" i="7"/>
  <c r="F2714" i="7"/>
  <c r="H2714" i="7"/>
  <c r="I2714" i="7"/>
  <c r="J2714" i="7"/>
  <c r="K2714" i="7"/>
  <c r="L2714" i="7"/>
  <c r="M2714" i="7"/>
  <c r="N2714" i="7"/>
  <c r="O2714" i="7"/>
  <c r="B2715" i="7"/>
  <c r="C2715" i="7"/>
  <c r="D2715" i="7"/>
  <c r="E2715" i="7"/>
  <c r="F2715" i="7"/>
  <c r="H2715" i="7"/>
  <c r="I2715" i="7"/>
  <c r="J2715" i="7"/>
  <c r="K2715" i="7"/>
  <c r="L2715" i="7"/>
  <c r="M2715" i="7"/>
  <c r="N2715" i="7"/>
  <c r="O2715" i="7"/>
  <c r="B2716" i="7"/>
  <c r="C2716" i="7"/>
  <c r="D2716" i="7"/>
  <c r="E2716" i="7"/>
  <c r="F2716" i="7"/>
  <c r="H2716" i="7"/>
  <c r="I2716" i="7"/>
  <c r="J2716" i="7"/>
  <c r="K2716" i="7"/>
  <c r="L2716" i="7"/>
  <c r="M2716" i="7"/>
  <c r="N2716" i="7"/>
  <c r="O2716" i="7"/>
  <c r="B2717" i="7"/>
  <c r="C2717" i="7"/>
  <c r="D2717" i="7"/>
  <c r="E2717" i="7"/>
  <c r="F2717" i="7"/>
  <c r="H2717" i="7"/>
  <c r="I2717" i="7"/>
  <c r="J2717" i="7"/>
  <c r="K2717" i="7"/>
  <c r="L2717" i="7"/>
  <c r="M2717" i="7"/>
  <c r="N2717" i="7"/>
  <c r="O2717" i="7"/>
  <c r="B2718" i="7"/>
  <c r="C2718" i="7"/>
  <c r="D2718" i="7"/>
  <c r="E2718" i="7"/>
  <c r="F2718" i="7"/>
  <c r="H2718" i="7"/>
  <c r="I2718" i="7"/>
  <c r="J2718" i="7"/>
  <c r="K2718" i="7"/>
  <c r="L2718" i="7"/>
  <c r="M2718" i="7"/>
  <c r="N2718" i="7"/>
  <c r="O2718" i="7"/>
  <c r="B2719" i="7"/>
  <c r="C2719" i="7"/>
  <c r="D2719" i="7"/>
  <c r="E2719" i="7"/>
  <c r="F2719" i="7"/>
  <c r="H2719" i="7"/>
  <c r="I2719" i="7"/>
  <c r="J2719" i="7"/>
  <c r="K2719" i="7"/>
  <c r="L2719" i="7"/>
  <c r="M2719" i="7"/>
  <c r="N2719" i="7"/>
  <c r="O2719" i="7"/>
  <c r="B2720" i="7"/>
  <c r="C2720" i="7"/>
  <c r="D2720" i="7"/>
  <c r="E2720" i="7"/>
  <c r="F2720" i="7"/>
  <c r="H2720" i="7"/>
  <c r="I2720" i="7"/>
  <c r="J2720" i="7"/>
  <c r="K2720" i="7"/>
  <c r="L2720" i="7"/>
  <c r="M2720" i="7"/>
  <c r="N2720" i="7"/>
  <c r="O2720" i="7"/>
  <c r="B2721" i="7"/>
  <c r="C2721" i="7"/>
  <c r="D2721" i="7"/>
  <c r="E2721" i="7"/>
  <c r="F2721" i="7"/>
  <c r="H2721" i="7"/>
  <c r="I2721" i="7"/>
  <c r="J2721" i="7"/>
  <c r="K2721" i="7"/>
  <c r="L2721" i="7"/>
  <c r="M2721" i="7"/>
  <c r="N2721" i="7"/>
  <c r="O2721" i="7"/>
  <c r="B2722" i="7"/>
  <c r="C2722" i="7"/>
  <c r="D2722" i="7"/>
  <c r="E2722" i="7"/>
  <c r="F2722" i="7"/>
  <c r="H2722" i="7"/>
  <c r="I2722" i="7"/>
  <c r="J2722" i="7"/>
  <c r="K2722" i="7"/>
  <c r="L2722" i="7"/>
  <c r="M2722" i="7"/>
  <c r="N2722" i="7"/>
  <c r="O2722" i="7"/>
  <c r="B2723" i="7"/>
  <c r="C2723" i="7"/>
  <c r="D2723" i="7"/>
  <c r="E2723" i="7"/>
  <c r="F2723" i="7"/>
  <c r="H2723" i="7"/>
  <c r="I2723" i="7"/>
  <c r="J2723" i="7"/>
  <c r="K2723" i="7"/>
  <c r="L2723" i="7"/>
  <c r="M2723" i="7"/>
  <c r="N2723" i="7"/>
  <c r="O2723" i="7"/>
  <c r="B2724" i="7"/>
  <c r="C2724" i="7"/>
  <c r="D2724" i="7"/>
  <c r="E2724" i="7"/>
  <c r="F2724" i="7"/>
  <c r="H2724" i="7"/>
  <c r="I2724" i="7"/>
  <c r="J2724" i="7"/>
  <c r="K2724" i="7"/>
  <c r="L2724" i="7"/>
  <c r="M2724" i="7"/>
  <c r="N2724" i="7"/>
  <c r="O2724" i="7"/>
  <c r="B2725" i="7"/>
  <c r="C2725" i="7"/>
  <c r="D2725" i="7"/>
  <c r="E2725" i="7"/>
  <c r="F2725" i="7"/>
  <c r="H2725" i="7"/>
  <c r="I2725" i="7"/>
  <c r="J2725" i="7"/>
  <c r="K2725" i="7"/>
  <c r="L2725" i="7"/>
  <c r="M2725" i="7"/>
  <c r="N2725" i="7"/>
  <c r="O2725" i="7"/>
  <c r="B2726" i="7"/>
  <c r="C2726" i="7"/>
  <c r="D2726" i="7"/>
  <c r="E2726" i="7"/>
  <c r="F2726" i="7"/>
  <c r="H2726" i="7"/>
  <c r="I2726" i="7"/>
  <c r="J2726" i="7"/>
  <c r="K2726" i="7"/>
  <c r="L2726" i="7"/>
  <c r="M2726" i="7"/>
  <c r="N2726" i="7"/>
  <c r="O2726" i="7"/>
  <c r="B2727" i="7"/>
  <c r="C2727" i="7"/>
  <c r="D2727" i="7"/>
  <c r="E2727" i="7"/>
  <c r="F2727" i="7"/>
  <c r="H2727" i="7"/>
  <c r="I2727" i="7"/>
  <c r="J2727" i="7"/>
  <c r="K2727" i="7"/>
  <c r="L2727" i="7"/>
  <c r="M2727" i="7"/>
  <c r="N2727" i="7"/>
  <c r="O2727" i="7"/>
  <c r="B2728" i="7"/>
  <c r="C2728" i="7"/>
  <c r="D2728" i="7"/>
  <c r="E2728" i="7"/>
  <c r="F2728" i="7"/>
  <c r="H2728" i="7"/>
  <c r="I2728" i="7"/>
  <c r="J2728" i="7"/>
  <c r="K2728" i="7"/>
  <c r="L2728" i="7"/>
  <c r="M2728" i="7"/>
  <c r="N2728" i="7"/>
  <c r="O2728" i="7"/>
  <c r="B3" i="4" l="1"/>
  <c r="C3" i="4" s="1"/>
  <c r="B4" i="4"/>
  <c r="C4" i="4" s="1"/>
  <c r="B5" i="4"/>
  <c r="C5" i="4" s="1"/>
  <c r="B6" i="4"/>
  <c r="C6" i="4" s="1"/>
  <c r="B7" i="4"/>
  <c r="C7" i="4" s="1"/>
  <c r="B8" i="4"/>
  <c r="C8" i="4" s="1"/>
  <c r="B9" i="4"/>
  <c r="C9" i="4" s="1"/>
  <c r="B10" i="4"/>
  <c r="C10" i="4" s="1"/>
  <c r="B11" i="4"/>
  <c r="C11" i="4" s="1"/>
  <c r="B12" i="4"/>
  <c r="C12" i="4" s="1"/>
  <c r="B13" i="4"/>
  <c r="C13" i="4" s="1"/>
  <c r="B14" i="4"/>
  <c r="C14" i="4" s="1"/>
  <c r="B15" i="4"/>
  <c r="C15" i="4" s="1"/>
  <c r="B16" i="4"/>
  <c r="C16" i="4" s="1"/>
  <c r="B17" i="4"/>
  <c r="C17" i="4" s="1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7" i="4"/>
  <c r="C27" i="4" s="1"/>
  <c r="B28" i="4"/>
  <c r="C28" i="4" s="1"/>
  <c r="B29" i="4"/>
  <c r="C29" i="4" s="1"/>
  <c r="B30" i="4"/>
  <c r="C30" i="4" s="1"/>
  <c r="B31" i="4"/>
  <c r="C31" i="4" s="1"/>
  <c r="B32" i="4"/>
  <c r="C32" i="4" s="1"/>
  <c r="B33" i="4"/>
  <c r="C33" i="4" s="1"/>
  <c r="B34" i="4"/>
  <c r="C34" i="4" s="1"/>
  <c r="B35" i="4"/>
  <c r="C35" i="4" s="1"/>
  <c r="B36" i="4"/>
  <c r="C36" i="4" s="1"/>
  <c r="B37" i="4"/>
  <c r="C37" i="4" s="1"/>
  <c r="B38" i="4"/>
  <c r="C38" i="4" s="1"/>
  <c r="B39" i="4"/>
  <c r="C39" i="4" s="1"/>
  <c r="B40" i="4"/>
  <c r="C40" i="4" s="1"/>
  <c r="B41" i="4"/>
  <c r="C41" i="4" s="1"/>
  <c r="B42" i="4"/>
  <c r="C42" i="4" s="1"/>
  <c r="B43" i="4"/>
  <c r="C43" i="4" s="1"/>
  <c r="B44" i="4"/>
  <c r="C44" i="4" s="1"/>
  <c r="B45" i="4"/>
  <c r="C45" i="4" s="1"/>
  <c r="B46" i="4"/>
  <c r="C46" i="4" s="1"/>
  <c r="B47" i="4"/>
  <c r="C47" i="4" s="1"/>
  <c r="B48" i="4"/>
  <c r="C48" i="4" s="1"/>
  <c r="B49" i="4"/>
  <c r="C49" i="4" s="1"/>
  <c r="B50" i="4"/>
  <c r="C50" i="4" s="1"/>
  <c r="B51" i="4"/>
  <c r="C51" i="4" s="1"/>
  <c r="B52" i="4"/>
  <c r="C52" i="4" s="1"/>
  <c r="B53" i="4"/>
  <c r="C53" i="4" s="1"/>
  <c r="B54" i="4"/>
  <c r="C54" i="4" s="1"/>
  <c r="B55" i="4"/>
  <c r="C55" i="4" s="1"/>
  <c r="B56" i="4"/>
  <c r="C56" i="4" s="1"/>
  <c r="B57" i="4"/>
  <c r="C57" i="4" s="1"/>
  <c r="B58" i="4"/>
  <c r="C58" i="4" s="1"/>
  <c r="B59" i="4"/>
  <c r="C59" i="4" s="1"/>
  <c r="B60" i="4"/>
  <c r="C60" i="4" s="1"/>
  <c r="B61" i="4"/>
  <c r="C61" i="4" s="1"/>
  <c r="B62" i="4"/>
  <c r="C62" i="4" s="1"/>
  <c r="B63" i="4"/>
  <c r="C63" i="4" s="1"/>
  <c r="B64" i="4"/>
  <c r="C64" i="4" s="1"/>
  <c r="B65" i="4"/>
  <c r="C65" i="4" s="1"/>
  <c r="B66" i="4"/>
  <c r="C66" i="4" s="1"/>
  <c r="B67" i="4"/>
  <c r="C67" i="4" s="1"/>
  <c r="B68" i="4"/>
  <c r="C68" i="4" s="1"/>
  <c r="B69" i="4"/>
  <c r="C69" i="4" s="1"/>
  <c r="B70" i="4"/>
  <c r="C70" i="4" s="1"/>
  <c r="B71" i="4"/>
  <c r="C71" i="4" s="1"/>
  <c r="B72" i="4"/>
  <c r="C72" i="4" s="1"/>
  <c r="B73" i="4"/>
  <c r="C73" i="4" s="1"/>
  <c r="B74" i="4"/>
  <c r="C74" i="4" s="1"/>
  <c r="B75" i="4"/>
  <c r="C75" i="4" s="1"/>
  <c r="B76" i="4"/>
  <c r="C76" i="4" s="1"/>
  <c r="B77" i="4"/>
  <c r="C77" i="4" s="1"/>
  <c r="B78" i="4"/>
  <c r="C78" i="4" s="1"/>
  <c r="B79" i="4"/>
  <c r="C79" i="4" s="1"/>
  <c r="B80" i="4"/>
  <c r="C80" i="4" s="1"/>
  <c r="B81" i="4"/>
  <c r="C81" i="4" s="1"/>
  <c r="B82" i="4"/>
  <c r="C82" i="4" s="1"/>
  <c r="B83" i="4"/>
  <c r="C83" i="4" s="1"/>
  <c r="B84" i="4"/>
  <c r="C84" i="4" s="1"/>
  <c r="B85" i="4"/>
  <c r="C85" i="4" s="1"/>
  <c r="B86" i="4"/>
  <c r="C86" i="4" s="1"/>
  <c r="B87" i="4"/>
  <c r="C87" i="4" s="1"/>
  <c r="B88" i="4"/>
  <c r="C88" i="4" s="1"/>
  <c r="B89" i="4"/>
  <c r="C89" i="4" s="1"/>
  <c r="B90" i="4"/>
  <c r="C90" i="4" s="1"/>
  <c r="B91" i="4"/>
  <c r="C91" i="4" s="1"/>
  <c r="B92" i="4"/>
  <c r="C92" i="4" s="1"/>
  <c r="B93" i="4"/>
  <c r="C93" i="4" s="1"/>
  <c r="B94" i="4"/>
  <c r="C94" i="4" s="1"/>
  <c r="B95" i="4"/>
  <c r="C95" i="4" s="1"/>
  <c r="B96" i="4"/>
  <c r="C96" i="4" s="1"/>
  <c r="B97" i="4"/>
  <c r="C97" i="4" s="1"/>
  <c r="B98" i="4"/>
  <c r="C98" i="4" s="1"/>
  <c r="B99" i="4"/>
  <c r="C99" i="4" s="1"/>
  <c r="B100" i="4"/>
  <c r="C100" i="4" s="1"/>
  <c r="B101" i="4"/>
  <c r="C101" i="4" s="1"/>
  <c r="B102" i="4"/>
  <c r="C102" i="4" s="1"/>
  <c r="B103" i="4"/>
  <c r="C103" i="4" s="1"/>
  <c r="B104" i="4"/>
  <c r="C104" i="4" s="1"/>
  <c r="B105" i="4"/>
  <c r="C105" i="4" s="1"/>
  <c r="B106" i="4"/>
  <c r="C106" i="4" s="1"/>
  <c r="B107" i="4"/>
  <c r="C107" i="4" s="1"/>
  <c r="B108" i="4"/>
  <c r="C108" i="4" s="1"/>
  <c r="B109" i="4"/>
  <c r="C109" i="4" s="1"/>
  <c r="B110" i="4"/>
  <c r="C110" i="4" s="1"/>
  <c r="B111" i="4"/>
  <c r="C111" i="4" s="1"/>
  <c r="B112" i="4"/>
  <c r="C112" i="4" s="1"/>
  <c r="B113" i="4"/>
  <c r="C113" i="4" s="1"/>
  <c r="B114" i="4"/>
  <c r="C114" i="4" s="1"/>
  <c r="B115" i="4"/>
  <c r="C115" i="4" s="1"/>
  <c r="B116" i="4"/>
  <c r="C116" i="4" s="1"/>
  <c r="B117" i="4"/>
  <c r="C117" i="4" s="1"/>
  <c r="B118" i="4"/>
  <c r="C118" i="4" s="1"/>
  <c r="B119" i="4"/>
  <c r="C119" i="4" s="1"/>
  <c r="B120" i="4"/>
  <c r="C120" i="4" s="1"/>
  <c r="B121" i="4"/>
  <c r="C121" i="4" s="1"/>
  <c r="B122" i="4"/>
  <c r="C122" i="4" s="1"/>
  <c r="B123" i="4"/>
  <c r="C123" i="4" s="1"/>
  <c r="B124" i="4"/>
  <c r="C124" i="4" s="1"/>
  <c r="B125" i="4"/>
  <c r="C125" i="4" s="1"/>
  <c r="B126" i="4"/>
  <c r="C126" i="4" s="1"/>
  <c r="B127" i="4"/>
  <c r="C127" i="4" s="1"/>
  <c r="B128" i="4"/>
  <c r="C128" i="4" s="1"/>
  <c r="B129" i="4"/>
  <c r="C129" i="4" s="1"/>
  <c r="B130" i="4"/>
  <c r="C130" i="4" s="1"/>
  <c r="B131" i="4"/>
  <c r="C131" i="4" s="1"/>
  <c r="B132" i="4"/>
  <c r="C132" i="4" s="1"/>
  <c r="B133" i="4"/>
  <c r="C133" i="4" s="1"/>
  <c r="B134" i="4"/>
  <c r="C134" i="4" s="1"/>
  <c r="B135" i="4"/>
  <c r="C135" i="4" s="1"/>
  <c r="B136" i="4"/>
  <c r="C136" i="4" s="1"/>
  <c r="B3" i="3"/>
  <c r="H3" i="3" s="1"/>
  <c r="B4" i="3"/>
  <c r="H4" i="3" s="1"/>
  <c r="B5" i="3"/>
  <c r="B6" i="3"/>
  <c r="H6" i="3" s="1"/>
  <c r="B7" i="3"/>
  <c r="F7" i="3" s="1"/>
  <c r="B8" i="3"/>
  <c r="B9" i="3"/>
  <c r="B10" i="3"/>
  <c r="G10" i="3" s="1"/>
  <c r="B11" i="3"/>
  <c r="B12" i="3"/>
  <c r="B13" i="3"/>
  <c r="B14" i="3"/>
  <c r="G14" i="3" s="1"/>
  <c r="B15" i="3"/>
  <c r="G15" i="3" s="1"/>
  <c r="B16" i="3"/>
  <c r="G16" i="3" s="1"/>
  <c r="B17" i="3"/>
  <c r="F17" i="3" s="1"/>
  <c r="B18" i="3"/>
  <c r="H18" i="3" s="1"/>
  <c r="B19" i="3"/>
  <c r="F19" i="3" s="1"/>
  <c r="B20" i="3"/>
  <c r="B21" i="3"/>
  <c r="B22" i="3"/>
  <c r="B23" i="3"/>
  <c r="B24" i="3"/>
  <c r="B25" i="3"/>
  <c r="B26" i="3"/>
  <c r="G26" i="3" s="1"/>
  <c r="B27" i="3"/>
  <c r="F27" i="3" s="1"/>
  <c r="B28" i="3"/>
  <c r="F28" i="3" s="1"/>
  <c r="B29" i="3"/>
  <c r="F29" i="3" s="1"/>
  <c r="B30" i="3"/>
  <c r="H30" i="3" s="1"/>
  <c r="B31" i="3"/>
  <c r="F31" i="3" s="1"/>
  <c r="B32" i="3"/>
  <c r="B33" i="3"/>
  <c r="B34" i="3"/>
  <c r="B35" i="3"/>
  <c r="B36" i="3"/>
  <c r="B37" i="3"/>
  <c r="B38" i="3"/>
  <c r="G38" i="3" s="1"/>
  <c r="B39" i="3"/>
  <c r="H39" i="3" s="1"/>
  <c r="B40" i="3"/>
  <c r="H40" i="3" s="1"/>
  <c r="B41" i="3"/>
  <c r="B42" i="3"/>
  <c r="H42" i="3" s="1"/>
  <c r="B43" i="3"/>
  <c r="F43" i="3" s="1"/>
  <c r="B44" i="3"/>
  <c r="B45" i="3"/>
  <c r="B46" i="3"/>
  <c r="B47" i="3"/>
  <c r="B48" i="3"/>
  <c r="B49" i="3"/>
  <c r="B50" i="3"/>
  <c r="G50" i="3" s="1"/>
  <c r="B51" i="3"/>
  <c r="H51" i="3" s="1"/>
  <c r="B52" i="3"/>
  <c r="G52" i="3" s="1"/>
  <c r="B53" i="3"/>
  <c r="F53" i="3" s="1"/>
  <c r="B54" i="3"/>
  <c r="H54" i="3" s="1"/>
  <c r="B55" i="3"/>
  <c r="F55" i="3" s="1"/>
  <c r="B56" i="3"/>
  <c r="B57" i="3"/>
  <c r="B58" i="3"/>
  <c r="F58" i="3" s="1"/>
  <c r="B59" i="3"/>
  <c r="B60" i="3"/>
  <c r="B61" i="3"/>
  <c r="B62" i="3"/>
  <c r="G62" i="3" s="1"/>
  <c r="B63" i="3"/>
  <c r="F63" i="3" s="1"/>
  <c r="B64" i="3"/>
  <c r="F64" i="3" s="1"/>
  <c r="B65" i="3"/>
  <c r="F65" i="3" s="1"/>
  <c r="B66" i="3"/>
  <c r="H66" i="3" s="1"/>
  <c r="B67" i="3"/>
  <c r="F67" i="3" s="1"/>
  <c r="B68" i="3"/>
  <c r="B69" i="3"/>
  <c r="B70" i="3"/>
  <c r="B71" i="3"/>
  <c r="H71" i="3" s="1"/>
  <c r="B72" i="3"/>
  <c r="B73" i="3"/>
  <c r="B74" i="3"/>
  <c r="G74" i="3" s="1"/>
  <c r="B75" i="3"/>
  <c r="H75" i="3" s="1"/>
  <c r="B76" i="3"/>
  <c r="G76" i="3" s="1"/>
  <c r="B77" i="3"/>
  <c r="B78" i="3"/>
  <c r="H78" i="3" s="1"/>
  <c r="B79" i="3"/>
  <c r="F79" i="3" s="1"/>
  <c r="B80" i="3"/>
  <c r="B81" i="3"/>
  <c r="G81" i="3" s="1"/>
  <c r="B82" i="3"/>
  <c r="G82" i="3" s="1"/>
  <c r="B83" i="3"/>
  <c r="B84" i="3"/>
  <c r="B85" i="3"/>
  <c r="F85" i="3" s="1"/>
  <c r="B86" i="3"/>
  <c r="G86" i="3" s="1"/>
  <c r="B87" i="3"/>
  <c r="H87" i="3" s="1"/>
  <c r="B88" i="3"/>
  <c r="H88" i="3" s="1"/>
  <c r="B89" i="3"/>
  <c r="F89" i="3" s="1"/>
  <c r="B90" i="3"/>
  <c r="H90" i="3" s="1"/>
  <c r="B91" i="3"/>
  <c r="F91" i="3" s="1"/>
  <c r="B92" i="3"/>
  <c r="B93" i="3"/>
  <c r="B94" i="3"/>
  <c r="B95" i="3"/>
  <c r="B96" i="3"/>
  <c r="B97" i="3"/>
  <c r="B98" i="3"/>
  <c r="G98" i="3" s="1"/>
  <c r="B99" i="3"/>
  <c r="G99" i="3" s="1"/>
  <c r="B100" i="3"/>
  <c r="G100" i="3" s="1"/>
  <c r="B101" i="3"/>
  <c r="F101" i="3" s="1"/>
  <c r="B102" i="3"/>
  <c r="H102" i="3" s="1"/>
  <c r="B103" i="3"/>
  <c r="F103" i="3" s="1"/>
  <c r="B104" i="3"/>
  <c r="B105" i="3"/>
  <c r="B106" i="3"/>
  <c r="B107" i="3"/>
  <c r="B108" i="3"/>
  <c r="B109" i="3"/>
  <c r="B110" i="3"/>
  <c r="G110" i="3" s="1"/>
  <c r="B111" i="3"/>
  <c r="G111" i="3" s="1"/>
  <c r="B112" i="3"/>
  <c r="G112" i="3" s="1"/>
  <c r="B113" i="3"/>
  <c r="B114" i="3"/>
  <c r="H114" i="3" s="1"/>
  <c r="B115" i="3"/>
  <c r="F115" i="3" s="1"/>
  <c r="B116" i="3"/>
  <c r="B117" i="3"/>
  <c r="B118" i="3"/>
  <c r="B119" i="3"/>
  <c r="B120" i="3"/>
  <c r="B121" i="3"/>
  <c r="B122" i="3"/>
  <c r="G122" i="3" s="1"/>
  <c r="B123" i="3"/>
  <c r="F123" i="3" s="1"/>
  <c r="B124" i="3"/>
  <c r="G124" i="3" s="1"/>
  <c r="B125" i="3"/>
  <c r="F125" i="3" s="1"/>
  <c r="B126" i="3"/>
  <c r="H126" i="3" s="1"/>
  <c r="B127" i="3"/>
  <c r="F127" i="3" s="1"/>
  <c r="B128" i="3"/>
  <c r="B129" i="3"/>
  <c r="B130" i="3"/>
  <c r="B131" i="3"/>
  <c r="B132" i="3"/>
  <c r="B133" i="3"/>
  <c r="B134" i="3"/>
  <c r="G134" i="3" s="1"/>
  <c r="B135" i="3"/>
  <c r="H135" i="3" s="1"/>
  <c r="B136" i="3"/>
  <c r="G136" i="3" s="1"/>
  <c r="B137" i="3"/>
  <c r="F137" i="3" s="1"/>
  <c r="B138" i="3"/>
  <c r="H138" i="3" s="1"/>
  <c r="B139" i="3"/>
  <c r="F139" i="3" s="1"/>
  <c r="B140" i="3"/>
  <c r="B141" i="3"/>
  <c r="B142" i="3"/>
  <c r="H142" i="3" s="1"/>
  <c r="B143" i="3"/>
  <c r="H143" i="3" s="1"/>
  <c r="B144" i="3"/>
  <c r="B145" i="3"/>
  <c r="B146" i="3"/>
  <c r="G146" i="3" s="1"/>
  <c r="B147" i="3"/>
  <c r="G147" i="3" s="1"/>
  <c r="B148" i="3"/>
  <c r="G148" i="3" s="1"/>
  <c r="B149" i="3"/>
  <c r="B150" i="3"/>
  <c r="H150" i="3" s="1"/>
  <c r="B151" i="3"/>
  <c r="F151" i="3" s="1"/>
  <c r="B152" i="3"/>
  <c r="B153" i="3"/>
  <c r="B154" i="3"/>
  <c r="B155" i="3"/>
  <c r="B156" i="3"/>
  <c r="B157" i="3"/>
  <c r="B158" i="3"/>
  <c r="G158" i="3" s="1"/>
  <c r="B159" i="3"/>
  <c r="F159" i="3" s="1"/>
  <c r="B160" i="3"/>
  <c r="F160" i="3" s="1"/>
  <c r="B161" i="3"/>
  <c r="F161" i="3" s="1"/>
  <c r="B162" i="3"/>
  <c r="H162" i="3" s="1"/>
  <c r="B163" i="3"/>
  <c r="F163" i="3" s="1"/>
  <c r="B164" i="3"/>
  <c r="B165" i="3"/>
  <c r="B166" i="3"/>
  <c r="F166" i="3" s="1"/>
  <c r="B167" i="3"/>
  <c r="F167" i="3" s="1"/>
  <c r="B168" i="3"/>
  <c r="B169" i="3"/>
  <c r="B170" i="3"/>
  <c r="G170" i="3" s="1"/>
  <c r="B171" i="3"/>
  <c r="H171" i="3" s="1"/>
  <c r="B172" i="3"/>
  <c r="F172" i="3" s="1"/>
  <c r="B173" i="3"/>
  <c r="F173" i="3" s="1"/>
  <c r="B174" i="3"/>
  <c r="H174" i="3" s="1"/>
  <c r="B175" i="3"/>
  <c r="F175" i="3" s="1"/>
  <c r="B176" i="3"/>
  <c r="B177" i="3"/>
  <c r="B178" i="3"/>
  <c r="B179" i="3"/>
  <c r="B180" i="3"/>
  <c r="B181" i="3"/>
  <c r="B182" i="3"/>
  <c r="G182" i="3" s="1"/>
  <c r="B183" i="3"/>
  <c r="H183" i="3" s="1"/>
  <c r="B184" i="3"/>
  <c r="F184" i="3" s="1"/>
  <c r="B185" i="3"/>
  <c r="B186" i="3"/>
  <c r="H186" i="3" s="1"/>
  <c r="B187" i="3"/>
  <c r="F187" i="3" s="1"/>
  <c r="B188" i="3"/>
  <c r="B189" i="3"/>
  <c r="B190" i="3"/>
  <c r="B191" i="3"/>
  <c r="B192" i="3"/>
  <c r="B193" i="3"/>
  <c r="F193" i="3" s="1"/>
  <c r="B194" i="3"/>
  <c r="G194" i="3" s="1"/>
  <c r="B195" i="3"/>
  <c r="F195" i="3" s="1"/>
  <c r="B196" i="3"/>
  <c r="F196" i="3" s="1"/>
  <c r="B197" i="3"/>
  <c r="F197" i="3" s="1"/>
  <c r="B198" i="3"/>
  <c r="H198" i="3" s="1"/>
  <c r="B199" i="3"/>
  <c r="F199" i="3" s="1"/>
  <c r="B200" i="3"/>
  <c r="B201" i="3"/>
  <c r="B202" i="3"/>
  <c r="B203" i="3"/>
  <c r="H203" i="3" s="1"/>
  <c r="B204" i="3"/>
  <c r="B205" i="3"/>
  <c r="B206" i="3"/>
  <c r="G206" i="3" s="1"/>
  <c r="B207" i="3"/>
  <c r="H207" i="3" s="1"/>
  <c r="B208" i="3"/>
  <c r="F208" i="3" s="1"/>
  <c r="B209" i="3"/>
  <c r="F209" i="3" s="1"/>
  <c r="B210" i="3"/>
  <c r="H210" i="3" s="1"/>
  <c r="B211" i="3"/>
  <c r="F211" i="3" s="1"/>
  <c r="B212" i="3"/>
  <c r="B213" i="3"/>
  <c r="B214" i="3"/>
  <c r="F214" i="3" s="1"/>
  <c r="B215" i="3"/>
  <c r="H215" i="3" s="1"/>
  <c r="B216" i="3"/>
  <c r="B217" i="3"/>
  <c r="F217" i="3" s="1"/>
  <c r="B218" i="3"/>
  <c r="G218" i="3" s="1"/>
  <c r="B219" i="3"/>
  <c r="G219" i="3" s="1"/>
  <c r="B220" i="3"/>
  <c r="G220" i="3" s="1"/>
  <c r="B221" i="3"/>
  <c r="B222" i="3"/>
  <c r="H222" i="3" s="1"/>
  <c r="B223" i="3"/>
  <c r="F223" i="3" s="1"/>
  <c r="B224" i="3"/>
  <c r="B225" i="3"/>
  <c r="B226" i="3"/>
  <c r="B227" i="3"/>
  <c r="B228" i="3"/>
  <c r="B229" i="3"/>
  <c r="B230" i="3"/>
  <c r="G230" i="3" s="1"/>
  <c r="B231" i="3"/>
  <c r="H231" i="3" s="1"/>
  <c r="B232" i="3"/>
  <c r="H232" i="3" s="1"/>
  <c r="B233" i="3"/>
  <c r="F233" i="3" s="1"/>
  <c r="B234" i="3"/>
  <c r="H234" i="3" s="1"/>
  <c r="B235" i="3"/>
  <c r="F235" i="3" s="1"/>
  <c r="B236" i="3"/>
  <c r="B237" i="3"/>
  <c r="G237" i="3" s="1"/>
  <c r="B238" i="3"/>
  <c r="F238" i="3" s="1"/>
  <c r="B239" i="3"/>
  <c r="H239" i="3" s="1"/>
  <c r="B240" i="3"/>
  <c r="B241" i="3"/>
  <c r="B242" i="3"/>
  <c r="G242" i="3" s="1"/>
  <c r="B243" i="3"/>
  <c r="H243" i="3" s="1"/>
  <c r="B244" i="3"/>
  <c r="H244" i="3" s="1"/>
  <c r="B245" i="3"/>
  <c r="F245" i="3" s="1"/>
  <c r="B246" i="3"/>
  <c r="H246" i="3" s="1"/>
  <c r="B247" i="3"/>
  <c r="F247" i="3" s="1"/>
  <c r="B248" i="3"/>
  <c r="B249" i="3"/>
  <c r="B250" i="3"/>
  <c r="F250" i="3" s="1"/>
  <c r="B251" i="3"/>
  <c r="F251" i="3" s="1"/>
  <c r="B252" i="3"/>
  <c r="B253" i="3"/>
  <c r="B254" i="3"/>
  <c r="G254" i="3" s="1"/>
  <c r="B255" i="3"/>
  <c r="F255" i="3" s="1"/>
  <c r="B256" i="3"/>
  <c r="G256" i="3" s="1"/>
  <c r="B257" i="3"/>
  <c r="B258" i="3"/>
  <c r="H258" i="3" s="1"/>
  <c r="B259" i="3"/>
  <c r="F259" i="3" s="1"/>
  <c r="B260" i="3"/>
  <c r="B261" i="3"/>
  <c r="G261" i="3" s="1"/>
  <c r="B262" i="3"/>
  <c r="B263" i="3"/>
  <c r="B264" i="3"/>
  <c r="B265" i="3"/>
  <c r="F265" i="3" s="1"/>
  <c r="B266" i="3"/>
  <c r="G266" i="3" s="1"/>
  <c r="B267" i="3"/>
  <c r="G267" i="3" s="1"/>
  <c r="B268" i="3"/>
  <c r="G268" i="3" s="1"/>
  <c r="B269" i="3"/>
  <c r="F269" i="3" s="1"/>
  <c r="B270" i="3"/>
  <c r="H270" i="3" s="1"/>
  <c r="B271" i="3"/>
  <c r="F271" i="3" s="1"/>
  <c r="B272" i="3"/>
  <c r="B273" i="3"/>
  <c r="B274" i="3"/>
  <c r="F274" i="3" s="1"/>
  <c r="B275" i="3"/>
  <c r="F275" i="3" s="1"/>
  <c r="B276" i="3"/>
  <c r="B277" i="3"/>
  <c r="B278" i="3"/>
  <c r="G278" i="3" s="1"/>
  <c r="B279" i="3"/>
  <c r="H279" i="3" s="1"/>
  <c r="B280" i="3"/>
  <c r="H280" i="3" s="1"/>
  <c r="B281" i="3"/>
  <c r="F281" i="3" s="1"/>
  <c r="B282" i="3"/>
  <c r="H282" i="3" s="1"/>
  <c r="B283" i="3"/>
  <c r="F283" i="3" s="1"/>
  <c r="B284" i="3"/>
  <c r="B285" i="3"/>
  <c r="B286" i="3"/>
  <c r="H286" i="3" s="1"/>
  <c r="B287" i="3"/>
  <c r="H287" i="3" s="1"/>
  <c r="B288" i="3"/>
  <c r="B289" i="3"/>
  <c r="B290" i="3"/>
  <c r="G290" i="3" s="1"/>
  <c r="B291" i="3"/>
  <c r="F291" i="3" s="1"/>
  <c r="B292" i="3"/>
  <c r="F292" i="3" s="1"/>
  <c r="B293" i="3"/>
  <c r="B294" i="3"/>
  <c r="H294" i="3" s="1"/>
  <c r="B295" i="3"/>
  <c r="F295" i="3" s="1"/>
  <c r="B296" i="3"/>
  <c r="B297" i="3"/>
  <c r="B298" i="3"/>
  <c r="B299" i="3"/>
  <c r="G299" i="3" s="1"/>
  <c r="B300" i="3"/>
  <c r="B301" i="3"/>
  <c r="B302" i="3"/>
  <c r="G302" i="3" s="1"/>
  <c r="B303" i="3"/>
  <c r="G303" i="3" s="1"/>
  <c r="B304" i="3"/>
  <c r="G304" i="3" s="1"/>
  <c r="B305" i="3"/>
  <c r="F305" i="3" s="1"/>
  <c r="B306" i="3"/>
  <c r="H306" i="3" s="1"/>
  <c r="B307" i="3"/>
  <c r="F307" i="3" s="1"/>
  <c r="G172" i="3" l="1"/>
  <c r="G127" i="3"/>
  <c r="G90" i="3"/>
  <c r="F244" i="3"/>
  <c r="G43" i="3"/>
  <c r="G42" i="3"/>
  <c r="F182" i="3"/>
  <c r="G7" i="3"/>
  <c r="F148" i="3"/>
  <c r="G4" i="3"/>
  <c r="F88" i="3"/>
  <c r="F18" i="3"/>
  <c r="F280" i="3"/>
  <c r="F210" i="3"/>
  <c r="F183" i="3"/>
  <c r="F158" i="3"/>
  <c r="F124" i="3"/>
  <c r="F54" i="3"/>
  <c r="F26" i="3"/>
  <c r="G292" i="3"/>
  <c r="G255" i="3"/>
  <c r="G215" i="3"/>
  <c r="G174" i="3"/>
  <c r="G135" i="3"/>
  <c r="G91" i="3"/>
  <c r="G51" i="3"/>
  <c r="H268" i="3"/>
  <c r="H220" i="3"/>
  <c r="H172" i="3"/>
  <c r="H124" i="3"/>
  <c r="H76" i="3"/>
  <c r="H28" i="3"/>
  <c r="G283" i="3"/>
  <c r="G246" i="3"/>
  <c r="G208" i="3"/>
  <c r="G171" i="3"/>
  <c r="G88" i="3"/>
  <c r="F270" i="3"/>
  <c r="F242" i="3"/>
  <c r="F207" i="3"/>
  <c r="F146" i="3"/>
  <c r="F112" i="3"/>
  <c r="F86" i="3"/>
  <c r="F51" i="3"/>
  <c r="F16" i="3"/>
  <c r="G282" i="3"/>
  <c r="G244" i="3"/>
  <c r="G207" i="3"/>
  <c r="G163" i="3"/>
  <c r="G123" i="3"/>
  <c r="G87" i="3"/>
  <c r="G40" i="3"/>
  <c r="H304" i="3"/>
  <c r="H256" i="3"/>
  <c r="H208" i="3"/>
  <c r="H160" i="3"/>
  <c r="H112" i="3"/>
  <c r="H64" i="3"/>
  <c r="H16" i="3"/>
  <c r="F306" i="3"/>
  <c r="F278" i="3"/>
  <c r="F243" i="3"/>
  <c r="F174" i="3"/>
  <c r="F147" i="3"/>
  <c r="F122" i="3"/>
  <c r="F87" i="3"/>
  <c r="F52" i="3"/>
  <c r="G3" i="3"/>
  <c r="H266" i="3"/>
  <c r="H218" i="3"/>
  <c r="H170" i="3"/>
  <c r="H122" i="3"/>
  <c r="H74" i="3"/>
  <c r="H26" i="3"/>
  <c r="F304" i="3"/>
  <c r="F234" i="3"/>
  <c r="F206" i="3"/>
  <c r="F143" i="3"/>
  <c r="F111" i="3"/>
  <c r="F76" i="3"/>
  <c r="F50" i="3"/>
  <c r="F15" i="3"/>
  <c r="G280" i="3"/>
  <c r="G243" i="3"/>
  <c r="G199" i="3"/>
  <c r="G160" i="3"/>
  <c r="G115" i="3"/>
  <c r="G79" i="3"/>
  <c r="G39" i="3"/>
  <c r="H303" i="3"/>
  <c r="H255" i="3"/>
  <c r="H159" i="3"/>
  <c r="H111" i="3"/>
  <c r="H63" i="3"/>
  <c r="H15" i="3"/>
  <c r="F303" i="3"/>
  <c r="F268" i="3"/>
  <c r="F198" i="3"/>
  <c r="F171" i="3"/>
  <c r="F138" i="3"/>
  <c r="F110" i="3"/>
  <c r="F75" i="3"/>
  <c r="F40" i="3"/>
  <c r="F14" i="3"/>
  <c r="G279" i="3"/>
  <c r="G235" i="3"/>
  <c r="G196" i="3"/>
  <c r="G159" i="3"/>
  <c r="G114" i="3"/>
  <c r="G31" i="3"/>
  <c r="H302" i="3"/>
  <c r="H254" i="3"/>
  <c r="H206" i="3"/>
  <c r="H158" i="3"/>
  <c r="H110" i="3"/>
  <c r="H62" i="3"/>
  <c r="H14" i="3"/>
  <c r="F279" i="3"/>
  <c r="G291" i="3"/>
  <c r="G247" i="3"/>
  <c r="G211" i="3"/>
  <c r="F302" i="3"/>
  <c r="F267" i="3"/>
  <c r="F232" i="3"/>
  <c r="F170" i="3"/>
  <c r="F102" i="3"/>
  <c r="F74" i="3"/>
  <c r="F39" i="3"/>
  <c r="F4" i="3"/>
  <c r="G271" i="3"/>
  <c r="G234" i="3"/>
  <c r="G195" i="3"/>
  <c r="G151" i="3"/>
  <c r="G75" i="3"/>
  <c r="G30" i="3"/>
  <c r="H292" i="3"/>
  <c r="H196" i="3"/>
  <c r="H148" i="3"/>
  <c r="H100" i="3"/>
  <c r="H52" i="3"/>
  <c r="H267" i="3"/>
  <c r="H219" i="3"/>
  <c r="H123" i="3"/>
  <c r="H27" i="3"/>
  <c r="F266" i="3"/>
  <c r="F231" i="3"/>
  <c r="F136" i="3"/>
  <c r="F66" i="3"/>
  <c r="F38" i="3"/>
  <c r="F3" i="3"/>
  <c r="G232" i="3"/>
  <c r="G187" i="3"/>
  <c r="G67" i="3"/>
  <c r="G28" i="3"/>
  <c r="H291" i="3"/>
  <c r="H195" i="3"/>
  <c r="H147" i="3"/>
  <c r="H99" i="3"/>
  <c r="F256" i="3"/>
  <c r="F230" i="3"/>
  <c r="F162" i="3"/>
  <c r="F135" i="3"/>
  <c r="F100" i="3"/>
  <c r="F30" i="3"/>
  <c r="G307" i="3"/>
  <c r="G231" i="3"/>
  <c r="G186" i="3"/>
  <c r="G103" i="3"/>
  <c r="G64" i="3"/>
  <c r="G27" i="3"/>
  <c r="H290" i="3"/>
  <c r="H242" i="3"/>
  <c r="H194" i="3"/>
  <c r="H146" i="3"/>
  <c r="H98" i="3"/>
  <c r="H50" i="3"/>
  <c r="F290" i="3"/>
  <c r="F220" i="3"/>
  <c r="F194" i="3"/>
  <c r="F134" i="3"/>
  <c r="F99" i="3"/>
  <c r="G259" i="3"/>
  <c r="G223" i="3"/>
  <c r="G184" i="3"/>
  <c r="G143" i="3"/>
  <c r="G102" i="3"/>
  <c r="G63" i="3"/>
  <c r="G19" i="3"/>
  <c r="H184" i="3"/>
  <c r="H136" i="3"/>
  <c r="F282" i="3"/>
  <c r="F254" i="3"/>
  <c r="F219" i="3"/>
  <c r="F126" i="3"/>
  <c r="F98" i="3"/>
  <c r="G258" i="3"/>
  <c r="G183" i="3"/>
  <c r="G139" i="3"/>
  <c r="G55" i="3"/>
  <c r="F246" i="3"/>
  <c r="F218" i="3"/>
  <c r="F90" i="3"/>
  <c r="F62" i="3"/>
  <c r="G295" i="3"/>
  <c r="G175" i="3"/>
  <c r="H278" i="3"/>
  <c r="H230" i="3"/>
  <c r="H182" i="3"/>
  <c r="H134" i="3"/>
  <c r="H86" i="3"/>
  <c r="H38" i="3"/>
  <c r="G252" i="3"/>
  <c r="F252" i="3"/>
  <c r="H252" i="3"/>
  <c r="G192" i="3"/>
  <c r="F192" i="3"/>
  <c r="H192" i="3"/>
  <c r="G96" i="3"/>
  <c r="F96" i="3"/>
  <c r="H96" i="3"/>
  <c r="F287" i="3"/>
  <c r="F286" i="3"/>
  <c r="F239" i="3"/>
  <c r="F215" i="3"/>
  <c r="H301" i="3"/>
  <c r="G301" i="3"/>
  <c r="H289" i="3"/>
  <c r="G289" i="3"/>
  <c r="H277" i="3"/>
  <c r="G277" i="3"/>
  <c r="F277" i="3"/>
  <c r="H265" i="3"/>
  <c r="G265" i="3"/>
  <c r="H253" i="3"/>
  <c r="G253" i="3"/>
  <c r="H241" i="3"/>
  <c r="G241" i="3"/>
  <c r="F241" i="3"/>
  <c r="H229" i="3"/>
  <c r="G229" i="3"/>
  <c r="H217" i="3"/>
  <c r="G217" i="3"/>
  <c r="H205" i="3"/>
  <c r="G205" i="3"/>
  <c r="F205" i="3"/>
  <c r="H193" i="3"/>
  <c r="G193" i="3"/>
  <c r="H181" i="3"/>
  <c r="G181" i="3"/>
  <c r="H169" i="3"/>
  <c r="G169" i="3"/>
  <c r="F169" i="3"/>
  <c r="H157" i="3"/>
  <c r="G157" i="3"/>
  <c r="H145" i="3"/>
  <c r="G145" i="3"/>
  <c r="H133" i="3"/>
  <c r="G133" i="3"/>
  <c r="F133" i="3"/>
  <c r="H121" i="3"/>
  <c r="G121" i="3"/>
  <c r="H109" i="3"/>
  <c r="G109" i="3"/>
  <c r="H97" i="3"/>
  <c r="G97" i="3"/>
  <c r="F97" i="3"/>
  <c r="H85" i="3"/>
  <c r="G85" i="3"/>
  <c r="H73" i="3"/>
  <c r="G73" i="3"/>
  <c r="H61" i="3"/>
  <c r="G61" i="3"/>
  <c r="F61" i="3"/>
  <c r="H49" i="3"/>
  <c r="G49" i="3"/>
  <c r="H37" i="3"/>
  <c r="G37" i="3"/>
  <c r="F37" i="3"/>
  <c r="H25" i="3"/>
  <c r="G25" i="3"/>
  <c r="F25" i="3"/>
  <c r="H13" i="3"/>
  <c r="G13" i="3"/>
  <c r="F145" i="3"/>
  <c r="G300" i="3"/>
  <c r="F300" i="3"/>
  <c r="H300" i="3"/>
  <c r="G240" i="3"/>
  <c r="F240" i="3"/>
  <c r="H240" i="3"/>
  <c r="G180" i="3"/>
  <c r="F180" i="3"/>
  <c r="H180" i="3"/>
  <c r="G108" i="3"/>
  <c r="F108" i="3"/>
  <c r="H108" i="3"/>
  <c r="G72" i="3"/>
  <c r="F72" i="3"/>
  <c r="H72" i="3"/>
  <c r="G36" i="3"/>
  <c r="F36" i="3"/>
  <c r="H36" i="3"/>
  <c r="G12" i="3"/>
  <c r="F12" i="3"/>
  <c r="H12" i="3"/>
  <c r="H179" i="3"/>
  <c r="G179" i="3"/>
  <c r="G155" i="3"/>
  <c r="H155" i="3"/>
  <c r="F155" i="3"/>
  <c r="H131" i="3"/>
  <c r="G131" i="3"/>
  <c r="G119" i="3"/>
  <c r="H119" i="3"/>
  <c r="F119" i="3"/>
  <c r="H107" i="3"/>
  <c r="G107" i="3"/>
  <c r="H95" i="3"/>
  <c r="G95" i="3"/>
  <c r="H83" i="3"/>
  <c r="G83" i="3"/>
  <c r="F83" i="3"/>
  <c r="H59" i="3"/>
  <c r="F59" i="3"/>
  <c r="H47" i="3"/>
  <c r="G47" i="3"/>
  <c r="F47" i="3"/>
  <c r="H35" i="3"/>
  <c r="G35" i="3"/>
  <c r="H23" i="3"/>
  <c r="F23" i="3"/>
  <c r="G23" i="3"/>
  <c r="H11" i="3"/>
  <c r="G11" i="3"/>
  <c r="F11" i="3"/>
  <c r="F142" i="3"/>
  <c r="F73" i="3"/>
  <c r="G239" i="3"/>
  <c r="G142" i="3"/>
  <c r="H130" i="3"/>
  <c r="G130" i="3"/>
  <c r="H118" i="3"/>
  <c r="G118" i="3"/>
  <c r="F118" i="3"/>
  <c r="H106" i="3"/>
  <c r="G106" i="3"/>
  <c r="H94" i="3"/>
  <c r="G94" i="3"/>
  <c r="H82" i="3"/>
  <c r="F82" i="3"/>
  <c r="H70" i="3"/>
  <c r="G70" i="3"/>
  <c r="H58" i="3"/>
  <c r="G58" i="3"/>
  <c r="H46" i="3"/>
  <c r="F46" i="3"/>
  <c r="G46" i="3"/>
  <c r="H34" i="3"/>
  <c r="G34" i="3"/>
  <c r="H22" i="3"/>
  <c r="G22" i="3"/>
  <c r="H10" i="3"/>
  <c r="F10" i="3"/>
  <c r="F253" i="3"/>
  <c r="F121" i="3"/>
  <c r="F95" i="3"/>
  <c r="F71" i="3"/>
  <c r="F22" i="3"/>
  <c r="G71" i="3"/>
  <c r="G288" i="3"/>
  <c r="F288" i="3"/>
  <c r="H288" i="3"/>
  <c r="G228" i="3"/>
  <c r="F228" i="3"/>
  <c r="H228" i="3"/>
  <c r="G132" i="3"/>
  <c r="F132" i="3"/>
  <c r="H132" i="3"/>
  <c r="H298" i="3"/>
  <c r="F298" i="3"/>
  <c r="H238" i="3"/>
  <c r="G238" i="3"/>
  <c r="F177" i="3"/>
  <c r="H177" i="3"/>
  <c r="G177" i="3"/>
  <c r="F165" i="3"/>
  <c r="H165" i="3"/>
  <c r="F153" i="3"/>
  <c r="H153" i="3"/>
  <c r="G153" i="3"/>
  <c r="F141" i="3"/>
  <c r="G141" i="3"/>
  <c r="H141" i="3"/>
  <c r="F129" i="3"/>
  <c r="H129" i="3"/>
  <c r="G129" i="3"/>
  <c r="F117" i="3"/>
  <c r="G117" i="3"/>
  <c r="H117" i="3"/>
  <c r="F105" i="3"/>
  <c r="H105" i="3"/>
  <c r="G105" i="3"/>
  <c r="F93" i="3"/>
  <c r="H93" i="3"/>
  <c r="F81" i="3"/>
  <c r="H81" i="3"/>
  <c r="F69" i="3"/>
  <c r="H69" i="3"/>
  <c r="G69" i="3"/>
  <c r="F57" i="3"/>
  <c r="H57" i="3"/>
  <c r="G57" i="3"/>
  <c r="F45" i="3"/>
  <c r="H45" i="3"/>
  <c r="G45" i="3"/>
  <c r="F33" i="3"/>
  <c r="H33" i="3"/>
  <c r="G33" i="3"/>
  <c r="F21" i="3"/>
  <c r="H21" i="3"/>
  <c r="F9" i="3"/>
  <c r="H9" i="3"/>
  <c r="G9" i="3"/>
  <c r="F301" i="3"/>
  <c r="F94" i="3"/>
  <c r="F70" i="3"/>
  <c r="F49" i="3"/>
  <c r="G298" i="3"/>
  <c r="G156" i="3"/>
  <c r="F156" i="3"/>
  <c r="H156" i="3"/>
  <c r="H299" i="3"/>
  <c r="F299" i="3"/>
  <c r="H275" i="3"/>
  <c r="G275" i="3"/>
  <c r="H251" i="3"/>
  <c r="G251" i="3"/>
  <c r="H227" i="3"/>
  <c r="G227" i="3"/>
  <c r="F227" i="3"/>
  <c r="H167" i="3"/>
  <c r="G167" i="3"/>
  <c r="H262" i="3"/>
  <c r="G262" i="3"/>
  <c r="F262" i="3"/>
  <c r="H202" i="3"/>
  <c r="G202" i="3"/>
  <c r="H190" i="3"/>
  <c r="F190" i="3"/>
  <c r="G190" i="3"/>
  <c r="H178" i="3"/>
  <c r="G178" i="3"/>
  <c r="F297" i="3"/>
  <c r="H297" i="3"/>
  <c r="G297" i="3"/>
  <c r="F273" i="3"/>
  <c r="H273" i="3"/>
  <c r="G273" i="3"/>
  <c r="F237" i="3"/>
  <c r="H237" i="3"/>
  <c r="F201" i="3"/>
  <c r="H201" i="3"/>
  <c r="G201" i="3"/>
  <c r="G284" i="3"/>
  <c r="F284" i="3"/>
  <c r="H284" i="3"/>
  <c r="G224" i="3"/>
  <c r="F224" i="3"/>
  <c r="H224" i="3"/>
  <c r="G188" i="3"/>
  <c r="F188" i="3"/>
  <c r="H188" i="3"/>
  <c r="G176" i="3"/>
  <c r="F176" i="3"/>
  <c r="H176" i="3"/>
  <c r="G164" i="3"/>
  <c r="F164" i="3"/>
  <c r="H164" i="3"/>
  <c r="G152" i="3"/>
  <c r="F152" i="3"/>
  <c r="H152" i="3"/>
  <c r="F181" i="3"/>
  <c r="G203" i="3"/>
  <c r="G165" i="3"/>
  <c r="G93" i="3"/>
  <c r="G204" i="3"/>
  <c r="F204" i="3"/>
  <c r="H204" i="3"/>
  <c r="G120" i="3"/>
  <c r="F120" i="3"/>
  <c r="H120" i="3"/>
  <c r="G48" i="3"/>
  <c r="F48" i="3"/>
  <c r="H48" i="3"/>
  <c r="H274" i="3"/>
  <c r="G274" i="3"/>
  <c r="H214" i="3"/>
  <c r="G214" i="3"/>
  <c r="H166" i="3"/>
  <c r="G166" i="3"/>
  <c r="F285" i="3"/>
  <c r="G285" i="3"/>
  <c r="H285" i="3"/>
  <c r="F249" i="3"/>
  <c r="H249" i="3"/>
  <c r="G249" i="3"/>
  <c r="F213" i="3"/>
  <c r="H213" i="3"/>
  <c r="G213" i="3"/>
  <c r="G296" i="3"/>
  <c r="F296" i="3"/>
  <c r="H296" i="3"/>
  <c r="G248" i="3"/>
  <c r="F248" i="3"/>
  <c r="H248" i="3"/>
  <c r="G236" i="3"/>
  <c r="F236" i="3"/>
  <c r="H236" i="3"/>
  <c r="F229" i="3"/>
  <c r="F203" i="3"/>
  <c r="F179" i="3"/>
  <c r="G264" i="3"/>
  <c r="F264" i="3"/>
  <c r="H264" i="3"/>
  <c r="G168" i="3"/>
  <c r="F168" i="3"/>
  <c r="H168" i="3"/>
  <c r="G84" i="3"/>
  <c r="F84" i="3"/>
  <c r="H84" i="3"/>
  <c r="G60" i="3"/>
  <c r="F60" i="3"/>
  <c r="H60" i="3"/>
  <c r="G24" i="3"/>
  <c r="F24" i="3"/>
  <c r="H24" i="3"/>
  <c r="G263" i="3"/>
  <c r="H263" i="3"/>
  <c r="F263" i="3"/>
  <c r="H191" i="3"/>
  <c r="G191" i="3"/>
  <c r="F191" i="3"/>
  <c r="H250" i="3"/>
  <c r="G250" i="3"/>
  <c r="F261" i="3"/>
  <c r="H261" i="3"/>
  <c r="F225" i="3"/>
  <c r="H225" i="3"/>
  <c r="F189" i="3"/>
  <c r="H189" i="3"/>
  <c r="G189" i="3"/>
  <c r="G272" i="3"/>
  <c r="F272" i="3"/>
  <c r="H272" i="3"/>
  <c r="G200" i="3"/>
  <c r="F200" i="3"/>
  <c r="H200" i="3"/>
  <c r="F202" i="3"/>
  <c r="F178" i="3"/>
  <c r="F109" i="3"/>
  <c r="G59" i="3"/>
  <c r="G21" i="3"/>
  <c r="G276" i="3"/>
  <c r="F276" i="3"/>
  <c r="H276" i="3"/>
  <c r="G216" i="3"/>
  <c r="F216" i="3"/>
  <c r="H216" i="3"/>
  <c r="G144" i="3"/>
  <c r="F144" i="3"/>
  <c r="H144" i="3"/>
  <c r="H226" i="3"/>
  <c r="F226" i="3"/>
  <c r="H154" i="3"/>
  <c r="F154" i="3"/>
  <c r="G260" i="3"/>
  <c r="F260" i="3"/>
  <c r="H260" i="3"/>
  <c r="G212" i="3"/>
  <c r="F212" i="3"/>
  <c r="H212" i="3"/>
  <c r="F289" i="3"/>
  <c r="F157" i="3"/>
  <c r="F131" i="3"/>
  <c r="F107" i="3"/>
  <c r="F35" i="3"/>
  <c r="G287" i="3"/>
  <c r="G226" i="3"/>
  <c r="F130" i="3"/>
  <c r="F106" i="3"/>
  <c r="F34" i="3"/>
  <c r="F13" i="3"/>
  <c r="G286" i="3"/>
  <c r="G225" i="3"/>
  <c r="G154" i="3"/>
  <c r="F258" i="3"/>
  <c r="F222" i="3"/>
  <c r="F186" i="3"/>
  <c r="F150" i="3"/>
  <c r="F114" i="3"/>
  <c r="F78" i="3"/>
  <c r="G150" i="3"/>
  <c r="G6" i="3"/>
  <c r="G140" i="3"/>
  <c r="F140" i="3"/>
  <c r="H140" i="3"/>
  <c r="G128" i="3"/>
  <c r="F128" i="3"/>
  <c r="H128" i="3"/>
  <c r="G116" i="3"/>
  <c r="F116" i="3"/>
  <c r="H116" i="3"/>
  <c r="G104" i="3"/>
  <c r="F104" i="3"/>
  <c r="H104" i="3"/>
  <c r="G92" i="3"/>
  <c r="F92" i="3"/>
  <c r="H92" i="3"/>
  <c r="G80" i="3"/>
  <c r="F80" i="3"/>
  <c r="H80" i="3"/>
  <c r="G68" i="3"/>
  <c r="F68" i="3"/>
  <c r="H68" i="3"/>
  <c r="G56" i="3"/>
  <c r="F56" i="3"/>
  <c r="H56" i="3"/>
  <c r="G44" i="3"/>
  <c r="F44" i="3"/>
  <c r="H44" i="3"/>
  <c r="G32" i="3"/>
  <c r="F32" i="3"/>
  <c r="H32" i="3"/>
  <c r="G20" i="3"/>
  <c r="F20" i="3"/>
  <c r="H20" i="3"/>
  <c r="G8" i="3"/>
  <c r="F8" i="3"/>
  <c r="H8" i="3"/>
  <c r="F294" i="3"/>
  <c r="F42" i="3"/>
  <c r="F6" i="3"/>
  <c r="G294" i="3"/>
  <c r="H305" i="3"/>
  <c r="G305" i="3"/>
  <c r="H293" i="3"/>
  <c r="G293" i="3"/>
  <c r="H281" i="3"/>
  <c r="G281" i="3"/>
  <c r="H269" i="3"/>
  <c r="G269" i="3"/>
  <c r="H257" i="3"/>
  <c r="G257" i="3"/>
  <c r="H245" i="3"/>
  <c r="G245" i="3"/>
  <c r="H233" i="3"/>
  <c r="G233" i="3"/>
  <c r="H221" i="3"/>
  <c r="G221" i="3"/>
  <c r="H209" i="3"/>
  <c r="G209" i="3"/>
  <c r="H197" i="3"/>
  <c r="G197" i="3"/>
  <c r="H185" i="3"/>
  <c r="G185" i="3"/>
  <c r="H173" i="3"/>
  <c r="G173" i="3"/>
  <c r="H161" i="3"/>
  <c r="G161" i="3"/>
  <c r="H149" i="3"/>
  <c r="G149" i="3"/>
  <c r="H137" i="3"/>
  <c r="G137" i="3"/>
  <c r="H125" i="3"/>
  <c r="G125" i="3"/>
  <c r="H113" i="3"/>
  <c r="G113" i="3"/>
  <c r="H101" i="3"/>
  <c r="G101" i="3"/>
  <c r="H89" i="3"/>
  <c r="G89" i="3"/>
  <c r="H77" i="3"/>
  <c r="G77" i="3"/>
  <c r="H65" i="3"/>
  <c r="G65" i="3"/>
  <c r="H53" i="3"/>
  <c r="G53" i="3"/>
  <c r="H41" i="3"/>
  <c r="G41" i="3"/>
  <c r="H29" i="3"/>
  <c r="G29" i="3"/>
  <c r="H17" i="3"/>
  <c r="G17" i="3"/>
  <c r="H5" i="3"/>
  <c r="G5" i="3"/>
  <c r="F293" i="3"/>
  <c r="F257" i="3"/>
  <c r="F221" i="3"/>
  <c r="F185" i="3"/>
  <c r="F149" i="3"/>
  <c r="F113" i="3"/>
  <c r="F77" i="3"/>
  <c r="F41" i="3"/>
  <c r="F5" i="3"/>
  <c r="G210" i="3"/>
  <c r="G66" i="3"/>
  <c r="G270" i="3"/>
  <c r="G126" i="3"/>
  <c r="G306" i="3"/>
  <c r="G162" i="3"/>
  <c r="G18" i="3"/>
  <c r="G222" i="3"/>
  <c r="G78" i="3"/>
  <c r="G138" i="3"/>
  <c r="G198" i="3"/>
  <c r="G54" i="3"/>
  <c r="H307" i="3"/>
  <c r="H295" i="3"/>
  <c r="H283" i="3"/>
  <c r="H271" i="3"/>
  <c r="H259" i="3"/>
  <c r="H247" i="3"/>
  <c r="H235" i="3"/>
  <c r="H223" i="3"/>
  <c r="H211" i="3"/>
  <c r="H199" i="3"/>
  <c r="H187" i="3"/>
  <c r="H175" i="3"/>
  <c r="H163" i="3"/>
  <c r="H151" i="3"/>
  <c r="H139" i="3"/>
  <c r="H127" i="3"/>
  <c r="H115" i="3"/>
  <c r="H103" i="3"/>
  <c r="H91" i="3"/>
  <c r="H79" i="3"/>
  <c r="H67" i="3"/>
  <c r="H55" i="3"/>
  <c r="H43" i="3"/>
  <c r="H31" i="3"/>
  <c r="H19" i="3"/>
  <c r="H7" i="3"/>
  <c r="G72" i="4"/>
  <c r="H72" i="4" s="1"/>
  <c r="G82" i="4"/>
  <c r="H82" i="4" s="1"/>
  <c r="G10" i="4"/>
  <c r="H10" i="4" s="1"/>
  <c r="G21" i="4"/>
  <c r="H21" i="4" s="1"/>
  <c r="G129" i="4"/>
  <c r="H129" i="4" s="1"/>
  <c r="G128" i="4"/>
  <c r="H128" i="4" s="1"/>
  <c r="G71" i="4"/>
  <c r="H71" i="4" s="1"/>
  <c r="G116" i="4"/>
  <c r="H116" i="4" s="1"/>
  <c r="G70" i="4"/>
  <c r="H70" i="4" s="1"/>
  <c r="G131" i="4"/>
  <c r="H131" i="4" s="1"/>
  <c r="G59" i="4"/>
  <c r="H59" i="4" s="1"/>
  <c r="G130" i="4"/>
  <c r="H130" i="4" s="1"/>
  <c r="G58" i="4"/>
  <c r="H58" i="4" s="1"/>
  <c r="G119" i="4"/>
  <c r="H119" i="4" s="1"/>
  <c r="G47" i="4"/>
  <c r="H47" i="4" s="1"/>
  <c r="G118" i="4"/>
  <c r="H118" i="4" s="1"/>
  <c r="G46" i="4"/>
  <c r="H46" i="4" s="1"/>
  <c r="G107" i="4"/>
  <c r="H107" i="4" s="1"/>
  <c r="G35" i="4"/>
  <c r="H35" i="4" s="1"/>
  <c r="G106" i="4"/>
  <c r="H106" i="4" s="1"/>
  <c r="G34" i="4"/>
  <c r="H34" i="4" s="1"/>
  <c r="G95" i="4"/>
  <c r="H95" i="4" s="1"/>
  <c r="G23" i="4"/>
  <c r="H23" i="4" s="1"/>
  <c r="G94" i="4"/>
  <c r="H94" i="4" s="1"/>
  <c r="G22" i="4"/>
  <c r="H22" i="4" s="1"/>
  <c r="G83" i="4"/>
  <c r="H83" i="4" s="1"/>
  <c r="G11" i="4"/>
  <c r="H11" i="4" s="1"/>
  <c r="M118" i="4"/>
  <c r="N118" i="4" s="1"/>
  <c r="G132" i="4"/>
  <c r="H132" i="4" s="1"/>
  <c r="G120" i="4"/>
  <c r="H120" i="4" s="1"/>
  <c r="G108" i="4"/>
  <c r="H108" i="4" s="1"/>
  <c r="G96" i="4"/>
  <c r="H96" i="4" s="1"/>
  <c r="G84" i="4"/>
  <c r="H84" i="4" s="1"/>
  <c r="G60" i="4"/>
  <c r="H60" i="4" s="1"/>
  <c r="G48" i="4"/>
  <c r="H48" i="4" s="1"/>
  <c r="G36" i="4"/>
  <c r="H36" i="4" s="1"/>
  <c r="G24" i="4"/>
  <c r="H24" i="4" s="1"/>
  <c r="G12" i="4"/>
  <c r="H12" i="4" s="1"/>
  <c r="G117" i="4"/>
  <c r="H117" i="4" s="1"/>
  <c r="G105" i="4"/>
  <c r="H105" i="4" s="1"/>
  <c r="G93" i="4"/>
  <c r="H93" i="4" s="1"/>
  <c r="G81" i="4"/>
  <c r="H81" i="4" s="1"/>
  <c r="G69" i="4"/>
  <c r="H69" i="4" s="1"/>
  <c r="G57" i="4"/>
  <c r="H57" i="4" s="1"/>
  <c r="G45" i="4"/>
  <c r="H45" i="4" s="1"/>
  <c r="G33" i="4"/>
  <c r="H33" i="4" s="1"/>
  <c r="G9" i="4"/>
  <c r="H9" i="4" s="1"/>
  <c r="G104" i="4"/>
  <c r="H104" i="4" s="1"/>
  <c r="G92" i="4"/>
  <c r="H92" i="4" s="1"/>
  <c r="G80" i="4"/>
  <c r="H80" i="4" s="1"/>
  <c r="G68" i="4"/>
  <c r="H68" i="4" s="1"/>
  <c r="G56" i="4"/>
  <c r="H56" i="4" s="1"/>
  <c r="G44" i="4"/>
  <c r="H44" i="4" s="1"/>
  <c r="G32" i="4"/>
  <c r="H32" i="4" s="1"/>
  <c r="G20" i="4"/>
  <c r="H20" i="4" s="1"/>
  <c r="G8" i="4"/>
  <c r="H8" i="4" s="1"/>
  <c r="G127" i="4"/>
  <c r="H127" i="4" s="1"/>
  <c r="G115" i="4"/>
  <c r="H115" i="4" s="1"/>
  <c r="G103" i="4"/>
  <c r="H103" i="4" s="1"/>
  <c r="G91" i="4"/>
  <c r="H91" i="4" s="1"/>
  <c r="G79" i="4"/>
  <c r="H79" i="4" s="1"/>
  <c r="G67" i="4"/>
  <c r="H67" i="4" s="1"/>
  <c r="G55" i="4"/>
  <c r="H55" i="4" s="1"/>
  <c r="G43" i="4"/>
  <c r="H43" i="4" s="1"/>
  <c r="G31" i="4"/>
  <c r="H31" i="4" s="1"/>
  <c r="G19" i="4"/>
  <c r="H19" i="4" s="1"/>
  <c r="G7" i="4"/>
  <c r="H7" i="4" s="1"/>
  <c r="G126" i="4"/>
  <c r="H126" i="4" s="1"/>
  <c r="G114" i="4"/>
  <c r="H114" i="4" s="1"/>
  <c r="G102" i="4"/>
  <c r="H102" i="4" s="1"/>
  <c r="G90" i="4"/>
  <c r="H90" i="4" s="1"/>
  <c r="G78" i="4"/>
  <c r="H78" i="4" s="1"/>
  <c r="G66" i="4"/>
  <c r="H66" i="4" s="1"/>
  <c r="G54" i="4"/>
  <c r="G42" i="4"/>
  <c r="H42" i="4" s="1"/>
  <c r="G30" i="4"/>
  <c r="H30" i="4" s="1"/>
  <c r="G18" i="4"/>
  <c r="H18" i="4" s="1"/>
  <c r="G6" i="4"/>
  <c r="H6" i="4" s="1"/>
  <c r="G125" i="4"/>
  <c r="H125" i="4" s="1"/>
  <c r="G113" i="4"/>
  <c r="H113" i="4" s="1"/>
  <c r="G101" i="4"/>
  <c r="H101" i="4" s="1"/>
  <c r="G89" i="4"/>
  <c r="H89" i="4" s="1"/>
  <c r="G77" i="4"/>
  <c r="H77" i="4" s="1"/>
  <c r="G65" i="4"/>
  <c r="H65" i="4" s="1"/>
  <c r="G53" i="4"/>
  <c r="H53" i="4" s="1"/>
  <c r="G41" i="4"/>
  <c r="H41" i="4" s="1"/>
  <c r="G29" i="4"/>
  <c r="H29" i="4" s="1"/>
  <c r="G17" i="4"/>
  <c r="H17" i="4" s="1"/>
  <c r="G5" i="4"/>
  <c r="H5" i="4" s="1"/>
  <c r="G136" i="4"/>
  <c r="H136" i="4" s="1"/>
  <c r="G124" i="4"/>
  <c r="H124" i="4" s="1"/>
  <c r="G112" i="4"/>
  <c r="H112" i="4" s="1"/>
  <c r="G100" i="4"/>
  <c r="H100" i="4" s="1"/>
  <c r="G88" i="4"/>
  <c r="H88" i="4" s="1"/>
  <c r="G76" i="4"/>
  <c r="H76" i="4" s="1"/>
  <c r="G64" i="4"/>
  <c r="H64" i="4" s="1"/>
  <c r="G52" i="4"/>
  <c r="H52" i="4" s="1"/>
  <c r="G40" i="4"/>
  <c r="H40" i="4" s="1"/>
  <c r="G28" i="4"/>
  <c r="H28" i="4" s="1"/>
  <c r="G16" i="4"/>
  <c r="H16" i="4" s="1"/>
  <c r="G4" i="4"/>
  <c r="H4" i="4" s="1"/>
  <c r="G135" i="4"/>
  <c r="H135" i="4" s="1"/>
  <c r="G123" i="4"/>
  <c r="H123" i="4" s="1"/>
  <c r="G111" i="4"/>
  <c r="H111" i="4" s="1"/>
  <c r="G99" i="4"/>
  <c r="H99" i="4" s="1"/>
  <c r="G87" i="4"/>
  <c r="H87" i="4" s="1"/>
  <c r="G75" i="4"/>
  <c r="H75" i="4" s="1"/>
  <c r="G63" i="4"/>
  <c r="H63" i="4" s="1"/>
  <c r="G51" i="4"/>
  <c r="H51" i="4" s="1"/>
  <c r="G39" i="4"/>
  <c r="H39" i="4" s="1"/>
  <c r="G27" i="4"/>
  <c r="H27" i="4" s="1"/>
  <c r="G15" i="4"/>
  <c r="H15" i="4" s="1"/>
  <c r="G3" i="4"/>
  <c r="H3" i="4" s="1"/>
  <c r="G134" i="4"/>
  <c r="H134" i="4" s="1"/>
  <c r="G122" i="4"/>
  <c r="H122" i="4" s="1"/>
  <c r="G110" i="4"/>
  <c r="H110" i="4" s="1"/>
  <c r="G98" i="4"/>
  <c r="H98" i="4" s="1"/>
  <c r="G86" i="4"/>
  <c r="H86" i="4" s="1"/>
  <c r="G74" i="4"/>
  <c r="H74" i="4" s="1"/>
  <c r="G62" i="4"/>
  <c r="H62" i="4" s="1"/>
  <c r="G50" i="4"/>
  <c r="H50" i="4" s="1"/>
  <c r="G38" i="4"/>
  <c r="H38" i="4" s="1"/>
  <c r="G26" i="4"/>
  <c r="H26" i="4" s="1"/>
  <c r="G14" i="4"/>
  <c r="H14" i="4" s="1"/>
  <c r="G133" i="4"/>
  <c r="H133" i="4" s="1"/>
  <c r="G121" i="4"/>
  <c r="H121" i="4" s="1"/>
  <c r="G109" i="4"/>
  <c r="H109" i="4" s="1"/>
  <c r="G97" i="4"/>
  <c r="H97" i="4" s="1"/>
  <c r="G85" i="4"/>
  <c r="H85" i="4" s="1"/>
  <c r="G73" i="4"/>
  <c r="H73" i="4" s="1"/>
  <c r="G61" i="4"/>
  <c r="H61" i="4" s="1"/>
  <c r="G49" i="4"/>
  <c r="H49" i="4" s="1"/>
  <c r="G37" i="4"/>
  <c r="H37" i="4" s="1"/>
  <c r="G25" i="4"/>
  <c r="H25" i="4" s="1"/>
  <c r="G13" i="4"/>
  <c r="H13" i="4" s="1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103" i="6"/>
  <c r="AE104" i="6"/>
  <c r="AE105" i="6"/>
  <c r="AE106" i="6"/>
  <c r="AE107" i="6"/>
  <c r="AE108" i="6"/>
  <c r="AE109" i="6"/>
  <c r="AE110" i="6"/>
  <c r="AE111" i="6"/>
  <c r="AE112" i="6"/>
  <c r="AE113" i="6"/>
  <c r="AE114" i="6"/>
  <c r="AE115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B4" i="6"/>
  <c r="E4" i="6" s="1"/>
  <c r="B5" i="6"/>
  <c r="B6" i="6"/>
  <c r="B7" i="6"/>
  <c r="B8" i="6"/>
  <c r="B9" i="6"/>
  <c r="B10" i="6"/>
  <c r="B11" i="6"/>
  <c r="B12" i="6"/>
  <c r="B13" i="6"/>
  <c r="B14" i="6"/>
  <c r="B15" i="6"/>
  <c r="B16" i="6"/>
  <c r="D16" i="6" s="1"/>
  <c r="B17" i="6"/>
  <c r="D17" i="6" s="1"/>
  <c r="B18" i="6"/>
  <c r="D18" i="6" s="1"/>
  <c r="B19" i="6"/>
  <c r="D19" i="6" s="1"/>
  <c r="B20" i="6"/>
  <c r="D20" i="6" s="1"/>
  <c r="B21" i="6"/>
  <c r="E21" i="6" s="1"/>
  <c r="B22" i="6"/>
  <c r="D22" i="6" s="1"/>
  <c r="B23" i="6"/>
  <c r="E23" i="6" s="1"/>
  <c r="B24" i="6"/>
  <c r="D24" i="6" s="1"/>
  <c r="B25" i="6"/>
  <c r="D25" i="6" s="1"/>
  <c r="B26" i="6"/>
  <c r="E26" i="6" s="1"/>
  <c r="B27" i="6"/>
  <c r="E27" i="6" s="1"/>
  <c r="B28" i="6"/>
  <c r="D28" i="6" s="1"/>
  <c r="B29" i="6"/>
  <c r="D29" i="6" s="1"/>
  <c r="B30" i="6"/>
  <c r="D30" i="6" s="1"/>
  <c r="B31" i="6"/>
  <c r="E31" i="6" s="1"/>
  <c r="B32" i="6"/>
  <c r="D32" i="6" s="1"/>
  <c r="B33" i="6"/>
  <c r="E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E39" i="6" s="1"/>
  <c r="B40" i="6"/>
  <c r="D40" i="6" s="1"/>
  <c r="B41" i="6"/>
  <c r="D41" i="6" s="1"/>
  <c r="B42" i="6"/>
  <c r="D42" i="6" s="1"/>
  <c r="B43" i="6"/>
  <c r="E43" i="6" s="1"/>
  <c r="B44" i="6"/>
  <c r="E44" i="6" s="1"/>
  <c r="B45" i="6"/>
  <c r="E45" i="6" s="1"/>
  <c r="B46" i="6"/>
  <c r="D46" i="6" s="1"/>
  <c r="B47" i="6"/>
  <c r="E47" i="6" s="1"/>
  <c r="B48" i="6"/>
  <c r="D48" i="6" s="1"/>
  <c r="B49" i="6"/>
  <c r="D49" i="6" s="1"/>
  <c r="B50" i="6"/>
  <c r="D50" i="6" s="1"/>
  <c r="B51" i="6"/>
  <c r="E51" i="6" s="1"/>
  <c r="B52" i="6"/>
  <c r="D52" i="6" s="1"/>
  <c r="B53" i="6"/>
  <c r="D53" i="6" s="1"/>
  <c r="B54" i="6"/>
  <c r="D54" i="6" s="1"/>
  <c r="B55" i="6"/>
  <c r="D55" i="6" s="1"/>
  <c r="B56" i="6"/>
  <c r="D56" i="6" s="1"/>
  <c r="B57" i="6"/>
  <c r="E57" i="6" s="1"/>
  <c r="B58" i="6"/>
  <c r="D58" i="6" s="1"/>
  <c r="B59" i="6"/>
  <c r="E59" i="6" s="1"/>
  <c r="B60" i="6"/>
  <c r="D60" i="6" s="1"/>
  <c r="B61" i="6"/>
  <c r="E61" i="6" s="1"/>
  <c r="B62" i="6"/>
  <c r="E62" i="6" s="1"/>
  <c r="B63" i="6"/>
  <c r="E63" i="6" s="1"/>
  <c r="B64" i="6"/>
  <c r="D64" i="6" s="1"/>
  <c r="B65" i="6"/>
  <c r="D65" i="6" s="1"/>
  <c r="B66" i="6"/>
  <c r="D66" i="6" s="1"/>
  <c r="B67" i="6"/>
  <c r="D67" i="6" s="1"/>
  <c r="B68" i="6"/>
  <c r="D68" i="6" s="1"/>
  <c r="B69" i="6"/>
  <c r="E69" i="6" s="1"/>
  <c r="B70" i="6"/>
  <c r="D70" i="6" s="1"/>
  <c r="B71" i="6"/>
  <c r="E71" i="6" s="1"/>
  <c r="B72" i="6"/>
  <c r="D72" i="6" s="1"/>
  <c r="B73" i="6"/>
  <c r="E73" i="6" s="1"/>
  <c r="B74" i="6"/>
  <c r="E74" i="6" s="1"/>
  <c r="B75" i="6"/>
  <c r="E75" i="6" s="1"/>
  <c r="B76" i="6"/>
  <c r="D76" i="6" s="1"/>
  <c r="B77" i="6"/>
  <c r="D77" i="6" s="1"/>
  <c r="B78" i="6"/>
  <c r="D78" i="6" s="1"/>
  <c r="B79" i="6"/>
  <c r="D79" i="6" s="1"/>
  <c r="B80" i="6"/>
  <c r="D80" i="6" s="1"/>
  <c r="B81" i="6"/>
  <c r="E81" i="6" s="1"/>
  <c r="B82" i="6"/>
  <c r="D82" i="6" s="1"/>
  <c r="B83" i="6"/>
  <c r="E83" i="6" s="1"/>
  <c r="B84" i="6"/>
  <c r="D84" i="6" s="1"/>
  <c r="B85" i="6"/>
  <c r="D85" i="6" s="1"/>
  <c r="B86" i="6"/>
  <c r="E86" i="6" s="1"/>
  <c r="B87" i="6"/>
  <c r="E87" i="6" s="1"/>
  <c r="B88" i="6"/>
  <c r="D88" i="6" s="1"/>
  <c r="B89" i="6"/>
  <c r="D89" i="6" s="1"/>
  <c r="B90" i="6"/>
  <c r="D90" i="6" s="1"/>
  <c r="B91" i="6"/>
  <c r="E91" i="6" s="1"/>
  <c r="B92" i="6"/>
  <c r="E92" i="6" s="1"/>
  <c r="B93" i="6"/>
  <c r="E93" i="6" s="1"/>
  <c r="B94" i="6"/>
  <c r="D94" i="6" s="1"/>
  <c r="B95" i="6"/>
  <c r="E95" i="6" s="1"/>
  <c r="B96" i="6"/>
  <c r="D96" i="6" s="1"/>
  <c r="B97" i="6"/>
  <c r="D97" i="6" s="1"/>
  <c r="B98" i="6"/>
  <c r="D98" i="6" s="1"/>
  <c r="B99" i="6"/>
  <c r="E99" i="6" s="1"/>
  <c r="B100" i="6"/>
  <c r="D100" i="6" s="1"/>
  <c r="B101" i="6"/>
  <c r="D101" i="6" s="1"/>
  <c r="B102" i="6"/>
  <c r="D102" i="6" s="1"/>
  <c r="B103" i="6"/>
  <c r="D103" i="6" s="1"/>
  <c r="B104" i="6"/>
  <c r="D104" i="6" s="1"/>
  <c r="B105" i="6"/>
  <c r="E105" i="6" s="1"/>
  <c r="B106" i="6"/>
  <c r="D106" i="6" s="1"/>
  <c r="B107" i="6"/>
  <c r="E107" i="6" s="1"/>
  <c r="B108" i="6"/>
  <c r="D108" i="6" s="1"/>
  <c r="B109" i="6"/>
  <c r="E109" i="6" s="1"/>
  <c r="B110" i="6"/>
  <c r="D110" i="6" s="1"/>
  <c r="B111" i="6"/>
  <c r="E111" i="6" s="1"/>
  <c r="B112" i="6"/>
  <c r="D112" i="6" s="1"/>
  <c r="B113" i="6"/>
  <c r="D113" i="6" s="1"/>
  <c r="B114" i="6"/>
  <c r="D114" i="6" s="1"/>
  <c r="B115" i="6"/>
  <c r="D115" i="6" s="1"/>
  <c r="D8" i="6"/>
  <c r="D83" i="6"/>
  <c r="E35" i="6"/>
  <c r="AJ3" i="6"/>
  <c r="AI3" i="6"/>
  <c r="AH3" i="6"/>
  <c r="AG3" i="6"/>
  <c r="AF3" i="6"/>
  <c r="AE3" i="6"/>
  <c r="E70" i="6" l="1"/>
  <c r="E28" i="6"/>
  <c r="E16" i="6"/>
  <c r="E94" i="6"/>
  <c r="E49" i="6"/>
  <c r="D61" i="6"/>
  <c r="E112" i="6"/>
  <c r="E89" i="6"/>
  <c r="E79" i="6"/>
  <c r="E80" i="6"/>
  <c r="D11" i="6"/>
  <c r="D107" i="6"/>
  <c r="E13" i="6"/>
  <c r="D7" i="6"/>
  <c r="D47" i="6"/>
  <c r="D10" i="6"/>
  <c r="D4" i="6"/>
  <c r="D6" i="6"/>
  <c r="E11" i="6"/>
  <c r="D23" i="6"/>
  <c r="E15" i="6"/>
  <c r="E9" i="6"/>
  <c r="D12" i="6"/>
  <c r="D5" i="6"/>
  <c r="E65" i="6"/>
  <c r="D14" i="6"/>
  <c r="E8" i="6"/>
  <c r="E53" i="6"/>
  <c r="D71" i="6"/>
  <c r="D59" i="6"/>
  <c r="E97" i="6"/>
  <c r="E67" i="6"/>
  <c r="E29" i="6"/>
  <c r="D95" i="6"/>
  <c r="D31" i="6"/>
  <c r="E104" i="6"/>
  <c r="E37" i="6"/>
  <c r="E25" i="6"/>
  <c r="E7" i="6"/>
  <c r="D73" i="6"/>
  <c r="D44" i="6"/>
  <c r="E103" i="6"/>
  <c r="E85" i="6"/>
  <c r="E19" i="6"/>
  <c r="D92" i="6"/>
  <c r="D43" i="6"/>
  <c r="D13" i="6"/>
  <c r="E115" i="6"/>
  <c r="E101" i="6"/>
  <c r="E68" i="6"/>
  <c r="E50" i="6"/>
  <c r="E17" i="6"/>
  <c r="D109" i="6"/>
  <c r="D91" i="6"/>
  <c r="D62" i="6"/>
  <c r="E14" i="6"/>
  <c r="D26" i="6"/>
  <c r="E110" i="6"/>
  <c r="E38" i="6"/>
  <c r="D74" i="6"/>
  <c r="E58" i="6"/>
  <c r="E100" i="6"/>
  <c r="E88" i="6"/>
  <c r="E76" i="6"/>
  <c r="E56" i="6"/>
  <c r="E46" i="6"/>
  <c r="E34" i="6"/>
  <c r="D86" i="6"/>
  <c r="E98" i="6"/>
  <c r="E55" i="6"/>
  <c r="E32" i="6"/>
  <c r="E20" i="6"/>
  <c r="E10" i="6"/>
  <c r="E106" i="6"/>
  <c r="E64" i="6"/>
  <c r="E40" i="6"/>
  <c r="E82" i="6"/>
  <c r="E52" i="6"/>
  <c r="E22" i="6"/>
  <c r="E113" i="6"/>
  <c r="E77" i="6"/>
  <c r="E41" i="6"/>
  <c r="E5" i="6"/>
  <c r="E114" i="6"/>
  <c r="E108" i="6"/>
  <c r="E102" i="6"/>
  <c r="E96" i="6"/>
  <c r="E90" i="6"/>
  <c r="E84" i="6"/>
  <c r="E78" i="6"/>
  <c r="E72" i="6"/>
  <c r="E66" i="6"/>
  <c r="E60" i="6"/>
  <c r="E54" i="6"/>
  <c r="E48" i="6"/>
  <c r="E42" i="6"/>
  <c r="E36" i="6"/>
  <c r="E30" i="6"/>
  <c r="E24" i="6"/>
  <c r="E18" i="6"/>
  <c r="E12" i="6"/>
  <c r="E6" i="6"/>
  <c r="D111" i="6"/>
  <c r="D105" i="6"/>
  <c r="D99" i="6"/>
  <c r="D93" i="6"/>
  <c r="D87" i="6"/>
  <c r="D81" i="6"/>
  <c r="D75" i="6"/>
  <c r="D69" i="6"/>
  <c r="D63" i="6"/>
  <c r="D57" i="6"/>
  <c r="D51" i="6"/>
  <c r="D45" i="6"/>
  <c r="D39" i="6"/>
  <c r="D33" i="6"/>
  <c r="D27" i="6"/>
  <c r="D21" i="6"/>
  <c r="D15" i="6"/>
  <c r="D9" i="6"/>
  <c r="B3" i="6" l="1"/>
  <c r="C28" i="1" l="1"/>
  <c r="D28" i="1"/>
  <c r="F28" i="1"/>
  <c r="F12" i="1"/>
  <c r="F26" i="1"/>
  <c r="F11" i="1"/>
  <c r="F17" i="1"/>
  <c r="F23" i="1"/>
  <c r="C27" i="1"/>
  <c r="D27" i="1"/>
  <c r="C26" i="1"/>
  <c r="D26" i="1"/>
  <c r="C25" i="1"/>
  <c r="D25" i="1"/>
  <c r="C24" i="1"/>
  <c r="D24" i="1"/>
  <c r="F6" i="1"/>
  <c r="F7" i="1"/>
  <c r="F19" i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E28" i="1" l="1"/>
  <c r="G28" i="1" s="1"/>
  <c r="E27" i="1"/>
  <c r="F27" i="1"/>
  <c r="F15" i="1"/>
  <c r="F18" i="1"/>
  <c r="F13" i="1"/>
  <c r="F24" i="1"/>
  <c r="F22" i="1"/>
  <c r="F16" i="1"/>
  <c r="F10" i="1"/>
  <c r="F9" i="1"/>
  <c r="F21" i="1"/>
  <c r="F20" i="1"/>
  <c r="F14" i="1"/>
  <c r="F8" i="1"/>
  <c r="F25" i="1"/>
  <c r="E26" i="1"/>
  <c r="G26" i="1" s="1"/>
  <c r="E25" i="1"/>
  <c r="E24" i="1"/>
  <c r="E22" i="1"/>
  <c r="E16" i="1"/>
  <c r="E10" i="1"/>
  <c r="E21" i="1"/>
  <c r="E15" i="1"/>
  <c r="E9" i="1"/>
  <c r="E20" i="1"/>
  <c r="E14" i="1"/>
  <c r="E8" i="1"/>
  <c r="E19" i="1"/>
  <c r="G19" i="1" s="1"/>
  <c r="E13" i="1"/>
  <c r="E7" i="1"/>
  <c r="G7" i="1" s="1"/>
  <c r="E18" i="1"/>
  <c r="E12" i="1"/>
  <c r="G12" i="1" s="1"/>
  <c r="E6" i="1"/>
  <c r="G6" i="1" s="1"/>
  <c r="E23" i="1"/>
  <c r="G23" i="1" s="1"/>
  <c r="E17" i="1"/>
  <c r="G17" i="1" s="1"/>
  <c r="E11" i="1"/>
  <c r="G11" i="1" s="1"/>
  <c r="D29" i="1"/>
  <c r="C29" i="1"/>
  <c r="G8" i="1" l="1"/>
  <c r="G27" i="1"/>
  <c r="G21" i="1"/>
  <c r="G25" i="1"/>
  <c r="G14" i="1"/>
  <c r="G20" i="1"/>
  <c r="G16" i="1"/>
  <c r="G22" i="1"/>
  <c r="G24" i="1"/>
  <c r="G13" i="1"/>
  <c r="G9" i="1"/>
  <c r="G18" i="1"/>
  <c r="G10" i="1"/>
  <c r="G15" i="1"/>
  <c r="F29" i="1"/>
  <c r="E29" i="1"/>
  <c r="N2667" i="7" l="1"/>
  <c r="N2559" i="7"/>
  <c r="N2451" i="7"/>
  <c r="N2319" i="7"/>
  <c r="N2175" i="7"/>
  <c r="N2031" i="7"/>
  <c r="N1899" i="7"/>
  <c r="N1767" i="7"/>
  <c r="N1647" i="7"/>
  <c r="N1563" i="7"/>
  <c r="N1479" i="7"/>
  <c r="N1359" i="7"/>
  <c r="N1203" i="7"/>
  <c r="N1095" i="7"/>
  <c r="N963" i="7"/>
  <c r="N831" i="7"/>
  <c r="N699" i="7"/>
  <c r="N591" i="7"/>
  <c r="N483" i="7"/>
  <c r="N351" i="7"/>
  <c r="N303" i="7"/>
  <c r="N219" i="7"/>
  <c r="N159" i="7"/>
  <c r="N111" i="7"/>
  <c r="N27" i="7"/>
  <c r="N2630" i="7"/>
  <c r="N2498" i="7"/>
  <c r="N2354" i="7"/>
  <c r="N2138" i="7"/>
  <c r="N2030" i="7"/>
  <c r="N1922" i="7"/>
  <c r="N1838" i="7"/>
  <c r="N1754" i="7"/>
  <c r="N1646" i="7"/>
  <c r="N1538" i="7"/>
  <c r="N1442" i="7"/>
  <c r="N1358" i="7"/>
  <c r="N1262" i="7"/>
  <c r="N1142" i="7"/>
  <c r="N1022" i="7"/>
  <c r="N878" i="7"/>
  <c r="N758" i="7"/>
  <c r="N650" i="7"/>
  <c r="N518" i="7"/>
  <c r="N410" i="7"/>
  <c r="N314" i="7"/>
  <c r="N218" i="7"/>
  <c r="N146" i="7"/>
  <c r="N38" i="7"/>
  <c r="N2664" i="7"/>
  <c r="N2556" i="7"/>
  <c r="N2124" i="7"/>
  <c r="N24" i="7"/>
  <c r="N2607" i="7"/>
  <c r="N2499" i="7"/>
  <c r="N2343" i="7"/>
  <c r="N2223" i="7"/>
  <c r="N2079" i="7"/>
  <c r="N1971" i="7"/>
  <c r="N1887" i="7"/>
  <c r="N1815" i="7"/>
  <c r="N1731" i="7"/>
  <c r="N1695" i="7"/>
  <c r="N1623" i="7"/>
  <c r="N1527" i="7"/>
  <c r="N1419" i="7"/>
  <c r="N1311" i="7"/>
  <c r="N1251" i="7"/>
  <c r="N1167" i="7"/>
  <c r="N1071" i="7"/>
  <c r="N987" i="7"/>
  <c r="N891" i="7"/>
  <c r="N783" i="7"/>
  <c r="N687" i="7"/>
  <c r="N579" i="7"/>
  <c r="N423" i="7"/>
  <c r="N243" i="7"/>
  <c r="N63" i="7"/>
  <c r="N2654" i="7"/>
  <c r="N2594" i="7"/>
  <c r="N2546" i="7"/>
  <c r="N2486" i="7"/>
  <c r="N2414" i="7"/>
  <c r="N2342" i="7"/>
  <c r="N2282" i="7"/>
  <c r="N2222" i="7"/>
  <c r="N2150" i="7"/>
  <c r="N2078" i="7"/>
  <c r="N1982" i="7"/>
  <c r="N1886" i="7"/>
  <c r="N1790" i="7"/>
  <c r="N1682" i="7"/>
  <c r="N1574" i="7"/>
  <c r="N1478" i="7"/>
  <c r="N1346" i="7"/>
  <c r="N1226" i="7"/>
  <c r="N1166" i="7"/>
  <c r="N1082" i="7"/>
  <c r="N1010" i="7"/>
  <c r="N962" i="7"/>
  <c r="N890" i="7"/>
  <c r="N794" i="7"/>
  <c r="N674" i="7"/>
  <c r="N578" i="7"/>
  <c r="N482" i="7"/>
  <c r="N386" i="7"/>
  <c r="N278" i="7"/>
  <c r="N170" i="7"/>
  <c r="N14" i="7"/>
  <c r="N2520" i="7"/>
  <c r="N2292" i="7"/>
  <c r="N2064" i="7"/>
  <c r="N1740" i="7"/>
  <c r="N2691" i="7"/>
  <c r="N2595" i="7"/>
  <c r="N2487" i="7"/>
  <c r="N2367" i="7"/>
  <c r="N2247" i="7"/>
  <c r="N2139" i="7"/>
  <c r="N2043" i="7"/>
  <c r="N1911" i="7"/>
  <c r="N1791" i="7"/>
  <c r="N1659" i="7"/>
  <c r="N1515" i="7"/>
  <c r="N1395" i="7"/>
  <c r="N1275" i="7"/>
  <c r="N1131" i="7"/>
  <c r="N1023" i="7"/>
  <c r="N915" i="7"/>
  <c r="N771" i="7"/>
  <c r="N663" i="7"/>
  <c r="N555" i="7"/>
  <c r="N459" i="7"/>
  <c r="N399" i="7"/>
  <c r="N327" i="7"/>
  <c r="N267" i="7"/>
  <c r="N195" i="7"/>
  <c r="N99" i="7"/>
  <c r="N39" i="7"/>
  <c r="N3" i="7"/>
  <c r="N2666" i="7"/>
  <c r="N2522" i="7"/>
  <c r="N2378" i="7"/>
  <c r="N2210" i="7"/>
  <c r="N2102" i="7"/>
  <c r="N1958" i="7"/>
  <c r="N1862" i="7"/>
  <c r="N1730" i="7"/>
  <c r="N1610" i="7"/>
  <c r="N1490" i="7"/>
  <c r="N1394" i="7"/>
  <c r="N1298" i="7"/>
  <c r="N1202" i="7"/>
  <c r="N1070" i="7"/>
  <c r="N950" i="7"/>
  <c r="N842" i="7"/>
  <c r="N746" i="7"/>
  <c r="N626" i="7"/>
  <c r="N542" i="7"/>
  <c r="N434" i="7"/>
  <c r="N338" i="7"/>
  <c r="N206" i="7"/>
  <c r="N134" i="7"/>
  <c r="N50" i="7"/>
  <c r="N2676" i="7"/>
  <c r="N2568" i="7"/>
  <c r="N2496" i="7"/>
  <c r="N2412" i="7"/>
  <c r="N2340" i="7"/>
  <c r="N2208" i="7"/>
  <c r="N2016" i="7"/>
  <c r="N1704" i="7"/>
  <c r="N2631" i="7"/>
  <c r="N2523" i="7"/>
  <c r="N2427" i="7"/>
  <c r="N2355" i="7"/>
  <c r="N2283" i="7"/>
  <c r="N2163" i="7"/>
  <c r="N2067" i="7"/>
  <c r="N1959" i="7"/>
  <c r="N1839" i="7"/>
  <c r="N1755" i="7"/>
  <c r="N1635" i="7"/>
  <c r="N1539" i="7"/>
  <c r="N1431" i="7"/>
  <c r="N1287" i="7"/>
  <c r="N1179" i="7"/>
  <c r="N1047" i="7"/>
  <c r="N927" i="7"/>
  <c r="N819" i="7"/>
  <c r="N711" i="7"/>
  <c r="N603" i="7"/>
  <c r="N519" i="7"/>
  <c r="N411" i="7"/>
  <c r="N291" i="7"/>
  <c r="N183" i="7"/>
  <c r="N87" i="7"/>
  <c r="N2702" i="7"/>
  <c r="N2582" i="7"/>
  <c r="N2450" i="7"/>
  <c r="N2330" i="7"/>
  <c r="N2234" i="7"/>
  <c r="N2126" i="7"/>
  <c r="N2018" i="7"/>
  <c r="N1946" i="7"/>
  <c r="N1826" i="7"/>
  <c r="N1718" i="7"/>
  <c r="N1622" i="7"/>
  <c r="N1526" i="7"/>
  <c r="N1406" i="7"/>
  <c r="N1334" i="7"/>
  <c r="N1250" i="7"/>
  <c r="N1130" i="7"/>
  <c r="N1034" i="7"/>
  <c r="N914" i="7"/>
  <c r="N806" i="7"/>
  <c r="N710" i="7"/>
  <c r="N602" i="7"/>
  <c r="N494" i="7"/>
  <c r="N398" i="7"/>
  <c r="N302" i="7"/>
  <c r="N242" i="7"/>
  <c r="N158" i="7"/>
  <c r="N62" i="7"/>
  <c r="N2700" i="7"/>
  <c r="N2652" i="7"/>
  <c r="N2604" i="7"/>
  <c r="N2532" i="7"/>
  <c r="N2472" i="7"/>
  <c r="N2436" i="7"/>
  <c r="N2388" i="7"/>
  <c r="N2316" i="7"/>
  <c r="N2256" i="7"/>
  <c r="N2220" i="7"/>
  <c r="N2160" i="7"/>
  <c r="N2136" i="7"/>
  <c r="N2052" i="7"/>
  <c r="N1992" i="7"/>
  <c r="N1944" i="7"/>
  <c r="N1908" i="7"/>
  <c r="N1860" i="7"/>
  <c r="N1812" i="7"/>
  <c r="N1716" i="7"/>
  <c r="N2643" i="7"/>
  <c r="N2547" i="7"/>
  <c r="N2415" i="7"/>
  <c r="N2295" i="7"/>
  <c r="N2199" i="7"/>
  <c r="N2091" i="7"/>
  <c r="N2019" i="7"/>
  <c r="N1935" i="7"/>
  <c r="N1827" i="7"/>
  <c r="N1707" i="7"/>
  <c r="N1587" i="7"/>
  <c r="N1503" i="7"/>
  <c r="N1383" i="7"/>
  <c r="N1263" i="7"/>
  <c r="N1143" i="7"/>
  <c r="N1035" i="7"/>
  <c r="N939" i="7"/>
  <c r="N867" i="7"/>
  <c r="N807" i="7"/>
  <c r="N675" i="7"/>
  <c r="N567" i="7"/>
  <c r="N447" i="7"/>
  <c r="N339" i="7"/>
  <c r="N207" i="7"/>
  <c r="N75" i="7"/>
  <c r="N2642" i="7"/>
  <c r="N2510" i="7"/>
  <c r="N2390" i="7"/>
  <c r="N2258" i="7"/>
  <c r="N2114" i="7"/>
  <c r="N2006" i="7"/>
  <c r="N1910" i="7"/>
  <c r="N1802" i="7"/>
  <c r="N1670" i="7"/>
  <c r="N1550" i="7"/>
  <c r="N1418" i="7"/>
  <c r="N1286" i="7"/>
  <c r="N1118" i="7"/>
  <c r="N998" i="7"/>
  <c r="N854" i="7"/>
  <c r="N734" i="7"/>
  <c r="N590" i="7"/>
  <c r="N458" i="7"/>
  <c r="N350" i="7"/>
  <c r="N230" i="7"/>
  <c r="N74" i="7"/>
  <c r="N2628" i="7"/>
  <c r="N2352" i="7"/>
  <c r="N2100" i="7"/>
  <c r="N1896" i="7"/>
  <c r="N1680" i="7"/>
  <c r="N2655" i="7"/>
  <c r="N2535" i="7"/>
  <c r="N2403" i="7"/>
  <c r="N2307" i="7"/>
  <c r="N2211" i="7"/>
  <c r="N2127" i="7"/>
  <c r="N2007" i="7"/>
  <c r="N1947" i="7"/>
  <c r="N1863" i="7"/>
  <c r="N1779" i="7"/>
  <c r="N1683" i="7"/>
  <c r="N1575" i="7"/>
  <c r="N1491" i="7"/>
  <c r="N1407" i="7"/>
  <c r="N1371" i="7"/>
  <c r="N1299" i="7"/>
  <c r="N1239" i="7"/>
  <c r="N1155" i="7"/>
  <c r="N1083" i="7"/>
  <c r="N999" i="7"/>
  <c r="N903" i="7"/>
  <c r="N795" i="7"/>
  <c r="N723" i="7"/>
  <c r="N639" i="7"/>
  <c r="N531" i="7"/>
  <c r="N435" i="7"/>
  <c r="N315" i="7"/>
  <c r="N171" i="7"/>
  <c r="N15" i="7"/>
  <c r="N2690" i="7"/>
  <c r="N2618" i="7"/>
  <c r="N2534" i="7"/>
  <c r="N2462" i="7"/>
  <c r="N2402" i="7"/>
  <c r="N2306" i="7"/>
  <c r="N2246" i="7"/>
  <c r="N2162" i="7"/>
  <c r="N2066" i="7"/>
  <c r="N1994" i="7"/>
  <c r="N1874" i="7"/>
  <c r="N1766" i="7"/>
  <c r="N1694" i="7"/>
  <c r="N1598" i="7"/>
  <c r="N1514" i="7"/>
  <c r="N1430" i="7"/>
  <c r="N1310" i="7"/>
  <c r="N1190" i="7"/>
  <c r="N1094" i="7"/>
  <c r="N986" i="7"/>
  <c r="N938" i="7"/>
  <c r="N866" i="7"/>
  <c r="N782" i="7"/>
  <c r="N722" i="7"/>
  <c r="N662" i="7"/>
  <c r="N614" i="7"/>
  <c r="N506" i="7"/>
  <c r="N374" i="7"/>
  <c r="N266" i="7"/>
  <c r="N122" i="7"/>
  <c r="N2592" i="7"/>
  <c r="N2328" i="7"/>
  <c r="N2088" i="7"/>
  <c r="N1848" i="7"/>
  <c r="N1692" i="7"/>
  <c r="N2703" i="7"/>
  <c r="N2583" i="7"/>
  <c r="N2463" i="7"/>
  <c r="N2331" i="7"/>
  <c r="N2235" i="7"/>
  <c r="N2115" i="7"/>
  <c r="N1995" i="7"/>
  <c r="N1875" i="7"/>
  <c r="N1743" i="7"/>
  <c r="N1599" i="7"/>
  <c r="N1467" i="7"/>
  <c r="N1323" i="7"/>
  <c r="N1191" i="7"/>
  <c r="N1059" i="7"/>
  <c r="N951" i="7"/>
  <c r="N843" i="7"/>
  <c r="N747" i="7"/>
  <c r="N651" i="7"/>
  <c r="N543" i="7"/>
  <c r="N471" i="7"/>
  <c r="N387" i="7"/>
  <c r="N279" i="7"/>
  <c r="N135" i="7"/>
  <c r="N2606" i="7"/>
  <c r="N2474" i="7"/>
  <c r="N2366" i="7"/>
  <c r="N2270" i="7"/>
  <c r="N2174" i="7"/>
  <c r="N2042" i="7"/>
  <c r="N1898" i="7"/>
  <c r="N1778" i="7"/>
  <c r="N1634" i="7"/>
  <c r="N1502" i="7"/>
  <c r="N1382" i="7"/>
  <c r="N1238" i="7"/>
  <c r="N1154" i="7"/>
  <c r="N1058" i="7"/>
  <c r="N926" i="7"/>
  <c r="N818" i="7"/>
  <c r="N686" i="7"/>
  <c r="N566" i="7"/>
  <c r="N470" i="7"/>
  <c r="N362" i="7"/>
  <c r="N254" i="7"/>
  <c r="N86" i="7"/>
  <c r="N2424" i="7"/>
  <c r="N2184" i="7"/>
  <c r="N1968" i="7"/>
  <c r="N1788" i="7"/>
  <c r="N1668" i="7"/>
  <c r="N2679" i="7"/>
  <c r="N2571" i="7"/>
  <c r="N2475" i="7"/>
  <c r="N2379" i="7"/>
  <c r="N2259" i="7"/>
  <c r="N2151" i="7"/>
  <c r="N2055" i="7"/>
  <c r="N1923" i="7"/>
  <c r="N1803" i="7"/>
  <c r="N1671" i="7"/>
  <c r="N1551" i="7"/>
  <c r="N1443" i="7"/>
  <c r="N1335" i="7"/>
  <c r="N1227" i="7"/>
  <c r="N1119" i="7"/>
  <c r="N1011" i="7"/>
  <c r="N879" i="7"/>
  <c r="N759" i="7"/>
  <c r="N627" i="7"/>
  <c r="N507" i="7"/>
  <c r="N363" i="7"/>
  <c r="N231" i="7"/>
  <c r="N123" i="7"/>
  <c r="N2570" i="7"/>
  <c r="N2426" i="7"/>
  <c r="N2294" i="7"/>
  <c r="N2186" i="7"/>
  <c r="N2054" i="7"/>
  <c r="N1934" i="7"/>
  <c r="N1814" i="7"/>
  <c r="N1706" i="7"/>
  <c r="N1586" i="7"/>
  <c r="N1454" i="7"/>
  <c r="N1322" i="7"/>
  <c r="N1214" i="7"/>
  <c r="N1106" i="7"/>
  <c r="N974" i="7"/>
  <c r="N830" i="7"/>
  <c r="N698" i="7"/>
  <c r="N554" i="7"/>
  <c r="N446" i="7"/>
  <c r="N326" i="7"/>
  <c r="N194" i="7"/>
  <c r="N110" i="7"/>
  <c r="N2688" i="7"/>
  <c r="N2580" i="7"/>
  <c r="N2508" i="7"/>
  <c r="N2460" i="7"/>
  <c r="N2400" i="7"/>
  <c r="N2364" i="7"/>
  <c r="N2280" i="7"/>
  <c r="N2244" i="7"/>
  <c r="N2196" i="7"/>
  <c r="N2112" i="7"/>
  <c r="N2040" i="7"/>
  <c r="N1980" i="7"/>
  <c r="N1932" i="7"/>
  <c r="N1884" i="7"/>
  <c r="N1836" i="7"/>
  <c r="N1800" i="7"/>
  <c r="N1764" i="7"/>
  <c r="N1656" i="7"/>
  <c r="N2619" i="7"/>
  <c r="N2511" i="7"/>
  <c r="N2439" i="7"/>
  <c r="N2391" i="7"/>
  <c r="N2271" i="7"/>
  <c r="N2187" i="7"/>
  <c r="N2103" i="7"/>
  <c r="N1983" i="7"/>
  <c r="N1851" i="7"/>
  <c r="N1719" i="7"/>
  <c r="N1611" i="7"/>
  <c r="N1455" i="7"/>
  <c r="N1347" i="7"/>
  <c r="N1215" i="7"/>
  <c r="N1107" i="7"/>
  <c r="N975" i="7"/>
  <c r="N855" i="7"/>
  <c r="N735" i="7"/>
  <c r="N615" i="7"/>
  <c r="N495" i="7"/>
  <c r="N375" i="7"/>
  <c r="N255" i="7"/>
  <c r="N147" i="7"/>
  <c r="N51" i="7"/>
  <c r="N2678" i="7"/>
  <c r="N2558" i="7"/>
  <c r="N2438" i="7"/>
  <c r="N2318" i="7"/>
  <c r="N2198" i="7"/>
  <c r="N2090" i="7"/>
  <c r="N1970" i="7"/>
  <c r="N1850" i="7"/>
  <c r="N1742" i="7"/>
  <c r="N1658" i="7"/>
  <c r="N1562" i="7"/>
  <c r="N1466" i="7"/>
  <c r="N1370" i="7"/>
  <c r="N1274" i="7"/>
  <c r="N1178" i="7"/>
  <c r="N1046" i="7"/>
  <c r="N902" i="7"/>
  <c r="N770" i="7"/>
  <c r="N638" i="7"/>
  <c r="N530" i="7"/>
  <c r="N422" i="7"/>
  <c r="N290" i="7"/>
  <c r="N182" i="7"/>
  <c r="N98" i="7"/>
  <c r="N26" i="7"/>
  <c r="N2640" i="7"/>
  <c r="N2616" i="7"/>
  <c r="N2544" i="7"/>
  <c r="N2484" i="7"/>
  <c r="N2448" i="7"/>
  <c r="N2376" i="7"/>
  <c r="N2304" i="7"/>
  <c r="N2268" i="7"/>
  <c r="N2232" i="7"/>
  <c r="N2172" i="7"/>
  <c r="N2148" i="7"/>
  <c r="N2076" i="7"/>
  <c r="N2028" i="7"/>
  <c r="N2004" i="7"/>
  <c r="N1956" i="7"/>
  <c r="N1920" i="7"/>
  <c r="N1872" i="7"/>
  <c r="N1824" i="7"/>
  <c r="N1776" i="7"/>
  <c r="N1752" i="7"/>
  <c r="N1728" i="7"/>
  <c r="N2701" i="7"/>
  <c r="N2689" i="7"/>
  <c r="N2677" i="7"/>
  <c r="N2665" i="7"/>
  <c r="N2653" i="7"/>
  <c r="N2641" i="7"/>
  <c r="N2629" i="7"/>
  <c r="N2617" i="7"/>
  <c r="N2605" i="7"/>
  <c r="N2593" i="7"/>
  <c r="N2581" i="7"/>
  <c r="N2569" i="7"/>
  <c r="N2557" i="7"/>
  <c r="N2545" i="7"/>
  <c r="N2533" i="7"/>
  <c r="N2521" i="7"/>
  <c r="N2509" i="7"/>
  <c r="N2497" i="7"/>
  <c r="N2485" i="7"/>
  <c r="N2473" i="7"/>
  <c r="N2461" i="7"/>
  <c r="N2449" i="7"/>
  <c r="N2437" i="7"/>
  <c r="N2425" i="7"/>
  <c r="N2413" i="7"/>
  <c r="N2401" i="7"/>
  <c r="N2389" i="7"/>
  <c r="N2377" i="7"/>
  <c r="N2365" i="7"/>
  <c r="N2353" i="7"/>
  <c r="N2341" i="7"/>
  <c r="N2329" i="7"/>
  <c r="N2317" i="7"/>
  <c r="N2305" i="7"/>
  <c r="N2293" i="7"/>
  <c r="N2281" i="7"/>
  <c r="N2269" i="7"/>
  <c r="N2257" i="7"/>
  <c r="N2245" i="7"/>
  <c r="N2233" i="7"/>
  <c r="N2221" i="7"/>
  <c r="N2209" i="7"/>
  <c r="N2197" i="7"/>
  <c r="N2185" i="7"/>
  <c r="N2173" i="7"/>
  <c r="N2161" i="7"/>
  <c r="N2149" i="7"/>
  <c r="N2137" i="7"/>
  <c r="N2125" i="7"/>
  <c r="N2113" i="7"/>
  <c r="N2101" i="7"/>
  <c r="N2089" i="7"/>
  <c r="N2077" i="7"/>
  <c r="N2065" i="7"/>
  <c r="N2053" i="7"/>
  <c r="N2041" i="7"/>
  <c r="N2029" i="7"/>
  <c r="N2017" i="7"/>
  <c r="N2005" i="7"/>
  <c r="N1993" i="7"/>
  <c r="N1981" i="7"/>
  <c r="N1969" i="7"/>
  <c r="N1957" i="7"/>
  <c r="N1945" i="7"/>
  <c r="N1933" i="7"/>
  <c r="N1921" i="7"/>
  <c r="N1909" i="7"/>
  <c r="N1897" i="7"/>
  <c r="N1885" i="7"/>
  <c r="N1873" i="7"/>
  <c r="N1861" i="7"/>
  <c r="N1849" i="7"/>
  <c r="N1837" i="7"/>
  <c r="N1825" i="7"/>
  <c r="N1813" i="7"/>
  <c r="N1801" i="7"/>
  <c r="N1789" i="7"/>
  <c r="N1777" i="7"/>
  <c r="N1765" i="7"/>
  <c r="N1753" i="7"/>
  <c r="N1741" i="7"/>
  <c r="N1729" i="7"/>
  <c r="N1717" i="7"/>
  <c r="N1705" i="7"/>
  <c r="N1693" i="7"/>
  <c r="N1681" i="7"/>
  <c r="N1669" i="7"/>
  <c r="N1657" i="7"/>
  <c r="N1645" i="7"/>
  <c r="N1633" i="7"/>
  <c r="N1621" i="7"/>
  <c r="N1609" i="7"/>
  <c r="N1597" i="7"/>
  <c r="N1585" i="7"/>
  <c r="N1573" i="7"/>
  <c r="N1561" i="7"/>
  <c r="N1549" i="7"/>
  <c r="N1537" i="7"/>
  <c r="N1525" i="7"/>
  <c r="N1513" i="7"/>
  <c r="N1501" i="7"/>
  <c r="N1489" i="7"/>
  <c r="N1477" i="7"/>
  <c r="N1465" i="7"/>
  <c r="N1453" i="7"/>
  <c r="N1441" i="7"/>
  <c r="N1429" i="7"/>
  <c r="N1417" i="7"/>
  <c r="N1405" i="7"/>
  <c r="N1393" i="7"/>
  <c r="N1381" i="7"/>
  <c r="N1369" i="7"/>
  <c r="N1357" i="7"/>
  <c r="N1345" i="7"/>
  <c r="N1333" i="7"/>
  <c r="N1321" i="7"/>
  <c r="N1309" i="7"/>
  <c r="N1297" i="7"/>
  <c r="N1285" i="7"/>
  <c r="N1273" i="7"/>
  <c r="N1261" i="7"/>
  <c r="N1249" i="7"/>
  <c r="N1237" i="7"/>
  <c r="N1225" i="7"/>
  <c r="N1213" i="7"/>
  <c r="N1201" i="7"/>
  <c r="N1189" i="7"/>
  <c r="N1177" i="7"/>
  <c r="N1165" i="7"/>
  <c r="N1153" i="7"/>
  <c r="N1141" i="7"/>
  <c r="N1129" i="7"/>
  <c r="N1117" i="7"/>
  <c r="N1105" i="7"/>
  <c r="N1093" i="7"/>
  <c r="N1081" i="7"/>
  <c r="N1069" i="7"/>
  <c r="N1057" i="7"/>
  <c r="N1045" i="7"/>
  <c r="N1033" i="7"/>
  <c r="N1021" i="7"/>
  <c r="N1009" i="7"/>
  <c r="N997" i="7"/>
  <c r="N985" i="7"/>
  <c r="N973" i="7"/>
  <c r="N961" i="7"/>
  <c r="N949" i="7"/>
  <c r="N937" i="7"/>
  <c r="N925" i="7"/>
  <c r="N913" i="7"/>
  <c r="N901" i="7"/>
  <c r="N889" i="7"/>
  <c r="N877" i="7"/>
  <c r="N865" i="7"/>
  <c r="N853" i="7"/>
  <c r="N841" i="7"/>
  <c r="N829" i="7"/>
  <c r="N817" i="7"/>
  <c r="N805" i="7"/>
  <c r="N793" i="7"/>
  <c r="N781" i="7"/>
  <c r="N769" i="7"/>
  <c r="N757" i="7"/>
  <c r="N745" i="7"/>
  <c r="N733" i="7"/>
  <c r="N721" i="7"/>
  <c r="N709" i="7"/>
  <c r="N697" i="7"/>
  <c r="N685" i="7"/>
  <c r="N673" i="7"/>
  <c r="N661" i="7"/>
  <c r="N649" i="7"/>
  <c r="N637" i="7"/>
  <c r="N625" i="7"/>
  <c r="N613" i="7"/>
  <c r="N601" i="7"/>
  <c r="N589" i="7"/>
  <c r="N577" i="7"/>
  <c r="N565" i="7"/>
  <c r="N553" i="7"/>
  <c r="N541" i="7"/>
  <c r="N529" i="7"/>
  <c r="N517" i="7"/>
  <c r="N505" i="7"/>
  <c r="N493" i="7"/>
  <c r="N481" i="7"/>
  <c r="N469" i="7"/>
  <c r="N457" i="7"/>
  <c r="N445" i="7"/>
  <c r="N433" i="7"/>
  <c r="N421" i="7"/>
  <c r="N409" i="7"/>
  <c r="N397" i="7"/>
  <c r="N385" i="7"/>
  <c r="N373" i="7"/>
  <c r="N361" i="7"/>
  <c r="N349" i="7"/>
  <c r="N337" i="7"/>
  <c r="N325" i="7"/>
  <c r="N313" i="7"/>
  <c r="N301" i="7"/>
  <c r="N289" i="7"/>
  <c r="N277" i="7"/>
  <c r="N265" i="7"/>
  <c r="N253" i="7"/>
  <c r="N241" i="7"/>
  <c r="N229" i="7"/>
  <c r="N217" i="7"/>
  <c r="N205" i="7"/>
  <c r="N193" i="7"/>
  <c r="N181" i="7"/>
  <c r="N169" i="7"/>
  <c r="N157" i="7"/>
  <c r="N145" i="7"/>
  <c r="N133" i="7"/>
  <c r="N121" i="7"/>
  <c r="N109" i="7"/>
  <c r="N97" i="7"/>
  <c r="N85" i="7"/>
  <c r="N73" i="7"/>
  <c r="N61" i="7"/>
  <c r="N49" i="7"/>
  <c r="N37" i="7"/>
  <c r="N25" i="7"/>
  <c r="N13" i="7"/>
  <c r="N1632" i="7"/>
  <c r="N1548" i="7"/>
  <c r="N1440" i="7"/>
  <c r="N1356" i="7"/>
  <c r="N1260" i="7"/>
  <c r="N1164" i="7"/>
  <c r="N1068" i="7"/>
  <c r="N984" i="7"/>
  <c r="N888" i="7"/>
  <c r="N780" i="7"/>
  <c r="N696" i="7"/>
  <c r="N588" i="7"/>
  <c r="N492" i="7"/>
  <c r="N372" i="7"/>
  <c r="N228" i="7"/>
  <c r="N108" i="7"/>
  <c r="N2699" i="7"/>
  <c r="N2687" i="7"/>
  <c r="N2675" i="7"/>
  <c r="N2663" i="7"/>
  <c r="N2651" i="7"/>
  <c r="N2639" i="7"/>
  <c r="N2627" i="7"/>
  <c r="N2615" i="7"/>
  <c r="N2603" i="7"/>
  <c r="N2591" i="7"/>
  <c r="N2579" i="7"/>
  <c r="N2567" i="7"/>
  <c r="N2555" i="7"/>
  <c r="N2543" i="7"/>
  <c r="N2531" i="7"/>
  <c r="N2519" i="7"/>
  <c r="N2507" i="7"/>
  <c r="N2495" i="7"/>
  <c r="N2483" i="7"/>
  <c r="N2471" i="7"/>
  <c r="N2459" i="7"/>
  <c r="N2447" i="7"/>
  <c r="N2435" i="7"/>
  <c r="N2423" i="7"/>
  <c r="N2411" i="7"/>
  <c r="N2399" i="7"/>
  <c r="N2387" i="7"/>
  <c r="N2375" i="7"/>
  <c r="N2363" i="7"/>
  <c r="N2351" i="7"/>
  <c r="N2339" i="7"/>
  <c r="N2327" i="7"/>
  <c r="N2315" i="7"/>
  <c r="N2303" i="7"/>
  <c r="N2291" i="7"/>
  <c r="N2279" i="7"/>
  <c r="N2267" i="7"/>
  <c r="N2255" i="7"/>
  <c r="N2243" i="7"/>
  <c r="N2231" i="7"/>
  <c r="N2219" i="7"/>
  <c r="N2207" i="7"/>
  <c r="N2195" i="7"/>
  <c r="N2183" i="7"/>
  <c r="N2171" i="7"/>
  <c r="N2159" i="7"/>
  <c r="N2147" i="7"/>
  <c r="N2135" i="7"/>
  <c r="N2123" i="7"/>
  <c r="N2111" i="7"/>
  <c r="N2099" i="7"/>
  <c r="N2087" i="7"/>
  <c r="N2075" i="7"/>
  <c r="N2063" i="7"/>
  <c r="N2051" i="7"/>
  <c r="N2039" i="7"/>
  <c r="N2027" i="7"/>
  <c r="N2015" i="7"/>
  <c r="N2003" i="7"/>
  <c r="N1991" i="7"/>
  <c r="N1979" i="7"/>
  <c r="N1967" i="7"/>
  <c r="N1955" i="7"/>
  <c r="N1943" i="7"/>
  <c r="N1931" i="7"/>
  <c r="N1919" i="7"/>
  <c r="N1907" i="7"/>
  <c r="N1895" i="7"/>
  <c r="N1883" i="7"/>
  <c r="N1871" i="7"/>
  <c r="N1859" i="7"/>
  <c r="N1847" i="7"/>
  <c r="N1835" i="7"/>
  <c r="N1823" i="7"/>
  <c r="N1811" i="7"/>
  <c r="N1799" i="7"/>
  <c r="N1787" i="7"/>
  <c r="N1775" i="7"/>
  <c r="N1763" i="7"/>
  <c r="N1751" i="7"/>
  <c r="N1739" i="7"/>
  <c r="N1727" i="7"/>
  <c r="N1715" i="7"/>
  <c r="N1703" i="7"/>
  <c r="N1691" i="7"/>
  <c r="N1679" i="7"/>
  <c r="N1667" i="7"/>
  <c r="N1655" i="7"/>
  <c r="N1643" i="7"/>
  <c r="N1631" i="7"/>
  <c r="N1619" i="7"/>
  <c r="N1607" i="7"/>
  <c r="N1595" i="7"/>
  <c r="N1583" i="7"/>
  <c r="N1571" i="7"/>
  <c r="N1559" i="7"/>
  <c r="N1547" i="7"/>
  <c r="N1535" i="7"/>
  <c r="N1523" i="7"/>
  <c r="N1511" i="7"/>
  <c r="N1499" i="7"/>
  <c r="N1487" i="7"/>
  <c r="N1475" i="7"/>
  <c r="N1463" i="7"/>
  <c r="N1451" i="7"/>
  <c r="N1439" i="7"/>
  <c r="N1427" i="7"/>
  <c r="N1415" i="7"/>
  <c r="N1403" i="7"/>
  <c r="N1391" i="7"/>
  <c r="N1379" i="7"/>
  <c r="N1367" i="7"/>
  <c r="N1355" i="7"/>
  <c r="N1343" i="7"/>
  <c r="N1331" i="7"/>
  <c r="N1319" i="7"/>
  <c r="N1307" i="7"/>
  <c r="N1295" i="7"/>
  <c r="N1283" i="7"/>
  <c r="N1271" i="7"/>
  <c r="N1259" i="7"/>
  <c r="N1247" i="7"/>
  <c r="N1235" i="7"/>
  <c r="N1223" i="7"/>
  <c r="N1211" i="7"/>
  <c r="N1199" i="7"/>
  <c r="N1187" i="7"/>
  <c r="N1175" i="7"/>
  <c r="N1163" i="7"/>
  <c r="N1151" i="7"/>
  <c r="N1139" i="7"/>
  <c r="N1127" i="7"/>
  <c r="N1115" i="7"/>
  <c r="N1103" i="7"/>
  <c r="N1091" i="7"/>
  <c r="N1079" i="7"/>
  <c r="N1067" i="7"/>
  <c r="N1055" i="7"/>
  <c r="N1043" i="7"/>
  <c r="N1031" i="7"/>
  <c r="N1019" i="7"/>
  <c r="N1007" i="7"/>
  <c r="N995" i="7"/>
  <c r="N983" i="7"/>
  <c r="N971" i="7"/>
  <c r="N959" i="7"/>
  <c r="N947" i="7"/>
  <c r="N935" i="7"/>
  <c r="N923" i="7"/>
  <c r="N911" i="7"/>
  <c r="N899" i="7"/>
  <c r="N887" i="7"/>
  <c r="N875" i="7"/>
  <c r="N863" i="7"/>
  <c r="N851" i="7"/>
  <c r="N839" i="7"/>
  <c r="N827" i="7"/>
  <c r="N815" i="7"/>
  <c r="N803" i="7"/>
  <c r="N791" i="7"/>
  <c r="N779" i="7"/>
  <c r="N767" i="7"/>
  <c r="N755" i="7"/>
  <c r="N743" i="7"/>
  <c r="N731" i="7"/>
  <c r="N719" i="7"/>
  <c r="N707" i="7"/>
  <c r="N695" i="7"/>
  <c r="N683" i="7"/>
  <c r="N671" i="7"/>
  <c r="N659" i="7"/>
  <c r="N647" i="7"/>
  <c r="N635" i="7"/>
  <c r="N623" i="7"/>
  <c r="N611" i="7"/>
  <c r="N599" i="7"/>
  <c r="N587" i="7"/>
  <c r="N575" i="7"/>
  <c r="N563" i="7"/>
  <c r="N551" i="7"/>
  <c r="N539" i="7"/>
  <c r="N527" i="7"/>
  <c r="N515" i="7"/>
  <c r="N503" i="7"/>
  <c r="N491" i="7"/>
  <c r="N479" i="7"/>
  <c r="N467" i="7"/>
  <c r="N455" i="7"/>
  <c r="N443" i="7"/>
  <c r="N431" i="7"/>
  <c r="N419" i="7"/>
  <c r="N407" i="7"/>
  <c r="N395" i="7"/>
  <c r="N383" i="7"/>
  <c r="N371" i="7"/>
  <c r="N359" i="7"/>
  <c r="N347" i="7"/>
  <c r="N335" i="7"/>
  <c r="N323" i="7"/>
  <c r="N311" i="7"/>
  <c r="N299" i="7"/>
  <c r="N287" i="7"/>
  <c r="N275" i="7"/>
  <c r="N263" i="7"/>
  <c r="N251" i="7"/>
  <c r="N239" i="7"/>
  <c r="N227" i="7"/>
  <c r="N215" i="7"/>
  <c r="N203" i="7"/>
  <c r="N191" i="7"/>
  <c r="N179" i="7"/>
  <c r="N167" i="7"/>
  <c r="N155" i="7"/>
  <c r="N143" i="7"/>
  <c r="N131" i="7"/>
  <c r="N119" i="7"/>
  <c r="N107" i="7"/>
  <c r="N95" i="7"/>
  <c r="N83" i="7"/>
  <c r="N71" i="7"/>
  <c r="N59" i="7"/>
  <c r="N47" i="7"/>
  <c r="N35" i="7"/>
  <c r="N23" i="7"/>
  <c r="N11" i="7"/>
  <c r="N1596" i="7"/>
  <c r="N1476" i="7"/>
  <c r="N1404" i="7"/>
  <c r="N1296" i="7"/>
  <c r="N1188" i="7"/>
  <c r="N1080" i="7"/>
  <c r="N972" i="7"/>
  <c r="N756" i="7"/>
  <c r="N264" i="7"/>
  <c r="N168" i="7"/>
  <c r="N60" i="7"/>
  <c r="N2698" i="7"/>
  <c r="N2686" i="7"/>
  <c r="N2674" i="7"/>
  <c r="N2662" i="7"/>
  <c r="N2650" i="7"/>
  <c r="N2638" i="7"/>
  <c r="N2626" i="7"/>
  <c r="N2614" i="7"/>
  <c r="N2602" i="7"/>
  <c r="N2590" i="7"/>
  <c r="N2578" i="7"/>
  <c r="N2566" i="7"/>
  <c r="N2554" i="7"/>
  <c r="N2542" i="7"/>
  <c r="N2530" i="7"/>
  <c r="N2518" i="7"/>
  <c r="N2506" i="7"/>
  <c r="N2494" i="7"/>
  <c r="N2482" i="7"/>
  <c r="N2470" i="7"/>
  <c r="N2458" i="7"/>
  <c r="N2446" i="7"/>
  <c r="N2434" i="7"/>
  <c r="N2422" i="7"/>
  <c r="N2410" i="7"/>
  <c r="N2398" i="7"/>
  <c r="N2386" i="7"/>
  <c r="N2374" i="7"/>
  <c r="N2362" i="7"/>
  <c r="N2350" i="7"/>
  <c r="N2338" i="7"/>
  <c r="N2326" i="7"/>
  <c r="N2314" i="7"/>
  <c r="N2302" i="7"/>
  <c r="N2290" i="7"/>
  <c r="N2278" i="7"/>
  <c r="N2266" i="7"/>
  <c r="N2254" i="7"/>
  <c r="N2242" i="7"/>
  <c r="N2230" i="7"/>
  <c r="N2218" i="7"/>
  <c r="N2206" i="7"/>
  <c r="N2194" i="7"/>
  <c r="N2182" i="7"/>
  <c r="N2170" i="7"/>
  <c r="N2158" i="7"/>
  <c r="N2146" i="7"/>
  <c r="N2134" i="7"/>
  <c r="N2122" i="7"/>
  <c r="N2110" i="7"/>
  <c r="N2098" i="7"/>
  <c r="N2086" i="7"/>
  <c r="N2074" i="7"/>
  <c r="N2062" i="7"/>
  <c r="N2050" i="7"/>
  <c r="N2038" i="7"/>
  <c r="N2026" i="7"/>
  <c r="N2014" i="7"/>
  <c r="N2002" i="7"/>
  <c r="N1990" i="7"/>
  <c r="N1978" i="7"/>
  <c r="N1966" i="7"/>
  <c r="N1954" i="7"/>
  <c r="N1942" i="7"/>
  <c r="N1930" i="7"/>
  <c r="N1918" i="7"/>
  <c r="N1906" i="7"/>
  <c r="N1894" i="7"/>
  <c r="N1882" i="7"/>
  <c r="N1870" i="7"/>
  <c r="N1858" i="7"/>
  <c r="N1846" i="7"/>
  <c r="N1834" i="7"/>
  <c r="N1822" i="7"/>
  <c r="N1810" i="7"/>
  <c r="N1798" i="7"/>
  <c r="N1786" i="7"/>
  <c r="N1774" i="7"/>
  <c r="N1762" i="7"/>
  <c r="N1750" i="7"/>
  <c r="N1738" i="7"/>
  <c r="N1726" i="7"/>
  <c r="N1714" i="7"/>
  <c r="N1702" i="7"/>
  <c r="N1690" i="7"/>
  <c r="N1678" i="7"/>
  <c r="N1666" i="7"/>
  <c r="N1654" i="7"/>
  <c r="N1642" i="7"/>
  <c r="N1630" i="7"/>
  <c r="N1618" i="7"/>
  <c r="N1606" i="7"/>
  <c r="N1594" i="7"/>
  <c r="N1582" i="7"/>
  <c r="N1570" i="7"/>
  <c r="N1558" i="7"/>
  <c r="N1546" i="7"/>
  <c r="N1534" i="7"/>
  <c r="N1522" i="7"/>
  <c r="N1510" i="7"/>
  <c r="N1498" i="7"/>
  <c r="N1486" i="7"/>
  <c r="N1474" i="7"/>
  <c r="N1462" i="7"/>
  <c r="N1450" i="7"/>
  <c r="N1438" i="7"/>
  <c r="N1426" i="7"/>
  <c r="N1414" i="7"/>
  <c r="N1402" i="7"/>
  <c r="N1390" i="7"/>
  <c r="N1378" i="7"/>
  <c r="N1366" i="7"/>
  <c r="N1354" i="7"/>
  <c r="N1342" i="7"/>
  <c r="N1330" i="7"/>
  <c r="N1318" i="7"/>
  <c r="N1306" i="7"/>
  <c r="N1294" i="7"/>
  <c r="N1282" i="7"/>
  <c r="N1270" i="7"/>
  <c r="N1258" i="7"/>
  <c r="N1246" i="7"/>
  <c r="N1234" i="7"/>
  <c r="N1222" i="7"/>
  <c r="N1210" i="7"/>
  <c r="N1198" i="7"/>
  <c r="N1186" i="7"/>
  <c r="N1174" i="7"/>
  <c r="N1162" i="7"/>
  <c r="N1150" i="7"/>
  <c r="N1138" i="7"/>
  <c r="N1126" i="7"/>
  <c r="N1114" i="7"/>
  <c r="N1102" i="7"/>
  <c r="N1090" i="7"/>
  <c r="N1078" i="7"/>
  <c r="N1066" i="7"/>
  <c r="N1054" i="7"/>
  <c r="N1042" i="7"/>
  <c r="N1030" i="7"/>
  <c r="N1018" i="7"/>
  <c r="N1006" i="7"/>
  <c r="N994" i="7"/>
  <c r="N982" i="7"/>
  <c r="N970" i="7"/>
  <c r="N958" i="7"/>
  <c r="N946" i="7"/>
  <c r="N934" i="7"/>
  <c r="N922" i="7"/>
  <c r="N910" i="7"/>
  <c r="N898" i="7"/>
  <c r="N886" i="7"/>
  <c r="N874" i="7"/>
  <c r="N862" i="7"/>
  <c r="N850" i="7"/>
  <c r="N838" i="7"/>
  <c r="N826" i="7"/>
  <c r="N814" i="7"/>
  <c r="N802" i="7"/>
  <c r="N790" i="7"/>
  <c r="N778" i="7"/>
  <c r="N766" i="7"/>
  <c r="N754" i="7"/>
  <c r="N742" i="7"/>
  <c r="N730" i="7"/>
  <c r="N718" i="7"/>
  <c r="N706" i="7"/>
  <c r="N694" i="7"/>
  <c r="N682" i="7"/>
  <c r="N670" i="7"/>
  <c r="N658" i="7"/>
  <c r="N646" i="7"/>
  <c r="N634" i="7"/>
  <c r="N622" i="7"/>
  <c r="N610" i="7"/>
  <c r="N598" i="7"/>
  <c r="N586" i="7"/>
  <c r="N574" i="7"/>
  <c r="N562" i="7"/>
  <c r="N550" i="7"/>
  <c r="N538" i="7"/>
  <c r="N526" i="7"/>
  <c r="N514" i="7"/>
  <c r="N502" i="7"/>
  <c r="N490" i="7"/>
  <c r="N478" i="7"/>
  <c r="N466" i="7"/>
  <c r="N454" i="7"/>
  <c r="N442" i="7"/>
  <c r="N430" i="7"/>
  <c r="N418" i="7"/>
  <c r="N406" i="7"/>
  <c r="N394" i="7"/>
  <c r="N382" i="7"/>
  <c r="N370" i="7"/>
  <c r="N358" i="7"/>
  <c r="N346" i="7"/>
  <c r="N334" i="7"/>
  <c r="N322" i="7"/>
  <c r="N310" i="7"/>
  <c r="N298" i="7"/>
  <c r="N286" i="7"/>
  <c r="N274" i="7"/>
  <c r="N262" i="7"/>
  <c r="N250" i="7"/>
  <c r="N238" i="7"/>
  <c r="N226" i="7"/>
  <c r="N214" i="7"/>
  <c r="N202" i="7"/>
  <c r="N190" i="7"/>
  <c r="N178" i="7"/>
  <c r="N166" i="7"/>
  <c r="N154" i="7"/>
  <c r="N142" i="7"/>
  <c r="N130" i="7"/>
  <c r="N118" i="7"/>
  <c r="N106" i="7"/>
  <c r="N94" i="7"/>
  <c r="N82" i="7"/>
  <c r="N70" i="7"/>
  <c r="N58" i="7"/>
  <c r="N46" i="7"/>
  <c r="N34" i="7"/>
  <c r="N22" i="7"/>
  <c r="N10" i="7"/>
  <c r="N1620" i="7"/>
  <c r="N1536" i="7"/>
  <c r="N1452" i="7"/>
  <c r="N1344" i="7"/>
  <c r="N1224" i="7"/>
  <c r="N1128" i="7"/>
  <c r="N1044" i="7"/>
  <c r="N960" i="7"/>
  <c r="N864" i="7"/>
  <c r="N792" i="7"/>
  <c r="N708" i="7"/>
  <c r="N636" i="7"/>
  <c r="N552" i="7"/>
  <c r="N480" i="7"/>
  <c r="N408" i="7"/>
  <c r="N324" i="7"/>
  <c r="N240" i="7"/>
  <c r="N144" i="7"/>
  <c r="N48" i="7"/>
  <c r="N2685" i="7"/>
  <c r="N2529" i="7"/>
  <c r="N2433" i="7"/>
  <c r="N2397" i="7"/>
  <c r="N2361" i="7"/>
  <c r="N2337" i="7"/>
  <c r="N2325" i="7"/>
  <c r="N2313" i="7"/>
  <c r="N2301" i="7"/>
  <c r="N2289" i="7"/>
  <c r="N2277" i="7"/>
  <c r="N2265" i="7"/>
  <c r="N2253" i="7"/>
  <c r="N2241" i="7"/>
  <c r="N2229" i="7"/>
  <c r="N2217" i="7"/>
  <c r="N2205" i="7"/>
  <c r="N2193" i="7"/>
  <c r="N2181" i="7"/>
  <c r="N2169" i="7"/>
  <c r="N2121" i="7"/>
  <c r="N2109" i="7"/>
  <c r="N2097" i="7"/>
  <c r="N2085" i="7"/>
  <c r="N2073" i="7"/>
  <c r="N2061" i="7"/>
  <c r="N2049" i="7"/>
  <c r="N2037" i="7"/>
  <c r="N2025" i="7"/>
  <c r="N2013" i="7"/>
  <c r="N2001" i="7"/>
  <c r="N1989" i="7"/>
  <c r="N1977" i="7"/>
  <c r="N1965" i="7"/>
  <c r="N1953" i="7"/>
  <c r="N1941" i="7"/>
  <c r="N1929" i="7"/>
  <c r="N1917" i="7"/>
  <c r="N1905" i="7"/>
  <c r="N1893" i="7"/>
  <c r="N1881" i="7"/>
  <c r="N1869" i="7"/>
  <c r="N1857" i="7"/>
  <c r="N1845" i="7"/>
  <c r="N1833" i="7"/>
  <c r="N1821" i="7"/>
  <c r="N1809" i="7"/>
  <c r="N1797" i="7"/>
  <c r="N1785" i="7"/>
  <c r="N1773" i="7"/>
  <c r="N1761" i="7"/>
  <c r="N1749" i="7"/>
  <c r="N1737" i="7"/>
  <c r="N1725" i="7"/>
  <c r="N1713" i="7"/>
  <c r="N1701" i="7"/>
  <c r="N1689" i="7"/>
  <c r="N1677" i="7"/>
  <c r="N1665" i="7"/>
  <c r="N1653" i="7"/>
  <c r="N1641" i="7"/>
  <c r="N1629" i="7"/>
  <c r="N1617" i="7"/>
  <c r="N1605" i="7"/>
  <c r="N1593" i="7"/>
  <c r="N1581" i="7"/>
  <c r="N1569" i="7"/>
  <c r="N1557" i="7"/>
  <c r="N1545" i="7"/>
  <c r="N1533" i="7"/>
  <c r="N1521" i="7"/>
  <c r="N1509" i="7"/>
  <c r="N1497" i="7"/>
  <c r="N1485" i="7"/>
  <c r="N1473" i="7"/>
  <c r="N1461" i="7"/>
  <c r="N1449" i="7"/>
  <c r="N1437" i="7"/>
  <c r="N1425" i="7"/>
  <c r="N1413" i="7"/>
  <c r="N1401" i="7"/>
  <c r="N1389" i="7"/>
  <c r="N1377" i="7"/>
  <c r="N1365" i="7"/>
  <c r="N1353" i="7"/>
  <c r="N1341" i="7"/>
  <c r="N1329" i="7"/>
  <c r="N1317" i="7"/>
  <c r="N1305" i="7"/>
  <c r="N1293" i="7"/>
  <c r="N1281" i="7"/>
  <c r="N1269" i="7"/>
  <c r="N1257" i="7"/>
  <c r="N1245" i="7"/>
  <c r="N1233" i="7"/>
  <c r="N1221" i="7"/>
  <c r="N1209" i="7"/>
  <c r="N1197" i="7"/>
  <c r="N1185" i="7"/>
  <c r="N1173" i="7"/>
  <c r="N1161" i="7"/>
  <c r="N1149" i="7"/>
  <c r="N1137" i="7"/>
  <c r="N1125" i="7"/>
  <c r="N1113" i="7"/>
  <c r="N1101" i="7"/>
  <c r="N1089" i="7"/>
  <c r="N1077" i="7"/>
  <c r="N1065" i="7"/>
  <c r="N1053" i="7"/>
  <c r="N1041" i="7"/>
  <c r="N1029" i="7"/>
  <c r="N1017" i="7"/>
  <c r="N1005" i="7"/>
  <c r="N993" i="7"/>
  <c r="N981" i="7"/>
  <c r="N969" i="7"/>
  <c r="N957" i="7"/>
  <c r="N945" i="7"/>
  <c r="N933" i="7"/>
  <c r="N921" i="7"/>
  <c r="N909" i="7"/>
  <c r="N897" i="7"/>
  <c r="N885" i="7"/>
  <c r="N873" i="7"/>
  <c r="N861" i="7"/>
  <c r="N849" i="7"/>
  <c r="N837" i="7"/>
  <c r="N825" i="7"/>
  <c r="N813" i="7"/>
  <c r="N801" i="7"/>
  <c r="N789" i="7"/>
  <c r="N777" i="7"/>
  <c r="N765" i="7"/>
  <c r="N753" i="7"/>
  <c r="N741" i="7"/>
  <c r="N729" i="7"/>
  <c r="N717" i="7"/>
  <c r="N705" i="7"/>
  <c r="N693" i="7"/>
  <c r="N681" i="7"/>
  <c r="N669" i="7"/>
  <c r="N657" i="7"/>
  <c r="N645" i="7"/>
  <c r="N633" i="7"/>
  <c r="N621" i="7"/>
  <c r="N609" i="7"/>
  <c r="N597" i="7"/>
  <c r="N585" i="7"/>
  <c r="N573" i="7"/>
  <c r="N561" i="7"/>
  <c r="N549" i="7"/>
  <c r="N537" i="7"/>
  <c r="N525" i="7"/>
  <c r="N513" i="7"/>
  <c r="N501" i="7"/>
  <c r="N489" i="7"/>
  <c r="N477" i="7"/>
  <c r="N465" i="7"/>
  <c r="N453" i="7"/>
  <c r="N441" i="7"/>
  <c r="N429" i="7"/>
  <c r="N417" i="7"/>
  <c r="N405" i="7"/>
  <c r="N393" i="7"/>
  <c r="N381" i="7"/>
  <c r="N369" i="7"/>
  <c r="N357" i="7"/>
  <c r="N345" i="7"/>
  <c r="N333" i="7"/>
  <c r="N321" i="7"/>
  <c r="N309" i="7"/>
  <c r="N297" i="7"/>
  <c r="N285" i="7"/>
  <c r="N273" i="7"/>
  <c r="N261" i="7"/>
  <c r="N249" i="7"/>
  <c r="N237" i="7"/>
  <c r="N225" i="7"/>
  <c r="N213" i="7"/>
  <c r="N201" i="7"/>
  <c r="N189" i="7"/>
  <c r="N177" i="7"/>
  <c r="N165" i="7"/>
  <c r="N153" i="7"/>
  <c r="N141" i="7"/>
  <c r="N129" i="7"/>
  <c r="N117" i="7"/>
  <c r="N105" i="7"/>
  <c r="N93" i="7"/>
  <c r="N81" i="7"/>
  <c r="N69" i="7"/>
  <c r="N57" i="7"/>
  <c r="N45" i="7"/>
  <c r="N33" i="7"/>
  <c r="N21" i="7"/>
  <c r="N9" i="7"/>
  <c r="N1584" i="7"/>
  <c r="N1500" i="7"/>
  <c r="N1416" i="7"/>
  <c r="N1308" i="7"/>
  <c r="N1200" i="7"/>
  <c r="N1104" i="7"/>
  <c r="N1008" i="7"/>
  <c r="N924" i="7"/>
  <c r="N852" i="7"/>
  <c r="N744" i="7"/>
  <c r="N600" i="7"/>
  <c r="N516" i="7"/>
  <c r="N432" i="7"/>
  <c r="N336" i="7"/>
  <c r="N252" i="7"/>
  <c r="N180" i="7"/>
  <c r="N84" i="7"/>
  <c r="N2697" i="7"/>
  <c r="N2649" i="7"/>
  <c r="N2625" i="7"/>
  <c r="N2601" i="7"/>
  <c r="N2553" i="7"/>
  <c r="N2517" i="7"/>
  <c r="N2481" i="7"/>
  <c r="N2457" i="7"/>
  <c r="N2409" i="7"/>
  <c r="N2349" i="7"/>
  <c r="N2145" i="7"/>
  <c r="N2696" i="7"/>
  <c r="N2684" i="7"/>
  <c r="N2672" i="7"/>
  <c r="N2660" i="7"/>
  <c r="N2648" i="7"/>
  <c r="N2636" i="7"/>
  <c r="N2624" i="7"/>
  <c r="N2612" i="7"/>
  <c r="N2600" i="7"/>
  <c r="N2588" i="7"/>
  <c r="N2576" i="7"/>
  <c r="N2564" i="7"/>
  <c r="N2552" i="7"/>
  <c r="N2540" i="7"/>
  <c r="N2528" i="7"/>
  <c r="N2516" i="7"/>
  <c r="N2504" i="7"/>
  <c r="N2492" i="7"/>
  <c r="N2480" i="7"/>
  <c r="N2468" i="7"/>
  <c r="N2456" i="7"/>
  <c r="N2444" i="7"/>
  <c r="N2432" i="7"/>
  <c r="N2420" i="7"/>
  <c r="N2408" i="7"/>
  <c r="N2396" i="7"/>
  <c r="N2384" i="7"/>
  <c r="N2372" i="7"/>
  <c r="N2360" i="7"/>
  <c r="N2348" i="7"/>
  <c r="N2336" i="7"/>
  <c r="N2324" i="7"/>
  <c r="N2312" i="7"/>
  <c r="N2300" i="7"/>
  <c r="N2288" i="7"/>
  <c r="N2276" i="7"/>
  <c r="N2264" i="7"/>
  <c r="N2252" i="7"/>
  <c r="N2240" i="7"/>
  <c r="N2228" i="7"/>
  <c r="N2216" i="7"/>
  <c r="N2204" i="7"/>
  <c r="N2192" i="7"/>
  <c r="N2180" i="7"/>
  <c r="N2168" i="7"/>
  <c r="N2156" i="7"/>
  <c r="N2144" i="7"/>
  <c r="N2132" i="7"/>
  <c r="N2120" i="7"/>
  <c r="N2108" i="7"/>
  <c r="N2096" i="7"/>
  <c r="N2084" i="7"/>
  <c r="N2072" i="7"/>
  <c r="N2060" i="7"/>
  <c r="N2048" i="7"/>
  <c r="N2036" i="7"/>
  <c r="N2024" i="7"/>
  <c r="N2012" i="7"/>
  <c r="N2000" i="7"/>
  <c r="N1988" i="7"/>
  <c r="N1976" i="7"/>
  <c r="N1964" i="7"/>
  <c r="N1952" i="7"/>
  <c r="N1940" i="7"/>
  <c r="N1928" i="7"/>
  <c r="N1916" i="7"/>
  <c r="N1904" i="7"/>
  <c r="N1892" i="7"/>
  <c r="N1880" i="7"/>
  <c r="N1868" i="7"/>
  <c r="N1856" i="7"/>
  <c r="N1844" i="7"/>
  <c r="N1832" i="7"/>
  <c r="N1820" i="7"/>
  <c r="N1808" i="7"/>
  <c r="N1796" i="7"/>
  <c r="N1784" i="7"/>
  <c r="N1772" i="7"/>
  <c r="N1760" i="7"/>
  <c r="N1748" i="7"/>
  <c r="N1736" i="7"/>
  <c r="N1724" i="7"/>
  <c r="N1712" i="7"/>
  <c r="N1700" i="7"/>
  <c r="N1688" i="7"/>
  <c r="N1676" i="7"/>
  <c r="N1664" i="7"/>
  <c r="N1652" i="7"/>
  <c r="N1640" i="7"/>
  <c r="N1628" i="7"/>
  <c r="N1616" i="7"/>
  <c r="N1604" i="7"/>
  <c r="N1592" i="7"/>
  <c r="N1580" i="7"/>
  <c r="N1568" i="7"/>
  <c r="N1556" i="7"/>
  <c r="N1544" i="7"/>
  <c r="N1532" i="7"/>
  <c r="N1520" i="7"/>
  <c r="N1508" i="7"/>
  <c r="N1496" i="7"/>
  <c r="N1484" i="7"/>
  <c r="N1472" i="7"/>
  <c r="N1460" i="7"/>
  <c r="N1448" i="7"/>
  <c r="N1436" i="7"/>
  <c r="N1424" i="7"/>
  <c r="N1412" i="7"/>
  <c r="N1400" i="7"/>
  <c r="N1388" i="7"/>
  <c r="N1376" i="7"/>
  <c r="N1364" i="7"/>
  <c r="N1352" i="7"/>
  <c r="N1340" i="7"/>
  <c r="N1328" i="7"/>
  <c r="N1316" i="7"/>
  <c r="N1304" i="7"/>
  <c r="N1292" i="7"/>
  <c r="N1280" i="7"/>
  <c r="N1268" i="7"/>
  <c r="N1256" i="7"/>
  <c r="N1244" i="7"/>
  <c r="N1232" i="7"/>
  <c r="N1220" i="7"/>
  <c r="N1208" i="7"/>
  <c r="N1196" i="7"/>
  <c r="N1184" i="7"/>
  <c r="N1172" i="7"/>
  <c r="N1160" i="7"/>
  <c r="N1148" i="7"/>
  <c r="N1136" i="7"/>
  <c r="N1124" i="7"/>
  <c r="N1112" i="7"/>
  <c r="N1100" i="7"/>
  <c r="N1088" i="7"/>
  <c r="N1076" i="7"/>
  <c r="N1064" i="7"/>
  <c r="N1052" i="7"/>
  <c r="N1040" i="7"/>
  <c r="N1028" i="7"/>
  <c r="N1016" i="7"/>
  <c r="N1004" i="7"/>
  <c r="N992" i="7"/>
  <c r="N980" i="7"/>
  <c r="N968" i="7"/>
  <c r="N956" i="7"/>
  <c r="N944" i="7"/>
  <c r="N932" i="7"/>
  <c r="N920" i="7"/>
  <c r="N908" i="7"/>
  <c r="N896" i="7"/>
  <c r="N884" i="7"/>
  <c r="N872" i="7"/>
  <c r="N860" i="7"/>
  <c r="N848" i="7"/>
  <c r="N836" i="7"/>
  <c r="N824" i="7"/>
  <c r="N812" i="7"/>
  <c r="N800" i="7"/>
  <c r="N788" i="7"/>
  <c r="N776" i="7"/>
  <c r="N764" i="7"/>
  <c r="N752" i="7"/>
  <c r="N740" i="7"/>
  <c r="N728" i="7"/>
  <c r="N716" i="7"/>
  <c r="N704" i="7"/>
  <c r="N692" i="7"/>
  <c r="N680" i="7"/>
  <c r="N668" i="7"/>
  <c r="N656" i="7"/>
  <c r="N644" i="7"/>
  <c r="N632" i="7"/>
  <c r="N620" i="7"/>
  <c r="N608" i="7"/>
  <c r="N596" i="7"/>
  <c r="N584" i="7"/>
  <c r="N572" i="7"/>
  <c r="N560" i="7"/>
  <c r="N548" i="7"/>
  <c r="N536" i="7"/>
  <c r="N524" i="7"/>
  <c r="N512" i="7"/>
  <c r="N500" i="7"/>
  <c r="N488" i="7"/>
  <c r="N476" i="7"/>
  <c r="N464" i="7"/>
  <c r="N452" i="7"/>
  <c r="N440" i="7"/>
  <c r="N428" i="7"/>
  <c r="N416" i="7"/>
  <c r="N404" i="7"/>
  <c r="N392" i="7"/>
  <c r="N380" i="7"/>
  <c r="N368" i="7"/>
  <c r="N356" i="7"/>
  <c r="N344" i="7"/>
  <c r="N332" i="7"/>
  <c r="N320" i="7"/>
  <c r="N308" i="7"/>
  <c r="N296" i="7"/>
  <c r="N284" i="7"/>
  <c r="N272" i="7"/>
  <c r="N260" i="7"/>
  <c r="N248" i="7"/>
  <c r="N236" i="7"/>
  <c r="N224" i="7"/>
  <c r="N212" i="7"/>
  <c r="N200" i="7"/>
  <c r="N188" i="7"/>
  <c r="N176" i="7"/>
  <c r="N164" i="7"/>
  <c r="N152" i="7"/>
  <c r="N140" i="7"/>
  <c r="N128" i="7"/>
  <c r="N116" i="7"/>
  <c r="N104" i="7"/>
  <c r="N92" i="7"/>
  <c r="N80" i="7"/>
  <c r="N68" i="7"/>
  <c r="N56" i="7"/>
  <c r="N44" i="7"/>
  <c r="N32" i="7"/>
  <c r="N20" i="7"/>
  <c r="N8" i="7"/>
  <c r="N1572" i="7"/>
  <c r="N1488" i="7"/>
  <c r="N1392" i="7"/>
  <c r="N1320" i="7"/>
  <c r="N1176" i="7"/>
  <c r="N1092" i="7"/>
  <c r="N996" i="7"/>
  <c r="N900" i="7"/>
  <c r="N840" i="7"/>
  <c r="N768" i="7"/>
  <c r="N672" i="7"/>
  <c r="N612" i="7"/>
  <c r="N528" i="7"/>
  <c r="N420" i="7"/>
  <c r="N348" i="7"/>
  <c r="N300" i="7"/>
  <c r="N204" i="7"/>
  <c r="N120" i="7"/>
  <c r="N2673" i="7"/>
  <c r="N2637" i="7"/>
  <c r="N2589" i="7"/>
  <c r="N2565" i="7"/>
  <c r="N2505" i="7"/>
  <c r="N2469" i="7"/>
  <c r="N2421" i="7"/>
  <c r="N2373" i="7"/>
  <c r="N2133" i="7"/>
  <c r="N2695" i="7"/>
  <c r="N2683" i="7"/>
  <c r="N2671" i="7"/>
  <c r="N2659" i="7"/>
  <c r="N2647" i="7"/>
  <c r="N2635" i="7"/>
  <c r="N2623" i="7"/>
  <c r="N2611" i="7"/>
  <c r="N2599" i="7"/>
  <c r="N2587" i="7"/>
  <c r="N2575" i="7"/>
  <c r="N2563" i="7"/>
  <c r="N2551" i="7"/>
  <c r="N2539" i="7"/>
  <c r="N2527" i="7"/>
  <c r="N2515" i="7"/>
  <c r="N2503" i="7"/>
  <c r="N2491" i="7"/>
  <c r="N2479" i="7"/>
  <c r="N2467" i="7"/>
  <c r="N2455" i="7"/>
  <c r="N2443" i="7"/>
  <c r="N2431" i="7"/>
  <c r="N2419" i="7"/>
  <c r="N2407" i="7"/>
  <c r="N2395" i="7"/>
  <c r="N2383" i="7"/>
  <c r="N2371" i="7"/>
  <c r="N2359" i="7"/>
  <c r="N2347" i="7"/>
  <c r="N2335" i="7"/>
  <c r="N2323" i="7"/>
  <c r="N2311" i="7"/>
  <c r="N2299" i="7"/>
  <c r="N2287" i="7"/>
  <c r="N2275" i="7"/>
  <c r="N2263" i="7"/>
  <c r="N2251" i="7"/>
  <c r="N2239" i="7"/>
  <c r="N2227" i="7"/>
  <c r="N2215" i="7"/>
  <c r="N2203" i="7"/>
  <c r="N2191" i="7"/>
  <c r="N2179" i="7"/>
  <c r="N2167" i="7"/>
  <c r="N2155" i="7"/>
  <c r="N2143" i="7"/>
  <c r="N2131" i="7"/>
  <c r="N2119" i="7"/>
  <c r="N2107" i="7"/>
  <c r="N2095" i="7"/>
  <c r="N2083" i="7"/>
  <c r="N2071" i="7"/>
  <c r="N2059" i="7"/>
  <c r="N2047" i="7"/>
  <c r="N2035" i="7"/>
  <c r="N2023" i="7"/>
  <c r="N2011" i="7"/>
  <c r="N1999" i="7"/>
  <c r="N1987" i="7"/>
  <c r="N1975" i="7"/>
  <c r="N1963" i="7"/>
  <c r="N1951" i="7"/>
  <c r="N1939" i="7"/>
  <c r="N1927" i="7"/>
  <c r="N1915" i="7"/>
  <c r="N1903" i="7"/>
  <c r="N1891" i="7"/>
  <c r="N1879" i="7"/>
  <c r="N1867" i="7"/>
  <c r="N1855" i="7"/>
  <c r="N1843" i="7"/>
  <c r="N1831" i="7"/>
  <c r="N1819" i="7"/>
  <c r="N1807" i="7"/>
  <c r="N1795" i="7"/>
  <c r="N1783" i="7"/>
  <c r="N1771" i="7"/>
  <c r="N1759" i="7"/>
  <c r="N1747" i="7"/>
  <c r="N1735" i="7"/>
  <c r="N1723" i="7"/>
  <c r="N1711" i="7"/>
  <c r="N1699" i="7"/>
  <c r="N1687" i="7"/>
  <c r="N1675" i="7"/>
  <c r="N1663" i="7"/>
  <c r="N1651" i="7"/>
  <c r="N1639" i="7"/>
  <c r="N1627" i="7"/>
  <c r="N1615" i="7"/>
  <c r="N1603" i="7"/>
  <c r="N1591" i="7"/>
  <c r="N1579" i="7"/>
  <c r="N1567" i="7"/>
  <c r="N1555" i="7"/>
  <c r="N1543" i="7"/>
  <c r="N1531" i="7"/>
  <c r="N1519" i="7"/>
  <c r="N1507" i="7"/>
  <c r="N1495" i="7"/>
  <c r="N1483" i="7"/>
  <c r="N1471" i="7"/>
  <c r="N1459" i="7"/>
  <c r="N1447" i="7"/>
  <c r="N1435" i="7"/>
  <c r="N1423" i="7"/>
  <c r="N1411" i="7"/>
  <c r="N1399" i="7"/>
  <c r="N1387" i="7"/>
  <c r="N1375" i="7"/>
  <c r="N1363" i="7"/>
  <c r="N1351" i="7"/>
  <c r="N1339" i="7"/>
  <c r="N1327" i="7"/>
  <c r="N1315" i="7"/>
  <c r="N1303" i="7"/>
  <c r="N1291" i="7"/>
  <c r="N1279" i="7"/>
  <c r="N1267" i="7"/>
  <c r="N1255" i="7"/>
  <c r="N1243" i="7"/>
  <c r="N1231" i="7"/>
  <c r="N1219" i="7"/>
  <c r="N1207" i="7"/>
  <c r="N1195" i="7"/>
  <c r="N1183" i="7"/>
  <c r="N1171" i="7"/>
  <c r="N1159" i="7"/>
  <c r="N1147" i="7"/>
  <c r="N1135" i="7"/>
  <c r="N1123" i="7"/>
  <c r="N1111" i="7"/>
  <c r="N1099" i="7"/>
  <c r="N1087" i="7"/>
  <c r="N1075" i="7"/>
  <c r="N1063" i="7"/>
  <c r="N1051" i="7"/>
  <c r="N1039" i="7"/>
  <c r="N1027" i="7"/>
  <c r="N1015" i="7"/>
  <c r="N1003" i="7"/>
  <c r="N991" i="7"/>
  <c r="N979" i="7"/>
  <c r="N967" i="7"/>
  <c r="N955" i="7"/>
  <c r="N943" i="7"/>
  <c r="N931" i="7"/>
  <c r="N919" i="7"/>
  <c r="N907" i="7"/>
  <c r="N895" i="7"/>
  <c r="N883" i="7"/>
  <c r="N871" i="7"/>
  <c r="N859" i="7"/>
  <c r="N847" i="7"/>
  <c r="N835" i="7"/>
  <c r="N823" i="7"/>
  <c r="N811" i="7"/>
  <c r="N799" i="7"/>
  <c r="N787" i="7"/>
  <c r="N775" i="7"/>
  <c r="N763" i="7"/>
  <c r="N751" i="7"/>
  <c r="N739" i="7"/>
  <c r="N727" i="7"/>
  <c r="N715" i="7"/>
  <c r="N703" i="7"/>
  <c r="N691" i="7"/>
  <c r="N679" i="7"/>
  <c r="N667" i="7"/>
  <c r="N655" i="7"/>
  <c r="N643" i="7"/>
  <c r="N631" i="7"/>
  <c r="N619" i="7"/>
  <c r="N607" i="7"/>
  <c r="N595" i="7"/>
  <c r="N583" i="7"/>
  <c r="N571" i="7"/>
  <c r="N559" i="7"/>
  <c r="N547" i="7"/>
  <c r="N535" i="7"/>
  <c r="N523" i="7"/>
  <c r="N511" i="7"/>
  <c r="N499" i="7"/>
  <c r="N487" i="7"/>
  <c r="N475" i="7"/>
  <c r="N463" i="7"/>
  <c r="N451" i="7"/>
  <c r="N439" i="7"/>
  <c r="N427" i="7"/>
  <c r="N415" i="7"/>
  <c r="N403" i="7"/>
  <c r="N391" i="7"/>
  <c r="N379" i="7"/>
  <c r="N367" i="7"/>
  <c r="N355" i="7"/>
  <c r="N343" i="7"/>
  <c r="N331" i="7"/>
  <c r="N319" i="7"/>
  <c r="N307" i="7"/>
  <c r="N295" i="7"/>
  <c r="N283" i="7"/>
  <c r="N271" i="7"/>
  <c r="N259" i="7"/>
  <c r="N247" i="7"/>
  <c r="N235" i="7"/>
  <c r="N223" i="7"/>
  <c r="N211" i="7"/>
  <c r="N199" i="7"/>
  <c r="N187" i="7"/>
  <c r="N175" i="7"/>
  <c r="N163" i="7"/>
  <c r="N151" i="7"/>
  <c r="N139" i="7"/>
  <c r="N127" i="7"/>
  <c r="N115" i="7"/>
  <c r="N103" i="7"/>
  <c r="N91" i="7"/>
  <c r="N79" i="7"/>
  <c r="N67" i="7"/>
  <c r="N55" i="7"/>
  <c r="N43" i="7"/>
  <c r="N31" i="7"/>
  <c r="N19" i="7"/>
  <c r="N7" i="7"/>
  <c r="N1608" i="7"/>
  <c r="N1512" i="7"/>
  <c r="N1428" i="7"/>
  <c r="N1332" i="7"/>
  <c r="N1248" i="7"/>
  <c r="N1116" i="7"/>
  <c r="N1020" i="7"/>
  <c r="N912" i="7"/>
  <c r="N816" i="7"/>
  <c r="N720" i="7"/>
  <c r="N648" i="7"/>
  <c r="N564" i="7"/>
  <c r="N504" i="7"/>
  <c r="N444" i="7"/>
  <c r="N360" i="7"/>
  <c r="N276" i="7"/>
  <c r="N192" i="7"/>
  <c r="N132" i="7"/>
  <c r="N72" i="7"/>
  <c r="N12" i="7"/>
  <c r="N2661" i="7"/>
  <c r="N2613" i="7"/>
  <c r="N2577" i="7"/>
  <c r="N2541" i="7"/>
  <c r="N2493" i="7"/>
  <c r="N2445" i="7"/>
  <c r="N2385" i="7"/>
  <c r="N2157" i="7"/>
  <c r="N2706" i="7"/>
  <c r="N2694" i="7"/>
  <c r="N2682" i="7"/>
  <c r="N2670" i="7"/>
  <c r="N2658" i="7"/>
  <c r="N2646" i="7"/>
  <c r="N2634" i="7"/>
  <c r="N2622" i="7"/>
  <c r="N2610" i="7"/>
  <c r="N2598" i="7"/>
  <c r="N2586" i="7"/>
  <c r="N2574" i="7"/>
  <c r="N2562" i="7"/>
  <c r="N2550" i="7"/>
  <c r="N2538" i="7"/>
  <c r="N2526" i="7"/>
  <c r="N2514" i="7"/>
  <c r="N2502" i="7"/>
  <c r="N2490" i="7"/>
  <c r="N2478" i="7"/>
  <c r="N2466" i="7"/>
  <c r="N2454" i="7"/>
  <c r="N2442" i="7"/>
  <c r="N2430" i="7"/>
  <c r="N2418" i="7"/>
  <c r="N2406" i="7"/>
  <c r="N2394" i="7"/>
  <c r="N2382" i="7"/>
  <c r="N2370" i="7"/>
  <c r="N2358" i="7"/>
  <c r="N2346" i="7"/>
  <c r="N2334" i="7"/>
  <c r="N2322" i="7"/>
  <c r="N2310" i="7"/>
  <c r="N2298" i="7"/>
  <c r="N2286" i="7"/>
  <c r="N2274" i="7"/>
  <c r="N2262" i="7"/>
  <c r="N2250" i="7"/>
  <c r="N2238" i="7"/>
  <c r="N2226" i="7"/>
  <c r="N2214" i="7"/>
  <c r="N2202" i="7"/>
  <c r="N2190" i="7"/>
  <c r="N2178" i="7"/>
  <c r="N2166" i="7"/>
  <c r="N2154" i="7"/>
  <c r="N2142" i="7"/>
  <c r="N2130" i="7"/>
  <c r="N2118" i="7"/>
  <c r="N2106" i="7"/>
  <c r="N2094" i="7"/>
  <c r="N2082" i="7"/>
  <c r="N2070" i="7"/>
  <c r="N2058" i="7"/>
  <c r="N2046" i="7"/>
  <c r="N2034" i="7"/>
  <c r="N2022" i="7"/>
  <c r="N2010" i="7"/>
  <c r="N1998" i="7"/>
  <c r="N1986" i="7"/>
  <c r="N1974" i="7"/>
  <c r="N1962" i="7"/>
  <c r="N1950" i="7"/>
  <c r="N1938" i="7"/>
  <c r="N1926" i="7"/>
  <c r="N1914" i="7"/>
  <c r="N1902" i="7"/>
  <c r="N1890" i="7"/>
  <c r="N1878" i="7"/>
  <c r="N1866" i="7"/>
  <c r="N1854" i="7"/>
  <c r="N1842" i="7"/>
  <c r="N1830" i="7"/>
  <c r="N1818" i="7"/>
  <c r="N1806" i="7"/>
  <c r="N1794" i="7"/>
  <c r="N1782" i="7"/>
  <c r="N1770" i="7"/>
  <c r="N1758" i="7"/>
  <c r="N1746" i="7"/>
  <c r="N1734" i="7"/>
  <c r="N1722" i="7"/>
  <c r="N1710" i="7"/>
  <c r="N1698" i="7"/>
  <c r="N1686" i="7"/>
  <c r="N1674" i="7"/>
  <c r="N1662" i="7"/>
  <c r="N1650" i="7"/>
  <c r="N1638" i="7"/>
  <c r="N1626" i="7"/>
  <c r="N1614" i="7"/>
  <c r="N1602" i="7"/>
  <c r="N1590" i="7"/>
  <c r="N1578" i="7"/>
  <c r="N1566" i="7"/>
  <c r="N1554" i="7"/>
  <c r="N1542" i="7"/>
  <c r="N1530" i="7"/>
  <c r="N1518" i="7"/>
  <c r="N1506" i="7"/>
  <c r="N1494" i="7"/>
  <c r="N1482" i="7"/>
  <c r="N1470" i="7"/>
  <c r="N1458" i="7"/>
  <c r="N1446" i="7"/>
  <c r="N1434" i="7"/>
  <c r="N1422" i="7"/>
  <c r="N1410" i="7"/>
  <c r="N1398" i="7"/>
  <c r="N1386" i="7"/>
  <c r="N1374" i="7"/>
  <c r="N1362" i="7"/>
  <c r="N1350" i="7"/>
  <c r="N1338" i="7"/>
  <c r="N1326" i="7"/>
  <c r="N1314" i="7"/>
  <c r="N1302" i="7"/>
  <c r="N1290" i="7"/>
  <c r="N1278" i="7"/>
  <c r="N1266" i="7"/>
  <c r="N1254" i="7"/>
  <c r="N1242" i="7"/>
  <c r="N1230" i="7"/>
  <c r="N1218" i="7"/>
  <c r="N1206" i="7"/>
  <c r="N1194" i="7"/>
  <c r="N1182" i="7"/>
  <c r="N1170" i="7"/>
  <c r="N1158" i="7"/>
  <c r="N1146" i="7"/>
  <c r="N1134" i="7"/>
  <c r="N1122" i="7"/>
  <c r="N1110" i="7"/>
  <c r="N1098" i="7"/>
  <c r="N1086" i="7"/>
  <c r="N1074" i="7"/>
  <c r="N1062" i="7"/>
  <c r="N1050" i="7"/>
  <c r="N1038" i="7"/>
  <c r="N1026" i="7"/>
  <c r="N1014" i="7"/>
  <c r="N1002" i="7"/>
  <c r="N990" i="7"/>
  <c r="N978" i="7"/>
  <c r="N966" i="7"/>
  <c r="N954" i="7"/>
  <c r="N942" i="7"/>
  <c r="N930" i="7"/>
  <c r="N918" i="7"/>
  <c r="N906" i="7"/>
  <c r="N894" i="7"/>
  <c r="N882" i="7"/>
  <c r="N870" i="7"/>
  <c r="N858" i="7"/>
  <c r="N846" i="7"/>
  <c r="N834" i="7"/>
  <c r="N822" i="7"/>
  <c r="N810" i="7"/>
  <c r="N798" i="7"/>
  <c r="N786" i="7"/>
  <c r="N774" i="7"/>
  <c r="N762" i="7"/>
  <c r="N750" i="7"/>
  <c r="N738" i="7"/>
  <c r="N726" i="7"/>
  <c r="N714" i="7"/>
  <c r="N702" i="7"/>
  <c r="N690" i="7"/>
  <c r="N678" i="7"/>
  <c r="N666" i="7"/>
  <c r="N654" i="7"/>
  <c r="N642" i="7"/>
  <c r="N630" i="7"/>
  <c r="N618" i="7"/>
  <c r="N606" i="7"/>
  <c r="N594" i="7"/>
  <c r="N582" i="7"/>
  <c r="N570" i="7"/>
  <c r="N558" i="7"/>
  <c r="N546" i="7"/>
  <c r="N534" i="7"/>
  <c r="N522" i="7"/>
  <c r="N510" i="7"/>
  <c r="N498" i="7"/>
  <c r="N486" i="7"/>
  <c r="N474" i="7"/>
  <c r="N462" i="7"/>
  <c r="N450" i="7"/>
  <c r="N438" i="7"/>
  <c r="N426" i="7"/>
  <c r="N414" i="7"/>
  <c r="N402" i="7"/>
  <c r="N390" i="7"/>
  <c r="N378" i="7"/>
  <c r="N366" i="7"/>
  <c r="N354" i="7"/>
  <c r="N342" i="7"/>
  <c r="N330" i="7"/>
  <c r="N318" i="7"/>
  <c r="N306" i="7"/>
  <c r="N294" i="7"/>
  <c r="N282" i="7"/>
  <c r="N270" i="7"/>
  <c r="N258" i="7"/>
  <c r="N246" i="7"/>
  <c r="N234" i="7"/>
  <c r="N222" i="7"/>
  <c r="N210" i="7"/>
  <c r="N198" i="7"/>
  <c r="N186" i="7"/>
  <c r="N174" i="7"/>
  <c r="N162" i="7"/>
  <c r="N150" i="7"/>
  <c r="N138" i="7"/>
  <c r="N126" i="7"/>
  <c r="N114" i="7"/>
  <c r="N102" i="7"/>
  <c r="N90" i="7"/>
  <c r="N78" i="7"/>
  <c r="N66" i="7"/>
  <c r="N54" i="7"/>
  <c r="N42" i="7"/>
  <c r="N30" i="7"/>
  <c r="N18" i="7"/>
  <c r="N6" i="7"/>
  <c r="N1524" i="7"/>
  <c r="N1380" i="7"/>
  <c r="N1284" i="7"/>
  <c r="N1236" i="7"/>
  <c r="N1152" i="7"/>
  <c r="N1056" i="7"/>
  <c r="N936" i="7"/>
  <c r="N876" i="7"/>
  <c r="N804" i="7"/>
  <c r="N732" i="7"/>
  <c r="N660" i="7"/>
  <c r="N576" i="7"/>
  <c r="N468" i="7"/>
  <c r="N384" i="7"/>
  <c r="N288" i="7"/>
  <c r="N156" i="7"/>
  <c r="N36" i="7"/>
  <c r="N2705" i="7"/>
  <c r="N2693" i="7"/>
  <c r="N2681" i="7"/>
  <c r="N2669" i="7"/>
  <c r="N2657" i="7"/>
  <c r="N2645" i="7"/>
  <c r="N2633" i="7"/>
  <c r="N2621" i="7"/>
  <c r="N2609" i="7"/>
  <c r="N2597" i="7"/>
  <c r="N2585" i="7"/>
  <c r="N2573" i="7"/>
  <c r="N2561" i="7"/>
  <c r="N2549" i="7"/>
  <c r="N2537" i="7"/>
  <c r="N2525" i="7"/>
  <c r="N2513" i="7"/>
  <c r="N2501" i="7"/>
  <c r="N2489" i="7"/>
  <c r="N2477" i="7"/>
  <c r="N2465" i="7"/>
  <c r="N2453" i="7"/>
  <c r="N2441" i="7"/>
  <c r="N2429" i="7"/>
  <c r="N2417" i="7"/>
  <c r="N2405" i="7"/>
  <c r="N2393" i="7"/>
  <c r="N2381" i="7"/>
  <c r="N2369" i="7"/>
  <c r="N2357" i="7"/>
  <c r="N2345" i="7"/>
  <c r="N2333" i="7"/>
  <c r="N2321" i="7"/>
  <c r="N2309" i="7"/>
  <c r="N2297" i="7"/>
  <c r="N2285" i="7"/>
  <c r="N2273" i="7"/>
  <c r="N2261" i="7"/>
  <c r="N2249" i="7"/>
  <c r="N2237" i="7"/>
  <c r="N2225" i="7"/>
  <c r="N2213" i="7"/>
  <c r="N2201" i="7"/>
  <c r="N2189" i="7"/>
  <c r="N2177" i="7"/>
  <c r="N2165" i="7"/>
  <c r="N2153" i="7"/>
  <c r="N2141" i="7"/>
  <c r="N2129" i="7"/>
  <c r="N2117" i="7"/>
  <c r="N2105" i="7"/>
  <c r="N2093" i="7"/>
  <c r="N2081" i="7"/>
  <c r="N2069" i="7"/>
  <c r="N2057" i="7"/>
  <c r="N2045" i="7"/>
  <c r="N2033" i="7"/>
  <c r="N2021" i="7"/>
  <c r="N2009" i="7"/>
  <c r="N1997" i="7"/>
  <c r="N1985" i="7"/>
  <c r="N1973" i="7"/>
  <c r="N1961" i="7"/>
  <c r="N1949" i="7"/>
  <c r="N1937" i="7"/>
  <c r="N1925" i="7"/>
  <c r="N1913" i="7"/>
  <c r="N1901" i="7"/>
  <c r="N1889" i="7"/>
  <c r="N1877" i="7"/>
  <c r="N1865" i="7"/>
  <c r="N1853" i="7"/>
  <c r="N1841" i="7"/>
  <c r="N1829" i="7"/>
  <c r="N1817" i="7"/>
  <c r="N1805" i="7"/>
  <c r="N1793" i="7"/>
  <c r="N1781" i="7"/>
  <c r="N1769" i="7"/>
  <c r="N1757" i="7"/>
  <c r="N1745" i="7"/>
  <c r="N1733" i="7"/>
  <c r="N1721" i="7"/>
  <c r="N1709" i="7"/>
  <c r="N1697" i="7"/>
  <c r="N1685" i="7"/>
  <c r="N1673" i="7"/>
  <c r="N1661" i="7"/>
  <c r="N1649" i="7"/>
  <c r="N1637" i="7"/>
  <c r="N1625" i="7"/>
  <c r="N1613" i="7"/>
  <c r="N1601" i="7"/>
  <c r="N1589" i="7"/>
  <c r="N1577" i="7"/>
  <c r="N1565" i="7"/>
  <c r="N1553" i="7"/>
  <c r="N1541" i="7"/>
  <c r="N1529" i="7"/>
  <c r="N1517" i="7"/>
  <c r="N1505" i="7"/>
  <c r="N1493" i="7"/>
  <c r="N1481" i="7"/>
  <c r="N1469" i="7"/>
  <c r="N1457" i="7"/>
  <c r="N1445" i="7"/>
  <c r="N1433" i="7"/>
  <c r="N1421" i="7"/>
  <c r="N1409" i="7"/>
  <c r="N1397" i="7"/>
  <c r="N1385" i="7"/>
  <c r="N1373" i="7"/>
  <c r="N1361" i="7"/>
  <c r="N1349" i="7"/>
  <c r="N1337" i="7"/>
  <c r="N1325" i="7"/>
  <c r="N1313" i="7"/>
  <c r="N1301" i="7"/>
  <c r="N1289" i="7"/>
  <c r="N1277" i="7"/>
  <c r="N1265" i="7"/>
  <c r="N1253" i="7"/>
  <c r="N1241" i="7"/>
  <c r="N1229" i="7"/>
  <c r="N1217" i="7"/>
  <c r="N1205" i="7"/>
  <c r="N1193" i="7"/>
  <c r="N1181" i="7"/>
  <c r="N1169" i="7"/>
  <c r="N1157" i="7"/>
  <c r="N1145" i="7"/>
  <c r="N1133" i="7"/>
  <c r="N1121" i="7"/>
  <c r="N1109" i="7"/>
  <c r="N1097" i="7"/>
  <c r="N1085" i="7"/>
  <c r="N1073" i="7"/>
  <c r="N1061" i="7"/>
  <c r="N1049" i="7"/>
  <c r="N1037" i="7"/>
  <c r="N1025" i="7"/>
  <c r="N1013" i="7"/>
  <c r="N1001" i="7"/>
  <c r="N989" i="7"/>
  <c r="N977" i="7"/>
  <c r="N965" i="7"/>
  <c r="N953" i="7"/>
  <c r="N941" i="7"/>
  <c r="N929" i="7"/>
  <c r="N917" i="7"/>
  <c r="N905" i="7"/>
  <c r="N893" i="7"/>
  <c r="N881" i="7"/>
  <c r="N869" i="7"/>
  <c r="N857" i="7"/>
  <c r="N845" i="7"/>
  <c r="N833" i="7"/>
  <c r="N821" i="7"/>
  <c r="N809" i="7"/>
  <c r="N797" i="7"/>
  <c r="N785" i="7"/>
  <c r="N773" i="7"/>
  <c r="N761" i="7"/>
  <c r="N749" i="7"/>
  <c r="N737" i="7"/>
  <c r="N725" i="7"/>
  <c r="N713" i="7"/>
  <c r="N701" i="7"/>
  <c r="N689" i="7"/>
  <c r="N677" i="7"/>
  <c r="N665" i="7"/>
  <c r="N653" i="7"/>
  <c r="N641" i="7"/>
  <c r="N629" i="7"/>
  <c r="N617" i="7"/>
  <c r="N605" i="7"/>
  <c r="N593" i="7"/>
  <c r="N581" i="7"/>
  <c r="N569" i="7"/>
  <c r="N557" i="7"/>
  <c r="N545" i="7"/>
  <c r="N533" i="7"/>
  <c r="N521" i="7"/>
  <c r="N509" i="7"/>
  <c r="N497" i="7"/>
  <c r="N485" i="7"/>
  <c r="N473" i="7"/>
  <c r="N461" i="7"/>
  <c r="N449" i="7"/>
  <c r="N437" i="7"/>
  <c r="N425" i="7"/>
  <c r="N413" i="7"/>
  <c r="N401" i="7"/>
  <c r="N389" i="7"/>
  <c r="N377" i="7"/>
  <c r="N365" i="7"/>
  <c r="N353" i="7"/>
  <c r="N341" i="7"/>
  <c r="N329" i="7"/>
  <c r="N317" i="7"/>
  <c r="N305" i="7"/>
  <c r="N293" i="7"/>
  <c r="N281" i="7"/>
  <c r="N269" i="7"/>
  <c r="N257" i="7"/>
  <c r="N245" i="7"/>
  <c r="N233" i="7"/>
  <c r="N221" i="7"/>
  <c r="N209" i="7"/>
  <c r="N197" i="7"/>
  <c r="N185" i="7"/>
  <c r="N173" i="7"/>
  <c r="N161" i="7"/>
  <c r="N149" i="7"/>
  <c r="N137" i="7"/>
  <c r="N125" i="7"/>
  <c r="N113" i="7"/>
  <c r="N101" i="7"/>
  <c r="N89" i="7"/>
  <c r="N77" i="7"/>
  <c r="N65" i="7"/>
  <c r="N53" i="7"/>
  <c r="N41" i="7"/>
  <c r="N29" i="7"/>
  <c r="N17" i="7"/>
  <c r="N5" i="7"/>
  <c r="N1644" i="7"/>
  <c r="N1560" i="7"/>
  <c r="N1464" i="7"/>
  <c r="N1368" i="7"/>
  <c r="N1272" i="7"/>
  <c r="N1212" i="7"/>
  <c r="N1140" i="7"/>
  <c r="N1032" i="7"/>
  <c r="N948" i="7"/>
  <c r="N828" i="7"/>
  <c r="N684" i="7"/>
  <c r="N624" i="7"/>
  <c r="N540" i="7"/>
  <c r="N456" i="7"/>
  <c r="N396" i="7"/>
  <c r="N312" i="7"/>
  <c r="N216" i="7"/>
  <c r="N96" i="7"/>
  <c r="N2704" i="7"/>
  <c r="N2692" i="7"/>
  <c r="N2680" i="7"/>
  <c r="N2668" i="7"/>
  <c r="N2656" i="7"/>
  <c r="N2644" i="7"/>
  <c r="N2632" i="7"/>
  <c r="N2620" i="7"/>
  <c r="N2608" i="7"/>
  <c r="N2596" i="7"/>
  <c r="N2584" i="7"/>
  <c r="N2572" i="7"/>
  <c r="N2560" i="7"/>
  <c r="N2548" i="7"/>
  <c r="N2536" i="7"/>
  <c r="N2524" i="7"/>
  <c r="N2512" i="7"/>
  <c r="N2500" i="7"/>
  <c r="N2488" i="7"/>
  <c r="N2476" i="7"/>
  <c r="N2464" i="7"/>
  <c r="N2452" i="7"/>
  <c r="N2440" i="7"/>
  <c r="N2428" i="7"/>
  <c r="N2416" i="7"/>
  <c r="N2404" i="7"/>
  <c r="N2392" i="7"/>
  <c r="N2380" i="7"/>
  <c r="N2368" i="7"/>
  <c r="N2356" i="7"/>
  <c r="N2344" i="7"/>
  <c r="N2332" i="7"/>
  <c r="N2320" i="7"/>
  <c r="N2308" i="7"/>
  <c r="N2296" i="7"/>
  <c r="N2284" i="7"/>
  <c r="N2272" i="7"/>
  <c r="N2260" i="7"/>
  <c r="N2248" i="7"/>
  <c r="N2236" i="7"/>
  <c r="N2224" i="7"/>
  <c r="N2212" i="7"/>
  <c r="N2200" i="7"/>
  <c r="N2188" i="7"/>
  <c r="N2176" i="7"/>
  <c r="N2164" i="7"/>
  <c r="N2152" i="7"/>
  <c r="N2140" i="7"/>
  <c r="N2128" i="7"/>
  <c r="N2116" i="7"/>
  <c r="N2104" i="7"/>
  <c r="N2092" i="7"/>
  <c r="N2080" i="7"/>
  <c r="N2068" i="7"/>
  <c r="N2056" i="7"/>
  <c r="N2044" i="7"/>
  <c r="N2032" i="7"/>
  <c r="N2020" i="7"/>
  <c r="N2008" i="7"/>
  <c r="N1996" i="7"/>
  <c r="N1984" i="7"/>
  <c r="N1972" i="7"/>
  <c r="N1960" i="7"/>
  <c r="N1948" i="7"/>
  <c r="N1936" i="7"/>
  <c r="N1924" i="7"/>
  <c r="N1912" i="7"/>
  <c r="N1900" i="7"/>
  <c r="N1888" i="7"/>
  <c r="N1876" i="7"/>
  <c r="N1864" i="7"/>
  <c r="N1852" i="7"/>
  <c r="N1840" i="7"/>
  <c r="N1828" i="7"/>
  <c r="N1816" i="7"/>
  <c r="N1804" i="7"/>
  <c r="N1792" i="7"/>
  <c r="N1780" i="7"/>
  <c r="N1768" i="7"/>
  <c r="N1756" i="7"/>
  <c r="N1744" i="7"/>
  <c r="N1732" i="7"/>
  <c r="N1720" i="7"/>
  <c r="N1708" i="7"/>
  <c r="N1696" i="7"/>
  <c r="N1684" i="7"/>
  <c r="N1672" i="7"/>
  <c r="N1660" i="7"/>
  <c r="N1648" i="7"/>
  <c r="N1636" i="7"/>
  <c r="N1624" i="7"/>
  <c r="N1612" i="7"/>
  <c r="N1600" i="7"/>
  <c r="N1588" i="7"/>
  <c r="N1576" i="7"/>
  <c r="N1564" i="7"/>
  <c r="N1552" i="7"/>
  <c r="N1540" i="7"/>
  <c r="N1528" i="7"/>
  <c r="N1516" i="7"/>
  <c r="N1504" i="7"/>
  <c r="N1492" i="7"/>
  <c r="N1480" i="7"/>
  <c r="N1468" i="7"/>
  <c r="N1456" i="7"/>
  <c r="N1444" i="7"/>
  <c r="N1432" i="7"/>
  <c r="N1420" i="7"/>
  <c r="N1408" i="7"/>
  <c r="N1396" i="7"/>
  <c r="N1384" i="7"/>
  <c r="N1372" i="7"/>
  <c r="N1360" i="7"/>
  <c r="N1348" i="7"/>
  <c r="N1336" i="7"/>
  <c r="N1324" i="7"/>
  <c r="N1312" i="7"/>
  <c r="N1300" i="7"/>
  <c r="N1288" i="7"/>
  <c r="N1276" i="7"/>
  <c r="N1264" i="7"/>
  <c r="N1252" i="7"/>
  <c r="N1240" i="7"/>
  <c r="N1228" i="7"/>
  <c r="N1216" i="7"/>
  <c r="N1204" i="7"/>
  <c r="N1192" i="7"/>
  <c r="N1180" i="7"/>
  <c r="N1168" i="7"/>
  <c r="N1156" i="7"/>
  <c r="N1144" i="7"/>
  <c r="N1132" i="7"/>
  <c r="N1120" i="7"/>
  <c r="N1108" i="7"/>
  <c r="N1096" i="7"/>
  <c r="N1084" i="7"/>
  <c r="N1072" i="7"/>
  <c r="N1060" i="7"/>
  <c r="N1048" i="7"/>
  <c r="N1036" i="7"/>
  <c r="N1024" i="7"/>
  <c r="N1012" i="7"/>
  <c r="N1000" i="7"/>
  <c r="N988" i="7"/>
  <c r="N976" i="7"/>
  <c r="N964" i="7"/>
  <c r="N952" i="7"/>
  <c r="N940" i="7"/>
  <c r="N928" i="7"/>
  <c r="N916" i="7"/>
  <c r="N904" i="7"/>
  <c r="N892" i="7"/>
  <c r="N880" i="7"/>
  <c r="N868" i="7"/>
  <c r="N856" i="7"/>
  <c r="N844" i="7"/>
  <c r="N832" i="7"/>
  <c r="N820" i="7"/>
  <c r="N808" i="7"/>
  <c r="N796" i="7"/>
  <c r="N784" i="7"/>
  <c r="N772" i="7"/>
  <c r="N760" i="7"/>
  <c r="N748" i="7"/>
  <c r="N736" i="7"/>
  <c r="N724" i="7"/>
  <c r="N712" i="7"/>
  <c r="N700" i="7"/>
  <c r="N688" i="7"/>
  <c r="N676" i="7"/>
  <c r="N664" i="7"/>
  <c r="N652" i="7"/>
  <c r="N640" i="7"/>
  <c r="N628" i="7"/>
  <c r="N616" i="7"/>
  <c r="N604" i="7"/>
  <c r="N592" i="7"/>
  <c r="N580" i="7"/>
  <c r="N568" i="7"/>
  <c r="N556" i="7"/>
  <c r="N544" i="7"/>
  <c r="N532" i="7"/>
  <c r="N520" i="7"/>
  <c r="N508" i="7"/>
  <c r="N496" i="7"/>
  <c r="N484" i="7"/>
  <c r="N472" i="7"/>
  <c r="N460" i="7"/>
  <c r="N448" i="7"/>
  <c r="N436" i="7"/>
  <c r="N424" i="7"/>
  <c r="N412" i="7"/>
  <c r="N400" i="7"/>
  <c r="N388" i="7"/>
  <c r="N376" i="7"/>
  <c r="N364" i="7"/>
  <c r="N352" i="7"/>
  <c r="N340" i="7"/>
  <c r="N328" i="7"/>
  <c r="N316" i="7"/>
  <c r="N304" i="7"/>
  <c r="N292" i="7"/>
  <c r="N280" i="7"/>
  <c r="N268" i="7"/>
  <c r="N256" i="7"/>
  <c r="N244" i="7"/>
  <c r="N232" i="7"/>
  <c r="N220" i="7"/>
  <c r="N208" i="7"/>
  <c r="N196" i="7"/>
  <c r="N184" i="7"/>
  <c r="N172" i="7"/>
  <c r="N160" i="7"/>
  <c r="N148" i="7"/>
  <c r="N136" i="7"/>
  <c r="N124" i="7"/>
  <c r="N112" i="7"/>
  <c r="N100" i="7"/>
  <c r="N88" i="7"/>
  <c r="N76" i="7"/>
  <c r="N64" i="7"/>
  <c r="N52" i="7"/>
  <c r="N40" i="7"/>
  <c r="N28" i="7"/>
  <c r="N16" i="7"/>
  <c r="N4" i="7"/>
  <c r="S9" i="6"/>
  <c r="Y9" i="6" s="1"/>
  <c r="AK9" i="6" s="1"/>
  <c r="S15" i="6"/>
  <c r="Y15" i="6" s="1"/>
  <c r="AK15" i="6" s="1"/>
  <c r="S21" i="6"/>
  <c r="Y21" i="6" s="1"/>
  <c r="AK21" i="6" s="1"/>
  <c r="S27" i="6"/>
  <c r="Y27" i="6" s="1"/>
  <c r="AK27" i="6" s="1"/>
  <c r="S33" i="6"/>
  <c r="Y33" i="6" s="1"/>
  <c r="AK33" i="6" s="1"/>
  <c r="S39" i="6"/>
  <c r="Y39" i="6" s="1"/>
  <c r="AK39" i="6" s="1"/>
  <c r="S45" i="6"/>
  <c r="Y45" i="6" s="1"/>
  <c r="AK45" i="6" s="1"/>
  <c r="S51" i="6"/>
  <c r="Y51" i="6" s="1"/>
  <c r="AK51" i="6" s="1"/>
  <c r="S57" i="6"/>
  <c r="Y57" i="6" s="1"/>
  <c r="AK57" i="6" s="1"/>
  <c r="S63" i="6"/>
  <c r="Y63" i="6" s="1"/>
  <c r="AK63" i="6" s="1"/>
  <c r="S69" i="6"/>
  <c r="Y69" i="6" s="1"/>
  <c r="AK69" i="6" s="1"/>
  <c r="S75" i="6"/>
  <c r="Y75" i="6" s="1"/>
  <c r="AK75" i="6" s="1"/>
  <c r="S81" i="6"/>
  <c r="Y81" i="6" s="1"/>
  <c r="AK81" i="6" s="1"/>
  <c r="S87" i="6"/>
  <c r="Y87" i="6" s="1"/>
  <c r="AK87" i="6" s="1"/>
  <c r="S93" i="6"/>
  <c r="Y93" i="6" s="1"/>
  <c r="AK93" i="6" s="1"/>
  <c r="S99" i="6"/>
  <c r="Y99" i="6" s="1"/>
  <c r="AK99" i="6" s="1"/>
  <c r="S105" i="6"/>
  <c r="Y105" i="6" s="1"/>
  <c r="AK105" i="6" s="1"/>
  <c r="S111" i="6"/>
  <c r="Y111" i="6" s="1"/>
  <c r="AK111" i="6" s="1"/>
  <c r="T5" i="6"/>
  <c r="Z5" i="6" s="1"/>
  <c r="AL5" i="6" s="1"/>
  <c r="T11" i="6"/>
  <c r="Z11" i="6" s="1"/>
  <c r="AL11" i="6" s="1"/>
  <c r="T17" i="6"/>
  <c r="Z17" i="6" s="1"/>
  <c r="AL17" i="6" s="1"/>
  <c r="T23" i="6"/>
  <c r="Z23" i="6" s="1"/>
  <c r="AL23" i="6" s="1"/>
  <c r="T29" i="6"/>
  <c r="Z29" i="6" s="1"/>
  <c r="AL29" i="6" s="1"/>
  <c r="T35" i="6"/>
  <c r="Z35" i="6" s="1"/>
  <c r="AL35" i="6" s="1"/>
  <c r="T41" i="6"/>
  <c r="Z41" i="6" s="1"/>
  <c r="AL41" i="6" s="1"/>
  <c r="T47" i="6"/>
  <c r="Z47" i="6" s="1"/>
  <c r="AL47" i="6" s="1"/>
  <c r="T53" i="6"/>
  <c r="Z53" i="6" s="1"/>
  <c r="AL53" i="6" s="1"/>
  <c r="T59" i="6"/>
  <c r="Z59" i="6" s="1"/>
  <c r="AL59" i="6" s="1"/>
  <c r="T65" i="6"/>
  <c r="Z65" i="6" s="1"/>
  <c r="AL65" i="6" s="1"/>
  <c r="T71" i="6"/>
  <c r="Z71" i="6" s="1"/>
  <c r="AL71" i="6" s="1"/>
  <c r="T77" i="6"/>
  <c r="Z77" i="6" s="1"/>
  <c r="AL77" i="6" s="1"/>
  <c r="T83" i="6"/>
  <c r="Z83" i="6" s="1"/>
  <c r="AL83" i="6" s="1"/>
  <c r="T89" i="6"/>
  <c r="Z89" i="6" s="1"/>
  <c r="AL89" i="6" s="1"/>
  <c r="T95" i="6"/>
  <c r="Z95" i="6" s="1"/>
  <c r="AL95" i="6" s="1"/>
  <c r="T101" i="6"/>
  <c r="Z101" i="6" s="1"/>
  <c r="AL101" i="6" s="1"/>
  <c r="T107" i="6"/>
  <c r="Z107" i="6" s="1"/>
  <c r="AL107" i="6" s="1"/>
  <c r="T113" i="6"/>
  <c r="Z113" i="6" s="1"/>
  <c r="AL113" i="6" s="1"/>
  <c r="U7" i="6"/>
  <c r="AA7" i="6" s="1"/>
  <c r="AM7" i="6" s="1"/>
  <c r="U13" i="6"/>
  <c r="AA13" i="6" s="1"/>
  <c r="AM13" i="6" s="1"/>
  <c r="U19" i="6"/>
  <c r="AA19" i="6" s="1"/>
  <c r="AM19" i="6" s="1"/>
  <c r="U25" i="6"/>
  <c r="AA25" i="6" s="1"/>
  <c r="AM25" i="6" s="1"/>
  <c r="U31" i="6"/>
  <c r="AA31" i="6" s="1"/>
  <c r="AM31" i="6" s="1"/>
  <c r="U37" i="6"/>
  <c r="AA37" i="6" s="1"/>
  <c r="AM37" i="6" s="1"/>
  <c r="U43" i="6"/>
  <c r="AA43" i="6" s="1"/>
  <c r="AM43" i="6" s="1"/>
  <c r="U49" i="6"/>
  <c r="AA49" i="6" s="1"/>
  <c r="AM49" i="6" s="1"/>
  <c r="U55" i="6"/>
  <c r="AA55" i="6" s="1"/>
  <c r="AM55" i="6" s="1"/>
  <c r="U61" i="6"/>
  <c r="AA61" i="6" s="1"/>
  <c r="AM61" i="6" s="1"/>
  <c r="U67" i="6"/>
  <c r="AA67" i="6" s="1"/>
  <c r="AM67" i="6" s="1"/>
  <c r="U73" i="6"/>
  <c r="AA73" i="6" s="1"/>
  <c r="AM73" i="6" s="1"/>
  <c r="U79" i="6"/>
  <c r="AA79" i="6" s="1"/>
  <c r="AM79" i="6" s="1"/>
  <c r="U85" i="6"/>
  <c r="AA85" i="6" s="1"/>
  <c r="AM85" i="6" s="1"/>
  <c r="U91" i="6"/>
  <c r="AA91" i="6" s="1"/>
  <c r="AM91" i="6" s="1"/>
  <c r="U97" i="6"/>
  <c r="AA97" i="6" s="1"/>
  <c r="AM97" i="6" s="1"/>
  <c r="U103" i="6"/>
  <c r="AA103" i="6" s="1"/>
  <c r="AM103" i="6" s="1"/>
  <c r="U109" i="6"/>
  <c r="AA109" i="6" s="1"/>
  <c r="AM109" i="6" s="1"/>
  <c r="U115" i="6"/>
  <c r="AA115" i="6" s="1"/>
  <c r="AM115" i="6" s="1"/>
  <c r="V9" i="6"/>
  <c r="AB9" i="6" s="1"/>
  <c r="AN9" i="6" s="1"/>
  <c r="V15" i="6"/>
  <c r="AB15" i="6" s="1"/>
  <c r="AN15" i="6" s="1"/>
  <c r="V21" i="6"/>
  <c r="AB21" i="6" s="1"/>
  <c r="AN21" i="6" s="1"/>
  <c r="V27" i="6"/>
  <c r="AB27" i="6" s="1"/>
  <c r="AN27" i="6" s="1"/>
  <c r="V33" i="6"/>
  <c r="AB33" i="6" s="1"/>
  <c r="AN33" i="6" s="1"/>
  <c r="V39" i="6"/>
  <c r="AB39" i="6" s="1"/>
  <c r="AN39" i="6" s="1"/>
  <c r="V45" i="6"/>
  <c r="AB45" i="6" s="1"/>
  <c r="AN45" i="6" s="1"/>
  <c r="V51" i="6"/>
  <c r="AB51" i="6" s="1"/>
  <c r="AN51" i="6" s="1"/>
  <c r="V57" i="6"/>
  <c r="AB57" i="6" s="1"/>
  <c r="AN57" i="6" s="1"/>
  <c r="V63" i="6"/>
  <c r="AB63" i="6" s="1"/>
  <c r="AN63" i="6" s="1"/>
  <c r="V69" i="6"/>
  <c r="AB69" i="6" s="1"/>
  <c r="AN69" i="6" s="1"/>
  <c r="V75" i="6"/>
  <c r="AB75" i="6" s="1"/>
  <c r="AN75" i="6" s="1"/>
  <c r="V81" i="6"/>
  <c r="AB81" i="6" s="1"/>
  <c r="AN81" i="6" s="1"/>
  <c r="V87" i="6"/>
  <c r="AB87" i="6" s="1"/>
  <c r="AN87" i="6" s="1"/>
  <c r="V93" i="6"/>
  <c r="AB93" i="6" s="1"/>
  <c r="AN93" i="6" s="1"/>
  <c r="V99" i="6"/>
  <c r="AB99" i="6" s="1"/>
  <c r="AN99" i="6" s="1"/>
  <c r="V105" i="6"/>
  <c r="AB105" i="6" s="1"/>
  <c r="AN105" i="6" s="1"/>
  <c r="V111" i="6"/>
  <c r="AB111" i="6" s="1"/>
  <c r="AN111" i="6" s="1"/>
  <c r="W5" i="6"/>
  <c r="AC5" i="6" s="1"/>
  <c r="AO5" i="6" s="1"/>
  <c r="W11" i="6"/>
  <c r="AC11" i="6" s="1"/>
  <c r="AO11" i="6" s="1"/>
  <c r="W17" i="6"/>
  <c r="AC17" i="6" s="1"/>
  <c r="AO17" i="6" s="1"/>
  <c r="W23" i="6"/>
  <c r="AC23" i="6" s="1"/>
  <c r="AO23" i="6" s="1"/>
  <c r="W29" i="6"/>
  <c r="AC29" i="6" s="1"/>
  <c r="AO29" i="6" s="1"/>
  <c r="W35" i="6"/>
  <c r="AC35" i="6" s="1"/>
  <c r="AO35" i="6" s="1"/>
  <c r="W41" i="6"/>
  <c r="AC41" i="6" s="1"/>
  <c r="AO41" i="6" s="1"/>
  <c r="W47" i="6"/>
  <c r="AC47" i="6" s="1"/>
  <c r="AO47" i="6" s="1"/>
  <c r="S4" i="6"/>
  <c r="Y4" i="6" s="1"/>
  <c r="AK4" i="6" s="1"/>
  <c r="S10" i="6"/>
  <c r="Y10" i="6" s="1"/>
  <c r="AK10" i="6" s="1"/>
  <c r="S16" i="6"/>
  <c r="Y16" i="6" s="1"/>
  <c r="AK16" i="6" s="1"/>
  <c r="S22" i="6"/>
  <c r="Y22" i="6" s="1"/>
  <c r="AK22" i="6" s="1"/>
  <c r="S28" i="6"/>
  <c r="Y28" i="6" s="1"/>
  <c r="AK28" i="6" s="1"/>
  <c r="S34" i="6"/>
  <c r="Y34" i="6" s="1"/>
  <c r="AK34" i="6" s="1"/>
  <c r="S40" i="6"/>
  <c r="Y40" i="6" s="1"/>
  <c r="AK40" i="6" s="1"/>
  <c r="S46" i="6"/>
  <c r="Y46" i="6" s="1"/>
  <c r="AK46" i="6" s="1"/>
  <c r="S52" i="6"/>
  <c r="Y52" i="6" s="1"/>
  <c r="AK52" i="6" s="1"/>
  <c r="S58" i="6"/>
  <c r="Y58" i="6" s="1"/>
  <c r="AK58" i="6" s="1"/>
  <c r="S64" i="6"/>
  <c r="Y64" i="6" s="1"/>
  <c r="AK64" i="6" s="1"/>
  <c r="S70" i="6"/>
  <c r="Y70" i="6" s="1"/>
  <c r="AK70" i="6" s="1"/>
  <c r="S76" i="6"/>
  <c r="Y76" i="6" s="1"/>
  <c r="AK76" i="6" s="1"/>
  <c r="S82" i="6"/>
  <c r="Y82" i="6" s="1"/>
  <c r="AK82" i="6" s="1"/>
  <c r="S88" i="6"/>
  <c r="Y88" i="6" s="1"/>
  <c r="AK88" i="6" s="1"/>
  <c r="S94" i="6"/>
  <c r="Y94" i="6" s="1"/>
  <c r="AK94" i="6" s="1"/>
  <c r="S100" i="6"/>
  <c r="Y100" i="6" s="1"/>
  <c r="AK100" i="6" s="1"/>
  <c r="S106" i="6"/>
  <c r="Y106" i="6" s="1"/>
  <c r="AK106" i="6" s="1"/>
  <c r="S112" i="6"/>
  <c r="Y112" i="6" s="1"/>
  <c r="AK112" i="6" s="1"/>
  <c r="T6" i="6"/>
  <c r="Z6" i="6" s="1"/>
  <c r="AL6" i="6" s="1"/>
  <c r="T12" i="6"/>
  <c r="Z12" i="6" s="1"/>
  <c r="AL12" i="6" s="1"/>
  <c r="T18" i="6"/>
  <c r="Z18" i="6" s="1"/>
  <c r="AL18" i="6" s="1"/>
  <c r="T24" i="6"/>
  <c r="Z24" i="6" s="1"/>
  <c r="AL24" i="6" s="1"/>
  <c r="T30" i="6"/>
  <c r="Z30" i="6" s="1"/>
  <c r="AL30" i="6" s="1"/>
  <c r="T36" i="6"/>
  <c r="Z36" i="6" s="1"/>
  <c r="AL36" i="6" s="1"/>
  <c r="T42" i="6"/>
  <c r="Z42" i="6" s="1"/>
  <c r="AL42" i="6" s="1"/>
  <c r="T48" i="6"/>
  <c r="Z48" i="6" s="1"/>
  <c r="AL48" i="6" s="1"/>
  <c r="T54" i="6"/>
  <c r="Z54" i="6" s="1"/>
  <c r="AL54" i="6" s="1"/>
  <c r="T60" i="6"/>
  <c r="Z60" i="6" s="1"/>
  <c r="AL60" i="6" s="1"/>
  <c r="T66" i="6"/>
  <c r="Z66" i="6" s="1"/>
  <c r="AL66" i="6" s="1"/>
  <c r="T72" i="6"/>
  <c r="Z72" i="6" s="1"/>
  <c r="AL72" i="6" s="1"/>
  <c r="T78" i="6"/>
  <c r="Z78" i="6" s="1"/>
  <c r="AL78" i="6" s="1"/>
  <c r="T84" i="6"/>
  <c r="Z84" i="6" s="1"/>
  <c r="AL84" i="6" s="1"/>
  <c r="T90" i="6"/>
  <c r="Z90" i="6" s="1"/>
  <c r="AL90" i="6" s="1"/>
  <c r="T96" i="6"/>
  <c r="Z96" i="6" s="1"/>
  <c r="AL96" i="6" s="1"/>
  <c r="T102" i="6"/>
  <c r="Z102" i="6" s="1"/>
  <c r="AL102" i="6" s="1"/>
  <c r="T108" i="6"/>
  <c r="Z108" i="6" s="1"/>
  <c r="AL108" i="6" s="1"/>
  <c r="T114" i="6"/>
  <c r="Z114" i="6" s="1"/>
  <c r="AL114" i="6" s="1"/>
  <c r="U8" i="6"/>
  <c r="AA8" i="6" s="1"/>
  <c r="AM8" i="6" s="1"/>
  <c r="U14" i="6"/>
  <c r="AA14" i="6" s="1"/>
  <c r="AM14" i="6" s="1"/>
  <c r="U20" i="6"/>
  <c r="AA20" i="6" s="1"/>
  <c r="AM20" i="6" s="1"/>
  <c r="U26" i="6"/>
  <c r="AA26" i="6" s="1"/>
  <c r="AM26" i="6" s="1"/>
  <c r="U32" i="6"/>
  <c r="AA32" i="6" s="1"/>
  <c r="AM32" i="6" s="1"/>
  <c r="U38" i="6"/>
  <c r="AA38" i="6" s="1"/>
  <c r="AM38" i="6" s="1"/>
  <c r="U44" i="6"/>
  <c r="AA44" i="6" s="1"/>
  <c r="AM44" i="6" s="1"/>
  <c r="U50" i="6"/>
  <c r="AA50" i="6" s="1"/>
  <c r="AM50" i="6" s="1"/>
  <c r="U56" i="6"/>
  <c r="AA56" i="6" s="1"/>
  <c r="AM56" i="6" s="1"/>
  <c r="U62" i="6"/>
  <c r="AA62" i="6" s="1"/>
  <c r="AM62" i="6" s="1"/>
  <c r="U68" i="6"/>
  <c r="AA68" i="6" s="1"/>
  <c r="AM68" i="6" s="1"/>
  <c r="U74" i="6"/>
  <c r="AA74" i="6" s="1"/>
  <c r="AM74" i="6" s="1"/>
  <c r="U80" i="6"/>
  <c r="AA80" i="6" s="1"/>
  <c r="AM80" i="6" s="1"/>
  <c r="U86" i="6"/>
  <c r="AA86" i="6" s="1"/>
  <c r="AM86" i="6" s="1"/>
  <c r="U92" i="6"/>
  <c r="AA92" i="6" s="1"/>
  <c r="AM92" i="6" s="1"/>
  <c r="U98" i="6"/>
  <c r="AA98" i="6" s="1"/>
  <c r="AM98" i="6" s="1"/>
  <c r="U104" i="6"/>
  <c r="AA104" i="6" s="1"/>
  <c r="AM104" i="6" s="1"/>
  <c r="U110" i="6"/>
  <c r="AA110" i="6" s="1"/>
  <c r="AM110" i="6" s="1"/>
  <c r="V4" i="6"/>
  <c r="AB4" i="6" s="1"/>
  <c r="AN4" i="6" s="1"/>
  <c r="V10" i="6"/>
  <c r="AB10" i="6" s="1"/>
  <c r="AN10" i="6" s="1"/>
  <c r="V16" i="6"/>
  <c r="AB16" i="6" s="1"/>
  <c r="AN16" i="6" s="1"/>
  <c r="V22" i="6"/>
  <c r="AB22" i="6" s="1"/>
  <c r="AN22" i="6" s="1"/>
  <c r="V28" i="6"/>
  <c r="AB28" i="6" s="1"/>
  <c r="AN28" i="6" s="1"/>
  <c r="V34" i="6"/>
  <c r="AB34" i="6" s="1"/>
  <c r="AN34" i="6" s="1"/>
  <c r="V40" i="6"/>
  <c r="AB40" i="6" s="1"/>
  <c r="AN40" i="6" s="1"/>
  <c r="V46" i="6"/>
  <c r="AB46" i="6" s="1"/>
  <c r="AN46" i="6" s="1"/>
  <c r="V52" i="6"/>
  <c r="AB52" i="6" s="1"/>
  <c r="AN52" i="6" s="1"/>
  <c r="V58" i="6"/>
  <c r="AB58" i="6" s="1"/>
  <c r="AN58" i="6" s="1"/>
  <c r="V64" i="6"/>
  <c r="AB64" i="6" s="1"/>
  <c r="AN64" i="6" s="1"/>
  <c r="V70" i="6"/>
  <c r="AB70" i="6" s="1"/>
  <c r="AN70" i="6" s="1"/>
  <c r="V76" i="6"/>
  <c r="AB76" i="6" s="1"/>
  <c r="AN76" i="6" s="1"/>
  <c r="V82" i="6"/>
  <c r="AB82" i="6" s="1"/>
  <c r="AN82" i="6" s="1"/>
  <c r="V88" i="6"/>
  <c r="AB88" i="6" s="1"/>
  <c r="AN88" i="6" s="1"/>
  <c r="V94" i="6"/>
  <c r="AB94" i="6" s="1"/>
  <c r="AN94" i="6" s="1"/>
  <c r="V100" i="6"/>
  <c r="AB100" i="6" s="1"/>
  <c r="AN100" i="6" s="1"/>
  <c r="V106" i="6"/>
  <c r="AB106" i="6" s="1"/>
  <c r="AN106" i="6" s="1"/>
  <c r="S5" i="6"/>
  <c r="Y5" i="6" s="1"/>
  <c r="AK5" i="6" s="1"/>
  <c r="S11" i="6"/>
  <c r="Y11" i="6" s="1"/>
  <c r="AK11" i="6" s="1"/>
  <c r="S17" i="6"/>
  <c r="Y17" i="6" s="1"/>
  <c r="AK17" i="6" s="1"/>
  <c r="S23" i="6"/>
  <c r="Y23" i="6" s="1"/>
  <c r="AK23" i="6" s="1"/>
  <c r="S29" i="6"/>
  <c r="Y29" i="6" s="1"/>
  <c r="AK29" i="6" s="1"/>
  <c r="S35" i="6"/>
  <c r="Y35" i="6" s="1"/>
  <c r="AK35" i="6" s="1"/>
  <c r="S41" i="6"/>
  <c r="Y41" i="6" s="1"/>
  <c r="AK41" i="6" s="1"/>
  <c r="S47" i="6"/>
  <c r="Y47" i="6" s="1"/>
  <c r="AK47" i="6" s="1"/>
  <c r="S53" i="6"/>
  <c r="Y53" i="6" s="1"/>
  <c r="AK53" i="6" s="1"/>
  <c r="S59" i="6"/>
  <c r="Y59" i="6" s="1"/>
  <c r="AK59" i="6" s="1"/>
  <c r="S65" i="6"/>
  <c r="Y65" i="6" s="1"/>
  <c r="AK65" i="6" s="1"/>
  <c r="S71" i="6"/>
  <c r="Y71" i="6" s="1"/>
  <c r="AK71" i="6" s="1"/>
  <c r="S77" i="6"/>
  <c r="Y77" i="6" s="1"/>
  <c r="AK77" i="6" s="1"/>
  <c r="S83" i="6"/>
  <c r="Y83" i="6" s="1"/>
  <c r="AK83" i="6" s="1"/>
  <c r="S89" i="6"/>
  <c r="Y89" i="6" s="1"/>
  <c r="AK89" i="6" s="1"/>
  <c r="S95" i="6"/>
  <c r="Y95" i="6" s="1"/>
  <c r="AK95" i="6" s="1"/>
  <c r="S101" i="6"/>
  <c r="Y101" i="6" s="1"/>
  <c r="AK101" i="6" s="1"/>
  <c r="S107" i="6"/>
  <c r="Y107" i="6" s="1"/>
  <c r="AK107" i="6" s="1"/>
  <c r="S113" i="6"/>
  <c r="Y113" i="6" s="1"/>
  <c r="AK113" i="6" s="1"/>
  <c r="T7" i="6"/>
  <c r="Z7" i="6" s="1"/>
  <c r="AL7" i="6" s="1"/>
  <c r="T13" i="6"/>
  <c r="Z13" i="6" s="1"/>
  <c r="AL13" i="6" s="1"/>
  <c r="T19" i="6"/>
  <c r="Z19" i="6" s="1"/>
  <c r="AL19" i="6" s="1"/>
  <c r="T25" i="6"/>
  <c r="Z25" i="6" s="1"/>
  <c r="AL25" i="6" s="1"/>
  <c r="T31" i="6"/>
  <c r="Z31" i="6" s="1"/>
  <c r="AL31" i="6" s="1"/>
  <c r="T37" i="6"/>
  <c r="Z37" i="6" s="1"/>
  <c r="AL37" i="6" s="1"/>
  <c r="T43" i="6"/>
  <c r="Z43" i="6" s="1"/>
  <c r="AL43" i="6" s="1"/>
  <c r="T49" i="6"/>
  <c r="Z49" i="6" s="1"/>
  <c r="AL49" i="6" s="1"/>
  <c r="T55" i="6"/>
  <c r="Z55" i="6" s="1"/>
  <c r="AL55" i="6" s="1"/>
  <c r="T61" i="6"/>
  <c r="Z61" i="6" s="1"/>
  <c r="AL61" i="6" s="1"/>
  <c r="T67" i="6"/>
  <c r="Z67" i="6" s="1"/>
  <c r="AL67" i="6" s="1"/>
  <c r="T73" i="6"/>
  <c r="Z73" i="6" s="1"/>
  <c r="AL73" i="6" s="1"/>
  <c r="T79" i="6"/>
  <c r="Z79" i="6" s="1"/>
  <c r="AL79" i="6" s="1"/>
  <c r="T85" i="6"/>
  <c r="Z85" i="6" s="1"/>
  <c r="AL85" i="6" s="1"/>
  <c r="T91" i="6"/>
  <c r="Z91" i="6" s="1"/>
  <c r="AL91" i="6" s="1"/>
  <c r="T97" i="6"/>
  <c r="Z97" i="6" s="1"/>
  <c r="AL97" i="6" s="1"/>
  <c r="T103" i="6"/>
  <c r="Z103" i="6" s="1"/>
  <c r="AL103" i="6" s="1"/>
  <c r="T109" i="6"/>
  <c r="Z109" i="6" s="1"/>
  <c r="AL109" i="6" s="1"/>
  <c r="T115" i="6"/>
  <c r="Z115" i="6" s="1"/>
  <c r="AL115" i="6" s="1"/>
  <c r="U9" i="6"/>
  <c r="AA9" i="6" s="1"/>
  <c r="AM9" i="6" s="1"/>
  <c r="U15" i="6"/>
  <c r="AA15" i="6" s="1"/>
  <c r="AM15" i="6" s="1"/>
  <c r="U21" i="6"/>
  <c r="AA21" i="6" s="1"/>
  <c r="AM21" i="6" s="1"/>
  <c r="U27" i="6"/>
  <c r="AA27" i="6" s="1"/>
  <c r="AM27" i="6" s="1"/>
  <c r="U33" i="6"/>
  <c r="AA33" i="6" s="1"/>
  <c r="AM33" i="6" s="1"/>
  <c r="U39" i="6"/>
  <c r="AA39" i="6" s="1"/>
  <c r="AM39" i="6" s="1"/>
  <c r="U45" i="6"/>
  <c r="AA45" i="6" s="1"/>
  <c r="AM45" i="6" s="1"/>
  <c r="U51" i="6"/>
  <c r="AA51" i="6" s="1"/>
  <c r="AM51" i="6" s="1"/>
  <c r="U57" i="6"/>
  <c r="AA57" i="6" s="1"/>
  <c r="AM57" i="6" s="1"/>
  <c r="U63" i="6"/>
  <c r="AA63" i="6" s="1"/>
  <c r="AM63" i="6" s="1"/>
  <c r="U69" i="6"/>
  <c r="AA69" i="6" s="1"/>
  <c r="AM69" i="6" s="1"/>
  <c r="U75" i="6"/>
  <c r="AA75" i="6" s="1"/>
  <c r="AM75" i="6" s="1"/>
  <c r="U81" i="6"/>
  <c r="AA81" i="6" s="1"/>
  <c r="AM81" i="6" s="1"/>
  <c r="U87" i="6"/>
  <c r="AA87" i="6" s="1"/>
  <c r="AM87" i="6" s="1"/>
  <c r="U93" i="6"/>
  <c r="AA93" i="6" s="1"/>
  <c r="AM93" i="6" s="1"/>
  <c r="U99" i="6"/>
  <c r="AA99" i="6" s="1"/>
  <c r="AM99" i="6" s="1"/>
  <c r="U105" i="6"/>
  <c r="AA105" i="6" s="1"/>
  <c r="AM105" i="6" s="1"/>
  <c r="U111" i="6"/>
  <c r="AA111" i="6" s="1"/>
  <c r="AM111" i="6" s="1"/>
  <c r="V5" i="6"/>
  <c r="AB5" i="6" s="1"/>
  <c r="AN5" i="6" s="1"/>
  <c r="V11" i="6"/>
  <c r="AB11" i="6" s="1"/>
  <c r="AN11" i="6" s="1"/>
  <c r="V17" i="6"/>
  <c r="AB17" i="6" s="1"/>
  <c r="AN17" i="6" s="1"/>
  <c r="V23" i="6"/>
  <c r="AB23" i="6" s="1"/>
  <c r="AN23" i="6" s="1"/>
  <c r="V29" i="6"/>
  <c r="AB29" i="6" s="1"/>
  <c r="AN29" i="6" s="1"/>
  <c r="V35" i="6"/>
  <c r="AB35" i="6" s="1"/>
  <c r="AN35" i="6" s="1"/>
  <c r="V41" i="6"/>
  <c r="AB41" i="6" s="1"/>
  <c r="AN41" i="6" s="1"/>
  <c r="V47" i="6"/>
  <c r="AB47" i="6" s="1"/>
  <c r="AN47" i="6" s="1"/>
  <c r="V53" i="6"/>
  <c r="AB53" i="6" s="1"/>
  <c r="AN53" i="6" s="1"/>
  <c r="V59" i="6"/>
  <c r="AB59" i="6" s="1"/>
  <c r="AN59" i="6" s="1"/>
  <c r="V65" i="6"/>
  <c r="AB65" i="6" s="1"/>
  <c r="AN65" i="6" s="1"/>
  <c r="V71" i="6"/>
  <c r="AB71" i="6" s="1"/>
  <c r="AN71" i="6" s="1"/>
  <c r="V77" i="6"/>
  <c r="AB77" i="6" s="1"/>
  <c r="AN77" i="6" s="1"/>
  <c r="V83" i="6"/>
  <c r="AB83" i="6" s="1"/>
  <c r="AN83" i="6" s="1"/>
  <c r="V89" i="6"/>
  <c r="AB89" i="6" s="1"/>
  <c r="AN89" i="6" s="1"/>
  <c r="V95" i="6"/>
  <c r="AB95" i="6" s="1"/>
  <c r="AN95" i="6" s="1"/>
  <c r="V101" i="6"/>
  <c r="AB101" i="6" s="1"/>
  <c r="AN101" i="6" s="1"/>
  <c r="V107" i="6"/>
  <c r="AB107" i="6" s="1"/>
  <c r="AN107" i="6" s="1"/>
  <c r="V113" i="6"/>
  <c r="AB113" i="6" s="1"/>
  <c r="AN113" i="6" s="1"/>
  <c r="W7" i="6"/>
  <c r="AC7" i="6" s="1"/>
  <c r="AO7" i="6" s="1"/>
  <c r="W13" i="6"/>
  <c r="AC13" i="6" s="1"/>
  <c r="AO13" i="6" s="1"/>
  <c r="S8" i="6"/>
  <c r="Y8" i="6" s="1"/>
  <c r="AK8" i="6" s="1"/>
  <c r="S14" i="6"/>
  <c r="Y14" i="6" s="1"/>
  <c r="AK14" i="6" s="1"/>
  <c r="S20" i="6"/>
  <c r="Y20" i="6" s="1"/>
  <c r="AK20" i="6" s="1"/>
  <c r="S26" i="6"/>
  <c r="Y26" i="6" s="1"/>
  <c r="AK26" i="6" s="1"/>
  <c r="S32" i="6"/>
  <c r="Y32" i="6" s="1"/>
  <c r="AK32" i="6" s="1"/>
  <c r="S38" i="6"/>
  <c r="Y38" i="6" s="1"/>
  <c r="AK38" i="6" s="1"/>
  <c r="S44" i="6"/>
  <c r="Y44" i="6" s="1"/>
  <c r="AK44" i="6" s="1"/>
  <c r="S50" i="6"/>
  <c r="Y50" i="6" s="1"/>
  <c r="AK50" i="6" s="1"/>
  <c r="S56" i="6"/>
  <c r="Y56" i="6" s="1"/>
  <c r="AK56" i="6" s="1"/>
  <c r="S62" i="6"/>
  <c r="Y62" i="6" s="1"/>
  <c r="AK62" i="6" s="1"/>
  <c r="S68" i="6"/>
  <c r="Y68" i="6" s="1"/>
  <c r="AK68" i="6" s="1"/>
  <c r="S74" i="6"/>
  <c r="Y74" i="6" s="1"/>
  <c r="AK74" i="6" s="1"/>
  <c r="S80" i="6"/>
  <c r="Y80" i="6" s="1"/>
  <c r="AK80" i="6" s="1"/>
  <c r="S86" i="6"/>
  <c r="Y86" i="6" s="1"/>
  <c r="AK86" i="6" s="1"/>
  <c r="S92" i="6"/>
  <c r="Y92" i="6" s="1"/>
  <c r="AK92" i="6" s="1"/>
  <c r="S98" i="6"/>
  <c r="Y98" i="6" s="1"/>
  <c r="AK98" i="6" s="1"/>
  <c r="S104" i="6"/>
  <c r="Y104" i="6" s="1"/>
  <c r="AK104" i="6" s="1"/>
  <c r="S110" i="6"/>
  <c r="Y110" i="6" s="1"/>
  <c r="AK110" i="6" s="1"/>
  <c r="T4" i="6"/>
  <c r="Z4" i="6" s="1"/>
  <c r="AL4" i="6" s="1"/>
  <c r="T10" i="6"/>
  <c r="Z10" i="6" s="1"/>
  <c r="AL10" i="6" s="1"/>
  <c r="T16" i="6"/>
  <c r="Z16" i="6" s="1"/>
  <c r="AL16" i="6" s="1"/>
  <c r="T22" i="6"/>
  <c r="Z22" i="6" s="1"/>
  <c r="AL22" i="6" s="1"/>
  <c r="T28" i="6"/>
  <c r="Z28" i="6" s="1"/>
  <c r="AL28" i="6" s="1"/>
  <c r="T34" i="6"/>
  <c r="Z34" i="6" s="1"/>
  <c r="AL34" i="6" s="1"/>
  <c r="T40" i="6"/>
  <c r="Z40" i="6" s="1"/>
  <c r="AL40" i="6" s="1"/>
  <c r="T46" i="6"/>
  <c r="Z46" i="6" s="1"/>
  <c r="AL46" i="6" s="1"/>
  <c r="T52" i="6"/>
  <c r="Z52" i="6" s="1"/>
  <c r="AL52" i="6" s="1"/>
  <c r="T58" i="6"/>
  <c r="Z58" i="6" s="1"/>
  <c r="AL58" i="6" s="1"/>
  <c r="T64" i="6"/>
  <c r="Z64" i="6" s="1"/>
  <c r="AL64" i="6" s="1"/>
  <c r="T70" i="6"/>
  <c r="Z70" i="6" s="1"/>
  <c r="AL70" i="6" s="1"/>
  <c r="T76" i="6"/>
  <c r="Z76" i="6" s="1"/>
  <c r="AL76" i="6" s="1"/>
  <c r="T82" i="6"/>
  <c r="Z82" i="6" s="1"/>
  <c r="AL82" i="6" s="1"/>
  <c r="T88" i="6"/>
  <c r="Z88" i="6" s="1"/>
  <c r="AL88" i="6" s="1"/>
  <c r="T94" i="6"/>
  <c r="Z94" i="6" s="1"/>
  <c r="AL94" i="6" s="1"/>
  <c r="T100" i="6"/>
  <c r="Z100" i="6" s="1"/>
  <c r="AL100" i="6" s="1"/>
  <c r="T106" i="6"/>
  <c r="Z106" i="6" s="1"/>
  <c r="AL106" i="6" s="1"/>
  <c r="T112" i="6"/>
  <c r="Z112" i="6" s="1"/>
  <c r="AL112" i="6" s="1"/>
  <c r="U6" i="6"/>
  <c r="AA6" i="6" s="1"/>
  <c r="AM6" i="6" s="1"/>
  <c r="U12" i="6"/>
  <c r="AA12" i="6" s="1"/>
  <c r="AM12" i="6" s="1"/>
  <c r="U18" i="6"/>
  <c r="AA18" i="6" s="1"/>
  <c r="AM18" i="6" s="1"/>
  <c r="U24" i="6"/>
  <c r="AA24" i="6" s="1"/>
  <c r="AM24" i="6" s="1"/>
  <c r="U30" i="6"/>
  <c r="AA30" i="6" s="1"/>
  <c r="AM30" i="6" s="1"/>
  <c r="U36" i="6"/>
  <c r="AA36" i="6" s="1"/>
  <c r="AM36" i="6" s="1"/>
  <c r="U42" i="6"/>
  <c r="AA42" i="6" s="1"/>
  <c r="AM42" i="6" s="1"/>
  <c r="U48" i="6"/>
  <c r="AA48" i="6" s="1"/>
  <c r="AM48" i="6" s="1"/>
  <c r="U54" i="6"/>
  <c r="AA54" i="6" s="1"/>
  <c r="AM54" i="6" s="1"/>
  <c r="U60" i="6"/>
  <c r="AA60" i="6" s="1"/>
  <c r="AM60" i="6" s="1"/>
  <c r="U66" i="6"/>
  <c r="AA66" i="6" s="1"/>
  <c r="AM66" i="6" s="1"/>
  <c r="U72" i="6"/>
  <c r="AA72" i="6" s="1"/>
  <c r="AM72" i="6" s="1"/>
  <c r="U78" i="6"/>
  <c r="AA78" i="6" s="1"/>
  <c r="AM78" i="6" s="1"/>
  <c r="U84" i="6"/>
  <c r="AA84" i="6" s="1"/>
  <c r="AM84" i="6" s="1"/>
  <c r="U90" i="6"/>
  <c r="AA90" i="6" s="1"/>
  <c r="AM90" i="6" s="1"/>
  <c r="U96" i="6"/>
  <c r="AA96" i="6" s="1"/>
  <c r="AM96" i="6" s="1"/>
  <c r="U102" i="6"/>
  <c r="AA102" i="6" s="1"/>
  <c r="AM102" i="6" s="1"/>
  <c r="U108" i="6"/>
  <c r="AA108" i="6" s="1"/>
  <c r="AM108" i="6" s="1"/>
  <c r="U114" i="6"/>
  <c r="AA114" i="6" s="1"/>
  <c r="AM114" i="6" s="1"/>
  <c r="V8" i="6"/>
  <c r="AB8" i="6" s="1"/>
  <c r="AN8" i="6" s="1"/>
  <c r="V14" i="6"/>
  <c r="AB14" i="6" s="1"/>
  <c r="AN14" i="6" s="1"/>
  <c r="V20" i="6"/>
  <c r="AB20" i="6" s="1"/>
  <c r="AN20" i="6" s="1"/>
  <c r="V26" i="6"/>
  <c r="AB26" i="6" s="1"/>
  <c r="AN26" i="6" s="1"/>
  <c r="V32" i="6"/>
  <c r="AB32" i="6" s="1"/>
  <c r="AN32" i="6" s="1"/>
  <c r="V38" i="6"/>
  <c r="AB38" i="6" s="1"/>
  <c r="AN38" i="6" s="1"/>
  <c r="V44" i="6"/>
  <c r="AB44" i="6" s="1"/>
  <c r="AN44" i="6" s="1"/>
  <c r="V50" i="6"/>
  <c r="AB50" i="6" s="1"/>
  <c r="AN50" i="6" s="1"/>
  <c r="V56" i="6"/>
  <c r="AB56" i="6" s="1"/>
  <c r="AN56" i="6" s="1"/>
  <c r="V62" i="6"/>
  <c r="AB62" i="6" s="1"/>
  <c r="AN62" i="6" s="1"/>
  <c r="V68" i="6"/>
  <c r="AB68" i="6" s="1"/>
  <c r="AN68" i="6" s="1"/>
  <c r="V74" i="6"/>
  <c r="AB74" i="6" s="1"/>
  <c r="AN74" i="6" s="1"/>
  <c r="V80" i="6"/>
  <c r="AB80" i="6" s="1"/>
  <c r="AN80" i="6" s="1"/>
  <c r="V86" i="6"/>
  <c r="AB86" i="6" s="1"/>
  <c r="AN86" i="6" s="1"/>
  <c r="V92" i="6"/>
  <c r="AB92" i="6" s="1"/>
  <c r="AN92" i="6" s="1"/>
  <c r="V98" i="6"/>
  <c r="AB98" i="6" s="1"/>
  <c r="AN98" i="6" s="1"/>
  <c r="V104" i="6"/>
  <c r="AB104" i="6" s="1"/>
  <c r="AN104" i="6" s="1"/>
  <c r="V110" i="6"/>
  <c r="AB110" i="6" s="1"/>
  <c r="AN110" i="6" s="1"/>
  <c r="W4" i="6"/>
  <c r="AC4" i="6" s="1"/>
  <c r="AO4" i="6" s="1"/>
  <c r="W10" i="6"/>
  <c r="AC10" i="6" s="1"/>
  <c r="AO10" i="6" s="1"/>
  <c r="W16" i="6"/>
  <c r="AC16" i="6" s="1"/>
  <c r="AO16" i="6" s="1"/>
  <c r="S12" i="6"/>
  <c r="Y12" i="6" s="1"/>
  <c r="AK12" i="6" s="1"/>
  <c r="S30" i="6"/>
  <c r="Y30" i="6" s="1"/>
  <c r="AK30" i="6" s="1"/>
  <c r="S48" i="6"/>
  <c r="Y48" i="6" s="1"/>
  <c r="AK48" i="6" s="1"/>
  <c r="S66" i="6"/>
  <c r="Y66" i="6" s="1"/>
  <c r="AK66" i="6" s="1"/>
  <c r="S84" i="6"/>
  <c r="Y84" i="6" s="1"/>
  <c r="AK84" i="6" s="1"/>
  <c r="S102" i="6"/>
  <c r="Y102" i="6" s="1"/>
  <c r="AK102" i="6" s="1"/>
  <c r="T8" i="6"/>
  <c r="Z8" i="6" s="1"/>
  <c r="AL8" i="6" s="1"/>
  <c r="T26" i="6"/>
  <c r="Z26" i="6" s="1"/>
  <c r="AL26" i="6" s="1"/>
  <c r="T44" i="6"/>
  <c r="Z44" i="6" s="1"/>
  <c r="AL44" i="6" s="1"/>
  <c r="T62" i="6"/>
  <c r="Z62" i="6" s="1"/>
  <c r="AL62" i="6" s="1"/>
  <c r="T80" i="6"/>
  <c r="Z80" i="6" s="1"/>
  <c r="AL80" i="6" s="1"/>
  <c r="T98" i="6"/>
  <c r="Z98" i="6" s="1"/>
  <c r="AL98" i="6" s="1"/>
  <c r="U4" i="6"/>
  <c r="AA4" i="6" s="1"/>
  <c r="AM4" i="6" s="1"/>
  <c r="U22" i="6"/>
  <c r="AA22" i="6" s="1"/>
  <c r="AM22" i="6" s="1"/>
  <c r="U40" i="6"/>
  <c r="AA40" i="6" s="1"/>
  <c r="AM40" i="6" s="1"/>
  <c r="U58" i="6"/>
  <c r="AA58" i="6" s="1"/>
  <c r="AM58" i="6" s="1"/>
  <c r="U76" i="6"/>
  <c r="AA76" i="6" s="1"/>
  <c r="AM76" i="6" s="1"/>
  <c r="U94" i="6"/>
  <c r="AA94" i="6" s="1"/>
  <c r="AM94" i="6" s="1"/>
  <c r="U112" i="6"/>
  <c r="AA112" i="6" s="1"/>
  <c r="AM112" i="6" s="1"/>
  <c r="V18" i="6"/>
  <c r="AB18" i="6" s="1"/>
  <c r="AN18" i="6" s="1"/>
  <c r="V36" i="6"/>
  <c r="AB36" i="6" s="1"/>
  <c r="AN36" i="6" s="1"/>
  <c r="V54" i="6"/>
  <c r="AB54" i="6" s="1"/>
  <c r="AN54" i="6" s="1"/>
  <c r="V72" i="6"/>
  <c r="AB72" i="6" s="1"/>
  <c r="AN72" i="6" s="1"/>
  <c r="V90" i="6"/>
  <c r="AB90" i="6" s="1"/>
  <c r="AN90" i="6" s="1"/>
  <c r="V108" i="6"/>
  <c r="AB108" i="6" s="1"/>
  <c r="AN108" i="6" s="1"/>
  <c r="W8" i="6"/>
  <c r="AC8" i="6" s="1"/>
  <c r="AO8" i="6" s="1"/>
  <c r="W19" i="6"/>
  <c r="AC19" i="6" s="1"/>
  <c r="AO19" i="6" s="1"/>
  <c r="W26" i="6"/>
  <c r="AC26" i="6" s="1"/>
  <c r="AO26" i="6" s="1"/>
  <c r="W33" i="6"/>
  <c r="AC33" i="6" s="1"/>
  <c r="AO33" i="6" s="1"/>
  <c r="W40" i="6"/>
  <c r="AC40" i="6" s="1"/>
  <c r="AO40" i="6" s="1"/>
  <c r="W48" i="6"/>
  <c r="AC48" i="6" s="1"/>
  <c r="AO48" i="6" s="1"/>
  <c r="W54" i="6"/>
  <c r="AC54" i="6" s="1"/>
  <c r="AO54" i="6" s="1"/>
  <c r="W60" i="6"/>
  <c r="AC60" i="6" s="1"/>
  <c r="AO60" i="6" s="1"/>
  <c r="W66" i="6"/>
  <c r="AC66" i="6" s="1"/>
  <c r="AO66" i="6" s="1"/>
  <c r="W72" i="6"/>
  <c r="AC72" i="6" s="1"/>
  <c r="AO72" i="6" s="1"/>
  <c r="W78" i="6"/>
  <c r="AC78" i="6" s="1"/>
  <c r="AO78" i="6" s="1"/>
  <c r="W84" i="6"/>
  <c r="AC84" i="6" s="1"/>
  <c r="AO84" i="6" s="1"/>
  <c r="W90" i="6"/>
  <c r="AC90" i="6" s="1"/>
  <c r="AO90" i="6" s="1"/>
  <c r="W96" i="6"/>
  <c r="AC96" i="6" s="1"/>
  <c r="AO96" i="6" s="1"/>
  <c r="W102" i="6"/>
  <c r="AC102" i="6" s="1"/>
  <c r="AO102" i="6" s="1"/>
  <c r="W108" i="6"/>
  <c r="AC108" i="6" s="1"/>
  <c r="AO108" i="6" s="1"/>
  <c r="W114" i="6"/>
  <c r="AC114" i="6" s="1"/>
  <c r="AO114" i="6" s="1"/>
  <c r="X8" i="6"/>
  <c r="AD8" i="6" s="1"/>
  <c r="AP8" i="6" s="1"/>
  <c r="X14" i="6"/>
  <c r="AD14" i="6" s="1"/>
  <c r="AP14" i="6" s="1"/>
  <c r="X20" i="6"/>
  <c r="AD20" i="6" s="1"/>
  <c r="AP20" i="6" s="1"/>
  <c r="X26" i="6"/>
  <c r="AD26" i="6" s="1"/>
  <c r="AP26" i="6" s="1"/>
  <c r="X32" i="6"/>
  <c r="AD32" i="6" s="1"/>
  <c r="AP32" i="6" s="1"/>
  <c r="X38" i="6"/>
  <c r="AD38" i="6" s="1"/>
  <c r="AP38" i="6" s="1"/>
  <c r="X44" i="6"/>
  <c r="AD44" i="6" s="1"/>
  <c r="AP44" i="6" s="1"/>
  <c r="X50" i="6"/>
  <c r="AD50" i="6" s="1"/>
  <c r="AP50" i="6" s="1"/>
  <c r="X56" i="6"/>
  <c r="AD56" i="6" s="1"/>
  <c r="AP56" i="6" s="1"/>
  <c r="X62" i="6"/>
  <c r="AD62" i="6" s="1"/>
  <c r="AP62" i="6" s="1"/>
  <c r="X68" i="6"/>
  <c r="AD68" i="6" s="1"/>
  <c r="AP68" i="6" s="1"/>
  <c r="X74" i="6"/>
  <c r="AD74" i="6" s="1"/>
  <c r="AP74" i="6" s="1"/>
  <c r="X80" i="6"/>
  <c r="AD80" i="6" s="1"/>
  <c r="AP80" i="6" s="1"/>
  <c r="X86" i="6"/>
  <c r="AD86" i="6" s="1"/>
  <c r="AP86" i="6" s="1"/>
  <c r="X92" i="6"/>
  <c r="AD92" i="6" s="1"/>
  <c r="AP92" i="6" s="1"/>
  <c r="X98" i="6"/>
  <c r="AD98" i="6" s="1"/>
  <c r="AP98" i="6" s="1"/>
  <c r="X104" i="6"/>
  <c r="AD104" i="6" s="1"/>
  <c r="AP104" i="6" s="1"/>
  <c r="X110" i="6"/>
  <c r="AD110" i="6" s="1"/>
  <c r="AP110" i="6" s="1"/>
  <c r="S13" i="6"/>
  <c r="Y13" i="6" s="1"/>
  <c r="AK13" i="6" s="1"/>
  <c r="S31" i="6"/>
  <c r="Y31" i="6" s="1"/>
  <c r="AK31" i="6" s="1"/>
  <c r="S49" i="6"/>
  <c r="Y49" i="6" s="1"/>
  <c r="AK49" i="6" s="1"/>
  <c r="S67" i="6"/>
  <c r="Y67" i="6" s="1"/>
  <c r="AK67" i="6" s="1"/>
  <c r="S85" i="6"/>
  <c r="Y85" i="6" s="1"/>
  <c r="AK85" i="6" s="1"/>
  <c r="S103" i="6"/>
  <c r="Y103" i="6" s="1"/>
  <c r="AK103" i="6" s="1"/>
  <c r="T9" i="6"/>
  <c r="Z9" i="6" s="1"/>
  <c r="AL9" i="6" s="1"/>
  <c r="T27" i="6"/>
  <c r="Z27" i="6" s="1"/>
  <c r="AL27" i="6" s="1"/>
  <c r="T45" i="6"/>
  <c r="Z45" i="6" s="1"/>
  <c r="AL45" i="6" s="1"/>
  <c r="T63" i="6"/>
  <c r="Z63" i="6" s="1"/>
  <c r="AL63" i="6" s="1"/>
  <c r="T81" i="6"/>
  <c r="Z81" i="6" s="1"/>
  <c r="AL81" i="6" s="1"/>
  <c r="T99" i="6"/>
  <c r="Z99" i="6" s="1"/>
  <c r="AL99" i="6" s="1"/>
  <c r="U5" i="6"/>
  <c r="AA5" i="6" s="1"/>
  <c r="AM5" i="6" s="1"/>
  <c r="U23" i="6"/>
  <c r="AA23" i="6" s="1"/>
  <c r="AM23" i="6" s="1"/>
  <c r="U41" i="6"/>
  <c r="AA41" i="6" s="1"/>
  <c r="AM41" i="6" s="1"/>
  <c r="U59" i="6"/>
  <c r="AA59" i="6" s="1"/>
  <c r="AM59" i="6" s="1"/>
  <c r="U77" i="6"/>
  <c r="AA77" i="6" s="1"/>
  <c r="AM77" i="6" s="1"/>
  <c r="U95" i="6"/>
  <c r="AA95" i="6" s="1"/>
  <c r="AM95" i="6" s="1"/>
  <c r="U113" i="6"/>
  <c r="AA113" i="6" s="1"/>
  <c r="AM113" i="6" s="1"/>
  <c r="V19" i="6"/>
  <c r="AB19" i="6" s="1"/>
  <c r="AN19" i="6" s="1"/>
  <c r="V37" i="6"/>
  <c r="AB37" i="6" s="1"/>
  <c r="AN37" i="6" s="1"/>
  <c r="V55" i="6"/>
  <c r="AB55" i="6" s="1"/>
  <c r="AN55" i="6" s="1"/>
  <c r="V73" i="6"/>
  <c r="AB73" i="6" s="1"/>
  <c r="AN73" i="6" s="1"/>
  <c r="V91" i="6"/>
  <c r="AB91" i="6" s="1"/>
  <c r="AN91" i="6" s="1"/>
  <c r="V109" i="6"/>
  <c r="AB109" i="6" s="1"/>
  <c r="AN109" i="6" s="1"/>
  <c r="W9" i="6"/>
  <c r="AC9" i="6" s="1"/>
  <c r="AO9" i="6" s="1"/>
  <c r="W20" i="6"/>
  <c r="AC20" i="6" s="1"/>
  <c r="AO20" i="6" s="1"/>
  <c r="W27" i="6"/>
  <c r="AC27" i="6" s="1"/>
  <c r="AO27" i="6" s="1"/>
  <c r="W34" i="6"/>
  <c r="AC34" i="6" s="1"/>
  <c r="AO34" i="6" s="1"/>
  <c r="W42" i="6"/>
  <c r="AC42" i="6" s="1"/>
  <c r="AO42" i="6" s="1"/>
  <c r="W49" i="6"/>
  <c r="AC49" i="6" s="1"/>
  <c r="AO49" i="6" s="1"/>
  <c r="W55" i="6"/>
  <c r="AC55" i="6" s="1"/>
  <c r="AO55" i="6" s="1"/>
  <c r="W61" i="6"/>
  <c r="AC61" i="6" s="1"/>
  <c r="AO61" i="6" s="1"/>
  <c r="W67" i="6"/>
  <c r="AC67" i="6" s="1"/>
  <c r="AO67" i="6" s="1"/>
  <c r="W73" i="6"/>
  <c r="AC73" i="6" s="1"/>
  <c r="AO73" i="6" s="1"/>
  <c r="W79" i="6"/>
  <c r="AC79" i="6" s="1"/>
  <c r="AO79" i="6" s="1"/>
  <c r="W85" i="6"/>
  <c r="AC85" i="6" s="1"/>
  <c r="AO85" i="6" s="1"/>
  <c r="W91" i="6"/>
  <c r="AC91" i="6" s="1"/>
  <c r="AO91" i="6" s="1"/>
  <c r="W97" i="6"/>
  <c r="AC97" i="6" s="1"/>
  <c r="AO97" i="6" s="1"/>
  <c r="W103" i="6"/>
  <c r="AC103" i="6" s="1"/>
  <c r="AO103" i="6" s="1"/>
  <c r="W109" i="6"/>
  <c r="AC109" i="6" s="1"/>
  <c r="AO109" i="6" s="1"/>
  <c r="W115" i="6"/>
  <c r="AC115" i="6" s="1"/>
  <c r="AO115" i="6" s="1"/>
  <c r="X9" i="6"/>
  <c r="AD9" i="6" s="1"/>
  <c r="AP9" i="6" s="1"/>
  <c r="X15" i="6"/>
  <c r="AD15" i="6" s="1"/>
  <c r="AP15" i="6" s="1"/>
  <c r="X21" i="6"/>
  <c r="AD21" i="6" s="1"/>
  <c r="AP21" i="6" s="1"/>
  <c r="X27" i="6"/>
  <c r="AD27" i="6" s="1"/>
  <c r="AP27" i="6" s="1"/>
  <c r="X33" i="6"/>
  <c r="AD33" i="6" s="1"/>
  <c r="AP33" i="6" s="1"/>
  <c r="X39" i="6"/>
  <c r="AD39" i="6" s="1"/>
  <c r="AP39" i="6" s="1"/>
  <c r="X45" i="6"/>
  <c r="AD45" i="6" s="1"/>
  <c r="AP45" i="6" s="1"/>
  <c r="X51" i="6"/>
  <c r="AD51" i="6" s="1"/>
  <c r="AP51" i="6" s="1"/>
  <c r="X57" i="6"/>
  <c r="AD57" i="6" s="1"/>
  <c r="AP57" i="6" s="1"/>
  <c r="X63" i="6"/>
  <c r="AD63" i="6" s="1"/>
  <c r="AP63" i="6" s="1"/>
  <c r="S18" i="6"/>
  <c r="Y18" i="6" s="1"/>
  <c r="AK18" i="6" s="1"/>
  <c r="S36" i="6"/>
  <c r="Y36" i="6" s="1"/>
  <c r="AK36" i="6" s="1"/>
  <c r="S54" i="6"/>
  <c r="Y54" i="6" s="1"/>
  <c r="AK54" i="6" s="1"/>
  <c r="S72" i="6"/>
  <c r="Y72" i="6" s="1"/>
  <c r="AK72" i="6" s="1"/>
  <c r="S90" i="6"/>
  <c r="Y90" i="6" s="1"/>
  <c r="AK90" i="6" s="1"/>
  <c r="S108" i="6"/>
  <c r="Y108" i="6" s="1"/>
  <c r="AK108" i="6" s="1"/>
  <c r="T14" i="6"/>
  <c r="Z14" i="6" s="1"/>
  <c r="AL14" i="6" s="1"/>
  <c r="T32" i="6"/>
  <c r="Z32" i="6" s="1"/>
  <c r="AL32" i="6" s="1"/>
  <c r="T50" i="6"/>
  <c r="Z50" i="6" s="1"/>
  <c r="AL50" i="6" s="1"/>
  <c r="T68" i="6"/>
  <c r="Z68" i="6" s="1"/>
  <c r="AL68" i="6" s="1"/>
  <c r="T86" i="6"/>
  <c r="Z86" i="6" s="1"/>
  <c r="AL86" i="6" s="1"/>
  <c r="T104" i="6"/>
  <c r="Z104" i="6" s="1"/>
  <c r="AL104" i="6" s="1"/>
  <c r="U10" i="6"/>
  <c r="AA10" i="6" s="1"/>
  <c r="AM10" i="6" s="1"/>
  <c r="U28" i="6"/>
  <c r="AA28" i="6" s="1"/>
  <c r="AM28" i="6" s="1"/>
  <c r="U46" i="6"/>
  <c r="AA46" i="6" s="1"/>
  <c r="AM46" i="6" s="1"/>
  <c r="U64" i="6"/>
  <c r="AA64" i="6" s="1"/>
  <c r="AM64" i="6" s="1"/>
  <c r="U82" i="6"/>
  <c r="AA82" i="6" s="1"/>
  <c r="AM82" i="6" s="1"/>
  <c r="U100" i="6"/>
  <c r="AA100" i="6" s="1"/>
  <c r="AM100" i="6" s="1"/>
  <c r="V6" i="6"/>
  <c r="AB6" i="6" s="1"/>
  <c r="AN6" i="6" s="1"/>
  <c r="V24" i="6"/>
  <c r="AB24" i="6" s="1"/>
  <c r="AN24" i="6" s="1"/>
  <c r="V42" i="6"/>
  <c r="AB42" i="6" s="1"/>
  <c r="AN42" i="6" s="1"/>
  <c r="V60" i="6"/>
  <c r="AB60" i="6" s="1"/>
  <c r="AN60" i="6" s="1"/>
  <c r="V78" i="6"/>
  <c r="AB78" i="6" s="1"/>
  <c r="AN78" i="6" s="1"/>
  <c r="V96" i="6"/>
  <c r="AB96" i="6" s="1"/>
  <c r="AN96" i="6" s="1"/>
  <c r="V112" i="6"/>
  <c r="AB112" i="6" s="1"/>
  <c r="AN112" i="6" s="1"/>
  <c r="W12" i="6"/>
  <c r="AC12" i="6" s="1"/>
  <c r="AO12" i="6" s="1"/>
  <c r="W21" i="6"/>
  <c r="AC21" i="6" s="1"/>
  <c r="AO21" i="6" s="1"/>
  <c r="W28" i="6"/>
  <c r="AC28" i="6" s="1"/>
  <c r="AO28" i="6" s="1"/>
  <c r="W36" i="6"/>
  <c r="AC36" i="6" s="1"/>
  <c r="AO36" i="6" s="1"/>
  <c r="W43" i="6"/>
  <c r="AC43" i="6" s="1"/>
  <c r="AO43" i="6" s="1"/>
  <c r="W50" i="6"/>
  <c r="AC50" i="6" s="1"/>
  <c r="AO50" i="6" s="1"/>
  <c r="W56" i="6"/>
  <c r="AC56" i="6" s="1"/>
  <c r="AO56" i="6" s="1"/>
  <c r="W62" i="6"/>
  <c r="AC62" i="6" s="1"/>
  <c r="AO62" i="6" s="1"/>
  <c r="W68" i="6"/>
  <c r="AC68" i="6" s="1"/>
  <c r="AO68" i="6" s="1"/>
  <c r="W74" i="6"/>
  <c r="AC74" i="6" s="1"/>
  <c r="AO74" i="6" s="1"/>
  <c r="W80" i="6"/>
  <c r="AC80" i="6" s="1"/>
  <c r="AO80" i="6" s="1"/>
  <c r="W86" i="6"/>
  <c r="AC86" i="6" s="1"/>
  <c r="AO86" i="6" s="1"/>
  <c r="W92" i="6"/>
  <c r="AC92" i="6" s="1"/>
  <c r="AO92" i="6" s="1"/>
  <c r="W98" i="6"/>
  <c r="AC98" i="6" s="1"/>
  <c r="AO98" i="6" s="1"/>
  <c r="W104" i="6"/>
  <c r="AC104" i="6" s="1"/>
  <c r="AO104" i="6" s="1"/>
  <c r="W110" i="6"/>
  <c r="AC110" i="6" s="1"/>
  <c r="AO110" i="6" s="1"/>
  <c r="X4" i="6"/>
  <c r="AD4" i="6" s="1"/>
  <c r="AP4" i="6" s="1"/>
  <c r="X10" i="6"/>
  <c r="AD10" i="6" s="1"/>
  <c r="AP10" i="6" s="1"/>
  <c r="X16" i="6"/>
  <c r="AD16" i="6" s="1"/>
  <c r="AP16" i="6" s="1"/>
  <c r="X22" i="6"/>
  <c r="AD22" i="6" s="1"/>
  <c r="AP22" i="6" s="1"/>
  <c r="X28" i="6"/>
  <c r="AD28" i="6" s="1"/>
  <c r="AP28" i="6" s="1"/>
  <c r="X34" i="6"/>
  <c r="AD34" i="6" s="1"/>
  <c r="AP34" i="6" s="1"/>
  <c r="X40" i="6"/>
  <c r="AD40" i="6" s="1"/>
  <c r="AP40" i="6" s="1"/>
  <c r="X46" i="6"/>
  <c r="AD46" i="6" s="1"/>
  <c r="AP46" i="6" s="1"/>
  <c r="X52" i="6"/>
  <c r="AD52" i="6" s="1"/>
  <c r="AP52" i="6" s="1"/>
  <c r="X58" i="6"/>
  <c r="AD58" i="6" s="1"/>
  <c r="AP58" i="6" s="1"/>
  <c r="X64" i="6"/>
  <c r="AD64" i="6" s="1"/>
  <c r="AP64" i="6" s="1"/>
  <c r="X70" i="6"/>
  <c r="AD70" i="6" s="1"/>
  <c r="AP70" i="6" s="1"/>
  <c r="X76" i="6"/>
  <c r="AD76" i="6" s="1"/>
  <c r="AP76" i="6" s="1"/>
  <c r="X82" i="6"/>
  <c r="AD82" i="6" s="1"/>
  <c r="AP82" i="6" s="1"/>
  <c r="X88" i="6"/>
  <c r="AD88" i="6" s="1"/>
  <c r="AP88" i="6" s="1"/>
  <c r="X94" i="6"/>
  <c r="AD94" i="6" s="1"/>
  <c r="AP94" i="6" s="1"/>
  <c r="X100" i="6"/>
  <c r="AD100" i="6" s="1"/>
  <c r="AP100" i="6" s="1"/>
  <c r="X106" i="6"/>
  <c r="AD106" i="6" s="1"/>
  <c r="AP106" i="6" s="1"/>
  <c r="X112" i="6"/>
  <c r="AD112" i="6" s="1"/>
  <c r="AP112" i="6" s="1"/>
  <c r="S7" i="6"/>
  <c r="Y7" i="6" s="1"/>
  <c r="AK7" i="6" s="1"/>
  <c r="S25" i="6"/>
  <c r="Y25" i="6" s="1"/>
  <c r="AK25" i="6" s="1"/>
  <c r="S43" i="6"/>
  <c r="Y43" i="6" s="1"/>
  <c r="AK43" i="6" s="1"/>
  <c r="S61" i="6"/>
  <c r="Y61" i="6" s="1"/>
  <c r="AK61" i="6" s="1"/>
  <c r="S79" i="6"/>
  <c r="Y79" i="6" s="1"/>
  <c r="AK79" i="6" s="1"/>
  <c r="S97" i="6"/>
  <c r="Y97" i="6" s="1"/>
  <c r="AK97" i="6" s="1"/>
  <c r="S115" i="6"/>
  <c r="Y115" i="6" s="1"/>
  <c r="AK115" i="6" s="1"/>
  <c r="T21" i="6"/>
  <c r="Z21" i="6" s="1"/>
  <c r="AL21" i="6" s="1"/>
  <c r="T39" i="6"/>
  <c r="Z39" i="6" s="1"/>
  <c r="AL39" i="6" s="1"/>
  <c r="T57" i="6"/>
  <c r="Z57" i="6" s="1"/>
  <c r="AL57" i="6" s="1"/>
  <c r="T75" i="6"/>
  <c r="Z75" i="6" s="1"/>
  <c r="AL75" i="6" s="1"/>
  <c r="T93" i="6"/>
  <c r="Z93" i="6" s="1"/>
  <c r="AL93" i="6" s="1"/>
  <c r="T111" i="6"/>
  <c r="Z111" i="6" s="1"/>
  <c r="AL111" i="6" s="1"/>
  <c r="U17" i="6"/>
  <c r="AA17" i="6" s="1"/>
  <c r="AM17" i="6" s="1"/>
  <c r="U35" i="6"/>
  <c r="AA35" i="6" s="1"/>
  <c r="AM35" i="6" s="1"/>
  <c r="U53" i="6"/>
  <c r="AA53" i="6" s="1"/>
  <c r="AM53" i="6" s="1"/>
  <c r="U71" i="6"/>
  <c r="AA71" i="6" s="1"/>
  <c r="AM71" i="6" s="1"/>
  <c r="U89" i="6"/>
  <c r="AA89" i="6" s="1"/>
  <c r="AM89" i="6" s="1"/>
  <c r="U107" i="6"/>
  <c r="AA107" i="6" s="1"/>
  <c r="AM107" i="6" s="1"/>
  <c r="V13" i="6"/>
  <c r="AB13" i="6" s="1"/>
  <c r="AN13" i="6" s="1"/>
  <c r="V31" i="6"/>
  <c r="AB31" i="6" s="1"/>
  <c r="AN31" i="6" s="1"/>
  <c r="V49" i="6"/>
  <c r="AB49" i="6" s="1"/>
  <c r="AN49" i="6" s="1"/>
  <c r="V67" i="6"/>
  <c r="AB67" i="6" s="1"/>
  <c r="AN67" i="6" s="1"/>
  <c r="V85" i="6"/>
  <c r="AB85" i="6" s="1"/>
  <c r="AN85" i="6" s="1"/>
  <c r="V103" i="6"/>
  <c r="AB103" i="6" s="1"/>
  <c r="AN103" i="6" s="1"/>
  <c r="W6" i="6"/>
  <c r="AC6" i="6" s="1"/>
  <c r="AO6" i="6" s="1"/>
  <c r="W18" i="6"/>
  <c r="AC18" i="6" s="1"/>
  <c r="AO18" i="6" s="1"/>
  <c r="W25" i="6"/>
  <c r="AC25" i="6" s="1"/>
  <c r="AO25" i="6" s="1"/>
  <c r="W32" i="6"/>
  <c r="AC32" i="6" s="1"/>
  <c r="AO32" i="6" s="1"/>
  <c r="W39" i="6"/>
  <c r="AC39" i="6" s="1"/>
  <c r="AO39" i="6" s="1"/>
  <c r="W46" i="6"/>
  <c r="AC46" i="6" s="1"/>
  <c r="AO46" i="6" s="1"/>
  <c r="W53" i="6"/>
  <c r="AC53" i="6" s="1"/>
  <c r="AO53" i="6" s="1"/>
  <c r="W59" i="6"/>
  <c r="AC59" i="6" s="1"/>
  <c r="AO59" i="6" s="1"/>
  <c r="W65" i="6"/>
  <c r="AC65" i="6" s="1"/>
  <c r="AO65" i="6" s="1"/>
  <c r="W71" i="6"/>
  <c r="AC71" i="6" s="1"/>
  <c r="AO71" i="6" s="1"/>
  <c r="W77" i="6"/>
  <c r="AC77" i="6" s="1"/>
  <c r="AO77" i="6" s="1"/>
  <c r="W83" i="6"/>
  <c r="AC83" i="6" s="1"/>
  <c r="AO83" i="6" s="1"/>
  <c r="W89" i="6"/>
  <c r="AC89" i="6" s="1"/>
  <c r="AO89" i="6" s="1"/>
  <c r="W95" i="6"/>
  <c r="AC95" i="6" s="1"/>
  <c r="AO95" i="6" s="1"/>
  <c r="W101" i="6"/>
  <c r="AC101" i="6" s="1"/>
  <c r="AO101" i="6" s="1"/>
  <c r="W107" i="6"/>
  <c r="AC107" i="6" s="1"/>
  <c r="AO107" i="6" s="1"/>
  <c r="W113" i="6"/>
  <c r="AC113" i="6" s="1"/>
  <c r="AO113" i="6" s="1"/>
  <c r="X7" i="6"/>
  <c r="AD7" i="6" s="1"/>
  <c r="AP7" i="6" s="1"/>
  <c r="X13" i="6"/>
  <c r="AD13" i="6" s="1"/>
  <c r="AP13" i="6" s="1"/>
  <c r="X19" i="6"/>
  <c r="AD19" i="6" s="1"/>
  <c r="AP19" i="6" s="1"/>
  <c r="X25" i="6"/>
  <c r="AD25" i="6" s="1"/>
  <c r="AP25" i="6" s="1"/>
  <c r="X31" i="6"/>
  <c r="AD31" i="6" s="1"/>
  <c r="AP31" i="6" s="1"/>
  <c r="X37" i="6"/>
  <c r="AD37" i="6" s="1"/>
  <c r="AP37" i="6" s="1"/>
  <c r="X43" i="6"/>
  <c r="AD43" i="6" s="1"/>
  <c r="AP43" i="6" s="1"/>
  <c r="X49" i="6"/>
  <c r="AD49" i="6" s="1"/>
  <c r="AP49" i="6" s="1"/>
  <c r="X55" i="6"/>
  <c r="AD55" i="6" s="1"/>
  <c r="AP55" i="6" s="1"/>
  <c r="X61" i="6"/>
  <c r="AD61" i="6" s="1"/>
  <c r="AP61" i="6" s="1"/>
  <c r="X67" i="6"/>
  <c r="AD67" i="6" s="1"/>
  <c r="AP67" i="6" s="1"/>
  <c r="X73" i="6"/>
  <c r="AD73" i="6" s="1"/>
  <c r="AP73" i="6" s="1"/>
  <c r="X79" i="6"/>
  <c r="AD79" i="6" s="1"/>
  <c r="AP79" i="6" s="1"/>
  <c r="X85" i="6"/>
  <c r="AD85" i="6" s="1"/>
  <c r="AP85" i="6" s="1"/>
  <c r="X91" i="6"/>
  <c r="AD91" i="6" s="1"/>
  <c r="AP91" i="6" s="1"/>
  <c r="X97" i="6"/>
  <c r="AD97" i="6" s="1"/>
  <c r="AP97" i="6" s="1"/>
  <c r="X103" i="6"/>
  <c r="AD103" i="6" s="1"/>
  <c r="AP103" i="6" s="1"/>
  <c r="X109" i="6"/>
  <c r="AD109" i="6" s="1"/>
  <c r="AP109" i="6" s="1"/>
  <c r="X115" i="6"/>
  <c r="AD115" i="6" s="1"/>
  <c r="AP115" i="6" s="1"/>
  <c r="S55" i="6"/>
  <c r="Y55" i="6" s="1"/>
  <c r="AK55" i="6" s="1"/>
  <c r="S109" i="6"/>
  <c r="Y109" i="6" s="1"/>
  <c r="AK109" i="6" s="1"/>
  <c r="T51" i="6"/>
  <c r="Z51" i="6" s="1"/>
  <c r="AL51" i="6" s="1"/>
  <c r="T105" i="6"/>
  <c r="Z105" i="6" s="1"/>
  <c r="AL105" i="6" s="1"/>
  <c r="U47" i="6"/>
  <c r="AA47" i="6" s="1"/>
  <c r="AM47" i="6" s="1"/>
  <c r="U101" i="6"/>
  <c r="AA101" i="6" s="1"/>
  <c r="AM101" i="6" s="1"/>
  <c r="V43" i="6"/>
  <c r="AB43" i="6" s="1"/>
  <c r="AN43" i="6" s="1"/>
  <c r="V97" i="6"/>
  <c r="AB97" i="6" s="1"/>
  <c r="AN97" i="6" s="1"/>
  <c r="W22" i="6"/>
  <c r="AC22" i="6" s="1"/>
  <c r="AO22" i="6" s="1"/>
  <c r="W44" i="6"/>
  <c r="AC44" i="6" s="1"/>
  <c r="AO44" i="6" s="1"/>
  <c r="W63" i="6"/>
  <c r="AC63" i="6" s="1"/>
  <c r="AO63" i="6" s="1"/>
  <c r="W81" i="6"/>
  <c r="AC81" i="6" s="1"/>
  <c r="AO81" i="6" s="1"/>
  <c r="W99" i="6"/>
  <c r="AC99" i="6" s="1"/>
  <c r="AO99" i="6" s="1"/>
  <c r="X5" i="6"/>
  <c r="AD5" i="6" s="1"/>
  <c r="AP5" i="6" s="1"/>
  <c r="X23" i="6"/>
  <c r="AD23" i="6" s="1"/>
  <c r="AP23" i="6" s="1"/>
  <c r="X41" i="6"/>
  <c r="AD41" i="6" s="1"/>
  <c r="AP41" i="6" s="1"/>
  <c r="X59" i="6"/>
  <c r="AD59" i="6" s="1"/>
  <c r="AP59" i="6" s="1"/>
  <c r="X72" i="6"/>
  <c r="AD72" i="6" s="1"/>
  <c r="AP72" i="6" s="1"/>
  <c r="X84" i="6"/>
  <c r="AD84" i="6" s="1"/>
  <c r="AP84" i="6" s="1"/>
  <c r="X96" i="6"/>
  <c r="AD96" i="6" s="1"/>
  <c r="AP96" i="6" s="1"/>
  <c r="X108" i="6"/>
  <c r="AD108" i="6" s="1"/>
  <c r="AP108" i="6" s="1"/>
  <c r="S6" i="6"/>
  <c r="Y6" i="6" s="1"/>
  <c r="AK6" i="6" s="1"/>
  <c r="S60" i="6"/>
  <c r="Y60" i="6" s="1"/>
  <c r="AK60" i="6" s="1"/>
  <c r="S114" i="6"/>
  <c r="Y114" i="6" s="1"/>
  <c r="AK114" i="6" s="1"/>
  <c r="T56" i="6"/>
  <c r="Z56" i="6" s="1"/>
  <c r="AL56" i="6" s="1"/>
  <c r="T110" i="6"/>
  <c r="Z110" i="6" s="1"/>
  <c r="AL110" i="6" s="1"/>
  <c r="U52" i="6"/>
  <c r="AA52" i="6" s="1"/>
  <c r="AM52" i="6" s="1"/>
  <c r="U106" i="6"/>
  <c r="AA106" i="6" s="1"/>
  <c r="AM106" i="6" s="1"/>
  <c r="V48" i="6"/>
  <c r="AB48" i="6" s="1"/>
  <c r="AN48" i="6" s="1"/>
  <c r="V102" i="6"/>
  <c r="AB102" i="6" s="1"/>
  <c r="AN102" i="6" s="1"/>
  <c r="W24" i="6"/>
  <c r="AC24" i="6" s="1"/>
  <c r="AO24" i="6" s="1"/>
  <c r="W45" i="6"/>
  <c r="AC45" i="6" s="1"/>
  <c r="AO45" i="6" s="1"/>
  <c r="W64" i="6"/>
  <c r="AC64" i="6" s="1"/>
  <c r="AO64" i="6" s="1"/>
  <c r="W82" i="6"/>
  <c r="AC82" i="6" s="1"/>
  <c r="AO82" i="6" s="1"/>
  <c r="W100" i="6"/>
  <c r="AC100" i="6" s="1"/>
  <c r="AO100" i="6" s="1"/>
  <c r="X6" i="6"/>
  <c r="AD6" i="6" s="1"/>
  <c r="AP6" i="6" s="1"/>
  <c r="X24" i="6"/>
  <c r="AD24" i="6" s="1"/>
  <c r="AP24" i="6" s="1"/>
  <c r="X42" i="6"/>
  <c r="AD42" i="6" s="1"/>
  <c r="AP42" i="6" s="1"/>
  <c r="X60" i="6"/>
  <c r="AD60" i="6" s="1"/>
  <c r="AP60" i="6" s="1"/>
  <c r="X75" i="6"/>
  <c r="AD75" i="6" s="1"/>
  <c r="AP75" i="6" s="1"/>
  <c r="X87" i="6"/>
  <c r="AD87" i="6" s="1"/>
  <c r="AP87" i="6" s="1"/>
  <c r="X99" i="6"/>
  <c r="AD99" i="6" s="1"/>
  <c r="AP99" i="6" s="1"/>
  <c r="X111" i="6"/>
  <c r="AD111" i="6" s="1"/>
  <c r="AP111" i="6" s="1"/>
  <c r="S19" i="6"/>
  <c r="Y19" i="6" s="1"/>
  <c r="AK19" i="6" s="1"/>
  <c r="S73" i="6"/>
  <c r="Y73" i="6" s="1"/>
  <c r="AK73" i="6" s="1"/>
  <c r="T15" i="6"/>
  <c r="Z15" i="6" s="1"/>
  <c r="AL15" i="6" s="1"/>
  <c r="T69" i="6"/>
  <c r="Z69" i="6" s="1"/>
  <c r="AL69" i="6" s="1"/>
  <c r="U11" i="6"/>
  <c r="AA11" i="6" s="1"/>
  <c r="AM11" i="6" s="1"/>
  <c r="U65" i="6"/>
  <c r="AA65" i="6" s="1"/>
  <c r="AM65" i="6" s="1"/>
  <c r="V7" i="6"/>
  <c r="AB7" i="6" s="1"/>
  <c r="AN7" i="6" s="1"/>
  <c r="V61" i="6"/>
  <c r="AB61" i="6" s="1"/>
  <c r="AN61" i="6" s="1"/>
  <c r="V114" i="6"/>
  <c r="AB114" i="6" s="1"/>
  <c r="AN114" i="6" s="1"/>
  <c r="W30" i="6"/>
  <c r="AC30" i="6" s="1"/>
  <c r="AO30" i="6" s="1"/>
  <c r="W51" i="6"/>
  <c r="AC51" i="6" s="1"/>
  <c r="AO51" i="6" s="1"/>
  <c r="W69" i="6"/>
  <c r="AC69" i="6" s="1"/>
  <c r="AO69" i="6" s="1"/>
  <c r="W87" i="6"/>
  <c r="AC87" i="6" s="1"/>
  <c r="AO87" i="6" s="1"/>
  <c r="W105" i="6"/>
  <c r="AC105" i="6" s="1"/>
  <c r="AO105" i="6" s="1"/>
  <c r="X11" i="6"/>
  <c r="AD11" i="6" s="1"/>
  <c r="AP11" i="6" s="1"/>
  <c r="X29" i="6"/>
  <c r="AD29" i="6" s="1"/>
  <c r="AP29" i="6" s="1"/>
  <c r="X47" i="6"/>
  <c r="AD47" i="6" s="1"/>
  <c r="AP47" i="6" s="1"/>
  <c r="X65" i="6"/>
  <c r="AD65" i="6" s="1"/>
  <c r="AP65" i="6" s="1"/>
  <c r="X77" i="6"/>
  <c r="AD77" i="6" s="1"/>
  <c r="AP77" i="6" s="1"/>
  <c r="X89" i="6"/>
  <c r="AD89" i="6" s="1"/>
  <c r="AP89" i="6" s="1"/>
  <c r="X101" i="6"/>
  <c r="AD101" i="6" s="1"/>
  <c r="AP101" i="6" s="1"/>
  <c r="X113" i="6"/>
  <c r="AD113" i="6" s="1"/>
  <c r="AP113" i="6" s="1"/>
  <c r="S42" i="6"/>
  <c r="Y42" i="6" s="1"/>
  <c r="AK42" i="6" s="1"/>
  <c r="S96" i="6"/>
  <c r="Y96" i="6" s="1"/>
  <c r="AK96" i="6" s="1"/>
  <c r="T38" i="6"/>
  <c r="Z38" i="6" s="1"/>
  <c r="AL38" i="6" s="1"/>
  <c r="T92" i="6"/>
  <c r="Z92" i="6" s="1"/>
  <c r="AL92" i="6" s="1"/>
  <c r="U34" i="6"/>
  <c r="AA34" i="6" s="1"/>
  <c r="AM34" i="6" s="1"/>
  <c r="U88" i="6"/>
  <c r="AA88" i="6" s="1"/>
  <c r="AM88" i="6" s="1"/>
  <c r="V30" i="6"/>
  <c r="AB30" i="6" s="1"/>
  <c r="AN30" i="6" s="1"/>
  <c r="V84" i="6"/>
  <c r="AB84" i="6" s="1"/>
  <c r="AN84" i="6" s="1"/>
  <c r="W15" i="6"/>
  <c r="AC15" i="6" s="1"/>
  <c r="AO15" i="6" s="1"/>
  <c r="W38" i="6"/>
  <c r="AC38" i="6" s="1"/>
  <c r="AO38" i="6" s="1"/>
  <c r="W58" i="6"/>
  <c r="AC58" i="6" s="1"/>
  <c r="AO58" i="6" s="1"/>
  <c r="W76" i="6"/>
  <c r="AC76" i="6" s="1"/>
  <c r="AO76" i="6" s="1"/>
  <c r="W94" i="6"/>
  <c r="AC94" i="6" s="1"/>
  <c r="AO94" i="6" s="1"/>
  <c r="W112" i="6"/>
  <c r="AC112" i="6" s="1"/>
  <c r="AO112" i="6" s="1"/>
  <c r="X18" i="6"/>
  <c r="AD18" i="6" s="1"/>
  <c r="AP18" i="6" s="1"/>
  <c r="X36" i="6"/>
  <c r="AD36" i="6" s="1"/>
  <c r="AP36" i="6" s="1"/>
  <c r="X54" i="6"/>
  <c r="AD54" i="6" s="1"/>
  <c r="AP54" i="6" s="1"/>
  <c r="X71" i="6"/>
  <c r="AD71" i="6" s="1"/>
  <c r="AP71" i="6" s="1"/>
  <c r="X83" i="6"/>
  <c r="AD83" i="6" s="1"/>
  <c r="AP83" i="6" s="1"/>
  <c r="X95" i="6"/>
  <c r="AD95" i="6" s="1"/>
  <c r="AP95" i="6" s="1"/>
  <c r="X107" i="6"/>
  <c r="AD107" i="6" s="1"/>
  <c r="AP107" i="6" s="1"/>
  <c r="S24" i="6"/>
  <c r="Y24" i="6" s="1"/>
  <c r="AK24" i="6" s="1"/>
  <c r="T74" i="6"/>
  <c r="Z74" i="6" s="1"/>
  <c r="AL74" i="6" s="1"/>
  <c r="V12" i="6"/>
  <c r="AB12" i="6" s="1"/>
  <c r="AN12" i="6" s="1"/>
  <c r="W31" i="6"/>
  <c r="AC31" i="6" s="1"/>
  <c r="AO31" i="6" s="1"/>
  <c r="W88" i="6"/>
  <c r="AC88" i="6" s="1"/>
  <c r="AO88" i="6" s="1"/>
  <c r="X30" i="6"/>
  <c r="AD30" i="6" s="1"/>
  <c r="AP30" i="6" s="1"/>
  <c r="X78" i="6"/>
  <c r="AD78" i="6" s="1"/>
  <c r="AP78" i="6" s="1"/>
  <c r="X114" i="6"/>
  <c r="AD114" i="6" s="1"/>
  <c r="AP114" i="6" s="1"/>
  <c r="W57" i="6"/>
  <c r="AC57" i="6" s="1"/>
  <c r="AO57" i="6" s="1"/>
  <c r="V115" i="6"/>
  <c r="AB115" i="6" s="1"/>
  <c r="AN115" i="6" s="1"/>
  <c r="X102" i="6"/>
  <c r="AD102" i="6" s="1"/>
  <c r="AP102" i="6" s="1"/>
  <c r="S37" i="6"/>
  <c r="Y37" i="6" s="1"/>
  <c r="AK37" i="6" s="1"/>
  <c r="T87" i="6"/>
  <c r="Z87" i="6" s="1"/>
  <c r="AL87" i="6" s="1"/>
  <c r="V25" i="6"/>
  <c r="AB25" i="6" s="1"/>
  <c r="AN25" i="6" s="1"/>
  <c r="W37" i="6"/>
  <c r="AC37" i="6" s="1"/>
  <c r="AO37" i="6" s="1"/>
  <c r="W93" i="6"/>
  <c r="AC93" i="6" s="1"/>
  <c r="AO93" i="6" s="1"/>
  <c r="X35" i="6"/>
  <c r="AD35" i="6" s="1"/>
  <c r="AP35" i="6" s="1"/>
  <c r="X81" i="6"/>
  <c r="AD81" i="6" s="1"/>
  <c r="AP81" i="6" s="1"/>
  <c r="U29" i="6"/>
  <c r="AA29" i="6" s="1"/>
  <c r="AM29" i="6" s="1"/>
  <c r="U70" i="6"/>
  <c r="AA70" i="6" s="1"/>
  <c r="AM70" i="6" s="1"/>
  <c r="X66" i="6"/>
  <c r="AD66" i="6" s="1"/>
  <c r="AP66" i="6" s="1"/>
  <c r="S78" i="6"/>
  <c r="Y78" i="6" s="1"/>
  <c r="AK78" i="6" s="1"/>
  <c r="U16" i="6"/>
  <c r="AA16" i="6" s="1"/>
  <c r="AM16" i="6" s="1"/>
  <c r="V66" i="6"/>
  <c r="AB66" i="6" s="1"/>
  <c r="AN66" i="6" s="1"/>
  <c r="W52" i="6"/>
  <c r="AC52" i="6" s="1"/>
  <c r="AO52" i="6" s="1"/>
  <c r="W106" i="6"/>
  <c r="AC106" i="6" s="1"/>
  <c r="AO106" i="6" s="1"/>
  <c r="X48" i="6"/>
  <c r="AD48" i="6" s="1"/>
  <c r="AP48" i="6" s="1"/>
  <c r="X90" i="6"/>
  <c r="AD90" i="6" s="1"/>
  <c r="AP90" i="6" s="1"/>
  <c r="V79" i="6"/>
  <c r="AB79" i="6" s="1"/>
  <c r="AN79" i="6" s="1"/>
  <c r="W70" i="6"/>
  <c r="AC70" i="6" s="1"/>
  <c r="AO70" i="6" s="1"/>
  <c r="S91" i="6"/>
  <c r="Y91" i="6" s="1"/>
  <c r="AK91" i="6" s="1"/>
  <c r="X53" i="6"/>
  <c r="AD53" i="6" s="1"/>
  <c r="AP53" i="6" s="1"/>
  <c r="X93" i="6"/>
  <c r="AD93" i="6" s="1"/>
  <c r="AP93" i="6" s="1"/>
  <c r="X12" i="6"/>
  <c r="AD12" i="6" s="1"/>
  <c r="AP12" i="6" s="1"/>
  <c r="T33" i="6"/>
  <c r="Z33" i="6" s="1"/>
  <c r="AL33" i="6" s="1"/>
  <c r="U83" i="6"/>
  <c r="AA83" i="6" s="1"/>
  <c r="AM83" i="6" s="1"/>
  <c r="W14" i="6"/>
  <c r="AC14" i="6" s="1"/>
  <c r="AO14" i="6" s="1"/>
  <c r="W75" i="6"/>
  <c r="AC75" i="6" s="1"/>
  <c r="AO75" i="6" s="1"/>
  <c r="X17" i="6"/>
  <c r="AD17" i="6" s="1"/>
  <c r="AP17" i="6" s="1"/>
  <c r="X69" i="6"/>
  <c r="AD69" i="6" s="1"/>
  <c r="AP69" i="6" s="1"/>
  <c r="X105" i="6"/>
  <c r="AD105" i="6" s="1"/>
  <c r="AP105" i="6" s="1"/>
  <c r="W111" i="6"/>
  <c r="AC111" i="6" s="1"/>
  <c r="AO111" i="6" s="1"/>
  <c r="T20" i="6"/>
  <c r="Z20" i="6" s="1"/>
  <c r="AL20" i="6" s="1"/>
  <c r="T3" i="6"/>
  <c r="Z3" i="6" s="1"/>
  <c r="AL3" i="6" s="1"/>
  <c r="U3" i="6"/>
  <c r="AA3" i="6" s="1"/>
  <c r="AM3" i="6" s="1"/>
  <c r="S3" i="6"/>
  <c r="Y3" i="6" s="1"/>
  <c r="AK3" i="6" s="1"/>
  <c r="V3" i="6"/>
  <c r="AB3" i="6" s="1"/>
  <c r="AN3" i="6" s="1"/>
  <c r="W3" i="6"/>
  <c r="AC3" i="6" s="1"/>
  <c r="AO3" i="6" s="1"/>
  <c r="X3" i="6"/>
  <c r="AD3" i="6" s="1"/>
  <c r="AP3" i="6" s="1"/>
  <c r="Y25" i="1"/>
  <c r="X25" i="1"/>
  <c r="AB25" i="1"/>
  <c r="AA25" i="1"/>
  <c r="Z25" i="1"/>
  <c r="AB21" i="1"/>
  <c r="AA21" i="1"/>
  <c r="Z21" i="1"/>
  <c r="Y21" i="1"/>
  <c r="X21" i="1"/>
  <c r="AB8" i="1"/>
  <c r="AA8" i="1"/>
  <c r="Z8" i="1"/>
  <c r="Y8" i="1"/>
  <c r="X8" i="1"/>
  <c r="Z19" i="1"/>
  <c r="X19" i="1"/>
  <c r="AB19" i="1"/>
  <c r="AA19" i="1"/>
  <c r="Y19" i="1"/>
  <c r="AB14" i="1"/>
  <c r="AA14" i="1"/>
  <c r="Z14" i="1"/>
  <c r="Y14" i="1"/>
  <c r="X14" i="1"/>
  <c r="AA27" i="1"/>
  <c r="Z27" i="1"/>
  <c r="X27" i="1"/>
  <c r="Y27" i="1"/>
  <c r="AB27" i="1"/>
  <c r="Y23" i="1"/>
  <c r="AB23" i="1"/>
  <c r="AA23" i="1"/>
  <c r="Z23" i="1"/>
  <c r="X23" i="1"/>
  <c r="Z26" i="1"/>
  <c r="Y26" i="1"/>
  <c r="X26" i="1"/>
  <c r="AB26" i="1"/>
  <c r="AA26" i="1"/>
  <c r="Y11" i="1"/>
  <c r="X11" i="1"/>
  <c r="AA11" i="1"/>
  <c r="Z11" i="1"/>
  <c r="AB11" i="1"/>
  <c r="AB18" i="1"/>
  <c r="AA18" i="1"/>
  <c r="Z18" i="1"/>
  <c r="Y18" i="1"/>
  <c r="X18" i="1"/>
  <c r="AB9" i="1"/>
  <c r="AA9" i="1"/>
  <c r="Z9" i="1"/>
  <c r="Y9" i="1"/>
  <c r="X9" i="1"/>
  <c r="AB12" i="1"/>
  <c r="AA12" i="1"/>
  <c r="Z12" i="1"/>
  <c r="Y12" i="1"/>
  <c r="X12" i="1"/>
  <c r="Y17" i="1"/>
  <c r="X17" i="1"/>
  <c r="AB17" i="1"/>
  <c r="AA17" i="1"/>
  <c r="Z17" i="1"/>
  <c r="AB15" i="1"/>
  <c r="AA15" i="1"/>
  <c r="Z15" i="1"/>
  <c r="Y15" i="1"/>
  <c r="X15" i="1"/>
  <c r="AB20" i="1"/>
  <c r="AA20" i="1"/>
  <c r="Z20" i="1"/>
  <c r="Y20" i="1"/>
  <c r="X20" i="1"/>
  <c r="AB6" i="1"/>
  <c r="AA6" i="1"/>
  <c r="Z6" i="1"/>
  <c r="Y6" i="1"/>
  <c r="X6" i="1"/>
  <c r="AB28" i="1"/>
  <c r="AA28" i="1"/>
  <c r="Y28" i="1"/>
  <c r="Z28" i="1"/>
  <c r="X28" i="1"/>
  <c r="X24" i="1"/>
  <c r="AB24" i="1"/>
  <c r="AA24" i="1"/>
  <c r="Z24" i="1"/>
  <c r="Y24" i="1"/>
  <c r="AB10" i="1"/>
  <c r="AA10" i="1"/>
  <c r="Z10" i="1"/>
  <c r="Y10" i="1"/>
  <c r="X10" i="1"/>
  <c r="Z7" i="1"/>
  <c r="X7" i="1"/>
  <c r="AB7" i="1"/>
  <c r="AA7" i="1"/>
  <c r="Y7" i="1"/>
  <c r="AA13" i="1"/>
  <c r="Y13" i="1"/>
  <c r="AB13" i="1"/>
  <c r="Z13" i="1"/>
  <c r="X13" i="1"/>
  <c r="AB22" i="1"/>
  <c r="AA22" i="1"/>
  <c r="Z22" i="1"/>
  <c r="Y22" i="1"/>
  <c r="X22" i="1"/>
  <c r="AB16" i="1"/>
  <c r="AA16" i="1"/>
  <c r="Z16" i="1"/>
  <c r="Y16" i="1"/>
  <c r="X16" i="1"/>
  <c r="H2702" i="7"/>
  <c r="M2702" i="7"/>
  <c r="K2702" i="7"/>
  <c r="L2702" i="7"/>
  <c r="H2696" i="7"/>
  <c r="M2696" i="7"/>
  <c r="K2696" i="7"/>
  <c r="L2696" i="7"/>
  <c r="H2690" i="7"/>
  <c r="M2690" i="7"/>
  <c r="K2690" i="7"/>
  <c r="L2690" i="7"/>
  <c r="H2684" i="7"/>
  <c r="M2684" i="7"/>
  <c r="K2684" i="7"/>
  <c r="L2684" i="7"/>
  <c r="H2678" i="7"/>
  <c r="M2678" i="7"/>
  <c r="K2678" i="7"/>
  <c r="L2678" i="7"/>
  <c r="H2672" i="7"/>
  <c r="M2672" i="7"/>
  <c r="K2672" i="7"/>
  <c r="L2672" i="7"/>
  <c r="H2666" i="7"/>
  <c r="M2666" i="7"/>
  <c r="K2666" i="7"/>
  <c r="L2666" i="7"/>
  <c r="H2660" i="7"/>
  <c r="M2660" i="7"/>
  <c r="K2660" i="7"/>
  <c r="L2660" i="7"/>
  <c r="H2654" i="7"/>
  <c r="M2654" i="7"/>
  <c r="K2654" i="7"/>
  <c r="L2654" i="7"/>
  <c r="H2648" i="7"/>
  <c r="M2648" i="7"/>
  <c r="K2648" i="7"/>
  <c r="L2648" i="7"/>
  <c r="H2642" i="7"/>
  <c r="M2642" i="7"/>
  <c r="K2642" i="7"/>
  <c r="L2642" i="7"/>
  <c r="H2636" i="7"/>
  <c r="M2636" i="7"/>
  <c r="K2636" i="7"/>
  <c r="L2636" i="7"/>
  <c r="H2630" i="7"/>
  <c r="M2630" i="7"/>
  <c r="K2630" i="7"/>
  <c r="L2630" i="7"/>
  <c r="H2624" i="7"/>
  <c r="M2624" i="7"/>
  <c r="K2624" i="7"/>
  <c r="L2624" i="7"/>
  <c r="H2618" i="7"/>
  <c r="M2618" i="7"/>
  <c r="K2618" i="7"/>
  <c r="L2618" i="7"/>
  <c r="H2612" i="7"/>
  <c r="M2612" i="7"/>
  <c r="K2612" i="7"/>
  <c r="L2612" i="7"/>
  <c r="H2606" i="7"/>
  <c r="M2606" i="7"/>
  <c r="K2606" i="7"/>
  <c r="L2606" i="7"/>
  <c r="H2600" i="7"/>
  <c r="M2600" i="7"/>
  <c r="K2600" i="7"/>
  <c r="L2600" i="7"/>
  <c r="H2594" i="7"/>
  <c r="M2594" i="7"/>
  <c r="K2594" i="7"/>
  <c r="L2594" i="7"/>
  <c r="H2588" i="7"/>
  <c r="M2588" i="7"/>
  <c r="K2588" i="7"/>
  <c r="L2588" i="7"/>
  <c r="H2582" i="7"/>
  <c r="M2582" i="7"/>
  <c r="K2582" i="7"/>
  <c r="L2582" i="7"/>
  <c r="H2576" i="7"/>
  <c r="M2576" i="7"/>
  <c r="K2576" i="7"/>
  <c r="L2576" i="7"/>
  <c r="H2570" i="7"/>
  <c r="M2570" i="7"/>
  <c r="K2570" i="7"/>
  <c r="L2570" i="7"/>
  <c r="H2564" i="7"/>
  <c r="M2564" i="7"/>
  <c r="K2564" i="7"/>
  <c r="L2564" i="7"/>
  <c r="H2558" i="7"/>
  <c r="M2558" i="7"/>
  <c r="K2558" i="7"/>
  <c r="L2558" i="7"/>
  <c r="H2552" i="7"/>
  <c r="M2552" i="7"/>
  <c r="K2552" i="7"/>
  <c r="L2552" i="7"/>
  <c r="H2546" i="7"/>
  <c r="M2546" i="7"/>
  <c r="K2546" i="7"/>
  <c r="L2546" i="7"/>
  <c r="H2540" i="7"/>
  <c r="M2540" i="7"/>
  <c r="K2540" i="7"/>
  <c r="L2540" i="7"/>
  <c r="H2534" i="7"/>
  <c r="M2534" i="7"/>
  <c r="K2534" i="7"/>
  <c r="L2534" i="7"/>
  <c r="H2528" i="7"/>
  <c r="M2528" i="7"/>
  <c r="K2528" i="7"/>
  <c r="L2528" i="7"/>
  <c r="H2522" i="7"/>
  <c r="M2522" i="7"/>
  <c r="K2522" i="7"/>
  <c r="L2522" i="7"/>
  <c r="H2516" i="7"/>
  <c r="M2516" i="7"/>
  <c r="K2516" i="7"/>
  <c r="L2516" i="7"/>
  <c r="H2510" i="7"/>
  <c r="M2510" i="7"/>
  <c r="K2510" i="7"/>
  <c r="L2510" i="7"/>
  <c r="H2504" i="7"/>
  <c r="M2504" i="7"/>
  <c r="K2504" i="7"/>
  <c r="L2504" i="7"/>
  <c r="H2498" i="7"/>
  <c r="M2498" i="7"/>
  <c r="K2498" i="7"/>
  <c r="L2498" i="7"/>
  <c r="H2492" i="7"/>
  <c r="M2492" i="7"/>
  <c r="K2492" i="7"/>
  <c r="L2492" i="7"/>
  <c r="H2486" i="7"/>
  <c r="M2486" i="7"/>
  <c r="K2486" i="7"/>
  <c r="L2486" i="7"/>
  <c r="H2480" i="7"/>
  <c r="M2480" i="7"/>
  <c r="K2480" i="7"/>
  <c r="L2480" i="7"/>
  <c r="H2474" i="7"/>
  <c r="M2474" i="7"/>
  <c r="K2474" i="7"/>
  <c r="L2474" i="7"/>
  <c r="H2468" i="7"/>
  <c r="M2468" i="7"/>
  <c r="K2468" i="7"/>
  <c r="L2468" i="7"/>
  <c r="H2462" i="7"/>
  <c r="M2462" i="7"/>
  <c r="K2462" i="7"/>
  <c r="L2462" i="7"/>
  <c r="H2456" i="7"/>
  <c r="M2456" i="7"/>
  <c r="K2456" i="7"/>
  <c r="L2456" i="7"/>
  <c r="H2450" i="7"/>
  <c r="M2450" i="7"/>
  <c r="K2450" i="7"/>
  <c r="L2450" i="7"/>
  <c r="H2444" i="7"/>
  <c r="M2444" i="7"/>
  <c r="K2444" i="7"/>
  <c r="L2444" i="7"/>
  <c r="H2438" i="7"/>
  <c r="M2438" i="7"/>
  <c r="K2438" i="7"/>
  <c r="L2438" i="7"/>
  <c r="H2432" i="7"/>
  <c r="M2432" i="7"/>
  <c r="K2432" i="7"/>
  <c r="L2432" i="7"/>
  <c r="H2426" i="7"/>
  <c r="M2426" i="7"/>
  <c r="K2426" i="7"/>
  <c r="L2426" i="7"/>
  <c r="H2420" i="7"/>
  <c r="M2420" i="7"/>
  <c r="K2420" i="7"/>
  <c r="L2420" i="7"/>
  <c r="H2414" i="7"/>
  <c r="M2414" i="7"/>
  <c r="K2414" i="7"/>
  <c r="L2414" i="7"/>
  <c r="H2408" i="7"/>
  <c r="M2408" i="7"/>
  <c r="K2408" i="7"/>
  <c r="L2408" i="7"/>
  <c r="H2402" i="7"/>
  <c r="M2402" i="7"/>
  <c r="K2402" i="7"/>
  <c r="L2402" i="7"/>
  <c r="H2396" i="7"/>
  <c r="M2396" i="7"/>
  <c r="K2396" i="7"/>
  <c r="L2396" i="7"/>
  <c r="H2390" i="7"/>
  <c r="M2390" i="7"/>
  <c r="K2390" i="7"/>
  <c r="L2390" i="7"/>
  <c r="H2384" i="7"/>
  <c r="M2384" i="7"/>
  <c r="K2384" i="7"/>
  <c r="L2384" i="7"/>
  <c r="H2378" i="7"/>
  <c r="M2378" i="7"/>
  <c r="K2378" i="7"/>
  <c r="L2378" i="7"/>
  <c r="H2372" i="7"/>
  <c r="M2372" i="7"/>
  <c r="K2372" i="7"/>
  <c r="L2372" i="7"/>
  <c r="H2366" i="7"/>
  <c r="M2366" i="7"/>
  <c r="K2366" i="7"/>
  <c r="L2366" i="7"/>
  <c r="H2360" i="7"/>
  <c r="M2360" i="7"/>
  <c r="K2360" i="7"/>
  <c r="L2360" i="7"/>
  <c r="H2354" i="7"/>
  <c r="M2354" i="7"/>
  <c r="K2354" i="7"/>
  <c r="L2354" i="7"/>
  <c r="H2348" i="7"/>
  <c r="M2348" i="7"/>
  <c r="K2348" i="7"/>
  <c r="L2348" i="7"/>
  <c r="H2342" i="7"/>
  <c r="M2342" i="7"/>
  <c r="K2342" i="7"/>
  <c r="L2342" i="7"/>
  <c r="H2336" i="7"/>
  <c r="M2336" i="7"/>
  <c r="K2336" i="7"/>
  <c r="L2336" i="7"/>
  <c r="H2330" i="7"/>
  <c r="M2330" i="7"/>
  <c r="K2330" i="7"/>
  <c r="L2330" i="7"/>
  <c r="H2324" i="7"/>
  <c r="M2324" i="7"/>
  <c r="K2324" i="7"/>
  <c r="L2324" i="7"/>
  <c r="H2318" i="7"/>
  <c r="M2318" i="7"/>
  <c r="K2318" i="7"/>
  <c r="L2318" i="7"/>
  <c r="H2312" i="7"/>
  <c r="M2312" i="7"/>
  <c r="K2312" i="7"/>
  <c r="L2312" i="7"/>
  <c r="H2306" i="7"/>
  <c r="M2306" i="7"/>
  <c r="K2306" i="7"/>
  <c r="L2306" i="7"/>
  <c r="H2300" i="7"/>
  <c r="M2300" i="7"/>
  <c r="K2300" i="7"/>
  <c r="L2300" i="7"/>
  <c r="H2294" i="7"/>
  <c r="M2294" i="7"/>
  <c r="K2294" i="7"/>
  <c r="L2294" i="7"/>
  <c r="H2288" i="7"/>
  <c r="M2288" i="7"/>
  <c r="K2288" i="7"/>
  <c r="L2288" i="7"/>
  <c r="H2282" i="7"/>
  <c r="M2282" i="7"/>
  <c r="K2282" i="7"/>
  <c r="L2282" i="7"/>
  <c r="H2276" i="7"/>
  <c r="M2276" i="7"/>
  <c r="K2276" i="7"/>
  <c r="L2276" i="7"/>
  <c r="H2270" i="7"/>
  <c r="M2270" i="7"/>
  <c r="K2270" i="7"/>
  <c r="L2270" i="7"/>
  <c r="H2264" i="7"/>
  <c r="M2264" i="7"/>
  <c r="K2264" i="7"/>
  <c r="L2264" i="7"/>
  <c r="H2258" i="7"/>
  <c r="M2258" i="7"/>
  <c r="K2258" i="7"/>
  <c r="L2258" i="7"/>
  <c r="H2252" i="7"/>
  <c r="M2252" i="7"/>
  <c r="K2252" i="7"/>
  <c r="L2252" i="7"/>
  <c r="H2246" i="7"/>
  <c r="M2246" i="7"/>
  <c r="K2246" i="7"/>
  <c r="L2246" i="7"/>
  <c r="H2240" i="7"/>
  <c r="M2240" i="7"/>
  <c r="K2240" i="7"/>
  <c r="L2240" i="7"/>
  <c r="H2234" i="7"/>
  <c r="M2234" i="7"/>
  <c r="K2234" i="7"/>
  <c r="L2234" i="7"/>
  <c r="H2228" i="7"/>
  <c r="M2228" i="7"/>
  <c r="K2228" i="7"/>
  <c r="L2228" i="7"/>
  <c r="H2222" i="7"/>
  <c r="M2222" i="7"/>
  <c r="K2222" i="7"/>
  <c r="L2222" i="7"/>
  <c r="H2216" i="7"/>
  <c r="M2216" i="7"/>
  <c r="K2216" i="7"/>
  <c r="L2216" i="7"/>
  <c r="H2210" i="7"/>
  <c r="M2210" i="7"/>
  <c r="K2210" i="7"/>
  <c r="L2210" i="7"/>
  <c r="H2204" i="7"/>
  <c r="M2204" i="7"/>
  <c r="K2204" i="7"/>
  <c r="L2204" i="7"/>
  <c r="H2198" i="7"/>
  <c r="M2198" i="7"/>
  <c r="K2198" i="7"/>
  <c r="L2198" i="7"/>
  <c r="H2192" i="7"/>
  <c r="M2192" i="7"/>
  <c r="K2192" i="7"/>
  <c r="L2192" i="7"/>
  <c r="H2186" i="7"/>
  <c r="M2186" i="7"/>
  <c r="K2186" i="7"/>
  <c r="L2186" i="7"/>
  <c r="H2180" i="7"/>
  <c r="M2180" i="7"/>
  <c r="K2180" i="7"/>
  <c r="L2180" i="7"/>
  <c r="H2174" i="7"/>
  <c r="M2174" i="7"/>
  <c r="K2174" i="7"/>
  <c r="L2174" i="7"/>
  <c r="H2168" i="7"/>
  <c r="M2168" i="7"/>
  <c r="K2168" i="7"/>
  <c r="L2168" i="7"/>
  <c r="H2162" i="7"/>
  <c r="M2162" i="7"/>
  <c r="K2162" i="7"/>
  <c r="L2162" i="7"/>
  <c r="H2156" i="7"/>
  <c r="M2156" i="7"/>
  <c r="K2156" i="7"/>
  <c r="L2156" i="7"/>
  <c r="H2150" i="7"/>
  <c r="M2150" i="7"/>
  <c r="K2150" i="7"/>
  <c r="L2150" i="7"/>
  <c r="H2144" i="7"/>
  <c r="M2144" i="7"/>
  <c r="K2144" i="7"/>
  <c r="L2144" i="7"/>
  <c r="H2138" i="7"/>
  <c r="M2138" i="7"/>
  <c r="K2138" i="7"/>
  <c r="L2138" i="7"/>
  <c r="H2132" i="7"/>
  <c r="M2132" i="7"/>
  <c r="K2132" i="7"/>
  <c r="L2132" i="7"/>
  <c r="H2126" i="7"/>
  <c r="M2126" i="7"/>
  <c r="K2126" i="7"/>
  <c r="L2126" i="7"/>
  <c r="H2120" i="7"/>
  <c r="M2120" i="7"/>
  <c r="K2120" i="7"/>
  <c r="L2120" i="7"/>
  <c r="H2114" i="7"/>
  <c r="M2114" i="7"/>
  <c r="K2114" i="7"/>
  <c r="L2114" i="7"/>
  <c r="H2108" i="7"/>
  <c r="M2108" i="7"/>
  <c r="K2108" i="7"/>
  <c r="L2108" i="7"/>
  <c r="H2102" i="7"/>
  <c r="M2102" i="7"/>
  <c r="K2102" i="7"/>
  <c r="L2102" i="7"/>
  <c r="H2096" i="7"/>
  <c r="M2096" i="7"/>
  <c r="K2096" i="7"/>
  <c r="L2096" i="7"/>
  <c r="H2090" i="7"/>
  <c r="M2090" i="7"/>
  <c r="K2090" i="7"/>
  <c r="L2090" i="7"/>
  <c r="H2084" i="7"/>
  <c r="M2084" i="7"/>
  <c r="K2084" i="7"/>
  <c r="L2084" i="7"/>
  <c r="H2078" i="7"/>
  <c r="M2078" i="7"/>
  <c r="K2078" i="7"/>
  <c r="L2078" i="7"/>
  <c r="H2072" i="7"/>
  <c r="M2072" i="7"/>
  <c r="K2072" i="7"/>
  <c r="L2072" i="7"/>
  <c r="H2066" i="7"/>
  <c r="M2066" i="7"/>
  <c r="K2066" i="7"/>
  <c r="L2066" i="7"/>
  <c r="H2060" i="7"/>
  <c r="M2060" i="7"/>
  <c r="K2060" i="7"/>
  <c r="L2060" i="7"/>
  <c r="H2054" i="7"/>
  <c r="M2054" i="7"/>
  <c r="K2054" i="7"/>
  <c r="L2054" i="7"/>
  <c r="H2048" i="7"/>
  <c r="M2048" i="7"/>
  <c r="K2048" i="7"/>
  <c r="L2048" i="7"/>
  <c r="H2042" i="7"/>
  <c r="M2042" i="7"/>
  <c r="K2042" i="7"/>
  <c r="L2042" i="7"/>
  <c r="H2036" i="7"/>
  <c r="M2036" i="7"/>
  <c r="K2036" i="7"/>
  <c r="L2036" i="7"/>
  <c r="H2030" i="7"/>
  <c r="M2030" i="7"/>
  <c r="K2030" i="7"/>
  <c r="L2030" i="7"/>
  <c r="H2024" i="7"/>
  <c r="M2024" i="7"/>
  <c r="K2024" i="7"/>
  <c r="L2024" i="7"/>
  <c r="H2018" i="7"/>
  <c r="M2018" i="7"/>
  <c r="K2018" i="7"/>
  <c r="L2018" i="7"/>
  <c r="H2012" i="7"/>
  <c r="M2012" i="7"/>
  <c r="K2012" i="7"/>
  <c r="L2012" i="7"/>
  <c r="H2006" i="7"/>
  <c r="M2006" i="7"/>
  <c r="K2006" i="7"/>
  <c r="L2006" i="7"/>
  <c r="H2000" i="7"/>
  <c r="M2000" i="7"/>
  <c r="K2000" i="7"/>
  <c r="L2000" i="7"/>
  <c r="H1994" i="7"/>
  <c r="M1994" i="7"/>
  <c r="K1994" i="7"/>
  <c r="L1994" i="7"/>
  <c r="H1988" i="7"/>
  <c r="M1988" i="7"/>
  <c r="K1988" i="7"/>
  <c r="L1988" i="7"/>
  <c r="H1982" i="7"/>
  <c r="M1982" i="7"/>
  <c r="K1982" i="7"/>
  <c r="L1982" i="7"/>
  <c r="H1976" i="7"/>
  <c r="M1976" i="7"/>
  <c r="K1976" i="7"/>
  <c r="L1976" i="7"/>
  <c r="H1970" i="7"/>
  <c r="M1970" i="7"/>
  <c r="K1970" i="7"/>
  <c r="L1970" i="7"/>
  <c r="H1964" i="7"/>
  <c r="M1964" i="7"/>
  <c r="K1964" i="7"/>
  <c r="L1964" i="7"/>
  <c r="H1958" i="7"/>
  <c r="M1958" i="7"/>
  <c r="K1958" i="7"/>
  <c r="L1958" i="7"/>
  <c r="H1952" i="7"/>
  <c r="M1952" i="7"/>
  <c r="K1952" i="7"/>
  <c r="L1952" i="7"/>
  <c r="H1946" i="7"/>
  <c r="M1946" i="7"/>
  <c r="K1946" i="7"/>
  <c r="L1946" i="7"/>
  <c r="H1940" i="7"/>
  <c r="M1940" i="7"/>
  <c r="K1940" i="7"/>
  <c r="L1940" i="7"/>
  <c r="H1934" i="7"/>
  <c r="M1934" i="7"/>
  <c r="K1934" i="7"/>
  <c r="L1934" i="7"/>
  <c r="H1928" i="7"/>
  <c r="M1928" i="7"/>
  <c r="K1928" i="7"/>
  <c r="L1928" i="7"/>
  <c r="H1922" i="7"/>
  <c r="M1922" i="7"/>
  <c r="K1922" i="7"/>
  <c r="L1922" i="7"/>
  <c r="H1916" i="7"/>
  <c r="M1916" i="7"/>
  <c r="K1916" i="7"/>
  <c r="L1916" i="7"/>
  <c r="H1910" i="7"/>
  <c r="M1910" i="7"/>
  <c r="K1910" i="7"/>
  <c r="L1910" i="7"/>
  <c r="H1904" i="7"/>
  <c r="M1904" i="7"/>
  <c r="K1904" i="7"/>
  <c r="L1904" i="7"/>
  <c r="H1898" i="7"/>
  <c r="M1898" i="7"/>
  <c r="K1898" i="7"/>
  <c r="L1898" i="7"/>
  <c r="H1892" i="7"/>
  <c r="M1892" i="7"/>
  <c r="K1892" i="7"/>
  <c r="L1892" i="7"/>
  <c r="H1886" i="7"/>
  <c r="M1886" i="7"/>
  <c r="K1886" i="7"/>
  <c r="L1886" i="7"/>
  <c r="H1880" i="7"/>
  <c r="M1880" i="7"/>
  <c r="K1880" i="7"/>
  <c r="L1880" i="7"/>
  <c r="H1874" i="7"/>
  <c r="M1874" i="7"/>
  <c r="K1874" i="7"/>
  <c r="L1874" i="7"/>
  <c r="H1868" i="7"/>
  <c r="M1868" i="7"/>
  <c r="K1868" i="7"/>
  <c r="L1868" i="7"/>
  <c r="H1862" i="7"/>
  <c r="M1862" i="7"/>
  <c r="K1862" i="7"/>
  <c r="L1862" i="7"/>
  <c r="H1856" i="7"/>
  <c r="M1856" i="7"/>
  <c r="K1856" i="7"/>
  <c r="L1856" i="7"/>
  <c r="H1850" i="7"/>
  <c r="M1850" i="7"/>
  <c r="K1850" i="7"/>
  <c r="L1850" i="7"/>
  <c r="H1844" i="7"/>
  <c r="M1844" i="7"/>
  <c r="K1844" i="7"/>
  <c r="L1844" i="7"/>
  <c r="H1838" i="7"/>
  <c r="M1838" i="7"/>
  <c r="K1838" i="7"/>
  <c r="L1838" i="7"/>
  <c r="H1832" i="7"/>
  <c r="M1832" i="7"/>
  <c r="K1832" i="7"/>
  <c r="L1832" i="7"/>
  <c r="H1826" i="7"/>
  <c r="M1826" i="7"/>
  <c r="K1826" i="7"/>
  <c r="L1826" i="7"/>
  <c r="H1820" i="7"/>
  <c r="M1820" i="7"/>
  <c r="K1820" i="7"/>
  <c r="L1820" i="7"/>
  <c r="H1814" i="7"/>
  <c r="M1814" i="7"/>
  <c r="K1814" i="7"/>
  <c r="L1814" i="7"/>
  <c r="H1808" i="7"/>
  <c r="M1808" i="7"/>
  <c r="K1808" i="7"/>
  <c r="L1808" i="7"/>
  <c r="H1802" i="7"/>
  <c r="M1802" i="7"/>
  <c r="K1802" i="7"/>
  <c r="L1802" i="7"/>
  <c r="H1796" i="7"/>
  <c r="M1796" i="7"/>
  <c r="K1796" i="7"/>
  <c r="L1796" i="7"/>
  <c r="H1790" i="7"/>
  <c r="M1790" i="7"/>
  <c r="K1790" i="7"/>
  <c r="L1790" i="7"/>
  <c r="H1784" i="7"/>
  <c r="M1784" i="7"/>
  <c r="K1784" i="7"/>
  <c r="L1784" i="7"/>
  <c r="H1778" i="7"/>
  <c r="M1778" i="7"/>
  <c r="K1778" i="7"/>
  <c r="L1778" i="7"/>
  <c r="H1772" i="7"/>
  <c r="M1772" i="7"/>
  <c r="K1772" i="7"/>
  <c r="L1772" i="7"/>
  <c r="H1766" i="7"/>
  <c r="M1766" i="7"/>
  <c r="K1766" i="7"/>
  <c r="L1766" i="7"/>
  <c r="H1760" i="7"/>
  <c r="M1760" i="7"/>
  <c r="K1760" i="7"/>
  <c r="L1760" i="7"/>
  <c r="H1754" i="7"/>
  <c r="M1754" i="7"/>
  <c r="K1754" i="7"/>
  <c r="L1754" i="7"/>
  <c r="H1748" i="7"/>
  <c r="M1748" i="7"/>
  <c r="K1748" i="7"/>
  <c r="L1748" i="7"/>
  <c r="H1742" i="7"/>
  <c r="M1742" i="7"/>
  <c r="K1742" i="7"/>
  <c r="L1742" i="7"/>
  <c r="H1736" i="7"/>
  <c r="M1736" i="7"/>
  <c r="K1736" i="7"/>
  <c r="L1736" i="7"/>
  <c r="H1730" i="7"/>
  <c r="M1730" i="7"/>
  <c r="K1730" i="7"/>
  <c r="L1730" i="7"/>
  <c r="H1724" i="7"/>
  <c r="M1724" i="7"/>
  <c r="K1724" i="7"/>
  <c r="L1724" i="7"/>
  <c r="H1718" i="7"/>
  <c r="M1718" i="7"/>
  <c r="K1718" i="7"/>
  <c r="L1718" i="7"/>
  <c r="H1712" i="7"/>
  <c r="M1712" i="7"/>
  <c r="K1712" i="7"/>
  <c r="L1712" i="7"/>
  <c r="H1706" i="7"/>
  <c r="M1706" i="7"/>
  <c r="K1706" i="7"/>
  <c r="L1706" i="7"/>
  <c r="H1700" i="7"/>
  <c r="M1700" i="7"/>
  <c r="K1700" i="7"/>
  <c r="L1700" i="7"/>
  <c r="H1694" i="7"/>
  <c r="M1694" i="7"/>
  <c r="K1694" i="7"/>
  <c r="L1694" i="7"/>
  <c r="H1688" i="7"/>
  <c r="M1688" i="7"/>
  <c r="K1688" i="7"/>
  <c r="L1688" i="7"/>
  <c r="H1682" i="7"/>
  <c r="M1682" i="7"/>
  <c r="K1682" i="7"/>
  <c r="L1682" i="7"/>
  <c r="H1676" i="7"/>
  <c r="M1676" i="7"/>
  <c r="K1676" i="7"/>
  <c r="L1676" i="7"/>
  <c r="H1670" i="7"/>
  <c r="M1670" i="7"/>
  <c r="K1670" i="7"/>
  <c r="L1670" i="7"/>
  <c r="H1664" i="7"/>
  <c r="M1664" i="7"/>
  <c r="K1664" i="7"/>
  <c r="L1664" i="7"/>
  <c r="H1658" i="7"/>
  <c r="M1658" i="7"/>
  <c r="K1658" i="7"/>
  <c r="L1658" i="7"/>
  <c r="H1652" i="7"/>
  <c r="M1652" i="7"/>
  <c r="K1652" i="7"/>
  <c r="L1652" i="7"/>
  <c r="H1646" i="7"/>
  <c r="M1646" i="7"/>
  <c r="K1646" i="7"/>
  <c r="L1646" i="7"/>
  <c r="H1640" i="7"/>
  <c r="M1640" i="7"/>
  <c r="K1640" i="7"/>
  <c r="L1640" i="7"/>
  <c r="H1634" i="7"/>
  <c r="M1634" i="7"/>
  <c r="K1634" i="7"/>
  <c r="L1634" i="7"/>
  <c r="H1628" i="7"/>
  <c r="M1628" i="7"/>
  <c r="K1628" i="7"/>
  <c r="L1628" i="7"/>
  <c r="H1622" i="7"/>
  <c r="M1622" i="7"/>
  <c r="K1622" i="7"/>
  <c r="L1622" i="7"/>
  <c r="H1616" i="7"/>
  <c r="M1616" i="7"/>
  <c r="K1616" i="7"/>
  <c r="L1616" i="7"/>
  <c r="H1610" i="7"/>
  <c r="M1610" i="7"/>
  <c r="K1610" i="7"/>
  <c r="L1610" i="7"/>
  <c r="H1604" i="7"/>
  <c r="M1604" i="7"/>
  <c r="K1604" i="7"/>
  <c r="L1604" i="7"/>
  <c r="H1598" i="7"/>
  <c r="M1598" i="7"/>
  <c r="K1598" i="7"/>
  <c r="L1598" i="7"/>
  <c r="H1592" i="7"/>
  <c r="M1592" i="7"/>
  <c r="K1592" i="7"/>
  <c r="L1592" i="7"/>
  <c r="H1586" i="7"/>
  <c r="M1586" i="7"/>
  <c r="K1586" i="7"/>
  <c r="L1586" i="7"/>
  <c r="H1580" i="7"/>
  <c r="M1580" i="7"/>
  <c r="K1580" i="7"/>
  <c r="L1580" i="7"/>
  <c r="H1574" i="7"/>
  <c r="M1574" i="7"/>
  <c r="K1574" i="7"/>
  <c r="L1574" i="7"/>
  <c r="H1568" i="7"/>
  <c r="M1568" i="7"/>
  <c r="K1568" i="7"/>
  <c r="L1568" i="7"/>
  <c r="H1562" i="7"/>
  <c r="M1562" i="7"/>
  <c r="K1562" i="7"/>
  <c r="L1562" i="7"/>
  <c r="H1556" i="7"/>
  <c r="M1556" i="7"/>
  <c r="K1556" i="7"/>
  <c r="L1556" i="7"/>
  <c r="H1550" i="7"/>
  <c r="M1550" i="7"/>
  <c r="K1550" i="7"/>
  <c r="L1550" i="7"/>
  <c r="H1544" i="7"/>
  <c r="M1544" i="7"/>
  <c r="K1544" i="7"/>
  <c r="L1544" i="7"/>
  <c r="H1538" i="7"/>
  <c r="M1538" i="7"/>
  <c r="K1538" i="7"/>
  <c r="L1538" i="7"/>
  <c r="H2701" i="7"/>
  <c r="M2701" i="7"/>
  <c r="K2701" i="7"/>
  <c r="L2701" i="7"/>
  <c r="H2695" i="7"/>
  <c r="M2695" i="7"/>
  <c r="K2695" i="7"/>
  <c r="L2695" i="7"/>
  <c r="H2689" i="7"/>
  <c r="M2689" i="7"/>
  <c r="K2689" i="7"/>
  <c r="L2689" i="7"/>
  <c r="H2683" i="7"/>
  <c r="M2683" i="7"/>
  <c r="K2683" i="7"/>
  <c r="L2683" i="7"/>
  <c r="H2677" i="7"/>
  <c r="M2677" i="7"/>
  <c r="K2677" i="7"/>
  <c r="L2677" i="7"/>
  <c r="H2671" i="7"/>
  <c r="M2671" i="7"/>
  <c r="K2671" i="7"/>
  <c r="L2671" i="7"/>
  <c r="H2665" i="7"/>
  <c r="M2665" i="7"/>
  <c r="K2665" i="7"/>
  <c r="L2665" i="7"/>
  <c r="H2659" i="7"/>
  <c r="M2659" i="7"/>
  <c r="K2659" i="7"/>
  <c r="L2659" i="7"/>
  <c r="H2653" i="7"/>
  <c r="M2653" i="7"/>
  <c r="K2653" i="7"/>
  <c r="L2653" i="7"/>
  <c r="H2647" i="7"/>
  <c r="M2647" i="7"/>
  <c r="K2647" i="7"/>
  <c r="L2647" i="7"/>
  <c r="H2641" i="7"/>
  <c r="M2641" i="7"/>
  <c r="K2641" i="7"/>
  <c r="L2641" i="7"/>
  <c r="H2635" i="7"/>
  <c r="M2635" i="7"/>
  <c r="K2635" i="7"/>
  <c r="L2635" i="7"/>
  <c r="H2629" i="7"/>
  <c r="M2629" i="7"/>
  <c r="K2629" i="7"/>
  <c r="L2629" i="7"/>
  <c r="H2623" i="7"/>
  <c r="M2623" i="7"/>
  <c r="K2623" i="7"/>
  <c r="L2623" i="7"/>
  <c r="H2617" i="7"/>
  <c r="M2617" i="7"/>
  <c r="K2617" i="7"/>
  <c r="L2617" i="7"/>
  <c r="H2611" i="7"/>
  <c r="M2611" i="7"/>
  <c r="K2611" i="7"/>
  <c r="L2611" i="7"/>
  <c r="H2605" i="7"/>
  <c r="M2605" i="7"/>
  <c r="K2605" i="7"/>
  <c r="L2605" i="7"/>
  <c r="H2599" i="7"/>
  <c r="M2599" i="7"/>
  <c r="K2599" i="7"/>
  <c r="L2599" i="7"/>
  <c r="H2593" i="7"/>
  <c r="M2593" i="7"/>
  <c r="K2593" i="7"/>
  <c r="L2593" i="7"/>
  <c r="H2587" i="7"/>
  <c r="M2587" i="7"/>
  <c r="K2587" i="7"/>
  <c r="L2587" i="7"/>
  <c r="H2581" i="7"/>
  <c r="M2581" i="7"/>
  <c r="K2581" i="7"/>
  <c r="L2581" i="7"/>
  <c r="H2575" i="7"/>
  <c r="M2575" i="7"/>
  <c r="K2575" i="7"/>
  <c r="L2575" i="7"/>
  <c r="H2569" i="7"/>
  <c r="M2569" i="7"/>
  <c r="K2569" i="7"/>
  <c r="L2569" i="7"/>
  <c r="H2563" i="7"/>
  <c r="M2563" i="7"/>
  <c r="K2563" i="7"/>
  <c r="L2563" i="7"/>
  <c r="H2557" i="7"/>
  <c r="M2557" i="7"/>
  <c r="K2557" i="7"/>
  <c r="L2557" i="7"/>
  <c r="H2551" i="7"/>
  <c r="M2551" i="7"/>
  <c r="K2551" i="7"/>
  <c r="L2551" i="7"/>
  <c r="H2545" i="7"/>
  <c r="M2545" i="7"/>
  <c r="K2545" i="7"/>
  <c r="L2545" i="7"/>
  <c r="H2539" i="7"/>
  <c r="M2539" i="7"/>
  <c r="K2539" i="7"/>
  <c r="L2539" i="7"/>
  <c r="H2533" i="7"/>
  <c r="M2533" i="7"/>
  <c r="K2533" i="7"/>
  <c r="L2533" i="7"/>
  <c r="H2527" i="7"/>
  <c r="M2527" i="7"/>
  <c r="K2527" i="7"/>
  <c r="L2527" i="7"/>
  <c r="H2521" i="7"/>
  <c r="M2521" i="7"/>
  <c r="K2521" i="7"/>
  <c r="L2521" i="7"/>
  <c r="H2515" i="7"/>
  <c r="M2515" i="7"/>
  <c r="K2515" i="7"/>
  <c r="L2515" i="7"/>
  <c r="H2509" i="7"/>
  <c r="M2509" i="7"/>
  <c r="K2509" i="7"/>
  <c r="L2509" i="7"/>
  <c r="H2503" i="7"/>
  <c r="M2503" i="7"/>
  <c r="K2503" i="7"/>
  <c r="L2503" i="7"/>
  <c r="H2497" i="7"/>
  <c r="M2497" i="7"/>
  <c r="K2497" i="7"/>
  <c r="L2497" i="7"/>
  <c r="H2491" i="7"/>
  <c r="M2491" i="7"/>
  <c r="K2491" i="7"/>
  <c r="L2491" i="7"/>
  <c r="H2485" i="7"/>
  <c r="M2485" i="7"/>
  <c r="K2485" i="7"/>
  <c r="L2485" i="7"/>
  <c r="H2479" i="7"/>
  <c r="M2479" i="7"/>
  <c r="K2479" i="7"/>
  <c r="L2479" i="7"/>
  <c r="H2473" i="7"/>
  <c r="M2473" i="7"/>
  <c r="K2473" i="7"/>
  <c r="L2473" i="7"/>
  <c r="H2467" i="7"/>
  <c r="M2467" i="7"/>
  <c r="K2467" i="7"/>
  <c r="L2467" i="7"/>
  <c r="H2461" i="7"/>
  <c r="M2461" i="7"/>
  <c r="K2461" i="7"/>
  <c r="L2461" i="7"/>
  <c r="H2455" i="7"/>
  <c r="M2455" i="7"/>
  <c r="K2455" i="7"/>
  <c r="L2455" i="7"/>
  <c r="H2449" i="7"/>
  <c r="M2449" i="7"/>
  <c r="K2449" i="7"/>
  <c r="L2449" i="7"/>
  <c r="H2443" i="7"/>
  <c r="M2443" i="7"/>
  <c r="K2443" i="7"/>
  <c r="L2443" i="7"/>
  <c r="H2437" i="7"/>
  <c r="M2437" i="7"/>
  <c r="K2437" i="7"/>
  <c r="L2437" i="7"/>
  <c r="H2431" i="7"/>
  <c r="M2431" i="7"/>
  <c r="K2431" i="7"/>
  <c r="L2431" i="7"/>
  <c r="H2425" i="7"/>
  <c r="M2425" i="7"/>
  <c r="K2425" i="7"/>
  <c r="L2425" i="7"/>
  <c r="H2419" i="7"/>
  <c r="M2419" i="7"/>
  <c r="K2419" i="7"/>
  <c r="L2419" i="7"/>
  <c r="H2413" i="7"/>
  <c r="M2413" i="7"/>
  <c r="K2413" i="7"/>
  <c r="L2413" i="7"/>
  <c r="H2407" i="7"/>
  <c r="M2407" i="7"/>
  <c r="K2407" i="7"/>
  <c r="L2407" i="7"/>
  <c r="H2401" i="7"/>
  <c r="M2401" i="7"/>
  <c r="K2401" i="7"/>
  <c r="L2401" i="7"/>
  <c r="H2395" i="7"/>
  <c r="M2395" i="7"/>
  <c r="K2395" i="7"/>
  <c r="L2395" i="7"/>
  <c r="H2389" i="7"/>
  <c r="M2389" i="7"/>
  <c r="K2389" i="7"/>
  <c r="L2389" i="7"/>
  <c r="H2383" i="7"/>
  <c r="M2383" i="7"/>
  <c r="K2383" i="7"/>
  <c r="L2383" i="7"/>
  <c r="H2377" i="7"/>
  <c r="M2377" i="7"/>
  <c r="K2377" i="7"/>
  <c r="L2377" i="7"/>
  <c r="H2371" i="7"/>
  <c r="M2371" i="7"/>
  <c r="K2371" i="7"/>
  <c r="L2371" i="7"/>
  <c r="H2365" i="7"/>
  <c r="M2365" i="7"/>
  <c r="K2365" i="7"/>
  <c r="L2365" i="7"/>
  <c r="H2359" i="7"/>
  <c r="M2359" i="7"/>
  <c r="K2359" i="7"/>
  <c r="L2359" i="7"/>
  <c r="H2353" i="7"/>
  <c r="M2353" i="7"/>
  <c r="K2353" i="7"/>
  <c r="L2353" i="7"/>
  <c r="H2347" i="7"/>
  <c r="M2347" i="7"/>
  <c r="K2347" i="7"/>
  <c r="L2347" i="7"/>
  <c r="H2341" i="7"/>
  <c r="M2341" i="7"/>
  <c r="K2341" i="7"/>
  <c r="L2341" i="7"/>
  <c r="H2335" i="7"/>
  <c r="M2335" i="7"/>
  <c r="K2335" i="7"/>
  <c r="L2335" i="7"/>
  <c r="H2329" i="7"/>
  <c r="M2329" i="7"/>
  <c r="K2329" i="7"/>
  <c r="L2329" i="7"/>
  <c r="H2323" i="7"/>
  <c r="M2323" i="7"/>
  <c r="K2323" i="7"/>
  <c r="L2323" i="7"/>
  <c r="H2317" i="7"/>
  <c r="M2317" i="7"/>
  <c r="K2317" i="7"/>
  <c r="L2317" i="7"/>
  <c r="H2311" i="7"/>
  <c r="M2311" i="7"/>
  <c r="K2311" i="7"/>
  <c r="L2311" i="7"/>
  <c r="H2305" i="7"/>
  <c r="M2305" i="7"/>
  <c r="K2305" i="7"/>
  <c r="L2305" i="7"/>
  <c r="H2299" i="7"/>
  <c r="M2299" i="7"/>
  <c r="K2299" i="7"/>
  <c r="L2299" i="7"/>
  <c r="H2293" i="7"/>
  <c r="M2293" i="7"/>
  <c r="K2293" i="7"/>
  <c r="L2293" i="7"/>
  <c r="H2287" i="7"/>
  <c r="M2287" i="7"/>
  <c r="L2287" i="7"/>
  <c r="K2287" i="7"/>
  <c r="H2281" i="7"/>
  <c r="M2281" i="7"/>
  <c r="K2281" i="7"/>
  <c r="L2281" i="7"/>
  <c r="H2275" i="7"/>
  <c r="M2275" i="7"/>
  <c r="K2275" i="7"/>
  <c r="L2275" i="7"/>
  <c r="H2269" i="7"/>
  <c r="M2269" i="7"/>
  <c r="K2269" i="7"/>
  <c r="L2269" i="7"/>
  <c r="H2263" i="7"/>
  <c r="M2263" i="7"/>
  <c r="K2263" i="7"/>
  <c r="L2263" i="7"/>
  <c r="H2257" i="7"/>
  <c r="M2257" i="7"/>
  <c r="K2257" i="7"/>
  <c r="L2257" i="7"/>
  <c r="H2251" i="7"/>
  <c r="M2251" i="7"/>
  <c r="L2251" i="7"/>
  <c r="K2251" i="7"/>
  <c r="H2245" i="7"/>
  <c r="M2245" i="7"/>
  <c r="K2245" i="7"/>
  <c r="L2245" i="7"/>
  <c r="H2239" i="7"/>
  <c r="M2239" i="7"/>
  <c r="K2239" i="7"/>
  <c r="L2239" i="7"/>
  <c r="H2233" i="7"/>
  <c r="M2233" i="7"/>
  <c r="K2233" i="7"/>
  <c r="L2233" i="7"/>
  <c r="H2227" i="7"/>
  <c r="M2227" i="7"/>
  <c r="K2227" i="7"/>
  <c r="L2227" i="7"/>
  <c r="H2221" i="7"/>
  <c r="M2221" i="7"/>
  <c r="K2221" i="7"/>
  <c r="L2221" i="7"/>
  <c r="H2215" i="7"/>
  <c r="M2215" i="7"/>
  <c r="L2215" i="7"/>
  <c r="K2215" i="7"/>
  <c r="H2209" i="7"/>
  <c r="M2209" i="7"/>
  <c r="K2209" i="7"/>
  <c r="L2209" i="7"/>
  <c r="H2203" i="7"/>
  <c r="M2203" i="7"/>
  <c r="K2203" i="7"/>
  <c r="L2203" i="7"/>
  <c r="H2197" i="7"/>
  <c r="M2197" i="7"/>
  <c r="K2197" i="7"/>
  <c r="L2197" i="7"/>
  <c r="H2191" i="7"/>
  <c r="M2191" i="7"/>
  <c r="K2191" i="7"/>
  <c r="L2191" i="7"/>
  <c r="H2185" i="7"/>
  <c r="M2185" i="7"/>
  <c r="K2185" i="7"/>
  <c r="L2185" i="7"/>
  <c r="H2179" i="7"/>
  <c r="M2179" i="7"/>
  <c r="L2179" i="7"/>
  <c r="K2179" i="7"/>
  <c r="H2173" i="7"/>
  <c r="M2173" i="7"/>
  <c r="K2173" i="7"/>
  <c r="L2173" i="7"/>
  <c r="H2167" i="7"/>
  <c r="M2167" i="7"/>
  <c r="K2167" i="7"/>
  <c r="L2167" i="7"/>
  <c r="H2161" i="7"/>
  <c r="M2161" i="7"/>
  <c r="K2161" i="7"/>
  <c r="L2161" i="7"/>
  <c r="H2155" i="7"/>
  <c r="M2155" i="7"/>
  <c r="K2155" i="7"/>
  <c r="L2155" i="7"/>
  <c r="H2149" i="7"/>
  <c r="M2149" i="7"/>
  <c r="K2149" i="7"/>
  <c r="L2149" i="7"/>
  <c r="H2143" i="7"/>
  <c r="M2143" i="7"/>
  <c r="K2143" i="7"/>
  <c r="L2143" i="7"/>
  <c r="H2137" i="7"/>
  <c r="M2137" i="7"/>
  <c r="K2137" i="7"/>
  <c r="L2137" i="7"/>
  <c r="H2131" i="7"/>
  <c r="M2131" i="7"/>
  <c r="K2131" i="7"/>
  <c r="L2131" i="7"/>
  <c r="H2125" i="7"/>
  <c r="M2125" i="7"/>
  <c r="K2125" i="7"/>
  <c r="L2125" i="7"/>
  <c r="H2119" i="7"/>
  <c r="M2119" i="7"/>
  <c r="K2119" i="7"/>
  <c r="L2119" i="7"/>
  <c r="H2113" i="7"/>
  <c r="M2113" i="7"/>
  <c r="K2113" i="7"/>
  <c r="L2113" i="7"/>
  <c r="H2107" i="7"/>
  <c r="M2107" i="7"/>
  <c r="L2107" i="7"/>
  <c r="K2107" i="7"/>
  <c r="H2101" i="7"/>
  <c r="M2101" i="7"/>
  <c r="K2101" i="7"/>
  <c r="L2101" i="7"/>
  <c r="H2095" i="7"/>
  <c r="M2095" i="7"/>
  <c r="K2095" i="7"/>
  <c r="L2095" i="7"/>
  <c r="H2089" i="7"/>
  <c r="M2089" i="7"/>
  <c r="K2089" i="7"/>
  <c r="L2089" i="7"/>
  <c r="H2083" i="7"/>
  <c r="M2083" i="7"/>
  <c r="K2083" i="7"/>
  <c r="L2083" i="7"/>
  <c r="H2077" i="7"/>
  <c r="M2077" i="7"/>
  <c r="K2077" i="7"/>
  <c r="L2077" i="7"/>
  <c r="H2071" i="7"/>
  <c r="M2071" i="7"/>
  <c r="L2071" i="7"/>
  <c r="K2071" i="7"/>
  <c r="H2065" i="7"/>
  <c r="M2065" i="7"/>
  <c r="K2065" i="7"/>
  <c r="L2065" i="7"/>
  <c r="H2059" i="7"/>
  <c r="M2059" i="7"/>
  <c r="K2059" i="7"/>
  <c r="L2059" i="7"/>
  <c r="H2053" i="7"/>
  <c r="M2053" i="7"/>
  <c r="K2053" i="7"/>
  <c r="L2053" i="7"/>
  <c r="H2047" i="7"/>
  <c r="M2047" i="7"/>
  <c r="K2047" i="7"/>
  <c r="L2047" i="7"/>
  <c r="H2041" i="7"/>
  <c r="M2041" i="7"/>
  <c r="K2041" i="7"/>
  <c r="L2041" i="7"/>
  <c r="H2035" i="7"/>
  <c r="M2035" i="7"/>
  <c r="L2035" i="7"/>
  <c r="K2035" i="7"/>
  <c r="H2029" i="7"/>
  <c r="M2029" i="7"/>
  <c r="K2029" i="7"/>
  <c r="L2029" i="7"/>
  <c r="H2023" i="7"/>
  <c r="M2023" i="7"/>
  <c r="K2023" i="7"/>
  <c r="L2023" i="7"/>
  <c r="H2017" i="7"/>
  <c r="M2017" i="7"/>
  <c r="K2017" i="7"/>
  <c r="L2017" i="7"/>
  <c r="H2011" i="7"/>
  <c r="M2011" i="7"/>
  <c r="K2011" i="7"/>
  <c r="L2011" i="7"/>
  <c r="H2005" i="7"/>
  <c r="M2005" i="7"/>
  <c r="K2005" i="7"/>
  <c r="L2005" i="7"/>
  <c r="H1999" i="7"/>
  <c r="M1999" i="7"/>
  <c r="L1999" i="7"/>
  <c r="K1999" i="7"/>
  <c r="H1993" i="7"/>
  <c r="M1993" i="7"/>
  <c r="K1993" i="7"/>
  <c r="L1993" i="7"/>
  <c r="H1987" i="7"/>
  <c r="M1987" i="7"/>
  <c r="K1987" i="7"/>
  <c r="L1987" i="7"/>
  <c r="H1981" i="7"/>
  <c r="M1981" i="7"/>
  <c r="K1981" i="7"/>
  <c r="L1981" i="7"/>
  <c r="H1975" i="7"/>
  <c r="M1975" i="7"/>
  <c r="K1975" i="7"/>
  <c r="L1975" i="7"/>
  <c r="H1969" i="7"/>
  <c r="M1969" i="7"/>
  <c r="K1969" i="7"/>
  <c r="L1969" i="7"/>
  <c r="H1963" i="7"/>
  <c r="M1963" i="7"/>
  <c r="L1963" i="7"/>
  <c r="K1963" i="7"/>
  <c r="H1957" i="7"/>
  <c r="M1957" i="7"/>
  <c r="K1957" i="7"/>
  <c r="L1957" i="7"/>
  <c r="H1951" i="7"/>
  <c r="M1951" i="7"/>
  <c r="K1951" i="7"/>
  <c r="L1951" i="7"/>
  <c r="H1945" i="7"/>
  <c r="M1945" i="7"/>
  <c r="K1945" i="7"/>
  <c r="L1945" i="7"/>
  <c r="H1939" i="7"/>
  <c r="M1939" i="7"/>
  <c r="K1939" i="7"/>
  <c r="L1939" i="7"/>
  <c r="H1933" i="7"/>
  <c r="M1933" i="7"/>
  <c r="K1933" i="7"/>
  <c r="L1933" i="7"/>
  <c r="H1927" i="7"/>
  <c r="M1927" i="7"/>
  <c r="K1927" i="7"/>
  <c r="L1927" i="7"/>
  <c r="H1921" i="7"/>
  <c r="M1921" i="7"/>
  <c r="K1921" i="7"/>
  <c r="L1921" i="7"/>
  <c r="H1915" i="7"/>
  <c r="M1915" i="7"/>
  <c r="K1915" i="7"/>
  <c r="L1915" i="7"/>
  <c r="H1909" i="7"/>
  <c r="M1909" i="7"/>
  <c r="K1909" i="7"/>
  <c r="L1909" i="7"/>
  <c r="H1903" i="7"/>
  <c r="M1903" i="7"/>
  <c r="K1903" i="7"/>
  <c r="L1903" i="7"/>
  <c r="H1897" i="7"/>
  <c r="M1897" i="7"/>
  <c r="K1897" i="7"/>
  <c r="L1897" i="7"/>
  <c r="H1891" i="7"/>
  <c r="M1891" i="7"/>
  <c r="L1891" i="7"/>
  <c r="K1891" i="7"/>
  <c r="H1885" i="7"/>
  <c r="M1885" i="7"/>
  <c r="K1885" i="7"/>
  <c r="L1885" i="7"/>
  <c r="H1879" i="7"/>
  <c r="M1879" i="7"/>
  <c r="K1879" i="7"/>
  <c r="L1879" i="7"/>
  <c r="H1873" i="7"/>
  <c r="M1873" i="7"/>
  <c r="K1873" i="7"/>
  <c r="L1873" i="7"/>
  <c r="H1867" i="7"/>
  <c r="M1867" i="7"/>
  <c r="K1867" i="7"/>
  <c r="L1867" i="7"/>
  <c r="H1861" i="7"/>
  <c r="M1861" i="7"/>
  <c r="K1861" i="7"/>
  <c r="L1861" i="7"/>
  <c r="H1855" i="7"/>
  <c r="M1855" i="7"/>
  <c r="L1855" i="7"/>
  <c r="K1855" i="7"/>
  <c r="H1849" i="7"/>
  <c r="M1849" i="7"/>
  <c r="K1849" i="7"/>
  <c r="L1849" i="7"/>
  <c r="H1843" i="7"/>
  <c r="M1843" i="7"/>
  <c r="K1843" i="7"/>
  <c r="L1843" i="7"/>
  <c r="H1837" i="7"/>
  <c r="M1837" i="7"/>
  <c r="K1837" i="7"/>
  <c r="L1837" i="7"/>
  <c r="H1831" i="7"/>
  <c r="M1831" i="7"/>
  <c r="K1831" i="7"/>
  <c r="L1831" i="7"/>
  <c r="H1825" i="7"/>
  <c r="M1825" i="7"/>
  <c r="K1825" i="7"/>
  <c r="L1825" i="7"/>
  <c r="H1819" i="7"/>
  <c r="M1819" i="7"/>
  <c r="L1819" i="7"/>
  <c r="K1819" i="7"/>
  <c r="H1813" i="7"/>
  <c r="M1813" i="7"/>
  <c r="K1813" i="7"/>
  <c r="L1813" i="7"/>
  <c r="H1807" i="7"/>
  <c r="M1807" i="7"/>
  <c r="K1807" i="7"/>
  <c r="L1807" i="7"/>
  <c r="H1801" i="7"/>
  <c r="M1801" i="7"/>
  <c r="K1801" i="7"/>
  <c r="L1801" i="7"/>
  <c r="H1795" i="7"/>
  <c r="M1795" i="7"/>
  <c r="K1795" i="7"/>
  <c r="L1795" i="7"/>
  <c r="H1789" i="7"/>
  <c r="M1789" i="7"/>
  <c r="K1789" i="7"/>
  <c r="L1789" i="7"/>
  <c r="H1783" i="7"/>
  <c r="M1783" i="7"/>
  <c r="L1783" i="7"/>
  <c r="K1783" i="7"/>
  <c r="H1777" i="7"/>
  <c r="M1777" i="7"/>
  <c r="K1777" i="7"/>
  <c r="L1777" i="7"/>
  <c r="H1771" i="7"/>
  <c r="M1771" i="7"/>
  <c r="K1771" i="7"/>
  <c r="L1771" i="7"/>
  <c r="H1765" i="7"/>
  <c r="M1765" i="7"/>
  <c r="K1765" i="7"/>
  <c r="L1765" i="7"/>
  <c r="H1759" i="7"/>
  <c r="M1759" i="7"/>
  <c r="K1759" i="7"/>
  <c r="L1759" i="7"/>
  <c r="H1753" i="7"/>
  <c r="M1753" i="7"/>
  <c r="K1753" i="7"/>
  <c r="L1753" i="7"/>
  <c r="H1747" i="7"/>
  <c r="M1747" i="7"/>
  <c r="L1747" i="7"/>
  <c r="K1747" i="7"/>
  <c r="H1741" i="7"/>
  <c r="M1741" i="7"/>
  <c r="K1741" i="7"/>
  <c r="L1741" i="7"/>
  <c r="H1735" i="7"/>
  <c r="M1735" i="7"/>
  <c r="K1735" i="7"/>
  <c r="L1735" i="7"/>
  <c r="H1729" i="7"/>
  <c r="M1729" i="7"/>
  <c r="K1729" i="7"/>
  <c r="L1729" i="7"/>
  <c r="H1723" i="7"/>
  <c r="M1723" i="7"/>
  <c r="K1723" i="7"/>
  <c r="L1723" i="7"/>
  <c r="H1717" i="7"/>
  <c r="M1717" i="7"/>
  <c r="K1717" i="7"/>
  <c r="L1717" i="7"/>
  <c r="H1711" i="7"/>
  <c r="M1711" i="7"/>
  <c r="K1711" i="7"/>
  <c r="L1711" i="7"/>
  <c r="H1705" i="7"/>
  <c r="M1705" i="7"/>
  <c r="K1705" i="7"/>
  <c r="L1705" i="7"/>
  <c r="H1699" i="7"/>
  <c r="M1699" i="7"/>
  <c r="K1699" i="7"/>
  <c r="L1699" i="7"/>
  <c r="H1693" i="7"/>
  <c r="M1693" i="7"/>
  <c r="K1693" i="7"/>
  <c r="L1693" i="7"/>
  <c r="H1687" i="7"/>
  <c r="M1687" i="7"/>
  <c r="K1687" i="7"/>
  <c r="L1687" i="7"/>
  <c r="H1681" i="7"/>
  <c r="M1681" i="7"/>
  <c r="K1681" i="7"/>
  <c r="L1681" i="7"/>
  <c r="H1675" i="7"/>
  <c r="M1675" i="7"/>
  <c r="K1675" i="7"/>
  <c r="L1675" i="7"/>
  <c r="H1669" i="7"/>
  <c r="M1669" i="7"/>
  <c r="K1669" i="7"/>
  <c r="L1669" i="7"/>
  <c r="H1663" i="7"/>
  <c r="M1663" i="7"/>
  <c r="K1663" i="7"/>
  <c r="L1663" i="7"/>
  <c r="H1657" i="7"/>
  <c r="M1657" i="7"/>
  <c r="K1657" i="7"/>
  <c r="L1657" i="7"/>
  <c r="H1651" i="7"/>
  <c r="M1651" i="7"/>
  <c r="K1651" i="7"/>
  <c r="L1651" i="7"/>
  <c r="H1645" i="7"/>
  <c r="M1645" i="7"/>
  <c r="K1645" i="7"/>
  <c r="L1645" i="7"/>
  <c r="H1639" i="7"/>
  <c r="M1639" i="7"/>
  <c r="K1639" i="7"/>
  <c r="L1639" i="7"/>
  <c r="H1633" i="7"/>
  <c r="M1633" i="7"/>
  <c r="K1633" i="7"/>
  <c r="L1633" i="7"/>
  <c r="H1627" i="7"/>
  <c r="M1627" i="7"/>
  <c r="K1627" i="7"/>
  <c r="L1627" i="7"/>
  <c r="H1621" i="7"/>
  <c r="M1621" i="7"/>
  <c r="K1621" i="7"/>
  <c r="L1621" i="7"/>
  <c r="H1615" i="7"/>
  <c r="M1615" i="7"/>
  <c r="K1615" i="7"/>
  <c r="L1615" i="7"/>
  <c r="H1609" i="7"/>
  <c r="M1609" i="7"/>
  <c r="K1609" i="7"/>
  <c r="L1609" i="7"/>
  <c r="H1603" i="7"/>
  <c r="M1603" i="7"/>
  <c r="K1603" i="7"/>
  <c r="L1603" i="7"/>
  <c r="H1597" i="7"/>
  <c r="M1597" i="7"/>
  <c r="K1597" i="7"/>
  <c r="L1597" i="7"/>
  <c r="H1591" i="7"/>
  <c r="M1591" i="7"/>
  <c r="K1591" i="7"/>
  <c r="L1591" i="7"/>
  <c r="H1585" i="7"/>
  <c r="M1585" i="7"/>
  <c r="K1585" i="7"/>
  <c r="L1585" i="7"/>
  <c r="H1579" i="7"/>
  <c r="M1579" i="7"/>
  <c r="K1579" i="7"/>
  <c r="L1579" i="7"/>
  <c r="H1573" i="7"/>
  <c r="M1573" i="7"/>
  <c r="K1573" i="7"/>
  <c r="L1573" i="7"/>
  <c r="H1567" i="7"/>
  <c r="M1567" i="7"/>
  <c r="K1567" i="7"/>
  <c r="L1567" i="7"/>
  <c r="H1561" i="7"/>
  <c r="M1561" i="7"/>
  <c r="K1561" i="7"/>
  <c r="L1561" i="7"/>
  <c r="H1555" i="7"/>
  <c r="M1555" i="7"/>
  <c r="K1555" i="7"/>
  <c r="L1555" i="7"/>
  <c r="H1549" i="7"/>
  <c r="M1549" i="7"/>
  <c r="K1549" i="7"/>
  <c r="L1549" i="7"/>
  <c r="H1543" i="7"/>
  <c r="M1543" i="7"/>
  <c r="K1543" i="7"/>
  <c r="L1543" i="7"/>
  <c r="H1537" i="7"/>
  <c r="M1537" i="7"/>
  <c r="K1537" i="7"/>
  <c r="L1537" i="7"/>
  <c r="H1531" i="7"/>
  <c r="M1531" i="7"/>
  <c r="K1531" i="7"/>
  <c r="L1531" i="7"/>
  <c r="H2706" i="7"/>
  <c r="M2706" i="7"/>
  <c r="K2706" i="7"/>
  <c r="L2706" i="7"/>
  <c r="H2700" i="7"/>
  <c r="M2700" i="7"/>
  <c r="K2700" i="7"/>
  <c r="L2700" i="7"/>
  <c r="H2694" i="7"/>
  <c r="M2694" i="7"/>
  <c r="K2694" i="7"/>
  <c r="L2694" i="7"/>
  <c r="H2688" i="7"/>
  <c r="M2688" i="7"/>
  <c r="K2688" i="7"/>
  <c r="L2688" i="7"/>
  <c r="H2682" i="7"/>
  <c r="M2682" i="7"/>
  <c r="K2682" i="7"/>
  <c r="L2682" i="7"/>
  <c r="H2676" i="7"/>
  <c r="M2676" i="7"/>
  <c r="K2676" i="7"/>
  <c r="L2676" i="7"/>
  <c r="H2670" i="7"/>
  <c r="M2670" i="7"/>
  <c r="K2670" i="7"/>
  <c r="L2670" i="7"/>
  <c r="H2664" i="7"/>
  <c r="M2664" i="7"/>
  <c r="K2664" i="7"/>
  <c r="L2664" i="7"/>
  <c r="H2658" i="7"/>
  <c r="M2658" i="7"/>
  <c r="K2658" i="7"/>
  <c r="L2658" i="7"/>
  <c r="H2652" i="7"/>
  <c r="M2652" i="7"/>
  <c r="K2652" i="7"/>
  <c r="L2652" i="7"/>
  <c r="H2646" i="7"/>
  <c r="M2646" i="7"/>
  <c r="K2646" i="7"/>
  <c r="L2646" i="7"/>
  <c r="H2640" i="7"/>
  <c r="M2640" i="7"/>
  <c r="K2640" i="7"/>
  <c r="L2640" i="7"/>
  <c r="H2634" i="7"/>
  <c r="M2634" i="7"/>
  <c r="K2634" i="7"/>
  <c r="L2634" i="7"/>
  <c r="H2628" i="7"/>
  <c r="M2628" i="7"/>
  <c r="K2628" i="7"/>
  <c r="L2628" i="7"/>
  <c r="H2622" i="7"/>
  <c r="M2622" i="7"/>
  <c r="K2622" i="7"/>
  <c r="L2622" i="7"/>
  <c r="H2616" i="7"/>
  <c r="M2616" i="7"/>
  <c r="K2616" i="7"/>
  <c r="L2616" i="7"/>
  <c r="H2610" i="7"/>
  <c r="M2610" i="7"/>
  <c r="K2610" i="7"/>
  <c r="L2610" i="7"/>
  <c r="H2604" i="7"/>
  <c r="M2604" i="7"/>
  <c r="K2604" i="7"/>
  <c r="L2604" i="7"/>
  <c r="H2598" i="7"/>
  <c r="M2598" i="7"/>
  <c r="K2598" i="7"/>
  <c r="L2598" i="7"/>
  <c r="H2592" i="7"/>
  <c r="M2592" i="7"/>
  <c r="K2592" i="7"/>
  <c r="L2592" i="7"/>
  <c r="H2586" i="7"/>
  <c r="M2586" i="7"/>
  <c r="K2586" i="7"/>
  <c r="L2586" i="7"/>
  <c r="H2580" i="7"/>
  <c r="M2580" i="7"/>
  <c r="K2580" i="7"/>
  <c r="L2580" i="7"/>
  <c r="H2574" i="7"/>
  <c r="M2574" i="7"/>
  <c r="K2574" i="7"/>
  <c r="L2574" i="7"/>
  <c r="H2568" i="7"/>
  <c r="M2568" i="7"/>
  <c r="K2568" i="7"/>
  <c r="L2568" i="7"/>
  <c r="H2562" i="7"/>
  <c r="M2562" i="7"/>
  <c r="K2562" i="7"/>
  <c r="L2562" i="7"/>
  <c r="H2556" i="7"/>
  <c r="M2556" i="7"/>
  <c r="K2556" i="7"/>
  <c r="L2556" i="7"/>
  <c r="H2550" i="7"/>
  <c r="M2550" i="7"/>
  <c r="K2550" i="7"/>
  <c r="L2550" i="7"/>
  <c r="H2544" i="7"/>
  <c r="M2544" i="7"/>
  <c r="K2544" i="7"/>
  <c r="L2544" i="7"/>
  <c r="H2538" i="7"/>
  <c r="M2538" i="7"/>
  <c r="K2538" i="7"/>
  <c r="L2538" i="7"/>
  <c r="H2532" i="7"/>
  <c r="M2532" i="7"/>
  <c r="K2532" i="7"/>
  <c r="L2532" i="7"/>
  <c r="H2526" i="7"/>
  <c r="M2526" i="7"/>
  <c r="K2526" i="7"/>
  <c r="L2526" i="7"/>
  <c r="H2520" i="7"/>
  <c r="M2520" i="7"/>
  <c r="K2520" i="7"/>
  <c r="L2520" i="7"/>
  <c r="H2514" i="7"/>
  <c r="M2514" i="7"/>
  <c r="K2514" i="7"/>
  <c r="L2514" i="7"/>
  <c r="H2508" i="7"/>
  <c r="M2508" i="7"/>
  <c r="K2508" i="7"/>
  <c r="L2508" i="7"/>
  <c r="H2502" i="7"/>
  <c r="M2502" i="7"/>
  <c r="K2502" i="7"/>
  <c r="L2502" i="7"/>
  <c r="H2496" i="7"/>
  <c r="M2496" i="7"/>
  <c r="K2496" i="7"/>
  <c r="L2496" i="7"/>
  <c r="H2490" i="7"/>
  <c r="M2490" i="7"/>
  <c r="K2490" i="7"/>
  <c r="L2490" i="7"/>
  <c r="H2484" i="7"/>
  <c r="M2484" i="7"/>
  <c r="K2484" i="7"/>
  <c r="L2484" i="7"/>
  <c r="H2478" i="7"/>
  <c r="M2478" i="7"/>
  <c r="K2478" i="7"/>
  <c r="L2478" i="7"/>
  <c r="H2472" i="7"/>
  <c r="M2472" i="7"/>
  <c r="K2472" i="7"/>
  <c r="L2472" i="7"/>
  <c r="H2466" i="7"/>
  <c r="M2466" i="7"/>
  <c r="K2466" i="7"/>
  <c r="L2466" i="7"/>
  <c r="H2460" i="7"/>
  <c r="M2460" i="7"/>
  <c r="K2460" i="7"/>
  <c r="L2460" i="7"/>
  <c r="H2454" i="7"/>
  <c r="M2454" i="7"/>
  <c r="K2454" i="7"/>
  <c r="L2454" i="7"/>
  <c r="H2448" i="7"/>
  <c r="M2448" i="7"/>
  <c r="K2448" i="7"/>
  <c r="L2448" i="7"/>
  <c r="H2442" i="7"/>
  <c r="M2442" i="7"/>
  <c r="K2442" i="7"/>
  <c r="L2442" i="7"/>
  <c r="H2436" i="7"/>
  <c r="M2436" i="7"/>
  <c r="K2436" i="7"/>
  <c r="L2436" i="7"/>
  <c r="H2430" i="7"/>
  <c r="M2430" i="7"/>
  <c r="K2430" i="7"/>
  <c r="L2430" i="7"/>
  <c r="H2424" i="7"/>
  <c r="M2424" i="7"/>
  <c r="K2424" i="7"/>
  <c r="L2424" i="7"/>
  <c r="H2418" i="7"/>
  <c r="M2418" i="7"/>
  <c r="K2418" i="7"/>
  <c r="L2418" i="7"/>
  <c r="H2412" i="7"/>
  <c r="M2412" i="7"/>
  <c r="L2412" i="7"/>
  <c r="K2412" i="7"/>
  <c r="H2406" i="7"/>
  <c r="M2406" i="7"/>
  <c r="K2406" i="7"/>
  <c r="L2406" i="7"/>
  <c r="H2400" i="7"/>
  <c r="M2400" i="7"/>
  <c r="K2400" i="7"/>
  <c r="L2400" i="7"/>
  <c r="H2394" i="7"/>
  <c r="M2394" i="7"/>
  <c r="L2394" i="7"/>
  <c r="K2394" i="7"/>
  <c r="H2388" i="7"/>
  <c r="M2388" i="7"/>
  <c r="K2388" i="7"/>
  <c r="L2388" i="7"/>
  <c r="H2382" i="7"/>
  <c r="M2382" i="7"/>
  <c r="K2382" i="7"/>
  <c r="L2382" i="7"/>
  <c r="H2376" i="7"/>
  <c r="M2376" i="7"/>
  <c r="K2376" i="7"/>
  <c r="L2376" i="7"/>
  <c r="H2370" i="7"/>
  <c r="M2370" i="7"/>
  <c r="K2370" i="7"/>
  <c r="L2370" i="7"/>
  <c r="H2364" i="7"/>
  <c r="M2364" i="7"/>
  <c r="K2364" i="7"/>
  <c r="L2364" i="7"/>
  <c r="H2358" i="7"/>
  <c r="M2358" i="7"/>
  <c r="K2358" i="7"/>
  <c r="L2358" i="7"/>
  <c r="H2352" i="7"/>
  <c r="M2352" i="7"/>
  <c r="K2352" i="7"/>
  <c r="L2352" i="7"/>
  <c r="H2346" i="7"/>
  <c r="M2346" i="7"/>
  <c r="K2346" i="7"/>
  <c r="L2346" i="7"/>
  <c r="H2340" i="7"/>
  <c r="M2340" i="7"/>
  <c r="K2340" i="7"/>
  <c r="L2340" i="7"/>
  <c r="H2334" i="7"/>
  <c r="M2334" i="7"/>
  <c r="K2334" i="7"/>
  <c r="L2334" i="7"/>
  <c r="H2328" i="7"/>
  <c r="M2328" i="7"/>
  <c r="K2328" i="7"/>
  <c r="L2328" i="7"/>
  <c r="H2322" i="7"/>
  <c r="M2322" i="7"/>
  <c r="K2322" i="7"/>
  <c r="L2322" i="7"/>
  <c r="H2316" i="7"/>
  <c r="M2316" i="7"/>
  <c r="K2316" i="7"/>
  <c r="L2316" i="7"/>
  <c r="H2310" i="7"/>
  <c r="M2310" i="7"/>
  <c r="K2310" i="7"/>
  <c r="L2310" i="7"/>
  <c r="H2304" i="7"/>
  <c r="M2304" i="7"/>
  <c r="K2304" i="7"/>
  <c r="L2304" i="7"/>
  <c r="H2298" i="7"/>
  <c r="M2298" i="7"/>
  <c r="K2298" i="7"/>
  <c r="L2298" i="7"/>
  <c r="H2292" i="7"/>
  <c r="M2292" i="7"/>
  <c r="K2292" i="7"/>
  <c r="L2292" i="7"/>
  <c r="H2286" i="7"/>
  <c r="M2286" i="7"/>
  <c r="K2286" i="7"/>
  <c r="L2286" i="7"/>
  <c r="H2280" i="7"/>
  <c r="M2280" i="7"/>
  <c r="K2280" i="7"/>
  <c r="L2280" i="7"/>
  <c r="H2274" i="7"/>
  <c r="M2274" i="7"/>
  <c r="K2274" i="7"/>
  <c r="L2274" i="7"/>
  <c r="H2268" i="7"/>
  <c r="M2268" i="7"/>
  <c r="K2268" i="7"/>
  <c r="L2268" i="7"/>
  <c r="H2262" i="7"/>
  <c r="M2262" i="7"/>
  <c r="K2262" i="7"/>
  <c r="L2262" i="7"/>
  <c r="H2256" i="7"/>
  <c r="M2256" i="7"/>
  <c r="K2256" i="7"/>
  <c r="L2256" i="7"/>
  <c r="H2250" i="7"/>
  <c r="M2250" i="7"/>
  <c r="K2250" i="7"/>
  <c r="L2250" i="7"/>
  <c r="H2244" i="7"/>
  <c r="M2244" i="7"/>
  <c r="K2244" i="7"/>
  <c r="L2244" i="7"/>
  <c r="H2238" i="7"/>
  <c r="M2238" i="7"/>
  <c r="K2238" i="7"/>
  <c r="L2238" i="7"/>
  <c r="H2232" i="7"/>
  <c r="M2232" i="7"/>
  <c r="K2232" i="7"/>
  <c r="L2232" i="7"/>
  <c r="H2226" i="7"/>
  <c r="M2226" i="7"/>
  <c r="K2226" i="7"/>
  <c r="L2226" i="7"/>
  <c r="H2220" i="7"/>
  <c r="M2220" i="7"/>
  <c r="K2220" i="7"/>
  <c r="L2220" i="7"/>
  <c r="H2214" i="7"/>
  <c r="M2214" i="7"/>
  <c r="K2214" i="7"/>
  <c r="L2214" i="7"/>
  <c r="H2208" i="7"/>
  <c r="M2208" i="7"/>
  <c r="K2208" i="7"/>
  <c r="L2208" i="7"/>
  <c r="H2202" i="7"/>
  <c r="M2202" i="7"/>
  <c r="K2202" i="7"/>
  <c r="L2202" i="7"/>
  <c r="H2196" i="7"/>
  <c r="M2196" i="7"/>
  <c r="K2196" i="7"/>
  <c r="L2196" i="7"/>
  <c r="H2190" i="7"/>
  <c r="M2190" i="7"/>
  <c r="K2190" i="7"/>
  <c r="L2190" i="7"/>
  <c r="H2184" i="7"/>
  <c r="M2184" i="7"/>
  <c r="K2184" i="7"/>
  <c r="L2184" i="7"/>
  <c r="H2178" i="7"/>
  <c r="M2178" i="7"/>
  <c r="K2178" i="7"/>
  <c r="L2178" i="7"/>
  <c r="H2172" i="7"/>
  <c r="M2172" i="7"/>
  <c r="K2172" i="7"/>
  <c r="L2172" i="7"/>
  <c r="H2166" i="7"/>
  <c r="M2166" i="7"/>
  <c r="K2166" i="7"/>
  <c r="L2166" i="7"/>
  <c r="H2160" i="7"/>
  <c r="M2160" i="7"/>
  <c r="K2160" i="7"/>
  <c r="L2160" i="7"/>
  <c r="H2154" i="7"/>
  <c r="M2154" i="7"/>
  <c r="K2154" i="7"/>
  <c r="L2154" i="7"/>
  <c r="H2148" i="7"/>
  <c r="M2148" i="7"/>
  <c r="K2148" i="7"/>
  <c r="L2148" i="7"/>
  <c r="H2142" i="7"/>
  <c r="M2142" i="7"/>
  <c r="K2142" i="7"/>
  <c r="L2142" i="7"/>
  <c r="H2136" i="7"/>
  <c r="M2136" i="7"/>
  <c r="K2136" i="7"/>
  <c r="L2136" i="7"/>
  <c r="H2130" i="7"/>
  <c r="M2130" i="7"/>
  <c r="K2130" i="7"/>
  <c r="L2130" i="7"/>
  <c r="H2124" i="7"/>
  <c r="M2124" i="7"/>
  <c r="K2124" i="7"/>
  <c r="L2124" i="7"/>
  <c r="H2118" i="7"/>
  <c r="M2118" i="7"/>
  <c r="K2118" i="7"/>
  <c r="L2118" i="7"/>
  <c r="H2112" i="7"/>
  <c r="M2112" i="7"/>
  <c r="K2112" i="7"/>
  <c r="L2112" i="7"/>
  <c r="H2106" i="7"/>
  <c r="M2106" i="7"/>
  <c r="K2106" i="7"/>
  <c r="L2106" i="7"/>
  <c r="H2100" i="7"/>
  <c r="M2100" i="7"/>
  <c r="K2100" i="7"/>
  <c r="L2100" i="7"/>
  <c r="H2094" i="7"/>
  <c r="M2094" i="7"/>
  <c r="K2094" i="7"/>
  <c r="L2094" i="7"/>
  <c r="H2088" i="7"/>
  <c r="M2088" i="7"/>
  <c r="K2088" i="7"/>
  <c r="L2088" i="7"/>
  <c r="H2082" i="7"/>
  <c r="M2082" i="7"/>
  <c r="K2082" i="7"/>
  <c r="L2082" i="7"/>
  <c r="H2076" i="7"/>
  <c r="M2076" i="7"/>
  <c r="K2076" i="7"/>
  <c r="L2076" i="7"/>
  <c r="H2070" i="7"/>
  <c r="M2070" i="7"/>
  <c r="K2070" i="7"/>
  <c r="L2070" i="7"/>
  <c r="H2064" i="7"/>
  <c r="M2064" i="7"/>
  <c r="K2064" i="7"/>
  <c r="L2064" i="7"/>
  <c r="H2058" i="7"/>
  <c r="M2058" i="7"/>
  <c r="K2058" i="7"/>
  <c r="L2058" i="7"/>
  <c r="H2052" i="7"/>
  <c r="M2052" i="7"/>
  <c r="K2052" i="7"/>
  <c r="L2052" i="7"/>
  <c r="H2046" i="7"/>
  <c r="M2046" i="7"/>
  <c r="K2046" i="7"/>
  <c r="L2046" i="7"/>
  <c r="H2040" i="7"/>
  <c r="M2040" i="7"/>
  <c r="K2040" i="7"/>
  <c r="L2040" i="7"/>
  <c r="H2034" i="7"/>
  <c r="M2034" i="7"/>
  <c r="K2034" i="7"/>
  <c r="L2034" i="7"/>
  <c r="H2028" i="7"/>
  <c r="M2028" i="7"/>
  <c r="K2028" i="7"/>
  <c r="L2028" i="7"/>
  <c r="H2022" i="7"/>
  <c r="M2022" i="7"/>
  <c r="K2022" i="7"/>
  <c r="L2022" i="7"/>
  <c r="H2016" i="7"/>
  <c r="M2016" i="7"/>
  <c r="K2016" i="7"/>
  <c r="L2016" i="7"/>
  <c r="H2010" i="7"/>
  <c r="M2010" i="7"/>
  <c r="K2010" i="7"/>
  <c r="L2010" i="7"/>
  <c r="H2004" i="7"/>
  <c r="M2004" i="7"/>
  <c r="K2004" i="7"/>
  <c r="L2004" i="7"/>
  <c r="H1998" i="7"/>
  <c r="M1998" i="7"/>
  <c r="K1998" i="7"/>
  <c r="L1998" i="7"/>
  <c r="H1992" i="7"/>
  <c r="M1992" i="7"/>
  <c r="K1992" i="7"/>
  <c r="L1992" i="7"/>
  <c r="H1986" i="7"/>
  <c r="M1986" i="7"/>
  <c r="K1986" i="7"/>
  <c r="L1986" i="7"/>
  <c r="H1980" i="7"/>
  <c r="M1980" i="7"/>
  <c r="K1980" i="7"/>
  <c r="L1980" i="7"/>
  <c r="H1974" i="7"/>
  <c r="M1974" i="7"/>
  <c r="K1974" i="7"/>
  <c r="L1974" i="7"/>
  <c r="H1968" i="7"/>
  <c r="M1968" i="7"/>
  <c r="K1968" i="7"/>
  <c r="L1968" i="7"/>
  <c r="H1962" i="7"/>
  <c r="M1962" i="7"/>
  <c r="K1962" i="7"/>
  <c r="L1962" i="7"/>
  <c r="H1956" i="7"/>
  <c r="M1956" i="7"/>
  <c r="K1956" i="7"/>
  <c r="L1956" i="7"/>
  <c r="H1950" i="7"/>
  <c r="M1950" i="7"/>
  <c r="K1950" i="7"/>
  <c r="L1950" i="7"/>
  <c r="H1944" i="7"/>
  <c r="M1944" i="7"/>
  <c r="K1944" i="7"/>
  <c r="L1944" i="7"/>
  <c r="H1938" i="7"/>
  <c r="M1938" i="7"/>
  <c r="K1938" i="7"/>
  <c r="L1938" i="7"/>
  <c r="H1932" i="7"/>
  <c r="M1932" i="7"/>
  <c r="K1932" i="7"/>
  <c r="L1932" i="7"/>
  <c r="H1926" i="7"/>
  <c r="M1926" i="7"/>
  <c r="K1926" i="7"/>
  <c r="L1926" i="7"/>
  <c r="H1920" i="7"/>
  <c r="M1920" i="7"/>
  <c r="K1920" i="7"/>
  <c r="L1920" i="7"/>
  <c r="H1914" i="7"/>
  <c r="M1914" i="7"/>
  <c r="K1914" i="7"/>
  <c r="L1914" i="7"/>
  <c r="H1908" i="7"/>
  <c r="M1908" i="7"/>
  <c r="K1908" i="7"/>
  <c r="L1908" i="7"/>
  <c r="H1902" i="7"/>
  <c r="M1902" i="7"/>
  <c r="K1902" i="7"/>
  <c r="L1902" i="7"/>
  <c r="H1896" i="7"/>
  <c r="M1896" i="7"/>
  <c r="K1896" i="7"/>
  <c r="L1896" i="7"/>
  <c r="H1890" i="7"/>
  <c r="M1890" i="7"/>
  <c r="K1890" i="7"/>
  <c r="L1890" i="7"/>
  <c r="H1884" i="7"/>
  <c r="M1884" i="7"/>
  <c r="K1884" i="7"/>
  <c r="L1884" i="7"/>
  <c r="H1878" i="7"/>
  <c r="M1878" i="7"/>
  <c r="K1878" i="7"/>
  <c r="L1878" i="7"/>
  <c r="H1872" i="7"/>
  <c r="M1872" i="7"/>
  <c r="K1872" i="7"/>
  <c r="L1872" i="7"/>
  <c r="H1866" i="7"/>
  <c r="M1866" i="7"/>
  <c r="K1866" i="7"/>
  <c r="L1866" i="7"/>
  <c r="H1860" i="7"/>
  <c r="M1860" i="7"/>
  <c r="K1860" i="7"/>
  <c r="L1860" i="7"/>
  <c r="H1854" i="7"/>
  <c r="M1854" i="7"/>
  <c r="K1854" i="7"/>
  <c r="L1854" i="7"/>
  <c r="H1848" i="7"/>
  <c r="M1848" i="7"/>
  <c r="K1848" i="7"/>
  <c r="L1848" i="7"/>
  <c r="H1842" i="7"/>
  <c r="M1842" i="7"/>
  <c r="K1842" i="7"/>
  <c r="L1842" i="7"/>
  <c r="H1836" i="7"/>
  <c r="M1836" i="7"/>
  <c r="K1836" i="7"/>
  <c r="L1836" i="7"/>
  <c r="H1830" i="7"/>
  <c r="M1830" i="7"/>
  <c r="K1830" i="7"/>
  <c r="L1830" i="7"/>
  <c r="H1824" i="7"/>
  <c r="M1824" i="7"/>
  <c r="K1824" i="7"/>
  <c r="L1824" i="7"/>
  <c r="H1818" i="7"/>
  <c r="M1818" i="7"/>
  <c r="K1818" i="7"/>
  <c r="L1818" i="7"/>
  <c r="H1812" i="7"/>
  <c r="M1812" i="7"/>
  <c r="K1812" i="7"/>
  <c r="L1812" i="7"/>
  <c r="H1806" i="7"/>
  <c r="M1806" i="7"/>
  <c r="K1806" i="7"/>
  <c r="L1806" i="7"/>
  <c r="H1800" i="7"/>
  <c r="M1800" i="7"/>
  <c r="K1800" i="7"/>
  <c r="L1800" i="7"/>
  <c r="H1794" i="7"/>
  <c r="M1794" i="7"/>
  <c r="K1794" i="7"/>
  <c r="L1794" i="7"/>
  <c r="H1788" i="7"/>
  <c r="M1788" i="7"/>
  <c r="K1788" i="7"/>
  <c r="L1788" i="7"/>
  <c r="H1782" i="7"/>
  <c r="M1782" i="7"/>
  <c r="K1782" i="7"/>
  <c r="L1782" i="7"/>
  <c r="H1776" i="7"/>
  <c r="M1776" i="7"/>
  <c r="K1776" i="7"/>
  <c r="L1776" i="7"/>
  <c r="H1770" i="7"/>
  <c r="M1770" i="7"/>
  <c r="K1770" i="7"/>
  <c r="L1770" i="7"/>
  <c r="H1764" i="7"/>
  <c r="M1764" i="7"/>
  <c r="K1764" i="7"/>
  <c r="L1764" i="7"/>
  <c r="H1758" i="7"/>
  <c r="M1758" i="7"/>
  <c r="K1758" i="7"/>
  <c r="L1758" i="7"/>
  <c r="H1752" i="7"/>
  <c r="M1752" i="7"/>
  <c r="K1752" i="7"/>
  <c r="L1752" i="7"/>
  <c r="H1746" i="7"/>
  <c r="M1746" i="7"/>
  <c r="K1746" i="7"/>
  <c r="L1746" i="7"/>
  <c r="H1740" i="7"/>
  <c r="M1740" i="7"/>
  <c r="K1740" i="7"/>
  <c r="L1740" i="7"/>
  <c r="H1734" i="7"/>
  <c r="M1734" i="7"/>
  <c r="K1734" i="7"/>
  <c r="L1734" i="7"/>
  <c r="H1728" i="7"/>
  <c r="M1728" i="7"/>
  <c r="K1728" i="7"/>
  <c r="L1728" i="7"/>
  <c r="H1722" i="7"/>
  <c r="M1722" i="7"/>
  <c r="K1722" i="7"/>
  <c r="L1722" i="7"/>
  <c r="H1716" i="7"/>
  <c r="M1716" i="7"/>
  <c r="K1716" i="7"/>
  <c r="L1716" i="7"/>
  <c r="H1710" i="7"/>
  <c r="M1710" i="7"/>
  <c r="K1710" i="7"/>
  <c r="L1710" i="7"/>
  <c r="H1704" i="7"/>
  <c r="M1704" i="7"/>
  <c r="K1704" i="7"/>
  <c r="L1704" i="7"/>
  <c r="H1698" i="7"/>
  <c r="M1698" i="7"/>
  <c r="K1698" i="7"/>
  <c r="L1698" i="7"/>
  <c r="H1692" i="7"/>
  <c r="M1692" i="7"/>
  <c r="K1692" i="7"/>
  <c r="L1692" i="7"/>
  <c r="H1686" i="7"/>
  <c r="M1686" i="7"/>
  <c r="K1686" i="7"/>
  <c r="L1686" i="7"/>
  <c r="H1680" i="7"/>
  <c r="M1680" i="7"/>
  <c r="K1680" i="7"/>
  <c r="L1680" i="7"/>
  <c r="H1674" i="7"/>
  <c r="M1674" i="7"/>
  <c r="K1674" i="7"/>
  <c r="L1674" i="7"/>
  <c r="H1668" i="7"/>
  <c r="M1668" i="7"/>
  <c r="K1668" i="7"/>
  <c r="L1668" i="7"/>
  <c r="H1662" i="7"/>
  <c r="M1662" i="7"/>
  <c r="K1662" i="7"/>
  <c r="L1662" i="7"/>
  <c r="H1656" i="7"/>
  <c r="M1656" i="7"/>
  <c r="K1656" i="7"/>
  <c r="L1656" i="7"/>
  <c r="H1650" i="7"/>
  <c r="M1650" i="7"/>
  <c r="K1650" i="7"/>
  <c r="L1650" i="7"/>
  <c r="H1644" i="7"/>
  <c r="M1644" i="7"/>
  <c r="K1644" i="7"/>
  <c r="L1644" i="7"/>
  <c r="H1638" i="7"/>
  <c r="M1638" i="7"/>
  <c r="K1638" i="7"/>
  <c r="L1638" i="7"/>
  <c r="H1632" i="7"/>
  <c r="M1632" i="7"/>
  <c r="K1632" i="7"/>
  <c r="L1632" i="7"/>
  <c r="H1626" i="7"/>
  <c r="M1626" i="7"/>
  <c r="K1626" i="7"/>
  <c r="L1626" i="7"/>
  <c r="H1620" i="7"/>
  <c r="M1620" i="7"/>
  <c r="K1620" i="7"/>
  <c r="L1620" i="7"/>
  <c r="H1614" i="7"/>
  <c r="M1614" i="7"/>
  <c r="K1614" i="7"/>
  <c r="L1614" i="7"/>
  <c r="H1608" i="7"/>
  <c r="M1608" i="7"/>
  <c r="K1608" i="7"/>
  <c r="L1608" i="7"/>
  <c r="H1602" i="7"/>
  <c r="M1602" i="7"/>
  <c r="K1602" i="7"/>
  <c r="L1602" i="7"/>
  <c r="H1596" i="7"/>
  <c r="M1596" i="7"/>
  <c r="K1596" i="7"/>
  <c r="L1596" i="7"/>
  <c r="H1590" i="7"/>
  <c r="M1590" i="7"/>
  <c r="K1590" i="7"/>
  <c r="L1590" i="7"/>
  <c r="H1584" i="7"/>
  <c r="M1584" i="7"/>
  <c r="K1584" i="7"/>
  <c r="L1584" i="7"/>
  <c r="H1578" i="7"/>
  <c r="M1578" i="7"/>
  <c r="K1578" i="7"/>
  <c r="L1578" i="7"/>
  <c r="H1572" i="7"/>
  <c r="M1572" i="7"/>
  <c r="K1572" i="7"/>
  <c r="L1572" i="7"/>
  <c r="H1566" i="7"/>
  <c r="M1566" i="7"/>
  <c r="K1566" i="7"/>
  <c r="L1566" i="7"/>
  <c r="H1560" i="7"/>
  <c r="M1560" i="7"/>
  <c r="K1560" i="7"/>
  <c r="L1560" i="7"/>
  <c r="H1554" i="7"/>
  <c r="M1554" i="7"/>
  <c r="K1554" i="7"/>
  <c r="L1554" i="7"/>
  <c r="H1548" i="7"/>
  <c r="M1548" i="7"/>
  <c r="K1548" i="7"/>
  <c r="L1548" i="7"/>
  <c r="H1542" i="7"/>
  <c r="M1542" i="7"/>
  <c r="K1542" i="7"/>
  <c r="L1542" i="7"/>
  <c r="H2705" i="7"/>
  <c r="M2705" i="7"/>
  <c r="K2705" i="7"/>
  <c r="L2705" i="7"/>
  <c r="H2699" i="7"/>
  <c r="M2699" i="7"/>
  <c r="K2699" i="7"/>
  <c r="L2699" i="7"/>
  <c r="H2693" i="7"/>
  <c r="M2693" i="7"/>
  <c r="K2693" i="7"/>
  <c r="L2693" i="7"/>
  <c r="H2687" i="7"/>
  <c r="M2687" i="7"/>
  <c r="K2687" i="7"/>
  <c r="L2687" i="7"/>
  <c r="H2681" i="7"/>
  <c r="M2681" i="7"/>
  <c r="K2681" i="7"/>
  <c r="L2681" i="7"/>
  <c r="H2675" i="7"/>
  <c r="M2675" i="7"/>
  <c r="K2675" i="7"/>
  <c r="L2675" i="7"/>
  <c r="H2669" i="7"/>
  <c r="M2669" i="7"/>
  <c r="K2669" i="7"/>
  <c r="L2669" i="7"/>
  <c r="H2663" i="7"/>
  <c r="M2663" i="7"/>
  <c r="K2663" i="7"/>
  <c r="L2663" i="7"/>
  <c r="H2657" i="7"/>
  <c r="M2657" i="7"/>
  <c r="K2657" i="7"/>
  <c r="L2657" i="7"/>
  <c r="H2651" i="7"/>
  <c r="M2651" i="7"/>
  <c r="K2651" i="7"/>
  <c r="L2651" i="7"/>
  <c r="H2645" i="7"/>
  <c r="M2645" i="7"/>
  <c r="K2645" i="7"/>
  <c r="L2645" i="7"/>
  <c r="H2639" i="7"/>
  <c r="M2639" i="7"/>
  <c r="K2639" i="7"/>
  <c r="L2639" i="7"/>
  <c r="H2633" i="7"/>
  <c r="M2633" i="7"/>
  <c r="K2633" i="7"/>
  <c r="L2633" i="7"/>
  <c r="H2627" i="7"/>
  <c r="M2627" i="7"/>
  <c r="K2627" i="7"/>
  <c r="L2627" i="7"/>
  <c r="H2621" i="7"/>
  <c r="M2621" i="7"/>
  <c r="K2621" i="7"/>
  <c r="L2621" i="7"/>
  <c r="H2615" i="7"/>
  <c r="M2615" i="7"/>
  <c r="K2615" i="7"/>
  <c r="L2615" i="7"/>
  <c r="H2609" i="7"/>
  <c r="M2609" i="7"/>
  <c r="K2609" i="7"/>
  <c r="L2609" i="7"/>
  <c r="H2603" i="7"/>
  <c r="M2603" i="7"/>
  <c r="K2603" i="7"/>
  <c r="L2603" i="7"/>
  <c r="H2597" i="7"/>
  <c r="M2597" i="7"/>
  <c r="K2597" i="7"/>
  <c r="L2597" i="7"/>
  <c r="H2591" i="7"/>
  <c r="M2591" i="7"/>
  <c r="K2591" i="7"/>
  <c r="L2591" i="7"/>
  <c r="H2585" i="7"/>
  <c r="M2585" i="7"/>
  <c r="K2585" i="7"/>
  <c r="L2585" i="7"/>
  <c r="H2579" i="7"/>
  <c r="M2579" i="7"/>
  <c r="K2579" i="7"/>
  <c r="L2579" i="7"/>
  <c r="H2573" i="7"/>
  <c r="M2573" i="7"/>
  <c r="K2573" i="7"/>
  <c r="L2573" i="7"/>
  <c r="H2567" i="7"/>
  <c r="M2567" i="7"/>
  <c r="K2567" i="7"/>
  <c r="L2567" i="7"/>
  <c r="H2561" i="7"/>
  <c r="M2561" i="7"/>
  <c r="K2561" i="7"/>
  <c r="L2561" i="7"/>
  <c r="H2555" i="7"/>
  <c r="M2555" i="7"/>
  <c r="K2555" i="7"/>
  <c r="L2555" i="7"/>
  <c r="H2549" i="7"/>
  <c r="M2549" i="7"/>
  <c r="K2549" i="7"/>
  <c r="L2549" i="7"/>
  <c r="H2543" i="7"/>
  <c r="M2543" i="7"/>
  <c r="K2543" i="7"/>
  <c r="L2543" i="7"/>
  <c r="H2537" i="7"/>
  <c r="M2537" i="7"/>
  <c r="K2537" i="7"/>
  <c r="L2537" i="7"/>
  <c r="H2531" i="7"/>
  <c r="M2531" i="7"/>
  <c r="K2531" i="7"/>
  <c r="L2531" i="7"/>
  <c r="H2525" i="7"/>
  <c r="M2525" i="7"/>
  <c r="K2525" i="7"/>
  <c r="L2525" i="7"/>
  <c r="H2519" i="7"/>
  <c r="M2519" i="7"/>
  <c r="K2519" i="7"/>
  <c r="L2519" i="7"/>
  <c r="H2513" i="7"/>
  <c r="M2513" i="7"/>
  <c r="K2513" i="7"/>
  <c r="L2513" i="7"/>
  <c r="H2507" i="7"/>
  <c r="M2507" i="7"/>
  <c r="K2507" i="7"/>
  <c r="L2507" i="7"/>
  <c r="H2501" i="7"/>
  <c r="M2501" i="7"/>
  <c r="K2501" i="7"/>
  <c r="L2501" i="7"/>
  <c r="H2495" i="7"/>
  <c r="M2495" i="7"/>
  <c r="K2495" i="7"/>
  <c r="L2495" i="7"/>
  <c r="H2489" i="7"/>
  <c r="M2489" i="7"/>
  <c r="K2489" i="7"/>
  <c r="L2489" i="7"/>
  <c r="H2483" i="7"/>
  <c r="M2483" i="7"/>
  <c r="K2483" i="7"/>
  <c r="L2483" i="7"/>
  <c r="H2477" i="7"/>
  <c r="M2477" i="7"/>
  <c r="K2477" i="7"/>
  <c r="L2477" i="7"/>
  <c r="H2471" i="7"/>
  <c r="M2471" i="7"/>
  <c r="K2471" i="7"/>
  <c r="L2471" i="7"/>
  <c r="H2465" i="7"/>
  <c r="M2465" i="7"/>
  <c r="K2465" i="7"/>
  <c r="L2465" i="7"/>
  <c r="H2459" i="7"/>
  <c r="M2459" i="7"/>
  <c r="K2459" i="7"/>
  <c r="L2459" i="7"/>
  <c r="H2453" i="7"/>
  <c r="M2453" i="7"/>
  <c r="K2453" i="7"/>
  <c r="L2453" i="7"/>
  <c r="H2447" i="7"/>
  <c r="M2447" i="7"/>
  <c r="K2447" i="7"/>
  <c r="L2447" i="7"/>
  <c r="H2441" i="7"/>
  <c r="M2441" i="7"/>
  <c r="K2441" i="7"/>
  <c r="L2441" i="7"/>
  <c r="H2435" i="7"/>
  <c r="M2435" i="7"/>
  <c r="K2435" i="7"/>
  <c r="L2435" i="7"/>
  <c r="H2429" i="7"/>
  <c r="M2429" i="7"/>
  <c r="K2429" i="7"/>
  <c r="L2429" i="7"/>
  <c r="H2423" i="7"/>
  <c r="M2423" i="7"/>
  <c r="K2423" i="7"/>
  <c r="L2423" i="7"/>
  <c r="H2417" i="7"/>
  <c r="M2417" i="7"/>
  <c r="K2417" i="7"/>
  <c r="L2417" i="7"/>
  <c r="H2411" i="7"/>
  <c r="M2411" i="7"/>
  <c r="K2411" i="7"/>
  <c r="L2411" i="7"/>
  <c r="H2405" i="7"/>
  <c r="M2405" i="7"/>
  <c r="K2405" i="7"/>
  <c r="L2405" i="7"/>
  <c r="H2399" i="7"/>
  <c r="M2399" i="7"/>
  <c r="K2399" i="7"/>
  <c r="L2399" i="7"/>
  <c r="H2393" i="7"/>
  <c r="M2393" i="7"/>
  <c r="K2393" i="7"/>
  <c r="L2393" i="7"/>
  <c r="H2387" i="7"/>
  <c r="M2387" i="7"/>
  <c r="K2387" i="7"/>
  <c r="L2387" i="7"/>
  <c r="H2381" i="7"/>
  <c r="M2381" i="7"/>
  <c r="K2381" i="7"/>
  <c r="L2381" i="7"/>
  <c r="H2375" i="7"/>
  <c r="M2375" i="7"/>
  <c r="K2375" i="7"/>
  <c r="L2375" i="7"/>
  <c r="H2369" i="7"/>
  <c r="M2369" i="7"/>
  <c r="K2369" i="7"/>
  <c r="L2369" i="7"/>
  <c r="H2363" i="7"/>
  <c r="M2363" i="7"/>
  <c r="K2363" i="7"/>
  <c r="L2363" i="7"/>
  <c r="H2357" i="7"/>
  <c r="M2357" i="7"/>
  <c r="K2357" i="7"/>
  <c r="L2357" i="7"/>
  <c r="H2351" i="7"/>
  <c r="M2351" i="7"/>
  <c r="K2351" i="7"/>
  <c r="L2351" i="7"/>
  <c r="H2345" i="7"/>
  <c r="M2345" i="7"/>
  <c r="K2345" i="7"/>
  <c r="L2345" i="7"/>
  <c r="H2339" i="7"/>
  <c r="M2339" i="7"/>
  <c r="K2339" i="7"/>
  <c r="L2339" i="7"/>
  <c r="H2333" i="7"/>
  <c r="M2333" i="7"/>
  <c r="K2333" i="7"/>
  <c r="L2333" i="7"/>
  <c r="H2327" i="7"/>
  <c r="M2327" i="7"/>
  <c r="K2327" i="7"/>
  <c r="L2327" i="7"/>
  <c r="H2321" i="7"/>
  <c r="M2321" i="7"/>
  <c r="K2321" i="7"/>
  <c r="L2321" i="7"/>
  <c r="H2315" i="7"/>
  <c r="M2315" i="7"/>
  <c r="K2315" i="7"/>
  <c r="L2315" i="7"/>
  <c r="H2309" i="7"/>
  <c r="M2309" i="7"/>
  <c r="K2309" i="7"/>
  <c r="L2309" i="7"/>
  <c r="H2303" i="7"/>
  <c r="M2303" i="7"/>
  <c r="K2303" i="7"/>
  <c r="L2303" i="7"/>
  <c r="H2297" i="7"/>
  <c r="M2297" i="7"/>
  <c r="K2297" i="7"/>
  <c r="L2297" i="7"/>
  <c r="H2291" i="7"/>
  <c r="M2291" i="7"/>
  <c r="K2291" i="7"/>
  <c r="L2291" i="7"/>
  <c r="H2285" i="7"/>
  <c r="M2285" i="7"/>
  <c r="K2285" i="7"/>
  <c r="L2285" i="7"/>
  <c r="H2279" i="7"/>
  <c r="M2279" i="7"/>
  <c r="K2279" i="7"/>
  <c r="L2279" i="7"/>
  <c r="H2273" i="7"/>
  <c r="M2273" i="7"/>
  <c r="K2273" i="7"/>
  <c r="L2273" i="7"/>
  <c r="H2267" i="7"/>
  <c r="M2267" i="7"/>
  <c r="K2267" i="7"/>
  <c r="L2267" i="7"/>
  <c r="H2261" i="7"/>
  <c r="M2261" i="7"/>
  <c r="K2261" i="7"/>
  <c r="L2261" i="7"/>
  <c r="H2255" i="7"/>
  <c r="M2255" i="7"/>
  <c r="K2255" i="7"/>
  <c r="L2255" i="7"/>
  <c r="H2249" i="7"/>
  <c r="M2249" i="7"/>
  <c r="K2249" i="7"/>
  <c r="L2249" i="7"/>
  <c r="H2243" i="7"/>
  <c r="M2243" i="7"/>
  <c r="K2243" i="7"/>
  <c r="L2243" i="7"/>
  <c r="H2237" i="7"/>
  <c r="M2237" i="7"/>
  <c r="K2237" i="7"/>
  <c r="L2237" i="7"/>
  <c r="H2231" i="7"/>
  <c r="M2231" i="7"/>
  <c r="K2231" i="7"/>
  <c r="L2231" i="7"/>
  <c r="H2225" i="7"/>
  <c r="M2225" i="7"/>
  <c r="K2225" i="7"/>
  <c r="L2225" i="7"/>
  <c r="H2219" i="7"/>
  <c r="M2219" i="7"/>
  <c r="K2219" i="7"/>
  <c r="L2219" i="7"/>
  <c r="H2213" i="7"/>
  <c r="M2213" i="7"/>
  <c r="K2213" i="7"/>
  <c r="L2213" i="7"/>
  <c r="H2207" i="7"/>
  <c r="M2207" i="7"/>
  <c r="K2207" i="7"/>
  <c r="L2207" i="7"/>
  <c r="H2201" i="7"/>
  <c r="M2201" i="7"/>
  <c r="K2201" i="7"/>
  <c r="L2201" i="7"/>
  <c r="H2195" i="7"/>
  <c r="M2195" i="7"/>
  <c r="K2195" i="7"/>
  <c r="L2195" i="7"/>
  <c r="H2189" i="7"/>
  <c r="M2189" i="7"/>
  <c r="K2189" i="7"/>
  <c r="L2189" i="7"/>
  <c r="H2183" i="7"/>
  <c r="M2183" i="7"/>
  <c r="K2183" i="7"/>
  <c r="L2183" i="7"/>
  <c r="H2177" i="7"/>
  <c r="M2177" i="7"/>
  <c r="K2177" i="7"/>
  <c r="L2177" i="7"/>
  <c r="H2171" i="7"/>
  <c r="M2171" i="7"/>
  <c r="K2171" i="7"/>
  <c r="L2171" i="7"/>
  <c r="H2165" i="7"/>
  <c r="M2165" i="7"/>
  <c r="K2165" i="7"/>
  <c r="L2165" i="7"/>
  <c r="H2159" i="7"/>
  <c r="M2159" i="7"/>
  <c r="K2159" i="7"/>
  <c r="L2159" i="7"/>
  <c r="H2153" i="7"/>
  <c r="M2153" i="7"/>
  <c r="K2153" i="7"/>
  <c r="L2153" i="7"/>
  <c r="H2147" i="7"/>
  <c r="M2147" i="7"/>
  <c r="K2147" i="7"/>
  <c r="L2147" i="7"/>
  <c r="H2141" i="7"/>
  <c r="M2141" i="7"/>
  <c r="K2141" i="7"/>
  <c r="L2141" i="7"/>
  <c r="H2135" i="7"/>
  <c r="M2135" i="7"/>
  <c r="K2135" i="7"/>
  <c r="L2135" i="7"/>
  <c r="H2129" i="7"/>
  <c r="M2129" i="7"/>
  <c r="K2129" i="7"/>
  <c r="L2129" i="7"/>
  <c r="H2123" i="7"/>
  <c r="M2123" i="7"/>
  <c r="K2123" i="7"/>
  <c r="L2123" i="7"/>
  <c r="H2117" i="7"/>
  <c r="M2117" i="7"/>
  <c r="K2117" i="7"/>
  <c r="L2117" i="7"/>
  <c r="H2111" i="7"/>
  <c r="M2111" i="7"/>
  <c r="K2111" i="7"/>
  <c r="L2111" i="7"/>
  <c r="H2105" i="7"/>
  <c r="M2105" i="7"/>
  <c r="K2105" i="7"/>
  <c r="L2105" i="7"/>
  <c r="H2099" i="7"/>
  <c r="M2099" i="7"/>
  <c r="K2099" i="7"/>
  <c r="L2099" i="7"/>
  <c r="H2093" i="7"/>
  <c r="M2093" i="7"/>
  <c r="K2093" i="7"/>
  <c r="L2093" i="7"/>
  <c r="H2087" i="7"/>
  <c r="M2087" i="7"/>
  <c r="K2087" i="7"/>
  <c r="L2087" i="7"/>
  <c r="H2081" i="7"/>
  <c r="M2081" i="7"/>
  <c r="K2081" i="7"/>
  <c r="L2081" i="7"/>
  <c r="H2075" i="7"/>
  <c r="M2075" i="7"/>
  <c r="K2075" i="7"/>
  <c r="L2075" i="7"/>
  <c r="H2069" i="7"/>
  <c r="M2069" i="7"/>
  <c r="K2069" i="7"/>
  <c r="L2069" i="7"/>
  <c r="H2063" i="7"/>
  <c r="M2063" i="7"/>
  <c r="K2063" i="7"/>
  <c r="L2063" i="7"/>
  <c r="H2057" i="7"/>
  <c r="M2057" i="7"/>
  <c r="K2057" i="7"/>
  <c r="L2057" i="7"/>
  <c r="H2051" i="7"/>
  <c r="M2051" i="7"/>
  <c r="K2051" i="7"/>
  <c r="L2051" i="7"/>
  <c r="H2045" i="7"/>
  <c r="M2045" i="7"/>
  <c r="K2045" i="7"/>
  <c r="L2045" i="7"/>
  <c r="H2039" i="7"/>
  <c r="M2039" i="7"/>
  <c r="K2039" i="7"/>
  <c r="L2039" i="7"/>
  <c r="H2033" i="7"/>
  <c r="M2033" i="7"/>
  <c r="K2033" i="7"/>
  <c r="L2033" i="7"/>
  <c r="H2027" i="7"/>
  <c r="M2027" i="7"/>
  <c r="K2027" i="7"/>
  <c r="L2027" i="7"/>
  <c r="H2021" i="7"/>
  <c r="M2021" i="7"/>
  <c r="K2021" i="7"/>
  <c r="L2021" i="7"/>
  <c r="H2015" i="7"/>
  <c r="M2015" i="7"/>
  <c r="K2015" i="7"/>
  <c r="L2015" i="7"/>
  <c r="H2009" i="7"/>
  <c r="M2009" i="7"/>
  <c r="K2009" i="7"/>
  <c r="L2009" i="7"/>
  <c r="H2003" i="7"/>
  <c r="M2003" i="7"/>
  <c r="K2003" i="7"/>
  <c r="L2003" i="7"/>
  <c r="H1997" i="7"/>
  <c r="M1997" i="7"/>
  <c r="K1997" i="7"/>
  <c r="L1997" i="7"/>
  <c r="H1991" i="7"/>
  <c r="M1991" i="7"/>
  <c r="K1991" i="7"/>
  <c r="L1991" i="7"/>
  <c r="H1985" i="7"/>
  <c r="M1985" i="7"/>
  <c r="K1985" i="7"/>
  <c r="L1985" i="7"/>
  <c r="H1979" i="7"/>
  <c r="M1979" i="7"/>
  <c r="K1979" i="7"/>
  <c r="L1979" i="7"/>
  <c r="H1973" i="7"/>
  <c r="M1973" i="7"/>
  <c r="K1973" i="7"/>
  <c r="L1973" i="7"/>
  <c r="H1967" i="7"/>
  <c r="M1967" i="7"/>
  <c r="K1967" i="7"/>
  <c r="L1967" i="7"/>
  <c r="H1961" i="7"/>
  <c r="M1961" i="7"/>
  <c r="K1961" i="7"/>
  <c r="L1961" i="7"/>
  <c r="H1955" i="7"/>
  <c r="M1955" i="7"/>
  <c r="K1955" i="7"/>
  <c r="L1955" i="7"/>
  <c r="H1949" i="7"/>
  <c r="M1949" i="7"/>
  <c r="K1949" i="7"/>
  <c r="L1949" i="7"/>
  <c r="H1943" i="7"/>
  <c r="M1943" i="7"/>
  <c r="K1943" i="7"/>
  <c r="L1943" i="7"/>
  <c r="H1937" i="7"/>
  <c r="M1937" i="7"/>
  <c r="K1937" i="7"/>
  <c r="L1937" i="7"/>
  <c r="H1931" i="7"/>
  <c r="M1931" i="7"/>
  <c r="K1931" i="7"/>
  <c r="L1931" i="7"/>
  <c r="H1925" i="7"/>
  <c r="M1925" i="7"/>
  <c r="K1925" i="7"/>
  <c r="L1925" i="7"/>
  <c r="H1919" i="7"/>
  <c r="M1919" i="7"/>
  <c r="K1919" i="7"/>
  <c r="L1919" i="7"/>
  <c r="H1913" i="7"/>
  <c r="M1913" i="7"/>
  <c r="K1913" i="7"/>
  <c r="L1913" i="7"/>
  <c r="H1907" i="7"/>
  <c r="M1907" i="7"/>
  <c r="K1907" i="7"/>
  <c r="L1907" i="7"/>
  <c r="H1901" i="7"/>
  <c r="M1901" i="7"/>
  <c r="K1901" i="7"/>
  <c r="L1901" i="7"/>
  <c r="H1895" i="7"/>
  <c r="M1895" i="7"/>
  <c r="K1895" i="7"/>
  <c r="L1895" i="7"/>
  <c r="H1889" i="7"/>
  <c r="M1889" i="7"/>
  <c r="K1889" i="7"/>
  <c r="L1889" i="7"/>
  <c r="H1883" i="7"/>
  <c r="M1883" i="7"/>
  <c r="K1883" i="7"/>
  <c r="L1883" i="7"/>
  <c r="H1877" i="7"/>
  <c r="M1877" i="7"/>
  <c r="K1877" i="7"/>
  <c r="L1877" i="7"/>
  <c r="H1871" i="7"/>
  <c r="M1871" i="7"/>
  <c r="K1871" i="7"/>
  <c r="L1871" i="7"/>
  <c r="H1865" i="7"/>
  <c r="M1865" i="7"/>
  <c r="K1865" i="7"/>
  <c r="L1865" i="7"/>
  <c r="H1859" i="7"/>
  <c r="M1859" i="7"/>
  <c r="K1859" i="7"/>
  <c r="L1859" i="7"/>
  <c r="H1853" i="7"/>
  <c r="M1853" i="7"/>
  <c r="K1853" i="7"/>
  <c r="L1853" i="7"/>
  <c r="H1847" i="7"/>
  <c r="M1847" i="7"/>
  <c r="K1847" i="7"/>
  <c r="L1847" i="7"/>
  <c r="H1841" i="7"/>
  <c r="M1841" i="7"/>
  <c r="K1841" i="7"/>
  <c r="L1841" i="7"/>
  <c r="H1835" i="7"/>
  <c r="M1835" i="7"/>
  <c r="K1835" i="7"/>
  <c r="L1835" i="7"/>
  <c r="H1829" i="7"/>
  <c r="M1829" i="7"/>
  <c r="K1829" i="7"/>
  <c r="L1829" i="7"/>
  <c r="H1823" i="7"/>
  <c r="M1823" i="7"/>
  <c r="K1823" i="7"/>
  <c r="L1823" i="7"/>
  <c r="H1817" i="7"/>
  <c r="M1817" i="7"/>
  <c r="K1817" i="7"/>
  <c r="L1817" i="7"/>
  <c r="H1811" i="7"/>
  <c r="M1811" i="7"/>
  <c r="K1811" i="7"/>
  <c r="L1811" i="7"/>
  <c r="H1805" i="7"/>
  <c r="M1805" i="7"/>
  <c r="K1805" i="7"/>
  <c r="L1805" i="7"/>
  <c r="H1799" i="7"/>
  <c r="M1799" i="7"/>
  <c r="K1799" i="7"/>
  <c r="L1799" i="7"/>
  <c r="H1793" i="7"/>
  <c r="M1793" i="7"/>
  <c r="K1793" i="7"/>
  <c r="L1793" i="7"/>
  <c r="H1787" i="7"/>
  <c r="M1787" i="7"/>
  <c r="K1787" i="7"/>
  <c r="L1787" i="7"/>
  <c r="H1781" i="7"/>
  <c r="M1781" i="7"/>
  <c r="K1781" i="7"/>
  <c r="L1781" i="7"/>
  <c r="H1775" i="7"/>
  <c r="M1775" i="7"/>
  <c r="K1775" i="7"/>
  <c r="L1775" i="7"/>
  <c r="H1769" i="7"/>
  <c r="M1769" i="7"/>
  <c r="K1769" i="7"/>
  <c r="L1769" i="7"/>
  <c r="H1763" i="7"/>
  <c r="M1763" i="7"/>
  <c r="K1763" i="7"/>
  <c r="L1763" i="7"/>
  <c r="H1757" i="7"/>
  <c r="M1757" i="7"/>
  <c r="K1757" i="7"/>
  <c r="L1757" i="7"/>
  <c r="H1751" i="7"/>
  <c r="M1751" i="7"/>
  <c r="K1751" i="7"/>
  <c r="L1751" i="7"/>
  <c r="H1745" i="7"/>
  <c r="M1745" i="7"/>
  <c r="K1745" i="7"/>
  <c r="L1745" i="7"/>
  <c r="H1739" i="7"/>
  <c r="M1739" i="7"/>
  <c r="K1739" i="7"/>
  <c r="L1739" i="7"/>
  <c r="H1733" i="7"/>
  <c r="M1733" i="7"/>
  <c r="K1733" i="7"/>
  <c r="L1733" i="7"/>
  <c r="H1727" i="7"/>
  <c r="M1727" i="7"/>
  <c r="K1727" i="7"/>
  <c r="L1727" i="7"/>
  <c r="H1721" i="7"/>
  <c r="M1721" i="7"/>
  <c r="K1721" i="7"/>
  <c r="L1721" i="7"/>
  <c r="H1715" i="7"/>
  <c r="M1715" i="7"/>
  <c r="K1715" i="7"/>
  <c r="L1715" i="7"/>
  <c r="H1709" i="7"/>
  <c r="M1709" i="7"/>
  <c r="K1709" i="7"/>
  <c r="L1709" i="7"/>
  <c r="H1703" i="7"/>
  <c r="M1703" i="7"/>
  <c r="K1703" i="7"/>
  <c r="L1703" i="7"/>
  <c r="H1697" i="7"/>
  <c r="M1697" i="7"/>
  <c r="K1697" i="7"/>
  <c r="L1697" i="7"/>
  <c r="H1691" i="7"/>
  <c r="M1691" i="7"/>
  <c r="K1691" i="7"/>
  <c r="L1691" i="7"/>
  <c r="H1685" i="7"/>
  <c r="M1685" i="7"/>
  <c r="K1685" i="7"/>
  <c r="L1685" i="7"/>
  <c r="H1679" i="7"/>
  <c r="M1679" i="7"/>
  <c r="K1679" i="7"/>
  <c r="L1679" i="7"/>
  <c r="H1673" i="7"/>
  <c r="M1673" i="7"/>
  <c r="K1673" i="7"/>
  <c r="L1673" i="7"/>
  <c r="H1667" i="7"/>
  <c r="M1667" i="7"/>
  <c r="K1667" i="7"/>
  <c r="L1667" i="7"/>
  <c r="H1661" i="7"/>
  <c r="M1661" i="7"/>
  <c r="K1661" i="7"/>
  <c r="L1661" i="7"/>
  <c r="H1655" i="7"/>
  <c r="M1655" i="7"/>
  <c r="K1655" i="7"/>
  <c r="L1655" i="7"/>
  <c r="H1649" i="7"/>
  <c r="M1649" i="7"/>
  <c r="K1649" i="7"/>
  <c r="L1649" i="7"/>
  <c r="H1643" i="7"/>
  <c r="M1643" i="7"/>
  <c r="K1643" i="7"/>
  <c r="L1643" i="7"/>
  <c r="H1637" i="7"/>
  <c r="M1637" i="7"/>
  <c r="K1637" i="7"/>
  <c r="L1637" i="7"/>
  <c r="H1631" i="7"/>
  <c r="M1631" i="7"/>
  <c r="K1631" i="7"/>
  <c r="L1631" i="7"/>
  <c r="H1625" i="7"/>
  <c r="M1625" i="7"/>
  <c r="K1625" i="7"/>
  <c r="L1625" i="7"/>
  <c r="H1619" i="7"/>
  <c r="M1619" i="7"/>
  <c r="K1619" i="7"/>
  <c r="L1619" i="7"/>
  <c r="H1613" i="7"/>
  <c r="M1613" i="7"/>
  <c r="K1613" i="7"/>
  <c r="L1613" i="7"/>
  <c r="H1607" i="7"/>
  <c r="M1607" i="7"/>
  <c r="K1607" i="7"/>
  <c r="L1607" i="7"/>
  <c r="H1601" i="7"/>
  <c r="M1601" i="7"/>
  <c r="K1601" i="7"/>
  <c r="L1601" i="7"/>
  <c r="H1595" i="7"/>
  <c r="M1595" i="7"/>
  <c r="K1595" i="7"/>
  <c r="L1595" i="7"/>
  <c r="H1589" i="7"/>
  <c r="M1589" i="7"/>
  <c r="K1589" i="7"/>
  <c r="L1589" i="7"/>
  <c r="H1583" i="7"/>
  <c r="M1583" i="7"/>
  <c r="K1583" i="7"/>
  <c r="L1583" i="7"/>
  <c r="H1577" i="7"/>
  <c r="M1577" i="7"/>
  <c r="K1577" i="7"/>
  <c r="L1577" i="7"/>
  <c r="H1571" i="7"/>
  <c r="M1571" i="7"/>
  <c r="K1571" i="7"/>
  <c r="L1571" i="7"/>
  <c r="H1565" i="7"/>
  <c r="M1565" i="7"/>
  <c r="K1565" i="7"/>
  <c r="L1565" i="7"/>
  <c r="H1559" i="7"/>
  <c r="M1559" i="7"/>
  <c r="K1559" i="7"/>
  <c r="L1559" i="7"/>
  <c r="H1553" i="7"/>
  <c r="M1553" i="7"/>
  <c r="K1553" i="7"/>
  <c r="L1553" i="7"/>
  <c r="H1547" i="7"/>
  <c r="M1547" i="7"/>
  <c r="K1547" i="7"/>
  <c r="L1547" i="7"/>
  <c r="H1541" i="7"/>
  <c r="M1541" i="7"/>
  <c r="K1541" i="7"/>
  <c r="L1541" i="7"/>
  <c r="H1535" i="7"/>
  <c r="M1535" i="7"/>
  <c r="K1535" i="7"/>
  <c r="L1535" i="7"/>
  <c r="H2704" i="7"/>
  <c r="M2704" i="7"/>
  <c r="K2704" i="7"/>
  <c r="L2704" i="7"/>
  <c r="H2698" i="7"/>
  <c r="M2698" i="7"/>
  <c r="K2698" i="7"/>
  <c r="L2698" i="7"/>
  <c r="H2692" i="7"/>
  <c r="M2692" i="7"/>
  <c r="K2692" i="7"/>
  <c r="L2692" i="7"/>
  <c r="H2686" i="7"/>
  <c r="M2686" i="7"/>
  <c r="K2686" i="7"/>
  <c r="L2686" i="7"/>
  <c r="H2680" i="7"/>
  <c r="M2680" i="7"/>
  <c r="K2680" i="7"/>
  <c r="L2680" i="7"/>
  <c r="H2674" i="7"/>
  <c r="M2674" i="7"/>
  <c r="K2674" i="7"/>
  <c r="L2674" i="7"/>
  <c r="H2668" i="7"/>
  <c r="M2668" i="7"/>
  <c r="K2668" i="7"/>
  <c r="L2668" i="7"/>
  <c r="H2662" i="7"/>
  <c r="M2662" i="7"/>
  <c r="K2662" i="7"/>
  <c r="L2662" i="7"/>
  <c r="H2656" i="7"/>
  <c r="M2656" i="7"/>
  <c r="K2656" i="7"/>
  <c r="L2656" i="7"/>
  <c r="H2650" i="7"/>
  <c r="M2650" i="7"/>
  <c r="K2650" i="7"/>
  <c r="L2650" i="7"/>
  <c r="H2644" i="7"/>
  <c r="M2644" i="7"/>
  <c r="K2644" i="7"/>
  <c r="L2644" i="7"/>
  <c r="H2638" i="7"/>
  <c r="M2638" i="7"/>
  <c r="K2638" i="7"/>
  <c r="L2638" i="7"/>
  <c r="H2632" i="7"/>
  <c r="M2632" i="7"/>
  <c r="K2632" i="7"/>
  <c r="L2632" i="7"/>
  <c r="H2626" i="7"/>
  <c r="M2626" i="7"/>
  <c r="K2626" i="7"/>
  <c r="L2626" i="7"/>
  <c r="H2620" i="7"/>
  <c r="M2620" i="7"/>
  <c r="K2620" i="7"/>
  <c r="L2620" i="7"/>
  <c r="H2614" i="7"/>
  <c r="M2614" i="7"/>
  <c r="K2614" i="7"/>
  <c r="L2614" i="7"/>
  <c r="H2608" i="7"/>
  <c r="M2608" i="7"/>
  <c r="K2608" i="7"/>
  <c r="L2608" i="7"/>
  <c r="H2602" i="7"/>
  <c r="M2602" i="7"/>
  <c r="K2602" i="7"/>
  <c r="L2602" i="7"/>
  <c r="H2596" i="7"/>
  <c r="M2596" i="7"/>
  <c r="K2596" i="7"/>
  <c r="L2596" i="7"/>
  <c r="H2590" i="7"/>
  <c r="M2590" i="7"/>
  <c r="K2590" i="7"/>
  <c r="L2590" i="7"/>
  <c r="H2584" i="7"/>
  <c r="M2584" i="7"/>
  <c r="K2584" i="7"/>
  <c r="L2584" i="7"/>
  <c r="H2578" i="7"/>
  <c r="M2578" i="7"/>
  <c r="K2578" i="7"/>
  <c r="L2578" i="7"/>
  <c r="H2572" i="7"/>
  <c r="M2572" i="7"/>
  <c r="K2572" i="7"/>
  <c r="L2572" i="7"/>
  <c r="H2566" i="7"/>
  <c r="M2566" i="7"/>
  <c r="K2566" i="7"/>
  <c r="L2566" i="7"/>
  <c r="H2560" i="7"/>
  <c r="M2560" i="7"/>
  <c r="K2560" i="7"/>
  <c r="L2560" i="7"/>
  <c r="H2554" i="7"/>
  <c r="M2554" i="7"/>
  <c r="K2554" i="7"/>
  <c r="L2554" i="7"/>
  <c r="H2548" i="7"/>
  <c r="M2548" i="7"/>
  <c r="K2548" i="7"/>
  <c r="L2548" i="7"/>
  <c r="H2542" i="7"/>
  <c r="M2542" i="7"/>
  <c r="K2542" i="7"/>
  <c r="L2542" i="7"/>
  <c r="H2536" i="7"/>
  <c r="M2536" i="7"/>
  <c r="K2536" i="7"/>
  <c r="L2536" i="7"/>
  <c r="H2530" i="7"/>
  <c r="M2530" i="7"/>
  <c r="K2530" i="7"/>
  <c r="L2530" i="7"/>
  <c r="H2524" i="7"/>
  <c r="M2524" i="7"/>
  <c r="K2524" i="7"/>
  <c r="L2524" i="7"/>
  <c r="H2518" i="7"/>
  <c r="M2518" i="7"/>
  <c r="K2518" i="7"/>
  <c r="L2518" i="7"/>
  <c r="H2512" i="7"/>
  <c r="M2512" i="7"/>
  <c r="K2512" i="7"/>
  <c r="L2512" i="7"/>
  <c r="H2506" i="7"/>
  <c r="M2506" i="7"/>
  <c r="K2506" i="7"/>
  <c r="L2506" i="7"/>
  <c r="H2500" i="7"/>
  <c r="M2500" i="7"/>
  <c r="K2500" i="7"/>
  <c r="L2500" i="7"/>
  <c r="H2494" i="7"/>
  <c r="M2494" i="7"/>
  <c r="K2494" i="7"/>
  <c r="L2494" i="7"/>
  <c r="H2488" i="7"/>
  <c r="M2488" i="7"/>
  <c r="K2488" i="7"/>
  <c r="L2488" i="7"/>
  <c r="H2482" i="7"/>
  <c r="M2482" i="7"/>
  <c r="K2482" i="7"/>
  <c r="L2482" i="7"/>
  <c r="H2476" i="7"/>
  <c r="M2476" i="7"/>
  <c r="K2476" i="7"/>
  <c r="L2476" i="7"/>
  <c r="H2470" i="7"/>
  <c r="M2470" i="7"/>
  <c r="K2470" i="7"/>
  <c r="L2470" i="7"/>
  <c r="H2464" i="7"/>
  <c r="M2464" i="7"/>
  <c r="K2464" i="7"/>
  <c r="L2464" i="7"/>
  <c r="H2458" i="7"/>
  <c r="M2458" i="7"/>
  <c r="K2458" i="7"/>
  <c r="L2458" i="7"/>
  <c r="H2452" i="7"/>
  <c r="M2452" i="7"/>
  <c r="K2452" i="7"/>
  <c r="L2452" i="7"/>
  <c r="H2446" i="7"/>
  <c r="M2446" i="7"/>
  <c r="K2446" i="7"/>
  <c r="L2446" i="7"/>
  <c r="H2440" i="7"/>
  <c r="M2440" i="7"/>
  <c r="K2440" i="7"/>
  <c r="L2440" i="7"/>
  <c r="H2434" i="7"/>
  <c r="M2434" i="7"/>
  <c r="K2434" i="7"/>
  <c r="L2434" i="7"/>
  <c r="H2428" i="7"/>
  <c r="M2428" i="7"/>
  <c r="K2428" i="7"/>
  <c r="L2428" i="7"/>
  <c r="H2422" i="7"/>
  <c r="M2422" i="7"/>
  <c r="K2422" i="7"/>
  <c r="L2422" i="7"/>
  <c r="H2416" i="7"/>
  <c r="M2416" i="7"/>
  <c r="K2416" i="7"/>
  <c r="L2416" i="7"/>
  <c r="H2410" i="7"/>
  <c r="M2410" i="7"/>
  <c r="K2410" i="7"/>
  <c r="L2410" i="7"/>
  <c r="H2404" i="7"/>
  <c r="M2404" i="7"/>
  <c r="K2404" i="7"/>
  <c r="L2404" i="7"/>
  <c r="H2398" i="7"/>
  <c r="M2398" i="7"/>
  <c r="K2398" i="7"/>
  <c r="L2398" i="7"/>
  <c r="H2392" i="7"/>
  <c r="M2392" i="7"/>
  <c r="K2392" i="7"/>
  <c r="L2392" i="7"/>
  <c r="H2386" i="7"/>
  <c r="M2386" i="7"/>
  <c r="K2386" i="7"/>
  <c r="L2386" i="7"/>
  <c r="H2380" i="7"/>
  <c r="M2380" i="7"/>
  <c r="K2380" i="7"/>
  <c r="L2380" i="7"/>
  <c r="H2374" i="7"/>
  <c r="M2374" i="7"/>
  <c r="K2374" i="7"/>
  <c r="L2374" i="7"/>
  <c r="H2368" i="7"/>
  <c r="M2368" i="7"/>
  <c r="K2368" i="7"/>
  <c r="L2368" i="7"/>
  <c r="H2362" i="7"/>
  <c r="M2362" i="7"/>
  <c r="K2362" i="7"/>
  <c r="L2362" i="7"/>
  <c r="H2356" i="7"/>
  <c r="M2356" i="7"/>
  <c r="K2356" i="7"/>
  <c r="L2356" i="7"/>
  <c r="H2350" i="7"/>
  <c r="M2350" i="7"/>
  <c r="K2350" i="7"/>
  <c r="L2350" i="7"/>
  <c r="H2344" i="7"/>
  <c r="M2344" i="7"/>
  <c r="K2344" i="7"/>
  <c r="L2344" i="7"/>
  <c r="H2338" i="7"/>
  <c r="M2338" i="7"/>
  <c r="K2338" i="7"/>
  <c r="L2338" i="7"/>
  <c r="H2332" i="7"/>
  <c r="M2332" i="7"/>
  <c r="K2332" i="7"/>
  <c r="L2332" i="7"/>
  <c r="H2326" i="7"/>
  <c r="M2326" i="7"/>
  <c r="K2326" i="7"/>
  <c r="L2326" i="7"/>
  <c r="H2320" i="7"/>
  <c r="M2320" i="7"/>
  <c r="K2320" i="7"/>
  <c r="L2320" i="7"/>
  <c r="H2314" i="7"/>
  <c r="M2314" i="7"/>
  <c r="K2314" i="7"/>
  <c r="L2314" i="7"/>
  <c r="H2308" i="7"/>
  <c r="M2308" i="7"/>
  <c r="K2308" i="7"/>
  <c r="L2308" i="7"/>
  <c r="H2302" i="7"/>
  <c r="M2302" i="7"/>
  <c r="K2302" i="7"/>
  <c r="L2302" i="7"/>
  <c r="H2296" i="7"/>
  <c r="M2296" i="7"/>
  <c r="K2296" i="7"/>
  <c r="L2296" i="7"/>
  <c r="H2290" i="7"/>
  <c r="M2290" i="7"/>
  <c r="K2290" i="7"/>
  <c r="L2290" i="7"/>
  <c r="H2284" i="7"/>
  <c r="M2284" i="7"/>
  <c r="K2284" i="7"/>
  <c r="L2284" i="7"/>
  <c r="H2278" i="7"/>
  <c r="M2278" i="7"/>
  <c r="K2278" i="7"/>
  <c r="L2278" i="7"/>
  <c r="H2272" i="7"/>
  <c r="M2272" i="7"/>
  <c r="K2272" i="7"/>
  <c r="L2272" i="7"/>
  <c r="H2266" i="7"/>
  <c r="M2266" i="7"/>
  <c r="K2266" i="7"/>
  <c r="L2266" i="7"/>
  <c r="H2260" i="7"/>
  <c r="M2260" i="7"/>
  <c r="K2260" i="7"/>
  <c r="L2260" i="7"/>
  <c r="H2254" i="7"/>
  <c r="M2254" i="7"/>
  <c r="K2254" i="7"/>
  <c r="L2254" i="7"/>
  <c r="H2248" i="7"/>
  <c r="M2248" i="7"/>
  <c r="K2248" i="7"/>
  <c r="L2248" i="7"/>
  <c r="H2242" i="7"/>
  <c r="M2242" i="7"/>
  <c r="K2242" i="7"/>
  <c r="L2242" i="7"/>
  <c r="H2236" i="7"/>
  <c r="M2236" i="7"/>
  <c r="K2236" i="7"/>
  <c r="L2236" i="7"/>
  <c r="H2230" i="7"/>
  <c r="M2230" i="7"/>
  <c r="K2230" i="7"/>
  <c r="L2230" i="7"/>
  <c r="H2224" i="7"/>
  <c r="M2224" i="7"/>
  <c r="K2224" i="7"/>
  <c r="L2224" i="7"/>
  <c r="H2218" i="7"/>
  <c r="M2218" i="7"/>
  <c r="K2218" i="7"/>
  <c r="L2218" i="7"/>
  <c r="H2212" i="7"/>
  <c r="M2212" i="7"/>
  <c r="K2212" i="7"/>
  <c r="L2212" i="7"/>
  <c r="H2206" i="7"/>
  <c r="M2206" i="7"/>
  <c r="K2206" i="7"/>
  <c r="L2206" i="7"/>
  <c r="H2200" i="7"/>
  <c r="M2200" i="7"/>
  <c r="K2200" i="7"/>
  <c r="L2200" i="7"/>
  <c r="H2194" i="7"/>
  <c r="M2194" i="7"/>
  <c r="K2194" i="7"/>
  <c r="L2194" i="7"/>
  <c r="H2188" i="7"/>
  <c r="M2188" i="7"/>
  <c r="K2188" i="7"/>
  <c r="L2188" i="7"/>
  <c r="H2182" i="7"/>
  <c r="M2182" i="7"/>
  <c r="K2182" i="7"/>
  <c r="L2182" i="7"/>
  <c r="H2176" i="7"/>
  <c r="M2176" i="7"/>
  <c r="K2176" i="7"/>
  <c r="L2176" i="7"/>
  <c r="H2170" i="7"/>
  <c r="M2170" i="7"/>
  <c r="K2170" i="7"/>
  <c r="L2170" i="7"/>
  <c r="H2164" i="7"/>
  <c r="M2164" i="7"/>
  <c r="K2164" i="7"/>
  <c r="L2164" i="7"/>
  <c r="H2158" i="7"/>
  <c r="M2158" i="7"/>
  <c r="K2158" i="7"/>
  <c r="L2158" i="7"/>
  <c r="H2152" i="7"/>
  <c r="M2152" i="7"/>
  <c r="K2152" i="7"/>
  <c r="L2152" i="7"/>
  <c r="H2146" i="7"/>
  <c r="M2146" i="7"/>
  <c r="K2146" i="7"/>
  <c r="L2146" i="7"/>
  <c r="H2140" i="7"/>
  <c r="M2140" i="7"/>
  <c r="K2140" i="7"/>
  <c r="L2140" i="7"/>
  <c r="H2134" i="7"/>
  <c r="M2134" i="7"/>
  <c r="K2134" i="7"/>
  <c r="L2134" i="7"/>
  <c r="H2128" i="7"/>
  <c r="M2128" i="7"/>
  <c r="K2128" i="7"/>
  <c r="L2128" i="7"/>
  <c r="H2122" i="7"/>
  <c r="M2122" i="7"/>
  <c r="K2122" i="7"/>
  <c r="L2122" i="7"/>
  <c r="H2116" i="7"/>
  <c r="M2116" i="7"/>
  <c r="K2116" i="7"/>
  <c r="L2116" i="7"/>
  <c r="H2110" i="7"/>
  <c r="M2110" i="7"/>
  <c r="K2110" i="7"/>
  <c r="L2110" i="7"/>
  <c r="H2104" i="7"/>
  <c r="M2104" i="7"/>
  <c r="K2104" i="7"/>
  <c r="L2104" i="7"/>
  <c r="H2098" i="7"/>
  <c r="M2098" i="7"/>
  <c r="K2098" i="7"/>
  <c r="L2098" i="7"/>
  <c r="H2092" i="7"/>
  <c r="M2092" i="7"/>
  <c r="K2092" i="7"/>
  <c r="L2092" i="7"/>
  <c r="H2086" i="7"/>
  <c r="M2086" i="7"/>
  <c r="K2086" i="7"/>
  <c r="L2086" i="7"/>
  <c r="H2080" i="7"/>
  <c r="M2080" i="7"/>
  <c r="K2080" i="7"/>
  <c r="L2080" i="7"/>
  <c r="H2074" i="7"/>
  <c r="M2074" i="7"/>
  <c r="K2074" i="7"/>
  <c r="L2074" i="7"/>
  <c r="H2068" i="7"/>
  <c r="M2068" i="7"/>
  <c r="K2068" i="7"/>
  <c r="L2068" i="7"/>
  <c r="H2062" i="7"/>
  <c r="M2062" i="7"/>
  <c r="K2062" i="7"/>
  <c r="L2062" i="7"/>
  <c r="H2056" i="7"/>
  <c r="M2056" i="7"/>
  <c r="K2056" i="7"/>
  <c r="L2056" i="7"/>
  <c r="H2050" i="7"/>
  <c r="M2050" i="7"/>
  <c r="K2050" i="7"/>
  <c r="L2050" i="7"/>
  <c r="H2044" i="7"/>
  <c r="M2044" i="7"/>
  <c r="K2044" i="7"/>
  <c r="L2044" i="7"/>
  <c r="H2038" i="7"/>
  <c r="M2038" i="7"/>
  <c r="K2038" i="7"/>
  <c r="L2038" i="7"/>
  <c r="H2032" i="7"/>
  <c r="M2032" i="7"/>
  <c r="K2032" i="7"/>
  <c r="L2032" i="7"/>
  <c r="H2026" i="7"/>
  <c r="M2026" i="7"/>
  <c r="K2026" i="7"/>
  <c r="L2026" i="7"/>
  <c r="H2020" i="7"/>
  <c r="M2020" i="7"/>
  <c r="K2020" i="7"/>
  <c r="L2020" i="7"/>
  <c r="H2014" i="7"/>
  <c r="M2014" i="7"/>
  <c r="K2014" i="7"/>
  <c r="L2014" i="7"/>
  <c r="H2008" i="7"/>
  <c r="M2008" i="7"/>
  <c r="K2008" i="7"/>
  <c r="L2008" i="7"/>
  <c r="H2002" i="7"/>
  <c r="M2002" i="7"/>
  <c r="K2002" i="7"/>
  <c r="L2002" i="7"/>
  <c r="H1996" i="7"/>
  <c r="M1996" i="7"/>
  <c r="K1996" i="7"/>
  <c r="L1996" i="7"/>
  <c r="H1990" i="7"/>
  <c r="M1990" i="7"/>
  <c r="K1990" i="7"/>
  <c r="L1990" i="7"/>
  <c r="H1984" i="7"/>
  <c r="M1984" i="7"/>
  <c r="K1984" i="7"/>
  <c r="L1984" i="7"/>
  <c r="H1978" i="7"/>
  <c r="M1978" i="7"/>
  <c r="K1978" i="7"/>
  <c r="L1978" i="7"/>
  <c r="H1972" i="7"/>
  <c r="M1972" i="7"/>
  <c r="K1972" i="7"/>
  <c r="L1972" i="7"/>
  <c r="H1966" i="7"/>
  <c r="M1966" i="7"/>
  <c r="K1966" i="7"/>
  <c r="L1966" i="7"/>
  <c r="H1960" i="7"/>
  <c r="M1960" i="7"/>
  <c r="K1960" i="7"/>
  <c r="L1960" i="7"/>
  <c r="H1954" i="7"/>
  <c r="M1954" i="7"/>
  <c r="K1954" i="7"/>
  <c r="L1954" i="7"/>
  <c r="H1948" i="7"/>
  <c r="M1948" i="7"/>
  <c r="K1948" i="7"/>
  <c r="L1948" i="7"/>
  <c r="H1942" i="7"/>
  <c r="M1942" i="7"/>
  <c r="K1942" i="7"/>
  <c r="L1942" i="7"/>
  <c r="H1936" i="7"/>
  <c r="M1936" i="7"/>
  <c r="K1936" i="7"/>
  <c r="L1936" i="7"/>
  <c r="H1930" i="7"/>
  <c r="M1930" i="7"/>
  <c r="K1930" i="7"/>
  <c r="L1930" i="7"/>
  <c r="H1924" i="7"/>
  <c r="M1924" i="7"/>
  <c r="K1924" i="7"/>
  <c r="L1924" i="7"/>
  <c r="H1918" i="7"/>
  <c r="M1918" i="7"/>
  <c r="K1918" i="7"/>
  <c r="L1918" i="7"/>
  <c r="H1912" i="7"/>
  <c r="M1912" i="7"/>
  <c r="K1912" i="7"/>
  <c r="L1912" i="7"/>
  <c r="H1906" i="7"/>
  <c r="M1906" i="7"/>
  <c r="K1906" i="7"/>
  <c r="L1906" i="7"/>
  <c r="H1900" i="7"/>
  <c r="M1900" i="7"/>
  <c r="K1900" i="7"/>
  <c r="L1900" i="7"/>
  <c r="H1894" i="7"/>
  <c r="M1894" i="7"/>
  <c r="K1894" i="7"/>
  <c r="L1894" i="7"/>
  <c r="H1888" i="7"/>
  <c r="M1888" i="7"/>
  <c r="K1888" i="7"/>
  <c r="L1888" i="7"/>
  <c r="H1882" i="7"/>
  <c r="M1882" i="7"/>
  <c r="K1882" i="7"/>
  <c r="L1882" i="7"/>
  <c r="H1876" i="7"/>
  <c r="M1876" i="7"/>
  <c r="K1876" i="7"/>
  <c r="L1876" i="7"/>
  <c r="H1870" i="7"/>
  <c r="M1870" i="7"/>
  <c r="K1870" i="7"/>
  <c r="L1870" i="7"/>
  <c r="H1864" i="7"/>
  <c r="M1864" i="7"/>
  <c r="K1864" i="7"/>
  <c r="L1864" i="7"/>
  <c r="H1858" i="7"/>
  <c r="M1858" i="7"/>
  <c r="K1858" i="7"/>
  <c r="L1858" i="7"/>
  <c r="H1852" i="7"/>
  <c r="M1852" i="7"/>
  <c r="K1852" i="7"/>
  <c r="L1852" i="7"/>
  <c r="H1846" i="7"/>
  <c r="M1846" i="7"/>
  <c r="K1846" i="7"/>
  <c r="L1846" i="7"/>
  <c r="H1840" i="7"/>
  <c r="M1840" i="7"/>
  <c r="K1840" i="7"/>
  <c r="L1840" i="7"/>
  <c r="H1834" i="7"/>
  <c r="M1834" i="7"/>
  <c r="K1834" i="7"/>
  <c r="L1834" i="7"/>
  <c r="H1828" i="7"/>
  <c r="M1828" i="7"/>
  <c r="K1828" i="7"/>
  <c r="L1828" i="7"/>
  <c r="H1822" i="7"/>
  <c r="M1822" i="7"/>
  <c r="K1822" i="7"/>
  <c r="L1822" i="7"/>
  <c r="H1816" i="7"/>
  <c r="M1816" i="7"/>
  <c r="K1816" i="7"/>
  <c r="L1816" i="7"/>
  <c r="H1810" i="7"/>
  <c r="M1810" i="7"/>
  <c r="K1810" i="7"/>
  <c r="L1810" i="7"/>
  <c r="H1804" i="7"/>
  <c r="M1804" i="7"/>
  <c r="K1804" i="7"/>
  <c r="L1804" i="7"/>
  <c r="H1798" i="7"/>
  <c r="M1798" i="7"/>
  <c r="K1798" i="7"/>
  <c r="L1798" i="7"/>
  <c r="H1792" i="7"/>
  <c r="M1792" i="7"/>
  <c r="K1792" i="7"/>
  <c r="L1792" i="7"/>
  <c r="H1786" i="7"/>
  <c r="M1786" i="7"/>
  <c r="K1786" i="7"/>
  <c r="L1786" i="7"/>
  <c r="H1780" i="7"/>
  <c r="M1780" i="7"/>
  <c r="K1780" i="7"/>
  <c r="L1780" i="7"/>
  <c r="H1774" i="7"/>
  <c r="M1774" i="7"/>
  <c r="K1774" i="7"/>
  <c r="L1774" i="7"/>
  <c r="H1768" i="7"/>
  <c r="M1768" i="7"/>
  <c r="K1768" i="7"/>
  <c r="L1768" i="7"/>
  <c r="H1762" i="7"/>
  <c r="M1762" i="7"/>
  <c r="K1762" i="7"/>
  <c r="L1762" i="7"/>
  <c r="H1756" i="7"/>
  <c r="M1756" i="7"/>
  <c r="K1756" i="7"/>
  <c r="L1756" i="7"/>
  <c r="H1750" i="7"/>
  <c r="M1750" i="7"/>
  <c r="K1750" i="7"/>
  <c r="L1750" i="7"/>
  <c r="H1744" i="7"/>
  <c r="M1744" i="7"/>
  <c r="K1744" i="7"/>
  <c r="L1744" i="7"/>
  <c r="H1738" i="7"/>
  <c r="M1738" i="7"/>
  <c r="K1738" i="7"/>
  <c r="L1738" i="7"/>
  <c r="H1732" i="7"/>
  <c r="M1732" i="7"/>
  <c r="K1732" i="7"/>
  <c r="L1732" i="7"/>
  <c r="H1726" i="7"/>
  <c r="M1726" i="7"/>
  <c r="K1726" i="7"/>
  <c r="L1726" i="7"/>
  <c r="H1720" i="7"/>
  <c r="M1720" i="7"/>
  <c r="K1720" i="7"/>
  <c r="L1720" i="7"/>
  <c r="H1714" i="7"/>
  <c r="M1714" i="7"/>
  <c r="K1714" i="7"/>
  <c r="L1714" i="7"/>
  <c r="H1708" i="7"/>
  <c r="M1708" i="7"/>
  <c r="K1708" i="7"/>
  <c r="L1708" i="7"/>
  <c r="H1702" i="7"/>
  <c r="M1702" i="7"/>
  <c r="K1702" i="7"/>
  <c r="L1702" i="7"/>
  <c r="H1696" i="7"/>
  <c r="M1696" i="7"/>
  <c r="K1696" i="7"/>
  <c r="L1696" i="7"/>
  <c r="H1690" i="7"/>
  <c r="M1690" i="7"/>
  <c r="K1690" i="7"/>
  <c r="L1690" i="7"/>
  <c r="H1684" i="7"/>
  <c r="M1684" i="7"/>
  <c r="K1684" i="7"/>
  <c r="L1684" i="7"/>
  <c r="H1678" i="7"/>
  <c r="M1678" i="7"/>
  <c r="K1678" i="7"/>
  <c r="L1678" i="7"/>
  <c r="H1672" i="7"/>
  <c r="M1672" i="7"/>
  <c r="K1672" i="7"/>
  <c r="L1672" i="7"/>
  <c r="H1666" i="7"/>
  <c r="M1666" i="7"/>
  <c r="K1666" i="7"/>
  <c r="L1666" i="7"/>
  <c r="H1660" i="7"/>
  <c r="M1660" i="7"/>
  <c r="K1660" i="7"/>
  <c r="L1660" i="7"/>
  <c r="H1654" i="7"/>
  <c r="M1654" i="7"/>
  <c r="K1654" i="7"/>
  <c r="L1654" i="7"/>
  <c r="H1648" i="7"/>
  <c r="M1648" i="7"/>
  <c r="K1648" i="7"/>
  <c r="L1648" i="7"/>
  <c r="H1642" i="7"/>
  <c r="M1642" i="7"/>
  <c r="K1642" i="7"/>
  <c r="L1642" i="7"/>
  <c r="H1636" i="7"/>
  <c r="M1636" i="7"/>
  <c r="K1636" i="7"/>
  <c r="L1636" i="7"/>
  <c r="H1630" i="7"/>
  <c r="M1630" i="7"/>
  <c r="K1630" i="7"/>
  <c r="L1630" i="7"/>
  <c r="H1624" i="7"/>
  <c r="M1624" i="7"/>
  <c r="K1624" i="7"/>
  <c r="L1624" i="7"/>
  <c r="H1618" i="7"/>
  <c r="M1618" i="7"/>
  <c r="K1618" i="7"/>
  <c r="L1618" i="7"/>
  <c r="H1612" i="7"/>
  <c r="M1612" i="7"/>
  <c r="K1612" i="7"/>
  <c r="L1612" i="7"/>
  <c r="H1606" i="7"/>
  <c r="M1606" i="7"/>
  <c r="K1606" i="7"/>
  <c r="L1606" i="7"/>
  <c r="H1600" i="7"/>
  <c r="M1600" i="7"/>
  <c r="K1600" i="7"/>
  <c r="L1600" i="7"/>
  <c r="H1594" i="7"/>
  <c r="M1594" i="7"/>
  <c r="K1594" i="7"/>
  <c r="L1594" i="7"/>
  <c r="H1588" i="7"/>
  <c r="M1588" i="7"/>
  <c r="K1588" i="7"/>
  <c r="L1588" i="7"/>
  <c r="H1582" i="7"/>
  <c r="M1582" i="7"/>
  <c r="K1582" i="7"/>
  <c r="L1582" i="7"/>
  <c r="H1576" i="7"/>
  <c r="M1576" i="7"/>
  <c r="K1576" i="7"/>
  <c r="L1576" i="7"/>
  <c r="H1570" i="7"/>
  <c r="M1570" i="7"/>
  <c r="K1570" i="7"/>
  <c r="L1570" i="7"/>
  <c r="H1564" i="7"/>
  <c r="M1564" i="7"/>
  <c r="K1564" i="7"/>
  <c r="L1564" i="7"/>
  <c r="H1558" i="7"/>
  <c r="M1558" i="7"/>
  <c r="K1558" i="7"/>
  <c r="L1558" i="7"/>
  <c r="H1552" i="7"/>
  <c r="M1552" i="7"/>
  <c r="K1552" i="7"/>
  <c r="L1552" i="7"/>
  <c r="H1546" i="7"/>
  <c r="M1546" i="7"/>
  <c r="K1546" i="7"/>
  <c r="L1546" i="7"/>
  <c r="H1540" i="7"/>
  <c r="M1540" i="7"/>
  <c r="K1540" i="7"/>
  <c r="L1540" i="7"/>
  <c r="H1534" i="7"/>
  <c r="M1534" i="7"/>
  <c r="K1534" i="7"/>
  <c r="L1534" i="7"/>
  <c r="H2703" i="7"/>
  <c r="M2703" i="7"/>
  <c r="K2703" i="7"/>
  <c r="L2703" i="7"/>
  <c r="H2697" i="7"/>
  <c r="M2697" i="7"/>
  <c r="K2697" i="7"/>
  <c r="L2697" i="7"/>
  <c r="H2691" i="7"/>
  <c r="M2691" i="7"/>
  <c r="K2691" i="7"/>
  <c r="L2691" i="7"/>
  <c r="H2685" i="7"/>
  <c r="M2685" i="7"/>
  <c r="K2685" i="7"/>
  <c r="L2685" i="7"/>
  <c r="H2679" i="7"/>
  <c r="M2679" i="7"/>
  <c r="L2679" i="7"/>
  <c r="K2679" i="7"/>
  <c r="H2673" i="7"/>
  <c r="M2673" i="7"/>
  <c r="L2673" i="7"/>
  <c r="K2673" i="7"/>
  <c r="H2667" i="7"/>
  <c r="M2667" i="7"/>
  <c r="K2667" i="7"/>
  <c r="L2667" i="7"/>
  <c r="H2661" i="7"/>
  <c r="M2661" i="7"/>
  <c r="K2661" i="7"/>
  <c r="L2661" i="7"/>
  <c r="H2655" i="7"/>
  <c r="M2655" i="7"/>
  <c r="K2655" i="7"/>
  <c r="L2655" i="7"/>
  <c r="H2649" i="7"/>
  <c r="M2649" i="7"/>
  <c r="K2649" i="7"/>
  <c r="L2649" i="7"/>
  <c r="H2643" i="7"/>
  <c r="M2643" i="7"/>
  <c r="L2643" i="7"/>
  <c r="K2643" i="7"/>
  <c r="H2637" i="7"/>
  <c r="M2637" i="7"/>
  <c r="K2637" i="7"/>
  <c r="L2637" i="7"/>
  <c r="H2631" i="7"/>
  <c r="M2631" i="7"/>
  <c r="K2631" i="7"/>
  <c r="L2631" i="7"/>
  <c r="H2625" i="7"/>
  <c r="M2625" i="7"/>
  <c r="K2625" i="7"/>
  <c r="L2625" i="7"/>
  <c r="H2619" i="7"/>
  <c r="M2619" i="7"/>
  <c r="K2619" i="7"/>
  <c r="L2619" i="7"/>
  <c r="H2613" i="7"/>
  <c r="M2613" i="7"/>
  <c r="K2613" i="7"/>
  <c r="L2613" i="7"/>
  <c r="H2607" i="7"/>
  <c r="M2607" i="7"/>
  <c r="L2607" i="7"/>
  <c r="K2607" i="7"/>
  <c r="H2601" i="7"/>
  <c r="M2601" i="7"/>
  <c r="L2601" i="7"/>
  <c r="K2601" i="7"/>
  <c r="H2595" i="7"/>
  <c r="M2595" i="7"/>
  <c r="K2595" i="7"/>
  <c r="L2595" i="7"/>
  <c r="H2589" i="7"/>
  <c r="M2589" i="7"/>
  <c r="K2589" i="7"/>
  <c r="L2589" i="7"/>
  <c r="H2583" i="7"/>
  <c r="M2583" i="7"/>
  <c r="K2583" i="7"/>
  <c r="L2583" i="7"/>
  <c r="H2577" i="7"/>
  <c r="M2577" i="7"/>
  <c r="K2577" i="7"/>
  <c r="L2577" i="7"/>
  <c r="H2571" i="7"/>
  <c r="M2571" i="7"/>
  <c r="L2571" i="7"/>
  <c r="K2571" i="7"/>
  <c r="H2565" i="7"/>
  <c r="M2565" i="7"/>
  <c r="L2565" i="7"/>
  <c r="K2565" i="7"/>
  <c r="H2559" i="7"/>
  <c r="M2559" i="7"/>
  <c r="K2559" i="7"/>
  <c r="L2559" i="7"/>
  <c r="H2553" i="7"/>
  <c r="M2553" i="7"/>
  <c r="K2553" i="7"/>
  <c r="L2553" i="7"/>
  <c r="H2547" i="7"/>
  <c r="M2547" i="7"/>
  <c r="K2547" i="7"/>
  <c r="L2547" i="7"/>
  <c r="H2541" i="7"/>
  <c r="M2541" i="7"/>
  <c r="K2541" i="7"/>
  <c r="L2541" i="7"/>
  <c r="H2535" i="7"/>
  <c r="M2535" i="7"/>
  <c r="L2535" i="7"/>
  <c r="K2535" i="7"/>
  <c r="H2529" i="7"/>
  <c r="M2529" i="7"/>
  <c r="K2529" i="7"/>
  <c r="L2529" i="7"/>
  <c r="H2523" i="7"/>
  <c r="M2523" i="7"/>
  <c r="K2523" i="7"/>
  <c r="L2523" i="7"/>
  <c r="H2517" i="7"/>
  <c r="M2517" i="7"/>
  <c r="K2517" i="7"/>
  <c r="L2517" i="7"/>
  <c r="H2511" i="7"/>
  <c r="M2511" i="7"/>
  <c r="K2511" i="7"/>
  <c r="L2511" i="7"/>
  <c r="H2505" i="7"/>
  <c r="M2505" i="7"/>
  <c r="K2505" i="7"/>
  <c r="L2505" i="7"/>
  <c r="H2499" i="7"/>
  <c r="M2499" i="7"/>
  <c r="L2499" i="7"/>
  <c r="K2499" i="7"/>
  <c r="H2493" i="7"/>
  <c r="M2493" i="7"/>
  <c r="L2493" i="7"/>
  <c r="K2493" i="7"/>
  <c r="H2487" i="7"/>
  <c r="M2487" i="7"/>
  <c r="K2487" i="7"/>
  <c r="L2487" i="7"/>
  <c r="H2481" i="7"/>
  <c r="M2481" i="7"/>
  <c r="K2481" i="7"/>
  <c r="L2481" i="7"/>
  <c r="H2475" i="7"/>
  <c r="M2475" i="7"/>
  <c r="K2475" i="7"/>
  <c r="L2475" i="7"/>
  <c r="H2469" i="7"/>
  <c r="M2469" i="7"/>
  <c r="K2469" i="7"/>
  <c r="L2469" i="7"/>
  <c r="H2463" i="7"/>
  <c r="M2463" i="7"/>
  <c r="K2463" i="7"/>
  <c r="L2463" i="7"/>
  <c r="H2457" i="7"/>
  <c r="M2457" i="7"/>
  <c r="K2457" i="7"/>
  <c r="L2457" i="7"/>
  <c r="H2451" i="7"/>
  <c r="M2451" i="7"/>
  <c r="K2451" i="7"/>
  <c r="L2451" i="7"/>
  <c r="H2445" i="7"/>
  <c r="M2445" i="7"/>
  <c r="K2445" i="7"/>
  <c r="L2445" i="7"/>
  <c r="H2439" i="7"/>
  <c r="M2439" i="7"/>
  <c r="K2439" i="7"/>
  <c r="L2439" i="7"/>
  <c r="H2433" i="7"/>
  <c r="M2433" i="7"/>
  <c r="K2433" i="7"/>
  <c r="L2433" i="7"/>
  <c r="H2427" i="7"/>
  <c r="M2427" i="7"/>
  <c r="K2427" i="7"/>
  <c r="L2427" i="7"/>
  <c r="H2421" i="7"/>
  <c r="M2421" i="7"/>
  <c r="K2421" i="7"/>
  <c r="L2421" i="7"/>
  <c r="H2415" i="7"/>
  <c r="M2415" i="7"/>
  <c r="K2415" i="7"/>
  <c r="L2415" i="7"/>
  <c r="H2409" i="7"/>
  <c r="M2409" i="7"/>
  <c r="K2409" i="7"/>
  <c r="L2409" i="7"/>
  <c r="H2403" i="7"/>
  <c r="M2403" i="7"/>
  <c r="K2403" i="7"/>
  <c r="L2403" i="7"/>
  <c r="H2397" i="7"/>
  <c r="M2397" i="7"/>
  <c r="K2397" i="7"/>
  <c r="L2397" i="7"/>
  <c r="H2391" i="7"/>
  <c r="M2391" i="7"/>
  <c r="K2391" i="7"/>
  <c r="L2391" i="7"/>
  <c r="H2385" i="7"/>
  <c r="M2385" i="7"/>
  <c r="K2385" i="7"/>
  <c r="L2385" i="7"/>
  <c r="H2379" i="7"/>
  <c r="M2379" i="7"/>
  <c r="K2379" i="7"/>
  <c r="L2379" i="7"/>
  <c r="H2373" i="7"/>
  <c r="M2373" i="7"/>
  <c r="K2373" i="7"/>
  <c r="L2373" i="7"/>
  <c r="H2367" i="7"/>
  <c r="M2367" i="7"/>
  <c r="K2367" i="7"/>
  <c r="L2367" i="7"/>
  <c r="H2361" i="7"/>
  <c r="M2361" i="7"/>
  <c r="K2361" i="7"/>
  <c r="L2361" i="7"/>
  <c r="H2355" i="7"/>
  <c r="M2355" i="7"/>
  <c r="K2355" i="7"/>
  <c r="L2355" i="7"/>
  <c r="H2349" i="7"/>
  <c r="M2349" i="7"/>
  <c r="K2349" i="7"/>
  <c r="L2349" i="7"/>
  <c r="H2343" i="7"/>
  <c r="M2343" i="7"/>
  <c r="K2343" i="7"/>
  <c r="L2343" i="7"/>
  <c r="H2337" i="7"/>
  <c r="M2337" i="7"/>
  <c r="K2337" i="7"/>
  <c r="L2337" i="7"/>
  <c r="H2331" i="7"/>
  <c r="M2331" i="7"/>
  <c r="K2331" i="7"/>
  <c r="L2331" i="7"/>
  <c r="H2325" i="7"/>
  <c r="M2325" i="7"/>
  <c r="K2325" i="7"/>
  <c r="L2325" i="7"/>
  <c r="H2319" i="7"/>
  <c r="M2319" i="7"/>
  <c r="K2319" i="7"/>
  <c r="L2319" i="7"/>
  <c r="H2313" i="7"/>
  <c r="M2313" i="7"/>
  <c r="K2313" i="7"/>
  <c r="L2313" i="7"/>
  <c r="H2307" i="7"/>
  <c r="M2307" i="7"/>
  <c r="K2307" i="7"/>
  <c r="L2307" i="7"/>
  <c r="H2301" i="7"/>
  <c r="M2301" i="7"/>
  <c r="K2301" i="7"/>
  <c r="L2301" i="7"/>
  <c r="H2295" i="7"/>
  <c r="M2295" i="7"/>
  <c r="K2295" i="7"/>
  <c r="L2295" i="7"/>
  <c r="H2289" i="7"/>
  <c r="M2289" i="7"/>
  <c r="K2289" i="7"/>
  <c r="L2289" i="7"/>
  <c r="H2283" i="7"/>
  <c r="M2283" i="7"/>
  <c r="K2283" i="7"/>
  <c r="L2283" i="7"/>
  <c r="H2277" i="7"/>
  <c r="M2277" i="7"/>
  <c r="K2277" i="7"/>
  <c r="L2277" i="7"/>
  <c r="H2271" i="7"/>
  <c r="M2271" i="7"/>
  <c r="K2271" i="7"/>
  <c r="L2271" i="7"/>
  <c r="H2265" i="7"/>
  <c r="M2265" i="7"/>
  <c r="K2265" i="7"/>
  <c r="L2265" i="7"/>
  <c r="H2259" i="7"/>
  <c r="M2259" i="7"/>
  <c r="K2259" i="7"/>
  <c r="L2259" i="7"/>
  <c r="H2253" i="7"/>
  <c r="M2253" i="7"/>
  <c r="K2253" i="7"/>
  <c r="L2253" i="7"/>
  <c r="H2247" i="7"/>
  <c r="M2247" i="7"/>
  <c r="K2247" i="7"/>
  <c r="L2247" i="7"/>
  <c r="H2241" i="7"/>
  <c r="M2241" i="7"/>
  <c r="K2241" i="7"/>
  <c r="L2241" i="7"/>
  <c r="H2235" i="7"/>
  <c r="M2235" i="7"/>
  <c r="K2235" i="7"/>
  <c r="L2235" i="7"/>
  <c r="H2229" i="7"/>
  <c r="M2229" i="7"/>
  <c r="K2229" i="7"/>
  <c r="L2229" i="7"/>
  <c r="H2223" i="7"/>
  <c r="M2223" i="7"/>
  <c r="K2223" i="7"/>
  <c r="L2223" i="7"/>
  <c r="H2217" i="7"/>
  <c r="M2217" i="7"/>
  <c r="K2217" i="7"/>
  <c r="L2217" i="7"/>
  <c r="H2211" i="7"/>
  <c r="M2211" i="7"/>
  <c r="K2211" i="7"/>
  <c r="L2211" i="7"/>
  <c r="H2205" i="7"/>
  <c r="M2205" i="7"/>
  <c r="K2205" i="7"/>
  <c r="L2205" i="7"/>
  <c r="H2199" i="7"/>
  <c r="M2199" i="7"/>
  <c r="K2199" i="7"/>
  <c r="L2199" i="7"/>
  <c r="H2193" i="7"/>
  <c r="M2193" i="7"/>
  <c r="K2193" i="7"/>
  <c r="L2193" i="7"/>
  <c r="H2187" i="7"/>
  <c r="M2187" i="7"/>
  <c r="K2187" i="7"/>
  <c r="L2187" i="7"/>
  <c r="H2181" i="7"/>
  <c r="M2181" i="7"/>
  <c r="K2181" i="7"/>
  <c r="L2181" i="7"/>
  <c r="H2175" i="7"/>
  <c r="M2175" i="7"/>
  <c r="K2175" i="7"/>
  <c r="L2175" i="7"/>
  <c r="H2169" i="7"/>
  <c r="M2169" i="7"/>
  <c r="K2169" i="7"/>
  <c r="L2169" i="7"/>
  <c r="H2163" i="7"/>
  <c r="M2163" i="7"/>
  <c r="K2163" i="7"/>
  <c r="L2163" i="7"/>
  <c r="H2157" i="7"/>
  <c r="M2157" i="7"/>
  <c r="K2157" i="7"/>
  <c r="L2157" i="7"/>
  <c r="H2151" i="7"/>
  <c r="M2151" i="7"/>
  <c r="K2151" i="7"/>
  <c r="L2151" i="7"/>
  <c r="H2145" i="7"/>
  <c r="M2145" i="7"/>
  <c r="K2145" i="7"/>
  <c r="L2145" i="7"/>
  <c r="H2139" i="7"/>
  <c r="M2139" i="7"/>
  <c r="K2139" i="7"/>
  <c r="L2139" i="7"/>
  <c r="H2133" i="7"/>
  <c r="M2133" i="7"/>
  <c r="K2133" i="7"/>
  <c r="L2133" i="7"/>
  <c r="H2127" i="7"/>
  <c r="M2127" i="7"/>
  <c r="K2127" i="7"/>
  <c r="L2127" i="7"/>
  <c r="H2121" i="7"/>
  <c r="M2121" i="7"/>
  <c r="K2121" i="7"/>
  <c r="L2121" i="7"/>
  <c r="H2115" i="7"/>
  <c r="M2115" i="7"/>
  <c r="K2115" i="7"/>
  <c r="L2115" i="7"/>
  <c r="H2109" i="7"/>
  <c r="M2109" i="7"/>
  <c r="K2109" i="7"/>
  <c r="L2109" i="7"/>
  <c r="H2103" i="7"/>
  <c r="M2103" i="7"/>
  <c r="K2103" i="7"/>
  <c r="L2103" i="7"/>
  <c r="H2097" i="7"/>
  <c r="M2097" i="7"/>
  <c r="K2097" i="7"/>
  <c r="L2097" i="7"/>
  <c r="H2091" i="7"/>
  <c r="M2091" i="7"/>
  <c r="K2091" i="7"/>
  <c r="L2091" i="7"/>
  <c r="H2085" i="7"/>
  <c r="M2085" i="7"/>
  <c r="K2085" i="7"/>
  <c r="L2085" i="7"/>
  <c r="H2079" i="7"/>
  <c r="M2079" i="7"/>
  <c r="K2079" i="7"/>
  <c r="L2079" i="7"/>
  <c r="H2073" i="7"/>
  <c r="M2073" i="7"/>
  <c r="K2073" i="7"/>
  <c r="L2073" i="7"/>
  <c r="H2067" i="7"/>
  <c r="M2067" i="7"/>
  <c r="K2067" i="7"/>
  <c r="L2067" i="7"/>
  <c r="H2061" i="7"/>
  <c r="M2061" i="7"/>
  <c r="K2061" i="7"/>
  <c r="L2061" i="7"/>
  <c r="H2055" i="7"/>
  <c r="M2055" i="7"/>
  <c r="K2055" i="7"/>
  <c r="L2055" i="7"/>
  <c r="H2049" i="7"/>
  <c r="M2049" i="7"/>
  <c r="K2049" i="7"/>
  <c r="L2049" i="7"/>
  <c r="H2043" i="7"/>
  <c r="M2043" i="7"/>
  <c r="K2043" i="7"/>
  <c r="L2043" i="7"/>
  <c r="H2037" i="7"/>
  <c r="M2037" i="7"/>
  <c r="K2037" i="7"/>
  <c r="L2037" i="7"/>
  <c r="H2031" i="7"/>
  <c r="M2031" i="7"/>
  <c r="K2031" i="7"/>
  <c r="L2031" i="7"/>
  <c r="H2025" i="7"/>
  <c r="M2025" i="7"/>
  <c r="K2025" i="7"/>
  <c r="L2025" i="7"/>
  <c r="H2019" i="7"/>
  <c r="M2019" i="7"/>
  <c r="K2019" i="7"/>
  <c r="L2019" i="7"/>
  <c r="H2013" i="7"/>
  <c r="M2013" i="7"/>
  <c r="K2013" i="7"/>
  <c r="L2013" i="7"/>
  <c r="H2007" i="7"/>
  <c r="M2007" i="7"/>
  <c r="K2007" i="7"/>
  <c r="L2007" i="7"/>
  <c r="H2001" i="7"/>
  <c r="M2001" i="7"/>
  <c r="K2001" i="7"/>
  <c r="L2001" i="7"/>
  <c r="H1995" i="7"/>
  <c r="M1995" i="7"/>
  <c r="K1995" i="7"/>
  <c r="L1995" i="7"/>
  <c r="H1989" i="7"/>
  <c r="M1989" i="7"/>
  <c r="K1989" i="7"/>
  <c r="L1989" i="7"/>
  <c r="H1983" i="7"/>
  <c r="M1983" i="7"/>
  <c r="K1983" i="7"/>
  <c r="L1983" i="7"/>
  <c r="H1977" i="7"/>
  <c r="M1977" i="7"/>
  <c r="K1977" i="7"/>
  <c r="L1977" i="7"/>
  <c r="H1971" i="7"/>
  <c r="M1971" i="7"/>
  <c r="K1971" i="7"/>
  <c r="L1971" i="7"/>
  <c r="H1965" i="7"/>
  <c r="M1965" i="7"/>
  <c r="K1965" i="7"/>
  <c r="L1965" i="7"/>
  <c r="H1959" i="7"/>
  <c r="M1959" i="7"/>
  <c r="K1959" i="7"/>
  <c r="L1959" i="7"/>
  <c r="H1953" i="7"/>
  <c r="M1953" i="7"/>
  <c r="K1953" i="7"/>
  <c r="L1953" i="7"/>
  <c r="H1947" i="7"/>
  <c r="M1947" i="7"/>
  <c r="K1947" i="7"/>
  <c r="L1947" i="7"/>
  <c r="H1941" i="7"/>
  <c r="M1941" i="7"/>
  <c r="K1941" i="7"/>
  <c r="L1941" i="7"/>
  <c r="H1935" i="7"/>
  <c r="M1935" i="7"/>
  <c r="K1935" i="7"/>
  <c r="L1935" i="7"/>
  <c r="H1929" i="7"/>
  <c r="M1929" i="7"/>
  <c r="K1929" i="7"/>
  <c r="L1929" i="7"/>
  <c r="H1923" i="7"/>
  <c r="M1923" i="7"/>
  <c r="K1923" i="7"/>
  <c r="L1923" i="7"/>
  <c r="H1917" i="7"/>
  <c r="M1917" i="7"/>
  <c r="K1917" i="7"/>
  <c r="L1917" i="7"/>
  <c r="H1911" i="7"/>
  <c r="M1911" i="7"/>
  <c r="K1911" i="7"/>
  <c r="L1911" i="7"/>
  <c r="H1905" i="7"/>
  <c r="M1905" i="7"/>
  <c r="K1905" i="7"/>
  <c r="L1905" i="7"/>
  <c r="H1899" i="7"/>
  <c r="M1899" i="7"/>
  <c r="K1899" i="7"/>
  <c r="L1899" i="7"/>
  <c r="H1893" i="7"/>
  <c r="M1893" i="7"/>
  <c r="K1893" i="7"/>
  <c r="L1893" i="7"/>
  <c r="H1887" i="7"/>
  <c r="M1887" i="7"/>
  <c r="K1887" i="7"/>
  <c r="L1887" i="7"/>
  <c r="H1881" i="7"/>
  <c r="M1881" i="7"/>
  <c r="K1881" i="7"/>
  <c r="L1881" i="7"/>
  <c r="H1875" i="7"/>
  <c r="M1875" i="7"/>
  <c r="K1875" i="7"/>
  <c r="L1875" i="7"/>
  <c r="H1869" i="7"/>
  <c r="M1869" i="7"/>
  <c r="K1869" i="7"/>
  <c r="L1869" i="7"/>
  <c r="H1863" i="7"/>
  <c r="M1863" i="7"/>
  <c r="K1863" i="7"/>
  <c r="L1863" i="7"/>
  <c r="H1857" i="7"/>
  <c r="M1857" i="7"/>
  <c r="K1857" i="7"/>
  <c r="L1857" i="7"/>
  <c r="H1851" i="7"/>
  <c r="M1851" i="7"/>
  <c r="K1851" i="7"/>
  <c r="L1851" i="7"/>
  <c r="H1845" i="7"/>
  <c r="M1845" i="7"/>
  <c r="K1845" i="7"/>
  <c r="L1845" i="7"/>
  <c r="H1839" i="7"/>
  <c r="M1839" i="7"/>
  <c r="K1839" i="7"/>
  <c r="L1839" i="7"/>
  <c r="H1833" i="7"/>
  <c r="M1833" i="7"/>
  <c r="K1833" i="7"/>
  <c r="L1833" i="7"/>
  <c r="H1827" i="7"/>
  <c r="M1827" i="7"/>
  <c r="K1827" i="7"/>
  <c r="L1827" i="7"/>
  <c r="H1821" i="7"/>
  <c r="M1821" i="7"/>
  <c r="K1821" i="7"/>
  <c r="L1821" i="7"/>
  <c r="H1815" i="7"/>
  <c r="M1815" i="7"/>
  <c r="K1815" i="7"/>
  <c r="L1815" i="7"/>
  <c r="H1809" i="7"/>
  <c r="M1809" i="7"/>
  <c r="K1809" i="7"/>
  <c r="L1809" i="7"/>
  <c r="H1803" i="7"/>
  <c r="M1803" i="7"/>
  <c r="K1803" i="7"/>
  <c r="L1803" i="7"/>
  <c r="H1797" i="7"/>
  <c r="M1797" i="7"/>
  <c r="K1797" i="7"/>
  <c r="L1797" i="7"/>
  <c r="H1791" i="7"/>
  <c r="M1791" i="7"/>
  <c r="K1791" i="7"/>
  <c r="L1791" i="7"/>
  <c r="H1785" i="7"/>
  <c r="M1785" i="7"/>
  <c r="K1785" i="7"/>
  <c r="L1785" i="7"/>
  <c r="H1779" i="7"/>
  <c r="M1779" i="7"/>
  <c r="K1779" i="7"/>
  <c r="L1779" i="7"/>
  <c r="H1773" i="7"/>
  <c r="M1773" i="7"/>
  <c r="K1773" i="7"/>
  <c r="L1773" i="7"/>
  <c r="H1767" i="7"/>
  <c r="M1767" i="7"/>
  <c r="K1767" i="7"/>
  <c r="L1767" i="7"/>
  <c r="H1761" i="7"/>
  <c r="M1761" i="7"/>
  <c r="K1761" i="7"/>
  <c r="L1761" i="7"/>
  <c r="H1755" i="7"/>
  <c r="M1755" i="7"/>
  <c r="K1755" i="7"/>
  <c r="L1755" i="7"/>
  <c r="H1749" i="7"/>
  <c r="M1749" i="7"/>
  <c r="K1749" i="7"/>
  <c r="L1749" i="7"/>
  <c r="H1743" i="7"/>
  <c r="M1743" i="7"/>
  <c r="K1743" i="7"/>
  <c r="L1743" i="7"/>
  <c r="H1737" i="7"/>
  <c r="M1737" i="7"/>
  <c r="K1737" i="7"/>
  <c r="L1737" i="7"/>
  <c r="H1731" i="7"/>
  <c r="M1731" i="7"/>
  <c r="K1731" i="7"/>
  <c r="L1731" i="7"/>
  <c r="H1725" i="7"/>
  <c r="M1725" i="7"/>
  <c r="K1725" i="7"/>
  <c r="L1725" i="7"/>
  <c r="H1719" i="7"/>
  <c r="M1719" i="7"/>
  <c r="K1719" i="7"/>
  <c r="L1719" i="7"/>
  <c r="H1713" i="7"/>
  <c r="M1713" i="7"/>
  <c r="K1713" i="7"/>
  <c r="L1713" i="7"/>
  <c r="H1707" i="7"/>
  <c r="M1707" i="7"/>
  <c r="K1707" i="7"/>
  <c r="L1707" i="7"/>
  <c r="H1701" i="7"/>
  <c r="M1701" i="7"/>
  <c r="K1701" i="7"/>
  <c r="L1701" i="7"/>
  <c r="H1695" i="7"/>
  <c r="M1695" i="7"/>
  <c r="K1695" i="7"/>
  <c r="L1695" i="7"/>
  <c r="H1689" i="7"/>
  <c r="M1689" i="7"/>
  <c r="K1689" i="7"/>
  <c r="L1689" i="7"/>
  <c r="H1683" i="7"/>
  <c r="M1683" i="7"/>
  <c r="K1683" i="7"/>
  <c r="L1683" i="7"/>
  <c r="H1677" i="7"/>
  <c r="M1677" i="7"/>
  <c r="K1677" i="7"/>
  <c r="L1677" i="7"/>
  <c r="H1671" i="7"/>
  <c r="M1671" i="7"/>
  <c r="K1671" i="7"/>
  <c r="L1671" i="7"/>
  <c r="H1665" i="7"/>
  <c r="M1665" i="7"/>
  <c r="K1665" i="7"/>
  <c r="L1665" i="7"/>
  <c r="H1659" i="7"/>
  <c r="M1659" i="7"/>
  <c r="K1659" i="7"/>
  <c r="L1659" i="7"/>
  <c r="H1653" i="7"/>
  <c r="M1653" i="7"/>
  <c r="K1653" i="7"/>
  <c r="L1653" i="7"/>
  <c r="H1647" i="7"/>
  <c r="M1647" i="7"/>
  <c r="K1647" i="7"/>
  <c r="L1647" i="7"/>
  <c r="H1641" i="7"/>
  <c r="M1641" i="7"/>
  <c r="K1641" i="7"/>
  <c r="L1641" i="7"/>
  <c r="H1635" i="7"/>
  <c r="M1635" i="7"/>
  <c r="K1635" i="7"/>
  <c r="L1635" i="7"/>
  <c r="H1629" i="7"/>
  <c r="M1629" i="7"/>
  <c r="K1629" i="7"/>
  <c r="L1629" i="7"/>
  <c r="H1623" i="7"/>
  <c r="M1623" i="7"/>
  <c r="K1623" i="7"/>
  <c r="L1623" i="7"/>
  <c r="H1617" i="7"/>
  <c r="M1617" i="7"/>
  <c r="K1617" i="7"/>
  <c r="L1617" i="7"/>
  <c r="H1611" i="7"/>
  <c r="M1611" i="7"/>
  <c r="K1611" i="7"/>
  <c r="L1611" i="7"/>
  <c r="H1605" i="7"/>
  <c r="M1605" i="7"/>
  <c r="K1605" i="7"/>
  <c r="L1605" i="7"/>
  <c r="H1599" i="7"/>
  <c r="M1599" i="7"/>
  <c r="K1599" i="7"/>
  <c r="L1599" i="7"/>
  <c r="H1593" i="7"/>
  <c r="M1593" i="7"/>
  <c r="K1593" i="7"/>
  <c r="L1593" i="7"/>
  <c r="H1587" i="7"/>
  <c r="M1587" i="7"/>
  <c r="K1587" i="7"/>
  <c r="L1587" i="7"/>
  <c r="H1581" i="7"/>
  <c r="M1581" i="7"/>
  <c r="K1581" i="7"/>
  <c r="L1581" i="7"/>
  <c r="H1575" i="7"/>
  <c r="M1575" i="7"/>
  <c r="K1575" i="7"/>
  <c r="L1575" i="7"/>
  <c r="H1569" i="7"/>
  <c r="M1569" i="7"/>
  <c r="K1569" i="7"/>
  <c r="L1569" i="7"/>
  <c r="H1563" i="7"/>
  <c r="M1563" i="7"/>
  <c r="K1563" i="7"/>
  <c r="L1563" i="7"/>
  <c r="H1557" i="7"/>
  <c r="M1557" i="7"/>
  <c r="K1557" i="7"/>
  <c r="L1557" i="7"/>
  <c r="H1551" i="7"/>
  <c r="M1551" i="7"/>
  <c r="K1551" i="7"/>
  <c r="L1551" i="7"/>
  <c r="H1545" i="7"/>
  <c r="M1545" i="7"/>
  <c r="K1545" i="7"/>
  <c r="L1545" i="7"/>
  <c r="H1539" i="7"/>
  <c r="M1539" i="7"/>
  <c r="K1539" i="7"/>
  <c r="L1539" i="7"/>
  <c r="H1533" i="7"/>
  <c r="M1533" i="7"/>
  <c r="K1533" i="7"/>
  <c r="L1533" i="7"/>
  <c r="H1527" i="7"/>
  <c r="M1527" i="7"/>
  <c r="K1527" i="7"/>
  <c r="L1527" i="7"/>
  <c r="H1532" i="7"/>
  <c r="M1532" i="7"/>
  <c r="K1532" i="7"/>
  <c r="L1532" i="7"/>
  <c r="H1526" i="7"/>
  <c r="M1526" i="7"/>
  <c r="K1526" i="7"/>
  <c r="L1526" i="7"/>
  <c r="H1520" i="7"/>
  <c r="M1520" i="7"/>
  <c r="K1520" i="7"/>
  <c r="L1520" i="7"/>
  <c r="H1514" i="7"/>
  <c r="M1514" i="7"/>
  <c r="K1514" i="7"/>
  <c r="L1514" i="7"/>
  <c r="H1508" i="7"/>
  <c r="M1508" i="7"/>
  <c r="K1508" i="7"/>
  <c r="L1508" i="7"/>
  <c r="H1502" i="7"/>
  <c r="M1502" i="7"/>
  <c r="K1502" i="7"/>
  <c r="L1502" i="7"/>
  <c r="H1496" i="7"/>
  <c r="M1496" i="7"/>
  <c r="K1496" i="7"/>
  <c r="L1496" i="7"/>
  <c r="H1490" i="7"/>
  <c r="M1490" i="7"/>
  <c r="K1490" i="7"/>
  <c r="L1490" i="7"/>
  <c r="H1484" i="7"/>
  <c r="M1484" i="7"/>
  <c r="K1484" i="7"/>
  <c r="L1484" i="7"/>
  <c r="H1478" i="7"/>
  <c r="M1478" i="7"/>
  <c r="K1478" i="7"/>
  <c r="L1478" i="7"/>
  <c r="H1472" i="7"/>
  <c r="M1472" i="7"/>
  <c r="K1472" i="7"/>
  <c r="L1472" i="7"/>
  <c r="H1466" i="7"/>
  <c r="M1466" i="7"/>
  <c r="K1466" i="7"/>
  <c r="L1466" i="7"/>
  <c r="H1460" i="7"/>
  <c r="M1460" i="7"/>
  <c r="K1460" i="7"/>
  <c r="L1460" i="7"/>
  <c r="H1454" i="7"/>
  <c r="M1454" i="7"/>
  <c r="K1454" i="7"/>
  <c r="L1454" i="7"/>
  <c r="H1448" i="7"/>
  <c r="M1448" i="7"/>
  <c r="K1448" i="7"/>
  <c r="L1448" i="7"/>
  <c r="H1442" i="7"/>
  <c r="M1442" i="7"/>
  <c r="K1442" i="7"/>
  <c r="L1442" i="7"/>
  <c r="H1436" i="7"/>
  <c r="M1436" i="7"/>
  <c r="K1436" i="7"/>
  <c r="L1436" i="7"/>
  <c r="H1430" i="7"/>
  <c r="M1430" i="7"/>
  <c r="K1430" i="7"/>
  <c r="L1430" i="7"/>
  <c r="H1424" i="7"/>
  <c r="M1424" i="7"/>
  <c r="K1424" i="7"/>
  <c r="L1424" i="7"/>
  <c r="H1418" i="7"/>
  <c r="M1418" i="7"/>
  <c r="K1418" i="7"/>
  <c r="L1418" i="7"/>
  <c r="H1412" i="7"/>
  <c r="M1412" i="7"/>
  <c r="K1412" i="7"/>
  <c r="L1412" i="7"/>
  <c r="H1406" i="7"/>
  <c r="M1406" i="7"/>
  <c r="K1406" i="7"/>
  <c r="L1406" i="7"/>
  <c r="H1400" i="7"/>
  <c r="M1400" i="7"/>
  <c r="K1400" i="7"/>
  <c r="L1400" i="7"/>
  <c r="H1394" i="7"/>
  <c r="M1394" i="7"/>
  <c r="K1394" i="7"/>
  <c r="L1394" i="7"/>
  <c r="H1388" i="7"/>
  <c r="M1388" i="7"/>
  <c r="K1388" i="7"/>
  <c r="L1388" i="7"/>
  <c r="H1382" i="7"/>
  <c r="M1382" i="7"/>
  <c r="K1382" i="7"/>
  <c r="L1382" i="7"/>
  <c r="H1376" i="7"/>
  <c r="M1376" i="7"/>
  <c r="K1376" i="7"/>
  <c r="L1376" i="7"/>
  <c r="H1370" i="7"/>
  <c r="M1370" i="7"/>
  <c r="K1370" i="7"/>
  <c r="L1370" i="7"/>
  <c r="H1364" i="7"/>
  <c r="M1364" i="7"/>
  <c r="K1364" i="7"/>
  <c r="L1364" i="7"/>
  <c r="H1358" i="7"/>
  <c r="M1358" i="7"/>
  <c r="K1358" i="7"/>
  <c r="L1358" i="7"/>
  <c r="H1352" i="7"/>
  <c r="M1352" i="7"/>
  <c r="K1352" i="7"/>
  <c r="L1352" i="7"/>
  <c r="H1346" i="7"/>
  <c r="M1346" i="7"/>
  <c r="K1346" i="7"/>
  <c r="L1346" i="7"/>
  <c r="H1340" i="7"/>
  <c r="M1340" i="7"/>
  <c r="K1340" i="7"/>
  <c r="L1340" i="7"/>
  <c r="H1334" i="7"/>
  <c r="M1334" i="7"/>
  <c r="K1334" i="7"/>
  <c r="L1334" i="7"/>
  <c r="H1328" i="7"/>
  <c r="M1328" i="7"/>
  <c r="K1328" i="7"/>
  <c r="L1328" i="7"/>
  <c r="H1322" i="7"/>
  <c r="M1322" i="7"/>
  <c r="K1322" i="7"/>
  <c r="L1322" i="7"/>
  <c r="H1316" i="7"/>
  <c r="M1316" i="7"/>
  <c r="K1316" i="7"/>
  <c r="L1316" i="7"/>
  <c r="H1310" i="7"/>
  <c r="M1310" i="7"/>
  <c r="K1310" i="7"/>
  <c r="L1310" i="7"/>
  <c r="H1304" i="7"/>
  <c r="M1304" i="7"/>
  <c r="K1304" i="7"/>
  <c r="L1304" i="7"/>
  <c r="H1298" i="7"/>
  <c r="M1298" i="7"/>
  <c r="K1298" i="7"/>
  <c r="L1298" i="7"/>
  <c r="H1292" i="7"/>
  <c r="M1292" i="7"/>
  <c r="K1292" i="7"/>
  <c r="L1292" i="7"/>
  <c r="H1286" i="7"/>
  <c r="M1286" i="7"/>
  <c r="K1286" i="7"/>
  <c r="L1286" i="7"/>
  <c r="H1280" i="7"/>
  <c r="M1280" i="7"/>
  <c r="K1280" i="7"/>
  <c r="L1280" i="7"/>
  <c r="H1274" i="7"/>
  <c r="M1274" i="7"/>
  <c r="K1274" i="7"/>
  <c r="L1274" i="7"/>
  <c r="H1268" i="7"/>
  <c r="M1268" i="7"/>
  <c r="K1268" i="7"/>
  <c r="L1268" i="7"/>
  <c r="H1262" i="7"/>
  <c r="M1262" i="7"/>
  <c r="K1262" i="7"/>
  <c r="L1262" i="7"/>
  <c r="H1256" i="7"/>
  <c r="M1256" i="7"/>
  <c r="K1256" i="7"/>
  <c r="L1256" i="7"/>
  <c r="H1250" i="7"/>
  <c r="M1250" i="7"/>
  <c r="K1250" i="7"/>
  <c r="L1250" i="7"/>
  <c r="H1244" i="7"/>
  <c r="M1244" i="7"/>
  <c r="K1244" i="7"/>
  <c r="L1244" i="7"/>
  <c r="H1238" i="7"/>
  <c r="M1238" i="7"/>
  <c r="K1238" i="7"/>
  <c r="L1238" i="7"/>
  <c r="H1232" i="7"/>
  <c r="M1232" i="7"/>
  <c r="K1232" i="7"/>
  <c r="L1232" i="7"/>
  <c r="H1226" i="7"/>
  <c r="M1226" i="7"/>
  <c r="K1226" i="7"/>
  <c r="L1226" i="7"/>
  <c r="H1220" i="7"/>
  <c r="M1220" i="7"/>
  <c r="K1220" i="7"/>
  <c r="L1220" i="7"/>
  <c r="H1214" i="7"/>
  <c r="M1214" i="7"/>
  <c r="K1214" i="7"/>
  <c r="L1214" i="7"/>
  <c r="H1208" i="7"/>
  <c r="M1208" i="7"/>
  <c r="K1208" i="7"/>
  <c r="L1208" i="7"/>
  <c r="H1202" i="7"/>
  <c r="M1202" i="7"/>
  <c r="K1202" i="7"/>
  <c r="L1202" i="7"/>
  <c r="H1196" i="7"/>
  <c r="M1196" i="7"/>
  <c r="K1196" i="7"/>
  <c r="L1196" i="7"/>
  <c r="H1190" i="7"/>
  <c r="M1190" i="7"/>
  <c r="K1190" i="7"/>
  <c r="L1190" i="7"/>
  <c r="H1184" i="7"/>
  <c r="M1184" i="7"/>
  <c r="K1184" i="7"/>
  <c r="L1184" i="7"/>
  <c r="H1178" i="7"/>
  <c r="M1178" i="7"/>
  <c r="K1178" i="7"/>
  <c r="L1178" i="7"/>
  <c r="H1172" i="7"/>
  <c r="M1172" i="7"/>
  <c r="K1172" i="7"/>
  <c r="L1172" i="7"/>
  <c r="H1166" i="7"/>
  <c r="M1166" i="7"/>
  <c r="K1166" i="7"/>
  <c r="L1166" i="7"/>
  <c r="H1160" i="7"/>
  <c r="M1160" i="7"/>
  <c r="K1160" i="7"/>
  <c r="L1160" i="7"/>
  <c r="H1154" i="7"/>
  <c r="M1154" i="7"/>
  <c r="K1154" i="7"/>
  <c r="L1154" i="7"/>
  <c r="H1148" i="7"/>
  <c r="M1148" i="7"/>
  <c r="K1148" i="7"/>
  <c r="L1148" i="7"/>
  <c r="H1142" i="7"/>
  <c r="M1142" i="7"/>
  <c r="K1142" i="7"/>
  <c r="L1142" i="7"/>
  <c r="H1136" i="7"/>
  <c r="M1136" i="7"/>
  <c r="K1136" i="7"/>
  <c r="L1136" i="7"/>
  <c r="H1130" i="7"/>
  <c r="M1130" i="7"/>
  <c r="K1130" i="7"/>
  <c r="L1130" i="7"/>
  <c r="H1124" i="7"/>
  <c r="M1124" i="7"/>
  <c r="K1124" i="7"/>
  <c r="L1124" i="7"/>
  <c r="H1118" i="7"/>
  <c r="M1118" i="7"/>
  <c r="K1118" i="7"/>
  <c r="L1118" i="7"/>
  <c r="H1112" i="7"/>
  <c r="M1112" i="7"/>
  <c r="K1112" i="7"/>
  <c r="L1112" i="7"/>
  <c r="H1106" i="7"/>
  <c r="M1106" i="7"/>
  <c r="K1106" i="7"/>
  <c r="L1106" i="7"/>
  <c r="H1100" i="7"/>
  <c r="M1100" i="7"/>
  <c r="K1100" i="7"/>
  <c r="L1100" i="7"/>
  <c r="H1094" i="7"/>
  <c r="M1094" i="7"/>
  <c r="K1094" i="7"/>
  <c r="L1094" i="7"/>
  <c r="H1088" i="7"/>
  <c r="M1088" i="7"/>
  <c r="K1088" i="7"/>
  <c r="L1088" i="7"/>
  <c r="H1082" i="7"/>
  <c r="M1082" i="7"/>
  <c r="K1082" i="7"/>
  <c r="L1082" i="7"/>
  <c r="H1076" i="7"/>
  <c r="M1076" i="7"/>
  <c r="K1076" i="7"/>
  <c r="L1076" i="7"/>
  <c r="H1070" i="7"/>
  <c r="M1070" i="7"/>
  <c r="K1070" i="7"/>
  <c r="L1070" i="7"/>
  <c r="H1064" i="7"/>
  <c r="M1064" i="7"/>
  <c r="K1064" i="7"/>
  <c r="L1064" i="7"/>
  <c r="H1058" i="7"/>
  <c r="M1058" i="7"/>
  <c r="K1058" i="7"/>
  <c r="L1058" i="7"/>
  <c r="H1052" i="7"/>
  <c r="M1052" i="7"/>
  <c r="K1052" i="7"/>
  <c r="L1052" i="7"/>
  <c r="H1046" i="7"/>
  <c r="M1046" i="7"/>
  <c r="K1046" i="7"/>
  <c r="L1046" i="7"/>
  <c r="H1040" i="7"/>
  <c r="M1040" i="7"/>
  <c r="K1040" i="7"/>
  <c r="L1040" i="7"/>
  <c r="H1034" i="7"/>
  <c r="M1034" i="7"/>
  <c r="K1034" i="7"/>
  <c r="L1034" i="7"/>
  <c r="H1028" i="7"/>
  <c r="M1028" i="7"/>
  <c r="K1028" i="7"/>
  <c r="L1028" i="7"/>
  <c r="H1022" i="7"/>
  <c r="M1022" i="7"/>
  <c r="K1022" i="7"/>
  <c r="L1022" i="7"/>
  <c r="H1016" i="7"/>
  <c r="M1016" i="7"/>
  <c r="K1016" i="7"/>
  <c r="L1016" i="7"/>
  <c r="H1010" i="7"/>
  <c r="M1010" i="7"/>
  <c r="K1010" i="7"/>
  <c r="L1010" i="7"/>
  <c r="H1004" i="7"/>
  <c r="M1004" i="7"/>
  <c r="K1004" i="7"/>
  <c r="L1004" i="7"/>
  <c r="H998" i="7"/>
  <c r="M998" i="7"/>
  <c r="K998" i="7"/>
  <c r="L998" i="7"/>
  <c r="H992" i="7"/>
  <c r="M992" i="7"/>
  <c r="K992" i="7"/>
  <c r="L992" i="7"/>
  <c r="H986" i="7"/>
  <c r="M986" i="7"/>
  <c r="K986" i="7"/>
  <c r="L986" i="7"/>
  <c r="H980" i="7"/>
  <c r="M980" i="7"/>
  <c r="K980" i="7"/>
  <c r="L980" i="7"/>
  <c r="H974" i="7"/>
  <c r="M974" i="7"/>
  <c r="K974" i="7"/>
  <c r="L974" i="7"/>
  <c r="H968" i="7"/>
  <c r="M968" i="7"/>
  <c r="K968" i="7"/>
  <c r="L968" i="7"/>
  <c r="H962" i="7"/>
  <c r="M962" i="7"/>
  <c r="K962" i="7"/>
  <c r="L962" i="7"/>
  <c r="H956" i="7"/>
  <c r="M956" i="7"/>
  <c r="K956" i="7"/>
  <c r="L956" i="7"/>
  <c r="H950" i="7"/>
  <c r="M950" i="7"/>
  <c r="K950" i="7"/>
  <c r="L950" i="7"/>
  <c r="H944" i="7"/>
  <c r="M944" i="7"/>
  <c r="K944" i="7"/>
  <c r="L944" i="7"/>
  <c r="H938" i="7"/>
  <c r="M938" i="7"/>
  <c r="K938" i="7"/>
  <c r="L938" i="7"/>
  <c r="H932" i="7"/>
  <c r="M932" i="7"/>
  <c r="K932" i="7"/>
  <c r="L932" i="7"/>
  <c r="H926" i="7"/>
  <c r="M926" i="7"/>
  <c r="K926" i="7"/>
  <c r="L926" i="7"/>
  <c r="H920" i="7"/>
  <c r="M920" i="7"/>
  <c r="K920" i="7"/>
  <c r="L920" i="7"/>
  <c r="H914" i="7"/>
  <c r="M914" i="7"/>
  <c r="K914" i="7"/>
  <c r="L914" i="7"/>
  <c r="H908" i="7"/>
  <c r="M908" i="7"/>
  <c r="K908" i="7"/>
  <c r="L908" i="7"/>
  <c r="H902" i="7"/>
  <c r="M902" i="7"/>
  <c r="K902" i="7"/>
  <c r="L902" i="7"/>
  <c r="H896" i="7"/>
  <c r="M896" i="7"/>
  <c r="K896" i="7"/>
  <c r="L896" i="7"/>
  <c r="H890" i="7"/>
  <c r="M890" i="7"/>
  <c r="K890" i="7"/>
  <c r="L890" i="7"/>
  <c r="H884" i="7"/>
  <c r="M884" i="7"/>
  <c r="K884" i="7"/>
  <c r="L884" i="7"/>
  <c r="H878" i="7"/>
  <c r="M878" i="7"/>
  <c r="K878" i="7"/>
  <c r="L878" i="7"/>
  <c r="H872" i="7"/>
  <c r="M872" i="7"/>
  <c r="K872" i="7"/>
  <c r="L872" i="7"/>
  <c r="H866" i="7"/>
  <c r="M866" i="7"/>
  <c r="K866" i="7"/>
  <c r="L866" i="7"/>
  <c r="H860" i="7"/>
  <c r="M860" i="7"/>
  <c r="K860" i="7"/>
  <c r="L860" i="7"/>
  <c r="H854" i="7"/>
  <c r="M854" i="7"/>
  <c r="K854" i="7"/>
  <c r="L854" i="7"/>
  <c r="H848" i="7"/>
  <c r="M848" i="7"/>
  <c r="K848" i="7"/>
  <c r="L848" i="7"/>
  <c r="H842" i="7"/>
  <c r="M842" i="7"/>
  <c r="K842" i="7"/>
  <c r="L842" i="7"/>
  <c r="H836" i="7"/>
  <c r="M836" i="7"/>
  <c r="K836" i="7"/>
  <c r="L836" i="7"/>
  <c r="H830" i="7"/>
  <c r="M830" i="7"/>
  <c r="K830" i="7"/>
  <c r="L830" i="7"/>
  <c r="H824" i="7"/>
  <c r="M824" i="7"/>
  <c r="K824" i="7"/>
  <c r="L824" i="7"/>
  <c r="H818" i="7"/>
  <c r="M818" i="7"/>
  <c r="K818" i="7"/>
  <c r="L818" i="7"/>
  <c r="H812" i="7"/>
  <c r="M812" i="7"/>
  <c r="K812" i="7"/>
  <c r="L812" i="7"/>
  <c r="H806" i="7"/>
  <c r="M806" i="7"/>
  <c r="K806" i="7"/>
  <c r="L806" i="7"/>
  <c r="H800" i="7"/>
  <c r="M800" i="7"/>
  <c r="K800" i="7"/>
  <c r="L800" i="7"/>
  <c r="H794" i="7"/>
  <c r="M794" i="7"/>
  <c r="K794" i="7"/>
  <c r="L794" i="7"/>
  <c r="H788" i="7"/>
  <c r="M788" i="7"/>
  <c r="K788" i="7"/>
  <c r="L788" i="7"/>
  <c r="H782" i="7"/>
  <c r="M782" i="7"/>
  <c r="K782" i="7"/>
  <c r="L782" i="7"/>
  <c r="H776" i="7"/>
  <c r="M776" i="7"/>
  <c r="K776" i="7"/>
  <c r="L776" i="7"/>
  <c r="H770" i="7"/>
  <c r="M770" i="7"/>
  <c r="K770" i="7"/>
  <c r="L770" i="7"/>
  <c r="H764" i="7"/>
  <c r="M764" i="7"/>
  <c r="K764" i="7"/>
  <c r="L764" i="7"/>
  <c r="H758" i="7"/>
  <c r="M758" i="7"/>
  <c r="K758" i="7"/>
  <c r="L758" i="7"/>
  <c r="H752" i="7"/>
  <c r="M752" i="7"/>
  <c r="K752" i="7"/>
  <c r="L752" i="7"/>
  <c r="H746" i="7"/>
  <c r="M746" i="7"/>
  <c r="K746" i="7"/>
  <c r="L746" i="7"/>
  <c r="H740" i="7"/>
  <c r="M740" i="7"/>
  <c r="K740" i="7"/>
  <c r="L740" i="7"/>
  <c r="H734" i="7"/>
  <c r="M734" i="7"/>
  <c r="K734" i="7"/>
  <c r="L734" i="7"/>
  <c r="H728" i="7"/>
  <c r="M728" i="7"/>
  <c r="K728" i="7"/>
  <c r="L728" i="7"/>
  <c r="H722" i="7"/>
  <c r="M722" i="7"/>
  <c r="K722" i="7"/>
  <c r="L722" i="7"/>
  <c r="H716" i="7"/>
  <c r="M716" i="7"/>
  <c r="K716" i="7"/>
  <c r="L716" i="7"/>
  <c r="H710" i="7"/>
  <c r="M710" i="7"/>
  <c r="K710" i="7"/>
  <c r="L710" i="7"/>
  <c r="H704" i="7"/>
  <c r="M704" i="7"/>
  <c r="K704" i="7"/>
  <c r="L704" i="7"/>
  <c r="H698" i="7"/>
  <c r="M698" i="7"/>
  <c r="K698" i="7"/>
  <c r="L698" i="7"/>
  <c r="H692" i="7"/>
  <c r="M692" i="7"/>
  <c r="K692" i="7"/>
  <c r="L692" i="7"/>
  <c r="H686" i="7"/>
  <c r="M686" i="7"/>
  <c r="K686" i="7"/>
  <c r="L686" i="7"/>
  <c r="H680" i="7"/>
  <c r="M680" i="7"/>
  <c r="K680" i="7"/>
  <c r="L680" i="7"/>
  <c r="H674" i="7"/>
  <c r="M674" i="7"/>
  <c r="K674" i="7"/>
  <c r="L674" i="7"/>
  <c r="H668" i="7"/>
  <c r="M668" i="7"/>
  <c r="K668" i="7"/>
  <c r="L668" i="7"/>
  <c r="H662" i="7"/>
  <c r="M662" i="7"/>
  <c r="K662" i="7"/>
  <c r="L662" i="7"/>
  <c r="H656" i="7"/>
  <c r="M656" i="7"/>
  <c r="K656" i="7"/>
  <c r="L656" i="7"/>
  <c r="H650" i="7"/>
  <c r="M650" i="7"/>
  <c r="K650" i="7"/>
  <c r="L650" i="7"/>
  <c r="H644" i="7"/>
  <c r="M644" i="7"/>
  <c r="K644" i="7"/>
  <c r="L644" i="7"/>
  <c r="H638" i="7"/>
  <c r="M638" i="7"/>
  <c r="K638" i="7"/>
  <c r="L638" i="7"/>
  <c r="H632" i="7"/>
  <c r="M632" i="7"/>
  <c r="K632" i="7"/>
  <c r="L632" i="7"/>
  <c r="H626" i="7"/>
  <c r="M626" i="7"/>
  <c r="K626" i="7"/>
  <c r="L626" i="7"/>
  <c r="H620" i="7"/>
  <c r="M620" i="7"/>
  <c r="K620" i="7"/>
  <c r="L620" i="7"/>
  <c r="H614" i="7"/>
  <c r="M614" i="7"/>
  <c r="K614" i="7"/>
  <c r="L614" i="7"/>
  <c r="H608" i="7"/>
  <c r="M608" i="7"/>
  <c r="K608" i="7"/>
  <c r="L608" i="7"/>
  <c r="H602" i="7"/>
  <c r="M602" i="7"/>
  <c r="K602" i="7"/>
  <c r="L602" i="7"/>
  <c r="H596" i="7"/>
  <c r="M596" i="7"/>
  <c r="K596" i="7"/>
  <c r="L596" i="7"/>
  <c r="H590" i="7"/>
  <c r="M590" i="7"/>
  <c r="K590" i="7"/>
  <c r="L590" i="7"/>
  <c r="H584" i="7"/>
  <c r="M584" i="7"/>
  <c r="K584" i="7"/>
  <c r="L584" i="7"/>
  <c r="H578" i="7"/>
  <c r="M578" i="7"/>
  <c r="K578" i="7"/>
  <c r="L578" i="7"/>
  <c r="H572" i="7"/>
  <c r="M572" i="7"/>
  <c r="K572" i="7"/>
  <c r="L572" i="7"/>
  <c r="H566" i="7"/>
  <c r="M566" i="7"/>
  <c r="K566" i="7"/>
  <c r="L566" i="7"/>
  <c r="H560" i="7"/>
  <c r="M560" i="7"/>
  <c r="K560" i="7"/>
  <c r="L560" i="7"/>
  <c r="H554" i="7"/>
  <c r="M554" i="7"/>
  <c r="K554" i="7"/>
  <c r="L554" i="7"/>
  <c r="H548" i="7"/>
  <c r="M548" i="7"/>
  <c r="K548" i="7"/>
  <c r="L548" i="7"/>
  <c r="H542" i="7"/>
  <c r="M542" i="7"/>
  <c r="K542" i="7"/>
  <c r="L542" i="7"/>
  <c r="H536" i="7"/>
  <c r="M536" i="7"/>
  <c r="K536" i="7"/>
  <c r="L536" i="7"/>
  <c r="H530" i="7"/>
  <c r="M530" i="7"/>
  <c r="K530" i="7"/>
  <c r="L530" i="7"/>
  <c r="H524" i="7"/>
  <c r="M524" i="7"/>
  <c r="K524" i="7"/>
  <c r="L524" i="7"/>
  <c r="H518" i="7"/>
  <c r="M518" i="7"/>
  <c r="K518" i="7"/>
  <c r="L518" i="7"/>
  <c r="H512" i="7"/>
  <c r="M512" i="7"/>
  <c r="K512" i="7"/>
  <c r="L512" i="7"/>
  <c r="H506" i="7"/>
  <c r="M506" i="7"/>
  <c r="K506" i="7"/>
  <c r="L506" i="7"/>
  <c r="H500" i="7"/>
  <c r="M500" i="7"/>
  <c r="K500" i="7"/>
  <c r="L500" i="7"/>
  <c r="H494" i="7"/>
  <c r="M494" i="7"/>
  <c r="K494" i="7"/>
  <c r="L494" i="7"/>
  <c r="H488" i="7"/>
  <c r="M488" i="7"/>
  <c r="K488" i="7"/>
  <c r="L488" i="7"/>
  <c r="H482" i="7"/>
  <c r="M482" i="7"/>
  <c r="K482" i="7"/>
  <c r="L482" i="7"/>
  <c r="H476" i="7"/>
  <c r="M476" i="7"/>
  <c r="K476" i="7"/>
  <c r="L476" i="7"/>
  <c r="H470" i="7"/>
  <c r="M470" i="7"/>
  <c r="K470" i="7"/>
  <c r="L470" i="7"/>
  <c r="H464" i="7"/>
  <c r="M464" i="7"/>
  <c r="K464" i="7"/>
  <c r="L464" i="7"/>
  <c r="H458" i="7"/>
  <c r="M458" i="7"/>
  <c r="K458" i="7"/>
  <c r="L458" i="7"/>
  <c r="H452" i="7"/>
  <c r="M452" i="7"/>
  <c r="K452" i="7"/>
  <c r="L452" i="7"/>
  <c r="H446" i="7"/>
  <c r="M446" i="7"/>
  <c r="K446" i="7"/>
  <c r="L446" i="7"/>
  <c r="H440" i="7"/>
  <c r="M440" i="7"/>
  <c r="K440" i="7"/>
  <c r="L440" i="7"/>
  <c r="H434" i="7"/>
  <c r="M434" i="7"/>
  <c r="K434" i="7"/>
  <c r="L434" i="7"/>
  <c r="H428" i="7"/>
  <c r="M428" i="7"/>
  <c r="K428" i="7"/>
  <c r="L428" i="7"/>
  <c r="H422" i="7"/>
  <c r="M422" i="7"/>
  <c r="K422" i="7"/>
  <c r="L422" i="7"/>
  <c r="H416" i="7"/>
  <c r="M416" i="7"/>
  <c r="K416" i="7"/>
  <c r="L416" i="7"/>
  <c r="H410" i="7"/>
  <c r="M410" i="7"/>
  <c r="K410" i="7"/>
  <c r="L410" i="7"/>
  <c r="H404" i="7"/>
  <c r="M404" i="7"/>
  <c r="K404" i="7"/>
  <c r="L404" i="7"/>
  <c r="H398" i="7"/>
  <c r="M398" i="7"/>
  <c r="K398" i="7"/>
  <c r="L398" i="7"/>
  <c r="H392" i="7"/>
  <c r="M392" i="7"/>
  <c r="K392" i="7"/>
  <c r="L392" i="7"/>
  <c r="H386" i="7"/>
  <c r="M386" i="7"/>
  <c r="K386" i="7"/>
  <c r="L386" i="7"/>
  <c r="H380" i="7"/>
  <c r="M380" i="7"/>
  <c r="K380" i="7"/>
  <c r="L380" i="7"/>
  <c r="H374" i="7"/>
  <c r="M374" i="7"/>
  <c r="K374" i="7"/>
  <c r="L374" i="7"/>
  <c r="H368" i="7"/>
  <c r="M368" i="7"/>
  <c r="K368" i="7"/>
  <c r="L368" i="7"/>
  <c r="H362" i="7"/>
  <c r="M362" i="7"/>
  <c r="K362" i="7"/>
  <c r="L362" i="7"/>
  <c r="H356" i="7"/>
  <c r="M356" i="7"/>
  <c r="K356" i="7"/>
  <c r="L356" i="7"/>
  <c r="H350" i="7"/>
  <c r="M350" i="7"/>
  <c r="K350" i="7"/>
  <c r="L350" i="7"/>
  <c r="H344" i="7"/>
  <c r="M344" i="7"/>
  <c r="K344" i="7"/>
  <c r="L344" i="7"/>
  <c r="H338" i="7"/>
  <c r="M338" i="7"/>
  <c r="K338" i="7"/>
  <c r="L338" i="7"/>
  <c r="H332" i="7"/>
  <c r="M332" i="7"/>
  <c r="K332" i="7"/>
  <c r="L332" i="7"/>
  <c r="H326" i="7"/>
  <c r="M326" i="7"/>
  <c r="K326" i="7"/>
  <c r="L326" i="7"/>
  <c r="H320" i="7"/>
  <c r="M320" i="7"/>
  <c r="K320" i="7"/>
  <c r="L320" i="7"/>
  <c r="H314" i="7"/>
  <c r="M314" i="7"/>
  <c r="K314" i="7"/>
  <c r="L314" i="7"/>
  <c r="H308" i="7"/>
  <c r="M308" i="7"/>
  <c r="K308" i="7"/>
  <c r="L308" i="7"/>
  <c r="H302" i="7"/>
  <c r="M302" i="7"/>
  <c r="K302" i="7"/>
  <c r="L302" i="7"/>
  <c r="H296" i="7"/>
  <c r="M296" i="7"/>
  <c r="K296" i="7"/>
  <c r="L296" i="7"/>
  <c r="H290" i="7"/>
  <c r="M290" i="7"/>
  <c r="K290" i="7"/>
  <c r="L290" i="7"/>
  <c r="H284" i="7"/>
  <c r="M284" i="7"/>
  <c r="K284" i="7"/>
  <c r="L284" i="7"/>
  <c r="H278" i="7"/>
  <c r="M278" i="7"/>
  <c r="K278" i="7"/>
  <c r="L278" i="7"/>
  <c r="H272" i="7"/>
  <c r="M272" i="7"/>
  <c r="K272" i="7"/>
  <c r="L272" i="7"/>
  <c r="H266" i="7"/>
  <c r="M266" i="7"/>
  <c r="K266" i="7"/>
  <c r="L266" i="7"/>
  <c r="H260" i="7"/>
  <c r="M260" i="7"/>
  <c r="K260" i="7"/>
  <c r="L260" i="7"/>
  <c r="H254" i="7"/>
  <c r="M254" i="7"/>
  <c r="K254" i="7"/>
  <c r="L254" i="7"/>
  <c r="H248" i="7"/>
  <c r="M248" i="7"/>
  <c r="K248" i="7"/>
  <c r="L248" i="7"/>
  <c r="H242" i="7"/>
  <c r="M242" i="7"/>
  <c r="K242" i="7"/>
  <c r="L242" i="7"/>
  <c r="H236" i="7"/>
  <c r="M236" i="7"/>
  <c r="K236" i="7"/>
  <c r="L236" i="7"/>
  <c r="H230" i="7"/>
  <c r="M230" i="7"/>
  <c r="K230" i="7"/>
  <c r="L230" i="7"/>
  <c r="H224" i="7"/>
  <c r="M224" i="7"/>
  <c r="K224" i="7"/>
  <c r="L224" i="7"/>
  <c r="H218" i="7"/>
  <c r="M218" i="7"/>
  <c r="K218" i="7"/>
  <c r="L218" i="7"/>
  <c r="H212" i="7"/>
  <c r="M212" i="7"/>
  <c r="K212" i="7"/>
  <c r="L212" i="7"/>
  <c r="H206" i="7"/>
  <c r="M206" i="7"/>
  <c r="K206" i="7"/>
  <c r="L206" i="7"/>
  <c r="H200" i="7"/>
  <c r="M200" i="7"/>
  <c r="K200" i="7"/>
  <c r="L200" i="7"/>
  <c r="H194" i="7"/>
  <c r="M194" i="7"/>
  <c r="K194" i="7"/>
  <c r="L194" i="7"/>
  <c r="H188" i="7"/>
  <c r="M188" i="7"/>
  <c r="K188" i="7"/>
  <c r="L188" i="7"/>
  <c r="H182" i="7"/>
  <c r="M182" i="7"/>
  <c r="K182" i="7"/>
  <c r="L182" i="7"/>
  <c r="H176" i="7"/>
  <c r="M176" i="7"/>
  <c r="K176" i="7"/>
  <c r="L176" i="7"/>
  <c r="H170" i="7"/>
  <c r="M170" i="7"/>
  <c r="K170" i="7"/>
  <c r="L170" i="7"/>
  <c r="H164" i="7"/>
  <c r="M164" i="7"/>
  <c r="K164" i="7"/>
  <c r="L164" i="7"/>
  <c r="H158" i="7"/>
  <c r="M158" i="7"/>
  <c r="K158" i="7"/>
  <c r="L158" i="7"/>
  <c r="H152" i="7"/>
  <c r="M152" i="7"/>
  <c r="K152" i="7"/>
  <c r="L152" i="7"/>
  <c r="H146" i="7"/>
  <c r="M146" i="7"/>
  <c r="K146" i="7"/>
  <c r="L146" i="7"/>
  <c r="H140" i="7"/>
  <c r="M140" i="7"/>
  <c r="K140" i="7"/>
  <c r="L140" i="7"/>
  <c r="H134" i="7"/>
  <c r="M134" i="7"/>
  <c r="K134" i="7"/>
  <c r="L134" i="7"/>
  <c r="H128" i="7"/>
  <c r="M128" i="7"/>
  <c r="K128" i="7"/>
  <c r="L128" i="7"/>
  <c r="H122" i="7"/>
  <c r="M122" i="7"/>
  <c r="K122" i="7"/>
  <c r="L122" i="7"/>
  <c r="H116" i="7"/>
  <c r="M116" i="7"/>
  <c r="K116" i="7"/>
  <c r="L116" i="7"/>
  <c r="H110" i="7"/>
  <c r="M110" i="7"/>
  <c r="K110" i="7"/>
  <c r="L110" i="7"/>
  <c r="H104" i="7"/>
  <c r="M104" i="7"/>
  <c r="K104" i="7"/>
  <c r="L104" i="7"/>
  <c r="H98" i="7"/>
  <c r="M98" i="7"/>
  <c r="K98" i="7"/>
  <c r="L98" i="7"/>
  <c r="H92" i="7"/>
  <c r="M92" i="7"/>
  <c r="K92" i="7"/>
  <c r="L92" i="7"/>
  <c r="H86" i="7"/>
  <c r="M86" i="7"/>
  <c r="K86" i="7"/>
  <c r="L86" i="7"/>
  <c r="H80" i="7"/>
  <c r="M80" i="7"/>
  <c r="K80" i="7"/>
  <c r="L80" i="7"/>
  <c r="H74" i="7"/>
  <c r="M74" i="7"/>
  <c r="K74" i="7"/>
  <c r="L74" i="7"/>
  <c r="H68" i="7"/>
  <c r="M68" i="7"/>
  <c r="K68" i="7"/>
  <c r="L68" i="7"/>
  <c r="H62" i="7"/>
  <c r="M62" i="7"/>
  <c r="K62" i="7"/>
  <c r="L62" i="7"/>
  <c r="H56" i="7"/>
  <c r="M56" i="7"/>
  <c r="K56" i="7"/>
  <c r="L56" i="7"/>
  <c r="H50" i="7"/>
  <c r="M50" i="7"/>
  <c r="K50" i="7"/>
  <c r="L50" i="7"/>
  <c r="H44" i="7"/>
  <c r="M44" i="7"/>
  <c r="K44" i="7"/>
  <c r="L44" i="7"/>
  <c r="H38" i="7"/>
  <c r="M38" i="7"/>
  <c r="K38" i="7"/>
  <c r="L38" i="7"/>
  <c r="H32" i="7"/>
  <c r="M32" i="7"/>
  <c r="K32" i="7"/>
  <c r="L32" i="7"/>
  <c r="H26" i="7"/>
  <c r="M26" i="7"/>
  <c r="K26" i="7"/>
  <c r="L26" i="7"/>
  <c r="H20" i="7"/>
  <c r="M20" i="7"/>
  <c r="K20" i="7"/>
  <c r="L20" i="7"/>
  <c r="H14" i="7"/>
  <c r="M14" i="7"/>
  <c r="K14" i="7"/>
  <c r="L14" i="7"/>
  <c r="H8" i="7"/>
  <c r="M8" i="7"/>
  <c r="K8" i="7"/>
  <c r="L8" i="7"/>
  <c r="H1525" i="7"/>
  <c r="M1525" i="7"/>
  <c r="K1525" i="7"/>
  <c r="L1525" i="7"/>
  <c r="H1519" i="7"/>
  <c r="M1519" i="7"/>
  <c r="K1519" i="7"/>
  <c r="L1519" i="7"/>
  <c r="H1513" i="7"/>
  <c r="M1513" i="7"/>
  <c r="K1513" i="7"/>
  <c r="L1513" i="7"/>
  <c r="H1507" i="7"/>
  <c r="M1507" i="7"/>
  <c r="K1507" i="7"/>
  <c r="L1507" i="7"/>
  <c r="H1501" i="7"/>
  <c r="M1501" i="7"/>
  <c r="K1501" i="7"/>
  <c r="L1501" i="7"/>
  <c r="H1495" i="7"/>
  <c r="M1495" i="7"/>
  <c r="K1495" i="7"/>
  <c r="L1495" i="7"/>
  <c r="H1489" i="7"/>
  <c r="M1489" i="7"/>
  <c r="K1489" i="7"/>
  <c r="L1489" i="7"/>
  <c r="H1483" i="7"/>
  <c r="M1483" i="7"/>
  <c r="K1483" i="7"/>
  <c r="L1483" i="7"/>
  <c r="H1477" i="7"/>
  <c r="M1477" i="7"/>
  <c r="K1477" i="7"/>
  <c r="L1477" i="7"/>
  <c r="H1471" i="7"/>
  <c r="M1471" i="7"/>
  <c r="K1471" i="7"/>
  <c r="L1471" i="7"/>
  <c r="H1465" i="7"/>
  <c r="M1465" i="7"/>
  <c r="K1465" i="7"/>
  <c r="L1465" i="7"/>
  <c r="H1459" i="7"/>
  <c r="M1459" i="7"/>
  <c r="K1459" i="7"/>
  <c r="L1459" i="7"/>
  <c r="H1453" i="7"/>
  <c r="M1453" i="7"/>
  <c r="K1453" i="7"/>
  <c r="L1453" i="7"/>
  <c r="H1447" i="7"/>
  <c r="M1447" i="7"/>
  <c r="K1447" i="7"/>
  <c r="L1447" i="7"/>
  <c r="H1441" i="7"/>
  <c r="M1441" i="7"/>
  <c r="K1441" i="7"/>
  <c r="L1441" i="7"/>
  <c r="H1435" i="7"/>
  <c r="M1435" i="7"/>
  <c r="K1435" i="7"/>
  <c r="L1435" i="7"/>
  <c r="H1429" i="7"/>
  <c r="M1429" i="7"/>
  <c r="K1429" i="7"/>
  <c r="L1429" i="7"/>
  <c r="H1423" i="7"/>
  <c r="M1423" i="7"/>
  <c r="K1423" i="7"/>
  <c r="L1423" i="7"/>
  <c r="H1417" i="7"/>
  <c r="M1417" i="7"/>
  <c r="K1417" i="7"/>
  <c r="L1417" i="7"/>
  <c r="H1411" i="7"/>
  <c r="M1411" i="7"/>
  <c r="K1411" i="7"/>
  <c r="L1411" i="7"/>
  <c r="H1405" i="7"/>
  <c r="M1405" i="7"/>
  <c r="K1405" i="7"/>
  <c r="L1405" i="7"/>
  <c r="H1399" i="7"/>
  <c r="M1399" i="7"/>
  <c r="K1399" i="7"/>
  <c r="L1399" i="7"/>
  <c r="H1393" i="7"/>
  <c r="M1393" i="7"/>
  <c r="K1393" i="7"/>
  <c r="L1393" i="7"/>
  <c r="H1387" i="7"/>
  <c r="M1387" i="7"/>
  <c r="K1387" i="7"/>
  <c r="L1387" i="7"/>
  <c r="H1381" i="7"/>
  <c r="M1381" i="7"/>
  <c r="K1381" i="7"/>
  <c r="L1381" i="7"/>
  <c r="H1375" i="7"/>
  <c r="M1375" i="7"/>
  <c r="K1375" i="7"/>
  <c r="L1375" i="7"/>
  <c r="H1369" i="7"/>
  <c r="M1369" i="7"/>
  <c r="K1369" i="7"/>
  <c r="L1369" i="7"/>
  <c r="H1363" i="7"/>
  <c r="M1363" i="7"/>
  <c r="K1363" i="7"/>
  <c r="L1363" i="7"/>
  <c r="H1357" i="7"/>
  <c r="M1357" i="7"/>
  <c r="K1357" i="7"/>
  <c r="L1357" i="7"/>
  <c r="H1351" i="7"/>
  <c r="M1351" i="7"/>
  <c r="K1351" i="7"/>
  <c r="L1351" i="7"/>
  <c r="H1345" i="7"/>
  <c r="M1345" i="7"/>
  <c r="K1345" i="7"/>
  <c r="L1345" i="7"/>
  <c r="H1339" i="7"/>
  <c r="M1339" i="7"/>
  <c r="K1339" i="7"/>
  <c r="L1339" i="7"/>
  <c r="H1333" i="7"/>
  <c r="M1333" i="7"/>
  <c r="K1333" i="7"/>
  <c r="L1333" i="7"/>
  <c r="H1327" i="7"/>
  <c r="M1327" i="7"/>
  <c r="K1327" i="7"/>
  <c r="L1327" i="7"/>
  <c r="H1321" i="7"/>
  <c r="M1321" i="7"/>
  <c r="K1321" i="7"/>
  <c r="L1321" i="7"/>
  <c r="H1315" i="7"/>
  <c r="M1315" i="7"/>
  <c r="K1315" i="7"/>
  <c r="L1315" i="7"/>
  <c r="H1309" i="7"/>
  <c r="M1309" i="7"/>
  <c r="K1309" i="7"/>
  <c r="L1309" i="7"/>
  <c r="H1303" i="7"/>
  <c r="M1303" i="7"/>
  <c r="K1303" i="7"/>
  <c r="L1303" i="7"/>
  <c r="H1297" i="7"/>
  <c r="M1297" i="7"/>
  <c r="K1297" i="7"/>
  <c r="L1297" i="7"/>
  <c r="H1291" i="7"/>
  <c r="M1291" i="7"/>
  <c r="K1291" i="7"/>
  <c r="L1291" i="7"/>
  <c r="H1285" i="7"/>
  <c r="M1285" i="7"/>
  <c r="K1285" i="7"/>
  <c r="L1285" i="7"/>
  <c r="H1279" i="7"/>
  <c r="M1279" i="7"/>
  <c r="K1279" i="7"/>
  <c r="L1279" i="7"/>
  <c r="H1273" i="7"/>
  <c r="M1273" i="7"/>
  <c r="K1273" i="7"/>
  <c r="L1273" i="7"/>
  <c r="H1267" i="7"/>
  <c r="M1267" i="7"/>
  <c r="K1267" i="7"/>
  <c r="L1267" i="7"/>
  <c r="H1261" i="7"/>
  <c r="M1261" i="7"/>
  <c r="K1261" i="7"/>
  <c r="L1261" i="7"/>
  <c r="H1255" i="7"/>
  <c r="M1255" i="7"/>
  <c r="K1255" i="7"/>
  <c r="L1255" i="7"/>
  <c r="H1249" i="7"/>
  <c r="M1249" i="7"/>
  <c r="K1249" i="7"/>
  <c r="L1249" i="7"/>
  <c r="H1243" i="7"/>
  <c r="M1243" i="7"/>
  <c r="K1243" i="7"/>
  <c r="L1243" i="7"/>
  <c r="H1237" i="7"/>
  <c r="M1237" i="7"/>
  <c r="K1237" i="7"/>
  <c r="L1237" i="7"/>
  <c r="H1231" i="7"/>
  <c r="M1231" i="7"/>
  <c r="K1231" i="7"/>
  <c r="L1231" i="7"/>
  <c r="H1225" i="7"/>
  <c r="M1225" i="7"/>
  <c r="K1225" i="7"/>
  <c r="L1225" i="7"/>
  <c r="H1219" i="7"/>
  <c r="M1219" i="7"/>
  <c r="K1219" i="7"/>
  <c r="L1219" i="7"/>
  <c r="H1213" i="7"/>
  <c r="M1213" i="7"/>
  <c r="K1213" i="7"/>
  <c r="L1213" i="7"/>
  <c r="H1207" i="7"/>
  <c r="M1207" i="7"/>
  <c r="K1207" i="7"/>
  <c r="L1207" i="7"/>
  <c r="H1201" i="7"/>
  <c r="M1201" i="7"/>
  <c r="K1201" i="7"/>
  <c r="L1201" i="7"/>
  <c r="H1195" i="7"/>
  <c r="M1195" i="7"/>
  <c r="K1195" i="7"/>
  <c r="L1195" i="7"/>
  <c r="H1189" i="7"/>
  <c r="M1189" i="7"/>
  <c r="K1189" i="7"/>
  <c r="L1189" i="7"/>
  <c r="H1183" i="7"/>
  <c r="M1183" i="7"/>
  <c r="K1183" i="7"/>
  <c r="L1183" i="7"/>
  <c r="H1177" i="7"/>
  <c r="M1177" i="7"/>
  <c r="K1177" i="7"/>
  <c r="L1177" i="7"/>
  <c r="H1171" i="7"/>
  <c r="M1171" i="7"/>
  <c r="K1171" i="7"/>
  <c r="L1171" i="7"/>
  <c r="H1165" i="7"/>
  <c r="M1165" i="7"/>
  <c r="K1165" i="7"/>
  <c r="L1165" i="7"/>
  <c r="H1159" i="7"/>
  <c r="M1159" i="7"/>
  <c r="K1159" i="7"/>
  <c r="L1159" i="7"/>
  <c r="H1153" i="7"/>
  <c r="M1153" i="7"/>
  <c r="K1153" i="7"/>
  <c r="L1153" i="7"/>
  <c r="H1147" i="7"/>
  <c r="M1147" i="7"/>
  <c r="K1147" i="7"/>
  <c r="L1147" i="7"/>
  <c r="H1141" i="7"/>
  <c r="M1141" i="7"/>
  <c r="K1141" i="7"/>
  <c r="L1141" i="7"/>
  <c r="H1135" i="7"/>
  <c r="M1135" i="7"/>
  <c r="K1135" i="7"/>
  <c r="L1135" i="7"/>
  <c r="H1129" i="7"/>
  <c r="M1129" i="7"/>
  <c r="K1129" i="7"/>
  <c r="L1129" i="7"/>
  <c r="H1123" i="7"/>
  <c r="M1123" i="7"/>
  <c r="K1123" i="7"/>
  <c r="L1123" i="7"/>
  <c r="H1117" i="7"/>
  <c r="M1117" i="7"/>
  <c r="K1117" i="7"/>
  <c r="L1117" i="7"/>
  <c r="H1111" i="7"/>
  <c r="M1111" i="7"/>
  <c r="K1111" i="7"/>
  <c r="L1111" i="7"/>
  <c r="H1105" i="7"/>
  <c r="M1105" i="7"/>
  <c r="K1105" i="7"/>
  <c r="L1105" i="7"/>
  <c r="H1099" i="7"/>
  <c r="M1099" i="7"/>
  <c r="K1099" i="7"/>
  <c r="L1099" i="7"/>
  <c r="H1093" i="7"/>
  <c r="M1093" i="7"/>
  <c r="K1093" i="7"/>
  <c r="L1093" i="7"/>
  <c r="H1087" i="7"/>
  <c r="M1087" i="7"/>
  <c r="K1087" i="7"/>
  <c r="L1087" i="7"/>
  <c r="H1081" i="7"/>
  <c r="M1081" i="7"/>
  <c r="K1081" i="7"/>
  <c r="L1081" i="7"/>
  <c r="H1075" i="7"/>
  <c r="M1075" i="7"/>
  <c r="K1075" i="7"/>
  <c r="L1075" i="7"/>
  <c r="H1069" i="7"/>
  <c r="M1069" i="7"/>
  <c r="K1069" i="7"/>
  <c r="L1069" i="7"/>
  <c r="H1063" i="7"/>
  <c r="M1063" i="7"/>
  <c r="K1063" i="7"/>
  <c r="L1063" i="7"/>
  <c r="H1057" i="7"/>
  <c r="M1057" i="7"/>
  <c r="K1057" i="7"/>
  <c r="L1057" i="7"/>
  <c r="H1051" i="7"/>
  <c r="M1051" i="7"/>
  <c r="K1051" i="7"/>
  <c r="L1051" i="7"/>
  <c r="H1045" i="7"/>
  <c r="M1045" i="7"/>
  <c r="K1045" i="7"/>
  <c r="L1045" i="7"/>
  <c r="H1039" i="7"/>
  <c r="M1039" i="7"/>
  <c r="K1039" i="7"/>
  <c r="L1039" i="7"/>
  <c r="H1033" i="7"/>
  <c r="M1033" i="7"/>
  <c r="K1033" i="7"/>
  <c r="L1033" i="7"/>
  <c r="H1027" i="7"/>
  <c r="M1027" i="7"/>
  <c r="K1027" i="7"/>
  <c r="L1027" i="7"/>
  <c r="H1021" i="7"/>
  <c r="M1021" i="7"/>
  <c r="K1021" i="7"/>
  <c r="L1021" i="7"/>
  <c r="H1015" i="7"/>
  <c r="M1015" i="7"/>
  <c r="K1015" i="7"/>
  <c r="L1015" i="7"/>
  <c r="H1009" i="7"/>
  <c r="M1009" i="7"/>
  <c r="K1009" i="7"/>
  <c r="L1009" i="7"/>
  <c r="H1003" i="7"/>
  <c r="M1003" i="7"/>
  <c r="K1003" i="7"/>
  <c r="L1003" i="7"/>
  <c r="H997" i="7"/>
  <c r="M997" i="7"/>
  <c r="K997" i="7"/>
  <c r="L997" i="7"/>
  <c r="H991" i="7"/>
  <c r="M991" i="7"/>
  <c r="K991" i="7"/>
  <c r="L991" i="7"/>
  <c r="H985" i="7"/>
  <c r="M985" i="7"/>
  <c r="K985" i="7"/>
  <c r="L985" i="7"/>
  <c r="H979" i="7"/>
  <c r="M979" i="7"/>
  <c r="K979" i="7"/>
  <c r="L979" i="7"/>
  <c r="H973" i="7"/>
  <c r="M973" i="7"/>
  <c r="K973" i="7"/>
  <c r="L973" i="7"/>
  <c r="H967" i="7"/>
  <c r="M967" i="7"/>
  <c r="K967" i="7"/>
  <c r="L967" i="7"/>
  <c r="H961" i="7"/>
  <c r="M961" i="7"/>
  <c r="K961" i="7"/>
  <c r="L961" i="7"/>
  <c r="H955" i="7"/>
  <c r="M955" i="7"/>
  <c r="K955" i="7"/>
  <c r="L955" i="7"/>
  <c r="H949" i="7"/>
  <c r="M949" i="7"/>
  <c r="K949" i="7"/>
  <c r="L949" i="7"/>
  <c r="H943" i="7"/>
  <c r="M943" i="7"/>
  <c r="K943" i="7"/>
  <c r="L943" i="7"/>
  <c r="H937" i="7"/>
  <c r="M937" i="7"/>
  <c r="K937" i="7"/>
  <c r="L937" i="7"/>
  <c r="H931" i="7"/>
  <c r="M931" i="7"/>
  <c r="K931" i="7"/>
  <c r="L931" i="7"/>
  <c r="H925" i="7"/>
  <c r="M925" i="7"/>
  <c r="K925" i="7"/>
  <c r="L925" i="7"/>
  <c r="H919" i="7"/>
  <c r="M919" i="7"/>
  <c r="K919" i="7"/>
  <c r="L919" i="7"/>
  <c r="H913" i="7"/>
  <c r="M913" i="7"/>
  <c r="K913" i="7"/>
  <c r="L913" i="7"/>
  <c r="H907" i="7"/>
  <c r="M907" i="7"/>
  <c r="K907" i="7"/>
  <c r="L907" i="7"/>
  <c r="H901" i="7"/>
  <c r="M901" i="7"/>
  <c r="K901" i="7"/>
  <c r="L901" i="7"/>
  <c r="H895" i="7"/>
  <c r="M895" i="7"/>
  <c r="K895" i="7"/>
  <c r="L895" i="7"/>
  <c r="H889" i="7"/>
  <c r="M889" i="7"/>
  <c r="K889" i="7"/>
  <c r="L889" i="7"/>
  <c r="H883" i="7"/>
  <c r="M883" i="7"/>
  <c r="K883" i="7"/>
  <c r="L883" i="7"/>
  <c r="H877" i="7"/>
  <c r="M877" i="7"/>
  <c r="K877" i="7"/>
  <c r="L877" i="7"/>
  <c r="H871" i="7"/>
  <c r="M871" i="7"/>
  <c r="K871" i="7"/>
  <c r="L871" i="7"/>
  <c r="H865" i="7"/>
  <c r="M865" i="7"/>
  <c r="K865" i="7"/>
  <c r="L865" i="7"/>
  <c r="H859" i="7"/>
  <c r="M859" i="7"/>
  <c r="K859" i="7"/>
  <c r="L859" i="7"/>
  <c r="H853" i="7"/>
  <c r="M853" i="7"/>
  <c r="K853" i="7"/>
  <c r="L853" i="7"/>
  <c r="H847" i="7"/>
  <c r="M847" i="7"/>
  <c r="K847" i="7"/>
  <c r="L847" i="7"/>
  <c r="H841" i="7"/>
  <c r="M841" i="7"/>
  <c r="K841" i="7"/>
  <c r="L841" i="7"/>
  <c r="H835" i="7"/>
  <c r="M835" i="7"/>
  <c r="K835" i="7"/>
  <c r="L835" i="7"/>
  <c r="H829" i="7"/>
  <c r="M829" i="7"/>
  <c r="K829" i="7"/>
  <c r="L829" i="7"/>
  <c r="H823" i="7"/>
  <c r="M823" i="7"/>
  <c r="K823" i="7"/>
  <c r="L823" i="7"/>
  <c r="H817" i="7"/>
  <c r="M817" i="7"/>
  <c r="K817" i="7"/>
  <c r="L817" i="7"/>
  <c r="H811" i="7"/>
  <c r="M811" i="7"/>
  <c r="K811" i="7"/>
  <c r="L811" i="7"/>
  <c r="H805" i="7"/>
  <c r="M805" i="7"/>
  <c r="K805" i="7"/>
  <c r="L805" i="7"/>
  <c r="H799" i="7"/>
  <c r="M799" i="7"/>
  <c r="K799" i="7"/>
  <c r="L799" i="7"/>
  <c r="H793" i="7"/>
  <c r="M793" i="7"/>
  <c r="K793" i="7"/>
  <c r="L793" i="7"/>
  <c r="H787" i="7"/>
  <c r="M787" i="7"/>
  <c r="K787" i="7"/>
  <c r="L787" i="7"/>
  <c r="H781" i="7"/>
  <c r="M781" i="7"/>
  <c r="K781" i="7"/>
  <c r="L781" i="7"/>
  <c r="H775" i="7"/>
  <c r="M775" i="7"/>
  <c r="K775" i="7"/>
  <c r="L775" i="7"/>
  <c r="H769" i="7"/>
  <c r="M769" i="7"/>
  <c r="K769" i="7"/>
  <c r="L769" i="7"/>
  <c r="H763" i="7"/>
  <c r="M763" i="7"/>
  <c r="K763" i="7"/>
  <c r="L763" i="7"/>
  <c r="H757" i="7"/>
  <c r="M757" i="7"/>
  <c r="K757" i="7"/>
  <c r="L757" i="7"/>
  <c r="H751" i="7"/>
  <c r="M751" i="7"/>
  <c r="K751" i="7"/>
  <c r="L751" i="7"/>
  <c r="H745" i="7"/>
  <c r="M745" i="7"/>
  <c r="K745" i="7"/>
  <c r="L745" i="7"/>
  <c r="H739" i="7"/>
  <c r="M739" i="7"/>
  <c r="K739" i="7"/>
  <c r="L739" i="7"/>
  <c r="H733" i="7"/>
  <c r="M733" i="7"/>
  <c r="K733" i="7"/>
  <c r="L733" i="7"/>
  <c r="H727" i="7"/>
  <c r="M727" i="7"/>
  <c r="K727" i="7"/>
  <c r="L727" i="7"/>
  <c r="H721" i="7"/>
  <c r="M721" i="7"/>
  <c r="K721" i="7"/>
  <c r="L721" i="7"/>
  <c r="H715" i="7"/>
  <c r="M715" i="7"/>
  <c r="K715" i="7"/>
  <c r="L715" i="7"/>
  <c r="H709" i="7"/>
  <c r="M709" i="7"/>
  <c r="K709" i="7"/>
  <c r="L709" i="7"/>
  <c r="H703" i="7"/>
  <c r="M703" i="7"/>
  <c r="K703" i="7"/>
  <c r="L703" i="7"/>
  <c r="H697" i="7"/>
  <c r="M697" i="7"/>
  <c r="K697" i="7"/>
  <c r="L697" i="7"/>
  <c r="H691" i="7"/>
  <c r="M691" i="7"/>
  <c r="K691" i="7"/>
  <c r="L691" i="7"/>
  <c r="H685" i="7"/>
  <c r="M685" i="7"/>
  <c r="K685" i="7"/>
  <c r="L685" i="7"/>
  <c r="H679" i="7"/>
  <c r="M679" i="7"/>
  <c r="K679" i="7"/>
  <c r="L679" i="7"/>
  <c r="H673" i="7"/>
  <c r="M673" i="7"/>
  <c r="K673" i="7"/>
  <c r="L673" i="7"/>
  <c r="H667" i="7"/>
  <c r="M667" i="7"/>
  <c r="K667" i="7"/>
  <c r="L667" i="7"/>
  <c r="H661" i="7"/>
  <c r="M661" i="7"/>
  <c r="K661" i="7"/>
  <c r="L661" i="7"/>
  <c r="H655" i="7"/>
  <c r="M655" i="7"/>
  <c r="K655" i="7"/>
  <c r="L655" i="7"/>
  <c r="H649" i="7"/>
  <c r="M649" i="7"/>
  <c r="K649" i="7"/>
  <c r="L649" i="7"/>
  <c r="H643" i="7"/>
  <c r="M643" i="7"/>
  <c r="K643" i="7"/>
  <c r="L643" i="7"/>
  <c r="H637" i="7"/>
  <c r="M637" i="7"/>
  <c r="K637" i="7"/>
  <c r="L637" i="7"/>
  <c r="H631" i="7"/>
  <c r="M631" i="7"/>
  <c r="K631" i="7"/>
  <c r="L631" i="7"/>
  <c r="H625" i="7"/>
  <c r="M625" i="7"/>
  <c r="K625" i="7"/>
  <c r="L625" i="7"/>
  <c r="H619" i="7"/>
  <c r="M619" i="7"/>
  <c r="K619" i="7"/>
  <c r="L619" i="7"/>
  <c r="H613" i="7"/>
  <c r="M613" i="7"/>
  <c r="K613" i="7"/>
  <c r="L613" i="7"/>
  <c r="H607" i="7"/>
  <c r="M607" i="7"/>
  <c r="K607" i="7"/>
  <c r="L607" i="7"/>
  <c r="H601" i="7"/>
  <c r="M601" i="7"/>
  <c r="K601" i="7"/>
  <c r="L601" i="7"/>
  <c r="H595" i="7"/>
  <c r="M595" i="7"/>
  <c r="K595" i="7"/>
  <c r="L595" i="7"/>
  <c r="H589" i="7"/>
  <c r="M589" i="7"/>
  <c r="K589" i="7"/>
  <c r="L589" i="7"/>
  <c r="H583" i="7"/>
  <c r="M583" i="7"/>
  <c r="K583" i="7"/>
  <c r="L583" i="7"/>
  <c r="H577" i="7"/>
  <c r="M577" i="7"/>
  <c r="K577" i="7"/>
  <c r="L577" i="7"/>
  <c r="H571" i="7"/>
  <c r="M571" i="7"/>
  <c r="K571" i="7"/>
  <c r="L571" i="7"/>
  <c r="H565" i="7"/>
  <c r="M565" i="7"/>
  <c r="K565" i="7"/>
  <c r="L565" i="7"/>
  <c r="H559" i="7"/>
  <c r="M559" i="7"/>
  <c r="K559" i="7"/>
  <c r="L559" i="7"/>
  <c r="H553" i="7"/>
  <c r="M553" i="7"/>
  <c r="K553" i="7"/>
  <c r="L553" i="7"/>
  <c r="H547" i="7"/>
  <c r="M547" i="7"/>
  <c r="K547" i="7"/>
  <c r="L547" i="7"/>
  <c r="H541" i="7"/>
  <c r="M541" i="7"/>
  <c r="K541" i="7"/>
  <c r="L541" i="7"/>
  <c r="H535" i="7"/>
  <c r="M535" i="7"/>
  <c r="K535" i="7"/>
  <c r="L535" i="7"/>
  <c r="H529" i="7"/>
  <c r="M529" i="7"/>
  <c r="K529" i="7"/>
  <c r="L529" i="7"/>
  <c r="H523" i="7"/>
  <c r="M523" i="7"/>
  <c r="K523" i="7"/>
  <c r="L523" i="7"/>
  <c r="H517" i="7"/>
  <c r="M517" i="7"/>
  <c r="K517" i="7"/>
  <c r="L517" i="7"/>
  <c r="H511" i="7"/>
  <c r="M511" i="7"/>
  <c r="K511" i="7"/>
  <c r="L511" i="7"/>
  <c r="H505" i="7"/>
  <c r="M505" i="7"/>
  <c r="K505" i="7"/>
  <c r="L505" i="7"/>
  <c r="H499" i="7"/>
  <c r="M499" i="7"/>
  <c r="K499" i="7"/>
  <c r="L499" i="7"/>
  <c r="H493" i="7"/>
  <c r="M493" i="7"/>
  <c r="K493" i="7"/>
  <c r="L493" i="7"/>
  <c r="H487" i="7"/>
  <c r="M487" i="7"/>
  <c r="K487" i="7"/>
  <c r="L487" i="7"/>
  <c r="H481" i="7"/>
  <c r="M481" i="7"/>
  <c r="K481" i="7"/>
  <c r="L481" i="7"/>
  <c r="H475" i="7"/>
  <c r="M475" i="7"/>
  <c r="K475" i="7"/>
  <c r="L475" i="7"/>
  <c r="H469" i="7"/>
  <c r="M469" i="7"/>
  <c r="K469" i="7"/>
  <c r="L469" i="7"/>
  <c r="H463" i="7"/>
  <c r="M463" i="7"/>
  <c r="K463" i="7"/>
  <c r="L463" i="7"/>
  <c r="H457" i="7"/>
  <c r="M457" i="7"/>
  <c r="K457" i="7"/>
  <c r="L457" i="7"/>
  <c r="H451" i="7"/>
  <c r="M451" i="7"/>
  <c r="K451" i="7"/>
  <c r="L451" i="7"/>
  <c r="H445" i="7"/>
  <c r="M445" i="7"/>
  <c r="K445" i="7"/>
  <c r="L445" i="7"/>
  <c r="H439" i="7"/>
  <c r="M439" i="7"/>
  <c r="K439" i="7"/>
  <c r="L439" i="7"/>
  <c r="H433" i="7"/>
  <c r="M433" i="7"/>
  <c r="K433" i="7"/>
  <c r="L433" i="7"/>
  <c r="H427" i="7"/>
  <c r="M427" i="7"/>
  <c r="K427" i="7"/>
  <c r="L427" i="7"/>
  <c r="H421" i="7"/>
  <c r="M421" i="7"/>
  <c r="K421" i="7"/>
  <c r="L421" i="7"/>
  <c r="H415" i="7"/>
  <c r="M415" i="7"/>
  <c r="K415" i="7"/>
  <c r="L415" i="7"/>
  <c r="H409" i="7"/>
  <c r="M409" i="7"/>
  <c r="K409" i="7"/>
  <c r="L409" i="7"/>
  <c r="H403" i="7"/>
  <c r="M403" i="7"/>
  <c r="K403" i="7"/>
  <c r="L403" i="7"/>
  <c r="H397" i="7"/>
  <c r="M397" i="7"/>
  <c r="K397" i="7"/>
  <c r="L397" i="7"/>
  <c r="H391" i="7"/>
  <c r="M391" i="7"/>
  <c r="K391" i="7"/>
  <c r="L391" i="7"/>
  <c r="H385" i="7"/>
  <c r="M385" i="7"/>
  <c r="K385" i="7"/>
  <c r="L385" i="7"/>
  <c r="H379" i="7"/>
  <c r="M379" i="7"/>
  <c r="K379" i="7"/>
  <c r="L379" i="7"/>
  <c r="H373" i="7"/>
  <c r="M373" i="7"/>
  <c r="K373" i="7"/>
  <c r="L373" i="7"/>
  <c r="H367" i="7"/>
  <c r="M367" i="7"/>
  <c r="K367" i="7"/>
  <c r="L367" i="7"/>
  <c r="H361" i="7"/>
  <c r="M361" i="7"/>
  <c r="K361" i="7"/>
  <c r="L361" i="7"/>
  <c r="H355" i="7"/>
  <c r="M355" i="7"/>
  <c r="K355" i="7"/>
  <c r="L355" i="7"/>
  <c r="H349" i="7"/>
  <c r="M349" i="7"/>
  <c r="K349" i="7"/>
  <c r="L349" i="7"/>
  <c r="H343" i="7"/>
  <c r="M343" i="7"/>
  <c r="K343" i="7"/>
  <c r="L343" i="7"/>
  <c r="H337" i="7"/>
  <c r="M337" i="7"/>
  <c r="K337" i="7"/>
  <c r="L337" i="7"/>
  <c r="H331" i="7"/>
  <c r="M331" i="7"/>
  <c r="K331" i="7"/>
  <c r="L331" i="7"/>
  <c r="H325" i="7"/>
  <c r="M325" i="7"/>
  <c r="K325" i="7"/>
  <c r="L325" i="7"/>
  <c r="H319" i="7"/>
  <c r="M319" i="7"/>
  <c r="K319" i="7"/>
  <c r="L319" i="7"/>
  <c r="H313" i="7"/>
  <c r="M313" i="7"/>
  <c r="K313" i="7"/>
  <c r="L313" i="7"/>
  <c r="H307" i="7"/>
  <c r="M307" i="7"/>
  <c r="K307" i="7"/>
  <c r="L307" i="7"/>
  <c r="H301" i="7"/>
  <c r="M301" i="7"/>
  <c r="K301" i="7"/>
  <c r="L301" i="7"/>
  <c r="H295" i="7"/>
  <c r="M295" i="7"/>
  <c r="K295" i="7"/>
  <c r="L295" i="7"/>
  <c r="H289" i="7"/>
  <c r="M289" i="7"/>
  <c r="K289" i="7"/>
  <c r="L289" i="7"/>
  <c r="H283" i="7"/>
  <c r="M283" i="7"/>
  <c r="K283" i="7"/>
  <c r="L283" i="7"/>
  <c r="H277" i="7"/>
  <c r="M277" i="7"/>
  <c r="K277" i="7"/>
  <c r="L277" i="7"/>
  <c r="H271" i="7"/>
  <c r="M271" i="7"/>
  <c r="K271" i="7"/>
  <c r="L271" i="7"/>
  <c r="H265" i="7"/>
  <c r="M265" i="7"/>
  <c r="K265" i="7"/>
  <c r="L265" i="7"/>
  <c r="H259" i="7"/>
  <c r="M259" i="7"/>
  <c r="K259" i="7"/>
  <c r="L259" i="7"/>
  <c r="H253" i="7"/>
  <c r="M253" i="7"/>
  <c r="K253" i="7"/>
  <c r="L253" i="7"/>
  <c r="H247" i="7"/>
  <c r="M247" i="7"/>
  <c r="K247" i="7"/>
  <c r="L247" i="7"/>
  <c r="H241" i="7"/>
  <c r="M241" i="7"/>
  <c r="K241" i="7"/>
  <c r="L241" i="7"/>
  <c r="H235" i="7"/>
  <c r="M235" i="7"/>
  <c r="K235" i="7"/>
  <c r="L235" i="7"/>
  <c r="H229" i="7"/>
  <c r="M229" i="7"/>
  <c r="K229" i="7"/>
  <c r="L229" i="7"/>
  <c r="H223" i="7"/>
  <c r="M223" i="7"/>
  <c r="K223" i="7"/>
  <c r="L223" i="7"/>
  <c r="H217" i="7"/>
  <c r="M217" i="7"/>
  <c r="K217" i="7"/>
  <c r="L217" i="7"/>
  <c r="H211" i="7"/>
  <c r="M211" i="7"/>
  <c r="K211" i="7"/>
  <c r="L211" i="7"/>
  <c r="H205" i="7"/>
  <c r="M205" i="7"/>
  <c r="K205" i="7"/>
  <c r="L205" i="7"/>
  <c r="H199" i="7"/>
  <c r="M199" i="7"/>
  <c r="K199" i="7"/>
  <c r="L199" i="7"/>
  <c r="H193" i="7"/>
  <c r="M193" i="7"/>
  <c r="K193" i="7"/>
  <c r="L193" i="7"/>
  <c r="H187" i="7"/>
  <c r="M187" i="7"/>
  <c r="K187" i="7"/>
  <c r="L187" i="7"/>
  <c r="H181" i="7"/>
  <c r="M181" i="7"/>
  <c r="K181" i="7"/>
  <c r="L181" i="7"/>
  <c r="H175" i="7"/>
  <c r="M175" i="7"/>
  <c r="K175" i="7"/>
  <c r="L175" i="7"/>
  <c r="H169" i="7"/>
  <c r="M169" i="7"/>
  <c r="K169" i="7"/>
  <c r="L169" i="7"/>
  <c r="H163" i="7"/>
  <c r="M163" i="7"/>
  <c r="K163" i="7"/>
  <c r="L163" i="7"/>
  <c r="H157" i="7"/>
  <c r="M157" i="7"/>
  <c r="K157" i="7"/>
  <c r="L157" i="7"/>
  <c r="H151" i="7"/>
  <c r="M151" i="7"/>
  <c r="K151" i="7"/>
  <c r="L151" i="7"/>
  <c r="H145" i="7"/>
  <c r="M145" i="7"/>
  <c r="K145" i="7"/>
  <c r="L145" i="7"/>
  <c r="H139" i="7"/>
  <c r="M139" i="7"/>
  <c r="K139" i="7"/>
  <c r="L139" i="7"/>
  <c r="H133" i="7"/>
  <c r="M133" i="7"/>
  <c r="K133" i="7"/>
  <c r="L133" i="7"/>
  <c r="H127" i="7"/>
  <c r="M127" i="7"/>
  <c r="K127" i="7"/>
  <c r="L127" i="7"/>
  <c r="H121" i="7"/>
  <c r="M121" i="7"/>
  <c r="K121" i="7"/>
  <c r="L121" i="7"/>
  <c r="H115" i="7"/>
  <c r="M115" i="7"/>
  <c r="K115" i="7"/>
  <c r="L115" i="7"/>
  <c r="H109" i="7"/>
  <c r="M109" i="7"/>
  <c r="K109" i="7"/>
  <c r="L109" i="7"/>
  <c r="H103" i="7"/>
  <c r="M103" i="7"/>
  <c r="K103" i="7"/>
  <c r="L103" i="7"/>
  <c r="H97" i="7"/>
  <c r="M97" i="7"/>
  <c r="K97" i="7"/>
  <c r="L97" i="7"/>
  <c r="H91" i="7"/>
  <c r="M91" i="7"/>
  <c r="K91" i="7"/>
  <c r="L91" i="7"/>
  <c r="H85" i="7"/>
  <c r="M85" i="7"/>
  <c r="K85" i="7"/>
  <c r="L85" i="7"/>
  <c r="H79" i="7"/>
  <c r="M79" i="7"/>
  <c r="K79" i="7"/>
  <c r="L79" i="7"/>
  <c r="H73" i="7"/>
  <c r="M73" i="7"/>
  <c r="K73" i="7"/>
  <c r="L73" i="7"/>
  <c r="H67" i="7"/>
  <c r="M67" i="7"/>
  <c r="K67" i="7"/>
  <c r="L67" i="7"/>
  <c r="H61" i="7"/>
  <c r="M61" i="7"/>
  <c r="K61" i="7"/>
  <c r="L61" i="7"/>
  <c r="H55" i="7"/>
  <c r="M55" i="7"/>
  <c r="K55" i="7"/>
  <c r="L55" i="7"/>
  <c r="H49" i="7"/>
  <c r="M49" i="7"/>
  <c r="K49" i="7"/>
  <c r="L49" i="7"/>
  <c r="H43" i="7"/>
  <c r="M43" i="7"/>
  <c r="K43" i="7"/>
  <c r="L43" i="7"/>
  <c r="H37" i="7"/>
  <c r="M37" i="7"/>
  <c r="K37" i="7"/>
  <c r="L37" i="7"/>
  <c r="H31" i="7"/>
  <c r="M31" i="7"/>
  <c r="K31" i="7"/>
  <c r="L31" i="7"/>
  <c r="H25" i="7"/>
  <c r="M25" i="7"/>
  <c r="K25" i="7"/>
  <c r="L25" i="7"/>
  <c r="H19" i="7"/>
  <c r="M19" i="7"/>
  <c r="K19" i="7"/>
  <c r="L19" i="7"/>
  <c r="H13" i="7"/>
  <c r="M13" i="7"/>
  <c r="K13" i="7"/>
  <c r="L13" i="7"/>
  <c r="H7" i="7"/>
  <c r="M7" i="7"/>
  <c r="K7" i="7"/>
  <c r="L7" i="7"/>
  <c r="H1536" i="7"/>
  <c r="M1536" i="7"/>
  <c r="K1536" i="7"/>
  <c r="L1536" i="7"/>
  <c r="H1530" i="7"/>
  <c r="M1530" i="7"/>
  <c r="K1530" i="7"/>
  <c r="L1530" i="7"/>
  <c r="H1524" i="7"/>
  <c r="M1524" i="7"/>
  <c r="K1524" i="7"/>
  <c r="L1524" i="7"/>
  <c r="H1518" i="7"/>
  <c r="M1518" i="7"/>
  <c r="K1518" i="7"/>
  <c r="L1518" i="7"/>
  <c r="H1512" i="7"/>
  <c r="M1512" i="7"/>
  <c r="K1512" i="7"/>
  <c r="L1512" i="7"/>
  <c r="H1506" i="7"/>
  <c r="M1506" i="7"/>
  <c r="K1506" i="7"/>
  <c r="L1506" i="7"/>
  <c r="H1500" i="7"/>
  <c r="M1500" i="7"/>
  <c r="K1500" i="7"/>
  <c r="L1500" i="7"/>
  <c r="H1494" i="7"/>
  <c r="M1494" i="7"/>
  <c r="K1494" i="7"/>
  <c r="L1494" i="7"/>
  <c r="H1488" i="7"/>
  <c r="M1488" i="7"/>
  <c r="K1488" i="7"/>
  <c r="L1488" i="7"/>
  <c r="H1482" i="7"/>
  <c r="M1482" i="7"/>
  <c r="K1482" i="7"/>
  <c r="L1482" i="7"/>
  <c r="H1476" i="7"/>
  <c r="M1476" i="7"/>
  <c r="K1476" i="7"/>
  <c r="L1476" i="7"/>
  <c r="H1470" i="7"/>
  <c r="M1470" i="7"/>
  <c r="K1470" i="7"/>
  <c r="L1470" i="7"/>
  <c r="H1464" i="7"/>
  <c r="M1464" i="7"/>
  <c r="K1464" i="7"/>
  <c r="L1464" i="7"/>
  <c r="H1458" i="7"/>
  <c r="M1458" i="7"/>
  <c r="K1458" i="7"/>
  <c r="L1458" i="7"/>
  <c r="H1452" i="7"/>
  <c r="M1452" i="7"/>
  <c r="K1452" i="7"/>
  <c r="L1452" i="7"/>
  <c r="H1446" i="7"/>
  <c r="M1446" i="7"/>
  <c r="K1446" i="7"/>
  <c r="L1446" i="7"/>
  <c r="H1440" i="7"/>
  <c r="M1440" i="7"/>
  <c r="K1440" i="7"/>
  <c r="L1440" i="7"/>
  <c r="H1434" i="7"/>
  <c r="M1434" i="7"/>
  <c r="K1434" i="7"/>
  <c r="L1434" i="7"/>
  <c r="H1428" i="7"/>
  <c r="M1428" i="7"/>
  <c r="K1428" i="7"/>
  <c r="L1428" i="7"/>
  <c r="H1422" i="7"/>
  <c r="M1422" i="7"/>
  <c r="K1422" i="7"/>
  <c r="L1422" i="7"/>
  <c r="H1416" i="7"/>
  <c r="M1416" i="7"/>
  <c r="K1416" i="7"/>
  <c r="L1416" i="7"/>
  <c r="H1410" i="7"/>
  <c r="M1410" i="7"/>
  <c r="K1410" i="7"/>
  <c r="L1410" i="7"/>
  <c r="H1404" i="7"/>
  <c r="M1404" i="7"/>
  <c r="K1404" i="7"/>
  <c r="L1404" i="7"/>
  <c r="H1398" i="7"/>
  <c r="M1398" i="7"/>
  <c r="K1398" i="7"/>
  <c r="L1398" i="7"/>
  <c r="H1392" i="7"/>
  <c r="M1392" i="7"/>
  <c r="K1392" i="7"/>
  <c r="L1392" i="7"/>
  <c r="H1386" i="7"/>
  <c r="M1386" i="7"/>
  <c r="K1386" i="7"/>
  <c r="L1386" i="7"/>
  <c r="H1380" i="7"/>
  <c r="M1380" i="7"/>
  <c r="K1380" i="7"/>
  <c r="L1380" i="7"/>
  <c r="H1374" i="7"/>
  <c r="M1374" i="7"/>
  <c r="K1374" i="7"/>
  <c r="L1374" i="7"/>
  <c r="H1368" i="7"/>
  <c r="M1368" i="7"/>
  <c r="K1368" i="7"/>
  <c r="L1368" i="7"/>
  <c r="H1362" i="7"/>
  <c r="M1362" i="7"/>
  <c r="K1362" i="7"/>
  <c r="L1362" i="7"/>
  <c r="H1356" i="7"/>
  <c r="M1356" i="7"/>
  <c r="K1356" i="7"/>
  <c r="L1356" i="7"/>
  <c r="H1350" i="7"/>
  <c r="M1350" i="7"/>
  <c r="K1350" i="7"/>
  <c r="L1350" i="7"/>
  <c r="H1344" i="7"/>
  <c r="M1344" i="7"/>
  <c r="K1344" i="7"/>
  <c r="L1344" i="7"/>
  <c r="H1338" i="7"/>
  <c r="M1338" i="7"/>
  <c r="K1338" i="7"/>
  <c r="L1338" i="7"/>
  <c r="H1332" i="7"/>
  <c r="M1332" i="7"/>
  <c r="K1332" i="7"/>
  <c r="L1332" i="7"/>
  <c r="H1326" i="7"/>
  <c r="M1326" i="7"/>
  <c r="K1326" i="7"/>
  <c r="L1326" i="7"/>
  <c r="H1320" i="7"/>
  <c r="M1320" i="7"/>
  <c r="K1320" i="7"/>
  <c r="L1320" i="7"/>
  <c r="H1314" i="7"/>
  <c r="M1314" i="7"/>
  <c r="K1314" i="7"/>
  <c r="L1314" i="7"/>
  <c r="H1308" i="7"/>
  <c r="M1308" i="7"/>
  <c r="K1308" i="7"/>
  <c r="L1308" i="7"/>
  <c r="H1302" i="7"/>
  <c r="M1302" i="7"/>
  <c r="K1302" i="7"/>
  <c r="L1302" i="7"/>
  <c r="H1296" i="7"/>
  <c r="M1296" i="7"/>
  <c r="K1296" i="7"/>
  <c r="L1296" i="7"/>
  <c r="H1290" i="7"/>
  <c r="M1290" i="7"/>
  <c r="K1290" i="7"/>
  <c r="L1290" i="7"/>
  <c r="H1284" i="7"/>
  <c r="M1284" i="7"/>
  <c r="K1284" i="7"/>
  <c r="L1284" i="7"/>
  <c r="H1278" i="7"/>
  <c r="M1278" i="7"/>
  <c r="K1278" i="7"/>
  <c r="L1278" i="7"/>
  <c r="H1272" i="7"/>
  <c r="M1272" i="7"/>
  <c r="K1272" i="7"/>
  <c r="L1272" i="7"/>
  <c r="H1266" i="7"/>
  <c r="M1266" i="7"/>
  <c r="K1266" i="7"/>
  <c r="L1266" i="7"/>
  <c r="H1260" i="7"/>
  <c r="M1260" i="7"/>
  <c r="K1260" i="7"/>
  <c r="L1260" i="7"/>
  <c r="H1254" i="7"/>
  <c r="M1254" i="7"/>
  <c r="K1254" i="7"/>
  <c r="L1254" i="7"/>
  <c r="H1248" i="7"/>
  <c r="M1248" i="7"/>
  <c r="K1248" i="7"/>
  <c r="L1248" i="7"/>
  <c r="H1242" i="7"/>
  <c r="M1242" i="7"/>
  <c r="K1242" i="7"/>
  <c r="L1242" i="7"/>
  <c r="H1236" i="7"/>
  <c r="M1236" i="7"/>
  <c r="K1236" i="7"/>
  <c r="L1236" i="7"/>
  <c r="H1230" i="7"/>
  <c r="M1230" i="7"/>
  <c r="K1230" i="7"/>
  <c r="L1230" i="7"/>
  <c r="H1224" i="7"/>
  <c r="M1224" i="7"/>
  <c r="K1224" i="7"/>
  <c r="L1224" i="7"/>
  <c r="H1218" i="7"/>
  <c r="M1218" i="7"/>
  <c r="K1218" i="7"/>
  <c r="L1218" i="7"/>
  <c r="H1212" i="7"/>
  <c r="M1212" i="7"/>
  <c r="K1212" i="7"/>
  <c r="L1212" i="7"/>
  <c r="H1206" i="7"/>
  <c r="M1206" i="7"/>
  <c r="K1206" i="7"/>
  <c r="L1206" i="7"/>
  <c r="H1200" i="7"/>
  <c r="M1200" i="7"/>
  <c r="K1200" i="7"/>
  <c r="L1200" i="7"/>
  <c r="H1194" i="7"/>
  <c r="M1194" i="7"/>
  <c r="K1194" i="7"/>
  <c r="L1194" i="7"/>
  <c r="H1188" i="7"/>
  <c r="M1188" i="7"/>
  <c r="K1188" i="7"/>
  <c r="L1188" i="7"/>
  <c r="H1182" i="7"/>
  <c r="M1182" i="7"/>
  <c r="K1182" i="7"/>
  <c r="L1182" i="7"/>
  <c r="H1176" i="7"/>
  <c r="M1176" i="7"/>
  <c r="K1176" i="7"/>
  <c r="L1176" i="7"/>
  <c r="H1170" i="7"/>
  <c r="M1170" i="7"/>
  <c r="K1170" i="7"/>
  <c r="L1170" i="7"/>
  <c r="H1164" i="7"/>
  <c r="M1164" i="7"/>
  <c r="K1164" i="7"/>
  <c r="L1164" i="7"/>
  <c r="H1158" i="7"/>
  <c r="M1158" i="7"/>
  <c r="K1158" i="7"/>
  <c r="L1158" i="7"/>
  <c r="H1152" i="7"/>
  <c r="M1152" i="7"/>
  <c r="K1152" i="7"/>
  <c r="L1152" i="7"/>
  <c r="H1146" i="7"/>
  <c r="M1146" i="7"/>
  <c r="K1146" i="7"/>
  <c r="L1146" i="7"/>
  <c r="H1140" i="7"/>
  <c r="M1140" i="7"/>
  <c r="K1140" i="7"/>
  <c r="L1140" i="7"/>
  <c r="H1134" i="7"/>
  <c r="M1134" i="7"/>
  <c r="K1134" i="7"/>
  <c r="L1134" i="7"/>
  <c r="H1128" i="7"/>
  <c r="M1128" i="7"/>
  <c r="K1128" i="7"/>
  <c r="L1128" i="7"/>
  <c r="H1122" i="7"/>
  <c r="M1122" i="7"/>
  <c r="K1122" i="7"/>
  <c r="L1122" i="7"/>
  <c r="H1116" i="7"/>
  <c r="M1116" i="7"/>
  <c r="K1116" i="7"/>
  <c r="L1116" i="7"/>
  <c r="H1110" i="7"/>
  <c r="M1110" i="7"/>
  <c r="K1110" i="7"/>
  <c r="L1110" i="7"/>
  <c r="H1104" i="7"/>
  <c r="M1104" i="7"/>
  <c r="K1104" i="7"/>
  <c r="L1104" i="7"/>
  <c r="H1098" i="7"/>
  <c r="M1098" i="7"/>
  <c r="K1098" i="7"/>
  <c r="L1098" i="7"/>
  <c r="H1092" i="7"/>
  <c r="M1092" i="7"/>
  <c r="K1092" i="7"/>
  <c r="L1092" i="7"/>
  <c r="H1086" i="7"/>
  <c r="M1086" i="7"/>
  <c r="K1086" i="7"/>
  <c r="L1086" i="7"/>
  <c r="H1080" i="7"/>
  <c r="M1080" i="7"/>
  <c r="K1080" i="7"/>
  <c r="L1080" i="7"/>
  <c r="H1074" i="7"/>
  <c r="M1074" i="7"/>
  <c r="K1074" i="7"/>
  <c r="L1074" i="7"/>
  <c r="H1068" i="7"/>
  <c r="M1068" i="7"/>
  <c r="K1068" i="7"/>
  <c r="L1068" i="7"/>
  <c r="H1062" i="7"/>
  <c r="M1062" i="7"/>
  <c r="K1062" i="7"/>
  <c r="L1062" i="7"/>
  <c r="H1056" i="7"/>
  <c r="M1056" i="7"/>
  <c r="K1056" i="7"/>
  <c r="L1056" i="7"/>
  <c r="H1050" i="7"/>
  <c r="M1050" i="7"/>
  <c r="K1050" i="7"/>
  <c r="L1050" i="7"/>
  <c r="H1044" i="7"/>
  <c r="M1044" i="7"/>
  <c r="K1044" i="7"/>
  <c r="L1044" i="7"/>
  <c r="H1038" i="7"/>
  <c r="M1038" i="7"/>
  <c r="K1038" i="7"/>
  <c r="L1038" i="7"/>
  <c r="H1032" i="7"/>
  <c r="M1032" i="7"/>
  <c r="K1032" i="7"/>
  <c r="L1032" i="7"/>
  <c r="H1026" i="7"/>
  <c r="M1026" i="7"/>
  <c r="K1026" i="7"/>
  <c r="L1026" i="7"/>
  <c r="H1020" i="7"/>
  <c r="M1020" i="7"/>
  <c r="K1020" i="7"/>
  <c r="L1020" i="7"/>
  <c r="H1014" i="7"/>
  <c r="M1014" i="7"/>
  <c r="K1014" i="7"/>
  <c r="L1014" i="7"/>
  <c r="H1008" i="7"/>
  <c r="M1008" i="7"/>
  <c r="K1008" i="7"/>
  <c r="L1008" i="7"/>
  <c r="H1002" i="7"/>
  <c r="M1002" i="7"/>
  <c r="K1002" i="7"/>
  <c r="L1002" i="7"/>
  <c r="H996" i="7"/>
  <c r="M996" i="7"/>
  <c r="K996" i="7"/>
  <c r="L996" i="7"/>
  <c r="H990" i="7"/>
  <c r="M990" i="7"/>
  <c r="K990" i="7"/>
  <c r="L990" i="7"/>
  <c r="H984" i="7"/>
  <c r="M984" i="7"/>
  <c r="K984" i="7"/>
  <c r="L984" i="7"/>
  <c r="H978" i="7"/>
  <c r="M978" i="7"/>
  <c r="K978" i="7"/>
  <c r="L978" i="7"/>
  <c r="H972" i="7"/>
  <c r="M972" i="7"/>
  <c r="K972" i="7"/>
  <c r="L972" i="7"/>
  <c r="H966" i="7"/>
  <c r="M966" i="7"/>
  <c r="K966" i="7"/>
  <c r="L966" i="7"/>
  <c r="H960" i="7"/>
  <c r="M960" i="7"/>
  <c r="K960" i="7"/>
  <c r="L960" i="7"/>
  <c r="H954" i="7"/>
  <c r="M954" i="7"/>
  <c r="K954" i="7"/>
  <c r="L954" i="7"/>
  <c r="H948" i="7"/>
  <c r="M948" i="7"/>
  <c r="K948" i="7"/>
  <c r="L948" i="7"/>
  <c r="H942" i="7"/>
  <c r="M942" i="7"/>
  <c r="K942" i="7"/>
  <c r="L942" i="7"/>
  <c r="H936" i="7"/>
  <c r="M936" i="7"/>
  <c r="K936" i="7"/>
  <c r="L936" i="7"/>
  <c r="H930" i="7"/>
  <c r="M930" i="7"/>
  <c r="K930" i="7"/>
  <c r="L930" i="7"/>
  <c r="H924" i="7"/>
  <c r="M924" i="7"/>
  <c r="K924" i="7"/>
  <c r="L924" i="7"/>
  <c r="H918" i="7"/>
  <c r="M918" i="7"/>
  <c r="K918" i="7"/>
  <c r="L918" i="7"/>
  <c r="H912" i="7"/>
  <c r="M912" i="7"/>
  <c r="K912" i="7"/>
  <c r="L912" i="7"/>
  <c r="H906" i="7"/>
  <c r="M906" i="7"/>
  <c r="K906" i="7"/>
  <c r="L906" i="7"/>
  <c r="H900" i="7"/>
  <c r="M900" i="7"/>
  <c r="K900" i="7"/>
  <c r="L900" i="7"/>
  <c r="H894" i="7"/>
  <c r="M894" i="7"/>
  <c r="K894" i="7"/>
  <c r="L894" i="7"/>
  <c r="H888" i="7"/>
  <c r="M888" i="7"/>
  <c r="K888" i="7"/>
  <c r="L888" i="7"/>
  <c r="H882" i="7"/>
  <c r="M882" i="7"/>
  <c r="K882" i="7"/>
  <c r="L882" i="7"/>
  <c r="H876" i="7"/>
  <c r="M876" i="7"/>
  <c r="K876" i="7"/>
  <c r="L876" i="7"/>
  <c r="H870" i="7"/>
  <c r="M870" i="7"/>
  <c r="K870" i="7"/>
  <c r="L870" i="7"/>
  <c r="H864" i="7"/>
  <c r="M864" i="7"/>
  <c r="K864" i="7"/>
  <c r="L864" i="7"/>
  <c r="H858" i="7"/>
  <c r="M858" i="7"/>
  <c r="K858" i="7"/>
  <c r="L858" i="7"/>
  <c r="H852" i="7"/>
  <c r="M852" i="7"/>
  <c r="K852" i="7"/>
  <c r="L852" i="7"/>
  <c r="H846" i="7"/>
  <c r="M846" i="7"/>
  <c r="K846" i="7"/>
  <c r="L846" i="7"/>
  <c r="H840" i="7"/>
  <c r="M840" i="7"/>
  <c r="K840" i="7"/>
  <c r="L840" i="7"/>
  <c r="H834" i="7"/>
  <c r="M834" i="7"/>
  <c r="K834" i="7"/>
  <c r="L834" i="7"/>
  <c r="H828" i="7"/>
  <c r="M828" i="7"/>
  <c r="K828" i="7"/>
  <c r="L828" i="7"/>
  <c r="H822" i="7"/>
  <c r="M822" i="7"/>
  <c r="K822" i="7"/>
  <c r="L822" i="7"/>
  <c r="H816" i="7"/>
  <c r="M816" i="7"/>
  <c r="K816" i="7"/>
  <c r="L816" i="7"/>
  <c r="H810" i="7"/>
  <c r="M810" i="7"/>
  <c r="K810" i="7"/>
  <c r="L810" i="7"/>
  <c r="H804" i="7"/>
  <c r="M804" i="7"/>
  <c r="K804" i="7"/>
  <c r="L804" i="7"/>
  <c r="H798" i="7"/>
  <c r="M798" i="7"/>
  <c r="K798" i="7"/>
  <c r="L798" i="7"/>
  <c r="H792" i="7"/>
  <c r="M792" i="7"/>
  <c r="K792" i="7"/>
  <c r="L792" i="7"/>
  <c r="H786" i="7"/>
  <c r="M786" i="7"/>
  <c r="K786" i="7"/>
  <c r="L786" i="7"/>
  <c r="H780" i="7"/>
  <c r="M780" i="7"/>
  <c r="K780" i="7"/>
  <c r="L780" i="7"/>
  <c r="H774" i="7"/>
  <c r="M774" i="7"/>
  <c r="K774" i="7"/>
  <c r="L774" i="7"/>
  <c r="H768" i="7"/>
  <c r="M768" i="7"/>
  <c r="K768" i="7"/>
  <c r="L768" i="7"/>
  <c r="H762" i="7"/>
  <c r="M762" i="7"/>
  <c r="K762" i="7"/>
  <c r="L762" i="7"/>
  <c r="H756" i="7"/>
  <c r="M756" i="7"/>
  <c r="K756" i="7"/>
  <c r="L756" i="7"/>
  <c r="H750" i="7"/>
  <c r="M750" i="7"/>
  <c r="K750" i="7"/>
  <c r="L750" i="7"/>
  <c r="H744" i="7"/>
  <c r="M744" i="7"/>
  <c r="K744" i="7"/>
  <c r="L744" i="7"/>
  <c r="H738" i="7"/>
  <c r="M738" i="7"/>
  <c r="K738" i="7"/>
  <c r="L738" i="7"/>
  <c r="H732" i="7"/>
  <c r="M732" i="7"/>
  <c r="K732" i="7"/>
  <c r="L732" i="7"/>
  <c r="H726" i="7"/>
  <c r="M726" i="7"/>
  <c r="K726" i="7"/>
  <c r="L726" i="7"/>
  <c r="H720" i="7"/>
  <c r="M720" i="7"/>
  <c r="K720" i="7"/>
  <c r="L720" i="7"/>
  <c r="H714" i="7"/>
  <c r="M714" i="7"/>
  <c r="K714" i="7"/>
  <c r="L714" i="7"/>
  <c r="H708" i="7"/>
  <c r="M708" i="7"/>
  <c r="K708" i="7"/>
  <c r="L708" i="7"/>
  <c r="H702" i="7"/>
  <c r="M702" i="7"/>
  <c r="K702" i="7"/>
  <c r="L702" i="7"/>
  <c r="H696" i="7"/>
  <c r="M696" i="7"/>
  <c r="K696" i="7"/>
  <c r="L696" i="7"/>
  <c r="H690" i="7"/>
  <c r="M690" i="7"/>
  <c r="L690" i="7"/>
  <c r="K690" i="7"/>
  <c r="H684" i="7"/>
  <c r="M684" i="7"/>
  <c r="K684" i="7"/>
  <c r="L684" i="7"/>
  <c r="H678" i="7"/>
  <c r="M678" i="7"/>
  <c r="K678" i="7"/>
  <c r="L678" i="7"/>
  <c r="H672" i="7"/>
  <c r="M672" i="7"/>
  <c r="K672" i="7"/>
  <c r="L672" i="7"/>
  <c r="H666" i="7"/>
  <c r="M666" i="7"/>
  <c r="K666" i="7"/>
  <c r="L666" i="7"/>
  <c r="H660" i="7"/>
  <c r="M660" i="7"/>
  <c r="K660" i="7"/>
  <c r="L660" i="7"/>
  <c r="H654" i="7"/>
  <c r="M654" i="7"/>
  <c r="K654" i="7"/>
  <c r="L654" i="7"/>
  <c r="H648" i="7"/>
  <c r="M648" i="7"/>
  <c r="K648" i="7"/>
  <c r="L648" i="7"/>
  <c r="H642" i="7"/>
  <c r="M642" i="7"/>
  <c r="K642" i="7"/>
  <c r="L642" i="7"/>
  <c r="H636" i="7"/>
  <c r="M636" i="7"/>
  <c r="K636" i="7"/>
  <c r="L636" i="7"/>
  <c r="H630" i="7"/>
  <c r="M630" i="7"/>
  <c r="K630" i="7"/>
  <c r="L630" i="7"/>
  <c r="H624" i="7"/>
  <c r="M624" i="7"/>
  <c r="K624" i="7"/>
  <c r="L624" i="7"/>
  <c r="H618" i="7"/>
  <c r="M618" i="7"/>
  <c r="K618" i="7"/>
  <c r="L618" i="7"/>
  <c r="H612" i="7"/>
  <c r="M612" i="7"/>
  <c r="K612" i="7"/>
  <c r="L612" i="7"/>
  <c r="H606" i="7"/>
  <c r="M606" i="7"/>
  <c r="K606" i="7"/>
  <c r="L606" i="7"/>
  <c r="H600" i="7"/>
  <c r="M600" i="7"/>
  <c r="K600" i="7"/>
  <c r="L600" i="7"/>
  <c r="H594" i="7"/>
  <c r="M594" i="7"/>
  <c r="K594" i="7"/>
  <c r="L594" i="7"/>
  <c r="H588" i="7"/>
  <c r="M588" i="7"/>
  <c r="K588" i="7"/>
  <c r="L588" i="7"/>
  <c r="H582" i="7"/>
  <c r="M582" i="7"/>
  <c r="K582" i="7"/>
  <c r="L582" i="7"/>
  <c r="H576" i="7"/>
  <c r="M576" i="7"/>
  <c r="K576" i="7"/>
  <c r="L576" i="7"/>
  <c r="H570" i="7"/>
  <c r="M570" i="7"/>
  <c r="K570" i="7"/>
  <c r="L570" i="7"/>
  <c r="H564" i="7"/>
  <c r="M564" i="7"/>
  <c r="K564" i="7"/>
  <c r="L564" i="7"/>
  <c r="H558" i="7"/>
  <c r="M558" i="7"/>
  <c r="K558" i="7"/>
  <c r="L558" i="7"/>
  <c r="H552" i="7"/>
  <c r="M552" i="7"/>
  <c r="K552" i="7"/>
  <c r="L552" i="7"/>
  <c r="H546" i="7"/>
  <c r="M546" i="7"/>
  <c r="K546" i="7"/>
  <c r="L546" i="7"/>
  <c r="H540" i="7"/>
  <c r="M540" i="7"/>
  <c r="K540" i="7"/>
  <c r="L540" i="7"/>
  <c r="H534" i="7"/>
  <c r="M534" i="7"/>
  <c r="K534" i="7"/>
  <c r="L534" i="7"/>
  <c r="H528" i="7"/>
  <c r="M528" i="7"/>
  <c r="K528" i="7"/>
  <c r="L528" i="7"/>
  <c r="H522" i="7"/>
  <c r="M522" i="7"/>
  <c r="K522" i="7"/>
  <c r="L522" i="7"/>
  <c r="H516" i="7"/>
  <c r="M516" i="7"/>
  <c r="K516" i="7"/>
  <c r="L516" i="7"/>
  <c r="H510" i="7"/>
  <c r="M510" i="7"/>
  <c r="K510" i="7"/>
  <c r="L510" i="7"/>
  <c r="H504" i="7"/>
  <c r="M504" i="7"/>
  <c r="K504" i="7"/>
  <c r="L504" i="7"/>
  <c r="H498" i="7"/>
  <c r="M498" i="7"/>
  <c r="K498" i="7"/>
  <c r="L498" i="7"/>
  <c r="H492" i="7"/>
  <c r="M492" i="7"/>
  <c r="K492" i="7"/>
  <c r="L492" i="7"/>
  <c r="H486" i="7"/>
  <c r="M486" i="7"/>
  <c r="K486" i="7"/>
  <c r="L486" i="7"/>
  <c r="H480" i="7"/>
  <c r="M480" i="7"/>
  <c r="K480" i="7"/>
  <c r="L480" i="7"/>
  <c r="H474" i="7"/>
  <c r="M474" i="7"/>
  <c r="K474" i="7"/>
  <c r="L474" i="7"/>
  <c r="H468" i="7"/>
  <c r="M468" i="7"/>
  <c r="K468" i="7"/>
  <c r="L468" i="7"/>
  <c r="H462" i="7"/>
  <c r="M462" i="7"/>
  <c r="K462" i="7"/>
  <c r="L462" i="7"/>
  <c r="H456" i="7"/>
  <c r="M456" i="7"/>
  <c r="K456" i="7"/>
  <c r="L456" i="7"/>
  <c r="H450" i="7"/>
  <c r="M450" i="7"/>
  <c r="K450" i="7"/>
  <c r="L450" i="7"/>
  <c r="H444" i="7"/>
  <c r="M444" i="7"/>
  <c r="K444" i="7"/>
  <c r="L444" i="7"/>
  <c r="H438" i="7"/>
  <c r="M438" i="7"/>
  <c r="K438" i="7"/>
  <c r="L438" i="7"/>
  <c r="H432" i="7"/>
  <c r="M432" i="7"/>
  <c r="K432" i="7"/>
  <c r="L432" i="7"/>
  <c r="H426" i="7"/>
  <c r="M426" i="7"/>
  <c r="K426" i="7"/>
  <c r="L426" i="7"/>
  <c r="H420" i="7"/>
  <c r="M420" i="7"/>
  <c r="K420" i="7"/>
  <c r="L420" i="7"/>
  <c r="H414" i="7"/>
  <c r="M414" i="7"/>
  <c r="K414" i="7"/>
  <c r="L414" i="7"/>
  <c r="H408" i="7"/>
  <c r="M408" i="7"/>
  <c r="K408" i="7"/>
  <c r="L408" i="7"/>
  <c r="H402" i="7"/>
  <c r="M402" i="7"/>
  <c r="K402" i="7"/>
  <c r="L402" i="7"/>
  <c r="H396" i="7"/>
  <c r="M396" i="7"/>
  <c r="K396" i="7"/>
  <c r="L396" i="7"/>
  <c r="H390" i="7"/>
  <c r="M390" i="7"/>
  <c r="K390" i="7"/>
  <c r="L390" i="7"/>
  <c r="H384" i="7"/>
  <c r="M384" i="7"/>
  <c r="K384" i="7"/>
  <c r="L384" i="7"/>
  <c r="H378" i="7"/>
  <c r="M378" i="7"/>
  <c r="K378" i="7"/>
  <c r="L378" i="7"/>
  <c r="H372" i="7"/>
  <c r="M372" i="7"/>
  <c r="K372" i="7"/>
  <c r="L372" i="7"/>
  <c r="H366" i="7"/>
  <c r="M366" i="7"/>
  <c r="K366" i="7"/>
  <c r="L366" i="7"/>
  <c r="H360" i="7"/>
  <c r="M360" i="7"/>
  <c r="K360" i="7"/>
  <c r="L360" i="7"/>
  <c r="H354" i="7"/>
  <c r="M354" i="7"/>
  <c r="K354" i="7"/>
  <c r="L354" i="7"/>
  <c r="H348" i="7"/>
  <c r="M348" i="7"/>
  <c r="K348" i="7"/>
  <c r="L348" i="7"/>
  <c r="H342" i="7"/>
  <c r="M342" i="7"/>
  <c r="K342" i="7"/>
  <c r="L342" i="7"/>
  <c r="H336" i="7"/>
  <c r="M336" i="7"/>
  <c r="K336" i="7"/>
  <c r="L336" i="7"/>
  <c r="H330" i="7"/>
  <c r="M330" i="7"/>
  <c r="K330" i="7"/>
  <c r="L330" i="7"/>
  <c r="H324" i="7"/>
  <c r="M324" i="7"/>
  <c r="K324" i="7"/>
  <c r="L324" i="7"/>
  <c r="H318" i="7"/>
  <c r="M318" i="7"/>
  <c r="K318" i="7"/>
  <c r="L318" i="7"/>
  <c r="H312" i="7"/>
  <c r="M312" i="7"/>
  <c r="K312" i="7"/>
  <c r="L312" i="7"/>
  <c r="H306" i="7"/>
  <c r="M306" i="7"/>
  <c r="K306" i="7"/>
  <c r="L306" i="7"/>
  <c r="H300" i="7"/>
  <c r="M300" i="7"/>
  <c r="K300" i="7"/>
  <c r="L300" i="7"/>
  <c r="H294" i="7"/>
  <c r="M294" i="7"/>
  <c r="K294" i="7"/>
  <c r="L294" i="7"/>
  <c r="H288" i="7"/>
  <c r="M288" i="7"/>
  <c r="K288" i="7"/>
  <c r="L288" i="7"/>
  <c r="H282" i="7"/>
  <c r="M282" i="7"/>
  <c r="K282" i="7"/>
  <c r="L282" i="7"/>
  <c r="H276" i="7"/>
  <c r="M276" i="7"/>
  <c r="K276" i="7"/>
  <c r="L276" i="7"/>
  <c r="H270" i="7"/>
  <c r="M270" i="7"/>
  <c r="K270" i="7"/>
  <c r="L270" i="7"/>
  <c r="H264" i="7"/>
  <c r="M264" i="7"/>
  <c r="K264" i="7"/>
  <c r="L264" i="7"/>
  <c r="H258" i="7"/>
  <c r="M258" i="7"/>
  <c r="K258" i="7"/>
  <c r="L258" i="7"/>
  <c r="H252" i="7"/>
  <c r="M252" i="7"/>
  <c r="K252" i="7"/>
  <c r="L252" i="7"/>
  <c r="H246" i="7"/>
  <c r="M246" i="7"/>
  <c r="K246" i="7"/>
  <c r="L246" i="7"/>
  <c r="H240" i="7"/>
  <c r="M240" i="7"/>
  <c r="K240" i="7"/>
  <c r="L240" i="7"/>
  <c r="H234" i="7"/>
  <c r="M234" i="7"/>
  <c r="K234" i="7"/>
  <c r="L234" i="7"/>
  <c r="H228" i="7"/>
  <c r="M228" i="7"/>
  <c r="K228" i="7"/>
  <c r="L228" i="7"/>
  <c r="H222" i="7"/>
  <c r="M222" i="7"/>
  <c r="K222" i="7"/>
  <c r="L222" i="7"/>
  <c r="H216" i="7"/>
  <c r="M216" i="7"/>
  <c r="K216" i="7"/>
  <c r="L216" i="7"/>
  <c r="H210" i="7"/>
  <c r="M210" i="7"/>
  <c r="K210" i="7"/>
  <c r="L210" i="7"/>
  <c r="H204" i="7"/>
  <c r="M204" i="7"/>
  <c r="K204" i="7"/>
  <c r="L204" i="7"/>
  <c r="H198" i="7"/>
  <c r="M198" i="7"/>
  <c r="K198" i="7"/>
  <c r="L198" i="7"/>
  <c r="H192" i="7"/>
  <c r="M192" i="7"/>
  <c r="K192" i="7"/>
  <c r="L192" i="7"/>
  <c r="H186" i="7"/>
  <c r="M186" i="7"/>
  <c r="K186" i="7"/>
  <c r="L186" i="7"/>
  <c r="H180" i="7"/>
  <c r="M180" i="7"/>
  <c r="K180" i="7"/>
  <c r="L180" i="7"/>
  <c r="H174" i="7"/>
  <c r="M174" i="7"/>
  <c r="K174" i="7"/>
  <c r="L174" i="7"/>
  <c r="H168" i="7"/>
  <c r="M168" i="7"/>
  <c r="K168" i="7"/>
  <c r="L168" i="7"/>
  <c r="H162" i="7"/>
  <c r="M162" i="7"/>
  <c r="K162" i="7"/>
  <c r="L162" i="7"/>
  <c r="H156" i="7"/>
  <c r="M156" i="7"/>
  <c r="K156" i="7"/>
  <c r="L156" i="7"/>
  <c r="H150" i="7"/>
  <c r="M150" i="7"/>
  <c r="K150" i="7"/>
  <c r="L150" i="7"/>
  <c r="H144" i="7"/>
  <c r="M144" i="7"/>
  <c r="K144" i="7"/>
  <c r="L144" i="7"/>
  <c r="H138" i="7"/>
  <c r="M138" i="7"/>
  <c r="K138" i="7"/>
  <c r="L138" i="7"/>
  <c r="H132" i="7"/>
  <c r="M132" i="7"/>
  <c r="K132" i="7"/>
  <c r="L132" i="7"/>
  <c r="H126" i="7"/>
  <c r="M126" i="7"/>
  <c r="K126" i="7"/>
  <c r="L126" i="7"/>
  <c r="H120" i="7"/>
  <c r="M120" i="7"/>
  <c r="K120" i="7"/>
  <c r="L120" i="7"/>
  <c r="H114" i="7"/>
  <c r="M114" i="7"/>
  <c r="K114" i="7"/>
  <c r="L114" i="7"/>
  <c r="H108" i="7"/>
  <c r="M108" i="7"/>
  <c r="K108" i="7"/>
  <c r="L108" i="7"/>
  <c r="H102" i="7"/>
  <c r="M102" i="7"/>
  <c r="K102" i="7"/>
  <c r="L102" i="7"/>
  <c r="H96" i="7"/>
  <c r="M96" i="7"/>
  <c r="K96" i="7"/>
  <c r="L96" i="7"/>
  <c r="H90" i="7"/>
  <c r="M90" i="7"/>
  <c r="K90" i="7"/>
  <c r="L90" i="7"/>
  <c r="H84" i="7"/>
  <c r="M84" i="7"/>
  <c r="K84" i="7"/>
  <c r="L84" i="7"/>
  <c r="H78" i="7"/>
  <c r="M78" i="7"/>
  <c r="K78" i="7"/>
  <c r="L78" i="7"/>
  <c r="H72" i="7"/>
  <c r="M72" i="7"/>
  <c r="K72" i="7"/>
  <c r="L72" i="7"/>
  <c r="H66" i="7"/>
  <c r="M66" i="7"/>
  <c r="K66" i="7"/>
  <c r="L66" i="7"/>
  <c r="H60" i="7"/>
  <c r="M60" i="7"/>
  <c r="K60" i="7"/>
  <c r="L60" i="7"/>
  <c r="H54" i="7"/>
  <c r="M54" i="7"/>
  <c r="K54" i="7"/>
  <c r="L54" i="7"/>
  <c r="H48" i="7"/>
  <c r="M48" i="7"/>
  <c r="K48" i="7"/>
  <c r="L48" i="7"/>
  <c r="H42" i="7"/>
  <c r="M42" i="7"/>
  <c r="K42" i="7"/>
  <c r="L42" i="7"/>
  <c r="H36" i="7"/>
  <c r="M36" i="7"/>
  <c r="K36" i="7"/>
  <c r="L36" i="7"/>
  <c r="H30" i="7"/>
  <c r="M30" i="7"/>
  <c r="K30" i="7"/>
  <c r="L30" i="7"/>
  <c r="H24" i="7"/>
  <c r="M24" i="7"/>
  <c r="K24" i="7"/>
  <c r="L24" i="7"/>
  <c r="H18" i="7"/>
  <c r="M18" i="7"/>
  <c r="K18" i="7"/>
  <c r="L18" i="7"/>
  <c r="H12" i="7"/>
  <c r="M12" i="7"/>
  <c r="K12" i="7"/>
  <c r="L12" i="7"/>
  <c r="H6" i="7"/>
  <c r="M6" i="7"/>
  <c r="K6" i="7"/>
  <c r="L6" i="7"/>
  <c r="H1529" i="7"/>
  <c r="M1529" i="7"/>
  <c r="K1529" i="7"/>
  <c r="L1529" i="7"/>
  <c r="H1523" i="7"/>
  <c r="M1523" i="7"/>
  <c r="K1523" i="7"/>
  <c r="L1523" i="7"/>
  <c r="H1517" i="7"/>
  <c r="M1517" i="7"/>
  <c r="K1517" i="7"/>
  <c r="L1517" i="7"/>
  <c r="H1511" i="7"/>
  <c r="M1511" i="7"/>
  <c r="K1511" i="7"/>
  <c r="L1511" i="7"/>
  <c r="H1505" i="7"/>
  <c r="M1505" i="7"/>
  <c r="K1505" i="7"/>
  <c r="L1505" i="7"/>
  <c r="H1499" i="7"/>
  <c r="M1499" i="7"/>
  <c r="K1499" i="7"/>
  <c r="L1499" i="7"/>
  <c r="H1493" i="7"/>
  <c r="M1493" i="7"/>
  <c r="K1493" i="7"/>
  <c r="L1493" i="7"/>
  <c r="H1487" i="7"/>
  <c r="M1487" i="7"/>
  <c r="K1487" i="7"/>
  <c r="L1487" i="7"/>
  <c r="H1481" i="7"/>
  <c r="M1481" i="7"/>
  <c r="K1481" i="7"/>
  <c r="L1481" i="7"/>
  <c r="H1475" i="7"/>
  <c r="M1475" i="7"/>
  <c r="K1475" i="7"/>
  <c r="L1475" i="7"/>
  <c r="H1469" i="7"/>
  <c r="M1469" i="7"/>
  <c r="K1469" i="7"/>
  <c r="L1469" i="7"/>
  <c r="H1463" i="7"/>
  <c r="M1463" i="7"/>
  <c r="K1463" i="7"/>
  <c r="L1463" i="7"/>
  <c r="H1457" i="7"/>
  <c r="M1457" i="7"/>
  <c r="K1457" i="7"/>
  <c r="L1457" i="7"/>
  <c r="H1451" i="7"/>
  <c r="M1451" i="7"/>
  <c r="K1451" i="7"/>
  <c r="L1451" i="7"/>
  <c r="H1445" i="7"/>
  <c r="M1445" i="7"/>
  <c r="K1445" i="7"/>
  <c r="L1445" i="7"/>
  <c r="H1439" i="7"/>
  <c r="M1439" i="7"/>
  <c r="K1439" i="7"/>
  <c r="L1439" i="7"/>
  <c r="H1433" i="7"/>
  <c r="M1433" i="7"/>
  <c r="K1433" i="7"/>
  <c r="L1433" i="7"/>
  <c r="H1427" i="7"/>
  <c r="M1427" i="7"/>
  <c r="K1427" i="7"/>
  <c r="L1427" i="7"/>
  <c r="H1421" i="7"/>
  <c r="M1421" i="7"/>
  <c r="K1421" i="7"/>
  <c r="L1421" i="7"/>
  <c r="H1415" i="7"/>
  <c r="M1415" i="7"/>
  <c r="K1415" i="7"/>
  <c r="L1415" i="7"/>
  <c r="H1409" i="7"/>
  <c r="M1409" i="7"/>
  <c r="K1409" i="7"/>
  <c r="L1409" i="7"/>
  <c r="H1403" i="7"/>
  <c r="M1403" i="7"/>
  <c r="K1403" i="7"/>
  <c r="L1403" i="7"/>
  <c r="H1397" i="7"/>
  <c r="M1397" i="7"/>
  <c r="K1397" i="7"/>
  <c r="L1397" i="7"/>
  <c r="H1391" i="7"/>
  <c r="M1391" i="7"/>
  <c r="K1391" i="7"/>
  <c r="L1391" i="7"/>
  <c r="H1385" i="7"/>
  <c r="M1385" i="7"/>
  <c r="K1385" i="7"/>
  <c r="L1385" i="7"/>
  <c r="H1379" i="7"/>
  <c r="M1379" i="7"/>
  <c r="K1379" i="7"/>
  <c r="L1379" i="7"/>
  <c r="H1373" i="7"/>
  <c r="M1373" i="7"/>
  <c r="K1373" i="7"/>
  <c r="L1373" i="7"/>
  <c r="H1367" i="7"/>
  <c r="M1367" i="7"/>
  <c r="K1367" i="7"/>
  <c r="L1367" i="7"/>
  <c r="H1361" i="7"/>
  <c r="M1361" i="7"/>
  <c r="K1361" i="7"/>
  <c r="L1361" i="7"/>
  <c r="H1355" i="7"/>
  <c r="M1355" i="7"/>
  <c r="K1355" i="7"/>
  <c r="L1355" i="7"/>
  <c r="H1349" i="7"/>
  <c r="M1349" i="7"/>
  <c r="K1349" i="7"/>
  <c r="L1349" i="7"/>
  <c r="H1343" i="7"/>
  <c r="M1343" i="7"/>
  <c r="K1343" i="7"/>
  <c r="L1343" i="7"/>
  <c r="H1337" i="7"/>
  <c r="M1337" i="7"/>
  <c r="K1337" i="7"/>
  <c r="L1337" i="7"/>
  <c r="H1331" i="7"/>
  <c r="M1331" i="7"/>
  <c r="K1331" i="7"/>
  <c r="L1331" i="7"/>
  <c r="H1325" i="7"/>
  <c r="M1325" i="7"/>
  <c r="K1325" i="7"/>
  <c r="L1325" i="7"/>
  <c r="H1319" i="7"/>
  <c r="M1319" i="7"/>
  <c r="K1319" i="7"/>
  <c r="L1319" i="7"/>
  <c r="H1313" i="7"/>
  <c r="M1313" i="7"/>
  <c r="K1313" i="7"/>
  <c r="L1313" i="7"/>
  <c r="H1307" i="7"/>
  <c r="M1307" i="7"/>
  <c r="K1307" i="7"/>
  <c r="L1307" i="7"/>
  <c r="H1301" i="7"/>
  <c r="M1301" i="7"/>
  <c r="K1301" i="7"/>
  <c r="L1301" i="7"/>
  <c r="H1295" i="7"/>
  <c r="M1295" i="7"/>
  <c r="K1295" i="7"/>
  <c r="L1295" i="7"/>
  <c r="H1289" i="7"/>
  <c r="M1289" i="7"/>
  <c r="K1289" i="7"/>
  <c r="L1289" i="7"/>
  <c r="H1283" i="7"/>
  <c r="M1283" i="7"/>
  <c r="K1283" i="7"/>
  <c r="L1283" i="7"/>
  <c r="H1277" i="7"/>
  <c r="M1277" i="7"/>
  <c r="K1277" i="7"/>
  <c r="L1277" i="7"/>
  <c r="H1271" i="7"/>
  <c r="M1271" i="7"/>
  <c r="K1271" i="7"/>
  <c r="L1271" i="7"/>
  <c r="H1265" i="7"/>
  <c r="M1265" i="7"/>
  <c r="K1265" i="7"/>
  <c r="L1265" i="7"/>
  <c r="H1259" i="7"/>
  <c r="M1259" i="7"/>
  <c r="K1259" i="7"/>
  <c r="L1259" i="7"/>
  <c r="H1253" i="7"/>
  <c r="M1253" i="7"/>
  <c r="K1253" i="7"/>
  <c r="L1253" i="7"/>
  <c r="H1247" i="7"/>
  <c r="M1247" i="7"/>
  <c r="K1247" i="7"/>
  <c r="L1247" i="7"/>
  <c r="H1241" i="7"/>
  <c r="M1241" i="7"/>
  <c r="K1241" i="7"/>
  <c r="L1241" i="7"/>
  <c r="H1235" i="7"/>
  <c r="M1235" i="7"/>
  <c r="K1235" i="7"/>
  <c r="L1235" i="7"/>
  <c r="H1229" i="7"/>
  <c r="M1229" i="7"/>
  <c r="K1229" i="7"/>
  <c r="L1229" i="7"/>
  <c r="H1223" i="7"/>
  <c r="M1223" i="7"/>
  <c r="K1223" i="7"/>
  <c r="L1223" i="7"/>
  <c r="H1217" i="7"/>
  <c r="M1217" i="7"/>
  <c r="K1217" i="7"/>
  <c r="L1217" i="7"/>
  <c r="H1211" i="7"/>
  <c r="M1211" i="7"/>
  <c r="K1211" i="7"/>
  <c r="L1211" i="7"/>
  <c r="H1205" i="7"/>
  <c r="M1205" i="7"/>
  <c r="K1205" i="7"/>
  <c r="L1205" i="7"/>
  <c r="H1199" i="7"/>
  <c r="M1199" i="7"/>
  <c r="K1199" i="7"/>
  <c r="L1199" i="7"/>
  <c r="H1193" i="7"/>
  <c r="M1193" i="7"/>
  <c r="K1193" i="7"/>
  <c r="L1193" i="7"/>
  <c r="H1187" i="7"/>
  <c r="M1187" i="7"/>
  <c r="K1187" i="7"/>
  <c r="L1187" i="7"/>
  <c r="H1181" i="7"/>
  <c r="M1181" i="7"/>
  <c r="K1181" i="7"/>
  <c r="L1181" i="7"/>
  <c r="H1175" i="7"/>
  <c r="M1175" i="7"/>
  <c r="K1175" i="7"/>
  <c r="L1175" i="7"/>
  <c r="H1169" i="7"/>
  <c r="M1169" i="7"/>
  <c r="K1169" i="7"/>
  <c r="L1169" i="7"/>
  <c r="H1163" i="7"/>
  <c r="M1163" i="7"/>
  <c r="K1163" i="7"/>
  <c r="L1163" i="7"/>
  <c r="H1157" i="7"/>
  <c r="M1157" i="7"/>
  <c r="K1157" i="7"/>
  <c r="L1157" i="7"/>
  <c r="H1151" i="7"/>
  <c r="M1151" i="7"/>
  <c r="K1151" i="7"/>
  <c r="L1151" i="7"/>
  <c r="H1145" i="7"/>
  <c r="M1145" i="7"/>
  <c r="K1145" i="7"/>
  <c r="L1145" i="7"/>
  <c r="H1139" i="7"/>
  <c r="M1139" i="7"/>
  <c r="K1139" i="7"/>
  <c r="L1139" i="7"/>
  <c r="H1133" i="7"/>
  <c r="M1133" i="7"/>
  <c r="K1133" i="7"/>
  <c r="L1133" i="7"/>
  <c r="H1127" i="7"/>
  <c r="M1127" i="7"/>
  <c r="K1127" i="7"/>
  <c r="L1127" i="7"/>
  <c r="H1121" i="7"/>
  <c r="M1121" i="7"/>
  <c r="K1121" i="7"/>
  <c r="L1121" i="7"/>
  <c r="H1115" i="7"/>
  <c r="M1115" i="7"/>
  <c r="K1115" i="7"/>
  <c r="L1115" i="7"/>
  <c r="H1109" i="7"/>
  <c r="M1109" i="7"/>
  <c r="K1109" i="7"/>
  <c r="L1109" i="7"/>
  <c r="H1103" i="7"/>
  <c r="M1103" i="7"/>
  <c r="K1103" i="7"/>
  <c r="L1103" i="7"/>
  <c r="H1097" i="7"/>
  <c r="M1097" i="7"/>
  <c r="K1097" i="7"/>
  <c r="L1097" i="7"/>
  <c r="H1091" i="7"/>
  <c r="M1091" i="7"/>
  <c r="K1091" i="7"/>
  <c r="L1091" i="7"/>
  <c r="H1085" i="7"/>
  <c r="M1085" i="7"/>
  <c r="K1085" i="7"/>
  <c r="L1085" i="7"/>
  <c r="H1079" i="7"/>
  <c r="M1079" i="7"/>
  <c r="K1079" i="7"/>
  <c r="L1079" i="7"/>
  <c r="H1073" i="7"/>
  <c r="M1073" i="7"/>
  <c r="K1073" i="7"/>
  <c r="L1073" i="7"/>
  <c r="H1067" i="7"/>
  <c r="M1067" i="7"/>
  <c r="K1067" i="7"/>
  <c r="L1067" i="7"/>
  <c r="H1061" i="7"/>
  <c r="M1061" i="7"/>
  <c r="K1061" i="7"/>
  <c r="L1061" i="7"/>
  <c r="H1055" i="7"/>
  <c r="M1055" i="7"/>
  <c r="K1055" i="7"/>
  <c r="L1055" i="7"/>
  <c r="H1049" i="7"/>
  <c r="M1049" i="7"/>
  <c r="K1049" i="7"/>
  <c r="L1049" i="7"/>
  <c r="H1043" i="7"/>
  <c r="M1043" i="7"/>
  <c r="K1043" i="7"/>
  <c r="L1043" i="7"/>
  <c r="H1037" i="7"/>
  <c r="M1037" i="7"/>
  <c r="K1037" i="7"/>
  <c r="L1037" i="7"/>
  <c r="H1031" i="7"/>
  <c r="M1031" i="7"/>
  <c r="K1031" i="7"/>
  <c r="L1031" i="7"/>
  <c r="H1025" i="7"/>
  <c r="M1025" i="7"/>
  <c r="K1025" i="7"/>
  <c r="L1025" i="7"/>
  <c r="H1019" i="7"/>
  <c r="M1019" i="7"/>
  <c r="K1019" i="7"/>
  <c r="L1019" i="7"/>
  <c r="H1013" i="7"/>
  <c r="M1013" i="7"/>
  <c r="K1013" i="7"/>
  <c r="L1013" i="7"/>
  <c r="H1007" i="7"/>
  <c r="M1007" i="7"/>
  <c r="K1007" i="7"/>
  <c r="L1007" i="7"/>
  <c r="H1001" i="7"/>
  <c r="M1001" i="7"/>
  <c r="K1001" i="7"/>
  <c r="L1001" i="7"/>
  <c r="H995" i="7"/>
  <c r="M995" i="7"/>
  <c r="K995" i="7"/>
  <c r="L995" i="7"/>
  <c r="H989" i="7"/>
  <c r="M989" i="7"/>
  <c r="K989" i="7"/>
  <c r="L989" i="7"/>
  <c r="H983" i="7"/>
  <c r="M983" i="7"/>
  <c r="K983" i="7"/>
  <c r="L983" i="7"/>
  <c r="H977" i="7"/>
  <c r="M977" i="7"/>
  <c r="K977" i="7"/>
  <c r="L977" i="7"/>
  <c r="H971" i="7"/>
  <c r="M971" i="7"/>
  <c r="K971" i="7"/>
  <c r="L971" i="7"/>
  <c r="H965" i="7"/>
  <c r="M965" i="7"/>
  <c r="K965" i="7"/>
  <c r="L965" i="7"/>
  <c r="H959" i="7"/>
  <c r="M959" i="7"/>
  <c r="K959" i="7"/>
  <c r="L959" i="7"/>
  <c r="H953" i="7"/>
  <c r="M953" i="7"/>
  <c r="K953" i="7"/>
  <c r="L953" i="7"/>
  <c r="H947" i="7"/>
  <c r="M947" i="7"/>
  <c r="K947" i="7"/>
  <c r="L947" i="7"/>
  <c r="H941" i="7"/>
  <c r="M941" i="7"/>
  <c r="K941" i="7"/>
  <c r="L941" i="7"/>
  <c r="H935" i="7"/>
  <c r="M935" i="7"/>
  <c r="K935" i="7"/>
  <c r="L935" i="7"/>
  <c r="H929" i="7"/>
  <c r="M929" i="7"/>
  <c r="K929" i="7"/>
  <c r="L929" i="7"/>
  <c r="H923" i="7"/>
  <c r="M923" i="7"/>
  <c r="K923" i="7"/>
  <c r="L923" i="7"/>
  <c r="H917" i="7"/>
  <c r="M917" i="7"/>
  <c r="K917" i="7"/>
  <c r="L917" i="7"/>
  <c r="H911" i="7"/>
  <c r="M911" i="7"/>
  <c r="K911" i="7"/>
  <c r="L911" i="7"/>
  <c r="H905" i="7"/>
  <c r="M905" i="7"/>
  <c r="K905" i="7"/>
  <c r="L905" i="7"/>
  <c r="H899" i="7"/>
  <c r="M899" i="7"/>
  <c r="K899" i="7"/>
  <c r="L899" i="7"/>
  <c r="H893" i="7"/>
  <c r="M893" i="7"/>
  <c r="K893" i="7"/>
  <c r="L893" i="7"/>
  <c r="H887" i="7"/>
  <c r="M887" i="7"/>
  <c r="K887" i="7"/>
  <c r="L887" i="7"/>
  <c r="H881" i="7"/>
  <c r="M881" i="7"/>
  <c r="K881" i="7"/>
  <c r="L881" i="7"/>
  <c r="H875" i="7"/>
  <c r="M875" i="7"/>
  <c r="K875" i="7"/>
  <c r="L875" i="7"/>
  <c r="H869" i="7"/>
  <c r="M869" i="7"/>
  <c r="K869" i="7"/>
  <c r="L869" i="7"/>
  <c r="H863" i="7"/>
  <c r="M863" i="7"/>
  <c r="K863" i="7"/>
  <c r="L863" i="7"/>
  <c r="H857" i="7"/>
  <c r="M857" i="7"/>
  <c r="K857" i="7"/>
  <c r="L857" i="7"/>
  <c r="H851" i="7"/>
  <c r="M851" i="7"/>
  <c r="K851" i="7"/>
  <c r="L851" i="7"/>
  <c r="H845" i="7"/>
  <c r="M845" i="7"/>
  <c r="K845" i="7"/>
  <c r="L845" i="7"/>
  <c r="H839" i="7"/>
  <c r="M839" i="7"/>
  <c r="K839" i="7"/>
  <c r="L839" i="7"/>
  <c r="H833" i="7"/>
  <c r="M833" i="7"/>
  <c r="K833" i="7"/>
  <c r="L833" i="7"/>
  <c r="H827" i="7"/>
  <c r="M827" i="7"/>
  <c r="K827" i="7"/>
  <c r="L827" i="7"/>
  <c r="H821" i="7"/>
  <c r="M821" i="7"/>
  <c r="K821" i="7"/>
  <c r="L821" i="7"/>
  <c r="H815" i="7"/>
  <c r="M815" i="7"/>
  <c r="K815" i="7"/>
  <c r="L815" i="7"/>
  <c r="H809" i="7"/>
  <c r="M809" i="7"/>
  <c r="K809" i="7"/>
  <c r="L809" i="7"/>
  <c r="H803" i="7"/>
  <c r="M803" i="7"/>
  <c r="K803" i="7"/>
  <c r="L803" i="7"/>
  <c r="H797" i="7"/>
  <c r="M797" i="7"/>
  <c r="K797" i="7"/>
  <c r="L797" i="7"/>
  <c r="H791" i="7"/>
  <c r="M791" i="7"/>
  <c r="K791" i="7"/>
  <c r="L791" i="7"/>
  <c r="H785" i="7"/>
  <c r="M785" i="7"/>
  <c r="K785" i="7"/>
  <c r="L785" i="7"/>
  <c r="H779" i="7"/>
  <c r="M779" i="7"/>
  <c r="K779" i="7"/>
  <c r="L779" i="7"/>
  <c r="H773" i="7"/>
  <c r="M773" i="7"/>
  <c r="K773" i="7"/>
  <c r="L773" i="7"/>
  <c r="H767" i="7"/>
  <c r="M767" i="7"/>
  <c r="K767" i="7"/>
  <c r="L767" i="7"/>
  <c r="H761" i="7"/>
  <c r="M761" i="7"/>
  <c r="K761" i="7"/>
  <c r="L761" i="7"/>
  <c r="H755" i="7"/>
  <c r="M755" i="7"/>
  <c r="K755" i="7"/>
  <c r="L755" i="7"/>
  <c r="H749" i="7"/>
  <c r="M749" i="7"/>
  <c r="K749" i="7"/>
  <c r="L749" i="7"/>
  <c r="H743" i="7"/>
  <c r="M743" i="7"/>
  <c r="K743" i="7"/>
  <c r="L743" i="7"/>
  <c r="H737" i="7"/>
  <c r="M737" i="7"/>
  <c r="K737" i="7"/>
  <c r="L737" i="7"/>
  <c r="H731" i="7"/>
  <c r="M731" i="7"/>
  <c r="K731" i="7"/>
  <c r="L731" i="7"/>
  <c r="H725" i="7"/>
  <c r="M725" i="7"/>
  <c r="K725" i="7"/>
  <c r="L725" i="7"/>
  <c r="H719" i="7"/>
  <c r="M719" i="7"/>
  <c r="K719" i="7"/>
  <c r="L719" i="7"/>
  <c r="H713" i="7"/>
  <c r="M713" i="7"/>
  <c r="K713" i="7"/>
  <c r="L713" i="7"/>
  <c r="H707" i="7"/>
  <c r="M707" i="7"/>
  <c r="K707" i="7"/>
  <c r="L707" i="7"/>
  <c r="H701" i="7"/>
  <c r="M701" i="7"/>
  <c r="K701" i="7"/>
  <c r="L701" i="7"/>
  <c r="H695" i="7"/>
  <c r="M695" i="7"/>
  <c r="K695" i="7"/>
  <c r="L695" i="7"/>
  <c r="H689" i="7"/>
  <c r="M689" i="7"/>
  <c r="K689" i="7"/>
  <c r="L689" i="7"/>
  <c r="H683" i="7"/>
  <c r="M683" i="7"/>
  <c r="K683" i="7"/>
  <c r="L683" i="7"/>
  <c r="H677" i="7"/>
  <c r="M677" i="7"/>
  <c r="K677" i="7"/>
  <c r="L677" i="7"/>
  <c r="H671" i="7"/>
  <c r="M671" i="7"/>
  <c r="K671" i="7"/>
  <c r="L671" i="7"/>
  <c r="H665" i="7"/>
  <c r="M665" i="7"/>
  <c r="K665" i="7"/>
  <c r="L665" i="7"/>
  <c r="H659" i="7"/>
  <c r="M659" i="7"/>
  <c r="K659" i="7"/>
  <c r="L659" i="7"/>
  <c r="H653" i="7"/>
  <c r="M653" i="7"/>
  <c r="K653" i="7"/>
  <c r="L653" i="7"/>
  <c r="H647" i="7"/>
  <c r="M647" i="7"/>
  <c r="K647" i="7"/>
  <c r="L647" i="7"/>
  <c r="H641" i="7"/>
  <c r="M641" i="7"/>
  <c r="K641" i="7"/>
  <c r="L641" i="7"/>
  <c r="H635" i="7"/>
  <c r="M635" i="7"/>
  <c r="K635" i="7"/>
  <c r="L635" i="7"/>
  <c r="H629" i="7"/>
  <c r="M629" i="7"/>
  <c r="K629" i="7"/>
  <c r="L629" i="7"/>
  <c r="H623" i="7"/>
  <c r="M623" i="7"/>
  <c r="K623" i="7"/>
  <c r="L623" i="7"/>
  <c r="H617" i="7"/>
  <c r="M617" i="7"/>
  <c r="K617" i="7"/>
  <c r="L617" i="7"/>
  <c r="H611" i="7"/>
  <c r="M611" i="7"/>
  <c r="K611" i="7"/>
  <c r="L611" i="7"/>
  <c r="H605" i="7"/>
  <c r="M605" i="7"/>
  <c r="K605" i="7"/>
  <c r="L605" i="7"/>
  <c r="H599" i="7"/>
  <c r="M599" i="7"/>
  <c r="K599" i="7"/>
  <c r="L599" i="7"/>
  <c r="H593" i="7"/>
  <c r="M593" i="7"/>
  <c r="K593" i="7"/>
  <c r="L593" i="7"/>
  <c r="H587" i="7"/>
  <c r="M587" i="7"/>
  <c r="K587" i="7"/>
  <c r="L587" i="7"/>
  <c r="H581" i="7"/>
  <c r="M581" i="7"/>
  <c r="K581" i="7"/>
  <c r="L581" i="7"/>
  <c r="H575" i="7"/>
  <c r="M575" i="7"/>
  <c r="K575" i="7"/>
  <c r="L575" i="7"/>
  <c r="H569" i="7"/>
  <c r="M569" i="7"/>
  <c r="K569" i="7"/>
  <c r="L569" i="7"/>
  <c r="H563" i="7"/>
  <c r="M563" i="7"/>
  <c r="K563" i="7"/>
  <c r="L563" i="7"/>
  <c r="H557" i="7"/>
  <c r="M557" i="7"/>
  <c r="K557" i="7"/>
  <c r="L557" i="7"/>
  <c r="H551" i="7"/>
  <c r="M551" i="7"/>
  <c r="K551" i="7"/>
  <c r="L551" i="7"/>
  <c r="H545" i="7"/>
  <c r="M545" i="7"/>
  <c r="K545" i="7"/>
  <c r="L545" i="7"/>
  <c r="H539" i="7"/>
  <c r="M539" i="7"/>
  <c r="K539" i="7"/>
  <c r="L539" i="7"/>
  <c r="H533" i="7"/>
  <c r="M533" i="7"/>
  <c r="K533" i="7"/>
  <c r="L533" i="7"/>
  <c r="H527" i="7"/>
  <c r="M527" i="7"/>
  <c r="K527" i="7"/>
  <c r="L527" i="7"/>
  <c r="H521" i="7"/>
  <c r="M521" i="7"/>
  <c r="K521" i="7"/>
  <c r="L521" i="7"/>
  <c r="H515" i="7"/>
  <c r="M515" i="7"/>
  <c r="K515" i="7"/>
  <c r="L515" i="7"/>
  <c r="H509" i="7"/>
  <c r="M509" i="7"/>
  <c r="K509" i="7"/>
  <c r="L509" i="7"/>
  <c r="H503" i="7"/>
  <c r="M503" i="7"/>
  <c r="K503" i="7"/>
  <c r="L503" i="7"/>
  <c r="H497" i="7"/>
  <c r="M497" i="7"/>
  <c r="K497" i="7"/>
  <c r="L497" i="7"/>
  <c r="H491" i="7"/>
  <c r="M491" i="7"/>
  <c r="K491" i="7"/>
  <c r="L491" i="7"/>
  <c r="H485" i="7"/>
  <c r="M485" i="7"/>
  <c r="K485" i="7"/>
  <c r="L485" i="7"/>
  <c r="H479" i="7"/>
  <c r="M479" i="7"/>
  <c r="K479" i="7"/>
  <c r="L479" i="7"/>
  <c r="H473" i="7"/>
  <c r="M473" i="7"/>
  <c r="K473" i="7"/>
  <c r="L473" i="7"/>
  <c r="H467" i="7"/>
  <c r="M467" i="7"/>
  <c r="K467" i="7"/>
  <c r="L467" i="7"/>
  <c r="H461" i="7"/>
  <c r="M461" i="7"/>
  <c r="K461" i="7"/>
  <c r="L461" i="7"/>
  <c r="H455" i="7"/>
  <c r="M455" i="7"/>
  <c r="K455" i="7"/>
  <c r="L455" i="7"/>
  <c r="H449" i="7"/>
  <c r="M449" i="7"/>
  <c r="K449" i="7"/>
  <c r="L449" i="7"/>
  <c r="H443" i="7"/>
  <c r="M443" i="7"/>
  <c r="K443" i="7"/>
  <c r="L443" i="7"/>
  <c r="H437" i="7"/>
  <c r="M437" i="7"/>
  <c r="K437" i="7"/>
  <c r="L437" i="7"/>
  <c r="H431" i="7"/>
  <c r="M431" i="7"/>
  <c r="K431" i="7"/>
  <c r="L431" i="7"/>
  <c r="H425" i="7"/>
  <c r="M425" i="7"/>
  <c r="K425" i="7"/>
  <c r="L425" i="7"/>
  <c r="H419" i="7"/>
  <c r="M419" i="7"/>
  <c r="K419" i="7"/>
  <c r="L419" i="7"/>
  <c r="H413" i="7"/>
  <c r="M413" i="7"/>
  <c r="K413" i="7"/>
  <c r="L413" i="7"/>
  <c r="H407" i="7"/>
  <c r="M407" i="7"/>
  <c r="K407" i="7"/>
  <c r="L407" i="7"/>
  <c r="H401" i="7"/>
  <c r="M401" i="7"/>
  <c r="K401" i="7"/>
  <c r="L401" i="7"/>
  <c r="H395" i="7"/>
  <c r="M395" i="7"/>
  <c r="K395" i="7"/>
  <c r="L395" i="7"/>
  <c r="H389" i="7"/>
  <c r="M389" i="7"/>
  <c r="K389" i="7"/>
  <c r="L389" i="7"/>
  <c r="H383" i="7"/>
  <c r="M383" i="7"/>
  <c r="K383" i="7"/>
  <c r="L383" i="7"/>
  <c r="H377" i="7"/>
  <c r="M377" i="7"/>
  <c r="K377" i="7"/>
  <c r="L377" i="7"/>
  <c r="H371" i="7"/>
  <c r="M371" i="7"/>
  <c r="K371" i="7"/>
  <c r="L371" i="7"/>
  <c r="H365" i="7"/>
  <c r="M365" i="7"/>
  <c r="K365" i="7"/>
  <c r="L365" i="7"/>
  <c r="H359" i="7"/>
  <c r="M359" i="7"/>
  <c r="K359" i="7"/>
  <c r="L359" i="7"/>
  <c r="H353" i="7"/>
  <c r="M353" i="7"/>
  <c r="K353" i="7"/>
  <c r="L353" i="7"/>
  <c r="H347" i="7"/>
  <c r="M347" i="7"/>
  <c r="K347" i="7"/>
  <c r="L347" i="7"/>
  <c r="H341" i="7"/>
  <c r="M341" i="7"/>
  <c r="K341" i="7"/>
  <c r="L341" i="7"/>
  <c r="H335" i="7"/>
  <c r="M335" i="7"/>
  <c r="K335" i="7"/>
  <c r="L335" i="7"/>
  <c r="H329" i="7"/>
  <c r="M329" i="7"/>
  <c r="K329" i="7"/>
  <c r="L329" i="7"/>
  <c r="H323" i="7"/>
  <c r="M323" i="7"/>
  <c r="K323" i="7"/>
  <c r="L323" i="7"/>
  <c r="H317" i="7"/>
  <c r="M317" i="7"/>
  <c r="K317" i="7"/>
  <c r="L317" i="7"/>
  <c r="H311" i="7"/>
  <c r="M311" i="7"/>
  <c r="K311" i="7"/>
  <c r="L311" i="7"/>
  <c r="H305" i="7"/>
  <c r="M305" i="7"/>
  <c r="K305" i="7"/>
  <c r="L305" i="7"/>
  <c r="H299" i="7"/>
  <c r="M299" i="7"/>
  <c r="K299" i="7"/>
  <c r="L299" i="7"/>
  <c r="H293" i="7"/>
  <c r="M293" i="7"/>
  <c r="K293" i="7"/>
  <c r="L293" i="7"/>
  <c r="H287" i="7"/>
  <c r="M287" i="7"/>
  <c r="K287" i="7"/>
  <c r="L287" i="7"/>
  <c r="H281" i="7"/>
  <c r="M281" i="7"/>
  <c r="K281" i="7"/>
  <c r="L281" i="7"/>
  <c r="H275" i="7"/>
  <c r="M275" i="7"/>
  <c r="K275" i="7"/>
  <c r="L275" i="7"/>
  <c r="H269" i="7"/>
  <c r="M269" i="7"/>
  <c r="K269" i="7"/>
  <c r="L269" i="7"/>
  <c r="H263" i="7"/>
  <c r="M263" i="7"/>
  <c r="K263" i="7"/>
  <c r="L263" i="7"/>
  <c r="H257" i="7"/>
  <c r="M257" i="7"/>
  <c r="K257" i="7"/>
  <c r="L257" i="7"/>
  <c r="H251" i="7"/>
  <c r="M251" i="7"/>
  <c r="K251" i="7"/>
  <c r="L251" i="7"/>
  <c r="H245" i="7"/>
  <c r="M245" i="7"/>
  <c r="K245" i="7"/>
  <c r="L245" i="7"/>
  <c r="H239" i="7"/>
  <c r="M239" i="7"/>
  <c r="K239" i="7"/>
  <c r="L239" i="7"/>
  <c r="H233" i="7"/>
  <c r="M233" i="7"/>
  <c r="K233" i="7"/>
  <c r="L233" i="7"/>
  <c r="H227" i="7"/>
  <c r="M227" i="7"/>
  <c r="K227" i="7"/>
  <c r="L227" i="7"/>
  <c r="H221" i="7"/>
  <c r="M221" i="7"/>
  <c r="K221" i="7"/>
  <c r="L221" i="7"/>
  <c r="H215" i="7"/>
  <c r="M215" i="7"/>
  <c r="K215" i="7"/>
  <c r="L215" i="7"/>
  <c r="H209" i="7"/>
  <c r="M209" i="7"/>
  <c r="K209" i="7"/>
  <c r="L209" i="7"/>
  <c r="H203" i="7"/>
  <c r="M203" i="7"/>
  <c r="K203" i="7"/>
  <c r="L203" i="7"/>
  <c r="H197" i="7"/>
  <c r="M197" i="7"/>
  <c r="K197" i="7"/>
  <c r="L197" i="7"/>
  <c r="H191" i="7"/>
  <c r="M191" i="7"/>
  <c r="K191" i="7"/>
  <c r="L191" i="7"/>
  <c r="H185" i="7"/>
  <c r="M185" i="7"/>
  <c r="K185" i="7"/>
  <c r="L185" i="7"/>
  <c r="H179" i="7"/>
  <c r="M179" i="7"/>
  <c r="K179" i="7"/>
  <c r="L179" i="7"/>
  <c r="H173" i="7"/>
  <c r="M173" i="7"/>
  <c r="K173" i="7"/>
  <c r="L173" i="7"/>
  <c r="H167" i="7"/>
  <c r="M167" i="7"/>
  <c r="K167" i="7"/>
  <c r="L167" i="7"/>
  <c r="H161" i="7"/>
  <c r="M161" i="7"/>
  <c r="K161" i="7"/>
  <c r="L161" i="7"/>
  <c r="H155" i="7"/>
  <c r="M155" i="7"/>
  <c r="K155" i="7"/>
  <c r="L155" i="7"/>
  <c r="H149" i="7"/>
  <c r="M149" i="7"/>
  <c r="K149" i="7"/>
  <c r="L149" i="7"/>
  <c r="H143" i="7"/>
  <c r="M143" i="7"/>
  <c r="K143" i="7"/>
  <c r="L143" i="7"/>
  <c r="H137" i="7"/>
  <c r="M137" i="7"/>
  <c r="K137" i="7"/>
  <c r="L137" i="7"/>
  <c r="H131" i="7"/>
  <c r="M131" i="7"/>
  <c r="K131" i="7"/>
  <c r="L131" i="7"/>
  <c r="H125" i="7"/>
  <c r="M125" i="7"/>
  <c r="K125" i="7"/>
  <c r="L125" i="7"/>
  <c r="H119" i="7"/>
  <c r="M119" i="7"/>
  <c r="K119" i="7"/>
  <c r="L119" i="7"/>
  <c r="H113" i="7"/>
  <c r="M113" i="7"/>
  <c r="K113" i="7"/>
  <c r="L113" i="7"/>
  <c r="H107" i="7"/>
  <c r="M107" i="7"/>
  <c r="K107" i="7"/>
  <c r="L107" i="7"/>
  <c r="H101" i="7"/>
  <c r="M101" i="7"/>
  <c r="K101" i="7"/>
  <c r="L101" i="7"/>
  <c r="H95" i="7"/>
  <c r="M95" i="7"/>
  <c r="K95" i="7"/>
  <c r="L95" i="7"/>
  <c r="H89" i="7"/>
  <c r="M89" i="7"/>
  <c r="K89" i="7"/>
  <c r="L89" i="7"/>
  <c r="H83" i="7"/>
  <c r="M83" i="7"/>
  <c r="K83" i="7"/>
  <c r="L83" i="7"/>
  <c r="H77" i="7"/>
  <c r="M77" i="7"/>
  <c r="K77" i="7"/>
  <c r="L77" i="7"/>
  <c r="H71" i="7"/>
  <c r="M71" i="7"/>
  <c r="K71" i="7"/>
  <c r="L71" i="7"/>
  <c r="H65" i="7"/>
  <c r="M65" i="7"/>
  <c r="K65" i="7"/>
  <c r="L65" i="7"/>
  <c r="H59" i="7"/>
  <c r="M59" i="7"/>
  <c r="K59" i="7"/>
  <c r="L59" i="7"/>
  <c r="H53" i="7"/>
  <c r="M53" i="7"/>
  <c r="K53" i="7"/>
  <c r="L53" i="7"/>
  <c r="H47" i="7"/>
  <c r="M47" i="7"/>
  <c r="K47" i="7"/>
  <c r="L47" i="7"/>
  <c r="H41" i="7"/>
  <c r="M41" i="7"/>
  <c r="K41" i="7"/>
  <c r="L41" i="7"/>
  <c r="H35" i="7"/>
  <c r="M35" i="7"/>
  <c r="K35" i="7"/>
  <c r="L35" i="7"/>
  <c r="H29" i="7"/>
  <c r="M29" i="7"/>
  <c r="K29" i="7"/>
  <c r="L29" i="7"/>
  <c r="H23" i="7"/>
  <c r="M23" i="7"/>
  <c r="K23" i="7"/>
  <c r="L23" i="7"/>
  <c r="H17" i="7"/>
  <c r="M17" i="7"/>
  <c r="K17" i="7"/>
  <c r="L17" i="7"/>
  <c r="H11" i="7"/>
  <c r="M11" i="7"/>
  <c r="K11" i="7"/>
  <c r="L11" i="7"/>
  <c r="H5" i="7"/>
  <c r="M5" i="7"/>
  <c r="K5" i="7"/>
  <c r="L5" i="7"/>
  <c r="T6" i="1"/>
  <c r="S6" i="1"/>
  <c r="R6" i="1"/>
  <c r="Q6" i="1"/>
  <c r="P6" i="1"/>
  <c r="T7" i="1"/>
  <c r="T8" i="1"/>
  <c r="S8" i="1"/>
  <c r="R8" i="1"/>
  <c r="Q8" i="1"/>
  <c r="P8" i="1"/>
  <c r="T9" i="1"/>
  <c r="S9" i="1"/>
  <c r="R9" i="1"/>
  <c r="Q9" i="1"/>
  <c r="P9" i="1"/>
  <c r="T10" i="1"/>
  <c r="S10" i="1"/>
  <c r="R10" i="1"/>
  <c r="Q10" i="1"/>
  <c r="P10" i="1"/>
  <c r="T11" i="1"/>
  <c r="S7" i="1"/>
  <c r="S11" i="1"/>
  <c r="P11" i="1"/>
  <c r="R7" i="1"/>
  <c r="R11" i="1"/>
  <c r="Q11" i="1"/>
  <c r="Q7" i="1"/>
  <c r="P7" i="1"/>
  <c r="H1528" i="7"/>
  <c r="M1528" i="7"/>
  <c r="K1528" i="7"/>
  <c r="L1528" i="7"/>
  <c r="H1522" i="7"/>
  <c r="M1522" i="7"/>
  <c r="K1522" i="7"/>
  <c r="L1522" i="7"/>
  <c r="H1516" i="7"/>
  <c r="M1516" i="7"/>
  <c r="K1516" i="7"/>
  <c r="L1516" i="7"/>
  <c r="H1510" i="7"/>
  <c r="M1510" i="7"/>
  <c r="K1510" i="7"/>
  <c r="L1510" i="7"/>
  <c r="H1504" i="7"/>
  <c r="M1504" i="7"/>
  <c r="K1504" i="7"/>
  <c r="L1504" i="7"/>
  <c r="H1498" i="7"/>
  <c r="M1498" i="7"/>
  <c r="K1498" i="7"/>
  <c r="L1498" i="7"/>
  <c r="H1492" i="7"/>
  <c r="M1492" i="7"/>
  <c r="K1492" i="7"/>
  <c r="L1492" i="7"/>
  <c r="H1486" i="7"/>
  <c r="M1486" i="7"/>
  <c r="K1486" i="7"/>
  <c r="L1486" i="7"/>
  <c r="H1480" i="7"/>
  <c r="M1480" i="7"/>
  <c r="K1480" i="7"/>
  <c r="L1480" i="7"/>
  <c r="H1474" i="7"/>
  <c r="M1474" i="7"/>
  <c r="K1474" i="7"/>
  <c r="L1474" i="7"/>
  <c r="H1468" i="7"/>
  <c r="M1468" i="7"/>
  <c r="K1468" i="7"/>
  <c r="L1468" i="7"/>
  <c r="H1462" i="7"/>
  <c r="M1462" i="7"/>
  <c r="K1462" i="7"/>
  <c r="L1462" i="7"/>
  <c r="H1456" i="7"/>
  <c r="M1456" i="7"/>
  <c r="K1456" i="7"/>
  <c r="L1456" i="7"/>
  <c r="H1450" i="7"/>
  <c r="M1450" i="7"/>
  <c r="K1450" i="7"/>
  <c r="L1450" i="7"/>
  <c r="H1444" i="7"/>
  <c r="M1444" i="7"/>
  <c r="K1444" i="7"/>
  <c r="L1444" i="7"/>
  <c r="H1438" i="7"/>
  <c r="M1438" i="7"/>
  <c r="K1438" i="7"/>
  <c r="L1438" i="7"/>
  <c r="H1432" i="7"/>
  <c r="M1432" i="7"/>
  <c r="K1432" i="7"/>
  <c r="L1432" i="7"/>
  <c r="H1426" i="7"/>
  <c r="M1426" i="7"/>
  <c r="K1426" i="7"/>
  <c r="L1426" i="7"/>
  <c r="H1420" i="7"/>
  <c r="M1420" i="7"/>
  <c r="K1420" i="7"/>
  <c r="L1420" i="7"/>
  <c r="H1414" i="7"/>
  <c r="M1414" i="7"/>
  <c r="K1414" i="7"/>
  <c r="L1414" i="7"/>
  <c r="H1408" i="7"/>
  <c r="M1408" i="7"/>
  <c r="K1408" i="7"/>
  <c r="L1408" i="7"/>
  <c r="H1402" i="7"/>
  <c r="M1402" i="7"/>
  <c r="K1402" i="7"/>
  <c r="L1402" i="7"/>
  <c r="H1396" i="7"/>
  <c r="M1396" i="7"/>
  <c r="K1396" i="7"/>
  <c r="L1396" i="7"/>
  <c r="H1390" i="7"/>
  <c r="M1390" i="7"/>
  <c r="K1390" i="7"/>
  <c r="L1390" i="7"/>
  <c r="H1384" i="7"/>
  <c r="M1384" i="7"/>
  <c r="K1384" i="7"/>
  <c r="L1384" i="7"/>
  <c r="H1378" i="7"/>
  <c r="M1378" i="7"/>
  <c r="K1378" i="7"/>
  <c r="L1378" i="7"/>
  <c r="H1372" i="7"/>
  <c r="M1372" i="7"/>
  <c r="K1372" i="7"/>
  <c r="L1372" i="7"/>
  <c r="H1366" i="7"/>
  <c r="M1366" i="7"/>
  <c r="K1366" i="7"/>
  <c r="L1366" i="7"/>
  <c r="H1360" i="7"/>
  <c r="M1360" i="7"/>
  <c r="K1360" i="7"/>
  <c r="L1360" i="7"/>
  <c r="H1354" i="7"/>
  <c r="M1354" i="7"/>
  <c r="K1354" i="7"/>
  <c r="L1354" i="7"/>
  <c r="H1348" i="7"/>
  <c r="M1348" i="7"/>
  <c r="K1348" i="7"/>
  <c r="L1348" i="7"/>
  <c r="H1342" i="7"/>
  <c r="M1342" i="7"/>
  <c r="K1342" i="7"/>
  <c r="L1342" i="7"/>
  <c r="H1336" i="7"/>
  <c r="M1336" i="7"/>
  <c r="K1336" i="7"/>
  <c r="L1336" i="7"/>
  <c r="H1330" i="7"/>
  <c r="M1330" i="7"/>
  <c r="K1330" i="7"/>
  <c r="L1330" i="7"/>
  <c r="H1324" i="7"/>
  <c r="M1324" i="7"/>
  <c r="K1324" i="7"/>
  <c r="L1324" i="7"/>
  <c r="H1318" i="7"/>
  <c r="M1318" i="7"/>
  <c r="K1318" i="7"/>
  <c r="L1318" i="7"/>
  <c r="H1312" i="7"/>
  <c r="M1312" i="7"/>
  <c r="K1312" i="7"/>
  <c r="L1312" i="7"/>
  <c r="H1306" i="7"/>
  <c r="M1306" i="7"/>
  <c r="K1306" i="7"/>
  <c r="L1306" i="7"/>
  <c r="H1300" i="7"/>
  <c r="M1300" i="7"/>
  <c r="K1300" i="7"/>
  <c r="L1300" i="7"/>
  <c r="H1294" i="7"/>
  <c r="M1294" i="7"/>
  <c r="K1294" i="7"/>
  <c r="L1294" i="7"/>
  <c r="H1288" i="7"/>
  <c r="M1288" i="7"/>
  <c r="K1288" i="7"/>
  <c r="L1288" i="7"/>
  <c r="H1282" i="7"/>
  <c r="M1282" i="7"/>
  <c r="K1282" i="7"/>
  <c r="L1282" i="7"/>
  <c r="H1276" i="7"/>
  <c r="M1276" i="7"/>
  <c r="K1276" i="7"/>
  <c r="L1276" i="7"/>
  <c r="H1270" i="7"/>
  <c r="M1270" i="7"/>
  <c r="K1270" i="7"/>
  <c r="L1270" i="7"/>
  <c r="H1264" i="7"/>
  <c r="M1264" i="7"/>
  <c r="K1264" i="7"/>
  <c r="L1264" i="7"/>
  <c r="H1258" i="7"/>
  <c r="M1258" i="7"/>
  <c r="K1258" i="7"/>
  <c r="L1258" i="7"/>
  <c r="H1252" i="7"/>
  <c r="M1252" i="7"/>
  <c r="K1252" i="7"/>
  <c r="L1252" i="7"/>
  <c r="H1246" i="7"/>
  <c r="M1246" i="7"/>
  <c r="K1246" i="7"/>
  <c r="L1246" i="7"/>
  <c r="H1240" i="7"/>
  <c r="M1240" i="7"/>
  <c r="K1240" i="7"/>
  <c r="L1240" i="7"/>
  <c r="H1234" i="7"/>
  <c r="M1234" i="7"/>
  <c r="K1234" i="7"/>
  <c r="L1234" i="7"/>
  <c r="H1228" i="7"/>
  <c r="M1228" i="7"/>
  <c r="K1228" i="7"/>
  <c r="L1228" i="7"/>
  <c r="H1222" i="7"/>
  <c r="M1222" i="7"/>
  <c r="K1222" i="7"/>
  <c r="L1222" i="7"/>
  <c r="H1216" i="7"/>
  <c r="M1216" i="7"/>
  <c r="K1216" i="7"/>
  <c r="L1216" i="7"/>
  <c r="H1210" i="7"/>
  <c r="M1210" i="7"/>
  <c r="K1210" i="7"/>
  <c r="L1210" i="7"/>
  <c r="H1204" i="7"/>
  <c r="M1204" i="7"/>
  <c r="K1204" i="7"/>
  <c r="L1204" i="7"/>
  <c r="H1198" i="7"/>
  <c r="M1198" i="7"/>
  <c r="K1198" i="7"/>
  <c r="L1198" i="7"/>
  <c r="H1192" i="7"/>
  <c r="M1192" i="7"/>
  <c r="K1192" i="7"/>
  <c r="L1192" i="7"/>
  <c r="H1186" i="7"/>
  <c r="M1186" i="7"/>
  <c r="K1186" i="7"/>
  <c r="L1186" i="7"/>
  <c r="H1180" i="7"/>
  <c r="M1180" i="7"/>
  <c r="K1180" i="7"/>
  <c r="L1180" i="7"/>
  <c r="H1174" i="7"/>
  <c r="M1174" i="7"/>
  <c r="K1174" i="7"/>
  <c r="L1174" i="7"/>
  <c r="H1168" i="7"/>
  <c r="M1168" i="7"/>
  <c r="K1168" i="7"/>
  <c r="L1168" i="7"/>
  <c r="H1162" i="7"/>
  <c r="M1162" i="7"/>
  <c r="K1162" i="7"/>
  <c r="L1162" i="7"/>
  <c r="H1156" i="7"/>
  <c r="M1156" i="7"/>
  <c r="K1156" i="7"/>
  <c r="L1156" i="7"/>
  <c r="H1150" i="7"/>
  <c r="M1150" i="7"/>
  <c r="K1150" i="7"/>
  <c r="L1150" i="7"/>
  <c r="H1144" i="7"/>
  <c r="M1144" i="7"/>
  <c r="K1144" i="7"/>
  <c r="L1144" i="7"/>
  <c r="H1138" i="7"/>
  <c r="M1138" i="7"/>
  <c r="K1138" i="7"/>
  <c r="L1138" i="7"/>
  <c r="H1132" i="7"/>
  <c r="M1132" i="7"/>
  <c r="K1132" i="7"/>
  <c r="L1132" i="7"/>
  <c r="H1126" i="7"/>
  <c r="M1126" i="7"/>
  <c r="K1126" i="7"/>
  <c r="L1126" i="7"/>
  <c r="H1120" i="7"/>
  <c r="M1120" i="7"/>
  <c r="K1120" i="7"/>
  <c r="L1120" i="7"/>
  <c r="H1114" i="7"/>
  <c r="M1114" i="7"/>
  <c r="K1114" i="7"/>
  <c r="L1114" i="7"/>
  <c r="H1108" i="7"/>
  <c r="M1108" i="7"/>
  <c r="K1108" i="7"/>
  <c r="L1108" i="7"/>
  <c r="H1102" i="7"/>
  <c r="M1102" i="7"/>
  <c r="K1102" i="7"/>
  <c r="L1102" i="7"/>
  <c r="H1096" i="7"/>
  <c r="M1096" i="7"/>
  <c r="K1096" i="7"/>
  <c r="L1096" i="7"/>
  <c r="H1090" i="7"/>
  <c r="M1090" i="7"/>
  <c r="K1090" i="7"/>
  <c r="L1090" i="7"/>
  <c r="H1084" i="7"/>
  <c r="M1084" i="7"/>
  <c r="K1084" i="7"/>
  <c r="L1084" i="7"/>
  <c r="H1078" i="7"/>
  <c r="M1078" i="7"/>
  <c r="K1078" i="7"/>
  <c r="L1078" i="7"/>
  <c r="H1072" i="7"/>
  <c r="M1072" i="7"/>
  <c r="K1072" i="7"/>
  <c r="L1072" i="7"/>
  <c r="H1066" i="7"/>
  <c r="M1066" i="7"/>
  <c r="K1066" i="7"/>
  <c r="L1066" i="7"/>
  <c r="H1060" i="7"/>
  <c r="M1060" i="7"/>
  <c r="K1060" i="7"/>
  <c r="L1060" i="7"/>
  <c r="H1054" i="7"/>
  <c r="M1054" i="7"/>
  <c r="K1054" i="7"/>
  <c r="L1054" i="7"/>
  <c r="H1048" i="7"/>
  <c r="M1048" i="7"/>
  <c r="K1048" i="7"/>
  <c r="L1048" i="7"/>
  <c r="H1042" i="7"/>
  <c r="M1042" i="7"/>
  <c r="K1042" i="7"/>
  <c r="L1042" i="7"/>
  <c r="H1036" i="7"/>
  <c r="M1036" i="7"/>
  <c r="K1036" i="7"/>
  <c r="L1036" i="7"/>
  <c r="H1030" i="7"/>
  <c r="M1030" i="7"/>
  <c r="K1030" i="7"/>
  <c r="L1030" i="7"/>
  <c r="H1024" i="7"/>
  <c r="M1024" i="7"/>
  <c r="K1024" i="7"/>
  <c r="L1024" i="7"/>
  <c r="H1018" i="7"/>
  <c r="M1018" i="7"/>
  <c r="K1018" i="7"/>
  <c r="L1018" i="7"/>
  <c r="H1012" i="7"/>
  <c r="M1012" i="7"/>
  <c r="K1012" i="7"/>
  <c r="L1012" i="7"/>
  <c r="H1006" i="7"/>
  <c r="M1006" i="7"/>
  <c r="K1006" i="7"/>
  <c r="L1006" i="7"/>
  <c r="H1000" i="7"/>
  <c r="M1000" i="7"/>
  <c r="K1000" i="7"/>
  <c r="L1000" i="7"/>
  <c r="H994" i="7"/>
  <c r="M994" i="7"/>
  <c r="K994" i="7"/>
  <c r="L994" i="7"/>
  <c r="H988" i="7"/>
  <c r="M988" i="7"/>
  <c r="K988" i="7"/>
  <c r="L988" i="7"/>
  <c r="H982" i="7"/>
  <c r="M982" i="7"/>
  <c r="K982" i="7"/>
  <c r="L982" i="7"/>
  <c r="H976" i="7"/>
  <c r="M976" i="7"/>
  <c r="K976" i="7"/>
  <c r="L976" i="7"/>
  <c r="H970" i="7"/>
  <c r="M970" i="7"/>
  <c r="K970" i="7"/>
  <c r="L970" i="7"/>
  <c r="H964" i="7"/>
  <c r="M964" i="7"/>
  <c r="K964" i="7"/>
  <c r="L964" i="7"/>
  <c r="H958" i="7"/>
  <c r="M958" i="7"/>
  <c r="K958" i="7"/>
  <c r="L958" i="7"/>
  <c r="H952" i="7"/>
  <c r="M952" i="7"/>
  <c r="K952" i="7"/>
  <c r="L952" i="7"/>
  <c r="H946" i="7"/>
  <c r="M946" i="7"/>
  <c r="K946" i="7"/>
  <c r="L946" i="7"/>
  <c r="H940" i="7"/>
  <c r="M940" i="7"/>
  <c r="K940" i="7"/>
  <c r="L940" i="7"/>
  <c r="H934" i="7"/>
  <c r="M934" i="7"/>
  <c r="K934" i="7"/>
  <c r="L934" i="7"/>
  <c r="H928" i="7"/>
  <c r="M928" i="7"/>
  <c r="K928" i="7"/>
  <c r="L928" i="7"/>
  <c r="H922" i="7"/>
  <c r="M922" i="7"/>
  <c r="K922" i="7"/>
  <c r="L922" i="7"/>
  <c r="H916" i="7"/>
  <c r="M916" i="7"/>
  <c r="K916" i="7"/>
  <c r="L916" i="7"/>
  <c r="H910" i="7"/>
  <c r="M910" i="7"/>
  <c r="K910" i="7"/>
  <c r="L910" i="7"/>
  <c r="H904" i="7"/>
  <c r="M904" i="7"/>
  <c r="K904" i="7"/>
  <c r="L904" i="7"/>
  <c r="H898" i="7"/>
  <c r="M898" i="7"/>
  <c r="K898" i="7"/>
  <c r="L898" i="7"/>
  <c r="H892" i="7"/>
  <c r="M892" i="7"/>
  <c r="K892" i="7"/>
  <c r="L892" i="7"/>
  <c r="H886" i="7"/>
  <c r="M886" i="7"/>
  <c r="K886" i="7"/>
  <c r="L886" i="7"/>
  <c r="H880" i="7"/>
  <c r="M880" i="7"/>
  <c r="K880" i="7"/>
  <c r="L880" i="7"/>
  <c r="H874" i="7"/>
  <c r="M874" i="7"/>
  <c r="K874" i="7"/>
  <c r="L874" i="7"/>
  <c r="H868" i="7"/>
  <c r="M868" i="7"/>
  <c r="K868" i="7"/>
  <c r="L868" i="7"/>
  <c r="H862" i="7"/>
  <c r="M862" i="7"/>
  <c r="K862" i="7"/>
  <c r="L862" i="7"/>
  <c r="H856" i="7"/>
  <c r="M856" i="7"/>
  <c r="K856" i="7"/>
  <c r="L856" i="7"/>
  <c r="H850" i="7"/>
  <c r="M850" i="7"/>
  <c r="K850" i="7"/>
  <c r="L850" i="7"/>
  <c r="H844" i="7"/>
  <c r="M844" i="7"/>
  <c r="K844" i="7"/>
  <c r="L844" i="7"/>
  <c r="H838" i="7"/>
  <c r="M838" i="7"/>
  <c r="K838" i="7"/>
  <c r="L838" i="7"/>
  <c r="H832" i="7"/>
  <c r="M832" i="7"/>
  <c r="K832" i="7"/>
  <c r="L832" i="7"/>
  <c r="H826" i="7"/>
  <c r="M826" i="7"/>
  <c r="K826" i="7"/>
  <c r="L826" i="7"/>
  <c r="H820" i="7"/>
  <c r="M820" i="7"/>
  <c r="K820" i="7"/>
  <c r="L820" i="7"/>
  <c r="H814" i="7"/>
  <c r="M814" i="7"/>
  <c r="K814" i="7"/>
  <c r="L814" i="7"/>
  <c r="H808" i="7"/>
  <c r="M808" i="7"/>
  <c r="K808" i="7"/>
  <c r="L808" i="7"/>
  <c r="H802" i="7"/>
  <c r="M802" i="7"/>
  <c r="K802" i="7"/>
  <c r="L802" i="7"/>
  <c r="H796" i="7"/>
  <c r="M796" i="7"/>
  <c r="K796" i="7"/>
  <c r="L796" i="7"/>
  <c r="H790" i="7"/>
  <c r="M790" i="7"/>
  <c r="K790" i="7"/>
  <c r="L790" i="7"/>
  <c r="H784" i="7"/>
  <c r="M784" i="7"/>
  <c r="K784" i="7"/>
  <c r="L784" i="7"/>
  <c r="H778" i="7"/>
  <c r="M778" i="7"/>
  <c r="K778" i="7"/>
  <c r="L778" i="7"/>
  <c r="H772" i="7"/>
  <c r="M772" i="7"/>
  <c r="K772" i="7"/>
  <c r="L772" i="7"/>
  <c r="H766" i="7"/>
  <c r="M766" i="7"/>
  <c r="K766" i="7"/>
  <c r="L766" i="7"/>
  <c r="H760" i="7"/>
  <c r="M760" i="7"/>
  <c r="K760" i="7"/>
  <c r="L760" i="7"/>
  <c r="H754" i="7"/>
  <c r="M754" i="7"/>
  <c r="K754" i="7"/>
  <c r="L754" i="7"/>
  <c r="H748" i="7"/>
  <c r="M748" i="7"/>
  <c r="K748" i="7"/>
  <c r="L748" i="7"/>
  <c r="H742" i="7"/>
  <c r="M742" i="7"/>
  <c r="K742" i="7"/>
  <c r="L742" i="7"/>
  <c r="H736" i="7"/>
  <c r="M736" i="7"/>
  <c r="K736" i="7"/>
  <c r="L736" i="7"/>
  <c r="H730" i="7"/>
  <c r="M730" i="7"/>
  <c r="K730" i="7"/>
  <c r="L730" i="7"/>
  <c r="H724" i="7"/>
  <c r="M724" i="7"/>
  <c r="K724" i="7"/>
  <c r="L724" i="7"/>
  <c r="H718" i="7"/>
  <c r="M718" i="7"/>
  <c r="K718" i="7"/>
  <c r="L718" i="7"/>
  <c r="H712" i="7"/>
  <c r="M712" i="7"/>
  <c r="K712" i="7"/>
  <c r="L712" i="7"/>
  <c r="H706" i="7"/>
  <c r="M706" i="7"/>
  <c r="K706" i="7"/>
  <c r="L706" i="7"/>
  <c r="H700" i="7"/>
  <c r="M700" i="7"/>
  <c r="K700" i="7"/>
  <c r="L700" i="7"/>
  <c r="H694" i="7"/>
  <c r="M694" i="7"/>
  <c r="K694" i="7"/>
  <c r="L694" i="7"/>
  <c r="H688" i="7"/>
  <c r="M688" i="7"/>
  <c r="K688" i="7"/>
  <c r="L688" i="7"/>
  <c r="H682" i="7"/>
  <c r="M682" i="7"/>
  <c r="K682" i="7"/>
  <c r="L682" i="7"/>
  <c r="H676" i="7"/>
  <c r="M676" i="7"/>
  <c r="K676" i="7"/>
  <c r="L676" i="7"/>
  <c r="H670" i="7"/>
  <c r="M670" i="7"/>
  <c r="K670" i="7"/>
  <c r="L670" i="7"/>
  <c r="H664" i="7"/>
  <c r="M664" i="7"/>
  <c r="K664" i="7"/>
  <c r="L664" i="7"/>
  <c r="H658" i="7"/>
  <c r="M658" i="7"/>
  <c r="K658" i="7"/>
  <c r="L658" i="7"/>
  <c r="H652" i="7"/>
  <c r="M652" i="7"/>
  <c r="K652" i="7"/>
  <c r="L652" i="7"/>
  <c r="H646" i="7"/>
  <c r="M646" i="7"/>
  <c r="K646" i="7"/>
  <c r="L646" i="7"/>
  <c r="H640" i="7"/>
  <c r="M640" i="7"/>
  <c r="K640" i="7"/>
  <c r="L640" i="7"/>
  <c r="H634" i="7"/>
  <c r="M634" i="7"/>
  <c r="K634" i="7"/>
  <c r="L634" i="7"/>
  <c r="H628" i="7"/>
  <c r="M628" i="7"/>
  <c r="K628" i="7"/>
  <c r="L628" i="7"/>
  <c r="H622" i="7"/>
  <c r="M622" i="7"/>
  <c r="K622" i="7"/>
  <c r="L622" i="7"/>
  <c r="H616" i="7"/>
  <c r="M616" i="7"/>
  <c r="K616" i="7"/>
  <c r="L616" i="7"/>
  <c r="H610" i="7"/>
  <c r="M610" i="7"/>
  <c r="K610" i="7"/>
  <c r="L610" i="7"/>
  <c r="H604" i="7"/>
  <c r="M604" i="7"/>
  <c r="K604" i="7"/>
  <c r="L604" i="7"/>
  <c r="H598" i="7"/>
  <c r="M598" i="7"/>
  <c r="K598" i="7"/>
  <c r="L598" i="7"/>
  <c r="H592" i="7"/>
  <c r="M592" i="7"/>
  <c r="K592" i="7"/>
  <c r="L592" i="7"/>
  <c r="H586" i="7"/>
  <c r="M586" i="7"/>
  <c r="K586" i="7"/>
  <c r="L586" i="7"/>
  <c r="H580" i="7"/>
  <c r="M580" i="7"/>
  <c r="K580" i="7"/>
  <c r="L580" i="7"/>
  <c r="H574" i="7"/>
  <c r="M574" i="7"/>
  <c r="K574" i="7"/>
  <c r="L574" i="7"/>
  <c r="H568" i="7"/>
  <c r="M568" i="7"/>
  <c r="K568" i="7"/>
  <c r="L568" i="7"/>
  <c r="H562" i="7"/>
  <c r="M562" i="7"/>
  <c r="K562" i="7"/>
  <c r="L562" i="7"/>
  <c r="H556" i="7"/>
  <c r="M556" i="7"/>
  <c r="K556" i="7"/>
  <c r="L556" i="7"/>
  <c r="H550" i="7"/>
  <c r="M550" i="7"/>
  <c r="K550" i="7"/>
  <c r="L550" i="7"/>
  <c r="H544" i="7"/>
  <c r="M544" i="7"/>
  <c r="K544" i="7"/>
  <c r="L544" i="7"/>
  <c r="H538" i="7"/>
  <c r="M538" i="7"/>
  <c r="K538" i="7"/>
  <c r="L538" i="7"/>
  <c r="H532" i="7"/>
  <c r="M532" i="7"/>
  <c r="K532" i="7"/>
  <c r="L532" i="7"/>
  <c r="H526" i="7"/>
  <c r="M526" i="7"/>
  <c r="K526" i="7"/>
  <c r="L526" i="7"/>
  <c r="H520" i="7"/>
  <c r="M520" i="7"/>
  <c r="K520" i="7"/>
  <c r="L520" i="7"/>
  <c r="H514" i="7"/>
  <c r="M514" i="7"/>
  <c r="K514" i="7"/>
  <c r="L514" i="7"/>
  <c r="H508" i="7"/>
  <c r="M508" i="7"/>
  <c r="K508" i="7"/>
  <c r="L508" i="7"/>
  <c r="H502" i="7"/>
  <c r="M502" i="7"/>
  <c r="K502" i="7"/>
  <c r="L502" i="7"/>
  <c r="H496" i="7"/>
  <c r="M496" i="7"/>
  <c r="K496" i="7"/>
  <c r="L496" i="7"/>
  <c r="H490" i="7"/>
  <c r="M490" i="7"/>
  <c r="K490" i="7"/>
  <c r="L490" i="7"/>
  <c r="H484" i="7"/>
  <c r="M484" i="7"/>
  <c r="K484" i="7"/>
  <c r="L484" i="7"/>
  <c r="H478" i="7"/>
  <c r="M478" i="7"/>
  <c r="K478" i="7"/>
  <c r="L478" i="7"/>
  <c r="H472" i="7"/>
  <c r="M472" i="7"/>
  <c r="K472" i="7"/>
  <c r="L472" i="7"/>
  <c r="H466" i="7"/>
  <c r="M466" i="7"/>
  <c r="K466" i="7"/>
  <c r="L466" i="7"/>
  <c r="H460" i="7"/>
  <c r="M460" i="7"/>
  <c r="K460" i="7"/>
  <c r="L460" i="7"/>
  <c r="H454" i="7"/>
  <c r="M454" i="7"/>
  <c r="K454" i="7"/>
  <c r="L454" i="7"/>
  <c r="H448" i="7"/>
  <c r="M448" i="7"/>
  <c r="K448" i="7"/>
  <c r="L448" i="7"/>
  <c r="H442" i="7"/>
  <c r="M442" i="7"/>
  <c r="K442" i="7"/>
  <c r="L442" i="7"/>
  <c r="H436" i="7"/>
  <c r="M436" i="7"/>
  <c r="K436" i="7"/>
  <c r="L436" i="7"/>
  <c r="H430" i="7"/>
  <c r="M430" i="7"/>
  <c r="K430" i="7"/>
  <c r="L430" i="7"/>
  <c r="H424" i="7"/>
  <c r="M424" i="7"/>
  <c r="K424" i="7"/>
  <c r="L424" i="7"/>
  <c r="H418" i="7"/>
  <c r="M418" i="7"/>
  <c r="K418" i="7"/>
  <c r="L418" i="7"/>
  <c r="H412" i="7"/>
  <c r="M412" i="7"/>
  <c r="K412" i="7"/>
  <c r="L412" i="7"/>
  <c r="H406" i="7"/>
  <c r="M406" i="7"/>
  <c r="K406" i="7"/>
  <c r="L406" i="7"/>
  <c r="H400" i="7"/>
  <c r="M400" i="7"/>
  <c r="K400" i="7"/>
  <c r="L400" i="7"/>
  <c r="H394" i="7"/>
  <c r="M394" i="7"/>
  <c r="K394" i="7"/>
  <c r="L394" i="7"/>
  <c r="H388" i="7"/>
  <c r="M388" i="7"/>
  <c r="K388" i="7"/>
  <c r="L388" i="7"/>
  <c r="H382" i="7"/>
  <c r="M382" i="7"/>
  <c r="K382" i="7"/>
  <c r="L382" i="7"/>
  <c r="H376" i="7"/>
  <c r="M376" i="7"/>
  <c r="K376" i="7"/>
  <c r="L376" i="7"/>
  <c r="H370" i="7"/>
  <c r="M370" i="7"/>
  <c r="K370" i="7"/>
  <c r="L370" i="7"/>
  <c r="H364" i="7"/>
  <c r="M364" i="7"/>
  <c r="K364" i="7"/>
  <c r="L364" i="7"/>
  <c r="H358" i="7"/>
  <c r="M358" i="7"/>
  <c r="K358" i="7"/>
  <c r="L358" i="7"/>
  <c r="H352" i="7"/>
  <c r="M352" i="7"/>
  <c r="K352" i="7"/>
  <c r="L352" i="7"/>
  <c r="H346" i="7"/>
  <c r="M346" i="7"/>
  <c r="K346" i="7"/>
  <c r="L346" i="7"/>
  <c r="H340" i="7"/>
  <c r="M340" i="7"/>
  <c r="K340" i="7"/>
  <c r="L340" i="7"/>
  <c r="H334" i="7"/>
  <c r="M334" i="7"/>
  <c r="K334" i="7"/>
  <c r="L334" i="7"/>
  <c r="H328" i="7"/>
  <c r="M328" i="7"/>
  <c r="K328" i="7"/>
  <c r="L328" i="7"/>
  <c r="H322" i="7"/>
  <c r="M322" i="7"/>
  <c r="K322" i="7"/>
  <c r="L322" i="7"/>
  <c r="H316" i="7"/>
  <c r="M316" i="7"/>
  <c r="K316" i="7"/>
  <c r="L316" i="7"/>
  <c r="H310" i="7"/>
  <c r="M310" i="7"/>
  <c r="K310" i="7"/>
  <c r="L310" i="7"/>
  <c r="H304" i="7"/>
  <c r="M304" i="7"/>
  <c r="K304" i="7"/>
  <c r="L304" i="7"/>
  <c r="H298" i="7"/>
  <c r="M298" i="7"/>
  <c r="K298" i="7"/>
  <c r="L298" i="7"/>
  <c r="H292" i="7"/>
  <c r="M292" i="7"/>
  <c r="K292" i="7"/>
  <c r="L292" i="7"/>
  <c r="H286" i="7"/>
  <c r="M286" i="7"/>
  <c r="K286" i="7"/>
  <c r="L286" i="7"/>
  <c r="H280" i="7"/>
  <c r="M280" i="7"/>
  <c r="K280" i="7"/>
  <c r="L280" i="7"/>
  <c r="H274" i="7"/>
  <c r="M274" i="7"/>
  <c r="K274" i="7"/>
  <c r="L274" i="7"/>
  <c r="H268" i="7"/>
  <c r="M268" i="7"/>
  <c r="K268" i="7"/>
  <c r="L268" i="7"/>
  <c r="H262" i="7"/>
  <c r="M262" i="7"/>
  <c r="K262" i="7"/>
  <c r="L262" i="7"/>
  <c r="H256" i="7"/>
  <c r="M256" i="7"/>
  <c r="K256" i="7"/>
  <c r="L256" i="7"/>
  <c r="H250" i="7"/>
  <c r="M250" i="7"/>
  <c r="K250" i="7"/>
  <c r="L250" i="7"/>
  <c r="H244" i="7"/>
  <c r="M244" i="7"/>
  <c r="K244" i="7"/>
  <c r="L244" i="7"/>
  <c r="H238" i="7"/>
  <c r="M238" i="7"/>
  <c r="K238" i="7"/>
  <c r="L238" i="7"/>
  <c r="H232" i="7"/>
  <c r="M232" i="7"/>
  <c r="K232" i="7"/>
  <c r="L232" i="7"/>
  <c r="H226" i="7"/>
  <c r="M226" i="7"/>
  <c r="K226" i="7"/>
  <c r="L226" i="7"/>
  <c r="H220" i="7"/>
  <c r="M220" i="7"/>
  <c r="K220" i="7"/>
  <c r="L220" i="7"/>
  <c r="H214" i="7"/>
  <c r="M214" i="7"/>
  <c r="K214" i="7"/>
  <c r="L214" i="7"/>
  <c r="H208" i="7"/>
  <c r="M208" i="7"/>
  <c r="K208" i="7"/>
  <c r="L208" i="7"/>
  <c r="H202" i="7"/>
  <c r="M202" i="7"/>
  <c r="K202" i="7"/>
  <c r="L202" i="7"/>
  <c r="H196" i="7"/>
  <c r="M196" i="7"/>
  <c r="K196" i="7"/>
  <c r="L196" i="7"/>
  <c r="H190" i="7"/>
  <c r="M190" i="7"/>
  <c r="K190" i="7"/>
  <c r="L190" i="7"/>
  <c r="H184" i="7"/>
  <c r="M184" i="7"/>
  <c r="K184" i="7"/>
  <c r="L184" i="7"/>
  <c r="H178" i="7"/>
  <c r="M178" i="7"/>
  <c r="K178" i="7"/>
  <c r="L178" i="7"/>
  <c r="H172" i="7"/>
  <c r="M172" i="7"/>
  <c r="K172" i="7"/>
  <c r="L172" i="7"/>
  <c r="H166" i="7"/>
  <c r="M166" i="7"/>
  <c r="K166" i="7"/>
  <c r="L166" i="7"/>
  <c r="H160" i="7"/>
  <c r="M160" i="7"/>
  <c r="K160" i="7"/>
  <c r="L160" i="7"/>
  <c r="H154" i="7"/>
  <c r="M154" i="7"/>
  <c r="K154" i="7"/>
  <c r="L154" i="7"/>
  <c r="H148" i="7"/>
  <c r="M148" i="7"/>
  <c r="K148" i="7"/>
  <c r="L148" i="7"/>
  <c r="H142" i="7"/>
  <c r="M142" i="7"/>
  <c r="K142" i="7"/>
  <c r="L142" i="7"/>
  <c r="H136" i="7"/>
  <c r="M136" i="7"/>
  <c r="K136" i="7"/>
  <c r="L136" i="7"/>
  <c r="H130" i="7"/>
  <c r="M130" i="7"/>
  <c r="K130" i="7"/>
  <c r="L130" i="7"/>
  <c r="H124" i="7"/>
  <c r="M124" i="7"/>
  <c r="K124" i="7"/>
  <c r="L124" i="7"/>
  <c r="H118" i="7"/>
  <c r="M118" i="7"/>
  <c r="K118" i="7"/>
  <c r="L118" i="7"/>
  <c r="H112" i="7"/>
  <c r="M112" i="7"/>
  <c r="K112" i="7"/>
  <c r="L112" i="7"/>
  <c r="H106" i="7"/>
  <c r="M106" i="7"/>
  <c r="K106" i="7"/>
  <c r="L106" i="7"/>
  <c r="H100" i="7"/>
  <c r="M100" i="7"/>
  <c r="K100" i="7"/>
  <c r="L100" i="7"/>
  <c r="H94" i="7"/>
  <c r="M94" i="7"/>
  <c r="K94" i="7"/>
  <c r="L94" i="7"/>
  <c r="H88" i="7"/>
  <c r="M88" i="7"/>
  <c r="K88" i="7"/>
  <c r="L88" i="7"/>
  <c r="H82" i="7"/>
  <c r="M82" i="7"/>
  <c r="K82" i="7"/>
  <c r="L82" i="7"/>
  <c r="H76" i="7"/>
  <c r="M76" i="7"/>
  <c r="K76" i="7"/>
  <c r="L76" i="7"/>
  <c r="H70" i="7"/>
  <c r="M70" i="7"/>
  <c r="K70" i="7"/>
  <c r="L70" i="7"/>
  <c r="H64" i="7"/>
  <c r="M64" i="7"/>
  <c r="K64" i="7"/>
  <c r="L64" i="7"/>
  <c r="H58" i="7"/>
  <c r="M58" i="7"/>
  <c r="K58" i="7"/>
  <c r="L58" i="7"/>
  <c r="H52" i="7"/>
  <c r="M52" i="7"/>
  <c r="K52" i="7"/>
  <c r="L52" i="7"/>
  <c r="H46" i="7"/>
  <c r="M46" i="7"/>
  <c r="K46" i="7"/>
  <c r="L46" i="7"/>
  <c r="H40" i="7"/>
  <c r="M40" i="7"/>
  <c r="K40" i="7"/>
  <c r="L40" i="7"/>
  <c r="H34" i="7"/>
  <c r="M34" i="7"/>
  <c r="K34" i="7"/>
  <c r="L34" i="7"/>
  <c r="H28" i="7"/>
  <c r="M28" i="7"/>
  <c r="K28" i="7"/>
  <c r="L28" i="7"/>
  <c r="H22" i="7"/>
  <c r="M22" i="7"/>
  <c r="K22" i="7"/>
  <c r="L22" i="7"/>
  <c r="H16" i="7"/>
  <c r="M16" i="7"/>
  <c r="K16" i="7"/>
  <c r="L16" i="7"/>
  <c r="H10" i="7"/>
  <c r="M10" i="7"/>
  <c r="K10" i="7"/>
  <c r="L10" i="7"/>
  <c r="H4" i="7"/>
  <c r="M4" i="7"/>
  <c r="K4" i="7"/>
  <c r="L4" i="7"/>
  <c r="H1521" i="7"/>
  <c r="M1521" i="7"/>
  <c r="K1521" i="7"/>
  <c r="L1521" i="7"/>
  <c r="H1515" i="7"/>
  <c r="M1515" i="7"/>
  <c r="K1515" i="7"/>
  <c r="L1515" i="7"/>
  <c r="H1509" i="7"/>
  <c r="M1509" i="7"/>
  <c r="K1509" i="7"/>
  <c r="L1509" i="7"/>
  <c r="H1503" i="7"/>
  <c r="M1503" i="7"/>
  <c r="K1503" i="7"/>
  <c r="L1503" i="7"/>
  <c r="H1497" i="7"/>
  <c r="M1497" i="7"/>
  <c r="K1497" i="7"/>
  <c r="L1497" i="7"/>
  <c r="H1491" i="7"/>
  <c r="M1491" i="7"/>
  <c r="K1491" i="7"/>
  <c r="L1491" i="7"/>
  <c r="H1485" i="7"/>
  <c r="M1485" i="7"/>
  <c r="K1485" i="7"/>
  <c r="L1485" i="7"/>
  <c r="H1479" i="7"/>
  <c r="M1479" i="7"/>
  <c r="K1479" i="7"/>
  <c r="L1479" i="7"/>
  <c r="H1473" i="7"/>
  <c r="M1473" i="7"/>
  <c r="K1473" i="7"/>
  <c r="L1473" i="7"/>
  <c r="H1467" i="7"/>
  <c r="M1467" i="7"/>
  <c r="K1467" i="7"/>
  <c r="L1467" i="7"/>
  <c r="H1461" i="7"/>
  <c r="M1461" i="7"/>
  <c r="K1461" i="7"/>
  <c r="L1461" i="7"/>
  <c r="H1455" i="7"/>
  <c r="M1455" i="7"/>
  <c r="K1455" i="7"/>
  <c r="L1455" i="7"/>
  <c r="H1449" i="7"/>
  <c r="M1449" i="7"/>
  <c r="K1449" i="7"/>
  <c r="L1449" i="7"/>
  <c r="H1443" i="7"/>
  <c r="M1443" i="7"/>
  <c r="K1443" i="7"/>
  <c r="L1443" i="7"/>
  <c r="H1437" i="7"/>
  <c r="M1437" i="7"/>
  <c r="K1437" i="7"/>
  <c r="L1437" i="7"/>
  <c r="H1431" i="7"/>
  <c r="M1431" i="7"/>
  <c r="K1431" i="7"/>
  <c r="L1431" i="7"/>
  <c r="H1425" i="7"/>
  <c r="M1425" i="7"/>
  <c r="K1425" i="7"/>
  <c r="L1425" i="7"/>
  <c r="H1419" i="7"/>
  <c r="M1419" i="7"/>
  <c r="K1419" i="7"/>
  <c r="L1419" i="7"/>
  <c r="H1413" i="7"/>
  <c r="M1413" i="7"/>
  <c r="K1413" i="7"/>
  <c r="L1413" i="7"/>
  <c r="H1407" i="7"/>
  <c r="M1407" i="7"/>
  <c r="K1407" i="7"/>
  <c r="L1407" i="7"/>
  <c r="H1401" i="7"/>
  <c r="M1401" i="7"/>
  <c r="K1401" i="7"/>
  <c r="L1401" i="7"/>
  <c r="H1395" i="7"/>
  <c r="M1395" i="7"/>
  <c r="K1395" i="7"/>
  <c r="L1395" i="7"/>
  <c r="H1389" i="7"/>
  <c r="M1389" i="7"/>
  <c r="K1389" i="7"/>
  <c r="L1389" i="7"/>
  <c r="H1383" i="7"/>
  <c r="M1383" i="7"/>
  <c r="K1383" i="7"/>
  <c r="L1383" i="7"/>
  <c r="H1377" i="7"/>
  <c r="M1377" i="7"/>
  <c r="K1377" i="7"/>
  <c r="L1377" i="7"/>
  <c r="H1371" i="7"/>
  <c r="M1371" i="7"/>
  <c r="K1371" i="7"/>
  <c r="L1371" i="7"/>
  <c r="H1365" i="7"/>
  <c r="M1365" i="7"/>
  <c r="K1365" i="7"/>
  <c r="L1365" i="7"/>
  <c r="H1359" i="7"/>
  <c r="M1359" i="7"/>
  <c r="K1359" i="7"/>
  <c r="L1359" i="7"/>
  <c r="H1353" i="7"/>
  <c r="M1353" i="7"/>
  <c r="K1353" i="7"/>
  <c r="L1353" i="7"/>
  <c r="H1347" i="7"/>
  <c r="M1347" i="7"/>
  <c r="K1347" i="7"/>
  <c r="L1347" i="7"/>
  <c r="H1341" i="7"/>
  <c r="M1341" i="7"/>
  <c r="K1341" i="7"/>
  <c r="L1341" i="7"/>
  <c r="H1335" i="7"/>
  <c r="M1335" i="7"/>
  <c r="K1335" i="7"/>
  <c r="L1335" i="7"/>
  <c r="H1329" i="7"/>
  <c r="M1329" i="7"/>
  <c r="K1329" i="7"/>
  <c r="L1329" i="7"/>
  <c r="H1323" i="7"/>
  <c r="M1323" i="7"/>
  <c r="K1323" i="7"/>
  <c r="L1323" i="7"/>
  <c r="H1317" i="7"/>
  <c r="M1317" i="7"/>
  <c r="K1317" i="7"/>
  <c r="L1317" i="7"/>
  <c r="H1311" i="7"/>
  <c r="M1311" i="7"/>
  <c r="K1311" i="7"/>
  <c r="L1311" i="7"/>
  <c r="H1305" i="7"/>
  <c r="M1305" i="7"/>
  <c r="K1305" i="7"/>
  <c r="L1305" i="7"/>
  <c r="H1299" i="7"/>
  <c r="M1299" i="7"/>
  <c r="K1299" i="7"/>
  <c r="L1299" i="7"/>
  <c r="H1293" i="7"/>
  <c r="M1293" i="7"/>
  <c r="K1293" i="7"/>
  <c r="L1293" i="7"/>
  <c r="H1287" i="7"/>
  <c r="M1287" i="7"/>
  <c r="K1287" i="7"/>
  <c r="L1287" i="7"/>
  <c r="H1281" i="7"/>
  <c r="M1281" i="7"/>
  <c r="K1281" i="7"/>
  <c r="L1281" i="7"/>
  <c r="H1275" i="7"/>
  <c r="M1275" i="7"/>
  <c r="K1275" i="7"/>
  <c r="L1275" i="7"/>
  <c r="H1269" i="7"/>
  <c r="M1269" i="7"/>
  <c r="K1269" i="7"/>
  <c r="L1269" i="7"/>
  <c r="H1263" i="7"/>
  <c r="M1263" i="7"/>
  <c r="K1263" i="7"/>
  <c r="L1263" i="7"/>
  <c r="H1257" i="7"/>
  <c r="M1257" i="7"/>
  <c r="K1257" i="7"/>
  <c r="L1257" i="7"/>
  <c r="H1251" i="7"/>
  <c r="M1251" i="7"/>
  <c r="K1251" i="7"/>
  <c r="L1251" i="7"/>
  <c r="H1245" i="7"/>
  <c r="M1245" i="7"/>
  <c r="K1245" i="7"/>
  <c r="L1245" i="7"/>
  <c r="H1239" i="7"/>
  <c r="M1239" i="7"/>
  <c r="K1239" i="7"/>
  <c r="L1239" i="7"/>
  <c r="H1233" i="7"/>
  <c r="M1233" i="7"/>
  <c r="K1233" i="7"/>
  <c r="L1233" i="7"/>
  <c r="H1227" i="7"/>
  <c r="M1227" i="7"/>
  <c r="K1227" i="7"/>
  <c r="L1227" i="7"/>
  <c r="H1221" i="7"/>
  <c r="M1221" i="7"/>
  <c r="K1221" i="7"/>
  <c r="L1221" i="7"/>
  <c r="H1215" i="7"/>
  <c r="M1215" i="7"/>
  <c r="K1215" i="7"/>
  <c r="L1215" i="7"/>
  <c r="H1209" i="7"/>
  <c r="M1209" i="7"/>
  <c r="K1209" i="7"/>
  <c r="L1209" i="7"/>
  <c r="H1203" i="7"/>
  <c r="M1203" i="7"/>
  <c r="K1203" i="7"/>
  <c r="L1203" i="7"/>
  <c r="H1197" i="7"/>
  <c r="M1197" i="7"/>
  <c r="K1197" i="7"/>
  <c r="L1197" i="7"/>
  <c r="H1191" i="7"/>
  <c r="M1191" i="7"/>
  <c r="K1191" i="7"/>
  <c r="L1191" i="7"/>
  <c r="H1185" i="7"/>
  <c r="M1185" i="7"/>
  <c r="K1185" i="7"/>
  <c r="L1185" i="7"/>
  <c r="H1179" i="7"/>
  <c r="M1179" i="7"/>
  <c r="K1179" i="7"/>
  <c r="L1179" i="7"/>
  <c r="H1173" i="7"/>
  <c r="M1173" i="7"/>
  <c r="K1173" i="7"/>
  <c r="L1173" i="7"/>
  <c r="H1167" i="7"/>
  <c r="M1167" i="7"/>
  <c r="K1167" i="7"/>
  <c r="L1167" i="7"/>
  <c r="H1161" i="7"/>
  <c r="M1161" i="7"/>
  <c r="K1161" i="7"/>
  <c r="L1161" i="7"/>
  <c r="H1155" i="7"/>
  <c r="M1155" i="7"/>
  <c r="K1155" i="7"/>
  <c r="L1155" i="7"/>
  <c r="H1149" i="7"/>
  <c r="M1149" i="7"/>
  <c r="K1149" i="7"/>
  <c r="L1149" i="7"/>
  <c r="H1143" i="7"/>
  <c r="M1143" i="7"/>
  <c r="K1143" i="7"/>
  <c r="L1143" i="7"/>
  <c r="H1137" i="7"/>
  <c r="M1137" i="7"/>
  <c r="K1137" i="7"/>
  <c r="L1137" i="7"/>
  <c r="H1131" i="7"/>
  <c r="M1131" i="7"/>
  <c r="K1131" i="7"/>
  <c r="L1131" i="7"/>
  <c r="H1125" i="7"/>
  <c r="M1125" i="7"/>
  <c r="K1125" i="7"/>
  <c r="L1125" i="7"/>
  <c r="H1119" i="7"/>
  <c r="M1119" i="7"/>
  <c r="K1119" i="7"/>
  <c r="L1119" i="7"/>
  <c r="H1113" i="7"/>
  <c r="M1113" i="7"/>
  <c r="K1113" i="7"/>
  <c r="L1113" i="7"/>
  <c r="H1107" i="7"/>
  <c r="M1107" i="7"/>
  <c r="K1107" i="7"/>
  <c r="L1107" i="7"/>
  <c r="H1101" i="7"/>
  <c r="M1101" i="7"/>
  <c r="K1101" i="7"/>
  <c r="L1101" i="7"/>
  <c r="H1095" i="7"/>
  <c r="M1095" i="7"/>
  <c r="K1095" i="7"/>
  <c r="L1095" i="7"/>
  <c r="H1089" i="7"/>
  <c r="M1089" i="7"/>
  <c r="K1089" i="7"/>
  <c r="L1089" i="7"/>
  <c r="H1083" i="7"/>
  <c r="M1083" i="7"/>
  <c r="K1083" i="7"/>
  <c r="L1083" i="7"/>
  <c r="H1077" i="7"/>
  <c r="M1077" i="7"/>
  <c r="K1077" i="7"/>
  <c r="L1077" i="7"/>
  <c r="H1071" i="7"/>
  <c r="M1071" i="7"/>
  <c r="K1071" i="7"/>
  <c r="L1071" i="7"/>
  <c r="H1065" i="7"/>
  <c r="M1065" i="7"/>
  <c r="K1065" i="7"/>
  <c r="L1065" i="7"/>
  <c r="H1059" i="7"/>
  <c r="M1059" i="7"/>
  <c r="K1059" i="7"/>
  <c r="L1059" i="7"/>
  <c r="H1053" i="7"/>
  <c r="M1053" i="7"/>
  <c r="K1053" i="7"/>
  <c r="L1053" i="7"/>
  <c r="H1047" i="7"/>
  <c r="M1047" i="7"/>
  <c r="K1047" i="7"/>
  <c r="L1047" i="7"/>
  <c r="H1041" i="7"/>
  <c r="M1041" i="7"/>
  <c r="K1041" i="7"/>
  <c r="L1041" i="7"/>
  <c r="H1035" i="7"/>
  <c r="M1035" i="7"/>
  <c r="K1035" i="7"/>
  <c r="L1035" i="7"/>
  <c r="H1029" i="7"/>
  <c r="M1029" i="7"/>
  <c r="K1029" i="7"/>
  <c r="L1029" i="7"/>
  <c r="H1023" i="7"/>
  <c r="M1023" i="7"/>
  <c r="K1023" i="7"/>
  <c r="L1023" i="7"/>
  <c r="H1017" i="7"/>
  <c r="M1017" i="7"/>
  <c r="K1017" i="7"/>
  <c r="L1017" i="7"/>
  <c r="H1011" i="7"/>
  <c r="M1011" i="7"/>
  <c r="K1011" i="7"/>
  <c r="L1011" i="7"/>
  <c r="H1005" i="7"/>
  <c r="M1005" i="7"/>
  <c r="K1005" i="7"/>
  <c r="L1005" i="7"/>
  <c r="H999" i="7"/>
  <c r="M999" i="7"/>
  <c r="K999" i="7"/>
  <c r="L999" i="7"/>
  <c r="H993" i="7"/>
  <c r="M993" i="7"/>
  <c r="K993" i="7"/>
  <c r="L993" i="7"/>
  <c r="H987" i="7"/>
  <c r="M987" i="7"/>
  <c r="K987" i="7"/>
  <c r="L987" i="7"/>
  <c r="H981" i="7"/>
  <c r="M981" i="7"/>
  <c r="K981" i="7"/>
  <c r="L981" i="7"/>
  <c r="H975" i="7"/>
  <c r="M975" i="7"/>
  <c r="K975" i="7"/>
  <c r="L975" i="7"/>
  <c r="H969" i="7"/>
  <c r="M969" i="7"/>
  <c r="K969" i="7"/>
  <c r="L969" i="7"/>
  <c r="H963" i="7"/>
  <c r="M963" i="7"/>
  <c r="K963" i="7"/>
  <c r="L963" i="7"/>
  <c r="H957" i="7"/>
  <c r="M957" i="7"/>
  <c r="K957" i="7"/>
  <c r="L957" i="7"/>
  <c r="H951" i="7"/>
  <c r="M951" i="7"/>
  <c r="K951" i="7"/>
  <c r="L951" i="7"/>
  <c r="H945" i="7"/>
  <c r="M945" i="7"/>
  <c r="K945" i="7"/>
  <c r="L945" i="7"/>
  <c r="H939" i="7"/>
  <c r="M939" i="7"/>
  <c r="K939" i="7"/>
  <c r="L939" i="7"/>
  <c r="H933" i="7"/>
  <c r="M933" i="7"/>
  <c r="K933" i="7"/>
  <c r="L933" i="7"/>
  <c r="H927" i="7"/>
  <c r="M927" i="7"/>
  <c r="K927" i="7"/>
  <c r="L927" i="7"/>
  <c r="H921" i="7"/>
  <c r="M921" i="7"/>
  <c r="K921" i="7"/>
  <c r="L921" i="7"/>
  <c r="H915" i="7"/>
  <c r="M915" i="7"/>
  <c r="K915" i="7"/>
  <c r="L915" i="7"/>
  <c r="H909" i="7"/>
  <c r="M909" i="7"/>
  <c r="K909" i="7"/>
  <c r="L909" i="7"/>
  <c r="H903" i="7"/>
  <c r="M903" i="7"/>
  <c r="K903" i="7"/>
  <c r="L903" i="7"/>
  <c r="H897" i="7"/>
  <c r="M897" i="7"/>
  <c r="K897" i="7"/>
  <c r="L897" i="7"/>
  <c r="H891" i="7"/>
  <c r="M891" i="7"/>
  <c r="K891" i="7"/>
  <c r="L891" i="7"/>
  <c r="H885" i="7"/>
  <c r="M885" i="7"/>
  <c r="K885" i="7"/>
  <c r="L885" i="7"/>
  <c r="H879" i="7"/>
  <c r="M879" i="7"/>
  <c r="K879" i="7"/>
  <c r="L879" i="7"/>
  <c r="H873" i="7"/>
  <c r="M873" i="7"/>
  <c r="K873" i="7"/>
  <c r="L873" i="7"/>
  <c r="H867" i="7"/>
  <c r="M867" i="7"/>
  <c r="K867" i="7"/>
  <c r="L867" i="7"/>
  <c r="H861" i="7"/>
  <c r="M861" i="7"/>
  <c r="K861" i="7"/>
  <c r="L861" i="7"/>
  <c r="H855" i="7"/>
  <c r="M855" i="7"/>
  <c r="K855" i="7"/>
  <c r="L855" i="7"/>
  <c r="H849" i="7"/>
  <c r="M849" i="7"/>
  <c r="K849" i="7"/>
  <c r="L849" i="7"/>
  <c r="H843" i="7"/>
  <c r="M843" i="7"/>
  <c r="K843" i="7"/>
  <c r="L843" i="7"/>
  <c r="H837" i="7"/>
  <c r="M837" i="7"/>
  <c r="K837" i="7"/>
  <c r="L837" i="7"/>
  <c r="H831" i="7"/>
  <c r="M831" i="7"/>
  <c r="K831" i="7"/>
  <c r="L831" i="7"/>
  <c r="H825" i="7"/>
  <c r="M825" i="7"/>
  <c r="K825" i="7"/>
  <c r="L825" i="7"/>
  <c r="H819" i="7"/>
  <c r="M819" i="7"/>
  <c r="K819" i="7"/>
  <c r="L819" i="7"/>
  <c r="H813" i="7"/>
  <c r="M813" i="7"/>
  <c r="K813" i="7"/>
  <c r="L813" i="7"/>
  <c r="H807" i="7"/>
  <c r="M807" i="7"/>
  <c r="K807" i="7"/>
  <c r="L807" i="7"/>
  <c r="H801" i="7"/>
  <c r="M801" i="7"/>
  <c r="K801" i="7"/>
  <c r="L801" i="7"/>
  <c r="H795" i="7"/>
  <c r="M795" i="7"/>
  <c r="K795" i="7"/>
  <c r="L795" i="7"/>
  <c r="H789" i="7"/>
  <c r="M789" i="7"/>
  <c r="K789" i="7"/>
  <c r="L789" i="7"/>
  <c r="H783" i="7"/>
  <c r="M783" i="7"/>
  <c r="K783" i="7"/>
  <c r="L783" i="7"/>
  <c r="H777" i="7"/>
  <c r="M777" i="7"/>
  <c r="K777" i="7"/>
  <c r="L777" i="7"/>
  <c r="H771" i="7"/>
  <c r="M771" i="7"/>
  <c r="K771" i="7"/>
  <c r="L771" i="7"/>
  <c r="H765" i="7"/>
  <c r="M765" i="7"/>
  <c r="K765" i="7"/>
  <c r="L765" i="7"/>
  <c r="H759" i="7"/>
  <c r="M759" i="7"/>
  <c r="K759" i="7"/>
  <c r="L759" i="7"/>
  <c r="H753" i="7"/>
  <c r="M753" i="7"/>
  <c r="K753" i="7"/>
  <c r="L753" i="7"/>
  <c r="H747" i="7"/>
  <c r="M747" i="7"/>
  <c r="K747" i="7"/>
  <c r="L747" i="7"/>
  <c r="H741" i="7"/>
  <c r="M741" i="7"/>
  <c r="K741" i="7"/>
  <c r="L741" i="7"/>
  <c r="H735" i="7"/>
  <c r="M735" i="7"/>
  <c r="K735" i="7"/>
  <c r="L735" i="7"/>
  <c r="H729" i="7"/>
  <c r="M729" i="7"/>
  <c r="K729" i="7"/>
  <c r="L729" i="7"/>
  <c r="H723" i="7"/>
  <c r="M723" i="7"/>
  <c r="K723" i="7"/>
  <c r="L723" i="7"/>
  <c r="H717" i="7"/>
  <c r="M717" i="7"/>
  <c r="K717" i="7"/>
  <c r="L717" i="7"/>
  <c r="H711" i="7"/>
  <c r="M711" i="7"/>
  <c r="K711" i="7"/>
  <c r="L711" i="7"/>
  <c r="H705" i="7"/>
  <c r="M705" i="7"/>
  <c r="K705" i="7"/>
  <c r="L705" i="7"/>
  <c r="H699" i="7"/>
  <c r="M699" i="7"/>
  <c r="K699" i="7"/>
  <c r="L699" i="7"/>
  <c r="H693" i="7"/>
  <c r="M693" i="7"/>
  <c r="K693" i="7"/>
  <c r="L693" i="7"/>
  <c r="H687" i="7"/>
  <c r="M687" i="7"/>
  <c r="K687" i="7"/>
  <c r="L687" i="7"/>
  <c r="H681" i="7"/>
  <c r="M681" i="7"/>
  <c r="K681" i="7"/>
  <c r="L681" i="7"/>
  <c r="H675" i="7"/>
  <c r="M675" i="7"/>
  <c r="K675" i="7"/>
  <c r="L675" i="7"/>
  <c r="H669" i="7"/>
  <c r="M669" i="7"/>
  <c r="K669" i="7"/>
  <c r="L669" i="7"/>
  <c r="H663" i="7"/>
  <c r="M663" i="7"/>
  <c r="K663" i="7"/>
  <c r="L663" i="7"/>
  <c r="H657" i="7"/>
  <c r="M657" i="7"/>
  <c r="K657" i="7"/>
  <c r="L657" i="7"/>
  <c r="H651" i="7"/>
  <c r="M651" i="7"/>
  <c r="K651" i="7"/>
  <c r="L651" i="7"/>
  <c r="H645" i="7"/>
  <c r="M645" i="7"/>
  <c r="K645" i="7"/>
  <c r="L645" i="7"/>
  <c r="H639" i="7"/>
  <c r="M639" i="7"/>
  <c r="K639" i="7"/>
  <c r="L639" i="7"/>
  <c r="H633" i="7"/>
  <c r="M633" i="7"/>
  <c r="K633" i="7"/>
  <c r="L633" i="7"/>
  <c r="H627" i="7"/>
  <c r="M627" i="7"/>
  <c r="K627" i="7"/>
  <c r="L627" i="7"/>
  <c r="H621" i="7"/>
  <c r="M621" i="7"/>
  <c r="K621" i="7"/>
  <c r="L621" i="7"/>
  <c r="H615" i="7"/>
  <c r="M615" i="7"/>
  <c r="K615" i="7"/>
  <c r="L615" i="7"/>
  <c r="H609" i="7"/>
  <c r="M609" i="7"/>
  <c r="K609" i="7"/>
  <c r="L609" i="7"/>
  <c r="H603" i="7"/>
  <c r="M603" i="7"/>
  <c r="K603" i="7"/>
  <c r="L603" i="7"/>
  <c r="H597" i="7"/>
  <c r="M597" i="7"/>
  <c r="K597" i="7"/>
  <c r="L597" i="7"/>
  <c r="H591" i="7"/>
  <c r="M591" i="7"/>
  <c r="K591" i="7"/>
  <c r="L591" i="7"/>
  <c r="H585" i="7"/>
  <c r="M585" i="7"/>
  <c r="K585" i="7"/>
  <c r="L585" i="7"/>
  <c r="H579" i="7"/>
  <c r="M579" i="7"/>
  <c r="K579" i="7"/>
  <c r="L579" i="7"/>
  <c r="H573" i="7"/>
  <c r="M573" i="7"/>
  <c r="K573" i="7"/>
  <c r="L573" i="7"/>
  <c r="H567" i="7"/>
  <c r="M567" i="7"/>
  <c r="K567" i="7"/>
  <c r="L567" i="7"/>
  <c r="H561" i="7"/>
  <c r="M561" i="7"/>
  <c r="K561" i="7"/>
  <c r="L561" i="7"/>
  <c r="H555" i="7"/>
  <c r="M555" i="7"/>
  <c r="K555" i="7"/>
  <c r="L555" i="7"/>
  <c r="H549" i="7"/>
  <c r="M549" i="7"/>
  <c r="K549" i="7"/>
  <c r="L549" i="7"/>
  <c r="H543" i="7"/>
  <c r="M543" i="7"/>
  <c r="K543" i="7"/>
  <c r="L543" i="7"/>
  <c r="H537" i="7"/>
  <c r="M537" i="7"/>
  <c r="K537" i="7"/>
  <c r="L537" i="7"/>
  <c r="H531" i="7"/>
  <c r="M531" i="7"/>
  <c r="K531" i="7"/>
  <c r="L531" i="7"/>
  <c r="H525" i="7"/>
  <c r="M525" i="7"/>
  <c r="K525" i="7"/>
  <c r="L525" i="7"/>
  <c r="H519" i="7"/>
  <c r="M519" i="7"/>
  <c r="K519" i="7"/>
  <c r="L519" i="7"/>
  <c r="H513" i="7"/>
  <c r="M513" i="7"/>
  <c r="K513" i="7"/>
  <c r="L513" i="7"/>
  <c r="H507" i="7"/>
  <c r="M507" i="7"/>
  <c r="K507" i="7"/>
  <c r="L507" i="7"/>
  <c r="H501" i="7"/>
  <c r="M501" i="7"/>
  <c r="K501" i="7"/>
  <c r="L501" i="7"/>
  <c r="H495" i="7"/>
  <c r="M495" i="7"/>
  <c r="K495" i="7"/>
  <c r="L495" i="7"/>
  <c r="H489" i="7"/>
  <c r="M489" i="7"/>
  <c r="K489" i="7"/>
  <c r="L489" i="7"/>
  <c r="H483" i="7"/>
  <c r="M483" i="7"/>
  <c r="K483" i="7"/>
  <c r="L483" i="7"/>
  <c r="H477" i="7"/>
  <c r="M477" i="7"/>
  <c r="K477" i="7"/>
  <c r="L477" i="7"/>
  <c r="H471" i="7"/>
  <c r="M471" i="7"/>
  <c r="K471" i="7"/>
  <c r="L471" i="7"/>
  <c r="H465" i="7"/>
  <c r="M465" i="7"/>
  <c r="K465" i="7"/>
  <c r="L465" i="7"/>
  <c r="H459" i="7"/>
  <c r="M459" i="7"/>
  <c r="K459" i="7"/>
  <c r="L459" i="7"/>
  <c r="H453" i="7"/>
  <c r="M453" i="7"/>
  <c r="K453" i="7"/>
  <c r="L453" i="7"/>
  <c r="H447" i="7"/>
  <c r="M447" i="7"/>
  <c r="K447" i="7"/>
  <c r="L447" i="7"/>
  <c r="H441" i="7"/>
  <c r="M441" i="7"/>
  <c r="K441" i="7"/>
  <c r="L441" i="7"/>
  <c r="H435" i="7"/>
  <c r="M435" i="7"/>
  <c r="K435" i="7"/>
  <c r="L435" i="7"/>
  <c r="H429" i="7"/>
  <c r="M429" i="7"/>
  <c r="K429" i="7"/>
  <c r="L429" i="7"/>
  <c r="H423" i="7"/>
  <c r="M423" i="7"/>
  <c r="K423" i="7"/>
  <c r="L423" i="7"/>
  <c r="H417" i="7"/>
  <c r="M417" i="7"/>
  <c r="K417" i="7"/>
  <c r="L417" i="7"/>
  <c r="H411" i="7"/>
  <c r="M411" i="7"/>
  <c r="K411" i="7"/>
  <c r="L411" i="7"/>
  <c r="H405" i="7"/>
  <c r="M405" i="7"/>
  <c r="K405" i="7"/>
  <c r="L405" i="7"/>
  <c r="H399" i="7"/>
  <c r="M399" i="7"/>
  <c r="K399" i="7"/>
  <c r="L399" i="7"/>
  <c r="H393" i="7"/>
  <c r="M393" i="7"/>
  <c r="K393" i="7"/>
  <c r="L393" i="7"/>
  <c r="H387" i="7"/>
  <c r="M387" i="7"/>
  <c r="K387" i="7"/>
  <c r="L387" i="7"/>
  <c r="H381" i="7"/>
  <c r="M381" i="7"/>
  <c r="K381" i="7"/>
  <c r="L381" i="7"/>
  <c r="H375" i="7"/>
  <c r="M375" i="7"/>
  <c r="K375" i="7"/>
  <c r="L375" i="7"/>
  <c r="H369" i="7"/>
  <c r="M369" i="7"/>
  <c r="K369" i="7"/>
  <c r="L369" i="7"/>
  <c r="H363" i="7"/>
  <c r="M363" i="7"/>
  <c r="K363" i="7"/>
  <c r="L363" i="7"/>
  <c r="H357" i="7"/>
  <c r="M357" i="7"/>
  <c r="K357" i="7"/>
  <c r="L357" i="7"/>
  <c r="H351" i="7"/>
  <c r="M351" i="7"/>
  <c r="K351" i="7"/>
  <c r="L351" i="7"/>
  <c r="H345" i="7"/>
  <c r="M345" i="7"/>
  <c r="K345" i="7"/>
  <c r="L345" i="7"/>
  <c r="H339" i="7"/>
  <c r="M339" i="7"/>
  <c r="K339" i="7"/>
  <c r="L339" i="7"/>
  <c r="H333" i="7"/>
  <c r="M333" i="7"/>
  <c r="K333" i="7"/>
  <c r="L333" i="7"/>
  <c r="H327" i="7"/>
  <c r="M327" i="7"/>
  <c r="K327" i="7"/>
  <c r="L327" i="7"/>
  <c r="H321" i="7"/>
  <c r="M321" i="7"/>
  <c r="K321" i="7"/>
  <c r="L321" i="7"/>
  <c r="H315" i="7"/>
  <c r="M315" i="7"/>
  <c r="K315" i="7"/>
  <c r="L315" i="7"/>
  <c r="H309" i="7"/>
  <c r="M309" i="7"/>
  <c r="K309" i="7"/>
  <c r="L309" i="7"/>
  <c r="H303" i="7"/>
  <c r="M303" i="7"/>
  <c r="K303" i="7"/>
  <c r="L303" i="7"/>
  <c r="H297" i="7"/>
  <c r="M297" i="7"/>
  <c r="K297" i="7"/>
  <c r="L297" i="7"/>
  <c r="H291" i="7"/>
  <c r="M291" i="7"/>
  <c r="K291" i="7"/>
  <c r="L291" i="7"/>
  <c r="H285" i="7"/>
  <c r="M285" i="7"/>
  <c r="K285" i="7"/>
  <c r="L285" i="7"/>
  <c r="H279" i="7"/>
  <c r="M279" i="7"/>
  <c r="K279" i="7"/>
  <c r="L279" i="7"/>
  <c r="H273" i="7"/>
  <c r="M273" i="7"/>
  <c r="K273" i="7"/>
  <c r="L273" i="7"/>
  <c r="H267" i="7"/>
  <c r="M267" i="7"/>
  <c r="K267" i="7"/>
  <c r="L267" i="7"/>
  <c r="H261" i="7"/>
  <c r="M261" i="7"/>
  <c r="K261" i="7"/>
  <c r="L261" i="7"/>
  <c r="H255" i="7"/>
  <c r="M255" i="7"/>
  <c r="K255" i="7"/>
  <c r="L255" i="7"/>
  <c r="H249" i="7"/>
  <c r="M249" i="7"/>
  <c r="K249" i="7"/>
  <c r="L249" i="7"/>
  <c r="H243" i="7"/>
  <c r="M243" i="7"/>
  <c r="K243" i="7"/>
  <c r="L243" i="7"/>
  <c r="H237" i="7"/>
  <c r="M237" i="7"/>
  <c r="K237" i="7"/>
  <c r="L237" i="7"/>
  <c r="H231" i="7"/>
  <c r="M231" i="7"/>
  <c r="K231" i="7"/>
  <c r="L231" i="7"/>
  <c r="H225" i="7"/>
  <c r="M225" i="7"/>
  <c r="K225" i="7"/>
  <c r="L225" i="7"/>
  <c r="H219" i="7"/>
  <c r="M219" i="7"/>
  <c r="K219" i="7"/>
  <c r="L219" i="7"/>
  <c r="H213" i="7"/>
  <c r="M213" i="7"/>
  <c r="K213" i="7"/>
  <c r="L213" i="7"/>
  <c r="H207" i="7"/>
  <c r="M207" i="7"/>
  <c r="K207" i="7"/>
  <c r="L207" i="7"/>
  <c r="H201" i="7"/>
  <c r="M201" i="7"/>
  <c r="K201" i="7"/>
  <c r="L201" i="7"/>
  <c r="H195" i="7"/>
  <c r="M195" i="7"/>
  <c r="K195" i="7"/>
  <c r="L195" i="7"/>
  <c r="H189" i="7"/>
  <c r="M189" i="7"/>
  <c r="K189" i="7"/>
  <c r="L189" i="7"/>
  <c r="H183" i="7"/>
  <c r="M183" i="7"/>
  <c r="K183" i="7"/>
  <c r="L183" i="7"/>
  <c r="H177" i="7"/>
  <c r="M177" i="7"/>
  <c r="K177" i="7"/>
  <c r="L177" i="7"/>
  <c r="H171" i="7"/>
  <c r="M171" i="7"/>
  <c r="K171" i="7"/>
  <c r="L171" i="7"/>
  <c r="H165" i="7"/>
  <c r="M165" i="7"/>
  <c r="K165" i="7"/>
  <c r="L165" i="7"/>
  <c r="H159" i="7"/>
  <c r="M159" i="7"/>
  <c r="K159" i="7"/>
  <c r="L159" i="7"/>
  <c r="H153" i="7"/>
  <c r="M153" i="7"/>
  <c r="K153" i="7"/>
  <c r="L153" i="7"/>
  <c r="H147" i="7"/>
  <c r="M147" i="7"/>
  <c r="K147" i="7"/>
  <c r="L147" i="7"/>
  <c r="H141" i="7"/>
  <c r="M141" i="7"/>
  <c r="K141" i="7"/>
  <c r="L141" i="7"/>
  <c r="H135" i="7"/>
  <c r="M135" i="7"/>
  <c r="K135" i="7"/>
  <c r="L135" i="7"/>
  <c r="H129" i="7"/>
  <c r="M129" i="7"/>
  <c r="K129" i="7"/>
  <c r="L129" i="7"/>
  <c r="H123" i="7"/>
  <c r="M123" i="7"/>
  <c r="K123" i="7"/>
  <c r="L123" i="7"/>
  <c r="H117" i="7"/>
  <c r="M117" i="7"/>
  <c r="K117" i="7"/>
  <c r="L117" i="7"/>
  <c r="H111" i="7"/>
  <c r="M111" i="7"/>
  <c r="K111" i="7"/>
  <c r="L111" i="7"/>
  <c r="H105" i="7"/>
  <c r="M105" i="7"/>
  <c r="K105" i="7"/>
  <c r="L105" i="7"/>
  <c r="H99" i="7"/>
  <c r="M99" i="7"/>
  <c r="K99" i="7"/>
  <c r="L99" i="7"/>
  <c r="H93" i="7"/>
  <c r="M93" i="7"/>
  <c r="K93" i="7"/>
  <c r="L93" i="7"/>
  <c r="H87" i="7"/>
  <c r="M87" i="7"/>
  <c r="K87" i="7"/>
  <c r="L87" i="7"/>
  <c r="H81" i="7"/>
  <c r="M81" i="7"/>
  <c r="K81" i="7"/>
  <c r="L81" i="7"/>
  <c r="H75" i="7"/>
  <c r="M75" i="7"/>
  <c r="K75" i="7"/>
  <c r="L75" i="7"/>
  <c r="H69" i="7"/>
  <c r="M69" i="7"/>
  <c r="K69" i="7"/>
  <c r="L69" i="7"/>
  <c r="H63" i="7"/>
  <c r="M63" i="7"/>
  <c r="K63" i="7"/>
  <c r="L63" i="7"/>
  <c r="H57" i="7"/>
  <c r="M57" i="7"/>
  <c r="K57" i="7"/>
  <c r="L57" i="7"/>
  <c r="H51" i="7"/>
  <c r="M51" i="7"/>
  <c r="K51" i="7"/>
  <c r="L51" i="7"/>
  <c r="H45" i="7"/>
  <c r="M45" i="7"/>
  <c r="K45" i="7"/>
  <c r="L45" i="7"/>
  <c r="H39" i="7"/>
  <c r="M39" i="7"/>
  <c r="K39" i="7"/>
  <c r="L39" i="7"/>
  <c r="H33" i="7"/>
  <c r="M33" i="7"/>
  <c r="K33" i="7"/>
  <c r="L33" i="7"/>
  <c r="H27" i="7"/>
  <c r="M27" i="7"/>
  <c r="K27" i="7"/>
  <c r="L27" i="7"/>
  <c r="H21" i="7"/>
  <c r="M21" i="7"/>
  <c r="K21" i="7"/>
  <c r="L21" i="7"/>
  <c r="H15" i="7"/>
  <c r="M15" i="7"/>
  <c r="K15" i="7"/>
  <c r="L15" i="7"/>
  <c r="H9" i="7"/>
  <c r="M9" i="7"/>
  <c r="K9" i="7"/>
  <c r="L9" i="7"/>
  <c r="H3" i="7"/>
  <c r="M3" i="7"/>
  <c r="K3" i="7"/>
  <c r="L3" i="7"/>
  <c r="AQ73" i="6" l="1"/>
  <c r="G73" i="6" s="1"/>
  <c r="AQ85" i="6"/>
  <c r="G85" i="6" s="1"/>
  <c r="AQ91" i="6"/>
  <c r="G91" i="6" s="1"/>
  <c r="AQ22" i="6"/>
  <c r="I22" i="6" s="1"/>
  <c r="AQ64" i="6"/>
  <c r="I64" i="6" s="1"/>
  <c r="AQ31" i="6"/>
  <c r="I31" i="6" s="1"/>
  <c r="AQ76" i="6"/>
  <c r="Q76" i="6" s="1"/>
  <c r="AQ80" i="6"/>
  <c r="K80" i="6" s="1"/>
  <c r="AQ44" i="6"/>
  <c r="M44" i="6" s="1"/>
  <c r="AQ8" i="6"/>
  <c r="G8" i="6" s="1"/>
  <c r="AQ67" i="6"/>
  <c r="I67" i="6" s="1"/>
  <c r="AQ107" i="6"/>
  <c r="I107" i="6" s="1"/>
  <c r="AQ71" i="6"/>
  <c r="I71" i="6" s="1"/>
  <c r="AQ82" i="6"/>
  <c r="M82" i="6" s="1"/>
  <c r="AQ37" i="6"/>
  <c r="G37" i="6" s="1"/>
  <c r="AQ19" i="6"/>
  <c r="M19" i="6" s="1"/>
  <c r="AQ109" i="6"/>
  <c r="I109" i="6" s="1"/>
  <c r="AQ43" i="6"/>
  <c r="O43" i="6" s="1"/>
  <c r="AQ13" i="6"/>
  <c r="G13" i="6" s="1"/>
  <c r="AQ112" i="6"/>
  <c r="G112" i="6" s="1"/>
  <c r="AQ12" i="6"/>
  <c r="M12" i="6" s="1"/>
  <c r="AQ78" i="6"/>
  <c r="Q78" i="6" s="1"/>
  <c r="AQ30" i="6"/>
  <c r="Q30" i="6" s="1"/>
  <c r="AQ42" i="6"/>
  <c r="I42" i="6" s="1"/>
  <c r="AQ115" i="6"/>
  <c r="G115" i="6" s="1"/>
  <c r="AQ7" i="6"/>
  <c r="G7" i="6" s="1"/>
  <c r="AQ18" i="6"/>
  <c r="O18" i="6" s="1"/>
  <c r="AQ84" i="6"/>
  <c r="K84" i="6" s="1"/>
  <c r="AQ98" i="6"/>
  <c r="K98" i="6" s="1"/>
  <c r="AQ62" i="6"/>
  <c r="O62" i="6" s="1"/>
  <c r="AQ26" i="6"/>
  <c r="I26" i="6" s="1"/>
  <c r="AQ5" i="6"/>
  <c r="Q5" i="6" s="1"/>
  <c r="AQ89" i="6"/>
  <c r="Q89" i="6" s="1"/>
  <c r="AQ53" i="6"/>
  <c r="K53" i="6" s="1"/>
  <c r="AQ17" i="6"/>
  <c r="M17" i="6" s="1"/>
  <c r="AQ48" i="6"/>
  <c r="O48" i="6" s="1"/>
  <c r="AQ60" i="6"/>
  <c r="O60" i="6" s="1"/>
  <c r="AQ6" i="6"/>
  <c r="M6" i="6" s="1"/>
  <c r="AQ79" i="6"/>
  <c r="M79" i="6" s="1"/>
  <c r="AQ90" i="6"/>
  <c r="Q90" i="6" s="1"/>
  <c r="AQ49" i="6"/>
  <c r="O49" i="6" s="1"/>
  <c r="AQ46" i="6"/>
  <c r="K46" i="6" s="1"/>
  <c r="AQ10" i="6"/>
  <c r="O10" i="6" s="1"/>
  <c r="AQ111" i="6"/>
  <c r="G111" i="6" s="1"/>
  <c r="AQ75" i="6"/>
  <c r="I75" i="6" s="1"/>
  <c r="AQ110" i="6"/>
  <c r="K110" i="6" s="1"/>
  <c r="AQ74" i="6"/>
  <c r="I74" i="6" s="1"/>
  <c r="AQ38" i="6"/>
  <c r="Q38" i="6" s="1"/>
  <c r="AQ21" i="6"/>
  <c r="Q21" i="6" s="1"/>
  <c r="AQ61" i="6"/>
  <c r="K61" i="6" s="1"/>
  <c r="AQ25" i="6"/>
  <c r="K25" i="6" s="1"/>
  <c r="AQ101" i="6"/>
  <c r="K101" i="6" s="1"/>
  <c r="AQ65" i="6"/>
  <c r="I65" i="6" s="1"/>
  <c r="AQ29" i="6"/>
  <c r="I29" i="6" s="1"/>
  <c r="AQ108" i="6"/>
  <c r="Q108" i="6" s="1"/>
  <c r="AQ72" i="6"/>
  <c r="Q72" i="6" s="1"/>
  <c r="AQ4" i="6"/>
  <c r="G4" i="6" s="1"/>
  <c r="AQ105" i="6"/>
  <c r="O105" i="6" s="1"/>
  <c r="AQ69" i="6"/>
  <c r="Q69" i="6" s="1"/>
  <c r="AQ33" i="6"/>
  <c r="Q33" i="6" s="1"/>
  <c r="AQ96" i="6"/>
  <c r="Q96" i="6" s="1"/>
  <c r="AQ55" i="6"/>
  <c r="O55" i="6" s="1"/>
  <c r="AQ24" i="6"/>
  <c r="G24" i="6" s="1"/>
  <c r="AQ36" i="6"/>
  <c r="M36" i="6" s="1"/>
  <c r="AQ103" i="6"/>
  <c r="Q103" i="6" s="1"/>
  <c r="AQ102" i="6"/>
  <c r="I102" i="6" s="1"/>
  <c r="AQ104" i="6"/>
  <c r="I104" i="6" s="1"/>
  <c r="AQ68" i="6"/>
  <c r="O68" i="6" s="1"/>
  <c r="AQ32" i="6"/>
  <c r="K32" i="6" s="1"/>
  <c r="AQ11" i="6"/>
  <c r="K11" i="6" s="1"/>
  <c r="AQ15" i="6"/>
  <c r="Q15" i="6" s="1"/>
  <c r="AQ95" i="6"/>
  <c r="Q95" i="6" s="1"/>
  <c r="AQ59" i="6"/>
  <c r="Q59" i="6" s="1"/>
  <c r="AQ23" i="6"/>
  <c r="G23" i="6" s="1"/>
  <c r="AQ106" i="6"/>
  <c r="Q106" i="6" s="1"/>
  <c r="AQ70" i="6"/>
  <c r="Q70" i="6" s="1"/>
  <c r="AQ34" i="6"/>
  <c r="K34" i="6" s="1"/>
  <c r="K19" i="6"/>
  <c r="AQ99" i="6"/>
  <c r="Q99" i="6" s="1"/>
  <c r="AQ63" i="6"/>
  <c r="K63" i="6" s="1"/>
  <c r="AQ27" i="6"/>
  <c r="G27" i="6" s="1"/>
  <c r="AQ28" i="6"/>
  <c r="I28" i="6" s="1"/>
  <c r="AQ93" i="6"/>
  <c r="Q93" i="6" s="1"/>
  <c r="AQ57" i="6"/>
  <c r="M57" i="6" s="1"/>
  <c r="AQ97" i="6"/>
  <c r="I97" i="6" s="1"/>
  <c r="AQ100" i="6"/>
  <c r="G100" i="6" s="1"/>
  <c r="AQ66" i="6"/>
  <c r="K66" i="6" s="1"/>
  <c r="AQ54" i="6"/>
  <c r="G54" i="6" s="1"/>
  <c r="AQ52" i="6"/>
  <c r="M52" i="6" s="1"/>
  <c r="AQ92" i="6"/>
  <c r="O92" i="6" s="1"/>
  <c r="AQ56" i="6"/>
  <c r="M56" i="6" s="1"/>
  <c r="AQ20" i="6"/>
  <c r="Q20" i="6" s="1"/>
  <c r="AQ35" i="6"/>
  <c r="O35" i="6" s="1"/>
  <c r="AQ39" i="6"/>
  <c r="G39" i="6" s="1"/>
  <c r="AQ83" i="6"/>
  <c r="M83" i="6" s="1"/>
  <c r="AQ47" i="6"/>
  <c r="O47" i="6" s="1"/>
  <c r="AQ94" i="6"/>
  <c r="Q94" i="6" s="1"/>
  <c r="AQ58" i="6"/>
  <c r="O58" i="6" s="1"/>
  <c r="AQ87" i="6"/>
  <c r="M87" i="6" s="1"/>
  <c r="AQ51" i="6"/>
  <c r="M51" i="6" s="1"/>
  <c r="AQ40" i="6"/>
  <c r="K40" i="6" s="1"/>
  <c r="AQ114" i="6"/>
  <c r="I114" i="6" s="1"/>
  <c r="AQ86" i="6"/>
  <c r="K86" i="6" s="1"/>
  <c r="AQ50" i="6"/>
  <c r="Q50" i="6" s="1"/>
  <c r="AQ14" i="6"/>
  <c r="G14" i="6" s="1"/>
  <c r="AQ113" i="6"/>
  <c r="G113" i="6" s="1"/>
  <c r="AQ77" i="6"/>
  <c r="I77" i="6" s="1"/>
  <c r="AQ41" i="6"/>
  <c r="O41" i="6" s="1"/>
  <c r="AQ88" i="6"/>
  <c r="O88" i="6" s="1"/>
  <c r="AQ16" i="6"/>
  <c r="G16" i="6" s="1"/>
  <c r="AQ81" i="6"/>
  <c r="K81" i="6" s="1"/>
  <c r="AQ45" i="6"/>
  <c r="G45" i="6" s="1"/>
  <c r="AQ9" i="6"/>
  <c r="G9" i="6" s="1"/>
  <c r="AQ3" i="6"/>
  <c r="Q3" i="6" s="1"/>
  <c r="AH10" i="1"/>
  <c r="AG10" i="1"/>
  <c r="AF10" i="1"/>
  <c r="AJ10" i="1"/>
  <c r="AI10" i="1"/>
  <c r="AG9" i="1"/>
  <c r="AJ9" i="1"/>
  <c r="AF9" i="1"/>
  <c r="AI9" i="1"/>
  <c r="AH9" i="1"/>
  <c r="AJ11" i="1"/>
  <c r="AF11" i="1"/>
  <c r="AI11" i="1"/>
  <c r="AH11" i="1"/>
  <c r="AG11" i="1"/>
  <c r="AG6" i="1"/>
  <c r="AI6" i="1"/>
  <c r="AF6" i="1"/>
  <c r="AH6" i="1"/>
  <c r="AJ6" i="1"/>
  <c r="AN8" i="1"/>
  <c r="AN14" i="1"/>
  <c r="AN20" i="1"/>
  <c r="AN7" i="1"/>
  <c r="AN13" i="1"/>
  <c r="AN19" i="1"/>
  <c r="AN9" i="1"/>
  <c r="AN15" i="1"/>
  <c r="AN21" i="1"/>
  <c r="AN11" i="1"/>
  <c r="AN17" i="1"/>
  <c r="AN23" i="1"/>
  <c r="AN10" i="1"/>
  <c r="AN16" i="1"/>
  <c r="AN22" i="1"/>
  <c r="AN6" i="1"/>
  <c r="AN12" i="1"/>
  <c r="AN18" i="1"/>
  <c r="AC10" i="1"/>
  <c r="AC23" i="1"/>
  <c r="AC21" i="1"/>
  <c r="AC19" i="1"/>
  <c r="AC15" i="1"/>
  <c r="Z29" i="1"/>
  <c r="AC12" i="1"/>
  <c r="AC11" i="1"/>
  <c r="AA29" i="1"/>
  <c r="AB29" i="1"/>
  <c r="AC27" i="1"/>
  <c r="AC13" i="1"/>
  <c r="AC20" i="1"/>
  <c r="AC8" i="1"/>
  <c r="AC22" i="1"/>
  <c r="AC24" i="1"/>
  <c r="AC6" i="1"/>
  <c r="X29" i="1"/>
  <c r="AC17" i="1"/>
  <c r="AC18" i="1"/>
  <c r="AC26" i="1"/>
  <c r="AC25" i="1"/>
  <c r="AC16" i="1"/>
  <c r="AC7" i="1"/>
  <c r="AC28" i="1"/>
  <c r="Y29" i="1"/>
  <c r="AC9" i="1"/>
  <c r="AC14" i="1"/>
  <c r="U7" i="1"/>
  <c r="U8" i="1"/>
  <c r="U6" i="1"/>
  <c r="P12" i="1"/>
  <c r="U9" i="1"/>
  <c r="Q12" i="1"/>
  <c r="U10" i="1"/>
  <c r="R12" i="1"/>
  <c r="S12" i="1"/>
  <c r="U11" i="1"/>
  <c r="T12" i="1"/>
  <c r="G48" i="6" l="1"/>
  <c r="K73" i="6"/>
  <c r="M73" i="6"/>
  <c r="Q73" i="6"/>
  <c r="O73" i="6"/>
  <c r="I73" i="6"/>
  <c r="K8" i="6"/>
  <c r="M43" i="6"/>
  <c r="O26" i="6"/>
  <c r="I46" i="6"/>
  <c r="I91" i="6"/>
  <c r="Q91" i="6"/>
  <c r="I48" i="6"/>
  <c r="M65" i="6"/>
  <c r="M74" i="6"/>
  <c r="M91" i="6"/>
  <c r="K91" i="6"/>
  <c r="K111" i="6"/>
  <c r="G67" i="6"/>
  <c r="M46" i="6"/>
  <c r="Q26" i="6"/>
  <c r="I19" i="6"/>
  <c r="M101" i="6"/>
  <c r="K13" i="6"/>
  <c r="K24" i="6"/>
  <c r="G15" i="6"/>
  <c r="K78" i="6"/>
  <c r="M38" i="6"/>
  <c r="K26" i="6"/>
  <c r="K60" i="6"/>
  <c r="M26" i="6"/>
  <c r="O89" i="6"/>
  <c r="M111" i="6"/>
  <c r="G108" i="6"/>
  <c r="Q111" i="6"/>
  <c r="I84" i="6"/>
  <c r="K33" i="6"/>
  <c r="Q84" i="6"/>
  <c r="I82" i="6"/>
  <c r="O6" i="6"/>
  <c r="K82" i="6"/>
  <c r="Q82" i="6"/>
  <c r="M84" i="6"/>
  <c r="O82" i="6"/>
  <c r="M90" i="6"/>
  <c r="G64" i="6"/>
  <c r="G109" i="6"/>
  <c r="K75" i="6"/>
  <c r="O67" i="6"/>
  <c r="I17" i="6"/>
  <c r="Q49" i="6"/>
  <c r="I83" i="6"/>
  <c r="I90" i="6"/>
  <c r="K67" i="6"/>
  <c r="Q109" i="6"/>
  <c r="M109" i="6"/>
  <c r="K7" i="6"/>
  <c r="K49" i="6"/>
  <c r="O7" i="6"/>
  <c r="M67" i="6"/>
  <c r="K6" i="6"/>
  <c r="M39" i="6"/>
  <c r="I98" i="6"/>
  <c r="K17" i="6"/>
  <c r="Q67" i="6"/>
  <c r="M96" i="6"/>
  <c r="I89" i="6"/>
  <c r="Q31" i="6"/>
  <c r="I10" i="6"/>
  <c r="Q112" i="6"/>
  <c r="O112" i="6"/>
  <c r="M4" i="6"/>
  <c r="M89" i="6"/>
  <c r="M112" i="6"/>
  <c r="O31" i="6"/>
  <c r="M10" i="6"/>
  <c r="O4" i="6"/>
  <c r="K31" i="6"/>
  <c r="M31" i="6"/>
  <c r="M105" i="6"/>
  <c r="K44" i="6"/>
  <c r="I44" i="6"/>
  <c r="I47" i="6"/>
  <c r="M75" i="6"/>
  <c r="O102" i="6"/>
  <c r="G28" i="6"/>
  <c r="Q110" i="6"/>
  <c r="G25" i="6"/>
  <c r="I25" i="6"/>
  <c r="I85" i="6"/>
  <c r="K76" i="6"/>
  <c r="O85" i="6"/>
  <c r="O91" i="6"/>
  <c r="K105" i="6"/>
  <c r="O96" i="6"/>
  <c r="Q98" i="6"/>
  <c r="G34" i="6"/>
  <c r="K96" i="6"/>
  <c r="M85" i="6"/>
  <c r="G17" i="6"/>
  <c r="Q43" i="6"/>
  <c r="I5" i="6"/>
  <c r="K43" i="6"/>
  <c r="I43" i="6"/>
  <c r="O115" i="6"/>
  <c r="G105" i="6"/>
  <c r="M98" i="6"/>
  <c r="Q44" i="6"/>
  <c r="I76" i="6"/>
  <c r="K37" i="6"/>
  <c r="M110" i="6"/>
  <c r="K115" i="6"/>
  <c r="I79" i="6"/>
  <c r="I37" i="6"/>
  <c r="I115" i="6"/>
  <c r="G93" i="6"/>
  <c r="K85" i="6"/>
  <c r="I95" i="6"/>
  <c r="Q85" i="6"/>
  <c r="O17" i="6"/>
  <c r="O44" i="6"/>
  <c r="G77" i="6"/>
  <c r="I7" i="6"/>
  <c r="Q63" i="6"/>
  <c r="M64" i="6"/>
  <c r="K30" i="6"/>
  <c r="O107" i="6"/>
  <c r="O76" i="6"/>
  <c r="I13" i="6"/>
  <c r="Q64" i="6"/>
  <c r="G52" i="6"/>
  <c r="M71" i="6"/>
  <c r="M76" i="6"/>
  <c r="G22" i="6"/>
  <c r="G11" i="6"/>
  <c r="M107" i="6"/>
  <c r="O79" i="6"/>
  <c r="G76" i="6"/>
  <c r="G75" i="6"/>
  <c r="K71" i="6"/>
  <c r="K22" i="6"/>
  <c r="G5" i="6"/>
  <c r="K79" i="6"/>
  <c r="M55" i="6"/>
  <c r="Q4" i="6"/>
  <c r="O5" i="6"/>
  <c r="O109" i="6"/>
  <c r="K107" i="6"/>
  <c r="Q107" i="6"/>
  <c r="K109" i="6"/>
  <c r="I11" i="6"/>
  <c r="I30" i="6"/>
  <c r="K65" i="6"/>
  <c r="G90" i="6"/>
  <c r="O71" i="6"/>
  <c r="O30" i="6"/>
  <c r="G47" i="6"/>
  <c r="G66" i="6"/>
  <c r="G36" i="6"/>
  <c r="G101" i="6"/>
  <c r="Q71" i="6"/>
  <c r="G46" i="6"/>
  <c r="Q17" i="6"/>
  <c r="G43" i="6"/>
  <c r="O66" i="6"/>
  <c r="I23" i="6"/>
  <c r="G95" i="6"/>
  <c r="I101" i="6"/>
  <c r="I60" i="6"/>
  <c r="K64" i="6"/>
  <c r="I63" i="6"/>
  <c r="G97" i="6"/>
  <c r="G106" i="6"/>
  <c r="K15" i="6"/>
  <c r="G104" i="6"/>
  <c r="Q13" i="6"/>
  <c r="G65" i="6"/>
  <c r="I61" i="6"/>
  <c r="G62" i="6"/>
  <c r="G78" i="6"/>
  <c r="I112" i="6"/>
  <c r="M35" i="6"/>
  <c r="I62" i="6"/>
  <c r="O27" i="6"/>
  <c r="M15" i="6"/>
  <c r="O78" i="6"/>
  <c r="Q65" i="6"/>
  <c r="M78" i="6"/>
  <c r="O64" i="6"/>
  <c r="M69" i="6"/>
  <c r="Q62" i="6"/>
  <c r="Q74" i="6"/>
  <c r="M13" i="6"/>
  <c r="O74" i="6"/>
  <c r="Q37" i="6"/>
  <c r="I8" i="6"/>
  <c r="K48" i="6"/>
  <c r="Q27" i="6"/>
  <c r="K62" i="6"/>
  <c r="O13" i="6"/>
  <c r="M37" i="6"/>
  <c r="G26" i="6"/>
  <c r="Q22" i="6"/>
  <c r="I41" i="6"/>
  <c r="K69" i="6"/>
  <c r="I54" i="6"/>
  <c r="M8" i="6"/>
  <c r="M22" i="6"/>
  <c r="M24" i="6"/>
  <c r="G38" i="6"/>
  <c r="M62" i="6"/>
  <c r="O37" i="6"/>
  <c r="Q8" i="6"/>
  <c r="G81" i="6"/>
  <c r="K97" i="6"/>
  <c r="G110" i="6"/>
  <c r="G49" i="6"/>
  <c r="G89" i="6"/>
  <c r="M77" i="6"/>
  <c r="M102" i="6"/>
  <c r="I6" i="6"/>
  <c r="K23" i="6"/>
  <c r="I92" i="6"/>
  <c r="M94" i="6"/>
  <c r="O16" i="6"/>
  <c r="M99" i="6"/>
  <c r="K90" i="6"/>
  <c r="Q35" i="6"/>
  <c r="Q9" i="6"/>
  <c r="O95" i="6"/>
  <c r="M106" i="6"/>
  <c r="M23" i="6"/>
  <c r="I57" i="6"/>
  <c r="O52" i="6"/>
  <c r="G41" i="6"/>
  <c r="M81" i="6"/>
  <c r="G63" i="6"/>
  <c r="I34" i="6"/>
  <c r="I15" i="6"/>
  <c r="K92" i="6"/>
  <c r="I111" i="6"/>
  <c r="G71" i="6"/>
  <c r="M104" i="6"/>
  <c r="Q51" i="6"/>
  <c r="Q61" i="6"/>
  <c r="K95" i="6"/>
  <c r="G96" i="6"/>
  <c r="G79" i="6"/>
  <c r="I93" i="6"/>
  <c r="O57" i="6"/>
  <c r="G84" i="6"/>
  <c r="M66" i="6"/>
  <c r="I16" i="6"/>
  <c r="I72" i="6"/>
  <c r="G74" i="6"/>
  <c r="I35" i="6"/>
  <c r="K89" i="6"/>
  <c r="G60" i="6"/>
  <c r="M5" i="6"/>
  <c r="Q10" i="6"/>
  <c r="M115" i="6"/>
  <c r="I9" i="6"/>
  <c r="G82" i="6"/>
  <c r="O90" i="6"/>
  <c r="O104" i="6"/>
  <c r="K52" i="6"/>
  <c r="G83" i="6"/>
  <c r="K39" i="6"/>
  <c r="M54" i="6"/>
  <c r="G57" i="6"/>
  <c r="G70" i="6"/>
  <c r="Q52" i="6"/>
  <c r="O24" i="6"/>
  <c r="Q56" i="6"/>
  <c r="Q41" i="6"/>
  <c r="G98" i="6"/>
  <c r="Q115" i="6"/>
  <c r="O84" i="6"/>
  <c r="M97" i="6"/>
  <c r="M33" i="6"/>
  <c r="G88" i="6"/>
  <c r="K114" i="6"/>
  <c r="I18" i="6"/>
  <c r="G92" i="6"/>
  <c r="K58" i="6"/>
  <c r="K59" i="6"/>
  <c r="G21" i="6"/>
  <c r="I53" i="6"/>
  <c r="M45" i="6"/>
  <c r="O11" i="6"/>
  <c r="M58" i="6"/>
  <c r="K51" i="6"/>
  <c r="G32" i="6"/>
  <c r="I100" i="6"/>
  <c r="M92" i="6"/>
  <c r="G103" i="6"/>
  <c r="K28" i="6"/>
  <c r="Q16" i="6"/>
  <c r="I56" i="6"/>
  <c r="G33" i="6"/>
  <c r="I108" i="6"/>
  <c r="M100" i="6"/>
  <c r="K21" i="6"/>
  <c r="K102" i="6"/>
  <c r="M63" i="6"/>
  <c r="K41" i="6"/>
  <c r="Q57" i="6"/>
  <c r="O36" i="6"/>
  <c r="Q75" i="6"/>
  <c r="Q54" i="6"/>
  <c r="O75" i="6"/>
  <c r="O113" i="6"/>
  <c r="I69" i="6"/>
  <c r="K56" i="6"/>
  <c r="I49" i="6"/>
  <c r="M41" i="6"/>
  <c r="K54" i="6"/>
  <c r="O72" i="6"/>
  <c r="K77" i="6"/>
  <c r="G18" i="6"/>
  <c r="O86" i="6"/>
  <c r="Q7" i="6"/>
  <c r="G114" i="6"/>
  <c r="G42" i="6"/>
  <c r="Q102" i="6"/>
  <c r="G12" i="6"/>
  <c r="M108" i="6"/>
  <c r="O21" i="6"/>
  <c r="O59" i="6"/>
  <c r="G19" i="6"/>
  <c r="O15" i="6"/>
  <c r="Q81" i="6"/>
  <c r="M70" i="6"/>
  <c r="G107" i="6"/>
  <c r="K99" i="6"/>
  <c r="G44" i="6"/>
  <c r="M68" i="6"/>
  <c r="O54" i="6"/>
  <c r="I27" i="6"/>
  <c r="O28" i="6"/>
  <c r="G61" i="6"/>
  <c r="Q25" i="6"/>
  <c r="Q23" i="6"/>
  <c r="K29" i="6"/>
  <c r="Q40" i="6"/>
  <c r="O40" i="6"/>
  <c r="I113" i="6"/>
  <c r="I12" i="6"/>
  <c r="M40" i="6"/>
  <c r="G50" i="6"/>
  <c r="O19" i="6"/>
  <c r="G87" i="6"/>
  <c r="G58" i="6"/>
  <c r="G20" i="6"/>
  <c r="I52" i="6"/>
  <c r="M80" i="6"/>
  <c r="K100" i="6"/>
  <c r="G99" i="6"/>
  <c r="K55" i="6"/>
  <c r="I66" i="6"/>
  <c r="I55" i="6"/>
  <c r="M11" i="6"/>
  <c r="G68" i="6"/>
  <c r="G102" i="6"/>
  <c r="I99" i="6"/>
  <c r="Q39" i="6"/>
  <c r="Q88" i="6"/>
  <c r="O53" i="6"/>
  <c r="G55" i="6"/>
  <c r="Q24" i="6"/>
  <c r="G69" i="6"/>
  <c r="M21" i="6"/>
  <c r="K68" i="6"/>
  <c r="G29" i="6"/>
  <c r="K57" i="6"/>
  <c r="I70" i="6"/>
  <c r="O23" i="6"/>
  <c r="Q92" i="6"/>
  <c r="O20" i="6"/>
  <c r="O110" i="6"/>
  <c r="G6" i="6"/>
  <c r="M114" i="6"/>
  <c r="M25" i="6"/>
  <c r="M48" i="6"/>
  <c r="Q29" i="6"/>
  <c r="I24" i="6"/>
  <c r="M16" i="6"/>
  <c r="G53" i="6"/>
  <c r="K9" i="6"/>
  <c r="M113" i="6"/>
  <c r="M14" i="6"/>
  <c r="I80" i="6"/>
  <c r="Q32" i="6"/>
  <c r="O34" i="6"/>
  <c r="I14" i="6"/>
  <c r="Q46" i="6"/>
  <c r="Q79" i="6"/>
  <c r="Q6" i="6"/>
  <c r="M30" i="6"/>
  <c r="O93" i="6"/>
  <c r="K16" i="6"/>
  <c r="K5" i="6"/>
  <c r="Q45" i="6"/>
  <c r="O98" i="6"/>
  <c r="I39" i="6"/>
  <c r="Q19" i="6"/>
  <c r="M7" i="6"/>
  <c r="O70" i="6"/>
  <c r="I78" i="6"/>
  <c r="G35" i="6"/>
  <c r="M59" i="6"/>
  <c r="G80" i="6"/>
  <c r="K36" i="6"/>
  <c r="G30" i="6"/>
  <c r="Q14" i="6"/>
  <c r="G72" i="6"/>
  <c r="Q28" i="6"/>
  <c r="M49" i="6"/>
  <c r="Q97" i="6"/>
  <c r="O38" i="6"/>
  <c r="G40" i="6"/>
  <c r="O108" i="6"/>
  <c r="O29" i="6"/>
  <c r="K14" i="6"/>
  <c r="O114" i="6"/>
  <c r="O12" i="6"/>
  <c r="I36" i="6"/>
  <c r="K104" i="6"/>
  <c r="K93" i="6"/>
  <c r="I106" i="6"/>
  <c r="O61" i="6"/>
  <c r="I86" i="6"/>
  <c r="Q34" i="6"/>
  <c r="Q11" i="6"/>
  <c r="K70" i="6"/>
  <c r="Q113" i="6"/>
  <c r="Q66" i="6"/>
  <c r="K45" i="6"/>
  <c r="I58" i="6"/>
  <c r="M50" i="6"/>
  <c r="Q68" i="6"/>
  <c r="K10" i="6"/>
  <c r="M103" i="6"/>
  <c r="K4" i="6"/>
  <c r="K113" i="6"/>
  <c r="I50" i="6"/>
  <c r="K35" i="6"/>
  <c r="Q55" i="6"/>
  <c r="I110" i="6"/>
  <c r="O87" i="6"/>
  <c r="K83" i="6"/>
  <c r="K38" i="6"/>
  <c r="I103" i="6"/>
  <c r="M95" i="6"/>
  <c r="I4" i="6"/>
  <c r="K72" i="6"/>
  <c r="Q86" i="6"/>
  <c r="O9" i="6"/>
  <c r="I68" i="6"/>
  <c r="O25" i="6"/>
  <c r="I51" i="6"/>
  <c r="Q60" i="6"/>
  <c r="Q36" i="6"/>
  <c r="K87" i="6"/>
  <c r="Q114" i="6"/>
  <c r="Q18" i="6"/>
  <c r="M29" i="6"/>
  <c r="K42" i="6"/>
  <c r="K50" i="6"/>
  <c r="G56" i="6"/>
  <c r="I88" i="6"/>
  <c r="O103" i="6"/>
  <c r="G59" i="6"/>
  <c r="M47" i="6"/>
  <c r="M20" i="6"/>
  <c r="O56" i="6"/>
  <c r="I21" i="6"/>
  <c r="O99" i="6"/>
  <c r="M93" i="6"/>
  <c r="M28" i="6"/>
  <c r="M53" i="6"/>
  <c r="K103" i="6"/>
  <c r="G10" i="6"/>
  <c r="O97" i="6"/>
  <c r="K106" i="6"/>
  <c r="Q101" i="6"/>
  <c r="O106" i="6"/>
  <c r="O39" i="6"/>
  <c r="K47" i="6"/>
  <c r="O100" i="6"/>
  <c r="K88" i="6"/>
  <c r="Q48" i="6"/>
  <c r="I96" i="6"/>
  <c r="M88" i="6"/>
  <c r="I94" i="6"/>
  <c r="M86" i="6"/>
  <c r="M72" i="6"/>
  <c r="Q104" i="6"/>
  <c r="O46" i="6"/>
  <c r="O81" i="6"/>
  <c r="O51" i="6"/>
  <c r="O94" i="6"/>
  <c r="I33" i="6"/>
  <c r="K112" i="6"/>
  <c r="Q80" i="6"/>
  <c r="Q58" i="6"/>
  <c r="O45" i="6"/>
  <c r="Q77" i="6"/>
  <c r="O111" i="6"/>
  <c r="K74" i="6"/>
  <c r="K27" i="6"/>
  <c r="I40" i="6"/>
  <c r="K108" i="6"/>
  <c r="M18" i="6"/>
  <c r="G31" i="6"/>
  <c r="O65" i="6"/>
  <c r="O22" i="6"/>
  <c r="M61" i="6"/>
  <c r="O14" i="6"/>
  <c r="G86" i="6"/>
  <c r="G51" i="6"/>
  <c r="G94" i="6"/>
  <c r="K12" i="6"/>
  <c r="O80" i="6"/>
  <c r="M9" i="6"/>
  <c r="I59" i="6"/>
  <c r="K94" i="6"/>
  <c r="O42" i="6"/>
  <c r="I32" i="6"/>
  <c r="O69" i="6"/>
  <c r="M27" i="6"/>
  <c r="I45" i="6"/>
  <c r="O32" i="6"/>
  <c r="I105" i="6"/>
  <c r="Q53" i="6"/>
  <c r="O77" i="6"/>
  <c r="O63" i="6"/>
  <c r="Q87" i="6"/>
  <c r="K20" i="6"/>
  <c r="K18" i="6"/>
  <c r="O33" i="6"/>
  <c r="I81" i="6"/>
  <c r="O50" i="6"/>
  <c r="O83" i="6"/>
  <c r="Q47" i="6"/>
  <c r="Q83" i="6"/>
  <c r="Q12" i="6"/>
  <c r="Q105" i="6"/>
  <c r="M42" i="6"/>
  <c r="Q42" i="6"/>
  <c r="I38" i="6"/>
  <c r="M34" i="6"/>
  <c r="M32" i="6"/>
  <c r="O8" i="6"/>
  <c r="M60" i="6"/>
  <c r="Q100" i="6"/>
  <c r="O101" i="6"/>
  <c r="I87" i="6"/>
  <c r="I20" i="6"/>
  <c r="I3" i="6"/>
  <c r="K3" i="6"/>
  <c r="G3" i="6"/>
  <c r="M3" i="6"/>
  <c r="O3" i="6"/>
  <c r="AK6" i="1"/>
  <c r="AK11" i="1"/>
  <c r="AK10" i="1"/>
  <c r="AK9" i="1"/>
  <c r="AN24" i="1"/>
  <c r="AC29" i="1"/>
  <c r="U12" i="1"/>
  <c r="M36" i="5" l="1"/>
  <c r="I8" i="5"/>
  <c r="G32" i="5"/>
  <c r="F56" i="5"/>
  <c r="J63" i="5"/>
  <c r="K5" i="5"/>
  <c r="I57" i="5"/>
  <c r="G41" i="5"/>
  <c r="K47" i="5"/>
  <c r="H26" i="5"/>
  <c r="F8" i="5"/>
  <c r="G20" i="5"/>
  <c r="K53" i="5"/>
  <c r="H32" i="5"/>
  <c r="F11" i="5"/>
  <c r="G53" i="5"/>
  <c r="J28" i="5"/>
  <c r="H63" i="5"/>
  <c r="F35" i="5"/>
  <c r="J27" i="5"/>
  <c r="M25" i="5"/>
  <c r="N46" i="5"/>
  <c r="H4" i="5"/>
  <c r="G9" i="5"/>
  <c r="L8" i="5"/>
  <c r="K26" i="5"/>
  <c r="H36" i="5"/>
  <c r="K10" i="5"/>
  <c r="M23" i="5"/>
  <c r="G4" i="5"/>
  <c r="G48" i="5"/>
  <c r="K43" i="5"/>
  <c r="M3" i="5"/>
  <c r="M24" i="5"/>
  <c r="G55" i="5"/>
  <c r="N52" i="5"/>
  <c r="H10" i="5"/>
  <c r="L15" i="5"/>
  <c r="J20" i="5"/>
  <c r="J19" i="5"/>
  <c r="N42" i="5"/>
  <c r="F7" i="5"/>
  <c r="N29" i="5"/>
  <c r="H62" i="5"/>
  <c r="J13" i="5"/>
  <c r="M46" i="5"/>
  <c r="L4" i="5"/>
  <c r="K9" i="5"/>
  <c r="M8" i="5"/>
  <c r="L69" i="5"/>
  <c r="J30" i="5"/>
  <c r="L18" i="5"/>
  <c r="J23" i="5"/>
  <c r="H53" i="5"/>
  <c r="G36" i="5"/>
  <c r="L43" i="5"/>
  <c r="L3" i="5"/>
  <c r="N55" i="5"/>
  <c r="H55" i="5"/>
  <c r="M28" i="5"/>
  <c r="M33" i="5"/>
  <c r="M50" i="5"/>
  <c r="G46" i="5"/>
  <c r="K66" i="5"/>
  <c r="K12" i="5"/>
  <c r="J53" i="5"/>
  <c r="J5" i="5"/>
  <c r="K44" i="5"/>
  <c r="L60" i="5"/>
  <c r="L13" i="5"/>
  <c r="G19" i="5"/>
  <c r="N34" i="5"/>
  <c r="J18" i="5"/>
  <c r="K25" i="5"/>
  <c r="N19" i="5"/>
  <c r="K45" i="5"/>
  <c r="N66" i="5"/>
  <c r="M5" i="5"/>
  <c r="I49" i="5"/>
  <c r="M60" i="5"/>
  <c r="L63" i="5"/>
  <c r="H64" i="5"/>
  <c r="F67" i="5"/>
  <c r="G6" i="5"/>
  <c r="J50" i="5"/>
  <c r="L41" i="5"/>
  <c r="I32" i="5"/>
  <c r="G45" i="5"/>
  <c r="H20" i="5"/>
  <c r="H59" i="5"/>
  <c r="K41" i="5"/>
  <c r="H68" i="5"/>
  <c r="F32" i="5"/>
  <c r="J15" i="5"/>
  <c r="H50" i="5"/>
  <c r="F26" i="5"/>
  <c r="F50" i="5"/>
  <c r="J16" i="5"/>
  <c r="H56" i="5"/>
  <c r="F29" i="5"/>
  <c r="M18" i="5"/>
  <c r="J64" i="5"/>
  <c r="G29" i="5"/>
  <c r="F53" i="5"/>
  <c r="H38" i="5"/>
  <c r="L42" i="5"/>
  <c r="H40" i="5"/>
  <c r="N69" i="5"/>
  <c r="L68" i="5"/>
  <c r="F51" i="5"/>
  <c r="N68" i="5"/>
  <c r="J24" i="5"/>
  <c r="I65" i="5"/>
  <c r="G17" i="5"/>
  <c r="H11" i="5"/>
  <c r="H51" i="5"/>
  <c r="K31" i="5"/>
  <c r="F64" i="5"/>
  <c r="F60" i="5"/>
  <c r="F19" i="5"/>
  <c r="H46" i="5"/>
  <c r="M4" i="5"/>
  <c r="L9" i="5"/>
  <c r="J8" i="5"/>
  <c r="K14" i="5"/>
  <c r="K36" i="5"/>
  <c r="L36" i="5"/>
  <c r="G23" i="5"/>
  <c r="I66" i="5"/>
  <c r="L24" i="5"/>
  <c r="L40" i="5"/>
  <c r="K63" i="5"/>
  <c r="M68" i="5"/>
  <c r="F39" i="5"/>
  <c r="N32" i="5"/>
  <c r="H24" i="5"/>
  <c r="M65" i="5"/>
  <c r="I11" i="5"/>
  <c r="I54" i="5"/>
  <c r="I63" i="5"/>
  <c r="L31" i="5"/>
  <c r="F46" i="5"/>
  <c r="F21" i="5"/>
  <c r="M64" i="5"/>
  <c r="L22" i="5"/>
  <c r="M27" i="5"/>
  <c r="M38" i="5"/>
  <c r="H57" i="5"/>
  <c r="N54" i="5"/>
  <c r="F61" i="5"/>
  <c r="N41" i="5"/>
  <c r="F36" i="5"/>
  <c r="L35" i="5"/>
  <c r="N20" i="5"/>
  <c r="M57" i="5"/>
  <c r="J57" i="5"/>
  <c r="L16" i="5"/>
  <c r="I59" i="5"/>
  <c r="K21" i="5"/>
  <c r="M43" i="5"/>
  <c r="N15" i="5"/>
  <c r="K42" i="5"/>
  <c r="G30" i="5"/>
  <c r="I25" i="5"/>
  <c r="L38" i="5"/>
  <c r="J22" i="5"/>
  <c r="I46" i="5"/>
  <c r="F42" i="5"/>
  <c r="L52" i="5"/>
  <c r="J14" i="5"/>
  <c r="L66" i="5"/>
  <c r="I56" i="5"/>
  <c r="G57" i="5"/>
  <c r="G35" i="5"/>
  <c r="F14" i="5"/>
  <c r="J4" i="5"/>
  <c r="G47" i="5"/>
  <c r="N26" i="5"/>
  <c r="J51" i="5"/>
  <c r="G14" i="5"/>
  <c r="F44" i="5"/>
  <c r="N44" i="5"/>
  <c r="J52" i="5"/>
  <c r="G16" i="5"/>
  <c r="F47" i="5"/>
  <c r="L29" i="5"/>
  <c r="I26" i="5"/>
  <c r="G44" i="5"/>
  <c r="H47" i="5"/>
  <c r="G65" i="5"/>
  <c r="H17" i="5"/>
  <c r="M34" i="5"/>
  <c r="N51" i="5"/>
  <c r="L56" i="5"/>
  <c r="F9" i="5"/>
  <c r="N31" i="5"/>
  <c r="H18" i="5"/>
  <c r="M59" i="5"/>
  <c r="J11" i="5"/>
  <c r="I6" i="5"/>
  <c r="J58" i="5"/>
  <c r="K19" i="5"/>
  <c r="F22" i="5"/>
  <c r="J61" i="5"/>
  <c r="I36" i="5"/>
  <c r="M40" i="5"/>
  <c r="M63" i="5"/>
  <c r="J68" i="5"/>
  <c r="F45" i="5"/>
  <c r="N50" i="5"/>
  <c r="N24" i="5"/>
  <c r="N65" i="5"/>
  <c r="J17" i="5"/>
  <c r="K20" i="5"/>
  <c r="G31" i="5"/>
  <c r="I34" i="5"/>
  <c r="L45" i="5"/>
  <c r="M56" i="5"/>
  <c r="G64" i="5"/>
  <c r="J66" i="5"/>
  <c r="J12" i="5"/>
  <c r="I53" i="5"/>
  <c r="N5" i="5"/>
  <c r="J25" i="5"/>
  <c r="J34" i="5"/>
  <c r="L19" i="5"/>
  <c r="F10" i="5"/>
  <c r="G67" i="5"/>
  <c r="L58" i="5"/>
  <c r="I16" i="5"/>
  <c r="M15" i="5"/>
  <c r="M26" i="5"/>
  <c r="J43" i="5"/>
  <c r="K48" i="5"/>
  <c r="F25" i="5"/>
  <c r="J35" i="5"/>
  <c r="G61" i="5"/>
  <c r="N61" i="5"/>
  <c r="L61" i="5"/>
  <c r="N39" i="5"/>
  <c r="K52" i="5"/>
  <c r="M51" i="5"/>
  <c r="M11" i="5"/>
  <c r="H7" i="5"/>
  <c r="G24" i="5"/>
  <c r="L50" i="5"/>
  <c r="N12" i="5"/>
  <c r="K68" i="5"/>
  <c r="G7" i="5"/>
  <c r="K60" i="5"/>
  <c r="K37" i="5"/>
  <c r="M69" i="5"/>
  <c r="K35" i="5"/>
  <c r="H14" i="5"/>
  <c r="G69" i="5"/>
  <c r="F5" i="5"/>
  <c r="N8" i="5"/>
  <c r="J40" i="5"/>
  <c r="F23" i="5"/>
  <c r="L5" i="5"/>
  <c r="I14" i="5"/>
  <c r="G38" i="5"/>
  <c r="F62" i="5"/>
  <c r="L11" i="5"/>
  <c r="I20" i="5"/>
  <c r="G39" i="5"/>
  <c r="F65" i="5"/>
  <c r="L65" i="5"/>
  <c r="I50" i="5"/>
  <c r="G56" i="5"/>
  <c r="G59" i="5"/>
  <c r="F68" i="5"/>
  <c r="H37" i="5"/>
  <c r="L28" i="5"/>
  <c r="G33" i="5"/>
  <c r="L44" i="5"/>
  <c r="G40" i="5"/>
  <c r="J60" i="5"/>
  <c r="J6" i="5"/>
  <c r="I47" i="5"/>
  <c r="F66" i="5"/>
  <c r="K32" i="5"/>
  <c r="L48" i="5"/>
  <c r="K7" i="5"/>
  <c r="G10" i="5"/>
  <c r="M66" i="5"/>
  <c r="H29" i="5"/>
  <c r="L34" i="5"/>
  <c r="M45" i="5"/>
  <c r="J56" i="5"/>
  <c r="F3" i="5"/>
  <c r="N13" i="5"/>
  <c r="K18" i="5"/>
  <c r="J59" i="5"/>
  <c r="I5" i="5"/>
  <c r="N25" i="5"/>
  <c r="H13" i="5"/>
  <c r="N22" i="5"/>
  <c r="K33" i="5"/>
  <c r="M44" i="5"/>
  <c r="G26" i="5"/>
  <c r="H60" i="5"/>
  <c r="H6" i="5"/>
  <c r="M47" i="5"/>
  <c r="F54" i="5"/>
  <c r="K8" i="5"/>
  <c r="L12" i="5"/>
  <c r="L7" i="5"/>
  <c r="H19" i="5"/>
  <c r="M31" i="5"/>
  <c r="I52" i="5"/>
  <c r="N4" i="5"/>
  <c r="M9" i="5"/>
  <c r="M14" i="5"/>
  <c r="K38" i="5"/>
  <c r="N36" i="5"/>
  <c r="K22" i="5"/>
  <c r="N23" i="5"/>
  <c r="G13" i="5"/>
  <c r="G54" i="5"/>
  <c r="L49" i="5"/>
  <c r="H21" i="5"/>
  <c r="M42" i="5"/>
  <c r="J62" i="5"/>
  <c r="I30" i="5"/>
  <c r="M49" i="5"/>
  <c r="M52" i="5"/>
  <c r="L14" i="5"/>
  <c r="K46" i="5"/>
  <c r="G66" i="5"/>
  <c r="N21" i="5"/>
  <c r="K6" i="5"/>
  <c r="L39" i="5"/>
  <c r="H9" i="5"/>
  <c r="I37" i="5"/>
  <c r="J39" i="5"/>
  <c r="H65" i="5"/>
  <c r="F38" i="5"/>
  <c r="N62" i="5"/>
  <c r="L47" i="5"/>
  <c r="I33" i="5"/>
  <c r="I45" i="5"/>
  <c r="K11" i="5"/>
  <c r="I62" i="5"/>
  <c r="G62" i="5"/>
  <c r="I21" i="5"/>
  <c r="K17" i="5"/>
  <c r="I68" i="5"/>
  <c r="G63" i="5"/>
  <c r="I69" i="5"/>
  <c r="K65" i="5"/>
  <c r="H41" i="5"/>
  <c r="F17" i="5"/>
  <c r="L59" i="5"/>
  <c r="M61" i="5"/>
  <c r="I58" i="5"/>
  <c r="N10" i="5"/>
  <c r="G15" i="5"/>
  <c r="L20" i="5"/>
  <c r="J31" i="5"/>
  <c r="J42" i="5"/>
  <c r="F13" i="5"/>
  <c r="I29" i="5"/>
  <c r="G49" i="5"/>
  <c r="N43" i="5"/>
  <c r="K55" i="5"/>
  <c r="M21" i="5"/>
  <c r="K40" i="5"/>
  <c r="L57" i="5"/>
  <c r="I64" i="5"/>
  <c r="N16" i="5"/>
  <c r="L27" i="5"/>
  <c r="J32" i="5"/>
  <c r="H39" i="5"/>
  <c r="K54" i="5"/>
  <c r="F49" i="5"/>
  <c r="J41" i="5"/>
  <c r="G43" i="5"/>
  <c r="J49" i="5"/>
  <c r="H52" i="5"/>
  <c r="M10" i="5"/>
  <c r="K15" i="5"/>
  <c r="M20" i="5"/>
  <c r="J7" i="5"/>
  <c r="H42" i="5"/>
  <c r="K58" i="5"/>
  <c r="M29" i="5"/>
  <c r="G37" i="5"/>
  <c r="N7" i="5"/>
  <c r="L55" i="5"/>
  <c r="L21" i="5"/>
  <c r="K16" i="5"/>
  <c r="L6" i="5"/>
  <c r="H34" i="5"/>
  <c r="K51" i="5"/>
  <c r="M62" i="5"/>
  <c r="F15" i="5"/>
  <c r="N49" i="5"/>
  <c r="N18" i="5"/>
  <c r="N59" i="5"/>
  <c r="G11" i="5"/>
  <c r="I18" i="5"/>
  <c r="I15" i="5"/>
  <c r="L25" i="5"/>
  <c r="F28" i="5"/>
  <c r="I12" i="5"/>
  <c r="N67" i="5"/>
  <c r="N56" i="5"/>
  <c r="K39" i="5"/>
  <c r="L10" i="5"/>
  <c r="K62" i="5"/>
  <c r="J29" i="5"/>
  <c r="N38" i="5"/>
  <c r="J69" i="5"/>
  <c r="F48" i="5"/>
  <c r="J3" i="5"/>
  <c r="L23" i="5"/>
  <c r="I44" i="5"/>
  <c r="F41" i="5"/>
  <c r="H49" i="5"/>
  <c r="K67" i="5"/>
  <c r="L33" i="5"/>
  <c r="F24" i="5"/>
  <c r="I24" i="5"/>
  <c r="L67" i="5"/>
  <c r="F52" i="5"/>
  <c r="H23" i="5"/>
  <c r="I51" i="5"/>
  <c r="F34" i="5"/>
  <c r="L51" i="5"/>
  <c r="H15" i="5"/>
  <c r="K34" i="5"/>
  <c r="G60" i="5"/>
  <c r="G3" i="5"/>
  <c r="L46" i="5"/>
  <c r="G8" i="5"/>
  <c r="G12" i="5"/>
  <c r="M22" i="5"/>
  <c r="H35" i="5"/>
  <c r="M16" i="5"/>
  <c r="J67" i="5"/>
  <c r="N35" i="5"/>
  <c r="L30" i="5"/>
  <c r="H31" i="5"/>
  <c r="H48" i="5"/>
  <c r="G25" i="5"/>
  <c r="I13" i="5"/>
  <c r="H45" i="5"/>
  <c r="L53" i="5"/>
  <c r="G51" i="5"/>
  <c r="H5" i="5"/>
  <c r="H54" i="5"/>
  <c r="K57" i="5"/>
  <c r="J44" i="5"/>
  <c r="I39" i="5"/>
  <c r="J48" i="5"/>
  <c r="M39" i="5"/>
  <c r="F57" i="5"/>
  <c r="H61" i="5"/>
  <c r="J10" i="5"/>
  <c r="J47" i="5"/>
  <c r="G28" i="5"/>
  <c r="G52" i="5"/>
  <c r="M53" i="5"/>
  <c r="J46" i="5"/>
  <c r="F16" i="5"/>
  <c r="H22" i="5"/>
  <c r="M55" i="5"/>
  <c r="K61" i="5"/>
  <c r="H33" i="5"/>
  <c r="I61" i="5"/>
  <c r="N63" i="5"/>
  <c r="N14" i="5"/>
  <c r="N11" i="5"/>
  <c r="I55" i="5"/>
  <c r="K28" i="5"/>
  <c r="F31" i="5"/>
  <c r="F40" i="5"/>
  <c r="K64" i="5"/>
  <c r="F20" i="5"/>
  <c r="I38" i="5"/>
  <c r="K59" i="5"/>
  <c r="L64" i="5"/>
  <c r="F55" i="5"/>
  <c r="J45" i="5"/>
  <c r="G34" i="5"/>
  <c r="N58" i="5"/>
  <c r="F43" i="5"/>
  <c r="J21" i="5"/>
  <c r="M19" i="5"/>
  <c r="L37" i="5"/>
  <c r="N28" i="5"/>
  <c r="F4" i="5"/>
  <c r="J37" i="5"/>
  <c r="K50" i="5"/>
  <c r="I23" i="5"/>
  <c r="I67" i="5"/>
  <c r="J33" i="5"/>
  <c r="I4" i="5"/>
  <c r="N30" i="5"/>
  <c r="K13" i="5"/>
  <c r="J38" i="5"/>
  <c r="N3" i="5"/>
  <c r="N27" i="5"/>
  <c r="N48" i="5"/>
  <c r="F12" i="5"/>
  <c r="I31" i="5"/>
  <c r="M58" i="5"/>
  <c r="M35" i="5"/>
  <c r="K4" i="5"/>
  <c r="F59" i="5"/>
  <c r="G50" i="5"/>
  <c r="K29" i="5"/>
  <c r="I22" i="5"/>
  <c r="M41" i="5"/>
  <c r="G42" i="5"/>
  <c r="N60" i="5"/>
  <c r="H16" i="5"/>
  <c r="I35" i="5"/>
  <c r="I48" i="5"/>
  <c r="K30" i="5"/>
  <c r="H3" i="5"/>
  <c r="G58" i="5"/>
  <c r="N37" i="5"/>
  <c r="H28" i="5"/>
  <c r="H66" i="5"/>
  <c r="G5" i="5"/>
  <c r="I43" i="5"/>
  <c r="M6" i="5"/>
  <c r="N33" i="5"/>
  <c r="M67" i="5"/>
  <c r="K3" i="5"/>
  <c r="M37" i="5"/>
  <c r="G18" i="5"/>
  <c r="L62" i="5"/>
  <c r="K24" i="5"/>
  <c r="I42" i="5"/>
  <c r="I7" i="5"/>
  <c r="H27" i="5"/>
  <c r="F6" i="5"/>
  <c r="H67" i="5"/>
  <c r="M54" i="5"/>
  <c r="K23" i="5"/>
  <c r="H8" i="5"/>
  <c r="G27" i="5"/>
  <c r="F30" i="5"/>
  <c r="H25" i="5"/>
  <c r="N6" i="5"/>
  <c r="K27" i="5"/>
  <c r="F18" i="5"/>
  <c r="N40" i="5"/>
  <c r="M13" i="5"/>
  <c r="I3" i="5"/>
  <c r="N53" i="5"/>
  <c r="F63" i="5"/>
  <c r="I10" i="5"/>
  <c r="J36" i="5"/>
  <c r="G22" i="5"/>
  <c r="I19" i="5"/>
  <c r="M7" i="5"/>
  <c r="N9" i="5"/>
  <c r="I17" i="5"/>
  <c r="J9" i="5"/>
  <c r="H30" i="5"/>
  <c r="H58" i="5"/>
  <c r="L26" i="5"/>
  <c r="F37" i="5"/>
  <c r="M30" i="5"/>
  <c r="G21" i="5"/>
  <c r="J26" i="5"/>
  <c r="M12" i="5"/>
  <c r="N17" i="5"/>
  <c r="I9" i="5"/>
  <c r="L54" i="5"/>
  <c r="G68" i="5"/>
  <c r="L32" i="5"/>
  <c r="L17" i="5"/>
  <c r="I28" i="5"/>
  <c r="N47" i="5"/>
  <c r="M32" i="5"/>
  <c r="M48" i="5"/>
  <c r="K69" i="5"/>
  <c r="M17" i="5"/>
  <c r="F27" i="5"/>
  <c r="I27" i="5"/>
  <c r="J54" i="5"/>
  <c r="N45" i="5"/>
  <c r="H12" i="5"/>
  <c r="K56" i="5"/>
  <c r="N57" i="5"/>
  <c r="N64" i="5"/>
  <c r="F69" i="5"/>
  <c r="H44" i="5"/>
  <c r="I60" i="5"/>
  <c r="I41" i="5"/>
  <c r="I40" i="5"/>
  <c r="F33" i="5"/>
  <c r="J65" i="5"/>
  <c r="H43" i="5"/>
  <c r="F58" i="5"/>
  <c r="J55" i="5"/>
  <c r="K49" i="5"/>
  <c r="H69" i="5"/>
  <c r="E5" i="5" l="1"/>
  <c r="D66" i="5"/>
  <c r="E48" i="5"/>
  <c r="D53" i="5"/>
  <c r="E63" i="5"/>
  <c r="E62" i="5"/>
  <c r="E4" i="5"/>
  <c r="D20" i="5"/>
  <c r="D52" i="5"/>
  <c r="D59" i="5"/>
  <c r="D25" i="5"/>
  <c r="E46" i="5"/>
  <c r="D12" i="5"/>
  <c r="E17" i="5"/>
  <c r="E53" i="5"/>
  <c r="D22" i="5"/>
  <c r="D64" i="5"/>
  <c r="E44" i="5"/>
  <c r="D8" i="5"/>
  <c r="E24" i="5"/>
  <c r="E60" i="5"/>
  <c r="D29" i="5"/>
  <c r="D65" i="5"/>
  <c r="D24" i="5"/>
  <c r="D43" i="5"/>
  <c r="D56" i="5"/>
  <c r="D30" i="5"/>
  <c r="D49" i="5"/>
  <c r="D13" i="5"/>
  <c r="E16" i="5"/>
  <c r="E52" i="5"/>
  <c r="D21" i="5"/>
  <c r="D57" i="5"/>
  <c r="D36" i="5"/>
  <c r="D55" i="5"/>
  <c r="E65" i="5"/>
  <c r="D34" i="5"/>
  <c r="D37" i="5"/>
  <c r="E36" i="5"/>
  <c r="D41" i="5"/>
  <c r="E26" i="5"/>
  <c r="E19" i="5"/>
  <c r="E27" i="5"/>
  <c r="E28" i="5"/>
  <c r="D33" i="5"/>
  <c r="E14" i="5"/>
  <c r="E40" i="5"/>
  <c r="E37" i="5"/>
  <c r="E47" i="5"/>
  <c r="E18" i="5"/>
  <c r="D6" i="5"/>
  <c r="E67" i="5"/>
  <c r="D15" i="5"/>
  <c r="D50" i="5"/>
  <c r="E23" i="5"/>
  <c r="E59" i="5"/>
  <c r="D28" i="5"/>
  <c r="E49" i="5"/>
  <c r="E68" i="5"/>
  <c r="D38" i="5"/>
  <c r="E30" i="5"/>
  <c r="E66" i="5"/>
  <c r="D35" i="5"/>
  <c r="E13" i="5"/>
  <c r="D48" i="5"/>
  <c r="D67" i="5"/>
  <c r="E7" i="5"/>
  <c r="D54" i="5"/>
  <c r="E15" i="5"/>
  <c r="E51" i="5"/>
  <c r="E22" i="5"/>
  <c r="E58" i="5"/>
  <c r="D27" i="5"/>
  <c r="D63" i="5"/>
  <c r="D60" i="5"/>
  <c r="E21" i="5"/>
  <c r="E29" i="5"/>
  <c r="D18" i="5"/>
  <c r="D62" i="5"/>
  <c r="D5" i="5"/>
  <c r="E25" i="5"/>
  <c r="E9" i="5"/>
  <c r="E8" i="5"/>
  <c r="D32" i="5"/>
  <c r="E64" i="5"/>
  <c r="D69" i="5"/>
  <c r="E45" i="5"/>
  <c r="D45" i="5"/>
  <c r="E11" i="5"/>
  <c r="E20" i="5"/>
  <c r="E54" i="5"/>
  <c r="D19" i="5"/>
  <c r="D44" i="5"/>
  <c r="D31" i="5"/>
  <c r="E35" i="5"/>
  <c r="D4" i="5"/>
  <c r="D40" i="5"/>
  <c r="D42" i="5"/>
  <c r="D61" i="5"/>
  <c r="E6" i="5"/>
  <c r="E42" i="5"/>
  <c r="D11" i="5"/>
  <c r="D47" i="5"/>
  <c r="E43" i="5"/>
  <c r="E32" i="5"/>
  <c r="E33" i="5"/>
  <c r="E31" i="5"/>
  <c r="E50" i="5"/>
  <c r="E57" i="5"/>
  <c r="D68" i="5"/>
  <c r="E34" i="5"/>
  <c r="D3" i="5"/>
  <c r="D39" i="5"/>
  <c r="D58" i="5"/>
  <c r="E38" i="5"/>
  <c r="E69" i="5"/>
  <c r="E41" i="5"/>
  <c r="D10" i="5"/>
  <c r="D46" i="5"/>
  <c r="E3" i="5"/>
  <c r="E12" i="5"/>
  <c r="D17" i="5"/>
  <c r="E61" i="5"/>
  <c r="E56" i="5"/>
  <c r="E55" i="5"/>
  <c r="D14" i="5"/>
  <c r="D9" i="5"/>
  <c r="D7" i="5"/>
  <c r="D16" i="5"/>
  <c r="E39" i="5"/>
  <c r="D23" i="5"/>
  <c r="D26" i="5"/>
  <c r="E10" i="5"/>
  <c r="D51" i="5"/>
  <c r="C69" i="5"/>
  <c r="F132" i="4" l="1"/>
  <c r="F18" i="4"/>
  <c r="F41" i="4"/>
  <c r="F10" i="4"/>
  <c r="F110" i="4"/>
  <c r="F124" i="4"/>
  <c r="F3" i="4"/>
  <c r="E31" i="4"/>
  <c r="E22" i="4"/>
  <c r="F7" i="4"/>
  <c r="E134" i="4"/>
  <c r="E132" i="4"/>
  <c r="E18" i="4"/>
  <c r="E41" i="4"/>
  <c r="E10" i="4"/>
  <c r="E110" i="4"/>
  <c r="E124" i="4"/>
  <c r="E3" i="4"/>
  <c r="F31" i="4"/>
  <c r="E105" i="4"/>
  <c r="F112" i="4"/>
  <c r="E62" i="4"/>
  <c r="F126" i="4"/>
  <c r="F12" i="4"/>
  <c r="F35" i="4"/>
  <c r="F135" i="4"/>
  <c r="E104" i="4"/>
  <c r="F106" i="4"/>
  <c r="E133" i="4"/>
  <c r="E25" i="4"/>
  <c r="E135" i="4"/>
  <c r="F61" i="4"/>
  <c r="E98" i="4"/>
  <c r="E120" i="4"/>
  <c r="E119" i="4"/>
  <c r="E11" i="4"/>
  <c r="E93" i="4"/>
  <c r="F80" i="4"/>
  <c r="E52" i="4"/>
  <c r="F109" i="4"/>
  <c r="E114" i="4"/>
  <c r="E58" i="4"/>
  <c r="F97" i="4"/>
  <c r="F16" i="4"/>
  <c r="E73" i="4"/>
  <c r="E131" i="4"/>
  <c r="E92" i="4"/>
  <c r="F76" i="4"/>
  <c r="E13" i="4"/>
  <c r="F120" i="4"/>
  <c r="E108" i="4"/>
  <c r="E23" i="4"/>
  <c r="F13" i="4"/>
  <c r="F42" i="4"/>
  <c r="E125" i="4"/>
  <c r="F64" i="4"/>
  <c r="F60" i="4"/>
  <c r="E57" i="4"/>
  <c r="F25" i="4"/>
  <c r="E90" i="4"/>
  <c r="E40" i="4"/>
  <c r="F84" i="4"/>
  <c r="E66" i="4"/>
  <c r="E82" i="4"/>
  <c r="E102" i="4"/>
  <c r="F23" i="4"/>
  <c r="E117" i="4"/>
  <c r="F105" i="4"/>
  <c r="E101" i="4"/>
  <c r="E69" i="4"/>
  <c r="E81" i="4"/>
  <c r="F63" i="4"/>
  <c r="F28" i="4"/>
  <c r="F99" i="4"/>
  <c r="E99" i="4"/>
  <c r="F90" i="4"/>
  <c r="F113" i="4"/>
  <c r="F5" i="4"/>
  <c r="F81" i="4"/>
  <c r="E74" i="4"/>
  <c r="F40" i="4"/>
  <c r="E103" i="4"/>
  <c r="E130" i="4"/>
  <c r="E68" i="4"/>
  <c r="F24" i="4"/>
  <c r="F74" i="4"/>
  <c r="F14" i="4"/>
  <c r="F69" i="4"/>
  <c r="E60" i="4"/>
  <c r="F78" i="4"/>
  <c r="F72" i="4"/>
  <c r="E95" i="4"/>
  <c r="F100" i="4"/>
  <c r="F45" i="4"/>
  <c r="E56" i="4"/>
  <c r="F129" i="4"/>
  <c r="E85" i="4"/>
  <c r="E30" i="4"/>
  <c r="E106" i="4"/>
  <c r="F83" i="4"/>
  <c r="F4" i="4"/>
  <c r="E72" i="4"/>
  <c r="F95" i="4"/>
  <c r="E100" i="4"/>
  <c r="E45" i="4"/>
  <c r="F56" i="4"/>
  <c r="E129" i="4"/>
  <c r="F85" i="4"/>
  <c r="E12" i="4"/>
  <c r="E111" i="4"/>
  <c r="F29" i="4"/>
  <c r="E91" i="4"/>
  <c r="F66" i="4"/>
  <c r="F89" i="4"/>
  <c r="F94" i="4"/>
  <c r="F33" i="4"/>
  <c r="E50" i="4"/>
  <c r="F111" i="4"/>
  <c r="E79" i="4"/>
  <c r="F125" i="4"/>
  <c r="F32" i="4"/>
  <c r="F47" i="4"/>
  <c r="E109" i="4"/>
  <c r="E42" i="4"/>
  <c r="F65" i="4"/>
  <c r="E46" i="4"/>
  <c r="F134" i="4"/>
  <c r="F26" i="4"/>
  <c r="E63" i="4"/>
  <c r="F55" i="4"/>
  <c r="E48" i="4"/>
  <c r="F50" i="4"/>
  <c r="F6" i="4"/>
  <c r="E44" i="4"/>
  <c r="F75" i="4"/>
  <c r="F53" i="4"/>
  <c r="F82" i="4"/>
  <c r="E24" i="4"/>
  <c r="E16" i="4"/>
  <c r="F8" i="4"/>
  <c r="E21" i="4"/>
  <c r="E107" i="4"/>
  <c r="E65" i="4"/>
  <c r="F92" i="4"/>
  <c r="F102" i="4"/>
  <c r="E115" i="4"/>
  <c r="E8" i="4"/>
  <c r="F62" i="4"/>
  <c r="E126" i="4"/>
  <c r="E26" i="4"/>
  <c r="F103" i="4"/>
  <c r="F107" i="4"/>
  <c r="E97" i="4"/>
  <c r="E83" i="4"/>
  <c r="F73" i="4"/>
  <c r="F54" i="4"/>
  <c r="F77" i="4"/>
  <c r="F70" i="4"/>
  <c r="F15" i="4"/>
  <c r="E38" i="4"/>
  <c r="F87" i="4"/>
  <c r="E67" i="4"/>
  <c r="E89" i="4"/>
  <c r="E75" i="4"/>
  <c r="F118" i="4"/>
  <c r="E127" i="4"/>
  <c r="E54" i="4"/>
  <c r="E77" i="4"/>
  <c r="E70" i="4"/>
  <c r="E15" i="4"/>
  <c r="F38" i="4"/>
  <c r="E87" i="4"/>
  <c r="F67" i="4"/>
  <c r="E71" i="4"/>
  <c r="F115" i="4"/>
  <c r="F46" i="4"/>
  <c r="E19" i="4"/>
  <c r="F48" i="4"/>
  <c r="F71" i="4"/>
  <c r="F58" i="4"/>
  <c r="F9" i="4"/>
  <c r="E32" i="4"/>
  <c r="E61" i="4"/>
  <c r="E28" i="4"/>
  <c r="E37" i="4"/>
  <c r="E47" i="4"/>
  <c r="F116" i="4"/>
  <c r="F37" i="4"/>
  <c r="E64" i="4"/>
  <c r="F52" i="4"/>
  <c r="F121" i="4"/>
  <c r="F17" i="4"/>
  <c r="E7" i="4"/>
  <c r="E78" i="4"/>
  <c r="E4" i="4"/>
  <c r="F57" i="4"/>
  <c r="E113" i="4"/>
  <c r="E84" i="4"/>
  <c r="F136" i="4"/>
  <c r="F86" i="4"/>
  <c r="E27" i="4"/>
  <c r="E122" i="4"/>
  <c r="F36" i="4"/>
  <c r="F59" i="4"/>
  <c r="F34" i="4"/>
  <c r="E128" i="4"/>
  <c r="E20" i="4"/>
  <c r="F51" i="4"/>
  <c r="E49" i="4"/>
  <c r="E17" i="4"/>
  <c r="F79" i="4"/>
  <c r="F123" i="4"/>
  <c r="E55" i="4"/>
  <c r="E36" i="4"/>
  <c r="E59" i="4"/>
  <c r="E34" i="4"/>
  <c r="F128" i="4"/>
  <c r="F20" i="4"/>
  <c r="E51" i="4"/>
  <c r="F49" i="4"/>
  <c r="E94" i="4"/>
  <c r="F43" i="4"/>
  <c r="F27" i="4"/>
  <c r="F130" i="4"/>
  <c r="F30" i="4"/>
  <c r="E53" i="4"/>
  <c r="F22" i="4"/>
  <c r="F122" i="4"/>
  <c r="E14" i="4"/>
  <c r="F39" i="4"/>
  <c r="E43" i="4"/>
  <c r="E136" i="4"/>
  <c r="F133" i="4"/>
  <c r="F93" i="4"/>
  <c r="E112" i="4"/>
  <c r="E6" i="4"/>
  <c r="E29" i="4"/>
  <c r="E123" i="4"/>
  <c r="F98" i="4"/>
  <c r="E88" i="4"/>
  <c r="F127" i="4"/>
  <c r="F19" i="4"/>
  <c r="E35" i="4"/>
  <c r="E39" i="4"/>
  <c r="F11" i="4"/>
  <c r="F21" i="4"/>
  <c r="F108" i="4"/>
  <c r="F117" i="4"/>
  <c r="E121" i="4"/>
  <c r="E9" i="4"/>
  <c r="E80" i="4"/>
  <c r="F131" i="4"/>
  <c r="E76" i="4"/>
  <c r="F104" i="4"/>
  <c r="F88" i="4"/>
  <c r="E86" i="4"/>
  <c r="E33" i="4"/>
  <c r="E118" i="4"/>
  <c r="F91" i="4"/>
  <c r="F114" i="4"/>
  <c r="E5" i="4"/>
  <c r="F101" i="4"/>
  <c r="F68" i="4"/>
  <c r="F119" i="4"/>
  <c r="F44" i="4"/>
  <c r="E116" i="4"/>
  <c r="F96" i="4"/>
  <c r="E96" i="4"/>
  <c r="E3" i="6"/>
  <c r="D3" i="6"/>
  <c r="C101" i="6"/>
  <c r="C104" i="6"/>
  <c r="C114" i="6"/>
  <c r="C108" i="6"/>
  <c r="C110" i="6"/>
  <c r="C103" i="6"/>
  <c r="C105" i="6"/>
  <c r="C107" i="6"/>
  <c r="C109" i="6"/>
  <c r="C111" i="6"/>
  <c r="C113" i="6"/>
  <c r="C115" i="6"/>
  <c r="C112" i="6" l="1"/>
  <c r="C106" i="6"/>
  <c r="C102" i="6"/>
  <c r="D6" i="3" l="1"/>
  <c r="D13" i="3"/>
  <c r="D28" i="3"/>
  <c r="D35" i="3"/>
  <c r="D42" i="3"/>
  <c r="D49" i="3"/>
  <c r="D64" i="3"/>
  <c r="D71" i="3"/>
  <c r="D78" i="3"/>
  <c r="D85" i="3"/>
  <c r="D100" i="3"/>
  <c r="D107" i="3"/>
  <c r="D114" i="3"/>
  <c r="D121" i="3"/>
  <c r="D136" i="3"/>
  <c r="D143" i="3"/>
  <c r="D150" i="3"/>
  <c r="D157" i="3"/>
  <c r="D172" i="3"/>
  <c r="D179" i="3"/>
  <c r="D186" i="3"/>
  <c r="D193" i="3"/>
  <c r="D208" i="3"/>
  <c r="D215" i="3"/>
  <c r="D222" i="3"/>
  <c r="D229" i="3"/>
  <c r="D244" i="3"/>
  <c r="D251" i="3"/>
  <c r="D258" i="3"/>
  <c r="D265" i="3"/>
  <c r="D280" i="3"/>
  <c r="D287" i="3"/>
  <c r="D294" i="3"/>
  <c r="D301" i="3"/>
  <c r="E4" i="3"/>
  <c r="E11" i="3"/>
  <c r="E18" i="3"/>
  <c r="E25" i="3"/>
  <c r="E40" i="3"/>
  <c r="E47" i="3"/>
  <c r="E54" i="3"/>
  <c r="E61" i="3"/>
  <c r="E76" i="3"/>
  <c r="E83" i="3"/>
  <c r="E90" i="3"/>
  <c r="E97" i="3"/>
  <c r="E112" i="3"/>
  <c r="E119" i="3"/>
  <c r="E126" i="3"/>
  <c r="E133" i="3"/>
  <c r="E148" i="3"/>
  <c r="E155" i="3"/>
  <c r="E162" i="3"/>
  <c r="E169" i="3"/>
  <c r="E184" i="3"/>
  <c r="E191" i="3"/>
  <c r="E198" i="3"/>
  <c r="E205" i="3"/>
  <c r="E220" i="3"/>
  <c r="E227" i="3"/>
  <c r="E234" i="3"/>
  <c r="E241" i="3"/>
  <c r="E256" i="3"/>
  <c r="E263" i="3"/>
  <c r="E270" i="3"/>
  <c r="E277" i="3"/>
  <c r="E292" i="3"/>
  <c r="E299" i="3"/>
  <c r="E306" i="3"/>
  <c r="D7" i="3"/>
  <c r="D22" i="3"/>
  <c r="D29" i="3"/>
  <c r="D36" i="3"/>
  <c r="D43" i="3"/>
  <c r="D58" i="3"/>
  <c r="D65" i="3"/>
  <c r="D72" i="3"/>
  <c r="D79" i="3"/>
  <c r="D94" i="3"/>
  <c r="D101" i="3"/>
  <c r="D108" i="3"/>
  <c r="D115" i="3"/>
  <c r="D130" i="3"/>
  <c r="D137" i="3"/>
  <c r="D144" i="3"/>
  <c r="D151" i="3"/>
  <c r="D166" i="3"/>
  <c r="D173" i="3"/>
  <c r="D180" i="3"/>
  <c r="D187" i="3"/>
  <c r="D202" i="3"/>
  <c r="D209" i="3"/>
  <c r="D216" i="3"/>
  <c r="D223" i="3"/>
  <c r="D238" i="3"/>
  <c r="D245" i="3"/>
  <c r="D252" i="3"/>
  <c r="D259" i="3"/>
  <c r="D274" i="3"/>
  <c r="D281" i="3"/>
  <c r="D288" i="3"/>
  <c r="D295" i="3"/>
  <c r="E5" i="3"/>
  <c r="E12" i="3"/>
  <c r="E19" i="3"/>
  <c r="E34" i="3"/>
  <c r="E41" i="3"/>
  <c r="E48" i="3"/>
  <c r="E55" i="3"/>
  <c r="E70" i="3"/>
  <c r="E77" i="3"/>
  <c r="E84" i="3"/>
  <c r="E91" i="3"/>
  <c r="E106" i="3"/>
  <c r="E113" i="3"/>
  <c r="E120" i="3"/>
  <c r="E127" i="3"/>
  <c r="E142" i="3"/>
  <c r="E149" i="3"/>
  <c r="E156" i="3"/>
  <c r="E163" i="3"/>
  <c r="E178" i="3"/>
  <c r="E185" i="3"/>
  <c r="E192" i="3"/>
  <c r="E199" i="3"/>
  <c r="E214" i="3"/>
  <c r="E221" i="3"/>
  <c r="E228" i="3"/>
  <c r="E235" i="3"/>
  <c r="E250" i="3"/>
  <c r="E257" i="3"/>
  <c r="E264" i="3"/>
  <c r="E271" i="3"/>
  <c r="E286" i="3"/>
  <c r="E293" i="3"/>
  <c r="E300" i="3"/>
  <c r="E307" i="3"/>
  <c r="D16" i="3"/>
  <c r="D23" i="3"/>
  <c r="D30" i="3"/>
  <c r="D37" i="3"/>
  <c r="D52" i="3"/>
  <c r="D59" i="3"/>
  <c r="D66" i="3"/>
  <c r="D73" i="3"/>
  <c r="D88" i="3"/>
  <c r="D95" i="3"/>
  <c r="D102" i="3"/>
  <c r="D109" i="3"/>
  <c r="D124" i="3"/>
  <c r="D131" i="3"/>
  <c r="D138" i="3"/>
  <c r="D145" i="3"/>
  <c r="D160" i="3"/>
  <c r="D167" i="3"/>
  <c r="D174" i="3"/>
  <c r="D181" i="3"/>
  <c r="D196" i="3"/>
  <c r="D203" i="3"/>
  <c r="D210" i="3"/>
  <c r="D217" i="3"/>
  <c r="D232" i="3"/>
  <c r="D239" i="3"/>
  <c r="D246" i="3"/>
  <c r="D253" i="3"/>
  <c r="D268" i="3"/>
  <c r="D275" i="3"/>
  <c r="D282" i="3"/>
  <c r="D289" i="3"/>
  <c r="D304" i="3"/>
  <c r="E6" i="3"/>
  <c r="E13" i="3"/>
  <c r="E28" i="3"/>
  <c r="E35" i="3"/>
  <c r="E42" i="3"/>
  <c r="E49" i="3"/>
  <c r="E64" i="3"/>
  <c r="E71" i="3"/>
  <c r="E78" i="3"/>
  <c r="E85" i="3"/>
  <c r="E100" i="3"/>
  <c r="E107" i="3"/>
  <c r="E114" i="3"/>
  <c r="D10" i="3"/>
  <c r="D17" i="3"/>
  <c r="D24" i="3"/>
  <c r="D31" i="3"/>
  <c r="D46" i="3"/>
  <c r="D53" i="3"/>
  <c r="D60" i="3"/>
  <c r="D67" i="3"/>
  <c r="D82" i="3"/>
  <c r="D89" i="3"/>
  <c r="D96" i="3"/>
  <c r="D103" i="3"/>
  <c r="D118" i="3"/>
  <c r="D125" i="3"/>
  <c r="D132" i="3"/>
  <c r="D139" i="3"/>
  <c r="D154" i="3"/>
  <c r="D161" i="3"/>
  <c r="D168" i="3"/>
  <c r="D175" i="3"/>
  <c r="D190" i="3"/>
  <c r="D197" i="3"/>
  <c r="D204" i="3"/>
  <c r="D211" i="3"/>
  <c r="D226" i="3"/>
  <c r="D233" i="3"/>
  <c r="D240" i="3"/>
  <c r="D247" i="3"/>
  <c r="D262" i="3"/>
  <c r="D269" i="3"/>
  <c r="D276" i="3"/>
  <c r="D283" i="3"/>
  <c r="D298" i="3"/>
  <c r="D305" i="3"/>
  <c r="E7" i="3"/>
  <c r="E22" i="3"/>
  <c r="E29" i="3"/>
  <c r="E36" i="3"/>
  <c r="E43" i="3"/>
  <c r="E58" i="3"/>
  <c r="E65" i="3"/>
  <c r="E72" i="3"/>
  <c r="E79" i="3"/>
  <c r="E94" i="3"/>
  <c r="E101" i="3"/>
  <c r="E108" i="3"/>
  <c r="E115" i="3"/>
  <c r="E130" i="3"/>
  <c r="E137" i="3"/>
  <c r="E144" i="3"/>
  <c r="E151" i="3"/>
  <c r="E166" i="3"/>
  <c r="E173" i="3"/>
  <c r="E180" i="3"/>
  <c r="E187" i="3"/>
  <c r="E202" i="3"/>
  <c r="E209" i="3"/>
  <c r="E216" i="3"/>
  <c r="D4" i="3"/>
  <c r="D11" i="3"/>
  <c r="D18" i="3"/>
  <c r="D25" i="3"/>
  <c r="D40" i="3"/>
  <c r="D47" i="3"/>
  <c r="D54" i="3"/>
  <c r="D61" i="3"/>
  <c r="D76" i="3"/>
  <c r="D83" i="3"/>
  <c r="D90" i="3"/>
  <c r="D97" i="3"/>
  <c r="D112" i="3"/>
  <c r="D119" i="3"/>
  <c r="D126" i="3"/>
  <c r="D133" i="3"/>
  <c r="D148" i="3"/>
  <c r="D155" i="3"/>
  <c r="D162" i="3"/>
  <c r="D169" i="3"/>
  <c r="D184" i="3"/>
  <c r="D191" i="3"/>
  <c r="D198" i="3"/>
  <c r="D205" i="3"/>
  <c r="D220" i="3"/>
  <c r="D227" i="3"/>
  <c r="D234" i="3"/>
  <c r="D241" i="3"/>
  <c r="D256" i="3"/>
  <c r="D263" i="3"/>
  <c r="D270" i="3"/>
  <c r="D277" i="3"/>
  <c r="D292" i="3"/>
  <c r="D299" i="3"/>
  <c r="D306" i="3"/>
  <c r="E16" i="3"/>
  <c r="E23" i="3"/>
  <c r="E30" i="3"/>
  <c r="E37" i="3"/>
  <c r="E52" i="3"/>
  <c r="E59" i="3"/>
  <c r="E66" i="3"/>
  <c r="E73" i="3"/>
  <c r="E88" i="3"/>
  <c r="E95" i="3"/>
  <c r="E102" i="3"/>
  <c r="E109" i="3"/>
  <c r="E124" i="3"/>
  <c r="E131" i="3"/>
  <c r="E138" i="3"/>
  <c r="E145" i="3"/>
  <c r="E160" i="3"/>
  <c r="E167" i="3"/>
  <c r="D19" i="3"/>
  <c r="D106" i="3"/>
  <c r="D149" i="3"/>
  <c r="D192" i="3"/>
  <c r="D235" i="3"/>
  <c r="E17" i="3"/>
  <c r="E60" i="3"/>
  <c r="E103" i="3"/>
  <c r="E132" i="3"/>
  <c r="E154" i="3"/>
  <c r="E174" i="3"/>
  <c r="E203" i="3"/>
  <c r="E217" i="3"/>
  <c r="E229" i="3"/>
  <c r="E239" i="3"/>
  <c r="E251" i="3"/>
  <c r="E282" i="3"/>
  <c r="E294" i="3"/>
  <c r="E304" i="3"/>
  <c r="D70" i="3"/>
  <c r="D113" i="3"/>
  <c r="D156" i="3"/>
  <c r="D199" i="3"/>
  <c r="D286" i="3"/>
  <c r="E24" i="3"/>
  <c r="E67" i="3"/>
  <c r="E136" i="3"/>
  <c r="E157" i="3"/>
  <c r="E175" i="3"/>
  <c r="E190" i="3"/>
  <c r="E204" i="3"/>
  <c r="E240" i="3"/>
  <c r="E252" i="3"/>
  <c r="E262" i="3"/>
  <c r="E274" i="3"/>
  <c r="E283" i="3"/>
  <c r="E295" i="3"/>
  <c r="E305" i="3"/>
  <c r="D34" i="3"/>
  <c r="D77" i="3"/>
  <c r="D120" i="3"/>
  <c r="D163" i="3"/>
  <c r="D250" i="3"/>
  <c r="D293" i="3"/>
  <c r="E31" i="3"/>
  <c r="E118" i="3"/>
  <c r="E139" i="3"/>
  <c r="E161" i="3"/>
  <c r="E179" i="3"/>
  <c r="E193" i="3"/>
  <c r="E208" i="3"/>
  <c r="E222" i="3"/>
  <c r="E232" i="3"/>
  <c r="E244" i="3"/>
  <c r="E253" i="3"/>
  <c r="E265" i="3"/>
  <c r="E275" i="3"/>
  <c r="E287" i="3"/>
  <c r="D41" i="3"/>
  <c r="D84" i="3"/>
  <c r="D127" i="3"/>
  <c r="D214" i="3"/>
  <c r="D257" i="3"/>
  <c r="D300" i="3"/>
  <c r="E82" i="3"/>
  <c r="E121" i="3"/>
  <c r="E143" i="3"/>
  <c r="E181" i="3"/>
  <c r="E196" i="3"/>
  <c r="E210" i="3"/>
  <c r="E223" i="3"/>
  <c r="E233" i="3"/>
  <c r="E245" i="3"/>
  <c r="E276" i="3"/>
  <c r="E288" i="3"/>
  <c r="E298" i="3"/>
  <c r="D5" i="3"/>
  <c r="D48" i="3"/>
  <c r="D91" i="3"/>
  <c r="D178" i="3"/>
  <c r="D221" i="3"/>
  <c r="D264" i="3"/>
  <c r="D307" i="3"/>
  <c r="E46" i="3"/>
  <c r="E89" i="3"/>
  <c r="E125" i="3"/>
  <c r="E168" i="3"/>
  <c r="E197" i="3"/>
  <c r="E211" i="3"/>
  <c r="E246" i="3"/>
  <c r="E258" i="3"/>
  <c r="E268" i="3"/>
  <c r="E280" i="3"/>
  <c r="E289" i="3"/>
  <c r="E301" i="3"/>
  <c r="D12" i="3"/>
  <c r="D55" i="3"/>
  <c r="D99" i="3"/>
  <c r="D142" i="3"/>
  <c r="D185" i="3"/>
  <c r="D228" i="3"/>
  <c r="D271" i="3"/>
  <c r="E10" i="3"/>
  <c r="E53" i="3"/>
  <c r="E96" i="3"/>
  <c r="E129" i="3"/>
  <c r="E150" i="3"/>
  <c r="E172" i="3"/>
  <c r="E186" i="3"/>
  <c r="E201" i="3"/>
  <c r="E215" i="3"/>
  <c r="E226" i="3"/>
  <c r="E238" i="3"/>
  <c r="E247" i="3"/>
  <c r="E259" i="3"/>
  <c r="E269" i="3"/>
  <c r="E281" i="3"/>
  <c r="E291" i="3"/>
  <c r="E303" i="3"/>
  <c r="D303" i="3"/>
  <c r="D273" i="3"/>
  <c r="E243" i="3"/>
  <c r="D213" i="3"/>
  <c r="D183" i="3"/>
  <c r="E159" i="3"/>
  <c r="E135" i="3"/>
  <c r="D111" i="3"/>
  <c r="D87" i="3"/>
  <c r="D69" i="3"/>
  <c r="D45" i="3"/>
  <c r="D21" i="3"/>
  <c r="E165" i="3"/>
  <c r="E297" i="3"/>
  <c r="E231" i="3"/>
  <c r="D279" i="3"/>
  <c r="D284" i="3"/>
  <c r="D248" i="3"/>
  <c r="D212" i="3"/>
  <c r="D194" i="3"/>
  <c r="D176" i="3"/>
  <c r="D158" i="3"/>
  <c r="D140" i="3"/>
  <c r="D122" i="3"/>
  <c r="D104" i="3"/>
  <c r="D86" i="3"/>
  <c r="D68" i="3"/>
  <c r="D50" i="3"/>
  <c r="D32" i="3"/>
  <c r="D14" i="3"/>
  <c r="E290" i="3"/>
  <c r="E254" i="3"/>
  <c r="E218" i="3"/>
  <c r="E182" i="3"/>
  <c r="E146" i="3"/>
  <c r="E110" i="3"/>
  <c r="E74" i="3"/>
  <c r="E38" i="3"/>
  <c r="E3" i="3"/>
  <c r="D201" i="3"/>
  <c r="D171" i="3"/>
  <c r="D3" i="3"/>
  <c r="D188" i="3"/>
  <c r="D116" i="3"/>
  <c r="D26" i="3"/>
  <c r="E170" i="3"/>
  <c r="D297" i="3"/>
  <c r="D267" i="3"/>
  <c r="D237" i="3"/>
  <c r="E207" i="3"/>
  <c r="E177" i="3"/>
  <c r="D153" i="3"/>
  <c r="D129" i="3"/>
  <c r="E105" i="3"/>
  <c r="E87" i="3"/>
  <c r="E63" i="3"/>
  <c r="E45" i="3"/>
  <c r="E21" i="3"/>
  <c r="E237" i="3"/>
  <c r="E39" i="3"/>
  <c r="E75" i="3"/>
  <c r="E219" i="3"/>
  <c r="D63" i="3"/>
  <c r="D278" i="3"/>
  <c r="D242" i="3"/>
  <c r="E284" i="3"/>
  <c r="E248" i="3"/>
  <c r="E212" i="3"/>
  <c r="E176" i="3"/>
  <c r="E140" i="3"/>
  <c r="E104" i="3"/>
  <c r="E68" i="3"/>
  <c r="E32" i="3"/>
  <c r="D291" i="3"/>
  <c r="E153" i="3"/>
  <c r="D123" i="3"/>
  <c r="D105" i="3"/>
  <c r="D81" i="3"/>
  <c r="D57" i="3"/>
  <c r="D39" i="3"/>
  <c r="D15" i="3"/>
  <c r="E225" i="3"/>
  <c r="D98" i="3"/>
  <c r="E242" i="3"/>
  <c r="E62" i="3"/>
  <c r="E285" i="3"/>
  <c r="D255" i="3"/>
  <c r="D225" i="3"/>
  <c r="D195" i="3"/>
  <c r="E171" i="3"/>
  <c r="D147" i="3"/>
  <c r="E123" i="3"/>
  <c r="E99" i="3"/>
  <c r="E81" i="3"/>
  <c r="E57" i="3"/>
  <c r="E33" i="3"/>
  <c r="E15" i="3"/>
  <c r="E183" i="3"/>
  <c r="D243" i="3"/>
  <c r="E273" i="3"/>
  <c r="D302" i="3"/>
  <c r="D266" i="3"/>
  <c r="D230" i="3"/>
  <c r="E272" i="3"/>
  <c r="E236" i="3"/>
  <c r="E200" i="3"/>
  <c r="E164" i="3"/>
  <c r="E128" i="3"/>
  <c r="E92" i="3"/>
  <c r="E56" i="3"/>
  <c r="E20" i="3"/>
  <c r="D261" i="3"/>
  <c r="E111" i="3"/>
  <c r="D206" i="3"/>
  <c r="D152" i="3"/>
  <c r="D62" i="3"/>
  <c r="E278" i="3"/>
  <c r="E98" i="3"/>
  <c r="D285" i="3"/>
  <c r="E249" i="3"/>
  <c r="D219" i="3"/>
  <c r="E195" i="3"/>
  <c r="D165" i="3"/>
  <c r="E141" i="3"/>
  <c r="D117" i="3"/>
  <c r="D93" i="3"/>
  <c r="D75" i="3"/>
  <c r="D51" i="3"/>
  <c r="D33" i="3"/>
  <c r="D9" i="3"/>
  <c r="E147" i="3"/>
  <c r="E267" i="3"/>
  <c r="D27" i="3"/>
  <c r="E261" i="3"/>
  <c r="D296" i="3"/>
  <c r="D260" i="3"/>
  <c r="D224" i="3"/>
  <c r="D200" i="3"/>
  <c r="D182" i="3"/>
  <c r="D164" i="3"/>
  <c r="D146" i="3"/>
  <c r="D128" i="3"/>
  <c r="D110" i="3"/>
  <c r="D92" i="3"/>
  <c r="D74" i="3"/>
  <c r="D56" i="3"/>
  <c r="D38" i="3"/>
  <c r="D20" i="3"/>
  <c r="E302" i="3"/>
  <c r="E266" i="3"/>
  <c r="E230" i="3"/>
  <c r="E194" i="3"/>
  <c r="E158" i="3"/>
  <c r="E122" i="3"/>
  <c r="E86" i="3"/>
  <c r="E50" i="3"/>
  <c r="E14" i="3"/>
  <c r="D231" i="3"/>
  <c r="D236" i="3"/>
  <c r="D134" i="3"/>
  <c r="D44" i="3"/>
  <c r="E134" i="3"/>
  <c r="E279" i="3"/>
  <c r="D249" i="3"/>
  <c r="E213" i="3"/>
  <c r="D189" i="3"/>
  <c r="D159" i="3"/>
  <c r="D141" i="3"/>
  <c r="E117" i="3"/>
  <c r="E93" i="3"/>
  <c r="E69" i="3"/>
  <c r="E51" i="3"/>
  <c r="E27" i="3"/>
  <c r="E9" i="3"/>
  <c r="D135" i="3"/>
  <c r="E255" i="3"/>
  <c r="E189" i="3"/>
  <c r="D290" i="3"/>
  <c r="D254" i="3"/>
  <c r="D218" i="3"/>
  <c r="E296" i="3"/>
  <c r="E260" i="3"/>
  <c r="E224" i="3"/>
  <c r="E188" i="3"/>
  <c r="E152" i="3"/>
  <c r="E116" i="3"/>
  <c r="E80" i="3"/>
  <c r="E44" i="3"/>
  <c r="E8" i="3"/>
  <c r="D177" i="3"/>
  <c r="D207" i="3"/>
  <c r="D272" i="3"/>
  <c r="D170" i="3"/>
  <c r="D80" i="3"/>
  <c r="D8" i="3"/>
  <c r="E206" i="3"/>
  <c r="E26" i="3"/>
  <c r="C236" i="3"/>
  <c r="C226" i="3"/>
  <c r="C234" i="3"/>
  <c r="C262" i="3"/>
  <c r="C306" i="3" l="1"/>
  <c r="C292" i="3"/>
  <c r="C265" i="3"/>
  <c r="C295" i="3"/>
  <c r="C254" i="3"/>
  <c r="C286" i="3"/>
  <c r="C277" i="3"/>
  <c r="C231" i="3"/>
  <c r="C237" i="3"/>
  <c r="C221" i="3"/>
  <c r="C230" i="3"/>
  <c r="C227" i="3"/>
  <c r="C242" i="3"/>
  <c r="C240" i="3"/>
  <c r="C235" i="3"/>
  <c r="C255" i="3"/>
  <c r="C252" i="3"/>
  <c r="C228" i="3"/>
  <c r="C229" i="3"/>
  <c r="C245" i="3"/>
  <c r="C253" i="3"/>
  <c r="C257" i="3"/>
  <c r="C260" i="3"/>
  <c r="C259" i="3"/>
  <c r="C243" i="3"/>
  <c r="C256" i="3"/>
  <c r="C248" i="3"/>
  <c r="C249" i="3"/>
  <c r="C247" i="3"/>
  <c r="C258" i="3"/>
  <c r="C224" i="3"/>
  <c r="C222" i="3"/>
  <c r="C244" i="3"/>
  <c r="C225" i="3"/>
  <c r="C241" i="3"/>
  <c r="C232" i="3"/>
  <c r="C250" i="3"/>
  <c r="C251" i="3"/>
  <c r="C223" i="3"/>
  <c r="C220" i="3"/>
  <c r="C233" i="3"/>
  <c r="C239" i="3"/>
  <c r="C246" i="3"/>
  <c r="C238" i="3"/>
  <c r="C261" i="3"/>
  <c r="C159" i="3"/>
  <c r="C113" i="3"/>
  <c r="C174" i="3"/>
  <c r="C161" i="3"/>
  <c r="C169" i="3"/>
  <c r="C163" i="3"/>
  <c r="C200" i="3"/>
  <c r="C196" i="3"/>
  <c r="C190" i="3"/>
  <c r="C164" i="3"/>
  <c r="C198" i="3"/>
  <c r="C199" i="3"/>
  <c r="C197" i="3"/>
  <c r="C195" i="3"/>
  <c r="C29" i="3"/>
  <c r="C218" i="3"/>
  <c r="C210" i="3"/>
  <c r="C202" i="3"/>
  <c r="C188" i="3"/>
  <c r="C184" i="3"/>
  <c r="C183" i="3"/>
  <c r="C49" i="3" l="1"/>
  <c r="C55" i="3"/>
  <c r="C100" i="3"/>
  <c r="C151" i="3"/>
  <c r="C60" i="3"/>
  <c r="C66" i="3"/>
  <c r="C301" i="3"/>
  <c r="C274" i="3"/>
  <c r="C276" i="3"/>
  <c r="C272" i="3"/>
  <c r="C281" i="3"/>
  <c r="C290" i="3"/>
  <c r="C300" i="3"/>
  <c r="C264" i="3"/>
  <c r="C291" i="3"/>
  <c r="C288" i="3"/>
  <c r="C297" i="3"/>
  <c r="C271" i="3"/>
  <c r="C298" i="3"/>
  <c r="C294" i="3"/>
  <c r="C293" i="3"/>
  <c r="C284" i="3"/>
  <c r="C270" i="3"/>
  <c r="C282" i="3"/>
  <c r="C266" i="3"/>
  <c r="C273" i="3"/>
  <c r="C283" i="3"/>
  <c r="C296" i="3"/>
  <c r="C289" i="3"/>
  <c r="C303" i="3"/>
  <c r="C263" i="3"/>
  <c r="C285" i="3"/>
  <c r="C267" i="3"/>
  <c r="C305" i="3"/>
  <c r="C307" i="3"/>
  <c r="C275" i="3"/>
  <c r="C287" i="3"/>
  <c r="C299" i="3"/>
  <c r="C280" i="3"/>
  <c r="C304" i="3"/>
  <c r="C279" i="3"/>
  <c r="C278" i="3"/>
  <c r="C268" i="3"/>
  <c r="C269" i="3"/>
  <c r="C302" i="3"/>
  <c r="C45" i="3"/>
  <c r="C51" i="3"/>
  <c r="C61" i="3"/>
  <c r="C71" i="3"/>
  <c r="C103" i="3"/>
  <c r="C157" i="3"/>
  <c r="C53" i="3"/>
  <c r="C76" i="3"/>
  <c r="C117" i="3"/>
  <c r="C74" i="3"/>
  <c r="C147" i="3"/>
  <c r="C63" i="3"/>
  <c r="C149" i="3"/>
  <c r="C47" i="3"/>
  <c r="C83" i="3"/>
  <c r="C119" i="3"/>
  <c r="C118" i="3"/>
  <c r="C155" i="3"/>
  <c r="C81" i="3"/>
  <c r="C95" i="3"/>
  <c r="C130" i="3"/>
  <c r="C43" i="3"/>
  <c r="C52" i="3"/>
  <c r="C98" i="3"/>
  <c r="C116" i="3"/>
  <c r="C112" i="3"/>
  <c r="C114" i="3"/>
  <c r="C128" i="3"/>
  <c r="C153" i="3"/>
  <c r="C48" i="3"/>
  <c r="C87" i="3"/>
  <c r="C121" i="3"/>
  <c r="C58" i="3"/>
  <c r="C85" i="3"/>
  <c r="C88" i="3"/>
  <c r="C96" i="3"/>
  <c r="C125" i="3"/>
  <c r="C148" i="3"/>
  <c r="C78" i="3"/>
  <c r="C145" i="3"/>
  <c r="C127" i="3"/>
  <c r="C107" i="3"/>
  <c r="C187" i="3"/>
  <c r="C193" i="3"/>
  <c r="C204" i="3"/>
  <c r="C129" i="3"/>
  <c r="C165" i="3"/>
  <c r="C180" i="3"/>
  <c r="C211" i="3"/>
  <c r="C213" i="3"/>
  <c r="C203" i="3"/>
  <c r="C189" i="3"/>
  <c r="C68" i="3"/>
  <c r="C182" i="3"/>
  <c r="C152" i="3"/>
  <c r="C162" i="3"/>
  <c r="C205" i="3"/>
  <c r="C57" i="3"/>
  <c r="C59" i="3"/>
  <c r="C146" i="3"/>
  <c r="C171" i="3"/>
  <c r="C201" i="3"/>
  <c r="C206" i="3"/>
  <c r="C219" i="3"/>
  <c r="C62" i="3"/>
  <c r="C56" i="3"/>
  <c r="C46" i="3"/>
  <c r="C86" i="3"/>
  <c r="C89" i="3"/>
  <c r="C91" i="3"/>
  <c r="C111" i="3"/>
  <c r="C181" i="3"/>
  <c r="C177" i="3"/>
  <c r="C215" i="3"/>
  <c r="C122" i="3"/>
  <c r="C170" i="3"/>
  <c r="C25" i="3"/>
  <c r="C75" i="3"/>
  <c r="C160" i="3"/>
  <c r="C168" i="3"/>
  <c r="C77" i="3"/>
  <c r="C110" i="3"/>
  <c r="C105" i="3"/>
  <c r="C70" i="3"/>
  <c r="C97" i="3"/>
  <c r="C102" i="3"/>
  <c r="C126" i="3"/>
  <c r="C214" i="3"/>
  <c r="C64" i="3"/>
  <c r="C108" i="3"/>
  <c r="C166" i="3"/>
  <c r="C158" i="3"/>
  <c r="C167" i="3"/>
  <c r="C123" i="3"/>
  <c r="C209" i="3"/>
  <c r="C217" i="3"/>
  <c r="C65" i="3"/>
  <c r="C192" i="3"/>
  <c r="C185" i="3"/>
  <c r="C212" i="3"/>
  <c r="C44" i="3"/>
  <c r="C50" i="3"/>
  <c r="C84" i="3"/>
  <c r="C99" i="3"/>
  <c r="C80" i="3"/>
  <c r="C115" i="3"/>
  <c r="C150" i="3"/>
  <c r="C208" i="3"/>
  <c r="C72" i="3"/>
  <c r="C54" i="3"/>
  <c r="C109" i="3"/>
  <c r="C106" i="3"/>
  <c r="C178" i="3"/>
  <c r="C194" i="3"/>
  <c r="C216" i="3"/>
  <c r="C69" i="3"/>
  <c r="C175" i="3"/>
  <c r="C176" i="3"/>
  <c r="C73" i="3"/>
  <c r="C67" i="3"/>
  <c r="C82" i="3"/>
  <c r="C79" i="3"/>
  <c r="C120" i="3"/>
  <c r="C94" i="3"/>
  <c r="C124" i="3"/>
  <c r="C172" i="3"/>
  <c r="C191" i="3"/>
  <c r="C207" i="3"/>
  <c r="C186" i="3"/>
  <c r="C42" i="3"/>
  <c r="C101" i="3"/>
  <c r="C90" i="3"/>
  <c r="C93" i="3"/>
  <c r="C92" i="3"/>
  <c r="C41" i="3"/>
  <c r="C144" i="3"/>
  <c r="C154" i="3"/>
  <c r="C156" i="3"/>
  <c r="C173" i="3"/>
  <c r="C179" i="3"/>
  <c r="C132" i="3" l="1"/>
  <c r="C16" i="3"/>
  <c r="C32" i="3"/>
  <c r="C4" i="3"/>
  <c r="C6" i="3"/>
  <c r="C23" i="3"/>
  <c r="C22" i="3"/>
  <c r="C136" i="3"/>
  <c r="C35" i="3"/>
  <c r="C7" i="3"/>
  <c r="C104" i="3"/>
  <c r="C27" i="3"/>
  <c r="C14" i="3"/>
  <c r="C12" i="3"/>
  <c r="C142" i="3"/>
  <c r="C38" i="3"/>
  <c r="C30" i="3"/>
  <c r="C3" i="3"/>
  <c r="C5" i="3"/>
  <c r="C135" i="3"/>
  <c r="C19" i="3"/>
  <c r="C18" i="3"/>
  <c r="C11" i="3"/>
  <c r="C37" i="3"/>
  <c r="C26" i="3"/>
  <c r="C15" i="3"/>
  <c r="C10" i="3"/>
  <c r="C143" i="3"/>
  <c r="C33" i="3"/>
  <c r="C20" i="3"/>
  <c r="C39" i="3"/>
  <c r="C141" i="3"/>
  <c r="C24" i="3"/>
  <c r="C28" i="3"/>
  <c r="C137" i="3"/>
  <c r="C40" i="3"/>
  <c r="C34" i="3"/>
  <c r="C131" i="3"/>
  <c r="C13" i="3"/>
  <c r="C36" i="3"/>
  <c r="C140" i="3"/>
  <c r="C31" i="3"/>
  <c r="C139" i="3"/>
  <c r="C138" i="3"/>
  <c r="C133" i="3"/>
  <c r="C8" i="3"/>
  <c r="C21" i="3"/>
  <c r="C9" i="3"/>
  <c r="C17" i="3"/>
  <c r="C134" i="3"/>
  <c r="C67" i="5" l="1"/>
  <c r="C36" i="5"/>
  <c r="C19" i="5" l="1"/>
  <c r="C15" i="5"/>
  <c r="C22" i="5"/>
  <c r="C55" i="5"/>
  <c r="C52" i="5"/>
  <c r="C66" i="5"/>
  <c r="C20" i="5"/>
  <c r="C17" i="5"/>
  <c r="C57" i="5"/>
  <c r="C33" i="5"/>
  <c r="C9" i="5"/>
  <c r="C47" i="5"/>
  <c r="C62" i="5"/>
  <c r="C53" i="5"/>
  <c r="C37" i="5"/>
  <c r="C31" i="5"/>
  <c r="C28" i="5"/>
  <c r="C18" i="5"/>
  <c r="C12" i="5"/>
  <c r="C29" i="5"/>
  <c r="C42" i="5"/>
  <c r="C43" i="5"/>
  <c r="C35" i="5"/>
  <c r="C58" i="5"/>
  <c r="C49" i="5"/>
  <c r="C21" i="5"/>
  <c r="C25" i="5"/>
  <c r="C13" i="5"/>
  <c r="C16" i="5"/>
  <c r="C30" i="5"/>
  <c r="C32" i="5"/>
  <c r="C39" i="5"/>
  <c r="C61" i="5"/>
  <c r="C59" i="5"/>
  <c r="C14" i="5"/>
  <c r="C38" i="5"/>
  <c r="C34" i="5"/>
  <c r="C10" i="5"/>
  <c r="C46" i="5"/>
  <c r="C41" i="5"/>
  <c r="C63" i="5"/>
  <c r="C50" i="5"/>
  <c r="C7" i="5"/>
  <c r="C6" i="5"/>
  <c r="C4" i="5"/>
  <c r="C64" i="5"/>
  <c r="C27" i="5"/>
  <c r="C8" i="5"/>
  <c r="C5" i="5"/>
  <c r="C23" i="5"/>
  <c r="C44" i="5"/>
  <c r="C26" i="5"/>
  <c r="C65" i="5"/>
  <c r="C45" i="5"/>
  <c r="C24" i="5"/>
  <c r="C54" i="5"/>
  <c r="C56" i="5"/>
  <c r="C11" i="5"/>
  <c r="C60" i="5"/>
  <c r="C40" i="5"/>
  <c r="C51" i="5"/>
  <c r="C48" i="5"/>
  <c r="C68" i="5"/>
  <c r="C3" i="5" l="1"/>
  <c r="L16" i="1"/>
  <c r="L15" i="1"/>
  <c r="L12" i="1"/>
  <c r="L13" i="1"/>
  <c r="L17" i="1"/>
  <c r="L7" i="1"/>
  <c r="L9" i="1"/>
  <c r="L6" i="1"/>
  <c r="L11" i="1"/>
  <c r="L8" i="1"/>
  <c r="L10" i="1"/>
  <c r="L14" i="1"/>
  <c r="L18" i="1" l="1"/>
  <c r="C40" i="6"/>
  <c r="C75" i="6"/>
  <c r="C63" i="6"/>
  <c r="D72" i="4"/>
  <c r="C44" i="6"/>
  <c r="C77" i="6"/>
  <c r="C86" i="6"/>
  <c r="C46" i="6"/>
  <c r="C54" i="6"/>
  <c r="C18" i="6"/>
  <c r="C17" i="6"/>
  <c r="C9" i="6"/>
  <c r="C11" i="6"/>
  <c r="C56" i="6"/>
  <c r="C60" i="6"/>
  <c r="D31" i="4"/>
  <c r="C5" i="6"/>
  <c r="C42" i="6"/>
  <c r="C69" i="6"/>
  <c r="C7" i="6"/>
  <c r="C8" i="6"/>
  <c r="C79" i="6"/>
  <c r="C89" i="6"/>
  <c r="C99" i="6"/>
  <c r="C6" i="6"/>
  <c r="C14" i="6"/>
  <c r="D11" i="4"/>
  <c r="D83" i="4"/>
  <c r="C4" i="6"/>
  <c r="C15" i="6"/>
  <c r="C67" i="6"/>
  <c r="D74" i="4"/>
  <c r="C13" i="6"/>
  <c r="D15" i="4"/>
  <c r="C3" i="6"/>
  <c r="C52" i="6"/>
  <c r="C62" i="6"/>
  <c r="C93" i="6"/>
  <c r="C95" i="6"/>
  <c r="C19" i="6"/>
  <c r="D29" i="4"/>
  <c r="C16" i="6"/>
  <c r="C32" i="6"/>
  <c r="C73" i="6"/>
  <c r="D70" i="4"/>
  <c r="D71" i="4"/>
  <c r="D80" i="4"/>
  <c r="D81" i="4"/>
  <c r="C10" i="6"/>
  <c r="D13" i="4"/>
  <c r="D19" i="4"/>
  <c r="D77" i="4"/>
  <c r="D84" i="4"/>
  <c r="D67" i="4"/>
  <c r="D75" i="4"/>
  <c r="C20" i="6"/>
  <c r="C22" i="6"/>
  <c r="C24" i="6"/>
  <c r="C26" i="6"/>
  <c r="C28" i="6"/>
  <c r="C30" i="6"/>
  <c r="C34" i="6"/>
  <c r="C37" i="6"/>
  <c r="C21" i="6"/>
  <c r="C23" i="6"/>
  <c r="C25" i="6"/>
  <c r="C27" i="6"/>
  <c r="C29" i="6"/>
  <c r="C31" i="6"/>
  <c r="C33" i="6"/>
  <c r="C35" i="6"/>
  <c r="C36" i="6"/>
  <c r="C64" i="6"/>
  <c r="C45" i="6"/>
  <c r="C47" i="6"/>
  <c r="C49" i="6"/>
  <c r="C51" i="6"/>
  <c r="C53" i="6"/>
  <c r="C55" i="6"/>
  <c r="C57" i="6"/>
  <c r="C59" i="6"/>
  <c r="C61" i="6"/>
  <c r="C74" i="6"/>
  <c r="C76" i="6"/>
  <c r="C78" i="6"/>
  <c r="C80" i="6"/>
  <c r="C82" i="6"/>
  <c r="C84" i="6"/>
  <c r="C88" i="6"/>
  <c r="C90" i="6"/>
  <c r="C92" i="6"/>
  <c r="C94" i="6"/>
  <c r="C96" i="6"/>
  <c r="C98" i="6"/>
  <c r="C100" i="6"/>
  <c r="D9" i="4"/>
  <c r="D22" i="4"/>
  <c r="D24" i="4"/>
  <c r="D26" i="4"/>
  <c r="D32" i="4"/>
  <c r="D27" i="4"/>
  <c r="D73" i="4"/>
  <c r="D52" i="4"/>
  <c r="D54" i="4"/>
  <c r="D56" i="4"/>
  <c r="D58" i="4"/>
  <c r="D60" i="4"/>
  <c r="D64" i="4"/>
  <c r="D37" i="4"/>
  <c r="D39" i="4"/>
  <c r="D41" i="4"/>
  <c r="D43" i="4"/>
  <c r="D45" i="4"/>
  <c r="D47" i="4"/>
  <c r="D49" i="4"/>
  <c r="D51" i="4"/>
  <c r="D55" i="4"/>
  <c r="D57" i="4"/>
  <c r="D59" i="4"/>
  <c r="D61" i="4"/>
  <c r="D63" i="4"/>
  <c r="D53" i="4" l="1"/>
  <c r="D124" i="4"/>
  <c r="D62" i="4"/>
  <c r="D119" i="4"/>
  <c r="D20" i="4"/>
  <c r="D126" i="4"/>
  <c r="D129" i="4"/>
  <c r="D7" i="4"/>
  <c r="D91" i="4"/>
  <c r="D136" i="4"/>
  <c r="D94" i="4"/>
  <c r="D99" i="4"/>
  <c r="D5" i="4"/>
  <c r="D17" i="4"/>
  <c r="D88" i="4"/>
  <c r="D10" i="4"/>
  <c r="D127" i="4"/>
  <c r="D134" i="4"/>
  <c r="D8" i="4"/>
  <c r="D6" i="4"/>
  <c r="D89" i="4"/>
  <c r="D4" i="4"/>
  <c r="D114" i="4"/>
  <c r="D125" i="4"/>
  <c r="D92" i="4"/>
  <c r="D117" i="4"/>
  <c r="D112" i="4"/>
  <c r="D28" i="4"/>
  <c r="D135" i="4"/>
  <c r="D111" i="4"/>
  <c r="D12" i="4"/>
  <c r="D133" i="4"/>
  <c r="D85" i="4"/>
  <c r="D95" i="4"/>
  <c r="D104" i="4"/>
  <c r="D76" i="4"/>
  <c r="D100" i="4"/>
  <c r="D103" i="4"/>
  <c r="D30" i="4"/>
  <c r="C81" i="6"/>
  <c r="C83" i="6"/>
  <c r="C97" i="6"/>
  <c r="C91" i="6"/>
  <c r="C48" i="6"/>
  <c r="C12" i="6"/>
  <c r="C50" i="6"/>
  <c r="C38" i="6"/>
  <c r="C58" i="6"/>
  <c r="D68" i="4"/>
  <c r="D65" i="4"/>
  <c r="D50" i="4"/>
  <c r="D35" i="4"/>
  <c r="C87" i="6"/>
  <c r="C71" i="6"/>
  <c r="D21" i="4"/>
  <c r="C68" i="6"/>
  <c r="C72" i="6"/>
  <c r="C85" i="6"/>
  <c r="D79" i="4"/>
  <c r="D82" i="4"/>
  <c r="D38" i="4"/>
  <c r="C70" i="6"/>
  <c r="C65" i="6"/>
  <c r="C39" i="6"/>
  <c r="C41" i="6"/>
  <c r="C43" i="6"/>
  <c r="C66" i="6"/>
  <c r="D40" i="4"/>
  <c r="D25" i="4"/>
  <c r="D48" i="4"/>
  <c r="D33" i="4"/>
  <c r="D34" i="4"/>
  <c r="K17" i="1" l="1"/>
  <c r="M17" i="1" s="1"/>
  <c r="K9" i="1"/>
  <c r="M9" i="1" s="1"/>
  <c r="K14" i="1"/>
  <c r="M14" i="1" s="1"/>
  <c r="K10" i="1"/>
  <c r="M10" i="1" s="1"/>
  <c r="K13" i="1"/>
  <c r="M13" i="1" s="1"/>
  <c r="K16" i="1"/>
  <c r="M16" i="1" s="1"/>
  <c r="K8" i="1"/>
  <c r="M8" i="1" s="1"/>
  <c r="K6" i="1"/>
  <c r="M6" i="1" s="1"/>
  <c r="K15" i="1"/>
  <c r="M15" i="1" s="1"/>
  <c r="K12" i="1"/>
  <c r="M12" i="1" s="1"/>
  <c r="K7" i="1"/>
  <c r="M7" i="1" s="1"/>
  <c r="K11" i="1"/>
  <c r="M11" i="1" s="1"/>
  <c r="D107" i="4"/>
  <c r="D109" i="4"/>
  <c r="D23" i="4"/>
  <c r="D90" i="4"/>
  <c r="D115" i="4"/>
  <c r="D18" i="4"/>
  <c r="D98" i="4"/>
  <c r="D131" i="4"/>
  <c r="D46" i="4"/>
  <c r="D130" i="4"/>
  <c r="D121" i="4"/>
  <c r="D14" i="4"/>
  <c r="D87" i="4"/>
  <c r="D132" i="4"/>
  <c r="D97" i="4"/>
  <c r="D42" i="4"/>
  <c r="D105" i="4"/>
  <c r="D44" i="4"/>
  <c r="D93" i="4"/>
  <c r="D108" i="4"/>
  <c r="D101" i="4"/>
  <c r="D120" i="4"/>
  <c r="D123" i="4"/>
  <c r="D69" i="4"/>
  <c r="D122" i="4"/>
  <c r="D36" i="4"/>
  <c r="D113" i="4"/>
  <c r="D102" i="4"/>
  <c r="D110" i="4"/>
  <c r="D106" i="4"/>
  <c r="D66" i="4"/>
  <c r="D16" i="4"/>
  <c r="D96" i="4"/>
  <c r="D78" i="4"/>
  <c r="D116" i="4"/>
  <c r="D86" i="4"/>
  <c r="D118" i="4"/>
  <c r="D3" i="4"/>
  <c r="D128" i="4"/>
  <c r="K18" i="1" l="1"/>
  <c r="M18" i="1"/>
  <c r="Y118" i="4" l="1"/>
  <c r="Z118" i="4" s="1"/>
  <c r="Y14" i="4"/>
  <c r="Z14" i="4" s="1"/>
  <c r="Y84" i="4"/>
  <c r="Z84" i="4" s="1"/>
  <c r="Y82" i="4"/>
  <c r="Z82" i="4" s="1"/>
  <c r="Y81" i="4"/>
  <c r="Z81" i="4" s="1"/>
  <c r="Y80" i="4"/>
  <c r="Z80" i="4" s="1"/>
  <c r="Y77" i="4"/>
  <c r="Z77" i="4" s="1"/>
  <c r="Y74" i="4"/>
  <c r="Z74" i="4" s="1"/>
  <c r="Y72" i="4"/>
  <c r="Z72" i="4" s="1"/>
  <c r="Y70" i="4"/>
  <c r="Z70" i="4" s="1"/>
  <c r="Y68" i="4"/>
  <c r="Z68" i="4" s="1"/>
  <c r="Y67" i="4"/>
  <c r="Z67" i="4" s="1"/>
  <c r="Y51" i="4"/>
  <c r="Z51" i="4" s="1"/>
  <c r="Y15" i="4"/>
  <c r="Z15" i="4" s="1"/>
  <c r="Y87" i="4"/>
  <c r="Z87" i="4" s="1"/>
  <c r="V118" i="4"/>
  <c r="W118" i="4" s="1"/>
  <c r="V14" i="4"/>
  <c r="W14" i="4" s="1"/>
  <c r="V84" i="4"/>
  <c r="W84" i="4" s="1"/>
  <c r="V82" i="4"/>
  <c r="W82" i="4" s="1"/>
  <c r="V81" i="4"/>
  <c r="W81" i="4" s="1"/>
  <c r="V80" i="4"/>
  <c r="W80" i="4" s="1"/>
  <c r="V77" i="4"/>
  <c r="W77" i="4" s="1"/>
  <c r="V70" i="4"/>
  <c r="W70" i="4" s="1"/>
  <c r="V67" i="4"/>
  <c r="W67" i="4" s="1"/>
  <c r="V51" i="4"/>
  <c r="W51" i="4" s="1"/>
  <c r="V87" i="4"/>
  <c r="W87" i="4" s="1"/>
  <c r="M14" i="4"/>
  <c r="N14" i="4" s="1"/>
  <c r="M84" i="4"/>
  <c r="N84" i="4" s="1"/>
  <c r="M82" i="4"/>
  <c r="N82" i="4" s="1"/>
  <c r="P118" i="4"/>
  <c r="Q118" i="4" s="1"/>
  <c r="P14" i="4"/>
  <c r="Q14" i="4" s="1"/>
  <c r="P84" i="4"/>
  <c r="Q84" i="4" s="1"/>
  <c r="P82" i="4"/>
  <c r="Q82" i="4" s="1"/>
  <c r="P81" i="4"/>
  <c r="Q81" i="4" s="1"/>
  <c r="S118" i="4"/>
  <c r="T118" i="4" s="1"/>
  <c r="S14" i="4"/>
  <c r="T14" i="4" s="1"/>
  <c r="S84" i="4"/>
  <c r="T84" i="4" s="1"/>
  <c r="S82" i="4"/>
  <c r="T82" i="4" s="1"/>
  <c r="S81" i="4"/>
  <c r="T81" i="4" s="1"/>
  <c r="S80" i="4"/>
  <c r="T80" i="4" s="1"/>
  <c r="S77" i="4"/>
  <c r="T77" i="4" s="1"/>
  <c r="S87" i="4"/>
  <c r="T87" i="4" s="1"/>
  <c r="S126" i="4" l="1"/>
  <c r="T126" i="4" s="1"/>
  <c r="S69" i="4"/>
  <c r="T69" i="4" s="1"/>
  <c r="M89" i="4"/>
  <c r="N89" i="4" s="1"/>
  <c r="M78" i="4"/>
  <c r="N78" i="4" s="1"/>
  <c r="V76" i="4"/>
  <c r="W76" i="4" s="1"/>
  <c r="V106" i="4"/>
  <c r="W106" i="4" s="1"/>
  <c r="Y76" i="4"/>
  <c r="Z76" i="4" s="1"/>
  <c r="Y106" i="4"/>
  <c r="Z106" i="4" s="1"/>
  <c r="S106" i="4"/>
  <c r="T106" i="4" s="1"/>
  <c r="S76" i="4"/>
  <c r="T76" i="4" s="1"/>
  <c r="P126" i="4"/>
  <c r="Q126" i="4" s="1"/>
  <c r="P69" i="4"/>
  <c r="Q69" i="4" s="1"/>
  <c r="M88" i="4"/>
  <c r="N88" i="4" s="1"/>
  <c r="M83" i="4"/>
  <c r="N83" i="4" s="1"/>
  <c r="V78" i="4"/>
  <c r="W78" i="4" s="1"/>
  <c r="V89" i="4"/>
  <c r="W89" i="4" s="1"/>
  <c r="Y78" i="4"/>
  <c r="Z78" i="4" s="1"/>
  <c r="Y89" i="4"/>
  <c r="Z89" i="4" s="1"/>
  <c r="S89" i="4"/>
  <c r="T89" i="4" s="1"/>
  <c r="S78" i="4"/>
  <c r="T78" i="4" s="1"/>
  <c r="P106" i="4"/>
  <c r="Q106" i="4" s="1"/>
  <c r="P76" i="4"/>
  <c r="Q76" i="4" s="1"/>
  <c r="P78" i="4"/>
  <c r="Q78" i="4" s="1"/>
  <c r="P89" i="4"/>
  <c r="Q89" i="4" s="1"/>
  <c r="J2701" i="7"/>
  <c r="J1884" i="7"/>
  <c r="J1049" i="7"/>
  <c r="J1764" i="7"/>
  <c r="J2025" i="7"/>
  <c r="J2628" i="7"/>
  <c r="J2151" i="7"/>
  <c r="J1689" i="7"/>
  <c r="J2438" i="7"/>
  <c r="J1697" i="7"/>
  <c r="J2366" i="7"/>
  <c r="J2261" i="7"/>
  <c r="J1670" i="7"/>
  <c r="J2195" i="7"/>
  <c r="J2684" i="7"/>
  <c r="J1925" i="7"/>
  <c r="J1598" i="7"/>
  <c r="J1229" i="7"/>
  <c r="J2577" i="7"/>
  <c r="J2399" i="7"/>
  <c r="J2077" i="7"/>
  <c r="J2327" i="7"/>
  <c r="J1187" i="7"/>
  <c r="J1770" i="7"/>
  <c r="J2099" i="7"/>
  <c r="J2108" i="7"/>
  <c r="J1091" i="7"/>
  <c r="J2127" i="7"/>
  <c r="J1788" i="7"/>
  <c r="J1037" i="7"/>
  <c r="J1842" i="7"/>
  <c r="J2478" i="7"/>
  <c r="J1987" i="7"/>
  <c r="J2456" i="7"/>
  <c r="J2243" i="7"/>
  <c r="J2384" i="7"/>
  <c r="J2123" i="7"/>
  <c r="J2066" i="7"/>
  <c r="J2513" i="7"/>
  <c r="J1562" i="7"/>
  <c r="J1751" i="7"/>
  <c r="J1481" i="7"/>
  <c r="J1663" i="7"/>
  <c r="J2225" i="7"/>
  <c r="J2527" i="7"/>
  <c r="J1319" i="7"/>
  <c r="J2018" i="7"/>
  <c r="J2489" i="7"/>
  <c r="J1337" i="7"/>
  <c r="J2417" i="7"/>
  <c r="J1463" i="7"/>
  <c r="J1932" i="7"/>
  <c r="J2315" i="7"/>
  <c r="J2624" i="7"/>
  <c r="J1289" i="7"/>
  <c r="J1555" i="7"/>
  <c r="J1805" i="7"/>
  <c r="J2588" i="7"/>
  <c r="J1614" i="7"/>
  <c r="J2175" i="7"/>
  <c r="J2340" i="7"/>
  <c r="J1741" i="7"/>
  <c r="J2406" i="7"/>
  <c r="J2070" i="7"/>
  <c r="J1773" i="7"/>
  <c r="J1886" i="7"/>
  <c r="J1675" i="7"/>
  <c r="J1529" i="7"/>
  <c r="J2512" i="7"/>
  <c r="J2197" i="7"/>
  <c r="J2033" i="7"/>
  <c r="J1699" i="7"/>
  <c r="J1864" i="7"/>
  <c r="J2198" i="7"/>
  <c r="J2218" i="7"/>
  <c r="J1774" i="7"/>
  <c r="J1668" i="7"/>
  <c r="J1259" i="7"/>
  <c r="J2581" i="7"/>
  <c r="J1199" i="7"/>
  <c r="J1867" i="7"/>
  <c r="J1163" i="7"/>
  <c r="J1966" i="7"/>
  <c r="J494" i="7"/>
  <c r="J2058" i="7"/>
  <c r="J2694" i="7"/>
  <c r="J1662" i="7"/>
  <c r="J2550" i="7"/>
  <c r="J2135" i="7"/>
  <c r="J2492" i="7"/>
  <c r="J1373" i="7"/>
  <c r="J2300" i="7"/>
  <c r="J2621" i="7"/>
  <c r="J1743" i="7"/>
  <c r="J2549" i="7"/>
  <c r="J1844" i="7"/>
  <c r="J1674" i="7"/>
  <c r="J2491" i="7"/>
  <c r="J2333" i="7"/>
  <c r="J1869" i="7"/>
  <c r="J1608" i="7"/>
  <c r="J2144" i="7"/>
  <c r="J2056" i="7"/>
  <c r="J1969" i="7"/>
  <c r="J1643" i="7"/>
  <c r="J2604" i="7"/>
  <c r="J2257" i="7"/>
  <c r="J2670" i="7"/>
  <c r="J2109" i="7"/>
  <c r="J2166" i="7"/>
  <c r="J2146" i="7"/>
  <c r="J1804" i="7"/>
  <c r="J2586" i="7"/>
  <c r="J1877" i="7"/>
  <c r="J1970" i="7"/>
  <c r="J2159" i="7"/>
  <c r="J1601" i="7"/>
  <c r="J2639" i="7"/>
  <c r="J2217" i="7"/>
  <c r="J2567" i="7"/>
  <c r="J1358" i="7"/>
  <c r="J2016" i="7"/>
  <c r="J2436" i="7"/>
  <c r="J1566" i="7"/>
  <c r="J2034" i="7"/>
  <c r="J2115" i="7"/>
  <c r="J2084" i="7"/>
  <c r="J1574" i="7"/>
  <c r="J1940" i="7"/>
  <c r="J1554" i="7"/>
  <c r="J2184" i="7"/>
  <c r="J1007" i="7"/>
  <c r="J2395" i="7"/>
  <c r="J2346" i="7"/>
  <c r="J1828" i="7"/>
  <c r="J2202" i="7"/>
  <c r="J2283" i="7"/>
  <c r="J1903" i="7"/>
  <c r="J2542" i="7"/>
  <c r="J1758" i="7"/>
  <c r="J1851" i="7"/>
  <c r="J2664" i="7"/>
  <c r="J1790" i="7"/>
  <c r="J1397" i="7"/>
  <c r="J2138" i="7"/>
  <c r="J2117" i="7"/>
  <c r="J1994" i="7"/>
  <c r="J2111" i="7"/>
  <c r="J2060" i="7"/>
  <c r="J1836" i="7"/>
  <c r="J1556" i="7"/>
  <c r="J1900" i="7"/>
  <c r="J1628" i="7"/>
  <c r="J2276" i="7"/>
  <c r="J1669" i="7"/>
  <c r="J2120" i="7"/>
  <c r="J1998" i="7"/>
  <c r="J2364" i="7"/>
  <c r="J1097" i="7"/>
  <c r="J2414" i="7"/>
  <c r="J2526" i="7"/>
  <c r="J1576" i="7"/>
  <c r="J2382" i="7"/>
  <c r="J2280" i="7"/>
  <c r="J1579" i="7"/>
  <c r="J1957" i="7"/>
  <c r="J1625" i="7"/>
  <c r="J223" i="7"/>
  <c r="J2186" i="7"/>
  <c r="J2375" i="7"/>
  <c r="J1817" i="7"/>
  <c r="J2467" i="7"/>
  <c r="J1067" i="7"/>
  <c r="J2675" i="7"/>
  <c r="J1466" i="7"/>
  <c r="J2232" i="7"/>
  <c r="J1747" i="7"/>
  <c r="J1133" i="7"/>
  <c r="J2305" i="7"/>
  <c r="J1776" i="7"/>
  <c r="J1909" i="7"/>
  <c r="J2303" i="7"/>
  <c r="J2558" i="7"/>
  <c r="J2357" i="7"/>
  <c r="J2486" i="7"/>
  <c r="J1325" i="7"/>
  <c r="J1585" i="7"/>
  <c r="J1832" i="7"/>
  <c r="J2574" i="7"/>
  <c r="J1688" i="7"/>
  <c r="J2173" i="7"/>
  <c r="J2453" i="7"/>
  <c r="J1919" i="7"/>
  <c r="J2341" i="7"/>
  <c r="J1169" i="7"/>
  <c r="J1040" i="7"/>
  <c r="J2642" i="7"/>
  <c r="J977" i="7"/>
  <c r="J2028" i="7"/>
  <c r="J2584" i="7"/>
  <c r="J2464" i="7"/>
  <c r="J1801" i="7"/>
  <c r="J1595" i="7"/>
  <c r="J1639" i="7"/>
  <c r="J1547" i="7"/>
  <c r="J2510" i="7"/>
  <c r="J1781" i="7"/>
  <c r="J2383" i="7"/>
  <c r="J2087" i="7"/>
  <c r="J2212" i="7"/>
  <c r="J2648" i="7"/>
  <c r="J2039" i="7"/>
  <c r="J2576" i="7"/>
  <c r="J1709" i="7"/>
  <c r="J1765" i="7"/>
  <c r="J2529" i="7"/>
  <c r="J2427" i="7"/>
  <c r="J2291" i="7"/>
  <c r="J2663" i="7"/>
  <c r="J2219" i="7"/>
  <c r="J1079" i="7"/>
  <c r="J2036" i="7"/>
  <c r="J1043" i="7"/>
  <c r="J1898" i="7"/>
  <c r="J2279" i="7"/>
  <c r="J2605" i="7"/>
  <c r="J1415" i="7"/>
  <c r="J1756" i="7"/>
  <c r="J2088" i="7"/>
  <c r="J1894" i="7"/>
  <c r="J1944" i="7"/>
  <c r="J2466" i="7"/>
  <c r="J2010" i="7"/>
  <c r="J1620" i="7"/>
  <c r="J2011" i="7"/>
  <c r="J1943" i="7"/>
  <c r="J2203" i="7"/>
  <c r="J2627" i="7"/>
  <c r="J2009" i="7"/>
  <c r="J2185" i="7"/>
  <c r="J2057" i="7"/>
  <c r="J2634" i="7"/>
  <c r="J2661" i="7"/>
  <c r="J1802" i="7"/>
  <c r="J2381" i="7"/>
  <c r="J2183" i="7"/>
  <c r="J2309" i="7"/>
  <c r="J1753" i="7"/>
  <c r="J2005" i="7"/>
  <c r="J2015" i="7"/>
  <c r="J709" i="7"/>
  <c r="J850" i="7"/>
  <c r="J2681" i="7"/>
  <c r="J2625" i="7"/>
  <c r="J2244" i="7"/>
  <c r="J2239" i="7"/>
  <c r="J2680" i="7"/>
  <c r="J2298" i="7"/>
  <c r="J1705" i="7"/>
  <c r="J2287" i="7"/>
  <c r="J1763" i="7"/>
  <c r="J2618" i="7"/>
  <c r="J1985" i="7"/>
  <c r="J1795" i="7"/>
  <c r="J2423" i="7"/>
  <c r="J2030" i="7"/>
  <c r="J1577" i="7"/>
  <c r="J2182" i="7"/>
  <c r="J2090" i="7"/>
  <c r="J1430" i="7"/>
  <c r="J1946" i="7"/>
  <c r="J2220" i="7"/>
  <c r="J2579" i="7"/>
  <c r="J2411" i="7"/>
  <c r="J1559" i="7"/>
  <c r="J2352" i="7"/>
  <c r="J1685" i="7"/>
  <c r="J2208" i="7"/>
  <c r="J995" i="7"/>
  <c r="J1914" i="7"/>
  <c r="J2095" i="7"/>
  <c r="J1918" i="7"/>
  <c r="J2119" i="7"/>
  <c r="J1784" i="7"/>
  <c r="J2437" i="7"/>
  <c r="J2502" i="7"/>
  <c r="J2636" i="7"/>
  <c r="J2372" i="7"/>
  <c r="J833" i="7"/>
  <c r="J2168" i="7"/>
  <c r="J1593" i="7"/>
  <c r="J2693" i="7"/>
  <c r="J1160" i="7"/>
  <c r="J2441" i="7"/>
  <c r="J2085" i="7"/>
  <c r="J1634" i="7"/>
  <c r="J2282" i="7"/>
  <c r="J1304" i="7"/>
  <c r="J2126" i="7"/>
  <c r="J1646" i="7"/>
  <c r="J2669" i="7"/>
  <c r="J2501" i="7"/>
  <c r="J2590" i="7"/>
  <c r="J2532" i="7"/>
  <c r="J1427" i="7"/>
  <c r="J2388" i="7"/>
  <c r="J2455" i="7"/>
  <c r="J2094" i="7"/>
  <c r="J2583" i="7"/>
  <c r="J1956" i="7"/>
  <c r="J2241" i="7"/>
  <c r="J2022" i="7"/>
  <c r="J1484" i="7"/>
  <c r="J1424" i="7"/>
  <c r="J2546" i="7"/>
  <c r="J1913" i="7"/>
  <c r="J2474" i="7"/>
  <c r="J1451" i="7"/>
  <c r="J2246" i="7"/>
  <c r="J1793" i="7"/>
  <c r="J1742" i="7"/>
  <c r="J2296" i="7"/>
  <c r="J1814" i="7"/>
  <c r="J1361" i="7"/>
  <c r="J1750" i="7"/>
  <c r="J1868" i="7"/>
  <c r="J2652" i="7"/>
  <c r="J2435" i="7"/>
  <c r="J1295" i="7"/>
  <c r="J1968" i="7"/>
  <c r="J899" i="7"/>
  <c r="J2620" i="7"/>
  <c r="J2130" i="7"/>
  <c r="J2288" i="7"/>
  <c r="J1733" i="7"/>
  <c r="J1286" i="7"/>
  <c r="J2505" i="7"/>
  <c r="J1512" i="7"/>
  <c r="J1394" i="7"/>
  <c r="J2425" i="7"/>
  <c r="J1717" i="7"/>
  <c r="J1789" i="7"/>
  <c r="J2421" i="7"/>
  <c r="J2498" i="7"/>
  <c r="J2063" i="7"/>
  <c r="J1572" i="7"/>
  <c r="J1809" i="7"/>
  <c r="J1548" i="7"/>
  <c r="J1268" i="7"/>
  <c r="J2479" i="7"/>
  <c r="J2688" i="7"/>
  <c r="J1980" i="7"/>
  <c r="J2292" i="7"/>
  <c r="J2488" i="7"/>
  <c r="J2256" i="7"/>
  <c r="J1853" i="7"/>
  <c r="J2112" i="7"/>
  <c r="J1715" i="7"/>
  <c r="J1771" i="7"/>
  <c r="J1121" i="7"/>
  <c r="J2193" i="7"/>
  <c r="J2023" i="7"/>
  <c r="J1560" i="7"/>
  <c r="J1681" i="7"/>
  <c r="J2483" i="7"/>
  <c r="J2042" i="7"/>
  <c r="J2447" i="7"/>
  <c r="J1118" i="7"/>
  <c r="J2516" i="7"/>
  <c r="J1181" i="7"/>
  <c r="J2444" i="7"/>
  <c r="J1475" i="7"/>
  <c r="J1590" i="7"/>
  <c r="J2262" i="7"/>
  <c r="J2645" i="7"/>
  <c r="J2118" i="7"/>
  <c r="J1619" i="7"/>
  <c r="J2539" i="7"/>
  <c r="J1745" i="7"/>
  <c r="J2666" i="7"/>
  <c r="J1523" i="7"/>
  <c r="J1632" i="7"/>
  <c r="J2216" i="7"/>
  <c r="J2153" i="7"/>
  <c r="J2450" i="7"/>
  <c r="J2069" i="7"/>
  <c r="J2640" i="7"/>
  <c r="J1211" i="7"/>
  <c r="J2706" i="7"/>
  <c r="J1616" i="7"/>
  <c r="J2358" i="7"/>
  <c r="J2323" i="7"/>
  <c r="J1759" i="7"/>
  <c r="J2222" i="7"/>
  <c r="J1829" i="7"/>
  <c r="J2089" i="7"/>
  <c r="J2465" i="7"/>
  <c r="J2150" i="7"/>
  <c r="J2321" i="7"/>
  <c r="J2480" i="7"/>
  <c r="J1885" i="7"/>
  <c r="J1959" i="7"/>
  <c r="J2657" i="7"/>
  <c r="J2523" i="7"/>
  <c r="J2196" i="7"/>
  <c r="J1603" i="7"/>
  <c r="J1728" i="7"/>
  <c r="J2430" i="7"/>
  <c r="J1782" i="7"/>
  <c r="J1746" i="7"/>
  <c r="J2272" i="7"/>
  <c r="J2540" i="7"/>
  <c r="J1865" i="7"/>
  <c r="J2359" i="7"/>
  <c r="J1648" i="7"/>
  <c r="J2689" i="7"/>
  <c r="J2325" i="7"/>
  <c r="J2211" i="7"/>
  <c r="J2264" i="7"/>
  <c r="J1550" i="7"/>
  <c r="J1570" i="7"/>
  <c r="J2337" i="7"/>
  <c r="J2552" i="7"/>
  <c r="J1691" i="7"/>
  <c r="J1848" i="7"/>
  <c r="J2484" i="7"/>
  <c r="J1860" i="7"/>
  <c r="J2334" i="7"/>
  <c r="J1835" i="7"/>
  <c r="J1718" i="7"/>
  <c r="J1967" i="7"/>
  <c r="J2420" i="7"/>
  <c r="J1880" i="7"/>
  <c r="J2702" i="7"/>
  <c r="J1757" i="7"/>
  <c r="J2071" i="7"/>
  <c r="J2137" i="7"/>
  <c r="J2224" i="7"/>
  <c r="J1693" i="7"/>
  <c r="J1124" i="7"/>
  <c r="J2192" i="7"/>
  <c r="J1856" i="7"/>
  <c r="J1840" i="7"/>
  <c r="J2324" i="7"/>
  <c r="J1433" i="7"/>
  <c r="J2252" i="7"/>
  <c r="J1193" i="7"/>
  <c r="J2100" i="7"/>
  <c r="J1157" i="7"/>
  <c r="J2461" i="7"/>
  <c r="J2520" i="7"/>
  <c r="J2326" i="7"/>
  <c r="J2376" i="7"/>
  <c r="J1561" i="7"/>
  <c r="J1754" i="7"/>
  <c r="J1997" i="7"/>
  <c r="J1385" i="7"/>
  <c r="J1916" i="7"/>
  <c r="J851" i="7"/>
  <c r="J1772" i="7"/>
  <c r="J2116" i="7"/>
  <c r="J2354" i="7"/>
  <c r="J1569" i="7"/>
  <c r="J2569" i="7"/>
  <c r="J1349" i="7"/>
  <c r="J2133" i="7"/>
  <c r="J1874" i="7"/>
  <c r="J1322" i="7"/>
  <c r="J1724" i="7"/>
  <c r="J2699" i="7"/>
  <c r="J2471" i="7"/>
  <c r="J1973" i="7"/>
  <c r="J1343" i="7"/>
  <c r="J2136" i="7"/>
  <c r="J1602" i="7"/>
  <c r="J1847" i="7"/>
  <c r="J2188" i="7"/>
  <c r="J1734" i="7"/>
  <c r="J1175" i="7"/>
  <c r="J1596" i="7"/>
  <c r="J2041" i="7"/>
  <c r="J2448" i="7"/>
  <c r="J2318" i="7"/>
  <c r="J1241" i="7"/>
  <c r="J2348" i="7"/>
  <c r="J1937" i="7"/>
  <c r="J2485" i="7"/>
  <c r="J1961" i="7"/>
  <c r="J2443" i="7"/>
  <c r="J1409" i="7"/>
  <c r="J2594" i="7"/>
  <c r="J1541" i="7"/>
  <c r="J1879" i="7"/>
  <c r="J2054" i="7"/>
  <c r="J1196" i="7"/>
  <c r="J1904" i="7"/>
  <c r="J1740" i="7"/>
  <c r="J2561" i="7"/>
  <c r="J2393" i="7"/>
  <c r="J2374" i="7"/>
  <c r="J2316" i="7"/>
  <c r="J2515" i="7"/>
  <c r="J2045" i="7"/>
  <c r="J2646" i="7"/>
  <c r="J1291" i="7"/>
  <c r="J337" i="7"/>
  <c r="J2592" i="7"/>
  <c r="J1777" i="7"/>
  <c r="J2658" i="7"/>
  <c r="J2322" i="7"/>
  <c r="J1607" i="7"/>
  <c r="J2132" i="7"/>
  <c r="J959" i="7"/>
  <c r="J1988" i="7"/>
  <c r="J2332" i="7"/>
  <c r="J2603" i="7"/>
  <c r="J1830" i="7"/>
  <c r="J2351" i="7"/>
  <c r="J1862" i="7"/>
  <c r="J2387" i="7"/>
  <c r="J2705" i="7"/>
  <c r="J1769" i="7"/>
  <c r="J2633" i="7"/>
  <c r="J1895" i="7"/>
  <c r="J2378" i="7"/>
  <c r="J1217" i="7"/>
  <c r="J1537" i="7"/>
  <c r="J1622" i="7"/>
  <c r="J1825" i="7"/>
  <c r="J2371" i="7"/>
  <c r="J2274" i="7"/>
  <c r="J1573" i="7"/>
  <c r="J1926" i="7"/>
  <c r="J1382" i="7"/>
  <c r="J2227" i="7"/>
  <c r="J935" i="7"/>
  <c r="J2690" i="7"/>
  <c r="J1883" i="7"/>
  <c r="J1818" i="7"/>
  <c r="J2368" i="7"/>
  <c r="J2248" i="7"/>
  <c r="J1866" i="7"/>
  <c r="J2610" i="7"/>
  <c r="J1650" i="7"/>
  <c r="J2105" i="7"/>
  <c r="J2472" i="7"/>
  <c r="J2051" i="7"/>
  <c r="J2477" i="7"/>
  <c r="J2650" i="7"/>
  <c r="J2206" i="7"/>
  <c r="J2040" i="7"/>
  <c r="J1637" i="7"/>
  <c r="J2468" i="7"/>
  <c r="J1493" i="7"/>
  <c r="J1525" i="7"/>
  <c r="J1013" i="7"/>
  <c r="J1911" i="7"/>
  <c r="J1609" i="7"/>
  <c r="J2454" i="7"/>
  <c r="J1893" i="7"/>
  <c r="J1779" i="7"/>
  <c r="J2514" i="7"/>
  <c r="J1532" i="7"/>
  <c r="J2370" i="7"/>
  <c r="J1661" i="7"/>
  <c r="J1999" i="7"/>
  <c r="J2147" i="7"/>
  <c r="J1540" i="7"/>
  <c r="J2531" i="7"/>
  <c r="J2001" i="7"/>
  <c r="J2459" i="7"/>
  <c r="J1250" i="7"/>
  <c r="J2336" i="7"/>
  <c r="J2475" i="7"/>
  <c r="J2162" i="7"/>
  <c r="J2593" i="7"/>
  <c r="J2228" i="7"/>
  <c r="J1892" i="7"/>
  <c r="J1871" i="7"/>
  <c r="J2568" i="7"/>
  <c r="J1901" i="7"/>
  <c r="J2424" i="7"/>
  <c r="J1103" i="7"/>
  <c r="J2490" i="7"/>
  <c r="J1813" i="7"/>
  <c r="J1986" i="7"/>
  <c r="J2067" i="7"/>
  <c r="J2553" i="7"/>
  <c r="J2535" i="7"/>
  <c r="J823" i="7"/>
  <c r="J722" i="7"/>
  <c r="J2419" i="7"/>
  <c r="J2171" i="7"/>
  <c r="J2678" i="7"/>
  <c r="J2339" i="7"/>
  <c r="J845" i="7"/>
  <c r="J2082" i="7"/>
  <c r="J2389" i="7"/>
  <c r="J1938" i="7"/>
  <c r="J2285" i="7"/>
  <c r="J1711" i="7"/>
  <c r="J1571" i="7"/>
  <c r="J2544" i="7"/>
  <c r="J2093" i="7"/>
  <c r="J2616" i="7"/>
  <c r="J1223" i="7"/>
  <c r="J923" i="7"/>
  <c r="J2155" i="7"/>
  <c r="J2260" i="7"/>
  <c r="J1730" i="7"/>
  <c r="J1692" i="7"/>
  <c r="J1796" i="7"/>
  <c r="J2245" i="7"/>
  <c r="J1439" i="7"/>
  <c r="J2035" i="7"/>
  <c r="J2255" i="7"/>
  <c r="J1511" i="7"/>
  <c r="J2003" i="7"/>
  <c r="J2696" i="7"/>
  <c r="J1878" i="7"/>
  <c r="J2391" i="7"/>
  <c r="J1704" i="7"/>
  <c r="J1714" i="7"/>
  <c r="J2622" i="7"/>
  <c r="J2286" i="7"/>
  <c r="J1989" i="7"/>
  <c r="J2102" i="7"/>
  <c r="J1583" i="7"/>
  <c r="J1958" i="7"/>
  <c r="J2671" i="7"/>
  <c r="J1664" i="7"/>
  <c r="J2440" i="7"/>
  <c r="J2251" i="7"/>
  <c r="J1313" i="7"/>
  <c r="J2630" i="7"/>
  <c r="J1621" i="7"/>
  <c r="J1950" i="7"/>
  <c r="J1930" i="7"/>
  <c r="J2473" i="7"/>
  <c r="J2367" i="7"/>
  <c r="J1905" i="7"/>
  <c r="J2390" i="7"/>
  <c r="J1799" i="7"/>
  <c r="J2174" i="7"/>
  <c r="J1855" i="7"/>
  <c r="J2240" i="7"/>
  <c r="J1936" i="7"/>
  <c r="J1736" i="7"/>
  <c r="J1340" i="7"/>
  <c r="J1808" i="7"/>
  <c r="J2521" i="7"/>
  <c r="J2059" i="7"/>
  <c r="J2507" i="7"/>
  <c r="J1686" i="7"/>
  <c r="J1896" i="7"/>
  <c r="J1499" i="7"/>
  <c r="J2504" i="7"/>
  <c r="J2267" i="7"/>
  <c r="J1502" i="7"/>
  <c r="J1615" i="7"/>
  <c r="J2460" i="7"/>
  <c r="J2563" i="7"/>
  <c r="J839" i="7"/>
  <c r="J2665" i="7"/>
  <c r="J2006" i="7"/>
  <c r="J1613" i="7"/>
  <c r="J2564" i="7"/>
  <c r="J953" i="7"/>
  <c r="J2210" i="7"/>
  <c r="J2297" i="7"/>
  <c r="J2294" i="7"/>
  <c r="J2052" i="7"/>
  <c r="J1928" i="7"/>
  <c r="J1908" i="7"/>
  <c r="J2495" i="7"/>
  <c r="J2659" i="7"/>
  <c r="J2027" i="7"/>
  <c r="J1729" i="7"/>
  <c r="J1684" i="7"/>
  <c r="J2234" i="7"/>
  <c r="J2597" i="7"/>
  <c r="J1553" i="7"/>
  <c r="J2342" i="7"/>
  <c r="J1889" i="7"/>
  <c r="J2270" i="7"/>
  <c r="J1109" i="7"/>
  <c r="J2496" i="7"/>
  <c r="J1819" i="7"/>
  <c r="J1992" i="7"/>
  <c r="J887" i="7"/>
  <c r="J2064" i="7"/>
  <c r="J2700" i="7"/>
  <c r="J2508" i="7"/>
  <c r="J2556" i="7"/>
  <c r="J1568" i="7"/>
  <c r="J1934" i="7"/>
  <c r="J2129" i="7"/>
  <c r="J2528" i="7"/>
  <c r="J2096" i="7"/>
  <c r="J2599" i="7"/>
  <c r="J1952" i="7"/>
  <c r="J1850" i="7"/>
  <c r="J2405" i="7"/>
  <c r="J1412" i="7"/>
  <c r="J2653" i="7"/>
  <c r="J1232" i="7"/>
  <c r="J2369" i="7"/>
  <c r="J2434" i="7"/>
  <c r="J1990" i="7"/>
  <c r="J2432" i="7"/>
  <c r="J1649" i="7"/>
  <c r="J2360" i="7"/>
  <c r="J1301" i="7"/>
  <c r="J2676" i="7"/>
  <c r="J905" i="7"/>
  <c r="J2172" i="7"/>
  <c r="J2457" i="7"/>
  <c r="J1738" i="7"/>
  <c r="J1826" i="7"/>
  <c r="J2081" i="7"/>
  <c r="J1682" i="7"/>
  <c r="J1991" i="7"/>
  <c r="J2570" i="7"/>
  <c r="J2141" i="7"/>
  <c r="J2686" i="7"/>
  <c r="J1872" i="7"/>
  <c r="J1678" i="7"/>
  <c r="J1752" i="7"/>
  <c r="J2250" i="7"/>
  <c r="J1849" i="7"/>
  <c r="J2178" i="7"/>
  <c r="J2156" i="7"/>
  <c r="J1794" i="7"/>
  <c r="J2687" i="7"/>
  <c r="J2519" i="7"/>
  <c r="J1775" i="7"/>
  <c r="J2562" i="7"/>
  <c r="J2044" i="7"/>
  <c r="J2418" i="7"/>
  <c r="J2499" i="7"/>
  <c r="J1586" i="7"/>
  <c r="J2273" i="7"/>
  <c r="J2299" i="7"/>
  <c r="J1604" i="7"/>
  <c r="J2263" i="7"/>
  <c r="J2237" i="7"/>
  <c r="J1487" i="7"/>
  <c r="J2113" i="7"/>
  <c r="J1710" i="7"/>
  <c r="J941" i="7"/>
  <c r="J2047" i="7"/>
  <c r="J2497" i="7"/>
  <c r="J2412" i="7"/>
  <c r="J2078" i="7"/>
  <c r="J875" i="7"/>
  <c r="J2330" i="7"/>
  <c r="J1974" i="7"/>
  <c r="J1578" i="7"/>
  <c r="J1436" i="7"/>
  <c r="J2233" i="7"/>
  <c r="J2214" i="7"/>
  <c r="J2107" i="7"/>
  <c r="J2609" i="7"/>
  <c r="J2522" i="7"/>
  <c r="J1927" i="7"/>
  <c r="J1792" i="7"/>
  <c r="J2598" i="7"/>
  <c r="J2578" i="7"/>
  <c r="J1766" i="7"/>
  <c r="J1786" i="7"/>
  <c r="J1651" i="7"/>
  <c r="J2000" i="7"/>
  <c r="J1723" i="7"/>
  <c r="J2631" i="7"/>
  <c r="J2121" i="7"/>
  <c r="J2654" i="7"/>
  <c r="J2207" i="7"/>
  <c r="J2426" i="7"/>
  <c r="J929" i="7"/>
  <c r="J1638" i="7"/>
  <c r="J2152" i="7"/>
  <c r="J2032" i="7"/>
  <c r="J1584" i="7"/>
  <c r="J2585" i="7"/>
  <c r="J2533" i="7"/>
  <c r="J2422" i="7"/>
  <c r="J2615" i="7"/>
  <c r="J1962" i="7"/>
  <c r="J2543" i="7"/>
  <c r="J1505" i="7"/>
  <c r="J2612" i="7"/>
  <c r="J1127" i="7"/>
  <c r="J1701" i="7"/>
  <c r="J2083" i="7"/>
  <c r="J1019" i="7"/>
  <c r="J1687" i="7"/>
  <c r="J1820" i="7"/>
  <c r="J1873" i="7"/>
  <c r="J1748" i="7"/>
  <c r="J1891" i="7"/>
  <c r="J1725" i="7"/>
  <c r="J876" i="7"/>
  <c r="J367" i="7"/>
  <c r="J2672" i="7"/>
  <c r="J2312" i="7"/>
  <c r="J2249" i="7"/>
  <c r="J2329" i="7"/>
  <c r="J1544" i="7"/>
  <c r="J1963" i="7"/>
  <c r="J1253" i="7"/>
  <c r="J1721" i="7"/>
  <c r="J1831" i="7"/>
  <c r="J2545" i="7"/>
  <c r="J2606" i="7"/>
  <c r="J1812" i="7"/>
  <c r="J1379" i="7"/>
  <c r="J2201" i="7"/>
  <c r="J1235" i="7"/>
  <c r="J2575" i="7"/>
  <c r="J2114" i="7"/>
  <c r="J775" i="7"/>
  <c r="J2518" i="7"/>
  <c r="J1138" i="7"/>
  <c r="J2698" i="7"/>
  <c r="J391" i="7"/>
  <c r="J2319" i="7"/>
  <c r="J704" i="7"/>
  <c r="J2587" i="7"/>
  <c r="J1184" i="7"/>
  <c r="J2445" i="7"/>
  <c r="J878" i="7"/>
  <c r="J671" i="7"/>
  <c r="J1834" i="7"/>
  <c r="J1416" i="7"/>
  <c r="J1099" i="7"/>
  <c r="J1390" i="7"/>
  <c r="J1526" i="7"/>
  <c r="J889" i="7"/>
  <c r="J1564" i="7"/>
  <c r="J1256" i="7"/>
  <c r="J2236" i="7"/>
  <c r="J655" i="7"/>
  <c r="J1954" i="7"/>
  <c r="J1422" i="7"/>
  <c r="J624" i="7"/>
  <c r="J346" i="7"/>
  <c r="J1117" i="7"/>
  <c r="J631" i="7"/>
  <c r="J2158" i="7"/>
  <c r="J1292" i="7"/>
  <c r="J1712" i="7"/>
  <c r="J1876" i="7"/>
  <c r="J955" i="7"/>
  <c r="J1935" i="7"/>
  <c r="J2213" i="7"/>
  <c r="J2649" i="7"/>
  <c r="J1457" i="7"/>
  <c r="J1821" i="7"/>
  <c r="J1064" i="7"/>
  <c r="J147" i="7"/>
  <c r="J2638" i="7"/>
  <c r="J1044" i="7"/>
  <c r="J683" i="7"/>
  <c r="J284" i="7"/>
  <c r="J175" i="7"/>
  <c r="J1582" i="7"/>
  <c r="J1290" i="7"/>
  <c r="J1352" i="7"/>
  <c r="J961" i="7"/>
  <c r="J1857" i="7"/>
  <c r="J1477" i="7"/>
  <c r="J2101" i="7"/>
  <c r="J1399" i="7"/>
  <c r="J706" i="7"/>
  <c r="J2191" i="7"/>
  <c r="J703" i="7"/>
  <c r="J2098" i="7"/>
  <c r="J61" i="7"/>
  <c r="J2343" i="7"/>
  <c r="J854" i="7"/>
  <c r="J2086" i="7"/>
  <c r="J1542" i="7"/>
  <c r="J356" i="7"/>
  <c r="J469" i="7"/>
  <c r="J92" i="7"/>
  <c r="J269" i="7"/>
  <c r="J156" i="7"/>
  <c r="J820" i="7"/>
  <c r="J2403" i="7"/>
  <c r="J842" i="7"/>
  <c r="J1923" i="7"/>
  <c r="J68" i="7"/>
  <c r="J2131" i="7"/>
  <c r="J613" i="7"/>
  <c r="J667" i="7"/>
  <c r="J1174" i="7"/>
  <c r="J2641" i="7"/>
  <c r="J379" i="7"/>
  <c r="J1606" i="7"/>
  <c r="J1106" i="7"/>
  <c r="J178" i="7"/>
  <c r="J435" i="7"/>
  <c r="J230" i="7"/>
  <c r="J148" i="7"/>
  <c r="J1258" i="7"/>
  <c r="J1515" i="7"/>
  <c r="J263" i="7"/>
  <c r="J520" i="7"/>
  <c r="J155" i="7"/>
  <c r="J412" i="7"/>
  <c r="J525" i="7"/>
  <c r="J888" i="7"/>
  <c r="J163" i="7"/>
  <c r="J1035" i="7"/>
  <c r="J610" i="7"/>
  <c r="J867" i="7"/>
  <c r="J1150" i="7"/>
  <c r="J1407" i="7"/>
  <c r="J1042" i="7"/>
  <c r="J1299" i="7"/>
  <c r="J894" i="7"/>
  <c r="J545" i="7"/>
  <c r="J585" i="7"/>
  <c r="J11" i="7"/>
  <c r="J1423" i="7"/>
  <c r="J40" i="7"/>
  <c r="J307" i="7"/>
  <c r="J580" i="7"/>
  <c r="J872" i="7"/>
  <c r="J472" i="7"/>
  <c r="J1318" i="7"/>
  <c r="J1080" i="7"/>
  <c r="J1198" i="7"/>
  <c r="J479" i="7"/>
  <c r="J736" i="7"/>
  <c r="J401" i="7"/>
  <c r="J1365" i="7"/>
  <c r="J390" i="7"/>
  <c r="J370" i="7"/>
  <c r="J228" i="7"/>
  <c r="J262" i="7"/>
  <c r="J207" i="7"/>
  <c r="J964" i="7"/>
  <c r="J420" i="7"/>
  <c r="J1378" i="7"/>
  <c r="J1438" i="7"/>
  <c r="J591" i="7"/>
  <c r="J443" i="7"/>
  <c r="J1131" i="7"/>
  <c r="J335" i="7"/>
  <c r="J1023" i="7"/>
  <c r="J705" i="7"/>
  <c r="J550" i="7"/>
  <c r="J481" i="7"/>
  <c r="J258" i="7"/>
  <c r="J942" i="7"/>
  <c r="J18" i="7"/>
  <c r="J441" i="7"/>
  <c r="J105" i="7"/>
  <c r="J333" i="7"/>
  <c r="J1242" i="7"/>
  <c r="J1132" i="7"/>
  <c r="J52" i="7"/>
  <c r="J1479" i="7"/>
  <c r="J66" i="7"/>
  <c r="J1144" i="7"/>
  <c r="J1036" i="7"/>
  <c r="J293" i="7"/>
  <c r="J144" i="7"/>
  <c r="J620" i="7"/>
  <c r="J693" i="7"/>
  <c r="J731" i="7"/>
  <c r="J273" i="7"/>
  <c r="J1656" i="7"/>
  <c r="J1391" i="7"/>
  <c r="J2692" i="7"/>
  <c r="J2525" i="7"/>
  <c r="J2660" i="7"/>
  <c r="J1610" i="7"/>
  <c r="J2470" i="7"/>
  <c r="J2080" i="7"/>
  <c r="J1214" i="7"/>
  <c r="J1633" i="7"/>
  <c r="J2538" i="7"/>
  <c r="J2204" i="7"/>
  <c r="J2537" i="7"/>
  <c r="J917" i="7"/>
  <c r="J1205" i="7"/>
  <c r="J1694" i="7"/>
  <c r="J1645" i="7"/>
  <c r="J2242" i="7"/>
  <c r="J2683" i="7"/>
  <c r="J151" i="7"/>
  <c r="J1921" i="7"/>
  <c r="J1034" i="7"/>
  <c r="J2482" i="7"/>
  <c r="J199" i="7"/>
  <c r="J752" i="7"/>
  <c r="J814" i="7"/>
  <c r="J434" i="7"/>
  <c r="J467" i="7"/>
  <c r="J126" i="7"/>
  <c r="J1001" i="7"/>
  <c r="J188" i="7"/>
  <c r="J1280" i="7"/>
  <c r="J829" i="7"/>
  <c r="J685" i="7"/>
  <c r="J1230" i="7"/>
  <c r="J1418" i="7"/>
  <c r="J673" i="7"/>
  <c r="J451" i="7"/>
  <c r="J1066" i="7"/>
  <c r="J1172" i="7"/>
  <c r="J36" i="7"/>
  <c r="J972" i="7"/>
  <c r="J1492" i="7"/>
  <c r="J2139" i="7"/>
  <c r="J1048" i="7"/>
  <c r="J1827" i="7"/>
  <c r="J278" i="7"/>
  <c r="J146" i="7"/>
  <c r="J1112" i="7"/>
  <c r="J2142" i="7"/>
  <c r="J1660" i="7"/>
  <c r="J2559" i="7"/>
  <c r="J578" i="7"/>
  <c r="J1995" i="7"/>
  <c r="J1978" i="7"/>
  <c r="J431" i="7"/>
  <c r="J834" i="7"/>
  <c r="J1647" i="7"/>
  <c r="J1243" i="7"/>
  <c r="J1271" i="7"/>
  <c r="J1947" i="7"/>
  <c r="J1448" i="7"/>
  <c r="J2284" i="7"/>
  <c r="J1519" i="7"/>
  <c r="J2667" i="7"/>
  <c r="J1182" i="7"/>
  <c r="J1009" i="7"/>
  <c r="J1392" i="7"/>
  <c r="J991" i="7"/>
  <c r="J1444" i="7"/>
  <c r="J317" i="7"/>
  <c r="J1346" i="7"/>
  <c r="J1189" i="7"/>
  <c r="J1575" i="7"/>
  <c r="J324" i="7"/>
  <c r="J1948" i="7"/>
  <c r="J589" i="7"/>
  <c r="J2019" i="7"/>
  <c r="J638" i="7"/>
  <c r="J2029" i="7"/>
  <c r="J1094" i="7"/>
  <c r="J1887" i="7"/>
  <c r="J272" i="7"/>
  <c r="J1170" i="7"/>
  <c r="J1342" i="7"/>
  <c r="J398" i="7"/>
  <c r="J449" i="7"/>
  <c r="J1075" i="7"/>
  <c r="J1536" i="7"/>
  <c r="J2265" i="7"/>
  <c r="J990" i="7"/>
  <c r="J2566" i="7"/>
  <c r="J397" i="7"/>
  <c r="J1400" i="7"/>
  <c r="J865" i="7"/>
  <c r="J2200" i="7"/>
  <c r="J847" i="7"/>
  <c r="J526" i="7"/>
  <c r="J190" i="7"/>
  <c r="J746" i="7"/>
  <c r="J1294" i="7"/>
  <c r="J252" i="7"/>
  <c r="J1270" i="7"/>
  <c r="J737" i="7"/>
  <c r="J821" i="7"/>
  <c r="J1152" i="7"/>
  <c r="J185" i="7"/>
  <c r="J873" i="7"/>
  <c r="J537" i="7"/>
  <c r="J661" i="7"/>
  <c r="J646" i="7"/>
  <c r="J203" i="7"/>
  <c r="J622" i="7"/>
  <c r="J90" i="7"/>
  <c r="J1162" i="7"/>
  <c r="J713" i="7"/>
  <c r="J1054" i="7"/>
  <c r="J225" i="7"/>
  <c r="J882" i="7"/>
  <c r="J1468" i="7"/>
  <c r="J780" i="7"/>
  <c r="J314" i="7"/>
  <c r="J1186" i="7"/>
  <c r="J1158" i="7"/>
  <c r="J191" i="7"/>
  <c r="J1050" i="7"/>
  <c r="J83" i="7"/>
  <c r="J770" i="7"/>
  <c r="J453" i="7"/>
  <c r="J405" i="7"/>
  <c r="J462" i="7"/>
  <c r="J329" i="7"/>
  <c r="J551" i="7"/>
  <c r="J1239" i="7"/>
  <c r="J684" i="7"/>
  <c r="J244" i="7"/>
  <c r="J468" i="7"/>
  <c r="J136" i="7"/>
  <c r="J1353" i="7"/>
  <c r="J16" i="7"/>
  <c r="J593" i="7"/>
  <c r="J1360" i="7"/>
  <c r="J564" i="7"/>
  <c r="J465" i="7"/>
  <c r="J366" i="7"/>
  <c r="J1005" i="7"/>
  <c r="J48" i="7"/>
  <c r="J897" i="7"/>
  <c r="J1053" i="7"/>
  <c r="J316" i="7"/>
  <c r="J1107" i="7"/>
  <c r="J798" i="7"/>
  <c r="J1047" i="7"/>
  <c r="J114" i="7"/>
  <c r="J87" i="7"/>
  <c r="J1134" i="7"/>
  <c r="J720" i="7"/>
  <c r="J846" i="7"/>
  <c r="J931" i="7"/>
  <c r="J587" i="7"/>
  <c r="J436" i="7"/>
  <c r="J9" i="7"/>
  <c r="J1113" i="7"/>
  <c r="J165" i="7"/>
  <c r="J1061" i="7"/>
  <c r="J2124" i="7"/>
  <c r="J1722" i="7"/>
  <c r="J2209" i="7"/>
  <c r="J1597" i="7"/>
  <c r="J2433" i="7"/>
  <c r="J1706" i="7"/>
  <c r="J2400" i="7"/>
  <c r="J1421" i="7"/>
  <c r="J1955" i="7"/>
  <c r="J1517" i="7"/>
  <c r="J2154" i="7"/>
  <c r="J1247" i="7"/>
  <c r="J2349" i="7"/>
  <c r="J2365" i="7"/>
  <c r="J2635" i="7"/>
  <c r="J1920" i="7"/>
  <c r="J192" i="7"/>
  <c r="J2164" i="7"/>
  <c r="J480" i="7"/>
  <c r="J2128" i="7"/>
  <c r="J763" i="7"/>
  <c r="J2259" i="7"/>
  <c r="J818" i="7"/>
  <c r="J1630" i="7"/>
  <c r="J1368" i="7"/>
  <c r="J2061" i="7"/>
  <c r="J452" i="7"/>
  <c r="J1074" i="7"/>
  <c r="J2673" i="7"/>
  <c r="J908" i="7"/>
  <c r="J2481" i="7"/>
  <c r="J1110" i="7"/>
  <c r="J2449" i="7"/>
  <c r="J1453" i="7"/>
  <c r="J2614" i="7"/>
  <c r="J1122" i="7"/>
  <c r="J2350" i="7"/>
  <c r="J187" i="7"/>
  <c r="J1543" i="7"/>
  <c r="J1202" i="7"/>
  <c r="J417" i="7"/>
  <c r="J672" i="7"/>
  <c r="J1671" i="7"/>
  <c r="J169" i="7"/>
  <c r="J1588" i="7"/>
  <c r="J1016" i="7"/>
  <c r="J1953" i="7"/>
  <c r="J50" i="7"/>
  <c r="J1501" i="7"/>
  <c r="J896" i="7"/>
  <c r="J2644" i="7"/>
  <c r="J1267" i="7"/>
  <c r="J925" i="7"/>
  <c r="J1356" i="7"/>
  <c r="J247" i="7"/>
  <c r="J993" i="7"/>
  <c r="J2409" i="7"/>
  <c r="J332" i="7"/>
  <c r="J1899" i="7"/>
  <c r="J8" i="7"/>
  <c r="J1145" i="7"/>
  <c r="J2031" i="7"/>
  <c r="J2362" i="7"/>
  <c r="J2068" i="7"/>
  <c r="J2656" i="7"/>
  <c r="J1933" i="7"/>
  <c r="J2017" i="7"/>
  <c r="J2458" i="7"/>
  <c r="J1458" i="7"/>
  <c r="J24" i="7"/>
  <c r="J793" i="7"/>
  <c r="J1266" i="7"/>
  <c r="J2335" i="7"/>
  <c r="J295" i="7"/>
  <c r="J1220" i="7"/>
  <c r="J1030" i="7"/>
  <c r="J1732" i="7"/>
  <c r="J373" i="7"/>
  <c r="J650" i="7"/>
  <c r="J575" i="7"/>
  <c r="J2050" i="7"/>
  <c r="J1524" i="7"/>
  <c r="J99" i="7"/>
  <c r="J1216" i="7"/>
  <c r="J1605" i="7"/>
  <c r="J416" i="7"/>
  <c r="J2013" i="7"/>
  <c r="J446" i="7"/>
  <c r="J2356" i="7"/>
  <c r="J1201" i="7"/>
  <c r="J2049" i="7"/>
  <c r="J768" i="7"/>
  <c r="J427" i="7"/>
  <c r="J1212" i="7"/>
  <c r="J409" i="7"/>
  <c r="J1156" i="7"/>
  <c r="J137" i="7"/>
  <c r="J172" i="7"/>
  <c r="J1147" i="7"/>
  <c r="J306" i="7"/>
  <c r="J936" i="7"/>
  <c r="J1252" i="7"/>
  <c r="J726" i="7"/>
  <c r="J605" i="7"/>
  <c r="J510" i="7"/>
  <c r="J149" i="7"/>
  <c r="J484" i="7"/>
  <c r="J519" i="7"/>
  <c r="J1470" i="7"/>
  <c r="J239" i="7"/>
  <c r="J569" i="7"/>
  <c r="J604" i="7"/>
  <c r="J504" i="7"/>
  <c r="J1371" i="7"/>
  <c r="J132" i="7"/>
  <c r="J836" i="7"/>
  <c r="J924" i="7"/>
  <c r="J30" i="7"/>
  <c r="J606" i="7"/>
  <c r="J118" i="7"/>
  <c r="J2607" i="7"/>
  <c r="J1922" i="7"/>
  <c r="J1735" i="7"/>
  <c r="J1679" i="7"/>
  <c r="J1907" i="7"/>
  <c r="J1811" i="7"/>
  <c r="J1698" i="7"/>
  <c r="J1592" i="7"/>
  <c r="J1976" i="7"/>
  <c r="J2345" i="7"/>
  <c r="J1055" i="7"/>
  <c r="J1376" i="7"/>
  <c r="J2053" i="7"/>
  <c r="J2328" i="7"/>
  <c r="J1917" i="7"/>
  <c r="J2591" i="7"/>
  <c r="J971" i="7"/>
  <c r="J1086" i="7"/>
  <c r="J2278" i="7"/>
  <c r="J487" i="7"/>
  <c r="J343" i="7"/>
  <c r="J1120" i="7"/>
  <c r="J1912" i="7"/>
  <c r="J547" i="7"/>
  <c r="J830" i="7"/>
  <c r="J749" i="7"/>
  <c r="J2230" i="7"/>
  <c r="J73" i="7"/>
  <c r="J297" i="7"/>
  <c r="J500" i="7"/>
  <c r="J361" i="7"/>
  <c r="J2572" i="7"/>
  <c r="J1411" i="7"/>
  <c r="J1057" i="7"/>
  <c r="J1480" i="7"/>
  <c r="J2632" i="7"/>
  <c r="J1279" i="7"/>
  <c r="J1833" i="7"/>
  <c r="J552" i="7"/>
  <c r="J947" i="7"/>
  <c r="J649" i="7"/>
  <c r="J765" i="7"/>
  <c r="J429" i="7"/>
  <c r="J1791" i="7"/>
  <c r="J516" i="7"/>
  <c r="J824" i="7"/>
  <c r="J742" i="7"/>
  <c r="J2122" i="7"/>
  <c r="J1452" i="7"/>
  <c r="J1737" i="7"/>
  <c r="J1285" i="7"/>
  <c r="J2397" i="7"/>
  <c r="J368" i="7"/>
  <c r="J1863" i="7"/>
  <c r="J128" i="7"/>
  <c r="J305" i="7"/>
  <c r="J1233" i="7"/>
  <c r="J2125" i="7"/>
  <c r="J103" i="7"/>
  <c r="J1996" i="7"/>
  <c r="J619" i="7"/>
  <c r="J475" i="7"/>
  <c r="J1183" i="7"/>
  <c r="J2165" i="7"/>
  <c r="J1815" i="7"/>
  <c r="J974" i="7"/>
  <c r="J949" i="7"/>
  <c r="J1557" i="7"/>
  <c r="J1941" i="7"/>
  <c r="J1210" i="7"/>
  <c r="J828" i="7"/>
  <c r="J1190" i="7"/>
  <c r="J1507" i="7"/>
  <c r="J1364" i="7"/>
  <c r="J781" i="7"/>
  <c r="J2062" i="7"/>
  <c r="J43" i="7"/>
  <c r="J968" i="7"/>
  <c r="J922" i="7"/>
  <c r="J2277" i="7"/>
  <c r="J668" i="7"/>
  <c r="J1719" i="7"/>
  <c r="J386" i="7"/>
  <c r="J1245" i="7"/>
  <c r="J1090" i="7"/>
  <c r="J1762" i="7"/>
  <c r="J55" i="7"/>
  <c r="J62" i="7"/>
  <c r="J251" i="7"/>
  <c r="J2097" i="7"/>
  <c r="J296" i="7"/>
  <c r="J2140" i="7"/>
  <c r="J985" i="7"/>
  <c r="J2293" i="7"/>
  <c r="J1429" i="7"/>
  <c r="J2530" i="7"/>
  <c r="J355" i="7"/>
  <c r="J1062" i="7"/>
  <c r="J694" i="7"/>
  <c r="J459" i="7"/>
  <c r="J792" i="7"/>
  <c r="J399" i="7"/>
  <c r="J473" i="7"/>
  <c r="J939" i="7"/>
  <c r="J689" i="7"/>
  <c r="J831" i="7"/>
  <c r="J810" i="7"/>
  <c r="J616" i="7"/>
  <c r="J1041" i="7"/>
  <c r="J762" i="7"/>
  <c r="J497" i="7"/>
  <c r="J642" i="7"/>
  <c r="J1126" i="7"/>
  <c r="J291" i="7"/>
  <c r="J131" i="7"/>
  <c r="J183" i="7"/>
  <c r="J23" i="7"/>
  <c r="J1503" i="7"/>
  <c r="J393" i="7"/>
  <c r="J1012" i="7"/>
  <c r="J687" i="7"/>
  <c r="J351" i="7"/>
  <c r="J576" i="7"/>
  <c r="J891" i="7"/>
  <c r="J348" i="7"/>
  <c r="J783" i="7"/>
  <c r="J54" i="7"/>
  <c r="J47" i="7"/>
  <c r="J304" i="7"/>
  <c r="J28" i="7"/>
  <c r="J1155" i="7"/>
  <c r="J414" i="7"/>
  <c r="J81" i="7"/>
  <c r="J879" i="7"/>
  <c r="J621" i="7"/>
  <c r="J1419" i="7"/>
  <c r="J513" i="7"/>
  <c r="J15" i="7"/>
  <c r="J1312" i="7"/>
  <c r="J1437" i="7"/>
  <c r="J639" i="7"/>
  <c r="J1500" i="7"/>
  <c r="J579" i="7"/>
  <c r="J987" i="7"/>
  <c r="J1119" i="7"/>
  <c r="J339" i="7"/>
  <c r="J1011" i="7"/>
  <c r="J656" i="7"/>
  <c r="J364" i="7"/>
  <c r="J57" i="7"/>
  <c r="J311" i="7"/>
  <c r="J730" i="7"/>
  <c r="J790" i="7"/>
  <c r="J1002" i="7"/>
  <c r="J1330" i="7"/>
  <c r="J483" i="7"/>
  <c r="J1222" i="7"/>
  <c r="J375" i="7"/>
  <c r="J1251" i="7"/>
  <c r="J738" i="7"/>
  <c r="J360" i="7"/>
  <c r="J198" i="7"/>
  <c r="J154" i="7"/>
  <c r="J825" i="7"/>
  <c r="J2600" i="7"/>
  <c r="J2557" i="7"/>
  <c r="J1807" i="7"/>
  <c r="J1982" i="7"/>
  <c r="J2619" i="7"/>
  <c r="J2160" i="7"/>
  <c r="J2413" i="7"/>
  <c r="J1115" i="7"/>
  <c r="J2617" i="7"/>
  <c r="J2275" i="7"/>
  <c r="J1823" i="7"/>
  <c r="J2548" i="7"/>
  <c r="J1902" i="7"/>
  <c r="J1939" i="7"/>
  <c r="J1591" i="7"/>
  <c r="J2076" i="7"/>
  <c r="J2573" i="7"/>
  <c r="J1195" i="7"/>
  <c r="J1767" i="7"/>
  <c r="J2394" i="7"/>
  <c r="J1810" i="7"/>
  <c r="J133" i="7"/>
  <c r="J1166" i="7"/>
  <c r="J1739" i="7"/>
  <c r="J2037" i="7"/>
  <c r="J848" i="7"/>
  <c r="J893" i="7"/>
  <c r="J566" i="7"/>
  <c r="J1443" i="7"/>
  <c r="J2163" i="7"/>
  <c r="J1022" i="7"/>
  <c r="J2313" i="7"/>
  <c r="J512" i="7"/>
  <c r="J1370" i="7"/>
  <c r="J1003" i="7"/>
  <c r="J841" i="7"/>
  <c r="J1372" i="7"/>
  <c r="J1924" i="7"/>
  <c r="J769" i="7"/>
  <c r="J2398" i="7"/>
  <c r="J1104" i="7"/>
  <c r="J376" i="7"/>
  <c r="J411" i="7"/>
  <c r="J1672" i="7"/>
  <c r="J511" i="7"/>
  <c r="J1702" i="7"/>
  <c r="J1404" i="7"/>
  <c r="J1803" i="7"/>
  <c r="J458" i="7"/>
  <c r="J1906" i="7"/>
  <c r="J1344" i="7"/>
  <c r="J140" i="7"/>
  <c r="J121" i="7"/>
  <c r="J1471" i="7"/>
  <c r="J71" i="7"/>
  <c r="J611" i="7"/>
  <c r="J844" i="7"/>
  <c r="J2314" i="7"/>
  <c r="J662" i="7"/>
  <c r="J1749" i="7"/>
  <c r="J1105" i="7"/>
  <c r="J2602" i="7"/>
  <c r="J205" i="7"/>
  <c r="J259" i="7"/>
  <c r="J967" i="7"/>
  <c r="J1897" i="7"/>
  <c r="J992" i="7"/>
  <c r="J2451" i="7"/>
  <c r="J710" i="7"/>
  <c r="J554" i="7"/>
  <c r="J542" i="7"/>
  <c r="J641" i="7"/>
  <c r="J976" i="7"/>
  <c r="J2685" i="7"/>
  <c r="J1068" i="7"/>
  <c r="J1551" i="7"/>
  <c r="J300" i="7"/>
  <c r="J1846" i="7"/>
  <c r="J1476" i="7"/>
  <c r="J2446" i="7"/>
  <c r="J181" i="7"/>
  <c r="J2431" i="7"/>
  <c r="J1130" i="7"/>
  <c r="J58" i="7"/>
  <c r="J856" i="7"/>
  <c r="J1248" i="7"/>
  <c r="J530" i="7"/>
  <c r="J1629" i="7"/>
  <c r="J1405" i="7"/>
  <c r="J1249" i="7"/>
  <c r="J1518" i="7"/>
  <c r="J1881" i="7"/>
  <c r="J14" i="7"/>
  <c r="J1015" i="7"/>
  <c r="J1462" i="7"/>
  <c r="J2007" i="7"/>
  <c r="J732" i="7"/>
  <c r="J767" i="7"/>
  <c r="J568" i="7"/>
  <c r="J70" i="7"/>
  <c r="J327" i="7"/>
  <c r="J531" i="7"/>
  <c r="J113" i="7"/>
  <c r="J1071" i="7"/>
  <c r="J1056" i="7"/>
  <c r="J963" i="7"/>
  <c r="J594" i="7"/>
  <c r="J227" i="7"/>
  <c r="J915" i="7"/>
  <c r="J957" i="7"/>
  <c r="J498" i="7"/>
  <c r="J906" i="7"/>
  <c r="J1000" i="7"/>
  <c r="J423" i="7"/>
  <c r="J5" i="7"/>
  <c r="J315" i="7"/>
  <c r="J1432" i="7"/>
  <c r="J1114" i="7"/>
  <c r="J267" i="7"/>
  <c r="J660" i="7"/>
  <c r="J387" i="7"/>
  <c r="J1497" i="7"/>
  <c r="J219" i="7"/>
  <c r="J502" i="7"/>
  <c r="J759" i="7"/>
  <c r="J394" i="7"/>
  <c r="J651" i="7"/>
  <c r="J852" i="7"/>
  <c r="J59" i="7"/>
  <c r="J177" i="7"/>
  <c r="J1287" i="7"/>
  <c r="J486" i="7"/>
  <c r="J1227" i="7"/>
  <c r="J1221" i="7"/>
  <c r="J232" i="7"/>
  <c r="J573" i="7"/>
  <c r="J124" i="7"/>
  <c r="J20" i="7"/>
  <c r="J336" i="7"/>
  <c r="J196" i="7"/>
  <c r="J250" i="7"/>
  <c r="J444" i="7"/>
  <c r="J279" i="7"/>
  <c r="J1380" i="7"/>
  <c r="J819" i="7"/>
  <c r="J1272" i="7"/>
  <c r="J711" i="7"/>
  <c r="J1208" i="7"/>
  <c r="J1510" i="7"/>
  <c r="J862" i="7"/>
  <c r="J785" i="7"/>
  <c r="J712" i="7"/>
  <c r="J383" i="7"/>
  <c r="J357" i="7"/>
  <c r="J249" i="7"/>
  <c r="J796" i="7"/>
  <c r="J2143" i="7"/>
  <c r="J1841" i="7"/>
  <c r="J1535" i="7"/>
  <c r="J2148" i="7"/>
  <c r="J2221" i="7"/>
  <c r="J2582" i="7"/>
  <c r="J2024" i="7"/>
  <c r="J2691" i="7"/>
  <c r="J1716" i="7"/>
  <c r="J2149" i="7"/>
  <c r="J1178" i="7"/>
  <c r="J1445" i="7"/>
  <c r="J1700" i="7"/>
  <c r="J1657" i="7"/>
  <c r="J2012" i="7"/>
  <c r="J1673" i="7"/>
  <c r="J1283" i="7"/>
  <c r="J1336" i="7"/>
  <c r="J277" i="7"/>
  <c r="J1726" i="7"/>
  <c r="J1010" i="7"/>
  <c r="J2555" i="7"/>
  <c r="J1594" i="7"/>
  <c r="J1816" i="7"/>
  <c r="J2194" i="7"/>
  <c r="J2021" i="7"/>
  <c r="J2643" i="7"/>
  <c r="J325" i="7"/>
  <c r="J1143" i="7"/>
  <c r="J170" i="7"/>
  <c r="J539" i="7"/>
  <c r="J32" i="7"/>
  <c r="J85" i="7"/>
  <c r="J1837" i="7"/>
  <c r="J1200" i="7"/>
  <c r="J983" i="7"/>
  <c r="J787" i="7"/>
  <c r="J1665" i="7"/>
  <c r="J1255" i="7"/>
  <c r="J2596" i="7"/>
  <c r="J1237" i="7"/>
  <c r="J508" i="7"/>
  <c r="J933" i="7"/>
  <c r="J1472" i="7"/>
  <c r="J997" i="7"/>
  <c r="J902" i="7"/>
  <c r="J815" i="7"/>
  <c r="J1552" i="7"/>
  <c r="J1238" i="7"/>
  <c r="J1587" i="7"/>
  <c r="J242" i="7"/>
  <c r="J2271" i="7"/>
  <c r="J698" i="7"/>
  <c r="J1496" i="7"/>
  <c r="J1261" i="7"/>
  <c r="J678" i="7"/>
  <c r="J437" i="7"/>
  <c r="J224" i="7"/>
  <c r="J359" i="7"/>
  <c r="J901" i="7"/>
  <c r="J1338" i="7"/>
  <c r="J2091" i="7"/>
  <c r="J588" i="7"/>
  <c r="J2386" i="7"/>
  <c r="J97" i="7"/>
  <c r="J1310" i="7"/>
  <c r="J457" i="7"/>
  <c r="J2020" i="7"/>
  <c r="J439" i="7"/>
  <c r="J328" i="7"/>
  <c r="J1965" i="7"/>
  <c r="J956" i="7"/>
  <c r="J2506" i="7"/>
  <c r="J2092" i="7"/>
  <c r="J1403" i="7"/>
  <c r="J2469" i="7"/>
  <c r="J271" i="7"/>
  <c r="J1046" i="7"/>
  <c r="J138" i="7"/>
  <c r="J1695" i="7"/>
  <c r="J782" i="7"/>
  <c r="J716" i="7"/>
  <c r="J1204" i="7"/>
  <c r="J1589" i="7"/>
  <c r="J2190" i="7"/>
  <c r="J1328" i="7"/>
  <c r="J2002" i="7"/>
  <c r="J2180" i="7"/>
  <c r="J2682" i="7"/>
  <c r="J1355" i="7"/>
  <c r="J2008" i="7"/>
  <c r="J1640" i="7"/>
  <c r="J1703" i="7"/>
  <c r="J2534" i="7"/>
  <c r="J1316" i="7"/>
  <c r="J1331" i="7"/>
  <c r="J1931" i="7"/>
  <c r="J1652" i="7"/>
  <c r="J2363" i="7"/>
  <c r="J644" i="7"/>
  <c r="J505" i="7"/>
  <c r="J950" i="7"/>
  <c r="J1611" i="7"/>
  <c r="J110" i="7"/>
  <c r="J2551" i="7"/>
  <c r="J794" i="7"/>
  <c r="J1141" i="7"/>
  <c r="J1464" i="7"/>
  <c r="J1123" i="7"/>
  <c r="J464" i="7"/>
  <c r="J1093" i="7"/>
  <c r="J754" i="7"/>
  <c r="J835" i="7"/>
  <c r="J596" i="7"/>
  <c r="J2187" i="7"/>
  <c r="J626" i="7"/>
  <c r="J2536" i="7"/>
  <c r="J1381" i="7"/>
  <c r="J2439" i="7"/>
  <c r="J1092" i="7"/>
  <c r="J817" i="7"/>
  <c r="J1302" i="7"/>
  <c r="J799" i="7"/>
  <c r="J1354" i="7"/>
  <c r="J119" i="7"/>
  <c r="J807" i="7"/>
  <c r="J1822" i="7"/>
  <c r="J1176" i="7"/>
  <c r="J2679" i="7"/>
  <c r="J1148" i="7"/>
  <c r="J788" i="7"/>
  <c r="J832" i="7"/>
  <c r="J1861" i="7"/>
  <c r="J980" i="7"/>
  <c r="J254" i="7"/>
  <c r="J377" i="7"/>
  <c r="J1654" i="7"/>
  <c r="J1326" i="7"/>
  <c r="J117" i="7"/>
  <c r="J450" i="7"/>
  <c r="J1845" i="7"/>
  <c r="J212" i="7"/>
  <c r="J1623" i="7"/>
  <c r="J98" i="7"/>
  <c r="J1960" i="7"/>
  <c r="J811" i="7"/>
  <c r="J1875" i="7"/>
  <c r="J378" i="7"/>
  <c r="J2038" i="7"/>
  <c r="J1014" i="7"/>
  <c r="J235" i="7"/>
  <c r="J958" i="7"/>
  <c r="J1474" i="7"/>
  <c r="J2392" i="7"/>
  <c r="J433" i="7"/>
  <c r="J326" i="7"/>
  <c r="J301" i="7"/>
  <c r="J1142" i="7"/>
  <c r="J2626" i="7"/>
  <c r="J1277" i="7"/>
  <c r="J2253" i="7"/>
  <c r="J2429" i="7"/>
  <c r="J2281" i="7"/>
  <c r="J1151" i="7"/>
  <c r="J2379" i="7"/>
  <c r="J1171" i="7"/>
  <c r="J174" i="7"/>
  <c r="J907" i="7"/>
  <c r="J1498" i="7"/>
  <c r="J2637" i="7"/>
  <c r="J2500" i="7"/>
  <c r="J164" i="7"/>
  <c r="J38" i="7"/>
  <c r="J233" i="7"/>
  <c r="J1755" i="7"/>
  <c r="J206" i="7"/>
  <c r="J2415" i="7"/>
  <c r="J1332" i="7"/>
  <c r="J1641" i="7"/>
  <c r="J1213" i="7"/>
  <c r="J945" i="7"/>
  <c r="J208" i="7"/>
  <c r="J29" i="7"/>
  <c r="J64" i="7"/>
  <c r="J490" i="7"/>
  <c r="J1288" i="7"/>
  <c r="J275" i="7"/>
  <c r="J522" i="7"/>
  <c r="J167" i="7"/>
  <c r="J257" i="7"/>
  <c r="J654" i="7"/>
  <c r="J555" i="7"/>
  <c r="J916" i="7"/>
  <c r="J951" i="7"/>
  <c r="J1377" i="7"/>
  <c r="J640" i="7"/>
  <c r="J382" i="7"/>
  <c r="J1180" i="7"/>
  <c r="J274" i="7"/>
  <c r="J1072" i="7"/>
  <c r="J648" i="7"/>
  <c r="J918" i="7"/>
  <c r="J408" i="7"/>
  <c r="J238" i="7"/>
  <c r="J1456" i="7"/>
  <c r="J1491" i="7"/>
  <c r="J461" i="7"/>
  <c r="J496" i="7"/>
  <c r="J353" i="7"/>
  <c r="J388" i="7"/>
  <c r="J723" i="7"/>
  <c r="J384" i="7"/>
  <c r="J1059" i="7"/>
  <c r="J491" i="7"/>
  <c r="J445" i="7"/>
  <c r="J538" i="7"/>
  <c r="J134" i="7"/>
  <c r="J1078" i="7"/>
  <c r="J1489" i="7"/>
  <c r="J970" i="7"/>
  <c r="J913" i="7"/>
  <c r="J750" i="7"/>
  <c r="J1504" i="7"/>
  <c r="J209" i="7"/>
  <c r="J246" i="7"/>
  <c r="J130" i="7"/>
  <c r="J1254" i="7"/>
  <c r="J670" i="7"/>
  <c r="J1146" i="7"/>
  <c r="J562" i="7"/>
  <c r="J675" i="7"/>
  <c r="J659" i="7"/>
  <c r="J1203" i="7"/>
  <c r="J1314" i="7"/>
  <c r="J1153" i="7"/>
  <c r="J1020" i="7"/>
  <c r="J998" i="7"/>
  <c r="J471" i="7"/>
  <c r="J1357" i="7"/>
  <c r="J363" i="7"/>
  <c r="J541" i="7"/>
  <c r="J1164" i="7"/>
  <c r="J743" i="7"/>
  <c r="J374" i="7"/>
  <c r="J182" i="7"/>
  <c r="J528" i="7"/>
  <c r="J1098" i="7"/>
  <c r="J309" i="7"/>
  <c r="J900" i="7"/>
  <c r="J892" i="7"/>
  <c r="J784" i="7"/>
  <c r="J1635" i="7"/>
  <c r="J1778" i="7"/>
  <c r="J1843" i="7"/>
  <c r="J989" i="7"/>
  <c r="J2238" i="7"/>
  <c r="J1667" i="7"/>
  <c r="J1720" i="7"/>
  <c r="J2647" i="7"/>
  <c r="J2072" i="7"/>
  <c r="J2189" i="7"/>
  <c r="J2408" i="7"/>
  <c r="J1531" i="7"/>
  <c r="J1806" i="7"/>
  <c r="J2075" i="7"/>
  <c r="J1838" i="7"/>
  <c r="J1760" i="7"/>
  <c r="J938" i="7"/>
  <c r="J877" i="7"/>
  <c r="J503" i="7"/>
  <c r="J1981" i="7"/>
  <c r="J800" i="7"/>
  <c r="J2509" i="7"/>
  <c r="J1465" i="7"/>
  <c r="J2079" i="7"/>
  <c r="J302" i="7"/>
  <c r="J1406" i="7"/>
  <c r="J853" i="7"/>
  <c r="J37" i="7"/>
  <c r="J1520" i="7"/>
  <c r="J1321" i="7"/>
  <c r="J145" i="7"/>
  <c r="J200" i="7"/>
  <c r="J341" i="7"/>
  <c r="J2289" i="7"/>
  <c r="J476" i="7"/>
  <c r="J2320" i="7"/>
  <c r="J1159" i="7"/>
  <c r="J1539" i="7"/>
  <c r="J44" i="7"/>
  <c r="J1549" i="7"/>
  <c r="J529" i="7"/>
  <c r="J1008" i="7"/>
  <c r="J681" i="7"/>
  <c r="J2308" i="7"/>
  <c r="J1375" i="7"/>
  <c r="J863" i="7"/>
  <c r="J607" i="7"/>
  <c r="J1882" i="7"/>
  <c r="J1494" i="7"/>
  <c r="J572" i="7"/>
  <c r="J724" i="7"/>
  <c r="J2103" i="7"/>
  <c r="J488" i="7"/>
  <c r="J1545" i="7"/>
  <c r="J218" i="7"/>
  <c r="J1263" i="7"/>
  <c r="J630" i="7"/>
  <c r="J2014" i="7"/>
  <c r="J1506" i="7"/>
  <c r="J1273" i="7"/>
  <c r="J53" i="7"/>
  <c r="J1707" i="7"/>
  <c r="J1297" i="7"/>
  <c r="J1744" i="7"/>
  <c r="J595" i="7"/>
  <c r="J2416" i="7"/>
  <c r="J1063" i="7"/>
  <c r="J2134" i="7"/>
  <c r="J79" i="7"/>
  <c r="J636" i="7"/>
  <c r="J1447" i="7"/>
  <c r="J996" i="7"/>
  <c r="J2169" i="7"/>
  <c r="J344" i="7"/>
  <c r="J194" i="7"/>
  <c r="J139" i="7"/>
  <c r="J1653" i="7"/>
  <c r="J2410" i="7"/>
  <c r="J1339" i="7"/>
  <c r="J680" i="7"/>
  <c r="J2331" i="7"/>
  <c r="J362" i="7"/>
  <c r="J49" i="7"/>
  <c r="J515" i="7"/>
  <c r="J2554" i="7"/>
  <c r="J1045" i="7"/>
  <c r="J2177" i="7"/>
  <c r="J2247" i="7"/>
  <c r="J857" i="7"/>
  <c r="J1334" i="7"/>
  <c r="J1351" i="7"/>
  <c r="J1393" i="7"/>
  <c r="J2301" i="7"/>
  <c r="J1852" i="7"/>
  <c r="J1135" i="7"/>
  <c r="J2254" i="7"/>
  <c r="J1284" i="7"/>
  <c r="J556" i="7"/>
  <c r="J1347" i="7"/>
  <c r="J816" i="7"/>
  <c r="J365" i="7"/>
  <c r="J101" i="7"/>
  <c r="J424" i="7"/>
  <c r="J719" i="7"/>
  <c r="J773" i="7"/>
  <c r="J533" i="7"/>
  <c r="J623" i="7"/>
  <c r="J903" i="7"/>
  <c r="J1108" i="7"/>
  <c r="J509" i="7"/>
  <c r="J95" i="7"/>
  <c r="J988" i="7"/>
  <c r="J663" i="7"/>
  <c r="J1528" i="7"/>
  <c r="J666" i="7"/>
  <c r="J1420" i="7"/>
  <c r="J919" i="7"/>
  <c r="J255" i="7"/>
  <c r="J982" i="7"/>
  <c r="J756" i="7"/>
  <c r="J1384" i="7"/>
  <c r="J600" i="7"/>
  <c r="J478" i="7"/>
  <c r="J426" i="7"/>
  <c r="J1018" i="7"/>
  <c r="J96" i="7"/>
  <c r="J910" i="7"/>
  <c r="J855" i="7"/>
  <c r="J665" i="7"/>
  <c r="J1329" i="7"/>
  <c r="J264" i="7"/>
  <c r="J1362" i="7"/>
  <c r="J1084" i="7"/>
  <c r="J715" i="7"/>
  <c r="J779" i="7"/>
  <c r="J499" i="7"/>
  <c r="J563" i="7"/>
  <c r="J1323" i="7"/>
  <c r="J45" i="7"/>
  <c r="J1350" i="7"/>
  <c r="J629" i="7"/>
  <c r="J540" i="7"/>
  <c r="J1276" i="7"/>
  <c r="J294" i="7"/>
  <c r="J281" i="7"/>
  <c r="J12" i="7"/>
  <c r="J173" i="7"/>
  <c r="J286" i="7"/>
  <c r="J543" i="7"/>
  <c r="J714" i="7"/>
  <c r="J1137" i="7"/>
  <c r="J215" i="7"/>
  <c r="J402" i="7"/>
  <c r="J270" i="7"/>
  <c r="J171" i="7"/>
  <c r="J108" i="7"/>
  <c r="J63" i="7"/>
  <c r="J1309" i="7"/>
  <c r="J603" i="7"/>
  <c r="J523" i="7"/>
  <c r="J688" i="7"/>
  <c r="J744" i="7"/>
  <c r="J707" i="7"/>
  <c r="J1324" i="7"/>
  <c r="J456" i="7"/>
  <c r="J352" i="7"/>
  <c r="J474" i="7"/>
  <c r="J466" i="7"/>
  <c r="J1680" i="7"/>
  <c r="J1854" i="7"/>
  <c r="J1627" i="7"/>
  <c r="J1558" i="7"/>
  <c r="J1631" i="7"/>
  <c r="J2226" i="7"/>
  <c r="J1031" i="7"/>
  <c r="J2601" i="7"/>
  <c r="J1307" i="7"/>
  <c r="J1085" i="7"/>
  <c r="J2304" i="7"/>
  <c r="J1538" i="7"/>
  <c r="J2402" i="7"/>
  <c r="J2476" i="7"/>
  <c r="J1676" i="7"/>
  <c r="J2269" i="7"/>
  <c r="J2547" i="7"/>
  <c r="J1369" i="7"/>
  <c r="J740" i="7"/>
  <c r="J608" i="7"/>
  <c r="J577" i="7"/>
  <c r="J2589" i="7"/>
  <c r="J584" i="7"/>
  <c r="J116" i="7"/>
  <c r="J179" i="7"/>
  <c r="J2401" i="7"/>
  <c r="J1128" i="7"/>
  <c r="J984" i="7"/>
  <c r="J2385" i="7"/>
  <c r="J1446" i="7"/>
  <c r="J1469" i="7"/>
  <c r="J1442" i="7"/>
  <c r="J158" i="7"/>
  <c r="J1495" i="7"/>
  <c r="J67" i="7"/>
  <c r="J2073" i="7"/>
  <c r="J260" i="7"/>
  <c r="J1207" i="7"/>
  <c r="J17" i="7"/>
  <c r="J2199" i="7"/>
  <c r="J912" i="7"/>
  <c r="J438" i="7"/>
  <c r="J447" i="7"/>
  <c r="J517" i="7"/>
  <c r="J1426" i="7"/>
  <c r="J1858" i="7"/>
  <c r="J978" i="7"/>
  <c r="J1082" i="7"/>
  <c r="J162" i="7"/>
  <c r="J1666" i="7"/>
  <c r="J1386" i="7"/>
  <c r="J2266" i="7"/>
  <c r="J91" i="7"/>
  <c r="J2697" i="7"/>
  <c r="J944" i="7"/>
  <c r="J1395" i="7"/>
  <c r="J285" i="7"/>
  <c r="J1783" i="7"/>
  <c r="J350" i="7"/>
  <c r="J1478" i="7"/>
  <c r="J1219" i="7"/>
  <c r="J859" i="7"/>
  <c r="J1428" i="7"/>
  <c r="J1508" i="7"/>
  <c r="J1081" i="7"/>
  <c r="J625" i="7"/>
  <c r="J1264" i="7"/>
  <c r="J1617" i="7"/>
  <c r="J354" i="7"/>
  <c r="J809" i="7"/>
  <c r="J2229" i="7"/>
  <c r="J1021" i="7"/>
  <c r="J2338" i="7"/>
  <c r="J19" i="7"/>
  <c r="J2541" i="7"/>
  <c r="J734" i="7"/>
  <c r="J1387" i="7"/>
  <c r="J31" i="7"/>
  <c r="J1514" i="7"/>
  <c r="J1069" i="7"/>
  <c r="J2428" i="7"/>
  <c r="J1051" i="7"/>
  <c r="J697" i="7"/>
  <c r="J534" i="7"/>
  <c r="J1388" i="7"/>
  <c r="J1218" i="7"/>
  <c r="J691" i="7"/>
  <c r="J1441" i="7"/>
  <c r="J2704" i="7"/>
  <c r="J2613" i="7"/>
  <c r="J1612" i="7"/>
  <c r="J827" i="7"/>
  <c r="J1139" i="7"/>
  <c r="J1599" i="7"/>
  <c r="J1951" i="7"/>
  <c r="J2524" i="7"/>
  <c r="J440" i="7"/>
  <c r="J256" i="7"/>
  <c r="J345" i="7"/>
  <c r="J1296" i="7"/>
  <c r="J806" i="7"/>
  <c r="J960" i="7"/>
  <c r="J937" i="7"/>
  <c r="J786" i="7"/>
  <c r="J721" i="7"/>
  <c r="J570" i="7"/>
  <c r="J347" i="7"/>
  <c r="J690" i="7"/>
  <c r="J797" i="7"/>
  <c r="J2442" i="7"/>
  <c r="J1949" i="7"/>
  <c r="J2048" i="7"/>
  <c r="J2306" i="7"/>
  <c r="J1677" i="7"/>
  <c r="J2462" i="7"/>
  <c r="J1600" i="7"/>
  <c r="J1910" i="7"/>
  <c r="J1624" i="7"/>
  <c r="J1942" i="7"/>
  <c r="J869" i="7"/>
  <c r="J1567" i="7"/>
  <c r="J2179" i="7"/>
  <c r="J1945" i="7"/>
  <c r="J2004" i="7"/>
  <c r="J1727" i="7"/>
  <c r="J1839" i="7"/>
  <c r="J428" i="7"/>
  <c r="J217" i="7"/>
  <c r="J2311" i="7"/>
  <c r="J1136" i="7"/>
  <c r="J392" i="7"/>
  <c r="J253" i="7"/>
  <c r="J1713" i="7"/>
  <c r="J1513" i="7"/>
  <c r="J2608" i="7"/>
  <c r="J1435" i="7"/>
  <c r="J1065" i="7"/>
  <c r="J1315" i="7"/>
  <c r="J266" i="7"/>
  <c r="J2595" i="7"/>
  <c r="J1546" i="7"/>
  <c r="J1367" i="7"/>
  <c r="J1731" i="7"/>
  <c r="J590" i="7"/>
  <c r="J1225" i="7"/>
  <c r="J1785" i="7"/>
  <c r="J2674" i="7"/>
  <c r="J1644" i="7"/>
  <c r="J1636" i="7"/>
  <c r="J125" i="7"/>
  <c r="J795" i="7"/>
  <c r="J100" i="7"/>
  <c r="J560" i="7"/>
  <c r="J679" i="7"/>
  <c r="J2344" i="7"/>
  <c r="J979" i="7"/>
  <c r="J2655" i="7"/>
  <c r="J1100" i="7"/>
  <c r="J866" i="7"/>
  <c r="J791" i="7"/>
  <c r="J1977" i="7"/>
  <c r="J602" i="7"/>
  <c r="J536" i="7"/>
  <c r="J385" i="7"/>
  <c r="J1006" i="7"/>
  <c r="J159" i="7"/>
  <c r="J2463" i="7"/>
  <c r="J1088" i="7"/>
  <c r="J1618" i="7"/>
  <c r="J1308" i="7"/>
  <c r="J1797" i="7"/>
  <c r="J236" i="7"/>
  <c r="J643" i="7"/>
  <c r="J1320" i="7"/>
  <c r="J1975" i="7"/>
  <c r="J571" i="7"/>
  <c r="J1708" i="7"/>
  <c r="J553" i="7"/>
  <c r="J615" i="7"/>
  <c r="J583" i="7"/>
  <c r="J1246" i="7"/>
  <c r="J2043" i="7"/>
  <c r="J674" i="7"/>
  <c r="J506" i="7"/>
  <c r="J395" i="7"/>
  <c r="J2295" i="7"/>
  <c r="J518" i="7"/>
  <c r="J1690" i="7"/>
  <c r="J1236" i="7"/>
  <c r="J2181" i="7"/>
  <c r="J122" i="7"/>
  <c r="J1215" i="7"/>
  <c r="J1038" i="7"/>
  <c r="J1274" i="7"/>
  <c r="J56" i="7"/>
  <c r="J2317" i="7"/>
  <c r="J421" i="7"/>
  <c r="J2377" i="7"/>
  <c r="J1032" i="7"/>
  <c r="J2161" i="7"/>
  <c r="J2373" i="7"/>
  <c r="J1076" i="7"/>
  <c r="J751" i="7"/>
  <c r="J758" i="7"/>
  <c r="J733" i="7"/>
  <c r="J962" i="7"/>
  <c r="J1402" i="7"/>
  <c r="J1486" i="7"/>
  <c r="J489" i="7"/>
  <c r="J994" i="7"/>
  <c r="J396" i="7"/>
  <c r="J107" i="7"/>
  <c r="J78" i="7"/>
  <c r="J1534" i="7"/>
  <c r="J701" i="7"/>
  <c r="J812" i="7"/>
  <c r="J214" i="7"/>
  <c r="J1077" i="7"/>
  <c r="J822" i="7"/>
  <c r="J1374" i="7"/>
  <c r="J299" i="7"/>
  <c r="J886" i="7"/>
  <c r="J234" i="7"/>
  <c r="J319" i="7"/>
  <c r="J72" i="7"/>
  <c r="J463" i="7"/>
  <c r="J1101" i="7"/>
  <c r="J581" i="7"/>
  <c r="J657" i="7"/>
  <c r="J321" i="7"/>
  <c r="J381" i="7"/>
  <c r="J226" i="7"/>
  <c r="J921" i="7"/>
  <c r="J766" i="7"/>
  <c r="J813" i="7"/>
  <c r="J658" i="7"/>
  <c r="J1300" i="7"/>
  <c r="J77" i="7"/>
  <c r="J323" i="7"/>
  <c r="J618" i="7"/>
  <c r="J849" i="7"/>
  <c r="J204" i="7"/>
  <c r="J1389" i="7"/>
  <c r="J111" i="7"/>
  <c r="J1281" i="7"/>
  <c r="J3" i="7"/>
  <c r="J527" i="7"/>
  <c r="J946" i="7"/>
  <c r="J338" i="7"/>
  <c r="J237" i="7"/>
  <c r="J549" i="7"/>
  <c r="J2268" i="7"/>
  <c r="J2651" i="7"/>
  <c r="J1800" i="7"/>
  <c r="J1070" i="7"/>
  <c r="J1434" i="7"/>
  <c r="J493" i="7"/>
  <c r="J2205" i="7"/>
  <c r="J1025" i="7"/>
  <c r="J565" i="7"/>
  <c r="J1058" i="7"/>
  <c r="J26" i="7"/>
  <c r="J948" i="7"/>
  <c r="J1768" i="7"/>
  <c r="J2347" i="7"/>
  <c r="J2380" i="7"/>
  <c r="J2668" i="7"/>
  <c r="J2170" i="7"/>
  <c r="J176" i="7"/>
  <c r="J152" i="7"/>
  <c r="J986" i="7"/>
  <c r="J1455" i="7"/>
  <c r="J1345" i="7"/>
  <c r="J413" i="7"/>
  <c r="J303" i="7"/>
  <c r="J532" i="7"/>
  <c r="J168" i="7"/>
  <c r="J1197" i="7"/>
  <c r="J1401" i="7"/>
  <c r="J934" i="7"/>
  <c r="J1366" i="7"/>
  <c r="J1425" i="7"/>
  <c r="J430" i="7"/>
  <c r="J322" i="7"/>
  <c r="J708" i="7"/>
  <c r="J858" i="7"/>
  <c r="J102" i="7"/>
  <c r="J1188" i="7"/>
  <c r="J864" i="7"/>
  <c r="J318" i="7"/>
  <c r="J282" i="7"/>
  <c r="J761" i="7"/>
  <c r="J1260" i="7"/>
  <c r="J298" i="7"/>
  <c r="J777" i="7"/>
  <c r="J1209" i="7"/>
  <c r="J1096" i="7"/>
  <c r="J1449" i="7"/>
  <c r="J612" i="7"/>
  <c r="J627" i="7"/>
  <c r="J628" i="7"/>
  <c r="J911" i="7"/>
  <c r="J548" i="7"/>
  <c r="J884" i="7"/>
  <c r="J2145" i="7"/>
  <c r="J216" i="7"/>
  <c r="J801" i="7"/>
  <c r="J340" i="7"/>
  <c r="J717" i="7"/>
  <c r="J2629" i="7"/>
  <c r="J559" i="7"/>
  <c r="J747" i="7"/>
  <c r="J2571" i="7"/>
  <c r="J1129" i="7"/>
  <c r="J1359" i="7"/>
  <c r="J1028" i="7"/>
  <c r="J1396" i="7"/>
  <c r="J470" i="7"/>
  <c r="J2026" i="7"/>
  <c r="J109" i="7"/>
  <c r="J60" i="7"/>
  <c r="J460" i="7"/>
  <c r="J210" i="7"/>
  <c r="J46" i="7"/>
  <c r="J283" i="7"/>
  <c r="J837" i="7"/>
  <c r="J425" i="7"/>
  <c r="J700" i="7"/>
  <c r="J180" i="7"/>
  <c r="J495" i="7"/>
  <c r="J1083" i="7"/>
  <c r="J582" i="7"/>
  <c r="J1488" i="7"/>
  <c r="J760" i="7"/>
  <c r="J93" i="7"/>
  <c r="J2106" i="7"/>
  <c r="J2695" i="7"/>
  <c r="J1565" i="7"/>
  <c r="J805" i="7"/>
  <c r="J422" i="7"/>
  <c r="J2677" i="7"/>
  <c r="J1642" i="7"/>
  <c r="J1298" i="7"/>
  <c r="J1262" i="7"/>
  <c r="J557" i="7"/>
  <c r="J692" i="7"/>
  <c r="J943" i="7"/>
  <c r="J1004" i="7"/>
  <c r="J2565" i="7"/>
  <c r="J320" i="7"/>
  <c r="J883" i="7"/>
  <c r="J1659" i="7"/>
  <c r="J567" i="7"/>
  <c r="J112" i="7"/>
  <c r="J544" i="7"/>
  <c r="J334" i="7"/>
  <c r="J4" i="7"/>
  <c r="J6" i="7"/>
  <c r="J954" i="7"/>
  <c r="J51" i="7"/>
  <c r="J748" i="7"/>
  <c r="J808" i="7"/>
  <c r="J1383" i="7"/>
  <c r="J507" i="7"/>
  <c r="J1485" i="7"/>
  <c r="J1317" i="7"/>
  <c r="J280" i="7"/>
  <c r="J22" i="7"/>
  <c r="J1859" i="7"/>
  <c r="J1683" i="7"/>
  <c r="J33" i="7"/>
  <c r="J1333" i="7"/>
  <c r="J1026" i="7"/>
  <c r="J261" i="7"/>
  <c r="J676" i="7"/>
  <c r="J120" i="7"/>
  <c r="J2258" i="7"/>
  <c r="J1454" i="7"/>
  <c r="J524" i="7"/>
  <c r="J276" i="7"/>
  <c r="J455" i="7"/>
  <c r="J973" i="7"/>
  <c r="J404" i="7"/>
  <c r="J123" i="7"/>
  <c r="J1024" i="7"/>
  <c r="J932" i="7"/>
  <c r="J482" i="7"/>
  <c r="J652" i="7"/>
  <c r="J1167" i="7"/>
  <c r="J1450" i="7"/>
  <c r="J634" i="7"/>
  <c r="J419" i="7"/>
  <c r="J454" i="7"/>
  <c r="J1269" i="7"/>
  <c r="J160" i="7"/>
  <c r="J1173" i="7"/>
  <c r="J965" i="7"/>
  <c r="J287" i="7"/>
  <c r="J65" i="7"/>
  <c r="J1467" i="7"/>
  <c r="J186" i="7"/>
  <c r="J1278" i="7"/>
  <c r="J1626" i="7"/>
  <c r="J1658" i="7"/>
  <c r="J2580" i="7"/>
  <c r="J686" i="7"/>
  <c r="J2355" i="7"/>
  <c r="J1140" i="7"/>
  <c r="J2157" i="7"/>
  <c r="J127" i="7"/>
  <c r="J2493" i="7"/>
  <c r="J647" i="7"/>
  <c r="J1417" i="7"/>
  <c r="J1490" i="7"/>
  <c r="J415" i="7"/>
  <c r="J80" i="7"/>
  <c r="J1483" i="7"/>
  <c r="J1971" i="7"/>
  <c r="J881" i="7"/>
  <c r="J597" i="7"/>
  <c r="J142" i="7"/>
  <c r="J574" i="7"/>
  <c r="J1305" i="7"/>
  <c r="J34" i="7"/>
  <c r="J42" i="7"/>
  <c r="J310" i="7"/>
  <c r="J868" i="7"/>
  <c r="J635" i="7"/>
  <c r="J927" i="7"/>
  <c r="J757" i="7"/>
  <c r="J75" i="7"/>
  <c r="J598" i="7"/>
  <c r="J213" i="7"/>
  <c r="J753" i="7"/>
  <c r="J645" i="7"/>
  <c r="J1017" i="7"/>
  <c r="J135" i="7"/>
  <c r="J195" i="7"/>
  <c r="J802" i="7"/>
  <c r="J1168" i="7"/>
  <c r="J1580" i="7"/>
  <c r="J2404" i="7"/>
  <c r="J143" i="7"/>
  <c r="J193" i="7"/>
  <c r="J369" i="7"/>
  <c r="J952" i="7"/>
  <c r="J115" i="7"/>
  <c r="J94" i="7"/>
  <c r="J477" i="7"/>
  <c r="J1257" i="7"/>
  <c r="J407" i="7"/>
  <c r="J755" i="7"/>
  <c r="J1915" i="7"/>
  <c r="J1363" i="7"/>
  <c r="J1581" i="7"/>
  <c r="J2074" i="7"/>
  <c r="J1052" i="7"/>
  <c r="J898" i="7"/>
  <c r="J1234" i="7"/>
  <c r="J1185" i="7"/>
  <c r="J2310" i="7"/>
  <c r="J403" i="7"/>
  <c r="J1231" i="7"/>
  <c r="J2452" i="7"/>
  <c r="J999" i="7"/>
  <c r="J39" i="7"/>
  <c r="J1327" i="7"/>
  <c r="J7" i="7"/>
  <c r="J776" i="7"/>
  <c r="J966" i="7"/>
  <c r="J1275" i="7"/>
  <c r="J739" i="7"/>
  <c r="J2611" i="7"/>
  <c r="J2623" i="7"/>
  <c r="J1027" i="7"/>
  <c r="J153" i="7"/>
  <c r="J10" i="7"/>
  <c r="J1482" i="7"/>
  <c r="J1521" i="7"/>
  <c r="J2407" i="7"/>
  <c r="J1824" i="7"/>
  <c r="J2503" i="7"/>
  <c r="J2517" i="7"/>
  <c r="J86" i="7"/>
  <c r="J1303" i="7"/>
  <c r="J926" i="7"/>
  <c r="J890" i="7"/>
  <c r="J2662" i="7"/>
  <c r="J432" i="7"/>
  <c r="J1460" i="7"/>
  <c r="J601" i="7"/>
  <c r="J940" i="7"/>
  <c r="J764" i="7"/>
  <c r="J728" i="7"/>
  <c r="J1087" i="7"/>
  <c r="J1530" i="7"/>
  <c r="J492" i="7"/>
  <c r="J129" i="7"/>
  <c r="J561" i="7"/>
  <c r="J189" i="7"/>
  <c r="J21" i="7"/>
  <c r="J1341" i="7"/>
  <c r="J729" i="7"/>
  <c r="J1161" i="7"/>
  <c r="J632" i="7"/>
  <c r="J389" i="7"/>
  <c r="J166" i="7"/>
  <c r="J735" i="7"/>
  <c r="J1192" i="7"/>
  <c r="J1060" i="7"/>
  <c r="J599" i="7"/>
  <c r="J1116" i="7"/>
  <c r="J1039" i="7"/>
  <c r="J1282" i="7"/>
  <c r="J1335" i="7"/>
  <c r="J772" i="7"/>
  <c r="J861" i="7"/>
  <c r="J677" i="7"/>
  <c r="J1149" i="7"/>
  <c r="J221" i="7"/>
  <c r="J609" i="7"/>
  <c r="J1413" i="7"/>
  <c r="J1696" i="7"/>
  <c r="J13" i="7"/>
  <c r="J1440" i="7"/>
  <c r="J1527" i="7"/>
  <c r="J928" i="7"/>
  <c r="J1473" i="7"/>
  <c r="J2353" i="7"/>
  <c r="J637" i="7"/>
  <c r="J2176" i="7"/>
  <c r="J617" i="7"/>
  <c r="J25" i="7"/>
  <c r="J741" i="7"/>
  <c r="J895" i="7"/>
  <c r="J669" i="7"/>
  <c r="J1125" i="7"/>
  <c r="J695" i="7"/>
  <c r="J1890" i="7"/>
  <c r="J2703" i="7"/>
  <c r="J448" i="7"/>
  <c r="J880" i="7"/>
  <c r="J1408" i="7"/>
  <c r="J150" i="7"/>
  <c r="J2215" i="7"/>
  <c r="J2396" i="7"/>
  <c r="J1655" i="7"/>
  <c r="J920" i="7"/>
  <c r="J211" i="7"/>
  <c r="J1780" i="7"/>
  <c r="J860" i="7"/>
  <c r="J1964" i="7"/>
  <c r="J349" i="7"/>
  <c r="J702" i="7"/>
  <c r="J1177" i="7"/>
  <c r="J1194" i="7"/>
  <c r="J2302" i="7"/>
  <c r="J2055" i="7"/>
  <c r="J265" i="7"/>
  <c r="J410" i="7"/>
  <c r="J745" i="7"/>
  <c r="J442" i="7"/>
  <c r="J1522" i="7"/>
  <c r="J558" i="7"/>
  <c r="J969" i="7"/>
  <c r="J1414" i="7"/>
  <c r="J141" i="7"/>
  <c r="J1509" i="7"/>
  <c r="J406" i="7"/>
  <c r="J197" i="7"/>
  <c r="J843" i="7"/>
  <c r="J1240" i="7"/>
  <c r="J1191" i="7"/>
  <c r="J88" i="7"/>
  <c r="J231" i="7"/>
  <c r="J771" i="7"/>
  <c r="J699" i="7"/>
  <c r="J586" i="7"/>
  <c r="J975" i="7"/>
  <c r="J69" i="7"/>
  <c r="J501" i="7"/>
  <c r="J2487" i="7"/>
  <c r="J248" i="7"/>
  <c r="J2307" i="7"/>
  <c r="J840" i="7"/>
  <c r="J1311" i="7"/>
  <c r="J229" i="7"/>
  <c r="J222" i="7"/>
  <c r="J2231" i="7"/>
  <c r="J535" i="7"/>
  <c r="J358" i="7"/>
  <c r="J2065" i="7"/>
  <c r="J1431" i="7"/>
  <c r="J243" i="7"/>
  <c r="J633" i="7"/>
  <c r="J1111" i="7"/>
  <c r="J1154" i="7"/>
  <c r="J268" i="7"/>
  <c r="J330" i="7"/>
  <c r="J371" i="7"/>
  <c r="J1870" i="7"/>
  <c r="J2223" i="7"/>
  <c r="J871" i="7"/>
  <c r="J400" i="7"/>
  <c r="J1102" i="7"/>
  <c r="J1972" i="7"/>
  <c r="J1073" i="7"/>
  <c r="J2290" i="7"/>
  <c r="J914" i="7"/>
  <c r="J1984" i="7"/>
  <c r="J1265" i="7"/>
  <c r="J1224" i="7"/>
  <c r="J1228" i="7"/>
  <c r="J331" i="7"/>
  <c r="J778" i="7"/>
  <c r="J74" i="7"/>
  <c r="J2494" i="7"/>
  <c r="J290" i="7"/>
  <c r="J826" i="7"/>
  <c r="J1798" i="7"/>
  <c r="J1033" i="7"/>
  <c r="J1888" i="7"/>
  <c r="J418" i="7"/>
  <c r="J682" i="7"/>
  <c r="J653" i="7"/>
  <c r="J1029" i="7"/>
  <c r="J1461" i="7"/>
  <c r="J104" i="7"/>
  <c r="J1516" i="7"/>
  <c r="J240" i="7"/>
  <c r="J885" i="7"/>
  <c r="J202" i="7"/>
  <c r="J1293" i="7"/>
  <c r="J930" i="7"/>
  <c r="J201" i="7"/>
  <c r="J1089" i="7"/>
  <c r="J981" i="7"/>
  <c r="J245" i="7"/>
  <c r="J1095" i="7"/>
  <c r="J89" i="7"/>
  <c r="J84" i="7"/>
  <c r="J521" i="7"/>
  <c r="J27" i="7"/>
  <c r="J1563" i="7"/>
  <c r="J2110" i="7"/>
  <c r="J2560" i="7"/>
  <c r="J485" i="7"/>
  <c r="J2167" i="7"/>
  <c r="J1226" i="7"/>
  <c r="J380" i="7"/>
  <c r="J289" i="7"/>
  <c r="J904" i="7"/>
  <c r="J1244" i="7"/>
  <c r="J35" i="7"/>
  <c r="J1983" i="7"/>
  <c r="J1929" i="7"/>
  <c r="J804" i="7"/>
  <c r="J803" i="7"/>
  <c r="J1348" i="7"/>
  <c r="J592" i="7"/>
  <c r="J342" i="7"/>
  <c r="J161" i="7"/>
  <c r="J313" i="7"/>
  <c r="J909" i="7"/>
  <c r="J312" i="7"/>
  <c r="J292" i="7"/>
  <c r="J1979" i="7"/>
  <c r="J1787" i="7"/>
  <c r="J2361" i="7"/>
  <c r="J1761" i="7"/>
  <c r="J1459" i="7"/>
  <c r="J1165" i="7"/>
  <c r="J106" i="7"/>
  <c r="J2235" i="7"/>
  <c r="J614" i="7"/>
  <c r="J2511" i="7"/>
  <c r="J2104" i="7"/>
  <c r="J696" i="7"/>
  <c r="J308" i="7"/>
  <c r="J838" i="7"/>
  <c r="J1398" i="7"/>
  <c r="J1410" i="7"/>
  <c r="J727" i="7"/>
  <c r="J82" i="7"/>
  <c r="J774" i="7"/>
  <c r="J789" i="7"/>
  <c r="J874" i="7"/>
  <c r="J1306" i="7"/>
  <c r="J1533" i="7"/>
  <c r="J514" i="7"/>
  <c r="J41" i="7"/>
  <c r="J546" i="7"/>
  <c r="J372" i="7"/>
  <c r="J157" i="7"/>
  <c r="J220" i="7"/>
  <c r="J725" i="7"/>
  <c r="J1206" i="7"/>
  <c r="J870" i="7"/>
  <c r="J664" i="7"/>
  <c r="J718" i="7"/>
  <c r="J1179" i="7"/>
  <c r="J184" i="7"/>
  <c r="J76" i="7"/>
  <c r="J288" i="7"/>
  <c r="J2046" i="7"/>
  <c r="J1993" i="7"/>
  <c r="J241" i="7"/>
  <c r="V83" i="4"/>
  <c r="W83" i="4" s="1"/>
  <c r="V88" i="4"/>
  <c r="W88" i="4" s="1"/>
  <c r="Y88" i="4"/>
  <c r="Z88" i="4" s="1"/>
  <c r="Y83" i="4"/>
  <c r="Z83" i="4" s="1"/>
  <c r="S88" i="4"/>
  <c r="T88" i="4" s="1"/>
  <c r="S83" i="4"/>
  <c r="T83" i="4" s="1"/>
  <c r="P88" i="4"/>
  <c r="Q88" i="4" s="1"/>
  <c r="P83" i="4"/>
  <c r="Q83" i="4" s="1"/>
  <c r="Y126" i="4"/>
  <c r="Z126" i="4" s="1"/>
  <c r="Y69" i="4"/>
  <c r="Z69" i="4" s="1"/>
  <c r="V86" i="4"/>
  <c r="W86" i="4" s="1"/>
  <c r="V121" i="4"/>
  <c r="W121" i="4" s="1"/>
  <c r="Y86" i="4"/>
  <c r="Z86" i="4" s="1"/>
  <c r="Y121" i="4"/>
  <c r="Z121" i="4" s="1"/>
  <c r="V69" i="4"/>
  <c r="W69" i="4" s="1"/>
  <c r="V126" i="4"/>
  <c r="W126" i="4" s="1"/>
  <c r="Y119" i="4"/>
  <c r="Z119" i="4" s="1"/>
  <c r="Y73" i="4"/>
  <c r="Z73" i="4" s="1"/>
  <c r="V73" i="4"/>
  <c r="W73" i="4" s="1"/>
  <c r="V119" i="4"/>
  <c r="W119" i="4" s="1"/>
  <c r="AJ8" i="1" l="1"/>
  <c r="AH8" i="1"/>
  <c r="AF8" i="1"/>
  <c r="AI8" i="1"/>
  <c r="AG8" i="1"/>
  <c r="AK8" i="1" l="1"/>
  <c r="H54" i="4" l="1"/>
  <c r="S13" i="4" l="1"/>
  <c r="T13" i="4" s="1"/>
  <c r="S8" i="4"/>
  <c r="T8" i="4" s="1"/>
  <c r="V35" i="4"/>
  <c r="W35" i="4" s="1"/>
  <c r="S37" i="4"/>
  <c r="T37" i="4" s="1"/>
  <c r="J35" i="4"/>
  <c r="K35" i="4" s="1"/>
  <c r="S35" i="4"/>
  <c r="T35" i="4" s="1"/>
  <c r="M13" i="4"/>
  <c r="N13" i="4" s="1"/>
  <c r="M61" i="4"/>
  <c r="N61" i="4" s="1"/>
  <c r="V30" i="4"/>
  <c r="W30" i="4" s="1"/>
  <c r="J75" i="4"/>
  <c r="K75" i="4" s="1"/>
  <c r="P9" i="4"/>
  <c r="Q9" i="4" s="1"/>
  <c r="Y40" i="4"/>
  <c r="Z40" i="4" s="1"/>
  <c r="M64" i="4"/>
  <c r="N64" i="4" s="1"/>
  <c r="P87" i="4"/>
  <c r="Q87" i="4" s="1"/>
  <c r="M56" i="4"/>
  <c r="N56" i="4" s="1"/>
  <c r="S19" i="4"/>
  <c r="T19" i="4" s="1"/>
  <c r="P41" i="4"/>
  <c r="Q41" i="4" s="1"/>
  <c r="P62" i="4"/>
  <c r="Q62" i="4" s="1"/>
  <c r="J87" i="4"/>
  <c r="K87" i="4" s="1"/>
  <c r="M15" i="4"/>
  <c r="N15" i="4" s="1"/>
  <c r="J15" i="4"/>
  <c r="K15" i="4" s="1"/>
  <c r="M30" i="4"/>
  <c r="N30" i="4" s="1"/>
  <c r="S65" i="4"/>
  <c r="T65" i="4" s="1"/>
  <c r="V75" i="4"/>
  <c r="W75" i="4" s="1"/>
  <c r="J57" i="4"/>
  <c r="K57" i="4" s="1"/>
  <c r="P75" i="4"/>
  <c r="Q75" i="4" s="1"/>
  <c r="P31" i="4"/>
  <c r="Q31" i="4" s="1"/>
  <c r="Y30" i="4"/>
  <c r="Z30" i="4" s="1"/>
  <c r="V53" i="4"/>
  <c r="W53" i="4" s="1"/>
  <c r="P57" i="4"/>
  <c r="Q57" i="4" s="1"/>
  <c r="P55" i="4"/>
  <c r="Q55" i="4" s="1"/>
  <c r="S31" i="4"/>
  <c r="T31" i="4" s="1"/>
  <c r="P59" i="4"/>
  <c r="Q59" i="4" s="1"/>
  <c r="J65" i="4"/>
  <c r="K65" i="4" s="1"/>
  <c r="S55" i="4"/>
  <c r="T55" i="4" s="1"/>
  <c r="Y11" i="4"/>
  <c r="Z11" i="4" s="1"/>
  <c r="Y8" i="4"/>
  <c r="Z8" i="4" s="1"/>
  <c r="V15" i="4"/>
  <c r="W15" i="4" s="1"/>
  <c r="J13" i="4"/>
  <c r="K13" i="4" s="1"/>
  <c r="Y9" i="4"/>
  <c r="Z9" i="4" s="1"/>
  <c r="J80" i="4"/>
  <c r="K80" i="4" s="1"/>
  <c r="S50" i="4"/>
  <c r="T50" i="4" s="1"/>
  <c r="Y50" i="4"/>
  <c r="Z50" i="4" s="1"/>
  <c r="M48" i="4"/>
  <c r="N48" i="4" s="1"/>
  <c r="S30" i="4"/>
  <c r="T30" i="4" s="1"/>
  <c r="J68" i="4"/>
  <c r="K68" i="4" s="1"/>
  <c r="S72" i="4"/>
  <c r="T72" i="4" s="1"/>
  <c r="P30" i="4"/>
  <c r="Q30" i="4" s="1"/>
  <c r="Y53" i="4"/>
  <c r="Z53" i="4" s="1"/>
  <c r="Y59" i="4"/>
  <c r="Z59" i="4" s="1"/>
  <c r="M71" i="4"/>
  <c r="N71" i="4" s="1"/>
  <c r="Y26" i="4"/>
  <c r="Z26" i="4" s="1"/>
  <c r="P51" i="4"/>
  <c r="Q51" i="4" s="1"/>
  <c r="Y19" i="4"/>
  <c r="Z19" i="4" s="1"/>
  <c r="S67" i="4"/>
  <c r="T67" i="4" s="1"/>
  <c r="J25" i="4"/>
  <c r="K25" i="4" s="1"/>
  <c r="M53" i="4"/>
  <c r="N53" i="4" s="1"/>
  <c r="M75" i="4"/>
  <c r="N75" i="4" s="1"/>
  <c r="V50" i="4"/>
  <c r="W50" i="4" s="1"/>
  <c r="V55" i="4"/>
  <c r="W55" i="4" s="1"/>
  <c r="M9" i="4"/>
  <c r="N9" i="4" s="1"/>
  <c r="P35" i="4"/>
  <c r="Q35" i="4" s="1"/>
  <c r="V60" i="4"/>
  <c r="W60" i="4" s="1"/>
  <c r="V57" i="4"/>
  <c r="W57" i="4" s="1"/>
  <c r="P80" i="4"/>
  <c r="Q80" i="4" s="1"/>
  <c r="V24" i="4"/>
  <c r="W24" i="4" s="1"/>
  <c r="Y60" i="4"/>
  <c r="Z60" i="4" s="1"/>
  <c r="V20" i="4"/>
  <c r="W20" i="4" s="1"/>
  <c r="S25" i="4"/>
  <c r="T25" i="4" s="1"/>
  <c r="Y65" i="4"/>
  <c r="Z65" i="4" s="1"/>
  <c r="J59" i="4"/>
  <c r="K59" i="4" s="1"/>
  <c r="P58" i="4"/>
  <c r="Q58" i="4" s="1"/>
  <c r="V26" i="4"/>
  <c r="W26" i="4" s="1"/>
  <c r="S32" i="4"/>
  <c r="T32" i="4" s="1"/>
  <c r="M20" i="4"/>
  <c r="N20" i="4" s="1"/>
  <c r="M80" i="4"/>
  <c r="N80" i="4" s="1"/>
  <c r="P26" i="4"/>
  <c r="Q26" i="4" s="1"/>
  <c r="V56" i="4"/>
  <c r="W56" i="4" s="1"/>
  <c r="S58" i="4"/>
  <c r="T58" i="4" s="1"/>
  <c r="V59" i="4"/>
  <c r="W59" i="4" s="1"/>
  <c r="P48" i="4"/>
  <c r="Q48" i="4" s="1"/>
  <c r="P77" i="4"/>
  <c r="Q77" i="4" s="1"/>
  <c r="S54" i="4"/>
  <c r="T54" i="4" s="1"/>
  <c r="P72" i="4"/>
  <c r="Q72" i="4" s="1"/>
  <c r="S62" i="4"/>
  <c r="T62" i="4" s="1"/>
  <c r="V37" i="4"/>
  <c r="W37" i="4" s="1"/>
  <c r="J55" i="4"/>
  <c r="K55" i="4" s="1"/>
  <c r="J71" i="4"/>
  <c r="K71" i="4" s="1"/>
  <c r="V11" i="4"/>
  <c r="W11" i="4" s="1"/>
  <c r="S57" i="4"/>
  <c r="T57" i="4" s="1"/>
  <c r="J56" i="4"/>
  <c r="K56" i="4" s="1"/>
  <c r="S38" i="4"/>
  <c r="T38" i="4" s="1"/>
  <c r="J20" i="4"/>
  <c r="K20" i="4" s="1"/>
  <c r="M32" i="4"/>
  <c r="N32" i="4" s="1"/>
  <c r="M49" i="4"/>
  <c r="N49" i="4" s="1"/>
  <c r="P25" i="4"/>
  <c r="Q25" i="4" s="1"/>
  <c r="M79" i="4"/>
  <c r="N79" i="4" s="1"/>
  <c r="Y79" i="4"/>
  <c r="Z79" i="4" s="1"/>
  <c r="S70" i="4"/>
  <c r="T70" i="4" s="1"/>
  <c r="S68" i="4"/>
  <c r="T68" i="4" s="1"/>
  <c r="P49" i="4"/>
  <c r="Q49" i="4" s="1"/>
  <c r="Y56" i="4"/>
  <c r="Z56" i="4" s="1"/>
  <c r="P24" i="4"/>
  <c r="Q24" i="4" s="1"/>
  <c r="P50" i="4"/>
  <c r="Q50" i="4" s="1"/>
  <c r="V40" i="4"/>
  <c r="W40" i="4" s="1"/>
  <c r="M8" i="4"/>
  <c r="N8" i="4" s="1"/>
  <c r="P71" i="4"/>
  <c r="Q71" i="4" s="1"/>
  <c r="Y58" i="4"/>
  <c r="Z58" i="4" s="1"/>
  <c r="J11" i="4"/>
  <c r="K11" i="4" s="1"/>
  <c r="Y64" i="4"/>
  <c r="Z64" i="4" s="1"/>
  <c r="M41" i="4"/>
  <c r="N41" i="4" s="1"/>
  <c r="J41" i="4"/>
  <c r="K41" i="4" s="1"/>
  <c r="S41" i="4"/>
  <c r="T41" i="4" s="1"/>
  <c r="Y48" i="4"/>
  <c r="Z48" i="4" s="1"/>
  <c r="J19" i="4"/>
  <c r="K19" i="4" s="1"/>
  <c r="S48" i="4"/>
  <c r="T48" i="4" s="1"/>
  <c r="J53" i="4"/>
  <c r="K53" i="4" s="1"/>
  <c r="P79" i="4"/>
  <c r="Q79" i="4" s="1"/>
  <c r="J60" i="4"/>
  <c r="K60" i="4" s="1"/>
  <c r="M31" i="4"/>
  <c r="N31" i="4" s="1"/>
  <c r="M81" i="4"/>
  <c r="N81" i="4" s="1"/>
  <c r="J31" i="4"/>
  <c r="K31" i="4" s="1"/>
  <c r="V19" i="4"/>
  <c r="W19" i="4" s="1"/>
  <c r="V49" i="4"/>
  <c r="W49" i="4" s="1"/>
  <c r="M25" i="4"/>
  <c r="N25" i="4" s="1"/>
  <c r="P67" i="4"/>
  <c r="Q67" i="4" s="1"/>
  <c r="J70" i="4"/>
  <c r="K70" i="4" s="1"/>
  <c r="J62" i="4"/>
  <c r="K62" i="4" s="1"/>
  <c r="P74" i="4"/>
  <c r="Q74" i="4" s="1"/>
  <c r="J24" i="4"/>
  <c r="K24" i="4" s="1"/>
  <c r="J64" i="4"/>
  <c r="K64" i="4" s="1"/>
  <c r="V74" i="4"/>
  <c r="W74" i="4" s="1"/>
  <c r="M68" i="4"/>
  <c r="N68" i="4" s="1"/>
  <c r="J118" i="4"/>
  <c r="K118" i="4" s="1"/>
  <c r="M27" i="4"/>
  <c r="N27" i="4" s="1"/>
  <c r="M70" i="4"/>
  <c r="N70" i="4" s="1"/>
  <c r="P53" i="4"/>
  <c r="Q53" i="4" s="1"/>
  <c r="P40" i="4"/>
  <c r="Q40" i="4" s="1"/>
  <c r="Y35" i="4"/>
  <c r="Z35" i="4" s="1"/>
  <c r="V58" i="4"/>
  <c r="W58" i="4" s="1"/>
  <c r="V71" i="4"/>
  <c r="W71" i="4" s="1"/>
  <c r="S61" i="4"/>
  <c r="T61" i="4" s="1"/>
  <c r="P27" i="4"/>
  <c r="Q27" i="4" s="1"/>
  <c r="M35" i="4"/>
  <c r="N35" i="4" s="1"/>
  <c r="Y41" i="4"/>
  <c r="Z41" i="4" s="1"/>
  <c r="S79" i="4"/>
  <c r="T79" i="4" s="1"/>
  <c r="P70" i="4"/>
  <c r="Q70" i="4" s="1"/>
  <c r="J72" i="4"/>
  <c r="K72" i="4" s="1"/>
  <c r="J51" i="4"/>
  <c r="K51" i="4" s="1"/>
  <c r="S59" i="4"/>
  <c r="T59" i="4" s="1"/>
  <c r="M58" i="4"/>
  <c r="N58" i="4" s="1"/>
  <c r="S27" i="4"/>
  <c r="T27" i="4" s="1"/>
  <c r="M57" i="4"/>
  <c r="N57" i="4" s="1"/>
  <c r="J79" i="4"/>
  <c r="K79" i="4" s="1"/>
  <c r="M11" i="4"/>
  <c r="N11" i="4" s="1"/>
  <c r="J49" i="4"/>
  <c r="K49" i="4" s="1"/>
  <c r="V32" i="4"/>
  <c r="W32" i="4" s="1"/>
  <c r="M60" i="4"/>
  <c r="N60" i="4" s="1"/>
  <c r="V68" i="4"/>
  <c r="W68" i="4" s="1"/>
  <c r="S74" i="4"/>
  <c r="T74" i="4" s="1"/>
  <c r="S26" i="4"/>
  <c r="T26" i="4" s="1"/>
  <c r="Y54" i="4"/>
  <c r="Z54" i="4" s="1"/>
  <c r="V25" i="4"/>
  <c r="W25" i="4" s="1"/>
  <c r="P61" i="4"/>
  <c r="Q61" i="4" s="1"/>
  <c r="V79" i="4"/>
  <c r="W79" i="4" s="1"/>
  <c r="J84" i="4"/>
  <c r="K84" i="4" s="1"/>
  <c r="S56" i="4"/>
  <c r="T56" i="4" s="1"/>
  <c r="M19" i="4"/>
  <c r="N19" i="4" s="1"/>
  <c r="M55" i="4"/>
  <c r="N55" i="4" s="1"/>
  <c r="P8" i="4"/>
  <c r="Q8" i="4" s="1"/>
  <c r="S49" i="4"/>
  <c r="T49" i="4" s="1"/>
  <c r="J30" i="4"/>
  <c r="K30" i="4" s="1"/>
  <c r="P32" i="4"/>
  <c r="Q32" i="4" s="1"/>
  <c r="J38" i="4"/>
  <c r="K38" i="4" s="1"/>
  <c r="P64" i="4"/>
  <c r="Q64" i="4" s="1"/>
  <c r="S20" i="4"/>
  <c r="T20" i="4" s="1"/>
  <c r="Y13" i="4"/>
  <c r="Z13" i="4" s="1"/>
  <c r="V9" i="4"/>
  <c r="W9" i="4" s="1"/>
  <c r="Y20" i="4"/>
  <c r="Z20" i="4" s="1"/>
  <c r="P15" i="4"/>
  <c r="Q15" i="4" s="1"/>
  <c r="S75" i="4"/>
  <c r="T75" i="4" s="1"/>
  <c r="Y38" i="4"/>
  <c r="Z38" i="4" s="1"/>
  <c r="M50" i="4"/>
  <c r="N50" i="4" s="1"/>
  <c r="Y49" i="4"/>
  <c r="Z49" i="4" s="1"/>
  <c r="M77" i="4"/>
  <c r="N77" i="4" s="1"/>
  <c r="Y75" i="4"/>
  <c r="Z75" i="4" s="1"/>
  <c r="V61" i="4"/>
  <c r="W61" i="4" s="1"/>
  <c r="P60" i="4"/>
  <c r="Q60" i="4" s="1"/>
  <c r="V13" i="4"/>
  <c r="W13" i="4" s="1"/>
  <c r="Y57" i="4"/>
  <c r="Z57" i="4" s="1"/>
  <c r="P54" i="4"/>
  <c r="Q54" i="4" s="1"/>
  <c r="S71" i="4"/>
  <c r="T71" i="4" s="1"/>
  <c r="M40" i="4"/>
  <c r="N40" i="4" s="1"/>
  <c r="J9" i="4"/>
  <c r="K9" i="4" s="1"/>
  <c r="Y24" i="4"/>
  <c r="Z24" i="4" s="1"/>
  <c r="J40" i="4"/>
  <c r="K40" i="4" s="1"/>
  <c r="V48" i="4"/>
  <c r="W48" i="4" s="1"/>
  <c r="V72" i="4"/>
  <c r="W72" i="4" s="1"/>
  <c r="V31" i="4"/>
  <c r="W31" i="4" s="1"/>
  <c r="M74" i="4"/>
  <c r="N74" i="4" s="1"/>
  <c r="J61" i="4"/>
  <c r="K61" i="4" s="1"/>
  <c r="J50" i="4"/>
  <c r="K50" i="4" s="1"/>
  <c r="J27" i="4"/>
  <c r="K27" i="4" s="1"/>
  <c r="Y71" i="4"/>
  <c r="Z71" i="4" s="1"/>
  <c r="J67" i="4"/>
  <c r="K67" i="4" s="1"/>
  <c r="S51" i="4"/>
  <c r="T51" i="4" s="1"/>
  <c r="J54" i="4"/>
  <c r="K54" i="4" s="1"/>
  <c r="M65" i="4"/>
  <c r="N65" i="4" s="1"/>
  <c r="Y61" i="4"/>
  <c r="Z61" i="4" s="1"/>
  <c r="M72" i="4"/>
  <c r="N72" i="4" s="1"/>
  <c r="M62" i="4"/>
  <c r="N62" i="4" s="1"/>
  <c r="J77" i="4"/>
  <c r="K77" i="4" s="1"/>
  <c r="Y25" i="4"/>
  <c r="Z25" i="4" s="1"/>
  <c r="J58" i="4"/>
  <c r="K58" i="4" s="1"/>
  <c r="V64" i="4"/>
  <c r="W64" i="4" s="1"/>
  <c r="S40" i="4"/>
  <c r="T40" i="4" s="1"/>
  <c r="P20" i="4"/>
  <c r="Q20" i="4" s="1"/>
  <c r="M59" i="4"/>
  <c r="N59" i="4" s="1"/>
  <c r="P19" i="4"/>
  <c r="Q19" i="4" s="1"/>
  <c r="Y55" i="4"/>
  <c r="Z55" i="4" s="1"/>
  <c r="S60" i="4"/>
  <c r="T60" i="4" s="1"/>
  <c r="S24" i="4"/>
  <c r="T24" i="4" s="1"/>
  <c r="V65" i="4"/>
  <c r="W65" i="4" s="1"/>
  <c r="V54" i="4"/>
  <c r="W54" i="4" s="1"/>
  <c r="M87" i="4"/>
  <c r="N87" i="4" s="1"/>
  <c r="S53" i="4"/>
  <c r="T53" i="4" s="1"/>
  <c r="M24" i="4"/>
  <c r="N24" i="4" s="1"/>
  <c r="M26" i="4"/>
  <c r="N26" i="4" s="1"/>
  <c r="V62" i="4"/>
  <c r="W62" i="4" s="1"/>
  <c r="M51" i="4"/>
  <c r="N51" i="4" s="1"/>
  <c r="M54" i="4"/>
  <c r="N54" i="4" s="1"/>
  <c r="J26" i="4"/>
  <c r="K26" i="4" s="1"/>
  <c r="P68" i="4"/>
  <c r="Q68" i="4" s="1"/>
  <c r="V27" i="4"/>
  <c r="W27" i="4" s="1"/>
  <c r="J48" i="4"/>
  <c r="K48" i="4" s="1"/>
  <c r="V41" i="4"/>
  <c r="W41" i="4" s="1"/>
  <c r="M38" i="4"/>
  <c r="N38" i="4" s="1"/>
  <c r="Y27" i="4"/>
  <c r="Z27" i="4" s="1"/>
  <c r="P65" i="4"/>
  <c r="Q65" i="4" s="1"/>
  <c r="J32" i="4"/>
  <c r="K32" i="4" s="1"/>
  <c r="P38" i="4"/>
  <c r="Q38" i="4" s="1"/>
  <c r="S15" i="4"/>
  <c r="T15" i="4" s="1"/>
  <c r="S64" i="4"/>
  <c r="T64" i="4" s="1"/>
  <c r="P11" i="4"/>
  <c r="Q11" i="4" s="1"/>
  <c r="Y37" i="4"/>
  <c r="Z37" i="4" s="1"/>
  <c r="P56" i="4"/>
  <c r="Q56" i="4" s="1"/>
  <c r="J81" i="4"/>
  <c r="K81" i="4" s="1"/>
  <c r="J14" i="4"/>
  <c r="K14" i="4" s="1"/>
  <c r="S9" i="4"/>
  <c r="T9" i="4" s="1"/>
  <c r="J82" i="4"/>
  <c r="K82" i="4" s="1"/>
  <c r="Y31" i="4"/>
  <c r="Z31" i="4" s="1"/>
  <c r="J37" i="4"/>
  <c r="K37" i="4" s="1"/>
  <c r="V8" i="4"/>
  <c r="W8" i="4" s="1"/>
  <c r="S11" i="4"/>
  <c r="T11" i="4" s="1"/>
  <c r="P13" i="4"/>
  <c r="Q13" i="4" s="1"/>
  <c r="P37" i="4"/>
  <c r="Q37" i="4" s="1"/>
  <c r="Y32" i="4"/>
  <c r="Z32" i="4" s="1"/>
  <c r="J8" i="4"/>
  <c r="K8" i="4" s="1"/>
  <c r="M67" i="4"/>
  <c r="N67" i="4" s="1"/>
  <c r="M37" i="4"/>
  <c r="N37" i="4" s="1"/>
  <c r="V38" i="4"/>
  <c r="W38" i="4" s="1"/>
  <c r="Y62" i="4"/>
  <c r="Z62" i="4" s="1"/>
  <c r="J74" i="4"/>
  <c r="K74" i="4" s="1"/>
  <c r="V29" i="4" l="1"/>
  <c r="W29" i="4" s="1"/>
  <c r="V102" i="4"/>
  <c r="W102" i="4" s="1"/>
  <c r="V105" i="4"/>
  <c r="W105" i="4" s="1"/>
  <c r="P101" i="4"/>
  <c r="Q101" i="4" s="1"/>
  <c r="P96" i="4"/>
  <c r="Q96" i="4" s="1"/>
  <c r="P5" i="4"/>
  <c r="Q5" i="4" s="1"/>
  <c r="Y3" i="4"/>
  <c r="Z3" i="4" s="1"/>
  <c r="Y131" i="4"/>
  <c r="Z131" i="4" s="1"/>
  <c r="M136" i="4"/>
  <c r="N136" i="4" s="1"/>
  <c r="M113" i="4"/>
  <c r="N113" i="4" s="1"/>
  <c r="M12" i="4"/>
  <c r="N12" i="4" s="1"/>
  <c r="AB61" i="4"/>
  <c r="M34" i="4"/>
  <c r="N34" i="4" s="1"/>
  <c r="M33" i="4"/>
  <c r="N33" i="4" s="1"/>
  <c r="Y66" i="4"/>
  <c r="Z66" i="4" s="1"/>
  <c r="Y112" i="4"/>
  <c r="Z112" i="4" s="1"/>
  <c r="Y108" i="4"/>
  <c r="Z108" i="4" s="1"/>
  <c r="Y104" i="4"/>
  <c r="Z104" i="4" s="1"/>
  <c r="J130" i="4"/>
  <c r="K130" i="4" s="1"/>
  <c r="J10" i="4"/>
  <c r="K10" i="4" s="1"/>
  <c r="J5" i="4"/>
  <c r="K5" i="4" s="1"/>
  <c r="J101" i="4"/>
  <c r="K101" i="4" s="1"/>
  <c r="J96" i="4"/>
  <c r="K96" i="4" s="1"/>
  <c r="S86" i="4"/>
  <c r="T86" i="4" s="1"/>
  <c r="S121" i="4"/>
  <c r="T121" i="4" s="1"/>
  <c r="AB79" i="4"/>
  <c r="L79" i="4" s="1"/>
  <c r="V23" i="4"/>
  <c r="W23" i="4" s="1"/>
  <c r="V111" i="4"/>
  <c r="W111" i="4" s="1"/>
  <c r="V92" i="4"/>
  <c r="W92" i="4" s="1"/>
  <c r="V109" i="4"/>
  <c r="W109" i="4" s="1"/>
  <c r="J89" i="4"/>
  <c r="K89" i="4" s="1"/>
  <c r="J78" i="4"/>
  <c r="K78" i="4" s="1"/>
  <c r="J39" i="4"/>
  <c r="K39" i="4" s="1"/>
  <c r="J125" i="4"/>
  <c r="K125" i="4" s="1"/>
  <c r="J22" i="4"/>
  <c r="K22" i="4" s="1"/>
  <c r="J129" i="4"/>
  <c r="K129" i="4" s="1"/>
  <c r="M119" i="4"/>
  <c r="N119" i="4" s="1"/>
  <c r="M73" i="4"/>
  <c r="N73" i="4" s="1"/>
  <c r="AB25" i="4"/>
  <c r="AB80" i="4"/>
  <c r="L80" i="4" s="1"/>
  <c r="P136" i="4"/>
  <c r="Q136" i="4" s="1"/>
  <c r="P113" i="4"/>
  <c r="Q113" i="4" s="1"/>
  <c r="P12" i="4"/>
  <c r="Q12" i="4" s="1"/>
  <c r="M36" i="4"/>
  <c r="N36" i="4" s="1"/>
  <c r="M115" i="4"/>
  <c r="N115" i="4" s="1"/>
  <c r="S116" i="4"/>
  <c r="T116" i="4" s="1"/>
  <c r="S4" i="4"/>
  <c r="T4" i="4" s="1"/>
  <c r="V52" i="4"/>
  <c r="W52" i="4" s="1"/>
  <c r="V127" i="4"/>
  <c r="W127" i="4" s="1"/>
  <c r="Y43" i="4"/>
  <c r="Z43" i="4" s="1"/>
  <c r="Y135" i="4"/>
  <c r="Z135" i="4" s="1"/>
  <c r="Y107" i="4"/>
  <c r="Z107" i="4" s="1"/>
  <c r="P97" i="4"/>
  <c r="Q97" i="4" s="1"/>
  <c r="P85" i="4"/>
  <c r="Q85" i="4" s="1"/>
  <c r="P21" i="4"/>
  <c r="Q21" i="4" s="1"/>
  <c r="P132" i="4"/>
  <c r="Q132" i="4" s="1"/>
  <c r="Y94" i="4"/>
  <c r="Z94" i="4" s="1"/>
  <c r="Y18" i="4"/>
  <c r="Z18" i="4" s="1"/>
  <c r="Y100" i="4"/>
  <c r="Z100" i="4" s="1"/>
  <c r="Y117" i="4"/>
  <c r="Z117" i="4" s="1"/>
  <c r="M4" i="4"/>
  <c r="N4" i="4" s="1"/>
  <c r="M116" i="4"/>
  <c r="N116" i="4" s="1"/>
  <c r="P52" i="4"/>
  <c r="Q52" i="4" s="1"/>
  <c r="P127" i="4"/>
  <c r="Q127" i="4" s="1"/>
  <c r="M28" i="4"/>
  <c r="N28" i="4" s="1"/>
  <c r="M114" i="4"/>
  <c r="N114" i="4" s="1"/>
  <c r="M120" i="4"/>
  <c r="N120" i="4" s="1"/>
  <c r="M128" i="4"/>
  <c r="N128" i="4" s="1"/>
  <c r="J36" i="4"/>
  <c r="K36" i="4" s="1"/>
  <c r="J115" i="4"/>
  <c r="K115" i="4" s="1"/>
  <c r="S122" i="4"/>
  <c r="T122" i="4" s="1"/>
  <c r="S63" i="4"/>
  <c r="T63" i="4" s="1"/>
  <c r="Y21" i="4"/>
  <c r="Z21" i="4" s="1"/>
  <c r="Y132" i="4"/>
  <c r="Z132" i="4" s="1"/>
  <c r="U79" i="4"/>
  <c r="M133" i="4"/>
  <c r="N133" i="4" s="1"/>
  <c r="M47" i="4"/>
  <c r="N47" i="4" s="1"/>
  <c r="M134" i="4"/>
  <c r="N134" i="4" s="1"/>
  <c r="M91" i="4"/>
  <c r="N91" i="4" s="1"/>
  <c r="M6" i="4"/>
  <c r="N6" i="4" s="1"/>
  <c r="O79" i="4"/>
  <c r="Y97" i="4"/>
  <c r="Z97" i="4" s="1"/>
  <c r="Y85" i="4"/>
  <c r="Z85" i="4" s="1"/>
  <c r="S105" i="4"/>
  <c r="T105" i="4" s="1"/>
  <c r="S29" i="4"/>
  <c r="T29" i="4" s="1"/>
  <c r="S102" i="4"/>
  <c r="T102" i="4" s="1"/>
  <c r="M42" i="4"/>
  <c r="N42" i="4" s="1"/>
  <c r="M99" i="4"/>
  <c r="N99" i="4" s="1"/>
  <c r="AB71" i="4"/>
  <c r="L71" i="4" s="1"/>
  <c r="S129" i="4"/>
  <c r="T129" i="4" s="1"/>
  <c r="S22" i="4"/>
  <c r="T22" i="4" s="1"/>
  <c r="Y134" i="4"/>
  <c r="Z134" i="4" s="1"/>
  <c r="Y133" i="4"/>
  <c r="Z133" i="4" s="1"/>
  <c r="Y47" i="4"/>
  <c r="Z47" i="4" s="1"/>
  <c r="J127" i="4"/>
  <c r="K127" i="4" s="1"/>
  <c r="J52" i="4"/>
  <c r="K52" i="4" s="1"/>
  <c r="V116" i="4"/>
  <c r="W116" i="4" s="1"/>
  <c r="V4" i="4"/>
  <c r="W4" i="4" s="1"/>
  <c r="Y17" i="4"/>
  <c r="Z17" i="4" s="1"/>
  <c r="Y90" i="4"/>
  <c r="Z90" i="4" s="1"/>
  <c r="AB57" i="4"/>
  <c r="M112" i="4"/>
  <c r="N112" i="4" s="1"/>
  <c r="M108" i="4"/>
  <c r="N108" i="4" s="1"/>
  <c r="M104" i="4"/>
  <c r="N104" i="4" s="1"/>
  <c r="M66" i="4"/>
  <c r="N66" i="4" s="1"/>
  <c r="P108" i="4"/>
  <c r="Q108" i="4" s="1"/>
  <c r="P112" i="4"/>
  <c r="Q112" i="4" s="1"/>
  <c r="P66" i="4"/>
  <c r="Q66" i="4" s="1"/>
  <c r="P104" i="4"/>
  <c r="Q104" i="4" s="1"/>
  <c r="Y39" i="4"/>
  <c r="Z39" i="4" s="1"/>
  <c r="Y125" i="4"/>
  <c r="Z125" i="4" s="1"/>
  <c r="AB82" i="4"/>
  <c r="S42" i="4"/>
  <c r="T42" i="4" s="1"/>
  <c r="S99" i="4"/>
  <c r="T99" i="4" s="1"/>
  <c r="V3" i="4"/>
  <c r="W3" i="4" s="1"/>
  <c r="V131" i="4"/>
  <c r="W131" i="4" s="1"/>
  <c r="Y101" i="4"/>
  <c r="Z101" i="4" s="1"/>
  <c r="Y5" i="4"/>
  <c r="Z5" i="4" s="1"/>
  <c r="Y96" i="4"/>
  <c r="Z96" i="4" s="1"/>
  <c r="AB9" i="4"/>
  <c r="L9" i="4" s="1"/>
  <c r="S110" i="4"/>
  <c r="T110" i="4" s="1"/>
  <c r="S45" i="4"/>
  <c r="T45" i="4" s="1"/>
  <c r="S123" i="4"/>
  <c r="T123" i="4" s="1"/>
  <c r="S95" i="4"/>
  <c r="T95" i="4" s="1"/>
  <c r="S103" i="4"/>
  <c r="T103" i="4" s="1"/>
  <c r="S44" i="4"/>
  <c r="T44" i="4" s="1"/>
  <c r="V101" i="4"/>
  <c r="W101" i="4" s="1"/>
  <c r="V96" i="4"/>
  <c r="W96" i="4" s="1"/>
  <c r="V5" i="4"/>
  <c r="W5" i="4" s="1"/>
  <c r="AB62" i="4"/>
  <c r="U62" i="4" s="1"/>
  <c r="R25" i="4"/>
  <c r="M17" i="4"/>
  <c r="N17" i="4" s="1"/>
  <c r="M90" i="4"/>
  <c r="N90" i="4" s="1"/>
  <c r="Y45" i="4"/>
  <c r="Z45" i="4" s="1"/>
  <c r="Y110" i="4"/>
  <c r="Z110" i="4" s="1"/>
  <c r="Y10" i="4"/>
  <c r="Z10" i="4" s="1"/>
  <c r="Y130" i="4"/>
  <c r="Z130" i="4" s="1"/>
  <c r="M43" i="4"/>
  <c r="N43" i="4" s="1"/>
  <c r="M135" i="4"/>
  <c r="N135" i="4" s="1"/>
  <c r="M107" i="4"/>
  <c r="N107" i="4" s="1"/>
  <c r="M121" i="4"/>
  <c r="N121" i="4" s="1"/>
  <c r="M86" i="4"/>
  <c r="N86" i="4" s="1"/>
  <c r="Y16" i="4"/>
  <c r="Z16" i="4" s="1"/>
  <c r="Y98" i="4"/>
  <c r="Z98" i="4" s="1"/>
  <c r="S12" i="4"/>
  <c r="T12" i="4" s="1"/>
  <c r="S136" i="4"/>
  <c r="T136" i="4" s="1"/>
  <c r="S113" i="4"/>
  <c r="T113" i="4" s="1"/>
  <c r="P107" i="4"/>
  <c r="Q107" i="4" s="1"/>
  <c r="P43" i="4"/>
  <c r="Q43" i="4" s="1"/>
  <c r="P135" i="4"/>
  <c r="Q135" i="4" s="1"/>
  <c r="AB26" i="4"/>
  <c r="L26" i="4" s="1"/>
  <c r="J33" i="4"/>
  <c r="K33" i="4" s="1"/>
  <c r="J34" i="4"/>
  <c r="K34" i="4" s="1"/>
  <c r="V122" i="4"/>
  <c r="W122" i="4" s="1"/>
  <c r="V63" i="4"/>
  <c r="W63" i="4" s="1"/>
  <c r="J23" i="4"/>
  <c r="K23" i="4" s="1"/>
  <c r="J109" i="4"/>
  <c r="K109" i="4" s="1"/>
  <c r="J111" i="4"/>
  <c r="K111" i="4" s="1"/>
  <c r="J92" i="4"/>
  <c r="K92" i="4" s="1"/>
  <c r="J85" i="4"/>
  <c r="K85" i="4" s="1"/>
  <c r="J97" i="4"/>
  <c r="K97" i="4" s="1"/>
  <c r="AB84" i="4"/>
  <c r="L84" i="4" s="1"/>
  <c r="M130" i="4"/>
  <c r="N130" i="4" s="1"/>
  <c r="M10" i="4"/>
  <c r="N10" i="4" s="1"/>
  <c r="V66" i="4"/>
  <c r="W66" i="4" s="1"/>
  <c r="V112" i="4"/>
  <c r="W112" i="4" s="1"/>
  <c r="V108" i="4"/>
  <c r="W108" i="4" s="1"/>
  <c r="V104" i="4"/>
  <c r="W104" i="4" s="1"/>
  <c r="AB64" i="4"/>
  <c r="L64" i="4" s="1"/>
  <c r="AB60" i="4"/>
  <c r="R60" i="4" s="1"/>
  <c r="Y46" i="4"/>
  <c r="Z46" i="4" s="1"/>
  <c r="Y124" i="4"/>
  <c r="Z124" i="4" s="1"/>
  <c r="M123" i="4"/>
  <c r="N123" i="4" s="1"/>
  <c r="M103" i="4"/>
  <c r="N103" i="4" s="1"/>
  <c r="M95" i="4"/>
  <c r="N95" i="4" s="1"/>
  <c r="M44" i="4"/>
  <c r="N44" i="4" s="1"/>
  <c r="V6" i="4"/>
  <c r="W6" i="4" s="1"/>
  <c r="V91" i="4"/>
  <c r="W91" i="4" s="1"/>
  <c r="Y115" i="4"/>
  <c r="Z115" i="4" s="1"/>
  <c r="Y36" i="4"/>
  <c r="Z36" i="4" s="1"/>
  <c r="V120" i="4"/>
  <c r="W120" i="4" s="1"/>
  <c r="V128" i="4"/>
  <c r="W128" i="4" s="1"/>
  <c r="V114" i="4"/>
  <c r="W114" i="4" s="1"/>
  <c r="V28" i="4"/>
  <c r="W28" i="4" s="1"/>
  <c r="O80" i="4"/>
  <c r="J46" i="4"/>
  <c r="K46" i="4" s="1"/>
  <c r="J124" i="4"/>
  <c r="K124" i="4" s="1"/>
  <c r="J112" i="4"/>
  <c r="K112" i="4" s="1"/>
  <c r="J104" i="4"/>
  <c r="K104" i="4" s="1"/>
  <c r="J108" i="4"/>
  <c r="K108" i="4" s="1"/>
  <c r="J66" i="4"/>
  <c r="K66" i="4" s="1"/>
  <c r="P29" i="4"/>
  <c r="Q29" i="4" s="1"/>
  <c r="P102" i="4"/>
  <c r="Q102" i="4" s="1"/>
  <c r="P105" i="4"/>
  <c r="Q105" i="4" s="1"/>
  <c r="J6" i="4"/>
  <c r="K6" i="4" s="1"/>
  <c r="J91" i="4"/>
  <c r="K91" i="4" s="1"/>
  <c r="V90" i="4"/>
  <c r="W90" i="4" s="1"/>
  <c r="V17" i="4"/>
  <c r="W17" i="4" s="1"/>
  <c r="R62" i="4"/>
  <c r="P93" i="4"/>
  <c r="Q93" i="4" s="1"/>
  <c r="P7" i="4"/>
  <c r="Q7" i="4" s="1"/>
  <c r="O61" i="4"/>
  <c r="AB35" i="4"/>
  <c r="O35" i="4" s="1"/>
  <c r="M101" i="4"/>
  <c r="N101" i="4" s="1"/>
  <c r="M96" i="4"/>
  <c r="N96" i="4" s="1"/>
  <c r="M5" i="4"/>
  <c r="N5" i="4" s="1"/>
  <c r="AB14" i="4"/>
  <c r="P100" i="4"/>
  <c r="Q100" i="4" s="1"/>
  <c r="P18" i="4"/>
  <c r="Q18" i="4" s="1"/>
  <c r="P117" i="4"/>
  <c r="Q117" i="4" s="1"/>
  <c r="P94" i="4"/>
  <c r="Q94" i="4" s="1"/>
  <c r="S21" i="4"/>
  <c r="T21" i="4" s="1"/>
  <c r="S132" i="4"/>
  <c r="T132" i="4" s="1"/>
  <c r="AB58" i="4"/>
  <c r="L58" i="4" s="1"/>
  <c r="Y63" i="4"/>
  <c r="Z63" i="4" s="1"/>
  <c r="Y122" i="4"/>
  <c r="Z122" i="4" s="1"/>
  <c r="X61" i="4"/>
  <c r="P131" i="4"/>
  <c r="Q131" i="4" s="1"/>
  <c r="P3" i="4"/>
  <c r="Q3" i="4" s="1"/>
  <c r="X9" i="4"/>
  <c r="AB30" i="4"/>
  <c r="L30" i="4" s="1"/>
  <c r="X79" i="4"/>
  <c r="M21" i="4"/>
  <c r="N21" i="4" s="1"/>
  <c r="M132" i="4"/>
  <c r="N132" i="4" s="1"/>
  <c r="AB70" i="4"/>
  <c r="L70" i="4"/>
  <c r="R79" i="4"/>
  <c r="S46" i="4"/>
  <c r="T46" i="4" s="1"/>
  <c r="S124" i="4"/>
  <c r="T124" i="4" s="1"/>
  <c r="V97" i="4"/>
  <c r="W97" i="4" s="1"/>
  <c r="V85" i="4"/>
  <c r="W85" i="4" s="1"/>
  <c r="J128" i="4"/>
  <c r="K128" i="4" s="1"/>
  <c r="J114" i="4"/>
  <c r="K114" i="4" s="1"/>
  <c r="J28" i="4"/>
  <c r="K28" i="4" s="1"/>
  <c r="J120" i="4"/>
  <c r="K120" i="4" s="1"/>
  <c r="M111" i="4"/>
  <c r="N111" i="4" s="1"/>
  <c r="M92" i="4"/>
  <c r="N92" i="4" s="1"/>
  <c r="M109" i="4"/>
  <c r="N109" i="4" s="1"/>
  <c r="M23" i="4"/>
  <c r="N23" i="4" s="1"/>
  <c r="R80" i="4"/>
  <c r="J106" i="4"/>
  <c r="K106" i="4" s="1"/>
  <c r="J76" i="4"/>
  <c r="K76" i="4" s="1"/>
  <c r="AB65" i="4"/>
  <c r="L65" i="4" s="1"/>
  <c r="R57" i="4"/>
  <c r="S107" i="4"/>
  <c r="T107" i="4" s="1"/>
  <c r="S43" i="4"/>
  <c r="T43" i="4" s="1"/>
  <c r="S135" i="4"/>
  <c r="T135" i="4" s="1"/>
  <c r="O30" i="4"/>
  <c r="AB81" i="4"/>
  <c r="L81" i="4" s="1"/>
  <c r="S130" i="4"/>
  <c r="T130" i="4" s="1"/>
  <c r="S10" i="4"/>
  <c r="T10" i="4" s="1"/>
  <c r="J73" i="4"/>
  <c r="K73" i="4" s="1"/>
  <c r="J119" i="4"/>
  <c r="K119" i="4" s="1"/>
  <c r="AB67" i="4"/>
  <c r="L67" i="4" s="1"/>
  <c r="V33" i="4"/>
  <c r="W33" i="4" s="1"/>
  <c r="V34" i="4"/>
  <c r="W34" i="4" s="1"/>
  <c r="M97" i="4"/>
  <c r="N97" i="4" s="1"/>
  <c r="M85" i="4"/>
  <c r="N85" i="4" s="1"/>
  <c r="R64" i="4"/>
  <c r="V45" i="4"/>
  <c r="W45" i="4" s="1"/>
  <c r="V110" i="4"/>
  <c r="W110" i="4" s="1"/>
  <c r="U61" i="4"/>
  <c r="S98" i="4"/>
  <c r="T98" i="4" s="1"/>
  <c r="S16" i="4"/>
  <c r="T16" i="4" s="1"/>
  <c r="R67" i="4"/>
  <c r="AB41" i="4"/>
  <c r="L41" i="4" s="1"/>
  <c r="AB56" i="4"/>
  <c r="U25" i="4"/>
  <c r="X57" i="4"/>
  <c r="L68" i="4"/>
  <c r="AB68" i="4"/>
  <c r="U68" i="4" s="1"/>
  <c r="V100" i="4"/>
  <c r="W100" i="4" s="1"/>
  <c r="V18" i="4"/>
  <c r="W18" i="4" s="1"/>
  <c r="V117" i="4"/>
  <c r="W117" i="4" s="1"/>
  <c r="V94" i="4"/>
  <c r="W94" i="4" s="1"/>
  <c r="J29" i="4"/>
  <c r="K29" i="4" s="1"/>
  <c r="J102" i="4"/>
  <c r="K102" i="4" s="1"/>
  <c r="J105" i="4"/>
  <c r="K105" i="4" s="1"/>
  <c r="P128" i="4"/>
  <c r="Q128" i="4" s="1"/>
  <c r="P120" i="4"/>
  <c r="Q120" i="4" s="1"/>
  <c r="P28" i="4"/>
  <c r="Q28" i="4" s="1"/>
  <c r="P114" i="4"/>
  <c r="Q114" i="4" s="1"/>
  <c r="P124" i="4"/>
  <c r="Q124" i="4" s="1"/>
  <c r="P46" i="4"/>
  <c r="Q46" i="4" s="1"/>
  <c r="R9" i="4"/>
  <c r="Y113" i="4"/>
  <c r="Z113" i="4" s="1"/>
  <c r="Y12" i="4"/>
  <c r="Z12" i="4" s="1"/>
  <c r="Y136" i="4"/>
  <c r="Z136" i="4" s="1"/>
  <c r="P86" i="4"/>
  <c r="Q86" i="4" s="1"/>
  <c r="P121" i="4"/>
  <c r="Q121" i="4" s="1"/>
  <c r="V113" i="4"/>
  <c r="W113" i="4" s="1"/>
  <c r="V136" i="4"/>
  <c r="W136" i="4" s="1"/>
  <c r="V12" i="4"/>
  <c r="W12" i="4" s="1"/>
  <c r="Y4" i="4"/>
  <c r="Z4" i="4" s="1"/>
  <c r="Y116" i="4"/>
  <c r="Z116" i="4" s="1"/>
  <c r="J86" i="4"/>
  <c r="K86" i="4" s="1"/>
  <c r="J121" i="4"/>
  <c r="K121" i="4" s="1"/>
  <c r="V124" i="4"/>
  <c r="W124" i="4" s="1"/>
  <c r="V46" i="4"/>
  <c r="W46" i="4" s="1"/>
  <c r="M126" i="4"/>
  <c r="N126" i="4" s="1"/>
  <c r="M69" i="4"/>
  <c r="N69" i="4" s="1"/>
  <c r="AB32" i="4"/>
  <c r="L32" i="4" s="1"/>
  <c r="P36" i="4"/>
  <c r="Q36" i="4" s="1"/>
  <c r="P115" i="4"/>
  <c r="Q115" i="4" s="1"/>
  <c r="AB77" i="4"/>
  <c r="O77" i="4" s="1"/>
  <c r="L77" i="4"/>
  <c r="U71" i="4"/>
  <c r="M45" i="4"/>
  <c r="N45" i="4" s="1"/>
  <c r="M110" i="4"/>
  <c r="N110" i="4" s="1"/>
  <c r="S119" i="4"/>
  <c r="T119" i="4" s="1"/>
  <c r="S73" i="4"/>
  <c r="T73" i="4" s="1"/>
  <c r="U26" i="4"/>
  <c r="AB49" i="4"/>
  <c r="O49" i="4" s="1"/>
  <c r="O57" i="4"/>
  <c r="X71" i="4"/>
  <c r="O25" i="4"/>
  <c r="AB53" i="4"/>
  <c r="U53" i="4" s="1"/>
  <c r="L53" i="4"/>
  <c r="O41" i="4"/>
  <c r="J42" i="4"/>
  <c r="K42" i="4" s="1"/>
  <c r="J99" i="4"/>
  <c r="K99" i="4" s="1"/>
  <c r="Y52" i="4"/>
  <c r="Z52" i="4" s="1"/>
  <c r="Y127" i="4"/>
  <c r="Z127" i="4" s="1"/>
  <c r="U57" i="4"/>
  <c r="J43" i="4"/>
  <c r="K43" i="4" s="1"/>
  <c r="J135" i="4"/>
  <c r="K135" i="4" s="1"/>
  <c r="J107" i="4"/>
  <c r="K107" i="4" s="1"/>
  <c r="X56" i="4"/>
  <c r="X60" i="4"/>
  <c r="U67" i="4"/>
  <c r="V39" i="4"/>
  <c r="W39" i="4" s="1"/>
  <c r="V125" i="4"/>
  <c r="W125" i="4" s="1"/>
  <c r="U30" i="4"/>
  <c r="V93" i="4"/>
  <c r="W93" i="4" s="1"/>
  <c r="V7" i="4"/>
  <c r="W7" i="4" s="1"/>
  <c r="J116" i="4"/>
  <c r="K116" i="4" s="1"/>
  <c r="J4" i="4"/>
  <c r="K4" i="4" s="1"/>
  <c r="X53" i="4"/>
  <c r="AB75" i="4"/>
  <c r="R75" i="4" s="1"/>
  <c r="V43" i="4"/>
  <c r="W43" i="4" s="1"/>
  <c r="V135" i="4"/>
  <c r="W135" i="4" s="1"/>
  <c r="V107" i="4"/>
  <c r="W107" i="4" s="1"/>
  <c r="J17" i="4"/>
  <c r="K17" i="4" s="1"/>
  <c r="J90" i="4"/>
  <c r="K90" i="4" s="1"/>
  <c r="S34" i="4"/>
  <c r="T34" i="4" s="1"/>
  <c r="S33" i="4"/>
  <c r="T33" i="4" s="1"/>
  <c r="M122" i="4"/>
  <c r="N122" i="4" s="1"/>
  <c r="M63" i="4"/>
  <c r="N63" i="4" s="1"/>
  <c r="R65" i="4"/>
  <c r="X41" i="4"/>
  <c r="J123" i="4"/>
  <c r="K123" i="4" s="1"/>
  <c r="J44" i="4"/>
  <c r="K44" i="4" s="1"/>
  <c r="J103" i="4"/>
  <c r="K103" i="4" s="1"/>
  <c r="J95" i="4"/>
  <c r="K95" i="4" s="1"/>
  <c r="P34" i="4"/>
  <c r="Q34" i="4" s="1"/>
  <c r="P33" i="4"/>
  <c r="Q33" i="4" s="1"/>
  <c r="M46" i="4"/>
  <c r="N46" i="4" s="1"/>
  <c r="M124" i="4"/>
  <c r="N124" i="4" s="1"/>
  <c r="Y102" i="4"/>
  <c r="Z102" i="4" s="1"/>
  <c r="Y105" i="4"/>
  <c r="Z105" i="4" s="1"/>
  <c r="Y29" i="4"/>
  <c r="Z29" i="4" s="1"/>
  <c r="U75" i="4"/>
  <c r="S100" i="4"/>
  <c r="T100" i="4" s="1"/>
  <c r="S117" i="4"/>
  <c r="T117" i="4" s="1"/>
  <c r="S94" i="4"/>
  <c r="T94" i="4" s="1"/>
  <c r="S18" i="4"/>
  <c r="T18" i="4" s="1"/>
  <c r="V99" i="4"/>
  <c r="W99" i="4" s="1"/>
  <c r="V42" i="4"/>
  <c r="W42" i="4" s="1"/>
  <c r="X58" i="4"/>
  <c r="R53" i="4"/>
  <c r="X49" i="4"/>
  <c r="V132" i="4"/>
  <c r="W132" i="4" s="1"/>
  <c r="V21" i="4"/>
  <c r="W21" i="4" s="1"/>
  <c r="S17" i="4"/>
  <c r="T17" i="4" s="1"/>
  <c r="S90" i="4"/>
  <c r="T90" i="4" s="1"/>
  <c r="U32" i="4"/>
  <c r="P47" i="4"/>
  <c r="Q47" i="4" s="1"/>
  <c r="P133" i="4"/>
  <c r="Q133" i="4" s="1"/>
  <c r="P134" i="4"/>
  <c r="Q134" i="4" s="1"/>
  <c r="S128" i="4"/>
  <c r="T128" i="4" s="1"/>
  <c r="S114" i="4"/>
  <c r="T114" i="4" s="1"/>
  <c r="S28" i="4"/>
  <c r="T28" i="4" s="1"/>
  <c r="S120" i="4"/>
  <c r="T120" i="4" s="1"/>
  <c r="S131" i="4"/>
  <c r="T131" i="4" s="1"/>
  <c r="S3" i="4"/>
  <c r="T3" i="4" s="1"/>
  <c r="J93" i="4"/>
  <c r="K93" i="4" s="1"/>
  <c r="J7" i="4"/>
  <c r="K7" i="4" s="1"/>
  <c r="M131" i="4"/>
  <c r="N131" i="4" s="1"/>
  <c r="M3" i="4"/>
  <c r="N3" i="4" s="1"/>
  <c r="L8" i="4"/>
  <c r="AB8" i="4"/>
  <c r="R8" i="4" s="1"/>
  <c r="R56" i="4"/>
  <c r="P125" i="4"/>
  <c r="Q125" i="4" s="1"/>
  <c r="P39" i="4"/>
  <c r="Q39" i="4" s="1"/>
  <c r="J113" i="4"/>
  <c r="K113" i="4" s="1"/>
  <c r="J12" i="4"/>
  <c r="K12" i="4" s="1"/>
  <c r="J136" i="4"/>
  <c r="K136" i="4" s="1"/>
  <c r="AB48" i="4"/>
  <c r="R48" i="4" s="1"/>
  <c r="L48" i="4"/>
  <c r="X65" i="4"/>
  <c r="AB27" i="4"/>
  <c r="R27" i="4" s="1"/>
  <c r="Y42" i="4"/>
  <c r="Z42" i="4" s="1"/>
  <c r="Y99" i="4"/>
  <c r="Z99" i="4" s="1"/>
  <c r="J110" i="4"/>
  <c r="K110" i="4" s="1"/>
  <c r="J45" i="4"/>
  <c r="K45" i="4" s="1"/>
  <c r="S111" i="4"/>
  <c r="T111" i="4" s="1"/>
  <c r="S109" i="4"/>
  <c r="T109" i="4" s="1"/>
  <c r="S23" i="4"/>
  <c r="T23" i="4" s="1"/>
  <c r="S92" i="4"/>
  <c r="T92" i="4" s="1"/>
  <c r="P16" i="4"/>
  <c r="Q16" i="4" s="1"/>
  <c r="P98" i="4"/>
  <c r="Q98" i="4" s="1"/>
  <c r="M125" i="4"/>
  <c r="N125" i="4" s="1"/>
  <c r="M39" i="4"/>
  <c r="N39" i="4" s="1"/>
  <c r="O58" i="4"/>
  <c r="O70" i="4"/>
  <c r="P23" i="4"/>
  <c r="Q23" i="4" s="1"/>
  <c r="P111" i="4"/>
  <c r="Q111" i="4" s="1"/>
  <c r="P92" i="4"/>
  <c r="Q92" i="4" s="1"/>
  <c r="P109" i="4"/>
  <c r="Q109" i="4" s="1"/>
  <c r="AB19" i="4"/>
  <c r="L19" i="4" s="1"/>
  <c r="AB11" i="4"/>
  <c r="U11" i="4" s="1"/>
  <c r="L11" i="4"/>
  <c r="Y6" i="4"/>
  <c r="Z6" i="4" s="1"/>
  <c r="Y91" i="4"/>
  <c r="Z91" i="4" s="1"/>
  <c r="M7" i="4"/>
  <c r="N7" i="4" s="1"/>
  <c r="M93" i="4"/>
  <c r="N93" i="4" s="1"/>
  <c r="AB20" i="4"/>
  <c r="L20" i="4" s="1"/>
  <c r="AB55" i="4"/>
  <c r="U55" i="4" s="1"/>
  <c r="P130" i="4"/>
  <c r="Q130" i="4" s="1"/>
  <c r="P10" i="4"/>
  <c r="Q10" i="4" s="1"/>
  <c r="P45" i="4"/>
  <c r="Q45" i="4" s="1"/>
  <c r="P110" i="4"/>
  <c r="Q110" i="4" s="1"/>
  <c r="R35" i="4"/>
  <c r="O75" i="4"/>
  <c r="P119" i="4"/>
  <c r="Q119" i="4" s="1"/>
  <c r="P73" i="4"/>
  <c r="Q73" i="4" s="1"/>
  <c r="V123" i="4"/>
  <c r="W123" i="4" s="1"/>
  <c r="V44" i="4"/>
  <c r="W44" i="4" s="1"/>
  <c r="V103" i="4"/>
  <c r="W103" i="4" s="1"/>
  <c r="V95" i="4"/>
  <c r="W95" i="4" s="1"/>
  <c r="AB15" i="4"/>
  <c r="L15" i="4" s="1"/>
  <c r="P4" i="4"/>
  <c r="Q4" i="4" s="1"/>
  <c r="P116" i="4"/>
  <c r="Q116" i="4" s="1"/>
  <c r="J88" i="4"/>
  <c r="K88" i="4" s="1"/>
  <c r="J83" i="4"/>
  <c r="K83" i="4" s="1"/>
  <c r="S115" i="4"/>
  <c r="T115" i="4" s="1"/>
  <c r="S36" i="4"/>
  <c r="T36" i="4" s="1"/>
  <c r="Y129" i="4"/>
  <c r="Z129" i="4" s="1"/>
  <c r="Y22" i="4"/>
  <c r="Z22" i="4" s="1"/>
  <c r="M102" i="4"/>
  <c r="N102" i="4" s="1"/>
  <c r="M29" i="4"/>
  <c r="N29" i="4" s="1"/>
  <c r="M105" i="4"/>
  <c r="N105" i="4" s="1"/>
  <c r="U64" i="4"/>
  <c r="V47" i="4"/>
  <c r="W47" i="4" s="1"/>
  <c r="V134" i="4"/>
  <c r="W134" i="4" s="1"/>
  <c r="V133" i="4"/>
  <c r="W133" i="4" s="1"/>
  <c r="O62" i="4"/>
  <c r="S52" i="4"/>
  <c r="T52" i="4" s="1"/>
  <c r="S127" i="4"/>
  <c r="T127" i="4" s="1"/>
  <c r="U20" i="4"/>
  <c r="S93" i="4"/>
  <c r="T93" i="4" s="1"/>
  <c r="S7" i="4"/>
  <c r="T7" i="4" s="1"/>
  <c r="P63" i="4"/>
  <c r="Q63" i="4" s="1"/>
  <c r="P122" i="4"/>
  <c r="Q122" i="4" s="1"/>
  <c r="R61" i="4"/>
  <c r="X68" i="4"/>
  <c r="V10" i="4"/>
  <c r="W10" i="4" s="1"/>
  <c r="V130" i="4"/>
  <c r="W130" i="4" s="1"/>
  <c r="O27" i="4"/>
  <c r="AB31" i="4"/>
  <c r="L31" i="4" s="1"/>
  <c r="Y33" i="4"/>
  <c r="Z33" i="4" s="1"/>
  <c r="Y34" i="4"/>
  <c r="Z34" i="4" s="1"/>
  <c r="Y95" i="4"/>
  <c r="Z95" i="4" s="1"/>
  <c r="Y103" i="4"/>
  <c r="Z103" i="4" s="1"/>
  <c r="Y123" i="4"/>
  <c r="Z123" i="4" s="1"/>
  <c r="Y44" i="4"/>
  <c r="Z44" i="4" s="1"/>
  <c r="M76" i="4"/>
  <c r="N76" i="4" s="1"/>
  <c r="M106" i="4"/>
  <c r="N106" i="4" s="1"/>
  <c r="P99" i="4"/>
  <c r="Q99" i="4" s="1"/>
  <c r="P42" i="4"/>
  <c r="Q42" i="4" s="1"/>
  <c r="S5" i="4"/>
  <c r="T5" i="4" s="1"/>
  <c r="S96" i="4"/>
  <c r="T96" i="4" s="1"/>
  <c r="S101" i="4"/>
  <c r="T101" i="4" s="1"/>
  <c r="R26" i="4"/>
  <c r="X26" i="4"/>
  <c r="Y109" i="4"/>
  <c r="Z109" i="4" s="1"/>
  <c r="Y23" i="4"/>
  <c r="Z23" i="4" s="1"/>
  <c r="Y111" i="4"/>
  <c r="Z111" i="4" s="1"/>
  <c r="Y92" i="4"/>
  <c r="Z92" i="4" s="1"/>
  <c r="O9" i="4"/>
  <c r="O48" i="4"/>
  <c r="X75" i="4"/>
  <c r="U65" i="4"/>
  <c r="O15" i="4"/>
  <c r="X30" i="4"/>
  <c r="V115" i="4"/>
  <c r="W115" i="4" s="1"/>
  <c r="V36" i="4"/>
  <c r="W36" i="4" s="1"/>
  <c r="AB74" i="4"/>
  <c r="L74" i="4"/>
  <c r="AB37" i="4"/>
  <c r="X37" i="4" s="1"/>
  <c r="P6" i="4"/>
  <c r="Q6" i="4" s="1"/>
  <c r="P91" i="4"/>
  <c r="Q91" i="4" s="1"/>
  <c r="V16" i="4"/>
  <c r="W16" i="4" s="1"/>
  <c r="V98" i="4"/>
  <c r="W98" i="4" s="1"/>
  <c r="P22" i="4"/>
  <c r="Q22" i="4" s="1"/>
  <c r="P129" i="4"/>
  <c r="Q129" i="4" s="1"/>
  <c r="AB50" i="4"/>
  <c r="L50" i="4" s="1"/>
  <c r="X48" i="4"/>
  <c r="S97" i="4"/>
  <c r="T97" i="4" s="1"/>
  <c r="S85" i="4"/>
  <c r="T85" i="4" s="1"/>
  <c r="AB38" i="4"/>
  <c r="L38" i="4" s="1"/>
  <c r="O19" i="4"/>
  <c r="X25" i="4"/>
  <c r="O60" i="4"/>
  <c r="AB51" i="4"/>
  <c r="L51" i="4" s="1"/>
  <c r="AB24" i="4"/>
  <c r="L24" i="4" s="1"/>
  <c r="R71" i="4"/>
  <c r="S39" i="4"/>
  <c r="T39" i="4" s="1"/>
  <c r="S125" i="4"/>
  <c r="T125" i="4" s="1"/>
  <c r="P44" i="4"/>
  <c r="Q44" i="4" s="1"/>
  <c r="P103" i="4"/>
  <c r="Q103" i="4" s="1"/>
  <c r="P95" i="4"/>
  <c r="Q95" i="4" s="1"/>
  <c r="P123" i="4"/>
  <c r="Q123" i="4" s="1"/>
  <c r="J94" i="4"/>
  <c r="K94" i="4" s="1"/>
  <c r="J18" i="4"/>
  <c r="K18" i="4" s="1"/>
  <c r="J117" i="4"/>
  <c r="K117" i="4" s="1"/>
  <c r="J100" i="4"/>
  <c r="K100" i="4" s="1"/>
  <c r="R58" i="4"/>
  <c r="J134" i="4"/>
  <c r="K134" i="4" s="1"/>
  <c r="J133" i="4"/>
  <c r="K133" i="4" s="1"/>
  <c r="J47" i="4"/>
  <c r="K47" i="4" s="1"/>
  <c r="O53" i="4"/>
  <c r="R51" i="4"/>
  <c r="Y93" i="4"/>
  <c r="Z93" i="4" s="1"/>
  <c r="Y7" i="4"/>
  <c r="Z7" i="4" s="1"/>
  <c r="AB87" i="4"/>
  <c r="L87" i="4" s="1"/>
  <c r="R41" i="4"/>
  <c r="O64" i="4"/>
  <c r="U35" i="4"/>
  <c r="X35" i="4"/>
  <c r="J98" i="4"/>
  <c r="K98" i="4" s="1"/>
  <c r="J16" i="4"/>
  <c r="K16" i="4" s="1"/>
  <c r="Y28" i="4"/>
  <c r="Z28" i="4" s="1"/>
  <c r="Y120" i="4"/>
  <c r="Z120" i="4" s="1"/>
  <c r="Y128" i="4"/>
  <c r="Z128" i="4" s="1"/>
  <c r="Y114" i="4"/>
  <c r="Z114" i="4" s="1"/>
  <c r="S91" i="4"/>
  <c r="T91" i="4" s="1"/>
  <c r="S6" i="4"/>
  <c r="T6" i="4" s="1"/>
  <c r="V129" i="4"/>
  <c r="W129" i="4" s="1"/>
  <c r="V22" i="4"/>
  <c r="W22" i="4" s="1"/>
  <c r="M117" i="4"/>
  <c r="N117" i="4" s="1"/>
  <c r="M18" i="4"/>
  <c r="N18" i="4" s="1"/>
  <c r="M94" i="4"/>
  <c r="N94" i="4" s="1"/>
  <c r="M100" i="4"/>
  <c r="N100" i="4" s="1"/>
  <c r="J21" i="4"/>
  <c r="K21" i="4" s="1"/>
  <c r="J132" i="4"/>
  <c r="K132" i="4" s="1"/>
  <c r="S134" i="4"/>
  <c r="T134" i="4" s="1"/>
  <c r="S133" i="4"/>
  <c r="T133" i="4" s="1"/>
  <c r="S47" i="4"/>
  <c r="T47" i="4" s="1"/>
  <c r="AB40" i="4"/>
  <c r="L40" i="4" s="1"/>
  <c r="J122" i="4"/>
  <c r="K122" i="4" s="1"/>
  <c r="J63" i="4"/>
  <c r="K63" i="4" s="1"/>
  <c r="J131" i="4"/>
  <c r="K131" i="4" s="1"/>
  <c r="J3" i="4"/>
  <c r="K3" i="4" s="1"/>
  <c r="R32" i="4"/>
  <c r="U56" i="4"/>
  <c r="M129" i="4"/>
  <c r="N129" i="4" s="1"/>
  <c r="M22" i="4"/>
  <c r="N22" i="4" s="1"/>
  <c r="AB72" i="4"/>
  <c r="U72" i="4" s="1"/>
  <c r="AB118" i="4"/>
  <c r="L118" i="4" s="1"/>
  <c r="M16" i="4"/>
  <c r="N16" i="4" s="1"/>
  <c r="M98" i="4"/>
  <c r="N98" i="4" s="1"/>
  <c r="O8" i="4"/>
  <c r="U70" i="4"/>
  <c r="S104" i="4"/>
  <c r="T104" i="4" s="1"/>
  <c r="S66" i="4"/>
  <c r="T66" i="4" s="1"/>
  <c r="S108" i="4"/>
  <c r="T108" i="4" s="1"/>
  <c r="S112" i="4"/>
  <c r="T112" i="4" s="1"/>
  <c r="U38" i="4"/>
  <c r="J126" i="4"/>
  <c r="K126" i="4" s="1"/>
  <c r="J69" i="4"/>
  <c r="K69" i="4" s="1"/>
  <c r="AB59" i="4"/>
  <c r="L59" i="4" s="1"/>
  <c r="X20" i="4"/>
  <c r="M127" i="4"/>
  <c r="N127" i="4" s="1"/>
  <c r="M52" i="4"/>
  <c r="N52" i="4" s="1"/>
  <c r="R30" i="4"/>
  <c r="U50" i="4"/>
  <c r="L13" i="4"/>
  <c r="AB13" i="4"/>
  <c r="P90" i="4"/>
  <c r="Q90" i="4" s="1"/>
  <c r="P17" i="4"/>
  <c r="Q17" i="4" s="1"/>
  <c r="AB54" i="4"/>
  <c r="X11" i="4" l="1"/>
  <c r="U48" i="4"/>
  <c r="U58" i="4"/>
  <c r="U37" i="4"/>
  <c r="L49" i="4"/>
  <c r="X64" i="4"/>
  <c r="O72" i="4"/>
  <c r="L60" i="4"/>
  <c r="R87" i="4"/>
  <c r="U49" i="4"/>
  <c r="L35" i="4"/>
  <c r="L75" i="4"/>
  <c r="AB63" i="4"/>
  <c r="L63" i="4" s="1"/>
  <c r="AA54" i="4"/>
  <c r="I54" i="4"/>
  <c r="AA59" i="4"/>
  <c r="I59" i="4"/>
  <c r="AB122" i="4"/>
  <c r="AB100" i="4"/>
  <c r="AA74" i="4"/>
  <c r="I74" i="4"/>
  <c r="U59" i="4"/>
  <c r="U31" i="4"/>
  <c r="AA20" i="4"/>
  <c r="I20" i="4"/>
  <c r="AB45" i="4"/>
  <c r="AB113" i="4"/>
  <c r="R20" i="4"/>
  <c r="AB90" i="4"/>
  <c r="AB108" i="4"/>
  <c r="AA60" i="4"/>
  <c r="I60" i="4"/>
  <c r="AB34" i="4"/>
  <c r="L34" i="4"/>
  <c r="U9" i="4"/>
  <c r="X31" i="4"/>
  <c r="X55" i="4"/>
  <c r="AB10" i="4"/>
  <c r="L10" i="4"/>
  <c r="U15" i="4"/>
  <c r="AB69" i="4"/>
  <c r="AB117" i="4"/>
  <c r="U117" i="4" s="1"/>
  <c r="AA24" i="4"/>
  <c r="I24" i="4"/>
  <c r="AA50" i="4"/>
  <c r="I50" i="4"/>
  <c r="AB110" i="4"/>
  <c r="L110" i="4" s="1"/>
  <c r="X54" i="4"/>
  <c r="AB17" i="4"/>
  <c r="R17" i="4" s="1"/>
  <c r="L17" i="4"/>
  <c r="AB99" i="4"/>
  <c r="AA68" i="4"/>
  <c r="I68" i="4"/>
  <c r="AA41" i="4"/>
  <c r="I41" i="4"/>
  <c r="AA14" i="4"/>
  <c r="I14" i="4"/>
  <c r="O14" i="4"/>
  <c r="U14" i="4"/>
  <c r="R14" i="4"/>
  <c r="X14" i="4"/>
  <c r="AB104" i="4"/>
  <c r="L104" i="4" s="1"/>
  <c r="AA84" i="4"/>
  <c r="I84" i="4"/>
  <c r="O84" i="4"/>
  <c r="R84" i="4"/>
  <c r="X84" i="4"/>
  <c r="U84" i="4"/>
  <c r="AB33" i="4"/>
  <c r="X33" i="4" s="1"/>
  <c r="R37" i="4"/>
  <c r="L54" i="4"/>
  <c r="AA82" i="4"/>
  <c r="I82" i="4"/>
  <c r="X82" i="4"/>
  <c r="O82" i="4"/>
  <c r="U82" i="4"/>
  <c r="R82" i="4"/>
  <c r="O108" i="4"/>
  <c r="AB129" i="4"/>
  <c r="R129" i="4" s="1"/>
  <c r="AB130" i="4"/>
  <c r="R90" i="4"/>
  <c r="AA118" i="4"/>
  <c r="O118" i="4"/>
  <c r="I118" i="4"/>
  <c r="X118" i="4"/>
  <c r="U118" i="4"/>
  <c r="R118" i="4"/>
  <c r="AA40" i="4"/>
  <c r="I40" i="4"/>
  <c r="AB83" i="4"/>
  <c r="L83" i="4" s="1"/>
  <c r="U100" i="4"/>
  <c r="AB95" i="4"/>
  <c r="AB42" i="4"/>
  <c r="U42" i="4" s="1"/>
  <c r="O38" i="4"/>
  <c r="AA67" i="4"/>
  <c r="I67" i="4"/>
  <c r="X67" i="4"/>
  <c r="AA70" i="4"/>
  <c r="I70" i="4"/>
  <c r="X70" i="4"/>
  <c r="L14" i="4"/>
  <c r="X17" i="4"/>
  <c r="AB112" i="4"/>
  <c r="L112" i="4" s="1"/>
  <c r="AB97" i="4"/>
  <c r="L97" i="4" s="1"/>
  <c r="O37" i="4"/>
  <c r="U60" i="4"/>
  <c r="L82" i="4"/>
  <c r="U63" i="4"/>
  <c r="O74" i="4"/>
  <c r="R38" i="4"/>
  <c r="AB22" i="4"/>
  <c r="R22" i="4" s="1"/>
  <c r="L22" i="4"/>
  <c r="O113" i="4"/>
  <c r="AB126" i="4"/>
  <c r="L126" i="4"/>
  <c r="AB18" i="4"/>
  <c r="L18" i="4" s="1"/>
  <c r="U40" i="4"/>
  <c r="R31" i="4"/>
  <c r="U54" i="4"/>
  <c r="L72" i="4"/>
  <c r="AA87" i="4"/>
  <c r="I87" i="4"/>
  <c r="U87" i="4"/>
  <c r="X87" i="4"/>
  <c r="AB94" i="4"/>
  <c r="L94" i="4" s="1"/>
  <c r="AA51" i="4"/>
  <c r="I51" i="4"/>
  <c r="X51" i="4"/>
  <c r="O55" i="4"/>
  <c r="AB88" i="4"/>
  <c r="AB103" i="4"/>
  <c r="L103" i="4" s="1"/>
  <c r="O59" i="4"/>
  <c r="AB120" i="4"/>
  <c r="L120" i="4" s="1"/>
  <c r="U51" i="4"/>
  <c r="X90" i="4"/>
  <c r="AB124" i="4"/>
  <c r="AA64" i="4"/>
  <c r="I64" i="4"/>
  <c r="AB85" i="4"/>
  <c r="O24" i="4"/>
  <c r="O26" i="4"/>
  <c r="AA57" i="4"/>
  <c r="I57" i="4"/>
  <c r="U122" i="4"/>
  <c r="O65" i="4"/>
  <c r="R77" i="4"/>
  <c r="R70" i="4"/>
  <c r="AA13" i="4"/>
  <c r="I13" i="4"/>
  <c r="AA72" i="4"/>
  <c r="I72" i="4"/>
  <c r="R122" i="4"/>
  <c r="R15" i="4"/>
  <c r="AA8" i="4"/>
  <c r="I8" i="4"/>
  <c r="AB44" i="4"/>
  <c r="L44" i="4"/>
  <c r="O110" i="4"/>
  <c r="AA32" i="4"/>
  <c r="I32" i="4"/>
  <c r="X113" i="4"/>
  <c r="AB28" i="4"/>
  <c r="U28" i="4" s="1"/>
  <c r="R55" i="4"/>
  <c r="AB46" i="4"/>
  <c r="R46" i="4" s="1"/>
  <c r="L46" i="4"/>
  <c r="O44" i="4"/>
  <c r="R40" i="4"/>
  <c r="AB92" i="4"/>
  <c r="L92" i="4" s="1"/>
  <c r="O90" i="4"/>
  <c r="L57" i="4"/>
  <c r="U22" i="4"/>
  <c r="AB115" i="4"/>
  <c r="R115" i="4" s="1"/>
  <c r="R113" i="4"/>
  <c r="U112" i="4"/>
  <c r="O22" i="4"/>
  <c r="R95" i="4"/>
  <c r="R63" i="4"/>
  <c r="R110" i="4"/>
  <c r="AA27" i="4"/>
  <c r="I27" i="4"/>
  <c r="AB123" i="4"/>
  <c r="L123" i="4" s="1"/>
  <c r="O45" i="4"/>
  <c r="O69" i="4"/>
  <c r="O20" i="4"/>
  <c r="O54" i="4"/>
  <c r="AB114" i="4"/>
  <c r="R114" i="4" s="1"/>
  <c r="L114" i="4"/>
  <c r="AA58" i="4"/>
  <c r="I58" i="4"/>
  <c r="X50" i="4"/>
  <c r="O95" i="4"/>
  <c r="AB111" i="4"/>
  <c r="X111" i="4" s="1"/>
  <c r="AA26" i="4"/>
  <c r="I26" i="4"/>
  <c r="O17" i="4"/>
  <c r="U103" i="4"/>
  <c r="U13" i="4"/>
  <c r="U129" i="4"/>
  <c r="O91" i="4"/>
  <c r="AB36" i="4"/>
  <c r="AB125" i="4"/>
  <c r="X125" i="4" s="1"/>
  <c r="L125" i="4"/>
  <c r="AA79" i="4"/>
  <c r="I79" i="4"/>
  <c r="U108" i="4"/>
  <c r="O129" i="4"/>
  <c r="AB132" i="4"/>
  <c r="L132" i="4" s="1"/>
  <c r="R103" i="4"/>
  <c r="R45" i="4"/>
  <c r="AA11" i="4"/>
  <c r="I11" i="4"/>
  <c r="L27" i="4"/>
  <c r="U27" i="4"/>
  <c r="AA75" i="4"/>
  <c r="I75" i="4"/>
  <c r="X59" i="4"/>
  <c r="AA53" i="4"/>
  <c r="I53" i="4"/>
  <c r="O126" i="4"/>
  <c r="AB105" i="4"/>
  <c r="L105" i="4"/>
  <c r="X110" i="4"/>
  <c r="AB119" i="4"/>
  <c r="L119" i="4" s="1"/>
  <c r="AB128" i="4"/>
  <c r="L128" i="4" s="1"/>
  <c r="R19" i="4"/>
  <c r="R13" i="4"/>
  <c r="AB91" i="4"/>
  <c r="X91" i="4" s="1"/>
  <c r="X24" i="4"/>
  <c r="O103" i="4"/>
  <c r="X104" i="4"/>
  <c r="AB109" i="4"/>
  <c r="L109" i="4" s="1"/>
  <c r="U95" i="4"/>
  <c r="U19" i="4"/>
  <c r="AA71" i="4"/>
  <c r="I71" i="4"/>
  <c r="O81" i="4"/>
  <c r="O128" i="4"/>
  <c r="X38" i="4"/>
  <c r="AB39" i="4"/>
  <c r="L39" i="4" s="1"/>
  <c r="X32" i="4"/>
  <c r="X13" i="4"/>
  <c r="AB21" i="4"/>
  <c r="U21" i="4" s="1"/>
  <c r="R44" i="4"/>
  <c r="R91" i="4"/>
  <c r="O105" i="4"/>
  <c r="AA15" i="4"/>
  <c r="I15" i="4"/>
  <c r="R10" i="4"/>
  <c r="O11" i="4"/>
  <c r="R54" i="4"/>
  <c r="AB107" i="4"/>
  <c r="L107" i="4" s="1"/>
  <c r="X46" i="4"/>
  <c r="AB102" i="4"/>
  <c r="L102" i="4" s="1"/>
  <c r="X45" i="4"/>
  <c r="AB73" i="4"/>
  <c r="L73" i="4" s="1"/>
  <c r="AA65" i="4"/>
  <c r="I65" i="4"/>
  <c r="X85" i="4"/>
  <c r="O67" i="4"/>
  <c r="AB6" i="4"/>
  <c r="X6" i="4" s="1"/>
  <c r="X108" i="4"/>
  <c r="AB23" i="4"/>
  <c r="R23" i="4" s="1"/>
  <c r="O107" i="4"/>
  <c r="U123" i="4"/>
  <c r="R68" i="4"/>
  <c r="R104" i="4"/>
  <c r="O120" i="4"/>
  <c r="U8" i="4"/>
  <c r="AA80" i="4"/>
  <c r="I80" i="4"/>
  <c r="X80" i="4"/>
  <c r="U80" i="4"/>
  <c r="U41" i="4"/>
  <c r="O33" i="4"/>
  <c r="O100" i="4"/>
  <c r="AB16" i="4"/>
  <c r="U16" i="4" s="1"/>
  <c r="AB47" i="4"/>
  <c r="L47" i="4" s="1"/>
  <c r="U125" i="4"/>
  <c r="AA38" i="4"/>
  <c r="I38" i="4"/>
  <c r="R72" i="4"/>
  <c r="AA31" i="4"/>
  <c r="I31" i="4"/>
  <c r="X95" i="4"/>
  <c r="R130" i="4"/>
  <c r="AA19" i="4"/>
  <c r="I19" i="4"/>
  <c r="U92" i="4"/>
  <c r="AB7" i="4"/>
  <c r="L7" i="4" s="1"/>
  <c r="U74" i="4"/>
  <c r="O124" i="4"/>
  <c r="O63" i="4"/>
  <c r="AB4" i="4"/>
  <c r="O4" i="4" s="1"/>
  <c r="AB135" i="4"/>
  <c r="R135" i="4" s="1"/>
  <c r="X124" i="4"/>
  <c r="AB29" i="4"/>
  <c r="L29" i="4" s="1"/>
  <c r="AA56" i="4"/>
  <c r="I56" i="4"/>
  <c r="U10" i="4"/>
  <c r="AB76" i="4"/>
  <c r="O76" i="4" s="1"/>
  <c r="X97" i="4"/>
  <c r="AA30" i="4"/>
  <c r="I30" i="4"/>
  <c r="R105" i="4"/>
  <c r="X28" i="4"/>
  <c r="X112" i="4"/>
  <c r="R107" i="4"/>
  <c r="O135" i="4"/>
  <c r="O31" i="4"/>
  <c r="U45" i="4"/>
  <c r="O99" i="4"/>
  <c r="O114" i="4"/>
  <c r="U24" i="4"/>
  <c r="O71" i="4"/>
  <c r="R74" i="4"/>
  <c r="O34" i="4"/>
  <c r="AB3" i="4"/>
  <c r="L3" i="4" s="1"/>
  <c r="AB98" i="4"/>
  <c r="U98" i="4" s="1"/>
  <c r="L98" i="4"/>
  <c r="U39" i="4"/>
  <c r="U85" i="4"/>
  <c r="AA37" i="4"/>
  <c r="I37" i="4"/>
  <c r="R42" i="4"/>
  <c r="O50" i="4"/>
  <c r="X103" i="4"/>
  <c r="AA55" i="4"/>
  <c r="I55" i="4"/>
  <c r="X19" i="4"/>
  <c r="U23" i="4"/>
  <c r="AA48" i="4"/>
  <c r="I48" i="4"/>
  <c r="AB93" i="4"/>
  <c r="U90" i="4"/>
  <c r="X42" i="4"/>
  <c r="O46" i="4"/>
  <c r="O122" i="4"/>
  <c r="AB116" i="4"/>
  <c r="X116" i="4" s="1"/>
  <c r="AB43" i="4"/>
  <c r="R43" i="4" s="1"/>
  <c r="L43" i="4"/>
  <c r="AA77" i="4"/>
  <c r="I77" i="4"/>
  <c r="X77" i="4"/>
  <c r="U77" i="4"/>
  <c r="L121" i="4"/>
  <c r="AB121" i="4"/>
  <c r="R121" i="4" s="1"/>
  <c r="X94" i="4"/>
  <c r="L56" i="4"/>
  <c r="O85" i="4"/>
  <c r="U130" i="4"/>
  <c r="AB106" i="4"/>
  <c r="L106" i="4"/>
  <c r="O32" i="4"/>
  <c r="R94" i="4"/>
  <c r="AA35" i="4"/>
  <c r="I35" i="4"/>
  <c r="R102" i="4"/>
  <c r="X114" i="4"/>
  <c r="R24" i="4"/>
  <c r="O40" i="4"/>
  <c r="U113" i="4"/>
  <c r="O43" i="4"/>
  <c r="AA62" i="4"/>
  <c r="I62" i="4"/>
  <c r="U110" i="4"/>
  <c r="X3" i="4"/>
  <c r="R112" i="4"/>
  <c r="X15" i="4"/>
  <c r="O42" i="4"/>
  <c r="O28" i="4"/>
  <c r="X62" i="4"/>
  <c r="AA25" i="4"/>
  <c r="I25" i="4"/>
  <c r="AB78" i="4"/>
  <c r="L78" i="4" s="1"/>
  <c r="AB96" i="4"/>
  <c r="L96" i="4" s="1"/>
  <c r="AA61" i="4"/>
  <c r="I61" i="4"/>
  <c r="X105" i="4"/>
  <c r="U104" i="4"/>
  <c r="O94" i="4"/>
  <c r="AB133" i="4"/>
  <c r="R133" i="4" s="1"/>
  <c r="AB131" i="4"/>
  <c r="L131" i="4" s="1"/>
  <c r="O18" i="4"/>
  <c r="AB134" i="4"/>
  <c r="L134" i="4" s="1"/>
  <c r="R50" i="4"/>
  <c r="U97" i="4"/>
  <c r="L37" i="4"/>
  <c r="R99" i="4"/>
  <c r="X130" i="4"/>
  <c r="X72" i="4"/>
  <c r="X44" i="4"/>
  <c r="L55" i="4"/>
  <c r="R109" i="4"/>
  <c r="U109" i="4"/>
  <c r="AB136" i="4"/>
  <c r="L136" i="4" s="1"/>
  <c r="R59" i="4"/>
  <c r="U17" i="4"/>
  <c r="X99" i="4"/>
  <c r="R33" i="4"/>
  <c r="U33" i="4"/>
  <c r="X7" i="4"/>
  <c r="AA49" i="4"/>
  <c r="I49" i="4"/>
  <c r="O87" i="4"/>
  <c r="AB86" i="4"/>
  <c r="L86" i="4" s="1"/>
  <c r="O13" i="4"/>
  <c r="X117" i="4"/>
  <c r="R49" i="4"/>
  <c r="O97" i="4"/>
  <c r="U124" i="4"/>
  <c r="R3" i="4"/>
  <c r="R117" i="4"/>
  <c r="R29" i="4"/>
  <c r="X128" i="4"/>
  <c r="O10" i="4"/>
  <c r="X63" i="4"/>
  <c r="U136" i="4"/>
  <c r="O56" i="4"/>
  <c r="L62" i="4"/>
  <c r="R11" i="4"/>
  <c r="R108" i="4"/>
  <c r="AB52" i="4"/>
  <c r="U52" i="4" s="1"/>
  <c r="U102" i="4"/>
  <c r="O68" i="4"/>
  <c r="R132" i="4"/>
  <c r="U4" i="4"/>
  <c r="L25" i="4"/>
  <c r="AB89" i="4"/>
  <c r="AB101" i="4"/>
  <c r="R101" i="4" s="1"/>
  <c r="L61" i="4"/>
  <c r="X102" i="4"/>
  <c r="O98" i="4"/>
  <c r="O117" i="4"/>
  <c r="O106" i="4"/>
  <c r="X10" i="4"/>
  <c r="X123" i="4"/>
  <c r="R92" i="4"/>
  <c r="U111" i="4"/>
  <c r="L12" i="4"/>
  <c r="AB12" i="4"/>
  <c r="O12" i="4" s="1"/>
  <c r="U3" i="4"/>
  <c r="X21" i="4"/>
  <c r="U18" i="4"/>
  <c r="R34" i="4"/>
  <c r="U34" i="4"/>
  <c r="X93" i="4"/>
  <c r="O51" i="4"/>
  <c r="X8" i="4"/>
  <c r="X18" i="4"/>
  <c r="X40" i="4"/>
  <c r="X34" i="4"/>
  <c r="AA81" i="4"/>
  <c r="I81" i="4"/>
  <c r="X81" i="4"/>
  <c r="U81" i="4"/>
  <c r="R81" i="4"/>
  <c r="O23" i="4"/>
  <c r="U46" i="4"/>
  <c r="R18" i="4"/>
  <c r="R7" i="4"/>
  <c r="AB66" i="4"/>
  <c r="X66" i="4" s="1"/>
  <c r="L66" i="4"/>
  <c r="X120" i="4"/>
  <c r="O130" i="4"/>
  <c r="X122" i="4"/>
  <c r="U12" i="4"/>
  <c r="X74" i="4"/>
  <c r="AA9" i="4"/>
  <c r="I9" i="4"/>
  <c r="U99" i="4"/>
  <c r="O66" i="4"/>
  <c r="AB127" i="4"/>
  <c r="U29" i="4"/>
  <c r="R21" i="4"/>
  <c r="U116" i="4"/>
  <c r="O73" i="4"/>
  <c r="X109" i="4"/>
  <c r="AB5" i="4"/>
  <c r="L5" i="4" s="1"/>
  <c r="X27" i="4"/>
  <c r="X29" i="4"/>
  <c r="L42" i="4" l="1"/>
  <c r="O47" i="4"/>
  <c r="L133" i="4"/>
  <c r="O125" i="4"/>
  <c r="O21" i="4"/>
  <c r="R28" i="4"/>
  <c r="L23" i="4"/>
  <c r="O123" i="4"/>
  <c r="L91" i="4"/>
  <c r="L115" i="4"/>
  <c r="L28" i="4"/>
  <c r="L4" i="4"/>
  <c r="L6" i="4"/>
  <c r="L111" i="4"/>
  <c r="R120" i="4"/>
  <c r="AA127" i="4"/>
  <c r="I127" i="4"/>
  <c r="AA89" i="4"/>
  <c r="I89" i="4"/>
  <c r="U89" i="4"/>
  <c r="R89" i="4"/>
  <c r="O89" i="4"/>
  <c r="X89" i="4"/>
  <c r="O131" i="4"/>
  <c r="U66" i="4"/>
  <c r="X16" i="4"/>
  <c r="AA36" i="4"/>
  <c r="I36" i="4"/>
  <c r="X98" i="4"/>
  <c r="U107" i="4"/>
  <c r="AA85" i="4"/>
  <c r="I85" i="4"/>
  <c r="U43" i="4"/>
  <c r="U91" i="4"/>
  <c r="X23" i="4"/>
  <c r="AA95" i="4"/>
  <c r="I95" i="4"/>
  <c r="O115" i="4"/>
  <c r="U73" i="4"/>
  <c r="AA69" i="4"/>
  <c r="I69" i="4"/>
  <c r="X69" i="4"/>
  <c r="R69" i="4"/>
  <c r="U69" i="4"/>
  <c r="AA45" i="4"/>
  <c r="I45" i="4"/>
  <c r="AA100" i="4"/>
  <c r="I100" i="4"/>
  <c r="AA136" i="4"/>
  <c r="I136" i="4"/>
  <c r="AA134" i="4"/>
  <c r="I134" i="4"/>
  <c r="AA93" i="4"/>
  <c r="I93" i="4"/>
  <c r="AA7" i="4"/>
  <c r="I7" i="4"/>
  <c r="R16" i="4"/>
  <c r="R5" i="4"/>
  <c r="O121" i="4"/>
  <c r="AA128" i="4"/>
  <c r="I128" i="4"/>
  <c r="O101" i="4"/>
  <c r="O136" i="4"/>
  <c r="L85" i="4"/>
  <c r="X115" i="4"/>
  <c r="U47" i="4"/>
  <c r="AA97" i="4"/>
  <c r="I97" i="4"/>
  <c r="R97" i="4"/>
  <c r="AA33" i="4"/>
  <c r="I33" i="4"/>
  <c r="AA99" i="4"/>
  <c r="I99" i="4"/>
  <c r="O93" i="4"/>
  <c r="X100" i="4"/>
  <c r="L45" i="4"/>
  <c r="L100" i="4"/>
  <c r="R131" i="4"/>
  <c r="U127" i="4"/>
  <c r="I86" i="4"/>
  <c r="AA86" i="4"/>
  <c r="X86" i="4"/>
  <c r="AA96" i="4"/>
  <c r="I96" i="4"/>
  <c r="L93" i="4"/>
  <c r="X127" i="4"/>
  <c r="AA23" i="4"/>
  <c r="I23" i="4"/>
  <c r="AA73" i="4"/>
  <c r="I73" i="4"/>
  <c r="X73" i="4"/>
  <c r="AA123" i="4"/>
  <c r="I123" i="4"/>
  <c r="U134" i="4"/>
  <c r="AA92" i="4"/>
  <c r="I92" i="4"/>
  <c r="O39" i="4"/>
  <c r="AA22" i="4"/>
  <c r="I22" i="4"/>
  <c r="L33" i="4"/>
  <c r="L99" i="4"/>
  <c r="R73" i="4"/>
  <c r="R111" i="4"/>
  <c r="X22" i="4"/>
  <c r="AA29" i="4"/>
  <c r="I29" i="4"/>
  <c r="AA119" i="4"/>
  <c r="I119" i="4"/>
  <c r="X119" i="4"/>
  <c r="AA132" i="4"/>
  <c r="I132" i="4"/>
  <c r="R134" i="4"/>
  <c r="R116" i="4"/>
  <c r="O36" i="4"/>
  <c r="R125" i="4"/>
  <c r="U115" i="4"/>
  <c r="AA122" i="4"/>
  <c r="I122" i="4"/>
  <c r="AA5" i="4"/>
  <c r="I5" i="4"/>
  <c r="R127" i="4"/>
  <c r="AA131" i="4"/>
  <c r="I131" i="4"/>
  <c r="AA78" i="4"/>
  <c r="I78" i="4"/>
  <c r="R78" i="4"/>
  <c r="O78" i="4"/>
  <c r="U78" i="4"/>
  <c r="X78" i="4"/>
  <c r="AA47" i="4"/>
  <c r="I47" i="4"/>
  <c r="AA102" i="4"/>
  <c r="I102" i="4"/>
  <c r="AA109" i="4"/>
  <c r="I109" i="4"/>
  <c r="O3" i="4"/>
  <c r="X134" i="4"/>
  <c r="R12" i="4"/>
  <c r="X136" i="4"/>
  <c r="AA112" i="4"/>
  <c r="I112" i="4"/>
  <c r="X12" i="4"/>
  <c r="O7" i="4"/>
  <c r="AA10" i="4"/>
  <c r="I10" i="4"/>
  <c r="AA34" i="4"/>
  <c r="I34" i="4"/>
  <c r="AA90" i="4"/>
  <c r="I90" i="4"/>
  <c r="L122" i="4"/>
  <c r="AA135" i="4"/>
  <c r="I135" i="4"/>
  <c r="AA16" i="4"/>
  <c r="I16" i="4"/>
  <c r="AA39" i="4"/>
  <c r="I39" i="4"/>
  <c r="AA124" i="4"/>
  <c r="I124" i="4"/>
  <c r="X135" i="4"/>
  <c r="R119" i="4"/>
  <c r="O92" i="4"/>
  <c r="AA17" i="4"/>
  <c r="I17" i="4"/>
  <c r="X92" i="4"/>
  <c r="L90" i="4"/>
  <c r="O16" i="4"/>
  <c r="AA133" i="4"/>
  <c r="I133" i="4"/>
  <c r="AA106" i="4"/>
  <c r="I106" i="4"/>
  <c r="R106" i="4"/>
  <c r="U106" i="4"/>
  <c r="X106" i="4"/>
  <c r="AA43" i="4"/>
  <c r="I43" i="4"/>
  <c r="AA98" i="4"/>
  <c r="I98" i="4"/>
  <c r="L135" i="4"/>
  <c r="L16" i="4"/>
  <c r="U93" i="4"/>
  <c r="AA105" i="4"/>
  <c r="I105" i="4"/>
  <c r="R98" i="4"/>
  <c r="O86" i="4"/>
  <c r="AA114" i="4"/>
  <c r="I114" i="4"/>
  <c r="AA46" i="4"/>
  <c r="I46" i="4"/>
  <c r="L124" i="4"/>
  <c r="U119" i="4"/>
  <c r="O119" i="4"/>
  <c r="U36" i="4"/>
  <c r="L52" i="4"/>
  <c r="X52" i="4"/>
  <c r="L116" i="4"/>
  <c r="AA4" i="4"/>
  <c r="I4" i="4"/>
  <c r="O29" i="4"/>
  <c r="O134" i="4"/>
  <c r="AA6" i="4"/>
  <c r="I6" i="4"/>
  <c r="U5" i="4"/>
  <c r="R86" i="4"/>
  <c r="AA115" i="4"/>
  <c r="I115" i="4"/>
  <c r="X43" i="4"/>
  <c r="R123" i="4"/>
  <c r="AA103" i="4"/>
  <c r="I103" i="4"/>
  <c r="AA94" i="4"/>
  <c r="I94" i="4"/>
  <c r="AA18" i="4"/>
  <c r="I18" i="4"/>
  <c r="O112" i="4"/>
  <c r="AA83" i="4"/>
  <c r="I83" i="4"/>
  <c r="X83" i="4"/>
  <c r="U83" i="4"/>
  <c r="R83" i="4"/>
  <c r="O83" i="4"/>
  <c r="AA130" i="4"/>
  <c r="I130" i="4"/>
  <c r="R85" i="4"/>
  <c r="AA108" i="4"/>
  <c r="I108" i="4"/>
  <c r="U94" i="4"/>
  <c r="AA52" i="4"/>
  <c r="I52" i="4"/>
  <c r="O127" i="4"/>
  <c r="AA116" i="4"/>
  <c r="I116" i="4"/>
  <c r="AA3" i="4"/>
  <c r="I3" i="4"/>
  <c r="R66" i="4"/>
  <c r="O52" i="4"/>
  <c r="X4" i="4"/>
  <c r="AA107" i="4"/>
  <c r="I107" i="4"/>
  <c r="R4" i="4"/>
  <c r="O6" i="4"/>
  <c r="O96" i="4"/>
  <c r="U133" i="4"/>
  <c r="O5" i="4"/>
  <c r="U114" i="4"/>
  <c r="U6" i="4"/>
  <c r="AA42" i="4"/>
  <c r="I42" i="4"/>
  <c r="X36" i="4"/>
  <c r="L130" i="4"/>
  <c r="U120" i="4"/>
  <c r="AA117" i="4"/>
  <c r="I117" i="4"/>
  <c r="O116" i="4"/>
  <c r="L108" i="4"/>
  <c r="X132" i="4"/>
  <c r="R52" i="4"/>
  <c r="AA12" i="4"/>
  <c r="I12" i="4"/>
  <c r="L101" i="4"/>
  <c r="X131" i="4"/>
  <c r="L76" i="4"/>
  <c r="R96" i="4"/>
  <c r="U132" i="4"/>
  <c r="AA91" i="4"/>
  <c r="I91" i="4"/>
  <c r="AA125" i="4"/>
  <c r="I125" i="4"/>
  <c r="R128" i="4"/>
  <c r="X47" i="4"/>
  <c r="O132" i="4"/>
  <c r="AA44" i="4"/>
  <c r="I44" i="4"/>
  <c r="AA88" i="4"/>
  <c r="I88" i="4"/>
  <c r="R88" i="4"/>
  <c r="X88" i="4"/>
  <c r="U88" i="4"/>
  <c r="O88" i="4"/>
  <c r="X39" i="4"/>
  <c r="R39" i="4"/>
  <c r="L117" i="4"/>
  <c r="U105" i="4"/>
  <c r="R93" i="4"/>
  <c r="U131" i="4"/>
  <c r="AA101" i="4"/>
  <c r="I101" i="4"/>
  <c r="O133" i="4"/>
  <c r="O102" i="4"/>
  <c r="AA76" i="4"/>
  <c r="I76" i="4"/>
  <c r="R76" i="4"/>
  <c r="X76" i="4"/>
  <c r="U76" i="4"/>
  <c r="AA21" i="4"/>
  <c r="I21" i="4"/>
  <c r="U7" i="4"/>
  <c r="R136" i="4"/>
  <c r="AA111" i="4"/>
  <c r="I111" i="4"/>
  <c r="AA28" i="4"/>
  <c r="I28" i="4"/>
  <c r="U128" i="4"/>
  <c r="X101" i="4"/>
  <c r="L88" i="4"/>
  <c r="AA126" i="4"/>
  <c r="I126" i="4"/>
  <c r="X126" i="4"/>
  <c r="U126" i="4"/>
  <c r="R126" i="4"/>
  <c r="X96" i="4"/>
  <c r="O111" i="4"/>
  <c r="X107" i="4"/>
  <c r="AA129" i="4"/>
  <c r="I129" i="4"/>
  <c r="AA104" i="4"/>
  <c r="I104" i="4"/>
  <c r="R124" i="4"/>
  <c r="X129" i="4"/>
  <c r="R100" i="4"/>
  <c r="AA113" i="4"/>
  <c r="I113" i="4"/>
  <c r="L127" i="4"/>
  <c r="AA66" i="4"/>
  <c r="I66" i="4"/>
  <c r="L89" i="4"/>
  <c r="AA121" i="4"/>
  <c r="I121" i="4"/>
  <c r="X121" i="4"/>
  <c r="U86" i="4"/>
  <c r="R6" i="4"/>
  <c r="U121" i="4"/>
  <c r="R47" i="4"/>
  <c r="L21" i="4"/>
  <c r="U96" i="4"/>
  <c r="L36" i="4"/>
  <c r="U101" i="4"/>
  <c r="U44" i="4"/>
  <c r="AA120" i="4"/>
  <c r="I120" i="4"/>
  <c r="X133" i="4"/>
  <c r="U135" i="4"/>
  <c r="L95" i="4"/>
  <c r="L129" i="4"/>
  <c r="X5" i="4"/>
  <c r="R36" i="4"/>
  <c r="AA110" i="4"/>
  <c r="I110" i="4"/>
  <c r="L69" i="4"/>
  <c r="O104" i="4"/>
  <c r="O109" i="4"/>
  <c r="L113" i="4"/>
  <c r="AA63" i="4"/>
  <c r="I63" i="4"/>
  <c r="I2667" i="7" l="1"/>
  <c r="O2667" i="7" s="1"/>
  <c r="I1899" i="7"/>
  <c r="O1899" i="7" s="1"/>
  <c r="I1203" i="7"/>
  <c r="O1203" i="7" s="1"/>
  <c r="I483" i="7"/>
  <c r="O483" i="7" s="1"/>
  <c r="I27" i="7"/>
  <c r="O27" i="7" s="1"/>
  <c r="I1922" i="7"/>
  <c r="O1922" i="7" s="1"/>
  <c r="I1358" i="7"/>
  <c r="O1358" i="7" s="1"/>
  <c r="I650" i="7"/>
  <c r="O650" i="7" s="1"/>
  <c r="I38" i="7"/>
  <c r="O38" i="7" s="1"/>
  <c r="I2499" i="7"/>
  <c r="O2499" i="7" s="1"/>
  <c r="I1815" i="7"/>
  <c r="O1815" i="7" s="1"/>
  <c r="I1311" i="7"/>
  <c r="O1311" i="7" s="1"/>
  <c r="I783" i="7"/>
  <c r="O783" i="7" s="1"/>
  <c r="I2654" i="7"/>
  <c r="O2654" i="7" s="1"/>
  <c r="I2282" i="7"/>
  <c r="O2282" i="7" s="1"/>
  <c r="I1790" i="7"/>
  <c r="O1790" i="7" s="1"/>
  <c r="I1166" i="7"/>
  <c r="O1166" i="7" s="1"/>
  <c r="I674" i="7"/>
  <c r="O674" i="7" s="1"/>
  <c r="I14" i="7"/>
  <c r="O14" i="7" s="1"/>
  <c r="I2595" i="7"/>
  <c r="O2595" i="7" s="1"/>
  <c r="I1911" i="7"/>
  <c r="O1911" i="7" s="1"/>
  <c r="I1131" i="7"/>
  <c r="O1131" i="7" s="1"/>
  <c r="I459" i="7"/>
  <c r="O459" i="7" s="1"/>
  <c r="I39" i="7"/>
  <c r="O39" i="7" s="1"/>
  <c r="I2102" i="7"/>
  <c r="O2102" i="7" s="1"/>
  <c r="I1394" i="7"/>
  <c r="O1394" i="7" s="1"/>
  <c r="I746" i="7"/>
  <c r="O746" i="7" s="1"/>
  <c r="I134" i="7"/>
  <c r="O134" i="7" s="1"/>
  <c r="I2340" i="7"/>
  <c r="O2340" i="7" s="1"/>
  <c r="I2427" i="7"/>
  <c r="O2427" i="7" s="1"/>
  <c r="I1839" i="7"/>
  <c r="O1839" i="7" s="1"/>
  <c r="I1179" i="7"/>
  <c r="O1179" i="7" s="1"/>
  <c r="I519" i="7"/>
  <c r="O519" i="7" s="1"/>
  <c r="I2582" i="7"/>
  <c r="O2582" i="7" s="1"/>
  <c r="I1946" i="7"/>
  <c r="O1946" i="7" s="1"/>
  <c r="I1334" i="7"/>
  <c r="O1334" i="7" s="1"/>
  <c r="I710" i="7"/>
  <c r="O710" i="7" s="1"/>
  <c r="I158" i="7"/>
  <c r="O158" i="7" s="1"/>
  <c r="I2472" i="7"/>
  <c r="O2472" i="7" s="1"/>
  <c r="I2160" i="7"/>
  <c r="O2160" i="7" s="1"/>
  <c r="I1860" i="7"/>
  <c r="O1860" i="7" s="1"/>
  <c r="I2295" i="7"/>
  <c r="O2295" i="7" s="1"/>
  <c r="I1707" i="7"/>
  <c r="O1707" i="7" s="1"/>
  <c r="I1035" i="7"/>
  <c r="O1035" i="7" s="1"/>
  <c r="I447" i="7"/>
  <c r="O447" i="7" s="1"/>
  <c r="I2390" i="7"/>
  <c r="O2390" i="7" s="1"/>
  <c r="I1670" i="7"/>
  <c r="O1670" i="7" s="1"/>
  <c r="I854" i="7"/>
  <c r="O854" i="7" s="1"/>
  <c r="I74" i="7"/>
  <c r="O74" i="7" s="1"/>
  <c r="I2655" i="7"/>
  <c r="O2655" i="7" s="1"/>
  <c r="I2007" i="7"/>
  <c r="O2007" i="7" s="1"/>
  <c r="I1491" i="7"/>
  <c r="O1491" i="7" s="1"/>
  <c r="I1083" i="7"/>
  <c r="O1083" i="7" s="1"/>
  <c r="I531" i="7"/>
  <c r="O531" i="7" s="1"/>
  <c r="I2618" i="7"/>
  <c r="O2618" i="7" s="1"/>
  <c r="I2162" i="7"/>
  <c r="O2162" i="7" s="1"/>
  <c r="I1598" i="7"/>
  <c r="O1598" i="7" s="1"/>
  <c r="I986" i="7"/>
  <c r="O986" i="7" s="1"/>
  <c r="I614" i="7"/>
  <c r="O614" i="7" s="1"/>
  <c r="I2328" i="7"/>
  <c r="O2328" i="7" s="1"/>
  <c r="I2463" i="7"/>
  <c r="O2463" i="7" s="1"/>
  <c r="I1743" i="7"/>
  <c r="O1743" i="7" s="1"/>
  <c r="I951" i="7"/>
  <c r="O951" i="7" s="1"/>
  <c r="I387" i="7"/>
  <c r="O387" i="7" s="1"/>
  <c r="I2270" i="7"/>
  <c r="O2270" i="7" s="1"/>
  <c r="I1502" i="7"/>
  <c r="O1502" i="7" s="1"/>
  <c r="I818" i="7"/>
  <c r="O818" i="7" s="1"/>
  <c r="I86" i="7"/>
  <c r="O86" i="7" s="1"/>
  <c r="I2679" i="7"/>
  <c r="O2679" i="7" s="1"/>
  <c r="I2055" i="7"/>
  <c r="O2055" i="7" s="1"/>
  <c r="I1335" i="7"/>
  <c r="O1335" i="7" s="1"/>
  <c r="I627" i="7"/>
  <c r="O627" i="7" s="1"/>
  <c r="I2426" i="7"/>
  <c r="O2426" i="7" s="1"/>
  <c r="I1706" i="7"/>
  <c r="O1706" i="7" s="1"/>
  <c r="I974" i="7"/>
  <c r="O974" i="7" s="1"/>
  <c r="I194" i="7"/>
  <c r="O194" i="7" s="1"/>
  <c r="I2400" i="7"/>
  <c r="O2400" i="7" s="1"/>
  <c r="I2040" i="7"/>
  <c r="O2040" i="7" s="1"/>
  <c r="I1764" i="7"/>
  <c r="O1764" i="7" s="1"/>
  <c r="I2271" i="7"/>
  <c r="O2271" i="7" s="1"/>
  <c r="I1611" i="7"/>
  <c r="O1611" i="7" s="1"/>
  <c r="I855" i="7"/>
  <c r="O855" i="7" s="1"/>
  <c r="I147" i="7"/>
  <c r="O147" i="7" s="1"/>
  <c r="I2198" i="7"/>
  <c r="O2198" i="7" s="1"/>
  <c r="I1562" i="7"/>
  <c r="O1562" i="7" s="1"/>
  <c r="I902" i="7"/>
  <c r="O902" i="7" s="1"/>
  <c r="I182" i="7"/>
  <c r="O182" i="7" s="1"/>
  <c r="I2484" i="7"/>
  <c r="O2484" i="7" s="1"/>
  <c r="I2172" i="7"/>
  <c r="O2172" i="7" s="1"/>
  <c r="I1920" i="7"/>
  <c r="O1920" i="7" s="1"/>
  <c r="I2701" i="7"/>
  <c r="O2701" i="7" s="1"/>
  <c r="I2629" i="7"/>
  <c r="O2629" i="7" s="1"/>
  <c r="I2557" i="7"/>
  <c r="O2557" i="7" s="1"/>
  <c r="I2485" i="7"/>
  <c r="O2485" i="7" s="1"/>
  <c r="I2413" i="7"/>
  <c r="O2413" i="7" s="1"/>
  <c r="I2341" i="7"/>
  <c r="O2341" i="7" s="1"/>
  <c r="I2269" i="7"/>
  <c r="O2269" i="7" s="1"/>
  <c r="I2197" i="7"/>
  <c r="O2197" i="7" s="1"/>
  <c r="I2125" i="7"/>
  <c r="O2125" i="7" s="1"/>
  <c r="I2053" i="7"/>
  <c r="O2053" i="7" s="1"/>
  <c r="I1981" i="7"/>
  <c r="O1981" i="7" s="1"/>
  <c r="I1909" i="7"/>
  <c r="O1909" i="7" s="1"/>
  <c r="I1837" i="7"/>
  <c r="O1837" i="7" s="1"/>
  <c r="I1765" i="7"/>
  <c r="O1765" i="7" s="1"/>
  <c r="I1693" i="7"/>
  <c r="O1693" i="7" s="1"/>
  <c r="I1621" i="7"/>
  <c r="O1621" i="7" s="1"/>
  <c r="I1549" i="7"/>
  <c r="O1549" i="7" s="1"/>
  <c r="I1477" i="7"/>
  <c r="O1477" i="7" s="1"/>
  <c r="I1405" i="7"/>
  <c r="O1405" i="7" s="1"/>
  <c r="I1333" i="7"/>
  <c r="O1333" i="7" s="1"/>
  <c r="I1261" i="7"/>
  <c r="O1261" i="7" s="1"/>
  <c r="I1189" i="7"/>
  <c r="O1189" i="7" s="1"/>
  <c r="I1117" i="7"/>
  <c r="O1117" i="7" s="1"/>
  <c r="I1045" i="7"/>
  <c r="O1045" i="7" s="1"/>
  <c r="I973" i="7"/>
  <c r="O973" i="7" s="1"/>
  <c r="I901" i="7"/>
  <c r="O901" i="7" s="1"/>
  <c r="I829" i="7"/>
  <c r="O829" i="7" s="1"/>
  <c r="I757" i="7"/>
  <c r="O757" i="7" s="1"/>
  <c r="I685" i="7"/>
  <c r="O685" i="7" s="1"/>
  <c r="I613" i="7"/>
  <c r="O613" i="7" s="1"/>
  <c r="I541" i="7"/>
  <c r="O541" i="7" s="1"/>
  <c r="I469" i="7"/>
  <c r="O469" i="7" s="1"/>
  <c r="I397" i="7"/>
  <c r="O397" i="7" s="1"/>
  <c r="I325" i="7"/>
  <c r="O325" i="7" s="1"/>
  <c r="I253" i="7"/>
  <c r="O253" i="7" s="1"/>
  <c r="I181" i="7"/>
  <c r="O181" i="7" s="1"/>
  <c r="I109" i="7"/>
  <c r="O109" i="7" s="1"/>
  <c r="I37" i="7"/>
  <c r="O37" i="7" s="1"/>
  <c r="I1356" i="7"/>
  <c r="O1356" i="7" s="1"/>
  <c r="I780" i="7"/>
  <c r="O780" i="7" s="1"/>
  <c r="I108" i="7"/>
  <c r="O108" i="7" s="1"/>
  <c r="I2639" i="7"/>
  <c r="O2639" i="7" s="1"/>
  <c r="I2567" i="7"/>
  <c r="O2567" i="7" s="1"/>
  <c r="I2495" i="7"/>
  <c r="O2495" i="7" s="1"/>
  <c r="I2423" i="7"/>
  <c r="O2423" i="7" s="1"/>
  <c r="I2351" i="7"/>
  <c r="O2351" i="7" s="1"/>
  <c r="I2279" i="7"/>
  <c r="O2279" i="7" s="1"/>
  <c r="I2207" i="7"/>
  <c r="O2207" i="7" s="1"/>
  <c r="I2135" i="7"/>
  <c r="O2135" i="7" s="1"/>
  <c r="I2063" i="7"/>
  <c r="O2063" i="7" s="1"/>
  <c r="I1991" i="7"/>
  <c r="O1991" i="7" s="1"/>
  <c r="I1919" i="7"/>
  <c r="O1919" i="7" s="1"/>
  <c r="I1847" i="7"/>
  <c r="O1847" i="7" s="1"/>
  <c r="I1775" i="7"/>
  <c r="O1775" i="7" s="1"/>
  <c r="I1703" i="7"/>
  <c r="O1703" i="7" s="1"/>
  <c r="I1631" i="7"/>
  <c r="O1631" i="7" s="1"/>
  <c r="I1559" i="7"/>
  <c r="O1559" i="7" s="1"/>
  <c r="I1487" i="7"/>
  <c r="O1487" i="7" s="1"/>
  <c r="I1415" i="7"/>
  <c r="O1415" i="7" s="1"/>
  <c r="I1343" i="7"/>
  <c r="O1343" i="7" s="1"/>
  <c r="I1271" i="7"/>
  <c r="O1271" i="7" s="1"/>
  <c r="I1199" i="7"/>
  <c r="O1199" i="7" s="1"/>
  <c r="I1127" i="7"/>
  <c r="O1127" i="7" s="1"/>
  <c r="I1055" i="7"/>
  <c r="O1055" i="7" s="1"/>
  <c r="I983" i="7"/>
  <c r="O983" i="7" s="1"/>
  <c r="I911" i="7"/>
  <c r="O911" i="7" s="1"/>
  <c r="I839" i="7"/>
  <c r="O839" i="7" s="1"/>
  <c r="I2559" i="7"/>
  <c r="O2559" i="7" s="1"/>
  <c r="I1767" i="7"/>
  <c r="O1767" i="7" s="1"/>
  <c r="I1095" i="7"/>
  <c r="O1095" i="7" s="1"/>
  <c r="I351" i="7"/>
  <c r="O351" i="7" s="1"/>
  <c r="I2630" i="7"/>
  <c r="O2630" i="7" s="1"/>
  <c r="I1838" i="7"/>
  <c r="O1838" i="7" s="1"/>
  <c r="I1262" i="7"/>
  <c r="O1262" i="7" s="1"/>
  <c r="I518" i="7"/>
  <c r="O518" i="7" s="1"/>
  <c r="I2664" i="7"/>
  <c r="O2664" i="7" s="1"/>
  <c r="I2343" i="7"/>
  <c r="O2343" i="7" s="1"/>
  <c r="I1731" i="7"/>
  <c r="O1731" i="7" s="1"/>
  <c r="I1251" i="7"/>
  <c r="O1251" i="7" s="1"/>
  <c r="I687" i="7"/>
  <c r="O687" i="7" s="1"/>
  <c r="I2594" i="7"/>
  <c r="O2594" i="7" s="1"/>
  <c r="I2222" i="7"/>
  <c r="O2222" i="7" s="1"/>
  <c r="I1682" i="7"/>
  <c r="O1682" i="7" s="1"/>
  <c r="I1082" i="7"/>
  <c r="O1082" i="7" s="1"/>
  <c r="I578" i="7"/>
  <c r="O578" i="7" s="1"/>
  <c r="I2520" i="7"/>
  <c r="O2520" i="7" s="1"/>
  <c r="I2487" i="7"/>
  <c r="O2487" i="7" s="1"/>
  <c r="I1791" i="7"/>
  <c r="O1791" i="7" s="1"/>
  <c r="I1023" i="7"/>
  <c r="O1023" i="7" s="1"/>
  <c r="I399" i="7"/>
  <c r="O399" i="7" s="1"/>
  <c r="I3" i="7"/>
  <c r="I1958" i="7"/>
  <c r="O1958" i="7" s="1"/>
  <c r="I1298" i="7"/>
  <c r="O1298" i="7" s="1"/>
  <c r="I626" i="7"/>
  <c r="O626" i="7" s="1"/>
  <c r="I50" i="7"/>
  <c r="O50" i="7" s="1"/>
  <c r="I2208" i="7"/>
  <c r="O2208" i="7" s="1"/>
  <c r="I2355" i="7"/>
  <c r="O2355" i="7" s="1"/>
  <c r="I1755" i="7"/>
  <c r="O1755" i="7" s="1"/>
  <c r="I1047" i="7"/>
  <c r="O1047" i="7" s="1"/>
  <c r="I411" i="7"/>
  <c r="O411" i="7" s="1"/>
  <c r="I2450" i="7"/>
  <c r="O2450" i="7" s="1"/>
  <c r="I1826" i="7"/>
  <c r="O1826" i="7" s="1"/>
  <c r="I1250" i="7"/>
  <c r="O1250" i="7" s="1"/>
  <c r="I602" i="7"/>
  <c r="O602" i="7" s="1"/>
  <c r="I62" i="7"/>
  <c r="O62" i="7" s="1"/>
  <c r="I2436" i="7"/>
  <c r="O2436" i="7" s="1"/>
  <c r="I2136" i="7"/>
  <c r="O2136" i="7" s="1"/>
  <c r="I1812" i="7"/>
  <c r="O1812" i="7" s="1"/>
  <c r="I2199" i="7"/>
  <c r="O2199" i="7" s="1"/>
  <c r="I1587" i="7"/>
  <c r="O1587" i="7" s="1"/>
  <c r="I939" i="7"/>
  <c r="O939" i="7" s="1"/>
  <c r="I339" i="7"/>
  <c r="O339" i="7" s="1"/>
  <c r="I2258" i="7"/>
  <c r="O2258" i="7" s="1"/>
  <c r="I1550" i="7"/>
  <c r="O1550" i="7" s="1"/>
  <c r="I734" i="7"/>
  <c r="O734" i="7" s="1"/>
  <c r="I2628" i="7"/>
  <c r="O2628" i="7" s="1"/>
  <c r="I2535" i="7"/>
  <c r="O2535" i="7" s="1"/>
  <c r="I1947" i="7"/>
  <c r="O1947" i="7" s="1"/>
  <c r="I1407" i="7"/>
  <c r="O1407" i="7" s="1"/>
  <c r="I999" i="7"/>
  <c r="O999" i="7" s="1"/>
  <c r="I435" i="7"/>
  <c r="O435" i="7" s="1"/>
  <c r="I2534" i="7"/>
  <c r="O2534" i="7" s="1"/>
  <c r="I2066" i="7"/>
  <c r="O2066" i="7" s="1"/>
  <c r="I1514" i="7"/>
  <c r="O1514" i="7" s="1"/>
  <c r="I938" i="7"/>
  <c r="O938" i="7" s="1"/>
  <c r="I506" i="7"/>
  <c r="O506" i="7" s="1"/>
  <c r="I2088" i="7"/>
  <c r="O2088" i="7" s="1"/>
  <c r="I2331" i="7"/>
  <c r="O2331" i="7" s="1"/>
  <c r="I1599" i="7"/>
  <c r="O1599" i="7" s="1"/>
  <c r="I843" i="7"/>
  <c r="O843" i="7" s="1"/>
  <c r="I279" i="7"/>
  <c r="O279" i="7" s="1"/>
  <c r="I2174" i="7"/>
  <c r="O2174" i="7" s="1"/>
  <c r="I1382" i="7"/>
  <c r="O1382" i="7" s="1"/>
  <c r="I686" i="7"/>
  <c r="O686" i="7" s="1"/>
  <c r="I2424" i="7"/>
  <c r="O2424" i="7" s="1"/>
  <c r="I2571" i="7"/>
  <c r="O2571" i="7" s="1"/>
  <c r="I1923" i="7"/>
  <c r="O1923" i="7" s="1"/>
  <c r="I1227" i="7"/>
  <c r="O1227" i="7" s="1"/>
  <c r="I507" i="7"/>
  <c r="O507" i="7" s="1"/>
  <c r="I2294" i="7"/>
  <c r="O2294" i="7" s="1"/>
  <c r="I1586" i="7"/>
  <c r="O1586" i="7" s="1"/>
  <c r="I830" i="7"/>
  <c r="O830" i="7" s="1"/>
  <c r="I110" i="7"/>
  <c r="O110" i="7" s="1"/>
  <c r="I2364" i="7"/>
  <c r="O2364" i="7" s="1"/>
  <c r="I1980" i="7"/>
  <c r="O1980" i="7" s="1"/>
  <c r="I1656" i="7"/>
  <c r="O1656" i="7" s="1"/>
  <c r="I2187" i="7"/>
  <c r="O2187" i="7" s="1"/>
  <c r="I1455" i="7"/>
  <c r="O1455" i="7" s="1"/>
  <c r="I735" i="7"/>
  <c r="O735" i="7" s="1"/>
  <c r="I51" i="7"/>
  <c r="O51" i="7" s="1"/>
  <c r="I2090" i="7"/>
  <c r="O2090" i="7" s="1"/>
  <c r="I1466" i="7"/>
  <c r="O1466" i="7" s="1"/>
  <c r="I770" i="7"/>
  <c r="O770" i="7" s="1"/>
  <c r="I98" i="7"/>
  <c r="O98" i="7" s="1"/>
  <c r="I2448" i="7"/>
  <c r="O2448" i="7" s="1"/>
  <c r="I2148" i="7"/>
  <c r="O2148" i="7" s="1"/>
  <c r="I1872" i="7"/>
  <c r="O1872" i="7" s="1"/>
  <c r="I2689" i="7"/>
  <c r="O2689" i="7" s="1"/>
  <c r="I2617" i="7"/>
  <c r="O2617" i="7" s="1"/>
  <c r="I2545" i="7"/>
  <c r="O2545" i="7" s="1"/>
  <c r="I2473" i="7"/>
  <c r="O2473" i="7" s="1"/>
  <c r="I2401" i="7"/>
  <c r="O2401" i="7" s="1"/>
  <c r="I2329" i="7"/>
  <c r="O2329" i="7" s="1"/>
  <c r="I2257" i="7"/>
  <c r="O2257" i="7" s="1"/>
  <c r="I2185" i="7"/>
  <c r="O2185" i="7" s="1"/>
  <c r="I2113" i="7"/>
  <c r="O2113" i="7" s="1"/>
  <c r="I2041" i="7"/>
  <c r="O2041" i="7" s="1"/>
  <c r="I1969" i="7"/>
  <c r="O1969" i="7" s="1"/>
  <c r="I1897" i="7"/>
  <c r="O1897" i="7" s="1"/>
  <c r="I1825" i="7"/>
  <c r="O1825" i="7" s="1"/>
  <c r="I1753" i="7"/>
  <c r="O1753" i="7" s="1"/>
  <c r="I1681" i="7"/>
  <c r="O1681" i="7" s="1"/>
  <c r="I1609" i="7"/>
  <c r="O1609" i="7" s="1"/>
  <c r="I1537" i="7"/>
  <c r="O1537" i="7" s="1"/>
  <c r="I1465" i="7"/>
  <c r="O1465" i="7" s="1"/>
  <c r="I1393" i="7"/>
  <c r="O1393" i="7" s="1"/>
  <c r="I1321" i="7"/>
  <c r="O1321" i="7" s="1"/>
  <c r="I1249" i="7"/>
  <c r="O1249" i="7" s="1"/>
  <c r="I1177" i="7"/>
  <c r="O1177" i="7" s="1"/>
  <c r="I1105" i="7"/>
  <c r="O1105" i="7" s="1"/>
  <c r="I1033" i="7"/>
  <c r="O1033" i="7" s="1"/>
  <c r="I961" i="7"/>
  <c r="O961" i="7" s="1"/>
  <c r="I889" i="7"/>
  <c r="O889" i="7" s="1"/>
  <c r="I817" i="7"/>
  <c r="O817" i="7" s="1"/>
  <c r="I745" i="7"/>
  <c r="O745" i="7" s="1"/>
  <c r="I673" i="7"/>
  <c r="O673" i="7" s="1"/>
  <c r="I601" i="7"/>
  <c r="O601" i="7" s="1"/>
  <c r="I529" i="7"/>
  <c r="O529" i="7" s="1"/>
  <c r="I457" i="7"/>
  <c r="O457" i="7" s="1"/>
  <c r="I385" i="7"/>
  <c r="O385" i="7" s="1"/>
  <c r="I313" i="7"/>
  <c r="O313" i="7" s="1"/>
  <c r="I241" i="7"/>
  <c r="O241" i="7" s="1"/>
  <c r="I169" i="7"/>
  <c r="O169" i="7" s="1"/>
  <c r="I97" i="7"/>
  <c r="O97" i="7" s="1"/>
  <c r="I25" i="7"/>
  <c r="O25" i="7" s="1"/>
  <c r="I1260" i="7"/>
  <c r="O1260" i="7" s="1"/>
  <c r="I696" i="7"/>
  <c r="O696" i="7" s="1"/>
  <c r="I2699" i="7"/>
  <c r="O2699" i="7" s="1"/>
  <c r="I2627" i="7"/>
  <c r="O2627" i="7" s="1"/>
  <c r="I2555" i="7"/>
  <c r="O2555" i="7" s="1"/>
  <c r="I2483" i="7"/>
  <c r="O2483" i="7" s="1"/>
  <c r="I2411" i="7"/>
  <c r="O2411" i="7" s="1"/>
  <c r="I2339" i="7"/>
  <c r="O2339" i="7" s="1"/>
  <c r="I2267" i="7"/>
  <c r="O2267" i="7" s="1"/>
  <c r="I2195" i="7"/>
  <c r="O2195" i="7" s="1"/>
  <c r="I2123" i="7"/>
  <c r="O2123" i="7" s="1"/>
  <c r="I2051" i="7"/>
  <c r="O2051" i="7" s="1"/>
  <c r="I1979" i="7"/>
  <c r="O1979" i="7" s="1"/>
  <c r="I1907" i="7"/>
  <c r="O1907" i="7" s="1"/>
  <c r="I1835" i="7"/>
  <c r="O1835" i="7" s="1"/>
  <c r="I1763" i="7"/>
  <c r="O1763" i="7" s="1"/>
  <c r="I1691" i="7"/>
  <c r="O1691" i="7" s="1"/>
  <c r="I1619" i="7"/>
  <c r="O1619" i="7" s="1"/>
  <c r="I1547" i="7"/>
  <c r="O1547" i="7" s="1"/>
  <c r="I1475" i="7"/>
  <c r="O1475" i="7" s="1"/>
  <c r="I1403" i="7"/>
  <c r="O1403" i="7" s="1"/>
  <c r="I1331" i="7"/>
  <c r="O1331" i="7" s="1"/>
  <c r="I1259" i="7"/>
  <c r="O1259" i="7" s="1"/>
  <c r="I1187" i="7"/>
  <c r="O1187" i="7" s="1"/>
  <c r="I2451" i="7"/>
  <c r="O2451" i="7" s="1"/>
  <c r="I1647" i="7"/>
  <c r="O1647" i="7" s="1"/>
  <c r="I963" i="7"/>
  <c r="O963" i="7" s="1"/>
  <c r="I303" i="7"/>
  <c r="O303" i="7" s="1"/>
  <c r="I2498" i="7"/>
  <c r="O2498" i="7" s="1"/>
  <c r="I1754" i="7"/>
  <c r="O1754" i="7" s="1"/>
  <c r="I1142" i="7"/>
  <c r="O1142" i="7" s="1"/>
  <c r="I410" i="7"/>
  <c r="O410" i="7" s="1"/>
  <c r="I2556" i="7"/>
  <c r="O2556" i="7" s="1"/>
  <c r="I2223" i="7"/>
  <c r="O2223" i="7" s="1"/>
  <c r="I1695" i="7"/>
  <c r="O1695" i="7" s="1"/>
  <c r="I1167" i="7"/>
  <c r="O1167" i="7" s="1"/>
  <c r="I579" i="7"/>
  <c r="O579" i="7" s="1"/>
  <c r="I2546" i="7"/>
  <c r="O2546" i="7" s="1"/>
  <c r="I2150" i="7"/>
  <c r="O2150" i="7" s="1"/>
  <c r="I1574" i="7"/>
  <c r="O1574" i="7" s="1"/>
  <c r="I1010" i="7"/>
  <c r="O1010" i="7" s="1"/>
  <c r="I482" i="7"/>
  <c r="O482" i="7" s="1"/>
  <c r="I2292" i="7"/>
  <c r="O2292" i="7" s="1"/>
  <c r="I2367" i="7"/>
  <c r="O2367" i="7" s="1"/>
  <c r="I1659" i="7"/>
  <c r="O1659" i="7" s="1"/>
  <c r="I915" i="7"/>
  <c r="O915" i="7" s="1"/>
  <c r="I327" i="7"/>
  <c r="O327" i="7" s="1"/>
  <c r="I2666" i="7"/>
  <c r="O2666" i="7" s="1"/>
  <c r="I1862" i="7"/>
  <c r="O1862" i="7" s="1"/>
  <c r="I1202" i="7"/>
  <c r="O1202" i="7" s="1"/>
  <c r="I542" i="7"/>
  <c r="O542" i="7" s="1"/>
  <c r="I2676" i="7"/>
  <c r="O2676" i="7" s="1"/>
  <c r="I2016" i="7"/>
  <c r="O2016" i="7" s="1"/>
  <c r="I2283" i="7"/>
  <c r="O2283" i="7" s="1"/>
  <c r="I1635" i="7"/>
  <c r="O1635" i="7" s="1"/>
  <c r="I927" i="7"/>
  <c r="O927" i="7" s="1"/>
  <c r="I291" i="7"/>
  <c r="O291" i="7" s="1"/>
  <c r="I2330" i="7"/>
  <c r="O2330" i="7" s="1"/>
  <c r="I1718" i="7"/>
  <c r="O1718" i="7" s="1"/>
  <c r="I1130" i="7"/>
  <c r="O1130" i="7" s="1"/>
  <c r="I494" i="7"/>
  <c r="O494" i="7" s="1"/>
  <c r="I2700" i="7"/>
  <c r="O2700" i="7" s="1"/>
  <c r="I2388" i="7"/>
  <c r="O2388" i="7" s="1"/>
  <c r="I2052" i="7"/>
  <c r="O2052" i="7" s="1"/>
  <c r="I1716" i="7"/>
  <c r="O1716" i="7" s="1"/>
  <c r="I2091" i="7"/>
  <c r="O2091" i="7" s="1"/>
  <c r="I1503" i="7"/>
  <c r="O1503" i="7" s="1"/>
  <c r="I867" i="7"/>
  <c r="O867" i="7" s="1"/>
  <c r="I207" i="7"/>
  <c r="O207" i="7" s="1"/>
  <c r="I2114" i="7"/>
  <c r="O2114" i="7" s="1"/>
  <c r="I1418" i="7"/>
  <c r="O1418" i="7" s="1"/>
  <c r="I590" i="7"/>
  <c r="O590" i="7" s="1"/>
  <c r="I2352" i="7"/>
  <c r="O2352" i="7" s="1"/>
  <c r="I2403" i="7"/>
  <c r="O2403" i="7" s="1"/>
  <c r="I1863" i="7"/>
  <c r="O1863" i="7" s="1"/>
  <c r="I1371" i="7"/>
  <c r="O1371" i="7" s="1"/>
  <c r="I903" i="7"/>
  <c r="O903" i="7" s="1"/>
  <c r="I315" i="7"/>
  <c r="O315" i="7" s="1"/>
  <c r="I2462" i="7"/>
  <c r="O2462" i="7" s="1"/>
  <c r="I1994" i="7"/>
  <c r="O1994" i="7" s="1"/>
  <c r="I1430" i="7"/>
  <c r="O1430" i="7" s="1"/>
  <c r="I866" i="7"/>
  <c r="O866" i="7" s="1"/>
  <c r="I374" i="7"/>
  <c r="O374" i="7" s="1"/>
  <c r="I1848" i="7"/>
  <c r="O1848" i="7" s="1"/>
  <c r="I2235" i="7"/>
  <c r="O2235" i="7" s="1"/>
  <c r="I1467" i="7"/>
  <c r="O1467" i="7" s="1"/>
  <c r="I747" i="7"/>
  <c r="O747" i="7" s="1"/>
  <c r="I135" i="7"/>
  <c r="O135" i="7" s="1"/>
  <c r="I2042" i="7"/>
  <c r="O2042" i="7" s="1"/>
  <c r="I1238" i="7"/>
  <c r="O1238" i="7" s="1"/>
  <c r="I566" i="7"/>
  <c r="O566" i="7" s="1"/>
  <c r="I2184" i="7"/>
  <c r="O2184" i="7" s="1"/>
  <c r="I2475" i="7"/>
  <c r="O2475" i="7" s="1"/>
  <c r="I1803" i="7"/>
  <c r="O1803" i="7" s="1"/>
  <c r="I1119" i="7"/>
  <c r="O1119" i="7" s="1"/>
  <c r="I363" i="7"/>
  <c r="O363" i="7" s="1"/>
  <c r="I2186" i="7"/>
  <c r="O2186" i="7" s="1"/>
  <c r="I1454" i="7"/>
  <c r="O1454" i="7" s="1"/>
  <c r="I698" i="7"/>
  <c r="O698" i="7" s="1"/>
  <c r="I2688" i="7"/>
  <c r="O2688" i="7" s="1"/>
  <c r="I2280" i="7"/>
  <c r="O2280" i="7" s="1"/>
  <c r="I1932" i="7"/>
  <c r="O1932" i="7" s="1"/>
  <c r="I2619" i="7"/>
  <c r="O2619" i="7" s="1"/>
  <c r="I2103" i="7"/>
  <c r="O2103" i="7" s="1"/>
  <c r="I1347" i="7"/>
  <c r="O1347" i="7" s="1"/>
  <c r="I615" i="7"/>
  <c r="O615" i="7" s="1"/>
  <c r="I2678" i="7"/>
  <c r="O2678" i="7" s="1"/>
  <c r="I1970" i="7"/>
  <c r="O1970" i="7" s="1"/>
  <c r="I1370" i="7"/>
  <c r="O1370" i="7" s="1"/>
  <c r="I638" i="7"/>
  <c r="O638" i="7" s="1"/>
  <c r="I26" i="7"/>
  <c r="O26" i="7" s="1"/>
  <c r="I2376" i="7"/>
  <c r="O2376" i="7" s="1"/>
  <c r="I2076" i="7"/>
  <c r="O2076" i="7" s="1"/>
  <c r="I1824" i="7"/>
  <c r="O1824" i="7" s="1"/>
  <c r="I2677" i="7"/>
  <c r="O2677" i="7" s="1"/>
  <c r="I2605" i="7"/>
  <c r="O2605" i="7" s="1"/>
  <c r="I2533" i="7"/>
  <c r="O2533" i="7" s="1"/>
  <c r="I2461" i="7"/>
  <c r="O2461" i="7" s="1"/>
  <c r="I2389" i="7"/>
  <c r="O2389" i="7" s="1"/>
  <c r="I2317" i="7"/>
  <c r="O2317" i="7" s="1"/>
  <c r="I2245" i="7"/>
  <c r="O2245" i="7" s="1"/>
  <c r="I2173" i="7"/>
  <c r="O2173" i="7" s="1"/>
  <c r="I2101" i="7"/>
  <c r="O2101" i="7" s="1"/>
  <c r="I2029" i="7"/>
  <c r="O2029" i="7" s="1"/>
  <c r="I1957" i="7"/>
  <c r="O1957" i="7" s="1"/>
  <c r="I1885" i="7"/>
  <c r="O1885" i="7" s="1"/>
  <c r="I1813" i="7"/>
  <c r="O1813" i="7" s="1"/>
  <c r="I1741" i="7"/>
  <c r="O1741" i="7" s="1"/>
  <c r="I1669" i="7"/>
  <c r="O1669" i="7" s="1"/>
  <c r="I1597" i="7"/>
  <c r="O1597" i="7" s="1"/>
  <c r="I1525" i="7"/>
  <c r="O1525" i="7" s="1"/>
  <c r="I1453" i="7"/>
  <c r="O1453" i="7" s="1"/>
  <c r="I1381" i="7"/>
  <c r="O1381" i="7" s="1"/>
  <c r="I1309" i="7"/>
  <c r="O1309" i="7" s="1"/>
  <c r="I1237" i="7"/>
  <c r="O1237" i="7" s="1"/>
  <c r="I1165" i="7"/>
  <c r="O1165" i="7" s="1"/>
  <c r="I1093" i="7"/>
  <c r="O1093" i="7" s="1"/>
  <c r="I1021" i="7"/>
  <c r="O1021" i="7" s="1"/>
  <c r="I949" i="7"/>
  <c r="O949" i="7" s="1"/>
  <c r="I877" i="7"/>
  <c r="O877" i="7" s="1"/>
  <c r="I805" i="7"/>
  <c r="O805" i="7" s="1"/>
  <c r="I733" i="7"/>
  <c r="O733" i="7" s="1"/>
  <c r="I661" i="7"/>
  <c r="O661" i="7" s="1"/>
  <c r="I589" i="7"/>
  <c r="O589" i="7" s="1"/>
  <c r="I517" i="7"/>
  <c r="O517" i="7" s="1"/>
  <c r="I445" i="7"/>
  <c r="O445" i="7" s="1"/>
  <c r="I373" i="7"/>
  <c r="O373" i="7" s="1"/>
  <c r="I301" i="7"/>
  <c r="O301" i="7" s="1"/>
  <c r="I229" i="7"/>
  <c r="O229" i="7" s="1"/>
  <c r="I157" i="7"/>
  <c r="O157" i="7" s="1"/>
  <c r="I85" i="7"/>
  <c r="O85" i="7" s="1"/>
  <c r="I13" i="7"/>
  <c r="O13" i="7" s="1"/>
  <c r="I1164" i="7"/>
  <c r="O1164" i="7" s="1"/>
  <c r="I588" i="7"/>
  <c r="O588" i="7" s="1"/>
  <c r="I2687" i="7"/>
  <c r="O2687" i="7" s="1"/>
  <c r="I2615" i="7"/>
  <c r="O2615" i="7" s="1"/>
  <c r="I2543" i="7"/>
  <c r="O2543" i="7" s="1"/>
  <c r="I2471" i="7"/>
  <c r="O2471" i="7" s="1"/>
  <c r="I2399" i="7"/>
  <c r="O2399" i="7" s="1"/>
  <c r="I2327" i="7"/>
  <c r="O2327" i="7" s="1"/>
  <c r="I2255" i="7"/>
  <c r="O2255" i="7" s="1"/>
  <c r="I2183" i="7"/>
  <c r="O2183" i="7" s="1"/>
  <c r="I2111" i="7"/>
  <c r="O2111" i="7" s="1"/>
  <c r="I2039" i="7"/>
  <c r="O2039" i="7" s="1"/>
  <c r="I1967" i="7"/>
  <c r="O1967" i="7" s="1"/>
  <c r="I1895" i="7"/>
  <c r="O1895" i="7" s="1"/>
  <c r="I1823" i="7"/>
  <c r="O1823" i="7" s="1"/>
  <c r="I1751" i="7"/>
  <c r="O1751" i="7" s="1"/>
  <c r="I1679" i="7"/>
  <c r="O1679" i="7" s="1"/>
  <c r="I1607" i="7"/>
  <c r="O1607" i="7" s="1"/>
  <c r="I1535" i="7"/>
  <c r="O1535" i="7" s="1"/>
  <c r="I1463" i="7"/>
  <c r="O1463" i="7" s="1"/>
  <c r="I1391" i="7"/>
  <c r="O1391" i="7" s="1"/>
  <c r="I1319" i="7"/>
  <c r="O1319" i="7" s="1"/>
  <c r="I1247" i="7"/>
  <c r="O1247" i="7" s="1"/>
  <c r="I1175" i="7"/>
  <c r="O1175" i="7" s="1"/>
  <c r="I1103" i="7"/>
  <c r="O1103" i="7" s="1"/>
  <c r="I1031" i="7"/>
  <c r="O1031" i="7" s="1"/>
  <c r="I959" i="7"/>
  <c r="O959" i="7" s="1"/>
  <c r="I887" i="7"/>
  <c r="O887" i="7" s="1"/>
  <c r="I815" i="7"/>
  <c r="O815" i="7" s="1"/>
  <c r="I743" i="7"/>
  <c r="O743" i="7" s="1"/>
  <c r="I671" i="7"/>
  <c r="O671" i="7" s="1"/>
  <c r="I599" i="7"/>
  <c r="O599" i="7" s="1"/>
  <c r="I527" i="7"/>
  <c r="O527" i="7" s="1"/>
  <c r="I455" i="7"/>
  <c r="O455" i="7" s="1"/>
  <c r="I383" i="7"/>
  <c r="O383" i="7" s="1"/>
  <c r="I311" i="7"/>
  <c r="O311" i="7" s="1"/>
  <c r="I239" i="7"/>
  <c r="O239" i="7" s="1"/>
  <c r="I167" i="7"/>
  <c r="O167" i="7" s="1"/>
  <c r="I95" i="7"/>
  <c r="O95" i="7" s="1"/>
  <c r="I2031" i="7"/>
  <c r="O2031" i="7" s="1"/>
  <c r="I1359" i="7"/>
  <c r="O1359" i="7" s="1"/>
  <c r="I591" i="7"/>
  <c r="O591" i="7" s="1"/>
  <c r="I111" i="7"/>
  <c r="O111" i="7" s="1"/>
  <c r="I2030" i="7"/>
  <c r="O2030" i="7" s="1"/>
  <c r="I1442" i="7"/>
  <c r="O1442" i="7" s="1"/>
  <c r="I758" i="7"/>
  <c r="O758" i="7" s="1"/>
  <c r="I146" i="7"/>
  <c r="O146" i="7" s="1"/>
  <c r="I2607" i="7"/>
  <c r="O2607" i="7" s="1"/>
  <c r="I1887" i="7"/>
  <c r="O1887" i="7" s="1"/>
  <c r="I1419" i="7"/>
  <c r="O1419" i="7" s="1"/>
  <c r="I891" i="7"/>
  <c r="O891" i="7" s="1"/>
  <c r="I63" i="7"/>
  <c r="O63" i="7" s="1"/>
  <c r="I2342" i="7"/>
  <c r="O2342" i="7" s="1"/>
  <c r="I1886" i="7"/>
  <c r="O1886" i="7" s="1"/>
  <c r="I1226" i="7"/>
  <c r="O1226" i="7" s="1"/>
  <c r="I794" i="7"/>
  <c r="O794" i="7" s="1"/>
  <c r="I170" i="7"/>
  <c r="O170" i="7" s="1"/>
  <c r="I2691" i="7"/>
  <c r="O2691" i="7" s="1"/>
  <c r="I2043" i="7"/>
  <c r="O2043" i="7" s="1"/>
  <c r="I1275" i="7"/>
  <c r="O1275" i="7" s="1"/>
  <c r="I555" i="7"/>
  <c r="O555" i="7" s="1"/>
  <c r="I99" i="7"/>
  <c r="O99" i="7" s="1"/>
  <c r="I2210" i="7"/>
  <c r="O2210" i="7" s="1"/>
  <c r="I1490" i="7"/>
  <c r="O1490" i="7" s="1"/>
  <c r="I842" i="7"/>
  <c r="O842" i="7" s="1"/>
  <c r="I206" i="7"/>
  <c r="O206" i="7" s="1"/>
  <c r="I2412" i="7"/>
  <c r="O2412" i="7" s="1"/>
  <c r="I2523" i="7"/>
  <c r="O2523" i="7" s="1"/>
  <c r="I1959" i="7"/>
  <c r="O1959" i="7" s="1"/>
  <c r="I1287" i="7"/>
  <c r="O1287" i="7" s="1"/>
  <c r="I603" i="7"/>
  <c r="O603" i="7" s="1"/>
  <c r="I2702" i="7"/>
  <c r="O2702" i="7" s="1"/>
  <c r="I2018" i="7"/>
  <c r="O2018" i="7" s="1"/>
  <c r="I1406" i="7"/>
  <c r="O1406" i="7" s="1"/>
  <c r="I806" i="7"/>
  <c r="O806" i="7" s="1"/>
  <c r="I242" i="7"/>
  <c r="O242" i="7" s="1"/>
  <c r="I2532" i="7"/>
  <c r="O2532" i="7" s="1"/>
  <c r="I2220" i="7"/>
  <c r="O2220" i="7" s="1"/>
  <c r="I1908" i="7"/>
  <c r="O1908" i="7" s="1"/>
  <c r="I2415" i="7"/>
  <c r="O2415" i="7" s="1"/>
  <c r="I1827" i="7"/>
  <c r="O1827" i="7" s="1"/>
  <c r="I1143" i="7"/>
  <c r="O1143" i="7" s="1"/>
  <c r="I567" i="7"/>
  <c r="O567" i="7" s="1"/>
  <c r="I2510" i="7"/>
  <c r="O2510" i="7" s="1"/>
  <c r="I1802" i="7"/>
  <c r="O1802" i="7" s="1"/>
  <c r="I998" i="7"/>
  <c r="O998" i="7" s="1"/>
  <c r="I230" i="7"/>
  <c r="O230" i="7" s="1"/>
  <c r="I1680" i="7"/>
  <c r="O1680" i="7" s="1"/>
  <c r="I2127" i="7"/>
  <c r="O2127" i="7" s="1"/>
  <c r="I1575" i="7"/>
  <c r="O1575" i="7" s="1"/>
  <c r="I1155" i="7"/>
  <c r="O1155" i="7" s="1"/>
  <c r="I639" i="7"/>
  <c r="O639" i="7" s="1"/>
  <c r="I2690" i="7"/>
  <c r="O2690" i="7" s="1"/>
  <c r="I2246" i="7"/>
  <c r="O2246" i="7" s="1"/>
  <c r="I1694" i="7"/>
  <c r="O1694" i="7" s="1"/>
  <c r="I1094" i="7"/>
  <c r="O1094" i="7" s="1"/>
  <c r="I662" i="7"/>
  <c r="O662" i="7" s="1"/>
  <c r="I2592" i="7"/>
  <c r="O2592" i="7" s="1"/>
  <c r="I2583" i="7"/>
  <c r="O2583" i="7" s="1"/>
  <c r="I1875" i="7"/>
  <c r="O1875" i="7" s="1"/>
  <c r="I1059" i="7"/>
  <c r="O1059" i="7" s="1"/>
  <c r="I471" i="7"/>
  <c r="O471" i="7" s="1"/>
  <c r="I2366" i="7"/>
  <c r="O2366" i="7" s="1"/>
  <c r="I1634" i="7"/>
  <c r="O1634" i="7" s="1"/>
  <c r="I926" i="7"/>
  <c r="O926" i="7" s="1"/>
  <c r="I254" i="7"/>
  <c r="O254" i="7" s="1"/>
  <c r="I1668" i="7"/>
  <c r="O1668" i="7" s="1"/>
  <c r="I2151" i="7"/>
  <c r="O2151" i="7" s="1"/>
  <c r="I1443" i="7"/>
  <c r="O1443" i="7" s="1"/>
  <c r="I759" i="7"/>
  <c r="O759" i="7" s="1"/>
  <c r="I2570" i="7"/>
  <c r="O2570" i="7" s="1"/>
  <c r="I1814" i="7"/>
  <c r="O1814" i="7" s="1"/>
  <c r="I1106" i="7"/>
  <c r="O1106" i="7" s="1"/>
  <c r="I326" i="7"/>
  <c r="O326" i="7" s="1"/>
  <c r="I2460" i="7"/>
  <c r="O2460" i="7" s="1"/>
  <c r="I2112" i="7"/>
  <c r="O2112" i="7" s="1"/>
  <c r="I1800" i="7"/>
  <c r="O1800" i="7" s="1"/>
  <c r="I2391" i="7"/>
  <c r="O2391" i="7" s="1"/>
  <c r="I1719" i="7"/>
  <c r="O1719" i="7" s="1"/>
  <c r="I975" i="7"/>
  <c r="O975" i="7" s="1"/>
  <c r="I255" i="7"/>
  <c r="O255" i="7" s="1"/>
  <c r="I2318" i="7"/>
  <c r="O2318" i="7" s="1"/>
  <c r="I1658" i="7"/>
  <c r="O1658" i="7" s="1"/>
  <c r="I1046" i="7"/>
  <c r="O1046" i="7" s="1"/>
  <c r="I1563" i="7"/>
  <c r="O1563" i="7" s="1"/>
  <c r="I2354" i="7"/>
  <c r="O2354" i="7" s="1"/>
  <c r="I314" i="7"/>
  <c r="O314" i="7" s="1"/>
  <c r="I1623" i="7"/>
  <c r="O1623" i="7" s="1"/>
  <c r="I2486" i="7"/>
  <c r="O2486" i="7" s="1"/>
  <c r="I962" i="7"/>
  <c r="O962" i="7" s="1"/>
  <c r="I2247" i="7"/>
  <c r="O2247" i="7" s="1"/>
  <c r="I267" i="7"/>
  <c r="O267" i="7" s="1"/>
  <c r="I1070" i="7"/>
  <c r="O1070" i="7" s="1"/>
  <c r="I1704" i="7"/>
  <c r="O1704" i="7" s="1"/>
  <c r="I819" i="7"/>
  <c r="O819" i="7" s="1"/>
  <c r="I1622" i="7"/>
  <c r="O1622" i="7" s="1"/>
  <c r="I2652" i="7"/>
  <c r="O2652" i="7" s="1"/>
  <c r="I2643" i="7"/>
  <c r="O2643" i="7" s="1"/>
  <c r="I807" i="7"/>
  <c r="O807" i="7" s="1"/>
  <c r="I1286" i="7"/>
  <c r="O1286" i="7" s="1"/>
  <c r="I2307" i="7"/>
  <c r="O2307" i="7" s="1"/>
  <c r="I795" i="7"/>
  <c r="O795" i="7" s="1"/>
  <c r="I1874" i="7"/>
  <c r="O1874" i="7" s="1"/>
  <c r="I266" i="7"/>
  <c r="O266" i="7" s="1"/>
  <c r="I1323" i="7"/>
  <c r="O1323" i="7" s="1"/>
  <c r="I1898" i="7"/>
  <c r="O1898" i="7" s="1"/>
  <c r="I1968" i="7"/>
  <c r="O1968" i="7" s="1"/>
  <c r="I1011" i="7"/>
  <c r="O1011" i="7" s="1"/>
  <c r="I1322" i="7"/>
  <c r="O1322" i="7" s="1"/>
  <c r="I2244" i="7"/>
  <c r="O2244" i="7" s="1"/>
  <c r="I1983" i="7"/>
  <c r="O1983" i="7" s="1"/>
  <c r="I2558" i="7"/>
  <c r="O2558" i="7" s="1"/>
  <c r="I530" i="7"/>
  <c r="O530" i="7" s="1"/>
  <c r="I1776" i="7"/>
  <c r="O1776" i="7" s="1"/>
  <c r="I2449" i="7"/>
  <c r="O2449" i="7" s="1"/>
  <c r="I2161" i="7"/>
  <c r="O2161" i="7" s="1"/>
  <c r="I1873" i="7"/>
  <c r="O1873" i="7" s="1"/>
  <c r="I1585" i="7"/>
  <c r="O1585" i="7" s="1"/>
  <c r="I1297" i="7"/>
  <c r="O1297" i="7" s="1"/>
  <c r="I1009" i="7"/>
  <c r="O1009" i="7" s="1"/>
  <c r="I721" i="7"/>
  <c r="O721" i="7" s="1"/>
  <c r="I433" i="7"/>
  <c r="O433" i="7" s="1"/>
  <c r="I145" i="7"/>
  <c r="O145" i="7" s="1"/>
  <c r="I492" i="7"/>
  <c r="O492" i="7" s="1"/>
  <c r="I2459" i="7"/>
  <c r="O2459" i="7" s="1"/>
  <c r="I2171" i="7"/>
  <c r="O2171" i="7" s="1"/>
  <c r="I1883" i="7"/>
  <c r="O1883" i="7" s="1"/>
  <c r="I1595" i="7"/>
  <c r="O1595" i="7" s="1"/>
  <c r="I1307" i="7"/>
  <c r="O1307" i="7" s="1"/>
  <c r="I947" i="7"/>
  <c r="O947" i="7" s="1"/>
  <c r="I863" i="7"/>
  <c r="O863" i="7" s="1"/>
  <c r="I779" i="7"/>
  <c r="O779" i="7" s="1"/>
  <c r="I623" i="7"/>
  <c r="O623" i="7" s="1"/>
  <c r="I467" i="7"/>
  <c r="O467" i="7" s="1"/>
  <c r="I227" i="7"/>
  <c r="O227" i="7" s="1"/>
  <c r="I71" i="7"/>
  <c r="O71" i="7" s="1"/>
  <c r="I1596" i="7"/>
  <c r="O1596" i="7" s="1"/>
  <c r="I972" i="7"/>
  <c r="O972" i="7" s="1"/>
  <c r="I2686" i="7"/>
  <c r="O2686" i="7" s="1"/>
  <c r="I2614" i="7"/>
  <c r="O2614" i="7" s="1"/>
  <c r="I2542" i="7"/>
  <c r="O2542" i="7" s="1"/>
  <c r="I2470" i="7"/>
  <c r="O2470" i="7" s="1"/>
  <c r="I2398" i="7"/>
  <c r="O2398" i="7" s="1"/>
  <c r="I2326" i="7"/>
  <c r="O2326" i="7" s="1"/>
  <c r="I2254" i="7"/>
  <c r="O2254" i="7" s="1"/>
  <c r="I2182" i="7"/>
  <c r="O2182" i="7" s="1"/>
  <c r="I2110" i="7"/>
  <c r="O2110" i="7" s="1"/>
  <c r="I2038" i="7"/>
  <c r="O2038" i="7" s="1"/>
  <c r="I1966" i="7"/>
  <c r="O1966" i="7" s="1"/>
  <c r="I1894" i="7"/>
  <c r="O1894" i="7" s="1"/>
  <c r="I1822" i="7"/>
  <c r="O1822" i="7" s="1"/>
  <c r="I1750" i="7"/>
  <c r="O1750" i="7" s="1"/>
  <c r="I1678" i="7"/>
  <c r="O1678" i="7" s="1"/>
  <c r="I1606" i="7"/>
  <c r="O1606" i="7" s="1"/>
  <c r="I1534" i="7"/>
  <c r="O1534" i="7" s="1"/>
  <c r="I1462" i="7"/>
  <c r="O1462" i="7" s="1"/>
  <c r="I1390" i="7"/>
  <c r="O1390" i="7" s="1"/>
  <c r="I1318" i="7"/>
  <c r="O1318" i="7" s="1"/>
  <c r="I1246" i="7"/>
  <c r="O1246" i="7" s="1"/>
  <c r="I1174" i="7"/>
  <c r="O1174" i="7" s="1"/>
  <c r="I1102" i="7"/>
  <c r="O1102" i="7" s="1"/>
  <c r="I1030" i="7"/>
  <c r="O1030" i="7" s="1"/>
  <c r="I958" i="7"/>
  <c r="O958" i="7" s="1"/>
  <c r="I886" i="7"/>
  <c r="O886" i="7" s="1"/>
  <c r="I814" i="7"/>
  <c r="O814" i="7" s="1"/>
  <c r="I742" i="7"/>
  <c r="O742" i="7" s="1"/>
  <c r="I670" i="7"/>
  <c r="O670" i="7" s="1"/>
  <c r="I598" i="7"/>
  <c r="O598" i="7" s="1"/>
  <c r="I526" i="7"/>
  <c r="O526" i="7" s="1"/>
  <c r="I2544" i="7"/>
  <c r="O2544" i="7" s="1"/>
  <c r="I2641" i="7"/>
  <c r="O2641" i="7" s="1"/>
  <c r="I2353" i="7"/>
  <c r="O2353" i="7" s="1"/>
  <c r="I2065" i="7"/>
  <c r="O2065" i="7" s="1"/>
  <c r="I1777" i="7"/>
  <c r="O1777" i="7" s="1"/>
  <c r="I1489" i="7"/>
  <c r="O1489" i="7" s="1"/>
  <c r="I1201" i="7"/>
  <c r="O1201" i="7" s="1"/>
  <c r="I913" i="7"/>
  <c r="O913" i="7" s="1"/>
  <c r="I625" i="7"/>
  <c r="O625" i="7" s="1"/>
  <c r="I337" i="7"/>
  <c r="O337" i="7" s="1"/>
  <c r="I49" i="7"/>
  <c r="O49" i="7" s="1"/>
  <c r="I2651" i="7"/>
  <c r="O2651" i="7" s="1"/>
  <c r="I2363" i="7"/>
  <c r="O2363" i="7" s="1"/>
  <c r="I2075" i="7"/>
  <c r="O2075" i="7" s="1"/>
  <c r="I1787" i="7"/>
  <c r="O1787" i="7" s="1"/>
  <c r="I1499" i="7"/>
  <c r="O1499" i="7" s="1"/>
  <c r="I1211" i="7"/>
  <c r="O1211" i="7" s="1"/>
  <c r="I1115" i="7"/>
  <c r="O1115" i="7" s="1"/>
  <c r="I695" i="7"/>
  <c r="O695" i="7" s="1"/>
  <c r="I539" i="7"/>
  <c r="O539" i="7" s="1"/>
  <c r="I299" i="7"/>
  <c r="O299" i="7" s="1"/>
  <c r="I143" i="7"/>
  <c r="O143" i="7" s="1"/>
  <c r="I1479" i="7"/>
  <c r="O1479" i="7" s="1"/>
  <c r="I2138" i="7"/>
  <c r="O2138" i="7" s="1"/>
  <c r="I218" i="7"/>
  <c r="O218" i="7" s="1"/>
  <c r="I1527" i="7"/>
  <c r="O1527" i="7" s="1"/>
  <c r="I2414" i="7"/>
  <c r="O2414" i="7" s="1"/>
  <c r="I890" i="7"/>
  <c r="O890" i="7" s="1"/>
  <c r="I2139" i="7"/>
  <c r="O2139" i="7" s="1"/>
  <c r="I195" i="7"/>
  <c r="O195" i="7" s="1"/>
  <c r="I950" i="7"/>
  <c r="O950" i="7" s="1"/>
  <c r="I2631" i="7"/>
  <c r="O2631" i="7" s="1"/>
  <c r="I711" i="7"/>
  <c r="O711" i="7" s="1"/>
  <c r="I1526" i="7"/>
  <c r="O1526" i="7" s="1"/>
  <c r="I2604" i="7"/>
  <c r="O2604" i="7" s="1"/>
  <c r="I2547" i="7"/>
  <c r="O2547" i="7" s="1"/>
  <c r="I675" i="7"/>
  <c r="O675" i="7" s="1"/>
  <c r="I1118" i="7"/>
  <c r="O1118" i="7" s="1"/>
  <c r="I2211" i="7"/>
  <c r="O2211" i="7" s="1"/>
  <c r="I723" i="7"/>
  <c r="O723" i="7" s="1"/>
  <c r="I1766" i="7"/>
  <c r="O1766" i="7" s="1"/>
  <c r="I122" i="7"/>
  <c r="O122" i="7" s="1"/>
  <c r="I1191" i="7"/>
  <c r="O1191" i="7" s="1"/>
  <c r="I1778" i="7"/>
  <c r="O1778" i="7" s="1"/>
  <c r="I1788" i="7"/>
  <c r="O1788" i="7" s="1"/>
  <c r="I879" i="7"/>
  <c r="O879" i="7" s="1"/>
  <c r="I1214" i="7"/>
  <c r="O1214" i="7" s="1"/>
  <c r="I2196" i="7"/>
  <c r="O2196" i="7" s="1"/>
  <c r="I1851" i="7"/>
  <c r="O1851" i="7" s="1"/>
  <c r="I2438" i="7"/>
  <c r="O2438" i="7" s="1"/>
  <c r="I422" i="7"/>
  <c r="O422" i="7" s="1"/>
  <c r="I1752" i="7"/>
  <c r="O1752" i="7" s="1"/>
  <c r="I2437" i="7"/>
  <c r="O2437" i="7" s="1"/>
  <c r="I2149" i="7"/>
  <c r="O2149" i="7" s="1"/>
  <c r="I1861" i="7"/>
  <c r="O1861" i="7" s="1"/>
  <c r="I1573" i="7"/>
  <c r="O1573" i="7" s="1"/>
  <c r="I1285" i="7"/>
  <c r="O1285" i="7" s="1"/>
  <c r="I997" i="7"/>
  <c r="O997" i="7" s="1"/>
  <c r="I709" i="7"/>
  <c r="O709" i="7" s="1"/>
  <c r="I421" i="7"/>
  <c r="O421" i="7" s="1"/>
  <c r="I133" i="7"/>
  <c r="O133" i="7" s="1"/>
  <c r="I372" i="7"/>
  <c r="O372" i="7" s="1"/>
  <c r="I2447" i="7"/>
  <c r="O2447" i="7" s="1"/>
  <c r="I2159" i="7"/>
  <c r="O2159" i="7" s="1"/>
  <c r="I1871" i="7"/>
  <c r="O1871" i="7" s="1"/>
  <c r="I1583" i="7"/>
  <c r="O1583" i="7" s="1"/>
  <c r="I1295" i="7"/>
  <c r="O1295" i="7" s="1"/>
  <c r="I1019" i="7"/>
  <c r="O1019" i="7" s="1"/>
  <c r="I935" i="7"/>
  <c r="O935" i="7" s="1"/>
  <c r="I851" i="7"/>
  <c r="O851" i="7" s="1"/>
  <c r="I767" i="7"/>
  <c r="O767" i="7" s="1"/>
  <c r="I611" i="7"/>
  <c r="O611" i="7" s="1"/>
  <c r="I371" i="7"/>
  <c r="O371" i="7" s="1"/>
  <c r="I215" i="7"/>
  <c r="O215" i="7" s="1"/>
  <c r="I59" i="7"/>
  <c r="O59" i="7" s="1"/>
  <c r="I1476" i="7"/>
  <c r="O1476" i="7" s="1"/>
  <c r="I2028" i="7"/>
  <c r="O2028" i="7" s="1"/>
  <c r="I2521" i="7"/>
  <c r="O2521" i="7" s="1"/>
  <c r="I2233" i="7"/>
  <c r="O2233" i="7" s="1"/>
  <c r="I1945" i="7"/>
  <c r="O1945" i="7" s="1"/>
  <c r="I1657" i="7"/>
  <c r="O1657" i="7" s="1"/>
  <c r="I1369" i="7"/>
  <c r="O1369" i="7" s="1"/>
  <c r="I1081" i="7"/>
  <c r="O1081" i="7" s="1"/>
  <c r="I793" i="7"/>
  <c r="O793" i="7" s="1"/>
  <c r="I505" i="7"/>
  <c r="O505" i="7" s="1"/>
  <c r="I217" i="7"/>
  <c r="O217" i="7" s="1"/>
  <c r="I1068" i="7"/>
  <c r="O1068" i="7" s="1"/>
  <c r="I2531" i="7"/>
  <c r="O2531" i="7" s="1"/>
  <c r="I2243" i="7"/>
  <c r="O2243" i="7" s="1"/>
  <c r="I1955" i="7"/>
  <c r="O1955" i="7" s="1"/>
  <c r="I1667" i="7"/>
  <c r="O1667" i="7" s="1"/>
  <c r="I1379" i="7"/>
  <c r="O1379" i="7" s="1"/>
  <c r="I683" i="7"/>
  <c r="O683" i="7" s="1"/>
  <c r="I443" i="7"/>
  <c r="O443" i="7" s="1"/>
  <c r="I287" i="7"/>
  <c r="O287" i="7" s="1"/>
  <c r="I131" i="7"/>
  <c r="O131" i="7" s="1"/>
  <c r="I2319" i="7"/>
  <c r="O2319" i="7" s="1"/>
  <c r="I219" i="7"/>
  <c r="O219" i="7" s="1"/>
  <c r="I1022" i="7"/>
  <c r="O1022" i="7" s="1"/>
  <c r="I2079" i="7"/>
  <c r="O2079" i="7" s="1"/>
  <c r="I423" i="7"/>
  <c r="O423" i="7" s="1"/>
  <c r="I1478" i="7"/>
  <c r="O1478" i="7" s="1"/>
  <c r="I2064" i="7"/>
  <c r="O2064" i="7" s="1"/>
  <c r="I771" i="7"/>
  <c r="O771" i="7" s="1"/>
  <c r="I1730" i="7"/>
  <c r="O1730" i="7" s="1"/>
  <c r="I2568" i="7"/>
  <c r="O2568" i="7" s="1"/>
  <c r="I1539" i="7"/>
  <c r="O1539" i="7" s="1"/>
  <c r="I2234" i="7"/>
  <c r="O2234" i="7" s="1"/>
  <c r="I398" i="7"/>
  <c r="O398" i="7" s="1"/>
  <c r="I1992" i="7"/>
  <c r="O1992" i="7" s="1"/>
  <c r="I1383" i="7"/>
  <c r="O1383" i="7" s="1"/>
  <c r="I2006" i="7"/>
  <c r="O2006" i="7" s="1"/>
  <c r="I2100" i="7"/>
  <c r="O2100" i="7" s="1"/>
  <c r="I1299" i="7"/>
  <c r="O1299" i="7" s="1"/>
  <c r="I2402" i="7"/>
  <c r="O2402" i="7" s="1"/>
  <c r="I782" i="7"/>
  <c r="O782" i="7" s="1"/>
  <c r="I2115" i="7"/>
  <c r="O2115" i="7" s="1"/>
  <c r="I2606" i="7"/>
  <c r="O2606" i="7" s="1"/>
  <c r="I470" i="7"/>
  <c r="O470" i="7" s="1"/>
  <c r="I1671" i="7"/>
  <c r="O1671" i="7" s="1"/>
  <c r="I2054" i="7"/>
  <c r="O2054" i="7" s="1"/>
  <c r="I2580" i="7"/>
  <c r="O2580" i="7" s="1"/>
  <c r="I2511" i="7"/>
  <c r="O2511" i="7" s="1"/>
  <c r="I495" i="7"/>
  <c r="O495" i="7" s="1"/>
  <c r="I1274" i="7"/>
  <c r="O1274" i="7" s="1"/>
  <c r="I290" i="7"/>
  <c r="O290" i="7" s="1"/>
  <c r="I1728" i="7"/>
  <c r="O1728" i="7" s="1"/>
  <c r="I2425" i="7"/>
  <c r="O2425" i="7" s="1"/>
  <c r="I2137" i="7"/>
  <c r="O2137" i="7" s="1"/>
  <c r="I1849" i="7"/>
  <c r="O1849" i="7" s="1"/>
  <c r="I1561" i="7"/>
  <c r="O1561" i="7" s="1"/>
  <c r="I1273" i="7"/>
  <c r="O1273" i="7" s="1"/>
  <c r="I985" i="7"/>
  <c r="O985" i="7" s="1"/>
  <c r="I697" i="7"/>
  <c r="O697" i="7" s="1"/>
  <c r="I409" i="7"/>
  <c r="O409" i="7" s="1"/>
  <c r="I121" i="7"/>
  <c r="O121" i="7" s="1"/>
  <c r="I228" i="7"/>
  <c r="O228" i="7" s="1"/>
  <c r="I2435" i="7"/>
  <c r="O2435" i="7" s="1"/>
  <c r="I2147" i="7"/>
  <c r="O2147" i="7" s="1"/>
  <c r="I1859" i="7"/>
  <c r="O1859" i="7" s="1"/>
  <c r="I1571" i="7"/>
  <c r="O1571" i="7" s="1"/>
  <c r="I1283" i="7"/>
  <c r="O1283" i="7" s="1"/>
  <c r="I1091" i="7"/>
  <c r="O1091" i="7" s="1"/>
  <c r="I1007" i="7"/>
  <c r="O1007" i="7" s="1"/>
  <c r="I923" i="7"/>
  <c r="O923" i="7" s="1"/>
  <c r="I755" i="7"/>
  <c r="O755" i="7" s="1"/>
  <c r="I515" i="7"/>
  <c r="O515" i="7" s="1"/>
  <c r="I359" i="7"/>
  <c r="O359" i="7" s="1"/>
  <c r="I203" i="7"/>
  <c r="O203" i="7" s="1"/>
  <c r="I47" i="7"/>
  <c r="O47" i="7" s="1"/>
  <c r="I1404" i="7"/>
  <c r="O1404" i="7" s="1"/>
  <c r="I264" i="7"/>
  <c r="O264" i="7" s="1"/>
  <c r="I2662" i="7"/>
  <c r="O2662" i="7" s="1"/>
  <c r="I2590" i="7"/>
  <c r="O2590" i="7" s="1"/>
  <c r="I2518" i="7"/>
  <c r="O2518" i="7" s="1"/>
  <c r="I2446" i="7"/>
  <c r="O2446" i="7" s="1"/>
  <c r="I2374" i="7"/>
  <c r="O2374" i="7" s="1"/>
  <c r="I2302" i="7"/>
  <c r="O2302" i="7" s="1"/>
  <c r="I2230" i="7"/>
  <c r="O2230" i="7" s="1"/>
  <c r="I2158" i="7"/>
  <c r="O2158" i="7" s="1"/>
  <c r="I2086" i="7"/>
  <c r="O2086" i="7" s="1"/>
  <c r="I2014" i="7"/>
  <c r="O2014" i="7" s="1"/>
  <c r="I1942" i="7"/>
  <c r="O1942" i="7" s="1"/>
  <c r="I1870" i="7"/>
  <c r="O1870" i="7" s="1"/>
  <c r="I1798" i="7"/>
  <c r="O1798" i="7" s="1"/>
  <c r="I1726" i="7"/>
  <c r="O1726" i="7" s="1"/>
  <c r="I1654" i="7"/>
  <c r="O1654" i="7" s="1"/>
  <c r="I1582" i="7"/>
  <c r="O1582" i="7" s="1"/>
  <c r="I1510" i="7"/>
  <c r="O1510" i="7" s="1"/>
  <c r="I1438" i="7"/>
  <c r="O1438" i="7" s="1"/>
  <c r="I1366" i="7"/>
  <c r="O1366" i="7" s="1"/>
  <c r="I1294" i="7"/>
  <c r="O1294" i="7" s="1"/>
  <c r="I1222" i="7"/>
  <c r="O1222" i="7" s="1"/>
  <c r="I1150" i="7"/>
  <c r="O1150" i="7" s="1"/>
  <c r="I1078" i="7"/>
  <c r="O1078" i="7" s="1"/>
  <c r="I1006" i="7"/>
  <c r="O1006" i="7" s="1"/>
  <c r="I934" i="7"/>
  <c r="O934" i="7" s="1"/>
  <c r="I862" i="7"/>
  <c r="O862" i="7" s="1"/>
  <c r="I790" i="7"/>
  <c r="O790" i="7" s="1"/>
  <c r="I718" i="7"/>
  <c r="O718" i="7" s="1"/>
  <c r="I646" i="7"/>
  <c r="O646" i="7" s="1"/>
  <c r="I2004" i="7"/>
  <c r="O2004" i="7" s="1"/>
  <c r="I2509" i="7"/>
  <c r="O2509" i="7" s="1"/>
  <c r="I2221" i="7"/>
  <c r="O2221" i="7" s="1"/>
  <c r="I1933" i="7"/>
  <c r="O1933" i="7" s="1"/>
  <c r="I1645" i="7"/>
  <c r="O1645" i="7" s="1"/>
  <c r="I1357" i="7"/>
  <c r="O1357" i="7" s="1"/>
  <c r="I1069" i="7"/>
  <c r="O1069" i="7" s="1"/>
  <c r="I781" i="7"/>
  <c r="O781" i="7" s="1"/>
  <c r="I493" i="7"/>
  <c r="O493" i="7" s="1"/>
  <c r="I205" i="7"/>
  <c r="O205" i="7" s="1"/>
  <c r="I984" i="7"/>
  <c r="O984" i="7" s="1"/>
  <c r="I2519" i="7"/>
  <c r="O2519" i="7" s="1"/>
  <c r="I2231" i="7"/>
  <c r="O2231" i="7" s="1"/>
  <c r="I1943" i="7"/>
  <c r="O1943" i="7" s="1"/>
  <c r="I1655" i="7"/>
  <c r="O1655" i="7" s="1"/>
  <c r="I1367" i="7"/>
  <c r="O1367" i="7" s="1"/>
  <c r="I827" i="7"/>
  <c r="O827" i="7" s="1"/>
  <c r="I587" i="7"/>
  <c r="O587" i="7" s="1"/>
  <c r="I431" i="7"/>
  <c r="O431" i="7" s="1"/>
  <c r="I275" i="7"/>
  <c r="O275" i="7" s="1"/>
  <c r="I119" i="7"/>
  <c r="O119" i="7" s="1"/>
  <c r="I831" i="7"/>
  <c r="O831" i="7" s="1"/>
  <c r="I1646" i="7"/>
  <c r="O1646" i="7" s="1"/>
  <c r="I2124" i="7"/>
  <c r="O2124" i="7" s="1"/>
  <c r="I1071" i="7"/>
  <c r="O1071" i="7" s="1"/>
  <c r="I2078" i="7"/>
  <c r="O2078" i="7" s="1"/>
  <c r="I386" i="7"/>
  <c r="O386" i="7" s="1"/>
  <c r="I1515" i="7"/>
  <c r="O1515" i="7" s="1"/>
  <c r="I2522" i="7"/>
  <c r="O2522" i="7" s="1"/>
  <c r="I434" i="7"/>
  <c r="O434" i="7" s="1"/>
  <c r="I2163" i="7"/>
  <c r="O2163" i="7" s="1"/>
  <c r="I183" i="7"/>
  <c r="O183" i="7" s="1"/>
  <c r="I1034" i="7"/>
  <c r="O1034" i="7" s="1"/>
  <c r="I2316" i="7"/>
  <c r="O2316" i="7" s="1"/>
  <c r="I2019" i="7"/>
  <c r="O2019" i="7" s="1"/>
  <c r="I75" i="7"/>
  <c r="O75" i="7" s="1"/>
  <c r="I458" i="7"/>
  <c r="O458" i="7" s="1"/>
  <c r="I1779" i="7"/>
  <c r="O1779" i="7" s="1"/>
  <c r="I171" i="7"/>
  <c r="O171" i="7" s="1"/>
  <c r="I1310" i="7"/>
  <c r="O1310" i="7" s="1"/>
  <c r="I1692" i="7"/>
  <c r="O1692" i="7" s="1"/>
  <c r="I651" i="7"/>
  <c r="O651" i="7" s="1"/>
  <c r="I1154" i="7"/>
  <c r="O1154" i="7" s="1"/>
  <c r="I2379" i="7"/>
  <c r="O2379" i="7" s="1"/>
  <c r="I231" i="7"/>
  <c r="O231" i="7" s="1"/>
  <c r="I554" i="7"/>
  <c r="O554" i="7" s="1"/>
  <c r="I1884" i="7"/>
  <c r="O1884" i="7" s="1"/>
  <c r="I1215" i="7"/>
  <c r="O1215" i="7" s="1"/>
  <c r="I1850" i="7"/>
  <c r="O1850" i="7" s="1"/>
  <c r="I2268" i="7"/>
  <c r="O2268" i="7" s="1"/>
  <c r="I2581" i="7"/>
  <c r="O2581" i="7" s="1"/>
  <c r="I2293" i="7"/>
  <c r="O2293" i="7" s="1"/>
  <c r="I2005" i="7"/>
  <c r="O2005" i="7" s="1"/>
  <c r="I1717" i="7"/>
  <c r="O1717" i="7" s="1"/>
  <c r="I1429" i="7"/>
  <c r="O1429" i="7" s="1"/>
  <c r="I1141" i="7"/>
  <c r="O1141" i="7" s="1"/>
  <c r="I853" i="7"/>
  <c r="O853" i="7" s="1"/>
  <c r="I565" i="7"/>
  <c r="O565" i="7" s="1"/>
  <c r="I277" i="7"/>
  <c r="O277" i="7" s="1"/>
  <c r="I1548" i="7"/>
  <c r="O1548" i="7" s="1"/>
  <c r="I2591" i="7"/>
  <c r="O2591" i="7" s="1"/>
  <c r="I2303" i="7"/>
  <c r="O2303" i="7" s="1"/>
  <c r="I2015" i="7"/>
  <c r="O2015" i="7" s="1"/>
  <c r="I1727" i="7"/>
  <c r="O1727" i="7" s="1"/>
  <c r="I1439" i="7"/>
  <c r="O1439" i="7" s="1"/>
  <c r="I1151" i="7"/>
  <c r="O1151" i="7" s="1"/>
  <c r="I1067" i="7"/>
  <c r="O1067" i="7" s="1"/>
  <c r="I803" i="7"/>
  <c r="O803" i="7" s="1"/>
  <c r="I647" i="7"/>
  <c r="O647" i="7" s="1"/>
  <c r="I491" i="7"/>
  <c r="O491" i="7" s="1"/>
  <c r="I335" i="7"/>
  <c r="O335" i="7" s="1"/>
  <c r="I179" i="7"/>
  <c r="O179" i="7" s="1"/>
  <c r="I23" i="7"/>
  <c r="O23" i="7" s="1"/>
  <c r="I1188" i="7"/>
  <c r="O1188" i="7" s="1"/>
  <c r="I60" i="7"/>
  <c r="O60" i="7" s="1"/>
  <c r="I2638" i="7"/>
  <c r="O2638" i="7" s="1"/>
  <c r="I2566" i="7"/>
  <c r="O2566" i="7" s="1"/>
  <c r="I2494" i="7"/>
  <c r="O2494" i="7" s="1"/>
  <c r="I2422" i="7"/>
  <c r="O2422" i="7" s="1"/>
  <c r="I2350" i="7"/>
  <c r="O2350" i="7" s="1"/>
  <c r="I2278" i="7"/>
  <c r="O2278" i="7" s="1"/>
  <c r="I2206" i="7"/>
  <c r="O2206" i="7" s="1"/>
  <c r="I2134" i="7"/>
  <c r="O2134" i="7" s="1"/>
  <c r="I2062" i="7"/>
  <c r="O2062" i="7" s="1"/>
  <c r="I1990" i="7"/>
  <c r="O1990" i="7" s="1"/>
  <c r="I1918" i="7"/>
  <c r="O1918" i="7" s="1"/>
  <c r="I1846" i="7"/>
  <c r="O1846" i="7" s="1"/>
  <c r="I1774" i="7"/>
  <c r="O1774" i="7" s="1"/>
  <c r="I1702" i="7"/>
  <c r="O1702" i="7" s="1"/>
  <c r="I1630" i="7"/>
  <c r="O1630" i="7" s="1"/>
  <c r="I1558" i="7"/>
  <c r="O1558" i="7" s="1"/>
  <c r="I1486" i="7"/>
  <c r="O1486" i="7" s="1"/>
  <c r="I1414" i="7"/>
  <c r="O1414" i="7" s="1"/>
  <c r="I1342" i="7"/>
  <c r="O1342" i="7" s="1"/>
  <c r="I1270" i="7"/>
  <c r="O1270" i="7" s="1"/>
  <c r="I2616" i="7"/>
  <c r="O2616" i="7" s="1"/>
  <c r="I2653" i="7"/>
  <c r="O2653" i="7" s="1"/>
  <c r="I2365" i="7"/>
  <c r="O2365" i="7" s="1"/>
  <c r="I2077" i="7"/>
  <c r="O2077" i="7" s="1"/>
  <c r="I1789" i="7"/>
  <c r="O1789" i="7" s="1"/>
  <c r="I1501" i="7"/>
  <c r="O1501" i="7" s="1"/>
  <c r="I1213" i="7"/>
  <c r="O1213" i="7" s="1"/>
  <c r="I925" i="7"/>
  <c r="O925" i="7" s="1"/>
  <c r="I637" i="7"/>
  <c r="O637" i="7" s="1"/>
  <c r="I349" i="7"/>
  <c r="O349" i="7" s="1"/>
  <c r="I61" i="7"/>
  <c r="O61" i="7" s="1"/>
  <c r="I2663" i="7"/>
  <c r="O2663" i="7" s="1"/>
  <c r="I2375" i="7"/>
  <c r="O2375" i="7" s="1"/>
  <c r="I2087" i="7"/>
  <c r="O2087" i="7" s="1"/>
  <c r="I1799" i="7"/>
  <c r="O1799" i="7" s="1"/>
  <c r="I1511" i="7"/>
  <c r="O1511" i="7" s="1"/>
  <c r="I1223" i="7"/>
  <c r="O1223" i="7" s="1"/>
  <c r="I1043" i="7"/>
  <c r="O1043" i="7" s="1"/>
  <c r="I707" i="7"/>
  <c r="O707" i="7" s="1"/>
  <c r="I551" i="7"/>
  <c r="O551" i="7" s="1"/>
  <c r="I395" i="7"/>
  <c r="O395" i="7" s="1"/>
  <c r="I155" i="7"/>
  <c r="O155" i="7" s="1"/>
  <c r="I2593" i="7"/>
  <c r="O2593" i="7" s="1"/>
  <c r="I1729" i="7"/>
  <c r="O1729" i="7" s="1"/>
  <c r="I865" i="7"/>
  <c r="O865" i="7" s="1"/>
  <c r="I1632" i="7"/>
  <c r="O1632" i="7" s="1"/>
  <c r="I2027" i="7"/>
  <c r="O2027" i="7" s="1"/>
  <c r="I1163" i="7"/>
  <c r="O1163" i="7" s="1"/>
  <c r="I479" i="7"/>
  <c r="O479" i="7" s="1"/>
  <c r="I874" i="7"/>
  <c r="O874" i="7" s="1"/>
  <c r="I538" i="7"/>
  <c r="O538" i="7" s="1"/>
  <c r="I159" i="7"/>
  <c r="O159" i="7" s="1"/>
  <c r="I243" i="7"/>
  <c r="O243" i="7" s="1"/>
  <c r="I663" i="7"/>
  <c r="O663" i="7" s="1"/>
  <c r="I1431" i="7"/>
  <c r="O1431" i="7" s="1"/>
  <c r="I1944" i="7"/>
  <c r="O1944" i="7" s="1"/>
  <c r="I1896" i="7"/>
  <c r="O1896" i="7" s="1"/>
  <c r="I722" i="7"/>
  <c r="O722" i="7" s="1"/>
  <c r="I362" i="7"/>
  <c r="O362" i="7" s="1"/>
  <c r="I2508" i="7"/>
  <c r="O2508" i="7" s="1"/>
  <c r="I1178" i="7"/>
  <c r="O1178" i="7" s="1"/>
  <c r="I2640" i="7"/>
  <c r="O2640" i="7" s="1"/>
  <c r="I2089" i="7"/>
  <c r="O2089" i="7" s="1"/>
  <c r="I1225" i="7"/>
  <c r="O1225" i="7" s="1"/>
  <c r="I361" i="7"/>
  <c r="O361" i="7" s="1"/>
  <c r="I2387" i="7"/>
  <c r="O2387" i="7" s="1"/>
  <c r="I1523" i="7"/>
  <c r="O1523" i="7" s="1"/>
  <c r="I575" i="7"/>
  <c r="O575" i="7" s="1"/>
  <c r="I251" i="7"/>
  <c r="O251" i="7" s="1"/>
  <c r="I756" i="7"/>
  <c r="O756" i="7" s="1"/>
  <c r="I2650" i="7"/>
  <c r="O2650" i="7" s="1"/>
  <c r="I2554" i="7"/>
  <c r="O2554" i="7" s="1"/>
  <c r="I2458" i="7"/>
  <c r="O2458" i="7" s="1"/>
  <c r="I2362" i="7"/>
  <c r="O2362" i="7" s="1"/>
  <c r="I2266" i="7"/>
  <c r="O2266" i="7" s="1"/>
  <c r="I2170" i="7"/>
  <c r="O2170" i="7" s="1"/>
  <c r="I2074" i="7"/>
  <c r="O2074" i="7" s="1"/>
  <c r="I1978" i="7"/>
  <c r="O1978" i="7" s="1"/>
  <c r="I1882" i="7"/>
  <c r="O1882" i="7" s="1"/>
  <c r="I1786" i="7"/>
  <c r="O1786" i="7" s="1"/>
  <c r="I1690" i="7"/>
  <c r="O1690" i="7" s="1"/>
  <c r="I1594" i="7"/>
  <c r="O1594" i="7" s="1"/>
  <c r="I1498" i="7"/>
  <c r="O1498" i="7" s="1"/>
  <c r="I1402" i="7"/>
  <c r="O1402" i="7" s="1"/>
  <c r="I1306" i="7"/>
  <c r="O1306" i="7" s="1"/>
  <c r="I1210" i="7"/>
  <c r="O1210" i="7" s="1"/>
  <c r="I1126" i="7"/>
  <c r="O1126" i="7" s="1"/>
  <c r="I1042" i="7"/>
  <c r="O1042" i="7" s="1"/>
  <c r="I778" i="7"/>
  <c r="O778" i="7" s="1"/>
  <c r="I694" i="7"/>
  <c r="O694" i="7" s="1"/>
  <c r="I610" i="7"/>
  <c r="O610" i="7" s="1"/>
  <c r="I454" i="7"/>
  <c r="O454" i="7" s="1"/>
  <c r="I382" i="7"/>
  <c r="O382" i="7" s="1"/>
  <c r="I310" i="7"/>
  <c r="O310" i="7" s="1"/>
  <c r="I238" i="7"/>
  <c r="O238" i="7" s="1"/>
  <c r="I166" i="7"/>
  <c r="O166" i="7" s="1"/>
  <c r="I94" i="7"/>
  <c r="O94" i="7" s="1"/>
  <c r="I22" i="7"/>
  <c r="O22" i="7" s="1"/>
  <c r="I1224" i="7"/>
  <c r="O1224" i="7" s="1"/>
  <c r="I708" i="7"/>
  <c r="O708" i="7" s="1"/>
  <c r="I240" i="7"/>
  <c r="O240" i="7" s="1"/>
  <c r="I2397" i="7"/>
  <c r="O2397" i="7" s="1"/>
  <c r="I2289" i="7"/>
  <c r="O2289" i="7" s="1"/>
  <c r="I2217" i="7"/>
  <c r="O2217" i="7" s="1"/>
  <c r="I2109" i="7"/>
  <c r="O2109" i="7" s="1"/>
  <c r="I2037" i="7"/>
  <c r="O2037" i="7" s="1"/>
  <c r="I1965" i="7"/>
  <c r="O1965" i="7" s="1"/>
  <c r="I1893" i="7"/>
  <c r="O1893" i="7" s="1"/>
  <c r="I1821" i="7"/>
  <c r="O1821" i="7" s="1"/>
  <c r="I1749" i="7"/>
  <c r="O1749" i="7" s="1"/>
  <c r="I1677" i="7"/>
  <c r="O1677" i="7" s="1"/>
  <c r="I1605" i="7"/>
  <c r="O1605" i="7" s="1"/>
  <c r="I1533" i="7"/>
  <c r="O1533" i="7" s="1"/>
  <c r="I1461" i="7"/>
  <c r="O1461" i="7" s="1"/>
  <c r="I1389" i="7"/>
  <c r="O1389" i="7" s="1"/>
  <c r="I1317" i="7"/>
  <c r="O1317" i="7" s="1"/>
  <c r="I1245" i="7"/>
  <c r="O1245" i="7" s="1"/>
  <c r="I1173" i="7"/>
  <c r="O1173" i="7" s="1"/>
  <c r="I1101" i="7"/>
  <c r="O1101" i="7" s="1"/>
  <c r="I1029" i="7"/>
  <c r="O1029" i="7" s="1"/>
  <c r="I957" i="7"/>
  <c r="O957" i="7" s="1"/>
  <c r="I885" i="7"/>
  <c r="O885" i="7" s="1"/>
  <c r="I813" i="7"/>
  <c r="O813" i="7" s="1"/>
  <c r="I741" i="7"/>
  <c r="O741" i="7" s="1"/>
  <c r="I669" i="7"/>
  <c r="O669" i="7" s="1"/>
  <c r="I597" i="7"/>
  <c r="O597" i="7" s="1"/>
  <c r="I525" i="7"/>
  <c r="O525" i="7" s="1"/>
  <c r="I453" i="7"/>
  <c r="O453" i="7" s="1"/>
  <c r="I381" i="7"/>
  <c r="O381" i="7" s="1"/>
  <c r="I309" i="7"/>
  <c r="O309" i="7" s="1"/>
  <c r="I237" i="7"/>
  <c r="O237" i="7" s="1"/>
  <c r="I165" i="7"/>
  <c r="O165" i="7" s="1"/>
  <c r="I93" i="7"/>
  <c r="O93" i="7" s="1"/>
  <c r="I21" i="7"/>
  <c r="O21" i="7" s="1"/>
  <c r="I1200" i="7"/>
  <c r="O1200" i="7" s="1"/>
  <c r="I600" i="7"/>
  <c r="O600" i="7" s="1"/>
  <c r="I84" i="7"/>
  <c r="O84" i="7" s="1"/>
  <c r="I2517" i="7"/>
  <c r="O2517" i="7" s="1"/>
  <c r="I2696" i="7"/>
  <c r="O2696" i="7" s="1"/>
  <c r="I2624" i="7"/>
  <c r="O2624" i="7" s="1"/>
  <c r="I2552" i="7"/>
  <c r="O2552" i="7" s="1"/>
  <c r="I2480" i="7"/>
  <c r="O2480" i="7" s="1"/>
  <c r="I2408" i="7"/>
  <c r="O2408" i="7" s="1"/>
  <c r="I2336" i="7"/>
  <c r="O2336" i="7" s="1"/>
  <c r="I2264" i="7"/>
  <c r="O2264" i="7" s="1"/>
  <c r="I2192" i="7"/>
  <c r="O2192" i="7" s="1"/>
  <c r="I2120" i="7"/>
  <c r="O2120" i="7" s="1"/>
  <c r="I2048" i="7"/>
  <c r="O2048" i="7" s="1"/>
  <c r="I1976" i="7"/>
  <c r="O1976" i="7" s="1"/>
  <c r="I1904" i="7"/>
  <c r="O1904" i="7" s="1"/>
  <c r="I1832" i="7"/>
  <c r="O1832" i="7" s="1"/>
  <c r="I1760" i="7"/>
  <c r="O1760" i="7" s="1"/>
  <c r="I1688" i="7"/>
  <c r="O1688" i="7" s="1"/>
  <c r="I1616" i="7"/>
  <c r="O1616" i="7" s="1"/>
  <c r="I1544" i="7"/>
  <c r="O1544" i="7" s="1"/>
  <c r="I1472" i="7"/>
  <c r="O1472" i="7" s="1"/>
  <c r="I1400" i="7"/>
  <c r="O1400" i="7" s="1"/>
  <c r="I1328" i="7"/>
  <c r="O1328" i="7" s="1"/>
  <c r="I1256" i="7"/>
  <c r="O1256" i="7" s="1"/>
  <c r="I1184" i="7"/>
  <c r="O1184" i="7" s="1"/>
  <c r="I1112" i="7"/>
  <c r="O1112" i="7" s="1"/>
  <c r="I1040" i="7"/>
  <c r="O1040" i="7" s="1"/>
  <c r="I968" i="7"/>
  <c r="O968" i="7" s="1"/>
  <c r="I896" i="7"/>
  <c r="O896" i="7" s="1"/>
  <c r="I824" i="7"/>
  <c r="O824" i="7" s="1"/>
  <c r="I752" i="7"/>
  <c r="O752" i="7" s="1"/>
  <c r="I680" i="7"/>
  <c r="O680" i="7" s="1"/>
  <c r="I608" i="7"/>
  <c r="O608" i="7" s="1"/>
  <c r="I536" i="7"/>
  <c r="O536" i="7" s="1"/>
  <c r="I464" i="7"/>
  <c r="O464" i="7" s="1"/>
  <c r="I392" i="7"/>
  <c r="O392" i="7" s="1"/>
  <c r="I320" i="7"/>
  <c r="O320" i="7" s="1"/>
  <c r="I248" i="7"/>
  <c r="O248" i="7" s="1"/>
  <c r="I176" i="7"/>
  <c r="O176" i="7" s="1"/>
  <c r="I104" i="7"/>
  <c r="O104" i="7" s="1"/>
  <c r="I32" i="7"/>
  <c r="O32" i="7" s="1"/>
  <c r="I1320" i="7"/>
  <c r="O1320" i="7" s="1"/>
  <c r="I768" i="7"/>
  <c r="O768" i="7" s="1"/>
  <c r="I300" i="7"/>
  <c r="O300" i="7" s="1"/>
  <c r="I2565" i="7"/>
  <c r="O2565" i="7" s="1"/>
  <c r="I2695" i="7"/>
  <c r="O2695" i="7" s="1"/>
  <c r="I2623" i="7"/>
  <c r="O2623" i="7" s="1"/>
  <c r="I2551" i="7"/>
  <c r="O2551" i="7" s="1"/>
  <c r="I2479" i="7"/>
  <c r="O2479" i="7" s="1"/>
  <c r="I2407" i="7"/>
  <c r="O2407" i="7" s="1"/>
  <c r="I2335" i="7"/>
  <c r="O2335" i="7" s="1"/>
  <c r="I2263" i="7"/>
  <c r="O2263" i="7" s="1"/>
  <c r="I2191" i="7"/>
  <c r="O2191" i="7" s="1"/>
  <c r="I2119" i="7"/>
  <c r="O2119" i="7" s="1"/>
  <c r="I2047" i="7"/>
  <c r="O2047" i="7" s="1"/>
  <c r="I1538" i="7"/>
  <c r="O1538" i="7" s="1"/>
  <c r="I1982" i="7"/>
  <c r="O1982" i="7" s="1"/>
  <c r="I2378" i="7"/>
  <c r="O2378" i="7" s="1"/>
  <c r="I87" i="7"/>
  <c r="O87" i="7" s="1"/>
  <c r="I1935" i="7"/>
  <c r="O1935" i="7" s="1"/>
  <c r="I1683" i="7"/>
  <c r="O1683" i="7" s="1"/>
  <c r="I2703" i="7"/>
  <c r="O2703" i="7" s="1"/>
  <c r="I2259" i="7"/>
  <c r="O2259" i="7" s="1"/>
  <c r="I1836" i="7"/>
  <c r="O1836" i="7" s="1"/>
  <c r="I2209" i="7"/>
  <c r="O2209" i="7" s="1"/>
  <c r="I1345" i="7"/>
  <c r="O1345" i="7" s="1"/>
  <c r="I481" i="7"/>
  <c r="O481" i="7" s="1"/>
  <c r="I2507" i="7"/>
  <c r="O2507" i="7" s="1"/>
  <c r="I1643" i="7"/>
  <c r="O1643" i="7" s="1"/>
  <c r="I791" i="7"/>
  <c r="O791" i="7" s="1"/>
  <c r="I347" i="7"/>
  <c r="O347" i="7" s="1"/>
  <c r="I11" i="7"/>
  <c r="O11" i="7" s="1"/>
  <c r="I946" i="7"/>
  <c r="O946" i="7" s="1"/>
  <c r="I2569" i="7"/>
  <c r="O2569" i="7" s="1"/>
  <c r="I1705" i="7"/>
  <c r="O1705" i="7" s="1"/>
  <c r="I841" i="7"/>
  <c r="O841" i="7" s="1"/>
  <c r="I1440" i="7"/>
  <c r="O1440" i="7" s="1"/>
  <c r="I2003" i="7"/>
  <c r="O2003" i="7" s="1"/>
  <c r="I1139" i="7"/>
  <c r="O1139" i="7" s="1"/>
  <c r="I899" i="7"/>
  <c r="O899" i="7" s="1"/>
  <c r="I563" i="7"/>
  <c r="O563" i="7" s="1"/>
  <c r="I107" i="7"/>
  <c r="O107" i="7" s="1"/>
  <c r="I1198" i="7"/>
  <c r="O1198" i="7" s="1"/>
  <c r="I1114" i="7"/>
  <c r="O1114" i="7" s="1"/>
  <c r="I850" i="7"/>
  <c r="O850" i="7" s="1"/>
  <c r="I766" i="7"/>
  <c r="O766" i="7" s="1"/>
  <c r="I682" i="7"/>
  <c r="O682" i="7" s="1"/>
  <c r="I514" i="7"/>
  <c r="O514" i="7" s="1"/>
  <c r="I442" i="7"/>
  <c r="O442" i="7" s="1"/>
  <c r="I370" i="7"/>
  <c r="O370" i="7" s="1"/>
  <c r="I298" i="7"/>
  <c r="O298" i="7" s="1"/>
  <c r="I226" i="7"/>
  <c r="O226" i="7" s="1"/>
  <c r="I154" i="7"/>
  <c r="O154" i="7" s="1"/>
  <c r="I82" i="7"/>
  <c r="O82" i="7" s="1"/>
  <c r="I10" i="7"/>
  <c r="O10" i="7" s="1"/>
  <c r="I1128" i="7"/>
  <c r="O1128" i="7" s="1"/>
  <c r="I636" i="7"/>
  <c r="O636" i="7" s="1"/>
  <c r="I144" i="7"/>
  <c r="O144" i="7" s="1"/>
  <c r="I2361" i="7"/>
  <c r="O2361" i="7" s="1"/>
  <c r="I2277" i="7"/>
  <c r="O2277" i="7" s="1"/>
  <c r="I2205" i="7"/>
  <c r="O2205" i="7" s="1"/>
  <c r="I2097" i="7"/>
  <c r="O2097" i="7" s="1"/>
  <c r="I2025" i="7"/>
  <c r="O2025" i="7" s="1"/>
  <c r="I1953" i="7"/>
  <c r="O1953" i="7" s="1"/>
  <c r="I1881" i="7"/>
  <c r="O1881" i="7" s="1"/>
  <c r="I1809" i="7"/>
  <c r="O1809" i="7" s="1"/>
  <c r="I1737" i="7"/>
  <c r="O1737" i="7" s="1"/>
  <c r="I1665" i="7"/>
  <c r="O1665" i="7" s="1"/>
  <c r="I1593" i="7"/>
  <c r="O1593" i="7" s="1"/>
  <c r="I1521" i="7"/>
  <c r="O1521" i="7" s="1"/>
  <c r="I1449" i="7"/>
  <c r="O1449" i="7" s="1"/>
  <c r="I1377" i="7"/>
  <c r="O1377" i="7" s="1"/>
  <c r="I1305" i="7"/>
  <c r="O1305" i="7" s="1"/>
  <c r="I1233" i="7"/>
  <c r="O1233" i="7" s="1"/>
  <c r="I1161" i="7"/>
  <c r="O1161" i="7" s="1"/>
  <c r="I1089" i="7"/>
  <c r="O1089" i="7" s="1"/>
  <c r="I1017" i="7"/>
  <c r="O1017" i="7" s="1"/>
  <c r="I945" i="7"/>
  <c r="O945" i="7" s="1"/>
  <c r="I873" i="7"/>
  <c r="O873" i="7" s="1"/>
  <c r="I801" i="7"/>
  <c r="O801" i="7" s="1"/>
  <c r="I729" i="7"/>
  <c r="O729" i="7" s="1"/>
  <c r="I657" i="7"/>
  <c r="O657" i="7" s="1"/>
  <c r="I585" i="7"/>
  <c r="O585" i="7" s="1"/>
  <c r="I513" i="7"/>
  <c r="O513" i="7" s="1"/>
  <c r="I441" i="7"/>
  <c r="O441" i="7" s="1"/>
  <c r="I369" i="7"/>
  <c r="O369" i="7" s="1"/>
  <c r="I297" i="7"/>
  <c r="O297" i="7" s="1"/>
  <c r="I225" i="7"/>
  <c r="O225" i="7" s="1"/>
  <c r="I153" i="7"/>
  <c r="O153" i="7" s="1"/>
  <c r="I81" i="7"/>
  <c r="O81" i="7" s="1"/>
  <c r="I9" i="7"/>
  <c r="O9" i="7" s="1"/>
  <c r="I1104" i="7"/>
  <c r="O1104" i="7" s="1"/>
  <c r="I516" i="7"/>
  <c r="O516" i="7" s="1"/>
  <c r="I2697" i="7"/>
  <c r="O2697" i="7" s="1"/>
  <c r="I2481" i="7"/>
  <c r="O2481" i="7" s="1"/>
  <c r="I2684" i="7"/>
  <c r="O2684" i="7" s="1"/>
  <c r="I2612" i="7"/>
  <c r="O2612" i="7" s="1"/>
  <c r="I2540" i="7"/>
  <c r="O2540" i="7" s="1"/>
  <c r="I2468" i="7"/>
  <c r="O2468" i="7" s="1"/>
  <c r="I2396" i="7"/>
  <c r="O2396" i="7" s="1"/>
  <c r="I2324" i="7"/>
  <c r="O2324" i="7" s="1"/>
  <c r="I2252" i="7"/>
  <c r="O2252" i="7" s="1"/>
  <c r="I2180" i="7"/>
  <c r="O2180" i="7" s="1"/>
  <c r="I2108" i="7"/>
  <c r="O2108" i="7" s="1"/>
  <c r="I2036" i="7"/>
  <c r="O2036" i="7" s="1"/>
  <c r="I1964" i="7"/>
  <c r="O1964" i="7" s="1"/>
  <c r="I1892" i="7"/>
  <c r="O1892" i="7" s="1"/>
  <c r="I1820" i="7"/>
  <c r="O1820" i="7" s="1"/>
  <c r="I1748" i="7"/>
  <c r="O1748" i="7" s="1"/>
  <c r="I1676" i="7"/>
  <c r="O1676" i="7" s="1"/>
  <c r="I1604" i="7"/>
  <c r="O1604" i="7" s="1"/>
  <c r="I1532" i="7"/>
  <c r="O1532" i="7" s="1"/>
  <c r="I1460" i="7"/>
  <c r="O1460" i="7" s="1"/>
  <c r="I1388" i="7"/>
  <c r="O1388" i="7" s="1"/>
  <c r="I1316" i="7"/>
  <c r="O1316" i="7" s="1"/>
  <c r="I1244" i="7"/>
  <c r="O1244" i="7" s="1"/>
  <c r="I1172" i="7"/>
  <c r="O1172" i="7" s="1"/>
  <c r="I1100" i="7"/>
  <c r="O1100" i="7" s="1"/>
  <c r="I1028" i="7"/>
  <c r="O1028" i="7" s="1"/>
  <c r="I956" i="7"/>
  <c r="O956" i="7" s="1"/>
  <c r="I884" i="7"/>
  <c r="O884" i="7" s="1"/>
  <c r="I812" i="7"/>
  <c r="O812" i="7" s="1"/>
  <c r="I740" i="7"/>
  <c r="O740" i="7" s="1"/>
  <c r="I668" i="7"/>
  <c r="O668" i="7" s="1"/>
  <c r="I596" i="7"/>
  <c r="O596" i="7" s="1"/>
  <c r="I524" i="7"/>
  <c r="O524" i="7" s="1"/>
  <c r="I452" i="7"/>
  <c r="O452" i="7" s="1"/>
  <c r="I380" i="7"/>
  <c r="O380" i="7" s="1"/>
  <c r="I308" i="7"/>
  <c r="O308" i="7" s="1"/>
  <c r="I236" i="7"/>
  <c r="O236" i="7" s="1"/>
  <c r="I164" i="7"/>
  <c r="O164" i="7" s="1"/>
  <c r="I92" i="7"/>
  <c r="O92" i="7" s="1"/>
  <c r="I20" i="7"/>
  <c r="O20" i="7" s="1"/>
  <c r="I1176" i="7"/>
  <c r="O1176" i="7" s="1"/>
  <c r="I672" i="7"/>
  <c r="O672" i="7" s="1"/>
  <c r="I204" i="7"/>
  <c r="O204" i="7" s="1"/>
  <c r="I2505" i="7"/>
  <c r="O2505" i="7" s="1"/>
  <c r="I2683" i="7"/>
  <c r="O2683" i="7" s="1"/>
  <c r="I2611" i="7"/>
  <c r="O2611" i="7" s="1"/>
  <c r="I2539" i="7"/>
  <c r="O2539" i="7" s="1"/>
  <c r="I2467" i="7"/>
  <c r="O2467" i="7" s="1"/>
  <c r="I2395" i="7"/>
  <c r="O2395" i="7" s="1"/>
  <c r="I2323" i="7"/>
  <c r="O2323" i="7" s="1"/>
  <c r="I2251" i="7"/>
  <c r="O2251" i="7" s="1"/>
  <c r="I2179" i="7"/>
  <c r="O2179" i="7" s="1"/>
  <c r="I2107" i="7"/>
  <c r="O2107" i="7" s="1"/>
  <c r="I2035" i="7"/>
  <c r="O2035" i="7" s="1"/>
  <c r="I1963" i="7"/>
  <c r="O1963" i="7" s="1"/>
  <c r="I1891" i="7"/>
  <c r="O1891" i="7" s="1"/>
  <c r="I1819" i="7"/>
  <c r="O1819" i="7" s="1"/>
  <c r="I1747" i="7"/>
  <c r="O1747" i="7" s="1"/>
  <c r="I1675" i="7"/>
  <c r="O1675" i="7" s="1"/>
  <c r="I1603" i="7"/>
  <c r="O1603" i="7" s="1"/>
  <c r="I1531" i="7"/>
  <c r="O1531" i="7" s="1"/>
  <c r="I1459" i="7"/>
  <c r="O1459" i="7" s="1"/>
  <c r="I1387" i="7"/>
  <c r="O1387" i="7" s="1"/>
  <c r="I1315" i="7"/>
  <c r="O1315" i="7" s="1"/>
  <c r="I1243" i="7"/>
  <c r="O1243" i="7" s="1"/>
  <c r="I1171" i="7"/>
  <c r="O1171" i="7" s="1"/>
  <c r="I1099" i="7"/>
  <c r="O1099" i="7" s="1"/>
  <c r="I1027" i="7"/>
  <c r="O1027" i="7" s="1"/>
  <c r="I955" i="7"/>
  <c r="O955" i="7" s="1"/>
  <c r="I883" i="7"/>
  <c r="O883" i="7" s="1"/>
  <c r="I811" i="7"/>
  <c r="O811" i="7" s="1"/>
  <c r="I739" i="7"/>
  <c r="O739" i="7" s="1"/>
  <c r="I667" i="7"/>
  <c r="O667" i="7" s="1"/>
  <c r="I595" i="7"/>
  <c r="O595" i="7" s="1"/>
  <c r="I523" i="7"/>
  <c r="O523" i="7" s="1"/>
  <c r="I451" i="7"/>
  <c r="O451" i="7" s="1"/>
  <c r="I379" i="7"/>
  <c r="O379" i="7" s="1"/>
  <c r="I307" i="7"/>
  <c r="O307" i="7" s="1"/>
  <c r="I235" i="7"/>
  <c r="O235" i="7" s="1"/>
  <c r="I163" i="7"/>
  <c r="O163" i="7" s="1"/>
  <c r="I91" i="7"/>
  <c r="O91" i="7" s="1"/>
  <c r="I19" i="7"/>
  <c r="O19" i="7" s="1"/>
  <c r="I1248" i="7"/>
  <c r="O1248" i="7" s="1"/>
  <c r="I648" i="7"/>
  <c r="O648" i="7" s="1"/>
  <c r="I192" i="7"/>
  <c r="O192" i="7" s="1"/>
  <c r="I2577" i="7"/>
  <c r="O2577" i="7" s="1"/>
  <c r="I2706" i="7"/>
  <c r="O2706" i="7" s="1"/>
  <c r="I2634" i="7"/>
  <c r="O2634" i="7" s="1"/>
  <c r="I2562" i="7"/>
  <c r="O2562" i="7" s="1"/>
  <c r="I2490" i="7"/>
  <c r="O2490" i="7" s="1"/>
  <c r="I2418" i="7"/>
  <c r="O2418" i="7" s="1"/>
  <c r="I2346" i="7"/>
  <c r="O2346" i="7" s="1"/>
  <c r="I2274" i="7"/>
  <c r="O2274" i="7" s="1"/>
  <c r="I2202" i="7"/>
  <c r="O2202" i="7" s="1"/>
  <c r="I2130" i="7"/>
  <c r="O2130" i="7" s="1"/>
  <c r="I2058" i="7"/>
  <c r="O2058" i="7" s="1"/>
  <c r="I1986" i="7"/>
  <c r="O1986" i="7" s="1"/>
  <c r="I1914" i="7"/>
  <c r="O1914" i="7" s="1"/>
  <c r="I1842" i="7"/>
  <c r="O1842" i="7" s="1"/>
  <c r="I1770" i="7"/>
  <c r="O1770" i="7" s="1"/>
  <c r="I1698" i="7"/>
  <c r="O1698" i="7" s="1"/>
  <c r="I1626" i="7"/>
  <c r="O1626" i="7" s="1"/>
  <c r="I1554" i="7"/>
  <c r="O1554" i="7" s="1"/>
  <c r="I1482" i="7"/>
  <c r="O1482" i="7" s="1"/>
  <c r="I1410" i="7"/>
  <c r="O1410" i="7" s="1"/>
  <c r="I1338" i="7"/>
  <c r="O1338" i="7" s="1"/>
  <c r="I1266" i="7"/>
  <c r="O1266" i="7" s="1"/>
  <c r="I1194" i="7"/>
  <c r="O1194" i="7" s="1"/>
  <c r="I1122" i="7"/>
  <c r="O1122" i="7" s="1"/>
  <c r="I1050" i="7"/>
  <c r="O1050" i="7" s="1"/>
  <c r="I2305" i="7"/>
  <c r="O2305" i="7" s="1"/>
  <c r="I1441" i="7"/>
  <c r="O1441" i="7" s="1"/>
  <c r="I577" i="7"/>
  <c r="O577" i="7" s="1"/>
  <c r="I2603" i="7"/>
  <c r="O2603" i="7" s="1"/>
  <c r="I1739" i="7"/>
  <c r="O1739" i="7" s="1"/>
  <c r="I659" i="7"/>
  <c r="O659" i="7" s="1"/>
  <c r="I168" i="7"/>
  <c r="O168" i="7" s="1"/>
  <c r="I2626" i="7"/>
  <c r="O2626" i="7" s="1"/>
  <c r="I2530" i="7"/>
  <c r="O2530" i="7" s="1"/>
  <c r="I2434" i="7"/>
  <c r="O2434" i="7" s="1"/>
  <c r="I2338" i="7"/>
  <c r="O2338" i="7" s="1"/>
  <c r="I2242" i="7"/>
  <c r="O2242" i="7" s="1"/>
  <c r="I2146" i="7"/>
  <c r="O2146" i="7" s="1"/>
  <c r="I2050" i="7"/>
  <c r="O2050" i="7" s="1"/>
  <c r="I1954" i="7"/>
  <c r="O1954" i="7" s="1"/>
  <c r="I1858" i="7"/>
  <c r="O1858" i="7" s="1"/>
  <c r="I1762" i="7"/>
  <c r="O1762" i="7" s="1"/>
  <c r="I1666" i="7"/>
  <c r="O1666" i="7" s="1"/>
  <c r="I1570" i="7"/>
  <c r="O1570" i="7" s="1"/>
  <c r="I1474" i="7"/>
  <c r="O1474" i="7" s="1"/>
  <c r="I1378" i="7"/>
  <c r="O1378" i="7" s="1"/>
  <c r="I1282" i="7"/>
  <c r="O1282" i="7" s="1"/>
  <c r="I1018" i="7"/>
  <c r="O1018" i="7" s="1"/>
  <c r="I586" i="7"/>
  <c r="O586" i="7" s="1"/>
  <c r="I2175" i="7"/>
  <c r="O2175" i="7" s="1"/>
  <c r="I1971" i="7"/>
  <c r="O1971" i="7" s="1"/>
  <c r="I1740" i="7"/>
  <c r="O1740" i="7" s="1"/>
  <c r="I2496" i="7"/>
  <c r="O2496" i="7" s="1"/>
  <c r="I302" i="7"/>
  <c r="O302" i="7" s="1"/>
  <c r="I1910" i="7"/>
  <c r="O1910" i="7" s="1"/>
  <c r="I2306" i="7"/>
  <c r="O2306" i="7" s="1"/>
  <c r="I2474" i="7"/>
  <c r="O2474" i="7" s="1"/>
  <c r="I1934" i="7"/>
  <c r="O1934" i="7" s="1"/>
  <c r="I375" i="7"/>
  <c r="O375" i="7" s="1"/>
  <c r="I2665" i="7"/>
  <c r="O2665" i="7" s="1"/>
  <c r="I1801" i="7"/>
  <c r="O1801" i="7" s="1"/>
  <c r="I937" i="7"/>
  <c r="O937" i="7" s="1"/>
  <c r="I73" i="7"/>
  <c r="O73" i="7" s="1"/>
  <c r="I2099" i="7"/>
  <c r="O2099" i="7" s="1"/>
  <c r="I1235" i="7"/>
  <c r="O1235" i="7" s="1"/>
  <c r="I995" i="7"/>
  <c r="O995" i="7" s="1"/>
  <c r="I323" i="7"/>
  <c r="O323" i="7" s="1"/>
  <c r="I1186" i="7"/>
  <c r="O1186" i="7" s="1"/>
  <c r="I922" i="7"/>
  <c r="O922" i="7" s="1"/>
  <c r="I838" i="7"/>
  <c r="O838" i="7" s="1"/>
  <c r="I754" i="7"/>
  <c r="O754" i="7" s="1"/>
  <c r="I502" i="7"/>
  <c r="O502" i="7" s="1"/>
  <c r="I430" i="7"/>
  <c r="O430" i="7" s="1"/>
  <c r="I358" i="7"/>
  <c r="O358" i="7" s="1"/>
  <c r="I286" i="7"/>
  <c r="O286" i="7" s="1"/>
  <c r="I214" i="7"/>
  <c r="O214" i="7" s="1"/>
  <c r="I142" i="7"/>
  <c r="O142" i="7" s="1"/>
  <c r="I70" i="7"/>
  <c r="O70" i="7" s="1"/>
  <c r="I1620" i="7"/>
  <c r="O1620" i="7" s="1"/>
  <c r="I1044" i="7"/>
  <c r="O1044" i="7" s="1"/>
  <c r="I552" i="7"/>
  <c r="O552" i="7" s="1"/>
  <c r="I48" i="7"/>
  <c r="O48" i="7" s="1"/>
  <c r="I2337" i="7"/>
  <c r="O2337" i="7" s="1"/>
  <c r="I2265" i="7"/>
  <c r="O2265" i="7" s="1"/>
  <c r="I2193" i="7"/>
  <c r="O2193" i="7" s="1"/>
  <c r="I2085" i="7"/>
  <c r="O2085" i="7" s="1"/>
  <c r="I2013" i="7"/>
  <c r="O2013" i="7" s="1"/>
  <c r="I1941" i="7"/>
  <c r="O1941" i="7" s="1"/>
  <c r="I1869" i="7"/>
  <c r="O1869" i="7" s="1"/>
  <c r="I1797" i="7"/>
  <c r="O1797" i="7" s="1"/>
  <c r="I1725" i="7"/>
  <c r="O1725" i="7" s="1"/>
  <c r="I1653" i="7"/>
  <c r="O1653" i="7" s="1"/>
  <c r="I1581" i="7"/>
  <c r="O1581" i="7" s="1"/>
  <c r="I1509" i="7"/>
  <c r="O1509" i="7" s="1"/>
  <c r="I1437" i="7"/>
  <c r="O1437" i="7" s="1"/>
  <c r="I1365" i="7"/>
  <c r="O1365" i="7" s="1"/>
  <c r="I1293" i="7"/>
  <c r="O1293" i="7" s="1"/>
  <c r="I1221" i="7"/>
  <c r="O1221" i="7" s="1"/>
  <c r="I1149" i="7"/>
  <c r="O1149" i="7" s="1"/>
  <c r="I1077" i="7"/>
  <c r="O1077" i="7" s="1"/>
  <c r="I1005" i="7"/>
  <c r="O1005" i="7" s="1"/>
  <c r="I933" i="7"/>
  <c r="O933" i="7" s="1"/>
  <c r="I861" i="7"/>
  <c r="O861" i="7" s="1"/>
  <c r="I789" i="7"/>
  <c r="O789" i="7" s="1"/>
  <c r="I717" i="7"/>
  <c r="O717" i="7" s="1"/>
  <c r="I645" i="7"/>
  <c r="O645" i="7" s="1"/>
  <c r="I573" i="7"/>
  <c r="O573" i="7" s="1"/>
  <c r="I501" i="7"/>
  <c r="O501" i="7" s="1"/>
  <c r="I429" i="7"/>
  <c r="O429" i="7" s="1"/>
  <c r="I357" i="7"/>
  <c r="O357" i="7" s="1"/>
  <c r="I285" i="7"/>
  <c r="O285" i="7" s="1"/>
  <c r="I213" i="7"/>
  <c r="O213" i="7" s="1"/>
  <c r="I141" i="7"/>
  <c r="O141" i="7" s="1"/>
  <c r="I69" i="7"/>
  <c r="O69" i="7" s="1"/>
  <c r="I1584" i="7"/>
  <c r="O1584" i="7" s="1"/>
  <c r="I1008" i="7"/>
  <c r="O1008" i="7" s="1"/>
  <c r="I432" i="7"/>
  <c r="O432" i="7" s="1"/>
  <c r="I2649" i="7"/>
  <c r="O2649" i="7" s="1"/>
  <c r="I2457" i="7"/>
  <c r="O2457" i="7" s="1"/>
  <c r="I2672" i="7"/>
  <c r="O2672" i="7" s="1"/>
  <c r="I2600" i="7"/>
  <c r="O2600" i="7" s="1"/>
  <c r="I2528" i="7"/>
  <c r="O2528" i="7" s="1"/>
  <c r="I2456" i="7"/>
  <c r="O2456" i="7" s="1"/>
  <c r="I2384" i="7"/>
  <c r="O2384" i="7" s="1"/>
  <c r="I2312" i="7"/>
  <c r="O2312" i="7" s="1"/>
  <c r="I2240" i="7"/>
  <c r="O2240" i="7" s="1"/>
  <c r="I2168" i="7"/>
  <c r="O2168" i="7" s="1"/>
  <c r="I2096" i="7"/>
  <c r="O2096" i="7" s="1"/>
  <c r="I2024" i="7"/>
  <c r="O2024" i="7" s="1"/>
  <c r="I1952" i="7"/>
  <c r="O1952" i="7" s="1"/>
  <c r="I1880" i="7"/>
  <c r="O1880" i="7" s="1"/>
  <c r="I1808" i="7"/>
  <c r="O1808" i="7" s="1"/>
  <c r="I1736" i="7"/>
  <c r="O1736" i="7" s="1"/>
  <c r="I1664" i="7"/>
  <c r="O1664" i="7" s="1"/>
  <c r="I1592" i="7"/>
  <c r="O1592" i="7" s="1"/>
  <c r="I1520" i="7"/>
  <c r="O1520" i="7" s="1"/>
  <c r="I1448" i="7"/>
  <c r="O1448" i="7" s="1"/>
  <c r="I1376" i="7"/>
  <c r="O1376" i="7" s="1"/>
  <c r="I1304" i="7"/>
  <c r="O1304" i="7" s="1"/>
  <c r="I1232" i="7"/>
  <c r="O1232" i="7" s="1"/>
  <c r="I1160" i="7"/>
  <c r="O1160" i="7" s="1"/>
  <c r="I1088" i="7"/>
  <c r="O1088" i="7" s="1"/>
  <c r="I1016" i="7"/>
  <c r="O1016" i="7" s="1"/>
  <c r="I944" i="7"/>
  <c r="O944" i="7" s="1"/>
  <c r="I872" i="7"/>
  <c r="O872" i="7" s="1"/>
  <c r="I800" i="7"/>
  <c r="O800" i="7" s="1"/>
  <c r="I728" i="7"/>
  <c r="O728" i="7" s="1"/>
  <c r="I656" i="7"/>
  <c r="O656" i="7" s="1"/>
  <c r="I584" i="7"/>
  <c r="O584" i="7" s="1"/>
  <c r="I512" i="7"/>
  <c r="O512" i="7" s="1"/>
  <c r="I440" i="7"/>
  <c r="O440" i="7" s="1"/>
  <c r="I368" i="7"/>
  <c r="O368" i="7" s="1"/>
  <c r="I296" i="7"/>
  <c r="O296" i="7" s="1"/>
  <c r="I224" i="7"/>
  <c r="O224" i="7" s="1"/>
  <c r="I152" i="7"/>
  <c r="O152" i="7" s="1"/>
  <c r="I80" i="7"/>
  <c r="O80" i="7" s="1"/>
  <c r="I8" i="7"/>
  <c r="O8" i="7" s="1"/>
  <c r="I1092" i="7"/>
  <c r="O1092" i="7" s="1"/>
  <c r="I612" i="7"/>
  <c r="O612" i="7" s="1"/>
  <c r="I120" i="7"/>
  <c r="O120" i="7" s="1"/>
  <c r="I2469" i="7"/>
  <c r="O2469" i="7" s="1"/>
  <c r="I2671" i="7"/>
  <c r="O2671" i="7" s="1"/>
  <c r="I2599" i="7"/>
  <c r="O2599" i="7" s="1"/>
  <c r="I2527" i="7"/>
  <c r="O2527" i="7" s="1"/>
  <c r="I2455" i="7"/>
  <c r="O2455" i="7" s="1"/>
  <c r="I2383" i="7"/>
  <c r="O2383" i="7" s="1"/>
  <c r="I2311" i="7"/>
  <c r="O2311" i="7" s="1"/>
  <c r="I2239" i="7"/>
  <c r="O2239" i="7" s="1"/>
  <c r="I2167" i="7"/>
  <c r="O2167" i="7" s="1"/>
  <c r="I2095" i="7"/>
  <c r="O2095" i="7" s="1"/>
  <c r="I2023" i="7"/>
  <c r="O2023" i="7" s="1"/>
  <c r="I1951" i="7"/>
  <c r="O1951" i="7" s="1"/>
  <c r="I1879" i="7"/>
  <c r="O1879" i="7" s="1"/>
  <c r="I1807" i="7"/>
  <c r="O1807" i="7" s="1"/>
  <c r="I1735" i="7"/>
  <c r="O1735" i="7" s="1"/>
  <c r="I1663" i="7"/>
  <c r="O1663" i="7" s="1"/>
  <c r="I1591" i="7"/>
  <c r="O1591" i="7" s="1"/>
  <c r="I1519" i="7"/>
  <c r="O1519" i="7" s="1"/>
  <c r="I1447" i="7"/>
  <c r="O1447" i="7" s="1"/>
  <c r="I1375" i="7"/>
  <c r="O1375" i="7" s="1"/>
  <c r="I1303" i="7"/>
  <c r="O1303" i="7" s="1"/>
  <c r="I1231" i="7"/>
  <c r="O1231" i="7" s="1"/>
  <c r="I1159" i="7"/>
  <c r="O1159" i="7" s="1"/>
  <c r="I1087" i="7"/>
  <c r="O1087" i="7" s="1"/>
  <c r="I1015" i="7"/>
  <c r="O1015" i="7" s="1"/>
  <c r="I943" i="7"/>
  <c r="O943" i="7" s="1"/>
  <c r="I871" i="7"/>
  <c r="O871" i="7" s="1"/>
  <c r="I799" i="7"/>
  <c r="O799" i="7" s="1"/>
  <c r="I727" i="7"/>
  <c r="O727" i="7" s="1"/>
  <c r="I655" i="7"/>
  <c r="O655" i="7" s="1"/>
  <c r="I583" i="7"/>
  <c r="O583" i="7" s="1"/>
  <c r="I511" i="7"/>
  <c r="O511" i="7" s="1"/>
  <c r="I439" i="7"/>
  <c r="O439" i="7" s="1"/>
  <c r="I367" i="7"/>
  <c r="O367" i="7" s="1"/>
  <c r="I295" i="7"/>
  <c r="O295" i="7" s="1"/>
  <c r="I223" i="7"/>
  <c r="O223" i="7" s="1"/>
  <c r="I151" i="7"/>
  <c r="O151" i="7" s="1"/>
  <c r="I79" i="7"/>
  <c r="O79" i="7" s="1"/>
  <c r="I7" i="7"/>
  <c r="O7" i="7" s="1"/>
  <c r="I1116" i="7"/>
  <c r="O1116" i="7" s="1"/>
  <c r="I564" i="7"/>
  <c r="O564" i="7" s="1"/>
  <c r="I132" i="7"/>
  <c r="O132" i="7" s="1"/>
  <c r="I2541" i="7"/>
  <c r="O2541" i="7" s="1"/>
  <c r="I2694" i="7"/>
  <c r="O2694" i="7" s="1"/>
  <c r="I2622" i="7"/>
  <c r="O2622" i="7" s="1"/>
  <c r="I2304" i="7"/>
  <c r="O2304" i="7" s="1"/>
  <c r="I2017" i="7"/>
  <c r="O2017" i="7" s="1"/>
  <c r="I1153" i="7"/>
  <c r="O1153" i="7" s="1"/>
  <c r="I289" i="7"/>
  <c r="O289" i="7" s="1"/>
  <c r="I2315" i="7"/>
  <c r="O2315" i="7" s="1"/>
  <c r="I1451" i="7"/>
  <c r="O1451" i="7" s="1"/>
  <c r="I971" i="7"/>
  <c r="O971" i="7" s="1"/>
  <c r="I731" i="7"/>
  <c r="O731" i="7" s="1"/>
  <c r="I407" i="7"/>
  <c r="O407" i="7" s="1"/>
  <c r="I1162" i="7"/>
  <c r="O1162" i="7" s="1"/>
  <c r="I730" i="7"/>
  <c r="O730" i="7" s="1"/>
  <c r="I562" i="7"/>
  <c r="O562" i="7" s="1"/>
  <c r="I2232" i="7"/>
  <c r="O2232" i="7" s="1"/>
  <c r="I1993" i="7"/>
  <c r="O1993" i="7" s="1"/>
  <c r="I1129" i="7"/>
  <c r="O1129" i="7" s="1"/>
  <c r="I265" i="7"/>
  <c r="O265" i="7" s="1"/>
  <c r="I2291" i="7"/>
  <c r="O2291" i="7" s="1"/>
  <c r="I1427" i="7"/>
  <c r="O1427" i="7" s="1"/>
  <c r="I263" i="7"/>
  <c r="O263" i="7" s="1"/>
  <c r="I35" i="7"/>
  <c r="O35" i="7" s="1"/>
  <c r="I1138" i="7"/>
  <c r="O1138" i="7" s="1"/>
  <c r="I1054" i="7"/>
  <c r="O1054" i="7" s="1"/>
  <c r="I970" i="7"/>
  <c r="O970" i="7" s="1"/>
  <c r="I706" i="7"/>
  <c r="O706" i="7" s="1"/>
  <c r="I622" i="7"/>
  <c r="O622" i="7" s="1"/>
  <c r="I466" i="7"/>
  <c r="O466" i="7" s="1"/>
  <c r="I394" i="7"/>
  <c r="O394" i="7" s="1"/>
  <c r="I322" i="7"/>
  <c r="O322" i="7" s="1"/>
  <c r="I250" i="7"/>
  <c r="O250" i="7" s="1"/>
  <c r="I178" i="7"/>
  <c r="O178" i="7" s="1"/>
  <c r="I106" i="7"/>
  <c r="O106" i="7" s="1"/>
  <c r="I34" i="7"/>
  <c r="O34" i="7" s="1"/>
  <c r="I1344" i="7"/>
  <c r="O1344" i="7" s="1"/>
  <c r="I792" i="7"/>
  <c r="O792" i="7" s="1"/>
  <c r="I324" i="7"/>
  <c r="O324" i="7" s="1"/>
  <c r="I2433" i="7"/>
  <c r="O2433" i="7" s="1"/>
  <c r="I2301" i="7"/>
  <c r="O2301" i="7" s="1"/>
  <c r="I2229" i="7"/>
  <c r="O2229" i="7" s="1"/>
  <c r="I2121" i="7"/>
  <c r="O2121" i="7" s="1"/>
  <c r="I2049" i="7"/>
  <c r="O2049" i="7" s="1"/>
  <c r="I1977" i="7"/>
  <c r="O1977" i="7" s="1"/>
  <c r="I1905" i="7"/>
  <c r="O1905" i="7" s="1"/>
  <c r="I1833" i="7"/>
  <c r="O1833" i="7" s="1"/>
  <c r="I1761" i="7"/>
  <c r="O1761" i="7" s="1"/>
  <c r="I1689" i="7"/>
  <c r="O1689" i="7" s="1"/>
  <c r="I1617" i="7"/>
  <c r="O1617" i="7" s="1"/>
  <c r="I1545" i="7"/>
  <c r="O1545" i="7" s="1"/>
  <c r="I1473" i="7"/>
  <c r="O1473" i="7" s="1"/>
  <c r="I1401" i="7"/>
  <c r="O1401" i="7" s="1"/>
  <c r="I1329" i="7"/>
  <c r="O1329" i="7" s="1"/>
  <c r="I1257" i="7"/>
  <c r="O1257" i="7" s="1"/>
  <c r="I1185" i="7"/>
  <c r="O1185" i="7" s="1"/>
  <c r="I1113" i="7"/>
  <c r="O1113" i="7" s="1"/>
  <c r="I1041" i="7"/>
  <c r="O1041" i="7" s="1"/>
  <c r="I969" i="7"/>
  <c r="O969" i="7" s="1"/>
  <c r="I897" i="7"/>
  <c r="O897" i="7" s="1"/>
  <c r="I825" i="7"/>
  <c r="O825" i="7" s="1"/>
  <c r="I753" i="7"/>
  <c r="O753" i="7" s="1"/>
  <c r="I681" i="7"/>
  <c r="O681" i="7" s="1"/>
  <c r="I609" i="7"/>
  <c r="O609" i="7" s="1"/>
  <c r="I537" i="7"/>
  <c r="O537" i="7" s="1"/>
  <c r="I465" i="7"/>
  <c r="O465" i="7" s="1"/>
  <c r="I393" i="7"/>
  <c r="O393" i="7" s="1"/>
  <c r="I321" i="7"/>
  <c r="O321" i="7" s="1"/>
  <c r="I249" i="7"/>
  <c r="O249" i="7" s="1"/>
  <c r="I177" i="7"/>
  <c r="O177" i="7" s="1"/>
  <c r="I105" i="7"/>
  <c r="O105" i="7" s="1"/>
  <c r="I33" i="7"/>
  <c r="O33" i="7" s="1"/>
  <c r="I1308" i="7"/>
  <c r="O1308" i="7" s="1"/>
  <c r="I744" i="7"/>
  <c r="O744" i="7" s="1"/>
  <c r="I180" i="7"/>
  <c r="O180" i="7" s="1"/>
  <c r="I2553" i="7"/>
  <c r="O2553" i="7" s="1"/>
  <c r="I2145" i="7"/>
  <c r="O2145" i="7" s="1"/>
  <c r="I2636" i="7"/>
  <c r="O2636" i="7" s="1"/>
  <c r="I2564" i="7"/>
  <c r="O2564" i="7" s="1"/>
  <c r="I2492" i="7"/>
  <c r="O2492" i="7" s="1"/>
  <c r="I2420" i="7"/>
  <c r="O2420" i="7" s="1"/>
  <c r="I2348" i="7"/>
  <c r="O2348" i="7" s="1"/>
  <c r="I2276" i="7"/>
  <c r="O2276" i="7" s="1"/>
  <c r="I2204" i="7"/>
  <c r="O2204" i="7" s="1"/>
  <c r="I2132" i="7"/>
  <c r="O2132" i="7" s="1"/>
  <c r="I2060" i="7"/>
  <c r="O2060" i="7" s="1"/>
  <c r="I1988" i="7"/>
  <c r="O1988" i="7" s="1"/>
  <c r="I1916" i="7"/>
  <c r="O1916" i="7" s="1"/>
  <c r="I1844" i="7"/>
  <c r="O1844" i="7" s="1"/>
  <c r="I1772" i="7"/>
  <c r="O1772" i="7" s="1"/>
  <c r="I1700" i="7"/>
  <c r="O1700" i="7" s="1"/>
  <c r="I1628" i="7"/>
  <c r="O1628" i="7" s="1"/>
  <c r="I1556" i="7"/>
  <c r="O1556" i="7" s="1"/>
  <c r="I1484" i="7"/>
  <c r="O1484" i="7" s="1"/>
  <c r="I1412" i="7"/>
  <c r="O1412" i="7" s="1"/>
  <c r="I1340" i="7"/>
  <c r="O1340" i="7" s="1"/>
  <c r="I1268" i="7"/>
  <c r="O1268" i="7" s="1"/>
  <c r="I1196" i="7"/>
  <c r="O1196" i="7" s="1"/>
  <c r="I1124" i="7"/>
  <c r="O1124" i="7" s="1"/>
  <c r="I1052" i="7"/>
  <c r="O1052" i="7" s="1"/>
  <c r="I980" i="7"/>
  <c r="O980" i="7" s="1"/>
  <c r="I908" i="7"/>
  <c r="O908" i="7" s="1"/>
  <c r="I836" i="7"/>
  <c r="O836" i="7" s="1"/>
  <c r="I764" i="7"/>
  <c r="O764" i="7" s="1"/>
  <c r="I692" i="7"/>
  <c r="O692" i="7" s="1"/>
  <c r="I620" i="7"/>
  <c r="O620" i="7" s="1"/>
  <c r="I548" i="7"/>
  <c r="O548" i="7" s="1"/>
  <c r="I476" i="7"/>
  <c r="O476" i="7" s="1"/>
  <c r="I404" i="7"/>
  <c r="O404" i="7" s="1"/>
  <c r="I332" i="7"/>
  <c r="O332" i="7" s="1"/>
  <c r="I260" i="7"/>
  <c r="O260" i="7" s="1"/>
  <c r="I188" i="7"/>
  <c r="O188" i="7" s="1"/>
  <c r="I116" i="7"/>
  <c r="O116" i="7" s="1"/>
  <c r="I44" i="7"/>
  <c r="O44" i="7" s="1"/>
  <c r="I1392" i="7"/>
  <c r="O1392" i="7" s="1"/>
  <c r="I840" i="7"/>
  <c r="O840" i="7" s="1"/>
  <c r="I348" i="7"/>
  <c r="O348" i="7" s="1"/>
  <c r="I2589" i="7"/>
  <c r="O2589" i="7" s="1"/>
  <c r="I2133" i="7"/>
  <c r="O2133" i="7" s="1"/>
  <c r="I2635" i="7"/>
  <c r="O2635" i="7" s="1"/>
  <c r="I2563" i="7"/>
  <c r="O2563" i="7" s="1"/>
  <c r="I2491" i="7"/>
  <c r="O2491" i="7" s="1"/>
  <c r="I2419" i="7"/>
  <c r="O2419" i="7" s="1"/>
  <c r="I2347" i="7"/>
  <c r="O2347" i="7" s="1"/>
  <c r="I2275" i="7"/>
  <c r="O2275" i="7" s="1"/>
  <c r="I2203" i="7"/>
  <c r="O2203" i="7" s="1"/>
  <c r="I2131" i="7"/>
  <c r="O2131" i="7" s="1"/>
  <c r="I2059" i="7"/>
  <c r="O2059" i="7" s="1"/>
  <c r="I1987" i="7"/>
  <c r="O1987" i="7" s="1"/>
  <c r="I1915" i="7"/>
  <c r="O1915" i="7" s="1"/>
  <c r="I1843" i="7"/>
  <c r="O1843" i="7" s="1"/>
  <c r="I1771" i="7"/>
  <c r="O1771" i="7" s="1"/>
  <c r="I1699" i="7"/>
  <c r="O1699" i="7" s="1"/>
  <c r="I1627" i="7"/>
  <c r="O1627" i="7" s="1"/>
  <c r="I1555" i="7"/>
  <c r="O1555" i="7" s="1"/>
  <c r="I1483" i="7"/>
  <c r="O1483" i="7" s="1"/>
  <c r="I1411" i="7"/>
  <c r="O1411" i="7" s="1"/>
  <c r="I1339" i="7"/>
  <c r="O1339" i="7" s="1"/>
  <c r="I1610" i="7"/>
  <c r="O1610" i="7" s="1"/>
  <c r="I1995" i="7"/>
  <c r="O1995" i="7" s="1"/>
  <c r="I875" i="7"/>
  <c r="O875" i="7" s="1"/>
  <c r="I83" i="7"/>
  <c r="O83" i="7" s="1"/>
  <c r="I2674" i="7"/>
  <c r="O2674" i="7" s="1"/>
  <c r="I2098" i="7"/>
  <c r="O2098" i="7" s="1"/>
  <c r="I1522" i="7"/>
  <c r="O1522" i="7" s="1"/>
  <c r="I574" i="7"/>
  <c r="O574" i="7" s="1"/>
  <c r="I1795" i="7"/>
  <c r="O1795" i="7" s="1"/>
  <c r="I1507" i="7"/>
  <c r="O1507" i="7" s="1"/>
  <c r="I2550" i="7"/>
  <c r="O2550" i="7" s="1"/>
  <c r="I2394" i="7"/>
  <c r="O2394" i="7" s="1"/>
  <c r="I2238" i="7"/>
  <c r="O2238" i="7" s="1"/>
  <c r="I2082" i="7"/>
  <c r="O2082" i="7" s="1"/>
  <c r="I1926" i="7"/>
  <c r="O1926" i="7" s="1"/>
  <c r="I1686" i="7"/>
  <c r="O1686" i="7" s="1"/>
  <c r="I1530" i="7"/>
  <c r="O1530" i="7" s="1"/>
  <c r="I1374" i="7"/>
  <c r="O1374" i="7" s="1"/>
  <c r="I1218" i="7"/>
  <c r="O1218" i="7" s="1"/>
  <c r="I1062" i="7"/>
  <c r="O1062" i="7" s="1"/>
  <c r="I338" i="7"/>
  <c r="O338" i="7" s="1"/>
  <c r="I543" i="7"/>
  <c r="O543" i="7" s="1"/>
  <c r="I2314" i="7"/>
  <c r="O2314" i="7" s="1"/>
  <c r="I1738" i="7"/>
  <c r="O1738" i="7" s="1"/>
  <c r="I346" i="7"/>
  <c r="O346" i="7" s="1"/>
  <c r="I130" i="7"/>
  <c r="O130" i="7" s="1"/>
  <c r="I960" i="7"/>
  <c r="O960" i="7" s="1"/>
  <c r="I2325" i="7"/>
  <c r="O2325" i="7" s="1"/>
  <c r="I2073" i="7"/>
  <c r="O2073" i="7" s="1"/>
  <c r="I1857" i="7"/>
  <c r="O1857" i="7" s="1"/>
  <c r="I1641" i="7"/>
  <c r="O1641" i="7" s="1"/>
  <c r="I1425" i="7"/>
  <c r="O1425" i="7" s="1"/>
  <c r="I1209" i="7"/>
  <c r="O1209" i="7" s="1"/>
  <c r="I993" i="7"/>
  <c r="O993" i="7" s="1"/>
  <c r="I777" i="7"/>
  <c r="O777" i="7" s="1"/>
  <c r="I561" i="7"/>
  <c r="O561" i="7" s="1"/>
  <c r="I345" i="7"/>
  <c r="O345" i="7" s="1"/>
  <c r="I129" i="7"/>
  <c r="O129" i="7" s="1"/>
  <c r="I924" i="7"/>
  <c r="O924" i="7" s="1"/>
  <c r="I2409" i="7"/>
  <c r="O2409" i="7" s="1"/>
  <c r="I2516" i="7"/>
  <c r="O2516" i="7" s="1"/>
  <c r="I2300" i="7"/>
  <c r="O2300" i="7" s="1"/>
  <c r="I2084" i="7"/>
  <c r="O2084" i="7" s="1"/>
  <c r="I1868" i="7"/>
  <c r="O1868" i="7" s="1"/>
  <c r="I1652" i="7"/>
  <c r="O1652" i="7" s="1"/>
  <c r="I1436" i="7"/>
  <c r="O1436" i="7" s="1"/>
  <c r="I1220" i="7"/>
  <c r="O1220" i="7" s="1"/>
  <c r="I1004" i="7"/>
  <c r="O1004" i="7" s="1"/>
  <c r="I788" i="7"/>
  <c r="O788" i="7" s="1"/>
  <c r="I572" i="7"/>
  <c r="O572" i="7" s="1"/>
  <c r="I356" i="7"/>
  <c r="O356" i="7" s="1"/>
  <c r="I140" i="7"/>
  <c r="O140" i="7" s="1"/>
  <c r="I996" i="7"/>
  <c r="O996" i="7" s="1"/>
  <c r="I2421" i="7"/>
  <c r="O2421" i="7" s="1"/>
  <c r="I2515" i="7"/>
  <c r="O2515" i="7" s="1"/>
  <c r="I2299" i="7"/>
  <c r="O2299" i="7" s="1"/>
  <c r="I2083" i="7"/>
  <c r="O2083" i="7" s="1"/>
  <c r="I1219" i="7"/>
  <c r="O1219" i="7" s="1"/>
  <c r="I1135" i="7"/>
  <c r="O1135" i="7" s="1"/>
  <c r="I1051" i="7"/>
  <c r="O1051" i="7" s="1"/>
  <c r="I967" i="7"/>
  <c r="O967" i="7" s="1"/>
  <c r="I787" i="7"/>
  <c r="O787" i="7" s="1"/>
  <c r="I703" i="7"/>
  <c r="O703" i="7" s="1"/>
  <c r="I619" i="7"/>
  <c r="O619" i="7" s="1"/>
  <c r="I535" i="7"/>
  <c r="O535" i="7" s="1"/>
  <c r="I355" i="7"/>
  <c r="O355" i="7" s="1"/>
  <c r="I271" i="7"/>
  <c r="O271" i="7" s="1"/>
  <c r="I187" i="7"/>
  <c r="O187" i="7" s="1"/>
  <c r="I103" i="7"/>
  <c r="O103" i="7" s="1"/>
  <c r="I1020" i="7"/>
  <c r="O1020" i="7" s="1"/>
  <c r="I444" i="7"/>
  <c r="O444" i="7" s="1"/>
  <c r="I2661" i="7"/>
  <c r="O2661" i="7" s="1"/>
  <c r="I2157" i="7"/>
  <c r="O2157" i="7" s="1"/>
  <c r="I2466" i="7"/>
  <c r="O2466" i="7" s="1"/>
  <c r="I2310" i="7"/>
  <c r="O2310" i="7" s="1"/>
  <c r="I2154" i="7"/>
  <c r="O2154" i="7" s="1"/>
  <c r="I1998" i="7"/>
  <c r="O1998" i="7" s="1"/>
  <c r="I1758" i="7"/>
  <c r="O1758" i="7" s="1"/>
  <c r="I1602" i="7"/>
  <c r="O1602" i="7" s="1"/>
  <c r="I1446" i="7"/>
  <c r="O1446" i="7" s="1"/>
  <c r="I1290" i="7"/>
  <c r="O1290" i="7" s="1"/>
  <c r="I1134" i="7"/>
  <c r="O1134" i="7" s="1"/>
  <c r="I978" i="7"/>
  <c r="O978" i="7" s="1"/>
  <c r="I906" i="7"/>
  <c r="O906" i="7" s="1"/>
  <c r="I834" i="7"/>
  <c r="O834" i="7" s="1"/>
  <c r="I762" i="7"/>
  <c r="O762" i="7" s="1"/>
  <c r="I690" i="7"/>
  <c r="O690" i="7" s="1"/>
  <c r="I618" i="7"/>
  <c r="O618" i="7" s="1"/>
  <c r="I546" i="7"/>
  <c r="O546" i="7" s="1"/>
  <c r="I474" i="7"/>
  <c r="O474" i="7" s="1"/>
  <c r="I402" i="7"/>
  <c r="O402" i="7" s="1"/>
  <c r="I330" i="7"/>
  <c r="O330" i="7" s="1"/>
  <c r="I258" i="7"/>
  <c r="O258" i="7" s="1"/>
  <c r="I186" i="7"/>
  <c r="O186" i="7" s="1"/>
  <c r="I114" i="7"/>
  <c r="O114" i="7" s="1"/>
  <c r="I42" i="7"/>
  <c r="O42" i="7" s="1"/>
  <c r="I1284" i="7"/>
  <c r="O1284" i="7" s="1"/>
  <c r="I804" i="7"/>
  <c r="O804" i="7" s="1"/>
  <c r="I288" i="7"/>
  <c r="O288" i="7" s="1"/>
  <c r="I2669" i="7"/>
  <c r="O2669" i="7" s="1"/>
  <c r="I2597" i="7"/>
  <c r="O2597" i="7" s="1"/>
  <c r="I2525" i="7"/>
  <c r="O2525" i="7" s="1"/>
  <c r="I2453" i="7"/>
  <c r="O2453" i="7" s="1"/>
  <c r="I2381" i="7"/>
  <c r="O2381" i="7" s="1"/>
  <c r="I2309" i="7"/>
  <c r="O2309" i="7" s="1"/>
  <c r="I2237" i="7"/>
  <c r="O2237" i="7" s="1"/>
  <c r="I2165" i="7"/>
  <c r="O2165" i="7" s="1"/>
  <c r="I2093" i="7"/>
  <c r="O2093" i="7" s="1"/>
  <c r="I2021" i="7"/>
  <c r="O2021" i="7" s="1"/>
  <c r="I1949" i="7"/>
  <c r="O1949" i="7" s="1"/>
  <c r="I1877" i="7"/>
  <c r="O1877" i="7" s="1"/>
  <c r="I1805" i="7"/>
  <c r="O1805" i="7" s="1"/>
  <c r="I1733" i="7"/>
  <c r="O1733" i="7" s="1"/>
  <c r="I1661" i="7"/>
  <c r="O1661" i="7" s="1"/>
  <c r="I1589" i="7"/>
  <c r="O1589" i="7" s="1"/>
  <c r="I1517" i="7"/>
  <c r="O1517" i="7" s="1"/>
  <c r="I1445" i="7"/>
  <c r="O1445" i="7" s="1"/>
  <c r="I1373" i="7"/>
  <c r="O1373" i="7" s="1"/>
  <c r="I1301" i="7"/>
  <c r="O1301" i="7" s="1"/>
  <c r="I1229" i="7"/>
  <c r="O1229" i="7" s="1"/>
  <c r="I1157" i="7"/>
  <c r="O1157" i="7" s="1"/>
  <c r="I1085" i="7"/>
  <c r="O1085" i="7" s="1"/>
  <c r="I1013" i="7"/>
  <c r="O1013" i="7" s="1"/>
  <c r="I941" i="7"/>
  <c r="O941" i="7" s="1"/>
  <c r="I869" i="7"/>
  <c r="O869" i="7" s="1"/>
  <c r="I797" i="7"/>
  <c r="O797" i="7" s="1"/>
  <c r="I725" i="7"/>
  <c r="O725" i="7" s="1"/>
  <c r="I653" i="7"/>
  <c r="O653" i="7" s="1"/>
  <c r="I581" i="7"/>
  <c r="O581" i="7" s="1"/>
  <c r="I509" i="7"/>
  <c r="O509" i="7" s="1"/>
  <c r="I437" i="7"/>
  <c r="O437" i="7" s="1"/>
  <c r="I365" i="7"/>
  <c r="O365" i="7" s="1"/>
  <c r="I293" i="7"/>
  <c r="O293" i="7" s="1"/>
  <c r="I221" i="7"/>
  <c r="O221" i="7" s="1"/>
  <c r="I149" i="7"/>
  <c r="O149" i="7" s="1"/>
  <c r="I77" i="7"/>
  <c r="O77" i="7" s="1"/>
  <c r="I5" i="7"/>
  <c r="O5" i="7" s="1"/>
  <c r="I1212" i="7"/>
  <c r="O1212" i="7" s="1"/>
  <c r="I624" i="7"/>
  <c r="O624" i="7" s="1"/>
  <c r="I96" i="7"/>
  <c r="O96" i="7" s="1"/>
  <c r="I2644" i="7"/>
  <c r="O2644" i="7" s="1"/>
  <c r="I2572" i="7"/>
  <c r="O2572" i="7" s="1"/>
  <c r="I2500" i="7"/>
  <c r="O2500" i="7" s="1"/>
  <c r="I2428" i="7"/>
  <c r="O2428" i="7" s="1"/>
  <c r="I2356" i="7"/>
  <c r="O2356" i="7" s="1"/>
  <c r="I2284" i="7"/>
  <c r="O2284" i="7" s="1"/>
  <c r="I2212" i="7"/>
  <c r="O2212" i="7" s="1"/>
  <c r="I2140" i="7"/>
  <c r="O2140" i="7" s="1"/>
  <c r="I2068" i="7"/>
  <c r="O2068" i="7" s="1"/>
  <c r="I1996" i="7"/>
  <c r="O1996" i="7" s="1"/>
  <c r="I1924" i="7"/>
  <c r="O1924" i="7" s="1"/>
  <c r="I1852" i="7"/>
  <c r="O1852" i="7" s="1"/>
  <c r="I1780" i="7"/>
  <c r="O1780" i="7" s="1"/>
  <c r="I1708" i="7"/>
  <c r="O1708" i="7" s="1"/>
  <c r="I1636" i="7"/>
  <c r="O1636" i="7" s="1"/>
  <c r="I1564" i="7"/>
  <c r="O1564" i="7" s="1"/>
  <c r="I1492" i="7"/>
  <c r="O1492" i="7" s="1"/>
  <c r="I1420" i="7"/>
  <c r="O1420" i="7" s="1"/>
  <c r="I1348" i="7"/>
  <c r="O1348" i="7" s="1"/>
  <c r="I1276" i="7"/>
  <c r="O1276" i="7" s="1"/>
  <c r="I1204" i="7"/>
  <c r="O1204" i="7" s="1"/>
  <c r="I1132" i="7"/>
  <c r="O1132" i="7" s="1"/>
  <c r="I1060" i="7"/>
  <c r="O1060" i="7" s="1"/>
  <c r="I988" i="7"/>
  <c r="O988" i="7" s="1"/>
  <c r="I916" i="7"/>
  <c r="O916" i="7" s="1"/>
  <c r="I844" i="7"/>
  <c r="O844" i="7" s="1"/>
  <c r="I772" i="7"/>
  <c r="O772" i="7" s="1"/>
  <c r="I700" i="7"/>
  <c r="O700" i="7" s="1"/>
  <c r="I628" i="7"/>
  <c r="O628" i="7" s="1"/>
  <c r="I556" i="7"/>
  <c r="O556" i="7" s="1"/>
  <c r="I484" i="7"/>
  <c r="O484" i="7" s="1"/>
  <c r="I412" i="7"/>
  <c r="O412" i="7" s="1"/>
  <c r="I340" i="7"/>
  <c r="O340" i="7" s="1"/>
  <c r="I268" i="7"/>
  <c r="O268" i="7" s="1"/>
  <c r="I196" i="7"/>
  <c r="O196" i="7" s="1"/>
  <c r="I124" i="7"/>
  <c r="O124" i="7" s="1"/>
  <c r="I52" i="7"/>
  <c r="O52" i="7" s="1"/>
  <c r="I987" i="7"/>
  <c r="O987" i="7" s="1"/>
  <c r="I350" i="7"/>
  <c r="O350" i="7" s="1"/>
  <c r="I1742" i="7"/>
  <c r="O1742" i="7" s="1"/>
  <c r="I1921" i="7"/>
  <c r="O1921" i="7" s="1"/>
  <c r="I1513" i="7"/>
  <c r="O1513" i="7" s="1"/>
  <c r="I2219" i="7"/>
  <c r="O2219" i="7" s="1"/>
  <c r="I1811" i="7"/>
  <c r="O1811" i="7" s="1"/>
  <c r="I719" i="7"/>
  <c r="O719" i="7" s="1"/>
  <c r="I191" i="7"/>
  <c r="O191" i="7" s="1"/>
  <c r="I1080" i="7"/>
  <c r="O1080" i="7" s="1"/>
  <c r="I2194" i="7"/>
  <c r="O2194" i="7" s="1"/>
  <c r="I1618" i="7"/>
  <c r="O1618" i="7" s="1"/>
  <c r="I910" i="7"/>
  <c r="O910" i="7" s="1"/>
  <c r="I802" i="7"/>
  <c r="O802" i="7" s="1"/>
  <c r="I1975" i="7"/>
  <c r="O1975" i="7" s="1"/>
  <c r="I1783" i="7"/>
  <c r="O1783" i="7" s="1"/>
  <c r="I1687" i="7"/>
  <c r="O1687" i="7" s="1"/>
  <c r="I1495" i="7"/>
  <c r="O1495" i="7" s="1"/>
  <c r="I1399" i="7"/>
  <c r="O1399" i="7" s="1"/>
  <c r="I2538" i="7"/>
  <c r="O2538" i="7" s="1"/>
  <c r="I2382" i="7"/>
  <c r="O2382" i="7" s="1"/>
  <c r="I2226" i="7"/>
  <c r="O2226" i="7" s="1"/>
  <c r="I2070" i="7"/>
  <c r="O2070" i="7" s="1"/>
  <c r="I1830" i="7"/>
  <c r="O1830" i="7" s="1"/>
  <c r="I1674" i="7"/>
  <c r="O1674" i="7" s="1"/>
  <c r="I1518" i="7"/>
  <c r="O1518" i="7" s="1"/>
  <c r="I1362" i="7"/>
  <c r="O1362" i="7" s="1"/>
  <c r="I1206" i="7"/>
  <c r="O1206" i="7" s="1"/>
  <c r="I1346" i="7"/>
  <c r="O1346" i="7" s="1"/>
  <c r="I1239" i="7"/>
  <c r="O1239" i="7" s="1"/>
  <c r="I1633" i="7"/>
  <c r="O1633" i="7" s="1"/>
  <c r="I553" i="7"/>
  <c r="O553" i="7" s="1"/>
  <c r="I1931" i="7"/>
  <c r="O1931" i="7" s="1"/>
  <c r="I2410" i="7"/>
  <c r="O2410" i="7" s="1"/>
  <c r="I1834" i="7"/>
  <c r="O1834" i="7" s="1"/>
  <c r="I1258" i="7"/>
  <c r="O1258" i="7" s="1"/>
  <c r="I658" i="7"/>
  <c r="O658" i="7" s="1"/>
  <c r="I550" i="7"/>
  <c r="O550" i="7" s="1"/>
  <c r="I334" i="7"/>
  <c r="O334" i="7" s="1"/>
  <c r="I118" i="7"/>
  <c r="O118" i="7" s="1"/>
  <c r="I864" i="7"/>
  <c r="O864" i="7" s="1"/>
  <c r="I2313" i="7"/>
  <c r="O2313" i="7" s="1"/>
  <c r="I2061" i="7"/>
  <c r="O2061" i="7" s="1"/>
  <c r="I1845" i="7"/>
  <c r="O1845" i="7" s="1"/>
  <c r="I1629" i="7"/>
  <c r="O1629" i="7" s="1"/>
  <c r="I1413" i="7"/>
  <c r="O1413" i="7" s="1"/>
  <c r="I1197" i="7"/>
  <c r="O1197" i="7" s="1"/>
  <c r="I981" i="7"/>
  <c r="O981" i="7" s="1"/>
  <c r="I765" i="7"/>
  <c r="O765" i="7" s="1"/>
  <c r="I549" i="7"/>
  <c r="O549" i="7" s="1"/>
  <c r="I333" i="7"/>
  <c r="O333" i="7" s="1"/>
  <c r="I117" i="7"/>
  <c r="O117" i="7" s="1"/>
  <c r="I852" i="7"/>
  <c r="O852" i="7" s="1"/>
  <c r="I2349" i="7"/>
  <c r="O2349" i="7" s="1"/>
  <c r="I2504" i="7"/>
  <c r="O2504" i="7" s="1"/>
  <c r="I2288" i="7"/>
  <c r="O2288" i="7" s="1"/>
  <c r="I2072" i="7"/>
  <c r="O2072" i="7" s="1"/>
  <c r="I1856" i="7"/>
  <c r="O1856" i="7" s="1"/>
  <c r="I1640" i="7"/>
  <c r="O1640" i="7" s="1"/>
  <c r="I1424" i="7"/>
  <c r="O1424" i="7" s="1"/>
  <c r="I1208" i="7"/>
  <c r="O1208" i="7" s="1"/>
  <c r="I992" i="7"/>
  <c r="O992" i="7" s="1"/>
  <c r="I776" i="7"/>
  <c r="O776" i="7" s="1"/>
  <c r="I560" i="7"/>
  <c r="O560" i="7" s="1"/>
  <c r="I344" i="7"/>
  <c r="O344" i="7" s="1"/>
  <c r="I128" i="7"/>
  <c r="O128" i="7" s="1"/>
  <c r="I900" i="7"/>
  <c r="O900" i="7" s="1"/>
  <c r="I2373" i="7"/>
  <c r="O2373" i="7" s="1"/>
  <c r="I2503" i="7"/>
  <c r="O2503" i="7" s="1"/>
  <c r="I2287" i="7"/>
  <c r="O2287" i="7" s="1"/>
  <c r="I2071" i="7"/>
  <c r="O2071" i="7" s="1"/>
  <c r="I1867" i="7"/>
  <c r="O1867" i="7" s="1"/>
  <c r="I1579" i="7"/>
  <c r="O1579" i="7" s="1"/>
  <c r="I1291" i="7"/>
  <c r="O1291" i="7" s="1"/>
  <c r="I1207" i="7"/>
  <c r="O1207" i="7" s="1"/>
  <c r="I1123" i="7"/>
  <c r="O1123" i="7" s="1"/>
  <c r="I1039" i="7"/>
  <c r="O1039" i="7" s="1"/>
  <c r="I859" i="7"/>
  <c r="O859" i="7" s="1"/>
  <c r="I775" i="7"/>
  <c r="O775" i="7" s="1"/>
  <c r="I691" i="7"/>
  <c r="O691" i="7" s="1"/>
  <c r="I607" i="7"/>
  <c r="O607" i="7" s="1"/>
  <c r="I427" i="7"/>
  <c r="O427" i="7" s="1"/>
  <c r="I343" i="7"/>
  <c r="O343" i="7" s="1"/>
  <c r="I259" i="7"/>
  <c r="O259" i="7" s="1"/>
  <c r="I175" i="7"/>
  <c r="O175" i="7" s="1"/>
  <c r="I1608" i="7"/>
  <c r="O1608" i="7" s="1"/>
  <c r="I912" i="7"/>
  <c r="O912" i="7" s="1"/>
  <c r="I360" i="7"/>
  <c r="O360" i="7" s="1"/>
  <c r="I2613" i="7"/>
  <c r="O2613" i="7" s="1"/>
  <c r="I2610" i="7"/>
  <c r="O2610" i="7" s="1"/>
  <c r="I2454" i="7"/>
  <c r="O2454" i="7" s="1"/>
  <c r="I2298" i="7"/>
  <c r="O2298" i="7" s="1"/>
  <c r="I2142" i="7"/>
  <c r="O2142" i="7" s="1"/>
  <c r="I1902" i="7"/>
  <c r="O1902" i="7" s="1"/>
  <c r="I1746" i="7"/>
  <c r="O1746" i="7" s="1"/>
  <c r="I1590" i="7"/>
  <c r="O1590" i="7" s="1"/>
  <c r="I1434" i="7"/>
  <c r="O1434" i="7" s="1"/>
  <c r="I1278" i="7"/>
  <c r="O1278" i="7" s="1"/>
  <c r="I1038" i="7"/>
  <c r="O1038" i="7" s="1"/>
  <c r="I966" i="7"/>
  <c r="O966" i="7" s="1"/>
  <c r="I894" i="7"/>
  <c r="O894" i="7" s="1"/>
  <c r="I822" i="7"/>
  <c r="O822" i="7" s="1"/>
  <c r="I750" i="7"/>
  <c r="O750" i="7" s="1"/>
  <c r="I678" i="7"/>
  <c r="O678" i="7" s="1"/>
  <c r="I606" i="7"/>
  <c r="O606" i="7" s="1"/>
  <c r="I534" i="7"/>
  <c r="O534" i="7" s="1"/>
  <c r="I462" i="7"/>
  <c r="O462" i="7" s="1"/>
  <c r="I390" i="7"/>
  <c r="O390" i="7" s="1"/>
  <c r="I318" i="7"/>
  <c r="O318" i="7" s="1"/>
  <c r="I246" i="7"/>
  <c r="O246" i="7" s="1"/>
  <c r="I174" i="7"/>
  <c r="O174" i="7" s="1"/>
  <c r="I102" i="7"/>
  <c r="O102" i="7" s="1"/>
  <c r="I30" i="7"/>
  <c r="O30" i="7" s="1"/>
  <c r="I1236" i="7"/>
  <c r="O1236" i="7" s="1"/>
  <c r="I732" i="7"/>
  <c r="O732" i="7" s="1"/>
  <c r="I156" i="7"/>
  <c r="O156" i="7" s="1"/>
  <c r="I2657" i="7"/>
  <c r="O2657" i="7" s="1"/>
  <c r="I2585" i="7"/>
  <c r="O2585" i="7" s="1"/>
  <c r="I2513" i="7"/>
  <c r="O2513" i="7" s="1"/>
  <c r="I2441" i="7"/>
  <c r="O2441" i="7" s="1"/>
  <c r="I2369" i="7"/>
  <c r="O2369" i="7" s="1"/>
  <c r="I2297" i="7"/>
  <c r="O2297" i="7" s="1"/>
  <c r="I2225" i="7"/>
  <c r="O2225" i="7" s="1"/>
  <c r="I2153" i="7"/>
  <c r="O2153" i="7" s="1"/>
  <c r="I2081" i="7"/>
  <c r="O2081" i="7" s="1"/>
  <c r="I2009" i="7"/>
  <c r="O2009" i="7" s="1"/>
  <c r="I1937" i="7"/>
  <c r="O1937" i="7" s="1"/>
  <c r="I1865" i="7"/>
  <c r="O1865" i="7" s="1"/>
  <c r="I1793" i="7"/>
  <c r="O1793" i="7" s="1"/>
  <c r="I1721" i="7"/>
  <c r="O1721" i="7" s="1"/>
  <c r="I1649" i="7"/>
  <c r="O1649" i="7" s="1"/>
  <c r="I1577" i="7"/>
  <c r="O1577" i="7" s="1"/>
  <c r="I1505" i="7"/>
  <c r="O1505" i="7" s="1"/>
  <c r="I1433" i="7"/>
  <c r="O1433" i="7" s="1"/>
  <c r="I1361" i="7"/>
  <c r="O1361" i="7" s="1"/>
  <c r="I1289" i="7"/>
  <c r="O1289" i="7" s="1"/>
  <c r="I1217" i="7"/>
  <c r="O1217" i="7" s="1"/>
  <c r="I1145" i="7"/>
  <c r="O1145" i="7" s="1"/>
  <c r="I1073" i="7"/>
  <c r="O1073" i="7" s="1"/>
  <c r="I1001" i="7"/>
  <c r="O1001" i="7" s="1"/>
  <c r="I929" i="7"/>
  <c r="O929" i="7" s="1"/>
  <c r="I857" i="7"/>
  <c r="O857" i="7" s="1"/>
  <c r="I785" i="7"/>
  <c r="O785" i="7" s="1"/>
  <c r="I713" i="7"/>
  <c r="O713" i="7" s="1"/>
  <c r="I641" i="7"/>
  <c r="O641" i="7" s="1"/>
  <c r="I569" i="7"/>
  <c r="O569" i="7" s="1"/>
  <c r="I497" i="7"/>
  <c r="O497" i="7" s="1"/>
  <c r="I425" i="7"/>
  <c r="O425" i="7" s="1"/>
  <c r="I353" i="7"/>
  <c r="O353" i="7" s="1"/>
  <c r="I281" i="7"/>
  <c r="O281" i="7" s="1"/>
  <c r="I209" i="7"/>
  <c r="O209" i="7" s="1"/>
  <c r="I137" i="7"/>
  <c r="O137" i="7" s="1"/>
  <c r="I65" i="7"/>
  <c r="O65" i="7" s="1"/>
  <c r="I1644" i="7"/>
  <c r="O1644" i="7" s="1"/>
  <c r="I1140" i="7"/>
  <c r="O1140" i="7" s="1"/>
  <c r="I540" i="7"/>
  <c r="O540" i="7" s="1"/>
  <c r="I2704" i="7"/>
  <c r="O2704" i="7" s="1"/>
  <c r="I2632" i="7"/>
  <c r="O2632" i="7" s="1"/>
  <c r="I2560" i="7"/>
  <c r="O2560" i="7" s="1"/>
  <c r="I2488" i="7"/>
  <c r="O2488" i="7" s="1"/>
  <c r="I2416" i="7"/>
  <c r="O2416" i="7" s="1"/>
  <c r="I2344" i="7"/>
  <c r="O2344" i="7" s="1"/>
  <c r="I2272" i="7"/>
  <c r="O2272" i="7" s="1"/>
  <c r="I2200" i="7"/>
  <c r="O2200" i="7" s="1"/>
  <c r="I2128" i="7"/>
  <c r="O2128" i="7" s="1"/>
  <c r="I2056" i="7"/>
  <c r="O2056" i="7" s="1"/>
  <c r="I1984" i="7"/>
  <c r="O1984" i="7" s="1"/>
  <c r="I1912" i="7"/>
  <c r="O1912" i="7" s="1"/>
  <c r="I1840" i="7"/>
  <c r="O1840" i="7" s="1"/>
  <c r="I1768" i="7"/>
  <c r="O1768" i="7" s="1"/>
  <c r="I1696" i="7"/>
  <c r="O1696" i="7" s="1"/>
  <c r="I1624" i="7"/>
  <c r="O1624" i="7" s="1"/>
  <c r="I1552" i="7"/>
  <c r="O1552" i="7" s="1"/>
  <c r="I1480" i="7"/>
  <c r="O1480" i="7" s="1"/>
  <c r="I1408" i="7"/>
  <c r="O1408" i="7" s="1"/>
  <c r="I1336" i="7"/>
  <c r="O1336" i="7" s="1"/>
  <c r="I1264" i="7"/>
  <c r="O1264" i="7" s="1"/>
  <c r="I1192" i="7"/>
  <c r="O1192" i="7" s="1"/>
  <c r="I1120" i="7"/>
  <c r="O1120" i="7" s="1"/>
  <c r="I1048" i="7"/>
  <c r="O1048" i="7" s="1"/>
  <c r="I976" i="7"/>
  <c r="O976" i="7" s="1"/>
  <c r="I904" i="7"/>
  <c r="O904" i="7" s="1"/>
  <c r="I832" i="7"/>
  <c r="O832" i="7" s="1"/>
  <c r="I760" i="7"/>
  <c r="O760" i="7" s="1"/>
  <c r="I688" i="7"/>
  <c r="O688" i="7" s="1"/>
  <c r="I616" i="7"/>
  <c r="O616" i="7" s="1"/>
  <c r="I544" i="7"/>
  <c r="O544" i="7" s="1"/>
  <c r="I472" i="7"/>
  <c r="O472" i="7" s="1"/>
  <c r="I400" i="7"/>
  <c r="O400" i="7" s="1"/>
  <c r="I328" i="7"/>
  <c r="O328" i="7" s="1"/>
  <c r="I256" i="7"/>
  <c r="O256" i="7" s="1"/>
  <c r="I184" i="7"/>
  <c r="O184" i="7" s="1"/>
  <c r="I112" i="7"/>
  <c r="O112" i="7" s="1"/>
  <c r="I40" i="7"/>
  <c r="O40" i="7" s="1"/>
  <c r="I278" i="7"/>
  <c r="O278" i="7" s="1"/>
  <c r="I15" i="7"/>
  <c r="O15" i="7" s="1"/>
  <c r="I2290" i="7"/>
  <c r="O2290" i="7" s="1"/>
  <c r="I1714" i="7"/>
  <c r="O1714" i="7" s="1"/>
  <c r="I898" i="7"/>
  <c r="O898" i="7" s="1"/>
  <c r="I2526" i="7"/>
  <c r="O2526" i="7" s="1"/>
  <c r="I2370" i="7"/>
  <c r="O2370" i="7" s="1"/>
  <c r="I2214" i="7"/>
  <c r="O2214" i="7" s="1"/>
  <c r="I1974" i="7"/>
  <c r="O1974" i="7" s="1"/>
  <c r="I1818" i="7"/>
  <c r="O1818" i="7" s="1"/>
  <c r="I1662" i="7"/>
  <c r="O1662" i="7" s="1"/>
  <c r="I1506" i="7"/>
  <c r="O1506" i="7" s="1"/>
  <c r="I1350" i="7"/>
  <c r="O1350" i="7" s="1"/>
  <c r="I1110" i="7"/>
  <c r="O1110" i="7" s="1"/>
  <c r="I699" i="7"/>
  <c r="O699" i="7" s="1"/>
  <c r="I2256" i="7"/>
  <c r="O2256" i="7" s="1"/>
  <c r="I446" i="7"/>
  <c r="O446" i="7" s="1"/>
  <c r="I2506" i="7"/>
  <c r="O2506" i="7" s="1"/>
  <c r="I1930" i="7"/>
  <c r="O1930" i="7" s="1"/>
  <c r="I1354" i="7"/>
  <c r="O1354" i="7" s="1"/>
  <c r="I994" i="7"/>
  <c r="O994" i="7" s="1"/>
  <c r="I418" i="7"/>
  <c r="O418" i="7" s="1"/>
  <c r="I202" i="7"/>
  <c r="O202" i="7" s="1"/>
  <c r="I1536" i="7"/>
  <c r="O1536" i="7" s="1"/>
  <c r="I2685" i="7"/>
  <c r="O2685" i="7" s="1"/>
  <c r="I2181" i="7"/>
  <c r="O2181" i="7" s="1"/>
  <c r="I1929" i="7"/>
  <c r="O1929" i="7" s="1"/>
  <c r="I1713" i="7"/>
  <c r="O1713" i="7" s="1"/>
  <c r="I1497" i="7"/>
  <c r="O1497" i="7" s="1"/>
  <c r="I1281" i="7"/>
  <c r="O1281" i="7" s="1"/>
  <c r="I1065" i="7"/>
  <c r="O1065" i="7" s="1"/>
  <c r="I849" i="7"/>
  <c r="O849" i="7" s="1"/>
  <c r="I633" i="7"/>
  <c r="O633" i="7" s="1"/>
  <c r="I417" i="7"/>
  <c r="O417" i="7" s="1"/>
  <c r="I201" i="7"/>
  <c r="O201" i="7" s="1"/>
  <c r="I1500" i="7"/>
  <c r="O1500" i="7" s="1"/>
  <c r="I2625" i="7"/>
  <c r="O2625" i="7" s="1"/>
  <c r="I2588" i="7"/>
  <c r="O2588" i="7" s="1"/>
  <c r="I2372" i="7"/>
  <c r="O2372" i="7" s="1"/>
  <c r="I2156" i="7"/>
  <c r="O2156" i="7" s="1"/>
  <c r="I1940" i="7"/>
  <c r="O1940" i="7" s="1"/>
  <c r="I1724" i="7"/>
  <c r="O1724" i="7" s="1"/>
  <c r="I1508" i="7"/>
  <c r="O1508" i="7" s="1"/>
  <c r="I1292" i="7"/>
  <c r="O1292" i="7" s="1"/>
  <c r="I1076" i="7"/>
  <c r="O1076" i="7" s="1"/>
  <c r="I860" i="7"/>
  <c r="O860" i="7" s="1"/>
  <c r="I644" i="7"/>
  <c r="O644" i="7" s="1"/>
  <c r="I428" i="7"/>
  <c r="O428" i="7" s="1"/>
  <c r="I212" i="7"/>
  <c r="O212" i="7" s="1"/>
  <c r="I1572" i="7"/>
  <c r="O1572" i="7" s="1"/>
  <c r="I2673" i="7"/>
  <c r="O2673" i="7" s="1"/>
  <c r="I2587" i="7"/>
  <c r="O2587" i="7" s="1"/>
  <c r="I2371" i="7"/>
  <c r="O2371" i="7" s="1"/>
  <c r="I2155" i="7"/>
  <c r="O2155" i="7" s="1"/>
  <c r="I1855" i="7"/>
  <c r="O1855" i="7" s="1"/>
  <c r="I1759" i="7"/>
  <c r="O1759" i="7" s="1"/>
  <c r="I1567" i="7"/>
  <c r="O1567" i="7" s="1"/>
  <c r="I1471" i="7"/>
  <c r="O1471" i="7" s="1"/>
  <c r="I1279" i="7"/>
  <c r="O1279" i="7" s="1"/>
  <c r="I1195" i="7"/>
  <c r="O1195" i="7" s="1"/>
  <c r="I1111" i="7"/>
  <c r="O1111" i="7" s="1"/>
  <c r="I931" i="7"/>
  <c r="O931" i="7" s="1"/>
  <c r="I847" i="7"/>
  <c r="O847" i="7" s="1"/>
  <c r="I763" i="7"/>
  <c r="O763" i="7" s="1"/>
  <c r="I679" i="7"/>
  <c r="O679" i="7" s="1"/>
  <c r="I499" i="7"/>
  <c r="O499" i="7" s="1"/>
  <c r="I415" i="7"/>
  <c r="O415" i="7" s="1"/>
  <c r="I331" i="7"/>
  <c r="O331" i="7" s="1"/>
  <c r="I247" i="7"/>
  <c r="O247" i="7" s="1"/>
  <c r="I67" i="7"/>
  <c r="O67" i="7" s="1"/>
  <c r="I1512" i="7"/>
  <c r="O1512" i="7" s="1"/>
  <c r="I816" i="7"/>
  <c r="O816" i="7" s="1"/>
  <c r="I276" i="7"/>
  <c r="O276" i="7" s="1"/>
  <c r="I2682" i="7"/>
  <c r="O2682" i="7" s="1"/>
  <c r="I2598" i="7"/>
  <c r="O2598" i="7" s="1"/>
  <c r="I2442" i="7"/>
  <c r="O2442" i="7" s="1"/>
  <c r="I2286" i="7"/>
  <c r="O2286" i="7" s="1"/>
  <c r="I2046" i="7"/>
  <c r="O2046" i="7" s="1"/>
  <c r="I1890" i="7"/>
  <c r="O1890" i="7" s="1"/>
  <c r="I1734" i="7"/>
  <c r="O1734" i="7" s="1"/>
  <c r="I1578" i="7"/>
  <c r="O1578" i="7" s="1"/>
  <c r="I1422" i="7"/>
  <c r="O1422" i="7" s="1"/>
  <c r="I1182" i="7"/>
  <c r="O1182" i="7" s="1"/>
  <c r="I1026" i="7"/>
  <c r="O1026" i="7" s="1"/>
  <c r="I954" i="7"/>
  <c r="O954" i="7" s="1"/>
  <c r="I882" i="7"/>
  <c r="O882" i="7" s="1"/>
  <c r="I810" i="7"/>
  <c r="O810" i="7" s="1"/>
  <c r="I738" i="7"/>
  <c r="O738" i="7" s="1"/>
  <c r="I666" i="7"/>
  <c r="O666" i="7" s="1"/>
  <c r="I594" i="7"/>
  <c r="O594" i="7" s="1"/>
  <c r="I522" i="7"/>
  <c r="O522" i="7" s="1"/>
  <c r="I450" i="7"/>
  <c r="O450" i="7" s="1"/>
  <c r="I378" i="7"/>
  <c r="O378" i="7" s="1"/>
  <c r="I306" i="7"/>
  <c r="O306" i="7" s="1"/>
  <c r="I234" i="7"/>
  <c r="O234" i="7" s="1"/>
  <c r="I162" i="7"/>
  <c r="O162" i="7" s="1"/>
  <c r="I90" i="7"/>
  <c r="O90" i="7" s="1"/>
  <c r="I18" i="7"/>
  <c r="O18" i="7" s="1"/>
  <c r="I1152" i="7"/>
  <c r="O1152" i="7" s="1"/>
  <c r="I660" i="7"/>
  <c r="O660" i="7" s="1"/>
  <c r="I36" i="7"/>
  <c r="O36" i="7" s="1"/>
  <c r="I2645" i="7"/>
  <c r="O2645" i="7" s="1"/>
  <c r="I2573" i="7"/>
  <c r="O2573" i="7" s="1"/>
  <c r="I2501" i="7"/>
  <c r="O2501" i="7" s="1"/>
  <c r="I2429" i="7"/>
  <c r="O2429" i="7" s="1"/>
  <c r="I2357" i="7"/>
  <c r="O2357" i="7" s="1"/>
  <c r="I2285" i="7"/>
  <c r="O2285" i="7" s="1"/>
  <c r="I2213" i="7"/>
  <c r="O2213" i="7" s="1"/>
  <c r="I2141" i="7"/>
  <c r="O2141" i="7" s="1"/>
  <c r="I2069" i="7"/>
  <c r="O2069" i="7" s="1"/>
  <c r="I1997" i="7"/>
  <c r="O1997" i="7" s="1"/>
  <c r="I1925" i="7"/>
  <c r="O1925" i="7" s="1"/>
  <c r="I1853" i="7"/>
  <c r="O1853" i="7" s="1"/>
  <c r="I1781" i="7"/>
  <c r="O1781" i="7" s="1"/>
  <c r="I1709" i="7"/>
  <c r="O1709" i="7" s="1"/>
  <c r="I1637" i="7"/>
  <c r="O1637" i="7" s="1"/>
  <c r="I1565" i="7"/>
  <c r="O1565" i="7" s="1"/>
  <c r="I1493" i="7"/>
  <c r="O1493" i="7" s="1"/>
  <c r="I1421" i="7"/>
  <c r="O1421" i="7" s="1"/>
  <c r="I1349" i="7"/>
  <c r="O1349" i="7" s="1"/>
  <c r="I1277" i="7"/>
  <c r="O1277" i="7" s="1"/>
  <c r="I1205" i="7"/>
  <c r="O1205" i="7" s="1"/>
  <c r="I1133" i="7"/>
  <c r="O1133" i="7" s="1"/>
  <c r="I1061" i="7"/>
  <c r="O1061" i="7" s="1"/>
  <c r="I989" i="7"/>
  <c r="O989" i="7" s="1"/>
  <c r="I917" i="7"/>
  <c r="O917" i="7" s="1"/>
  <c r="I845" i="7"/>
  <c r="O845" i="7" s="1"/>
  <c r="I773" i="7"/>
  <c r="O773" i="7" s="1"/>
  <c r="I701" i="7"/>
  <c r="O701" i="7" s="1"/>
  <c r="I629" i="7"/>
  <c r="O629" i="7" s="1"/>
  <c r="I557" i="7"/>
  <c r="O557" i="7" s="1"/>
  <c r="I485" i="7"/>
  <c r="O485" i="7" s="1"/>
  <c r="I413" i="7"/>
  <c r="O413" i="7" s="1"/>
  <c r="I341" i="7"/>
  <c r="O341" i="7" s="1"/>
  <c r="I269" i="7"/>
  <c r="O269" i="7" s="1"/>
  <c r="I197" i="7"/>
  <c r="O197" i="7" s="1"/>
  <c r="I125" i="7"/>
  <c r="O125" i="7" s="1"/>
  <c r="I53" i="7"/>
  <c r="O53" i="7" s="1"/>
  <c r="I1560" i="7"/>
  <c r="O1560" i="7" s="1"/>
  <c r="I1032" i="7"/>
  <c r="O1032" i="7" s="1"/>
  <c r="I456" i="7"/>
  <c r="O456" i="7" s="1"/>
  <c r="I2692" i="7"/>
  <c r="O2692" i="7" s="1"/>
  <c r="I2620" i="7"/>
  <c r="O2620" i="7" s="1"/>
  <c r="I2548" i="7"/>
  <c r="O2548" i="7" s="1"/>
  <c r="I2476" i="7"/>
  <c r="O2476" i="7" s="1"/>
  <c r="I2404" i="7"/>
  <c r="O2404" i="7" s="1"/>
  <c r="I2332" i="7"/>
  <c r="O2332" i="7" s="1"/>
  <c r="I2260" i="7"/>
  <c r="O2260" i="7" s="1"/>
  <c r="I2188" i="7"/>
  <c r="O2188" i="7" s="1"/>
  <c r="I2116" i="7"/>
  <c r="O2116" i="7" s="1"/>
  <c r="I2044" i="7"/>
  <c r="O2044" i="7" s="1"/>
  <c r="I1972" i="7"/>
  <c r="O1972" i="7" s="1"/>
  <c r="I1900" i="7"/>
  <c r="O1900" i="7" s="1"/>
  <c r="I1828" i="7"/>
  <c r="O1828" i="7" s="1"/>
  <c r="I1756" i="7"/>
  <c r="O1756" i="7" s="1"/>
  <c r="I1684" i="7"/>
  <c r="O1684" i="7" s="1"/>
  <c r="I1612" i="7"/>
  <c r="O1612" i="7" s="1"/>
  <c r="I1540" i="7"/>
  <c r="O1540" i="7" s="1"/>
  <c r="I1468" i="7"/>
  <c r="O1468" i="7" s="1"/>
  <c r="I1396" i="7"/>
  <c r="O1396" i="7" s="1"/>
  <c r="I1324" i="7"/>
  <c r="O1324" i="7" s="1"/>
  <c r="I1252" i="7"/>
  <c r="O1252" i="7" s="1"/>
  <c r="I1180" i="7"/>
  <c r="O1180" i="7" s="1"/>
  <c r="I1108" i="7"/>
  <c r="O1108" i="7" s="1"/>
  <c r="I1036" i="7"/>
  <c r="O1036" i="7" s="1"/>
  <c r="I964" i="7"/>
  <c r="O964" i="7" s="1"/>
  <c r="I892" i="7"/>
  <c r="O892" i="7" s="1"/>
  <c r="I820" i="7"/>
  <c r="O820" i="7" s="1"/>
  <c r="I748" i="7"/>
  <c r="O748" i="7" s="1"/>
  <c r="I676" i="7"/>
  <c r="O676" i="7" s="1"/>
  <c r="I604" i="7"/>
  <c r="O604" i="7" s="1"/>
  <c r="I532" i="7"/>
  <c r="O532" i="7" s="1"/>
  <c r="I460" i="7"/>
  <c r="O460" i="7" s="1"/>
  <c r="I388" i="7"/>
  <c r="O388" i="7" s="1"/>
  <c r="I316" i="7"/>
  <c r="O316" i="7" s="1"/>
  <c r="I244" i="7"/>
  <c r="O244" i="7" s="1"/>
  <c r="I172" i="7"/>
  <c r="O172" i="7" s="1"/>
  <c r="I100" i="7"/>
  <c r="O100" i="7" s="1"/>
  <c r="I28" i="7"/>
  <c r="O28" i="7" s="1"/>
  <c r="I878" i="7"/>
  <c r="O878" i="7" s="1"/>
  <c r="I1263" i="7"/>
  <c r="O1263" i="7" s="1"/>
  <c r="I2439" i="7"/>
  <c r="O2439" i="7" s="1"/>
  <c r="I1057" i="7"/>
  <c r="O1057" i="7" s="1"/>
  <c r="I649" i="7"/>
  <c r="O649" i="7" s="1"/>
  <c r="I1355" i="7"/>
  <c r="O1355" i="7" s="1"/>
  <c r="I1079" i="7"/>
  <c r="O1079" i="7" s="1"/>
  <c r="I419" i="7"/>
  <c r="O419" i="7" s="1"/>
  <c r="I2386" i="7"/>
  <c r="O2386" i="7" s="1"/>
  <c r="I1810" i="7"/>
  <c r="O1810" i="7" s="1"/>
  <c r="I1234" i="7"/>
  <c r="O1234" i="7" s="1"/>
  <c r="I634" i="7"/>
  <c r="O634" i="7" s="1"/>
  <c r="I1939" i="7"/>
  <c r="O1939" i="7" s="1"/>
  <c r="I1651" i="7"/>
  <c r="O1651" i="7" s="1"/>
  <c r="I1363" i="7"/>
  <c r="O1363" i="7" s="1"/>
  <c r="I2514" i="7"/>
  <c r="O2514" i="7" s="1"/>
  <c r="I2358" i="7"/>
  <c r="O2358" i="7" s="1"/>
  <c r="I2118" i="7"/>
  <c r="O2118" i="7" s="1"/>
  <c r="I1962" i="7"/>
  <c r="O1962" i="7" s="1"/>
  <c r="I1806" i="7"/>
  <c r="O1806" i="7" s="1"/>
  <c r="I1650" i="7"/>
  <c r="O1650" i="7" s="1"/>
  <c r="I1494" i="7"/>
  <c r="O1494" i="7" s="1"/>
  <c r="I1254" i="7"/>
  <c r="O1254" i="7" s="1"/>
  <c r="I1098" i="7"/>
  <c r="O1098" i="7" s="1"/>
  <c r="I24" i="7"/>
  <c r="O24" i="7" s="1"/>
  <c r="I2642" i="7"/>
  <c r="O2642" i="7" s="1"/>
  <c r="I1107" i="7"/>
  <c r="O1107" i="7" s="1"/>
  <c r="I2281" i="7"/>
  <c r="O2281" i="7" s="1"/>
  <c r="I769" i="7"/>
  <c r="O769" i="7" s="1"/>
  <c r="I2579" i="7"/>
  <c r="O2579" i="7" s="1"/>
  <c r="I2602" i="7"/>
  <c r="O2602" i="7" s="1"/>
  <c r="I2026" i="7"/>
  <c r="O2026" i="7" s="1"/>
  <c r="I1450" i="7"/>
  <c r="O1450" i="7" s="1"/>
  <c r="I1090" i="7"/>
  <c r="O1090" i="7" s="1"/>
  <c r="I982" i="7"/>
  <c r="O982" i="7" s="1"/>
  <c r="I406" i="7"/>
  <c r="O406" i="7" s="1"/>
  <c r="I190" i="7"/>
  <c r="O190" i="7" s="1"/>
  <c r="I1452" i="7"/>
  <c r="O1452" i="7" s="1"/>
  <c r="I2529" i="7"/>
  <c r="O2529" i="7" s="1"/>
  <c r="I2169" i="7"/>
  <c r="O2169" i="7" s="1"/>
  <c r="I1917" i="7"/>
  <c r="O1917" i="7" s="1"/>
  <c r="I1701" i="7"/>
  <c r="O1701" i="7" s="1"/>
  <c r="I1485" i="7"/>
  <c r="O1485" i="7" s="1"/>
  <c r="I1269" i="7"/>
  <c r="O1269" i="7" s="1"/>
  <c r="I1053" i="7"/>
  <c r="O1053" i="7" s="1"/>
  <c r="I837" i="7"/>
  <c r="O837" i="7" s="1"/>
  <c r="I621" i="7"/>
  <c r="O621" i="7" s="1"/>
  <c r="I405" i="7"/>
  <c r="O405" i="7" s="1"/>
  <c r="I189" i="7"/>
  <c r="O189" i="7" s="1"/>
  <c r="I1416" i="7"/>
  <c r="O1416" i="7" s="1"/>
  <c r="I2601" i="7"/>
  <c r="O2601" i="7" s="1"/>
  <c r="I2576" i="7"/>
  <c r="O2576" i="7" s="1"/>
  <c r="I2360" i="7"/>
  <c r="O2360" i="7" s="1"/>
  <c r="I2144" i="7"/>
  <c r="O2144" i="7" s="1"/>
  <c r="I1928" i="7"/>
  <c r="O1928" i="7" s="1"/>
  <c r="I1712" i="7"/>
  <c r="O1712" i="7" s="1"/>
  <c r="I1496" i="7"/>
  <c r="O1496" i="7" s="1"/>
  <c r="I1280" i="7"/>
  <c r="O1280" i="7" s="1"/>
  <c r="I1064" i="7"/>
  <c r="O1064" i="7" s="1"/>
  <c r="I848" i="7"/>
  <c r="O848" i="7" s="1"/>
  <c r="I632" i="7"/>
  <c r="O632" i="7" s="1"/>
  <c r="I416" i="7"/>
  <c r="O416" i="7" s="1"/>
  <c r="I200" i="7"/>
  <c r="O200" i="7" s="1"/>
  <c r="I1488" i="7"/>
  <c r="O1488" i="7" s="1"/>
  <c r="I2637" i="7"/>
  <c r="O2637" i="7" s="1"/>
  <c r="I2575" i="7"/>
  <c r="O2575" i="7" s="1"/>
  <c r="I2359" i="7"/>
  <c r="O2359" i="7" s="1"/>
  <c r="I2143" i="7"/>
  <c r="O2143" i="7" s="1"/>
  <c r="I1267" i="7"/>
  <c r="O1267" i="7" s="1"/>
  <c r="I1183" i="7"/>
  <c r="O1183" i="7" s="1"/>
  <c r="I1003" i="7"/>
  <c r="O1003" i="7" s="1"/>
  <c r="I919" i="7"/>
  <c r="O919" i="7" s="1"/>
  <c r="I835" i="7"/>
  <c r="O835" i="7" s="1"/>
  <c r="I751" i="7"/>
  <c r="O751" i="7" s="1"/>
  <c r="I571" i="7"/>
  <c r="O571" i="7" s="1"/>
  <c r="I487" i="7"/>
  <c r="O487" i="7" s="1"/>
  <c r="I403" i="7"/>
  <c r="O403" i="7" s="1"/>
  <c r="I319" i="7"/>
  <c r="O319" i="7" s="1"/>
  <c r="I139" i="7"/>
  <c r="O139" i="7" s="1"/>
  <c r="I55" i="7"/>
  <c r="O55" i="7" s="1"/>
  <c r="I1428" i="7"/>
  <c r="O1428" i="7" s="1"/>
  <c r="I720" i="7"/>
  <c r="O720" i="7" s="1"/>
  <c r="I2493" i="7"/>
  <c r="O2493" i="7" s="1"/>
  <c r="I2670" i="7"/>
  <c r="O2670" i="7" s="1"/>
  <c r="I2586" i="7"/>
  <c r="O2586" i="7" s="1"/>
  <c r="I2430" i="7"/>
  <c r="O2430" i="7" s="1"/>
  <c r="I2190" i="7"/>
  <c r="O2190" i="7" s="1"/>
  <c r="I2034" i="7"/>
  <c r="O2034" i="7" s="1"/>
  <c r="I1878" i="7"/>
  <c r="O1878" i="7" s="1"/>
  <c r="I1722" i="7"/>
  <c r="O1722" i="7" s="1"/>
  <c r="I1566" i="7"/>
  <c r="O1566" i="7" s="1"/>
  <c r="I1326" i="7"/>
  <c r="O1326" i="7" s="1"/>
  <c r="I1170" i="7"/>
  <c r="O1170" i="7" s="1"/>
  <c r="I1014" i="7"/>
  <c r="O1014" i="7" s="1"/>
  <c r="I942" i="7"/>
  <c r="O942" i="7" s="1"/>
  <c r="I870" i="7"/>
  <c r="O870" i="7" s="1"/>
  <c r="I798" i="7"/>
  <c r="O798" i="7" s="1"/>
  <c r="I726" i="7"/>
  <c r="O726" i="7" s="1"/>
  <c r="I654" i="7"/>
  <c r="O654" i="7" s="1"/>
  <c r="I582" i="7"/>
  <c r="O582" i="7" s="1"/>
  <c r="I510" i="7"/>
  <c r="O510" i="7" s="1"/>
  <c r="I438" i="7"/>
  <c r="O438" i="7" s="1"/>
  <c r="I366" i="7"/>
  <c r="O366" i="7" s="1"/>
  <c r="I294" i="7"/>
  <c r="O294" i="7" s="1"/>
  <c r="I222" i="7"/>
  <c r="O222" i="7" s="1"/>
  <c r="I150" i="7"/>
  <c r="O150" i="7" s="1"/>
  <c r="I78" i="7"/>
  <c r="O78" i="7" s="1"/>
  <c r="I6" i="7"/>
  <c r="O6" i="7" s="1"/>
  <c r="I1056" i="7"/>
  <c r="O1056" i="7" s="1"/>
  <c r="I576" i="7"/>
  <c r="O576" i="7" s="1"/>
  <c r="I2705" i="7"/>
  <c r="O2705" i="7" s="1"/>
  <c r="I2633" i="7"/>
  <c r="O2633" i="7" s="1"/>
  <c r="I2561" i="7"/>
  <c r="O2561" i="7" s="1"/>
  <c r="I2489" i="7"/>
  <c r="O2489" i="7" s="1"/>
  <c r="I2417" i="7"/>
  <c r="O2417" i="7" s="1"/>
  <c r="I2345" i="7"/>
  <c r="O2345" i="7" s="1"/>
  <c r="I2273" i="7"/>
  <c r="O2273" i="7" s="1"/>
  <c r="I2201" i="7"/>
  <c r="O2201" i="7" s="1"/>
  <c r="I2129" i="7"/>
  <c r="O2129" i="7" s="1"/>
  <c r="I2057" i="7"/>
  <c r="O2057" i="7" s="1"/>
  <c r="I1985" i="7"/>
  <c r="O1985" i="7" s="1"/>
  <c r="I1913" i="7"/>
  <c r="O1913" i="7" s="1"/>
  <c r="I1841" i="7"/>
  <c r="O1841" i="7" s="1"/>
  <c r="I1769" i="7"/>
  <c r="O1769" i="7" s="1"/>
  <c r="I1697" i="7"/>
  <c r="O1697" i="7" s="1"/>
  <c r="I1625" i="7"/>
  <c r="O1625" i="7" s="1"/>
  <c r="I1553" i="7"/>
  <c r="O1553" i="7" s="1"/>
  <c r="I1481" i="7"/>
  <c r="O1481" i="7" s="1"/>
  <c r="I1409" i="7"/>
  <c r="O1409" i="7" s="1"/>
  <c r="I1337" i="7"/>
  <c r="O1337" i="7" s="1"/>
  <c r="I1265" i="7"/>
  <c r="O1265" i="7" s="1"/>
  <c r="I1193" i="7"/>
  <c r="O1193" i="7" s="1"/>
  <c r="I1121" i="7"/>
  <c r="O1121" i="7" s="1"/>
  <c r="I1049" i="7"/>
  <c r="O1049" i="7" s="1"/>
  <c r="I977" i="7"/>
  <c r="O977" i="7" s="1"/>
  <c r="I905" i="7"/>
  <c r="O905" i="7" s="1"/>
  <c r="I833" i="7"/>
  <c r="O833" i="7" s="1"/>
  <c r="I761" i="7"/>
  <c r="O761" i="7" s="1"/>
  <c r="I689" i="7"/>
  <c r="O689" i="7" s="1"/>
  <c r="I617" i="7"/>
  <c r="O617" i="7" s="1"/>
  <c r="I545" i="7"/>
  <c r="O545" i="7" s="1"/>
  <c r="I473" i="7"/>
  <c r="O473" i="7" s="1"/>
  <c r="I401" i="7"/>
  <c r="O401" i="7" s="1"/>
  <c r="I329" i="7"/>
  <c r="O329" i="7" s="1"/>
  <c r="I257" i="7"/>
  <c r="O257" i="7" s="1"/>
  <c r="I185" i="7"/>
  <c r="O185" i="7" s="1"/>
  <c r="I113" i="7"/>
  <c r="O113" i="7" s="1"/>
  <c r="I41" i="7"/>
  <c r="O41" i="7" s="1"/>
  <c r="I1464" i="7"/>
  <c r="O1464" i="7" s="1"/>
  <c r="I948" i="7"/>
  <c r="O948" i="7" s="1"/>
  <c r="I396" i="7"/>
  <c r="O396" i="7" s="1"/>
  <c r="I2680" i="7"/>
  <c r="O2680" i="7" s="1"/>
  <c r="I2608" i="7"/>
  <c r="O2608" i="7" s="1"/>
  <c r="I2536" i="7"/>
  <c r="O2536" i="7" s="1"/>
  <c r="I2464" i="7"/>
  <c r="O2464" i="7" s="1"/>
  <c r="I2392" i="7"/>
  <c r="O2392" i="7" s="1"/>
  <c r="I2320" i="7"/>
  <c r="O2320" i="7" s="1"/>
  <c r="I2248" i="7"/>
  <c r="O2248" i="7" s="1"/>
  <c r="I2176" i="7"/>
  <c r="O2176" i="7" s="1"/>
  <c r="I2104" i="7"/>
  <c r="O2104" i="7" s="1"/>
  <c r="I2032" i="7"/>
  <c r="O2032" i="7" s="1"/>
  <c r="I1960" i="7"/>
  <c r="O1960" i="7" s="1"/>
  <c r="I1888" i="7"/>
  <c r="O1888" i="7" s="1"/>
  <c r="I1816" i="7"/>
  <c r="O1816" i="7" s="1"/>
  <c r="I1744" i="7"/>
  <c r="O1744" i="7" s="1"/>
  <c r="I1672" i="7"/>
  <c r="O1672" i="7" s="1"/>
  <c r="I1600" i="7"/>
  <c r="O1600" i="7" s="1"/>
  <c r="I1528" i="7"/>
  <c r="O1528" i="7" s="1"/>
  <c r="I1456" i="7"/>
  <c r="O1456" i="7" s="1"/>
  <c r="I1384" i="7"/>
  <c r="O1384" i="7" s="1"/>
  <c r="I1312" i="7"/>
  <c r="O1312" i="7" s="1"/>
  <c r="I1240" i="7"/>
  <c r="O1240" i="7" s="1"/>
  <c r="I1168" i="7"/>
  <c r="O1168" i="7" s="1"/>
  <c r="I1096" i="7"/>
  <c r="O1096" i="7" s="1"/>
  <c r="I1024" i="7"/>
  <c r="O1024" i="7" s="1"/>
  <c r="I952" i="7"/>
  <c r="O952" i="7" s="1"/>
  <c r="I880" i="7"/>
  <c r="O880" i="7" s="1"/>
  <c r="I808" i="7"/>
  <c r="O808" i="7" s="1"/>
  <c r="I736" i="7"/>
  <c r="O736" i="7" s="1"/>
  <c r="I664" i="7"/>
  <c r="O664" i="7" s="1"/>
  <c r="I592" i="7"/>
  <c r="O592" i="7" s="1"/>
  <c r="I520" i="7"/>
  <c r="O520" i="7" s="1"/>
  <c r="I448" i="7"/>
  <c r="O448" i="7" s="1"/>
  <c r="I376" i="7"/>
  <c r="O376" i="7" s="1"/>
  <c r="I304" i="7"/>
  <c r="O304" i="7" s="1"/>
  <c r="I232" i="7"/>
  <c r="O232" i="7" s="1"/>
  <c r="I160" i="7"/>
  <c r="O160" i="7" s="1"/>
  <c r="I88" i="7"/>
  <c r="O88" i="7" s="1"/>
  <c r="I16" i="7"/>
  <c r="O16" i="7" s="1"/>
  <c r="I2067" i="7"/>
  <c r="O2067" i="7" s="1"/>
  <c r="I1058" i="7"/>
  <c r="O1058" i="7" s="1"/>
  <c r="I2482" i="7"/>
  <c r="O2482" i="7" s="1"/>
  <c r="I1906" i="7"/>
  <c r="O1906" i="7" s="1"/>
  <c r="I1330" i="7"/>
  <c r="O1330" i="7" s="1"/>
  <c r="I1927" i="7"/>
  <c r="O1927" i="7" s="1"/>
  <c r="I1831" i="7"/>
  <c r="O1831" i="7" s="1"/>
  <c r="I1639" i="7"/>
  <c r="O1639" i="7" s="1"/>
  <c r="I1543" i="7"/>
  <c r="O1543" i="7" s="1"/>
  <c r="I1351" i="7"/>
  <c r="O1351" i="7" s="1"/>
  <c r="I2502" i="7"/>
  <c r="O2502" i="7" s="1"/>
  <c r="I2262" i="7"/>
  <c r="O2262" i="7" s="1"/>
  <c r="I2106" i="7"/>
  <c r="O2106" i="7" s="1"/>
  <c r="I1950" i="7"/>
  <c r="O1950" i="7" s="1"/>
  <c r="I1794" i="7"/>
  <c r="O1794" i="7" s="1"/>
  <c r="I1638" i="7"/>
  <c r="O1638" i="7" s="1"/>
  <c r="I1398" i="7"/>
  <c r="O1398" i="7" s="1"/>
  <c r="I1242" i="7"/>
  <c r="O1242" i="7" s="1"/>
  <c r="I1086" i="7"/>
  <c r="O1086" i="7" s="1"/>
  <c r="I2126" i="7"/>
  <c r="O2126" i="7" s="1"/>
  <c r="I1551" i="7"/>
  <c r="O1551" i="7" s="1"/>
  <c r="I2698" i="7"/>
  <c r="O2698" i="7" s="1"/>
  <c r="I2122" i="7"/>
  <c r="O2122" i="7" s="1"/>
  <c r="I1546" i="7"/>
  <c r="O1546" i="7" s="1"/>
  <c r="I490" i="7"/>
  <c r="O490" i="7" s="1"/>
  <c r="I274" i="7"/>
  <c r="O274" i="7" s="1"/>
  <c r="I58" i="7"/>
  <c r="O58" i="7" s="1"/>
  <c r="I480" i="7"/>
  <c r="O480" i="7" s="1"/>
  <c r="I2253" i="7"/>
  <c r="O2253" i="7" s="1"/>
  <c r="I2001" i="7"/>
  <c r="O2001" i="7" s="1"/>
  <c r="I1785" i="7"/>
  <c r="O1785" i="7" s="1"/>
  <c r="I1569" i="7"/>
  <c r="O1569" i="7" s="1"/>
  <c r="I1353" i="7"/>
  <c r="O1353" i="7" s="1"/>
  <c r="I1137" i="7"/>
  <c r="O1137" i="7" s="1"/>
  <c r="I921" i="7"/>
  <c r="O921" i="7" s="1"/>
  <c r="I705" i="7"/>
  <c r="O705" i="7" s="1"/>
  <c r="I489" i="7"/>
  <c r="O489" i="7" s="1"/>
  <c r="I273" i="7"/>
  <c r="O273" i="7" s="1"/>
  <c r="I57" i="7"/>
  <c r="O57" i="7" s="1"/>
  <c r="I336" i="7"/>
  <c r="O336" i="7" s="1"/>
  <c r="I2660" i="7"/>
  <c r="O2660" i="7" s="1"/>
  <c r="I2444" i="7"/>
  <c r="O2444" i="7" s="1"/>
  <c r="I2228" i="7"/>
  <c r="O2228" i="7" s="1"/>
  <c r="I2012" i="7"/>
  <c r="O2012" i="7" s="1"/>
  <c r="I1796" i="7"/>
  <c r="O1796" i="7" s="1"/>
  <c r="I1580" i="7"/>
  <c r="O1580" i="7" s="1"/>
  <c r="I1364" i="7"/>
  <c r="O1364" i="7" s="1"/>
  <c r="I1148" i="7"/>
  <c r="O1148" i="7" s="1"/>
  <c r="I932" i="7"/>
  <c r="O932" i="7" s="1"/>
  <c r="I716" i="7"/>
  <c r="O716" i="7" s="1"/>
  <c r="I500" i="7"/>
  <c r="O500" i="7" s="1"/>
  <c r="I284" i="7"/>
  <c r="O284" i="7" s="1"/>
  <c r="I68" i="7"/>
  <c r="O68" i="7" s="1"/>
  <c r="I528" i="7"/>
  <c r="O528" i="7" s="1"/>
  <c r="I2659" i="7"/>
  <c r="O2659" i="7" s="1"/>
  <c r="I2443" i="7"/>
  <c r="O2443" i="7" s="1"/>
  <c r="I2227" i="7"/>
  <c r="O2227" i="7" s="1"/>
  <c r="I2011" i="7"/>
  <c r="O2011" i="7" s="1"/>
  <c r="I1723" i="7"/>
  <c r="O1723" i="7" s="1"/>
  <c r="I1435" i="7"/>
  <c r="O1435" i="7" s="1"/>
  <c r="I1255" i="7"/>
  <c r="O1255" i="7" s="1"/>
  <c r="I1075" i="7"/>
  <c r="O1075" i="7" s="1"/>
  <c r="I991" i="7"/>
  <c r="O991" i="7" s="1"/>
  <c r="I907" i="7"/>
  <c r="O907" i="7" s="1"/>
  <c r="I823" i="7"/>
  <c r="O823" i="7" s="1"/>
  <c r="I643" i="7"/>
  <c r="O643" i="7" s="1"/>
  <c r="I559" i="7"/>
  <c r="O559" i="7" s="1"/>
  <c r="I475" i="7"/>
  <c r="O475" i="7" s="1"/>
  <c r="I391" i="7"/>
  <c r="O391" i="7" s="1"/>
  <c r="I211" i="7"/>
  <c r="O211" i="7" s="1"/>
  <c r="I127" i="7"/>
  <c r="O127" i="7" s="1"/>
  <c r="I43" i="7"/>
  <c r="O43" i="7" s="1"/>
  <c r="I1332" i="7"/>
  <c r="O1332" i="7" s="1"/>
  <c r="I72" i="7"/>
  <c r="O72" i="7" s="1"/>
  <c r="I2445" i="7"/>
  <c r="O2445" i="7" s="1"/>
  <c r="I2658" i="7"/>
  <c r="O2658" i="7" s="1"/>
  <c r="I2574" i="7"/>
  <c r="O2574" i="7" s="1"/>
  <c r="I2334" i="7"/>
  <c r="O2334" i="7" s="1"/>
  <c r="I2178" i="7"/>
  <c r="O2178" i="7" s="1"/>
  <c r="I2022" i="7"/>
  <c r="O2022" i="7" s="1"/>
  <c r="I1866" i="7"/>
  <c r="O1866" i="7" s="1"/>
  <c r="I1710" i="7"/>
  <c r="O1710" i="7" s="1"/>
  <c r="I1470" i="7"/>
  <c r="O1470" i="7" s="1"/>
  <c r="I1314" i="7"/>
  <c r="O1314" i="7" s="1"/>
  <c r="I1158" i="7"/>
  <c r="O1158" i="7" s="1"/>
  <c r="I1002" i="7"/>
  <c r="O1002" i="7" s="1"/>
  <c r="I930" i="7"/>
  <c r="O930" i="7" s="1"/>
  <c r="I858" i="7"/>
  <c r="O858" i="7" s="1"/>
  <c r="I786" i="7"/>
  <c r="O786" i="7" s="1"/>
  <c r="I714" i="7"/>
  <c r="O714" i="7" s="1"/>
  <c r="I642" i="7"/>
  <c r="O642" i="7" s="1"/>
  <c r="I570" i="7"/>
  <c r="O570" i="7" s="1"/>
  <c r="I498" i="7"/>
  <c r="O498" i="7" s="1"/>
  <c r="I426" i="7"/>
  <c r="O426" i="7" s="1"/>
  <c r="I354" i="7"/>
  <c r="O354" i="7" s="1"/>
  <c r="I282" i="7"/>
  <c r="O282" i="7" s="1"/>
  <c r="I210" i="7"/>
  <c r="O210" i="7" s="1"/>
  <c r="I138" i="7"/>
  <c r="O138" i="7" s="1"/>
  <c r="I66" i="7"/>
  <c r="O66" i="7" s="1"/>
  <c r="I1524" i="7"/>
  <c r="O1524" i="7" s="1"/>
  <c r="I936" i="7"/>
  <c r="O936" i="7" s="1"/>
  <c r="I468" i="7"/>
  <c r="O468" i="7" s="1"/>
  <c r="I2693" i="7"/>
  <c r="O2693" i="7" s="1"/>
  <c r="I2621" i="7"/>
  <c r="O2621" i="7" s="1"/>
  <c r="I1395" i="7"/>
  <c r="O1395" i="7" s="1"/>
  <c r="I1190" i="7"/>
  <c r="O1190" i="7" s="1"/>
  <c r="I2497" i="7"/>
  <c r="O2497" i="7" s="1"/>
  <c r="I1417" i="7"/>
  <c r="O1417" i="7" s="1"/>
  <c r="I888" i="7"/>
  <c r="O888" i="7" s="1"/>
  <c r="I1715" i="7"/>
  <c r="O1715" i="7" s="1"/>
  <c r="I1296" i="7"/>
  <c r="O1296" i="7" s="1"/>
  <c r="I2218" i="7"/>
  <c r="O2218" i="7" s="1"/>
  <c r="I1642" i="7"/>
  <c r="O1642" i="7" s="1"/>
  <c r="I826" i="7"/>
  <c r="O826" i="7" s="1"/>
  <c r="I478" i="7"/>
  <c r="O478" i="7" s="1"/>
  <c r="I262" i="7"/>
  <c r="O262" i="7" s="1"/>
  <c r="I46" i="7"/>
  <c r="O46" i="7" s="1"/>
  <c r="I408" i="7"/>
  <c r="O408" i="7" s="1"/>
  <c r="I2241" i="7"/>
  <c r="O2241" i="7" s="1"/>
  <c r="I1989" i="7"/>
  <c r="O1989" i="7" s="1"/>
  <c r="I1773" i="7"/>
  <c r="O1773" i="7" s="1"/>
  <c r="I1557" i="7"/>
  <c r="O1557" i="7" s="1"/>
  <c r="I1341" i="7"/>
  <c r="O1341" i="7" s="1"/>
  <c r="I1125" i="7"/>
  <c r="O1125" i="7" s="1"/>
  <c r="I909" i="7"/>
  <c r="O909" i="7" s="1"/>
  <c r="I693" i="7"/>
  <c r="O693" i="7" s="1"/>
  <c r="I477" i="7"/>
  <c r="O477" i="7" s="1"/>
  <c r="I261" i="7"/>
  <c r="O261" i="7" s="1"/>
  <c r="I45" i="7"/>
  <c r="O45" i="7" s="1"/>
  <c r="I252" i="7"/>
  <c r="O252" i="7" s="1"/>
  <c r="I2648" i="7"/>
  <c r="O2648" i="7" s="1"/>
  <c r="I2432" i="7"/>
  <c r="O2432" i="7" s="1"/>
  <c r="I2216" i="7"/>
  <c r="O2216" i="7" s="1"/>
  <c r="I2000" i="7"/>
  <c r="O2000" i="7" s="1"/>
  <c r="I1784" i="7"/>
  <c r="O1784" i="7" s="1"/>
  <c r="I1568" i="7"/>
  <c r="O1568" i="7" s="1"/>
  <c r="I1352" i="7"/>
  <c r="O1352" i="7" s="1"/>
  <c r="I1136" i="7"/>
  <c r="O1136" i="7" s="1"/>
  <c r="I920" i="7"/>
  <c r="O920" i="7" s="1"/>
  <c r="I704" i="7"/>
  <c r="O704" i="7" s="1"/>
  <c r="I488" i="7"/>
  <c r="O488" i="7" s="1"/>
  <c r="I272" i="7"/>
  <c r="O272" i="7" s="1"/>
  <c r="I56" i="7"/>
  <c r="O56" i="7" s="1"/>
  <c r="I420" i="7"/>
  <c r="O420" i="7" s="1"/>
  <c r="I2647" i="7"/>
  <c r="O2647" i="7" s="1"/>
  <c r="I2431" i="7"/>
  <c r="O2431" i="7" s="1"/>
  <c r="I2215" i="7"/>
  <c r="O2215" i="7" s="1"/>
  <c r="I1999" i="7"/>
  <c r="O1999" i="7" s="1"/>
  <c r="I1903" i="7"/>
  <c r="O1903" i="7" s="1"/>
  <c r="I1711" i="7"/>
  <c r="O1711" i="7" s="1"/>
  <c r="I1615" i="7"/>
  <c r="O1615" i="7" s="1"/>
  <c r="I1423" i="7"/>
  <c r="O1423" i="7" s="1"/>
  <c r="I1327" i="7"/>
  <c r="O1327" i="7" s="1"/>
  <c r="I1147" i="7"/>
  <c r="O1147" i="7" s="1"/>
  <c r="I1063" i="7"/>
  <c r="O1063" i="7" s="1"/>
  <c r="I979" i="7"/>
  <c r="O979" i="7" s="1"/>
  <c r="I895" i="7"/>
  <c r="O895" i="7" s="1"/>
  <c r="I715" i="7"/>
  <c r="O715" i="7" s="1"/>
  <c r="I631" i="7"/>
  <c r="O631" i="7" s="1"/>
  <c r="I547" i="7"/>
  <c r="O547" i="7" s="1"/>
  <c r="I463" i="7"/>
  <c r="O463" i="7" s="1"/>
  <c r="I283" i="7"/>
  <c r="O283" i="7" s="1"/>
  <c r="I199" i="7"/>
  <c r="O199" i="7" s="1"/>
  <c r="I115" i="7"/>
  <c r="O115" i="7" s="1"/>
  <c r="I31" i="7"/>
  <c r="O31" i="7" s="1"/>
  <c r="I504" i="7"/>
  <c r="O504" i="7" s="1"/>
  <c r="I12" i="7"/>
  <c r="O12" i="7" s="1"/>
  <c r="I2385" i="7"/>
  <c r="O2385" i="7" s="1"/>
  <c r="I2646" i="7"/>
  <c r="O2646" i="7" s="1"/>
  <c r="I2478" i="7"/>
  <c r="O2478" i="7" s="1"/>
  <c r="I2322" i="7"/>
  <c r="O2322" i="7" s="1"/>
  <c r="I2166" i="7"/>
  <c r="O2166" i="7" s="1"/>
  <c r="I2010" i="7"/>
  <c r="O2010" i="7" s="1"/>
  <c r="I1854" i="7"/>
  <c r="O1854" i="7" s="1"/>
  <c r="I1614" i="7"/>
  <c r="O1614" i="7" s="1"/>
  <c r="I1458" i="7"/>
  <c r="O1458" i="7" s="1"/>
  <c r="I1302" i="7"/>
  <c r="O1302" i="7" s="1"/>
  <c r="I1146" i="7"/>
  <c r="O1146" i="7" s="1"/>
  <c r="I990" i="7"/>
  <c r="O990" i="7" s="1"/>
  <c r="I918" i="7"/>
  <c r="O918" i="7" s="1"/>
  <c r="I846" i="7"/>
  <c r="O846" i="7" s="1"/>
  <c r="I774" i="7"/>
  <c r="O774" i="7" s="1"/>
  <c r="I702" i="7"/>
  <c r="O702" i="7" s="1"/>
  <c r="I630" i="7"/>
  <c r="O630" i="7" s="1"/>
  <c r="I558" i="7"/>
  <c r="O558" i="7" s="1"/>
  <c r="I486" i="7"/>
  <c r="O486" i="7" s="1"/>
  <c r="I414" i="7"/>
  <c r="O414" i="7" s="1"/>
  <c r="I342" i="7"/>
  <c r="O342" i="7" s="1"/>
  <c r="I270" i="7"/>
  <c r="O270" i="7" s="1"/>
  <c r="I198" i="7"/>
  <c r="O198" i="7" s="1"/>
  <c r="I126" i="7"/>
  <c r="O126" i="7" s="1"/>
  <c r="I54" i="7"/>
  <c r="O54" i="7" s="1"/>
  <c r="I1380" i="7"/>
  <c r="O1380" i="7" s="1"/>
  <c r="I876" i="7"/>
  <c r="O876" i="7" s="1"/>
  <c r="I384" i="7"/>
  <c r="O384" i="7" s="1"/>
  <c r="I2681" i="7"/>
  <c r="O2681" i="7" s="1"/>
  <c r="I2609" i="7"/>
  <c r="O2609" i="7" s="1"/>
  <c r="I2537" i="7"/>
  <c r="O2537" i="7" s="1"/>
  <c r="I2465" i="7"/>
  <c r="O2465" i="7" s="1"/>
  <c r="I2393" i="7"/>
  <c r="O2393" i="7" s="1"/>
  <c r="I2321" i="7"/>
  <c r="O2321" i="7" s="1"/>
  <c r="I2249" i="7"/>
  <c r="O2249" i="7" s="1"/>
  <c r="I2177" i="7"/>
  <c r="O2177" i="7" s="1"/>
  <c r="I2105" i="7"/>
  <c r="O2105" i="7" s="1"/>
  <c r="I2033" i="7"/>
  <c r="O2033" i="7" s="1"/>
  <c r="I1961" i="7"/>
  <c r="O1961" i="7" s="1"/>
  <c r="I1889" i="7"/>
  <c r="O1889" i="7" s="1"/>
  <c r="I1817" i="7"/>
  <c r="O1817" i="7" s="1"/>
  <c r="I1745" i="7"/>
  <c r="O1745" i="7" s="1"/>
  <c r="I1673" i="7"/>
  <c r="O1673" i="7" s="1"/>
  <c r="I1601" i="7"/>
  <c r="O1601" i="7" s="1"/>
  <c r="I1529" i="7"/>
  <c r="O1529" i="7" s="1"/>
  <c r="I1457" i="7"/>
  <c r="O1457" i="7" s="1"/>
  <c r="I1385" i="7"/>
  <c r="O1385" i="7" s="1"/>
  <c r="I1313" i="7"/>
  <c r="O1313" i="7" s="1"/>
  <c r="I1241" i="7"/>
  <c r="O1241" i="7" s="1"/>
  <c r="I1169" i="7"/>
  <c r="O1169" i="7" s="1"/>
  <c r="I1097" i="7"/>
  <c r="O1097" i="7" s="1"/>
  <c r="I1025" i="7"/>
  <c r="O1025" i="7" s="1"/>
  <c r="I953" i="7"/>
  <c r="O953" i="7" s="1"/>
  <c r="I881" i="7"/>
  <c r="O881" i="7" s="1"/>
  <c r="I809" i="7"/>
  <c r="O809" i="7" s="1"/>
  <c r="I737" i="7"/>
  <c r="O737" i="7" s="1"/>
  <c r="I665" i="7"/>
  <c r="O665" i="7" s="1"/>
  <c r="I593" i="7"/>
  <c r="O593" i="7" s="1"/>
  <c r="I521" i="7"/>
  <c r="O521" i="7" s="1"/>
  <c r="I449" i="7"/>
  <c r="O449" i="7" s="1"/>
  <c r="I377" i="7"/>
  <c r="O377" i="7" s="1"/>
  <c r="I305" i="7"/>
  <c r="O305" i="7" s="1"/>
  <c r="I233" i="7"/>
  <c r="O233" i="7" s="1"/>
  <c r="I161" i="7"/>
  <c r="O161" i="7" s="1"/>
  <c r="I89" i="7"/>
  <c r="O89" i="7" s="1"/>
  <c r="I17" i="7"/>
  <c r="O17" i="7" s="1"/>
  <c r="I1272" i="7"/>
  <c r="O1272" i="7" s="1"/>
  <c r="I684" i="7"/>
  <c r="O684" i="7" s="1"/>
  <c r="I216" i="7"/>
  <c r="O216" i="7" s="1"/>
  <c r="I2656" i="7"/>
  <c r="O2656" i="7" s="1"/>
  <c r="I2584" i="7"/>
  <c r="O2584" i="7" s="1"/>
  <c r="I2512" i="7"/>
  <c r="O2512" i="7" s="1"/>
  <c r="I2440" i="7"/>
  <c r="O2440" i="7" s="1"/>
  <c r="I2368" i="7"/>
  <c r="O2368" i="7" s="1"/>
  <c r="I2296" i="7"/>
  <c r="O2296" i="7" s="1"/>
  <c r="I2224" i="7"/>
  <c r="O2224" i="7" s="1"/>
  <c r="I2152" i="7"/>
  <c r="O2152" i="7" s="1"/>
  <c r="I2080" i="7"/>
  <c r="O2080" i="7" s="1"/>
  <c r="I2008" i="7"/>
  <c r="O2008" i="7" s="1"/>
  <c r="I1936" i="7"/>
  <c r="O1936" i="7" s="1"/>
  <c r="I1864" i="7"/>
  <c r="O1864" i="7" s="1"/>
  <c r="I1792" i="7"/>
  <c r="O1792" i="7" s="1"/>
  <c r="I1720" i="7"/>
  <c r="O1720" i="7" s="1"/>
  <c r="I1648" i="7"/>
  <c r="O1648" i="7" s="1"/>
  <c r="I1576" i="7"/>
  <c r="O1576" i="7" s="1"/>
  <c r="I1504" i="7"/>
  <c r="O1504" i="7" s="1"/>
  <c r="I1432" i="7"/>
  <c r="O1432" i="7" s="1"/>
  <c r="I1360" i="7"/>
  <c r="O1360" i="7" s="1"/>
  <c r="I1288" i="7"/>
  <c r="O1288" i="7" s="1"/>
  <c r="I1216" i="7"/>
  <c r="O1216" i="7" s="1"/>
  <c r="I1144" i="7"/>
  <c r="O1144" i="7" s="1"/>
  <c r="I1072" i="7"/>
  <c r="O1072" i="7" s="1"/>
  <c r="I1000" i="7"/>
  <c r="O1000" i="7" s="1"/>
  <c r="I928" i="7"/>
  <c r="O928" i="7" s="1"/>
  <c r="I856" i="7"/>
  <c r="O856" i="7" s="1"/>
  <c r="I784" i="7"/>
  <c r="O784" i="7" s="1"/>
  <c r="I712" i="7"/>
  <c r="O712" i="7" s="1"/>
  <c r="I640" i="7"/>
  <c r="O640" i="7" s="1"/>
  <c r="I568" i="7"/>
  <c r="O568" i="7" s="1"/>
  <c r="I496" i="7"/>
  <c r="O496" i="7" s="1"/>
  <c r="I424" i="7"/>
  <c r="O424" i="7" s="1"/>
  <c r="I352" i="7"/>
  <c r="O352" i="7" s="1"/>
  <c r="I280" i="7"/>
  <c r="O280" i="7" s="1"/>
  <c r="I208" i="7"/>
  <c r="O208" i="7" s="1"/>
  <c r="I136" i="7"/>
  <c r="O136" i="7" s="1"/>
  <c r="I64" i="7"/>
  <c r="O64" i="7" s="1"/>
  <c r="I123" i="7"/>
  <c r="O123" i="7" s="1"/>
  <c r="I635" i="7"/>
  <c r="O635" i="7" s="1"/>
  <c r="I503" i="7"/>
  <c r="O503" i="7" s="1"/>
  <c r="I1074" i="7"/>
  <c r="O1074" i="7" s="1"/>
  <c r="I2189" i="7"/>
  <c r="O2189" i="7" s="1"/>
  <c r="I1325" i="7"/>
  <c r="O1325" i="7" s="1"/>
  <c r="I461" i="7"/>
  <c r="O461" i="7" s="1"/>
  <c r="I2524" i="7"/>
  <c r="O2524" i="7" s="1"/>
  <c r="I1660" i="7"/>
  <c r="O1660" i="7" s="1"/>
  <c r="I796" i="7"/>
  <c r="O796" i="7" s="1"/>
  <c r="I1066" i="7"/>
  <c r="O1066" i="7" s="1"/>
  <c r="I2406" i="7"/>
  <c r="O2406" i="7" s="1"/>
  <c r="I2549" i="7"/>
  <c r="O2549" i="7" s="1"/>
  <c r="I1685" i="7"/>
  <c r="O1685" i="7" s="1"/>
  <c r="I821" i="7"/>
  <c r="O821" i="7" s="1"/>
  <c r="I1368" i="7"/>
  <c r="O1368" i="7" s="1"/>
  <c r="I2020" i="7"/>
  <c r="O2020" i="7" s="1"/>
  <c r="I1156" i="7"/>
  <c r="O1156" i="7" s="1"/>
  <c r="I292" i="7"/>
  <c r="O292" i="7" s="1"/>
  <c r="I2045" i="7"/>
  <c r="O2045" i="7" s="1"/>
  <c r="I1181" i="7"/>
  <c r="O1181" i="7" s="1"/>
  <c r="I317" i="7"/>
  <c r="O317" i="7" s="1"/>
  <c r="I2380" i="7"/>
  <c r="O2380" i="7" s="1"/>
  <c r="I1516" i="7"/>
  <c r="O1516" i="7" s="1"/>
  <c r="I652" i="7"/>
  <c r="O652" i="7" s="1"/>
  <c r="I2250" i="7"/>
  <c r="O2250" i="7" s="1"/>
  <c r="I2405" i="7"/>
  <c r="O2405" i="7" s="1"/>
  <c r="I1541" i="7"/>
  <c r="O1541" i="7" s="1"/>
  <c r="I677" i="7"/>
  <c r="O677" i="7" s="1"/>
  <c r="I312" i="7"/>
  <c r="O312" i="7" s="1"/>
  <c r="I1876" i="7"/>
  <c r="O1876" i="7" s="1"/>
  <c r="I1012" i="7"/>
  <c r="O1012" i="7" s="1"/>
  <c r="I148" i="7"/>
  <c r="O148" i="7" s="1"/>
  <c r="I2578" i="7"/>
  <c r="O2578" i="7" s="1"/>
  <c r="I1901" i="7"/>
  <c r="O1901" i="7" s="1"/>
  <c r="I1037" i="7"/>
  <c r="O1037" i="7" s="1"/>
  <c r="I173" i="7"/>
  <c r="O173" i="7" s="1"/>
  <c r="I2236" i="7"/>
  <c r="O2236" i="7" s="1"/>
  <c r="I1372" i="7"/>
  <c r="O1372" i="7" s="1"/>
  <c r="I508" i="7"/>
  <c r="O508" i="7" s="1"/>
  <c r="I2002" i="7"/>
  <c r="O2002" i="7" s="1"/>
  <c r="I2094" i="7"/>
  <c r="O2094" i="7" s="1"/>
  <c r="I2261" i="7"/>
  <c r="O2261" i="7" s="1"/>
  <c r="I1397" i="7"/>
  <c r="O1397" i="7" s="1"/>
  <c r="I533" i="7"/>
  <c r="O533" i="7" s="1"/>
  <c r="I2596" i="7"/>
  <c r="O2596" i="7" s="1"/>
  <c r="I1732" i="7"/>
  <c r="O1732" i="7" s="1"/>
  <c r="I868" i="7"/>
  <c r="O868" i="7" s="1"/>
  <c r="I4" i="7"/>
  <c r="O4" i="7" s="1"/>
  <c r="I1426" i="7"/>
  <c r="O1426" i="7" s="1"/>
  <c r="I1542" i="7"/>
  <c r="O1542" i="7" s="1"/>
  <c r="I1757" i="7"/>
  <c r="O1757" i="7" s="1"/>
  <c r="I893" i="7"/>
  <c r="O893" i="7" s="1"/>
  <c r="I29" i="7"/>
  <c r="O29" i="7" s="1"/>
  <c r="I2092" i="7"/>
  <c r="O2092" i="7" s="1"/>
  <c r="I1228" i="7"/>
  <c r="O1228" i="7" s="1"/>
  <c r="I364" i="7"/>
  <c r="O364" i="7" s="1"/>
  <c r="I2377" i="7"/>
  <c r="O2377" i="7" s="1"/>
  <c r="I1938" i="7"/>
  <c r="O1938" i="7" s="1"/>
  <c r="I2117" i="7"/>
  <c r="O2117" i="7" s="1"/>
  <c r="I1253" i="7"/>
  <c r="O1253" i="7" s="1"/>
  <c r="I389" i="7"/>
  <c r="O389" i="7" s="1"/>
  <c r="I2452" i="7"/>
  <c r="O2452" i="7" s="1"/>
  <c r="I1588" i="7"/>
  <c r="O1588" i="7" s="1"/>
  <c r="I724" i="7"/>
  <c r="O724" i="7" s="1"/>
  <c r="I1956" i="7"/>
  <c r="O1956" i="7" s="1"/>
  <c r="I1386" i="7"/>
  <c r="O1386" i="7" s="1"/>
  <c r="I2477" i="7"/>
  <c r="O2477" i="7" s="1"/>
  <c r="I1613" i="7"/>
  <c r="O1613" i="7" s="1"/>
  <c r="I749" i="7"/>
  <c r="O749" i="7" s="1"/>
  <c r="I828" i="7"/>
  <c r="O828" i="7" s="1"/>
  <c r="I1948" i="7"/>
  <c r="O1948" i="7" s="1"/>
  <c r="I1084" i="7"/>
  <c r="O1084" i="7" s="1"/>
  <c r="I220" i="7"/>
  <c r="O220" i="7" s="1"/>
  <c r="I2675" i="7"/>
  <c r="O2675" i="7" s="1"/>
  <c r="I1782" i="7"/>
  <c r="O1782" i="7" s="1"/>
  <c r="I1973" i="7"/>
  <c r="O1973" i="7" s="1"/>
  <c r="I1109" i="7"/>
  <c r="O1109" i="7" s="1"/>
  <c r="I245" i="7"/>
  <c r="O245" i="7" s="1"/>
  <c r="I2308" i="7"/>
  <c r="O2308" i="7" s="1"/>
  <c r="I1444" i="7"/>
  <c r="O1444" i="7" s="1"/>
  <c r="I580" i="7"/>
  <c r="O580" i="7" s="1"/>
  <c r="I193" i="7"/>
  <c r="O193" i="7" s="1"/>
  <c r="I1230" i="7"/>
  <c r="O1230" i="7" s="1"/>
  <c r="I2333" i="7"/>
  <c r="O2333" i="7" s="1"/>
  <c r="I1469" i="7"/>
  <c r="O1469" i="7" s="1"/>
  <c r="I605" i="7"/>
  <c r="O605" i="7" s="1"/>
  <c r="I2668" i="7"/>
  <c r="O2668" i="7" s="1"/>
  <c r="I1804" i="7"/>
  <c r="O1804" i="7" s="1"/>
  <c r="I940" i="7"/>
  <c r="O940" i="7" s="1"/>
  <c r="I76" i="7"/>
  <c r="O76" i="7" s="1"/>
  <c r="I914" i="7"/>
  <c r="O914" i="7" s="1"/>
  <c r="I1829" i="7"/>
  <c r="O1829" i="7" s="1"/>
  <c r="I965" i="7"/>
  <c r="O965" i="7" s="1"/>
  <c r="I101" i="7"/>
  <c r="O101" i="7" s="1"/>
  <c r="I2164" i="7"/>
  <c r="O2164" i="7" s="1"/>
  <c r="I1300" i="7"/>
  <c r="O1300" i="7" s="1"/>
  <c r="I436" i="7"/>
  <c r="O436" i="7" s="1"/>
  <c r="AJ7" i="1" l="1"/>
  <c r="AJ12" i="1" s="1"/>
  <c r="AO8" i="1"/>
  <c r="AP8" i="1" s="1"/>
  <c r="AO9" i="1"/>
  <c r="AP9" i="1" s="1"/>
  <c r="AG7" i="1"/>
  <c r="AG12" i="1" s="1"/>
  <c r="AO21" i="1"/>
  <c r="AP21" i="1" s="1"/>
  <c r="AO12" i="1"/>
  <c r="AP12" i="1" s="1"/>
  <c r="AF7" i="1"/>
  <c r="AO23" i="1"/>
  <c r="AP23" i="1" s="1"/>
  <c r="AO6" i="1"/>
  <c r="AO11" i="1"/>
  <c r="AP11" i="1" s="1"/>
  <c r="AO19" i="1"/>
  <c r="AP19" i="1" s="1"/>
  <c r="AO10" i="1"/>
  <c r="AP10" i="1" s="1"/>
  <c r="AO16" i="1"/>
  <c r="AP16" i="1" s="1"/>
  <c r="AO14" i="1"/>
  <c r="AP14" i="1" s="1"/>
  <c r="AO17" i="1"/>
  <c r="AP17" i="1" s="1"/>
  <c r="AO20" i="1"/>
  <c r="AP20" i="1" s="1"/>
  <c r="AI7" i="1"/>
  <c r="AI12" i="1" s="1"/>
  <c r="AH7" i="1"/>
  <c r="AH12" i="1" s="1"/>
  <c r="AO7" i="1"/>
  <c r="AP7" i="1" s="1"/>
  <c r="AO22" i="1"/>
  <c r="AP22" i="1" s="1"/>
  <c r="AO15" i="1"/>
  <c r="AP15" i="1" s="1"/>
  <c r="AO18" i="1"/>
  <c r="AP18" i="1" s="1"/>
  <c r="AO13" i="1"/>
  <c r="AP13" i="1" s="1"/>
  <c r="O3" i="7"/>
  <c r="AP6" i="1" l="1"/>
  <c r="AO24" i="1"/>
  <c r="AP24" i="1" s="1"/>
  <c r="AK7" i="1"/>
  <c r="AF12" i="1"/>
  <c r="AK12" i="1" s="1"/>
</calcChain>
</file>

<file path=xl/sharedStrings.xml><?xml version="1.0" encoding="utf-8"?>
<sst xmlns="http://schemas.openxmlformats.org/spreadsheetml/2006/main" count="5937" uniqueCount="2865">
  <si>
    <t>명칭</t>
    <phoneticPr fontId="1" type="noConversion"/>
  </si>
  <si>
    <t>ID</t>
    <phoneticPr fontId="1" type="noConversion"/>
  </si>
  <si>
    <t>대분류</t>
    <phoneticPr fontId="1" type="noConversion"/>
  </si>
  <si>
    <t>소분류</t>
    <phoneticPr fontId="1" type="noConversion"/>
  </si>
  <si>
    <t>등급</t>
    <phoneticPr fontId="1" type="noConversion"/>
  </si>
  <si>
    <t>문화권</t>
    <phoneticPr fontId="1" type="noConversion"/>
  </si>
  <si>
    <t>해양탐색</t>
    <phoneticPr fontId="1" type="noConversion"/>
  </si>
  <si>
    <t>육지탐험</t>
    <phoneticPr fontId="1" type="noConversion"/>
  </si>
  <si>
    <t>낚시</t>
    <phoneticPr fontId="1" type="noConversion"/>
  </si>
  <si>
    <t>항구</t>
    <phoneticPr fontId="1" type="noConversion"/>
  </si>
  <si>
    <t>마을</t>
    <phoneticPr fontId="1" type="noConversion"/>
  </si>
  <si>
    <t>동아시아</t>
  </si>
  <si>
    <t>지중해</t>
  </si>
  <si>
    <t>남아시아</t>
  </si>
  <si>
    <t>남아메리카</t>
  </si>
  <si>
    <t>북아메리카</t>
  </si>
  <si>
    <t>서남아시아</t>
  </si>
  <si>
    <t>동남아시아</t>
  </si>
  <si>
    <t>북아프리카</t>
  </si>
  <si>
    <t>유라시아</t>
  </si>
  <si>
    <t>북유럽</t>
  </si>
  <si>
    <t>태평양</t>
  </si>
  <si>
    <t>브리튼</t>
  </si>
  <si>
    <t>중앙아메리카</t>
  </si>
  <si>
    <t>오세아니아</t>
  </si>
  <si>
    <t>동아프리카</t>
  </si>
  <si>
    <t>서아프리카</t>
  </si>
  <si>
    <t>남아프리카</t>
  </si>
  <si>
    <t>극지방</t>
  </si>
  <si>
    <t>항구</t>
  </si>
  <si>
    <t>천문</t>
  </si>
  <si>
    <t>화석</t>
  </si>
  <si>
    <t>퀘스트</t>
    <phoneticPr fontId="1" type="noConversion"/>
  </si>
  <si>
    <t>획득처</t>
    <phoneticPr fontId="1" type="noConversion"/>
  </si>
  <si>
    <t>비명의 신전</t>
  </si>
  <si>
    <t>기자의 대 스핑크스</t>
  </si>
  <si>
    <t>고니</t>
  </si>
  <si>
    <t>아부심벨 신전</t>
  </si>
  <si>
    <t>도도</t>
  </si>
  <si>
    <t>여행비둘기</t>
  </si>
  <si>
    <t>바다코끼리</t>
  </si>
  <si>
    <t>사향고양이</t>
  </si>
  <si>
    <t>시베리안 허스키</t>
  </si>
  <si>
    <t>울버린</t>
  </si>
  <si>
    <t>엘레우시스 신전</t>
  </si>
  <si>
    <t>금강산</t>
  </si>
  <si>
    <t>궁수자리</t>
  </si>
  <si>
    <t>케플러의 신성</t>
  </si>
  <si>
    <t>큰개미핥기</t>
  </si>
  <si>
    <t>킹코브라</t>
  </si>
  <si>
    <t>하마</t>
  </si>
  <si>
    <t>흑표범</t>
  </si>
  <si>
    <t>가물치</t>
  </si>
  <si>
    <t>개복치</t>
  </si>
  <si>
    <t>까나리</t>
  </si>
  <si>
    <t>녹새치</t>
  </si>
  <si>
    <t>대왕오징어</t>
  </si>
  <si>
    <t>돌돔</t>
  </si>
  <si>
    <t>핼리 혜성</t>
  </si>
  <si>
    <t>마기의 예배</t>
  </si>
  <si>
    <t>모헨조다로</t>
  </si>
  <si>
    <t>최후의 만찬</t>
  </si>
  <si>
    <t>진시황릉</t>
  </si>
  <si>
    <t>치첸이트사</t>
  </si>
  <si>
    <t>카르나크 거석군</t>
  </si>
  <si>
    <t>카르타고 유적</t>
  </si>
  <si>
    <t>콜로세움</t>
  </si>
  <si>
    <t>쿠스코</t>
  </si>
  <si>
    <t>크노소스 궁전</t>
  </si>
  <si>
    <t>테노치티틀란</t>
  </si>
  <si>
    <t>트로이 유적</t>
  </si>
  <si>
    <t>파르테논 신전</t>
  </si>
  <si>
    <t>팔렌케</t>
  </si>
  <si>
    <t>포럼 목욕탕</t>
  </si>
  <si>
    <t>폼페이 유적</t>
  </si>
  <si>
    <t>하트라</t>
  </si>
  <si>
    <t>폼페이의 빵</t>
  </si>
  <si>
    <t>델포이 유적</t>
  </si>
  <si>
    <t>불국사</t>
  </si>
  <si>
    <t>석굴암</t>
  </si>
  <si>
    <t>소림사</t>
  </si>
  <si>
    <t>스톤헨지</t>
  </si>
  <si>
    <t>앙코르와트</t>
  </si>
  <si>
    <t>양 머리의 스핑크스</t>
  </si>
  <si>
    <t>카르나크 신전</t>
  </si>
  <si>
    <t>쿠푸왕의 피라미드</t>
  </si>
  <si>
    <t>태양의 돌</t>
  </si>
  <si>
    <t>태양의 신전</t>
  </si>
  <si>
    <t>갠지스강</t>
  </si>
  <si>
    <t>고비사막</t>
  </si>
  <si>
    <t>나이저강</t>
  </si>
  <si>
    <t>네스호</t>
  </si>
  <si>
    <t>매머드 동굴</t>
  </si>
  <si>
    <t>무릉원</t>
  </si>
  <si>
    <t>소순다열도</t>
  </si>
  <si>
    <t>스칸디나비아반도</t>
  </si>
  <si>
    <t>아추라 동굴</t>
  </si>
  <si>
    <t>아타카마의 거인</t>
  </si>
  <si>
    <t>에트나산</t>
  </si>
  <si>
    <t>이비사섬</t>
  </si>
  <si>
    <t>티그리스강</t>
  </si>
  <si>
    <t>남십자자리</t>
  </si>
  <si>
    <t>오로라</t>
  </si>
  <si>
    <t>모나리자</t>
  </si>
  <si>
    <t>최후의 심판</t>
  </si>
  <si>
    <t>경극 의상</t>
  </si>
  <si>
    <t>뇌절</t>
  </si>
  <si>
    <t>다빈치 노트</t>
  </si>
  <si>
    <t>동방견문록</t>
  </si>
  <si>
    <t>드라크마 은화</t>
  </si>
  <si>
    <t>롤랑의 뿔나팔</t>
  </si>
  <si>
    <t>사자왕의 갑옷</t>
  </si>
  <si>
    <t>세이렌의 하프</t>
  </si>
  <si>
    <t>신라 금관</t>
  </si>
  <si>
    <t>에르난 코르테스의 총</t>
  </si>
  <si>
    <t>요한 기사단장의 방패</t>
  </si>
  <si>
    <t>태공망의 낚싯대</t>
  </si>
  <si>
    <t>현자의 돌</t>
  </si>
  <si>
    <t>흑태자의 루비</t>
  </si>
  <si>
    <t>성자의 지팡이</t>
  </si>
  <si>
    <t>공룡알 화석</t>
  </si>
  <si>
    <t>삼엽충 화석</t>
  </si>
  <si>
    <t>시조새 화석</t>
  </si>
  <si>
    <t>아서왕의 성배</t>
  </si>
  <si>
    <t>나스카의 지상화</t>
  </si>
  <si>
    <t>1. 문화권 별 마을 / 육지 개수 + 필요 발견물 + 남는 발견물</t>
  </si>
  <si>
    <t>문화권</t>
    <phoneticPr fontId="1" type="noConversion"/>
  </si>
  <si>
    <t>마을</t>
    <phoneticPr fontId="1" type="noConversion"/>
  </si>
  <si>
    <t>육지</t>
    <phoneticPr fontId="1" type="noConversion"/>
  </si>
  <si>
    <t>필요 발견물</t>
    <phoneticPr fontId="1" type="noConversion"/>
  </si>
  <si>
    <t>남는 발견물</t>
    <phoneticPr fontId="1" type="noConversion"/>
  </si>
  <si>
    <t>2. 선단 LV 제한 기준 마을/육지 개수</t>
    <phoneticPr fontId="1" type="noConversion"/>
  </si>
  <si>
    <t>레벨 제한</t>
    <phoneticPr fontId="1" type="noConversion"/>
  </si>
  <si>
    <t>3. 발견물 분류별 등급 분포</t>
    <phoneticPr fontId="1" type="noConversion"/>
  </si>
  <si>
    <t>4. 문화권 별 발견물 등급 분포</t>
    <phoneticPr fontId="1" type="noConversion"/>
  </si>
  <si>
    <t>분류</t>
    <phoneticPr fontId="1" type="noConversion"/>
  </si>
  <si>
    <t>D</t>
    <phoneticPr fontId="1" type="noConversion"/>
  </si>
  <si>
    <t>C</t>
    <phoneticPr fontId="1" type="noConversion"/>
  </si>
  <si>
    <t>B</t>
    <phoneticPr fontId="1" type="noConversion"/>
  </si>
  <si>
    <t>A</t>
    <phoneticPr fontId="1" type="noConversion"/>
  </si>
  <si>
    <t>S</t>
    <phoneticPr fontId="1" type="noConversion"/>
  </si>
  <si>
    <t>동물</t>
    <phoneticPr fontId="1" type="noConversion"/>
  </si>
  <si>
    <t>건축</t>
    <phoneticPr fontId="1" type="noConversion"/>
  </si>
  <si>
    <t>유물</t>
    <phoneticPr fontId="1" type="noConversion"/>
  </si>
  <si>
    <t>보물</t>
    <phoneticPr fontId="1" type="noConversion"/>
  </si>
  <si>
    <t>식물</t>
    <phoneticPr fontId="1" type="noConversion"/>
  </si>
  <si>
    <t>자연</t>
    <phoneticPr fontId="1" type="noConversion"/>
  </si>
  <si>
    <t>합계</t>
    <phoneticPr fontId="1" type="noConversion"/>
  </si>
  <si>
    <t>해양 탐색</t>
    <phoneticPr fontId="1" type="noConversion"/>
  </si>
  <si>
    <t>육지 탐험</t>
    <phoneticPr fontId="1" type="noConversion"/>
  </si>
  <si>
    <t>5. 획득처 별 등급 분포</t>
    <phoneticPr fontId="1" type="noConversion"/>
  </si>
  <si>
    <t>6. 문화권 별 획득처 분포</t>
    <phoneticPr fontId="1" type="noConversion"/>
  </si>
  <si>
    <t>경도</t>
    <phoneticPr fontId="1" type="noConversion"/>
  </si>
  <si>
    <t>위도</t>
    <phoneticPr fontId="1" type="noConversion"/>
  </si>
  <si>
    <t>발견물[0]</t>
    <phoneticPr fontId="1" type="noConversion"/>
  </si>
  <si>
    <t>발견물[1]</t>
  </si>
  <si>
    <t>발견물[2]</t>
  </si>
  <si>
    <t>발견물[3]</t>
  </si>
  <si>
    <t>발견물[4]</t>
  </si>
  <si>
    <t>발견물[5]</t>
  </si>
  <si>
    <t>발견물[6]</t>
  </si>
  <si>
    <t>발견물[7]</t>
  </si>
  <si>
    <t>낚시 타일</t>
    <phoneticPr fontId="1" type="noConversion"/>
  </si>
  <si>
    <t>단계</t>
    <phoneticPr fontId="1" type="noConversion"/>
  </si>
  <si>
    <t>발견물 관리 시트</t>
  </si>
  <si>
    <t>작성일 : 2022-05-11</t>
  </si>
  <si>
    <t>본 문서는 발견물 핸들링을 위해 작성 되었습니다.</t>
  </si>
  <si>
    <t>본 문서에서는 다음과 같은 작업을 처리합니다.</t>
  </si>
  <si>
    <t>전체 발견물</t>
    <phoneticPr fontId="1" type="noConversion"/>
  </si>
  <si>
    <t>마을/육지 별 발견물 수</t>
    <phoneticPr fontId="1" type="noConversion"/>
  </si>
  <si>
    <r>
      <rPr>
        <sz val="10"/>
        <color theme="1"/>
        <rFont val="맑은 고딕"/>
        <family val="2"/>
        <charset val="129"/>
      </rPr>
      <t>마크가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되어있는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시트는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구글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맵스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추출용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시트입니다</t>
    </r>
    <r>
      <rPr>
        <sz val="10"/>
        <color theme="1"/>
        <rFont val="Arial"/>
        <family val="2"/>
      </rPr>
      <t>.</t>
    </r>
    <phoneticPr fontId="1" type="noConversion"/>
  </si>
  <si>
    <t>레벨 제한</t>
    <phoneticPr fontId="1" type="noConversion"/>
  </si>
  <si>
    <t>발견물[8]</t>
  </si>
  <si>
    <t>어류</t>
    <phoneticPr fontId="1" type="noConversion"/>
  </si>
  <si>
    <t>천문</t>
    <phoneticPr fontId="1" type="noConversion"/>
  </si>
  <si>
    <t>화석</t>
    <phoneticPr fontId="1" type="noConversion"/>
  </si>
  <si>
    <t>극지방</t>
    <phoneticPr fontId="1" type="noConversion"/>
  </si>
  <si>
    <t>-</t>
    <phoneticPr fontId="1" type="noConversion"/>
  </si>
  <si>
    <t>해양 오브젝트</t>
    <phoneticPr fontId="1" type="noConversion"/>
  </si>
  <si>
    <t>위도</t>
    <phoneticPr fontId="1" type="noConversion"/>
  </si>
  <si>
    <t>경도</t>
    <phoneticPr fontId="1" type="noConversion"/>
  </si>
  <si>
    <t>등급[0]</t>
    <phoneticPr fontId="1" type="noConversion"/>
  </si>
  <si>
    <t>등급[1]</t>
  </si>
  <si>
    <t>등급[2]</t>
  </si>
  <si>
    <t>등급[3]</t>
  </si>
  <si>
    <t>등급[4]</t>
  </si>
  <si>
    <t>등급[5]</t>
  </si>
  <si>
    <t>확률[0]</t>
    <phoneticPr fontId="1" type="noConversion"/>
  </si>
  <si>
    <t>확률[1]</t>
  </si>
  <si>
    <t>확률[2]</t>
  </si>
  <si>
    <t>확률[3]</t>
  </si>
  <si>
    <t>확률[4]</t>
  </si>
  <si>
    <t>확률[5]</t>
  </si>
  <si>
    <t>배당[0]</t>
  </si>
  <si>
    <t>배당[1]</t>
  </si>
  <si>
    <t>배당[2]</t>
  </si>
  <si>
    <t>배당[3]</t>
  </si>
  <si>
    <t>배당[4]</t>
  </si>
  <si>
    <t>배당[5]</t>
  </si>
  <si>
    <t>PROB[0]</t>
    <phoneticPr fontId="1" type="noConversion"/>
  </si>
  <si>
    <t>PROB[1]</t>
  </si>
  <si>
    <t>PROB[2]</t>
  </si>
  <si>
    <t>PROB[3]</t>
  </si>
  <si>
    <t>PROB[4]</t>
  </si>
  <si>
    <t>PROB[5]</t>
  </si>
  <si>
    <t>최종배당[0]</t>
    <phoneticPr fontId="1" type="noConversion"/>
  </si>
  <si>
    <t>최종배당[1]</t>
  </si>
  <si>
    <t>최종배당[2]</t>
  </si>
  <si>
    <t>최종배당[3]</t>
  </si>
  <si>
    <t>최종배당[4]</t>
  </si>
  <si>
    <t>최종배당[5]</t>
  </si>
  <si>
    <t>분모</t>
    <phoneticPr fontId="1" type="noConversion"/>
  </si>
  <si>
    <r>
      <rPr>
        <b/>
        <sz val="11"/>
        <color theme="1"/>
        <rFont val="돋움"/>
        <family val="3"/>
        <charset val="129"/>
      </rPr>
      <t>문서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돋움"/>
        <family val="3"/>
        <charset val="129"/>
      </rPr>
      <t>개요</t>
    </r>
    <phoneticPr fontId="1" type="noConversion"/>
  </si>
  <si>
    <t>레벨 제한</t>
    <phoneticPr fontId="1" type="noConversion"/>
  </si>
  <si>
    <t>Contentsterms[]["id"]</t>
    <phoneticPr fontId="1" type="noConversion"/>
  </si>
  <si>
    <t>Contentsterms[]["Target"]</t>
    <phoneticPr fontId="1" type="noConversion"/>
  </si>
  <si>
    <t>Contentsterms[]["Count"]</t>
    <phoneticPr fontId="1" type="noConversion"/>
  </si>
  <si>
    <t>*테이블은 본 문서를 참조하지 않습니다.</t>
    <phoneticPr fontId="1" type="noConversion"/>
  </si>
  <si>
    <t>[모험] 발견물</t>
  </si>
  <si>
    <t>문서에 대한 정보는 다음 링크에서 확인가능합니다.</t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</si>
  <si>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전체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발견물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통계</t>
    </r>
    <phoneticPr fontId="1" type="noConversion"/>
  </si>
  <si>
    <r>
      <t xml:space="preserve">2. </t>
    </r>
    <r>
      <rPr>
        <sz val="10"/>
        <color theme="1"/>
        <rFont val="돋움"/>
        <family val="3"/>
        <charset val="129"/>
      </rPr>
      <t>배치된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발견물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현황</t>
    </r>
    <phoneticPr fontId="1" type="noConversion"/>
  </si>
  <si>
    <t>*육지 등급에 따른 발견물 상한등급</t>
    <phoneticPr fontId="1" type="noConversion"/>
  </si>
  <si>
    <t>상한등급</t>
    <phoneticPr fontId="1" type="noConversion"/>
  </si>
  <si>
    <t>마을탐험</t>
    <phoneticPr fontId="1" type="noConversion"/>
  </si>
  <si>
    <t>묠니르</t>
  </si>
  <si>
    <t>바다 민족의 검</t>
  </si>
  <si>
    <t>아가멤논의 황금마스크</t>
  </si>
  <si>
    <t>정화함대의 나침반</t>
  </si>
  <si>
    <t>롱기누스의 창</t>
  </si>
  <si>
    <t>솔로몬의 반지</t>
  </si>
  <si>
    <t>에티엔의 지팡이</t>
  </si>
  <si>
    <t>극락조</t>
  </si>
  <si>
    <t>까치</t>
  </si>
  <si>
    <t>로리스</t>
  </si>
  <si>
    <t>작은발톱수달</t>
  </si>
  <si>
    <t>오리너구리</t>
  </si>
  <si>
    <t>진돗개</t>
  </si>
  <si>
    <t>실러캔스</t>
  </si>
  <si>
    <t>폴립테루스 비차</t>
  </si>
  <si>
    <t>흰수염고래</t>
  </si>
  <si>
    <t>엑스칼리버</t>
  </si>
  <si>
    <t>찬드라굽타 왕의 검</t>
  </si>
  <si>
    <t>버뮤다 해역</t>
  </si>
  <si>
    <t>니벨룽겐의 반지</t>
  </si>
  <si>
    <t>템플기사단장의 갑옷</t>
  </si>
  <si>
    <t>천산갑</t>
  </si>
  <si>
    <t>천지창조</t>
  </si>
  <si>
    <t>백호</t>
  </si>
  <si>
    <t>게 볼그</t>
  </si>
  <si>
    <t>듀란달</t>
  </si>
  <si>
    <t>말린체의 목걸이</t>
  </si>
  <si>
    <t>멀린의 지팡이</t>
  </si>
  <si>
    <t>발뭉</t>
  </si>
  <si>
    <t>브류나크</t>
  </si>
  <si>
    <t>살라딘의 검</t>
  </si>
  <si>
    <t>수태고지</t>
  </si>
  <si>
    <t>오토 1세의 왕관</t>
  </si>
  <si>
    <t>청룡언월도</t>
  </si>
  <si>
    <t>칠지도</t>
  </si>
  <si>
    <t>쿠아우테목의 창</t>
  </si>
  <si>
    <t>클리브 솔리스</t>
  </si>
  <si>
    <t>튜턴 기사단장의 검</t>
  </si>
  <si>
    <t>폴리크라테스의 반지</t>
  </si>
  <si>
    <t>프라가라흐</t>
  </si>
  <si>
    <t>카를대제의 왕관</t>
  </si>
  <si>
    <t>라브렌체프 사본</t>
  </si>
  <si>
    <t>로마건국사</t>
  </si>
  <si>
    <t>삼국사기</t>
  </si>
  <si>
    <t>삼국유사</t>
  </si>
  <si>
    <t>논어</t>
  </si>
  <si>
    <t>리그베다</t>
  </si>
  <si>
    <t>사해문서</t>
  </si>
  <si>
    <t>아베스타</t>
  </si>
  <si>
    <t>창세기</t>
  </si>
  <si>
    <t>태평청령서</t>
  </si>
  <si>
    <t>갈라파고스제도</t>
  </si>
  <si>
    <t>함무라비법전</t>
  </si>
  <si>
    <t>빅토리아호수</t>
  </si>
  <si>
    <t>올림포스산</t>
  </si>
  <si>
    <t>자와섬</t>
  </si>
  <si>
    <t>헤임스크링글라</t>
  </si>
  <si>
    <t>베가</t>
  </si>
  <si>
    <t>베텔게우스</t>
  </si>
  <si>
    <t>아르크투루스</t>
  </si>
  <si>
    <t>알데바란</t>
  </si>
  <si>
    <t>알타이르</t>
  </si>
  <si>
    <t>알파드</t>
  </si>
  <si>
    <t>흡혈귀 전설</t>
  </si>
  <si>
    <t>삼국지</t>
  </si>
  <si>
    <t>삼국지연의</t>
  </si>
  <si>
    <t>서유기</t>
  </si>
  <si>
    <t>손자병법</t>
  </si>
  <si>
    <t>수호전</t>
  </si>
  <si>
    <t>엘 시드의 노래</t>
  </si>
  <si>
    <t>역사</t>
  </si>
  <si>
    <t>영락대전</t>
  </si>
  <si>
    <t>이븐 바투타 여행기</t>
  </si>
  <si>
    <t>오디세이아</t>
  </si>
  <si>
    <t>조선경국전</t>
  </si>
  <si>
    <t>일리아스</t>
  </si>
  <si>
    <t>헤르메스 문서</t>
  </si>
  <si>
    <t>황제내경</t>
  </si>
  <si>
    <t>훈민정음</t>
  </si>
  <si>
    <t>그리스의 불</t>
  </si>
  <si>
    <t>금각만의 쇠사슬</t>
  </si>
  <si>
    <t>금루옥의</t>
  </si>
  <si>
    <t>로제타스톤</t>
  </si>
  <si>
    <t>백제 금동대향로</t>
  </si>
  <si>
    <t>사자의 서</t>
  </si>
  <si>
    <t>소크라테스의 독배</t>
  </si>
  <si>
    <t>스키피오의 투구</t>
  </si>
  <si>
    <t>안토니누스의 왕홀</t>
  </si>
  <si>
    <t>알렉산더 대왕의 석관</t>
  </si>
  <si>
    <t>혼일강리역대국도지도</t>
  </si>
  <si>
    <t>오도아케르의 검</t>
  </si>
  <si>
    <t>오벨리스크</t>
  </si>
  <si>
    <t>왕들의 무덤</t>
  </si>
  <si>
    <t>은자 피에르의 지팡이</t>
  </si>
  <si>
    <t>자치통감</t>
  </si>
  <si>
    <t>하트 스카라베</t>
  </si>
  <si>
    <t>쿠빌라이칸의 안장</t>
  </si>
  <si>
    <t>쿠푸왕의 지팡이</t>
  </si>
  <si>
    <t>투탕카멘왕의 황금마스크</t>
  </si>
  <si>
    <t>바오바브나무</t>
  </si>
  <si>
    <t>월하미인</t>
  </si>
  <si>
    <t>유럽 다프네</t>
  </si>
  <si>
    <t>히포크라테스 선서</t>
  </si>
  <si>
    <t>히드노라 아프리카나</t>
  </si>
  <si>
    <t>가네샤상</t>
  </si>
  <si>
    <t>가루다 조각상</t>
  </si>
  <si>
    <t>히아신스</t>
  </si>
  <si>
    <t>도조지의 종</t>
  </si>
  <si>
    <t>시바상</t>
  </si>
  <si>
    <t>십계</t>
  </si>
  <si>
    <t>아테나상</t>
  </si>
  <si>
    <t>아폴론상</t>
  </si>
  <si>
    <t>아프로디테 조각상</t>
  </si>
  <si>
    <t>언약의 궤</t>
  </si>
  <si>
    <t>카타콤</t>
  </si>
  <si>
    <t>카타콤의 석판</t>
  </si>
  <si>
    <t>넓적부리황새</t>
  </si>
  <si>
    <t>통곡의 벽</t>
  </si>
  <si>
    <t>하이에나</t>
  </si>
  <si>
    <t>헤르메스상</t>
  </si>
  <si>
    <t>끈끈이주걱</t>
  </si>
  <si>
    <t>네펜테스</t>
  </si>
  <si>
    <t>북극곰</t>
  </si>
  <si>
    <t>쐐기풀</t>
  </si>
  <si>
    <t>아네모네</t>
  </si>
  <si>
    <t>에델바이스</t>
  </si>
  <si>
    <t>에키네시아</t>
  </si>
  <si>
    <t>용설란</t>
  </si>
  <si>
    <t>광개토대왕릉비</t>
  </si>
  <si>
    <t>만리장성</t>
  </si>
  <si>
    <t>클레로덴드룸</t>
  </si>
  <si>
    <t>사용여부</t>
    <phoneticPr fontId="1" type="noConversion"/>
  </si>
  <si>
    <t>열1</t>
  </si>
  <si>
    <t>배당[0]</t>
    <phoneticPr fontId="1" type="noConversion"/>
  </si>
  <si>
    <t>확률[0]</t>
    <phoneticPr fontId="1" type="noConversion"/>
  </si>
  <si>
    <t>배당[6]</t>
  </si>
  <si>
    <t>배당[7]</t>
  </si>
  <si>
    <t>가야 철갑옷</t>
  </si>
  <si>
    <t>가타멜라타 기마상</t>
  </si>
  <si>
    <t>검투사의 투구</t>
  </si>
  <si>
    <t>게르</t>
  </si>
  <si>
    <t>게클랭의 마상창</t>
  </si>
  <si>
    <t>골각기</t>
  </si>
  <si>
    <t>관두의</t>
  </si>
  <si>
    <t>구멍 뚫린 두개골</t>
  </si>
  <si>
    <t>그리스 문자의 석판</t>
  </si>
  <si>
    <t>길가메시의 서사시</t>
  </si>
  <si>
    <t>나라티하파테 왕의 비수</t>
  </si>
  <si>
    <t>나르메르 팔레트</t>
  </si>
  <si>
    <t>나일로미터</t>
  </si>
  <si>
    <t>네로황제의 대리석상</t>
  </si>
  <si>
    <t>네르바 황제의 동상</t>
  </si>
  <si>
    <t>다리우스 1세의 투구</t>
  </si>
  <si>
    <t>다리우스 3세의 갑옷</t>
  </si>
  <si>
    <t>데메트리오스 1세의 갑옷</t>
  </si>
  <si>
    <t>동고</t>
  </si>
  <si>
    <t>라발나스왕의 검</t>
  </si>
  <si>
    <t>람세스 2세의 머리 장식</t>
  </si>
  <si>
    <t>람세스 2세의 벽화</t>
  </si>
  <si>
    <t>람캄행 대왕의 비문</t>
  </si>
  <si>
    <t>렙티스마그나의 비너스상</t>
  </si>
  <si>
    <t>롤로의 투구</t>
  </si>
  <si>
    <t>롬파이어</t>
  </si>
  <si>
    <t>롱고 롱고</t>
  </si>
  <si>
    <t>룬문자 비석</t>
  </si>
  <si>
    <t>리디아 화폐</t>
  </si>
  <si>
    <t>마니오의 거석</t>
  </si>
  <si>
    <t>마라조섬의 토기</t>
  </si>
  <si>
    <t>메르엔프타하 비문</t>
  </si>
  <si>
    <t>멘카우라왕의 삼신상</t>
  </si>
  <si>
    <t>무령왕릉 지석</t>
  </si>
  <si>
    <t>미라</t>
  </si>
  <si>
    <t>바다 민족의 갑옷</t>
  </si>
  <si>
    <t>바이바르스의 창</t>
  </si>
  <si>
    <t>바이킹 소드</t>
  </si>
  <si>
    <t>바이킹의 철 방패</t>
  </si>
  <si>
    <t>배터시의 방패</t>
  </si>
  <si>
    <t>베히스툰 암각비</t>
  </si>
  <si>
    <t>봉니</t>
  </si>
  <si>
    <t>비블로스 문자의 비석 조각</t>
  </si>
  <si>
    <t>사기</t>
  </si>
  <si>
    <t>사르코파구스</t>
  </si>
  <si>
    <t>사리사</t>
  </si>
  <si>
    <t>사포의 시집</t>
  </si>
  <si>
    <t>설형문자점토판</t>
  </si>
  <si>
    <t>셀레우코스 1세의 대리석상</t>
  </si>
  <si>
    <t>소머리가 달린 여왕의 리라</t>
  </si>
  <si>
    <t>수메르의 전차</t>
  </si>
  <si>
    <t>시민관</t>
  </si>
  <si>
    <t>신소부 여왕의 귀걸이</t>
  </si>
  <si>
    <t>아그리피나의 머리 장식</t>
  </si>
  <si>
    <t>아노야타왕의 검</t>
  </si>
  <si>
    <t>아바스의 검</t>
  </si>
  <si>
    <t>아부심벨 거상</t>
  </si>
  <si>
    <t>아우구스투스 대리석상</t>
  </si>
  <si>
    <t>아우렐리아누스의 투구</t>
  </si>
  <si>
    <t>아우렐리우스 기마상</t>
  </si>
  <si>
    <t>아트라하시스 서사시</t>
  </si>
  <si>
    <t>아파다나의 부조</t>
  </si>
  <si>
    <t>알렉산더 대왕의 갑옷</t>
  </si>
  <si>
    <t>알렉산더 대왕의 검</t>
  </si>
  <si>
    <t>압형토기</t>
  </si>
  <si>
    <t>앵가석</t>
  </si>
  <si>
    <t>야요이 토기</t>
  </si>
  <si>
    <t>에누마 엘리시</t>
  </si>
  <si>
    <t>에비 일의상</t>
  </si>
  <si>
    <t>에파미논다스의 갑옷</t>
  </si>
  <si>
    <t>여수장우중문시</t>
  </si>
  <si>
    <t>영애 승람</t>
  </si>
  <si>
    <t>오르메카의 거대 두상</t>
  </si>
  <si>
    <t>오스트라콘</t>
  </si>
  <si>
    <t>요크</t>
  </si>
  <si>
    <t>우르의 군기함</t>
  </si>
  <si>
    <t>원융</t>
  </si>
  <si>
    <t>원초연대기</t>
  </si>
  <si>
    <t>원통인장</t>
  </si>
  <si>
    <t>유익인면수신상</t>
  </si>
  <si>
    <t>이고리 원정기</t>
  </si>
  <si>
    <t>이집트 평화교섭 문서</t>
  </si>
  <si>
    <t>이집트문자의 석판</t>
  </si>
  <si>
    <t>이집트의 벽화</t>
  </si>
  <si>
    <t>일본 토우</t>
  </si>
  <si>
    <t>잉카의 석벽</t>
  </si>
  <si>
    <t>작</t>
  </si>
  <si>
    <t>정도전의 사세구</t>
  </si>
  <si>
    <t>제갈노</t>
  </si>
  <si>
    <t>제노비아 여왕의 작은 검</t>
  </si>
  <si>
    <t>좌진인의 머리뼈</t>
  </si>
  <si>
    <t>차스키의 어깨가방</t>
  </si>
  <si>
    <t>천마도장니</t>
  </si>
  <si>
    <t>카노푸스 단지</t>
  </si>
  <si>
    <t>카라칼라 황제의 대리석상</t>
  </si>
  <si>
    <t>카르투슈</t>
  </si>
  <si>
    <t>카이사르의 갑옷</t>
  </si>
  <si>
    <t>카이사리온 대리석상</t>
  </si>
  <si>
    <t>칸슐왕의 팔찌</t>
  </si>
  <si>
    <t>칼리굴라 황제의 흉상</t>
  </si>
  <si>
    <t>코모두스 황제의 검</t>
  </si>
  <si>
    <t>쿠페의 목창</t>
  </si>
  <si>
    <t>쿠푸왕의 상아상</t>
  </si>
  <si>
    <t>크레타 문자 점토판</t>
  </si>
  <si>
    <t>크로케아 모르스</t>
  </si>
  <si>
    <t>크세르크세스 1세의 부조</t>
  </si>
  <si>
    <t>클레오파트라상</t>
  </si>
  <si>
    <t>클레오파트라의 가슴 장식</t>
  </si>
  <si>
    <t>클로비스 찌르개</t>
  </si>
  <si>
    <t>토크</t>
  </si>
  <si>
    <t>토템 폴</t>
  </si>
  <si>
    <t>톨텍의 전사상</t>
  </si>
  <si>
    <t>투그릴베그의 왕관</t>
  </si>
  <si>
    <t>투트모세 3세의 연대기</t>
  </si>
  <si>
    <t>트라야누스 황제의 부조</t>
  </si>
  <si>
    <t>파스파 문자의 석판</t>
  </si>
  <si>
    <t>파칼 왕의 방패</t>
  </si>
  <si>
    <t>파칼 왕의 부조</t>
  </si>
  <si>
    <t>팔렌케의 석관</t>
  </si>
  <si>
    <t>프톨레마이오스 1세의 왕홀</t>
  </si>
  <si>
    <t>하트셉수트 여왕 석상</t>
  </si>
  <si>
    <t>한니발 대리석상</t>
  </si>
  <si>
    <t>한서</t>
  </si>
  <si>
    <t>호부</t>
  </si>
  <si>
    <t>혼천의</t>
  </si>
  <si>
    <t>화랑세기</t>
  </si>
  <si>
    <t>히타이트 전차</t>
  </si>
  <si>
    <t>히타이트 조약문</t>
  </si>
  <si>
    <t>히타이트법전</t>
  </si>
  <si>
    <t>힐 스톤</t>
  </si>
  <si>
    <t>경교비</t>
  </si>
  <si>
    <t>골리앗의 검</t>
  </si>
  <si>
    <t>관세음보살상</t>
  </si>
  <si>
    <t>구카이의 석장</t>
  </si>
  <si>
    <t>그리스도의 성의</t>
  </si>
  <si>
    <t>금강저</t>
  </si>
  <si>
    <t>금동관음보살입상</t>
  </si>
  <si>
    <t>나가 위의 부처</t>
  </si>
  <si>
    <t>나라싱하상</t>
  </si>
  <si>
    <t>남해기귀내법전</t>
  </si>
  <si>
    <t>냐미냐미상</t>
  </si>
  <si>
    <t>냐우의 가면</t>
  </si>
  <si>
    <t>네이트상</t>
  </si>
  <si>
    <t>니아메상</t>
  </si>
  <si>
    <t>다니엘서</t>
  </si>
  <si>
    <t>다즈보그의 부조</t>
  </si>
  <si>
    <t>드와라팔라상</t>
  </si>
  <si>
    <t>락슈미 조각상</t>
  </si>
  <si>
    <t>락슈미의 부조</t>
  </si>
  <si>
    <t>란손상</t>
  </si>
  <si>
    <t>마누법전</t>
  </si>
  <si>
    <t>마조상</t>
  </si>
  <si>
    <t>마케마케 암각화</t>
  </si>
  <si>
    <t>만다라도</t>
  </si>
  <si>
    <t>무슈후슈 벽화</t>
  </si>
  <si>
    <t>믹틀란테쿠틀리의 상</t>
  </si>
  <si>
    <t>바롱의 가면</t>
  </si>
  <si>
    <t>바스테트상</t>
  </si>
  <si>
    <t>반야경</t>
  </si>
  <si>
    <t>백화</t>
  </si>
  <si>
    <t>벨레스의 목상</t>
  </si>
  <si>
    <t>벽하원군상</t>
  </si>
  <si>
    <t>보리스 글렙의 성상</t>
  </si>
  <si>
    <t>보생불</t>
  </si>
  <si>
    <t>부두교의 십자가</t>
  </si>
  <si>
    <t>부두교의 제단</t>
  </si>
  <si>
    <t>분별선악보응경</t>
  </si>
  <si>
    <t>불공성취여래</t>
  </si>
  <si>
    <t>브라마상</t>
  </si>
  <si>
    <t>비라코차의 부조</t>
  </si>
  <si>
    <t>비블리오테케</t>
  </si>
  <si>
    <t>비슈누상</t>
  </si>
  <si>
    <t>사라스바티 조각상</t>
  </si>
  <si>
    <t>사마베다</t>
  </si>
  <si>
    <t>상좌부 불교의 불전</t>
  </si>
  <si>
    <t>석가모니 불상</t>
  </si>
  <si>
    <t>석가모니의 사리함</t>
  </si>
  <si>
    <t>석굴암 불상</t>
  </si>
  <si>
    <t>성십자가</t>
  </si>
  <si>
    <t>성황신</t>
  </si>
  <si>
    <t>세라피스상</t>
  </si>
  <si>
    <t>세미상</t>
  </si>
  <si>
    <t>소코상</t>
  </si>
  <si>
    <t>수리야상</t>
  </si>
  <si>
    <t>수켈루스 신상</t>
  </si>
  <si>
    <t>스바로그의 부조</t>
  </si>
  <si>
    <t>시우코아틀상</t>
  </si>
  <si>
    <t>시페 토텍 도자기상</t>
  </si>
  <si>
    <t>시페 토텍의 가면</t>
  </si>
  <si>
    <t>신통기</t>
  </si>
  <si>
    <t>아그니상</t>
  </si>
  <si>
    <t>아누비스 조각상</t>
  </si>
  <si>
    <t>아누케트상</t>
  </si>
  <si>
    <t>아레스상</t>
  </si>
  <si>
    <t>아르고나우티카</t>
  </si>
  <si>
    <t>아르테미스 조각상</t>
  </si>
  <si>
    <t>아몬상</t>
  </si>
  <si>
    <t>아미타불</t>
  </si>
  <si>
    <t>아소카 석주</t>
  </si>
  <si>
    <t>아스타르테상</t>
  </si>
  <si>
    <t>아촉불</t>
  </si>
  <si>
    <t>아타르바베다</t>
  </si>
  <si>
    <t>야주르베다</t>
  </si>
  <si>
    <t>에녹서</t>
  </si>
  <si>
    <t>에수상</t>
  </si>
  <si>
    <t>에아의 부조</t>
  </si>
  <si>
    <t>오니안코폰상</t>
  </si>
  <si>
    <t>오뒤두아상</t>
  </si>
  <si>
    <t>오시리스상</t>
  </si>
  <si>
    <t>올로룬상</t>
  </si>
  <si>
    <t>옹중석</t>
  </si>
  <si>
    <t>왓 프라시산펫</t>
  </si>
  <si>
    <t>우르남무 법전</t>
  </si>
  <si>
    <t>우샤스상</t>
  </si>
  <si>
    <t>우이칠로포츠틀리상</t>
  </si>
  <si>
    <t>우파니샤드</t>
  </si>
  <si>
    <t>운쿨룬쿨루상</t>
  </si>
  <si>
    <t>유마경</t>
  </si>
  <si>
    <t>유스티티아상</t>
  </si>
  <si>
    <t>응게워상</t>
  </si>
  <si>
    <t>이시스 조각상</t>
  </si>
  <si>
    <t>인드라상</t>
  </si>
  <si>
    <t>인안나상</t>
  </si>
  <si>
    <t>잉카 왕족의 미라</t>
  </si>
  <si>
    <t>재규어 전사의 가면</t>
  </si>
  <si>
    <t>재규어 조각상</t>
  </si>
  <si>
    <t>제드 기둥 부적</t>
  </si>
  <si>
    <t>제우스상</t>
  </si>
  <si>
    <t>젤링 비석</t>
  </si>
  <si>
    <t>주천석</t>
  </si>
  <si>
    <t>중론</t>
  </si>
  <si>
    <t>착상</t>
  </si>
  <si>
    <t>치나라트불상</t>
  </si>
  <si>
    <t>칠십인역 성서</t>
  </si>
  <si>
    <t>카날로아상</t>
  </si>
  <si>
    <t>카니슈카 왕의 사리함</t>
  </si>
  <si>
    <t>카마푸아아상</t>
  </si>
  <si>
    <t>카파도키아 벽화</t>
  </si>
  <si>
    <t>타팍 야우리</t>
  </si>
  <si>
    <t>칼리상</t>
  </si>
  <si>
    <t>칼리의 부조</t>
  </si>
  <si>
    <t>케찰코아틀 조각상</t>
  </si>
  <si>
    <t>코코펠리의 벽화</t>
  </si>
  <si>
    <t>크눔상</t>
  </si>
  <si>
    <t>크리슈나상</t>
  </si>
  <si>
    <t>태극도설</t>
  </si>
  <si>
    <t>태양의 배</t>
  </si>
  <si>
    <t>테스카틀리포카상</t>
  </si>
  <si>
    <t>트랄로크상</t>
  </si>
  <si>
    <t>파차마마상</t>
  </si>
  <si>
    <t>팔만대장경</t>
  </si>
  <si>
    <t>페룬의 목상</t>
  </si>
  <si>
    <t>펠레상</t>
  </si>
  <si>
    <t>포세이돈 조각상</t>
  </si>
  <si>
    <t>폴리아후상</t>
  </si>
  <si>
    <t>프로메테우스의 사슬</t>
  </si>
  <si>
    <t>하누만상</t>
  </si>
  <si>
    <t>하누만의 부조</t>
  </si>
  <si>
    <t>하데스상</t>
  </si>
  <si>
    <t>하토르상</t>
  </si>
  <si>
    <t>헤라 조각상</t>
  </si>
  <si>
    <t>헤스티아상</t>
  </si>
  <si>
    <t>헤파이스토스상</t>
  </si>
  <si>
    <t>현계론</t>
  </si>
  <si>
    <t>호루스상</t>
  </si>
  <si>
    <t>화엄경</t>
  </si>
  <si>
    <t>가시연꽃</t>
  </si>
  <si>
    <t>가지복수초</t>
  </si>
  <si>
    <t>갈란투스</t>
  </si>
  <si>
    <t>개나리</t>
  </si>
  <si>
    <t>개미취</t>
  </si>
  <si>
    <t>개양귀비</t>
  </si>
  <si>
    <t>고사백합</t>
  </si>
  <si>
    <t>고추나물</t>
  </si>
  <si>
    <t>과라나</t>
  </si>
  <si>
    <t>구아바</t>
  </si>
  <si>
    <t>군자란</t>
  </si>
  <si>
    <t>그레빌레아</t>
  </si>
  <si>
    <t>극락조화</t>
  </si>
  <si>
    <t>금강제비꽃</t>
  </si>
  <si>
    <t>금사슬나무</t>
  </si>
  <si>
    <t>꽃산딸나무</t>
  </si>
  <si>
    <t>노랑제비꽃</t>
  </si>
  <si>
    <t>다마스크 장미</t>
  </si>
  <si>
    <t>단풍나무</t>
  </si>
  <si>
    <t>달래</t>
  </si>
  <si>
    <t>달리아</t>
  </si>
  <si>
    <t>다리다 모감주나무</t>
  </si>
  <si>
    <t>대회향</t>
  </si>
  <si>
    <t>데이지</t>
  </si>
  <si>
    <t>도라지</t>
  </si>
  <si>
    <t>도르스테니아 포에티다</t>
  </si>
  <si>
    <t>루드베키아</t>
  </si>
  <si>
    <t>마가목</t>
  </si>
  <si>
    <t>마돈나 백합</t>
  </si>
  <si>
    <t>말레세르비아</t>
  </si>
  <si>
    <t>매리골드</t>
  </si>
  <si>
    <t>메이애플</t>
  </si>
  <si>
    <t>목련</t>
  </si>
  <si>
    <t>무궁화</t>
  </si>
  <si>
    <t>문관과</t>
  </si>
  <si>
    <t>물푸레나무</t>
  </si>
  <si>
    <t>미국 등나무</t>
  </si>
  <si>
    <t>미국부용</t>
  </si>
  <si>
    <t>박쥐란</t>
  </si>
  <si>
    <t>발사나무</t>
  </si>
  <si>
    <t>방크스소나무</t>
  </si>
  <si>
    <t>백양꽃</t>
  </si>
  <si>
    <t>뱅크셔</t>
  </si>
  <si>
    <t>벚나무</t>
  </si>
  <si>
    <t>베고니아</t>
  </si>
  <si>
    <t>보리자나무</t>
  </si>
  <si>
    <t>보세란</t>
  </si>
  <si>
    <t>봉황목</t>
  </si>
  <si>
    <t>부들레야</t>
  </si>
  <si>
    <t>북극이끼장구채</t>
  </si>
  <si>
    <t>붉은사슴뿔버섯</t>
  </si>
  <si>
    <t>붉은토끼풀</t>
  </si>
  <si>
    <t>브라질너트 나무</t>
  </si>
  <si>
    <t>블루보넷</t>
  </si>
  <si>
    <t>블루오키드</t>
  </si>
  <si>
    <t>빵나무</t>
  </si>
  <si>
    <t>뽕나무</t>
  </si>
  <si>
    <t>뿔남천</t>
  </si>
  <si>
    <t>사라세니아</t>
  </si>
  <si>
    <t>사이코트리아 엘라타</t>
  </si>
  <si>
    <t>사탕단풍</t>
  </si>
  <si>
    <t>산사나무</t>
  </si>
  <si>
    <t>석산</t>
  </si>
  <si>
    <t>세인트폴리아</t>
  </si>
  <si>
    <t>세쿼이아</t>
  </si>
  <si>
    <t>수국</t>
  </si>
  <si>
    <t>수레국화</t>
  </si>
  <si>
    <t>수련</t>
  </si>
  <si>
    <t>수수꽃다리</t>
  </si>
  <si>
    <t>순비기나무</t>
  </si>
  <si>
    <t>시계꽃</t>
  </si>
  <si>
    <t>시어 버터 나무</t>
  </si>
  <si>
    <t>시클라멘</t>
  </si>
  <si>
    <t>심비디움</t>
  </si>
  <si>
    <t>파인애플</t>
  </si>
  <si>
    <t>아마릴리스</t>
  </si>
  <si>
    <t>아모르포팔루스 티타눔</t>
  </si>
  <si>
    <t>아사이</t>
  </si>
  <si>
    <t>아스테리스커스</t>
  </si>
  <si>
    <t>아이리데스</t>
  </si>
  <si>
    <t>아칸서스</t>
  </si>
  <si>
    <t>아키</t>
  </si>
  <si>
    <t>아티초크</t>
  </si>
  <si>
    <t>안개꽃</t>
  </si>
  <si>
    <t>알스트로에메리아</t>
  </si>
  <si>
    <t>애옥자</t>
  </si>
  <si>
    <t>연꽃</t>
  </si>
  <si>
    <t>열대 수련</t>
  </si>
  <si>
    <t>예르바 마테</t>
  </si>
  <si>
    <t>오히아레후아</t>
  </si>
  <si>
    <t>와틀</t>
  </si>
  <si>
    <t>용안</t>
  </si>
  <si>
    <t>운남앵초</t>
  </si>
  <si>
    <t>월계수</t>
  </si>
  <si>
    <t>웰위치아</t>
  </si>
  <si>
    <t>이페</t>
  </si>
  <si>
    <t>일본 붓꽃</t>
  </si>
  <si>
    <t>자두나무</t>
  </si>
  <si>
    <t>자작나무</t>
  </si>
  <si>
    <t>자주달개비</t>
  </si>
  <si>
    <t>자카란다</t>
  </si>
  <si>
    <t>정이품송</t>
  </si>
  <si>
    <t>조몬 삼나무</t>
  </si>
  <si>
    <t>쥐엄나무</t>
  </si>
  <si>
    <t>추파추파</t>
  </si>
  <si>
    <t>카네이션</t>
  </si>
  <si>
    <t>카틀레야</t>
  </si>
  <si>
    <t>칸투아</t>
  </si>
  <si>
    <t>칼라파테</t>
  </si>
  <si>
    <t>칼미아</t>
  </si>
  <si>
    <t>칼세올라리아</t>
  </si>
  <si>
    <t>코삐우에</t>
  </si>
  <si>
    <t>큰가시연꽃</t>
  </si>
  <si>
    <t>태산목</t>
  </si>
  <si>
    <t>토끼풀</t>
  </si>
  <si>
    <t>토레니아</t>
  </si>
  <si>
    <t>튤립</t>
  </si>
  <si>
    <t>틸란드시아</t>
  </si>
  <si>
    <t>파리지옥</t>
  </si>
  <si>
    <t>페요테</t>
  </si>
  <si>
    <t>편백</t>
  </si>
  <si>
    <t>포인세티아</t>
  </si>
  <si>
    <t>프로테아</t>
  </si>
  <si>
    <t>플록스</t>
  </si>
  <si>
    <t>함박꽃나무</t>
  </si>
  <si>
    <t>호접란</t>
  </si>
  <si>
    <t>화경버섯</t>
  </si>
  <si>
    <t>화염목</t>
  </si>
  <si>
    <t>회화나무</t>
  </si>
  <si>
    <t>흑종초</t>
  </si>
  <si>
    <t>남극좀새풀</t>
  </si>
  <si>
    <t>산솔이끼</t>
  </si>
  <si>
    <t>침솔이끼</t>
  </si>
  <si>
    <t>작은검정이끼</t>
  </si>
  <si>
    <t>낫깃털이끼</t>
  </si>
  <si>
    <t>남극구슬이끼</t>
  </si>
  <si>
    <t>남극선이끼</t>
  </si>
  <si>
    <t>게아재비</t>
  </si>
  <si>
    <t>곤봉딱정벌레</t>
  </si>
  <si>
    <t>군대개미</t>
  </si>
  <si>
    <t>기라파톱사슴벌레</t>
  </si>
  <si>
    <t>긴꼬리제비나비</t>
  </si>
  <si>
    <t>꼬리명주나비</t>
  </si>
  <si>
    <t>남방제비나비</t>
  </si>
  <si>
    <t>넵튠왕장수풍뎅이</t>
  </si>
  <si>
    <t>누에나방</t>
  </si>
  <si>
    <t>돌담무늬나비</t>
  </si>
  <si>
    <t>말레이제왕매미</t>
  </si>
  <si>
    <t>모자주홍하늘소</t>
  </si>
  <si>
    <t>바이올린딱정벌레</t>
  </si>
  <si>
    <t>반딧불이</t>
  </si>
  <si>
    <t>발광방아벌레</t>
  </si>
  <si>
    <t>방랑개미</t>
  </si>
  <si>
    <t>뱀눈나비</t>
  </si>
  <si>
    <t>뿔매미</t>
  </si>
  <si>
    <t>사람얼굴노린재</t>
  </si>
  <si>
    <t>사막메뚜기</t>
  </si>
  <si>
    <t>사슴벌레</t>
  </si>
  <si>
    <t>사하라사막개미</t>
  </si>
  <si>
    <t>사향제비나비</t>
  </si>
  <si>
    <t>신선나비</t>
  </si>
  <si>
    <t>아틀라스대왕산누에나방</t>
  </si>
  <si>
    <t>아틀라스왕장수풍뎅이</t>
  </si>
  <si>
    <t>아폴로모시나비</t>
  </si>
  <si>
    <t>악어머리뿔매미</t>
  </si>
  <si>
    <t>오각뿔장수풍뎅이</t>
  </si>
  <si>
    <t>왕넓적사슴벌레</t>
  </si>
  <si>
    <t>왕오색나비</t>
  </si>
  <si>
    <t>웨이스키보라띠제비나비</t>
  </si>
  <si>
    <t>유리창나비</t>
  </si>
  <si>
    <t>잘모키스제비나비</t>
  </si>
  <si>
    <t>장수하늘소</t>
  </si>
  <si>
    <t>저녁매미</t>
  </si>
  <si>
    <t>제왕얼룩나비</t>
  </si>
  <si>
    <t>주홍점박이긴앞다리풍뎅이</t>
  </si>
  <si>
    <t>청귀뚜라미</t>
  </si>
  <si>
    <t>총알개미</t>
  </si>
  <si>
    <t>침노린재</t>
  </si>
  <si>
    <t>코카서스왕장수풍뎅이</t>
  </si>
  <si>
    <t>큰나뭇잎벌레</t>
  </si>
  <si>
    <t>타이탄하늘소</t>
  </si>
  <si>
    <t>푸른측범잠자리</t>
  </si>
  <si>
    <t>헤라클레스왕장수풍뎅이</t>
  </si>
  <si>
    <t>가면올빼미</t>
  </si>
  <si>
    <t>가시올빼미</t>
  </si>
  <si>
    <t>가위꼬리딱새</t>
  </si>
  <si>
    <t>갈라파고스 펭귄</t>
  </si>
  <si>
    <t>거문고새</t>
  </si>
  <si>
    <t>검독수리</t>
  </si>
  <si>
    <t>검은 다리 카리아마</t>
  </si>
  <si>
    <t>검은머리물떼새</t>
  </si>
  <si>
    <t>검은머리황새</t>
  </si>
  <si>
    <t>검은바람까마귀</t>
  </si>
  <si>
    <t>공작</t>
  </si>
  <si>
    <t>관학</t>
  </si>
  <si>
    <t>괭이갈매기</t>
  </si>
  <si>
    <t>극락 비두아</t>
  </si>
  <si>
    <t>금강앵무</t>
  </si>
  <si>
    <t>금계</t>
  </si>
  <si>
    <t>긴꼬리홍양진이</t>
  </si>
  <si>
    <t>꿩</t>
  </si>
  <si>
    <t>난쟁이펭귄</t>
  </si>
  <si>
    <t>남방 화식조</t>
  </si>
  <si>
    <t>남부바위뛰기펭귄</t>
  </si>
  <si>
    <t>노랑목 모란앵무</t>
  </si>
  <si>
    <t>뇌조</t>
  </si>
  <si>
    <t>담황목따오기</t>
  </si>
  <si>
    <t>대륙 검은지빠귀</t>
  </si>
  <si>
    <t>다리다파랑까치</t>
  </si>
  <si>
    <t>댕기흰찌르레기</t>
  </si>
  <si>
    <t>두루미</t>
  </si>
  <si>
    <t>따오기</t>
  </si>
  <si>
    <t>라켓 벌새</t>
  </si>
  <si>
    <t>라켓 쏙독새</t>
  </si>
  <si>
    <t>레아</t>
  </si>
  <si>
    <t>마카로니펭귄</t>
  </si>
  <si>
    <t>모아</t>
  </si>
  <si>
    <t>물수리</t>
  </si>
  <si>
    <t>물총새</t>
  </si>
  <si>
    <t>미카도꿩</t>
  </si>
  <si>
    <t>백송고리</t>
  </si>
  <si>
    <t>뱀눈새</t>
  </si>
  <si>
    <t>뱀잡이 수리</t>
  </si>
  <si>
    <t>볼 망태 두루미</t>
  </si>
  <si>
    <t>부채머리수리</t>
  </si>
  <si>
    <t>분홍 앵무</t>
  </si>
  <si>
    <t>붉은 솔개</t>
  </si>
  <si>
    <t>붉은배 딱따구리</t>
  </si>
  <si>
    <t>붉은장미앵무</t>
  </si>
  <si>
    <t>빅토리아왕관비둘기</t>
  </si>
  <si>
    <t>뿔퍼핀</t>
  </si>
  <si>
    <t>사다새</t>
  </si>
  <si>
    <t>산계</t>
  </si>
  <si>
    <t>상사조</t>
  </si>
  <si>
    <t>솔부엉이</t>
  </si>
  <si>
    <t>쇠물닭</t>
  </si>
  <si>
    <t>아리엘왕부리</t>
  </si>
  <si>
    <t>아메리카 흰 두루미</t>
  </si>
  <si>
    <t>아프리카 물수리</t>
  </si>
  <si>
    <t>안경 올빼미</t>
  </si>
  <si>
    <t>안데스콘돌</t>
  </si>
  <si>
    <t>알락할미새</t>
  </si>
  <si>
    <t>야자잎검은유황앵무새</t>
  </si>
  <si>
    <t>어깨걸이극락조</t>
  </si>
  <si>
    <t>에뮤</t>
  </si>
  <si>
    <t>에피오르니스</t>
  </si>
  <si>
    <t>엘레오노라매</t>
  </si>
  <si>
    <t>오목눈이</t>
  </si>
  <si>
    <t>오색 청해 앵무</t>
  </si>
  <si>
    <t>왕관앵무</t>
  </si>
  <si>
    <t>왕펭귄</t>
  </si>
  <si>
    <t>웃는 올빼미</t>
  </si>
  <si>
    <t>원앙사촌</t>
  </si>
  <si>
    <t>이집트 독수리</t>
  </si>
  <si>
    <t>잉카제비갈매기</t>
  </si>
  <si>
    <t>자카스펭귄</t>
  </si>
  <si>
    <t>장다리 황새</t>
  </si>
  <si>
    <t>장미계</t>
  </si>
  <si>
    <t>저어새</t>
  </si>
  <si>
    <t>진홍 쇠물닭</t>
  </si>
  <si>
    <t>진홍 저어새</t>
  </si>
  <si>
    <t>천인조</t>
  </si>
  <si>
    <t>청금강앵무</t>
  </si>
  <si>
    <t>청두루미</t>
  </si>
  <si>
    <t>칠면조</t>
  </si>
  <si>
    <t>카구</t>
  </si>
  <si>
    <t>카라카라</t>
  </si>
  <si>
    <t>카카포</t>
  </si>
  <si>
    <t>칼부리벌새</t>
  </si>
  <si>
    <t>케이프 독수리</t>
  </si>
  <si>
    <t>케찰</t>
  </si>
  <si>
    <t>크낙새</t>
  </si>
  <si>
    <t>큰바다쇠오리</t>
  </si>
  <si>
    <t>큰봉관조</t>
  </si>
  <si>
    <t>큰코뿔새</t>
  </si>
  <si>
    <t>큰유황앵무</t>
  </si>
  <si>
    <t>키위</t>
  </si>
  <si>
    <t>타조</t>
  </si>
  <si>
    <t>토코투칸</t>
  </si>
  <si>
    <t>토파즈벌새</t>
  </si>
  <si>
    <t>파랑 어치</t>
  </si>
  <si>
    <t>포투</t>
  </si>
  <si>
    <t>푸른발부비새</t>
  </si>
  <si>
    <t>풍금새</t>
  </si>
  <si>
    <t>하스트수리</t>
  </si>
  <si>
    <t>하야신스마코금강앵무</t>
  </si>
  <si>
    <t>하와이기러기</t>
  </si>
  <si>
    <t>호금조</t>
  </si>
  <si>
    <t>호로새</t>
  </si>
  <si>
    <t>홍관조</t>
  </si>
  <si>
    <t>홍방울새</t>
  </si>
  <si>
    <t>홍색가슴오색조</t>
  </si>
  <si>
    <t>홍학</t>
  </si>
  <si>
    <t>후투티</t>
  </si>
  <si>
    <t>훔볼트 펭귄</t>
  </si>
  <si>
    <t>휘파람새</t>
  </si>
  <si>
    <t>흑고니</t>
  </si>
  <si>
    <t>흡혈 핀치</t>
  </si>
  <si>
    <t>흰눈썹 뜸부기</t>
  </si>
  <si>
    <t>흰눈썹붉은배지빠귀</t>
  </si>
  <si>
    <t>흰눈썹지빠귀</t>
  </si>
  <si>
    <t>흰머리독수리</t>
  </si>
  <si>
    <t>흰부리딱따구리</t>
  </si>
  <si>
    <t>흰올빼미</t>
  </si>
  <si>
    <t>가시두더지</t>
  </si>
  <si>
    <t>가죽날개원숭이</t>
  </si>
  <si>
    <t>갈라고</t>
  </si>
  <si>
    <t>갈색나무뱀</t>
  </si>
  <si>
    <t>갈색은둔거미</t>
  </si>
  <si>
    <t>거꾸로 개구리</t>
  </si>
  <si>
    <t>검은담비</t>
  </si>
  <si>
    <t>검은맘바</t>
  </si>
  <si>
    <t>검은발고양이</t>
  </si>
  <si>
    <t>겨울잠쥐</t>
  </si>
  <si>
    <t>고슴도치</t>
  </si>
  <si>
    <t>관시 파카</t>
  </si>
  <si>
    <t>깡충토끼</t>
  </si>
  <si>
    <t>나무타기도마뱀</t>
  </si>
  <si>
    <t>낙타거미</t>
  </si>
  <si>
    <t>날개구리</t>
  </si>
  <si>
    <t>날도마뱀</t>
  </si>
  <si>
    <t>날뱀</t>
  </si>
  <si>
    <t>다윈코개구리</t>
  </si>
  <si>
    <t>담비</t>
  </si>
  <si>
    <t>대모</t>
  </si>
  <si>
    <t>데구</t>
  </si>
  <si>
    <t>도마뱀붙이</t>
  </si>
  <si>
    <t>독도마뱀</t>
  </si>
  <si>
    <t>독화살개구리</t>
  </si>
  <si>
    <t>동부초록맘바</t>
  </si>
  <si>
    <t>러셀살무사</t>
  </si>
  <si>
    <t>러시아데스만</t>
  </si>
  <si>
    <t>레밍</t>
  </si>
  <si>
    <t>레서 사이렌</t>
  </si>
  <si>
    <t>링크할스</t>
  </si>
  <si>
    <t>마못</t>
  </si>
  <si>
    <t>마타마타거북</t>
  </si>
  <si>
    <t>목도리도마뱀</t>
  </si>
  <si>
    <t>무지개아가마</t>
  </si>
  <si>
    <t>미어캣</t>
  </si>
  <si>
    <t>바실리스크이구아나</t>
  </si>
  <si>
    <t>바위너구리</t>
  </si>
  <si>
    <t>반디쿠트</t>
  </si>
  <si>
    <t>뱀목거북</t>
  </si>
  <si>
    <t>벌거숭이뻐드렁니쥐</t>
  </si>
  <si>
    <t>불도그박쥐</t>
  </si>
  <si>
    <t>붉은다리거북</t>
  </si>
  <si>
    <t>붉은박쥐</t>
  </si>
  <si>
    <t>빨간눈청개구리</t>
  </si>
  <si>
    <t>뻐끔살무사</t>
  </si>
  <si>
    <t>뿔개구리</t>
  </si>
  <si>
    <t>사막가시도마뱀</t>
  </si>
  <si>
    <t>사막비개구리</t>
  </si>
  <si>
    <t>사막뿔살무사</t>
  </si>
  <si>
    <t>사자타마린</t>
  </si>
  <si>
    <t>사향쥐</t>
  </si>
  <si>
    <t>샐러맨더</t>
  </si>
  <si>
    <t>세발가락상자거북</t>
  </si>
  <si>
    <t>솔레노돈</t>
  </si>
  <si>
    <t>솜꼬리토끼</t>
  </si>
  <si>
    <t>수달사향고양이</t>
  </si>
  <si>
    <t>숲산청개구리</t>
  </si>
  <si>
    <t>유대하늘다람쥐</t>
  </si>
  <si>
    <t>스피팅코브라</t>
  </si>
  <si>
    <t>시리아햄스터</t>
  </si>
  <si>
    <t>아구티</t>
  </si>
  <si>
    <t>아르마딜로갑옷도마뱀</t>
  </si>
  <si>
    <t>아메리카밍크</t>
  </si>
  <si>
    <t>아프리카발톱개구리</t>
  </si>
  <si>
    <t>아홀로틀</t>
  </si>
  <si>
    <t>안경원숭이</t>
  </si>
  <si>
    <t>암보이나상자거북</t>
  </si>
  <si>
    <t>갈라파고스용암도마뱀</t>
  </si>
  <si>
    <t>우는토끼</t>
  </si>
  <si>
    <t>유럽땅다람쥐</t>
  </si>
  <si>
    <t>유럽밍크</t>
  </si>
  <si>
    <t>유리개구리</t>
  </si>
  <si>
    <t>이시카와개구리</t>
  </si>
  <si>
    <t>일리우는토끼</t>
  </si>
  <si>
    <t>주머니개미핥기</t>
  </si>
  <si>
    <t>주머니고양이</t>
  </si>
  <si>
    <t>주머니날다람쥐</t>
  </si>
  <si>
    <t>주머니두더지</t>
  </si>
  <si>
    <t>주머니여우</t>
  </si>
  <si>
    <t>주머니줄무늬다람쥐</t>
  </si>
  <si>
    <t>주머니쥐</t>
  </si>
  <si>
    <t>청설모</t>
  </si>
  <si>
    <t>친칠라</t>
  </si>
  <si>
    <t>칠리안로즈헤어</t>
  </si>
  <si>
    <t>카멜레온</t>
  </si>
  <si>
    <t>카펫 카멜레온</t>
  </si>
  <si>
    <t>캥거루쥐</t>
  </si>
  <si>
    <t>케이프땅다람쥐</t>
  </si>
  <si>
    <t>코브라</t>
  </si>
  <si>
    <t>코퀴청개구리</t>
  </si>
  <si>
    <t>킨카주너구리</t>
  </si>
  <si>
    <t>타란툴라</t>
  </si>
  <si>
    <t>토마토개구리</t>
  </si>
  <si>
    <t>팔라스다람쥐</t>
  </si>
  <si>
    <t>페럿</t>
  </si>
  <si>
    <t>프레리도그</t>
  </si>
  <si>
    <t>피그미마모셋</t>
  </si>
  <si>
    <t>피파개구리</t>
  </si>
  <si>
    <t>황금개구리</t>
  </si>
  <si>
    <t>황제타마린</t>
  </si>
  <si>
    <t>흡혈박쥐</t>
  </si>
  <si>
    <t>갈라파고스땅거북</t>
  </si>
  <si>
    <t>갈라파고스이구아나</t>
  </si>
  <si>
    <t>거미원숭이</t>
  </si>
  <si>
    <t>검은머리카푸친</t>
  </si>
  <si>
    <t>검은여우원숭이</t>
  </si>
  <si>
    <t>고라니</t>
  </si>
  <si>
    <t>고리무늬물범</t>
  </si>
  <si>
    <t>구름표범</t>
  </si>
  <si>
    <t>그리스거북</t>
  </si>
  <si>
    <t>긴팔원숭이</t>
  </si>
  <si>
    <t>꽃사슴</t>
  </si>
  <si>
    <t>나무늘보</t>
  </si>
  <si>
    <t>뉴펀들랜드</t>
  </si>
  <si>
    <t>늑대거북</t>
  </si>
  <si>
    <t>늪영양</t>
  </si>
  <si>
    <t>다람쥐원숭이</t>
  </si>
  <si>
    <t>포르모사바위마카크</t>
  </si>
  <si>
    <t>들개</t>
  </si>
  <si>
    <t>땅돼지</t>
  </si>
  <si>
    <t>라텔</t>
  </si>
  <si>
    <t>레서판다</t>
  </si>
  <si>
    <t>리카온</t>
  </si>
  <si>
    <t>망토개코원숭이</t>
  </si>
  <si>
    <t>맨드릴</t>
  </si>
  <si>
    <t>목도리여우원숭이</t>
  </si>
  <si>
    <t>무플롱</t>
  </si>
  <si>
    <t>물개</t>
  </si>
  <si>
    <t>바다이구아나</t>
  </si>
  <si>
    <t>바다표범</t>
  </si>
  <si>
    <t>바바리양</t>
  </si>
  <si>
    <t>바비루사</t>
  </si>
  <si>
    <t>별거북</t>
  </si>
  <si>
    <t>보르조이</t>
  </si>
  <si>
    <t>봉고</t>
  </si>
  <si>
    <t>북극여우</t>
  </si>
  <si>
    <t>붉은늑대</t>
  </si>
  <si>
    <t>붉은바다거북</t>
  </si>
  <si>
    <t>붉은사슴</t>
  </si>
  <si>
    <t>비버</t>
  </si>
  <si>
    <t>사이가산양</t>
  </si>
  <si>
    <t>사향노루</t>
  </si>
  <si>
    <t>살무사</t>
  </si>
  <si>
    <t>살쾡이</t>
  </si>
  <si>
    <t>서발</t>
  </si>
  <si>
    <t>설가타</t>
  </si>
  <si>
    <t>스라소니</t>
  </si>
  <si>
    <t>시파카</t>
  </si>
  <si>
    <t>아기사슴</t>
  </si>
  <si>
    <t>아라비아오릭스</t>
  </si>
  <si>
    <t>아르갈리</t>
  </si>
  <si>
    <t>아르마딜로</t>
  </si>
  <si>
    <t>아이아이</t>
  </si>
  <si>
    <t>아자와크</t>
  </si>
  <si>
    <t>애기하마</t>
  </si>
  <si>
    <t>야쿠사슴</t>
  </si>
  <si>
    <t>얼룩말</t>
  </si>
  <si>
    <t>오소리</t>
  </si>
  <si>
    <t>오실롯</t>
  </si>
  <si>
    <t>왕아르마딜로</t>
  </si>
  <si>
    <t>웜뱃</t>
  </si>
  <si>
    <t>인도몽구스</t>
  </si>
  <si>
    <t>인도영양</t>
  </si>
  <si>
    <t>인드리</t>
  </si>
  <si>
    <t>일본장수도롱뇽</t>
  </si>
  <si>
    <t>일본산양</t>
  </si>
  <si>
    <t>일본원숭이</t>
  </si>
  <si>
    <t>임팔라</t>
  </si>
  <si>
    <t>잎원숭이</t>
  </si>
  <si>
    <t>자칼</t>
  </si>
  <si>
    <t>작은개미핥기</t>
  </si>
  <si>
    <t>잔점박이물범</t>
  </si>
  <si>
    <t>주머니늑대</t>
  </si>
  <si>
    <t>차우차우</t>
  </si>
  <si>
    <t>침팬지</t>
  </si>
  <si>
    <t>카라칼</t>
  </si>
  <si>
    <t>카피바라</t>
  </si>
  <si>
    <t>캥거루</t>
  </si>
  <si>
    <t>코알라</t>
  </si>
  <si>
    <t>코요테</t>
  </si>
  <si>
    <t>코주부원숭이</t>
  </si>
  <si>
    <t>큰갑옷도마뱀</t>
  </si>
  <si>
    <t>큰수달</t>
  </si>
  <si>
    <t>태즈메이니아데블</t>
  </si>
  <si>
    <t>톰슨가젤</t>
  </si>
  <si>
    <t>파란영양</t>
  </si>
  <si>
    <t>파르마숲왈라비</t>
  </si>
  <si>
    <t>파타스원숭이</t>
  </si>
  <si>
    <t>페넥여우</t>
  </si>
  <si>
    <t>페커리</t>
  </si>
  <si>
    <t>포사</t>
  </si>
  <si>
    <t>핑크이구아나</t>
  </si>
  <si>
    <t>햇살비단구렁이</t>
  </si>
  <si>
    <t>헤르만육지거북</t>
  </si>
  <si>
    <t>호랑이꼬리여우원숭이</t>
  </si>
  <si>
    <t>호저</t>
  </si>
  <si>
    <t>혹멧돼지</t>
  </si>
  <si>
    <t>황금랑구르</t>
  </si>
  <si>
    <t>흑백콜로부스</t>
  </si>
  <si>
    <t>검정카이만</t>
  </si>
  <si>
    <t>고릴라</t>
  </si>
  <si>
    <t>과나코</t>
  </si>
  <si>
    <t>기린</t>
  </si>
  <si>
    <t>나사뿔영양</t>
  </si>
  <si>
    <t>나일악어</t>
  </si>
  <si>
    <t>나일왕도마뱀</t>
  </si>
  <si>
    <t>노새사슴</t>
  </si>
  <si>
    <t>누</t>
  </si>
  <si>
    <t>느림보곰</t>
  </si>
  <si>
    <t>늪사슴</t>
  </si>
  <si>
    <t>단봉낙타</t>
  </si>
  <si>
    <t>대왕판다</t>
  </si>
  <si>
    <t>말레이곰</t>
  </si>
  <si>
    <t>말레이맥</t>
  </si>
  <si>
    <t>말코손바닥사슴</t>
  </si>
  <si>
    <t>멧돼지</t>
  </si>
  <si>
    <t>물소</t>
  </si>
  <si>
    <t>밴팅</t>
  </si>
  <si>
    <t>베어드맥</t>
  </si>
  <si>
    <t>보아</t>
  </si>
  <si>
    <t>불곰</t>
  </si>
  <si>
    <t>비단구렁이</t>
  </si>
  <si>
    <t>비쿠냐</t>
  </si>
  <si>
    <t>사불상</t>
  </si>
  <si>
    <t>사자</t>
  </si>
  <si>
    <t>사향소</t>
  </si>
  <si>
    <t>삼바</t>
  </si>
  <si>
    <t>순록</t>
  </si>
  <si>
    <t>쌍봉낙타</t>
  </si>
  <si>
    <t>아나콘다</t>
  </si>
  <si>
    <t>아메리카들소</t>
  </si>
  <si>
    <t>아메리카흑곰</t>
  </si>
  <si>
    <t>아무르표범</t>
  </si>
  <si>
    <t>아무르호랑이</t>
  </si>
  <si>
    <t>아프리카들소</t>
  </si>
  <si>
    <t>아프리카코끼리</t>
  </si>
  <si>
    <t>안경곰</t>
  </si>
  <si>
    <t>안경카이만</t>
  </si>
  <si>
    <t>양쯔강악어</t>
  </si>
  <si>
    <t>오랑우탄</t>
  </si>
  <si>
    <t>오록스</t>
  </si>
  <si>
    <t>왕도마뱀</t>
  </si>
  <si>
    <t>유럽 들소</t>
  </si>
  <si>
    <t>인도가비알</t>
  </si>
  <si>
    <t>인도코끼리</t>
  </si>
  <si>
    <t>치타</t>
  </si>
  <si>
    <t>코모도왕도마뱀</t>
  </si>
  <si>
    <t>코뿔소</t>
  </si>
  <si>
    <t>콰가</t>
  </si>
  <si>
    <t>큰뿔야생양</t>
  </si>
  <si>
    <t>타이판</t>
  </si>
  <si>
    <t>타킨</t>
  </si>
  <si>
    <t>페르시아 표범</t>
  </si>
  <si>
    <t>퓨마</t>
  </si>
  <si>
    <t>호랑이뱀</t>
  </si>
  <si>
    <t>회색곰</t>
  </si>
  <si>
    <t>가라지</t>
  </si>
  <si>
    <t>어류</t>
  </si>
  <si>
    <t>가숭어</t>
  </si>
  <si>
    <t>가시나비고기</t>
  </si>
  <si>
    <t>가시복</t>
  </si>
  <si>
    <t>가시쥐치</t>
  </si>
  <si>
    <t>가시해마</t>
  </si>
  <si>
    <t>각시가자미</t>
  </si>
  <si>
    <t>각시돔</t>
  </si>
  <si>
    <t>갈고등어</t>
  </si>
  <si>
    <t>갈돔</t>
  </si>
  <si>
    <t>갈전갱이</t>
  </si>
  <si>
    <t>갈창갯장어</t>
  </si>
  <si>
    <t>갈치</t>
  </si>
  <si>
    <t>감성돔</t>
  </si>
  <si>
    <t>갑오징어</t>
  </si>
  <si>
    <t>갑옷메기</t>
  </si>
  <si>
    <t>강남상어</t>
  </si>
  <si>
    <t>강도다리</t>
  </si>
  <si>
    <t>개상어</t>
  </si>
  <si>
    <t>객주리</t>
  </si>
  <si>
    <t>갯농어</t>
  </si>
  <si>
    <t>갯장어</t>
  </si>
  <si>
    <t>거북복</t>
  </si>
  <si>
    <t>검은꼬리상어</t>
  </si>
  <si>
    <t>검은점곰치</t>
  </si>
  <si>
    <t>검은줄꼬리돔</t>
  </si>
  <si>
    <t>게레치</t>
  </si>
  <si>
    <t>게르치</t>
  </si>
  <si>
    <t>고깔해파리</t>
  </si>
  <si>
    <t>고등어</t>
  </si>
  <si>
    <t>고래상어</t>
  </si>
  <si>
    <t>고무꺽정이</t>
  </si>
  <si>
    <t>고베둥글넙치</t>
  </si>
  <si>
    <t>곰치</t>
  </si>
  <si>
    <t>곱상어</t>
  </si>
  <si>
    <t>궁제기서대</t>
  </si>
  <si>
    <t>귀상어</t>
  </si>
  <si>
    <t>귀신고래</t>
  </si>
  <si>
    <t>그린란드상어</t>
  </si>
  <si>
    <t>그물코쥐치</t>
  </si>
  <si>
    <t>금줄촉수</t>
  </si>
  <si>
    <t>긴가라지</t>
  </si>
  <si>
    <t>긴코줄고기</t>
  </si>
  <si>
    <t>깃비늘치</t>
  </si>
  <si>
    <t>까지가자미</t>
  </si>
  <si>
    <t>까지양태</t>
  </si>
  <si>
    <t>까치돔</t>
  </si>
  <si>
    <t>까치상어</t>
  </si>
  <si>
    <t>까치횟대</t>
  </si>
  <si>
    <t>꺼끌복</t>
  </si>
  <si>
    <t>꼬리기름상어</t>
  </si>
  <si>
    <t>꼬치삼치</t>
  </si>
  <si>
    <t>꼭갈치</t>
  </si>
  <si>
    <t>꽁치</t>
  </si>
  <si>
    <t>꽁치아재비</t>
  </si>
  <si>
    <t>꽃동멸</t>
  </si>
  <si>
    <t>꾀붕장어</t>
  </si>
  <si>
    <t>나망곰치</t>
  </si>
  <si>
    <t>나비가오리</t>
  </si>
  <si>
    <t>나사조개</t>
  </si>
  <si>
    <t>나일아로와나</t>
  </si>
  <si>
    <t>나일퍼치</t>
  </si>
  <si>
    <t>날개다랑어</t>
  </si>
  <si>
    <t>날개쥐치</t>
  </si>
  <si>
    <t>날개횟대</t>
  </si>
  <si>
    <t>날새기</t>
  </si>
  <si>
    <t>날치</t>
  </si>
  <si>
    <t>낫잿방어</t>
  </si>
  <si>
    <t>넓은주둥이상어</t>
  </si>
  <si>
    <t>넙치</t>
  </si>
  <si>
    <t>네눈박이송사리</t>
  </si>
  <si>
    <t>네동가리</t>
  </si>
  <si>
    <t>네줄고기</t>
  </si>
  <si>
    <t>네줄벤자리</t>
  </si>
  <si>
    <t>노랑가오리</t>
  </si>
  <si>
    <t>노랑거북복</t>
  </si>
  <si>
    <t>노랑자리돔</t>
  </si>
  <si>
    <t>노랑점무늬유전갱이</t>
  </si>
  <si>
    <t>노랑줄돔</t>
  </si>
  <si>
    <t>노랑촉수</t>
  </si>
  <si>
    <t>녹색물결놀래기</t>
  </si>
  <si>
    <t>녹줄돔</t>
  </si>
  <si>
    <t>놀락감펭</t>
  </si>
  <si>
    <t>놀락민태</t>
  </si>
  <si>
    <t>농어</t>
  </si>
  <si>
    <t>눈다랑어</t>
  </si>
  <si>
    <t>눈볼대</t>
  </si>
  <si>
    <t>눈불개복</t>
  </si>
  <si>
    <t>눈양태</t>
  </si>
  <si>
    <t>눈퉁군평선</t>
  </si>
  <si>
    <t>눈퉁멸</t>
  </si>
  <si>
    <t>다금바리</t>
  </si>
  <si>
    <t>단기임연수어</t>
  </si>
  <si>
    <t>달고기</t>
  </si>
  <si>
    <t>당멸치</t>
  </si>
  <si>
    <t>대구</t>
  </si>
  <si>
    <t>대빨판이</t>
  </si>
  <si>
    <t>대전어</t>
  </si>
  <si>
    <t>대주둥치</t>
  </si>
  <si>
    <t>도다리</t>
  </si>
  <si>
    <t>도도바리</t>
  </si>
  <si>
    <t>도라도</t>
  </si>
  <si>
    <t>도루묵</t>
  </si>
  <si>
    <t>도화돔</t>
  </si>
  <si>
    <t>도화새우</t>
  </si>
  <si>
    <t>독가시치</t>
  </si>
  <si>
    <t>돌묵상어</t>
  </si>
  <si>
    <t>돔발상어</t>
  </si>
  <si>
    <t>동갈방어</t>
  </si>
  <si>
    <t>동갈양태</t>
  </si>
  <si>
    <t>동갈자돔</t>
  </si>
  <si>
    <t>동갈퉁돔</t>
  </si>
  <si>
    <t>동강연치</t>
  </si>
  <si>
    <t>동동갈치</t>
  </si>
  <si>
    <t>동서대</t>
  </si>
  <si>
    <t>동수구리</t>
  </si>
  <si>
    <t>돛대돔</t>
  </si>
  <si>
    <t>돛새치</t>
  </si>
  <si>
    <t>두건망둑</t>
  </si>
  <si>
    <t>두동가리돔</t>
  </si>
  <si>
    <t>두줄망둑</t>
  </si>
  <si>
    <t>두줄베도라치</t>
  </si>
  <si>
    <t>두줄벤자리</t>
  </si>
  <si>
    <t>두툽상어</t>
  </si>
  <si>
    <t>둥글돔</t>
  </si>
  <si>
    <t>듀공</t>
  </si>
  <si>
    <t>등가시치</t>
  </si>
  <si>
    <t>룰나비고기</t>
  </si>
  <si>
    <t>만새기</t>
  </si>
  <si>
    <t>말뚝망둥어</t>
  </si>
  <si>
    <t>말쥐치</t>
  </si>
  <si>
    <t>망치고등어</t>
  </si>
  <si>
    <t>망치고래</t>
  </si>
  <si>
    <t>매끈이송편게</t>
  </si>
  <si>
    <t>매날치</t>
  </si>
  <si>
    <t>매너티</t>
  </si>
  <si>
    <t>매지방어</t>
  </si>
  <si>
    <t>매퉁이</t>
  </si>
  <si>
    <t>먹붕장어</t>
  </si>
  <si>
    <t>먹얼게비늘</t>
  </si>
  <si>
    <t>먹장어</t>
  </si>
  <si>
    <t>먹줄촉수</t>
  </si>
  <si>
    <t>먹테얼게비늘</t>
  </si>
  <si>
    <t>멸치</t>
  </si>
  <si>
    <t>명태</t>
  </si>
  <si>
    <t>모조리상어</t>
  </si>
  <si>
    <t>모토로담수가오리</t>
  </si>
  <si>
    <t>몽치다래</t>
  </si>
  <si>
    <t>무늬가시돔</t>
  </si>
  <si>
    <t>무늬갈돔</t>
  </si>
  <si>
    <t>무늬깜정이</t>
  </si>
  <si>
    <t>무늬바리</t>
  </si>
  <si>
    <t>무늬쥐치</t>
  </si>
  <si>
    <t>무늬퉁돔</t>
  </si>
  <si>
    <t>무지개송어</t>
  </si>
  <si>
    <t>무태상어</t>
  </si>
  <si>
    <t>문절망둑</t>
  </si>
  <si>
    <t>물가자미</t>
  </si>
  <si>
    <t>물각쥐치</t>
  </si>
  <si>
    <t>물개복치</t>
  </si>
  <si>
    <t>물수배기</t>
  </si>
  <si>
    <t>물천구</t>
  </si>
  <si>
    <t>물퉁돔</t>
  </si>
  <si>
    <t>민무늬백합</t>
  </si>
  <si>
    <t>민물꼬치고기</t>
  </si>
  <si>
    <t>민밀복</t>
  </si>
  <si>
    <t>민어</t>
  </si>
  <si>
    <t>민전갱이</t>
  </si>
  <si>
    <t>밀복</t>
  </si>
  <si>
    <t>밍크고래</t>
  </si>
  <si>
    <t>밑성대</t>
  </si>
  <si>
    <t>바다나리</t>
  </si>
  <si>
    <t>바다동자개</t>
  </si>
  <si>
    <t>바다뱀</t>
  </si>
  <si>
    <t>바다빙어</t>
  </si>
  <si>
    <t>바닥가오리</t>
  </si>
  <si>
    <t>반딧불게르치</t>
  </si>
  <si>
    <t>반지</t>
  </si>
  <si>
    <t>방어</t>
  </si>
  <si>
    <t>배불뚝치</t>
  </si>
  <si>
    <t>배주름쥐치</t>
  </si>
  <si>
    <t>백다랑어</t>
  </si>
  <si>
    <t>백미돔</t>
  </si>
  <si>
    <t>백상아리</t>
  </si>
  <si>
    <t>뱀상어</t>
  </si>
  <si>
    <t>뱀장어</t>
  </si>
  <si>
    <t>뱅어</t>
  </si>
  <si>
    <t>벌감펭</t>
  </si>
  <si>
    <t>범고래</t>
  </si>
  <si>
    <t>범돔</t>
  </si>
  <si>
    <t>베링늑대고기</t>
  </si>
  <si>
    <t>벵에돔</t>
  </si>
  <si>
    <t>별목탁가자미</t>
  </si>
  <si>
    <t>별보리멸</t>
  </si>
  <si>
    <t>별복</t>
  </si>
  <si>
    <t>별상어</t>
  </si>
  <si>
    <t>별쭉지성대</t>
  </si>
  <si>
    <t>병어</t>
  </si>
  <si>
    <t>병치돔</t>
  </si>
  <si>
    <t>병치매가리</t>
  </si>
  <si>
    <t>보라기름눈돔</t>
  </si>
  <si>
    <t>보리멸</t>
  </si>
  <si>
    <t>복상어</t>
  </si>
  <si>
    <t>복해마</t>
  </si>
  <si>
    <t>봉오리양태</t>
  </si>
  <si>
    <t>부나</t>
  </si>
  <si>
    <t>부시리</t>
  </si>
  <si>
    <t>북극고래</t>
  </si>
  <si>
    <t>분장어</t>
  </si>
  <si>
    <t>불뚝복</t>
  </si>
  <si>
    <t>불룩복</t>
  </si>
  <si>
    <t>붉돔</t>
  </si>
  <si>
    <t>붉벤자리</t>
  </si>
  <si>
    <t>붉은게</t>
  </si>
  <si>
    <t>붉은메기</t>
  </si>
  <si>
    <t>붉은배파쿠</t>
  </si>
  <si>
    <t>붉은입술부치</t>
  </si>
  <si>
    <t>붉평치</t>
  </si>
  <si>
    <t>붕장어</t>
  </si>
  <si>
    <t>블랙아로와나</t>
  </si>
  <si>
    <t>비막치어</t>
  </si>
  <si>
    <t>빨간씬벵이</t>
  </si>
  <si>
    <t>빨간양태</t>
  </si>
  <si>
    <t>빨강부치</t>
  </si>
  <si>
    <t>빨판매가리</t>
  </si>
  <si>
    <t>빨판상어</t>
  </si>
  <si>
    <t>뿔돔</t>
  </si>
  <si>
    <t>뿔복</t>
  </si>
  <si>
    <t>뿔서대</t>
  </si>
  <si>
    <t>뿔횟대</t>
  </si>
  <si>
    <t>사랑놀래기</t>
  </si>
  <si>
    <t>산호해마</t>
  </si>
  <si>
    <t>살벤자리</t>
  </si>
  <si>
    <t>살살치</t>
  </si>
  <si>
    <t>삼치</t>
  </si>
  <si>
    <t>삿징이상어</t>
  </si>
  <si>
    <t>상괭이</t>
  </si>
  <si>
    <t>상날치</t>
  </si>
  <si>
    <t>새가라지</t>
  </si>
  <si>
    <t>새날치</t>
  </si>
  <si>
    <t>새눈치</t>
  </si>
  <si>
    <t>새다래</t>
  </si>
  <si>
    <t>색줄멸</t>
  </si>
  <si>
    <t>샛비늘치</t>
  </si>
  <si>
    <t>선홍치</t>
  </si>
  <si>
    <t>세동가리돔</t>
  </si>
  <si>
    <t>소라고둥</t>
  </si>
  <si>
    <t>송어</t>
  </si>
  <si>
    <t>수염상어</t>
  </si>
  <si>
    <t>술전갱이</t>
  </si>
  <si>
    <t>숭어</t>
  </si>
  <si>
    <t>쉬리</t>
  </si>
  <si>
    <t>스쿼럴피쉬</t>
  </si>
  <si>
    <t>스텔러바다소</t>
  </si>
  <si>
    <t>실망둑</t>
  </si>
  <si>
    <t>실붉돔</t>
  </si>
  <si>
    <t>실전갱이</t>
  </si>
  <si>
    <t>쏠배감펭</t>
  </si>
  <si>
    <t>쏠종개</t>
  </si>
  <si>
    <t>쑥감펭</t>
  </si>
  <si>
    <t>아구상어</t>
  </si>
  <si>
    <t>아귀</t>
  </si>
  <si>
    <t>아마존강돌고래</t>
  </si>
  <si>
    <t>아프리카폐어</t>
  </si>
  <si>
    <t>악상어</t>
  </si>
  <si>
    <t>알락곰치</t>
  </si>
  <si>
    <t>알락우럭</t>
  </si>
  <si>
    <t>애붕장어</t>
  </si>
  <si>
    <t>앵무조개</t>
  </si>
  <si>
    <t>야자집게</t>
  </si>
  <si>
    <t>양쯔강돌고래</t>
  </si>
  <si>
    <t>양태</t>
  </si>
  <si>
    <t>어렝놀래기</t>
  </si>
  <si>
    <t>어름돔</t>
  </si>
  <si>
    <t>얼룩상어</t>
  </si>
  <si>
    <t>얼비늘치</t>
  </si>
  <si>
    <t>폴립테루스 엔들리케리</t>
  </si>
  <si>
    <t>엘리게이터가아</t>
  </si>
  <si>
    <t>연무자리돔</t>
  </si>
  <si>
    <t>연어</t>
  </si>
  <si>
    <t>열빙어</t>
  </si>
  <si>
    <t>오점촉수</t>
  </si>
  <si>
    <t>오타리아</t>
  </si>
  <si>
    <t>옥돔</t>
  </si>
  <si>
    <t>옥두놀래기</t>
  </si>
  <si>
    <t>왕연어</t>
  </si>
  <si>
    <t>왜주둥치</t>
  </si>
  <si>
    <t>우럭볼락</t>
  </si>
  <si>
    <t>웰스메기</t>
  </si>
  <si>
    <t>유리메기</t>
  </si>
  <si>
    <t>육동가리돔</t>
  </si>
  <si>
    <t>은비늘치</t>
  </si>
  <si>
    <t>은어</t>
  </si>
  <si>
    <t>이토</t>
  </si>
  <si>
    <t>임연수어</t>
  </si>
  <si>
    <t>자바리</t>
  </si>
  <si>
    <t>자붉돔</t>
  </si>
  <si>
    <t>잿방어</t>
  </si>
  <si>
    <t>적투어</t>
  </si>
  <si>
    <t>전기가오리</t>
  </si>
  <si>
    <t>전기메기</t>
  </si>
  <si>
    <t>전기뱀장어</t>
  </si>
  <si>
    <t>전어</t>
  </si>
  <si>
    <t>점다랑어</t>
  </si>
  <si>
    <t>점쏠배감펭</t>
  </si>
  <si>
    <t>점양태</t>
  </si>
  <si>
    <t>점줄우럭</t>
  </si>
  <si>
    <t>점해마</t>
  </si>
  <si>
    <t>정어리</t>
  </si>
  <si>
    <t>제비날치</t>
  </si>
  <si>
    <t>제비활치</t>
  </si>
  <si>
    <t>종대우럭</t>
  </si>
  <si>
    <t>주걱철갑상어</t>
  </si>
  <si>
    <t>주름상어</t>
  </si>
  <si>
    <t>준치</t>
  </si>
  <si>
    <t>줄갈돔</t>
  </si>
  <si>
    <t>줄만새기</t>
  </si>
  <si>
    <t>줄무늬주둥치</t>
  </si>
  <si>
    <t>줄삼치</t>
  </si>
  <si>
    <t>줄자돔</t>
  </si>
  <si>
    <t>줄전갱이</t>
  </si>
  <si>
    <t>쥐가오리</t>
  </si>
  <si>
    <t>쥐치</t>
  </si>
  <si>
    <t>지중해새치</t>
  </si>
  <si>
    <t>짱뚱어</t>
  </si>
  <si>
    <t>쭉지성대</t>
  </si>
  <si>
    <t>참고래</t>
  </si>
  <si>
    <t>참다랑어</t>
  </si>
  <si>
    <t>참돔</t>
  </si>
  <si>
    <t>참조기</t>
  </si>
  <si>
    <t>참치방어</t>
  </si>
  <si>
    <t>창꼬치</t>
  </si>
  <si>
    <t>철갑둥어</t>
  </si>
  <si>
    <t>철갑상어</t>
  </si>
  <si>
    <t>청돔</t>
  </si>
  <si>
    <t>청상아리</t>
  </si>
  <si>
    <t>청새리상어</t>
  </si>
  <si>
    <t>청새치</t>
  </si>
  <si>
    <t>청줄청소놀래기</t>
  </si>
  <si>
    <t>청황돔</t>
  </si>
  <si>
    <t>체장메기</t>
  </si>
  <si>
    <t>초록곰치</t>
  </si>
  <si>
    <t>초승제비활치</t>
  </si>
  <si>
    <t>칠성상어</t>
  </si>
  <si>
    <t>칠성장어</t>
  </si>
  <si>
    <t>코끼리주둥이고기</t>
  </si>
  <si>
    <t>큰눈홍치</t>
  </si>
  <si>
    <t>큰뿔표문쥐치</t>
  </si>
  <si>
    <t>큰양놀래기</t>
  </si>
  <si>
    <t>큰입선농어</t>
  </si>
  <si>
    <t>큰점촉수</t>
  </si>
  <si>
    <t>큰줄얼게비늘</t>
  </si>
  <si>
    <t>클리오네</t>
  </si>
  <si>
    <t>타락치</t>
  </si>
  <si>
    <t>타폰</t>
  </si>
  <si>
    <t>탐바퀴</t>
  </si>
  <si>
    <t>톱가오리</t>
  </si>
  <si>
    <t>톱상어</t>
  </si>
  <si>
    <t>통치</t>
  </si>
  <si>
    <t>투구게</t>
  </si>
  <si>
    <t>파랑쥐치</t>
  </si>
  <si>
    <t>펠리컨장어</t>
  </si>
  <si>
    <t>표문쥐치</t>
  </si>
  <si>
    <t>표범상어</t>
  </si>
  <si>
    <t>푸른바다거북</t>
  </si>
  <si>
    <t>푸른바다민달팽이</t>
  </si>
  <si>
    <t>푸른점문어</t>
  </si>
  <si>
    <t>불꽃청줄돔</t>
  </si>
  <si>
    <t>플랩잭문어</t>
  </si>
  <si>
    <t>플레코스토무스</t>
  </si>
  <si>
    <t>피라루쿠</t>
  </si>
  <si>
    <t>피라이바</t>
  </si>
  <si>
    <t>하스돔</t>
  </si>
  <si>
    <t>학공치</t>
  </si>
  <si>
    <t>해마</t>
  </si>
  <si>
    <t>해포리고기</t>
  </si>
  <si>
    <t>향유고래</t>
  </si>
  <si>
    <t>험프헤드앵무고기</t>
  </si>
  <si>
    <t>홉리아스 아이마라</t>
  </si>
  <si>
    <t>홍기가라지</t>
  </si>
  <si>
    <t>홍대치</t>
  </si>
  <si>
    <t>홍살귀상어</t>
  </si>
  <si>
    <t>홍어</t>
  </si>
  <si>
    <t>환도상어</t>
  </si>
  <si>
    <t>황날치</t>
  </si>
  <si>
    <t>황다랑어</t>
  </si>
  <si>
    <t>황돔</t>
  </si>
  <si>
    <t>황등어</t>
  </si>
  <si>
    <t>황록쥐치</t>
  </si>
  <si>
    <t>황매퉁이</t>
  </si>
  <si>
    <t>황새치</t>
  </si>
  <si>
    <t>황적퉁돔</t>
  </si>
  <si>
    <t>황줄깜정이</t>
  </si>
  <si>
    <t>황줄돔</t>
  </si>
  <si>
    <t>흑나비조개</t>
  </si>
  <si>
    <t>흑밀복</t>
  </si>
  <si>
    <t>흑새치</t>
  </si>
  <si>
    <t>흑점꺼끌복</t>
  </si>
  <si>
    <t>흑조기</t>
  </si>
  <si>
    <t>흑줄돔</t>
  </si>
  <si>
    <t>흡혈메기</t>
  </si>
  <si>
    <t>흰동가리</t>
  </si>
  <si>
    <t>흰배환도상어</t>
  </si>
  <si>
    <t>흰빨판이</t>
  </si>
  <si>
    <t>흰점꺼끌복</t>
  </si>
  <si>
    <t>아델리 펭귄</t>
  </si>
  <si>
    <t>남방코끼리물범</t>
  </si>
  <si>
    <t>웨들해물범</t>
  </si>
  <si>
    <t>얼룩무늬물범</t>
  </si>
  <si>
    <t>남극물개</t>
  </si>
  <si>
    <t>모래시계돌고래</t>
  </si>
  <si>
    <t>북극토끼</t>
  </si>
  <si>
    <t>남극하트지느러미오징어</t>
  </si>
  <si>
    <t>곤들매기</t>
  </si>
  <si>
    <t>곱사연어</t>
  </si>
  <si>
    <t>대서양대구</t>
  </si>
  <si>
    <t>대서양연어</t>
  </si>
  <si>
    <t>잠꾸러기상어</t>
  </si>
  <si>
    <t>해덕대구</t>
  </si>
  <si>
    <t>남극이빨고기</t>
  </si>
  <si>
    <t>남극빙어</t>
  </si>
  <si>
    <t>대리석무늬암치</t>
  </si>
  <si>
    <t>남극대구</t>
  </si>
  <si>
    <t>첸링</t>
  </si>
  <si>
    <t>경복궁</t>
  </si>
  <si>
    <t>고창 지석묘군</t>
  </si>
  <si>
    <t>귀마르의 피라미드</t>
  </si>
  <si>
    <t>그레이트 짐바브웨</t>
  </si>
  <si>
    <t>김유신 묘</t>
  </si>
  <si>
    <t>나람신의 전승비</t>
  </si>
  <si>
    <t>누라게</t>
  </si>
  <si>
    <t>누비아 피라미드</t>
  </si>
  <si>
    <t>니네베</t>
  </si>
  <si>
    <t>디오니소스 극장</t>
  </si>
  <si>
    <t>라가시</t>
  </si>
  <si>
    <t>란세오 메도스</t>
  </si>
  <si>
    <t>렙티스마그나</t>
  </si>
  <si>
    <t>로도스 중세 도시</t>
  </si>
  <si>
    <t>룽먼 석굴</t>
  </si>
  <si>
    <t>류리크의 무덤</t>
  </si>
  <si>
    <t>마추픽추</t>
  </si>
  <si>
    <t>만쿠니움 요새</t>
  </si>
  <si>
    <t>무당산 오룡궁</t>
  </si>
  <si>
    <t>무령왕릉</t>
  </si>
  <si>
    <t>미륵사지 석탑</t>
  </si>
  <si>
    <t>미케네</t>
  </si>
  <si>
    <t>베르기나 유적</t>
  </si>
  <si>
    <t>보르시파</t>
  </si>
  <si>
    <t>복건토루</t>
  </si>
  <si>
    <t>비블로스</t>
  </si>
  <si>
    <t>빌라 아드리아나</t>
  </si>
  <si>
    <t>산나이마루야마</t>
  </si>
  <si>
    <t>서펜트 마운드</t>
  </si>
  <si>
    <t>소주 원림</t>
  </si>
  <si>
    <t>쇼소인</t>
  </si>
  <si>
    <t>숭례문</t>
  </si>
  <si>
    <t>썬 대거</t>
  </si>
  <si>
    <t>아르테미스 신전 터</t>
  </si>
  <si>
    <t>아즈치성</t>
  </si>
  <si>
    <t>아카쿠스 암각화 유적</t>
  </si>
  <si>
    <t>아폴로 에피큐리우스 신전</t>
  </si>
  <si>
    <t>아피아의 가도</t>
  </si>
  <si>
    <t>알타이산맥의 암각화 유적</t>
  </si>
  <si>
    <t>어퍼 스바네티</t>
  </si>
  <si>
    <t>에피다우루스의 원형 극장</t>
  </si>
  <si>
    <t>올림피아 유적</t>
  </si>
  <si>
    <t>우루크</t>
  </si>
  <si>
    <t>우르</t>
  </si>
  <si>
    <t>울루루</t>
  </si>
  <si>
    <t>자금성</t>
  </si>
  <si>
    <t>절벽 궁전</t>
  </si>
  <si>
    <t>조긴스 화석절벽</t>
  </si>
  <si>
    <t>창경궁</t>
  </si>
  <si>
    <t>창덕궁</t>
  </si>
  <si>
    <t>천마총</t>
  </si>
  <si>
    <t>첨성대</t>
  </si>
  <si>
    <t>초가 잔빌</t>
  </si>
  <si>
    <t>초딜로</t>
  </si>
  <si>
    <t>총고니 암각화 유적</t>
  </si>
  <si>
    <t>카파도키아 동굴수도원</t>
  </si>
  <si>
    <t>카호키아</t>
  </si>
  <si>
    <t>캄페체 요새 도시</t>
  </si>
  <si>
    <t>코판 유적</t>
  </si>
  <si>
    <t>콘스탄티누스의 개선문</t>
  </si>
  <si>
    <t>타실리 나제르</t>
  </si>
  <si>
    <t>테오티우아칸</t>
  </si>
  <si>
    <t>테피토쿠라</t>
  </si>
  <si>
    <t>토로 유적</t>
  </si>
  <si>
    <t>토페트</t>
  </si>
  <si>
    <t>툴룸</t>
  </si>
  <si>
    <t>트위펠폰테인</t>
  </si>
  <si>
    <t>파포스</t>
  </si>
  <si>
    <t>페르세폴리스</t>
  </si>
  <si>
    <t>포로 로마노</t>
  </si>
  <si>
    <t>포폴 부</t>
  </si>
  <si>
    <t>푸에블로 타오스</t>
  </si>
  <si>
    <t>푼트국의 부조</t>
  </si>
  <si>
    <t>하드리아누스의 성벽</t>
  </si>
  <si>
    <t>해인사</t>
  </si>
  <si>
    <t>헤이아우</t>
  </si>
  <si>
    <t>호류사</t>
  </si>
  <si>
    <t>후마나 평원</t>
  </si>
  <si>
    <t>러산 대불</t>
  </si>
  <si>
    <t>난마돌</t>
  </si>
  <si>
    <t>노군 조상</t>
  </si>
  <si>
    <t>노트르담 대성당</t>
  </si>
  <si>
    <t>달곡굴 비사문당</t>
  </si>
  <si>
    <t>독수리와 재규어의 부조</t>
  </si>
  <si>
    <t>라노 라라쿠</t>
  </si>
  <si>
    <t>랄리벨라 암굴 성당군</t>
  </si>
  <si>
    <t>말위야 미나렛</t>
  </si>
  <si>
    <t>메테오라</t>
  </si>
  <si>
    <t>미스트라</t>
  </si>
  <si>
    <t>보로부두르</t>
  </si>
  <si>
    <t>사투르누스 신전</t>
  </si>
  <si>
    <t>생트샤펠</t>
  </si>
  <si>
    <t>아후 아키비</t>
  </si>
  <si>
    <t>아후통가리키</t>
  </si>
  <si>
    <t>악숨 석주군</t>
  </si>
  <si>
    <t>에치미아진 대성당</t>
  </si>
  <si>
    <t>윈강 석굴</t>
  </si>
  <si>
    <t>코나라크 태양신 사원</t>
  </si>
  <si>
    <t>코나라크의 수레바퀴</t>
  </si>
  <si>
    <t>투트모세 1세의 오벨리스크</t>
  </si>
  <si>
    <t>파간유적</t>
  </si>
  <si>
    <t>파에스툼 유적</t>
  </si>
  <si>
    <t>호투 마투아 왕의 모아이</t>
  </si>
  <si>
    <t>스네프루의 붉은 피라미드</t>
  </si>
  <si>
    <t>벨렝탑</t>
  </si>
  <si>
    <t>##셰프샤우엔</t>
  </si>
  <si>
    <t>카이르완 대 모스크</t>
  </si>
  <si>
    <t>슈웨다곤 파고다</t>
  </si>
  <si>
    <t>고아</t>
  </si>
  <si>
    <t>과테말라</t>
  </si>
  <si>
    <t>하갓냐</t>
  </si>
  <si>
    <t>그단스크</t>
  </si>
  <si>
    <t>사우스사이드</t>
  </si>
  <si>
    <t>나가사키</t>
  </si>
  <si>
    <t>나탈</t>
  </si>
  <si>
    <t>나폴리</t>
  </si>
  <si>
    <t>낭트</t>
  </si>
  <si>
    <t>누탁</t>
  </si>
  <si>
    <t>레프코샤</t>
  </si>
  <si>
    <t>다바오</t>
  </si>
  <si>
    <t>호베</t>
  </si>
  <si>
    <t>두블린</t>
  </si>
  <si>
    <t>덕원</t>
  </si>
  <si>
    <t>덴헬데르</t>
  </si>
  <si>
    <t>도버</t>
  </si>
  <si>
    <t>도파르</t>
  </si>
  <si>
    <t>동래</t>
  </si>
  <si>
    <t>두알라</t>
  </si>
  <si>
    <t>디우</t>
  </si>
  <si>
    <t>딕손</t>
  </si>
  <si>
    <t>딜리</t>
  </si>
  <si>
    <t>라구사</t>
  </si>
  <si>
    <t>라스팔마스</t>
  </si>
  <si>
    <t>런던</t>
  </si>
  <si>
    <t>롭부리</t>
  </si>
  <si>
    <t>루안다</t>
  </si>
  <si>
    <t>뤼베크</t>
  </si>
  <si>
    <t>리가</t>
  </si>
  <si>
    <t>리마</t>
  </si>
  <si>
    <t>리스보아</t>
  </si>
  <si>
    <t>리우데자네이루</t>
  </si>
  <si>
    <t>마닐라</t>
  </si>
  <si>
    <t>푼샬</t>
  </si>
  <si>
    <t>마라카이보</t>
  </si>
  <si>
    <t>포를라마르</t>
  </si>
  <si>
    <t>마르세유</t>
  </si>
  <si>
    <t>마사와</t>
  </si>
  <si>
    <t>마실리파트남</t>
  </si>
  <si>
    <t>마카사르</t>
  </si>
  <si>
    <t>마카오</t>
  </si>
  <si>
    <t>말라가</t>
  </si>
  <si>
    <t>믈라카</t>
  </si>
  <si>
    <t>말린디</t>
  </si>
  <si>
    <t>메리다</t>
  </si>
  <si>
    <t>무크디쇼</t>
  </si>
  <si>
    <t>모삼비크</t>
  </si>
  <si>
    <t>만바사</t>
  </si>
  <si>
    <t>몽펠리에</t>
  </si>
  <si>
    <t>마스카트</t>
  </si>
  <si>
    <t>바르셀로나</t>
  </si>
  <si>
    <t>알바스라</t>
  </si>
  <si>
    <t>바이아</t>
  </si>
  <si>
    <t>반다</t>
  </si>
  <si>
    <t>반자르마신</t>
  </si>
  <si>
    <t>발렌시아</t>
  </si>
  <si>
    <t>발파라이소</t>
  </si>
  <si>
    <t>팡칼피낭</t>
  </si>
  <si>
    <t>배로우</t>
  </si>
  <si>
    <t>배서스트</t>
  </si>
  <si>
    <t>베냉</t>
  </si>
  <si>
    <t>베네치아</t>
  </si>
  <si>
    <t>베라크루스</t>
  </si>
  <si>
    <t>베르겐</t>
  </si>
  <si>
    <t>베이루트</t>
  </si>
  <si>
    <t>벵가지</t>
  </si>
  <si>
    <t>벵겔라</t>
  </si>
  <si>
    <t>보르도</t>
  </si>
  <si>
    <t>코하셋</t>
  </si>
  <si>
    <t>부에노스아이레스</t>
  </si>
  <si>
    <t>북경</t>
  </si>
  <si>
    <t>브레멘</t>
  </si>
  <si>
    <t>브루네이</t>
  </si>
  <si>
    <t>브리스틀</t>
  </si>
  <si>
    <t>비사우</t>
  </si>
  <si>
    <t>비스뷔</t>
  </si>
  <si>
    <t>나르비크</t>
  </si>
  <si>
    <t>빌렘스타트</t>
  </si>
  <si>
    <t>사마라이</t>
  </si>
  <si>
    <t>사사리</t>
  </si>
  <si>
    <t>사카이</t>
  </si>
  <si>
    <t>산토도밍고</t>
  </si>
  <si>
    <t>산티아고</t>
  </si>
  <si>
    <t>산후안</t>
  </si>
  <si>
    <t>상토메</t>
  </si>
  <si>
    <t>상트페테르부르크</t>
  </si>
  <si>
    <t>오흘론</t>
  </si>
  <si>
    <t>서안</t>
  </si>
  <si>
    <t>세비야</t>
  </si>
  <si>
    <t>세우타</t>
  </si>
  <si>
    <t>엘미나</t>
  </si>
  <si>
    <t>소팔라</t>
  </si>
  <si>
    <t>수라바야</t>
  </si>
  <si>
    <t>앗수웨이스</t>
  </si>
  <si>
    <t>스톡홀름</t>
  </si>
  <si>
    <t>시라즈</t>
  </si>
  <si>
    <t>시라쿠자</t>
  </si>
  <si>
    <t>시에라리온</t>
  </si>
  <si>
    <t>코테</t>
  </si>
  <si>
    <t>아딘</t>
  </si>
  <si>
    <t>아르김</t>
  </si>
  <si>
    <t>아르한겔스크</t>
  </si>
  <si>
    <t>아바나</t>
  </si>
  <si>
    <t>아비장</t>
  </si>
  <si>
    <t>아체</t>
  </si>
  <si>
    <t>아카풀코</t>
  </si>
  <si>
    <t>아티나</t>
  </si>
  <si>
    <t>안코나</t>
  </si>
  <si>
    <t>안트베르펜</t>
  </si>
  <si>
    <t>알이스칸다리야</t>
  </si>
  <si>
    <t>알제</t>
  </si>
  <si>
    <t>암본</t>
  </si>
  <si>
    <t>암스테르담</t>
  </si>
  <si>
    <t>야파</t>
  </si>
  <si>
    <t>어널래스카</t>
  </si>
  <si>
    <t>에도</t>
  </si>
  <si>
    <t>에든버러</t>
  </si>
  <si>
    <t>연운</t>
  </si>
  <si>
    <t>영일</t>
  </si>
  <si>
    <t>오데사</t>
  </si>
  <si>
    <t>오슬로</t>
  </si>
  <si>
    <t>왕거누이</t>
  </si>
  <si>
    <t>우수아이아</t>
  </si>
  <si>
    <t>코스탄티니예</t>
  </si>
  <si>
    <t>자라</t>
  </si>
  <si>
    <t>자야카르타</t>
  </si>
  <si>
    <t>잔지바르</t>
  </si>
  <si>
    <t>제노바</t>
  </si>
  <si>
    <t>지다</t>
  </si>
  <si>
    <t>제주</t>
  </si>
  <si>
    <t>중경</t>
  </si>
  <si>
    <t>나사우</t>
  </si>
  <si>
    <t>천주</t>
  </si>
  <si>
    <t>카라카스</t>
  </si>
  <si>
    <t>카르타헤나</t>
  </si>
  <si>
    <t>카리비브</t>
  </si>
  <si>
    <t>프라이아</t>
  </si>
  <si>
    <t>카사블랑카</t>
  </si>
  <si>
    <t>카옌</t>
  </si>
  <si>
    <t>알카히라</t>
  </si>
  <si>
    <t>카카투와</t>
  </si>
  <si>
    <t>알비다</t>
  </si>
  <si>
    <t>이카파</t>
  </si>
  <si>
    <t>칸디아</t>
  </si>
  <si>
    <t>칼리아리</t>
  </si>
  <si>
    <t>칼비</t>
  </si>
  <si>
    <t>코지코드</t>
  </si>
  <si>
    <t>콜카타</t>
  </si>
  <si>
    <t>칼리마니</t>
  </si>
  <si>
    <t>고치</t>
  </si>
  <si>
    <t>코콜라</t>
  </si>
  <si>
    <t>쾨벤하운</t>
  </si>
  <si>
    <t>코피아포</t>
  </si>
  <si>
    <t>가리</t>
  </si>
  <si>
    <t>쿠칭</t>
  </si>
  <si>
    <t>바르나</t>
  </si>
  <si>
    <t>킬와</t>
  </si>
  <si>
    <t>포트로열</t>
  </si>
  <si>
    <t>타간로크</t>
  </si>
  <si>
    <t>토아마시나</t>
  </si>
  <si>
    <t>타이난</t>
  </si>
  <si>
    <t>테르나테</t>
  </si>
  <si>
    <t>테살로니키</t>
  </si>
  <si>
    <t>팀북투</t>
  </si>
  <si>
    <t>툼베스</t>
  </si>
  <si>
    <t>투니스</t>
  </si>
  <si>
    <t>트라브존</t>
  </si>
  <si>
    <t>트루히요</t>
  </si>
  <si>
    <t>트리에스테</t>
  </si>
  <si>
    <t>타라불루스</t>
  </si>
  <si>
    <t>카탄가</t>
  </si>
  <si>
    <t>파나마</t>
  </si>
  <si>
    <t>파루</t>
  </si>
  <si>
    <t>안탈리아</t>
  </si>
  <si>
    <t>파사이</t>
  </si>
  <si>
    <t>팔렘방</t>
  </si>
  <si>
    <t>팔마</t>
  </si>
  <si>
    <t>페구</t>
  </si>
  <si>
    <t>페르남부쿠</t>
  </si>
  <si>
    <t>코르프</t>
  </si>
  <si>
    <t>포르토벨로</t>
  </si>
  <si>
    <t>포르투</t>
  </si>
  <si>
    <t>아비앗</t>
  </si>
  <si>
    <t>폰타델가다</t>
  </si>
  <si>
    <t>판디체리</t>
  </si>
  <si>
    <t>프레이노코르</t>
  </si>
  <si>
    <t>플리머스</t>
  </si>
  <si>
    <t>피사</t>
  </si>
  <si>
    <t>핀자라</t>
  </si>
  <si>
    <t>하노이</t>
  </si>
  <si>
    <t>하디보</t>
  </si>
  <si>
    <t>한양</t>
  </si>
  <si>
    <t>함부르크</t>
  </si>
  <si>
    <t>항주</t>
  </si>
  <si>
    <t>호놀룰루</t>
  </si>
  <si>
    <t>하라무즈</t>
  </si>
  <si>
    <t>호바톤</t>
  </si>
  <si>
    <t>홀로</t>
  </si>
  <si>
    <t>흐로닝언</t>
  </si>
  <si>
    <t>아투오나</t>
  </si>
  <si>
    <t>히혼</t>
  </si>
  <si>
    <t>마히나</t>
  </si>
  <si>
    <t>수바</t>
  </si>
  <si>
    <t>수이</t>
  </si>
  <si>
    <t>레이캬비크</t>
  </si>
  <si>
    <t>바그다드</t>
  </si>
  <si>
    <t>율도</t>
  </si>
  <si>
    <t>보르사이드</t>
  </si>
  <si>
    <t>오호츠크</t>
  </si>
  <si>
    <t>체르스키</t>
  </si>
  <si>
    <t>카나크</t>
  </si>
  <si>
    <t>이콸룩투티악</t>
  </si>
  <si>
    <t>바르도</t>
  </si>
  <si>
    <t>포트피리</t>
  </si>
  <si>
    <t>스비아인의 마을</t>
  </si>
  <si>
    <t>마을</t>
  </si>
  <si>
    <t>쿠르드인의 마을</t>
  </si>
  <si>
    <t>튀르크족의 마을</t>
  </si>
  <si>
    <t>루르인의 마을</t>
  </si>
  <si>
    <t>카슈카이족의 마을</t>
  </si>
  <si>
    <t>베르베르인의 마을</t>
  </si>
  <si>
    <t>누비아인의 마을</t>
  </si>
  <si>
    <t>바리족의 마을</t>
  </si>
  <si>
    <t>바간다족의 마을</t>
  </si>
  <si>
    <t>말링케족의 마을</t>
  </si>
  <si>
    <t>요루바족의 마을</t>
  </si>
  <si>
    <t>반투족의 마을</t>
  </si>
  <si>
    <t>후투족의 마을</t>
  </si>
  <si>
    <t>산족의 마을</t>
  </si>
  <si>
    <t>쇼나족의 마을</t>
  </si>
  <si>
    <t>말라가시인의 마을</t>
  </si>
  <si>
    <t>인도양, 서쪽의 섬</t>
  </si>
  <si>
    <t>대서양, 남쪽의 섬</t>
  </si>
  <si>
    <t>과라니족의 마을</t>
  </si>
  <si>
    <t>보로로족의 마을</t>
  </si>
  <si>
    <t>시리오노족의 마을</t>
  </si>
  <si>
    <t>케추아족의 마을</t>
  </si>
  <si>
    <t>히바로족의 마을</t>
  </si>
  <si>
    <t>위토토족의 마을</t>
  </si>
  <si>
    <t>투카노족의 마을</t>
  </si>
  <si>
    <t>무라족의 마을</t>
  </si>
  <si>
    <t>신대륙, 서쪽의 섬</t>
  </si>
  <si>
    <t>긴 귀족의 마을</t>
  </si>
  <si>
    <t>코아우일테칸족의 마을</t>
  </si>
  <si>
    <t>코만치족의 마을</t>
  </si>
  <si>
    <t>아파치족의 마을</t>
  </si>
  <si>
    <t>치누크족의 마을</t>
  </si>
  <si>
    <t>샤이엔족의 마을</t>
  </si>
  <si>
    <t>포니족의 마을</t>
  </si>
  <si>
    <t>수족의 마을</t>
  </si>
  <si>
    <t>극지, 설산의 만</t>
  </si>
  <si>
    <t>이누이트족의 마을</t>
  </si>
  <si>
    <t>네네츠인의 마을</t>
  </si>
  <si>
    <t>극지, 빙하의 섬</t>
  </si>
  <si>
    <t>극지, 설산의 섬</t>
  </si>
  <si>
    <t>야쿠트인의 마을</t>
  </si>
  <si>
    <t>축치인의 마을</t>
  </si>
  <si>
    <t>경흥의 마을</t>
  </si>
  <si>
    <t>부안의 마을</t>
  </si>
  <si>
    <t>에미시의 마을</t>
  </si>
  <si>
    <t>에치젠의 마을</t>
  </si>
  <si>
    <t>규슈의 마을</t>
  </si>
  <si>
    <t>황허, 한족의 마을</t>
  </si>
  <si>
    <t>장강, 투자족의 마을</t>
  </si>
  <si>
    <t>아미족의 마을</t>
  </si>
  <si>
    <t>오리야인의 마을</t>
  </si>
  <si>
    <t>버마족의 마을</t>
  </si>
  <si>
    <t>크메르족의 마을</t>
  </si>
  <si>
    <t>말레이족의 마을</t>
  </si>
  <si>
    <t>멜라네시아인의 마을</t>
  </si>
  <si>
    <t>야우루족의 마을</t>
  </si>
  <si>
    <t>나우오족의 마을</t>
  </si>
  <si>
    <t>칼 카툰 구족의 마을</t>
  </si>
  <si>
    <t>마오리족의 마을</t>
  </si>
  <si>
    <t>하와이 선주민의 마을</t>
  </si>
  <si>
    <t>시과요족의 마을</t>
  </si>
  <si>
    <t>야간족의 마을</t>
  </si>
  <si>
    <t>극지, 신대륙의 남쪽</t>
  </si>
  <si>
    <t>극지, 아프리카의 남쪽</t>
  </si>
  <si>
    <t>사미족의 마을</t>
  </si>
  <si>
    <t>케트인의 마을</t>
  </si>
  <si>
    <t>에조</t>
  </si>
  <si>
    <t>가스페반도</t>
  </si>
  <si>
    <t>가이나스곶</t>
  </si>
  <si>
    <t>계단밭</t>
  </si>
  <si>
    <t>고야산</t>
  </si>
  <si>
    <t>고틀란드섬</t>
  </si>
  <si>
    <t>과야킬만</t>
  </si>
  <si>
    <t>괌섬</t>
  </si>
  <si>
    <t>구룡폭포</t>
  </si>
  <si>
    <t>구주쿠리하마</t>
  </si>
  <si>
    <t>그랜드 뱅크스</t>
  </si>
  <si>
    <t>그레이트 블루홀</t>
  </si>
  <si>
    <t>그레이트샌디 사막</t>
  </si>
  <si>
    <t>그레이트 플레인스</t>
  </si>
  <si>
    <t>그레이트 피셔 뱅크</t>
  </si>
  <si>
    <t>그로스몬산</t>
  </si>
  <si>
    <t>그루테아일런드섬</t>
  </si>
  <si>
    <t>그린란드</t>
  </si>
  <si>
    <t>그린란드 빙상</t>
  </si>
  <si>
    <t>그린샌드 비치</t>
  </si>
  <si>
    <t>기이산지</t>
  </si>
  <si>
    <t>길빙크만</t>
  </si>
  <si>
    <t>까마우반도</t>
  </si>
  <si>
    <t>나바지오 해변</t>
  </si>
  <si>
    <t>나이아가라폭포</t>
  </si>
  <si>
    <t>나일강</t>
  </si>
  <si>
    <t>낸터킷</t>
  </si>
  <si>
    <t>넴루트산</t>
  </si>
  <si>
    <t>노로냐 제도</t>
  </si>
  <si>
    <t>노르카프곶</t>
  </si>
  <si>
    <t>뉴기니섬</t>
  </si>
  <si>
    <t>뉴브리튼섬</t>
  </si>
  <si>
    <t>뉴칼레도니아섬</t>
  </si>
  <si>
    <t>뉴헤브리디스제도</t>
  </si>
  <si>
    <t>다뉴브강</t>
  </si>
  <si>
    <t>다리엔만</t>
  </si>
  <si>
    <t>다리엔산맥</t>
  </si>
  <si>
    <t>다이아몬드 헤드</t>
  </si>
  <si>
    <t>호베강</t>
  </si>
  <si>
    <t>달의 계곡</t>
  </si>
  <si>
    <t>대순다열도</t>
  </si>
  <si>
    <t>대염호</t>
  </si>
  <si>
    <t>더사운드해협</t>
  </si>
  <si>
    <t>데세아도강</t>
  </si>
  <si>
    <t>데스밸리</t>
  </si>
  <si>
    <t>독도</t>
  </si>
  <si>
    <t>돈드라곶</t>
  </si>
  <si>
    <t>돗토리 사구</t>
  </si>
  <si>
    <t>드레이크 해협</t>
  </si>
  <si>
    <t>디퀴스의 석구</t>
  </si>
  <si>
    <t>라도가호</t>
  </si>
  <si>
    <t>라플라타강</t>
  </si>
  <si>
    <t>란위섬</t>
  </si>
  <si>
    <t>래브라도반도</t>
  </si>
  <si>
    <t>래브라도해류</t>
  </si>
  <si>
    <t>래카다이브제도</t>
  </si>
  <si>
    <t>랜즈엔드곶</t>
  </si>
  <si>
    <t>랭겔섬</t>
  </si>
  <si>
    <t>레드베이</t>
  </si>
  <si>
    <t>레바논산맥</t>
  </si>
  <si>
    <t>레베크곶</t>
  </si>
  <si>
    <t>레트바 호수</t>
  </si>
  <si>
    <t>로도스섬</t>
  </si>
  <si>
    <t>로카곶</t>
  </si>
  <si>
    <t>로키산맥</t>
  </si>
  <si>
    <t>롱레인지산맥</t>
  </si>
  <si>
    <t>롱아일랜드섬</t>
  </si>
  <si>
    <t>루손섬</t>
  </si>
  <si>
    <t>루윈곶</t>
  </si>
  <si>
    <t>루이스섬</t>
  </si>
  <si>
    <t>류큐</t>
  </si>
  <si>
    <t>마다가스카르섬</t>
  </si>
  <si>
    <t>마라조섬</t>
  </si>
  <si>
    <t>마라카이보호</t>
  </si>
  <si>
    <t>마르가리타섬</t>
  </si>
  <si>
    <t>마르 산맥</t>
  </si>
  <si>
    <t>마르퀴즈 제도</t>
  </si>
  <si>
    <t>마르티니크</t>
  </si>
  <si>
    <t>마스카렌 제도</t>
  </si>
  <si>
    <t>마우나 케아</t>
  </si>
  <si>
    <t>마우이섬</t>
  </si>
  <si>
    <t>마운트데저트섬</t>
  </si>
  <si>
    <t>마카사르해협</t>
  </si>
  <si>
    <t>막가딕가디 판</t>
  </si>
  <si>
    <t>믈라카해협</t>
  </si>
  <si>
    <t>말레이반도</t>
  </si>
  <si>
    <t>맨섬</t>
  </si>
  <si>
    <t>머나드녹</t>
  </si>
  <si>
    <t>머지강</t>
  </si>
  <si>
    <t>메노르카섬</t>
  </si>
  <si>
    <t>메사</t>
  </si>
  <si>
    <t>메시나해협</t>
  </si>
  <si>
    <t>메콩강</t>
  </si>
  <si>
    <t>메콩삼각주</t>
  </si>
  <si>
    <t>멕시코만</t>
  </si>
  <si>
    <t>멕시코만류</t>
  </si>
  <si>
    <t>모닝턴섬</t>
  </si>
  <si>
    <t>모레아</t>
  </si>
  <si>
    <t>모레인 호수</t>
  </si>
  <si>
    <t>모에라키 바위</t>
  </si>
  <si>
    <t>모허 절벽</t>
  </si>
  <si>
    <t>몰디브제도</t>
  </si>
  <si>
    <t>말루쿠제도</t>
  </si>
  <si>
    <t>말루쿠해</t>
  </si>
  <si>
    <t>말루쿠해협</t>
  </si>
  <si>
    <t>몰타섬</t>
  </si>
  <si>
    <t>몽골고원</t>
  </si>
  <si>
    <t>우이산</t>
  </si>
  <si>
    <t>미시시피강</t>
  </si>
  <si>
    <t>민다나오섬</t>
  </si>
  <si>
    <t>바브엘만데브해협</t>
  </si>
  <si>
    <t>바이칼호</t>
  </si>
  <si>
    <t>바하마제도</t>
  </si>
  <si>
    <t>반다해</t>
  </si>
  <si>
    <t>발데스 반도</t>
  </si>
  <si>
    <t>발리섬</t>
  </si>
  <si>
    <t>방카섬</t>
  </si>
  <si>
    <t>배스해협</t>
  </si>
  <si>
    <t>배핀만</t>
  </si>
  <si>
    <t>백마강</t>
  </si>
  <si>
    <t>밸런스드 락</t>
  </si>
  <si>
    <t>버렌고원</t>
  </si>
  <si>
    <t>베라우만</t>
  </si>
  <si>
    <t>베르데곶</t>
  </si>
  <si>
    <t>베링해협</t>
  </si>
  <si>
    <t>벨라 섬</t>
  </si>
  <si>
    <t>벨아일해협</t>
  </si>
  <si>
    <t>벵겔라해류</t>
  </si>
  <si>
    <t>벵골만</t>
  </si>
  <si>
    <t>보니파시오해협</t>
  </si>
  <si>
    <t>보르네오섬</t>
  </si>
  <si>
    <t>보스포루스해협</t>
  </si>
  <si>
    <t>보트니아만</t>
  </si>
  <si>
    <t>볼가강</t>
  </si>
  <si>
    <t>부에나벤투라만</t>
  </si>
  <si>
    <t>뷰트</t>
  </si>
  <si>
    <t>블랑코곶</t>
  </si>
  <si>
    <t>블루 마운틴산맥</t>
  </si>
  <si>
    <t>비스마르크제도</t>
  </si>
  <si>
    <t>비스케이 만</t>
  </si>
  <si>
    <t>비오코섬</t>
  </si>
  <si>
    <t>빅토리아폭포</t>
  </si>
  <si>
    <t>빙산</t>
  </si>
  <si>
    <t>빙하</t>
  </si>
  <si>
    <t>사모스섬</t>
  </si>
  <si>
    <t>사모아제도</t>
  </si>
  <si>
    <t>사하라</t>
  </si>
  <si>
    <t>산마티아스만</t>
  </si>
  <si>
    <t>산살바도르섬</t>
  </si>
  <si>
    <t>산안토니오곶</t>
  </si>
  <si>
    <t>산토리니</t>
  </si>
  <si>
    <t>산호르헤만</t>
  </si>
  <si>
    <t>산호해</t>
  </si>
  <si>
    <t>삼각주</t>
  </si>
  <si>
    <t>-</t>
  </si>
  <si>
    <t>산칭산</t>
  </si>
  <si>
    <t>상토메섬</t>
  </si>
  <si>
    <t>생말로만</t>
  </si>
  <si>
    <t>샤크만</t>
  </si>
  <si>
    <t>서호</t>
  </si>
  <si>
    <t>스니우자이</t>
  </si>
  <si>
    <t>세네갈강</t>
  </si>
  <si>
    <t>세노테</t>
  </si>
  <si>
    <t>세로 리코</t>
  </si>
  <si>
    <t>세부섬</t>
  </si>
  <si>
    <t>세이셸 제도</t>
  </si>
  <si>
    <t>세인트로렌스강</t>
  </si>
  <si>
    <t>세인트로렌스섬</t>
  </si>
  <si>
    <t>세인트헬레나</t>
  </si>
  <si>
    <t>셀레베스섬</t>
  </si>
  <si>
    <t>셀레베스해</t>
  </si>
  <si>
    <t>셰틀랜드제도</t>
  </si>
  <si>
    <t>셸 비치</t>
  </si>
  <si>
    <t>소코트라섬</t>
  </si>
  <si>
    <t>솔로몬해</t>
  </si>
  <si>
    <t>수마트라섬</t>
  </si>
  <si>
    <t>순다해협</t>
  </si>
  <si>
    <t>술루제도</t>
  </si>
  <si>
    <t>술루해</t>
  </si>
  <si>
    <t>쉐산산맥</t>
  </si>
  <si>
    <t>스구앵 과이</t>
  </si>
  <si>
    <t>스카이섬</t>
  </si>
  <si>
    <t>스켈리그 마이클</t>
  </si>
  <si>
    <t>스펜서만</t>
  </si>
  <si>
    <t>스피어곶</t>
  </si>
  <si>
    <t>시암만</t>
  </si>
  <si>
    <t>실론섬</t>
  </si>
  <si>
    <t>아굴라스곶</t>
  </si>
  <si>
    <t>아나디리산맥</t>
  </si>
  <si>
    <t>아넘랜드</t>
  </si>
  <si>
    <t>아라비아반도</t>
  </si>
  <si>
    <t>아라비아해</t>
  </si>
  <si>
    <t>아라푸라해</t>
  </si>
  <si>
    <t>아리산</t>
  </si>
  <si>
    <t>아마존강</t>
  </si>
  <si>
    <t>아발론반도</t>
  </si>
  <si>
    <t>아소산</t>
  </si>
  <si>
    <t>아수에로반도</t>
  </si>
  <si>
    <t>아오테아로아</t>
  </si>
  <si>
    <t>아우터 뱅크스</t>
  </si>
  <si>
    <t>아이리시해</t>
  </si>
  <si>
    <t>아이슬란드</t>
  </si>
  <si>
    <t>아일레이섬</t>
  </si>
  <si>
    <t>아조레스제도</t>
  </si>
  <si>
    <t>아타카마 사막</t>
  </si>
  <si>
    <t>아타카마의 소금 호수</t>
  </si>
  <si>
    <t>아틀라스산맥</t>
  </si>
  <si>
    <t>안다만제도</t>
  </si>
  <si>
    <t>안다만해</t>
  </si>
  <si>
    <t>안데스산맥</t>
  </si>
  <si>
    <t>알다브라 환초</t>
  </si>
  <si>
    <t>알류샨열도</t>
  </si>
  <si>
    <t>알타이산맥</t>
  </si>
  <si>
    <t>앙헬폭포</t>
  </si>
  <si>
    <t>애팔래치아산맥</t>
  </si>
  <si>
    <t>앨버트산</t>
  </si>
  <si>
    <t>야쿠섬</t>
  </si>
  <si>
    <t>어센션섬</t>
  </si>
  <si>
    <t>에게해</t>
  </si>
  <si>
    <t>에어 반도</t>
  </si>
  <si>
    <t>엘 리몬의 폭포</t>
  </si>
  <si>
    <t>엘레우테라섬</t>
  </si>
  <si>
    <t>오렌지강</t>
  </si>
  <si>
    <t>오리노코강</t>
  </si>
  <si>
    <t>오소레산</t>
  </si>
  <si>
    <t>오순 오소그보 신성 숲</t>
  </si>
  <si>
    <t>오카방고강</t>
  </si>
  <si>
    <t>옥시덴탈산맥</t>
  </si>
  <si>
    <t>온두라스만</t>
  </si>
  <si>
    <t>온타리오호</t>
  </si>
  <si>
    <t>와이나픽추</t>
  </si>
  <si>
    <t>용두암</t>
  </si>
  <si>
    <t>우각호</t>
  </si>
  <si>
    <t>운남석림</t>
  </si>
  <si>
    <t>유카탄반도</t>
  </si>
  <si>
    <t>유프라테스강</t>
  </si>
  <si>
    <t>응앵가 호수</t>
  </si>
  <si>
    <t>이구아수폭포</t>
  </si>
  <si>
    <t>이리호</t>
  </si>
  <si>
    <t>이스터섬</t>
  </si>
  <si>
    <t>이스트라반도</t>
  </si>
  <si>
    <t>이오나섬</t>
  </si>
  <si>
    <t>이와미 은광</t>
  </si>
  <si>
    <t>이키</t>
  </si>
  <si>
    <t>인더스강</t>
  </si>
  <si>
    <t>인도양</t>
  </si>
  <si>
    <t>자그로스산맥</t>
  </si>
  <si>
    <t>자매담</t>
  </si>
  <si>
    <t>자메이카 섬</t>
  </si>
  <si>
    <t>자와해</t>
  </si>
  <si>
    <t>잠베지강</t>
  </si>
  <si>
    <t>장강</t>
  </si>
  <si>
    <t>제주도</t>
  </si>
  <si>
    <t>제주해류</t>
  </si>
  <si>
    <t>주상절리</t>
  </si>
  <si>
    <t>진먼섬</t>
  </si>
  <si>
    <t>차고스제도</t>
  </si>
  <si>
    <t>차그레스강</t>
  </si>
  <si>
    <t>차오프라야강</t>
  </si>
  <si>
    <t>청나일폭포</t>
  </si>
  <si>
    <t>칭청산</t>
  </si>
  <si>
    <t>청수단애</t>
  </si>
  <si>
    <t>첼류스킨곶</t>
  </si>
  <si>
    <t>추크치반도</t>
  </si>
  <si>
    <t>카리마타해협</t>
  </si>
  <si>
    <t>카리브해</t>
  </si>
  <si>
    <t>카메룬산</t>
  </si>
  <si>
    <t>카스피해</t>
  </si>
  <si>
    <t>카이에테우르폭포</t>
  </si>
  <si>
    <t>카토체곶</t>
  </si>
  <si>
    <t>카펜테리아만</t>
  </si>
  <si>
    <t>카프리섬</t>
  </si>
  <si>
    <t>칼라하리사막</t>
  </si>
  <si>
    <t>칼즈배드 동굴군</t>
  </si>
  <si>
    <t>캄페체만</t>
  </si>
  <si>
    <t>캐벗해협</t>
  </si>
  <si>
    <t>캘리포니아반도</t>
  </si>
  <si>
    <t>캥거루섬</t>
  </si>
  <si>
    <t>케스타</t>
  </si>
  <si>
    <t>케이맨제도</t>
  </si>
  <si>
    <t>케이프요크반도</t>
  </si>
  <si>
    <t>코드곶</t>
  </si>
  <si>
    <t>코로해</t>
  </si>
  <si>
    <t>코린토스 지협</t>
  </si>
  <si>
    <t>코모로제도</t>
  </si>
  <si>
    <t>코수멜섬</t>
  </si>
  <si>
    <t>코스타 델 솔</t>
  </si>
  <si>
    <t>코카서스산맥</t>
  </si>
  <si>
    <t>콩고강</t>
  </si>
  <si>
    <t>쿠바섬</t>
  </si>
  <si>
    <t>크레타섬</t>
  </si>
  <si>
    <t>크리스마스섬</t>
  </si>
  <si>
    <t>크름반도</t>
  </si>
  <si>
    <t>키클라데스제도</t>
  </si>
  <si>
    <t>키프로스</t>
  </si>
  <si>
    <t>킬라우에아화산</t>
  </si>
  <si>
    <t>킴벌리 고원</t>
  </si>
  <si>
    <t>타이가</t>
  </si>
  <si>
    <t>타이루거협곡</t>
  </si>
  <si>
    <t>타이미르반도</t>
  </si>
  <si>
    <t>타티오 간헐천</t>
  </si>
  <si>
    <t>타푸섬</t>
  </si>
  <si>
    <t>타히티섬</t>
  </si>
  <si>
    <t>태산</t>
  </si>
  <si>
    <t>태즈먼해</t>
  </si>
  <si>
    <t>터멜강</t>
  </si>
  <si>
    <t>테네리페섬</t>
  </si>
  <si>
    <t>테라 노바</t>
  </si>
  <si>
    <t>테르나테섬</t>
  </si>
  <si>
    <t>투브칼산</t>
  </si>
  <si>
    <t>트리니다드섬</t>
  </si>
  <si>
    <t>트리스탄다쿠냐</t>
  </si>
  <si>
    <t>티모르섬</t>
  </si>
  <si>
    <t>티에라델푸에고</t>
  </si>
  <si>
    <t>티위</t>
  </si>
  <si>
    <t>티티카카호</t>
  </si>
  <si>
    <t>파나마만</t>
  </si>
  <si>
    <t>파나마 지협</t>
  </si>
  <si>
    <t>파리냐스곶</t>
  </si>
  <si>
    <t>파타고니아</t>
  </si>
  <si>
    <t>판산</t>
  </si>
  <si>
    <t>판타날</t>
  </si>
  <si>
    <t>팔라티노 언덕</t>
  </si>
  <si>
    <t>팔선동</t>
  </si>
  <si>
    <t>팜리코 사운드</t>
  </si>
  <si>
    <t>펀디만</t>
  </si>
  <si>
    <t>펑후섬</t>
  </si>
  <si>
    <t>페르시아만</t>
  </si>
  <si>
    <t>페어웰곶</t>
  </si>
  <si>
    <t>펠루제도</t>
  </si>
  <si>
    <t>포크 해협</t>
  </si>
  <si>
    <t>폰페이섬</t>
  </si>
  <si>
    <t>푸날루우 블랙샌드 비치</t>
  </si>
  <si>
    <t>푸에르테벤투라섬</t>
  </si>
  <si>
    <t>프레리</t>
  </si>
  <si>
    <t>프린스에드워드아일랜드</t>
  </si>
  <si>
    <t>프린시페섬</t>
  </si>
  <si>
    <t>플렌티만</t>
  </si>
  <si>
    <t>플로레스해</t>
  </si>
  <si>
    <t>플로리다반도</t>
  </si>
  <si>
    <t>피오르</t>
  </si>
  <si>
    <t>피지제도</t>
  </si>
  <si>
    <t>핀도스산맥</t>
  </si>
  <si>
    <t>핀란드만</t>
  </si>
  <si>
    <t>필리핀해</t>
  </si>
  <si>
    <t>핑크 샌드 비치</t>
  </si>
  <si>
    <t>하와이섬</t>
  </si>
  <si>
    <t>하이암스 비치</t>
  </si>
  <si>
    <t>한라산</t>
  </si>
  <si>
    <t>할마헤라섬</t>
  </si>
  <si>
    <t>허드슨강</t>
  </si>
  <si>
    <t>헤클라산</t>
  </si>
  <si>
    <t>하라무즈해협</t>
  </si>
  <si>
    <t>호스테일폭포</t>
  </si>
  <si>
    <t>홍해</t>
  </si>
  <si>
    <t>황산</t>
  </si>
  <si>
    <t>황허</t>
  </si>
  <si>
    <t>후벤투드섬</t>
  </si>
  <si>
    <t>후지산</t>
  </si>
  <si>
    <t>훔볼트해류</t>
  </si>
  <si>
    <t>휴런호</t>
  </si>
  <si>
    <t>희망봉</t>
  </si>
  <si>
    <t>플리트비체 폭포</t>
  </si>
  <si>
    <t>굴포스 폭포</t>
  </si>
  <si>
    <t>데티포스 폭포</t>
  </si>
  <si>
    <t>서덜랜드폭포</t>
  </si>
  <si>
    <t>딘얀디 폭포</t>
  </si>
  <si>
    <t>고다포스 폭포</t>
  </si>
  <si>
    <t>크레비아 폭포</t>
  </si>
  <si>
    <t>하이포스 폭포</t>
  </si>
  <si>
    <t>벤티스쿠에로 콜간테 폭포</t>
  </si>
  <si>
    <t>팔루스 폭포</t>
  </si>
  <si>
    <t>터재넉 폭포</t>
  </si>
  <si>
    <t>반지옥 폭포</t>
  </si>
  <si>
    <t>바타라 폭포</t>
  </si>
  <si>
    <t>브라운 폭포</t>
  </si>
  <si>
    <t>제임스브루스폭포</t>
  </si>
  <si>
    <t>푸카오쿠폭포</t>
  </si>
  <si>
    <t>스코지폭포</t>
  </si>
  <si>
    <t>빈누폭포</t>
  </si>
  <si>
    <t>윰빌라폭포</t>
  </si>
  <si>
    <t>트레스에르마나스폭포</t>
  </si>
  <si>
    <t>투겔라 폭포</t>
  </si>
  <si>
    <t>정방폭포</t>
  </si>
  <si>
    <t>알라미어 폭포</t>
  </si>
  <si>
    <t>하바수 폭포</t>
  </si>
  <si>
    <t>꽝시 폭포</t>
  </si>
  <si>
    <t>조그 폭포</t>
  </si>
  <si>
    <t>장백폭포</t>
  </si>
  <si>
    <t>나치폭포</t>
  </si>
  <si>
    <t>마로코파 폭포</t>
  </si>
  <si>
    <t>핏츠로이 폭포</t>
  </si>
  <si>
    <t>레인보우 폭포</t>
  </si>
  <si>
    <t>시라이토 폭포</t>
  </si>
  <si>
    <t>말레추냐네 폭포</t>
  </si>
  <si>
    <t>스털링 폭포</t>
  </si>
  <si>
    <t>스코아 폭포</t>
  </si>
  <si>
    <t>스펀 폭포</t>
  </si>
  <si>
    <t>게곤 폭포</t>
  </si>
  <si>
    <t>백두산</t>
  </si>
  <si>
    <t>베수비오산</t>
  </si>
  <si>
    <t>스메루산</t>
  </si>
  <si>
    <t>세인트헬렌스산</t>
  </si>
  <si>
    <t>아궁산</t>
  </si>
  <si>
    <t>피나투보산</t>
  </si>
  <si>
    <t>마욘산</t>
  </si>
  <si>
    <t>그림스뵈튼산</t>
  </si>
  <si>
    <t>제이타 동굴</t>
  </si>
  <si>
    <t>스카프타펠 동굴</t>
  </si>
  <si>
    <t>용암 동굴</t>
  </si>
  <si>
    <t>아비스모 아뉴마스</t>
  </si>
  <si>
    <t>제놀란 동굴</t>
  </si>
  <si>
    <t>좀블랑 동굴</t>
  </si>
  <si>
    <t>산동 동굴</t>
  </si>
  <si>
    <t>애드미럴스 아치</t>
  </si>
  <si>
    <t>담라타쉬 석회동굴</t>
  </si>
  <si>
    <t>핑갈 동굴</t>
  </si>
  <si>
    <t>커시드럴 동굴</t>
  </si>
  <si>
    <t>바다 사자 동굴</t>
  </si>
  <si>
    <t>부안 해식동굴</t>
  </si>
  <si>
    <t>간몬 해식 동굴</t>
  </si>
  <si>
    <t>해식 동굴</t>
  </si>
  <si>
    <t>스란다 블루홀</t>
  </si>
  <si>
    <t>룽둥 블루홀</t>
  </si>
  <si>
    <t>딘즈 블루홀</t>
  </si>
  <si>
    <t>블랙 다이아몬드 비치</t>
  </si>
  <si>
    <t>터키인의 계단</t>
  </si>
  <si>
    <t>용의 알 해변</t>
  </si>
  <si>
    <t>코끼리 바위</t>
  </si>
  <si>
    <t>수에즈 운하</t>
  </si>
  <si>
    <t>파나마 운하</t>
  </si>
  <si>
    <t>##시에라네바다산맥</t>
  </si>
  <si>
    <t>##나미브 사막</t>
  </si>
  <si>
    <t>보링 포센</t>
  </si>
  <si>
    <t>리스타팔렛 폭포</t>
  </si>
  <si>
    <t>##킬리만자로산</t>
  </si>
  <si>
    <t>알타미라 동굴</t>
  </si>
  <si>
    <t>##포구산</t>
  </si>
  <si>
    <t>##아덴만</t>
  </si>
  <si>
    <t>##혼 곶</t>
  </si>
  <si>
    <t>##길빙크만</t>
  </si>
  <si>
    <t>##플리겔리 곶</t>
  </si>
  <si>
    <t>##오비만</t>
  </si>
  <si>
    <t>##허드슨만</t>
  </si>
  <si>
    <t>갠지스 삼각주</t>
  </si>
  <si>
    <t>나일강 삼각주</t>
  </si>
  <si>
    <t>나이저강 삼각주</t>
  </si>
  <si>
    <t>아마존강 삼각주</t>
  </si>
  <si>
    <t>미시시피강 삼각주</t>
  </si>
  <si>
    <t>황허 삼각주</t>
  </si>
  <si>
    <t>에러버스 산</t>
  </si>
  <si>
    <t>테러 산</t>
  </si>
  <si>
    <t>버드 산</t>
  </si>
  <si>
    <t>빈슨 산괴</t>
  </si>
  <si>
    <t>멜버른 산</t>
  </si>
  <si>
    <t>시들리 산</t>
  </si>
  <si>
    <t>맥머도 만</t>
  </si>
  <si>
    <t>마거리트 만</t>
  </si>
  <si>
    <t>고래 만</t>
  </si>
  <si>
    <t>신비한 장벽</t>
  </si>
  <si>
    <t>블러드 폭포</t>
  </si>
  <si>
    <t>녹색 빙산</t>
  </si>
  <si>
    <t>킹 조지섬</t>
  </si>
  <si>
    <t>페테르 1세 섬</t>
  </si>
  <si>
    <t>사우스셰틀랜드 제도</t>
  </si>
  <si>
    <t>로스 섬</t>
  </si>
  <si>
    <t>알렉산더 섬</t>
  </si>
  <si>
    <t>디셉션섬</t>
  </si>
  <si>
    <t>버크너섬</t>
  </si>
  <si>
    <t>베어섬</t>
  </si>
  <si>
    <t>부스섬</t>
  </si>
  <si>
    <t>스콧섬</t>
  </si>
  <si>
    <t>스토닝턴섬</t>
  </si>
  <si>
    <t>시모어섬</t>
  </si>
  <si>
    <t>애들레이드섬</t>
  </si>
  <si>
    <t>페터만섬</t>
  </si>
  <si>
    <t>폴렛섬</t>
  </si>
  <si>
    <t>라르센 빙붕</t>
  </si>
  <si>
    <t>섀클턴 빙붕</t>
  </si>
  <si>
    <t>갈릴레이 위성</t>
  </si>
  <si>
    <t>거문고자리</t>
  </si>
  <si>
    <t>거문고자리 유성군</t>
  </si>
  <si>
    <t>게자리</t>
  </si>
  <si>
    <t>겨울의 다이아몬드</t>
  </si>
  <si>
    <t>겨울의 대삼각형</t>
  </si>
  <si>
    <t>고래자리</t>
  </si>
  <si>
    <t>고물자리</t>
  </si>
  <si>
    <t>공작자리</t>
  </si>
  <si>
    <t>그물자리</t>
  </si>
  <si>
    <t>금성</t>
  </si>
  <si>
    <t>금성의 영휴</t>
  </si>
  <si>
    <t>까마귀자리</t>
  </si>
  <si>
    <t>날치자리</t>
  </si>
  <si>
    <t>남쪽물고기자리</t>
  </si>
  <si>
    <t>남쪽삼각형자리</t>
  </si>
  <si>
    <t>대혜성</t>
  </si>
  <si>
    <t>데네볼라</t>
  </si>
  <si>
    <t>데네브</t>
  </si>
  <si>
    <t>독수리자리</t>
  </si>
  <si>
    <t>돌고래자리</t>
  </si>
  <si>
    <t>돛자리</t>
  </si>
  <si>
    <t>두루미자리</t>
  </si>
  <si>
    <t>레굴루스</t>
  </si>
  <si>
    <t>리겔</t>
  </si>
  <si>
    <t>리길 켄타우루스</t>
  </si>
  <si>
    <t>마차부자리</t>
  </si>
  <si>
    <t>머리털자리</t>
  </si>
  <si>
    <t>목동자리</t>
  </si>
  <si>
    <t>목성</t>
  </si>
  <si>
    <t>물고기자리</t>
  </si>
  <si>
    <t>물병자리</t>
  </si>
  <si>
    <t>물병자리 유성우</t>
  </si>
  <si>
    <t>미자르</t>
  </si>
  <si>
    <t>바다뱀자리</t>
  </si>
  <si>
    <t>방패자리</t>
  </si>
  <si>
    <t>방패자리의 산개성단</t>
  </si>
  <si>
    <t>백조자리</t>
  </si>
  <si>
    <t>뱀주인자리</t>
  </si>
  <si>
    <t>봄의 대삼각형</t>
  </si>
  <si>
    <t>북극성</t>
  </si>
  <si>
    <t>북쪽왕관자리</t>
  </si>
  <si>
    <t>사냥개자리</t>
  </si>
  <si>
    <t>사자자리</t>
  </si>
  <si>
    <t>삼각형자리</t>
  </si>
  <si>
    <t>수성</t>
  </si>
  <si>
    <t>스피카</t>
  </si>
  <si>
    <t>시리우스</t>
  </si>
  <si>
    <t>쌍둥이자리</t>
  </si>
  <si>
    <t>아케르나르</t>
  </si>
  <si>
    <t>안드로메다자리</t>
  </si>
  <si>
    <t>안타레스</t>
  </si>
  <si>
    <t>알나이르</t>
  </si>
  <si>
    <t>알비레오</t>
  </si>
  <si>
    <t>양자리</t>
  </si>
  <si>
    <t>에리다누스자리</t>
  </si>
  <si>
    <t>여름의 대삼각형</t>
  </si>
  <si>
    <t>염소자리</t>
  </si>
  <si>
    <t>오리온의 허리띠</t>
  </si>
  <si>
    <t>오리온자리</t>
  </si>
  <si>
    <t>오리온자리 유성우</t>
  </si>
  <si>
    <t>외뿔소자리</t>
  </si>
  <si>
    <t>용골자리</t>
  </si>
  <si>
    <t>용자리</t>
  </si>
  <si>
    <t>이리자리</t>
  </si>
  <si>
    <t>작은개자리</t>
  </si>
  <si>
    <t>작은곰자리</t>
  </si>
  <si>
    <t>전갈자리</t>
  </si>
  <si>
    <t>처녀자리</t>
  </si>
  <si>
    <t>천칭자리</t>
  </si>
  <si>
    <t>카노푸스</t>
  </si>
  <si>
    <t>카스토르</t>
  </si>
  <si>
    <t>카시오페이아자리</t>
  </si>
  <si>
    <t>카펠라</t>
  </si>
  <si>
    <t>컵자리</t>
  </si>
  <si>
    <t>케페우스자리</t>
  </si>
  <si>
    <t>센타우루스자리</t>
  </si>
  <si>
    <t>큰개자리</t>
  </si>
  <si>
    <t>큰곰자리</t>
  </si>
  <si>
    <t>타이탄</t>
  </si>
  <si>
    <t>태양흑점</t>
  </si>
  <si>
    <t>토성</t>
  </si>
  <si>
    <t>토성의 고리</t>
  </si>
  <si>
    <t>튀코 브라헤의 신성</t>
  </si>
  <si>
    <t>페가수스자리</t>
  </si>
  <si>
    <t>페르세우스자리</t>
  </si>
  <si>
    <t>페르세우스자리 유성군</t>
  </si>
  <si>
    <t>포말하우트</t>
  </si>
  <si>
    <t>폴룩스</t>
  </si>
  <si>
    <t>프로키온</t>
  </si>
  <si>
    <t>플레이아데스성단</t>
  </si>
  <si>
    <t>하다르</t>
  </si>
  <si>
    <t>헤르쿨레스자리</t>
  </si>
  <si>
    <t>화살자리</t>
  </si>
  <si>
    <t>화성</t>
  </si>
  <si>
    <t>황소자리</t>
  </si>
  <si>
    <t>간헐천</t>
  </si>
  <si>
    <t>구멍 구름</t>
  </si>
  <si>
    <t>나가의 화염구</t>
  </si>
  <si>
    <t>달기둥</t>
  </si>
  <si>
    <t>달무리</t>
  </si>
  <si>
    <t>렌즈구름</t>
  </si>
  <si>
    <t>모닝글로리</t>
  </si>
  <si>
    <t>무지개</t>
  </si>
  <si>
    <t>무지갯빛 구름</t>
  </si>
  <si>
    <t>블랙 스모커</t>
  </si>
  <si>
    <t>블러드문</t>
  </si>
  <si>
    <t>세빙</t>
  </si>
  <si>
    <t>소용돌이</t>
  </si>
  <si>
    <t>슈퍼셀</t>
  </si>
  <si>
    <t>스콜</t>
  </si>
  <si>
    <t>야광운</t>
  </si>
  <si>
    <t>양형 번개</t>
  </si>
  <si>
    <t>얼음 파도</t>
  </si>
  <si>
    <t>우박</t>
  </si>
  <si>
    <t>월식</t>
  </si>
  <si>
    <t>유성우</t>
  </si>
  <si>
    <t>일식</t>
  </si>
  <si>
    <t>자개구름</t>
  </si>
  <si>
    <t>짙은 안개</t>
  </si>
  <si>
    <t>채운</t>
  </si>
  <si>
    <t>카타툼보 번개</t>
  </si>
  <si>
    <t>카푸치노 코스트</t>
  </si>
  <si>
    <t>토네이도</t>
  </si>
  <si>
    <t>페니텐트</t>
  </si>
  <si>
    <t>포로로카</t>
  </si>
  <si>
    <t>프로스트 플라워</t>
  </si>
  <si>
    <t>하부브</t>
  </si>
  <si>
    <t>해기둥</t>
  </si>
  <si>
    <t>해저화산</t>
  </si>
  <si>
    <t>화구</t>
  </si>
  <si>
    <t>환수평호</t>
  </si>
  <si>
    <t>환일</t>
  </si>
  <si>
    <t>황사</t>
  </si>
  <si>
    <t>갈리아인과 그의 처</t>
  </si>
  <si>
    <t>검은 방울새의 성모</t>
  </si>
  <si>
    <t>겐지 이야기 화첩</t>
  </si>
  <si>
    <t>고사관수도</t>
  </si>
  <si>
    <t>골고다 언덕</t>
  </si>
  <si>
    <t>그리스도의 세례</t>
  </si>
  <si>
    <t>내경도</t>
  </si>
  <si>
    <t>4명의 사도</t>
  </si>
  <si>
    <t>네덜란드의 속담</t>
  </si>
  <si>
    <t>다비드</t>
  </si>
  <si>
    <t>라오콘</t>
  </si>
  <si>
    <t>마리아의 수태고지</t>
  </si>
  <si>
    <t>막달라 마리아</t>
  </si>
  <si>
    <t>막시밀리안의 수렵</t>
  </si>
  <si>
    <t>메추리와 난초</t>
  </si>
  <si>
    <t>모견도</t>
  </si>
  <si>
    <t>모세</t>
  </si>
  <si>
    <t>목우도</t>
  </si>
  <si>
    <t>몽유도원도</t>
  </si>
  <si>
    <t>밀로의 비너스</t>
  </si>
  <si>
    <t>바이외 태피스트리</t>
  </si>
  <si>
    <t>베일을 쓴 여인</t>
  </si>
  <si>
    <t>부춘산거도</t>
  </si>
  <si>
    <t>비너스의 탄생</t>
  </si>
  <si>
    <t>비트루비우스의 인체도</t>
  </si>
  <si>
    <t>사계산수도</t>
  </si>
  <si>
    <t>사모트라케의 니케상</t>
  </si>
  <si>
    <t>살리에라</t>
  </si>
  <si>
    <t>생 드니의 순교</t>
  </si>
  <si>
    <t>성가족</t>
  </si>
  <si>
    <t>성녀 베로니카</t>
  </si>
  <si>
    <t>성모자와 두천사</t>
  </si>
  <si>
    <t>성모자와 성 요한</t>
  </si>
  <si>
    <t>성모자와 아기 성 요한</t>
  </si>
  <si>
    <t>성모승천</t>
  </si>
  <si>
    <t>성 안나와 성모자</t>
  </si>
  <si>
    <t>성 제롬과 사자</t>
  </si>
  <si>
    <t>세례자 요한</t>
  </si>
  <si>
    <t>수월관음도</t>
  </si>
  <si>
    <t>승리</t>
  </si>
  <si>
    <t>신사임당초서병풍</t>
  </si>
  <si>
    <t>아담과 이브</t>
  </si>
  <si>
    <t>아르놀피니의 결혼</t>
  </si>
  <si>
    <t>아마노하시다테도</t>
  </si>
  <si>
    <t>아폭시오메노스</t>
  </si>
  <si>
    <t>알페의 성합</t>
  </si>
  <si>
    <t>암굴의 성모</t>
  </si>
  <si>
    <t>여사잠도</t>
  </si>
  <si>
    <t>성 스테파노의 설교</t>
  </si>
  <si>
    <t>예수의 부활</t>
  </si>
  <si>
    <t>예수의 승천</t>
  </si>
  <si>
    <t>오마도권</t>
  </si>
  <si>
    <t>우르비노의 비너스</t>
  </si>
  <si>
    <t>원반던지기</t>
  </si>
  <si>
    <t>유딧</t>
  </si>
  <si>
    <t>제왕도</t>
  </si>
  <si>
    <t>조모입녀병풍</t>
  </si>
  <si>
    <t>조춘도</t>
  </si>
  <si>
    <t>초충도</t>
  </si>
  <si>
    <t>추림만학도</t>
  </si>
  <si>
    <t>카피톨리나 늑대상</t>
  </si>
  <si>
    <t>뒤러의 코뿔소</t>
  </si>
  <si>
    <t>붉은 터번을 두른 남자의 초상</t>
  </si>
  <si>
    <t>풍우귀목도</t>
  </si>
  <si>
    <t>프리마베라</t>
  </si>
  <si>
    <t>피에타</t>
  </si>
  <si>
    <t>홍백부용도</t>
  </si>
  <si>
    <t>힌튼 세인트 메리 모자이크</t>
  </si>
  <si>
    <t>겐지 이야기</t>
  </si>
  <si>
    <t>경국대전</t>
  </si>
  <si>
    <t>고가츠 인형</t>
  </si>
  <si>
    <t>고금 와카집</t>
  </si>
  <si>
    <t>고려도경</t>
  </si>
  <si>
    <t>고정핀</t>
  </si>
  <si>
    <t>곤자쿠모노가타리슈</t>
  </si>
  <si>
    <t>공작 브로치</t>
  </si>
  <si>
    <t>구슬레</t>
  </si>
  <si>
    <t>근데르</t>
  </si>
  <si>
    <t>귀부인의 드레스</t>
  </si>
  <si>
    <t>그리스 안내기</t>
  </si>
  <si>
    <t>그린란드 사람들의 사가</t>
  </si>
  <si>
    <t>금 그릇</t>
  </si>
  <si>
    <t>금 나이프</t>
  </si>
  <si>
    <t>금 머리 장식</t>
  </si>
  <si>
    <t>나가라케르타가마</t>
  </si>
  <si>
    <t>나각</t>
  </si>
  <si>
    <t>나자르 본주</t>
  </si>
  <si>
    <t>난정서</t>
  </si>
  <si>
    <t>다리우리</t>
  </si>
  <si>
    <t>단가행</t>
  </si>
  <si>
    <t>당삼채</t>
  </si>
  <si>
    <t>대당서역기</t>
  </si>
  <si>
    <t>더로우의 서</t>
  </si>
  <si>
    <t>돌도끼</t>
  </si>
  <si>
    <t>디저리두</t>
  </si>
  <si>
    <t>라마야나</t>
  </si>
  <si>
    <t>람세스 2세의 강궁</t>
  </si>
  <si>
    <t>로마법 대전</t>
  </si>
  <si>
    <t>루바이야트</t>
  </si>
  <si>
    <t>루이스의 체스 기물</t>
  </si>
  <si>
    <t>리시마코스 동전</t>
  </si>
  <si>
    <t>리어 팔</t>
  </si>
  <si>
    <t>린디스판 복음서</t>
  </si>
  <si>
    <t>마두금</t>
  </si>
  <si>
    <t>마쿠라노소시</t>
  </si>
  <si>
    <t>마하바라타</t>
  </si>
  <si>
    <t>만엽집</t>
  </si>
  <si>
    <t>맘루크의 커틀러스</t>
  </si>
  <si>
    <t>몬테수마 2세의 지팡이</t>
  </si>
  <si>
    <t>무라마사</t>
  </si>
  <si>
    <t>무캇디마</t>
  </si>
  <si>
    <t>미스테카의 귀걸이</t>
  </si>
  <si>
    <t>발리하</t>
  </si>
  <si>
    <t>방장기</t>
  </si>
  <si>
    <t>뱀의 여신상</t>
  </si>
  <si>
    <t>벽사 조각상</t>
  </si>
  <si>
    <t>봄빌랴</t>
  </si>
  <si>
    <t>불씨잡변</t>
  </si>
  <si>
    <t>붉은 에이리크 사가</t>
  </si>
  <si>
    <t>비블리오테카 히스토리카</t>
  </si>
  <si>
    <t>산투르</t>
  </si>
  <si>
    <t>살로메의 베일</t>
  </si>
  <si>
    <t>상감세공 갑옷</t>
  </si>
  <si>
    <t>상아 피리</t>
  </si>
  <si>
    <t>생황</t>
  </si>
  <si>
    <t>샤르카의 머리 장식</t>
  </si>
  <si>
    <t>선녀의 무용복</t>
  </si>
  <si>
    <t>성왕 갑옷</t>
  </si>
  <si>
    <t>세네트</t>
  </si>
  <si>
    <t>소네트집</t>
  </si>
  <si>
    <t>슬릿 드럼</t>
  </si>
  <si>
    <t>시야사트 나메</t>
  </si>
  <si>
    <t>신곡</t>
  </si>
  <si>
    <t>신기한 투구 장식</t>
  </si>
  <si>
    <t>신농본초경</t>
  </si>
  <si>
    <t>신문고</t>
  </si>
  <si>
    <t>아르페 성궤</t>
  </si>
  <si>
    <t>아스맛족 머리 장식</t>
  </si>
  <si>
    <t>아이올로스의 공</t>
  </si>
  <si>
    <t>아프리카의 별</t>
  </si>
  <si>
    <t>알마게스트</t>
  </si>
  <si>
    <t>양금수수마노배</t>
  </si>
  <si>
    <t>오현비파</t>
  </si>
  <si>
    <t>옥새</t>
  </si>
  <si>
    <t>와레루 다함마트</t>
  </si>
  <si>
    <t>와양 쿨릿</t>
  </si>
  <si>
    <t>완함</t>
  </si>
  <si>
    <t>우라노메트리아</t>
  </si>
  <si>
    <t>우치습유이야기</t>
  </si>
  <si>
    <t>운남 참마도</t>
  </si>
  <si>
    <t>울리울리</t>
  </si>
  <si>
    <t>월계관</t>
  </si>
  <si>
    <t>육임 식반</t>
  </si>
  <si>
    <t>의학 전범</t>
  </si>
  <si>
    <t>의학 전서</t>
  </si>
  <si>
    <t>이파치예프스키 사본</t>
  </si>
  <si>
    <t>이페왕의 두상</t>
  </si>
  <si>
    <t>자야바르만 7세의 두상</t>
  </si>
  <si>
    <t>장궁</t>
  </si>
  <si>
    <t>장한가</t>
  </si>
  <si>
    <t>전립</t>
  </si>
  <si>
    <t>젬베</t>
  </si>
  <si>
    <t>주르나</t>
  </si>
  <si>
    <t>중추첩</t>
  </si>
  <si>
    <t>챠후챠스</t>
  </si>
  <si>
    <t>춘망</t>
  </si>
  <si>
    <t>카샤카</t>
  </si>
  <si>
    <t>케나</t>
  </si>
  <si>
    <t>켈스의 서</t>
  </si>
  <si>
    <t>코라</t>
  </si>
  <si>
    <t>코시모의 메달</t>
  </si>
  <si>
    <t>코이누르</t>
  </si>
  <si>
    <t>콜라다</t>
  </si>
  <si>
    <t>쿠 스틱</t>
  </si>
  <si>
    <t>클랩스틱</t>
  </si>
  <si>
    <t>키푸</t>
  </si>
  <si>
    <t>태양신조금식</t>
  </si>
  <si>
    <t>태평기</t>
  </si>
  <si>
    <t>테오도라의 무용 의상</t>
  </si>
  <si>
    <t>트리스탄의 검</t>
  </si>
  <si>
    <t>틀라솔테오틀 여신상</t>
  </si>
  <si>
    <t>티조나</t>
  </si>
  <si>
    <t>파이완 민족의상</t>
  </si>
  <si>
    <t>포우나무</t>
  </si>
  <si>
    <t>포이</t>
  </si>
  <si>
    <t>풍신첩</t>
  </si>
  <si>
    <t>프리드리히 1세의 갑옷</t>
  </si>
  <si>
    <t>합성궁</t>
  </si>
  <si>
    <t>황금야마상</t>
  </si>
  <si>
    <t>가리비류 화석</t>
  </si>
  <si>
    <t>갯가재 화석</t>
  </si>
  <si>
    <t>거미류 화석</t>
  </si>
  <si>
    <t>고래 화석</t>
  </si>
  <si>
    <t>고배류 화석</t>
  </si>
  <si>
    <t>귀뚜라미류 화석</t>
  </si>
  <si>
    <t>규화목</t>
  </si>
  <si>
    <t>나뭇가지 화석</t>
  </si>
  <si>
    <t>나뭇잎 화석</t>
  </si>
  <si>
    <t>너스상어 이빨 화석</t>
  </si>
  <si>
    <t>동굴곰 화석</t>
  </si>
  <si>
    <t>매머드 화석</t>
  </si>
  <si>
    <t>물결 화석</t>
  </si>
  <si>
    <t>벨름나이트 화석</t>
  </si>
  <si>
    <t>불가사리류 화석</t>
  </si>
  <si>
    <t>새 발자국 화석</t>
  </si>
  <si>
    <t>새알 화석</t>
  </si>
  <si>
    <t>새우 화석</t>
  </si>
  <si>
    <t>솔방울 화석</t>
  </si>
  <si>
    <t>아로카리아 화석</t>
  </si>
  <si>
    <t>암모나이트류 화석</t>
  </si>
  <si>
    <t>어룡 화석</t>
  </si>
  <si>
    <t>엔코페 성게 화석</t>
  </si>
  <si>
    <t>여치류 화석</t>
  </si>
  <si>
    <t>이카로닉테리스 화석</t>
  </si>
  <si>
    <t>이크티오스테가 화석</t>
  </si>
  <si>
    <t>클리피스터 성게 화석</t>
  </si>
  <si>
    <t>플라타누스 화석</t>
  </si>
  <si>
    <t>필석류 화석</t>
  </si>
  <si>
    <t>해백합 화석</t>
  </si>
  <si>
    <t>해파리 화석</t>
  </si>
  <si>
    <t>## 두다드 발견 테스트</t>
  </si>
  <si>
    <t>## 아이템 발견 테스트02_아쿼버스</t>
  </si>
  <si>
    <t>## 아이템 발견 테스트03_석궁</t>
  </si>
  <si>
    <t>## 아이템 발견 테스트04_명조</t>
  </si>
  <si>
    <t>낡은 상자</t>
  </si>
  <si>
    <t>칼레</t>
  </si>
  <si>
    <t>케르치</t>
  </si>
  <si>
    <t>타구스 강</t>
  </si>
  <si>
    <t>케르치해협</t>
  </si>
  <si>
    <t>명칭</t>
  </si>
  <si>
    <t>문화권</t>
  </si>
  <si>
    <t>문화권을 직접 조사하여 기입하는 시트입니다.</t>
    <phoneticPr fontId="1" type="noConversion"/>
  </si>
  <si>
    <t>사브라타 원형극장</t>
  </si>
  <si>
    <t>베니함마드 요새 도시</t>
  </si>
  <si>
    <t>젠네 모스크</t>
  </si>
  <si>
    <t>페트라</t>
  </si>
  <si>
    <t>필레 신전</t>
  </si>
  <si>
    <t>반디아가라 절벽</t>
  </si>
  <si>
    <t>나미브 모래바다</t>
  </si>
  <si>
    <t>피코 카오 그란데</t>
  </si>
  <si>
    <t>베마라하 칭기</t>
  </si>
  <si>
    <t>파묵칼레</t>
  </si>
  <si>
    <t>댈롤 화산</t>
  </si>
  <si>
    <t>지브롤터 암벽</t>
  </si>
  <si>
    <t>주마 바위</t>
  </si>
  <si>
    <t>보요마 폭포</t>
  </si>
  <si>
    <t>테이블 산</t>
  </si>
  <si>
    <t>문화권 목록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</si>
</sst>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2"/>
      <charset val="129"/>
    </font>
    <font>
      <b/>
      <sz val="16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b/>
      <sz val="11"/>
      <color theme="1"/>
      <name val="Arial"/>
      <family val="3"/>
      <charset val="129"/>
    </font>
    <font>
      <b/>
      <sz val="11"/>
      <color theme="1"/>
      <name val="돋움"/>
      <family val="3"/>
      <charset val="129"/>
    </font>
    <font>
      <b/>
      <sz val="11"/>
      <color theme="1"/>
      <name val="Arial"/>
      <family val="2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0"/>
      <color rgb="FF000000"/>
      <name val="Arial"/>
      <family val="2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theme="1"/>
      </patternFill>
    </fill>
  </fills>
  <borders count="21">
    <border>
      <left/>
      <right/>
      <top/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/>
  </cellStyleXfs>
  <cellXfs count="7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3" fillId="0" borderId="0" xfId="0" applyFo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8" fillId="0" borderId="0" xfId="0" applyFont="1">
      <alignment vertical="center"/>
    </xf>
    <xf numFmtId="0" fontId="6" fillId="6" borderId="0" xfId="0" applyFont="1" applyFill="1">
      <alignment vertical="center"/>
    </xf>
    <xf numFmtId="0" fontId="10" fillId="0" borderId="0" xfId="0" applyFont="1">
      <alignment vertical="center"/>
    </xf>
    <xf numFmtId="0" fontId="3" fillId="0" borderId="12" xfId="0" applyNumberFormat="1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12" fillId="0" borderId="0" xfId="1" applyFont="1">
      <alignment vertical="center"/>
    </xf>
    <xf numFmtId="0" fontId="3" fillId="0" borderId="13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 textRotation="255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 textRotation="255"/>
    </xf>
    <xf numFmtId="0" fontId="3" fillId="0" borderId="4" xfId="0" applyFont="1" applyBorder="1" applyAlignment="1">
      <alignment horizontal="center" vertical="center" textRotation="255"/>
    </xf>
    <xf numFmtId="0" fontId="6" fillId="0" borderId="4" xfId="0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 textRotation="255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0" xfId="0" applyFont="1" applyAlignme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wrapText="1" indent="1"/>
    </xf>
    <xf numFmtId="0" fontId="16" fillId="0" borderId="0" xfId="0" applyFont="1">
      <alignment vertical="center"/>
    </xf>
    <xf numFmtId="0" fontId="0" fillId="0" borderId="15" xfId="0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 textRotation="255"/>
    </xf>
    <xf numFmtId="0" fontId="3" fillId="0" borderId="6" xfId="0" applyNumberFormat="1" applyFont="1" applyBorder="1" applyAlignment="1">
      <alignment horizontal="center" vertical="center" textRotation="255"/>
    </xf>
    <xf numFmtId="0" fontId="3" fillId="0" borderId="11" xfId="0" applyNumberFormat="1" applyFont="1" applyBorder="1" applyAlignment="1">
      <alignment horizontal="center" vertical="center" textRotation="255"/>
    </xf>
    <xf numFmtId="0" fontId="3" fillId="0" borderId="19" xfId="0" applyFont="1" applyBorder="1" applyAlignment="1">
      <alignment horizontal="center" vertical="center" textRotation="255"/>
    </xf>
    <xf numFmtId="0" fontId="6" fillId="0" borderId="6" xfId="0" applyNumberFormat="1" applyFont="1" applyBorder="1" applyAlignment="1">
      <alignment horizontal="center" vertical="center"/>
    </xf>
    <xf numFmtId="0" fontId="2" fillId="3" borderId="20" xfId="2" applyFont="1" applyFill="1" applyBorder="1" applyAlignment="1">
      <alignment horizontal="center" vertical="center"/>
    </xf>
    <xf numFmtId="10" fontId="2" fillId="3" borderId="0" xfId="2" applyNumberFormat="1" applyFont="1" applyFill="1" applyBorder="1" applyAlignment="1">
      <alignment horizontal="center" vertical="center"/>
    </xf>
    <xf numFmtId="10" fontId="6" fillId="0" borderId="4" xfId="0" applyNumberFormat="1" applyFont="1" applyBorder="1" applyAlignment="1">
      <alignment horizontal="center" vertical="center"/>
    </xf>
    <xf numFmtId="10" fontId="6" fillId="0" borderId="11" xfId="0" applyNumberFormat="1" applyFont="1" applyBorder="1" applyAlignment="1">
      <alignment horizontal="center" vertical="center"/>
    </xf>
    <xf numFmtId="10" fontId="6" fillId="3" borderId="6" xfId="2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</cellXfs>
  <cellStyles count="3">
    <cellStyle name="표준" xfId="0" builtinId="0"/>
    <cellStyle name="표준 2" xfId="2" xr:uid="{72754F0C-C993-4026-B136-3C408C9800AA}"/>
    <cellStyle name="하이퍼링크" xfId="1" builtinId="8"/>
  </cellStyles>
  <dxfs count="185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00B0F0"/>
      </font>
      <numFmt numFmtId="0" formatCode="General"/>
      <fill>
        <patternFill>
          <bgColor rgb="FF00B0F0"/>
        </patternFill>
      </fill>
    </dxf>
    <dxf>
      <font>
        <color rgb="FFC0000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border>
        <top style="thin">
          <color theme="2" tint="-0.249977111117893"/>
        </top>
      </border>
    </dxf>
    <dxf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/>
        <bottom/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top style="thin">
          <color theme="2" tint="-0.249977111117893"/>
        </top>
      </border>
    </dxf>
    <dxf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alignment horizontal="center" vertical="center" textRotation="0" wrapText="0" indent="0" justifyLastLine="0" shrinkToFit="0" readingOrder="0"/>
    </dxf>
    <dxf>
      <border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top style="thin">
          <color theme="2" tint="-0.249977111117893"/>
        </top>
      </border>
    </dxf>
    <dxf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alignment horizontal="center" vertical="center" textRotation="0" wrapText="0" indent="0" justifyLastLine="0" shrinkToFit="0" readingOrder="0"/>
    </dxf>
    <dxf>
      <border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top style="thin">
          <color theme="2" tint="-0.249977111117893"/>
        </top>
      </border>
    </dxf>
    <dxf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alignment horizontal="center" textRotation="0" wrapText="0" indent="0" justifyLastLine="0" shrinkToFit="0" readingOrder="0"/>
    </dxf>
    <dxf>
      <border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alignment horizont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255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255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255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255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255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255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255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255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top style="thin">
          <color theme="2"/>
        </top>
      </border>
    </dxf>
    <dxf>
      <border diagonalUp="0" diagonalDown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255" wrapText="0" indent="0" justifyLastLine="0" shrinkToFit="0" readingOrder="0"/>
    </dxf>
    <dxf>
      <border>
        <bottom style="thin">
          <color theme="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255" wrapText="0" indent="0" justifyLastLine="0" shrinkToFit="0" readingOrder="0"/>
      <border diagonalUp="0" diagonalDown="0" outline="0">
        <left style="thin">
          <color theme="2"/>
        </left>
        <right style="thin">
          <color theme="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WO_&#53272;&#49828;&#5394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WO_&#53580;&#51060;&#48660;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53440;&#51068;%20&#51221;&#48372;%20&#48372;&#44592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hievement"/>
      <sheetName val="AchievementTerms"/>
      <sheetName val="RequestGroup"/>
      <sheetName val="BurstGroup"/>
      <sheetName val="RoyalOrderGroup"/>
      <sheetName val="EventRequestGroup"/>
      <sheetName val="QuestTerms"/>
      <sheetName val="Task"/>
      <sheetName val="Quest"/>
      <sheetName val="QuestNode"/>
      <sheetName val="QuestGoal"/>
      <sheetName val="QuestPass"/>
      <sheetName val="BattleChallenge"/>
      <sheetName val="ChronicleBattleChallenge"/>
      <sheetName val="DayOfWeekBattleChallenge"/>
      <sheetName val="EventBattleChallenge"/>
      <sheetName val="BattleChallengeGroup"/>
      <sheetName val="BattleChallengeStage"/>
      <sheetName val="Discovery"/>
      <sheetName val="_isUsedDiscovery"/>
      <sheetName val="FishOceanTile"/>
      <sheetName val="FishGrade"/>
      <sheetName val="FishDiscoveryGroup"/>
      <sheetName val="MateRecruitingGroup"/>
      <sheetName val="LandExplore"/>
      <sheetName val="Village"/>
      <sheetName val="LandFeature"/>
      <sheetName val="LandFeatureGroup"/>
      <sheetName val="_advTag"/>
      <sheetName val="_advInfo"/>
      <sheetName val="AdventureSpecialEffect"/>
      <sheetName val="AdvSpcEffTermsGroup"/>
      <sheetName val="AdvSpcEffTerms"/>
      <sheetName val="AdvSpcEffFuncGroup"/>
      <sheetName val="AdvSpcEffFunc"/>
      <sheetName val="AdventureEventSpot"/>
      <sheetName val="AdventureEventMode"/>
      <sheetName val="AdventureEventReward"/>
      <sheetName val="AdventureItemFunction"/>
      <sheetName val="VillageFriendship"/>
      <sheetName val="AdventureDiscoveryGroup"/>
      <sheetName val="_enum"/>
      <sheetName val="LandExploreDiscoveryGroup"/>
      <sheetName val="VillageDiscoveryGro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B1" t="str">
            <v>name</v>
          </cell>
          <cell r="D1" t="str">
            <v>discoveryType</v>
          </cell>
          <cell r="F1" t="str">
            <v>discoveryGroup</v>
          </cell>
          <cell r="H1" t="str">
            <v>discoveryGrade</v>
          </cell>
        </row>
        <row r="2">
          <cell r="B2" t="str">
            <v>text</v>
          </cell>
          <cell r="D2" t="str">
            <v>number</v>
          </cell>
          <cell r="F2" t="str">
            <v>number</v>
          </cell>
          <cell r="H2" t="str">
            <v>number</v>
          </cell>
        </row>
        <row r="3">
          <cell r="B3" t="str">
            <v>-</v>
          </cell>
          <cell r="D3">
            <v>1</v>
          </cell>
          <cell r="F3">
            <v>1</v>
          </cell>
          <cell r="H3" t="str">
            <v>-</v>
          </cell>
        </row>
        <row r="4">
          <cell r="B4" t="str">
            <v>-</v>
          </cell>
          <cell r="D4" t="str">
            <v>-</v>
          </cell>
          <cell r="F4" t="str">
            <v>-</v>
          </cell>
          <cell r="H4" t="str">
            <v>-</v>
          </cell>
        </row>
        <row r="5">
          <cell r="B5" t="str">
            <v>-</v>
          </cell>
          <cell r="D5">
            <v>0</v>
          </cell>
          <cell r="F5">
            <v>0</v>
          </cell>
          <cell r="H5" t="str">
            <v>-</v>
          </cell>
        </row>
        <row r="6">
          <cell r="B6" t="str">
            <v>-</v>
          </cell>
          <cell r="D6">
            <v>19</v>
          </cell>
          <cell r="F6">
            <v>6</v>
          </cell>
          <cell r="H6" t="str">
            <v>-</v>
          </cell>
        </row>
        <row r="7">
          <cell r="B7" t="str">
            <v>-</v>
          </cell>
          <cell r="D7" t="str">
            <v>-</v>
          </cell>
          <cell r="F7" t="str">
            <v>-</v>
          </cell>
          <cell r="H7" t="str">
            <v>-</v>
          </cell>
        </row>
        <row r="8">
          <cell r="B8" t="str">
            <v>-</v>
          </cell>
          <cell r="C8" t="str">
            <v>discoveryType</v>
          </cell>
          <cell r="D8" t="str">
            <v>-</v>
          </cell>
          <cell r="E8" t="str">
            <v>discoveryGroup</v>
          </cell>
          <cell r="F8" t="str">
            <v>-</v>
          </cell>
          <cell r="G8" t="str">
            <v>discoveryGrade</v>
          </cell>
          <cell r="H8" t="str">
            <v>-</v>
          </cell>
        </row>
        <row r="9">
          <cell r="A9">
            <v>70401000</v>
          </cell>
          <cell r="B9" t="str">
            <v>가야 철갑옷</v>
          </cell>
          <cell r="C9" t="str">
            <v>역사유물</v>
          </cell>
          <cell r="D9">
            <v>15</v>
          </cell>
          <cell r="E9" t="str">
            <v>유물</v>
          </cell>
          <cell r="F9">
            <v>5</v>
          </cell>
          <cell r="G9" t="str">
            <v>B</v>
          </cell>
          <cell r="H9">
            <v>3</v>
          </cell>
        </row>
        <row r="10">
          <cell r="A10">
            <v>70401001</v>
          </cell>
          <cell r="B10" t="str">
            <v>가타멜라타 기마상</v>
          </cell>
          <cell r="C10" t="str">
            <v>역사유물</v>
          </cell>
          <cell r="D10">
            <v>15</v>
          </cell>
          <cell r="E10" t="str">
            <v>유물</v>
          </cell>
          <cell r="F10">
            <v>5</v>
          </cell>
          <cell r="G10" t="str">
            <v>C</v>
          </cell>
          <cell r="H10">
            <v>2</v>
          </cell>
          <cell r="BA10" t="str">
            <v>-</v>
          </cell>
        </row>
        <row r="11">
          <cell r="A11">
            <v>70401002</v>
          </cell>
          <cell r="B11" t="str">
            <v>검투사의 투구</v>
          </cell>
          <cell r="C11" t="str">
            <v>역사유물</v>
          </cell>
          <cell r="D11">
            <v>15</v>
          </cell>
          <cell r="E11" t="str">
            <v>유물</v>
          </cell>
          <cell r="F11">
            <v>5</v>
          </cell>
          <cell r="G11" t="str">
            <v>C</v>
          </cell>
          <cell r="H11">
            <v>2</v>
          </cell>
          <cell r="BA11" t="str">
            <v>-</v>
          </cell>
        </row>
        <row r="12">
          <cell r="A12">
            <v>70401003</v>
          </cell>
          <cell r="B12" t="str">
            <v>게르</v>
          </cell>
          <cell r="C12" t="str">
            <v>역사유물</v>
          </cell>
          <cell r="D12">
            <v>15</v>
          </cell>
          <cell r="E12" t="str">
            <v>유물</v>
          </cell>
          <cell r="F12">
            <v>5</v>
          </cell>
          <cell r="G12" t="str">
            <v>B</v>
          </cell>
          <cell r="H12">
            <v>3</v>
          </cell>
        </row>
        <row r="13">
          <cell r="A13">
            <v>70401004</v>
          </cell>
          <cell r="B13" t="str">
            <v>게클랭의 마상창</v>
          </cell>
          <cell r="C13" t="str">
            <v>보물</v>
          </cell>
          <cell r="D13">
            <v>18</v>
          </cell>
          <cell r="E13" t="str">
            <v>보물</v>
          </cell>
          <cell r="F13">
            <v>6</v>
          </cell>
          <cell r="G13" t="str">
            <v>A</v>
          </cell>
          <cell r="H13">
            <v>4</v>
          </cell>
        </row>
        <row r="14">
          <cell r="A14">
            <v>70401006</v>
          </cell>
          <cell r="B14" t="str">
            <v>골각기</v>
          </cell>
          <cell r="C14" t="str">
            <v>역사유물</v>
          </cell>
          <cell r="D14">
            <v>15</v>
          </cell>
          <cell r="E14" t="str">
            <v>유물</v>
          </cell>
          <cell r="F14">
            <v>5</v>
          </cell>
          <cell r="G14" t="str">
            <v>D</v>
          </cell>
          <cell r="H14">
            <v>1</v>
          </cell>
          <cell r="AW14" t="str">
            <v/>
          </cell>
          <cell r="BA14" t="str">
            <v>-</v>
          </cell>
        </row>
        <row r="15">
          <cell r="A15">
            <v>70401007</v>
          </cell>
          <cell r="B15" t="str">
            <v>관두의</v>
          </cell>
          <cell r="C15" t="str">
            <v>보물</v>
          </cell>
          <cell r="D15">
            <v>18</v>
          </cell>
          <cell r="E15" t="str">
            <v>보물</v>
          </cell>
          <cell r="F15">
            <v>6</v>
          </cell>
          <cell r="G15" t="str">
            <v>B</v>
          </cell>
          <cell r="H15">
            <v>3</v>
          </cell>
        </row>
        <row r="16">
          <cell r="A16" t="str">
            <v>#70401008</v>
          </cell>
          <cell r="B16" t="str">
            <v>구멍 뚫린 두개골</v>
          </cell>
          <cell r="C16" t="str">
            <v>역사유물</v>
          </cell>
          <cell r="D16">
            <v>15</v>
          </cell>
          <cell r="E16" t="str">
            <v>유물</v>
          </cell>
          <cell r="F16">
            <v>5</v>
          </cell>
          <cell r="G16" t="str">
            <v>C</v>
          </cell>
          <cell r="H16">
            <v>2</v>
          </cell>
        </row>
        <row r="17">
          <cell r="A17">
            <v>70401009</v>
          </cell>
          <cell r="B17" t="str">
            <v>그리스 문자의 석판</v>
          </cell>
          <cell r="C17" t="str">
            <v>역사유물</v>
          </cell>
          <cell r="D17">
            <v>15</v>
          </cell>
          <cell r="E17" t="str">
            <v>유물</v>
          </cell>
          <cell r="F17">
            <v>5</v>
          </cell>
          <cell r="G17" t="str">
            <v>D</v>
          </cell>
          <cell r="H17">
            <v>1</v>
          </cell>
          <cell r="AW17" t="str">
            <v/>
          </cell>
          <cell r="BA17" t="str">
            <v>-</v>
          </cell>
        </row>
        <row r="18">
          <cell r="A18">
            <v>70401010</v>
          </cell>
          <cell r="B18" t="str">
            <v>그리스의 불</v>
          </cell>
          <cell r="C18" t="str">
            <v>역사유물</v>
          </cell>
          <cell r="D18">
            <v>15</v>
          </cell>
          <cell r="E18" t="str">
            <v>유물</v>
          </cell>
          <cell r="F18">
            <v>5</v>
          </cell>
          <cell r="G18" t="str">
            <v>B</v>
          </cell>
          <cell r="H18">
            <v>3</v>
          </cell>
          <cell r="AW18" t="str">
            <v>특정 퀘스트(=)</v>
          </cell>
          <cell r="AY18" t="str">
            <v>꺼지지 않는 불</v>
          </cell>
          <cell r="BA18">
            <v>2</v>
          </cell>
        </row>
        <row r="19">
          <cell r="A19">
            <v>70401011</v>
          </cell>
          <cell r="B19" t="str">
            <v>금각만의 쇠사슬</v>
          </cell>
          <cell r="C19" t="str">
            <v>역사유물</v>
          </cell>
          <cell r="D19">
            <v>15</v>
          </cell>
          <cell r="E19" t="str">
            <v>유물</v>
          </cell>
          <cell r="F19">
            <v>5</v>
          </cell>
          <cell r="G19" t="str">
            <v>B</v>
          </cell>
          <cell r="H19">
            <v>3</v>
          </cell>
        </row>
        <row r="20">
          <cell r="A20">
            <v>70401012</v>
          </cell>
          <cell r="B20" t="str">
            <v>금루옥의</v>
          </cell>
          <cell r="C20" t="str">
            <v>역사유물</v>
          </cell>
          <cell r="D20">
            <v>15</v>
          </cell>
          <cell r="E20" t="str">
            <v>유물</v>
          </cell>
          <cell r="F20">
            <v>5</v>
          </cell>
          <cell r="G20" t="str">
            <v>C</v>
          </cell>
          <cell r="H20">
            <v>2</v>
          </cell>
          <cell r="AW20" t="str">
            <v>특정 퀘스트(=)</v>
          </cell>
          <cell r="AY20" t="str">
            <v>밀란다 베르테 시나리오</v>
          </cell>
          <cell r="BA20" t="str">
            <v>밀란다 베르테11_08</v>
          </cell>
        </row>
        <row r="21">
          <cell r="A21">
            <v>70401013</v>
          </cell>
          <cell r="B21" t="str">
            <v>길가메시의 서사시</v>
          </cell>
          <cell r="C21" t="str">
            <v>역사유물</v>
          </cell>
          <cell r="D21">
            <v>15</v>
          </cell>
          <cell r="E21" t="str">
            <v>유물</v>
          </cell>
          <cell r="F21">
            <v>5</v>
          </cell>
          <cell r="G21" t="str">
            <v>S</v>
          </cell>
          <cell r="H21">
            <v>5</v>
          </cell>
        </row>
        <row r="22">
          <cell r="A22">
            <v>70401014</v>
          </cell>
          <cell r="B22" t="str">
            <v>나라티하파테 왕의 비수</v>
          </cell>
          <cell r="C22" t="str">
            <v>보물</v>
          </cell>
          <cell r="D22">
            <v>18</v>
          </cell>
          <cell r="E22" t="str">
            <v>보물</v>
          </cell>
          <cell r="F22">
            <v>6</v>
          </cell>
          <cell r="G22" t="str">
            <v>S</v>
          </cell>
          <cell r="H22">
            <v>5</v>
          </cell>
        </row>
        <row r="23">
          <cell r="A23">
            <v>70401015</v>
          </cell>
          <cell r="B23" t="str">
            <v>나르메르 팔레트</v>
          </cell>
          <cell r="C23" t="str">
            <v>역사유물</v>
          </cell>
          <cell r="D23">
            <v>15</v>
          </cell>
          <cell r="E23" t="str">
            <v>유물</v>
          </cell>
          <cell r="F23">
            <v>5</v>
          </cell>
          <cell r="G23" t="str">
            <v>B</v>
          </cell>
          <cell r="H23">
            <v>3</v>
          </cell>
        </row>
        <row r="24">
          <cell r="A24">
            <v>70401016</v>
          </cell>
          <cell r="B24" t="str">
            <v>나일로미터</v>
          </cell>
          <cell r="C24" t="str">
            <v>사적</v>
          </cell>
          <cell r="D24">
            <v>12</v>
          </cell>
          <cell r="E24" t="str">
            <v>건축</v>
          </cell>
          <cell r="F24">
            <v>4</v>
          </cell>
          <cell r="G24" t="str">
            <v>B</v>
          </cell>
          <cell r="H24">
            <v>3</v>
          </cell>
        </row>
        <row r="25">
          <cell r="A25">
            <v>70401017</v>
          </cell>
          <cell r="B25" t="str">
            <v>네로황제의 대리석상</v>
          </cell>
          <cell r="C25" t="str">
            <v>역사유물</v>
          </cell>
          <cell r="D25">
            <v>15</v>
          </cell>
          <cell r="E25" t="str">
            <v>유물</v>
          </cell>
          <cell r="F25">
            <v>5</v>
          </cell>
          <cell r="G25" t="str">
            <v>B</v>
          </cell>
          <cell r="H25">
            <v>3</v>
          </cell>
        </row>
        <row r="26">
          <cell r="A26">
            <v>70401018</v>
          </cell>
          <cell r="B26" t="str">
            <v>네르바 황제의 동상</v>
          </cell>
          <cell r="C26" t="str">
            <v>역사유물</v>
          </cell>
          <cell r="D26">
            <v>15</v>
          </cell>
          <cell r="E26" t="str">
            <v>유물</v>
          </cell>
          <cell r="F26">
            <v>5</v>
          </cell>
          <cell r="G26" t="str">
            <v>A</v>
          </cell>
          <cell r="H26">
            <v>4</v>
          </cell>
        </row>
        <row r="27">
          <cell r="A27">
            <v>70401020</v>
          </cell>
          <cell r="B27" t="str">
            <v>다리우스 1세의 투구</v>
          </cell>
          <cell r="C27" t="str">
            <v>보물</v>
          </cell>
          <cell r="D27">
            <v>18</v>
          </cell>
          <cell r="E27" t="str">
            <v>보물</v>
          </cell>
          <cell r="F27">
            <v>6</v>
          </cell>
          <cell r="G27" t="str">
            <v>S</v>
          </cell>
          <cell r="H27">
            <v>5</v>
          </cell>
        </row>
        <row r="28">
          <cell r="A28">
            <v>70401021</v>
          </cell>
          <cell r="B28" t="str">
            <v>다리우스 3세의 갑옷</v>
          </cell>
          <cell r="C28" t="str">
            <v>보물</v>
          </cell>
          <cell r="D28">
            <v>18</v>
          </cell>
          <cell r="E28" t="str">
            <v>보물</v>
          </cell>
          <cell r="F28">
            <v>6</v>
          </cell>
          <cell r="G28" t="str">
            <v>A</v>
          </cell>
          <cell r="H28">
            <v>4</v>
          </cell>
        </row>
        <row r="29">
          <cell r="A29">
            <v>70401022</v>
          </cell>
          <cell r="B29" t="str">
            <v>데메트리오스 1세의 갑옷</v>
          </cell>
          <cell r="C29" t="str">
            <v>보물</v>
          </cell>
          <cell r="D29">
            <v>18</v>
          </cell>
          <cell r="E29" t="str">
            <v>보물</v>
          </cell>
          <cell r="F29">
            <v>6</v>
          </cell>
          <cell r="G29" t="str">
            <v>A</v>
          </cell>
          <cell r="H29">
            <v>4</v>
          </cell>
        </row>
        <row r="30">
          <cell r="A30">
            <v>70401023</v>
          </cell>
          <cell r="B30" t="str">
            <v>동고</v>
          </cell>
          <cell r="C30" t="str">
            <v>보물</v>
          </cell>
          <cell r="D30">
            <v>18</v>
          </cell>
          <cell r="E30" t="str">
            <v>보물</v>
          </cell>
          <cell r="F30">
            <v>6</v>
          </cell>
          <cell r="G30" t="str">
            <v>C</v>
          </cell>
          <cell r="H30">
            <v>2</v>
          </cell>
        </row>
        <row r="31">
          <cell r="A31">
            <v>70401024</v>
          </cell>
          <cell r="B31" t="str">
            <v>라발나스왕의 검</v>
          </cell>
          <cell r="C31" t="str">
            <v>역사유물</v>
          </cell>
          <cell r="D31">
            <v>15</v>
          </cell>
          <cell r="E31" t="str">
            <v>유물</v>
          </cell>
          <cell r="F31">
            <v>5</v>
          </cell>
          <cell r="G31" t="str">
            <v>S</v>
          </cell>
          <cell r="H31">
            <v>5</v>
          </cell>
        </row>
        <row r="32">
          <cell r="A32">
            <v>70401025</v>
          </cell>
          <cell r="B32" t="str">
            <v>라브렌체프 사본</v>
          </cell>
          <cell r="C32" t="str">
            <v>역사유물</v>
          </cell>
          <cell r="D32">
            <v>15</v>
          </cell>
          <cell r="E32" t="str">
            <v>유물</v>
          </cell>
          <cell r="F32">
            <v>5</v>
          </cell>
          <cell r="G32" t="str">
            <v>A</v>
          </cell>
          <cell r="H32">
            <v>4</v>
          </cell>
        </row>
        <row r="33">
          <cell r="A33">
            <v>70401027</v>
          </cell>
          <cell r="B33" t="str">
            <v>람세스 2세의 머리 장식</v>
          </cell>
          <cell r="C33" t="str">
            <v>역사유물</v>
          </cell>
          <cell r="D33">
            <v>15</v>
          </cell>
          <cell r="E33" t="str">
            <v>유물</v>
          </cell>
          <cell r="F33">
            <v>5</v>
          </cell>
          <cell r="G33" t="str">
            <v>S</v>
          </cell>
          <cell r="H33">
            <v>5</v>
          </cell>
        </row>
        <row r="34">
          <cell r="A34">
            <v>70401028</v>
          </cell>
          <cell r="B34" t="str">
            <v>람세스 2세의 벽화</v>
          </cell>
          <cell r="C34" t="str">
            <v>역사유물</v>
          </cell>
          <cell r="D34">
            <v>15</v>
          </cell>
          <cell r="E34" t="str">
            <v>유물</v>
          </cell>
          <cell r="F34">
            <v>5</v>
          </cell>
          <cell r="G34" t="str">
            <v>B</v>
          </cell>
          <cell r="H34">
            <v>3</v>
          </cell>
        </row>
        <row r="35">
          <cell r="A35">
            <v>70401029</v>
          </cell>
          <cell r="B35" t="str">
            <v>람캄행 대왕의 비문</v>
          </cell>
          <cell r="C35" t="str">
            <v>역사유물</v>
          </cell>
          <cell r="D35">
            <v>15</v>
          </cell>
          <cell r="E35" t="str">
            <v>유물</v>
          </cell>
          <cell r="F35">
            <v>5</v>
          </cell>
          <cell r="G35" t="str">
            <v>S</v>
          </cell>
          <cell r="H35">
            <v>5</v>
          </cell>
        </row>
        <row r="36">
          <cell r="A36">
            <v>70401030</v>
          </cell>
          <cell r="B36" t="str">
            <v>렙티스마그나의 비너스상</v>
          </cell>
          <cell r="C36" t="str">
            <v>미술품</v>
          </cell>
          <cell r="D36">
            <v>17</v>
          </cell>
          <cell r="E36" t="str">
            <v>보물</v>
          </cell>
          <cell r="F36">
            <v>6</v>
          </cell>
          <cell r="G36" t="str">
            <v>C</v>
          </cell>
          <cell r="H36">
            <v>2</v>
          </cell>
        </row>
        <row r="37">
          <cell r="A37">
            <v>70401031</v>
          </cell>
          <cell r="B37" t="str">
            <v>로마건국사</v>
          </cell>
          <cell r="C37" t="str">
            <v>역사유물</v>
          </cell>
          <cell r="D37">
            <v>15</v>
          </cell>
          <cell r="E37" t="str">
            <v>유물</v>
          </cell>
          <cell r="F37">
            <v>5</v>
          </cell>
          <cell r="G37" t="str">
            <v>S</v>
          </cell>
          <cell r="H37">
            <v>5</v>
          </cell>
        </row>
        <row r="38">
          <cell r="A38">
            <v>70401032</v>
          </cell>
          <cell r="B38" t="str">
            <v>로제타스톤</v>
          </cell>
          <cell r="C38" t="str">
            <v>역사유물</v>
          </cell>
          <cell r="D38">
            <v>15</v>
          </cell>
          <cell r="E38" t="str">
            <v>유물</v>
          </cell>
          <cell r="F38">
            <v>5</v>
          </cell>
          <cell r="G38" t="str">
            <v>S</v>
          </cell>
          <cell r="H38">
            <v>5</v>
          </cell>
        </row>
        <row r="39">
          <cell r="A39">
            <v>70401033</v>
          </cell>
          <cell r="B39" t="str">
            <v>롤로의 투구</v>
          </cell>
          <cell r="C39" t="str">
            <v>보물</v>
          </cell>
          <cell r="D39">
            <v>18</v>
          </cell>
          <cell r="E39" t="str">
            <v>보물</v>
          </cell>
          <cell r="F39">
            <v>6</v>
          </cell>
          <cell r="G39" t="str">
            <v>A</v>
          </cell>
          <cell r="H39">
            <v>4</v>
          </cell>
        </row>
        <row r="40">
          <cell r="A40">
            <v>70401034</v>
          </cell>
          <cell r="B40" t="str">
            <v>롬파이어</v>
          </cell>
          <cell r="C40" t="str">
            <v>역사유물</v>
          </cell>
          <cell r="D40">
            <v>15</v>
          </cell>
          <cell r="E40" t="str">
            <v>유물</v>
          </cell>
          <cell r="F40">
            <v>5</v>
          </cell>
          <cell r="G40" t="str">
            <v>C</v>
          </cell>
          <cell r="H40">
            <v>2</v>
          </cell>
        </row>
        <row r="41">
          <cell r="A41">
            <v>70401035</v>
          </cell>
          <cell r="B41" t="str">
            <v>롱고 롱고</v>
          </cell>
          <cell r="C41" t="str">
            <v>역사유물</v>
          </cell>
          <cell r="D41">
            <v>15</v>
          </cell>
          <cell r="E41" t="str">
            <v>유물</v>
          </cell>
          <cell r="F41">
            <v>5</v>
          </cell>
          <cell r="G41" t="str">
            <v>S</v>
          </cell>
          <cell r="H41">
            <v>5</v>
          </cell>
        </row>
        <row r="42">
          <cell r="A42">
            <v>70401036</v>
          </cell>
          <cell r="B42" t="str">
            <v>룬문자 비석</v>
          </cell>
          <cell r="C42" t="str">
            <v>역사유물</v>
          </cell>
          <cell r="D42">
            <v>15</v>
          </cell>
          <cell r="E42" t="str">
            <v>유물</v>
          </cell>
          <cell r="F42">
            <v>5</v>
          </cell>
          <cell r="G42" t="str">
            <v>S</v>
          </cell>
          <cell r="H42">
            <v>5</v>
          </cell>
        </row>
        <row r="43">
          <cell r="A43">
            <v>70401037</v>
          </cell>
          <cell r="B43" t="str">
            <v>리디아 화폐</v>
          </cell>
          <cell r="C43" t="str">
            <v>역사유물</v>
          </cell>
          <cell r="D43">
            <v>15</v>
          </cell>
          <cell r="E43" t="str">
            <v>유물</v>
          </cell>
          <cell r="F43">
            <v>5</v>
          </cell>
          <cell r="G43" t="str">
            <v>B</v>
          </cell>
          <cell r="H43">
            <v>3</v>
          </cell>
        </row>
        <row r="44">
          <cell r="A44">
            <v>70401038</v>
          </cell>
          <cell r="B44" t="str">
            <v>마니오의 거석</v>
          </cell>
          <cell r="C44" t="str">
            <v>지리</v>
          </cell>
          <cell r="D44">
            <v>1</v>
          </cell>
          <cell r="E44" t="str">
            <v>자연</v>
          </cell>
          <cell r="F44">
            <v>1</v>
          </cell>
          <cell r="G44" t="str">
            <v>B</v>
          </cell>
          <cell r="H44">
            <v>3</v>
          </cell>
          <cell r="AW44" t="str">
            <v>특정 직업 항해사 보유</v>
          </cell>
          <cell r="AY44" t="str">
            <v>고고학자</v>
          </cell>
          <cell r="BA44">
            <v>1</v>
          </cell>
        </row>
        <row r="45">
          <cell r="A45">
            <v>70401039</v>
          </cell>
          <cell r="B45" t="str">
            <v>마라조섬의 토기</v>
          </cell>
          <cell r="C45" t="str">
            <v>역사유물</v>
          </cell>
          <cell r="D45">
            <v>15</v>
          </cell>
          <cell r="E45" t="str">
            <v>유물</v>
          </cell>
          <cell r="F45">
            <v>5</v>
          </cell>
          <cell r="G45" t="str">
            <v>B</v>
          </cell>
          <cell r="H45">
            <v>3</v>
          </cell>
        </row>
        <row r="46">
          <cell r="A46">
            <v>70401042</v>
          </cell>
          <cell r="B46" t="str">
            <v>메르엔프타하 비문</v>
          </cell>
          <cell r="C46" t="str">
            <v>역사유물</v>
          </cell>
          <cell r="D46">
            <v>15</v>
          </cell>
          <cell r="E46" t="str">
            <v>유물</v>
          </cell>
          <cell r="F46">
            <v>5</v>
          </cell>
          <cell r="G46" t="str">
            <v>B</v>
          </cell>
          <cell r="H46">
            <v>3</v>
          </cell>
        </row>
        <row r="47">
          <cell r="A47">
            <v>70401043</v>
          </cell>
          <cell r="B47" t="str">
            <v>멘카우라왕의 삼신상</v>
          </cell>
          <cell r="C47" t="str">
            <v>역사유물</v>
          </cell>
          <cell r="D47">
            <v>15</v>
          </cell>
          <cell r="E47" t="str">
            <v>유물</v>
          </cell>
          <cell r="F47">
            <v>5</v>
          </cell>
          <cell r="G47" t="str">
            <v>A</v>
          </cell>
          <cell r="H47">
            <v>4</v>
          </cell>
        </row>
        <row r="48">
          <cell r="A48">
            <v>70401044</v>
          </cell>
          <cell r="B48" t="str">
            <v>묠니르</v>
          </cell>
          <cell r="C48" t="str">
            <v>보물</v>
          </cell>
          <cell r="D48">
            <v>18</v>
          </cell>
          <cell r="E48" t="str">
            <v>보물</v>
          </cell>
          <cell r="F48">
            <v>6</v>
          </cell>
          <cell r="G48" t="str">
            <v>S</v>
          </cell>
          <cell r="H48">
            <v>5</v>
          </cell>
        </row>
        <row r="49">
          <cell r="A49">
            <v>70401045</v>
          </cell>
          <cell r="B49" t="str">
            <v>무령왕릉 지석</v>
          </cell>
          <cell r="C49" t="str">
            <v>역사유물</v>
          </cell>
          <cell r="D49">
            <v>15</v>
          </cell>
          <cell r="E49" t="str">
            <v>유물</v>
          </cell>
          <cell r="F49">
            <v>5</v>
          </cell>
          <cell r="G49" t="str">
            <v>B</v>
          </cell>
          <cell r="H49">
            <v>3</v>
          </cell>
        </row>
        <row r="50">
          <cell r="A50">
            <v>70401047</v>
          </cell>
          <cell r="B50" t="str">
            <v>미라</v>
          </cell>
          <cell r="C50" t="str">
            <v>역사유물</v>
          </cell>
          <cell r="D50">
            <v>15</v>
          </cell>
          <cell r="E50" t="str">
            <v>유물</v>
          </cell>
          <cell r="F50">
            <v>5</v>
          </cell>
          <cell r="G50" t="str">
            <v>C</v>
          </cell>
          <cell r="H50">
            <v>2</v>
          </cell>
        </row>
        <row r="51">
          <cell r="A51">
            <v>70401048</v>
          </cell>
          <cell r="B51" t="str">
            <v>바다 민족의 갑옷</v>
          </cell>
          <cell r="C51" t="str">
            <v>역사유물</v>
          </cell>
          <cell r="D51">
            <v>15</v>
          </cell>
          <cell r="E51" t="str">
            <v>유물</v>
          </cell>
          <cell r="F51">
            <v>5</v>
          </cell>
          <cell r="G51" t="str">
            <v>D</v>
          </cell>
          <cell r="H51">
            <v>1</v>
          </cell>
          <cell r="AW51" t="str">
            <v/>
          </cell>
          <cell r="BA51" t="str">
            <v>-</v>
          </cell>
        </row>
        <row r="52">
          <cell r="A52">
            <v>70401049</v>
          </cell>
          <cell r="B52" t="str">
            <v>바다 민족의 검</v>
          </cell>
          <cell r="C52" t="str">
            <v>역사유물</v>
          </cell>
          <cell r="D52">
            <v>15</v>
          </cell>
          <cell r="E52" t="str">
            <v>유물</v>
          </cell>
          <cell r="F52">
            <v>5</v>
          </cell>
          <cell r="G52" t="str">
            <v>D</v>
          </cell>
          <cell r="H52">
            <v>1</v>
          </cell>
          <cell r="AW52" t="str">
            <v>특정 퀘스트(=)</v>
          </cell>
          <cell r="AY52" t="str">
            <v>바다 민족의 정체</v>
          </cell>
          <cell r="BA52">
            <v>1</v>
          </cell>
        </row>
        <row r="53">
          <cell r="A53">
            <v>70401050</v>
          </cell>
          <cell r="B53" t="str">
            <v>바이바르스의 창</v>
          </cell>
          <cell r="C53" t="str">
            <v>보물</v>
          </cell>
          <cell r="D53">
            <v>18</v>
          </cell>
          <cell r="E53" t="str">
            <v>보물</v>
          </cell>
          <cell r="F53">
            <v>6</v>
          </cell>
          <cell r="G53" t="str">
            <v>A</v>
          </cell>
          <cell r="H53">
            <v>4</v>
          </cell>
        </row>
        <row r="54">
          <cell r="A54">
            <v>70401051</v>
          </cell>
          <cell r="B54" t="str">
            <v>바이킹 소드</v>
          </cell>
          <cell r="C54" t="str">
            <v>역사유물</v>
          </cell>
          <cell r="D54">
            <v>15</v>
          </cell>
          <cell r="E54" t="str">
            <v>유물</v>
          </cell>
          <cell r="F54">
            <v>5</v>
          </cell>
          <cell r="G54" t="str">
            <v>B</v>
          </cell>
          <cell r="H54">
            <v>3</v>
          </cell>
        </row>
        <row r="55">
          <cell r="A55">
            <v>70401052</v>
          </cell>
          <cell r="B55" t="str">
            <v>바이킹의 철 방패</v>
          </cell>
          <cell r="C55" t="str">
            <v>역사유물</v>
          </cell>
          <cell r="D55">
            <v>15</v>
          </cell>
          <cell r="E55" t="str">
            <v>유물</v>
          </cell>
          <cell r="F55">
            <v>5</v>
          </cell>
          <cell r="G55" t="str">
            <v>D</v>
          </cell>
          <cell r="H55">
            <v>1</v>
          </cell>
        </row>
        <row r="56">
          <cell r="A56">
            <v>70401054</v>
          </cell>
          <cell r="B56" t="str">
            <v>배터시의 방패</v>
          </cell>
          <cell r="C56" t="str">
            <v>역사유물</v>
          </cell>
          <cell r="D56">
            <v>15</v>
          </cell>
          <cell r="E56" t="str">
            <v>유물</v>
          </cell>
          <cell r="F56">
            <v>5</v>
          </cell>
          <cell r="G56" t="str">
            <v>B</v>
          </cell>
          <cell r="H56">
            <v>3</v>
          </cell>
        </row>
        <row r="57">
          <cell r="A57">
            <v>70401055</v>
          </cell>
          <cell r="B57" t="str">
            <v>백제 금동대향로</v>
          </cell>
          <cell r="C57" t="str">
            <v>역사유물</v>
          </cell>
          <cell r="D57">
            <v>15</v>
          </cell>
          <cell r="E57" t="str">
            <v>유물</v>
          </cell>
          <cell r="F57">
            <v>5</v>
          </cell>
          <cell r="G57" t="str">
            <v>S</v>
          </cell>
          <cell r="H57">
            <v>5</v>
          </cell>
        </row>
        <row r="58">
          <cell r="A58">
            <v>70401057</v>
          </cell>
          <cell r="B58" t="str">
            <v>베히스툰 암각비</v>
          </cell>
          <cell r="C58" t="str">
            <v>역사유물</v>
          </cell>
          <cell r="D58">
            <v>15</v>
          </cell>
          <cell r="E58" t="str">
            <v>유물</v>
          </cell>
          <cell r="F58">
            <v>5</v>
          </cell>
          <cell r="G58" t="str">
            <v>B</v>
          </cell>
          <cell r="H58">
            <v>3</v>
          </cell>
        </row>
        <row r="59">
          <cell r="A59">
            <v>70401059</v>
          </cell>
          <cell r="B59" t="str">
            <v>봉니</v>
          </cell>
          <cell r="C59" t="str">
            <v>역사유물</v>
          </cell>
          <cell r="D59">
            <v>15</v>
          </cell>
          <cell r="E59" t="str">
            <v>유물</v>
          </cell>
          <cell r="F59">
            <v>5</v>
          </cell>
          <cell r="G59" t="str">
            <v>C</v>
          </cell>
          <cell r="H59">
            <v>2</v>
          </cell>
        </row>
        <row r="60">
          <cell r="A60">
            <v>70401060</v>
          </cell>
          <cell r="B60" t="str">
            <v>비블로스 문자의 비석 조각</v>
          </cell>
          <cell r="C60" t="str">
            <v>역사유물</v>
          </cell>
          <cell r="D60">
            <v>15</v>
          </cell>
          <cell r="E60" t="str">
            <v>유물</v>
          </cell>
          <cell r="F60">
            <v>5</v>
          </cell>
          <cell r="G60" t="str">
            <v>B</v>
          </cell>
          <cell r="H60">
            <v>3</v>
          </cell>
        </row>
        <row r="61">
          <cell r="A61">
            <v>70401064</v>
          </cell>
          <cell r="B61" t="str">
            <v>사기</v>
          </cell>
          <cell r="C61" t="str">
            <v>역사유물</v>
          </cell>
          <cell r="D61">
            <v>15</v>
          </cell>
          <cell r="E61" t="str">
            <v>유물</v>
          </cell>
          <cell r="F61">
            <v>5</v>
          </cell>
          <cell r="G61" t="str">
            <v>S</v>
          </cell>
          <cell r="H61">
            <v>5</v>
          </cell>
        </row>
        <row r="62">
          <cell r="A62">
            <v>70401065</v>
          </cell>
          <cell r="B62" t="str">
            <v>사르코파구스</v>
          </cell>
          <cell r="C62" t="str">
            <v>역사유물</v>
          </cell>
          <cell r="D62">
            <v>15</v>
          </cell>
          <cell r="E62" t="str">
            <v>유물</v>
          </cell>
          <cell r="F62">
            <v>5</v>
          </cell>
          <cell r="G62" t="str">
            <v>B</v>
          </cell>
          <cell r="H62">
            <v>3</v>
          </cell>
        </row>
        <row r="63">
          <cell r="A63">
            <v>70401066</v>
          </cell>
          <cell r="B63" t="str">
            <v>사리사</v>
          </cell>
          <cell r="C63" t="str">
            <v>역사유물</v>
          </cell>
          <cell r="D63">
            <v>15</v>
          </cell>
          <cell r="E63" t="str">
            <v>유물</v>
          </cell>
          <cell r="F63">
            <v>5</v>
          </cell>
          <cell r="G63" t="str">
            <v>D</v>
          </cell>
          <cell r="H63">
            <v>1</v>
          </cell>
        </row>
        <row r="64">
          <cell r="A64">
            <v>70401067</v>
          </cell>
          <cell r="B64" t="str">
            <v>사자의 서</v>
          </cell>
          <cell r="C64" t="str">
            <v>역사유물</v>
          </cell>
          <cell r="D64">
            <v>15</v>
          </cell>
          <cell r="E64" t="str">
            <v>유물</v>
          </cell>
          <cell r="F64">
            <v>5</v>
          </cell>
          <cell r="G64" t="str">
            <v>D</v>
          </cell>
          <cell r="H64">
            <v>1</v>
          </cell>
          <cell r="AW64" t="str">
            <v>특정 퀘스트(=)</v>
          </cell>
          <cell r="AY64" t="str">
            <v>사후세계를 여행하는 영혼을 위한 안내서</v>
          </cell>
          <cell r="BA64">
            <v>2</v>
          </cell>
        </row>
        <row r="65">
          <cell r="A65">
            <v>70401068</v>
          </cell>
          <cell r="B65" t="str">
            <v>사포의 시집</v>
          </cell>
          <cell r="C65" t="str">
            <v>보물</v>
          </cell>
          <cell r="D65">
            <v>18</v>
          </cell>
          <cell r="E65" t="str">
            <v>보물</v>
          </cell>
          <cell r="F65">
            <v>6</v>
          </cell>
          <cell r="G65" t="str">
            <v>B</v>
          </cell>
          <cell r="H65">
            <v>3</v>
          </cell>
        </row>
        <row r="66">
          <cell r="A66">
            <v>70401069</v>
          </cell>
          <cell r="B66" t="str">
            <v>삼국사기</v>
          </cell>
          <cell r="C66" t="str">
            <v>역사유물</v>
          </cell>
          <cell r="D66">
            <v>15</v>
          </cell>
          <cell r="E66" t="str">
            <v>유물</v>
          </cell>
          <cell r="F66">
            <v>5</v>
          </cell>
          <cell r="G66" t="str">
            <v>A</v>
          </cell>
          <cell r="H66">
            <v>4</v>
          </cell>
        </row>
        <row r="67">
          <cell r="A67">
            <v>70401070</v>
          </cell>
          <cell r="B67" t="str">
            <v>삼국유사</v>
          </cell>
          <cell r="C67" t="str">
            <v>역사유물</v>
          </cell>
          <cell r="D67">
            <v>15</v>
          </cell>
          <cell r="E67" t="str">
            <v>유물</v>
          </cell>
          <cell r="F67">
            <v>5</v>
          </cell>
          <cell r="G67" t="str">
            <v>A</v>
          </cell>
          <cell r="H67">
            <v>4</v>
          </cell>
        </row>
        <row r="68">
          <cell r="A68">
            <v>70401071</v>
          </cell>
          <cell r="B68" t="str">
            <v>설형문자점토판</v>
          </cell>
          <cell r="C68" t="str">
            <v>역사유물</v>
          </cell>
          <cell r="D68">
            <v>15</v>
          </cell>
          <cell r="E68" t="str">
            <v>유물</v>
          </cell>
          <cell r="F68">
            <v>5</v>
          </cell>
          <cell r="G68" t="str">
            <v>B</v>
          </cell>
          <cell r="H68">
            <v>3</v>
          </cell>
        </row>
        <row r="69">
          <cell r="A69">
            <v>70401072</v>
          </cell>
          <cell r="B69" t="str">
            <v>셀레우코스 1세의 대리석상</v>
          </cell>
          <cell r="C69" t="str">
            <v>역사유물</v>
          </cell>
          <cell r="D69">
            <v>15</v>
          </cell>
          <cell r="E69" t="str">
            <v>유물</v>
          </cell>
          <cell r="F69">
            <v>5</v>
          </cell>
          <cell r="G69" t="str">
            <v>B</v>
          </cell>
          <cell r="H69">
            <v>3</v>
          </cell>
        </row>
        <row r="70">
          <cell r="A70">
            <v>70401073</v>
          </cell>
          <cell r="B70" t="str">
            <v>소머리가 달린 여왕의 리라</v>
          </cell>
          <cell r="C70" t="str">
            <v>역사유물</v>
          </cell>
          <cell r="D70">
            <v>15</v>
          </cell>
          <cell r="E70" t="str">
            <v>유물</v>
          </cell>
          <cell r="F70">
            <v>5</v>
          </cell>
          <cell r="G70" t="str">
            <v>B</v>
          </cell>
          <cell r="H70">
            <v>3</v>
          </cell>
        </row>
        <row r="71">
          <cell r="A71">
            <v>70401074</v>
          </cell>
          <cell r="B71" t="str">
            <v>소크라테스의 독배</v>
          </cell>
          <cell r="C71" t="str">
            <v>보물</v>
          </cell>
          <cell r="D71">
            <v>18</v>
          </cell>
          <cell r="E71" t="str">
            <v>보물</v>
          </cell>
          <cell r="F71">
            <v>6</v>
          </cell>
          <cell r="G71" t="str">
            <v>B</v>
          </cell>
          <cell r="H71">
            <v>3</v>
          </cell>
        </row>
        <row r="72">
          <cell r="A72">
            <v>70401075</v>
          </cell>
          <cell r="B72" t="str">
            <v>수메르의 전차</v>
          </cell>
          <cell r="C72" t="str">
            <v>역사유물</v>
          </cell>
          <cell r="D72">
            <v>15</v>
          </cell>
          <cell r="E72" t="str">
            <v>유물</v>
          </cell>
          <cell r="F72">
            <v>5</v>
          </cell>
          <cell r="G72" t="str">
            <v>C</v>
          </cell>
          <cell r="H72">
            <v>2</v>
          </cell>
        </row>
        <row r="73">
          <cell r="A73">
            <v>70401076</v>
          </cell>
          <cell r="B73" t="str">
            <v>스키피오의 투구</v>
          </cell>
          <cell r="C73" t="str">
            <v>보물</v>
          </cell>
          <cell r="D73">
            <v>18</v>
          </cell>
          <cell r="E73" t="str">
            <v>보물</v>
          </cell>
          <cell r="F73">
            <v>6</v>
          </cell>
          <cell r="G73" t="str">
            <v>B</v>
          </cell>
          <cell r="H73">
            <v>3</v>
          </cell>
        </row>
        <row r="74">
          <cell r="A74">
            <v>70401077</v>
          </cell>
          <cell r="B74" t="str">
            <v>시민관</v>
          </cell>
          <cell r="C74" t="str">
            <v>역사유물</v>
          </cell>
          <cell r="D74">
            <v>15</v>
          </cell>
          <cell r="E74" t="str">
            <v>유물</v>
          </cell>
          <cell r="F74">
            <v>5</v>
          </cell>
          <cell r="G74" t="str">
            <v>A</v>
          </cell>
          <cell r="H74">
            <v>4</v>
          </cell>
        </row>
        <row r="75">
          <cell r="A75">
            <v>70401078</v>
          </cell>
          <cell r="B75" t="str">
            <v>신소부 여왕의 귀걸이</v>
          </cell>
          <cell r="C75" t="str">
            <v>역사유물</v>
          </cell>
          <cell r="D75">
            <v>15</v>
          </cell>
          <cell r="E75" t="str">
            <v>유물</v>
          </cell>
          <cell r="F75">
            <v>5</v>
          </cell>
          <cell r="G75" t="str">
            <v>B</v>
          </cell>
          <cell r="H75">
            <v>3</v>
          </cell>
        </row>
        <row r="76">
          <cell r="A76">
            <v>70401080</v>
          </cell>
          <cell r="B76" t="str">
            <v>아가멤논의 황금마스크</v>
          </cell>
          <cell r="C76" t="str">
            <v>보물</v>
          </cell>
          <cell r="D76">
            <v>18</v>
          </cell>
          <cell r="E76" t="str">
            <v>보물</v>
          </cell>
          <cell r="F76">
            <v>6</v>
          </cell>
          <cell r="G76" t="str">
            <v>A</v>
          </cell>
          <cell r="H76">
            <v>4</v>
          </cell>
        </row>
        <row r="77">
          <cell r="A77">
            <v>70401081</v>
          </cell>
          <cell r="B77" t="str">
            <v>아그리피나의 머리 장식</v>
          </cell>
          <cell r="C77" t="str">
            <v>보물</v>
          </cell>
          <cell r="D77">
            <v>18</v>
          </cell>
          <cell r="E77" t="str">
            <v>보물</v>
          </cell>
          <cell r="F77">
            <v>6</v>
          </cell>
          <cell r="G77" t="str">
            <v>B</v>
          </cell>
          <cell r="H77">
            <v>3</v>
          </cell>
        </row>
        <row r="78">
          <cell r="A78">
            <v>70401082</v>
          </cell>
          <cell r="B78" t="str">
            <v>아노야타왕의 검</v>
          </cell>
          <cell r="C78" t="str">
            <v>보물</v>
          </cell>
          <cell r="D78">
            <v>18</v>
          </cell>
          <cell r="E78" t="str">
            <v>보물</v>
          </cell>
          <cell r="F78">
            <v>6</v>
          </cell>
          <cell r="G78" t="str">
            <v>A</v>
          </cell>
          <cell r="H78">
            <v>4</v>
          </cell>
        </row>
        <row r="79">
          <cell r="A79">
            <v>70401083</v>
          </cell>
          <cell r="B79" t="str">
            <v>아바스의 검</v>
          </cell>
          <cell r="C79" t="str">
            <v>보물</v>
          </cell>
          <cell r="D79">
            <v>18</v>
          </cell>
          <cell r="E79" t="str">
            <v>보물</v>
          </cell>
          <cell r="F79">
            <v>6</v>
          </cell>
          <cell r="G79" t="str">
            <v>S</v>
          </cell>
          <cell r="H79">
            <v>5</v>
          </cell>
        </row>
        <row r="80">
          <cell r="A80">
            <v>70401084</v>
          </cell>
          <cell r="B80" t="str">
            <v>아부심벨 거상</v>
          </cell>
          <cell r="C80" t="str">
            <v>역사유물</v>
          </cell>
          <cell r="D80">
            <v>15</v>
          </cell>
          <cell r="E80" t="str">
            <v>유물</v>
          </cell>
          <cell r="F80">
            <v>5</v>
          </cell>
          <cell r="G80" t="str">
            <v>B</v>
          </cell>
          <cell r="H80">
            <v>3</v>
          </cell>
        </row>
        <row r="81">
          <cell r="A81">
            <v>70401085</v>
          </cell>
          <cell r="B81" t="str">
            <v>아우구스투스 대리석상</v>
          </cell>
          <cell r="C81" t="str">
            <v>역사유물</v>
          </cell>
          <cell r="D81">
            <v>15</v>
          </cell>
          <cell r="E81" t="str">
            <v>유물</v>
          </cell>
          <cell r="F81">
            <v>5</v>
          </cell>
          <cell r="G81" t="str">
            <v>S</v>
          </cell>
          <cell r="H81">
            <v>5</v>
          </cell>
        </row>
        <row r="82">
          <cell r="A82">
            <v>70401086</v>
          </cell>
          <cell r="B82" t="str">
            <v>아우렐리아누스의 투구</v>
          </cell>
          <cell r="C82" t="str">
            <v>보물</v>
          </cell>
          <cell r="D82">
            <v>18</v>
          </cell>
          <cell r="E82" t="str">
            <v>보물</v>
          </cell>
          <cell r="F82">
            <v>6</v>
          </cell>
          <cell r="G82" t="str">
            <v>B</v>
          </cell>
          <cell r="H82">
            <v>3</v>
          </cell>
        </row>
        <row r="83">
          <cell r="A83">
            <v>70401087</v>
          </cell>
          <cell r="B83" t="str">
            <v>아우렐리우스 기마상</v>
          </cell>
          <cell r="C83" t="str">
            <v>역사유물</v>
          </cell>
          <cell r="D83">
            <v>15</v>
          </cell>
          <cell r="E83" t="str">
            <v>유물</v>
          </cell>
          <cell r="F83">
            <v>5</v>
          </cell>
          <cell r="G83" t="str">
            <v>A</v>
          </cell>
          <cell r="H83">
            <v>4</v>
          </cell>
        </row>
        <row r="84">
          <cell r="A84">
            <v>70401089</v>
          </cell>
          <cell r="B84" t="str">
            <v>아트라하시스 서사시</v>
          </cell>
          <cell r="C84" t="str">
            <v>역사유물</v>
          </cell>
          <cell r="D84">
            <v>15</v>
          </cell>
          <cell r="E84" t="str">
            <v>유물</v>
          </cell>
          <cell r="F84">
            <v>5</v>
          </cell>
          <cell r="G84" t="str">
            <v>A</v>
          </cell>
          <cell r="H84">
            <v>4</v>
          </cell>
        </row>
        <row r="85">
          <cell r="A85">
            <v>70401091</v>
          </cell>
          <cell r="B85" t="str">
            <v>아파다나의 부조</v>
          </cell>
          <cell r="C85" t="str">
            <v>역사유물</v>
          </cell>
          <cell r="D85">
            <v>15</v>
          </cell>
          <cell r="E85" t="str">
            <v>유물</v>
          </cell>
          <cell r="F85">
            <v>5</v>
          </cell>
          <cell r="G85" t="str">
            <v>B</v>
          </cell>
          <cell r="H85">
            <v>3</v>
          </cell>
        </row>
        <row r="86">
          <cell r="A86">
            <v>70401092</v>
          </cell>
          <cell r="B86" t="str">
            <v>안토니누스의 왕홀</v>
          </cell>
          <cell r="C86" t="str">
            <v>보물</v>
          </cell>
          <cell r="D86">
            <v>18</v>
          </cell>
          <cell r="E86" t="str">
            <v>보물</v>
          </cell>
          <cell r="F86">
            <v>6</v>
          </cell>
          <cell r="G86" t="str">
            <v>B</v>
          </cell>
          <cell r="H86">
            <v>3</v>
          </cell>
        </row>
        <row r="87">
          <cell r="A87">
            <v>70401093</v>
          </cell>
          <cell r="B87" t="str">
            <v>알렉산더 대왕의 갑옷</v>
          </cell>
          <cell r="C87" t="str">
            <v>보물</v>
          </cell>
          <cell r="D87">
            <v>18</v>
          </cell>
          <cell r="E87" t="str">
            <v>보물</v>
          </cell>
          <cell r="F87">
            <v>6</v>
          </cell>
          <cell r="G87" t="str">
            <v>A</v>
          </cell>
          <cell r="H87">
            <v>4</v>
          </cell>
        </row>
        <row r="88">
          <cell r="A88">
            <v>70401094</v>
          </cell>
          <cell r="B88" t="str">
            <v>알렉산더 대왕의 검</v>
          </cell>
          <cell r="C88" t="str">
            <v>보물</v>
          </cell>
          <cell r="D88">
            <v>18</v>
          </cell>
          <cell r="E88" t="str">
            <v>보물</v>
          </cell>
          <cell r="F88">
            <v>6</v>
          </cell>
          <cell r="G88" t="str">
            <v>A</v>
          </cell>
          <cell r="H88">
            <v>4</v>
          </cell>
        </row>
        <row r="89">
          <cell r="A89">
            <v>70401095</v>
          </cell>
          <cell r="B89" t="str">
            <v>알렉산더 대왕의 석관</v>
          </cell>
          <cell r="C89" t="str">
            <v>역사유물</v>
          </cell>
          <cell r="D89">
            <v>15</v>
          </cell>
          <cell r="E89" t="str">
            <v>유물</v>
          </cell>
          <cell r="F89">
            <v>5</v>
          </cell>
          <cell r="G89" t="str">
            <v>C</v>
          </cell>
          <cell r="H89">
            <v>2</v>
          </cell>
          <cell r="AW89" t="str">
            <v>특정 퀘스트(=)</v>
          </cell>
          <cell r="AY89" t="str">
            <v>영웅의 마지막 흔적</v>
          </cell>
          <cell r="BA89">
            <v>3</v>
          </cell>
        </row>
        <row r="90">
          <cell r="A90">
            <v>70401096</v>
          </cell>
          <cell r="B90" t="str">
            <v>압형토기</v>
          </cell>
          <cell r="C90" t="str">
            <v>역사유물</v>
          </cell>
          <cell r="D90">
            <v>15</v>
          </cell>
          <cell r="E90" t="str">
            <v>유물</v>
          </cell>
          <cell r="F90">
            <v>5</v>
          </cell>
          <cell r="G90" t="str">
            <v>D</v>
          </cell>
          <cell r="H90">
            <v>1</v>
          </cell>
          <cell r="AW90" t="str">
            <v/>
          </cell>
          <cell r="BA90" t="str">
            <v>-</v>
          </cell>
        </row>
        <row r="91">
          <cell r="A91">
            <v>70401097</v>
          </cell>
          <cell r="B91" t="str">
            <v>앵가석</v>
          </cell>
          <cell r="C91" t="str">
            <v>역사유물</v>
          </cell>
          <cell r="D91">
            <v>15</v>
          </cell>
          <cell r="E91" t="str">
            <v>유물</v>
          </cell>
          <cell r="F91">
            <v>5</v>
          </cell>
          <cell r="G91" t="str">
            <v>C</v>
          </cell>
          <cell r="H91">
            <v>2</v>
          </cell>
        </row>
        <row r="92">
          <cell r="A92">
            <v>70401098</v>
          </cell>
          <cell r="B92" t="str">
            <v>야요이 토기</v>
          </cell>
          <cell r="C92" t="str">
            <v>역사유물</v>
          </cell>
          <cell r="D92">
            <v>15</v>
          </cell>
          <cell r="E92" t="str">
            <v>유물</v>
          </cell>
          <cell r="F92">
            <v>5</v>
          </cell>
          <cell r="G92" t="str">
            <v>D</v>
          </cell>
          <cell r="H92">
            <v>1</v>
          </cell>
          <cell r="AW92" t="str">
            <v/>
          </cell>
          <cell r="BA92" t="str">
            <v>-</v>
          </cell>
        </row>
        <row r="93">
          <cell r="A93">
            <v>70401099</v>
          </cell>
          <cell r="B93" t="str">
            <v>에누마 엘리시</v>
          </cell>
          <cell r="C93" t="str">
            <v>역사유물</v>
          </cell>
          <cell r="D93">
            <v>15</v>
          </cell>
          <cell r="E93" t="str">
            <v>유물</v>
          </cell>
          <cell r="F93">
            <v>5</v>
          </cell>
          <cell r="G93" t="str">
            <v>A</v>
          </cell>
          <cell r="H93">
            <v>4</v>
          </cell>
        </row>
        <row r="94">
          <cell r="A94">
            <v>70401100</v>
          </cell>
          <cell r="B94" t="str">
            <v>에비 일의상</v>
          </cell>
          <cell r="C94" t="str">
            <v>역사유물</v>
          </cell>
          <cell r="D94">
            <v>15</v>
          </cell>
          <cell r="E94" t="str">
            <v>유물</v>
          </cell>
          <cell r="F94">
            <v>5</v>
          </cell>
          <cell r="G94" t="str">
            <v>B</v>
          </cell>
          <cell r="H94">
            <v>3</v>
          </cell>
        </row>
        <row r="95">
          <cell r="A95">
            <v>70401101</v>
          </cell>
          <cell r="B95" t="str">
            <v>에파미논다스의 갑옷</v>
          </cell>
          <cell r="C95" t="str">
            <v>보물</v>
          </cell>
          <cell r="D95">
            <v>18</v>
          </cell>
          <cell r="E95" t="str">
            <v>보물</v>
          </cell>
          <cell r="F95">
            <v>6</v>
          </cell>
          <cell r="G95" t="str">
            <v>A</v>
          </cell>
          <cell r="H95">
            <v>4</v>
          </cell>
        </row>
        <row r="96">
          <cell r="A96">
            <v>70401102</v>
          </cell>
          <cell r="B96" t="str">
            <v>엑스칼리버</v>
          </cell>
          <cell r="C96" t="str">
            <v>보물</v>
          </cell>
          <cell r="D96">
            <v>18</v>
          </cell>
          <cell r="E96" t="str">
            <v>보물</v>
          </cell>
          <cell r="F96">
            <v>6</v>
          </cell>
          <cell r="G96" t="str">
            <v>S</v>
          </cell>
          <cell r="H96">
            <v>5</v>
          </cell>
          <cell r="AW96" t="str">
            <v>특정 퀘스트(=)</v>
          </cell>
          <cell r="AY96" t="str">
            <v>호수 아래의 성검</v>
          </cell>
          <cell r="BA96">
            <v>3</v>
          </cell>
        </row>
        <row r="97">
          <cell r="A97">
            <v>70401103</v>
          </cell>
          <cell r="B97" t="str">
            <v>여수장우중문시</v>
          </cell>
          <cell r="C97" t="str">
            <v>역사유물</v>
          </cell>
          <cell r="D97">
            <v>15</v>
          </cell>
          <cell r="E97" t="str">
            <v>유물</v>
          </cell>
          <cell r="F97">
            <v>5</v>
          </cell>
          <cell r="G97" t="str">
            <v>A</v>
          </cell>
          <cell r="H97">
            <v>4</v>
          </cell>
        </row>
        <row r="98">
          <cell r="A98">
            <v>70401104</v>
          </cell>
          <cell r="B98" t="str">
            <v>영애 승람</v>
          </cell>
          <cell r="C98" t="str">
            <v>역사유물</v>
          </cell>
          <cell r="D98">
            <v>15</v>
          </cell>
          <cell r="E98" t="str">
            <v>유물</v>
          </cell>
          <cell r="F98">
            <v>5</v>
          </cell>
          <cell r="G98" t="str">
            <v>S</v>
          </cell>
          <cell r="H98">
            <v>5</v>
          </cell>
        </row>
        <row r="99">
          <cell r="A99">
            <v>70401105</v>
          </cell>
          <cell r="B99" t="str">
            <v>오도아케르의 검</v>
          </cell>
          <cell r="C99" t="str">
            <v>보물</v>
          </cell>
          <cell r="D99">
            <v>18</v>
          </cell>
          <cell r="E99" t="str">
            <v>보물</v>
          </cell>
          <cell r="F99">
            <v>6</v>
          </cell>
          <cell r="G99" t="str">
            <v>A</v>
          </cell>
          <cell r="H99">
            <v>4</v>
          </cell>
        </row>
        <row r="100">
          <cell r="A100">
            <v>70401106</v>
          </cell>
          <cell r="B100" t="str">
            <v>오르메카의 거대 두상</v>
          </cell>
          <cell r="C100" t="str">
            <v>역사유물</v>
          </cell>
          <cell r="D100">
            <v>15</v>
          </cell>
          <cell r="E100" t="str">
            <v>유물</v>
          </cell>
          <cell r="F100">
            <v>5</v>
          </cell>
          <cell r="G100" t="str">
            <v>A</v>
          </cell>
          <cell r="H100">
            <v>4</v>
          </cell>
        </row>
        <row r="101">
          <cell r="A101">
            <v>70401107</v>
          </cell>
          <cell r="B101" t="str">
            <v>오벨리스크</v>
          </cell>
          <cell r="C101" t="str">
            <v>역사유물</v>
          </cell>
          <cell r="D101">
            <v>15</v>
          </cell>
          <cell r="E101" t="str">
            <v>유물</v>
          </cell>
          <cell r="F101">
            <v>5</v>
          </cell>
          <cell r="G101" t="str">
            <v>B</v>
          </cell>
          <cell r="H101">
            <v>3</v>
          </cell>
        </row>
        <row r="102">
          <cell r="A102">
            <v>70401108</v>
          </cell>
          <cell r="B102" t="str">
            <v>오스트라콘</v>
          </cell>
          <cell r="C102" t="str">
            <v>역사유물</v>
          </cell>
          <cell r="D102">
            <v>15</v>
          </cell>
          <cell r="E102" t="str">
            <v>유물</v>
          </cell>
          <cell r="F102">
            <v>5</v>
          </cell>
          <cell r="G102" t="str">
            <v>A</v>
          </cell>
          <cell r="H102">
            <v>4</v>
          </cell>
        </row>
        <row r="103">
          <cell r="A103">
            <v>70401110</v>
          </cell>
          <cell r="B103" t="str">
            <v>왕들의 무덤</v>
          </cell>
          <cell r="C103" t="str">
            <v>사적</v>
          </cell>
          <cell r="D103">
            <v>12</v>
          </cell>
          <cell r="E103" t="str">
            <v>건축</v>
          </cell>
          <cell r="F103">
            <v>4</v>
          </cell>
          <cell r="G103" t="str">
            <v>B</v>
          </cell>
          <cell r="H103">
            <v>3</v>
          </cell>
        </row>
        <row r="104">
          <cell r="A104">
            <v>70401111</v>
          </cell>
          <cell r="B104" t="str">
            <v>요크</v>
          </cell>
          <cell r="C104" t="str">
            <v>역사유물</v>
          </cell>
          <cell r="D104">
            <v>15</v>
          </cell>
          <cell r="E104" t="str">
            <v>유물</v>
          </cell>
          <cell r="F104">
            <v>5</v>
          </cell>
          <cell r="G104" t="str">
            <v>B</v>
          </cell>
          <cell r="H104">
            <v>3</v>
          </cell>
        </row>
        <row r="105">
          <cell r="A105">
            <v>70401112</v>
          </cell>
          <cell r="B105" t="str">
            <v>우르의 군기함</v>
          </cell>
          <cell r="C105" t="str">
            <v>역사유물</v>
          </cell>
          <cell r="D105">
            <v>15</v>
          </cell>
          <cell r="E105" t="str">
            <v>유물</v>
          </cell>
          <cell r="F105">
            <v>5</v>
          </cell>
          <cell r="G105" t="str">
            <v>B</v>
          </cell>
          <cell r="H105">
            <v>3</v>
          </cell>
        </row>
        <row r="106">
          <cell r="A106">
            <v>70401113</v>
          </cell>
          <cell r="B106" t="str">
            <v>원융</v>
          </cell>
          <cell r="C106" t="str">
            <v>역사유물</v>
          </cell>
          <cell r="D106">
            <v>15</v>
          </cell>
          <cell r="E106" t="str">
            <v>유물</v>
          </cell>
          <cell r="F106">
            <v>5</v>
          </cell>
          <cell r="G106" t="str">
            <v>C</v>
          </cell>
          <cell r="H106">
            <v>2</v>
          </cell>
        </row>
        <row r="107">
          <cell r="A107">
            <v>70401114</v>
          </cell>
          <cell r="B107" t="str">
            <v>원초연대기</v>
          </cell>
          <cell r="C107" t="str">
            <v>역사유물</v>
          </cell>
          <cell r="D107">
            <v>15</v>
          </cell>
          <cell r="E107" t="str">
            <v>유물</v>
          </cell>
          <cell r="F107">
            <v>5</v>
          </cell>
          <cell r="G107" t="str">
            <v>S</v>
          </cell>
          <cell r="H107">
            <v>5</v>
          </cell>
        </row>
        <row r="108">
          <cell r="A108">
            <v>70401115</v>
          </cell>
          <cell r="B108" t="str">
            <v>원통인장</v>
          </cell>
          <cell r="C108" t="str">
            <v>역사유물</v>
          </cell>
          <cell r="D108">
            <v>15</v>
          </cell>
          <cell r="E108" t="str">
            <v>유물</v>
          </cell>
          <cell r="F108">
            <v>5</v>
          </cell>
          <cell r="G108" t="str">
            <v>C</v>
          </cell>
          <cell r="H108">
            <v>2</v>
          </cell>
        </row>
        <row r="109">
          <cell r="A109">
            <v>70401118</v>
          </cell>
          <cell r="B109" t="str">
            <v>유익인면수신상</v>
          </cell>
          <cell r="C109" t="str">
            <v>역사유물</v>
          </cell>
          <cell r="D109">
            <v>15</v>
          </cell>
          <cell r="E109" t="str">
            <v>유물</v>
          </cell>
          <cell r="F109">
            <v>5</v>
          </cell>
          <cell r="G109" t="str">
            <v>A</v>
          </cell>
          <cell r="H109">
            <v>4</v>
          </cell>
        </row>
        <row r="110">
          <cell r="A110">
            <v>70401120</v>
          </cell>
          <cell r="B110" t="str">
            <v>은자 피에르의 지팡이</v>
          </cell>
          <cell r="C110" t="str">
            <v>보물</v>
          </cell>
          <cell r="D110">
            <v>18</v>
          </cell>
          <cell r="E110" t="str">
            <v>보물</v>
          </cell>
          <cell r="F110">
            <v>6</v>
          </cell>
          <cell r="G110" t="str">
            <v>B</v>
          </cell>
          <cell r="H110">
            <v>3</v>
          </cell>
        </row>
        <row r="111">
          <cell r="A111">
            <v>70401121</v>
          </cell>
          <cell r="B111" t="str">
            <v>이고리 원정기</v>
          </cell>
          <cell r="C111" t="str">
            <v>역사유물</v>
          </cell>
          <cell r="D111">
            <v>15</v>
          </cell>
          <cell r="E111" t="str">
            <v>유물</v>
          </cell>
          <cell r="F111">
            <v>5</v>
          </cell>
          <cell r="G111" t="str">
            <v>B</v>
          </cell>
          <cell r="H111">
            <v>3</v>
          </cell>
        </row>
        <row r="112">
          <cell r="A112">
            <v>70401122</v>
          </cell>
          <cell r="B112" t="str">
            <v>이집트 평화교섭 문서</v>
          </cell>
          <cell r="C112" t="str">
            <v>역사유물</v>
          </cell>
          <cell r="D112">
            <v>15</v>
          </cell>
          <cell r="E112" t="str">
            <v>유물</v>
          </cell>
          <cell r="F112">
            <v>5</v>
          </cell>
          <cell r="G112" t="str">
            <v>D</v>
          </cell>
          <cell r="H112">
            <v>1</v>
          </cell>
          <cell r="AW112" t="str">
            <v/>
          </cell>
          <cell r="BA112" t="str">
            <v>-</v>
          </cell>
        </row>
        <row r="113">
          <cell r="A113">
            <v>70401123</v>
          </cell>
          <cell r="B113" t="str">
            <v>이집트문자의 석판</v>
          </cell>
          <cell r="C113" t="str">
            <v>역사유물</v>
          </cell>
          <cell r="D113">
            <v>15</v>
          </cell>
          <cell r="E113" t="str">
            <v>유물</v>
          </cell>
          <cell r="F113">
            <v>5</v>
          </cell>
          <cell r="G113" t="str">
            <v>C</v>
          </cell>
          <cell r="H113">
            <v>2</v>
          </cell>
        </row>
        <row r="114">
          <cell r="A114">
            <v>70401124</v>
          </cell>
          <cell r="B114" t="str">
            <v>이집트의 벽화</v>
          </cell>
          <cell r="C114" t="str">
            <v>역사유물</v>
          </cell>
          <cell r="D114">
            <v>15</v>
          </cell>
          <cell r="E114" t="str">
            <v>유물</v>
          </cell>
          <cell r="F114">
            <v>5</v>
          </cell>
          <cell r="G114" t="str">
            <v>D</v>
          </cell>
          <cell r="H114">
            <v>1</v>
          </cell>
          <cell r="AW114" t="str">
            <v/>
          </cell>
          <cell r="BA114" t="str">
            <v>-</v>
          </cell>
        </row>
        <row r="115">
          <cell r="A115">
            <v>70401126</v>
          </cell>
          <cell r="B115" t="str">
            <v>일본 토우</v>
          </cell>
          <cell r="C115" t="str">
            <v>역사유물</v>
          </cell>
          <cell r="D115">
            <v>15</v>
          </cell>
          <cell r="E115" t="str">
            <v>유물</v>
          </cell>
          <cell r="F115">
            <v>5</v>
          </cell>
          <cell r="G115" t="str">
            <v>C</v>
          </cell>
          <cell r="H115">
            <v>2</v>
          </cell>
        </row>
        <row r="116">
          <cell r="A116">
            <v>70401127</v>
          </cell>
          <cell r="B116" t="str">
            <v>잉카의 석벽</v>
          </cell>
          <cell r="C116" t="str">
            <v>사적</v>
          </cell>
          <cell r="D116">
            <v>12</v>
          </cell>
          <cell r="E116" t="str">
            <v>건축</v>
          </cell>
          <cell r="F116">
            <v>4</v>
          </cell>
          <cell r="G116" t="str">
            <v>C</v>
          </cell>
          <cell r="H116">
            <v>2</v>
          </cell>
        </row>
        <row r="117">
          <cell r="A117">
            <v>70401129</v>
          </cell>
          <cell r="B117" t="str">
            <v>자치통감</v>
          </cell>
          <cell r="C117" t="str">
            <v>역사유물</v>
          </cell>
          <cell r="D117">
            <v>15</v>
          </cell>
          <cell r="E117" t="str">
            <v>유물</v>
          </cell>
          <cell r="F117">
            <v>5</v>
          </cell>
          <cell r="G117" t="str">
            <v>A</v>
          </cell>
          <cell r="H117">
            <v>4</v>
          </cell>
        </row>
        <row r="118">
          <cell r="A118">
            <v>70401130</v>
          </cell>
          <cell r="B118" t="str">
            <v>작</v>
          </cell>
          <cell r="C118" t="str">
            <v>역사유물</v>
          </cell>
          <cell r="D118">
            <v>15</v>
          </cell>
          <cell r="E118" t="str">
            <v>유물</v>
          </cell>
          <cell r="F118">
            <v>5</v>
          </cell>
          <cell r="G118" t="str">
            <v>D</v>
          </cell>
          <cell r="H118">
            <v>1</v>
          </cell>
          <cell r="AW118" t="str">
            <v/>
          </cell>
          <cell r="BA118" t="str">
            <v>-</v>
          </cell>
        </row>
        <row r="119">
          <cell r="A119">
            <v>70401132</v>
          </cell>
          <cell r="B119" t="str">
            <v>정도전의 사세구</v>
          </cell>
          <cell r="C119" t="str">
            <v>보물</v>
          </cell>
          <cell r="D119">
            <v>18</v>
          </cell>
          <cell r="E119" t="str">
            <v>보물</v>
          </cell>
          <cell r="F119">
            <v>6</v>
          </cell>
          <cell r="G119" t="str">
            <v>D</v>
          </cell>
          <cell r="H119">
            <v>1</v>
          </cell>
          <cell r="AW119" t="str">
            <v/>
          </cell>
          <cell r="BA119" t="str">
            <v>-</v>
          </cell>
        </row>
        <row r="120">
          <cell r="A120">
            <v>70401133</v>
          </cell>
          <cell r="B120" t="str">
            <v>정화함대의 나침반</v>
          </cell>
          <cell r="C120" t="str">
            <v>보물</v>
          </cell>
          <cell r="D120">
            <v>18</v>
          </cell>
          <cell r="E120" t="str">
            <v>보물</v>
          </cell>
          <cell r="F120">
            <v>6</v>
          </cell>
          <cell r="G120" t="str">
            <v>S</v>
          </cell>
          <cell r="H120">
            <v>5</v>
          </cell>
        </row>
        <row r="121">
          <cell r="A121">
            <v>70401135</v>
          </cell>
          <cell r="B121" t="str">
            <v>제갈노</v>
          </cell>
          <cell r="C121" t="str">
            <v>역사유물</v>
          </cell>
          <cell r="D121">
            <v>15</v>
          </cell>
          <cell r="E121" t="str">
            <v>유물</v>
          </cell>
          <cell r="F121">
            <v>5</v>
          </cell>
          <cell r="G121" t="str">
            <v>A</v>
          </cell>
          <cell r="H121">
            <v>4</v>
          </cell>
        </row>
        <row r="122">
          <cell r="A122">
            <v>70401136</v>
          </cell>
          <cell r="B122" t="str">
            <v>제노비아 여왕의 작은 검</v>
          </cell>
          <cell r="C122" t="str">
            <v>보물</v>
          </cell>
          <cell r="D122">
            <v>18</v>
          </cell>
          <cell r="E122" t="str">
            <v>보물</v>
          </cell>
          <cell r="F122">
            <v>6</v>
          </cell>
          <cell r="G122" t="str">
            <v>B</v>
          </cell>
          <cell r="H122">
            <v>3</v>
          </cell>
        </row>
        <row r="123">
          <cell r="A123" t="str">
            <v>#70401139</v>
          </cell>
          <cell r="B123" t="str">
            <v>좌진인의 머리뼈</v>
          </cell>
          <cell r="C123" t="str">
            <v>역사유물</v>
          </cell>
          <cell r="D123">
            <v>15</v>
          </cell>
          <cell r="E123" t="str">
            <v>유물</v>
          </cell>
          <cell r="F123">
            <v>5</v>
          </cell>
          <cell r="G123" t="str">
            <v>S</v>
          </cell>
          <cell r="H123">
            <v>5</v>
          </cell>
        </row>
        <row r="124">
          <cell r="A124">
            <v>70401140</v>
          </cell>
          <cell r="B124" t="str">
            <v>차스키의 어깨가방</v>
          </cell>
          <cell r="C124" t="str">
            <v>역사유물</v>
          </cell>
          <cell r="D124">
            <v>15</v>
          </cell>
          <cell r="E124" t="str">
            <v>유물</v>
          </cell>
          <cell r="F124">
            <v>5</v>
          </cell>
          <cell r="G124" t="str">
            <v>C</v>
          </cell>
          <cell r="H124">
            <v>2</v>
          </cell>
        </row>
        <row r="125">
          <cell r="A125">
            <v>70401141</v>
          </cell>
          <cell r="B125" t="str">
            <v>찬드라굽타 왕의 검</v>
          </cell>
          <cell r="C125" t="str">
            <v>보물</v>
          </cell>
          <cell r="D125">
            <v>18</v>
          </cell>
          <cell r="E125" t="str">
            <v>보물</v>
          </cell>
          <cell r="F125">
            <v>6</v>
          </cell>
          <cell r="G125" t="str">
            <v>S</v>
          </cell>
          <cell r="H125">
            <v>5</v>
          </cell>
          <cell r="AW125" t="str">
            <v>특정 퀘스트(=)</v>
          </cell>
          <cell r="AY125" t="str">
            <v>초일왕의 흔적</v>
          </cell>
          <cell r="BA125">
            <v>2</v>
          </cell>
        </row>
        <row r="126">
          <cell r="A126">
            <v>70401143</v>
          </cell>
          <cell r="B126" t="str">
            <v>천마도장니</v>
          </cell>
          <cell r="C126" t="str">
            <v>역사유물</v>
          </cell>
          <cell r="D126">
            <v>15</v>
          </cell>
          <cell r="E126" t="str">
            <v>유물</v>
          </cell>
          <cell r="F126">
            <v>5</v>
          </cell>
          <cell r="G126" t="str">
            <v>C</v>
          </cell>
          <cell r="H126">
            <v>2</v>
          </cell>
        </row>
        <row r="127">
          <cell r="A127">
            <v>70401144</v>
          </cell>
          <cell r="B127" t="str">
            <v>카노푸스 단지</v>
          </cell>
          <cell r="C127" t="str">
            <v>역사유물</v>
          </cell>
          <cell r="D127">
            <v>15</v>
          </cell>
          <cell r="E127" t="str">
            <v>유물</v>
          </cell>
          <cell r="F127">
            <v>5</v>
          </cell>
          <cell r="G127" t="str">
            <v>D</v>
          </cell>
          <cell r="H127">
            <v>1</v>
          </cell>
          <cell r="AW127" t="str">
            <v/>
          </cell>
          <cell r="BA127" t="str">
            <v>-</v>
          </cell>
        </row>
        <row r="128">
          <cell r="A128">
            <v>70401145</v>
          </cell>
          <cell r="B128" t="str">
            <v>카라칼라 황제의 대리석상</v>
          </cell>
          <cell r="C128" t="str">
            <v>역사유물</v>
          </cell>
          <cell r="D128">
            <v>15</v>
          </cell>
          <cell r="E128" t="str">
            <v>유물</v>
          </cell>
          <cell r="F128">
            <v>5</v>
          </cell>
          <cell r="G128" t="str">
            <v>C</v>
          </cell>
          <cell r="H128">
            <v>2</v>
          </cell>
        </row>
        <row r="129">
          <cell r="A129">
            <v>70401146</v>
          </cell>
          <cell r="B129" t="str">
            <v>카르투슈</v>
          </cell>
          <cell r="C129" t="str">
            <v>역사유물</v>
          </cell>
          <cell r="D129">
            <v>15</v>
          </cell>
          <cell r="E129" t="str">
            <v>유물</v>
          </cell>
          <cell r="F129">
            <v>5</v>
          </cell>
          <cell r="G129" t="str">
            <v>A</v>
          </cell>
          <cell r="H129">
            <v>4</v>
          </cell>
        </row>
        <row r="130">
          <cell r="A130">
            <v>70401147</v>
          </cell>
          <cell r="B130" t="str">
            <v>카이사르의 갑옷</v>
          </cell>
          <cell r="C130" t="str">
            <v>보물</v>
          </cell>
          <cell r="D130">
            <v>18</v>
          </cell>
          <cell r="E130" t="str">
            <v>보물</v>
          </cell>
          <cell r="F130">
            <v>6</v>
          </cell>
          <cell r="G130" t="str">
            <v>A</v>
          </cell>
          <cell r="H130">
            <v>4</v>
          </cell>
        </row>
        <row r="131">
          <cell r="A131">
            <v>70401149</v>
          </cell>
          <cell r="B131" t="str">
            <v>카이사리온 대리석상</v>
          </cell>
          <cell r="C131" t="str">
            <v>역사유물</v>
          </cell>
          <cell r="D131">
            <v>15</v>
          </cell>
          <cell r="E131" t="str">
            <v>유물</v>
          </cell>
          <cell r="F131">
            <v>5</v>
          </cell>
          <cell r="G131" t="str">
            <v>B</v>
          </cell>
          <cell r="H131">
            <v>3</v>
          </cell>
        </row>
        <row r="132">
          <cell r="A132">
            <v>70401150</v>
          </cell>
          <cell r="B132" t="str">
            <v>칸슐왕의 팔찌</v>
          </cell>
          <cell r="C132" t="str">
            <v>보물</v>
          </cell>
          <cell r="D132">
            <v>18</v>
          </cell>
          <cell r="E132" t="str">
            <v>보물</v>
          </cell>
          <cell r="F132">
            <v>6</v>
          </cell>
          <cell r="G132" t="str">
            <v>A</v>
          </cell>
          <cell r="H132">
            <v>4</v>
          </cell>
        </row>
        <row r="133">
          <cell r="A133">
            <v>70401151</v>
          </cell>
          <cell r="B133" t="str">
            <v>칼리굴라 황제의 흉상</v>
          </cell>
          <cell r="C133" t="str">
            <v>역사유물</v>
          </cell>
          <cell r="D133">
            <v>15</v>
          </cell>
          <cell r="E133" t="str">
            <v>유물</v>
          </cell>
          <cell r="F133">
            <v>5</v>
          </cell>
          <cell r="G133" t="str">
            <v>A</v>
          </cell>
          <cell r="H133">
            <v>4</v>
          </cell>
        </row>
        <row r="134">
          <cell r="A134">
            <v>70401153</v>
          </cell>
          <cell r="B134" t="str">
            <v>코모두스 황제의 검</v>
          </cell>
          <cell r="C134" t="str">
            <v>보물</v>
          </cell>
          <cell r="D134">
            <v>18</v>
          </cell>
          <cell r="E134" t="str">
            <v>보물</v>
          </cell>
          <cell r="F134">
            <v>6</v>
          </cell>
          <cell r="G134" t="str">
            <v>B</v>
          </cell>
          <cell r="H134">
            <v>3</v>
          </cell>
        </row>
        <row r="135">
          <cell r="A135">
            <v>70401154</v>
          </cell>
          <cell r="B135" t="str">
            <v>쿠빌라이칸의 안장</v>
          </cell>
          <cell r="C135" t="str">
            <v>보물</v>
          </cell>
          <cell r="D135">
            <v>18</v>
          </cell>
          <cell r="E135" t="str">
            <v>보물</v>
          </cell>
          <cell r="F135">
            <v>6</v>
          </cell>
          <cell r="G135" t="str">
            <v>B</v>
          </cell>
          <cell r="H135">
            <v>3</v>
          </cell>
        </row>
        <row r="136">
          <cell r="A136">
            <v>70401155</v>
          </cell>
          <cell r="B136" t="str">
            <v>쿠페의 목창</v>
          </cell>
          <cell r="C136" t="str">
            <v>보물</v>
          </cell>
          <cell r="D136">
            <v>18</v>
          </cell>
          <cell r="E136" t="str">
            <v>보물</v>
          </cell>
          <cell r="F136">
            <v>6</v>
          </cell>
          <cell r="G136" t="str">
            <v>S</v>
          </cell>
          <cell r="H136">
            <v>5</v>
          </cell>
        </row>
        <row r="137">
          <cell r="A137">
            <v>70401156</v>
          </cell>
          <cell r="B137" t="str">
            <v>쿠푸왕의 상아상</v>
          </cell>
          <cell r="C137" t="str">
            <v>역사유물</v>
          </cell>
          <cell r="D137">
            <v>15</v>
          </cell>
          <cell r="E137" t="str">
            <v>유물</v>
          </cell>
          <cell r="F137">
            <v>5</v>
          </cell>
          <cell r="G137" t="str">
            <v>S</v>
          </cell>
          <cell r="H137">
            <v>5</v>
          </cell>
        </row>
        <row r="138">
          <cell r="A138">
            <v>70401157</v>
          </cell>
          <cell r="B138" t="str">
            <v>쿠푸왕의 지팡이</v>
          </cell>
          <cell r="C138" t="str">
            <v>보물</v>
          </cell>
          <cell r="D138">
            <v>18</v>
          </cell>
          <cell r="E138" t="str">
            <v>보물</v>
          </cell>
          <cell r="F138">
            <v>6</v>
          </cell>
          <cell r="G138" t="str">
            <v>B</v>
          </cell>
          <cell r="H138">
            <v>3</v>
          </cell>
        </row>
        <row r="139">
          <cell r="A139">
            <v>70401158</v>
          </cell>
          <cell r="B139" t="str">
            <v>크레타 문자 점토판</v>
          </cell>
          <cell r="C139" t="str">
            <v>역사유물</v>
          </cell>
          <cell r="D139">
            <v>15</v>
          </cell>
          <cell r="E139" t="str">
            <v>유물</v>
          </cell>
          <cell r="F139">
            <v>5</v>
          </cell>
          <cell r="G139" t="str">
            <v>S</v>
          </cell>
          <cell r="H139">
            <v>5</v>
          </cell>
        </row>
        <row r="140">
          <cell r="A140">
            <v>70401159</v>
          </cell>
          <cell r="B140" t="str">
            <v>크로케아 모르스</v>
          </cell>
          <cell r="C140" t="str">
            <v>보물</v>
          </cell>
          <cell r="D140">
            <v>18</v>
          </cell>
          <cell r="E140" t="str">
            <v>보물</v>
          </cell>
          <cell r="F140">
            <v>6</v>
          </cell>
          <cell r="G140" t="str">
            <v>S</v>
          </cell>
          <cell r="H140">
            <v>5</v>
          </cell>
        </row>
        <row r="141">
          <cell r="A141">
            <v>70401160</v>
          </cell>
          <cell r="B141" t="str">
            <v>크세르크세스 1세의 부조</v>
          </cell>
          <cell r="C141" t="str">
            <v>역사유물</v>
          </cell>
          <cell r="D141">
            <v>15</v>
          </cell>
          <cell r="E141" t="str">
            <v>유물</v>
          </cell>
          <cell r="F141">
            <v>5</v>
          </cell>
          <cell r="G141" t="str">
            <v>B</v>
          </cell>
          <cell r="H141">
            <v>3</v>
          </cell>
        </row>
        <row r="142">
          <cell r="A142">
            <v>70401161</v>
          </cell>
          <cell r="B142" t="str">
            <v>클레오파트라상</v>
          </cell>
          <cell r="C142" t="str">
            <v>역사유물</v>
          </cell>
          <cell r="D142">
            <v>15</v>
          </cell>
          <cell r="E142" t="str">
            <v>유물</v>
          </cell>
          <cell r="F142">
            <v>5</v>
          </cell>
          <cell r="G142" t="str">
            <v>B</v>
          </cell>
          <cell r="H142">
            <v>3</v>
          </cell>
        </row>
        <row r="143">
          <cell r="A143">
            <v>70401162</v>
          </cell>
          <cell r="B143" t="str">
            <v>클레오파트라의 가슴 장식</v>
          </cell>
          <cell r="C143" t="str">
            <v>보물</v>
          </cell>
          <cell r="D143">
            <v>18</v>
          </cell>
          <cell r="E143" t="str">
            <v>보물</v>
          </cell>
          <cell r="F143">
            <v>6</v>
          </cell>
          <cell r="G143" t="str">
            <v>A</v>
          </cell>
          <cell r="H143">
            <v>4</v>
          </cell>
        </row>
        <row r="144">
          <cell r="A144">
            <v>70401164</v>
          </cell>
          <cell r="B144" t="str">
            <v>클로비스 찌르개</v>
          </cell>
          <cell r="C144" t="str">
            <v>역사유물</v>
          </cell>
          <cell r="D144">
            <v>15</v>
          </cell>
          <cell r="E144" t="str">
            <v>유물</v>
          </cell>
          <cell r="F144">
            <v>5</v>
          </cell>
          <cell r="G144" t="str">
            <v>D</v>
          </cell>
          <cell r="H144">
            <v>1</v>
          </cell>
        </row>
        <row r="145">
          <cell r="A145">
            <v>70401166</v>
          </cell>
          <cell r="B145" t="str">
            <v>토크</v>
          </cell>
          <cell r="C145" t="str">
            <v>역사유물</v>
          </cell>
          <cell r="D145">
            <v>15</v>
          </cell>
          <cell r="E145" t="str">
            <v>유물</v>
          </cell>
          <cell r="F145">
            <v>5</v>
          </cell>
          <cell r="G145" t="str">
            <v>C</v>
          </cell>
          <cell r="H145">
            <v>2</v>
          </cell>
        </row>
        <row r="146">
          <cell r="A146">
            <v>70401167</v>
          </cell>
          <cell r="B146" t="str">
            <v>토템 폴</v>
          </cell>
          <cell r="C146" t="str">
            <v>역사유물</v>
          </cell>
          <cell r="D146">
            <v>15</v>
          </cell>
          <cell r="E146" t="str">
            <v>유물</v>
          </cell>
          <cell r="F146">
            <v>5</v>
          </cell>
          <cell r="G146" t="str">
            <v>B</v>
          </cell>
          <cell r="H146">
            <v>3</v>
          </cell>
        </row>
        <row r="147">
          <cell r="A147">
            <v>70401168</v>
          </cell>
          <cell r="B147" t="str">
            <v>톨텍의 전사상</v>
          </cell>
          <cell r="C147" t="str">
            <v>역사유물</v>
          </cell>
          <cell r="D147">
            <v>15</v>
          </cell>
          <cell r="E147" t="str">
            <v>유물</v>
          </cell>
          <cell r="F147">
            <v>5</v>
          </cell>
          <cell r="G147" t="str">
            <v>S</v>
          </cell>
          <cell r="H147">
            <v>5</v>
          </cell>
        </row>
        <row r="148">
          <cell r="A148">
            <v>70401169</v>
          </cell>
          <cell r="B148" t="str">
            <v>투그릴베그의 왕관</v>
          </cell>
          <cell r="C148" t="str">
            <v>역사유물</v>
          </cell>
          <cell r="D148">
            <v>15</v>
          </cell>
          <cell r="E148" t="str">
            <v>유물</v>
          </cell>
          <cell r="F148">
            <v>5</v>
          </cell>
          <cell r="G148" t="str">
            <v>S</v>
          </cell>
          <cell r="H148">
            <v>5</v>
          </cell>
        </row>
        <row r="149">
          <cell r="A149">
            <v>70401170</v>
          </cell>
          <cell r="B149" t="str">
            <v>투탕카멘왕의 황금마스크</v>
          </cell>
          <cell r="C149" t="str">
            <v>보물</v>
          </cell>
          <cell r="D149">
            <v>18</v>
          </cell>
          <cell r="E149" t="str">
            <v>보물</v>
          </cell>
          <cell r="F149">
            <v>6</v>
          </cell>
          <cell r="G149" t="str">
            <v>B</v>
          </cell>
          <cell r="H149">
            <v>3</v>
          </cell>
          <cell r="AW149" t="str">
            <v>특정 퀘스트(=)</v>
          </cell>
          <cell r="AY149" t="str">
            <v>피에트로 콘티 시나리오</v>
          </cell>
          <cell r="BA149" t="str">
            <v>피에트로 콘티04_02</v>
          </cell>
        </row>
        <row r="150">
          <cell r="A150">
            <v>70401171</v>
          </cell>
          <cell r="B150" t="str">
            <v>투트모세 3세의 연대기</v>
          </cell>
          <cell r="C150" t="str">
            <v>역사유물</v>
          </cell>
          <cell r="D150">
            <v>15</v>
          </cell>
          <cell r="E150" t="str">
            <v>유물</v>
          </cell>
          <cell r="F150">
            <v>5</v>
          </cell>
          <cell r="G150" t="str">
            <v>A</v>
          </cell>
          <cell r="H150">
            <v>4</v>
          </cell>
        </row>
        <row r="151">
          <cell r="A151">
            <v>70401172</v>
          </cell>
          <cell r="B151" t="str">
            <v>트라야누스 황제의 부조</v>
          </cell>
          <cell r="C151" t="str">
            <v>역사유물</v>
          </cell>
          <cell r="D151">
            <v>15</v>
          </cell>
          <cell r="E151" t="str">
            <v>유물</v>
          </cell>
          <cell r="F151">
            <v>5</v>
          </cell>
          <cell r="G151" t="str">
            <v>A</v>
          </cell>
          <cell r="H151">
            <v>4</v>
          </cell>
        </row>
        <row r="152">
          <cell r="A152">
            <v>70401173</v>
          </cell>
          <cell r="B152" t="str">
            <v>파스파 문자의 석판</v>
          </cell>
          <cell r="C152" t="str">
            <v>역사유물</v>
          </cell>
          <cell r="D152">
            <v>15</v>
          </cell>
          <cell r="E152" t="str">
            <v>유물</v>
          </cell>
          <cell r="F152">
            <v>5</v>
          </cell>
          <cell r="G152" t="str">
            <v>B</v>
          </cell>
          <cell r="H152">
            <v>3</v>
          </cell>
        </row>
        <row r="153">
          <cell r="A153" t="str">
            <v>#70401174</v>
          </cell>
          <cell r="B153" t="str">
            <v>파칼 왕의 방패</v>
          </cell>
          <cell r="C153" t="str">
            <v>보물</v>
          </cell>
          <cell r="D153">
            <v>18</v>
          </cell>
          <cell r="E153" t="str">
            <v>보물</v>
          </cell>
          <cell r="F153">
            <v>6</v>
          </cell>
          <cell r="G153" t="str">
            <v>B</v>
          </cell>
          <cell r="H153">
            <v>3</v>
          </cell>
        </row>
        <row r="154">
          <cell r="A154">
            <v>70401175</v>
          </cell>
          <cell r="B154" t="str">
            <v>파칼 왕의 부조</v>
          </cell>
          <cell r="C154" t="str">
            <v>역사유물</v>
          </cell>
          <cell r="D154">
            <v>15</v>
          </cell>
          <cell r="E154" t="str">
            <v>유물</v>
          </cell>
          <cell r="F154">
            <v>5</v>
          </cell>
          <cell r="G154" t="str">
            <v>A</v>
          </cell>
          <cell r="H154">
            <v>4</v>
          </cell>
        </row>
        <row r="155">
          <cell r="A155">
            <v>70401177</v>
          </cell>
          <cell r="B155" t="str">
            <v>팔렌케의 석관</v>
          </cell>
          <cell r="C155" t="str">
            <v>역사유물</v>
          </cell>
          <cell r="D155">
            <v>15</v>
          </cell>
          <cell r="E155" t="str">
            <v>유물</v>
          </cell>
          <cell r="F155">
            <v>5</v>
          </cell>
          <cell r="G155" t="str">
            <v>A</v>
          </cell>
          <cell r="H155">
            <v>4</v>
          </cell>
        </row>
        <row r="156">
          <cell r="A156">
            <v>70401180</v>
          </cell>
          <cell r="B156" t="str">
            <v>프톨레마이오스 1세의 왕홀</v>
          </cell>
          <cell r="C156" t="str">
            <v>보물</v>
          </cell>
          <cell r="D156">
            <v>18</v>
          </cell>
          <cell r="E156" t="str">
            <v>보물</v>
          </cell>
          <cell r="F156">
            <v>6</v>
          </cell>
          <cell r="G156" t="str">
            <v>B</v>
          </cell>
          <cell r="H156">
            <v>3</v>
          </cell>
        </row>
        <row r="157">
          <cell r="A157">
            <v>70401182</v>
          </cell>
          <cell r="B157" t="str">
            <v>하트셉수트 여왕 석상</v>
          </cell>
          <cell r="C157" t="str">
            <v>역사유물</v>
          </cell>
          <cell r="D157">
            <v>15</v>
          </cell>
          <cell r="E157" t="str">
            <v>유물</v>
          </cell>
          <cell r="F157">
            <v>5</v>
          </cell>
          <cell r="G157" t="str">
            <v>B</v>
          </cell>
          <cell r="H157">
            <v>3</v>
          </cell>
        </row>
        <row r="158">
          <cell r="A158">
            <v>70401184</v>
          </cell>
          <cell r="B158" t="str">
            <v>한니발 대리석상</v>
          </cell>
          <cell r="C158" t="str">
            <v>역사유물</v>
          </cell>
          <cell r="D158">
            <v>15</v>
          </cell>
          <cell r="E158" t="str">
            <v>유물</v>
          </cell>
          <cell r="F158">
            <v>5</v>
          </cell>
          <cell r="G158" t="str">
            <v>B</v>
          </cell>
          <cell r="H158">
            <v>3</v>
          </cell>
        </row>
        <row r="159">
          <cell r="A159">
            <v>70401185</v>
          </cell>
          <cell r="B159" t="str">
            <v>한서</v>
          </cell>
          <cell r="C159" t="str">
            <v>역사유물</v>
          </cell>
          <cell r="D159">
            <v>15</v>
          </cell>
          <cell r="E159" t="str">
            <v>유물</v>
          </cell>
          <cell r="F159">
            <v>5</v>
          </cell>
          <cell r="G159" t="str">
            <v>A</v>
          </cell>
          <cell r="H159">
            <v>4</v>
          </cell>
        </row>
        <row r="160">
          <cell r="A160">
            <v>70401186</v>
          </cell>
          <cell r="B160" t="str">
            <v>함무라비법전</v>
          </cell>
          <cell r="C160" t="str">
            <v>역사유물</v>
          </cell>
          <cell r="D160">
            <v>15</v>
          </cell>
          <cell r="E160" t="str">
            <v>유물</v>
          </cell>
          <cell r="F160">
            <v>5</v>
          </cell>
          <cell r="G160" t="str">
            <v>A</v>
          </cell>
          <cell r="H160">
            <v>4</v>
          </cell>
          <cell r="AW160" t="str">
            <v>특정 퀘스트(=)</v>
          </cell>
          <cell r="AY160" t="str">
            <v>눈에는 눈, 이에는 이</v>
          </cell>
          <cell r="BA160">
            <v>3</v>
          </cell>
        </row>
        <row r="161">
          <cell r="A161">
            <v>70401187</v>
          </cell>
          <cell r="B161" t="str">
            <v>헤임스크링글라</v>
          </cell>
          <cell r="C161" t="str">
            <v>역사유물</v>
          </cell>
          <cell r="D161">
            <v>15</v>
          </cell>
          <cell r="E161" t="str">
            <v>유물</v>
          </cell>
          <cell r="F161">
            <v>5</v>
          </cell>
          <cell r="G161" t="str">
            <v>S</v>
          </cell>
          <cell r="H161">
            <v>5</v>
          </cell>
        </row>
        <row r="162">
          <cell r="A162">
            <v>70401188</v>
          </cell>
          <cell r="B162" t="str">
            <v>호부</v>
          </cell>
          <cell r="C162" t="str">
            <v>역사유물</v>
          </cell>
          <cell r="D162">
            <v>15</v>
          </cell>
          <cell r="E162" t="str">
            <v>유물</v>
          </cell>
          <cell r="F162">
            <v>5</v>
          </cell>
          <cell r="G162" t="str">
            <v>C</v>
          </cell>
          <cell r="H162">
            <v>2</v>
          </cell>
        </row>
        <row r="163">
          <cell r="A163">
            <v>70401189</v>
          </cell>
          <cell r="B163" t="str">
            <v>혼천의</v>
          </cell>
          <cell r="C163" t="str">
            <v>역사유물</v>
          </cell>
          <cell r="D163">
            <v>15</v>
          </cell>
          <cell r="E163" t="str">
            <v>유물</v>
          </cell>
          <cell r="F163">
            <v>5</v>
          </cell>
          <cell r="G163" t="str">
            <v>A</v>
          </cell>
          <cell r="H163">
            <v>4</v>
          </cell>
        </row>
        <row r="164">
          <cell r="A164">
            <v>70401190</v>
          </cell>
          <cell r="B164" t="str">
            <v>화랑세기</v>
          </cell>
          <cell r="C164" t="str">
            <v>역사유물</v>
          </cell>
          <cell r="D164">
            <v>15</v>
          </cell>
          <cell r="E164" t="str">
            <v>유물</v>
          </cell>
          <cell r="F164">
            <v>5</v>
          </cell>
          <cell r="G164" t="str">
            <v>B</v>
          </cell>
          <cell r="H164">
            <v>3</v>
          </cell>
        </row>
        <row r="165">
          <cell r="A165">
            <v>70401194</v>
          </cell>
          <cell r="B165" t="str">
            <v>흡혈귀 전설</v>
          </cell>
          <cell r="C165" t="str">
            <v>보물</v>
          </cell>
          <cell r="D165">
            <v>18</v>
          </cell>
          <cell r="E165" t="str">
            <v>보물</v>
          </cell>
          <cell r="F165">
            <v>6</v>
          </cell>
          <cell r="G165" t="str">
            <v>C</v>
          </cell>
          <cell r="H165">
            <v>2</v>
          </cell>
          <cell r="AW165" t="str">
            <v>특정 퀘스트(=)</v>
          </cell>
          <cell r="AY165" t="str">
            <v>죽지 않는 악마의 전설</v>
          </cell>
          <cell r="BA165">
            <v>3</v>
          </cell>
        </row>
        <row r="166">
          <cell r="A166">
            <v>70401195</v>
          </cell>
          <cell r="B166" t="str">
            <v>히타이트 전차</v>
          </cell>
          <cell r="C166" t="str">
            <v>역사유물</v>
          </cell>
          <cell r="D166">
            <v>15</v>
          </cell>
          <cell r="E166" t="str">
            <v>유물</v>
          </cell>
          <cell r="F166">
            <v>5</v>
          </cell>
          <cell r="G166" t="str">
            <v>C</v>
          </cell>
          <cell r="H166">
            <v>2</v>
          </cell>
        </row>
        <row r="167">
          <cell r="A167">
            <v>70401196</v>
          </cell>
          <cell r="B167" t="str">
            <v>히타이트 조약문</v>
          </cell>
          <cell r="C167" t="str">
            <v>역사유물</v>
          </cell>
          <cell r="D167">
            <v>15</v>
          </cell>
          <cell r="E167" t="str">
            <v>유물</v>
          </cell>
          <cell r="F167">
            <v>5</v>
          </cell>
          <cell r="G167" t="str">
            <v>A</v>
          </cell>
          <cell r="H167">
            <v>4</v>
          </cell>
        </row>
        <row r="168">
          <cell r="A168">
            <v>70401197</v>
          </cell>
          <cell r="B168" t="str">
            <v>히타이트법전</v>
          </cell>
          <cell r="C168" t="str">
            <v>역사유물</v>
          </cell>
          <cell r="D168">
            <v>15</v>
          </cell>
          <cell r="E168" t="str">
            <v>유물</v>
          </cell>
          <cell r="F168">
            <v>5</v>
          </cell>
          <cell r="G168" t="str">
            <v>B</v>
          </cell>
          <cell r="H168">
            <v>3</v>
          </cell>
        </row>
        <row r="169">
          <cell r="A169">
            <v>70401198</v>
          </cell>
          <cell r="B169" t="str">
            <v>히포크라테스 선서</v>
          </cell>
          <cell r="C169" t="str">
            <v>역사유물</v>
          </cell>
          <cell r="D169">
            <v>15</v>
          </cell>
          <cell r="E169" t="str">
            <v>유물</v>
          </cell>
          <cell r="F169">
            <v>5</v>
          </cell>
          <cell r="G169" t="str">
            <v>S</v>
          </cell>
          <cell r="H169">
            <v>5</v>
          </cell>
        </row>
        <row r="170">
          <cell r="A170">
            <v>70401199</v>
          </cell>
          <cell r="B170" t="str">
            <v>힐 스톤</v>
          </cell>
          <cell r="C170" t="str">
            <v>역사유물</v>
          </cell>
          <cell r="D170">
            <v>15</v>
          </cell>
          <cell r="E170" t="str">
            <v>유물</v>
          </cell>
          <cell r="F170">
            <v>5</v>
          </cell>
          <cell r="G170" t="str">
            <v>A</v>
          </cell>
          <cell r="H170">
            <v>4</v>
          </cell>
        </row>
        <row r="171">
          <cell r="A171">
            <v>70401200</v>
          </cell>
          <cell r="B171" t="str">
            <v>혼일강리역대국도지도</v>
          </cell>
          <cell r="C171" t="str">
            <v>역사유물</v>
          </cell>
          <cell r="D171">
            <v>15</v>
          </cell>
          <cell r="E171" t="str">
            <v>유물</v>
          </cell>
          <cell r="F171">
            <v>5</v>
          </cell>
          <cell r="G171" t="str">
            <v>S</v>
          </cell>
          <cell r="H171">
            <v>5</v>
          </cell>
        </row>
        <row r="172">
          <cell r="A172">
            <v>70402000</v>
          </cell>
          <cell r="B172" t="str">
            <v>가네샤상</v>
          </cell>
          <cell r="C172" t="str">
            <v>종교유물</v>
          </cell>
          <cell r="D172">
            <v>16</v>
          </cell>
          <cell r="E172" t="str">
            <v>유물</v>
          </cell>
          <cell r="F172">
            <v>5</v>
          </cell>
          <cell r="G172" t="str">
            <v>B</v>
          </cell>
          <cell r="H172">
            <v>3</v>
          </cell>
        </row>
        <row r="173">
          <cell r="A173">
            <v>70402001</v>
          </cell>
          <cell r="B173" t="str">
            <v>가루다 조각상</v>
          </cell>
          <cell r="C173" t="str">
            <v>종교유물</v>
          </cell>
          <cell r="D173">
            <v>16</v>
          </cell>
          <cell r="E173" t="str">
            <v>유물</v>
          </cell>
          <cell r="F173">
            <v>5</v>
          </cell>
          <cell r="G173" t="str">
            <v>B</v>
          </cell>
          <cell r="H173">
            <v>3</v>
          </cell>
        </row>
        <row r="174">
          <cell r="A174">
            <v>70402002</v>
          </cell>
          <cell r="B174" t="str">
            <v>경교비</v>
          </cell>
          <cell r="C174" t="str">
            <v>종교유물</v>
          </cell>
          <cell r="D174">
            <v>16</v>
          </cell>
          <cell r="E174" t="str">
            <v>유물</v>
          </cell>
          <cell r="F174">
            <v>5</v>
          </cell>
          <cell r="G174" t="str">
            <v>B</v>
          </cell>
          <cell r="H174">
            <v>3</v>
          </cell>
        </row>
        <row r="175">
          <cell r="A175">
            <v>70402004</v>
          </cell>
          <cell r="B175" t="str">
            <v>골리앗의 검</v>
          </cell>
          <cell r="C175" t="str">
            <v>보물</v>
          </cell>
          <cell r="D175">
            <v>18</v>
          </cell>
          <cell r="E175" t="str">
            <v>보물</v>
          </cell>
          <cell r="F175">
            <v>6</v>
          </cell>
          <cell r="G175" t="str">
            <v>B</v>
          </cell>
          <cell r="H175">
            <v>3</v>
          </cell>
        </row>
        <row r="176">
          <cell r="A176">
            <v>70402005</v>
          </cell>
          <cell r="B176" t="str">
            <v>관세음보살상</v>
          </cell>
          <cell r="C176" t="str">
            <v>종교유물</v>
          </cell>
          <cell r="D176">
            <v>16</v>
          </cell>
          <cell r="E176" t="str">
            <v>유물</v>
          </cell>
          <cell r="F176">
            <v>5</v>
          </cell>
          <cell r="G176" t="str">
            <v>B</v>
          </cell>
          <cell r="H176">
            <v>3</v>
          </cell>
        </row>
        <row r="177">
          <cell r="A177">
            <v>70402006</v>
          </cell>
          <cell r="B177" t="str">
            <v>구카이의 석장</v>
          </cell>
          <cell r="C177" t="str">
            <v>보물</v>
          </cell>
          <cell r="D177">
            <v>18</v>
          </cell>
          <cell r="E177" t="str">
            <v>보물</v>
          </cell>
          <cell r="F177">
            <v>6</v>
          </cell>
          <cell r="G177" t="str">
            <v>A</v>
          </cell>
          <cell r="H177">
            <v>4</v>
          </cell>
        </row>
        <row r="178">
          <cell r="A178">
            <v>70402007</v>
          </cell>
          <cell r="B178" t="str">
            <v>그리스도의 성의</v>
          </cell>
          <cell r="C178" t="str">
            <v>종교유물</v>
          </cell>
          <cell r="D178">
            <v>16</v>
          </cell>
          <cell r="E178" t="str">
            <v>유물</v>
          </cell>
          <cell r="F178">
            <v>5</v>
          </cell>
          <cell r="G178" t="str">
            <v>S</v>
          </cell>
          <cell r="H178">
            <v>5</v>
          </cell>
        </row>
        <row r="179">
          <cell r="A179">
            <v>70402008</v>
          </cell>
          <cell r="B179" t="str">
            <v>금강저</v>
          </cell>
          <cell r="C179" t="str">
            <v>종교유물</v>
          </cell>
          <cell r="D179">
            <v>16</v>
          </cell>
          <cell r="E179" t="str">
            <v>유물</v>
          </cell>
          <cell r="F179">
            <v>5</v>
          </cell>
          <cell r="G179" t="str">
            <v>A</v>
          </cell>
          <cell r="H179">
            <v>4</v>
          </cell>
        </row>
        <row r="180">
          <cell r="A180">
            <v>70402009</v>
          </cell>
          <cell r="B180" t="str">
            <v>금동관음보살입상</v>
          </cell>
          <cell r="C180" t="str">
            <v>종교유물</v>
          </cell>
          <cell r="D180">
            <v>16</v>
          </cell>
          <cell r="E180" t="str">
            <v>유물</v>
          </cell>
          <cell r="F180">
            <v>5</v>
          </cell>
          <cell r="G180" t="str">
            <v>A</v>
          </cell>
          <cell r="H180">
            <v>4</v>
          </cell>
        </row>
        <row r="181">
          <cell r="A181">
            <v>70402011</v>
          </cell>
          <cell r="B181" t="str">
            <v>나가 위의 부처</v>
          </cell>
          <cell r="C181" t="str">
            <v>종교유물</v>
          </cell>
          <cell r="D181">
            <v>16</v>
          </cell>
          <cell r="E181" t="str">
            <v>유물</v>
          </cell>
          <cell r="F181">
            <v>5</v>
          </cell>
          <cell r="G181" t="str">
            <v>A</v>
          </cell>
          <cell r="H181">
            <v>4</v>
          </cell>
        </row>
        <row r="182">
          <cell r="A182">
            <v>70402012</v>
          </cell>
          <cell r="B182" t="str">
            <v>나라싱하상</v>
          </cell>
          <cell r="C182" t="str">
            <v>종교유물</v>
          </cell>
          <cell r="D182">
            <v>16</v>
          </cell>
          <cell r="E182" t="str">
            <v>유물</v>
          </cell>
          <cell r="F182">
            <v>5</v>
          </cell>
          <cell r="G182" t="str">
            <v>C</v>
          </cell>
          <cell r="H182">
            <v>2</v>
          </cell>
        </row>
        <row r="183">
          <cell r="A183">
            <v>70402013</v>
          </cell>
          <cell r="B183" t="str">
            <v>남해기귀내법전</v>
          </cell>
          <cell r="C183" t="str">
            <v>종교유물</v>
          </cell>
          <cell r="D183">
            <v>16</v>
          </cell>
          <cell r="E183" t="str">
            <v>유물</v>
          </cell>
          <cell r="F183">
            <v>5</v>
          </cell>
          <cell r="G183" t="str">
            <v>C</v>
          </cell>
          <cell r="H183">
            <v>2</v>
          </cell>
          <cell r="AW183" t="str">
            <v/>
          </cell>
          <cell r="BA183" t="str">
            <v>-</v>
          </cell>
        </row>
        <row r="184">
          <cell r="A184">
            <v>70402014</v>
          </cell>
          <cell r="B184" t="str">
            <v>냐미냐미상</v>
          </cell>
          <cell r="C184" t="str">
            <v>종교유물</v>
          </cell>
          <cell r="D184">
            <v>16</v>
          </cell>
          <cell r="E184" t="str">
            <v>유물</v>
          </cell>
          <cell r="F184">
            <v>5</v>
          </cell>
          <cell r="G184" t="str">
            <v>S</v>
          </cell>
          <cell r="H184">
            <v>5</v>
          </cell>
        </row>
        <row r="185">
          <cell r="A185">
            <v>70402015</v>
          </cell>
          <cell r="B185" t="str">
            <v>냐우의 가면</v>
          </cell>
          <cell r="C185" t="str">
            <v>종교유물</v>
          </cell>
          <cell r="D185">
            <v>16</v>
          </cell>
          <cell r="E185" t="str">
            <v>유물</v>
          </cell>
          <cell r="F185">
            <v>5</v>
          </cell>
          <cell r="G185" t="str">
            <v>A</v>
          </cell>
          <cell r="H185">
            <v>4</v>
          </cell>
        </row>
        <row r="186">
          <cell r="A186">
            <v>70402016</v>
          </cell>
          <cell r="B186" t="str">
            <v>네이트상</v>
          </cell>
          <cell r="C186" t="str">
            <v>종교유물</v>
          </cell>
          <cell r="D186">
            <v>16</v>
          </cell>
          <cell r="E186" t="str">
            <v>유물</v>
          </cell>
          <cell r="F186">
            <v>5</v>
          </cell>
          <cell r="G186" t="str">
            <v>B</v>
          </cell>
          <cell r="H186">
            <v>3</v>
          </cell>
        </row>
        <row r="187">
          <cell r="A187">
            <v>70402017</v>
          </cell>
          <cell r="B187" t="str">
            <v>논어</v>
          </cell>
          <cell r="C187" t="str">
            <v>종교유물</v>
          </cell>
          <cell r="D187">
            <v>16</v>
          </cell>
          <cell r="E187" t="str">
            <v>유물</v>
          </cell>
          <cell r="F187">
            <v>5</v>
          </cell>
          <cell r="G187" t="str">
            <v>S</v>
          </cell>
          <cell r="H187">
            <v>5</v>
          </cell>
        </row>
        <row r="188">
          <cell r="A188">
            <v>70402018</v>
          </cell>
          <cell r="B188" t="str">
            <v>니벨룽겐의 반지</v>
          </cell>
          <cell r="C188" t="str">
            <v>보물</v>
          </cell>
          <cell r="D188">
            <v>18</v>
          </cell>
          <cell r="E188" t="str">
            <v>보물</v>
          </cell>
          <cell r="F188">
            <v>6</v>
          </cell>
          <cell r="G188" t="str">
            <v>S</v>
          </cell>
          <cell r="H188">
            <v>5</v>
          </cell>
          <cell r="AW188" t="str">
            <v>특정 퀘스트(=)</v>
          </cell>
          <cell r="AY188" t="str">
            <v>저주를 부르는 반지</v>
          </cell>
          <cell r="BA188">
            <v>3</v>
          </cell>
        </row>
        <row r="189">
          <cell r="A189">
            <v>70402019</v>
          </cell>
          <cell r="B189" t="str">
            <v>니아메상</v>
          </cell>
          <cell r="C189" t="str">
            <v>종교유물</v>
          </cell>
          <cell r="D189">
            <v>16</v>
          </cell>
          <cell r="E189" t="str">
            <v>유물</v>
          </cell>
          <cell r="F189">
            <v>5</v>
          </cell>
          <cell r="G189" t="str">
            <v>S</v>
          </cell>
          <cell r="H189">
            <v>5</v>
          </cell>
        </row>
        <row r="190">
          <cell r="A190">
            <v>70402020</v>
          </cell>
          <cell r="B190" t="str">
            <v>다니엘서</v>
          </cell>
          <cell r="C190" t="str">
            <v>종교유물</v>
          </cell>
          <cell r="D190">
            <v>16</v>
          </cell>
          <cell r="E190" t="str">
            <v>유물</v>
          </cell>
          <cell r="F190">
            <v>5</v>
          </cell>
          <cell r="G190" t="str">
            <v>A</v>
          </cell>
          <cell r="H190">
            <v>4</v>
          </cell>
        </row>
        <row r="191">
          <cell r="A191">
            <v>70402021</v>
          </cell>
          <cell r="B191" t="str">
            <v>다즈보그의 부조</v>
          </cell>
          <cell r="C191" t="str">
            <v>종교유물</v>
          </cell>
          <cell r="D191">
            <v>16</v>
          </cell>
          <cell r="E191" t="str">
            <v>유물</v>
          </cell>
          <cell r="F191">
            <v>5</v>
          </cell>
          <cell r="G191" t="str">
            <v>B</v>
          </cell>
          <cell r="H191">
            <v>3</v>
          </cell>
        </row>
        <row r="192">
          <cell r="A192">
            <v>70402022</v>
          </cell>
          <cell r="B192" t="str">
            <v>도조지의 종</v>
          </cell>
          <cell r="C192" t="str">
            <v>종교유물</v>
          </cell>
          <cell r="D192">
            <v>16</v>
          </cell>
          <cell r="E192" t="str">
            <v>유물</v>
          </cell>
          <cell r="F192">
            <v>5</v>
          </cell>
          <cell r="G192" t="str">
            <v>A</v>
          </cell>
          <cell r="H192">
            <v>4</v>
          </cell>
        </row>
        <row r="193">
          <cell r="A193">
            <v>70402023</v>
          </cell>
          <cell r="B193" t="str">
            <v>드와라팔라상</v>
          </cell>
          <cell r="C193" t="str">
            <v>종교유물</v>
          </cell>
          <cell r="D193">
            <v>16</v>
          </cell>
          <cell r="E193" t="str">
            <v>유물</v>
          </cell>
          <cell r="F193">
            <v>5</v>
          </cell>
          <cell r="G193" t="str">
            <v>D</v>
          </cell>
          <cell r="H193">
            <v>1</v>
          </cell>
          <cell r="AW193" t="str">
            <v/>
          </cell>
          <cell r="BA193" t="str">
            <v>-</v>
          </cell>
        </row>
        <row r="194">
          <cell r="A194">
            <v>70402024</v>
          </cell>
          <cell r="B194" t="str">
            <v>락슈미 조각상</v>
          </cell>
          <cell r="C194" t="str">
            <v>종교유물</v>
          </cell>
          <cell r="D194">
            <v>16</v>
          </cell>
          <cell r="E194" t="str">
            <v>유물</v>
          </cell>
          <cell r="F194">
            <v>5</v>
          </cell>
          <cell r="G194" t="str">
            <v>C</v>
          </cell>
          <cell r="H194">
            <v>2</v>
          </cell>
        </row>
        <row r="195">
          <cell r="A195">
            <v>70402025</v>
          </cell>
          <cell r="B195" t="str">
            <v>락슈미의 부조</v>
          </cell>
          <cell r="C195" t="str">
            <v>종교유물</v>
          </cell>
          <cell r="D195">
            <v>16</v>
          </cell>
          <cell r="E195" t="str">
            <v>유물</v>
          </cell>
          <cell r="F195">
            <v>5</v>
          </cell>
          <cell r="G195" t="str">
            <v>D</v>
          </cell>
          <cell r="H195">
            <v>1</v>
          </cell>
          <cell r="AW195" t="str">
            <v/>
          </cell>
          <cell r="BA195" t="str">
            <v>-</v>
          </cell>
        </row>
        <row r="196">
          <cell r="A196">
            <v>70402026</v>
          </cell>
          <cell r="B196" t="str">
            <v>란손상</v>
          </cell>
          <cell r="C196" t="str">
            <v>종교유물</v>
          </cell>
          <cell r="D196">
            <v>16</v>
          </cell>
          <cell r="E196" t="str">
            <v>유물</v>
          </cell>
          <cell r="F196">
            <v>5</v>
          </cell>
          <cell r="G196" t="str">
            <v>C</v>
          </cell>
          <cell r="H196">
            <v>2</v>
          </cell>
        </row>
        <row r="197">
          <cell r="A197">
            <v>70402027</v>
          </cell>
          <cell r="B197" t="str">
            <v>롱기누스의 창</v>
          </cell>
          <cell r="C197" t="str">
            <v>보물</v>
          </cell>
          <cell r="D197">
            <v>18</v>
          </cell>
          <cell r="E197" t="str">
            <v>보물</v>
          </cell>
          <cell r="F197">
            <v>6</v>
          </cell>
          <cell r="G197" t="str">
            <v>S</v>
          </cell>
          <cell r="H197">
            <v>5</v>
          </cell>
        </row>
        <row r="198">
          <cell r="A198">
            <v>70402028</v>
          </cell>
          <cell r="B198" t="str">
            <v>리그베다</v>
          </cell>
          <cell r="C198" t="str">
            <v>종교유물</v>
          </cell>
          <cell r="D198">
            <v>16</v>
          </cell>
          <cell r="E198" t="str">
            <v>유물</v>
          </cell>
          <cell r="F198">
            <v>5</v>
          </cell>
          <cell r="G198" t="str">
            <v>S</v>
          </cell>
          <cell r="H198">
            <v>5</v>
          </cell>
        </row>
        <row r="199">
          <cell r="A199">
            <v>70402029</v>
          </cell>
          <cell r="B199" t="str">
            <v>마누법전</v>
          </cell>
          <cell r="C199" t="str">
            <v>종교유물</v>
          </cell>
          <cell r="D199">
            <v>16</v>
          </cell>
          <cell r="E199" t="str">
            <v>유물</v>
          </cell>
          <cell r="F199">
            <v>5</v>
          </cell>
          <cell r="G199" t="str">
            <v>S</v>
          </cell>
          <cell r="H199">
            <v>5</v>
          </cell>
        </row>
        <row r="200">
          <cell r="A200">
            <v>70402030</v>
          </cell>
          <cell r="B200" t="str">
            <v>마조상</v>
          </cell>
          <cell r="C200" t="str">
            <v>종교유물</v>
          </cell>
          <cell r="D200">
            <v>16</v>
          </cell>
          <cell r="E200" t="str">
            <v>유물</v>
          </cell>
          <cell r="F200">
            <v>5</v>
          </cell>
          <cell r="G200" t="str">
            <v>S</v>
          </cell>
          <cell r="H200">
            <v>5</v>
          </cell>
        </row>
        <row r="201">
          <cell r="A201">
            <v>70402031</v>
          </cell>
          <cell r="B201" t="str">
            <v>마케마케 암각화</v>
          </cell>
          <cell r="C201" t="str">
            <v>종교유물</v>
          </cell>
          <cell r="D201">
            <v>16</v>
          </cell>
          <cell r="E201" t="str">
            <v>유물</v>
          </cell>
          <cell r="F201">
            <v>5</v>
          </cell>
          <cell r="G201" t="str">
            <v>D</v>
          </cell>
          <cell r="H201">
            <v>1</v>
          </cell>
          <cell r="AW201" t="str">
            <v/>
          </cell>
          <cell r="BA201" t="str">
            <v>-</v>
          </cell>
        </row>
        <row r="202">
          <cell r="A202">
            <v>70402032</v>
          </cell>
          <cell r="B202" t="str">
            <v>만다라도</v>
          </cell>
          <cell r="C202" t="str">
            <v>종교유물</v>
          </cell>
          <cell r="D202">
            <v>16</v>
          </cell>
          <cell r="E202" t="str">
            <v>유물</v>
          </cell>
          <cell r="F202">
            <v>5</v>
          </cell>
          <cell r="G202" t="str">
            <v>B</v>
          </cell>
          <cell r="H202">
            <v>3</v>
          </cell>
        </row>
        <row r="203">
          <cell r="A203">
            <v>70402033</v>
          </cell>
          <cell r="B203" t="str">
            <v>무슈후슈 벽화</v>
          </cell>
          <cell r="C203" t="str">
            <v>종교유물</v>
          </cell>
          <cell r="D203">
            <v>16</v>
          </cell>
          <cell r="E203" t="str">
            <v>유물</v>
          </cell>
          <cell r="F203">
            <v>5</v>
          </cell>
          <cell r="G203" t="str">
            <v>A</v>
          </cell>
          <cell r="H203">
            <v>4</v>
          </cell>
        </row>
        <row r="204">
          <cell r="A204">
            <v>70402034</v>
          </cell>
          <cell r="B204" t="str">
            <v>믹틀란테쿠틀리의 상</v>
          </cell>
          <cell r="C204" t="str">
            <v>종교유물</v>
          </cell>
          <cell r="D204">
            <v>16</v>
          </cell>
          <cell r="E204" t="str">
            <v>유물</v>
          </cell>
          <cell r="F204">
            <v>5</v>
          </cell>
          <cell r="G204" t="str">
            <v>B</v>
          </cell>
          <cell r="H204">
            <v>3</v>
          </cell>
        </row>
        <row r="205">
          <cell r="A205">
            <v>70402035</v>
          </cell>
          <cell r="B205" t="str">
            <v>바롱의 가면</v>
          </cell>
          <cell r="C205" t="str">
            <v>종교유물</v>
          </cell>
          <cell r="D205">
            <v>16</v>
          </cell>
          <cell r="E205" t="str">
            <v>유물</v>
          </cell>
          <cell r="F205">
            <v>5</v>
          </cell>
          <cell r="G205" t="str">
            <v>S</v>
          </cell>
          <cell r="H205">
            <v>5</v>
          </cell>
        </row>
        <row r="206">
          <cell r="A206">
            <v>70402036</v>
          </cell>
          <cell r="B206" t="str">
            <v>바스테트상</v>
          </cell>
          <cell r="C206" t="str">
            <v>종교유물</v>
          </cell>
          <cell r="D206">
            <v>16</v>
          </cell>
          <cell r="E206" t="str">
            <v>유물</v>
          </cell>
          <cell r="F206">
            <v>5</v>
          </cell>
          <cell r="G206" t="str">
            <v>C</v>
          </cell>
          <cell r="H206">
            <v>2</v>
          </cell>
        </row>
        <row r="207">
          <cell r="A207">
            <v>70402037</v>
          </cell>
          <cell r="B207" t="str">
            <v>반야경</v>
          </cell>
          <cell r="C207" t="str">
            <v>종교유물</v>
          </cell>
          <cell r="D207">
            <v>16</v>
          </cell>
          <cell r="E207" t="str">
            <v>유물</v>
          </cell>
          <cell r="F207">
            <v>5</v>
          </cell>
          <cell r="G207" t="str">
            <v>B</v>
          </cell>
          <cell r="H207">
            <v>3</v>
          </cell>
        </row>
        <row r="208">
          <cell r="A208">
            <v>70402038</v>
          </cell>
          <cell r="B208" t="str">
            <v>백화</v>
          </cell>
          <cell r="C208" t="str">
            <v>미술품</v>
          </cell>
          <cell r="D208">
            <v>17</v>
          </cell>
          <cell r="E208" t="str">
            <v>보물</v>
          </cell>
          <cell r="F208">
            <v>6</v>
          </cell>
          <cell r="G208" t="str">
            <v>D</v>
          </cell>
          <cell r="H208">
            <v>1</v>
          </cell>
          <cell r="AW208" t="str">
            <v/>
          </cell>
          <cell r="BA208" t="str">
            <v>-</v>
          </cell>
        </row>
        <row r="209">
          <cell r="A209">
            <v>70402039</v>
          </cell>
          <cell r="B209" t="str">
            <v>벨레스의 목상</v>
          </cell>
          <cell r="C209" t="str">
            <v>종교유물</v>
          </cell>
          <cell r="D209">
            <v>16</v>
          </cell>
          <cell r="E209" t="str">
            <v>유물</v>
          </cell>
          <cell r="F209">
            <v>5</v>
          </cell>
          <cell r="G209" t="str">
            <v>D</v>
          </cell>
          <cell r="H209">
            <v>1</v>
          </cell>
          <cell r="AW209" t="str">
            <v/>
          </cell>
          <cell r="BA209" t="str">
            <v>-</v>
          </cell>
        </row>
        <row r="210">
          <cell r="A210">
            <v>70402040</v>
          </cell>
          <cell r="B210" t="str">
            <v>벽하원군상</v>
          </cell>
          <cell r="C210" t="str">
            <v>종교유물</v>
          </cell>
          <cell r="D210">
            <v>16</v>
          </cell>
          <cell r="E210" t="str">
            <v>유물</v>
          </cell>
          <cell r="F210">
            <v>5</v>
          </cell>
          <cell r="G210" t="str">
            <v>D</v>
          </cell>
          <cell r="H210">
            <v>1</v>
          </cell>
          <cell r="AW210" t="str">
            <v/>
          </cell>
          <cell r="BA210" t="str">
            <v>-</v>
          </cell>
        </row>
        <row r="211">
          <cell r="A211">
            <v>70402041</v>
          </cell>
          <cell r="B211" t="str">
            <v>보리스 글렙의 성상</v>
          </cell>
          <cell r="C211" t="str">
            <v>종교유물</v>
          </cell>
          <cell r="D211">
            <v>16</v>
          </cell>
          <cell r="E211" t="str">
            <v>유물</v>
          </cell>
          <cell r="F211">
            <v>5</v>
          </cell>
          <cell r="G211" t="str">
            <v>S</v>
          </cell>
          <cell r="H211">
            <v>5</v>
          </cell>
        </row>
        <row r="212">
          <cell r="A212">
            <v>70402042</v>
          </cell>
          <cell r="B212" t="str">
            <v>보생불</v>
          </cell>
          <cell r="C212" t="str">
            <v>종교유물</v>
          </cell>
          <cell r="D212">
            <v>16</v>
          </cell>
          <cell r="E212" t="str">
            <v>유물</v>
          </cell>
          <cell r="F212">
            <v>5</v>
          </cell>
          <cell r="G212" t="str">
            <v>B</v>
          </cell>
          <cell r="H212">
            <v>3</v>
          </cell>
        </row>
        <row r="213">
          <cell r="A213">
            <v>70402043</v>
          </cell>
          <cell r="B213" t="str">
            <v>부두교의 십자가</v>
          </cell>
          <cell r="C213" t="str">
            <v>종교유물</v>
          </cell>
          <cell r="D213">
            <v>16</v>
          </cell>
          <cell r="E213" t="str">
            <v>유물</v>
          </cell>
          <cell r="F213">
            <v>5</v>
          </cell>
          <cell r="G213" t="str">
            <v>B</v>
          </cell>
          <cell r="H213">
            <v>3</v>
          </cell>
        </row>
        <row r="214">
          <cell r="A214">
            <v>70402044</v>
          </cell>
          <cell r="B214" t="str">
            <v>부두교의 제단</v>
          </cell>
          <cell r="C214" t="str">
            <v>종교유물</v>
          </cell>
          <cell r="D214">
            <v>16</v>
          </cell>
          <cell r="E214" t="str">
            <v>유물</v>
          </cell>
          <cell r="F214">
            <v>5</v>
          </cell>
          <cell r="G214" t="str">
            <v>D</v>
          </cell>
          <cell r="H214">
            <v>1</v>
          </cell>
          <cell r="AW214" t="str">
            <v/>
          </cell>
          <cell r="BA214" t="str">
            <v>-</v>
          </cell>
        </row>
        <row r="215">
          <cell r="A215">
            <v>70402045</v>
          </cell>
          <cell r="B215" t="str">
            <v>분별선악보응경</v>
          </cell>
          <cell r="C215" t="str">
            <v>종교유물</v>
          </cell>
          <cell r="D215">
            <v>16</v>
          </cell>
          <cell r="E215" t="str">
            <v>유물</v>
          </cell>
          <cell r="F215">
            <v>5</v>
          </cell>
          <cell r="G215" t="str">
            <v>A</v>
          </cell>
          <cell r="H215">
            <v>4</v>
          </cell>
        </row>
        <row r="216">
          <cell r="A216">
            <v>70402046</v>
          </cell>
          <cell r="B216" t="str">
            <v>불공성취여래</v>
          </cell>
          <cell r="C216" t="str">
            <v>종교유물</v>
          </cell>
          <cell r="D216">
            <v>16</v>
          </cell>
          <cell r="E216" t="str">
            <v>유물</v>
          </cell>
          <cell r="F216">
            <v>5</v>
          </cell>
          <cell r="G216" t="str">
            <v>S</v>
          </cell>
          <cell r="H216">
            <v>5</v>
          </cell>
        </row>
        <row r="217">
          <cell r="A217">
            <v>70402047</v>
          </cell>
          <cell r="B217" t="str">
            <v>브라마상</v>
          </cell>
          <cell r="C217" t="str">
            <v>종교유물</v>
          </cell>
          <cell r="D217">
            <v>16</v>
          </cell>
          <cell r="E217" t="str">
            <v>유물</v>
          </cell>
          <cell r="F217">
            <v>5</v>
          </cell>
          <cell r="G217" t="str">
            <v>B</v>
          </cell>
          <cell r="H217">
            <v>3</v>
          </cell>
        </row>
        <row r="218">
          <cell r="A218">
            <v>70402048</v>
          </cell>
          <cell r="B218" t="str">
            <v>비라코차의 부조</v>
          </cell>
          <cell r="C218" t="str">
            <v>종교유물</v>
          </cell>
          <cell r="D218">
            <v>16</v>
          </cell>
          <cell r="E218" t="str">
            <v>유물</v>
          </cell>
          <cell r="F218">
            <v>5</v>
          </cell>
          <cell r="G218" t="str">
            <v>C</v>
          </cell>
          <cell r="H218">
            <v>2</v>
          </cell>
        </row>
        <row r="219">
          <cell r="A219">
            <v>70402049</v>
          </cell>
          <cell r="B219" t="str">
            <v>비블리오테케</v>
          </cell>
          <cell r="C219" t="str">
            <v>종교유물</v>
          </cell>
          <cell r="D219">
            <v>16</v>
          </cell>
          <cell r="E219" t="str">
            <v>유물</v>
          </cell>
          <cell r="F219">
            <v>5</v>
          </cell>
          <cell r="G219" t="str">
            <v>B</v>
          </cell>
          <cell r="H219">
            <v>3</v>
          </cell>
        </row>
        <row r="220">
          <cell r="A220">
            <v>70402050</v>
          </cell>
          <cell r="B220" t="str">
            <v>비슈누상</v>
          </cell>
          <cell r="C220" t="str">
            <v>종교유물</v>
          </cell>
          <cell r="D220">
            <v>16</v>
          </cell>
          <cell r="E220" t="str">
            <v>유물</v>
          </cell>
          <cell r="F220">
            <v>5</v>
          </cell>
          <cell r="G220" t="str">
            <v>A</v>
          </cell>
          <cell r="H220">
            <v>4</v>
          </cell>
        </row>
        <row r="221">
          <cell r="A221">
            <v>70402051</v>
          </cell>
          <cell r="B221" t="str">
            <v>사라스바티 조각상</v>
          </cell>
          <cell r="C221" t="str">
            <v>종교유물</v>
          </cell>
          <cell r="D221">
            <v>16</v>
          </cell>
          <cell r="E221" t="str">
            <v>유물</v>
          </cell>
          <cell r="F221">
            <v>5</v>
          </cell>
          <cell r="G221" t="str">
            <v>C</v>
          </cell>
          <cell r="H221">
            <v>2</v>
          </cell>
        </row>
        <row r="222">
          <cell r="A222">
            <v>70402052</v>
          </cell>
          <cell r="B222" t="str">
            <v>사마베다</v>
          </cell>
          <cell r="C222" t="str">
            <v>종교유물</v>
          </cell>
          <cell r="D222">
            <v>16</v>
          </cell>
          <cell r="E222" t="str">
            <v>유물</v>
          </cell>
          <cell r="F222">
            <v>5</v>
          </cell>
          <cell r="G222" t="str">
            <v>B</v>
          </cell>
          <cell r="H222">
            <v>3</v>
          </cell>
        </row>
        <row r="223">
          <cell r="A223">
            <v>70402053</v>
          </cell>
          <cell r="B223" t="str">
            <v>사해문서</v>
          </cell>
          <cell r="C223" t="str">
            <v>종교유물</v>
          </cell>
          <cell r="D223">
            <v>16</v>
          </cell>
          <cell r="E223" t="str">
            <v>유물</v>
          </cell>
          <cell r="F223">
            <v>5</v>
          </cell>
          <cell r="G223" t="str">
            <v>S</v>
          </cell>
          <cell r="H223">
            <v>5</v>
          </cell>
        </row>
        <row r="224">
          <cell r="A224">
            <v>70402054</v>
          </cell>
          <cell r="B224" t="str">
            <v>상좌부 불교의 불전</v>
          </cell>
          <cell r="C224" t="str">
            <v>종교유물</v>
          </cell>
          <cell r="D224">
            <v>16</v>
          </cell>
          <cell r="E224" t="str">
            <v>유물</v>
          </cell>
          <cell r="F224">
            <v>5</v>
          </cell>
          <cell r="G224" t="str">
            <v>C</v>
          </cell>
          <cell r="H224">
            <v>2</v>
          </cell>
        </row>
        <row r="225">
          <cell r="A225">
            <v>70402055</v>
          </cell>
          <cell r="B225" t="str">
            <v>석가모니 불상</v>
          </cell>
          <cell r="C225" t="str">
            <v>종교유물</v>
          </cell>
          <cell r="D225">
            <v>16</v>
          </cell>
          <cell r="E225" t="str">
            <v>유물</v>
          </cell>
          <cell r="F225">
            <v>5</v>
          </cell>
          <cell r="G225" t="str">
            <v>A</v>
          </cell>
          <cell r="H225">
            <v>4</v>
          </cell>
        </row>
        <row r="226">
          <cell r="A226">
            <v>70402056</v>
          </cell>
          <cell r="B226" t="str">
            <v>석가모니의 사리함</v>
          </cell>
          <cell r="C226" t="str">
            <v>종교유물</v>
          </cell>
          <cell r="D226">
            <v>16</v>
          </cell>
          <cell r="E226" t="str">
            <v>유물</v>
          </cell>
          <cell r="F226">
            <v>5</v>
          </cell>
          <cell r="G226" t="str">
            <v>S</v>
          </cell>
          <cell r="H226">
            <v>5</v>
          </cell>
        </row>
        <row r="227">
          <cell r="A227">
            <v>70402057</v>
          </cell>
          <cell r="B227" t="str">
            <v>석굴암 불상</v>
          </cell>
          <cell r="C227" t="str">
            <v>종교유물</v>
          </cell>
          <cell r="D227">
            <v>16</v>
          </cell>
          <cell r="E227" t="str">
            <v>유물</v>
          </cell>
          <cell r="F227">
            <v>5</v>
          </cell>
          <cell r="G227" t="str">
            <v>S</v>
          </cell>
          <cell r="H227">
            <v>5</v>
          </cell>
        </row>
        <row r="228">
          <cell r="A228" t="str">
            <v>#70402059</v>
          </cell>
          <cell r="B228" t="str">
            <v>성십자가</v>
          </cell>
          <cell r="C228" t="str">
            <v>종교유물</v>
          </cell>
          <cell r="D228">
            <v>16</v>
          </cell>
          <cell r="E228" t="str">
            <v>유물</v>
          </cell>
          <cell r="F228">
            <v>5</v>
          </cell>
          <cell r="G228" t="str">
            <v>S</v>
          </cell>
          <cell r="H228">
            <v>5</v>
          </cell>
        </row>
        <row r="229">
          <cell r="A229">
            <v>70402060</v>
          </cell>
          <cell r="B229" t="str">
            <v>성황신</v>
          </cell>
          <cell r="C229" t="str">
            <v>종교유물</v>
          </cell>
          <cell r="D229">
            <v>16</v>
          </cell>
          <cell r="E229" t="str">
            <v>유물</v>
          </cell>
          <cell r="F229">
            <v>5</v>
          </cell>
          <cell r="G229" t="str">
            <v>B</v>
          </cell>
          <cell r="H229">
            <v>3</v>
          </cell>
        </row>
        <row r="230">
          <cell r="A230">
            <v>70402061</v>
          </cell>
          <cell r="B230" t="str">
            <v>세라피스상</v>
          </cell>
          <cell r="C230" t="str">
            <v>종교유물</v>
          </cell>
          <cell r="D230">
            <v>16</v>
          </cell>
          <cell r="E230" t="str">
            <v>유물</v>
          </cell>
          <cell r="F230">
            <v>5</v>
          </cell>
          <cell r="G230" t="str">
            <v>D</v>
          </cell>
          <cell r="H230">
            <v>1</v>
          </cell>
          <cell r="AW230" t="str">
            <v/>
          </cell>
          <cell r="BA230" t="str">
            <v>-</v>
          </cell>
        </row>
        <row r="231">
          <cell r="A231">
            <v>70402062</v>
          </cell>
          <cell r="B231" t="str">
            <v>세미상</v>
          </cell>
          <cell r="C231" t="str">
            <v>종교유물</v>
          </cell>
          <cell r="D231">
            <v>16</v>
          </cell>
          <cell r="E231" t="str">
            <v>유물</v>
          </cell>
          <cell r="F231">
            <v>5</v>
          </cell>
          <cell r="G231" t="str">
            <v>S</v>
          </cell>
          <cell r="H231">
            <v>5</v>
          </cell>
        </row>
        <row r="232">
          <cell r="A232">
            <v>70402063</v>
          </cell>
          <cell r="B232" t="str">
            <v>소코상</v>
          </cell>
          <cell r="C232" t="str">
            <v>종교유물</v>
          </cell>
          <cell r="D232">
            <v>16</v>
          </cell>
          <cell r="E232" t="str">
            <v>유물</v>
          </cell>
          <cell r="F232">
            <v>5</v>
          </cell>
          <cell r="G232" t="str">
            <v>S</v>
          </cell>
          <cell r="H232">
            <v>5</v>
          </cell>
        </row>
        <row r="233">
          <cell r="A233">
            <v>70402064</v>
          </cell>
          <cell r="B233" t="str">
            <v>솔로몬의 반지</v>
          </cell>
          <cell r="C233" t="str">
            <v>보물</v>
          </cell>
          <cell r="D233">
            <v>18</v>
          </cell>
          <cell r="E233" t="str">
            <v>보물</v>
          </cell>
          <cell r="F233">
            <v>6</v>
          </cell>
          <cell r="G233" t="str">
            <v>S</v>
          </cell>
          <cell r="H233">
            <v>5</v>
          </cell>
        </row>
        <row r="234">
          <cell r="A234">
            <v>70402065</v>
          </cell>
          <cell r="B234" t="str">
            <v>수리야상</v>
          </cell>
          <cell r="C234" t="str">
            <v>종교유물</v>
          </cell>
          <cell r="D234">
            <v>16</v>
          </cell>
          <cell r="E234" t="str">
            <v>유물</v>
          </cell>
          <cell r="F234">
            <v>5</v>
          </cell>
          <cell r="G234" t="str">
            <v>C</v>
          </cell>
          <cell r="H234">
            <v>2</v>
          </cell>
        </row>
        <row r="235">
          <cell r="A235">
            <v>70402066</v>
          </cell>
          <cell r="B235" t="str">
            <v>수켈루스 신상</v>
          </cell>
          <cell r="C235" t="str">
            <v>종교유물</v>
          </cell>
          <cell r="D235">
            <v>16</v>
          </cell>
          <cell r="E235" t="str">
            <v>유물</v>
          </cell>
          <cell r="F235">
            <v>5</v>
          </cell>
          <cell r="G235" t="str">
            <v>D</v>
          </cell>
          <cell r="H235">
            <v>1</v>
          </cell>
        </row>
        <row r="236">
          <cell r="A236">
            <v>70402067</v>
          </cell>
          <cell r="B236" t="str">
            <v>스바로그의 부조</v>
          </cell>
          <cell r="C236" t="str">
            <v>종교유물</v>
          </cell>
          <cell r="D236">
            <v>16</v>
          </cell>
          <cell r="E236" t="str">
            <v>유물</v>
          </cell>
          <cell r="F236">
            <v>5</v>
          </cell>
          <cell r="G236" t="str">
            <v>C</v>
          </cell>
          <cell r="H236">
            <v>2</v>
          </cell>
        </row>
        <row r="237">
          <cell r="A237">
            <v>70402068</v>
          </cell>
          <cell r="B237" t="str">
            <v>시바상</v>
          </cell>
          <cell r="C237" t="str">
            <v>종교유물</v>
          </cell>
          <cell r="D237">
            <v>16</v>
          </cell>
          <cell r="E237" t="str">
            <v>유물</v>
          </cell>
          <cell r="F237">
            <v>5</v>
          </cell>
          <cell r="G237" t="str">
            <v>B</v>
          </cell>
          <cell r="H237">
            <v>3</v>
          </cell>
          <cell r="AW237" t="str">
            <v>특정 퀘스트(=)</v>
          </cell>
          <cell r="AY237" t="str">
            <v>밀란다 베르테 시나리오</v>
          </cell>
          <cell r="BA237" t="str">
            <v>밀란다 베르테07_03</v>
          </cell>
        </row>
        <row r="238">
          <cell r="A238">
            <v>70402069</v>
          </cell>
          <cell r="B238" t="str">
            <v>시우코아틀상</v>
          </cell>
          <cell r="C238" t="str">
            <v>종교유물</v>
          </cell>
          <cell r="D238">
            <v>16</v>
          </cell>
          <cell r="E238" t="str">
            <v>유물</v>
          </cell>
          <cell r="F238">
            <v>5</v>
          </cell>
          <cell r="G238" t="str">
            <v>B</v>
          </cell>
          <cell r="H238">
            <v>3</v>
          </cell>
        </row>
        <row r="239">
          <cell r="A239">
            <v>70402070</v>
          </cell>
          <cell r="B239" t="str">
            <v>시페 토텍 도자기상</v>
          </cell>
          <cell r="C239" t="str">
            <v>종교유물</v>
          </cell>
          <cell r="D239">
            <v>16</v>
          </cell>
          <cell r="E239" t="str">
            <v>유물</v>
          </cell>
          <cell r="F239">
            <v>5</v>
          </cell>
          <cell r="G239" t="str">
            <v>C</v>
          </cell>
          <cell r="H239">
            <v>2</v>
          </cell>
        </row>
        <row r="240">
          <cell r="A240">
            <v>70402071</v>
          </cell>
          <cell r="B240" t="str">
            <v>시페 토텍의 가면</v>
          </cell>
          <cell r="C240" t="str">
            <v>종교유물</v>
          </cell>
          <cell r="D240">
            <v>16</v>
          </cell>
          <cell r="E240" t="str">
            <v>유물</v>
          </cell>
          <cell r="F240">
            <v>5</v>
          </cell>
          <cell r="G240" t="str">
            <v>A</v>
          </cell>
          <cell r="H240">
            <v>4</v>
          </cell>
        </row>
        <row r="241">
          <cell r="A241">
            <v>70402072</v>
          </cell>
          <cell r="B241" t="str">
            <v>신통기</v>
          </cell>
          <cell r="C241" t="str">
            <v>종교유물</v>
          </cell>
          <cell r="D241">
            <v>16</v>
          </cell>
          <cell r="E241" t="str">
            <v>유물</v>
          </cell>
          <cell r="F241">
            <v>5</v>
          </cell>
          <cell r="G241" t="str">
            <v>C</v>
          </cell>
          <cell r="H241">
            <v>2</v>
          </cell>
        </row>
        <row r="242">
          <cell r="A242">
            <v>70402073</v>
          </cell>
          <cell r="B242" t="str">
            <v>십계</v>
          </cell>
          <cell r="C242" t="str">
            <v>종교유물</v>
          </cell>
          <cell r="D242">
            <v>16</v>
          </cell>
          <cell r="E242" t="str">
            <v>유물</v>
          </cell>
          <cell r="F242">
            <v>5</v>
          </cell>
          <cell r="G242" t="str">
            <v>S</v>
          </cell>
          <cell r="H242">
            <v>5</v>
          </cell>
        </row>
        <row r="243">
          <cell r="A243">
            <v>70402074</v>
          </cell>
          <cell r="B243" t="str">
            <v>아그니상</v>
          </cell>
          <cell r="C243" t="str">
            <v>종교유물</v>
          </cell>
          <cell r="D243">
            <v>16</v>
          </cell>
          <cell r="E243" t="str">
            <v>유물</v>
          </cell>
          <cell r="F243">
            <v>5</v>
          </cell>
          <cell r="G243" t="str">
            <v>C</v>
          </cell>
          <cell r="H243">
            <v>2</v>
          </cell>
        </row>
        <row r="244">
          <cell r="A244">
            <v>70402075</v>
          </cell>
          <cell r="B244" t="str">
            <v>아누비스 조각상</v>
          </cell>
          <cell r="C244" t="str">
            <v>종교유물</v>
          </cell>
          <cell r="D244">
            <v>16</v>
          </cell>
          <cell r="E244" t="str">
            <v>유물</v>
          </cell>
          <cell r="F244">
            <v>5</v>
          </cell>
          <cell r="G244" t="str">
            <v>A</v>
          </cell>
          <cell r="H244">
            <v>4</v>
          </cell>
        </row>
        <row r="245">
          <cell r="A245">
            <v>70402076</v>
          </cell>
          <cell r="B245" t="str">
            <v>아누케트상</v>
          </cell>
          <cell r="C245" t="str">
            <v>종교유물</v>
          </cell>
          <cell r="D245">
            <v>16</v>
          </cell>
          <cell r="E245" t="str">
            <v>유물</v>
          </cell>
          <cell r="F245">
            <v>5</v>
          </cell>
          <cell r="G245" t="str">
            <v>D</v>
          </cell>
          <cell r="H245">
            <v>1</v>
          </cell>
          <cell r="AW245" t="str">
            <v/>
          </cell>
          <cell r="BA245" t="str">
            <v>-</v>
          </cell>
        </row>
        <row r="246">
          <cell r="A246">
            <v>70402077</v>
          </cell>
          <cell r="B246" t="str">
            <v>아레스상</v>
          </cell>
          <cell r="C246" t="str">
            <v>종교유물</v>
          </cell>
          <cell r="D246">
            <v>16</v>
          </cell>
          <cell r="E246" t="str">
            <v>유물</v>
          </cell>
          <cell r="F246">
            <v>5</v>
          </cell>
          <cell r="G246" t="str">
            <v>B</v>
          </cell>
          <cell r="H246">
            <v>3</v>
          </cell>
        </row>
        <row r="247">
          <cell r="A247">
            <v>70402078</v>
          </cell>
          <cell r="B247" t="str">
            <v>아르고나우티카</v>
          </cell>
          <cell r="C247" t="str">
            <v>종교유물</v>
          </cell>
          <cell r="D247">
            <v>16</v>
          </cell>
          <cell r="E247" t="str">
            <v>유물</v>
          </cell>
          <cell r="F247">
            <v>5</v>
          </cell>
          <cell r="G247" t="str">
            <v>S</v>
          </cell>
          <cell r="H247">
            <v>5</v>
          </cell>
        </row>
        <row r="248">
          <cell r="A248">
            <v>70402079</v>
          </cell>
          <cell r="B248" t="str">
            <v>아르테미스 조각상</v>
          </cell>
          <cell r="C248" t="str">
            <v>종교유물</v>
          </cell>
          <cell r="D248">
            <v>16</v>
          </cell>
          <cell r="E248" t="str">
            <v>유물</v>
          </cell>
          <cell r="F248">
            <v>5</v>
          </cell>
          <cell r="G248" t="str">
            <v>B</v>
          </cell>
          <cell r="H248">
            <v>3</v>
          </cell>
        </row>
        <row r="249">
          <cell r="A249">
            <v>70402080</v>
          </cell>
          <cell r="B249" t="str">
            <v>아몬상</v>
          </cell>
          <cell r="C249" t="str">
            <v>종교유물</v>
          </cell>
          <cell r="D249">
            <v>16</v>
          </cell>
          <cell r="E249" t="str">
            <v>유물</v>
          </cell>
          <cell r="F249">
            <v>5</v>
          </cell>
          <cell r="G249" t="str">
            <v>A</v>
          </cell>
          <cell r="H249">
            <v>4</v>
          </cell>
        </row>
        <row r="250">
          <cell r="A250">
            <v>70402081</v>
          </cell>
          <cell r="B250" t="str">
            <v>아미타불</v>
          </cell>
          <cell r="C250" t="str">
            <v>종교유물</v>
          </cell>
          <cell r="D250">
            <v>16</v>
          </cell>
          <cell r="E250" t="str">
            <v>유물</v>
          </cell>
          <cell r="F250">
            <v>5</v>
          </cell>
          <cell r="G250" t="str">
            <v>B</v>
          </cell>
          <cell r="H250">
            <v>3</v>
          </cell>
        </row>
        <row r="251">
          <cell r="A251">
            <v>70402082</v>
          </cell>
          <cell r="B251" t="str">
            <v>아베스타</v>
          </cell>
          <cell r="C251" t="str">
            <v>종교유물</v>
          </cell>
          <cell r="D251">
            <v>16</v>
          </cell>
          <cell r="E251" t="str">
            <v>유물</v>
          </cell>
          <cell r="F251">
            <v>5</v>
          </cell>
          <cell r="G251" t="str">
            <v>A</v>
          </cell>
          <cell r="H251">
            <v>4</v>
          </cell>
        </row>
        <row r="252">
          <cell r="A252">
            <v>70402083</v>
          </cell>
          <cell r="B252" t="str">
            <v>아소카 석주</v>
          </cell>
          <cell r="C252" t="str">
            <v>종교유물</v>
          </cell>
          <cell r="D252">
            <v>16</v>
          </cell>
          <cell r="E252" t="str">
            <v>유물</v>
          </cell>
          <cell r="F252">
            <v>5</v>
          </cell>
          <cell r="G252" t="str">
            <v>S</v>
          </cell>
          <cell r="H252">
            <v>5</v>
          </cell>
        </row>
        <row r="253">
          <cell r="A253">
            <v>70402084</v>
          </cell>
          <cell r="B253" t="str">
            <v>아스타르테상</v>
          </cell>
          <cell r="C253" t="str">
            <v>종교유물</v>
          </cell>
          <cell r="D253">
            <v>16</v>
          </cell>
          <cell r="E253" t="str">
            <v>유물</v>
          </cell>
          <cell r="F253">
            <v>5</v>
          </cell>
          <cell r="G253" t="str">
            <v>B</v>
          </cell>
          <cell r="H253">
            <v>3</v>
          </cell>
        </row>
        <row r="254">
          <cell r="A254">
            <v>70402085</v>
          </cell>
          <cell r="B254" t="str">
            <v>아촉불</v>
          </cell>
          <cell r="C254" t="str">
            <v>종교유물</v>
          </cell>
          <cell r="D254">
            <v>16</v>
          </cell>
          <cell r="E254" t="str">
            <v>유물</v>
          </cell>
          <cell r="F254">
            <v>5</v>
          </cell>
          <cell r="G254" t="str">
            <v>B</v>
          </cell>
          <cell r="H254">
            <v>3</v>
          </cell>
        </row>
        <row r="255">
          <cell r="A255">
            <v>70402086</v>
          </cell>
          <cell r="B255" t="str">
            <v>아타르바베다</v>
          </cell>
          <cell r="C255" t="str">
            <v>종교유물</v>
          </cell>
          <cell r="D255">
            <v>16</v>
          </cell>
          <cell r="E255" t="str">
            <v>유물</v>
          </cell>
          <cell r="F255">
            <v>5</v>
          </cell>
          <cell r="G255" t="str">
            <v>B</v>
          </cell>
          <cell r="H255">
            <v>3</v>
          </cell>
        </row>
        <row r="256">
          <cell r="A256">
            <v>70402087</v>
          </cell>
          <cell r="B256" t="str">
            <v>아테나상</v>
          </cell>
          <cell r="C256" t="str">
            <v>종교유물</v>
          </cell>
          <cell r="D256">
            <v>16</v>
          </cell>
          <cell r="E256" t="str">
            <v>유물</v>
          </cell>
          <cell r="F256">
            <v>5</v>
          </cell>
          <cell r="G256" t="str">
            <v>C</v>
          </cell>
          <cell r="H256">
            <v>2</v>
          </cell>
        </row>
        <row r="257">
          <cell r="A257">
            <v>70402088</v>
          </cell>
          <cell r="B257" t="str">
            <v>아폴론상</v>
          </cell>
          <cell r="C257" t="str">
            <v>종교유물</v>
          </cell>
          <cell r="D257">
            <v>16</v>
          </cell>
          <cell r="E257" t="str">
            <v>유물</v>
          </cell>
          <cell r="F257">
            <v>5</v>
          </cell>
          <cell r="G257" t="str">
            <v>B</v>
          </cell>
          <cell r="H257">
            <v>3</v>
          </cell>
        </row>
        <row r="258">
          <cell r="A258">
            <v>70402089</v>
          </cell>
          <cell r="B258" t="str">
            <v>아프로디테 조각상</v>
          </cell>
          <cell r="C258" t="str">
            <v>종교유물</v>
          </cell>
          <cell r="D258">
            <v>16</v>
          </cell>
          <cell r="E258" t="str">
            <v>유물</v>
          </cell>
          <cell r="F258">
            <v>5</v>
          </cell>
          <cell r="G258" t="str">
            <v>B</v>
          </cell>
          <cell r="H258">
            <v>3</v>
          </cell>
          <cell r="AW258" t="str">
            <v>특정 퀘스트(=)</v>
          </cell>
          <cell r="AY258" t="str">
            <v>카탈리나 에란초 시나리오</v>
          </cell>
          <cell r="BA258" t="str">
            <v>카탈리나 에란초18B</v>
          </cell>
        </row>
        <row r="259">
          <cell r="A259">
            <v>70402090</v>
          </cell>
          <cell r="B259" t="str">
            <v>야주르베다</v>
          </cell>
          <cell r="C259" t="str">
            <v>종교유물</v>
          </cell>
          <cell r="D259">
            <v>16</v>
          </cell>
          <cell r="E259" t="str">
            <v>유물</v>
          </cell>
          <cell r="F259">
            <v>5</v>
          </cell>
          <cell r="G259" t="str">
            <v>B</v>
          </cell>
          <cell r="H259">
            <v>3</v>
          </cell>
        </row>
        <row r="260">
          <cell r="A260">
            <v>70402092</v>
          </cell>
          <cell r="B260" t="str">
            <v>언약의 궤</v>
          </cell>
          <cell r="C260" t="str">
            <v>종교유물</v>
          </cell>
          <cell r="D260">
            <v>16</v>
          </cell>
          <cell r="E260" t="str">
            <v>유물</v>
          </cell>
          <cell r="F260">
            <v>5</v>
          </cell>
          <cell r="G260" t="str">
            <v>A</v>
          </cell>
          <cell r="H260">
            <v>4</v>
          </cell>
        </row>
        <row r="261">
          <cell r="A261">
            <v>70402093</v>
          </cell>
          <cell r="B261" t="str">
            <v>에녹서</v>
          </cell>
          <cell r="C261" t="str">
            <v>종교유물</v>
          </cell>
          <cell r="D261">
            <v>16</v>
          </cell>
          <cell r="E261" t="str">
            <v>유물</v>
          </cell>
          <cell r="F261">
            <v>5</v>
          </cell>
          <cell r="G261" t="str">
            <v>D</v>
          </cell>
          <cell r="H261">
            <v>1</v>
          </cell>
          <cell r="AW261" t="str">
            <v/>
          </cell>
          <cell r="BA261" t="str">
            <v>-</v>
          </cell>
        </row>
        <row r="262">
          <cell r="A262">
            <v>70402094</v>
          </cell>
          <cell r="B262" t="str">
            <v>에수상</v>
          </cell>
          <cell r="C262" t="str">
            <v>종교유물</v>
          </cell>
          <cell r="D262">
            <v>16</v>
          </cell>
          <cell r="E262" t="str">
            <v>유물</v>
          </cell>
          <cell r="F262">
            <v>5</v>
          </cell>
          <cell r="G262" t="str">
            <v>A</v>
          </cell>
          <cell r="H262">
            <v>4</v>
          </cell>
        </row>
        <row r="263">
          <cell r="A263">
            <v>70402095</v>
          </cell>
          <cell r="B263" t="str">
            <v>에아의 부조</v>
          </cell>
          <cell r="C263" t="str">
            <v>종교유물</v>
          </cell>
          <cell r="D263">
            <v>16</v>
          </cell>
          <cell r="E263" t="str">
            <v>유물</v>
          </cell>
          <cell r="F263">
            <v>5</v>
          </cell>
          <cell r="G263" t="str">
            <v>A</v>
          </cell>
          <cell r="H263">
            <v>4</v>
          </cell>
        </row>
        <row r="264">
          <cell r="A264">
            <v>70402096</v>
          </cell>
          <cell r="B264" t="str">
            <v>에티엔의 지팡이</v>
          </cell>
          <cell r="C264" t="str">
            <v>보물</v>
          </cell>
          <cell r="D264">
            <v>18</v>
          </cell>
          <cell r="E264" t="str">
            <v>보물</v>
          </cell>
          <cell r="F264">
            <v>6</v>
          </cell>
          <cell r="G264" t="str">
            <v>C</v>
          </cell>
          <cell r="H264">
            <v>2</v>
          </cell>
        </row>
        <row r="265">
          <cell r="A265">
            <v>70402097</v>
          </cell>
          <cell r="B265" t="str">
            <v>오니안코폰상</v>
          </cell>
          <cell r="C265" t="str">
            <v>종교유물</v>
          </cell>
          <cell r="D265">
            <v>16</v>
          </cell>
          <cell r="E265" t="str">
            <v>유물</v>
          </cell>
          <cell r="F265">
            <v>5</v>
          </cell>
          <cell r="G265" t="str">
            <v>A</v>
          </cell>
          <cell r="H265">
            <v>4</v>
          </cell>
        </row>
        <row r="266">
          <cell r="A266">
            <v>70402098</v>
          </cell>
          <cell r="B266" t="str">
            <v>오뒤두아상</v>
          </cell>
          <cell r="C266" t="str">
            <v>종교유물</v>
          </cell>
          <cell r="D266">
            <v>16</v>
          </cell>
          <cell r="E266" t="str">
            <v>유물</v>
          </cell>
          <cell r="F266">
            <v>5</v>
          </cell>
          <cell r="G266" t="str">
            <v>D</v>
          </cell>
          <cell r="H266">
            <v>1</v>
          </cell>
        </row>
        <row r="267">
          <cell r="A267">
            <v>70402099</v>
          </cell>
          <cell r="B267" t="str">
            <v>오시리스상</v>
          </cell>
          <cell r="C267" t="str">
            <v>종교유물</v>
          </cell>
          <cell r="D267">
            <v>16</v>
          </cell>
          <cell r="E267" t="str">
            <v>유물</v>
          </cell>
          <cell r="F267">
            <v>5</v>
          </cell>
          <cell r="G267" t="str">
            <v>S</v>
          </cell>
          <cell r="H267">
            <v>5</v>
          </cell>
        </row>
        <row r="268">
          <cell r="A268">
            <v>70402100</v>
          </cell>
          <cell r="B268" t="str">
            <v>올로룬상</v>
          </cell>
          <cell r="C268" t="str">
            <v>종교유물</v>
          </cell>
          <cell r="D268">
            <v>16</v>
          </cell>
          <cell r="E268" t="str">
            <v>유물</v>
          </cell>
          <cell r="F268">
            <v>5</v>
          </cell>
          <cell r="G268" t="str">
            <v>B</v>
          </cell>
          <cell r="H268">
            <v>3</v>
          </cell>
        </row>
        <row r="269">
          <cell r="A269">
            <v>70402101</v>
          </cell>
          <cell r="B269" t="str">
            <v>옹중석</v>
          </cell>
          <cell r="C269" t="str">
            <v>종교유물</v>
          </cell>
          <cell r="D269">
            <v>16</v>
          </cell>
          <cell r="E269" t="str">
            <v>유물</v>
          </cell>
          <cell r="F269">
            <v>5</v>
          </cell>
          <cell r="G269" t="str">
            <v>D</v>
          </cell>
          <cell r="H269">
            <v>1</v>
          </cell>
          <cell r="AW269" t="str">
            <v/>
          </cell>
          <cell r="BA269" t="str">
            <v>-</v>
          </cell>
        </row>
        <row r="270">
          <cell r="A270">
            <v>70402102</v>
          </cell>
          <cell r="B270" t="str">
            <v>왓 프라시산펫</v>
          </cell>
          <cell r="C270" t="str">
            <v>종교 건축물</v>
          </cell>
          <cell r="D270">
            <v>14</v>
          </cell>
          <cell r="E270" t="str">
            <v>건축</v>
          </cell>
          <cell r="F270">
            <v>4</v>
          </cell>
          <cell r="G270" t="str">
            <v>C</v>
          </cell>
          <cell r="H270">
            <v>2</v>
          </cell>
          <cell r="AW270" t="str">
            <v>특정 직업 항해사 보유</v>
          </cell>
          <cell r="AY270" t="str">
            <v>고고학자</v>
          </cell>
          <cell r="BA270">
            <v>1</v>
          </cell>
        </row>
        <row r="271">
          <cell r="A271">
            <v>70402103</v>
          </cell>
          <cell r="B271" t="str">
            <v>우르남무 법전</v>
          </cell>
          <cell r="C271" t="str">
            <v>종교유물</v>
          </cell>
          <cell r="D271">
            <v>16</v>
          </cell>
          <cell r="E271" t="str">
            <v>유물</v>
          </cell>
          <cell r="F271">
            <v>5</v>
          </cell>
          <cell r="G271" t="str">
            <v>S</v>
          </cell>
          <cell r="H271">
            <v>5</v>
          </cell>
        </row>
        <row r="272">
          <cell r="A272">
            <v>70402104</v>
          </cell>
          <cell r="B272" t="str">
            <v>우샤스상</v>
          </cell>
          <cell r="C272" t="str">
            <v>종교유물</v>
          </cell>
          <cell r="D272">
            <v>16</v>
          </cell>
          <cell r="E272" t="str">
            <v>유물</v>
          </cell>
          <cell r="F272">
            <v>5</v>
          </cell>
          <cell r="G272" t="str">
            <v>C</v>
          </cell>
          <cell r="H272">
            <v>2</v>
          </cell>
        </row>
        <row r="273">
          <cell r="A273">
            <v>70402105</v>
          </cell>
          <cell r="B273" t="str">
            <v>우이칠로포츠틀리상</v>
          </cell>
          <cell r="C273" t="str">
            <v>종교유물</v>
          </cell>
          <cell r="D273">
            <v>16</v>
          </cell>
          <cell r="E273" t="str">
            <v>유물</v>
          </cell>
          <cell r="F273">
            <v>5</v>
          </cell>
          <cell r="G273" t="str">
            <v>C</v>
          </cell>
          <cell r="H273">
            <v>2</v>
          </cell>
        </row>
        <row r="274">
          <cell r="A274">
            <v>70402106</v>
          </cell>
          <cell r="B274" t="str">
            <v>우파니샤드</v>
          </cell>
          <cell r="C274" t="str">
            <v>종교유물</v>
          </cell>
          <cell r="D274">
            <v>16</v>
          </cell>
          <cell r="E274" t="str">
            <v>유물</v>
          </cell>
          <cell r="F274">
            <v>5</v>
          </cell>
          <cell r="G274" t="str">
            <v>S</v>
          </cell>
          <cell r="H274">
            <v>5</v>
          </cell>
        </row>
        <row r="275">
          <cell r="A275">
            <v>70402107</v>
          </cell>
          <cell r="B275" t="str">
            <v>운쿨룬쿨루상</v>
          </cell>
          <cell r="C275" t="str">
            <v>종교유물</v>
          </cell>
          <cell r="D275">
            <v>16</v>
          </cell>
          <cell r="E275" t="str">
            <v>유물</v>
          </cell>
          <cell r="F275">
            <v>5</v>
          </cell>
          <cell r="G275" t="str">
            <v>B</v>
          </cell>
          <cell r="H275">
            <v>3</v>
          </cell>
        </row>
        <row r="276">
          <cell r="A276">
            <v>70402108</v>
          </cell>
          <cell r="B276" t="str">
            <v>유마경</v>
          </cell>
          <cell r="C276" t="str">
            <v>종교유물</v>
          </cell>
          <cell r="D276">
            <v>16</v>
          </cell>
          <cell r="E276" t="str">
            <v>유물</v>
          </cell>
          <cell r="F276">
            <v>5</v>
          </cell>
          <cell r="G276" t="str">
            <v>C</v>
          </cell>
          <cell r="H276">
            <v>2</v>
          </cell>
        </row>
        <row r="277">
          <cell r="A277">
            <v>70402109</v>
          </cell>
          <cell r="B277" t="str">
            <v>유스티티아상</v>
          </cell>
          <cell r="C277" t="str">
            <v>종교유물</v>
          </cell>
          <cell r="D277">
            <v>16</v>
          </cell>
          <cell r="E277" t="str">
            <v>유물</v>
          </cell>
          <cell r="F277">
            <v>5</v>
          </cell>
          <cell r="G277" t="str">
            <v>A</v>
          </cell>
          <cell r="H277">
            <v>4</v>
          </cell>
        </row>
        <row r="278">
          <cell r="A278">
            <v>70402110</v>
          </cell>
          <cell r="B278" t="str">
            <v>응게워상</v>
          </cell>
          <cell r="C278" t="str">
            <v>종교유물</v>
          </cell>
          <cell r="D278">
            <v>16</v>
          </cell>
          <cell r="E278" t="str">
            <v>유물</v>
          </cell>
          <cell r="F278">
            <v>5</v>
          </cell>
          <cell r="G278" t="str">
            <v>B</v>
          </cell>
          <cell r="H278">
            <v>3</v>
          </cell>
        </row>
        <row r="279">
          <cell r="A279">
            <v>70402111</v>
          </cell>
          <cell r="B279" t="str">
            <v>이시스 조각상</v>
          </cell>
          <cell r="C279" t="str">
            <v>종교유물</v>
          </cell>
          <cell r="D279">
            <v>16</v>
          </cell>
          <cell r="E279" t="str">
            <v>유물</v>
          </cell>
          <cell r="F279">
            <v>5</v>
          </cell>
          <cell r="G279" t="str">
            <v>A</v>
          </cell>
          <cell r="H279">
            <v>4</v>
          </cell>
        </row>
        <row r="280">
          <cell r="A280">
            <v>70402112</v>
          </cell>
          <cell r="B280" t="str">
            <v>인드라상</v>
          </cell>
          <cell r="C280" t="str">
            <v>종교유물</v>
          </cell>
          <cell r="D280">
            <v>16</v>
          </cell>
          <cell r="E280" t="str">
            <v>유물</v>
          </cell>
          <cell r="F280">
            <v>5</v>
          </cell>
          <cell r="G280" t="str">
            <v>B</v>
          </cell>
          <cell r="H280">
            <v>3</v>
          </cell>
        </row>
        <row r="281">
          <cell r="A281">
            <v>70402113</v>
          </cell>
          <cell r="B281" t="str">
            <v>인안나상</v>
          </cell>
          <cell r="C281" t="str">
            <v>종교유물</v>
          </cell>
          <cell r="D281">
            <v>16</v>
          </cell>
          <cell r="E281" t="str">
            <v>유물</v>
          </cell>
          <cell r="F281">
            <v>5</v>
          </cell>
          <cell r="G281" t="str">
            <v>C</v>
          </cell>
          <cell r="H281">
            <v>2</v>
          </cell>
        </row>
        <row r="282">
          <cell r="A282">
            <v>70402114</v>
          </cell>
          <cell r="B282" t="str">
            <v>잉카 왕족의 미라</v>
          </cell>
          <cell r="C282" t="str">
            <v>종교유물</v>
          </cell>
          <cell r="D282">
            <v>16</v>
          </cell>
          <cell r="E282" t="str">
            <v>유물</v>
          </cell>
          <cell r="F282">
            <v>5</v>
          </cell>
          <cell r="G282" t="str">
            <v>S</v>
          </cell>
          <cell r="H282">
            <v>5</v>
          </cell>
        </row>
        <row r="283">
          <cell r="A283">
            <v>70402115</v>
          </cell>
          <cell r="B283" t="str">
            <v>재규어 전사의 가면</v>
          </cell>
          <cell r="C283" t="str">
            <v>종교유물</v>
          </cell>
          <cell r="D283">
            <v>16</v>
          </cell>
          <cell r="E283" t="str">
            <v>유물</v>
          </cell>
          <cell r="F283">
            <v>5</v>
          </cell>
          <cell r="G283" t="str">
            <v>B</v>
          </cell>
          <cell r="H283">
            <v>3</v>
          </cell>
          <cell r="AW283" t="str">
            <v/>
          </cell>
          <cell r="BA283" t="str">
            <v>-</v>
          </cell>
        </row>
        <row r="284">
          <cell r="A284">
            <v>70402116</v>
          </cell>
          <cell r="B284" t="str">
            <v>재규어 조각상</v>
          </cell>
          <cell r="C284" t="str">
            <v>종교유물</v>
          </cell>
          <cell r="D284">
            <v>16</v>
          </cell>
          <cell r="E284" t="str">
            <v>유물</v>
          </cell>
          <cell r="F284">
            <v>5</v>
          </cell>
          <cell r="G284" t="str">
            <v>B</v>
          </cell>
          <cell r="H284">
            <v>3</v>
          </cell>
        </row>
        <row r="285">
          <cell r="A285">
            <v>70402117</v>
          </cell>
          <cell r="B285" t="str">
            <v>제드 기둥 부적</v>
          </cell>
          <cell r="C285" t="str">
            <v>종교유물</v>
          </cell>
          <cell r="D285">
            <v>16</v>
          </cell>
          <cell r="E285" t="str">
            <v>유물</v>
          </cell>
          <cell r="F285">
            <v>5</v>
          </cell>
          <cell r="G285" t="str">
            <v>C</v>
          </cell>
          <cell r="H285">
            <v>2</v>
          </cell>
        </row>
        <row r="286">
          <cell r="A286">
            <v>70402118</v>
          </cell>
          <cell r="B286" t="str">
            <v>제우스상</v>
          </cell>
          <cell r="C286" t="str">
            <v>종교유물</v>
          </cell>
          <cell r="D286">
            <v>16</v>
          </cell>
          <cell r="E286" t="str">
            <v>유물</v>
          </cell>
          <cell r="F286">
            <v>5</v>
          </cell>
          <cell r="G286" t="str">
            <v>A</v>
          </cell>
          <cell r="H286">
            <v>4</v>
          </cell>
        </row>
        <row r="287">
          <cell r="A287">
            <v>70402119</v>
          </cell>
          <cell r="B287" t="str">
            <v>젤링 비석</v>
          </cell>
          <cell r="C287" t="str">
            <v>종교유물</v>
          </cell>
          <cell r="D287">
            <v>16</v>
          </cell>
          <cell r="E287" t="str">
            <v>유물</v>
          </cell>
          <cell r="F287">
            <v>5</v>
          </cell>
          <cell r="G287" t="str">
            <v>C</v>
          </cell>
          <cell r="H287">
            <v>2</v>
          </cell>
        </row>
        <row r="288">
          <cell r="A288">
            <v>70402120</v>
          </cell>
          <cell r="B288" t="str">
            <v>주천석</v>
          </cell>
          <cell r="C288" t="str">
            <v>종교유물</v>
          </cell>
          <cell r="D288">
            <v>16</v>
          </cell>
          <cell r="E288" t="str">
            <v>유물</v>
          </cell>
          <cell r="F288">
            <v>5</v>
          </cell>
          <cell r="G288" t="str">
            <v>C</v>
          </cell>
          <cell r="H288">
            <v>2</v>
          </cell>
        </row>
        <row r="289">
          <cell r="A289">
            <v>70402121</v>
          </cell>
          <cell r="B289" t="str">
            <v>중론</v>
          </cell>
          <cell r="C289" t="str">
            <v>종교유물</v>
          </cell>
          <cell r="D289">
            <v>16</v>
          </cell>
          <cell r="E289" t="str">
            <v>유물</v>
          </cell>
          <cell r="F289">
            <v>5</v>
          </cell>
          <cell r="G289" t="str">
            <v>D</v>
          </cell>
          <cell r="H289">
            <v>1</v>
          </cell>
          <cell r="AW289" t="str">
            <v/>
          </cell>
          <cell r="BA289" t="str">
            <v>-</v>
          </cell>
        </row>
        <row r="290">
          <cell r="A290">
            <v>70402122</v>
          </cell>
          <cell r="B290" t="str">
            <v>착상</v>
          </cell>
          <cell r="C290" t="str">
            <v>종교유물</v>
          </cell>
          <cell r="D290">
            <v>16</v>
          </cell>
          <cell r="E290" t="str">
            <v>유물</v>
          </cell>
          <cell r="F290">
            <v>5</v>
          </cell>
          <cell r="G290" t="str">
            <v>D</v>
          </cell>
          <cell r="H290">
            <v>1</v>
          </cell>
          <cell r="AW290" t="str">
            <v/>
          </cell>
          <cell r="BA290" t="str">
            <v>-</v>
          </cell>
        </row>
        <row r="291">
          <cell r="A291">
            <v>70402123</v>
          </cell>
          <cell r="B291" t="str">
            <v>창세기</v>
          </cell>
          <cell r="C291" t="str">
            <v>종교유물</v>
          </cell>
          <cell r="D291">
            <v>16</v>
          </cell>
          <cell r="E291" t="str">
            <v>유물</v>
          </cell>
          <cell r="F291">
            <v>5</v>
          </cell>
          <cell r="G291" t="str">
            <v>S</v>
          </cell>
          <cell r="H291">
            <v>5</v>
          </cell>
        </row>
        <row r="292">
          <cell r="A292">
            <v>70402124</v>
          </cell>
          <cell r="B292" t="str">
            <v>치나라트불상</v>
          </cell>
          <cell r="C292" t="str">
            <v>종교유물</v>
          </cell>
          <cell r="D292">
            <v>16</v>
          </cell>
          <cell r="E292" t="str">
            <v>유물</v>
          </cell>
          <cell r="F292">
            <v>5</v>
          </cell>
          <cell r="G292" t="str">
            <v>C</v>
          </cell>
          <cell r="H292">
            <v>2</v>
          </cell>
        </row>
        <row r="293">
          <cell r="A293">
            <v>70402125</v>
          </cell>
          <cell r="B293" t="str">
            <v>칠십인역 성서</v>
          </cell>
          <cell r="C293" t="str">
            <v>종교유물</v>
          </cell>
          <cell r="D293">
            <v>16</v>
          </cell>
          <cell r="E293" t="str">
            <v>유물</v>
          </cell>
          <cell r="F293">
            <v>5</v>
          </cell>
          <cell r="G293" t="str">
            <v>A</v>
          </cell>
          <cell r="H293">
            <v>4</v>
          </cell>
        </row>
        <row r="294">
          <cell r="A294">
            <v>70402126</v>
          </cell>
          <cell r="B294" t="str">
            <v>카날로아상</v>
          </cell>
          <cell r="C294" t="str">
            <v>종교유물</v>
          </cell>
          <cell r="D294">
            <v>16</v>
          </cell>
          <cell r="E294" t="str">
            <v>유물</v>
          </cell>
          <cell r="F294">
            <v>5</v>
          </cell>
          <cell r="G294" t="str">
            <v>S</v>
          </cell>
          <cell r="H294">
            <v>5</v>
          </cell>
        </row>
        <row r="295">
          <cell r="A295">
            <v>70402127</v>
          </cell>
          <cell r="B295" t="str">
            <v>카니슈카 왕의 사리함</v>
          </cell>
          <cell r="C295" t="str">
            <v>종교유물</v>
          </cell>
          <cell r="D295">
            <v>16</v>
          </cell>
          <cell r="E295" t="str">
            <v>유물</v>
          </cell>
          <cell r="F295">
            <v>5</v>
          </cell>
          <cell r="G295" t="str">
            <v>A</v>
          </cell>
          <cell r="H295">
            <v>4</v>
          </cell>
        </row>
        <row r="296">
          <cell r="A296">
            <v>70402128</v>
          </cell>
          <cell r="B296" t="str">
            <v>카마푸아아상</v>
          </cell>
          <cell r="C296" t="str">
            <v>종교유물</v>
          </cell>
          <cell r="D296">
            <v>16</v>
          </cell>
          <cell r="E296" t="str">
            <v>유물</v>
          </cell>
          <cell r="F296">
            <v>5</v>
          </cell>
          <cell r="G296" t="str">
            <v>A</v>
          </cell>
          <cell r="H296">
            <v>4</v>
          </cell>
        </row>
        <row r="297">
          <cell r="A297">
            <v>70402129</v>
          </cell>
          <cell r="B297" t="str">
            <v>카타콤</v>
          </cell>
          <cell r="C297" t="str">
            <v>종교 건축물</v>
          </cell>
          <cell r="D297">
            <v>14</v>
          </cell>
          <cell r="E297" t="str">
            <v>건축</v>
          </cell>
          <cell r="F297">
            <v>4</v>
          </cell>
          <cell r="G297" t="str">
            <v>D</v>
          </cell>
          <cell r="H297">
            <v>1</v>
          </cell>
          <cell r="AW297" t="str">
            <v/>
          </cell>
          <cell r="BA297" t="str">
            <v>-</v>
          </cell>
        </row>
        <row r="298">
          <cell r="A298">
            <v>70402130</v>
          </cell>
          <cell r="B298" t="str">
            <v>카타콤의 석판</v>
          </cell>
          <cell r="C298" t="str">
            <v>종교유물</v>
          </cell>
          <cell r="D298">
            <v>16</v>
          </cell>
          <cell r="E298" t="str">
            <v>유물</v>
          </cell>
          <cell r="F298">
            <v>5</v>
          </cell>
          <cell r="G298" t="str">
            <v>C</v>
          </cell>
          <cell r="H298">
            <v>2</v>
          </cell>
        </row>
        <row r="299">
          <cell r="A299">
            <v>70402131</v>
          </cell>
          <cell r="B299" t="str">
            <v>카파도키아 벽화</v>
          </cell>
          <cell r="C299" t="str">
            <v>종교유물</v>
          </cell>
          <cell r="D299">
            <v>16</v>
          </cell>
          <cell r="E299" t="str">
            <v>유물</v>
          </cell>
          <cell r="F299">
            <v>5</v>
          </cell>
          <cell r="G299" t="str">
            <v>A</v>
          </cell>
          <cell r="H299">
            <v>4</v>
          </cell>
        </row>
        <row r="300">
          <cell r="A300">
            <v>70402132</v>
          </cell>
          <cell r="B300" t="str">
            <v>타팍 야우리</v>
          </cell>
          <cell r="C300" t="str">
            <v>종교유물</v>
          </cell>
          <cell r="D300">
            <v>16</v>
          </cell>
          <cell r="E300" t="str">
            <v>유물</v>
          </cell>
          <cell r="F300">
            <v>5</v>
          </cell>
          <cell r="G300" t="str">
            <v>S</v>
          </cell>
          <cell r="H300">
            <v>5</v>
          </cell>
        </row>
        <row r="301">
          <cell r="A301">
            <v>70402134</v>
          </cell>
          <cell r="B301" t="str">
            <v>칼리상</v>
          </cell>
          <cell r="C301" t="str">
            <v>종교유물</v>
          </cell>
          <cell r="D301">
            <v>16</v>
          </cell>
          <cell r="E301" t="str">
            <v>유물</v>
          </cell>
          <cell r="F301">
            <v>5</v>
          </cell>
          <cell r="G301" t="str">
            <v>B</v>
          </cell>
          <cell r="H301">
            <v>3</v>
          </cell>
        </row>
        <row r="302">
          <cell r="A302">
            <v>70402135</v>
          </cell>
          <cell r="B302" t="str">
            <v>칼리의 부조</v>
          </cell>
          <cell r="C302" t="str">
            <v>종교유물</v>
          </cell>
          <cell r="D302">
            <v>16</v>
          </cell>
          <cell r="E302" t="str">
            <v>유물</v>
          </cell>
          <cell r="F302">
            <v>5</v>
          </cell>
          <cell r="G302" t="str">
            <v>C</v>
          </cell>
          <cell r="H302">
            <v>2</v>
          </cell>
        </row>
        <row r="303">
          <cell r="A303">
            <v>70402136</v>
          </cell>
          <cell r="B303" t="str">
            <v>케찰코아틀 조각상</v>
          </cell>
          <cell r="C303" t="str">
            <v>종교유물</v>
          </cell>
          <cell r="D303">
            <v>16</v>
          </cell>
          <cell r="E303" t="str">
            <v>유물</v>
          </cell>
          <cell r="F303">
            <v>5</v>
          </cell>
          <cell r="G303" t="str">
            <v>A</v>
          </cell>
          <cell r="H303">
            <v>4</v>
          </cell>
        </row>
        <row r="304">
          <cell r="A304">
            <v>70402137</v>
          </cell>
          <cell r="B304" t="str">
            <v>코코펠리의 벽화</v>
          </cell>
          <cell r="C304" t="str">
            <v>종교유물</v>
          </cell>
          <cell r="D304">
            <v>16</v>
          </cell>
          <cell r="E304" t="str">
            <v>유물</v>
          </cell>
          <cell r="F304">
            <v>5</v>
          </cell>
          <cell r="G304" t="str">
            <v>B</v>
          </cell>
          <cell r="H304">
            <v>3</v>
          </cell>
        </row>
        <row r="305">
          <cell r="A305">
            <v>70402138</v>
          </cell>
          <cell r="B305" t="str">
            <v>크눔상</v>
          </cell>
          <cell r="C305" t="str">
            <v>종교유물</v>
          </cell>
          <cell r="D305">
            <v>16</v>
          </cell>
          <cell r="E305" t="str">
            <v>유물</v>
          </cell>
          <cell r="F305">
            <v>5</v>
          </cell>
          <cell r="G305" t="str">
            <v>A</v>
          </cell>
          <cell r="H305">
            <v>4</v>
          </cell>
        </row>
        <row r="306">
          <cell r="A306">
            <v>70402139</v>
          </cell>
          <cell r="B306" t="str">
            <v>크리슈나상</v>
          </cell>
          <cell r="C306" t="str">
            <v>종교유물</v>
          </cell>
          <cell r="D306">
            <v>16</v>
          </cell>
          <cell r="E306" t="str">
            <v>유물</v>
          </cell>
          <cell r="F306">
            <v>5</v>
          </cell>
          <cell r="G306" t="str">
            <v>C</v>
          </cell>
          <cell r="H306">
            <v>2</v>
          </cell>
        </row>
        <row r="307">
          <cell r="A307">
            <v>70402140</v>
          </cell>
          <cell r="B307" t="str">
            <v>태극도설</v>
          </cell>
          <cell r="C307" t="str">
            <v>종교유물</v>
          </cell>
          <cell r="D307">
            <v>16</v>
          </cell>
          <cell r="E307" t="str">
            <v>유물</v>
          </cell>
          <cell r="F307">
            <v>5</v>
          </cell>
          <cell r="G307" t="str">
            <v>B</v>
          </cell>
          <cell r="H307">
            <v>3</v>
          </cell>
        </row>
        <row r="308">
          <cell r="A308">
            <v>70402141</v>
          </cell>
          <cell r="B308" t="str">
            <v>태양의 배</v>
          </cell>
          <cell r="C308" t="str">
            <v>종교유물</v>
          </cell>
          <cell r="D308">
            <v>16</v>
          </cell>
          <cell r="E308" t="str">
            <v>유물</v>
          </cell>
          <cell r="F308">
            <v>5</v>
          </cell>
          <cell r="G308" t="str">
            <v>S</v>
          </cell>
          <cell r="H308">
            <v>5</v>
          </cell>
        </row>
        <row r="309">
          <cell r="A309">
            <v>70402142</v>
          </cell>
          <cell r="B309" t="str">
            <v>태평청령서</v>
          </cell>
          <cell r="C309" t="str">
            <v>종교유물</v>
          </cell>
          <cell r="D309">
            <v>16</v>
          </cell>
          <cell r="E309" t="str">
            <v>유물</v>
          </cell>
          <cell r="F309">
            <v>5</v>
          </cell>
          <cell r="G309" t="str">
            <v>A</v>
          </cell>
          <cell r="H309">
            <v>4</v>
          </cell>
        </row>
        <row r="310">
          <cell r="A310">
            <v>70402143</v>
          </cell>
          <cell r="B310" t="str">
            <v>테스카틀리포카상</v>
          </cell>
          <cell r="C310" t="str">
            <v>종교유물</v>
          </cell>
          <cell r="D310">
            <v>16</v>
          </cell>
          <cell r="E310" t="str">
            <v>유물</v>
          </cell>
          <cell r="F310">
            <v>5</v>
          </cell>
          <cell r="G310" t="str">
            <v>B</v>
          </cell>
          <cell r="H310">
            <v>3</v>
          </cell>
        </row>
        <row r="311">
          <cell r="A311">
            <v>70402144</v>
          </cell>
          <cell r="B311" t="str">
            <v>템플기사단장의 갑옷</v>
          </cell>
          <cell r="C311" t="str">
            <v>종교유물</v>
          </cell>
          <cell r="D311">
            <v>16</v>
          </cell>
          <cell r="E311" t="str">
            <v>유물</v>
          </cell>
          <cell r="F311">
            <v>5</v>
          </cell>
          <cell r="G311" t="str">
            <v>A</v>
          </cell>
          <cell r="H311">
            <v>4</v>
          </cell>
          <cell r="AW311" t="str">
            <v>특정 퀘스트(=)</v>
          </cell>
          <cell r="AY311" t="str">
            <v>오랜 저주의 종결</v>
          </cell>
          <cell r="BA311">
            <v>3</v>
          </cell>
        </row>
        <row r="312">
          <cell r="A312">
            <v>70402145</v>
          </cell>
          <cell r="B312" t="str">
            <v>통곡의 벽</v>
          </cell>
          <cell r="C312" t="str">
            <v>종교유물</v>
          </cell>
          <cell r="D312">
            <v>16</v>
          </cell>
          <cell r="E312" t="str">
            <v>유물</v>
          </cell>
          <cell r="F312">
            <v>5</v>
          </cell>
          <cell r="G312" t="str">
            <v>S</v>
          </cell>
          <cell r="H312">
            <v>5</v>
          </cell>
        </row>
        <row r="313">
          <cell r="A313">
            <v>70402146</v>
          </cell>
          <cell r="B313" t="str">
            <v>트랄로크상</v>
          </cell>
          <cell r="C313" t="str">
            <v>종교유물</v>
          </cell>
          <cell r="D313">
            <v>16</v>
          </cell>
          <cell r="E313" t="str">
            <v>유물</v>
          </cell>
          <cell r="F313">
            <v>5</v>
          </cell>
          <cell r="G313" t="str">
            <v>B</v>
          </cell>
          <cell r="H313">
            <v>3</v>
          </cell>
        </row>
        <row r="314">
          <cell r="A314">
            <v>70402147</v>
          </cell>
          <cell r="B314" t="str">
            <v>파차마마상</v>
          </cell>
          <cell r="C314" t="str">
            <v>종교유물</v>
          </cell>
          <cell r="D314">
            <v>16</v>
          </cell>
          <cell r="E314" t="str">
            <v>유물</v>
          </cell>
          <cell r="F314">
            <v>5</v>
          </cell>
          <cell r="G314" t="str">
            <v>D</v>
          </cell>
          <cell r="H314">
            <v>1</v>
          </cell>
        </row>
        <row r="315">
          <cell r="A315">
            <v>70402148</v>
          </cell>
          <cell r="B315" t="str">
            <v>팔만대장경</v>
          </cell>
          <cell r="C315" t="str">
            <v>종교유물</v>
          </cell>
          <cell r="D315">
            <v>16</v>
          </cell>
          <cell r="E315" t="str">
            <v>유물</v>
          </cell>
          <cell r="F315">
            <v>5</v>
          </cell>
          <cell r="G315" t="str">
            <v>S</v>
          </cell>
          <cell r="H315">
            <v>5</v>
          </cell>
        </row>
        <row r="316">
          <cell r="A316">
            <v>70402149</v>
          </cell>
          <cell r="B316" t="str">
            <v>페룬의 목상</v>
          </cell>
          <cell r="C316" t="str">
            <v>종교유물</v>
          </cell>
          <cell r="D316">
            <v>16</v>
          </cell>
          <cell r="E316" t="str">
            <v>유물</v>
          </cell>
          <cell r="F316">
            <v>5</v>
          </cell>
          <cell r="G316" t="str">
            <v>B</v>
          </cell>
          <cell r="H316">
            <v>3</v>
          </cell>
        </row>
        <row r="317">
          <cell r="A317">
            <v>70402150</v>
          </cell>
          <cell r="B317" t="str">
            <v>펠레상</v>
          </cell>
          <cell r="C317" t="str">
            <v>종교유물</v>
          </cell>
          <cell r="D317">
            <v>16</v>
          </cell>
          <cell r="E317" t="str">
            <v>유물</v>
          </cell>
          <cell r="F317">
            <v>5</v>
          </cell>
          <cell r="G317" t="str">
            <v>B</v>
          </cell>
          <cell r="H317">
            <v>3</v>
          </cell>
        </row>
        <row r="318">
          <cell r="A318">
            <v>70402151</v>
          </cell>
          <cell r="B318" t="str">
            <v>포세이돈 조각상</v>
          </cell>
          <cell r="C318" t="str">
            <v>종교유물</v>
          </cell>
          <cell r="D318">
            <v>16</v>
          </cell>
          <cell r="E318" t="str">
            <v>유물</v>
          </cell>
          <cell r="F318">
            <v>5</v>
          </cell>
          <cell r="G318" t="str">
            <v>A</v>
          </cell>
          <cell r="H318">
            <v>4</v>
          </cell>
        </row>
        <row r="319">
          <cell r="A319">
            <v>70402152</v>
          </cell>
          <cell r="B319" t="str">
            <v>폴리아후상</v>
          </cell>
          <cell r="C319" t="str">
            <v>종교유물</v>
          </cell>
          <cell r="D319">
            <v>16</v>
          </cell>
          <cell r="E319" t="str">
            <v>유물</v>
          </cell>
          <cell r="F319">
            <v>5</v>
          </cell>
          <cell r="G319" t="str">
            <v>B</v>
          </cell>
          <cell r="H319">
            <v>3</v>
          </cell>
        </row>
        <row r="320">
          <cell r="A320">
            <v>70402153</v>
          </cell>
          <cell r="B320" t="str">
            <v>프로메테우스의 사슬</v>
          </cell>
          <cell r="C320" t="str">
            <v>종교유물</v>
          </cell>
          <cell r="D320">
            <v>16</v>
          </cell>
          <cell r="E320" t="str">
            <v>유물</v>
          </cell>
          <cell r="F320">
            <v>5</v>
          </cell>
          <cell r="G320" t="str">
            <v>A</v>
          </cell>
          <cell r="H320">
            <v>4</v>
          </cell>
        </row>
        <row r="321">
          <cell r="A321">
            <v>70402154</v>
          </cell>
          <cell r="B321" t="str">
            <v>하누만상</v>
          </cell>
          <cell r="C321" t="str">
            <v>종교유물</v>
          </cell>
          <cell r="D321">
            <v>16</v>
          </cell>
          <cell r="E321" t="str">
            <v>유물</v>
          </cell>
          <cell r="F321">
            <v>5</v>
          </cell>
          <cell r="G321" t="str">
            <v>C</v>
          </cell>
          <cell r="H321">
            <v>2</v>
          </cell>
        </row>
        <row r="322">
          <cell r="A322">
            <v>70402155</v>
          </cell>
          <cell r="B322" t="str">
            <v>하누만의 부조</v>
          </cell>
          <cell r="C322" t="str">
            <v>종교유물</v>
          </cell>
          <cell r="D322">
            <v>16</v>
          </cell>
          <cell r="E322" t="str">
            <v>유물</v>
          </cell>
          <cell r="F322">
            <v>5</v>
          </cell>
          <cell r="G322" t="str">
            <v>D</v>
          </cell>
          <cell r="H322">
            <v>1</v>
          </cell>
          <cell r="AW322" t="str">
            <v/>
          </cell>
          <cell r="BA322" t="str">
            <v>-</v>
          </cell>
        </row>
        <row r="323">
          <cell r="A323">
            <v>70402156</v>
          </cell>
          <cell r="B323" t="str">
            <v>하데스상</v>
          </cell>
          <cell r="C323" t="str">
            <v>종교유물</v>
          </cell>
          <cell r="D323">
            <v>16</v>
          </cell>
          <cell r="E323" t="str">
            <v>유물</v>
          </cell>
          <cell r="F323">
            <v>5</v>
          </cell>
          <cell r="G323" t="str">
            <v>A</v>
          </cell>
          <cell r="H323">
            <v>4</v>
          </cell>
        </row>
        <row r="324">
          <cell r="A324">
            <v>70402157</v>
          </cell>
          <cell r="B324" t="str">
            <v>하토르상</v>
          </cell>
          <cell r="C324" t="str">
            <v>종교유물</v>
          </cell>
          <cell r="D324">
            <v>16</v>
          </cell>
          <cell r="E324" t="str">
            <v>유물</v>
          </cell>
          <cell r="F324">
            <v>5</v>
          </cell>
          <cell r="G324" t="str">
            <v>A</v>
          </cell>
          <cell r="H324">
            <v>4</v>
          </cell>
        </row>
        <row r="325">
          <cell r="A325">
            <v>70402158</v>
          </cell>
          <cell r="B325" t="str">
            <v>하트 스카라베</v>
          </cell>
          <cell r="C325" t="str">
            <v>종교유물</v>
          </cell>
          <cell r="D325">
            <v>16</v>
          </cell>
          <cell r="E325" t="str">
            <v>유물</v>
          </cell>
          <cell r="F325">
            <v>5</v>
          </cell>
          <cell r="G325" t="str">
            <v>S</v>
          </cell>
          <cell r="H325">
            <v>5</v>
          </cell>
          <cell r="AW325" t="str">
            <v>특정 퀘스트(=)</v>
          </cell>
          <cell r="AY325" t="str">
            <v>영혼을 붙잡는 힘</v>
          </cell>
          <cell r="BA325">
            <v>3</v>
          </cell>
        </row>
        <row r="326">
          <cell r="A326">
            <v>70402160</v>
          </cell>
          <cell r="B326" t="str">
            <v>헤라 조각상</v>
          </cell>
          <cell r="C326" t="str">
            <v>종교유물</v>
          </cell>
          <cell r="D326">
            <v>16</v>
          </cell>
          <cell r="E326" t="str">
            <v>유물</v>
          </cell>
          <cell r="F326">
            <v>5</v>
          </cell>
          <cell r="G326" t="str">
            <v>B</v>
          </cell>
          <cell r="H326">
            <v>3</v>
          </cell>
        </row>
        <row r="327">
          <cell r="A327">
            <v>70402161</v>
          </cell>
          <cell r="B327" t="str">
            <v>헤르메스상</v>
          </cell>
          <cell r="C327" t="str">
            <v>종교유물</v>
          </cell>
          <cell r="D327">
            <v>16</v>
          </cell>
          <cell r="E327" t="str">
            <v>유물</v>
          </cell>
          <cell r="F327">
            <v>5</v>
          </cell>
          <cell r="G327" t="str">
            <v>C</v>
          </cell>
          <cell r="H327">
            <v>2</v>
          </cell>
        </row>
        <row r="328">
          <cell r="A328">
            <v>70402162</v>
          </cell>
          <cell r="B328" t="str">
            <v>헤스티아상</v>
          </cell>
          <cell r="C328" t="str">
            <v>종교유물</v>
          </cell>
          <cell r="D328">
            <v>16</v>
          </cell>
          <cell r="E328" t="str">
            <v>유물</v>
          </cell>
          <cell r="F328">
            <v>5</v>
          </cell>
          <cell r="G328" t="str">
            <v>C</v>
          </cell>
          <cell r="H328">
            <v>2</v>
          </cell>
        </row>
        <row r="329">
          <cell r="A329">
            <v>70402163</v>
          </cell>
          <cell r="B329" t="str">
            <v>헤파이스토스상</v>
          </cell>
          <cell r="C329" t="str">
            <v>종교유물</v>
          </cell>
          <cell r="D329">
            <v>16</v>
          </cell>
          <cell r="E329" t="str">
            <v>유물</v>
          </cell>
          <cell r="F329">
            <v>5</v>
          </cell>
          <cell r="G329" t="str">
            <v>C</v>
          </cell>
          <cell r="H329">
            <v>2</v>
          </cell>
        </row>
        <row r="330">
          <cell r="A330">
            <v>70402164</v>
          </cell>
          <cell r="B330" t="str">
            <v>현계론</v>
          </cell>
          <cell r="C330" t="str">
            <v>종교유물</v>
          </cell>
          <cell r="D330">
            <v>16</v>
          </cell>
          <cell r="E330" t="str">
            <v>유물</v>
          </cell>
          <cell r="F330">
            <v>5</v>
          </cell>
          <cell r="G330" t="str">
            <v>C</v>
          </cell>
          <cell r="H330">
            <v>2</v>
          </cell>
        </row>
        <row r="331">
          <cell r="A331">
            <v>70402165</v>
          </cell>
          <cell r="B331" t="str">
            <v>호루스상</v>
          </cell>
          <cell r="C331" t="str">
            <v>종교유물</v>
          </cell>
          <cell r="D331">
            <v>16</v>
          </cell>
          <cell r="E331" t="str">
            <v>유물</v>
          </cell>
          <cell r="F331">
            <v>5</v>
          </cell>
          <cell r="G331" t="str">
            <v>S</v>
          </cell>
          <cell r="H331">
            <v>5</v>
          </cell>
        </row>
        <row r="332">
          <cell r="A332">
            <v>70402167</v>
          </cell>
          <cell r="B332" t="str">
            <v>화엄경</v>
          </cell>
          <cell r="C332" t="str">
            <v>종교유물</v>
          </cell>
          <cell r="D332">
            <v>16</v>
          </cell>
          <cell r="E332" t="str">
            <v>유물</v>
          </cell>
          <cell r="F332">
            <v>5</v>
          </cell>
          <cell r="G332" t="str">
            <v>B</v>
          </cell>
          <cell r="H332">
            <v>3</v>
          </cell>
        </row>
        <row r="333">
          <cell r="A333">
            <v>70403000</v>
          </cell>
          <cell r="B333" t="str">
            <v>가시연꽃</v>
          </cell>
          <cell r="C333" t="str">
            <v>쌍자엽</v>
          </cell>
          <cell r="D333">
            <v>11</v>
          </cell>
          <cell r="E333" t="str">
            <v>식물</v>
          </cell>
          <cell r="F333">
            <v>3</v>
          </cell>
          <cell r="G333" t="str">
            <v>B</v>
          </cell>
          <cell r="H333">
            <v>3</v>
          </cell>
        </row>
        <row r="334">
          <cell r="A334">
            <v>70403001</v>
          </cell>
          <cell r="B334" t="str">
            <v>가지복수초</v>
          </cell>
          <cell r="C334" t="str">
            <v>쌍자엽</v>
          </cell>
          <cell r="D334">
            <v>11</v>
          </cell>
          <cell r="E334" t="str">
            <v>식물</v>
          </cell>
          <cell r="F334">
            <v>3</v>
          </cell>
          <cell r="G334" t="str">
            <v>A</v>
          </cell>
          <cell r="H334">
            <v>4</v>
          </cell>
        </row>
        <row r="335">
          <cell r="A335">
            <v>70403002</v>
          </cell>
          <cell r="B335" t="str">
            <v>갈란투스</v>
          </cell>
          <cell r="C335" t="str">
            <v>단자엽</v>
          </cell>
          <cell r="D335">
            <v>10</v>
          </cell>
          <cell r="E335" t="str">
            <v>식물</v>
          </cell>
          <cell r="F335">
            <v>3</v>
          </cell>
          <cell r="G335" t="str">
            <v>C</v>
          </cell>
          <cell r="H335">
            <v>2</v>
          </cell>
        </row>
        <row r="336">
          <cell r="A336">
            <v>70403003</v>
          </cell>
          <cell r="B336" t="str">
            <v>개나리</v>
          </cell>
          <cell r="C336" t="str">
            <v>쌍자엽</v>
          </cell>
          <cell r="D336">
            <v>11</v>
          </cell>
          <cell r="E336" t="str">
            <v>식물</v>
          </cell>
          <cell r="F336">
            <v>3</v>
          </cell>
          <cell r="G336" t="str">
            <v>C</v>
          </cell>
          <cell r="H336">
            <v>2</v>
          </cell>
        </row>
        <row r="337">
          <cell r="A337">
            <v>70403004</v>
          </cell>
          <cell r="B337" t="str">
            <v>개미취</v>
          </cell>
          <cell r="C337" t="str">
            <v>쌍자엽</v>
          </cell>
          <cell r="D337">
            <v>11</v>
          </cell>
          <cell r="E337" t="str">
            <v>식물</v>
          </cell>
          <cell r="F337">
            <v>3</v>
          </cell>
          <cell r="G337" t="str">
            <v>S</v>
          </cell>
          <cell r="H337">
            <v>5</v>
          </cell>
        </row>
        <row r="338">
          <cell r="A338">
            <v>70403005</v>
          </cell>
          <cell r="B338" t="str">
            <v>개양귀비</v>
          </cell>
          <cell r="C338" t="str">
            <v>쌍자엽</v>
          </cell>
          <cell r="D338">
            <v>11</v>
          </cell>
          <cell r="E338" t="str">
            <v>식물</v>
          </cell>
          <cell r="F338">
            <v>3</v>
          </cell>
          <cell r="G338" t="str">
            <v>C</v>
          </cell>
          <cell r="H338">
            <v>2</v>
          </cell>
        </row>
        <row r="339">
          <cell r="A339">
            <v>70403006</v>
          </cell>
          <cell r="B339" t="str">
            <v>고사백합</v>
          </cell>
          <cell r="C339" t="str">
            <v>단자엽</v>
          </cell>
          <cell r="D339">
            <v>10</v>
          </cell>
          <cell r="E339" t="str">
            <v>식물</v>
          </cell>
          <cell r="F339">
            <v>3</v>
          </cell>
          <cell r="G339" t="str">
            <v>D</v>
          </cell>
          <cell r="H339">
            <v>1</v>
          </cell>
          <cell r="AW339" t="str">
            <v/>
          </cell>
          <cell r="BA339" t="str">
            <v>-</v>
          </cell>
        </row>
        <row r="340">
          <cell r="A340">
            <v>70403007</v>
          </cell>
          <cell r="B340" t="str">
            <v>고추나물</v>
          </cell>
          <cell r="C340" t="str">
            <v>쌍자엽</v>
          </cell>
          <cell r="D340">
            <v>11</v>
          </cell>
          <cell r="E340" t="str">
            <v>식물</v>
          </cell>
          <cell r="F340">
            <v>3</v>
          </cell>
          <cell r="G340" t="str">
            <v>B</v>
          </cell>
          <cell r="H340">
            <v>3</v>
          </cell>
        </row>
        <row r="341">
          <cell r="A341">
            <v>70403008</v>
          </cell>
          <cell r="B341" t="str">
            <v>과라나</v>
          </cell>
          <cell r="C341" t="str">
            <v>쌍자엽</v>
          </cell>
          <cell r="D341">
            <v>11</v>
          </cell>
          <cell r="E341" t="str">
            <v>식물</v>
          </cell>
          <cell r="F341">
            <v>3</v>
          </cell>
          <cell r="G341" t="str">
            <v>B</v>
          </cell>
          <cell r="H341">
            <v>3</v>
          </cell>
        </row>
        <row r="342">
          <cell r="A342">
            <v>70403009</v>
          </cell>
          <cell r="B342" t="str">
            <v>구아바</v>
          </cell>
          <cell r="C342" t="str">
            <v>쌍자엽</v>
          </cell>
          <cell r="D342">
            <v>11</v>
          </cell>
          <cell r="E342" t="str">
            <v>식물</v>
          </cell>
          <cell r="F342">
            <v>3</v>
          </cell>
          <cell r="G342" t="str">
            <v>B</v>
          </cell>
          <cell r="H342">
            <v>3</v>
          </cell>
        </row>
        <row r="343">
          <cell r="A343">
            <v>70403010</v>
          </cell>
          <cell r="B343" t="str">
            <v>군자란</v>
          </cell>
          <cell r="C343" t="str">
            <v>단자엽</v>
          </cell>
          <cell r="D343">
            <v>10</v>
          </cell>
          <cell r="E343" t="str">
            <v>식물</v>
          </cell>
          <cell r="F343">
            <v>3</v>
          </cell>
          <cell r="G343" t="str">
            <v>D</v>
          </cell>
          <cell r="H343">
            <v>1</v>
          </cell>
          <cell r="AW343" t="str">
            <v/>
          </cell>
          <cell r="BA343" t="str">
            <v>-</v>
          </cell>
        </row>
        <row r="344">
          <cell r="A344">
            <v>70403011</v>
          </cell>
          <cell r="B344" t="str">
            <v>그레빌레아</v>
          </cell>
          <cell r="C344" t="str">
            <v>쌍자엽</v>
          </cell>
          <cell r="D344">
            <v>11</v>
          </cell>
          <cell r="E344" t="str">
            <v>식물</v>
          </cell>
          <cell r="F344">
            <v>3</v>
          </cell>
          <cell r="G344" t="str">
            <v>B</v>
          </cell>
          <cell r="H344">
            <v>3</v>
          </cell>
        </row>
        <row r="345">
          <cell r="A345">
            <v>70403012</v>
          </cell>
          <cell r="B345" t="str">
            <v>극락조화</v>
          </cell>
          <cell r="C345" t="str">
            <v>쌍자엽</v>
          </cell>
          <cell r="D345">
            <v>11</v>
          </cell>
          <cell r="E345" t="str">
            <v>식물</v>
          </cell>
          <cell r="F345">
            <v>3</v>
          </cell>
          <cell r="G345" t="str">
            <v>B</v>
          </cell>
          <cell r="H345">
            <v>3</v>
          </cell>
        </row>
        <row r="346">
          <cell r="A346">
            <v>70403013</v>
          </cell>
          <cell r="B346" t="str">
            <v>금강제비꽃</v>
          </cell>
          <cell r="C346" t="str">
            <v>쌍자엽</v>
          </cell>
          <cell r="D346">
            <v>11</v>
          </cell>
          <cell r="E346" t="str">
            <v>식물</v>
          </cell>
          <cell r="F346">
            <v>3</v>
          </cell>
          <cell r="G346" t="str">
            <v>A</v>
          </cell>
          <cell r="H346">
            <v>4</v>
          </cell>
        </row>
        <row r="347">
          <cell r="A347">
            <v>70403014</v>
          </cell>
          <cell r="B347" t="str">
            <v>금사슬나무</v>
          </cell>
          <cell r="C347" t="str">
            <v>쌍자엽</v>
          </cell>
          <cell r="D347">
            <v>11</v>
          </cell>
          <cell r="E347" t="str">
            <v>식물</v>
          </cell>
          <cell r="F347">
            <v>3</v>
          </cell>
          <cell r="G347" t="str">
            <v>C</v>
          </cell>
          <cell r="H347">
            <v>2</v>
          </cell>
        </row>
        <row r="348">
          <cell r="A348">
            <v>70403015</v>
          </cell>
          <cell r="B348" t="str">
            <v>꽃산딸나무</v>
          </cell>
          <cell r="C348" t="str">
            <v>쌍자엽</v>
          </cell>
          <cell r="D348">
            <v>11</v>
          </cell>
          <cell r="E348" t="str">
            <v>식물</v>
          </cell>
          <cell r="F348">
            <v>3</v>
          </cell>
          <cell r="G348" t="str">
            <v>A</v>
          </cell>
          <cell r="H348">
            <v>4</v>
          </cell>
        </row>
        <row r="349">
          <cell r="A349">
            <v>70403016</v>
          </cell>
          <cell r="B349" t="str">
            <v>끈끈이주걱</v>
          </cell>
          <cell r="C349" t="str">
            <v>쌍자엽</v>
          </cell>
          <cell r="D349">
            <v>11</v>
          </cell>
          <cell r="E349" t="str">
            <v>식물</v>
          </cell>
          <cell r="F349">
            <v>3</v>
          </cell>
          <cell r="G349" t="str">
            <v>A</v>
          </cell>
          <cell r="H349">
            <v>4</v>
          </cell>
        </row>
        <row r="350">
          <cell r="A350">
            <v>70403017</v>
          </cell>
          <cell r="B350" t="str">
            <v>네펜테스</v>
          </cell>
          <cell r="C350" t="str">
            <v>쌍자엽</v>
          </cell>
          <cell r="D350">
            <v>11</v>
          </cell>
          <cell r="E350" t="str">
            <v>식물</v>
          </cell>
          <cell r="F350">
            <v>3</v>
          </cell>
          <cell r="G350" t="str">
            <v>S</v>
          </cell>
          <cell r="H350">
            <v>5</v>
          </cell>
        </row>
        <row r="351">
          <cell r="A351">
            <v>70403018</v>
          </cell>
          <cell r="B351" t="str">
            <v>노랑제비꽃</v>
          </cell>
          <cell r="C351" t="str">
            <v>쌍자엽</v>
          </cell>
          <cell r="D351">
            <v>11</v>
          </cell>
          <cell r="E351" t="str">
            <v>식물</v>
          </cell>
          <cell r="F351">
            <v>3</v>
          </cell>
          <cell r="G351" t="str">
            <v>A</v>
          </cell>
          <cell r="H351">
            <v>4</v>
          </cell>
        </row>
        <row r="352">
          <cell r="A352">
            <v>70403019</v>
          </cell>
          <cell r="B352" t="str">
            <v>다마스크 장미</v>
          </cell>
          <cell r="C352" t="str">
            <v>쌍자엽</v>
          </cell>
          <cell r="D352">
            <v>11</v>
          </cell>
          <cell r="E352" t="str">
            <v>식물</v>
          </cell>
          <cell r="F352">
            <v>3</v>
          </cell>
          <cell r="G352" t="str">
            <v>S</v>
          </cell>
          <cell r="H352">
            <v>5</v>
          </cell>
        </row>
        <row r="353">
          <cell r="A353">
            <v>70403020</v>
          </cell>
          <cell r="B353" t="str">
            <v>단풍나무</v>
          </cell>
          <cell r="C353" t="str">
            <v>쌍자엽</v>
          </cell>
          <cell r="D353">
            <v>11</v>
          </cell>
          <cell r="E353" t="str">
            <v>식물</v>
          </cell>
          <cell r="F353">
            <v>3</v>
          </cell>
          <cell r="G353" t="str">
            <v>A</v>
          </cell>
          <cell r="H353">
            <v>4</v>
          </cell>
        </row>
        <row r="354">
          <cell r="A354">
            <v>70403021</v>
          </cell>
          <cell r="B354" t="str">
            <v>달래</v>
          </cell>
          <cell r="C354" t="str">
            <v>단자엽</v>
          </cell>
          <cell r="D354">
            <v>10</v>
          </cell>
          <cell r="E354" t="str">
            <v>식물</v>
          </cell>
          <cell r="F354">
            <v>3</v>
          </cell>
          <cell r="G354" t="str">
            <v>C</v>
          </cell>
          <cell r="H354">
            <v>2</v>
          </cell>
        </row>
        <row r="355">
          <cell r="A355">
            <v>70403022</v>
          </cell>
          <cell r="B355" t="str">
            <v>달리아</v>
          </cell>
          <cell r="C355" t="str">
            <v>쌍자엽</v>
          </cell>
          <cell r="D355">
            <v>11</v>
          </cell>
          <cell r="E355" t="str">
            <v>식물</v>
          </cell>
          <cell r="F355">
            <v>3</v>
          </cell>
          <cell r="G355" t="str">
            <v>A</v>
          </cell>
          <cell r="H355">
            <v>4</v>
          </cell>
        </row>
        <row r="356">
          <cell r="A356">
            <v>70403023</v>
          </cell>
          <cell r="B356" t="str">
            <v>다리다 모감주나무</v>
          </cell>
          <cell r="C356" t="str">
            <v>쌍자엽</v>
          </cell>
          <cell r="D356">
            <v>11</v>
          </cell>
          <cell r="E356" t="str">
            <v>식물</v>
          </cell>
          <cell r="F356">
            <v>3</v>
          </cell>
          <cell r="G356" t="str">
            <v>B</v>
          </cell>
          <cell r="H356">
            <v>3</v>
          </cell>
        </row>
        <row r="357">
          <cell r="A357">
            <v>70403025</v>
          </cell>
          <cell r="B357" t="str">
            <v>대회향</v>
          </cell>
          <cell r="C357" t="str">
            <v>쌍자엽</v>
          </cell>
          <cell r="D357">
            <v>11</v>
          </cell>
          <cell r="E357" t="str">
            <v>식물</v>
          </cell>
          <cell r="F357">
            <v>3</v>
          </cell>
          <cell r="G357" t="str">
            <v>B</v>
          </cell>
          <cell r="H357">
            <v>3</v>
          </cell>
        </row>
        <row r="358">
          <cell r="A358">
            <v>70403026</v>
          </cell>
          <cell r="B358" t="str">
            <v>데이지</v>
          </cell>
          <cell r="C358" t="str">
            <v>쌍자엽</v>
          </cell>
          <cell r="D358">
            <v>11</v>
          </cell>
          <cell r="E358" t="str">
            <v>식물</v>
          </cell>
          <cell r="F358">
            <v>3</v>
          </cell>
          <cell r="G358" t="str">
            <v>C</v>
          </cell>
          <cell r="H358">
            <v>2</v>
          </cell>
        </row>
        <row r="359">
          <cell r="A359">
            <v>70403027</v>
          </cell>
          <cell r="B359" t="str">
            <v>도라지</v>
          </cell>
          <cell r="C359" t="str">
            <v>쌍자엽</v>
          </cell>
          <cell r="D359">
            <v>11</v>
          </cell>
          <cell r="E359" t="str">
            <v>식물</v>
          </cell>
          <cell r="F359">
            <v>3</v>
          </cell>
          <cell r="G359" t="str">
            <v>B</v>
          </cell>
          <cell r="H359">
            <v>3</v>
          </cell>
        </row>
        <row r="360">
          <cell r="A360">
            <v>70403028</v>
          </cell>
          <cell r="B360" t="str">
            <v>도르스테니아 포에티다</v>
          </cell>
          <cell r="C360" t="str">
            <v>쌍자엽</v>
          </cell>
          <cell r="D360">
            <v>11</v>
          </cell>
          <cell r="E360" t="str">
            <v>식물</v>
          </cell>
          <cell r="F360">
            <v>3</v>
          </cell>
          <cell r="G360" t="str">
            <v>B</v>
          </cell>
          <cell r="H360">
            <v>3</v>
          </cell>
        </row>
        <row r="361">
          <cell r="A361">
            <v>70403029</v>
          </cell>
          <cell r="B361" t="str">
            <v>루드베키아</v>
          </cell>
          <cell r="C361" t="str">
            <v>쌍자엽</v>
          </cell>
          <cell r="D361">
            <v>11</v>
          </cell>
          <cell r="E361" t="str">
            <v>식물</v>
          </cell>
          <cell r="F361">
            <v>3</v>
          </cell>
          <cell r="G361" t="str">
            <v>B</v>
          </cell>
          <cell r="H361">
            <v>3</v>
          </cell>
        </row>
        <row r="362">
          <cell r="A362">
            <v>70403030</v>
          </cell>
          <cell r="B362" t="str">
            <v>마가목</v>
          </cell>
          <cell r="C362" t="str">
            <v>쌍자엽</v>
          </cell>
          <cell r="D362">
            <v>11</v>
          </cell>
          <cell r="E362" t="str">
            <v>식물</v>
          </cell>
          <cell r="F362">
            <v>3</v>
          </cell>
          <cell r="G362" t="str">
            <v>A</v>
          </cell>
          <cell r="H362">
            <v>4</v>
          </cell>
        </row>
        <row r="363">
          <cell r="A363">
            <v>70403032</v>
          </cell>
          <cell r="B363" t="str">
            <v>마돈나 백합</v>
          </cell>
          <cell r="C363" t="str">
            <v>단자엽</v>
          </cell>
          <cell r="D363">
            <v>10</v>
          </cell>
          <cell r="E363" t="str">
            <v>식물</v>
          </cell>
          <cell r="F363">
            <v>3</v>
          </cell>
          <cell r="G363" t="str">
            <v>S</v>
          </cell>
          <cell r="H363">
            <v>5</v>
          </cell>
        </row>
        <row r="364">
          <cell r="A364">
            <v>70403033</v>
          </cell>
          <cell r="B364" t="str">
            <v>말레세르비아</v>
          </cell>
          <cell r="C364" t="str">
            <v>쌍자엽</v>
          </cell>
          <cell r="D364">
            <v>11</v>
          </cell>
          <cell r="E364" t="str">
            <v>식물</v>
          </cell>
          <cell r="F364">
            <v>3</v>
          </cell>
          <cell r="G364" t="str">
            <v>B</v>
          </cell>
          <cell r="H364">
            <v>3</v>
          </cell>
        </row>
        <row r="365">
          <cell r="A365">
            <v>70403034</v>
          </cell>
          <cell r="B365" t="str">
            <v>매리골드</v>
          </cell>
          <cell r="C365" t="str">
            <v>쌍자엽</v>
          </cell>
          <cell r="D365">
            <v>11</v>
          </cell>
          <cell r="E365" t="str">
            <v>식물</v>
          </cell>
          <cell r="F365">
            <v>3</v>
          </cell>
          <cell r="G365" t="str">
            <v>B</v>
          </cell>
          <cell r="H365">
            <v>3</v>
          </cell>
        </row>
        <row r="366">
          <cell r="A366">
            <v>70403035</v>
          </cell>
          <cell r="B366" t="str">
            <v>메이애플</v>
          </cell>
          <cell r="C366" t="str">
            <v>쌍자엽</v>
          </cell>
          <cell r="D366">
            <v>11</v>
          </cell>
          <cell r="E366" t="str">
            <v>식물</v>
          </cell>
          <cell r="F366">
            <v>3</v>
          </cell>
          <cell r="G366" t="str">
            <v>C</v>
          </cell>
          <cell r="H366">
            <v>2</v>
          </cell>
        </row>
        <row r="367">
          <cell r="A367">
            <v>70403036</v>
          </cell>
          <cell r="B367" t="str">
            <v>목련</v>
          </cell>
          <cell r="C367" t="str">
            <v>쌍자엽</v>
          </cell>
          <cell r="D367">
            <v>11</v>
          </cell>
          <cell r="E367" t="str">
            <v>식물</v>
          </cell>
          <cell r="F367">
            <v>3</v>
          </cell>
          <cell r="G367" t="str">
            <v>C</v>
          </cell>
          <cell r="H367">
            <v>2</v>
          </cell>
        </row>
        <row r="368">
          <cell r="A368">
            <v>70403037</v>
          </cell>
          <cell r="B368" t="str">
            <v>무궁화</v>
          </cell>
          <cell r="C368" t="str">
            <v>쌍자엽</v>
          </cell>
          <cell r="D368">
            <v>11</v>
          </cell>
          <cell r="E368" t="str">
            <v>식물</v>
          </cell>
          <cell r="F368">
            <v>3</v>
          </cell>
          <cell r="G368" t="str">
            <v>A</v>
          </cell>
          <cell r="H368">
            <v>4</v>
          </cell>
        </row>
        <row r="369">
          <cell r="A369">
            <v>70403038</v>
          </cell>
          <cell r="B369" t="str">
            <v>문관과</v>
          </cell>
          <cell r="C369" t="str">
            <v>쌍자엽</v>
          </cell>
          <cell r="D369">
            <v>11</v>
          </cell>
          <cell r="E369" t="str">
            <v>식물</v>
          </cell>
          <cell r="F369">
            <v>3</v>
          </cell>
          <cell r="G369" t="str">
            <v>B</v>
          </cell>
          <cell r="H369">
            <v>3</v>
          </cell>
        </row>
        <row r="370">
          <cell r="A370">
            <v>70403039</v>
          </cell>
          <cell r="B370" t="str">
            <v>물푸레나무</v>
          </cell>
          <cell r="C370" t="str">
            <v>쌍자엽</v>
          </cell>
          <cell r="D370">
            <v>11</v>
          </cell>
          <cell r="E370" t="str">
            <v>식물</v>
          </cell>
          <cell r="F370">
            <v>3</v>
          </cell>
          <cell r="G370" t="str">
            <v>C</v>
          </cell>
          <cell r="H370">
            <v>2</v>
          </cell>
        </row>
        <row r="371">
          <cell r="A371">
            <v>70403040</v>
          </cell>
          <cell r="B371" t="str">
            <v>미국 등나무</v>
          </cell>
          <cell r="C371" t="str">
            <v>쌍자엽</v>
          </cell>
          <cell r="D371">
            <v>11</v>
          </cell>
          <cell r="E371" t="str">
            <v>식물</v>
          </cell>
          <cell r="F371">
            <v>3</v>
          </cell>
          <cell r="G371" t="str">
            <v>B</v>
          </cell>
          <cell r="H371">
            <v>3</v>
          </cell>
        </row>
        <row r="372">
          <cell r="A372">
            <v>70403041</v>
          </cell>
          <cell r="B372" t="str">
            <v>미국부용</v>
          </cell>
          <cell r="C372" t="str">
            <v>쌍자엽</v>
          </cell>
          <cell r="D372">
            <v>11</v>
          </cell>
          <cell r="E372" t="str">
            <v>식물</v>
          </cell>
          <cell r="F372">
            <v>3</v>
          </cell>
          <cell r="G372" t="str">
            <v>B</v>
          </cell>
          <cell r="H372">
            <v>3</v>
          </cell>
        </row>
        <row r="373">
          <cell r="A373">
            <v>70403042</v>
          </cell>
          <cell r="B373" t="str">
            <v>바오바브나무</v>
          </cell>
          <cell r="C373" t="str">
            <v>쌍자엽</v>
          </cell>
          <cell r="D373">
            <v>11</v>
          </cell>
          <cell r="E373" t="str">
            <v>식물</v>
          </cell>
          <cell r="F373">
            <v>3</v>
          </cell>
          <cell r="G373" t="str">
            <v>A</v>
          </cell>
          <cell r="H373">
            <v>4</v>
          </cell>
          <cell r="AW373" t="str">
            <v>특정 퀘스트(=)</v>
          </cell>
          <cell r="AY373" t="str">
            <v>거꾸로 꽂힌 나무</v>
          </cell>
          <cell r="BA373">
            <v>3</v>
          </cell>
        </row>
        <row r="374">
          <cell r="A374" t="str">
            <v>#70403043</v>
          </cell>
          <cell r="B374" t="str">
            <v>박쥐란</v>
          </cell>
          <cell r="C374" t="str">
            <v>없음</v>
          </cell>
          <cell r="D374">
            <v>0</v>
          </cell>
          <cell r="E374" t="str">
            <v>식물</v>
          </cell>
          <cell r="F374">
            <v>3</v>
          </cell>
          <cell r="G374" t="str">
            <v>D</v>
          </cell>
          <cell r="H374">
            <v>1</v>
          </cell>
          <cell r="AW374" t="str">
            <v/>
          </cell>
          <cell r="BA374" t="str">
            <v>-</v>
          </cell>
        </row>
        <row r="375">
          <cell r="A375">
            <v>70403044</v>
          </cell>
          <cell r="B375" t="str">
            <v>발사나무</v>
          </cell>
          <cell r="C375" t="str">
            <v>쌍자엽</v>
          </cell>
          <cell r="D375">
            <v>11</v>
          </cell>
          <cell r="E375" t="str">
            <v>식물</v>
          </cell>
          <cell r="F375">
            <v>3</v>
          </cell>
          <cell r="G375" t="str">
            <v>B</v>
          </cell>
          <cell r="H375">
            <v>3</v>
          </cell>
        </row>
        <row r="376">
          <cell r="A376" t="str">
            <v>#70403045</v>
          </cell>
          <cell r="B376" t="str">
            <v>방크스소나무</v>
          </cell>
          <cell r="C376" t="str">
            <v>없음</v>
          </cell>
          <cell r="D376">
            <v>0</v>
          </cell>
          <cell r="E376" t="str">
            <v>식물</v>
          </cell>
          <cell r="F376">
            <v>3</v>
          </cell>
          <cell r="G376" t="str">
            <v>D</v>
          </cell>
          <cell r="H376">
            <v>1</v>
          </cell>
          <cell r="AW376" t="str">
            <v/>
          </cell>
          <cell r="BA376" t="str">
            <v>-</v>
          </cell>
        </row>
        <row r="377">
          <cell r="A377">
            <v>70403046</v>
          </cell>
          <cell r="B377" t="str">
            <v>백양꽃</v>
          </cell>
          <cell r="C377" t="str">
            <v>단자엽</v>
          </cell>
          <cell r="D377">
            <v>10</v>
          </cell>
          <cell r="E377" t="str">
            <v>식물</v>
          </cell>
          <cell r="F377">
            <v>3</v>
          </cell>
          <cell r="G377" t="str">
            <v>B</v>
          </cell>
          <cell r="H377">
            <v>3</v>
          </cell>
        </row>
        <row r="378">
          <cell r="A378">
            <v>70403047</v>
          </cell>
          <cell r="B378" t="str">
            <v>뱅크셔</v>
          </cell>
          <cell r="C378" t="str">
            <v>쌍자엽</v>
          </cell>
          <cell r="D378">
            <v>11</v>
          </cell>
          <cell r="E378" t="str">
            <v>식물</v>
          </cell>
          <cell r="F378">
            <v>3</v>
          </cell>
          <cell r="G378" t="str">
            <v>A</v>
          </cell>
          <cell r="H378">
            <v>4</v>
          </cell>
        </row>
        <row r="379">
          <cell r="A379">
            <v>70403048</v>
          </cell>
          <cell r="B379" t="str">
            <v>벚나무</v>
          </cell>
          <cell r="C379" t="str">
            <v>쌍자엽</v>
          </cell>
          <cell r="D379">
            <v>11</v>
          </cell>
          <cell r="E379" t="str">
            <v>식물</v>
          </cell>
          <cell r="F379">
            <v>3</v>
          </cell>
          <cell r="G379" t="str">
            <v>A</v>
          </cell>
          <cell r="H379">
            <v>4</v>
          </cell>
        </row>
        <row r="380">
          <cell r="A380">
            <v>70403049</v>
          </cell>
          <cell r="B380" t="str">
            <v>베고니아</v>
          </cell>
          <cell r="C380" t="str">
            <v>쌍자엽</v>
          </cell>
          <cell r="D380">
            <v>11</v>
          </cell>
          <cell r="E380" t="str">
            <v>식물</v>
          </cell>
          <cell r="F380">
            <v>3</v>
          </cell>
          <cell r="G380" t="str">
            <v>A</v>
          </cell>
          <cell r="H380">
            <v>4</v>
          </cell>
        </row>
        <row r="381">
          <cell r="A381">
            <v>70403050</v>
          </cell>
          <cell r="B381" t="str">
            <v>보리자나무</v>
          </cell>
          <cell r="C381" t="str">
            <v>쌍자엽</v>
          </cell>
          <cell r="D381">
            <v>11</v>
          </cell>
          <cell r="E381" t="str">
            <v>식물</v>
          </cell>
          <cell r="F381">
            <v>3</v>
          </cell>
          <cell r="G381" t="str">
            <v>S</v>
          </cell>
          <cell r="H381">
            <v>5</v>
          </cell>
        </row>
        <row r="382">
          <cell r="A382">
            <v>70403051</v>
          </cell>
          <cell r="B382" t="str">
            <v>보세란</v>
          </cell>
          <cell r="C382" t="str">
            <v>단자엽</v>
          </cell>
          <cell r="D382">
            <v>10</v>
          </cell>
          <cell r="E382" t="str">
            <v>식물</v>
          </cell>
          <cell r="F382">
            <v>3</v>
          </cell>
          <cell r="G382" t="str">
            <v>A</v>
          </cell>
          <cell r="H382">
            <v>4</v>
          </cell>
        </row>
        <row r="383">
          <cell r="A383">
            <v>70403052</v>
          </cell>
          <cell r="B383" t="str">
            <v>봉황목</v>
          </cell>
          <cell r="C383" t="str">
            <v>쌍자엽</v>
          </cell>
          <cell r="D383">
            <v>11</v>
          </cell>
          <cell r="E383" t="str">
            <v>식물</v>
          </cell>
          <cell r="F383">
            <v>3</v>
          </cell>
          <cell r="G383" t="str">
            <v>A</v>
          </cell>
          <cell r="H383">
            <v>4</v>
          </cell>
        </row>
        <row r="384">
          <cell r="A384">
            <v>70403053</v>
          </cell>
          <cell r="B384" t="str">
            <v>부들레야</v>
          </cell>
          <cell r="C384" t="str">
            <v>쌍자엽</v>
          </cell>
          <cell r="D384">
            <v>11</v>
          </cell>
          <cell r="E384" t="str">
            <v>식물</v>
          </cell>
          <cell r="F384">
            <v>3</v>
          </cell>
          <cell r="G384" t="str">
            <v>D</v>
          </cell>
          <cell r="H384">
            <v>1</v>
          </cell>
          <cell r="AW384" t="str">
            <v/>
          </cell>
          <cell r="BA384" t="str">
            <v>-</v>
          </cell>
        </row>
        <row r="385">
          <cell r="A385">
            <v>70403054</v>
          </cell>
          <cell r="B385" t="str">
            <v>북극이끼장구채</v>
          </cell>
          <cell r="C385" t="str">
            <v>쌍자엽</v>
          </cell>
          <cell r="D385">
            <v>11</v>
          </cell>
          <cell r="E385" t="str">
            <v>식물</v>
          </cell>
          <cell r="F385">
            <v>3</v>
          </cell>
          <cell r="G385" t="str">
            <v>B</v>
          </cell>
          <cell r="H385">
            <v>3</v>
          </cell>
        </row>
        <row r="386">
          <cell r="A386" t="str">
            <v>#70403055</v>
          </cell>
          <cell r="B386" t="str">
            <v>붉은사슴뿔버섯</v>
          </cell>
          <cell r="C386" t="str">
            <v>없음</v>
          </cell>
          <cell r="D386">
            <v>0</v>
          </cell>
          <cell r="E386" t="str">
            <v>식물</v>
          </cell>
          <cell r="F386">
            <v>3</v>
          </cell>
          <cell r="G386" t="str">
            <v>B</v>
          </cell>
          <cell r="H386">
            <v>3</v>
          </cell>
        </row>
        <row r="387">
          <cell r="A387">
            <v>70403056</v>
          </cell>
          <cell r="B387" t="str">
            <v>붉은토끼풀</v>
          </cell>
          <cell r="C387" t="str">
            <v>쌍자엽</v>
          </cell>
          <cell r="D387">
            <v>11</v>
          </cell>
          <cell r="E387" t="str">
            <v>식물</v>
          </cell>
          <cell r="F387">
            <v>3</v>
          </cell>
          <cell r="G387" t="str">
            <v>D</v>
          </cell>
          <cell r="H387">
            <v>1</v>
          </cell>
          <cell r="AW387" t="str">
            <v/>
          </cell>
          <cell r="BA387" t="str">
            <v>-</v>
          </cell>
        </row>
        <row r="388">
          <cell r="A388">
            <v>70403057</v>
          </cell>
          <cell r="B388" t="str">
            <v>브라질너트 나무</v>
          </cell>
          <cell r="C388" t="str">
            <v>쌍자엽</v>
          </cell>
          <cell r="D388">
            <v>11</v>
          </cell>
          <cell r="E388" t="str">
            <v>식물</v>
          </cell>
          <cell r="F388">
            <v>3</v>
          </cell>
          <cell r="G388" t="str">
            <v>C</v>
          </cell>
          <cell r="H388">
            <v>2</v>
          </cell>
        </row>
        <row r="389">
          <cell r="A389">
            <v>70403058</v>
          </cell>
          <cell r="B389" t="str">
            <v>블루보넷</v>
          </cell>
          <cell r="C389" t="str">
            <v>쌍자엽</v>
          </cell>
          <cell r="D389">
            <v>11</v>
          </cell>
          <cell r="E389" t="str">
            <v>식물</v>
          </cell>
          <cell r="F389">
            <v>3</v>
          </cell>
          <cell r="G389" t="str">
            <v>A</v>
          </cell>
          <cell r="H389">
            <v>4</v>
          </cell>
        </row>
        <row r="390">
          <cell r="A390">
            <v>70403059</v>
          </cell>
          <cell r="B390" t="str">
            <v>블루오키드</v>
          </cell>
          <cell r="C390" t="str">
            <v>단자엽</v>
          </cell>
          <cell r="D390">
            <v>10</v>
          </cell>
          <cell r="E390" t="str">
            <v>식물</v>
          </cell>
          <cell r="F390">
            <v>3</v>
          </cell>
          <cell r="G390" t="str">
            <v>A</v>
          </cell>
          <cell r="H390">
            <v>4</v>
          </cell>
        </row>
        <row r="391">
          <cell r="A391">
            <v>70403060</v>
          </cell>
          <cell r="B391" t="str">
            <v>빵나무</v>
          </cell>
          <cell r="C391" t="str">
            <v>쌍자엽</v>
          </cell>
          <cell r="D391">
            <v>11</v>
          </cell>
          <cell r="E391" t="str">
            <v>식물</v>
          </cell>
          <cell r="F391">
            <v>3</v>
          </cell>
          <cell r="G391" t="str">
            <v>A</v>
          </cell>
          <cell r="H391">
            <v>4</v>
          </cell>
        </row>
        <row r="392">
          <cell r="A392">
            <v>70403061</v>
          </cell>
          <cell r="B392" t="str">
            <v>뽕나무</v>
          </cell>
          <cell r="C392" t="str">
            <v>쌍자엽</v>
          </cell>
          <cell r="D392">
            <v>11</v>
          </cell>
          <cell r="E392" t="str">
            <v>식물</v>
          </cell>
          <cell r="F392">
            <v>3</v>
          </cell>
          <cell r="G392" t="str">
            <v>D</v>
          </cell>
          <cell r="H392">
            <v>1</v>
          </cell>
          <cell r="AW392" t="str">
            <v/>
          </cell>
          <cell r="BA392" t="str">
            <v>-</v>
          </cell>
        </row>
        <row r="393">
          <cell r="A393">
            <v>70403062</v>
          </cell>
          <cell r="B393" t="str">
            <v>뿔남천</v>
          </cell>
          <cell r="C393" t="str">
            <v>쌍자엽</v>
          </cell>
          <cell r="D393">
            <v>11</v>
          </cell>
          <cell r="E393" t="str">
            <v>식물</v>
          </cell>
          <cell r="F393">
            <v>3</v>
          </cell>
          <cell r="G393" t="str">
            <v>D</v>
          </cell>
          <cell r="H393">
            <v>1</v>
          </cell>
          <cell r="AW393" t="str">
            <v/>
          </cell>
          <cell r="BA393" t="str">
            <v>-</v>
          </cell>
        </row>
        <row r="394">
          <cell r="A394">
            <v>70403063</v>
          </cell>
          <cell r="B394" t="str">
            <v>사라세니아</v>
          </cell>
          <cell r="C394" t="str">
            <v>쌍자엽</v>
          </cell>
          <cell r="D394">
            <v>11</v>
          </cell>
          <cell r="E394" t="str">
            <v>식물</v>
          </cell>
          <cell r="F394">
            <v>3</v>
          </cell>
          <cell r="G394" t="str">
            <v>A</v>
          </cell>
          <cell r="H394">
            <v>4</v>
          </cell>
        </row>
        <row r="395">
          <cell r="A395">
            <v>70403064</v>
          </cell>
          <cell r="B395" t="str">
            <v>사이코트리아 엘라타</v>
          </cell>
          <cell r="C395" t="str">
            <v>쌍자엽</v>
          </cell>
          <cell r="D395">
            <v>11</v>
          </cell>
          <cell r="E395" t="str">
            <v>식물</v>
          </cell>
          <cell r="F395">
            <v>3</v>
          </cell>
          <cell r="G395" t="str">
            <v>S</v>
          </cell>
          <cell r="H395">
            <v>5</v>
          </cell>
        </row>
        <row r="396">
          <cell r="A396">
            <v>70403065</v>
          </cell>
          <cell r="B396" t="str">
            <v>사탕단풍</v>
          </cell>
          <cell r="C396" t="str">
            <v>쌍자엽</v>
          </cell>
          <cell r="D396">
            <v>11</v>
          </cell>
          <cell r="E396" t="str">
            <v>식물</v>
          </cell>
          <cell r="F396">
            <v>3</v>
          </cell>
          <cell r="G396" t="str">
            <v>A</v>
          </cell>
          <cell r="H396">
            <v>4</v>
          </cell>
        </row>
        <row r="397">
          <cell r="A397">
            <v>70403066</v>
          </cell>
          <cell r="B397" t="str">
            <v>산사나무</v>
          </cell>
          <cell r="C397" t="str">
            <v>쌍자엽</v>
          </cell>
          <cell r="D397">
            <v>11</v>
          </cell>
          <cell r="E397" t="str">
            <v>식물</v>
          </cell>
          <cell r="F397">
            <v>3</v>
          </cell>
          <cell r="G397" t="str">
            <v>C</v>
          </cell>
          <cell r="H397">
            <v>2</v>
          </cell>
        </row>
        <row r="398">
          <cell r="A398">
            <v>70403068</v>
          </cell>
          <cell r="B398" t="str">
            <v>석산</v>
          </cell>
          <cell r="C398" t="str">
            <v>단자엽</v>
          </cell>
          <cell r="D398">
            <v>10</v>
          </cell>
          <cell r="E398" t="str">
            <v>식물</v>
          </cell>
          <cell r="F398">
            <v>3</v>
          </cell>
          <cell r="G398" t="str">
            <v>B</v>
          </cell>
          <cell r="H398">
            <v>3</v>
          </cell>
        </row>
        <row r="399">
          <cell r="A399">
            <v>70403070</v>
          </cell>
          <cell r="B399" t="str">
            <v>세인트폴리아</v>
          </cell>
          <cell r="C399" t="str">
            <v>쌍자엽</v>
          </cell>
          <cell r="D399">
            <v>11</v>
          </cell>
          <cell r="E399" t="str">
            <v>식물</v>
          </cell>
          <cell r="F399">
            <v>3</v>
          </cell>
          <cell r="G399" t="str">
            <v>B</v>
          </cell>
          <cell r="H399">
            <v>3</v>
          </cell>
        </row>
        <row r="400">
          <cell r="A400" t="str">
            <v>#70403071</v>
          </cell>
          <cell r="B400" t="str">
            <v>세쿼이아</v>
          </cell>
          <cell r="C400" t="str">
            <v>없음</v>
          </cell>
          <cell r="D400">
            <v>0</v>
          </cell>
          <cell r="E400" t="str">
            <v>식물</v>
          </cell>
          <cell r="F400">
            <v>3</v>
          </cell>
          <cell r="G400" t="str">
            <v>B</v>
          </cell>
          <cell r="H400">
            <v>3</v>
          </cell>
        </row>
        <row r="401">
          <cell r="A401">
            <v>70403072</v>
          </cell>
          <cell r="B401" t="str">
            <v>수국</v>
          </cell>
          <cell r="C401" t="str">
            <v>쌍자엽</v>
          </cell>
          <cell r="D401">
            <v>11</v>
          </cell>
          <cell r="E401" t="str">
            <v>식물</v>
          </cell>
          <cell r="F401">
            <v>3</v>
          </cell>
          <cell r="G401" t="str">
            <v>B</v>
          </cell>
          <cell r="H401">
            <v>3</v>
          </cell>
        </row>
        <row r="402">
          <cell r="A402">
            <v>70403073</v>
          </cell>
          <cell r="B402" t="str">
            <v>수레국화</v>
          </cell>
          <cell r="C402" t="str">
            <v>쌍자엽</v>
          </cell>
          <cell r="D402">
            <v>11</v>
          </cell>
          <cell r="E402" t="str">
            <v>식물</v>
          </cell>
          <cell r="F402">
            <v>3</v>
          </cell>
          <cell r="G402" t="str">
            <v>D</v>
          </cell>
          <cell r="H402">
            <v>1</v>
          </cell>
        </row>
        <row r="403">
          <cell r="A403">
            <v>70403074</v>
          </cell>
          <cell r="B403" t="str">
            <v>수련</v>
          </cell>
          <cell r="C403" t="str">
            <v>쌍자엽</v>
          </cell>
          <cell r="D403">
            <v>11</v>
          </cell>
          <cell r="E403" t="str">
            <v>식물</v>
          </cell>
          <cell r="F403">
            <v>3</v>
          </cell>
          <cell r="G403" t="str">
            <v>A</v>
          </cell>
          <cell r="H403">
            <v>4</v>
          </cell>
        </row>
        <row r="404">
          <cell r="A404">
            <v>70403076</v>
          </cell>
          <cell r="B404" t="str">
            <v>수수꽃다리</v>
          </cell>
          <cell r="C404" t="str">
            <v>쌍자엽</v>
          </cell>
          <cell r="D404">
            <v>11</v>
          </cell>
          <cell r="E404" t="str">
            <v>식물</v>
          </cell>
          <cell r="F404">
            <v>3</v>
          </cell>
          <cell r="G404" t="str">
            <v>B</v>
          </cell>
          <cell r="H404">
            <v>3</v>
          </cell>
        </row>
        <row r="405">
          <cell r="A405">
            <v>70403077</v>
          </cell>
          <cell r="B405" t="str">
            <v>순비기나무</v>
          </cell>
          <cell r="C405" t="str">
            <v>쌍자엽</v>
          </cell>
          <cell r="D405">
            <v>11</v>
          </cell>
          <cell r="E405" t="str">
            <v>식물</v>
          </cell>
          <cell r="F405">
            <v>3</v>
          </cell>
          <cell r="G405" t="str">
            <v>C</v>
          </cell>
          <cell r="H405">
            <v>2</v>
          </cell>
        </row>
        <row r="406">
          <cell r="A406">
            <v>70403078</v>
          </cell>
          <cell r="B406" t="str">
            <v>시계꽃</v>
          </cell>
          <cell r="C406" t="str">
            <v>쌍자엽</v>
          </cell>
          <cell r="D406">
            <v>11</v>
          </cell>
          <cell r="E406" t="str">
            <v>식물</v>
          </cell>
          <cell r="F406">
            <v>3</v>
          </cell>
          <cell r="G406" t="str">
            <v>S</v>
          </cell>
          <cell r="H406">
            <v>5</v>
          </cell>
        </row>
        <row r="407">
          <cell r="A407">
            <v>70403079</v>
          </cell>
          <cell r="B407" t="str">
            <v>시어 버터 나무</v>
          </cell>
          <cell r="C407" t="str">
            <v>쌍자엽</v>
          </cell>
          <cell r="D407">
            <v>11</v>
          </cell>
          <cell r="E407" t="str">
            <v>식물</v>
          </cell>
          <cell r="F407">
            <v>3</v>
          </cell>
          <cell r="G407" t="str">
            <v>A</v>
          </cell>
          <cell r="H407">
            <v>4</v>
          </cell>
        </row>
        <row r="408">
          <cell r="A408">
            <v>70403080</v>
          </cell>
          <cell r="B408" t="str">
            <v>시클라멘</v>
          </cell>
          <cell r="C408" t="str">
            <v>쌍자엽</v>
          </cell>
          <cell r="D408">
            <v>11</v>
          </cell>
          <cell r="E408" t="str">
            <v>식물</v>
          </cell>
          <cell r="F408">
            <v>3</v>
          </cell>
          <cell r="G408" t="str">
            <v>A</v>
          </cell>
          <cell r="H408">
            <v>4</v>
          </cell>
        </row>
        <row r="409">
          <cell r="A409">
            <v>70403081</v>
          </cell>
          <cell r="B409" t="str">
            <v>심비디움</v>
          </cell>
          <cell r="C409" t="str">
            <v>단자엽</v>
          </cell>
          <cell r="D409">
            <v>10</v>
          </cell>
          <cell r="E409" t="str">
            <v>식물</v>
          </cell>
          <cell r="F409">
            <v>3</v>
          </cell>
          <cell r="G409" t="str">
            <v>C</v>
          </cell>
          <cell r="H409">
            <v>2</v>
          </cell>
        </row>
        <row r="410">
          <cell r="A410">
            <v>70403082</v>
          </cell>
          <cell r="B410" t="str">
            <v>쐐기풀</v>
          </cell>
          <cell r="C410" t="str">
            <v>쌍자엽</v>
          </cell>
          <cell r="D410">
            <v>11</v>
          </cell>
          <cell r="E410" t="str">
            <v>식물</v>
          </cell>
          <cell r="F410">
            <v>3</v>
          </cell>
          <cell r="G410" t="str">
            <v>C</v>
          </cell>
          <cell r="H410">
            <v>2</v>
          </cell>
        </row>
        <row r="411">
          <cell r="A411">
            <v>70403083</v>
          </cell>
          <cell r="B411" t="str">
            <v>파인애플</v>
          </cell>
          <cell r="C411" t="str">
            <v>단자엽</v>
          </cell>
          <cell r="D411">
            <v>10</v>
          </cell>
          <cell r="E411" t="str">
            <v>식물</v>
          </cell>
          <cell r="F411">
            <v>3</v>
          </cell>
          <cell r="G411" t="str">
            <v>B</v>
          </cell>
          <cell r="H411">
            <v>3</v>
          </cell>
        </row>
        <row r="412">
          <cell r="A412">
            <v>70403084</v>
          </cell>
          <cell r="B412" t="str">
            <v>아네모네</v>
          </cell>
          <cell r="C412" t="str">
            <v>쌍자엽</v>
          </cell>
          <cell r="D412">
            <v>11</v>
          </cell>
          <cell r="E412" t="str">
            <v>식물</v>
          </cell>
          <cell r="F412">
            <v>3</v>
          </cell>
          <cell r="G412" t="str">
            <v>A</v>
          </cell>
          <cell r="H412">
            <v>4</v>
          </cell>
        </row>
        <row r="413">
          <cell r="A413">
            <v>70403085</v>
          </cell>
          <cell r="B413" t="str">
            <v>아마릴리스</v>
          </cell>
          <cell r="C413" t="str">
            <v>단자엽</v>
          </cell>
          <cell r="D413">
            <v>10</v>
          </cell>
          <cell r="E413" t="str">
            <v>식물</v>
          </cell>
          <cell r="F413">
            <v>3</v>
          </cell>
          <cell r="G413" t="str">
            <v>A</v>
          </cell>
          <cell r="H413">
            <v>4</v>
          </cell>
        </row>
        <row r="414">
          <cell r="A414">
            <v>70403086</v>
          </cell>
          <cell r="B414" t="str">
            <v>아모르포팔루스 티타눔</v>
          </cell>
          <cell r="C414" t="str">
            <v>단자엽</v>
          </cell>
          <cell r="D414">
            <v>10</v>
          </cell>
          <cell r="E414" t="str">
            <v>식물</v>
          </cell>
          <cell r="F414">
            <v>3</v>
          </cell>
          <cell r="G414" t="str">
            <v>S</v>
          </cell>
          <cell r="H414">
            <v>5</v>
          </cell>
        </row>
        <row r="415">
          <cell r="A415">
            <v>70403087</v>
          </cell>
          <cell r="B415" t="str">
            <v>아사이</v>
          </cell>
          <cell r="C415" t="str">
            <v>단자엽</v>
          </cell>
          <cell r="D415">
            <v>10</v>
          </cell>
          <cell r="E415" t="str">
            <v>식물</v>
          </cell>
          <cell r="F415">
            <v>3</v>
          </cell>
          <cell r="G415" t="str">
            <v>C</v>
          </cell>
          <cell r="H415">
            <v>2</v>
          </cell>
        </row>
        <row r="416">
          <cell r="A416">
            <v>70403088</v>
          </cell>
          <cell r="B416" t="str">
            <v>아스테리스커스</v>
          </cell>
          <cell r="C416" t="str">
            <v>쌍자엽</v>
          </cell>
          <cell r="D416">
            <v>11</v>
          </cell>
          <cell r="E416" t="str">
            <v>식물</v>
          </cell>
          <cell r="F416">
            <v>3</v>
          </cell>
          <cell r="G416" t="str">
            <v>D</v>
          </cell>
          <cell r="H416">
            <v>1</v>
          </cell>
        </row>
        <row r="417">
          <cell r="A417">
            <v>70403089</v>
          </cell>
          <cell r="B417" t="str">
            <v>아이리데스</v>
          </cell>
          <cell r="C417" t="str">
            <v>단자엽</v>
          </cell>
          <cell r="D417">
            <v>10</v>
          </cell>
          <cell r="E417" t="str">
            <v>식물</v>
          </cell>
          <cell r="F417">
            <v>3</v>
          </cell>
          <cell r="G417" t="str">
            <v>S</v>
          </cell>
          <cell r="H417">
            <v>5</v>
          </cell>
        </row>
        <row r="418">
          <cell r="A418">
            <v>70403090</v>
          </cell>
          <cell r="B418" t="str">
            <v>아칸서스</v>
          </cell>
          <cell r="C418" t="str">
            <v>쌍자엽</v>
          </cell>
          <cell r="D418">
            <v>11</v>
          </cell>
          <cell r="E418" t="str">
            <v>식물</v>
          </cell>
          <cell r="F418">
            <v>3</v>
          </cell>
          <cell r="G418" t="str">
            <v>D</v>
          </cell>
          <cell r="H418">
            <v>1</v>
          </cell>
          <cell r="AW418" t="str">
            <v/>
          </cell>
          <cell r="BA418" t="str">
            <v>-</v>
          </cell>
        </row>
        <row r="419">
          <cell r="A419">
            <v>70403091</v>
          </cell>
          <cell r="B419" t="str">
            <v>아키</v>
          </cell>
          <cell r="C419" t="str">
            <v>쌍자엽</v>
          </cell>
          <cell r="D419">
            <v>11</v>
          </cell>
          <cell r="E419" t="str">
            <v>식물</v>
          </cell>
          <cell r="F419">
            <v>3</v>
          </cell>
          <cell r="G419" t="str">
            <v>D</v>
          </cell>
          <cell r="H419">
            <v>1</v>
          </cell>
        </row>
        <row r="420">
          <cell r="A420">
            <v>70403092</v>
          </cell>
          <cell r="B420" t="str">
            <v>아티초크</v>
          </cell>
          <cell r="C420" t="str">
            <v>쌍자엽</v>
          </cell>
          <cell r="D420">
            <v>11</v>
          </cell>
          <cell r="E420" t="str">
            <v>식물</v>
          </cell>
          <cell r="F420">
            <v>3</v>
          </cell>
          <cell r="G420" t="str">
            <v>D</v>
          </cell>
          <cell r="H420">
            <v>1</v>
          </cell>
        </row>
        <row r="421">
          <cell r="A421">
            <v>70403093</v>
          </cell>
          <cell r="B421" t="str">
            <v>안개꽃</v>
          </cell>
          <cell r="C421" t="str">
            <v>쌍자엽</v>
          </cell>
          <cell r="D421">
            <v>11</v>
          </cell>
          <cell r="E421" t="str">
            <v>식물</v>
          </cell>
          <cell r="F421">
            <v>3</v>
          </cell>
          <cell r="G421" t="str">
            <v>C</v>
          </cell>
          <cell r="H421">
            <v>2</v>
          </cell>
        </row>
        <row r="422">
          <cell r="A422">
            <v>70403094</v>
          </cell>
          <cell r="B422" t="str">
            <v>알스트로에메리아</v>
          </cell>
          <cell r="C422" t="str">
            <v>단자엽</v>
          </cell>
          <cell r="D422">
            <v>10</v>
          </cell>
          <cell r="E422" t="str">
            <v>식물</v>
          </cell>
          <cell r="F422">
            <v>3</v>
          </cell>
          <cell r="G422" t="str">
            <v>C</v>
          </cell>
          <cell r="H422">
            <v>2</v>
          </cell>
        </row>
        <row r="423">
          <cell r="A423">
            <v>70403095</v>
          </cell>
          <cell r="B423" t="str">
            <v>애옥자</v>
          </cell>
          <cell r="C423" t="str">
            <v>쌍자엽</v>
          </cell>
          <cell r="D423">
            <v>11</v>
          </cell>
          <cell r="E423" t="str">
            <v>식물</v>
          </cell>
          <cell r="F423">
            <v>3</v>
          </cell>
          <cell r="G423" t="str">
            <v>A</v>
          </cell>
          <cell r="H423">
            <v>4</v>
          </cell>
        </row>
        <row r="424">
          <cell r="A424">
            <v>70403096</v>
          </cell>
          <cell r="B424" t="str">
            <v>에델바이스</v>
          </cell>
          <cell r="C424" t="str">
            <v>쌍자엽</v>
          </cell>
          <cell r="D424">
            <v>11</v>
          </cell>
          <cell r="E424" t="str">
            <v>식물</v>
          </cell>
          <cell r="F424">
            <v>3</v>
          </cell>
          <cell r="G424" t="str">
            <v>S</v>
          </cell>
          <cell r="H424">
            <v>5</v>
          </cell>
        </row>
        <row r="425">
          <cell r="A425">
            <v>70403097</v>
          </cell>
          <cell r="B425" t="str">
            <v>에키네시아</v>
          </cell>
          <cell r="C425" t="str">
            <v>쌍자엽</v>
          </cell>
          <cell r="D425">
            <v>11</v>
          </cell>
          <cell r="E425" t="str">
            <v>식물</v>
          </cell>
          <cell r="F425">
            <v>3</v>
          </cell>
          <cell r="G425" t="str">
            <v>B</v>
          </cell>
          <cell r="H425">
            <v>3</v>
          </cell>
          <cell r="AW425" t="str">
            <v>특정 퀘스트(=)</v>
          </cell>
          <cell r="AY425" t="str">
            <v>앤 보니 시나리오</v>
          </cell>
          <cell r="BA425">
            <v>46</v>
          </cell>
        </row>
        <row r="426">
          <cell r="A426">
            <v>70403098</v>
          </cell>
          <cell r="B426" t="str">
            <v>연꽃</v>
          </cell>
          <cell r="C426" t="str">
            <v>쌍자엽</v>
          </cell>
          <cell r="D426">
            <v>11</v>
          </cell>
          <cell r="E426" t="str">
            <v>식물</v>
          </cell>
          <cell r="F426">
            <v>3</v>
          </cell>
          <cell r="G426" t="str">
            <v>A</v>
          </cell>
          <cell r="H426">
            <v>4</v>
          </cell>
        </row>
        <row r="427">
          <cell r="A427">
            <v>70403099</v>
          </cell>
          <cell r="B427" t="str">
            <v>열대 수련</v>
          </cell>
          <cell r="C427" t="str">
            <v>쌍자엽</v>
          </cell>
          <cell r="D427">
            <v>11</v>
          </cell>
          <cell r="E427" t="str">
            <v>식물</v>
          </cell>
          <cell r="F427">
            <v>3</v>
          </cell>
          <cell r="G427" t="str">
            <v>C</v>
          </cell>
          <cell r="H427">
            <v>2</v>
          </cell>
        </row>
        <row r="428">
          <cell r="A428">
            <v>70403100</v>
          </cell>
          <cell r="B428" t="str">
            <v>예르바 마테</v>
          </cell>
          <cell r="C428" t="str">
            <v>쌍자엽</v>
          </cell>
          <cell r="D428">
            <v>11</v>
          </cell>
          <cell r="E428" t="str">
            <v>식물</v>
          </cell>
          <cell r="F428">
            <v>3</v>
          </cell>
          <cell r="G428" t="str">
            <v>C</v>
          </cell>
          <cell r="H428">
            <v>2</v>
          </cell>
        </row>
        <row r="429">
          <cell r="A429">
            <v>70403101</v>
          </cell>
          <cell r="B429" t="str">
            <v>오히아레후아</v>
          </cell>
          <cell r="C429" t="str">
            <v>쌍자엽</v>
          </cell>
          <cell r="D429">
            <v>11</v>
          </cell>
          <cell r="E429" t="str">
            <v>식물</v>
          </cell>
          <cell r="F429">
            <v>3</v>
          </cell>
          <cell r="G429" t="str">
            <v>B</v>
          </cell>
          <cell r="H429">
            <v>3</v>
          </cell>
        </row>
        <row r="430">
          <cell r="A430">
            <v>70403102</v>
          </cell>
          <cell r="B430" t="str">
            <v>와틀</v>
          </cell>
          <cell r="C430" t="str">
            <v>쌍자엽</v>
          </cell>
          <cell r="D430">
            <v>11</v>
          </cell>
          <cell r="E430" t="str">
            <v>식물</v>
          </cell>
          <cell r="F430">
            <v>3</v>
          </cell>
          <cell r="G430" t="str">
            <v>C</v>
          </cell>
          <cell r="H430">
            <v>2</v>
          </cell>
        </row>
        <row r="431">
          <cell r="A431">
            <v>70403103</v>
          </cell>
          <cell r="B431" t="str">
            <v>용설란</v>
          </cell>
          <cell r="C431" t="str">
            <v>단자엽</v>
          </cell>
          <cell r="D431">
            <v>10</v>
          </cell>
          <cell r="E431" t="str">
            <v>식물</v>
          </cell>
          <cell r="F431">
            <v>3</v>
          </cell>
          <cell r="G431" t="str">
            <v>B</v>
          </cell>
          <cell r="H431">
            <v>3</v>
          </cell>
        </row>
        <row r="432">
          <cell r="A432">
            <v>70403104</v>
          </cell>
          <cell r="B432" t="str">
            <v>용안</v>
          </cell>
          <cell r="C432" t="str">
            <v>쌍자엽</v>
          </cell>
          <cell r="D432">
            <v>11</v>
          </cell>
          <cell r="E432" t="str">
            <v>식물</v>
          </cell>
          <cell r="F432">
            <v>3</v>
          </cell>
          <cell r="G432" t="str">
            <v>C</v>
          </cell>
          <cell r="H432">
            <v>2</v>
          </cell>
        </row>
        <row r="433">
          <cell r="A433">
            <v>70403105</v>
          </cell>
          <cell r="B433" t="str">
            <v>운남앵초</v>
          </cell>
          <cell r="C433" t="str">
            <v>쌍자엽</v>
          </cell>
          <cell r="D433">
            <v>11</v>
          </cell>
          <cell r="E433" t="str">
            <v>식물</v>
          </cell>
          <cell r="F433">
            <v>3</v>
          </cell>
          <cell r="G433" t="str">
            <v>B</v>
          </cell>
          <cell r="H433">
            <v>3</v>
          </cell>
        </row>
        <row r="434">
          <cell r="A434">
            <v>70403106</v>
          </cell>
          <cell r="B434" t="str">
            <v>월계수</v>
          </cell>
          <cell r="C434" t="str">
            <v>쌍자엽</v>
          </cell>
          <cell r="D434">
            <v>11</v>
          </cell>
          <cell r="E434" t="str">
            <v>식물</v>
          </cell>
          <cell r="F434">
            <v>3</v>
          </cell>
          <cell r="G434" t="str">
            <v>S</v>
          </cell>
          <cell r="H434">
            <v>5</v>
          </cell>
        </row>
        <row r="435">
          <cell r="A435">
            <v>70403107</v>
          </cell>
          <cell r="B435" t="str">
            <v>월하미인</v>
          </cell>
          <cell r="C435" t="str">
            <v>쌍자엽</v>
          </cell>
          <cell r="D435">
            <v>11</v>
          </cell>
          <cell r="E435" t="str">
            <v>식물</v>
          </cell>
          <cell r="F435">
            <v>3</v>
          </cell>
          <cell r="G435" t="str">
            <v>B</v>
          </cell>
          <cell r="H435">
            <v>3</v>
          </cell>
          <cell r="AW435" t="str">
            <v>특정 퀘스트(=)</v>
          </cell>
          <cell r="AY435" t="str">
            <v>밤에 피는 꽃</v>
          </cell>
          <cell r="BA435">
            <v>3</v>
          </cell>
        </row>
        <row r="436">
          <cell r="A436" t="str">
            <v>#70403108</v>
          </cell>
          <cell r="B436" t="str">
            <v>웰위치아</v>
          </cell>
          <cell r="C436" t="str">
            <v>없음</v>
          </cell>
          <cell r="D436">
            <v>0</v>
          </cell>
          <cell r="E436" t="str">
            <v>식물</v>
          </cell>
          <cell r="F436">
            <v>3</v>
          </cell>
          <cell r="G436" t="str">
            <v>A</v>
          </cell>
          <cell r="H436">
            <v>4</v>
          </cell>
        </row>
        <row r="437">
          <cell r="A437">
            <v>70403109</v>
          </cell>
          <cell r="B437" t="str">
            <v>유럽 다프네</v>
          </cell>
          <cell r="C437" t="str">
            <v>쌍자엽</v>
          </cell>
          <cell r="D437">
            <v>11</v>
          </cell>
          <cell r="E437" t="str">
            <v>식물</v>
          </cell>
          <cell r="F437">
            <v>3</v>
          </cell>
          <cell r="G437" t="str">
            <v>C</v>
          </cell>
          <cell r="H437">
            <v>2</v>
          </cell>
          <cell r="AW437" t="str">
            <v>특정 퀘스트(=)</v>
          </cell>
          <cell r="AY437" t="str">
            <v>월계수라는 이름의 독성 식물</v>
          </cell>
          <cell r="BA437">
            <v>3</v>
          </cell>
        </row>
        <row r="438">
          <cell r="A438">
            <v>70403110</v>
          </cell>
          <cell r="B438" t="str">
            <v>이페</v>
          </cell>
          <cell r="C438" t="str">
            <v>쌍자엽</v>
          </cell>
          <cell r="D438">
            <v>11</v>
          </cell>
          <cell r="E438" t="str">
            <v>식물</v>
          </cell>
          <cell r="F438">
            <v>3</v>
          </cell>
          <cell r="G438" t="str">
            <v>B</v>
          </cell>
          <cell r="H438">
            <v>3</v>
          </cell>
        </row>
        <row r="439">
          <cell r="A439">
            <v>70403111</v>
          </cell>
          <cell r="B439" t="str">
            <v>일본 붓꽃</v>
          </cell>
          <cell r="C439" t="str">
            <v>단자엽</v>
          </cell>
          <cell r="D439">
            <v>10</v>
          </cell>
          <cell r="E439" t="str">
            <v>식물</v>
          </cell>
          <cell r="F439">
            <v>3</v>
          </cell>
          <cell r="G439" t="str">
            <v>B</v>
          </cell>
          <cell r="H439">
            <v>3</v>
          </cell>
        </row>
        <row r="440">
          <cell r="A440">
            <v>70403112</v>
          </cell>
          <cell r="B440" t="str">
            <v>자두나무</v>
          </cell>
          <cell r="C440" t="str">
            <v>쌍자엽</v>
          </cell>
          <cell r="D440">
            <v>11</v>
          </cell>
          <cell r="E440" t="str">
            <v>식물</v>
          </cell>
          <cell r="F440">
            <v>3</v>
          </cell>
          <cell r="G440" t="str">
            <v>B</v>
          </cell>
          <cell r="H440">
            <v>3</v>
          </cell>
        </row>
        <row r="441">
          <cell r="A441">
            <v>70403113</v>
          </cell>
          <cell r="B441" t="str">
            <v>자작나무</v>
          </cell>
          <cell r="C441" t="str">
            <v>쌍자엽</v>
          </cell>
          <cell r="D441">
            <v>11</v>
          </cell>
          <cell r="E441" t="str">
            <v>식물</v>
          </cell>
          <cell r="F441">
            <v>3</v>
          </cell>
          <cell r="G441" t="str">
            <v>B</v>
          </cell>
          <cell r="H441">
            <v>3</v>
          </cell>
        </row>
        <row r="442">
          <cell r="A442">
            <v>70403114</v>
          </cell>
          <cell r="B442" t="str">
            <v>자주달개비</v>
          </cell>
          <cell r="C442" t="str">
            <v>단자엽</v>
          </cell>
          <cell r="D442">
            <v>10</v>
          </cell>
          <cell r="E442" t="str">
            <v>식물</v>
          </cell>
          <cell r="F442">
            <v>3</v>
          </cell>
          <cell r="G442" t="str">
            <v>A</v>
          </cell>
          <cell r="H442">
            <v>4</v>
          </cell>
        </row>
        <row r="443">
          <cell r="A443">
            <v>70403115</v>
          </cell>
          <cell r="B443" t="str">
            <v>자카란다</v>
          </cell>
          <cell r="C443" t="str">
            <v>쌍자엽</v>
          </cell>
          <cell r="D443">
            <v>11</v>
          </cell>
          <cell r="E443" t="str">
            <v>식물</v>
          </cell>
          <cell r="F443">
            <v>3</v>
          </cell>
          <cell r="G443" t="str">
            <v>D</v>
          </cell>
          <cell r="H443">
            <v>1</v>
          </cell>
        </row>
        <row r="444">
          <cell r="A444" t="str">
            <v>#70403116</v>
          </cell>
          <cell r="B444" t="str">
            <v>정이품송</v>
          </cell>
          <cell r="C444" t="str">
            <v>없음</v>
          </cell>
          <cell r="D444">
            <v>0</v>
          </cell>
          <cell r="E444" t="str">
            <v>식물</v>
          </cell>
          <cell r="F444">
            <v>3</v>
          </cell>
          <cell r="G444" t="str">
            <v>A</v>
          </cell>
          <cell r="H444">
            <v>4</v>
          </cell>
        </row>
        <row r="445">
          <cell r="A445" t="str">
            <v>#70403117</v>
          </cell>
          <cell r="B445" t="str">
            <v>조몬 삼나무</v>
          </cell>
          <cell r="C445" t="str">
            <v>없음</v>
          </cell>
          <cell r="D445">
            <v>0</v>
          </cell>
          <cell r="E445" t="str">
            <v>식물</v>
          </cell>
          <cell r="F445">
            <v>3</v>
          </cell>
          <cell r="G445" t="str">
            <v>B</v>
          </cell>
          <cell r="H445">
            <v>3</v>
          </cell>
        </row>
        <row r="446">
          <cell r="A446">
            <v>70403118</v>
          </cell>
          <cell r="B446" t="str">
            <v>쥐엄나무</v>
          </cell>
          <cell r="C446" t="str">
            <v>쌍자엽</v>
          </cell>
          <cell r="D446">
            <v>11</v>
          </cell>
          <cell r="E446" t="str">
            <v>식물</v>
          </cell>
          <cell r="F446">
            <v>3</v>
          </cell>
          <cell r="G446" t="str">
            <v>C</v>
          </cell>
          <cell r="H446">
            <v>2</v>
          </cell>
        </row>
        <row r="447">
          <cell r="A447">
            <v>70403119</v>
          </cell>
          <cell r="B447" t="str">
            <v>추파추파</v>
          </cell>
          <cell r="C447" t="str">
            <v>쌍자엽</v>
          </cell>
          <cell r="D447">
            <v>11</v>
          </cell>
          <cell r="E447" t="str">
            <v>식물</v>
          </cell>
          <cell r="F447">
            <v>3</v>
          </cell>
          <cell r="G447" t="str">
            <v>C</v>
          </cell>
          <cell r="H447">
            <v>2</v>
          </cell>
        </row>
        <row r="448">
          <cell r="A448">
            <v>70403120</v>
          </cell>
          <cell r="B448" t="str">
            <v>카네이션</v>
          </cell>
          <cell r="C448" t="str">
            <v>쌍자엽</v>
          </cell>
          <cell r="D448">
            <v>11</v>
          </cell>
          <cell r="E448" t="str">
            <v>식물</v>
          </cell>
          <cell r="F448">
            <v>3</v>
          </cell>
          <cell r="G448" t="str">
            <v>D</v>
          </cell>
          <cell r="H448">
            <v>1</v>
          </cell>
        </row>
        <row r="449">
          <cell r="A449">
            <v>70403121</v>
          </cell>
          <cell r="B449" t="str">
            <v>카틀레야</v>
          </cell>
          <cell r="C449" t="str">
            <v>단자엽</v>
          </cell>
          <cell r="D449">
            <v>10</v>
          </cell>
          <cell r="E449" t="str">
            <v>식물</v>
          </cell>
          <cell r="F449">
            <v>3</v>
          </cell>
          <cell r="G449" t="str">
            <v>A</v>
          </cell>
          <cell r="H449">
            <v>4</v>
          </cell>
        </row>
        <row r="450">
          <cell r="A450">
            <v>70403122</v>
          </cell>
          <cell r="B450" t="str">
            <v>칸투아</v>
          </cell>
          <cell r="C450" t="str">
            <v>쌍자엽</v>
          </cell>
          <cell r="D450">
            <v>11</v>
          </cell>
          <cell r="E450" t="str">
            <v>식물</v>
          </cell>
          <cell r="F450">
            <v>3</v>
          </cell>
          <cell r="G450" t="str">
            <v>S</v>
          </cell>
          <cell r="H450">
            <v>5</v>
          </cell>
        </row>
        <row r="451">
          <cell r="A451">
            <v>70403123</v>
          </cell>
          <cell r="B451" t="str">
            <v>칼라파테</v>
          </cell>
          <cell r="C451" t="str">
            <v>쌍자엽</v>
          </cell>
          <cell r="D451">
            <v>11</v>
          </cell>
          <cell r="E451" t="str">
            <v>식물</v>
          </cell>
          <cell r="F451">
            <v>3</v>
          </cell>
          <cell r="G451" t="str">
            <v>D</v>
          </cell>
          <cell r="H451">
            <v>1</v>
          </cell>
          <cell r="AW451" t="str">
            <v/>
          </cell>
          <cell r="BA451" t="str">
            <v>-</v>
          </cell>
        </row>
        <row r="452">
          <cell r="A452">
            <v>70403124</v>
          </cell>
          <cell r="B452" t="str">
            <v>칼미아</v>
          </cell>
          <cell r="C452" t="str">
            <v>쌍자엽</v>
          </cell>
          <cell r="D452">
            <v>11</v>
          </cell>
          <cell r="E452" t="str">
            <v>식물</v>
          </cell>
          <cell r="F452">
            <v>3</v>
          </cell>
          <cell r="G452" t="str">
            <v>B</v>
          </cell>
          <cell r="H452">
            <v>3</v>
          </cell>
        </row>
        <row r="453">
          <cell r="A453">
            <v>70403125</v>
          </cell>
          <cell r="B453" t="str">
            <v>칼세올라리아</v>
          </cell>
          <cell r="C453" t="str">
            <v>쌍자엽</v>
          </cell>
          <cell r="D453">
            <v>11</v>
          </cell>
          <cell r="E453" t="str">
            <v>식물</v>
          </cell>
          <cell r="F453">
            <v>3</v>
          </cell>
          <cell r="G453" t="str">
            <v>A</v>
          </cell>
          <cell r="H453">
            <v>4</v>
          </cell>
        </row>
        <row r="454">
          <cell r="A454">
            <v>70403126</v>
          </cell>
          <cell r="B454" t="str">
            <v>코삐우에</v>
          </cell>
          <cell r="C454" t="str">
            <v>단자엽</v>
          </cell>
          <cell r="D454">
            <v>10</v>
          </cell>
          <cell r="E454" t="str">
            <v>식물</v>
          </cell>
          <cell r="F454">
            <v>3</v>
          </cell>
          <cell r="G454" t="str">
            <v>B</v>
          </cell>
          <cell r="H454">
            <v>3</v>
          </cell>
        </row>
        <row r="455">
          <cell r="A455">
            <v>70403127</v>
          </cell>
          <cell r="B455" t="str">
            <v>큰가시연꽃</v>
          </cell>
          <cell r="C455" t="str">
            <v>쌍자엽</v>
          </cell>
          <cell r="D455">
            <v>11</v>
          </cell>
          <cell r="E455" t="str">
            <v>식물</v>
          </cell>
          <cell r="F455">
            <v>3</v>
          </cell>
          <cell r="G455" t="str">
            <v>A</v>
          </cell>
          <cell r="H455">
            <v>4</v>
          </cell>
        </row>
        <row r="456">
          <cell r="A456">
            <v>70403128</v>
          </cell>
          <cell r="B456" t="str">
            <v>클레로덴드룸</v>
          </cell>
          <cell r="C456" t="str">
            <v>쌍자엽</v>
          </cell>
          <cell r="D456">
            <v>11</v>
          </cell>
          <cell r="E456" t="str">
            <v>식물</v>
          </cell>
          <cell r="F456">
            <v>3</v>
          </cell>
          <cell r="G456" t="str">
            <v>B</v>
          </cell>
          <cell r="H456">
            <v>3</v>
          </cell>
          <cell r="AW456" t="str">
            <v>특정 퀘스트(=)</v>
          </cell>
          <cell r="AY456" t="str">
            <v>앤 보니 시나리오</v>
          </cell>
          <cell r="BA456">
            <v>79</v>
          </cell>
        </row>
        <row r="457">
          <cell r="A457">
            <v>70403129</v>
          </cell>
          <cell r="B457" t="str">
            <v>태산목</v>
          </cell>
          <cell r="C457" t="str">
            <v>쌍자엽</v>
          </cell>
          <cell r="D457">
            <v>11</v>
          </cell>
          <cell r="E457" t="str">
            <v>식물</v>
          </cell>
          <cell r="F457">
            <v>3</v>
          </cell>
          <cell r="G457" t="str">
            <v>C</v>
          </cell>
          <cell r="H457">
            <v>2</v>
          </cell>
        </row>
        <row r="458">
          <cell r="A458">
            <v>70403130</v>
          </cell>
          <cell r="B458" t="str">
            <v>토끼풀</v>
          </cell>
          <cell r="C458" t="str">
            <v>쌍자엽</v>
          </cell>
          <cell r="D458">
            <v>11</v>
          </cell>
          <cell r="E458" t="str">
            <v>식물</v>
          </cell>
          <cell r="F458">
            <v>3</v>
          </cell>
          <cell r="G458" t="str">
            <v>D</v>
          </cell>
          <cell r="H458">
            <v>1</v>
          </cell>
        </row>
        <row r="459">
          <cell r="A459">
            <v>70403131</v>
          </cell>
          <cell r="B459" t="str">
            <v>토레니아</v>
          </cell>
          <cell r="C459" t="str">
            <v>쌍자엽</v>
          </cell>
          <cell r="D459">
            <v>11</v>
          </cell>
          <cell r="E459" t="str">
            <v>식물</v>
          </cell>
          <cell r="F459">
            <v>3</v>
          </cell>
          <cell r="G459" t="str">
            <v>D</v>
          </cell>
          <cell r="H459">
            <v>1</v>
          </cell>
          <cell r="AW459" t="str">
            <v/>
          </cell>
          <cell r="BA459" t="str">
            <v>-</v>
          </cell>
        </row>
        <row r="460">
          <cell r="A460">
            <v>70403132</v>
          </cell>
          <cell r="B460" t="str">
            <v>튤립</v>
          </cell>
          <cell r="C460" t="str">
            <v>단자엽</v>
          </cell>
          <cell r="D460">
            <v>10</v>
          </cell>
          <cell r="E460" t="str">
            <v>식물</v>
          </cell>
          <cell r="F460">
            <v>3</v>
          </cell>
          <cell r="G460" t="str">
            <v>D</v>
          </cell>
          <cell r="H460">
            <v>1</v>
          </cell>
        </row>
        <row r="461">
          <cell r="A461">
            <v>70403133</v>
          </cell>
          <cell r="B461" t="str">
            <v>틸란드시아</v>
          </cell>
          <cell r="C461" t="str">
            <v>단자엽</v>
          </cell>
          <cell r="D461">
            <v>10</v>
          </cell>
          <cell r="E461" t="str">
            <v>식물</v>
          </cell>
          <cell r="F461">
            <v>3</v>
          </cell>
          <cell r="G461" t="str">
            <v>A</v>
          </cell>
          <cell r="H461">
            <v>4</v>
          </cell>
        </row>
        <row r="462">
          <cell r="A462">
            <v>70403134</v>
          </cell>
          <cell r="B462" t="str">
            <v>파리지옥</v>
          </cell>
          <cell r="C462" t="str">
            <v>쌍자엽</v>
          </cell>
          <cell r="D462">
            <v>11</v>
          </cell>
          <cell r="E462" t="str">
            <v>식물</v>
          </cell>
          <cell r="F462">
            <v>3</v>
          </cell>
          <cell r="G462" t="str">
            <v>B</v>
          </cell>
          <cell r="H462">
            <v>3</v>
          </cell>
        </row>
        <row r="463">
          <cell r="A463">
            <v>70403135</v>
          </cell>
          <cell r="B463" t="str">
            <v>페요테</v>
          </cell>
          <cell r="C463" t="str">
            <v>쌍자엽</v>
          </cell>
          <cell r="D463">
            <v>11</v>
          </cell>
          <cell r="E463" t="str">
            <v>식물</v>
          </cell>
          <cell r="F463">
            <v>3</v>
          </cell>
          <cell r="G463" t="str">
            <v>B</v>
          </cell>
          <cell r="H463">
            <v>3</v>
          </cell>
        </row>
        <row r="464">
          <cell r="A464" t="str">
            <v>#70403136</v>
          </cell>
          <cell r="B464" t="str">
            <v>편백</v>
          </cell>
          <cell r="C464" t="str">
            <v>없음</v>
          </cell>
          <cell r="D464">
            <v>0</v>
          </cell>
          <cell r="E464" t="str">
            <v>식물</v>
          </cell>
          <cell r="F464">
            <v>3</v>
          </cell>
          <cell r="G464" t="str">
            <v>C</v>
          </cell>
          <cell r="H464">
            <v>2</v>
          </cell>
        </row>
        <row r="465">
          <cell r="A465">
            <v>70403137</v>
          </cell>
          <cell r="B465" t="str">
            <v>포인세티아</v>
          </cell>
          <cell r="C465" t="str">
            <v>쌍자엽</v>
          </cell>
          <cell r="D465">
            <v>11</v>
          </cell>
          <cell r="E465" t="str">
            <v>식물</v>
          </cell>
          <cell r="F465">
            <v>3</v>
          </cell>
          <cell r="G465" t="str">
            <v>C</v>
          </cell>
          <cell r="H465">
            <v>2</v>
          </cell>
          <cell r="AW465" t="str">
            <v/>
          </cell>
          <cell r="BA465" t="str">
            <v>-</v>
          </cell>
        </row>
        <row r="466">
          <cell r="A466">
            <v>70403138</v>
          </cell>
          <cell r="B466" t="str">
            <v>프로테아</v>
          </cell>
          <cell r="C466" t="str">
            <v>쌍자엽</v>
          </cell>
          <cell r="D466">
            <v>11</v>
          </cell>
          <cell r="E466" t="str">
            <v>식물</v>
          </cell>
          <cell r="F466">
            <v>3</v>
          </cell>
          <cell r="G466" t="str">
            <v>A</v>
          </cell>
          <cell r="H466">
            <v>4</v>
          </cell>
        </row>
        <row r="467">
          <cell r="A467">
            <v>70403139</v>
          </cell>
          <cell r="B467" t="str">
            <v>플록스</v>
          </cell>
          <cell r="C467" t="str">
            <v>쌍자엽</v>
          </cell>
          <cell r="D467">
            <v>11</v>
          </cell>
          <cell r="E467" t="str">
            <v>식물</v>
          </cell>
          <cell r="F467">
            <v>3</v>
          </cell>
          <cell r="G467" t="str">
            <v>C</v>
          </cell>
          <cell r="H467">
            <v>2</v>
          </cell>
        </row>
        <row r="468">
          <cell r="A468">
            <v>70403140</v>
          </cell>
          <cell r="B468" t="str">
            <v>함박꽃나무</v>
          </cell>
          <cell r="C468" t="str">
            <v>쌍자엽</v>
          </cell>
          <cell r="D468">
            <v>11</v>
          </cell>
          <cell r="E468" t="str">
            <v>식물</v>
          </cell>
          <cell r="F468">
            <v>3</v>
          </cell>
          <cell r="G468" t="str">
            <v>B</v>
          </cell>
          <cell r="H468">
            <v>3</v>
          </cell>
        </row>
        <row r="469">
          <cell r="A469">
            <v>70403141</v>
          </cell>
          <cell r="B469" t="str">
            <v>호접란</v>
          </cell>
          <cell r="C469" t="str">
            <v>단자엽</v>
          </cell>
          <cell r="D469">
            <v>10</v>
          </cell>
          <cell r="E469" t="str">
            <v>식물</v>
          </cell>
          <cell r="F469">
            <v>3</v>
          </cell>
          <cell r="G469" t="str">
            <v>A</v>
          </cell>
          <cell r="H469">
            <v>4</v>
          </cell>
        </row>
        <row r="470">
          <cell r="A470" t="str">
            <v>#70403142</v>
          </cell>
          <cell r="B470" t="str">
            <v>화경버섯</v>
          </cell>
          <cell r="C470" t="str">
            <v>없음</v>
          </cell>
          <cell r="D470">
            <v>0</v>
          </cell>
          <cell r="E470" t="str">
            <v>식물</v>
          </cell>
          <cell r="F470">
            <v>3</v>
          </cell>
          <cell r="G470" t="str">
            <v>B</v>
          </cell>
          <cell r="H470">
            <v>3</v>
          </cell>
        </row>
        <row r="471">
          <cell r="A471">
            <v>70403143</v>
          </cell>
          <cell r="B471" t="str">
            <v>화염목</v>
          </cell>
          <cell r="C471" t="str">
            <v>쌍자엽</v>
          </cell>
          <cell r="D471">
            <v>11</v>
          </cell>
          <cell r="E471" t="str">
            <v>식물</v>
          </cell>
          <cell r="F471">
            <v>3</v>
          </cell>
          <cell r="G471" t="str">
            <v>C</v>
          </cell>
          <cell r="H471">
            <v>2</v>
          </cell>
          <cell r="AW471" t="str">
            <v/>
          </cell>
          <cell r="BA471" t="str">
            <v>-</v>
          </cell>
        </row>
        <row r="472">
          <cell r="A472">
            <v>70403144</v>
          </cell>
          <cell r="B472" t="str">
            <v>회화나무</v>
          </cell>
          <cell r="C472" t="str">
            <v>쌍자엽</v>
          </cell>
          <cell r="D472">
            <v>11</v>
          </cell>
          <cell r="E472" t="str">
            <v>식물</v>
          </cell>
          <cell r="F472">
            <v>3</v>
          </cell>
          <cell r="G472" t="str">
            <v>B</v>
          </cell>
          <cell r="H472">
            <v>3</v>
          </cell>
        </row>
        <row r="473">
          <cell r="A473">
            <v>70403145</v>
          </cell>
          <cell r="B473" t="str">
            <v>흑종초</v>
          </cell>
          <cell r="C473" t="str">
            <v>쌍자엽</v>
          </cell>
          <cell r="D473">
            <v>11</v>
          </cell>
          <cell r="E473" t="str">
            <v>식물</v>
          </cell>
          <cell r="F473">
            <v>3</v>
          </cell>
          <cell r="G473" t="str">
            <v>A</v>
          </cell>
          <cell r="H473">
            <v>4</v>
          </cell>
        </row>
        <row r="474">
          <cell r="A474">
            <v>70403146</v>
          </cell>
          <cell r="B474" t="str">
            <v>히드노라 아프리카나</v>
          </cell>
          <cell r="C474" t="str">
            <v>쌍자엽</v>
          </cell>
          <cell r="D474">
            <v>11</v>
          </cell>
          <cell r="E474" t="str">
            <v>식물</v>
          </cell>
          <cell r="F474">
            <v>3</v>
          </cell>
          <cell r="G474" t="str">
            <v>S</v>
          </cell>
          <cell r="H474">
            <v>5</v>
          </cell>
          <cell r="AW474" t="str">
            <v>특정 퀘스트(=)</v>
          </cell>
          <cell r="AY474" t="str">
            <v>오해를 부르는 향기</v>
          </cell>
          <cell r="BA474">
            <v>3</v>
          </cell>
        </row>
        <row r="475">
          <cell r="A475">
            <v>70403147</v>
          </cell>
          <cell r="B475" t="str">
            <v>히아신스</v>
          </cell>
          <cell r="C475" t="str">
            <v>단자엽</v>
          </cell>
          <cell r="D475">
            <v>10</v>
          </cell>
          <cell r="E475" t="str">
            <v>식물</v>
          </cell>
          <cell r="F475">
            <v>3</v>
          </cell>
          <cell r="G475" t="str">
            <v>D</v>
          </cell>
          <cell r="H475">
            <v>1</v>
          </cell>
          <cell r="AW475" t="str">
            <v>특정 퀘스트(=)</v>
          </cell>
          <cell r="AY475" t="str">
            <v>슬픔이 담긴 꽃</v>
          </cell>
          <cell r="BA475">
            <v>1</v>
          </cell>
        </row>
        <row r="476">
          <cell r="A476">
            <v>70403148</v>
          </cell>
          <cell r="B476" t="str">
            <v>남극좀새풀</v>
          </cell>
          <cell r="C476" t="str">
            <v>단자엽</v>
          </cell>
          <cell r="D476">
            <v>10</v>
          </cell>
          <cell r="E476" t="str">
            <v>식물</v>
          </cell>
          <cell r="F476">
            <v>3</v>
          </cell>
          <cell r="G476" t="str">
            <v>B</v>
          </cell>
          <cell r="H476">
            <v>3</v>
          </cell>
        </row>
        <row r="477">
          <cell r="A477">
            <v>70403149</v>
          </cell>
          <cell r="B477" t="str">
            <v>산솔이끼</v>
          </cell>
          <cell r="C477" t="str">
            <v>단자엽</v>
          </cell>
          <cell r="D477">
            <v>10</v>
          </cell>
          <cell r="E477" t="str">
            <v>식물</v>
          </cell>
          <cell r="F477">
            <v>3</v>
          </cell>
          <cell r="G477" t="str">
            <v>C</v>
          </cell>
          <cell r="H477">
            <v>2</v>
          </cell>
        </row>
        <row r="478">
          <cell r="A478">
            <v>70403150</v>
          </cell>
          <cell r="B478" t="str">
            <v>침솔이끼</v>
          </cell>
          <cell r="C478" t="str">
            <v>단자엽</v>
          </cell>
          <cell r="D478">
            <v>10</v>
          </cell>
          <cell r="E478" t="str">
            <v>식물</v>
          </cell>
          <cell r="F478">
            <v>3</v>
          </cell>
          <cell r="G478" t="str">
            <v>C</v>
          </cell>
          <cell r="H478">
            <v>2</v>
          </cell>
        </row>
        <row r="479">
          <cell r="A479">
            <v>70403151</v>
          </cell>
          <cell r="B479" t="str">
            <v>작은검정이끼</v>
          </cell>
          <cell r="C479" t="str">
            <v>단자엽</v>
          </cell>
          <cell r="D479">
            <v>10</v>
          </cell>
          <cell r="E479" t="str">
            <v>식물</v>
          </cell>
          <cell r="F479">
            <v>3</v>
          </cell>
          <cell r="G479" t="str">
            <v>C</v>
          </cell>
          <cell r="H479">
            <v>2</v>
          </cell>
        </row>
        <row r="480">
          <cell r="A480">
            <v>70403152</v>
          </cell>
          <cell r="B480" t="str">
            <v>낫깃털이끼</v>
          </cell>
          <cell r="C480" t="str">
            <v>단자엽</v>
          </cell>
          <cell r="D480">
            <v>10</v>
          </cell>
          <cell r="E480" t="str">
            <v>식물</v>
          </cell>
          <cell r="F480">
            <v>3</v>
          </cell>
          <cell r="G480" t="str">
            <v>B</v>
          </cell>
          <cell r="H480">
            <v>3</v>
          </cell>
        </row>
        <row r="481">
          <cell r="A481">
            <v>70403153</v>
          </cell>
          <cell r="B481" t="str">
            <v>남극구슬이끼</v>
          </cell>
          <cell r="C481" t="str">
            <v>단자엽</v>
          </cell>
          <cell r="D481">
            <v>10</v>
          </cell>
          <cell r="E481" t="str">
            <v>식물</v>
          </cell>
          <cell r="F481">
            <v>3</v>
          </cell>
          <cell r="G481" t="str">
            <v>C</v>
          </cell>
          <cell r="H481">
            <v>2</v>
          </cell>
        </row>
        <row r="482">
          <cell r="A482">
            <v>70403154</v>
          </cell>
          <cell r="B482" t="str">
            <v>남극선이끼</v>
          </cell>
          <cell r="C482" t="str">
            <v>단자엽</v>
          </cell>
          <cell r="D482">
            <v>10</v>
          </cell>
          <cell r="E482" t="str">
            <v>식물</v>
          </cell>
          <cell r="F482">
            <v>3</v>
          </cell>
          <cell r="G482" t="str">
            <v>B</v>
          </cell>
          <cell r="H482">
            <v>3</v>
          </cell>
        </row>
        <row r="483">
          <cell r="A483">
            <v>70404000</v>
          </cell>
          <cell r="B483" t="str">
            <v>게아재비</v>
          </cell>
          <cell r="C483" t="str">
            <v>무척추동물</v>
          </cell>
          <cell r="D483">
            <v>9</v>
          </cell>
          <cell r="E483" t="str">
            <v>동물</v>
          </cell>
          <cell r="F483">
            <v>2</v>
          </cell>
          <cell r="G483" t="str">
            <v>D</v>
          </cell>
          <cell r="H483">
            <v>1</v>
          </cell>
          <cell r="AW483" t="str">
            <v/>
          </cell>
          <cell r="BA483" t="str">
            <v>-</v>
          </cell>
        </row>
        <row r="484">
          <cell r="A484">
            <v>70404001</v>
          </cell>
          <cell r="B484" t="str">
            <v>곤봉딱정벌레</v>
          </cell>
          <cell r="C484" t="str">
            <v>무척추동물</v>
          </cell>
          <cell r="D484">
            <v>9</v>
          </cell>
          <cell r="E484" t="str">
            <v>동물</v>
          </cell>
          <cell r="F484">
            <v>2</v>
          </cell>
          <cell r="G484" t="str">
            <v>B</v>
          </cell>
          <cell r="H484">
            <v>3</v>
          </cell>
        </row>
        <row r="485">
          <cell r="A485">
            <v>70404002</v>
          </cell>
          <cell r="B485" t="str">
            <v>군대개미</v>
          </cell>
          <cell r="C485" t="str">
            <v>무척추동물</v>
          </cell>
          <cell r="D485">
            <v>9</v>
          </cell>
          <cell r="E485" t="str">
            <v>동물</v>
          </cell>
          <cell r="F485">
            <v>2</v>
          </cell>
          <cell r="G485" t="str">
            <v>B</v>
          </cell>
          <cell r="H485">
            <v>3</v>
          </cell>
        </row>
        <row r="486">
          <cell r="A486">
            <v>70404003</v>
          </cell>
          <cell r="B486" t="str">
            <v>기라파톱사슴벌레</v>
          </cell>
          <cell r="C486" t="str">
            <v>무척추동물</v>
          </cell>
          <cell r="D486">
            <v>9</v>
          </cell>
          <cell r="E486" t="str">
            <v>동물</v>
          </cell>
          <cell r="F486">
            <v>2</v>
          </cell>
          <cell r="G486" t="str">
            <v>A</v>
          </cell>
          <cell r="H486">
            <v>4</v>
          </cell>
        </row>
        <row r="487">
          <cell r="A487">
            <v>70404004</v>
          </cell>
          <cell r="B487" t="str">
            <v>긴꼬리제비나비</v>
          </cell>
          <cell r="C487" t="str">
            <v>무척추동물</v>
          </cell>
          <cell r="D487">
            <v>9</v>
          </cell>
          <cell r="E487" t="str">
            <v>동물</v>
          </cell>
          <cell r="F487">
            <v>2</v>
          </cell>
          <cell r="G487" t="str">
            <v>D</v>
          </cell>
          <cell r="H487">
            <v>1</v>
          </cell>
          <cell r="AW487" t="str">
            <v/>
          </cell>
          <cell r="BA487" t="str">
            <v>-</v>
          </cell>
        </row>
        <row r="488">
          <cell r="A488">
            <v>70404005</v>
          </cell>
          <cell r="B488" t="str">
            <v>꼬리명주나비</v>
          </cell>
          <cell r="C488" t="str">
            <v>무척추동물</v>
          </cell>
          <cell r="D488">
            <v>9</v>
          </cell>
          <cell r="E488" t="str">
            <v>동물</v>
          </cell>
          <cell r="F488">
            <v>2</v>
          </cell>
          <cell r="G488" t="str">
            <v>D</v>
          </cell>
          <cell r="H488">
            <v>1</v>
          </cell>
          <cell r="AW488" t="str">
            <v/>
          </cell>
          <cell r="BA488" t="str">
            <v>-</v>
          </cell>
        </row>
        <row r="489">
          <cell r="A489">
            <v>70404006</v>
          </cell>
          <cell r="B489" t="str">
            <v>남방제비나비</v>
          </cell>
          <cell r="C489" t="str">
            <v>무척추동물</v>
          </cell>
          <cell r="D489">
            <v>9</v>
          </cell>
          <cell r="E489" t="str">
            <v>동물</v>
          </cell>
          <cell r="F489">
            <v>2</v>
          </cell>
          <cell r="G489" t="str">
            <v>B</v>
          </cell>
          <cell r="H489">
            <v>3</v>
          </cell>
        </row>
        <row r="490">
          <cell r="A490">
            <v>70404007</v>
          </cell>
          <cell r="B490" t="str">
            <v>넵튠왕장수풍뎅이</v>
          </cell>
          <cell r="C490" t="str">
            <v>무척추동물</v>
          </cell>
          <cell r="D490">
            <v>9</v>
          </cell>
          <cell r="E490" t="str">
            <v>동물</v>
          </cell>
          <cell r="F490">
            <v>2</v>
          </cell>
          <cell r="G490" t="str">
            <v>S</v>
          </cell>
          <cell r="H490">
            <v>5</v>
          </cell>
        </row>
        <row r="491">
          <cell r="A491">
            <v>70404008</v>
          </cell>
          <cell r="B491" t="str">
            <v>누에나방</v>
          </cell>
          <cell r="C491" t="str">
            <v>무척추동물</v>
          </cell>
          <cell r="D491">
            <v>9</v>
          </cell>
          <cell r="E491" t="str">
            <v>동물</v>
          </cell>
          <cell r="F491">
            <v>2</v>
          </cell>
          <cell r="G491" t="str">
            <v>C</v>
          </cell>
          <cell r="H491">
            <v>2</v>
          </cell>
        </row>
        <row r="492">
          <cell r="A492">
            <v>70404009</v>
          </cell>
          <cell r="B492" t="str">
            <v>돌담무늬나비</v>
          </cell>
          <cell r="C492" t="str">
            <v>무척추동물</v>
          </cell>
          <cell r="D492">
            <v>9</v>
          </cell>
          <cell r="E492" t="str">
            <v>동물</v>
          </cell>
          <cell r="F492">
            <v>2</v>
          </cell>
          <cell r="G492" t="str">
            <v>A</v>
          </cell>
          <cell r="H492">
            <v>4</v>
          </cell>
        </row>
        <row r="493">
          <cell r="A493">
            <v>70404010</v>
          </cell>
          <cell r="B493" t="str">
            <v>말레이제왕매미</v>
          </cell>
          <cell r="C493" t="str">
            <v>무척추동물</v>
          </cell>
          <cell r="D493">
            <v>9</v>
          </cell>
          <cell r="E493" t="str">
            <v>동물</v>
          </cell>
          <cell r="F493">
            <v>2</v>
          </cell>
          <cell r="G493" t="str">
            <v>C</v>
          </cell>
          <cell r="H493">
            <v>2</v>
          </cell>
        </row>
        <row r="494">
          <cell r="A494">
            <v>70404011</v>
          </cell>
          <cell r="B494" t="str">
            <v>모자주홍하늘소</v>
          </cell>
          <cell r="C494" t="str">
            <v>무척추동물</v>
          </cell>
          <cell r="D494">
            <v>9</v>
          </cell>
          <cell r="E494" t="str">
            <v>동물</v>
          </cell>
          <cell r="F494">
            <v>2</v>
          </cell>
          <cell r="G494" t="str">
            <v>B</v>
          </cell>
          <cell r="H494">
            <v>3</v>
          </cell>
        </row>
        <row r="495">
          <cell r="A495">
            <v>70404012</v>
          </cell>
          <cell r="B495" t="str">
            <v>바이올린딱정벌레</v>
          </cell>
          <cell r="C495" t="str">
            <v>무척추동물</v>
          </cell>
          <cell r="D495">
            <v>9</v>
          </cell>
          <cell r="E495" t="str">
            <v>동물</v>
          </cell>
          <cell r="F495">
            <v>2</v>
          </cell>
          <cell r="G495" t="str">
            <v>B</v>
          </cell>
          <cell r="H495">
            <v>3</v>
          </cell>
        </row>
        <row r="496">
          <cell r="A496">
            <v>70404013</v>
          </cell>
          <cell r="B496" t="str">
            <v>반딧불이</v>
          </cell>
          <cell r="C496" t="str">
            <v>무척추동물</v>
          </cell>
          <cell r="D496">
            <v>9</v>
          </cell>
          <cell r="E496" t="str">
            <v>동물</v>
          </cell>
          <cell r="F496">
            <v>2</v>
          </cell>
          <cell r="G496" t="str">
            <v>B</v>
          </cell>
          <cell r="H496">
            <v>3</v>
          </cell>
        </row>
        <row r="497">
          <cell r="A497">
            <v>70404014</v>
          </cell>
          <cell r="B497" t="str">
            <v>발광방아벌레</v>
          </cell>
          <cell r="C497" t="str">
            <v>무척추동물</v>
          </cell>
          <cell r="D497">
            <v>9</v>
          </cell>
          <cell r="E497" t="str">
            <v>동물</v>
          </cell>
          <cell r="F497">
            <v>2</v>
          </cell>
          <cell r="G497" t="str">
            <v>C</v>
          </cell>
          <cell r="H497">
            <v>2</v>
          </cell>
        </row>
        <row r="498">
          <cell r="A498">
            <v>70404015</v>
          </cell>
          <cell r="B498" t="str">
            <v>방랑개미</v>
          </cell>
          <cell r="C498" t="str">
            <v>무척추동물</v>
          </cell>
          <cell r="D498">
            <v>9</v>
          </cell>
          <cell r="E498" t="str">
            <v>동물</v>
          </cell>
          <cell r="F498">
            <v>2</v>
          </cell>
          <cell r="G498" t="str">
            <v>A</v>
          </cell>
          <cell r="H498">
            <v>4</v>
          </cell>
        </row>
        <row r="499">
          <cell r="A499">
            <v>70404016</v>
          </cell>
          <cell r="B499" t="str">
            <v>뱀눈나비</v>
          </cell>
          <cell r="C499" t="str">
            <v>무척추동물</v>
          </cell>
          <cell r="D499">
            <v>9</v>
          </cell>
          <cell r="E499" t="str">
            <v>동물</v>
          </cell>
          <cell r="F499">
            <v>2</v>
          </cell>
          <cell r="G499" t="str">
            <v>B</v>
          </cell>
          <cell r="H499">
            <v>3</v>
          </cell>
        </row>
        <row r="500">
          <cell r="A500">
            <v>70404017</v>
          </cell>
          <cell r="B500" t="str">
            <v>뿔매미</v>
          </cell>
          <cell r="C500" t="str">
            <v>무척추동물</v>
          </cell>
          <cell r="D500">
            <v>9</v>
          </cell>
          <cell r="E500" t="str">
            <v>동물</v>
          </cell>
          <cell r="F500">
            <v>2</v>
          </cell>
          <cell r="G500" t="str">
            <v>B</v>
          </cell>
          <cell r="H500">
            <v>3</v>
          </cell>
        </row>
        <row r="501">
          <cell r="A501">
            <v>70404018</v>
          </cell>
          <cell r="B501" t="str">
            <v>사람얼굴노린재</v>
          </cell>
          <cell r="C501" t="str">
            <v>무척추동물</v>
          </cell>
          <cell r="D501">
            <v>9</v>
          </cell>
          <cell r="E501" t="str">
            <v>동물</v>
          </cell>
          <cell r="F501">
            <v>2</v>
          </cell>
          <cell r="G501" t="str">
            <v>S</v>
          </cell>
          <cell r="H501">
            <v>5</v>
          </cell>
        </row>
        <row r="502">
          <cell r="A502">
            <v>70404019</v>
          </cell>
          <cell r="B502" t="str">
            <v>사막메뚜기</v>
          </cell>
          <cell r="C502" t="str">
            <v>무척추동물</v>
          </cell>
          <cell r="D502">
            <v>9</v>
          </cell>
          <cell r="E502" t="str">
            <v>동물</v>
          </cell>
          <cell r="F502">
            <v>2</v>
          </cell>
          <cell r="G502" t="str">
            <v>B</v>
          </cell>
          <cell r="H502">
            <v>3</v>
          </cell>
        </row>
        <row r="503">
          <cell r="A503">
            <v>70404020</v>
          </cell>
          <cell r="B503" t="str">
            <v>사슴벌레</v>
          </cell>
          <cell r="C503" t="str">
            <v>무척추동물</v>
          </cell>
          <cell r="D503">
            <v>9</v>
          </cell>
          <cell r="E503" t="str">
            <v>동물</v>
          </cell>
          <cell r="F503">
            <v>2</v>
          </cell>
          <cell r="G503" t="str">
            <v>B</v>
          </cell>
          <cell r="H503">
            <v>3</v>
          </cell>
        </row>
        <row r="504">
          <cell r="A504">
            <v>70404021</v>
          </cell>
          <cell r="B504" t="str">
            <v>사하라사막개미</v>
          </cell>
          <cell r="C504" t="str">
            <v>무척추동물</v>
          </cell>
          <cell r="D504">
            <v>9</v>
          </cell>
          <cell r="E504" t="str">
            <v>동물</v>
          </cell>
          <cell r="F504">
            <v>2</v>
          </cell>
          <cell r="G504" t="str">
            <v>S</v>
          </cell>
          <cell r="H504">
            <v>5</v>
          </cell>
        </row>
        <row r="505">
          <cell r="A505">
            <v>70404022</v>
          </cell>
          <cell r="B505" t="str">
            <v>사향제비나비</v>
          </cell>
          <cell r="C505" t="str">
            <v>무척추동물</v>
          </cell>
          <cell r="D505">
            <v>9</v>
          </cell>
          <cell r="E505" t="str">
            <v>동물</v>
          </cell>
          <cell r="F505">
            <v>2</v>
          </cell>
          <cell r="G505" t="str">
            <v>B</v>
          </cell>
          <cell r="H505">
            <v>3</v>
          </cell>
        </row>
        <row r="506">
          <cell r="A506">
            <v>70404023</v>
          </cell>
          <cell r="B506" t="str">
            <v>신선나비</v>
          </cell>
          <cell r="C506" t="str">
            <v>무척추동물</v>
          </cell>
          <cell r="D506">
            <v>9</v>
          </cell>
          <cell r="E506" t="str">
            <v>동물</v>
          </cell>
          <cell r="F506">
            <v>2</v>
          </cell>
          <cell r="G506" t="str">
            <v>B</v>
          </cell>
          <cell r="H506">
            <v>3</v>
          </cell>
        </row>
        <row r="507">
          <cell r="A507">
            <v>70404024</v>
          </cell>
          <cell r="B507" t="str">
            <v>아틀라스대왕산누에나방</v>
          </cell>
          <cell r="C507" t="str">
            <v>무척추동물</v>
          </cell>
          <cell r="D507">
            <v>9</v>
          </cell>
          <cell r="E507" t="str">
            <v>동물</v>
          </cell>
          <cell r="F507">
            <v>2</v>
          </cell>
          <cell r="G507" t="str">
            <v>D</v>
          </cell>
          <cell r="H507">
            <v>1</v>
          </cell>
          <cell r="AW507" t="str">
            <v/>
          </cell>
          <cell r="BA507" t="str">
            <v>-</v>
          </cell>
        </row>
        <row r="508">
          <cell r="A508">
            <v>70404025</v>
          </cell>
          <cell r="B508" t="str">
            <v>아틀라스왕장수풍뎅이</v>
          </cell>
          <cell r="C508" t="str">
            <v>무척추동물</v>
          </cell>
          <cell r="D508">
            <v>9</v>
          </cell>
          <cell r="E508" t="str">
            <v>동물</v>
          </cell>
          <cell r="F508">
            <v>2</v>
          </cell>
          <cell r="G508" t="str">
            <v>D</v>
          </cell>
          <cell r="H508">
            <v>1</v>
          </cell>
          <cell r="AW508" t="str">
            <v/>
          </cell>
          <cell r="BA508" t="str">
            <v>-</v>
          </cell>
        </row>
        <row r="509">
          <cell r="A509">
            <v>70404026</v>
          </cell>
          <cell r="B509" t="str">
            <v>아폴로모시나비</v>
          </cell>
          <cell r="C509" t="str">
            <v>무척추동물</v>
          </cell>
          <cell r="D509">
            <v>9</v>
          </cell>
          <cell r="E509" t="str">
            <v>동물</v>
          </cell>
          <cell r="F509">
            <v>2</v>
          </cell>
          <cell r="G509" t="str">
            <v>A</v>
          </cell>
          <cell r="H509">
            <v>4</v>
          </cell>
        </row>
        <row r="510">
          <cell r="A510">
            <v>70404027</v>
          </cell>
          <cell r="B510" t="str">
            <v>악어머리뿔매미</v>
          </cell>
          <cell r="C510" t="str">
            <v>무척추동물</v>
          </cell>
          <cell r="D510">
            <v>9</v>
          </cell>
          <cell r="E510" t="str">
            <v>동물</v>
          </cell>
          <cell r="F510">
            <v>2</v>
          </cell>
          <cell r="G510" t="str">
            <v>D</v>
          </cell>
          <cell r="H510">
            <v>1</v>
          </cell>
        </row>
        <row r="511">
          <cell r="A511">
            <v>70404028</v>
          </cell>
          <cell r="B511" t="str">
            <v>오각뿔장수풍뎅이</v>
          </cell>
          <cell r="C511" t="str">
            <v>무척추동물</v>
          </cell>
          <cell r="D511">
            <v>9</v>
          </cell>
          <cell r="E511" t="str">
            <v>동물</v>
          </cell>
          <cell r="F511">
            <v>2</v>
          </cell>
          <cell r="G511" t="str">
            <v>A</v>
          </cell>
          <cell r="H511">
            <v>4</v>
          </cell>
        </row>
        <row r="512">
          <cell r="A512">
            <v>70404029</v>
          </cell>
          <cell r="B512" t="str">
            <v>왕넓적사슴벌레</v>
          </cell>
          <cell r="C512" t="str">
            <v>무척추동물</v>
          </cell>
          <cell r="D512">
            <v>9</v>
          </cell>
          <cell r="E512" t="str">
            <v>동물</v>
          </cell>
          <cell r="F512">
            <v>2</v>
          </cell>
          <cell r="G512" t="str">
            <v>A</v>
          </cell>
          <cell r="H512">
            <v>4</v>
          </cell>
        </row>
        <row r="513">
          <cell r="A513">
            <v>70404030</v>
          </cell>
          <cell r="B513" t="str">
            <v>왕오색나비</v>
          </cell>
          <cell r="C513" t="str">
            <v>무척추동물</v>
          </cell>
          <cell r="D513">
            <v>9</v>
          </cell>
          <cell r="E513" t="str">
            <v>동물</v>
          </cell>
          <cell r="F513">
            <v>2</v>
          </cell>
          <cell r="G513" t="str">
            <v>C</v>
          </cell>
          <cell r="H513">
            <v>2</v>
          </cell>
          <cell r="AW513" t="str">
            <v/>
          </cell>
          <cell r="BA513" t="str">
            <v>-</v>
          </cell>
        </row>
        <row r="514">
          <cell r="A514">
            <v>70404031</v>
          </cell>
          <cell r="B514" t="str">
            <v>웨이스키보라띠제비나비</v>
          </cell>
          <cell r="C514" t="str">
            <v>무척추동물</v>
          </cell>
          <cell r="D514">
            <v>9</v>
          </cell>
          <cell r="E514" t="str">
            <v>동물</v>
          </cell>
          <cell r="F514">
            <v>2</v>
          </cell>
          <cell r="G514" t="str">
            <v>A</v>
          </cell>
          <cell r="H514">
            <v>4</v>
          </cell>
        </row>
        <row r="515">
          <cell r="A515">
            <v>70404032</v>
          </cell>
          <cell r="B515" t="str">
            <v>유리창나비</v>
          </cell>
          <cell r="C515" t="str">
            <v>무척추동물</v>
          </cell>
          <cell r="D515">
            <v>9</v>
          </cell>
          <cell r="E515" t="str">
            <v>동물</v>
          </cell>
          <cell r="F515">
            <v>2</v>
          </cell>
          <cell r="G515" t="str">
            <v>C</v>
          </cell>
          <cell r="H515">
            <v>2</v>
          </cell>
        </row>
        <row r="516">
          <cell r="A516">
            <v>70404033</v>
          </cell>
          <cell r="B516" t="str">
            <v>잘모키스제비나비</v>
          </cell>
          <cell r="C516" t="str">
            <v>무척추동물</v>
          </cell>
          <cell r="D516">
            <v>9</v>
          </cell>
          <cell r="E516" t="str">
            <v>동물</v>
          </cell>
          <cell r="F516">
            <v>2</v>
          </cell>
          <cell r="G516" t="str">
            <v>C</v>
          </cell>
          <cell r="H516">
            <v>2</v>
          </cell>
        </row>
        <row r="517">
          <cell r="A517">
            <v>70404034</v>
          </cell>
          <cell r="B517" t="str">
            <v>장수하늘소</v>
          </cell>
          <cell r="C517" t="str">
            <v>무척추동물</v>
          </cell>
          <cell r="D517">
            <v>9</v>
          </cell>
          <cell r="E517" t="str">
            <v>동물</v>
          </cell>
          <cell r="F517">
            <v>2</v>
          </cell>
          <cell r="G517" t="str">
            <v>A</v>
          </cell>
          <cell r="H517">
            <v>4</v>
          </cell>
        </row>
        <row r="518">
          <cell r="A518">
            <v>70404035</v>
          </cell>
          <cell r="B518" t="str">
            <v>저녁매미</v>
          </cell>
          <cell r="C518" t="str">
            <v>무척추동물</v>
          </cell>
          <cell r="D518">
            <v>9</v>
          </cell>
          <cell r="E518" t="str">
            <v>동물</v>
          </cell>
          <cell r="F518">
            <v>2</v>
          </cell>
          <cell r="G518" t="str">
            <v>C</v>
          </cell>
          <cell r="H518">
            <v>2</v>
          </cell>
        </row>
        <row r="519">
          <cell r="A519">
            <v>70404036</v>
          </cell>
          <cell r="B519" t="str">
            <v>제왕얼룩나비</v>
          </cell>
          <cell r="C519" t="str">
            <v>무척추동물</v>
          </cell>
          <cell r="D519">
            <v>9</v>
          </cell>
          <cell r="E519" t="str">
            <v>동물</v>
          </cell>
          <cell r="F519">
            <v>2</v>
          </cell>
          <cell r="G519" t="str">
            <v>B</v>
          </cell>
          <cell r="H519">
            <v>3</v>
          </cell>
        </row>
        <row r="520">
          <cell r="A520">
            <v>70404037</v>
          </cell>
          <cell r="B520" t="str">
            <v>주홍점박이긴앞다리풍뎅이</v>
          </cell>
          <cell r="C520" t="str">
            <v>무척추동물</v>
          </cell>
          <cell r="D520">
            <v>9</v>
          </cell>
          <cell r="E520" t="str">
            <v>동물</v>
          </cell>
          <cell r="F520">
            <v>2</v>
          </cell>
          <cell r="G520" t="str">
            <v>C</v>
          </cell>
          <cell r="H520">
            <v>2</v>
          </cell>
        </row>
        <row r="521">
          <cell r="A521">
            <v>70404038</v>
          </cell>
          <cell r="B521" t="str">
            <v>청귀뚜라미</v>
          </cell>
          <cell r="C521" t="str">
            <v>무척추동물</v>
          </cell>
          <cell r="D521">
            <v>9</v>
          </cell>
          <cell r="E521" t="str">
            <v>동물</v>
          </cell>
          <cell r="F521">
            <v>2</v>
          </cell>
          <cell r="G521" t="str">
            <v>C</v>
          </cell>
          <cell r="H521">
            <v>2</v>
          </cell>
        </row>
        <row r="522">
          <cell r="A522">
            <v>70404039</v>
          </cell>
          <cell r="B522" t="str">
            <v>총알개미</v>
          </cell>
          <cell r="C522" t="str">
            <v>무척추동물</v>
          </cell>
          <cell r="D522">
            <v>9</v>
          </cell>
          <cell r="E522" t="str">
            <v>동물</v>
          </cell>
          <cell r="F522">
            <v>2</v>
          </cell>
          <cell r="G522" t="str">
            <v>B</v>
          </cell>
          <cell r="H522">
            <v>3</v>
          </cell>
        </row>
        <row r="523">
          <cell r="A523">
            <v>70404040</v>
          </cell>
          <cell r="B523" t="str">
            <v>침노린재</v>
          </cell>
          <cell r="C523" t="str">
            <v>무척추동물</v>
          </cell>
          <cell r="D523">
            <v>9</v>
          </cell>
          <cell r="E523" t="str">
            <v>동물</v>
          </cell>
          <cell r="F523">
            <v>2</v>
          </cell>
          <cell r="G523" t="str">
            <v>B</v>
          </cell>
          <cell r="H523">
            <v>3</v>
          </cell>
        </row>
        <row r="524">
          <cell r="A524">
            <v>70404041</v>
          </cell>
          <cell r="B524" t="str">
            <v>코카서스왕장수풍뎅이</v>
          </cell>
          <cell r="C524" t="str">
            <v>무척추동물</v>
          </cell>
          <cell r="D524">
            <v>9</v>
          </cell>
          <cell r="E524" t="str">
            <v>동물</v>
          </cell>
          <cell r="F524">
            <v>2</v>
          </cell>
          <cell r="G524" t="str">
            <v>C</v>
          </cell>
          <cell r="H524">
            <v>2</v>
          </cell>
        </row>
        <row r="525">
          <cell r="A525">
            <v>70404042</v>
          </cell>
          <cell r="B525" t="str">
            <v>큰나뭇잎벌레</v>
          </cell>
          <cell r="C525" t="str">
            <v>무척추동물</v>
          </cell>
          <cell r="D525">
            <v>9</v>
          </cell>
          <cell r="E525" t="str">
            <v>동물</v>
          </cell>
          <cell r="F525">
            <v>2</v>
          </cell>
          <cell r="G525" t="str">
            <v>B</v>
          </cell>
          <cell r="H525">
            <v>3</v>
          </cell>
        </row>
        <row r="526">
          <cell r="A526">
            <v>70404043</v>
          </cell>
          <cell r="B526" t="str">
            <v>타이탄하늘소</v>
          </cell>
          <cell r="C526" t="str">
            <v>무척추동물</v>
          </cell>
          <cell r="D526">
            <v>9</v>
          </cell>
          <cell r="E526" t="str">
            <v>동물</v>
          </cell>
          <cell r="F526">
            <v>2</v>
          </cell>
          <cell r="G526" t="str">
            <v>S</v>
          </cell>
          <cell r="H526">
            <v>5</v>
          </cell>
        </row>
        <row r="527">
          <cell r="A527">
            <v>70404044</v>
          </cell>
          <cell r="B527" t="str">
            <v>푸른측범잠자리</v>
          </cell>
          <cell r="C527" t="str">
            <v>무척추동물</v>
          </cell>
          <cell r="D527">
            <v>9</v>
          </cell>
          <cell r="E527" t="str">
            <v>동물</v>
          </cell>
          <cell r="F527">
            <v>2</v>
          </cell>
          <cell r="G527" t="str">
            <v>B</v>
          </cell>
          <cell r="H527">
            <v>3</v>
          </cell>
        </row>
        <row r="528">
          <cell r="A528">
            <v>70404045</v>
          </cell>
          <cell r="B528" t="str">
            <v>헤라클레스왕장수풍뎅이</v>
          </cell>
          <cell r="C528" t="str">
            <v>무척추동물</v>
          </cell>
          <cell r="D528">
            <v>9</v>
          </cell>
          <cell r="E528" t="str">
            <v>동물</v>
          </cell>
          <cell r="F528">
            <v>2</v>
          </cell>
          <cell r="G528" t="str">
            <v>A</v>
          </cell>
          <cell r="H528">
            <v>4</v>
          </cell>
        </row>
        <row r="529">
          <cell r="A529">
            <v>70405000</v>
          </cell>
          <cell r="B529" t="str">
            <v>가면올빼미</v>
          </cell>
          <cell r="C529" t="str">
            <v>조류</v>
          </cell>
          <cell r="D529">
            <v>6</v>
          </cell>
          <cell r="E529" t="str">
            <v>동물</v>
          </cell>
          <cell r="F529">
            <v>2</v>
          </cell>
          <cell r="G529" t="str">
            <v>C</v>
          </cell>
          <cell r="H529">
            <v>2</v>
          </cell>
        </row>
        <row r="530">
          <cell r="A530">
            <v>70405001</v>
          </cell>
          <cell r="B530" t="str">
            <v>가시올빼미</v>
          </cell>
          <cell r="C530" t="str">
            <v>조류</v>
          </cell>
          <cell r="D530">
            <v>6</v>
          </cell>
          <cell r="E530" t="str">
            <v>동물</v>
          </cell>
          <cell r="F530">
            <v>2</v>
          </cell>
          <cell r="G530" t="str">
            <v>A</v>
          </cell>
          <cell r="H530">
            <v>4</v>
          </cell>
        </row>
        <row r="531">
          <cell r="A531">
            <v>70405002</v>
          </cell>
          <cell r="B531" t="str">
            <v>가위꼬리딱새</v>
          </cell>
          <cell r="C531" t="str">
            <v>조류</v>
          </cell>
          <cell r="D531">
            <v>6</v>
          </cell>
          <cell r="E531" t="str">
            <v>동물</v>
          </cell>
          <cell r="F531">
            <v>2</v>
          </cell>
          <cell r="G531" t="str">
            <v>D</v>
          </cell>
          <cell r="H531">
            <v>1</v>
          </cell>
          <cell r="AW531" t="str">
            <v/>
          </cell>
          <cell r="BA531" t="str">
            <v>-</v>
          </cell>
        </row>
        <row r="532">
          <cell r="A532">
            <v>70405003</v>
          </cell>
          <cell r="B532" t="str">
            <v>갈라파고스 펭귄</v>
          </cell>
          <cell r="C532" t="str">
            <v>조류</v>
          </cell>
          <cell r="D532">
            <v>6</v>
          </cell>
          <cell r="E532" t="str">
            <v>동물</v>
          </cell>
          <cell r="F532">
            <v>2</v>
          </cell>
          <cell r="G532" t="str">
            <v>A</v>
          </cell>
          <cell r="H532">
            <v>4</v>
          </cell>
        </row>
        <row r="533">
          <cell r="A533">
            <v>70405004</v>
          </cell>
          <cell r="B533" t="str">
            <v>거문고새</v>
          </cell>
          <cell r="C533" t="str">
            <v>조류</v>
          </cell>
          <cell r="D533">
            <v>6</v>
          </cell>
          <cell r="E533" t="str">
            <v>동물</v>
          </cell>
          <cell r="F533">
            <v>2</v>
          </cell>
          <cell r="G533" t="str">
            <v>D</v>
          </cell>
          <cell r="H533">
            <v>1</v>
          </cell>
          <cell r="AW533" t="str">
            <v/>
          </cell>
          <cell r="BA533" t="str">
            <v>-</v>
          </cell>
        </row>
        <row r="534">
          <cell r="A534">
            <v>70405005</v>
          </cell>
          <cell r="B534" t="str">
            <v>검독수리</v>
          </cell>
          <cell r="C534" t="str">
            <v>조류</v>
          </cell>
          <cell r="D534">
            <v>6</v>
          </cell>
          <cell r="E534" t="str">
            <v>동물</v>
          </cell>
          <cell r="F534">
            <v>2</v>
          </cell>
          <cell r="G534" t="str">
            <v>B</v>
          </cell>
          <cell r="H534">
            <v>3</v>
          </cell>
        </row>
        <row r="535">
          <cell r="A535">
            <v>70405006</v>
          </cell>
          <cell r="B535" t="str">
            <v>검은 다리 카리아마</v>
          </cell>
          <cell r="C535" t="str">
            <v>조류</v>
          </cell>
          <cell r="D535">
            <v>6</v>
          </cell>
          <cell r="E535" t="str">
            <v>동물</v>
          </cell>
          <cell r="F535">
            <v>2</v>
          </cell>
          <cell r="G535" t="str">
            <v>A</v>
          </cell>
          <cell r="H535">
            <v>4</v>
          </cell>
        </row>
        <row r="536">
          <cell r="A536">
            <v>70405007</v>
          </cell>
          <cell r="B536" t="str">
            <v>검은머리물떼새</v>
          </cell>
          <cell r="C536" t="str">
            <v>조류</v>
          </cell>
          <cell r="D536">
            <v>6</v>
          </cell>
          <cell r="E536" t="str">
            <v>동물</v>
          </cell>
          <cell r="F536">
            <v>2</v>
          </cell>
          <cell r="G536" t="str">
            <v>B</v>
          </cell>
          <cell r="H536">
            <v>3</v>
          </cell>
        </row>
        <row r="537">
          <cell r="A537">
            <v>70405008</v>
          </cell>
          <cell r="B537" t="str">
            <v>검은머리황새</v>
          </cell>
          <cell r="C537" t="str">
            <v>조류</v>
          </cell>
          <cell r="D537">
            <v>6</v>
          </cell>
          <cell r="E537" t="str">
            <v>동물</v>
          </cell>
          <cell r="F537">
            <v>2</v>
          </cell>
          <cell r="G537" t="str">
            <v>D</v>
          </cell>
          <cell r="H537">
            <v>1</v>
          </cell>
        </row>
        <row r="538">
          <cell r="A538">
            <v>70405009</v>
          </cell>
          <cell r="B538" t="str">
            <v>검은바람까마귀</v>
          </cell>
          <cell r="C538" t="str">
            <v>조류</v>
          </cell>
          <cell r="D538">
            <v>6</v>
          </cell>
          <cell r="E538" t="str">
            <v>동물</v>
          </cell>
          <cell r="F538">
            <v>2</v>
          </cell>
          <cell r="G538" t="str">
            <v>B</v>
          </cell>
          <cell r="H538">
            <v>3</v>
          </cell>
        </row>
        <row r="539">
          <cell r="A539">
            <v>70405010</v>
          </cell>
          <cell r="B539" t="str">
            <v>고니</v>
          </cell>
          <cell r="C539" t="str">
            <v>조류</v>
          </cell>
          <cell r="D539">
            <v>6</v>
          </cell>
          <cell r="E539" t="str">
            <v>동물</v>
          </cell>
          <cell r="F539">
            <v>2</v>
          </cell>
          <cell r="G539" t="str">
            <v>C</v>
          </cell>
          <cell r="H539">
            <v>2</v>
          </cell>
        </row>
        <row r="540">
          <cell r="A540">
            <v>70405011</v>
          </cell>
          <cell r="B540" t="str">
            <v>공작</v>
          </cell>
          <cell r="C540" t="str">
            <v>조류</v>
          </cell>
          <cell r="D540">
            <v>6</v>
          </cell>
          <cell r="E540" t="str">
            <v>동물</v>
          </cell>
          <cell r="F540">
            <v>2</v>
          </cell>
          <cell r="G540" t="str">
            <v>A</v>
          </cell>
          <cell r="H540">
            <v>4</v>
          </cell>
        </row>
        <row r="541">
          <cell r="A541">
            <v>70405012</v>
          </cell>
          <cell r="B541" t="str">
            <v>관학</v>
          </cell>
          <cell r="C541" t="str">
            <v>조류</v>
          </cell>
          <cell r="D541">
            <v>6</v>
          </cell>
          <cell r="E541" t="str">
            <v>동물</v>
          </cell>
          <cell r="F541">
            <v>2</v>
          </cell>
          <cell r="G541" t="str">
            <v>B</v>
          </cell>
          <cell r="H541">
            <v>3</v>
          </cell>
        </row>
        <row r="542">
          <cell r="A542">
            <v>70405013</v>
          </cell>
          <cell r="B542" t="str">
            <v>괭이갈매기</v>
          </cell>
          <cell r="C542" t="str">
            <v>조류</v>
          </cell>
          <cell r="D542">
            <v>6</v>
          </cell>
          <cell r="E542" t="str">
            <v>동물</v>
          </cell>
          <cell r="F542">
            <v>2</v>
          </cell>
          <cell r="G542" t="str">
            <v>D</v>
          </cell>
          <cell r="H542">
            <v>1</v>
          </cell>
          <cell r="AW542" t="str">
            <v/>
          </cell>
          <cell r="BA542" t="str">
            <v>-</v>
          </cell>
        </row>
        <row r="543">
          <cell r="A543">
            <v>70405014</v>
          </cell>
          <cell r="B543" t="str">
            <v>극락 비두아</v>
          </cell>
          <cell r="C543" t="str">
            <v>조류</v>
          </cell>
          <cell r="D543">
            <v>6</v>
          </cell>
          <cell r="E543" t="str">
            <v>동물</v>
          </cell>
          <cell r="F543">
            <v>2</v>
          </cell>
          <cell r="G543" t="str">
            <v>C</v>
          </cell>
          <cell r="H543">
            <v>2</v>
          </cell>
        </row>
        <row r="544">
          <cell r="A544">
            <v>70405015</v>
          </cell>
          <cell r="B544" t="str">
            <v>극락조</v>
          </cell>
          <cell r="C544" t="str">
            <v>조류</v>
          </cell>
          <cell r="D544">
            <v>6</v>
          </cell>
          <cell r="E544" t="str">
            <v>동물</v>
          </cell>
          <cell r="F544">
            <v>2</v>
          </cell>
          <cell r="G544" t="str">
            <v>B</v>
          </cell>
          <cell r="H544">
            <v>3</v>
          </cell>
          <cell r="AW544" t="str">
            <v>특정 퀘스트(=)</v>
          </cell>
          <cell r="AY544" t="str">
            <v>종업원퀘스트_티티스_3차</v>
          </cell>
          <cell r="BA544">
            <v>5</v>
          </cell>
        </row>
        <row r="545">
          <cell r="A545">
            <v>70405016</v>
          </cell>
          <cell r="B545" t="str">
            <v>금강앵무</v>
          </cell>
          <cell r="C545" t="str">
            <v>조류</v>
          </cell>
          <cell r="D545">
            <v>6</v>
          </cell>
          <cell r="E545" t="str">
            <v>동물</v>
          </cell>
          <cell r="F545">
            <v>2</v>
          </cell>
          <cell r="G545" t="str">
            <v>B</v>
          </cell>
          <cell r="H545">
            <v>3</v>
          </cell>
        </row>
        <row r="546">
          <cell r="A546">
            <v>70405017</v>
          </cell>
          <cell r="B546" t="str">
            <v>금계</v>
          </cell>
          <cell r="C546" t="str">
            <v>조류</v>
          </cell>
          <cell r="D546">
            <v>6</v>
          </cell>
          <cell r="E546" t="str">
            <v>동물</v>
          </cell>
          <cell r="F546">
            <v>2</v>
          </cell>
          <cell r="G546" t="str">
            <v>C</v>
          </cell>
          <cell r="H546">
            <v>2</v>
          </cell>
        </row>
        <row r="547">
          <cell r="A547">
            <v>70405018</v>
          </cell>
          <cell r="B547" t="str">
            <v>긴꼬리홍양진이</v>
          </cell>
          <cell r="C547" t="str">
            <v>조류</v>
          </cell>
          <cell r="D547">
            <v>6</v>
          </cell>
          <cell r="E547" t="str">
            <v>동물</v>
          </cell>
          <cell r="F547">
            <v>2</v>
          </cell>
          <cell r="G547" t="str">
            <v>C</v>
          </cell>
          <cell r="H547">
            <v>2</v>
          </cell>
        </row>
        <row r="548">
          <cell r="A548">
            <v>70405019</v>
          </cell>
          <cell r="B548" t="str">
            <v>까치</v>
          </cell>
          <cell r="C548" t="str">
            <v>조류</v>
          </cell>
          <cell r="D548">
            <v>6</v>
          </cell>
          <cell r="E548" t="str">
            <v>동물</v>
          </cell>
          <cell r="F548">
            <v>2</v>
          </cell>
          <cell r="G548" t="str">
            <v>D</v>
          </cell>
          <cell r="H548">
            <v>1</v>
          </cell>
          <cell r="AW548" t="str">
            <v/>
          </cell>
          <cell r="BA548" t="str">
            <v>-</v>
          </cell>
        </row>
        <row r="549">
          <cell r="A549">
            <v>70405020</v>
          </cell>
          <cell r="B549" t="str">
            <v>꿩</v>
          </cell>
          <cell r="C549" t="str">
            <v>조류</v>
          </cell>
          <cell r="D549">
            <v>6</v>
          </cell>
          <cell r="E549" t="str">
            <v>동물</v>
          </cell>
          <cell r="F549">
            <v>2</v>
          </cell>
          <cell r="G549" t="str">
            <v>D</v>
          </cell>
          <cell r="H549">
            <v>1</v>
          </cell>
          <cell r="AW549" t="str">
            <v/>
          </cell>
          <cell r="BA549" t="str">
            <v>-</v>
          </cell>
        </row>
        <row r="550">
          <cell r="A550">
            <v>70405021</v>
          </cell>
          <cell r="B550" t="str">
            <v>난쟁이펭귄</v>
          </cell>
          <cell r="C550" t="str">
            <v>조류</v>
          </cell>
          <cell r="D550">
            <v>6</v>
          </cell>
          <cell r="E550" t="str">
            <v>동물</v>
          </cell>
          <cell r="F550">
            <v>2</v>
          </cell>
          <cell r="G550" t="str">
            <v>A</v>
          </cell>
          <cell r="H550">
            <v>4</v>
          </cell>
        </row>
        <row r="551">
          <cell r="A551">
            <v>70405022</v>
          </cell>
          <cell r="B551" t="str">
            <v>남방 화식조</v>
          </cell>
          <cell r="C551" t="str">
            <v>조류</v>
          </cell>
          <cell r="D551">
            <v>6</v>
          </cell>
          <cell r="E551" t="str">
            <v>동물</v>
          </cell>
          <cell r="F551">
            <v>2</v>
          </cell>
          <cell r="G551" t="str">
            <v>B</v>
          </cell>
          <cell r="H551">
            <v>3</v>
          </cell>
        </row>
        <row r="552">
          <cell r="A552">
            <v>70405023</v>
          </cell>
          <cell r="B552" t="str">
            <v>남부바위뛰기펭귄</v>
          </cell>
          <cell r="C552" t="str">
            <v>조류</v>
          </cell>
          <cell r="D552">
            <v>6</v>
          </cell>
          <cell r="E552" t="str">
            <v>동물</v>
          </cell>
          <cell r="F552">
            <v>2</v>
          </cell>
          <cell r="G552" t="str">
            <v>B</v>
          </cell>
          <cell r="H552">
            <v>3</v>
          </cell>
        </row>
        <row r="553">
          <cell r="A553">
            <v>70405024</v>
          </cell>
          <cell r="B553" t="str">
            <v>넓적부리황새</v>
          </cell>
          <cell r="C553" t="str">
            <v>조류</v>
          </cell>
          <cell r="D553">
            <v>6</v>
          </cell>
          <cell r="E553" t="str">
            <v>동물</v>
          </cell>
          <cell r="F553">
            <v>2</v>
          </cell>
          <cell r="G553" t="str">
            <v>D</v>
          </cell>
          <cell r="H553">
            <v>1</v>
          </cell>
          <cell r="AW553" t="str">
            <v>특정 퀘스트(=)</v>
          </cell>
          <cell r="AY553" t="str">
            <v>시선의 행방</v>
          </cell>
          <cell r="BA553">
            <v>2</v>
          </cell>
        </row>
        <row r="554">
          <cell r="A554">
            <v>70405025</v>
          </cell>
          <cell r="B554" t="str">
            <v>노랑목 모란앵무</v>
          </cell>
          <cell r="C554" t="str">
            <v>조류</v>
          </cell>
          <cell r="D554">
            <v>6</v>
          </cell>
          <cell r="E554" t="str">
            <v>동물</v>
          </cell>
          <cell r="F554">
            <v>2</v>
          </cell>
          <cell r="G554" t="str">
            <v>C</v>
          </cell>
          <cell r="H554">
            <v>2</v>
          </cell>
        </row>
        <row r="555">
          <cell r="A555">
            <v>70405026</v>
          </cell>
          <cell r="B555" t="str">
            <v>뇌조</v>
          </cell>
          <cell r="C555" t="str">
            <v>조류</v>
          </cell>
          <cell r="D555">
            <v>6</v>
          </cell>
          <cell r="E555" t="str">
            <v>동물</v>
          </cell>
          <cell r="F555">
            <v>2</v>
          </cell>
          <cell r="G555" t="str">
            <v>B</v>
          </cell>
          <cell r="H555">
            <v>3</v>
          </cell>
        </row>
        <row r="556">
          <cell r="A556">
            <v>70405027</v>
          </cell>
          <cell r="B556" t="str">
            <v>담황목따오기</v>
          </cell>
          <cell r="C556" t="str">
            <v>조류</v>
          </cell>
          <cell r="D556">
            <v>6</v>
          </cell>
          <cell r="E556" t="str">
            <v>동물</v>
          </cell>
          <cell r="F556">
            <v>2</v>
          </cell>
          <cell r="G556" t="str">
            <v>D</v>
          </cell>
          <cell r="H556">
            <v>1</v>
          </cell>
          <cell r="AW556" t="str">
            <v/>
          </cell>
          <cell r="BA556" t="str">
            <v>-</v>
          </cell>
        </row>
        <row r="557">
          <cell r="A557">
            <v>70405028</v>
          </cell>
          <cell r="B557" t="str">
            <v>대륙 검은지빠귀</v>
          </cell>
          <cell r="C557" t="str">
            <v>조류</v>
          </cell>
          <cell r="D557">
            <v>6</v>
          </cell>
          <cell r="E557" t="str">
            <v>동물</v>
          </cell>
          <cell r="F557">
            <v>2</v>
          </cell>
          <cell r="G557" t="str">
            <v>C</v>
          </cell>
          <cell r="H557">
            <v>2</v>
          </cell>
          <cell r="AW557" t="str">
            <v/>
          </cell>
          <cell r="BA557" t="str">
            <v>-</v>
          </cell>
        </row>
        <row r="558">
          <cell r="A558">
            <v>70405029</v>
          </cell>
          <cell r="B558" t="str">
            <v>다리다파랑까치</v>
          </cell>
          <cell r="C558" t="str">
            <v>조류</v>
          </cell>
          <cell r="D558">
            <v>6</v>
          </cell>
          <cell r="E558" t="str">
            <v>동물</v>
          </cell>
          <cell r="F558">
            <v>2</v>
          </cell>
          <cell r="G558" t="str">
            <v>C</v>
          </cell>
          <cell r="H558">
            <v>2</v>
          </cell>
        </row>
        <row r="559">
          <cell r="A559">
            <v>70405030</v>
          </cell>
          <cell r="B559" t="str">
            <v>댕기흰찌르레기</v>
          </cell>
          <cell r="C559" t="str">
            <v>조류</v>
          </cell>
          <cell r="D559">
            <v>6</v>
          </cell>
          <cell r="E559" t="str">
            <v>동물</v>
          </cell>
          <cell r="F559">
            <v>2</v>
          </cell>
          <cell r="G559" t="str">
            <v>A</v>
          </cell>
          <cell r="H559">
            <v>4</v>
          </cell>
        </row>
        <row r="560">
          <cell r="A560">
            <v>70405031</v>
          </cell>
          <cell r="B560" t="str">
            <v>도도</v>
          </cell>
          <cell r="C560" t="str">
            <v>조류</v>
          </cell>
          <cell r="D560">
            <v>6</v>
          </cell>
          <cell r="E560" t="str">
            <v>동물</v>
          </cell>
          <cell r="F560">
            <v>2</v>
          </cell>
          <cell r="G560" t="str">
            <v>A</v>
          </cell>
          <cell r="H560">
            <v>4</v>
          </cell>
        </row>
        <row r="561">
          <cell r="A561">
            <v>70405032</v>
          </cell>
          <cell r="B561" t="str">
            <v>두루미</v>
          </cell>
          <cell r="C561" t="str">
            <v>조류</v>
          </cell>
          <cell r="D561">
            <v>6</v>
          </cell>
          <cell r="E561" t="str">
            <v>동물</v>
          </cell>
          <cell r="F561">
            <v>2</v>
          </cell>
          <cell r="G561" t="str">
            <v>A</v>
          </cell>
          <cell r="H561">
            <v>4</v>
          </cell>
        </row>
        <row r="562">
          <cell r="A562">
            <v>70405033</v>
          </cell>
          <cell r="B562" t="str">
            <v>따오기</v>
          </cell>
          <cell r="C562" t="str">
            <v>조류</v>
          </cell>
          <cell r="D562">
            <v>6</v>
          </cell>
          <cell r="E562" t="str">
            <v>동물</v>
          </cell>
          <cell r="F562">
            <v>2</v>
          </cell>
          <cell r="G562" t="str">
            <v>D</v>
          </cell>
          <cell r="H562">
            <v>1</v>
          </cell>
          <cell r="AW562" t="str">
            <v/>
          </cell>
          <cell r="BA562" t="str">
            <v>-</v>
          </cell>
        </row>
        <row r="563">
          <cell r="A563">
            <v>70405034</v>
          </cell>
          <cell r="B563" t="str">
            <v>라켓 벌새</v>
          </cell>
          <cell r="C563" t="str">
            <v>조류</v>
          </cell>
          <cell r="D563">
            <v>6</v>
          </cell>
          <cell r="E563" t="str">
            <v>동물</v>
          </cell>
          <cell r="F563">
            <v>2</v>
          </cell>
          <cell r="G563" t="str">
            <v>S</v>
          </cell>
          <cell r="H563">
            <v>5</v>
          </cell>
        </row>
        <row r="564">
          <cell r="A564">
            <v>70405035</v>
          </cell>
          <cell r="B564" t="str">
            <v>라켓 쏙독새</v>
          </cell>
          <cell r="C564" t="str">
            <v>조류</v>
          </cell>
          <cell r="D564">
            <v>6</v>
          </cell>
          <cell r="E564" t="str">
            <v>동물</v>
          </cell>
          <cell r="F564">
            <v>2</v>
          </cell>
          <cell r="G564" t="str">
            <v>A</v>
          </cell>
          <cell r="H564">
            <v>4</v>
          </cell>
        </row>
        <row r="565">
          <cell r="A565">
            <v>70405036</v>
          </cell>
          <cell r="B565" t="str">
            <v>레아</v>
          </cell>
          <cell r="C565" t="str">
            <v>조류</v>
          </cell>
          <cell r="D565">
            <v>6</v>
          </cell>
          <cell r="E565" t="str">
            <v>동물</v>
          </cell>
          <cell r="F565">
            <v>2</v>
          </cell>
          <cell r="G565" t="str">
            <v>C</v>
          </cell>
          <cell r="H565">
            <v>2</v>
          </cell>
        </row>
        <row r="566">
          <cell r="A566">
            <v>70405037</v>
          </cell>
          <cell r="B566" t="str">
            <v>마카로니펭귄</v>
          </cell>
          <cell r="C566" t="str">
            <v>조류</v>
          </cell>
          <cell r="D566">
            <v>6</v>
          </cell>
          <cell r="E566" t="str">
            <v>동물</v>
          </cell>
          <cell r="F566">
            <v>2</v>
          </cell>
          <cell r="G566" t="str">
            <v>C</v>
          </cell>
          <cell r="H566">
            <v>2</v>
          </cell>
        </row>
        <row r="567">
          <cell r="A567">
            <v>70405038</v>
          </cell>
          <cell r="B567" t="str">
            <v>모아</v>
          </cell>
          <cell r="C567" t="str">
            <v>조류</v>
          </cell>
          <cell r="D567">
            <v>6</v>
          </cell>
          <cell r="E567" t="str">
            <v>동물</v>
          </cell>
          <cell r="F567">
            <v>2</v>
          </cell>
          <cell r="G567" t="str">
            <v>S</v>
          </cell>
          <cell r="H567">
            <v>5</v>
          </cell>
        </row>
        <row r="568">
          <cell r="A568">
            <v>70405039</v>
          </cell>
          <cell r="B568" t="str">
            <v>물수리</v>
          </cell>
          <cell r="C568" t="str">
            <v>조류</v>
          </cell>
          <cell r="D568">
            <v>6</v>
          </cell>
          <cell r="E568" t="str">
            <v>동물</v>
          </cell>
          <cell r="F568">
            <v>2</v>
          </cell>
          <cell r="G568" t="str">
            <v>C</v>
          </cell>
          <cell r="H568">
            <v>2</v>
          </cell>
        </row>
        <row r="569">
          <cell r="A569">
            <v>70405040</v>
          </cell>
          <cell r="B569" t="str">
            <v>물총새</v>
          </cell>
          <cell r="C569" t="str">
            <v>조류</v>
          </cell>
          <cell r="D569">
            <v>6</v>
          </cell>
          <cell r="E569" t="str">
            <v>동물</v>
          </cell>
          <cell r="F569">
            <v>2</v>
          </cell>
          <cell r="G569" t="str">
            <v>B</v>
          </cell>
          <cell r="H569">
            <v>3</v>
          </cell>
        </row>
        <row r="570">
          <cell r="A570">
            <v>70405041</v>
          </cell>
          <cell r="B570" t="str">
            <v>미카도꿩</v>
          </cell>
          <cell r="C570" t="str">
            <v>조류</v>
          </cell>
          <cell r="D570">
            <v>6</v>
          </cell>
          <cell r="E570" t="str">
            <v>동물</v>
          </cell>
          <cell r="F570">
            <v>2</v>
          </cell>
          <cell r="G570" t="str">
            <v>D</v>
          </cell>
          <cell r="H570">
            <v>1</v>
          </cell>
          <cell r="AW570" t="str">
            <v/>
          </cell>
          <cell r="BA570" t="str">
            <v>-</v>
          </cell>
        </row>
        <row r="571">
          <cell r="A571">
            <v>70405042</v>
          </cell>
          <cell r="B571" t="str">
            <v>백송고리</v>
          </cell>
          <cell r="C571" t="str">
            <v>조류</v>
          </cell>
          <cell r="D571">
            <v>6</v>
          </cell>
          <cell r="E571" t="str">
            <v>동물</v>
          </cell>
          <cell r="F571">
            <v>2</v>
          </cell>
          <cell r="G571" t="str">
            <v>A</v>
          </cell>
          <cell r="H571">
            <v>4</v>
          </cell>
        </row>
        <row r="572">
          <cell r="A572">
            <v>70405043</v>
          </cell>
          <cell r="B572" t="str">
            <v>뱀눈새</v>
          </cell>
          <cell r="C572" t="str">
            <v>조류</v>
          </cell>
          <cell r="D572">
            <v>6</v>
          </cell>
          <cell r="E572" t="str">
            <v>동물</v>
          </cell>
          <cell r="F572">
            <v>2</v>
          </cell>
          <cell r="G572" t="str">
            <v>A</v>
          </cell>
          <cell r="H572">
            <v>4</v>
          </cell>
        </row>
        <row r="573">
          <cell r="A573">
            <v>70405044</v>
          </cell>
          <cell r="B573" t="str">
            <v>뱀잡이 수리</v>
          </cell>
          <cell r="C573" t="str">
            <v>조류</v>
          </cell>
          <cell r="D573">
            <v>6</v>
          </cell>
          <cell r="E573" t="str">
            <v>동물</v>
          </cell>
          <cell r="F573">
            <v>2</v>
          </cell>
          <cell r="G573" t="str">
            <v>B</v>
          </cell>
          <cell r="H573">
            <v>3</v>
          </cell>
        </row>
        <row r="574">
          <cell r="A574">
            <v>70405045</v>
          </cell>
          <cell r="B574" t="str">
            <v>볼 망태 두루미</v>
          </cell>
          <cell r="C574" t="str">
            <v>조류</v>
          </cell>
          <cell r="D574">
            <v>6</v>
          </cell>
          <cell r="E574" t="str">
            <v>동물</v>
          </cell>
          <cell r="F574">
            <v>2</v>
          </cell>
          <cell r="G574" t="str">
            <v>D</v>
          </cell>
          <cell r="H574">
            <v>1</v>
          </cell>
          <cell r="AW574" t="str">
            <v/>
          </cell>
          <cell r="BA574" t="str">
            <v>-</v>
          </cell>
        </row>
        <row r="575">
          <cell r="A575">
            <v>70405046</v>
          </cell>
          <cell r="B575" t="str">
            <v>부채머리수리</v>
          </cell>
          <cell r="C575" t="str">
            <v>조류</v>
          </cell>
          <cell r="D575">
            <v>6</v>
          </cell>
          <cell r="E575" t="str">
            <v>동물</v>
          </cell>
          <cell r="F575">
            <v>2</v>
          </cell>
          <cell r="G575" t="str">
            <v>C</v>
          </cell>
          <cell r="H575">
            <v>2</v>
          </cell>
        </row>
        <row r="576">
          <cell r="A576">
            <v>70405047</v>
          </cell>
          <cell r="B576" t="str">
            <v>분홍 앵무</v>
          </cell>
          <cell r="C576" t="str">
            <v>조류</v>
          </cell>
          <cell r="D576">
            <v>6</v>
          </cell>
          <cell r="E576" t="str">
            <v>동물</v>
          </cell>
          <cell r="F576">
            <v>2</v>
          </cell>
          <cell r="G576" t="str">
            <v>D</v>
          </cell>
          <cell r="H576">
            <v>1</v>
          </cell>
          <cell r="AW576" t="str">
            <v/>
          </cell>
          <cell r="BA576" t="str">
            <v>-</v>
          </cell>
        </row>
        <row r="577">
          <cell r="A577">
            <v>70405048</v>
          </cell>
          <cell r="B577" t="str">
            <v>붉은 솔개</v>
          </cell>
          <cell r="C577" t="str">
            <v>조류</v>
          </cell>
          <cell r="D577">
            <v>6</v>
          </cell>
          <cell r="E577" t="str">
            <v>동물</v>
          </cell>
          <cell r="F577">
            <v>2</v>
          </cell>
          <cell r="G577" t="str">
            <v>A</v>
          </cell>
          <cell r="H577">
            <v>4</v>
          </cell>
        </row>
        <row r="578">
          <cell r="A578">
            <v>70405049</v>
          </cell>
          <cell r="B578" t="str">
            <v>붉은배 딱따구리</v>
          </cell>
          <cell r="C578" t="str">
            <v>조류</v>
          </cell>
          <cell r="D578">
            <v>6</v>
          </cell>
          <cell r="E578" t="str">
            <v>동물</v>
          </cell>
          <cell r="F578">
            <v>2</v>
          </cell>
          <cell r="G578" t="str">
            <v>C</v>
          </cell>
          <cell r="H578">
            <v>2</v>
          </cell>
        </row>
        <row r="579">
          <cell r="A579">
            <v>70405050</v>
          </cell>
          <cell r="B579" t="str">
            <v>붉은장미앵무</v>
          </cell>
          <cell r="C579" t="str">
            <v>조류</v>
          </cell>
          <cell r="D579">
            <v>6</v>
          </cell>
          <cell r="E579" t="str">
            <v>동물</v>
          </cell>
          <cell r="F579">
            <v>2</v>
          </cell>
          <cell r="G579" t="str">
            <v>B</v>
          </cell>
          <cell r="H579">
            <v>3</v>
          </cell>
        </row>
        <row r="580">
          <cell r="A580">
            <v>70405051</v>
          </cell>
          <cell r="B580" t="str">
            <v>빅토리아왕관비둘기</v>
          </cell>
          <cell r="C580" t="str">
            <v>조류</v>
          </cell>
          <cell r="D580">
            <v>6</v>
          </cell>
          <cell r="E580" t="str">
            <v>동물</v>
          </cell>
          <cell r="F580">
            <v>2</v>
          </cell>
          <cell r="G580" t="str">
            <v>A</v>
          </cell>
          <cell r="H580">
            <v>4</v>
          </cell>
        </row>
        <row r="581">
          <cell r="A581">
            <v>70405052</v>
          </cell>
          <cell r="B581" t="str">
            <v>뿔퍼핀</v>
          </cell>
          <cell r="C581" t="str">
            <v>조류</v>
          </cell>
          <cell r="D581">
            <v>6</v>
          </cell>
          <cell r="E581" t="str">
            <v>동물</v>
          </cell>
          <cell r="F581">
            <v>2</v>
          </cell>
          <cell r="G581" t="str">
            <v>A</v>
          </cell>
          <cell r="H581">
            <v>4</v>
          </cell>
        </row>
        <row r="582">
          <cell r="A582">
            <v>70405053</v>
          </cell>
          <cell r="B582" t="str">
            <v>사다새</v>
          </cell>
          <cell r="C582" t="str">
            <v>조류</v>
          </cell>
          <cell r="D582">
            <v>6</v>
          </cell>
          <cell r="E582" t="str">
            <v>동물</v>
          </cell>
          <cell r="F582">
            <v>2</v>
          </cell>
          <cell r="G582" t="str">
            <v>A</v>
          </cell>
          <cell r="H582">
            <v>4</v>
          </cell>
        </row>
        <row r="583">
          <cell r="A583">
            <v>70405054</v>
          </cell>
          <cell r="B583" t="str">
            <v>산계</v>
          </cell>
          <cell r="C583" t="str">
            <v>조류</v>
          </cell>
          <cell r="D583">
            <v>6</v>
          </cell>
          <cell r="E583" t="str">
            <v>동물</v>
          </cell>
          <cell r="F583">
            <v>2</v>
          </cell>
          <cell r="G583" t="str">
            <v>A</v>
          </cell>
          <cell r="H583">
            <v>4</v>
          </cell>
        </row>
        <row r="584">
          <cell r="A584">
            <v>70405055</v>
          </cell>
          <cell r="B584" t="str">
            <v>상사조</v>
          </cell>
          <cell r="C584" t="str">
            <v>조류</v>
          </cell>
          <cell r="D584">
            <v>6</v>
          </cell>
          <cell r="E584" t="str">
            <v>동물</v>
          </cell>
          <cell r="F584">
            <v>2</v>
          </cell>
          <cell r="G584" t="str">
            <v>A</v>
          </cell>
          <cell r="H584">
            <v>4</v>
          </cell>
        </row>
        <row r="585">
          <cell r="A585">
            <v>70405056</v>
          </cell>
          <cell r="B585" t="str">
            <v>솔부엉이</v>
          </cell>
          <cell r="C585" t="str">
            <v>조류</v>
          </cell>
          <cell r="D585">
            <v>6</v>
          </cell>
          <cell r="E585" t="str">
            <v>동물</v>
          </cell>
          <cell r="F585">
            <v>2</v>
          </cell>
          <cell r="G585" t="str">
            <v>C</v>
          </cell>
          <cell r="H585">
            <v>2</v>
          </cell>
        </row>
        <row r="586">
          <cell r="A586">
            <v>70405057</v>
          </cell>
          <cell r="B586" t="str">
            <v>쇠물닭</v>
          </cell>
          <cell r="C586" t="str">
            <v>조류</v>
          </cell>
          <cell r="D586">
            <v>6</v>
          </cell>
          <cell r="E586" t="str">
            <v>동물</v>
          </cell>
          <cell r="F586">
            <v>2</v>
          </cell>
          <cell r="G586" t="str">
            <v>S</v>
          </cell>
          <cell r="H586">
            <v>5</v>
          </cell>
        </row>
        <row r="587">
          <cell r="A587">
            <v>70405058</v>
          </cell>
          <cell r="B587" t="str">
            <v>아리엘왕부리</v>
          </cell>
          <cell r="C587" t="str">
            <v>조류</v>
          </cell>
          <cell r="D587">
            <v>6</v>
          </cell>
          <cell r="E587" t="str">
            <v>동물</v>
          </cell>
          <cell r="F587">
            <v>2</v>
          </cell>
          <cell r="G587" t="str">
            <v>A</v>
          </cell>
          <cell r="H587">
            <v>4</v>
          </cell>
        </row>
        <row r="588">
          <cell r="A588">
            <v>70405059</v>
          </cell>
          <cell r="B588" t="str">
            <v>아메리카 흰 두루미</v>
          </cell>
          <cell r="C588" t="str">
            <v>조류</v>
          </cell>
          <cell r="D588">
            <v>6</v>
          </cell>
          <cell r="E588" t="str">
            <v>동물</v>
          </cell>
          <cell r="F588">
            <v>2</v>
          </cell>
          <cell r="G588" t="str">
            <v>A</v>
          </cell>
          <cell r="H588">
            <v>4</v>
          </cell>
        </row>
        <row r="589">
          <cell r="A589">
            <v>70405060</v>
          </cell>
          <cell r="B589" t="str">
            <v>아프리카 물수리</v>
          </cell>
          <cell r="C589" t="str">
            <v>조류</v>
          </cell>
          <cell r="D589">
            <v>6</v>
          </cell>
          <cell r="E589" t="str">
            <v>동물</v>
          </cell>
          <cell r="F589">
            <v>2</v>
          </cell>
          <cell r="G589" t="str">
            <v>B</v>
          </cell>
          <cell r="H589">
            <v>3</v>
          </cell>
        </row>
        <row r="590">
          <cell r="A590">
            <v>70405061</v>
          </cell>
          <cell r="B590" t="str">
            <v>안경 올빼미</v>
          </cell>
          <cell r="C590" t="str">
            <v>조류</v>
          </cell>
          <cell r="D590">
            <v>6</v>
          </cell>
          <cell r="E590" t="str">
            <v>동물</v>
          </cell>
          <cell r="F590">
            <v>2</v>
          </cell>
          <cell r="G590" t="str">
            <v>D</v>
          </cell>
          <cell r="H590">
            <v>1</v>
          </cell>
          <cell r="AW590" t="str">
            <v/>
          </cell>
          <cell r="BA590" t="str">
            <v>-</v>
          </cell>
        </row>
        <row r="591">
          <cell r="A591">
            <v>70405062</v>
          </cell>
          <cell r="B591" t="str">
            <v>안데스콘돌</v>
          </cell>
          <cell r="C591" t="str">
            <v>조류</v>
          </cell>
          <cell r="D591">
            <v>6</v>
          </cell>
          <cell r="E591" t="str">
            <v>동물</v>
          </cell>
          <cell r="F591">
            <v>2</v>
          </cell>
          <cell r="G591" t="str">
            <v>D</v>
          </cell>
          <cell r="H591">
            <v>1</v>
          </cell>
          <cell r="AW591" t="str">
            <v/>
          </cell>
          <cell r="BA591" t="str">
            <v>-</v>
          </cell>
        </row>
        <row r="592">
          <cell r="A592">
            <v>70405063</v>
          </cell>
          <cell r="B592" t="str">
            <v>알락할미새</v>
          </cell>
          <cell r="C592" t="str">
            <v>조류</v>
          </cell>
          <cell r="D592">
            <v>6</v>
          </cell>
          <cell r="E592" t="str">
            <v>동물</v>
          </cell>
          <cell r="F592">
            <v>2</v>
          </cell>
          <cell r="G592" t="str">
            <v>D</v>
          </cell>
          <cell r="H592">
            <v>1</v>
          </cell>
          <cell r="AW592" t="str">
            <v/>
          </cell>
          <cell r="BA592" t="str">
            <v>-</v>
          </cell>
        </row>
        <row r="593">
          <cell r="A593">
            <v>70405064</v>
          </cell>
          <cell r="B593" t="str">
            <v>야자잎검은유황앵무새</v>
          </cell>
          <cell r="C593" t="str">
            <v>조류</v>
          </cell>
          <cell r="D593">
            <v>6</v>
          </cell>
          <cell r="E593" t="str">
            <v>동물</v>
          </cell>
          <cell r="F593">
            <v>2</v>
          </cell>
          <cell r="G593" t="str">
            <v>C</v>
          </cell>
          <cell r="H593">
            <v>2</v>
          </cell>
        </row>
        <row r="594">
          <cell r="A594">
            <v>70405065</v>
          </cell>
          <cell r="B594" t="str">
            <v>어깨걸이극락조</v>
          </cell>
          <cell r="C594" t="str">
            <v>조류</v>
          </cell>
          <cell r="D594">
            <v>6</v>
          </cell>
          <cell r="E594" t="str">
            <v>동물</v>
          </cell>
          <cell r="F594">
            <v>2</v>
          </cell>
          <cell r="G594" t="str">
            <v>B</v>
          </cell>
          <cell r="H594">
            <v>3</v>
          </cell>
        </row>
        <row r="595">
          <cell r="A595">
            <v>70405066</v>
          </cell>
          <cell r="B595" t="str">
            <v>에뮤</v>
          </cell>
          <cell r="C595" t="str">
            <v>조류</v>
          </cell>
          <cell r="D595">
            <v>6</v>
          </cell>
          <cell r="E595" t="str">
            <v>동물</v>
          </cell>
          <cell r="F595">
            <v>2</v>
          </cell>
          <cell r="G595" t="str">
            <v>D</v>
          </cell>
          <cell r="H595">
            <v>1</v>
          </cell>
          <cell r="AW595" t="str">
            <v/>
          </cell>
          <cell r="BA595" t="str">
            <v>-</v>
          </cell>
        </row>
        <row r="596">
          <cell r="A596">
            <v>70405067</v>
          </cell>
          <cell r="B596" t="str">
            <v>에피오르니스</v>
          </cell>
          <cell r="C596" t="str">
            <v>조류</v>
          </cell>
          <cell r="D596">
            <v>6</v>
          </cell>
          <cell r="E596" t="str">
            <v>동물</v>
          </cell>
          <cell r="F596">
            <v>2</v>
          </cell>
          <cell r="G596" t="str">
            <v>S</v>
          </cell>
          <cell r="H596">
            <v>5</v>
          </cell>
        </row>
        <row r="597">
          <cell r="A597">
            <v>70405068</v>
          </cell>
          <cell r="B597" t="str">
            <v>엘레오노라매</v>
          </cell>
          <cell r="C597" t="str">
            <v>조류</v>
          </cell>
          <cell r="D597">
            <v>6</v>
          </cell>
          <cell r="E597" t="str">
            <v>동물</v>
          </cell>
          <cell r="F597">
            <v>2</v>
          </cell>
          <cell r="G597" t="str">
            <v>B</v>
          </cell>
          <cell r="H597">
            <v>3</v>
          </cell>
        </row>
        <row r="598">
          <cell r="A598">
            <v>70405069</v>
          </cell>
          <cell r="B598" t="str">
            <v>여행비둘기</v>
          </cell>
          <cell r="C598" t="str">
            <v>조류</v>
          </cell>
          <cell r="D598">
            <v>6</v>
          </cell>
          <cell r="E598" t="str">
            <v>동물</v>
          </cell>
          <cell r="F598">
            <v>2</v>
          </cell>
          <cell r="G598" t="str">
            <v>C</v>
          </cell>
          <cell r="H598">
            <v>2</v>
          </cell>
        </row>
        <row r="599">
          <cell r="A599">
            <v>70405070</v>
          </cell>
          <cell r="B599" t="str">
            <v>오목눈이</v>
          </cell>
          <cell r="C599" t="str">
            <v>조류</v>
          </cell>
          <cell r="D599">
            <v>6</v>
          </cell>
          <cell r="E599" t="str">
            <v>동물</v>
          </cell>
          <cell r="F599">
            <v>2</v>
          </cell>
          <cell r="G599" t="str">
            <v>B</v>
          </cell>
          <cell r="H599">
            <v>3</v>
          </cell>
        </row>
        <row r="600">
          <cell r="A600">
            <v>70405071</v>
          </cell>
          <cell r="B600" t="str">
            <v>오색 청해 앵무</v>
          </cell>
          <cell r="C600" t="str">
            <v>조류</v>
          </cell>
          <cell r="D600">
            <v>6</v>
          </cell>
          <cell r="E600" t="str">
            <v>동물</v>
          </cell>
          <cell r="F600">
            <v>2</v>
          </cell>
          <cell r="G600" t="str">
            <v>C</v>
          </cell>
          <cell r="H600">
            <v>2</v>
          </cell>
        </row>
        <row r="601">
          <cell r="A601">
            <v>70405072</v>
          </cell>
          <cell r="B601" t="str">
            <v>왕관앵무</v>
          </cell>
          <cell r="C601" t="str">
            <v>조류</v>
          </cell>
          <cell r="D601">
            <v>6</v>
          </cell>
          <cell r="E601" t="str">
            <v>동물</v>
          </cell>
          <cell r="F601">
            <v>2</v>
          </cell>
          <cell r="G601" t="str">
            <v>A</v>
          </cell>
          <cell r="H601">
            <v>4</v>
          </cell>
        </row>
        <row r="602">
          <cell r="A602">
            <v>70405073</v>
          </cell>
          <cell r="B602" t="str">
            <v>왕펭귄</v>
          </cell>
          <cell r="C602" t="str">
            <v>조류</v>
          </cell>
          <cell r="D602">
            <v>6</v>
          </cell>
          <cell r="E602" t="str">
            <v>동물</v>
          </cell>
          <cell r="F602">
            <v>2</v>
          </cell>
          <cell r="G602" t="str">
            <v>A</v>
          </cell>
          <cell r="H602">
            <v>4</v>
          </cell>
        </row>
        <row r="603">
          <cell r="A603">
            <v>70405074</v>
          </cell>
          <cell r="B603" t="str">
            <v>웃는 올빼미</v>
          </cell>
          <cell r="C603" t="str">
            <v>조류</v>
          </cell>
          <cell r="D603">
            <v>6</v>
          </cell>
          <cell r="E603" t="str">
            <v>동물</v>
          </cell>
          <cell r="F603">
            <v>2</v>
          </cell>
          <cell r="G603" t="str">
            <v>B</v>
          </cell>
          <cell r="H603">
            <v>3</v>
          </cell>
        </row>
        <row r="604">
          <cell r="A604">
            <v>70405075</v>
          </cell>
          <cell r="B604" t="str">
            <v>원앙사촌</v>
          </cell>
          <cell r="C604" t="str">
            <v>조류</v>
          </cell>
          <cell r="D604">
            <v>6</v>
          </cell>
          <cell r="E604" t="str">
            <v>동물</v>
          </cell>
          <cell r="F604">
            <v>2</v>
          </cell>
          <cell r="G604" t="str">
            <v>B</v>
          </cell>
          <cell r="H604">
            <v>3</v>
          </cell>
        </row>
        <row r="605">
          <cell r="A605">
            <v>70405076</v>
          </cell>
          <cell r="B605" t="str">
            <v>이집트 독수리</v>
          </cell>
          <cell r="C605" t="str">
            <v>조류</v>
          </cell>
          <cell r="D605">
            <v>6</v>
          </cell>
          <cell r="E605" t="str">
            <v>동물</v>
          </cell>
          <cell r="F605">
            <v>2</v>
          </cell>
          <cell r="G605" t="str">
            <v>D</v>
          </cell>
          <cell r="H605">
            <v>1</v>
          </cell>
        </row>
        <row r="606">
          <cell r="A606">
            <v>70405077</v>
          </cell>
          <cell r="B606" t="str">
            <v>잉카제비갈매기</v>
          </cell>
          <cell r="C606" t="str">
            <v>조류</v>
          </cell>
          <cell r="D606">
            <v>6</v>
          </cell>
          <cell r="E606" t="str">
            <v>동물</v>
          </cell>
          <cell r="F606">
            <v>2</v>
          </cell>
          <cell r="G606" t="str">
            <v>S</v>
          </cell>
          <cell r="H606">
            <v>5</v>
          </cell>
        </row>
        <row r="607">
          <cell r="A607">
            <v>70405078</v>
          </cell>
          <cell r="B607" t="str">
            <v>자카스펭귄</v>
          </cell>
          <cell r="C607" t="str">
            <v>조류</v>
          </cell>
          <cell r="D607">
            <v>6</v>
          </cell>
          <cell r="E607" t="str">
            <v>동물</v>
          </cell>
          <cell r="F607">
            <v>2</v>
          </cell>
          <cell r="G607" t="str">
            <v>S</v>
          </cell>
          <cell r="H607">
            <v>5</v>
          </cell>
        </row>
        <row r="608">
          <cell r="A608">
            <v>70405079</v>
          </cell>
          <cell r="B608" t="str">
            <v>장다리 황새</v>
          </cell>
          <cell r="C608" t="str">
            <v>조류</v>
          </cell>
          <cell r="D608">
            <v>6</v>
          </cell>
          <cell r="E608" t="str">
            <v>동물</v>
          </cell>
          <cell r="F608">
            <v>2</v>
          </cell>
          <cell r="G608" t="str">
            <v>A</v>
          </cell>
          <cell r="H608">
            <v>4</v>
          </cell>
        </row>
        <row r="609">
          <cell r="A609">
            <v>70405080</v>
          </cell>
          <cell r="B609" t="str">
            <v>장미계</v>
          </cell>
          <cell r="C609" t="str">
            <v>조류</v>
          </cell>
          <cell r="D609">
            <v>6</v>
          </cell>
          <cell r="E609" t="str">
            <v>동물</v>
          </cell>
          <cell r="F609">
            <v>2</v>
          </cell>
          <cell r="G609" t="str">
            <v>S</v>
          </cell>
          <cell r="H609">
            <v>5</v>
          </cell>
        </row>
        <row r="610">
          <cell r="A610">
            <v>70405081</v>
          </cell>
          <cell r="B610" t="str">
            <v>저어새</v>
          </cell>
          <cell r="C610" t="str">
            <v>조류</v>
          </cell>
          <cell r="D610">
            <v>6</v>
          </cell>
          <cell r="E610" t="str">
            <v>동물</v>
          </cell>
          <cell r="F610">
            <v>2</v>
          </cell>
          <cell r="G610" t="str">
            <v>S</v>
          </cell>
          <cell r="H610">
            <v>5</v>
          </cell>
        </row>
        <row r="611">
          <cell r="A611">
            <v>70405082</v>
          </cell>
          <cell r="B611" t="str">
            <v>진홍 쇠물닭</v>
          </cell>
          <cell r="C611" t="str">
            <v>조류</v>
          </cell>
          <cell r="D611">
            <v>6</v>
          </cell>
          <cell r="E611" t="str">
            <v>동물</v>
          </cell>
          <cell r="F611">
            <v>2</v>
          </cell>
          <cell r="G611" t="str">
            <v>B</v>
          </cell>
          <cell r="H611">
            <v>3</v>
          </cell>
        </row>
        <row r="612">
          <cell r="A612">
            <v>70405083</v>
          </cell>
          <cell r="B612" t="str">
            <v>진홍 저어새</v>
          </cell>
          <cell r="C612" t="str">
            <v>조류</v>
          </cell>
          <cell r="D612">
            <v>6</v>
          </cell>
          <cell r="E612" t="str">
            <v>동물</v>
          </cell>
          <cell r="F612">
            <v>2</v>
          </cell>
          <cell r="G612" t="str">
            <v>B</v>
          </cell>
          <cell r="H612">
            <v>3</v>
          </cell>
        </row>
        <row r="613">
          <cell r="A613">
            <v>70405084</v>
          </cell>
          <cell r="B613" t="str">
            <v>천인조</v>
          </cell>
          <cell r="C613" t="str">
            <v>조류</v>
          </cell>
          <cell r="D613">
            <v>6</v>
          </cell>
          <cell r="E613" t="str">
            <v>동물</v>
          </cell>
          <cell r="F613">
            <v>2</v>
          </cell>
          <cell r="G613" t="str">
            <v>B</v>
          </cell>
          <cell r="H613">
            <v>3</v>
          </cell>
        </row>
        <row r="614">
          <cell r="A614">
            <v>70405085</v>
          </cell>
          <cell r="B614" t="str">
            <v>청금강앵무</v>
          </cell>
          <cell r="C614" t="str">
            <v>조류</v>
          </cell>
          <cell r="D614">
            <v>6</v>
          </cell>
          <cell r="E614" t="str">
            <v>동물</v>
          </cell>
          <cell r="F614">
            <v>2</v>
          </cell>
          <cell r="G614" t="str">
            <v>A</v>
          </cell>
          <cell r="H614">
            <v>4</v>
          </cell>
        </row>
        <row r="615">
          <cell r="A615">
            <v>70405086</v>
          </cell>
          <cell r="B615" t="str">
            <v>청두루미</v>
          </cell>
          <cell r="C615" t="str">
            <v>조류</v>
          </cell>
          <cell r="D615">
            <v>6</v>
          </cell>
          <cell r="E615" t="str">
            <v>동물</v>
          </cell>
          <cell r="F615">
            <v>2</v>
          </cell>
          <cell r="G615" t="str">
            <v>D</v>
          </cell>
          <cell r="H615">
            <v>1</v>
          </cell>
          <cell r="AW615" t="str">
            <v/>
          </cell>
          <cell r="BA615" t="str">
            <v>-</v>
          </cell>
        </row>
        <row r="616">
          <cell r="A616">
            <v>70405087</v>
          </cell>
          <cell r="B616" t="str">
            <v>칠면조</v>
          </cell>
          <cell r="C616" t="str">
            <v>조류</v>
          </cell>
          <cell r="D616">
            <v>6</v>
          </cell>
          <cell r="E616" t="str">
            <v>동물</v>
          </cell>
          <cell r="F616">
            <v>2</v>
          </cell>
          <cell r="G616" t="str">
            <v>D</v>
          </cell>
          <cell r="H616">
            <v>1</v>
          </cell>
          <cell r="AW616" t="str">
            <v/>
          </cell>
          <cell r="BA616" t="str">
            <v>-</v>
          </cell>
        </row>
        <row r="617">
          <cell r="A617">
            <v>70405088</v>
          </cell>
          <cell r="B617" t="str">
            <v>카구</v>
          </cell>
          <cell r="C617" t="str">
            <v>조류</v>
          </cell>
          <cell r="D617">
            <v>6</v>
          </cell>
          <cell r="E617" t="str">
            <v>동물</v>
          </cell>
          <cell r="F617">
            <v>2</v>
          </cell>
          <cell r="G617" t="str">
            <v>A</v>
          </cell>
          <cell r="H617">
            <v>4</v>
          </cell>
        </row>
        <row r="618">
          <cell r="A618">
            <v>70405089</v>
          </cell>
          <cell r="B618" t="str">
            <v>카라카라</v>
          </cell>
          <cell r="C618" t="str">
            <v>조류</v>
          </cell>
          <cell r="D618">
            <v>6</v>
          </cell>
          <cell r="E618" t="str">
            <v>동물</v>
          </cell>
          <cell r="F618">
            <v>2</v>
          </cell>
          <cell r="G618" t="str">
            <v>A</v>
          </cell>
          <cell r="H618">
            <v>4</v>
          </cell>
        </row>
        <row r="619">
          <cell r="A619">
            <v>70405090</v>
          </cell>
          <cell r="B619" t="str">
            <v>카카포</v>
          </cell>
          <cell r="C619" t="str">
            <v>조류</v>
          </cell>
          <cell r="D619">
            <v>6</v>
          </cell>
          <cell r="E619" t="str">
            <v>동물</v>
          </cell>
          <cell r="F619">
            <v>2</v>
          </cell>
          <cell r="G619" t="str">
            <v>C</v>
          </cell>
          <cell r="H619">
            <v>2</v>
          </cell>
        </row>
        <row r="620">
          <cell r="A620">
            <v>70405091</v>
          </cell>
          <cell r="B620" t="str">
            <v>칼부리벌새</v>
          </cell>
          <cell r="C620" t="str">
            <v>조류</v>
          </cell>
          <cell r="D620">
            <v>6</v>
          </cell>
          <cell r="E620" t="str">
            <v>동물</v>
          </cell>
          <cell r="F620">
            <v>2</v>
          </cell>
          <cell r="G620" t="str">
            <v>C</v>
          </cell>
          <cell r="H620">
            <v>2</v>
          </cell>
        </row>
        <row r="621">
          <cell r="A621">
            <v>70405092</v>
          </cell>
          <cell r="B621" t="str">
            <v>케이프 독수리</v>
          </cell>
          <cell r="C621" t="str">
            <v>조류</v>
          </cell>
          <cell r="D621">
            <v>6</v>
          </cell>
          <cell r="E621" t="str">
            <v>동물</v>
          </cell>
          <cell r="F621">
            <v>2</v>
          </cell>
          <cell r="G621" t="str">
            <v>B</v>
          </cell>
          <cell r="H621">
            <v>3</v>
          </cell>
        </row>
        <row r="622">
          <cell r="A622">
            <v>70405093</v>
          </cell>
          <cell r="B622" t="str">
            <v>케찰</v>
          </cell>
          <cell r="C622" t="str">
            <v>조류</v>
          </cell>
          <cell r="D622">
            <v>6</v>
          </cell>
          <cell r="E622" t="str">
            <v>동물</v>
          </cell>
          <cell r="F622">
            <v>2</v>
          </cell>
          <cell r="G622" t="str">
            <v>B</v>
          </cell>
          <cell r="H622">
            <v>3</v>
          </cell>
        </row>
        <row r="623">
          <cell r="A623">
            <v>70405094</v>
          </cell>
          <cell r="B623" t="str">
            <v>크낙새</v>
          </cell>
          <cell r="C623" t="str">
            <v>조류</v>
          </cell>
          <cell r="D623">
            <v>6</v>
          </cell>
          <cell r="E623" t="str">
            <v>동물</v>
          </cell>
          <cell r="F623">
            <v>2</v>
          </cell>
          <cell r="G623" t="str">
            <v>B</v>
          </cell>
          <cell r="H623">
            <v>3</v>
          </cell>
        </row>
        <row r="624">
          <cell r="A624">
            <v>70405095</v>
          </cell>
          <cell r="B624" t="str">
            <v>큰바다쇠오리</v>
          </cell>
          <cell r="C624" t="str">
            <v>조류</v>
          </cell>
          <cell r="D624">
            <v>6</v>
          </cell>
          <cell r="E624" t="str">
            <v>동물</v>
          </cell>
          <cell r="F624">
            <v>2</v>
          </cell>
          <cell r="G624" t="str">
            <v>A</v>
          </cell>
          <cell r="H624">
            <v>4</v>
          </cell>
        </row>
        <row r="625">
          <cell r="A625">
            <v>70405097</v>
          </cell>
          <cell r="B625" t="str">
            <v>큰봉관조</v>
          </cell>
          <cell r="C625" t="str">
            <v>조류</v>
          </cell>
          <cell r="D625">
            <v>6</v>
          </cell>
          <cell r="E625" t="str">
            <v>동물</v>
          </cell>
          <cell r="F625">
            <v>2</v>
          </cell>
          <cell r="G625" t="str">
            <v>B</v>
          </cell>
          <cell r="H625">
            <v>3</v>
          </cell>
        </row>
        <row r="626">
          <cell r="A626">
            <v>70405098</v>
          </cell>
          <cell r="B626" t="str">
            <v>큰코뿔새</v>
          </cell>
          <cell r="C626" t="str">
            <v>조류</v>
          </cell>
          <cell r="D626">
            <v>6</v>
          </cell>
          <cell r="E626" t="str">
            <v>동물</v>
          </cell>
          <cell r="F626">
            <v>2</v>
          </cell>
          <cell r="G626" t="str">
            <v>B</v>
          </cell>
          <cell r="H626">
            <v>3</v>
          </cell>
        </row>
        <row r="627">
          <cell r="A627">
            <v>70405099</v>
          </cell>
          <cell r="B627" t="str">
            <v>큰유황앵무</v>
          </cell>
          <cell r="C627" t="str">
            <v>조류</v>
          </cell>
          <cell r="D627">
            <v>6</v>
          </cell>
          <cell r="E627" t="str">
            <v>동물</v>
          </cell>
          <cell r="F627">
            <v>2</v>
          </cell>
          <cell r="G627" t="str">
            <v>S</v>
          </cell>
          <cell r="H627">
            <v>5</v>
          </cell>
        </row>
        <row r="628">
          <cell r="A628">
            <v>70405100</v>
          </cell>
          <cell r="B628" t="str">
            <v>키위</v>
          </cell>
          <cell r="C628" t="str">
            <v>조류</v>
          </cell>
          <cell r="D628">
            <v>6</v>
          </cell>
          <cell r="E628" t="str">
            <v>동물</v>
          </cell>
          <cell r="F628">
            <v>2</v>
          </cell>
          <cell r="G628" t="str">
            <v>D</v>
          </cell>
          <cell r="H628">
            <v>1</v>
          </cell>
          <cell r="AW628" t="str">
            <v/>
          </cell>
          <cell r="BA628" t="str">
            <v>-</v>
          </cell>
        </row>
        <row r="629">
          <cell r="A629">
            <v>70405101</v>
          </cell>
          <cell r="B629" t="str">
            <v>타조</v>
          </cell>
          <cell r="C629" t="str">
            <v>조류</v>
          </cell>
          <cell r="D629">
            <v>6</v>
          </cell>
          <cell r="E629" t="str">
            <v>동물</v>
          </cell>
          <cell r="F629">
            <v>2</v>
          </cell>
          <cell r="G629" t="str">
            <v>D</v>
          </cell>
          <cell r="H629">
            <v>1</v>
          </cell>
          <cell r="AW629" t="str">
            <v/>
          </cell>
          <cell r="BA629" t="str">
            <v>-</v>
          </cell>
        </row>
        <row r="630">
          <cell r="A630">
            <v>70405102</v>
          </cell>
          <cell r="B630" t="str">
            <v>토코투칸</v>
          </cell>
          <cell r="C630" t="str">
            <v>조류</v>
          </cell>
          <cell r="D630">
            <v>6</v>
          </cell>
          <cell r="E630" t="str">
            <v>동물</v>
          </cell>
          <cell r="F630">
            <v>2</v>
          </cell>
          <cell r="G630" t="str">
            <v>S</v>
          </cell>
          <cell r="H630">
            <v>5</v>
          </cell>
        </row>
        <row r="631">
          <cell r="A631">
            <v>70405103</v>
          </cell>
          <cell r="B631" t="str">
            <v>토파즈벌새</v>
          </cell>
          <cell r="C631" t="str">
            <v>조류</v>
          </cell>
          <cell r="D631">
            <v>6</v>
          </cell>
          <cell r="E631" t="str">
            <v>동물</v>
          </cell>
          <cell r="F631">
            <v>2</v>
          </cell>
          <cell r="G631" t="str">
            <v>A</v>
          </cell>
          <cell r="H631">
            <v>4</v>
          </cell>
        </row>
        <row r="632">
          <cell r="A632">
            <v>70405104</v>
          </cell>
          <cell r="B632" t="str">
            <v>파랑 어치</v>
          </cell>
          <cell r="C632" t="str">
            <v>조류</v>
          </cell>
          <cell r="D632">
            <v>6</v>
          </cell>
          <cell r="E632" t="str">
            <v>동물</v>
          </cell>
          <cell r="F632">
            <v>2</v>
          </cell>
          <cell r="G632" t="str">
            <v>D</v>
          </cell>
          <cell r="H632">
            <v>1</v>
          </cell>
          <cell r="AW632" t="str">
            <v/>
          </cell>
          <cell r="BA632" t="str">
            <v>-</v>
          </cell>
        </row>
        <row r="633">
          <cell r="A633">
            <v>70405105</v>
          </cell>
          <cell r="B633" t="str">
            <v>포투</v>
          </cell>
          <cell r="C633" t="str">
            <v>조류</v>
          </cell>
          <cell r="D633">
            <v>6</v>
          </cell>
          <cell r="E633" t="str">
            <v>동물</v>
          </cell>
          <cell r="F633">
            <v>2</v>
          </cell>
          <cell r="G633" t="str">
            <v>B</v>
          </cell>
          <cell r="H633">
            <v>3</v>
          </cell>
        </row>
        <row r="634">
          <cell r="A634">
            <v>70405106</v>
          </cell>
          <cell r="B634" t="str">
            <v>푸른발부비새</v>
          </cell>
          <cell r="C634" t="str">
            <v>조류</v>
          </cell>
          <cell r="D634">
            <v>6</v>
          </cell>
          <cell r="E634" t="str">
            <v>동물</v>
          </cell>
          <cell r="F634">
            <v>2</v>
          </cell>
          <cell r="G634" t="str">
            <v>A</v>
          </cell>
          <cell r="H634">
            <v>4</v>
          </cell>
        </row>
        <row r="635">
          <cell r="A635">
            <v>70405107</v>
          </cell>
          <cell r="B635" t="str">
            <v>풍금새</v>
          </cell>
          <cell r="C635" t="str">
            <v>조류</v>
          </cell>
          <cell r="D635">
            <v>6</v>
          </cell>
          <cell r="E635" t="str">
            <v>동물</v>
          </cell>
          <cell r="F635">
            <v>2</v>
          </cell>
          <cell r="G635" t="str">
            <v>B</v>
          </cell>
          <cell r="H635">
            <v>3</v>
          </cell>
          <cell r="AW635" t="str">
            <v/>
          </cell>
          <cell r="BA635" t="str">
            <v>-</v>
          </cell>
        </row>
        <row r="636">
          <cell r="A636">
            <v>70405108</v>
          </cell>
          <cell r="B636" t="str">
            <v>하스트수리</v>
          </cell>
          <cell r="C636" t="str">
            <v>조류</v>
          </cell>
          <cell r="D636">
            <v>6</v>
          </cell>
          <cell r="E636" t="str">
            <v>동물</v>
          </cell>
          <cell r="F636">
            <v>2</v>
          </cell>
          <cell r="G636" t="str">
            <v>A</v>
          </cell>
          <cell r="H636">
            <v>4</v>
          </cell>
        </row>
        <row r="637">
          <cell r="A637">
            <v>70405109</v>
          </cell>
          <cell r="B637" t="str">
            <v>하야신스마코금강앵무</v>
          </cell>
          <cell r="C637" t="str">
            <v>조류</v>
          </cell>
          <cell r="D637">
            <v>6</v>
          </cell>
          <cell r="E637" t="str">
            <v>동물</v>
          </cell>
          <cell r="F637">
            <v>2</v>
          </cell>
          <cell r="G637" t="str">
            <v>A</v>
          </cell>
          <cell r="H637">
            <v>4</v>
          </cell>
        </row>
        <row r="638">
          <cell r="A638">
            <v>70405110</v>
          </cell>
          <cell r="B638" t="str">
            <v>하와이기러기</v>
          </cell>
          <cell r="C638" t="str">
            <v>조류</v>
          </cell>
          <cell r="D638">
            <v>6</v>
          </cell>
          <cell r="E638" t="str">
            <v>동물</v>
          </cell>
          <cell r="F638">
            <v>2</v>
          </cell>
          <cell r="G638" t="str">
            <v>C</v>
          </cell>
          <cell r="H638">
            <v>2</v>
          </cell>
        </row>
        <row r="639">
          <cell r="A639">
            <v>70405111</v>
          </cell>
          <cell r="B639" t="str">
            <v>호금조</v>
          </cell>
          <cell r="C639" t="str">
            <v>조류</v>
          </cell>
          <cell r="D639">
            <v>6</v>
          </cell>
          <cell r="E639" t="str">
            <v>동물</v>
          </cell>
          <cell r="F639">
            <v>2</v>
          </cell>
          <cell r="G639" t="str">
            <v>C</v>
          </cell>
          <cell r="H639">
            <v>2</v>
          </cell>
        </row>
        <row r="640">
          <cell r="A640">
            <v>70405112</v>
          </cell>
          <cell r="B640" t="str">
            <v>호로새</v>
          </cell>
          <cell r="C640" t="str">
            <v>조류</v>
          </cell>
          <cell r="D640">
            <v>6</v>
          </cell>
          <cell r="E640" t="str">
            <v>동물</v>
          </cell>
          <cell r="F640">
            <v>2</v>
          </cell>
          <cell r="G640" t="str">
            <v>D</v>
          </cell>
          <cell r="H640">
            <v>1</v>
          </cell>
          <cell r="AW640" t="str">
            <v/>
          </cell>
          <cell r="BA640" t="str">
            <v>-</v>
          </cell>
        </row>
        <row r="641">
          <cell r="A641">
            <v>70405113</v>
          </cell>
          <cell r="B641" t="str">
            <v>홍관조</v>
          </cell>
          <cell r="C641" t="str">
            <v>조류</v>
          </cell>
          <cell r="D641">
            <v>6</v>
          </cell>
          <cell r="E641" t="str">
            <v>동물</v>
          </cell>
          <cell r="F641">
            <v>2</v>
          </cell>
          <cell r="G641" t="str">
            <v>A</v>
          </cell>
          <cell r="H641">
            <v>4</v>
          </cell>
        </row>
        <row r="642">
          <cell r="A642">
            <v>70405114</v>
          </cell>
          <cell r="B642" t="str">
            <v>홍방울새</v>
          </cell>
          <cell r="C642" t="str">
            <v>조류</v>
          </cell>
          <cell r="D642">
            <v>6</v>
          </cell>
          <cell r="E642" t="str">
            <v>동물</v>
          </cell>
          <cell r="F642">
            <v>2</v>
          </cell>
          <cell r="G642" t="str">
            <v>S</v>
          </cell>
          <cell r="H642">
            <v>5</v>
          </cell>
        </row>
        <row r="643">
          <cell r="A643">
            <v>70405115</v>
          </cell>
          <cell r="B643" t="str">
            <v>홍색가슴오색조</v>
          </cell>
          <cell r="C643" t="str">
            <v>조류</v>
          </cell>
          <cell r="D643">
            <v>6</v>
          </cell>
          <cell r="E643" t="str">
            <v>동물</v>
          </cell>
          <cell r="F643">
            <v>2</v>
          </cell>
          <cell r="G643" t="str">
            <v>A</v>
          </cell>
          <cell r="H643">
            <v>4</v>
          </cell>
        </row>
        <row r="644">
          <cell r="A644">
            <v>70405116</v>
          </cell>
          <cell r="B644" t="str">
            <v>홍학</v>
          </cell>
          <cell r="C644" t="str">
            <v>조류</v>
          </cell>
          <cell r="D644">
            <v>6</v>
          </cell>
          <cell r="E644" t="str">
            <v>동물</v>
          </cell>
          <cell r="F644">
            <v>2</v>
          </cell>
          <cell r="G644" t="str">
            <v>D</v>
          </cell>
          <cell r="H644">
            <v>1</v>
          </cell>
          <cell r="AW644" t="str">
            <v/>
          </cell>
          <cell r="BA644" t="str">
            <v>-</v>
          </cell>
        </row>
        <row r="645">
          <cell r="A645">
            <v>70405117</v>
          </cell>
          <cell r="B645" t="str">
            <v>후투티</v>
          </cell>
          <cell r="C645" t="str">
            <v>조류</v>
          </cell>
          <cell r="D645">
            <v>6</v>
          </cell>
          <cell r="E645" t="str">
            <v>동물</v>
          </cell>
          <cell r="F645">
            <v>2</v>
          </cell>
          <cell r="G645" t="str">
            <v>B</v>
          </cell>
          <cell r="H645">
            <v>3</v>
          </cell>
        </row>
        <row r="646">
          <cell r="A646">
            <v>70405118</v>
          </cell>
          <cell r="B646" t="str">
            <v>훔볼트 펭귄</v>
          </cell>
          <cell r="C646" t="str">
            <v>조류</v>
          </cell>
          <cell r="D646">
            <v>6</v>
          </cell>
          <cell r="E646" t="str">
            <v>동물</v>
          </cell>
          <cell r="F646">
            <v>2</v>
          </cell>
          <cell r="G646" t="str">
            <v>B</v>
          </cell>
          <cell r="H646">
            <v>3</v>
          </cell>
        </row>
        <row r="647">
          <cell r="A647">
            <v>70405119</v>
          </cell>
          <cell r="B647" t="str">
            <v>휘파람새</v>
          </cell>
          <cell r="C647" t="str">
            <v>조류</v>
          </cell>
          <cell r="D647">
            <v>6</v>
          </cell>
          <cell r="E647" t="str">
            <v>동물</v>
          </cell>
          <cell r="F647">
            <v>2</v>
          </cell>
          <cell r="G647" t="str">
            <v>A</v>
          </cell>
          <cell r="H647">
            <v>4</v>
          </cell>
        </row>
        <row r="648">
          <cell r="A648">
            <v>70405120</v>
          </cell>
          <cell r="B648" t="str">
            <v>흑고니</v>
          </cell>
          <cell r="C648" t="str">
            <v>조류</v>
          </cell>
          <cell r="D648">
            <v>6</v>
          </cell>
          <cell r="E648" t="str">
            <v>동물</v>
          </cell>
          <cell r="F648">
            <v>2</v>
          </cell>
          <cell r="G648" t="str">
            <v>C</v>
          </cell>
          <cell r="H648">
            <v>2</v>
          </cell>
        </row>
        <row r="649">
          <cell r="A649">
            <v>70405121</v>
          </cell>
          <cell r="B649" t="str">
            <v>흡혈 핀치</v>
          </cell>
          <cell r="C649" t="str">
            <v>조류</v>
          </cell>
          <cell r="D649">
            <v>6</v>
          </cell>
          <cell r="E649" t="str">
            <v>동물</v>
          </cell>
          <cell r="F649">
            <v>2</v>
          </cell>
          <cell r="G649" t="str">
            <v>D</v>
          </cell>
          <cell r="H649">
            <v>1</v>
          </cell>
          <cell r="AW649" t="str">
            <v/>
          </cell>
          <cell r="BA649" t="str">
            <v>-</v>
          </cell>
        </row>
        <row r="650">
          <cell r="A650">
            <v>70405122</v>
          </cell>
          <cell r="B650" t="str">
            <v>흰눈썹 뜸부기</v>
          </cell>
          <cell r="C650" t="str">
            <v>조류</v>
          </cell>
          <cell r="D650">
            <v>6</v>
          </cell>
          <cell r="E650" t="str">
            <v>동물</v>
          </cell>
          <cell r="F650">
            <v>2</v>
          </cell>
          <cell r="G650" t="str">
            <v>B</v>
          </cell>
          <cell r="H650">
            <v>3</v>
          </cell>
        </row>
        <row r="651">
          <cell r="A651">
            <v>70405123</v>
          </cell>
          <cell r="B651" t="str">
            <v>흰눈썹붉은배지빠귀</v>
          </cell>
          <cell r="C651" t="str">
            <v>조류</v>
          </cell>
          <cell r="D651">
            <v>6</v>
          </cell>
          <cell r="E651" t="str">
            <v>동물</v>
          </cell>
          <cell r="F651">
            <v>2</v>
          </cell>
          <cell r="G651" t="str">
            <v>B</v>
          </cell>
          <cell r="H651">
            <v>3</v>
          </cell>
        </row>
        <row r="652">
          <cell r="A652">
            <v>70405124</v>
          </cell>
          <cell r="B652" t="str">
            <v>흰눈썹지빠귀</v>
          </cell>
          <cell r="C652" t="str">
            <v>조류</v>
          </cell>
          <cell r="D652">
            <v>6</v>
          </cell>
          <cell r="E652" t="str">
            <v>동물</v>
          </cell>
          <cell r="F652">
            <v>2</v>
          </cell>
          <cell r="G652" t="str">
            <v>C</v>
          </cell>
          <cell r="H652">
            <v>2</v>
          </cell>
        </row>
        <row r="653">
          <cell r="A653">
            <v>70405125</v>
          </cell>
          <cell r="B653" t="str">
            <v>흰머리독수리</v>
          </cell>
          <cell r="C653" t="str">
            <v>조류</v>
          </cell>
          <cell r="D653">
            <v>6</v>
          </cell>
          <cell r="E653" t="str">
            <v>동물</v>
          </cell>
          <cell r="F653">
            <v>2</v>
          </cell>
          <cell r="G653" t="str">
            <v>A</v>
          </cell>
          <cell r="H653">
            <v>4</v>
          </cell>
        </row>
        <row r="654">
          <cell r="A654">
            <v>70405126</v>
          </cell>
          <cell r="B654" t="str">
            <v>흰부리딱따구리</v>
          </cell>
          <cell r="C654" t="str">
            <v>조류</v>
          </cell>
          <cell r="D654">
            <v>6</v>
          </cell>
          <cell r="E654" t="str">
            <v>동물</v>
          </cell>
          <cell r="F654">
            <v>2</v>
          </cell>
          <cell r="G654" t="str">
            <v>D</v>
          </cell>
          <cell r="H654">
            <v>1</v>
          </cell>
          <cell r="AW654" t="str">
            <v/>
          </cell>
          <cell r="BA654" t="str">
            <v>-</v>
          </cell>
        </row>
        <row r="655">
          <cell r="A655">
            <v>70405127</v>
          </cell>
          <cell r="B655" t="str">
            <v>흰올빼미</v>
          </cell>
          <cell r="C655" t="str">
            <v>조류</v>
          </cell>
          <cell r="D655">
            <v>6</v>
          </cell>
          <cell r="E655" t="str">
            <v>동물</v>
          </cell>
          <cell r="F655">
            <v>2</v>
          </cell>
          <cell r="G655" t="str">
            <v>A</v>
          </cell>
          <cell r="H655">
            <v>4</v>
          </cell>
        </row>
        <row r="656">
          <cell r="A656">
            <v>70406000</v>
          </cell>
          <cell r="B656" t="str">
            <v>가시두더지</v>
          </cell>
          <cell r="C656" t="str">
            <v>포유류</v>
          </cell>
          <cell r="D656">
            <v>5</v>
          </cell>
          <cell r="E656" t="str">
            <v>동물</v>
          </cell>
          <cell r="F656">
            <v>2</v>
          </cell>
          <cell r="G656" t="str">
            <v>C</v>
          </cell>
          <cell r="H656">
            <v>2</v>
          </cell>
        </row>
        <row r="657">
          <cell r="A657">
            <v>70406001</v>
          </cell>
          <cell r="B657" t="str">
            <v>가죽날개원숭이</v>
          </cell>
          <cell r="C657" t="str">
            <v>포유류</v>
          </cell>
          <cell r="D657">
            <v>5</v>
          </cell>
          <cell r="E657" t="str">
            <v>동물</v>
          </cell>
          <cell r="F657">
            <v>2</v>
          </cell>
          <cell r="G657" t="str">
            <v>A</v>
          </cell>
          <cell r="H657">
            <v>4</v>
          </cell>
        </row>
        <row r="658">
          <cell r="A658">
            <v>70406002</v>
          </cell>
          <cell r="B658" t="str">
            <v>갈라고</v>
          </cell>
          <cell r="C658" t="str">
            <v>포유류</v>
          </cell>
          <cell r="D658">
            <v>5</v>
          </cell>
          <cell r="E658" t="str">
            <v>동물</v>
          </cell>
          <cell r="F658">
            <v>2</v>
          </cell>
          <cell r="G658" t="str">
            <v>S</v>
          </cell>
          <cell r="H658">
            <v>5</v>
          </cell>
        </row>
        <row r="659">
          <cell r="A659">
            <v>70406003</v>
          </cell>
          <cell r="B659" t="str">
            <v>갈색나무뱀</v>
          </cell>
          <cell r="C659" t="str">
            <v>파충류</v>
          </cell>
          <cell r="D659">
            <v>7</v>
          </cell>
          <cell r="E659" t="str">
            <v>동물</v>
          </cell>
          <cell r="F659">
            <v>2</v>
          </cell>
          <cell r="G659" t="str">
            <v>D</v>
          </cell>
          <cell r="H659">
            <v>1</v>
          </cell>
          <cell r="AW659" t="str">
            <v/>
          </cell>
          <cell r="BA659" t="str">
            <v>-</v>
          </cell>
        </row>
        <row r="660">
          <cell r="A660">
            <v>70406004</v>
          </cell>
          <cell r="B660" t="str">
            <v>갈색은둔거미</v>
          </cell>
          <cell r="C660" t="str">
            <v>무척추동물</v>
          </cell>
          <cell r="D660">
            <v>9</v>
          </cell>
          <cell r="E660" t="str">
            <v>동물</v>
          </cell>
          <cell r="F660">
            <v>2</v>
          </cell>
          <cell r="G660" t="str">
            <v>A</v>
          </cell>
          <cell r="H660">
            <v>4</v>
          </cell>
        </row>
        <row r="661">
          <cell r="A661">
            <v>70406005</v>
          </cell>
          <cell r="B661" t="str">
            <v>거꾸로 개구리</v>
          </cell>
          <cell r="C661" t="str">
            <v>파충류</v>
          </cell>
          <cell r="D661">
            <v>7</v>
          </cell>
          <cell r="E661" t="str">
            <v>동물</v>
          </cell>
          <cell r="F661">
            <v>2</v>
          </cell>
          <cell r="G661" t="str">
            <v>A</v>
          </cell>
          <cell r="H661">
            <v>4</v>
          </cell>
        </row>
        <row r="662">
          <cell r="A662">
            <v>70406006</v>
          </cell>
          <cell r="B662" t="str">
            <v>검은담비</v>
          </cell>
          <cell r="C662" t="str">
            <v>포유류</v>
          </cell>
          <cell r="D662">
            <v>5</v>
          </cell>
          <cell r="E662" t="str">
            <v>동물</v>
          </cell>
          <cell r="F662">
            <v>2</v>
          </cell>
          <cell r="G662" t="str">
            <v>S</v>
          </cell>
          <cell r="H662">
            <v>5</v>
          </cell>
        </row>
        <row r="663">
          <cell r="A663">
            <v>70406007</v>
          </cell>
          <cell r="B663" t="str">
            <v>검은맘바</v>
          </cell>
          <cell r="C663" t="str">
            <v>파충류</v>
          </cell>
          <cell r="D663">
            <v>7</v>
          </cell>
          <cell r="E663" t="str">
            <v>동물</v>
          </cell>
          <cell r="F663">
            <v>2</v>
          </cell>
          <cell r="G663" t="str">
            <v>S</v>
          </cell>
          <cell r="H663">
            <v>5</v>
          </cell>
        </row>
        <row r="664">
          <cell r="A664">
            <v>70406008</v>
          </cell>
          <cell r="B664" t="str">
            <v>검은발고양이</v>
          </cell>
          <cell r="C664" t="str">
            <v>포유류</v>
          </cell>
          <cell r="D664">
            <v>5</v>
          </cell>
          <cell r="E664" t="str">
            <v>동물</v>
          </cell>
          <cell r="F664">
            <v>2</v>
          </cell>
          <cell r="G664" t="str">
            <v>B</v>
          </cell>
          <cell r="H664">
            <v>3</v>
          </cell>
        </row>
        <row r="665">
          <cell r="A665">
            <v>70406009</v>
          </cell>
          <cell r="B665" t="str">
            <v>겨울잠쥐</v>
          </cell>
          <cell r="C665" t="str">
            <v>포유류</v>
          </cell>
          <cell r="D665">
            <v>5</v>
          </cell>
          <cell r="E665" t="str">
            <v>동물</v>
          </cell>
          <cell r="F665">
            <v>2</v>
          </cell>
          <cell r="G665" t="str">
            <v>C</v>
          </cell>
          <cell r="H665">
            <v>2</v>
          </cell>
        </row>
        <row r="666">
          <cell r="A666">
            <v>70406010</v>
          </cell>
          <cell r="B666" t="str">
            <v>고슴도치</v>
          </cell>
          <cell r="C666" t="str">
            <v>포유류</v>
          </cell>
          <cell r="D666">
            <v>5</v>
          </cell>
          <cell r="E666" t="str">
            <v>동물</v>
          </cell>
          <cell r="F666">
            <v>2</v>
          </cell>
          <cell r="G666" t="str">
            <v>D</v>
          </cell>
          <cell r="H666">
            <v>1</v>
          </cell>
        </row>
        <row r="667">
          <cell r="A667">
            <v>70406011</v>
          </cell>
          <cell r="B667" t="str">
            <v>관시 파카</v>
          </cell>
          <cell r="C667" t="str">
            <v>포유류</v>
          </cell>
          <cell r="D667">
            <v>5</v>
          </cell>
          <cell r="E667" t="str">
            <v>동물</v>
          </cell>
          <cell r="F667">
            <v>2</v>
          </cell>
          <cell r="G667" t="str">
            <v>A</v>
          </cell>
          <cell r="H667">
            <v>4</v>
          </cell>
        </row>
        <row r="668">
          <cell r="A668">
            <v>70406012</v>
          </cell>
          <cell r="B668" t="str">
            <v>깡충토끼</v>
          </cell>
          <cell r="C668" t="str">
            <v>포유류</v>
          </cell>
          <cell r="D668">
            <v>5</v>
          </cell>
          <cell r="E668" t="str">
            <v>동물</v>
          </cell>
          <cell r="F668">
            <v>2</v>
          </cell>
          <cell r="G668" t="str">
            <v>C</v>
          </cell>
          <cell r="H668">
            <v>2</v>
          </cell>
        </row>
        <row r="669">
          <cell r="A669">
            <v>70406013</v>
          </cell>
          <cell r="B669" t="str">
            <v>나무타기도마뱀</v>
          </cell>
          <cell r="C669" t="str">
            <v>파충류</v>
          </cell>
          <cell r="D669">
            <v>7</v>
          </cell>
          <cell r="E669" t="str">
            <v>동물</v>
          </cell>
          <cell r="F669">
            <v>2</v>
          </cell>
          <cell r="G669" t="str">
            <v>B</v>
          </cell>
          <cell r="H669">
            <v>3</v>
          </cell>
        </row>
        <row r="670">
          <cell r="A670">
            <v>70406014</v>
          </cell>
          <cell r="B670" t="str">
            <v>낙타거미</v>
          </cell>
          <cell r="C670" t="str">
            <v>무척추동물</v>
          </cell>
          <cell r="D670">
            <v>9</v>
          </cell>
          <cell r="E670" t="str">
            <v>동물</v>
          </cell>
          <cell r="F670">
            <v>2</v>
          </cell>
          <cell r="G670" t="str">
            <v>A</v>
          </cell>
          <cell r="H670">
            <v>4</v>
          </cell>
        </row>
        <row r="671">
          <cell r="A671">
            <v>70406015</v>
          </cell>
          <cell r="B671" t="str">
            <v>날개구리</v>
          </cell>
          <cell r="C671" t="str">
            <v>파충류</v>
          </cell>
          <cell r="D671">
            <v>7</v>
          </cell>
          <cell r="E671" t="str">
            <v>동물</v>
          </cell>
          <cell r="F671">
            <v>2</v>
          </cell>
          <cell r="G671" t="str">
            <v>B</v>
          </cell>
          <cell r="H671">
            <v>3</v>
          </cell>
        </row>
        <row r="672">
          <cell r="A672">
            <v>70406016</v>
          </cell>
          <cell r="B672" t="str">
            <v>날도마뱀</v>
          </cell>
          <cell r="C672" t="str">
            <v>파충류</v>
          </cell>
          <cell r="D672">
            <v>7</v>
          </cell>
          <cell r="E672" t="str">
            <v>동물</v>
          </cell>
          <cell r="F672">
            <v>2</v>
          </cell>
          <cell r="G672" t="str">
            <v>C</v>
          </cell>
          <cell r="H672">
            <v>2</v>
          </cell>
        </row>
        <row r="673">
          <cell r="A673">
            <v>70406017</v>
          </cell>
          <cell r="B673" t="str">
            <v>날뱀</v>
          </cell>
          <cell r="C673" t="str">
            <v>파충류</v>
          </cell>
          <cell r="D673">
            <v>7</v>
          </cell>
          <cell r="E673" t="str">
            <v>동물</v>
          </cell>
          <cell r="F673">
            <v>2</v>
          </cell>
          <cell r="G673" t="str">
            <v>A</v>
          </cell>
          <cell r="H673">
            <v>4</v>
          </cell>
        </row>
        <row r="674">
          <cell r="A674">
            <v>70406018</v>
          </cell>
          <cell r="B674" t="str">
            <v>다윈코개구리</v>
          </cell>
          <cell r="C674" t="str">
            <v>파충류</v>
          </cell>
          <cell r="D674">
            <v>7</v>
          </cell>
          <cell r="E674" t="str">
            <v>동물</v>
          </cell>
          <cell r="F674">
            <v>2</v>
          </cell>
          <cell r="G674" t="str">
            <v>B</v>
          </cell>
          <cell r="H674">
            <v>3</v>
          </cell>
        </row>
        <row r="675">
          <cell r="A675">
            <v>70406019</v>
          </cell>
          <cell r="B675" t="str">
            <v>담비</v>
          </cell>
          <cell r="C675" t="str">
            <v>포유류</v>
          </cell>
          <cell r="D675">
            <v>5</v>
          </cell>
          <cell r="E675" t="str">
            <v>동물</v>
          </cell>
          <cell r="F675">
            <v>2</v>
          </cell>
          <cell r="G675" t="str">
            <v>B</v>
          </cell>
          <cell r="H675">
            <v>3</v>
          </cell>
        </row>
        <row r="676">
          <cell r="A676">
            <v>70406020</v>
          </cell>
          <cell r="B676" t="str">
            <v>대모</v>
          </cell>
          <cell r="C676" t="str">
            <v>파충류</v>
          </cell>
          <cell r="D676">
            <v>7</v>
          </cell>
          <cell r="E676" t="str">
            <v>동물</v>
          </cell>
          <cell r="F676">
            <v>2</v>
          </cell>
          <cell r="G676" t="str">
            <v>S</v>
          </cell>
          <cell r="H676">
            <v>5</v>
          </cell>
        </row>
        <row r="677">
          <cell r="A677">
            <v>70406021</v>
          </cell>
          <cell r="B677" t="str">
            <v>데구</v>
          </cell>
          <cell r="C677" t="str">
            <v>포유류</v>
          </cell>
          <cell r="D677">
            <v>5</v>
          </cell>
          <cell r="E677" t="str">
            <v>동물</v>
          </cell>
          <cell r="F677">
            <v>2</v>
          </cell>
          <cell r="G677" t="str">
            <v>C</v>
          </cell>
          <cell r="H677">
            <v>2</v>
          </cell>
        </row>
        <row r="678">
          <cell r="A678">
            <v>70406022</v>
          </cell>
          <cell r="B678" t="str">
            <v>도마뱀붙이</v>
          </cell>
          <cell r="C678" t="str">
            <v>파충류</v>
          </cell>
          <cell r="D678">
            <v>7</v>
          </cell>
          <cell r="E678" t="str">
            <v>동물</v>
          </cell>
          <cell r="F678">
            <v>2</v>
          </cell>
          <cell r="G678" t="str">
            <v>A</v>
          </cell>
          <cell r="H678">
            <v>4</v>
          </cell>
        </row>
        <row r="679">
          <cell r="A679">
            <v>70406023</v>
          </cell>
          <cell r="B679" t="str">
            <v>독도마뱀</v>
          </cell>
          <cell r="C679" t="str">
            <v>파충류</v>
          </cell>
          <cell r="D679">
            <v>7</v>
          </cell>
          <cell r="E679" t="str">
            <v>동물</v>
          </cell>
          <cell r="F679">
            <v>2</v>
          </cell>
          <cell r="G679" t="str">
            <v>B</v>
          </cell>
          <cell r="H679">
            <v>3</v>
          </cell>
        </row>
        <row r="680">
          <cell r="A680">
            <v>70406024</v>
          </cell>
          <cell r="B680" t="str">
            <v>독화살개구리</v>
          </cell>
          <cell r="C680" t="str">
            <v>파충류</v>
          </cell>
          <cell r="D680">
            <v>7</v>
          </cell>
          <cell r="E680" t="str">
            <v>동물</v>
          </cell>
          <cell r="F680">
            <v>2</v>
          </cell>
          <cell r="G680" t="str">
            <v>A</v>
          </cell>
          <cell r="H680">
            <v>4</v>
          </cell>
        </row>
        <row r="681">
          <cell r="A681">
            <v>70406025</v>
          </cell>
          <cell r="B681" t="str">
            <v>동부초록맘바</v>
          </cell>
          <cell r="C681" t="str">
            <v>파충류</v>
          </cell>
          <cell r="D681">
            <v>7</v>
          </cell>
          <cell r="E681" t="str">
            <v>동물</v>
          </cell>
          <cell r="F681">
            <v>2</v>
          </cell>
          <cell r="G681" t="str">
            <v>B</v>
          </cell>
          <cell r="H681">
            <v>3</v>
          </cell>
        </row>
        <row r="682">
          <cell r="A682">
            <v>70406026</v>
          </cell>
          <cell r="B682" t="str">
            <v>러셀살무사</v>
          </cell>
          <cell r="C682" t="str">
            <v>파충류</v>
          </cell>
          <cell r="D682">
            <v>7</v>
          </cell>
          <cell r="E682" t="str">
            <v>동물</v>
          </cell>
          <cell r="F682">
            <v>2</v>
          </cell>
          <cell r="G682" t="str">
            <v>A</v>
          </cell>
          <cell r="H682">
            <v>4</v>
          </cell>
        </row>
        <row r="683">
          <cell r="A683">
            <v>70406027</v>
          </cell>
          <cell r="B683" t="str">
            <v>러시아데스만</v>
          </cell>
          <cell r="C683" t="str">
            <v>포유류</v>
          </cell>
          <cell r="D683">
            <v>5</v>
          </cell>
          <cell r="E683" t="str">
            <v>동물</v>
          </cell>
          <cell r="F683">
            <v>2</v>
          </cell>
          <cell r="G683" t="str">
            <v>C</v>
          </cell>
          <cell r="H683">
            <v>2</v>
          </cell>
        </row>
        <row r="684">
          <cell r="A684">
            <v>70406028</v>
          </cell>
          <cell r="B684" t="str">
            <v>레밍</v>
          </cell>
          <cell r="C684" t="str">
            <v>포유류</v>
          </cell>
          <cell r="D684">
            <v>5</v>
          </cell>
          <cell r="E684" t="str">
            <v>동물</v>
          </cell>
          <cell r="F684">
            <v>2</v>
          </cell>
          <cell r="G684" t="str">
            <v>D</v>
          </cell>
          <cell r="H684">
            <v>1</v>
          </cell>
          <cell r="AW684" t="str">
            <v/>
          </cell>
          <cell r="BA684" t="str">
            <v>-</v>
          </cell>
        </row>
        <row r="685">
          <cell r="A685">
            <v>70406029</v>
          </cell>
          <cell r="B685" t="str">
            <v>레서 사이렌</v>
          </cell>
          <cell r="C685" t="str">
            <v>파충류</v>
          </cell>
          <cell r="D685">
            <v>7</v>
          </cell>
          <cell r="E685" t="str">
            <v>동물</v>
          </cell>
          <cell r="F685">
            <v>2</v>
          </cell>
          <cell r="G685" t="str">
            <v>A</v>
          </cell>
          <cell r="H685">
            <v>4</v>
          </cell>
        </row>
        <row r="686">
          <cell r="A686">
            <v>70406030</v>
          </cell>
          <cell r="B686" t="str">
            <v>로리스</v>
          </cell>
          <cell r="C686" t="str">
            <v>포유류</v>
          </cell>
          <cell r="D686">
            <v>5</v>
          </cell>
          <cell r="E686" t="str">
            <v>동물</v>
          </cell>
          <cell r="F686">
            <v>2</v>
          </cell>
          <cell r="G686" t="str">
            <v>B</v>
          </cell>
          <cell r="H686">
            <v>3</v>
          </cell>
          <cell r="AW686" t="str">
            <v>특정 퀘스트(=)</v>
          </cell>
          <cell r="AY686" t="str">
            <v>에르네스트 로페스 시나리오</v>
          </cell>
          <cell r="BA686" t="str">
            <v>에르네스트 로페스12_08</v>
          </cell>
        </row>
        <row r="687">
          <cell r="A687">
            <v>70406031</v>
          </cell>
          <cell r="B687" t="str">
            <v>링크할스</v>
          </cell>
          <cell r="C687" t="str">
            <v>파충류</v>
          </cell>
          <cell r="D687">
            <v>7</v>
          </cell>
          <cell r="E687" t="str">
            <v>동물</v>
          </cell>
          <cell r="F687">
            <v>2</v>
          </cell>
          <cell r="G687" t="str">
            <v>B</v>
          </cell>
          <cell r="H687">
            <v>3</v>
          </cell>
        </row>
        <row r="688">
          <cell r="A688">
            <v>70406032</v>
          </cell>
          <cell r="B688" t="str">
            <v>마못</v>
          </cell>
          <cell r="C688" t="str">
            <v>포유류</v>
          </cell>
          <cell r="D688">
            <v>5</v>
          </cell>
          <cell r="E688" t="str">
            <v>동물</v>
          </cell>
          <cell r="F688">
            <v>2</v>
          </cell>
          <cell r="G688" t="str">
            <v>B</v>
          </cell>
          <cell r="H688">
            <v>3</v>
          </cell>
        </row>
        <row r="689">
          <cell r="A689">
            <v>70406033</v>
          </cell>
          <cell r="B689" t="str">
            <v>마타마타거북</v>
          </cell>
          <cell r="C689" t="str">
            <v>파충류</v>
          </cell>
          <cell r="D689">
            <v>7</v>
          </cell>
          <cell r="E689" t="str">
            <v>동물</v>
          </cell>
          <cell r="F689">
            <v>2</v>
          </cell>
          <cell r="G689" t="str">
            <v>B</v>
          </cell>
          <cell r="H689">
            <v>3</v>
          </cell>
        </row>
        <row r="690">
          <cell r="A690">
            <v>70406034</v>
          </cell>
          <cell r="B690" t="str">
            <v>목도리도마뱀</v>
          </cell>
          <cell r="C690" t="str">
            <v>파충류</v>
          </cell>
          <cell r="D690">
            <v>7</v>
          </cell>
          <cell r="E690" t="str">
            <v>동물</v>
          </cell>
          <cell r="F690">
            <v>2</v>
          </cell>
          <cell r="G690" t="str">
            <v>D</v>
          </cell>
          <cell r="H690">
            <v>1</v>
          </cell>
          <cell r="AW690" t="str">
            <v/>
          </cell>
          <cell r="BA690" t="str">
            <v>-</v>
          </cell>
        </row>
        <row r="691">
          <cell r="A691">
            <v>70406035</v>
          </cell>
          <cell r="B691" t="str">
            <v>무지개아가마</v>
          </cell>
          <cell r="C691" t="str">
            <v>파충류</v>
          </cell>
          <cell r="D691">
            <v>7</v>
          </cell>
          <cell r="E691" t="str">
            <v>동물</v>
          </cell>
          <cell r="F691">
            <v>2</v>
          </cell>
          <cell r="G691" t="str">
            <v>A</v>
          </cell>
          <cell r="H691">
            <v>4</v>
          </cell>
        </row>
        <row r="692">
          <cell r="A692">
            <v>70406036</v>
          </cell>
          <cell r="B692" t="str">
            <v>미어캣</v>
          </cell>
          <cell r="C692" t="str">
            <v>포유류</v>
          </cell>
          <cell r="D692">
            <v>5</v>
          </cell>
          <cell r="E692" t="str">
            <v>동물</v>
          </cell>
          <cell r="F692">
            <v>2</v>
          </cell>
          <cell r="G692" t="str">
            <v>C</v>
          </cell>
          <cell r="H692">
            <v>2</v>
          </cell>
        </row>
        <row r="693">
          <cell r="A693">
            <v>70406037</v>
          </cell>
          <cell r="B693" t="str">
            <v>바실리스크이구아나</v>
          </cell>
          <cell r="C693" t="str">
            <v>파충류</v>
          </cell>
          <cell r="D693">
            <v>7</v>
          </cell>
          <cell r="E693" t="str">
            <v>동물</v>
          </cell>
          <cell r="F693">
            <v>2</v>
          </cell>
          <cell r="G693" t="str">
            <v>B</v>
          </cell>
          <cell r="H693">
            <v>3</v>
          </cell>
        </row>
        <row r="694">
          <cell r="A694">
            <v>70406038</v>
          </cell>
          <cell r="B694" t="str">
            <v>바위너구리</v>
          </cell>
          <cell r="C694" t="str">
            <v>포유류</v>
          </cell>
          <cell r="D694">
            <v>5</v>
          </cell>
          <cell r="E694" t="str">
            <v>동물</v>
          </cell>
          <cell r="F694">
            <v>2</v>
          </cell>
          <cell r="G694" t="str">
            <v>B</v>
          </cell>
          <cell r="H694">
            <v>3</v>
          </cell>
        </row>
        <row r="695">
          <cell r="A695">
            <v>70406039</v>
          </cell>
          <cell r="B695" t="str">
            <v>반디쿠트</v>
          </cell>
          <cell r="C695" t="str">
            <v>포유류</v>
          </cell>
          <cell r="D695">
            <v>5</v>
          </cell>
          <cell r="E695" t="str">
            <v>동물</v>
          </cell>
          <cell r="F695">
            <v>2</v>
          </cell>
          <cell r="G695" t="str">
            <v>D</v>
          </cell>
          <cell r="H695">
            <v>1</v>
          </cell>
          <cell r="AW695" t="str">
            <v/>
          </cell>
          <cell r="BA695" t="str">
            <v>-</v>
          </cell>
        </row>
        <row r="696">
          <cell r="A696">
            <v>70406040</v>
          </cell>
          <cell r="B696" t="str">
            <v>뱀목거북</v>
          </cell>
          <cell r="C696" t="str">
            <v>파충류</v>
          </cell>
          <cell r="D696">
            <v>7</v>
          </cell>
          <cell r="E696" t="str">
            <v>동물</v>
          </cell>
          <cell r="F696">
            <v>2</v>
          </cell>
          <cell r="G696" t="str">
            <v>B</v>
          </cell>
          <cell r="H696">
            <v>3</v>
          </cell>
        </row>
        <row r="697">
          <cell r="A697">
            <v>70406041</v>
          </cell>
          <cell r="B697" t="str">
            <v>벌거숭이뻐드렁니쥐</v>
          </cell>
          <cell r="C697" t="str">
            <v>포유류</v>
          </cell>
          <cell r="D697">
            <v>5</v>
          </cell>
          <cell r="E697" t="str">
            <v>동물</v>
          </cell>
          <cell r="F697">
            <v>2</v>
          </cell>
          <cell r="G697" t="str">
            <v>C</v>
          </cell>
          <cell r="H697">
            <v>2</v>
          </cell>
        </row>
        <row r="698">
          <cell r="A698">
            <v>70406042</v>
          </cell>
          <cell r="B698" t="str">
            <v>불도그박쥐</v>
          </cell>
          <cell r="C698" t="str">
            <v>포유류</v>
          </cell>
          <cell r="D698">
            <v>5</v>
          </cell>
          <cell r="E698" t="str">
            <v>동물</v>
          </cell>
          <cell r="F698">
            <v>2</v>
          </cell>
          <cell r="G698" t="str">
            <v>A</v>
          </cell>
          <cell r="H698">
            <v>4</v>
          </cell>
        </row>
        <row r="699">
          <cell r="A699">
            <v>70406043</v>
          </cell>
          <cell r="B699" t="str">
            <v>붉은다리거북</v>
          </cell>
          <cell r="C699" t="str">
            <v>파충류</v>
          </cell>
          <cell r="D699">
            <v>7</v>
          </cell>
          <cell r="E699" t="str">
            <v>동물</v>
          </cell>
          <cell r="F699">
            <v>2</v>
          </cell>
          <cell r="G699" t="str">
            <v>C</v>
          </cell>
          <cell r="H699">
            <v>2</v>
          </cell>
        </row>
        <row r="700">
          <cell r="A700">
            <v>70406044</v>
          </cell>
          <cell r="B700" t="str">
            <v>붉은박쥐</v>
          </cell>
          <cell r="C700" t="str">
            <v>포유류</v>
          </cell>
          <cell r="D700">
            <v>5</v>
          </cell>
          <cell r="E700" t="str">
            <v>동물</v>
          </cell>
          <cell r="F700">
            <v>2</v>
          </cell>
          <cell r="G700" t="str">
            <v>C</v>
          </cell>
          <cell r="H700">
            <v>2</v>
          </cell>
        </row>
        <row r="701">
          <cell r="A701">
            <v>70406045</v>
          </cell>
          <cell r="B701" t="str">
            <v>빨간눈청개구리</v>
          </cell>
          <cell r="C701" t="str">
            <v>파충류</v>
          </cell>
          <cell r="D701">
            <v>7</v>
          </cell>
          <cell r="E701" t="str">
            <v>동물</v>
          </cell>
          <cell r="F701">
            <v>2</v>
          </cell>
          <cell r="G701" t="str">
            <v>C</v>
          </cell>
          <cell r="H701">
            <v>2</v>
          </cell>
        </row>
        <row r="702">
          <cell r="A702">
            <v>70406046</v>
          </cell>
          <cell r="B702" t="str">
            <v>뻐끔살무사</v>
          </cell>
          <cell r="C702" t="str">
            <v>파충류</v>
          </cell>
          <cell r="D702">
            <v>7</v>
          </cell>
          <cell r="E702" t="str">
            <v>동물</v>
          </cell>
          <cell r="F702">
            <v>2</v>
          </cell>
          <cell r="G702" t="str">
            <v>B</v>
          </cell>
          <cell r="H702">
            <v>3</v>
          </cell>
        </row>
        <row r="703">
          <cell r="A703">
            <v>70406047</v>
          </cell>
          <cell r="B703" t="str">
            <v>뿔개구리</v>
          </cell>
          <cell r="C703" t="str">
            <v>파충류</v>
          </cell>
          <cell r="D703">
            <v>7</v>
          </cell>
          <cell r="E703" t="str">
            <v>동물</v>
          </cell>
          <cell r="F703">
            <v>2</v>
          </cell>
          <cell r="G703" t="str">
            <v>D</v>
          </cell>
          <cell r="H703">
            <v>1</v>
          </cell>
          <cell r="AW703" t="str">
            <v/>
          </cell>
          <cell r="BA703" t="str">
            <v>-</v>
          </cell>
        </row>
        <row r="704">
          <cell r="A704">
            <v>70406048</v>
          </cell>
          <cell r="B704" t="str">
            <v>사막가시도마뱀</v>
          </cell>
          <cell r="C704" t="str">
            <v>파충류</v>
          </cell>
          <cell r="D704">
            <v>7</v>
          </cell>
          <cell r="E704" t="str">
            <v>동물</v>
          </cell>
          <cell r="F704">
            <v>2</v>
          </cell>
          <cell r="G704" t="str">
            <v>S</v>
          </cell>
          <cell r="H704">
            <v>5</v>
          </cell>
        </row>
        <row r="705">
          <cell r="A705">
            <v>70406049</v>
          </cell>
          <cell r="B705" t="str">
            <v>사막비개구리</v>
          </cell>
          <cell r="C705" t="str">
            <v>파충류</v>
          </cell>
          <cell r="D705">
            <v>7</v>
          </cell>
          <cell r="E705" t="str">
            <v>동물</v>
          </cell>
          <cell r="F705">
            <v>2</v>
          </cell>
          <cell r="G705" t="str">
            <v>C</v>
          </cell>
          <cell r="H705">
            <v>2</v>
          </cell>
        </row>
        <row r="706">
          <cell r="A706">
            <v>70406050</v>
          </cell>
          <cell r="B706" t="str">
            <v>사막뿔살무사</v>
          </cell>
          <cell r="C706" t="str">
            <v>파충류</v>
          </cell>
          <cell r="D706">
            <v>7</v>
          </cell>
          <cell r="E706" t="str">
            <v>동물</v>
          </cell>
          <cell r="F706">
            <v>2</v>
          </cell>
          <cell r="G706" t="str">
            <v>D</v>
          </cell>
          <cell r="H706">
            <v>1</v>
          </cell>
          <cell r="AW706" t="str">
            <v/>
          </cell>
          <cell r="BA706" t="str">
            <v>-</v>
          </cell>
        </row>
        <row r="707">
          <cell r="A707">
            <v>70406051</v>
          </cell>
          <cell r="B707" t="str">
            <v>사자타마린</v>
          </cell>
          <cell r="C707" t="str">
            <v>포유류</v>
          </cell>
          <cell r="D707">
            <v>5</v>
          </cell>
          <cell r="E707" t="str">
            <v>동물</v>
          </cell>
          <cell r="F707">
            <v>2</v>
          </cell>
          <cell r="G707" t="str">
            <v>B</v>
          </cell>
          <cell r="H707">
            <v>3</v>
          </cell>
        </row>
        <row r="708">
          <cell r="A708">
            <v>70406052</v>
          </cell>
          <cell r="B708" t="str">
            <v>사향쥐</v>
          </cell>
          <cell r="C708" t="str">
            <v>포유류</v>
          </cell>
          <cell r="D708">
            <v>5</v>
          </cell>
          <cell r="E708" t="str">
            <v>동물</v>
          </cell>
          <cell r="F708">
            <v>2</v>
          </cell>
          <cell r="G708" t="str">
            <v>C</v>
          </cell>
          <cell r="H708">
            <v>2</v>
          </cell>
        </row>
        <row r="709">
          <cell r="A709">
            <v>70406053</v>
          </cell>
          <cell r="B709" t="str">
            <v>샐러맨더</v>
          </cell>
          <cell r="C709" t="str">
            <v>파충류</v>
          </cell>
          <cell r="D709">
            <v>7</v>
          </cell>
          <cell r="E709" t="str">
            <v>동물</v>
          </cell>
          <cell r="F709">
            <v>2</v>
          </cell>
          <cell r="G709" t="str">
            <v>S</v>
          </cell>
          <cell r="H709">
            <v>5</v>
          </cell>
        </row>
        <row r="710">
          <cell r="A710">
            <v>70406054</v>
          </cell>
          <cell r="B710" t="str">
            <v>세발가락상자거북</v>
          </cell>
          <cell r="C710" t="str">
            <v>파충류</v>
          </cell>
          <cell r="D710">
            <v>7</v>
          </cell>
          <cell r="E710" t="str">
            <v>동물</v>
          </cell>
          <cell r="F710">
            <v>2</v>
          </cell>
          <cell r="G710" t="str">
            <v>C</v>
          </cell>
          <cell r="H710">
            <v>2</v>
          </cell>
          <cell r="AW710" t="str">
            <v/>
          </cell>
          <cell r="BA710" t="str">
            <v>-</v>
          </cell>
        </row>
        <row r="711">
          <cell r="A711">
            <v>70406055</v>
          </cell>
          <cell r="B711" t="str">
            <v>솔레노돈</v>
          </cell>
          <cell r="C711" t="str">
            <v>포유류</v>
          </cell>
          <cell r="D711">
            <v>5</v>
          </cell>
          <cell r="E711" t="str">
            <v>동물</v>
          </cell>
          <cell r="F711">
            <v>2</v>
          </cell>
          <cell r="G711" t="str">
            <v>B</v>
          </cell>
          <cell r="H711">
            <v>3</v>
          </cell>
        </row>
        <row r="712">
          <cell r="A712">
            <v>70406056</v>
          </cell>
          <cell r="B712" t="str">
            <v>솜꼬리토끼</v>
          </cell>
          <cell r="C712" t="str">
            <v>포유류</v>
          </cell>
          <cell r="D712">
            <v>5</v>
          </cell>
          <cell r="E712" t="str">
            <v>동물</v>
          </cell>
          <cell r="F712">
            <v>2</v>
          </cell>
          <cell r="G712" t="str">
            <v>B</v>
          </cell>
          <cell r="H712">
            <v>3</v>
          </cell>
        </row>
        <row r="713">
          <cell r="A713">
            <v>70406057</v>
          </cell>
          <cell r="B713" t="str">
            <v>수달사향고양이</v>
          </cell>
          <cell r="C713" t="str">
            <v>포유류</v>
          </cell>
          <cell r="D713">
            <v>5</v>
          </cell>
          <cell r="E713" t="str">
            <v>동물</v>
          </cell>
          <cell r="F713">
            <v>2</v>
          </cell>
          <cell r="G713" t="str">
            <v>A</v>
          </cell>
          <cell r="H713">
            <v>4</v>
          </cell>
        </row>
        <row r="714">
          <cell r="A714">
            <v>70406058</v>
          </cell>
          <cell r="B714" t="str">
            <v>숲산청개구리</v>
          </cell>
          <cell r="C714" t="str">
            <v>파충류</v>
          </cell>
          <cell r="D714">
            <v>7</v>
          </cell>
          <cell r="E714" t="str">
            <v>동물</v>
          </cell>
          <cell r="F714">
            <v>2</v>
          </cell>
          <cell r="G714" t="str">
            <v>D</v>
          </cell>
          <cell r="H714">
            <v>1</v>
          </cell>
          <cell r="AW714" t="str">
            <v/>
          </cell>
          <cell r="BA714" t="str">
            <v>-</v>
          </cell>
        </row>
        <row r="715">
          <cell r="A715">
            <v>70406059</v>
          </cell>
          <cell r="B715" t="str">
            <v>유대하늘다람쥐</v>
          </cell>
          <cell r="C715" t="str">
            <v>포유류</v>
          </cell>
          <cell r="D715">
            <v>5</v>
          </cell>
          <cell r="E715" t="str">
            <v>동물</v>
          </cell>
          <cell r="F715">
            <v>2</v>
          </cell>
          <cell r="G715" t="str">
            <v>B</v>
          </cell>
          <cell r="H715">
            <v>3</v>
          </cell>
        </row>
        <row r="716">
          <cell r="A716">
            <v>70406060</v>
          </cell>
          <cell r="B716" t="str">
            <v>스피팅코브라</v>
          </cell>
          <cell r="C716" t="str">
            <v>파충류</v>
          </cell>
          <cell r="D716">
            <v>7</v>
          </cell>
          <cell r="E716" t="str">
            <v>동물</v>
          </cell>
          <cell r="F716">
            <v>2</v>
          </cell>
          <cell r="G716" t="str">
            <v>B</v>
          </cell>
          <cell r="H716">
            <v>3</v>
          </cell>
        </row>
        <row r="717">
          <cell r="A717">
            <v>70406061</v>
          </cell>
          <cell r="B717" t="str">
            <v>시리아햄스터</v>
          </cell>
          <cell r="C717" t="str">
            <v>포유류</v>
          </cell>
          <cell r="D717">
            <v>5</v>
          </cell>
          <cell r="E717" t="str">
            <v>동물</v>
          </cell>
          <cell r="F717">
            <v>2</v>
          </cell>
          <cell r="G717" t="str">
            <v>C</v>
          </cell>
          <cell r="H717">
            <v>2</v>
          </cell>
        </row>
        <row r="718">
          <cell r="A718">
            <v>70406062</v>
          </cell>
          <cell r="B718" t="str">
            <v>아구티</v>
          </cell>
          <cell r="C718" t="str">
            <v>포유류</v>
          </cell>
          <cell r="D718">
            <v>5</v>
          </cell>
          <cell r="E718" t="str">
            <v>동물</v>
          </cell>
          <cell r="F718">
            <v>2</v>
          </cell>
          <cell r="G718" t="str">
            <v>C</v>
          </cell>
          <cell r="H718">
            <v>2</v>
          </cell>
        </row>
        <row r="719">
          <cell r="A719">
            <v>70406063</v>
          </cell>
          <cell r="B719" t="str">
            <v>아르마딜로갑옷도마뱀</v>
          </cell>
          <cell r="C719" t="str">
            <v>파충류</v>
          </cell>
          <cell r="D719">
            <v>7</v>
          </cell>
          <cell r="E719" t="str">
            <v>동물</v>
          </cell>
          <cell r="F719">
            <v>2</v>
          </cell>
          <cell r="G719" t="str">
            <v>A</v>
          </cell>
          <cell r="H719">
            <v>4</v>
          </cell>
        </row>
        <row r="720">
          <cell r="A720">
            <v>70406064</v>
          </cell>
          <cell r="B720" t="str">
            <v>아메리카밍크</v>
          </cell>
          <cell r="C720" t="str">
            <v>포유류</v>
          </cell>
          <cell r="D720">
            <v>5</v>
          </cell>
          <cell r="E720" t="str">
            <v>동물</v>
          </cell>
          <cell r="F720">
            <v>2</v>
          </cell>
          <cell r="G720" t="str">
            <v>B</v>
          </cell>
          <cell r="H720">
            <v>3</v>
          </cell>
        </row>
        <row r="721">
          <cell r="A721">
            <v>70406065</v>
          </cell>
          <cell r="B721" t="str">
            <v>아프리카발톱개구리</v>
          </cell>
          <cell r="C721" t="str">
            <v>파충류</v>
          </cell>
          <cell r="D721">
            <v>7</v>
          </cell>
          <cell r="E721" t="str">
            <v>동물</v>
          </cell>
          <cell r="F721">
            <v>2</v>
          </cell>
          <cell r="G721" t="str">
            <v>D</v>
          </cell>
          <cell r="H721">
            <v>1</v>
          </cell>
          <cell r="AW721" t="str">
            <v/>
          </cell>
          <cell r="BA721" t="str">
            <v>-</v>
          </cell>
        </row>
        <row r="722">
          <cell r="A722">
            <v>70406066</v>
          </cell>
          <cell r="B722" t="str">
            <v>아홀로틀</v>
          </cell>
          <cell r="C722" t="str">
            <v>파충류</v>
          </cell>
          <cell r="D722">
            <v>7</v>
          </cell>
          <cell r="E722" t="str">
            <v>동물</v>
          </cell>
          <cell r="F722">
            <v>2</v>
          </cell>
          <cell r="G722" t="str">
            <v>A</v>
          </cell>
          <cell r="H722">
            <v>4</v>
          </cell>
        </row>
        <row r="723">
          <cell r="A723">
            <v>70406067</v>
          </cell>
          <cell r="B723" t="str">
            <v>안경원숭이</v>
          </cell>
          <cell r="C723" t="str">
            <v>포유류</v>
          </cell>
          <cell r="D723">
            <v>5</v>
          </cell>
          <cell r="E723" t="str">
            <v>동물</v>
          </cell>
          <cell r="F723">
            <v>2</v>
          </cell>
          <cell r="G723" t="str">
            <v>D</v>
          </cell>
          <cell r="H723">
            <v>1</v>
          </cell>
          <cell r="AW723" t="str">
            <v/>
          </cell>
          <cell r="BA723" t="str">
            <v>-</v>
          </cell>
        </row>
        <row r="724">
          <cell r="A724">
            <v>70406068</v>
          </cell>
          <cell r="B724" t="str">
            <v>암보이나상자거북</v>
          </cell>
          <cell r="C724" t="str">
            <v>파충류</v>
          </cell>
          <cell r="D724">
            <v>7</v>
          </cell>
          <cell r="E724" t="str">
            <v>동물</v>
          </cell>
          <cell r="F724">
            <v>2</v>
          </cell>
          <cell r="G724" t="str">
            <v>D</v>
          </cell>
          <cell r="H724">
            <v>1</v>
          </cell>
          <cell r="AW724" t="str">
            <v/>
          </cell>
          <cell r="BA724" t="str">
            <v>-</v>
          </cell>
        </row>
        <row r="725">
          <cell r="A725">
            <v>70406069</v>
          </cell>
          <cell r="B725" t="str">
            <v>갈라파고스용암도마뱀</v>
          </cell>
          <cell r="C725" t="str">
            <v>파충류</v>
          </cell>
          <cell r="D725">
            <v>7</v>
          </cell>
          <cell r="E725" t="str">
            <v>동물</v>
          </cell>
          <cell r="F725">
            <v>2</v>
          </cell>
          <cell r="G725" t="str">
            <v>A</v>
          </cell>
          <cell r="H725">
            <v>4</v>
          </cell>
        </row>
        <row r="726">
          <cell r="A726">
            <v>70406070</v>
          </cell>
          <cell r="B726" t="str">
            <v>우는토끼</v>
          </cell>
          <cell r="C726" t="str">
            <v>포유류</v>
          </cell>
          <cell r="D726">
            <v>5</v>
          </cell>
          <cell r="E726" t="str">
            <v>동물</v>
          </cell>
          <cell r="F726">
            <v>2</v>
          </cell>
          <cell r="G726" t="str">
            <v>C</v>
          </cell>
          <cell r="H726">
            <v>2</v>
          </cell>
        </row>
        <row r="727">
          <cell r="A727">
            <v>70406071</v>
          </cell>
          <cell r="B727" t="str">
            <v>유럽땅다람쥐</v>
          </cell>
          <cell r="C727" t="str">
            <v>포유류</v>
          </cell>
          <cell r="D727">
            <v>5</v>
          </cell>
          <cell r="E727" t="str">
            <v>동물</v>
          </cell>
          <cell r="F727">
            <v>2</v>
          </cell>
          <cell r="G727" t="str">
            <v>D</v>
          </cell>
          <cell r="H727">
            <v>1</v>
          </cell>
          <cell r="AW727" t="str">
            <v/>
          </cell>
          <cell r="BA727" t="str">
            <v>-</v>
          </cell>
        </row>
        <row r="728">
          <cell r="A728">
            <v>70406072</v>
          </cell>
          <cell r="B728" t="str">
            <v>유럽밍크</v>
          </cell>
          <cell r="C728" t="str">
            <v>포유류</v>
          </cell>
          <cell r="D728">
            <v>5</v>
          </cell>
          <cell r="E728" t="str">
            <v>동물</v>
          </cell>
          <cell r="F728">
            <v>2</v>
          </cell>
          <cell r="G728" t="str">
            <v>S</v>
          </cell>
          <cell r="H728">
            <v>5</v>
          </cell>
        </row>
        <row r="729">
          <cell r="A729">
            <v>70406073</v>
          </cell>
          <cell r="B729" t="str">
            <v>유리개구리</v>
          </cell>
          <cell r="C729" t="str">
            <v>파충류</v>
          </cell>
          <cell r="D729">
            <v>7</v>
          </cell>
          <cell r="E729" t="str">
            <v>동물</v>
          </cell>
          <cell r="F729">
            <v>2</v>
          </cell>
          <cell r="G729" t="str">
            <v>A</v>
          </cell>
          <cell r="H729">
            <v>4</v>
          </cell>
        </row>
        <row r="730">
          <cell r="A730">
            <v>70406074</v>
          </cell>
          <cell r="B730" t="str">
            <v>이시카와개구리</v>
          </cell>
          <cell r="C730" t="str">
            <v>파충류</v>
          </cell>
          <cell r="D730">
            <v>7</v>
          </cell>
          <cell r="E730" t="str">
            <v>동물</v>
          </cell>
          <cell r="F730">
            <v>2</v>
          </cell>
          <cell r="G730" t="str">
            <v>B</v>
          </cell>
          <cell r="H730">
            <v>3</v>
          </cell>
        </row>
        <row r="731">
          <cell r="A731">
            <v>70406075</v>
          </cell>
          <cell r="B731" t="str">
            <v>일리우는토끼</v>
          </cell>
          <cell r="C731" t="str">
            <v>포유류</v>
          </cell>
          <cell r="D731">
            <v>5</v>
          </cell>
          <cell r="E731" t="str">
            <v>동물</v>
          </cell>
          <cell r="F731">
            <v>2</v>
          </cell>
          <cell r="G731" t="str">
            <v>B</v>
          </cell>
          <cell r="H731">
            <v>3</v>
          </cell>
        </row>
        <row r="732">
          <cell r="A732">
            <v>70406076</v>
          </cell>
          <cell r="B732" t="str">
            <v>작은발톱수달</v>
          </cell>
          <cell r="C732" t="str">
            <v>포유류</v>
          </cell>
          <cell r="D732">
            <v>5</v>
          </cell>
          <cell r="E732" t="str">
            <v>동물</v>
          </cell>
          <cell r="F732">
            <v>2</v>
          </cell>
          <cell r="G732" t="str">
            <v>B</v>
          </cell>
          <cell r="H732">
            <v>3</v>
          </cell>
          <cell r="AW732" t="str">
            <v>특정 퀘스트(=)</v>
          </cell>
          <cell r="AY732" t="str">
            <v>작은 불청객</v>
          </cell>
          <cell r="BA732">
            <v>3</v>
          </cell>
        </row>
        <row r="733">
          <cell r="A733">
            <v>70406077</v>
          </cell>
          <cell r="B733" t="str">
            <v>주머니개미핥기</v>
          </cell>
          <cell r="C733" t="str">
            <v>포유류</v>
          </cell>
          <cell r="D733">
            <v>5</v>
          </cell>
          <cell r="E733" t="str">
            <v>동물</v>
          </cell>
          <cell r="F733">
            <v>2</v>
          </cell>
          <cell r="G733" t="str">
            <v>C</v>
          </cell>
          <cell r="H733">
            <v>2</v>
          </cell>
        </row>
        <row r="734">
          <cell r="A734">
            <v>70406078</v>
          </cell>
          <cell r="B734" t="str">
            <v>주머니고양이</v>
          </cell>
          <cell r="C734" t="str">
            <v>포유류</v>
          </cell>
          <cell r="D734">
            <v>5</v>
          </cell>
          <cell r="E734" t="str">
            <v>동물</v>
          </cell>
          <cell r="F734">
            <v>2</v>
          </cell>
          <cell r="G734" t="str">
            <v>D</v>
          </cell>
          <cell r="H734">
            <v>1</v>
          </cell>
          <cell r="AW734" t="str">
            <v/>
          </cell>
          <cell r="BA734" t="str">
            <v>-</v>
          </cell>
        </row>
        <row r="735">
          <cell r="A735">
            <v>70406079</v>
          </cell>
          <cell r="B735" t="str">
            <v>주머니날다람쥐</v>
          </cell>
          <cell r="C735" t="str">
            <v>포유류</v>
          </cell>
          <cell r="D735">
            <v>5</v>
          </cell>
          <cell r="E735" t="str">
            <v>동물</v>
          </cell>
          <cell r="F735">
            <v>2</v>
          </cell>
          <cell r="G735" t="str">
            <v>B</v>
          </cell>
          <cell r="H735">
            <v>3</v>
          </cell>
        </row>
        <row r="736">
          <cell r="A736">
            <v>70406080</v>
          </cell>
          <cell r="B736" t="str">
            <v>주머니두더지</v>
          </cell>
          <cell r="C736" t="str">
            <v>포유류</v>
          </cell>
          <cell r="D736">
            <v>5</v>
          </cell>
          <cell r="E736" t="str">
            <v>동물</v>
          </cell>
          <cell r="F736">
            <v>2</v>
          </cell>
          <cell r="G736" t="str">
            <v>D</v>
          </cell>
          <cell r="H736">
            <v>1</v>
          </cell>
          <cell r="AW736" t="str">
            <v/>
          </cell>
          <cell r="BA736" t="str">
            <v>-</v>
          </cell>
        </row>
        <row r="737">
          <cell r="A737">
            <v>70406081</v>
          </cell>
          <cell r="B737" t="str">
            <v>주머니여우</v>
          </cell>
          <cell r="C737" t="str">
            <v>포유류</v>
          </cell>
          <cell r="D737">
            <v>5</v>
          </cell>
          <cell r="E737" t="str">
            <v>동물</v>
          </cell>
          <cell r="F737">
            <v>2</v>
          </cell>
          <cell r="G737" t="str">
            <v>D</v>
          </cell>
          <cell r="H737">
            <v>1</v>
          </cell>
          <cell r="AW737" t="str">
            <v/>
          </cell>
          <cell r="BA737" t="str">
            <v>-</v>
          </cell>
        </row>
        <row r="738">
          <cell r="A738">
            <v>70406082</v>
          </cell>
          <cell r="B738" t="str">
            <v>주머니줄무늬다람쥐</v>
          </cell>
          <cell r="C738" t="str">
            <v>포유류</v>
          </cell>
          <cell r="D738">
            <v>5</v>
          </cell>
          <cell r="E738" t="str">
            <v>동물</v>
          </cell>
          <cell r="F738">
            <v>2</v>
          </cell>
          <cell r="G738" t="str">
            <v>D</v>
          </cell>
          <cell r="H738">
            <v>1</v>
          </cell>
          <cell r="AW738" t="str">
            <v/>
          </cell>
          <cell r="BA738" t="str">
            <v>-</v>
          </cell>
        </row>
        <row r="739">
          <cell r="A739">
            <v>70406083</v>
          </cell>
          <cell r="B739" t="str">
            <v>주머니쥐</v>
          </cell>
          <cell r="C739" t="str">
            <v>포유류</v>
          </cell>
          <cell r="D739">
            <v>5</v>
          </cell>
          <cell r="E739" t="str">
            <v>동물</v>
          </cell>
          <cell r="F739">
            <v>2</v>
          </cell>
          <cell r="G739" t="str">
            <v>B</v>
          </cell>
          <cell r="H739">
            <v>3</v>
          </cell>
        </row>
        <row r="740">
          <cell r="A740">
            <v>70406084</v>
          </cell>
          <cell r="B740" t="str">
            <v>청설모</v>
          </cell>
          <cell r="C740" t="str">
            <v>포유류</v>
          </cell>
          <cell r="D740">
            <v>5</v>
          </cell>
          <cell r="E740" t="str">
            <v>동물</v>
          </cell>
          <cell r="F740">
            <v>2</v>
          </cell>
          <cell r="G740" t="str">
            <v>D</v>
          </cell>
          <cell r="H740">
            <v>1</v>
          </cell>
          <cell r="AW740" t="str">
            <v/>
          </cell>
          <cell r="BA740" t="str">
            <v>-</v>
          </cell>
        </row>
        <row r="741">
          <cell r="A741">
            <v>70406085</v>
          </cell>
          <cell r="B741" t="str">
            <v>친칠라</v>
          </cell>
          <cell r="C741" t="str">
            <v>포유류</v>
          </cell>
          <cell r="D741">
            <v>5</v>
          </cell>
          <cell r="E741" t="str">
            <v>동물</v>
          </cell>
          <cell r="F741">
            <v>2</v>
          </cell>
          <cell r="G741" t="str">
            <v>A</v>
          </cell>
          <cell r="H741">
            <v>4</v>
          </cell>
        </row>
        <row r="742">
          <cell r="A742">
            <v>70406086</v>
          </cell>
          <cell r="B742" t="str">
            <v>칠리안로즈헤어</v>
          </cell>
          <cell r="C742" t="str">
            <v>무척추동물</v>
          </cell>
          <cell r="D742">
            <v>9</v>
          </cell>
          <cell r="E742" t="str">
            <v>동물</v>
          </cell>
          <cell r="F742">
            <v>2</v>
          </cell>
          <cell r="G742" t="str">
            <v>A</v>
          </cell>
          <cell r="H742">
            <v>4</v>
          </cell>
        </row>
        <row r="743">
          <cell r="A743">
            <v>70406087</v>
          </cell>
          <cell r="B743" t="str">
            <v>카멜레온</v>
          </cell>
          <cell r="C743" t="str">
            <v>파충류</v>
          </cell>
          <cell r="D743">
            <v>7</v>
          </cell>
          <cell r="E743" t="str">
            <v>동물</v>
          </cell>
          <cell r="F743">
            <v>2</v>
          </cell>
          <cell r="G743" t="str">
            <v>D</v>
          </cell>
          <cell r="H743">
            <v>1</v>
          </cell>
          <cell r="AW743" t="str">
            <v/>
          </cell>
          <cell r="BA743" t="str">
            <v>-</v>
          </cell>
        </row>
        <row r="744">
          <cell r="A744">
            <v>70406088</v>
          </cell>
          <cell r="B744" t="str">
            <v>카펫 카멜레온</v>
          </cell>
          <cell r="C744" t="str">
            <v>파충류</v>
          </cell>
          <cell r="D744">
            <v>7</v>
          </cell>
          <cell r="E744" t="str">
            <v>동물</v>
          </cell>
          <cell r="F744">
            <v>2</v>
          </cell>
          <cell r="G744" t="str">
            <v>B</v>
          </cell>
          <cell r="H744">
            <v>3</v>
          </cell>
        </row>
        <row r="745">
          <cell r="A745">
            <v>70406089</v>
          </cell>
          <cell r="B745" t="str">
            <v>캥거루쥐</v>
          </cell>
          <cell r="C745" t="str">
            <v>포유류</v>
          </cell>
          <cell r="D745">
            <v>5</v>
          </cell>
          <cell r="E745" t="str">
            <v>동물</v>
          </cell>
          <cell r="F745">
            <v>2</v>
          </cell>
          <cell r="G745" t="str">
            <v>C</v>
          </cell>
          <cell r="H745">
            <v>2</v>
          </cell>
        </row>
        <row r="746">
          <cell r="A746">
            <v>70406090</v>
          </cell>
          <cell r="B746" t="str">
            <v>케이프땅다람쥐</v>
          </cell>
          <cell r="C746" t="str">
            <v>포유류</v>
          </cell>
          <cell r="D746">
            <v>5</v>
          </cell>
          <cell r="E746" t="str">
            <v>동물</v>
          </cell>
          <cell r="F746">
            <v>2</v>
          </cell>
          <cell r="G746" t="str">
            <v>D</v>
          </cell>
          <cell r="H746">
            <v>1</v>
          </cell>
          <cell r="AW746" t="str">
            <v/>
          </cell>
          <cell r="BA746" t="str">
            <v>-</v>
          </cell>
        </row>
        <row r="747">
          <cell r="A747">
            <v>70406091</v>
          </cell>
          <cell r="B747" t="str">
            <v>코브라</v>
          </cell>
          <cell r="C747" t="str">
            <v>파충류</v>
          </cell>
          <cell r="D747">
            <v>7</v>
          </cell>
          <cell r="E747" t="str">
            <v>동물</v>
          </cell>
          <cell r="F747">
            <v>2</v>
          </cell>
          <cell r="G747" t="str">
            <v>B</v>
          </cell>
          <cell r="H747">
            <v>3</v>
          </cell>
        </row>
        <row r="748">
          <cell r="A748">
            <v>70406092</v>
          </cell>
          <cell r="B748" t="str">
            <v>코퀴청개구리</v>
          </cell>
          <cell r="C748" t="str">
            <v>파충류</v>
          </cell>
          <cell r="D748">
            <v>7</v>
          </cell>
          <cell r="E748" t="str">
            <v>동물</v>
          </cell>
          <cell r="F748">
            <v>2</v>
          </cell>
          <cell r="G748" t="str">
            <v>B</v>
          </cell>
          <cell r="H748">
            <v>3</v>
          </cell>
        </row>
        <row r="749">
          <cell r="A749">
            <v>70406093</v>
          </cell>
          <cell r="B749" t="str">
            <v>킨카주너구리</v>
          </cell>
          <cell r="C749" t="str">
            <v>포유류</v>
          </cell>
          <cell r="D749">
            <v>5</v>
          </cell>
          <cell r="E749" t="str">
            <v>동물</v>
          </cell>
          <cell r="F749">
            <v>2</v>
          </cell>
          <cell r="G749" t="str">
            <v>D</v>
          </cell>
          <cell r="H749">
            <v>1</v>
          </cell>
          <cell r="AW749" t="str">
            <v/>
          </cell>
          <cell r="BA749" t="str">
            <v>-</v>
          </cell>
        </row>
        <row r="750">
          <cell r="A750">
            <v>70406094</v>
          </cell>
          <cell r="B750" t="str">
            <v>타란툴라</v>
          </cell>
          <cell r="C750" t="str">
            <v>무척추동물</v>
          </cell>
          <cell r="D750">
            <v>9</v>
          </cell>
          <cell r="E750" t="str">
            <v>동물</v>
          </cell>
          <cell r="F750">
            <v>2</v>
          </cell>
          <cell r="G750" t="str">
            <v>A</v>
          </cell>
          <cell r="H750">
            <v>4</v>
          </cell>
        </row>
        <row r="751">
          <cell r="A751">
            <v>70406095</v>
          </cell>
          <cell r="B751" t="str">
            <v>토마토개구리</v>
          </cell>
          <cell r="C751" t="str">
            <v>파충류</v>
          </cell>
          <cell r="D751">
            <v>7</v>
          </cell>
          <cell r="E751" t="str">
            <v>동물</v>
          </cell>
          <cell r="F751">
            <v>2</v>
          </cell>
          <cell r="G751" t="str">
            <v>C</v>
          </cell>
          <cell r="H751">
            <v>2</v>
          </cell>
          <cell r="AW751" t="str">
            <v/>
          </cell>
          <cell r="BA751" t="str">
            <v>-</v>
          </cell>
        </row>
        <row r="752">
          <cell r="A752">
            <v>70406096</v>
          </cell>
          <cell r="B752" t="str">
            <v>팔라스다람쥐</v>
          </cell>
          <cell r="C752" t="str">
            <v>포유류</v>
          </cell>
          <cell r="D752">
            <v>5</v>
          </cell>
          <cell r="E752" t="str">
            <v>동물</v>
          </cell>
          <cell r="F752">
            <v>2</v>
          </cell>
          <cell r="G752" t="str">
            <v>B</v>
          </cell>
          <cell r="H752">
            <v>3</v>
          </cell>
        </row>
        <row r="753">
          <cell r="A753">
            <v>70406097</v>
          </cell>
          <cell r="B753" t="str">
            <v>페럿</v>
          </cell>
          <cell r="C753" t="str">
            <v>포유류</v>
          </cell>
          <cell r="D753">
            <v>5</v>
          </cell>
          <cell r="E753" t="str">
            <v>동물</v>
          </cell>
          <cell r="F753">
            <v>2</v>
          </cell>
          <cell r="G753" t="str">
            <v>D</v>
          </cell>
          <cell r="H753">
            <v>1</v>
          </cell>
          <cell r="AW753" t="str">
            <v/>
          </cell>
          <cell r="BA753" t="str">
            <v>-</v>
          </cell>
        </row>
        <row r="754">
          <cell r="A754">
            <v>70406098</v>
          </cell>
          <cell r="B754" t="str">
            <v>프레리도그</v>
          </cell>
          <cell r="C754" t="str">
            <v>포유류</v>
          </cell>
          <cell r="D754">
            <v>5</v>
          </cell>
          <cell r="E754" t="str">
            <v>동물</v>
          </cell>
          <cell r="F754">
            <v>2</v>
          </cell>
          <cell r="G754" t="str">
            <v>B</v>
          </cell>
          <cell r="H754">
            <v>3</v>
          </cell>
        </row>
        <row r="755">
          <cell r="A755">
            <v>70406099</v>
          </cell>
          <cell r="B755" t="str">
            <v>피그미마모셋</v>
          </cell>
          <cell r="C755" t="str">
            <v>포유류</v>
          </cell>
          <cell r="D755">
            <v>5</v>
          </cell>
          <cell r="E755" t="str">
            <v>동물</v>
          </cell>
          <cell r="F755">
            <v>2</v>
          </cell>
          <cell r="G755" t="str">
            <v>B</v>
          </cell>
          <cell r="H755">
            <v>3</v>
          </cell>
        </row>
        <row r="756">
          <cell r="A756">
            <v>70406100</v>
          </cell>
          <cell r="B756" t="str">
            <v>피파개구리</v>
          </cell>
          <cell r="C756" t="str">
            <v>파충류</v>
          </cell>
          <cell r="D756">
            <v>7</v>
          </cell>
          <cell r="E756" t="str">
            <v>동물</v>
          </cell>
          <cell r="F756">
            <v>2</v>
          </cell>
          <cell r="G756" t="str">
            <v>C</v>
          </cell>
          <cell r="H756">
            <v>2</v>
          </cell>
        </row>
        <row r="757">
          <cell r="A757">
            <v>70406101</v>
          </cell>
          <cell r="B757" t="str">
            <v>황금개구리</v>
          </cell>
          <cell r="C757" t="str">
            <v>파충류</v>
          </cell>
          <cell r="D757">
            <v>7</v>
          </cell>
          <cell r="E757" t="str">
            <v>동물</v>
          </cell>
          <cell r="F757">
            <v>2</v>
          </cell>
          <cell r="G757" t="str">
            <v>B</v>
          </cell>
          <cell r="H757">
            <v>3</v>
          </cell>
        </row>
        <row r="758">
          <cell r="A758">
            <v>70406102</v>
          </cell>
          <cell r="B758" t="str">
            <v>황제타마린</v>
          </cell>
          <cell r="C758" t="str">
            <v>포유류</v>
          </cell>
          <cell r="D758">
            <v>5</v>
          </cell>
          <cell r="E758" t="str">
            <v>동물</v>
          </cell>
          <cell r="F758">
            <v>2</v>
          </cell>
          <cell r="G758" t="str">
            <v>D</v>
          </cell>
          <cell r="H758">
            <v>1</v>
          </cell>
          <cell r="AW758" t="str">
            <v/>
          </cell>
          <cell r="BA758" t="str">
            <v>-</v>
          </cell>
        </row>
        <row r="759">
          <cell r="A759">
            <v>70406103</v>
          </cell>
          <cell r="B759" t="str">
            <v>흡혈박쥐</v>
          </cell>
          <cell r="C759" t="str">
            <v>포유류</v>
          </cell>
          <cell r="D759">
            <v>5</v>
          </cell>
          <cell r="E759" t="str">
            <v>동물</v>
          </cell>
          <cell r="F759">
            <v>2</v>
          </cell>
          <cell r="G759" t="str">
            <v>D</v>
          </cell>
          <cell r="H759">
            <v>1</v>
          </cell>
          <cell r="AW759" t="str">
            <v/>
          </cell>
          <cell r="BA759" t="str">
            <v>-</v>
          </cell>
        </row>
        <row r="760">
          <cell r="A760">
            <v>70407000</v>
          </cell>
          <cell r="B760" t="str">
            <v>갈라파고스땅거북</v>
          </cell>
          <cell r="C760" t="str">
            <v>파충류</v>
          </cell>
          <cell r="D760">
            <v>7</v>
          </cell>
          <cell r="E760" t="str">
            <v>동물</v>
          </cell>
          <cell r="F760">
            <v>2</v>
          </cell>
          <cell r="G760" t="str">
            <v>B</v>
          </cell>
          <cell r="H760">
            <v>3</v>
          </cell>
        </row>
        <row r="761">
          <cell r="A761">
            <v>70407001</v>
          </cell>
          <cell r="B761" t="str">
            <v>갈라파고스이구아나</v>
          </cell>
          <cell r="C761" t="str">
            <v>파충류</v>
          </cell>
          <cell r="D761">
            <v>7</v>
          </cell>
          <cell r="E761" t="str">
            <v>동물</v>
          </cell>
          <cell r="F761">
            <v>2</v>
          </cell>
          <cell r="G761" t="str">
            <v>C</v>
          </cell>
          <cell r="H761">
            <v>2</v>
          </cell>
        </row>
        <row r="762">
          <cell r="A762">
            <v>70407002</v>
          </cell>
          <cell r="B762" t="str">
            <v>거미원숭이</v>
          </cell>
          <cell r="C762" t="str">
            <v>포유류</v>
          </cell>
          <cell r="D762">
            <v>5</v>
          </cell>
          <cell r="E762" t="str">
            <v>동물</v>
          </cell>
          <cell r="F762">
            <v>2</v>
          </cell>
          <cell r="G762" t="str">
            <v>B</v>
          </cell>
          <cell r="H762">
            <v>3</v>
          </cell>
        </row>
        <row r="763">
          <cell r="A763">
            <v>70407003</v>
          </cell>
          <cell r="B763" t="str">
            <v>검은머리카푸친</v>
          </cell>
          <cell r="C763" t="str">
            <v>포유류</v>
          </cell>
          <cell r="D763">
            <v>5</v>
          </cell>
          <cell r="E763" t="str">
            <v>동물</v>
          </cell>
          <cell r="F763">
            <v>2</v>
          </cell>
          <cell r="G763" t="str">
            <v>B</v>
          </cell>
          <cell r="H763">
            <v>3</v>
          </cell>
        </row>
        <row r="764">
          <cell r="A764">
            <v>70407004</v>
          </cell>
          <cell r="B764" t="str">
            <v>검은여우원숭이</v>
          </cell>
          <cell r="C764" t="str">
            <v>포유류</v>
          </cell>
          <cell r="D764">
            <v>5</v>
          </cell>
          <cell r="E764" t="str">
            <v>동물</v>
          </cell>
          <cell r="F764">
            <v>2</v>
          </cell>
          <cell r="G764" t="str">
            <v>C</v>
          </cell>
          <cell r="H764">
            <v>2</v>
          </cell>
        </row>
        <row r="765">
          <cell r="A765">
            <v>70407005</v>
          </cell>
          <cell r="B765" t="str">
            <v>고라니</v>
          </cell>
          <cell r="C765" t="str">
            <v>포유류</v>
          </cell>
          <cell r="D765">
            <v>5</v>
          </cell>
          <cell r="E765" t="str">
            <v>동물</v>
          </cell>
          <cell r="F765">
            <v>2</v>
          </cell>
          <cell r="G765" t="str">
            <v>C</v>
          </cell>
          <cell r="H765">
            <v>2</v>
          </cell>
        </row>
        <row r="766">
          <cell r="A766">
            <v>70407006</v>
          </cell>
          <cell r="B766" t="str">
            <v>고리무늬물범</v>
          </cell>
          <cell r="C766" t="str">
            <v>포유류</v>
          </cell>
          <cell r="D766">
            <v>5</v>
          </cell>
          <cell r="E766" t="str">
            <v>동물</v>
          </cell>
          <cell r="F766">
            <v>2</v>
          </cell>
          <cell r="G766" t="str">
            <v>A</v>
          </cell>
          <cell r="H766">
            <v>4</v>
          </cell>
        </row>
        <row r="767">
          <cell r="A767">
            <v>70407007</v>
          </cell>
          <cell r="B767" t="str">
            <v>구름표범</v>
          </cell>
          <cell r="C767" t="str">
            <v>포유류</v>
          </cell>
          <cell r="D767">
            <v>5</v>
          </cell>
          <cell r="E767" t="str">
            <v>동물</v>
          </cell>
          <cell r="F767">
            <v>2</v>
          </cell>
          <cell r="G767" t="str">
            <v>C</v>
          </cell>
          <cell r="H767">
            <v>2</v>
          </cell>
        </row>
        <row r="768">
          <cell r="A768">
            <v>70407008</v>
          </cell>
          <cell r="B768" t="str">
            <v>그리스거북</v>
          </cell>
          <cell r="C768" t="str">
            <v>파충류</v>
          </cell>
          <cell r="D768">
            <v>7</v>
          </cell>
          <cell r="E768" t="str">
            <v>동물</v>
          </cell>
          <cell r="F768">
            <v>2</v>
          </cell>
          <cell r="G768" t="str">
            <v>S</v>
          </cell>
          <cell r="H768">
            <v>5</v>
          </cell>
        </row>
        <row r="769">
          <cell r="A769">
            <v>70407009</v>
          </cell>
          <cell r="B769" t="str">
            <v>긴팔원숭이</v>
          </cell>
          <cell r="C769" t="str">
            <v>포유류</v>
          </cell>
          <cell r="D769">
            <v>5</v>
          </cell>
          <cell r="E769" t="str">
            <v>동물</v>
          </cell>
          <cell r="F769">
            <v>2</v>
          </cell>
          <cell r="G769" t="str">
            <v>C</v>
          </cell>
          <cell r="H769">
            <v>2</v>
          </cell>
        </row>
        <row r="770">
          <cell r="A770">
            <v>70407010</v>
          </cell>
          <cell r="B770" t="str">
            <v>꽃사슴</v>
          </cell>
          <cell r="C770" t="str">
            <v>포유류</v>
          </cell>
          <cell r="D770">
            <v>5</v>
          </cell>
          <cell r="E770" t="str">
            <v>동물</v>
          </cell>
          <cell r="F770">
            <v>2</v>
          </cell>
          <cell r="G770" t="str">
            <v>A</v>
          </cell>
          <cell r="H770">
            <v>4</v>
          </cell>
        </row>
        <row r="771">
          <cell r="A771">
            <v>70407011</v>
          </cell>
          <cell r="B771" t="str">
            <v>나무늘보</v>
          </cell>
          <cell r="C771" t="str">
            <v>포유류</v>
          </cell>
          <cell r="D771">
            <v>5</v>
          </cell>
          <cell r="E771" t="str">
            <v>동물</v>
          </cell>
          <cell r="F771">
            <v>2</v>
          </cell>
          <cell r="G771" t="str">
            <v>C</v>
          </cell>
          <cell r="H771">
            <v>2</v>
          </cell>
        </row>
        <row r="772">
          <cell r="A772">
            <v>70407012</v>
          </cell>
          <cell r="B772" t="str">
            <v>뉴펀들랜드</v>
          </cell>
          <cell r="C772" t="str">
            <v>포유류</v>
          </cell>
          <cell r="D772">
            <v>5</v>
          </cell>
          <cell r="E772" t="str">
            <v>동물</v>
          </cell>
          <cell r="F772">
            <v>2</v>
          </cell>
          <cell r="G772" t="str">
            <v>C</v>
          </cell>
          <cell r="H772">
            <v>2</v>
          </cell>
        </row>
        <row r="773">
          <cell r="A773">
            <v>70407013</v>
          </cell>
          <cell r="B773" t="str">
            <v>늑대거북</v>
          </cell>
          <cell r="C773" t="str">
            <v>파충류</v>
          </cell>
          <cell r="D773">
            <v>7</v>
          </cell>
          <cell r="E773" t="str">
            <v>동물</v>
          </cell>
          <cell r="F773">
            <v>2</v>
          </cell>
          <cell r="G773" t="str">
            <v>A</v>
          </cell>
          <cell r="H773">
            <v>4</v>
          </cell>
        </row>
        <row r="774">
          <cell r="A774">
            <v>70407014</v>
          </cell>
          <cell r="B774" t="str">
            <v>늪영양</v>
          </cell>
          <cell r="C774" t="str">
            <v>포유류</v>
          </cell>
          <cell r="D774">
            <v>5</v>
          </cell>
          <cell r="E774" t="str">
            <v>동물</v>
          </cell>
          <cell r="F774">
            <v>2</v>
          </cell>
          <cell r="G774" t="str">
            <v>C</v>
          </cell>
          <cell r="H774">
            <v>2</v>
          </cell>
        </row>
        <row r="775">
          <cell r="A775">
            <v>70407015</v>
          </cell>
          <cell r="B775" t="str">
            <v>다람쥐원숭이</v>
          </cell>
          <cell r="C775" t="str">
            <v>포유류</v>
          </cell>
          <cell r="D775">
            <v>5</v>
          </cell>
          <cell r="E775" t="str">
            <v>동물</v>
          </cell>
          <cell r="F775">
            <v>2</v>
          </cell>
          <cell r="G775" t="str">
            <v>C</v>
          </cell>
          <cell r="H775">
            <v>2</v>
          </cell>
          <cell r="AW775" t="str">
            <v/>
          </cell>
          <cell r="BA775" t="str">
            <v>-</v>
          </cell>
        </row>
        <row r="776">
          <cell r="A776">
            <v>70407016</v>
          </cell>
          <cell r="B776" t="str">
            <v>포르모사바위마카크</v>
          </cell>
          <cell r="C776" t="str">
            <v>포유류</v>
          </cell>
          <cell r="D776">
            <v>5</v>
          </cell>
          <cell r="E776" t="str">
            <v>동물</v>
          </cell>
          <cell r="F776">
            <v>2</v>
          </cell>
          <cell r="G776" t="str">
            <v>B</v>
          </cell>
          <cell r="H776">
            <v>3</v>
          </cell>
        </row>
        <row r="777">
          <cell r="A777">
            <v>70407017</v>
          </cell>
          <cell r="B777" t="str">
            <v>들개</v>
          </cell>
          <cell r="C777" t="str">
            <v>포유류</v>
          </cell>
          <cell r="D777">
            <v>5</v>
          </cell>
          <cell r="E777" t="str">
            <v>동물</v>
          </cell>
          <cell r="F777">
            <v>2</v>
          </cell>
          <cell r="G777" t="str">
            <v>D</v>
          </cell>
          <cell r="H777">
            <v>1</v>
          </cell>
          <cell r="AW777" t="str">
            <v/>
          </cell>
          <cell r="BA777" t="str">
            <v>-</v>
          </cell>
        </row>
        <row r="778">
          <cell r="A778">
            <v>70407018</v>
          </cell>
          <cell r="B778" t="str">
            <v>땅돼지</v>
          </cell>
          <cell r="C778" t="str">
            <v>포유류</v>
          </cell>
          <cell r="D778">
            <v>5</v>
          </cell>
          <cell r="E778" t="str">
            <v>동물</v>
          </cell>
          <cell r="F778">
            <v>2</v>
          </cell>
          <cell r="G778" t="str">
            <v>D</v>
          </cell>
          <cell r="H778">
            <v>1</v>
          </cell>
          <cell r="AW778" t="str">
            <v/>
          </cell>
          <cell r="BA778" t="str">
            <v>-</v>
          </cell>
        </row>
        <row r="779">
          <cell r="A779">
            <v>70407019</v>
          </cell>
          <cell r="B779" t="str">
            <v>라텔</v>
          </cell>
          <cell r="C779" t="str">
            <v>포유류</v>
          </cell>
          <cell r="D779">
            <v>5</v>
          </cell>
          <cell r="E779" t="str">
            <v>동물</v>
          </cell>
          <cell r="F779">
            <v>2</v>
          </cell>
          <cell r="G779" t="str">
            <v>B</v>
          </cell>
          <cell r="H779">
            <v>3</v>
          </cell>
        </row>
        <row r="780">
          <cell r="A780">
            <v>70407020</v>
          </cell>
          <cell r="B780" t="str">
            <v>레서판다</v>
          </cell>
          <cell r="C780" t="str">
            <v>포유류</v>
          </cell>
          <cell r="D780">
            <v>5</v>
          </cell>
          <cell r="E780" t="str">
            <v>동물</v>
          </cell>
          <cell r="F780">
            <v>2</v>
          </cell>
          <cell r="G780" t="str">
            <v>A</v>
          </cell>
          <cell r="H780">
            <v>4</v>
          </cell>
        </row>
        <row r="781">
          <cell r="A781">
            <v>70407021</v>
          </cell>
          <cell r="B781" t="str">
            <v>리카온</v>
          </cell>
          <cell r="C781" t="str">
            <v>포유류</v>
          </cell>
          <cell r="D781">
            <v>5</v>
          </cell>
          <cell r="E781" t="str">
            <v>동물</v>
          </cell>
          <cell r="F781">
            <v>2</v>
          </cell>
          <cell r="G781" t="str">
            <v>A</v>
          </cell>
          <cell r="H781">
            <v>4</v>
          </cell>
        </row>
        <row r="782">
          <cell r="A782">
            <v>70407022</v>
          </cell>
          <cell r="B782" t="str">
            <v>망토개코원숭이</v>
          </cell>
          <cell r="C782" t="str">
            <v>포유류</v>
          </cell>
          <cell r="D782">
            <v>5</v>
          </cell>
          <cell r="E782" t="str">
            <v>동물</v>
          </cell>
          <cell r="F782">
            <v>2</v>
          </cell>
          <cell r="G782" t="str">
            <v>C</v>
          </cell>
          <cell r="H782">
            <v>2</v>
          </cell>
        </row>
        <row r="783">
          <cell r="A783">
            <v>70407023</v>
          </cell>
          <cell r="B783" t="str">
            <v>맨드릴</v>
          </cell>
          <cell r="C783" t="str">
            <v>포유류</v>
          </cell>
          <cell r="D783">
            <v>5</v>
          </cell>
          <cell r="E783" t="str">
            <v>동물</v>
          </cell>
          <cell r="F783">
            <v>2</v>
          </cell>
          <cell r="G783" t="str">
            <v>B</v>
          </cell>
          <cell r="H783">
            <v>3</v>
          </cell>
        </row>
        <row r="784">
          <cell r="A784">
            <v>70407024</v>
          </cell>
          <cell r="B784" t="str">
            <v>목도리여우원숭이</v>
          </cell>
          <cell r="C784" t="str">
            <v>포유류</v>
          </cell>
          <cell r="D784">
            <v>5</v>
          </cell>
          <cell r="E784" t="str">
            <v>동물</v>
          </cell>
          <cell r="F784">
            <v>2</v>
          </cell>
          <cell r="G784" t="str">
            <v>D</v>
          </cell>
          <cell r="H784">
            <v>1</v>
          </cell>
          <cell r="AW784" t="str">
            <v/>
          </cell>
          <cell r="BA784" t="str">
            <v>-</v>
          </cell>
        </row>
        <row r="785">
          <cell r="A785">
            <v>70407025</v>
          </cell>
          <cell r="B785" t="str">
            <v>무플롱</v>
          </cell>
          <cell r="C785" t="str">
            <v>포유류</v>
          </cell>
          <cell r="D785">
            <v>5</v>
          </cell>
          <cell r="E785" t="str">
            <v>동물</v>
          </cell>
          <cell r="F785">
            <v>2</v>
          </cell>
          <cell r="G785" t="str">
            <v>A</v>
          </cell>
          <cell r="H785">
            <v>4</v>
          </cell>
        </row>
        <row r="786">
          <cell r="A786">
            <v>70407026</v>
          </cell>
          <cell r="B786" t="str">
            <v>물개</v>
          </cell>
          <cell r="C786" t="str">
            <v>포유류</v>
          </cell>
          <cell r="D786">
            <v>5</v>
          </cell>
          <cell r="E786" t="str">
            <v>동물</v>
          </cell>
          <cell r="F786">
            <v>2</v>
          </cell>
          <cell r="G786" t="str">
            <v>C</v>
          </cell>
          <cell r="H786">
            <v>2</v>
          </cell>
        </row>
        <row r="787">
          <cell r="A787">
            <v>70407027</v>
          </cell>
          <cell r="B787" t="str">
            <v>바다이구아나</v>
          </cell>
          <cell r="C787" t="str">
            <v>파충류</v>
          </cell>
          <cell r="D787">
            <v>7</v>
          </cell>
          <cell r="E787" t="str">
            <v>동물</v>
          </cell>
          <cell r="F787">
            <v>2</v>
          </cell>
          <cell r="G787" t="str">
            <v>B</v>
          </cell>
          <cell r="H787">
            <v>3</v>
          </cell>
        </row>
        <row r="788">
          <cell r="A788">
            <v>70407028</v>
          </cell>
          <cell r="B788" t="str">
            <v>바다코끼리</v>
          </cell>
          <cell r="C788" t="str">
            <v>포유류</v>
          </cell>
          <cell r="D788">
            <v>5</v>
          </cell>
          <cell r="E788" t="str">
            <v>동물</v>
          </cell>
          <cell r="F788">
            <v>2</v>
          </cell>
          <cell r="G788" t="str">
            <v>A</v>
          </cell>
          <cell r="H788">
            <v>4</v>
          </cell>
        </row>
        <row r="789">
          <cell r="A789">
            <v>70407029</v>
          </cell>
          <cell r="B789" t="str">
            <v>바다표범</v>
          </cell>
          <cell r="C789" t="str">
            <v>포유류</v>
          </cell>
          <cell r="D789">
            <v>5</v>
          </cell>
          <cell r="E789" t="str">
            <v>동물</v>
          </cell>
          <cell r="F789">
            <v>2</v>
          </cell>
          <cell r="G789" t="str">
            <v>C</v>
          </cell>
          <cell r="H789">
            <v>2</v>
          </cell>
        </row>
        <row r="790">
          <cell r="A790">
            <v>70407030</v>
          </cell>
          <cell r="B790" t="str">
            <v>바바리양</v>
          </cell>
          <cell r="C790" t="str">
            <v>포유류</v>
          </cell>
          <cell r="D790">
            <v>5</v>
          </cell>
          <cell r="E790" t="str">
            <v>동물</v>
          </cell>
          <cell r="F790">
            <v>2</v>
          </cell>
          <cell r="G790" t="str">
            <v>D</v>
          </cell>
          <cell r="H790">
            <v>1</v>
          </cell>
        </row>
        <row r="791">
          <cell r="A791">
            <v>70407031</v>
          </cell>
          <cell r="B791" t="str">
            <v>바비루사</v>
          </cell>
          <cell r="C791" t="str">
            <v>포유류</v>
          </cell>
          <cell r="D791">
            <v>5</v>
          </cell>
          <cell r="E791" t="str">
            <v>동물</v>
          </cell>
          <cell r="F791">
            <v>2</v>
          </cell>
          <cell r="G791" t="str">
            <v>B</v>
          </cell>
          <cell r="H791">
            <v>3</v>
          </cell>
        </row>
        <row r="792">
          <cell r="A792">
            <v>70407032</v>
          </cell>
          <cell r="B792" t="str">
            <v>별거북</v>
          </cell>
          <cell r="C792" t="str">
            <v>파충류</v>
          </cell>
          <cell r="D792">
            <v>7</v>
          </cell>
          <cell r="E792" t="str">
            <v>동물</v>
          </cell>
          <cell r="F792">
            <v>2</v>
          </cell>
          <cell r="G792" t="str">
            <v>D</v>
          </cell>
          <cell r="H792">
            <v>1</v>
          </cell>
          <cell r="AW792" t="str">
            <v/>
          </cell>
          <cell r="BA792" t="str">
            <v>-</v>
          </cell>
        </row>
        <row r="793">
          <cell r="A793">
            <v>70407033</v>
          </cell>
          <cell r="B793" t="str">
            <v>보르조이</v>
          </cell>
          <cell r="C793" t="str">
            <v>포유류</v>
          </cell>
          <cell r="D793">
            <v>5</v>
          </cell>
          <cell r="E793" t="str">
            <v>동물</v>
          </cell>
          <cell r="F793">
            <v>2</v>
          </cell>
          <cell r="G793" t="str">
            <v>D</v>
          </cell>
          <cell r="H793">
            <v>1</v>
          </cell>
          <cell r="AW793" t="str">
            <v/>
          </cell>
          <cell r="BA793" t="str">
            <v>-</v>
          </cell>
        </row>
        <row r="794">
          <cell r="A794">
            <v>70407034</v>
          </cell>
          <cell r="B794" t="str">
            <v>봉고</v>
          </cell>
          <cell r="C794" t="str">
            <v>포유류</v>
          </cell>
          <cell r="D794">
            <v>5</v>
          </cell>
          <cell r="E794" t="str">
            <v>동물</v>
          </cell>
          <cell r="F794">
            <v>2</v>
          </cell>
          <cell r="G794" t="str">
            <v>D</v>
          </cell>
          <cell r="H794">
            <v>1</v>
          </cell>
          <cell r="AW794" t="str">
            <v/>
          </cell>
          <cell r="BA794" t="str">
            <v>-</v>
          </cell>
        </row>
        <row r="795">
          <cell r="A795">
            <v>70407035</v>
          </cell>
          <cell r="B795" t="str">
            <v>북극여우</v>
          </cell>
          <cell r="C795" t="str">
            <v>포유류</v>
          </cell>
          <cell r="D795">
            <v>5</v>
          </cell>
          <cell r="E795" t="str">
            <v>동물</v>
          </cell>
          <cell r="F795">
            <v>2</v>
          </cell>
          <cell r="G795" t="str">
            <v>B</v>
          </cell>
          <cell r="H795">
            <v>3</v>
          </cell>
        </row>
        <row r="796">
          <cell r="A796">
            <v>70407036</v>
          </cell>
          <cell r="B796" t="str">
            <v>붉은늑대</v>
          </cell>
          <cell r="C796" t="str">
            <v>포유류</v>
          </cell>
          <cell r="D796">
            <v>5</v>
          </cell>
          <cell r="E796" t="str">
            <v>동물</v>
          </cell>
          <cell r="F796">
            <v>2</v>
          </cell>
          <cell r="G796" t="str">
            <v>C</v>
          </cell>
          <cell r="H796">
            <v>2</v>
          </cell>
          <cell r="AW796" t="str">
            <v/>
          </cell>
          <cell r="BA796" t="str">
            <v>-</v>
          </cell>
        </row>
        <row r="797">
          <cell r="A797">
            <v>70407037</v>
          </cell>
          <cell r="B797" t="str">
            <v>붉은바다거북</v>
          </cell>
          <cell r="C797" t="str">
            <v>파충류</v>
          </cell>
          <cell r="D797">
            <v>7</v>
          </cell>
          <cell r="E797" t="str">
            <v>동물</v>
          </cell>
          <cell r="F797">
            <v>2</v>
          </cell>
          <cell r="G797" t="str">
            <v>C</v>
          </cell>
          <cell r="H797">
            <v>2</v>
          </cell>
          <cell r="AW797" t="str">
            <v/>
          </cell>
          <cell r="BA797" t="str">
            <v>-</v>
          </cell>
        </row>
        <row r="798">
          <cell r="A798">
            <v>70407038</v>
          </cell>
          <cell r="B798" t="str">
            <v>붉은사슴</v>
          </cell>
          <cell r="C798" t="str">
            <v>포유류</v>
          </cell>
          <cell r="D798">
            <v>5</v>
          </cell>
          <cell r="E798" t="str">
            <v>동물</v>
          </cell>
          <cell r="F798">
            <v>2</v>
          </cell>
          <cell r="G798" t="str">
            <v>D</v>
          </cell>
          <cell r="H798">
            <v>1</v>
          </cell>
        </row>
        <row r="799">
          <cell r="A799">
            <v>70407039</v>
          </cell>
          <cell r="B799" t="str">
            <v>비버</v>
          </cell>
          <cell r="C799" t="str">
            <v>포유류</v>
          </cell>
          <cell r="D799">
            <v>5</v>
          </cell>
          <cell r="E799" t="str">
            <v>동물</v>
          </cell>
          <cell r="F799">
            <v>2</v>
          </cell>
          <cell r="G799" t="str">
            <v>B</v>
          </cell>
          <cell r="H799">
            <v>3</v>
          </cell>
        </row>
        <row r="800">
          <cell r="A800">
            <v>70407040</v>
          </cell>
          <cell r="B800" t="str">
            <v>사이가산양</v>
          </cell>
          <cell r="C800" t="str">
            <v>포유류</v>
          </cell>
          <cell r="D800">
            <v>5</v>
          </cell>
          <cell r="E800" t="str">
            <v>동물</v>
          </cell>
          <cell r="F800">
            <v>2</v>
          </cell>
          <cell r="G800" t="str">
            <v>B</v>
          </cell>
          <cell r="H800">
            <v>3</v>
          </cell>
        </row>
        <row r="801">
          <cell r="A801">
            <v>70407041</v>
          </cell>
          <cell r="B801" t="str">
            <v>사향고양이</v>
          </cell>
          <cell r="C801" t="str">
            <v>포유류</v>
          </cell>
          <cell r="D801">
            <v>5</v>
          </cell>
          <cell r="E801" t="str">
            <v>동물</v>
          </cell>
          <cell r="F801">
            <v>2</v>
          </cell>
          <cell r="G801" t="str">
            <v>S</v>
          </cell>
          <cell r="H801">
            <v>5</v>
          </cell>
        </row>
        <row r="802">
          <cell r="A802">
            <v>70407042</v>
          </cell>
          <cell r="B802" t="str">
            <v>사향노루</v>
          </cell>
          <cell r="C802" t="str">
            <v>포유류</v>
          </cell>
          <cell r="D802">
            <v>5</v>
          </cell>
          <cell r="E802" t="str">
            <v>동물</v>
          </cell>
          <cell r="F802">
            <v>2</v>
          </cell>
          <cell r="G802" t="str">
            <v>C</v>
          </cell>
          <cell r="H802">
            <v>2</v>
          </cell>
        </row>
        <row r="803">
          <cell r="A803">
            <v>70407043</v>
          </cell>
          <cell r="B803" t="str">
            <v>살무사</v>
          </cell>
          <cell r="C803" t="str">
            <v>파충류</v>
          </cell>
          <cell r="D803">
            <v>7</v>
          </cell>
          <cell r="E803" t="str">
            <v>동물</v>
          </cell>
          <cell r="F803">
            <v>2</v>
          </cell>
          <cell r="G803" t="str">
            <v>C</v>
          </cell>
          <cell r="H803">
            <v>2</v>
          </cell>
        </row>
        <row r="804">
          <cell r="A804">
            <v>70407044</v>
          </cell>
          <cell r="B804" t="str">
            <v>살쾡이</v>
          </cell>
          <cell r="C804" t="str">
            <v>포유류</v>
          </cell>
          <cell r="D804">
            <v>5</v>
          </cell>
          <cell r="E804" t="str">
            <v>동물</v>
          </cell>
          <cell r="F804">
            <v>2</v>
          </cell>
          <cell r="G804" t="str">
            <v>C</v>
          </cell>
          <cell r="H804">
            <v>2</v>
          </cell>
        </row>
        <row r="805">
          <cell r="A805">
            <v>70407045</v>
          </cell>
          <cell r="B805" t="str">
            <v>서발</v>
          </cell>
          <cell r="C805" t="str">
            <v>포유류</v>
          </cell>
          <cell r="D805">
            <v>5</v>
          </cell>
          <cell r="E805" t="str">
            <v>동물</v>
          </cell>
          <cell r="F805">
            <v>2</v>
          </cell>
          <cell r="G805" t="str">
            <v>D</v>
          </cell>
          <cell r="H805">
            <v>1</v>
          </cell>
          <cell r="AW805" t="str">
            <v/>
          </cell>
          <cell r="BA805" t="str">
            <v>-</v>
          </cell>
        </row>
        <row r="806">
          <cell r="A806">
            <v>70407046</v>
          </cell>
          <cell r="B806" t="str">
            <v>설가타</v>
          </cell>
          <cell r="C806" t="str">
            <v>파충류</v>
          </cell>
          <cell r="D806">
            <v>7</v>
          </cell>
          <cell r="E806" t="str">
            <v>동물</v>
          </cell>
          <cell r="F806">
            <v>2</v>
          </cell>
          <cell r="G806" t="str">
            <v>A</v>
          </cell>
          <cell r="H806">
            <v>4</v>
          </cell>
        </row>
        <row r="807">
          <cell r="A807">
            <v>70407047</v>
          </cell>
          <cell r="B807" t="str">
            <v>스라소니</v>
          </cell>
          <cell r="C807" t="str">
            <v>포유류</v>
          </cell>
          <cell r="D807">
            <v>5</v>
          </cell>
          <cell r="E807" t="str">
            <v>동물</v>
          </cell>
          <cell r="F807">
            <v>2</v>
          </cell>
          <cell r="G807" t="str">
            <v>A</v>
          </cell>
          <cell r="H807">
            <v>4</v>
          </cell>
        </row>
        <row r="808">
          <cell r="A808">
            <v>70407048</v>
          </cell>
          <cell r="B808" t="str">
            <v>시베리안 허스키</v>
          </cell>
          <cell r="C808" t="str">
            <v>포유류</v>
          </cell>
          <cell r="D808">
            <v>5</v>
          </cell>
          <cell r="E808" t="str">
            <v>동물</v>
          </cell>
          <cell r="F808">
            <v>2</v>
          </cell>
          <cell r="G808" t="str">
            <v>B</v>
          </cell>
          <cell r="H808">
            <v>3</v>
          </cell>
        </row>
        <row r="809">
          <cell r="A809">
            <v>70407049</v>
          </cell>
          <cell r="B809" t="str">
            <v>시파카</v>
          </cell>
          <cell r="C809" t="str">
            <v>포유류</v>
          </cell>
          <cell r="D809">
            <v>5</v>
          </cell>
          <cell r="E809" t="str">
            <v>동물</v>
          </cell>
          <cell r="F809">
            <v>2</v>
          </cell>
          <cell r="G809" t="str">
            <v>A</v>
          </cell>
          <cell r="H809">
            <v>4</v>
          </cell>
        </row>
        <row r="810">
          <cell r="A810">
            <v>70407050</v>
          </cell>
          <cell r="B810" t="str">
            <v>아기사슴</v>
          </cell>
          <cell r="C810" t="str">
            <v>포유류</v>
          </cell>
          <cell r="D810">
            <v>5</v>
          </cell>
          <cell r="E810" t="str">
            <v>동물</v>
          </cell>
          <cell r="F810">
            <v>2</v>
          </cell>
          <cell r="G810" t="str">
            <v>D</v>
          </cell>
          <cell r="H810">
            <v>1</v>
          </cell>
          <cell r="AW810" t="str">
            <v/>
          </cell>
          <cell r="BA810" t="str">
            <v>-</v>
          </cell>
        </row>
        <row r="811">
          <cell r="A811">
            <v>70407051</v>
          </cell>
          <cell r="B811" t="str">
            <v>아라비아오릭스</v>
          </cell>
          <cell r="C811" t="str">
            <v>포유류</v>
          </cell>
          <cell r="D811">
            <v>5</v>
          </cell>
          <cell r="E811" t="str">
            <v>동물</v>
          </cell>
          <cell r="F811">
            <v>2</v>
          </cell>
          <cell r="G811" t="str">
            <v>B</v>
          </cell>
          <cell r="H811">
            <v>3</v>
          </cell>
        </row>
        <row r="812">
          <cell r="A812">
            <v>70407052</v>
          </cell>
          <cell r="B812" t="str">
            <v>아르갈리</v>
          </cell>
          <cell r="C812" t="str">
            <v>포유류</v>
          </cell>
          <cell r="D812">
            <v>5</v>
          </cell>
          <cell r="E812" t="str">
            <v>동물</v>
          </cell>
          <cell r="F812">
            <v>2</v>
          </cell>
          <cell r="G812" t="str">
            <v>B</v>
          </cell>
          <cell r="H812">
            <v>3</v>
          </cell>
        </row>
        <row r="813">
          <cell r="A813">
            <v>70407053</v>
          </cell>
          <cell r="B813" t="str">
            <v>아르마딜로</v>
          </cell>
          <cell r="C813" t="str">
            <v>포유류</v>
          </cell>
          <cell r="D813">
            <v>5</v>
          </cell>
          <cell r="E813" t="str">
            <v>동물</v>
          </cell>
          <cell r="F813">
            <v>2</v>
          </cell>
          <cell r="G813" t="str">
            <v>B</v>
          </cell>
          <cell r="H813">
            <v>3</v>
          </cell>
        </row>
        <row r="814">
          <cell r="A814">
            <v>70407054</v>
          </cell>
          <cell r="B814" t="str">
            <v>아이아이</v>
          </cell>
          <cell r="C814" t="str">
            <v>포유류</v>
          </cell>
          <cell r="D814">
            <v>5</v>
          </cell>
          <cell r="E814" t="str">
            <v>동물</v>
          </cell>
          <cell r="F814">
            <v>2</v>
          </cell>
          <cell r="G814" t="str">
            <v>D</v>
          </cell>
          <cell r="H814">
            <v>1</v>
          </cell>
          <cell r="AW814" t="str">
            <v/>
          </cell>
          <cell r="BA814" t="str">
            <v>-</v>
          </cell>
        </row>
        <row r="815">
          <cell r="A815">
            <v>70407055</v>
          </cell>
          <cell r="B815" t="str">
            <v>아자와크</v>
          </cell>
          <cell r="C815" t="str">
            <v>포유류</v>
          </cell>
          <cell r="D815">
            <v>5</v>
          </cell>
          <cell r="E815" t="str">
            <v>동물</v>
          </cell>
          <cell r="F815">
            <v>2</v>
          </cell>
          <cell r="G815" t="str">
            <v>C</v>
          </cell>
          <cell r="H815">
            <v>2</v>
          </cell>
        </row>
        <row r="816">
          <cell r="A816">
            <v>70407056</v>
          </cell>
          <cell r="B816" t="str">
            <v>애기하마</v>
          </cell>
          <cell r="C816" t="str">
            <v>포유류</v>
          </cell>
          <cell r="D816">
            <v>5</v>
          </cell>
          <cell r="E816" t="str">
            <v>동물</v>
          </cell>
          <cell r="F816">
            <v>2</v>
          </cell>
          <cell r="G816" t="str">
            <v>A</v>
          </cell>
          <cell r="H816">
            <v>4</v>
          </cell>
        </row>
        <row r="817">
          <cell r="A817">
            <v>70407057</v>
          </cell>
          <cell r="B817" t="str">
            <v>야쿠사슴</v>
          </cell>
          <cell r="C817" t="str">
            <v>포유류</v>
          </cell>
          <cell r="D817">
            <v>5</v>
          </cell>
          <cell r="E817" t="str">
            <v>동물</v>
          </cell>
          <cell r="F817">
            <v>2</v>
          </cell>
          <cell r="G817" t="str">
            <v>B</v>
          </cell>
          <cell r="H817">
            <v>3</v>
          </cell>
        </row>
        <row r="818">
          <cell r="A818">
            <v>70407058</v>
          </cell>
          <cell r="B818" t="str">
            <v>얼룩말</v>
          </cell>
          <cell r="C818" t="str">
            <v>포유류</v>
          </cell>
          <cell r="D818">
            <v>5</v>
          </cell>
          <cell r="E818" t="str">
            <v>동물</v>
          </cell>
          <cell r="F818">
            <v>2</v>
          </cell>
          <cell r="G818" t="str">
            <v>B</v>
          </cell>
          <cell r="H818">
            <v>3</v>
          </cell>
        </row>
        <row r="819">
          <cell r="A819">
            <v>70407059</v>
          </cell>
          <cell r="B819" t="str">
            <v>오리너구리</v>
          </cell>
          <cell r="C819" t="str">
            <v>포유류</v>
          </cell>
          <cell r="D819">
            <v>5</v>
          </cell>
          <cell r="E819" t="str">
            <v>동물</v>
          </cell>
          <cell r="F819">
            <v>2</v>
          </cell>
          <cell r="G819" t="str">
            <v>A</v>
          </cell>
          <cell r="H819">
            <v>4</v>
          </cell>
          <cell r="AW819" t="str">
            <v>특정 퀘스트(=)</v>
          </cell>
          <cell r="AY819" t="str">
            <v>밀란다 베르테 시나리오</v>
          </cell>
          <cell r="BA819" t="str">
            <v>밀란다 베르테13_06</v>
          </cell>
        </row>
        <row r="820">
          <cell r="A820">
            <v>70407060</v>
          </cell>
          <cell r="B820" t="str">
            <v>오소리</v>
          </cell>
          <cell r="C820" t="str">
            <v>포유류</v>
          </cell>
          <cell r="D820">
            <v>5</v>
          </cell>
          <cell r="E820" t="str">
            <v>동물</v>
          </cell>
          <cell r="F820">
            <v>2</v>
          </cell>
          <cell r="G820" t="str">
            <v>D</v>
          </cell>
          <cell r="H820">
            <v>1</v>
          </cell>
          <cell r="AW820" t="str">
            <v/>
          </cell>
          <cell r="BA820" t="str">
            <v>-</v>
          </cell>
        </row>
        <row r="821">
          <cell r="A821">
            <v>70407061</v>
          </cell>
          <cell r="B821" t="str">
            <v>오실롯</v>
          </cell>
          <cell r="C821" t="str">
            <v>포유류</v>
          </cell>
          <cell r="D821">
            <v>5</v>
          </cell>
          <cell r="E821" t="str">
            <v>동물</v>
          </cell>
          <cell r="F821">
            <v>2</v>
          </cell>
          <cell r="G821" t="str">
            <v>A</v>
          </cell>
          <cell r="H821">
            <v>4</v>
          </cell>
        </row>
        <row r="822">
          <cell r="A822">
            <v>70407062</v>
          </cell>
          <cell r="B822" t="str">
            <v>왕아르마딜로</v>
          </cell>
          <cell r="C822" t="str">
            <v>포유류</v>
          </cell>
          <cell r="D822">
            <v>5</v>
          </cell>
          <cell r="E822" t="str">
            <v>동물</v>
          </cell>
          <cell r="F822">
            <v>2</v>
          </cell>
          <cell r="G822" t="str">
            <v>A</v>
          </cell>
          <cell r="H822">
            <v>4</v>
          </cell>
        </row>
        <row r="823">
          <cell r="A823">
            <v>70407063</v>
          </cell>
          <cell r="B823" t="str">
            <v>울버린</v>
          </cell>
          <cell r="C823" t="str">
            <v>포유류</v>
          </cell>
          <cell r="D823">
            <v>5</v>
          </cell>
          <cell r="E823" t="str">
            <v>동물</v>
          </cell>
          <cell r="F823">
            <v>2</v>
          </cell>
          <cell r="G823" t="str">
            <v>B</v>
          </cell>
          <cell r="H823">
            <v>3</v>
          </cell>
        </row>
        <row r="824">
          <cell r="A824">
            <v>70407064</v>
          </cell>
          <cell r="B824" t="str">
            <v>웜뱃</v>
          </cell>
          <cell r="C824" t="str">
            <v>포유류</v>
          </cell>
          <cell r="D824">
            <v>5</v>
          </cell>
          <cell r="E824" t="str">
            <v>동물</v>
          </cell>
          <cell r="F824">
            <v>2</v>
          </cell>
          <cell r="G824" t="str">
            <v>A</v>
          </cell>
          <cell r="H824">
            <v>4</v>
          </cell>
        </row>
        <row r="825">
          <cell r="A825">
            <v>70407065</v>
          </cell>
          <cell r="B825" t="str">
            <v>인도몽구스</v>
          </cell>
          <cell r="C825" t="str">
            <v>포유류</v>
          </cell>
          <cell r="D825">
            <v>5</v>
          </cell>
          <cell r="E825" t="str">
            <v>동물</v>
          </cell>
          <cell r="F825">
            <v>2</v>
          </cell>
          <cell r="G825" t="str">
            <v>A</v>
          </cell>
          <cell r="H825">
            <v>4</v>
          </cell>
        </row>
        <row r="826">
          <cell r="A826">
            <v>70407066</v>
          </cell>
          <cell r="B826" t="str">
            <v>인도영양</v>
          </cell>
          <cell r="C826" t="str">
            <v>포유류</v>
          </cell>
          <cell r="D826">
            <v>5</v>
          </cell>
          <cell r="E826" t="str">
            <v>동물</v>
          </cell>
          <cell r="F826">
            <v>2</v>
          </cell>
          <cell r="G826" t="str">
            <v>D</v>
          </cell>
          <cell r="H826">
            <v>1</v>
          </cell>
          <cell r="AW826" t="str">
            <v/>
          </cell>
          <cell r="BA826" t="str">
            <v>-</v>
          </cell>
        </row>
        <row r="827">
          <cell r="A827">
            <v>70407067</v>
          </cell>
          <cell r="B827" t="str">
            <v>인드리</v>
          </cell>
          <cell r="C827" t="str">
            <v>포유류</v>
          </cell>
          <cell r="D827">
            <v>5</v>
          </cell>
          <cell r="E827" t="str">
            <v>동물</v>
          </cell>
          <cell r="F827">
            <v>2</v>
          </cell>
          <cell r="G827" t="str">
            <v>B</v>
          </cell>
          <cell r="H827">
            <v>3</v>
          </cell>
        </row>
        <row r="828">
          <cell r="A828">
            <v>70407068</v>
          </cell>
          <cell r="B828" t="str">
            <v>일본장수도롱뇽</v>
          </cell>
          <cell r="C828" t="str">
            <v>파충류</v>
          </cell>
          <cell r="D828">
            <v>7</v>
          </cell>
          <cell r="E828" t="str">
            <v>동물</v>
          </cell>
          <cell r="F828">
            <v>2</v>
          </cell>
          <cell r="G828" t="str">
            <v>A</v>
          </cell>
          <cell r="H828">
            <v>4</v>
          </cell>
        </row>
        <row r="829">
          <cell r="A829">
            <v>70407069</v>
          </cell>
          <cell r="B829" t="str">
            <v>일본산양</v>
          </cell>
          <cell r="C829" t="str">
            <v>포유류</v>
          </cell>
          <cell r="D829">
            <v>5</v>
          </cell>
          <cell r="E829" t="str">
            <v>동물</v>
          </cell>
          <cell r="F829">
            <v>2</v>
          </cell>
          <cell r="G829" t="str">
            <v>C</v>
          </cell>
          <cell r="H829">
            <v>2</v>
          </cell>
        </row>
        <row r="830">
          <cell r="A830">
            <v>70407070</v>
          </cell>
          <cell r="B830" t="str">
            <v>일본원숭이</v>
          </cell>
          <cell r="C830" t="str">
            <v>포유류</v>
          </cell>
          <cell r="D830">
            <v>5</v>
          </cell>
          <cell r="E830" t="str">
            <v>동물</v>
          </cell>
          <cell r="F830">
            <v>2</v>
          </cell>
          <cell r="G830" t="str">
            <v>D</v>
          </cell>
          <cell r="H830">
            <v>1</v>
          </cell>
          <cell r="AW830" t="str">
            <v/>
          </cell>
          <cell r="BA830" t="str">
            <v>-</v>
          </cell>
        </row>
        <row r="831">
          <cell r="A831">
            <v>70407071</v>
          </cell>
          <cell r="B831" t="str">
            <v>임팔라</v>
          </cell>
          <cell r="C831" t="str">
            <v>포유류</v>
          </cell>
          <cell r="D831">
            <v>5</v>
          </cell>
          <cell r="E831" t="str">
            <v>동물</v>
          </cell>
          <cell r="F831">
            <v>2</v>
          </cell>
          <cell r="G831" t="str">
            <v>C</v>
          </cell>
          <cell r="H831">
            <v>2</v>
          </cell>
        </row>
        <row r="832">
          <cell r="A832">
            <v>70407072</v>
          </cell>
          <cell r="B832" t="str">
            <v>잎원숭이</v>
          </cell>
          <cell r="C832" t="str">
            <v>포유류</v>
          </cell>
          <cell r="D832">
            <v>5</v>
          </cell>
          <cell r="E832" t="str">
            <v>동물</v>
          </cell>
          <cell r="F832">
            <v>2</v>
          </cell>
          <cell r="G832" t="str">
            <v>B</v>
          </cell>
          <cell r="H832">
            <v>3</v>
          </cell>
        </row>
        <row r="833">
          <cell r="A833">
            <v>70407073</v>
          </cell>
          <cell r="B833" t="str">
            <v>자칼</v>
          </cell>
          <cell r="C833" t="str">
            <v>포유류</v>
          </cell>
          <cell r="D833">
            <v>5</v>
          </cell>
          <cell r="E833" t="str">
            <v>동물</v>
          </cell>
          <cell r="F833">
            <v>2</v>
          </cell>
          <cell r="G833" t="str">
            <v>D</v>
          </cell>
          <cell r="H833">
            <v>1</v>
          </cell>
          <cell r="AW833" t="str">
            <v/>
          </cell>
          <cell r="BA833" t="str">
            <v>-</v>
          </cell>
        </row>
        <row r="834">
          <cell r="A834">
            <v>70407074</v>
          </cell>
          <cell r="B834" t="str">
            <v>작은개미핥기</v>
          </cell>
          <cell r="C834" t="str">
            <v>포유류</v>
          </cell>
          <cell r="D834">
            <v>5</v>
          </cell>
          <cell r="E834" t="str">
            <v>동물</v>
          </cell>
          <cell r="F834">
            <v>2</v>
          </cell>
          <cell r="G834" t="str">
            <v>D</v>
          </cell>
          <cell r="H834">
            <v>1</v>
          </cell>
          <cell r="AW834" t="str">
            <v/>
          </cell>
          <cell r="BA834" t="str">
            <v>-</v>
          </cell>
        </row>
        <row r="835">
          <cell r="A835">
            <v>70407075</v>
          </cell>
          <cell r="B835" t="str">
            <v>잔점박이물범</v>
          </cell>
          <cell r="C835" t="str">
            <v>포유류</v>
          </cell>
          <cell r="D835">
            <v>5</v>
          </cell>
          <cell r="E835" t="str">
            <v>동물</v>
          </cell>
          <cell r="F835">
            <v>2</v>
          </cell>
          <cell r="G835" t="str">
            <v>C</v>
          </cell>
          <cell r="H835">
            <v>2</v>
          </cell>
        </row>
        <row r="836">
          <cell r="A836">
            <v>70407076</v>
          </cell>
          <cell r="B836" t="str">
            <v>주머니늑대</v>
          </cell>
          <cell r="C836" t="str">
            <v>포유류</v>
          </cell>
          <cell r="D836">
            <v>5</v>
          </cell>
          <cell r="E836" t="str">
            <v>동물</v>
          </cell>
          <cell r="F836">
            <v>2</v>
          </cell>
          <cell r="G836" t="str">
            <v>D</v>
          </cell>
          <cell r="H836">
            <v>1</v>
          </cell>
          <cell r="AW836" t="str">
            <v/>
          </cell>
          <cell r="BA836" t="str">
            <v>-</v>
          </cell>
        </row>
        <row r="837">
          <cell r="A837">
            <v>70407077</v>
          </cell>
          <cell r="B837" t="str">
            <v>진돗개</v>
          </cell>
          <cell r="C837" t="str">
            <v>포유류</v>
          </cell>
          <cell r="D837">
            <v>5</v>
          </cell>
          <cell r="E837" t="str">
            <v>동물</v>
          </cell>
          <cell r="F837">
            <v>2</v>
          </cell>
          <cell r="G837" t="str">
            <v>A</v>
          </cell>
          <cell r="H837">
            <v>4</v>
          </cell>
        </row>
        <row r="838">
          <cell r="A838">
            <v>70407078</v>
          </cell>
          <cell r="B838" t="str">
            <v>차우차우</v>
          </cell>
          <cell r="C838" t="str">
            <v>포유류</v>
          </cell>
          <cell r="D838">
            <v>5</v>
          </cell>
          <cell r="E838" t="str">
            <v>동물</v>
          </cell>
          <cell r="F838">
            <v>2</v>
          </cell>
          <cell r="G838" t="str">
            <v>B</v>
          </cell>
          <cell r="H838">
            <v>3</v>
          </cell>
        </row>
        <row r="839">
          <cell r="A839">
            <v>70407079</v>
          </cell>
          <cell r="B839" t="str">
            <v>천산갑</v>
          </cell>
          <cell r="C839" t="str">
            <v>포유류</v>
          </cell>
          <cell r="D839">
            <v>5</v>
          </cell>
          <cell r="E839" t="str">
            <v>동물</v>
          </cell>
          <cell r="F839">
            <v>2</v>
          </cell>
          <cell r="G839" t="str">
            <v>B</v>
          </cell>
          <cell r="H839">
            <v>3</v>
          </cell>
          <cell r="AW839" t="str">
            <v>특정 퀘스트(=)</v>
          </cell>
          <cell r="AY839" t="str">
            <v>밀란다 베르테 시나리오</v>
          </cell>
          <cell r="BA839" t="str">
            <v>밀란다 베르테11_04</v>
          </cell>
        </row>
        <row r="840">
          <cell r="A840">
            <v>70407080</v>
          </cell>
          <cell r="B840" t="str">
            <v>침팬지</v>
          </cell>
          <cell r="C840" t="str">
            <v>포유류</v>
          </cell>
          <cell r="D840">
            <v>5</v>
          </cell>
          <cell r="E840" t="str">
            <v>동물</v>
          </cell>
          <cell r="F840">
            <v>2</v>
          </cell>
          <cell r="G840" t="str">
            <v>C</v>
          </cell>
          <cell r="H840">
            <v>2</v>
          </cell>
        </row>
        <row r="841">
          <cell r="A841">
            <v>70407081</v>
          </cell>
          <cell r="B841" t="str">
            <v>카라칼</v>
          </cell>
          <cell r="C841" t="str">
            <v>포유류</v>
          </cell>
          <cell r="D841">
            <v>5</v>
          </cell>
          <cell r="E841" t="str">
            <v>동물</v>
          </cell>
          <cell r="F841">
            <v>2</v>
          </cell>
          <cell r="G841" t="str">
            <v>B</v>
          </cell>
          <cell r="H841">
            <v>3</v>
          </cell>
        </row>
        <row r="842">
          <cell r="A842">
            <v>70407082</v>
          </cell>
          <cell r="B842" t="str">
            <v>카피바라</v>
          </cell>
          <cell r="C842" t="str">
            <v>포유류</v>
          </cell>
          <cell r="D842">
            <v>5</v>
          </cell>
          <cell r="E842" t="str">
            <v>동물</v>
          </cell>
          <cell r="F842">
            <v>2</v>
          </cell>
          <cell r="G842" t="str">
            <v>B</v>
          </cell>
          <cell r="H842">
            <v>3</v>
          </cell>
        </row>
        <row r="843">
          <cell r="A843">
            <v>70407083</v>
          </cell>
          <cell r="B843" t="str">
            <v>캥거루</v>
          </cell>
          <cell r="C843" t="str">
            <v>포유류</v>
          </cell>
          <cell r="D843">
            <v>5</v>
          </cell>
          <cell r="E843" t="str">
            <v>동물</v>
          </cell>
          <cell r="F843">
            <v>2</v>
          </cell>
          <cell r="G843" t="str">
            <v>A</v>
          </cell>
          <cell r="H843">
            <v>4</v>
          </cell>
        </row>
        <row r="844">
          <cell r="A844">
            <v>70407084</v>
          </cell>
          <cell r="B844" t="str">
            <v>코알라</v>
          </cell>
          <cell r="C844" t="str">
            <v>포유류</v>
          </cell>
          <cell r="D844">
            <v>5</v>
          </cell>
          <cell r="E844" t="str">
            <v>동물</v>
          </cell>
          <cell r="F844">
            <v>2</v>
          </cell>
          <cell r="G844" t="str">
            <v>B</v>
          </cell>
          <cell r="H844">
            <v>3</v>
          </cell>
        </row>
        <row r="845">
          <cell r="A845">
            <v>70407085</v>
          </cell>
          <cell r="B845" t="str">
            <v>코요테</v>
          </cell>
          <cell r="C845" t="str">
            <v>포유류</v>
          </cell>
          <cell r="D845">
            <v>5</v>
          </cell>
          <cell r="E845" t="str">
            <v>동물</v>
          </cell>
          <cell r="F845">
            <v>2</v>
          </cell>
          <cell r="G845" t="str">
            <v>B</v>
          </cell>
          <cell r="H845">
            <v>3</v>
          </cell>
        </row>
        <row r="846">
          <cell r="A846">
            <v>70407086</v>
          </cell>
          <cell r="B846" t="str">
            <v>코주부원숭이</v>
          </cell>
          <cell r="C846" t="str">
            <v>포유류</v>
          </cell>
          <cell r="D846">
            <v>5</v>
          </cell>
          <cell r="E846" t="str">
            <v>동물</v>
          </cell>
          <cell r="F846">
            <v>2</v>
          </cell>
          <cell r="G846" t="str">
            <v>D</v>
          </cell>
          <cell r="H846">
            <v>1</v>
          </cell>
          <cell r="AW846" t="str">
            <v/>
          </cell>
          <cell r="BA846" t="str">
            <v>-</v>
          </cell>
        </row>
        <row r="847">
          <cell r="A847">
            <v>70407087</v>
          </cell>
          <cell r="B847" t="str">
            <v>큰갑옷도마뱀</v>
          </cell>
          <cell r="C847" t="str">
            <v>파충류</v>
          </cell>
          <cell r="D847">
            <v>7</v>
          </cell>
          <cell r="E847" t="str">
            <v>동물</v>
          </cell>
          <cell r="F847">
            <v>2</v>
          </cell>
          <cell r="G847" t="str">
            <v>A</v>
          </cell>
          <cell r="H847">
            <v>4</v>
          </cell>
        </row>
        <row r="848">
          <cell r="A848">
            <v>70407088</v>
          </cell>
          <cell r="B848" t="str">
            <v>큰수달</v>
          </cell>
          <cell r="C848" t="str">
            <v>포유류</v>
          </cell>
          <cell r="D848">
            <v>5</v>
          </cell>
          <cell r="E848" t="str">
            <v>동물</v>
          </cell>
          <cell r="F848">
            <v>2</v>
          </cell>
          <cell r="G848" t="str">
            <v>C</v>
          </cell>
          <cell r="H848">
            <v>2</v>
          </cell>
        </row>
        <row r="849">
          <cell r="A849">
            <v>70407089</v>
          </cell>
          <cell r="B849" t="str">
            <v>태즈메이니아데블</v>
          </cell>
          <cell r="C849" t="str">
            <v>포유류</v>
          </cell>
          <cell r="D849">
            <v>5</v>
          </cell>
          <cell r="E849" t="str">
            <v>동물</v>
          </cell>
          <cell r="F849">
            <v>2</v>
          </cell>
          <cell r="G849" t="str">
            <v>B</v>
          </cell>
          <cell r="H849">
            <v>3</v>
          </cell>
        </row>
        <row r="850">
          <cell r="A850">
            <v>70407090</v>
          </cell>
          <cell r="B850" t="str">
            <v>톰슨가젤</v>
          </cell>
          <cell r="C850" t="str">
            <v>포유류</v>
          </cell>
          <cell r="D850">
            <v>5</v>
          </cell>
          <cell r="E850" t="str">
            <v>동물</v>
          </cell>
          <cell r="F850">
            <v>2</v>
          </cell>
          <cell r="G850" t="str">
            <v>A</v>
          </cell>
          <cell r="H850">
            <v>4</v>
          </cell>
        </row>
        <row r="851">
          <cell r="A851">
            <v>70407091</v>
          </cell>
          <cell r="B851" t="str">
            <v>파란영양</v>
          </cell>
          <cell r="C851" t="str">
            <v>포유류</v>
          </cell>
          <cell r="D851">
            <v>5</v>
          </cell>
          <cell r="E851" t="str">
            <v>동물</v>
          </cell>
          <cell r="F851">
            <v>2</v>
          </cell>
          <cell r="G851" t="str">
            <v>A</v>
          </cell>
          <cell r="H851">
            <v>4</v>
          </cell>
        </row>
        <row r="852">
          <cell r="A852">
            <v>70407092</v>
          </cell>
          <cell r="B852" t="str">
            <v>파르마숲왈라비</v>
          </cell>
          <cell r="C852" t="str">
            <v>포유류</v>
          </cell>
          <cell r="D852">
            <v>5</v>
          </cell>
          <cell r="E852" t="str">
            <v>동물</v>
          </cell>
          <cell r="F852">
            <v>2</v>
          </cell>
          <cell r="G852" t="str">
            <v>S</v>
          </cell>
          <cell r="H852">
            <v>5</v>
          </cell>
        </row>
        <row r="853">
          <cell r="A853">
            <v>70407093</v>
          </cell>
          <cell r="B853" t="str">
            <v>파타스원숭이</v>
          </cell>
          <cell r="C853" t="str">
            <v>포유류</v>
          </cell>
          <cell r="D853">
            <v>5</v>
          </cell>
          <cell r="E853" t="str">
            <v>동물</v>
          </cell>
          <cell r="F853">
            <v>2</v>
          </cell>
          <cell r="G853" t="str">
            <v>D</v>
          </cell>
          <cell r="H853">
            <v>1</v>
          </cell>
          <cell r="AW853" t="str">
            <v/>
          </cell>
          <cell r="BA853" t="str">
            <v>-</v>
          </cell>
        </row>
        <row r="854">
          <cell r="A854">
            <v>70407094</v>
          </cell>
          <cell r="B854" t="str">
            <v>페넥여우</v>
          </cell>
          <cell r="C854" t="str">
            <v>포유류</v>
          </cell>
          <cell r="D854">
            <v>5</v>
          </cell>
          <cell r="E854" t="str">
            <v>동물</v>
          </cell>
          <cell r="F854">
            <v>2</v>
          </cell>
          <cell r="G854" t="str">
            <v>B</v>
          </cell>
          <cell r="H854">
            <v>3</v>
          </cell>
          <cell r="AW854" t="str">
            <v/>
          </cell>
          <cell r="BA854" t="str">
            <v>-</v>
          </cell>
        </row>
        <row r="855">
          <cell r="A855">
            <v>70407095</v>
          </cell>
          <cell r="B855" t="str">
            <v>페커리</v>
          </cell>
          <cell r="C855" t="str">
            <v>포유류</v>
          </cell>
          <cell r="D855">
            <v>5</v>
          </cell>
          <cell r="E855" t="str">
            <v>동물</v>
          </cell>
          <cell r="F855">
            <v>2</v>
          </cell>
          <cell r="G855" t="str">
            <v>B</v>
          </cell>
          <cell r="H855">
            <v>3</v>
          </cell>
        </row>
        <row r="856">
          <cell r="A856">
            <v>70407096</v>
          </cell>
          <cell r="B856" t="str">
            <v>포사</v>
          </cell>
          <cell r="C856" t="str">
            <v>포유류</v>
          </cell>
          <cell r="D856">
            <v>5</v>
          </cell>
          <cell r="E856" t="str">
            <v>동물</v>
          </cell>
          <cell r="F856">
            <v>2</v>
          </cell>
          <cell r="G856" t="str">
            <v>A</v>
          </cell>
          <cell r="H856">
            <v>4</v>
          </cell>
        </row>
        <row r="857">
          <cell r="A857">
            <v>70407097</v>
          </cell>
          <cell r="B857" t="str">
            <v>핑크이구아나</v>
          </cell>
          <cell r="C857" t="str">
            <v>파충류</v>
          </cell>
          <cell r="D857">
            <v>7</v>
          </cell>
          <cell r="E857" t="str">
            <v>동물</v>
          </cell>
          <cell r="F857">
            <v>2</v>
          </cell>
          <cell r="G857" t="str">
            <v>S</v>
          </cell>
          <cell r="H857">
            <v>5</v>
          </cell>
        </row>
        <row r="858">
          <cell r="A858">
            <v>70407098</v>
          </cell>
          <cell r="B858" t="str">
            <v>하이에나</v>
          </cell>
          <cell r="C858" t="str">
            <v>포유류</v>
          </cell>
          <cell r="D858">
            <v>5</v>
          </cell>
          <cell r="E858" t="str">
            <v>동물</v>
          </cell>
          <cell r="F858">
            <v>2</v>
          </cell>
          <cell r="G858" t="str">
            <v>C</v>
          </cell>
          <cell r="H858">
            <v>2</v>
          </cell>
          <cell r="AW858" t="str">
            <v>특정 퀘스트(=)</v>
          </cell>
          <cell r="AY858" t="str">
            <v>자연 속 청소부</v>
          </cell>
          <cell r="BA858">
            <v>3</v>
          </cell>
        </row>
        <row r="859">
          <cell r="A859">
            <v>70407099</v>
          </cell>
          <cell r="B859" t="str">
            <v>햇살비단구렁이</v>
          </cell>
          <cell r="C859" t="str">
            <v>파충류</v>
          </cell>
          <cell r="D859">
            <v>7</v>
          </cell>
          <cell r="E859" t="str">
            <v>동물</v>
          </cell>
          <cell r="F859">
            <v>2</v>
          </cell>
          <cell r="G859" t="str">
            <v>C</v>
          </cell>
          <cell r="H859">
            <v>2</v>
          </cell>
        </row>
        <row r="860">
          <cell r="A860">
            <v>70407100</v>
          </cell>
          <cell r="B860" t="str">
            <v>헤르만육지거북</v>
          </cell>
          <cell r="C860" t="str">
            <v>파충류</v>
          </cell>
          <cell r="D860">
            <v>7</v>
          </cell>
          <cell r="E860" t="str">
            <v>동물</v>
          </cell>
          <cell r="F860">
            <v>2</v>
          </cell>
          <cell r="G860" t="str">
            <v>C</v>
          </cell>
          <cell r="H860">
            <v>2</v>
          </cell>
        </row>
        <row r="861">
          <cell r="A861">
            <v>70407101</v>
          </cell>
          <cell r="B861" t="str">
            <v>호랑이꼬리여우원숭이</v>
          </cell>
          <cell r="C861" t="str">
            <v>포유류</v>
          </cell>
          <cell r="D861">
            <v>5</v>
          </cell>
          <cell r="E861" t="str">
            <v>동물</v>
          </cell>
          <cell r="F861">
            <v>2</v>
          </cell>
          <cell r="G861" t="str">
            <v>B</v>
          </cell>
          <cell r="H861">
            <v>3</v>
          </cell>
        </row>
        <row r="862">
          <cell r="A862">
            <v>70407102</v>
          </cell>
          <cell r="B862" t="str">
            <v>호저</v>
          </cell>
          <cell r="C862" t="str">
            <v>포유류</v>
          </cell>
          <cell r="D862">
            <v>5</v>
          </cell>
          <cell r="E862" t="str">
            <v>동물</v>
          </cell>
          <cell r="F862">
            <v>2</v>
          </cell>
          <cell r="G862" t="str">
            <v>D</v>
          </cell>
          <cell r="H862">
            <v>1</v>
          </cell>
        </row>
        <row r="863">
          <cell r="A863">
            <v>70407103</v>
          </cell>
          <cell r="B863" t="str">
            <v>혹멧돼지</v>
          </cell>
          <cell r="C863" t="str">
            <v>포유류</v>
          </cell>
          <cell r="D863">
            <v>5</v>
          </cell>
          <cell r="E863" t="str">
            <v>동물</v>
          </cell>
          <cell r="F863">
            <v>2</v>
          </cell>
          <cell r="G863" t="str">
            <v>C</v>
          </cell>
          <cell r="H863">
            <v>2</v>
          </cell>
        </row>
        <row r="864">
          <cell r="A864">
            <v>70407104</v>
          </cell>
          <cell r="B864" t="str">
            <v>황금랑구르</v>
          </cell>
          <cell r="C864" t="str">
            <v>포유류</v>
          </cell>
          <cell r="D864">
            <v>5</v>
          </cell>
          <cell r="E864" t="str">
            <v>동물</v>
          </cell>
          <cell r="F864">
            <v>2</v>
          </cell>
          <cell r="G864" t="str">
            <v>B</v>
          </cell>
          <cell r="H864">
            <v>3</v>
          </cell>
        </row>
        <row r="865">
          <cell r="A865">
            <v>70407105</v>
          </cell>
          <cell r="B865" t="str">
            <v>흑백콜로부스</v>
          </cell>
          <cell r="C865" t="str">
            <v>포유류</v>
          </cell>
          <cell r="D865">
            <v>5</v>
          </cell>
          <cell r="E865" t="str">
            <v>동물</v>
          </cell>
          <cell r="F865">
            <v>2</v>
          </cell>
          <cell r="G865" t="str">
            <v>D</v>
          </cell>
          <cell r="H865">
            <v>1</v>
          </cell>
          <cell r="AW865" t="str">
            <v/>
          </cell>
          <cell r="BA865" t="str">
            <v>-</v>
          </cell>
        </row>
        <row r="866">
          <cell r="A866">
            <v>70408000</v>
          </cell>
          <cell r="B866" t="str">
            <v>검정카이만</v>
          </cell>
          <cell r="C866" t="str">
            <v>파충류</v>
          </cell>
          <cell r="D866">
            <v>7</v>
          </cell>
          <cell r="E866" t="str">
            <v>동물</v>
          </cell>
          <cell r="F866">
            <v>2</v>
          </cell>
          <cell r="G866" t="str">
            <v>B</v>
          </cell>
          <cell r="H866">
            <v>3</v>
          </cell>
        </row>
        <row r="867">
          <cell r="A867">
            <v>70408001</v>
          </cell>
          <cell r="B867" t="str">
            <v>고릴라</v>
          </cell>
          <cell r="C867" t="str">
            <v>포유류</v>
          </cell>
          <cell r="D867">
            <v>5</v>
          </cell>
          <cell r="E867" t="str">
            <v>동물</v>
          </cell>
          <cell r="F867">
            <v>2</v>
          </cell>
          <cell r="G867" t="str">
            <v>B</v>
          </cell>
          <cell r="H867">
            <v>3</v>
          </cell>
        </row>
        <row r="868">
          <cell r="A868">
            <v>70408002</v>
          </cell>
          <cell r="B868" t="str">
            <v>과나코</v>
          </cell>
          <cell r="C868" t="str">
            <v>포유류</v>
          </cell>
          <cell r="D868">
            <v>5</v>
          </cell>
          <cell r="E868" t="str">
            <v>동물</v>
          </cell>
          <cell r="F868">
            <v>2</v>
          </cell>
          <cell r="G868" t="str">
            <v>A</v>
          </cell>
          <cell r="H868">
            <v>4</v>
          </cell>
        </row>
        <row r="869">
          <cell r="A869">
            <v>70408003</v>
          </cell>
          <cell r="B869" t="str">
            <v>기린</v>
          </cell>
          <cell r="C869" t="str">
            <v>포유류</v>
          </cell>
          <cell r="D869">
            <v>5</v>
          </cell>
          <cell r="E869" t="str">
            <v>동물</v>
          </cell>
          <cell r="F869">
            <v>2</v>
          </cell>
          <cell r="G869" t="str">
            <v>A</v>
          </cell>
          <cell r="H869">
            <v>4</v>
          </cell>
        </row>
        <row r="870">
          <cell r="A870">
            <v>70408004</v>
          </cell>
          <cell r="B870" t="str">
            <v>나사뿔영양</v>
          </cell>
          <cell r="C870" t="str">
            <v>포유류</v>
          </cell>
          <cell r="D870">
            <v>5</v>
          </cell>
          <cell r="E870" t="str">
            <v>동물</v>
          </cell>
          <cell r="F870">
            <v>2</v>
          </cell>
          <cell r="G870" t="str">
            <v>C</v>
          </cell>
          <cell r="H870">
            <v>2</v>
          </cell>
        </row>
        <row r="871">
          <cell r="A871">
            <v>70408005</v>
          </cell>
          <cell r="B871" t="str">
            <v>나일악어</v>
          </cell>
          <cell r="C871" t="str">
            <v>파충류</v>
          </cell>
          <cell r="D871">
            <v>7</v>
          </cell>
          <cell r="E871" t="str">
            <v>동물</v>
          </cell>
          <cell r="F871">
            <v>2</v>
          </cell>
          <cell r="G871" t="str">
            <v>S</v>
          </cell>
          <cell r="H871">
            <v>5</v>
          </cell>
        </row>
        <row r="872">
          <cell r="A872">
            <v>70408006</v>
          </cell>
          <cell r="B872" t="str">
            <v>나일왕도마뱀</v>
          </cell>
          <cell r="C872" t="str">
            <v>파충류</v>
          </cell>
          <cell r="D872">
            <v>7</v>
          </cell>
          <cell r="E872" t="str">
            <v>동물</v>
          </cell>
          <cell r="F872">
            <v>2</v>
          </cell>
          <cell r="G872" t="str">
            <v>A</v>
          </cell>
          <cell r="H872">
            <v>4</v>
          </cell>
        </row>
        <row r="873">
          <cell r="A873">
            <v>70408007</v>
          </cell>
          <cell r="B873" t="str">
            <v>노새사슴</v>
          </cell>
          <cell r="C873" t="str">
            <v>포유류</v>
          </cell>
          <cell r="D873">
            <v>5</v>
          </cell>
          <cell r="E873" t="str">
            <v>동물</v>
          </cell>
          <cell r="F873">
            <v>2</v>
          </cell>
          <cell r="G873" t="str">
            <v>D</v>
          </cell>
          <cell r="H873">
            <v>1</v>
          </cell>
          <cell r="AW873" t="str">
            <v/>
          </cell>
          <cell r="BA873" t="str">
            <v>-</v>
          </cell>
        </row>
        <row r="874">
          <cell r="A874">
            <v>70408008</v>
          </cell>
          <cell r="B874" t="str">
            <v>누</v>
          </cell>
          <cell r="C874" t="str">
            <v>포유류</v>
          </cell>
          <cell r="D874">
            <v>5</v>
          </cell>
          <cell r="E874" t="str">
            <v>동물</v>
          </cell>
          <cell r="F874">
            <v>2</v>
          </cell>
          <cell r="G874" t="str">
            <v>D</v>
          </cell>
          <cell r="H874">
            <v>1</v>
          </cell>
          <cell r="AW874" t="str">
            <v/>
          </cell>
          <cell r="BA874" t="str">
            <v>-</v>
          </cell>
        </row>
        <row r="875">
          <cell r="A875">
            <v>70408009</v>
          </cell>
          <cell r="B875" t="str">
            <v>느림보곰</v>
          </cell>
          <cell r="C875" t="str">
            <v>포유류</v>
          </cell>
          <cell r="D875">
            <v>5</v>
          </cell>
          <cell r="E875" t="str">
            <v>동물</v>
          </cell>
          <cell r="F875">
            <v>2</v>
          </cell>
          <cell r="G875" t="str">
            <v>B</v>
          </cell>
          <cell r="H875">
            <v>3</v>
          </cell>
        </row>
        <row r="876">
          <cell r="A876">
            <v>70408010</v>
          </cell>
          <cell r="B876" t="str">
            <v>늪사슴</v>
          </cell>
          <cell r="C876" t="str">
            <v>포유류</v>
          </cell>
          <cell r="D876">
            <v>5</v>
          </cell>
          <cell r="E876" t="str">
            <v>동물</v>
          </cell>
          <cell r="F876">
            <v>2</v>
          </cell>
          <cell r="G876" t="str">
            <v>A</v>
          </cell>
          <cell r="H876">
            <v>4</v>
          </cell>
        </row>
        <row r="877">
          <cell r="A877">
            <v>70408011</v>
          </cell>
          <cell r="B877" t="str">
            <v>단봉낙타</v>
          </cell>
          <cell r="C877" t="str">
            <v>포유류</v>
          </cell>
          <cell r="D877">
            <v>5</v>
          </cell>
          <cell r="E877" t="str">
            <v>동물</v>
          </cell>
          <cell r="F877">
            <v>2</v>
          </cell>
          <cell r="G877" t="str">
            <v>B</v>
          </cell>
          <cell r="H877">
            <v>3</v>
          </cell>
        </row>
        <row r="878">
          <cell r="A878">
            <v>70408012</v>
          </cell>
          <cell r="B878" t="str">
            <v>대왕판다</v>
          </cell>
          <cell r="C878" t="str">
            <v>포유류</v>
          </cell>
          <cell r="D878">
            <v>5</v>
          </cell>
          <cell r="E878" t="str">
            <v>동물</v>
          </cell>
          <cell r="F878">
            <v>2</v>
          </cell>
          <cell r="G878" t="str">
            <v>S</v>
          </cell>
          <cell r="H878">
            <v>5</v>
          </cell>
        </row>
        <row r="879">
          <cell r="A879">
            <v>70408013</v>
          </cell>
          <cell r="B879" t="str">
            <v>말레이곰</v>
          </cell>
          <cell r="C879" t="str">
            <v>포유류</v>
          </cell>
          <cell r="D879">
            <v>5</v>
          </cell>
          <cell r="E879" t="str">
            <v>동물</v>
          </cell>
          <cell r="F879">
            <v>2</v>
          </cell>
          <cell r="G879" t="str">
            <v>B</v>
          </cell>
          <cell r="H879">
            <v>3</v>
          </cell>
        </row>
        <row r="880">
          <cell r="A880">
            <v>70408014</v>
          </cell>
          <cell r="B880" t="str">
            <v>말레이맥</v>
          </cell>
          <cell r="C880" t="str">
            <v>포유류</v>
          </cell>
          <cell r="D880">
            <v>5</v>
          </cell>
          <cell r="E880" t="str">
            <v>동물</v>
          </cell>
          <cell r="F880">
            <v>2</v>
          </cell>
          <cell r="G880" t="str">
            <v>C</v>
          </cell>
          <cell r="H880">
            <v>2</v>
          </cell>
        </row>
        <row r="881">
          <cell r="A881">
            <v>70408015</v>
          </cell>
          <cell r="B881" t="str">
            <v>말코손바닥사슴</v>
          </cell>
          <cell r="C881" t="str">
            <v>포유류</v>
          </cell>
          <cell r="D881">
            <v>5</v>
          </cell>
          <cell r="E881" t="str">
            <v>동물</v>
          </cell>
          <cell r="F881">
            <v>2</v>
          </cell>
          <cell r="G881" t="str">
            <v>B</v>
          </cell>
          <cell r="H881">
            <v>3</v>
          </cell>
        </row>
        <row r="882">
          <cell r="A882">
            <v>70408016</v>
          </cell>
          <cell r="B882" t="str">
            <v>멧돼지</v>
          </cell>
          <cell r="C882" t="str">
            <v>포유류</v>
          </cell>
          <cell r="D882">
            <v>5</v>
          </cell>
          <cell r="E882" t="str">
            <v>동물</v>
          </cell>
          <cell r="F882">
            <v>2</v>
          </cell>
          <cell r="G882" t="str">
            <v>D</v>
          </cell>
          <cell r="H882">
            <v>1</v>
          </cell>
          <cell r="AW882" t="str">
            <v/>
          </cell>
          <cell r="BA882" t="str">
            <v>-</v>
          </cell>
        </row>
        <row r="883">
          <cell r="A883">
            <v>70408018</v>
          </cell>
          <cell r="B883" t="str">
            <v>물소</v>
          </cell>
          <cell r="C883" t="str">
            <v>포유류</v>
          </cell>
          <cell r="D883">
            <v>5</v>
          </cell>
          <cell r="E883" t="str">
            <v>동물</v>
          </cell>
          <cell r="F883">
            <v>2</v>
          </cell>
          <cell r="G883" t="str">
            <v>D</v>
          </cell>
          <cell r="H883">
            <v>1</v>
          </cell>
          <cell r="AW883" t="str">
            <v/>
          </cell>
          <cell r="BA883" t="str">
            <v>-</v>
          </cell>
        </row>
        <row r="884">
          <cell r="A884">
            <v>70408019</v>
          </cell>
          <cell r="B884" t="str">
            <v>백호</v>
          </cell>
          <cell r="C884" t="str">
            <v>포유류</v>
          </cell>
          <cell r="D884">
            <v>5</v>
          </cell>
          <cell r="E884" t="str">
            <v>동물</v>
          </cell>
          <cell r="F884">
            <v>2</v>
          </cell>
          <cell r="G884" t="str">
            <v>S</v>
          </cell>
          <cell r="H884">
            <v>5</v>
          </cell>
          <cell r="AW884" t="str">
            <v>특정 퀘스트(=)</v>
          </cell>
          <cell r="AY884" t="str">
            <v>전설 속 수호신</v>
          </cell>
          <cell r="BA884">
            <v>3</v>
          </cell>
        </row>
        <row r="885">
          <cell r="A885">
            <v>70408020</v>
          </cell>
          <cell r="B885" t="str">
            <v>밴팅</v>
          </cell>
          <cell r="C885" t="str">
            <v>포유류</v>
          </cell>
          <cell r="D885">
            <v>5</v>
          </cell>
          <cell r="E885" t="str">
            <v>동물</v>
          </cell>
          <cell r="F885">
            <v>2</v>
          </cell>
          <cell r="G885" t="str">
            <v>A</v>
          </cell>
          <cell r="H885">
            <v>4</v>
          </cell>
        </row>
        <row r="886">
          <cell r="A886">
            <v>70408021</v>
          </cell>
          <cell r="B886" t="str">
            <v>베어드맥</v>
          </cell>
          <cell r="C886" t="str">
            <v>포유류</v>
          </cell>
          <cell r="D886">
            <v>5</v>
          </cell>
          <cell r="E886" t="str">
            <v>동물</v>
          </cell>
          <cell r="F886">
            <v>2</v>
          </cell>
          <cell r="G886" t="str">
            <v>A</v>
          </cell>
          <cell r="H886">
            <v>4</v>
          </cell>
        </row>
        <row r="887">
          <cell r="A887">
            <v>70408022</v>
          </cell>
          <cell r="B887" t="str">
            <v>보아</v>
          </cell>
          <cell r="C887" t="str">
            <v>파충류</v>
          </cell>
          <cell r="D887">
            <v>7</v>
          </cell>
          <cell r="E887" t="str">
            <v>동물</v>
          </cell>
          <cell r="F887">
            <v>2</v>
          </cell>
          <cell r="G887" t="str">
            <v>A</v>
          </cell>
          <cell r="H887">
            <v>4</v>
          </cell>
        </row>
        <row r="888">
          <cell r="A888">
            <v>70408023</v>
          </cell>
          <cell r="B888" t="str">
            <v>북극곰</v>
          </cell>
          <cell r="C888" t="str">
            <v>포유류</v>
          </cell>
          <cell r="D888">
            <v>5</v>
          </cell>
          <cell r="E888" t="str">
            <v>동물</v>
          </cell>
          <cell r="F888">
            <v>2</v>
          </cell>
          <cell r="G888" t="str">
            <v>A</v>
          </cell>
          <cell r="H888">
            <v>4</v>
          </cell>
          <cell r="AW888" t="str">
            <v>특정 퀘스트(=)</v>
          </cell>
          <cell r="AY888" t="str">
            <v>얼음 위의 백색 곰</v>
          </cell>
          <cell r="BA888">
            <v>3</v>
          </cell>
        </row>
        <row r="889">
          <cell r="A889">
            <v>70408024</v>
          </cell>
          <cell r="B889" t="str">
            <v>불곰</v>
          </cell>
          <cell r="C889" t="str">
            <v>포유류</v>
          </cell>
          <cell r="D889">
            <v>5</v>
          </cell>
          <cell r="E889" t="str">
            <v>동물</v>
          </cell>
          <cell r="F889">
            <v>2</v>
          </cell>
          <cell r="G889" t="str">
            <v>A</v>
          </cell>
          <cell r="H889">
            <v>4</v>
          </cell>
        </row>
        <row r="890">
          <cell r="A890">
            <v>70408025</v>
          </cell>
          <cell r="B890" t="str">
            <v>비단구렁이</v>
          </cell>
          <cell r="C890" t="str">
            <v>파충류</v>
          </cell>
          <cell r="D890">
            <v>7</v>
          </cell>
          <cell r="E890" t="str">
            <v>동물</v>
          </cell>
          <cell r="F890">
            <v>2</v>
          </cell>
          <cell r="G890" t="str">
            <v>B</v>
          </cell>
          <cell r="H890">
            <v>3</v>
          </cell>
        </row>
        <row r="891">
          <cell r="A891">
            <v>70408026</v>
          </cell>
          <cell r="B891" t="str">
            <v>비쿠냐</v>
          </cell>
          <cell r="C891" t="str">
            <v>포유류</v>
          </cell>
          <cell r="D891">
            <v>5</v>
          </cell>
          <cell r="E891" t="str">
            <v>동물</v>
          </cell>
          <cell r="F891">
            <v>2</v>
          </cell>
          <cell r="G891" t="str">
            <v>B</v>
          </cell>
          <cell r="H891">
            <v>3</v>
          </cell>
        </row>
        <row r="892">
          <cell r="A892">
            <v>70408027</v>
          </cell>
          <cell r="B892" t="str">
            <v>사불상</v>
          </cell>
          <cell r="C892" t="str">
            <v>포유류</v>
          </cell>
          <cell r="D892">
            <v>5</v>
          </cell>
          <cell r="E892" t="str">
            <v>동물</v>
          </cell>
          <cell r="F892">
            <v>2</v>
          </cell>
          <cell r="G892" t="str">
            <v>S</v>
          </cell>
          <cell r="H892">
            <v>5</v>
          </cell>
        </row>
        <row r="893">
          <cell r="A893">
            <v>70408028</v>
          </cell>
          <cell r="B893" t="str">
            <v>사자</v>
          </cell>
          <cell r="C893" t="str">
            <v>포유류</v>
          </cell>
          <cell r="D893">
            <v>5</v>
          </cell>
          <cell r="E893" t="str">
            <v>동물</v>
          </cell>
          <cell r="F893">
            <v>2</v>
          </cell>
          <cell r="G893" t="str">
            <v>B</v>
          </cell>
          <cell r="H893">
            <v>3</v>
          </cell>
        </row>
        <row r="894">
          <cell r="A894">
            <v>70408029</v>
          </cell>
          <cell r="B894" t="str">
            <v>사향소</v>
          </cell>
          <cell r="C894" t="str">
            <v>포유류</v>
          </cell>
          <cell r="D894">
            <v>5</v>
          </cell>
          <cell r="E894" t="str">
            <v>동물</v>
          </cell>
          <cell r="F894">
            <v>2</v>
          </cell>
          <cell r="G894" t="str">
            <v>A</v>
          </cell>
          <cell r="H894">
            <v>4</v>
          </cell>
        </row>
        <row r="895">
          <cell r="A895">
            <v>70408030</v>
          </cell>
          <cell r="B895" t="str">
            <v>삼바</v>
          </cell>
          <cell r="C895" t="str">
            <v>포유류</v>
          </cell>
          <cell r="D895">
            <v>5</v>
          </cell>
          <cell r="E895" t="str">
            <v>동물</v>
          </cell>
          <cell r="F895">
            <v>2</v>
          </cell>
          <cell r="G895" t="str">
            <v>A</v>
          </cell>
          <cell r="H895">
            <v>4</v>
          </cell>
        </row>
        <row r="896">
          <cell r="A896">
            <v>70408031</v>
          </cell>
          <cell r="B896" t="str">
            <v>순록</v>
          </cell>
          <cell r="C896" t="str">
            <v>포유류</v>
          </cell>
          <cell r="D896">
            <v>5</v>
          </cell>
          <cell r="E896" t="str">
            <v>동물</v>
          </cell>
          <cell r="F896">
            <v>2</v>
          </cell>
          <cell r="G896" t="str">
            <v>B</v>
          </cell>
          <cell r="H896">
            <v>3</v>
          </cell>
        </row>
        <row r="897">
          <cell r="A897">
            <v>70408032</v>
          </cell>
          <cell r="B897" t="str">
            <v>쌍봉낙타</v>
          </cell>
          <cell r="C897" t="str">
            <v>포유류</v>
          </cell>
          <cell r="D897">
            <v>5</v>
          </cell>
          <cell r="E897" t="str">
            <v>동물</v>
          </cell>
          <cell r="F897">
            <v>2</v>
          </cell>
          <cell r="G897" t="str">
            <v>B</v>
          </cell>
          <cell r="H897">
            <v>3</v>
          </cell>
        </row>
        <row r="898">
          <cell r="A898">
            <v>70408033</v>
          </cell>
          <cell r="B898" t="str">
            <v>아나콘다</v>
          </cell>
          <cell r="C898" t="str">
            <v>파충류</v>
          </cell>
          <cell r="D898">
            <v>7</v>
          </cell>
          <cell r="E898" t="str">
            <v>동물</v>
          </cell>
          <cell r="F898">
            <v>2</v>
          </cell>
          <cell r="G898" t="str">
            <v>A</v>
          </cell>
          <cell r="H898">
            <v>4</v>
          </cell>
        </row>
        <row r="899">
          <cell r="A899">
            <v>70408034</v>
          </cell>
          <cell r="B899" t="str">
            <v>아메리카들소</v>
          </cell>
          <cell r="C899" t="str">
            <v>포유류</v>
          </cell>
          <cell r="D899">
            <v>5</v>
          </cell>
          <cell r="E899" t="str">
            <v>동물</v>
          </cell>
          <cell r="F899">
            <v>2</v>
          </cell>
          <cell r="G899" t="str">
            <v>D</v>
          </cell>
          <cell r="H899">
            <v>1</v>
          </cell>
          <cell r="AW899" t="str">
            <v/>
          </cell>
          <cell r="BA899" t="str">
            <v>-</v>
          </cell>
        </row>
        <row r="900">
          <cell r="A900">
            <v>70408035</v>
          </cell>
          <cell r="B900" t="str">
            <v>아메리카흑곰</v>
          </cell>
          <cell r="C900" t="str">
            <v>포유류</v>
          </cell>
          <cell r="D900">
            <v>5</v>
          </cell>
          <cell r="E900" t="str">
            <v>동물</v>
          </cell>
          <cell r="F900">
            <v>2</v>
          </cell>
          <cell r="G900" t="str">
            <v>A</v>
          </cell>
          <cell r="H900">
            <v>4</v>
          </cell>
        </row>
        <row r="901">
          <cell r="A901">
            <v>70408036</v>
          </cell>
          <cell r="B901" t="str">
            <v>아무르표범</v>
          </cell>
          <cell r="C901" t="str">
            <v>포유류</v>
          </cell>
          <cell r="D901">
            <v>5</v>
          </cell>
          <cell r="E901" t="str">
            <v>동물</v>
          </cell>
          <cell r="F901">
            <v>2</v>
          </cell>
          <cell r="G901" t="str">
            <v>A</v>
          </cell>
          <cell r="H901">
            <v>4</v>
          </cell>
        </row>
        <row r="902">
          <cell r="A902">
            <v>70408037</v>
          </cell>
          <cell r="B902" t="str">
            <v>아무르호랑이</v>
          </cell>
          <cell r="C902" t="str">
            <v>포유류</v>
          </cell>
          <cell r="D902">
            <v>5</v>
          </cell>
          <cell r="E902" t="str">
            <v>동물</v>
          </cell>
          <cell r="F902">
            <v>2</v>
          </cell>
          <cell r="G902" t="str">
            <v>A</v>
          </cell>
          <cell r="H902">
            <v>4</v>
          </cell>
        </row>
        <row r="903">
          <cell r="A903">
            <v>70408038</v>
          </cell>
          <cell r="B903" t="str">
            <v>아프리카들소</v>
          </cell>
          <cell r="C903" t="str">
            <v>포유류</v>
          </cell>
          <cell r="D903">
            <v>5</v>
          </cell>
          <cell r="E903" t="str">
            <v>동물</v>
          </cell>
          <cell r="F903">
            <v>2</v>
          </cell>
          <cell r="G903" t="str">
            <v>C</v>
          </cell>
          <cell r="H903">
            <v>2</v>
          </cell>
        </row>
        <row r="904">
          <cell r="A904">
            <v>70408039</v>
          </cell>
          <cell r="B904" t="str">
            <v>아프리카코끼리</v>
          </cell>
          <cell r="C904" t="str">
            <v>포유류</v>
          </cell>
          <cell r="D904">
            <v>5</v>
          </cell>
          <cell r="E904" t="str">
            <v>동물</v>
          </cell>
          <cell r="F904">
            <v>2</v>
          </cell>
          <cell r="G904" t="str">
            <v>S</v>
          </cell>
          <cell r="H904">
            <v>5</v>
          </cell>
        </row>
        <row r="905">
          <cell r="A905">
            <v>70408040</v>
          </cell>
          <cell r="B905" t="str">
            <v>안경곰</v>
          </cell>
          <cell r="C905" t="str">
            <v>포유류</v>
          </cell>
          <cell r="D905">
            <v>5</v>
          </cell>
          <cell r="E905" t="str">
            <v>동물</v>
          </cell>
          <cell r="F905">
            <v>2</v>
          </cell>
          <cell r="G905" t="str">
            <v>D</v>
          </cell>
          <cell r="H905">
            <v>1</v>
          </cell>
          <cell r="AW905" t="str">
            <v/>
          </cell>
          <cell r="BA905" t="str">
            <v>-</v>
          </cell>
        </row>
        <row r="906">
          <cell r="A906">
            <v>70408041</v>
          </cell>
          <cell r="B906" t="str">
            <v>안경카이만</v>
          </cell>
          <cell r="C906" t="str">
            <v>파충류</v>
          </cell>
          <cell r="D906">
            <v>7</v>
          </cell>
          <cell r="E906" t="str">
            <v>동물</v>
          </cell>
          <cell r="F906">
            <v>2</v>
          </cell>
          <cell r="G906" t="str">
            <v>C</v>
          </cell>
          <cell r="H906">
            <v>2</v>
          </cell>
        </row>
        <row r="907">
          <cell r="A907">
            <v>70408042</v>
          </cell>
          <cell r="B907" t="str">
            <v>양쯔강악어</v>
          </cell>
          <cell r="C907" t="str">
            <v>파충류</v>
          </cell>
          <cell r="D907">
            <v>7</v>
          </cell>
          <cell r="E907" t="str">
            <v>동물</v>
          </cell>
          <cell r="F907">
            <v>2</v>
          </cell>
          <cell r="G907" t="str">
            <v>B</v>
          </cell>
          <cell r="H907">
            <v>3</v>
          </cell>
        </row>
        <row r="908">
          <cell r="A908">
            <v>70408043</v>
          </cell>
          <cell r="B908" t="str">
            <v>오랑우탄</v>
          </cell>
          <cell r="C908" t="str">
            <v>포유류</v>
          </cell>
          <cell r="D908">
            <v>5</v>
          </cell>
          <cell r="E908" t="str">
            <v>동물</v>
          </cell>
          <cell r="F908">
            <v>2</v>
          </cell>
          <cell r="G908" t="str">
            <v>B</v>
          </cell>
          <cell r="H908">
            <v>3</v>
          </cell>
        </row>
        <row r="909">
          <cell r="A909">
            <v>70408044</v>
          </cell>
          <cell r="B909" t="str">
            <v>오록스</v>
          </cell>
          <cell r="C909" t="str">
            <v>포유류</v>
          </cell>
          <cell r="D909">
            <v>5</v>
          </cell>
          <cell r="E909" t="str">
            <v>동물</v>
          </cell>
          <cell r="F909">
            <v>2</v>
          </cell>
          <cell r="G909" t="str">
            <v>C</v>
          </cell>
          <cell r="H909">
            <v>2</v>
          </cell>
        </row>
        <row r="910">
          <cell r="A910">
            <v>70408045</v>
          </cell>
          <cell r="B910" t="str">
            <v>왕도마뱀</v>
          </cell>
          <cell r="C910" t="str">
            <v>파충류</v>
          </cell>
          <cell r="D910">
            <v>7</v>
          </cell>
          <cell r="E910" t="str">
            <v>동물</v>
          </cell>
          <cell r="F910">
            <v>2</v>
          </cell>
          <cell r="G910" t="str">
            <v>D</v>
          </cell>
          <cell r="H910">
            <v>1</v>
          </cell>
          <cell r="AW910" t="str">
            <v/>
          </cell>
          <cell r="BA910" t="str">
            <v>-</v>
          </cell>
        </row>
        <row r="911">
          <cell r="A911">
            <v>70408046</v>
          </cell>
          <cell r="B911" t="str">
            <v>유럽 들소</v>
          </cell>
          <cell r="C911" t="str">
            <v>포유류</v>
          </cell>
          <cell r="D911">
            <v>5</v>
          </cell>
          <cell r="E911" t="str">
            <v>동물</v>
          </cell>
          <cell r="F911">
            <v>2</v>
          </cell>
          <cell r="G911" t="str">
            <v>D</v>
          </cell>
          <cell r="H911">
            <v>1</v>
          </cell>
        </row>
        <row r="912">
          <cell r="A912">
            <v>70408047</v>
          </cell>
          <cell r="B912" t="str">
            <v>인도가비알</v>
          </cell>
          <cell r="C912" t="str">
            <v>파충류</v>
          </cell>
          <cell r="D912">
            <v>7</v>
          </cell>
          <cell r="E912" t="str">
            <v>동물</v>
          </cell>
          <cell r="F912">
            <v>2</v>
          </cell>
          <cell r="G912" t="str">
            <v>D</v>
          </cell>
          <cell r="H912">
            <v>1</v>
          </cell>
          <cell r="AW912" t="str">
            <v/>
          </cell>
          <cell r="BA912" t="str">
            <v>-</v>
          </cell>
        </row>
        <row r="913">
          <cell r="A913">
            <v>70408048</v>
          </cell>
          <cell r="B913" t="str">
            <v>인도코끼리</v>
          </cell>
          <cell r="C913" t="str">
            <v>포유류</v>
          </cell>
          <cell r="D913">
            <v>5</v>
          </cell>
          <cell r="E913" t="str">
            <v>동물</v>
          </cell>
          <cell r="F913">
            <v>2</v>
          </cell>
          <cell r="G913" t="str">
            <v>A</v>
          </cell>
          <cell r="H913">
            <v>4</v>
          </cell>
        </row>
        <row r="914">
          <cell r="A914">
            <v>70408049</v>
          </cell>
          <cell r="B914" t="str">
            <v>치타</v>
          </cell>
          <cell r="C914" t="str">
            <v>포유류</v>
          </cell>
          <cell r="D914">
            <v>5</v>
          </cell>
          <cell r="E914" t="str">
            <v>동물</v>
          </cell>
          <cell r="F914">
            <v>2</v>
          </cell>
          <cell r="G914" t="str">
            <v>B</v>
          </cell>
          <cell r="H914">
            <v>3</v>
          </cell>
        </row>
        <row r="915">
          <cell r="A915">
            <v>70408050</v>
          </cell>
          <cell r="B915" t="str">
            <v>코모도왕도마뱀</v>
          </cell>
          <cell r="C915" t="str">
            <v>파충류</v>
          </cell>
          <cell r="D915">
            <v>7</v>
          </cell>
          <cell r="E915" t="str">
            <v>동물</v>
          </cell>
          <cell r="F915">
            <v>2</v>
          </cell>
          <cell r="G915" t="str">
            <v>A</v>
          </cell>
          <cell r="H915">
            <v>4</v>
          </cell>
        </row>
        <row r="916">
          <cell r="A916">
            <v>70408051</v>
          </cell>
          <cell r="B916" t="str">
            <v>코뿔소</v>
          </cell>
          <cell r="C916" t="str">
            <v>포유류</v>
          </cell>
          <cell r="D916">
            <v>5</v>
          </cell>
          <cell r="E916" t="str">
            <v>동물</v>
          </cell>
          <cell r="F916">
            <v>2</v>
          </cell>
          <cell r="G916" t="str">
            <v>B</v>
          </cell>
          <cell r="H916">
            <v>3</v>
          </cell>
        </row>
        <row r="917">
          <cell r="A917">
            <v>70408052</v>
          </cell>
          <cell r="B917" t="str">
            <v>콰가</v>
          </cell>
          <cell r="C917" t="str">
            <v>포유류</v>
          </cell>
          <cell r="D917">
            <v>5</v>
          </cell>
          <cell r="E917" t="str">
            <v>동물</v>
          </cell>
          <cell r="F917">
            <v>2</v>
          </cell>
          <cell r="G917" t="str">
            <v>B</v>
          </cell>
          <cell r="H917">
            <v>3</v>
          </cell>
        </row>
        <row r="918">
          <cell r="A918">
            <v>70408053</v>
          </cell>
          <cell r="B918" t="str">
            <v>큰개미핥기</v>
          </cell>
          <cell r="C918" t="str">
            <v>포유류</v>
          </cell>
          <cell r="D918">
            <v>5</v>
          </cell>
          <cell r="E918" t="str">
            <v>동물</v>
          </cell>
          <cell r="F918">
            <v>2</v>
          </cell>
          <cell r="G918" t="str">
            <v>B</v>
          </cell>
          <cell r="H918">
            <v>3</v>
          </cell>
        </row>
        <row r="919">
          <cell r="A919">
            <v>70408054</v>
          </cell>
          <cell r="B919" t="str">
            <v>큰뿔야생양</v>
          </cell>
          <cell r="C919" t="str">
            <v>포유류</v>
          </cell>
          <cell r="D919">
            <v>5</v>
          </cell>
          <cell r="E919" t="str">
            <v>동물</v>
          </cell>
          <cell r="F919">
            <v>2</v>
          </cell>
          <cell r="G919" t="str">
            <v>B</v>
          </cell>
          <cell r="H919">
            <v>3</v>
          </cell>
          <cell r="AW919" t="str">
            <v/>
          </cell>
          <cell r="BA919" t="str">
            <v>-</v>
          </cell>
        </row>
        <row r="920">
          <cell r="A920">
            <v>70408055</v>
          </cell>
          <cell r="B920" t="str">
            <v>킹코브라</v>
          </cell>
          <cell r="C920" t="str">
            <v>파충류</v>
          </cell>
          <cell r="D920">
            <v>7</v>
          </cell>
          <cell r="E920" t="str">
            <v>동물</v>
          </cell>
          <cell r="F920">
            <v>2</v>
          </cell>
          <cell r="G920" t="str">
            <v>C</v>
          </cell>
          <cell r="H920">
            <v>2</v>
          </cell>
        </row>
        <row r="921">
          <cell r="A921">
            <v>70408056</v>
          </cell>
          <cell r="B921" t="str">
            <v>타이판</v>
          </cell>
          <cell r="C921" t="str">
            <v>파충류</v>
          </cell>
          <cell r="D921">
            <v>7</v>
          </cell>
          <cell r="E921" t="str">
            <v>동물</v>
          </cell>
          <cell r="F921">
            <v>2</v>
          </cell>
          <cell r="G921" t="str">
            <v>B</v>
          </cell>
          <cell r="H921">
            <v>3</v>
          </cell>
        </row>
        <row r="922">
          <cell r="A922">
            <v>70408057</v>
          </cell>
          <cell r="B922" t="str">
            <v>타킨</v>
          </cell>
          <cell r="C922" t="str">
            <v>포유류</v>
          </cell>
          <cell r="D922">
            <v>5</v>
          </cell>
          <cell r="E922" t="str">
            <v>동물</v>
          </cell>
          <cell r="F922">
            <v>2</v>
          </cell>
          <cell r="G922" t="str">
            <v>C</v>
          </cell>
          <cell r="H922">
            <v>2</v>
          </cell>
        </row>
        <row r="923">
          <cell r="A923">
            <v>70408058</v>
          </cell>
          <cell r="B923" t="str">
            <v>페르시아 표범</v>
          </cell>
          <cell r="C923" t="str">
            <v>포유류</v>
          </cell>
          <cell r="D923">
            <v>5</v>
          </cell>
          <cell r="E923" t="str">
            <v>동물</v>
          </cell>
          <cell r="F923">
            <v>2</v>
          </cell>
          <cell r="G923" t="str">
            <v>A</v>
          </cell>
          <cell r="H923">
            <v>4</v>
          </cell>
        </row>
        <row r="924">
          <cell r="A924">
            <v>70408059</v>
          </cell>
          <cell r="B924" t="str">
            <v>퓨마</v>
          </cell>
          <cell r="C924" t="str">
            <v>포유류</v>
          </cell>
          <cell r="D924">
            <v>5</v>
          </cell>
          <cell r="E924" t="str">
            <v>동물</v>
          </cell>
          <cell r="F924">
            <v>2</v>
          </cell>
          <cell r="G924" t="str">
            <v>A</v>
          </cell>
          <cell r="H924">
            <v>4</v>
          </cell>
        </row>
        <row r="925">
          <cell r="A925">
            <v>70408060</v>
          </cell>
          <cell r="B925" t="str">
            <v>하마</v>
          </cell>
          <cell r="C925" t="str">
            <v>포유류</v>
          </cell>
          <cell r="D925">
            <v>5</v>
          </cell>
          <cell r="E925" t="str">
            <v>동물</v>
          </cell>
          <cell r="F925">
            <v>2</v>
          </cell>
          <cell r="G925" t="str">
            <v>B</v>
          </cell>
          <cell r="H925">
            <v>3</v>
          </cell>
        </row>
        <row r="926">
          <cell r="A926">
            <v>70408061</v>
          </cell>
          <cell r="B926" t="str">
            <v>호랑이뱀</v>
          </cell>
          <cell r="C926" t="str">
            <v>파충류</v>
          </cell>
          <cell r="D926">
            <v>7</v>
          </cell>
          <cell r="E926" t="str">
            <v>동물</v>
          </cell>
          <cell r="F926">
            <v>2</v>
          </cell>
          <cell r="G926" t="str">
            <v>D</v>
          </cell>
          <cell r="H926">
            <v>1</v>
          </cell>
          <cell r="AW926" t="str">
            <v/>
          </cell>
          <cell r="BA926" t="str">
            <v>-</v>
          </cell>
        </row>
        <row r="927">
          <cell r="A927">
            <v>70408062</v>
          </cell>
          <cell r="B927" t="str">
            <v>회색곰</v>
          </cell>
          <cell r="C927" t="str">
            <v>포유류</v>
          </cell>
          <cell r="D927">
            <v>5</v>
          </cell>
          <cell r="E927" t="str">
            <v>동물</v>
          </cell>
          <cell r="F927">
            <v>2</v>
          </cell>
          <cell r="G927" t="str">
            <v>A</v>
          </cell>
          <cell r="H927">
            <v>4</v>
          </cell>
        </row>
        <row r="928">
          <cell r="A928">
            <v>70408063</v>
          </cell>
          <cell r="B928" t="str">
            <v>흑표범</v>
          </cell>
          <cell r="C928" t="str">
            <v>포유류</v>
          </cell>
          <cell r="D928">
            <v>5</v>
          </cell>
          <cell r="E928" t="str">
            <v>동물</v>
          </cell>
          <cell r="F928">
            <v>2</v>
          </cell>
          <cell r="G928" t="str">
            <v>S</v>
          </cell>
          <cell r="H928">
            <v>5</v>
          </cell>
        </row>
        <row r="929">
          <cell r="A929">
            <v>70409000</v>
          </cell>
          <cell r="B929" t="str">
            <v>가라지</v>
          </cell>
          <cell r="C929" t="str">
            <v>어류</v>
          </cell>
          <cell r="D929">
            <v>8</v>
          </cell>
          <cell r="E929" t="str">
            <v>동물</v>
          </cell>
          <cell r="F929">
            <v>2</v>
          </cell>
          <cell r="G929" t="str">
            <v>B</v>
          </cell>
          <cell r="H929">
            <v>3</v>
          </cell>
        </row>
        <row r="930">
          <cell r="A930">
            <v>70409001</v>
          </cell>
          <cell r="B930" t="str">
            <v>가물치</v>
          </cell>
          <cell r="C930" t="str">
            <v>어류</v>
          </cell>
          <cell r="D930">
            <v>8</v>
          </cell>
          <cell r="E930" t="str">
            <v>동물</v>
          </cell>
          <cell r="F930">
            <v>2</v>
          </cell>
          <cell r="G930" t="str">
            <v>B</v>
          </cell>
          <cell r="H930">
            <v>3</v>
          </cell>
        </row>
        <row r="931">
          <cell r="A931">
            <v>70409002</v>
          </cell>
          <cell r="B931" t="str">
            <v>가숭어</v>
          </cell>
          <cell r="C931" t="str">
            <v>어류</v>
          </cell>
          <cell r="D931">
            <v>8</v>
          </cell>
          <cell r="E931" t="str">
            <v>동물</v>
          </cell>
          <cell r="F931">
            <v>2</v>
          </cell>
          <cell r="G931" t="str">
            <v>B</v>
          </cell>
          <cell r="H931">
            <v>3</v>
          </cell>
        </row>
        <row r="932">
          <cell r="A932">
            <v>70409003</v>
          </cell>
          <cell r="B932" t="str">
            <v>가시나비고기</v>
          </cell>
          <cell r="C932" t="str">
            <v>어류</v>
          </cell>
          <cell r="D932">
            <v>8</v>
          </cell>
          <cell r="E932" t="str">
            <v>동물</v>
          </cell>
          <cell r="F932">
            <v>2</v>
          </cell>
          <cell r="G932" t="str">
            <v>A</v>
          </cell>
          <cell r="H932">
            <v>4</v>
          </cell>
        </row>
        <row r="933">
          <cell r="A933">
            <v>70409004</v>
          </cell>
          <cell r="B933" t="str">
            <v>가시복</v>
          </cell>
          <cell r="C933" t="str">
            <v>어류</v>
          </cell>
          <cell r="D933">
            <v>8</v>
          </cell>
          <cell r="E933" t="str">
            <v>동물</v>
          </cell>
          <cell r="F933">
            <v>2</v>
          </cell>
          <cell r="G933" t="str">
            <v>B</v>
          </cell>
          <cell r="H933">
            <v>3</v>
          </cell>
        </row>
        <row r="934">
          <cell r="A934">
            <v>70409005</v>
          </cell>
          <cell r="B934" t="str">
            <v>가시쥐치</v>
          </cell>
          <cell r="C934" t="str">
            <v>어류</v>
          </cell>
          <cell r="D934">
            <v>8</v>
          </cell>
          <cell r="E934" t="str">
            <v>동물</v>
          </cell>
          <cell r="F934">
            <v>2</v>
          </cell>
          <cell r="G934" t="str">
            <v>B</v>
          </cell>
          <cell r="H934">
            <v>3</v>
          </cell>
        </row>
        <row r="935">
          <cell r="A935">
            <v>70409006</v>
          </cell>
          <cell r="B935" t="str">
            <v>가시해마</v>
          </cell>
          <cell r="C935" t="str">
            <v>어류</v>
          </cell>
          <cell r="D935">
            <v>8</v>
          </cell>
          <cell r="E935" t="str">
            <v>동물</v>
          </cell>
          <cell r="F935">
            <v>2</v>
          </cell>
          <cell r="G935" t="str">
            <v>C</v>
          </cell>
          <cell r="H935">
            <v>2</v>
          </cell>
        </row>
        <row r="936">
          <cell r="A936">
            <v>70409007</v>
          </cell>
          <cell r="B936" t="str">
            <v>각시가자미</v>
          </cell>
          <cell r="C936" t="str">
            <v>어류</v>
          </cell>
          <cell r="D936">
            <v>8</v>
          </cell>
          <cell r="E936" t="str">
            <v>동물</v>
          </cell>
          <cell r="F936">
            <v>2</v>
          </cell>
          <cell r="G936" t="str">
            <v>D</v>
          </cell>
          <cell r="H936">
            <v>1</v>
          </cell>
          <cell r="AW936" t="str">
            <v/>
          </cell>
          <cell r="BA936" t="str">
            <v>-</v>
          </cell>
        </row>
        <row r="937">
          <cell r="A937">
            <v>70409008</v>
          </cell>
          <cell r="B937" t="str">
            <v>각시돔</v>
          </cell>
          <cell r="C937" t="str">
            <v>어류</v>
          </cell>
          <cell r="D937">
            <v>8</v>
          </cell>
          <cell r="E937" t="str">
            <v>동물</v>
          </cell>
          <cell r="F937">
            <v>2</v>
          </cell>
          <cell r="G937" t="str">
            <v>C</v>
          </cell>
          <cell r="H937">
            <v>2</v>
          </cell>
        </row>
        <row r="938">
          <cell r="A938">
            <v>70409009</v>
          </cell>
          <cell r="B938" t="str">
            <v>갈고등어</v>
          </cell>
          <cell r="C938" t="str">
            <v>어류</v>
          </cell>
          <cell r="D938">
            <v>8</v>
          </cell>
          <cell r="E938" t="str">
            <v>동물</v>
          </cell>
          <cell r="F938">
            <v>2</v>
          </cell>
          <cell r="G938" t="str">
            <v>A</v>
          </cell>
          <cell r="H938">
            <v>4</v>
          </cell>
        </row>
        <row r="939">
          <cell r="A939">
            <v>70409010</v>
          </cell>
          <cell r="B939" t="str">
            <v>갈돔</v>
          </cell>
          <cell r="C939" t="str">
            <v>어류</v>
          </cell>
          <cell r="D939">
            <v>8</v>
          </cell>
          <cell r="E939" t="str">
            <v>동물</v>
          </cell>
          <cell r="F939">
            <v>2</v>
          </cell>
          <cell r="G939" t="str">
            <v>S</v>
          </cell>
          <cell r="H939">
            <v>5</v>
          </cell>
        </row>
        <row r="940">
          <cell r="A940">
            <v>70409011</v>
          </cell>
          <cell r="B940" t="str">
            <v>갈전갱이</v>
          </cell>
          <cell r="C940" t="str">
            <v>어류</v>
          </cell>
          <cell r="D940">
            <v>8</v>
          </cell>
          <cell r="E940" t="str">
            <v>동물</v>
          </cell>
          <cell r="F940">
            <v>2</v>
          </cell>
          <cell r="G940" t="str">
            <v>C</v>
          </cell>
          <cell r="H940">
            <v>2</v>
          </cell>
        </row>
        <row r="941">
          <cell r="A941">
            <v>70409012</v>
          </cell>
          <cell r="B941" t="str">
            <v>갈창갯장어</v>
          </cell>
          <cell r="C941" t="str">
            <v>어류</v>
          </cell>
          <cell r="D941">
            <v>8</v>
          </cell>
          <cell r="E941" t="str">
            <v>동물</v>
          </cell>
          <cell r="F941">
            <v>2</v>
          </cell>
          <cell r="G941" t="str">
            <v>A</v>
          </cell>
          <cell r="H941">
            <v>4</v>
          </cell>
        </row>
        <row r="942">
          <cell r="A942">
            <v>70409013</v>
          </cell>
          <cell r="B942" t="str">
            <v>갈치</v>
          </cell>
          <cell r="C942" t="str">
            <v>어류</v>
          </cell>
          <cell r="D942">
            <v>8</v>
          </cell>
          <cell r="E942" t="str">
            <v>동물</v>
          </cell>
          <cell r="F942">
            <v>2</v>
          </cell>
          <cell r="G942" t="str">
            <v>A</v>
          </cell>
          <cell r="H942">
            <v>4</v>
          </cell>
        </row>
        <row r="943">
          <cell r="A943">
            <v>70409014</v>
          </cell>
          <cell r="B943" t="str">
            <v>감성돔</v>
          </cell>
          <cell r="C943" t="str">
            <v>어류</v>
          </cell>
          <cell r="D943">
            <v>8</v>
          </cell>
          <cell r="E943" t="str">
            <v>동물</v>
          </cell>
          <cell r="F943">
            <v>2</v>
          </cell>
          <cell r="G943" t="str">
            <v>S</v>
          </cell>
          <cell r="H943">
            <v>5</v>
          </cell>
        </row>
        <row r="944">
          <cell r="A944">
            <v>70409015</v>
          </cell>
          <cell r="B944" t="str">
            <v>갑오징어</v>
          </cell>
          <cell r="C944" t="str">
            <v>무척추동물</v>
          </cell>
          <cell r="D944">
            <v>9</v>
          </cell>
          <cell r="E944" t="str">
            <v>동물</v>
          </cell>
          <cell r="F944">
            <v>2</v>
          </cell>
          <cell r="G944" t="str">
            <v>A</v>
          </cell>
          <cell r="H944">
            <v>4</v>
          </cell>
        </row>
        <row r="945">
          <cell r="A945">
            <v>70409016</v>
          </cell>
          <cell r="B945" t="str">
            <v>갑옷메기</v>
          </cell>
          <cell r="C945" t="str">
            <v>어류</v>
          </cell>
          <cell r="D945">
            <v>8</v>
          </cell>
          <cell r="E945" t="str">
            <v>동물</v>
          </cell>
          <cell r="F945">
            <v>2</v>
          </cell>
          <cell r="G945" t="str">
            <v>C</v>
          </cell>
          <cell r="H945">
            <v>2</v>
          </cell>
        </row>
        <row r="946">
          <cell r="A946">
            <v>70409017</v>
          </cell>
          <cell r="B946" t="str">
            <v>강남상어</v>
          </cell>
          <cell r="C946" t="str">
            <v>어류</v>
          </cell>
          <cell r="D946">
            <v>8</v>
          </cell>
          <cell r="E946" t="str">
            <v>동물</v>
          </cell>
          <cell r="F946">
            <v>2</v>
          </cell>
          <cell r="G946" t="str">
            <v>S</v>
          </cell>
          <cell r="H946">
            <v>5</v>
          </cell>
        </row>
        <row r="947">
          <cell r="A947">
            <v>70409018</v>
          </cell>
          <cell r="B947" t="str">
            <v>강도다리</v>
          </cell>
          <cell r="C947" t="str">
            <v>어류</v>
          </cell>
          <cell r="D947">
            <v>8</v>
          </cell>
          <cell r="E947" t="str">
            <v>동물</v>
          </cell>
          <cell r="F947">
            <v>2</v>
          </cell>
          <cell r="G947" t="str">
            <v>A</v>
          </cell>
          <cell r="H947">
            <v>4</v>
          </cell>
        </row>
        <row r="948">
          <cell r="A948">
            <v>70409019</v>
          </cell>
          <cell r="B948" t="str">
            <v>개복치</v>
          </cell>
          <cell r="C948" t="str">
            <v>어류</v>
          </cell>
          <cell r="D948">
            <v>8</v>
          </cell>
          <cell r="E948" t="str">
            <v>동물</v>
          </cell>
          <cell r="F948">
            <v>2</v>
          </cell>
          <cell r="G948" t="str">
            <v>S</v>
          </cell>
          <cell r="H948">
            <v>5</v>
          </cell>
        </row>
        <row r="949">
          <cell r="A949">
            <v>70409020</v>
          </cell>
          <cell r="B949" t="str">
            <v>개상어</v>
          </cell>
          <cell r="C949" t="str">
            <v>어류</v>
          </cell>
          <cell r="D949">
            <v>8</v>
          </cell>
          <cell r="E949" t="str">
            <v>동물</v>
          </cell>
          <cell r="F949">
            <v>2</v>
          </cell>
          <cell r="G949" t="str">
            <v>S</v>
          </cell>
          <cell r="H949">
            <v>5</v>
          </cell>
        </row>
        <row r="950">
          <cell r="A950">
            <v>70409021</v>
          </cell>
          <cell r="B950" t="str">
            <v>객주리</v>
          </cell>
          <cell r="C950" t="str">
            <v>어류</v>
          </cell>
          <cell r="D950">
            <v>8</v>
          </cell>
          <cell r="E950" t="str">
            <v>동물</v>
          </cell>
          <cell r="F950">
            <v>2</v>
          </cell>
          <cell r="G950" t="str">
            <v>B</v>
          </cell>
          <cell r="H950">
            <v>3</v>
          </cell>
        </row>
        <row r="951">
          <cell r="A951">
            <v>70409022</v>
          </cell>
          <cell r="B951" t="str">
            <v>갯농어</v>
          </cell>
          <cell r="C951" t="str">
            <v>어류</v>
          </cell>
          <cell r="D951">
            <v>8</v>
          </cell>
          <cell r="E951" t="str">
            <v>동물</v>
          </cell>
          <cell r="F951">
            <v>2</v>
          </cell>
          <cell r="G951" t="str">
            <v>B</v>
          </cell>
          <cell r="H951">
            <v>3</v>
          </cell>
        </row>
        <row r="952">
          <cell r="A952">
            <v>70409023</v>
          </cell>
          <cell r="B952" t="str">
            <v>갯장어</v>
          </cell>
          <cell r="C952" t="str">
            <v>어류</v>
          </cell>
          <cell r="D952">
            <v>8</v>
          </cell>
          <cell r="E952" t="str">
            <v>동물</v>
          </cell>
          <cell r="F952">
            <v>2</v>
          </cell>
          <cell r="G952" t="str">
            <v>B</v>
          </cell>
          <cell r="H952">
            <v>3</v>
          </cell>
        </row>
        <row r="953">
          <cell r="A953">
            <v>70409024</v>
          </cell>
          <cell r="B953" t="str">
            <v>거북복</v>
          </cell>
          <cell r="C953" t="str">
            <v>어류</v>
          </cell>
          <cell r="D953">
            <v>8</v>
          </cell>
          <cell r="E953" t="str">
            <v>동물</v>
          </cell>
          <cell r="F953">
            <v>2</v>
          </cell>
          <cell r="G953" t="str">
            <v>B</v>
          </cell>
          <cell r="H953">
            <v>3</v>
          </cell>
        </row>
        <row r="954">
          <cell r="A954">
            <v>70409025</v>
          </cell>
          <cell r="B954" t="str">
            <v>검은꼬리상어</v>
          </cell>
          <cell r="C954" t="str">
            <v>어류</v>
          </cell>
          <cell r="D954">
            <v>8</v>
          </cell>
          <cell r="E954" t="str">
            <v>동물</v>
          </cell>
          <cell r="F954">
            <v>2</v>
          </cell>
          <cell r="G954" t="str">
            <v>S</v>
          </cell>
          <cell r="H954">
            <v>5</v>
          </cell>
        </row>
        <row r="955">
          <cell r="A955">
            <v>70409026</v>
          </cell>
          <cell r="B955" t="str">
            <v>검은점곰치</v>
          </cell>
          <cell r="C955" t="str">
            <v>어류</v>
          </cell>
          <cell r="D955">
            <v>8</v>
          </cell>
          <cell r="E955" t="str">
            <v>동물</v>
          </cell>
          <cell r="F955">
            <v>2</v>
          </cell>
          <cell r="G955" t="str">
            <v>B</v>
          </cell>
          <cell r="H955">
            <v>3</v>
          </cell>
        </row>
        <row r="956">
          <cell r="A956">
            <v>70409027</v>
          </cell>
          <cell r="B956" t="str">
            <v>검은줄꼬리돔</v>
          </cell>
          <cell r="C956" t="str">
            <v>어류</v>
          </cell>
          <cell r="D956">
            <v>8</v>
          </cell>
          <cell r="E956" t="str">
            <v>동물</v>
          </cell>
          <cell r="F956">
            <v>2</v>
          </cell>
          <cell r="G956" t="str">
            <v>A</v>
          </cell>
          <cell r="H956">
            <v>4</v>
          </cell>
        </row>
        <row r="957">
          <cell r="A957">
            <v>70409028</v>
          </cell>
          <cell r="B957" t="str">
            <v>게레치</v>
          </cell>
          <cell r="C957" t="str">
            <v>어류</v>
          </cell>
          <cell r="D957">
            <v>8</v>
          </cell>
          <cell r="E957" t="str">
            <v>동물</v>
          </cell>
          <cell r="F957">
            <v>2</v>
          </cell>
          <cell r="G957" t="str">
            <v>B</v>
          </cell>
          <cell r="H957">
            <v>3</v>
          </cell>
        </row>
        <row r="958">
          <cell r="A958">
            <v>70409029</v>
          </cell>
          <cell r="B958" t="str">
            <v>게르치</v>
          </cell>
          <cell r="C958" t="str">
            <v>어류</v>
          </cell>
          <cell r="D958">
            <v>8</v>
          </cell>
          <cell r="E958" t="str">
            <v>동물</v>
          </cell>
          <cell r="F958">
            <v>2</v>
          </cell>
          <cell r="G958" t="str">
            <v>C</v>
          </cell>
          <cell r="H958">
            <v>2</v>
          </cell>
        </row>
        <row r="959">
          <cell r="A959">
            <v>70409030</v>
          </cell>
          <cell r="B959" t="str">
            <v>고깔해파리</v>
          </cell>
          <cell r="C959" t="str">
            <v>무척추동물</v>
          </cell>
          <cell r="D959">
            <v>9</v>
          </cell>
          <cell r="E959" t="str">
            <v>동물</v>
          </cell>
          <cell r="F959">
            <v>2</v>
          </cell>
          <cell r="G959" t="str">
            <v>B</v>
          </cell>
          <cell r="H959">
            <v>3</v>
          </cell>
        </row>
        <row r="960">
          <cell r="A960">
            <v>70409031</v>
          </cell>
          <cell r="B960" t="str">
            <v>고등어</v>
          </cell>
          <cell r="C960" t="str">
            <v>어류</v>
          </cell>
          <cell r="D960">
            <v>8</v>
          </cell>
          <cell r="E960" t="str">
            <v>동물</v>
          </cell>
          <cell r="F960">
            <v>2</v>
          </cell>
          <cell r="G960" t="str">
            <v>C</v>
          </cell>
          <cell r="H960">
            <v>2</v>
          </cell>
        </row>
        <row r="961">
          <cell r="A961">
            <v>70409032</v>
          </cell>
          <cell r="B961" t="str">
            <v>고래상어</v>
          </cell>
          <cell r="C961" t="str">
            <v>어류</v>
          </cell>
          <cell r="D961">
            <v>8</v>
          </cell>
          <cell r="E961" t="str">
            <v>동물</v>
          </cell>
          <cell r="F961">
            <v>2</v>
          </cell>
          <cell r="G961" t="str">
            <v>S</v>
          </cell>
          <cell r="H961">
            <v>5</v>
          </cell>
        </row>
        <row r="962">
          <cell r="A962">
            <v>70409033</v>
          </cell>
          <cell r="B962" t="str">
            <v>고무꺽정이</v>
          </cell>
          <cell r="C962" t="str">
            <v>어류</v>
          </cell>
          <cell r="D962">
            <v>8</v>
          </cell>
          <cell r="E962" t="str">
            <v>동물</v>
          </cell>
          <cell r="F962">
            <v>2</v>
          </cell>
          <cell r="G962" t="str">
            <v>A</v>
          </cell>
          <cell r="H962">
            <v>4</v>
          </cell>
        </row>
        <row r="963">
          <cell r="A963">
            <v>70409034</v>
          </cell>
          <cell r="B963" t="str">
            <v>고베둥글넙치</v>
          </cell>
          <cell r="C963" t="str">
            <v>어류</v>
          </cell>
          <cell r="D963">
            <v>8</v>
          </cell>
          <cell r="E963" t="str">
            <v>동물</v>
          </cell>
          <cell r="F963">
            <v>2</v>
          </cell>
          <cell r="G963" t="str">
            <v>B</v>
          </cell>
          <cell r="H963">
            <v>3</v>
          </cell>
        </row>
        <row r="964">
          <cell r="A964">
            <v>70409035</v>
          </cell>
          <cell r="B964" t="str">
            <v>곰치</v>
          </cell>
          <cell r="C964" t="str">
            <v>어류</v>
          </cell>
          <cell r="D964">
            <v>8</v>
          </cell>
          <cell r="E964" t="str">
            <v>동물</v>
          </cell>
          <cell r="F964">
            <v>2</v>
          </cell>
          <cell r="G964" t="str">
            <v>B</v>
          </cell>
          <cell r="H964">
            <v>3</v>
          </cell>
        </row>
        <row r="965">
          <cell r="A965">
            <v>70409036</v>
          </cell>
          <cell r="B965" t="str">
            <v>곱상어</v>
          </cell>
          <cell r="C965" t="str">
            <v>어류</v>
          </cell>
          <cell r="D965">
            <v>8</v>
          </cell>
          <cell r="E965" t="str">
            <v>동물</v>
          </cell>
          <cell r="F965">
            <v>2</v>
          </cell>
          <cell r="G965" t="str">
            <v>C</v>
          </cell>
          <cell r="H965">
            <v>2</v>
          </cell>
        </row>
        <row r="966">
          <cell r="A966">
            <v>70409037</v>
          </cell>
          <cell r="B966" t="str">
            <v>궁제기서대</v>
          </cell>
          <cell r="C966" t="str">
            <v>어류</v>
          </cell>
          <cell r="D966">
            <v>8</v>
          </cell>
          <cell r="E966" t="str">
            <v>동물</v>
          </cell>
          <cell r="F966">
            <v>2</v>
          </cell>
          <cell r="G966" t="str">
            <v>A</v>
          </cell>
          <cell r="H966">
            <v>4</v>
          </cell>
        </row>
        <row r="967">
          <cell r="A967">
            <v>70409038</v>
          </cell>
          <cell r="B967" t="str">
            <v>귀상어</v>
          </cell>
          <cell r="C967" t="str">
            <v>어류</v>
          </cell>
          <cell r="D967">
            <v>8</v>
          </cell>
          <cell r="E967" t="str">
            <v>동물</v>
          </cell>
          <cell r="F967">
            <v>2</v>
          </cell>
          <cell r="G967" t="str">
            <v>S</v>
          </cell>
          <cell r="H967">
            <v>5</v>
          </cell>
        </row>
        <row r="968">
          <cell r="A968">
            <v>70409039</v>
          </cell>
          <cell r="B968" t="str">
            <v>귀신고래</v>
          </cell>
          <cell r="C968" t="str">
            <v>포유류</v>
          </cell>
          <cell r="D968">
            <v>5</v>
          </cell>
          <cell r="E968" t="str">
            <v>동물</v>
          </cell>
          <cell r="F968">
            <v>2</v>
          </cell>
          <cell r="G968" t="str">
            <v>S</v>
          </cell>
          <cell r="H968">
            <v>5</v>
          </cell>
        </row>
        <row r="969">
          <cell r="A969">
            <v>70409040</v>
          </cell>
          <cell r="B969" t="str">
            <v>그린란드상어</v>
          </cell>
          <cell r="C969" t="str">
            <v>어류</v>
          </cell>
          <cell r="D969">
            <v>8</v>
          </cell>
          <cell r="E969" t="str">
            <v>동물</v>
          </cell>
          <cell r="F969">
            <v>2</v>
          </cell>
          <cell r="G969" t="str">
            <v>S</v>
          </cell>
          <cell r="H969">
            <v>5</v>
          </cell>
        </row>
        <row r="970">
          <cell r="A970">
            <v>70409041</v>
          </cell>
          <cell r="B970" t="str">
            <v>그물코쥐치</v>
          </cell>
          <cell r="C970" t="str">
            <v>어류</v>
          </cell>
          <cell r="D970">
            <v>8</v>
          </cell>
          <cell r="E970" t="str">
            <v>동물</v>
          </cell>
          <cell r="F970">
            <v>2</v>
          </cell>
          <cell r="G970" t="str">
            <v>B</v>
          </cell>
          <cell r="H970">
            <v>3</v>
          </cell>
        </row>
        <row r="971">
          <cell r="A971">
            <v>70409042</v>
          </cell>
          <cell r="B971" t="str">
            <v>금줄촉수</v>
          </cell>
          <cell r="C971" t="str">
            <v>어류</v>
          </cell>
          <cell r="D971">
            <v>8</v>
          </cell>
          <cell r="E971" t="str">
            <v>동물</v>
          </cell>
          <cell r="F971">
            <v>2</v>
          </cell>
          <cell r="G971" t="str">
            <v>A</v>
          </cell>
          <cell r="H971">
            <v>4</v>
          </cell>
        </row>
        <row r="972">
          <cell r="A972">
            <v>70409043</v>
          </cell>
          <cell r="B972" t="str">
            <v>긴가라지</v>
          </cell>
          <cell r="C972" t="str">
            <v>어류</v>
          </cell>
          <cell r="D972">
            <v>8</v>
          </cell>
          <cell r="E972" t="str">
            <v>동물</v>
          </cell>
          <cell r="F972">
            <v>2</v>
          </cell>
          <cell r="G972" t="str">
            <v>C</v>
          </cell>
          <cell r="H972">
            <v>2</v>
          </cell>
        </row>
        <row r="973">
          <cell r="A973">
            <v>70409044</v>
          </cell>
          <cell r="B973" t="str">
            <v>긴코줄고기</v>
          </cell>
          <cell r="C973" t="str">
            <v>어류</v>
          </cell>
          <cell r="D973">
            <v>8</v>
          </cell>
          <cell r="E973" t="str">
            <v>동물</v>
          </cell>
          <cell r="F973">
            <v>2</v>
          </cell>
          <cell r="G973" t="str">
            <v>B</v>
          </cell>
          <cell r="H973">
            <v>3</v>
          </cell>
        </row>
        <row r="974">
          <cell r="A974">
            <v>70409045</v>
          </cell>
          <cell r="B974" t="str">
            <v>깃비늘치</v>
          </cell>
          <cell r="C974" t="str">
            <v>어류</v>
          </cell>
          <cell r="D974">
            <v>8</v>
          </cell>
          <cell r="E974" t="str">
            <v>동물</v>
          </cell>
          <cell r="F974">
            <v>2</v>
          </cell>
          <cell r="G974" t="str">
            <v>A</v>
          </cell>
          <cell r="H974">
            <v>4</v>
          </cell>
        </row>
        <row r="975">
          <cell r="A975">
            <v>70409046</v>
          </cell>
          <cell r="B975" t="str">
            <v>까나리</v>
          </cell>
          <cell r="C975" t="str">
            <v>어류</v>
          </cell>
          <cell r="D975">
            <v>8</v>
          </cell>
          <cell r="E975" t="str">
            <v>동물</v>
          </cell>
          <cell r="F975">
            <v>2</v>
          </cell>
          <cell r="G975" t="str">
            <v>B</v>
          </cell>
          <cell r="H975">
            <v>3</v>
          </cell>
        </row>
        <row r="976">
          <cell r="A976">
            <v>70409047</v>
          </cell>
          <cell r="B976" t="str">
            <v>까지가자미</v>
          </cell>
          <cell r="C976" t="str">
            <v>어류</v>
          </cell>
          <cell r="D976">
            <v>8</v>
          </cell>
          <cell r="E976" t="str">
            <v>동물</v>
          </cell>
          <cell r="F976">
            <v>2</v>
          </cell>
          <cell r="G976" t="str">
            <v>B</v>
          </cell>
          <cell r="H976">
            <v>3</v>
          </cell>
        </row>
        <row r="977">
          <cell r="A977">
            <v>70409048</v>
          </cell>
          <cell r="B977" t="str">
            <v>까지양태</v>
          </cell>
          <cell r="C977" t="str">
            <v>어류</v>
          </cell>
          <cell r="D977">
            <v>8</v>
          </cell>
          <cell r="E977" t="str">
            <v>동물</v>
          </cell>
          <cell r="F977">
            <v>2</v>
          </cell>
          <cell r="G977" t="str">
            <v>B</v>
          </cell>
          <cell r="H977">
            <v>3</v>
          </cell>
        </row>
        <row r="978">
          <cell r="A978">
            <v>70409049</v>
          </cell>
          <cell r="B978" t="str">
            <v>까치돔</v>
          </cell>
          <cell r="C978" t="str">
            <v>어류</v>
          </cell>
          <cell r="D978">
            <v>8</v>
          </cell>
          <cell r="E978" t="str">
            <v>동물</v>
          </cell>
          <cell r="F978">
            <v>2</v>
          </cell>
          <cell r="G978" t="str">
            <v>B</v>
          </cell>
          <cell r="H978">
            <v>3</v>
          </cell>
        </row>
        <row r="979">
          <cell r="A979">
            <v>70409050</v>
          </cell>
          <cell r="B979" t="str">
            <v>까치상어</v>
          </cell>
          <cell r="C979" t="str">
            <v>어류</v>
          </cell>
          <cell r="D979">
            <v>8</v>
          </cell>
          <cell r="E979" t="str">
            <v>동물</v>
          </cell>
          <cell r="F979">
            <v>2</v>
          </cell>
          <cell r="G979" t="str">
            <v>B</v>
          </cell>
          <cell r="H979">
            <v>3</v>
          </cell>
        </row>
        <row r="980">
          <cell r="A980">
            <v>70409051</v>
          </cell>
          <cell r="B980" t="str">
            <v>까치횟대</v>
          </cell>
          <cell r="C980" t="str">
            <v>어류</v>
          </cell>
          <cell r="D980">
            <v>8</v>
          </cell>
          <cell r="E980" t="str">
            <v>동물</v>
          </cell>
          <cell r="F980">
            <v>2</v>
          </cell>
          <cell r="G980" t="str">
            <v>A</v>
          </cell>
          <cell r="H980">
            <v>4</v>
          </cell>
        </row>
        <row r="981">
          <cell r="A981">
            <v>70409052</v>
          </cell>
          <cell r="B981" t="str">
            <v>꺼끌복</v>
          </cell>
          <cell r="C981" t="str">
            <v>어류</v>
          </cell>
          <cell r="D981">
            <v>8</v>
          </cell>
          <cell r="E981" t="str">
            <v>동물</v>
          </cell>
          <cell r="F981">
            <v>2</v>
          </cell>
          <cell r="G981" t="str">
            <v>S</v>
          </cell>
          <cell r="H981">
            <v>5</v>
          </cell>
        </row>
        <row r="982">
          <cell r="A982">
            <v>70409053</v>
          </cell>
          <cell r="B982" t="str">
            <v>꼬리기름상어</v>
          </cell>
          <cell r="C982" t="str">
            <v>어류</v>
          </cell>
          <cell r="D982">
            <v>8</v>
          </cell>
          <cell r="E982" t="str">
            <v>동물</v>
          </cell>
          <cell r="F982">
            <v>2</v>
          </cell>
          <cell r="G982" t="str">
            <v>A</v>
          </cell>
          <cell r="H982">
            <v>4</v>
          </cell>
        </row>
        <row r="983">
          <cell r="A983">
            <v>70409054</v>
          </cell>
          <cell r="B983" t="str">
            <v>꼬치삼치</v>
          </cell>
          <cell r="C983" t="str">
            <v>어류</v>
          </cell>
          <cell r="D983">
            <v>8</v>
          </cell>
          <cell r="E983" t="str">
            <v>동물</v>
          </cell>
          <cell r="F983">
            <v>2</v>
          </cell>
          <cell r="G983" t="str">
            <v>S</v>
          </cell>
          <cell r="H983">
            <v>5</v>
          </cell>
        </row>
        <row r="984">
          <cell r="A984">
            <v>70409055</v>
          </cell>
          <cell r="B984" t="str">
            <v>꼭갈치</v>
          </cell>
          <cell r="C984" t="str">
            <v>어류</v>
          </cell>
          <cell r="D984">
            <v>8</v>
          </cell>
          <cell r="E984" t="str">
            <v>동물</v>
          </cell>
          <cell r="F984">
            <v>2</v>
          </cell>
          <cell r="G984" t="str">
            <v>S</v>
          </cell>
          <cell r="H984">
            <v>5</v>
          </cell>
        </row>
        <row r="985">
          <cell r="A985">
            <v>70409056</v>
          </cell>
          <cell r="B985" t="str">
            <v>꽁치</v>
          </cell>
          <cell r="C985" t="str">
            <v>어류</v>
          </cell>
          <cell r="D985">
            <v>8</v>
          </cell>
          <cell r="E985" t="str">
            <v>동물</v>
          </cell>
          <cell r="F985">
            <v>2</v>
          </cell>
          <cell r="G985" t="str">
            <v>B</v>
          </cell>
          <cell r="H985">
            <v>3</v>
          </cell>
        </row>
        <row r="986">
          <cell r="A986">
            <v>70409057</v>
          </cell>
          <cell r="B986" t="str">
            <v>꽁치아재비</v>
          </cell>
          <cell r="C986" t="str">
            <v>어류</v>
          </cell>
          <cell r="D986">
            <v>8</v>
          </cell>
          <cell r="E986" t="str">
            <v>동물</v>
          </cell>
          <cell r="F986">
            <v>2</v>
          </cell>
          <cell r="G986" t="str">
            <v>B</v>
          </cell>
          <cell r="H986">
            <v>3</v>
          </cell>
        </row>
        <row r="987">
          <cell r="A987">
            <v>70409058</v>
          </cell>
          <cell r="B987" t="str">
            <v>꽃동멸</v>
          </cell>
          <cell r="C987" t="str">
            <v>어류</v>
          </cell>
          <cell r="D987">
            <v>8</v>
          </cell>
          <cell r="E987" t="str">
            <v>동물</v>
          </cell>
          <cell r="F987">
            <v>2</v>
          </cell>
          <cell r="G987" t="str">
            <v>A</v>
          </cell>
          <cell r="H987">
            <v>4</v>
          </cell>
        </row>
        <row r="988">
          <cell r="A988">
            <v>70409059</v>
          </cell>
          <cell r="B988" t="str">
            <v>꾀붕장어</v>
          </cell>
          <cell r="C988" t="str">
            <v>어류</v>
          </cell>
          <cell r="D988">
            <v>8</v>
          </cell>
          <cell r="E988" t="str">
            <v>동물</v>
          </cell>
          <cell r="F988">
            <v>2</v>
          </cell>
          <cell r="G988" t="str">
            <v>B</v>
          </cell>
          <cell r="H988">
            <v>3</v>
          </cell>
        </row>
        <row r="989">
          <cell r="A989">
            <v>70409060</v>
          </cell>
          <cell r="B989" t="str">
            <v>나망곰치</v>
          </cell>
          <cell r="C989" t="str">
            <v>어류</v>
          </cell>
          <cell r="D989">
            <v>8</v>
          </cell>
          <cell r="E989" t="str">
            <v>동물</v>
          </cell>
          <cell r="F989">
            <v>2</v>
          </cell>
          <cell r="G989" t="str">
            <v>B</v>
          </cell>
          <cell r="H989">
            <v>3</v>
          </cell>
        </row>
        <row r="990">
          <cell r="A990">
            <v>70409061</v>
          </cell>
          <cell r="B990" t="str">
            <v>나비가오리</v>
          </cell>
          <cell r="C990" t="str">
            <v>어류</v>
          </cell>
          <cell r="D990">
            <v>8</v>
          </cell>
          <cell r="E990" t="str">
            <v>동물</v>
          </cell>
          <cell r="F990">
            <v>2</v>
          </cell>
          <cell r="G990" t="str">
            <v>A</v>
          </cell>
          <cell r="H990">
            <v>4</v>
          </cell>
        </row>
        <row r="991">
          <cell r="A991">
            <v>70409062</v>
          </cell>
          <cell r="B991" t="str">
            <v>나사조개</v>
          </cell>
          <cell r="C991" t="str">
            <v>무척추동물</v>
          </cell>
          <cell r="D991">
            <v>9</v>
          </cell>
          <cell r="E991" t="str">
            <v>동물</v>
          </cell>
          <cell r="F991">
            <v>2</v>
          </cell>
          <cell r="G991" t="str">
            <v>B</v>
          </cell>
          <cell r="H991">
            <v>3</v>
          </cell>
        </row>
        <row r="992">
          <cell r="A992">
            <v>70409063</v>
          </cell>
          <cell r="B992" t="str">
            <v>나일아로와나</v>
          </cell>
          <cell r="C992" t="str">
            <v>어류</v>
          </cell>
          <cell r="D992">
            <v>8</v>
          </cell>
          <cell r="E992" t="str">
            <v>동물</v>
          </cell>
          <cell r="F992">
            <v>2</v>
          </cell>
          <cell r="G992" t="str">
            <v>B</v>
          </cell>
          <cell r="H992">
            <v>3</v>
          </cell>
        </row>
        <row r="993">
          <cell r="A993">
            <v>70409064</v>
          </cell>
          <cell r="B993" t="str">
            <v>나일퍼치</v>
          </cell>
          <cell r="C993" t="str">
            <v>어류</v>
          </cell>
          <cell r="D993">
            <v>8</v>
          </cell>
          <cell r="E993" t="str">
            <v>동물</v>
          </cell>
          <cell r="F993">
            <v>2</v>
          </cell>
          <cell r="G993" t="str">
            <v>A</v>
          </cell>
          <cell r="H993">
            <v>4</v>
          </cell>
        </row>
        <row r="994">
          <cell r="A994">
            <v>70409065</v>
          </cell>
          <cell r="B994" t="str">
            <v>날개다랑어</v>
          </cell>
          <cell r="C994" t="str">
            <v>어류</v>
          </cell>
          <cell r="D994">
            <v>8</v>
          </cell>
          <cell r="E994" t="str">
            <v>동물</v>
          </cell>
          <cell r="F994">
            <v>2</v>
          </cell>
          <cell r="G994" t="str">
            <v>A</v>
          </cell>
          <cell r="H994">
            <v>4</v>
          </cell>
        </row>
        <row r="995">
          <cell r="A995">
            <v>70409066</v>
          </cell>
          <cell r="B995" t="str">
            <v>날개쥐치</v>
          </cell>
          <cell r="C995" t="str">
            <v>어류</v>
          </cell>
          <cell r="D995">
            <v>8</v>
          </cell>
          <cell r="E995" t="str">
            <v>동물</v>
          </cell>
          <cell r="F995">
            <v>2</v>
          </cell>
          <cell r="G995" t="str">
            <v>B</v>
          </cell>
          <cell r="H995">
            <v>3</v>
          </cell>
        </row>
        <row r="996">
          <cell r="A996">
            <v>70409067</v>
          </cell>
          <cell r="B996" t="str">
            <v>날개횟대</v>
          </cell>
          <cell r="C996" t="str">
            <v>어류</v>
          </cell>
          <cell r="D996">
            <v>8</v>
          </cell>
          <cell r="E996" t="str">
            <v>동물</v>
          </cell>
          <cell r="F996">
            <v>2</v>
          </cell>
          <cell r="G996" t="str">
            <v>B</v>
          </cell>
          <cell r="H996">
            <v>3</v>
          </cell>
        </row>
        <row r="997">
          <cell r="A997">
            <v>70409068</v>
          </cell>
          <cell r="B997" t="str">
            <v>날새기</v>
          </cell>
          <cell r="C997" t="str">
            <v>어류</v>
          </cell>
          <cell r="D997">
            <v>8</v>
          </cell>
          <cell r="E997" t="str">
            <v>동물</v>
          </cell>
          <cell r="F997">
            <v>2</v>
          </cell>
          <cell r="G997" t="str">
            <v>B</v>
          </cell>
          <cell r="H997">
            <v>3</v>
          </cell>
        </row>
        <row r="998">
          <cell r="A998">
            <v>70409069</v>
          </cell>
          <cell r="B998" t="str">
            <v>날치</v>
          </cell>
          <cell r="C998" t="str">
            <v>어류</v>
          </cell>
          <cell r="D998">
            <v>8</v>
          </cell>
          <cell r="E998" t="str">
            <v>동물</v>
          </cell>
          <cell r="F998">
            <v>2</v>
          </cell>
          <cell r="G998" t="str">
            <v>C</v>
          </cell>
          <cell r="H998">
            <v>2</v>
          </cell>
        </row>
        <row r="999">
          <cell r="A999">
            <v>70409070</v>
          </cell>
          <cell r="B999" t="str">
            <v>낫잿방어</v>
          </cell>
          <cell r="C999" t="str">
            <v>어류</v>
          </cell>
          <cell r="D999">
            <v>8</v>
          </cell>
          <cell r="E999" t="str">
            <v>동물</v>
          </cell>
          <cell r="F999">
            <v>2</v>
          </cell>
          <cell r="G999" t="str">
            <v>B</v>
          </cell>
          <cell r="H999">
            <v>3</v>
          </cell>
        </row>
        <row r="1000">
          <cell r="A1000">
            <v>70409071</v>
          </cell>
          <cell r="B1000" t="str">
            <v>넓은주둥이상어</v>
          </cell>
          <cell r="C1000" t="str">
            <v>어류</v>
          </cell>
          <cell r="D1000">
            <v>8</v>
          </cell>
          <cell r="E1000" t="str">
            <v>동물</v>
          </cell>
          <cell r="F1000">
            <v>2</v>
          </cell>
          <cell r="G1000" t="str">
            <v>B</v>
          </cell>
          <cell r="H1000">
            <v>3</v>
          </cell>
        </row>
        <row r="1001">
          <cell r="A1001">
            <v>70409072</v>
          </cell>
          <cell r="B1001" t="str">
            <v>넙치</v>
          </cell>
          <cell r="C1001" t="str">
            <v>어류</v>
          </cell>
          <cell r="D1001">
            <v>8</v>
          </cell>
          <cell r="E1001" t="str">
            <v>동물</v>
          </cell>
          <cell r="F1001">
            <v>2</v>
          </cell>
          <cell r="G1001" t="str">
            <v>C</v>
          </cell>
          <cell r="H1001">
            <v>2</v>
          </cell>
        </row>
        <row r="1002">
          <cell r="A1002">
            <v>70409073</v>
          </cell>
          <cell r="B1002" t="str">
            <v>네눈박이송사리</v>
          </cell>
          <cell r="C1002" t="str">
            <v>어류</v>
          </cell>
          <cell r="D1002">
            <v>8</v>
          </cell>
          <cell r="E1002" t="str">
            <v>동물</v>
          </cell>
          <cell r="F1002">
            <v>2</v>
          </cell>
          <cell r="G1002" t="str">
            <v>C</v>
          </cell>
          <cell r="H1002">
            <v>2</v>
          </cell>
        </row>
        <row r="1003">
          <cell r="A1003">
            <v>70409074</v>
          </cell>
          <cell r="B1003" t="str">
            <v>네동가리</v>
          </cell>
          <cell r="C1003" t="str">
            <v>어류</v>
          </cell>
          <cell r="D1003">
            <v>8</v>
          </cell>
          <cell r="E1003" t="str">
            <v>동물</v>
          </cell>
          <cell r="F1003">
            <v>2</v>
          </cell>
          <cell r="G1003" t="str">
            <v>B</v>
          </cell>
          <cell r="H1003">
            <v>3</v>
          </cell>
        </row>
        <row r="1004">
          <cell r="A1004">
            <v>70409075</v>
          </cell>
          <cell r="B1004" t="str">
            <v>네줄고기</v>
          </cell>
          <cell r="C1004" t="str">
            <v>어류</v>
          </cell>
          <cell r="D1004">
            <v>8</v>
          </cell>
          <cell r="E1004" t="str">
            <v>동물</v>
          </cell>
          <cell r="F1004">
            <v>2</v>
          </cell>
          <cell r="G1004" t="str">
            <v>B</v>
          </cell>
          <cell r="H1004">
            <v>3</v>
          </cell>
        </row>
        <row r="1005">
          <cell r="A1005">
            <v>70409076</v>
          </cell>
          <cell r="B1005" t="str">
            <v>네줄벤자리</v>
          </cell>
          <cell r="C1005" t="str">
            <v>어류</v>
          </cell>
          <cell r="D1005">
            <v>8</v>
          </cell>
          <cell r="E1005" t="str">
            <v>동물</v>
          </cell>
          <cell r="F1005">
            <v>2</v>
          </cell>
          <cell r="G1005" t="str">
            <v>B</v>
          </cell>
          <cell r="H1005">
            <v>3</v>
          </cell>
        </row>
        <row r="1006">
          <cell r="A1006">
            <v>70409077</v>
          </cell>
          <cell r="B1006" t="str">
            <v>노랑가오리</v>
          </cell>
          <cell r="C1006" t="str">
            <v>어류</v>
          </cell>
          <cell r="D1006">
            <v>8</v>
          </cell>
          <cell r="E1006" t="str">
            <v>동물</v>
          </cell>
          <cell r="F1006">
            <v>2</v>
          </cell>
          <cell r="G1006" t="str">
            <v>D</v>
          </cell>
          <cell r="H1006">
            <v>1</v>
          </cell>
          <cell r="AW1006" t="str">
            <v/>
          </cell>
          <cell r="BA1006" t="str">
            <v>-</v>
          </cell>
        </row>
        <row r="1007">
          <cell r="A1007">
            <v>70409078</v>
          </cell>
          <cell r="B1007" t="str">
            <v>노랑거북복</v>
          </cell>
          <cell r="C1007" t="str">
            <v>어류</v>
          </cell>
          <cell r="D1007">
            <v>8</v>
          </cell>
          <cell r="E1007" t="str">
            <v>동물</v>
          </cell>
          <cell r="F1007">
            <v>2</v>
          </cell>
          <cell r="G1007" t="str">
            <v>B</v>
          </cell>
          <cell r="H1007">
            <v>3</v>
          </cell>
        </row>
        <row r="1008">
          <cell r="A1008">
            <v>70409079</v>
          </cell>
          <cell r="B1008" t="str">
            <v>노랑자리돔</v>
          </cell>
          <cell r="C1008" t="str">
            <v>어류</v>
          </cell>
          <cell r="D1008">
            <v>8</v>
          </cell>
          <cell r="E1008" t="str">
            <v>동물</v>
          </cell>
          <cell r="F1008">
            <v>2</v>
          </cell>
          <cell r="G1008" t="str">
            <v>A</v>
          </cell>
          <cell r="H1008">
            <v>4</v>
          </cell>
        </row>
        <row r="1009">
          <cell r="A1009">
            <v>70409080</v>
          </cell>
          <cell r="B1009" t="str">
            <v>노랑점무늬유전갱이</v>
          </cell>
          <cell r="C1009" t="str">
            <v>어류</v>
          </cell>
          <cell r="D1009">
            <v>8</v>
          </cell>
          <cell r="E1009" t="str">
            <v>동물</v>
          </cell>
          <cell r="F1009">
            <v>2</v>
          </cell>
          <cell r="G1009" t="str">
            <v>B</v>
          </cell>
          <cell r="H1009">
            <v>3</v>
          </cell>
        </row>
        <row r="1010">
          <cell r="A1010">
            <v>70409081</v>
          </cell>
          <cell r="B1010" t="str">
            <v>노랑줄돔</v>
          </cell>
          <cell r="C1010" t="str">
            <v>어류</v>
          </cell>
          <cell r="D1010">
            <v>8</v>
          </cell>
          <cell r="E1010" t="str">
            <v>동물</v>
          </cell>
          <cell r="F1010">
            <v>2</v>
          </cell>
          <cell r="G1010" t="str">
            <v>B</v>
          </cell>
          <cell r="H1010">
            <v>3</v>
          </cell>
        </row>
        <row r="1011">
          <cell r="A1011">
            <v>70409082</v>
          </cell>
          <cell r="B1011" t="str">
            <v>노랑촉수</v>
          </cell>
          <cell r="C1011" t="str">
            <v>어류</v>
          </cell>
          <cell r="D1011">
            <v>8</v>
          </cell>
          <cell r="E1011" t="str">
            <v>동물</v>
          </cell>
          <cell r="F1011">
            <v>2</v>
          </cell>
          <cell r="G1011" t="str">
            <v>B</v>
          </cell>
          <cell r="H1011">
            <v>3</v>
          </cell>
        </row>
        <row r="1012">
          <cell r="A1012">
            <v>70409083</v>
          </cell>
          <cell r="B1012" t="str">
            <v>녹새치</v>
          </cell>
          <cell r="C1012" t="str">
            <v>어류</v>
          </cell>
          <cell r="D1012">
            <v>8</v>
          </cell>
          <cell r="E1012" t="str">
            <v>동물</v>
          </cell>
          <cell r="F1012">
            <v>2</v>
          </cell>
          <cell r="G1012" t="str">
            <v>S</v>
          </cell>
          <cell r="H1012">
            <v>5</v>
          </cell>
          <cell r="AW1012" t="str">
            <v>특정 퀘스트(=)</v>
          </cell>
          <cell r="AY1012" t="str">
            <v>앤 보니 시나리오</v>
          </cell>
          <cell r="BA1012">
            <v>76</v>
          </cell>
        </row>
        <row r="1013">
          <cell r="A1013">
            <v>70409084</v>
          </cell>
          <cell r="B1013" t="str">
            <v>녹색물결놀래기</v>
          </cell>
          <cell r="C1013" t="str">
            <v>어류</v>
          </cell>
          <cell r="D1013">
            <v>8</v>
          </cell>
          <cell r="E1013" t="str">
            <v>동물</v>
          </cell>
          <cell r="F1013">
            <v>2</v>
          </cell>
          <cell r="G1013" t="str">
            <v>A</v>
          </cell>
          <cell r="H1013">
            <v>4</v>
          </cell>
        </row>
        <row r="1014">
          <cell r="A1014">
            <v>70409085</v>
          </cell>
          <cell r="B1014" t="str">
            <v>녹줄돔</v>
          </cell>
          <cell r="C1014" t="str">
            <v>어류</v>
          </cell>
          <cell r="D1014">
            <v>8</v>
          </cell>
          <cell r="E1014" t="str">
            <v>동물</v>
          </cell>
          <cell r="F1014">
            <v>2</v>
          </cell>
          <cell r="G1014" t="str">
            <v>D</v>
          </cell>
          <cell r="H1014">
            <v>1</v>
          </cell>
          <cell r="AW1014" t="str">
            <v/>
          </cell>
          <cell r="BA1014" t="str">
            <v>-</v>
          </cell>
        </row>
        <row r="1015">
          <cell r="A1015">
            <v>70409086</v>
          </cell>
          <cell r="B1015" t="str">
            <v>놀락감펭</v>
          </cell>
          <cell r="C1015" t="str">
            <v>어류</v>
          </cell>
          <cell r="D1015">
            <v>8</v>
          </cell>
          <cell r="E1015" t="str">
            <v>동물</v>
          </cell>
          <cell r="F1015">
            <v>2</v>
          </cell>
          <cell r="G1015" t="str">
            <v>A</v>
          </cell>
          <cell r="H1015">
            <v>4</v>
          </cell>
        </row>
        <row r="1016">
          <cell r="A1016">
            <v>70409087</v>
          </cell>
          <cell r="B1016" t="str">
            <v>놀락민태</v>
          </cell>
          <cell r="C1016" t="str">
            <v>어류</v>
          </cell>
          <cell r="D1016">
            <v>8</v>
          </cell>
          <cell r="E1016" t="str">
            <v>동물</v>
          </cell>
          <cell r="F1016">
            <v>2</v>
          </cell>
          <cell r="G1016" t="str">
            <v>C</v>
          </cell>
          <cell r="H1016">
            <v>2</v>
          </cell>
        </row>
        <row r="1017">
          <cell r="A1017">
            <v>70409088</v>
          </cell>
          <cell r="B1017" t="str">
            <v>농어</v>
          </cell>
          <cell r="C1017" t="str">
            <v>어류</v>
          </cell>
          <cell r="D1017">
            <v>8</v>
          </cell>
          <cell r="E1017" t="str">
            <v>동물</v>
          </cell>
          <cell r="F1017">
            <v>2</v>
          </cell>
          <cell r="G1017" t="str">
            <v>C</v>
          </cell>
          <cell r="H1017">
            <v>2</v>
          </cell>
        </row>
        <row r="1018">
          <cell r="A1018">
            <v>70409089</v>
          </cell>
          <cell r="B1018" t="str">
            <v>눈다랑어</v>
          </cell>
          <cell r="C1018" t="str">
            <v>어류</v>
          </cell>
          <cell r="D1018">
            <v>8</v>
          </cell>
          <cell r="E1018" t="str">
            <v>동물</v>
          </cell>
          <cell r="F1018">
            <v>2</v>
          </cell>
          <cell r="G1018" t="str">
            <v>B</v>
          </cell>
          <cell r="H1018">
            <v>3</v>
          </cell>
        </row>
        <row r="1019">
          <cell r="A1019">
            <v>70409090</v>
          </cell>
          <cell r="B1019" t="str">
            <v>눈볼대</v>
          </cell>
          <cell r="C1019" t="str">
            <v>어류</v>
          </cell>
          <cell r="D1019">
            <v>8</v>
          </cell>
          <cell r="E1019" t="str">
            <v>동물</v>
          </cell>
          <cell r="F1019">
            <v>2</v>
          </cell>
          <cell r="G1019" t="str">
            <v>S</v>
          </cell>
          <cell r="H1019">
            <v>5</v>
          </cell>
        </row>
        <row r="1020">
          <cell r="A1020">
            <v>70409091</v>
          </cell>
          <cell r="B1020" t="str">
            <v>눈불개복</v>
          </cell>
          <cell r="C1020" t="str">
            <v>어류</v>
          </cell>
          <cell r="D1020">
            <v>8</v>
          </cell>
          <cell r="E1020" t="str">
            <v>동물</v>
          </cell>
          <cell r="F1020">
            <v>2</v>
          </cell>
          <cell r="G1020" t="str">
            <v>B</v>
          </cell>
          <cell r="H1020">
            <v>3</v>
          </cell>
        </row>
        <row r="1021">
          <cell r="A1021">
            <v>70409092</v>
          </cell>
          <cell r="B1021" t="str">
            <v>눈양태</v>
          </cell>
          <cell r="C1021" t="str">
            <v>어류</v>
          </cell>
          <cell r="D1021">
            <v>8</v>
          </cell>
          <cell r="E1021" t="str">
            <v>동물</v>
          </cell>
          <cell r="F1021">
            <v>2</v>
          </cell>
          <cell r="G1021" t="str">
            <v>A</v>
          </cell>
          <cell r="H1021">
            <v>4</v>
          </cell>
        </row>
        <row r="1022">
          <cell r="A1022">
            <v>70409093</v>
          </cell>
          <cell r="B1022" t="str">
            <v>눈퉁군평선</v>
          </cell>
          <cell r="C1022" t="str">
            <v>어류</v>
          </cell>
          <cell r="D1022">
            <v>8</v>
          </cell>
          <cell r="E1022" t="str">
            <v>동물</v>
          </cell>
          <cell r="F1022">
            <v>2</v>
          </cell>
          <cell r="G1022" t="str">
            <v>A</v>
          </cell>
          <cell r="H1022">
            <v>4</v>
          </cell>
        </row>
        <row r="1023">
          <cell r="A1023">
            <v>70409094</v>
          </cell>
          <cell r="B1023" t="str">
            <v>눈퉁멸</v>
          </cell>
          <cell r="C1023" t="str">
            <v>어류</v>
          </cell>
          <cell r="D1023">
            <v>8</v>
          </cell>
          <cell r="E1023" t="str">
            <v>동물</v>
          </cell>
          <cell r="F1023">
            <v>2</v>
          </cell>
          <cell r="G1023" t="str">
            <v>B</v>
          </cell>
          <cell r="H1023">
            <v>3</v>
          </cell>
        </row>
        <row r="1024">
          <cell r="A1024">
            <v>70409095</v>
          </cell>
          <cell r="B1024" t="str">
            <v>다금바리</v>
          </cell>
          <cell r="C1024" t="str">
            <v>어류</v>
          </cell>
          <cell r="D1024">
            <v>8</v>
          </cell>
          <cell r="E1024" t="str">
            <v>동물</v>
          </cell>
          <cell r="F1024">
            <v>2</v>
          </cell>
          <cell r="G1024" t="str">
            <v>S</v>
          </cell>
          <cell r="H1024">
            <v>5</v>
          </cell>
        </row>
        <row r="1025">
          <cell r="A1025">
            <v>70409096</v>
          </cell>
          <cell r="B1025" t="str">
            <v>단기임연수어</v>
          </cell>
          <cell r="C1025" t="str">
            <v>어류</v>
          </cell>
          <cell r="D1025">
            <v>8</v>
          </cell>
          <cell r="E1025" t="str">
            <v>동물</v>
          </cell>
          <cell r="F1025">
            <v>2</v>
          </cell>
          <cell r="G1025" t="str">
            <v>B</v>
          </cell>
          <cell r="H1025">
            <v>3</v>
          </cell>
        </row>
        <row r="1026">
          <cell r="A1026">
            <v>70409097</v>
          </cell>
          <cell r="B1026" t="str">
            <v>달고기</v>
          </cell>
          <cell r="C1026" t="str">
            <v>어류</v>
          </cell>
          <cell r="D1026">
            <v>8</v>
          </cell>
          <cell r="E1026" t="str">
            <v>동물</v>
          </cell>
          <cell r="F1026">
            <v>2</v>
          </cell>
          <cell r="G1026" t="str">
            <v>S</v>
          </cell>
          <cell r="H1026">
            <v>5</v>
          </cell>
        </row>
        <row r="1027">
          <cell r="A1027">
            <v>70409098</v>
          </cell>
          <cell r="B1027" t="str">
            <v>당멸치</v>
          </cell>
          <cell r="C1027" t="str">
            <v>어류</v>
          </cell>
          <cell r="D1027">
            <v>8</v>
          </cell>
          <cell r="E1027" t="str">
            <v>동물</v>
          </cell>
          <cell r="F1027">
            <v>2</v>
          </cell>
          <cell r="G1027" t="str">
            <v>B</v>
          </cell>
          <cell r="H1027">
            <v>3</v>
          </cell>
        </row>
        <row r="1028">
          <cell r="A1028">
            <v>70409099</v>
          </cell>
          <cell r="B1028" t="str">
            <v>대구</v>
          </cell>
          <cell r="C1028" t="str">
            <v>어류</v>
          </cell>
          <cell r="D1028">
            <v>8</v>
          </cell>
          <cell r="E1028" t="str">
            <v>동물</v>
          </cell>
          <cell r="F1028">
            <v>2</v>
          </cell>
          <cell r="G1028" t="str">
            <v>B</v>
          </cell>
          <cell r="H1028">
            <v>3</v>
          </cell>
        </row>
        <row r="1029">
          <cell r="A1029">
            <v>70409100</v>
          </cell>
          <cell r="B1029" t="str">
            <v>대빨판이</v>
          </cell>
          <cell r="C1029" t="str">
            <v>어류</v>
          </cell>
          <cell r="D1029">
            <v>8</v>
          </cell>
          <cell r="E1029" t="str">
            <v>동물</v>
          </cell>
          <cell r="F1029">
            <v>2</v>
          </cell>
          <cell r="G1029" t="str">
            <v>C</v>
          </cell>
          <cell r="H1029">
            <v>2</v>
          </cell>
        </row>
        <row r="1030">
          <cell r="A1030">
            <v>70409101</v>
          </cell>
          <cell r="B1030" t="str">
            <v>대왕오징어</v>
          </cell>
          <cell r="C1030" t="str">
            <v>무척추동물</v>
          </cell>
          <cell r="D1030">
            <v>9</v>
          </cell>
          <cell r="E1030" t="str">
            <v>동물</v>
          </cell>
          <cell r="F1030">
            <v>2</v>
          </cell>
          <cell r="G1030" t="str">
            <v>S</v>
          </cell>
          <cell r="H1030">
            <v>5</v>
          </cell>
        </row>
        <row r="1031">
          <cell r="A1031">
            <v>70409102</v>
          </cell>
          <cell r="B1031" t="str">
            <v>대전어</v>
          </cell>
          <cell r="C1031" t="str">
            <v>어류</v>
          </cell>
          <cell r="D1031">
            <v>8</v>
          </cell>
          <cell r="E1031" t="str">
            <v>동물</v>
          </cell>
          <cell r="F1031">
            <v>2</v>
          </cell>
          <cell r="G1031" t="str">
            <v>B</v>
          </cell>
          <cell r="H1031">
            <v>3</v>
          </cell>
        </row>
        <row r="1032">
          <cell r="A1032">
            <v>70409103</v>
          </cell>
          <cell r="B1032" t="str">
            <v>대주둥치</v>
          </cell>
          <cell r="C1032" t="str">
            <v>어류</v>
          </cell>
          <cell r="D1032">
            <v>8</v>
          </cell>
          <cell r="E1032" t="str">
            <v>동물</v>
          </cell>
          <cell r="F1032">
            <v>2</v>
          </cell>
          <cell r="G1032" t="str">
            <v>B</v>
          </cell>
          <cell r="H1032">
            <v>3</v>
          </cell>
        </row>
        <row r="1033">
          <cell r="A1033">
            <v>70409104</v>
          </cell>
          <cell r="B1033" t="str">
            <v>도다리</v>
          </cell>
          <cell r="C1033" t="str">
            <v>어류</v>
          </cell>
          <cell r="D1033">
            <v>8</v>
          </cell>
          <cell r="E1033" t="str">
            <v>동물</v>
          </cell>
          <cell r="F1033">
            <v>2</v>
          </cell>
          <cell r="G1033" t="str">
            <v>B</v>
          </cell>
          <cell r="H1033">
            <v>3</v>
          </cell>
        </row>
        <row r="1034">
          <cell r="A1034">
            <v>70409105</v>
          </cell>
          <cell r="B1034" t="str">
            <v>도도바리</v>
          </cell>
          <cell r="C1034" t="str">
            <v>어류</v>
          </cell>
          <cell r="D1034">
            <v>8</v>
          </cell>
          <cell r="E1034" t="str">
            <v>동물</v>
          </cell>
          <cell r="F1034">
            <v>2</v>
          </cell>
          <cell r="G1034" t="str">
            <v>A</v>
          </cell>
          <cell r="H1034">
            <v>4</v>
          </cell>
        </row>
        <row r="1035">
          <cell r="A1035">
            <v>70409106</v>
          </cell>
          <cell r="B1035" t="str">
            <v>도라도</v>
          </cell>
          <cell r="C1035" t="str">
            <v>어류</v>
          </cell>
          <cell r="D1035">
            <v>8</v>
          </cell>
          <cell r="E1035" t="str">
            <v>동물</v>
          </cell>
          <cell r="F1035">
            <v>2</v>
          </cell>
          <cell r="G1035" t="str">
            <v>A</v>
          </cell>
          <cell r="H1035">
            <v>4</v>
          </cell>
        </row>
        <row r="1036">
          <cell r="A1036">
            <v>70409107</v>
          </cell>
          <cell r="B1036" t="str">
            <v>도루묵</v>
          </cell>
          <cell r="C1036" t="str">
            <v>어류</v>
          </cell>
          <cell r="D1036">
            <v>8</v>
          </cell>
          <cell r="E1036" t="str">
            <v>동물</v>
          </cell>
          <cell r="F1036">
            <v>2</v>
          </cell>
          <cell r="G1036" t="str">
            <v>B</v>
          </cell>
          <cell r="H1036">
            <v>3</v>
          </cell>
        </row>
        <row r="1037">
          <cell r="A1037">
            <v>70409108</v>
          </cell>
          <cell r="B1037" t="str">
            <v>도화돔</v>
          </cell>
          <cell r="C1037" t="str">
            <v>어류</v>
          </cell>
          <cell r="D1037">
            <v>8</v>
          </cell>
          <cell r="E1037" t="str">
            <v>동물</v>
          </cell>
          <cell r="F1037">
            <v>2</v>
          </cell>
          <cell r="G1037" t="str">
            <v>A</v>
          </cell>
          <cell r="H1037">
            <v>4</v>
          </cell>
        </row>
        <row r="1038">
          <cell r="A1038">
            <v>70409109</v>
          </cell>
          <cell r="B1038" t="str">
            <v>도화새우</v>
          </cell>
          <cell r="C1038" t="str">
            <v>무척추동물</v>
          </cell>
          <cell r="D1038">
            <v>9</v>
          </cell>
          <cell r="E1038" t="str">
            <v>동물</v>
          </cell>
          <cell r="F1038">
            <v>2</v>
          </cell>
          <cell r="G1038" t="str">
            <v>S</v>
          </cell>
          <cell r="H1038">
            <v>5</v>
          </cell>
        </row>
        <row r="1039">
          <cell r="A1039">
            <v>70409110</v>
          </cell>
          <cell r="B1039" t="str">
            <v>독가시치</v>
          </cell>
          <cell r="C1039" t="str">
            <v>어류</v>
          </cell>
          <cell r="D1039">
            <v>8</v>
          </cell>
          <cell r="E1039" t="str">
            <v>동물</v>
          </cell>
          <cell r="F1039">
            <v>2</v>
          </cell>
          <cell r="G1039" t="str">
            <v>A</v>
          </cell>
          <cell r="H1039">
            <v>4</v>
          </cell>
        </row>
        <row r="1040">
          <cell r="A1040">
            <v>70409112</v>
          </cell>
          <cell r="B1040" t="str">
            <v>돌돔</v>
          </cell>
          <cell r="C1040" t="str">
            <v>어류</v>
          </cell>
          <cell r="D1040">
            <v>8</v>
          </cell>
          <cell r="E1040" t="str">
            <v>동물</v>
          </cell>
          <cell r="F1040">
            <v>2</v>
          </cell>
          <cell r="G1040" t="str">
            <v>S</v>
          </cell>
          <cell r="H1040">
            <v>5</v>
          </cell>
        </row>
        <row r="1041">
          <cell r="A1041">
            <v>70409113</v>
          </cell>
          <cell r="B1041" t="str">
            <v>돌묵상어</v>
          </cell>
          <cell r="C1041" t="str">
            <v>어류</v>
          </cell>
          <cell r="D1041">
            <v>8</v>
          </cell>
          <cell r="E1041" t="str">
            <v>동물</v>
          </cell>
          <cell r="F1041">
            <v>2</v>
          </cell>
          <cell r="G1041" t="str">
            <v>A</v>
          </cell>
          <cell r="H1041">
            <v>4</v>
          </cell>
        </row>
        <row r="1042">
          <cell r="A1042">
            <v>70409114</v>
          </cell>
          <cell r="B1042" t="str">
            <v>돔발상어</v>
          </cell>
          <cell r="C1042" t="str">
            <v>어류</v>
          </cell>
          <cell r="D1042">
            <v>8</v>
          </cell>
          <cell r="E1042" t="str">
            <v>동물</v>
          </cell>
          <cell r="F1042">
            <v>2</v>
          </cell>
          <cell r="G1042" t="str">
            <v>S</v>
          </cell>
          <cell r="H1042">
            <v>5</v>
          </cell>
        </row>
        <row r="1043">
          <cell r="A1043">
            <v>70409115</v>
          </cell>
          <cell r="B1043" t="str">
            <v>동갈방어</v>
          </cell>
          <cell r="C1043" t="str">
            <v>어류</v>
          </cell>
          <cell r="D1043">
            <v>8</v>
          </cell>
          <cell r="E1043" t="str">
            <v>동물</v>
          </cell>
          <cell r="F1043">
            <v>2</v>
          </cell>
          <cell r="G1043" t="str">
            <v>A</v>
          </cell>
          <cell r="H1043">
            <v>4</v>
          </cell>
        </row>
        <row r="1044">
          <cell r="A1044">
            <v>70409116</v>
          </cell>
          <cell r="B1044" t="str">
            <v>동갈양태</v>
          </cell>
          <cell r="C1044" t="str">
            <v>어류</v>
          </cell>
          <cell r="D1044">
            <v>8</v>
          </cell>
          <cell r="E1044" t="str">
            <v>동물</v>
          </cell>
          <cell r="F1044">
            <v>2</v>
          </cell>
          <cell r="G1044" t="str">
            <v>B</v>
          </cell>
          <cell r="H1044">
            <v>3</v>
          </cell>
        </row>
        <row r="1045">
          <cell r="A1045">
            <v>70409117</v>
          </cell>
          <cell r="B1045" t="str">
            <v>동갈자돔</v>
          </cell>
          <cell r="C1045" t="str">
            <v>어류</v>
          </cell>
          <cell r="D1045">
            <v>8</v>
          </cell>
          <cell r="E1045" t="str">
            <v>동물</v>
          </cell>
          <cell r="F1045">
            <v>2</v>
          </cell>
          <cell r="G1045" t="str">
            <v>B</v>
          </cell>
          <cell r="H1045">
            <v>3</v>
          </cell>
        </row>
        <row r="1046">
          <cell r="A1046">
            <v>70409118</v>
          </cell>
          <cell r="B1046" t="str">
            <v>동갈퉁돔</v>
          </cell>
          <cell r="C1046" t="str">
            <v>어류</v>
          </cell>
          <cell r="D1046">
            <v>8</v>
          </cell>
          <cell r="E1046" t="str">
            <v>동물</v>
          </cell>
          <cell r="F1046">
            <v>2</v>
          </cell>
          <cell r="G1046" t="str">
            <v>B</v>
          </cell>
          <cell r="H1046">
            <v>3</v>
          </cell>
        </row>
        <row r="1047">
          <cell r="A1047">
            <v>70409119</v>
          </cell>
          <cell r="B1047" t="str">
            <v>동강연치</v>
          </cell>
          <cell r="C1047" t="str">
            <v>어류</v>
          </cell>
          <cell r="D1047">
            <v>8</v>
          </cell>
          <cell r="E1047" t="str">
            <v>동물</v>
          </cell>
          <cell r="F1047">
            <v>2</v>
          </cell>
          <cell r="G1047" t="str">
            <v>B</v>
          </cell>
          <cell r="H1047">
            <v>3</v>
          </cell>
        </row>
        <row r="1048">
          <cell r="A1048">
            <v>70409120</v>
          </cell>
          <cell r="B1048" t="str">
            <v>동동갈치</v>
          </cell>
          <cell r="C1048" t="str">
            <v>어류</v>
          </cell>
          <cell r="D1048">
            <v>8</v>
          </cell>
          <cell r="E1048" t="str">
            <v>동물</v>
          </cell>
          <cell r="F1048">
            <v>2</v>
          </cell>
          <cell r="G1048" t="str">
            <v>C</v>
          </cell>
          <cell r="H1048">
            <v>2</v>
          </cell>
        </row>
        <row r="1049">
          <cell r="A1049">
            <v>70409121</v>
          </cell>
          <cell r="B1049" t="str">
            <v>동서대</v>
          </cell>
          <cell r="C1049" t="str">
            <v>어류</v>
          </cell>
          <cell r="D1049">
            <v>8</v>
          </cell>
          <cell r="E1049" t="str">
            <v>동물</v>
          </cell>
          <cell r="F1049">
            <v>2</v>
          </cell>
          <cell r="G1049" t="str">
            <v>B</v>
          </cell>
          <cell r="H1049">
            <v>3</v>
          </cell>
        </row>
        <row r="1050">
          <cell r="A1050">
            <v>70409122</v>
          </cell>
          <cell r="B1050" t="str">
            <v>동수구리</v>
          </cell>
          <cell r="C1050" t="str">
            <v>어류</v>
          </cell>
          <cell r="D1050">
            <v>8</v>
          </cell>
          <cell r="E1050" t="str">
            <v>동물</v>
          </cell>
          <cell r="F1050">
            <v>2</v>
          </cell>
          <cell r="G1050" t="str">
            <v>S</v>
          </cell>
          <cell r="H1050">
            <v>5</v>
          </cell>
        </row>
        <row r="1051">
          <cell r="A1051">
            <v>70409123</v>
          </cell>
          <cell r="B1051" t="str">
            <v>돛대돔</v>
          </cell>
          <cell r="C1051" t="str">
            <v>어류</v>
          </cell>
          <cell r="D1051">
            <v>8</v>
          </cell>
          <cell r="E1051" t="str">
            <v>동물</v>
          </cell>
          <cell r="F1051">
            <v>2</v>
          </cell>
          <cell r="G1051" t="str">
            <v>B</v>
          </cell>
          <cell r="H1051">
            <v>3</v>
          </cell>
        </row>
        <row r="1052">
          <cell r="A1052">
            <v>70409124</v>
          </cell>
          <cell r="B1052" t="str">
            <v>돛새치</v>
          </cell>
          <cell r="C1052" t="str">
            <v>어류</v>
          </cell>
          <cell r="D1052">
            <v>8</v>
          </cell>
          <cell r="E1052" t="str">
            <v>동물</v>
          </cell>
          <cell r="F1052">
            <v>2</v>
          </cell>
          <cell r="G1052" t="str">
            <v>B</v>
          </cell>
          <cell r="H1052">
            <v>3</v>
          </cell>
        </row>
        <row r="1053">
          <cell r="A1053">
            <v>70409125</v>
          </cell>
          <cell r="B1053" t="str">
            <v>두건망둑</v>
          </cell>
          <cell r="C1053" t="str">
            <v>어류</v>
          </cell>
          <cell r="D1053">
            <v>8</v>
          </cell>
          <cell r="E1053" t="str">
            <v>동물</v>
          </cell>
          <cell r="F1053">
            <v>2</v>
          </cell>
          <cell r="G1053" t="str">
            <v>C</v>
          </cell>
          <cell r="H1053">
            <v>2</v>
          </cell>
        </row>
        <row r="1054">
          <cell r="A1054">
            <v>70409126</v>
          </cell>
          <cell r="B1054" t="str">
            <v>두동가리돔</v>
          </cell>
          <cell r="C1054" t="str">
            <v>어류</v>
          </cell>
          <cell r="D1054">
            <v>8</v>
          </cell>
          <cell r="E1054" t="str">
            <v>동물</v>
          </cell>
          <cell r="F1054">
            <v>2</v>
          </cell>
          <cell r="G1054" t="str">
            <v>C</v>
          </cell>
          <cell r="H1054">
            <v>2</v>
          </cell>
        </row>
        <row r="1055">
          <cell r="A1055">
            <v>70409127</v>
          </cell>
          <cell r="B1055" t="str">
            <v>두줄망둑</v>
          </cell>
          <cell r="C1055" t="str">
            <v>어류</v>
          </cell>
          <cell r="D1055">
            <v>8</v>
          </cell>
          <cell r="E1055" t="str">
            <v>동물</v>
          </cell>
          <cell r="F1055">
            <v>2</v>
          </cell>
          <cell r="G1055" t="str">
            <v>B</v>
          </cell>
          <cell r="H1055">
            <v>3</v>
          </cell>
        </row>
        <row r="1056">
          <cell r="A1056">
            <v>70409128</v>
          </cell>
          <cell r="B1056" t="str">
            <v>두줄베도라치</v>
          </cell>
          <cell r="C1056" t="str">
            <v>어류</v>
          </cell>
          <cell r="D1056">
            <v>8</v>
          </cell>
          <cell r="E1056" t="str">
            <v>동물</v>
          </cell>
          <cell r="F1056">
            <v>2</v>
          </cell>
          <cell r="G1056" t="str">
            <v>C</v>
          </cell>
          <cell r="H1056">
            <v>2</v>
          </cell>
        </row>
        <row r="1057">
          <cell r="A1057">
            <v>70409129</v>
          </cell>
          <cell r="B1057" t="str">
            <v>두줄벤자리</v>
          </cell>
          <cell r="C1057" t="str">
            <v>어류</v>
          </cell>
          <cell r="D1057">
            <v>8</v>
          </cell>
          <cell r="E1057" t="str">
            <v>동물</v>
          </cell>
          <cell r="F1057">
            <v>2</v>
          </cell>
          <cell r="G1057" t="str">
            <v>A</v>
          </cell>
          <cell r="H1057">
            <v>4</v>
          </cell>
        </row>
        <row r="1058">
          <cell r="A1058">
            <v>70409130</v>
          </cell>
          <cell r="B1058" t="str">
            <v>두툽상어</v>
          </cell>
          <cell r="C1058" t="str">
            <v>어류</v>
          </cell>
          <cell r="D1058">
            <v>8</v>
          </cell>
          <cell r="E1058" t="str">
            <v>동물</v>
          </cell>
          <cell r="F1058">
            <v>2</v>
          </cell>
          <cell r="G1058" t="str">
            <v>C</v>
          </cell>
          <cell r="H1058">
            <v>2</v>
          </cell>
        </row>
        <row r="1059">
          <cell r="A1059">
            <v>70409131</v>
          </cell>
          <cell r="B1059" t="str">
            <v>둥글돔</v>
          </cell>
          <cell r="C1059" t="str">
            <v>어류</v>
          </cell>
          <cell r="D1059">
            <v>8</v>
          </cell>
          <cell r="E1059" t="str">
            <v>동물</v>
          </cell>
          <cell r="F1059">
            <v>2</v>
          </cell>
          <cell r="G1059" t="str">
            <v>C</v>
          </cell>
          <cell r="H1059">
            <v>2</v>
          </cell>
        </row>
        <row r="1060">
          <cell r="A1060">
            <v>70409132</v>
          </cell>
          <cell r="B1060" t="str">
            <v>듀공</v>
          </cell>
          <cell r="C1060" t="str">
            <v>포유류</v>
          </cell>
          <cell r="D1060">
            <v>5</v>
          </cell>
          <cell r="E1060" t="str">
            <v>동물</v>
          </cell>
          <cell r="F1060">
            <v>2</v>
          </cell>
          <cell r="G1060" t="str">
            <v>S</v>
          </cell>
          <cell r="H1060">
            <v>5</v>
          </cell>
        </row>
        <row r="1061">
          <cell r="A1061">
            <v>70409133</v>
          </cell>
          <cell r="B1061" t="str">
            <v>등가시치</v>
          </cell>
          <cell r="C1061" t="str">
            <v>어류</v>
          </cell>
          <cell r="D1061">
            <v>8</v>
          </cell>
          <cell r="E1061" t="str">
            <v>동물</v>
          </cell>
          <cell r="F1061">
            <v>2</v>
          </cell>
          <cell r="G1061" t="str">
            <v>C</v>
          </cell>
          <cell r="H1061">
            <v>2</v>
          </cell>
        </row>
        <row r="1062">
          <cell r="A1062">
            <v>70409134</v>
          </cell>
          <cell r="B1062" t="str">
            <v>룰나비고기</v>
          </cell>
          <cell r="C1062" t="str">
            <v>어류</v>
          </cell>
          <cell r="D1062">
            <v>8</v>
          </cell>
          <cell r="E1062" t="str">
            <v>동물</v>
          </cell>
          <cell r="F1062">
            <v>2</v>
          </cell>
          <cell r="G1062" t="str">
            <v>C</v>
          </cell>
          <cell r="H1062">
            <v>2</v>
          </cell>
        </row>
        <row r="1063">
          <cell r="A1063">
            <v>70409135</v>
          </cell>
          <cell r="B1063" t="str">
            <v>만새기</v>
          </cell>
          <cell r="C1063" t="str">
            <v>어류</v>
          </cell>
          <cell r="D1063">
            <v>8</v>
          </cell>
          <cell r="E1063" t="str">
            <v>동물</v>
          </cell>
          <cell r="F1063">
            <v>2</v>
          </cell>
          <cell r="G1063" t="str">
            <v>C</v>
          </cell>
          <cell r="H1063">
            <v>2</v>
          </cell>
        </row>
        <row r="1064">
          <cell r="A1064">
            <v>70409136</v>
          </cell>
          <cell r="B1064" t="str">
            <v>말뚝망둥어</v>
          </cell>
          <cell r="C1064" t="str">
            <v>어류</v>
          </cell>
          <cell r="D1064">
            <v>8</v>
          </cell>
          <cell r="E1064" t="str">
            <v>동물</v>
          </cell>
          <cell r="F1064">
            <v>2</v>
          </cell>
          <cell r="G1064" t="str">
            <v>B</v>
          </cell>
          <cell r="H1064">
            <v>3</v>
          </cell>
        </row>
        <row r="1065">
          <cell r="A1065">
            <v>70409137</v>
          </cell>
          <cell r="B1065" t="str">
            <v>말쥐치</v>
          </cell>
          <cell r="C1065" t="str">
            <v>어류</v>
          </cell>
          <cell r="D1065">
            <v>8</v>
          </cell>
          <cell r="E1065" t="str">
            <v>동물</v>
          </cell>
          <cell r="F1065">
            <v>2</v>
          </cell>
          <cell r="G1065" t="str">
            <v>B</v>
          </cell>
          <cell r="H1065">
            <v>3</v>
          </cell>
        </row>
        <row r="1066">
          <cell r="A1066">
            <v>70409138</v>
          </cell>
          <cell r="B1066" t="str">
            <v>망치고등어</v>
          </cell>
          <cell r="C1066" t="str">
            <v>어류</v>
          </cell>
          <cell r="D1066">
            <v>8</v>
          </cell>
          <cell r="E1066" t="str">
            <v>동물</v>
          </cell>
          <cell r="F1066">
            <v>2</v>
          </cell>
          <cell r="G1066" t="str">
            <v>C</v>
          </cell>
          <cell r="H1066">
            <v>2</v>
          </cell>
        </row>
        <row r="1067">
          <cell r="A1067">
            <v>70409139</v>
          </cell>
          <cell r="B1067" t="str">
            <v>망치고래</v>
          </cell>
          <cell r="C1067" t="str">
            <v>포유류</v>
          </cell>
          <cell r="D1067">
            <v>5</v>
          </cell>
          <cell r="E1067" t="str">
            <v>동물</v>
          </cell>
          <cell r="F1067">
            <v>2</v>
          </cell>
          <cell r="G1067" t="str">
            <v>S</v>
          </cell>
          <cell r="H1067">
            <v>5</v>
          </cell>
        </row>
        <row r="1068">
          <cell r="A1068">
            <v>70409140</v>
          </cell>
          <cell r="B1068" t="str">
            <v>매끈이송편게</v>
          </cell>
          <cell r="C1068" t="str">
            <v>무척추동물</v>
          </cell>
          <cell r="D1068">
            <v>9</v>
          </cell>
          <cell r="E1068" t="str">
            <v>동물</v>
          </cell>
          <cell r="F1068">
            <v>2</v>
          </cell>
          <cell r="G1068" t="str">
            <v>A</v>
          </cell>
          <cell r="H1068">
            <v>4</v>
          </cell>
        </row>
        <row r="1069">
          <cell r="A1069">
            <v>70409141</v>
          </cell>
          <cell r="B1069" t="str">
            <v>매날치</v>
          </cell>
          <cell r="C1069" t="str">
            <v>어류</v>
          </cell>
          <cell r="D1069">
            <v>8</v>
          </cell>
          <cell r="E1069" t="str">
            <v>동물</v>
          </cell>
          <cell r="F1069">
            <v>2</v>
          </cell>
          <cell r="G1069" t="str">
            <v>C</v>
          </cell>
          <cell r="H1069">
            <v>2</v>
          </cell>
        </row>
        <row r="1070">
          <cell r="A1070">
            <v>70409142</v>
          </cell>
          <cell r="B1070" t="str">
            <v>매너티</v>
          </cell>
          <cell r="C1070" t="str">
            <v>포유류</v>
          </cell>
          <cell r="D1070">
            <v>5</v>
          </cell>
          <cell r="E1070" t="str">
            <v>동물</v>
          </cell>
          <cell r="F1070">
            <v>2</v>
          </cell>
          <cell r="G1070" t="str">
            <v>S</v>
          </cell>
          <cell r="H1070">
            <v>5</v>
          </cell>
        </row>
        <row r="1071">
          <cell r="A1071">
            <v>70409143</v>
          </cell>
          <cell r="B1071" t="str">
            <v>매지방어</v>
          </cell>
          <cell r="C1071" t="str">
            <v>어류</v>
          </cell>
          <cell r="D1071">
            <v>8</v>
          </cell>
          <cell r="E1071" t="str">
            <v>동물</v>
          </cell>
          <cell r="F1071">
            <v>2</v>
          </cell>
          <cell r="G1071" t="str">
            <v>C</v>
          </cell>
          <cell r="H1071">
            <v>2</v>
          </cell>
        </row>
        <row r="1072">
          <cell r="A1072">
            <v>70409144</v>
          </cell>
          <cell r="B1072" t="str">
            <v>매퉁이</v>
          </cell>
          <cell r="C1072" t="str">
            <v>어류</v>
          </cell>
          <cell r="D1072">
            <v>8</v>
          </cell>
          <cell r="E1072" t="str">
            <v>동물</v>
          </cell>
          <cell r="F1072">
            <v>2</v>
          </cell>
          <cell r="G1072" t="str">
            <v>B</v>
          </cell>
          <cell r="H1072">
            <v>3</v>
          </cell>
        </row>
        <row r="1073">
          <cell r="A1073">
            <v>70409145</v>
          </cell>
          <cell r="B1073" t="str">
            <v>먹붕장어</v>
          </cell>
          <cell r="C1073" t="str">
            <v>어류</v>
          </cell>
          <cell r="D1073">
            <v>8</v>
          </cell>
          <cell r="E1073" t="str">
            <v>동물</v>
          </cell>
          <cell r="F1073">
            <v>2</v>
          </cell>
          <cell r="G1073" t="str">
            <v>B</v>
          </cell>
          <cell r="H1073">
            <v>3</v>
          </cell>
        </row>
        <row r="1074">
          <cell r="A1074">
            <v>70409146</v>
          </cell>
          <cell r="B1074" t="str">
            <v>먹얼게비늘</v>
          </cell>
          <cell r="C1074" t="str">
            <v>어류</v>
          </cell>
          <cell r="D1074">
            <v>8</v>
          </cell>
          <cell r="E1074" t="str">
            <v>동물</v>
          </cell>
          <cell r="F1074">
            <v>2</v>
          </cell>
          <cell r="G1074" t="str">
            <v>S</v>
          </cell>
          <cell r="H1074">
            <v>5</v>
          </cell>
        </row>
        <row r="1075">
          <cell r="A1075">
            <v>70409147</v>
          </cell>
          <cell r="B1075" t="str">
            <v>먹장어</v>
          </cell>
          <cell r="C1075" t="str">
            <v>어류</v>
          </cell>
          <cell r="D1075">
            <v>8</v>
          </cell>
          <cell r="E1075" t="str">
            <v>동물</v>
          </cell>
          <cell r="F1075">
            <v>2</v>
          </cell>
          <cell r="G1075" t="str">
            <v>C</v>
          </cell>
          <cell r="H1075">
            <v>2</v>
          </cell>
        </row>
        <row r="1076">
          <cell r="A1076">
            <v>70409148</v>
          </cell>
          <cell r="B1076" t="str">
            <v>먹줄촉수</v>
          </cell>
          <cell r="C1076" t="str">
            <v>어류</v>
          </cell>
          <cell r="D1076">
            <v>8</v>
          </cell>
          <cell r="E1076" t="str">
            <v>동물</v>
          </cell>
          <cell r="F1076">
            <v>2</v>
          </cell>
          <cell r="G1076" t="str">
            <v>B</v>
          </cell>
          <cell r="H1076">
            <v>3</v>
          </cell>
        </row>
        <row r="1077">
          <cell r="A1077">
            <v>70409149</v>
          </cell>
          <cell r="B1077" t="str">
            <v>먹테얼게비늘</v>
          </cell>
          <cell r="C1077" t="str">
            <v>어류</v>
          </cell>
          <cell r="D1077">
            <v>8</v>
          </cell>
          <cell r="E1077" t="str">
            <v>동물</v>
          </cell>
          <cell r="F1077">
            <v>2</v>
          </cell>
          <cell r="G1077" t="str">
            <v>B</v>
          </cell>
          <cell r="H1077">
            <v>3</v>
          </cell>
        </row>
        <row r="1078">
          <cell r="A1078">
            <v>70409150</v>
          </cell>
          <cell r="B1078" t="str">
            <v>멸치</v>
          </cell>
          <cell r="C1078" t="str">
            <v>어류</v>
          </cell>
          <cell r="D1078">
            <v>8</v>
          </cell>
          <cell r="E1078" t="str">
            <v>동물</v>
          </cell>
          <cell r="F1078">
            <v>2</v>
          </cell>
          <cell r="G1078" t="str">
            <v>D</v>
          </cell>
          <cell r="H1078">
            <v>1</v>
          </cell>
        </row>
        <row r="1079">
          <cell r="A1079">
            <v>70409151</v>
          </cell>
          <cell r="B1079" t="str">
            <v>명태</v>
          </cell>
          <cell r="C1079" t="str">
            <v>어류</v>
          </cell>
          <cell r="D1079">
            <v>8</v>
          </cell>
          <cell r="E1079" t="str">
            <v>동물</v>
          </cell>
          <cell r="F1079">
            <v>2</v>
          </cell>
          <cell r="G1079" t="str">
            <v>B</v>
          </cell>
          <cell r="H1079">
            <v>3</v>
          </cell>
        </row>
        <row r="1080">
          <cell r="A1080">
            <v>70409152</v>
          </cell>
          <cell r="B1080" t="str">
            <v>모조리상어</v>
          </cell>
          <cell r="C1080" t="str">
            <v>어류</v>
          </cell>
          <cell r="D1080">
            <v>8</v>
          </cell>
          <cell r="E1080" t="str">
            <v>동물</v>
          </cell>
          <cell r="F1080">
            <v>2</v>
          </cell>
          <cell r="G1080" t="str">
            <v>S</v>
          </cell>
          <cell r="H1080">
            <v>5</v>
          </cell>
        </row>
        <row r="1081">
          <cell r="A1081">
            <v>70409153</v>
          </cell>
          <cell r="B1081" t="str">
            <v>모토로담수가오리</v>
          </cell>
          <cell r="C1081" t="str">
            <v>어류</v>
          </cell>
          <cell r="D1081">
            <v>8</v>
          </cell>
          <cell r="E1081" t="str">
            <v>동물</v>
          </cell>
          <cell r="F1081">
            <v>2</v>
          </cell>
          <cell r="G1081" t="str">
            <v>A</v>
          </cell>
          <cell r="H1081">
            <v>4</v>
          </cell>
        </row>
        <row r="1082">
          <cell r="A1082">
            <v>70409154</v>
          </cell>
          <cell r="B1082" t="str">
            <v>몽치다래</v>
          </cell>
          <cell r="C1082" t="str">
            <v>어류</v>
          </cell>
          <cell r="D1082">
            <v>8</v>
          </cell>
          <cell r="E1082" t="str">
            <v>동물</v>
          </cell>
          <cell r="F1082">
            <v>2</v>
          </cell>
          <cell r="G1082" t="str">
            <v>C</v>
          </cell>
          <cell r="H1082">
            <v>2</v>
          </cell>
        </row>
        <row r="1083">
          <cell r="A1083">
            <v>70409155</v>
          </cell>
          <cell r="B1083" t="str">
            <v>무늬가시돔</v>
          </cell>
          <cell r="C1083" t="str">
            <v>어류</v>
          </cell>
          <cell r="D1083">
            <v>8</v>
          </cell>
          <cell r="E1083" t="str">
            <v>동물</v>
          </cell>
          <cell r="F1083">
            <v>2</v>
          </cell>
          <cell r="G1083" t="str">
            <v>B</v>
          </cell>
          <cell r="H1083">
            <v>3</v>
          </cell>
        </row>
        <row r="1084">
          <cell r="A1084">
            <v>70409156</v>
          </cell>
          <cell r="B1084" t="str">
            <v>무늬갈돔</v>
          </cell>
          <cell r="C1084" t="str">
            <v>어류</v>
          </cell>
          <cell r="D1084">
            <v>8</v>
          </cell>
          <cell r="E1084" t="str">
            <v>동물</v>
          </cell>
          <cell r="F1084">
            <v>2</v>
          </cell>
          <cell r="G1084" t="str">
            <v>B</v>
          </cell>
          <cell r="H1084">
            <v>3</v>
          </cell>
        </row>
        <row r="1085">
          <cell r="A1085">
            <v>70409157</v>
          </cell>
          <cell r="B1085" t="str">
            <v>무늬깜정이</v>
          </cell>
          <cell r="C1085" t="str">
            <v>어류</v>
          </cell>
          <cell r="D1085">
            <v>8</v>
          </cell>
          <cell r="E1085" t="str">
            <v>동물</v>
          </cell>
          <cell r="F1085">
            <v>2</v>
          </cell>
          <cell r="G1085" t="str">
            <v>C</v>
          </cell>
          <cell r="H1085">
            <v>2</v>
          </cell>
        </row>
        <row r="1086">
          <cell r="A1086">
            <v>70409158</v>
          </cell>
          <cell r="B1086" t="str">
            <v>무늬바리</v>
          </cell>
          <cell r="C1086" t="str">
            <v>어류</v>
          </cell>
          <cell r="D1086">
            <v>8</v>
          </cell>
          <cell r="E1086" t="str">
            <v>동물</v>
          </cell>
          <cell r="F1086">
            <v>2</v>
          </cell>
          <cell r="G1086" t="str">
            <v>C</v>
          </cell>
          <cell r="H1086">
            <v>2</v>
          </cell>
        </row>
        <row r="1087">
          <cell r="A1087">
            <v>70409159</v>
          </cell>
          <cell r="B1087" t="str">
            <v>무늬쥐치</v>
          </cell>
          <cell r="C1087" t="str">
            <v>어류</v>
          </cell>
          <cell r="D1087">
            <v>8</v>
          </cell>
          <cell r="E1087" t="str">
            <v>동물</v>
          </cell>
          <cell r="F1087">
            <v>2</v>
          </cell>
          <cell r="G1087" t="str">
            <v>C</v>
          </cell>
          <cell r="H1087">
            <v>2</v>
          </cell>
        </row>
        <row r="1088">
          <cell r="A1088">
            <v>70409160</v>
          </cell>
          <cell r="B1088" t="str">
            <v>무늬퉁돔</v>
          </cell>
          <cell r="C1088" t="str">
            <v>어류</v>
          </cell>
          <cell r="D1088">
            <v>8</v>
          </cell>
          <cell r="E1088" t="str">
            <v>동물</v>
          </cell>
          <cell r="F1088">
            <v>2</v>
          </cell>
          <cell r="G1088" t="str">
            <v>C</v>
          </cell>
          <cell r="H1088">
            <v>2</v>
          </cell>
        </row>
        <row r="1089">
          <cell r="A1089">
            <v>70409161</v>
          </cell>
          <cell r="B1089" t="str">
            <v>무지개송어</v>
          </cell>
          <cell r="C1089" t="str">
            <v>어류</v>
          </cell>
          <cell r="D1089">
            <v>8</v>
          </cell>
          <cell r="E1089" t="str">
            <v>동물</v>
          </cell>
          <cell r="F1089">
            <v>2</v>
          </cell>
          <cell r="G1089" t="str">
            <v>C</v>
          </cell>
          <cell r="H1089">
            <v>2</v>
          </cell>
        </row>
        <row r="1090">
          <cell r="A1090">
            <v>70409162</v>
          </cell>
          <cell r="B1090" t="str">
            <v>무태상어</v>
          </cell>
          <cell r="C1090" t="str">
            <v>어류</v>
          </cell>
          <cell r="D1090">
            <v>8</v>
          </cell>
          <cell r="E1090" t="str">
            <v>동물</v>
          </cell>
          <cell r="F1090">
            <v>2</v>
          </cell>
          <cell r="G1090" t="str">
            <v>S</v>
          </cell>
          <cell r="H1090">
            <v>5</v>
          </cell>
        </row>
        <row r="1091">
          <cell r="A1091">
            <v>70409163</v>
          </cell>
          <cell r="B1091" t="str">
            <v>문절망둑</v>
          </cell>
          <cell r="C1091" t="str">
            <v>어류</v>
          </cell>
          <cell r="D1091">
            <v>8</v>
          </cell>
          <cell r="E1091" t="str">
            <v>동물</v>
          </cell>
          <cell r="F1091">
            <v>2</v>
          </cell>
          <cell r="G1091" t="str">
            <v>B</v>
          </cell>
          <cell r="H1091">
            <v>3</v>
          </cell>
        </row>
        <row r="1092">
          <cell r="A1092">
            <v>70409164</v>
          </cell>
          <cell r="B1092" t="str">
            <v>물가자미</v>
          </cell>
          <cell r="C1092" t="str">
            <v>어류</v>
          </cell>
          <cell r="D1092">
            <v>8</v>
          </cell>
          <cell r="E1092" t="str">
            <v>동물</v>
          </cell>
          <cell r="F1092">
            <v>2</v>
          </cell>
          <cell r="G1092" t="str">
            <v>B</v>
          </cell>
          <cell r="H1092">
            <v>3</v>
          </cell>
        </row>
        <row r="1093">
          <cell r="A1093">
            <v>70409165</v>
          </cell>
          <cell r="B1093" t="str">
            <v>물각쥐치</v>
          </cell>
          <cell r="C1093" t="str">
            <v>어류</v>
          </cell>
          <cell r="D1093">
            <v>8</v>
          </cell>
          <cell r="E1093" t="str">
            <v>동물</v>
          </cell>
          <cell r="F1093">
            <v>2</v>
          </cell>
          <cell r="G1093" t="str">
            <v>C</v>
          </cell>
          <cell r="H1093">
            <v>2</v>
          </cell>
        </row>
        <row r="1094">
          <cell r="A1094">
            <v>70409166</v>
          </cell>
          <cell r="B1094" t="str">
            <v>물개복치</v>
          </cell>
          <cell r="C1094" t="str">
            <v>어류</v>
          </cell>
          <cell r="D1094">
            <v>8</v>
          </cell>
          <cell r="E1094" t="str">
            <v>동물</v>
          </cell>
          <cell r="F1094">
            <v>2</v>
          </cell>
          <cell r="G1094" t="str">
            <v>C</v>
          </cell>
          <cell r="H1094">
            <v>2</v>
          </cell>
        </row>
        <row r="1095">
          <cell r="A1095">
            <v>70409167</v>
          </cell>
          <cell r="B1095" t="str">
            <v>물수배기</v>
          </cell>
          <cell r="C1095" t="str">
            <v>어류</v>
          </cell>
          <cell r="D1095">
            <v>8</v>
          </cell>
          <cell r="E1095" t="str">
            <v>동물</v>
          </cell>
          <cell r="F1095">
            <v>2</v>
          </cell>
          <cell r="G1095" t="str">
            <v>B</v>
          </cell>
          <cell r="H1095">
            <v>3</v>
          </cell>
        </row>
        <row r="1096">
          <cell r="A1096">
            <v>70409168</v>
          </cell>
          <cell r="B1096" t="str">
            <v>물천구</v>
          </cell>
          <cell r="C1096" t="str">
            <v>어류</v>
          </cell>
          <cell r="D1096">
            <v>8</v>
          </cell>
          <cell r="E1096" t="str">
            <v>동물</v>
          </cell>
          <cell r="F1096">
            <v>2</v>
          </cell>
          <cell r="G1096" t="str">
            <v>A</v>
          </cell>
          <cell r="H1096">
            <v>4</v>
          </cell>
        </row>
        <row r="1097">
          <cell r="A1097">
            <v>70409169</v>
          </cell>
          <cell r="B1097" t="str">
            <v>물퉁돔</v>
          </cell>
          <cell r="C1097" t="str">
            <v>어류</v>
          </cell>
          <cell r="D1097">
            <v>8</v>
          </cell>
          <cell r="E1097" t="str">
            <v>동물</v>
          </cell>
          <cell r="F1097">
            <v>2</v>
          </cell>
          <cell r="G1097" t="str">
            <v>B</v>
          </cell>
          <cell r="H1097">
            <v>3</v>
          </cell>
        </row>
        <row r="1098">
          <cell r="A1098">
            <v>70409170</v>
          </cell>
          <cell r="B1098" t="str">
            <v>민무늬백합</v>
          </cell>
          <cell r="C1098" t="str">
            <v>무척추동물</v>
          </cell>
          <cell r="D1098">
            <v>9</v>
          </cell>
          <cell r="E1098" t="str">
            <v>동물</v>
          </cell>
          <cell r="F1098">
            <v>2</v>
          </cell>
          <cell r="G1098" t="str">
            <v>C</v>
          </cell>
          <cell r="H1098">
            <v>2</v>
          </cell>
        </row>
        <row r="1099">
          <cell r="A1099">
            <v>70409171</v>
          </cell>
          <cell r="B1099" t="str">
            <v>민물꼬치고기</v>
          </cell>
          <cell r="C1099" t="str">
            <v>어류</v>
          </cell>
          <cell r="D1099">
            <v>8</v>
          </cell>
          <cell r="E1099" t="str">
            <v>동물</v>
          </cell>
          <cell r="F1099">
            <v>2</v>
          </cell>
          <cell r="G1099" t="str">
            <v>B</v>
          </cell>
          <cell r="H1099">
            <v>3</v>
          </cell>
        </row>
        <row r="1100">
          <cell r="A1100">
            <v>70409172</v>
          </cell>
          <cell r="B1100" t="str">
            <v>민밀복</v>
          </cell>
          <cell r="C1100" t="str">
            <v>어류</v>
          </cell>
          <cell r="D1100">
            <v>8</v>
          </cell>
          <cell r="E1100" t="str">
            <v>동물</v>
          </cell>
          <cell r="F1100">
            <v>2</v>
          </cell>
          <cell r="G1100" t="str">
            <v>C</v>
          </cell>
          <cell r="H1100">
            <v>2</v>
          </cell>
        </row>
        <row r="1101">
          <cell r="A1101">
            <v>70409173</v>
          </cell>
          <cell r="B1101" t="str">
            <v>민어</v>
          </cell>
          <cell r="C1101" t="str">
            <v>어류</v>
          </cell>
          <cell r="D1101">
            <v>8</v>
          </cell>
          <cell r="E1101" t="str">
            <v>동물</v>
          </cell>
          <cell r="F1101">
            <v>2</v>
          </cell>
          <cell r="G1101" t="str">
            <v>C</v>
          </cell>
          <cell r="H1101">
            <v>2</v>
          </cell>
        </row>
        <row r="1102">
          <cell r="A1102">
            <v>70409174</v>
          </cell>
          <cell r="B1102" t="str">
            <v>민전갱이</v>
          </cell>
          <cell r="C1102" t="str">
            <v>어류</v>
          </cell>
          <cell r="D1102">
            <v>8</v>
          </cell>
          <cell r="E1102" t="str">
            <v>동물</v>
          </cell>
          <cell r="F1102">
            <v>2</v>
          </cell>
          <cell r="G1102" t="str">
            <v>C</v>
          </cell>
          <cell r="H1102">
            <v>2</v>
          </cell>
        </row>
        <row r="1103">
          <cell r="A1103">
            <v>70409175</v>
          </cell>
          <cell r="B1103" t="str">
            <v>밀복</v>
          </cell>
          <cell r="C1103" t="str">
            <v>어류</v>
          </cell>
          <cell r="D1103">
            <v>8</v>
          </cell>
          <cell r="E1103" t="str">
            <v>동물</v>
          </cell>
          <cell r="F1103">
            <v>2</v>
          </cell>
          <cell r="G1103" t="str">
            <v>C</v>
          </cell>
          <cell r="H1103">
            <v>2</v>
          </cell>
        </row>
        <row r="1104">
          <cell r="A1104">
            <v>70409176</v>
          </cell>
          <cell r="B1104" t="str">
            <v>밍크고래</v>
          </cell>
          <cell r="C1104" t="str">
            <v>포유류</v>
          </cell>
          <cell r="D1104">
            <v>5</v>
          </cell>
          <cell r="E1104" t="str">
            <v>동물</v>
          </cell>
          <cell r="F1104">
            <v>2</v>
          </cell>
          <cell r="G1104" t="str">
            <v>S</v>
          </cell>
          <cell r="H1104">
            <v>5</v>
          </cell>
        </row>
        <row r="1105">
          <cell r="A1105">
            <v>70409177</v>
          </cell>
          <cell r="B1105" t="str">
            <v>밑성대</v>
          </cell>
          <cell r="C1105" t="str">
            <v>어류</v>
          </cell>
          <cell r="D1105">
            <v>8</v>
          </cell>
          <cell r="E1105" t="str">
            <v>동물</v>
          </cell>
          <cell r="F1105">
            <v>2</v>
          </cell>
          <cell r="G1105" t="str">
            <v>S</v>
          </cell>
          <cell r="H1105">
            <v>5</v>
          </cell>
        </row>
        <row r="1106">
          <cell r="A1106">
            <v>70409178</v>
          </cell>
          <cell r="B1106" t="str">
            <v>바다나리</v>
          </cell>
          <cell r="C1106" t="str">
            <v>무척추동물</v>
          </cell>
          <cell r="D1106">
            <v>9</v>
          </cell>
          <cell r="E1106" t="str">
            <v>동물</v>
          </cell>
          <cell r="F1106">
            <v>2</v>
          </cell>
          <cell r="G1106" t="str">
            <v>D</v>
          </cell>
          <cell r="H1106">
            <v>1</v>
          </cell>
        </row>
        <row r="1107">
          <cell r="A1107">
            <v>70409179</v>
          </cell>
          <cell r="B1107" t="str">
            <v>바다동자개</v>
          </cell>
          <cell r="C1107" t="str">
            <v>어류</v>
          </cell>
          <cell r="D1107">
            <v>8</v>
          </cell>
          <cell r="E1107" t="str">
            <v>동물</v>
          </cell>
          <cell r="F1107">
            <v>2</v>
          </cell>
          <cell r="G1107" t="str">
            <v>S</v>
          </cell>
          <cell r="H1107">
            <v>5</v>
          </cell>
        </row>
        <row r="1108">
          <cell r="A1108">
            <v>70409180</v>
          </cell>
          <cell r="B1108" t="str">
            <v>바다뱀</v>
          </cell>
          <cell r="C1108" t="str">
            <v>어류</v>
          </cell>
          <cell r="D1108">
            <v>8</v>
          </cell>
          <cell r="E1108" t="str">
            <v>동물</v>
          </cell>
          <cell r="F1108">
            <v>2</v>
          </cell>
          <cell r="G1108" t="str">
            <v>A</v>
          </cell>
          <cell r="H1108">
            <v>4</v>
          </cell>
        </row>
        <row r="1109">
          <cell r="A1109">
            <v>70409181</v>
          </cell>
          <cell r="B1109" t="str">
            <v>바다빙어</v>
          </cell>
          <cell r="C1109" t="str">
            <v>어류</v>
          </cell>
          <cell r="D1109">
            <v>8</v>
          </cell>
          <cell r="E1109" t="str">
            <v>동물</v>
          </cell>
          <cell r="F1109">
            <v>2</v>
          </cell>
          <cell r="G1109" t="str">
            <v>B</v>
          </cell>
          <cell r="H1109">
            <v>3</v>
          </cell>
        </row>
        <row r="1110">
          <cell r="A1110">
            <v>70409182</v>
          </cell>
          <cell r="B1110" t="str">
            <v>바닥가오리</v>
          </cell>
          <cell r="C1110" t="str">
            <v>어류</v>
          </cell>
          <cell r="D1110">
            <v>8</v>
          </cell>
          <cell r="E1110" t="str">
            <v>동물</v>
          </cell>
          <cell r="F1110">
            <v>2</v>
          </cell>
          <cell r="G1110" t="str">
            <v>C</v>
          </cell>
          <cell r="H1110">
            <v>2</v>
          </cell>
        </row>
        <row r="1111">
          <cell r="A1111">
            <v>70409183</v>
          </cell>
          <cell r="B1111" t="str">
            <v>반딧불게르치</v>
          </cell>
          <cell r="C1111" t="str">
            <v>어류</v>
          </cell>
          <cell r="D1111">
            <v>8</v>
          </cell>
          <cell r="E1111" t="str">
            <v>동물</v>
          </cell>
          <cell r="F1111">
            <v>2</v>
          </cell>
          <cell r="G1111" t="str">
            <v>B</v>
          </cell>
          <cell r="H1111">
            <v>3</v>
          </cell>
        </row>
        <row r="1112">
          <cell r="A1112">
            <v>70409184</v>
          </cell>
          <cell r="B1112" t="str">
            <v>반지</v>
          </cell>
          <cell r="C1112" t="str">
            <v>어류</v>
          </cell>
          <cell r="D1112">
            <v>8</v>
          </cell>
          <cell r="E1112" t="str">
            <v>동물</v>
          </cell>
          <cell r="F1112">
            <v>2</v>
          </cell>
          <cell r="G1112" t="str">
            <v>C</v>
          </cell>
          <cell r="H1112">
            <v>2</v>
          </cell>
        </row>
        <row r="1113">
          <cell r="A1113">
            <v>70409185</v>
          </cell>
          <cell r="B1113" t="str">
            <v>방어</v>
          </cell>
          <cell r="C1113" t="str">
            <v>어류</v>
          </cell>
          <cell r="D1113">
            <v>8</v>
          </cell>
          <cell r="E1113" t="str">
            <v>동물</v>
          </cell>
          <cell r="F1113">
            <v>2</v>
          </cell>
          <cell r="G1113" t="str">
            <v>C</v>
          </cell>
          <cell r="H1113">
            <v>2</v>
          </cell>
        </row>
        <row r="1114">
          <cell r="A1114">
            <v>70409186</v>
          </cell>
          <cell r="B1114" t="str">
            <v>배불뚝치</v>
          </cell>
          <cell r="C1114" t="str">
            <v>어류</v>
          </cell>
          <cell r="D1114">
            <v>8</v>
          </cell>
          <cell r="E1114" t="str">
            <v>동물</v>
          </cell>
          <cell r="F1114">
            <v>2</v>
          </cell>
          <cell r="G1114" t="str">
            <v>C</v>
          </cell>
          <cell r="H1114">
            <v>2</v>
          </cell>
        </row>
        <row r="1115">
          <cell r="A1115">
            <v>70409187</v>
          </cell>
          <cell r="B1115" t="str">
            <v>배주름쥐치</v>
          </cell>
          <cell r="C1115" t="str">
            <v>어류</v>
          </cell>
          <cell r="D1115">
            <v>8</v>
          </cell>
          <cell r="E1115" t="str">
            <v>동물</v>
          </cell>
          <cell r="F1115">
            <v>2</v>
          </cell>
          <cell r="G1115" t="str">
            <v>B</v>
          </cell>
          <cell r="H1115">
            <v>3</v>
          </cell>
        </row>
        <row r="1116">
          <cell r="A1116">
            <v>70409188</v>
          </cell>
          <cell r="B1116" t="str">
            <v>백다랑어</v>
          </cell>
          <cell r="C1116" t="str">
            <v>어류</v>
          </cell>
          <cell r="D1116">
            <v>8</v>
          </cell>
          <cell r="E1116" t="str">
            <v>동물</v>
          </cell>
          <cell r="F1116">
            <v>2</v>
          </cell>
          <cell r="G1116" t="str">
            <v>A</v>
          </cell>
          <cell r="H1116">
            <v>4</v>
          </cell>
        </row>
        <row r="1117">
          <cell r="A1117">
            <v>70409189</v>
          </cell>
          <cell r="B1117" t="str">
            <v>백미돔</v>
          </cell>
          <cell r="C1117" t="str">
            <v>어류</v>
          </cell>
          <cell r="D1117">
            <v>8</v>
          </cell>
          <cell r="E1117" t="str">
            <v>동물</v>
          </cell>
          <cell r="F1117">
            <v>2</v>
          </cell>
          <cell r="G1117" t="str">
            <v>A</v>
          </cell>
          <cell r="H1117">
            <v>4</v>
          </cell>
        </row>
        <row r="1118">
          <cell r="A1118">
            <v>70409190</v>
          </cell>
          <cell r="B1118" t="str">
            <v>백상아리</v>
          </cell>
          <cell r="C1118" t="str">
            <v>어류</v>
          </cell>
          <cell r="D1118">
            <v>8</v>
          </cell>
          <cell r="E1118" t="str">
            <v>동물</v>
          </cell>
          <cell r="F1118">
            <v>2</v>
          </cell>
          <cell r="G1118" t="str">
            <v>S</v>
          </cell>
          <cell r="H1118">
            <v>5</v>
          </cell>
        </row>
        <row r="1119">
          <cell r="A1119">
            <v>70409191</v>
          </cell>
          <cell r="B1119" t="str">
            <v>뱀상어</v>
          </cell>
          <cell r="C1119" t="str">
            <v>어류</v>
          </cell>
          <cell r="D1119">
            <v>8</v>
          </cell>
          <cell r="E1119" t="str">
            <v>동물</v>
          </cell>
          <cell r="F1119">
            <v>2</v>
          </cell>
          <cell r="G1119" t="str">
            <v>S</v>
          </cell>
          <cell r="H1119">
            <v>5</v>
          </cell>
        </row>
        <row r="1120">
          <cell r="A1120">
            <v>70409192</v>
          </cell>
          <cell r="B1120" t="str">
            <v>뱀장어</v>
          </cell>
          <cell r="C1120" t="str">
            <v>어류</v>
          </cell>
          <cell r="D1120">
            <v>8</v>
          </cell>
          <cell r="E1120" t="str">
            <v>동물</v>
          </cell>
          <cell r="F1120">
            <v>2</v>
          </cell>
          <cell r="G1120" t="str">
            <v>A</v>
          </cell>
          <cell r="H1120">
            <v>4</v>
          </cell>
        </row>
        <row r="1121">
          <cell r="A1121">
            <v>70409193</v>
          </cell>
          <cell r="B1121" t="str">
            <v>뱅어</v>
          </cell>
          <cell r="C1121" t="str">
            <v>어류</v>
          </cell>
          <cell r="D1121">
            <v>8</v>
          </cell>
          <cell r="E1121" t="str">
            <v>동물</v>
          </cell>
          <cell r="F1121">
            <v>2</v>
          </cell>
          <cell r="G1121" t="str">
            <v>B</v>
          </cell>
          <cell r="H1121">
            <v>3</v>
          </cell>
        </row>
        <row r="1122">
          <cell r="A1122">
            <v>70409194</v>
          </cell>
          <cell r="B1122" t="str">
            <v>벌감펭</v>
          </cell>
          <cell r="C1122" t="str">
            <v>어류</v>
          </cell>
          <cell r="D1122">
            <v>8</v>
          </cell>
          <cell r="E1122" t="str">
            <v>동물</v>
          </cell>
          <cell r="F1122">
            <v>2</v>
          </cell>
          <cell r="G1122" t="str">
            <v>C</v>
          </cell>
          <cell r="H1122">
            <v>2</v>
          </cell>
        </row>
        <row r="1123">
          <cell r="A1123">
            <v>70409195</v>
          </cell>
          <cell r="B1123" t="str">
            <v>범고래</v>
          </cell>
          <cell r="C1123" t="str">
            <v>포유류</v>
          </cell>
          <cell r="D1123">
            <v>5</v>
          </cell>
          <cell r="E1123" t="str">
            <v>동물</v>
          </cell>
          <cell r="F1123">
            <v>2</v>
          </cell>
          <cell r="G1123" t="str">
            <v>A</v>
          </cell>
          <cell r="H1123">
            <v>4</v>
          </cell>
        </row>
        <row r="1124">
          <cell r="A1124">
            <v>70409196</v>
          </cell>
          <cell r="B1124" t="str">
            <v>범돔</v>
          </cell>
          <cell r="C1124" t="str">
            <v>어류</v>
          </cell>
          <cell r="D1124">
            <v>8</v>
          </cell>
          <cell r="E1124" t="str">
            <v>동물</v>
          </cell>
          <cell r="F1124">
            <v>2</v>
          </cell>
          <cell r="G1124" t="str">
            <v>B</v>
          </cell>
          <cell r="H1124">
            <v>3</v>
          </cell>
        </row>
        <row r="1125">
          <cell r="A1125">
            <v>70409197</v>
          </cell>
          <cell r="B1125" t="str">
            <v>베링늑대고기</v>
          </cell>
          <cell r="C1125" t="str">
            <v>어류</v>
          </cell>
          <cell r="D1125">
            <v>8</v>
          </cell>
          <cell r="E1125" t="str">
            <v>동물</v>
          </cell>
          <cell r="F1125">
            <v>2</v>
          </cell>
          <cell r="G1125" t="str">
            <v>B</v>
          </cell>
          <cell r="H1125">
            <v>3</v>
          </cell>
        </row>
        <row r="1126">
          <cell r="A1126">
            <v>70409198</v>
          </cell>
          <cell r="B1126" t="str">
            <v>벵에돔</v>
          </cell>
          <cell r="C1126" t="str">
            <v>어류</v>
          </cell>
          <cell r="D1126">
            <v>8</v>
          </cell>
          <cell r="E1126" t="str">
            <v>동물</v>
          </cell>
          <cell r="F1126">
            <v>2</v>
          </cell>
          <cell r="G1126" t="str">
            <v>C</v>
          </cell>
          <cell r="H1126">
            <v>2</v>
          </cell>
        </row>
        <row r="1127">
          <cell r="A1127">
            <v>70409199</v>
          </cell>
          <cell r="B1127" t="str">
            <v>별목탁가자미</v>
          </cell>
          <cell r="C1127" t="str">
            <v>어류</v>
          </cell>
          <cell r="D1127">
            <v>8</v>
          </cell>
          <cell r="E1127" t="str">
            <v>동물</v>
          </cell>
          <cell r="F1127">
            <v>2</v>
          </cell>
          <cell r="G1127" t="str">
            <v>C</v>
          </cell>
          <cell r="H1127">
            <v>2</v>
          </cell>
        </row>
        <row r="1128">
          <cell r="A1128">
            <v>70409200</v>
          </cell>
          <cell r="B1128" t="str">
            <v>별보리멸</v>
          </cell>
          <cell r="C1128" t="str">
            <v>어류</v>
          </cell>
          <cell r="D1128">
            <v>8</v>
          </cell>
          <cell r="E1128" t="str">
            <v>동물</v>
          </cell>
          <cell r="F1128">
            <v>2</v>
          </cell>
          <cell r="G1128" t="str">
            <v>C</v>
          </cell>
          <cell r="H1128">
            <v>2</v>
          </cell>
        </row>
        <row r="1129">
          <cell r="A1129">
            <v>70409201</v>
          </cell>
          <cell r="B1129" t="str">
            <v>별복</v>
          </cell>
          <cell r="C1129" t="str">
            <v>어류</v>
          </cell>
          <cell r="D1129">
            <v>8</v>
          </cell>
          <cell r="E1129" t="str">
            <v>동물</v>
          </cell>
          <cell r="F1129">
            <v>2</v>
          </cell>
          <cell r="G1129" t="str">
            <v>C</v>
          </cell>
          <cell r="H1129">
            <v>2</v>
          </cell>
        </row>
        <row r="1130">
          <cell r="A1130">
            <v>70409202</v>
          </cell>
          <cell r="B1130" t="str">
            <v>별상어</v>
          </cell>
          <cell r="C1130" t="str">
            <v>어류</v>
          </cell>
          <cell r="D1130">
            <v>8</v>
          </cell>
          <cell r="E1130" t="str">
            <v>동물</v>
          </cell>
          <cell r="F1130">
            <v>2</v>
          </cell>
          <cell r="G1130" t="str">
            <v>A</v>
          </cell>
          <cell r="H1130">
            <v>4</v>
          </cell>
        </row>
        <row r="1131">
          <cell r="A1131">
            <v>70409203</v>
          </cell>
          <cell r="B1131" t="str">
            <v>별쭉지성대</v>
          </cell>
          <cell r="C1131" t="str">
            <v>어류</v>
          </cell>
          <cell r="D1131">
            <v>8</v>
          </cell>
          <cell r="E1131" t="str">
            <v>동물</v>
          </cell>
          <cell r="F1131">
            <v>2</v>
          </cell>
          <cell r="G1131" t="str">
            <v>C</v>
          </cell>
          <cell r="H1131">
            <v>2</v>
          </cell>
        </row>
        <row r="1132">
          <cell r="A1132">
            <v>70409204</v>
          </cell>
          <cell r="B1132" t="str">
            <v>병어</v>
          </cell>
          <cell r="C1132" t="str">
            <v>어류</v>
          </cell>
          <cell r="D1132">
            <v>8</v>
          </cell>
          <cell r="E1132" t="str">
            <v>동물</v>
          </cell>
          <cell r="F1132">
            <v>2</v>
          </cell>
          <cell r="G1132" t="str">
            <v>B</v>
          </cell>
          <cell r="H1132">
            <v>3</v>
          </cell>
        </row>
        <row r="1133">
          <cell r="A1133">
            <v>70409205</v>
          </cell>
          <cell r="B1133" t="str">
            <v>병치돔</v>
          </cell>
          <cell r="C1133" t="str">
            <v>어류</v>
          </cell>
          <cell r="D1133">
            <v>8</v>
          </cell>
          <cell r="E1133" t="str">
            <v>동물</v>
          </cell>
          <cell r="F1133">
            <v>2</v>
          </cell>
          <cell r="G1133" t="str">
            <v>D</v>
          </cell>
          <cell r="H1133">
            <v>1</v>
          </cell>
          <cell r="AW1133" t="str">
            <v/>
          </cell>
          <cell r="BA1133" t="str">
            <v>-</v>
          </cell>
        </row>
        <row r="1134">
          <cell r="A1134">
            <v>70409206</v>
          </cell>
          <cell r="B1134" t="str">
            <v>병치매가리</v>
          </cell>
          <cell r="C1134" t="str">
            <v>어류</v>
          </cell>
          <cell r="D1134">
            <v>8</v>
          </cell>
          <cell r="E1134" t="str">
            <v>동물</v>
          </cell>
          <cell r="F1134">
            <v>2</v>
          </cell>
          <cell r="G1134" t="str">
            <v>C</v>
          </cell>
          <cell r="H1134">
            <v>2</v>
          </cell>
        </row>
        <row r="1135">
          <cell r="A1135">
            <v>70409207</v>
          </cell>
          <cell r="B1135" t="str">
            <v>보라기름눈돔</v>
          </cell>
          <cell r="C1135" t="str">
            <v>어류</v>
          </cell>
          <cell r="D1135">
            <v>8</v>
          </cell>
          <cell r="E1135" t="str">
            <v>동물</v>
          </cell>
          <cell r="F1135">
            <v>2</v>
          </cell>
          <cell r="G1135" t="str">
            <v>B</v>
          </cell>
          <cell r="H1135">
            <v>3</v>
          </cell>
        </row>
        <row r="1136">
          <cell r="A1136">
            <v>70409208</v>
          </cell>
          <cell r="B1136" t="str">
            <v>보리멸</v>
          </cell>
          <cell r="C1136" t="str">
            <v>어류</v>
          </cell>
          <cell r="D1136">
            <v>8</v>
          </cell>
          <cell r="E1136" t="str">
            <v>동물</v>
          </cell>
          <cell r="F1136">
            <v>2</v>
          </cell>
          <cell r="G1136" t="str">
            <v>D</v>
          </cell>
          <cell r="H1136">
            <v>1</v>
          </cell>
          <cell r="AW1136" t="str">
            <v/>
          </cell>
          <cell r="BA1136" t="str">
            <v>-</v>
          </cell>
        </row>
        <row r="1137">
          <cell r="A1137">
            <v>70409210</v>
          </cell>
          <cell r="B1137" t="str">
            <v>복상어</v>
          </cell>
          <cell r="C1137" t="str">
            <v>어류</v>
          </cell>
          <cell r="D1137">
            <v>8</v>
          </cell>
          <cell r="E1137" t="str">
            <v>동물</v>
          </cell>
          <cell r="F1137">
            <v>2</v>
          </cell>
          <cell r="G1137" t="str">
            <v>S</v>
          </cell>
          <cell r="H1137">
            <v>5</v>
          </cell>
        </row>
        <row r="1138">
          <cell r="A1138">
            <v>70409211</v>
          </cell>
          <cell r="B1138" t="str">
            <v>복해마</v>
          </cell>
          <cell r="C1138" t="str">
            <v>어류</v>
          </cell>
          <cell r="D1138">
            <v>8</v>
          </cell>
          <cell r="E1138" t="str">
            <v>동물</v>
          </cell>
          <cell r="F1138">
            <v>2</v>
          </cell>
          <cell r="G1138" t="str">
            <v>B</v>
          </cell>
          <cell r="H1138">
            <v>3</v>
          </cell>
        </row>
        <row r="1139">
          <cell r="A1139">
            <v>70409212</v>
          </cell>
          <cell r="B1139" t="str">
            <v>봉오리양태</v>
          </cell>
          <cell r="C1139" t="str">
            <v>어류</v>
          </cell>
          <cell r="D1139">
            <v>8</v>
          </cell>
          <cell r="E1139" t="str">
            <v>동물</v>
          </cell>
          <cell r="F1139">
            <v>2</v>
          </cell>
          <cell r="G1139" t="str">
            <v>C</v>
          </cell>
          <cell r="H1139">
            <v>2</v>
          </cell>
        </row>
        <row r="1140">
          <cell r="A1140">
            <v>70409213</v>
          </cell>
          <cell r="B1140" t="str">
            <v>부나</v>
          </cell>
          <cell r="C1140" t="str">
            <v>어류</v>
          </cell>
          <cell r="D1140">
            <v>8</v>
          </cell>
          <cell r="E1140" t="str">
            <v>동물</v>
          </cell>
          <cell r="F1140">
            <v>2</v>
          </cell>
          <cell r="G1140" t="str">
            <v>A</v>
          </cell>
          <cell r="H1140">
            <v>4</v>
          </cell>
        </row>
        <row r="1141">
          <cell r="A1141">
            <v>70409214</v>
          </cell>
          <cell r="B1141" t="str">
            <v>부시리</v>
          </cell>
          <cell r="C1141" t="str">
            <v>어류</v>
          </cell>
          <cell r="D1141">
            <v>8</v>
          </cell>
          <cell r="E1141" t="str">
            <v>동물</v>
          </cell>
          <cell r="F1141">
            <v>2</v>
          </cell>
          <cell r="G1141" t="str">
            <v>A</v>
          </cell>
          <cell r="H1141">
            <v>4</v>
          </cell>
        </row>
        <row r="1142">
          <cell r="A1142">
            <v>70409215</v>
          </cell>
          <cell r="B1142" t="str">
            <v>북극고래</v>
          </cell>
          <cell r="C1142" t="str">
            <v>포유류</v>
          </cell>
          <cell r="D1142">
            <v>5</v>
          </cell>
          <cell r="E1142" t="str">
            <v>동물</v>
          </cell>
          <cell r="F1142">
            <v>2</v>
          </cell>
          <cell r="G1142" t="str">
            <v>S</v>
          </cell>
          <cell r="H1142">
            <v>5</v>
          </cell>
        </row>
        <row r="1143">
          <cell r="A1143">
            <v>70409216</v>
          </cell>
          <cell r="B1143" t="str">
            <v>분장어</v>
          </cell>
          <cell r="C1143" t="str">
            <v>어류</v>
          </cell>
          <cell r="D1143">
            <v>8</v>
          </cell>
          <cell r="E1143" t="str">
            <v>동물</v>
          </cell>
          <cell r="F1143">
            <v>2</v>
          </cell>
          <cell r="G1143" t="str">
            <v>C</v>
          </cell>
          <cell r="H1143">
            <v>2</v>
          </cell>
        </row>
        <row r="1144">
          <cell r="A1144">
            <v>70409217</v>
          </cell>
          <cell r="B1144" t="str">
            <v>불뚝복</v>
          </cell>
          <cell r="C1144" t="str">
            <v>어류</v>
          </cell>
          <cell r="D1144">
            <v>8</v>
          </cell>
          <cell r="E1144" t="str">
            <v>동물</v>
          </cell>
          <cell r="F1144">
            <v>2</v>
          </cell>
          <cell r="G1144" t="str">
            <v>D</v>
          </cell>
          <cell r="H1144">
            <v>1</v>
          </cell>
          <cell r="AW1144" t="str">
            <v/>
          </cell>
          <cell r="BA1144" t="str">
            <v>-</v>
          </cell>
        </row>
        <row r="1145">
          <cell r="A1145">
            <v>70409218</v>
          </cell>
          <cell r="B1145" t="str">
            <v>불룩복</v>
          </cell>
          <cell r="C1145" t="str">
            <v>어류</v>
          </cell>
          <cell r="D1145">
            <v>8</v>
          </cell>
          <cell r="E1145" t="str">
            <v>동물</v>
          </cell>
          <cell r="F1145">
            <v>2</v>
          </cell>
          <cell r="G1145" t="str">
            <v>B</v>
          </cell>
          <cell r="H1145">
            <v>3</v>
          </cell>
        </row>
        <row r="1146">
          <cell r="A1146">
            <v>70409219</v>
          </cell>
          <cell r="B1146" t="str">
            <v>붉돔</v>
          </cell>
          <cell r="C1146" t="str">
            <v>어류</v>
          </cell>
          <cell r="D1146">
            <v>8</v>
          </cell>
          <cell r="E1146" t="str">
            <v>동물</v>
          </cell>
          <cell r="F1146">
            <v>2</v>
          </cell>
          <cell r="G1146" t="str">
            <v>A</v>
          </cell>
          <cell r="H1146">
            <v>4</v>
          </cell>
        </row>
        <row r="1147">
          <cell r="A1147">
            <v>70409220</v>
          </cell>
          <cell r="B1147" t="str">
            <v>붉벤자리</v>
          </cell>
          <cell r="C1147" t="str">
            <v>어류</v>
          </cell>
          <cell r="D1147">
            <v>8</v>
          </cell>
          <cell r="E1147" t="str">
            <v>동물</v>
          </cell>
          <cell r="F1147">
            <v>2</v>
          </cell>
          <cell r="G1147" t="str">
            <v>C</v>
          </cell>
          <cell r="H1147">
            <v>2</v>
          </cell>
        </row>
        <row r="1148">
          <cell r="A1148">
            <v>70409221</v>
          </cell>
          <cell r="B1148" t="str">
            <v>붉은게</v>
          </cell>
          <cell r="C1148" t="str">
            <v>무척추동물</v>
          </cell>
          <cell r="D1148">
            <v>9</v>
          </cell>
          <cell r="E1148" t="str">
            <v>동물</v>
          </cell>
          <cell r="F1148">
            <v>2</v>
          </cell>
          <cell r="G1148" t="str">
            <v>C</v>
          </cell>
          <cell r="H1148">
            <v>2</v>
          </cell>
        </row>
        <row r="1149">
          <cell r="A1149">
            <v>70409222</v>
          </cell>
          <cell r="B1149" t="str">
            <v>붉은메기</v>
          </cell>
          <cell r="C1149" t="str">
            <v>어류</v>
          </cell>
          <cell r="D1149">
            <v>8</v>
          </cell>
          <cell r="E1149" t="str">
            <v>동물</v>
          </cell>
          <cell r="F1149">
            <v>2</v>
          </cell>
          <cell r="G1149" t="str">
            <v>A</v>
          </cell>
          <cell r="H1149">
            <v>4</v>
          </cell>
        </row>
        <row r="1150">
          <cell r="A1150">
            <v>70409223</v>
          </cell>
          <cell r="B1150" t="str">
            <v>붉은배파쿠</v>
          </cell>
          <cell r="C1150" t="str">
            <v>어류</v>
          </cell>
          <cell r="D1150">
            <v>8</v>
          </cell>
          <cell r="E1150" t="str">
            <v>동물</v>
          </cell>
          <cell r="F1150">
            <v>2</v>
          </cell>
          <cell r="G1150" t="str">
            <v>B</v>
          </cell>
          <cell r="H1150">
            <v>3</v>
          </cell>
        </row>
        <row r="1151">
          <cell r="A1151">
            <v>70409224</v>
          </cell>
          <cell r="B1151" t="str">
            <v>붉은입술부치</v>
          </cell>
          <cell r="C1151" t="str">
            <v>어류</v>
          </cell>
          <cell r="D1151">
            <v>8</v>
          </cell>
          <cell r="E1151" t="str">
            <v>동물</v>
          </cell>
          <cell r="F1151">
            <v>2</v>
          </cell>
          <cell r="G1151" t="str">
            <v>D</v>
          </cell>
          <cell r="H1151">
            <v>1</v>
          </cell>
          <cell r="AW1151" t="str">
            <v/>
          </cell>
          <cell r="BA1151" t="str">
            <v>-</v>
          </cell>
        </row>
        <row r="1152">
          <cell r="A1152">
            <v>70409225</v>
          </cell>
          <cell r="B1152" t="str">
            <v>붉평치</v>
          </cell>
          <cell r="C1152" t="str">
            <v>어류</v>
          </cell>
          <cell r="D1152">
            <v>8</v>
          </cell>
          <cell r="E1152" t="str">
            <v>동물</v>
          </cell>
          <cell r="F1152">
            <v>2</v>
          </cell>
          <cell r="G1152" t="str">
            <v>C</v>
          </cell>
          <cell r="H1152">
            <v>2</v>
          </cell>
        </row>
        <row r="1153">
          <cell r="A1153">
            <v>70409226</v>
          </cell>
          <cell r="B1153" t="str">
            <v>붕장어</v>
          </cell>
          <cell r="C1153" t="str">
            <v>어류</v>
          </cell>
          <cell r="D1153">
            <v>8</v>
          </cell>
          <cell r="E1153" t="str">
            <v>동물</v>
          </cell>
          <cell r="F1153">
            <v>2</v>
          </cell>
          <cell r="G1153" t="str">
            <v>A</v>
          </cell>
          <cell r="H1153">
            <v>4</v>
          </cell>
        </row>
        <row r="1154">
          <cell r="A1154">
            <v>70409227</v>
          </cell>
          <cell r="B1154" t="str">
            <v>블랙아로와나</v>
          </cell>
          <cell r="C1154" t="str">
            <v>어류</v>
          </cell>
          <cell r="D1154">
            <v>8</v>
          </cell>
          <cell r="E1154" t="str">
            <v>동물</v>
          </cell>
          <cell r="F1154">
            <v>2</v>
          </cell>
          <cell r="G1154" t="str">
            <v>B</v>
          </cell>
          <cell r="H1154">
            <v>3</v>
          </cell>
        </row>
        <row r="1155">
          <cell r="A1155">
            <v>70409228</v>
          </cell>
          <cell r="B1155" t="str">
            <v>비막치어</v>
          </cell>
          <cell r="C1155" t="str">
            <v>어류</v>
          </cell>
          <cell r="D1155">
            <v>8</v>
          </cell>
          <cell r="E1155" t="str">
            <v>동물</v>
          </cell>
          <cell r="F1155">
            <v>2</v>
          </cell>
          <cell r="G1155" t="str">
            <v>B</v>
          </cell>
          <cell r="H1155">
            <v>3</v>
          </cell>
        </row>
        <row r="1156">
          <cell r="A1156">
            <v>70409229</v>
          </cell>
          <cell r="B1156" t="str">
            <v>빨간씬벵이</v>
          </cell>
          <cell r="C1156" t="str">
            <v>어류</v>
          </cell>
          <cell r="D1156">
            <v>8</v>
          </cell>
          <cell r="E1156" t="str">
            <v>동물</v>
          </cell>
          <cell r="F1156">
            <v>2</v>
          </cell>
          <cell r="G1156" t="str">
            <v>D</v>
          </cell>
          <cell r="H1156">
            <v>1</v>
          </cell>
          <cell r="AW1156" t="str">
            <v/>
          </cell>
          <cell r="BA1156" t="str">
            <v>-</v>
          </cell>
        </row>
        <row r="1157">
          <cell r="A1157">
            <v>70409230</v>
          </cell>
          <cell r="B1157" t="str">
            <v>빨간양태</v>
          </cell>
          <cell r="C1157" t="str">
            <v>어류</v>
          </cell>
          <cell r="D1157">
            <v>8</v>
          </cell>
          <cell r="E1157" t="str">
            <v>동물</v>
          </cell>
          <cell r="F1157">
            <v>2</v>
          </cell>
          <cell r="G1157" t="str">
            <v>D</v>
          </cell>
          <cell r="H1157">
            <v>1</v>
          </cell>
          <cell r="AW1157" t="str">
            <v/>
          </cell>
          <cell r="BA1157" t="str">
            <v>-</v>
          </cell>
        </row>
        <row r="1158">
          <cell r="A1158">
            <v>70409231</v>
          </cell>
          <cell r="B1158" t="str">
            <v>빨강부치</v>
          </cell>
          <cell r="C1158" t="str">
            <v>어류</v>
          </cell>
          <cell r="D1158">
            <v>8</v>
          </cell>
          <cell r="E1158" t="str">
            <v>동물</v>
          </cell>
          <cell r="F1158">
            <v>2</v>
          </cell>
          <cell r="G1158" t="str">
            <v>C</v>
          </cell>
          <cell r="H1158">
            <v>2</v>
          </cell>
        </row>
        <row r="1159">
          <cell r="A1159">
            <v>70409232</v>
          </cell>
          <cell r="B1159" t="str">
            <v>빨판매가리</v>
          </cell>
          <cell r="C1159" t="str">
            <v>어류</v>
          </cell>
          <cell r="D1159">
            <v>8</v>
          </cell>
          <cell r="E1159" t="str">
            <v>동물</v>
          </cell>
          <cell r="F1159">
            <v>2</v>
          </cell>
          <cell r="G1159" t="str">
            <v>C</v>
          </cell>
          <cell r="H1159">
            <v>2</v>
          </cell>
        </row>
        <row r="1160">
          <cell r="A1160">
            <v>70409233</v>
          </cell>
          <cell r="B1160" t="str">
            <v>빨판상어</v>
          </cell>
          <cell r="C1160" t="str">
            <v>어류</v>
          </cell>
          <cell r="D1160">
            <v>8</v>
          </cell>
          <cell r="E1160" t="str">
            <v>동물</v>
          </cell>
          <cell r="F1160">
            <v>2</v>
          </cell>
          <cell r="G1160" t="str">
            <v>C</v>
          </cell>
          <cell r="H1160">
            <v>2</v>
          </cell>
        </row>
        <row r="1161">
          <cell r="A1161">
            <v>70409234</v>
          </cell>
          <cell r="B1161" t="str">
            <v>뿔돔</v>
          </cell>
          <cell r="C1161" t="str">
            <v>어류</v>
          </cell>
          <cell r="D1161">
            <v>8</v>
          </cell>
          <cell r="E1161" t="str">
            <v>동물</v>
          </cell>
          <cell r="F1161">
            <v>2</v>
          </cell>
          <cell r="G1161" t="str">
            <v>A</v>
          </cell>
          <cell r="H1161">
            <v>4</v>
          </cell>
        </row>
        <row r="1162">
          <cell r="A1162">
            <v>70409235</v>
          </cell>
          <cell r="B1162" t="str">
            <v>뿔복</v>
          </cell>
          <cell r="C1162" t="str">
            <v>어류</v>
          </cell>
          <cell r="D1162">
            <v>8</v>
          </cell>
          <cell r="E1162" t="str">
            <v>동물</v>
          </cell>
          <cell r="F1162">
            <v>2</v>
          </cell>
          <cell r="G1162" t="str">
            <v>C</v>
          </cell>
          <cell r="H1162">
            <v>2</v>
          </cell>
        </row>
        <row r="1163">
          <cell r="A1163">
            <v>70409236</v>
          </cell>
          <cell r="B1163" t="str">
            <v>뿔서대</v>
          </cell>
          <cell r="C1163" t="str">
            <v>어류</v>
          </cell>
          <cell r="D1163">
            <v>8</v>
          </cell>
          <cell r="E1163" t="str">
            <v>동물</v>
          </cell>
          <cell r="F1163">
            <v>2</v>
          </cell>
          <cell r="G1163" t="str">
            <v>B</v>
          </cell>
          <cell r="H1163">
            <v>3</v>
          </cell>
        </row>
        <row r="1164">
          <cell r="A1164">
            <v>70409237</v>
          </cell>
          <cell r="B1164" t="str">
            <v>뿔횟대</v>
          </cell>
          <cell r="C1164" t="str">
            <v>어류</v>
          </cell>
          <cell r="D1164">
            <v>8</v>
          </cell>
          <cell r="E1164" t="str">
            <v>동물</v>
          </cell>
          <cell r="F1164">
            <v>2</v>
          </cell>
          <cell r="G1164" t="str">
            <v>C</v>
          </cell>
          <cell r="H1164">
            <v>2</v>
          </cell>
        </row>
        <row r="1165">
          <cell r="A1165">
            <v>70409238</v>
          </cell>
          <cell r="B1165" t="str">
            <v>사랑놀래기</v>
          </cell>
          <cell r="C1165" t="str">
            <v>어류</v>
          </cell>
          <cell r="D1165">
            <v>8</v>
          </cell>
          <cell r="E1165" t="str">
            <v>동물</v>
          </cell>
          <cell r="F1165">
            <v>2</v>
          </cell>
          <cell r="G1165" t="str">
            <v>D</v>
          </cell>
          <cell r="H1165">
            <v>1</v>
          </cell>
          <cell r="AW1165" t="str">
            <v/>
          </cell>
          <cell r="BA1165" t="str">
            <v>-</v>
          </cell>
        </row>
        <row r="1166">
          <cell r="A1166">
            <v>70409240</v>
          </cell>
          <cell r="B1166" t="str">
            <v>산호해마</v>
          </cell>
          <cell r="C1166" t="str">
            <v>어류</v>
          </cell>
          <cell r="D1166">
            <v>8</v>
          </cell>
          <cell r="E1166" t="str">
            <v>동물</v>
          </cell>
          <cell r="F1166">
            <v>2</v>
          </cell>
          <cell r="G1166" t="str">
            <v>A</v>
          </cell>
          <cell r="H1166">
            <v>4</v>
          </cell>
        </row>
        <row r="1167">
          <cell r="A1167">
            <v>70409241</v>
          </cell>
          <cell r="B1167" t="str">
            <v>살벤자리</v>
          </cell>
          <cell r="C1167" t="str">
            <v>어류</v>
          </cell>
          <cell r="D1167">
            <v>8</v>
          </cell>
          <cell r="E1167" t="str">
            <v>동물</v>
          </cell>
          <cell r="F1167">
            <v>2</v>
          </cell>
          <cell r="G1167" t="str">
            <v>B</v>
          </cell>
          <cell r="H1167">
            <v>3</v>
          </cell>
        </row>
        <row r="1168">
          <cell r="A1168">
            <v>70409242</v>
          </cell>
          <cell r="B1168" t="str">
            <v>살살치</v>
          </cell>
          <cell r="C1168" t="str">
            <v>어류</v>
          </cell>
          <cell r="D1168">
            <v>8</v>
          </cell>
          <cell r="E1168" t="str">
            <v>동물</v>
          </cell>
          <cell r="F1168">
            <v>2</v>
          </cell>
          <cell r="G1168" t="str">
            <v>C</v>
          </cell>
          <cell r="H1168">
            <v>2</v>
          </cell>
        </row>
        <row r="1169">
          <cell r="A1169">
            <v>70409243</v>
          </cell>
          <cell r="B1169" t="str">
            <v>삼치</v>
          </cell>
          <cell r="C1169" t="str">
            <v>어류</v>
          </cell>
          <cell r="D1169">
            <v>8</v>
          </cell>
          <cell r="E1169" t="str">
            <v>동물</v>
          </cell>
          <cell r="F1169">
            <v>2</v>
          </cell>
          <cell r="G1169" t="str">
            <v>C</v>
          </cell>
          <cell r="H1169">
            <v>2</v>
          </cell>
        </row>
        <row r="1170">
          <cell r="A1170">
            <v>70409244</v>
          </cell>
          <cell r="B1170" t="str">
            <v>삿징이상어</v>
          </cell>
          <cell r="C1170" t="str">
            <v>어류</v>
          </cell>
          <cell r="D1170">
            <v>8</v>
          </cell>
          <cell r="E1170" t="str">
            <v>동물</v>
          </cell>
          <cell r="F1170">
            <v>2</v>
          </cell>
          <cell r="G1170" t="str">
            <v>C</v>
          </cell>
          <cell r="H1170">
            <v>2</v>
          </cell>
        </row>
        <row r="1171">
          <cell r="A1171">
            <v>70409245</v>
          </cell>
          <cell r="B1171" t="str">
            <v>상괭이</v>
          </cell>
          <cell r="C1171" t="str">
            <v>포유류</v>
          </cell>
          <cell r="D1171">
            <v>5</v>
          </cell>
          <cell r="E1171" t="str">
            <v>동물</v>
          </cell>
          <cell r="F1171">
            <v>2</v>
          </cell>
          <cell r="G1171" t="str">
            <v>A</v>
          </cell>
          <cell r="H1171">
            <v>4</v>
          </cell>
        </row>
        <row r="1172">
          <cell r="A1172">
            <v>70409246</v>
          </cell>
          <cell r="B1172" t="str">
            <v>상날치</v>
          </cell>
          <cell r="C1172" t="str">
            <v>어류</v>
          </cell>
          <cell r="D1172">
            <v>8</v>
          </cell>
          <cell r="E1172" t="str">
            <v>동물</v>
          </cell>
          <cell r="F1172">
            <v>2</v>
          </cell>
          <cell r="G1172" t="str">
            <v>D</v>
          </cell>
          <cell r="H1172">
            <v>1</v>
          </cell>
          <cell r="AW1172" t="str">
            <v/>
          </cell>
          <cell r="BA1172" t="str">
            <v>-</v>
          </cell>
        </row>
        <row r="1173">
          <cell r="A1173">
            <v>70409247</v>
          </cell>
          <cell r="B1173" t="str">
            <v>새가라지</v>
          </cell>
          <cell r="C1173" t="str">
            <v>어류</v>
          </cell>
          <cell r="D1173">
            <v>8</v>
          </cell>
          <cell r="E1173" t="str">
            <v>동물</v>
          </cell>
          <cell r="F1173">
            <v>2</v>
          </cell>
          <cell r="G1173" t="str">
            <v>D</v>
          </cell>
          <cell r="H1173">
            <v>1</v>
          </cell>
          <cell r="AW1173" t="str">
            <v/>
          </cell>
          <cell r="BA1173" t="str">
            <v>-</v>
          </cell>
        </row>
        <row r="1174">
          <cell r="A1174">
            <v>70409248</v>
          </cell>
          <cell r="B1174" t="str">
            <v>새날치</v>
          </cell>
          <cell r="C1174" t="str">
            <v>어류</v>
          </cell>
          <cell r="D1174">
            <v>8</v>
          </cell>
          <cell r="E1174" t="str">
            <v>동물</v>
          </cell>
          <cell r="F1174">
            <v>2</v>
          </cell>
          <cell r="G1174" t="str">
            <v>D</v>
          </cell>
          <cell r="H1174">
            <v>1</v>
          </cell>
        </row>
        <row r="1175">
          <cell r="A1175">
            <v>70409249</v>
          </cell>
          <cell r="B1175" t="str">
            <v>새눈치</v>
          </cell>
          <cell r="C1175" t="str">
            <v>어류</v>
          </cell>
          <cell r="D1175">
            <v>8</v>
          </cell>
          <cell r="E1175" t="str">
            <v>동물</v>
          </cell>
          <cell r="F1175">
            <v>2</v>
          </cell>
          <cell r="G1175" t="str">
            <v>D</v>
          </cell>
          <cell r="H1175">
            <v>1</v>
          </cell>
          <cell r="AW1175" t="str">
            <v/>
          </cell>
          <cell r="BA1175" t="str">
            <v>-</v>
          </cell>
        </row>
        <row r="1176">
          <cell r="A1176">
            <v>70409250</v>
          </cell>
          <cell r="B1176" t="str">
            <v>새다래</v>
          </cell>
          <cell r="C1176" t="str">
            <v>어류</v>
          </cell>
          <cell r="D1176">
            <v>8</v>
          </cell>
          <cell r="E1176" t="str">
            <v>동물</v>
          </cell>
          <cell r="F1176">
            <v>2</v>
          </cell>
          <cell r="G1176" t="str">
            <v>D</v>
          </cell>
          <cell r="H1176">
            <v>1</v>
          </cell>
          <cell r="AW1176" t="str">
            <v/>
          </cell>
          <cell r="BA1176" t="str">
            <v>-</v>
          </cell>
        </row>
        <row r="1177">
          <cell r="A1177">
            <v>70409251</v>
          </cell>
          <cell r="B1177" t="str">
            <v>색줄멸</v>
          </cell>
          <cell r="C1177" t="str">
            <v>어류</v>
          </cell>
          <cell r="D1177">
            <v>8</v>
          </cell>
          <cell r="E1177" t="str">
            <v>동물</v>
          </cell>
          <cell r="F1177">
            <v>2</v>
          </cell>
          <cell r="G1177" t="str">
            <v>D</v>
          </cell>
          <cell r="H1177">
            <v>1</v>
          </cell>
          <cell r="AW1177" t="str">
            <v/>
          </cell>
          <cell r="BA1177" t="str">
            <v>-</v>
          </cell>
        </row>
        <row r="1178">
          <cell r="A1178">
            <v>70409252</v>
          </cell>
          <cell r="B1178" t="str">
            <v>샛비늘치</v>
          </cell>
          <cell r="C1178" t="str">
            <v>어류</v>
          </cell>
          <cell r="D1178">
            <v>8</v>
          </cell>
          <cell r="E1178" t="str">
            <v>동물</v>
          </cell>
          <cell r="F1178">
            <v>2</v>
          </cell>
          <cell r="G1178" t="str">
            <v>C</v>
          </cell>
          <cell r="H1178">
            <v>2</v>
          </cell>
        </row>
        <row r="1179">
          <cell r="A1179">
            <v>70409253</v>
          </cell>
          <cell r="B1179" t="str">
            <v>선홍치</v>
          </cell>
          <cell r="C1179" t="str">
            <v>어류</v>
          </cell>
          <cell r="D1179">
            <v>8</v>
          </cell>
          <cell r="E1179" t="str">
            <v>동물</v>
          </cell>
          <cell r="F1179">
            <v>2</v>
          </cell>
          <cell r="G1179" t="str">
            <v>B</v>
          </cell>
          <cell r="H1179">
            <v>3</v>
          </cell>
        </row>
        <row r="1180">
          <cell r="A1180">
            <v>70409254</v>
          </cell>
          <cell r="B1180" t="str">
            <v>세동가리돔</v>
          </cell>
          <cell r="C1180" t="str">
            <v>어류</v>
          </cell>
          <cell r="D1180">
            <v>8</v>
          </cell>
          <cell r="E1180" t="str">
            <v>동물</v>
          </cell>
          <cell r="F1180">
            <v>2</v>
          </cell>
          <cell r="G1180" t="str">
            <v>B</v>
          </cell>
          <cell r="H1180">
            <v>3</v>
          </cell>
        </row>
        <row r="1181">
          <cell r="A1181">
            <v>70409255</v>
          </cell>
          <cell r="B1181" t="str">
            <v>소라고둥</v>
          </cell>
          <cell r="C1181" t="str">
            <v>무척추동물</v>
          </cell>
          <cell r="D1181">
            <v>9</v>
          </cell>
          <cell r="E1181" t="str">
            <v>동물</v>
          </cell>
          <cell r="F1181">
            <v>2</v>
          </cell>
          <cell r="G1181" t="str">
            <v>C</v>
          </cell>
          <cell r="H1181">
            <v>2</v>
          </cell>
        </row>
        <row r="1182">
          <cell r="A1182">
            <v>70409256</v>
          </cell>
          <cell r="B1182" t="str">
            <v>송어</v>
          </cell>
          <cell r="C1182" t="str">
            <v>어류</v>
          </cell>
          <cell r="D1182">
            <v>8</v>
          </cell>
          <cell r="E1182" t="str">
            <v>동물</v>
          </cell>
          <cell r="F1182">
            <v>2</v>
          </cell>
          <cell r="G1182" t="str">
            <v>D</v>
          </cell>
          <cell r="H1182">
            <v>1</v>
          </cell>
          <cell r="AW1182" t="str">
            <v/>
          </cell>
          <cell r="BA1182" t="str">
            <v>-</v>
          </cell>
        </row>
        <row r="1183">
          <cell r="A1183">
            <v>70409257</v>
          </cell>
          <cell r="B1183" t="str">
            <v>수염상어</v>
          </cell>
          <cell r="C1183" t="str">
            <v>어류</v>
          </cell>
          <cell r="D1183">
            <v>8</v>
          </cell>
          <cell r="E1183" t="str">
            <v>동물</v>
          </cell>
          <cell r="F1183">
            <v>2</v>
          </cell>
          <cell r="G1183" t="str">
            <v>S</v>
          </cell>
          <cell r="H1183">
            <v>5</v>
          </cell>
        </row>
        <row r="1184">
          <cell r="A1184">
            <v>70409258</v>
          </cell>
          <cell r="B1184" t="str">
            <v>술전갱이</v>
          </cell>
          <cell r="C1184" t="str">
            <v>어류</v>
          </cell>
          <cell r="D1184">
            <v>8</v>
          </cell>
          <cell r="E1184" t="str">
            <v>동물</v>
          </cell>
          <cell r="F1184">
            <v>2</v>
          </cell>
          <cell r="G1184" t="str">
            <v>S</v>
          </cell>
          <cell r="H1184">
            <v>5</v>
          </cell>
        </row>
        <row r="1185">
          <cell r="A1185">
            <v>70409259</v>
          </cell>
          <cell r="B1185" t="str">
            <v>숭어</v>
          </cell>
          <cell r="C1185" t="str">
            <v>어류</v>
          </cell>
          <cell r="D1185">
            <v>8</v>
          </cell>
          <cell r="E1185" t="str">
            <v>동물</v>
          </cell>
          <cell r="F1185">
            <v>2</v>
          </cell>
          <cell r="G1185" t="str">
            <v>D</v>
          </cell>
          <cell r="H1185">
            <v>1</v>
          </cell>
          <cell r="AW1185" t="str">
            <v/>
          </cell>
          <cell r="BA1185" t="str">
            <v>-</v>
          </cell>
        </row>
        <row r="1186">
          <cell r="A1186">
            <v>70409260</v>
          </cell>
          <cell r="B1186" t="str">
            <v>쉬리</v>
          </cell>
          <cell r="C1186" t="str">
            <v>어류</v>
          </cell>
          <cell r="D1186">
            <v>8</v>
          </cell>
          <cell r="E1186" t="str">
            <v>동물</v>
          </cell>
          <cell r="F1186">
            <v>2</v>
          </cell>
          <cell r="G1186" t="str">
            <v>D</v>
          </cell>
          <cell r="H1186">
            <v>1</v>
          </cell>
          <cell r="AW1186" t="str">
            <v/>
          </cell>
          <cell r="BA1186" t="str">
            <v>-</v>
          </cell>
        </row>
        <row r="1187">
          <cell r="A1187">
            <v>70409261</v>
          </cell>
          <cell r="B1187" t="str">
            <v>스쿼럴피쉬</v>
          </cell>
          <cell r="C1187" t="str">
            <v>어류</v>
          </cell>
          <cell r="D1187">
            <v>8</v>
          </cell>
          <cell r="E1187" t="str">
            <v>동물</v>
          </cell>
          <cell r="F1187">
            <v>2</v>
          </cell>
          <cell r="G1187" t="str">
            <v>S</v>
          </cell>
          <cell r="H1187">
            <v>5</v>
          </cell>
        </row>
        <row r="1188">
          <cell r="A1188">
            <v>70409262</v>
          </cell>
          <cell r="B1188" t="str">
            <v>스텔러바다소</v>
          </cell>
          <cell r="C1188" t="str">
            <v>포유류</v>
          </cell>
          <cell r="D1188">
            <v>5</v>
          </cell>
          <cell r="E1188" t="str">
            <v>동물</v>
          </cell>
          <cell r="F1188">
            <v>2</v>
          </cell>
          <cell r="G1188" t="str">
            <v>B</v>
          </cell>
          <cell r="H1188">
            <v>3</v>
          </cell>
        </row>
        <row r="1189">
          <cell r="A1189">
            <v>70409263</v>
          </cell>
          <cell r="B1189" t="str">
            <v>실러캔스</v>
          </cell>
          <cell r="C1189" t="str">
            <v>어류</v>
          </cell>
          <cell r="D1189">
            <v>8</v>
          </cell>
          <cell r="E1189" t="str">
            <v>동물</v>
          </cell>
          <cell r="F1189">
            <v>2</v>
          </cell>
          <cell r="G1189" t="str">
            <v>S</v>
          </cell>
          <cell r="H1189">
            <v>5</v>
          </cell>
          <cell r="AW1189" t="str">
            <v>특정 퀘스트(=)</v>
          </cell>
          <cell r="AY1189" t="str">
            <v>밀란다 베르테 시나리오</v>
          </cell>
          <cell r="BA1189" t="str">
            <v>밀란다 베르테03_03</v>
          </cell>
        </row>
        <row r="1190">
          <cell r="A1190">
            <v>70409264</v>
          </cell>
          <cell r="B1190" t="str">
            <v>실망둑</v>
          </cell>
          <cell r="C1190" t="str">
            <v>어류</v>
          </cell>
          <cell r="D1190">
            <v>8</v>
          </cell>
          <cell r="E1190" t="str">
            <v>동물</v>
          </cell>
          <cell r="F1190">
            <v>2</v>
          </cell>
          <cell r="G1190" t="str">
            <v>C</v>
          </cell>
          <cell r="H1190">
            <v>2</v>
          </cell>
        </row>
        <row r="1191">
          <cell r="A1191">
            <v>70409265</v>
          </cell>
          <cell r="B1191" t="str">
            <v>실붉돔</v>
          </cell>
          <cell r="C1191" t="str">
            <v>어류</v>
          </cell>
          <cell r="D1191">
            <v>8</v>
          </cell>
          <cell r="E1191" t="str">
            <v>동물</v>
          </cell>
          <cell r="F1191">
            <v>2</v>
          </cell>
          <cell r="G1191" t="str">
            <v>D</v>
          </cell>
          <cell r="H1191">
            <v>1</v>
          </cell>
          <cell r="AW1191" t="str">
            <v/>
          </cell>
          <cell r="BA1191" t="str">
            <v>-</v>
          </cell>
        </row>
        <row r="1192">
          <cell r="A1192">
            <v>70409266</v>
          </cell>
          <cell r="B1192" t="str">
            <v>실전갱이</v>
          </cell>
          <cell r="C1192" t="str">
            <v>어류</v>
          </cell>
          <cell r="D1192">
            <v>8</v>
          </cell>
          <cell r="E1192" t="str">
            <v>동물</v>
          </cell>
          <cell r="F1192">
            <v>2</v>
          </cell>
          <cell r="G1192" t="str">
            <v>D</v>
          </cell>
          <cell r="H1192">
            <v>1</v>
          </cell>
          <cell r="AW1192" t="str">
            <v/>
          </cell>
          <cell r="BA1192" t="str">
            <v>-</v>
          </cell>
        </row>
        <row r="1193">
          <cell r="A1193">
            <v>70409267</v>
          </cell>
          <cell r="B1193" t="str">
            <v>쏠배감펭</v>
          </cell>
          <cell r="C1193" t="str">
            <v>어류</v>
          </cell>
          <cell r="D1193">
            <v>8</v>
          </cell>
          <cell r="E1193" t="str">
            <v>동물</v>
          </cell>
          <cell r="F1193">
            <v>2</v>
          </cell>
          <cell r="G1193" t="str">
            <v>A</v>
          </cell>
          <cell r="H1193">
            <v>4</v>
          </cell>
        </row>
        <row r="1194">
          <cell r="A1194">
            <v>70409268</v>
          </cell>
          <cell r="B1194" t="str">
            <v>쏠종개</v>
          </cell>
          <cell r="C1194" t="str">
            <v>어류</v>
          </cell>
          <cell r="D1194">
            <v>8</v>
          </cell>
          <cell r="E1194" t="str">
            <v>동물</v>
          </cell>
          <cell r="F1194">
            <v>2</v>
          </cell>
          <cell r="G1194" t="str">
            <v>C</v>
          </cell>
          <cell r="H1194">
            <v>2</v>
          </cell>
        </row>
        <row r="1195">
          <cell r="A1195">
            <v>70409270</v>
          </cell>
          <cell r="B1195" t="str">
            <v>쑥감펭</v>
          </cell>
          <cell r="C1195" t="str">
            <v>어류</v>
          </cell>
          <cell r="D1195">
            <v>8</v>
          </cell>
          <cell r="E1195" t="str">
            <v>동물</v>
          </cell>
          <cell r="F1195">
            <v>2</v>
          </cell>
          <cell r="G1195" t="str">
            <v>S</v>
          </cell>
          <cell r="H1195">
            <v>5</v>
          </cell>
        </row>
        <row r="1196">
          <cell r="A1196">
            <v>70409271</v>
          </cell>
          <cell r="B1196" t="str">
            <v>아구상어</v>
          </cell>
          <cell r="C1196" t="str">
            <v>어류</v>
          </cell>
          <cell r="D1196">
            <v>8</v>
          </cell>
          <cell r="E1196" t="str">
            <v>동물</v>
          </cell>
          <cell r="F1196">
            <v>2</v>
          </cell>
          <cell r="G1196" t="str">
            <v>D</v>
          </cell>
          <cell r="H1196">
            <v>1</v>
          </cell>
          <cell r="AW1196" t="str">
            <v/>
          </cell>
          <cell r="BA1196" t="str">
            <v>-</v>
          </cell>
        </row>
        <row r="1197">
          <cell r="A1197">
            <v>70409272</v>
          </cell>
          <cell r="B1197" t="str">
            <v>아귀</v>
          </cell>
          <cell r="C1197" t="str">
            <v>어류</v>
          </cell>
          <cell r="D1197">
            <v>8</v>
          </cell>
          <cell r="E1197" t="str">
            <v>동물</v>
          </cell>
          <cell r="F1197">
            <v>2</v>
          </cell>
          <cell r="G1197" t="str">
            <v>C</v>
          </cell>
          <cell r="H1197">
            <v>2</v>
          </cell>
        </row>
        <row r="1198">
          <cell r="A1198">
            <v>70409273</v>
          </cell>
          <cell r="B1198" t="str">
            <v>아마존강돌고래</v>
          </cell>
          <cell r="C1198" t="str">
            <v>포유류</v>
          </cell>
          <cell r="D1198">
            <v>5</v>
          </cell>
          <cell r="E1198" t="str">
            <v>동물</v>
          </cell>
          <cell r="F1198">
            <v>2</v>
          </cell>
          <cell r="G1198" t="str">
            <v>S</v>
          </cell>
          <cell r="H1198">
            <v>5</v>
          </cell>
        </row>
        <row r="1199">
          <cell r="A1199">
            <v>70409274</v>
          </cell>
          <cell r="B1199" t="str">
            <v>아프리카폐어</v>
          </cell>
          <cell r="C1199" t="str">
            <v>어류</v>
          </cell>
          <cell r="D1199">
            <v>8</v>
          </cell>
          <cell r="E1199" t="str">
            <v>동물</v>
          </cell>
          <cell r="F1199">
            <v>2</v>
          </cell>
          <cell r="G1199" t="str">
            <v>B</v>
          </cell>
          <cell r="H1199">
            <v>3</v>
          </cell>
        </row>
        <row r="1200">
          <cell r="A1200">
            <v>70409275</v>
          </cell>
          <cell r="B1200" t="str">
            <v>악상어</v>
          </cell>
          <cell r="C1200" t="str">
            <v>어류</v>
          </cell>
          <cell r="D1200">
            <v>8</v>
          </cell>
          <cell r="E1200" t="str">
            <v>동물</v>
          </cell>
          <cell r="F1200">
            <v>2</v>
          </cell>
          <cell r="G1200" t="str">
            <v>S</v>
          </cell>
          <cell r="H1200">
            <v>5</v>
          </cell>
        </row>
        <row r="1201">
          <cell r="A1201">
            <v>70409276</v>
          </cell>
          <cell r="B1201" t="str">
            <v>알락곰치</v>
          </cell>
          <cell r="C1201" t="str">
            <v>어류</v>
          </cell>
          <cell r="D1201">
            <v>8</v>
          </cell>
          <cell r="E1201" t="str">
            <v>동물</v>
          </cell>
          <cell r="F1201">
            <v>2</v>
          </cell>
          <cell r="G1201" t="str">
            <v>C</v>
          </cell>
          <cell r="H1201">
            <v>2</v>
          </cell>
        </row>
        <row r="1202">
          <cell r="A1202">
            <v>70409277</v>
          </cell>
          <cell r="B1202" t="str">
            <v>알락우럭</v>
          </cell>
          <cell r="C1202" t="str">
            <v>어류</v>
          </cell>
          <cell r="D1202">
            <v>8</v>
          </cell>
          <cell r="E1202" t="str">
            <v>동물</v>
          </cell>
          <cell r="F1202">
            <v>2</v>
          </cell>
          <cell r="G1202" t="str">
            <v>D</v>
          </cell>
          <cell r="H1202">
            <v>1</v>
          </cell>
          <cell r="AW1202" t="str">
            <v/>
          </cell>
          <cell r="BA1202" t="str">
            <v>-</v>
          </cell>
        </row>
        <row r="1203">
          <cell r="A1203">
            <v>70409278</v>
          </cell>
          <cell r="B1203" t="str">
            <v>애붕장어</v>
          </cell>
          <cell r="C1203" t="str">
            <v>어류</v>
          </cell>
          <cell r="D1203">
            <v>8</v>
          </cell>
          <cell r="E1203" t="str">
            <v>동물</v>
          </cell>
          <cell r="F1203">
            <v>2</v>
          </cell>
          <cell r="G1203" t="str">
            <v>D</v>
          </cell>
          <cell r="H1203">
            <v>1</v>
          </cell>
          <cell r="AW1203" t="str">
            <v/>
          </cell>
          <cell r="BA1203" t="str">
            <v>-</v>
          </cell>
        </row>
        <row r="1204">
          <cell r="A1204">
            <v>70409279</v>
          </cell>
          <cell r="B1204" t="str">
            <v>앵무조개</v>
          </cell>
          <cell r="C1204" t="str">
            <v>무척추동물</v>
          </cell>
          <cell r="D1204">
            <v>9</v>
          </cell>
          <cell r="E1204" t="str">
            <v>동물</v>
          </cell>
          <cell r="F1204">
            <v>2</v>
          </cell>
          <cell r="G1204" t="str">
            <v>B</v>
          </cell>
          <cell r="H1204">
            <v>3</v>
          </cell>
        </row>
        <row r="1205">
          <cell r="A1205">
            <v>70409281</v>
          </cell>
          <cell r="B1205" t="str">
            <v>야자집게</v>
          </cell>
          <cell r="C1205" t="str">
            <v>무척추동물</v>
          </cell>
          <cell r="D1205">
            <v>9</v>
          </cell>
          <cell r="E1205" t="str">
            <v>동물</v>
          </cell>
          <cell r="F1205">
            <v>2</v>
          </cell>
          <cell r="G1205" t="str">
            <v>C</v>
          </cell>
          <cell r="H1205">
            <v>2</v>
          </cell>
        </row>
        <row r="1206">
          <cell r="A1206">
            <v>70409282</v>
          </cell>
          <cell r="B1206" t="str">
            <v>양쯔강돌고래</v>
          </cell>
          <cell r="C1206" t="str">
            <v>포유류</v>
          </cell>
          <cell r="D1206">
            <v>5</v>
          </cell>
          <cell r="E1206" t="str">
            <v>동물</v>
          </cell>
          <cell r="F1206">
            <v>2</v>
          </cell>
          <cell r="G1206" t="str">
            <v>A</v>
          </cell>
          <cell r="H1206">
            <v>4</v>
          </cell>
        </row>
        <row r="1207">
          <cell r="A1207">
            <v>70409283</v>
          </cell>
          <cell r="B1207" t="str">
            <v>양태</v>
          </cell>
          <cell r="C1207" t="str">
            <v>어류</v>
          </cell>
          <cell r="D1207">
            <v>8</v>
          </cell>
          <cell r="E1207" t="str">
            <v>동물</v>
          </cell>
          <cell r="F1207">
            <v>2</v>
          </cell>
          <cell r="G1207" t="str">
            <v>D</v>
          </cell>
          <cell r="H1207">
            <v>1</v>
          </cell>
          <cell r="AW1207" t="str">
            <v/>
          </cell>
          <cell r="BA1207" t="str">
            <v>-</v>
          </cell>
        </row>
        <row r="1208">
          <cell r="A1208">
            <v>70409284</v>
          </cell>
          <cell r="B1208" t="str">
            <v>어렝놀래기</v>
          </cell>
          <cell r="C1208" t="str">
            <v>어류</v>
          </cell>
          <cell r="D1208">
            <v>8</v>
          </cell>
          <cell r="E1208" t="str">
            <v>동물</v>
          </cell>
          <cell r="F1208">
            <v>2</v>
          </cell>
          <cell r="G1208" t="str">
            <v>D</v>
          </cell>
          <cell r="H1208">
            <v>1</v>
          </cell>
          <cell r="AW1208" t="str">
            <v/>
          </cell>
          <cell r="BA1208" t="str">
            <v>-</v>
          </cell>
        </row>
        <row r="1209">
          <cell r="A1209">
            <v>70409285</v>
          </cell>
          <cell r="B1209" t="str">
            <v>어름돔</v>
          </cell>
          <cell r="C1209" t="str">
            <v>어류</v>
          </cell>
          <cell r="D1209">
            <v>8</v>
          </cell>
          <cell r="E1209" t="str">
            <v>동물</v>
          </cell>
          <cell r="F1209">
            <v>2</v>
          </cell>
          <cell r="G1209" t="str">
            <v>D</v>
          </cell>
          <cell r="H1209">
            <v>1</v>
          </cell>
          <cell r="AW1209" t="str">
            <v/>
          </cell>
          <cell r="BA1209" t="str">
            <v>-</v>
          </cell>
        </row>
        <row r="1210">
          <cell r="A1210">
            <v>70409286</v>
          </cell>
          <cell r="B1210" t="str">
            <v>얼룩상어</v>
          </cell>
          <cell r="C1210" t="str">
            <v>어류</v>
          </cell>
          <cell r="D1210">
            <v>8</v>
          </cell>
          <cell r="E1210" t="str">
            <v>동물</v>
          </cell>
          <cell r="F1210">
            <v>2</v>
          </cell>
          <cell r="G1210" t="str">
            <v>S</v>
          </cell>
          <cell r="H1210">
            <v>5</v>
          </cell>
        </row>
        <row r="1211">
          <cell r="A1211">
            <v>70409287</v>
          </cell>
          <cell r="B1211" t="str">
            <v>얼비늘치</v>
          </cell>
          <cell r="C1211" t="str">
            <v>어류</v>
          </cell>
          <cell r="D1211">
            <v>8</v>
          </cell>
          <cell r="E1211" t="str">
            <v>동물</v>
          </cell>
          <cell r="F1211">
            <v>2</v>
          </cell>
          <cell r="G1211" t="str">
            <v>S</v>
          </cell>
          <cell r="H1211">
            <v>5</v>
          </cell>
        </row>
        <row r="1212">
          <cell r="A1212">
            <v>70409288</v>
          </cell>
          <cell r="B1212" t="str">
            <v>폴립테루스 엔들리케리</v>
          </cell>
          <cell r="C1212" t="str">
            <v>어류</v>
          </cell>
          <cell r="D1212">
            <v>8</v>
          </cell>
          <cell r="E1212" t="str">
            <v>동물</v>
          </cell>
          <cell r="F1212">
            <v>2</v>
          </cell>
          <cell r="G1212" t="str">
            <v>A</v>
          </cell>
          <cell r="H1212">
            <v>4</v>
          </cell>
        </row>
        <row r="1213">
          <cell r="A1213">
            <v>70409289</v>
          </cell>
          <cell r="B1213" t="str">
            <v>엘리게이터가아</v>
          </cell>
          <cell r="C1213" t="str">
            <v>어류</v>
          </cell>
          <cell r="D1213">
            <v>8</v>
          </cell>
          <cell r="E1213" t="str">
            <v>동물</v>
          </cell>
          <cell r="F1213">
            <v>2</v>
          </cell>
          <cell r="G1213" t="str">
            <v>A</v>
          </cell>
          <cell r="H1213">
            <v>4</v>
          </cell>
        </row>
        <row r="1214">
          <cell r="A1214">
            <v>70409290</v>
          </cell>
          <cell r="B1214" t="str">
            <v>연무자리돔</v>
          </cell>
          <cell r="C1214" t="str">
            <v>어류</v>
          </cell>
          <cell r="D1214">
            <v>8</v>
          </cell>
          <cell r="E1214" t="str">
            <v>동물</v>
          </cell>
          <cell r="F1214">
            <v>2</v>
          </cell>
          <cell r="G1214" t="str">
            <v>D</v>
          </cell>
          <cell r="H1214">
            <v>1</v>
          </cell>
          <cell r="AW1214" t="str">
            <v/>
          </cell>
          <cell r="BA1214" t="str">
            <v>-</v>
          </cell>
        </row>
        <row r="1215">
          <cell r="A1215">
            <v>70409291</v>
          </cell>
          <cell r="B1215" t="str">
            <v>연어</v>
          </cell>
          <cell r="C1215" t="str">
            <v>어류</v>
          </cell>
          <cell r="D1215">
            <v>8</v>
          </cell>
          <cell r="E1215" t="str">
            <v>동물</v>
          </cell>
          <cell r="F1215">
            <v>2</v>
          </cell>
          <cell r="G1215" t="str">
            <v>B</v>
          </cell>
          <cell r="H1215">
            <v>3</v>
          </cell>
        </row>
        <row r="1216">
          <cell r="A1216">
            <v>70409292</v>
          </cell>
          <cell r="B1216" t="str">
            <v>열빙어</v>
          </cell>
          <cell r="C1216" t="str">
            <v>어류</v>
          </cell>
          <cell r="D1216">
            <v>8</v>
          </cell>
          <cell r="E1216" t="str">
            <v>동물</v>
          </cell>
          <cell r="F1216">
            <v>2</v>
          </cell>
          <cell r="G1216" t="str">
            <v>D</v>
          </cell>
          <cell r="H1216">
            <v>1</v>
          </cell>
          <cell r="AW1216" t="str">
            <v/>
          </cell>
          <cell r="BA1216" t="str">
            <v>-</v>
          </cell>
        </row>
        <row r="1217">
          <cell r="A1217">
            <v>70409293</v>
          </cell>
          <cell r="B1217" t="str">
            <v>오점촉수</v>
          </cell>
          <cell r="C1217" t="str">
            <v>어류</v>
          </cell>
          <cell r="D1217">
            <v>8</v>
          </cell>
          <cell r="E1217" t="str">
            <v>동물</v>
          </cell>
          <cell r="F1217">
            <v>2</v>
          </cell>
          <cell r="G1217" t="str">
            <v>C</v>
          </cell>
          <cell r="H1217">
            <v>2</v>
          </cell>
        </row>
        <row r="1218">
          <cell r="A1218">
            <v>70409294</v>
          </cell>
          <cell r="B1218" t="str">
            <v>오타리아</v>
          </cell>
          <cell r="C1218" t="str">
            <v>포유류</v>
          </cell>
          <cell r="D1218">
            <v>5</v>
          </cell>
          <cell r="E1218" t="str">
            <v>동물</v>
          </cell>
          <cell r="F1218">
            <v>2</v>
          </cell>
          <cell r="G1218" t="str">
            <v>A</v>
          </cell>
          <cell r="H1218">
            <v>4</v>
          </cell>
        </row>
        <row r="1219">
          <cell r="A1219">
            <v>70409295</v>
          </cell>
          <cell r="B1219" t="str">
            <v>옥돔</v>
          </cell>
          <cell r="C1219" t="str">
            <v>어류</v>
          </cell>
          <cell r="D1219">
            <v>8</v>
          </cell>
          <cell r="E1219" t="str">
            <v>동물</v>
          </cell>
          <cell r="F1219">
            <v>2</v>
          </cell>
          <cell r="G1219" t="str">
            <v>S</v>
          </cell>
          <cell r="H1219">
            <v>5</v>
          </cell>
        </row>
        <row r="1220">
          <cell r="A1220">
            <v>70409296</v>
          </cell>
          <cell r="B1220" t="str">
            <v>옥두놀래기</v>
          </cell>
          <cell r="C1220" t="str">
            <v>어류</v>
          </cell>
          <cell r="D1220">
            <v>8</v>
          </cell>
          <cell r="E1220" t="str">
            <v>동물</v>
          </cell>
          <cell r="F1220">
            <v>2</v>
          </cell>
          <cell r="G1220" t="str">
            <v>D</v>
          </cell>
          <cell r="H1220">
            <v>1</v>
          </cell>
          <cell r="AW1220" t="str">
            <v/>
          </cell>
          <cell r="BA1220" t="str">
            <v>-</v>
          </cell>
        </row>
        <row r="1221">
          <cell r="A1221">
            <v>70409297</v>
          </cell>
          <cell r="B1221" t="str">
            <v>왕연어</v>
          </cell>
          <cell r="C1221" t="str">
            <v>어류</v>
          </cell>
          <cell r="D1221">
            <v>8</v>
          </cell>
          <cell r="E1221" t="str">
            <v>동물</v>
          </cell>
          <cell r="F1221">
            <v>2</v>
          </cell>
          <cell r="G1221" t="str">
            <v>D</v>
          </cell>
          <cell r="H1221">
            <v>1</v>
          </cell>
          <cell r="AW1221" t="str">
            <v/>
          </cell>
          <cell r="BA1221" t="str">
            <v>-</v>
          </cell>
        </row>
        <row r="1222">
          <cell r="A1222">
            <v>70409298</v>
          </cell>
          <cell r="B1222" t="str">
            <v>왜주둥치</v>
          </cell>
          <cell r="C1222" t="str">
            <v>어류</v>
          </cell>
          <cell r="D1222">
            <v>8</v>
          </cell>
          <cell r="E1222" t="str">
            <v>동물</v>
          </cell>
          <cell r="F1222">
            <v>2</v>
          </cell>
          <cell r="G1222" t="str">
            <v>B</v>
          </cell>
          <cell r="H1222">
            <v>3</v>
          </cell>
        </row>
        <row r="1223">
          <cell r="A1223">
            <v>70409299</v>
          </cell>
          <cell r="B1223" t="str">
            <v>우럭볼락</v>
          </cell>
          <cell r="C1223" t="str">
            <v>어류</v>
          </cell>
          <cell r="D1223">
            <v>8</v>
          </cell>
          <cell r="E1223" t="str">
            <v>동물</v>
          </cell>
          <cell r="F1223">
            <v>2</v>
          </cell>
          <cell r="G1223" t="str">
            <v>B</v>
          </cell>
          <cell r="H1223">
            <v>3</v>
          </cell>
        </row>
        <row r="1224">
          <cell r="A1224">
            <v>70409300</v>
          </cell>
          <cell r="B1224" t="str">
            <v>웰스메기</v>
          </cell>
          <cell r="C1224" t="str">
            <v>어류</v>
          </cell>
          <cell r="D1224">
            <v>8</v>
          </cell>
          <cell r="E1224" t="str">
            <v>동물</v>
          </cell>
          <cell r="F1224">
            <v>2</v>
          </cell>
          <cell r="G1224" t="str">
            <v>B</v>
          </cell>
          <cell r="H1224">
            <v>3</v>
          </cell>
        </row>
        <row r="1225">
          <cell r="A1225">
            <v>70409301</v>
          </cell>
          <cell r="B1225" t="str">
            <v>유리메기</v>
          </cell>
          <cell r="C1225" t="str">
            <v>어류</v>
          </cell>
          <cell r="D1225">
            <v>8</v>
          </cell>
          <cell r="E1225" t="str">
            <v>동물</v>
          </cell>
          <cell r="F1225">
            <v>2</v>
          </cell>
          <cell r="G1225" t="str">
            <v>S</v>
          </cell>
          <cell r="H1225">
            <v>5</v>
          </cell>
        </row>
        <row r="1226">
          <cell r="A1226">
            <v>70409302</v>
          </cell>
          <cell r="B1226" t="str">
            <v>육동가리돔</v>
          </cell>
          <cell r="C1226" t="str">
            <v>어류</v>
          </cell>
          <cell r="D1226">
            <v>8</v>
          </cell>
          <cell r="E1226" t="str">
            <v>동물</v>
          </cell>
          <cell r="F1226">
            <v>2</v>
          </cell>
          <cell r="G1226" t="str">
            <v>D</v>
          </cell>
          <cell r="H1226">
            <v>1</v>
          </cell>
          <cell r="AW1226" t="str">
            <v/>
          </cell>
          <cell r="BA1226" t="str">
            <v>-</v>
          </cell>
        </row>
        <row r="1227">
          <cell r="A1227">
            <v>70409303</v>
          </cell>
          <cell r="B1227" t="str">
            <v>은비늘치</v>
          </cell>
          <cell r="C1227" t="str">
            <v>어류</v>
          </cell>
          <cell r="D1227">
            <v>8</v>
          </cell>
          <cell r="E1227" t="str">
            <v>동물</v>
          </cell>
          <cell r="F1227">
            <v>2</v>
          </cell>
          <cell r="G1227" t="str">
            <v>C</v>
          </cell>
          <cell r="H1227">
            <v>2</v>
          </cell>
        </row>
        <row r="1228">
          <cell r="A1228">
            <v>70409304</v>
          </cell>
          <cell r="B1228" t="str">
            <v>은어</v>
          </cell>
          <cell r="C1228" t="str">
            <v>어류</v>
          </cell>
          <cell r="D1228">
            <v>8</v>
          </cell>
          <cell r="E1228" t="str">
            <v>동물</v>
          </cell>
          <cell r="F1228">
            <v>2</v>
          </cell>
          <cell r="G1228" t="str">
            <v>A</v>
          </cell>
          <cell r="H1228">
            <v>4</v>
          </cell>
        </row>
        <row r="1229">
          <cell r="A1229">
            <v>70409305</v>
          </cell>
          <cell r="B1229" t="str">
            <v>이토</v>
          </cell>
          <cell r="C1229" t="str">
            <v>어류</v>
          </cell>
          <cell r="D1229">
            <v>8</v>
          </cell>
          <cell r="E1229" t="str">
            <v>동물</v>
          </cell>
          <cell r="F1229">
            <v>2</v>
          </cell>
          <cell r="G1229" t="str">
            <v>S</v>
          </cell>
          <cell r="H1229">
            <v>5</v>
          </cell>
        </row>
        <row r="1230">
          <cell r="A1230">
            <v>70409306</v>
          </cell>
          <cell r="B1230" t="str">
            <v>임연수어</v>
          </cell>
          <cell r="C1230" t="str">
            <v>어류</v>
          </cell>
          <cell r="D1230">
            <v>8</v>
          </cell>
          <cell r="E1230" t="str">
            <v>동물</v>
          </cell>
          <cell r="F1230">
            <v>2</v>
          </cell>
          <cell r="G1230" t="str">
            <v>C</v>
          </cell>
          <cell r="H1230">
            <v>2</v>
          </cell>
        </row>
        <row r="1231">
          <cell r="A1231">
            <v>70409307</v>
          </cell>
          <cell r="B1231" t="str">
            <v>자바리</v>
          </cell>
          <cell r="C1231" t="str">
            <v>어류</v>
          </cell>
          <cell r="D1231">
            <v>8</v>
          </cell>
          <cell r="E1231" t="str">
            <v>동물</v>
          </cell>
          <cell r="F1231">
            <v>2</v>
          </cell>
          <cell r="G1231" t="str">
            <v>B</v>
          </cell>
          <cell r="H1231">
            <v>3</v>
          </cell>
        </row>
        <row r="1232">
          <cell r="A1232">
            <v>70409308</v>
          </cell>
          <cell r="B1232" t="str">
            <v>자붉돔</v>
          </cell>
          <cell r="C1232" t="str">
            <v>어류</v>
          </cell>
          <cell r="D1232">
            <v>8</v>
          </cell>
          <cell r="E1232" t="str">
            <v>동물</v>
          </cell>
          <cell r="F1232">
            <v>2</v>
          </cell>
          <cell r="G1232" t="str">
            <v>D</v>
          </cell>
          <cell r="H1232">
            <v>1</v>
          </cell>
          <cell r="AW1232" t="str">
            <v/>
          </cell>
          <cell r="BA1232" t="str">
            <v>-</v>
          </cell>
        </row>
        <row r="1233">
          <cell r="A1233">
            <v>70409309</v>
          </cell>
          <cell r="B1233" t="str">
            <v>잿방어</v>
          </cell>
          <cell r="C1233" t="str">
            <v>어류</v>
          </cell>
          <cell r="D1233">
            <v>8</v>
          </cell>
          <cell r="E1233" t="str">
            <v>동물</v>
          </cell>
          <cell r="F1233">
            <v>2</v>
          </cell>
          <cell r="G1233" t="str">
            <v>D</v>
          </cell>
          <cell r="H1233">
            <v>1</v>
          </cell>
          <cell r="AW1233" t="str">
            <v/>
          </cell>
          <cell r="BA1233" t="str">
            <v>-</v>
          </cell>
        </row>
        <row r="1234">
          <cell r="A1234">
            <v>70409310</v>
          </cell>
          <cell r="B1234" t="str">
            <v>적투어</v>
          </cell>
          <cell r="C1234" t="str">
            <v>어류</v>
          </cell>
          <cell r="D1234">
            <v>8</v>
          </cell>
          <cell r="E1234" t="str">
            <v>동물</v>
          </cell>
          <cell r="F1234">
            <v>2</v>
          </cell>
          <cell r="G1234" t="str">
            <v>D</v>
          </cell>
          <cell r="H1234">
            <v>1</v>
          </cell>
          <cell r="AW1234" t="str">
            <v/>
          </cell>
          <cell r="BA1234" t="str">
            <v>-</v>
          </cell>
        </row>
        <row r="1235">
          <cell r="A1235">
            <v>70409311</v>
          </cell>
          <cell r="B1235" t="str">
            <v>전기가오리</v>
          </cell>
          <cell r="C1235" t="str">
            <v>어류</v>
          </cell>
          <cell r="D1235">
            <v>8</v>
          </cell>
          <cell r="E1235" t="str">
            <v>동물</v>
          </cell>
          <cell r="F1235">
            <v>2</v>
          </cell>
          <cell r="G1235" t="str">
            <v>D</v>
          </cell>
          <cell r="H1235">
            <v>1</v>
          </cell>
          <cell r="AW1235" t="str">
            <v/>
          </cell>
          <cell r="BA1235" t="str">
            <v>-</v>
          </cell>
        </row>
        <row r="1236">
          <cell r="A1236">
            <v>70409312</v>
          </cell>
          <cell r="B1236" t="str">
            <v>전기메기</v>
          </cell>
          <cell r="C1236" t="str">
            <v>어류</v>
          </cell>
          <cell r="D1236">
            <v>8</v>
          </cell>
          <cell r="E1236" t="str">
            <v>동물</v>
          </cell>
          <cell r="F1236">
            <v>2</v>
          </cell>
          <cell r="G1236" t="str">
            <v>B</v>
          </cell>
          <cell r="H1236">
            <v>3</v>
          </cell>
        </row>
        <row r="1237">
          <cell r="A1237">
            <v>70409313</v>
          </cell>
          <cell r="B1237" t="str">
            <v>전기뱀장어</v>
          </cell>
          <cell r="C1237" t="str">
            <v>어류</v>
          </cell>
          <cell r="D1237">
            <v>8</v>
          </cell>
          <cell r="E1237" t="str">
            <v>동물</v>
          </cell>
          <cell r="F1237">
            <v>2</v>
          </cell>
          <cell r="G1237" t="str">
            <v>B</v>
          </cell>
          <cell r="H1237">
            <v>3</v>
          </cell>
        </row>
        <row r="1238">
          <cell r="A1238">
            <v>70409314</v>
          </cell>
          <cell r="B1238" t="str">
            <v>전어</v>
          </cell>
          <cell r="C1238" t="str">
            <v>어류</v>
          </cell>
          <cell r="D1238">
            <v>8</v>
          </cell>
          <cell r="E1238" t="str">
            <v>동물</v>
          </cell>
          <cell r="F1238">
            <v>2</v>
          </cell>
          <cell r="G1238" t="str">
            <v>B</v>
          </cell>
          <cell r="H1238">
            <v>3</v>
          </cell>
        </row>
        <row r="1239">
          <cell r="A1239">
            <v>70409315</v>
          </cell>
          <cell r="B1239" t="str">
            <v>점다랑어</v>
          </cell>
          <cell r="C1239" t="str">
            <v>어류</v>
          </cell>
          <cell r="D1239">
            <v>8</v>
          </cell>
          <cell r="E1239" t="str">
            <v>동물</v>
          </cell>
          <cell r="F1239">
            <v>2</v>
          </cell>
          <cell r="G1239" t="str">
            <v>D</v>
          </cell>
          <cell r="H1239">
            <v>1</v>
          </cell>
          <cell r="AW1239" t="str">
            <v/>
          </cell>
          <cell r="BA1239" t="str">
            <v>-</v>
          </cell>
        </row>
        <row r="1240">
          <cell r="A1240">
            <v>70409316</v>
          </cell>
          <cell r="B1240" t="str">
            <v>점쏠배감펭</v>
          </cell>
          <cell r="C1240" t="str">
            <v>어류</v>
          </cell>
          <cell r="D1240">
            <v>8</v>
          </cell>
          <cell r="E1240" t="str">
            <v>동물</v>
          </cell>
          <cell r="F1240">
            <v>2</v>
          </cell>
          <cell r="G1240" t="str">
            <v>D</v>
          </cell>
          <cell r="H1240">
            <v>1</v>
          </cell>
          <cell r="AW1240" t="str">
            <v/>
          </cell>
          <cell r="BA1240" t="str">
            <v>-</v>
          </cell>
        </row>
        <row r="1241">
          <cell r="A1241">
            <v>70409317</v>
          </cell>
          <cell r="B1241" t="str">
            <v>점양태</v>
          </cell>
          <cell r="C1241" t="str">
            <v>어류</v>
          </cell>
          <cell r="D1241">
            <v>8</v>
          </cell>
          <cell r="E1241" t="str">
            <v>동물</v>
          </cell>
          <cell r="F1241">
            <v>2</v>
          </cell>
          <cell r="G1241" t="str">
            <v>C</v>
          </cell>
          <cell r="H1241">
            <v>2</v>
          </cell>
        </row>
        <row r="1242">
          <cell r="A1242">
            <v>70409318</v>
          </cell>
          <cell r="B1242" t="str">
            <v>점줄우럭</v>
          </cell>
          <cell r="C1242" t="str">
            <v>어류</v>
          </cell>
          <cell r="D1242">
            <v>8</v>
          </cell>
          <cell r="E1242" t="str">
            <v>동물</v>
          </cell>
          <cell r="F1242">
            <v>2</v>
          </cell>
          <cell r="G1242" t="str">
            <v>D</v>
          </cell>
          <cell r="H1242">
            <v>1</v>
          </cell>
          <cell r="AW1242" t="str">
            <v/>
          </cell>
          <cell r="BA1242" t="str">
            <v>-</v>
          </cell>
        </row>
        <row r="1243">
          <cell r="A1243">
            <v>70409319</v>
          </cell>
          <cell r="B1243" t="str">
            <v>점해마</v>
          </cell>
          <cell r="C1243" t="str">
            <v>어류</v>
          </cell>
          <cell r="D1243">
            <v>8</v>
          </cell>
          <cell r="E1243" t="str">
            <v>동물</v>
          </cell>
          <cell r="F1243">
            <v>2</v>
          </cell>
          <cell r="G1243" t="str">
            <v>D</v>
          </cell>
          <cell r="H1243">
            <v>1</v>
          </cell>
          <cell r="AW1243" t="str">
            <v/>
          </cell>
          <cell r="BA1243" t="str">
            <v>-</v>
          </cell>
        </row>
        <row r="1244">
          <cell r="A1244">
            <v>70409320</v>
          </cell>
          <cell r="B1244" t="str">
            <v>정어리</v>
          </cell>
          <cell r="C1244" t="str">
            <v>어류</v>
          </cell>
          <cell r="D1244">
            <v>8</v>
          </cell>
          <cell r="E1244" t="str">
            <v>동물</v>
          </cell>
          <cell r="F1244">
            <v>2</v>
          </cell>
          <cell r="G1244" t="str">
            <v>D</v>
          </cell>
          <cell r="H1244">
            <v>1</v>
          </cell>
        </row>
        <row r="1245">
          <cell r="A1245">
            <v>70409321</v>
          </cell>
          <cell r="B1245" t="str">
            <v>제비날치</v>
          </cell>
          <cell r="C1245" t="str">
            <v>어류</v>
          </cell>
          <cell r="D1245">
            <v>8</v>
          </cell>
          <cell r="E1245" t="str">
            <v>동물</v>
          </cell>
          <cell r="F1245">
            <v>2</v>
          </cell>
          <cell r="G1245" t="str">
            <v>B</v>
          </cell>
          <cell r="H1245">
            <v>3</v>
          </cell>
        </row>
        <row r="1246">
          <cell r="A1246">
            <v>70409322</v>
          </cell>
          <cell r="B1246" t="str">
            <v>제비활치</v>
          </cell>
          <cell r="C1246" t="str">
            <v>어류</v>
          </cell>
          <cell r="D1246">
            <v>8</v>
          </cell>
          <cell r="E1246" t="str">
            <v>동물</v>
          </cell>
          <cell r="F1246">
            <v>2</v>
          </cell>
          <cell r="G1246" t="str">
            <v>B</v>
          </cell>
          <cell r="H1246">
            <v>3</v>
          </cell>
        </row>
        <row r="1247">
          <cell r="A1247">
            <v>70409323</v>
          </cell>
          <cell r="B1247" t="str">
            <v>종대우럭</v>
          </cell>
          <cell r="C1247" t="str">
            <v>어류</v>
          </cell>
          <cell r="D1247">
            <v>8</v>
          </cell>
          <cell r="E1247" t="str">
            <v>동물</v>
          </cell>
          <cell r="F1247">
            <v>2</v>
          </cell>
          <cell r="G1247" t="str">
            <v>C</v>
          </cell>
          <cell r="H1247">
            <v>2</v>
          </cell>
        </row>
        <row r="1248">
          <cell r="A1248">
            <v>70409324</v>
          </cell>
          <cell r="B1248" t="str">
            <v>주걱철갑상어</v>
          </cell>
          <cell r="C1248" t="str">
            <v>어류</v>
          </cell>
          <cell r="D1248">
            <v>8</v>
          </cell>
          <cell r="E1248" t="str">
            <v>동물</v>
          </cell>
          <cell r="F1248">
            <v>2</v>
          </cell>
          <cell r="G1248" t="str">
            <v>S</v>
          </cell>
          <cell r="H1248">
            <v>5</v>
          </cell>
        </row>
        <row r="1249">
          <cell r="A1249">
            <v>70409325</v>
          </cell>
          <cell r="B1249" t="str">
            <v>주름상어</v>
          </cell>
          <cell r="C1249" t="str">
            <v>어류</v>
          </cell>
          <cell r="D1249">
            <v>8</v>
          </cell>
          <cell r="E1249" t="str">
            <v>동물</v>
          </cell>
          <cell r="F1249">
            <v>2</v>
          </cell>
          <cell r="G1249" t="str">
            <v>S</v>
          </cell>
          <cell r="H1249">
            <v>5</v>
          </cell>
        </row>
        <row r="1250">
          <cell r="A1250">
            <v>70409326</v>
          </cell>
          <cell r="B1250" t="str">
            <v>준치</v>
          </cell>
          <cell r="C1250" t="str">
            <v>어류</v>
          </cell>
          <cell r="D1250">
            <v>8</v>
          </cell>
          <cell r="E1250" t="str">
            <v>동물</v>
          </cell>
          <cell r="F1250">
            <v>2</v>
          </cell>
          <cell r="G1250" t="str">
            <v>S</v>
          </cell>
          <cell r="H1250">
            <v>5</v>
          </cell>
        </row>
        <row r="1251">
          <cell r="A1251">
            <v>70409327</v>
          </cell>
          <cell r="B1251" t="str">
            <v>줄갈돔</v>
          </cell>
          <cell r="C1251" t="str">
            <v>어류</v>
          </cell>
          <cell r="D1251">
            <v>8</v>
          </cell>
          <cell r="E1251" t="str">
            <v>동물</v>
          </cell>
          <cell r="F1251">
            <v>2</v>
          </cell>
          <cell r="G1251" t="str">
            <v>D</v>
          </cell>
          <cell r="H1251">
            <v>1</v>
          </cell>
          <cell r="AW1251" t="str">
            <v/>
          </cell>
          <cell r="BA1251" t="str">
            <v>-</v>
          </cell>
        </row>
        <row r="1252">
          <cell r="A1252">
            <v>70409328</v>
          </cell>
          <cell r="B1252" t="str">
            <v>줄만새기</v>
          </cell>
          <cell r="C1252" t="str">
            <v>어류</v>
          </cell>
          <cell r="D1252">
            <v>8</v>
          </cell>
          <cell r="E1252" t="str">
            <v>동물</v>
          </cell>
          <cell r="F1252">
            <v>2</v>
          </cell>
          <cell r="G1252" t="str">
            <v>B</v>
          </cell>
          <cell r="H1252">
            <v>3</v>
          </cell>
        </row>
        <row r="1253">
          <cell r="A1253">
            <v>70409329</v>
          </cell>
          <cell r="B1253" t="str">
            <v>줄무늬주둥치</v>
          </cell>
          <cell r="C1253" t="str">
            <v>어류</v>
          </cell>
          <cell r="D1253">
            <v>8</v>
          </cell>
          <cell r="E1253" t="str">
            <v>동물</v>
          </cell>
          <cell r="F1253">
            <v>2</v>
          </cell>
          <cell r="G1253" t="str">
            <v>D</v>
          </cell>
          <cell r="H1253">
            <v>1</v>
          </cell>
          <cell r="AW1253" t="str">
            <v/>
          </cell>
          <cell r="BA1253" t="str">
            <v>-</v>
          </cell>
        </row>
        <row r="1254">
          <cell r="A1254">
            <v>70409330</v>
          </cell>
          <cell r="B1254" t="str">
            <v>줄삼치</v>
          </cell>
          <cell r="C1254" t="str">
            <v>어류</v>
          </cell>
          <cell r="D1254">
            <v>8</v>
          </cell>
          <cell r="E1254" t="str">
            <v>동물</v>
          </cell>
          <cell r="F1254">
            <v>2</v>
          </cell>
          <cell r="G1254" t="str">
            <v>D</v>
          </cell>
          <cell r="H1254">
            <v>1</v>
          </cell>
          <cell r="AW1254" t="str">
            <v/>
          </cell>
          <cell r="BA1254" t="str">
            <v>-</v>
          </cell>
        </row>
        <row r="1255">
          <cell r="A1255">
            <v>70409331</v>
          </cell>
          <cell r="B1255" t="str">
            <v>줄자돔</v>
          </cell>
          <cell r="C1255" t="str">
            <v>어류</v>
          </cell>
          <cell r="D1255">
            <v>8</v>
          </cell>
          <cell r="E1255" t="str">
            <v>동물</v>
          </cell>
          <cell r="F1255">
            <v>2</v>
          </cell>
          <cell r="G1255" t="str">
            <v>C</v>
          </cell>
          <cell r="H1255">
            <v>2</v>
          </cell>
        </row>
        <row r="1256">
          <cell r="A1256">
            <v>70409332</v>
          </cell>
          <cell r="B1256" t="str">
            <v>줄전갱이</v>
          </cell>
          <cell r="C1256" t="str">
            <v>어류</v>
          </cell>
          <cell r="D1256">
            <v>8</v>
          </cell>
          <cell r="E1256" t="str">
            <v>동물</v>
          </cell>
          <cell r="F1256">
            <v>2</v>
          </cell>
          <cell r="G1256" t="str">
            <v>D</v>
          </cell>
          <cell r="H1256">
            <v>1</v>
          </cell>
          <cell r="AW1256" t="str">
            <v/>
          </cell>
          <cell r="BA1256" t="str">
            <v>-</v>
          </cell>
        </row>
        <row r="1257">
          <cell r="A1257">
            <v>70409333</v>
          </cell>
          <cell r="B1257" t="str">
            <v>쥐가오리</v>
          </cell>
          <cell r="C1257" t="str">
            <v>어류</v>
          </cell>
          <cell r="D1257">
            <v>8</v>
          </cell>
          <cell r="E1257" t="str">
            <v>동물</v>
          </cell>
          <cell r="F1257">
            <v>2</v>
          </cell>
          <cell r="G1257" t="str">
            <v>S</v>
          </cell>
          <cell r="H1257">
            <v>5</v>
          </cell>
        </row>
        <row r="1258">
          <cell r="A1258">
            <v>70409334</v>
          </cell>
          <cell r="B1258" t="str">
            <v>쥐치</v>
          </cell>
          <cell r="C1258" t="str">
            <v>어류</v>
          </cell>
          <cell r="D1258">
            <v>8</v>
          </cell>
          <cell r="E1258" t="str">
            <v>동물</v>
          </cell>
          <cell r="F1258">
            <v>2</v>
          </cell>
          <cell r="G1258" t="str">
            <v>B</v>
          </cell>
          <cell r="H1258">
            <v>3</v>
          </cell>
        </row>
        <row r="1259">
          <cell r="A1259">
            <v>70409335</v>
          </cell>
          <cell r="B1259" t="str">
            <v>지중해새치</v>
          </cell>
          <cell r="C1259" t="str">
            <v>어류</v>
          </cell>
          <cell r="D1259">
            <v>8</v>
          </cell>
          <cell r="E1259" t="str">
            <v>동물</v>
          </cell>
          <cell r="F1259">
            <v>2</v>
          </cell>
          <cell r="G1259" t="str">
            <v>A</v>
          </cell>
          <cell r="H1259">
            <v>4</v>
          </cell>
        </row>
        <row r="1260">
          <cell r="A1260">
            <v>70409337</v>
          </cell>
          <cell r="B1260" t="str">
            <v>짱뚱어</v>
          </cell>
          <cell r="C1260" t="str">
            <v>어류</v>
          </cell>
          <cell r="D1260">
            <v>8</v>
          </cell>
          <cell r="E1260" t="str">
            <v>동물</v>
          </cell>
          <cell r="F1260">
            <v>2</v>
          </cell>
          <cell r="G1260" t="str">
            <v>D</v>
          </cell>
          <cell r="H1260">
            <v>1</v>
          </cell>
          <cell r="AW1260" t="str">
            <v/>
          </cell>
          <cell r="BA1260" t="str">
            <v>-</v>
          </cell>
        </row>
        <row r="1261">
          <cell r="A1261">
            <v>70409338</v>
          </cell>
          <cell r="B1261" t="str">
            <v>쭉지성대</v>
          </cell>
          <cell r="C1261" t="str">
            <v>어류</v>
          </cell>
          <cell r="D1261">
            <v>8</v>
          </cell>
          <cell r="E1261" t="str">
            <v>동물</v>
          </cell>
          <cell r="F1261">
            <v>2</v>
          </cell>
          <cell r="G1261" t="str">
            <v>C</v>
          </cell>
          <cell r="H1261">
            <v>2</v>
          </cell>
        </row>
        <row r="1262">
          <cell r="A1262">
            <v>70409339</v>
          </cell>
          <cell r="B1262" t="str">
            <v>참고래</v>
          </cell>
          <cell r="C1262" t="str">
            <v>포유류</v>
          </cell>
          <cell r="D1262">
            <v>5</v>
          </cell>
          <cell r="E1262" t="str">
            <v>동물</v>
          </cell>
          <cell r="F1262">
            <v>2</v>
          </cell>
          <cell r="G1262" t="str">
            <v>A</v>
          </cell>
          <cell r="H1262">
            <v>4</v>
          </cell>
        </row>
        <row r="1263">
          <cell r="A1263">
            <v>70409340</v>
          </cell>
          <cell r="B1263" t="str">
            <v>참다랑어</v>
          </cell>
          <cell r="C1263" t="str">
            <v>어류</v>
          </cell>
          <cell r="D1263">
            <v>8</v>
          </cell>
          <cell r="E1263" t="str">
            <v>동물</v>
          </cell>
          <cell r="F1263">
            <v>2</v>
          </cell>
          <cell r="G1263" t="str">
            <v>S</v>
          </cell>
          <cell r="H1263">
            <v>5</v>
          </cell>
        </row>
        <row r="1264">
          <cell r="A1264">
            <v>70409341</v>
          </cell>
          <cell r="B1264" t="str">
            <v>참돔</v>
          </cell>
          <cell r="C1264" t="str">
            <v>어류</v>
          </cell>
          <cell r="D1264">
            <v>8</v>
          </cell>
          <cell r="E1264" t="str">
            <v>동물</v>
          </cell>
          <cell r="F1264">
            <v>2</v>
          </cell>
          <cell r="G1264" t="str">
            <v>A</v>
          </cell>
          <cell r="H1264">
            <v>4</v>
          </cell>
        </row>
        <row r="1265">
          <cell r="A1265">
            <v>70409342</v>
          </cell>
          <cell r="B1265" t="str">
            <v>참조기</v>
          </cell>
          <cell r="C1265" t="str">
            <v>어류</v>
          </cell>
          <cell r="D1265">
            <v>8</v>
          </cell>
          <cell r="E1265" t="str">
            <v>동물</v>
          </cell>
          <cell r="F1265">
            <v>2</v>
          </cell>
          <cell r="G1265" t="str">
            <v>B</v>
          </cell>
          <cell r="H1265">
            <v>3</v>
          </cell>
        </row>
        <row r="1266">
          <cell r="A1266">
            <v>70409343</v>
          </cell>
          <cell r="B1266" t="str">
            <v>참치방어</v>
          </cell>
          <cell r="C1266" t="str">
            <v>어류</v>
          </cell>
          <cell r="D1266">
            <v>8</v>
          </cell>
          <cell r="E1266" t="str">
            <v>동물</v>
          </cell>
          <cell r="F1266">
            <v>2</v>
          </cell>
          <cell r="G1266" t="str">
            <v>D</v>
          </cell>
          <cell r="H1266">
            <v>1</v>
          </cell>
          <cell r="AW1266" t="str">
            <v/>
          </cell>
          <cell r="BA1266" t="str">
            <v>-</v>
          </cell>
        </row>
        <row r="1267">
          <cell r="A1267">
            <v>70409344</v>
          </cell>
          <cell r="B1267" t="str">
            <v>창꼬치</v>
          </cell>
          <cell r="C1267" t="str">
            <v>어류</v>
          </cell>
          <cell r="D1267">
            <v>8</v>
          </cell>
          <cell r="E1267" t="str">
            <v>동물</v>
          </cell>
          <cell r="F1267">
            <v>2</v>
          </cell>
          <cell r="G1267" t="str">
            <v>C</v>
          </cell>
          <cell r="H1267">
            <v>2</v>
          </cell>
        </row>
        <row r="1268">
          <cell r="A1268">
            <v>70409345</v>
          </cell>
          <cell r="B1268" t="str">
            <v>철갑둥어</v>
          </cell>
          <cell r="C1268" t="str">
            <v>어류</v>
          </cell>
          <cell r="D1268">
            <v>8</v>
          </cell>
          <cell r="E1268" t="str">
            <v>동물</v>
          </cell>
          <cell r="F1268">
            <v>2</v>
          </cell>
          <cell r="G1268" t="str">
            <v>D</v>
          </cell>
          <cell r="H1268">
            <v>1</v>
          </cell>
          <cell r="AW1268" t="str">
            <v/>
          </cell>
          <cell r="BA1268" t="str">
            <v>-</v>
          </cell>
        </row>
        <row r="1269">
          <cell r="A1269">
            <v>70409346</v>
          </cell>
          <cell r="B1269" t="str">
            <v>철갑상어</v>
          </cell>
          <cell r="C1269" t="str">
            <v>어류</v>
          </cell>
          <cell r="D1269">
            <v>8</v>
          </cell>
          <cell r="E1269" t="str">
            <v>동물</v>
          </cell>
          <cell r="F1269">
            <v>2</v>
          </cell>
          <cell r="G1269" t="str">
            <v>A</v>
          </cell>
          <cell r="H1269">
            <v>4</v>
          </cell>
        </row>
        <row r="1270">
          <cell r="A1270">
            <v>70409347</v>
          </cell>
          <cell r="B1270" t="str">
            <v>청돔</v>
          </cell>
          <cell r="C1270" t="str">
            <v>어류</v>
          </cell>
          <cell r="D1270">
            <v>8</v>
          </cell>
          <cell r="E1270" t="str">
            <v>동물</v>
          </cell>
          <cell r="F1270">
            <v>2</v>
          </cell>
          <cell r="G1270" t="str">
            <v>C</v>
          </cell>
          <cell r="H1270">
            <v>2</v>
          </cell>
        </row>
        <row r="1271">
          <cell r="A1271">
            <v>70409348</v>
          </cell>
          <cell r="B1271" t="str">
            <v>청상아리</v>
          </cell>
          <cell r="C1271" t="str">
            <v>어류</v>
          </cell>
          <cell r="D1271">
            <v>8</v>
          </cell>
          <cell r="E1271" t="str">
            <v>동물</v>
          </cell>
          <cell r="F1271">
            <v>2</v>
          </cell>
          <cell r="G1271" t="str">
            <v>S</v>
          </cell>
          <cell r="H1271">
            <v>5</v>
          </cell>
        </row>
        <row r="1272">
          <cell r="A1272">
            <v>70409349</v>
          </cell>
          <cell r="B1272" t="str">
            <v>청새리상어</v>
          </cell>
          <cell r="C1272" t="str">
            <v>어류</v>
          </cell>
          <cell r="D1272">
            <v>8</v>
          </cell>
          <cell r="E1272" t="str">
            <v>동물</v>
          </cell>
          <cell r="F1272">
            <v>2</v>
          </cell>
          <cell r="G1272" t="str">
            <v>S</v>
          </cell>
          <cell r="H1272">
            <v>5</v>
          </cell>
        </row>
        <row r="1273">
          <cell r="A1273">
            <v>70409350</v>
          </cell>
          <cell r="B1273" t="str">
            <v>청새치</v>
          </cell>
          <cell r="C1273" t="str">
            <v>어류</v>
          </cell>
          <cell r="D1273">
            <v>8</v>
          </cell>
          <cell r="E1273" t="str">
            <v>동물</v>
          </cell>
          <cell r="F1273">
            <v>2</v>
          </cell>
          <cell r="G1273" t="str">
            <v>s</v>
          </cell>
          <cell r="H1273">
            <v>5</v>
          </cell>
        </row>
        <row r="1274">
          <cell r="A1274">
            <v>70409351</v>
          </cell>
          <cell r="B1274" t="str">
            <v>청줄청소놀래기</v>
          </cell>
          <cell r="C1274" t="str">
            <v>어류</v>
          </cell>
          <cell r="D1274">
            <v>8</v>
          </cell>
          <cell r="E1274" t="str">
            <v>동물</v>
          </cell>
          <cell r="F1274">
            <v>2</v>
          </cell>
          <cell r="G1274" t="str">
            <v>D</v>
          </cell>
          <cell r="H1274">
            <v>1</v>
          </cell>
          <cell r="AW1274" t="str">
            <v/>
          </cell>
          <cell r="BA1274" t="str">
            <v>-</v>
          </cell>
        </row>
        <row r="1275">
          <cell r="A1275">
            <v>70409352</v>
          </cell>
          <cell r="B1275" t="str">
            <v>청황돔</v>
          </cell>
          <cell r="C1275" t="str">
            <v>어류</v>
          </cell>
          <cell r="D1275">
            <v>8</v>
          </cell>
          <cell r="E1275" t="str">
            <v>동물</v>
          </cell>
          <cell r="F1275">
            <v>2</v>
          </cell>
          <cell r="G1275" t="str">
            <v>D</v>
          </cell>
          <cell r="H1275">
            <v>1</v>
          </cell>
          <cell r="AW1275" t="str">
            <v/>
          </cell>
          <cell r="BA1275" t="str">
            <v>-</v>
          </cell>
        </row>
        <row r="1276">
          <cell r="A1276">
            <v>70409353</v>
          </cell>
          <cell r="B1276" t="str">
            <v>체장메기</v>
          </cell>
          <cell r="C1276" t="str">
            <v>어류</v>
          </cell>
          <cell r="D1276">
            <v>8</v>
          </cell>
          <cell r="E1276" t="str">
            <v>동물</v>
          </cell>
          <cell r="F1276">
            <v>2</v>
          </cell>
          <cell r="G1276" t="str">
            <v>S</v>
          </cell>
          <cell r="H1276">
            <v>5</v>
          </cell>
        </row>
        <row r="1277">
          <cell r="A1277">
            <v>70409354</v>
          </cell>
          <cell r="B1277" t="str">
            <v>초록곰치</v>
          </cell>
          <cell r="C1277" t="str">
            <v>어류</v>
          </cell>
          <cell r="D1277">
            <v>8</v>
          </cell>
          <cell r="E1277" t="str">
            <v>동물</v>
          </cell>
          <cell r="F1277">
            <v>2</v>
          </cell>
          <cell r="G1277" t="str">
            <v>A</v>
          </cell>
          <cell r="H1277">
            <v>4</v>
          </cell>
        </row>
        <row r="1278">
          <cell r="A1278">
            <v>70409355</v>
          </cell>
          <cell r="B1278" t="str">
            <v>초승제비활치</v>
          </cell>
          <cell r="C1278" t="str">
            <v>어류</v>
          </cell>
          <cell r="D1278">
            <v>8</v>
          </cell>
          <cell r="E1278" t="str">
            <v>동물</v>
          </cell>
          <cell r="F1278">
            <v>2</v>
          </cell>
          <cell r="G1278" t="str">
            <v>D</v>
          </cell>
          <cell r="H1278">
            <v>1</v>
          </cell>
          <cell r="AW1278" t="str">
            <v/>
          </cell>
          <cell r="BA1278" t="str">
            <v>-</v>
          </cell>
        </row>
        <row r="1279">
          <cell r="A1279">
            <v>70409356</v>
          </cell>
          <cell r="B1279" t="str">
            <v>칠성상어</v>
          </cell>
          <cell r="C1279" t="str">
            <v>어류</v>
          </cell>
          <cell r="D1279">
            <v>8</v>
          </cell>
          <cell r="E1279" t="str">
            <v>동물</v>
          </cell>
          <cell r="F1279">
            <v>2</v>
          </cell>
          <cell r="G1279" t="str">
            <v>S</v>
          </cell>
          <cell r="H1279">
            <v>5</v>
          </cell>
        </row>
        <row r="1280">
          <cell r="A1280">
            <v>70409357</v>
          </cell>
          <cell r="B1280" t="str">
            <v>칠성장어</v>
          </cell>
          <cell r="C1280" t="str">
            <v>어류</v>
          </cell>
          <cell r="D1280">
            <v>8</v>
          </cell>
          <cell r="E1280" t="str">
            <v>동물</v>
          </cell>
          <cell r="F1280">
            <v>2</v>
          </cell>
          <cell r="G1280" t="str">
            <v>A</v>
          </cell>
          <cell r="H1280">
            <v>4</v>
          </cell>
        </row>
        <row r="1281">
          <cell r="A1281">
            <v>70409358</v>
          </cell>
          <cell r="B1281" t="str">
            <v>코끼리주둥이고기</v>
          </cell>
          <cell r="C1281" t="str">
            <v>어류</v>
          </cell>
          <cell r="D1281">
            <v>8</v>
          </cell>
          <cell r="E1281" t="str">
            <v>동물</v>
          </cell>
          <cell r="F1281">
            <v>2</v>
          </cell>
          <cell r="G1281" t="str">
            <v>A</v>
          </cell>
          <cell r="H1281">
            <v>4</v>
          </cell>
        </row>
        <row r="1282">
          <cell r="A1282">
            <v>70409359</v>
          </cell>
          <cell r="B1282" t="str">
            <v>큰눈홍치</v>
          </cell>
          <cell r="C1282" t="str">
            <v>어류</v>
          </cell>
          <cell r="D1282">
            <v>8</v>
          </cell>
          <cell r="E1282" t="str">
            <v>동물</v>
          </cell>
          <cell r="F1282">
            <v>2</v>
          </cell>
          <cell r="G1282" t="str">
            <v>D</v>
          </cell>
          <cell r="H1282">
            <v>1</v>
          </cell>
          <cell r="AW1282" t="str">
            <v/>
          </cell>
          <cell r="BA1282" t="str">
            <v>-</v>
          </cell>
        </row>
        <row r="1283">
          <cell r="A1283">
            <v>70409360</v>
          </cell>
          <cell r="B1283" t="str">
            <v>큰뿔표문쥐치</v>
          </cell>
          <cell r="C1283" t="str">
            <v>어류</v>
          </cell>
          <cell r="D1283">
            <v>8</v>
          </cell>
          <cell r="E1283" t="str">
            <v>동물</v>
          </cell>
          <cell r="F1283">
            <v>2</v>
          </cell>
          <cell r="G1283" t="str">
            <v>D</v>
          </cell>
          <cell r="H1283">
            <v>1</v>
          </cell>
          <cell r="AW1283" t="str">
            <v/>
          </cell>
          <cell r="BA1283" t="str">
            <v>-</v>
          </cell>
        </row>
        <row r="1284">
          <cell r="A1284">
            <v>70409361</v>
          </cell>
          <cell r="B1284" t="str">
            <v>큰양놀래기</v>
          </cell>
          <cell r="C1284" t="str">
            <v>어류</v>
          </cell>
          <cell r="D1284">
            <v>8</v>
          </cell>
          <cell r="E1284" t="str">
            <v>동물</v>
          </cell>
          <cell r="F1284">
            <v>2</v>
          </cell>
          <cell r="G1284" t="str">
            <v>B</v>
          </cell>
          <cell r="H1284">
            <v>3</v>
          </cell>
        </row>
        <row r="1285">
          <cell r="A1285">
            <v>70409362</v>
          </cell>
          <cell r="B1285" t="str">
            <v>큰입선농어</v>
          </cell>
          <cell r="C1285" t="str">
            <v>어류</v>
          </cell>
          <cell r="D1285">
            <v>8</v>
          </cell>
          <cell r="E1285" t="str">
            <v>동물</v>
          </cell>
          <cell r="F1285">
            <v>2</v>
          </cell>
          <cell r="G1285" t="str">
            <v>B</v>
          </cell>
          <cell r="H1285">
            <v>3</v>
          </cell>
        </row>
        <row r="1286">
          <cell r="A1286">
            <v>70409363</v>
          </cell>
          <cell r="B1286" t="str">
            <v>큰점촉수</v>
          </cell>
          <cell r="C1286" t="str">
            <v>어류</v>
          </cell>
          <cell r="D1286">
            <v>8</v>
          </cell>
          <cell r="E1286" t="str">
            <v>동물</v>
          </cell>
          <cell r="F1286">
            <v>2</v>
          </cell>
          <cell r="G1286" t="str">
            <v>D</v>
          </cell>
          <cell r="H1286">
            <v>1</v>
          </cell>
          <cell r="AW1286" t="str">
            <v/>
          </cell>
          <cell r="BA1286" t="str">
            <v>-</v>
          </cell>
        </row>
        <row r="1287">
          <cell r="A1287">
            <v>70409364</v>
          </cell>
          <cell r="B1287" t="str">
            <v>큰줄얼게비늘</v>
          </cell>
          <cell r="C1287" t="str">
            <v>어류</v>
          </cell>
          <cell r="D1287">
            <v>8</v>
          </cell>
          <cell r="E1287" t="str">
            <v>동물</v>
          </cell>
          <cell r="F1287">
            <v>2</v>
          </cell>
          <cell r="G1287" t="str">
            <v>D</v>
          </cell>
          <cell r="H1287">
            <v>1</v>
          </cell>
          <cell r="AW1287" t="str">
            <v/>
          </cell>
          <cell r="BA1287" t="str">
            <v>-</v>
          </cell>
        </row>
        <row r="1288">
          <cell r="A1288">
            <v>70409365</v>
          </cell>
          <cell r="B1288" t="str">
            <v>클리오네</v>
          </cell>
          <cell r="C1288" t="str">
            <v>무척추동물</v>
          </cell>
          <cell r="D1288">
            <v>9</v>
          </cell>
          <cell r="E1288" t="str">
            <v>동물</v>
          </cell>
          <cell r="F1288">
            <v>2</v>
          </cell>
          <cell r="G1288" t="str">
            <v>C</v>
          </cell>
          <cell r="H1288">
            <v>2</v>
          </cell>
        </row>
        <row r="1289">
          <cell r="A1289">
            <v>70409366</v>
          </cell>
          <cell r="B1289" t="str">
            <v>타락치</v>
          </cell>
          <cell r="C1289" t="str">
            <v>어류</v>
          </cell>
          <cell r="D1289">
            <v>8</v>
          </cell>
          <cell r="E1289" t="str">
            <v>동물</v>
          </cell>
          <cell r="F1289">
            <v>2</v>
          </cell>
          <cell r="G1289" t="str">
            <v>D</v>
          </cell>
          <cell r="H1289">
            <v>1</v>
          </cell>
          <cell r="AW1289" t="str">
            <v/>
          </cell>
          <cell r="BA1289" t="str">
            <v>-</v>
          </cell>
        </row>
        <row r="1290">
          <cell r="A1290">
            <v>70409367</v>
          </cell>
          <cell r="B1290" t="str">
            <v>타폰</v>
          </cell>
          <cell r="C1290" t="str">
            <v>어류</v>
          </cell>
          <cell r="D1290">
            <v>8</v>
          </cell>
          <cell r="E1290" t="str">
            <v>동물</v>
          </cell>
          <cell r="F1290">
            <v>2</v>
          </cell>
          <cell r="G1290" t="str">
            <v>D</v>
          </cell>
          <cell r="H1290">
            <v>1</v>
          </cell>
          <cell r="AW1290" t="str">
            <v/>
          </cell>
          <cell r="BA1290" t="str">
            <v>-</v>
          </cell>
        </row>
        <row r="1291">
          <cell r="A1291">
            <v>70409368</v>
          </cell>
          <cell r="B1291" t="str">
            <v>탐바퀴</v>
          </cell>
          <cell r="C1291" t="str">
            <v>어류</v>
          </cell>
          <cell r="D1291">
            <v>8</v>
          </cell>
          <cell r="E1291" t="str">
            <v>동물</v>
          </cell>
          <cell r="F1291">
            <v>2</v>
          </cell>
          <cell r="G1291" t="str">
            <v>D</v>
          </cell>
          <cell r="H1291">
            <v>1</v>
          </cell>
          <cell r="AW1291" t="str">
            <v/>
          </cell>
          <cell r="BA1291" t="str">
            <v>-</v>
          </cell>
        </row>
        <row r="1292">
          <cell r="A1292">
            <v>70409369</v>
          </cell>
          <cell r="B1292" t="str">
            <v>톱가오리</v>
          </cell>
          <cell r="C1292" t="str">
            <v>어류</v>
          </cell>
          <cell r="D1292">
            <v>8</v>
          </cell>
          <cell r="E1292" t="str">
            <v>동물</v>
          </cell>
          <cell r="F1292">
            <v>2</v>
          </cell>
          <cell r="G1292" t="str">
            <v>S</v>
          </cell>
          <cell r="H1292">
            <v>5</v>
          </cell>
        </row>
        <row r="1293">
          <cell r="A1293">
            <v>70409370</v>
          </cell>
          <cell r="B1293" t="str">
            <v>톱상어</v>
          </cell>
          <cell r="C1293" t="str">
            <v>어류</v>
          </cell>
          <cell r="D1293">
            <v>8</v>
          </cell>
          <cell r="E1293" t="str">
            <v>동물</v>
          </cell>
          <cell r="F1293">
            <v>2</v>
          </cell>
          <cell r="G1293" t="str">
            <v>S</v>
          </cell>
          <cell r="H1293">
            <v>5</v>
          </cell>
        </row>
        <row r="1294">
          <cell r="A1294">
            <v>70409371</v>
          </cell>
          <cell r="B1294" t="str">
            <v>통치</v>
          </cell>
          <cell r="C1294" t="str">
            <v>어류</v>
          </cell>
          <cell r="D1294">
            <v>8</v>
          </cell>
          <cell r="E1294" t="str">
            <v>동물</v>
          </cell>
          <cell r="F1294">
            <v>2</v>
          </cell>
          <cell r="G1294" t="str">
            <v>D</v>
          </cell>
          <cell r="H1294">
            <v>1</v>
          </cell>
          <cell r="AW1294" t="str">
            <v/>
          </cell>
          <cell r="BA1294" t="str">
            <v>-</v>
          </cell>
        </row>
        <row r="1295">
          <cell r="A1295">
            <v>70409372</v>
          </cell>
          <cell r="B1295" t="str">
            <v>투구게</v>
          </cell>
          <cell r="C1295" t="str">
            <v>무척추동물</v>
          </cell>
          <cell r="D1295">
            <v>9</v>
          </cell>
          <cell r="E1295" t="str">
            <v>동물</v>
          </cell>
          <cell r="F1295">
            <v>2</v>
          </cell>
          <cell r="G1295" t="str">
            <v>B</v>
          </cell>
          <cell r="H1295">
            <v>3</v>
          </cell>
        </row>
        <row r="1296">
          <cell r="A1296">
            <v>70409373</v>
          </cell>
          <cell r="B1296" t="str">
            <v>파랑쥐치</v>
          </cell>
          <cell r="C1296" t="str">
            <v>어류</v>
          </cell>
          <cell r="D1296">
            <v>8</v>
          </cell>
          <cell r="E1296" t="str">
            <v>동물</v>
          </cell>
          <cell r="F1296">
            <v>2</v>
          </cell>
          <cell r="G1296" t="str">
            <v>D</v>
          </cell>
          <cell r="H1296">
            <v>1</v>
          </cell>
          <cell r="AW1296" t="str">
            <v/>
          </cell>
          <cell r="BA1296" t="str">
            <v>-</v>
          </cell>
        </row>
        <row r="1297">
          <cell r="A1297">
            <v>70409374</v>
          </cell>
          <cell r="B1297" t="str">
            <v>펠리컨장어</v>
          </cell>
          <cell r="C1297" t="str">
            <v>어류</v>
          </cell>
          <cell r="D1297">
            <v>8</v>
          </cell>
          <cell r="E1297" t="str">
            <v>동물</v>
          </cell>
          <cell r="F1297">
            <v>2</v>
          </cell>
          <cell r="G1297" t="str">
            <v>S</v>
          </cell>
          <cell r="H1297">
            <v>5</v>
          </cell>
        </row>
        <row r="1298">
          <cell r="A1298">
            <v>70409375</v>
          </cell>
          <cell r="B1298" t="str">
            <v>폴립테루스 비차</v>
          </cell>
          <cell r="C1298" t="str">
            <v>어류</v>
          </cell>
          <cell r="D1298">
            <v>8</v>
          </cell>
          <cell r="E1298" t="str">
            <v>동물</v>
          </cell>
          <cell r="F1298">
            <v>2</v>
          </cell>
          <cell r="G1298" t="str">
            <v>S</v>
          </cell>
          <cell r="H1298">
            <v>5</v>
          </cell>
        </row>
        <row r="1299">
          <cell r="A1299">
            <v>70409376</v>
          </cell>
          <cell r="B1299" t="str">
            <v>표문쥐치</v>
          </cell>
          <cell r="C1299" t="str">
            <v>어류</v>
          </cell>
          <cell r="D1299">
            <v>8</v>
          </cell>
          <cell r="E1299" t="str">
            <v>동물</v>
          </cell>
          <cell r="F1299">
            <v>2</v>
          </cell>
          <cell r="G1299" t="str">
            <v>D</v>
          </cell>
          <cell r="H1299">
            <v>1</v>
          </cell>
          <cell r="AW1299" t="str">
            <v/>
          </cell>
          <cell r="BA1299" t="str">
            <v>-</v>
          </cell>
        </row>
        <row r="1300">
          <cell r="A1300">
            <v>70409377</v>
          </cell>
          <cell r="B1300" t="str">
            <v>표범상어</v>
          </cell>
          <cell r="C1300" t="str">
            <v>어류</v>
          </cell>
          <cell r="D1300">
            <v>8</v>
          </cell>
          <cell r="E1300" t="str">
            <v>동물</v>
          </cell>
          <cell r="F1300">
            <v>2</v>
          </cell>
          <cell r="G1300" t="str">
            <v>S</v>
          </cell>
          <cell r="H1300">
            <v>5</v>
          </cell>
        </row>
        <row r="1301">
          <cell r="A1301">
            <v>70409378</v>
          </cell>
          <cell r="B1301" t="str">
            <v>푸른바다거북</v>
          </cell>
          <cell r="C1301" t="str">
            <v>파충류</v>
          </cell>
          <cell r="D1301">
            <v>7</v>
          </cell>
          <cell r="E1301" t="str">
            <v>동물</v>
          </cell>
          <cell r="F1301">
            <v>2</v>
          </cell>
          <cell r="G1301" t="str">
            <v>B</v>
          </cell>
          <cell r="H1301">
            <v>3</v>
          </cell>
        </row>
        <row r="1302">
          <cell r="A1302">
            <v>70409379</v>
          </cell>
          <cell r="B1302" t="str">
            <v>푸른바다민달팽이</v>
          </cell>
          <cell r="C1302" t="str">
            <v>무척추동물</v>
          </cell>
          <cell r="D1302">
            <v>9</v>
          </cell>
          <cell r="E1302" t="str">
            <v>동물</v>
          </cell>
          <cell r="F1302">
            <v>2</v>
          </cell>
          <cell r="G1302" t="str">
            <v>B</v>
          </cell>
          <cell r="H1302">
            <v>3</v>
          </cell>
        </row>
        <row r="1303">
          <cell r="A1303">
            <v>70409380</v>
          </cell>
          <cell r="B1303" t="str">
            <v>푸른점문어</v>
          </cell>
          <cell r="C1303" t="str">
            <v>무척추동물</v>
          </cell>
          <cell r="D1303">
            <v>9</v>
          </cell>
          <cell r="E1303" t="str">
            <v>동물</v>
          </cell>
          <cell r="F1303">
            <v>2</v>
          </cell>
          <cell r="G1303" t="str">
            <v>S</v>
          </cell>
          <cell r="H1303">
            <v>5</v>
          </cell>
        </row>
        <row r="1304">
          <cell r="A1304">
            <v>70409381</v>
          </cell>
          <cell r="B1304" t="str">
            <v>불꽃청줄돔</v>
          </cell>
          <cell r="C1304" t="str">
            <v>어류</v>
          </cell>
          <cell r="D1304">
            <v>8</v>
          </cell>
          <cell r="E1304" t="str">
            <v>동물</v>
          </cell>
          <cell r="F1304">
            <v>2</v>
          </cell>
          <cell r="G1304" t="str">
            <v>D</v>
          </cell>
          <cell r="H1304">
            <v>1</v>
          </cell>
          <cell r="AW1304" t="str">
            <v/>
          </cell>
          <cell r="BA1304" t="str">
            <v>-</v>
          </cell>
        </row>
        <row r="1305">
          <cell r="A1305">
            <v>70409382</v>
          </cell>
          <cell r="B1305" t="str">
            <v>플랩잭문어</v>
          </cell>
          <cell r="C1305" t="str">
            <v>무척추동물</v>
          </cell>
          <cell r="D1305">
            <v>9</v>
          </cell>
          <cell r="E1305" t="str">
            <v>동물</v>
          </cell>
          <cell r="F1305">
            <v>2</v>
          </cell>
          <cell r="G1305" t="str">
            <v>A</v>
          </cell>
          <cell r="H1305">
            <v>4</v>
          </cell>
        </row>
        <row r="1306">
          <cell r="A1306">
            <v>70409383</v>
          </cell>
          <cell r="B1306" t="str">
            <v>플레코스토무스</v>
          </cell>
          <cell r="C1306" t="str">
            <v>어류</v>
          </cell>
          <cell r="D1306">
            <v>8</v>
          </cell>
          <cell r="E1306" t="str">
            <v>동물</v>
          </cell>
          <cell r="F1306">
            <v>2</v>
          </cell>
          <cell r="G1306" t="str">
            <v>D</v>
          </cell>
          <cell r="H1306">
            <v>1</v>
          </cell>
          <cell r="AW1306" t="str">
            <v/>
          </cell>
          <cell r="BA1306" t="str">
            <v>-</v>
          </cell>
        </row>
        <row r="1307">
          <cell r="A1307">
            <v>70409384</v>
          </cell>
          <cell r="B1307" t="str">
            <v>피라루쿠</v>
          </cell>
          <cell r="C1307" t="str">
            <v>어류</v>
          </cell>
          <cell r="D1307">
            <v>8</v>
          </cell>
          <cell r="E1307" t="str">
            <v>동물</v>
          </cell>
          <cell r="F1307">
            <v>2</v>
          </cell>
          <cell r="G1307" t="str">
            <v>S</v>
          </cell>
          <cell r="H1307">
            <v>5</v>
          </cell>
        </row>
        <row r="1308">
          <cell r="A1308">
            <v>70409385</v>
          </cell>
          <cell r="B1308" t="str">
            <v>피라이바</v>
          </cell>
          <cell r="C1308" t="str">
            <v>어류</v>
          </cell>
          <cell r="D1308">
            <v>8</v>
          </cell>
          <cell r="E1308" t="str">
            <v>동물</v>
          </cell>
          <cell r="F1308">
            <v>2</v>
          </cell>
          <cell r="G1308" t="str">
            <v>C</v>
          </cell>
          <cell r="H1308">
            <v>2</v>
          </cell>
        </row>
        <row r="1309">
          <cell r="A1309">
            <v>70409386</v>
          </cell>
          <cell r="B1309" t="str">
            <v>하스돔</v>
          </cell>
          <cell r="C1309" t="str">
            <v>어류</v>
          </cell>
          <cell r="D1309">
            <v>8</v>
          </cell>
          <cell r="E1309" t="str">
            <v>동물</v>
          </cell>
          <cell r="F1309">
            <v>2</v>
          </cell>
          <cell r="G1309" t="str">
            <v>A</v>
          </cell>
          <cell r="H1309">
            <v>4</v>
          </cell>
        </row>
        <row r="1310">
          <cell r="A1310">
            <v>70409387</v>
          </cell>
          <cell r="B1310" t="str">
            <v>학공치</v>
          </cell>
          <cell r="C1310" t="str">
            <v>어류</v>
          </cell>
          <cell r="D1310">
            <v>8</v>
          </cell>
          <cell r="E1310" t="str">
            <v>동물</v>
          </cell>
          <cell r="F1310">
            <v>2</v>
          </cell>
          <cell r="G1310" t="str">
            <v>B</v>
          </cell>
          <cell r="H1310">
            <v>3</v>
          </cell>
        </row>
        <row r="1311">
          <cell r="A1311">
            <v>70409388</v>
          </cell>
          <cell r="B1311" t="str">
            <v>해마</v>
          </cell>
          <cell r="C1311" t="str">
            <v>어류</v>
          </cell>
          <cell r="D1311">
            <v>8</v>
          </cell>
          <cell r="E1311" t="str">
            <v>동물</v>
          </cell>
          <cell r="F1311">
            <v>2</v>
          </cell>
          <cell r="G1311" t="str">
            <v>D</v>
          </cell>
          <cell r="H1311">
            <v>1</v>
          </cell>
          <cell r="AW1311" t="str">
            <v/>
          </cell>
          <cell r="BA1311" t="str">
            <v>-</v>
          </cell>
        </row>
        <row r="1312">
          <cell r="A1312">
            <v>70409389</v>
          </cell>
          <cell r="B1312" t="str">
            <v>해포리고기</v>
          </cell>
          <cell r="C1312" t="str">
            <v>어류</v>
          </cell>
          <cell r="D1312">
            <v>8</v>
          </cell>
          <cell r="E1312" t="str">
            <v>동물</v>
          </cell>
          <cell r="F1312">
            <v>2</v>
          </cell>
          <cell r="G1312" t="str">
            <v>D</v>
          </cell>
          <cell r="H1312">
            <v>1</v>
          </cell>
          <cell r="AW1312" t="str">
            <v/>
          </cell>
          <cell r="BA1312" t="str">
            <v>-</v>
          </cell>
        </row>
        <row r="1313">
          <cell r="A1313">
            <v>70409390</v>
          </cell>
          <cell r="B1313" t="str">
            <v>향유고래</v>
          </cell>
          <cell r="C1313" t="str">
            <v>포유류</v>
          </cell>
          <cell r="D1313">
            <v>5</v>
          </cell>
          <cell r="E1313" t="str">
            <v>동물</v>
          </cell>
          <cell r="F1313">
            <v>2</v>
          </cell>
          <cell r="G1313" t="str">
            <v>S</v>
          </cell>
          <cell r="H1313">
            <v>5</v>
          </cell>
        </row>
        <row r="1314">
          <cell r="A1314">
            <v>70409391</v>
          </cell>
          <cell r="B1314" t="str">
            <v>험프헤드앵무고기</v>
          </cell>
          <cell r="C1314" t="str">
            <v>어류</v>
          </cell>
          <cell r="D1314">
            <v>8</v>
          </cell>
          <cell r="E1314" t="str">
            <v>동물</v>
          </cell>
          <cell r="F1314">
            <v>2</v>
          </cell>
          <cell r="G1314" t="str">
            <v>B</v>
          </cell>
          <cell r="H1314">
            <v>3</v>
          </cell>
        </row>
        <row r="1315">
          <cell r="A1315">
            <v>70409392</v>
          </cell>
          <cell r="B1315" t="str">
            <v>홉리아스 아이마라</v>
          </cell>
          <cell r="C1315" t="str">
            <v>어류</v>
          </cell>
          <cell r="D1315">
            <v>8</v>
          </cell>
          <cell r="E1315" t="str">
            <v>동물</v>
          </cell>
          <cell r="F1315">
            <v>2</v>
          </cell>
          <cell r="G1315" t="str">
            <v>A</v>
          </cell>
          <cell r="H1315">
            <v>4</v>
          </cell>
        </row>
        <row r="1316">
          <cell r="A1316">
            <v>70409393</v>
          </cell>
          <cell r="B1316" t="str">
            <v>홍기가라지</v>
          </cell>
          <cell r="C1316" t="str">
            <v>어류</v>
          </cell>
          <cell r="D1316">
            <v>8</v>
          </cell>
          <cell r="E1316" t="str">
            <v>동물</v>
          </cell>
          <cell r="F1316">
            <v>2</v>
          </cell>
          <cell r="G1316" t="str">
            <v>D</v>
          </cell>
          <cell r="H1316">
            <v>1</v>
          </cell>
        </row>
        <row r="1317">
          <cell r="A1317">
            <v>70409394</v>
          </cell>
          <cell r="B1317" t="str">
            <v>홍대치</v>
          </cell>
          <cell r="C1317" t="str">
            <v>어류</v>
          </cell>
          <cell r="D1317">
            <v>8</v>
          </cell>
          <cell r="E1317" t="str">
            <v>동물</v>
          </cell>
          <cell r="F1317">
            <v>2</v>
          </cell>
          <cell r="G1317" t="str">
            <v>S</v>
          </cell>
          <cell r="H1317">
            <v>5</v>
          </cell>
        </row>
        <row r="1318">
          <cell r="A1318">
            <v>70409395</v>
          </cell>
          <cell r="B1318" t="str">
            <v>홍살귀상어</v>
          </cell>
          <cell r="C1318" t="str">
            <v>어류</v>
          </cell>
          <cell r="D1318">
            <v>8</v>
          </cell>
          <cell r="E1318" t="str">
            <v>동물</v>
          </cell>
          <cell r="F1318">
            <v>2</v>
          </cell>
          <cell r="G1318" t="str">
            <v>S</v>
          </cell>
          <cell r="H1318">
            <v>5</v>
          </cell>
        </row>
        <row r="1319">
          <cell r="A1319">
            <v>70409396</v>
          </cell>
          <cell r="B1319" t="str">
            <v>홍어</v>
          </cell>
          <cell r="C1319" t="str">
            <v>어류</v>
          </cell>
          <cell r="D1319">
            <v>8</v>
          </cell>
          <cell r="E1319" t="str">
            <v>동물</v>
          </cell>
          <cell r="F1319">
            <v>2</v>
          </cell>
          <cell r="G1319" t="str">
            <v>D</v>
          </cell>
          <cell r="H1319">
            <v>1</v>
          </cell>
          <cell r="AW1319" t="str">
            <v/>
          </cell>
          <cell r="BA1319" t="str">
            <v>-</v>
          </cell>
        </row>
        <row r="1320">
          <cell r="A1320">
            <v>70409397</v>
          </cell>
          <cell r="B1320" t="str">
            <v>환도상어</v>
          </cell>
          <cell r="C1320" t="str">
            <v>어류</v>
          </cell>
          <cell r="D1320">
            <v>8</v>
          </cell>
          <cell r="E1320" t="str">
            <v>동물</v>
          </cell>
          <cell r="F1320">
            <v>2</v>
          </cell>
          <cell r="G1320" t="str">
            <v>D</v>
          </cell>
          <cell r="H1320">
            <v>1</v>
          </cell>
          <cell r="AW1320" t="str">
            <v/>
          </cell>
          <cell r="BA1320" t="str">
            <v>-</v>
          </cell>
        </row>
        <row r="1321">
          <cell r="A1321">
            <v>70409398</v>
          </cell>
          <cell r="B1321" t="str">
            <v>황날치</v>
          </cell>
          <cell r="C1321" t="str">
            <v>어류</v>
          </cell>
          <cell r="D1321">
            <v>8</v>
          </cell>
          <cell r="E1321" t="str">
            <v>동물</v>
          </cell>
          <cell r="F1321">
            <v>2</v>
          </cell>
          <cell r="G1321" t="str">
            <v>B</v>
          </cell>
          <cell r="H1321">
            <v>3</v>
          </cell>
        </row>
        <row r="1322">
          <cell r="A1322">
            <v>70409399</v>
          </cell>
          <cell r="B1322" t="str">
            <v>황다랑어</v>
          </cell>
          <cell r="C1322" t="str">
            <v>어류</v>
          </cell>
          <cell r="D1322">
            <v>8</v>
          </cell>
          <cell r="E1322" t="str">
            <v>동물</v>
          </cell>
          <cell r="F1322">
            <v>2</v>
          </cell>
          <cell r="G1322" t="str">
            <v>B</v>
          </cell>
          <cell r="H1322">
            <v>3</v>
          </cell>
        </row>
        <row r="1323">
          <cell r="A1323">
            <v>70409400</v>
          </cell>
          <cell r="B1323" t="str">
            <v>황돔</v>
          </cell>
          <cell r="C1323" t="str">
            <v>어류</v>
          </cell>
          <cell r="D1323">
            <v>8</v>
          </cell>
          <cell r="E1323" t="str">
            <v>동물</v>
          </cell>
          <cell r="F1323">
            <v>2</v>
          </cell>
          <cell r="G1323" t="str">
            <v>D</v>
          </cell>
          <cell r="H1323">
            <v>1</v>
          </cell>
          <cell r="AW1323" t="str">
            <v/>
          </cell>
          <cell r="BA1323" t="str">
            <v>-</v>
          </cell>
        </row>
        <row r="1324">
          <cell r="A1324">
            <v>70409401</v>
          </cell>
          <cell r="B1324" t="str">
            <v>황등어</v>
          </cell>
          <cell r="C1324" t="str">
            <v>어류</v>
          </cell>
          <cell r="D1324">
            <v>8</v>
          </cell>
          <cell r="E1324" t="str">
            <v>동물</v>
          </cell>
          <cell r="F1324">
            <v>2</v>
          </cell>
          <cell r="G1324" t="str">
            <v>D</v>
          </cell>
          <cell r="H1324">
            <v>1</v>
          </cell>
          <cell r="AW1324" t="str">
            <v/>
          </cell>
          <cell r="BA1324" t="str">
            <v>-</v>
          </cell>
        </row>
        <row r="1325">
          <cell r="A1325">
            <v>70409402</v>
          </cell>
          <cell r="B1325" t="str">
            <v>황록쥐치</v>
          </cell>
          <cell r="C1325" t="str">
            <v>어류</v>
          </cell>
          <cell r="D1325">
            <v>8</v>
          </cell>
          <cell r="E1325" t="str">
            <v>동물</v>
          </cell>
          <cell r="F1325">
            <v>2</v>
          </cell>
          <cell r="G1325" t="str">
            <v>D</v>
          </cell>
          <cell r="H1325">
            <v>1</v>
          </cell>
          <cell r="AW1325" t="str">
            <v/>
          </cell>
          <cell r="BA1325" t="str">
            <v>-</v>
          </cell>
        </row>
        <row r="1326">
          <cell r="A1326">
            <v>70409403</v>
          </cell>
          <cell r="B1326" t="str">
            <v>황매퉁이</v>
          </cell>
          <cell r="C1326" t="str">
            <v>어류</v>
          </cell>
          <cell r="D1326">
            <v>8</v>
          </cell>
          <cell r="E1326" t="str">
            <v>동물</v>
          </cell>
          <cell r="F1326">
            <v>2</v>
          </cell>
          <cell r="G1326" t="str">
            <v>B</v>
          </cell>
          <cell r="H1326">
            <v>3</v>
          </cell>
        </row>
        <row r="1327">
          <cell r="A1327">
            <v>70409404</v>
          </cell>
          <cell r="B1327" t="str">
            <v>황새치</v>
          </cell>
          <cell r="C1327" t="str">
            <v>어류</v>
          </cell>
          <cell r="D1327">
            <v>8</v>
          </cell>
          <cell r="E1327" t="str">
            <v>동물</v>
          </cell>
          <cell r="F1327">
            <v>2</v>
          </cell>
          <cell r="G1327" t="str">
            <v>A</v>
          </cell>
          <cell r="H1327">
            <v>4</v>
          </cell>
        </row>
        <row r="1328">
          <cell r="A1328">
            <v>70409405</v>
          </cell>
          <cell r="B1328" t="str">
            <v>황적퉁돔</v>
          </cell>
          <cell r="C1328" t="str">
            <v>어류</v>
          </cell>
          <cell r="D1328">
            <v>8</v>
          </cell>
          <cell r="E1328" t="str">
            <v>동물</v>
          </cell>
          <cell r="F1328">
            <v>2</v>
          </cell>
          <cell r="G1328" t="str">
            <v>D</v>
          </cell>
          <cell r="H1328">
            <v>1</v>
          </cell>
          <cell r="AW1328" t="str">
            <v/>
          </cell>
          <cell r="BA1328" t="str">
            <v>-</v>
          </cell>
        </row>
        <row r="1329">
          <cell r="A1329">
            <v>70409406</v>
          </cell>
          <cell r="B1329" t="str">
            <v>황줄깜정이</v>
          </cell>
          <cell r="C1329" t="str">
            <v>어류</v>
          </cell>
          <cell r="D1329">
            <v>8</v>
          </cell>
          <cell r="E1329" t="str">
            <v>동물</v>
          </cell>
          <cell r="F1329">
            <v>2</v>
          </cell>
          <cell r="G1329" t="str">
            <v>B</v>
          </cell>
          <cell r="H1329">
            <v>3</v>
          </cell>
        </row>
        <row r="1330">
          <cell r="A1330">
            <v>70409407</v>
          </cell>
          <cell r="B1330" t="str">
            <v>황줄돔</v>
          </cell>
          <cell r="C1330" t="str">
            <v>어류</v>
          </cell>
          <cell r="D1330">
            <v>8</v>
          </cell>
          <cell r="E1330" t="str">
            <v>동물</v>
          </cell>
          <cell r="F1330">
            <v>2</v>
          </cell>
          <cell r="G1330" t="str">
            <v>C</v>
          </cell>
          <cell r="H1330">
            <v>2</v>
          </cell>
        </row>
        <row r="1331">
          <cell r="A1331">
            <v>70409408</v>
          </cell>
          <cell r="B1331" t="str">
            <v>흑나비조개</v>
          </cell>
          <cell r="C1331" t="str">
            <v>무척추동물</v>
          </cell>
          <cell r="D1331">
            <v>9</v>
          </cell>
          <cell r="E1331" t="str">
            <v>동물</v>
          </cell>
          <cell r="F1331">
            <v>2</v>
          </cell>
          <cell r="G1331" t="str">
            <v>A</v>
          </cell>
          <cell r="H1331">
            <v>4</v>
          </cell>
        </row>
        <row r="1332">
          <cell r="A1332">
            <v>70409409</v>
          </cell>
          <cell r="B1332" t="str">
            <v>흑밀복</v>
          </cell>
          <cell r="C1332" t="str">
            <v>어류</v>
          </cell>
          <cell r="D1332">
            <v>8</v>
          </cell>
          <cell r="E1332" t="str">
            <v>동물</v>
          </cell>
          <cell r="F1332">
            <v>2</v>
          </cell>
          <cell r="G1332" t="str">
            <v>D</v>
          </cell>
          <cell r="H1332">
            <v>1</v>
          </cell>
          <cell r="AW1332" t="str">
            <v/>
          </cell>
          <cell r="BA1332" t="str">
            <v>-</v>
          </cell>
        </row>
        <row r="1333">
          <cell r="A1333">
            <v>70409410</v>
          </cell>
          <cell r="B1333" t="str">
            <v>흑새치</v>
          </cell>
          <cell r="C1333" t="str">
            <v>어류</v>
          </cell>
          <cell r="D1333">
            <v>8</v>
          </cell>
          <cell r="E1333" t="str">
            <v>동물</v>
          </cell>
          <cell r="F1333">
            <v>2</v>
          </cell>
          <cell r="G1333" t="str">
            <v>D</v>
          </cell>
          <cell r="H1333">
            <v>1</v>
          </cell>
          <cell r="AW1333" t="str">
            <v/>
          </cell>
          <cell r="BA1333" t="str">
            <v>-</v>
          </cell>
        </row>
        <row r="1334">
          <cell r="A1334">
            <v>70409411</v>
          </cell>
          <cell r="B1334" t="str">
            <v>흑점꺼끌복</v>
          </cell>
          <cell r="C1334" t="str">
            <v>어류</v>
          </cell>
          <cell r="D1334">
            <v>8</v>
          </cell>
          <cell r="E1334" t="str">
            <v>동물</v>
          </cell>
          <cell r="F1334">
            <v>2</v>
          </cell>
          <cell r="G1334" t="str">
            <v>B</v>
          </cell>
          <cell r="H1334">
            <v>3</v>
          </cell>
        </row>
        <row r="1335">
          <cell r="A1335">
            <v>70409412</v>
          </cell>
          <cell r="B1335" t="str">
            <v>흑조기</v>
          </cell>
          <cell r="C1335" t="str">
            <v>어류</v>
          </cell>
          <cell r="D1335">
            <v>8</v>
          </cell>
          <cell r="E1335" t="str">
            <v>동물</v>
          </cell>
          <cell r="F1335">
            <v>2</v>
          </cell>
          <cell r="G1335" t="str">
            <v>B</v>
          </cell>
          <cell r="H1335">
            <v>3</v>
          </cell>
        </row>
        <row r="1336">
          <cell r="A1336">
            <v>70409413</v>
          </cell>
          <cell r="B1336" t="str">
            <v>흑줄돔</v>
          </cell>
          <cell r="C1336" t="str">
            <v>어류</v>
          </cell>
          <cell r="D1336">
            <v>8</v>
          </cell>
          <cell r="E1336" t="str">
            <v>동물</v>
          </cell>
          <cell r="F1336">
            <v>2</v>
          </cell>
          <cell r="G1336" t="str">
            <v>D</v>
          </cell>
          <cell r="H1336">
            <v>1</v>
          </cell>
          <cell r="AW1336" t="str">
            <v/>
          </cell>
          <cell r="BA1336" t="str">
            <v>-</v>
          </cell>
        </row>
        <row r="1337">
          <cell r="A1337">
            <v>70409414</v>
          </cell>
          <cell r="B1337" t="str">
            <v>흡혈메기</v>
          </cell>
          <cell r="C1337" t="str">
            <v>어류</v>
          </cell>
          <cell r="D1337">
            <v>8</v>
          </cell>
          <cell r="E1337" t="str">
            <v>동물</v>
          </cell>
          <cell r="F1337">
            <v>2</v>
          </cell>
          <cell r="G1337" t="str">
            <v>B</v>
          </cell>
          <cell r="H1337">
            <v>3</v>
          </cell>
        </row>
        <row r="1338">
          <cell r="A1338">
            <v>70409415</v>
          </cell>
          <cell r="B1338" t="str">
            <v>흰동가리</v>
          </cell>
          <cell r="C1338" t="str">
            <v>어류</v>
          </cell>
          <cell r="D1338">
            <v>8</v>
          </cell>
          <cell r="E1338" t="str">
            <v>동물</v>
          </cell>
          <cell r="F1338">
            <v>2</v>
          </cell>
          <cell r="G1338" t="str">
            <v>D</v>
          </cell>
          <cell r="H1338">
            <v>1</v>
          </cell>
          <cell r="AW1338" t="str">
            <v/>
          </cell>
          <cell r="BA1338" t="str">
            <v>-</v>
          </cell>
        </row>
        <row r="1339">
          <cell r="A1339">
            <v>70409416</v>
          </cell>
          <cell r="B1339" t="str">
            <v>흰배환도상어</v>
          </cell>
          <cell r="C1339" t="str">
            <v>어류</v>
          </cell>
          <cell r="D1339">
            <v>8</v>
          </cell>
          <cell r="E1339" t="str">
            <v>동물</v>
          </cell>
          <cell r="F1339">
            <v>2</v>
          </cell>
          <cell r="G1339" t="str">
            <v>S</v>
          </cell>
          <cell r="H1339">
            <v>5</v>
          </cell>
        </row>
        <row r="1340">
          <cell r="A1340">
            <v>70409417</v>
          </cell>
          <cell r="B1340" t="str">
            <v>흰빨판이</v>
          </cell>
          <cell r="C1340" t="str">
            <v>어류</v>
          </cell>
          <cell r="D1340">
            <v>8</v>
          </cell>
          <cell r="E1340" t="str">
            <v>동물</v>
          </cell>
          <cell r="F1340">
            <v>2</v>
          </cell>
          <cell r="G1340" t="str">
            <v>C</v>
          </cell>
          <cell r="H1340">
            <v>2</v>
          </cell>
        </row>
        <row r="1341">
          <cell r="A1341">
            <v>70409418</v>
          </cell>
          <cell r="B1341" t="str">
            <v>흰수염고래</v>
          </cell>
          <cell r="C1341" t="str">
            <v>포유류</v>
          </cell>
          <cell r="D1341">
            <v>5</v>
          </cell>
          <cell r="E1341" t="str">
            <v>동물</v>
          </cell>
          <cell r="F1341">
            <v>2</v>
          </cell>
          <cell r="G1341" t="str">
            <v>S</v>
          </cell>
          <cell r="H1341">
            <v>5</v>
          </cell>
        </row>
        <row r="1342">
          <cell r="A1342">
            <v>70409419</v>
          </cell>
          <cell r="B1342" t="str">
            <v>흰점꺼끌복</v>
          </cell>
          <cell r="C1342" t="str">
            <v>어류</v>
          </cell>
          <cell r="D1342">
            <v>8</v>
          </cell>
          <cell r="E1342" t="str">
            <v>동물</v>
          </cell>
          <cell r="F1342">
            <v>2</v>
          </cell>
          <cell r="G1342" t="str">
            <v>D</v>
          </cell>
          <cell r="H1342">
            <v>1</v>
          </cell>
          <cell r="AW1342" t="str">
            <v/>
          </cell>
          <cell r="BA1342" t="str">
            <v>-</v>
          </cell>
        </row>
        <row r="1343">
          <cell r="A1343">
            <v>70409420</v>
          </cell>
          <cell r="B1343" t="str">
            <v>아델리 펭귄</v>
          </cell>
          <cell r="C1343" t="str">
            <v>조류</v>
          </cell>
          <cell r="D1343">
            <v>6</v>
          </cell>
          <cell r="E1343" t="str">
            <v>동물</v>
          </cell>
          <cell r="F1343">
            <v>2</v>
          </cell>
          <cell r="G1343" t="str">
            <v>S</v>
          </cell>
          <cell r="H1343">
            <v>5</v>
          </cell>
          <cell r="AW1343" t="str">
            <v/>
          </cell>
          <cell r="BA1343" t="str">
            <v>-</v>
          </cell>
        </row>
        <row r="1344">
          <cell r="A1344">
            <v>70409421</v>
          </cell>
          <cell r="B1344" t="str">
            <v>남방코끼리물범</v>
          </cell>
          <cell r="C1344" t="str">
            <v>포유류</v>
          </cell>
          <cell r="D1344">
            <v>5</v>
          </cell>
          <cell r="E1344" t="str">
            <v>동물</v>
          </cell>
          <cell r="F1344">
            <v>2</v>
          </cell>
          <cell r="G1344" t="str">
            <v>A</v>
          </cell>
          <cell r="H1344">
            <v>4</v>
          </cell>
          <cell r="AW1344" t="str">
            <v/>
          </cell>
          <cell r="BA1344" t="str">
            <v>-</v>
          </cell>
        </row>
        <row r="1345">
          <cell r="A1345">
            <v>70409422</v>
          </cell>
          <cell r="B1345" t="str">
            <v>웨들해물범</v>
          </cell>
          <cell r="C1345" t="str">
            <v>포유류</v>
          </cell>
          <cell r="D1345">
            <v>5</v>
          </cell>
          <cell r="E1345" t="str">
            <v>동물</v>
          </cell>
          <cell r="F1345">
            <v>2</v>
          </cell>
          <cell r="G1345" t="str">
            <v>B</v>
          </cell>
          <cell r="H1345">
            <v>3</v>
          </cell>
          <cell r="AW1345" t="str">
            <v/>
          </cell>
          <cell r="BA1345" t="str">
            <v>-</v>
          </cell>
        </row>
        <row r="1346">
          <cell r="A1346">
            <v>70409423</v>
          </cell>
          <cell r="B1346" t="str">
            <v>얼룩무늬물범</v>
          </cell>
          <cell r="C1346" t="str">
            <v>포유류</v>
          </cell>
          <cell r="D1346">
            <v>5</v>
          </cell>
          <cell r="E1346" t="str">
            <v>동물</v>
          </cell>
          <cell r="F1346">
            <v>2</v>
          </cell>
          <cell r="G1346" t="str">
            <v>A</v>
          </cell>
          <cell r="H1346">
            <v>4</v>
          </cell>
          <cell r="AW1346" t="str">
            <v/>
          </cell>
          <cell r="BA1346" t="str">
            <v>-</v>
          </cell>
        </row>
        <row r="1347">
          <cell r="A1347">
            <v>70409424</v>
          </cell>
          <cell r="B1347" t="str">
            <v>남극물개</v>
          </cell>
          <cell r="C1347" t="str">
            <v>포유류</v>
          </cell>
          <cell r="D1347">
            <v>5</v>
          </cell>
          <cell r="E1347" t="str">
            <v>동물</v>
          </cell>
          <cell r="F1347">
            <v>2</v>
          </cell>
          <cell r="G1347" t="str">
            <v>C</v>
          </cell>
          <cell r="H1347">
            <v>2</v>
          </cell>
          <cell r="AW1347" t="str">
            <v/>
          </cell>
          <cell r="BA1347" t="str">
            <v>-</v>
          </cell>
        </row>
        <row r="1348">
          <cell r="A1348">
            <v>70409425</v>
          </cell>
          <cell r="B1348" t="str">
            <v>모래시계돌고래</v>
          </cell>
          <cell r="C1348" t="str">
            <v>포유류</v>
          </cell>
          <cell r="D1348">
            <v>5</v>
          </cell>
          <cell r="E1348" t="str">
            <v>동물</v>
          </cell>
          <cell r="F1348">
            <v>2</v>
          </cell>
          <cell r="G1348" t="str">
            <v>B</v>
          </cell>
          <cell r="H1348">
            <v>3</v>
          </cell>
          <cell r="AW1348" t="str">
            <v/>
          </cell>
          <cell r="BA1348" t="str">
            <v>-</v>
          </cell>
        </row>
        <row r="1349">
          <cell r="A1349">
            <v>70409426</v>
          </cell>
          <cell r="B1349" t="str">
            <v>북극토끼</v>
          </cell>
          <cell r="C1349" t="str">
            <v>포유류</v>
          </cell>
          <cell r="D1349">
            <v>5</v>
          </cell>
          <cell r="E1349" t="str">
            <v>동물</v>
          </cell>
          <cell r="F1349">
            <v>2</v>
          </cell>
          <cell r="G1349" t="str">
            <v>C</v>
          </cell>
          <cell r="H1349">
            <v>2</v>
          </cell>
          <cell r="AW1349" t="str">
            <v/>
          </cell>
          <cell r="BA1349" t="str">
            <v>-</v>
          </cell>
        </row>
        <row r="1350">
          <cell r="A1350">
            <v>70409427</v>
          </cell>
          <cell r="B1350" t="str">
            <v>남극하트지느러미오징어</v>
          </cell>
          <cell r="C1350" t="str">
            <v>어류</v>
          </cell>
          <cell r="D1350">
            <v>8</v>
          </cell>
          <cell r="E1350" t="str">
            <v>동물</v>
          </cell>
          <cell r="F1350">
            <v>2</v>
          </cell>
          <cell r="G1350" t="str">
            <v>B</v>
          </cell>
          <cell r="H1350">
            <v>3</v>
          </cell>
          <cell r="AW1350" t="str">
            <v/>
          </cell>
          <cell r="BA1350" t="str">
            <v>-</v>
          </cell>
        </row>
        <row r="1351">
          <cell r="A1351">
            <v>70409428</v>
          </cell>
          <cell r="B1351" t="str">
            <v>곤들매기</v>
          </cell>
          <cell r="C1351" t="str">
            <v>어류</v>
          </cell>
          <cell r="D1351">
            <v>8</v>
          </cell>
          <cell r="E1351" t="str">
            <v>동물</v>
          </cell>
          <cell r="F1351">
            <v>2</v>
          </cell>
          <cell r="G1351" t="str">
            <v>B</v>
          </cell>
          <cell r="H1351">
            <v>3</v>
          </cell>
          <cell r="AW1351" t="str">
            <v/>
          </cell>
          <cell r="BA1351" t="str">
            <v>-</v>
          </cell>
        </row>
        <row r="1352">
          <cell r="A1352">
            <v>70409429</v>
          </cell>
          <cell r="B1352" t="str">
            <v>곱사연어</v>
          </cell>
          <cell r="C1352" t="str">
            <v>어류</v>
          </cell>
          <cell r="D1352">
            <v>8</v>
          </cell>
          <cell r="E1352" t="str">
            <v>동물</v>
          </cell>
          <cell r="F1352">
            <v>2</v>
          </cell>
          <cell r="G1352" t="str">
            <v>B</v>
          </cell>
          <cell r="H1352">
            <v>3</v>
          </cell>
          <cell r="AW1352" t="str">
            <v/>
          </cell>
          <cell r="BA1352" t="str">
            <v>-</v>
          </cell>
        </row>
        <row r="1353">
          <cell r="A1353">
            <v>70409430</v>
          </cell>
          <cell r="B1353" t="str">
            <v>대서양대구</v>
          </cell>
          <cell r="C1353" t="str">
            <v>어류</v>
          </cell>
          <cell r="D1353">
            <v>8</v>
          </cell>
          <cell r="E1353" t="str">
            <v>동물</v>
          </cell>
          <cell r="F1353">
            <v>2</v>
          </cell>
          <cell r="G1353" t="str">
            <v>B</v>
          </cell>
          <cell r="H1353">
            <v>3</v>
          </cell>
          <cell r="AW1353" t="str">
            <v/>
          </cell>
          <cell r="BA1353" t="str">
            <v>-</v>
          </cell>
        </row>
        <row r="1354">
          <cell r="A1354">
            <v>70409431</v>
          </cell>
          <cell r="B1354" t="str">
            <v>대서양연어</v>
          </cell>
          <cell r="C1354" t="str">
            <v>어류</v>
          </cell>
          <cell r="D1354">
            <v>8</v>
          </cell>
          <cell r="E1354" t="str">
            <v>동물</v>
          </cell>
          <cell r="F1354">
            <v>2</v>
          </cell>
          <cell r="G1354" t="str">
            <v>B</v>
          </cell>
          <cell r="H1354">
            <v>3</v>
          </cell>
          <cell r="AW1354" t="str">
            <v/>
          </cell>
          <cell r="BA1354" t="str">
            <v>-</v>
          </cell>
        </row>
        <row r="1355">
          <cell r="A1355">
            <v>70409432</v>
          </cell>
          <cell r="B1355" t="str">
            <v>잠꾸러기상어</v>
          </cell>
          <cell r="C1355" t="str">
            <v>어류</v>
          </cell>
          <cell r="D1355">
            <v>8</v>
          </cell>
          <cell r="E1355" t="str">
            <v>동물</v>
          </cell>
          <cell r="F1355">
            <v>2</v>
          </cell>
          <cell r="G1355" t="str">
            <v>B</v>
          </cell>
          <cell r="H1355">
            <v>3</v>
          </cell>
          <cell r="AW1355" t="str">
            <v/>
          </cell>
          <cell r="BA1355" t="str">
            <v>-</v>
          </cell>
        </row>
        <row r="1356">
          <cell r="A1356">
            <v>70409433</v>
          </cell>
          <cell r="B1356" t="str">
            <v>해덕대구</v>
          </cell>
          <cell r="C1356" t="str">
            <v>어류</v>
          </cell>
          <cell r="D1356">
            <v>8</v>
          </cell>
          <cell r="E1356" t="str">
            <v>동물</v>
          </cell>
          <cell r="F1356">
            <v>2</v>
          </cell>
          <cell r="G1356" t="str">
            <v>B</v>
          </cell>
          <cell r="H1356">
            <v>3</v>
          </cell>
          <cell r="AW1356" t="str">
            <v/>
          </cell>
          <cell r="BA1356" t="str">
            <v>-</v>
          </cell>
        </row>
        <row r="1357">
          <cell r="A1357">
            <v>70409434</v>
          </cell>
          <cell r="B1357" t="str">
            <v>남극이빨고기</v>
          </cell>
          <cell r="C1357" t="str">
            <v>어류</v>
          </cell>
          <cell r="D1357">
            <v>8</v>
          </cell>
          <cell r="E1357" t="str">
            <v>동물</v>
          </cell>
          <cell r="F1357">
            <v>2</v>
          </cell>
          <cell r="G1357" t="str">
            <v>B</v>
          </cell>
          <cell r="H1357">
            <v>3</v>
          </cell>
          <cell r="AW1357" t="str">
            <v/>
          </cell>
          <cell r="BA1357" t="str">
            <v>-</v>
          </cell>
        </row>
        <row r="1358">
          <cell r="A1358">
            <v>70409435</v>
          </cell>
          <cell r="B1358" t="str">
            <v>남극빙어</v>
          </cell>
          <cell r="C1358" t="str">
            <v>어류</v>
          </cell>
          <cell r="D1358">
            <v>8</v>
          </cell>
          <cell r="E1358" t="str">
            <v>동물</v>
          </cell>
          <cell r="F1358">
            <v>2</v>
          </cell>
          <cell r="G1358" t="str">
            <v>B</v>
          </cell>
          <cell r="H1358">
            <v>3</v>
          </cell>
          <cell r="AW1358" t="str">
            <v/>
          </cell>
          <cell r="BA1358" t="str">
            <v>-</v>
          </cell>
        </row>
        <row r="1359">
          <cell r="A1359">
            <v>70409436</v>
          </cell>
          <cell r="B1359" t="str">
            <v>대리석무늬암치</v>
          </cell>
          <cell r="C1359" t="str">
            <v>어류</v>
          </cell>
          <cell r="D1359">
            <v>8</v>
          </cell>
          <cell r="E1359" t="str">
            <v>동물</v>
          </cell>
          <cell r="F1359">
            <v>2</v>
          </cell>
          <cell r="G1359" t="str">
            <v>B</v>
          </cell>
          <cell r="H1359">
            <v>3</v>
          </cell>
          <cell r="AW1359" t="str">
            <v/>
          </cell>
          <cell r="BA1359" t="str">
            <v>-</v>
          </cell>
        </row>
        <row r="1360">
          <cell r="A1360">
            <v>70409437</v>
          </cell>
          <cell r="B1360" t="str">
            <v>남극대구</v>
          </cell>
          <cell r="C1360" t="str">
            <v>어류</v>
          </cell>
          <cell r="D1360">
            <v>8</v>
          </cell>
          <cell r="E1360" t="str">
            <v>동물</v>
          </cell>
          <cell r="F1360">
            <v>2</v>
          </cell>
          <cell r="G1360" t="str">
            <v>B</v>
          </cell>
          <cell r="H1360">
            <v>3</v>
          </cell>
          <cell r="AW1360" t="str">
            <v/>
          </cell>
          <cell r="BA1360" t="str">
            <v>-</v>
          </cell>
        </row>
        <row r="1361">
          <cell r="A1361">
            <v>70410000</v>
          </cell>
          <cell r="B1361" t="str">
            <v>첸링</v>
          </cell>
          <cell r="C1361" t="str">
            <v>사적</v>
          </cell>
          <cell r="D1361">
            <v>12</v>
          </cell>
          <cell r="E1361" t="str">
            <v>건축</v>
          </cell>
          <cell r="F1361">
            <v>4</v>
          </cell>
          <cell r="G1361" t="str">
            <v>C</v>
          </cell>
          <cell r="H1361">
            <v>2</v>
          </cell>
        </row>
        <row r="1362">
          <cell r="A1362">
            <v>70410001</v>
          </cell>
          <cell r="B1362" t="str">
            <v>경복궁</v>
          </cell>
          <cell r="C1362" t="str">
            <v>사적</v>
          </cell>
          <cell r="D1362">
            <v>12</v>
          </cell>
          <cell r="E1362" t="str">
            <v>건축</v>
          </cell>
          <cell r="F1362">
            <v>4</v>
          </cell>
          <cell r="G1362" t="str">
            <v>A</v>
          </cell>
          <cell r="H1362">
            <v>4</v>
          </cell>
          <cell r="AW1362" t="str">
            <v>특정 국가 항해사 보유</v>
          </cell>
          <cell r="AY1362" t="str">
            <v>조선</v>
          </cell>
          <cell r="BA1362">
            <v>3</v>
          </cell>
        </row>
        <row r="1363">
          <cell r="A1363">
            <v>70410002</v>
          </cell>
          <cell r="B1363" t="str">
            <v>고창 지석묘군</v>
          </cell>
          <cell r="C1363" t="str">
            <v>사적</v>
          </cell>
          <cell r="D1363">
            <v>12</v>
          </cell>
          <cell r="E1363" t="str">
            <v>건축</v>
          </cell>
          <cell r="F1363">
            <v>4</v>
          </cell>
          <cell r="G1363" t="str">
            <v>D</v>
          </cell>
          <cell r="H1363">
            <v>1</v>
          </cell>
          <cell r="AW1363" t="str">
            <v/>
          </cell>
          <cell r="BA1363" t="str">
            <v>-</v>
          </cell>
        </row>
        <row r="1364">
          <cell r="A1364">
            <v>70410003</v>
          </cell>
          <cell r="B1364" t="str">
            <v>광개토대왕릉비</v>
          </cell>
          <cell r="C1364" t="str">
            <v>사적</v>
          </cell>
          <cell r="D1364">
            <v>12</v>
          </cell>
          <cell r="E1364" t="str">
            <v>건축</v>
          </cell>
          <cell r="F1364">
            <v>4</v>
          </cell>
          <cell r="G1364" t="str">
            <v>A</v>
          </cell>
          <cell r="H1364">
            <v>4</v>
          </cell>
          <cell r="AW1364" t="str">
            <v>특정 퀘스트(=)</v>
          </cell>
          <cell r="AY1364" t="str">
            <v>이름 없는 비석</v>
          </cell>
          <cell r="BA1364">
            <v>3</v>
          </cell>
        </row>
        <row r="1365">
          <cell r="A1365">
            <v>70410004</v>
          </cell>
          <cell r="B1365" t="str">
            <v>귀마르의 피라미드</v>
          </cell>
          <cell r="C1365" t="str">
            <v>사적</v>
          </cell>
          <cell r="D1365">
            <v>12</v>
          </cell>
          <cell r="E1365" t="str">
            <v>건축</v>
          </cell>
          <cell r="F1365">
            <v>4</v>
          </cell>
          <cell r="G1365" t="str">
            <v>A</v>
          </cell>
          <cell r="H1365">
            <v>4</v>
          </cell>
        </row>
        <row r="1366">
          <cell r="A1366">
            <v>70410005</v>
          </cell>
          <cell r="B1366" t="str">
            <v>그레이트 짐바브웨</v>
          </cell>
          <cell r="C1366" t="str">
            <v>사적</v>
          </cell>
          <cell r="D1366">
            <v>12</v>
          </cell>
          <cell r="E1366" t="str">
            <v>건축</v>
          </cell>
          <cell r="F1366">
            <v>4</v>
          </cell>
          <cell r="G1366" t="str">
            <v>A</v>
          </cell>
          <cell r="H1366">
            <v>4</v>
          </cell>
        </row>
        <row r="1367">
          <cell r="A1367">
            <v>70410006</v>
          </cell>
          <cell r="B1367" t="str">
            <v>김유신 묘</v>
          </cell>
          <cell r="C1367" t="str">
            <v>사적</v>
          </cell>
          <cell r="D1367">
            <v>12</v>
          </cell>
          <cell r="E1367" t="str">
            <v>건축</v>
          </cell>
          <cell r="F1367">
            <v>4</v>
          </cell>
          <cell r="G1367" t="str">
            <v>C</v>
          </cell>
          <cell r="H1367">
            <v>2</v>
          </cell>
        </row>
        <row r="1368">
          <cell r="A1368">
            <v>70410007</v>
          </cell>
          <cell r="B1368" t="str">
            <v>나람신의 전승비</v>
          </cell>
          <cell r="C1368" t="str">
            <v>사적</v>
          </cell>
          <cell r="D1368">
            <v>12</v>
          </cell>
          <cell r="E1368" t="str">
            <v>건축</v>
          </cell>
          <cell r="F1368">
            <v>4</v>
          </cell>
          <cell r="G1368" t="str">
            <v>A</v>
          </cell>
          <cell r="H1368">
            <v>4</v>
          </cell>
        </row>
        <row r="1369">
          <cell r="A1369">
            <v>70410009</v>
          </cell>
          <cell r="B1369" t="str">
            <v>누라게</v>
          </cell>
          <cell r="C1369" t="str">
            <v>사적</v>
          </cell>
          <cell r="D1369">
            <v>12</v>
          </cell>
          <cell r="E1369" t="str">
            <v>건축</v>
          </cell>
          <cell r="F1369">
            <v>4</v>
          </cell>
          <cell r="G1369" t="str">
            <v>C</v>
          </cell>
          <cell r="H1369">
            <v>2</v>
          </cell>
        </row>
        <row r="1370">
          <cell r="A1370">
            <v>70410010</v>
          </cell>
          <cell r="B1370" t="str">
            <v>누비아 피라미드</v>
          </cell>
          <cell r="C1370" t="str">
            <v>사적</v>
          </cell>
          <cell r="D1370">
            <v>12</v>
          </cell>
          <cell r="E1370" t="str">
            <v>건축</v>
          </cell>
          <cell r="F1370">
            <v>4</v>
          </cell>
          <cell r="G1370" t="str">
            <v>B</v>
          </cell>
          <cell r="H1370">
            <v>3</v>
          </cell>
          <cell r="AW1370" t="str">
            <v>특정 직업 항해사 보유</v>
          </cell>
          <cell r="AY1370" t="str">
            <v>고고학자</v>
          </cell>
          <cell r="BA1370">
            <v>2</v>
          </cell>
        </row>
        <row r="1371">
          <cell r="A1371">
            <v>70410011</v>
          </cell>
          <cell r="B1371" t="str">
            <v>니네베</v>
          </cell>
          <cell r="C1371" t="str">
            <v>사적</v>
          </cell>
          <cell r="D1371">
            <v>12</v>
          </cell>
          <cell r="E1371" t="str">
            <v>건축</v>
          </cell>
          <cell r="F1371">
            <v>4</v>
          </cell>
          <cell r="G1371" t="str">
            <v>A</v>
          </cell>
          <cell r="H1371">
            <v>4</v>
          </cell>
        </row>
        <row r="1372">
          <cell r="A1372">
            <v>70410012</v>
          </cell>
          <cell r="B1372" t="str">
            <v>디오니소스 극장</v>
          </cell>
          <cell r="C1372" t="str">
            <v>사적</v>
          </cell>
          <cell r="D1372">
            <v>12</v>
          </cell>
          <cell r="E1372" t="str">
            <v>건축</v>
          </cell>
          <cell r="F1372">
            <v>4</v>
          </cell>
          <cell r="G1372" t="str">
            <v>C</v>
          </cell>
          <cell r="H1372">
            <v>2</v>
          </cell>
        </row>
        <row r="1373">
          <cell r="A1373">
            <v>70410013</v>
          </cell>
          <cell r="B1373" t="str">
            <v>라가시</v>
          </cell>
          <cell r="C1373" t="str">
            <v>사적</v>
          </cell>
          <cell r="D1373">
            <v>12</v>
          </cell>
          <cell r="E1373" t="str">
            <v>건축</v>
          </cell>
          <cell r="F1373">
            <v>4</v>
          </cell>
          <cell r="G1373" t="str">
            <v>C</v>
          </cell>
          <cell r="H1373">
            <v>2</v>
          </cell>
        </row>
        <row r="1374">
          <cell r="A1374">
            <v>70410014</v>
          </cell>
          <cell r="B1374" t="str">
            <v>란세오 메도스</v>
          </cell>
          <cell r="C1374" t="str">
            <v>사적</v>
          </cell>
          <cell r="D1374">
            <v>12</v>
          </cell>
          <cell r="E1374" t="str">
            <v>건축</v>
          </cell>
          <cell r="F1374">
            <v>4</v>
          </cell>
          <cell r="G1374" t="str">
            <v>A</v>
          </cell>
          <cell r="H1374">
            <v>4</v>
          </cell>
        </row>
        <row r="1375">
          <cell r="A1375">
            <v>70410015</v>
          </cell>
          <cell r="B1375" t="str">
            <v>렙티스마그나</v>
          </cell>
          <cell r="C1375" t="str">
            <v>사적</v>
          </cell>
          <cell r="D1375">
            <v>12</v>
          </cell>
          <cell r="E1375" t="str">
            <v>건축</v>
          </cell>
          <cell r="F1375">
            <v>4</v>
          </cell>
          <cell r="G1375" t="str">
            <v>C</v>
          </cell>
          <cell r="H1375">
            <v>2</v>
          </cell>
        </row>
        <row r="1376">
          <cell r="A1376">
            <v>70410016</v>
          </cell>
          <cell r="B1376" t="str">
            <v>로도스 중세 도시</v>
          </cell>
          <cell r="C1376" t="str">
            <v>사적</v>
          </cell>
          <cell r="D1376">
            <v>12</v>
          </cell>
          <cell r="E1376" t="str">
            <v>건축</v>
          </cell>
          <cell r="F1376">
            <v>4</v>
          </cell>
          <cell r="G1376" t="str">
            <v>B</v>
          </cell>
          <cell r="H1376">
            <v>3</v>
          </cell>
        </row>
        <row r="1377">
          <cell r="A1377">
            <v>70410017</v>
          </cell>
          <cell r="B1377" t="str">
            <v>룽먼 석굴</v>
          </cell>
          <cell r="C1377" t="str">
            <v>사적</v>
          </cell>
          <cell r="D1377">
            <v>12</v>
          </cell>
          <cell r="E1377" t="str">
            <v>건축</v>
          </cell>
          <cell r="F1377">
            <v>4</v>
          </cell>
          <cell r="G1377" t="str">
            <v>A</v>
          </cell>
          <cell r="H1377">
            <v>4</v>
          </cell>
        </row>
        <row r="1378">
          <cell r="A1378">
            <v>70410018</v>
          </cell>
          <cell r="B1378" t="str">
            <v>류리크의 무덤</v>
          </cell>
          <cell r="C1378" t="str">
            <v>사적</v>
          </cell>
          <cell r="D1378">
            <v>12</v>
          </cell>
          <cell r="E1378" t="str">
            <v>건축</v>
          </cell>
          <cell r="F1378">
            <v>4</v>
          </cell>
          <cell r="G1378" t="str">
            <v>S</v>
          </cell>
          <cell r="H1378">
            <v>5</v>
          </cell>
        </row>
        <row r="1379">
          <cell r="A1379">
            <v>70410019</v>
          </cell>
          <cell r="B1379" t="str">
            <v>마추픽추</v>
          </cell>
          <cell r="C1379" t="str">
            <v>사적</v>
          </cell>
          <cell r="D1379">
            <v>12</v>
          </cell>
          <cell r="E1379" t="str">
            <v>건축</v>
          </cell>
          <cell r="F1379">
            <v>4</v>
          </cell>
          <cell r="G1379" t="str">
            <v>S</v>
          </cell>
          <cell r="H1379">
            <v>5</v>
          </cell>
          <cell r="AW1379" t="str">
            <v>무조건 실패</v>
          </cell>
          <cell r="BA1379">
            <v>1</v>
          </cell>
        </row>
        <row r="1380">
          <cell r="A1380">
            <v>70410020</v>
          </cell>
          <cell r="B1380" t="str">
            <v>만리장성</v>
          </cell>
          <cell r="C1380" t="str">
            <v>사적</v>
          </cell>
          <cell r="D1380">
            <v>12</v>
          </cell>
          <cell r="E1380" t="str">
            <v>건축</v>
          </cell>
          <cell r="F1380">
            <v>4</v>
          </cell>
          <cell r="G1380" t="str">
            <v>A</v>
          </cell>
          <cell r="H1380">
            <v>4</v>
          </cell>
          <cell r="AW1380" t="str">
            <v>특정 퀘스트</v>
          </cell>
          <cell r="AY1380" t="str">
            <v>끝없는 요새</v>
          </cell>
          <cell r="BA1380">
            <v>3</v>
          </cell>
        </row>
        <row r="1381">
          <cell r="A1381">
            <v>70410021</v>
          </cell>
          <cell r="B1381" t="str">
            <v>만쿠니움 요새</v>
          </cell>
          <cell r="C1381" t="str">
            <v>사적</v>
          </cell>
          <cell r="D1381">
            <v>12</v>
          </cell>
          <cell r="E1381" t="str">
            <v>건축</v>
          </cell>
          <cell r="F1381">
            <v>4</v>
          </cell>
          <cell r="G1381" t="str">
            <v>D</v>
          </cell>
          <cell r="H1381">
            <v>1</v>
          </cell>
          <cell r="AW1381" t="str">
            <v/>
          </cell>
          <cell r="BA1381" t="str">
            <v>-</v>
          </cell>
        </row>
        <row r="1382">
          <cell r="A1382">
            <v>70410022</v>
          </cell>
          <cell r="B1382" t="str">
            <v>모헨조다로</v>
          </cell>
          <cell r="C1382" t="str">
            <v>사적</v>
          </cell>
          <cell r="D1382">
            <v>12</v>
          </cell>
          <cell r="E1382" t="str">
            <v>건축</v>
          </cell>
          <cell r="F1382">
            <v>4</v>
          </cell>
          <cell r="G1382" t="str">
            <v>S</v>
          </cell>
          <cell r="H1382">
            <v>5</v>
          </cell>
        </row>
        <row r="1383">
          <cell r="A1383">
            <v>70410023</v>
          </cell>
          <cell r="B1383" t="str">
            <v>무당산 오룡궁</v>
          </cell>
          <cell r="C1383" t="str">
            <v>사적</v>
          </cell>
          <cell r="D1383">
            <v>12</v>
          </cell>
          <cell r="E1383" t="str">
            <v>건축</v>
          </cell>
          <cell r="F1383">
            <v>4</v>
          </cell>
          <cell r="G1383" t="str">
            <v>B</v>
          </cell>
          <cell r="H1383">
            <v>3</v>
          </cell>
        </row>
        <row r="1384">
          <cell r="A1384">
            <v>70410024</v>
          </cell>
          <cell r="B1384" t="str">
            <v>무령왕릉</v>
          </cell>
          <cell r="C1384" t="str">
            <v>사적</v>
          </cell>
          <cell r="D1384">
            <v>12</v>
          </cell>
          <cell r="E1384" t="str">
            <v>건축</v>
          </cell>
          <cell r="F1384">
            <v>4</v>
          </cell>
          <cell r="G1384" t="str">
            <v>B</v>
          </cell>
          <cell r="H1384">
            <v>3</v>
          </cell>
        </row>
        <row r="1385">
          <cell r="A1385">
            <v>70410025</v>
          </cell>
          <cell r="B1385" t="str">
            <v>미륵사지 석탑</v>
          </cell>
          <cell r="C1385" t="str">
            <v>종교 건축물</v>
          </cell>
          <cell r="D1385">
            <v>14</v>
          </cell>
          <cell r="E1385" t="str">
            <v>건축</v>
          </cell>
          <cell r="F1385">
            <v>4</v>
          </cell>
          <cell r="G1385" t="str">
            <v>B</v>
          </cell>
          <cell r="H1385">
            <v>3</v>
          </cell>
        </row>
        <row r="1386">
          <cell r="A1386">
            <v>70410026</v>
          </cell>
          <cell r="B1386" t="str">
            <v>미케네</v>
          </cell>
          <cell r="C1386" t="str">
            <v>사적</v>
          </cell>
          <cell r="D1386">
            <v>12</v>
          </cell>
          <cell r="E1386" t="str">
            <v>건축</v>
          </cell>
          <cell r="F1386">
            <v>4</v>
          </cell>
          <cell r="G1386" t="str">
            <v>A</v>
          </cell>
          <cell r="H1386">
            <v>4</v>
          </cell>
        </row>
        <row r="1387">
          <cell r="A1387">
            <v>70410027</v>
          </cell>
          <cell r="B1387" t="str">
            <v>베르기나 유적</v>
          </cell>
          <cell r="C1387" t="str">
            <v>사적</v>
          </cell>
          <cell r="D1387">
            <v>12</v>
          </cell>
          <cell r="E1387" t="str">
            <v>건축</v>
          </cell>
          <cell r="F1387">
            <v>4</v>
          </cell>
          <cell r="G1387" t="str">
            <v>B</v>
          </cell>
          <cell r="H1387">
            <v>3</v>
          </cell>
        </row>
        <row r="1388">
          <cell r="A1388">
            <v>70410028</v>
          </cell>
          <cell r="B1388" t="str">
            <v>보르시파</v>
          </cell>
          <cell r="C1388" t="str">
            <v>사적</v>
          </cell>
          <cell r="D1388">
            <v>12</v>
          </cell>
          <cell r="E1388" t="str">
            <v>건축</v>
          </cell>
          <cell r="F1388">
            <v>4</v>
          </cell>
          <cell r="G1388" t="str">
            <v>A</v>
          </cell>
          <cell r="H1388">
            <v>4</v>
          </cell>
          <cell r="AW1388" t="str">
            <v>무조건 실패</v>
          </cell>
          <cell r="BA1388">
            <v>1</v>
          </cell>
        </row>
        <row r="1389">
          <cell r="A1389">
            <v>70410029</v>
          </cell>
          <cell r="B1389" t="str">
            <v>복건토루</v>
          </cell>
          <cell r="C1389" t="str">
            <v>사적</v>
          </cell>
          <cell r="D1389">
            <v>12</v>
          </cell>
          <cell r="E1389" t="str">
            <v>건축</v>
          </cell>
          <cell r="F1389">
            <v>4</v>
          </cell>
          <cell r="G1389" t="str">
            <v>B</v>
          </cell>
          <cell r="H1389">
            <v>3</v>
          </cell>
        </row>
        <row r="1390">
          <cell r="A1390">
            <v>70410030</v>
          </cell>
          <cell r="B1390" t="str">
            <v>비명의 신전</v>
          </cell>
          <cell r="C1390" t="str">
            <v>사적</v>
          </cell>
          <cell r="D1390">
            <v>12</v>
          </cell>
          <cell r="E1390" t="str">
            <v>건축</v>
          </cell>
          <cell r="F1390">
            <v>4</v>
          </cell>
          <cell r="G1390" t="str">
            <v>C</v>
          </cell>
          <cell r="H1390">
            <v>2</v>
          </cell>
          <cell r="AW1390" t="str">
            <v>특정 퀘스트(=)</v>
          </cell>
          <cell r="AY1390" t="str">
            <v>거대한 신전의 진실</v>
          </cell>
          <cell r="BA1390">
            <v>2</v>
          </cell>
        </row>
        <row r="1391">
          <cell r="A1391">
            <v>70410031</v>
          </cell>
          <cell r="B1391" t="str">
            <v>비블로스</v>
          </cell>
          <cell r="C1391" t="str">
            <v>사적</v>
          </cell>
          <cell r="D1391">
            <v>12</v>
          </cell>
          <cell r="E1391" t="str">
            <v>건축</v>
          </cell>
          <cell r="F1391">
            <v>4</v>
          </cell>
          <cell r="G1391" t="str">
            <v>B</v>
          </cell>
          <cell r="H1391">
            <v>3</v>
          </cell>
        </row>
        <row r="1392">
          <cell r="A1392">
            <v>70410032</v>
          </cell>
          <cell r="B1392" t="str">
            <v>빌라 아드리아나</v>
          </cell>
          <cell r="C1392" t="str">
            <v>사적</v>
          </cell>
          <cell r="D1392">
            <v>12</v>
          </cell>
          <cell r="E1392" t="str">
            <v>건축</v>
          </cell>
          <cell r="F1392">
            <v>4</v>
          </cell>
          <cell r="G1392" t="str">
            <v>D</v>
          </cell>
          <cell r="H1392">
            <v>1</v>
          </cell>
          <cell r="AW1392" t="str">
            <v/>
          </cell>
          <cell r="BA1392" t="str">
            <v>-</v>
          </cell>
        </row>
        <row r="1393">
          <cell r="A1393">
            <v>70410033</v>
          </cell>
          <cell r="B1393" t="str">
            <v>산나이마루야마</v>
          </cell>
          <cell r="C1393" t="str">
            <v>사적</v>
          </cell>
          <cell r="D1393">
            <v>12</v>
          </cell>
          <cell r="E1393" t="str">
            <v>건축</v>
          </cell>
          <cell r="F1393">
            <v>4</v>
          </cell>
          <cell r="G1393" t="str">
            <v>C</v>
          </cell>
          <cell r="H1393">
            <v>2</v>
          </cell>
        </row>
        <row r="1394">
          <cell r="A1394">
            <v>70410034</v>
          </cell>
          <cell r="B1394" t="str">
            <v>서펜트 마운드</v>
          </cell>
          <cell r="C1394" t="str">
            <v>사적</v>
          </cell>
          <cell r="D1394">
            <v>12</v>
          </cell>
          <cell r="E1394" t="str">
            <v>건축</v>
          </cell>
          <cell r="F1394">
            <v>4</v>
          </cell>
          <cell r="G1394" t="str">
            <v>D</v>
          </cell>
          <cell r="H1394">
            <v>1</v>
          </cell>
          <cell r="AW1394" t="str">
            <v/>
          </cell>
          <cell r="BA1394" t="str">
            <v>-</v>
          </cell>
        </row>
        <row r="1395">
          <cell r="A1395">
            <v>70410035</v>
          </cell>
          <cell r="B1395" t="str">
            <v>소주 원림</v>
          </cell>
          <cell r="C1395" t="str">
            <v>사적</v>
          </cell>
          <cell r="D1395">
            <v>12</v>
          </cell>
          <cell r="E1395" t="str">
            <v>건축</v>
          </cell>
          <cell r="F1395">
            <v>4</v>
          </cell>
          <cell r="G1395" t="str">
            <v>B</v>
          </cell>
          <cell r="H1395">
            <v>3</v>
          </cell>
        </row>
        <row r="1396">
          <cell r="A1396">
            <v>70410036</v>
          </cell>
          <cell r="B1396" t="str">
            <v>쇼소인</v>
          </cell>
          <cell r="C1396" t="str">
            <v>사적</v>
          </cell>
          <cell r="D1396">
            <v>12</v>
          </cell>
          <cell r="E1396" t="str">
            <v>건축</v>
          </cell>
          <cell r="F1396">
            <v>4</v>
          </cell>
          <cell r="G1396" t="str">
            <v>C</v>
          </cell>
          <cell r="H1396">
            <v>2</v>
          </cell>
        </row>
        <row r="1397">
          <cell r="A1397">
            <v>70410037</v>
          </cell>
          <cell r="B1397" t="str">
            <v>숭례문</v>
          </cell>
          <cell r="C1397" t="str">
            <v>사적</v>
          </cell>
          <cell r="D1397">
            <v>12</v>
          </cell>
          <cell r="E1397" t="str">
            <v>건축</v>
          </cell>
          <cell r="F1397">
            <v>4</v>
          </cell>
          <cell r="G1397" t="str">
            <v>B</v>
          </cell>
          <cell r="H1397">
            <v>3</v>
          </cell>
        </row>
        <row r="1398">
          <cell r="A1398">
            <v>70410038</v>
          </cell>
          <cell r="B1398" t="str">
            <v>썬 대거</v>
          </cell>
          <cell r="C1398" t="str">
            <v>사적</v>
          </cell>
          <cell r="D1398">
            <v>12</v>
          </cell>
          <cell r="E1398" t="str">
            <v>건축</v>
          </cell>
          <cell r="F1398">
            <v>4</v>
          </cell>
          <cell r="G1398" t="str">
            <v>B</v>
          </cell>
          <cell r="H1398">
            <v>3</v>
          </cell>
        </row>
        <row r="1399">
          <cell r="A1399">
            <v>70410039</v>
          </cell>
          <cell r="B1399" t="str">
            <v>아르테미스 신전 터</v>
          </cell>
          <cell r="C1399" t="str">
            <v>종교 건축물</v>
          </cell>
          <cell r="D1399">
            <v>14</v>
          </cell>
          <cell r="E1399" t="str">
            <v>건축</v>
          </cell>
          <cell r="F1399">
            <v>4</v>
          </cell>
          <cell r="G1399" t="str">
            <v>C</v>
          </cell>
          <cell r="H1399">
            <v>2</v>
          </cell>
        </row>
        <row r="1400">
          <cell r="A1400">
            <v>70410040</v>
          </cell>
          <cell r="B1400" t="str">
            <v>아즈치성</v>
          </cell>
          <cell r="C1400" t="str">
            <v>사적</v>
          </cell>
          <cell r="D1400">
            <v>12</v>
          </cell>
          <cell r="E1400" t="str">
            <v>건축</v>
          </cell>
          <cell r="F1400">
            <v>4</v>
          </cell>
          <cell r="G1400" t="str">
            <v>B</v>
          </cell>
          <cell r="H1400">
            <v>3</v>
          </cell>
          <cell r="AW1400" t="str">
            <v>특정 국가 항해사 보유</v>
          </cell>
          <cell r="AY1400" t="str">
            <v>일본</v>
          </cell>
          <cell r="BA1400">
            <v>4</v>
          </cell>
        </row>
        <row r="1401">
          <cell r="A1401">
            <v>70410041</v>
          </cell>
          <cell r="B1401" t="str">
            <v>아카쿠스 암각화 유적</v>
          </cell>
          <cell r="C1401" t="str">
            <v>사적</v>
          </cell>
          <cell r="D1401">
            <v>12</v>
          </cell>
          <cell r="E1401" t="str">
            <v>건축</v>
          </cell>
          <cell r="F1401">
            <v>4</v>
          </cell>
          <cell r="G1401" t="str">
            <v>D</v>
          </cell>
          <cell r="H1401">
            <v>1</v>
          </cell>
          <cell r="AW1401" t="str">
            <v/>
          </cell>
          <cell r="BA1401" t="str">
            <v>-</v>
          </cell>
        </row>
        <row r="1402">
          <cell r="A1402">
            <v>70410042</v>
          </cell>
          <cell r="B1402" t="str">
            <v>아폴로 에피큐리우스 신전</v>
          </cell>
          <cell r="C1402" t="str">
            <v>종교 건축물</v>
          </cell>
          <cell r="D1402">
            <v>14</v>
          </cell>
          <cell r="E1402" t="str">
            <v>건축</v>
          </cell>
          <cell r="F1402">
            <v>4</v>
          </cell>
          <cell r="G1402" t="str">
            <v>B</v>
          </cell>
          <cell r="H1402">
            <v>3</v>
          </cell>
        </row>
        <row r="1403">
          <cell r="A1403">
            <v>70410043</v>
          </cell>
          <cell r="B1403" t="str">
            <v>아피아의 가도</v>
          </cell>
          <cell r="C1403" t="str">
            <v>사적</v>
          </cell>
          <cell r="D1403">
            <v>12</v>
          </cell>
          <cell r="E1403" t="str">
            <v>건축</v>
          </cell>
          <cell r="F1403">
            <v>4</v>
          </cell>
          <cell r="G1403" t="str">
            <v>D</v>
          </cell>
          <cell r="H1403">
            <v>1</v>
          </cell>
          <cell r="AW1403" t="str">
            <v/>
          </cell>
          <cell r="BA1403" t="str">
            <v>-</v>
          </cell>
        </row>
        <row r="1404">
          <cell r="A1404">
            <v>70410044</v>
          </cell>
          <cell r="B1404" t="str">
            <v>알타이산맥의 암각화 유적</v>
          </cell>
          <cell r="C1404" t="str">
            <v>사적</v>
          </cell>
          <cell r="D1404">
            <v>12</v>
          </cell>
          <cell r="E1404" t="str">
            <v>건축</v>
          </cell>
          <cell r="F1404">
            <v>4</v>
          </cell>
          <cell r="G1404" t="str">
            <v>C</v>
          </cell>
          <cell r="H1404">
            <v>2</v>
          </cell>
        </row>
        <row r="1405">
          <cell r="A1405">
            <v>70410045</v>
          </cell>
          <cell r="B1405" t="str">
            <v>어퍼 스바네티</v>
          </cell>
          <cell r="C1405" t="str">
            <v>사적</v>
          </cell>
          <cell r="D1405">
            <v>12</v>
          </cell>
          <cell r="E1405" t="str">
            <v>건축</v>
          </cell>
          <cell r="F1405">
            <v>4</v>
          </cell>
          <cell r="G1405" t="str">
            <v>C</v>
          </cell>
          <cell r="H1405">
            <v>2</v>
          </cell>
        </row>
        <row r="1406">
          <cell r="A1406">
            <v>70410046</v>
          </cell>
          <cell r="B1406" t="str">
            <v>에피다우루스의 원형 극장</v>
          </cell>
          <cell r="C1406" t="str">
            <v>사적</v>
          </cell>
          <cell r="D1406">
            <v>12</v>
          </cell>
          <cell r="E1406" t="str">
            <v>건축</v>
          </cell>
          <cell r="F1406">
            <v>4</v>
          </cell>
          <cell r="G1406" t="str">
            <v>B</v>
          </cell>
          <cell r="H1406">
            <v>3</v>
          </cell>
        </row>
        <row r="1407">
          <cell r="A1407">
            <v>70410047</v>
          </cell>
          <cell r="B1407" t="str">
            <v>올림피아 유적</v>
          </cell>
          <cell r="C1407" t="str">
            <v>종교 건축물</v>
          </cell>
          <cell r="D1407">
            <v>14</v>
          </cell>
          <cell r="E1407" t="str">
            <v>건축</v>
          </cell>
          <cell r="F1407">
            <v>4</v>
          </cell>
          <cell r="G1407" t="str">
            <v>S</v>
          </cell>
          <cell r="H1407">
            <v>5</v>
          </cell>
          <cell r="AW1407" t="str">
            <v>무조건 실패</v>
          </cell>
          <cell r="BA1407">
            <v>1</v>
          </cell>
        </row>
        <row r="1408">
          <cell r="A1408">
            <v>70410048</v>
          </cell>
          <cell r="B1408" t="str">
            <v>우루크</v>
          </cell>
          <cell r="C1408" t="str">
            <v>사적</v>
          </cell>
          <cell r="D1408">
            <v>12</v>
          </cell>
          <cell r="E1408" t="str">
            <v>건축</v>
          </cell>
          <cell r="F1408">
            <v>4</v>
          </cell>
          <cell r="G1408" t="str">
            <v>B</v>
          </cell>
          <cell r="H1408">
            <v>3</v>
          </cell>
        </row>
        <row r="1409">
          <cell r="A1409">
            <v>70410049</v>
          </cell>
          <cell r="B1409" t="str">
            <v>우르</v>
          </cell>
          <cell r="C1409" t="str">
            <v>사적</v>
          </cell>
          <cell r="D1409">
            <v>12</v>
          </cell>
          <cell r="E1409" t="str">
            <v>건축</v>
          </cell>
          <cell r="F1409">
            <v>4</v>
          </cell>
          <cell r="G1409" t="str">
            <v>S</v>
          </cell>
          <cell r="H1409">
            <v>5</v>
          </cell>
          <cell r="AW1409" t="str">
            <v>특정 국가 항해사 보유</v>
          </cell>
          <cell r="AY1409" t="str">
            <v>오스만</v>
          </cell>
          <cell r="BA1409">
            <v>2</v>
          </cell>
        </row>
        <row r="1410">
          <cell r="A1410">
            <v>70410050</v>
          </cell>
          <cell r="B1410" t="str">
            <v>울루루</v>
          </cell>
          <cell r="C1410" t="str">
            <v>지리</v>
          </cell>
          <cell r="D1410">
            <v>1</v>
          </cell>
          <cell r="E1410" t="str">
            <v>자연</v>
          </cell>
          <cell r="F1410">
            <v>1</v>
          </cell>
          <cell r="G1410" t="str">
            <v>A</v>
          </cell>
          <cell r="H1410">
            <v>4</v>
          </cell>
          <cell r="AW1410" t="str">
            <v>무조건 실패</v>
          </cell>
          <cell r="BA1410">
            <v>1</v>
          </cell>
        </row>
        <row r="1411">
          <cell r="A1411">
            <v>70410051</v>
          </cell>
          <cell r="B1411" t="str">
            <v>자금성</v>
          </cell>
          <cell r="C1411" t="str">
            <v>사적</v>
          </cell>
          <cell r="D1411">
            <v>12</v>
          </cell>
          <cell r="E1411" t="str">
            <v>건축</v>
          </cell>
          <cell r="F1411">
            <v>4</v>
          </cell>
          <cell r="G1411" t="str">
            <v>A</v>
          </cell>
          <cell r="H1411">
            <v>4</v>
          </cell>
          <cell r="AW1411" t="str">
            <v>특정 국가 항해사 보유</v>
          </cell>
          <cell r="AY1411" t="str">
            <v>명</v>
          </cell>
          <cell r="BA1411">
            <v>4</v>
          </cell>
        </row>
        <row r="1412">
          <cell r="A1412">
            <v>70410052</v>
          </cell>
          <cell r="B1412" t="str">
            <v>절벽 궁전</v>
          </cell>
          <cell r="C1412" t="str">
            <v>사적</v>
          </cell>
          <cell r="D1412">
            <v>12</v>
          </cell>
          <cell r="E1412" t="str">
            <v>건축</v>
          </cell>
          <cell r="F1412">
            <v>4</v>
          </cell>
          <cell r="G1412" t="str">
            <v>C</v>
          </cell>
          <cell r="H1412">
            <v>2</v>
          </cell>
        </row>
        <row r="1413">
          <cell r="A1413">
            <v>70410053</v>
          </cell>
          <cell r="B1413" t="str">
            <v>조긴스 화석절벽</v>
          </cell>
          <cell r="C1413" t="str">
            <v>지리</v>
          </cell>
          <cell r="D1413">
            <v>1</v>
          </cell>
          <cell r="E1413" t="str">
            <v>자연</v>
          </cell>
          <cell r="F1413">
            <v>1</v>
          </cell>
          <cell r="G1413" t="str">
            <v>B</v>
          </cell>
          <cell r="H1413">
            <v>3</v>
          </cell>
        </row>
        <row r="1414">
          <cell r="A1414">
            <v>70410054</v>
          </cell>
          <cell r="B1414" t="str">
            <v>진시황릉</v>
          </cell>
          <cell r="C1414" t="str">
            <v>사적</v>
          </cell>
          <cell r="D1414">
            <v>12</v>
          </cell>
          <cell r="E1414" t="str">
            <v>건축</v>
          </cell>
          <cell r="F1414">
            <v>4</v>
          </cell>
          <cell r="G1414" t="str">
            <v>S</v>
          </cell>
          <cell r="H1414">
            <v>5</v>
          </cell>
        </row>
        <row r="1415">
          <cell r="A1415">
            <v>70410055</v>
          </cell>
          <cell r="B1415" t="str">
            <v>창경궁</v>
          </cell>
          <cell r="C1415" t="str">
            <v>사적</v>
          </cell>
          <cell r="D1415">
            <v>12</v>
          </cell>
          <cell r="E1415" t="str">
            <v>건축</v>
          </cell>
          <cell r="F1415">
            <v>4</v>
          </cell>
          <cell r="G1415" t="str">
            <v>B</v>
          </cell>
          <cell r="H1415">
            <v>3</v>
          </cell>
        </row>
        <row r="1416">
          <cell r="A1416">
            <v>70410056</v>
          </cell>
          <cell r="B1416" t="str">
            <v>창덕궁</v>
          </cell>
          <cell r="C1416" t="str">
            <v>사적</v>
          </cell>
          <cell r="D1416">
            <v>12</v>
          </cell>
          <cell r="E1416" t="str">
            <v>건축</v>
          </cell>
          <cell r="F1416">
            <v>4</v>
          </cell>
          <cell r="G1416" t="str">
            <v>D</v>
          </cell>
          <cell r="H1416">
            <v>1</v>
          </cell>
          <cell r="AW1416" t="str">
            <v/>
          </cell>
          <cell r="BA1416" t="str">
            <v>-</v>
          </cell>
        </row>
        <row r="1417">
          <cell r="A1417">
            <v>70410057</v>
          </cell>
          <cell r="B1417" t="str">
            <v>천마총</v>
          </cell>
          <cell r="C1417" t="str">
            <v>사적</v>
          </cell>
          <cell r="D1417">
            <v>12</v>
          </cell>
          <cell r="E1417" t="str">
            <v>건축</v>
          </cell>
          <cell r="F1417">
            <v>4</v>
          </cell>
          <cell r="G1417" t="str">
            <v>A</v>
          </cell>
          <cell r="H1417">
            <v>4</v>
          </cell>
          <cell r="AW1417" t="str">
            <v>특정 직업 항해사 보유</v>
          </cell>
          <cell r="AY1417" t="str">
            <v>고고학자</v>
          </cell>
          <cell r="BA1417">
            <v>4</v>
          </cell>
        </row>
        <row r="1418">
          <cell r="A1418">
            <v>70410058</v>
          </cell>
          <cell r="B1418" t="str">
            <v>첨성대</v>
          </cell>
          <cell r="C1418" t="str">
            <v>사적</v>
          </cell>
          <cell r="D1418">
            <v>12</v>
          </cell>
          <cell r="E1418" t="str">
            <v>건축</v>
          </cell>
          <cell r="F1418">
            <v>4</v>
          </cell>
          <cell r="G1418" t="str">
            <v>C</v>
          </cell>
          <cell r="H1418">
            <v>2</v>
          </cell>
        </row>
        <row r="1419">
          <cell r="A1419">
            <v>70410059</v>
          </cell>
          <cell r="B1419" t="str">
            <v>초가 잔빌</v>
          </cell>
          <cell r="C1419" t="str">
            <v>사적</v>
          </cell>
          <cell r="D1419">
            <v>12</v>
          </cell>
          <cell r="E1419" t="str">
            <v>건축</v>
          </cell>
          <cell r="F1419">
            <v>4</v>
          </cell>
          <cell r="G1419" t="str">
            <v>D</v>
          </cell>
          <cell r="H1419">
            <v>1</v>
          </cell>
          <cell r="AW1419" t="str">
            <v/>
          </cell>
          <cell r="BA1419" t="str">
            <v>-</v>
          </cell>
        </row>
        <row r="1420">
          <cell r="A1420">
            <v>70410060</v>
          </cell>
          <cell r="B1420" t="str">
            <v>초딜로</v>
          </cell>
          <cell r="C1420" t="str">
            <v>지리</v>
          </cell>
          <cell r="D1420">
            <v>1</v>
          </cell>
          <cell r="E1420" t="str">
            <v>자연</v>
          </cell>
          <cell r="F1420">
            <v>1</v>
          </cell>
          <cell r="G1420" t="str">
            <v>B</v>
          </cell>
          <cell r="H1420">
            <v>3</v>
          </cell>
        </row>
        <row r="1421">
          <cell r="A1421">
            <v>70410061</v>
          </cell>
          <cell r="B1421" t="str">
            <v>총고니 암각화 유적</v>
          </cell>
          <cell r="C1421" t="str">
            <v>사적</v>
          </cell>
          <cell r="D1421">
            <v>12</v>
          </cell>
          <cell r="E1421" t="str">
            <v>건축</v>
          </cell>
          <cell r="F1421">
            <v>4</v>
          </cell>
          <cell r="G1421" t="str">
            <v>C</v>
          </cell>
          <cell r="H1421">
            <v>2</v>
          </cell>
        </row>
        <row r="1422">
          <cell r="A1422">
            <v>70410062</v>
          </cell>
          <cell r="B1422" t="str">
            <v>치첸이트사</v>
          </cell>
          <cell r="C1422" t="str">
            <v>사적</v>
          </cell>
          <cell r="D1422">
            <v>12</v>
          </cell>
          <cell r="E1422" t="str">
            <v>건축</v>
          </cell>
          <cell r="F1422">
            <v>4</v>
          </cell>
          <cell r="G1422" t="str">
            <v>A</v>
          </cell>
          <cell r="H1422">
            <v>4</v>
          </cell>
          <cell r="AW1422" t="str">
            <v>무조건 실패</v>
          </cell>
          <cell r="BA1422">
            <v>1</v>
          </cell>
        </row>
        <row r="1423">
          <cell r="A1423">
            <v>70410063</v>
          </cell>
          <cell r="B1423" t="str">
            <v>카르나크 거석군</v>
          </cell>
          <cell r="C1423" t="str">
            <v>사적</v>
          </cell>
          <cell r="D1423">
            <v>12</v>
          </cell>
          <cell r="E1423" t="str">
            <v>건축</v>
          </cell>
          <cell r="F1423">
            <v>4</v>
          </cell>
          <cell r="G1423" t="str">
            <v>D</v>
          </cell>
          <cell r="H1423">
            <v>1</v>
          </cell>
          <cell r="AW1423" t="str">
            <v>특정 퀘스트(=)</v>
          </cell>
          <cell r="AY1423" t="str">
            <v>옷토 스피노라 시나리오</v>
          </cell>
          <cell r="BA1423" t="str">
            <v>옷토 스피노라14G</v>
          </cell>
        </row>
        <row r="1424">
          <cell r="A1424">
            <v>70410064</v>
          </cell>
          <cell r="B1424" t="str">
            <v>카르타고 유적</v>
          </cell>
          <cell r="C1424" t="str">
            <v>사적</v>
          </cell>
          <cell r="D1424">
            <v>12</v>
          </cell>
          <cell r="E1424" t="str">
            <v>건축</v>
          </cell>
          <cell r="F1424">
            <v>4</v>
          </cell>
          <cell r="G1424" t="str">
            <v>S</v>
          </cell>
          <cell r="H1424">
            <v>5</v>
          </cell>
        </row>
        <row r="1425">
          <cell r="A1425">
            <v>70410065</v>
          </cell>
          <cell r="B1425" t="str">
            <v>카파도키아 동굴수도원</v>
          </cell>
          <cell r="C1425" t="str">
            <v>종교 건축물</v>
          </cell>
          <cell r="D1425">
            <v>14</v>
          </cell>
          <cell r="E1425" t="str">
            <v>건축</v>
          </cell>
          <cell r="F1425">
            <v>4</v>
          </cell>
          <cell r="G1425" t="str">
            <v>B</v>
          </cell>
          <cell r="H1425">
            <v>3</v>
          </cell>
        </row>
        <row r="1426">
          <cell r="A1426">
            <v>70410066</v>
          </cell>
          <cell r="B1426" t="str">
            <v>카호키아</v>
          </cell>
          <cell r="C1426" t="str">
            <v>사적</v>
          </cell>
          <cell r="D1426">
            <v>12</v>
          </cell>
          <cell r="E1426" t="str">
            <v>건축</v>
          </cell>
          <cell r="F1426">
            <v>4</v>
          </cell>
          <cell r="G1426" t="str">
            <v>B</v>
          </cell>
          <cell r="H1426">
            <v>3</v>
          </cell>
        </row>
        <row r="1427">
          <cell r="A1427">
            <v>70410067</v>
          </cell>
          <cell r="B1427" t="str">
            <v>캄페체 요새 도시</v>
          </cell>
          <cell r="C1427" t="str">
            <v>사적</v>
          </cell>
          <cell r="D1427">
            <v>12</v>
          </cell>
          <cell r="E1427" t="str">
            <v>건축</v>
          </cell>
          <cell r="F1427">
            <v>4</v>
          </cell>
          <cell r="G1427" t="str">
            <v>D</v>
          </cell>
          <cell r="H1427">
            <v>1</v>
          </cell>
          <cell r="AW1427" t="str">
            <v/>
          </cell>
          <cell r="BA1427" t="str">
            <v>-</v>
          </cell>
        </row>
        <row r="1428">
          <cell r="A1428">
            <v>70410068</v>
          </cell>
          <cell r="B1428" t="str">
            <v>코판 유적</v>
          </cell>
          <cell r="C1428" t="str">
            <v>사적</v>
          </cell>
          <cell r="D1428">
            <v>12</v>
          </cell>
          <cell r="E1428" t="str">
            <v>건축</v>
          </cell>
          <cell r="F1428">
            <v>4</v>
          </cell>
          <cell r="G1428" t="str">
            <v>A</v>
          </cell>
          <cell r="H1428">
            <v>4</v>
          </cell>
        </row>
        <row r="1429">
          <cell r="A1429">
            <v>70410069</v>
          </cell>
          <cell r="B1429" t="str">
            <v>콘스탄티누스의 개선문</v>
          </cell>
          <cell r="C1429" t="str">
            <v>사적</v>
          </cell>
          <cell r="D1429">
            <v>12</v>
          </cell>
          <cell r="E1429" t="str">
            <v>건축</v>
          </cell>
          <cell r="F1429">
            <v>4</v>
          </cell>
          <cell r="G1429" t="str">
            <v>B</v>
          </cell>
          <cell r="H1429">
            <v>3</v>
          </cell>
        </row>
        <row r="1430">
          <cell r="A1430">
            <v>70410070</v>
          </cell>
          <cell r="B1430" t="str">
            <v>콜로세움</v>
          </cell>
          <cell r="C1430" t="str">
            <v>사적</v>
          </cell>
          <cell r="D1430">
            <v>12</v>
          </cell>
          <cell r="E1430" t="str">
            <v>건축</v>
          </cell>
          <cell r="F1430">
            <v>4</v>
          </cell>
          <cell r="G1430" t="str">
            <v>A</v>
          </cell>
          <cell r="H1430">
            <v>4</v>
          </cell>
          <cell r="AW1430" t="str">
            <v>특정 직업 항해사 보유</v>
          </cell>
          <cell r="AY1430" t="str">
            <v>고고학자</v>
          </cell>
          <cell r="BA1430">
            <v>2</v>
          </cell>
        </row>
        <row r="1431">
          <cell r="A1431">
            <v>70410071</v>
          </cell>
          <cell r="B1431" t="str">
            <v>쿠스코</v>
          </cell>
          <cell r="C1431" t="str">
            <v>사적</v>
          </cell>
          <cell r="D1431">
            <v>12</v>
          </cell>
          <cell r="E1431" t="str">
            <v>건축</v>
          </cell>
          <cell r="F1431">
            <v>4</v>
          </cell>
          <cell r="G1431" t="str">
            <v>S</v>
          </cell>
          <cell r="H1431">
            <v>5</v>
          </cell>
        </row>
        <row r="1432">
          <cell r="A1432">
            <v>70410072</v>
          </cell>
          <cell r="B1432" t="str">
            <v>크노소스 궁전</v>
          </cell>
          <cell r="C1432" t="str">
            <v>사적</v>
          </cell>
          <cell r="D1432">
            <v>12</v>
          </cell>
          <cell r="E1432" t="str">
            <v>건축</v>
          </cell>
          <cell r="F1432">
            <v>4</v>
          </cell>
          <cell r="G1432" t="str">
            <v>A</v>
          </cell>
          <cell r="H1432">
            <v>4</v>
          </cell>
          <cell r="AW1432" t="str">
            <v>특정 퀘스트(=)</v>
          </cell>
          <cell r="AY1432" t="str">
            <v>카탈리나 에란초 시나리오</v>
          </cell>
          <cell r="BA1432" t="str">
            <v>카탈리나 에란초25A</v>
          </cell>
        </row>
        <row r="1433">
          <cell r="A1433">
            <v>70410073</v>
          </cell>
          <cell r="B1433" t="str">
            <v>타실리 나제르</v>
          </cell>
          <cell r="C1433" t="str">
            <v>사적</v>
          </cell>
          <cell r="D1433">
            <v>12</v>
          </cell>
          <cell r="E1433" t="str">
            <v>건축</v>
          </cell>
          <cell r="F1433">
            <v>4</v>
          </cell>
          <cell r="G1433" t="str">
            <v>D</v>
          </cell>
          <cell r="H1433">
            <v>1</v>
          </cell>
          <cell r="AW1433" t="str">
            <v/>
          </cell>
          <cell r="BA1433" t="str">
            <v>-</v>
          </cell>
        </row>
        <row r="1434">
          <cell r="A1434">
            <v>70410074</v>
          </cell>
          <cell r="B1434" t="str">
            <v>테노치티틀란</v>
          </cell>
          <cell r="C1434" t="str">
            <v>사적</v>
          </cell>
          <cell r="D1434">
            <v>12</v>
          </cell>
          <cell r="E1434" t="str">
            <v>건축</v>
          </cell>
          <cell r="F1434">
            <v>4</v>
          </cell>
          <cell r="G1434" t="str">
            <v>B</v>
          </cell>
          <cell r="H1434">
            <v>3</v>
          </cell>
        </row>
        <row r="1435">
          <cell r="A1435">
            <v>70410075</v>
          </cell>
          <cell r="B1435" t="str">
            <v>테오티우아칸</v>
          </cell>
          <cell r="C1435" t="str">
            <v>사적</v>
          </cell>
          <cell r="D1435">
            <v>12</v>
          </cell>
          <cell r="E1435" t="str">
            <v>건축</v>
          </cell>
          <cell r="F1435">
            <v>4</v>
          </cell>
          <cell r="G1435" t="str">
            <v>A</v>
          </cell>
          <cell r="H1435">
            <v>4</v>
          </cell>
        </row>
        <row r="1436">
          <cell r="A1436">
            <v>70410076</v>
          </cell>
          <cell r="B1436" t="str">
            <v>테피토쿠라</v>
          </cell>
          <cell r="C1436" t="str">
            <v>사적</v>
          </cell>
          <cell r="D1436">
            <v>12</v>
          </cell>
          <cell r="E1436" t="str">
            <v>건축</v>
          </cell>
          <cell r="F1436">
            <v>4</v>
          </cell>
          <cell r="G1436" t="str">
            <v>B</v>
          </cell>
          <cell r="H1436">
            <v>3</v>
          </cell>
        </row>
        <row r="1437">
          <cell r="A1437">
            <v>70410077</v>
          </cell>
          <cell r="B1437" t="str">
            <v>토로 유적</v>
          </cell>
          <cell r="C1437" t="str">
            <v>사적</v>
          </cell>
          <cell r="D1437">
            <v>12</v>
          </cell>
          <cell r="E1437" t="str">
            <v>건축</v>
          </cell>
          <cell r="F1437">
            <v>4</v>
          </cell>
          <cell r="G1437" t="str">
            <v>C</v>
          </cell>
          <cell r="H1437">
            <v>2</v>
          </cell>
        </row>
        <row r="1438">
          <cell r="A1438">
            <v>70410078</v>
          </cell>
          <cell r="B1438" t="str">
            <v>토페트</v>
          </cell>
          <cell r="C1438" t="str">
            <v>종교 건축물</v>
          </cell>
          <cell r="D1438">
            <v>14</v>
          </cell>
          <cell r="E1438" t="str">
            <v>건축</v>
          </cell>
          <cell r="F1438">
            <v>4</v>
          </cell>
          <cell r="G1438" t="str">
            <v>B</v>
          </cell>
          <cell r="H1438">
            <v>3</v>
          </cell>
        </row>
        <row r="1439">
          <cell r="A1439">
            <v>70410079</v>
          </cell>
          <cell r="B1439" t="str">
            <v>툴룸</v>
          </cell>
          <cell r="C1439" t="str">
            <v>사적</v>
          </cell>
          <cell r="D1439">
            <v>12</v>
          </cell>
          <cell r="E1439" t="str">
            <v>건축</v>
          </cell>
          <cell r="F1439">
            <v>4</v>
          </cell>
          <cell r="G1439" t="str">
            <v>B</v>
          </cell>
          <cell r="H1439">
            <v>3</v>
          </cell>
        </row>
        <row r="1440">
          <cell r="A1440">
            <v>70410080</v>
          </cell>
          <cell r="B1440" t="str">
            <v>트로이 유적</v>
          </cell>
          <cell r="C1440" t="str">
            <v>사적</v>
          </cell>
          <cell r="D1440">
            <v>12</v>
          </cell>
          <cell r="E1440" t="str">
            <v>건축</v>
          </cell>
          <cell r="F1440">
            <v>4</v>
          </cell>
          <cell r="G1440" t="str">
            <v>S</v>
          </cell>
          <cell r="H1440">
            <v>5</v>
          </cell>
        </row>
        <row r="1441">
          <cell r="A1441">
            <v>70410081</v>
          </cell>
          <cell r="B1441" t="str">
            <v>트위펠폰테인</v>
          </cell>
          <cell r="C1441" t="str">
            <v>사적</v>
          </cell>
          <cell r="D1441">
            <v>12</v>
          </cell>
          <cell r="E1441" t="str">
            <v>건축</v>
          </cell>
          <cell r="F1441">
            <v>4</v>
          </cell>
          <cell r="G1441" t="str">
            <v>C</v>
          </cell>
          <cell r="H1441">
            <v>2</v>
          </cell>
        </row>
        <row r="1442">
          <cell r="A1442">
            <v>70410082</v>
          </cell>
          <cell r="B1442" t="str">
            <v>파르테논 신전</v>
          </cell>
          <cell r="C1442" t="str">
            <v>종교 건축물</v>
          </cell>
          <cell r="D1442">
            <v>14</v>
          </cell>
          <cell r="E1442" t="str">
            <v>건축</v>
          </cell>
          <cell r="F1442">
            <v>4</v>
          </cell>
          <cell r="G1442" t="str">
            <v>A</v>
          </cell>
          <cell r="H1442">
            <v>4</v>
          </cell>
          <cell r="AW1442" t="str">
            <v>무조건 실패</v>
          </cell>
          <cell r="BA1442">
            <v>1</v>
          </cell>
        </row>
        <row r="1443">
          <cell r="A1443">
            <v>70410083</v>
          </cell>
          <cell r="B1443" t="str">
            <v>파포스</v>
          </cell>
          <cell r="C1443" t="str">
            <v>사적</v>
          </cell>
          <cell r="D1443">
            <v>12</v>
          </cell>
          <cell r="E1443" t="str">
            <v>건축</v>
          </cell>
          <cell r="F1443">
            <v>4</v>
          </cell>
          <cell r="G1443" t="str">
            <v>A</v>
          </cell>
          <cell r="H1443">
            <v>4</v>
          </cell>
        </row>
        <row r="1444">
          <cell r="A1444">
            <v>70410084</v>
          </cell>
          <cell r="B1444" t="str">
            <v>팔렌케</v>
          </cell>
          <cell r="C1444" t="str">
            <v>사적</v>
          </cell>
          <cell r="D1444">
            <v>12</v>
          </cell>
          <cell r="E1444" t="str">
            <v>건축</v>
          </cell>
          <cell r="F1444">
            <v>4</v>
          </cell>
          <cell r="G1444" t="str">
            <v>C</v>
          </cell>
          <cell r="H1444">
            <v>2</v>
          </cell>
        </row>
        <row r="1445">
          <cell r="A1445">
            <v>70410085</v>
          </cell>
          <cell r="B1445" t="str">
            <v>페르세폴리스</v>
          </cell>
          <cell r="C1445" t="str">
            <v>사적</v>
          </cell>
          <cell r="D1445">
            <v>12</v>
          </cell>
          <cell r="E1445" t="str">
            <v>건축</v>
          </cell>
          <cell r="F1445">
            <v>4</v>
          </cell>
          <cell r="G1445" t="str">
            <v>S</v>
          </cell>
          <cell r="H1445">
            <v>5</v>
          </cell>
          <cell r="AW1445" t="str">
            <v>무조건 실패</v>
          </cell>
          <cell r="BA1445">
            <v>1</v>
          </cell>
        </row>
        <row r="1446">
          <cell r="A1446">
            <v>70410086</v>
          </cell>
          <cell r="B1446" t="str">
            <v>포럼 목욕탕</v>
          </cell>
          <cell r="C1446" t="str">
            <v>사적</v>
          </cell>
          <cell r="D1446">
            <v>12</v>
          </cell>
          <cell r="E1446" t="str">
            <v>건축</v>
          </cell>
          <cell r="F1446">
            <v>4</v>
          </cell>
          <cell r="G1446" t="str">
            <v>B</v>
          </cell>
          <cell r="H1446">
            <v>3</v>
          </cell>
        </row>
        <row r="1447">
          <cell r="A1447">
            <v>70410087</v>
          </cell>
          <cell r="B1447" t="str">
            <v>포로 로마노</v>
          </cell>
          <cell r="C1447" t="str">
            <v>사적</v>
          </cell>
          <cell r="D1447">
            <v>12</v>
          </cell>
          <cell r="E1447" t="str">
            <v>건축</v>
          </cell>
          <cell r="F1447">
            <v>4</v>
          </cell>
          <cell r="G1447" t="str">
            <v>C</v>
          </cell>
          <cell r="H1447">
            <v>2</v>
          </cell>
        </row>
        <row r="1448">
          <cell r="A1448">
            <v>70410088</v>
          </cell>
          <cell r="B1448" t="str">
            <v>포폴 부</v>
          </cell>
          <cell r="C1448" t="str">
            <v>사적</v>
          </cell>
          <cell r="D1448">
            <v>12</v>
          </cell>
          <cell r="E1448" t="str">
            <v>건축</v>
          </cell>
          <cell r="F1448">
            <v>4</v>
          </cell>
          <cell r="G1448" t="str">
            <v>A</v>
          </cell>
          <cell r="H1448">
            <v>4</v>
          </cell>
        </row>
        <row r="1449">
          <cell r="A1449">
            <v>70410089</v>
          </cell>
          <cell r="B1449" t="str">
            <v>폼페이 유적</v>
          </cell>
          <cell r="C1449" t="str">
            <v>사적</v>
          </cell>
          <cell r="D1449">
            <v>12</v>
          </cell>
          <cell r="E1449" t="str">
            <v>건축</v>
          </cell>
          <cell r="F1449">
            <v>4</v>
          </cell>
          <cell r="G1449" t="str">
            <v>S</v>
          </cell>
          <cell r="H1449">
            <v>5</v>
          </cell>
        </row>
        <row r="1450">
          <cell r="A1450">
            <v>70410090</v>
          </cell>
          <cell r="B1450" t="str">
            <v>푸에블로 타오스</v>
          </cell>
          <cell r="C1450" t="str">
            <v>사적</v>
          </cell>
          <cell r="D1450">
            <v>12</v>
          </cell>
          <cell r="E1450" t="str">
            <v>건축</v>
          </cell>
          <cell r="F1450">
            <v>4</v>
          </cell>
          <cell r="G1450" t="str">
            <v>B</v>
          </cell>
          <cell r="H1450">
            <v>3</v>
          </cell>
        </row>
        <row r="1451">
          <cell r="A1451">
            <v>70410091</v>
          </cell>
          <cell r="B1451" t="str">
            <v>푼트국의 부조</v>
          </cell>
          <cell r="C1451" t="str">
            <v>사적</v>
          </cell>
          <cell r="D1451">
            <v>12</v>
          </cell>
          <cell r="E1451" t="str">
            <v>건축</v>
          </cell>
          <cell r="F1451">
            <v>4</v>
          </cell>
          <cell r="G1451" t="str">
            <v>C</v>
          </cell>
          <cell r="H1451">
            <v>2</v>
          </cell>
        </row>
        <row r="1452">
          <cell r="A1452">
            <v>70410092</v>
          </cell>
          <cell r="B1452" t="str">
            <v>하드리아누스의 성벽</v>
          </cell>
          <cell r="C1452" t="str">
            <v>사적</v>
          </cell>
          <cell r="D1452">
            <v>12</v>
          </cell>
          <cell r="E1452" t="str">
            <v>건축</v>
          </cell>
          <cell r="F1452">
            <v>4</v>
          </cell>
          <cell r="G1452" t="str">
            <v>B</v>
          </cell>
          <cell r="H1452">
            <v>3</v>
          </cell>
          <cell r="AW1452" t="str">
            <v>특정 국가 항해사 보유</v>
          </cell>
          <cell r="AY1452" t="str">
            <v>잉글랜드</v>
          </cell>
          <cell r="BA1452">
            <v>1</v>
          </cell>
        </row>
        <row r="1453">
          <cell r="A1453">
            <v>70410093</v>
          </cell>
          <cell r="B1453" t="str">
            <v>하트라</v>
          </cell>
          <cell r="C1453" t="str">
            <v>사적</v>
          </cell>
          <cell r="D1453">
            <v>12</v>
          </cell>
          <cell r="E1453" t="str">
            <v>건축</v>
          </cell>
          <cell r="F1453">
            <v>4</v>
          </cell>
          <cell r="G1453" t="str">
            <v>D</v>
          </cell>
          <cell r="H1453">
            <v>1</v>
          </cell>
          <cell r="AW1453" t="str">
            <v/>
          </cell>
          <cell r="BA1453" t="str">
            <v>-</v>
          </cell>
        </row>
        <row r="1454">
          <cell r="A1454">
            <v>70410094</v>
          </cell>
          <cell r="B1454" t="str">
            <v>해인사</v>
          </cell>
          <cell r="C1454" t="str">
            <v>사적</v>
          </cell>
          <cell r="D1454">
            <v>12</v>
          </cell>
          <cell r="E1454" t="str">
            <v>건축</v>
          </cell>
          <cell r="F1454">
            <v>4</v>
          </cell>
          <cell r="G1454" t="str">
            <v>B</v>
          </cell>
          <cell r="H1454">
            <v>3</v>
          </cell>
        </row>
        <row r="1455">
          <cell r="A1455">
            <v>70410095</v>
          </cell>
          <cell r="B1455" t="str">
            <v>헤이아우</v>
          </cell>
          <cell r="C1455" t="str">
            <v>종교 건축물</v>
          </cell>
          <cell r="D1455">
            <v>14</v>
          </cell>
          <cell r="E1455" t="str">
            <v>건축</v>
          </cell>
          <cell r="F1455">
            <v>4</v>
          </cell>
          <cell r="G1455" t="str">
            <v>C</v>
          </cell>
          <cell r="H1455">
            <v>2</v>
          </cell>
        </row>
        <row r="1456">
          <cell r="A1456">
            <v>70410096</v>
          </cell>
          <cell r="B1456" t="str">
            <v>호류사</v>
          </cell>
          <cell r="C1456" t="str">
            <v>사적</v>
          </cell>
          <cell r="D1456">
            <v>12</v>
          </cell>
          <cell r="E1456" t="str">
            <v>건축</v>
          </cell>
          <cell r="F1456">
            <v>4</v>
          </cell>
          <cell r="G1456" t="str">
            <v>B</v>
          </cell>
          <cell r="H1456">
            <v>3</v>
          </cell>
        </row>
        <row r="1457">
          <cell r="A1457">
            <v>70410097</v>
          </cell>
          <cell r="B1457" t="str">
            <v>후마나 평원</v>
          </cell>
          <cell r="C1457" t="str">
            <v>사적</v>
          </cell>
          <cell r="D1457">
            <v>12</v>
          </cell>
          <cell r="E1457" t="str">
            <v>건축</v>
          </cell>
          <cell r="F1457">
            <v>4</v>
          </cell>
          <cell r="G1457" t="str">
            <v>D</v>
          </cell>
          <cell r="H1457">
            <v>1</v>
          </cell>
          <cell r="AW1457" t="str">
            <v/>
          </cell>
          <cell r="BA1457" t="str">
            <v>-</v>
          </cell>
        </row>
        <row r="1458">
          <cell r="A1458">
            <v>70411000</v>
          </cell>
          <cell r="B1458" t="str">
            <v>기자의 대 스핑크스</v>
          </cell>
          <cell r="C1458" t="str">
            <v>종교 건축물</v>
          </cell>
          <cell r="D1458">
            <v>14</v>
          </cell>
          <cell r="E1458" t="str">
            <v>건축</v>
          </cell>
          <cell r="F1458">
            <v>4</v>
          </cell>
          <cell r="G1458" t="str">
            <v>B</v>
          </cell>
          <cell r="H1458">
            <v>3</v>
          </cell>
          <cell r="AW1458" t="str">
            <v>특정 퀘스트(=)</v>
          </cell>
          <cell r="AY1458" t="str">
            <v>머리와 몸이 다른 존재</v>
          </cell>
          <cell r="BA1458">
            <v>3</v>
          </cell>
        </row>
        <row r="1459">
          <cell r="A1459">
            <v>70411001</v>
          </cell>
          <cell r="B1459" t="str">
            <v>러산 대불</v>
          </cell>
          <cell r="C1459" t="str">
            <v>종교 건축물</v>
          </cell>
          <cell r="D1459">
            <v>14</v>
          </cell>
          <cell r="E1459" t="str">
            <v>건축</v>
          </cell>
          <cell r="F1459">
            <v>4</v>
          </cell>
          <cell r="G1459" t="str">
            <v>A</v>
          </cell>
          <cell r="H1459">
            <v>4</v>
          </cell>
          <cell r="AW1459" t="str">
            <v>특정 국가 항해사 보유</v>
          </cell>
          <cell r="AY1459" t="str">
            <v>명</v>
          </cell>
          <cell r="BA1459">
            <v>4</v>
          </cell>
        </row>
        <row r="1460">
          <cell r="A1460">
            <v>70411002</v>
          </cell>
          <cell r="B1460" t="str">
            <v>난마돌</v>
          </cell>
          <cell r="C1460" t="str">
            <v>사적</v>
          </cell>
          <cell r="D1460">
            <v>12</v>
          </cell>
          <cell r="E1460" t="str">
            <v>건축</v>
          </cell>
          <cell r="F1460">
            <v>4</v>
          </cell>
          <cell r="G1460" t="str">
            <v>S</v>
          </cell>
          <cell r="H1460">
            <v>5</v>
          </cell>
        </row>
        <row r="1461">
          <cell r="A1461">
            <v>70411003</v>
          </cell>
          <cell r="B1461" t="str">
            <v>노군 조상</v>
          </cell>
          <cell r="C1461" t="str">
            <v>종교 건축물</v>
          </cell>
          <cell r="D1461">
            <v>14</v>
          </cell>
          <cell r="E1461" t="str">
            <v>건축</v>
          </cell>
          <cell r="F1461">
            <v>4</v>
          </cell>
          <cell r="G1461" t="str">
            <v>A</v>
          </cell>
          <cell r="H1461">
            <v>4</v>
          </cell>
        </row>
        <row r="1462">
          <cell r="A1462">
            <v>70411004</v>
          </cell>
          <cell r="B1462" t="str">
            <v>노트르담 대성당</v>
          </cell>
          <cell r="C1462" t="str">
            <v>종교 건축물</v>
          </cell>
          <cell r="D1462">
            <v>14</v>
          </cell>
          <cell r="E1462" t="str">
            <v>건축</v>
          </cell>
          <cell r="F1462">
            <v>4</v>
          </cell>
          <cell r="G1462" t="str">
            <v>B</v>
          </cell>
          <cell r="H1462">
            <v>3</v>
          </cell>
        </row>
        <row r="1463">
          <cell r="A1463">
            <v>70411005</v>
          </cell>
          <cell r="B1463" t="str">
            <v>달곡굴 비사문당</v>
          </cell>
          <cell r="C1463" t="str">
            <v>종교 건축물</v>
          </cell>
          <cell r="D1463">
            <v>14</v>
          </cell>
          <cell r="E1463" t="str">
            <v>건축</v>
          </cell>
          <cell r="F1463">
            <v>4</v>
          </cell>
          <cell r="G1463" t="str">
            <v>B</v>
          </cell>
          <cell r="H1463">
            <v>3</v>
          </cell>
        </row>
        <row r="1464">
          <cell r="A1464">
            <v>70411006</v>
          </cell>
          <cell r="B1464" t="str">
            <v>델포이 유적</v>
          </cell>
          <cell r="C1464" t="str">
            <v>종교 건축물</v>
          </cell>
          <cell r="D1464">
            <v>14</v>
          </cell>
          <cell r="E1464" t="str">
            <v>건축</v>
          </cell>
          <cell r="F1464">
            <v>4</v>
          </cell>
          <cell r="G1464" t="str">
            <v>A</v>
          </cell>
          <cell r="H1464">
            <v>4</v>
          </cell>
          <cell r="AW1464" t="str">
            <v>특정 퀘스트(=)</v>
          </cell>
          <cell r="AY1464" t="str">
            <v>델포이의 신탁</v>
          </cell>
          <cell r="BA1464">
            <v>0</v>
          </cell>
        </row>
        <row r="1465">
          <cell r="A1465">
            <v>70411007</v>
          </cell>
          <cell r="B1465" t="str">
            <v>독수리와 재규어의 부조</v>
          </cell>
          <cell r="C1465" t="str">
            <v>종교 건축물</v>
          </cell>
          <cell r="D1465">
            <v>14</v>
          </cell>
          <cell r="E1465" t="str">
            <v>건축</v>
          </cell>
          <cell r="F1465">
            <v>4</v>
          </cell>
          <cell r="G1465" t="str">
            <v>D</v>
          </cell>
          <cell r="H1465">
            <v>1</v>
          </cell>
          <cell r="AW1465" t="str">
            <v/>
          </cell>
          <cell r="BA1465" t="str">
            <v>-</v>
          </cell>
        </row>
        <row r="1466">
          <cell r="A1466">
            <v>70411008</v>
          </cell>
          <cell r="B1466" t="str">
            <v>라노 라라쿠</v>
          </cell>
          <cell r="C1466" t="str">
            <v>종교 건축물</v>
          </cell>
          <cell r="D1466">
            <v>14</v>
          </cell>
          <cell r="E1466" t="str">
            <v>건축</v>
          </cell>
          <cell r="F1466">
            <v>4</v>
          </cell>
          <cell r="G1466" t="str">
            <v>D</v>
          </cell>
          <cell r="H1466">
            <v>1</v>
          </cell>
          <cell r="AW1466" t="str">
            <v/>
          </cell>
          <cell r="BA1466" t="str">
            <v>-</v>
          </cell>
        </row>
        <row r="1467">
          <cell r="A1467">
            <v>70411009</v>
          </cell>
          <cell r="B1467" t="str">
            <v>랄리벨라 암굴 성당군</v>
          </cell>
          <cell r="C1467" t="str">
            <v>종교 건축물</v>
          </cell>
          <cell r="D1467">
            <v>14</v>
          </cell>
          <cell r="E1467" t="str">
            <v>건축</v>
          </cell>
          <cell r="F1467">
            <v>4</v>
          </cell>
          <cell r="G1467" t="str">
            <v>S</v>
          </cell>
          <cell r="H1467">
            <v>5</v>
          </cell>
          <cell r="AW1467" t="str">
            <v>무조건 실패</v>
          </cell>
          <cell r="BA1467">
            <v>1</v>
          </cell>
        </row>
        <row r="1468">
          <cell r="A1468">
            <v>70411010</v>
          </cell>
          <cell r="B1468" t="str">
            <v>말위야 미나렛</v>
          </cell>
          <cell r="C1468" t="str">
            <v>종교 건축물</v>
          </cell>
          <cell r="D1468">
            <v>14</v>
          </cell>
          <cell r="E1468" t="str">
            <v>건축</v>
          </cell>
          <cell r="F1468">
            <v>4</v>
          </cell>
          <cell r="G1468" t="str">
            <v>S</v>
          </cell>
          <cell r="H1468">
            <v>5</v>
          </cell>
          <cell r="AW1468" t="str">
            <v>무조건 실패</v>
          </cell>
          <cell r="BA1468">
            <v>1</v>
          </cell>
        </row>
        <row r="1469">
          <cell r="A1469">
            <v>70411011</v>
          </cell>
          <cell r="B1469" t="str">
            <v>메테오라</v>
          </cell>
          <cell r="C1469" t="str">
            <v>종교 건축물</v>
          </cell>
          <cell r="D1469">
            <v>14</v>
          </cell>
          <cell r="E1469" t="str">
            <v>건축</v>
          </cell>
          <cell r="F1469">
            <v>4</v>
          </cell>
          <cell r="G1469" t="str">
            <v>A</v>
          </cell>
          <cell r="H1469">
            <v>4</v>
          </cell>
          <cell r="AW1469" t="str">
            <v>특정 계절</v>
          </cell>
          <cell r="AY1469" t="str">
            <v>가을</v>
          </cell>
          <cell r="BA1469">
            <v>1</v>
          </cell>
        </row>
        <row r="1470">
          <cell r="A1470">
            <v>70411012</v>
          </cell>
          <cell r="B1470" t="str">
            <v>미스트라</v>
          </cell>
          <cell r="C1470" t="str">
            <v>사적</v>
          </cell>
          <cell r="D1470">
            <v>12</v>
          </cell>
          <cell r="E1470" t="str">
            <v>건축</v>
          </cell>
          <cell r="F1470">
            <v>4</v>
          </cell>
          <cell r="G1470" t="str">
            <v>C</v>
          </cell>
          <cell r="H1470">
            <v>2</v>
          </cell>
        </row>
        <row r="1471">
          <cell r="A1471">
            <v>70411013</v>
          </cell>
          <cell r="B1471" t="str">
            <v>보로부두르</v>
          </cell>
          <cell r="C1471" t="str">
            <v>종교 건축물</v>
          </cell>
          <cell r="D1471">
            <v>14</v>
          </cell>
          <cell r="E1471" t="str">
            <v>건축</v>
          </cell>
          <cell r="F1471">
            <v>4</v>
          </cell>
          <cell r="G1471" t="str">
            <v>A</v>
          </cell>
          <cell r="H1471">
            <v>4</v>
          </cell>
          <cell r="AW1471" t="str">
            <v>무조건 실패</v>
          </cell>
          <cell r="BA1471">
            <v>1</v>
          </cell>
        </row>
        <row r="1472">
          <cell r="A1472">
            <v>70411014</v>
          </cell>
          <cell r="B1472" t="str">
            <v>불국사</v>
          </cell>
          <cell r="C1472" t="str">
            <v>종교 건축물</v>
          </cell>
          <cell r="D1472">
            <v>14</v>
          </cell>
          <cell r="E1472" t="str">
            <v>건축</v>
          </cell>
          <cell r="F1472">
            <v>4</v>
          </cell>
          <cell r="G1472" t="str">
            <v>B</v>
          </cell>
          <cell r="H1472">
            <v>3</v>
          </cell>
        </row>
        <row r="1473">
          <cell r="A1473">
            <v>70411015</v>
          </cell>
          <cell r="B1473" t="str">
            <v>사투르누스 신전</v>
          </cell>
          <cell r="C1473" t="str">
            <v>종교 건축물</v>
          </cell>
          <cell r="D1473">
            <v>14</v>
          </cell>
          <cell r="E1473" t="str">
            <v>건축</v>
          </cell>
          <cell r="F1473">
            <v>4</v>
          </cell>
          <cell r="G1473" t="str">
            <v>B</v>
          </cell>
          <cell r="H1473">
            <v>3</v>
          </cell>
        </row>
        <row r="1474">
          <cell r="A1474">
            <v>70411016</v>
          </cell>
          <cell r="B1474" t="str">
            <v>생트샤펠</v>
          </cell>
          <cell r="C1474" t="str">
            <v>종교 건축물</v>
          </cell>
          <cell r="D1474">
            <v>14</v>
          </cell>
          <cell r="E1474" t="str">
            <v>건축</v>
          </cell>
          <cell r="F1474">
            <v>4</v>
          </cell>
          <cell r="G1474" t="str">
            <v>C</v>
          </cell>
          <cell r="H1474">
            <v>2</v>
          </cell>
        </row>
        <row r="1475">
          <cell r="A1475">
            <v>70411017</v>
          </cell>
          <cell r="B1475" t="str">
            <v>석굴암</v>
          </cell>
          <cell r="C1475" t="str">
            <v>종교 건축물</v>
          </cell>
          <cell r="D1475">
            <v>14</v>
          </cell>
          <cell r="E1475" t="str">
            <v>건축</v>
          </cell>
          <cell r="F1475">
            <v>4</v>
          </cell>
          <cell r="G1475" t="str">
            <v>A</v>
          </cell>
          <cell r="H1475">
            <v>4</v>
          </cell>
        </row>
        <row r="1476">
          <cell r="A1476">
            <v>70411018</v>
          </cell>
          <cell r="B1476" t="str">
            <v>소림사</v>
          </cell>
          <cell r="C1476" t="str">
            <v>종교 건축물</v>
          </cell>
          <cell r="D1476">
            <v>14</v>
          </cell>
          <cell r="E1476" t="str">
            <v>건축</v>
          </cell>
          <cell r="F1476">
            <v>4</v>
          </cell>
          <cell r="G1476" t="str">
            <v>C</v>
          </cell>
          <cell r="H1476">
            <v>2</v>
          </cell>
        </row>
        <row r="1477">
          <cell r="A1477">
            <v>70411019</v>
          </cell>
          <cell r="B1477" t="str">
            <v>스톤헨지</v>
          </cell>
          <cell r="C1477" t="str">
            <v>종교 건축물</v>
          </cell>
          <cell r="D1477">
            <v>14</v>
          </cell>
          <cell r="E1477" t="str">
            <v>건축</v>
          </cell>
          <cell r="F1477">
            <v>4</v>
          </cell>
          <cell r="G1477" t="str">
            <v>B</v>
          </cell>
          <cell r="H1477">
            <v>3</v>
          </cell>
          <cell r="AW1477" t="str">
            <v>특정 퀘스트</v>
          </cell>
          <cell r="AY1477" t="str">
            <v>신성한 돌무더기</v>
          </cell>
          <cell r="BA1477">
            <v>0</v>
          </cell>
        </row>
        <row r="1478">
          <cell r="A1478">
            <v>70411020</v>
          </cell>
          <cell r="B1478" t="str">
            <v>아부심벨 신전</v>
          </cell>
          <cell r="C1478" t="str">
            <v>종교 건축물</v>
          </cell>
          <cell r="D1478">
            <v>14</v>
          </cell>
          <cell r="E1478" t="str">
            <v>건축</v>
          </cell>
          <cell r="F1478">
            <v>4</v>
          </cell>
          <cell r="G1478" t="str">
            <v>A</v>
          </cell>
          <cell r="H1478">
            <v>4</v>
          </cell>
          <cell r="AW1478" t="str">
            <v>무조건 실패</v>
          </cell>
          <cell r="BA1478">
            <v>1</v>
          </cell>
        </row>
        <row r="1479">
          <cell r="A1479">
            <v>70411021</v>
          </cell>
          <cell r="B1479" t="str">
            <v>아후 아키비</v>
          </cell>
          <cell r="C1479" t="str">
            <v>종교 건축물</v>
          </cell>
          <cell r="D1479">
            <v>14</v>
          </cell>
          <cell r="E1479" t="str">
            <v>건축</v>
          </cell>
          <cell r="F1479">
            <v>4</v>
          </cell>
          <cell r="G1479" t="str">
            <v>C</v>
          </cell>
          <cell r="H1479">
            <v>2</v>
          </cell>
        </row>
        <row r="1480">
          <cell r="A1480">
            <v>70411022</v>
          </cell>
          <cell r="B1480" t="str">
            <v>아후통가리키</v>
          </cell>
          <cell r="C1480" t="str">
            <v>종교 건축물</v>
          </cell>
          <cell r="D1480">
            <v>14</v>
          </cell>
          <cell r="E1480" t="str">
            <v>건축</v>
          </cell>
          <cell r="F1480">
            <v>4</v>
          </cell>
          <cell r="G1480" t="str">
            <v>D</v>
          </cell>
          <cell r="H1480">
            <v>1</v>
          </cell>
          <cell r="AW1480" t="str">
            <v/>
          </cell>
        </row>
        <row r="1481">
          <cell r="A1481">
            <v>70411023</v>
          </cell>
          <cell r="B1481" t="str">
            <v>악숨 석주군</v>
          </cell>
          <cell r="C1481" t="str">
            <v>사적</v>
          </cell>
          <cell r="D1481">
            <v>12</v>
          </cell>
          <cell r="E1481" t="str">
            <v>건축</v>
          </cell>
          <cell r="F1481">
            <v>4</v>
          </cell>
          <cell r="G1481" t="str">
            <v>S</v>
          </cell>
          <cell r="H1481">
            <v>5</v>
          </cell>
          <cell r="AW1481" t="str">
            <v>무조건 실패</v>
          </cell>
          <cell r="BA1481">
            <v>1</v>
          </cell>
        </row>
        <row r="1482">
          <cell r="A1482">
            <v>70411024</v>
          </cell>
          <cell r="B1482" t="str">
            <v>앙코르와트</v>
          </cell>
          <cell r="C1482" t="str">
            <v>종교 건축물</v>
          </cell>
          <cell r="D1482">
            <v>14</v>
          </cell>
          <cell r="E1482" t="str">
            <v>건축</v>
          </cell>
          <cell r="F1482">
            <v>4</v>
          </cell>
          <cell r="G1482" t="str">
            <v>B</v>
          </cell>
          <cell r="H1482">
            <v>3</v>
          </cell>
        </row>
        <row r="1483">
          <cell r="A1483">
            <v>70411025</v>
          </cell>
          <cell r="B1483" t="str">
            <v>양 머리의 스핑크스</v>
          </cell>
          <cell r="C1483" t="str">
            <v>종교 건축물</v>
          </cell>
          <cell r="D1483">
            <v>14</v>
          </cell>
          <cell r="E1483" t="str">
            <v>건축</v>
          </cell>
          <cell r="F1483">
            <v>4</v>
          </cell>
          <cell r="G1483" t="str">
            <v>D</v>
          </cell>
          <cell r="H1483">
            <v>1</v>
          </cell>
          <cell r="AW1483" t="str">
            <v>특정 퀘스트(=)</v>
          </cell>
          <cell r="AY1483" t="str">
            <v>밀란다 베르테 시나리오</v>
          </cell>
          <cell r="BA1483" t="str">
            <v>밀란다 베르테02_05</v>
          </cell>
        </row>
        <row r="1484">
          <cell r="A1484">
            <v>70411026</v>
          </cell>
          <cell r="B1484" t="str">
            <v>에치미아진 대성당</v>
          </cell>
          <cell r="C1484" t="str">
            <v>종교 건축물</v>
          </cell>
          <cell r="D1484">
            <v>14</v>
          </cell>
          <cell r="E1484" t="str">
            <v>건축</v>
          </cell>
          <cell r="F1484">
            <v>4</v>
          </cell>
          <cell r="G1484" t="str">
            <v>S</v>
          </cell>
          <cell r="H1484">
            <v>5</v>
          </cell>
        </row>
        <row r="1485">
          <cell r="A1485">
            <v>70411027</v>
          </cell>
          <cell r="B1485" t="str">
            <v>엘레우시스 신전</v>
          </cell>
          <cell r="C1485" t="str">
            <v>종교 건축물</v>
          </cell>
          <cell r="D1485">
            <v>14</v>
          </cell>
          <cell r="E1485" t="str">
            <v>건축</v>
          </cell>
          <cell r="F1485">
            <v>4</v>
          </cell>
          <cell r="G1485" t="str">
            <v>D</v>
          </cell>
          <cell r="H1485">
            <v>1</v>
          </cell>
          <cell r="AW1485" t="str">
            <v>특정 퀘스트(=)</v>
          </cell>
          <cell r="AY1485" t="str">
            <v>옛 신들의 마을</v>
          </cell>
          <cell r="BA1485">
            <v>1</v>
          </cell>
        </row>
        <row r="1486">
          <cell r="A1486">
            <v>70411028</v>
          </cell>
          <cell r="B1486" t="str">
            <v>윈강 석굴</v>
          </cell>
          <cell r="C1486" t="str">
            <v>종교 건축물</v>
          </cell>
          <cell r="D1486">
            <v>14</v>
          </cell>
          <cell r="E1486" t="str">
            <v>건축</v>
          </cell>
          <cell r="F1486">
            <v>4</v>
          </cell>
          <cell r="G1486" t="str">
            <v>B</v>
          </cell>
          <cell r="H1486">
            <v>3</v>
          </cell>
        </row>
        <row r="1487">
          <cell r="A1487">
            <v>70411029</v>
          </cell>
          <cell r="B1487" t="str">
            <v>카르나크 신전</v>
          </cell>
          <cell r="C1487" t="str">
            <v>종교 건축물</v>
          </cell>
          <cell r="D1487">
            <v>14</v>
          </cell>
          <cell r="E1487" t="str">
            <v>건축</v>
          </cell>
          <cell r="F1487">
            <v>4</v>
          </cell>
          <cell r="G1487" t="str">
            <v>C</v>
          </cell>
          <cell r="H1487">
            <v>2</v>
          </cell>
          <cell r="AW1487" t="str">
            <v>특정 퀘스트(=)</v>
          </cell>
          <cell r="AY1487" t="str">
            <v>모래에 묻힌 신전</v>
          </cell>
          <cell r="BA1487">
            <v>3</v>
          </cell>
        </row>
        <row r="1488">
          <cell r="A1488">
            <v>70411030</v>
          </cell>
          <cell r="B1488" t="str">
            <v>코나라크 태양신 사원</v>
          </cell>
          <cell r="C1488" t="str">
            <v>종교 건축물</v>
          </cell>
          <cell r="D1488">
            <v>14</v>
          </cell>
          <cell r="E1488" t="str">
            <v>건축</v>
          </cell>
          <cell r="F1488">
            <v>4</v>
          </cell>
          <cell r="G1488" t="str">
            <v>S</v>
          </cell>
          <cell r="H1488">
            <v>5</v>
          </cell>
        </row>
        <row r="1489">
          <cell r="A1489">
            <v>70411031</v>
          </cell>
          <cell r="B1489" t="str">
            <v>코나라크의 수레바퀴</v>
          </cell>
          <cell r="C1489" t="str">
            <v>종교 건축물</v>
          </cell>
          <cell r="D1489">
            <v>14</v>
          </cell>
          <cell r="E1489" t="str">
            <v>건축</v>
          </cell>
          <cell r="F1489">
            <v>4</v>
          </cell>
          <cell r="G1489" t="str">
            <v>A</v>
          </cell>
          <cell r="H1489">
            <v>4</v>
          </cell>
        </row>
        <row r="1490">
          <cell r="A1490">
            <v>70411032</v>
          </cell>
          <cell r="B1490" t="str">
            <v>쿠푸왕의 피라미드</v>
          </cell>
          <cell r="C1490" t="str">
            <v>종교 건축물</v>
          </cell>
          <cell r="D1490">
            <v>14</v>
          </cell>
          <cell r="E1490" t="str">
            <v>건축</v>
          </cell>
          <cell r="F1490">
            <v>4</v>
          </cell>
          <cell r="G1490" t="str">
            <v>S</v>
          </cell>
          <cell r="H1490">
            <v>5</v>
          </cell>
          <cell r="AW1490" t="str">
            <v>무조건 실패</v>
          </cell>
          <cell r="BA1490">
            <v>1</v>
          </cell>
        </row>
        <row r="1491">
          <cell r="A1491">
            <v>70411034</v>
          </cell>
          <cell r="B1491" t="str">
            <v>태양의 돌</v>
          </cell>
          <cell r="C1491" t="str">
            <v>종교 건축물</v>
          </cell>
          <cell r="D1491">
            <v>14</v>
          </cell>
          <cell r="E1491" t="str">
            <v>건축</v>
          </cell>
          <cell r="F1491">
            <v>4</v>
          </cell>
          <cell r="G1491" t="str">
            <v>B</v>
          </cell>
          <cell r="H1491">
            <v>3</v>
          </cell>
          <cell r="AW1491" t="str">
            <v>특정 퀘스트(=)</v>
          </cell>
          <cell r="AY1491" t="str">
            <v>밀란다 베르테 시나리오</v>
          </cell>
          <cell r="BA1491" t="str">
            <v>밀란다 베르테14_09</v>
          </cell>
        </row>
        <row r="1492">
          <cell r="A1492">
            <v>70411035</v>
          </cell>
          <cell r="B1492" t="str">
            <v>태양의 신전</v>
          </cell>
          <cell r="C1492" t="str">
            <v>종교 건축물</v>
          </cell>
          <cell r="D1492">
            <v>14</v>
          </cell>
          <cell r="E1492" t="str">
            <v>건축</v>
          </cell>
          <cell r="F1492">
            <v>4</v>
          </cell>
          <cell r="G1492" t="str">
            <v>B</v>
          </cell>
          <cell r="H1492">
            <v>3</v>
          </cell>
        </row>
        <row r="1493">
          <cell r="A1493">
            <v>70411036</v>
          </cell>
          <cell r="B1493" t="str">
            <v>투트모세 1세의 오벨리스크</v>
          </cell>
          <cell r="C1493" t="str">
            <v>종교 건축물</v>
          </cell>
          <cell r="D1493">
            <v>14</v>
          </cell>
          <cell r="E1493" t="str">
            <v>건축</v>
          </cell>
          <cell r="F1493">
            <v>4</v>
          </cell>
          <cell r="G1493" t="str">
            <v>C</v>
          </cell>
          <cell r="H1493">
            <v>2</v>
          </cell>
        </row>
        <row r="1494">
          <cell r="A1494">
            <v>70411037</v>
          </cell>
          <cell r="B1494" t="str">
            <v>파간유적</v>
          </cell>
          <cell r="C1494" t="str">
            <v>종교 건축물</v>
          </cell>
          <cell r="D1494">
            <v>14</v>
          </cell>
          <cell r="E1494" t="str">
            <v>건축</v>
          </cell>
          <cell r="F1494">
            <v>4</v>
          </cell>
          <cell r="G1494" t="str">
            <v>B</v>
          </cell>
          <cell r="H1494">
            <v>3</v>
          </cell>
        </row>
        <row r="1495">
          <cell r="A1495">
            <v>70411038</v>
          </cell>
          <cell r="B1495" t="str">
            <v>파에스툼 유적</v>
          </cell>
          <cell r="C1495" t="str">
            <v>종교 건축물</v>
          </cell>
          <cell r="D1495">
            <v>14</v>
          </cell>
          <cell r="E1495" t="str">
            <v>건축</v>
          </cell>
          <cell r="F1495">
            <v>4</v>
          </cell>
          <cell r="G1495" t="str">
            <v>D</v>
          </cell>
          <cell r="H1495">
            <v>1</v>
          </cell>
          <cell r="AW1495" t="str">
            <v/>
          </cell>
          <cell r="BA1495" t="str">
            <v>-</v>
          </cell>
        </row>
        <row r="1496">
          <cell r="A1496">
            <v>70411039</v>
          </cell>
          <cell r="B1496" t="str">
            <v>호투 마투아 왕의 모아이</v>
          </cell>
          <cell r="C1496" t="str">
            <v>종교 건축물</v>
          </cell>
          <cell r="D1496">
            <v>14</v>
          </cell>
          <cell r="E1496" t="str">
            <v>건축</v>
          </cell>
          <cell r="F1496">
            <v>4</v>
          </cell>
          <cell r="G1496" t="str">
            <v>S</v>
          </cell>
          <cell r="H1496">
            <v>5</v>
          </cell>
          <cell r="AW1496" t="str">
            <v>무조건 실패</v>
          </cell>
          <cell r="BA1496">
            <v>1</v>
          </cell>
        </row>
        <row r="1497">
          <cell r="A1497">
            <v>70411040</v>
          </cell>
          <cell r="B1497" t="str">
            <v>스네프루의 붉은 피라미드</v>
          </cell>
          <cell r="C1497" t="str">
            <v>종교 건축물</v>
          </cell>
          <cell r="D1497">
            <v>14</v>
          </cell>
          <cell r="E1497" t="str">
            <v>건축</v>
          </cell>
          <cell r="F1497">
            <v>4</v>
          </cell>
          <cell r="G1497" t="str">
            <v>A</v>
          </cell>
          <cell r="H1497">
            <v>4</v>
          </cell>
        </row>
        <row r="1498">
          <cell r="A1498">
            <v>70411041</v>
          </cell>
          <cell r="B1498" t="str">
            <v>벨렝탑</v>
          </cell>
          <cell r="C1498" t="str">
            <v>종교 건축물</v>
          </cell>
          <cell r="D1498">
            <v>14</v>
          </cell>
          <cell r="E1498" t="str">
            <v>건축</v>
          </cell>
          <cell r="F1498">
            <v>4</v>
          </cell>
          <cell r="G1498" t="str">
            <v>B</v>
          </cell>
          <cell r="H1498">
            <v>3</v>
          </cell>
          <cell r="AW1498" t="str">
            <v>특정 국가 항해사 보유</v>
          </cell>
          <cell r="AY1498" t="str">
            <v>포르투갈</v>
          </cell>
          <cell r="BA1498">
            <v>3</v>
          </cell>
        </row>
        <row r="1499">
          <cell r="A1499" t="str">
            <v>#70411042</v>
          </cell>
          <cell r="B1499" t="str">
            <v>##셰프샤우엔</v>
          </cell>
          <cell r="C1499" t="str">
            <v>종교 건축물</v>
          </cell>
          <cell r="D1499">
            <v>14</v>
          </cell>
          <cell r="E1499" t="str">
            <v>건축</v>
          </cell>
          <cell r="F1499">
            <v>4</v>
          </cell>
          <cell r="G1499" t="str">
            <v>B</v>
          </cell>
          <cell r="H1499">
            <v>3</v>
          </cell>
        </row>
        <row r="1500">
          <cell r="A1500">
            <v>70411043</v>
          </cell>
          <cell r="B1500" t="str">
            <v>카이르완 대 모스크</v>
          </cell>
          <cell r="C1500" t="str">
            <v>종교 건축물</v>
          </cell>
          <cell r="D1500">
            <v>14</v>
          </cell>
          <cell r="E1500" t="str">
            <v>건축</v>
          </cell>
          <cell r="F1500">
            <v>4</v>
          </cell>
          <cell r="G1500" t="str">
            <v>A</v>
          </cell>
          <cell r="H1500">
            <v>4</v>
          </cell>
          <cell r="AW1500" t="str">
            <v>무조건 실패</v>
          </cell>
          <cell r="BA1500">
            <v>1</v>
          </cell>
        </row>
        <row r="1501">
          <cell r="A1501">
            <v>70411044</v>
          </cell>
          <cell r="B1501" t="str">
            <v>슈웨다곤 파고다</v>
          </cell>
          <cell r="C1501" t="str">
            <v>종교 건축물</v>
          </cell>
          <cell r="D1501">
            <v>14</v>
          </cell>
          <cell r="E1501" t="str">
            <v>건축</v>
          </cell>
          <cell r="F1501">
            <v>4</v>
          </cell>
          <cell r="G1501" t="str">
            <v>A</v>
          </cell>
          <cell r="H1501">
            <v>4</v>
          </cell>
          <cell r="AW1501" t="str">
            <v>무조건 실패</v>
          </cell>
          <cell r="BA1501">
            <v>1</v>
          </cell>
        </row>
        <row r="1502">
          <cell r="A1502">
            <v>70411045</v>
          </cell>
          <cell r="B1502" t="str">
            <v>사브라타 원형극장</v>
          </cell>
          <cell r="C1502" t="str">
            <v>사적</v>
          </cell>
          <cell r="D1502">
            <v>12</v>
          </cell>
          <cell r="E1502" t="str">
            <v>건축</v>
          </cell>
          <cell r="F1502">
            <v>4</v>
          </cell>
          <cell r="G1502" t="str">
            <v>B</v>
          </cell>
          <cell r="H1502">
            <v>3</v>
          </cell>
        </row>
        <row r="1503">
          <cell r="A1503">
            <v>70411046</v>
          </cell>
          <cell r="B1503" t="str">
            <v>베니함마드 요새 도시</v>
          </cell>
          <cell r="C1503" t="str">
            <v>사적</v>
          </cell>
          <cell r="D1503">
            <v>12</v>
          </cell>
          <cell r="E1503" t="str">
            <v>건축</v>
          </cell>
          <cell r="F1503">
            <v>4</v>
          </cell>
          <cell r="G1503" t="str">
            <v>C</v>
          </cell>
          <cell r="H1503">
            <v>2</v>
          </cell>
        </row>
        <row r="1504">
          <cell r="A1504">
            <v>70411047</v>
          </cell>
          <cell r="B1504" t="str">
            <v>젠네 모스크</v>
          </cell>
          <cell r="C1504" t="str">
            <v>종교 건축물</v>
          </cell>
          <cell r="D1504">
            <v>14</v>
          </cell>
          <cell r="E1504" t="str">
            <v>건축</v>
          </cell>
          <cell r="F1504">
            <v>4</v>
          </cell>
          <cell r="G1504" t="str">
            <v>B</v>
          </cell>
          <cell r="H1504">
            <v>3</v>
          </cell>
        </row>
        <row r="1505">
          <cell r="A1505">
            <v>70411048</v>
          </cell>
          <cell r="B1505" t="str">
            <v>페트라</v>
          </cell>
          <cell r="C1505" t="str">
            <v>종교 건축물</v>
          </cell>
          <cell r="D1505">
            <v>14</v>
          </cell>
          <cell r="E1505" t="str">
            <v>건축</v>
          </cell>
          <cell r="F1505">
            <v>4</v>
          </cell>
          <cell r="G1505" t="str">
            <v>A</v>
          </cell>
          <cell r="H1505">
            <v>4</v>
          </cell>
          <cell r="AW1505" t="str">
            <v>무조건 실패</v>
          </cell>
          <cell r="BA1505">
            <v>1</v>
          </cell>
        </row>
        <row r="1506">
          <cell r="A1506">
            <v>70411049</v>
          </cell>
          <cell r="B1506" t="str">
            <v>필레 신전</v>
          </cell>
          <cell r="C1506" t="str">
            <v>종교 건축물</v>
          </cell>
          <cell r="D1506">
            <v>14</v>
          </cell>
          <cell r="E1506" t="str">
            <v>건축</v>
          </cell>
          <cell r="F1506">
            <v>4</v>
          </cell>
          <cell r="G1506" t="str">
            <v>A</v>
          </cell>
          <cell r="H1506">
            <v>4</v>
          </cell>
          <cell r="AW1506" t="str">
            <v>특정 직업 항해사 보유</v>
          </cell>
          <cell r="AY1506" t="str">
            <v>고고학자</v>
          </cell>
          <cell r="BA1506">
            <v>4</v>
          </cell>
        </row>
        <row r="1507">
          <cell r="A1507">
            <v>70411050</v>
          </cell>
          <cell r="B1507" t="str">
            <v>반디아가라 절벽</v>
          </cell>
          <cell r="C1507" t="str">
            <v>사적</v>
          </cell>
          <cell r="D1507">
            <v>12</v>
          </cell>
          <cell r="E1507" t="str">
            <v>건축</v>
          </cell>
          <cell r="F1507">
            <v>4</v>
          </cell>
          <cell r="G1507" t="str">
            <v>B</v>
          </cell>
          <cell r="H1507">
            <v>3</v>
          </cell>
        </row>
        <row r="1508">
          <cell r="A1508">
            <v>70412000</v>
          </cell>
          <cell r="B1508" t="str">
            <v>고아</v>
          </cell>
          <cell r="C1508" t="str">
            <v>항구</v>
          </cell>
          <cell r="D1508">
            <v>13</v>
          </cell>
          <cell r="E1508" t="str">
            <v>건축</v>
          </cell>
          <cell r="F1508">
            <v>4</v>
          </cell>
          <cell r="G1508" t="str">
            <v>D</v>
          </cell>
          <cell r="H1508">
            <v>1</v>
          </cell>
          <cell r="AW1508" t="str">
            <v/>
          </cell>
          <cell r="BA1508" t="str">
            <v>-</v>
          </cell>
        </row>
        <row r="1509">
          <cell r="A1509">
            <v>70412002</v>
          </cell>
          <cell r="B1509" t="str">
            <v>과테말라</v>
          </cell>
          <cell r="C1509" t="str">
            <v>항구</v>
          </cell>
          <cell r="D1509">
            <v>13</v>
          </cell>
          <cell r="E1509" t="str">
            <v>건축</v>
          </cell>
          <cell r="F1509">
            <v>4</v>
          </cell>
          <cell r="G1509" t="str">
            <v>D</v>
          </cell>
          <cell r="H1509">
            <v>1</v>
          </cell>
          <cell r="AW1509" t="str">
            <v/>
          </cell>
          <cell r="BA1509" t="str">
            <v>-</v>
          </cell>
        </row>
        <row r="1510">
          <cell r="A1510">
            <v>70412003</v>
          </cell>
          <cell r="B1510" t="str">
            <v>하갓냐</v>
          </cell>
          <cell r="C1510" t="str">
            <v>항구</v>
          </cell>
          <cell r="D1510">
            <v>13</v>
          </cell>
          <cell r="E1510" t="str">
            <v>건축</v>
          </cell>
          <cell r="F1510">
            <v>4</v>
          </cell>
          <cell r="G1510" t="str">
            <v>D</v>
          </cell>
          <cell r="H1510">
            <v>1</v>
          </cell>
          <cell r="AW1510" t="str">
            <v/>
          </cell>
          <cell r="BA1510" t="str">
            <v>-</v>
          </cell>
        </row>
        <row r="1511">
          <cell r="A1511">
            <v>70412004</v>
          </cell>
          <cell r="B1511" t="str">
            <v>그단스크</v>
          </cell>
          <cell r="C1511" t="str">
            <v>항구</v>
          </cell>
          <cell r="D1511">
            <v>13</v>
          </cell>
          <cell r="E1511" t="str">
            <v>건축</v>
          </cell>
          <cell r="F1511">
            <v>4</v>
          </cell>
          <cell r="G1511" t="str">
            <v>D</v>
          </cell>
          <cell r="H1511">
            <v>1</v>
          </cell>
          <cell r="AW1511" t="str">
            <v/>
          </cell>
          <cell r="BA1511" t="str">
            <v>-</v>
          </cell>
        </row>
        <row r="1512">
          <cell r="A1512">
            <v>70412005</v>
          </cell>
          <cell r="B1512" t="str">
            <v>사우스사이드</v>
          </cell>
          <cell r="C1512" t="str">
            <v>항구</v>
          </cell>
          <cell r="D1512">
            <v>13</v>
          </cell>
          <cell r="E1512" t="str">
            <v>건축</v>
          </cell>
          <cell r="F1512">
            <v>4</v>
          </cell>
          <cell r="G1512" t="str">
            <v>D</v>
          </cell>
          <cell r="H1512">
            <v>1</v>
          </cell>
          <cell r="AW1512" t="str">
            <v/>
          </cell>
          <cell r="BA1512" t="str">
            <v>-</v>
          </cell>
        </row>
        <row r="1513">
          <cell r="A1513">
            <v>70412006</v>
          </cell>
          <cell r="B1513" t="str">
            <v>나가사키</v>
          </cell>
          <cell r="C1513" t="str">
            <v>항구</v>
          </cell>
          <cell r="D1513">
            <v>13</v>
          </cell>
          <cell r="E1513" t="str">
            <v>건축</v>
          </cell>
          <cell r="F1513">
            <v>4</v>
          </cell>
          <cell r="G1513" t="str">
            <v>D</v>
          </cell>
          <cell r="H1513">
            <v>1</v>
          </cell>
          <cell r="AW1513" t="str">
            <v/>
          </cell>
          <cell r="BA1513" t="str">
            <v>-</v>
          </cell>
        </row>
        <row r="1514">
          <cell r="A1514">
            <v>70412007</v>
          </cell>
          <cell r="B1514" t="str">
            <v>나탈</v>
          </cell>
          <cell r="C1514" t="str">
            <v>항구</v>
          </cell>
          <cell r="D1514">
            <v>13</v>
          </cell>
          <cell r="E1514" t="str">
            <v>건축</v>
          </cell>
          <cell r="F1514">
            <v>4</v>
          </cell>
          <cell r="G1514" t="str">
            <v>D</v>
          </cell>
          <cell r="H1514">
            <v>1</v>
          </cell>
          <cell r="AW1514" t="str">
            <v/>
          </cell>
          <cell r="BA1514" t="str">
            <v>-</v>
          </cell>
        </row>
        <row r="1515">
          <cell r="A1515">
            <v>70412008</v>
          </cell>
          <cell r="B1515" t="str">
            <v>나폴리</v>
          </cell>
          <cell r="C1515" t="str">
            <v>항구</v>
          </cell>
          <cell r="D1515">
            <v>13</v>
          </cell>
          <cell r="E1515" t="str">
            <v>건축</v>
          </cell>
          <cell r="F1515">
            <v>4</v>
          </cell>
          <cell r="G1515" t="str">
            <v>D</v>
          </cell>
          <cell r="H1515">
            <v>1</v>
          </cell>
          <cell r="AW1515" t="str">
            <v/>
          </cell>
          <cell r="BA1515" t="str">
            <v>-</v>
          </cell>
        </row>
        <row r="1516">
          <cell r="A1516">
            <v>70412009</v>
          </cell>
          <cell r="B1516" t="str">
            <v>낭트</v>
          </cell>
          <cell r="C1516" t="str">
            <v>항구</v>
          </cell>
          <cell r="D1516">
            <v>13</v>
          </cell>
          <cell r="E1516" t="str">
            <v>건축</v>
          </cell>
          <cell r="F1516">
            <v>4</v>
          </cell>
          <cell r="G1516" t="str">
            <v>D</v>
          </cell>
          <cell r="H1516">
            <v>1</v>
          </cell>
          <cell r="AW1516" t="str">
            <v/>
          </cell>
          <cell r="BA1516" t="str">
            <v>-</v>
          </cell>
        </row>
        <row r="1517">
          <cell r="A1517">
            <v>70412010</v>
          </cell>
          <cell r="B1517" t="str">
            <v>누탁</v>
          </cell>
          <cell r="C1517" t="str">
            <v>항구</v>
          </cell>
          <cell r="D1517">
            <v>13</v>
          </cell>
          <cell r="E1517" t="str">
            <v>건축</v>
          </cell>
          <cell r="F1517">
            <v>4</v>
          </cell>
          <cell r="G1517" t="str">
            <v>D</v>
          </cell>
          <cell r="H1517">
            <v>1</v>
          </cell>
          <cell r="AW1517" t="str">
            <v/>
          </cell>
          <cell r="BA1517" t="str">
            <v>-</v>
          </cell>
        </row>
        <row r="1518">
          <cell r="A1518">
            <v>70412011</v>
          </cell>
          <cell r="B1518" t="str">
            <v>레프코샤</v>
          </cell>
          <cell r="C1518" t="str">
            <v>항구</v>
          </cell>
          <cell r="D1518">
            <v>13</v>
          </cell>
          <cell r="E1518" t="str">
            <v>건축</v>
          </cell>
          <cell r="F1518">
            <v>4</v>
          </cell>
          <cell r="G1518" t="str">
            <v>D</v>
          </cell>
          <cell r="H1518">
            <v>1</v>
          </cell>
          <cell r="AW1518" t="str">
            <v/>
          </cell>
          <cell r="BA1518" t="str">
            <v>-</v>
          </cell>
        </row>
        <row r="1519">
          <cell r="A1519">
            <v>70412012</v>
          </cell>
          <cell r="B1519" t="str">
            <v>다바오</v>
          </cell>
          <cell r="C1519" t="str">
            <v>항구</v>
          </cell>
          <cell r="D1519">
            <v>13</v>
          </cell>
          <cell r="E1519" t="str">
            <v>건축</v>
          </cell>
          <cell r="F1519">
            <v>4</v>
          </cell>
          <cell r="G1519" t="str">
            <v>D</v>
          </cell>
          <cell r="H1519">
            <v>1</v>
          </cell>
          <cell r="AW1519" t="str">
            <v/>
          </cell>
          <cell r="BA1519" t="str">
            <v>-</v>
          </cell>
        </row>
        <row r="1520">
          <cell r="A1520">
            <v>70412013</v>
          </cell>
          <cell r="B1520" t="str">
            <v>호베</v>
          </cell>
          <cell r="C1520" t="str">
            <v>항구</v>
          </cell>
          <cell r="D1520">
            <v>13</v>
          </cell>
          <cell r="E1520" t="str">
            <v>건축</v>
          </cell>
          <cell r="F1520">
            <v>4</v>
          </cell>
          <cell r="G1520" t="str">
            <v>D</v>
          </cell>
          <cell r="H1520">
            <v>1</v>
          </cell>
          <cell r="AW1520" t="str">
            <v/>
          </cell>
          <cell r="BA1520" t="str">
            <v>-</v>
          </cell>
        </row>
        <row r="1521">
          <cell r="A1521">
            <v>70412014</v>
          </cell>
          <cell r="B1521" t="str">
            <v>두블린</v>
          </cell>
          <cell r="C1521" t="str">
            <v>항구</v>
          </cell>
          <cell r="D1521">
            <v>13</v>
          </cell>
          <cell r="E1521" t="str">
            <v>건축</v>
          </cell>
          <cell r="F1521">
            <v>4</v>
          </cell>
          <cell r="G1521" t="str">
            <v>D</v>
          </cell>
          <cell r="H1521">
            <v>1</v>
          </cell>
          <cell r="AW1521" t="str">
            <v/>
          </cell>
          <cell r="BA1521" t="str">
            <v>-</v>
          </cell>
        </row>
        <row r="1522">
          <cell r="A1522">
            <v>70412015</v>
          </cell>
          <cell r="B1522" t="str">
            <v>덕원</v>
          </cell>
          <cell r="C1522" t="str">
            <v>항구</v>
          </cell>
          <cell r="D1522">
            <v>13</v>
          </cell>
          <cell r="E1522" t="str">
            <v>건축</v>
          </cell>
          <cell r="F1522">
            <v>4</v>
          </cell>
          <cell r="G1522" t="str">
            <v>D</v>
          </cell>
          <cell r="H1522">
            <v>1</v>
          </cell>
          <cell r="AW1522" t="str">
            <v/>
          </cell>
          <cell r="BA1522" t="str">
            <v>-</v>
          </cell>
        </row>
        <row r="1523">
          <cell r="A1523">
            <v>70412016</v>
          </cell>
          <cell r="B1523" t="str">
            <v>덴헬데르</v>
          </cell>
          <cell r="C1523" t="str">
            <v>항구</v>
          </cell>
          <cell r="D1523">
            <v>13</v>
          </cell>
          <cell r="E1523" t="str">
            <v>건축</v>
          </cell>
          <cell r="F1523">
            <v>4</v>
          </cell>
          <cell r="G1523" t="str">
            <v>D</v>
          </cell>
          <cell r="H1523">
            <v>1</v>
          </cell>
          <cell r="AW1523" t="str">
            <v/>
          </cell>
          <cell r="BA1523" t="str">
            <v>-</v>
          </cell>
        </row>
        <row r="1524">
          <cell r="A1524">
            <v>70412017</v>
          </cell>
          <cell r="B1524" t="str">
            <v>도버</v>
          </cell>
          <cell r="C1524" t="str">
            <v>항구</v>
          </cell>
          <cell r="D1524">
            <v>13</v>
          </cell>
          <cell r="E1524" t="str">
            <v>건축</v>
          </cell>
          <cell r="F1524">
            <v>4</v>
          </cell>
          <cell r="G1524" t="str">
            <v>D</v>
          </cell>
          <cell r="H1524">
            <v>1</v>
          </cell>
          <cell r="AW1524" t="str">
            <v/>
          </cell>
          <cell r="BA1524" t="str">
            <v>-</v>
          </cell>
        </row>
        <row r="1525">
          <cell r="A1525">
            <v>70412018</v>
          </cell>
          <cell r="B1525" t="str">
            <v>도파르</v>
          </cell>
          <cell r="C1525" t="str">
            <v>항구</v>
          </cell>
          <cell r="D1525">
            <v>13</v>
          </cell>
          <cell r="E1525" t="str">
            <v>건축</v>
          </cell>
          <cell r="F1525">
            <v>4</v>
          </cell>
          <cell r="G1525" t="str">
            <v>D</v>
          </cell>
          <cell r="H1525">
            <v>1</v>
          </cell>
          <cell r="AW1525" t="str">
            <v/>
          </cell>
          <cell r="BA1525" t="str">
            <v>-</v>
          </cell>
        </row>
        <row r="1526">
          <cell r="A1526">
            <v>70412019</v>
          </cell>
          <cell r="B1526" t="str">
            <v>동래</v>
          </cell>
          <cell r="C1526" t="str">
            <v>항구</v>
          </cell>
          <cell r="D1526">
            <v>13</v>
          </cell>
          <cell r="E1526" t="str">
            <v>건축</v>
          </cell>
          <cell r="F1526">
            <v>4</v>
          </cell>
          <cell r="G1526" t="str">
            <v>D</v>
          </cell>
          <cell r="H1526">
            <v>1</v>
          </cell>
          <cell r="AW1526" t="str">
            <v/>
          </cell>
          <cell r="BA1526" t="str">
            <v>-</v>
          </cell>
        </row>
        <row r="1527">
          <cell r="A1527">
            <v>70412020</v>
          </cell>
          <cell r="B1527" t="str">
            <v>두알라</v>
          </cell>
          <cell r="C1527" t="str">
            <v>항구</v>
          </cell>
          <cell r="D1527">
            <v>13</v>
          </cell>
          <cell r="E1527" t="str">
            <v>건축</v>
          </cell>
          <cell r="F1527">
            <v>4</v>
          </cell>
          <cell r="G1527" t="str">
            <v>D</v>
          </cell>
          <cell r="H1527">
            <v>1</v>
          </cell>
          <cell r="AW1527" t="str">
            <v/>
          </cell>
          <cell r="BA1527" t="str">
            <v>-</v>
          </cell>
        </row>
        <row r="1528">
          <cell r="A1528">
            <v>70412021</v>
          </cell>
          <cell r="B1528" t="str">
            <v>디우</v>
          </cell>
          <cell r="C1528" t="str">
            <v>항구</v>
          </cell>
          <cell r="D1528">
            <v>13</v>
          </cell>
          <cell r="E1528" t="str">
            <v>건축</v>
          </cell>
          <cell r="F1528">
            <v>4</v>
          </cell>
          <cell r="G1528" t="str">
            <v>D</v>
          </cell>
          <cell r="H1528">
            <v>1</v>
          </cell>
          <cell r="AW1528" t="str">
            <v/>
          </cell>
          <cell r="BA1528" t="str">
            <v>-</v>
          </cell>
        </row>
        <row r="1529">
          <cell r="A1529">
            <v>70412022</v>
          </cell>
          <cell r="B1529" t="str">
            <v>딕손</v>
          </cell>
          <cell r="C1529" t="str">
            <v>항구</v>
          </cell>
          <cell r="D1529">
            <v>13</v>
          </cell>
          <cell r="E1529" t="str">
            <v>건축</v>
          </cell>
          <cell r="F1529">
            <v>4</v>
          </cell>
          <cell r="G1529" t="str">
            <v>D</v>
          </cell>
          <cell r="H1529">
            <v>1</v>
          </cell>
          <cell r="AW1529" t="str">
            <v/>
          </cell>
          <cell r="BA1529" t="str">
            <v>-</v>
          </cell>
        </row>
        <row r="1530">
          <cell r="A1530">
            <v>70412023</v>
          </cell>
          <cell r="B1530" t="str">
            <v>딜리</v>
          </cell>
          <cell r="C1530" t="str">
            <v>항구</v>
          </cell>
          <cell r="D1530">
            <v>13</v>
          </cell>
          <cell r="E1530" t="str">
            <v>건축</v>
          </cell>
          <cell r="F1530">
            <v>4</v>
          </cell>
          <cell r="G1530" t="str">
            <v>D</v>
          </cell>
          <cell r="H1530">
            <v>1</v>
          </cell>
          <cell r="AW1530" t="str">
            <v/>
          </cell>
          <cell r="BA1530" t="str">
            <v>-</v>
          </cell>
        </row>
        <row r="1531">
          <cell r="A1531">
            <v>70412024</v>
          </cell>
          <cell r="B1531" t="str">
            <v>라구사</v>
          </cell>
          <cell r="C1531" t="str">
            <v>항구</v>
          </cell>
          <cell r="D1531">
            <v>13</v>
          </cell>
          <cell r="E1531" t="str">
            <v>건축</v>
          </cell>
          <cell r="F1531">
            <v>4</v>
          </cell>
          <cell r="G1531" t="str">
            <v>D</v>
          </cell>
          <cell r="H1531">
            <v>1</v>
          </cell>
          <cell r="AW1531" t="str">
            <v/>
          </cell>
          <cell r="BA1531" t="str">
            <v>-</v>
          </cell>
        </row>
        <row r="1532">
          <cell r="A1532">
            <v>70412025</v>
          </cell>
          <cell r="B1532" t="str">
            <v>라스팔마스</v>
          </cell>
          <cell r="C1532" t="str">
            <v>항구</v>
          </cell>
          <cell r="D1532">
            <v>13</v>
          </cell>
          <cell r="E1532" t="str">
            <v>건축</v>
          </cell>
          <cell r="F1532">
            <v>4</v>
          </cell>
          <cell r="G1532" t="str">
            <v>D</v>
          </cell>
          <cell r="H1532">
            <v>1</v>
          </cell>
          <cell r="AW1532" t="str">
            <v/>
          </cell>
          <cell r="BA1532" t="str">
            <v>-</v>
          </cell>
        </row>
        <row r="1533">
          <cell r="A1533">
            <v>70412026</v>
          </cell>
          <cell r="B1533" t="str">
            <v>런던</v>
          </cell>
          <cell r="C1533" t="str">
            <v>항구</v>
          </cell>
          <cell r="D1533">
            <v>13</v>
          </cell>
          <cell r="E1533" t="str">
            <v>건축</v>
          </cell>
          <cell r="F1533">
            <v>4</v>
          </cell>
          <cell r="G1533" t="str">
            <v>D</v>
          </cell>
          <cell r="H1533">
            <v>1</v>
          </cell>
          <cell r="AW1533" t="str">
            <v/>
          </cell>
          <cell r="BA1533" t="str">
            <v>-</v>
          </cell>
        </row>
        <row r="1534">
          <cell r="A1534">
            <v>70412027</v>
          </cell>
          <cell r="B1534" t="str">
            <v>롭부리</v>
          </cell>
          <cell r="C1534" t="str">
            <v>항구</v>
          </cell>
          <cell r="D1534">
            <v>13</v>
          </cell>
          <cell r="E1534" t="str">
            <v>건축</v>
          </cell>
          <cell r="F1534">
            <v>4</v>
          </cell>
          <cell r="G1534" t="str">
            <v>D</v>
          </cell>
          <cell r="H1534">
            <v>1</v>
          </cell>
          <cell r="AW1534" t="str">
            <v/>
          </cell>
          <cell r="BA1534" t="str">
            <v>-</v>
          </cell>
        </row>
        <row r="1535">
          <cell r="A1535">
            <v>70412028</v>
          </cell>
          <cell r="B1535" t="str">
            <v>루안다</v>
          </cell>
          <cell r="C1535" t="str">
            <v>항구</v>
          </cell>
          <cell r="D1535">
            <v>13</v>
          </cell>
          <cell r="E1535" t="str">
            <v>건축</v>
          </cell>
          <cell r="F1535">
            <v>4</v>
          </cell>
          <cell r="G1535" t="str">
            <v>D</v>
          </cell>
          <cell r="H1535">
            <v>1</v>
          </cell>
          <cell r="AW1535" t="str">
            <v/>
          </cell>
          <cell r="BA1535" t="str">
            <v>-</v>
          </cell>
        </row>
        <row r="1536">
          <cell r="A1536">
            <v>70412030</v>
          </cell>
          <cell r="B1536" t="str">
            <v>뤼베크</v>
          </cell>
          <cell r="C1536" t="str">
            <v>항구</v>
          </cell>
          <cell r="D1536">
            <v>13</v>
          </cell>
          <cell r="E1536" t="str">
            <v>건축</v>
          </cell>
          <cell r="F1536">
            <v>4</v>
          </cell>
          <cell r="G1536" t="str">
            <v>D</v>
          </cell>
          <cell r="H1536">
            <v>1</v>
          </cell>
          <cell r="AW1536" t="str">
            <v/>
          </cell>
          <cell r="BA1536" t="str">
            <v>-</v>
          </cell>
        </row>
        <row r="1537">
          <cell r="A1537">
            <v>70412031</v>
          </cell>
          <cell r="B1537" t="str">
            <v>리가</v>
          </cell>
          <cell r="C1537" t="str">
            <v>항구</v>
          </cell>
          <cell r="D1537">
            <v>13</v>
          </cell>
          <cell r="E1537" t="str">
            <v>건축</v>
          </cell>
          <cell r="F1537">
            <v>4</v>
          </cell>
          <cell r="G1537" t="str">
            <v>D</v>
          </cell>
          <cell r="H1537">
            <v>1</v>
          </cell>
          <cell r="AW1537" t="str">
            <v/>
          </cell>
          <cell r="BA1537" t="str">
            <v>-</v>
          </cell>
        </row>
        <row r="1538">
          <cell r="A1538">
            <v>70412032</v>
          </cell>
          <cell r="B1538" t="str">
            <v>리마</v>
          </cell>
          <cell r="C1538" t="str">
            <v>항구</v>
          </cell>
          <cell r="D1538">
            <v>13</v>
          </cell>
          <cell r="E1538" t="str">
            <v>건축</v>
          </cell>
          <cell r="F1538">
            <v>4</v>
          </cell>
          <cell r="G1538" t="str">
            <v>D</v>
          </cell>
          <cell r="H1538">
            <v>1</v>
          </cell>
          <cell r="AW1538" t="str">
            <v/>
          </cell>
          <cell r="BA1538" t="str">
            <v>-</v>
          </cell>
        </row>
        <row r="1539">
          <cell r="A1539">
            <v>70412033</v>
          </cell>
          <cell r="B1539" t="str">
            <v>리스보아</v>
          </cell>
          <cell r="C1539" t="str">
            <v>항구</v>
          </cell>
          <cell r="D1539">
            <v>13</v>
          </cell>
          <cell r="E1539" t="str">
            <v>건축</v>
          </cell>
          <cell r="F1539">
            <v>4</v>
          </cell>
          <cell r="G1539" t="str">
            <v>D</v>
          </cell>
          <cell r="H1539">
            <v>1</v>
          </cell>
          <cell r="AW1539" t="str">
            <v/>
          </cell>
          <cell r="BA1539" t="str">
            <v>-</v>
          </cell>
        </row>
        <row r="1540">
          <cell r="A1540">
            <v>70412034</v>
          </cell>
          <cell r="B1540" t="str">
            <v>리우데자네이루</v>
          </cell>
          <cell r="C1540" t="str">
            <v>항구</v>
          </cell>
          <cell r="D1540">
            <v>13</v>
          </cell>
          <cell r="E1540" t="str">
            <v>건축</v>
          </cell>
          <cell r="F1540">
            <v>4</v>
          </cell>
          <cell r="G1540" t="str">
            <v>D</v>
          </cell>
          <cell r="H1540">
            <v>1</v>
          </cell>
          <cell r="AW1540" t="str">
            <v/>
          </cell>
          <cell r="BA1540" t="str">
            <v>-</v>
          </cell>
        </row>
        <row r="1541">
          <cell r="A1541">
            <v>70412035</v>
          </cell>
          <cell r="B1541" t="str">
            <v>마닐라</v>
          </cell>
          <cell r="C1541" t="str">
            <v>항구</v>
          </cell>
          <cell r="D1541">
            <v>13</v>
          </cell>
          <cell r="E1541" t="str">
            <v>건축</v>
          </cell>
          <cell r="F1541">
            <v>4</v>
          </cell>
          <cell r="G1541" t="str">
            <v>D</v>
          </cell>
          <cell r="H1541">
            <v>1</v>
          </cell>
          <cell r="AW1541" t="str">
            <v/>
          </cell>
          <cell r="BA1541" t="str">
            <v>-</v>
          </cell>
        </row>
        <row r="1542">
          <cell r="A1542">
            <v>70412036</v>
          </cell>
          <cell r="B1542" t="str">
            <v>푼샬</v>
          </cell>
          <cell r="C1542" t="str">
            <v>항구</v>
          </cell>
          <cell r="D1542">
            <v>13</v>
          </cell>
          <cell r="E1542" t="str">
            <v>건축</v>
          </cell>
          <cell r="F1542">
            <v>4</v>
          </cell>
          <cell r="G1542" t="str">
            <v>D</v>
          </cell>
          <cell r="H1542">
            <v>1</v>
          </cell>
          <cell r="AW1542" t="str">
            <v/>
          </cell>
          <cell r="BA1542" t="str">
            <v>-</v>
          </cell>
        </row>
        <row r="1543">
          <cell r="A1543">
            <v>70412037</v>
          </cell>
          <cell r="B1543" t="str">
            <v>마라카이보</v>
          </cell>
          <cell r="C1543" t="str">
            <v>항구</v>
          </cell>
          <cell r="D1543">
            <v>13</v>
          </cell>
          <cell r="E1543" t="str">
            <v>건축</v>
          </cell>
          <cell r="F1543">
            <v>4</v>
          </cell>
          <cell r="G1543" t="str">
            <v>D</v>
          </cell>
          <cell r="H1543">
            <v>1</v>
          </cell>
          <cell r="AW1543" t="str">
            <v/>
          </cell>
          <cell r="BA1543" t="str">
            <v>-</v>
          </cell>
        </row>
        <row r="1544">
          <cell r="A1544">
            <v>70412038</v>
          </cell>
          <cell r="B1544" t="str">
            <v>포를라마르</v>
          </cell>
          <cell r="C1544" t="str">
            <v>항구</v>
          </cell>
          <cell r="D1544">
            <v>13</v>
          </cell>
          <cell r="E1544" t="str">
            <v>건축</v>
          </cell>
          <cell r="F1544">
            <v>4</v>
          </cell>
          <cell r="G1544" t="str">
            <v>D</v>
          </cell>
          <cell r="H1544">
            <v>1</v>
          </cell>
          <cell r="AW1544" t="str">
            <v/>
          </cell>
          <cell r="BA1544" t="str">
            <v>-</v>
          </cell>
        </row>
        <row r="1545">
          <cell r="A1545">
            <v>70412039</v>
          </cell>
          <cell r="B1545" t="str">
            <v>마르세유</v>
          </cell>
          <cell r="C1545" t="str">
            <v>항구</v>
          </cell>
          <cell r="D1545">
            <v>13</v>
          </cell>
          <cell r="E1545" t="str">
            <v>건축</v>
          </cell>
          <cell r="F1545">
            <v>4</v>
          </cell>
          <cell r="G1545" t="str">
            <v>D</v>
          </cell>
          <cell r="H1545">
            <v>1</v>
          </cell>
          <cell r="AW1545" t="str">
            <v/>
          </cell>
          <cell r="BA1545" t="str">
            <v>-</v>
          </cell>
        </row>
        <row r="1546">
          <cell r="A1546">
            <v>70412040</v>
          </cell>
          <cell r="B1546" t="str">
            <v>마사와</v>
          </cell>
          <cell r="C1546" t="str">
            <v>항구</v>
          </cell>
          <cell r="D1546">
            <v>13</v>
          </cell>
          <cell r="E1546" t="str">
            <v>건축</v>
          </cell>
          <cell r="F1546">
            <v>4</v>
          </cell>
          <cell r="G1546" t="str">
            <v>D</v>
          </cell>
          <cell r="H1546">
            <v>1</v>
          </cell>
          <cell r="AW1546" t="str">
            <v/>
          </cell>
          <cell r="BA1546" t="str">
            <v>-</v>
          </cell>
        </row>
        <row r="1547">
          <cell r="A1547">
            <v>70412041</v>
          </cell>
          <cell r="B1547" t="str">
            <v>마실리파트남</v>
          </cell>
          <cell r="C1547" t="str">
            <v>항구</v>
          </cell>
          <cell r="D1547">
            <v>13</v>
          </cell>
          <cell r="E1547" t="str">
            <v>건축</v>
          </cell>
          <cell r="F1547">
            <v>4</v>
          </cell>
          <cell r="G1547" t="str">
            <v>D</v>
          </cell>
          <cell r="H1547">
            <v>1</v>
          </cell>
          <cell r="AW1547" t="str">
            <v/>
          </cell>
          <cell r="BA1547" t="str">
            <v>-</v>
          </cell>
        </row>
        <row r="1548">
          <cell r="A1548">
            <v>70412042</v>
          </cell>
          <cell r="B1548" t="str">
            <v>마카사르</v>
          </cell>
          <cell r="C1548" t="str">
            <v>항구</v>
          </cell>
          <cell r="D1548">
            <v>13</v>
          </cell>
          <cell r="E1548" t="str">
            <v>건축</v>
          </cell>
          <cell r="F1548">
            <v>4</v>
          </cell>
          <cell r="G1548" t="str">
            <v>D</v>
          </cell>
          <cell r="H1548">
            <v>1</v>
          </cell>
          <cell r="AW1548" t="str">
            <v/>
          </cell>
          <cell r="BA1548" t="str">
            <v>-</v>
          </cell>
        </row>
        <row r="1549">
          <cell r="A1549">
            <v>70412043</v>
          </cell>
          <cell r="B1549" t="str">
            <v>마카오</v>
          </cell>
          <cell r="C1549" t="str">
            <v>항구</v>
          </cell>
          <cell r="D1549">
            <v>13</v>
          </cell>
          <cell r="E1549" t="str">
            <v>건축</v>
          </cell>
          <cell r="F1549">
            <v>4</v>
          </cell>
          <cell r="G1549" t="str">
            <v>D</v>
          </cell>
          <cell r="H1549">
            <v>1</v>
          </cell>
          <cell r="AW1549" t="str">
            <v/>
          </cell>
          <cell r="BA1549" t="str">
            <v>-</v>
          </cell>
        </row>
        <row r="1550">
          <cell r="A1550">
            <v>70412044</v>
          </cell>
          <cell r="B1550" t="str">
            <v>말라가</v>
          </cell>
          <cell r="C1550" t="str">
            <v>항구</v>
          </cell>
          <cell r="D1550">
            <v>13</v>
          </cell>
          <cell r="E1550" t="str">
            <v>건축</v>
          </cell>
          <cell r="F1550">
            <v>4</v>
          </cell>
          <cell r="G1550" t="str">
            <v>D</v>
          </cell>
          <cell r="H1550">
            <v>1</v>
          </cell>
          <cell r="AW1550" t="str">
            <v/>
          </cell>
          <cell r="BA1550" t="str">
            <v>-</v>
          </cell>
        </row>
        <row r="1551">
          <cell r="A1551">
            <v>70412045</v>
          </cell>
          <cell r="B1551" t="str">
            <v>믈라카</v>
          </cell>
          <cell r="C1551" t="str">
            <v>항구</v>
          </cell>
          <cell r="D1551">
            <v>13</v>
          </cell>
          <cell r="E1551" t="str">
            <v>건축</v>
          </cell>
          <cell r="F1551">
            <v>4</v>
          </cell>
          <cell r="G1551" t="str">
            <v>D</v>
          </cell>
          <cell r="H1551">
            <v>1</v>
          </cell>
          <cell r="AW1551" t="str">
            <v/>
          </cell>
          <cell r="BA1551" t="str">
            <v>-</v>
          </cell>
        </row>
        <row r="1552">
          <cell r="A1552">
            <v>70412046</v>
          </cell>
          <cell r="B1552" t="str">
            <v>말린디</v>
          </cell>
          <cell r="C1552" t="str">
            <v>항구</v>
          </cell>
          <cell r="D1552">
            <v>13</v>
          </cell>
          <cell r="E1552" t="str">
            <v>건축</v>
          </cell>
          <cell r="F1552">
            <v>4</v>
          </cell>
          <cell r="G1552" t="str">
            <v>D</v>
          </cell>
          <cell r="H1552">
            <v>1</v>
          </cell>
          <cell r="AW1552" t="str">
            <v/>
          </cell>
          <cell r="BA1552" t="str">
            <v>-</v>
          </cell>
        </row>
        <row r="1553">
          <cell r="A1553">
            <v>70412047</v>
          </cell>
          <cell r="B1553" t="str">
            <v>메리다</v>
          </cell>
          <cell r="C1553" t="str">
            <v>항구</v>
          </cell>
          <cell r="D1553">
            <v>13</v>
          </cell>
          <cell r="E1553" t="str">
            <v>건축</v>
          </cell>
          <cell r="F1553">
            <v>4</v>
          </cell>
          <cell r="G1553" t="str">
            <v>D</v>
          </cell>
          <cell r="H1553">
            <v>1</v>
          </cell>
          <cell r="AW1553" t="str">
            <v/>
          </cell>
          <cell r="BA1553" t="str">
            <v>-</v>
          </cell>
        </row>
        <row r="1554">
          <cell r="A1554">
            <v>70412048</v>
          </cell>
          <cell r="B1554" t="str">
            <v>무크디쇼</v>
          </cell>
          <cell r="C1554" t="str">
            <v>항구</v>
          </cell>
          <cell r="D1554">
            <v>13</v>
          </cell>
          <cell r="E1554" t="str">
            <v>건축</v>
          </cell>
          <cell r="F1554">
            <v>4</v>
          </cell>
          <cell r="G1554" t="str">
            <v>D</v>
          </cell>
          <cell r="H1554">
            <v>1</v>
          </cell>
          <cell r="AW1554" t="str">
            <v/>
          </cell>
          <cell r="BA1554" t="str">
            <v>-</v>
          </cell>
        </row>
        <row r="1555">
          <cell r="A1555">
            <v>70412049</v>
          </cell>
          <cell r="B1555" t="str">
            <v>모삼비크</v>
          </cell>
          <cell r="C1555" t="str">
            <v>항구</v>
          </cell>
          <cell r="D1555">
            <v>13</v>
          </cell>
          <cell r="E1555" t="str">
            <v>건축</v>
          </cell>
          <cell r="F1555">
            <v>4</v>
          </cell>
          <cell r="G1555" t="str">
            <v>D</v>
          </cell>
          <cell r="H1555">
            <v>1</v>
          </cell>
          <cell r="AW1555" t="str">
            <v/>
          </cell>
          <cell r="BA1555" t="str">
            <v>-</v>
          </cell>
        </row>
        <row r="1556">
          <cell r="A1556">
            <v>70412050</v>
          </cell>
          <cell r="B1556" t="str">
            <v>만바사</v>
          </cell>
          <cell r="C1556" t="str">
            <v>항구</v>
          </cell>
          <cell r="D1556">
            <v>13</v>
          </cell>
          <cell r="E1556" t="str">
            <v>건축</v>
          </cell>
          <cell r="F1556">
            <v>4</v>
          </cell>
          <cell r="G1556" t="str">
            <v>D</v>
          </cell>
          <cell r="H1556">
            <v>1</v>
          </cell>
          <cell r="AW1556" t="str">
            <v/>
          </cell>
          <cell r="BA1556" t="str">
            <v>-</v>
          </cell>
        </row>
        <row r="1557">
          <cell r="A1557">
            <v>70412051</v>
          </cell>
          <cell r="B1557" t="str">
            <v>몽펠리에</v>
          </cell>
          <cell r="C1557" t="str">
            <v>항구</v>
          </cell>
          <cell r="D1557">
            <v>13</v>
          </cell>
          <cell r="E1557" t="str">
            <v>건축</v>
          </cell>
          <cell r="F1557">
            <v>4</v>
          </cell>
          <cell r="G1557" t="str">
            <v>D</v>
          </cell>
          <cell r="H1557">
            <v>1</v>
          </cell>
          <cell r="AW1557" t="str">
            <v/>
          </cell>
          <cell r="BA1557" t="str">
            <v>-</v>
          </cell>
        </row>
        <row r="1558">
          <cell r="A1558">
            <v>70412052</v>
          </cell>
          <cell r="B1558" t="str">
            <v>마스카트</v>
          </cell>
          <cell r="C1558" t="str">
            <v>항구</v>
          </cell>
          <cell r="D1558">
            <v>13</v>
          </cell>
          <cell r="E1558" t="str">
            <v>건축</v>
          </cell>
          <cell r="F1558">
            <v>4</v>
          </cell>
          <cell r="G1558" t="str">
            <v>D</v>
          </cell>
          <cell r="H1558">
            <v>1</v>
          </cell>
          <cell r="AW1558" t="str">
            <v/>
          </cell>
          <cell r="BA1558" t="str">
            <v>-</v>
          </cell>
        </row>
        <row r="1559">
          <cell r="A1559">
            <v>70412053</v>
          </cell>
          <cell r="B1559" t="str">
            <v>바르셀로나</v>
          </cell>
          <cell r="C1559" t="str">
            <v>항구</v>
          </cell>
          <cell r="D1559">
            <v>13</v>
          </cell>
          <cell r="E1559" t="str">
            <v>건축</v>
          </cell>
          <cell r="F1559">
            <v>4</v>
          </cell>
          <cell r="G1559" t="str">
            <v>D</v>
          </cell>
          <cell r="H1559">
            <v>1</v>
          </cell>
          <cell r="AW1559" t="str">
            <v/>
          </cell>
          <cell r="BA1559" t="str">
            <v>-</v>
          </cell>
        </row>
        <row r="1560">
          <cell r="A1560">
            <v>70412054</v>
          </cell>
          <cell r="B1560" t="str">
            <v>알바스라</v>
          </cell>
          <cell r="C1560" t="str">
            <v>항구</v>
          </cell>
          <cell r="D1560">
            <v>13</v>
          </cell>
          <cell r="E1560" t="str">
            <v>건축</v>
          </cell>
          <cell r="F1560">
            <v>4</v>
          </cell>
          <cell r="G1560" t="str">
            <v>D</v>
          </cell>
          <cell r="H1560">
            <v>1</v>
          </cell>
          <cell r="AW1560" t="str">
            <v/>
          </cell>
          <cell r="BA1560" t="str">
            <v>-</v>
          </cell>
        </row>
        <row r="1561">
          <cell r="A1561">
            <v>70412055</v>
          </cell>
          <cell r="B1561" t="str">
            <v>바이아</v>
          </cell>
          <cell r="C1561" t="str">
            <v>항구</v>
          </cell>
          <cell r="D1561">
            <v>13</v>
          </cell>
          <cell r="E1561" t="str">
            <v>건축</v>
          </cell>
          <cell r="F1561">
            <v>4</v>
          </cell>
          <cell r="G1561" t="str">
            <v>D</v>
          </cell>
          <cell r="H1561">
            <v>1</v>
          </cell>
          <cell r="AW1561" t="str">
            <v/>
          </cell>
          <cell r="BA1561" t="str">
            <v>-</v>
          </cell>
        </row>
        <row r="1562">
          <cell r="A1562">
            <v>70412056</v>
          </cell>
          <cell r="B1562" t="str">
            <v>반다</v>
          </cell>
          <cell r="C1562" t="str">
            <v>항구</v>
          </cell>
          <cell r="D1562">
            <v>13</v>
          </cell>
          <cell r="E1562" t="str">
            <v>건축</v>
          </cell>
          <cell r="F1562">
            <v>4</v>
          </cell>
          <cell r="G1562" t="str">
            <v>D</v>
          </cell>
          <cell r="H1562">
            <v>1</v>
          </cell>
          <cell r="AW1562" t="str">
            <v/>
          </cell>
          <cell r="BA1562" t="str">
            <v>-</v>
          </cell>
        </row>
        <row r="1563">
          <cell r="A1563">
            <v>70412057</v>
          </cell>
          <cell r="B1563" t="str">
            <v>반자르마신</v>
          </cell>
          <cell r="C1563" t="str">
            <v>항구</v>
          </cell>
          <cell r="D1563">
            <v>13</v>
          </cell>
          <cell r="E1563" t="str">
            <v>건축</v>
          </cell>
          <cell r="F1563">
            <v>4</v>
          </cell>
          <cell r="G1563" t="str">
            <v>D</v>
          </cell>
          <cell r="H1563">
            <v>1</v>
          </cell>
          <cell r="AW1563" t="str">
            <v/>
          </cell>
          <cell r="BA1563" t="str">
            <v>-</v>
          </cell>
        </row>
        <row r="1564">
          <cell r="A1564">
            <v>70412058</v>
          </cell>
          <cell r="B1564" t="str">
            <v>발렌시아</v>
          </cell>
          <cell r="C1564" t="str">
            <v>항구</v>
          </cell>
          <cell r="D1564">
            <v>13</v>
          </cell>
          <cell r="E1564" t="str">
            <v>건축</v>
          </cell>
          <cell r="F1564">
            <v>4</v>
          </cell>
          <cell r="G1564" t="str">
            <v>D</v>
          </cell>
          <cell r="H1564">
            <v>1</v>
          </cell>
          <cell r="AW1564" t="str">
            <v/>
          </cell>
          <cell r="BA1564" t="str">
            <v>-</v>
          </cell>
        </row>
        <row r="1565">
          <cell r="A1565">
            <v>70412059</v>
          </cell>
          <cell r="B1565" t="str">
            <v>발파라이소</v>
          </cell>
          <cell r="C1565" t="str">
            <v>항구</v>
          </cell>
          <cell r="D1565">
            <v>13</v>
          </cell>
          <cell r="E1565" t="str">
            <v>건축</v>
          </cell>
          <cell r="F1565">
            <v>4</v>
          </cell>
          <cell r="G1565" t="str">
            <v>D</v>
          </cell>
          <cell r="H1565">
            <v>1</v>
          </cell>
          <cell r="AW1565" t="str">
            <v/>
          </cell>
          <cell r="BA1565" t="str">
            <v>-</v>
          </cell>
        </row>
        <row r="1566">
          <cell r="A1566">
            <v>70412060</v>
          </cell>
          <cell r="B1566" t="str">
            <v>팡칼피낭</v>
          </cell>
          <cell r="C1566" t="str">
            <v>항구</v>
          </cell>
          <cell r="D1566">
            <v>13</v>
          </cell>
          <cell r="E1566" t="str">
            <v>건축</v>
          </cell>
          <cell r="F1566">
            <v>4</v>
          </cell>
          <cell r="G1566" t="str">
            <v>D</v>
          </cell>
          <cell r="H1566">
            <v>1</v>
          </cell>
          <cell r="AW1566" t="str">
            <v/>
          </cell>
          <cell r="BA1566" t="str">
            <v>-</v>
          </cell>
        </row>
        <row r="1567">
          <cell r="A1567">
            <v>70412061</v>
          </cell>
          <cell r="B1567" t="str">
            <v>배로우</v>
          </cell>
          <cell r="C1567" t="str">
            <v>항구</v>
          </cell>
          <cell r="D1567">
            <v>13</v>
          </cell>
          <cell r="E1567" t="str">
            <v>건축</v>
          </cell>
          <cell r="F1567">
            <v>4</v>
          </cell>
          <cell r="G1567" t="str">
            <v>D</v>
          </cell>
          <cell r="H1567">
            <v>1</v>
          </cell>
          <cell r="AW1567" t="str">
            <v/>
          </cell>
          <cell r="BA1567" t="str">
            <v>-</v>
          </cell>
        </row>
        <row r="1568">
          <cell r="A1568">
            <v>70412062</v>
          </cell>
          <cell r="B1568" t="str">
            <v>배서스트</v>
          </cell>
          <cell r="C1568" t="str">
            <v>항구</v>
          </cell>
          <cell r="D1568">
            <v>13</v>
          </cell>
          <cell r="E1568" t="str">
            <v>건축</v>
          </cell>
          <cell r="F1568">
            <v>4</v>
          </cell>
          <cell r="G1568" t="str">
            <v>D</v>
          </cell>
          <cell r="H1568">
            <v>1</v>
          </cell>
          <cell r="AW1568" t="str">
            <v/>
          </cell>
          <cell r="BA1568" t="str">
            <v>-</v>
          </cell>
        </row>
        <row r="1569">
          <cell r="A1569">
            <v>70412063</v>
          </cell>
          <cell r="B1569" t="str">
            <v>베냉</v>
          </cell>
          <cell r="C1569" t="str">
            <v>항구</v>
          </cell>
          <cell r="D1569">
            <v>13</v>
          </cell>
          <cell r="E1569" t="str">
            <v>건축</v>
          </cell>
          <cell r="F1569">
            <v>4</v>
          </cell>
          <cell r="G1569" t="str">
            <v>D</v>
          </cell>
          <cell r="H1569">
            <v>1</v>
          </cell>
          <cell r="AW1569" t="str">
            <v/>
          </cell>
          <cell r="BA1569" t="str">
            <v>-</v>
          </cell>
        </row>
        <row r="1570">
          <cell r="A1570">
            <v>70412064</v>
          </cell>
          <cell r="B1570" t="str">
            <v>베네치아</v>
          </cell>
          <cell r="C1570" t="str">
            <v>항구</v>
          </cell>
          <cell r="D1570">
            <v>13</v>
          </cell>
          <cell r="E1570" t="str">
            <v>건축</v>
          </cell>
          <cell r="F1570">
            <v>4</v>
          </cell>
          <cell r="G1570" t="str">
            <v>D</v>
          </cell>
          <cell r="H1570">
            <v>1</v>
          </cell>
          <cell r="AW1570" t="str">
            <v/>
          </cell>
          <cell r="BA1570" t="str">
            <v>-</v>
          </cell>
        </row>
        <row r="1571">
          <cell r="A1571">
            <v>70412065</v>
          </cell>
          <cell r="B1571" t="str">
            <v>베라크루스</v>
          </cell>
          <cell r="C1571" t="str">
            <v>항구</v>
          </cell>
          <cell r="D1571">
            <v>13</v>
          </cell>
          <cell r="E1571" t="str">
            <v>건축</v>
          </cell>
          <cell r="F1571">
            <v>4</v>
          </cell>
          <cell r="G1571" t="str">
            <v>D</v>
          </cell>
          <cell r="H1571">
            <v>1</v>
          </cell>
          <cell r="AW1571" t="str">
            <v/>
          </cell>
          <cell r="BA1571" t="str">
            <v>-</v>
          </cell>
        </row>
        <row r="1572">
          <cell r="A1572">
            <v>70412066</v>
          </cell>
          <cell r="B1572" t="str">
            <v>베르겐</v>
          </cell>
          <cell r="C1572" t="str">
            <v>항구</v>
          </cell>
          <cell r="D1572">
            <v>13</v>
          </cell>
          <cell r="E1572" t="str">
            <v>건축</v>
          </cell>
          <cell r="F1572">
            <v>4</v>
          </cell>
          <cell r="G1572" t="str">
            <v>D</v>
          </cell>
          <cell r="H1572">
            <v>1</v>
          </cell>
          <cell r="AW1572" t="str">
            <v/>
          </cell>
          <cell r="BA1572" t="str">
            <v>-</v>
          </cell>
        </row>
        <row r="1573">
          <cell r="A1573">
            <v>70412067</v>
          </cell>
          <cell r="B1573" t="str">
            <v>베이루트</v>
          </cell>
          <cell r="C1573" t="str">
            <v>항구</v>
          </cell>
          <cell r="D1573">
            <v>13</v>
          </cell>
          <cell r="E1573" t="str">
            <v>건축</v>
          </cell>
          <cell r="F1573">
            <v>4</v>
          </cell>
          <cell r="G1573" t="str">
            <v>D</v>
          </cell>
          <cell r="H1573">
            <v>1</v>
          </cell>
          <cell r="AW1573" t="str">
            <v/>
          </cell>
          <cell r="BA1573" t="str">
            <v>-</v>
          </cell>
        </row>
        <row r="1574">
          <cell r="A1574">
            <v>70412068</v>
          </cell>
          <cell r="B1574" t="str">
            <v>벵가지</v>
          </cell>
          <cell r="C1574" t="str">
            <v>항구</v>
          </cell>
          <cell r="D1574">
            <v>13</v>
          </cell>
          <cell r="E1574" t="str">
            <v>건축</v>
          </cell>
          <cell r="F1574">
            <v>4</v>
          </cell>
          <cell r="G1574" t="str">
            <v>D</v>
          </cell>
          <cell r="H1574">
            <v>1</v>
          </cell>
          <cell r="AW1574" t="str">
            <v/>
          </cell>
          <cell r="BA1574" t="str">
            <v>-</v>
          </cell>
        </row>
        <row r="1575">
          <cell r="A1575">
            <v>70412069</v>
          </cell>
          <cell r="B1575" t="str">
            <v>벵겔라</v>
          </cell>
          <cell r="C1575" t="str">
            <v>항구</v>
          </cell>
          <cell r="D1575">
            <v>13</v>
          </cell>
          <cell r="E1575" t="str">
            <v>건축</v>
          </cell>
          <cell r="F1575">
            <v>4</v>
          </cell>
          <cell r="G1575" t="str">
            <v>D</v>
          </cell>
          <cell r="H1575">
            <v>1</v>
          </cell>
          <cell r="AW1575" t="str">
            <v/>
          </cell>
          <cell r="BA1575" t="str">
            <v>-</v>
          </cell>
        </row>
        <row r="1576">
          <cell r="A1576">
            <v>70412070</v>
          </cell>
          <cell r="B1576" t="str">
            <v>보르도</v>
          </cell>
          <cell r="C1576" t="str">
            <v>항구</v>
          </cell>
          <cell r="D1576">
            <v>13</v>
          </cell>
          <cell r="E1576" t="str">
            <v>건축</v>
          </cell>
          <cell r="F1576">
            <v>4</v>
          </cell>
          <cell r="G1576" t="str">
            <v>D</v>
          </cell>
          <cell r="H1576">
            <v>1</v>
          </cell>
          <cell r="AW1576" t="str">
            <v/>
          </cell>
          <cell r="BA1576" t="str">
            <v>-</v>
          </cell>
        </row>
        <row r="1577">
          <cell r="A1577">
            <v>70412071</v>
          </cell>
          <cell r="B1577" t="str">
            <v>코하셋</v>
          </cell>
          <cell r="C1577" t="str">
            <v>항구</v>
          </cell>
          <cell r="D1577">
            <v>13</v>
          </cell>
          <cell r="E1577" t="str">
            <v>건축</v>
          </cell>
          <cell r="F1577">
            <v>4</v>
          </cell>
          <cell r="G1577" t="str">
            <v>D</v>
          </cell>
          <cell r="H1577">
            <v>1</v>
          </cell>
          <cell r="AW1577" t="str">
            <v/>
          </cell>
          <cell r="BA1577" t="str">
            <v>-</v>
          </cell>
        </row>
        <row r="1578">
          <cell r="A1578">
            <v>70412072</v>
          </cell>
          <cell r="B1578" t="str">
            <v>부에노스아이레스</v>
          </cell>
          <cell r="C1578" t="str">
            <v>항구</v>
          </cell>
          <cell r="D1578">
            <v>13</v>
          </cell>
          <cell r="E1578" t="str">
            <v>건축</v>
          </cell>
          <cell r="F1578">
            <v>4</v>
          </cell>
          <cell r="G1578" t="str">
            <v>D</v>
          </cell>
          <cell r="H1578">
            <v>1</v>
          </cell>
          <cell r="AW1578" t="str">
            <v/>
          </cell>
          <cell r="BA1578" t="str">
            <v>-</v>
          </cell>
        </row>
        <row r="1579">
          <cell r="A1579">
            <v>70412073</v>
          </cell>
          <cell r="B1579" t="str">
            <v>북경</v>
          </cell>
          <cell r="C1579" t="str">
            <v>항구</v>
          </cell>
          <cell r="D1579">
            <v>13</v>
          </cell>
          <cell r="E1579" t="str">
            <v>건축</v>
          </cell>
          <cell r="F1579">
            <v>4</v>
          </cell>
          <cell r="G1579" t="str">
            <v>D</v>
          </cell>
          <cell r="H1579">
            <v>1</v>
          </cell>
          <cell r="AW1579" t="str">
            <v/>
          </cell>
          <cell r="BA1579" t="str">
            <v>-</v>
          </cell>
        </row>
        <row r="1580">
          <cell r="A1580">
            <v>70412074</v>
          </cell>
          <cell r="B1580" t="str">
            <v>브레멘</v>
          </cell>
          <cell r="C1580" t="str">
            <v>항구</v>
          </cell>
          <cell r="D1580">
            <v>13</v>
          </cell>
          <cell r="E1580" t="str">
            <v>건축</v>
          </cell>
          <cell r="F1580">
            <v>4</v>
          </cell>
          <cell r="G1580" t="str">
            <v>D</v>
          </cell>
          <cell r="H1580">
            <v>1</v>
          </cell>
          <cell r="AW1580" t="str">
            <v/>
          </cell>
          <cell r="BA1580" t="str">
            <v>-</v>
          </cell>
        </row>
        <row r="1581">
          <cell r="A1581">
            <v>70412075</v>
          </cell>
          <cell r="B1581" t="str">
            <v>브루네이</v>
          </cell>
          <cell r="C1581" t="str">
            <v>항구</v>
          </cell>
          <cell r="D1581">
            <v>13</v>
          </cell>
          <cell r="E1581" t="str">
            <v>건축</v>
          </cell>
          <cell r="F1581">
            <v>4</v>
          </cell>
          <cell r="G1581" t="str">
            <v>D</v>
          </cell>
          <cell r="H1581">
            <v>1</v>
          </cell>
          <cell r="AW1581" t="str">
            <v/>
          </cell>
          <cell r="BA1581" t="str">
            <v>-</v>
          </cell>
        </row>
        <row r="1582">
          <cell r="A1582">
            <v>70412076</v>
          </cell>
          <cell r="B1582" t="str">
            <v>브리스틀</v>
          </cell>
          <cell r="C1582" t="str">
            <v>항구</v>
          </cell>
          <cell r="D1582">
            <v>13</v>
          </cell>
          <cell r="E1582" t="str">
            <v>건축</v>
          </cell>
          <cell r="F1582">
            <v>4</v>
          </cell>
          <cell r="G1582" t="str">
            <v>D</v>
          </cell>
          <cell r="H1582">
            <v>1</v>
          </cell>
          <cell r="AW1582" t="str">
            <v/>
          </cell>
          <cell r="BA1582" t="str">
            <v>-</v>
          </cell>
        </row>
        <row r="1583">
          <cell r="A1583">
            <v>70412077</v>
          </cell>
          <cell r="B1583" t="str">
            <v>비사우</v>
          </cell>
          <cell r="C1583" t="str">
            <v>항구</v>
          </cell>
          <cell r="D1583">
            <v>13</v>
          </cell>
          <cell r="E1583" t="str">
            <v>건축</v>
          </cell>
          <cell r="F1583">
            <v>4</v>
          </cell>
          <cell r="G1583" t="str">
            <v>D</v>
          </cell>
          <cell r="H1583">
            <v>1</v>
          </cell>
          <cell r="AW1583" t="str">
            <v/>
          </cell>
          <cell r="BA1583" t="str">
            <v>-</v>
          </cell>
        </row>
        <row r="1584">
          <cell r="A1584">
            <v>70412078</v>
          </cell>
          <cell r="B1584" t="str">
            <v>비스뷔</v>
          </cell>
          <cell r="C1584" t="str">
            <v>항구</v>
          </cell>
          <cell r="D1584">
            <v>13</v>
          </cell>
          <cell r="E1584" t="str">
            <v>건축</v>
          </cell>
          <cell r="F1584">
            <v>4</v>
          </cell>
          <cell r="G1584" t="str">
            <v>D</v>
          </cell>
          <cell r="H1584">
            <v>1</v>
          </cell>
          <cell r="AW1584" t="str">
            <v/>
          </cell>
          <cell r="BA1584" t="str">
            <v>-</v>
          </cell>
        </row>
        <row r="1585">
          <cell r="A1585">
            <v>70412079</v>
          </cell>
          <cell r="B1585" t="str">
            <v>나르비크</v>
          </cell>
          <cell r="C1585" t="str">
            <v>항구</v>
          </cell>
          <cell r="D1585">
            <v>13</v>
          </cell>
          <cell r="E1585" t="str">
            <v>건축</v>
          </cell>
          <cell r="F1585">
            <v>4</v>
          </cell>
          <cell r="G1585" t="str">
            <v>D</v>
          </cell>
          <cell r="H1585">
            <v>1</v>
          </cell>
          <cell r="AW1585" t="str">
            <v/>
          </cell>
          <cell r="BA1585" t="str">
            <v>-</v>
          </cell>
        </row>
        <row r="1586">
          <cell r="A1586">
            <v>70412080</v>
          </cell>
          <cell r="B1586" t="str">
            <v>빌렘스타트</v>
          </cell>
          <cell r="C1586" t="str">
            <v>항구</v>
          </cell>
          <cell r="D1586">
            <v>13</v>
          </cell>
          <cell r="E1586" t="str">
            <v>건축</v>
          </cell>
          <cell r="F1586">
            <v>4</v>
          </cell>
          <cell r="G1586" t="str">
            <v>D</v>
          </cell>
          <cell r="H1586">
            <v>1</v>
          </cell>
          <cell r="AW1586" t="str">
            <v/>
          </cell>
          <cell r="BA1586" t="str">
            <v>-</v>
          </cell>
        </row>
        <row r="1587">
          <cell r="A1587">
            <v>70412081</v>
          </cell>
          <cell r="B1587" t="str">
            <v>사마라이</v>
          </cell>
          <cell r="C1587" t="str">
            <v>항구</v>
          </cell>
          <cell r="D1587">
            <v>13</v>
          </cell>
          <cell r="E1587" t="str">
            <v>건축</v>
          </cell>
          <cell r="F1587">
            <v>4</v>
          </cell>
          <cell r="G1587" t="str">
            <v>D</v>
          </cell>
          <cell r="H1587">
            <v>1</v>
          </cell>
          <cell r="AW1587" t="str">
            <v/>
          </cell>
          <cell r="BA1587" t="str">
            <v>-</v>
          </cell>
        </row>
        <row r="1588">
          <cell r="A1588">
            <v>70412082</v>
          </cell>
          <cell r="B1588" t="str">
            <v>사사리</v>
          </cell>
          <cell r="C1588" t="str">
            <v>항구</v>
          </cell>
          <cell r="D1588">
            <v>13</v>
          </cell>
          <cell r="E1588" t="str">
            <v>건축</v>
          </cell>
          <cell r="F1588">
            <v>4</v>
          </cell>
          <cell r="G1588" t="str">
            <v>D</v>
          </cell>
          <cell r="H1588">
            <v>1</v>
          </cell>
          <cell r="AW1588" t="str">
            <v/>
          </cell>
          <cell r="BA1588" t="str">
            <v>-</v>
          </cell>
        </row>
        <row r="1589">
          <cell r="A1589">
            <v>70412083</v>
          </cell>
          <cell r="B1589" t="str">
            <v>사카이</v>
          </cell>
          <cell r="C1589" t="str">
            <v>항구</v>
          </cell>
          <cell r="D1589">
            <v>13</v>
          </cell>
          <cell r="E1589" t="str">
            <v>건축</v>
          </cell>
          <cell r="F1589">
            <v>4</v>
          </cell>
          <cell r="G1589" t="str">
            <v>D</v>
          </cell>
          <cell r="H1589">
            <v>1</v>
          </cell>
          <cell r="AW1589" t="str">
            <v/>
          </cell>
          <cell r="BA1589" t="str">
            <v>-</v>
          </cell>
        </row>
        <row r="1590">
          <cell r="A1590">
            <v>70412084</v>
          </cell>
          <cell r="B1590" t="str">
            <v>산토도밍고</v>
          </cell>
          <cell r="C1590" t="str">
            <v>항구</v>
          </cell>
          <cell r="D1590">
            <v>13</v>
          </cell>
          <cell r="E1590" t="str">
            <v>건축</v>
          </cell>
          <cell r="F1590">
            <v>4</v>
          </cell>
          <cell r="G1590" t="str">
            <v>D</v>
          </cell>
          <cell r="H1590">
            <v>1</v>
          </cell>
          <cell r="AW1590" t="str">
            <v/>
          </cell>
          <cell r="BA1590" t="str">
            <v>-</v>
          </cell>
        </row>
        <row r="1591">
          <cell r="A1591">
            <v>70412085</v>
          </cell>
          <cell r="B1591" t="str">
            <v>산티아고</v>
          </cell>
          <cell r="C1591" t="str">
            <v>항구</v>
          </cell>
          <cell r="D1591">
            <v>13</v>
          </cell>
          <cell r="E1591" t="str">
            <v>건축</v>
          </cell>
          <cell r="F1591">
            <v>4</v>
          </cell>
          <cell r="G1591" t="str">
            <v>D</v>
          </cell>
          <cell r="H1591">
            <v>1</v>
          </cell>
          <cell r="AW1591" t="str">
            <v/>
          </cell>
          <cell r="BA1591" t="str">
            <v>-</v>
          </cell>
        </row>
        <row r="1592">
          <cell r="A1592">
            <v>70412086</v>
          </cell>
          <cell r="B1592" t="str">
            <v>산후안</v>
          </cell>
          <cell r="C1592" t="str">
            <v>항구</v>
          </cell>
          <cell r="D1592">
            <v>13</v>
          </cell>
          <cell r="E1592" t="str">
            <v>건축</v>
          </cell>
          <cell r="F1592">
            <v>4</v>
          </cell>
          <cell r="G1592" t="str">
            <v>D</v>
          </cell>
          <cell r="H1592">
            <v>1</v>
          </cell>
          <cell r="AW1592" t="str">
            <v/>
          </cell>
          <cell r="BA1592" t="str">
            <v>-</v>
          </cell>
        </row>
        <row r="1593">
          <cell r="A1593">
            <v>70412087</v>
          </cell>
          <cell r="B1593" t="str">
            <v>상토메</v>
          </cell>
          <cell r="C1593" t="str">
            <v>항구</v>
          </cell>
          <cell r="D1593">
            <v>13</v>
          </cell>
          <cell r="E1593" t="str">
            <v>건축</v>
          </cell>
          <cell r="F1593">
            <v>4</v>
          </cell>
          <cell r="G1593" t="str">
            <v>D</v>
          </cell>
          <cell r="H1593">
            <v>1</v>
          </cell>
          <cell r="AW1593" t="str">
            <v/>
          </cell>
          <cell r="BA1593" t="str">
            <v>-</v>
          </cell>
        </row>
        <row r="1594">
          <cell r="A1594">
            <v>70412088</v>
          </cell>
          <cell r="B1594" t="str">
            <v>상트페테르부르크</v>
          </cell>
          <cell r="C1594" t="str">
            <v>항구</v>
          </cell>
          <cell r="D1594">
            <v>13</v>
          </cell>
          <cell r="E1594" t="str">
            <v>건축</v>
          </cell>
          <cell r="F1594">
            <v>4</v>
          </cell>
          <cell r="G1594" t="str">
            <v>D</v>
          </cell>
          <cell r="H1594">
            <v>1</v>
          </cell>
          <cell r="AW1594" t="str">
            <v/>
          </cell>
          <cell r="BA1594" t="str">
            <v>-</v>
          </cell>
        </row>
        <row r="1595">
          <cell r="A1595">
            <v>70412089</v>
          </cell>
          <cell r="B1595" t="str">
            <v>오흘론</v>
          </cell>
          <cell r="C1595" t="str">
            <v>항구</v>
          </cell>
          <cell r="D1595">
            <v>13</v>
          </cell>
          <cell r="E1595" t="str">
            <v>건축</v>
          </cell>
          <cell r="F1595">
            <v>4</v>
          </cell>
          <cell r="G1595" t="str">
            <v>D</v>
          </cell>
          <cell r="H1595">
            <v>1</v>
          </cell>
          <cell r="AW1595" t="str">
            <v/>
          </cell>
          <cell r="BA1595" t="str">
            <v>-</v>
          </cell>
        </row>
        <row r="1596">
          <cell r="A1596">
            <v>70412090</v>
          </cell>
          <cell r="B1596" t="str">
            <v>서안</v>
          </cell>
          <cell r="C1596" t="str">
            <v>항구</v>
          </cell>
          <cell r="D1596">
            <v>13</v>
          </cell>
          <cell r="E1596" t="str">
            <v>건축</v>
          </cell>
          <cell r="F1596">
            <v>4</v>
          </cell>
          <cell r="G1596" t="str">
            <v>D</v>
          </cell>
          <cell r="H1596">
            <v>1</v>
          </cell>
          <cell r="AW1596" t="str">
            <v/>
          </cell>
          <cell r="BA1596" t="str">
            <v>-</v>
          </cell>
        </row>
        <row r="1597">
          <cell r="A1597">
            <v>70412091</v>
          </cell>
          <cell r="B1597" t="str">
            <v>세비야</v>
          </cell>
          <cell r="C1597" t="str">
            <v>항구</v>
          </cell>
          <cell r="D1597">
            <v>13</v>
          </cell>
          <cell r="E1597" t="str">
            <v>건축</v>
          </cell>
          <cell r="F1597">
            <v>4</v>
          </cell>
          <cell r="G1597" t="str">
            <v>D</v>
          </cell>
          <cell r="H1597">
            <v>1</v>
          </cell>
          <cell r="AW1597" t="str">
            <v/>
          </cell>
          <cell r="BA1597" t="str">
            <v>-</v>
          </cell>
        </row>
        <row r="1598">
          <cell r="A1598">
            <v>70412092</v>
          </cell>
          <cell r="B1598" t="str">
            <v>세우타</v>
          </cell>
          <cell r="C1598" t="str">
            <v>항구</v>
          </cell>
          <cell r="D1598">
            <v>13</v>
          </cell>
          <cell r="E1598" t="str">
            <v>건축</v>
          </cell>
          <cell r="F1598">
            <v>4</v>
          </cell>
          <cell r="G1598" t="str">
            <v>D</v>
          </cell>
          <cell r="H1598">
            <v>1</v>
          </cell>
          <cell r="AW1598" t="str">
            <v/>
          </cell>
          <cell r="BA1598" t="str">
            <v>-</v>
          </cell>
        </row>
        <row r="1599">
          <cell r="A1599">
            <v>70412093</v>
          </cell>
          <cell r="B1599" t="str">
            <v>엘미나</v>
          </cell>
          <cell r="C1599" t="str">
            <v>항구</v>
          </cell>
          <cell r="D1599">
            <v>13</v>
          </cell>
          <cell r="E1599" t="str">
            <v>건축</v>
          </cell>
          <cell r="F1599">
            <v>4</v>
          </cell>
          <cell r="G1599" t="str">
            <v>D</v>
          </cell>
          <cell r="H1599">
            <v>1</v>
          </cell>
          <cell r="AW1599" t="str">
            <v/>
          </cell>
          <cell r="BA1599" t="str">
            <v>-</v>
          </cell>
        </row>
        <row r="1600">
          <cell r="A1600">
            <v>70412094</v>
          </cell>
          <cell r="B1600" t="str">
            <v>소팔라</v>
          </cell>
          <cell r="C1600" t="str">
            <v>항구</v>
          </cell>
          <cell r="D1600">
            <v>13</v>
          </cell>
          <cell r="E1600" t="str">
            <v>건축</v>
          </cell>
          <cell r="F1600">
            <v>4</v>
          </cell>
          <cell r="G1600" t="str">
            <v>D</v>
          </cell>
          <cell r="H1600">
            <v>1</v>
          </cell>
          <cell r="AW1600" t="str">
            <v/>
          </cell>
          <cell r="BA1600" t="str">
            <v>-</v>
          </cell>
        </row>
        <row r="1601">
          <cell r="A1601">
            <v>70412095</v>
          </cell>
          <cell r="B1601" t="str">
            <v>수라바야</v>
          </cell>
          <cell r="C1601" t="str">
            <v>항구</v>
          </cell>
          <cell r="D1601">
            <v>13</v>
          </cell>
          <cell r="E1601" t="str">
            <v>건축</v>
          </cell>
          <cell r="F1601">
            <v>4</v>
          </cell>
          <cell r="G1601" t="str">
            <v>D</v>
          </cell>
          <cell r="H1601">
            <v>1</v>
          </cell>
          <cell r="AW1601" t="str">
            <v/>
          </cell>
          <cell r="BA1601" t="str">
            <v>-</v>
          </cell>
        </row>
        <row r="1602">
          <cell r="A1602">
            <v>70412096</v>
          </cell>
          <cell r="B1602" t="str">
            <v>앗수웨이스</v>
          </cell>
          <cell r="C1602" t="str">
            <v>항구</v>
          </cell>
          <cell r="D1602">
            <v>13</v>
          </cell>
          <cell r="E1602" t="str">
            <v>건축</v>
          </cell>
          <cell r="F1602">
            <v>4</v>
          </cell>
          <cell r="G1602" t="str">
            <v>D</v>
          </cell>
          <cell r="H1602">
            <v>1</v>
          </cell>
          <cell r="AW1602" t="str">
            <v/>
          </cell>
          <cell r="BA1602" t="str">
            <v>-</v>
          </cell>
        </row>
        <row r="1603">
          <cell r="A1603">
            <v>70412097</v>
          </cell>
          <cell r="B1603" t="str">
            <v>스톡홀름</v>
          </cell>
          <cell r="C1603" t="str">
            <v>항구</v>
          </cell>
          <cell r="D1603">
            <v>13</v>
          </cell>
          <cell r="E1603" t="str">
            <v>건축</v>
          </cell>
          <cell r="F1603">
            <v>4</v>
          </cell>
          <cell r="G1603" t="str">
            <v>D</v>
          </cell>
          <cell r="H1603">
            <v>1</v>
          </cell>
          <cell r="AW1603" t="str">
            <v/>
          </cell>
          <cell r="BA1603" t="str">
            <v>-</v>
          </cell>
        </row>
        <row r="1604">
          <cell r="A1604">
            <v>70412098</v>
          </cell>
          <cell r="B1604" t="str">
            <v>시라즈</v>
          </cell>
          <cell r="C1604" t="str">
            <v>항구</v>
          </cell>
          <cell r="D1604">
            <v>13</v>
          </cell>
          <cell r="E1604" t="str">
            <v>건축</v>
          </cell>
          <cell r="F1604">
            <v>4</v>
          </cell>
          <cell r="G1604" t="str">
            <v>D</v>
          </cell>
          <cell r="H1604">
            <v>1</v>
          </cell>
          <cell r="AW1604" t="str">
            <v/>
          </cell>
          <cell r="BA1604" t="str">
            <v>-</v>
          </cell>
        </row>
        <row r="1605">
          <cell r="A1605">
            <v>70412099</v>
          </cell>
          <cell r="B1605" t="str">
            <v>시라쿠자</v>
          </cell>
          <cell r="C1605" t="str">
            <v>항구</v>
          </cell>
          <cell r="D1605">
            <v>13</v>
          </cell>
          <cell r="E1605" t="str">
            <v>건축</v>
          </cell>
          <cell r="F1605">
            <v>4</v>
          </cell>
          <cell r="G1605" t="str">
            <v>D</v>
          </cell>
          <cell r="H1605">
            <v>1</v>
          </cell>
          <cell r="AW1605" t="str">
            <v/>
          </cell>
          <cell r="BA1605" t="str">
            <v>-</v>
          </cell>
        </row>
        <row r="1606">
          <cell r="A1606">
            <v>70412100</v>
          </cell>
          <cell r="B1606" t="str">
            <v>시에라리온</v>
          </cell>
          <cell r="C1606" t="str">
            <v>항구</v>
          </cell>
          <cell r="D1606">
            <v>13</v>
          </cell>
          <cell r="E1606" t="str">
            <v>건축</v>
          </cell>
          <cell r="F1606">
            <v>4</v>
          </cell>
          <cell r="G1606" t="str">
            <v>D</v>
          </cell>
          <cell r="H1606">
            <v>1</v>
          </cell>
          <cell r="AW1606" t="str">
            <v/>
          </cell>
          <cell r="BA1606" t="str">
            <v>-</v>
          </cell>
        </row>
        <row r="1607">
          <cell r="A1607">
            <v>70412101</v>
          </cell>
          <cell r="B1607" t="str">
            <v>코테</v>
          </cell>
          <cell r="C1607" t="str">
            <v>항구</v>
          </cell>
          <cell r="D1607">
            <v>13</v>
          </cell>
          <cell r="E1607" t="str">
            <v>건축</v>
          </cell>
          <cell r="F1607">
            <v>4</v>
          </cell>
          <cell r="G1607" t="str">
            <v>D</v>
          </cell>
          <cell r="H1607">
            <v>1</v>
          </cell>
          <cell r="AW1607" t="str">
            <v/>
          </cell>
          <cell r="BA1607" t="str">
            <v>-</v>
          </cell>
        </row>
        <row r="1608">
          <cell r="A1608">
            <v>70412102</v>
          </cell>
          <cell r="B1608" t="str">
            <v>아딘</v>
          </cell>
          <cell r="C1608" t="str">
            <v>항구</v>
          </cell>
          <cell r="D1608">
            <v>13</v>
          </cell>
          <cell r="E1608" t="str">
            <v>건축</v>
          </cell>
          <cell r="F1608">
            <v>4</v>
          </cell>
          <cell r="G1608" t="str">
            <v>D</v>
          </cell>
          <cell r="H1608">
            <v>1</v>
          </cell>
          <cell r="AW1608" t="str">
            <v/>
          </cell>
          <cell r="BA1608" t="str">
            <v>-</v>
          </cell>
        </row>
        <row r="1609">
          <cell r="A1609">
            <v>70412103</v>
          </cell>
          <cell r="B1609" t="str">
            <v>아르김</v>
          </cell>
          <cell r="C1609" t="str">
            <v>항구</v>
          </cell>
          <cell r="D1609">
            <v>13</v>
          </cell>
          <cell r="E1609" t="str">
            <v>건축</v>
          </cell>
          <cell r="F1609">
            <v>4</v>
          </cell>
          <cell r="G1609" t="str">
            <v>D</v>
          </cell>
          <cell r="H1609">
            <v>1</v>
          </cell>
          <cell r="AW1609" t="str">
            <v/>
          </cell>
          <cell r="BA1609" t="str">
            <v>-</v>
          </cell>
        </row>
        <row r="1610">
          <cell r="A1610">
            <v>70412104</v>
          </cell>
          <cell r="B1610" t="str">
            <v>아르한겔스크</v>
          </cell>
          <cell r="C1610" t="str">
            <v>항구</v>
          </cell>
          <cell r="D1610">
            <v>13</v>
          </cell>
          <cell r="E1610" t="str">
            <v>건축</v>
          </cell>
          <cell r="F1610">
            <v>4</v>
          </cell>
          <cell r="G1610" t="str">
            <v>D</v>
          </cell>
          <cell r="H1610">
            <v>1</v>
          </cell>
          <cell r="AW1610" t="str">
            <v/>
          </cell>
          <cell r="BA1610" t="str">
            <v>-</v>
          </cell>
        </row>
        <row r="1611">
          <cell r="A1611">
            <v>70412105</v>
          </cell>
          <cell r="B1611" t="str">
            <v>아바나</v>
          </cell>
          <cell r="C1611" t="str">
            <v>항구</v>
          </cell>
          <cell r="D1611">
            <v>13</v>
          </cell>
          <cell r="E1611" t="str">
            <v>건축</v>
          </cell>
          <cell r="F1611">
            <v>4</v>
          </cell>
          <cell r="G1611" t="str">
            <v>D</v>
          </cell>
          <cell r="H1611">
            <v>1</v>
          </cell>
          <cell r="AW1611" t="str">
            <v/>
          </cell>
          <cell r="BA1611" t="str">
            <v>-</v>
          </cell>
        </row>
        <row r="1612">
          <cell r="A1612">
            <v>70412106</v>
          </cell>
          <cell r="B1612" t="str">
            <v>아비장</v>
          </cell>
          <cell r="C1612" t="str">
            <v>항구</v>
          </cell>
          <cell r="D1612">
            <v>13</v>
          </cell>
          <cell r="E1612" t="str">
            <v>건축</v>
          </cell>
          <cell r="F1612">
            <v>4</v>
          </cell>
          <cell r="G1612" t="str">
            <v>D</v>
          </cell>
          <cell r="H1612">
            <v>1</v>
          </cell>
          <cell r="AW1612" t="str">
            <v/>
          </cell>
          <cell r="BA1612" t="str">
            <v>-</v>
          </cell>
        </row>
        <row r="1613">
          <cell r="A1613">
            <v>70412107</v>
          </cell>
          <cell r="B1613" t="str">
            <v>아체</v>
          </cell>
          <cell r="C1613" t="str">
            <v>항구</v>
          </cell>
          <cell r="D1613">
            <v>13</v>
          </cell>
          <cell r="E1613" t="str">
            <v>건축</v>
          </cell>
          <cell r="F1613">
            <v>4</v>
          </cell>
          <cell r="G1613" t="str">
            <v>D</v>
          </cell>
          <cell r="H1613">
            <v>1</v>
          </cell>
          <cell r="AW1613" t="str">
            <v/>
          </cell>
          <cell r="BA1613" t="str">
            <v>-</v>
          </cell>
        </row>
        <row r="1614">
          <cell r="A1614">
            <v>70412108</v>
          </cell>
          <cell r="B1614" t="str">
            <v>아카풀코</v>
          </cell>
          <cell r="C1614" t="str">
            <v>항구</v>
          </cell>
          <cell r="D1614">
            <v>13</v>
          </cell>
          <cell r="E1614" t="str">
            <v>건축</v>
          </cell>
          <cell r="F1614">
            <v>4</v>
          </cell>
          <cell r="G1614" t="str">
            <v>D</v>
          </cell>
          <cell r="H1614">
            <v>1</v>
          </cell>
          <cell r="AW1614" t="str">
            <v/>
          </cell>
          <cell r="BA1614" t="str">
            <v>-</v>
          </cell>
        </row>
        <row r="1615">
          <cell r="A1615">
            <v>70412109</v>
          </cell>
          <cell r="B1615" t="str">
            <v>아티나</v>
          </cell>
          <cell r="C1615" t="str">
            <v>항구</v>
          </cell>
          <cell r="D1615">
            <v>13</v>
          </cell>
          <cell r="E1615" t="str">
            <v>건축</v>
          </cell>
          <cell r="F1615">
            <v>4</v>
          </cell>
          <cell r="G1615" t="str">
            <v>D</v>
          </cell>
          <cell r="H1615">
            <v>1</v>
          </cell>
          <cell r="AW1615" t="str">
            <v/>
          </cell>
          <cell r="BA1615" t="str">
            <v>-</v>
          </cell>
        </row>
        <row r="1616">
          <cell r="A1616">
            <v>70412110</v>
          </cell>
          <cell r="B1616" t="str">
            <v>안코나</v>
          </cell>
          <cell r="C1616" t="str">
            <v>항구</v>
          </cell>
          <cell r="D1616">
            <v>13</v>
          </cell>
          <cell r="E1616" t="str">
            <v>건축</v>
          </cell>
          <cell r="F1616">
            <v>4</v>
          </cell>
          <cell r="G1616" t="str">
            <v>D</v>
          </cell>
          <cell r="H1616">
            <v>1</v>
          </cell>
          <cell r="AW1616" t="str">
            <v/>
          </cell>
          <cell r="BA1616" t="str">
            <v>-</v>
          </cell>
        </row>
        <row r="1617">
          <cell r="A1617">
            <v>70412111</v>
          </cell>
          <cell r="B1617" t="str">
            <v>안트베르펜</v>
          </cell>
          <cell r="C1617" t="str">
            <v>항구</v>
          </cell>
          <cell r="D1617">
            <v>13</v>
          </cell>
          <cell r="E1617" t="str">
            <v>건축</v>
          </cell>
          <cell r="F1617">
            <v>4</v>
          </cell>
          <cell r="G1617" t="str">
            <v>D</v>
          </cell>
          <cell r="H1617">
            <v>1</v>
          </cell>
          <cell r="AW1617" t="str">
            <v/>
          </cell>
          <cell r="BA1617" t="str">
            <v>-</v>
          </cell>
        </row>
        <row r="1618">
          <cell r="A1618">
            <v>70412112</v>
          </cell>
          <cell r="B1618" t="str">
            <v>알이스칸다리야</v>
          </cell>
          <cell r="C1618" t="str">
            <v>항구</v>
          </cell>
          <cell r="D1618">
            <v>13</v>
          </cell>
          <cell r="E1618" t="str">
            <v>건축</v>
          </cell>
          <cell r="F1618">
            <v>4</v>
          </cell>
          <cell r="G1618" t="str">
            <v>D</v>
          </cell>
          <cell r="H1618">
            <v>1</v>
          </cell>
          <cell r="AW1618" t="str">
            <v/>
          </cell>
          <cell r="BA1618" t="str">
            <v>-</v>
          </cell>
        </row>
        <row r="1619">
          <cell r="A1619">
            <v>70412113</v>
          </cell>
          <cell r="B1619" t="str">
            <v>알제</v>
          </cell>
          <cell r="C1619" t="str">
            <v>항구</v>
          </cell>
          <cell r="D1619">
            <v>13</v>
          </cell>
          <cell r="E1619" t="str">
            <v>건축</v>
          </cell>
          <cell r="F1619">
            <v>4</v>
          </cell>
          <cell r="G1619" t="str">
            <v>D</v>
          </cell>
          <cell r="H1619">
            <v>1</v>
          </cell>
          <cell r="AW1619" t="str">
            <v/>
          </cell>
          <cell r="BA1619" t="str">
            <v>-</v>
          </cell>
        </row>
        <row r="1620">
          <cell r="A1620">
            <v>70412114</v>
          </cell>
          <cell r="B1620" t="str">
            <v>암본</v>
          </cell>
          <cell r="C1620" t="str">
            <v>항구</v>
          </cell>
          <cell r="D1620">
            <v>13</v>
          </cell>
          <cell r="E1620" t="str">
            <v>건축</v>
          </cell>
          <cell r="F1620">
            <v>4</v>
          </cell>
          <cell r="G1620" t="str">
            <v>D</v>
          </cell>
          <cell r="H1620">
            <v>1</v>
          </cell>
          <cell r="AW1620" t="str">
            <v/>
          </cell>
          <cell r="BA1620" t="str">
            <v>-</v>
          </cell>
        </row>
        <row r="1621">
          <cell r="A1621">
            <v>70412115</v>
          </cell>
          <cell r="B1621" t="str">
            <v>암스테르담</v>
          </cell>
          <cell r="C1621" t="str">
            <v>항구</v>
          </cell>
          <cell r="D1621">
            <v>13</v>
          </cell>
          <cell r="E1621" t="str">
            <v>건축</v>
          </cell>
          <cell r="F1621">
            <v>4</v>
          </cell>
          <cell r="G1621" t="str">
            <v>D</v>
          </cell>
          <cell r="H1621">
            <v>1</v>
          </cell>
          <cell r="AW1621" t="str">
            <v/>
          </cell>
          <cell r="BA1621" t="str">
            <v>-</v>
          </cell>
        </row>
        <row r="1622">
          <cell r="A1622">
            <v>70412116</v>
          </cell>
          <cell r="B1622" t="str">
            <v>야파</v>
          </cell>
          <cell r="C1622" t="str">
            <v>항구</v>
          </cell>
          <cell r="D1622">
            <v>13</v>
          </cell>
          <cell r="E1622" t="str">
            <v>건축</v>
          </cell>
          <cell r="F1622">
            <v>4</v>
          </cell>
          <cell r="G1622" t="str">
            <v>D</v>
          </cell>
          <cell r="H1622">
            <v>1</v>
          </cell>
          <cell r="AW1622" t="str">
            <v/>
          </cell>
          <cell r="BA1622" t="str">
            <v>-</v>
          </cell>
        </row>
        <row r="1623">
          <cell r="A1623">
            <v>70412117</v>
          </cell>
          <cell r="B1623" t="str">
            <v>어널래스카</v>
          </cell>
          <cell r="C1623" t="str">
            <v>항구</v>
          </cell>
          <cell r="D1623">
            <v>13</v>
          </cell>
          <cell r="E1623" t="str">
            <v>건축</v>
          </cell>
          <cell r="F1623">
            <v>4</v>
          </cell>
          <cell r="G1623" t="str">
            <v>D</v>
          </cell>
          <cell r="H1623">
            <v>1</v>
          </cell>
          <cell r="AW1623" t="str">
            <v/>
          </cell>
          <cell r="BA1623" t="str">
            <v>-</v>
          </cell>
        </row>
        <row r="1624">
          <cell r="A1624">
            <v>70412118</v>
          </cell>
          <cell r="B1624" t="str">
            <v>에도</v>
          </cell>
          <cell r="C1624" t="str">
            <v>항구</v>
          </cell>
          <cell r="D1624">
            <v>13</v>
          </cell>
          <cell r="E1624" t="str">
            <v>건축</v>
          </cell>
          <cell r="F1624">
            <v>4</v>
          </cell>
          <cell r="G1624" t="str">
            <v>D</v>
          </cell>
          <cell r="H1624">
            <v>1</v>
          </cell>
          <cell r="AW1624" t="str">
            <v/>
          </cell>
          <cell r="BA1624" t="str">
            <v>-</v>
          </cell>
        </row>
        <row r="1625">
          <cell r="A1625">
            <v>70412119</v>
          </cell>
          <cell r="B1625" t="str">
            <v>에든버러</v>
          </cell>
          <cell r="C1625" t="str">
            <v>항구</v>
          </cell>
          <cell r="D1625">
            <v>13</v>
          </cell>
          <cell r="E1625" t="str">
            <v>건축</v>
          </cell>
          <cell r="F1625">
            <v>4</v>
          </cell>
          <cell r="G1625" t="str">
            <v>D</v>
          </cell>
          <cell r="H1625">
            <v>1</v>
          </cell>
          <cell r="AW1625" t="str">
            <v/>
          </cell>
          <cell r="BA1625" t="str">
            <v>-</v>
          </cell>
        </row>
        <row r="1626">
          <cell r="A1626">
            <v>70412120</v>
          </cell>
          <cell r="B1626" t="str">
            <v>연운</v>
          </cell>
          <cell r="C1626" t="str">
            <v>항구</v>
          </cell>
          <cell r="D1626">
            <v>13</v>
          </cell>
          <cell r="E1626" t="str">
            <v>건축</v>
          </cell>
          <cell r="F1626">
            <v>4</v>
          </cell>
          <cell r="G1626" t="str">
            <v>D</v>
          </cell>
          <cell r="H1626">
            <v>1</v>
          </cell>
          <cell r="AW1626" t="str">
            <v/>
          </cell>
          <cell r="BA1626" t="str">
            <v>-</v>
          </cell>
        </row>
        <row r="1627">
          <cell r="A1627">
            <v>70412121</v>
          </cell>
          <cell r="B1627" t="str">
            <v>영일</v>
          </cell>
          <cell r="C1627" t="str">
            <v>항구</v>
          </cell>
          <cell r="D1627">
            <v>13</v>
          </cell>
          <cell r="E1627" t="str">
            <v>건축</v>
          </cell>
          <cell r="F1627">
            <v>4</v>
          </cell>
          <cell r="G1627" t="str">
            <v>D</v>
          </cell>
          <cell r="H1627">
            <v>1</v>
          </cell>
          <cell r="AW1627" t="str">
            <v/>
          </cell>
          <cell r="BA1627" t="str">
            <v>-</v>
          </cell>
        </row>
        <row r="1628">
          <cell r="A1628">
            <v>70412122</v>
          </cell>
          <cell r="B1628" t="str">
            <v>오데사</v>
          </cell>
          <cell r="C1628" t="str">
            <v>항구</v>
          </cell>
          <cell r="D1628">
            <v>13</v>
          </cell>
          <cell r="E1628" t="str">
            <v>건축</v>
          </cell>
          <cell r="F1628">
            <v>4</v>
          </cell>
          <cell r="G1628" t="str">
            <v>D</v>
          </cell>
          <cell r="H1628">
            <v>1</v>
          </cell>
          <cell r="AW1628" t="str">
            <v/>
          </cell>
          <cell r="BA1628" t="str">
            <v>-</v>
          </cell>
        </row>
        <row r="1629">
          <cell r="A1629">
            <v>70412123</v>
          </cell>
          <cell r="B1629" t="str">
            <v>오슬로</v>
          </cell>
          <cell r="C1629" t="str">
            <v>항구</v>
          </cell>
          <cell r="D1629">
            <v>13</v>
          </cell>
          <cell r="E1629" t="str">
            <v>건축</v>
          </cell>
          <cell r="F1629">
            <v>4</v>
          </cell>
          <cell r="G1629" t="str">
            <v>D</v>
          </cell>
          <cell r="H1629">
            <v>1</v>
          </cell>
          <cell r="AW1629" t="str">
            <v/>
          </cell>
          <cell r="BA1629" t="str">
            <v>-</v>
          </cell>
        </row>
        <row r="1630">
          <cell r="A1630">
            <v>70412124</v>
          </cell>
          <cell r="B1630" t="str">
            <v>왕거누이</v>
          </cell>
          <cell r="C1630" t="str">
            <v>항구</v>
          </cell>
          <cell r="D1630">
            <v>13</v>
          </cell>
          <cell r="E1630" t="str">
            <v>건축</v>
          </cell>
          <cell r="F1630">
            <v>4</v>
          </cell>
          <cell r="G1630" t="str">
            <v>D</v>
          </cell>
          <cell r="H1630">
            <v>1</v>
          </cell>
          <cell r="AW1630" t="str">
            <v/>
          </cell>
          <cell r="BA1630" t="str">
            <v>-</v>
          </cell>
        </row>
        <row r="1631">
          <cell r="A1631">
            <v>70412125</v>
          </cell>
          <cell r="B1631" t="str">
            <v>우수아이아</v>
          </cell>
          <cell r="C1631" t="str">
            <v>항구</v>
          </cell>
          <cell r="D1631">
            <v>13</v>
          </cell>
          <cell r="E1631" t="str">
            <v>건축</v>
          </cell>
          <cell r="F1631">
            <v>4</v>
          </cell>
          <cell r="G1631" t="str">
            <v>D</v>
          </cell>
          <cell r="H1631">
            <v>1</v>
          </cell>
          <cell r="AW1631" t="str">
            <v/>
          </cell>
          <cell r="BA1631" t="str">
            <v>-</v>
          </cell>
        </row>
        <row r="1632">
          <cell r="A1632">
            <v>70412126</v>
          </cell>
          <cell r="B1632" t="str">
            <v>코스탄티니예</v>
          </cell>
          <cell r="C1632" t="str">
            <v>항구</v>
          </cell>
          <cell r="D1632">
            <v>13</v>
          </cell>
          <cell r="E1632" t="str">
            <v>건축</v>
          </cell>
          <cell r="F1632">
            <v>4</v>
          </cell>
          <cell r="G1632" t="str">
            <v>D</v>
          </cell>
          <cell r="H1632">
            <v>1</v>
          </cell>
          <cell r="AW1632" t="str">
            <v/>
          </cell>
          <cell r="BA1632" t="str">
            <v>-</v>
          </cell>
        </row>
        <row r="1633">
          <cell r="A1633">
            <v>70412127</v>
          </cell>
          <cell r="B1633" t="str">
            <v>자라</v>
          </cell>
          <cell r="C1633" t="str">
            <v>항구</v>
          </cell>
          <cell r="D1633">
            <v>13</v>
          </cell>
          <cell r="E1633" t="str">
            <v>건축</v>
          </cell>
          <cell r="F1633">
            <v>4</v>
          </cell>
          <cell r="G1633" t="str">
            <v>D</v>
          </cell>
          <cell r="H1633">
            <v>1</v>
          </cell>
          <cell r="AW1633" t="str">
            <v/>
          </cell>
          <cell r="BA1633" t="str">
            <v>-</v>
          </cell>
        </row>
        <row r="1634">
          <cell r="A1634">
            <v>70412128</v>
          </cell>
          <cell r="B1634" t="str">
            <v>자야카르타</v>
          </cell>
          <cell r="C1634" t="str">
            <v>항구</v>
          </cell>
          <cell r="D1634">
            <v>13</v>
          </cell>
          <cell r="E1634" t="str">
            <v>건축</v>
          </cell>
          <cell r="F1634">
            <v>4</v>
          </cell>
          <cell r="G1634" t="str">
            <v>D</v>
          </cell>
          <cell r="H1634">
            <v>1</v>
          </cell>
          <cell r="AW1634" t="str">
            <v/>
          </cell>
          <cell r="BA1634" t="str">
            <v>-</v>
          </cell>
        </row>
        <row r="1635">
          <cell r="A1635">
            <v>70412129</v>
          </cell>
          <cell r="B1635" t="str">
            <v>잔지바르</v>
          </cell>
          <cell r="C1635" t="str">
            <v>항구</v>
          </cell>
          <cell r="D1635">
            <v>13</v>
          </cell>
          <cell r="E1635" t="str">
            <v>건축</v>
          </cell>
          <cell r="F1635">
            <v>4</v>
          </cell>
          <cell r="G1635" t="str">
            <v>D</v>
          </cell>
          <cell r="H1635">
            <v>1</v>
          </cell>
          <cell r="AW1635" t="str">
            <v/>
          </cell>
          <cell r="BA1635" t="str">
            <v>-</v>
          </cell>
        </row>
        <row r="1636">
          <cell r="A1636">
            <v>70412130</v>
          </cell>
          <cell r="B1636" t="str">
            <v>제노바</v>
          </cell>
          <cell r="C1636" t="str">
            <v>항구</v>
          </cell>
          <cell r="D1636">
            <v>13</v>
          </cell>
          <cell r="E1636" t="str">
            <v>건축</v>
          </cell>
          <cell r="F1636">
            <v>4</v>
          </cell>
          <cell r="G1636" t="str">
            <v>D</v>
          </cell>
          <cell r="H1636">
            <v>1</v>
          </cell>
          <cell r="AW1636" t="str">
            <v/>
          </cell>
          <cell r="BA1636" t="str">
            <v>-</v>
          </cell>
        </row>
        <row r="1637">
          <cell r="A1637">
            <v>70412131</v>
          </cell>
          <cell r="B1637" t="str">
            <v>지다</v>
          </cell>
          <cell r="C1637" t="str">
            <v>항구</v>
          </cell>
          <cell r="D1637">
            <v>13</v>
          </cell>
          <cell r="E1637" t="str">
            <v>건축</v>
          </cell>
          <cell r="F1637">
            <v>4</v>
          </cell>
          <cell r="G1637" t="str">
            <v>D</v>
          </cell>
          <cell r="H1637">
            <v>1</v>
          </cell>
          <cell r="AW1637" t="str">
            <v/>
          </cell>
          <cell r="BA1637" t="str">
            <v>-</v>
          </cell>
        </row>
        <row r="1638">
          <cell r="A1638">
            <v>70412132</v>
          </cell>
          <cell r="B1638" t="str">
            <v>제주</v>
          </cell>
          <cell r="C1638" t="str">
            <v>항구</v>
          </cell>
          <cell r="D1638">
            <v>13</v>
          </cell>
          <cell r="E1638" t="str">
            <v>건축</v>
          </cell>
          <cell r="F1638">
            <v>4</v>
          </cell>
          <cell r="G1638" t="str">
            <v>D</v>
          </cell>
          <cell r="H1638">
            <v>1</v>
          </cell>
          <cell r="AW1638" t="str">
            <v/>
          </cell>
          <cell r="BA1638" t="str">
            <v>-</v>
          </cell>
        </row>
        <row r="1639">
          <cell r="A1639">
            <v>70412133</v>
          </cell>
          <cell r="B1639" t="str">
            <v>중경</v>
          </cell>
          <cell r="C1639" t="str">
            <v>항구</v>
          </cell>
          <cell r="D1639">
            <v>13</v>
          </cell>
          <cell r="E1639" t="str">
            <v>건축</v>
          </cell>
          <cell r="F1639">
            <v>4</v>
          </cell>
          <cell r="G1639" t="str">
            <v>D</v>
          </cell>
          <cell r="H1639">
            <v>1</v>
          </cell>
          <cell r="AW1639" t="str">
            <v/>
          </cell>
          <cell r="BA1639" t="str">
            <v>-</v>
          </cell>
        </row>
        <row r="1640">
          <cell r="A1640">
            <v>70412134</v>
          </cell>
          <cell r="B1640" t="str">
            <v>나사우</v>
          </cell>
          <cell r="C1640" t="str">
            <v>항구</v>
          </cell>
          <cell r="D1640">
            <v>13</v>
          </cell>
          <cell r="E1640" t="str">
            <v>건축</v>
          </cell>
          <cell r="F1640">
            <v>4</v>
          </cell>
          <cell r="G1640" t="str">
            <v>D</v>
          </cell>
          <cell r="H1640">
            <v>1</v>
          </cell>
          <cell r="AW1640" t="str">
            <v/>
          </cell>
          <cell r="BA1640" t="str">
            <v>-</v>
          </cell>
        </row>
        <row r="1641">
          <cell r="A1641">
            <v>70412135</v>
          </cell>
          <cell r="B1641" t="str">
            <v>천주</v>
          </cell>
          <cell r="C1641" t="str">
            <v>항구</v>
          </cell>
          <cell r="D1641">
            <v>13</v>
          </cell>
          <cell r="E1641" t="str">
            <v>건축</v>
          </cell>
          <cell r="F1641">
            <v>4</v>
          </cell>
          <cell r="G1641" t="str">
            <v>D</v>
          </cell>
          <cell r="H1641">
            <v>1</v>
          </cell>
          <cell r="AW1641" t="str">
            <v/>
          </cell>
          <cell r="BA1641" t="str">
            <v>-</v>
          </cell>
        </row>
        <row r="1642">
          <cell r="A1642">
            <v>70412136</v>
          </cell>
          <cell r="B1642" t="str">
            <v>카라카스</v>
          </cell>
          <cell r="C1642" t="str">
            <v>항구</v>
          </cell>
          <cell r="D1642">
            <v>13</v>
          </cell>
          <cell r="E1642" t="str">
            <v>건축</v>
          </cell>
          <cell r="F1642">
            <v>4</v>
          </cell>
          <cell r="G1642" t="str">
            <v>D</v>
          </cell>
          <cell r="H1642">
            <v>1</v>
          </cell>
          <cell r="AW1642" t="str">
            <v/>
          </cell>
          <cell r="BA1642" t="str">
            <v>-</v>
          </cell>
        </row>
        <row r="1643">
          <cell r="A1643">
            <v>70412137</v>
          </cell>
          <cell r="B1643" t="str">
            <v>카르타헤나</v>
          </cell>
          <cell r="C1643" t="str">
            <v>항구</v>
          </cell>
          <cell r="D1643">
            <v>13</v>
          </cell>
          <cell r="E1643" t="str">
            <v>건축</v>
          </cell>
          <cell r="F1643">
            <v>4</v>
          </cell>
          <cell r="G1643" t="str">
            <v>D</v>
          </cell>
          <cell r="H1643">
            <v>1</v>
          </cell>
          <cell r="AW1643" t="str">
            <v/>
          </cell>
          <cell r="BA1643" t="str">
            <v>-</v>
          </cell>
        </row>
        <row r="1644">
          <cell r="A1644">
            <v>70412138</v>
          </cell>
          <cell r="B1644" t="str">
            <v>카리비브</v>
          </cell>
          <cell r="C1644" t="str">
            <v>항구</v>
          </cell>
          <cell r="D1644">
            <v>13</v>
          </cell>
          <cell r="E1644" t="str">
            <v>건축</v>
          </cell>
          <cell r="F1644">
            <v>4</v>
          </cell>
          <cell r="G1644" t="str">
            <v>D</v>
          </cell>
          <cell r="H1644">
            <v>1</v>
          </cell>
          <cell r="AW1644" t="str">
            <v/>
          </cell>
          <cell r="BA1644" t="str">
            <v>-</v>
          </cell>
        </row>
        <row r="1645">
          <cell r="A1645">
            <v>70412139</v>
          </cell>
          <cell r="B1645" t="str">
            <v>프라이아</v>
          </cell>
          <cell r="C1645" t="str">
            <v>항구</v>
          </cell>
          <cell r="D1645">
            <v>13</v>
          </cell>
          <cell r="E1645" t="str">
            <v>건축</v>
          </cell>
          <cell r="F1645">
            <v>4</v>
          </cell>
          <cell r="G1645" t="str">
            <v>D</v>
          </cell>
          <cell r="H1645">
            <v>1</v>
          </cell>
          <cell r="AW1645" t="str">
            <v/>
          </cell>
          <cell r="BA1645" t="str">
            <v>-</v>
          </cell>
        </row>
        <row r="1646">
          <cell r="A1646">
            <v>70412140</v>
          </cell>
          <cell r="B1646" t="str">
            <v>카사블랑카</v>
          </cell>
          <cell r="C1646" t="str">
            <v>항구</v>
          </cell>
          <cell r="D1646">
            <v>13</v>
          </cell>
          <cell r="E1646" t="str">
            <v>건축</v>
          </cell>
          <cell r="F1646">
            <v>4</v>
          </cell>
          <cell r="G1646" t="str">
            <v>D</v>
          </cell>
          <cell r="H1646">
            <v>1</v>
          </cell>
          <cell r="AW1646" t="str">
            <v/>
          </cell>
          <cell r="BA1646" t="str">
            <v>-</v>
          </cell>
        </row>
        <row r="1647">
          <cell r="A1647">
            <v>70412141</v>
          </cell>
          <cell r="B1647" t="str">
            <v>카옌</v>
          </cell>
          <cell r="C1647" t="str">
            <v>항구</v>
          </cell>
          <cell r="D1647">
            <v>13</v>
          </cell>
          <cell r="E1647" t="str">
            <v>건축</v>
          </cell>
          <cell r="F1647">
            <v>4</v>
          </cell>
          <cell r="G1647" t="str">
            <v>D</v>
          </cell>
          <cell r="H1647">
            <v>1</v>
          </cell>
          <cell r="AW1647" t="str">
            <v/>
          </cell>
          <cell r="BA1647" t="str">
            <v>-</v>
          </cell>
        </row>
        <row r="1648">
          <cell r="A1648">
            <v>70412142</v>
          </cell>
          <cell r="B1648" t="str">
            <v>알카히라</v>
          </cell>
          <cell r="C1648" t="str">
            <v>항구</v>
          </cell>
          <cell r="D1648">
            <v>13</v>
          </cell>
          <cell r="E1648" t="str">
            <v>건축</v>
          </cell>
          <cell r="F1648">
            <v>4</v>
          </cell>
          <cell r="G1648" t="str">
            <v>D</v>
          </cell>
          <cell r="H1648">
            <v>1</v>
          </cell>
          <cell r="AW1648" t="str">
            <v/>
          </cell>
          <cell r="BA1648" t="str">
            <v>-</v>
          </cell>
        </row>
        <row r="1649">
          <cell r="A1649">
            <v>70412143</v>
          </cell>
          <cell r="B1649" t="str">
            <v>카카투와</v>
          </cell>
          <cell r="C1649" t="str">
            <v>항구</v>
          </cell>
          <cell r="D1649">
            <v>13</v>
          </cell>
          <cell r="E1649" t="str">
            <v>건축</v>
          </cell>
          <cell r="F1649">
            <v>4</v>
          </cell>
          <cell r="G1649" t="str">
            <v>D</v>
          </cell>
          <cell r="H1649">
            <v>1</v>
          </cell>
          <cell r="AW1649" t="str">
            <v/>
          </cell>
          <cell r="BA1649" t="str">
            <v>-</v>
          </cell>
        </row>
        <row r="1650">
          <cell r="A1650">
            <v>70412144</v>
          </cell>
          <cell r="B1650" t="str">
            <v>알비다</v>
          </cell>
          <cell r="C1650" t="str">
            <v>항구</v>
          </cell>
          <cell r="D1650">
            <v>13</v>
          </cell>
          <cell r="E1650" t="str">
            <v>건축</v>
          </cell>
          <cell r="F1650">
            <v>4</v>
          </cell>
          <cell r="G1650" t="str">
            <v>D</v>
          </cell>
          <cell r="H1650">
            <v>1</v>
          </cell>
          <cell r="AW1650" t="str">
            <v/>
          </cell>
          <cell r="BA1650" t="str">
            <v>-</v>
          </cell>
        </row>
        <row r="1651">
          <cell r="A1651">
            <v>70412145</v>
          </cell>
          <cell r="B1651" t="str">
            <v>이카파</v>
          </cell>
          <cell r="C1651" t="str">
            <v>항구</v>
          </cell>
          <cell r="D1651">
            <v>13</v>
          </cell>
          <cell r="E1651" t="str">
            <v>건축</v>
          </cell>
          <cell r="F1651">
            <v>4</v>
          </cell>
          <cell r="G1651" t="str">
            <v>D</v>
          </cell>
          <cell r="H1651">
            <v>1</v>
          </cell>
          <cell r="AW1651" t="str">
            <v/>
          </cell>
          <cell r="BA1651" t="str">
            <v>-</v>
          </cell>
        </row>
        <row r="1652">
          <cell r="A1652">
            <v>70412146</v>
          </cell>
          <cell r="B1652" t="str">
            <v>칸디아</v>
          </cell>
          <cell r="C1652" t="str">
            <v>항구</v>
          </cell>
          <cell r="D1652">
            <v>13</v>
          </cell>
          <cell r="E1652" t="str">
            <v>건축</v>
          </cell>
          <cell r="F1652">
            <v>4</v>
          </cell>
          <cell r="G1652" t="str">
            <v>D</v>
          </cell>
          <cell r="H1652">
            <v>1</v>
          </cell>
          <cell r="AW1652" t="str">
            <v/>
          </cell>
          <cell r="BA1652" t="str">
            <v>-</v>
          </cell>
        </row>
        <row r="1653">
          <cell r="A1653">
            <v>70412147</v>
          </cell>
          <cell r="B1653" t="str">
            <v>칼레</v>
          </cell>
          <cell r="C1653" t="str">
            <v>항구</v>
          </cell>
          <cell r="D1653">
            <v>13</v>
          </cell>
          <cell r="E1653" t="str">
            <v>건축</v>
          </cell>
          <cell r="F1653">
            <v>4</v>
          </cell>
          <cell r="G1653" t="str">
            <v>D</v>
          </cell>
          <cell r="H1653">
            <v>1</v>
          </cell>
          <cell r="AW1653" t="str">
            <v/>
          </cell>
          <cell r="BA1653" t="str">
            <v>-</v>
          </cell>
        </row>
        <row r="1654">
          <cell r="A1654">
            <v>70412148</v>
          </cell>
          <cell r="B1654" t="str">
            <v>칼리아리</v>
          </cell>
          <cell r="C1654" t="str">
            <v>항구</v>
          </cell>
          <cell r="D1654">
            <v>13</v>
          </cell>
          <cell r="E1654" t="str">
            <v>건축</v>
          </cell>
          <cell r="F1654">
            <v>4</v>
          </cell>
          <cell r="G1654" t="str">
            <v>D</v>
          </cell>
          <cell r="H1654">
            <v>1</v>
          </cell>
          <cell r="AW1654" t="str">
            <v/>
          </cell>
          <cell r="BA1654" t="str">
            <v>-</v>
          </cell>
        </row>
        <row r="1655">
          <cell r="A1655">
            <v>70412149</v>
          </cell>
          <cell r="B1655" t="str">
            <v>칼비</v>
          </cell>
          <cell r="C1655" t="str">
            <v>항구</v>
          </cell>
          <cell r="D1655">
            <v>13</v>
          </cell>
          <cell r="E1655" t="str">
            <v>건축</v>
          </cell>
          <cell r="F1655">
            <v>4</v>
          </cell>
          <cell r="G1655" t="str">
            <v>D</v>
          </cell>
          <cell r="H1655">
            <v>1</v>
          </cell>
          <cell r="AW1655" t="str">
            <v/>
          </cell>
          <cell r="BA1655" t="str">
            <v>-</v>
          </cell>
        </row>
        <row r="1656">
          <cell r="A1656">
            <v>70412150</v>
          </cell>
          <cell r="B1656" t="str">
            <v>코지코드</v>
          </cell>
          <cell r="C1656" t="str">
            <v>항구</v>
          </cell>
          <cell r="D1656">
            <v>13</v>
          </cell>
          <cell r="E1656" t="str">
            <v>건축</v>
          </cell>
          <cell r="F1656">
            <v>4</v>
          </cell>
          <cell r="G1656" t="str">
            <v>D</v>
          </cell>
          <cell r="H1656">
            <v>1</v>
          </cell>
          <cell r="AW1656" t="str">
            <v/>
          </cell>
          <cell r="BA1656" t="str">
            <v>-</v>
          </cell>
        </row>
        <row r="1657">
          <cell r="A1657">
            <v>70412151</v>
          </cell>
          <cell r="B1657" t="str">
            <v>콜카타</v>
          </cell>
          <cell r="C1657" t="str">
            <v>항구</v>
          </cell>
          <cell r="D1657">
            <v>13</v>
          </cell>
          <cell r="E1657" t="str">
            <v>건축</v>
          </cell>
          <cell r="F1657">
            <v>4</v>
          </cell>
          <cell r="G1657" t="str">
            <v>D</v>
          </cell>
          <cell r="H1657">
            <v>1</v>
          </cell>
          <cell r="AW1657" t="str">
            <v/>
          </cell>
          <cell r="BA1657" t="str">
            <v>-</v>
          </cell>
        </row>
        <row r="1658">
          <cell r="A1658">
            <v>70412152</v>
          </cell>
          <cell r="B1658" t="str">
            <v>케르치</v>
          </cell>
          <cell r="C1658" t="str">
            <v>항구</v>
          </cell>
          <cell r="D1658">
            <v>13</v>
          </cell>
          <cell r="E1658" t="str">
            <v>건축</v>
          </cell>
          <cell r="F1658">
            <v>4</v>
          </cell>
          <cell r="G1658" t="str">
            <v>D</v>
          </cell>
          <cell r="H1658">
            <v>1</v>
          </cell>
          <cell r="AW1658" t="str">
            <v/>
          </cell>
          <cell r="BA1658" t="str">
            <v>-</v>
          </cell>
        </row>
        <row r="1659">
          <cell r="A1659">
            <v>70412153</v>
          </cell>
          <cell r="B1659" t="str">
            <v>칼리마니</v>
          </cell>
          <cell r="C1659" t="str">
            <v>항구</v>
          </cell>
          <cell r="D1659">
            <v>13</v>
          </cell>
          <cell r="E1659" t="str">
            <v>건축</v>
          </cell>
          <cell r="F1659">
            <v>4</v>
          </cell>
          <cell r="G1659" t="str">
            <v>D</v>
          </cell>
          <cell r="H1659">
            <v>1</v>
          </cell>
          <cell r="AW1659" t="str">
            <v/>
          </cell>
          <cell r="BA1659" t="str">
            <v>-</v>
          </cell>
        </row>
        <row r="1660">
          <cell r="A1660">
            <v>70412154</v>
          </cell>
          <cell r="B1660" t="str">
            <v>고치</v>
          </cell>
          <cell r="C1660" t="str">
            <v>항구</v>
          </cell>
          <cell r="D1660">
            <v>13</v>
          </cell>
          <cell r="E1660" t="str">
            <v>건축</v>
          </cell>
          <cell r="F1660">
            <v>4</v>
          </cell>
          <cell r="G1660" t="str">
            <v>D</v>
          </cell>
          <cell r="H1660">
            <v>1</v>
          </cell>
          <cell r="AW1660" t="str">
            <v/>
          </cell>
          <cell r="BA1660" t="str">
            <v>-</v>
          </cell>
        </row>
        <row r="1661">
          <cell r="A1661">
            <v>70412155</v>
          </cell>
          <cell r="B1661" t="str">
            <v>코콜라</v>
          </cell>
          <cell r="C1661" t="str">
            <v>항구</v>
          </cell>
          <cell r="D1661">
            <v>13</v>
          </cell>
          <cell r="E1661" t="str">
            <v>건축</v>
          </cell>
          <cell r="F1661">
            <v>4</v>
          </cell>
          <cell r="G1661" t="str">
            <v>D</v>
          </cell>
          <cell r="H1661">
            <v>1</v>
          </cell>
          <cell r="AW1661" t="str">
            <v/>
          </cell>
          <cell r="BA1661" t="str">
            <v>-</v>
          </cell>
        </row>
        <row r="1662">
          <cell r="A1662">
            <v>70412156</v>
          </cell>
          <cell r="B1662" t="str">
            <v>쾨벤하운</v>
          </cell>
          <cell r="C1662" t="str">
            <v>항구</v>
          </cell>
          <cell r="D1662">
            <v>13</v>
          </cell>
          <cell r="E1662" t="str">
            <v>건축</v>
          </cell>
          <cell r="F1662">
            <v>4</v>
          </cell>
          <cell r="G1662" t="str">
            <v>D</v>
          </cell>
          <cell r="H1662">
            <v>1</v>
          </cell>
          <cell r="AW1662" t="str">
            <v/>
          </cell>
          <cell r="BA1662" t="str">
            <v>-</v>
          </cell>
        </row>
        <row r="1663">
          <cell r="A1663">
            <v>70412157</v>
          </cell>
          <cell r="B1663" t="str">
            <v>코피아포</v>
          </cell>
          <cell r="C1663" t="str">
            <v>항구</v>
          </cell>
          <cell r="D1663">
            <v>13</v>
          </cell>
          <cell r="E1663" t="str">
            <v>건축</v>
          </cell>
          <cell r="F1663">
            <v>4</v>
          </cell>
          <cell r="G1663" t="str">
            <v>D</v>
          </cell>
          <cell r="H1663">
            <v>1</v>
          </cell>
          <cell r="AW1663" t="str">
            <v/>
          </cell>
          <cell r="BA1663" t="str">
            <v>-</v>
          </cell>
        </row>
        <row r="1664">
          <cell r="A1664">
            <v>70412158</v>
          </cell>
          <cell r="B1664" t="str">
            <v>가리</v>
          </cell>
          <cell r="C1664" t="str">
            <v>항구</v>
          </cell>
          <cell r="D1664">
            <v>13</v>
          </cell>
          <cell r="E1664" t="str">
            <v>건축</v>
          </cell>
          <cell r="F1664">
            <v>4</v>
          </cell>
          <cell r="G1664" t="str">
            <v>D</v>
          </cell>
          <cell r="H1664">
            <v>1</v>
          </cell>
          <cell r="AW1664" t="str">
            <v/>
          </cell>
          <cell r="BA1664" t="str">
            <v>-</v>
          </cell>
        </row>
        <row r="1665">
          <cell r="A1665">
            <v>70412159</v>
          </cell>
          <cell r="B1665" t="str">
            <v>쿠칭</v>
          </cell>
          <cell r="C1665" t="str">
            <v>항구</v>
          </cell>
          <cell r="D1665">
            <v>13</v>
          </cell>
          <cell r="E1665" t="str">
            <v>건축</v>
          </cell>
          <cell r="F1665">
            <v>4</v>
          </cell>
          <cell r="G1665" t="str">
            <v>D</v>
          </cell>
          <cell r="H1665">
            <v>1</v>
          </cell>
          <cell r="AW1665" t="str">
            <v/>
          </cell>
          <cell r="BA1665" t="str">
            <v>-</v>
          </cell>
        </row>
        <row r="1666">
          <cell r="A1666">
            <v>70412160</v>
          </cell>
          <cell r="B1666" t="str">
            <v>바르나</v>
          </cell>
          <cell r="C1666" t="str">
            <v>항구</v>
          </cell>
          <cell r="D1666">
            <v>13</v>
          </cell>
          <cell r="E1666" t="str">
            <v>건축</v>
          </cell>
          <cell r="F1666">
            <v>4</v>
          </cell>
          <cell r="G1666" t="str">
            <v>D</v>
          </cell>
          <cell r="H1666">
            <v>1</v>
          </cell>
          <cell r="AW1666" t="str">
            <v/>
          </cell>
          <cell r="BA1666" t="str">
            <v>-</v>
          </cell>
        </row>
        <row r="1667">
          <cell r="A1667">
            <v>70412161</v>
          </cell>
          <cell r="B1667" t="str">
            <v>킬와</v>
          </cell>
          <cell r="C1667" t="str">
            <v>항구</v>
          </cell>
          <cell r="D1667">
            <v>13</v>
          </cell>
          <cell r="E1667" t="str">
            <v>건축</v>
          </cell>
          <cell r="F1667">
            <v>4</v>
          </cell>
          <cell r="G1667" t="str">
            <v>D</v>
          </cell>
          <cell r="H1667">
            <v>1</v>
          </cell>
          <cell r="AW1667" t="str">
            <v/>
          </cell>
          <cell r="BA1667" t="str">
            <v>-</v>
          </cell>
        </row>
        <row r="1668">
          <cell r="A1668">
            <v>70412162</v>
          </cell>
          <cell r="B1668" t="str">
            <v>포트로열</v>
          </cell>
          <cell r="C1668" t="str">
            <v>항구</v>
          </cell>
          <cell r="D1668">
            <v>13</v>
          </cell>
          <cell r="E1668" t="str">
            <v>건축</v>
          </cell>
          <cell r="F1668">
            <v>4</v>
          </cell>
          <cell r="G1668" t="str">
            <v>D</v>
          </cell>
          <cell r="H1668">
            <v>1</v>
          </cell>
          <cell r="AW1668" t="str">
            <v/>
          </cell>
          <cell r="BA1668" t="str">
            <v>-</v>
          </cell>
        </row>
        <row r="1669">
          <cell r="A1669">
            <v>70412163</v>
          </cell>
          <cell r="B1669" t="str">
            <v>타간로크</v>
          </cell>
          <cell r="C1669" t="str">
            <v>항구</v>
          </cell>
          <cell r="D1669">
            <v>13</v>
          </cell>
          <cell r="E1669" t="str">
            <v>건축</v>
          </cell>
          <cell r="F1669">
            <v>4</v>
          </cell>
          <cell r="G1669" t="str">
            <v>D</v>
          </cell>
          <cell r="H1669">
            <v>1</v>
          </cell>
          <cell r="AW1669" t="str">
            <v/>
          </cell>
          <cell r="BA1669" t="str">
            <v>-</v>
          </cell>
        </row>
        <row r="1670">
          <cell r="A1670">
            <v>70412164</v>
          </cell>
          <cell r="B1670" t="str">
            <v>토아마시나</v>
          </cell>
          <cell r="C1670" t="str">
            <v>항구</v>
          </cell>
          <cell r="D1670">
            <v>13</v>
          </cell>
          <cell r="E1670" t="str">
            <v>건축</v>
          </cell>
          <cell r="F1670">
            <v>4</v>
          </cell>
          <cell r="G1670" t="str">
            <v>D</v>
          </cell>
          <cell r="H1670">
            <v>1</v>
          </cell>
          <cell r="AW1670" t="str">
            <v/>
          </cell>
          <cell r="BA1670" t="str">
            <v>-</v>
          </cell>
        </row>
        <row r="1671">
          <cell r="A1671">
            <v>70412165</v>
          </cell>
          <cell r="B1671" t="str">
            <v>타이난</v>
          </cell>
          <cell r="C1671" t="str">
            <v>항구</v>
          </cell>
          <cell r="D1671">
            <v>13</v>
          </cell>
          <cell r="E1671" t="str">
            <v>건축</v>
          </cell>
          <cell r="F1671">
            <v>4</v>
          </cell>
          <cell r="G1671" t="str">
            <v>D</v>
          </cell>
          <cell r="H1671">
            <v>1</v>
          </cell>
          <cell r="AW1671" t="str">
            <v/>
          </cell>
          <cell r="BA1671" t="str">
            <v>-</v>
          </cell>
        </row>
        <row r="1672">
          <cell r="A1672">
            <v>70412166</v>
          </cell>
          <cell r="B1672" t="str">
            <v>테르나테</v>
          </cell>
          <cell r="C1672" t="str">
            <v>항구</v>
          </cell>
          <cell r="D1672">
            <v>13</v>
          </cell>
          <cell r="E1672" t="str">
            <v>건축</v>
          </cell>
          <cell r="F1672">
            <v>4</v>
          </cell>
          <cell r="G1672" t="str">
            <v>D</v>
          </cell>
          <cell r="H1672">
            <v>1</v>
          </cell>
          <cell r="AW1672" t="str">
            <v/>
          </cell>
          <cell r="BA1672" t="str">
            <v>-</v>
          </cell>
        </row>
        <row r="1673">
          <cell r="A1673">
            <v>70412167</v>
          </cell>
          <cell r="B1673" t="str">
            <v>테살로니키</v>
          </cell>
          <cell r="C1673" t="str">
            <v>항구</v>
          </cell>
          <cell r="D1673">
            <v>13</v>
          </cell>
          <cell r="E1673" t="str">
            <v>건축</v>
          </cell>
          <cell r="F1673">
            <v>4</v>
          </cell>
          <cell r="G1673" t="str">
            <v>D</v>
          </cell>
          <cell r="H1673">
            <v>1</v>
          </cell>
          <cell r="AW1673" t="str">
            <v/>
          </cell>
          <cell r="BA1673" t="str">
            <v>-</v>
          </cell>
        </row>
        <row r="1674">
          <cell r="A1674">
            <v>70412168</v>
          </cell>
          <cell r="B1674" t="str">
            <v>팀북투</v>
          </cell>
          <cell r="C1674" t="str">
            <v>항구</v>
          </cell>
          <cell r="D1674">
            <v>13</v>
          </cell>
          <cell r="E1674" t="str">
            <v>건축</v>
          </cell>
          <cell r="F1674">
            <v>4</v>
          </cell>
          <cell r="G1674" t="str">
            <v>D</v>
          </cell>
          <cell r="H1674">
            <v>1</v>
          </cell>
          <cell r="AW1674" t="str">
            <v/>
          </cell>
          <cell r="BA1674" t="str">
            <v>-</v>
          </cell>
        </row>
        <row r="1675">
          <cell r="A1675">
            <v>70412169</v>
          </cell>
          <cell r="B1675" t="str">
            <v>툼베스</v>
          </cell>
          <cell r="C1675" t="str">
            <v>항구</v>
          </cell>
          <cell r="D1675">
            <v>13</v>
          </cell>
          <cell r="E1675" t="str">
            <v>건축</v>
          </cell>
          <cell r="F1675">
            <v>4</v>
          </cell>
          <cell r="G1675" t="str">
            <v>D</v>
          </cell>
          <cell r="H1675">
            <v>1</v>
          </cell>
          <cell r="AW1675" t="str">
            <v/>
          </cell>
          <cell r="BA1675" t="str">
            <v>-</v>
          </cell>
        </row>
        <row r="1676">
          <cell r="A1676">
            <v>70412170</v>
          </cell>
          <cell r="B1676" t="str">
            <v>투니스</v>
          </cell>
          <cell r="C1676" t="str">
            <v>항구</v>
          </cell>
          <cell r="D1676">
            <v>13</v>
          </cell>
          <cell r="E1676" t="str">
            <v>건축</v>
          </cell>
          <cell r="F1676">
            <v>4</v>
          </cell>
          <cell r="G1676" t="str">
            <v>D</v>
          </cell>
          <cell r="H1676">
            <v>1</v>
          </cell>
          <cell r="AW1676" t="str">
            <v/>
          </cell>
          <cell r="BA1676" t="str">
            <v>-</v>
          </cell>
        </row>
        <row r="1677">
          <cell r="A1677">
            <v>70412171</v>
          </cell>
          <cell r="B1677" t="str">
            <v>트라브존</v>
          </cell>
          <cell r="C1677" t="str">
            <v>항구</v>
          </cell>
          <cell r="D1677">
            <v>13</v>
          </cell>
          <cell r="E1677" t="str">
            <v>건축</v>
          </cell>
          <cell r="F1677">
            <v>4</v>
          </cell>
          <cell r="G1677" t="str">
            <v>D</v>
          </cell>
          <cell r="H1677">
            <v>1</v>
          </cell>
          <cell r="AW1677" t="str">
            <v/>
          </cell>
          <cell r="BA1677" t="str">
            <v>-</v>
          </cell>
        </row>
        <row r="1678">
          <cell r="A1678">
            <v>70412172</v>
          </cell>
          <cell r="B1678" t="str">
            <v>트루히요</v>
          </cell>
          <cell r="C1678" t="str">
            <v>항구</v>
          </cell>
          <cell r="D1678">
            <v>13</v>
          </cell>
          <cell r="E1678" t="str">
            <v>건축</v>
          </cell>
          <cell r="F1678">
            <v>4</v>
          </cell>
          <cell r="G1678" t="str">
            <v>D</v>
          </cell>
          <cell r="H1678">
            <v>1</v>
          </cell>
          <cell r="AW1678" t="str">
            <v/>
          </cell>
          <cell r="BA1678" t="str">
            <v>-</v>
          </cell>
        </row>
        <row r="1679">
          <cell r="A1679">
            <v>70412173</v>
          </cell>
          <cell r="B1679" t="str">
            <v>트리에스테</v>
          </cell>
          <cell r="C1679" t="str">
            <v>항구</v>
          </cell>
          <cell r="D1679">
            <v>13</v>
          </cell>
          <cell r="E1679" t="str">
            <v>건축</v>
          </cell>
          <cell r="F1679">
            <v>4</v>
          </cell>
          <cell r="G1679" t="str">
            <v>D</v>
          </cell>
          <cell r="H1679">
            <v>1</v>
          </cell>
          <cell r="AW1679" t="str">
            <v/>
          </cell>
          <cell r="BA1679" t="str">
            <v>-</v>
          </cell>
        </row>
        <row r="1680">
          <cell r="A1680">
            <v>70412174</v>
          </cell>
          <cell r="B1680" t="str">
            <v>타라불루스</v>
          </cell>
          <cell r="C1680" t="str">
            <v>항구</v>
          </cell>
          <cell r="D1680">
            <v>13</v>
          </cell>
          <cell r="E1680" t="str">
            <v>건축</v>
          </cell>
          <cell r="F1680">
            <v>4</v>
          </cell>
          <cell r="G1680" t="str">
            <v>D</v>
          </cell>
          <cell r="H1680">
            <v>1</v>
          </cell>
          <cell r="AW1680" t="str">
            <v/>
          </cell>
          <cell r="BA1680" t="str">
            <v>-</v>
          </cell>
        </row>
        <row r="1681">
          <cell r="A1681">
            <v>70412175</v>
          </cell>
          <cell r="B1681" t="str">
            <v>카탄가</v>
          </cell>
          <cell r="C1681" t="str">
            <v>항구</v>
          </cell>
          <cell r="D1681">
            <v>13</v>
          </cell>
          <cell r="E1681" t="str">
            <v>건축</v>
          </cell>
          <cell r="F1681">
            <v>4</v>
          </cell>
          <cell r="G1681" t="str">
            <v>D</v>
          </cell>
          <cell r="H1681">
            <v>1</v>
          </cell>
          <cell r="AW1681" t="str">
            <v/>
          </cell>
          <cell r="BA1681" t="str">
            <v>-</v>
          </cell>
        </row>
        <row r="1682">
          <cell r="A1682">
            <v>70412176</v>
          </cell>
          <cell r="B1682" t="str">
            <v>파나마</v>
          </cell>
          <cell r="C1682" t="str">
            <v>항구</v>
          </cell>
          <cell r="D1682">
            <v>13</v>
          </cell>
          <cell r="E1682" t="str">
            <v>건축</v>
          </cell>
          <cell r="F1682">
            <v>4</v>
          </cell>
          <cell r="G1682" t="str">
            <v>D</v>
          </cell>
          <cell r="H1682">
            <v>1</v>
          </cell>
          <cell r="AW1682" t="str">
            <v/>
          </cell>
          <cell r="BA1682" t="str">
            <v>-</v>
          </cell>
        </row>
        <row r="1683">
          <cell r="A1683">
            <v>70412177</v>
          </cell>
          <cell r="B1683" t="str">
            <v>파루</v>
          </cell>
          <cell r="C1683" t="str">
            <v>항구</v>
          </cell>
          <cell r="D1683">
            <v>13</v>
          </cell>
          <cell r="E1683" t="str">
            <v>건축</v>
          </cell>
          <cell r="F1683">
            <v>4</v>
          </cell>
          <cell r="G1683" t="str">
            <v>D</v>
          </cell>
          <cell r="H1683">
            <v>1</v>
          </cell>
          <cell r="AW1683" t="str">
            <v/>
          </cell>
          <cell r="BA1683" t="str">
            <v>-</v>
          </cell>
        </row>
        <row r="1684">
          <cell r="A1684">
            <v>70412178</v>
          </cell>
          <cell r="B1684" t="str">
            <v>안탈리아</v>
          </cell>
          <cell r="C1684" t="str">
            <v>항구</v>
          </cell>
          <cell r="D1684">
            <v>13</v>
          </cell>
          <cell r="E1684" t="str">
            <v>건축</v>
          </cell>
          <cell r="F1684">
            <v>4</v>
          </cell>
          <cell r="G1684" t="str">
            <v>D</v>
          </cell>
          <cell r="H1684">
            <v>1</v>
          </cell>
          <cell r="AW1684" t="str">
            <v/>
          </cell>
          <cell r="BA1684" t="str">
            <v>-</v>
          </cell>
        </row>
        <row r="1685">
          <cell r="A1685">
            <v>70412179</v>
          </cell>
          <cell r="B1685" t="str">
            <v>파사이</v>
          </cell>
          <cell r="C1685" t="str">
            <v>항구</v>
          </cell>
          <cell r="D1685">
            <v>13</v>
          </cell>
          <cell r="E1685" t="str">
            <v>건축</v>
          </cell>
          <cell r="F1685">
            <v>4</v>
          </cell>
          <cell r="G1685" t="str">
            <v>D</v>
          </cell>
          <cell r="H1685">
            <v>1</v>
          </cell>
          <cell r="AW1685" t="str">
            <v/>
          </cell>
          <cell r="BA1685" t="str">
            <v>-</v>
          </cell>
        </row>
        <row r="1686">
          <cell r="A1686">
            <v>70412180</v>
          </cell>
          <cell r="B1686" t="str">
            <v>팔렘방</v>
          </cell>
          <cell r="C1686" t="str">
            <v>항구</v>
          </cell>
          <cell r="D1686">
            <v>13</v>
          </cell>
          <cell r="E1686" t="str">
            <v>건축</v>
          </cell>
          <cell r="F1686">
            <v>4</v>
          </cell>
          <cell r="G1686" t="str">
            <v>D</v>
          </cell>
          <cell r="H1686">
            <v>1</v>
          </cell>
          <cell r="AW1686" t="str">
            <v/>
          </cell>
          <cell r="BA1686" t="str">
            <v>-</v>
          </cell>
        </row>
        <row r="1687">
          <cell r="A1687">
            <v>70412181</v>
          </cell>
          <cell r="B1687" t="str">
            <v>팔마</v>
          </cell>
          <cell r="C1687" t="str">
            <v>항구</v>
          </cell>
          <cell r="D1687">
            <v>13</v>
          </cell>
          <cell r="E1687" t="str">
            <v>건축</v>
          </cell>
          <cell r="F1687">
            <v>4</v>
          </cell>
          <cell r="G1687" t="str">
            <v>D</v>
          </cell>
          <cell r="H1687">
            <v>1</v>
          </cell>
          <cell r="AW1687" t="str">
            <v/>
          </cell>
          <cell r="BA1687" t="str">
            <v>-</v>
          </cell>
        </row>
        <row r="1688">
          <cell r="A1688">
            <v>70412182</v>
          </cell>
          <cell r="B1688" t="str">
            <v>페구</v>
          </cell>
          <cell r="C1688" t="str">
            <v>항구</v>
          </cell>
          <cell r="D1688">
            <v>13</v>
          </cell>
          <cell r="E1688" t="str">
            <v>건축</v>
          </cell>
          <cell r="F1688">
            <v>4</v>
          </cell>
          <cell r="G1688" t="str">
            <v>D</v>
          </cell>
          <cell r="H1688">
            <v>1</v>
          </cell>
          <cell r="AW1688" t="str">
            <v/>
          </cell>
          <cell r="BA1688" t="str">
            <v>-</v>
          </cell>
        </row>
        <row r="1689">
          <cell r="A1689">
            <v>70412183</v>
          </cell>
          <cell r="B1689" t="str">
            <v>페르남부쿠</v>
          </cell>
          <cell r="C1689" t="str">
            <v>항구</v>
          </cell>
          <cell r="D1689">
            <v>13</v>
          </cell>
          <cell r="E1689" t="str">
            <v>건축</v>
          </cell>
          <cell r="F1689">
            <v>4</v>
          </cell>
          <cell r="G1689" t="str">
            <v>D</v>
          </cell>
          <cell r="H1689">
            <v>1</v>
          </cell>
          <cell r="AW1689" t="str">
            <v/>
          </cell>
          <cell r="BA1689" t="str">
            <v>-</v>
          </cell>
        </row>
        <row r="1690">
          <cell r="A1690">
            <v>70412184</v>
          </cell>
          <cell r="B1690" t="str">
            <v>코르프</v>
          </cell>
          <cell r="C1690" t="str">
            <v>항구</v>
          </cell>
          <cell r="D1690">
            <v>13</v>
          </cell>
          <cell r="E1690" t="str">
            <v>건축</v>
          </cell>
          <cell r="F1690">
            <v>4</v>
          </cell>
          <cell r="G1690" t="str">
            <v>D</v>
          </cell>
          <cell r="H1690">
            <v>1</v>
          </cell>
          <cell r="AW1690" t="str">
            <v/>
          </cell>
          <cell r="BA1690" t="str">
            <v>-</v>
          </cell>
        </row>
        <row r="1691">
          <cell r="A1691">
            <v>70412185</v>
          </cell>
          <cell r="B1691" t="str">
            <v>포르토벨로</v>
          </cell>
          <cell r="C1691" t="str">
            <v>항구</v>
          </cell>
          <cell r="D1691">
            <v>13</v>
          </cell>
          <cell r="E1691" t="str">
            <v>건축</v>
          </cell>
          <cell r="F1691">
            <v>4</v>
          </cell>
          <cell r="G1691" t="str">
            <v>D</v>
          </cell>
          <cell r="H1691">
            <v>1</v>
          </cell>
          <cell r="AW1691" t="str">
            <v/>
          </cell>
          <cell r="BA1691" t="str">
            <v>-</v>
          </cell>
        </row>
        <row r="1692">
          <cell r="A1692">
            <v>70412186</v>
          </cell>
          <cell r="B1692" t="str">
            <v>포르투</v>
          </cell>
          <cell r="C1692" t="str">
            <v>항구</v>
          </cell>
          <cell r="D1692">
            <v>13</v>
          </cell>
          <cell r="E1692" t="str">
            <v>건축</v>
          </cell>
          <cell r="F1692">
            <v>4</v>
          </cell>
          <cell r="G1692" t="str">
            <v>D</v>
          </cell>
          <cell r="H1692">
            <v>1</v>
          </cell>
          <cell r="AW1692" t="str">
            <v/>
          </cell>
          <cell r="BA1692" t="str">
            <v>-</v>
          </cell>
        </row>
        <row r="1693">
          <cell r="A1693">
            <v>70412187</v>
          </cell>
          <cell r="B1693" t="str">
            <v>아비앗</v>
          </cell>
          <cell r="C1693" t="str">
            <v>항구</v>
          </cell>
          <cell r="D1693">
            <v>13</v>
          </cell>
          <cell r="E1693" t="str">
            <v>건축</v>
          </cell>
          <cell r="F1693">
            <v>4</v>
          </cell>
          <cell r="G1693" t="str">
            <v>D</v>
          </cell>
          <cell r="H1693">
            <v>1</v>
          </cell>
          <cell r="AW1693" t="str">
            <v/>
          </cell>
          <cell r="BA1693" t="str">
            <v>-</v>
          </cell>
        </row>
        <row r="1694">
          <cell r="A1694">
            <v>70412188</v>
          </cell>
          <cell r="B1694" t="str">
            <v>폰타델가다</v>
          </cell>
          <cell r="C1694" t="str">
            <v>항구</v>
          </cell>
          <cell r="D1694">
            <v>13</v>
          </cell>
          <cell r="E1694" t="str">
            <v>건축</v>
          </cell>
          <cell r="F1694">
            <v>4</v>
          </cell>
          <cell r="G1694" t="str">
            <v>D</v>
          </cell>
          <cell r="H1694">
            <v>1</v>
          </cell>
          <cell r="AW1694" t="str">
            <v/>
          </cell>
          <cell r="BA1694" t="str">
            <v>-</v>
          </cell>
        </row>
        <row r="1695">
          <cell r="A1695">
            <v>70412189</v>
          </cell>
          <cell r="B1695" t="str">
            <v>판디체리</v>
          </cell>
          <cell r="C1695" t="str">
            <v>항구</v>
          </cell>
          <cell r="D1695">
            <v>13</v>
          </cell>
          <cell r="E1695" t="str">
            <v>건축</v>
          </cell>
          <cell r="F1695">
            <v>4</v>
          </cell>
          <cell r="G1695" t="str">
            <v>D</v>
          </cell>
          <cell r="H1695">
            <v>1</v>
          </cell>
          <cell r="AW1695" t="str">
            <v/>
          </cell>
          <cell r="BA1695" t="str">
            <v>-</v>
          </cell>
        </row>
        <row r="1696">
          <cell r="A1696">
            <v>70412190</v>
          </cell>
          <cell r="B1696" t="str">
            <v>프레이노코르</v>
          </cell>
          <cell r="C1696" t="str">
            <v>항구</v>
          </cell>
          <cell r="D1696">
            <v>13</v>
          </cell>
          <cell r="E1696" t="str">
            <v>건축</v>
          </cell>
          <cell r="F1696">
            <v>4</v>
          </cell>
          <cell r="G1696" t="str">
            <v>D</v>
          </cell>
          <cell r="H1696">
            <v>1</v>
          </cell>
          <cell r="AW1696" t="str">
            <v/>
          </cell>
          <cell r="BA1696" t="str">
            <v>-</v>
          </cell>
        </row>
        <row r="1697">
          <cell r="A1697">
            <v>70412191</v>
          </cell>
          <cell r="B1697" t="str">
            <v>플리머스</v>
          </cell>
          <cell r="C1697" t="str">
            <v>항구</v>
          </cell>
          <cell r="D1697">
            <v>13</v>
          </cell>
          <cell r="E1697" t="str">
            <v>건축</v>
          </cell>
          <cell r="F1697">
            <v>4</v>
          </cell>
          <cell r="G1697" t="str">
            <v>D</v>
          </cell>
          <cell r="H1697">
            <v>1</v>
          </cell>
          <cell r="AW1697" t="str">
            <v/>
          </cell>
          <cell r="BA1697" t="str">
            <v>-</v>
          </cell>
        </row>
        <row r="1698">
          <cell r="A1698">
            <v>70412192</v>
          </cell>
          <cell r="B1698" t="str">
            <v>피사</v>
          </cell>
          <cell r="C1698" t="str">
            <v>항구</v>
          </cell>
          <cell r="D1698">
            <v>13</v>
          </cell>
          <cell r="E1698" t="str">
            <v>건축</v>
          </cell>
          <cell r="F1698">
            <v>4</v>
          </cell>
          <cell r="G1698" t="str">
            <v>D</v>
          </cell>
          <cell r="H1698">
            <v>1</v>
          </cell>
          <cell r="AW1698" t="str">
            <v/>
          </cell>
          <cell r="BA1698" t="str">
            <v>-</v>
          </cell>
        </row>
        <row r="1699">
          <cell r="A1699">
            <v>70412193</v>
          </cell>
          <cell r="B1699" t="str">
            <v>핀자라</v>
          </cell>
          <cell r="C1699" t="str">
            <v>항구</v>
          </cell>
          <cell r="D1699">
            <v>13</v>
          </cell>
          <cell r="E1699" t="str">
            <v>건축</v>
          </cell>
          <cell r="F1699">
            <v>4</v>
          </cell>
          <cell r="G1699" t="str">
            <v>D</v>
          </cell>
          <cell r="H1699">
            <v>1</v>
          </cell>
          <cell r="AW1699" t="str">
            <v/>
          </cell>
          <cell r="BA1699" t="str">
            <v>-</v>
          </cell>
        </row>
        <row r="1700">
          <cell r="A1700">
            <v>70412194</v>
          </cell>
          <cell r="B1700" t="str">
            <v>하노이</v>
          </cell>
          <cell r="C1700" t="str">
            <v>항구</v>
          </cell>
          <cell r="D1700">
            <v>13</v>
          </cell>
          <cell r="E1700" t="str">
            <v>건축</v>
          </cell>
          <cell r="F1700">
            <v>4</v>
          </cell>
          <cell r="G1700" t="str">
            <v>D</v>
          </cell>
          <cell r="H1700">
            <v>1</v>
          </cell>
          <cell r="AW1700" t="str">
            <v/>
          </cell>
          <cell r="BA1700" t="str">
            <v>-</v>
          </cell>
        </row>
        <row r="1701">
          <cell r="A1701">
            <v>70412195</v>
          </cell>
          <cell r="B1701" t="str">
            <v>하디보</v>
          </cell>
          <cell r="C1701" t="str">
            <v>항구</v>
          </cell>
          <cell r="D1701">
            <v>13</v>
          </cell>
          <cell r="E1701" t="str">
            <v>건축</v>
          </cell>
          <cell r="F1701">
            <v>4</v>
          </cell>
          <cell r="G1701" t="str">
            <v>D</v>
          </cell>
          <cell r="H1701">
            <v>1</v>
          </cell>
          <cell r="AW1701" t="str">
            <v/>
          </cell>
          <cell r="BA1701" t="str">
            <v>-</v>
          </cell>
        </row>
        <row r="1702">
          <cell r="A1702">
            <v>70412196</v>
          </cell>
          <cell r="B1702" t="str">
            <v>한양</v>
          </cell>
          <cell r="C1702" t="str">
            <v>항구</v>
          </cell>
          <cell r="D1702">
            <v>13</v>
          </cell>
          <cell r="E1702" t="str">
            <v>건축</v>
          </cell>
          <cell r="F1702">
            <v>4</v>
          </cell>
          <cell r="G1702" t="str">
            <v>D</v>
          </cell>
          <cell r="H1702">
            <v>1</v>
          </cell>
          <cell r="AW1702" t="str">
            <v/>
          </cell>
          <cell r="BA1702" t="str">
            <v>-</v>
          </cell>
        </row>
        <row r="1703">
          <cell r="A1703">
            <v>70412197</v>
          </cell>
          <cell r="B1703" t="str">
            <v>함부르크</v>
          </cell>
          <cell r="C1703" t="str">
            <v>항구</v>
          </cell>
          <cell r="D1703">
            <v>13</v>
          </cell>
          <cell r="E1703" t="str">
            <v>건축</v>
          </cell>
          <cell r="F1703">
            <v>4</v>
          </cell>
          <cell r="G1703" t="str">
            <v>D</v>
          </cell>
          <cell r="H1703">
            <v>1</v>
          </cell>
          <cell r="AW1703" t="str">
            <v/>
          </cell>
          <cell r="BA1703" t="str">
            <v>-</v>
          </cell>
        </row>
        <row r="1704">
          <cell r="A1704">
            <v>70412198</v>
          </cell>
          <cell r="B1704" t="str">
            <v>항주</v>
          </cell>
          <cell r="C1704" t="str">
            <v>항구</v>
          </cell>
          <cell r="D1704">
            <v>13</v>
          </cell>
          <cell r="E1704" t="str">
            <v>건축</v>
          </cell>
          <cell r="F1704">
            <v>4</v>
          </cell>
          <cell r="G1704" t="str">
            <v>D</v>
          </cell>
          <cell r="H1704">
            <v>1</v>
          </cell>
          <cell r="AW1704" t="str">
            <v/>
          </cell>
          <cell r="BA1704" t="str">
            <v>-</v>
          </cell>
        </row>
        <row r="1705">
          <cell r="A1705">
            <v>70412199</v>
          </cell>
          <cell r="B1705" t="str">
            <v>호놀룰루</v>
          </cell>
          <cell r="C1705" t="str">
            <v>항구</v>
          </cell>
          <cell r="D1705">
            <v>13</v>
          </cell>
          <cell r="E1705" t="str">
            <v>건축</v>
          </cell>
          <cell r="F1705">
            <v>4</v>
          </cell>
          <cell r="G1705" t="str">
            <v>D</v>
          </cell>
          <cell r="H1705">
            <v>1</v>
          </cell>
          <cell r="AW1705" t="str">
            <v/>
          </cell>
          <cell r="BA1705" t="str">
            <v>-</v>
          </cell>
        </row>
        <row r="1706">
          <cell r="A1706">
            <v>70412200</v>
          </cell>
          <cell r="B1706" t="str">
            <v>하라무즈</v>
          </cell>
          <cell r="C1706" t="str">
            <v>항구</v>
          </cell>
          <cell r="D1706">
            <v>13</v>
          </cell>
          <cell r="E1706" t="str">
            <v>건축</v>
          </cell>
          <cell r="F1706">
            <v>4</v>
          </cell>
          <cell r="G1706" t="str">
            <v>D</v>
          </cell>
          <cell r="H1706">
            <v>1</v>
          </cell>
          <cell r="AW1706" t="str">
            <v/>
          </cell>
          <cell r="BA1706" t="str">
            <v>-</v>
          </cell>
        </row>
        <row r="1707">
          <cell r="A1707">
            <v>70412201</v>
          </cell>
          <cell r="B1707" t="str">
            <v>호바톤</v>
          </cell>
          <cell r="C1707" t="str">
            <v>항구</v>
          </cell>
          <cell r="D1707">
            <v>13</v>
          </cell>
          <cell r="E1707" t="str">
            <v>건축</v>
          </cell>
          <cell r="F1707">
            <v>4</v>
          </cell>
          <cell r="G1707" t="str">
            <v>D</v>
          </cell>
          <cell r="H1707">
            <v>1</v>
          </cell>
          <cell r="AW1707" t="str">
            <v/>
          </cell>
          <cell r="BA1707" t="str">
            <v>-</v>
          </cell>
        </row>
        <row r="1708">
          <cell r="A1708">
            <v>70412202</v>
          </cell>
          <cell r="B1708" t="str">
            <v>홀로</v>
          </cell>
          <cell r="C1708" t="str">
            <v>항구</v>
          </cell>
          <cell r="D1708">
            <v>13</v>
          </cell>
          <cell r="E1708" t="str">
            <v>건축</v>
          </cell>
          <cell r="F1708">
            <v>4</v>
          </cell>
          <cell r="G1708" t="str">
            <v>D</v>
          </cell>
          <cell r="H1708">
            <v>1</v>
          </cell>
          <cell r="AW1708" t="str">
            <v/>
          </cell>
          <cell r="BA1708" t="str">
            <v>-</v>
          </cell>
        </row>
        <row r="1709">
          <cell r="A1709">
            <v>70412203</v>
          </cell>
          <cell r="B1709" t="str">
            <v>흐로닝언</v>
          </cell>
          <cell r="C1709" t="str">
            <v>항구</v>
          </cell>
          <cell r="D1709">
            <v>13</v>
          </cell>
          <cell r="E1709" t="str">
            <v>건축</v>
          </cell>
          <cell r="F1709">
            <v>4</v>
          </cell>
          <cell r="G1709" t="str">
            <v>D</v>
          </cell>
          <cell r="H1709">
            <v>1</v>
          </cell>
          <cell r="AW1709" t="str">
            <v/>
          </cell>
          <cell r="BA1709" t="str">
            <v>-</v>
          </cell>
        </row>
        <row r="1710">
          <cell r="A1710">
            <v>70412204</v>
          </cell>
          <cell r="B1710" t="str">
            <v>아투오나</v>
          </cell>
          <cell r="C1710" t="str">
            <v>항구</v>
          </cell>
          <cell r="D1710">
            <v>13</v>
          </cell>
          <cell r="E1710" t="str">
            <v>건축</v>
          </cell>
          <cell r="F1710">
            <v>4</v>
          </cell>
          <cell r="G1710" t="str">
            <v>D</v>
          </cell>
          <cell r="H1710">
            <v>1</v>
          </cell>
          <cell r="AW1710" t="str">
            <v/>
          </cell>
          <cell r="BA1710" t="str">
            <v>-</v>
          </cell>
        </row>
        <row r="1711">
          <cell r="A1711">
            <v>70412205</v>
          </cell>
          <cell r="B1711" t="str">
            <v>히혼</v>
          </cell>
          <cell r="C1711" t="str">
            <v>항구</v>
          </cell>
          <cell r="D1711">
            <v>13</v>
          </cell>
          <cell r="E1711" t="str">
            <v>건축</v>
          </cell>
          <cell r="F1711">
            <v>4</v>
          </cell>
          <cell r="G1711" t="str">
            <v>D</v>
          </cell>
          <cell r="H1711">
            <v>1</v>
          </cell>
          <cell r="AW1711" t="str">
            <v/>
          </cell>
          <cell r="BA1711" t="str">
            <v>-</v>
          </cell>
        </row>
        <row r="1712">
          <cell r="A1712">
            <v>70412206</v>
          </cell>
          <cell r="B1712" t="str">
            <v>마히나</v>
          </cell>
          <cell r="C1712" t="str">
            <v>항구</v>
          </cell>
          <cell r="D1712">
            <v>13</v>
          </cell>
          <cell r="E1712" t="str">
            <v>건축</v>
          </cell>
          <cell r="F1712">
            <v>4</v>
          </cell>
          <cell r="G1712" t="str">
            <v>D</v>
          </cell>
          <cell r="H1712">
            <v>1</v>
          </cell>
          <cell r="AW1712" t="str">
            <v/>
          </cell>
          <cell r="BA1712" t="str">
            <v>-</v>
          </cell>
        </row>
        <row r="1713">
          <cell r="A1713">
            <v>70412207</v>
          </cell>
          <cell r="B1713" t="str">
            <v>수바</v>
          </cell>
          <cell r="C1713" t="str">
            <v>항구</v>
          </cell>
          <cell r="D1713">
            <v>13</v>
          </cell>
          <cell r="E1713" t="str">
            <v>건축</v>
          </cell>
          <cell r="F1713">
            <v>4</v>
          </cell>
          <cell r="G1713" t="str">
            <v>D</v>
          </cell>
          <cell r="H1713">
            <v>1</v>
          </cell>
          <cell r="AW1713" t="str">
            <v/>
          </cell>
          <cell r="BA1713" t="str">
            <v>-</v>
          </cell>
        </row>
        <row r="1714">
          <cell r="A1714">
            <v>70412208</v>
          </cell>
          <cell r="B1714" t="str">
            <v>수이</v>
          </cell>
          <cell r="C1714" t="str">
            <v>항구</v>
          </cell>
          <cell r="D1714">
            <v>13</v>
          </cell>
          <cell r="E1714" t="str">
            <v>건축</v>
          </cell>
          <cell r="F1714">
            <v>4</v>
          </cell>
          <cell r="G1714" t="str">
            <v>D</v>
          </cell>
          <cell r="H1714">
            <v>1</v>
          </cell>
          <cell r="AW1714" t="str">
            <v/>
          </cell>
          <cell r="BA1714" t="str">
            <v>-</v>
          </cell>
        </row>
        <row r="1715">
          <cell r="A1715">
            <v>70412209</v>
          </cell>
          <cell r="B1715" t="str">
            <v>레이캬비크</v>
          </cell>
          <cell r="C1715" t="str">
            <v>항구</v>
          </cell>
          <cell r="D1715">
            <v>13</v>
          </cell>
          <cell r="E1715" t="str">
            <v>건축</v>
          </cell>
          <cell r="F1715">
            <v>4</v>
          </cell>
          <cell r="G1715" t="str">
            <v>D</v>
          </cell>
          <cell r="H1715">
            <v>1</v>
          </cell>
          <cell r="AW1715" t="str">
            <v/>
          </cell>
          <cell r="BA1715" t="str">
            <v>-</v>
          </cell>
        </row>
        <row r="1716">
          <cell r="A1716">
            <v>70412210</v>
          </cell>
          <cell r="B1716" t="str">
            <v>바그다드</v>
          </cell>
          <cell r="C1716" t="str">
            <v>항구</v>
          </cell>
          <cell r="D1716">
            <v>13</v>
          </cell>
          <cell r="E1716" t="str">
            <v>건축</v>
          </cell>
          <cell r="F1716">
            <v>4</v>
          </cell>
          <cell r="G1716" t="str">
            <v>D</v>
          </cell>
          <cell r="H1716">
            <v>1</v>
          </cell>
          <cell r="AW1716" t="str">
            <v/>
          </cell>
          <cell r="BA1716" t="str">
            <v>-</v>
          </cell>
        </row>
        <row r="1717">
          <cell r="A1717">
            <v>70412211</v>
          </cell>
          <cell r="B1717" t="str">
            <v>율도</v>
          </cell>
          <cell r="C1717" t="str">
            <v>항구</v>
          </cell>
          <cell r="D1717">
            <v>13</v>
          </cell>
          <cell r="E1717" t="str">
            <v>건축</v>
          </cell>
          <cell r="F1717">
            <v>4</v>
          </cell>
          <cell r="G1717" t="str">
            <v>D</v>
          </cell>
          <cell r="H1717">
            <v>1</v>
          </cell>
          <cell r="AW1717" t="str">
            <v/>
          </cell>
          <cell r="BA1717" t="str">
            <v>-</v>
          </cell>
        </row>
        <row r="1718">
          <cell r="A1718">
            <v>70412212</v>
          </cell>
          <cell r="B1718" t="str">
            <v>보르사이드</v>
          </cell>
          <cell r="C1718" t="str">
            <v>항구</v>
          </cell>
          <cell r="D1718">
            <v>13</v>
          </cell>
          <cell r="E1718" t="str">
            <v>건축</v>
          </cell>
          <cell r="F1718">
            <v>4</v>
          </cell>
          <cell r="G1718" t="str">
            <v>D</v>
          </cell>
          <cell r="H1718">
            <v>1</v>
          </cell>
          <cell r="AW1718" t="str">
            <v/>
          </cell>
          <cell r="BA1718" t="str">
            <v>-</v>
          </cell>
        </row>
        <row r="1719">
          <cell r="A1719">
            <v>70412213</v>
          </cell>
          <cell r="B1719" t="str">
            <v>오호츠크</v>
          </cell>
          <cell r="C1719" t="str">
            <v>항구</v>
          </cell>
          <cell r="D1719">
            <v>13</v>
          </cell>
          <cell r="E1719" t="str">
            <v>건축</v>
          </cell>
          <cell r="F1719">
            <v>4</v>
          </cell>
          <cell r="G1719" t="str">
            <v>D</v>
          </cell>
          <cell r="H1719">
            <v>1</v>
          </cell>
          <cell r="AW1719" t="str">
            <v/>
          </cell>
          <cell r="BA1719" t="str">
            <v>-</v>
          </cell>
        </row>
        <row r="1720">
          <cell r="A1720">
            <v>70412214</v>
          </cell>
          <cell r="B1720" t="str">
            <v>체르스키</v>
          </cell>
          <cell r="C1720" t="str">
            <v>항구</v>
          </cell>
          <cell r="D1720">
            <v>13</v>
          </cell>
          <cell r="E1720" t="str">
            <v>건축</v>
          </cell>
          <cell r="F1720">
            <v>4</v>
          </cell>
          <cell r="G1720" t="str">
            <v>D</v>
          </cell>
          <cell r="H1720">
            <v>1</v>
          </cell>
          <cell r="AW1720" t="str">
            <v/>
          </cell>
          <cell r="BA1720" t="str">
            <v>-</v>
          </cell>
        </row>
        <row r="1721">
          <cell r="A1721">
            <v>70412215</v>
          </cell>
          <cell r="B1721" t="str">
            <v>카나크</v>
          </cell>
          <cell r="C1721" t="str">
            <v>항구</v>
          </cell>
          <cell r="D1721">
            <v>13</v>
          </cell>
          <cell r="E1721" t="str">
            <v>건축</v>
          </cell>
          <cell r="F1721">
            <v>4</v>
          </cell>
          <cell r="G1721" t="str">
            <v>D</v>
          </cell>
          <cell r="H1721">
            <v>1</v>
          </cell>
          <cell r="AW1721" t="str">
            <v/>
          </cell>
          <cell r="BA1721" t="str">
            <v>-</v>
          </cell>
        </row>
        <row r="1722">
          <cell r="A1722">
            <v>70412216</v>
          </cell>
          <cell r="B1722" t="str">
            <v>이콸룩투티악</v>
          </cell>
          <cell r="C1722" t="str">
            <v>항구</v>
          </cell>
          <cell r="D1722">
            <v>13</v>
          </cell>
          <cell r="E1722" t="str">
            <v>건축</v>
          </cell>
          <cell r="F1722">
            <v>4</v>
          </cell>
          <cell r="G1722" t="str">
            <v>D</v>
          </cell>
          <cell r="H1722">
            <v>1</v>
          </cell>
          <cell r="AW1722" t="str">
            <v/>
          </cell>
          <cell r="BA1722" t="str">
            <v>-</v>
          </cell>
        </row>
        <row r="1723">
          <cell r="A1723">
            <v>70412217</v>
          </cell>
          <cell r="B1723" t="str">
            <v>바르도</v>
          </cell>
          <cell r="C1723" t="str">
            <v>항구</v>
          </cell>
          <cell r="D1723">
            <v>13</v>
          </cell>
          <cell r="E1723" t="str">
            <v>건축</v>
          </cell>
          <cell r="F1723">
            <v>4</v>
          </cell>
          <cell r="G1723" t="str">
            <v>D</v>
          </cell>
          <cell r="H1723">
            <v>1</v>
          </cell>
          <cell r="AW1723" t="str">
            <v/>
          </cell>
          <cell r="BA1723" t="str">
            <v>-</v>
          </cell>
        </row>
        <row r="1724">
          <cell r="A1724">
            <v>70412218</v>
          </cell>
          <cell r="B1724" t="str">
            <v>포트피리</v>
          </cell>
          <cell r="C1724" t="str">
            <v>항구</v>
          </cell>
          <cell r="D1724">
            <v>13</v>
          </cell>
          <cell r="E1724" t="str">
            <v>건축</v>
          </cell>
          <cell r="F1724">
            <v>4</v>
          </cell>
          <cell r="G1724" t="str">
            <v>D</v>
          </cell>
          <cell r="H1724">
            <v>1</v>
          </cell>
          <cell r="AW1724" t="str">
            <v/>
          </cell>
          <cell r="BA1724" t="str">
            <v>-</v>
          </cell>
        </row>
        <row r="1725">
          <cell r="A1725">
            <v>70412300</v>
          </cell>
          <cell r="B1725" t="str">
            <v>스비아인의 마을</v>
          </cell>
          <cell r="C1725" t="str">
            <v>부락</v>
          </cell>
          <cell r="D1725">
            <v>19</v>
          </cell>
          <cell r="E1725" t="str">
            <v>건축</v>
          </cell>
          <cell r="F1725">
            <v>4</v>
          </cell>
          <cell r="G1725" t="str">
            <v>D</v>
          </cell>
          <cell r="H1725">
            <v>1</v>
          </cell>
          <cell r="AW1725" t="str">
            <v/>
          </cell>
          <cell r="BA1725" t="str">
            <v>-</v>
          </cell>
        </row>
        <row r="1726">
          <cell r="A1726">
            <v>70412301</v>
          </cell>
          <cell r="B1726" t="str">
            <v>쿠르드인의 마을</v>
          </cell>
          <cell r="C1726" t="str">
            <v>부락</v>
          </cell>
          <cell r="D1726">
            <v>19</v>
          </cell>
          <cell r="E1726" t="str">
            <v>건축</v>
          </cell>
          <cell r="F1726">
            <v>4</v>
          </cell>
          <cell r="G1726" t="str">
            <v>D</v>
          </cell>
          <cell r="H1726">
            <v>1</v>
          </cell>
          <cell r="AW1726" t="str">
            <v/>
          </cell>
          <cell r="BA1726" t="str">
            <v>-</v>
          </cell>
        </row>
        <row r="1727">
          <cell r="A1727">
            <v>70412302</v>
          </cell>
          <cell r="B1727" t="str">
            <v>튀르크족의 마을</v>
          </cell>
          <cell r="C1727" t="str">
            <v>부락</v>
          </cell>
          <cell r="D1727">
            <v>19</v>
          </cell>
          <cell r="E1727" t="str">
            <v>건축</v>
          </cell>
          <cell r="F1727">
            <v>4</v>
          </cell>
          <cell r="G1727" t="str">
            <v>D</v>
          </cell>
          <cell r="H1727">
            <v>1</v>
          </cell>
          <cell r="AW1727" t="str">
            <v/>
          </cell>
          <cell r="BA1727" t="str">
            <v>-</v>
          </cell>
        </row>
        <row r="1728">
          <cell r="A1728">
            <v>70412303</v>
          </cell>
          <cell r="B1728" t="str">
            <v>루르인의 마을</v>
          </cell>
          <cell r="C1728" t="str">
            <v>부락</v>
          </cell>
          <cell r="D1728">
            <v>19</v>
          </cell>
          <cell r="E1728" t="str">
            <v>건축</v>
          </cell>
          <cell r="F1728">
            <v>4</v>
          </cell>
          <cell r="G1728" t="str">
            <v>D</v>
          </cell>
          <cell r="H1728">
            <v>1</v>
          </cell>
          <cell r="AW1728" t="str">
            <v/>
          </cell>
          <cell r="BA1728" t="str">
            <v>-</v>
          </cell>
        </row>
        <row r="1729">
          <cell r="A1729">
            <v>70412304</v>
          </cell>
          <cell r="B1729" t="str">
            <v>카슈카이족의 마을</v>
          </cell>
          <cell r="C1729" t="str">
            <v>부락</v>
          </cell>
          <cell r="D1729">
            <v>19</v>
          </cell>
          <cell r="E1729" t="str">
            <v>건축</v>
          </cell>
          <cell r="F1729">
            <v>4</v>
          </cell>
          <cell r="G1729" t="str">
            <v>D</v>
          </cell>
          <cell r="H1729">
            <v>1</v>
          </cell>
          <cell r="AW1729" t="str">
            <v/>
          </cell>
          <cell r="BA1729" t="str">
            <v>-</v>
          </cell>
        </row>
        <row r="1730">
          <cell r="A1730">
            <v>70412305</v>
          </cell>
          <cell r="B1730" t="str">
            <v>베르베르인의 마을</v>
          </cell>
          <cell r="C1730" t="str">
            <v>부락</v>
          </cell>
          <cell r="D1730">
            <v>19</v>
          </cell>
          <cell r="E1730" t="str">
            <v>건축</v>
          </cell>
          <cell r="F1730">
            <v>4</v>
          </cell>
          <cell r="G1730" t="str">
            <v>D</v>
          </cell>
          <cell r="H1730">
            <v>1</v>
          </cell>
          <cell r="AW1730" t="str">
            <v/>
          </cell>
          <cell r="BA1730" t="str">
            <v>-</v>
          </cell>
        </row>
        <row r="1731">
          <cell r="A1731">
            <v>70412306</v>
          </cell>
          <cell r="B1731" t="str">
            <v>누비아인의 마을</v>
          </cell>
          <cell r="C1731" t="str">
            <v>부락</v>
          </cell>
          <cell r="D1731">
            <v>19</v>
          </cell>
          <cell r="E1731" t="str">
            <v>건축</v>
          </cell>
          <cell r="F1731">
            <v>4</v>
          </cell>
          <cell r="G1731" t="str">
            <v>D</v>
          </cell>
          <cell r="H1731">
            <v>1</v>
          </cell>
          <cell r="AW1731" t="str">
            <v/>
          </cell>
          <cell r="BA1731" t="str">
            <v>-</v>
          </cell>
        </row>
        <row r="1732">
          <cell r="A1732">
            <v>70412307</v>
          </cell>
          <cell r="B1732" t="str">
            <v>바리족의 마을</v>
          </cell>
          <cell r="C1732" t="str">
            <v>부락</v>
          </cell>
          <cell r="D1732">
            <v>19</v>
          </cell>
          <cell r="E1732" t="str">
            <v>건축</v>
          </cell>
          <cell r="F1732">
            <v>4</v>
          </cell>
          <cell r="G1732" t="str">
            <v>D</v>
          </cell>
          <cell r="H1732">
            <v>1</v>
          </cell>
          <cell r="AW1732" t="str">
            <v/>
          </cell>
          <cell r="BA1732" t="str">
            <v>-</v>
          </cell>
        </row>
        <row r="1733">
          <cell r="A1733">
            <v>70412308</v>
          </cell>
          <cell r="B1733" t="str">
            <v>바간다족의 마을</v>
          </cell>
          <cell r="C1733" t="str">
            <v>부락</v>
          </cell>
          <cell r="D1733">
            <v>19</v>
          </cell>
          <cell r="E1733" t="str">
            <v>건축</v>
          </cell>
          <cell r="F1733">
            <v>4</v>
          </cell>
          <cell r="G1733" t="str">
            <v>D</v>
          </cell>
          <cell r="H1733">
            <v>1</v>
          </cell>
          <cell r="AW1733" t="str">
            <v/>
          </cell>
          <cell r="BA1733" t="str">
            <v>-</v>
          </cell>
        </row>
        <row r="1734">
          <cell r="A1734">
            <v>70412309</v>
          </cell>
          <cell r="B1734" t="str">
            <v>말링케족의 마을</v>
          </cell>
          <cell r="C1734" t="str">
            <v>부락</v>
          </cell>
          <cell r="D1734">
            <v>19</v>
          </cell>
          <cell r="E1734" t="str">
            <v>건축</v>
          </cell>
          <cell r="F1734">
            <v>4</v>
          </cell>
          <cell r="G1734" t="str">
            <v>D</v>
          </cell>
          <cell r="H1734">
            <v>1</v>
          </cell>
          <cell r="AW1734" t="str">
            <v/>
          </cell>
          <cell r="BA1734" t="str">
            <v>-</v>
          </cell>
        </row>
        <row r="1735">
          <cell r="A1735">
            <v>70412310</v>
          </cell>
          <cell r="B1735" t="str">
            <v>요루바족의 마을</v>
          </cell>
          <cell r="C1735" t="str">
            <v>부락</v>
          </cell>
          <cell r="D1735">
            <v>19</v>
          </cell>
          <cell r="E1735" t="str">
            <v>건축</v>
          </cell>
          <cell r="F1735">
            <v>4</v>
          </cell>
          <cell r="G1735" t="str">
            <v>D</v>
          </cell>
          <cell r="H1735">
            <v>1</v>
          </cell>
          <cell r="AW1735" t="str">
            <v/>
          </cell>
          <cell r="BA1735" t="str">
            <v>-</v>
          </cell>
        </row>
        <row r="1736">
          <cell r="A1736">
            <v>70412311</v>
          </cell>
          <cell r="B1736" t="str">
            <v>반투족의 마을</v>
          </cell>
          <cell r="C1736" t="str">
            <v>부락</v>
          </cell>
          <cell r="D1736">
            <v>19</v>
          </cell>
          <cell r="E1736" t="str">
            <v>건축</v>
          </cell>
          <cell r="F1736">
            <v>4</v>
          </cell>
          <cell r="G1736" t="str">
            <v>D</v>
          </cell>
          <cell r="H1736">
            <v>1</v>
          </cell>
          <cell r="AW1736" t="str">
            <v/>
          </cell>
          <cell r="BA1736" t="str">
            <v>-</v>
          </cell>
        </row>
        <row r="1737">
          <cell r="A1737">
            <v>70412312</v>
          </cell>
          <cell r="B1737" t="str">
            <v>후투족의 마을</v>
          </cell>
          <cell r="C1737" t="str">
            <v>부락</v>
          </cell>
          <cell r="D1737">
            <v>19</v>
          </cell>
          <cell r="E1737" t="str">
            <v>건축</v>
          </cell>
          <cell r="F1737">
            <v>4</v>
          </cell>
          <cell r="G1737" t="str">
            <v>D</v>
          </cell>
          <cell r="H1737">
            <v>1</v>
          </cell>
          <cell r="AW1737" t="str">
            <v/>
          </cell>
          <cell r="BA1737" t="str">
            <v>-</v>
          </cell>
        </row>
        <row r="1738">
          <cell r="A1738">
            <v>70412313</v>
          </cell>
          <cell r="B1738" t="str">
            <v>산족의 마을</v>
          </cell>
          <cell r="C1738" t="str">
            <v>부락</v>
          </cell>
          <cell r="D1738">
            <v>19</v>
          </cell>
          <cell r="E1738" t="str">
            <v>건축</v>
          </cell>
          <cell r="F1738">
            <v>4</v>
          </cell>
          <cell r="G1738" t="str">
            <v>D</v>
          </cell>
          <cell r="H1738">
            <v>1</v>
          </cell>
          <cell r="AW1738" t="str">
            <v/>
          </cell>
          <cell r="BA1738" t="str">
            <v>-</v>
          </cell>
        </row>
        <row r="1739">
          <cell r="A1739">
            <v>70412314</v>
          </cell>
          <cell r="B1739" t="str">
            <v>쇼나족의 마을</v>
          </cell>
          <cell r="C1739" t="str">
            <v>부락</v>
          </cell>
          <cell r="D1739">
            <v>19</v>
          </cell>
          <cell r="E1739" t="str">
            <v>건축</v>
          </cell>
          <cell r="F1739">
            <v>4</v>
          </cell>
          <cell r="G1739" t="str">
            <v>D</v>
          </cell>
          <cell r="H1739">
            <v>1</v>
          </cell>
          <cell r="AW1739" t="str">
            <v/>
          </cell>
          <cell r="BA1739" t="str">
            <v>-</v>
          </cell>
        </row>
        <row r="1740">
          <cell r="A1740">
            <v>70412315</v>
          </cell>
          <cell r="B1740" t="str">
            <v>말라가시인의 마을</v>
          </cell>
          <cell r="C1740" t="str">
            <v>부락</v>
          </cell>
          <cell r="D1740">
            <v>19</v>
          </cell>
          <cell r="E1740" t="str">
            <v>건축</v>
          </cell>
          <cell r="F1740">
            <v>4</v>
          </cell>
          <cell r="G1740" t="str">
            <v>D</v>
          </cell>
          <cell r="H1740">
            <v>1</v>
          </cell>
          <cell r="AW1740" t="str">
            <v/>
          </cell>
          <cell r="BA1740" t="str">
            <v>-</v>
          </cell>
        </row>
        <row r="1741">
          <cell r="A1741">
            <v>70412316</v>
          </cell>
          <cell r="B1741" t="str">
            <v>인도양, 서쪽의 섬</v>
          </cell>
          <cell r="C1741" t="str">
            <v>부락</v>
          </cell>
          <cell r="D1741">
            <v>19</v>
          </cell>
          <cell r="E1741" t="str">
            <v>건축</v>
          </cell>
          <cell r="F1741">
            <v>4</v>
          </cell>
          <cell r="G1741" t="str">
            <v>D</v>
          </cell>
          <cell r="H1741">
            <v>1</v>
          </cell>
          <cell r="AW1741" t="str">
            <v/>
          </cell>
          <cell r="BA1741" t="str">
            <v>-</v>
          </cell>
        </row>
        <row r="1742">
          <cell r="A1742">
            <v>70412317</v>
          </cell>
          <cell r="B1742" t="str">
            <v>대서양, 남쪽의 섬</v>
          </cell>
          <cell r="C1742" t="str">
            <v>부락</v>
          </cell>
          <cell r="D1742">
            <v>19</v>
          </cell>
          <cell r="E1742" t="str">
            <v>건축</v>
          </cell>
          <cell r="F1742">
            <v>4</v>
          </cell>
          <cell r="G1742" t="str">
            <v>D</v>
          </cell>
          <cell r="H1742">
            <v>1</v>
          </cell>
          <cell r="AW1742" t="str">
            <v/>
          </cell>
          <cell r="BA1742" t="str">
            <v>-</v>
          </cell>
        </row>
        <row r="1743">
          <cell r="A1743">
            <v>70412318</v>
          </cell>
          <cell r="B1743" t="str">
            <v>과라니족의 마을</v>
          </cell>
          <cell r="C1743" t="str">
            <v>부락</v>
          </cell>
          <cell r="D1743">
            <v>19</v>
          </cell>
          <cell r="E1743" t="str">
            <v>건축</v>
          </cell>
          <cell r="F1743">
            <v>4</v>
          </cell>
          <cell r="G1743" t="str">
            <v>D</v>
          </cell>
          <cell r="H1743">
            <v>1</v>
          </cell>
          <cell r="AW1743" t="str">
            <v/>
          </cell>
          <cell r="BA1743" t="str">
            <v>-</v>
          </cell>
        </row>
        <row r="1744">
          <cell r="A1744">
            <v>70412319</v>
          </cell>
          <cell r="B1744" t="str">
            <v>보로로족의 마을</v>
          </cell>
          <cell r="C1744" t="str">
            <v>부락</v>
          </cell>
          <cell r="D1744">
            <v>19</v>
          </cell>
          <cell r="E1744" t="str">
            <v>건축</v>
          </cell>
          <cell r="F1744">
            <v>4</v>
          </cell>
          <cell r="G1744" t="str">
            <v>D</v>
          </cell>
          <cell r="H1744">
            <v>1</v>
          </cell>
          <cell r="AW1744" t="str">
            <v/>
          </cell>
          <cell r="BA1744" t="str">
            <v>-</v>
          </cell>
        </row>
        <row r="1745">
          <cell r="A1745">
            <v>70412320</v>
          </cell>
          <cell r="B1745" t="str">
            <v>시리오노족의 마을</v>
          </cell>
          <cell r="C1745" t="str">
            <v>부락</v>
          </cell>
          <cell r="D1745">
            <v>19</v>
          </cell>
          <cell r="E1745" t="str">
            <v>건축</v>
          </cell>
          <cell r="F1745">
            <v>4</v>
          </cell>
          <cell r="G1745" t="str">
            <v>D</v>
          </cell>
          <cell r="H1745">
            <v>1</v>
          </cell>
          <cell r="AW1745" t="str">
            <v/>
          </cell>
          <cell r="BA1745" t="str">
            <v>-</v>
          </cell>
        </row>
        <row r="1746">
          <cell r="A1746">
            <v>70412321</v>
          </cell>
          <cell r="B1746" t="str">
            <v>케추아족의 마을</v>
          </cell>
          <cell r="C1746" t="str">
            <v>부락</v>
          </cell>
          <cell r="D1746">
            <v>19</v>
          </cell>
          <cell r="E1746" t="str">
            <v>건축</v>
          </cell>
          <cell r="F1746">
            <v>4</v>
          </cell>
          <cell r="G1746" t="str">
            <v>D</v>
          </cell>
          <cell r="H1746">
            <v>1</v>
          </cell>
          <cell r="AW1746" t="str">
            <v/>
          </cell>
          <cell r="BA1746" t="str">
            <v>-</v>
          </cell>
        </row>
        <row r="1747">
          <cell r="A1747">
            <v>70412322</v>
          </cell>
          <cell r="B1747" t="str">
            <v>히바로족의 마을</v>
          </cell>
          <cell r="C1747" t="str">
            <v>부락</v>
          </cell>
          <cell r="D1747">
            <v>19</v>
          </cell>
          <cell r="E1747" t="str">
            <v>건축</v>
          </cell>
          <cell r="F1747">
            <v>4</v>
          </cell>
          <cell r="G1747" t="str">
            <v>D</v>
          </cell>
          <cell r="H1747">
            <v>1</v>
          </cell>
          <cell r="AW1747" t="str">
            <v/>
          </cell>
          <cell r="BA1747" t="str">
            <v>-</v>
          </cell>
        </row>
        <row r="1748">
          <cell r="A1748">
            <v>70412323</v>
          </cell>
          <cell r="B1748" t="str">
            <v>위토토족의 마을</v>
          </cell>
          <cell r="C1748" t="str">
            <v>부락</v>
          </cell>
          <cell r="D1748">
            <v>19</v>
          </cell>
          <cell r="E1748" t="str">
            <v>건축</v>
          </cell>
          <cell r="F1748">
            <v>4</v>
          </cell>
          <cell r="G1748" t="str">
            <v>D</v>
          </cell>
          <cell r="H1748">
            <v>1</v>
          </cell>
          <cell r="AW1748" t="str">
            <v/>
          </cell>
          <cell r="BA1748" t="str">
            <v>-</v>
          </cell>
        </row>
        <row r="1749">
          <cell r="A1749">
            <v>70412324</v>
          </cell>
          <cell r="B1749" t="str">
            <v>투카노족의 마을</v>
          </cell>
          <cell r="C1749" t="str">
            <v>부락</v>
          </cell>
          <cell r="D1749">
            <v>19</v>
          </cell>
          <cell r="E1749" t="str">
            <v>건축</v>
          </cell>
          <cell r="F1749">
            <v>4</v>
          </cell>
          <cell r="G1749" t="str">
            <v>D</v>
          </cell>
          <cell r="H1749">
            <v>1</v>
          </cell>
          <cell r="AW1749" t="str">
            <v/>
          </cell>
          <cell r="BA1749" t="str">
            <v>-</v>
          </cell>
        </row>
        <row r="1750">
          <cell r="A1750">
            <v>70412325</v>
          </cell>
          <cell r="B1750" t="str">
            <v>무라족의 마을</v>
          </cell>
          <cell r="C1750" t="str">
            <v>부락</v>
          </cell>
          <cell r="D1750">
            <v>19</v>
          </cell>
          <cell r="E1750" t="str">
            <v>건축</v>
          </cell>
          <cell r="F1750">
            <v>4</v>
          </cell>
          <cell r="G1750" t="str">
            <v>D</v>
          </cell>
          <cell r="H1750">
            <v>1</v>
          </cell>
          <cell r="AW1750" t="str">
            <v/>
          </cell>
          <cell r="BA1750" t="str">
            <v>-</v>
          </cell>
        </row>
        <row r="1751">
          <cell r="A1751">
            <v>70412326</v>
          </cell>
          <cell r="B1751" t="str">
            <v>신대륙, 서쪽의 섬</v>
          </cell>
          <cell r="C1751" t="str">
            <v>부락</v>
          </cell>
          <cell r="D1751">
            <v>19</v>
          </cell>
          <cell r="E1751" t="str">
            <v>건축</v>
          </cell>
          <cell r="F1751">
            <v>4</v>
          </cell>
          <cell r="G1751" t="str">
            <v>D</v>
          </cell>
          <cell r="H1751">
            <v>1</v>
          </cell>
          <cell r="AW1751" t="str">
            <v/>
          </cell>
          <cell r="BA1751" t="str">
            <v>-</v>
          </cell>
        </row>
        <row r="1752">
          <cell r="A1752">
            <v>70412327</v>
          </cell>
          <cell r="B1752" t="str">
            <v>긴 귀족의 마을</v>
          </cell>
          <cell r="C1752" t="str">
            <v>부락</v>
          </cell>
          <cell r="D1752">
            <v>19</v>
          </cell>
          <cell r="E1752" t="str">
            <v>건축</v>
          </cell>
          <cell r="F1752">
            <v>4</v>
          </cell>
          <cell r="G1752" t="str">
            <v>D</v>
          </cell>
          <cell r="H1752">
            <v>1</v>
          </cell>
          <cell r="AW1752" t="str">
            <v/>
          </cell>
          <cell r="BA1752" t="str">
            <v>-</v>
          </cell>
        </row>
        <row r="1753">
          <cell r="A1753">
            <v>70412328</v>
          </cell>
          <cell r="B1753" t="str">
            <v>코아우일테칸족의 마을</v>
          </cell>
          <cell r="C1753" t="str">
            <v>부락</v>
          </cell>
          <cell r="D1753">
            <v>19</v>
          </cell>
          <cell r="E1753" t="str">
            <v>건축</v>
          </cell>
          <cell r="F1753">
            <v>4</v>
          </cell>
          <cell r="G1753" t="str">
            <v>D</v>
          </cell>
          <cell r="H1753">
            <v>1</v>
          </cell>
          <cell r="AW1753" t="str">
            <v/>
          </cell>
          <cell r="BA1753" t="str">
            <v>-</v>
          </cell>
        </row>
        <row r="1754">
          <cell r="A1754">
            <v>70412329</v>
          </cell>
          <cell r="B1754" t="str">
            <v>코만치족의 마을</v>
          </cell>
          <cell r="C1754" t="str">
            <v>부락</v>
          </cell>
          <cell r="D1754">
            <v>19</v>
          </cell>
          <cell r="E1754" t="str">
            <v>건축</v>
          </cell>
          <cell r="F1754">
            <v>4</v>
          </cell>
          <cell r="G1754" t="str">
            <v>D</v>
          </cell>
          <cell r="H1754">
            <v>1</v>
          </cell>
          <cell r="AW1754" t="str">
            <v/>
          </cell>
          <cell r="BA1754" t="str">
            <v>-</v>
          </cell>
        </row>
        <row r="1755">
          <cell r="A1755">
            <v>70412330</v>
          </cell>
          <cell r="B1755" t="str">
            <v>아파치족의 마을</v>
          </cell>
          <cell r="C1755" t="str">
            <v>부락</v>
          </cell>
          <cell r="D1755">
            <v>19</v>
          </cell>
          <cell r="E1755" t="str">
            <v>건축</v>
          </cell>
          <cell r="F1755">
            <v>4</v>
          </cell>
          <cell r="G1755" t="str">
            <v>D</v>
          </cell>
          <cell r="H1755">
            <v>1</v>
          </cell>
          <cell r="AW1755" t="str">
            <v/>
          </cell>
          <cell r="BA1755" t="str">
            <v>-</v>
          </cell>
        </row>
        <row r="1756">
          <cell r="A1756">
            <v>70412331</v>
          </cell>
          <cell r="B1756" t="str">
            <v>치누크족의 마을</v>
          </cell>
          <cell r="C1756" t="str">
            <v>부락</v>
          </cell>
          <cell r="D1756">
            <v>19</v>
          </cell>
          <cell r="E1756" t="str">
            <v>건축</v>
          </cell>
          <cell r="F1756">
            <v>4</v>
          </cell>
          <cell r="G1756" t="str">
            <v>D</v>
          </cell>
          <cell r="H1756">
            <v>1</v>
          </cell>
          <cell r="AW1756" t="str">
            <v/>
          </cell>
          <cell r="BA1756" t="str">
            <v>-</v>
          </cell>
        </row>
        <row r="1757">
          <cell r="A1757">
            <v>70412332</v>
          </cell>
          <cell r="B1757" t="str">
            <v>샤이엔족의 마을</v>
          </cell>
          <cell r="C1757" t="str">
            <v>부락</v>
          </cell>
          <cell r="D1757">
            <v>19</v>
          </cell>
          <cell r="E1757" t="str">
            <v>건축</v>
          </cell>
          <cell r="F1757">
            <v>4</v>
          </cell>
          <cell r="G1757" t="str">
            <v>D</v>
          </cell>
          <cell r="H1757">
            <v>1</v>
          </cell>
          <cell r="AW1757" t="str">
            <v/>
          </cell>
          <cell r="BA1757" t="str">
            <v>-</v>
          </cell>
        </row>
        <row r="1758">
          <cell r="A1758">
            <v>70412333</v>
          </cell>
          <cell r="B1758" t="str">
            <v>포니족의 마을</v>
          </cell>
          <cell r="C1758" t="str">
            <v>부락</v>
          </cell>
          <cell r="D1758">
            <v>19</v>
          </cell>
          <cell r="E1758" t="str">
            <v>건축</v>
          </cell>
          <cell r="F1758">
            <v>4</v>
          </cell>
          <cell r="G1758" t="str">
            <v>D</v>
          </cell>
          <cell r="H1758">
            <v>1</v>
          </cell>
          <cell r="AW1758" t="str">
            <v/>
          </cell>
          <cell r="BA1758" t="str">
            <v>-</v>
          </cell>
        </row>
        <row r="1759">
          <cell r="A1759">
            <v>70412334</v>
          </cell>
          <cell r="B1759" t="str">
            <v>수족의 마을</v>
          </cell>
          <cell r="C1759" t="str">
            <v>부락</v>
          </cell>
          <cell r="D1759">
            <v>19</v>
          </cell>
          <cell r="E1759" t="str">
            <v>건축</v>
          </cell>
          <cell r="F1759">
            <v>4</v>
          </cell>
          <cell r="G1759" t="str">
            <v>D</v>
          </cell>
          <cell r="H1759">
            <v>1</v>
          </cell>
          <cell r="AW1759" t="str">
            <v/>
          </cell>
          <cell r="BA1759" t="str">
            <v>-</v>
          </cell>
        </row>
        <row r="1760">
          <cell r="A1760">
            <v>70412335</v>
          </cell>
          <cell r="B1760" t="str">
            <v>극지, 설산의 만</v>
          </cell>
          <cell r="C1760" t="str">
            <v>부락</v>
          </cell>
          <cell r="D1760">
            <v>19</v>
          </cell>
          <cell r="E1760" t="str">
            <v>건축</v>
          </cell>
          <cell r="F1760">
            <v>4</v>
          </cell>
          <cell r="G1760" t="str">
            <v>D</v>
          </cell>
          <cell r="H1760">
            <v>1</v>
          </cell>
          <cell r="AW1760" t="str">
            <v/>
          </cell>
          <cell r="BA1760" t="str">
            <v>-</v>
          </cell>
        </row>
        <row r="1761">
          <cell r="A1761">
            <v>70412336</v>
          </cell>
          <cell r="B1761" t="str">
            <v>이누이트족의 마을</v>
          </cell>
          <cell r="C1761" t="str">
            <v>부락</v>
          </cell>
          <cell r="D1761">
            <v>19</v>
          </cell>
          <cell r="E1761" t="str">
            <v>건축</v>
          </cell>
          <cell r="F1761">
            <v>4</v>
          </cell>
          <cell r="G1761" t="str">
            <v>D</v>
          </cell>
          <cell r="H1761">
            <v>1</v>
          </cell>
          <cell r="AW1761" t="str">
            <v/>
          </cell>
          <cell r="BA1761" t="str">
            <v>-</v>
          </cell>
        </row>
        <row r="1762">
          <cell r="A1762">
            <v>70412337</v>
          </cell>
          <cell r="B1762" t="str">
            <v>네네츠인의 마을</v>
          </cell>
          <cell r="C1762" t="str">
            <v>부락</v>
          </cell>
          <cell r="D1762">
            <v>19</v>
          </cell>
          <cell r="E1762" t="str">
            <v>건축</v>
          </cell>
          <cell r="F1762">
            <v>4</v>
          </cell>
          <cell r="G1762" t="str">
            <v>D</v>
          </cell>
          <cell r="H1762">
            <v>1</v>
          </cell>
          <cell r="AW1762" t="str">
            <v/>
          </cell>
          <cell r="BA1762" t="str">
            <v>-</v>
          </cell>
        </row>
        <row r="1763">
          <cell r="A1763">
            <v>70412338</v>
          </cell>
          <cell r="B1763" t="str">
            <v>극지, 빙하의 섬</v>
          </cell>
          <cell r="C1763" t="str">
            <v>부락</v>
          </cell>
          <cell r="D1763">
            <v>19</v>
          </cell>
          <cell r="E1763" t="str">
            <v>건축</v>
          </cell>
          <cell r="F1763">
            <v>4</v>
          </cell>
          <cell r="G1763" t="str">
            <v>D</v>
          </cell>
          <cell r="H1763">
            <v>1</v>
          </cell>
          <cell r="AW1763" t="str">
            <v/>
          </cell>
          <cell r="BA1763" t="str">
            <v>-</v>
          </cell>
        </row>
        <row r="1764">
          <cell r="A1764">
            <v>70412339</v>
          </cell>
          <cell r="B1764" t="str">
            <v>극지, 설산의 섬</v>
          </cell>
          <cell r="C1764" t="str">
            <v>부락</v>
          </cell>
          <cell r="D1764">
            <v>19</v>
          </cell>
          <cell r="E1764" t="str">
            <v>건축</v>
          </cell>
          <cell r="F1764">
            <v>4</v>
          </cell>
          <cell r="G1764" t="str">
            <v>D</v>
          </cell>
          <cell r="H1764">
            <v>1</v>
          </cell>
          <cell r="AW1764" t="str">
            <v/>
          </cell>
          <cell r="BA1764" t="str">
            <v>-</v>
          </cell>
        </row>
        <row r="1765">
          <cell r="A1765">
            <v>70412340</v>
          </cell>
          <cell r="B1765" t="str">
            <v>야쿠트인의 마을</v>
          </cell>
          <cell r="C1765" t="str">
            <v>부락</v>
          </cell>
          <cell r="D1765">
            <v>19</v>
          </cell>
          <cell r="E1765" t="str">
            <v>건축</v>
          </cell>
          <cell r="F1765">
            <v>4</v>
          </cell>
          <cell r="G1765" t="str">
            <v>D</v>
          </cell>
          <cell r="H1765">
            <v>1</v>
          </cell>
          <cell r="AW1765" t="str">
            <v/>
          </cell>
          <cell r="BA1765" t="str">
            <v>-</v>
          </cell>
        </row>
        <row r="1766">
          <cell r="A1766">
            <v>70412341</v>
          </cell>
          <cell r="B1766" t="str">
            <v>축치인의 마을</v>
          </cell>
          <cell r="C1766" t="str">
            <v>부락</v>
          </cell>
          <cell r="D1766">
            <v>19</v>
          </cell>
          <cell r="E1766" t="str">
            <v>건축</v>
          </cell>
          <cell r="F1766">
            <v>4</v>
          </cell>
          <cell r="G1766" t="str">
            <v>D</v>
          </cell>
          <cell r="H1766">
            <v>1</v>
          </cell>
          <cell r="AW1766" t="str">
            <v/>
          </cell>
          <cell r="BA1766" t="str">
            <v>-</v>
          </cell>
        </row>
        <row r="1767">
          <cell r="A1767">
            <v>70412342</v>
          </cell>
          <cell r="B1767" t="str">
            <v>경흥의 마을</v>
          </cell>
          <cell r="C1767" t="str">
            <v>부락</v>
          </cell>
          <cell r="D1767">
            <v>19</v>
          </cell>
          <cell r="E1767" t="str">
            <v>건축</v>
          </cell>
          <cell r="F1767">
            <v>4</v>
          </cell>
          <cell r="G1767" t="str">
            <v>D</v>
          </cell>
          <cell r="H1767">
            <v>1</v>
          </cell>
          <cell r="AW1767" t="str">
            <v/>
          </cell>
          <cell r="BA1767" t="str">
            <v>-</v>
          </cell>
        </row>
        <row r="1768">
          <cell r="A1768">
            <v>70412343</v>
          </cell>
          <cell r="B1768" t="str">
            <v>부안의 마을</v>
          </cell>
          <cell r="C1768" t="str">
            <v>부락</v>
          </cell>
          <cell r="D1768">
            <v>19</v>
          </cell>
          <cell r="E1768" t="str">
            <v>건축</v>
          </cell>
          <cell r="F1768">
            <v>4</v>
          </cell>
          <cell r="G1768" t="str">
            <v>D</v>
          </cell>
          <cell r="H1768">
            <v>1</v>
          </cell>
          <cell r="AW1768" t="str">
            <v/>
          </cell>
          <cell r="BA1768" t="str">
            <v>-</v>
          </cell>
        </row>
        <row r="1769">
          <cell r="A1769">
            <v>70412344</v>
          </cell>
          <cell r="B1769" t="str">
            <v>에미시의 마을</v>
          </cell>
          <cell r="C1769" t="str">
            <v>부락</v>
          </cell>
          <cell r="D1769">
            <v>19</v>
          </cell>
          <cell r="E1769" t="str">
            <v>건축</v>
          </cell>
          <cell r="F1769">
            <v>4</v>
          </cell>
          <cell r="G1769" t="str">
            <v>D</v>
          </cell>
          <cell r="H1769">
            <v>1</v>
          </cell>
          <cell r="AW1769" t="str">
            <v/>
          </cell>
          <cell r="BA1769" t="str">
            <v>-</v>
          </cell>
        </row>
        <row r="1770">
          <cell r="A1770">
            <v>70412345</v>
          </cell>
          <cell r="B1770" t="str">
            <v>에치젠의 마을</v>
          </cell>
          <cell r="C1770" t="str">
            <v>부락</v>
          </cell>
          <cell r="D1770">
            <v>19</v>
          </cell>
          <cell r="E1770" t="str">
            <v>건축</v>
          </cell>
          <cell r="F1770">
            <v>4</v>
          </cell>
          <cell r="G1770" t="str">
            <v>D</v>
          </cell>
          <cell r="H1770">
            <v>1</v>
          </cell>
          <cell r="AW1770" t="str">
            <v/>
          </cell>
          <cell r="BA1770" t="str">
            <v>-</v>
          </cell>
        </row>
        <row r="1771">
          <cell r="A1771">
            <v>70412346</v>
          </cell>
          <cell r="B1771" t="str">
            <v>규슈의 마을</v>
          </cell>
          <cell r="C1771" t="str">
            <v>부락</v>
          </cell>
          <cell r="D1771">
            <v>19</v>
          </cell>
          <cell r="E1771" t="str">
            <v>건축</v>
          </cell>
          <cell r="F1771">
            <v>4</v>
          </cell>
          <cell r="G1771" t="str">
            <v>D</v>
          </cell>
          <cell r="H1771">
            <v>1</v>
          </cell>
          <cell r="AW1771" t="str">
            <v/>
          </cell>
          <cell r="BA1771" t="str">
            <v>-</v>
          </cell>
        </row>
        <row r="1772">
          <cell r="A1772">
            <v>70412347</v>
          </cell>
          <cell r="B1772" t="str">
            <v>황허, 한족의 마을</v>
          </cell>
          <cell r="C1772" t="str">
            <v>부락</v>
          </cell>
          <cell r="D1772">
            <v>19</v>
          </cell>
          <cell r="E1772" t="str">
            <v>건축</v>
          </cell>
          <cell r="F1772">
            <v>4</v>
          </cell>
          <cell r="G1772" t="str">
            <v>D</v>
          </cell>
          <cell r="H1772">
            <v>1</v>
          </cell>
          <cell r="AW1772" t="str">
            <v/>
          </cell>
          <cell r="BA1772" t="str">
            <v>-</v>
          </cell>
        </row>
        <row r="1773">
          <cell r="A1773">
            <v>70412348</v>
          </cell>
          <cell r="B1773" t="str">
            <v>장강, 투자족의 마을</v>
          </cell>
          <cell r="C1773" t="str">
            <v>부락</v>
          </cell>
          <cell r="D1773">
            <v>19</v>
          </cell>
          <cell r="E1773" t="str">
            <v>건축</v>
          </cell>
          <cell r="F1773">
            <v>4</v>
          </cell>
          <cell r="G1773" t="str">
            <v>D</v>
          </cell>
          <cell r="H1773">
            <v>1</v>
          </cell>
          <cell r="AW1773" t="str">
            <v/>
          </cell>
          <cell r="BA1773" t="str">
            <v>-</v>
          </cell>
        </row>
        <row r="1774">
          <cell r="A1774">
            <v>70412349</v>
          </cell>
          <cell r="B1774" t="str">
            <v>아미족의 마을</v>
          </cell>
          <cell r="C1774" t="str">
            <v>부락</v>
          </cell>
          <cell r="D1774">
            <v>19</v>
          </cell>
          <cell r="E1774" t="str">
            <v>건축</v>
          </cell>
          <cell r="F1774">
            <v>4</v>
          </cell>
          <cell r="G1774" t="str">
            <v>D</v>
          </cell>
          <cell r="H1774">
            <v>1</v>
          </cell>
          <cell r="AW1774" t="str">
            <v/>
          </cell>
          <cell r="BA1774" t="str">
            <v>-</v>
          </cell>
        </row>
        <row r="1775">
          <cell r="A1775">
            <v>70412350</v>
          </cell>
          <cell r="B1775" t="str">
            <v>오리야인의 마을</v>
          </cell>
          <cell r="C1775" t="str">
            <v>부락</v>
          </cell>
          <cell r="D1775">
            <v>19</v>
          </cell>
          <cell r="E1775" t="str">
            <v>건축</v>
          </cell>
          <cell r="F1775">
            <v>4</v>
          </cell>
          <cell r="G1775" t="str">
            <v>D</v>
          </cell>
          <cell r="H1775">
            <v>1</v>
          </cell>
          <cell r="AW1775" t="str">
            <v/>
          </cell>
          <cell r="BA1775" t="str">
            <v>-</v>
          </cell>
        </row>
        <row r="1776">
          <cell r="A1776">
            <v>70412351</v>
          </cell>
          <cell r="B1776" t="str">
            <v>버마족의 마을</v>
          </cell>
          <cell r="C1776" t="str">
            <v>부락</v>
          </cell>
          <cell r="D1776">
            <v>19</v>
          </cell>
          <cell r="E1776" t="str">
            <v>건축</v>
          </cell>
          <cell r="F1776">
            <v>4</v>
          </cell>
          <cell r="G1776" t="str">
            <v>D</v>
          </cell>
          <cell r="H1776">
            <v>1</v>
          </cell>
          <cell r="AW1776" t="str">
            <v/>
          </cell>
          <cell r="BA1776" t="str">
            <v>-</v>
          </cell>
        </row>
        <row r="1777">
          <cell r="A1777">
            <v>70412352</v>
          </cell>
          <cell r="B1777" t="str">
            <v>크메르족의 마을</v>
          </cell>
          <cell r="C1777" t="str">
            <v>부락</v>
          </cell>
          <cell r="D1777">
            <v>19</v>
          </cell>
          <cell r="E1777" t="str">
            <v>건축</v>
          </cell>
          <cell r="F1777">
            <v>4</v>
          </cell>
          <cell r="G1777" t="str">
            <v>D</v>
          </cell>
          <cell r="H1777">
            <v>1</v>
          </cell>
          <cell r="AW1777" t="str">
            <v/>
          </cell>
          <cell r="BA1777" t="str">
            <v>-</v>
          </cell>
        </row>
        <row r="1778">
          <cell r="A1778">
            <v>70412353</v>
          </cell>
          <cell r="B1778" t="str">
            <v>말레이족의 마을</v>
          </cell>
          <cell r="C1778" t="str">
            <v>부락</v>
          </cell>
          <cell r="D1778">
            <v>19</v>
          </cell>
          <cell r="E1778" t="str">
            <v>건축</v>
          </cell>
          <cell r="F1778">
            <v>4</v>
          </cell>
          <cell r="G1778" t="str">
            <v>D</v>
          </cell>
          <cell r="H1778">
            <v>1</v>
          </cell>
          <cell r="AW1778" t="str">
            <v/>
          </cell>
          <cell r="BA1778" t="str">
            <v>-</v>
          </cell>
        </row>
        <row r="1779">
          <cell r="A1779">
            <v>70412354</v>
          </cell>
          <cell r="B1779" t="str">
            <v>멜라네시아인의 마을</v>
          </cell>
          <cell r="C1779" t="str">
            <v>부락</v>
          </cell>
          <cell r="D1779">
            <v>19</v>
          </cell>
          <cell r="E1779" t="str">
            <v>건축</v>
          </cell>
          <cell r="F1779">
            <v>4</v>
          </cell>
          <cell r="G1779" t="str">
            <v>D</v>
          </cell>
          <cell r="H1779">
            <v>1</v>
          </cell>
          <cell r="AW1779" t="str">
            <v/>
          </cell>
          <cell r="BA1779" t="str">
            <v>-</v>
          </cell>
        </row>
        <row r="1780">
          <cell r="A1780">
            <v>70412355</v>
          </cell>
          <cell r="B1780" t="str">
            <v>야우루족의 마을</v>
          </cell>
          <cell r="C1780" t="str">
            <v>부락</v>
          </cell>
          <cell r="D1780">
            <v>19</v>
          </cell>
          <cell r="E1780" t="str">
            <v>건축</v>
          </cell>
          <cell r="F1780">
            <v>4</v>
          </cell>
          <cell r="G1780" t="str">
            <v>D</v>
          </cell>
          <cell r="H1780">
            <v>1</v>
          </cell>
          <cell r="AW1780" t="str">
            <v/>
          </cell>
          <cell r="BA1780" t="str">
            <v>-</v>
          </cell>
        </row>
        <row r="1781">
          <cell r="A1781">
            <v>70412356</v>
          </cell>
          <cell r="B1781" t="str">
            <v>나우오족의 마을</v>
          </cell>
          <cell r="C1781" t="str">
            <v>부락</v>
          </cell>
          <cell r="D1781">
            <v>19</v>
          </cell>
          <cell r="E1781" t="str">
            <v>건축</v>
          </cell>
          <cell r="F1781">
            <v>4</v>
          </cell>
          <cell r="G1781" t="str">
            <v>D</v>
          </cell>
          <cell r="H1781">
            <v>1</v>
          </cell>
          <cell r="AW1781" t="str">
            <v/>
          </cell>
          <cell r="BA1781" t="str">
            <v>-</v>
          </cell>
        </row>
        <row r="1782">
          <cell r="A1782">
            <v>70412357</v>
          </cell>
          <cell r="B1782" t="str">
            <v>칼 카툰 구족의 마을</v>
          </cell>
          <cell r="C1782" t="str">
            <v>부락</v>
          </cell>
          <cell r="D1782">
            <v>19</v>
          </cell>
          <cell r="E1782" t="str">
            <v>건축</v>
          </cell>
          <cell r="F1782">
            <v>4</v>
          </cell>
          <cell r="G1782" t="str">
            <v>D</v>
          </cell>
          <cell r="H1782">
            <v>1</v>
          </cell>
          <cell r="AW1782" t="str">
            <v/>
          </cell>
          <cell r="BA1782" t="str">
            <v>-</v>
          </cell>
        </row>
        <row r="1783">
          <cell r="A1783">
            <v>70412358</v>
          </cell>
          <cell r="B1783" t="str">
            <v>마오리족의 마을</v>
          </cell>
          <cell r="C1783" t="str">
            <v>부락</v>
          </cell>
          <cell r="D1783">
            <v>19</v>
          </cell>
          <cell r="E1783" t="str">
            <v>건축</v>
          </cell>
          <cell r="F1783">
            <v>4</v>
          </cell>
          <cell r="G1783" t="str">
            <v>D</v>
          </cell>
          <cell r="H1783">
            <v>1</v>
          </cell>
          <cell r="AW1783" t="str">
            <v/>
          </cell>
          <cell r="BA1783" t="str">
            <v>-</v>
          </cell>
        </row>
        <row r="1784">
          <cell r="A1784">
            <v>70412359</v>
          </cell>
          <cell r="B1784" t="str">
            <v>하와이 선주민의 마을</v>
          </cell>
          <cell r="C1784" t="str">
            <v>부락</v>
          </cell>
          <cell r="D1784">
            <v>19</v>
          </cell>
          <cell r="E1784" t="str">
            <v>건축</v>
          </cell>
          <cell r="F1784">
            <v>4</v>
          </cell>
          <cell r="G1784" t="str">
            <v>D</v>
          </cell>
          <cell r="H1784">
            <v>1</v>
          </cell>
          <cell r="AW1784" t="str">
            <v/>
          </cell>
          <cell r="BA1784" t="str">
            <v>-</v>
          </cell>
        </row>
        <row r="1785">
          <cell r="A1785">
            <v>70412360</v>
          </cell>
          <cell r="B1785" t="str">
            <v>시과요족의 마을</v>
          </cell>
          <cell r="C1785" t="str">
            <v>부락</v>
          </cell>
          <cell r="D1785">
            <v>19</v>
          </cell>
          <cell r="E1785" t="str">
            <v>건축</v>
          </cell>
          <cell r="F1785">
            <v>4</v>
          </cell>
          <cell r="G1785" t="str">
            <v>D</v>
          </cell>
          <cell r="H1785">
            <v>1</v>
          </cell>
          <cell r="AW1785" t="str">
            <v/>
          </cell>
          <cell r="BA1785" t="str">
            <v>-</v>
          </cell>
        </row>
        <row r="1786">
          <cell r="A1786">
            <v>70412361</v>
          </cell>
          <cell r="B1786" t="str">
            <v>야간족의 마을</v>
          </cell>
          <cell r="C1786" t="str">
            <v>부락</v>
          </cell>
          <cell r="D1786">
            <v>19</v>
          </cell>
          <cell r="E1786" t="str">
            <v>건축</v>
          </cell>
          <cell r="F1786">
            <v>4</v>
          </cell>
          <cell r="G1786" t="str">
            <v>D</v>
          </cell>
          <cell r="H1786">
            <v>1</v>
          </cell>
          <cell r="AW1786" t="str">
            <v/>
          </cell>
          <cell r="BA1786" t="str">
            <v>-</v>
          </cell>
        </row>
        <row r="1787">
          <cell r="A1787">
            <v>70412362</v>
          </cell>
          <cell r="B1787" t="str">
            <v>극지, 신대륙의 남쪽</v>
          </cell>
          <cell r="C1787" t="str">
            <v>부락</v>
          </cell>
          <cell r="D1787">
            <v>19</v>
          </cell>
          <cell r="E1787" t="str">
            <v>건축</v>
          </cell>
          <cell r="F1787">
            <v>4</v>
          </cell>
          <cell r="G1787" t="str">
            <v>D</v>
          </cell>
          <cell r="H1787">
            <v>1</v>
          </cell>
          <cell r="AW1787" t="str">
            <v/>
          </cell>
          <cell r="BA1787" t="str">
            <v>-</v>
          </cell>
        </row>
        <row r="1788">
          <cell r="A1788">
            <v>70412363</v>
          </cell>
          <cell r="B1788" t="str">
            <v>극지, 아프리카의 남쪽</v>
          </cell>
          <cell r="C1788" t="str">
            <v>부락</v>
          </cell>
          <cell r="D1788">
            <v>19</v>
          </cell>
          <cell r="E1788" t="str">
            <v>건축</v>
          </cell>
          <cell r="F1788">
            <v>4</v>
          </cell>
          <cell r="G1788" t="str">
            <v>D</v>
          </cell>
          <cell r="H1788">
            <v>1</v>
          </cell>
          <cell r="AW1788" t="str">
            <v/>
          </cell>
          <cell r="BA1788" t="str">
            <v>-</v>
          </cell>
        </row>
        <row r="1789">
          <cell r="A1789">
            <v>70412364</v>
          </cell>
          <cell r="B1789" t="str">
            <v>사미족의 마을</v>
          </cell>
          <cell r="C1789" t="str">
            <v>부락</v>
          </cell>
          <cell r="D1789">
            <v>19</v>
          </cell>
          <cell r="E1789" t="str">
            <v>건축</v>
          </cell>
          <cell r="F1789">
            <v>4</v>
          </cell>
          <cell r="G1789" t="str">
            <v>D</v>
          </cell>
          <cell r="H1789">
            <v>1</v>
          </cell>
          <cell r="AW1789" t="str">
            <v/>
          </cell>
          <cell r="BA1789" t="str">
            <v>-</v>
          </cell>
        </row>
        <row r="1790">
          <cell r="A1790">
            <v>70412365</v>
          </cell>
          <cell r="B1790" t="str">
            <v>케트인의 마을</v>
          </cell>
          <cell r="C1790" t="str">
            <v>부락</v>
          </cell>
          <cell r="D1790">
            <v>19</v>
          </cell>
          <cell r="E1790" t="str">
            <v>건축</v>
          </cell>
          <cell r="F1790">
            <v>4</v>
          </cell>
          <cell r="G1790" t="str">
            <v>D</v>
          </cell>
          <cell r="H1790">
            <v>1</v>
          </cell>
          <cell r="AW1790" t="str">
            <v/>
          </cell>
          <cell r="BA1790" t="str">
            <v>-</v>
          </cell>
        </row>
        <row r="1791">
          <cell r="A1791">
            <v>70412366</v>
          </cell>
          <cell r="B1791" t="str">
            <v>에조</v>
          </cell>
          <cell r="C1791" t="str">
            <v>항구</v>
          </cell>
          <cell r="D1791">
            <v>13</v>
          </cell>
          <cell r="E1791" t="str">
            <v>건축</v>
          </cell>
          <cell r="F1791">
            <v>4</v>
          </cell>
          <cell r="G1791" t="str">
            <v>D</v>
          </cell>
          <cell r="H1791">
            <v>1</v>
          </cell>
          <cell r="AW1791" t="str">
            <v/>
          </cell>
          <cell r="BA1791" t="str">
            <v>-</v>
          </cell>
        </row>
        <row r="1792">
          <cell r="A1792">
            <v>70413000</v>
          </cell>
          <cell r="B1792" t="str">
            <v>가스페반도</v>
          </cell>
          <cell r="C1792" t="str">
            <v>지리</v>
          </cell>
          <cell r="D1792">
            <v>1</v>
          </cell>
          <cell r="E1792" t="str">
            <v>자연</v>
          </cell>
          <cell r="F1792">
            <v>1</v>
          </cell>
          <cell r="G1792" t="str">
            <v>B</v>
          </cell>
          <cell r="H1792">
            <v>3</v>
          </cell>
        </row>
        <row r="1793">
          <cell r="A1793">
            <v>70413001</v>
          </cell>
          <cell r="B1793" t="str">
            <v>가이나스곶</v>
          </cell>
          <cell r="C1793" t="str">
            <v>지리</v>
          </cell>
          <cell r="D1793">
            <v>1</v>
          </cell>
          <cell r="E1793" t="str">
            <v>자연</v>
          </cell>
          <cell r="F1793">
            <v>1</v>
          </cell>
          <cell r="G1793" t="str">
            <v>B</v>
          </cell>
          <cell r="H1793">
            <v>3</v>
          </cell>
        </row>
        <row r="1794">
          <cell r="A1794">
            <v>70413002</v>
          </cell>
          <cell r="B1794" t="str">
            <v>갈라파고스제도</v>
          </cell>
          <cell r="C1794" t="str">
            <v>지리</v>
          </cell>
          <cell r="D1794">
            <v>1</v>
          </cell>
          <cell r="E1794" t="str">
            <v>자연</v>
          </cell>
          <cell r="F1794">
            <v>1</v>
          </cell>
          <cell r="G1794" t="str">
            <v>S</v>
          </cell>
          <cell r="H1794">
            <v>5</v>
          </cell>
        </row>
        <row r="1795">
          <cell r="A1795">
            <v>70413003</v>
          </cell>
          <cell r="B1795" t="str">
            <v>갠지스강</v>
          </cell>
          <cell r="C1795" t="str">
            <v>지리</v>
          </cell>
          <cell r="D1795">
            <v>1</v>
          </cell>
          <cell r="E1795" t="str">
            <v>자연</v>
          </cell>
          <cell r="F1795">
            <v>1</v>
          </cell>
          <cell r="G1795" t="str">
            <v>S</v>
          </cell>
          <cell r="H1795">
            <v>5</v>
          </cell>
        </row>
        <row r="1796">
          <cell r="A1796">
            <v>70413004</v>
          </cell>
          <cell r="B1796" t="str">
            <v>계단밭</v>
          </cell>
          <cell r="C1796" t="str">
            <v>지리</v>
          </cell>
          <cell r="D1796">
            <v>1</v>
          </cell>
          <cell r="E1796" t="str">
            <v>자연</v>
          </cell>
          <cell r="F1796">
            <v>1</v>
          </cell>
          <cell r="G1796" t="str">
            <v>B</v>
          </cell>
          <cell r="H1796">
            <v>3</v>
          </cell>
        </row>
        <row r="1797">
          <cell r="A1797">
            <v>70413005</v>
          </cell>
          <cell r="B1797" t="str">
            <v>고비사막</v>
          </cell>
          <cell r="C1797" t="str">
            <v>지리</v>
          </cell>
          <cell r="D1797">
            <v>1</v>
          </cell>
          <cell r="E1797" t="str">
            <v>자연</v>
          </cell>
          <cell r="F1797">
            <v>1</v>
          </cell>
          <cell r="G1797" t="str">
            <v>A</v>
          </cell>
          <cell r="H1797">
            <v>4</v>
          </cell>
        </row>
        <row r="1798">
          <cell r="A1798">
            <v>70413006</v>
          </cell>
          <cell r="B1798" t="str">
            <v>고야산</v>
          </cell>
          <cell r="C1798" t="str">
            <v>지리</v>
          </cell>
          <cell r="D1798">
            <v>1</v>
          </cell>
          <cell r="E1798" t="str">
            <v>자연</v>
          </cell>
          <cell r="F1798">
            <v>1</v>
          </cell>
          <cell r="G1798" t="str">
            <v>A</v>
          </cell>
          <cell r="H1798">
            <v>4</v>
          </cell>
        </row>
        <row r="1799">
          <cell r="A1799">
            <v>70413007</v>
          </cell>
          <cell r="B1799" t="str">
            <v>고틀란드섬</v>
          </cell>
          <cell r="C1799" t="str">
            <v>지리</v>
          </cell>
          <cell r="D1799">
            <v>1</v>
          </cell>
          <cell r="E1799" t="str">
            <v>자연</v>
          </cell>
          <cell r="F1799">
            <v>1</v>
          </cell>
          <cell r="G1799" t="str">
            <v>A</v>
          </cell>
          <cell r="H1799">
            <v>4</v>
          </cell>
        </row>
        <row r="1800">
          <cell r="A1800">
            <v>70413008</v>
          </cell>
          <cell r="B1800" t="str">
            <v>과야킬만</v>
          </cell>
          <cell r="C1800" t="str">
            <v>지리</v>
          </cell>
          <cell r="D1800">
            <v>1</v>
          </cell>
          <cell r="E1800" t="str">
            <v>자연</v>
          </cell>
          <cell r="F1800">
            <v>1</v>
          </cell>
          <cell r="G1800" t="str">
            <v>B</v>
          </cell>
          <cell r="H1800">
            <v>3</v>
          </cell>
        </row>
        <row r="1801">
          <cell r="A1801">
            <v>70413009</v>
          </cell>
          <cell r="B1801" t="str">
            <v>괌섬</v>
          </cell>
          <cell r="C1801" t="str">
            <v>지리</v>
          </cell>
          <cell r="D1801">
            <v>1</v>
          </cell>
          <cell r="E1801" t="str">
            <v>자연</v>
          </cell>
          <cell r="F1801">
            <v>1</v>
          </cell>
          <cell r="G1801" t="str">
            <v>C</v>
          </cell>
          <cell r="H1801">
            <v>2</v>
          </cell>
        </row>
        <row r="1802">
          <cell r="A1802">
            <v>70413010</v>
          </cell>
          <cell r="B1802" t="str">
            <v>구룡폭포</v>
          </cell>
          <cell r="C1802" t="str">
            <v>지리</v>
          </cell>
          <cell r="D1802">
            <v>1</v>
          </cell>
          <cell r="E1802" t="str">
            <v>자연</v>
          </cell>
          <cell r="F1802">
            <v>1</v>
          </cell>
          <cell r="G1802" t="str">
            <v>B</v>
          </cell>
          <cell r="H1802">
            <v>3</v>
          </cell>
          <cell r="AW1802" t="str">
            <v>특정 계절</v>
          </cell>
          <cell r="AY1802" t="str">
            <v>여름</v>
          </cell>
          <cell r="BA1802">
            <v>1</v>
          </cell>
        </row>
        <row r="1803">
          <cell r="A1803">
            <v>70413011</v>
          </cell>
          <cell r="B1803" t="str">
            <v>구주쿠리하마</v>
          </cell>
          <cell r="C1803" t="str">
            <v>지리</v>
          </cell>
          <cell r="D1803">
            <v>1</v>
          </cell>
          <cell r="E1803" t="str">
            <v>자연</v>
          </cell>
          <cell r="F1803">
            <v>1</v>
          </cell>
          <cell r="G1803" t="str">
            <v>C</v>
          </cell>
          <cell r="H1803">
            <v>2</v>
          </cell>
        </row>
        <row r="1804">
          <cell r="A1804">
            <v>70413012</v>
          </cell>
          <cell r="B1804" t="str">
            <v>그랜드 뱅크스</v>
          </cell>
          <cell r="C1804" t="str">
            <v>지리</v>
          </cell>
          <cell r="D1804">
            <v>1</v>
          </cell>
          <cell r="E1804" t="str">
            <v>자연</v>
          </cell>
          <cell r="F1804">
            <v>1</v>
          </cell>
          <cell r="G1804" t="str">
            <v>B</v>
          </cell>
          <cell r="H1804">
            <v>3</v>
          </cell>
        </row>
        <row r="1805">
          <cell r="A1805">
            <v>70413013</v>
          </cell>
          <cell r="B1805" t="str">
            <v>그레이트 블루홀</v>
          </cell>
          <cell r="C1805" t="str">
            <v>지리</v>
          </cell>
          <cell r="D1805">
            <v>1</v>
          </cell>
          <cell r="E1805" t="str">
            <v>자연</v>
          </cell>
          <cell r="F1805">
            <v>1</v>
          </cell>
          <cell r="G1805" t="str">
            <v>A</v>
          </cell>
          <cell r="H1805">
            <v>4</v>
          </cell>
          <cell r="AW1805" t="str">
            <v>특정 직업 항해사 보유</v>
          </cell>
          <cell r="AY1805" t="str">
            <v>항해장</v>
          </cell>
          <cell r="BA1805">
            <v>2</v>
          </cell>
        </row>
        <row r="1806">
          <cell r="A1806">
            <v>70413014</v>
          </cell>
          <cell r="B1806" t="str">
            <v>그레이트샌디 사막</v>
          </cell>
          <cell r="C1806" t="str">
            <v>지리</v>
          </cell>
          <cell r="D1806">
            <v>1</v>
          </cell>
          <cell r="E1806" t="str">
            <v>자연</v>
          </cell>
          <cell r="F1806">
            <v>1</v>
          </cell>
          <cell r="G1806" t="str">
            <v>S</v>
          </cell>
          <cell r="H1806">
            <v>5</v>
          </cell>
        </row>
        <row r="1807">
          <cell r="A1807">
            <v>70413016</v>
          </cell>
          <cell r="B1807" t="str">
            <v>그레이트 플레인스</v>
          </cell>
          <cell r="C1807" t="str">
            <v>지리</v>
          </cell>
          <cell r="D1807">
            <v>1</v>
          </cell>
          <cell r="E1807" t="str">
            <v>자연</v>
          </cell>
          <cell r="F1807">
            <v>1</v>
          </cell>
          <cell r="G1807" t="str">
            <v>A</v>
          </cell>
          <cell r="H1807">
            <v>4</v>
          </cell>
        </row>
        <row r="1808">
          <cell r="A1808">
            <v>70413017</v>
          </cell>
          <cell r="B1808" t="str">
            <v>그레이트 피셔 뱅크</v>
          </cell>
          <cell r="C1808" t="str">
            <v>지리</v>
          </cell>
          <cell r="D1808">
            <v>1</v>
          </cell>
          <cell r="E1808" t="str">
            <v>자연</v>
          </cell>
          <cell r="F1808">
            <v>1</v>
          </cell>
          <cell r="G1808" t="str">
            <v>B</v>
          </cell>
          <cell r="H1808">
            <v>3</v>
          </cell>
        </row>
        <row r="1809">
          <cell r="A1809">
            <v>70413018</v>
          </cell>
          <cell r="B1809" t="str">
            <v>그로스몬산</v>
          </cell>
          <cell r="C1809" t="str">
            <v>지리</v>
          </cell>
          <cell r="D1809">
            <v>1</v>
          </cell>
          <cell r="E1809" t="str">
            <v>자연</v>
          </cell>
          <cell r="F1809">
            <v>1</v>
          </cell>
          <cell r="G1809" t="str">
            <v>A</v>
          </cell>
          <cell r="H1809">
            <v>4</v>
          </cell>
        </row>
        <row r="1810">
          <cell r="A1810">
            <v>70413019</v>
          </cell>
          <cell r="B1810" t="str">
            <v>그루테아일런드섬</v>
          </cell>
          <cell r="C1810" t="str">
            <v>지리</v>
          </cell>
          <cell r="D1810">
            <v>1</v>
          </cell>
          <cell r="E1810" t="str">
            <v>자연</v>
          </cell>
          <cell r="F1810">
            <v>1</v>
          </cell>
          <cell r="G1810" t="str">
            <v>B</v>
          </cell>
          <cell r="H1810">
            <v>3</v>
          </cell>
        </row>
        <row r="1811">
          <cell r="A1811">
            <v>70413020</v>
          </cell>
          <cell r="B1811" t="str">
            <v>그린란드</v>
          </cell>
          <cell r="C1811" t="str">
            <v>지리</v>
          </cell>
          <cell r="D1811">
            <v>1</v>
          </cell>
          <cell r="E1811" t="str">
            <v>자연</v>
          </cell>
          <cell r="F1811">
            <v>1</v>
          </cell>
          <cell r="G1811" t="str">
            <v>B</v>
          </cell>
          <cell r="H1811">
            <v>3</v>
          </cell>
        </row>
        <row r="1812">
          <cell r="A1812">
            <v>70413021</v>
          </cell>
          <cell r="B1812" t="str">
            <v>그린란드 빙상</v>
          </cell>
          <cell r="C1812" t="str">
            <v>지리</v>
          </cell>
          <cell r="D1812">
            <v>1</v>
          </cell>
          <cell r="E1812" t="str">
            <v>자연</v>
          </cell>
          <cell r="F1812">
            <v>1</v>
          </cell>
          <cell r="G1812" t="str">
            <v>A</v>
          </cell>
          <cell r="H1812">
            <v>4</v>
          </cell>
          <cell r="AW1812" t="str">
            <v>특정 직업 항해사 보유</v>
          </cell>
          <cell r="AY1812" t="str">
            <v>항해장</v>
          </cell>
          <cell r="BA1812">
            <v>2</v>
          </cell>
        </row>
        <row r="1813">
          <cell r="A1813">
            <v>70413022</v>
          </cell>
          <cell r="B1813" t="str">
            <v>그린샌드 비치</v>
          </cell>
          <cell r="C1813" t="str">
            <v>지리</v>
          </cell>
          <cell r="D1813">
            <v>1</v>
          </cell>
          <cell r="E1813" t="str">
            <v>자연</v>
          </cell>
          <cell r="F1813">
            <v>1</v>
          </cell>
          <cell r="G1813" t="str">
            <v>A</v>
          </cell>
          <cell r="H1813">
            <v>4</v>
          </cell>
          <cell r="AW1813" t="str">
            <v>특정 직업 항해사 보유</v>
          </cell>
          <cell r="AY1813" t="str">
            <v>항해장</v>
          </cell>
          <cell r="BA1813">
            <v>4</v>
          </cell>
        </row>
        <row r="1814">
          <cell r="A1814">
            <v>70413023</v>
          </cell>
          <cell r="B1814" t="str">
            <v>금강산</v>
          </cell>
          <cell r="C1814" t="str">
            <v>지리</v>
          </cell>
          <cell r="D1814">
            <v>1</v>
          </cell>
          <cell r="E1814" t="str">
            <v>자연</v>
          </cell>
          <cell r="F1814">
            <v>1</v>
          </cell>
          <cell r="G1814" t="str">
            <v>B</v>
          </cell>
          <cell r="H1814">
            <v>3</v>
          </cell>
          <cell r="AW1814" t="str">
            <v>특정 퀘스트(=)</v>
          </cell>
          <cell r="AY1814" t="str">
            <v>기암절벽의 소문</v>
          </cell>
          <cell r="BA1814">
            <v>3</v>
          </cell>
        </row>
        <row r="1815">
          <cell r="A1815">
            <v>70413024</v>
          </cell>
          <cell r="B1815" t="str">
            <v>기이산지</v>
          </cell>
          <cell r="C1815" t="str">
            <v>지리</v>
          </cell>
          <cell r="D1815">
            <v>1</v>
          </cell>
          <cell r="E1815" t="str">
            <v>자연</v>
          </cell>
          <cell r="F1815">
            <v>1</v>
          </cell>
          <cell r="G1815" t="str">
            <v>C</v>
          </cell>
          <cell r="H1815">
            <v>2</v>
          </cell>
        </row>
        <row r="1816">
          <cell r="A1816">
            <v>70413025</v>
          </cell>
          <cell r="B1816" t="str">
            <v>길빙크만</v>
          </cell>
          <cell r="C1816" t="str">
            <v>지리</v>
          </cell>
          <cell r="D1816">
            <v>1</v>
          </cell>
          <cell r="E1816" t="str">
            <v>자연</v>
          </cell>
          <cell r="F1816">
            <v>1</v>
          </cell>
          <cell r="G1816" t="str">
            <v>D</v>
          </cell>
          <cell r="H1816">
            <v>1</v>
          </cell>
        </row>
        <row r="1817">
          <cell r="A1817">
            <v>70413026</v>
          </cell>
          <cell r="B1817" t="str">
            <v>까마우반도</v>
          </cell>
          <cell r="C1817" t="str">
            <v>지리</v>
          </cell>
          <cell r="D1817">
            <v>1</v>
          </cell>
          <cell r="E1817" t="str">
            <v>자연</v>
          </cell>
          <cell r="F1817">
            <v>1</v>
          </cell>
          <cell r="G1817" t="str">
            <v>B</v>
          </cell>
          <cell r="H1817">
            <v>3</v>
          </cell>
        </row>
        <row r="1818">
          <cell r="A1818">
            <v>70413027</v>
          </cell>
          <cell r="B1818" t="str">
            <v>나바지오 해변</v>
          </cell>
          <cell r="C1818" t="str">
            <v>지리</v>
          </cell>
          <cell r="D1818">
            <v>1</v>
          </cell>
          <cell r="E1818" t="str">
            <v>자연</v>
          </cell>
          <cell r="F1818">
            <v>1</v>
          </cell>
          <cell r="G1818" t="str">
            <v>C</v>
          </cell>
          <cell r="H1818">
            <v>2</v>
          </cell>
        </row>
        <row r="1819">
          <cell r="A1819">
            <v>70413028</v>
          </cell>
          <cell r="B1819" t="str">
            <v>나이아가라폭포</v>
          </cell>
          <cell r="C1819" t="str">
            <v>지리</v>
          </cell>
          <cell r="D1819">
            <v>1</v>
          </cell>
          <cell r="E1819" t="str">
            <v>자연</v>
          </cell>
          <cell r="F1819">
            <v>1</v>
          </cell>
          <cell r="G1819" t="str">
            <v>S</v>
          </cell>
          <cell r="H1819">
            <v>5</v>
          </cell>
          <cell r="AW1819" t="str">
            <v>무조건 실패</v>
          </cell>
          <cell r="BA1819">
            <v>1</v>
          </cell>
        </row>
        <row r="1820">
          <cell r="A1820">
            <v>70413029</v>
          </cell>
          <cell r="B1820" t="str">
            <v>나이저강</v>
          </cell>
          <cell r="C1820" t="str">
            <v>지리</v>
          </cell>
          <cell r="D1820">
            <v>1</v>
          </cell>
          <cell r="E1820" t="str">
            <v>자연</v>
          </cell>
          <cell r="F1820">
            <v>1</v>
          </cell>
          <cell r="G1820" t="str">
            <v>B</v>
          </cell>
          <cell r="H1820">
            <v>3</v>
          </cell>
          <cell r="AW1820" t="str">
            <v>특정 퀘스트(=)</v>
          </cell>
          <cell r="AY1820" t="str">
            <v>에르네스트 로페스 시나리오</v>
          </cell>
          <cell r="BA1820">
            <v>87</v>
          </cell>
        </row>
        <row r="1821">
          <cell r="A1821">
            <v>70413030</v>
          </cell>
          <cell r="B1821" t="str">
            <v>나일강</v>
          </cell>
          <cell r="C1821" t="str">
            <v>지리</v>
          </cell>
          <cell r="D1821">
            <v>1</v>
          </cell>
          <cell r="E1821" t="str">
            <v>자연</v>
          </cell>
          <cell r="F1821">
            <v>1</v>
          </cell>
          <cell r="G1821" t="str">
            <v>S</v>
          </cell>
          <cell r="H1821">
            <v>5</v>
          </cell>
        </row>
        <row r="1822">
          <cell r="A1822">
            <v>70413031</v>
          </cell>
          <cell r="B1822" t="str">
            <v>낸터킷</v>
          </cell>
          <cell r="C1822" t="str">
            <v>지리</v>
          </cell>
          <cell r="D1822">
            <v>1</v>
          </cell>
          <cell r="E1822" t="str">
            <v>자연</v>
          </cell>
          <cell r="F1822">
            <v>1</v>
          </cell>
          <cell r="G1822" t="str">
            <v>B</v>
          </cell>
          <cell r="H1822">
            <v>3</v>
          </cell>
        </row>
        <row r="1823">
          <cell r="A1823">
            <v>70413032</v>
          </cell>
          <cell r="B1823" t="str">
            <v>네스호</v>
          </cell>
          <cell r="C1823" t="str">
            <v>지리</v>
          </cell>
          <cell r="D1823">
            <v>1</v>
          </cell>
          <cell r="E1823" t="str">
            <v>자연</v>
          </cell>
          <cell r="F1823">
            <v>1</v>
          </cell>
          <cell r="G1823" t="str">
            <v>B</v>
          </cell>
          <cell r="H1823">
            <v>3</v>
          </cell>
          <cell r="AW1823" t="str">
            <v>특정 퀘스트(=)</v>
          </cell>
          <cell r="AY1823" t="str">
            <v>에르네스트 로페스 시나리오</v>
          </cell>
          <cell r="BA1823" t="str">
            <v>에르네스트 로페스02_01</v>
          </cell>
        </row>
        <row r="1824">
          <cell r="A1824">
            <v>70413033</v>
          </cell>
          <cell r="B1824" t="str">
            <v>넴루트산</v>
          </cell>
          <cell r="C1824" t="str">
            <v>지리</v>
          </cell>
          <cell r="D1824">
            <v>1</v>
          </cell>
          <cell r="E1824" t="str">
            <v>자연</v>
          </cell>
          <cell r="F1824">
            <v>1</v>
          </cell>
          <cell r="G1824" t="str">
            <v>B</v>
          </cell>
          <cell r="H1824">
            <v>3</v>
          </cell>
        </row>
        <row r="1825">
          <cell r="A1825">
            <v>70413034</v>
          </cell>
          <cell r="B1825" t="str">
            <v>노로냐 제도</v>
          </cell>
          <cell r="C1825" t="str">
            <v>지리</v>
          </cell>
          <cell r="D1825">
            <v>1</v>
          </cell>
          <cell r="E1825" t="str">
            <v>자연</v>
          </cell>
          <cell r="F1825">
            <v>1</v>
          </cell>
          <cell r="G1825" t="str">
            <v>D</v>
          </cell>
          <cell r="H1825">
            <v>1</v>
          </cell>
          <cell r="AW1825" t="str">
            <v/>
          </cell>
          <cell r="BA1825" t="str">
            <v>-</v>
          </cell>
        </row>
        <row r="1826">
          <cell r="A1826">
            <v>70413035</v>
          </cell>
          <cell r="B1826" t="str">
            <v>노르카프곶</v>
          </cell>
          <cell r="C1826" t="str">
            <v>지리</v>
          </cell>
          <cell r="D1826">
            <v>1</v>
          </cell>
          <cell r="E1826" t="str">
            <v>자연</v>
          </cell>
          <cell r="F1826">
            <v>1</v>
          </cell>
          <cell r="G1826" t="str">
            <v>A</v>
          </cell>
          <cell r="H1826">
            <v>4</v>
          </cell>
        </row>
        <row r="1827">
          <cell r="A1827">
            <v>70413036</v>
          </cell>
          <cell r="B1827" t="str">
            <v>뉴기니섬</v>
          </cell>
          <cell r="C1827" t="str">
            <v>지리</v>
          </cell>
          <cell r="D1827">
            <v>1</v>
          </cell>
          <cell r="E1827" t="str">
            <v>자연</v>
          </cell>
          <cell r="F1827">
            <v>1</v>
          </cell>
          <cell r="G1827" t="str">
            <v>C</v>
          </cell>
          <cell r="H1827">
            <v>2</v>
          </cell>
        </row>
        <row r="1828">
          <cell r="A1828">
            <v>70413037</v>
          </cell>
          <cell r="B1828" t="str">
            <v>뉴브리튼섬</v>
          </cell>
          <cell r="C1828" t="str">
            <v>지리</v>
          </cell>
          <cell r="D1828">
            <v>1</v>
          </cell>
          <cell r="E1828" t="str">
            <v>자연</v>
          </cell>
          <cell r="F1828">
            <v>1</v>
          </cell>
          <cell r="G1828" t="str">
            <v>A</v>
          </cell>
          <cell r="H1828">
            <v>4</v>
          </cell>
        </row>
        <row r="1829">
          <cell r="A1829">
            <v>70413038</v>
          </cell>
          <cell r="B1829" t="str">
            <v>뉴칼레도니아섬</v>
          </cell>
          <cell r="C1829" t="str">
            <v>지리</v>
          </cell>
          <cell r="D1829">
            <v>1</v>
          </cell>
          <cell r="E1829" t="str">
            <v>자연</v>
          </cell>
          <cell r="F1829">
            <v>1</v>
          </cell>
          <cell r="G1829" t="str">
            <v>A</v>
          </cell>
          <cell r="H1829">
            <v>4</v>
          </cell>
        </row>
        <row r="1830">
          <cell r="A1830">
            <v>70413039</v>
          </cell>
          <cell r="B1830" t="str">
            <v>뉴헤브리디스제도</v>
          </cell>
          <cell r="C1830" t="str">
            <v>지리</v>
          </cell>
          <cell r="D1830">
            <v>1</v>
          </cell>
          <cell r="E1830" t="str">
            <v>자연</v>
          </cell>
          <cell r="F1830">
            <v>1</v>
          </cell>
          <cell r="G1830" t="str">
            <v>B</v>
          </cell>
          <cell r="H1830">
            <v>3</v>
          </cell>
        </row>
        <row r="1831">
          <cell r="A1831">
            <v>70413040</v>
          </cell>
          <cell r="B1831" t="str">
            <v>다뉴브강</v>
          </cell>
          <cell r="C1831" t="str">
            <v>지리</v>
          </cell>
          <cell r="D1831">
            <v>1</v>
          </cell>
          <cell r="E1831" t="str">
            <v>자연</v>
          </cell>
          <cell r="F1831">
            <v>1</v>
          </cell>
          <cell r="G1831" t="str">
            <v>C</v>
          </cell>
          <cell r="H1831">
            <v>2</v>
          </cell>
        </row>
        <row r="1832">
          <cell r="A1832">
            <v>70413041</v>
          </cell>
          <cell r="B1832" t="str">
            <v>다리엔만</v>
          </cell>
          <cell r="C1832" t="str">
            <v>지리</v>
          </cell>
          <cell r="D1832">
            <v>1</v>
          </cell>
          <cell r="E1832" t="str">
            <v>자연</v>
          </cell>
          <cell r="F1832">
            <v>1</v>
          </cell>
          <cell r="G1832" t="str">
            <v>D</v>
          </cell>
          <cell r="H1832">
            <v>1</v>
          </cell>
          <cell r="AW1832" t="str">
            <v/>
          </cell>
          <cell r="BA1832" t="str">
            <v>-</v>
          </cell>
        </row>
        <row r="1833">
          <cell r="A1833">
            <v>70413042</v>
          </cell>
          <cell r="B1833" t="str">
            <v>다리엔산맥</v>
          </cell>
          <cell r="C1833" t="str">
            <v>지리</v>
          </cell>
          <cell r="D1833">
            <v>1</v>
          </cell>
          <cell r="E1833" t="str">
            <v>자연</v>
          </cell>
          <cell r="F1833">
            <v>1</v>
          </cell>
          <cell r="G1833" t="str">
            <v>B</v>
          </cell>
          <cell r="H1833">
            <v>3</v>
          </cell>
        </row>
        <row r="1834">
          <cell r="A1834">
            <v>70413043</v>
          </cell>
          <cell r="B1834" t="str">
            <v>다이아몬드 헤드</v>
          </cell>
          <cell r="C1834" t="str">
            <v>지리</v>
          </cell>
          <cell r="D1834">
            <v>1</v>
          </cell>
          <cell r="E1834" t="str">
            <v>자연</v>
          </cell>
          <cell r="F1834">
            <v>1</v>
          </cell>
          <cell r="G1834" t="str">
            <v>A</v>
          </cell>
          <cell r="H1834">
            <v>4</v>
          </cell>
          <cell r="AW1834" t="str">
            <v>무조건 실패</v>
          </cell>
          <cell r="BA1834">
            <v>1</v>
          </cell>
        </row>
        <row r="1835">
          <cell r="A1835">
            <v>70413044</v>
          </cell>
          <cell r="B1835" t="str">
            <v>호베강</v>
          </cell>
          <cell r="C1835" t="str">
            <v>지리</v>
          </cell>
          <cell r="D1835">
            <v>1</v>
          </cell>
          <cell r="E1835" t="str">
            <v>자연</v>
          </cell>
          <cell r="F1835">
            <v>1</v>
          </cell>
          <cell r="G1835" t="str">
            <v>D</v>
          </cell>
          <cell r="H1835">
            <v>1</v>
          </cell>
          <cell r="AW1835" t="str">
            <v/>
          </cell>
          <cell r="BA1835" t="str">
            <v>-</v>
          </cell>
        </row>
        <row r="1836">
          <cell r="A1836">
            <v>70413045</v>
          </cell>
          <cell r="B1836" t="str">
            <v>달의 계곡</v>
          </cell>
          <cell r="C1836" t="str">
            <v>지리</v>
          </cell>
          <cell r="D1836">
            <v>1</v>
          </cell>
          <cell r="E1836" t="str">
            <v>자연</v>
          </cell>
          <cell r="F1836">
            <v>1</v>
          </cell>
          <cell r="G1836" t="str">
            <v>A</v>
          </cell>
          <cell r="H1836">
            <v>4</v>
          </cell>
          <cell r="AW1836" t="str">
            <v>특정 직업 항해사 보유</v>
          </cell>
          <cell r="AY1836" t="str">
            <v>지리학자</v>
          </cell>
          <cell r="BA1836">
            <v>7</v>
          </cell>
        </row>
        <row r="1837">
          <cell r="A1837">
            <v>70413046</v>
          </cell>
          <cell r="B1837" t="str">
            <v>대순다열도</v>
          </cell>
          <cell r="C1837" t="str">
            <v>지리</v>
          </cell>
          <cell r="D1837">
            <v>1</v>
          </cell>
          <cell r="E1837" t="str">
            <v>자연</v>
          </cell>
          <cell r="F1837">
            <v>1</v>
          </cell>
          <cell r="G1837" t="str">
            <v>B</v>
          </cell>
          <cell r="H1837">
            <v>3</v>
          </cell>
        </row>
        <row r="1838">
          <cell r="A1838">
            <v>70413047</v>
          </cell>
          <cell r="B1838" t="str">
            <v>대염호</v>
          </cell>
          <cell r="C1838" t="str">
            <v>지리</v>
          </cell>
          <cell r="D1838">
            <v>1</v>
          </cell>
          <cell r="E1838" t="str">
            <v>자연</v>
          </cell>
          <cell r="F1838">
            <v>1</v>
          </cell>
          <cell r="G1838" t="str">
            <v>B</v>
          </cell>
          <cell r="H1838">
            <v>3</v>
          </cell>
        </row>
        <row r="1839">
          <cell r="A1839">
            <v>70413048</v>
          </cell>
          <cell r="B1839" t="str">
            <v>더사운드해협</v>
          </cell>
          <cell r="C1839" t="str">
            <v>지리</v>
          </cell>
          <cell r="D1839">
            <v>1</v>
          </cell>
          <cell r="E1839" t="str">
            <v>자연</v>
          </cell>
          <cell r="F1839">
            <v>1</v>
          </cell>
          <cell r="G1839" t="str">
            <v>B</v>
          </cell>
          <cell r="H1839">
            <v>3</v>
          </cell>
        </row>
        <row r="1840">
          <cell r="A1840">
            <v>70413049</v>
          </cell>
          <cell r="B1840" t="str">
            <v>데세아도강</v>
          </cell>
          <cell r="C1840" t="str">
            <v>지리</v>
          </cell>
          <cell r="D1840">
            <v>1</v>
          </cell>
          <cell r="E1840" t="str">
            <v>자연</v>
          </cell>
          <cell r="F1840">
            <v>1</v>
          </cell>
          <cell r="G1840" t="str">
            <v>B</v>
          </cell>
          <cell r="H1840">
            <v>3</v>
          </cell>
        </row>
        <row r="1841">
          <cell r="A1841">
            <v>70413050</v>
          </cell>
          <cell r="B1841" t="str">
            <v>데스밸리</v>
          </cell>
          <cell r="C1841" t="str">
            <v>지리</v>
          </cell>
          <cell r="D1841">
            <v>1</v>
          </cell>
          <cell r="E1841" t="str">
            <v>자연</v>
          </cell>
          <cell r="F1841">
            <v>1</v>
          </cell>
          <cell r="G1841" t="str">
            <v>S</v>
          </cell>
          <cell r="H1841">
            <v>5</v>
          </cell>
        </row>
        <row r="1842">
          <cell r="A1842" t="str">
            <v>##70413051</v>
          </cell>
          <cell r="B1842" t="str">
            <v>독도</v>
          </cell>
          <cell r="C1842" t="str">
            <v>지리</v>
          </cell>
          <cell r="D1842">
            <v>1</v>
          </cell>
          <cell r="E1842" t="str">
            <v>자연</v>
          </cell>
          <cell r="F1842">
            <v>1</v>
          </cell>
          <cell r="G1842" t="str">
            <v>S</v>
          </cell>
          <cell r="H1842">
            <v>5</v>
          </cell>
        </row>
        <row r="1843">
          <cell r="A1843">
            <v>70413052</v>
          </cell>
          <cell r="B1843" t="str">
            <v>돈드라곶</v>
          </cell>
          <cell r="C1843" t="str">
            <v>지리</v>
          </cell>
          <cell r="D1843">
            <v>1</v>
          </cell>
          <cell r="E1843" t="str">
            <v>자연</v>
          </cell>
          <cell r="F1843">
            <v>1</v>
          </cell>
          <cell r="G1843" t="str">
            <v>S</v>
          </cell>
          <cell r="H1843">
            <v>5</v>
          </cell>
        </row>
        <row r="1844">
          <cell r="A1844">
            <v>70413053</v>
          </cell>
          <cell r="B1844" t="str">
            <v>돗토리 사구</v>
          </cell>
          <cell r="C1844" t="str">
            <v>지리</v>
          </cell>
          <cell r="D1844">
            <v>1</v>
          </cell>
          <cell r="E1844" t="str">
            <v>자연</v>
          </cell>
          <cell r="F1844">
            <v>1</v>
          </cell>
          <cell r="G1844" t="str">
            <v>C</v>
          </cell>
          <cell r="H1844">
            <v>2</v>
          </cell>
        </row>
        <row r="1845">
          <cell r="A1845">
            <v>70413054</v>
          </cell>
          <cell r="B1845" t="str">
            <v>드레이크 해협</v>
          </cell>
          <cell r="C1845" t="str">
            <v>지리</v>
          </cell>
          <cell r="D1845">
            <v>1</v>
          </cell>
          <cell r="E1845" t="str">
            <v>자연</v>
          </cell>
          <cell r="F1845">
            <v>1</v>
          </cell>
          <cell r="G1845" t="str">
            <v>A</v>
          </cell>
          <cell r="H1845">
            <v>4</v>
          </cell>
        </row>
        <row r="1846">
          <cell r="A1846">
            <v>70413055</v>
          </cell>
          <cell r="B1846" t="str">
            <v>디퀴스의 석구</v>
          </cell>
          <cell r="C1846" t="str">
            <v>지리</v>
          </cell>
          <cell r="D1846">
            <v>1</v>
          </cell>
          <cell r="E1846" t="str">
            <v>자연</v>
          </cell>
          <cell r="F1846">
            <v>1</v>
          </cell>
          <cell r="G1846" t="str">
            <v>A</v>
          </cell>
          <cell r="H1846">
            <v>4</v>
          </cell>
        </row>
        <row r="1847">
          <cell r="A1847">
            <v>70413056</v>
          </cell>
          <cell r="B1847" t="str">
            <v>라도가호</v>
          </cell>
          <cell r="C1847" t="str">
            <v>지리</v>
          </cell>
          <cell r="D1847">
            <v>1</v>
          </cell>
          <cell r="E1847" t="str">
            <v>자연</v>
          </cell>
          <cell r="F1847">
            <v>1</v>
          </cell>
          <cell r="G1847" t="str">
            <v>A</v>
          </cell>
          <cell r="H1847">
            <v>4</v>
          </cell>
        </row>
        <row r="1848">
          <cell r="A1848">
            <v>70413057</v>
          </cell>
          <cell r="B1848" t="str">
            <v>라플라타강</v>
          </cell>
          <cell r="C1848" t="str">
            <v>지리</v>
          </cell>
          <cell r="D1848">
            <v>1</v>
          </cell>
          <cell r="E1848" t="str">
            <v>자연</v>
          </cell>
          <cell r="F1848">
            <v>1</v>
          </cell>
          <cell r="G1848" t="str">
            <v>B</v>
          </cell>
          <cell r="H1848">
            <v>3</v>
          </cell>
        </row>
        <row r="1849">
          <cell r="A1849">
            <v>70413058</v>
          </cell>
          <cell r="B1849" t="str">
            <v>란위섬</v>
          </cell>
          <cell r="C1849" t="str">
            <v>지리</v>
          </cell>
          <cell r="D1849">
            <v>1</v>
          </cell>
          <cell r="E1849" t="str">
            <v>자연</v>
          </cell>
          <cell r="F1849">
            <v>1</v>
          </cell>
          <cell r="G1849" t="str">
            <v>B</v>
          </cell>
          <cell r="H1849">
            <v>3</v>
          </cell>
        </row>
        <row r="1850">
          <cell r="A1850">
            <v>70413059</v>
          </cell>
          <cell r="B1850" t="str">
            <v>래브라도반도</v>
          </cell>
          <cell r="C1850" t="str">
            <v>지리</v>
          </cell>
          <cell r="D1850">
            <v>1</v>
          </cell>
          <cell r="E1850" t="str">
            <v>자연</v>
          </cell>
          <cell r="F1850">
            <v>1</v>
          </cell>
          <cell r="G1850" t="str">
            <v>C</v>
          </cell>
          <cell r="H1850">
            <v>2</v>
          </cell>
        </row>
        <row r="1851">
          <cell r="A1851">
            <v>70413060</v>
          </cell>
          <cell r="B1851" t="str">
            <v>래브라도해류</v>
          </cell>
          <cell r="C1851" t="str">
            <v>지리</v>
          </cell>
          <cell r="D1851">
            <v>1</v>
          </cell>
          <cell r="E1851" t="str">
            <v>자연</v>
          </cell>
          <cell r="F1851">
            <v>1</v>
          </cell>
          <cell r="G1851" t="str">
            <v>B</v>
          </cell>
          <cell r="H1851">
            <v>3</v>
          </cell>
        </row>
        <row r="1852">
          <cell r="A1852">
            <v>70413061</v>
          </cell>
          <cell r="B1852" t="str">
            <v>래카다이브제도</v>
          </cell>
          <cell r="C1852" t="str">
            <v>지리</v>
          </cell>
          <cell r="D1852">
            <v>1</v>
          </cell>
          <cell r="E1852" t="str">
            <v>자연</v>
          </cell>
          <cell r="F1852">
            <v>1</v>
          </cell>
          <cell r="G1852" t="str">
            <v>B</v>
          </cell>
          <cell r="H1852">
            <v>3</v>
          </cell>
        </row>
        <row r="1853">
          <cell r="A1853">
            <v>70413062</v>
          </cell>
          <cell r="B1853" t="str">
            <v>랜즈엔드곶</v>
          </cell>
          <cell r="C1853" t="str">
            <v>지리</v>
          </cell>
          <cell r="D1853">
            <v>1</v>
          </cell>
          <cell r="E1853" t="str">
            <v>자연</v>
          </cell>
          <cell r="F1853">
            <v>1</v>
          </cell>
          <cell r="G1853" t="str">
            <v>B</v>
          </cell>
          <cell r="H1853">
            <v>3</v>
          </cell>
        </row>
        <row r="1854">
          <cell r="A1854">
            <v>70413063</v>
          </cell>
          <cell r="B1854" t="str">
            <v>랭겔섬</v>
          </cell>
          <cell r="C1854" t="str">
            <v>지리</v>
          </cell>
          <cell r="D1854">
            <v>1</v>
          </cell>
          <cell r="E1854" t="str">
            <v>자연</v>
          </cell>
          <cell r="F1854">
            <v>1</v>
          </cell>
          <cell r="G1854" t="str">
            <v>S</v>
          </cell>
          <cell r="H1854">
            <v>5</v>
          </cell>
        </row>
        <row r="1855">
          <cell r="A1855">
            <v>70413064</v>
          </cell>
          <cell r="B1855" t="str">
            <v>레드베이</v>
          </cell>
          <cell r="C1855" t="str">
            <v>지리</v>
          </cell>
          <cell r="D1855">
            <v>1</v>
          </cell>
          <cell r="E1855" t="str">
            <v>자연</v>
          </cell>
          <cell r="F1855">
            <v>1</v>
          </cell>
          <cell r="G1855" t="str">
            <v>D</v>
          </cell>
          <cell r="H1855">
            <v>1</v>
          </cell>
          <cell r="AW1855" t="str">
            <v/>
          </cell>
          <cell r="BA1855" t="str">
            <v>-</v>
          </cell>
        </row>
        <row r="1856">
          <cell r="A1856">
            <v>70413065</v>
          </cell>
          <cell r="B1856" t="str">
            <v>레바논산맥</v>
          </cell>
          <cell r="C1856" t="str">
            <v>지리</v>
          </cell>
          <cell r="D1856">
            <v>1</v>
          </cell>
          <cell r="E1856" t="str">
            <v>자연</v>
          </cell>
          <cell r="F1856">
            <v>1</v>
          </cell>
          <cell r="G1856" t="str">
            <v>B</v>
          </cell>
          <cell r="H1856">
            <v>3</v>
          </cell>
        </row>
        <row r="1857">
          <cell r="A1857">
            <v>70413066</v>
          </cell>
          <cell r="B1857" t="str">
            <v>레베크곶</v>
          </cell>
          <cell r="C1857" t="str">
            <v>지리</v>
          </cell>
          <cell r="D1857">
            <v>1</v>
          </cell>
          <cell r="E1857" t="str">
            <v>자연</v>
          </cell>
          <cell r="F1857">
            <v>1</v>
          </cell>
          <cell r="G1857" t="str">
            <v>A</v>
          </cell>
          <cell r="H1857">
            <v>4</v>
          </cell>
        </row>
        <row r="1858">
          <cell r="A1858">
            <v>70413067</v>
          </cell>
          <cell r="B1858" t="str">
            <v>레트바 호수</v>
          </cell>
          <cell r="C1858" t="str">
            <v>지리</v>
          </cell>
          <cell r="D1858">
            <v>1</v>
          </cell>
          <cell r="E1858" t="str">
            <v>자연</v>
          </cell>
          <cell r="F1858">
            <v>1</v>
          </cell>
          <cell r="G1858" t="str">
            <v>S</v>
          </cell>
          <cell r="H1858">
            <v>5</v>
          </cell>
        </row>
        <row r="1859">
          <cell r="A1859">
            <v>70413068</v>
          </cell>
          <cell r="B1859" t="str">
            <v>로도스섬</v>
          </cell>
          <cell r="C1859" t="str">
            <v>지리</v>
          </cell>
          <cell r="D1859">
            <v>1</v>
          </cell>
          <cell r="E1859" t="str">
            <v>자연</v>
          </cell>
          <cell r="F1859">
            <v>1</v>
          </cell>
          <cell r="G1859" t="str">
            <v>C</v>
          </cell>
          <cell r="H1859">
            <v>2</v>
          </cell>
        </row>
        <row r="1860">
          <cell r="A1860">
            <v>70413069</v>
          </cell>
          <cell r="B1860" t="str">
            <v>로카곶</v>
          </cell>
          <cell r="C1860" t="str">
            <v>지리</v>
          </cell>
          <cell r="D1860">
            <v>1</v>
          </cell>
          <cell r="E1860" t="str">
            <v>자연</v>
          </cell>
          <cell r="F1860">
            <v>1</v>
          </cell>
          <cell r="G1860" t="str">
            <v>C</v>
          </cell>
          <cell r="H1860">
            <v>2</v>
          </cell>
        </row>
        <row r="1861">
          <cell r="A1861">
            <v>70413070</v>
          </cell>
          <cell r="B1861" t="str">
            <v>로키산맥</v>
          </cell>
          <cell r="C1861" t="str">
            <v>지리</v>
          </cell>
          <cell r="D1861">
            <v>1</v>
          </cell>
          <cell r="E1861" t="str">
            <v>자연</v>
          </cell>
          <cell r="F1861">
            <v>1</v>
          </cell>
          <cell r="G1861" t="str">
            <v>A</v>
          </cell>
          <cell r="H1861">
            <v>4</v>
          </cell>
        </row>
        <row r="1862">
          <cell r="A1862">
            <v>70413071</v>
          </cell>
          <cell r="B1862" t="str">
            <v>롱레인지산맥</v>
          </cell>
          <cell r="C1862" t="str">
            <v>지리</v>
          </cell>
          <cell r="D1862">
            <v>1</v>
          </cell>
          <cell r="E1862" t="str">
            <v>자연</v>
          </cell>
          <cell r="F1862">
            <v>1</v>
          </cell>
          <cell r="G1862" t="str">
            <v>B</v>
          </cell>
          <cell r="H1862">
            <v>3</v>
          </cell>
        </row>
        <row r="1863">
          <cell r="A1863">
            <v>70413072</v>
          </cell>
          <cell r="B1863" t="str">
            <v>롱아일랜드섬</v>
          </cell>
          <cell r="C1863" t="str">
            <v>지리</v>
          </cell>
          <cell r="D1863">
            <v>1</v>
          </cell>
          <cell r="E1863" t="str">
            <v>자연</v>
          </cell>
          <cell r="F1863">
            <v>1</v>
          </cell>
          <cell r="G1863" t="str">
            <v>C</v>
          </cell>
          <cell r="H1863">
            <v>2</v>
          </cell>
        </row>
        <row r="1864">
          <cell r="A1864">
            <v>70413073</v>
          </cell>
          <cell r="B1864" t="str">
            <v>루손섬</v>
          </cell>
          <cell r="C1864" t="str">
            <v>지리</v>
          </cell>
          <cell r="D1864">
            <v>1</v>
          </cell>
          <cell r="E1864" t="str">
            <v>자연</v>
          </cell>
          <cell r="F1864">
            <v>1</v>
          </cell>
          <cell r="G1864" t="str">
            <v>B</v>
          </cell>
          <cell r="H1864">
            <v>3</v>
          </cell>
        </row>
        <row r="1865">
          <cell r="A1865">
            <v>70413074</v>
          </cell>
          <cell r="B1865" t="str">
            <v>루윈곶</v>
          </cell>
          <cell r="C1865" t="str">
            <v>지리</v>
          </cell>
          <cell r="D1865">
            <v>1</v>
          </cell>
          <cell r="E1865" t="str">
            <v>자연</v>
          </cell>
          <cell r="F1865">
            <v>1</v>
          </cell>
          <cell r="G1865" t="str">
            <v>A</v>
          </cell>
          <cell r="H1865">
            <v>4</v>
          </cell>
        </row>
        <row r="1866">
          <cell r="A1866">
            <v>70413075</v>
          </cell>
          <cell r="B1866" t="str">
            <v>루이스섬</v>
          </cell>
          <cell r="C1866" t="str">
            <v>지리</v>
          </cell>
          <cell r="D1866">
            <v>1</v>
          </cell>
          <cell r="E1866" t="str">
            <v>자연</v>
          </cell>
          <cell r="F1866">
            <v>1</v>
          </cell>
          <cell r="G1866" t="str">
            <v>B</v>
          </cell>
          <cell r="H1866">
            <v>3</v>
          </cell>
        </row>
        <row r="1867">
          <cell r="A1867">
            <v>70413076</v>
          </cell>
          <cell r="B1867" t="str">
            <v>류큐</v>
          </cell>
          <cell r="C1867" t="str">
            <v>지리</v>
          </cell>
          <cell r="D1867">
            <v>1</v>
          </cell>
          <cell r="E1867" t="str">
            <v>자연</v>
          </cell>
          <cell r="F1867">
            <v>1</v>
          </cell>
          <cell r="G1867" t="str">
            <v>A</v>
          </cell>
          <cell r="H1867">
            <v>4</v>
          </cell>
        </row>
        <row r="1868">
          <cell r="A1868">
            <v>70413077</v>
          </cell>
          <cell r="B1868" t="str">
            <v>마다가스카르섬</v>
          </cell>
          <cell r="C1868" t="str">
            <v>지리</v>
          </cell>
          <cell r="D1868">
            <v>1</v>
          </cell>
          <cell r="E1868" t="str">
            <v>자연</v>
          </cell>
          <cell r="F1868">
            <v>1</v>
          </cell>
          <cell r="G1868" t="str">
            <v>B</v>
          </cell>
          <cell r="H1868">
            <v>3</v>
          </cell>
        </row>
        <row r="1869">
          <cell r="A1869">
            <v>70413078</v>
          </cell>
          <cell r="B1869" t="str">
            <v>마라조섬</v>
          </cell>
          <cell r="C1869" t="str">
            <v>지리</v>
          </cell>
          <cell r="D1869">
            <v>1</v>
          </cell>
          <cell r="E1869" t="str">
            <v>자연</v>
          </cell>
          <cell r="F1869">
            <v>1</v>
          </cell>
          <cell r="G1869" t="str">
            <v>B</v>
          </cell>
          <cell r="H1869">
            <v>3</v>
          </cell>
        </row>
        <row r="1870">
          <cell r="A1870">
            <v>70413079</v>
          </cell>
          <cell r="B1870" t="str">
            <v>마라카이보호</v>
          </cell>
          <cell r="C1870" t="str">
            <v>지리</v>
          </cell>
          <cell r="D1870">
            <v>1</v>
          </cell>
          <cell r="E1870" t="str">
            <v>자연</v>
          </cell>
          <cell r="F1870">
            <v>1</v>
          </cell>
          <cell r="G1870" t="str">
            <v>S</v>
          </cell>
          <cell r="H1870">
            <v>5</v>
          </cell>
        </row>
        <row r="1871">
          <cell r="A1871">
            <v>70413080</v>
          </cell>
          <cell r="B1871" t="str">
            <v>마르가리타섬</v>
          </cell>
          <cell r="C1871" t="str">
            <v>지리</v>
          </cell>
          <cell r="D1871">
            <v>1</v>
          </cell>
          <cell r="E1871" t="str">
            <v>자연</v>
          </cell>
          <cell r="F1871">
            <v>1</v>
          </cell>
          <cell r="G1871" t="str">
            <v>B</v>
          </cell>
          <cell r="H1871">
            <v>3</v>
          </cell>
        </row>
        <row r="1872">
          <cell r="A1872">
            <v>70413081</v>
          </cell>
          <cell r="B1872" t="str">
            <v>마르 산맥</v>
          </cell>
          <cell r="C1872" t="str">
            <v>지리</v>
          </cell>
          <cell r="D1872">
            <v>1</v>
          </cell>
          <cell r="E1872" t="str">
            <v>자연</v>
          </cell>
          <cell r="F1872">
            <v>1</v>
          </cell>
          <cell r="G1872" t="str">
            <v>A</v>
          </cell>
          <cell r="H1872">
            <v>4</v>
          </cell>
        </row>
        <row r="1873">
          <cell r="A1873">
            <v>70413082</v>
          </cell>
          <cell r="B1873" t="str">
            <v>마르퀴즈 제도</v>
          </cell>
          <cell r="C1873" t="str">
            <v>지리</v>
          </cell>
          <cell r="D1873">
            <v>1</v>
          </cell>
          <cell r="E1873" t="str">
            <v>자연</v>
          </cell>
          <cell r="F1873">
            <v>1</v>
          </cell>
          <cell r="G1873" t="str">
            <v>B</v>
          </cell>
          <cell r="H1873">
            <v>3</v>
          </cell>
        </row>
        <row r="1874">
          <cell r="A1874">
            <v>70413083</v>
          </cell>
          <cell r="B1874" t="str">
            <v>마르티니크</v>
          </cell>
          <cell r="C1874" t="str">
            <v>지리</v>
          </cell>
          <cell r="D1874">
            <v>1</v>
          </cell>
          <cell r="E1874" t="str">
            <v>자연</v>
          </cell>
          <cell r="F1874">
            <v>1</v>
          </cell>
          <cell r="G1874" t="str">
            <v>A</v>
          </cell>
          <cell r="H1874">
            <v>4</v>
          </cell>
        </row>
        <row r="1875">
          <cell r="A1875">
            <v>70413084</v>
          </cell>
          <cell r="B1875" t="str">
            <v>마스카렌 제도</v>
          </cell>
          <cell r="C1875" t="str">
            <v>지리</v>
          </cell>
          <cell r="D1875">
            <v>1</v>
          </cell>
          <cell r="E1875" t="str">
            <v>자연</v>
          </cell>
          <cell r="F1875">
            <v>1</v>
          </cell>
          <cell r="G1875" t="str">
            <v>B</v>
          </cell>
          <cell r="H1875">
            <v>3</v>
          </cell>
        </row>
        <row r="1876">
          <cell r="A1876">
            <v>70413085</v>
          </cell>
          <cell r="B1876" t="str">
            <v>마우나 케아</v>
          </cell>
          <cell r="C1876" t="str">
            <v>지리</v>
          </cell>
          <cell r="D1876">
            <v>1</v>
          </cell>
          <cell r="E1876" t="str">
            <v>자연</v>
          </cell>
          <cell r="F1876">
            <v>1</v>
          </cell>
          <cell r="G1876" t="str">
            <v>S</v>
          </cell>
          <cell r="H1876">
            <v>5</v>
          </cell>
          <cell r="AW1876" t="str">
            <v>무조건 실패</v>
          </cell>
          <cell r="BA1876">
            <v>1</v>
          </cell>
        </row>
        <row r="1877">
          <cell r="A1877">
            <v>70413086</v>
          </cell>
          <cell r="B1877" t="str">
            <v>마우이섬</v>
          </cell>
          <cell r="C1877" t="str">
            <v>지리</v>
          </cell>
          <cell r="D1877">
            <v>1</v>
          </cell>
          <cell r="E1877" t="str">
            <v>자연</v>
          </cell>
          <cell r="F1877">
            <v>1</v>
          </cell>
          <cell r="G1877" t="str">
            <v>B</v>
          </cell>
          <cell r="H1877">
            <v>3</v>
          </cell>
        </row>
        <row r="1878">
          <cell r="A1878">
            <v>70413087</v>
          </cell>
          <cell r="B1878" t="str">
            <v>마운트데저트섬</v>
          </cell>
          <cell r="C1878" t="str">
            <v>지리</v>
          </cell>
          <cell r="D1878">
            <v>1</v>
          </cell>
          <cell r="E1878" t="str">
            <v>자연</v>
          </cell>
          <cell r="F1878">
            <v>1</v>
          </cell>
          <cell r="G1878" t="str">
            <v>B</v>
          </cell>
          <cell r="H1878">
            <v>3</v>
          </cell>
        </row>
        <row r="1879">
          <cell r="A1879">
            <v>70413089</v>
          </cell>
          <cell r="B1879" t="str">
            <v>마카사르해협</v>
          </cell>
          <cell r="C1879" t="str">
            <v>지리</v>
          </cell>
          <cell r="D1879">
            <v>1</v>
          </cell>
          <cell r="E1879" t="str">
            <v>자연</v>
          </cell>
          <cell r="F1879">
            <v>1</v>
          </cell>
          <cell r="G1879" t="str">
            <v>B</v>
          </cell>
          <cell r="H1879">
            <v>3</v>
          </cell>
        </row>
        <row r="1880">
          <cell r="A1880">
            <v>70413090</v>
          </cell>
          <cell r="B1880" t="str">
            <v>막가딕가디 판</v>
          </cell>
          <cell r="C1880" t="str">
            <v>지리</v>
          </cell>
          <cell r="D1880">
            <v>1</v>
          </cell>
          <cell r="E1880" t="str">
            <v>자연</v>
          </cell>
          <cell r="F1880">
            <v>1</v>
          </cell>
          <cell r="G1880" t="str">
            <v>A</v>
          </cell>
          <cell r="H1880">
            <v>4</v>
          </cell>
        </row>
        <row r="1881">
          <cell r="A1881">
            <v>70413091</v>
          </cell>
          <cell r="B1881" t="str">
            <v>믈라카해협</v>
          </cell>
          <cell r="C1881" t="str">
            <v>지리</v>
          </cell>
          <cell r="D1881">
            <v>1</v>
          </cell>
          <cell r="E1881" t="str">
            <v>자연</v>
          </cell>
          <cell r="F1881">
            <v>1</v>
          </cell>
          <cell r="G1881" t="str">
            <v>C</v>
          </cell>
          <cell r="H1881">
            <v>2</v>
          </cell>
        </row>
        <row r="1882">
          <cell r="A1882">
            <v>70413092</v>
          </cell>
          <cell r="B1882" t="str">
            <v>말레이반도</v>
          </cell>
          <cell r="C1882" t="str">
            <v>지리</v>
          </cell>
          <cell r="D1882">
            <v>1</v>
          </cell>
          <cell r="E1882" t="str">
            <v>자연</v>
          </cell>
          <cell r="F1882">
            <v>1</v>
          </cell>
          <cell r="G1882" t="str">
            <v>D</v>
          </cell>
          <cell r="H1882">
            <v>1</v>
          </cell>
          <cell r="AW1882" t="str">
            <v/>
          </cell>
          <cell r="BA1882" t="str">
            <v>-</v>
          </cell>
        </row>
        <row r="1883">
          <cell r="A1883">
            <v>70413093</v>
          </cell>
          <cell r="B1883" t="str">
            <v>매머드 동굴</v>
          </cell>
          <cell r="C1883" t="str">
            <v>지리</v>
          </cell>
          <cell r="D1883">
            <v>1</v>
          </cell>
          <cell r="E1883" t="str">
            <v>자연</v>
          </cell>
          <cell r="F1883">
            <v>1</v>
          </cell>
          <cell r="G1883" t="str">
            <v>A</v>
          </cell>
          <cell r="H1883">
            <v>4</v>
          </cell>
        </row>
        <row r="1884">
          <cell r="A1884">
            <v>70413094</v>
          </cell>
          <cell r="B1884" t="str">
            <v>맨섬</v>
          </cell>
          <cell r="C1884" t="str">
            <v>지리</v>
          </cell>
          <cell r="D1884">
            <v>1</v>
          </cell>
          <cell r="E1884" t="str">
            <v>자연</v>
          </cell>
          <cell r="F1884">
            <v>1</v>
          </cell>
          <cell r="G1884" t="str">
            <v>A</v>
          </cell>
          <cell r="H1884">
            <v>4</v>
          </cell>
        </row>
        <row r="1885">
          <cell r="A1885">
            <v>70413095</v>
          </cell>
          <cell r="B1885" t="str">
            <v>머나드녹</v>
          </cell>
          <cell r="C1885" t="str">
            <v>지리</v>
          </cell>
          <cell r="D1885">
            <v>1</v>
          </cell>
          <cell r="E1885" t="str">
            <v>자연</v>
          </cell>
          <cell r="F1885">
            <v>1</v>
          </cell>
          <cell r="G1885" t="str">
            <v>A</v>
          </cell>
          <cell r="H1885">
            <v>4</v>
          </cell>
        </row>
        <row r="1886">
          <cell r="A1886">
            <v>70413096</v>
          </cell>
          <cell r="B1886" t="str">
            <v>머지강</v>
          </cell>
          <cell r="C1886" t="str">
            <v>지리</v>
          </cell>
          <cell r="D1886">
            <v>1</v>
          </cell>
          <cell r="E1886" t="str">
            <v>자연</v>
          </cell>
          <cell r="F1886">
            <v>1</v>
          </cell>
          <cell r="G1886" t="str">
            <v>D</v>
          </cell>
          <cell r="H1886">
            <v>1</v>
          </cell>
          <cell r="AW1886" t="str">
            <v/>
          </cell>
          <cell r="BA1886" t="str">
            <v>-</v>
          </cell>
        </row>
        <row r="1887">
          <cell r="A1887">
            <v>70413097</v>
          </cell>
          <cell r="B1887" t="str">
            <v>메노르카섬</v>
          </cell>
          <cell r="C1887" t="str">
            <v>지리</v>
          </cell>
          <cell r="D1887">
            <v>1</v>
          </cell>
          <cell r="E1887" t="str">
            <v>자연</v>
          </cell>
          <cell r="F1887">
            <v>1</v>
          </cell>
          <cell r="G1887" t="str">
            <v>B</v>
          </cell>
          <cell r="H1887">
            <v>3</v>
          </cell>
        </row>
        <row r="1888">
          <cell r="A1888">
            <v>70413098</v>
          </cell>
          <cell r="B1888" t="str">
            <v>메사</v>
          </cell>
          <cell r="C1888" t="str">
            <v>지리</v>
          </cell>
          <cell r="D1888">
            <v>1</v>
          </cell>
          <cell r="E1888" t="str">
            <v>자연</v>
          </cell>
          <cell r="F1888">
            <v>1</v>
          </cell>
          <cell r="G1888" t="str">
            <v>C</v>
          </cell>
          <cell r="H1888">
            <v>2</v>
          </cell>
        </row>
        <row r="1889">
          <cell r="A1889">
            <v>70413099</v>
          </cell>
          <cell r="B1889" t="str">
            <v>메시나해협</v>
          </cell>
          <cell r="C1889" t="str">
            <v>지리</v>
          </cell>
          <cell r="D1889">
            <v>1</v>
          </cell>
          <cell r="E1889" t="str">
            <v>자연</v>
          </cell>
          <cell r="F1889">
            <v>1</v>
          </cell>
          <cell r="G1889" t="str">
            <v>C</v>
          </cell>
          <cell r="H1889">
            <v>2</v>
          </cell>
        </row>
        <row r="1890">
          <cell r="A1890">
            <v>70413100</v>
          </cell>
          <cell r="B1890" t="str">
            <v>메콩강</v>
          </cell>
          <cell r="C1890" t="str">
            <v>지리</v>
          </cell>
          <cell r="D1890">
            <v>1</v>
          </cell>
          <cell r="E1890" t="str">
            <v>자연</v>
          </cell>
          <cell r="F1890">
            <v>1</v>
          </cell>
          <cell r="G1890" t="str">
            <v>A</v>
          </cell>
          <cell r="H1890">
            <v>4</v>
          </cell>
        </row>
        <row r="1891">
          <cell r="A1891">
            <v>70413101</v>
          </cell>
          <cell r="B1891" t="str">
            <v>메콩삼각주</v>
          </cell>
          <cell r="C1891" t="str">
            <v>지리</v>
          </cell>
          <cell r="D1891">
            <v>1</v>
          </cell>
          <cell r="E1891" t="str">
            <v>자연</v>
          </cell>
          <cell r="F1891">
            <v>1</v>
          </cell>
          <cell r="G1891" t="str">
            <v>B</v>
          </cell>
          <cell r="H1891">
            <v>3</v>
          </cell>
          <cell r="AW1891" t="str">
            <v>특정 직업 항해사 보유</v>
          </cell>
          <cell r="AY1891" t="str">
            <v>지리학자</v>
          </cell>
          <cell r="BA1891">
            <v>3</v>
          </cell>
        </row>
        <row r="1892">
          <cell r="A1892">
            <v>70413102</v>
          </cell>
          <cell r="B1892" t="str">
            <v>멕시코만</v>
          </cell>
          <cell r="C1892" t="str">
            <v>지리</v>
          </cell>
          <cell r="D1892">
            <v>1</v>
          </cell>
          <cell r="E1892" t="str">
            <v>자연</v>
          </cell>
          <cell r="F1892">
            <v>1</v>
          </cell>
          <cell r="G1892" t="str">
            <v>C</v>
          </cell>
          <cell r="H1892">
            <v>2</v>
          </cell>
        </row>
        <row r="1893">
          <cell r="A1893">
            <v>70413103</v>
          </cell>
          <cell r="B1893" t="str">
            <v>멕시코만류</v>
          </cell>
          <cell r="C1893" t="str">
            <v>지리</v>
          </cell>
          <cell r="D1893">
            <v>1</v>
          </cell>
          <cell r="E1893" t="str">
            <v>자연</v>
          </cell>
          <cell r="F1893">
            <v>1</v>
          </cell>
          <cell r="G1893" t="str">
            <v>D</v>
          </cell>
          <cell r="H1893">
            <v>1</v>
          </cell>
          <cell r="AW1893" t="str">
            <v/>
          </cell>
        </row>
        <row r="1894">
          <cell r="A1894">
            <v>70413104</v>
          </cell>
          <cell r="B1894" t="str">
            <v>모닝턴섬</v>
          </cell>
          <cell r="C1894" t="str">
            <v>지리</v>
          </cell>
          <cell r="D1894">
            <v>1</v>
          </cell>
          <cell r="E1894" t="str">
            <v>자연</v>
          </cell>
          <cell r="F1894">
            <v>1</v>
          </cell>
          <cell r="G1894" t="str">
            <v>B</v>
          </cell>
          <cell r="H1894">
            <v>3</v>
          </cell>
        </row>
        <row r="1895">
          <cell r="A1895">
            <v>70413105</v>
          </cell>
          <cell r="B1895" t="str">
            <v>모레아</v>
          </cell>
          <cell r="C1895" t="str">
            <v>지리</v>
          </cell>
          <cell r="D1895">
            <v>1</v>
          </cell>
          <cell r="E1895" t="str">
            <v>자연</v>
          </cell>
          <cell r="F1895">
            <v>1</v>
          </cell>
          <cell r="G1895" t="str">
            <v>C</v>
          </cell>
          <cell r="H1895">
            <v>2</v>
          </cell>
        </row>
        <row r="1896">
          <cell r="A1896">
            <v>70413106</v>
          </cell>
          <cell r="B1896" t="str">
            <v>모레인 호수</v>
          </cell>
          <cell r="C1896" t="str">
            <v>지리</v>
          </cell>
          <cell r="D1896">
            <v>1</v>
          </cell>
          <cell r="E1896" t="str">
            <v>자연</v>
          </cell>
          <cell r="F1896">
            <v>1</v>
          </cell>
          <cell r="G1896" t="str">
            <v>A</v>
          </cell>
          <cell r="H1896">
            <v>4</v>
          </cell>
        </row>
        <row r="1897">
          <cell r="A1897">
            <v>70413107</v>
          </cell>
          <cell r="B1897" t="str">
            <v>모에라키 바위</v>
          </cell>
          <cell r="C1897" t="str">
            <v>지리</v>
          </cell>
          <cell r="D1897">
            <v>1</v>
          </cell>
          <cell r="E1897" t="str">
            <v>자연</v>
          </cell>
          <cell r="F1897">
            <v>1</v>
          </cell>
          <cell r="G1897" t="str">
            <v>S</v>
          </cell>
          <cell r="H1897">
            <v>5</v>
          </cell>
        </row>
        <row r="1898">
          <cell r="A1898">
            <v>70413108</v>
          </cell>
          <cell r="B1898" t="str">
            <v>모허 절벽</v>
          </cell>
          <cell r="C1898" t="str">
            <v>지리</v>
          </cell>
          <cell r="D1898">
            <v>1</v>
          </cell>
          <cell r="E1898" t="str">
            <v>자연</v>
          </cell>
          <cell r="F1898">
            <v>1</v>
          </cell>
          <cell r="G1898" t="str">
            <v>B</v>
          </cell>
          <cell r="H1898">
            <v>3</v>
          </cell>
        </row>
        <row r="1899">
          <cell r="A1899">
            <v>70413109</v>
          </cell>
          <cell r="B1899" t="str">
            <v>몰디브제도</v>
          </cell>
          <cell r="C1899" t="str">
            <v>지리</v>
          </cell>
          <cell r="D1899">
            <v>1</v>
          </cell>
          <cell r="E1899" t="str">
            <v>자연</v>
          </cell>
          <cell r="F1899">
            <v>1</v>
          </cell>
          <cell r="G1899" t="str">
            <v>A</v>
          </cell>
          <cell r="H1899">
            <v>4</v>
          </cell>
        </row>
        <row r="1900">
          <cell r="A1900">
            <v>70413110</v>
          </cell>
          <cell r="B1900" t="str">
            <v>말루쿠제도</v>
          </cell>
          <cell r="C1900" t="str">
            <v>지리</v>
          </cell>
          <cell r="D1900">
            <v>1</v>
          </cell>
          <cell r="E1900" t="str">
            <v>자연</v>
          </cell>
          <cell r="F1900">
            <v>1</v>
          </cell>
          <cell r="G1900" t="str">
            <v>B</v>
          </cell>
          <cell r="H1900">
            <v>3</v>
          </cell>
        </row>
        <row r="1901">
          <cell r="A1901">
            <v>70413111</v>
          </cell>
          <cell r="B1901" t="str">
            <v>말루쿠해</v>
          </cell>
          <cell r="C1901" t="str">
            <v>지리</v>
          </cell>
          <cell r="D1901">
            <v>1</v>
          </cell>
          <cell r="E1901" t="str">
            <v>자연</v>
          </cell>
          <cell r="F1901">
            <v>1</v>
          </cell>
          <cell r="G1901" t="str">
            <v>D</v>
          </cell>
          <cell r="H1901">
            <v>1</v>
          </cell>
          <cell r="AW1901" t="str">
            <v/>
          </cell>
          <cell r="BA1901" t="str">
            <v>-</v>
          </cell>
        </row>
        <row r="1902">
          <cell r="A1902">
            <v>70413112</v>
          </cell>
          <cell r="B1902" t="str">
            <v>말루쿠해협</v>
          </cell>
          <cell r="C1902" t="str">
            <v>지리</v>
          </cell>
          <cell r="D1902">
            <v>1</v>
          </cell>
          <cell r="E1902" t="str">
            <v>자연</v>
          </cell>
          <cell r="F1902">
            <v>1</v>
          </cell>
          <cell r="G1902" t="str">
            <v>C</v>
          </cell>
          <cell r="H1902">
            <v>2</v>
          </cell>
        </row>
        <row r="1903">
          <cell r="A1903">
            <v>70413113</v>
          </cell>
          <cell r="B1903" t="str">
            <v>몰타섬</v>
          </cell>
          <cell r="C1903" t="str">
            <v>지리</v>
          </cell>
          <cell r="D1903">
            <v>1</v>
          </cell>
          <cell r="E1903" t="str">
            <v>자연</v>
          </cell>
          <cell r="F1903">
            <v>1</v>
          </cell>
          <cell r="G1903" t="str">
            <v>B</v>
          </cell>
          <cell r="H1903">
            <v>3</v>
          </cell>
        </row>
        <row r="1904">
          <cell r="A1904">
            <v>70413114</v>
          </cell>
          <cell r="B1904" t="str">
            <v>몽골고원</v>
          </cell>
          <cell r="C1904" t="str">
            <v>지리</v>
          </cell>
          <cell r="D1904">
            <v>1</v>
          </cell>
          <cell r="E1904" t="str">
            <v>자연</v>
          </cell>
          <cell r="F1904">
            <v>1</v>
          </cell>
          <cell r="G1904" t="str">
            <v>B</v>
          </cell>
          <cell r="H1904">
            <v>3</v>
          </cell>
        </row>
        <row r="1905">
          <cell r="A1905">
            <v>70413115</v>
          </cell>
          <cell r="B1905" t="str">
            <v>무릉원</v>
          </cell>
          <cell r="C1905" t="str">
            <v>지리</v>
          </cell>
          <cell r="D1905">
            <v>1</v>
          </cell>
          <cell r="E1905" t="str">
            <v>자연</v>
          </cell>
          <cell r="F1905">
            <v>1</v>
          </cell>
          <cell r="G1905" t="str">
            <v>S</v>
          </cell>
          <cell r="H1905">
            <v>5</v>
          </cell>
        </row>
        <row r="1906">
          <cell r="A1906">
            <v>70413116</v>
          </cell>
          <cell r="B1906" t="str">
            <v>우이산</v>
          </cell>
          <cell r="C1906" t="str">
            <v>지리</v>
          </cell>
          <cell r="D1906">
            <v>1</v>
          </cell>
          <cell r="E1906" t="str">
            <v>자연</v>
          </cell>
          <cell r="F1906">
            <v>1</v>
          </cell>
          <cell r="G1906" t="str">
            <v>B</v>
          </cell>
          <cell r="H1906">
            <v>3</v>
          </cell>
        </row>
        <row r="1907">
          <cell r="A1907">
            <v>70413117</v>
          </cell>
          <cell r="B1907" t="str">
            <v>미시시피강</v>
          </cell>
          <cell r="C1907" t="str">
            <v>지리</v>
          </cell>
          <cell r="D1907">
            <v>1</v>
          </cell>
          <cell r="E1907" t="str">
            <v>자연</v>
          </cell>
          <cell r="F1907">
            <v>1</v>
          </cell>
          <cell r="G1907" t="str">
            <v>A</v>
          </cell>
          <cell r="H1907">
            <v>4</v>
          </cell>
        </row>
        <row r="1908">
          <cell r="A1908">
            <v>70413118</v>
          </cell>
          <cell r="B1908" t="str">
            <v>민다나오섬</v>
          </cell>
          <cell r="C1908" t="str">
            <v>지리</v>
          </cell>
          <cell r="D1908">
            <v>1</v>
          </cell>
          <cell r="E1908" t="str">
            <v>자연</v>
          </cell>
          <cell r="F1908">
            <v>1</v>
          </cell>
          <cell r="G1908" t="str">
            <v>B</v>
          </cell>
          <cell r="H1908">
            <v>3</v>
          </cell>
        </row>
        <row r="1909">
          <cell r="A1909">
            <v>70413119</v>
          </cell>
          <cell r="B1909" t="str">
            <v>바브엘만데브해협</v>
          </cell>
          <cell r="C1909" t="str">
            <v>지리</v>
          </cell>
          <cell r="D1909">
            <v>1</v>
          </cell>
          <cell r="E1909" t="str">
            <v>자연</v>
          </cell>
          <cell r="F1909">
            <v>1</v>
          </cell>
          <cell r="G1909" t="str">
            <v>B</v>
          </cell>
          <cell r="H1909">
            <v>3</v>
          </cell>
        </row>
        <row r="1910">
          <cell r="A1910">
            <v>70413120</v>
          </cell>
          <cell r="B1910" t="str">
            <v>바이칼호</v>
          </cell>
          <cell r="C1910" t="str">
            <v>지리</v>
          </cell>
          <cell r="D1910">
            <v>1</v>
          </cell>
          <cell r="E1910" t="str">
            <v>자연</v>
          </cell>
          <cell r="F1910">
            <v>1</v>
          </cell>
          <cell r="G1910" t="str">
            <v>S</v>
          </cell>
          <cell r="H1910">
            <v>5</v>
          </cell>
        </row>
        <row r="1911">
          <cell r="A1911">
            <v>70413121</v>
          </cell>
          <cell r="B1911" t="str">
            <v>바하마제도</v>
          </cell>
          <cell r="C1911" t="str">
            <v>지리</v>
          </cell>
          <cell r="D1911">
            <v>1</v>
          </cell>
          <cell r="E1911" t="str">
            <v>자연</v>
          </cell>
          <cell r="F1911">
            <v>1</v>
          </cell>
          <cell r="G1911" t="str">
            <v>B</v>
          </cell>
          <cell r="H1911">
            <v>3</v>
          </cell>
        </row>
        <row r="1912">
          <cell r="A1912">
            <v>70413122</v>
          </cell>
          <cell r="B1912" t="str">
            <v>반다해</v>
          </cell>
          <cell r="C1912" t="str">
            <v>지리</v>
          </cell>
          <cell r="D1912">
            <v>1</v>
          </cell>
          <cell r="E1912" t="str">
            <v>자연</v>
          </cell>
          <cell r="F1912">
            <v>1</v>
          </cell>
          <cell r="G1912" t="str">
            <v>D</v>
          </cell>
          <cell r="H1912">
            <v>1</v>
          </cell>
          <cell r="AW1912" t="str">
            <v/>
          </cell>
          <cell r="BA1912" t="str">
            <v>-</v>
          </cell>
        </row>
        <row r="1913">
          <cell r="A1913">
            <v>70413123</v>
          </cell>
          <cell r="B1913" t="str">
            <v>발데스 반도</v>
          </cell>
          <cell r="C1913" t="str">
            <v>지리</v>
          </cell>
          <cell r="D1913">
            <v>1</v>
          </cell>
          <cell r="E1913" t="str">
            <v>자연</v>
          </cell>
          <cell r="F1913">
            <v>1</v>
          </cell>
          <cell r="G1913" t="str">
            <v>C</v>
          </cell>
          <cell r="H1913">
            <v>2</v>
          </cell>
        </row>
        <row r="1914">
          <cell r="A1914">
            <v>70413124</v>
          </cell>
          <cell r="B1914" t="str">
            <v>발리섬</v>
          </cell>
          <cell r="C1914" t="str">
            <v>지리</v>
          </cell>
          <cell r="D1914">
            <v>1</v>
          </cell>
          <cell r="E1914" t="str">
            <v>자연</v>
          </cell>
          <cell r="F1914">
            <v>1</v>
          </cell>
          <cell r="G1914" t="str">
            <v>S</v>
          </cell>
          <cell r="H1914">
            <v>5</v>
          </cell>
        </row>
        <row r="1915">
          <cell r="A1915">
            <v>70413125</v>
          </cell>
          <cell r="B1915" t="str">
            <v>방카섬</v>
          </cell>
          <cell r="C1915" t="str">
            <v>지리</v>
          </cell>
          <cell r="D1915">
            <v>1</v>
          </cell>
          <cell r="E1915" t="str">
            <v>자연</v>
          </cell>
          <cell r="F1915">
            <v>1</v>
          </cell>
          <cell r="G1915" t="str">
            <v>B</v>
          </cell>
          <cell r="H1915">
            <v>3</v>
          </cell>
        </row>
        <row r="1916">
          <cell r="A1916">
            <v>70413126</v>
          </cell>
          <cell r="B1916" t="str">
            <v>배스해협</v>
          </cell>
          <cell r="C1916" t="str">
            <v>지리</v>
          </cell>
          <cell r="D1916">
            <v>1</v>
          </cell>
          <cell r="E1916" t="str">
            <v>자연</v>
          </cell>
          <cell r="F1916">
            <v>1</v>
          </cell>
          <cell r="G1916" t="str">
            <v>C</v>
          </cell>
          <cell r="H1916">
            <v>2</v>
          </cell>
        </row>
        <row r="1917">
          <cell r="A1917">
            <v>70413127</v>
          </cell>
          <cell r="B1917" t="str">
            <v>배핀만</v>
          </cell>
          <cell r="C1917" t="str">
            <v>지리</v>
          </cell>
          <cell r="D1917">
            <v>1</v>
          </cell>
          <cell r="E1917" t="str">
            <v>자연</v>
          </cell>
          <cell r="F1917">
            <v>1</v>
          </cell>
          <cell r="G1917" t="str">
            <v>B</v>
          </cell>
          <cell r="H1917">
            <v>3</v>
          </cell>
        </row>
        <row r="1918">
          <cell r="A1918">
            <v>70413128</v>
          </cell>
          <cell r="B1918" t="str">
            <v>백마강</v>
          </cell>
          <cell r="C1918" t="str">
            <v>지리</v>
          </cell>
          <cell r="D1918">
            <v>1</v>
          </cell>
          <cell r="E1918" t="str">
            <v>자연</v>
          </cell>
          <cell r="F1918">
            <v>1</v>
          </cell>
          <cell r="G1918" t="str">
            <v>C</v>
          </cell>
          <cell r="H1918">
            <v>2</v>
          </cell>
        </row>
        <row r="1919">
          <cell r="A1919">
            <v>70413129</v>
          </cell>
          <cell r="B1919" t="str">
            <v>밸런스드 락</v>
          </cell>
          <cell r="C1919" t="str">
            <v>지리</v>
          </cell>
          <cell r="D1919">
            <v>1</v>
          </cell>
          <cell r="E1919" t="str">
            <v>자연</v>
          </cell>
          <cell r="F1919">
            <v>1</v>
          </cell>
          <cell r="G1919" t="str">
            <v>S</v>
          </cell>
          <cell r="H1919">
            <v>5</v>
          </cell>
          <cell r="AW1919" t="str">
            <v>무조건 실패</v>
          </cell>
          <cell r="BA1919">
            <v>1</v>
          </cell>
        </row>
        <row r="1920">
          <cell r="A1920">
            <v>70413130</v>
          </cell>
          <cell r="B1920" t="str">
            <v>버렌고원</v>
          </cell>
          <cell r="C1920" t="str">
            <v>지리</v>
          </cell>
          <cell r="D1920">
            <v>1</v>
          </cell>
          <cell r="E1920" t="str">
            <v>자연</v>
          </cell>
          <cell r="F1920">
            <v>1</v>
          </cell>
          <cell r="G1920" t="str">
            <v>B</v>
          </cell>
          <cell r="H1920">
            <v>3</v>
          </cell>
        </row>
        <row r="1921">
          <cell r="A1921">
            <v>70413131</v>
          </cell>
          <cell r="B1921" t="str">
            <v>버뮤다 해역</v>
          </cell>
          <cell r="C1921" t="str">
            <v>지리</v>
          </cell>
          <cell r="D1921">
            <v>1</v>
          </cell>
          <cell r="E1921" t="str">
            <v>자연</v>
          </cell>
          <cell r="F1921">
            <v>1</v>
          </cell>
          <cell r="G1921" t="str">
            <v>S</v>
          </cell>
          <cell r="H1921">
            <v>5</v>
          </cell>
        </row>
        <row r="1922">
          <cell r="A1922">
            <v>70413132</v>
          </cell>
          <cell r="B1922" t="str">
            <v>베라우만</v>
          </cell>
          <cell r="C1922" t="str">
            <v>지리</v>
          </cell>
          <cell r="D1922">
            <v>1</v>
          </cell>
          <cell r="E1922" t="str">
            <v>자연</v>
          </cell>
          <cell r="F1922">
            <v>1</v>
          </cell>
          <cell r="G1922" t="str">
            <v>A</v>
          </cell>
          <cell r="H1922">
            <v>4</v>
          </cell>
        </row>
        <row r="1923">
          <cell r="A1923">
            <v>70413133</v>
          </cell>
          <cell r="B1923" t="str">
            <v>베르데곶</v>
          </cell>
          <cell r="C1923" t="str">
            <v>지리</v>
          </cell>
          <cell r="D1923">
            <v>1</v>
          </cell>
          <cell r="E1923" t="str">
            <v>자연</v>
          </cell>
          <cell r="F1923">
            <v>1</v>
          </cell>
          <cell r="G1923" t="str">
            <v>A</v>
          </cell>
          <cell r="H1923">
            <v>4</v>
          </cell>
        </row>
        <row r="1924">
          <cell r="A1924">
            <v>70413134</v>
          </cell>
          <cell r="B1924" t="str">
            <v>베링해협</v>
          </cell>
          <cell r="C1924" t="str">
            <v>지리</v>
          </cell>
          <cell r="D1924">
            <v>1</v>
          </cell>
          <cell r="E1924" t="str">
            <v>자연</v>
          </cell>
          <cell r="F1924">
            <v>1</v>
          </cell>
          <cell r="G1924" t="str">
            <v>B</v>
          </cell>
          <cell r="H1924">
            <v>3</v>
          </cell>
        </row>
        <row r="1925">
          <cell r="A1925">
            <v>70413135</v>
          </cell>
          <cell r="B1925" t="str">
            <v>벨라 섬</v>
          </cell>
          <cell r="C1925" t="str">
            <v>지리</v>
          </cell>
          <cell r="D1925">
            <v>1</v>
          </cell>
          <cell r="E1925" t="str">
            <v>자연</v>
          </cell>
          <cell r="F1925">
            <v>1</v>
          </cell>
          <cell r="G1925" t="str">
            <v>A</v>
          </cell>
          <cell r="H1925">
            <v>4</v>
          </cell>
        </row>
        <row r="1926">
          <cell r="A1926">
            <v>70413136</v>
          </cell>
          <cell r="B1926" t="str">
            <v>벨아일해협</v>
          </cell>
          <cell r="C1926" t="str">
            <v>지리</v>
          </cell>
          <cell r="D1926">
            <v>1</v>
          </cell>
          <cell r="E1926" t="str">
            <v>자연</v>
          </cell>
          <cell r="F1926">
            <v>1</v>
          </cell>
          <cell r="G1926" t="str">
            <v>B</v>
          </cell>
          <cell r="H1926">
            <v>3</v>
          </cell>
        </row>
        <row r="1927">
          <cell r="A1927">
            <v>70413137</v>
          </cell>
          <cell r="B1927" t="str">
            <v>벵겔라해류</v>
          </cell>
          <cell r="C1927" t="str">
            <v>지리</v>
          </cell>
          <cell r="D1927">
            <v>1</v>
          </cell>
          <cell r="E1927" t="str">
            <v>자연</v>
          </cell>
          <cell r="F1927">
            <v>1</v>
          </cell>
          <cell r="G1927" t="str">
            <v>C</v>
          </cell>
          <cell r="H1927">
            <v>2</v>
          </cell>
        </row>
        <row r="1928">
          <cell r="A1928">
            <v>70413138</v>
          </cell>
          <cell r="B1928" t="str">
            <v>벵골만</v>
          </cell>
          <cell r="C1928" t="str">
            <v>지리</v>
          </cell>
          <cell r="D1928">
            <v>1</v>
          </cell>
          <cell r="E1928" t="str">
            <v>자연</v>
          </cell>
          <cell r="F1928">
            <v>1</v>
          </cell>
          <cell r="G1928" t="str">
            <v>B</v>
          </cell>
          <cell r="H1928">
            <v>3</v>
          </cell>
        </row>
        <row r="1929">
          <cell r="A1929">
            <v>70413139</v>
          </cell>
          <cell r="B1929" t="str">
            <v>보니파시오해협</v>
          </cell>
          <cell r="C1929" t="str">
            <v>지리</v>
          </cell>
          <cell r="D1929">
            <v>1</v>
          </cell>
          <cell r="E1929" t="str">
            <v>자연</v>
          </cell>
          <cell r="F1929">
            <v>1</v>
          </cell>
          <cell r="G1929" t="str">
            <v>C</v>
          </cell>
          <cell r="H1929">
            <v>2</v>
          </cell>
        </row>
        <row r="1930">
          <cell r="A1930">
            <v>70413140</v>
          </cell>
          <cell r="B1930" t="str">
            <v>보르네오섬</v>
          </cell>
          <cell r="C1930" t="str">
            <v>지리</v>
          </cell>
          <cell r="D1930">
            <v>1</v>
          </cell>
          <cell r="E1930" t="str">
            <v>자연</v>
          </cell>
          <cell r="F1930">
            <v>1</v>
          </cell>
          <cell r="G1930" t="str">
            <v>A</v>
          </cell>
          <cell r="H1930">
            <v>4</v>
          </cell>
        </row>
        <row r="1931">
          <cell r="A1931">
            <v>70413141</v>
          </cell>
          <cell r="B1931" t="str">
            <v>보스포루스해협</v>
          </cell>
          <cell r="C1931" t="str">
            <v>지리</v>
          </cell>
          <cell r="D1931">
            <v>1</v>
          </cell>
          <cell r="E1931" t="str">
            <v>자연</v>
          </cell>
          <cell r="F1931">
            <v>1</v>
          </cell>
          <cell r="G1931" t="str">
            <v>C</v>
          </cell>
          <cell r="H1931">
            <v>2</v>
          </cell>
        </row>
        <row r="1932">
          <cell r="A1932">
            <v>70413142</v>
          </cell>
          <cell r="B1932" t="str">
            <v>보트니아만</v>
          </cell>
          <cell r="C1932" t="str">
            <v>지리</v>
          </cell>
          <cell r="D1932">
            <v>1</v>
          </cell>
          <cell r="E1932" t="str">
            <v>자연</v>
          </cell>
          <cell r="F1932">
            <v>1</v>
          </cell>
          <cell r="G1932" t="str">
            <v>B</v>
          </cell>
          <cell r="H1932">
            <v>3</v>
          </cell>
        </row>
        <row r="1933">
          <cell r="A1933">
            <v>70413143</v>
          </cell>
          <cell r="B1933" t="str">
            <v>볼가강</v>
          </cell>
          <cell r="C1933" t="str">
            <v>지리</v>
          </cell>
          <cell r="D1933">
            <v>1</v>
          </cell>
          <cell r="E1933" t="str">
            <v>자연</v>
          </cell>
          <cell r="F1933">
            <v>1</v>
          </cell>
          <cell r="G1933" t="str">
            <v>B</v>
          </cell>
          <cell r="H1933">
            <v>3</v>
          </cell>
        </row>
        <row r="1934">
          <cell r="A1934">
            <v>70413144</v>
          </cell>
          <cell r="B1934" t="str">
            <v>부에나벤투라만</v>
          </cell>
          <cell r="C1934" t="str">
            <v>지리</v>
          </cell>
          <cell r="D1934">
            <v>1</v>
          </cell>
          <cell r="E1934" t="str">
            <v>자연</v>
          </cell>
          <cell r="F1934">
            <v>1</v>
          </cell>
          <cell r="G1934" t="str">
            <v>B</v>
          </cell>
          <cell r="H1934">
            <v>3</v>
          </cell>
        </row>
        <row r="1935">
          <cell r="A1935">
            <v>70413145</v>
          </cell>
          <cell r="B1935" t="str">
            <v>뷰트</v>
          </cell>
          <cell r="C1935" t="str">
            <v>지리</v>
          </cell>
          <cell r="D1935">
            <v>1</v>
          </cell>
          <cell r="E1935" t="str">
            <v>자연</v>
          </cell>
          <cell r="F1935">
            <v>1</v>
          </cell>
          <cell r="G1935" t="str">
            <v>B</v>
          </cell>
          <cell r="H1935">
            <v>3</v>
          </cell>
        </row>
        <row r="1936">
          <cell r="A1936">
            <v>70413146</v>
          </cell>
          <cell r="B1936" t="str">
            <v>블랑코곶</v>
          </cell>
          <cell r="C1936" t="str">
            <v>지리</v>
          </cell>
          <cell r="D1936">
            <v>1</v>
          </cell>
          <cell r="E1936" t="str">
            <v>자연</v>
          </cell>
          <cell r="F1936">
            <v>1</v>
          </cell>
          <cell r="G1936" t="str">
            <v>B</v>
          </cell>
          <cell r="H1936">
            <v>3</v>
          </cell>
        </row>
        <row r="1937">
          <cell r="A1937">
            <v>70413147</v>
          </cell>
          <cell r="B1937" t="str">
            <v>블루 마운틴산맥</v>
          </cell>
          <cell r="C1937" t="str">
            <v>지리</v>
          </cell>
          <cell r="D1937">
            <v>1</v>
          </cell>
          <cell r="E1937" t="str">
            <v>자연</v>
          </cell>
          <cell r="F1937">
            <v>1</v>
          </cell>
          <cell r="G1937" t="str">
            <v>D</v>
          </cell>
          <cell r="H1937">
            <v>1</v>
          </cell>
          <cell r="AW1937" t="str">
            <v/>
          </cell>
          <cell r="BA1937" t="str">
            <v>-</v>
          </cell>
        </row>
        <row r="1938">
          <cell r="A1938">
            <v>70413148</v>
          </cell>
          <cell r="B1938" t="str">
            <v>비스마르크제도</v>
          </cell>
          <cell r="C1938" t="str">
            <v>지리</v>
          </cell>
          <cell r="D1938">
            <v>1</v>
          </cell>
          <cell r="E1938" t="str">
            <v>자연</v>
          </cell>
          <cell r="F1938">
            <v>1</v>
          </cell>
          <cell r="G1938" t="str">
            <v>B</v>
          </cell>
          <cell r="H1938">
            <v>3</v>
          </cell>
        </row>
        <row r="1939">
          <cell r="A1939">
            <v>70413149</v>
          </cell>
          <cell r="B1939" t="str">
            <v>비스케이 만</v>
          </cell>
          <cell r="C1939" t="str">
            <v>지리</v>
          </cell>
          <cell r="D1939">
            <v>1</v>
          </cell>
          <cell r="E1939" t="str">
            <v>자연</v>
          </cell>
          <cell r="F1939">
            <v>1</v>
          </cell>
          <cell r="G1939" t="str">
            <v>C</v>
          </cell>
          <cell r="H1939">
            <v>2</v>
          </cell>
        </row>
        <row r="1940">
          <cell r="A1940">
            <v>70413150</v>
          </cell>
          <cell r="B1940" t="str">
            <v>비오코섬</v>
          </cell>
          <cell r="C1940" t="str">
            <v>지리</v>
          </cell>
          <cell r="D1940">
            <v>1</v>
          </cell>
          <cell r="E1940" t="str">
            <v>자연</v>
          </cell>
          <cell r="F1940">
            <v>1</v>
          </cell>
          <cell r="G1940" t="str">
            <v>B</v>
          </cell>
          <cell r="H1940">
            <v>3</v>
          </cell>
        </row>
        <row r="1941">
          <cell r="A1941">
            <v>70413151</v>
          </cell>
          <cell r="B1941" t="str">
            <v>빅토리아폭포</v>
          </cell>
          <cell r="C1941" t="str">
            <v>지리</v>
          </cell>
          <cell r="D1941">
            <v>1</v>
          </cell>
          <cell r="E1941" t="str">
            <v>자연</v>
          </cell>
          <cell r="F1941">
            <v>1</v>
          </cell>
          <cell r="G1941" t="str">
            <v>S</v>
          </cell>
          <cell r="H1941">
            <v>5</v>
          </cell>
          <cell r="AW1941" t="str">
            <v>무조건 실패</v>
          </cell>
          <cell r="BA1941">
            <v>1</v>
          </cell>
        </row>
        <row r="1942">
          <cell r="A1942">
            <v>70413152</v>
          </cell>
          <cell r="B1942" t="str">
            <v>빅토리아호수</v>
          </cell>
          <cell r="C1942" t="str">
            <v>지리</v>
          </cell>
          <cell r="D1942">
            <v>1</v>
          </cell>
          <cell r="E1942" t="str">
            <v>자연</v>
          </cell>
          <cell r="F1942">
            <v>1</v>
          </cell>
          <cell r="G1942" t="str">
            <v>B</v>
          </cell>
          <cell r="H1942">
            <v>3</v>
          </cell>
          <cell r="AW1942" t="str">
            <v>특정 퀘스트(=)</v>
          </cell>
          <cell r="AY1942" t="str">
            <v>앤 보니 시나리오</v>
          </cell>
          <cell r="BA1942">
            <v>69</v>
          </cell>
        </row>
        <row r="1943">
          <cell r="A1943">
            <v>70413153</v>
          </cell>
          <cell r="B1943" t="str">
            <v>빙산</v>
          </cell>
          <cell r="C1943" t="str">
            <v>지리</v>
          </cell>
          <cell r="D1943">
            <v>1</v>
          </cell>
          <cell r="E1943" t="str">
            <v>자연</v>
          </cell>
          <cell r="F1943">
            <v>1</v>
          </cell>
          <cell r="G1943" t="str">
            <v>C</v>
          </cell>
          <cell r="H1943">
            <v>2</v>
          </cell>
        </row>
        <row r="1944">
          <cell r="A1944">
            <v>70413154</v>
          </cell>
          <cell r="B1944" t="str">
            <v>빙하</v>
          </cell>
          <cell r="C1944" t="str">
            <v>지리</v>
          </cell>
          <cell r="D1944">
            <v>1</v>
          </cell>
          <cell r="E1944" t="str">
            <v>자연</v>
          </cell>
          <cell r="F1944">
            <v>1</v>
          </cell>
          <cell r="G1944" t="str">
            <v>C</v>
          </cell>
          <cell r="H1944">
            <v>2</v>
          </cell>
        </row>
        <row r="1945">
          <cell r="A1945">
            <v>70413155</v>
          </cell>
          <cell r="B1945" t="str">
            <v>사모스섬</v>
          </cell>
          <cell r="C1945" t="str">
            <v>지리</v>
          </cell>
          <cell r="D1945">
            <v>1</v>
          </cell>
          <cell r="E1945" t="str">
            <v>자연</v>
          </cell>
          <cell r="F1945">
            <v>1</v>
          </cell>
          <cell r="G1945" t="str">
            <v>B</v>
          </cell>
          <cell r="H1945">
            <v>3</v>
          </cell>
        </row>
        <row r="1946">
          <cell r="A1946">
            <v>70413156</v>
          </cell>
          <cell r="B1946" t="str">
            <v>사모아제도</v>
          </cell>
          <cell r="C1946" t="str">
            <v>지리</v>
          </cell>
          <cell r="D1946">
            <v>1</v>
          </cell>
          <cell r="E1946" t="str">
            <v>자연</v>
          </cell>
          <cell r="F1946">
            <v>1</v>
          </cell>
          <cell r="G1946" t="str">
            <v>A</v>
          </cell>
          <cell r="H1946">
            <v>4</v>
          </cell>
        </row>
        <row r="1947">
          <cell r="A1947">
            <v>70413157</v>
          </cell>
          <cell r="B1947" t="str">
            <v>사하라</v>
          </cell>
          <cell r="C1947" t="str">
            <v>지리</v>
          </cell>
          <cell r="D1947">
            <v>1</v>
          </cell>
          <cell r="E1947" t="str">
            <v>자연</v>
          </cell>
          <cell r="F1947">
            <v>1</v>
          </cell>
          <cell r="G1947" t="str">
            <v>C</v>
          </cell>
          <cell r="H1947">
            <v>2</v>
          </cell>
        </row>
        <row r="1948">
          <cell r="A1948">
            <v>70413158</v>
          </cell>
          <cell r="B1948" t="str">
            <v>산마티아스만</v>
          </cell>
          <cell r="C1948" t="str">
            <v>지리</v>
          </cell>
          <cell r="D1948">
            <v>1</v>
          </cell>
          <cell r="E1948" t="str">
            <v>자연</v>
          </cell>
          <cell r="F1948">
            <v>1</v>
          </cell>
          <cell r="G1948" t="str">
            <v>C</v>
          </cell>
          <cell r="H1948">
            <v>2</v>
          </cell>
        </row>
        <row r="1949">
          <cell r="A1949">
            <v>70413159</v>
          </cell>
          <cell r="B1949" t="str">
            <v>산살바도르섬</v>
          </cell>
          <cell r="C1949" t="str">
            <v>지리</v>
          </cell>
          <cell r="D1949">
            <v>1</v>
          </cell>
          <cell r="E1949" t="str">
            <v>자연</v>
          </cell>
          <cell r="F1949">
            <v>1</v>
          </cell>
          <cell r="G1949" t="str">
            <v>A</v>
          </cell>
          <cell r="H1949">
            <v>4</v>
          </cell>
        </row>
        <row r="1950">
          <cell r="A1950">
            <v>70413160</v>
          </cell>
          <cell r="B1950" t="str">
            <v>산안토니오곶</v>
          </cell>
          <cell r="C1950" t="str">
            <v>지리</v>
          </cell>
          <cell r="D1950">
            <v>1</v>
          </cell>
          <cell r="E1950" t="str">
            <v>자연</v>
          </cell>
          <cell r="F1950">
            <v>1</v>
          </cell>
          <cell r="G1950" t="str">
            <v>C</v>
          </cell>
          <cell r="H1950">
            <v>2</v>
          </cell>
        </row>
        <row r="1951">
          <cell r="A1951">
            <v>70413161</v>
          </cell>
          <cell r="B1951" t="str">
            <v>산토리니</v>
          </cell>
          <cell r="C1951" t="str">
            <v>지리</v>
          </cell>
          <cell r="D1951">
            <v>1</v>
          </cell>
          <cell r="E1951" t="str">
            <v>자연</v>
          </cell>
          <cell r="F1951">
            <v>1</v>
          </cell>
          <cell r="G1951" t="str">
            <v>A</v>
          </cell>
          <cell r="H1951">
            <v>4</v>
          </cell>
        </row>
        <row r="1952">
          <cell r="A1952">
            <v>70413162</v>
          </cell>
          <cell r="B1952" t="str">
            <v>산호르헤만</v>
          </cell>
          <cell r="C1952" t="str">
            <v>지리</v>
          </cell>
          <cell r="D1952">
            <v>1</v>
          </cell>
          <cell r="E1952" t="str">
            <v>자연</v>
          </cell>
          <cell r="F1952">
            <v>1</v>
          </cell>
          <cell r="G1952" t="str">
            <v>D</v>
          </cell>
          <cell r="H1952">
            <v>1</v>
          </cell>
          <cell r="AW1952" t="str">
            <v/>
          </cell>
          <cell r="BA1952" t="str">
            <v>-</v>
          </cell>
        </row>
        <row r="1953">
          <cell r="A1953">
            <v>70413163</v>
          </cell>
          <cell r="B1953" t="str">
            <v>산호해</v>
          </cell>
          <cell r="C1953" t="str">
            <v>지리</v>
          </cell>
          <cell r="D1953">
            <v>1</v>
          </cell>
          <cell r="E1953" t="str">
            <v>자연</v>
          </cell>
          <cell r="F1953">
            <v>1</v>
          </cell>
          <cell r="G1953" t="str">
            <v>B</v>
          </cell>
          <cell r="H1953">
            <v>3</v>
          </cell>
        </row>
        <row r="1954">
          <cell r="A1954">
            <v>70413164</v>
          </cell>
          <cell r="B1954" t="str">
            <v>삼각주</v>
          </cell>
          <cell r="C1954" t="str">
            <v>지리</v>
          </cell>
          <cell r="D1954">
            <v>1</v>
          </cell>
          <cell r="E1954" t="str">
            <v>자연</v>
          </cell>
          <cell r="F1954">
            <v>1</v>
          </cell>
          <cell r="G1954" t="str">
            <v>D</v>
          </cell>
          <cell r="H1954">
            <v>1</v>
          </cell>
          <cell r="AW1954" t="str">
            <v/>
          </cell>
          <cell r="BA1954" t="str">
            <v>-</v>
          </cell>
        </row>
        <row r="1955">
          <cell r="A1955">
            <v>70413165</v>
          </cell>
          <cell r="B1955" t="str">
            <v>산칭산</v>
          </cell>
          <cell r="C1955" t="str">
            <v>지리</v>
          </cell>
          <cell r="D1955">
            <v>1</v>
          </cell>
          <cell r="E1955" t="str">
            <v>자연</v>
          </cell>
          <cell r="F1955">
            <v>1</v>
          </cell>
          <cell r="G1955" t="str">
            <v>B</v>
          </cell>
          <cell r="H1955">
            <v>3</v>
          </cell>
        </row>
        <row r="1956">
          <cell r="A1956">
            <v>70413166</v>
          </cell>
          <cell r="B1956" t="str">
            <v>상토메섬</v>
          </cell>
          <cell r="C1956" t="str">
            <v>지리</v>
          </cell>
          <cell r="D1956">
            <v>1</v>
          </cell>
          <cell r="E1956" t="str">
            <v>자연</v>
          </cell>
          <cell r="F1956">
            <v>1</v>
          </cell>
          <cell r="G1956" t="str">
            <v>C</v>
          </cell>
          <cell r="H1956">
            <v>2</v>
          </cell>
        </row>
        <row r="1957">
          <cell r="A1957">
            <v>70413167</v>
          </cell>
          <cell r="B1957" t="str">
            <v>생말로만</v>
          </cell>
          <cell r="C1957" t="str">
            <v>지리</v>
          </cell>
          <cell r="D1957">
            <v>1</v>
          </cell>
          <cell r="E1957" t="str">
            <v>자연</v>
          </cell>
          <cell r="F1957">
            <v>1</v>
          </cell>
          <cell r="G1957" t="str">
            <v>D</v>
          </cell>
          <cell r="H1957">
            <v>1</v>
          </cell>
          <cell r="AW1957" t="str">
            <v/>
          </cell>
          <cell r="BA1957" t="str">
            <v>-</v>
          </cell>
        </row>
        <row r="1958">
          <cell r="A1958">
            <v>70413168</v>
          </cell>
          <cell r="B1958" t="str">
            <v>샤크만</v>
          </cell>
          <cell r="C1958" t="str">
            <v>지리</v>
          </cell>
          <cell r="D1958">
            <v>1</v>
          </cell>
          <cell r="E1958" t="str">
            <v>자연</v>
          </cell>
          <cell r="F1958">
            <v>1</v>
          </cell>
          <cell r="G1958" t="str">
            <v>B</v>
          </cell>
          <cell r="H1958">
            <v>3</v>
          </cell>
        </row>
        <row r="1959">
          <cell r="A1959">
            <v>70413169</v>
          </cell>
          <cell r="B1959" t="str">
            <v>서호</v>
          </cell>
          <cell r="C1959" t="str">
            <v>지리</v>
          </cell>
          <cell r="D1959">
            <v>1</v>
          </cell>
          <cell r="E1959" t="str">
            <v>자연</v>
          </cell>
          <cell r="F1959">
            <v>1</v>
          </cell>
          <cell r="G1959" t="str">
            <v>B</v>
          </cell>
          <cell r="H1959">
            <v>3</v>
          </cell>
        </row>
        <row r="1960">
          <cell r="A1960">
            <v>70413170</v>
          </cell>
          <cell r="B1960" t="str">
            <v>스니우자이</v>
          </cell>
          <cell r="C1960" t="str">
            <v>지리</v>
          </cell>
          <cell r="D1960">
            <v>1</v>
          </cell>
          <cell r="E1960" t="str">
            <v>자연</v>
          </cell>
          <cell r="F1960">
            <v>1</v>
          </cell>
          <cell r="G1960" t="str">
            <v>D</v>
          </cell>
          <cell r="H1960">
            <v>1</v>
          </cell>
          <cell r="AW1960" t="str">
            <v/>
          </cell>
          <cell r="BA1960" t="str">
            <v>-</v>
          </cell>
        </row>
        <row r="1961">
          <cell r="A1961">
            <v>70413171</v>
          </cell>
          <cell r="B1961" t="str">
            <v>타구스 강</v>
          </cell>
          <cell r="C1961" t="str">
            <v>지리</v>
          </cell>
          <cell r="D1961">
            <v>1</v>
          </cell>
          <cell r="E1961" t="str">
            <v>자연</v>
          </cell>
          <cell r="F1961">
            <v>1</v>
          </cell>
          <cell r="G1961" t="str">
            <v>D</v>
          </cell>
          <cell r="H1961">
            <v>1</v>
          </cell>
          <cell r="AW1961" t="str">
            <v/>
          </cell>
          <cell r="BA1961" t="str">
            <v>-</v>
          </cell>
        </row>
        <row r="1962">
          <cell r="A1962">
            <v>70413172</v>
          </cell>
          <cell r="B1962" t="str">
            <v>세네갈강</v>
          </cell>
          <cell r="C1962" t="str">
            <v>지리</v>
          </cell>
          <cell r="D1962">
            <v>1</v>
          </cell>
          <cell r="E1962" t="str">
            <v>자연</v>
          </cell>
          <cell r="F1962">
            <v>1</v>
          </cell>
          <cell r="G1962" t="str">
            <v>D</v>
          </cell>
          <cell r="H1962">
            <v>1</v>
          </cell>
          <cell r="AW1962" t="str">
            <v/>
          </cell>
          <cell r="BA1962" t="str">
            <v>-</v>
          </cell>
        </row>
        <row r="1963">
          <cell r="A1963">
            <v>70413173</v>
          </cell>
          <cell r="B1963" t="str">
            <v>세노테</v>
          </cell>
          <cell r="C1963" t="str">
            <v>지리</v>
          </cell>
          <cell r="D1963">
            <v>1</v>
          </cell>
          <cell r="E1963" t="str">
            <v>자연</v>
          </cell>
          <cell r="F1963">
            <v>1</v>
          </cell>
          <cell r="G1963" t="str">
            <v>S</v>
          </cell>
          <cell r="H1963">
            <v>5</v>
          </cell>
        </row>
        <row r="1964">
          <cell r="A1964">
            <v>70413174</v>
          </cell>
          <cell r="B1964" t="str">
            <v>세로 리코</v>
          </cell>
          <cell r="C1964" t="str">
            <v>지리</v>
          </cell>
          <cell r="D1964">
            <v>1</v>
          </cell>
          <cell r="E1964" t="str">
            <v>자연</v>
          </cell>
          <cell r="F1964">
            <v>1</v>
          </cell>
          <cell r="G1964" t="str">
            <v>B</v>
          </cell>
          <cell r="H1964">
            <v>3</v>
          </cell>
        </row>
        <row r="1965">
          <cell r="A1965">
            <v>70413175</v>
          </cell>
          <cell r="B1965" t="str">
            <v>세부섬</v>
          </cell>
          <cell r="C1965" t="str">
            <v>지리</v>
          </cell>
          <cell r="D1965">
            <v>1</v>
          </cell>
          <cell r="E1965" t="str">
            <v>자연</v>
          </cell>
          <cell r="F1965">
            <v>1</v>
          </cell>
          <cell r="G1965" t="str">
            <v>S</v>
          </cell>
          <cell r="H1965">
            <v>5</v>
          </cell>
        </row>
        <row r="1966">
          <cell r="A1966">
            <v>70413176</v>
          </cell>
          <cell r="B1966" t="str">
            <v>세이셸 제도</v>
          </cell>
          <cell r="C1966" t="str">
            <v>지리</v>
          </cell>
          <cell r="D1966">
            <v>1</v>
          </cell>
          <cell r="E1966" t="str">
            <v>자연</v>
          </cell>
          <cell r="F1966">
            <v>1</v>
          </cell>
          <cell r="G1966" t="str">
            <v>C</v>
          </cell>
          <cell r="H1966">
            <v>2</v>
          </cell>
        </row>
        <row r="1967">
          <cell r="A1967">
            <v>70413177</v>
          </cell>
          <cell r="B1967" t="str">
            <v>세인트로렌스강</v>
          </cell>
          <cell r="C1967" t="str">
            <v>지리</v>
          </cell>
          <cell r="D1967">
            <v>1</v>
          </cell>
          <cell r="E1967" t="str">
            <v>자연</v>
          </cell>
          <cell r="F1967">
            <v>1</v>
          </cell>
          <cell r="G1967" t="str">
            <v>B</v>
          </cell>
          <cell r="H1967">
            <v>3</v>
          </cell>
        </row>
        <row r="1968">
          <cell r="A1968">
            <v>70413178</v>
          </cell>
          <cell r="B1968" t="str">
            <v>세인트로렌스섬</v>
          </cell>
          <cell r="C1968" t="str">
            <v>지리</v>
          </cell>
          <cell r="D1968">
            <v>1</v>
          </cell>
          <cell r="E1968" t="str">
            <v>자연</v>
          </cell>
          <cell r="F1968">
            <v>1</v>
          </cell>
          <cell r="G1968" t="str">
            <v>B</v>
          </cell>
          <cell r="H1968">
            <v>3</v>
          </cell>
        </row>
        <row r="1969">
          <cell r="A1969">
            <v>70413179</v>
          </cell>
          <cell r="B1969" t="str">
            <v>세인트헬레나</v>
          </cell>
          <cell r="C1969" t="str">
            <v>지리</v>
          </cell>
          <cell r="D1969">
            <v>1</v>
          </cell>
          <cell r="E1969" t="str">
            <v>자연</v>
          </cell>
          <cell r="F1969">
            <v>1</v>
          </cell>
          <cell r="G1969" t="str">
            <v>B</v>
          </cell>
          <cell r="H1969">
            <v>3</v>
          </cell>
        </row>
        <row r="1970">
          <cell r="A1970">
            <v>70413180</v>
          </cell>
          <cell r="B1970" t="str">
            <v>셀레베스섬</v>
          </cell>
          <cell r="C1970" t="str">
            <v>지리</v>
          </cell>
          <cell r="D1970">
            <v>1</v>
          </cell>
          <cell r="E1970" t="str">
            <v>자연</v>
          </cell>
          <cell r="F1970">
            <v>1</v>
          </cell>
          <cell r="G1970" t="str">
            <v>B</v>
          </cell>
          <cell r="H1970">
            <v>3</v>
          </cell>
        </row>
        <row r="1971">
          <cell r="A1971">
            <v>70413181</v>
          </cell>
          <cell r="B1971" t="str">
            <v>셀레베스해</v>
          </cell>
          <cell r="C1971" t="str">
            <v>지리</v>
          </cell>
          <cell r="D1971">
            <v>1</v>
          </cell>
          <cell r="E1971" t="str">
            <v>자연</v>
          </cell>
          <cell r="F1971">
            <v>1</v>
          </cell>
          <cell r="G1971" t="str">
            <v>D</v>
          </cell>
          <cell r="H1971">
            <v>1</v>
          </cell>
          <cell r="AW1971" t="str">
            <v/>
          </cell>
          <cell r="BA1971" t="str">
            <v>-</v>
          </cell>
        </row>
        <row r="1972">
          <cell r="A1972">
            <v>70413182</v>
          </cell>
          <cell r="B1972" t="str">
            <v>셰틀랜드제도</v>
          </cell>
          <cell r="C1972" t="str">
            <v>지리</v>
          </cell>
          <cell r="D1972">
            <v>1</v>
          </cell>
          <cell r="E1972" t="str">
            <v>자연</v>
          </cell>
          <cell r="F1972">
            <v>1</v>
          </cell>
          <cell r="G1972" t="str">
            <v>B</v>
          </cell>
          <cell r="H1972">
            <v>3</v>
          </cell>
        </row>
        <row r="1973">
          <cell r="A1973">
            <v>70413183</v>
          </cell>
          <cell r="B1973" t="str">
            <v>셸 비치</v>
          </cell>
          <cell r="C1973" t="str">
            <v>지리</v>
          </cell>
          <cell r="D1973">
            <v>1</v>
          </cell>
          <cell r="E1973" t="str">
            <v>자연</v>
          </cell>
          <cell r="F1973">
            <v>1</v>
          </cell>
          <cell r="G1973" t="str">
            <v>S</v>
          </cell>
          <cell r="H1973">
            <v>5</v>
          </cell>
        </row>
        <row r="1974">
          <cell r="A1974">
            <v>70413184</v>
          </cell>
          <cell r="B1974" t="str">
            <v>소순다열도</v>
          </cell>
          <cell r="C1974" t="str">
            <v>지리</v>
          </cell>
          <cell r="D1974">
            <v>1</v>
          </cell>
          <cell r="E1974" t="str">
            <v>자연</v>
          </cell>
          <cell r="F1974">
            <v>1</v>
          </cell>
          <cell r="G1974" t="str">
            <v>C</v>
          </cell>
          <cell r="H1974">
            <v>2</v>
          </cell>
          <cell r="AW1974" t="str">
            <v>특정 퀘스트(=)</v>
          </cell>
          <cell r="AY1974" t="str">
            <v>에르네스트 로페스 시나리오</v>
          </cell>
          <cell r="BA1974" t="str">
            <v>에르네스트 로페스12_07</v>
          </cell>
        </row>
        <row r="1975">
          <cell r="A1975">
            <v>70413185</v>
          </cell>
          <cell r="B1975" t="str">
            <v>소코트라섬</v>
          </cell>
          <cell r="C1975" t="str">
            <v>지리</v>
          </cell>
          <cell r="D1975">
            <v>1</v>
          </cell>
          <cell r="E1975" t="str">
            <v>자연</v>
          </cell>
          <cell r="F1975">
            <v>1</v>
          </cell>
          <cell r="G1975" t="str">
            <v>B</v>
          </cell>
          <cell r="H1975">
            <v>3</v>
          </cell>
        </row>
        <row r="1976">
          <cell r="A1976">
            <v>70413186</v>
          </cell>
          <cell r="B1976" t="str">
            <v>솔로몬해</v>
          </cell>
          <cell r="C1976" t="str">
            <v>지리</v>
          </cell>
          <cell r="D1976">
            <v>1</v>
          </cell>
          <cell r="E1976" t="str">
            <v>자연</v>
          </cell>
          <cell r="F1976">
            <v>1</v>
          </cell>
          <cell r="G1976" t="str">
            <v>B</v>
          </cell>
          <cell r="H1976">
            <v>3</v>
          </cell>
        </row>
        <row r="1977">
          <cell r="A1977">
            <v>70413187</v>
          </cell>
          <cell r="B1977" t="str">
            <v>수마트라섬</v>
          </cell>
          <cell r="C1977" t="str">
            <v>지리</v>
          </cell>
          <cell r="D1977">
            <v>1</v>
          </cell>
          <cell r="E1977" t="str">
            <v>자연</v>
          </cell>
          <cell r="F1977">
            <v>1</v>
          </cell>
          <cell r="G1977" t="str">
            <v>A</v>
          </cell>
          <cell r="H1977">
            <v>4</v>
          </cell>
        </row>
        <row r="1978">
          <cell r="A1978">
            <v>70413188</v>
          </cell>
          <cell r="B1978" t="str">
            <v>순다해협</v>
          </cell>
          <cell r="C1978" t="str">
            <v>지리</v>
          </cell>
          <cell r="D1978">
            <v>1</v>
          </cell>
          <cell r="E1978" t="str">
            <v>자연</v>
          </cell>
          <cell r="F1978">
            <v>1</v>
          </cell>
          <cell r="G1978" t="str">
            <v>C</v>
          </cell>
          <cell r="H1978">
            <v>2</v>
          </cell>
        </row>
        <row r="1979">
          <cell r="A1979">
            <v>70413189</v>
          </cell>
          <cell r="B1979" t="str">
            <v>술루제도</v>
          </cell>
          <cell r="C1979" t="str">
            <v>지리</v>
          </cell>
          <cell r="D1979">
            <v>1</v>
          </cell>
          <cell r="E1979" t="str">
            <v>자연</v>
          </cell>
          <cell r="F1979">
            <v>1</v>
          </cell>
          <cell r="G1979" t="str">
            <v>B</v>
          </cell>
          <cell r="H1979">
            <v>3</v>
          </cell>
        </row>
        <row r="1980">
          <cell r="A1980">
            <v>70413190</v>
          </cell>
          <cell r="B1980" t="str">
            <v>술루해</v>
          </cell>
          <cell r="C1980" t="str">
            <v>지리</v>
          </cell>
          <cell r="D1980">
            <v>1</v>
          </cell>
          <cell r="E1980" t="str">
            <v>자연</v>
          </cell>
          <cell r="F1980">
            <v>1</v>
          </cell>
          <cell r="G1980" t="str">
            <v>D</v>
          </cell>
          <cell r="H1980">
            <v>1</v>
          </cell>
          <cell r="AW1980" t="str">
            <v/>
          </cell>
          <cell r="BA1980" t="str">
            <v>-</v>
          </cell>
        </row>
        <row r="1981">
          <cell r="A1981">
            <v>70413191</v>
          </cell>
          <cell r="B1981" t="str">
            <v>쉐산산맥</v>
          </cell>
          <cell r="C1981" t="str">
            <v>지리</v>
          </cell>
          <cell r="D1981">
            <v>1</v>
          </cell>
          <cell r="E1981" t="str">
            <v>자연</v>
          </cell>
          <cell r="F1981">
            <v>1</v>
          </cell>
          <cell r="G1981" t="str">
            <v>C</v>
          </cell>
          <cell r="H1981">
            <v>2</v>
          </cell>
        </row>
        <row r="1982">
          <cell r="A1982">
            <v>70413192</v>
          </cell>
          <cell r="B1982" t="str">
            <v>스구앵 과이</v>
          </cell>
          <cell r="C1982" t="str">
            <v>지리</v>
          </cell>
          <cell r="D1982">
            <v>1</v>
          </cell>
          <cell r="E1982" t="str">
            <v>자연</v>
          </cell>
          <cell r="F1982">
            <v>1</v>
          </cell>
          <cell r="G1982" t="str">
            <v>B</v>
          </cell>
          <cell r="H1982">
            <v>3</v>
          </cell>
        </row>
        <row r="1983">
          <cell r="A1983">
            <v>70413193</v>
          </cell>
          <cell r="B1983" t="str">
            <v>스카이섬</v>
          </cell>
          <cell r="C1983" t="str">
            <v>지리</v>
          </cell>
          <cell r="D1983">
            <v>1</v>
          </cell>
          <cell r="E1983" t="str">
            <v>자연</v>
          </cell>
          <cell r="F1983">
            <v>1</v>
          </cell>
          <cell r="G1983" t="str">
            <v>C</v>
          </cell>
          <cell r="H1983">
            <v>2</v>
          </cell>
        </row>
        <row r="1984">
          <cell r="A1984">
            <v>70413194</v>
          </cell>
          <cell r="B1984" t="str">
            <v>스칸디나비아반도</v>
          </cell>
          <cell r="C1984" t="str">
            <v>지리</v>
          </cell>
          <cell r="D1984">
            <v>1</v>
          </cell>
          <cell r="E1984" t="str">
            <v>자연</v>
          </cell>
          <cell r="F1984">
            <v>1</v>
          </cell>
          <cell r="G1984" t="str">
            <v>C</v>
          </cell>
          <cell r="H1984">
            <v>2</v>
          </cell>
          <cell r="AW1984" t="str">
            <v>특정 퀘스트(=)</v>
          </cell>
          <cell r="AY1984" t="str">
            <v>에르네스트 로페스 시나리오</v>
          </cell>
          <cell r="BA1984" t="str">
            <v>에르네스트 로페스01_13</v>
          </cell>
        </row>
        <row r="1985">
          <cell r="A1985">
            <v>70413195</v>
          </cell>
          <cell r="B1985" t="str">
            <v>스켈리그 마이클</v>
          </cell>
          <cell r="C1985" t="str">
            <v>지리</v>
          </cell>
          <cell r="D1985">
            <v>1</v>
          </cell>
          <cell r="E1985" t="str">
            <v>자연</v>
          </cell>
          <cell r="F1985">
            <v>1</v>
          </cell>
          <cell r="G1985" t="str">
            <v>A</v>
          </cell>
          <cell r="H1985">
            <v>4</v>
          </cell>
          <cell r="AW1985" t="str">
            <v>특정 직업 항해사 보유</v>
          </cell>
          <cell r="AY1985" t="str">
            <v>지리학자</v>
          </cell>
          <cell r="BA1985">
            <v>6</v>
          </cell>
        </row>
        <row r="1986">
          <cell r="A1986">
            <v>70413196</v>
          </cell>
          <cell r="B1986" t="str">
            <v>스펜서만</v>
          </cell>
          <cell r="C1986" t="str">
            <v>지리</v>
          </cell>
          <cell r="D1986">
            <v>1</v>
          </cell>
          <cell r="E1986" t="str">
            <v>자연</v>
          </cell>
          <cell r="F1986">
            <v>1</v>
          </cell>
          <cell r="G1986" t="str">
            <v>D</v>
          </cell>
          <cell r="H1986">
            <v>1</v>
          </cell>
          <cell r="AW1986" t="str">
            <v/>
          </cell>
          <cell r="BA1986" t="str">
            <v>-</v>
          </cell>
        </row>
        <row r="1987">
          <cell r="A1987">
            <v>70413197</v>
          </cell>
          <cell r="B1987" t="str">
            <v>스피어곶</v>
          </cell>
          <cell r="C1987" t="str">
            <v>지리</v>
          </cell>
          <cell r="D1987">
            <v>1</v>
          </cell>
          <cell r="E1987" t="str">
            <v>자연</v>
          </cell>
          <cell r="F1987">
            <v>1</v>
          </cell>
          <cell r="G1987" t="str">
            <v>C</v>
          </cell>
          <cell r="H1987">
            <v>2</v>
          </cell>
        </row>
        <row r="1988">
          <cell r="A1988">
            <v>70413198</v>
          </cell>
          <cell r="B1988" t="str">
            <v>시암만</v>
          </cell>
          <cell r="C1988" t="str">
            <v>지리</v>
          </cell>
          <cell r="D1988">
            <v>1</v>
          </cell>
          <cell r="E1988" t="str">
            <v>자연</v>
          </cell>
          <cell r="F1988">
            <v>1</v>
          </cell>
          <cell r="G1988" t="str">
            <v>C</v>
          </cell>
          <cell r="H1988">
            <v>2</v>
          </cell>
        </row>
        <row r="1989">
          <cell r="A1989">
            <v>70413199</v>
          </cell>
          <cell r="B1989" t="str">
            <v>실론섬</v>
          </cell>
          <cell r="C1989" t="str">
            <v>지리</v>
          </cell>
          <cell r="D1989">
            <v>1</v>
          </cell>
          <cell r="E1989" t="str">
            <v>자연</v>
          </cell>
          <cell r="F1989">
            <v>1</v>
          </cell>
          <cell r="G1989" t="str">
            <v>B</v>
          </cell>
          <cell r="H1989">
            <v>3</v>
          </cell>
        </row>
        <row r="1990">
          <cell r="A1990">
            <v>70413200</v>
          </cell>
          <cell r="B1990" t="str">
            <v>아굴라스곶</v>
          </cell>
          <cell r="C1990" t="str">
            <v>지리</v>
          </cell>
          <cell r="D1990">
            <v>1</v>
          </cell>
          <cell r="E1990" t="str">
            <v>자연</v>
          </cell>
          <cell r="F1990">
            <v>1</v>
          </cell>
          <cell r="G1990" t="str">
            <v>A</v>
          </cell>
          <cell r="H1990">
            <v>4</v>
          </cell>
        </row>
        <row r="1991">
          <cell r="A1991">
            <v>70413201</v>
          </cell>
          <cell r="B1991" t="str">
            <v>아나디리산맥</v>
          </cell>
          <cell r="C1991" t="str">
            <v>지리</v>
          </cell>
          <cell r="D1991">
            <v>1</v>
          </cell>
          <cell r="E1991" t="str">
            <v>자연</v>
          </cell>
          <cell r="F1991">
            <v>1</v>
          </cell>
          <cell r="G1991" t="str">
            <v>B</v>
          </cell>
          <cell r="H1991">
            <v>3</v>
          </cell>
        </row>
        <row r="1992">
          <cell r="A1992">
            <v>70413202</v>
          </cell>
          <cell r="B1992" t="str">
            <v>아넘랜드</v>
          </cell>
          <cell r="C1992" t="str">
            <v>지리</v>
          </cell>
          <cell r="D1992">
            <v>1</v>
          </cell>
          <cell r="E1992" t="str">
            <v>자연</v>
          </cell>
          <cell r="F1992">
            <v>1</v>
          </cell>
          <cell r="G1992" t="str">
            <v>D</v>
          </cell>
          <cell r="H1992">
            <v>1</v>
          </cell>
          <cell r="AW1992" t="str">
            <v/>
          </cell>
          <cell r="BA1992" t="str">
            <v>-</v>
          </cell>
        </row>
        <row r="1993">
          <cell r="A1993">
            <v>70413203</v>
          </cell>
          <cell r="B1993" t="str">
            <v>아라비아반도</v>
          </cell>
          <cell r="C1993" t="str">
            <v>지리</v>
          </cell>
          <cell r="D1993">
            <v>1</v>
          </cell>
          <cell r="E1993" t="str">
            <v>자연</v>
          </cell>
          <cell r="F1993">
            <v>1</v>
          </cell>
          <cell r="G1993" t="str">
            <v>C</v>
          </cell>
          <cell r="H1993">
            <v>2</v>
          </cell>
        </row>
        <row r="1994">
          <cell r="A1994">
            <v>70413204</v>
          </cell>
          <cell r="B1994" t="str">
            <v>아라비아해</v>
          </cell>
          <cell r="C1994" t="str">
            <v>지리</v>
          </cell>
          <cell r="D1994">
            <v>1</v>
          </cell>
          <cell r="E1994" t="str">
            <v>자연</v>
          </cell>
          <cell r="F1994">
            <v>1</v>
          </cell>
          <cell r="G1994" t="str">
            <v>C</v>
          </cell>
          <cell r="H1994">
            <v>2</v>
          </cell>
        </row>
        <row r="1995">
          <cell r="A1995">
            <v>70413205</v>
          </cell>
          <cell r="B1995" t="str">
            <v>아라푸라해</v>
          </cell>
          <cell r="C1995" t="str">
            <v>지리</v>
          </cell>
          <cell r="D1995">
            <v>1</v>
          </cell>
          <cell r="E1995" t="str">
            <v>자연</v>
          </cell>
          <cell r="F1995">
            <v>1</v>
          </cell>
          <cell r="G1995" t="str">
            <v>B</v>
          </cell>
          <cell r="H1995">
            <v>3</v>
          </cell>
        </row>
        <row r="1996">
          <cell r="A1996">
            <v>70413206</v>
          </cell>
          <cell r="B1996" t="str">
            <v>아리산</v>
          </cell>
          <cell r="C1996" t="str">
            <v>지리</v>
          </cell>
          <cell r="D1996">
            <v>1</v>
          </cell>
          <cell r="E1996" t="str">
            <v>자연</v>
          </cell>
          <cell r="F1996">
            <v>1</v>
          </cell>
          <cell r="G1996" t="str">
            <v>B</v>
          </cell>
          <cell r="H1996">
            <v>3</v>
          </cell>
        </row>
        <row r="1997">
          <cell r="A1997">
            <v>70413207</v>
          </cell>
          <cell r="B1997" t="str">
            <v>아마존강</v>
          </cell>
          <cell r="C1997" t="str">
            <v>지리</v>
          </cell>
          <cell r="D1997">
            <v>1</v>
          </cell>
          <cell r="E1997" t="str">
            <v>자연</v>
          </cell>
          <cell r="F1997">
            <v>1</v>
          </cell>
          <cell r="G1997" t="str">
            <v>S</v>
          </cell>
          <cell r="H1997">
            <v>5</v>
          </cell>
        </row>
        <row r="1998">
          <cell r="A1998">
            <v>70413208</v>
          </cell>
          <cell r="B1998" t="str">
            <v>아발론반도</v>
          </cell>
          <cell r="C1998" t="str">
            <v>지리</v>
          </cell>
          <cell r="D1998">
            <v>1</v>
          </cell>
          <cell r="E1998" t="str">
            <v>자연</v>
          </cell>
          <cell r="F1998">
            <v>1</v>
          </cell>
          <cell r="G1998" t="str">
            <v>D</v>
          </cell>
          <cell r="H1998">
            <v>1</v>
          </cell>
          <cell r="AW1998" t="str">
            <v/>
          </cell>
          <cell r="BA1998" t="str">
            <v>-</v>
          </cell>
        </row>
        <row r="1999">
          <cell r="A1999">
            <v>70413209</v>
          </cell>
          <cell r="B1999" t="str">
            <v>아소산</v>
          </cell>
          <cell r="C1999" t="str">
            <v>지리</v>
          </cell>
          <cell r="D1999">
            <v>1</v>
          </cell>
          <cell r="E1999" t="str">
            <v>자연</v>
          </cell>
          <cell r="F1999">
            <v>1</v>
          </cell>
          <cell r="G1999" t="str">
            <v>B</v>
          </cell>
          <cell r="H1999">
            <v>3</v>
          </cell>
          <cell r="AW1999" t="str">
            <v>특정 직업 항해사 보유</v>
          </cell>
          <cell r="AY1999" t="str">
            <v>지리학자</v>
          </cell>
          <cell r="BA1999">
            <v>4</v>
          </cell>
        </row>
        <row r="2000">
          <cell r="A2000">
            <v>70413210</v>
          </cell>
          <cell r="B2000" t="str">
            <v>아수에로반도</v>
          </cell>
          <cell r="C2000" t="str">
            <v>지리</v>
          </cell>
          <cell r="D2000">
            <v>1</v>
          </cell>
          <cell r="E2000" t="str">
            <v>자연</v>
          </cell>
          <cell r="F2000">
            <v>1</v>
          </cell>
          <cell r="G2000" t="str">
            <v>B</v>
          </cell>
          <cell r="H2000">
            <v>3</v>
          </cell>
        </row>
        <row r="2001">
          <cell r="A2001">
            <v>70413211</v>
          </cell>
          <cell r="B2001" t="str">
            <v>아오테아로아</v>
          </cell>
          <cell r="C2001" t="str">
            <v>지리</v>
          </cell>
          <cell r="D2001">
            <v>1</v>
          </cell>
          <cell r="E2001" t="str">
            <v>자연</v>
          </cell>
          <cell r="F2001">
            <v>1</v>
          </cell>
          <cell r="G2001" t="str">
            <v>B</v>
          </cell>
          <cell r="H2001">
            <v>3</v>
          </cell>
        </row>
        <row r="2002">
          <cell r="A2002">
            <v>70413212</v>
          </cell>
          <cell r="B2002" t="str">
            <v>아우터 뱅크스</v>
          </cell>
          <cell r="C2002" t="str">
            <v>지리</v>
          </cell>
          <cell r="D2002">
            <v>1</v>
          </cell>
          <cell r="E2002" t="str">
            <v>자연</v>
          </cell>
          <cell r="F2002">
            <v>1</v>
          </cell>
          <cell r="G2002" t="str">
            <v>B</v>
          </cell>
          <cell r="H2002">
            <v>3</v>
          </cell>
        </row>
        <row r="2003">
          <cell r="A2003">
            <v>70413213</v>
          </cell>
          <cell r="B2003" t="str">
            <v>아이리시해</v>
          </cell>
          <cell r="C2003" t="str">
            <v>지리</v>
          </cell>
          <cell r="D2003">
            <v>1</v>
          </cell>
          <cell r="E2003" t="str">
            <v>자연</v>
          </cell>
          <cell r="F2003">
            <v>1</v>
          </cell>
          <cell r="G2003" t="str">
            <v>D</v>
          </cell>
          <cell r="H2003">
            <v>1</v>
          </cell>
          <cell r="AW2003" t="str">
            <v/>
          </cell>
          <cell r="BA2003" t="str">
            <v>-</v>
          </cell>
        </row>
        <row r="2004">
          <cell r="A2004">
            <v>70413214</v>
          </cell>
          <cell r="B2004" t="str">
            <v>아이슬란드</v>
          </cell>
          <cell r="C2004" t="str">
            <v>지리</v>
          </cell>
          <cell r="D2004">
            <v>1</v>
          </cell>
          <cell r="E2004" t="str">
            <v>자연</v>
          </cell>
          <cell r="F2004">
            <v>1</v>
          </cell>
          <cell r="G2004" t="str">
            <v>B</v>
          </cell>
          <cell r="H2004">
            <v>3</v>
          </cell>
        </row>
        <row r="2005">
          <cell r="A2005">
            <v>70413215</v>
          </cell>
          <cell r="B2005" t="str">
            <v>아일레이섬</v>
          </cell>
          <cell r="C2005" t="str">
            <v>지리</v>
          </cell>
          <cell r="D2005">
            <v>1</v>
          </cell>
          <cell r="E2005" t="str">
            <v>자연</v>
          </cell>
          <cell r="F2005">
            <v>1</v>
          </cell>
          <cell r="G2005" t="str">
            <v>B</v>
          </cell>
          <cell r="H2005">
            <v>3</v>
          </cell>
        </row>
        <row r="2006">
          <cell r="A2006">
            <v>70413216</v>
          </cell>
          <cell r="B2006" t="str">
            <v>아조레스제도</v>
          </cell>
          <cell r="C2006" t="str">
            <v>지리</v>
          </cell>
          <cell r="D2006">
            <v>1</v>
          </cell>
          <cell r="E2006" t="str">
            <v>자연</v>
          </cell>
          <cell r="F2006">
            <v>1</v>
          </cell>
          <cell r="G2006" t="str">
            <v>B</v>
          </cell>
          <cell r="H2006">
            <v>3</v>
          </cell>
        </row>
        <row r="2007">
          <cell r="A2007">
            <v>70413217</v>
          </cell>
          <cell r="B2007" t="str">
            <v>아추라 동굴</v>
          </cell>
          <cell r="C2007" t="str">
            <v>지리</v>
          </cell>
          <cell r="D2007">
            <v>1</v>
          </cell>
          <cell r="E2007" t="str">
            <v>자연</v>
          </cell>
          <cell r="F2007">
            <v>1</v>
          </cell>
          <cell r="G2007" t="str">
            <v>C</v>
          </cell>
          <cell r="H2007">
            <v>2</v>
          </cell>
          <cell r="AW2007" t="str">
            <v>특정 퀘스트</v>
          </cell>
          <cell r="AY2007" t="str">
            <v>에르네스트 로페스 시나리오</v>
          </cell>
          <cell r="BA2007" t="str">
            <v>에르네스트 로페스05_03</v>
          </cell>
        </row>
        <row r="2008">
          <cell r="A2008">
            <v>70413218</v>
          </cell>
          <cell r="B2008" t="str">
            <v>아타카마 사막</v>
          </cell>
          <cell r="C2008" t="str">
            <v>지리</v>
          </cell>
          <cell r="D2008">
            <v>1</v>
          </cell>
          <cell r="E2008" t="str">
            <v>자연</v>
          </cell>
          <cell r="F2008">
            <v>1</v>
          </cell>
          <cell r="G2008" t="str">
            <v>B</v>
          </cell>
          <cell r="H2008">
            <v>3</v>
          </cell>
        </row>
        <row r="2009">
          <cell r="A2009">
            <v>70413219</v>
          </cell>
          <cell r="B2009" t="str">
            <v>아타카마의 거인</v>
          </cell>
          <cell r="C2009" t="str">
            <v>지리</v>
          </cell>
          <cell r="D2009">
            <v>1</v>
          </cell>
          <cell r="E2009" t="str">
            <v>자연</v>
          </cell>
          <cell r="F2009">
            <v>1</v>
          </cell>
          <cell r="G2009" t="str">
            <v>A</v>
          </cell>
          <cell r="H2009">
            <v>4</v>
          </cell>
        </row>
        <row r="2010">
          <cell r="A2010">
            <v>70413220</v>
          </cell>
          <cell r="B2010" t="str">
            <v>아타카마의 소금 호수</v>
          </cell>
          <cell r="C2010" t="str">
            <v>지리</v>
          </cell>
          <cell r="D2010">
            <v>1</v>
          </cell>
          <cell r="E2010" t="str">
            <v>자연</v>
          </cell>
          <cell r="F2010">
            <v>1</v>
          </cell>
          <cell r="G2010" t="str">
            <v>S</v>
          </cell>
          <cell r="H2010">
            <v>5</v>
          </cell>
        </row>
        <row r="2011">
          <cell r="A2011">
            <v>70413221</v>
          </cell>
          <cell r="B2011" t="str">
            <v>아틀라스산맥</v>
          </cell>
          <cell r="C2011" t="str">
            <v>지리</v>
          </cell>
          <cell r="D2011">
            <v>1</v>
          </cell>
          <cell r="E2011" t="str">
            <v>자연</v>
          </cell>
          <cell r="F2011">
            <v>1</v>
          </cell>
          <cell r="G2011" t="str">
            <v>B</v>
          </cell>
          <cell r="H2011">
            <v>3</v>
          </cell>
        </row>
        <row r="2012">
          <cell r="A2012">
            <v>70413222</v>
          </cell>
          <cell r="B2012" t="str">
            <v>안다만제도</v>
          </cell>
          <cell r="C2012" t="str">
            <v>지리</v>
          </cell>
          <cell r="D2012">
            <v>1</v>
          </cell>
          <cell r="E2012" t="str">
            <v>자연</v>
          </cell>
          <cell r="F2012">
            <v>1</v>
          </cell>
          <cell r="G2012" t="str">
            <v>A</v>
          </cell>
          <cell r="H2012">
            <v>4</v>
          </cell>
        </row>
        <row r="2013">
          <cell r="A2013">
            <v>70413223</v>
          </cell>
          <cell r="B2013" t="str">
            <v>안다만해</v>
          </cell>
          <cell r="C2013" t="str">
            <v>지리</v>
          </cell>
          <cell r="D2013">
            <v>1</v>
          </cell>
          <cell r="E2013" t="str">
            <v>자연</v>
          </cell>
          <cell r="F2013">
            <v>1</v>
          </cell>
          <cell r="G2013" t="str">
            <v>B</v>
          </cell>
          <cell r="H2013">
            <v>3</v>
          </cell>
        </row>
        <row r="2014">
          <cell r="A2014">
            <v>70413224</v>
          </cell>
          <cell r="B2014" t="str">
            <v>안데스산맥</v>
          </cell>
          <cell r="C2014" t="str">
            <v>지리</v>
          </cell>
          <cell r="D2014">
            <v>1</v>
          </cell>
          <cell r="E2014" t="str">
            <v>자연</v>
          </cell>
          <cell r="F2014">
            <v>1</v>
          </cell>
          <cell r="G2014" t="str">
            <v>B</v>
          </cell>
          <cell r="H2014">
            <v>3</v>
          </cell>
        </row>
        <row r="2015">
          <cell r="A2015">
            <v>70413225</v>
          </cell>
          <cell r="B2015" t="str">
            <v>알다브라 환초</v>
          </cell>
          <cell r="C2015" t="str">
            <v>지리</v>
          </cell>
          <cell r="D2015">
            <v>1</v>
          </cell>
          <cell r="E2015" t="str">
            <v>자연</v>
          </cell>
          <cell r="F2015">
            <v>1</v>
          </cell>
          <cell r="G2015" t="str">
            <v>S</v>
          </cell>
          <cell r="H2015">
            <v>5</v>
          </cell>
          <cell r="AW2015" t="str">
            <v>무조건 실패</v>
          </cell>
          <cell r="BA2015">
            <v>1</v>
          </cell>
        </row>
        <row r="2016">
          <cell r="A2016">
            <v>70413226</v>
          </cell>
          <cell r="B2016" t="str">
            <v>알류샨열도</v>
          </cell>
          <cell r="C2016" t="str">
            <v>지리</v>
          </cell>
          <cell r="D2016">
            <v>1</v>
          </cell>
          <cell r="E2016" t="str">
            <v>자연</v>
          </cell>
          <cell r="F2016">
            <v>1</v>
          </cell>
          <cell r="G2016" t="str">
            <v>A</v>
          </cell>
          <cell r="H2016">
            <v>4</v>
          </cell>
        </row>
        <row r="2017">
          <cell r="A2017">
            <v>70413227</v>
          </cell>
          <cell r="B2017" t="str">
            <v>알타이산맥</v>
          </cell>
          <cell r="C2017" t="str">
            <v>지리</v>
          </cell>
          <cell r="D2017">
            <v>1</v>
          </cell>
          <cell r="E2017" t="str">
            <v>자연</v>
          </cell>
          <cell r="F2017">
            <v>1</v>
          </cell>
          <cell r="G2017" t="str">
            <v>B</v>
          </cell>
          <cell r="H2017">
            <v>3</v>
          </cell>
        </row>
        <row r="2018">
          <cell r="A2018">
            <v>70413228</v>
          </cell>
          <cell r="B2018" t="str">
            <v>앙헬폭포</v>
          </cell>
          <cell r="C2018" t="str">
            <v>지리</v>
          </cell>
          <cell r="D2018">
            <v>1</v>
          </cell>
          <cell r="E2018" t="str">
            <v>자연</v>
          </cell>
          <cell r="F2018">
            <v>1</v>
          </cell>
          <cell r="G2018" t="str">
            <v>B</v>
          </cell>
          <cell r="H2018">
            <v>3</v>
          </cell>
          <cell r="AW2018" t="str">
            <v>특정 국가 항해사 보유</v>
          </cell>
          <cell r="AY2018" t="str">
            <v>에스파냐</v>
          </cell>
          <cell r="BA2018">
            <v>8</v>
          </cell>
        </row>
        <row r="2019">
          <cell r="A2019">
            <v>70413229</v>
          </cell>
          <cell r="B2019" t="str">
            <v>애팔래치아산맥</v>
          </cell>
          <cell r="C2019" t="str">
            <v>지리</v>
          </cell>
          <cell r="D2019">
            <v>1</v>
          </cell>
          <cell r="E2019" t="str">
            <v>자연</v>
          </cell>
          <cell r="F2019">
            <v>1</v>
          </cell>
          <cell r="G2019" t="str">
            <v>D</v>
          </cell>
          <cell r="H2019">
            <v>1</v>
          </cell>
          <cell r="AW2019" t="str">
            <v/>
          </cell>
          <cell r="BA2019" t="str">
            <v>-</v>
          </cell>
        </row>
        <row r="2020">
          <cell r="A2020">
            <v>70413230</v>
          </cell>
          <cell r="B2020" t="str">
            <v>앨버트산</v>
          </cell>
          <cell r="C2020" t="str">
            <v>지리</v>
          </cell>
          <cell r="D2020">
            <v>1</v>
          </cell>
          <cell r="E2020" t="str">
            <v>자연</v>
          </cell>
          <cell r="F2020">
            <v>1</v>
          </cell>
          <cell r="G2020" t="str">
            <v>A</v>
          </cell>
          <cell r="H2020">
            <v>4</v>
          </cell>
          <cell r="AW2020" t="str">
            <v>특정 직업 항해사 보유</v>
          </cell>
          <cell r="AY2020" t="str">
            <v>탐험가</v>
          </cell>
          <cell r="BA2020">
            <v>3</v>
          </cell>
        </row>
        <row r="2021">
          <cell r="A2021">
            <v>70413231</v>
          </cell>
          <cell r="B2021" t="str">
            <v>야쿠섬</v>
          </cell>
          <cell r="C2021" t="str">
            <v>지리</v>
          </cell>
          <cell r="D2021">
            <v>1</v>
          </cell>
          <cell r="E2021" t="str">
            <v>자연</v>
          </cell>
          <cell r="F2021">
            <v>1</v>
          </cell>
          <cell r="G2021" t="str">
            <v>B</v>
          </cell>
          <cell r="H2021">
            <v>3</v>
          </cell>
        </row>
        <row r="2022">
          <cell r="A2022">
            <v>70413232</v>
          </cell>
          <cell r="B2022" t="str">
            <v>어센션섬</v>
          </cell>
          <cell r="C2022" t="str">
            <v>지리</v>
          </cell>
          <cell r="D2022">
            <v>1</v>
          </cell>
          <cell r="E2022" t="str">
            <v>자연</v>
          </cell>
          <cell r="F2022">
            <v>1</v>
          </cell>
          <cell r="G2022" t="str">
            <v>S</v>
          </cell>
          <cell r="H2022">
            <v>5</v>
          </cell>
        </row>
        <row r="2023">
          <cell r="A2023">
            <v>70413233</v>
          </cell>
          <cell r="B2023" t="str">
            <v>에게해</v>
          </cell>
          <cell r="C2023" t="str">
            <v>지리</v>
          </cell>
          <cell r="D2023">
            <v>1</v>
          </cell>
          <cell r="E2023" t="str">
            <v>자연</v>
          </cell>
          <cell r="F2023">
            <v>1</v>
          </cell>
          <cell r="G2023" t="str">
            <v>D</v>
          </cell>
          <cell r="H2023">
            <v>1</v>
          </cell>
          <cell r="AW2023" t="str">
            <v/>
          </cell>
          <cell r="BA2023" t="str">
            <v>-</v>
          </cell>
        </row>
        <row r="2024">
          <cell r="A2024">
            <v>70413234</v>
          </cell>
          <cell r="B2024" t="str">
            <v>에어 반도</v>
          </cell>
          <cell r="C2024" t="str">
            <v>지리</v>
          </cell>
          <cell r="D2024">
            <v>1</v>
          </cell>
          <cell r="E2024" t="str">
            <v>자연</v>
          </cell>
          <cell r="F2024">
            <v>1</v>
          </cell>
          <cell r="G2024" t="str">
            <v>C</v>
          </cell>
          <cell r="H2024">
            <v>2</v>
          </cell>
        </row>
        <row r="2025">
          <cell r="A2025">
            <v>70413235</v>
          </cell>
          <cell r="B2025" t="str">
            <v>에트나산</v>
          </cell>
          <cell r="C2025" t="str">
            <v>지리</v>
          </cell>
          <cell r="D2025">
            <v>1</v>
          </cell>
          <cell r="E2025" t="str">
            <v>자연</v>
          </cell>
          <cell r="F2025">
            <v>1</v>
          </cell>
          <cell r="G2025" t="str">
            <v>A</v>
          </cell>
          <cell r="H2025">
            <v>4</v>
          </cell>
          <cell r="AW2025" t="str">
            <v>특정 직업 항해사 보유</v>
          </cell>
          <cell r="AY2025" t="str">
            <v>지리학자</v>
          </cell>
          <cell r="BA2025">
            <v>6</v>
          </cell>
        </row>
        <row r="2026">
          <cell r="A2026">
            <v>70413236</v>
          </cell>
          <cell r="B2026" t="str">
            <v>엘 리몬의 폭포</v>
          </cell>
          <cell r="C2026" t="str">
            <v>지리</v>
          </cell>
          <cell r="D2026">
            <v>1</v>
          </cell>
          <cell r="E2026" t="str">
            <v>자연</v>
          </cell>
          <cell r="F2026">
            <v>1</v>
          </cell>
          <cell r="G2026" t="str">
            <v>B</v>
          </cell>
          <cell r="H2026">
            <v>3</v>
          </cell>
        </row>
        <row r="2027">
          <cell r="A2027">
            <v>70413237</v>
          </cell>
          <cell r="B2027" t="str">
            <v>엘레우테라섬</v>
          </cell>
          <cell r="C2027" t="str">
            <v>지리</v>
          </cell>
          <cell r="D2027">
            <v>1</v>
          </cell>
          <cell r="E2027" t="str">
            <v>자연</v>
          </cell>
          <cell r="F2027">
            <v>1</v>
          </cell>
          <cell r="G2027" t="str">
            <v>B</v>
          </cell>
          <cell r="H2027">
            <v>3</v>
          </cell>
        </row>
        <row r="2028">
          <cell r="A2028">
            <v>70413238</v>
          </cell>
          <cell r="B2028" t="str">
            <v>오렌지강</v>
          </cell>
          <cell r="C2028" t="str">
            <v>지리</v>
          </cell>
          <cell r="D2028">
            <v>1</v>
          </cell>
          <cell r="E2028" t="str">
            <v>자연</v>
          </cell>
          <cell r="F2028">
            <v>1</v>
          </cell>
          <cell r="G2028" t="str">
            <v>C</v>
          </cell>
          <cell r="H2028">
            <v>2</v>
          </cell>
        </row>
        <row r="2029">
          <cell r="A2029">
            <v>70413239</v>
          </cell>
          <cell r="B2029" t="str">
            <v>오리노코강</v>
          </cell>
          <cell r="C2029" t="str">
            <v>지리</v>
          </cell>
          <cell r="D2029">
            <v>1</v>
          </cell>
          <cell r="E2029" t="str">
            <v>자연</v>
          </cell>
          <cell r="F2029">
            <v>1</v>
          </cell>
          <cell r="G2029" t="str">
            <v>C</v>
          </cell>
          <cell r="H2029">
            <v>2</v>
          </cell>
        </row>
        <row r="2030">
          <cell r="A2030">
            <v>70413240</v>
          </cell>
          <cell r="B2030" t="str">
            <v>오소레산</v>
          </cell>
          <cell r="C2030" t="str">
            <v>지리</v>
          </cell>
          <cell r="D2030">
            <v>1</v>
          </cell>
          <cell r="E2030" t="str">
            <v>자연</v>
          </cell>
          <cell r="F2030">
            <v>1</v>
          </cell>
          <cell r="G2030" t="str">
            <v>B</v>
          </cell>
          <cell r="H2030">
            <v>3</v>
          </cell>
        </row>
        <row r="2031">
          <cell r="A2031">
            <v>70413241</v>
          </cell>
          <cell r="B2031" t="str">
            <v>오순 오소그보 신성 숲</v>
          </cell>
          <cell r="C2031" t="str">
            <v>지리</v>
          </cell>
          <cell r="D2031">
            <v>1</v>
          </cell>
          <cell r="E2031" t="str">
            <v>자연</v>
          </cell>
          <cell r="F2031">
            <v>1</v>
          </cell>
          <cell r="G2031" t="str">
            <v>A</v>
          </cell>
          <cell r="H2031">
            <v>4</v>
          </cell>
        </row>
        <row r="2032">
          <cell r="A2032">
            <v>70413242</v>
          </cell>
          <cell r="B2032" t="str">
            <v>오카방고강</v>
          </cell>
          <cell r="C2032" t="str">
            <v>지리</v>
          </cell>
          <cell r="D2032">
            <v>1</v>
          </cell>
          <cell r="E2032" t="str">
            <v>자연</v>
          </cell>
          <cell r="F2032">
            <v>1</v>
          </cell>
          <cell r="G2032" t="str">
            <v>A</v>
          </cell>
          <cell r="H2032">
            <v>4</v>
          </cell>
        </row>
        <row r="2033">
          <cell r="A2033">
            <v>70413243</v>
          </cell>
          <cell r="B2033" t="str">
            <v>옥시덴탈산맥</v>
          </cell>
          <cell r="C2033" t="str">
            <v>지리</v>
          </cell>
          <cell r="D2033">
            <v>1</v>
          </cell>
          <cell r="E2033" t="str">
            <v>자연</v>
          </cell>
          <cell r="F2033">
            <v>1</v>
          </cell>
          <cell r="G2033" t="str">
            <v>B</v>
          </cell>
          <cell r="H2033">
            <v>3</v>
          </cell>
        </row>
        <row r="2034">
          <cell r="A2034">
            <v>70413244</v>
          </cell>
          <cell r="B2034" t="str">
            <v>온두라스만</v>
          </cell>
          <cell r="C2034" t="str">
            <v>지리</v>
          </cell>
          <cell r="D2034">
            <v>1</v>
          </cell>
          <cell r="E2034" t="str">
            <v>자연</v>
          </cell>
          <cell r="F2034">
            <v>1</v>
          </cell>
          <cell r="G2034" t="str">
            <v>C</v>
          </cell>
          <cell r="H2034">
            <v>2</v>
          </cell>
        </row>
        <row r="2035">
          <cell r="A2035">
            <v>70413245</v>
          </cell>
          <cell r="B2035" t="str">
            <v>온타리오호</v>
          </cell>
          <cell r="C2035" t="str">
            <v>지리</v>
          </cell>
          <cell r="D2035">
            <v>1</v>
          </cell>
          <cell r="E2035" t="str">
            <v>자연</v>
          </cell>
          <cell r="F2035">
            <v>1</v>
          </cell>
          <cell r="G2035" t="str">
            <v>B</v>
          </cell>
          <cell r="H2035">
            <v>3</v>
          </cell>
        </row>
        <row r="2036">
          <cell r="A2036">
            <v>70413246</v>
          </cell>
          <cell r="B2036" t="str">
            <v>올림포스산</v>
          </cell>
          <cell r="C2036" t="str">
            <v>지리</v>
          </cell>
          <cell r="D2036">
            <v>1</v>
          </cell>
          <cell r="E2036" t="str">
            <v>자연</v>
          </cell>
          <cell r="F2036">
            <v>1</v>
          </cell>
          <cell r="G2036" t="str">
            <v>S</v>
          </cell>
          <cell r="H2036">
            <v>5</v>
          </cell>
        </row>
        <row r="2037">
          <cell r="A2037">
            <v>70413247</v>
          </cell>
          <cell r="B2037" t="str">
            <v>와이나픽추</v>
          </cell>
          <cell r="C2037" t="str">
            <v>지리</v>
          </cell>
          <cell r="D2037">
            <v>1</v>
          </cell>
          <cell r="E2037" t="str">
            <v>자연</v>
          </cell>
          <cell r="F2037">
            <v>1</v>
          </cell>
          <cell r="G2037" t="str">
            <v>B</v>
          </cell>
          <cell r="H2037">
            <v>3</v>
          </cell>
        </row>
        <row r="2038">
          <cell r="A2038">
            <v>70413248</v>
          </cell>
          <cell r="B2038" t="str">
            <v>용두암</v>
          </cell>
          <cell r="C2038" t="str">
            <v>지리</v>
          </cell>
          <cell r="D2038">
            <v>1</v>
          </cell>
          <cell r="E2038" t="str">
            <v>자연</v>
          </cell>
          <cell r="F2038">
            <v>1</v>
          </cell>
          <cell r="G2038" t="str">
            <v>C</v>
          </cell>
          <cell r="H2038">
            <v>2</v>
          </cell>
        </row>
        <row r="2039">
          <cell r="A2039">
            <v>70413249</v>
          </cell>
          <cell r="B2039" t="str">
            <v>우각호</v>
          </cell>
          <cell r="C2039" t="str">
            <v>지리</v>
          </cell>
          <cell r="D2039">
            <v>1</v>
          </cell>
          <cell r="E2039" t="str">
            <v>자연</v>
          </cell>
          <cell r="F2039">
            <v>1</v>
          </cell>
          <cell r="G2039" t="str">
            <v>B</v>
          </cell>
          <cell r="H2039">
            <v>3</v>
          </cell>
        </row>
        <row r="2040">
          <cell r="A2040">
            <v>70413250</v>
          </cell>
          <cell r="B2040" t="str">
            <v>운남석림</v>
          </cell>
          <cell r="C2040" t="str">
            <v>지리</v>
          </cell>
          <cell r="D2040">
            <v>1</v>
          </cell>
          <cell r="E2040" t="str">
            <v>자연</v>
          </cell>
          <cell r="F2040">
            <v>1</v>
          </cell>
          <cell r="G2040" t="str">
            <v>B</v>
          </cell>
          <cell r="H2040">
            <v>3</v>
          </cell>
        </row>
        <row r="2041">
          <cell r="A2041">
            <v>70413251</v>
          </cell>
          <cell r="B2041" t="str">
            <v>유카탄반도</v>
          </cell>
          <cell r="C2041" t="str">
            <v>지리</v>
          </cell>
          <cell r="D2041">
            <v>1</v>
          </cell>
          <cell r="E2041" t="str">
            <v>자연</v>
          </cell>
          <cell r="F2041">
            <v>1</v>
          </cell>
          <cell r="G2041" t="str">
            <v>B</v>
          </cell>
          <cell r="H2041">
            <v>3</v>
          </cell>
        </row>
        <row r="2042">
          <cell r="A2042">
            <v>70413252</v>
          </cell>
          <cell r="B2042" t="str">
            <v>유프라테스강</v>
          </cell>
          <cell r="C2042" t="str">
            <v>지리</v>
          </cell>
          <cell r="D2042">
            <v>1</v>
          </cell>
          <cell r="E2042" t="str">
            <v>자연</v>
          </cell>
          <cell r="F2042">
            <v>1</v>
          </cell>
          <cell r="G2042" t="str">
            <v>B</v>
          </cell>
          <cell r="H2042">
            <v>3</v>
          </cell>
        </row>
        <row r="2043">
          <cell r="A2043">
            <v>70413253</v>
          </cell>
          <cell r="B2043" t="str">
            <v>응앵가 호수</v>
          </cell>
          <cell r="C2043" t="str">
            <v>지리</v>
          </cell>
          <cell r="D2043">
            <v>1</v>
          </cell>
          <cell r="E2043" t="str">
            <v>자연</v>
          </cell>
          <cell r="F2043">
            <v>1</v>
          </cell>
          <cell r="G2043" t="str">
            <v>B</v>
          </cell>
          <cell r="H2043">
            <v>3</v>
          </cell>
        </row>
        <row r="2044">
          <cell r="A2044">
            <v>70413254</v>
          </cell>
          <cell r="B2044" t="str">
            <v>이구아수폭포</v>
          </cell>
          <cell r="C2044" t="str">
            <v>지리</v>
          </cell>
          <cell r="D2044">
            <v>1</v>
          </cell>
          <cell r="E2044" t="str">
            <v>자연</v>
          </cell>
          <cell r="F2044">
            <v>1</v>
          </cell>
          <cell r="G2044" t="str">
            <v>A</v>
          </cell>
          <cell r="H2044">
            <v>4</v>
          </cell>
          <cell r="AW2044" t="str">
            <v>특정 직업 항해사 보유</v>
          </cell>
          <cell r="AY2044" t="str">
            <v>지리학자</v>
          </cell>
          <cell r="BA2044">
            <v>6</v>
          </cell>
        </row>
        <row r="2045">
          <cell r="A2045">
            <v>70413255</v>
          </cell>
          <cell r="B2045" t="str">
            <v>이리호</v>
          </cell>
          <cell r="C2045" t="str">
            <v>지리</v>
          </cell>
          <cell r="D2045">
            <v>1</v>
          </cell>
          <cell r="E2045" t="str">
            <v>자연</v>
          </cell>
          <cell r="F2045">
            <v>1</v>
          </cell>
          <cell r="G2045" t="str">
            <v>C</v>
          </cell>
          <cell r="H2045">
            <v>2</v>
          </cell>
        </row>
        <row r="2046">
          <cell r="A2046">
            <v>70413256</v>
          </cell>
          <cell r="B2046" t="str">
            <v>이비사섬</v>
          </cell>
          <cell r="C2046" t="str">
            <v>지리</v>
          </cell>
          <cell r="D2046">
            <v>1</v>
          </cell>
          <cell r="E2046" t="str">
            <v>자연</v>
          </cell>
          <cell r="F2046">
            <v>1</v>
          </cell>
          <cell r="G2046" t="str">
            <v>B</v>
          </cell>
          <cell r="H2046">
            <v>3</v>
          </cell>
          <cell r="AW2046" t="str">
            <v>특정 퀘스트(=)</v>
          </cell>
          <cell r="AY2046" t="str">
            <v>에르네스트 로페스 시나리오</v>
          </cell>
          <cell r="BA2046" t="str">
            <v>에르네스트 로페스05_04</v>
          </cell>
        </row>
        <row r="2047">
          <cell r="A2047">
            <v>70413257</v>
          </cell>
          <cell r="B2047" t="str">
            <v>이스터섬</v>
          </cell>
          <cell r="C2047" t="str">
            <v>지리</v>
          </cell>
          <cell r="D2047">
            <v>1</v>
          </cell>
          <cell r="E2047" t="str">
            <v>자연</v>
          </cell>
          <cell r="F2047">
            <v>1</v>
          </cell>
          <cell r="G2047" t="str">
            <v>S</v>
          </cell>
          <cell r="H2047">
            <v>5</v>
          </cell>
        </row>
        <row r="2048">
          <cell r="A2048">
            <v>70413258</v>
          </cell>
          <cell r="B2048" t="str">
            <v>이스트라반도</v>
          </cell>
          <cell r="C2048" t="str">
            <v>지리</v>
          </cell>
          <cell r="D2048">
            <v>1</v>
          </cell>
          <cell r="E2048" t="str">
            <v>자연</v>
          </cell>
          <cell r="F2048">
            <v>1</v>
          </cell>
          <cell r="G2048" t="str">
            <v>C</v>
          </cell>
          <cell r="H2048">
            <v>2</v>
          </cell>
        </row>
        <row r="2049">
          <cell r="A2049">
            <v>70413259</v>
          </cell>
          <cell r="B2049" t="str">
            <v>이오나섬</v>
          </cell>
          <cell r="C2049" t="str">
            <v>지리</v>
          </cell>
          <cell r="D2049">
            <v>1</v>
          </cell>
          <cell r="E2049" t="str">
            <v>자연</v>
          </cell>
          <cell r="F2049">
            <v>1</v>
          </cell>
          <cell r="G2049" t="str">
            <v>S</v>
          </cell>
          <cell r="H2049">
            <v>5</v>
          </cell>
        </row>
        <row r="2050">
          <cell r="A2050">
            <v>70413260</v>
          </cell>
          <cell r="B2050" t="str">
            <v>이와미 은광</v>
          </cell>
          <cell r="C2050" t="str">
            <v>지리</v>
          </cell>
          <cell r="D2050">
            <v>1</v>
          </cell>
          <cell r="E2050" t="str">
            <v>자연</v>
          </cell>
          <cell r="F2050">
            <v>1</v>
          </cell>
          <cell r="G2050" t="str">
            <v>B</v>
          </cell>
          <cell r="H2050">
            <v>3</v>
          </cell>
        </row>
        <row r="2051">
          <cell r="A2051">
            <v>70413261</v>
          </cell>
          <cell r="B2051" t="str">
            <v>이키</v>
          </cell>
          <cell r="C2051" t="str">
            <v>지리</v>
          </cell>
          <cell r="D2051">
            <v>1</v>
          </cell>
          <cell r="E2051" t="str">
            <v>자연</v>
          </cell>
          <cell r="F2051">
            <v>1</v>
          </cell>
          <cell r="G2051" t="str">
            <v>B</v>
          </cell>
          <cell r="H2051">
            <v>3</v>
          </cell>
        </row>
        <row r="2052">
          <cell r="A2052">
            <v>70413262</v>
          </cell>
          <cell r="B2052" t="str">
            <v>인더스강</v>
          </cell>
          <cell r="C2052" t="str">
            <v>지리</v>
          </cell>
          <cell r="D2052">
            <v>1</v>
          </cell>
          <cell r="E2052" t="str">
            <v>자연</v>
          </cell>
          <cell r="F2052">
            <v>1</v>
          </cell>
          <cell r="G2052" t="str">
            <v>A</v>
          </cell>
          <cell r="H2052">
            <v>4</v>
          </cell>
        </row>
        <row r="2053">
          <cell r="A2053">
            <v>70413263</v>
          </cell>
          <cell r="B2053" t="str">
            <v>인도양</v>
          </cell>
          <cell r="C2053" t="str">
            <v>지리</v>
          </cell>
          <cell r="D2053">
            <v>1</v>
          </cell>
          <cell r="E2053" t="str">
            <v>자연</v>
          </cell>
          <cell r="F2053">
            <v>1</v>
          </cell>
          <cell r="G2053" t="str">
            <v>A</v>
          </cell>
          <cell r="H2053">
            <v>4</v>
          </cell>
        </row>
        <row r="2054">
          <cell r="A2054">
            <v>70413264</v>
          </cell>
          <cell r="B2054" t="str">
            <v>자그로스산맥</v>
          </cell>
          <cell r="C2054" t="str">
            <v>지리</v>
          </cell>
          <cell r="D2054">
            <v>1</v>
          </cell>
          <cell r="E2054" t="str">
            <v>자연</v>
          </cell>
          <cell r="F2054">
            <v>1</v>
          </cell>
          <cell r="G2054" t="str">
            <v>S</v>
          </cell>
          <cell r="H2054">
            <v>5</v>
          </cell>
        </row>
        <row r="2055">
          <cell r="A2055">
            <v>70413265</v>
          </cell>
          <cell r="B2055" t="str">
            <v>자매담</v>
          </cell>
          <cell r="C2055" t="str">
            <v>지리</v>
          </cell>
          <cell r="D2055">
            <v>1</v>
          </cell>
          <cell r="E2055" t="str">
            <v>자연</v>
          </cell>
          <cell r="F2055">
            <v>1</v>
          </cell>
          <cell r="G2055" t="str">
            <v>S</v>
          </cell>
          <cell r="H2055">
            <v>5</v>
          </cell>
        </row>
        <row r="2056">
          <cell r="A2056">
            <v>70413266</v>
          </cell>
          <cell r="B2056" t="str">
            <v>자메이카 섬</v>
          </cell>
          <cell r="C2056" t="str">
            <v>지리</v>
          </cell>
          <cell r="D2056">
            <v>1</v>
          </cell>
          <cell r="E2056" t="str">
            <v>자연</v>
          </cell>
          <cell r="F2056">
            <v>1</v>
          </cell>
          <cell r="G2056" t="str">
            <v>B</v>
          </cell>
          <cell r="H2056">
            <v>3</v>
          </cell>
        </row>
        <row r="2057">
          <cell r="A2057">
            <v>70413267</v>
          </cell>
          <cell r="B2057" t="str">
            <v>자와섬</v>
          </cell>
          <cell r="C2057" t="str">
            <v>지리</v>
          </cell>
          <cell r="D2057">
            <v>1</v>
          </cell>
          <cell r="E2057" t="str">
            <v>자연</v>
          </cell>
          <cell r="F2057">
            <v>1</v>
          </cell>
          <cell r="G2057" t="str">
            <v>C</v>
          </cell>
          <cell r="H2057">
            <v>2</v>
          </cell>
          <cell r="AW2057" t="str">
            <v>특정 퀘스트(=)</v>
          </cell>
          <cell r="AY2057" t="str">
            <v>에르네스트 로페스 시나리오</v>
          </cell>
          <cell r="BA2057" t="str">
            <v>에르네스트 로페스12_09</v>
          </cell>
        </row>
        <row r="2058">
          <cell r="A2058">
            <v>70413268</v>
          </cell>
          <cell r="B2058" t="str">
            <v>자와해</v>
          </cell>
          <cell r="C2058" t="str">
            <v>지리</v>
          </cell>
          <cell r="D2058">
            <v>1</v>
          </cell>
          <cell r="E2058" t="str">
            <v>자연</v>
          </cell>
          <cell r="F2058">
            <v>1</v>
          </cell>
          <cell r="G2058" t="str">
            <v>D</v>
          </cell>
          <cell r="H2058">
            <v>1</v>
          </cell>
          <cell r="AW2058" t="str">
            <v/>
          </cell>
          <cell r="BA2058" t="str">
            <v>-</v>
          </cell>
        </row>
        <row r="2059">
          <cell r="A2059">
            <v>70413269</v>
          </cell>
          <cell r="B2059" t="str">
            <v>잠베지강</v>
          </cell>
          <cell r="C2059" t="str">
            <v>지리</v>
          </cell>
          <cell r="D2059">
            <v>1</v>
          </cell>
          <cell r="E2059" t="str">
            <v>자연</v>
          </cell>
          <cell r="F2059">
            <v>1</v>
          </cell>
          <cell r="G2059" t="str">
            <v>B</v>
          </cell>
          <cell r="H2059">
            <v>3</v>
          </cell>
        </row>
        <row r="2060">
          <cell r="A2060">
            <v>70413270</v>
          </cell>
          <cell r="B2060" t="str">
            <v>장강</v>
          </cell>
          <cell r="C2060" t="str">
            <v>지리</v>
          </cell>
          <cell r="D2060">
            <v>1</v>
          </cell>
          <cell r="E2060" t="str">
            <v>자연</v>
          </cell>
          <cell r="F2060">
            <v>1</v>
          </cell>
          <cell r="G2060" t="str">
            <v>C</v>
          </cell>
          <cell r="H2060">
            <v>2</v>
          </cell>
        </row>
        <row r="2061">
          <cell r="A2061">
            <v>70413271</v>
          </cell>
          <cell r="B2061" t="str">
            <v>제주도</v>
          </cell>
          <cell r="C2061" t="str">
            <v>지리</v>
          </cell>
          <cell r="D2061">
            <v>1</v>
          </cell>
          <cell r="E2061" t="str">
            <v>자연</v>
          </cell>
          <cell r="F2061">
            <v>1</v>
          </cell>
          <cell r="G2061" t="str">
            <v>B</v>
          </cell>
          <cell r="H2061">
            <v>3</v>
          </cell>
        </row>
        <row r="2062">
          <cell r="A2062">
            <v>70413272</v>
          </cell>
          <cell r="B2062" t="str">
            <v>제주해류</v>
          </cell>
          <cell r="C2062" t="str">
            <v>지리</v>
          </cell>
          <cell r="D2062">
            <v>1</v>
          </cell>
          <cell r="E2062" t="str">
            <v>자연</v>
          </cell>
          <cell r="F2062">
            <v>1</v>
          </cell>
          <cell r="G2062" t="str">
            <v>D</v>
          </cell>
          <cell r="H2062">
            <v>1</v>
          </cell>
          <cell r="AW2062" t="str">
            <v/>
          </cell>
          <cell r="BA2062" t="str">
            <v>-</v>
          </cell>
        </row>
        <row r="2063">
          <cell r="A2063">
            <v>70413273</v>
          </cell>
          <cell r="B2063" t="str">
            <v>주상절리</v>
          </cell>
          <cell r="C2063" t="str">
            <v>지리</v>
          </cell>
          <cell r="D2063">
            <v>1</v>
          </cell>
          <cell r="E2063" t="str">
            <v>자연</v>
          </cell>
          <cell r="F2063">
            <v>1</v>
          </cell>
          <cell r="G2063" t="str">
            <v>B</v>
          </cell>
          <cell r="H2063">
            <v>3</v>
          </cell>
        </row>
        <row r="2064">
          <cell r="A2064">
            <v>70413274</v>
          </cell>
          <cell r="B2064" t="str">
            <v>진먼섬</v>
          </cell>
          <cell r="C2064" t="str">
            <v>지리</v>
          </cell>
          <cell r="D2064">
            <v>1</v>
          </cell>
          <cell r="E2064" t="str">
            <v>자연</v>
          </cell>
          <cell r="F2064">
            <v>1</v>
          </cell>
          <cell r="G2064" t="str">
            <v>B</v>
          </cell>
          <cell r="H2064">
            <v>3</v>
          </cell>
        </row>
        <row r="2065">
          <cell r="A2065">
            <v>70413275</v>
          </cell>
          <cell r="B2065" t="str">
            <v>차고스제도</v>
          </cell>
          <cell r="C2065" t="str">
            <v>지리</v>
          </cell>
          <cell r="D2065">
            <v>1</v>
          </cell>
          <cell r="E2065" t="str">
            <v>자연</v>
          </cell>
          <cell r="F2065">
            <v>1</v>
          </cell>
          <cell r="G2065" t="str">
            <v>S</v>
          </cell>
          <cell r="H2065">
            <v>5</v>
          </cell>
        </row>
        <row r="2066">
          <cell r="A2066">
            <v>70413276</v>
          </cell>
          <cell r="B2066" t="str">
            <v>차그레스강</v>
          </cell>
          <cell r="C2066" t="str">
            <v>지리</v>
          </cell>
          <cell r="D2066">
            <v>1</v>
          </cell>
          <cell r="E2066" t="str">
            <v>자연</v>
          </cell>
          <cell r="F2066">
            <v>1</v>
          </cell>
          <cell r="G2066" t="str">
            <v>B</v>
          </cell>
          <cell r="H2066">
            <v>3</v>
          </cell>
        </row>
        <row r="2067">
          <cell r="A2067">
            <v>70413277</v>
          </cell>
          <cell r="B2067" t="str">
            <v>차오프라야강</v>
          </cell>
          <cell r="C2067" t="str">
            <v>지리</v>
          </cell>
          <cell r="D2067">
            <v>1</v>
          </cell>
          <cell r="E2067" t="str">
            <v>자연</v>
          </cell>
          <cell r="F2067">
            <v>1</v>
          </cell>
          <cell r="G2067" t="str">
            <v>B</v>
          </cell>
          <cell r="H2067">
            <v>3</v>
          </cell>
        </row>
        <row r="2068">
          <cell r="A2068">
            <v>70413278</v>
          </cell>
          <cell r="B2068" t="str">
            <v>청나일폭포</v>
          </cell>
          <cell r="C2068" t="str">
            <v>지리</v>
          </cell>
          <cell r="D2068">
            <v>1</v>
          </cell>
          <cell r="E2068" t="str">
            <v>자연</v>
          </cell>
          <cell r="F2068">
            <v>1</v>
          </cell>
          <cell r="G2068" t="str">
            <v>B</v>
          </cell>
          <cell r="H2068">
            <v>3</v>
          </cell>
        </row>
        <row r="2069">
          <cell r="A2069">
            <v>70413279</v>
          </cell>
          <cell r="B2069" t="str">
            <v>칭청산</v>
          </cell>
          <cell r="C2069" t="str">
            <v>지리</v>
          </cell>
          <cell r="D2069">
            <v>1</v>
          </cell>
          <cell r="E2069" t="str">
            <v>자연</v>
          </cell>
          <cell r="F2069">
            <v>1</v>
          </cell>
          <cell r="G2069" t="str">
            <v>A</v>
          </cell>
          <cell r="H2069">
            <v>4</v>
          </cell>
        </row>
        <row r="2070">
          <cell r="A2070">
            <v>70413280</v>
          </cell>
          <cell r="B2070" t="str">
            <v>청수단애</v>
          </cell>
          <cell r="C2070" t="str">
            <v>지리</v>
          </cell>
          <cell r="D2070">
            <v>1</v>
          </cell>
          <cell r="E2070" t="str">
            <v>자연</v>
          </cell>
          <cell r="F2070">
            <v>1</v>
          </cell>
          <cell r="G2070" t="str">
            <v>A</v>
          </cell>
          <cell r="H2070">
            <v>4</v>
          </cell>
        </row>
        <row r="2071">
          <cell r="A2071">
            <v>70413281</v>
          </cell>
          <cell r="B2071" t="str">
            <v>첼류스킨곶</v>
          </cell>
          <cell r="C2071" t="str">
            <v>지리</v>
          </cell>
          <cell r="D2071">
            <v>1</v>
          </cell>
          <cell r="E2071" t="str">
            <v>자연</v>
          </cell>
          <cell r="F2071">
            <v>1</v>
          </cell>
          <cell r="G2071" t="str">
            <v>S</v>
          </cell>
          <cell r="H2071">
            <v>5</v>
          </cell>
        </row>
        <row r="2072">
          <cell r="A2072">
            <v>70413282</v>
          </cell>
          <cell r="B2072" t="str">
            <v>추크치반도</v>
          </cell>
          <cell r="C2072" t="str">
            <v>지리</v>
          </cell>
          <cell r="D2072">
            <v>1</v>
          </cell>
          <cell r="E2072" t="str">
            <v>자연</v>
          </cell>
          <cell r="F2072">
            <v>1</v>
          </cell>
          <cell r="G2072" t="str">
            <v>C</v>
          </cell>
          <cell r="H2072">
            <v>2</v>
          </cell>
        </row>
        <row r="2073">
          <cell r="A2073">
            <v>70413283</v>
          </cell>
          <cell r="B2073" t="str">
            <v>카리마타해협</v>
          </cell>
          <cell r="C2073" t="str">
            <v>지리</v>
          </cell>
          <cell r="D2073">
            <v>1</v>
          </cell>
          <cell r="E2073" t="str">
            <v>자연</v>
          </cell>
          <cell r="F2073">
            <v>1</v>
          </cell>
          <cell r="G2073" t="str">
            <v>C</v>
          </cell>
          <cell r="H2073">
            <v>2</v>
          </cell>
        </row>
        <row r="2074">
          <cell r="A2074">
            <v>70413284</v>
          </cell>
          <cell r="B2074" t="str">
            <v>카리브해</v>
          </cell>
          <cell r="C2074" t="str">
            <v>지리</v>
          </cell>
          <cell r="D2074">
            <v>1</v>
          </cell>
          <cell r="E2074" t="str">
            <v>자연</v>
          </cell>
          <cell r="F2074">
            <v>1</v>
          </cell>
          <cell r="G2074" t="str">
            <v>C</v>
          </cell>
          <cell r="H2074">
            <v>2</v>
          </cell>
        </row>
        <row r="2075">
          <cell r="A2075">
            <v>70413285</v>
          </cell>
          <cell r="B2075" t="str">
            <v>카메룬산</v>
          </cell>
          <cell r="C2075" t="str">
            <v>지리</v>
          </cell>
          <cell r="D2075">
            <v>1</v>
          </cell>
          <cell r="E2075" t="str">
            <v>자연</v>
          </cell>
          <cell r="F2075">
            <v>1</v>
          </cell>
          <cell r="G2075" t="str">
            <v>B</v>
          </cell>
          <cell r="H2075">
            <v>3</v>
          </cell>
        </row>
        <row r="2076">
          <cell r="A2076">
            <v>70413286</v>
          </cell>
          <cell r="B2076" t="str">
            <v>카스피해</v>
          </cell>
          <cell r="C2076" t="str">
            <v>지리</v>
          </cell>
          <cell r="D2076">
            <v>1</v>
          </cell>
          <cell r="E2076" t="str">
            <v>자연</v>
          </cell>
          <cell r="F2076">
            <v>1</v>
          </cell>
          <cell r="G2076" t="str">
            <v>A</v>
          </cell>
          <cell r="H2076">
            <v>4</v>
          </cell>
        </row>
        <row r="2077">
          <cell r="A2077">
            <v>70413287</v>
          </cell>
          <cell r="B2077" t="str">
            <v>카이에테우르폭포</v>
          </cell>
          <cell r="C2077" t="str">
            <v>지리</v>
          </cell>
          <cell r="D2077">
            <v>1</v>
          </cell>
          <cell r="E2077" t="str">
            <v>자연</v>
          </cell>
          <cell r="F2077">
            <v>1</v>
          </cell>
          <cell r="G2077" t="str">
            <v>A</v>
          </cell>
          <cell r="H2077">
            <v>4</v>
          </cell>
          <cell r="AW2077" t="str">
            <v>특정 직업 항해사 보유</v>
          </cell>
          <cell r="AY2077" t="str">
            <v>지리학자</v>
          </cell>
          <cell r="BA2077">
            <v>7</v>
          </cell>
        </row>
        <row r="2078">
          <cell r="A2078">
            <v>70413288</v>
          </cell>
          <cell r="B2078" t="str">
            <v>카토체곶</v>
          </cell>
          <cell r="C2078" t="str">
            <v>지리</v>
          </cell>
          <cell r="D2078">
            <v>1</v>
          </cell>
          <cell r="E2078" t="str">
            <v>자연</v>
          </cell>
          <cell r="F2078">
            <v>1</v>
          </cell>
          <cell r="G2078" t="str">
            <v>B</v>
          </cell>
          <cell r="H2078">
            <v>3</v>
          </cell>
        </row>
        <row r="2079">
          <cell r="A2079">
            <v>70413289</v>
          </cell>
          <cell r="B2079" t="str">
            <v>카펜테리아만</v>
          </cell>
          <cell r="C2079" t="str">
            <v>지리</v>
          </cell>
          <cell r="D2079">
            <v>1</v>
          </cell>
          <cell r="E2079" t="str">
            <v>자연</v>
          </cell>
          <cell r="F2079">
            <v>1</v>
          </cell>
          <cell r="G2079" t="str">
            <v>D</v>
          </cell>
          <cell r="H2079">
            <v>1</v>
          </cell>
          <cell r="AW2079" t="str">
            <v/>
          </cell>
          <cell r="BA2079" t="str">
            <v>-</v>
          </cell>
        </row>
        <row r="2080">
          <cell r="A2080">
            <v>70413290</v>
          </cell>
          <cell r="B2080" t="str">
            <v>카프리섬</v>
          </cell>
          <cell r="C2080" t="str">
            <v>지리</v>
          </cell>
          <cell r="D2080">
            <v>1</v>
          </cell>
          <cell r="E2080" t="str">
            <v>자연</v>
          </cell>
          <cell r="F2080">
            <v>1</v>
          </cell>
          <cell r="G2080" t="str">
            <v>B</v>
          </cell>
          <cell r="H2080">
            <v>3</v>
          </cell>
        </row>
        <row r="2081">
          <cell r="A2081">
            <v>70413291</v>
          </cell>
          <cell r="B2081" t="str">
            <v>칼라하리사막</v>
          </cell>
          <cell r="C2081" t="str">
            <v>지리</v>
          </cell>
          <cell r="D2081">
            <v>1</v>
          </cell>
          <cell r="E2081" t="str">
            <v>자연</v>
          </cell>
          <cell r="F2081">
            <v>1</v>
          </cell>
          <cell r="G2081" t="str">
            <v>B</v>
          </cell>
          <cell r="H2081">
            <v>3</v>
          </cell>
        </row>
        <row r="2082">
          <cell r="A2082">
            <v>70413292</v>
          </cell>
          <cell r="B2082" t="str">
            <v>칼즈배드 동굴군</v>
          </cell>
          <cell r="C2082" t="str">
            <v>지리</v>
          </cell>
          <cell r="D2082">
            <v>1</v>
          </cell>
          <cell r="E2082" t="str">
            <v>자연</v>
          </cell>
          <cell r="F2082">
            <v>1</v>
          </cell>
          <cell r="G2082" t="str">
            <v>A</v>
          </cell>
          <cell r="H2082">
            <v>4</v>
          </cell>
        </row>
        <row r="2083">
          <cell r="A2083">
            <v>70413293</v>
          </cell>
          <cell r="B2083" t="str">
            <v>캄페체만</v>
          </cell>
          <cell r="C2083" t="str">
            <v>지리</v>
          </cell>
          <cell r="D2083">
            <v>1</v>
          </cell>
          <cell r="E2083" t="str">
            <v>자연</v>
          </cell>
          <cell r="F2083">
            <v>1</v>
          </cell>
          <cell r="G2083" t="str">
            <v>D</v>
          </cell>
          <cell r="H2083">
            <v>1</v>
          </cell>
          <cell r="AW2083" t="str">
            <v/>
          </cell>
          <cell r="BA2083" t="str">
            <v>-</v>
          </cell>
        </row>
        <row r="2084">
          <cell r="A2084">
            <v>70413294</v>
          </cell>
          <cell r="B2084" t="str">
            <v>캐벗해협</v>
          </cell>
          <cell r="C2084" t="str">
            <v>지리</v>
          </cell>
          <cell r="D2084">
            <v>1</v>
          </cell>
          <cell r="E2084" t="str">
            <v>자연</v>
          </cell>
          <cell r="F2084">
            <v>1</v>
          </cell>
          <cell r="G2084" t="str">
            <v>B</v>
          </cell>
          <cell r="H2084">
            <v>3</v>
          </cell>
        </row>
        <row r="2085">
          <cell r="A2085">
            <v>70413295</v>
          </cell>
          <cell r="B2085" t="str">
            <v>캘리포니아반도</v>
          </cell>
          <cell r="C2085" t="str">
            <v>지리</v>
          </cell>
          <cell r="D2085">
            <v>1</v>
          </cell>
          <cell r="E2085" t="str">
            <v>자연</v>
          </cell>
          <cell r="F2085">
            <v>1</v>
          </cell>
          <cell r="G2085" t="str">
            <v>B</v>
          </cell>
          <cell r="H2085">
            <v>3</v>
          </cell>
        </row>
        <row r="2086">
          <cell r="A2086">
            <v>70413296</v>
          </cell>
          <cell r="B2086" t="str">
            <v>캥거루섬</v>
          </cell>
          <cell r="C2086" t="str">
            <v>지리</v>
          </cell>
          <cell r="D2086">
            <v>1</v>
          </cell>
          <cell r="E2086" t="str">
            <v>자연</v>
          </cell>
          <cell r="F2086">
            <v>1</v>
          </cell>
          <cell r="G2086" t="str">
            <v>B</v>
          </cell>
          <cell r="H2086">
            <v>3</v>
          </cell>
        </row>
        <row r="2087">
          <cell r="A2087">
            <v>70413297</v>
          </cell>
          <cell r="B2087" t="str">
            <v>케르치해협</v>
          </cell>
          <cell r="C2087" t="str">
            <v>지리</v>
          </cell>
          <cell r="D2087">
            <v>1</v>
          </cell>
          <cell r="E2087" t="str">
            <v>자연</v>
          </cell>
          <cell r="F2087">
            <v>1</v>
          </cell>
          <cell r="G2087" t="str">
            <v>B</v>
          </cell>
          <cell r="H2087">
            <v>3</v>
          </cell>
        </row>
        <row r="2088">
          <cell r="A2088">
            <v>70413298</v>
          </cell>
          <cell r="B2088" t="str">
            <v>케스타</v>
          </cell>
          <cell r="C2088" t="str">
            <v>지리</v>
          </cell>
          <cell r="D2088">
            <v>1</v>
          </cell>
          <cell r="E2088" t="str">
            <v>자연</v>
          </cell>
          <cell r="F2088">
            <v>1</v>
          </cell>
          <cell r="G2088" t="str">
            <v>C</v>
          </cell>
          <cell r="H2088">
            <v>2</v>
          </cell>
        </row>
        <row r="2089">
          <cell r="A2089">
            <v>70413299</v>
          </cell>
          <cell r="B2089" t="str">
            <v>케이맨제도</v>
          </cell>
          <cell r="C2089" t="str">
            <v>지리</v>
          </cell>
          <cell r="D2089">
            <v>1</v>
          </cell>
          <cell r="E2089" t="str">
            <v>자연</v>
          </cell>
          <cell r="F2089">
            <v>1</v>
          </cell>
          <cell r="G2089" t="str">
            <v>C</v>
          </cell>
          <cell r="H2089">
            <v>2</v>
          </cell>
        </row>
        <row r="2090">
          <cell r="A2090">
            <v>70413300</v>
          </cell>
          <cell r="B2090" t="str">
            <v>케이프요크반도</v>
          </cell>
          <cell r="C2090" t="str">
            <v>지리</v>
          </cell>
          <cell r="D2090">
            <v>1</v>
          </cell>
          <cell r="E2090" t="str">
            <v>자연</v>
          </cell>
          <cell r="F2090">
            <v>1</v>
          </cell>
          <cell r="G2090" t="str">
            <v>C</v>
          </cell>
          <cell r="H2090">
            <v>2</v>
          </cell>
        </row>
        <row r="2091">
          <cell r="A2091">
            <v>70413301</v>
          </cell>
          <cell r="B2091" t="str">
            <v>코드곶</v>
          </cell>
          <cell r="C2091" t="str">
            <v>지리</v>
          </cell>
          <cell r="D2091">
            <v>1</v>
          </cell>
          <cell r="E2091" t="str">
            <v>자연</v>
          </cell>
          <cell r="F2091">
            <v>1</v>
          </cell>
          <cell r="G2091" t="str">
            <v>B</v>
          </cell>
          <cell r="H2091">
            <v>3</v>
          </cell>
        </row>
        <row r="2092">
          <cell r="A2092">
            <v>70413302</v>
          </cell>
          <cell r="B2092" t="str">
            <v>코로해</v>
          </cell>
          <cell r="C2092" t="str">
            <v>지리</v>
          </cell>
          <cell r="D2092">
            <v>1</v>
          </cell>
          <cell r="E2092" t="str">
            <v>자연</v>
          </cell>
          <cell r="F2092">
            <v>1</v>
          </cell>
          <cell r="G2092" t="str">
            <v>D</v>
          </cell>
          <cell r="H2092">
            <v>1</v>
          </cell>
          <cell r="AW2092" t="str">
            <v/>
          </cell>
          <cell r="BA2092" t="str">
            <v>-</v>
          </cell>
        </row>
        <row r="2093">
          <cell r="A2093">
            <v>70413303</v>
          </cell>
          <cell r="B2093" t="str">
            <v>코린토스 지협</v>
          </cell>
          <cell r="C2093" t="str">
            <v>지리</v>
          </cell>
          <cell r="D2093">
            <v>1</v>
          </cell>
          <cell r="E2093" t="str">
            <v>자연</v>
          </cell>
          <cell r="F2093">
            <v>1</v>
          </cell>
          <cell r="G2093" t="str">
            <v>C</v>
          </cell>
          <cell r="H2093">
            <v>2</v>
          </cell>
        </row>
        <row r="2094">
          <cell r="A2094">
            <v>70413304</v>
          </cell>
          <cell r="B2094" t="str">
            <v>코모로제도</v>
          </cell>
          <cell r="C2094" t="str">
            <v>지리</v>
          </cell>
          <cell r="D2094">
            <v>1</v>
          </cell>
          <cell r="E2094" t="str">
            <v>자연</v>
          </cell>
          <cell r="F2094">
            <v>1</v>
          </cell>
          <cell r="G2094" t="str">
            <v>B</v>
          </cell>
          <cell r="H2094">
            <v>3</v>
          </cell>
        </row>
        <row r="2095">
          <cell r="A2095">
            <v>70413305</v>
          </cell>
          <cell r="B2095" t="str">
            <v>코수멜섬</v>
          </cell>
          <cell r="C2095" t="str">
            <v>지리</v>
          </cell>
          <cell r="D2095">
            <v>1</v>
          </cell>
          <cell r="E2095" t="str">
            <v>자연</v>
          </cell>
          <cell r="F2095">
            <v>1</v>
          </cell>
          <cell r="G2095" t="str">
            <v>B</v>
          </cell>
          <cell r="H2095">
            <v>3</v>
          </cell>
        </row>
        <row r="2096">
          <cell r="A2096">
            <v>70413306</v>
          </cell>
          <cell r="B2096" t="str">
            <v>코스타 델 솔</v>
          </cell>
          <cell r="C2096" t="str">
            <v>지리</v>
          </cell>
          <cell r="D2096">
            <v>1</v>
          </cell>
          <cell r="E2096" t="str">
            <v>자연</v>
          </cell>
          <cell r="F2096">
            <v>1</v>
          </cell>
          <cell r="G2096" t="str">
            <v>D</v>
          </cell>
          <cell r="H2096">
            <v>1</v>
          </cell>
          <cell r="AW2096" t="str">
            <v/>
          </cell>
          <cell r="BA2096" t="str">
            <v>-</v>
          </cell>
        </row>
        <row r="2097">
          <cell r="A2097">
            <v>70413307</v>
          </cell>
          <cell r="B2097" t="str">
            <v>코카서스산맥</v>
          </cell>
          <cell r="C2097" t="str">
            <v>지리</v>
          </cell>
          <cell r="D2097">
            <v>1</v>
          </cell>
          <cell r="E2097" t="str">
            <v>자연</v>
          </cell>
          <cell r="F2097">
            <v>1</v>
          </cell>
          <cell r="G2097" t="str">
            <v>A</v>
          </cell>
          <cell r="H2097">
            <v>4</v>
          </cell>
        </row>
        <row r="2098">
          <cell r="A2098">
            <v>70413308</v>
          </cell>
          <cell r="B2098" t="str">
            <v>콩고강</v>
          </cell>
          <cell r="C2098" t="str">
            <v>지리</v>
          </cell>
          <cell r="D2098">
            <v>1</v>
          </cell>
          <cell r="E2098" t="str">
            <v>자연</v>
          </cell>
          <cell r="F2098">
            <v>1</v>
          </cell>
          <cell r="G2098" t="str">
            <v>C</v>
          </cell>
          <cell r="H2098">
            <v>2</v>
          </cell>
        </row>
        <row r="2099">
          <cell r="A2099">
            <v>70413309</v>
          </cell>
          <cell r="B2099" t="str">
            <v>쿠바섬</v>
          </cell>
          <cell r="C2099" t="str">
            <v>지리</v>
          </cell>
          <cell r="D2099">
            <v>1</v>
          </cell>
          <cell r="E2099" t="str">
            <v>자연</v>
          </cell>
          <cell r="F2099">
            <v>1</v>
          </cell>
          <cell r="G2099" t="str">
            <v>D</v>
          </cell>
          <cell r="H2099">
            <v>1</v>
          </cell>
          <cell r="AW2099" t="str">
            <v/>
          </cell>
          <cell r="BA2099" t="str">
            <v>-</v>
          </cell>
        </row>
        <row r="2100">
          <cell r="A2100">
            <v>70413310</v>
          </cell>
          <cell r="B2100" t="str">
            <v>크레타섬</v>
          </cell>
          <cell r="C2100" t="str">
            <v>지리</v>
          </cell>
          <cell r="D2100">
            <v>1</v>
          </cell>
          <cell r="E2100" t="str">
            <v>자연</v>
          </cell>
          <cell r="F2100">
            <v>1</v>
          </cell>
          <cell r="G2100" t="str">
            <v>D</v>
          </cell>
          <cell r="H2100">
            <v>1</v>
          </cell>
          <cell r="AW2100" t="str">
            <v/>
          </cell>
          <cell r="BA2100" t="str">
            <v>-</v>
          </cell>
        </row>
        <row r="2101">
          <cell r="A2101">
            <v>70413311</v>
          </cell>
          <cell r="B2101" t="str">
            <v>크리스마스섬</v>
          </cell>
          <cell r="C2101" t="str">
            <v>지리</v>
          </cell>
          <cell r="D2101">
            <v>1</v>
          </cell>
          <cell r="E2101" t="str">
            <v>자연</v>
          </cell>
          <cell r="F2101">
            <v>1</v>
          </cell>
          <cell r="G2101" t="str">
            <v>S</v>
          </cell>
          <cell r="H2101">
            <v>5</v>
          </cell>
        </row>
        <row r="2102">
          <cell r="A2102">
            <v>70413312</v>
          </cell>
          <cell r="B2102" t="str">
            <v>크름반도</v>
          </cell>
          <cell r="C2102" t="str">
            <v>지리</v>
          </cell>
          <cell r="D2102">
            <v>1</v>
          </cell>
          <cell r="E2102" t="str">
            <v>자연</v>
          </cell>
          <cell r="F2102">
            <v>1</v>
          </cell>
          <cell r="G2102" t="str">
            <v>C</v>
          </cell>
          <cell r="H2102">
            <v>2</v>
          </cell>
        </row>
        <row r="2103">
          <cell r="A2103">
            <v>70413313</v>
          </cell>
          <cell r="B2103" t="str">
            <v>키클라데스제도</v>
          </cell>
          <cell r="C2103" t="str">
            <v>지리</v>
          </cell>
          <cell r="D2103">
            <v>1</v>
          </cell>
          <cell r="E2103" t="str">
            <v>자연</v>
          </cell>
          <cell r="F2103">
            <v>1</v>
          </cell>
          <cell r="G2103" t="str">
            <v>C</v>
          </cell>
          <cell r="H2103">
            <v>2</v>
          </cell>
        </row>
        <row r="2104">
          <cell r="A2104">
            <v>70413314</v>
          </cell>
          <cell r="B2104" t="str">
            <v>키프로스</v>
          </cell>
          <cell r="C2104" t="str">
            <v>지리</v>
          </cell>
          <cell r="D2104">
            <v>1</v>
          </cell>
          <cell r="E2104" t="str">
            <v>자연</v>
          </cell>
          <cell r="F2104">
            <v>1</v>
          </cell>
          <cell r="G2104" t="str">
            <v>B</v>
          </cell>
          <cell r="H2104">
            <v>3</v>
          </cell>
        </row>
        <row r="2105">
          <cell r="A2105">
            <v>70413315</v>
          </cell>
          <cell r="B2105" t="str">
            <v>킬라우에아화산</v>
          </cell>
          <cell r="C2105" t="str">
            <v>지리</v>
          </cell>
          <cell r="D2105">
            <v>1</v>
          </cell>
          <cell r="E2105" t="str">
            <v>자연</v>
          </cell>
          <cell r="F2105">
            <v>1</v>
          </cell>
          <cell r="G2105" t="str">
            <v>B</v>
          </cell>
          <cell r="H2105">
            <v>3</v>
          </cell>
        </row>
        <row r="2106">
          <cell r="A2106">
            <v>70413316</v>
          </cell>
          <cell r="B2106" t="str">
            <v>킴벌리 고원</v>
          </cell>
          <cell r="C2106" t="str">
            <v>지리</v>
          </cell>
          <cell r="D2106">
            <v>1</v>
          </cell>
          <cell r="E2106" t="str">
            <v>자연</v>
          </cell>
          <cell r="F2106">
            <v>1</v>
          </cell>
          <cell r="G2106" t="str">
            <v>B</v>
          </cell>
          <cell r="H2106">
            <v>3</v>
          </cell>
        </row>
        <row r="2107">
          <cell r="A2107">
            <v>70413317</v>
          </cell>
          <cell r="B2107" t="str">
            <v>타이가</v>
          </cell>
          <cell r="C2107" t="str">
            <v>지리</v>
          </cell>
          <cell r="D2107">
            <v>1</v>
          </cell>
          <cell r="E2107" t="str">
            <v>자연</v>
          </cell>
          <cell r="F2107">
            <v>1</v>
          </cell>
          <cell r="G2107" t="str">
            <v>C</v>
          </cell>
          <cell r="H2107">
            <v>2</v>
          </cell>
        </row>
        <row r="2108">
          <cell r="A2108">
            <v>70413318</v>
          </cell>
          <cell r="B2108" t="str">
            <v>타이루거협곡</v>
          </cell>
          <cell r="C2108" t="str">
            <v>지리</v>
          </cell>
          <cell r="D2108">
            <v>1</v>
          </cell>
          <cell r="E2108" t="str">
            <v>자연</v>
          </cell>
          <cell r="F2108">
            <v>1</v>
          </cell>
          <cell r="G2108" t="str">
            <v>A</v>
          </cell>
          <cell r="H2108">
            <v>4</v>
          </cell>
        </row>
        <row r="2109">
          <cell r="A2109">
            <v>70413319</v>
          </cell>
          <cell r="B2109" t="str">
            <v>타이미르반도</v>
          </cell>
          <cell r="C2109" t="str">
            <v>지리</v>
          </cell>
          <cell r="D2109">
            <v>1</v>
          </cell>
          <cell r="E2109" t="str">
            <v>자연</v>
          </cell>
          <cell r="F2109">
            <v>1</v>
          </cell>
          <cell r="G2109" t="str">
            <v>C</v>
          </cell>
          <cell r="H2109">
            <v>2</v>
          </cell>
        </row>
        <row r="2110">
          <cell r="A2110">
            <v>70413320</v>
          </cell>
          <cell r="B2110" t="str">
            <v>타티오 간헐천</v>
          </cell>
          <cell r="C2110" t="str">
            <v>지리</v>
          </cell>
          <cell r="D2110">
            <v>1</v>
          </cell>
          <cell r="E2110" t="str">
            <v>자연</v>
          </cell>
          <cell r="F2110">
            <v>1</v>
          </cell>
          <cell r="G2110" t="str">
            <v>A</v>
          </cell>
          <cell r="H2110">
            <v>4</v>
          </cell>
        </row>
        <row r="2111">
          <cell r="A2111">
            <v>70413321</v>
          </cell>
          <cell r="B2111" t="str">
            <v>타푸섬</v>
          </cell>
          <cell r="C2111" t="str">
            <v>지리</v>
          </cell>
          <cell r="D2111">
            <v>1</v>
          </cell>
          <cell r="E2111" t="str">
            <v>자연</v>
          </cell>
          <cell r="F2111">
            <v>1</v>
          </cell>
          <cell r="G2111" t="str">
            <v>B</v>
          </cell>
          <cell r="H2111">
            <v>3</v>
          </cell>
        </row>
        <row r="2112">
          <cell r="A2112">
            <v>70413322</v>
          </cell>
          <cell r="B2112" t="str">
            <v>타히티섬</v>
          </cell>
          <cell r="C2112" t="str">
            <v>지리</v>
          </cell>
          <cell r="D2112">
            <v>1</v>
          </cell>
          <cell r="E2112" t="str">
            <v>자연</v>
          </cell>
          <cell r="F2112">
            <v>1</v>
          </cell>
          <cell r="G2112" t="str">
            <v>A</v>
          </cell>
          <cell r="H2112">
            <v>4</v>
          </cell>
        </row>
        <row r="2113">
          <cell r="A2113">
            <v>70413323</v>
          </cell>
          <cell r="B2113" t="str">
            <v>태산</v>
          </cell>
          <cell r="C2113" t="str">
            <v>지리</v>
          </cell>
          <cell r="D2113">
            <v>1</v>
          </cell>
          <cell r="E2113" t="str">
            <v>자연</v>
          </cell>
          <cell r="F2113">
            <v>1</v>
          </cell>
          <cell r="G2113" t="str">
            <v>A</v>
          </cell>
          <cell r="H2113">
            <v>4</v>
          </cell>
          <cell r="AW2113" t="str">
            <v>특정 직업 항해사 보유</v>
          </cell>
          <cell r="AY2113" t="str">
            <v>탐험가</v>
          </cell>
          <cell r="BA2113">
            <v>4</v>
          </cell>
        </row>
        <row r="2114">
          <cell r="A2114">
            <v>70413324</v>
          </cell>
          <cell r="B2114" t="str">
            <v>태즈먼해</v>
          </cell>
          <cell r="C2114" t="str">
            <v>지리</v>
          </cell>
          <cell r="D2114">
            <v>1</v>
          </cell>
          <cell r="E2114" t="str">
            <v>자연</v>
          </cell>
          <cell r="F2114">
            <v>1</v>
          </cell>
          <cell r="G2114" t="str">
            <v>D</v>
          </cell>
          <cell r="H2114">
            <v>1</v>
          </cell>
          <cell r="AW2114" t="str">
            <v/>
          </cell>
          <cell r="BA2114" t="str">
            <v>-</v>
          </cell>
        </row>
        <row r="2115">
          <cell r="A2115">
            <v>70413325</v>
          </cell>
          <cell r="B2115" t="str">
            <v>태평양</v>
          </cell>
          <cell r="C2115" t="str">
            <v>지리</v>
          </cell>
          <cell r="D2115">
            <v>1</v>
          </cell>
          <cell r="E2115" t="str">
            <v>자연</v>
          </cell>
          <cell r="F2115">
            <v>1</v>
          </cell>
          <cell r="G2115" t="str">
            <v>S</v>
          </cell>
          <cell r="H2115">
            <v>5</v>
          </cell>
        </row>
        <row r="2116">
          <cell r="A2116">
            <v>70413326</v>
          </cell>
          <cell r="B2116" t="str">
            <v>터멜강</v>
          </cell>
          <cell r="C2116" t="str">
            <v>지리</v>
          </cell>
          <cell r="D2116">
            <v>1</v>
          </cell>
          <cell r="E2116" t="str">
            <v>자연</v>
          </cell>
          <cell r="F2116">
            <v>1</v>
          </cell>
          <cell r="G2116" t="str">
            <v>C</v>
          </cell>
          <cell r="H2116">
            <v>2</v>
          </cell>
        </row>
        <row r="2117">
          <cell r="A2117">
            <v>70413327</v>
          </cell>
          <cell r="B2117" t="str">
            <v>테네리페섬</v>
          </cell>
          <cell r="C2117" t="str">
            <v>지리</v>
          </cell>
          <cell r="D2117">
            <v>1</v>
          </cell>
          <cell r="E2117" t="str">
            <v>자연</v>
          </cell>
          <cell r="F2117">
            <v>1</v>
          </cell>
          <cell r="G2117" t="str">
            <v>C</v>
          </cell>
          <cell r="H2117">
            <v>2</v>
          </cell>
        </row>
        <row r="2118">
          <cell r="A2118">
            <v>70413328</v>
          </cell>
          <cell r="B2118" t="str">
            <v>테라 노바</v>
          </cell>
          <cell r="C2118" t="str">
            <v>지리</v>
          </cell>
          <cell r="D2118">
            <v>1</v>
          </cell>
          <cell r="E2118" t="str">
            <v>자연</v>
          </cell>
          <cell r="F2118">
            <v>1</v>
          </cell>
          <cell r="G2118" t="str">
            <v>A</v>
          </cell>
          <cell r="H2118">
            <v>4</v>
          </cell>
        </row>
        <row r="2119">
          <cell r="A2119">
            <v>70413329</v>
          </cell>
          <cell r="B2119" t="str">
            <v>테르나테섬</v>
          </cell>
          <cell r="C2119" t="str">
            <v>지리</v>
          </cell>
          <cell r="D2119">
            <v>1</v>
          </cell>
          <cell r="E2119" t="str">
            <v>자연</v>
          </cell>
          <cell r="F2119">
            <v>1</v>
          </cell>
          <cell r="G2119" t="str">
            <v>A</v>
          </cell>
          <cell r="H2119">
            <v>4</v>
          </cell>
        </row>
        <row r="2120">
          <cell r="A2120">
            <v>70413330</v>
          </cell>
          <cell r="B2120" t="str">
            <v>투브칼산</v>
          </cell>
          <cell r="C2120" t="str">
            <v>지리</v>
          </cell>
          <cell r="D2120">
            <v>1</v>
          </cell>
          <cell r="E2120" t="str">
            <v>자연</v>
          </cell>
          <cell r="F2120">
            <v>1</v>
          </cell>
          <cell r="G2120" t="str">
            <v>C</v>
          </cell>
          <cell r="H2120">
            <v>2</v>
          </cell>
        </row>
        <row r="2121">
          <cell r="A2121">
            <v>70413331</v>
          </cell>
          <cell r="B2121" t="str">
            <v>트리니다드섬</v>
          </cell>
          <cell r="C2121" t="str">
            <v>지리</v>
          </cell>
          <cell r="D2121">
            <v>1</v>
          </cell>
          <cell r="E2121" t="str">
            <v>자연</v>
          </cell>
          <cell r="F2121">
            <v>1</v>
          </cell>
          <cell r="G2121" t="str">
            <v>C</v>
          </cell>
          <cell r="H2121">
            <v>2</v>
          </cell>
        </row>
        <row r="2122">
          <cell r="A2122">
            <v>70413332</v>
          </cell>
          <cell r="B2122" t="str">
            <v>트리스탄다쿠냐</v>
          </cell>
          <cell r="C2122" t="str">
            <v>지리</v>
          </cell>
          <cell r="D2122">
            <v>1</v>
          </cell>
          <cell r="E2122" t="str">
            <v>자연</v>
          </cell>
          <cell r="F2122">
            <v>1</v>
          </cell>
          <cell r="G2122" t="str">
            <v>A</v>
          </cell>
          <cell r="H2122">
            <v>4</v>
          </cell>
        </row>
        <row r="2123">
          <cell r="A2123">
            <v>70413333</v>
          </cell>
          <cell r="B2123" t="str">
            <v>티그리스강</v>
          </cell>
          <cell r="C2123" t="str">
            <v>지리</v>
          </cell>
          <cell r="D2123">
            <v>1</v>
          </cell>
          <cell r="E2123" t="str">
            <v>자연</v>
          </cell>
          <cell r="F2123">
            <v>1</v>
          </cell>
          <cell r="G2123" t="str">
            <v>B</v>
          </cell>
          <cell r="H2123">
            <v>3</v>
          </cell>
          <cell r="AW2123" t="str">
            <v>특정 퀘스트(=)</v>
          </cell>
          <cell r="AY2123" t="str">
            <v>에르네스트 로페스 시나리오</v>
          </cell>
          <cell r="BA2123" t="str">
            <v>에르네스트 로페스09_02</v>
          </cell>
        </row>
        <row r="2124">
          <cell r="A2124">
            <v>70413334</v>
          </cell>
          <cell r="B2124" t="str">
            <v>티모르섬</v>
          </cell>
          <cell r="C2124" t="str">
            <v>지리</v>
          </cell>
          <cell r="D2124">
            <v>1</v>
          </cell>
          <cell r="E2124" t="str">
            <v>자연</v>
          </cell>
          <cell r="F2124">
            <v>1</v>
          </cell>
          <cell r="G2124" t="str">
            <v>A</v>
          </cell>
          <cell r="H2124">
            <v>4</v>
          </cell>
        </row>
        <row r="2125">
          <cell r="A2125">
            <v>70413335</v>
          </cell>
          <cell r="B2125" t="str">
            <v>티에라델푸에고</v>
          </cell>
          <cell r="C2125" t="str">
            <v>지리</v>
          </cell>
          <cell r="D2125">
            <v>1</v>
          </cell>
          <cell r="E2125" t="str">
            <v>자연</v>
          </cell>
          <cell r="F2125">
            <v>1</v>
          </cell>
          <cell r="G2125" t="str">
            <v>B</v>
          </cell>
          <cell r="H2125">
            <v>3</v>
          </cell>
        </row>
        <row r="2126">
          <cell r="A2126">
            <v>70413336</v>
          </cell>
          <cell r="B2126" t="str">
            <v>티위</v>
          </cell>
          <cell r="C2126" t="str">
            <v>지리</v>
          </cell>
          <cell r="D2126">
            <v>1</v>
          </cell>
          <cell r="E2126" t="str">
            <v>자연</v>
          </cell>
          <cell r="F2126">
            <v>1</v>
          </cell>
          <cell r="G2126" t="str">
            <v>C</v>
          </cell>
          <cell r="H2126">
            <v>2</v>
          </cell>
        </row>
        <row r="2127">
          <cell r="A2127">
            <v>70413337</v>
          </cell>
          <cell r="B2127" t="str">
            <v>티티카카호</v>
          </cell>
          <cell r="C2127" t="str">
            <v>지리</v>
          </cell>
          <cell r="D2127">
            <v>1</v>
          </cell>
          <cell r="E2127" t="str">
            <v>자연</v>
          </cell>
          <cell r="F2127">
            <v>1</v>
          </cell>
          <cell r="G2127" t="str">
            <v>B</v>
          </cell>
          <cell r="H2127">
            <v>3</v>
          </cell>
        </row>
        <row r="2128">
          <cell r="A2128">
            <v>70413338</v>
          </cell>
          <cell r="B2128" t="str">
            <v>파나마만</v>
          </cell>
          <cell r="C2128" t="str">
            <v>지리</v>
          </cell>
          <cell r="D2128">
            <v>1</v>
          </cell>
          <cell r="E2128" t="str">
            <v>자연</v>
          </cell>
          <cell r="F2128">
            <v>1</v>
          </cell>
          <cell r="G2128" t="str">
            <v>D</v>
          </cell>
          <cell r="H2128">
            <v>1</v>
          </cell>
          <cell r="AW2128" t="str">
            <v/>
          </cell>
          <cell r="BA2128" t="str">
            <v>-</v>
          </cell>
        </row>
        <row r="2129">
          <cell r="A2129">
            <v>70413339</v>
          </cell>
          <cell r="B2129" t="str">
            <v>파나마 지협</v>
          </cell>
          <cell r="C2129" t="str">
            <v>지리</v>
          </cell>
          <cell r="D2129">
            <v>1</v>
          </cell>
          <cell r="E2129" t="str">
            <v>자연</v>
          </cell>
          <cell r="F2129">
            <v>1</v>
          </cell>
          <cell r="G2129" t="str">
            <v>B</v>
          </cell>
          <cell r="H2129">
            <v>3</v>
          </cell>
        </row>
        <row r="2130">
          <cell r="A2130">
            <v>70413340</v>
          </cell>
          <cell r="B2130" t="str">
            <v>파리냐스곶</v>
          </cell>
          <cell r="C2130" t="str">
            <v>지리</v>
          </cell>
          <cell r="D2130">
            <v>1</v>
          </cell>
          <cell r="E2130" t="str">
            <v>자연</v>
          </cell>
          <cell r="F2130">
            <v>1</v>
          </cell>
          <cell r="G2130" t="str">
            <v>A</v>
          </cell>
          <cell r="H2130">
            <v>4</v>
          </cell>
        </row>
        <row r="2131">
          <cell r="A2131">
            <v>70413341</v>
          </cell>
          <cell r="B2131" t="str">
            <v>파타고니아</v>
          </cell>
          <cell r="C2131" t="str">
            <v>지리</v>
          </cell>
          <cell r="D2131">
            <v>1</v>
          </cell>
          <cell r="E2131" t="str">
            <v>자연</v>
          </cell>
          <cell r="F2131">
            <v>1</v>
          </cell>
          <cell r="G2131" t="str">
            <v>B</v>
          </cell>
          <cell r="H2131">
            <v>3</v>
          </cell>
        </row>
        <row r="2132">
          <cell r="A2132">
            <v>70413342</v>
          </cell>
          <cell r="B2132" t="str">
            <v>판산</v>
          </cell>
          <cell r="C2132" t="str">
            <v>지리</v>
          </cell>
          <cell r="D2132">
            <v>1</v>
          </cell>
          <cell r="E2132" t="str">
            <v>자연</v>
          </cell>
          <cell r="F2132">
            <v>1</v>
          </cell>
          <cell r="G2132" t="str">
            <v>C</v>
          </cell>
          <cell r="H2132">
            <v>2</v>
          </cell>
        </row>
        <row r="2133">
          <cell r="A2133">
            <v>70413343</v>
          </cell>
          <cell r="B2133" t="str">
            <v>판타날</v>
          </cell>
          <cell r="C2133" t="str">
            <v>지리</v>
          </cell>
          <cell r="D2133">
            <v>1</v>
          </cell>
          <cell r="E2133" t="str">
            <v>자연</v>
          </cell>
          <cell r="F2133">
            <v>1</v>
          </cell>
          <cell r="G2133" t="str">
            <v>B</v>
          </cell>
          <cell r="H2133">
            <v>3</v>
          </cell>
        </row>
        <row r="2134">
          <cell r="A2134">
            <v>70413344</v>
          </cell>
          <cell r="B2134" t="str">
            <v>팔라티노 언덕</v>
          </cell>
          <cell r="C2134" t="str">
            <v>지리</v>
          </cell>
          <cell r="D2134">
            <v>1</v>
          </cell>
          <cell r="E2134" t="str">
            <v>자연</v>
          </cell>
          <cell r="F2134">
            <v>1</v>
          </cell>
          <cell r="G2134" t="str">
            <v>A</v>
          </cell>
          <cell r="H2134">
            <v>4</v>
          </cell>
        </row>
        <row r="2135">
          <cell r="A2135">
            <v>70413345</v>
          </cell>
          <cell r="B2135" t="str">
            <v>팔선동</v>
          </cell>
          <cell r="C2135" t="str">
            <v>지리</v>
          </cell>
          <cell r="D2135">
            <v>1</v>
          </cell>
          <cell r="E2135" t="str">
            <v>자연</v>
          </cell>
          <cell r="F2135">
            <v>1</v>
          </cell>
          <cell r="G2135" t="str">
            <v>C</v>
          </cell>
          <cell r="H2135">
            <v>2</v>
          </cell>
        </row>
        <row r="2136">
          <cell r="A2136">
            <v>70413346</v>
          </cell>
          <cell r="B2136" t="str">
            <v>팜리코 사운드</v>
          </cell>
          <cell r="C2136" t="str">
            <v>지리</v>
          </cell>
          <cell r="D2136">
            <v>1</v>
          </cell>
          <cell r="E2136" t="str">
            <v>자연</v>
          </cell>
          <cell r="F2136">
            <v>1</v>
          </cell>
          <cell r="G2136" t="str">
            <v>B</v>
          </cell>
          <cell r="H2136">
            <v>3</v>
          </cell>
        </row>
        <row r="2137">
          <cell r="A2137">
            <v>70413347</v>
          </cell>
          <cell r="B2137" t="str">
            <v>펀디만</v>
          </cell>
          <cell r="C2137" t="str">
            <v>지리</v>
          </cell>
          <cell r="D2137">
            <v>1</v>
          </cell>
          <cell r="E2137" t="str">
            <v>자연</v>
          </cell>
          <cell r="F2137">
            <v>1</v>
          </cell>
          <cell r="G2137" t="str">
            <v>C</v>
          </cell>
          <cell r="H2137">
            <v>2</v>
          </cell>
        </row>
        <row r="2138">
          <cell r="A2138">
            <v>70413348</v>
          </cell>
          <cell r="B2138" t="str">
            <v>펑후섬</v>
          </cell>
          <cell r="C2138" t="str">
            <v>지리</v>
          </cell>
          <cell r="D2138">
            <v>1</v>
          </cell>
          <cell r="E2138" t="str">
            <v>자연</v>
          </cell>
          <cell r="F2138">
            <v>1</v>
          </cell>
          <cell r="G2138" t="str">
            <v>C</v>
          </cell>
          <cell r="H2138">
            <v>2</v>
          </cell>
        </row>
        <row r="2139">
          <cell r="A2139" t="str">
            <v>#70413349</v>
          </cell>
          <cell r="B2139" t="str">
            <v>페르시아만</v>
          </cell>
          <cell r="C2139" t="str">
            <v>지리</v>
          </cell>
          <cell r="D2139">
            <v>1</v>
          </cell>
          <cell r="E2139" t="str">
            <v>자연</v>
          </cell>
          <cell r="F2139">
            <v>1</v>
          </cell>
          <cell r="G2139" t="str">
            <v>C</v>
          </cell>
          <cell r="H2139">
            <v>2</v>
          </cell>
        </row>
        <row r="2140">
          <cell r="A2140">
            <v>70413350</v>
          </cell>
          <cell r="B2140" t="str">
            <v>페어웰곶</v>
          </cell>
          <cell r="C2140" t="str">
            <v>지리</v>
          </cell>
          <cell r="D2140">
            <v>1</v>
          </cell>
          <cell r="E2140" t="str">
            <v>자연</v>
          </cell>
          <cell r="F2140">
            <v>1</v>
          </cell>
          <cell r="G2140" t="str">
            <v>A</v>
          </cell>
          <cell r="H2140">
            <v>4</v>
          </cell>
        </row>
        <row r="2141">
          <cell r="A2141">
            <v>70413351</v>
          </cell>
          <cell r="B2141" t="str">
            <v>펠루제도</v>
          </cell>
          <cell r="C2141" t="str">
            <v>지리</v>
          </cell>
          <cell r="D2141">
            <v>1</v>
          </cell>
          <cell r="E2141" t="str">
            <v>자연</v>
          </cell>
          <cell r="F2141">
            <v>1</v>
          </cell>
          <cell r="G2141" t="str">
            <v>C</v>
          </cell>
          <cell r="H2141">
            <v>2</v>
          </cell>
        </row>
        <row r="2142">
          <cell r="A2142">
            <v>70413352</v>
          </cell>
          <cell r="B2142" t="str">
            <v>포크 해협</v>
          </cell>
          <cell r="C2142" t="str">
            <v>지리</v>
          </cell>
          <cell r="D2142">
            <v>1</v>
          </cell>
          <cell r="E2142" t="str">
            <v>자연</v>
          </cell>
          <cell r="F2142">
            <v>1</v>
          </cell>
          <cell r="G2142" t="str">
            <v>C</v>
          </cell>
          <cell r="H2142">
            <v>2</v>
          </cell>
        </row>
        <row r="2143">
          <cell r="A2143">
            <v>70413353</v>
          </cell>
          <cell r="B2143" t="str">
            <v>폰페이섬</v>
          </cell>
          <cell r="C2143" t="str">
            <v>지리</v>
          </cell>
          <cell r="D2143">
            <v>1</v>
          </cell>
          <cell r="E2143" t="str">
            <v>자연</v>
          </cell>
          <cell r="F2143">
            <v>1</v>
          </cell>
          <cell r="G2143" t="str">
            <v>B</v>
          </cell>
          <cell r="H2143">
            <v>3</v>
          </cell>
        </row>
        <row r="2144">
          <cell r="A2144">
            <v>70413354</v>
          </cell>
          <cell r="B2144" t="str">
            <v>푸날루우 블랙샌드 비치</v>
          </cell>
          <cell r="C2144" t="str">
            <v>지리</v>
          </cell>
          <cell r="D2144">
            <v>1</v>
          </cell>
          <cell r="E2144" t="str">
            <v>자연</v>
          </cell>
          <cell r="F2144">
            <v>1</v>
          </cell>
          <cell r="G2144" t="str">
            <v>A</v>
          </cell>
          <cell r="H2144">
            <v>4</v>
          </cell>
          <cell r="AW2144" t="str">
            <v>특정 직업 항해사 보유</v>
          </cell>
          <cell r="AY2144" t="str">
            <v>지리학자</v>
          </cell>
          <cell r="BA2144">
            <v>7</v>
          </cell>
        </row>
        <row r="2145">
          <cell r="A2145">
            <v>70413355</v>
          </cell>
          <cell r="B2145" t="str">
            <v>푸에르테벤투라섬</v>
          </cell>
          <cell r="C2145" t="str">
            <v>지리</v>
          </cell>
          <cell r="D2145">
            <v>1</v>
          </cell>
          <cell r="E2145" t="str">
            <v>자연</v>
          </cell>
          <cell r="F2145">
            <v>1</v>
          </cell>
          <cell r="G2145" t="str">
            <v>B</v>
          </cell>
          <cell r="H2145">
            <v>3</v>
          </cell>
        </row>
        <row r="2146">
          <cell r="A2146">
            <v>70413356</v>
          </cell>
          <cell r="B2146" t="str">
            <v>프레리</v>
          </cell>
          <cell r="C2146" t="str">
            <v>지리</v>
          </cell>
          <cell r="D2146">
            <v>1</v>
          </cell>
          <cell r="E2146" t="str">
            <v>자연</v>
          </cell>
          <cell r="F2146">
            <v>1</v>
          </cell>
          <cell r="G2146" t="str">
            <v>A</v>
          </cell>
          <cell r="H2146">
            <v>4</v>
          </cell>
        </row>
        <row r="2147">
          <cell r="A2147">
            <v>70413357</v>
          </cell>
          <cell r="B2147" t="str">
            <v>프린스에드워드아일랜드</v>
          </cell>
          <cell r="C2147" t="str">
            <v>지리</v>
          </cell>
          <cell r="D2147">
            <v>1</v>
          </cell>
          <cell r="E2147" t="str">
            <v>자연</v>
          </cell>
          <cell r="F2147">
            <v>1</v>
          </cell>
          <cell r="G2147" t="str">
            <v>B</v>
          </cell>
          <cell r="H2147">
            <v>3</v>
          </cell>
        </row>
        <row r="2148">
          <cell r="A2148">
            <v>70413358</v>
          </cell>
          <cell r="B2148" t="str">
            <v>프린시페섬</v>
          </cell>
          <cell r="C2148" t="str">
            <v>지리</v>
          </cell>
          <cell r="D2148">
            <v>1</v>
          </cell>
          <cell r="E2148" t="str">
            <v>자연</v>
          </cell>
          <cell r="F2148">
            <v>1</v>
          </cell>
          <cell r="G2148" t="str">
            <v>B</v>
          </cell>
          <cell r="H2148">
            <v>3</v>
          </cell>
        </row>
        <row r="2149">
          <cell r="A2149">
            <v>70413359</v>
          </cell>
          <cell r="B2149" t="str">
            <v>플렌티만</v>
          </cell>
          <cell r="C2149" t="str">
            <v>지리</v>
          </cell>
          <cell r="D2149">
            <v>1</v>
          </cell>
          <cell r="E2149" t="str">
            <v>자연</v>
          </cell>
          <cell r="F2149">
            <v>1</v>
          </cell>
          <cell r="G2149" t="str">
            <v>C</v>
          </cell>
          <cell r="H2149">
            <v>2</v>
          </cell>
        </row>
        <row r="2150">
          <cell r="A2150">
            <v>70413360</v>
          </cell>
          <cell r="B2150" t="str">
            <v>플로레스해</v>
          </cell>
          <cell r="C2150" t="str">
            <v>지리</v>
          </cell>
          <cell r="D2150">
            <v>1</v>
          </cell>
          <cell r="E2150" t="str">
            <v>자연</v>
          </cell>
          <cell r="F2150">
            <v>1</v>
          </cell>
          <cell r="G2150" t="str">
            <v>D</v>
          </cell>
          <cell r="H2150">
            <v>1</v>
          </cell>
          <cell r="AW2150" t="str">
            <v/>
          </cell>
          <cell r="BA2150" t="str">
            <v>-</v>
          </cell>
        </row>
        <row r="2151">
          <cell r="A2151">
            <v>70413361</v>
          </cell>
          <cell r="B2151" t="str">
            <v>플로리다반도</v>
          </cell>
          <cell r="C2151" t="str">
            <v>지리</v>
          </cell>
          <cell r="D2151">
            <v>1</v>
          </cell>
          <cell r="E2151" t="str">
            <v>자연</v>
          </cell>
          <cell r="F2151">
            <v>1</v>
          </cell>
          <cell r="G2151" t="str">
            <v>C</v>
          </cell>
          <cell r="H2151">
            <v>2</v>
          </cell>
        </row>
        <row r="2152">
          <cell r="A2152">
            <v>70413362</v>
          </cell>
          <cell r="B2152" t="str">
            <v>피오르</v>
          </cell>
          <cell r="C2152" t="str">
            <v>지리</v>
          </cell>
          <cell r="D2152">
            <v>1</v>
          </cell>
          <cell r="E2152" t="str">
            <v>자연</v>
          </cell>
          <cell r="F2152">
            <v>1</v>
          </cell>
          <cell r="G2152" t="str">
            <v>C</v>
          </cell>
          <cell r="H2152">
            <v>2</v>
          </cell>
        </row>
        <row r="2153">
          <cell r="A2153">
            <v>70413363</v>
          </cell>
          <cell r="B2153" t="str">
            <v>피지제도</v>
          </cell>
          <cell r="C2153" t="str">
            <v>지리</v>
          </cell>
          <cell r="D2153">
            <v>1</v>
          </cell>
          <cell r="E2153" t="str">
            <v>자연</v>
          </cell>
          <cell r="F2153">
            <v>1</v>
          </cell>
          <cell r="G2153" t="str">
            <v>C</v>
          </cell>
          <cell r="H2153">
            <v>2</v>
          </cell>
        </row>
        <row r="2154">
          <cell r="A2154">
            <v>70413364</v>
          </cell>
          <cell r="B2154" t="str">
            <v>핀도스산맥</v>
          </cell>
          <cell r="C2154" t="str">
            <v>지리</v>
          </cell>
          <cell r="D2154">
            <v>1</v>
          </cell>
          <cell r="E2154" t="str">
            <v>자연</v>
          </cell>
          <cell r="F2154">
            <v>1</v>
          </cell>
          <cell r="G2154" t="str">
            <v>B</v>
          </cell>
          <cell r="H2154">
            <v>3</v>
          </cell>
        </row>
        <row r="2155">
          <cell r="A2155">
            <v>70413365</v>
          </cell>
          <cell r="B2155" t="str">
            <v>핀란드만</v>
          </cell>
          <cell r="C2155" t="str">
            <v>지리</v>
          </cell>
          <cell r="D2155">
            <v>1</v>
          </cell>
          <cell r="E2155" t="str">
            <v>자연</v>
          </cell>
          <cell r="F2155">
            <v>1</v>
          </cell>
          <cell r="G2155" t="str">
            <v>D</v>
          </cell>
          <cell r="H2155">
            <v>1</v>
          </cell>
        </row>
        <row r="2156">
          <cell r="A2156">
            <v>70413366</v>
          </cell>
          <cell r="B2156" t="str">
            <v>필리핀해</v>
          </cell>
          <cell r="C2156" t="str">
            <v>지리</v>
          </cell>
          <cell r="D2156">
            <v>1</v>
          </cell>
          <cell r="E2156" t="str">
            <v>자연</v>
          </cell>
          <cell r="F2156">
            <v>1</v>
          </cell>
          <cell r="G2156" t="str">
            <v>D</v>
          </cell>
          <cell r="H2156">
            <v>1</v>
          </cell>
          <cell r="AW2156" t="str">
            <v/>
          </cell>
          <cell r="BA2156" t="str">
            <v>-</v>
          </cell>
        </row>
        <row r="2157">
          <cell r="A2157">
            <v>70413367</v>
          </cell>
          <cell r="B2157" t="str">
            <v>핑크 샌드 비치</v>
          </cell>
          <cell r="C2157" t="str">
            <v>지리</v>
          </cell>
          <cell r="D2157">
            <v>1</v>
          </cell>
          <cell r="E2157" t="str">
            <v>자연</v>
          </cell>
          <cell r="F2157">
            <v>1</v>
          </cell>
          <cell r="G2157" t="str">
            <v>S</v>
          </cell>
          <cell r="H2157">
            <v>5</v>
          </cell>
          <cell r="AW2157" t="str">
            <v>특정 직업 항해사 보유</v>
          </cell>
          <cell r="AY2157" t="str">
            <v>항해장</v>
          </cell>
          <cell r="BA2157">
            <v>4</v>
          </cell>
        </row>
        <row r="2158">
          <cell r="A2158">
            <v>70413368</v>
          </cell>
          <cell r="B2158" t="str">
            <v>하와이섬</v>
          </cell>
          <cell r="C2158" t="str">
            <v>지리</v>
          </cell>
          <cell r="D2158">
            <v>1</v>
          </cell>
          <cell r="E2158" t="str">
            <v>자연</v>
          </cell>
          <cell r="F2158">
            <v>1</v>
          </cell>
          <cell r="G2158" t="str">
            <v>B</v>
          </cell>
          <cell r="H2158">
            <v>3</v>
          </cell>
        </row>
        <row r="2159">
          <cell r="A2159">
            <v>70413369</v>
          </cell>
          <cell r="B2159" t="str">
            <v>하이암스 비치</v>
          </cell>
          <cell r="C2159" t="str">
            <v>지리</v>
          </cell>
          <cell r="D2159">
            <v>1</v>
          </cell>
          <cell r="E2159" t="str">
            <v>자연</v>
          </cell>
          <cell r="F2159">
            <v>1</v>
          </cell>
          <cell r="G2159" t="str">
            <v>A</v>
          </cell>
          <cell r="H2159">
            <v>4</v>
          </cell>
        </row>
        <row r="2160">
          <cell r="A2160">
            <v>70413370</v>
          </cell>
          <cell r="B2160" t="str">
            <v>한라산</v>
          </cell>
          <cell r="C2160" t="str">
            <v>지리</v>
          </cell>
          <cell r="D2160">
            <v>1</v>
          </cell>
          <cell r="E2160" t="str">
            <v>자연</v>
          </cell>
          <cell r="F2160">
            <v>1</v>
          </cell>
          <cell r="G2160" t="str">
            <v>A</v>
          </cell>
          <cell r="H2160">
            <v>4</v>
          </cell>
          <cell r="AW2160" t="str">
            <v>특정 계절</v>
          </cell>
          <cell r="AY2160" t="str">
            <v>가을</v>
          </cell>
          <cell r="BA2160">
            <v>1</v>
          </cell>
        </row>
        <row r="2161">
          <cell r="A2161">
            <v>70413371</v>
          </cell>
          <cell r="B2161" t="str">
            <v>할마헤라섬</v>
          </cell>
          <cell r="C2161" t="str">
            <v>지리</v>
          </cell>
          <cell r="D2161">
            <v>1</v>
          </cell>
          <cell r="E2161" t="str">
            <v>자연</v>
          </cell>
          <cell r="F2161">
            <v>1</v>
          </cell>
          <cell r="G2161" t="str">
            <v>B</v>
          </cell>
          <cell r="H2161">
            <v>3</v>
          </cell>
        </row>
        <row r="2162">
          <cell r="A2162">
            <v>70413372</v>
          </cell>
          <cell r="B2162" t="str">
            <v>허드슨강</v>
          </cell>
          <cell r="C2162" t="str">
            <v>지리</v>
          </cell>
          <cell r="D2162">
            <v>1</v>
          </cell>
          <cell r="E2162" t="str">
            <v>자연</v>
          </cell>
          <cell r="F2162">
            <v>1</v>
          </cell>
          <cell r="G2162" t="str">
            <v>C</v>
          </cell>
          <cell r="H2162">
            <v>2</v>
          </cell>
        </row>
        <row r="2163">
          <cell r="A2163">
            <v>70413373</v>
          </cell>
          <cell r="B2163" t="str">
            <v>헤클라산</v>
          </cell>
          <cell r="C2163" t="str">
            <v>지리</v>
          </cell>
          <cell r="D2163">
            <v>1</v>
          </cell>
          <cell r="E2163" t="str">
            <v>자연</v>
          </cell>
          <cell r="F2163">
            <v>1</v>
          </cell>
          <cell r="G2163" t="str">
            <v>B</v>
          </cell>
          <cell r="H2163">
            <v>3</v>
          </cell>
        </row>
        <row r="2164">
          <cell r="A2164">
            <v>70413374</v>
          </cell>
          <cell r="B2164" t="str">
            <v>하라무즈해협</v>
          </cell>
          <cell r="C2164" t="str">
            <v>지리</v>
          </cell>
          <cell r="D2164">
            <v>1</v>
          </cell>
          <cell r="E2164" t="str">
            <v>자연</v>
          </cell>
          <cell r="F2164">
            <v>1</v>
          </cell>
          <cell r="G2164" t="str">
            <v>B</v>
          </cell>
          <cell r="H2164">
            <v>3</v>
          </cell>
        </row>
        <row r="2165">
          <cell r="A2165">
            <v>70413375</v>
          </cell>
          <cell r="B2165" t="str">
            <v>호스테일폭포</v>
          </cell>
          <cell r="C2165" t="str">
            <v>지리</v>
          </cell>
          <cell r="D2165">
            <v>1</v>
          </cell>
          <cell r="E2165" t="str">
            <v>자연</v>
          </cell>
          <cell r="F2165">
            <v>1</v>
          </cell>
          <cell r="G2165" t="str">
            <v>A</v>
          </cell>
          <cell r="H2165">
            <v>4</v>
          </cell>
          <cell r="AW2165" t="str">
            <v>특정 직업 항해사 보유</v>
          </cell>
          <cell r="AY2165" t="str">
            <v>지리학자</v>
          </cell>
          <cell r="BA2165">
            <v>7</v>
          </cell>
        </row>
        <row r="2166">
          <cell r="A2166">
            <v>70413376</v>
          </cell>
          <cell r="B2166" t="str">
            <v>홍해</v>
          </cell>
          <cell r="C2166" t="str">
            <v>지리</v>
          </cell>
          <cell r="D2166">
            <v>1</v>
          </cell>
          <cell r="E2166" t="str">
            <v>자연</v>
          </cell>
          <cell r="F2166">
            <v>1</v>
          </cell>
          <cell r="G2166" t="str">
            <v>C</v>
          </cell>
          <cell r="H2166">
            <v>2</v>
          </cell>
        </row>
        <row r="2167">
          <cell r="A2167">
            <v>70413377</v>
          </cell>
          <cell r="B2167" t="str">
            <v>황산</v>
          </cell>
          <cell r="C2167" t="str">
            <v>지리</v>
          </cell>
          <cell r="D2167">
            <v>1</v>
          </cell>
          <cell r="E2167" t="str">
            <v>자연</v>
          </cell>
          <cell r="F2167">
            <v>1</v>
          </cell>
          <cell r="G2167" t="str">
            <v>A</v>
          </cell>
          <cell r="H2167">
            <v>4</v>
          </cell>
          <cell r="AW2167" t="str">
            <v>특정 계절</v>
          </cell>
          <cell r="AY2167" t="str">
            <v>가을</v>
          </cell>
          <cell r="BA2167">
            <v>1</v>
          </cell>
        </row>
        <row r="2168">
          <cell r="A2168">
            <v>70413378</v>
          </cell>
          <cell r="B2168" t="str">
            <v>황허</v>
          </cell>
          <cell r="C2168" t="str">
            <v>지리</v>
          </cell>
          <cell r="D2168">
            <v>1</v>
          </cell>
          <cell r="E2168" t="str">
            <v>자연</v>
          </cell>
          <cell r="F2168">
            <v>1</v>
          </cell>
          <cell r="G2168" t="str">
            <v>C</v>
          </cell>
          <cell r="H2168">
            <v>2</v>
          </cell>
        </row>
        <row r="2169">
          <cell r="A2169">
            <v>70413379</v>
          </cell>
          <cell r="B2169" t="str">
            <v>후벤투드섬</v>
          </cell>
          <cell r="C2169" t="str">
            <v>지리</v>
          </cell>
          <cell r="D2169">
            <v>1</v>
          </cell>
          <cell r="E2169" t="str">
            <v>자연</v>
          </cell>
          <cell r="F2169">
            <v>1</v>
          </cell>
          <cell r="G2169" t="str">
            <v>B</v>
          </cell>
          <cell r="H2169">
            <v>3</v>
          </cell>
        </row>
        <row r="2170">
          <cell r="A2170">
            <v>70413380</v>
          </cell>
          <cell r="B2170" t="str">
            <v>후지산</v>
          </cell>
          <cell r="C2170" t="str">
            <v>지리</v>
          </cell>
          <cell r="D2170">
            <v>1</v>
          </cell>
          <cell r="E2170" t="str">
            <v>자연</v>
          </cell>
          <cell r="F2170">
            <v>1</v>
          </cell>
          <cell r="G2170" t="str">
            <v>S</v>
          </cell>
          <cell r="H2170">
            <v>5</v>
          </cell>
          <cell r="AW2170" t="str">
            <v>무조건 실패</v>
          </cell>
          <cell r="BA2170">
            <v>1</v>
          </cell>
        </row>
        <row r="2171">
          <cell r="A2171">
            <v>70413381</v>
          </cell>
          <cell r="B2171" t="str">
            <v>훔볼트해류</v>
          </cell>
          <cell r="C2171" t="str">
            <v>지리</v>
          </cell>
          <cell r="D2171">
            <v>1</v>
          </cell>
          <cell r="E2171" t="str">
            <v>자연</v>
          </cell>
          <cell r="F2171">
            <v>1</v>
          </cell>
          <cell r="G2171" t="str">
            <v>B</v>
          </cell>
          <cell r="H2171">
            <v>3</v>
          </cell>
        </row>
        <row r="2172">
          <cell r="A2172">
            <v>70413382</v>
          </cell>
          <cell r="B2172" t="str">
            <v>휴런호</v>
          </cell>
          <cell r="C2172" t="str">
            <v>지리</v>
          </cell>
          <cell r="D2172">
            <v>1</v>
          </cell>
          <cell r="E2172" t="str">
            <v>자연</v>
          </cell>
          <cell r="F2172">
            <v>1</v>
          </cell>
          <cell r="G2172" t="str">
            <v>B</v>
          </cell>
          <cell r="H2172">
            <v>3</v>
          </cell>
        </row>
        <row r="2173">
          <cell r="A2173">
            <v>70413383</v>
          </cell>
          <cell r="B2173" t="str">
            <v>희망봉</v>
          </cell>
          <cell r="C2173" t="str">
            <v>지리</v>
          </cell>
          <cell r="D2173">
            <v>1</v>
          </cell>
          <cell r="E2173" t="str">
            <v>자연</v>
          </cell>
          <cell r="F2173">
            <v>1</v>
          </cell>
          <cell r="G2173" t="str">
            <v>S</v>
          </cell>
          <cell r="H2173">
            <v>5</v>
          </cell>
        </row>
        <row r="2174">
          <cell r="A2174">
            <v>70413384</v>
          </cell>
          <cell r="B2174" t="str">
            <v>나스카의 지상화</v>
          </cell>
          <cell r="C2174" t="str">
            <v>지리</v>
          </cell>
          <cell r="D2174">
            <v>1</v>
          </cell>
          <cell r="E2174" t="str">
            <v>자연</v>
          </cell>
          <cell r="F2174">
            <v>1</v>
          </cell>
          <cell r="G2174" t="str">
            <v>B</v>
          </cell>
          <cell r="H2174">
            <v>3</v>
          </cell>
          <cell r="AW2174" t="str">
            <v>특정 퀘스트(=)</v>
          </cell>
          <cell r="AY2174" t="str">
            <v>밀란다 베르테 시나리오</v>
          </cell>
          <cell r="BA2174" t="str">
            <v>밀란다 베르테05_04</v>
          </cell>
        </row>
        <row r="2175">
          <cell r="A2175">
            <v>70413385</v>
          </cell>
          <cell r="B2175" t="str">
            <v>플리트비체 폭포</v>
          </cell>
          <cell r="C2175" t="str">
            <v>지리</v>
          </cell>
          <cell r="D2175">
            <v>1</v>
          </cell>
          <cell r="E2175" t="str">
            <v>자연</v>
          </cell>
          <cell r="F2175">
            <v>1</v>
          </cell>
          <cell r="G2175" t="str">
            <v>B</v>
          </cell>
          <cell r="H2175">
            <v>3</v>
          </cell>
          <cell r="AW2175" t="str">
            <v>특정 계절</v>
          </cell>
          <cell r="AY2175" t="str">
            <v>여름</v>
          </cell>
          <cell r="BA2175">
            <v>1</v>
          </cell>
        </row>
        <row r="2176">
          <cell r="A2176">
            <v>70413386</v>
          </cell>
          <cell r="B2176" t="str">
            <v>굴포스 폭포</v>
          </cell>
          <cell r="C2176" t="str">
            <v>지리</v>
          </cell>
          <cell r="D2176">
            <v>1</v>
          </cell>
          <cell r="E2176" t="str">
            <v>자연</v>
          </cell>
          <cell r="F2176">
            <v>1</v>
          </cell>
          <cell r="G2176" t="str">
            <v>B</v>
          </cell>
          <cell r="H2176">
            <v>3</v>
          </cell>
        </row>
        <row r="2177">
          <cell r="A2177">
            <v>70413387</v>
          </cell>
          <cell r="B2177" t="str">
            <v>데티포스 폭포</v>
          </cell>
          <cell r="C2177" t="str">
            <v>지리</v>
          </cell>
          <cell r="D2177">
            <v>1</v>
          </cell>
          <cell r="E2177" t="str">
            <v>자연</v>
          </cell>
          <cell r="F2177">
            <v>1</v>
          </cell>
          <cell r="G2177" t="str">
            <v>B</v>
          </cell>
          <cell r="H2177">
            <v>3</v>
          </cell>
        </row>
        <row r="2178">
          <cell r="A2178">
            <v>70413388</v>
          </cell>
          <cell r="B2178" t="str">
            <v>서덜랜드폭포</v>
          </cell>
          <cell r="C2178" t="str">
            <v>지리</v>
          </cell>
          <cell r="D2178">
            <v>1</v>
          </cell>
          <cell r="E2178" t="str">
            <v>자연</v>
          </cell>
          <cell r="F2178">
            <v>1</v>
          </cell>
          <cell r="G2178" t="str">
            <v>B</v>
          </cell>
          <cell r="H2178">
            <v>3</v>
          </cell>
        </row>
        <row r="2179">
          <cell r="A2179">
            <v>70413389</v>
          </cell>
          <cell r="B2179" t="str">
            <v>딘얀디 폭포</v>
          </cell>
          <cell r="C2179" t="str">
            <v>지리</v>
          </cell>
          <cell r="D2179">
            <v>1</v>
          </cell>
          <cell r="E2179" t="str">
            <v>자연</v>
          </cell>
          <cell r="F2179">
            <v>1</v>
          </cell>
          <cell r="G2179" t="str">
            <v>B</v>
          </cell>
          <cell r="H2179">
            <v>3</v>
          </cell>
        </row>
        <row r="2180">
          <cell r="A2180">
            <v>70413390</v>
          </cell>
          <cell r="B2180" t="str">
            <v>고다포스 폭포</v>
          </cell>
          <cell r="C2180" t="str">
            <v>지리</v>
          </cell>
          <cell r="D2180">
            <v>1</v>
          </cell>
          <cell r="E2180" t="str">
            <v>자연</v>
          </cell>
          <cell r="F2180">
            <v>1</v>
          </cell>
          <cell r="G2180" t="str">
            <v>B</v>
          </cell>
          <cell r="H2180">
            <v>3</v>
          </cell>
        </row>
        <row r="2181">
          <cell r="A2181">
            <v>70413391</v>
          </cell>
          <cell r="B2181" t="str">
            <v>크레비아 폭포</v>
          </cell>
          <cell r="C2181" t="str">
            <v>지리</v>
          </cell>
          <cell r="D2181">
            <v>1</v>
          </cell>
          <cell r="E2181" t="str">
            <v>자연</v>
          </cell>
          <cell r="F2181">
            <v>1</v>
          </cell>
          <cell r="G2181" t="str">
            <v>B</v>
          </cell>
          <cell r="H2181">
            <v>3</v>
          </cell>
        </row>
        <row r="2182">
          <cell r="A2182">
            <v>70413392</v>
          </cell>
          <cell r="B2182" t="str">
            <v>하이포스 폭포</v>
          </cell>
          <cell r="C2182" t="str">
            <v>지리</v>
          </cell>
          <cell r="D2182">
            <v>1</v>
          </cell>
          <cell r="E2182" t="str">
            <v>자연</v>
          </cell>
          <cell r="F2182">
            <v>1</v>
          </cell>
          <cell r="G2182" t="str">
            <v>B</v>
          </cell>
          <cell r="H2182">
            <v>3</v>
          </cell>
        </row>
        <row r="2183">
          <cell r="A2183">
            <v>70413393</v>
          </cell>
          <cell r="B2183" t="str">
            <v>벤티스쿠에로 콜간테 폭포</v>
          </cell>
          <cell r="C2183" t="str">
            <v>지리</v>
          </cell>
          <cell r="D2183">
            <v>1</v>
          </cell>
          <cell r="E2183" t="str">
            <v>자연</v>
          </cell>
          <cell r="F2183">
            <v>1</v>
          </cell>
          <cell r="G2183" t="str">
            <v>B</v>
          </cell>
          <cell r="H2183">
            <v>3</v>
          </cell>
        </row>
        <row r="2184">
          <cell r="A2184">
            <v>70413394</v>
          </cell>
          <cell r="B2184" t="str">
            <v>팔루스 폭포</v>
          </cell>
          <cell r="C2184" t="str">
            <v>지리</v>
          </cell>
          <cell r="D2184">
            <v>1</v>
          </cell>
          <cell r="E2184" t="str">
            <v>자연</v>
          </cell>
          <cell r="F2184">
            <v>1</v>
          </cell>
          <cell r="G2184" t="str">
            <v>B</v>
          </cell>
          <cell r="H2184">
            <v>3</v>
          </cell>
        </row>
        <row r="2185">
          <cell r="A2185">
            <v>70413395</v>
          </cell>
          <cell r="B2185" t="str">
            <v>터재넉 폭포</v>
          </cell>
          <cell r="C2185" t="str">
            <v>지리</v>
          </cell>
          <cell r="D2185">
            <v>1</v>
          </cell>
          <cell r="E2185" t="str">
            <v>자연</v>
          </cell>
          <cell r="F2185">
            <v>1</v>
          </cell>
          <cell r="G2185" t="str">
            <v>B</v>
          </cell>
          <cell r="H2185">
            <v>3</v>
          </cell>
        </row>
        <row r="2186">
          <cell r="A2186">
            <v>70413396</v>
          </cell>
          <cell r="B2186" t="str">
            <v>반지옥 폭포</v>
          </cell>
          <cell r="C2186" t="str">
            <v>지리</v>
          </cell>
          <cell r="D2186">
            <v>1</v>
          </cell>
          <cell r="E2186" t="str">
            <v>자연</v>
          </cell>
          <cell r="F2186">
            <v>1</v>
          </cell>
          <cell r="G2186" t="str">
            <v>B</v>
          </cell>
          <cell r="H2186">
            <v>3</v>
          </cell>
        </row>
        <row r="2187">
          <cell r="A2187">
            <v>70413397</v>
          </cell>
          <cell r="B2187" t="str">
            <v>바타라 폭포</v>
          </cell>
          <cell r="C2187" t="str">
            <v>지리</v>
          </cell>
          <cell r="D2187">
            <v>1</v>
          </cell>
          <cell r="E2187" t="str">
            <v>자연</v>
          </cell>
          <cell r="F2187">
            <v>1</v>
          </cell>
          <cell r="G2187" t="str">
            <v>B</v>
          </cell>
          <cell r="H2187">
            <v>3</v>
          </cell>
        </row>
        <row r="2188">
          <cell r="A2188">
            <v>70413398</v>
          </cell>
          <cell r="B2188" t="str">
            <v>브라운 폭포</v>
          </cell>
          <cell r="C2188" t="str">
            <v>지리</v>
          </cell>
          <cell r="D2188">
            <v>1</v>
          </cell>
          <cell r="E2188" t="str">
            <v>자연</v>
          </cell>
          <cell r="F2188">
            <v>1</v>
          </cell>
          <cell r="G2188" t="str">
            <v>B</v>
          </cell>
          <cell r="H2188">
            <v>3</v>
          </cell>
        </row>
        <row r="2189">
          <cell r="A2189">
            <v>70413399</v>
          </cell>
          <cell r="B2189" t="str">
            <v>제임스브루스폭포</v>
          </cell>
          <cell r="C2189" t="str">
            <v>지리</v>
          </cell>
          <cell r="D2189">
            <v>1</v>
          </cell>
          <cell r="E2189" t="str">
            <v>자연</v>
          </cell>
          <cell r="F2189">
            <v>1</v>
          </cell>
          <cell r="G2189" t="str">
            <v>B</v>
          </cell>
          <cell r="H2189">
            <v>3</v>
          </cell>
        </row>
        <row r="2190">
          <cell r="A2190">
            <v>70413400</v>
          </cell>
          <cell r="B2190" t="str">
            <v>푸카오쿠폭포</v>
          </cell>
          <cell r="C2190" t="str">
            <v>지리</v>
          </cell>
          <cell r="D2190">
            <v>1</v>
          </cell>
          <cell r="E2190" t="str">
            <v>자연</v>
          </cell>
          <cell r="F2190">
            <v>1</v>
          </cell>
          <cell r="G2190" t="str">
            <v>B</v>
          </cell>
          <cell r="H2190">
            <v>3</v>
          </cell>
        </row>
        <row r="2191">
          <cell r="A2191">
            <v>70413401</v>
          </cell>
          <cell r="B2191" t="str">
            <v>스코지폭포</v>
          </cell>
          <cell r="C2191" t="str">
            <v>지리</v>
          </cell>
          <cell r="D2191">
            <v>1</v>
          </cell>
          <cell r="E2191" t="str">
            <v>자연</v>
          </cell>
          <cell r="F2191">
            <v>1</v>
          </cell>
          <cell r="G2191" t="str">
            <v>B</v>
          </cell>
          <cell r="H2191">
            <v>3</v>
          </cell>
        </row>
        <row r="2192">
          <cell r="A2192">
            <v>70413402</v>
          </cell>
          <cell r="B2192" t="str">
            <v>빈누폭포</v>
          </cell>
          <cell r="C2192" t="str">
            <v>지리</v>
          </cell>
          <cell r="D2192">
            <v>1</v>
          </cell>
          <cell r="E2192" t="str">
            <v>자연</v>
          </cell>
          <cell r="F2192">
            <v>1</v>
          </cell>
          <cell r="G2192" t="str">
            <v>B</v>
          </cell>
          <cell r="H2192">
            <v>3</v>
          </cell>
        </row>
        <row r="2193">
          <cell r="A2193">
            <v>70413403</v>
          </cell>
          <cell r="B2193" t="str">
            <v>윰빌라폭포</v>
          </cell>
          <cell r="C2193" t="str">
            <v>지리</v>
          </cell>
          <cell r="D2193">
            <v>1</v>
          </cell>
          <cell r="E2193" t="str">
            <v>자연</v>
          </cell>
          <cell r="F2193">
            <v>1</v>
          </cell>
          <cell r="G2193" t="str">
            <v>B</v>
          </cell>
          <cell r="H2193">
            <v>3</v>
          </cell>
        </row>
        <row r="2194">
          <cell r="A2194">
            <v>70413404</v>
          </cell>
          <cell r="B2194" t="str">
            <v>트레스에르마나스폭포</v>
          </cell>
          <cell r="C2194" t="str">
            <v>지리</v>
          </cell>
          <cell r="D2194">
            <v>1</v>
          </cell>
          <cell r="E2194" t="str">
            <v>자연</v>
          </cell>
          <cell r="F2194">
            <v>1</v>
          </cell>
          <cell r="G2194" t="str">
            <v>B</v>
          </cell>
          <cell r="H2194">
            <v>3</v>
          </cell>
        </row>
        <row r="2195">
          <cell r="A2195">
            <v>70413405</v>
          </cell>
          <cell r="B2195" t="str">
            <v>투겔라 폭포</v>
          </cell>
          <cell r="C2195" t="str">
            <v>지리</v>
          </cell>
          <cell r="D2195">
            <v>1</v>
          </cell>
          <cell r="E2195" t="str">
            <v>자연</v>
          </cell>
          <cell r="F2195">
            <v>1</v>
          </cell>
          <cell r="G2195" t="str">
            <v>B</v>
          </cell>
          <cell r="H2195">
            <v>3</v>
          </cell>
        </row>
        <row r="2196">
          <cell r="A2196">
            <v>70413406</v>
          </cell>
          <cell r="B2196" t="str">
            <v>정방폭포</v>
          </cell>
          <cell r="C2196" t="str">
            <v>지리</v>
          </cell>
          <cell r="D2196">
            <v>1</v>
          </cell>
          <cell r="E2196" t="str">
            <v>자연</v>
          </cell>
          <cell r="F2196">
            <v>1</v>
          </cell>
          <cell r="G2196" t="str">
            <v>A</v>
          </cell>
          <cell r="H2196">
            <v>4</v>
          </cell>
          <cell r="AW2196" t="str">
            <v>무조건 실패</v>
          </cell>
          <cell r="BA2196">
            <v>1</v>
          </cell>
        </row>
        <row r="2197">
          <cell r="A2197">
            <v>70413407</v>
          </cell>
          <cell r="B2197" t="str">
            <v>알라미어 폭포</v>
          </cell>
          <cell r="C2197" t="str">
            <v>지리</v>
          </cell>
          <cell r="D2197">
            <v>1</v>
          </cell>
          <cell r="E2197" t="str">
            <v>자연</v>
          </cell>
          <cell r="F2197">
            <v>1</v>
          </cell>
          <cell r="G2197" t="str">
            <v>B</v>
          </cell>
          <cell r="H2197">
            <v>3</v>
          </cell>
        </row>
        <row r="2198">
          <cell r="A2198">
            <v>70413408</v>
          </cell>
          <cell r="B2198" t="str">
            <v>하바수 폭포</v>
          </cell>
          <cell r="C2198" t="str">
            <v>지리</v>
          </cell>
          <cell r="D2198">
            <v>1</v>
          </cell>
          <cell r="E2198" t="str">
            <v>자연</v>
          </cell>
          <cell r="F2198">
            <v>1</v>
          </cell>
          <cell r="G2198" t="str">
            <v>B</v>
          </cell>
          <cell r="H2198">
            <v>3</v>
          </cell>
        </row>
        <row r="2199">
          <cell r="A2199">
            <v>70413409</v>
          </cell>
          <cell r="B2199" t="str">
            <v>꽝시 폭포</v>
          </cell>
          <cell r="C2199" t="str">
            <v>지리</v>
          </cell>
          <cell r="D2199">
            <v>1</v>
          </cell>
          <cell r="E2199" t="str">
            <v>자연</v>
          </cell>
          <cell r="F2199">
            <v>1</v>
          </cell>
          <cell r="G2199" t="str">
            <v>A</v>
          </cell>
          <cell r="H2199">
            <v>4</v>
          </cell>
          <cell r="AW2199" t="str">
            <v>특정 직업 항해사 보유</v>
          </cell>
          <cell r="AY2199" t="str">
            <v>지리학자</v>
          </cell>
          <cell r="BA2199">
            <v>7</v>
          </cell>
        </row>
        <row r="2200">
          <cell r="A2200">
            <v>70413410</v>
          </cell>
          <cell r="B2200" t="str">
            <v>조그 폭포</v>
          </cell>
          <cell r="C2200" t="str">
            <v>지리</v>
          </cell>
          <cell r="D2200">
            <v>1</v>
          </cell>
          <cell r="E2200" t="str">
            <v>자연</v>
          </cell>
          <cell r="F2200">
            <v>1</v>
          </cell>
          <cell r="G2200" t="str">
            <v>B</v>
          </cell>
          <cell r="H2200">
            <v>3</v>
          </cell>
        </row>
        <row r="2201">
          <cell r="A2201">
            <v>70413411</v>
          </cell>
          <cell r="B2201" t="str">
            <v>장백폭포</v>
          </cell>
          <cell r="C2201" t="str">
            <v>지리</v>
          </cell>
          <cell r="D2201">
            <v>1</v>
          </cell>
          <cell r="E2201" t="str">
            <v>자연</v>
          </cell>
          <cell r="F2201">
            <v>1</v>
          </cell>
          <cell r="G2201" t="str">
            <v>B</v>
          </cell>
          <cell r="H2201">
            <v>3</v>
          </cell>
        </row>
        <row r="2202">
          <cell r="A2202">
            <v>70413412</v>
          </cell>
          <cell r="B2202" t="str">
            <v>나치폭포</v>
          </cell>
          <cell r="C2202" t="str">
            <v>지리</v>
          </cell>
          <cell r="D2202">
            <v>1</v>
          </cell>
          <cell r="E2202" t="str">
            <v>자연</v>
          </cell>
          <cell r="F2202">
            <v>1</v>
          </cell>
          <cell r="G2202" t="str">
            <v>B</v>
          </cell>
          <cell r="H2202">
            <v>3</v>
          </cell>
        </row>
        <row r="2203">
          <cell r="A2203">
            <v>70413413</v>
          </cell>
          <cell r="B2203" t="str">
            <v>마로코파 폭포</v>
          </cell>
          <cell r="C2203" t="str">
            <v>지리</v>
          </cell>
          <cell r="D2203">
            <v>1</v>
          </cell>
          <cell r="E2203" t="str">
            <v>자연</v>
          </cell>
          <cell r="F2203">
            <v>1</v>
          </cell>
          <cell r="G2203" t="str">
            <v>A</v>
          </cell>
          <cell r="H2203">
            <v>4</v>
          </cell>
          <cell r="AW2203" t="str">
            <v>특정 직업 항해사 보유</v>
          </cell>
          <cell r="AY2203" t="str">
            <v>지리학자</v>
          </cell>
          <cell r="BA2203">
            <v>7</v>
          </cell>
        </row>
        <row r="2204">
          <cell r="A2204">
            <v>70413414</v>
          </cell>
          <cell r="B2204" t="str">
            <v>핏츠로이 폭포</v>
          </cell>
          <cell r="C2204" t="str">
            <v>지리</v>
          </cell>
          <cell r="D2204">
            <v>1</v>
          </cell>
          <cell r="E2204" t="str">
            <v>자연</v>
          </cell>
          <cell r="F2204">
            <v>1</v>
          </cell>
          <cell r="G2204" t="str">
            <v>B</v>
          </cell>
          <cell r="H2204">
            <v>3</v>
          </cell>
        </row>
        <row r="2205">
          <cell r="A2205">
            <v>70413415</v>
          </cell>
          <cell r="B2205" t="str">
            <v>레인보우 폭포</v>
          </cell>
          <cell r="C2205" t="str">
            <v>지리</v>
          </cell>
          <cell r="D2205">
            <v>1</v>
          </cell>
          <cell r="E2205" t="str">
            <v>자연</v>
          </cell>
          <cell r="F2205">
            <v>1</v>
          </cell>
          <cell r="G2205" t="str">
            <v>B</v>
          </cell>
          <cell r="H2205">
            <v>3</v>
          </cell>
        </row>
        <row r="2206">
          <cell r="A2206">
            <v>70413416</v>
          </cell>
          <cell r="B2206" t="str">
            <v>시라이토 폭포</v>
          </cell>
          <cell r="C2206" t="str">
            <v>지리</v>
          </cell>
          <cell r="D2206">
            <v>1</v>
          </cell>
          <cell r="E2206" t="str">
            <v>자연</v>
          </cell>
          <cell r="F2206">
            <v>1</v>
          </cell>
          <cell r="G2206" t="str">
            <v>C</v>
          </cell>
          <cell r="H2206">
            <v>2</v>
          </cell>
        </row>
        <row r="2207">
          <cell r="A2207">
            <v>70413417</v>
          </cell>
          <cell r="B2207" t="str">
            <v>말레추냐네 폭포</v>
          </cell>
          <cell r="C2207" t="str">
            <v>지리</v>
          </cell>
          <cell r="D2207">
            <v>1</v>
          </cell>
          <cell r="E2207" t="str">
            <v>자연</v>
          </cell>
          <cell r="F2207">
            <v>1</v>
          </cell>
          <cell r="G2207" t="str">
            <v>B</v>
          </cell>
          <cell r="H2207">
            <v>3</v>
          </cell>
        </row>
        <row r="2208">
          <cell r="A2208">
            <v>70413418</v>
          </cell>
          <cell r="B2208" t="str">
            <v>스털링 폭포</v>
          </cell>
          <cell r="C2208" t="str">
            <v>지리</v>
          </cell>
          <cell r="D2208">
            <v>1</v>
          </cell>
          <cell r="E2208" t="str">
            <v>자연</v>
          </cell>
          <cell r="F2208">
            <v>1</v>
          </cell>
          <cell r="G2208" t="str">
            <v>B</v>
          </cell>
          <cell r="H2208">
            <v>3</v>
          </cell>
        </row>
        <row r="2209">
          <cell r="A2209">
            <v>70413419</v>
          </cell>
          <cell r="B2209" t="str">
            <v>스코아 폭포</v>
          </cell>
          <cell r="C2209" t="str">
            <v>지리</v>
          </cell>
          <cell r="D2209">
            <v>1</v>
          </cell>
          <cell r="E2209" t="str">
            <v>자연</v>
          </cell>
          <cell r="F2209">
            <v>1</v>
          </cell>
          <cell r="G2209" t="str">
            <v>B</v>
          </cell>
          <cell r="H2209">
            <v>3</v>
          </cell>
        </row>
        <row r="2210">
          <cell r="A2210">
            <v>70413420</v>
          </cell>
          <cell r="B2210" t="str">
            <v>스펀 폭포</v>
          </cell>
          <cell r="C2210" t="str">
            <v>지리</v>
          </cell>
          <cell r="D2210">
            <v>1</v>
          </cell>
          <cell r="E2210" t="str">
            <v>자연</v>
          </cell>
          <cell r="F2210">
            <v>1</v>
          </cell>
          <cell r="G2210" t="str">
            <v>B</v>
          </cell>
          <cell r="H2210">
            <v>3</v>
          </cell>
        </row>
        <row r="2211">
          <cell r="A2211">
            <v>70413421</v>
          </cell>
          <cell r="B2211" t="str">
            <v>게곤 폭포</v>
          </cell>
          <cell r="C2211" t="str">
            <v>지리</v>
          </cell>
          <cell r="D2211">
            <v>1</v>
          </cell>
          <cell r="E2211" t="str">
            <v>자연</v>
          </cell>
          <cell r="F2211">
            <v>1</v>
          </cell>
          <cell r="G2211" t="str">
            <v>A</v>
          </cell>
          <cell r="H2211">
            <v>4</v>
          </cell>
          <cell r="AW2211" t="str">
            <v>특정 국가 항해사 보유</v>
          </cell>
          <cell r="AY2211" t="str">
            <v>일본</v>
          </cell>
          <cell r="BA2211">
            <v>8</v>
          </cell>
        </row>
        <row r="2212">
          <cell r="A2212">
            <v>70413422</v>
          </cell>
          <cell r="B2212" t="str">
            <v>백두산</v>
          </cell>
          <cell r="C2212" t="str">
            <v>지리</v>
          </cell>
          <cell r="D2212">
            <v>1</v>
          </cell>
          <cell r="E2212" t="str">
            <v>자연</v>
          </cell>
          <cell r="F2212">
            <v>1</v>
          </cell>
          <cell r="G2212" t="str">
            <v>S</v>
          </cell>
          <cell r="H2212">
            <v>5</v>
          </cell>
          <cell r="AW2212" t="str">
            <v>무조건 실패</v>
          </cell>
          <cell r="BA2212">
            <v>1</v>
          </cell>
        </row>
        <row r="2213">
          <cell r="A2213">
            <v>70413423</v>
          </cell>
          <cell r="B2213" t="str">
            <v>베수비오산</v>
          </cell>
          <cell r="C2213" t="str">
            <v>지리</v>
          </cell>
          <cell r="D2213">
            <v>1</v>
          </cell>
          <cell r="E2213" t="str">
            <v>자연</v>
          </cell>
          <cell r="F2213">
            <v>1</v>
          </cell>
          <cell r="G2213" t="str">
            <v>A</v>
          </cell>
          <cell r="H2213">
            <v>4</v>
          </cell>
          <cell r="AW2213" t="str">
            <v>특정 직업 항해사 보유</v>
          </cell>
          <cell r="AY2213" t="str">
            <v>지리학자</v>
          </cell>
          <cell r="BA2213">
            <v>6</v>
          </cell>
        </row>
        <row r="2214">
          <cell r="A2214">
            <v>70413424</v>
          </cell>
          <cell r="B2214" t="str">
            <v>스메루산</v>
          </cell>
          <cell r="C2214" t="str">
            <v>지리</v>
          </cell>
          <cell r="D2214">
            <v>1</v>
          </cell>
          <cell r="E2214" t="str">
            <v>자연</v>
          </cell>
          <cell r="F2214">
            <v>1</v>
          </cell>
          <cell r="G2214" t="str">
            <v>A</v>
          </cell>
          <cell r="H2214">
            <v>4</v>
          </cell>
          <cell r="AW2214" t="str">
            <v>특정 직업 항해사 보유</v>
          </cell>
          <cell r="AY2214" t="str">
            <v>탐험가</v>
          </cell>
          <cell r="BA2214">
            <v>3</v>
          </cell>
        </row>
        <row r="2215">
          <cell r="A2215">
            <v>70413425</v>
          </cell>
          <cell r="B2215" t="str">
            <v>세인트헬렌스산</v>
          </cell>
          <cell r="C2215" t="str">
            <v>지리</v>
          </cell>
          <cell r="D2215">
            <v>1</v>
          </cell>
          <cell r="E2215" t="str">
            <v>자연</v>
          </cell>
          <cell r="F2215">
            <v>1</v>
          </cell>
          <cell r="G2215" t="str">
            <v>A</v>
          </cell>
          <cell r="H2215">
            <v>4</v>
          </cell>
          <cell r="AW2215" t="str">
            <v>특정 직업 항해사 보유</v>
          </cell>
          <cell r="AY2215" t="str">
            <v>지리학자</v>
          </cell>
          <cell r="BA2215">
            <v>7</v>
          </cell>
        </row>
        <row r="2216">
          <cell r="A2216">
            <v>70413426</v>
          </cell>
          <cell r="B2216" t="str">
            <v>아궁산</v>
          </cell>
          <cell r="C2216" t="str">
            <v>지리</v>
          </cell>
          <cell r="D2216">
            <v>1</v>
          </cell>
          <cell r="E2216" t="str">
            <v>자연</v>
          </cell>
          <cell r="F2216">
            <v>1</v>
          </cell>
          <cell r="G2216" t="str">
            <v>B</v>
          </cell>
          <cell r="H2216">
            <v>3</v>
          </cell>
        </row>
        <row r="2217">
          <cell r="A2217">
            <v>70413427</v>
          </cell>
          <cell r="B2217" t="str">
            <v>피나투보산</v>
          </cell>
          <cell r="C2217" t="str">
            <v>지리</v>
          </cell>
          <cell r="D2217">
            <v>1</v>
          </cell>
          <cell r="E2217" t="str">
            <v>자연</v>
          </cell>
          <cell r="F2217">
            <v>1</v>
          </cell>
          <cell r="G2217" t="str">
            <v>B</v>
          </cell>
          <cell r="H2217">
            <v>3</v>
          </cell>
        </row>
        <row r="2218">
          <cell r="A2218">
            <v>70413428</v>
          </cell>
          <cell r="B2218" t="str">
            <v>마욘산</v>
          </cell>
          <cell r="C2218" t="str">
            <v>지리</v>
          </cell>
          <cell r="D2218">
            <v>1</v>
          </cell>
          <cell r="E2218" t="str">
            <v>자연</v>
          </cell>
          <cell r="F2218">
            <v>1</v>
          </cell>
          <cell r="G2218" t="str">
            <v>A</v>
          </cell>
          <cell r="H2218">
            <v>4</v>
          </cell>
          <cell r="AW2218" t="str">
            <v>특정 직업 항해사 보유</v>
          </cell>
          <cell r="AY2218" t="str">
            <v>지리학자</v>
          </cell>
          <cell r="BA2218">
            <v>6</v>
          </cell>
        </row>
        <row r="2219">
          <cell r="A2219">
            <v>70413429</v>
          </cell>
          <cell r="B2219" t="str">
            <v>그림스뵈튼산</v>
          </cell>
          <cell r="C2219" t="str">
            <v>지리</v>
          </cell>
          <cell r="D2219">
            <v>1</v>
          </cell>
          <cell r="E2219" t="str">
            <v>자연</v>
          </cell>
          <cell r="F2219">
            <v>1</v>
          </cell>
          <cell r="G2219" t="str">
            <v>B</v>
          </cell>
          <cell r="H2219">
            <v>3</v>
          </cell>
        </row>
        <row r="2220">
          <cell r="A2220">
            <v>70413430</v>
          </cell>
          <cell r="B2220" t="str">
            <v>제이타 동굴</v>
          </cell>
          <cell r="C2220" t="str">
            <v>지리</v>
          </cell>
          <cell r="D2220">
            <v>1</v>
          </cell>
          <cell r="E2220" t="str">
            <v>자연</v>
          </cell>
          <cell r="F2220">
            <v>1</v>
          </cell>
          <cell r="G2220" t="str">
            <v>B</v>
          </cell>
          <cell r="H2220">
            <v>3</v>
          </cell>
        </row>
        <row r="2221">
          <cell r="A2221">
            <v>70413431</v>
          </cell>
          <cell r="B2221" t="str">
            <v>스카프타펠 동굴</v>
          </cell>
          <cell r="C2221" t="str">
            <v>지리</v>
          </cell>
          <cell r="D2221">
            <v>1</v>
          </cell>
          <cell r="E2221" t="str">
            <v>자연</v>
          </cell>
          <cell r="F2221">
            <v>1</v>
          </cell>
          <cell r="G2221" t="str">
            <v>B</v>
          </cell>
          <cell r="H2221">
            <v>3</v>
          </cell>
        </row>
        <row r="2222">
          <cell r="A2222">
            <v>70413432</v>
          </cell>
          <cell r="B2222" t="str">
            <v>용암 동굴</v>
          </cell>
          <cell r="C2222" t="str">
            <v>지리</v>
          </cell>
          <cell r="D2222">
            <v>1</v>
          </cell>
          <cell r="E2222" t="str">
            <v>자연</v>
          </cell>
          <cell r="F2222">
            <v>1</v>
          </cell>
          <cell r="G2222" t="str">
            <v>C</v>
          </cell>
          <cell r="H2222">
            <v>2</v>
          </cell>
        </row>
        <row r="2223">
          <cell r="A2223">
            <v>70413433</v>
          </cell>
          <cell r="B2223" t="str">
            <v>아비스모 아뉴마스</v>
          </cell>
          <cell r="C2223" t="str">
            <v>지리</v>
          </cell>
          <cell r="D2223">
            <v>1</v>
          </cell>
          <cell r="E2223" t="str">
            <v>자연</v>
          </cell>
          <cell r="F2223">
            <v>1</v>
          </cell>
          <cell r="G2223" t="str">
            <v>B</v>
          </cell>
          <cell r="H2223">
            <v>3</v>
          </cell>
        </row>
        <row r="2224">
          <cell r="A2224">
            <v>70413434</v>
          </cell>
          <cell r="B2224" t="str">
            <v>제놀란 동굴</v>
          </cell>
          <cell r="C2224" t="str">
            <v>지리</v>
          </cell>
          <cell r="D2224">
            <v>1</v>
          </cell>
          <cell r="E2224" t="str">
            <v>자연</v>
          </cell>
          <cell r="F2224">
            <v>1</v>
          </cell>
          <cell r="G2224" t="str">
            <v>C</v>
          </cell>
          <cell r="H2224">
            <v>2</v>
          </cell>
        </row>
        <row r="2225">
          <cell r="A2225">
            <v>70413435</v>
          </cell>
          <cell r="B2225" t="str">
            <v>좀블랑 동굴</v>
          </cell>
          <cell r="C2225" t="str">
            <v>지리</v>
          </cell>
          <cell r="D2225">
            <v>1</v>
          </cell>
          <cell r="E2225" t="str">
            <v>자연</v>
          </cell>
          <cell r="F2225">
            <v>1</v>
          </cell>
          <cell r="G2225" t="str">
            <v>C</v>
          </cell>
          <cell r="H2225">
            <v>2</v>
          </cell>
        </row>
        <row r="2226">
          <cell r="A2226">
            <v>70413436</v>
          </cell>
          <cell r="B2226" t="str">
            <v>산동 동굴</v>
          </cell>
          <cell r="C2226" t="str">
            <v>지리</v>
          </cell>
          <cell r="D2226">
            <v>1</v>
          </cell>
          <cell r="E2226" t="str">
            <v>자연</v>
          </cell>
          <cell r="F2226">
            <v>1</v>
          </cell>
          <cell r="G2226" t="str">
            <v>B</v>
          </cell>
          <cell r="H2226">
            <v>3</v>
          </cell>
        </row>
        <row r="2227">
          <cell r="A2227">
            <v>70413437</v>
          </cell>
          <cell r="B2227" t="str">
            <v>애드미럴스 아치</v>
          </cell>
          <cell r="C2227" t="str">
            <v>지리</v>
          </cell>
          <cell r="D2227">
            <v>1</v>
          </cell>
          <cell r="E2227" t="str">
            <v>자연</v>
          </cell>
          <cell r="F2227">
            <v>1</v>
          </cell>
          <cell r="G2227" t="str">
            <v>B</v>
          </cell>
          <cell r="H2227">
            <v>3</v>
          </cell>
        </row>
        <row r="2228">
          <cell r="A2228">
            <v>70413438</v>
          </cell>
          <cell r="B2228" t="str">
            <v>담라타쉬 석회동굴</v>
          </cell>
          <cell r="C2228" t="str">
            <v>지리</v>
          </cell>
          <cell r="D2228">
            <v>1</v>
          </cell>
          <cell r="E2228" t="str">
            <v>자연</v>
          </cell>
          <cell r="F2228">
            <v>1</v>
          </cell>
          <cell r="G2228" t="str">
            <v>B</v>
          </cell>
          <cell r="H2228">
            <v>3</v>
          </cell>
          <cell r="AW2228" t="str">
            <v>특정 직업 항해사 보유</v>
          </cell>
          <cell r="AY2228" t="str">
            <v>고고학자</v>
          </cell>
          <cell r="BA2228">
            <v>1</v>
          </cell>
        </row>
        <row r="2229">
          <cell r="A2229">
            <v>70413439</v>
          </cell>
          <cell r="B2229" t="str">
            <v>핑갈 동굴</v>
          </cell>
          <cell r="C2229" t="str">
            <v>지리</v>
          </cell>
          <cell r="D2229">
            <v>1</v>
          </cell>
          <cell r="E2229" t="str">
            <v>자연</v>
          </cell>
          <cell r="F2229">
            <v>1</v>
          </cell>
          <cell r="G2229" t="str">
            <v>B</v>
          </cell>
          <cell r="H2229">
            <v>3</v>
          </cell>
        </row>
        <row r="2230">
          <cell r="A2230">
            <v>70413440</v>
          </cell>
          <cell r="B2230" t="str">
            <v>커시드럴 동굴</v>
          </cell>
          <cell r="C2230" t="str">
            <v>지리</v>
          </cell>
          <cell r="D2230">
            <v>1</v>
          </cell>
          <cell r="E2230" t="str">
            <v>자연</v>
          </cell>
          <cell r="F2230">
            <v>1</v>
          </cell>
          <cell r="G2230" t="str">
            <v>C</v>
          </cell>
          <cell r="H2230">
            <v>2</v>
          </cell>
        </row>
        <row r="2231">
          <cell r="A2231">
            <v>70413441</v>
          </cell>
          <cell r="B2231" t="str">
            <v>바다 사자 동굴</v>
          </cell>
          <cell r="C2231" t="str">
            <v>지리</v>
          </cell>
          <cell r="D2231">
            <v>1</v>
          </cell>
          <cell r="E2231" t="str">
            <v>자연</v>
          </cell>
          <cell r="F2231">
            <v>1</v>
          </cell>
          <cell r="G2231" t="str">
            <v>B</v>
          </cell>
          <cell r="H2231">
            <v>3</v>
          </cell>
        </row>
        <row r="2232">
          <cell r="A2232">
            <v>70413442</v>
          </cell>
          <cell r="B2232" t="str">
            <v>부안 해식동굴</v>
          </cell>
          <cell r="C2232" t="str">
            <v>지리</v>
          </cell>
          <cell r="D2232">
            <v>1</v>
          </cell>
          <cell r="E2232" t="str">
            <v>자연</v>
          </cell>
          <cell r="F2232">
            <v>1</v>
          </cell>
          <cell r="G2232" t="str">
            <v>B</v>
          </cell>
          <cell r="H2232">
            <v>3</v>
          </cell>
        </row>
        <row r="2233">
          <cell r="A2233">
            <v>70413443</v>
          </cell>
          <cell r="B2233" t="str">
            <v>간몬 해식 동굴</v>
          </cell>
          <cell r="C2233" t="str">
            <v>지리</v>
          </cell>
          <cell r="D2233">
            <v>1</v>
          </cell>
          <cell r="E2233" t="str">
            <v>자연</v>
          </cell>
          <cell r="F2233">
            <v>1</v>
          </cell>
          <cell r="G2233" t="str">
            <v>B</v>
          </cell>
          <cell r="H2233">
            <v>3</v>
          </cell>
        </row>
        <row r="2234">
          <cell r="A2234">
            <v>70413444</v>
          </cell>
          <cell r="B2234" t="str">
            <v>해식 동굴</v>
          </cell>
          <cell r="C2234" t="str">
            <v>지리</v>
          </cell>
          <cell r="D2234">
            <v>1</v>
          </cell>
          <cell r="E2234" t="str">
            <v>자연</v>
          </cell>
          <cell r="F2234">
            <v>1</v>
          </cell>
          <cell r="G2234" t="str">
            <v>B</v>
          </cell>
          <cell r="H2234">
            <v>3</v>
          </cell>
        </row>
        <row r="2235">
          <cell r="A2235">
            <v>70413445</v>
          </cell>
          <cell r="B2235" t="str">
            <v>스란다 블루홀</v>
          </cell>
          <cell r="C2235" t="str">
            <v>지리</v>
          </cell>
          <cell r="D2235">
            <v>1</v>
          </cell>
          <cell r="E2235" t="str">
            <v>자연</v>
          </cell>
          <cell r="F2235">
            <v>1</v>
          </cell>
          <cell r="G2235" t="str">
            <v>B</v>
          </cell>
          <cell r="H2235">
            <v>3</v>
          </cell>
        </row>
        <row r="2236">
          <cell r="A2236">
            <v>70413446</v>
          </cell>
          <cell r="B2236" t="str">
            <v>룽둥 블루홀</v>
          </cell>
          <cell r="C2236" t="str">
            <v>지리</v>
          </cell>
          <cell r="D2236">
            <v>1</v>
          </cell>
          <cell r="E2236" t="str">
            <v>자연</v>
          </cell>
          <cell r="F2236">
            <v>1</v>
          </cell>
          <cell r="G2236" t="str">
            <v>D</v>
          </cell>
          <cell r="H2236">
            <v>1</v>
          </cell>
        </row>
        <row r="2237">
          <cell r="A2237">
            <v>70413447</v>
          </cell>
          <cell r="B2237" t="str">
            <v>딘즈 블루홀</v>
          </cell>
          <cell r="C2237" t="str">
            <v>지리</v>
          </cell>
          <cell r="D2237">
            <v>1</v>
          </cell>
          <cell r="E2237" t="str">
            <v>자연</v>
          </cell>
          <cell r="F2237">
            <v>1</v>
          </cell>
          <cell r="G2237" t="str">
            <v>B</v>
          </cell>
          <cell r="H2237">
            <v>3</v>
          </cell>
          <cell r="AW2237" t="str">
            <v>특정 직업 항해사 보유</v>
          </cell>
          <cell r="AY2237" t="str">
            <v>항해장</v>
          </cell>
          <cell r="BA2237">
            <v>1</v>
          </cell>
        </row>
        <row r="2238">
          <cell r="A2238">
            <v>70413448</v>
          </cell>
          <cell r="B2238" t="str">
            <v>블랙 다이아몬드 비치</v>
          </cell>
          <cell r="C2238" t="str">
            <v>지리</v>
          </cell>
          <cell r="D2238">
            <v>1</v>
          </cell>
          <cell r="E2238" t="str">
            <v>자연</v>
          </cell>
          <cell r="F2238">
            <v>1</v>
          </cell>
          <cell r="G2238" t="str">
            <v>B</v>
          </cell>
          <cell r="H2238">
            <v>3</v>
          </cell>
        </row>
        <row r="2239">
          <cell r="A2239">
            <v>70413449</v>
          </cell>
          <cell r="B2239" t="str">
            <v>터키인의 계단</v>
          </cell>
          <cell r="C2239" t="str">
            <v>지리</v>
          </cell>
          <cell r="D2239">
            <v>1</v>
          </cell>
          <cell r="E2239" t="str">
            <v>자연</v>
          </cell>
          <cell r="F2239">
            <v>1</v>
          </cell>
          <cell r="G2239" t="str">
            <v>B</v>
          </cell>
          <cell r="H2239">
            <v>3</v>
          </cell>
        </row>
        <row r="2240">
          <cell r="A2240">
            <v>70413450</v>
          </cell>
          <cell r="B2240" t="str">
            <v>용의 알 해변</v>
          </cell>
          <cell r="C2240" t="str">
            <v>지리</v>
          </cell>
          <cell r="D2240">
            <v>1</v>
          </cell>
          <cell r="E2240" t="str">
            <v>자연</v>
          </cell>
          <cell r="F2240">
            <v>1</v>
          </cell>
          <cell r="G2240" t="str">
            <v>B</v>
          </cell>
          <cell r="H2240">
            <v>3</v>
          </cell>
          <cell r="AW2240" t="str">
            <v>특정 직업 항해사 보유</v>
          </cell>
          <cell r="AY2240" t="str">
            <v>항해장</v>
          </cell>
          <cell r="BA2240">
            <v>2</v>
          </cell>
        </row>
        <row r="2241">
          <cell r="A2241">
            <v>70413451</v>
          </cell>
          <cell r="B2241" t="str">
            <v>코끼리 바위</v>
          </cell>
          <cell r="C2241" t="str">
            <v>지리</v>
          </cell>
          <cell r="D2241">
            <v>1</v>
          </cell>
          <cell r="E2241" t="str">
            <v>자연</v>
          </cell>
          <cell r="F2241">
            <v>1</v>
          </cell>
          <cell r="G2241" t="str">
            <v>D</v>
          </cell>
          <cell r="H2241">
            <v>1</v>
          </cell>
        </row>
        <row r="2242">
          <cell r="A2242">
            <v>70413452</v>
          </cell>
          <cell r="B2242" t="str">
            <v>수에즈 운하</v>
          </cell>
          <cell r="C2242" t="str">
            <v>지리</v>
          </cell>
          <cell r="D2242">
            <v>1</v>
          </cell>
          <cell r="E2242" t="str">
            <v>자연</v>
          </cell>
          <cell r="F2242">
            <v>1</v>
          </cell>
          <cell r="G2242" t="str">
            <v>C</v>
          </cell>
          <cell r="H2242">
            <v>2</v>
          </cell>
        </row>
        <row r="2243">
          <cell r="A2243">
            <v>70413453</v>
          </cell>
          <cell r="B2243" t="str">
            <v>파나마 운하</v>
          </cell>
          <cell r="C2243" t="str">
            <v>지리</v>
          </cell>
          <cell r="D2243">
            <v>1</v>
          </cell>
          <cell r="E2243" t="str">
            <v>자연</v>
          </cell>
          <cell r="F2243">
            <v>1</v>
          </cell>
          <cell r="G2243" t="str">
            <v>C</v>
          </cell>
          <cell r="H2243">
            <v>2</v>
          </cell>
        </row>
        <row r="2244">
          <cell r="A2244" t="str">
            <v>#70413454</v>
          </cell>
          <cell r="B2244" t="str">
            <v>##시에라네바다산맥</v>
          </cell>
          <cell r="C2244" t="str">
            <v>지리</v>
          </cell>
          <cell r="D2244">
            <v>1</v>
          </cell>
          <cell r="E2244" t="str">
            <v>자연</v>
          </cell>
          <cell r="F2244">
            <v>1</v>
          </cell>
          <cell r="G2244" t="str">
            <v>B</v>
          </cell>
          <cell r="H2244">
            <v>3</v>
          </cell>
        </row>
        <row r="2245">
          <cell r="A2245" t="str">
            <v>#70413455</v>
          </cell>
          <cell r="B2245" t="str">
            <v>##나미브 사막</v>
          </cell>
          <cell r="C2245" t="str">
            <v>지리</v>
          </cell>
          <cell r="D2245">
            <v>1</v>
          </cell>
          <cell r="E2245" t="str">
            <v>자연</v>
          </cell>
          <cell r="F2245">
            <v>1</v>
          </cell>
          <cell r="G2245" t="str">
            <v>A</v>
          </cell>
          <cell r="H2245">
            <v>4</v>
          </cell>
        </row>
        <row r="2246">
          <cell r="A2246">
            <v>70413456</v>
          </cell>
          <cell r="B2246" t="str">
            <v>보링 포센</v>
          </cell>
          <cell r="C2246" t="str">
            <v>지리</v>
          </cell>
          <cell r="D2246">
            <v>1</v>
          </cell>
          <cell r="E2246" t="str">
            <v>자연</v>
          </cell>
          <cell r="F2246">
            <v>1</v>
          </cell>
          <cell r="G2246" t="str">
            <v>C</v>
          </cell>
          <cell r="H2246">
            <v>2</v>
          </cell>
        </row>
        <row r="2247">
          <cell r="A2247">
            <v>70413457</v>
          </cell>
          <cell r="B2247" t="str">
            <v>리스타팔렛 폭포</v>
          </cell>
          <cell r="C2247" t="str">
            <v>지리</v>
          </cell>
          <cell r="D2247">
            <v>1</v>
          </cell>
          <cell r="E2247" t="str">
            <v>자연</v>
          </cell>
          <cell r="F2247">
            <v>1</v>
          </cell>
          <cell r="G2247" t="str">
            <v>A</v>
          </cell>
          <cell r="H2247">
            <v>4</v>
          </cell>
          <cell r="AW2247" t="str">
            <v>특정 직업 항해사 보유</v>
          </cell>
          <cell r="AY2247" t="str">
            <v>지리학자</v>
          </cell>
          <cell r="BA2247">
            <v>6</v>
          </cell>
        </row>
        <row r="2248">
          <cell r="A2248" t="str">
            <v>#70413458</v>
          </cell>
          <cell r="B2248" t="str">
            <v>##킬리만자로산</v>
          </cell>
          <cell r="C2248" t="str">
            <v>지리</v>
          </cell>
          <cell r="D2248">
            <v>1</v>
          </cell>
          <cell r="E2248" t="str">
            <v>자연</v>
          </cell>
          <cell r="F2248">
            <v>1</v>
          </cell>
          <cell r="G2248" t="str">
            <v>A</v>
          </cell>
          <cell r="H2248">
            <v>4</v>
          </cell>
        </row>
        <row r="2249">
          <cell r="A2249">
            <v>70413459</v>
          </cell>
          <cell r="B2249" t="str">
            <v>알타미라 동굴</v>
          </cell>
          <cell r="C2249" t="str">
            <v>지리</v>
          </cell>
          <cell r="D2249">
            <v>1</v>
          </cell>
          <cell r="E2249" t="str">
            <v>자연</v>
          </cell>
          <cell r="F2249">
            <v>1</v>
          </cell>
          <cell r="G2249" t="str">
            <v>C</v>
          </cell>
          <cell r="H2249">
            <v>2</v>
          </cell>
          <cell r="AW2249" t="str">
            <v>특정 직업 항해사 보유</v>
          </cell>
          <cell r="AY2249" t="str">
            <v>고고학자</v>
          </cell>
          <cell r="BA2249">
            <v>1</v>
          </cell>
        </row>
        <row r="2250">
          <cell r="A2250" t="str">
            <v>#70413460</v>
          </cell>
          <cell r="B2250" t="str">
            <v>##포구산</v>
          </cell>
          <cell r="C2250" t="str">
            <v>지리</v>
          </cell>
          <cell r="D2250">
            <v>1</v>
          </cell>
          <cell r="E2250" t="str">
            <v>자연</v>
          </cell>
          <cell r="F2250">
            <v>1</v>
          </cell>
          <cell r="G2250" t="str">
            <v>B</v>
          </cell>
          <cell r="H2250">
            <v>3</v>
          </cell>
        </row>
        <row r="2251">
          <cell r="A2251" t="str">
            <v>#70413461</v>
          </cell>
          <cell r="B2251" t="str">
            <v>##아덴만</v>
          </cell>
          <cell r="C2251" t="str">
            <v>지리</v>
          </cell>
          <cell r="D2251">
            <v>1</v>
          </cell>
          <cell r="E2251" t="str">
            <v>자연</v>
          </cell>
          <cell r="F2251">
            <v>1</v>
          </cell>
          <cell r="G2251" t="str">
            <v>B</v>
          </cell>
          <cell r="H2251">
            <v>3</v>
          </cell>
        </row>
        <row r="2252">
          <cell r="A2252" t="str">
            <v>#70413462</v>
          </cell>
          <cell r="B2252" t="str">
            <v>##혼 곶</v>
          </cell>
          <cell r="C2252" t="str">
            <v>지리</v>
          </cell>
          <cell r="D2252">
            <v>1</v>
          </cell>
          <cell r="E2252" t="str">
            <v>자연</v>
          </cell>
          <cell r="F2252">
            <v>1</v>
          </cell>
          <cell r="G2252" t="str">
            <v>B</v>
          </cell>
          <cell r="H2252">
            <v>3</v>
          </cell>
        </row>
        <row r="2253">
          <cell r="A2253" t="str">
            <v>#70413463</v>
          </cell>
          <cell r="B2253" t="str">
            <v>##길빙크만</v>
          </cell>
          <cell r="C2253" t="str">
            <v>지리</v>
          </cell>
          <cell r="D2253">
            <v>1</v>
          </cell>
          <cell r="E2253" t="str">
            <v>자연</v>
          </cell>
          <cell r="F2253">
            <v>1</v>
          </cell>
          <cell r="G2253" t="str">
            <v>C</v>
          </cell>
          <cell r="H2253">
            <v>2</v>
          </cell>
        </row>
        <row r="2254">
          <cell r="A2254" t="str">
            <v>#70413464</v>
          </cell>
          <cell r="B2254" t="str">
            <v>##플리겔리 곶</v>
          </cell>
          <cell r="C2254" t="str">
            <v>지리</v>
          </cell>
          <cell r="D2254">
            <v>1</v>
          </cell>
          <cell r="E2254" t="str">
            <v>자연</v>
          </cell>
          <cell r="F2254">
            <v>1</v>
          </cell>
          <cell r="G2254" t="str">
            <v>B</v>
          </cell>
          <cell r="H2254">
            <v>3</v>
          </cell>
        </row>
        <row r="2255">
          <cell r="A2255" t="str">
            <v>#70413465</v>
          </cell>
          <cell r="B2255" t="str">
            <v>##오비만</v>
          </cell>
          <cell r="C2255" t="str">
            <v>지리</v>
          </cell>
          <cell r="D2255">
            <v>1</v>
          </cell>
          <cell r="E2255" t="str">
            <v>자연</v>
          </cell>
          <cell r="F2255">
            <v>1</v>
          </cell>
          <cell r="G2255" t="str">
            <v>B</v>
          </cell>
          <cell r="H2255">
            <v>3</v>
          </cell>
        </row>
        <row r="2256">
          <cell r="A2256" t="str">
            <v>#70413466</v>
          </cell>
          <cell r="B2256" t="str">
            <v>##허드슨만</v>
          </cell>
          <cell r="C2256" t="str">
            <v>지리</v>
          </cell>
          <cell r="D2256">
            <v>1</v>
          </cell>
          <cell r="E2256" t="str">
            <v>자연</v>
          </cell>
          <cell r="F2256">
            <v>1</v>
          </cell>
          <cell r="G2256" t="str">
            <v>C</v>
          </cell>
          <cell r="H2256">
            <v>2</v>
          </cell>
        </row>
        <row r="2257">
          <cell r="A2257">
            <v>70413467</v>
          </cell>
          <cell r="B2257" t="str">
            <v>갠지스 삼각주</v>
          </cell>
          <cell r="C2257" t="str">
            <v>지리</v>
          </cell>
          <cell r="D2257">
            <v>1</v>
          </cell>
          <cell r="E2257" t="str">
            <v>자연</v>
          </cell>
          <cell r="F2257">
            <v>1</v>
          </cell>
          <cell r="G2257" t="str">
            <v>C</v>
          </cell>
          <cell r="H2257">
            <v>2</v>
          </cell>
          <cell r="AW2257" t="str">
            <v>특정 직업 항해사 보유</v>
          </cell>
          <cell r="AY2257" t="str">
            <v>지리학자</v>
          </cell>
          <cell r="BA2257">
            <v>2</v>
          </cell>
        </row>
        <row r="2258">
          <cell r="A2258">
            <v>70413468</v>
          </cell>
          <cell r="B2258" t="str">
            <v>나일강 삼각주</v>
          </cell>
          <cell r="C2258" t="str">
            <v>지리</v>
          </cell>
          <cell r="D2258">
            <v>1</v>
          </cell>
          <cell r="E2258" t="str">
            <v>자연</v>
          </cell>
          <cell r="F2258">
            <v>1</v>
          </cell>
          <cell r="G2258" t="str">
            <v>C</v>
          </cell>
          <cell r="H2258">
            <v>2</v>
          </cell>
        </row>
        <row r="2259">
          <cell r="A2259">
            <v>70413469</v>
          </cell>
          <cell r="B2259" t="str">
            <v>나이저강 삼각주</v>
          </cell>
          <cell r="C2259" t="str">
            <v>지리</v>
          </cell>
          <cell r="D2259">
            <v>1</v>
          </cell>
          <cell r="E2259" t="str">
            <v>자연</v>
          </cell>
          <cell r="F2259">
            <v>1</v>
          </cell>
          <cell r="G2259" t="str">
            <v>C</v>
          </cell>
          <cell r="H2259">
            <v>2</v>
          </cell>
        </row>
        <row r="2260">
          <cell r="A2260">
            <v>70413470</v>
          </cell>
          <cell r="B2260" t="str">
            <v>아마존강 삼각주</v>
          </cell>
          <cell r="C2260" t="str">
            <v>지리</v>
          </cell>
          <cell r="D2260">
            <v>1</v>
          </cell>
          <cell r="E2260" t="str">
            <v>자연</v>
          </cell>
          <cell r="F2260">
            <v>1</v>
          </cell>
          <cell r="G2260" t="str">
            <v>C</v>
          </cell>
          <cell r="H2260">
            <v>2</v>
          </cell>
          <cell r="AW2260" t="str">
            <v>특정 직업 항해사 보유</v>
          </cell>
          <cell r="AY2260" t="str">
            <v>지리학자</v>
          </cell>
          <cell r="BA2260">
            <v>2</v>
          </cell>
        </row>
        <row r="2261">
          <cell r="A2261">
            <v>70413471</v>
          </cell>
          <cell r="B2261" t="str">
            <v>미시시피강 삼각주</v>
          </cell>
          <cell r="C2261" t="str">
            <v>지리</v>
          </cell>
          <cell r="D2261">
            <v>1</v>
          </cell>
          <cell r="E2261" t="str">
            <v>자연</v>
          </cell>
          <cell r="F2261">
            <v>1</v>
          </cell>
          <cell r="G2261" t="str">
            <v>C</v>
          </cell>
          <cell r="H2261">
            <v>2</v>
          </cell>
          <cell r="AW2261" t="str">
            <v>특정 직업 항해사 보유</v>
          </cell>
          <cell r="AY2261" t="str">
            <v>지리학자</v>
          </cell>
          <cell r="BA2261">
            <v>2</v>
          </cell>
        </row>
        <row r="2262">
          <cell r="A2262">
            <v>70413472</v>
          </cell>
          <cell r="B2262" t="str">
            <v>황허 삼각주</v>
          </cell>
          <cell r="C2262" t="str">
            <v>지리</v>
          </cell>
          <cell r="D2262">
            <v>1</v>
          </cell>
          <cell r="E2262" t="str">
            <v>자연</v>
          </cell>
          <cell r="F2262">
            <v>1</v>
          </cell>
          <cell r="G2262" t="str">
            <v>C</v>
          </cell>
          <cell r="H2262">
            <v>2</v>
          </cell>
          <cell r="AW2262" t="str">
            <v>특정 직업 항해사 보유</v>
          </cell>
          <cell r="AY2262" t="str">
            <v>지리학자</v>
          </cell>
          <cell r="BA2262">
            <v>2</v>
          </cell>
        </row>
        <row r="2263">
          <cell r="A2263">
            <v>70413473</v>
          </cell>
          <cell r="B2263" t="str">
            <v>에러버스 산</v>
          </cell>
          <cell r="C2263" t="str">
            <v>지리</v>
          </cell>
          <cell r="D2263">
            <v>1</v>
          </cell>
          <cell r="E2263" t="str">
            <v>자연</v>
          </cell>
          <cell r="F2263">
            <v>1</v>
          </cell>
          <cell r="G2263" t="str">
            <v>S</v>
          </cell>
          <cell r="H2263">
            <v>5</v>
          </cell>
          <cell r="AW2263" t="str">
            <v>특정 직업 항해사 보유</v>
          </cell>
          <cell r="AY2263" t="str">
            <v>탐험가</v>
          </cell>
          <cell r="BA2263">
            <v>5</v>
          </cell>
        </row>
        <row r="2264">
          <cell r="A2264">
            <v>70413474</v>
          </cell>
          <cell r="B2264" t="str">
            <v>테러 산</v>
          </cell>
          <cell r="C2264" t="str">
            <v>지리</v>
          </cell>
          <cell r="D2264">
            <v>1</v>
          </cell>
          <cell r="E2264" t="str">
            <v>자연</v>
          </cell>
          <cell r="F2264">
            <v>1</v>
          </cell>
          <cell r="G2264" t="str">
            <v>B</v>
          </cell>
          <cell r="H2264">
            <v>3</v>
          </cell>
        </row>
        <row r="2265">
          <cell r="A2265">
            <v>70413475</v>
          </cell>
          <cell r="B2265" t="str">
            <v>버드 산</v>
          </cell>
          <cell r="C2265" t="str">
            <v>지리</v>
          </cell>
          <cell r="D2265">
            <v>1</v>
          </cell>
          <cell r="E2265" t="str">
            <v>자연</v>
          </cell>
          <cell r="F2265">
            <v>1</v>
          </cell>
          <cell r="G2265" t="str">
            <v>A</v>
          </cell>
          <cell r="H2265">
            <v>4</v>
          </cell>
        </row>
        <row r="2266">
          <cell r="A2266">
            <v>70413476</v>
          </cell>
          <cell r="B2266" t="str">
            <v>빈슨 산괴</v>
          </cell>
          <cell r="C2266" t="str">
            <v>지리</v>
          </cell>
          <cell r="D2266">
            <v>1</v>
          </cell>
          <cell r="E2266" t="str">
            <v>자연</v>
          </cell>
          <cell r="F2266">
            <v>1</v>
          </cell>
          <cell r="G2266" t="str">
            <v>B</v>
          </cell>
          <cell r="H2266">
            <v>3</v>
          </cell>
        </row>
        <row r="2267">
          <cell r="A2267">
            <v>70413477</v>
          </cell>
          <cell r="B2267" t="str">
            <v>멜버른 산</v>
          </cell>
          <cell r="C2267" t="str">
            <v>지리</v>
          </cell>
          <cell r="D2267">
            <v>1</v>
          </cell>
          <cell r="E2267" t="str">
            <v>자연</v>
          </cell>
          <cell r="F2267">
            <v>1</v>
          </cell>
          <cell r="G2267" t="str">
            <v>B</v>
          </cell>
          <cell r="H2267">
            <v>3</v>
          </cell>
        </row>
        <row r="2268">
          <cell r="A2268">
            <v>70413478</v>
          </cell>
          <cell r="B2268" t="str">
            <v>시들리 산</v>
          </cell>
          <cell r="C2268" t="str">
            <v>지리</v>
          </cell>
          <cell r="D2268">
            <v>1</v>
          </cell>
          <cell r="E2268" t="str">
            <v>자연</v>
          </cell>
          <cell r="F2268">
            <v>1</v>
          </cell>
          <cell r="G2268" t="str">
            <v>A</v>
          </cell>
          <cell r="H2268">
            <v>4</v>
          </cell>
          <cell r="AW2268" t="str">
            <v>무조건 실패</v>
          </cell>
          <cell r="BA2268">
            <v>1</v>
          </cell>
        </row>
        <row r="2269">
          <cell r="A2269">
            <v>70413479</v>
          </cell>
          <cell r="B2269" t="str">
            <v>맥머도 만</v>
          </cell>
          <cell r="C2269" t="str">
            <v>지리</v>
          </cell>
          <cell r="D2269">
            <v>1</v>
          </cell>
          <cell r="E2269" t="str">
            <v>자연</v>
          </cell>
          <cell r="F2269">
            <v>1</v>
          </cell>
          <cell r="G2269" t="str">
            <v>B</v>
          </cell>
          <cell r="H2269">
            <v>3</v>
          </cell>
        </row>
        <row r="2270">
          <cell r="A2270">
            <v>70413480</v>
          </cell>
          <cell r="B2270" t="str">
            <v>마거리트 만</v>
          </cell>
          <cell r="C2270" t="str">
            <v>지리</v>
          </cell>
          <cell r="D2270">
            <v>1</v>
          </cell>
          <cell r="E2270" t="str">
            <v>자연</v>
          </cell>
          <cell r="F2270">
            <v>1</v>
          </cell>
          <cell r="G2270" t="str">
            <v>C</v>
          </cell>
          <cell r="H2270">
            <v>2</v>
          </cell>
        </row>
        <row r="2271">
          <cell r="A2271">
            <v>70413481</v>
          </cell>
          <cell r="B2271" t="str">
            <v>고래 만</v>
          </cell>
          <cell r="C2271" t="str">
            <v>지리</v>
          </cell>
          <cell r="D2271">
            <v>1</v>
          </cell>
          <cell r="E2271" t="str">
            <v>자연</v>
          </cell>
          <cell r="F2271">
            <v>1</v>
          </cell>
          <cell r="G2271" t="str">
            <v>B</v>
          </cell>
          <cell r="H2271">
            <v>3</v>
          </cell>
        </row>
        <row r="2272">
          <cell r="A2272">
            <v>70413482</v>
          </cell>
          <cell r="B2272" t="str">
            <v>신비한 장벽</v>
          </cell>
          <cell r="C2272" t="str">
            <v>지리</v>
          </cell>
          <cell r="D2272">
            <v>1</v>
          </cell>
          <cell r="E2272" t="str">
            <v>자연</v>
          </cell>
          <cell r="F2272">
            <v>1</v>
          </cell>
          <cell r="G2272" t="str">
            <v>S</v>
          </cell>
          <cell r="H2272">
            <v>5</v>
          </cell>
          <cell r="AW2272" t="str">
            <v>무조건 실패</v>
          </cell>
          <cell r="BA2272">
            <v>1</v>
          </cell>
        </row>
        <row r="2273">
          <cell r="A2273">
            <v>70413483</v>
          </cell>
          <cell r="B2273" t="str">
            <v>블러드 폭포</v>
          </cell>
          <cell r="C2273" t="str">
            <v>지리</v>
          </cell>
          <cell r="D2273">
            <v>1</v>
          </cell>
          <cell r="E2273" t="str">
            <v>자연</v>
          </cell>
          <cell r="F2273">
            <v>1</v>
          </cell>
          <cell r="G2273" t="str">
            <v>A</v>
          </cell>
          <cell r="H2273">
            <v>4</v>
          </cell>
          <cell r="AW2273" t="str">
            <v>특정 직업 항해사 보유</v>
          </cell>
          <cell r="AY2273" t="str">
            <v>지리학자</v>
          </cell>
          <cell r="BA2273">
            <v>9</v>
          </cell>
        </row>
        <row r="2274">
          <cell r="A2274">
            <v>70413484</v>
          </cell>
          <cell r="B2274" t="str">
            <v>녹색 빙산</v>
          </cell>
          <cell r="C2274" t="str">
            <v>지리</v>
          </cell>
          <cell r="D2274">
            <v>1</v>
          </cell>
          <cell r="E2274" t="str">
            <v>자연</v>
          </cell>
          <cell r="F2274">
            <v>1</v>
          </cell>
          <cell r="G2274" t="str">
            <v>B</v>
          </cell>
          <cell r="H2274">
            <v>3</v>
          </cell>
        </row>
        <row r="2275">
          <cell r="A2275">
            <v>70413485</v>
          </cell>
          <cell r="B2275" t="str">
            <v>킹 조지섬</v>
          </cell>
          <cell r="C2275" t="str">
            <v>지리</v>
          </cell>
          <cell r="D2275">
            <v>1</v>
          </cell>
          <cell r="E2275" t="str">
            <v>자연</v>
          </cell>
          <cell r="F2275">
            <v>1</v>
          </cell>
          <cell r="G2275" t="str">
            <v>A</v>
          </cell>
          <cell r="H2275">
            <v>4</v>
          </cell>
        </row>
        <row r="2276">
          <cell r="A2276">
            <v>70413486</v>
          </cell>
          <cell r="B2276" t="str">
            <v>페테르 1세 섬</v>
          </cell>
          <cell r="C2276" t="str">
            <v>지리</v>
          </cell>
          <cell r="D2276">
            <v>1</v>
          </cell>
          <cell r="E2276" t="str">
            <v>자연</v>
          </cell>
          <cell r="F2276">
            <v>1</v>
          </cell>
          <cell r="G2276" t="str">
            <v>B</v>
          </cell>
          <cell r="H2276">
            <v>3</v>
          </cell>
        </row>
        <row r="2277">
          <cell r="A2277">
            <v>70413487</v>
          </cell>
          <cell r="B2277" t="str">
            <v>사우스셰틀랜드 제도</v>
          </cell>
          <cell r="C2277" t="str">
            <v>지리</v>
          </cell>
          <cell r="D2277">
            <v>1</v>
          </cell>
          <cell r="E2277" t="str">
            <v>자연</v>
          </cell>
          <cell r="F2277">
            <v>1</v>
          </cell>
          <cell r="G2277" t="str">
            <v>B</v>
          </cell>
          <cell r="H2277">
            <v>3</v>
          </cell>
        </row>
        <row r="2278">
          <cell r="A2278">
            <v>70413488</v>
          </cell>
          <cell r="B2278" t="str">
            <v>로스 섬</v>
          </cell>
          <cell r="C2278" t="str">
            <v>지리</v>
          </cell>
          <cell r="D2278">
            <v>1</v>
          </cell>
          <cell r="E2278" t="str">
            <v>자연</v>
          </cell>
          <cell r="F2278">
            <v>1</v>
          </cell>
          <cell r="G2278" t="str">
            <v>A</v>
          </cell>
          <cell r="H2278">
            <v>4</v>
          </cell>
        </row>
        <row r="2279">
          <cell r="A2279">
            <v>70413489</v>
          </cell>
          <cell r="B2279" t="str">
            <v>알렉산더 섬</v>
          </cell>
          <cell r="C2279" t="str">
            <v>지리</v>
          </cell>
          <cell r="D2279">
            <v>1</v>
          </cell>
          <cell r="E2279" t="str">
            <v>자연</v>
          </cell>
          <cell r="F2279">
            <v>1</v>
          </cell>
          <cell r="G2279" t="str">
            <v>B</v>
          </cell>
          <cell r="H2279">
            <v>3</v>
          </cell>
        </row>
        <row r="2280">
          <cell r="A2280">
            <v>70413490</v>
          </cell>
          <cell r="B2280" t="str">
            <v>디셉션섬</v>
          </cell>
          <cell r="C2280" t="str">
            <v>지리</v>
          </cell>
          <cell r="D2280">
            <v>1</v>
          </cell>
          <cell r="E2280" t="str">
            <v>자연</v>
          </cell>
          <cell r="F2280">
            <v>1</v>
          </cell>
          <cell r="G2280" t="str">
            <v>A</v>
          </cell>
          <cell r="H2280">
            <v>4</v>
          </cell>
        </row>
        <row r="2281">
          <cell r="A2281">
            <v>70413491</v>
          </cell>
          <cell r="B2281" t="str">
            <v>버크너섬</v>
          </cell>
          <cell r="C2281" t="str">
            <v>지리</v>
          </cell>
          <cell r="D2281">
            <v>1</v>
          </cell>
          <cell r="E2281" t="str">
            <v>자연</v>
          </cell>
          <cell r="F2281">
            <v>1</v>
          </cell>
          <cell r="G2281" t="str">
            <v>B</v>
          </cell>
          <cell r="H2281">
            <v>3</v>
          </cell>
        </row>
        <row r="2282">
          <cell r="A2282">
            <v>70413492</v>
          </cell>
          <cell r="B2282" t="str">
            <v>베어섬</v>
          </cell>
          <cell r="C2282" t="str">
            <v>지리</v>
          </cell>
          <cell r="D2282">
            <v>1</v>
          </cell>
          <cell r="E2282" t="str">
            <v>자연</v>
          </cell>
          <cell r="F2282">
            <v>1</v>
          </cell>
          <cell r="G2282" t="str">
            <v>B</v>
          </cell>
          <cell r="H2282">
            <v>3</v>
          </cell>
        </row>
        <row r="2283">
          <cell r="A2283">
            <v>70413493</v>
          </cell>
          <cell r="B2283" t="str">
            <v>부스섬</v>
          </cell>
          <cell r="C2283" t="str">
            <v>지리</v>
          </cell>
          <cell r="D2283">
            <v>1</v>
          </cell>
          <cell r="E2283" t="str">
            <v>자연</v>
          </cell>
          <cell r="F2283">
            <v>1</v>
          </cell>
          <cell r="G2283" t="str">
            <v>A</v>
          </cell>
          <cell r="H2283">
            <v>4</v>
          </cell>
        </row>
        <row r="2284">
          <cell r="A2284">
            <v>70413494</v>
          </cell>
          <cell r="B2284" t="str">
            <v>스콧섬</v>
          </cell>
          <cell r="C2284" t="str">
            <v>지리</v>
          </cell>
          <cell r="D2284">
            <v>1</v>
          </cell>
          <cell r="E2284" t="str">
            <v>자연</v>
          </cell>
          <cell r="F2284">
            <v>1</v>
          </cell>
          <cell r="G2284" t="str">
            <v>B</v>
          </cell>
          <cell r="H2284">
            <v>3</v>
          </cell>
        </row>
        <row r="2285">
          <cell r="A2285">
            <v>70413495</v>
          </cell>
          <cell r="B2285" t="str">
            <v>스토닝턴섬</v>
          </cell>
          <cell r="C2285" t="str">
            <v>지리</v>
          </cell>
          <cell r="D2285">
            <v>1</v>
          </cell>
          <cell r="E2285" t="str">
            <v>자연</v>
          </cell>
          <cell r="F2285">
            <v>1</v>
          </cell>
          <cell r="G2285" t="str">
            <v>A</v>
          </cell>
          <cell r="H2285">
            <v>4</v>
          </cell>
        </row>
        <row r="2286">
          <cell r="A2286">
            <v>70413496</v>
          </cell>
          <cell r="B2286" t="str">
            <v>시모어섬</v>
          </cell>
          <cell r="C2286" t="str">
            <v>지리</v>
          </cell>
          <cell r="D2286">
            <v>1</v>
          </cell>
          <cell r="E2286" t="str">
            <v>자연</v>
          </cell>
          <cell r="F2286">
            <v>1</v>
          </cell>
          <cell r="G2286" t="str">
            <v>B</v>
          </cell>
          <cell r="H2286">
            <v>3</v>
          </cell>
        </row>
        <row r="2287">
          <cell r="A2287">
            <v>70413497</v>
          </cell>
          <cell r="B2287" t="str">
            <v>애들레이드섬</v>
          </cell>
          <cell r="C2287" t="str">
            <v>지리</v>
          </cell>
          <cell r="D2287">
            <v>1</v>
          </cell>
          <cell r="E2287" t="str">
            <v>자연</v>
          </cell>
          <cell r="F2287">
            <v>1</v>
          </cell>
          <cell r="G2287" t="str">
            <v>A</v>
          </cell>
          <cell r="H2287">
            <v>4</v>
          </cell>
        </row>
        <row r="2288">
          <cell r="A2288">
            <v>70413498</v>
          </cell>
          <cell r="B2288" t="str">
            <v>페터만섬</v>
          </cell>
          <cell r="C2288" t="str">
            <v>지리</v>
          </cell>
          <cell r="D2288">
            <v>1</v>
          </cell>
          <cell r="E2288" t="str">
            <v>자연</v>
          </cell>
          <cell r="F2288">
            <v>1</v>
          </cell>
          <cell r="G2288" t="str">
            <v>B</v>
          </cell>
          <cell r="H2288">
            <v>3</v>
          </cell>
        </row>
        <row r="2289">
          <cell r="A2289">
            <v>70413499</v>
          </cell>
          <cell r="B2289" t="str">
            <v>폴렛섬</v>
          </cell>
          <cell r="C2289" t="str">
            <v>지리</v>
          </cell>
          <cell r="D2289">
            <v>1</v>
          </cell>
          <cell r="E2289" t="str">
            <v>자연</v>
          </cell>
          <cell r="F2289">
            <v>1</v>
          </cell>
          <cell r="G2289" t="str">
            <v>B</v>
          </cell>
          <cell r="H2289">
            <v>3</v>
          </cell>
        </row>
        <row r="2290">
          <cell r="A2290">
            <v>70413500</v>
          </cell>
          <cell r="B2290" t="str">
            <v>라르센 빙붕</v>
          </cell>
          <cell r="C2290" t="str">
            <v>지리</v>
          </cell>
          <cell r="D2290">
            <v>1</v>
          </cell>
          <cell r="E2290" t="str">
            <v>자연</v>
          </cell>
          <cell r="F2290">
            <v>1</v>
          </cell>
          <cell r="G2290" t="str">
            <v>A</v>
          </cell>
          <cell r="H2290">
            <v>4</v>
          </cell>
          <cell r="AW2290" t="str">
            <v>무조건 실패</v>
          </cell>
          <cell r="BA2290">
            <v>1</v>
          </cell>
        </row>
        <row r="2291">
          <cell r="A2291">
            <v>70413501</v>
          </cell>
          <cell r="B2291" t="str">
            <v>섀클턴 빙붕</v>
          </cell>
          <cell r="C2291" t="str">
            <v>지리</v>
          </cell>
          <cell r="D2291">
            <v>1</v>
          </cell>
          <cell r="E2291" t="str">
            <v>자연</v>
          </cell>
          <cell r="F2291">
            <v>1</v>
          </cell>
          <cell r="G2291" t="str">
            <v>A</v>
          </cell>
          <cell r="H2291">
            <v>4</v>
          </cell>
          <cell r="AW2291" t="str">
            <v>무조건 실패</v>
          </cell>
          <cell r="BA2291">
            <v>1</v>
          </cell>
        </row>
        <row r="2292">
          <cell r="A2292">
            <v>70413502</v>
          </cell>
          <cell r="B2292" t="str">
            <v>나미브 모래바다</v>
          </cell>
          <cell r="C2292" t="str">
            <v>지리</v>
          </cell>
          <cell r="D2292">
            <v>1</v>
          </cell>
          <cell r="E2292" t="str">
            <v>자연</v>
          </cell>
          <cell r="F2292">
            <v>1</v>
          </cell>
          <cell r="G2292" t="str">
            <v>A</v>
          </cell>
          <cell r="H2292">
            <v>4</v>
          </cell>
          <cell r="AW2292" t="str">
            <v>특정 직업 항해사 보유</v>
          </cell>
          <cell r="AY2292" t="str">
            <v>지리학자</v>
          </cell>
          <cell r="BA2292">
            <v>6</v>
          </cell>
        </row>
        <row r="2293">
          <cell r="A2293">
            <v>70413503</v>
          </cell>
          <cell r="B2293" t="str">
            <v>피코 카오 그란데</v>
          </cell>
          <cell r="C2293" t="str">
            <v>지리</v>
          </cell>
          <cell r="D2293">
            <v>1</v>
          </cell>
          <cell r="E2293" t="str">
            <v>자연</v>
          </cell>
          <cell r="F2293">
            <v>1</v>
          </cell>
          <cell r="G2293" t="str">
            <v>C</v>
          </cell>
          <cell r="H2293">
            <v>2</v>
          </cell>
        </row>
        <row r="2294">
          <cell r="A2294">
            <v>70413504</v>
          </cell>
          <cell r="B2294" t="str">
            <v>베마라하 칭기</v>
          </cell>
          <cell r="C2294" t="str">
            <v>지리</v>
          </cell>
          <cell r="D2294">
            <v>1</v>
          </cell>
          <cell r="E2294" t="str">
            <v>자연</v>
          </cell>
          <cell r="F2294">
            <v>1</v>
          </cell>
          <cell r="G2294" t="str">
            <v>B</v>
          </cell>
          <cell r="H2294">
            <v>3</v>
          </cell>
        </row>
        <row r="2295">
          <cell r="A2295">
            <v>70413505</v>
          </cell>
          <cell r="B2295" t="str">
            <v>파묵칼레</v>
          </cell>
          <cell r="C2295" t="str">
            <v>지리</v>
          </cell>
          <cell r="D2295">
            <v>1</v>
          </cell>
          <cell r="E2295" t="str">
            <v>자연</v>
          </cell>
          <cell r="F2295">
            <v>1</v>
          </cell>
          <cell r="G2295" t="str">
            <v>S</v>
          </cell>
          <cell r="H2295">
            <v>5</v>
          </cell>
          <cell r="AW2295" t="str">
            <v>특정 직업 항해사 보유</v>
          </cell>
          <cell r="AY2295" t="str">
            <v>지리학자</v>
          </cell>
          <cell r="BA2295">
            <v>8</v>
          </cell>
        </row>
        <row r="2296">
          <cell r="A2296">
            <v>70413506</v>
          </cell>
          <cell r="B2296" t="str">
            <v>댈롤 화산</v>
          </cell>
          <cell r="C2296" t="str">
            <v>지리</v>
          </cell>
          <cell r="D2296">
            <v>1</v>
          </cell>
          <cell r="E2296" t="str">
            <v>자연</v>
          </cell>
          <cell r="F2296">
            <v>1</v>
          </cell>
          <cell r="G2296" t="str">
            <v>A</v>
          </cell>
          <cell r="H2296">
            <v>4</v>
          </cell>
          <cell r="AW2296" t="str">
            <v>특정 직업 항해사 보유</v>
          </cell>
          <cell r="AY2296" t="str">
            <v>지리학자</v>
          </cell>
          <cell r="BA2296">
            <v>6</v>
          </cell>
        </row>
        <row r="2297">
          <cell r="A2297">
            <v>70413507</v>
          </cell>
          <cell r="B2297" t="str">
            <v>지브롤터 암벽</v>
          </cell>
          <cell r="C2297" t="str">
            <v>지리</v>
          </cell>
          <cell r="D2297">
            <v>1</v>
          </cell>
          <cell r="E2297" t="str">
            <v>자연</v>
          </cell>
          <cell r="F2297">
            <v>1</v>
          </cell>
          <cell r="G2297" t="str">
            <v>C</v>
          </cell>
          <cell r="H2297">
            <v>2</v>
          </cell>
        </row>
        <row r="2298">
          <cell r="A2298">
            <v>70413508</v>
          </cell>
          <cell r="B2298" t="str">
            <v>주마 바위</v>
          </cell>
          <cell r="C2298" t="str">
            <v>지리</v>
          </cell>
          <cell r="D2298">
            <v>1</v>
          </cell>
          <cell r="E2298" t="str">
            <v>자연</v>
          </cell>
          <cell r="F2298">
            <v>1</v>
          </cell>
          <cell r="G2298" t="str">
            <v>B</v>
          </cell>
          <cell r="H2298">
            <v>3</v>
          </cell>
        </row>
        <row r="2299">
          <cell r="A2299">
            <v>70413509</v>
          </cell>
          <cell r="B2299" t="str">
            <v>보요마 폭포</v>
          </cell>
          <cell r="C2299" t="str">
            <v>지리</v>
          </cell>
          <cell r="D2299">
            <v>1</v>
          </cell>
          <cell r="E2299" t="str">
            <v>자연</v>
          </cell>
          <cell r="F2299">
            <v>1</v>
          </cell>
          <cell r="G2299" t="str">
            <v>A</v>
          </cell>
          <cell r="H2299">
            <v>4</v>
          </cell>
          <cell r="AW2299" t="str">
            <v>특정 직업 항해사 보유</v>
          </cell>
          <cell r="AY2299" t="str">
            <v>지리학자</v>
          </cell>
          <cell r="BA2299">
            <v>6</v>
          </cell>
        </row>
        <row r="2300">
          <cell r="A2300">
            <v>70413510</v>
          </cell>
          <cell r="B2300" t="str">
            <v>테이블 산</v>
          </cell>
          <cell r="C2300" t="str">
            <v>지리</v>
          </cell>
          <cell r="D2300">
            <v>1</v>
          </cell>
          <cell r="E2300" t="str">
            <v>자연</v>
          </cell>
          <cell r="F2300">
            <v>1</v>
          </cell>
          <cell r="G2300" t="str">
            <v>B</v>
          </cell>
          <cell r="H2300">
            <v>3</v>
          </cell>
        </row>
        <row r="2301">
          <cell r="A2301">
            <v>70414000</v>
          </cell>
          <cell r="B2301" t="str">
            <v>갈릴레이 위성</v>
          </cell>
          <cell r="C2301" t="str">
            <v>천문</v>
          </cell>
          <cell r="D2301">
            <v>2</v>
          </cell>
          <cell r="E2301" t="str">
            <v>자연</v>
          </cell>
          <cell r="F2301">
            <v>1</v>
          </cell>
          <cell r="G2301" t="str">
            <v>A</v>
          </cell>
          <cell r="H2301">
            <v>4</v>
          </cell>
        </row>
        <row r="2302">
          <cell r="A2302">
            <v>70414001</v>
          </cell>
          <cell r="B2302" t="str">
            <v>거문고자리</v>
          </cell>
          <cell r="C2302" t="str">
            <v>천문</v>
          </cell>
          <cell r="D2302">
            <v>2</v>
          </cell>
          <cell r="E2302" t="str">
            <v>자연</v>
          </cell>
          <cell r="F2302">
            <v>1</v>
          </cell>
          <cell r="G2302" t="str">
            <v>D</v>
          </cell>
          <cell r="H2302">
            <v>1</v>
          </cell>
          <cell r="AW2302" t="str">
            <v/>
          </cell>
          <cell r="BA2302" t="str">
            <v>-</v>
          </cell>
        </row>
        <row r="2303">
          <cell r="A2303">
            <v>70414002</v>
          </cell>
          <cell r="B2303" t="str">
            <v>거문고자리 유성군</v>
          </cell>
          <cell r="C2303" t="str">
            <v>천문</v>
          </cell>
          <cell r="D2303">
            <v>2</v>
          </cell>
          <cell r="E2303" t="str">
            <v>자연</v>
          </cell>
          <cell r="F2303">
            <v>1</v>
          </cell>
          <cell r="G2303" t="str">
            <v>A</v>
          </cell>
          <cell r="H2303">
            <v>4</v>
          </cell>
        </row>
        <row r="2304">
          <cell r="A2304">
            <v>70414003</v>
          </cell>
          <cell r="B2304" t="str">
            <v>게자리</v>
          </cell>
          <cell r="C2304" t="str">
            <v>천문</v>
          </cell>
          <cell r="D2304">
            <v>2</v>
          </cell>
          <cell r="E2304" t="str">
            <v>자연</v>
          </cell>
          <cell r="F2304">
            <v>1</v>
          </cell>
          <cell r="G2304" t="str">
            <v>D</v>
          </cell>
          <cell r="H2304">
            <v>1</v>
          </cell>
          <cell r="AW2304" t="str">
            <v/>
          </cell>
          <cell r="BA2304" t="str">
            <v>-</v>
          </cell>
        </row>
        <row r="2305">
          <cell r="A2305">
            <v>70414004</v>
          </cell>
          <cell r="B2305" t="str">
            <v>겨울의 다이아몬드</v>
          </cell>
          <cell r="C2305" t="str">
            <v>천문</v>
          </cell>
          <cell r="D2305">
            <v>2</v>
          </cell>
          <cell r="E2305" t="str">
            <v>자연</v>
          </cell>
          <cell r="F2305">
            <v>1</v>
          </cell>
          <cell r="G2305" t="str">
            <v>S</v>
          </cell>
          <cell r="H2305">
            <v>5</v>
          </cell>
        </row>
        <row r="2306">
          <cell r="A2306">
            <v>70414005</v>
          </cell>
          <cell r="B2306" t="str">
            <v>겨울의 대삼각형</v>
          </cell>
          <cell r="C2306" t="str">
            <v>천문</v>
          </cell>
          <cell r="D2306">
            <v>2</v>
          </cell>
          <cell r="E2306" t="str">
            <v>자연</v>
          </cell>
          <cell r="F2306">
            <v>1</v>
          </cell>
          <cell r="G2306" t="str">
            <v>A</v>
          </cell>
          <cell r="H2306">
            <v>4</v>
          </cell>
        </row>
        <row r="2307">
          <cell r="A2307">
            <v>70414006</v>
          </cell>
          <cell r="B2307" t="str">
            <v>고래자리</v>
          </cell>
          <cell r="C2307" t="str">
            <v>천문</v>
          </cell>
          <cell r="D2307">
            <v>2</v>
          </cell>
          <cell r="E2307" t="str">
            <v>자연</v>
          </cell>
          <cell r="F2307">
            <v>1</v>
          </cell>
          <cell r="G2307" t="str">
            <v>A</v>
          </cell>
          <cell r="H2307">
            <v>4</v>
          </cell>
        </row>
        <row r="2308">
          <cell r="A2308">
            <v>70414007</v>
          </cell>
          <cell r="B2308" t="str">
            <v>고물자리</v>
          </cell>
          <cell r="C2308" t="str">
            <v>천문</v>
          </cell>
          <cell r="D2308">
            <v>2</v>
          </cell>
          <cell r="E2308" t="str">
            <v>자연</v>
          </cell>
          <cell r="F2308">
            <v>1</v>
          </cell>
          <cell r="G2308" t="str">
            <v>D</v>
          </cell>
          <cell r="H2308">
            <v>1</v>
          </cell>
          <cell r="AW2308" t="str">
            <v/>
          </cell>
          <cell r="BA2308" t="str">
            <v>-</v>
          </cell>
        </row>
        <row r="2309">
          <cell r="A2309">
            <v>70414008</v>
          </cell>
          <cell r="B2309" t="str">
            <v>공작자리</v>
          </cell>
          <cell r="C2309" t="str">
            <v>천문</v>
          </cell>
          <cell r="D2309">
            <v>2</v>
          </cell>
          <cell r="E2309" t="str">
            <v>자연</v>
          </cell>
          <cell r="F2309">
            <v>1</v>
          </cell>
          <cell r="G2309" t="str">
            <v>D</v>
          </cell>
          <cell r="H2309">
            <v>1</v>
          </cell>
          <cell r="AW2309" t="str">
            <v/>
          </cell>
          <cell r="BA2309" t="str">
            <v>-</v>
          </cell>
        </row>
        <row r="2310">
          <cell r="A2310">
            <v>70414009</v>
          </cell>
          <cell r="B2310" t="str">
            <v>궁수자리</v>
          </cell>
          <cell r="C2310" t="str">
            <v>천문</v>
          </cell>
          <cell r="D2310">
            <v>2</v>
          </cell>
          <cell r="E2310" t="str">
            <v>자연</v>
          </cell>
          <cell r="F2310">
            <v>1</v>
          </cell>
          <cell r="G2310" t="str">
            <v>D</v>
          </cell>
          <cell r="H2310">
            <v>1</v>
          </cell>
          <cell r="AW2310" t="str">
            <v>특정 퀘스트(=)</v>
          </cell>
          <cell r="AY2310" t="str">
            <v>신화 속 최고의 스승</v>
          </cell>
          <cell r="BA2310">
            <v>2</v>
          </cell>
        </row>
        <row r="2311">
          <cell r="A2311">
            <v>70414010</v>
          </cell>
          <cell r="B2311" t="str">
            <v>그물자리</v>
          </cell>
          <cell r="C2311" t="str">
            <v>천문</v>
          </cell>
          <cell r="D2311">
            <v>2</v>
          </cell>
          <cell r="E2311" t="str">
            <v>자연</v>
          </cell>
          <cell r="F2311">
            <v>1</v>
          </cell>
          <cell r="G2311" t="str">
            <v>D</v>
          </cell>
          <cell r="H2311">
            <v>1</v>
          </cell>
          <cell r="AW2311" t="str">
            <v/>
          </cell>
          <cell r="BA2311" t="str">
            <v>-</v>
          </cell>
        </row>
        <row r="2312">
          <cell r="A2312">
            <v>70414011</v>
          </cell>
          <cell r="B2312" t="str">
            <v>금성</v>
          </cell>
          <cell r="C2312" t="str">
            <v>천문</v>
          </cell>
          <cell r="D2312">
            <v>2</v>
          </cell>
          <cell r="E2312" t="str">
            <v>자연</v>
          </cell>
          <cell r="F2312">
            <v>1</v>
          </cell>
          <cell r="G2312" t="str">
            <v>B</v>
          </cell>
          <cell r="H2312">
            <v>3</v>
          </cell>
        </row>
        <row r="2313">
          <cell r="A2313">
            <v>70414012</v>
          </cell>
          <cell r="B2313" t="str">
            <v>금성의 영휴</v>
          </cell>
          <cell r="C2313" t="str">
            <v>천문</v>
          </cell>
          <cell r="D2313">
            <v>2</v>
          </cell>
          <cell r="E2313" t="str">
            <v>자연</v>
          </cell>
          <cell r="F2313">
            <v>1</v>
          </cell>
          <cell r="G2313" t="str">
            <v>A</v>
          </cell>
          <cell r="H2313">
            <v>4</v>
          </cell>
        </row>
        <row r="2314">
          <cell r="A2314">
            <v>70414013</v>
          </cell>
          <cell r="B2314" t="str">
            <v>까마귀자리</v>
          </cell>
          <cell r="C2314" t="str">
            <v>천문</v>
          </cell>
          <cell r="D2314">
            <v>2</v>
          </cell>
          <cell r="E2314" t="str">
            <v>자연</v>
          </cell>
          <cell r="F2314">
            <v>1</v>
          </cell>
          <cell r="G2314" t="str">
            <v>D</v>
          </cell>
          <cell r="H2314">
            <v>1</v>
          </cell>
          <cell r="AW2314" t="str">
            <v/>
          </cell>
          <cell r="BA2314" t="str">
            <v>-</v>
          </cell>
        </row>
        <row r="2315">
          <cell r="A2315">
            <v>70414014</v>
          </cell>
          <cell r="B2315" t="str">
            <v>날치자리</v>
          </cell>
          <cell r="C2315" t="str">
            <v>천문</v>
          </cell>
          <cell r="D2315">
            <v>2</v>
          </cell>
          <cell r="E2315" t="str">
            <v>자연</v>
          </cell>
          <cell r="F2315">
            <v>1</v>
          </cell>
          <cell r="G2315" t="str">
            <v>C</v>
          </cell>
          <cell r="H2315">
            <v>2</v>
          </cell>
        </row>
        <row r="2316">
          <cell r="A2316">
            <v>70414015</v>
          </cell>
          <cell r="B2316" t="str">
            <v>남십자자리</v>
          </cell>
          <cell r="C2316" t="str">
            <v>천문</v>
          </cell>
          <cell r="D2316">
            <v>2</v>
          </cell>
          <cell r="E2316" t="str">
            <v>자연</v>
          </cell>
          <cell r="F2316">
            <v>1</v>
          </cell>
          <cell r="G2316" t="str">
            <v>D</v>
          </cell>
          <cell r="H2316">
            <v>1</v>
          </cell>
          <cell r="AW2316" t="str">
            <v/>
          </cell>
          <cell r="BA2316" t="str">
            <v>-</v>
          </cell>
        </row>
        <row r="2317">
          <cell r="A2317">
            <v>70414016</v>
          </cell>
          <cell r="B2317" t="str">
            <v>남쪽물고기자리</v>
          </cell>
          <cell r="C2317" t="str">
            <v>천문</v>
          </cell>
          <cell r="D2317">
            <v>2</v>
          </cell>
          <cell r="E2317" t="str">
            <v>자연</v>
          </cell>
          <cell r="F2317">
            <v>1</v>
          </cell>
          <cell r="G2317" t="str">
            <v>D</v>
          </cell>
          <cell r="H2317">
            <v>1</v>
          </cell>
          <cell r="AW2317" t="str">
            <v/>
          </cell>
          <cell r="BA2317" t="str">
            <v>-</v>
          </cell>
        </row>
        <row r="2318">
          <cell r="A2318">
            <v>70414017</v>
          </cell>
          <cell r="B2318" t="str">
            <v>남쪽삼각형자리</v>
          </cell>
          <cell r="C2318" t="str">
            <v>천문</v>
          </cell>
          <cell r="D2318">
            <v>2</v>
          </cell>
          <cell r="E2318" t="str">
            <v>자연</v>
          </cell>
          <cell r="F2318">
            <v>1</v>
          </cell>
          <cell r="G2318" t="str">
            <v>D</v>
          </cell>
          <cell r="H2318">
            <v>1</v>
          </cell>
          <cell r="AW2318" t="str">
            <v/>
          </cell>
          <cell r="BA2318" t="str">
            <v>-</v>
          </cell>
        </row>
        <row r="2319">
          <cell r="A2319">
            <v>70414018</v>
          </cell>
          <cell r="B2319" t="str">
            <v>대혜성</v>
          </cell>
          <cell r="C2319" t="str">
            <v>천문</v>
          </cell>
          <cell r="D2319">
            <v>2</v>
          </cell>
          <cell r="E2319" t="str">
            <v>자연</v>
          </cell>
          <cell r="F2319">
            <v>1</v>
          </cell>
          <cell r="G2319" t="str">
            <v>S</v>
          </cell>
          <cell r="H2319">
            <v>5</v>
          </cell>
        </row>
        <row r="2320">
          <cell r="A2320">
            <v>70414019</v>
          </cell>
          <cell r="B2320" t="str">
            <v>데네볼라</v>
          </cell>
          <cell r="C2320" t="str">
            <v>천문</v>
          </cell>
          <cell r="D2320">
            <v>2</v>
          </cell>
          <cell r="E2320" t="str">
            <v>자연</v>
          </cell>
          <cell r="F2320">
            <v>1</v>
          </cell>
          <cell r="G2320" t="str">
            <v>B</v>
          </cell>
          <cell r="H2320">
            <v>3</v>
          </cell>
        </row>
        <row r="2321">
          <cell r="A2321">
            <v>70414020</v>
          </cell>
          <cell r="B2321" t="str">
            <v>데네브</v>
          </cell>
          <cell r="C2321" t="str">
            <v>천문</v>
          </cell>
          <cell r="D2321">
            <v>2</v>
          </cell>
          <cell r="E2321" t="str">
            <v>자연</v>
          </cell>
          <cell r="F2321">
            <v>1</v>
          </cell>
          <cell r="G2321" t="str">
            <v>B</v>
          </cell>
          <cell r="H2321">
            <v>3</v>
          </cell>
        </row>
        <row r="2322">
          <cell r="A2322">
            <v>70414021</v>
          </cell>
          <cell r="B2322" t="str">
            <v>독수리자리</v>
          </cell>
          <cell r="C2322" t="str">
            <v>천문</v>
          </cell>
          <cell r="D2322">
            <v>2</v>
          </cell>
          <cell r="E2322" t="str">
            <v>자연</v>
          </cell>
          <cell r="F2322">
            <v>1</v>
          </cell>
          <cell r="G2322" t="str">
            <v>B</v>
          </cell>
          <cell r="H2322">
            <v>3</v>
          </cell>
        </row>
        <row r="2323">
          <cell r="A2323">
            <v>70414022</v>
          </cell>
          <cell r="B2323" t="str">
            <v>돌고래자리</v>
          </cell>
          <cell r="C2323" t="str">
            <v>천문</v>
          </cell>
          <cell r="D2323">
            <v>2</v>
          </cell>
          <cell r="E2323" t="str">
            <v>자연</v>
          </cell>
          <cell r="F2323">
            <v>1</v>
          </cell>
          <cell r="G2323" t="str">
            <v>D</v>
          </cell>
          <cell r="H2323">
            <v>1</v>
          </cell>
          <cell r="AW2323" t="str">
            <v/>
          </cell>
          <cell r="BA2323" t="str">
            <v>-</v>
          </cell>
        </row>
        <row r="2324">
          <cell r="A2324">
            <v>70414023</v>
          </cell>
          <cell r="B2324" t="str">
            <v>돛자리</v>
          </cell>
          <cell r="C2324" t="str">
            <v>천문</v>
          </cell>
          <cell r="D2324">
            <v>2</v>
          </cell>
          <cell r="E2324" t="str">
            <v>자연</v>
          </cell>
          <cell r="F2324">
            <v>1</v>
          </cell>
          <cell r="G2324" t="str">
            <v>D</v>
          </cell>
          <cell r="H2324">
            <v>1</v>
          </cell>
          <cell r="AW2324" t="str">
            <v/>
          </cell>
          <cell r="BA2324" t="str">
            <v>-</v>
          </cell>
        </row>
        <row r="2325">
          <cell r="A2325">
            <v>70414024</v>
          </cell>
          <cell r="B2325" t="str">
            <v>두루미자리</v>
          </cell>
          <cell r="C2325" t="str">
            <v>천문</v>
          </cell>
          <cell r="D2325">
            <v>2</v>
          </cell>
          <cell r="E2325" t="str">
            <v>자연</v>
          </cell>
          <cell r="F2325">
            <v>1</v>
          </cell>
          <cell r="G2325" t="str">
            <v>D</v>
          </cell>
          <cell r="H2325">
            <v>1</v>
          </cell>
          <cell r="AW2325" t="str">
            <v/>
          </cell>
          <cell r="BA2325" t="str">
            <v>-</v>
          </cell>
        </row>
        <row r="2326">
          <cell r="A2326">
            <v>70414025</v>
          </cell>
          <cell r="B2326" t="str">
            <v>레굴루스</v>
          </cell>
          <cell r="C2326" t="str">
            <v>천문</v>
          </cell>
          <cell r="D2326">
            <v>2</v>
          </cell>
          <cell r="E2326" t="str">
            <v>자연</v>
          </cell>
          <cell r="F2326">
            <v>1</v>
          </cell>
          <cell r="G2326" t="str">
            <v>A</v>
          </cell>
          <cell r="H2326">
            <v>4</v>
          </cell>
        </row>
        <row r="2327">
          <cell r="A2327">
            <v>70414027</v>
          </cell>
          <cell r="B2327" t="str">
            <v>리겔</v>
          </cell>
          <cell r="C2327" t="str">
            <v>천문</v>
          </cell>
          <cell r="D2327">
            <v>2</v>
          </cell>
          <cell r="E2327" t="str">
            <v>자연</v>
          </cell>
          <cell r="F2327">
            <v>1</v>
          </cell>
          <cell r="G2327" t="str">
            <v>B</v>
          </cell>
          <cell r="H2327">
            <v>3</v>
          </cell>
        </row>
        <row r="2328">
          <cell r="A2328">
            <v>70414028</v>
          </cell>
          <cell r="B2328" t="str">
            <v>리길 켄타우루스</v>
          </cell>
          <cell r="C2328" t="str">
            <v>천문</v>
          </cell>
          <cell r="D2328">
            <v>2</v>
          </cell>
          <cell r="E2328" t="str">
            <v>자연</v>
          </cell>
          <cell r="F2328">
            <v>1</v>
          </cell>
          <cell r="G2328" t="str">
            <v>S</v>
          </cell>
          <cell r="H2328">
            <v>5</v>
          </cell>
        </row>
        <row r="2329">
          <cell r="A2329">
            <v>70414029</v>
          </cell>
          <cell r="B2329" t="str">
            <v>마차부자리</v>
          </cell>
          <cell r="C2329" t="str">
            <v>천문</v>
          </cell>
          <cell r="D2329">
            <v>2</v>
          </cell>
          <cell r="E2329" t="str">
            <v>자연</v>
          </cell>
          <cell r="F2329">
            <v>1</v>
          </cell>
          <cell r="G2329" t="str">
            <v>A</v>
          </cell>
          <cell r="H2329">
            <v>4</v>
          </cell>
        </row>
        <row r="2330">
          <cell r="A2330">
            <v>70414030</v>
          </cell>
          <cell r="B2330" t="str">
            <v>머리털자리</v>
          </cell>
          <cell r="C2330" t="str">
            <v>천문</v>
          </cell>
          <cell r="D2330">
            <v>2</v>
          </cell>
          <cell r="E2330" t="str">
            <v>자연</v>
          </cell>
          <cell r="F2330">
            <v>1</v>
          </cell>
          <cell r="G2330" t="str">
            <v>C</v>
          </cell>
          <cell r="H2330">
            <v>2</v>
          </cell>
        </row>
        <row r="2331">
          <cell r="A2331">
            <v>70414031</v>
          </cell>
          <cell r="B2331" t="str">
            <v>목동자리</v>
          </cell>
          <cell r="C2331" t="str">
            <v>천문</v>
          </cell>
          <cell r="D2331">
            <v>2</v>
          </cell>
          <cell r="E2331" t="str">
            <v>자연</v>
          </cell>
          <cell r="F2331">
            <v>1</v>
          </cell>
          <cell r="G2331" t="str">
            <v>D</v>
          </cell>
          <cell r="H2331">
            <v>1</v>
          </cell>
          <cell r="AW2331" t="str">
            <v/>
          </cell>
          <cell r="BA2331" t="str">
            <v>-</v>
          </cell>
        </row>
        <row r="2332">
          <cell r="A2332">
            <v>70414032</v>
          </cell>
          <cell r="B2332" t="str">
            <v>목성</v>
          </cell>
          <cell r="C2332" t="str">
            <v>천문</v>
          </cell>
          <cell r="D2332">
            <v>2</v>
          </cell>
          <cell r="E2332" t="str">
            <v>자연</v>
          </cell>
          <cell r="F2332">
            <v>1</v>
          </cell>
          <cell r="G2332" t="str">
            <v>B</v>
          </cell>
          <cell r="H2332">
            <v>3</v>
          </cell>
        </row>
        <row r="2333">
          <cell r="A2333">
            <v>70414033</v>
          </cell>
          <cell r="B2333" t="str">
            <v>물고기자리</v>
          </cell>
          <cell r="C2333" t="str">
            <v>천문</v>
          </cell>
          <cell r="D2333">
            <v>2</v>
          </cell>
          <cell r="E2333" t="str">
            <v>자연</v>
          </cell>
          <cell r="F2333">
            <v>1</v>
          </cell>
          <cell r="G2333" t="str">
            <v>D</v>
          </cell>
          <cell r="H2333">
            <v>1</v>
          </cell>
          <cell r="AW2333" t="str">
            <v/>
          </cell>
          <cell r="BA2333" t="str">
            <v>-</v>
          </cell>
        </row>
        <row r="2334">
          <cell r="A2334">
            <v>70414034</v>
          </cell>
          <cell r="B2334" t="str">
            <v>물병자리</v>
          </cell>
          <cell r="C2334" t="str">
            <v>천문</v>
          </cell>
          <cell r="D2334">
            <v>2</v>
          </cell>
          <cell r="E2334" t="str">
            <v>자연</v>
          </cell>
          <cell r="F2334">
            <v>1</v>
          </cell>
          <cell r="G2334" t="str">
            <v>B</v>
          </cell>
          <cell r="H2334">
            <v>3</v>
          </cell>
        </row>
        <row r="2335">
          <cell r="A2335">
            <v>70414035</v>
          </cell>
          <cell r="B2335" t="str">
            <v>물병자리 유성우</v>
          </cell>
          <cell r="C2335" t="str">
            <v>천문</v>
          </cell>
          <cell r="D2335">
            <v>2</v>
          </cell>
          <cell r="E2335" t="str">
            <v>자연</v>
          </cell>
          <cell r="F2335">
            <v>1</v>
          </cell>
          <cell r="G2335" t="str">
            <v>B</v>
          </cell>
          <cell r="H2335">
            <v>3</v>
          </cell>
        </row>
        <row r="2336">
          <cell r="A2336">
            <v>70414037</v>
          </cell>
          <cell r="B2336" t="str">
            <v>미자르</v>
          </cell>
          <cell r="C2336" t="str">
            <v>천문</v>
          </cell>
          <cell r="D2336">
            <v>2</v>
          </cell>
          <cell r="E2336" t="str">
            <v>자연</v>
          </cell>
          <cell r="F2336">
            <v>1</v>
          </cell>
          <cell r="G2336" t="str">
            <v>D</v>
          </cell>
          <cell r="H2336">
            <v>1</v>
          </cell>
          <cell r="AW2336" t="str">
            <v/>
          </cell>
          <cell r="BA2336" t="str">
            <v>-</v>
          </cell>
        </row>
        <row r="2337">
          <cell r="A2337">
            <v>70414038</v>
          </cell>
          <cell r="B2337" t="str">
            <v>바다뱀자리</v>
          </cell>
          <cell r="C2337" t="str">
            <v>천문</v>
          </cell>
          <cell r="D2337">
            <v>2</v>
          </cell>
          <cell r="E2337" t="str">
            <v>자연</v>
          </cell>
          <cell r="F2337">
            <v>1</v>
          </cell>
          <cell r="G2337" t="str">
            <v>D</v>
          </cell>
          <cell r="H2337">
            <v>1</v>
          </cell>
          <cell r="AW2337" t="str">
            <v/>
          </cell>
          <cell r="BA2337" t="str">
            <v>-</v>
          </cell>
        </row>
        <row r="2338">
          <cell r="A2338">
            <v>70414039</v>
          </cell>
          <cell r="B2338" t="str">
            <v>방패자리</v>
          </cell>
          <cell r="C2338" t="str">
            <v>천문</v>
          </cell>
          <cell r="D2338">
            <v>2</v>
          </cell>
          <cell r="E2338" t="str">
            <v>자연</v>
          </cell>
          <cell r="F2338">
            <v>1</v>
          </cell>
          <cell r="G2338" t="str">
            <v>C</v>
          </cell>
          <cell r="H2338">
            <v>2</v>
          </cell>
        </row>
        <row r="2339">
          <cell r="A2339">
            <v>70414040</v>
          </cell>
          <cell r="B2339" t="str">
            <v>방패자리의 산개성단</v>
          </cell>
          <cell r="C2339" t="str">
            <v>천문</v>
          </cell>
          <cell r="D2339">
            <v>2</v>
          </cell>
          <cell r="E2339" t="str">
            <v>자연</v>
          </cell>
          <cell r="F2339">
            <v>1</v>
          </cell>
          <cell r="G2339" t="str">
            <v>C</v>
          </cell>
          <cell r="H2339">
            <v>2</v>
          </cell>
        </row>
        <row r="2340">
          <cell r="A2340">
            <v>70414041</v>
          </cell>
          <cell r="B2340" t="str">
            <v>백조자리</v>
          </cell>
          <cell r="C2340" t="str">
            <v>천문</v>
          </cell>
          <cell r="D2340">
            <v>2</v>
          </cell>
          <cell r="E2340" t="str">
            <v>자연</v>
          </cell>
          <cell r="F2340">
            <v>1</v>
          </cell>
          <cell r="G2340" t="str">
            <v>C</v>
          </cell>
          <cell r="H2340">
            <v>2</v>
          </cell>
        </row>
        <row r="2341">
          <cell r="A2341">
            <v>70414042</v>
          </cell>
          <cell r="B2341" t="str">
            <v>뱀주인자리</v>
          </cell>
          <cell r="C2341" t="str">
            <v>천문</v>
          </cell>
          <cell r="D2341">
            <v>2</v>
          </cell>
          <cell r="E2341" t="str">
            <v>자연</v>
          </cell>
          <cell r="F2341">
            <v>1</v>
          </cell>
          <cell r="G2341" t="str">
            <v>S</v>
          </cell>
          <cell r="H2341">
            <v>5</v>
          </cell>
        </row>
        <row r="2342">
          <cell r="A2342">
            <v>70414043</v>
          </cell>
          <cell r="B2342" t="str">
            <v>베가</v>
          </cell>
          <cell r="C2342" t="str">
            <v>천문</v>
          </cell>
          <cell r="D2342">
            <v>2</v>
          </cell>
          <cell r="E2342" t="str">
            <v>자연</v>
          </cell>
          <cell r="F2342">
            <v>1</v>
          </cell>
          <cell r="G2342" t="str">
            <v>A</v>
          </cell>
          <cell r="H2342">
            <v>4</v>
          </cell>
        </row>
        <row r="2343">
          <cell r="A2343">
            <v>70414044</v>
          </cell>
          <cell r="B2343" t="str">
            <v>베텔게우스</v>
          </cell>
          <cell r="C2343" t="str">
            <v>천문</v>
          </cell>
          <cell r="D2343">
            <v>2</v>
          </cell>
          <cell r="E2343" t="str">
            <v>자연</v>
          </cell>
          <cell r="F2343">
            <v>1</v>
          </cell>
          <cell r="G2343" t="str">
            <v>A</v>
          </cell>
          <cell r="H2343">
            <v>4</v>
          </cell>
        </row>
        <row r="2344">
          <cell r="A2344">
            <v>70414045</v>
          </cell>
          <cell r="B2344" t="str">
            <v>봄의 대삼각형</v>
          </cell>
          <cell r="C2344" t="str">
            <v>천문</v>
          </cell>
          <cell r="D2344">
            <v>2</v>
          </cell>
          <cell r="E2344" t="str">
            <v>자연</v>
          </cell>
          <cell r="F2344">
            <v>1</v>
          </cell>
          <cell r="G2344" t="str">
            <v>D</v>
          </cell>
          <cell r="H2344">
            <v>1</v>
          </cell>
          <cell r="AW2344" t="str">
            <v/>
          </cell>
          <cell r="BA2344" t="str">
            <v>-</v>
          </cell>
        </row>
        <row r="2345">
          <cell r="A2345">
            <v>70414046</v>
          </cell>
          <cell r="B2345" t="str">
            <v>북극성</v>
          </cell>
          <cell r="C2345" t="str">
            <v>천문</v>
          </cell>
          <cell r="D2345">
            <v>2</v>
          </cell>
          <cell r="E2345" t="str">
            <v>자연</v>
          </cell>
          <cell r="F2345">
            <v>1</v>
          </cell>
          <cell r="G2345" t="str">
            <v>S</v>
          </cell>
          <cell r="H2345">
            <v>5</v>
          </cell>
        </row>
        <row r="2346">
          <cell r="A2346">
            <v>70414047</v>
          </cell>
          <cell r="B2346" t="str">
            <v>북쪽왕관자리</v>
          </cell>
          <cell r="C2346" t="str">
            <v>천문</v>
          </cell>
          <cell r="D2346">
            <v>2</v>
          </cell>
          <cell r="E2346" t="str">
            <v>자연</v>
          </cell>
          <cell r="F2346">
            <v>1</v>
          </cell>
          <cell r="G2346" t="str">
            <v>B</v>
          </cell>
          <cell r="H2346">
            <v>3</v>
          </cell>
        </row>
        <row r="2347">
          <cell r="A2347">
            <v>70414048</v>
          </cell>
          <cell r="B2347" t="str">
            <v>사냥개자리</v>
          </cell>
          <cell r="C2347" t="str">
            <v>천문</v>
          </cell>
          <cell r="D2347">
            <v>2</v>
          </cell>
          <cell r="E2347" t="str">
            <v>자연</v>
          </cell>
          <cell r="F2347">
            <v>1</v>
          </cell>
          <cell r="G2347" t="str">
            <v>D</v>
          </cell>
          <cell r="H2347">
            <v>1</v>
          </cell>
          <cell r="AW2347" t="str">
            <v/>
          </cell>
          <cell r="BA2347" t="str">
            <v>-</v>
          </cell>
        </row>
        <row r="2348">
          <cell r="A2348">
            <v>70414049</v>
          </cell>
          <cell r="B2348" t="str">
            <v>사자자리</v>
          </cell>
          <cell r="C2348" t="str">
            <v>천문</v>
          </cell>
          <cell r="D2348">
            <v>2</v>
          </cell>
          <cell r="E2348" t="str">
            <v>자연</v>
          </cell>
          <cell r="F2348">
            <v>1</v>
          </cell>
          <cell r="G2348" t="str">
            <v>A</v>
          </cell>
          <cell r="H2348">
            <v>4</v>
          </cell>
        </row>
        <row r="2349">
          <cell r="A2349">
            <v>70414050</v>
          </cell>
          <cell r="B2349" t="str">
            <v>삼각형자리</v>
          </cell>
          <cell r="C2349" t="str">
            <v>천문</v>
          </cell>
          <cell r="D2349">
            <v>2</v>
          </cell>
          <cell r="E2349" t="str">
            <v>자연</v>
          </cell>
          <cell r="F2349">
            <v>1</v>
          </cell>
          <cell r="G2349" t="str">
            <v>D</v>
          </cell>
          <cell r="H2349">
            <v>1</v>
          </cell>
          <cell r="AW2349" t="str">
            <v/>
          </cell>
          <cell r="BA2349" t="str">
            <v>-</v>
          </cell>
        </row>
        <row r="2350">
          <cell r="A2350">
            <v>70414051</v>
          </cell>
          <cell r="B2350" t="str">
            <v>수성</v>
          </cell>
          <cell r="C2350" t="str">
            <v>천문</v>
          </cell>
          <cell r="D2350">
            <v>2</v>
          </cell>
          <cell r="E2350" t="str">
            <v>자연</v>
          </cell>
          <cell r="F2350">
            <v>1</v>
          </cell>
          <cell r="G2350" t="str">
            <v>A</v>
          </cell>
          <cell r="H2350">
            <v>4</v>
          </cell>
        </row>
        <row r="2351">
          <cell r="A2351">
            <v>70414052</v>
          </cell>
          <cell r="B2351" t="str">
            <v>스피카</v>
          </cell>
          <cell r="C2351" t="str">
            <v>천문</v>
          </cell>
          <cell r="D2351">
            <v>2</v>
          </cell>
          <cell r="E2351" t="str">
            <v>자연</v>
          </cell>
          <cell r="F2351">
            <v>1</v>
          </cell>
          <cell r="G2351" t="str">
            <v>A</v>
          </cell>
          <cell r="H2351">
            <v>4</v>
          </cell>
        </row>
        <row r="2352">
          <cell r="A2352">
            <v>70414053</v>
          </cell>
          <cell r="B2352" t="str">
            <v>시리우스</v>
          </cell>
          <cell r="C2352" t="str">
            <v>천문</v>
          </cell>
          <cell r="D2352">
            <v>2</v>
          </cell>
          <cell r="E2352" t="str">
            <v>자연</v>
          </cell>
          <cell r="F2352">
            <v>1</v>
          </cell>
          <cell r="G2352" t="str">
            <v>A</v>
          </cell>
          <cell r="H2352">
            <v>4</v>
          </cell>
        </row>
        <row r="2353">
          <cell r="A2353">
            <v>70414054</v>
          </cell>
          <cell r="B2353" t="str">
            <v>쌍둥이자리</v>
          </cell>
          <cell r="C2353" t="str">
            <v>천문</v>
          </cell>
          <cell r="D2353">
            <v>2</v>
          </cell>
          <cell r="E2353" t="str">
            <v>자연</v>
          </cell>
          <cell r="F2353">
            <v>1</v>
          </cell>
          <cell r="G2353" t="str">
            <v>D</v>
          </cell>
          <cell r="H2353">
            <v>1</v>
          </cell>
          <cell r="AW2353" t="str">
            <v/>
          </cell>
          <cell r="BA2353" t="str">
            <v>-</v>
          </cell>
        </row>
        <row r="2354">
          <cell r="A2354">
            <v>70414055</v>
          </cell>
          <cell r="B2354" t="str">
            <v>아르크투루스</v>
          </cell>
          <cell r="C2354" t="str">
            <v>천문</v>
          </cell>
          <cell r="D2354">
            <v>2</v>
          </cell>
          <cell r="E2354" t="str">
            <v>자연</v>
          </cell>
          <cell r="F2354">
            <v>1</v>
          </cell>
          <cell r="G2354" t="str">
            <v>C</v>
          </cell>
          <cell r="H2354">
            <v>2</v>
          </cell>
        </row>
        <row r="2355">
          <cell r="A2355">
            <v>70414056</v>
          </cell>
          <cell r="B2355" t="str">
            <v>아케르나르</v>
          </cell>
          <cell r="C2355" t="str">
            <v>천문</v>
          </cell>
          <cell r="D2355">
            <v>2</v>
          </cell>
          <cell r="E2355" t="str">
            <v>자연</v>
          </cell>
          <cell r="F2355">
            <v>1</v>
          </cell>
          <cell r="G2355" t="str">
            <v>C</v>
          </cell>
          <cell r="H2355">
            <v>2</v>
          </cell>
        </row>
        <row r="2356">
          <cell r="A2356">
            <v>70414057</v>
          </cell>
          <cell r="B2356" t="str">
            <v>안드로메다자리</v>
          </cell>
          <cell r="C2356" t="str">
            <v>천문</v>
          </cell>
          <cell r="D2356">
            <v>2</v>
          </cell>
          <cell r="E2356" t="str">
            <v>자연</v>
          </cell>
          <cell r="F2356">
            <v>1</v>
          </cell>
          <cell r="G2356" t="str">
            <v>D</v>
          </cell>
          <cell r="H2356">
            <v>1</v>
          </cell>
          <cell r="AW2356" t="str">
            <v/>
          </cell>
          <cell r="BA2356" t="str">
            <v>-</v>
          </cell>
        </row>
        <row r="2357">
          <cell r="A2357">
            <v>70414058</v>
          </cell>
          <cell r="B2357" t="str">
            <v>안타레스</v>
          </cell>
          <cell r="C2357" t="str">
            <v>천문</v>
          </cell>
          <cell r="D2357">
            <v>2</v>
          </cell>
          <cell r="E2357" t="str">
            <v>자연</v>
          </cell>
          <cell r="F2357">
            <v>1</v>
          </cell>
          <cell r="G2357" t="str">
            <v>C</v>
          </cell>
          <cell r="H2357">
            <v>2</v>
          </cell>
        </row>
        <row r="2358">
          <cell r="A2358">
            <v>70414059</v>
          </cell>
          <cell r="B2358" t="str">
            <v>알나이르</v>
          </cell>
          <cell r="C2358" t="str">
            <v>천문</v>
          </cell>
          <cell r="D2358">
            <v>2</v>
          </cell>
          <cell r="E2358" t="str">
            <v>자연</v>
          </cell>
          <cell r="F2358">
            <v>1</v>
          </cell>
          <cell r="G2358" t="str">
            <v>C</v>
          </cell>
          <cell r="H2358">
            <v>2</v>
          </cell>
        </row>
        <row r="2359">
          <cell r="A2359">
            <v>70414060</v>
          </cell>
          <cell r="B2359" t="str">
            <v>알데바란</v>
          </cell>
          <cell r="C2359" t="str">
            <v>천문</v>
          </cell>
          <cell r="D2359">
            <v>2</v>
          </cell>
          <cell r="E2359" t="str">
            <v>자연</v>
          </cell>
          <cell r="F2359">
            <v>1</v>
          </cell>
          <cell r="G2359" t="str">
            <v>A</v>
          </cell>
          <cell r="H2359">
            <v>4</v>
          </cell>
        </row>
        <row r="2360">
          <cell r="A2360">
            <v>70414061</v>
          </cell>
          <cell r="B2360" t="str">
            <v>알비레오</v>
          </cell>
          <cell r="C2360" t="str">
            <v>천문</v>
          </cell>
          <cell r="D2360">
            <v>2</v>
          </cell>
          <cell r="E2360" t="str">
            <v>자연</v>
          </cell>
          <cell r="F2360">
            <v>1</v>
          </cell>
          <cell r="G2360" t="str">
            <v>C</v>
          </cell>
          <cell r="H2360">
            <v>2</v>
          </cell>
        </row>
        <row r="2361">
          <cell r="A2361">
            <v>70414062</v>
          </cell>
          <cell r="B2361" t="str">
            <v>알타이르</v>
          </cell>
          <cell r="C2361" t="str">
            <v>천문</v>
          </cell>
          <cell r="D2361">
            <v>2</v>
          </cell>
          <cell r="E2361" t="str">
            <v>자연</v>
          </cell>
          <cell r="F2361">
            <v>1</v>
          </cell>
          <cell r="G2361" t="str">
            <v>A</v>
          </cell>
          <cell r="H2361">
            <v>4</v>
          </cell>
        </row>
        <row r="2362">
          <cell r="A2362">
            <v>70414063</v>
          </cell>
          <cell r="B2362" t="str">
            <v>알파드</v>
          </cell>
          <cell r="C2362" t="str">
            <v>천문</v>
          </cell>
          <cell r="D2362">
            <v>2</v>
          </cell>
          <cell r="E2362" t="str">
            <v>자연</v>
          </cell>
          <cell r="F2362">
            <v>1</v>
          </cell>
          <cell r="G2362" t="str">
            <v>C</v>
          </cell>
          <cell r="H2362">
            <v>2</v>
          </cell>
        </row>
        <row r="2363">
          <cell r="A2363">
            <v>70414064</v>
          </cell>
          <cell r="B2363" t="str">
            <v>양자리</v>
          </cell>
          <cell r="C2363" t="str">
            <v>천문</v>
          </cell>
          <cell r="D2363">
            <v>2</v>
          </cell>
          <cell r="E2363" t="str">
            <v>자연</v>
          </cell>
          <cell r="F2363">
            <v>1</v>
          </cell>
          <cell r="G2363" t="str">
            <v>B</v>
          </cell>
          <cell r="H2363">
            <v>3</v>
          </cell>
        </row>
        <row r="2364">
          <cell r="A2364">
            <v>70414065</v>
          </cell>
          <cell r="B2364" t="str">
            <v>에리다누스자리</v>
          </cell>
          <cell r="C2364" t="str">
            <v>천문</v>
          </cell>
          <cell r="D2364">
            <v>2</v>
          </cell>
          <cell r="E2364" t="str">
            <v>자연</v>
          </cell>
          <cell r="F2364">
            <v>1</v>
          </cell>
          <cell r="G2364" t="str">
            <v>B</v>
          </cell>
          <cell r="H2364">
            <v>3</v>
          </cell>
        </row>
        <row r="2365">
          <cell r="A2365">
            <v>70414066</v>
          </cell>
          <cell r="B2365" t="str">
            <v>여름의 대삼각형</v>
          </cell>
          <cell r="C2365" t="str">
            <v>천문</v>
          </cell>
          <cell r="D2365">
            <v>2</v>
          </cell>
          <cell r="E2365" t="str">
            <v>자연</v>
          </cell>
          <cell r="F2365">
            <v>1</v>
          </cell>
          <cell r="G2365" t="str">
            <v>A</v>
          </cell>
          <cell r="H2365">
            <v>4</v>
          </cell>
        </row>
        <row r="2366">
          <cell r="A2366">
            <v>70414067</v>
          </cell>
          <cell r="B2366" t="str">
            <v>염소자리</v>
          </cell>
          <cell r="C2366" t="str">
            <v>천문</v>
          </cell>
          <cell r="D2366">
            <v>2</v>
          </cell>
          <cell r="E2366" t="str">
            <v>자연</v>
          </cell>
          <cell r="F2366">
            <v>1</v>
          </cell>
          <cell r="G2366" t="str">
            <v>A</v>
          </cell>
          <cell r="H2366">
            <v>4</v>
          </cell>
        </row>
        <row r="2367">
          <cell r="A2367">
            <v>70414068</v>
          </cell>
          <cell r="B2367" t="str">
            <v>오리온의 허리띠</v>
          </cell>
          <cell r="C2367" t="str">
            <v>천문</v>
          </cell>
          <cell r="D2367">
            <v>2</v>
          </cell>
          <cell r="E2367" t="str">
            <v>자연</v>
          </cell>
          <cell r="F2367">
            <v>1</v>
          </cell>
          <cell r="G2367" t="str">
            <v>C</v>
          </cell>
          <cell r="H2367">
            <v>2</v>
          </cell>
        </row>
        <row r="2368">
          <cell r="A2368">
            <v>70414069</v>
          </cell>
          <cell r="B2368" t="str">
            <v>오리온자리</v>
          </cell>
          <cell r="C2368" t="str">
            <v>천문</v>
          </cell>
          <cell r="D2368">
            <v>2</v>
          </cell>
          <cell r="E2368" t="str">
            <v>자연</v>
          </cell>
          <cell r="F2368">
            <v>1</v>
          </cell>
          <cell r="G2368" t="str">
            <v>S</v>
          </cell>
          <cell r="H2368">
            <v>5</v>
          </cell>
        </row>
        <row r="2369">
          <cell r="A2369">
            <v>70414070</v>
          </cell>
          <cell r="B2369" t="str">
            <v>오리온자리 유성우</v>
          </cell>
          <cell r="C2369" t="str">
            <v>천문</v>
          </cell>
          <cell r="D2369">
            <v>2</v>
          </cell>
          <cell r="E2369" t="str">
            <v>자연</v>
          </cell>
          <cell r="F2369">
            <v>1</v>
          </cell>
          <cell r="G2369" t="str">
            <v>B</v>
          </cell>
          <cell r="H2369">
            <v>3</v>
          </cell>
        </row>
        <row r="2370">
          <cell r="A2370">
            <v>70414071</v>
          </cell>
          <cell r="B2370" t="str">
            <v>외뿔소자리</v>
          </cell>
          <cell r="C2370" t="str">
            <v>천문</v>
          </cell>
          <cell r="D2370">
            <v>2</v>
          </cell>
          <cell r="E2370" t="str">
            <v>자연</v>
          </cell>
          <cell r="F2370">
            <v>1</v>
          </cell>
          <cell r="G2370" t="str">
            <v>C</v>
          </cell>
          <cell r="H2370">
            <v>2</v>
          </cell>
        </row>
        <row r="2371">
          <cell r="A2371">
            <v>70414072</v>
          </cell>
          <cell r="B2371" t="str">
            <v>용골자리</v>
          </cell>
          <cell r="C2371" t="str">
            <v>천문</v>
          </cell>
          <cell r="D2371">
            <v>2</v>
          </cell>
          <cell r="E2371" t="str">
            <v>자연</v>
          </cell>
          <cell r="F2371">
            <v>1</v>
          </cell>
          <cell r="G2371" t="str">
            <v>D</v>
          </cell>
          <cell r="H2371">
            <v>1</v>
          </cell>
          <cell r="AW2371" t="str">
            <v/>
          </cell>
          <cell r="BA2371" t="str">
            <v>-</v>
          </cell>
        </row>
        <row r="2372">
          <cell r="A2372">
            <v>70414073</v>
          </cell>
          <cell r="B2372" t="str">
            <v>용자리</v>
          </cell>
          <cell r="C2372" t="str">
            <v>천문</v>
          </cell>
          <cell r="D2372">
            <v>2</v>
          </cell>
          <cell r="E2372" t="str">
            <v>자연</v>
          </cell>
          <cell r="F2372">
            <v>1</v>
          </cell>
          <cell r="G2372" t="str">
            <v>A</v>
          </cell>
          <cell r="H2372">
            <v>4</v>
          </cell>
        </row>
        <row r="2373">
          <cell r="A2373">
            <v>70414074</v>
          </cell>
          <cell r="B2373" t="str">
            <v>이리자리</v>
          </cell>
          <cell r="C2373" t="str">
            <v>천문</v>
          </cell>
          <cell r="D2373">
            <v>2</v>
          </cell>
          <cell r="E2373" t="str">
            <v>자연</v>
          </cell>
          <cell r="F2373">
            <v>1</v>
          </cell>
          <cell r="G2373" t="str">
            <v>D</v>
          </cell>
          <cell r="H2373">
            <v>1</v>
          </cell>
          <cell r="AW2373" t="str">
            <v/>
          </cell>
          <cell r="BA2373" t="str">
            <v>-</v>
          </cell>
        </row>
        <row r="2374">
          <cell r="A2374">
            <v>70414075</v>
          </cell>
          <cell r="B2374" t="str">
            <v>작은개자리</v>
          </cell>
          <cell r="C2374" t="str">
            <v>천문</v>
          </cell>
          <cell r="D2374">
            <v>2</v>
          </cell>
          <cell r="E2374" t="str">
            <v>자연</v>
          </cell>
          <cell r="F2374">
            <v>1</v>
          </cell>
          <cell r="G2374" t="str">
            <v>B</v>
          </cell>
          <cell r="H2374">
            <v>3</v>
          </cell>
        </row>
        <row r="2375">
          <cell r="A2375">
            <v>70414076</v>
          </cell>
          <cell r="B2375" t="str">
            <v>작은곰자리</v>
          </cell>
          <cell r="C2375" t="str">
            <v>천문</v>
          </cell>
          <cell r="D2375">
            <v>2</v>
          </cell>
          <cell r="E2375" t="str">
            <v>자연</v>
          </cell>
          <cell r="F2375">
            <v>1</v>
          </cell>
          <cell r="G2375" t="str">
            <v>B</v>
          </cell>
          <cell r="H2375">
            <v>3</v>
          </cell>
        </row>
        <row r="2376">
          <cell r="A2376">
            <v>70414077</v>
          </cell>
          <cell r="B2376" t="str">
            <v>전갈자리</v>
          </cell>
          <cell r="C2376" t="str">
            <v>천문</v>
          </cell>
          <cell r="D2376">
            <v>2</v>
          </cell>
          <cell r="E2376" t="str">
            <v>자연</v>
          </cell>
          <cell r="F2376">
            <v>1</v>
          </cell>
          <cell r="G2376" t="str">
            <v>D</v>
          </cell>
          <cell r="H2376">
            <v>1</v>
          </cell>
          <cell r="AW2376" t="str">
            <v/>
          </cell>
          <cell r="BA2376" t="str">
            <v>-</v>
          </cell>
        </row>
        <row r="2377">
          <cell r="A2377">
            <v>70414078</v>
          </cell>
          <cell r="B2377" t="str">
            <v>처녀자리</v>
          </cell>
          <cell r="C2377" t="str">
            <v>천문</v>
          </cell>
          <cell r="D2377">
            <v>2</v>
          </cell>
          <cell r="E2377" t="str">
            <v>자연</v>
          </cell>
          <cell r="F2377">
            <v>1</v>
          </cell>
          <cell r="G2377" t="str">
            <v>C</v>
          </cell>
          <cell r="H2377">
            <v>2</v>
          </cell>
        </row>
        <row r="2378">
          <cell r="A2378">
            <v>70414079</v>
          </cell>
          <cell r="B2378" t="str">
            <v>천칭자리</v>
          </cell>
          <cell r="C2378" t="str">
            <v>천문</v>
          </cell>
          <cell r="D2378">
            <v>2</v>
          </cell>
          <cell r="E2378" t="str">
            <v>자연</v>
          </cell>
          <cell r="F2378">
            <v>1</v>
          </cell>
          <cell r="G2378" t="str">
            <v>B</v>
          </cell>
          <cell r="H2378">
            <v>3</v>
          </cell>
        </row>
        <row r="2379">
          <cell r="A2379">
            <v>70414080</v>
          </cell>
          <cell r="B2379" t="str">
            <v>카노푸스</v>
          </cell>
          <cell r="C2379" t="str">
            <v>천문</v>
          </cell>
          <cell r="D2379">
            <v>2</v>
          </cell>
          <cell r="E2379" t="str">
            <v>자연</v>
          </cell>
          <cell r="F2379">
            <v>1</v>
          </cell>
          <cell r="G2379" t="str">
            <v>B</v>
          </cell>
          <cell r="H2379">
            <v>3</v>
          </cell>
        </row>
        <row r="2380">
          <cell r="A2380">
            <v>70414081</v>
          </cell>
          <cell r="B2380" t="str">
            <v>카스토르</v>
          </cell>
          <cell r="C2380" t="str">
            <v>천문</v>
          </cell>
          <cell r="D2380">
            <v>2</v>
          </cell>
          <cell r="E2380" t="str">
            <v>자연</v>
          </cell>
          <cell r="F2380">
            <v>1</v>
          </cell>
          <cell r="G2380" t="str">
            <v>C</v>
          </cell>
          <cell r="H2380">
            <v>2</v>
          </cell>
        </row>
        <row r="2381">
          <cell r="A2381">
            <v>70414082</v>
          </cell>
          <cell r="B2381" t="str">
            <v>카시오페이아자리</v>
          </cell>
          <cell r="C2381" t="str">
            <v>천문</v>
          </cell>
          <cell r="D2381">
            <v>2</v>
          </cell>
          <cell r="E2381" t="str">
            <v>자연</v>
          </cell>
          <cell r="F2381">
            <v>1</v>
          </cell>
          <cell r="G2381" t="str">
            <v>D</v>
          </cell>
          <cell r="H2381">
            <v>1</v>
          </cell>
          <cell r="AW2381" t="str">
            <v/>
          </cell>
          <cell r="BA2381" t="str">
            <v>-</v>
          </cell>
        </row>
        <row r="2382">
          <cell r="A2382">
            <v>70414083</v>
          </cell>
          <cell r="B2382" t="str">
            <v>카펠라</v>
          </cell>
          <cell r="C2382" t="str">
            <v>천문</v>
          </cell>
          <cell r="D2382">
            <v>2</v>
          </cell>
          <cell r="E2382" t="str">
            <v>자연</v>
          </cell>
          <cell r="F2382">
            <v>1</v>
          </cell>
          <cell r="G2382" t="str">
            <v>B</v>
          </cell>
          <cell r="H2382">
            <v>3</v>
          </cell>
        </row>
        <row r="2383">
          <cell r="A2383">
            <v>70414084</v>
          </cell>
          <cell r="B2383" t="str">
            <v>컵자리</v>
          </cell>
          <cell r="C2383" t="str">
            <v>천문</v>
          </cell>
          <cell r="D2383">
            <v>2</v>
          </cell>
          <cell r="E2383" t="str">
            <v>자연</v>
          </cell>
          <cell r="F2383">
            <v>1</v>
          </cell>
          <cell r="G2383" t="str">
            <v>A</v>
          </cell>
          <cell r="H2383">
            <v>4</v>
          </cell>
        </row>
        <row r="2384">
          <cell r="A2384">
            <v>70414085</v>
          </cell>
          <cell r="B2384" t="str">
            <v>케페우스자리</v>
          </cell>
          <cell r="C2384" t="str">
            <v>천문</v>
          </cell>
          <cell r="D2384">
            <v>2</v>
          </cell>
          <cell r="E2384" t="str">
            <v>자연</v>
          </cell>
          <cell r="F2384">
            <v>1</v>
          </cell>
          <cell r="G2384" t="str">
            <v>D</v>
          </cell>
          <cell r="H2384">
            <v>1</v>
          </cell>
          <cell r="AW2384" t="str">
            <v/>
          </cell>
          <cell r="BA2384" t="str">
            <v>-</v>
          </cell>
        </row>
        <row r="2385">
          <cell r="A2385">
            <v>70414086</v>
          </cell>
          <cell r="B2385" t="str">
            <v>케플러의 신성</v>
          </cell>
          <cell r="C2385" t="str">
            <v>천문</v>
          </cell>
          <cell r="D2385">
            <v>2</v>
          </cell>
          <cell r="E2385" t="str">
            <v>자연</v>
          </cell>
          <cell r="F2385">
            <v>1</v>
          </cell>
          <cell r="G2385" t="str">
            <v>A</v>
          </cell>
          <cell r="H2385">
            <v>4</v>
          </cell>
          <cell r="AW2385" t="str">
            <v>특정 퀘스트(=)</v>
          </cell>
          <cell r="AY2385" t="str">
            <v>가장 빛나는 별</v>
          </cell>
          <cell r="BA2385">
            <v>3</v>
          </cell>
        </row>
        <row r="2386">
          <cell r="A2386">
            <v>70414087</v>
          </cell>
          <cell r="B2386" t="str">
            <v>센타우루스자리</v>
          </cell>
          <cell r="C2386" t="str">
            <v>천문</v>
          </cell>
          <cell r="D2386">
            <v>2</v>
          </cell>
          <cell r="E2386" t="str">
            <v>자연</v>
          </cell>
          <cell r="F2386">
            <v>1</v>
          </cell>
          <cell r="G2386" t="str">
            <v>C</v>
          </cell>
          <cell r="H2386">
            <v>2</v>
          </cell>
        </row>
        <row r="2387">
          <cell r="A2387">
            <v>70414088</v>
          </cell>
          <cell r="B2387" t="str">
            <v>큰개자리</v>
          </cell>
          <cell r="C2387" t="str">
            <v>천문</v>
          </cell>
          <cell r="D2387">
            <v>2</v>
          </cell>
          <cell r="E2387" t="str">
            <v>자연</v>
          </cell>
          <cell r="F2387">
            <v>1</v>
          </cell>
          <cell r="G2387" t="str">
            <v>C</v>
          </cell>
          <cell r="H2387">
            <v>2</v>
          </cell>
        </row>
        <row r="2388">
          <cell r="A2388">
            <v>70414089</v>
          </cell>
          <cell r="B2388" t="str">
            <v>큰곰자리</v>
          </cell>
          <cell r="C2388" t="str">
            <v>천문</v>
          </cell>
          <cell r="D2388">
            <v>2</v>
          </cell>
          <cell r="E2388" t="str">
            <v>자연</v>
          </cell>
          <cell r="F2388">
            <v>1</v>
          </cell>
          <cell r="G2388" t="str">
            <v>B</v>
          </cell>
          <cell r="H2388">
            <v>3</v>
          </cell>
        </row>
        <row r="2389">
          <cell r="A2389">
            <v>70414090</v>
          </cell>
          <cell r="B2389" t="str">
            <v>타이탄</v>
          </cell>
          <cell r="C2389" t="str">
            <v>천문</v>
          </cell>
          <cell r="D2389">
            <v>2</v>
          </cell>
          <cell r="E2389" t="str">
            <v>자연</v>
          </cell>
          <cell r="F2389">
            <v>1</v>
          </cell>
          <cell r="G2389" t="str">
            <v>D</v>
          </cell>
          <cell r="H2389">
            <v>1</v>
          </cell>
          <cell r="AW2389" t="str">
            <v/>
          </cell>
          <cell r="BA2389" t="str">
            <v>-</v>
          </cell>
        </row>
        <row r="2390">
          <cell r="A2390">
            <v>70414091</v>
          </cell>
          <cell r="B2390" t="str">
            <v>태양흑점</v>
          </cell>
          <cell r="C2390" t="str">
            <v>천문</v>
          </cell>
          <cell r="D2390">
            <v>2</v>
          </cell>
          <cell r="E2390" t="str">
            <v>자연</v>
          </cell>
          <cell r="F2390">
            <v>1</v>
          </cell>
          <cell r="G2390" t="str">
            <v>A</v>
          </cell>
          <cell r="H2390">
            <v>4</v>
          </cell>
        </row>
        <row r="2391">
          <cell r="A2391">
            <v>70414092</v>
          </cell>
          <cell r="B2391" t="str">
            <v>토성</v>
          </cell>
          <cell r="C2391" t="str">
            <v>천문</v>
          </cell>
          <cell r="D2391">
            <v>2</v>
          </cell>
          <cell r="E2391" t="str">
            <v>자연</v>
          </cell>
          <cell r="F2391">
            <v>1</v>
          </cell>
          <cell r="G2391" t="str">
            <v>C</v>
          </cell>
          <cell r="H2391">
            <v>2</v>
          </cell>
        </row>
        <row r="2392">
          <cell r="A2392">
            <v>70414093</v>
          </cell>
          <cell r="B2392" t="str">
            <v>토성의 고리</v>
          </cell>
          <cell r="C2392" t="str">
            <v>천문</v>
          </cell>
          <cell r="D2392">
            <v>2</v>
          </cell>
          <cell r="E2392" t="str">
            <v>자연</v>
          </cell>
          <cell r="F2392">
            <v>1</v>
          </cell>
          <cell r="G2392" t="str">
            <v>S</v>
          </cell>
          <cell r="H2392">
            <v>5</v>
          </cell>
        </row>
        <row r="2393">
          <cell r="A2393">
            <v>70414094</v>
          </cell>
          <cell r="B2393" t="str">
            <v>튀코 브라헤의 신성</v>
          </cell>
          <cell r="C2393" t="str">
            <v>천문</v>
          </cell>
          <cell r="D2393">
            <v>2</v>
          </cell>
          <cell r="E2393" t="str">
            <v>자연</v>
          </cell>
          <cell r="F2393">
            <v>1</v>
          </cell>
          <cell r="G2393" t="str">
            <v>C</v>
          </cell>
          <cell r="H2393">
            <v>2</v>
          </cell>
        </row>
        <row r="2394">
          <cell r="A2394">
            <v>70414095</v>
          </cell>
          <cell r="B2394" t="str">
            <v>페가수스자리</v>
          </cell>
          <cell r="C2394" t="str">
            <v>천문</v>
          </cell>
          <cell r="D2394">
            <v>2</v>
          </cell>
          <cell r="E2394" t="str">
            <v>자연</v>
          </cell>
          <cell r="F2394">
            <v>1</v>
          </cell>
          <cell r="G2394" t="str">
            <v>D</v>
          </cell>
          <cell r="H2394">
            <v>1</v>
          </cell>
          <cell r="AW2394" t="str">
            <v/>
          </cell>
          <cell r="BA2394" t="str">
            <v>-</v>
          </cell>
        </row>
        <row r="2395">
          <cell r="A2395">
            <v>70414096</v>
          </cell>
          <cell r="B2395" t="str">
            <v>페르세우스자리</v>
          </cell>
          <cell r="C2395" t="str">
            <v>천문</v>
          </cell>
          <cell r="D2395">
            <v>2</v>
          </cell>
          <cell r="E2395" t="str">
            <v>자연</v>
          </cell>
          <cell r="F2395">
            <v>1</v>
          </cell>
          <cell r="G2395" t="str">
            <v>S</v>
          </cell>
          <cell r="H2395">
            <v>5</v>
          </cell>
        </row>
        <row r="2396">
          <cell r="A2396">
            <v>70414097</v>
          </cell>
          <cell r="B2396" t="str">
            <v>페르세우스자리 유성군</v>
          </cell>
          <cell r="C2396" t="str">
            <v>천문</v>
          </cell>
          <cell r="D2396">
            <v>2</v>
          </cell>
          <cell r="E2396" t="str">
            <v>자연</v>
          </cell>
          <cell r="F2396">
            <v>1</v>
          </cell>
          <cell r="G2396" t="str">
            <v>A</v>
          </cell>
          <cell r="H2396">
            <v>4</v>
          </cell>
        </row>
        <row r="2397">
          <cell r="A2397">
            <v>70414099</v>
          </cell>
          <cell r="B2397" t="str">
            <v>포말하우트</v>
          </cell>
          <cell r="C2397" t="str">
            <v>천문</v>
          </cell>
          <cell r="D2397">
            <v>2</v>
          </cell>
          <cell r="E2397" t="str">
            <v>자연</v>
          </cell>
          <cell r="F2397">
            <v>1</v>
          </cell>
          <cell r="G2397" t="str">
            <v>C</v>
          </cell>
          <cell r="H2397">
            <v>2</v>
          </cell>
        </row>
        <row r="2398">
          <cell r="A2398">
            <v>70414100</v>
          </cell>
          <cell r="B2398" t="str">
            <v>폴룩스</v>
          </cell>
          <cell r="C2398" t="str">
            <v>천문</v>
          </cell>
          <cell r="D2398">
            <v>2</v>
          </cell>
          <cell r="E2398" t="str">
            <v>자연</v>
          </cell>
          <cell r="F2398">
            <v>1</v>
          </cell>
          <cell r="G2398" t="str">
            <v>D</v>
          </cell>
          <cell r="H2398">
            <v>1</v>
          </cell>
          <cell r="AW2398" t="str">
            <v/>
          </cell>
          <cell r="BA2398" t="str">
            <v>-</v>
          </cell>
        </row>
        <row r="2399">
          <cell r="A2399">
            <v>70414101</v>
          </cell>
          <cell r="B2399" t="str">
            <v>프로키온</v>
          </cell>
          <cell r="C2399" t="str">
            <v>천문</v>
          </cell>
          <cell r="D2399">
            <v>2</v>
          </cell>
          <cell r="E2399" t="str">
            <v>자연</v>
          </cell>
          <cell r="F2399">
            <v>1</v>
          </cell>
          <cell r="G2399" t="str">
            <v>C</v>
          </cell>
          <cell r="H2399">
            <v>2</v>
          </cell>
        </row>
        <row r="2400">
          <cell r="A2400">
            <v>70414102</v>
          </cell>
          <cell r="B2400" t="str">
            <v>플레이아데스성단</v>
          </cell>
          <cell r="C2400" t="str">
            <v>천문</v>
          </cell>
          <cell r="D2400">
            <v>2</v>
          </cell>
          <cell r="E2400" t="str">
            <v>자연</v>
          </cell>
          <cell r="F2400">
            <v>1</v>
          </cell>
          <cell r="G2400" t="str">
            <v>D</v>
          </cell>
          <cell r="H2400">
            <v>1</v>
          </cell>
          <cell r="AW2400" t="str">
            <v/>
          </cell>
          <cell r="BA2400" t="str">
            <v>-</v>
          </cell>
        </row>
        <row r="2401">
          <cell r="A2401">
            <v>70414103</v>
          </cell>
          <cell r="B2401" t="str">
            <v>하다르</v>
          </cell>
          <cell r="C2401" t="str">
            <v>천문</v>
          </cell>
          <cell r="D2401">
            <v>2</v>
          </cell>
          <cell r="E2401" t="str">
            <v>자연</v>
          </cell>
          <cell r="F2401">
            <v>1</v>
          </cell>
          <cell r="G2401" t="str">
            <v>B</v>
          </cell>
          <cell r="H2401">
            <v>3</v>
          </cell>
        </row>
        <row r="2402">
          <cell r="A2402">
            <v>70414104</v>
          </cell>
          <cell r="B2402" t="str">
            <v>핼리 혜성</v>
          </cell>
          <cell r="C2402" t="str">
            <v>천문</v>
          </cell>
          <cell r="D2402">
            <v>2</v>
          </cell>
          <cell r="E2402" t="str">
            <v>자연</v>
          </cell>
          <cell r="F2402">
            <v>1</v>
          </cell>
          <cell r="G2402" t="str">
            <v>S</v>
          </cell>
          <cell r="H2402">
            <v>5</v>
          </cell>
          <cell r="AW2402" t="str">
            <v>특정 퀘스트(=)</v>
          </cell>
          <cell r="AY2402" t="str">
            <v>예언의 별</v>
          </cell>
          <cell r="BA2402">
            <v>3</v>
          </cell>
        </row>
        <row r="2403">
          <cell r="A2403">
            <v>70414105</v>
          </cell>
          <cell r="B2403" t="str">
            <v>헤르쿨레스자리</v>
          </cell>
          <cell r="C2403" t="str">
            <v>천문</v>
          </cell>
          <cell r="D2403">
            <v>2</v>
          </cell>
          <cell r="E2403" t="str">
            <v>자연</v>
          </cell>
          <cell r="F2403">
            <v>1</v>
          </cell>
          <cell r="G2403" t="str">
            <v>B</v>
          </cell>
          <cell r="H2403">
            <v>3</v>
          </cell>
        </row>
        <row r="2404">
          <cell r="A2404">
            <v>70414106</v>
          </cell>
          <cell r="B2404" t="str">
            <v>화살자리</v>
          </cell>
          <cell r="C2404" t="str">
            <v>천문</v>
          </cell>
          <cell r="D2404">
            <v>2</v>
          </cell>
          <cell r="E2404" t="str">
            <v>자연</v>
          </cell>
          <cell r="F2404">
            <v>1</v>
          </cell>
          <cell r="G2404" t="str">
            <v>D</v>
          </cell>
          <cell r="H2404">
            <v>1</v>
          </cell>
          <cell r="AW2404" t="str">
            <v/>
          </cell>
          <cell r="BA2404" t="str">
            <v>-</v>
          </cell>
        </row>
        <row r="2405">
          <cell r="A2405">
            <v>70414107</v>
          </cell>
          <cell r="B2405" t="str">
            <v>화성</v>
          </cell>
          <cell r="C2405" t="str">
            <v>천문</v>
          </cell>
          <cell r="D2405">
            <v>2</v>
          </cell>
          <cell r="E2405" t="str">
            <v>자연</v>
          </cell>
          <cell r="F2405">
            <v>1</v>
          </cell>
          <cell r="G2405" t="str">
            <v>B</v>
          </cell>
          <cell r="H2405">
            <v>3</v>
          </cell>
        </row>
        <row r="2406">
          <cell r="A2406">
            <v>70414108</v>
          </cell>
          <cell r="B2406" t="str">
            <v>황소자리</v>
          </cell>
          <cell r="C2406" t="str">
            <v>천문</v>
          </cell>
          <cell r="D2406">
            <v>2</v>
          </cell>
          <cell r="E2406" t="str">
            <v>자연</v>
          </cell>
          <cell r="F2406">
            <v>1</v>
          </cell>
          <cell r="G2406" t="str">
            <v>B</v>
          </cell>
          <cell r="H2406">
            <v>3</v>
          </cell>
        </row>
        <row r="2407">
          <cell r="A2407">
            <v>70415000</v>
          </cell>
          <cell r="B2407" t="str">
            <v>간헐천</v>
          </cell>
          <cell r="C2407" t="str">
            <v>기상 현상</v>
          </cell>
          <cell r="D2407">
            <v>3</v>
          </cell>
          <cell r="E2407" t="str">
            <v>자연</v>
          </cell>
          <cell r="F2407">
            <v>1</v>
          </cell>
          <cell r="G2407" t="str">
            <v>B</v>
          </cell>
          <cell r="H2407">
            <v>3</v>
          </cell>
        </row>
        <row r="2408">
          <cell r="A2408">
            <v>70415001</v>
          </cell>
          <cell r="B2408" t="str">
            <v>구멍 구름</v>
          </cell>
          <cell r="C2408" t="str">
            <v>기상 현상</v>
          </cell>
          <cell r="D2408">
            <v>3</v>
          </cell>
          <cell r="E2408" t="str">
            <v>자연</v>
          </cell>
          <cell r="F2408">
            <v>1</v>
          </cell>
          <cell r="G2408" t="str">
            <v>C</v>
          </cell>
          <cell r="H2408">
            <v>2</v>
          </cell>
        </row>
        <row r="2409">
          <cell r="A2409">
            <v>70415002</v>
          </cell>
          <cell r="B2409" t="str">
            <v>나가의 화염구</v>
          </cell>
          <cell r="C2409" t="str">
            <v>기상 현상</v>
          </cell>
          <cell r="D2409">
            <v>3</v>
          </cell>
          <cell r="E2409" t="str">
            <v>자연</v>
          </cell>
          <cell r="F2409">
            <v>1</v>
          </cell>
          <cell r="G2409" t="str">
            <v>S</v>
          </cell>
          <cell r="H2409">
            <v>5</v>
          </cell>
        </row>
        <row r="2410">
          <cell r="A2410">
            <v>70415003</v>
          </cell>
          <cell r="B2410" t="str">
            <v>달기둥</v>
          </cell>
          <cell r="C2410" t="str">
            <v>기상 현상</v>
          </cell>
          <cell r="D2410">
            <v>3</v>
          </cell>
          <cell r="E2410" t="str">
            <v>자연</v>
          </cell>
          <cell r="F2410">
            <v>1</v>
          </cell>
          <cell r="G2410" t="str">
            <v>A</v>
          </cell>
          <cell r="H2410">
            <v>4</v>
          </cell>
        </row>
        <row r="2411">
          <cell r="A2411">
            <v>70415004</v>
          </cell>
          <cell r="B2411" t="str">
            <v>달무리</v>
          </cell>
          <cell r="C2411" t="str">
            <v>기상 현상</v>
          </cell>
          <cell r="D2411">
            <v>3</v>
          </cell>
          <cell r="E2411" t="str">
            <v>자연</v>
          </cell>
          <cell r="F2411">
            <v>1</v>
          </cell>
          <cell r="G2411" t="str">
            <v>A</v>
          </cell>
          <cell r="H2411">
            <v>4</v>
          </cell>
        </row>
        <row r="2412">
          <cell r="A2412">
            <v>70415005</v>
          </cell>
          <cell r="B2412" t="str">
            <v>렌즈구름</v>
          </cell>
          <cell r="C2412" t="str">
            <v>기상 현상</v>
          </cell>
          <cell r="D2412">
            <v>3</v>
          </cell>
          <cell r="E2412" t="str">
            <v>자연</v>
          </cell>
          <cell r="F2412">
            <v>1</v>
          </cell>
          <cell r="G2412" t="str">
            <v>B</v>
          </cell>
          <cell r="H2412">
            <v>3</v>
          </cell>
        </row>
        <row r="2413">
          <cell r="A2413">
            <v>70415006</v>
          </cell>
          <cell r="B2413" t="str">
            <v>모닝글로리</v>
          </cell>
          <cell r="C2413" t="str">
            <v>기상 현상</v>
          </cell>
          <cell r="D2413">
            <v>3</v>
          </cell>
          <cell r="E2413" t="str">
            <v>자연</v>
          </cell>
          <cell r="F2413">
            <v>1</v>
          </cell>
          <cell r="G2413" t="str">
            <v>S</v>
          </cell>
          <cell r="H2413">
            <v>5</v>
          </cell>
        </row>
        <row r="2414">
          <cell r="A2414">
            <v>70415007</v>
          </cell>
          <cell r="B2414" t="str">
            <v>무지개</v>
          </cell>
          <cell r="C2414" t="str">
            <v>기상 현상</v>
          </cell>
          <cell r="D2414">
            <v>3</v>
          </cell>
          <cell r="E2414" t="str">
            <v>자연</v>
          </cell>
          <cell r="F2414">
            <v>1</v>
          </cell>
          <cell r="G2414" t="str">
            <v>B</v>
          </cell>
          <cell r="H2414">
            <v>3</v>
          </cell>
        </row>
        <row r="2415">
          <cell r="A2415">
            <v>70415008</v>
          </cell>
          <cell r="B2415" t="str">
            <v>무지갯빛 구름</v>
          </cell>
          <cell r="C2415" t="str">
            <v>기상 현상</v>
          </cell>
          <cell r="D2415">
            <v>3</v>
          </cell>
          <cell r="E2415" t="str">
            <v>자연</v>
          </cell>
          <cell r="F2415">
            <v>1</v>
          </cell>
          <cell r="G2415" t="str">
            <v>D</v>
          </cell>
          <cell r="H2415">
            <v>1</v>
          </cell>
          <cell r="AW2415" t="str">
            <v/>
          </cell>
          <cell r="BA2415" t="str">
            <v>-</v>
          </cell>
        </row>
        <row r="2416">
          <cell r="A2416">
            <v>70415009</v>
          </cell>
          <cell r="B2416" t="str">
            <v>블랙 스모커</v>
          </cell>
          <cell r="C2416" t="str">
            <v>기상 현상</v>
          </cell>
          <cell r="D2416">
            <v>3</v>
          </cell>
          <cell r="E2416" t="str">
            <v>자연</v>
          </cell>
          <cell r="F2416">
            <v>1</v>
          </cell>
          <cell r="G2416" t="str">
            <v>A</v>
          </cell>
          <cell r="H2416">
            <v>4</v>
          </cell>
        </row>
        <row r="2417">
          <cell r="A2417">
            <v>70415010</v>
          </cell>
          <cell r="B2417" t="str">
            <v>블러드문</v>
          </cell>
          <cell r="C2417" t="str">
            <v>기상 현상</v>
          </cell>
          <cell r="D2417">
            <v>3</v>
          </cell>
          <cell r="E2417" t="str">
            <v>자연</v>
          </cell>
          <cell r="F2417">
            <v>1</v>
          </cell>
          <cell r="G2417" t="str">
            <v>S</v>
          </cell>
          <cell r="H2417">
            <v>5</v>
          </cell>
        </row>
        <row r="2418">
          <cell r="A2418">
            <v>70415011</v>
          </cell>
          <cell r="B2418" t="str">
            <v>세빙</v>
          </cell>
          <cell r="C2418" t="str">
            <v>기상 현상</v>
          </cell>
          <cell r="D2418">
            <v>3</v>
          </cell>
          <cell r="E2418" t="str">
            <v>자연</v>
          </cell>
          <cell r="F2418">
            <v>1</v>
          </cell>
          <cell r="G2418" t="str">
            <v>B</v>
          </cell>
          <cell r="H2418">
            <v>3</v>
          </cell>
        </row>
        <row r="2419">
          <cell r="A2419">
            <v>70415012</v>
          </cell>
          <cell r="B2419" t="str">
            <v>소용돌이</v>
          </cell>
          <cell r="C2419" t="str">
            <v>기상 현상</v>
          </cell>
          <cell r="D2419">
            <v>3</v>
          </cell>
          <cell r="E2419" t="str">
            <v>자연</v>
          </cell>
          <cell r="F2419">
            <v>1</v>
          </cell>
          <cell r="G2419" t="str">
            <v>A</v>
          </cell>
          <cell r="H2419">
            <v>4</v>
          </cell>
        </row>
        <row r="2420">
          <cell r="A2420">
            <v>70415013</v>
          </cell>
          <cell r="B2420" t="str">
            <v>슈퍼셀</v>
          </cell>
          <cell r="C2420" t="str">
            <v>기상 현상</v>
          </cell>
          <cell r="D2420">
            <v>3</v>
          </cell>
          <cell r="E2420" t="str">
            <v>자연</v>
          </cell>
          <cell r="F2420">
            <v>1</v>
          </cell>
          <cell r="G2420" t="str">
            <v>S</v>
          </cell>
          <cell r="H2420">
            <v>5</v>
          </cell>
        </row>
        <row r="2421">
          <cell r="A2421">
            <v>70415014</v>
          </cell>
          <cell r="B2421" t="str">
            <v>스콜</v>
          </cell>
          <cell r="C2421" t="str">
            <v>기상 현상</v>
          </cell>
          <cell r="D2421">
            <v>3</v>
          </cell>
          <cell r="E2421" t="str">
            <v>자연</v>
          </cell>
          <cell r="F2421">
            <v>1</v>
          </cell>
          <cell r="G2421" t="str">
            <v>C</v>
          </cell>
          <cell r="H2421">
            <v>2</v>
          </cell>
        </row>
        <row r="2422">
          <cell r="A2422">
            <v>70415015</v>
          </cell>
          <cell r="B2422" t="str">
            <v>야광운</v>
          </cell>
          <cell r="C2422" t="str">
            <v>기상 현상</v>
          </cell>
          <cell r="D2422">
            <v>3</v>
          </cell>
          <cell r="E2422" t="str">
            <v>자연</v>
          </cell>
          <cell r="F2422">
            <v>1</v>
          </cell>
          <cell r="G2422" t="str">
            <v>B</v>
          </cell>
          <cell r="H2422">
            <v>3</v>
          </cell>
        </row>
        <row r="2423">
          <cell r="A2423">
            <v>70415016</v>
          </cell>
          <cell r="B2423" t="str">
            <v>양형 번개</v>
          </cell>
          <cell r="C2423" t="str">
            <v>기상 현상</v>
          </cell>
          <cell r="D2423">
            <v>3</v>
          </cell>
          <cell r="E2423" t="str">
            <v>자연</v>
          </cell>
          <cell r="F2423">
            <v>1</v>
          </cell>
          <cell r="G2423" t="str">
            <v>B</v>
          </cell>
          <cell r="H2423">
            <v>3</v>
          </cell>
        </row>
        <row r="2424">
          <cell r="A2424">
            <v>70415017</v>
          </cell>
          <cell r="B2424" t="str">
            <v>얼음 파도</v>
          </cell>
          <cell r="C2424" t="str">
            <v>기상 현상</v>
          </cell>
          <cell r="D2424">
            <v>3</v>
          </cell>
          <cell r="E2424" t="str">
            <v>자연</v>
          </cell>
          <cell r="F2424">
            <v>1</v>
          </cell>
          <cell r="G2424" t="str">
            <v>A</v>
          </cell>
          <cell r="H2424">
            <v>4</v>
          </cell>
        </row>
        <row r="2425">
          <cell r="A2425">
            <v>70415018</v>
          </cell>
          <cell r="B2425" t="str">
            <v>오로라</v>
          </cell>
          <cell r="C2425" t="str">
            <v>기상 현상</v>
          </cell>
          <cell r="D2425">
            <v>3</v>
          </cell>
          <cell r="E2425" t="str">
            <v>자연</v>
          </cell>
          <cell r="F2425">
            <v>1</v>
          </cell>
          <cell r="G2425" t="str">
            <v>S</v>
          </cell>
          <cell r="H2425">
            <v>5</v>
          </cell>
        </row>
        <row r="2426">
          <cell r="A2426">
            <v>70415019</v>
          </cell>
          <cell r="B2426" t="str">
            <v>우박</v>
          </cell>
          <cell r="C2426" t="str">
            <v>기상 현상</v>
          </cell>
          <cell r="D2426">
            <v>3</v>
          </cell>
          <cell r="E2426" t="str">
            <v>자연</v>
          </cell>
          <cell r="F2426">
            <v>1</v>
          </cell>
          <cell r="G2426" t="str">
            <v>A</v>
          </cell>
          <cell r="H2426">
            <v>4</v>
          </cell>
        </row>
        <row r="2427">
          <cell r="A2427">
            <v>70415020</v>
          </cell>
          <cell r="B2427" t="str">
            <v>월식</v>
          </cell>
          <cell r="C2427" t="str">
            <v>기상 현상</v>
          </cell>
          <cell r="D2427">
            <v>3</v>
          </cell>
          <cell r="E2427" t="str">
            <v>자연</v>
          </cell>
          <cell r="F2427">
            <v>1</v>
          </cell>
          <cell r="G2427" t="str">
            <v>S</v>
          </cell>
          <cell r="H2427">
            <v>5</v>
          </cell>
        </row>
        <row r="2428">
          <cell r="A2428">
            <v>70415021</v>
          </cell>
          <cell r="B2428" t="str">
            <v>유성우</v>
          </cell>
          <cell r="C2428" t="str">
            <v>기상 현상</v>
          </cell>
          <cell r="D2428">
            <v>3</v>
          </cell>
          <cell r="E2428" t="str">
            <v>자연</v>
          </cell>
          <cell r="F2428">
            <v>1</v>
          </cell>
          <cell r="G2428" t="str">
            <v>A</v>
          </cell>
          <cell r="H2428">
            <v>4</v>
          </cell>
        </row>
        <row r="2429">
          <cell r="A2429">
            <v>70415022</v>
          </cell>
          <cell r="B2429" t="str">
            <v>일식</v>
          </cell>
          <cell r="C2429" t="str">
            <v>기상 현상</v>
          </cell>
          <cell r="D2429">
            <v>3</v>
          </cell>
          <cell r="E2429" t="str">
            <v>자연</v>
          </cell>
          <cell r="F2429">
            <v>1</v>
          </cell>
          <cell r="G2429" t="str">
            <v>S</v>
          </cell>
          <cell r="H2429">
            <v>5</v>
          </cell>
        </row>
        <row r="2430">
          <cell r="A2430">
            <v>70415023</v>
          </cell>
          <cell r="B2430" t="str">
            <v>자개구름</v>
          </cell>
          <cell r="C2430" t="str">
            <v>기상 현상</v>
          </cell>
          <cell r="D2430">
            <v>3</v>
          </cell>
          <cell r="E2430" t="str">
            <v>자연</v>
          </cell>
          <cell r="F2430">
            <v>1</v>
          </cell>
          <cell r="G2430" t="str">
            <v>A</v>
          </cell>
          <cell r="H2430">
            <v>4</v>
          </cell>
        </row>
        <row r="2431">
          <cell r="A2431">
            <v>70415024</v>
          </cell>
          <cell r="B2431" t="str">
            <v>짙은 안개</v>
          </cell>
          <cell r="C2431" t="str">
            <v>기상 현상</v>
          </cell>
          <cell r="D2431">
            <v>3</v>
          </cell>
          <cell r="E2431" t="str">
            <v>자연</v>
          </cell>
          <cell r="F2431">
            <v>1</v>
          </cell>
          <cell r="G2431" t="str">
            <v>D</v>
          </cell>
          <cell r="H2431">
            <v>1</v>
          </cell>
          <cell r="AW2431" t="str">
            <v/>
          </cell>
        </row>
        <row r="2432">
          <cell r="A2432">
            <v>70415025</v>
          </cell>
          <cell r="B2432" t="str">
            <v>채운</v>
          </cell>
          <cell r="C2432" t="str">
            <v>기상 현상</v>
          </cell>
          <cell r="D2432">
            <v>3</v>
          </cell>
          <cell r="E2432" t="str">
            <v>자연</v>
          </cell>
          <cell r="F2432">
            <v>1</v>
          </cell>
          <cell r="G2432" t="str">
            <v>C</v>
          </cell>
          <cell r="H2432">
            <v>2</v>
          </cell>
        </row>
        <row r="2433">
          <cell r="A2433">
            <v>70415026</v>
          </cell>
          <cell r="B2433" t="str">
            <v>카타툼보 번개</v>
          </cell>
          <cell r="C2433" t="str">
            <v>기상 현상</v>
          </cell>
          <cell r="D2433">
            <v>3</v>
          </cell>
          <cell r="E2433" t="str">
            <v>자연</v>
          </cell>
          <cell r="F2433">
            <v>1</v>
          </cell>
          <cell r="G2433" t="str">
            <v>S</v>
          </cell>
          <cell r="H2433">
            <v>5</v>
          </cell>
        </row>
        <row r="2434">
          <cell r="A2434">
            <v>70415027</v>
          </cell>
          <cell r="B2434" t="str">
            <v>카푸치노 코스트</v>
          </cell>
          <cell r="C2434" t="str">
            <v>기상 현상</v>
          </cell>
          <cell r="D2434">
            <v>3</v>
          </cell>
          <cell r="E2434" t="str">
            <v>자연</v>
          </cell>
          <cell r="F2434">
            <v>1</v>
          </cell>
          <cell r="G2434" t="str">
            <v>A</v>
          </cell>
          <cell r="H2434">
            <v>4</v>
          </cell>
        </row>
        <row r="2435">
          <cell r="A2435">
            <v>70415028</v>
          </cell>
          <cell r="B2435" t="str">
            <v>토네이도</v>
          </cell>
          <cell r="C2435" t="str">
            <v>기상 현상</v>
          </cell>
          <cell r="D2435">
            <v>3</v>
          </cell>
          <cell r="E2435" t="str">
            <v>자연</v>
          </cell>
          <cell r="F2435">
            <v>1</v>
          </cell>
          <cell r="G2435" t="str">
            <v>B</v>
          </cell>
          <cell r="H2435">
            <v>3</v>
          </cell>
        </row>
        <row r="2436">
          <cell r="A2436">
            <v>70415029</v>
          </cell>
          <cell r="B2436" t="str">
            <v>페니텐트</v>
          </cell>
          <cell r="C2436" t="str">
            <v>기상 현상</v>
          </cell>
          <cell r="D2436">
            <v>3</v>
          </cell>
          <cell r="E2436" t="str">
            <v>자연</v>
          </cell>
          <cell r="F2436">
            <v>1</v>
          </cell>
          <cell r="G2436" t="str">
            <v>B</v>
          </cell>
          <cell r="H2436">
            <v>3</v>
          </cell>
        </row>
        <row r="2437">
          <cell r="A2437">
            <v>70415030</v>
          </cell>
          <cell r="B2437" t="str">
            <v>포로로카</v>
          </cell>
          <cell r="C2437" t="str">
            <v>기상 현상</v>
          </cell>
          <cell r="D2437">
            <v>3</v>
          </cell>
          <cell r="E2437" t="str">
            <v>자연</v>
          </cell>
          <cell r="F2437">
            <v>1</v>
          </cell>
          <cell r="G2437" t="str">
            <v>B</v>
          </cell>
          <cell r="H2437">
            <v>3</v>
          </cell>
        </row>
        <row r="2438">
          <cell r="A2438">
            <v>70415031</v>
          </cell>
          <cell r="B2438" t="str">
            <v>프로스트 플라워</v>
          </cell>
          <cell r="C2438" t="str">
            <v>기상 현상</v>
          </cell>
          <cell r="D2438">
            <v>3</v>
          </cell>
          <cell r="E2438" t="str">
            <v>자연</v>
          </cell>
          <cell r="F2438">
            <v>1</v>
          </cell>
          <cell r="G2438" t="str">
            <v>A</v>
          </cell>
          <cell r="H2438">
            <v>4</v>
          </cell>
        </row>
        <row r="2439">
          <cell r="A2439">
            <v>70415032</v>
          </cell>
          <cell r="B2439" t="str">
            <v>하부브</v>
          </cell>
          <cell r="C2439" t="str">
            <v>기상 현상</v>
          </cell>
          <cell r="D2439">
            <v>3</v>
          </cell>
          <cell r="E2439" t="str">
            <v>자연</v>
          </cell>
          <cell r="F2439">
            <v>1</v>
          </cell>
          <cell r="G2439" t="str">
            <v>B</v>
          </cell>
          <cell r="H2439">
            <v>3</v>
          </cell>
        </row>
        <row r="2440">
          <cell r="A2440">
            <v>70415033</v>
          </cell>
          <cell r="B2440" t="str">
            <v>해기둥</v>
          </cell>
          <cell r="C2440" t="str">
            <v>기상 현상</v>
          </cell>
          <cell r="D2440">
            <v>3</v>
          </cell>
          <cell r="E2440" t="str">
            <v>자연</v>
          </cell>
          <cell r="F2440">
            <v>1</v>
          </cell>
          <cell r="G2440" t="str">
            <v>A</v>
          </cell>
          <cell r="H2440">
            <v>4</v>
          </cell>
        </row>
        <row r="2441">
          <cell r="A2441">
            <v>70415034</v>
          </cell>
          <cell r="B2441" t="str">
            <v>해저화산</v>
          </cell>
          <cell r="C2441" t="str">
            <v>기상 현상</v>
          </cell>
          <cell r="D2441">
            <v>3</v>
          </cell>
          <cell r="E2441" t="str">
            <v>자연</v>
          </cell>
          <cell r="F2441">
            <v>1</v>
          </cell>
          <cell r="G2441" t="str">
            <v>B</v>
          </cell>
          <cell r="H2441">
            <v>3</v>
          </cell>
        </row>
        <row r="2442">
          <cell r="A2442">
            <v>70415035</v>
          </cell>
          <cell r="B2442" t="str">
            <v>화구</v>
          </cell>
          <cell r="C2442" t="str">
            <v>기상 현상</v>
          </cell>
          <cell r="D2442">
            <v>3</v>
          </cell>
          <cell r="E2442" t="str">
            <v>자연</v>
          </cell>
          <cell r="F2442">
            <v>1</v>
          </cell>
          <cell r="G2442" t="str">
            <v>A</v>
          </cell>
          <cell r="H2442">
            <v>4</v>
          </cell>
        </row>
        <row r="2443">
          <cell r="A2443">
            <v>70415036</v>
          </cell>
          <cell r="B2443" t="str">
            <v>환수평호</v>
          </cell>
          <cell r="C2443" t="str">
            <v>기상 현상</v>
          </cell>
          <cell r="D2443">
            <v>3</v>
          </cell>
          <cell r="E2443" t="str">
            <v>자연</v>
          </cell>
          <cell r="F2443">
            <v>1</v>
          </cell>
          <cell r="G2443" t="str">
            <v>A</v>
          </cell>
          <cell r="H2443">
            <v>4</v>
          </cell>
        </row>
        <row r="2444">
          <cell r="A2444">
            <v>70415037</v>
          </cell>
          <cell r="B2444" t="str">
            <v>환일</v>
          </cell>
          <cell r="C2444" t="str">
            <v>기상 현상</v>
          </cell>
          <cell r="D2444">
            <v>3</v>
          </cell>
          <cell r="E2444" t="str">
            <v>자연</v>
          </cell>
          <cell r="F2444">
            <v>1</v>
          </cell>
          <cell r="G2444" t="str">
            <v>B</v>
          </cell>
          <cell r="H2444">
            <v>3</v>
          </cell>
        </row>
        <row r="2445">
          <cell r="A2445">
            <v>70415038</v>
          </cell>
          <cell r="B2445" t="str">
            <v>황사</v>
          </cell>
          <cell r="C2445" t="str">
            <v>기상 현상</v>
          </cell>
          <cell r="D2445">
            <v>3</v>
          </cell>
          <cell r="E2445" t="str">
            <v>자연</v>
          </cell>
          <cell r="F2445">
            <v>1</v>
          </cell>
          <cell r="G2445" t="str">
            <v>D</v>
          </cell>
          <cell r="H2445">
            <v>1</v>
          </cell>
          <cell r="AW2445" t="str">
            <v/>
          </cell>
          <cell r="BA2445" t="str">
            <v>-</v>
          </cell>
        </row>
        <row r="2446">
          <cell r="A2446">
            <v>70416000</v>
          </cell>
          <cell r="B2446" t="str">
            <v>갈리아인과 그의 처</v>
          </cell>
          <cell r="C2446" t="str">
            <v>미술품</v>
          </cell>
          <cell r="D2446">
            <v>17</v>
          </cell>
          <cell r="E2446" t="str">
            <v>보물</v>
          </cell>
          <cell r="F2446">
            <v>6</v>
          </cell>
          <cell r="G2446" t="str">
            <v>D</v>
          </cell>
          <cell r="H2446">
            <v>1</v>
          </cell>
          <cell r="AW2446" t="str">
            <v/>
          </cell>
          <cell r="BA2446" t="str">
            <v>-</v>
          </cell>
        </row>
        <row r="2447">
          <cell r="A2447">
            <v>70416001</v>
          </cell>
          <cell r="B2447" t="str">
            <v>검은 방울새의 성모</v>
          </cell>
          <cell r="C2447" t="str">
            <v>미술품</v>
          </cell>
          <cell r="D2447">
            <v>17</v>
          </cell>
          <cell r="E2447" t="str">
            <v>보물</v>
          </cell>
          <cell r="F2447">
            <v>6</v>
          </cell>
          <cell r="G2447" t="str">
            <v>A</v>
          </cell>
          <cell r="H2447">
            <v>4</v>
          </cell>
        </row>
        <row r="2448">
          <cell r="A2448">
            <v>70416002</v>
          </cell>
          <cell r="B2448" t="str">
            <v>겐지 이야기 화첩</v>
          </cell>
          <cell r="C2448" t="str">
            <v>미술품</v>
          </cell>
          <cell r="D2448">
            <v>17</v>
          </cell>
          <cell r="E2448" t="str">
            <v>보물</v>
          </cell>
          <cell r="F2448">
            <v>6</v>
          </cell>
          <cell r="G2448" t="str">
            <v>S</v>
          </cell>
          <cell r="H2448">
            <v>5</v>
          </cell>
        </row>
        <row r="2449">
          <cell r="A2449">
            <v>70416003</v>
          </cell>
          <cell r="B2449" t="str">
            <v>고사관수도</v>
          </cell>
          <cell r="C2449" t="str">
            <v>미술품</v>
          </cell>
          <cell r="D2449">
            <v>17</v>
          </cell>
          <cell r="E2449" t="str">
            <v>보물</v>
          </cell>
          <cell r="F2449">
            <v>6</v>
          </cell>
          <cell r="G2449" t="str">
            <v>S</v>
          </cell>
          <cell r="H2449">
            <v>5</v>
          </cell>
        </row>
        <row r="2450">
          <cell r="A2450">
            <v>70416004</v>
          </cell>
          <cell r="B2450" t="str">
            <v>골고다 언덕</v>
          </cell>
          <cell r="C2450" t="str">
            <v>미술품</v>
          </cell>
          <cell r="D2450">
            <v>17</v>
          </cell>
          <cell r="E2450" t="str">
            <v>보물</v>
          </cell>
          <cell r="F2450">
            <v>6</v>
          </cell>
          <cell r="G2450" t="str">
            <v>B</v>
          </cell>
          <cell r="H2450">
            <v>3</v>
          </cell>
        </row>
        <row r="2451">
          <cell r="A2451">
            <v>70416005</v>
          </cell>
          <cell r="B2451" t="str">
            <v>그리스도의 세례</v>
          </cell>
          <cell r="C2451" t="str">
            <v>미술품</v>
          </cell>
          <cell r="D2451">
            <v>17</v>
          </cell>
          <cell r="E2451" t="str">
            <v>보물</v>
          </cell>
          <cell r="F2451">
            <v>6</v>
          </cell>
          <cell r="G2451" t="str">
            <v>B</v>
          </cell>
          <cell r="H2451">
            <v>3</v>
          </cell>
        </row>
        <row r="2452">
          <cell r="A2452">
            <v>70416006</v>
          </cell>
          <cell r="B2452" t="str">
            <v>내경도</v>
          </cell>
          <cell r="C2452" t="str">
            <v>미술품</v>
          </cell>
          <cell r="D2452">
            <v>17</v>
          </cell>
          <cell r="E2452" t="str">
            <v>보물</v>
          </cell>
          <cell r="F2452">
            <v>6</v>
          </cell>
          <cell r="G2452" t="str">
            <v>S</v>
          </cell>
          <cell r="H2452">
            <v>5</v>
          </cell>
        </row>
        <row r="2453">
          <cell r="A2453">
            <v>70416007</v>
          </cell>
          <cell r="B2453" t="str">
            <v>4명의 사도</v>
          </cell>
          <cell r="C2453" t="str">
            <v>미술품</v>
          </cell>
          <cell r="D2453">
            <v>17</v>
          </cell>
          <cell r="E2453" t="str">
            <v>보물</v>
          </cell>
          <cell r="F2453">
            <v>6</v>
          </cell>
          <cell r="G2453" t="str">
            <v>A</v>
          </cell>
          <cell r="H2453">
            <v>4</v>
          </cell>
        </row>
        <row r="2454">
          <cell r="A2454">
            <v>70416008</v>
          </cell>
          <cell r="B2454" t="str">
            <v>네덜란드의 속담</v>
          </cell>
          <cell r="C2454" t="str">
            <v>미술품</v>
          </cell>
          <cell r="D2454">
            <v>17</v>
          </cell>
          <cell r="E2454" t="str">
            <v>보물</v>
          </cell>
          <cell r="F2454">
            <v>6</v>
          </cell>
          <cell r="G2454" t="str">
            <v>A</v>
          </cell>
          <cell r="H2454">
            <v>4</v>
          </cell>
        </row>
        <row r="2455">
          <cell r="A2455">
            <v>70416009</v>
          </cell>
          <cell r="B2455" t="str">
            <v>다비드</v>
          </cell>
          <cell r="C2455" t="str">
            <v>미술품</v>
          </cell>
          <cell r="D2455">
            <v>17</v>
          </cell>
          <cell r="E2455" t="str">
            <v>보물</v>
          </cell>
          <cell r="F2455">
            <v>6</v>
          </cell>
          <cell r="G2455" t="str">
            <v>S</v>
          </cell>
          <cell r="H2455">
            <v>5</v>
          </cell>
        </row>
        <row r="2456">
          <cell r="A2456">
            <v>70416010</v>
          </cell>
          <cell r="B2456" t="str">
            <v>라오콘</v>
          </cell>
          <cell r="C2456" t="str">
            <v>미술품</v>
          </cell>
          <cell r="D2456">
            <v>17</v>
          </cell>
          <cell r="E2456" t="str">
            <v>보물</v>
          </cell>
          <cell r="F2456">
            <v>6</v>
          </cell>
          <cell r="G2456" t="str">
            <v>A</v>
          </cell>
          <cell r="H2456">
            <v>4</v>
          </cell>
        </row>
        <row r="2457">
          <cell r="A2457">
            <v>70416011</v>
          </cell>
          <cell r="B2457" t="str">
            <v>마기의 예배</v>
          </cell>
          <cell r="C2457" t="str">
            <v>미술품</v>
          </cell>
          <cell r="D2457">
            <v>17</v>
          </cell>
          <cell r="E2457" t="str">
            <v>보물</v>
          </cell>
          <cell r="F2457">
            <v>6</v>
          </cell>
          <cell r="G2457" t="str">
            <v>B</v>
          </cell>
          <cell r="H2457">
            <v>3</v>
          </cell>
        </row>
        <row r="2458">
          <cell r="A2458">
            <v>70416012</v>
          </cell>
          <cell r="B2458" t="str">
            <v>마리아의 수태고지</v>
          </cell>
          <cell r="C2458" t="str">
            <v>미술품</v>
          </cell>
          <cell r="D2458">
            <v>17</v>
          </cell>
          <cell r="E2458" t="str">
            <v>보물</v>
          </cell>
          <cell r="F2458">
            <v>6</v>
          </cell>
          <cell r="G2458" t="str">
            <v>A</v>
          </cell>
          <cell r="H2458">
            <v>4</v>
          </cell>
        </row>
        <row r="2459">
          <cell r="A2459">
            <v>70416014</v>
          </cell>
          <cell r="B2459" t="str">
            <v>막달라 마리아</v>
          </cell>
          <cell r="C2459" t="str">
            <v>미술품</v>
          </cell>
          <cell r="D2459">
            <v>17</v>
          </cell>
          <cell r="E2459" t="str">
            <v>보물</v>
          </cell>
          <cell r="F2459">
            <v>6</v>
          </cell>
          <cell r="G2459" t="str">
            <v>B</v>
          </cell>
          <cell r="H2459">
            <v>3</v>
          </cell>
        </row>
        <row r="2460">
          <cell r="A2460">
            <v>70416015</v>
          </cell>
          <cell r="B2460" t="str">
            <v>막시밀리안의 수렵</v>
          </cell>
          <cell r="C2460" t="str">
            <v>미술품</v>
          </cell>
          <cell r="D2460">
            <v>17</v>
          </cell>
          <cell r="E2460" t="str">
            <v>보물</v>
          </cell>
          <cell r="F2460">
            <v>6</v>
          </cell>
          <cell r="G2460" t="str">
            <v>S</v>
          </cell>
          <cell r="H2460">
            <v>5</v>
          </cell>
        </row>
        <row r="2461">
          <cell r="A2461">
            <v>70416016</v>
          </cell>
          <cell r="B2461" t="str">
            <v>메추리와 난초</v>
          </cell>
          <cell r="C2461" t="str">
            <v>미술품</v>
          </cell>
          <cell r="D2461">
            <v>17</v>
          </cell>
          <cell r="E2461" t="str">
            <v>보물</v>
          </cell>
          <cell r="F2461">
            <v>6</v>
          </cell>
          <cell r="G2461" t="str">
            <v>S</v>
          </cell>
          <cell r="H2461">
            <v>5</v>
          </cell>
        </row>
        <row r="2462">
          <cell r="A2462">
            <v>70416018</v>
          </cell>
          <cell r="B2462" t="str">
            <v>모견도</v>
          </cell>
          <cell r="C2462" t="str">
            <v>미술품</v>
          </cell>
          <cell r="D2462">
            <v>17</v>
          </cell>
          <cell r="E2462" t="str">
            <v>보물</v>
          </cell>
          <cell r="F2462">
            <v>6</v>
          </cell>
          <cell r="G2462" t="str">
            <v>C</v>
          </cell>
          <cell r="H2462">
            <v>2</v>
          </cell>
        </row>
        <row r="2463">
          <cell r="A2463">
            <v>70416019</v>
          </cell>
          <cell r="B2463" t="str">
            <v>모나리자</v>
          </cell>
          <cell r="C2463" t="str">
            <v>미술품</v>
          </cell>
          <cell r="D2463">
            <v>17</v>
          </cell>
          <cell r="E2463" t="str">
            <v>보물</v>
          </cell>
          <cell r="F2463">
            <v>6</v>
          </cell>
          <cell r="G2463" t="str">
            <v>S</v>
          </cell>
          <cell r="H2463">
            <v>5</v>
          </cell>
        </row>
        <row r="2464">
          <cell r="A2464">
            <v>70416020</v>
          </cell>
          <cell r="B2464" t="str">
            <v>모세</v>
          </cell>
          <cell r="C2464" t="str">
            <v>미술품</v>
          </cell>
          <cell r="D2464">
            <v>17</v>
          </cell>
          <cell r="E2464" t="str">
            <v>보물</v>
          </cell>
          <cell r="F2464">
            <v>6</v>
          </cell>
          <cell r="G2464" t="str">
            <v>A</v>
          </cell>
          <cell r="H2464">
            <v>4</v>
          </cell>
        </row>
        <row r="2465">
          <cell r="A2465">
            <v>70416021</v>
          </cell>
          <cell r="B2465" t="str">
            <v>목우도</v>
          </cell>
          <cell r="C2465" t="str">
            <v>미술품</v>
          </cell>
          <cell r="D2465">
            <v>17</v>
          </cell>
          <cell r="E2465" t="str">
            <v>보물</v>
          </cell>
          <cell r="F2465">
            <v>6</v>
          </cell>
          <cell r="G2465" t="str">
            <v>B</v>
          </cell>
          <cell r="H2465">
            <v>3</v>
          </cell>
        </row>
        <row r="2466">
          <cell r="A2466">
            <v>70416022</v>
          </cell>
          <cell r="B2466" t="str">
            <v>몽유도원도</v>
          </cell>
          <cell r="C2466" t="str">
            <v>미술품</v>
          </cell>
          <cell r="D2466">
            <v>17</v>
          </cell>
          <cell r="E2466" t="str">
            <v>보물</v>
          </cell>
          <cell r="F2466">
            <v>6</v>
          </cell>
          <cell r="G2466" t="str">
            <v>A</v>
          </cell>
          <cell r="H2466">
            <v>4</v>
          </cell>
        </row>
        <row r="2467">
          <cell r="A2467">
            <v>70416023</v>
          </cell>
          <cell r="B2467" t="str">
            <v>밀로의 비너스</v>
          </cell>
          <cell r="C2467" t="str">
            <v>미술품</v>
          </cell>
          <cell r="D2467">
            <v>17</v>
          </cell>
          <cell r="E2467" t="str">
            <v>보물</v>
          </cell>
          <cell r="F2467">
            <v>6</v>
          </cell>
          <cell r="G2467" t="str">
            <v>B</v>
          </cell>
          <cell r="H2467">
            <v>3</v>
          </cell>
        </row>
        <row r="2468">
          <cell r="A2468">
            <v>70416024</v>
          </cell>
          <cell r="B2468" t="str">
            <v>바이외 태피스트리</v>
          </cell>
          <cell r="C2468" t="str">
            <v>미술품</v>
          </cell>
          <cell r="D2468">
            <v>17</v>
          </cell>
          <cell r="E2468" t="str">
            <v>보물</v>
          </cell>
          <cell r="F2468">
            <v>6</v>
          </cell>
          <cell r="G2468" t="str">
            <v>A</v>
          </cell>
          <cell r="H2468">
            <v>4</v>
          </cell>
        </row>
        <row r="2469">
          <cell r="A2469">
            <v>70416025</v>
          </cell>
          <cell r="B2469" t="str">
            <v>베일을 쓴 여인</v>
          </cell>
          <cell r="C2469" t="str">
            <v>미술품</v>
          </cell>
          <cell r="D2469">
            <v>17</v>
          </cell>
          <cell r="E2469" t="str">
            <v>보물</v>
          </cell>
          <cell r="F2469">
            <v>6</v>
          </cell>
          <cell r="G2469" t="str">
            <v>D</v>
          </cell>
          <cell r="H2469">
            <v>1</v>
          </cell>
          <cell r="AW2469" t="str">
            <v/>
          </cell>
          <cell r="BA2469" t="str">
            <v>-</v>
          </cell>
        </row>
        <row r="2470">
          <cell r="A2470">
            <v>70416026</v>
          </cell>
          <cell r="B2470" t="str">
            <v>부춘산거도</v>
          </cell>
          <cell r="C2470" t="str">
            <v>미술품</v>
          </cell>
          <cell r="D2470">
            <v>17</v>
          </cell>
          <cell r="E2470" t="str">
            <v>보물</v>
          </cell>
          <cell r="F2470">
            <v>6</v>
          </cell>
          <cell r="G2470" t="str">
            <v>A</v>
          </cell>
          <cell r="H2470">
            <v>4</v>
          </cell>
        </row>
        <row r="2471">
          <cell r="A2471">
            <v>70416027</v>
          </cell>
          <cell r="B2471" t="str">
            <v>비너스의 탄생</v>
          </cell>
          <cell r="C2471" t="str">
            <v>미술품</v>
          </cell>
          <cell r="D2471">
            <v>17</v>
          </cell>
          <cell r="E2471" t="str">
            <v>보물</v>
          </cell>
          <cell r="F2471">
            <v>6</v>
          </cell>
          <cell r="G2471" t="str">
            <v>S</v>
          </cell>
          <cell r="H2471">
            <v>5</v>
          </cell>
        </row>
        <row r="2472">
          <cell r="A2472">
            <v>70416028</v>
          </cell>
          <cell r="B2472" t="str">
            <v>비트루비우스의 인체도</v>
          </cell>
          <cell r="C2472" t="str">
            <v>미술품</v>
          </cell>
          <cell r="D2472">
            <v>17</v>
          </cell>
          <cell r="E2472" t="str">
            <v>보물</v>
          </cell>
          <cell r="F2472">
            <v>6</v>
          </cell>
          <cell r="G2472" t="str">
            <v>B</v>
          </cell>
          <cell r="H2472">
            <v>3</v>
          </cell>
        </row>
        <row r="2473">
          <cell r="A2473">
            <v>70416029</v>
          </cell>
          <cell r="B2473" t="str">
            <v>사계산수도</v>
          </cell>
          <cell r="C2473" t="str">
            <v>미술품</v>
          </cell>
          <cell r="D2473">
            <v>17</v>
          </cell>
          <cell r="E2473" t="str">
            <v>보물</v>
          </cell>
          <cell r="F2473">
            <v>6</v>
          </cell>
          <cell r="G2473" t="str">
            <v>A</v>
          </cell>
          <cell r="H2473">
            <v>4</v>
          </cell>
        </row>
        <row r="2474">
          <cell r="A2474">
            <v>70416030</v>
          </cell>
          <cell r="B2474" t="str">
            <v>사모트라케의 니케상</v>
          </cell>
          <cell r="C2474" t="str">
            <v>종교유물</v>
          </cell>
          <cell r="D2474">
            <v>16</v>
          </cell>
          <cell r="E2474" t="str">
            <v>보물</v>
          </cell>
          <cell r="F2474">
            <v>6</v>
          </cell>
          <cell r="G2474" t="str">
            <v>A</v>
          </cell>
          <cell r="H2474">
            <v>4</v>
          </cell>
        </row>
        <row r="2475">
          <cell r="A2475">
            <v>70416031</v>
          </cell>
          <cell r="B2475" t="str">
            <v>살리에라</v>
          </cell>
          <cell r="C2475" t="str">
            <v>미술품</v>
          </cell>
          <cell r="D2475">
            <v>17</v>
          </cell>
          <cell r="E2475" t="str">
            <v>보물</v>
          </cell>
          <cell r="F2475">
            <v>6</v>
          </cell>
          <cell r="G2475" t="str">
            <v>A</v>
          </cell>
          <cell r="H2475">
            <v>4</v>
          </cell>
        </row>
        <row r="2476">
          <cell r="A2476">
            <v>70416032</v>
          </cell>
          <cell r="B2476" t="str">
            <v>생 드니의 순교</v>
          </cell>
          <cell r="C2476" t="str">
            <v>미술품</v>
          </cell>
          <cell r="D2476">
            <v>17</v>
          </cell>
          <cell r="E2476" t="str">
            <v>보물</v>
          </cell>
          <cell r="F2476">
            <v>6</v>
          </cell>
          <cell r="G2476" t="str">
            <v>B</v>
          </cell>
          <cell r="H2476">
            <v>3</v>
          </cell>
        </row>
        <row r="2477">
          <cell r="A2477">
            <v>70416033</v>
          </cell>
          <cell r="B2477" t="str">
            <v>성가족</v>
          </cell>
          <cell r="C2477" t="str">
            <v>미술품</v>
          </cell>
          <cell r="D2477">
            <v>17</v>
          </cell>
          <cell r="E2477" t="str">
            <v>보물</v>
          </cell>
          <cell r="F2477">
            <v>6</v>
          </cell>
          <cell r="G2477" t="str">
            <v>B</v>
          </cell>
          <cell r="H2477">
            <v>3</v>
          </cell>
        </row>
        <row r="2478">
          <cell r="A2478">
            <v>70416034</v>
          </cell>
          <cell r="B2478" t="str">
            <v>성녀 베로니카</v>
          </cell>
          <cell r="C2478" t="str">
            <v>미술품</v>
          </cell>
          <cell r="D2478">
            <v>17</v>
          </cell>
          <cell r="E2478" t="str">
            <v>보물</v>
          </cell>
          <cell r="F2478">
            <v>6</v>
          </cell>
          <cell r="G2478" t="str">
            <v>A</v>
          </cell>
          <cell r="H2478">
            <v>4</v>
          </cell>
        </row>
        <row r="2479">
          <cell r="A2479">
            <v>70416035</v>
          </cell>
          <cell r="B2479" t="str">
            <v>성모자와 두천사</v>
          </cell>
          <cell r="C2479" t="str">
            <v>미술품</v>
          </cell>
          <cell r="D2479">
            <v>17</v>
          </cell>
          <cell r="E2479" t="str">
            <v>보물</v>
          </cell>
          <cell r="F2479">
            <v>6</v>
          </cell>
          <cell r="G2479" t="str">
            <v>B</v>
          </cell>
          <cell r="H2479">
            <v>3</v>
          </cell>
        </row>
        <row r="2480">
          <cell r="A2480">
            <v>70416036</v>
          </cell>
          <cell r="B2480" t="str">
            <v>성모자와 성 요한</v>
          </cell>
          <cell r="C2480" t="str">
            <v>미술품</v>
          </cell>
          <cell r="D2480">
            <v>17</v>
          </cell>
          <cell r="E2480" t="str">
            <v>보물</v>
          </cell>
          <cell r="F2480">
            <v>6</v>
          </cell>
          <cell r="G2480" t="str">
            <v>B</v>
          </cell>
          <cell r="H2480">
            <v>3</v>
          </cell>
        </row>
        <row r="2481">
          <cell r="A2481">
            <v>70416037</v>
          </cell>
          <cell r="B2481" t="str">
            <v>성모자와 아기 성 요한</v>
          </cell>
          <cell r="C2481" t="str">
            <v>미술품</v>
          </cell>
          <cell r="D2481">
            <v>17</v>
          </cell>
          <cell r="E2481" t="str">
            <v>보물</v>
          </cell>
          <cell r="F2481">
            <v>6</v>
          </cell>
          <cell r="G2481" t="str">
            <v>C</v>
          </cell>
          <cell r="H2481">
            <v>2</v>
          </cell>
        </row>
        <row r="2482">
          <cell r="A2482">
            <v>70416038</v>
          </cell>
          <cell r="B2482" t="str">
            <v>성모승천</v>
          </cell>
          <cell r="C2482" t="str">
            <v>미술품</v>
          </cell>
          <cell r="D2482">
            <v>17</v>
          </cell>
          <cell r="E2482" t="str">
            <v>보물</v>
          </cell>
          <cell r="F2482">
            <v>6</v>
          </cell>
          <cell r="G2482" t="str">
            <v>S</v>
          </cell>
          <cell r="H2482">
            <v>5</v>
          </cell>
        </row>
        <row r="2483">
          <cell r="A2483">
            <v>70416039</v>
          </cell>
          <cell r="B2483" t="str">
            <v>성 안나와 성모자</v>
          </cell>
          <cell r="C2483" t="str">
            <v>미술품</v>
          </cell>
          <cell r="D2483">
            <v>17</v>
          </cell>
          <cell r="E2483" t="str">
            <v>보물</v>
          </cell>
          <cell r="F2483">
            <v>6</v>
          </cell>
          <cell r="G2483" t="str">
            <v>A</v>
          </cell>
          <cell r="H2483">
            <v>4</v>
          </cell>
        </row>
        <row r="2484">
          <cell r="A2484">
            <v>70416040</v>
          </cell>
          <cell r="B2484" t="str">
            <v>성 제롬과 사자</v>
          </cell>
          <cell r="C2484" t="str">
            <v>미술품</v>
          </cell>
          <cell r="D2484">
            <v>17</v>
          </cell>
          <cell r="E2484" t="str">
            <v>보물</v>
          </cell>
          <cell r="F2484">
            <v>6</v>
          </cell>
          <cell r="G2484" t="str">
            <v>C</v>
          </cell>
          <cell r="H2484">
            <v>2</v>
          </cell>
        </row>
        <row r="2485">
          <cell r="A2485">
            <v>70416041</v>
          </cell>
          <cell r="B2485" t="str">
            <v>세례자 요한</v>
          </cell>
          <cell r="C2485" t="str">
            <v>미술품</v>
          </cell>
          <cell r="D2485">
            <v>17</v>
          </cell>
          <cell r="E2485" t="str">
            <v>보물</v>
          </cell>
          <cell r="F2485">
            <v>6</v>
          </cell>
          <cell r="G2485" t="str">
            <v>S</v>
          </cell>
          <cell r="H2485">
            <v>5</v>
          </cell>
        </row>
        <row r="2486">
          <cell r="A2486">
            <v>70416042</v>
          </cell>
          <cell r="B2486" t="str">
            <v>수월관음도</v>
          </cell>
          <cell r="C2486" t="str">
            <v>미술품</v>
          </cell>
          <cell r="D2486">
            <v>17</v>
          </cell>
          <cell r="E2486" t="str">
            <v>보물</v>
          </cell>
          <cell r="F2486">
            <v>6</v>
          </cell>
          <cell r="G2486" t="str">
            <v>B</v>
          </cell>
          <cell r="H2486">
            <v>3</v>
          </cell>
        </row>
        <row r="2487">
          <cell r="A2487">
            <v>70416043</v>
          </cell>
          <cell r="B2487" t="str">
            <v>수태고지</v>
          </cell>
          <cell r="C2487" t="str">
            <v>미술품</v>
          </cell>
          <cell r="D2487">
            <v>17</v>
          </cell>
          <cell r="E2487" t="str">
            <v>보물</v>
          </cell>
          <cell r="F2487">
            <v>6</v>
          </cell>
          <cell r="G2487" t="str">
            <v>C</v>
          </cell>
          <cell r="H2487">
            <v>2</v>
          </cell>
        </row>
        <row r="2488">
          <cell r="A2488">
            <v>70416044</v>
          </cell>
          <cell r="B2488" t="str">
            <v>승리</v>
          </cell>
          <cell r="C2488" t="str">
            <v>미술품</v>
          </cell>
          <cell r="D2488">
            <v>17</v>
          </cell>
          <cell r="E2488" t="str">
            <v>보물</v>
          </cell>
          <cell r="F2488">
            <v>6</v>
          </cell>
          <cell r="G2488" t="str">
            <v>D</v>
          </cell>
          <cell r="H2488">
            <v>1</v>
          </cell>
          <cell r="AW2488" t="str">
            <v/>
          </cell>
          <cell r="BA2488" t="str">
            <v>-</v>
          </cell>
        </row>
        <row r="2489">
          <cell r="A2489">
            <v>70416045</v>
          </cell>
          <cell r="B2489" t="str">
            <v>신사임당초서병풍</v>
          </cell>
          <cell r="C2489" t="str">
            <v>미술품</v>
          </cell>
          <cell r="D2489">
            <v>17</v>
          </cell>
          <cell r="E2489" t="str">
            <v>보물</v>
          </cell>
          <cell r="F2489">
            <v>6</v>
          </cell>
          <cell r="G2489" t="str">
            <v>A</v>
          </cell>
          <cell r="H2489">
            <v>4</v>
          </cell>
        </row>
        <row r="2490">
          <cell r="A2490">
            <v>70416046</v>
          </cell>
          <cell r="B2490" t="str">
            <v>아담과 이브</v>
          </cell>
          <cell r="C2490" t="str">
            <v>미술품</v>
          </cell>
          <cell r="D2490">
            <v>17</v>
          </cell>
          <cell r="E2490" t="str">
            <v>보물</v>
          </cell>
          <cell r="F2490">
            <v>6</v>
          </cell>
          <cell r="G2490" t="str">
            <v>S</v>
          </cell>
          <cell r="H2490">
            <v>5</v>
          </cell>
        </row>
        <row r="2491">
          <cell r="A2491">
            <v>70416047</v>
          </cell>
          <cell r="B2491" t="str">
            <v>아르놀피니의 결혼</v>
          </cell>
          <cell r="C2491" t="str">
            <v>미술품</v>
          </cell>
          <cell r="D2491">
            <v>17</v>
          </cell>
          <cell r="E2491" t="str">
            <v>보물</v>
          </cell>
          <cell r="F2491">
            <v>6</v>
          </cell>
          <cell r="G2491" t="str">
            <v>C</v>
          </cell>
          <cell r="H2491">
            <v>2</v>
          </cell>
        </row>
        <row r="2492">
          <cell r="A2492">
            <v>70416048</v>
          </cell>
          <cell r="B2492" t="str">
            <v>아마노하시다테도</v>
          </cell>
          <cell r="C2492" t="str">
            <v>미술품</v>
          </cell>
          <cell r="D2492">
            <v>17</v>
          </cell>
          <cell r="E2492" t="str">
            <v>보물</v>
          </cell>
          <cell r="F2492">
            <v>6</v>
          </cell>
          <cell r="G2492" t="str">
            <v>S</v>
          </cell>
          <cell r="H2492">
            <v>5</v>
          </cell>
        </row>
        <row r="2493">
          <cell r="A2493">
            <v>70416049</v>
          </cell>
          <cell r="B2493" t="str">
            <v>아폭시오메노스</v>
          </cell>
          <cell r="C2493" t="str">
            <v>미술품</v>
          </cell>
          <cell r="D2493">
            <v>17</v>
          </cell>
          <cell r="E2493" t="str">
            <v>보물</v>
          </cell>
          <cell r="F2493">
            <v>6</v>
          </cell>
          <cell r="G2493" t="str">
            <v>C</v>
          </cell>
          <cell r="H2493">
            <v>2</v>
          </cell>
        </row>
        <row r="2494">
          <cell r="A2494">
            <v>70416050</v>
          </cell>
          <cell r="B2494" t="str">
            <v>알페의 성합</v>
          </cell>
          <cell r="C2494" t="str">
            <v>미술품</v>
          </cell>
          <cell r="D2494">
            <v>17</v>
          </cell>
          <cell r="E2494" t="str">
            <v>보물</v>
          </cell>
          <cell r="F2494">
            <v>6</v>
          </cell>
          <cell r="G2494" t="str">
            <v>A</v>
          </cell>
          <cell r="H2494">
            <v>4</v>
          </cell>
        </row>
        <row r="2495">
          <cell r="A2495">
            <v>70416051</v>
          </cell>
          <cell r="B2495" t="str">
            <v>암굴의 성모</v>
          </cell>
          <cell r="C2495" t="str">
            <v>미술품</v>
          </cell>
          <cell r="D2495">
            <v>17</v>
          </cell>
          <cell r="E2495" t="str">
            <v>보물</v>
          </cell>
          <cell r="F2495">
            <v>6</v>
          </cell>
          <cell r="G2495" t="str">
            <v>A</v>
          </cell>
          <cell r="H2495">
            <v>4</v>
          </cell>
        </row>
        <row r="2496">
          <cell r="A2496">
            <v>70416052</v>
          </cell>
          <cell r="B2496" t="str">
            <v>여사잠도</v>
          </cell>
          <cell r="C2496" t="str">
            <v>미술품</v>
          </cell>
          <cell r="D2496">
            <v>17</v>
          </cell>
          <cell r="E2496" t="str">
            <v>보물</v>
          </cell>
          <cell r="F2496">
            <v>6</v>
          </cell>
          <cell r="G2496" t="str">
            <v>B</v>
          </cell>
          <cell r="H2496">
            <v>3</v>
          </cell>
        </row>
        <row r="2497">
          <cell r="A2497">
            <v>70416053</v>
          </cell>
          <cell r="B2497" t="str">
            <v>성 스테파노의 설교</v>
          </cell>
          <cell r="C2497" t="str">
            <v>미술품</v>
          </cell>
          <cell r="D2497">
            <v>17</v>
          </cell>
          <cell r="E2497" t="str">
            <v>보물</v>
          </cell>
          <cell r="F2497">
            <v>6</v>
          </cell>
          <cell r="G2497" t="str">
            <v>C</v>
          </cell>
          <cell r="H2497">
            <v>2</v>
          </cell>
        </row>
        <row r="2498">
          <cell r="A2498">
            <v>70416054</v>
          </cell>
          <cell r="B2498" t="str">
            <v>예수의 부활</v>
          </cell>
          <cell r="C2498" t="str">
            <v>미술품</v>
          </cell>
          <cell r="D2498">
            <v>17</v>
          </cell>
          <cell r="E2498" t="str">
            <v>보물</v>
          </cell>
          <cell r="F2498">
            <v>6</v>
          </cell>
          <cell r="G2498" t="str">
            <v>B</v>
          </cell>
          <cell r="H2498">
            <v>3</v>
          </cell>
        </row>
        <row r="2499">
          <cell r="A2499">
            <v>70416055</v>
          </cell>
          <cell r="B2499" t="str">
            <v>예수의 승천</v>
          </cell>
          <cell r="C2499" t="str">
            <v>미술품</v>
          </cell>
          <cell r="D2499">
            <v>17</v>
          </cell>
          <cell r="E2499" t="str">
            <v>보물</v>
          </cell>
          <cell r="F2499">
            <v>6</v>
          </cell>
          <cell r="G2499" t="str">
            <v>B</v>
          </cell>
          <cell r="H2499">
            <v>3</v>
          </cell>
        </row>
        <row r="2500">
          <cell r="A2500">
            <v>70416056</v>
          </cell>
          <cell r="B2500" t="str">
            <v>오마도권</v>
          </cell>
          <cell r="C2500" t="str">
            <v>미술품</v>
          </cell>
          <cell r="D2500">
            <v>17</v>
          </cell>
          <cell r="E2500" t="str">
            <v>보물</v>
          </cell>
          <cell r="F2500">
            <v>6</v>
          </cell>
          <cell r="G2500" t="str">
            <v>B</v>
          </cell>
          <cell r="H2500">
            <v>3</v>
          </cell>
        </row>
        <row r="2501">
          <cell r="A2501">
            <v>70416057</v>
          </cell>
          <cell r="B2501" t="str">
            <v>우르비노의 비너스</v>
          </cell>
          <cell r="C2501" t="str">
            <v>미술품</v>
          </cell>
          <cell r="D2501">
            <v>17</v>
          </cell>
          <cell r="E2501" t="str">
            <v>보물</v>
          </cell>
          <cell r="F2501">
            <v>6</v>
          </cell>
          <cell r="G2501" t="str">
            <v>B</v>
          </cell>
          <cell r="H2501">
            <v>3</v>
          </cell>
        </row>
        <row r="2502">
          <cell r="A2502">
            <v>70416058</v>
          </cell>
          <cell r="B2502" t="str">
            <v>원반던지기</v>
          </cell>
          <cell r="C2502" t="str">
            <v>미술품</v>
          </cell>
          <cell r="D2502">
            <v>17</v>
          </cell>
          <cell r="E2502" t="str">
            <v>보물</v>
          </cell>
          <cell r="F2502">
            <v>6</v>
          </cell>
          <cell r="G2502" t="str">
            <v>B</v>
          </cell>
          <cell r="H2502">
            <v>3</v>
          </cell>
        </row>
        <row r="2503">
          <cell r="A2503">
            <v>70416059</v>
          </cell>
          <cell r="B2503" t="str">
            <v>유딧</v>
          </cell>
          <cell r="C2503" t="str">
            <v>미술품</v>
          </cell>
          <cell r="D2503">
            <v>17</v>
          </cell>
          <cell r="E2503" t="str">
            <v>보물</v>
          </cell>
          <cell r="F2503">
            <v>6</v>
          </cell>
          <cell r="G2503" t="str">
            <v>C</v>
          </cell>
          <cell r="H2503">
            <v>2</v>
          </cell>
        </row>
        <row r="2504">
          <cell r="A2504">
            <v>70416060</v>
          </cell>
          <cell r="B2504" t="str">
            <v>제왕도</v>
          </cell>
          <cell r="C2504" t="str">
            <v>미술품</v>
          </cell>
          <cell r="D2504">
            <v>17</v>
          </cell>
          <cell r="E2504" t="str">
            <v>보물</v>
          </cell>
          <cell r="F2504">
            <v>6</v>
          </cell>
          <cell r="G2504" t="str">
            <v>C</v>
          </cell>
          <cell r="H2504">
            <v>2</v>
          </cell>
        </row>
        <row r="2505">
          <cell r="A2505">
            <v>70416061</v>
          </cell>
          <cell r="B2505" t="str">
            <v>조모입녀병풍</v>
          </cell>
          <cell r="C2505" t="str">
            <v>미술품</v>
          </cell>
          <cell r="D2505">
            <v>17</v>
          </cell>
          <cell r="E2505" t="str">
            <v>보물</v>
          </cell>
          <cell r="F2505">
            <v>6</v>
          </cell>
          <cell r="G2505" t="str">
            <v>B</v>
          </cell>
          <cell r="H2505">
            <v>3</v>
          </cell>
        </row>
        <row r="2506">
          <cell r="A2506">
            <v>70416062</v>
          </cell>
          <cell r="B2506" t="str">
            <v>조춘도</v>
          </cell>
          <cell r="C2506" t="str">
            <v>미술품</v>
          </cell>
          <cell r="D2506">
            <v>17</v>
          </cell>
          <cell r="E2506" t="str">
            <v>보물</v>
          </cell>
          <cell r="F2506">
            <v>6</v>
          </cell>
          <cell r="G2506" t="str">
            <v>A</v>
          </cell>
          <cell r="H2506">
            <v>4</v>
          </cell>
        </row>
        <row r="2507">
          <cell r="A2507">
            <v>70416063</v>
          </cell>
          <cell r="B2507" t="str">
            <v>천지창조</v>
          </cell>
          <cell r="C2507" t="str">
            <v>미술품</v>
          </cell>
          <cell r="D2507">
            <v>17</v>
          </cell>
          <cell r="E2507" t="str">
            <v>보물</v>
          </cell>
          <cell r="F2507">
            <v>6</v>
          </cell>
          <cell r="G2507" t="str">
            <v>S</v>
          </cell>
          <cell r="H2507">
            <v>5</v>
          </cell>
        </row>
        <row r="2508">
          <cell r="A2508">
            <v>70416064</v>
          </cell>
          <cell r="B2508" t="str">
            <v>초충도</v>
          </cell>
          <cell r="C2508" t="str">
            <v>미술품</v>
          </cell>
          <cell r="D2508">
            <v>17</v>
          </cell>
          <cell r="E2508" t="str">
            <v>보물</v>
          </cell>
          <cell r="F2508">
            <v>6</v>
          </cell>
          <cell r="G2508" t="str">
            <v>B</v>
          </cell>
          <cell r="H2508">
            <v>3</v>
          </cell>
        </row>
        <row r="2509">
          <cell r="A2509">
            <v>70416065</v>
          </cell>
          <cell r="B2509" t="str">
            <v>최후의 만찬</v>
          </cell>
          <cell r="C2509" t="str">
            <v>미술품</v>
          </cell>
          <cell r="D2509">
            <v>17</v>
          </cell>
          <cell r="E2509" t="str">
            <v>보물</v>
          </cell>
          <cell r="F2509">
            <v>6</v>
          </cell>
          <cell r="G2509" t="str">
            <v>S</v>
          </cell>
          <cell r="H2509">
            <v>5</v>
          </cell>
        </row>
        <row r="2510">
          <cell r="A2510">
            <v>70416066</v>
          </cell>
          <cell r="B2510" t="str">
            <v>최후의 심판</v>
          </cell>
          <cell r="C2510" t="str">
            <v>미술품</v>
          </cell>
          <cell r="D2510">
            <v>17</v>
          </cell>
          <cell r="E2510" t="str">
            <v>보물</v>
          </cell>
          <cell r="F2510">
            <v>6</v>
          </cell>
          <cell r="G2510" t="str">
            <v>B</v>
          </cell>
          <cell r="H2510">
            <v>3</v>
          </cell>
        </row>
        <row r="2511">
          <cell r="A2511">
            <v>70416067</v>
          </cell>
          <cell r="B2511" t="str">
            <v>추림만학도</v>
          </cell>
          <cell r="C2511" t="str">
            <v>미술품</v>
          </cell>
          <cell r="D2511">
            <v>17</v>
          </cell>
          <cell r="E2511" t="str">
            <v>보물</v>
          </cell>
          <cell r="F2511">
            <v>6</v>
          </cell>
          <cell r="G2511" t="str">
            <v>A</v>
          </cell>
          <cell r="H2511">
            <v>4</v>
          </cell>
        </row>
        <row r="2512">
          <cell r="A2512">
            <v>70416068</v>
          </cell>
          <cell r="B2512" t="str">
            <v>카피톨리나 늑대상</v>
          </cell>
          <cell r="C2512" t="str">
            <v>미술품</v>
          </cell>
          <cell r="D2512">
            <v>17</v>
          </cell>
          <cell r="E2512" t="str">
            <v>보물</v>
          </cell>
          <cell r="F2512">
            <v>6</v>
          </cell>
          <cell r="G2512" t="str">
            <v>D</v>
          </cell>
          <cell r="H2512">
            <v>1</v>
          </cell>
          <cell r="AW2512" t="str">
            <v/>
          </cell>
          <cell r="BA2512" t="str">
            <v>-</v>
          </cell>
        </row>
        <row r="2513">
          <cell r="A2513">
            <v>70416069</v>
          </cell>
          <cell r="B2513" t="str">
            <v>뒤러의 코뿔소</v>
          </cell>
          <cell r="C2513" t="str">
            <v>미술품</v>
          </cell>
          <cell r="D2513">
            <v>17</v>
          </cell>
          <cell r="E2513" t="str">
            <v>보물</v>
          </cell>
          <cell r="F2513">
            <v>6</v>
          </cell>
          <cell r="G2513" t="str">
            <v>D</v>
          </cell>
          <cell r="H2513">
            <v>1</v>
          </cell>
          <cell r="AW2513" t="str">
            <v/>
          </cell>
          <cell r="BA2513" t="str">
            <v>-</v>
          </cell>
        </row>
        <row r="2514">
          <cell r="A2514">
            <v>70416070</v>
          </cell>
          <cell r="B2514" t="str">
            <v>붉은 터번을 두른 남자의 초상</v>
          </cell>
          <cell r="C2514" t="str">
            <v>미술품</v>
          </cell>
          <cell r="D2514">
            <v>17</v>
          </cell>
          <cell r="E2514" t="str">
            <v>보물</v>
          </cell>
          <cell r="F2514">
            <v>6</v>
          </cell>
          <cell r="G2514" t="str">
            <v>C</v>
          </cell>
          <cell r="H2514">
            <v>2</v>
          </cell>
        </row>
        <row r="2515">
          <cell r="A2515">
            <v>70416071</v>
          </cell>
          <cell r="B2515" t="str">
            <v>풍우귀목도</v>
          </cell>
          <cell r="C2515" t="str">
            <v>미술품</v>
          </cell>
          <cell r="D2515">
            <v>17</v>
          </cell>
          <cell r="E2515" t="str">
            <v>보물</v>
          </cell>
          <cell r="F2515">
            <v>6</v>
          </cell>
          <cell r="G2515" t="str">
            <v>A</v>
          </cell>
          <cell r="H2515">
            <v>4</v>
          </cell>
        </row>
        <row r="2516">
          <cell r="A2516">
            <v>70416072</v>
          </cell>
          <cell r="B2516" t="str">
            <v>프리마베라</v>
          </cell>
          <cell r="C2516" t="str">
            <v>미술품</v>
          </cell>
          <cell r="D2516">
            <v>17</v>
          </cell>
          <cell r="E2516" t="str">
            <v>보물</v>
          </cell>
          <cell r="F2516">
            <v>6</v>
          </cell>
          <cell r="G2516" t="str">
            <v>S</v>
          </cell>
          <cell r="H2516">
            <v>5</v>
          </cell>
        </row>
        <row r="2517">
          <cell r="A2517">
            <v>70416073</v>
          </cell>
          <cell r="B2517" t="str">
            <v>피에타</v>
          </cell>
          <cell r="C2517" t="str">
            <v>미술품</v>
          </cell>
          <cell r="D2517">
            <v>17</v>
          </cell>
          <cell r="E2517" t="str">
            <v>보물</v>
          </cell>
          <cell r="F2517">
            <v>6</v>
          </cell>
          <cell r="G2517" t="str">
            <v>S</v>
          </cell>
          <cell r="H2517">
            <v>5</v>
          </cell>
        </row>
        <row r="2518">
          <cell r="A2518">
            <v>70416074</v>
          </cell>
          <cell r="B2518" t="str">
            <v>홍백부용도</v>
          </cell>
          <cell r="C2518" t="str">
            <v>미술품</v>
          </cell>
          <cell r="D2518">
            <v>17</v>
          </cell>
          <cell r="E2518" t="str">
            <v>보물</v>
          </cell>
          <cell r="F2518">
            <v>6</v>
          </cell>
          <cell r="G2518" t="str">
            <v>D</v>
          </cell>
          <cell r="H2518">
            <v>1</v>
          </cell>
          <cell r="AW2518" t="str">
            <v/>
          </cell>
          <cell r="BA2518" t="str">
            <v>-</v>
          </cell>
        </row>
        <row r="2519">
          <cell r="A2519">
            <v>70416075</v>
          </cell>
          <cell r="B2519" t="str">
            <v>힌튼 세인트 메리 모자이크</v>
          </cell>
          <cell r="C2519" t="str">
            <v>미술품</v>
          </cell>
          <cell r="D2519">
            <v>17</v>
          </cell>
          <cell r="E2519" t="str">
            <v>보물</v>
          </cell>
          <cell r="F2519">
            <v>6</v>
          </cell>
          <cell r="G2519" t="str">
            <v>C</v>
          </cell>
          <cell r="H2519">
            <v>2</v>
          </cell>
        </row>
        <row r="2520">
          <cell r="A2520">
            <v>70417001</v>
          </cell>
          <cell r="B2520" t="str">
            <v>게 볼그</v>
          </cell>
          <cell r="C2520" t="str">
            <v>보물</v>
          </cell>
          <cell r="D2520">
            <v>18</v>
          </cell>
          <cell r="E2520" t="str">
            <v>보물</v>
          </cell>
          <cell r="F2520">
            <v>6</v>
          </cell>
          <cell r="G2520" t="str">
            <v>A</v>
          </cell>
          <cell r="H2520">
            <v>4</v>
          </cell>
        </row>
        <row r="2521">
          <cell r="A2521">
            <v>70417002</v>
          </cell>
          <cell r="B2521" t="str">
            <v>겐지 이야기</v>
          </cell>
          <cell r="C2521" t="str">
            <v>보물</v>
          </cell>
          <cell r="D2521">
            <v>18</v>
          </cell>
          <cell r="E2521" t="str">
            <v>보물</v>
          </cell>
          <cell r="F2521">
            <v>6</v>
          </cell>
          <cell r="G2521" t="str">
            <v>B</v>
          </cell>
          <cell r="H2521">
            <v>3</v>
          </cell>
        </row>
        <row r="2522">
          <cell r="A2522">
            <v>70417003</v>
          </cell>
          <cell r="B2522" t="str">
            <v>경국대전</v>
          </cell>
          <cell r="C2522" t="str">
            <v>역사유물</v>
          </cell>
          <cell r="D2522">
            <v>15</v>
          </cell>
          <cell r="E2522" t="str">
            <v>유물</v>
          </cell>
          <cell r="F2522">
            <v>5</v>
          </cell>
          <cell r="G2522" t="str">
            <v>A</v>
          </cell>
          <cell r="H2522">
            <v>4</v>
          </cell>
        </row>
        <row r="2523">
          <cell r="A2523">
            <v>70417004</v>
          </cell>
          <cell r="B2523" t="str">
            <v>경극 의상</v>
          </cell>
          <cell r="C2523" t="str">
            <v>보물</v>
          </cell>
          <cell r="D2523">
            <v>18</v>
          </cell>
          <cell r="E2523" t="str">
            <v>보물</v>
          </cell>
          <cell r="F2523">
            <v>6</v>
          </cell>
          <cell r="G2523" t="str">
            <v>D</v>
          </cell>
          <cell r="H2523">
            <v>1</v>
          </cell>
          <cell r="AW2523" t="str">
            <v/>
          </cell>
          <cell r="BA2523" t="str">
            <v>-</v>
          </cell>
        </row>
        <row r="2524">
          <cell r="A2524">
            <v>70417005</v>
          </cell>
          <cell r="B2524" t="str">
            <v>고가츠 인형</v>
          </cell>
          <cell r="C2524" t="str">
            <v>보물</v>
          </cell>
          <cell r="D2524">
            <v>18</v>
          </cell>
          <cell r="E2524" t="str">
            <v>보물</v>
          </cell>
          <cell r="F2524">
            <v>6</v>
          </cell>
          <cell r="G2524" t="str">
            <v>C</v>
          </cell>
          <cell r="H2524">
            <v>2</v>
          </cell>
        </row>
        <row r="2525">
          <cell r="A2525">
            <v>70417006</v>
          </cell>
          <cell r="B2525" t="str">
            <v>고금 와카집</v>
          </cell>
          <cell r="C2525" t="str">
            <v>보물</v>
          </cell>
          <cell r="D2525">
            <v>18</v>
          </cell>
          <cell r="E2525" t="str">
            <v>보물</v>
          </cell>
          <cell r="F2525">
            <v>6</v>
          </cell>
          <cell r="G2525" t="str">
            <v>B</v>
          </cell>
          <cell r="H2525">
            <v>3</v>
          </cell>
        </row>
        <row r="2526">
          <cell r="A2526">
            <v>70417008</v>
          </cell>
          <cell r="B2526" t="str">
            <v>고려도경</v>
          </cell>
          <cell r="C2526" t="str">
            <v>보물</v>
          </cell>
          <cell r="D2526">
            <v>18</v>
          </cell>
          <cell r="E2526" t="str">
            <v>보물</v>
          </cell>
          <cell r="F2526">
            <v>6</v>
          </cell>
          <cell r="G2526" t="str">
            <v>C</v>
          </cell>
          <cell r="H2526">
            <v>2</v>
          </cell>
        </row>
        <row r="2527">
          <cell r="A2527">
            <v>70417009</v>
          </cell>
          <cell r="B2527" t="str">
            <v>고정핀</v>
          </cell>
          <cell r="C2527" t="str">
            <v>보물</v>
          </cell>
          <cell r="D2527">
            <v>18</v>
          </cell>
          <cell r="E2527" t="str">
            <v>보물</v>
          </cell>
          <cell r="F2527">
            <v>6</v>
          </cell>
          <cell r="G2527" t="str">
            <v>D</v>
          </cell>
          <cell r="H2527">
            <v>1</v>
          </cell>
          <cell r="AW2527" t="str">
            <v/>
          </cell>
          <cell r="BA2527" t="str">
            <v>-</v>
          </cell>
        </row>
        <row r="2528">
          <cell r="A2528">
            <v>70417010</v>
          </cell>
          <cell r="B2528" t="str">
            <v>곤자쿠모노가타리슈</v>
          </cell>
          <cell r="C2528" t="str">
            <v>보물</v>
          </cell>
          <cell r="D2528">
            <v>18</v>
          </cell>
          <cell r="E2528" t="str">
            <v>보물</v>
          </cell>
          <cell r="F2528">
            <v>6</v>
          </cell>
          <cell r="G2528" t="str">
            <v>B</v>
          </cell>
          <cell r="H2528">
            <v>3</v>
          </cell>
        </row>
        <row r="2529">
          <cell r="A2529">
            <v>70417011</v>
          </cell>
          <cell r="B2529" t="str">
            <v>공작 브로치</v>
          </cell>
          <cell r="C2529" t="str">
            <v>보물</v>
          </cell>
          <cell r="D2529">
            <v>18</v>
          </cell>
          <cell r="E2529" t="str">
            <v>보물</v>
          </cell>
          <cell r="F2529">
            <v>6</v>
          </cell>
          <cell r="G2529" t="str">
            <v>C</v>
          </cell>
          <cell r="H2529">
            <v>2</v>
          </cell>
        </row>
        <row r="2530">
          <cell r="A2530">
            <v>70417013</v>
          </cell>
          <cell r="B2530" t="str">
            <v>구슬레</v>
          </cell>
          <cell r="C2530" t="str">
            <v>보물</v>
          </cell>
          <cell r="D2530">
            <v>18</v>
          </cell>
          <cell r="E2530" t="str">
            <v>보물</v>
          </cell>
          <cell r="F2530">
            <v>6</v>
          </cell>
          <cell r="G2530" t="str">
            <v>C</v>
          </cell>
          <cell r="H2530">
            <v>2</v>
          </cell>
        </row>
        <row r="2531">
          <cell r="A2531">
            <v>70417014</v>
          </cell>
          <cell r="B2531" t="str">
            <v>근데르</v>
          </cell>
          <cell r="C2531" t="str">
            <v>보물</v>
          </cell>
          <cell r="D2531">
            <v>18</v>
          </cell>
          <cell r="E2531" t="str">
            <v>보물</v>
          </cell>
          <cell r="F2531">
            <v>6</v>
          </cell>
          <cell r="G2531" t="str">
            <v>C</v>
          </cell>
          <cell r="H2531">
            <v>2</v>
          </cell>
        </row>
        <row r="2532">
          <cell r="A2532">
            <v>70417015</v>
          </cell>
          <cell r="B2532" t="str">
            <v>귀부인의 드레스</v>
          </cell>
          <cell r="C2532" t="str">
            <v>보물</v>
          </cell>
          <cell r="D2532">
            <v>18</v>
          </cell>
          <cell r="E2532" t="str">
            <v>보물</v>
          </cell>
          <cell r="F2532">
            <v>6</v>
          </cell>
          <cell r="G2532" t="str">
            <v>C</v>
          </cell>
          <cell r="H2532">
            <v>2</v>
          </cell>
          <cell r="AW2532" t="str">
            <v/>
          </cell>
          <cell r="BA2532" t="str">
            <v>-</v>
          </cell>
        </row>
        <row r="2533">
          <cell r="A2533">
            <v>70417016</v>
          </cell>
          <cell r="B2533" t="str">
            <v>그리스 안내기</v>
          </cell>
          <cell r="C2533" t="str">
            <v>보물</v>
          </cell>
          <cell r="D2533">
            <v>18</v>
          </cell>
          <cell r="E2533" t="str">
            <v>보물</v>
          </cell>
          <cell r="F2533">
            <v>6</v>
          </cell>
          <cell r="G2533" t="str">
            <v>B</v>
          </cell>
          <cell r="H2533">
            <v>3</v>
          </cell>
        </row>
        <row r="2534">
          <cell r="A2534">
            <v>70417017</v>
          </cell>
          <cell r="B2534" t="str">
            <v>그린란드 사람들의 사가</v>
          </cell>
          <cell r="C2534" t="str">
            <v>보물</v>
          </cell>
          <cell r="D2534">
            <v>18</v>
          </cell>
          <cell r="E2534" t="str">
            <v>보물</v>
          </cell>
          <cell r="F2534">
            <v>6</v>
          </cell>
          <cell r="G2534" t="str">
            <v>C</v>
          </cell>
          <cell r="H2534">
            <v>2</v>
          </cell>
        </row>
        <row r="2535">
          <cell r="A2535">
            <v>70417018</v>
          </cell>
          <cell r="B2535" t="str">
            <v>금 그릇</v>
          </cell>
          <cell r="C2535" t="str">
            <v>보물</v>
          </cell>
          <cell r="D2535">
            <v>18</v>
          </cell>
          <cell r="E2535" t="str">
            <v>보물</v>
          </cell>
          <cell r="F2535">
            <v>6</v>
          </cell>
          <cell r="G2535" t="str">
            <v>C</v>
          </cell>
          <cell r="H2535">
            <v>2</v>
          </cell>
        </row>
        <row r="2536">
          <cell r="A2536">
            <v>70417019</v>
          </cell>
          <cell r="B2536" t="str">
            <v>금 나이프</v>
          </cell>
          <cell r="C2536" t="str">
            <v>보물</v>
          </cell>
          <cell r="D2536">
            <v>18</v>
          </cell>
          <cell r="E2536" t="str">
            <v>보물</v>
          </cell>
          <cell r="F2536">
            <v>6</v>
          </cell>
          <cell r="G2536" t="str">
            <v>C</v>
          </cell>
          <cell r="H2536">
            <v>2</v>
          </cell>
        </row>
        <row r="2537">
          <cell r="A2537">
            <v>70417020</v>
          </cell>
          <cell r="B2537" t="str">
            <v>금 머리 장식</v>
          </cell>
          <cell r="C2537" t="str">
            <v>보물</v>
          </cell>
          <cell r="D2537">
            <v>18</v>
          </cell>
          <cell r="E2537" t="str">
            <v>보물</v>
          </cell>
          <cell r="F2537">
            <v>6</v>
          </cell>
          <cell r="G2537" t="str">
            <v>A</v>
          </cell>
          <cell r="H2537">
            <v>4</v>
          </cell>
        </row>
        <row r="2538">
          <cell r="A2538">
            <v>70417021</v>
          </cell>
          <cell r="B2538" t="str">
            <v>나가라케르타가마</v>
          </cell>
          <cell r="C2538" t="str">
            <v>보물</v>
          </cell>
          <cell r="D2538">
            <v>18</v>
          </cell>
          <cell r="E2538" t="str">
            <v>보물</v>
          </cell>
          <cell r="F2538">
            <v>6</v>
          </cell>
          <cell r="G2538" t="str">
            <v>A</v>
          </cell>
          <cell r="H2538">
            <v>4</v>
          </cell>
        </row>
        <row r="2539">
          <cell r="A2539">
            <v>70417022</v>
          </cell>
          <cell r="B2539" t="str">
            <v>나각</v>
          </cell>
          <cell r="C2539" t="str">
            <v>보물</v>
          </cell>
          <cell r="D2539">
            <v>18</v>
          </cell>
          <cell r="E2539" t="str">
            <v>보물</v>
          </cell>
          <cell r="F2539">
            <v>6</v>
          </cell>
          <cell r="G2539" t="str">
            <v>C</v>
          </cell>
          <cell r="H2539">
            <v>2</v>
          </cell>
        </row>
        <row r="2540">
          <cell r="A2540">
            <v>70417023</v>
          </cell>
          <cell r="B2540" t="str">
            <v>나자르 본주</v>
          </cell>
          <cell r="C2540" t="str">
            <v>보물</v>
          </cell>
          <cell r="D2540">
            <v>18</v>
          </cell>
          <cell r="E2540" t="str">
            <v>보물</v>
          </cell>
          <cell r="F2540">
            <v>6</v>
          </cell>
          <cell r="G2540" t="str">
            <v>D</v>
          </cell>
          <cell r="H2540">
            <v>1</v>
          </cell>
        </row>
        <row r="2541">
          <cell r="A2541">
            <v>70417024</v>
          </cell>
          <cell r="B2541" t="str">
            <v>난정서</v>
          </cell>
          <cell r="C2541" t="str">
            <v>보물</v>
          </cell>
          <cell r="D2541">
            <v>18</v>
          </cell>
          <cell r="E2541" t="str">
            <v>보물</v>
          </cell>
          <cell r="F2541">
            <v>6</v>
          </cell>
          <cell r="G2541" t="str">
            <v>A</v>
          </cell>
          <cell r="H2541">
            <v>4</v>
          </cell>
        </row>
        <row r="2542">
          <cell r="A2542">
            <v>70417026</v>
          </cell>
          <cell r="B2542" t="str">
            <v>뇌절</v>
          </cell>
          <cell r="C2542" t="str">
            <v>보물</v>
          </cell>
          <cell r="D2542">
            <v>18</v>
          </cell>
          <cell r="E2542" t="str">
            <v>보물</v>
          </cell>
          <cell r="F2542">
            <v>6</v>
          </cell>
          <cell r="G2542" t="str">
            <v>A</v>
          </cell>
          <cell r="H2542">
            <v>4</v>
          </cell>
        </row>
        <row r="2543">
          <cell r="A2543">
            <v>70417027</v>
          </cell>
          <cell r="B2543" t="str">
            <v>다리우리</v>
          </cell>
          <cell r="C2543" t="str">
            <v>역사유물</v>
          </cell>
          <cell r="D2543">
            <v>15</v>
          </cell>
          <cell r="E2543" t="str">
            <v>유물</v>
          </cell>
          <cell r="F2543">
            <v>5</v>
          </cell>
          <cell r="G2543" t="str">
            <v>D</v>
          </cell>
          <cell r="H2543">
            <v>1</v>
          </cell>
          <cell r="AW2543" t="str">
            <v/>
          </cell>
          <cell r="BA2543" t="str">
            <v>-</v>
          </cell>
        </row>
        <row r="2544">
          <cell r="A2544">
            <v>70417028</v>
          </cell>
          <cell r="B2544" t="str">
            <v>다빈치 노트</v>
          </cell>
          <cell r="C2544" t="str">
            <v>보물</v>
          </cell>
          <cell r="D2544">
            <v>18</v>
          </cell>
          <cell r="E2544" t="str">
            <v>보물</v>
          </cell>
          <cell r="F2544">
            <v>6</v>
          </cell>
          <cell r="G2544" t="str">
            <v>A</v>
          </cell>
          <cell r="H2544">
            <v>4</v>
          </cell>
        </row>
        <row r="2545">
          <cell r="A2545">
            <v>70417029</v>
          </cell>
          <cell r="B2545" t="str">
            <v>단가행</v>
          </cell>
          <cell r="C2545" t="str">
            <v>보물</v>
          </cell>
          <cell r="D2545">
            <v>18</v>
          </cell>
          <cell r="E2545" t="str">
            <v>보물</v>
          </cell>
          <cell r="F2545">
            <v>6</v>
          </cell>
          <cell r="G2545" t="str">
            <v>B</v>
          </cell>
          <cell r="H2545">
            <v>3</v>
          </cell>
        </row>
        <row r="2546">
          <cell r="A2546">
            <v>70417030</v>
          </cell>
          <cell r="B2546" t="str">
            <v>당삼채</v>
          </cell>
          <cell r="C2546" t="str">
            <v>보물</v>
          </cell>
          <cell r="D2546">
            <v>18</v>
          </cell>
          <cell r="E2546" t="str">
            <v>보물</v>
          </cell>
          <cell r="F2546">
            <v>6</v>
          </cell>
          <cell r="G2546" t="str">
            <v>C</v>
          </cell>
          <cell r="H2546">
            <v>2</v>
          </cell>
        </row>
        <row r="2547">
          <cell r="A2547">
            <v>70417031</v>
          </cell>
          <cell r="B2547" t="str">
            <v>대당서역기</v>
          </cell>
          <cell r="C2547" t="str">
            <v>역사유물</v>
          </cell>
          <cell r="D2547">
            <v>15</v>
          </cell>
          <cell r="E2547" t="str">
            <v>유물</v>
          </cell>
          <cell r="F2547">
            <v>5</v>
          </cell>
          <cell r="G2547" t="str">
            <v>S</v>
          </cell>
          <cell r="H2547">
            <v>5</v>
          </cell>
        </row>
        <row r="2548">
          <cell r="A2548">
            <v>70417032</v>
          </cell>
          <cell r="B2548" t="str">
            <v>더로우의 서</v>
          </cell>
          <cell r="C2548" t="str">
            <v>보물</v>
          </cell>
          <cell r="D2548">
            <v>18</v>
          </cell>
          <cell r="E2548" t="str">
            <v>보물</v>
          </cell>
          <cell r="F2548">
            <v>6</v>
          </cell>
          <cell r="G2548" t="str">
            <v>C</v>
          </cell>
          <cell r="H2548">
            <v>2</v>
          </cell>
        </row>
        <row r="2549">
          <cell r="A2549">
            <v>70417034</v>
          </cell>
          <cell r="B2549" t="str">
            <v>돌도끼</v>
          </cell>
          <cell r="C2549" t="str">
            <v>역사유물</v>
          </cell>
          <cell r="D2549">
            <v>15</v>
          </cell>
          <cell r="E2549" t="str">
            <v>유물</v>
          </cell>
          <cell r="F2549">
            <v>5</v>
          </cell>
          <cell r="G2549" t="str">
            <v>D</v>
          </cell>
          <cell r="H2549">
            <v>1</v>
          </cell>
          <cell r="AW2549" t="str">
            <v/>
          </cell>
          <cell r="BA2549" t="str">
            <v>-</v>
          </cell>
        </row>
        <row r="2550">
          <cell r="A2550">
            <v>70417035</v>
          </cell>
          <cell r="B2550" t="str">
            <v>동방견문록</v>
          </cell>
          <cell r="C2550" t="str">
            <v>보물</v>
          </cell>
          <cell r="D2550">
            <v>18</v>
          </cell>
          <cell r="E2550" t="str">
            <v>보물</v>
          </cell>
          <cell r="F2550">
            <v>6</v>
          </cell>
          <cell r="G2550" t="str">
            <v>A</v>
          </cell>
          <cell r="H2550">
            <v>4</v>
          </cell>
        </row>
        <row r="2551">
          <cell r="A2551">
            <v>70417036</v>
          </cell>
          <cell r="B2551" t="str">
            <v>듀란달</v>
          </cell>
          <cell r="C2551" t="str">
            <v>보물</v>
          </cell>
          <cell r="D2551">
            <v>18</v>
          </cell>
          <cell r="E2551" t="str">
            <v>보물</v>
          </cell>
          <cell r="F2551">
            <v>6</v>
          </cell>
          <cell r="G2551" t="str">
            <v>S</v>
          </cell>
          <cell r="H2551">
            <v>5</v>
          </cell>
        </row>
        <row r="2552">
          <cell r="A2552">
            <v>70417037</v>
          </cell>
          <cell r="B2552" t="str">
            <v>드라크마 은화</v>
          </cell>
          <cell r="C2552" t="str">
            <v>보물</v>
          </cell>
          <cell r="D2552">
            <v>18</v>
          </cell>
          <cell r="E2552" t="str">
            <v>보물</v>
          </cell>
          <cell r="F2552">
            <v>6</v>
          </cell>
          <cell r="G2552" t="str">
            <v>D</v>
          </cell>
          <cell r="H2552">
            <v>1</v>
          </cell>
          <cell r="AW2552" t="str">
            <v/>
          </cell>
          <cell r="BA2552" t="str">
            <v>-</v>
          </cell>
        </row>
        <row r="2553">
          <cell r="A2553">
            <v>70417038</v>
          </cell>
          <cell r="B2553" t="str">
            <v>디저리두</v>
          </cell>
          <cell r="C2553" t="str">
            <v>보물</v>
          </cell>
          <cell r="D2553">
            <v>18</v>
          </cell>
          <cell r="E2553" t="str">
            <v>보물</v>
          </cell>
          <cell r="F2553">
            <v>6</v>
          </cell>
          <cell r="G2553" t="str">
            <v>B</v>
          </cell>
          <cell r="H2553">
            <v>3</v>
          </cell>
        </row>
        <row r="2554">
          <cell r="A2554">
            <v>70417039</v>
          </cell>
          <cell r="B2554" t="str">
            <v>라마야나</v>
          </cell>
          <cell r="C2554" t="str">
            <v>보물</v>
          </cell>
          <cell r="D2554">
            <v>18</v>
          </cell>
          <cell r="E2554" t="str">
            <v>보물</v>
          </cell>
          <cell r="F2554">
            <v>6</v>
          </cell>
          <cell r="G2554" t="str">
            <v>B</v>
          </cell>
          <cell r="H2554">
            <v>3</v>
          </cell>
        </row>
        <row r="2555">
          <cell r="A2555">
            <v>70417040</v>
          </cell>
          <cell r="B2555" t="str">
            <v>람세스 2세의 강궁</v>
          </cell>
          <cell r="C2555" t="str">
            <v>보물</v>
          </cell>
          <cell r="D2555">
            <v>18</v>
          </cell>
          <cell r="E2555" t="str">
            <v>보물</v>
          </cell>
          <cell r="F2555">
            <v>6</v>
          </cell>
          <cell r="G2555" t="str">
            <v>S</v>
          </cell>
          <cell r="H2555">
            <v>5</v>
          </cell>
        </row>
        <row r="2556">
          <cell r="A2556">
            <v>70417042</v>
          </cell>
          <cell r="B2556" t="str">
            <v>로마법 대전</v>
          </cell>
          <cell r="C2556" t="str">
            <v>역사유물</v>
          </cell>
          <cell r="D2556">
            <v>15</v>
          </cell>
          <cell r="E2556" t="str">
            <v>유물</v>
          </cell>
          <cell r="F2556">
            <v>5</v>
          </cell>
          <cell r="G2556" t="str">
            <v>S</v>
          </cell>
          <cell r="H2556">
            <v>5</v>
          </cell>
        </row>
        <row r="2557">
          <cell r="A2557">
            <v>70417043</v>
          </cell>
          <cell r="B2557" t="str">
            <v>롤랑의 뿔나팔</v>
          </cell>
          <cell r="C2557" t="str">
            <v>보물</v>
          </cell>
          <cell r="D2557">
            <v>18</v>
          </cell>
          <cell r="E2557" t="str">
            <v>보물</v>
          </cell>
          <cell r="F2557">
            <v>6</v>
          </cell>
          <cell r="G2557" t="str">
            <v>S</v>
          </cell>
          <cell r="H2557">
            <v>5</v>
          </cell>
        </row>
        <row r="2558">
          <cell r="A2558">
            <v>70417044</v>
          </cell>
          <cell r="B2558" t="str">
            <v>루바이야트</v>
          </cell>
          <cell r="C2558" t="str">
            <v>보물</v>
          </cell>
          <cell r="D2558">
            <v>18</v>
          </cell>
          <cell r="E2558" t="str">
            <v>보물</v>
          </cell>
          <cell r="F2558">
            <v>6</v>
          </cell>
          <cell r="G2558" t="str">
            <v>B</v>
          </cell>
          <cell r="H2558">
            <v>3</v>
          </cell>
        </row>
        <row r="2559">
          <cell r="A2559">
            <v>70417045</v>
          </cell>
          <cell r="B2559" t="str">
            <v>루이스의 체스 기물</v>
          </cell>
          <cell r="C2559" t="str">
            <v>보물</v>
          </cell>
          <cell r="D2559">
            <v>18</v>
          </cell>
          <cell r="E2559" t="str">
            <v>보물</v>
          </cell>
          <cell r="F2559">
            <v>6</v>
          </cell>
          <cell r="G2559" t="str">
            <v>C</v>
          </cell>
          <cell r="H2559">
            <v>2</v>
          </cell>
        </row>
        <row r="2560">
          <cell r="A2560">
            <v>70417046</v>
          </cell>
          <cell r="B2560" t="str">
            <v>리시마코스 동전</v>
          </cell>
          <cell r="C2560" t="str">
            <v>보물</v>
          </cell>
          <cell r="D2560">
            <v>18</v>
          </cell>
          <cell r="E2560" t="str">
            <v>보물</v>
          </cell>
          <cell r="F2560">
            <v>6</v>
          </cell>
          <cell r="G2560" t="str">
            <v>B</v>
          </cell>
          <cell r="H2560">
            <v>3</v>
          </cell>
        </row>
        <row r="2561">
          <cell r="A2561">
            <v>70417047</v>
          </cell>
          <cell r="B2561" t="str">
            <v>리어 팔</v>
          </cell>
          <cell r="C2561" t="str">
            <v>보물</v>
          </cell>
          <cell r="D2561">
            <v>18</v>
          </cell>
          <cell r="E2561" t="str">
            <v>보물</v>
          </cell>
          <cell r="F2561">
            <v>6</v>
          </cell>
          <cell r="G2561" t="str">
            <v>C</v>
          </cell>
          <cell r="H2561">
            <v>2</v>
          </cell>
        </row>
        <row r="2562">
          <cell r="A2562">
            <v>70417048</v>
          </cell>
          <cell r="B2562" t="str">
            <v>린디스판 복음서</v>
          </cell>
          <cell r="C2562" t="str">
            <v>종교유물</v>
          </cell>
          <cell r="D2562">
            <v>16</v>
          </cell>
          <cell r="E2562" t="str">
            <v>유물</v>
          </cell>
          <cell r="F2562">
            <v>5</v>
          </cell>
          <cell r="G2562" t="str">
            <v>A</v>
          </cell>
          <cell r="H2562">
            <v>4</v>
          </cell>
        </row>
        <row r="2563">
          <cell r="A2563">
            <v>70417049</v>
          </cell>
          <cell r="B2563" t="str">
            <v>마두금</v>
          </cell>
          <cell r="C2563" t="str">
            <v>보물</v>
          </cell>
          <cell r="D2563">
            <v>18</v>
          </cell>
          <cell r="E2563" t="str">
            <v>보물</v>
          </cell>
          <cell r="F2563">
            <v>6</v>
          </cell>
          <cell r="G2563" t="str">
            <v>D</v>
          </cell>
          <cell r="H2563">
            <v>1</v>
          </cell>
          <cell r="AW2563" t="str">
            <v/>
          </cell>
          <cell r="BA2563" t="str">
            <v>-</v>
          </cell>
        </row>
        <row r="2564">
          <cell r="A2564">
            <v>70417050</v>
          </cell>
          <cell r="B2564" t="str">
            <v>마쿠라노소시</v>
          </cell>
          <cell r="C2564" t="str">
            <v>보물</v>
          </cell>
          <cell r="D2564">
            <v>18</v>
          </cell>
          <cell r="E2564" t="str">
            <v>보물</v>
          </cell>
          <cell r="F2564">
            <v>6</v>
          </cell>
          <cell r="G2564" t="str">
            <v>B</v>
          </cell>
          <cell r="H2564">
            <v>3</v>
          </cell>
        </row>
        <row r="2565">
          <cell r="A2565">
            <v>70417051</v>
          </cell>
          <cell r="B2565" t="str">
            <v>마하바라타</v>
          </cell>
          <cell r="C2565" t="str">
            <v>보물</v>
          </cell>
          <cell r="D2565">
            <v>18</v>
          </cell>
          <cell r="E2565" t="str">
            <v>보물</v>
          </cell>
          <cell r="F2565">
            <v>6</v>
          </cell>
          <cell r="G2565" t="str">
            <v>B</v>
          </cell>
          <cell r="H2565">
            <v>3</v>
          </cell>
        </row>
        <row r="2566">
          <cell r="A2566">
            <v>70417052</v>
          </cell>
          <cell r="B2566" t="str">
            <v>만엽집</v>
          </cell>
          <cell r="C2566" t="str">
            <v>보물</v>
          </cell>
          <cell r="D2566">
            <v>18</v>
          </cell>
          <cell r="E2566" t="str">
            <v>보물</v>
          </cell>
          <cell r="F2566">
            <v>6</v>
          </cell>
          <cell r="G2566" t="str">
            <v>C</v>
          </cell>
          <cell r="H2566">
            <v>2</v>
          </cell>
        </row>
        <row r="2567">
          <cell r="A2567">
            <v>70417053</v>
          </cell>
          <cell r="B2567" t="str">
            <v>말린체의 목걸이</v>
          </cell>
          <cell r="C2567" t="str">
            <v>보물</v>
          </cell>
          <cell r="D2567">
            <v>18</v>
          </cell>
          <cell r="E2567" t="str">
            <v>보물</v>
          </cell>
          <cell r="F2567">
            <v>6</v>
          </cell>
          <cell r="G2567" t="str">
            <v>B</v>
          </cell>
          <cell r="H2567">
            <v>3</v>
          </cell>
        </row>
        <row r="2568">
          <cell r="A2568">
            <v>70417054</v>
          </cell>
          <cell r="B2568" t="str">
            <v>맘루크의 커틀러스</v>
          </cell>
          <cell r="C2568" t="str">
            <v>역사유물</v>
          </cell>
          <cell r="D2568">
            <v>15</v>
          </cell>
          <cell r="E2568" t="str">
            <v>유물</v>
          </cell>
          <cell r="F2568">
            <v>5</v>
          </cell>
          <cell r="G2568" t="str">
            <v>C</v>
          </cell>
          <cell r="H2568">
            <v>2</v>
          </cell>
        </row>
        <row r="2569">
          <cell r="A2569">
            <v>70417055</v>
          </cell>
          <cell r="B2569" t="str">
            <v>멀린의 지팡이</v>
          </cell>
          <cell r="C2569" t="str">
            <v>보물</v>
          </cell>
          <cell r="D2569">
            <v>18</v>
          </cell>
          <cell r="E2569" t="str">
            <v>보물</v>
          </cell>
          <cell r="F2569">
            <v>6</v>
          </cell>
          <cell r="G2569" t="str">
            <v>S</v>
          </cell>
          <cell r="H2569">
            <v>5</v>
          </cell>
          <cell r="AW2569" t="str">
            <v>특정 퀘스트(=)</v>
          </cell>
          <cell r="AY2569" t="str">
            <v>유령의 행렬</v>
          </cell>
          <cell r="BA2569">
            <v>3</v>
          </cell>
        </row>
        <row r="2570">
          <cell r="A2570">
            <v>70417059</v>
          </cell>
          <cell r="B2570" t="str">
            <v>몬테수마 2세의 지팡이</v>
          </cell>
          <cell r="C2570" t="str">
            <v>보물</v>
          </cell>
          <cell r="D2570">
            <v>18</v>
          </cell>
          <cell r="E2570" t="str">
            <v>보물</v>
          </cell>
          <cell r="F2570">
            <v>6</v>
          </cell>
          <cell r="G2570" t="str">
            <v>S</v>
          </cell>
          <cell r="H2570">
            <v>5</v>
          </cell>
        </row>
        <row r="2571">
          <cell r="A2571">
            <v>70417060</v>
          </cell>
          <cell r="B2571" t="str">
            <v>무라마사</v>
          </cell>
          <cell r="C2571" t="str">
            <v>보물</v>
          </cell>
          <cell r="D2571">
            <v>18</v>
          </cell>
          <cell r="E2571" t="str">
            <v>보물</v>
          </cell>
          <cell r="F2571">
            <v>6</v>
          </cell>
          <cell r="G2571" t="str">
            <v>S</v>
          </cell>
          <cell r="H2571">
            <v>5</v>
          </cell>
        </row>
        <row r="2572">
          <cell r="A2572">
            <v>70417061</v>
          </cell>
          <cell r="B2572" t="str">
            <v>무캇디마</v>
          </cell>
          <cell r="C2572" t="str">
            <v>역사유물</v>
          </cell>
          <cell r="D2572">
            <v>15</v>
          </cell>
          <cell r="E2572" t="str">
            <v>유물</v>
          </cell>
          <cell r="F2572">
            <v>5</v>
          </cell>
          <cell r="G2572" t="str">
            <v>S</v>
          </cell>
          <cell r="H2572">
            <v>5</v>
          </cell>
        </row>
        <row r="2573">
          <cell r="A2573">
            <v>70417063</v>
          </cell>
          <cell r="B2573" t="str">
            <v>미스테카의 귀걸이</v>
          </cell>
          <cell r="C2573" t="str">
            <v>보물</v>
          </cell>
          <cell r="D2573">
            <v>18</v>
          </cell>
          <cell r="E2573" t="str">
            <v>보물</v>
          </cell>
          <cell r="F2573">
            <v>6</v>
          </cell>
          <cell r="G2573" t="str">
            <v>C</v>
          </cell>
          <cell r="H2573">
            <v>2</v>
          </cell>
          <cell r="AW2573" t="str">
            <v/>
          </cell>
          <cell r="BA2573" t="str">
            <v>-</v>
          </cell>
        </row>
        <row r="2574">
          <cell r="A2574">
            <v>70417066</v>
          </cell>
          <cell r="B2574" t="str">
            <v>발리하</v>
          </cell>
          <cell r="C2574" t="str">
            <v>보물</v>
          </cell>
          <cell r="D2574">
            <v>18</v>
          </cell>
          <cell r="E2574" t="str">
            <v>보물</v>
          </cell>
          <cell r="F2574">
            <v>6</v>
          </cell>
          <cell r="G2574" t="str">
            <v>B</v>
          </cell>
          <cell r="H2574">
            <v>3</v>
          </cell>
        </row>
        <row r="2575">
          <cell r="A2575">
            <v>70417067</v>
          </cell>
          <cell r="B2575" t="str">
            <v>발뭉</v>
          </cell>
          <cell r="C2575" t="str">
            <v>보물</v>
          </cell>
          <cell r="D2575">
            <v>18</v>
          </cell>
          <cell r="E2575" t="str">
            <v>보물</v>
          </cell>
          <cell r="F2575">
            <v>6</v>
          </cell>
          <cell r="G2575" t="str">
            <v>S</v>
          </cell>
          <cell r="H2575">
            <v>5</v>
          </cell>
        </row>
        <row r="2576">
          <cell r="A2576">
            <v>70417068</v>
          </cell>
          <cell r="B2576" t="str">
            <v>방장기</v>
          </cell>
          <cell r="C2576" t="str">
            <v>역사유물</v>
          </cell>
          <cell r="D2576">
            <v>15</v>
          </cell>
          <cell r="E2576" t="str">
            <v>유물</v>
          </cell>
          <cell r="F2576">
            <v>5</v>
          </cell>
          <cell r="G2576" t="str">
            <v>C</v>
          </cell>
          <cell r="H2576">
            <v>2</v>
          </cell>
        </row>
        <row r="2577">
          <cell r="A2577">
            <v>70417071</v>
          </cell>
          <cell r="B2577" t="str">
            <v>뱀의 여신상</v>
          </cell>
          <cell r="C2577" t="str">
            <v>보물</v>
          </cell>
          <cell r="D2577">
            <v>18</v>
          </cell>
          <cell r="E2577" t="str">
            <v>보물</v>
          </cell>
          <cell r="F2577">
            <v>6</v>
          </cell>
          <cell r="G2577" t="str">
            <v>D</v>
          </cell>
          <cell r="H2577">
            <v>1</v>
          </cell>
          <cell r="AW2577" t="str">
            <v/>
          </cell>
          <cell r="BA2577" t="str">
            <v>-</v>
          </cell>
        </row>
        <row r="2578">
          <cell r="A2578">
            <v>70417072</v>
          </cell>
          <cell r="B2578" t="str">
            <v>벽사 조각상</v>
          </cell>
          <cell r="C2578" t="str">
            <v>보물</v>
          </cell>
          <cell r="D2578">
            <v>18</v>
          </cell>
          <cell r="E2578" t="str">
            <v>보물</v>
          </cell>
          <cell r="F2578">
            <v>6</v>
          </cell>
          <cell r="G2578" t="str">
            <v>D</v>
          </cell>
          <cell r="H2578">
            <v>1</v>
          </cell>
          <cell r="AW2578" t="str">
            <v/>
          </cell>
          <cell r="BA2578" t="str">
            <v>-</v>
          </cell>
        </row>
        <row r="2579">
          <cell r="A2579">
            <v>70417074</v>
          </cell>
          <cell r="B2579" t="str">
            <v>봄빌랴</v>
          </cell>
          <cell r="C2579" t="str">
            <v>보물</v>
          </cell>
          <cell r="D2579">
            <v>18</v>
          </cell>
          <cell r="E2579" t="str">
            <v>보물</v>
          </cell>
          <cell r="F2579">
            <v>6</v>
          </cell>
          <cell r="G2579" t="str">
            <v>D</v>
          </cell>
          <cell r="H2579">
            <v>1</v>
          </cell>
          <cell r="AW2579" t="str">
            <v/>
          </cell>
          <cell r="BA2579" t="str">
            <v>-</v>
          </cell>
        </row>
        <row r="2580">
          <cell r="A2580">
            <v>70417076</v>
          </cell>
          <cell r="B2580" t="str">
            <v>불씨잡변</v>
          </cell>
          <cell r="C2580" t="str">
            <v>종교유물</v>
          </cell>
          <cell r="D2580">
            <v>16</v>
          </cell>
          <cell r="E2580" t="str">
            <v>유물</v>
          </cell>
          <cell r="F2580">
            <v>5</v>
          </cell>
          <cell r="G2580" t="str">
            <v>C</v>
          </cell>
          <cell r="H2580">
            <v>2</v>
          </cell>
        </row>
        <row r="2581">
          <cell r="A2581">
            <v>70417077</v>
          </cell>
          <cell r="B2581" t="str">
            <v>붉은 에이리크 사가</v>
          </cell>
          <cell r="C2581" t="str">
            <v>보물</v>
          </cell>
          <cell r="D2581">
            <v>18</v>
          </cell>
          <cell r="E2581" t="str">
            <v>보물</v>
          </cell>
          <cell r="F2581">
            <v>6</v>
          </cell>
          <cell r="G2581" t="str">
            <v>B</v>
          </cell>
          <cell r="H2581">
            <v>3</v>
          </cell>
        </row>
        <row r="2582">
          <cell r="A2582">
            <v>70417078</v>
          </cell>
          <cell r="B2582" t="str">
            <v>브류나크</v>
          </cell>
          <cell r="C2582" t="str">
            <v>보물</v>
          </cell>
          <cell r="D2582">
            <v>18</v>
          </cell>
          <cell r="E2582" t="str">
            <v>보물</v>
          </cell>
          <cell r="F2582">
            <v>6</v>
          </cell>
          <cell r="G2582" t="str">
            <v>S</v>
          </cell>
          <cell r="H2582">
            <v>5</v>
          </cell>
        </row>
        <row r="2583">
          <cell r="A2583">
            <v>70417079</v>
          </cell>
          <cell r="B2583" t="str">
            <v>비블리오테카 히스토리카</v>
          </cell>
          <cell r="C2583" t="str">
            <v>역사유물</v>
          </cell>
          <cell r="D2583">
            <v>15</v>
          </cell>
          <cell r="E2583" t="str">
            <v>유물</v>
          </cell>
          <cell r="F2583">
            <v>5</v>
          </cell>
          <cell r="G2583" t="str">
            <v>S</v>
          </cell>
          <cell r="H2583">
            <v>5</v>
          </cell>
        </row>
        <row r="2584">
          <cell r="A2584">
            <v>70417082</v>
          </cell>
          <cell r="B2584" t="str">
            <v>사자왕의 갑옷</v>
          </cell>
          <cell r="C2584" t="str">
            <v>보물</v>
          </cell>
          <cell r="D2584">
            <v>18</v>
          </cell>
          <cell r="E2584" t="str">
            <v>보물</v>
          </cell>
          <cell r="F2584">
            <v>6</v>
          </cell>
          <cell r="G2584" t="str">
            <v>A</v>
          </cell>
          <cell r="H2584">
            <v>4</v>
          </cell>
        </row>
        <row r="2585">
          <cell r="A2585">
            <v>70417083</v>
          </cell>
          <cell r="B2585" t="str">
            <v>산투르</v>
          </cell>
          <cell r="C2585" t="str">
            <v>보물</v>
          </cell>
          <cell r="D2585">
            <v>18</v>
          </cell>
          <cell r="E2585" t="str">
            <v>보물</v>
          </cell>
          <cell r="F2585">
            <v>6</v>
          </cell>
          <cell r="G2585" t="str">
            <v>C</v>
          </cell>
          <cell r="H2585">
            <v>2</v>
          </cell>
        </row>
        <row r="2586">
          <cell r="A2586">
            <v>70417084</v>
          </cell>
          <cell r="B2586" t="str">
            <v>살라딘의 검</v>
          </cell>
          <cell r="C2586" t="str">
            <v>보물</v>
          </cell>
          <cell r="D2586">
            <v>18</v>
          </cell>
          <cell r="E2586" t="str">
            <v>보물</v>
          </cell>
          <cell r="F2586">
            <v>6</v>
          </cell>
          <cell r="G2586" t="str">
            <v>S</v>
          </cell>
          <cell r="H2586">
            <v>5</v>
          </cell>
        </row>
        <row r="2587">
          <cell r="A2587">
            <v>70417085</v>
          </cell>
          <cell r="B2587" t="str">
            <v>살로메의 베일</v>
          </cell>
          <cell r="C2587" t="str">
            <v>보물</v>
          </cell>
          <cell r="D2587">
            <v>18</v>
          </cell>
          <cell r="E2587" t="str">
            <v>보물</v>
          </cell>
          <cell r="F2587">
            <v>6</v>
          </cell>
          <cell r="G2587" t="str">
            <v>A</v>
          </cell>
          <cell r="H2587">
            <v>4</v>
          </cell>
        </row>
        <row r="2588">
          <cell r="A2588">
            <v>70417086</v>
          </cell>
          <cell r="B2588" t="str">
            <v>삼국지</v>
          </cell>
          <cell r="C2588" t="str">
            <v>역사유물</v>
          </cell>
          <cell r="D2588">
            <v>15</v>
          </cell>
          <cell r="E2588" t="str">
            <v>유물</v>
          </cell>
          <cell r="F2588">
            <v>5</v>
          </cell>
          <cell r="G2588" t="str">
            <v>A</v>
          </cell>
          <cell r="H2588">
            <v>4</v>
          </cell>
        </row>
        <row r="2589">
          <cell r="A2589">
            <v>70417087</v>
          </cell>
          <cell r="B2589" t="str">
            <v>삼국지연의</v>
          </cell>
          <cell r="C2589" t="str">
            <v>역사유물</v>
          </cell>
          <cell r="D2589">
            <v>15</v>
          </cell>
          <cell r="E2589" t="str">
            <v>유물</v>
          </cell>
          <cell r="F2589">
            <v>5</v>
          </cell>
          <cell r="G2589" t="str">
            <v>B</v>
          </cell>
          <cell r="H2589">
            <v>3</v>
          </cell>
        </row>
        <row r="2590">
          <cell r="A2590">
            <v>70417088</v>
          </cell>
          <cell r="B2590" t="str">
            <v>상감세공 갑옷</v>
          </cell>
          <cell r="C2590" t="str">
            <v>보물</v>
          </cell>
          <cell r="D2590">
            <v>18</v>
          </cell>
          <cell r="E2590" t="str">
            <v>보물</v>
          </cell>
          <cell r="F2590">
            <v>6</v>
          </cell>
          <cell r="G2590" t="str">
            <v>D</v>
          </cell>
          <cell r="H2590">
            <v>1</v>
          </cell>
        </row>
        <row r="2591">
          <cell r="A2591">
            <v>70417089</v>
          </cell>
          <cell r="B2591" t="str">
            <v>상아 피리</v>
          </cell>
          <cell r="C2591" t="str">
            <v>보물</v>
          </cell>
          <cell r="D2591">
            <v>18</v>
          </cell>
          <cell r="E2591" t="str">
            <v>보물</v>
          </cell>
          <cell r="F2591">
            <v>6</v>
          </cell>
          <cell r="G2591" t="str">
            <v>C</v>
          </cell>
          <cell r="H2591">
            <v>2</v>
          </cell>
        </row>
        <row r="2592">
          <cell r="A2592">
            <v>70417090</v>
          </cell>
          <cell r="B2592" t="str">
            <v>생황</v>
          </cell>
          <cell r="C2592" t="str">
            <v>보물</v>
          </cell>
          <cell r="D2592">
            <v>18</v>
          </cell>
          <cell r="E2592" t="str">
            <v>보물</v>
          </cell>
          <cell r="F2592">
            <v>6</v>
          </cell>
          <cell r="G2592" t="str">
            <v>C</v>
          </cell>
          <cell r="H2592">
            <v>2</v>
          </cell>
        </row>
        <row r="2593">
          <cell r="A2593">
            <v>70417091</v>
          </cell>
          <cell r="B2593" t="str">
            <v>샤르카의 머리 장식</v>
          </cell>
          <cell r="C2593" t="str">
            <v>보물</v>
          </cell>
          <cell r="D2593">
            <v>18</v>
          </cell>
          <cell r="E2593" t="str">
            <v>보물</v>
          </cell>
          <cell r="F2593">
            <v>6</v>
          </cell>
          <cell r="G2593" t="str">
            <v>A</v>
          </cell>
          <cell r="H2593">
            <v>4</v>
          </cell>
        </row>
        <row r="2594">
          <cell r="A2594">
            <v>70417093</v>
          </cell>
          <cell r="B2594" t="str">
            <v>서유기</v>
          </cell>
          <cell r="C2594" t="str">
            <v>역사유물</v>
          </cell>
          <cell r="D2594">
            <v>15</v>
          </cell>
          <cell r="E2594" t="str">
            <v>유물</v>
          </cell>
          <cell r="F2594">
            <v>5</v>
          </cell>
          <cell r="G2594" t="str">
            <v>B</v>
          </cell>
          <cell r="H2594">
            <v>3</v>
          </cell>
        </row>
        <row r="2595">
          <cell r="A2595">
            <v>70417095</v>
          </cell>
          <cell r="B2595" t="str">
            <v>선녀의 무용복</v>
          </cell>
          <cell r="C2595" t="str">
            <v>보물</v>
          </cell>
          <cell r="D2595">
            <v>18</v>
          </cell>
          <cell r="E2595" t="str">
            <v>보물</v>
          </cell>
          <cell r="F2595">
            <v>6</v>
          </cell>
          <cell r="G2595" t="str">
            <v>C</v>
          </cell>
          <cell r="H2595">
            <v>2</v>
          </cell>
        </row>
        <row r="2596">
          <cell r="A2596">
            <v>70417096</v>
          </cell>
          <cell r="B2596" t="str">
            <v>성왕 갑옷</v>
          </cell>
          <cell r="C2596" t="str">
            <v>보물</v>
          </cell>
          <cell r="D2596">
            <v>18</v>
          </cell>
          <cell r="E2596" t="str">
            <v>보물</v>
          </cell>
          <cell r="F2596">
            <v>6</v>
          </cell>
          <cell r="G2596" t="str">
            <v>A</v>
          </cell>
          <cell r="H2596">
            <v>4</v>
          </cell>
        </row>
        <row r="2597">
          <cell r="A2597">
            <v>70417097</v>
          </cell>
          <cell r="B2597" t="str">
            <v>세네트</v>
          </cell>
          <cell r="C2597" t="str">
            <v>보물</v>
          </cell>
          <cell r="D2597">
            <v>18</v>
          </cell>
          <cell r="E2597" t="str">
            <v>보물</v>
          </cell>
          <cell r="F2597">
            <v>6</v>
          </cell>
          <cell r="G2597" t="str">
            <v>C</v>
          </cell>
          <cell r="H2597">
            <v>2</v>
          </cell>
        </row>
        <row r="2598">
          <cell r="A2598">
            <v>70417098</v>
          </cell>
          <cell r="B2598" t="str">
            <v>세이렌의 하프</v>
          </cell>
          <cell r="C2598" t="str">
            <v>보물</v>
          </cell>
          <cell r="D2598">
            <v>18</v>
          </cell>
          <cell r="E2598" t="str">
            <v>보물</v>
          </cell>
          <cell r="F2598">
            <v>6</v>
          </cell>
          <cell r="G2598" t="str">
            <v>B</v>
          </cell>
          <cell r="H2598">
            <v>3</v>
          </cell>
          <cell r="AW2598" t="str">
            <v>특정 퀘스트(=)</v>
          </cell>
          <cell r="AY2598" t="str">
            <v>종업원퀘스트_울로리악_3차</v>
          </cell>
          <cell r="BA2598">
            <v>2</v>
          </cell>
        </row>
        <row r="2599">
          <cell r="A2599">
            <v>70417099</v>
          </cell>
          <cell r="B2599" t="str">
            <v>소네트집</v>
          </cell>
          <cell r="C2599" t="str">
            <v>보물</v>
          </cell>
          <cell r="D2599">
            <v>18</v>
          </cell>
          <cell r="E2599" t="str">
            <v>보물</v>
          </cell>
          <cell r="F2599">
            <v>6</v>
          </cell>
          <cell r="G2599" t="str">
            <v>A</v>
          </cell>
          <cell r="H2599">
            <v>4</v>
          </cell>
        </row>
        <row r="2600">
          <cell r="A2600">
            <v>70417100</v>
          </cell>
          <cell r="B2600" t="str">
            <v>손자병법</v>
          </cell>
          <cell r="C2600" t="str">
            <v>보물</v>
          </cell>
          <cell r="D2600">
            <v>18</v>
          </cell>
          <cell r="E2600" t="str">
            <v>보물</v>
          </cell>
          <cell r="F2600">
            <v>6</v>
          </cell>
          <cell r="G2600" t="str">
            <v>S</v>
          </cell>
          <cell r="H2600">
            <v>5</v>
          </cell>
        </row>
        <row r="2601">
          <cell r="A2601">
            <v>70417102</v>
          </cell>
          <cell r="B2601" t="str">
            <v>수호전</v>
          </cell>
          <cell r="C2601" t="str">
            <v>역사유물</v>
          </cell>
          <cell r="D2601">
            <v>15</v>
          </cell>
          <cell r="E2601" t="str">
            <v>유물</v>
          </cell>
          <cell r="F2601">
            <v>5</v>
          </cell>
          <cell r="G2601" t="str">
            <v>B</v>
          </cell>
          <cell r="H2601">
            <v>3</v>
          </cell>
        </row>
        <row r="2602">
          <cell r="A2602">
            <v>70417107</v>
          </cell>
          <cell r="B2602" t="str">
            <v>슬릿 드럼</v>
          </cell>
          <cell r="C2602" t="str">
            <v>보물</v>
          </cell>
          <cell r="D2602">
            <v>18</v>
          </cell>
          <cell r="E2602" t="str">
            <v>보물</v>
          </cell>
          <cell r="F2602">
            <v>6</v>
          </cell>
          <cell r="G2602" t="str">
            <v>C</v>
          </cell>
          <cell r="H2602">
            <v>2</v>
          </cell>
        </row>
        <row r="2603">
          <cell r="A2603">
            <v>70417109</v>
          </cell>
          <cell r="B2603" t="str">
            <v>시야사트 나메</v>
          </cell>
          <cell r="C2603" t="str">
            <v>보물</v>
          </cell>
          <cell r="D2603">
            <v>18</v>
          </cell>
          <cell r="E2603" t="str">
            <v>보물</v>
          </cell>
          <cell r="F2603">
            <v>6</v>
          </cell>
          <cell r="G2603" t="str">
            <v>B</v>
          </cell>
          <cell r="H2603">
            <v>3</v>
          </cell>
        </row>
        <row r="2604">
          <cell r="A2604">
            <v>70417110</v>
          </cell>
          <cell r="B2604" t="str">
            <v>신곡</v>
          </cell>
          <cell r="C2604" t="str">
            <v>보물</v>
          </cell>
          <cell r="D2604">
            <v>18</v>
          </cell>
          <cell r="E2604" t="str">
            <v>보물</v>
          </cell>
          <cell r="F2604">
            <v>6</v>
          </cell>
          <cell r="G2604" t="str">
            <v>B</v>
          </cell>
          <cell r="H2604">
            <v>3</v>
          </cell>
        </row>
        <row r="2605">
          <cell r="A2605">
            <v>70417111</v>
          </cell>
          <cell r="B2605" t="str">
            <v>신기한 투구 장식</v>
          </cell>
          <cell r="C2605" t="str">
            <v>보물</v>
          </cell>
          <cell r="D2605">
            <v>18</v>
          </cell>
          <cell r="E2605" t="str">
            <v>보물</v>
          </cell>
          <cell r="F2605">
            <v>6</v>
          </cell>
          <cell r="G2605" t="str">
            <v>D</v>
          </cell>
          <cell r="H2605">
            <v>1</v>
          </cell>
          <cell r="AW2605" t="str">
            <v/>
          </cell>
          <cell r="BA2605" t="str">
            <v>-</v>
          </cell>
        </row>
        <row r="2606">
          <cell r="A2606">
            <v>70417112</v>
          </cell>
          <cell r="B2606" t="str">
            <v>신농본초경</v>
          </cell>
          <cell r="C2606" t="str">
            <v>보물</v>
          </cell>
          <cell r="D2606">
            <v>18</v>
          </cell>
          <cell r="E2606" t="str">
            <v>보물</v>
          </cell>
          <cell r="F2606">
            <v>6</v>
          </cell>
          <cell r="G2606" t="str">
            <v>A</v>
          </cell>
          <cell r="H2606">
            <v>4</v>
          </cell>
        </row>
        <row r="2607">
          <cell r="A2607">
            <v>70417113</v>
          </cell>
          <cell r="B2607" t="str">
            <v>신라 금관</v>
          </cell>
          <cell r="C2607" t="str">
            <v>보물</v>
          </cell>
          <cell r="D2607">
            <v>18</v>
          </cell>
          <cell r="E2607" t="str">
            <v>보물</v>
          </cell>
          <cell r="F2607">
            <v>6</v>
          </cell>
          <cell r="G2607" t="str">
            <v>B</v>
          </cell>
          <cell r="H2607">
            <v>3</v>
          </cell>
        </row>
        <row r="2608">
          <cell r="A2608">
            <v>70417114</v>
          </cell>
          <cell r="B2608" t="str">
            <v>신문고</v>
          </cell>
          <cell r="C2608" t="str">
            <v>역사유물</v>
          </cell>
          <cell r="D2608">
            <v>15</v>
          </cell>
          <cell r="E2608" t="str">
            <v>유물</v>
          </cell>
          <cell r="F2608">
            <v>5</v>
          </cell>
          <cell r="G2608" t="str">
            <v>C</v>
          </cell>
          <cell r="H2608">
            <v>2</v>
          </cell>
        </row>
        <row r="2609">
          <cell r="A2609">
            <v>70417118</v>
          </cell>
          <cell r="B2609" t="str">
            <v>아르페 성궤</v>
          </cell>
          <cell r="C2609" t="str">
            <v>종교유물</v>
          </cell>
          <cell r="D2609">
            <v>16</v>
          </cell>
          <cell r="E2609" t="str">
            <v>유물</v>
          </cell>
          <cell r="F2609">
            <v>5</v>
          </cell>
          <cell r="G2609" t="str">
            <v>S</v>
          </cell>
          <cell r="H2609">
            <v>5</v>
          </cell>
        </row>
        <row r="2610">
          <cell r="A2610">
            <v>70417120</v>
          </cell>
          <cell r="B2610" t="str">
            <v>아스맛족 머리 장식</v>
          </cell>
          <cell r="C2610" t="str">
            <v>보물</v>
          </cell>
          <cell r="D2610">
            <v>18</v>
          </cell>
          <cell r="E2610" t="str">
            <v>보물</v>
          </cell>
          <cell r="F2610">
            <v>6</v>
          </cell>
          <cell r="G2610" t="str">
            <v>B</v>
          </cell>
          <cell r="H2610">
            <v>3</v>
          </cell>
        </row>
        <row r="2611">
          <cell r="A2611">
            <v>70417121</v>
          </cell>
          <cell r="B2611" t="str">
            <v>아이올로스의 공</v>
          </cell>
          <cell r="C2611" t="str">
            <v>보물</v>
          </cell>
          <cell r="D2611">
            <v>18</v>
          </cell>
          <cell r="E2611" t="str">
            <v>보물</v>
          </cell>
          <cell r="F2611">
            <v>6</v>
          </cell>
          <cell r="G2611" t="str">
            <v>B</v>
          </cell>
          <cell r="H2611">
            <v>3</v>
          </cell>
        </row>
        <row r="2612">
          <cell r="A2612">
            <v>70417122</v>
          </cell>
          <cell r="B2612" t="str">
            <v>아프리카의 별</v>
          </cell>
          <cell r="C2612" t="str">
            <v>보물</v>
          </cell>
          <cell r="D2612">
            <v>18</v>
          </cell>
          <cell r="E2612" t="str">
            <v>보물</v>
          </cell>
          <cell r="F2612">
            <v>6</v>
          </cell>
          <cell r="G2612" t="str">
            <v>A</v>
          </cell>
          <cell r="H2612">
            <v>4</v>
          </cell>
        </row>
        <row r="2613">
          <cell r="A2613">
            <v>70417124</v>
          </cell>
          <cell r="B2613" t="str">
            <v>알마게스트</v>
          </cell>
          <cell r="C2613" t="str">
            <v>보물</v>
          </cell>
          <cell r="D2613">
            <v>18</v>
          </cell>
          <cell r="E2613" t="str">
            <v>보물</v>
          </cell>
          <cell r="F2613">
            <v>6</v>
          </cell>
          <cell r="G2613" t="str">
            <v>S</v>
          </cell>
          <cell r="H2613">
            <v>5</v>
          </cell>
        </row>
        <row r="2614">
          <cell r="A2614">
            <v>70417127</v>
          </cell>
          <cell r="B2614" t="str">
            <v>양금수수마노배</v>
          </cell>
          <cell r="C2614" t="str">
            <v>보물</v>
          </cell>
          <cell r="D2614">
            <v>18</v>
          </cell>
          <cell r="E2614" t="str">
            <v>보물</v>
          </cell>
          <cell r="F2614">
            <v>6</v>
          </cell>
          <cell r="G2614" t="str">
            <v>B</v>
          </cell>
          <cell r="H2614">
            <v>3</v>
          </cell>
        </row>
        <row r="2615">
          <cell r="A2615">
            <v>70417128</v>
          </cell>
          <cell r="B2615" t="str">
            <v>에르난 코르테스의 총</v>
          </cell>
          <cell r="C2615" t="str">
            <v>보물</v>
          </cell>
          <cell r="D2615">
            <v>18</v>
          </cell>
          <cell r="E2615" t="str">
            <v>보물</v>
          </cell>
          <cell r="F2615">
            <v>6</v>
          </cell>
          <cell r="G2615" t="str">
            <v>C</v>
          </cell>
          <cell r="H2615">
            <v>2</v>
          </cell>
        </row>
        <row r="2616">
          <cell r="A2616">
            <v>70417129</v>
          </cell>
          <cell r="B2616" t="str">
            <v>엘 시드의 노래</v>
          </cell>
          <cell r="C2616" t="str">
            <v>보물</v>
          </cell>
          <cell r="D2616">
            <v>18</v>
          </cell>
          <cell r="E2616" t="str">
            <v>보물</v>
          </cell>
          <cell r="F2616">
            <v>6</v>
          </cell>
          <cell r="G2616" t="str">
            <v>B</v>
          </cell>
          <cell r="H2616">
            <v>3</v>
          </cell>
        </row>
        <row r="2617">
          <cell r="A2617">
            <v>70417130</v>
          </cell>
          <cell r="B2617" t="str">
            <v>역사</v>
          </cell>
          <cell r="C2617" t="str">
            <v>역사유물</v>
          </cell>
          <cell r="D2617">
            <v>15</v>
          </cell>
          <cell r="E2617" t="str">
            <v>유물</v>
          </cell>
          <cell r="F2617">
            <v>5</v>
          </cell>
          <cell r="G2617" t="str">
            <v>B</v>
          </cell>
          <cell r="H2617">
            <v>3</v>
          </cell>
        </row>
        <row r="2618">
          <cell r="A2618">
            <v>70417131</v>
          </cell>
          <cell r="B2618" t="str">
            <v>영락대전</v>
          </cell>
          <cell r="C2618" t="str">
            <v>보물</v>
          </cell>
          <cell r="D2618">
            <v>18</v>
          </cell>
          <cell r="E2618" t="str">
            <v>보물</v>
          </cell>
          <cell r="F2618">
            <v>6</v>
          </cell>
          <cell r="G2618" t="str">
            <v>B</v>
          </cell>
          <cell r="H2618">
            <v>3</v>
          </cell>
        </row>
        <row r="2619">
          <cell r="A2619">
            <v>70417132</v>
          </cell>
          <cell r="B2619" t="str">
            <v>오디세이아</v>
          </cell>
          <cell r="C2619" t="str">
            <v>보물</v>
          </cell>
          <cell r="D2619">
            <v>18</v>
          </cell>
          <cell r="E2619" t="str">
            <v>보물</v>
          </cell>
          <cell r="F2619">
            <v>6</v>
          </cell>
          <cell r="G2619" t="str">
            <v>A</v>
          </cell>
          <cell r="H2619">
            <v>4</v>
          </cell>
        </row>
        <row r="2620">
          <cell r="A2620">
            <v>70417133</v>
          </cell>
          <cell r="B2620" t="str">
            <v>오토 1세의 왕관</v>
          </cell>
          <cell r="C2620" t="str">
            <v>보물</v>
          </cell>
          <cell r="D2620">
            <v>18</v>
          </cell>
          <cell r="E2620" t="str">
            <v>보물</v>
          </cell>
          <cell r="F2620">
            <v>6</v>
          </cell>
          <cell r="G2620" t="str">
            <v>A</v>
          </cell>
          <cell r="H2620">
            <v>4</v>
          </cell>
        </row>
        <row r="2621">
          <cell r="A2621">
            <v>70417134</v>
          </cell>
          <cell r="B2621" t="str">
            <v>오현비파</v>
          </cell>
          <cell r="C2621" t="str">
            <v>보물</v>
          </cell>
          <cell r="D2621">
            <v>18</v>
          </cell>
          <cell r="E2621" t="str">
            <v>보물</v>
          </cell>
          <cell r="F2621">
            <v>6</v>
          </cell>
          <cell r="G2621" t="str">
            <v>C</v>
          </cell>
          <cell r="H2621">
            <v>2</v>
          </cell>
          <cell r="AW2621" t="str">
            <v/>
          </cell>
          <cell r="BA2621" t="str">
            <v>-</v>
          </cell>
        </row>
        <row r="2622">
          <cell r="A2622">
            <v>70417135</v>
          </cell>
          <cell r="B2622" t="str">
            <v>옥새</v>
          </cell>
          <cell r="C2622" t="str">
            <v>보물</v>
          </cell>
          <cell r="D2622">
            <v>18</v>
          </cell>
          <cell r="E2622" t="str">
            <v>보물</v>
          </cell>
          <cell r="F2622">
            <v>6</v>
          </cell>
          <cell r="G2622" t="str">
            <v>A</v>
          </cell>
          <cell r="H2622">
            <v>4</v>
          </cell>
        </row>
        <row r="2623">
          <cell r="A2623">
            <v>70417136</v>
          </cell>
          <cell r="B2623" t="str">
            <v>와레루 다함마트</v>
          </cell>
          <cell r="C2623" t="str">
            <v>역사유물</v>
          </cell>
          <cell r="D2623">
            <v>15</v>
          </cell>
          <cell r="E2623" t="str">
            <v>유물</v>
          </cell>
          <cell r="F2623">
            <v>5</v>
          </cell>
          <cell r="G2623" t="str">
            <v>A</v>
          </cell>
          <cell r="H2623">
            <v>4</v>
          </cell>
        </row>
        <row r="2624">
          <cell r="A2624">
            <v>70417137</v>
          </cell>
          <cell r="B2624" t="str">
            <v>와양 쿨릿</v>
          </cell>
          <cell r="C2624" t="str">
            <v>보물</v>
          </cell>
          <cell r="D2624">
            <v>18</v>
          </cell>
          <cell r="E2624" t="str">
            <v>보물</v>
          </cell>
          <cell r="F2624">
            <v>6</v>
          </cell>
          <cell r="G2624" t="str">
            <v>C</v>
          </cell>
          <cell r="H2624">
            <v>2</v>
          </cell>
        </row>
        <row r="2625">
          <cell r="A2625">
            <v>70417139</v>
          </cell>
          <cell r="B2625" t="str">
            <v>완함</v>
          </cell>
          <cell r="C2625" t="str">
            <v>보물</v>
          </cell>
          <cell r="D2625">
            <v>18</v>
          </cell>
          <cell r="E2625" t="str">
            <v>보물</v>
          </cell>
          <cell r="F2625">
            <v>6</v>
          </cell>
          <cell r="G2625" t="str">
            <v>D</v>
          </cell>
          <cell r="H2625">
            <v>1</v>
          </cell>
          <cell r="AW2625" t="str">
            <v/>
          </cell>
          <cell r="BA2625" t="str">
            <v>-</v>
          </cell>
        </row>
        <row r="2626">
          <cell r="A2626">
            <v>70417140</v>
          </cell>
          <cell r="B2626" t="str">
            <v>요한 기사단장의 방패</v>
          </cell>
          <cell r="C2626" t="str">
            <v>종교유물</v>
          </cell>
          <cell r="D2626">
            <v>16</v>
          </cell>
          <cell r="E2626" t="str">
            <v>유물</v>
          </cell>
          <cell r="F2626">
            <v>5</v>
          </cell>
          <cell r="G2626" t="str">
            <v>A</v>
          </cell>
          <cell r="H2626">
            <v>4</v>
          </cell>
        </row>
        <row r="2627">
          <cell r="A2627">
            <v>70417141</v>
          </cell>
          <cell r="B2627" t="str">
            <v>우라노메트리아</v>
          </cell>
          <cell r="C2627" t="str">
            <v>보물</v>
          </cell>
          <cell r="D2627">
            <v>18</v>
          </cell>
          <cell r="E2627" t="str">
            <v>보물</v>
          </cell>
          <cell r="F2627">
            <v>6</v>
          </cell>
          <cell r="G2627" t="str">
            <v>B</v>
          </cell>
          <cell r="H2627">
            <v>3</v>
          </cell>
        </row>
        <row r="2628">
          <cell r="A2628">
            <v>70417142</v>
          </cell>
          <cell r="B2628" t="str">
            <v>우치습유이야기</v>
          </cell>
          <cell r="C2628" t="str">
            <v>보물</v>
          </cell>
          <cell r="D2628">
            <v>18</v>
          </cell>
          <cell r="E2628" t="str">
            <v>보물</v>
          </cell>
          <cell r="F2628">
            <v>6</v>
          </cell>
          <cell r="G2628" t="str">
            <v>B</v>
          </cell>
          <cell r="H2628">
            <v>3</v>
          </cell>
        </row>
        <row r="2629">
          <cell r="A2629">
            <v>70417143</v>
          </cell>
          <cell r="B2629" t="str">
            <v>운남 참마도</v>
          </cell>
          <cell r="C2629" t="str">
            <v>역사유물</v>
          </cell>
          <cell r="D2629">
            <v>15</v>
          </cell>
          <cell r="E2629" t="str">
            <v>유물</v>
          </cell>
          <cell r="F2629">
            <v>5</v>
          </cell>
          <cell r="G2629" t="str">
            <v>C</v>
          </cell>
          <cell r="H2629">
            <v>2</v>
          </cell>
        </row>
        <row r="2630">
          <cell r="A2630">
            <v>70417144</v>
          </cell>
          <cell r="B2630" t="str">
            <v>울리울리</v>
          </cell>
          <cell r="C2630" t="str">
            <v>보물</v>
          </cell>
          <cell r="D2630">
            <v>18</v>
          </cell>
          <cell r="E2630" t="str">
            <v>보물</v>
          </cell>
          <cell r="F2630">
            <v>6</v>
          </cell>
          <cell r="G2630" t="str">
            <v>D</v>
          </cell>
          <cell r="H2630">
            <v>1</v>
          </cell>
          <cell r="AW2630" t="str">
            <v/>
          </cell>
          <cell r="BA2630" t="str">
            <v>-</v>
          </cell>
        </row>
        <row r="2631">
          <cell r="A2631">
            <v>70417145</v>
          </cell>
          <cell r="B2631" t="str">
            <v>월계관</v>
          </cell>
          <cell r="C2631" t="str">
            <v>보물</v>
          </cell>
          <cell r="D2631">
            <v>18</v>
          </cell>
          <cell r="E2631" t="str">
            <v>보물</v>
          </cell>
          <cell r="F2631">
            <v>6</v>
          </cell>
          <cell r="G2631" t="str">
            <v>S</v>
          </cell>
          <cell r="H2631">
            <v>5</v>
          </cell>
        </row>
        <row r="2632">
          <cell r="A2632">
            <v>70417148</v>
          </cell>
          <cell r="B2632" t="str">
            <v>육임 식반</v>
          </cell>
          <cell r="C2632" t="str">
            <v>보물</v>
          </cell>
          <cell r="D2632">
            <v>18</v>
          </cell>
          <cell r="E2632" t="str">
            <v>보물</v>
          </cell>
          <cell r="F2632">
            <v>6</v>
          </cell>
          <cell r="G2632" t="str">
            <v>C</v>
          </cell>
          <cell r="H2632">
            <v>2</v>
          </cell>
        </row>
        <row r="2633">
          <cell r="A2633">
            <v>70417149</v>
          </cell>
          <cell r="B2633" t="str">
            <v>의학 전범</v>
          </cell>
          <cell r="C2633" t="str">
            <v>보물</v>
          </cell>
          <cell r="D2633">
            <v>18</v>
          </cell>
          <cell r="E2633" t="str">
            <v>보물</v>
          </cell>
          <cell r="F2633">
            <v>6</v>
          </cell>
          <cell r="G2633" t="str">
            <v>A</v>
          </cell>
          <cell r="H2633">
            <v>4</v>
          </cell>
        </row>
        <row r="2634">
          <cell r="A2634">
            <v>70417150</v>
          </cell>
          <cell r="B2634" t="str">
            <v>의학 전서</v>
          </cell>
          <cell r="C2634" t="str">
            <v>보물</v>
          </cell>
          <cell r="D2634">
            <v>18</v>
          </cell>
          <cell r="E2634" t="str">
            <v>보물</v>
          </cell>
          <cell r="F2634">
            <v>6</v>
          </cell>
          <cell r="G2634" t="str">
            <v>B</v>
          </cell>
          <cell r="H2634">
            <v>3</v>
          </cell>
        </row>
        <row r="2635">
          <cell r="A2635">
            <v>70417151</v>
          </cell>
          <cell r="B2635" t="str">
            <v>이븐 바투타 여행기</v>
          </cell>
          <cell r="C2635" t="str">
            <v>보물</v>
          </cell>
          <cell r="D2635">
            <v>18</v>
          </cell>
          <cell r="E2635" t="str">
            <v>보물</v>
          </cell>
          <cell r="F2635">
            <v>6</v>
          </cell>
          <cell r="G2635" t="str">
            <v>B</v>
          </cell>
          <cell r="H2635">
            <v>3</v>
          </cell>
          <cell r="AW2635" t="str">
            <v>특정 퀘스트(=)</v>
          </cell>
          <cell r="AY2635" t="str">
            <v>종업원퀘스트_아이셀_3차</v>
          </cell>
          <cell r="BA2635">
            <v>3</v>
          </cell>
        </row>
        <row r="2636">
          <cell r="A2636">
            <v>70417152</v>
          </cell>
          <cell r="B2636" t="str">
            <v>이파치예프스키 사본</v>
          </cell>
          <cell r="C2636" t="str">
            <v>역사유물</v>
          </cell>
          <cell r="D2636">
            <v>15</v>
          </cell>
          <cell r="E2636" t="str">
            <v>유물</v>
          </cell>
          <cell r="F2636">
            <v>5</v>
          </cell>
          <cell r="G2636" t="str">
            <v>A</v>
          </cell>
          <cell r="H2636">
            <v>4</v>
          </cell>
        </row>
        <row r="2637">
          <cell r="A2637">
            <v>70417153</v>
          </cell>
          <cell r="B2637" t="str">
            <v>이페왕의 두상</v>
          </cell>
          <cell r="C2637" t="str">
            <v>역사유물</v>
          </cell>
          <cell r="D2637">
            <v>15</v>
          </cell>
          <cell r="E2637" t="str">
            <v>유물</v>
          </cell>
          <cell r="F2637">
            <v>5</v>
          </cell>
          <cell r="G2637" t="str">
            <v>S</v>
          </cell>
          <cell r="H2637">
            <v>5</v>
          </cell>
        </row>
        <row r="2638">
          <cell r="A2638">
            <v>70417155</v>
          </cell>
          <cell r="B2638" t="str">
            <v>일리아스</v>
          </cell>
          <cell r="C2638" t="str">
            <v>보물</v>
          </cell>
          <cell r="D2638">
            <v>18</v>
          </cell>
          <cell r="E2638" t="str">
            <v>보물</v>
          </cell>
          <cell r="F2638">
            <v>6</v>
          </cell>
          <cell r="G2638" t="str">
            <v>S</v>
          </cell>
          <cell r="H2638">
            <v>5</v>
          </cell>
        </row>
        <row r="2639">
          <cell r="A2639">
            <v>70417159</v>
          </cell>
          <cell r="B2639" t="str">
            <v>자야바르만 7세의 두상</v>
          </cell>
          <cell r="C2639" t="str">
            <v>역사유물</v>
          </cell>
          <cell r="D2639">
            <v>15</v>
          </cell>
          <cell r="E2639" t="str">
            <v>유물</v>
          </cell>
          <cell r="F2639">
            <v>5</v>
          </cell>
          <cell r="G2639" t="str">
            <v>B</v>
          </cell>
          <cell r="H2639">
            <v>3</v>
          </cell>
        </row>
        <row r="2640">
          <cell r="A2640">
            <v>70417160</v>
          </cell>
          <cell r="B2640" t="str">
            <v>장궁</v>
          </cell>
          <cell r="C2640" t="str">
            <v>역사유물</v>
          </cell>
          <cell r="D2640">
            <v>15</v>
          </cell>
          <cell r="E2640" t="str">
            <v>유물</v>
          </cell>
          <cell r="F2640">
            <v>5</v>
          </cell>
          <cell r="G2640" t="str">
            <v>D</v>
          </cell>
          <cell r="H2640">
            <v>1</v>
          </cell>
          <cell r="AW2640" t="str">
            <v/>
          </cell>
          <cell r="BA2640" t="str">
            <v>-</v>
          </cell>
        </row>
        <row r="2641">
          <cell r="A2641">
            <v>70417161</v>
          </cell>
          <cell r="B2641" t="str">
            <v>장한가</v>
          </cell>
          <cell r="C2641" t="str">
            <v>보물</v>
          </cell>
          <cell r="D2641">
            <v>18</v>
          </cell>
          <cell r="E2641" t="str">
            <v>보물</v>
          </cell>
          <cell r="F2641">
            <v>6</v>
          </cell>
          <cell r="G2641" t="str">
            <v>B</v>
          </cell>
          <cell r="H2641">
            <v>3</v>
          </cell>
        </row>
        <row r="2642">
          <cell r="A2642">
            <v>70417162</v>
          </cell>
          <cell r="B2642" t="str">
            <v>전립</v>
          </cell>
          <cell r="C2642" t="str">
            <v>역사유물</v>
          </cell>
          <cell r="D2642">
            <v>15</v>
          </cell>
          <cell r="E2642" t="str">
            <v>유물</v>
          </cell>
          <cell r="F2642">
            <v>5</v>
          </cell>
          <cell r="G2642" t="str">
            <v>C</v>
          </cell>
          <cell r="H2642">
            <v>2</v>
          </cell>
        </row>
        <row r="2643">
          <cell r="A2643">
            <v>70417163</v>
          </cell>
          <cell r="B2643" t="str">
            <v>젬베</v>
          </cell>
          <cell r="C2643" t="str">
            <v>보물</v>
          </cell>
          <cell r="D2643">
            <v>18</v>
          </cell>
          <cell r="E2643" t="str">
            <v>보물</v>
          </cell>
          <cell r="F2643">
            <v>6</v>
          </cell>
          <cell r="G2643" t="str">
            <v>A</v>
          </cell>
          <cell r="H2643">
            <v>4</v>
          </cell>
        </row>
        <row r="2644">
          <cell r="A2644">
            <v>70417164</v>
          </cell>
          <cell r="B2644" t="str">
            <v>조선경국전</v>
          </cell>
          <cell r="C2644" t="str">
            <v>역사유물</v>
          </cell>
          <cell r="D2644">
            <v>15</v>
          </cell>
          <cell r="E2644" t="str">
            <v>유물</v>
          </cell>
          <cell r="F2644">
            <v>5</v>
          </cell>
          <cell r="G2644" t="str">
            <v>B</v>
          </cell>
          <cell r="H2644">
            <v>3</v>
          </cell>
        </row>
        <row r="2645">
          <cell r="A2645">
            <v>70417165</v>
          </cell>
          <cell r="B2645" t="str">
            <v>주르나</v>
          </cell>
          <cell r="C2645" t="str">
            <v>보물</v>
          </cell>
          <cell r="D2645">
            <v>18</v>
          </cell>
          <cell r="E2645" t="str">
            <v>보물</v>
          </cell>
          <cell r="F2645">
            <v>6</v>
          </cell>
          <cell r="G2645" t="str">
            <v>D</v>
          </cell>
          <cell r="H2645">
            <v>1</v>
          </cell>
        </row>
        <row r="2646">
          <cell r="A2646">
            <v>70417167</v>
          </cell>
          <cell r="B2646" t="str">
            <v>중추첩</v>
          </cell>
          <cell r="C2646" t="str">
            <v>보물</v>
          </cell>
          <cell r="D2646">
            <v>18</v>
          </cell>
          <cell r="E2646" t="str">
            <v>보물</v>
          </cell>
          <cell r="F2646">
            <v>6</v>
          </cell>
          <cell r="G2646" t="str">
            <v>B</v>
          </cell>
          <cell r="H2646">
            <v>3</v>
          </cell>
        </row>
        <row r="2647">
          <cell r="A2647">
            <v>70417168</v>
          </cell>
          <cell r="B2647" t="str">
            <v>챠후챠스</v>
          </cell>
          <cell r="C2647" t="str">
            <v>보물</v>
          </cell>
          <cell r="D2647">
            <v>18</v>
          </cell>
          <cell r="E2647" t="str">
            <v>보물</v>
          </cell>
          <cell r="F2647">
            <v>6</v>
          </cell>
          <cell r="G2647" t="str">
            <v>A</v>
          </cell>
          <cell r="H2647">
            <v>4</v>
          </cell>
        </row>
        <row r="2648">
          <cell r="A2648">
            <v>70417170</v>
          </cell>
          <cell r="B2648" t="str">
            <v>청룡언월도</v>
          </cell>
          <cell r="C2648" t="str">
            <v>보물</v>
          </cell>
          <cell r="D2648">
            <v>18</v>
          </cell>
          <cell r="E2648" t="str">
            <v>보물</v>
          </cell>
          <cell r="F2648">
            <v>6</v>
          </cell>
          <cell r="G2648" t="str">
            <v>S</v>
          </cell>
          <cell r="H2648">
            <v>5</v>
          </cell>
        </row>
        <row r="2649">
          <cell r="A2649">
            <v>70417173</v>
          </cell>
          <cell r="B2649" t="str">
            <v>춘망</v>
          </cell>
          <cell r="C2649" t="str">
            <v>보물</v>
          </cell>
          <cell r="D2649">
            <v>18</v>
          </cell>
          <cell r="E2649" t="str">
            <v>보물</v>
          </cell>
          <cell r="F2649">
            <v>6</v>
          </cell>
          <cell r="G2649" t="str">
            <v>B</v>
          </cell>
          <cell r="H2649">
            <v>3</v>
          </cell>
        </row>
        <row r="2650">
          <cell r="A2650">
            <v>70417174</v>
          </cell>
          <cell r="B2650" t="str">
            <v>칠지도</v>
          </cell>
          <cell r="C2650" t="str">
            <v>보물</v>
          </cell>
          <cell r="D2650">
            <v>18</v>
          </cell>
          <cell r="E2650" t="str">
            <v>보물</v>
          </cell>
          <cell r="F2650">
            <v>6</v>
          </cell>
          <cell r="G2650" t="str">
            <v>S</v>
          </cell>
          <cell r="H2650">
            <v>5</v>
          </cell>
        </row>
        <row r="2651">
          <cell r="A2651">
            <v>70417176</v>
          </cell>
          <cell r="B2651" t="str">
            <v>카를대제의 왕관</v>
          </cell>
          <cell r="C2651" t="str">
            <v>보물</v>
          </cell>
          <cell r="D2651">
            <v>18</v>
          </cell>
          <cell r="E2651" t="str">
            <v>보물</v>
          </cell>
          <cell r="F2651">
            <v>6</v>
          </cell>
          <cell r="G2651" t="str">
            <v>B</v>
          </cell>
          <cell r="H2651">
            <v>3</v>
          </cell>
        </row>
        <row r="2652">
          <cell r="A2652">
            <v>70417177</v>
          </cell>
          <cell r="B2652" t="str">
            <v>카샤카</v>
          </cell>
          <cell r="C2652" t="str">
            <v>보물</v>
          </cell>
          <cell r="D2652">
            <v>18</v>
          </cell>
          <cell r="E2652" t="str">
            <v>보물</v>
          </cell>
          <cell r="F2652">
            <v>6</v>
          </cell>
          <cell r="G2652" t="str">
            <v>B</v>
          </cell>
          <cell r="H2652">
            <v>3</v>
          </cell>
        </row>
        <row r="2653">
          <cell r="A2653">
            <v>70417178</v>
          </cell>
          <cell r="B2653" t="str">
            <v>케나</v>
          </cell>
          <cell r="C2653" t="str">
            <v>보물</v>
          </cell>
          <cell r="D2653">
            <v>18</v>
          </cell>
          <cell r="E2653" t="str">
            <v>보물</v>
          </cell>
          <cell r="F2653">
            <v>6</v>
          </cell>
          <cell r="G2653" t="str">
            <v>A</v>
          </cell>
          <cell r="H2653">
            <v>4</v>
          </cell>
        </row>
        <row r="2654">
          <cell r="A2654">
            <v>70417179</v>
          </cell>
          <cell r="B2654" t="str">
            <v>켈스의 서</v>
          </cell>
          <cell r="C2654" t="str">
            <v>종교유물</v>
          </cell>
          <cell r="D2654">
            <v>16</v>
          </cell>
          <cell r="E2654" t="str">
            <v>유물</v>
          </cell>
          <cell r="F2654">
            <v>5</v>
          </cell>
          <cell r="G2654" t="str">
            <v>B</v>
          </cell>
          <cell r="H2654">
            <v>3</v>
          </cell>
        </row>
        <row r="2655">
          <cell r="A2655">
            <v>70417180</v>
          </cell>
          <cell r="B2655" t="str">
            <v>코라</v>
          </cell>
          <cell r="C2655" t="str">
            <v>보물</v>
          </cell>
          <cell r="D2655">
            <v>18</v>
          </cell>
          <cell r="E2655" t="str">
            <v>보물</v>
          </cell>
          <cell r="F2655">
            <v>6</v>
          </cell>
          <cell r="G2655" t="str">
            <v>C</v>
          </cell>
          <cell r="H2655">
            <v>2</v>
          </cell>
        </row>
        <row r="2656">
          <cell r="A2656">
            <v>70417181</v>
          </cell>
          <cell r="B2656" t="str">
            <v>코시모의 메달</v>
          </cell>
          <cell r="C2656" t="str">
            <v>보물</v>
          </cell>
          <cell r="D2656">
            <v>18</v>
          </cell>
          <cell r="E2656" t="str">
            <v>보물</v>
          </cell>
          <cell r="F2656">
            <v>6</v>
          </cell>
          <cell r="G2656" t="str">
            <v>C</v>
          </cell>
          <cell r="H2656">
            <v>2</v>
          </cell>
        </row>
        <row r="2657">
          <cell r="A2657">
            <v>70417182</v>
          </cell>
          <cell r="B2657" t="str">
            <v>코이누르</v>
          </cell>
          <cell r="C2657" t="str">
            <v>보물</v>
          </cell>
          <cell r="D2657">
            <v>18</v>
          </cell>
          <cell r="E2657" t="str">
            <v>보물</v>
          </cell>
          <cell r="F2657">
            <v>6</v>
          </cell>
          <cell r="G2657" t="str">
            <v>B</v>
          </cell>
          <cell r="H2657">
            <v>3</v>
          </cell>
        </row>
        <row r="2658">
          <cell r="A2658">
            <v>70417184</v>
          </cell>
          <cell r="B2658" t="str">
            <v>콜라다</v>
          </cell>
          <cell r="C2658" t="str">
            <v>보물</v>
          </cell>
          <cell r="D2658">
            <v>18</v>
          </cell>
          <cell r="E2658" t="str">
            <v>보물</v>
          </cell>
          <cell r="F2658">
            <v>6</v>
          </cell>
          <cell r="G2658" t="str">
            <v>S</v>
          </cell>
          <cell r="H2658">
            <v>5</v>
          </cell>
        </row>
        <row r="2659">
          <cell r="A2659">
            <v>70417186</v>
          </cell>
          <cell r="B2659" t="str">
            <v>쿠아우테목의 창</v>
          </cell>
          <cell r="C2659" t="str">
            <v>보물</v>
          </cell>
          <cell r="D2659">
            <v>18</v>
          </cell>
          <cell r="E2659" t="str">
            <v>보물</v>
          </cell>
          <cell r="F2659">
            <v>6</v>
          </cell>
          <cell r="G2659" t="str">
            <v>S</v>
          </cell>
          <cell r="H2659">
            <v>5</v>
          </cell>
        </row>
        <row r="2660">
          <cell r="A2660">
            <v>70417187</v>
          </cell>
          <cell r="B2660" t="str">
            <v>쿠 스틱</v>
          </cell>
          <cell r="C2660" t="str">
            <v>역사유물</v>
          </cell>
          <cell r="D2660">
            <v>15</v>
          </cell>
          <cell r="E2660" t="str">
            <v>유물</v>
          </cell>
          <cell r="F2660">
            <v>5</v>
          </cell>
          <cell r="G2660" t="str">
            <v>C</v>
          </cell>
          <cell r="H2660">
            <v>2</v>
          </cell>
        </row>
        <row r="2661">
          <cell r="A2661">
            <v>70417188</v>
          </cell>
          <cell r="B2661" t="str">
            <v>클랩스틱</v>
          </cell>
          <cell r="C2661" t="str">
            <v>보물</v>
          </cell>
          <cell r="D2661">
            <v>18</v>
          </cell>
          <cell r="E2661" t="str">
            <v>보물</v>
          </cell>
          <cell r="F2661">
            <v>6</v>
          </cell>
          <cell r="G2661" t="str">
            <v>D</v>
          </cell>
          <cell r="H2661">
            <v>1</v>
          </cell>
          <cell r="AW2661" t="str">
            <v/>
          </cell>
          <cell r="BA2661" t="str">
            <v>-</v>
          </cell>
        </row>
        <row r="2662">
          <cell r="A2662">
            <v>70417189</v>
          </cell>
          <cell r="B2662" t="str">
            <v>클리브 솔리스</v>
          </cell>
          <cell r="C2662" t="str">
            <v>보물</v>
          </cell>
          <cell r="D2662">
            <v>18</v>
          </cell>
          <cell r="E2662" t="str">
            <v>보물</v>
          </cell>
          <cell r="F2662">
            <v>6</v>
          </cell>
          <cell r="G2662" t="str">
            <v>S</v>
          </cell>
          <cell r="H2662">
            <v>5</v>
          </cell>
        </row>
        <row r="2663">
          <cell r="A2663">
            <v>70417190</v>
          </cell>
          <cell r="B2663" t="str">
            <v>키푸</v>
          </cell>
          <cell r="C2663" t="str">
            <v>보물</v>
          </cell>
          <cell r="D2663">
            <v>18</v>
          </cell>
          <cell r="E2663" t="str">
            <v>보물</v>
          </cell>
          <cell r="F2663">
            <v>6</v>
          </cell>
          <cell r="G2663" t="str">
            <v>B</v>
          </cell>
          <cell r="H2663">
            <v>3</v>
          </cell>
        </row>
        <row r="2664">
          <cell r="A2664">
            <v>70417191</v>
          </cell>
          <cell r="B2664" t="str">
            <v>태공망의 낚싯대</v>
          </cell>
          <cell r="C2664" t="str">
            <v>보물</v>
          </cell>
          <cell r="D2664">
            <v>18</v>
          </cell>
          <cell r="E2664" t="str">
            <v>보물</v>
          </cell>
          <cell r="F2664">
            <v>6</v>
          </cell>
          <cell r="G2664" t="str">
            <v>A</v>
          </cell>
          <cell r="H2664">
            <v>4</v>
          </cell>
        </row>
        <row r="2665">
          <cell r="A2665">
            <v>70417192</v>
          </cell>
          <cell r="B2665" t="str">
            <v>태양신조금식</v>
          </cell>
          <cell r="C2665" t="str">
            <v>종교유물</v>
          </cell>
          <cell r="D2665">
            <v>16</v>
          </cell>
          <cell r="E2665" t="str">
            <v>유물</v>
          </cell>
          <cell r="F2665">
            <v>5</v>
          </cell>
          <cell r="G2665" t="str">
            <v>D</v>
          </cell>
          <cell r="H2665">
            <v>1</v>
          </cell>
          <cell r="AW2665" t="str">
            <v/>
          </cell>
          <cell r="BA2665" t="str">
            <v>-</v>
          </cell>
        </row>
        <row r="2666">
          <cell r="A2666">
            <v>70417193</v>
          </cell>
          <cell r="B2666" t="str">
            <v>태평기</v>
          </cell>
          <cell r="C2666" t="str">
            <v>보물</v>
          </cell>
          <cell r="D2666">
            <v>18</v>
          </cell>
          <cell r="E2666" t="str">
            <v>보물</v>
          </cell>
          <cell r="F2666">
            <v>6</v>
          </cell>
          <cell r="G2666" t="str">
            <v>D</v>
          </cell>
          <cell r="H2666">
            <v>1</v>
          </cell>
          <cell r="AW2666" t="str">
            <v/>
          </cell>
          <cell r="BA2666" t="str">
            <v>-</v>
          </cell>
        </row>
        <row r="2667">
          <cell r="A2667">
            <v>70417196</v>
          </cell>
          <cell r="B2667" t="str">
            <v>테오도라의 무용 의상</v>
          </cell>
          <cell r="C2667" t="str">
            <v>보물</v>
          </cell>
          <cell r="D2667">
            <v>18</v>
          </cell>
          <cell r="E2667" t="str">
            <v>보물</v>
          </cell>
          <cell r="F2667">
            <v>6</v>
          </cell>
          <cell r="G2667" t="str">
            <v>B</v>
          </cell>
          <cell r="H2667">
            <v>3</v>
          </cell>
        </row>
        <row r="2668">
          <cell r="A2668">
            <v>70417197</v>
          </cell>
          <cell r="B2668" t="str">
            <v>튜턴 기사단장의 검</v>
          </cell>
          <cell r="C2668" t="str">
            <v>종교유물</v>
          </cell>
          <cell r="D2668">
            <v>16</v>
          </cell>
          <cell r="E2668" t="str">
            <v>유물</v>
          </cell>
          <cell r="F2668">
            <v>5</v>
          </cell>
          <cell r="G2668" t="str">
            <v>A</v>
          </cell>
          <cell r="H2668">
            <v>4</v>
          </cell>
        </row>
        <row r="2669">
          <cell r="A2669">
            <v>70417198</v>
          </cell>
          <cell r="B2669" t="str">
            <v>트리스탄의 검</v>
          </cell>
          <cell r="C2669" t="str">
            <v>보물</v>
          </cell>
          <cell r="D2669">
            <v>18</v>
          </cell>
          <cell r="E2669" t="str">
            <v>보물</v>
          </cell>
          <cell r="F2669">
            <v>6</v>
          </cell>
          <cell r="G2669" t="str">
            <v>S</v>
          </cell>
          <cell r="H2669">
            <v>5</v>
          </cell>
        </row>
        <row r="2670">
          <cell r="A2670">
            <v>70417199</v>
          </cell>
          <cell r="B2670" t="str">
            <v>틀라솔테오틀 여신상</v>
          </cell>
          <cell r="C2670" t="str">
            <v>종교유물</v>
          </cell>
          <cell r="D2670">
            <v>16</v>
          </cell>
          <cell r="E2670" t="str">
            <v>유물</v>
          </cell>
          <cell r="F2670">
            <v>5</v>
          </cell>
          <cell r="G2670" t="str">
            <v>S</v>
          </cell>
          <cell r="H2670">
            <v>5</v>
          </cell>
        </row>
        <row r="2671">
          <cell r="A2671">
            <v>70417200</v>
          </cell>
          <cell r="B2671" t="str">
            <v>티조나</v>
          </cell>
          <cell r="C2671" t="str">
            <v>보물</v>
          </cell>
          <cell r="D2671">
            <v>18</v>
          </cell>
          <cell r="E2671" t="str">
            <v>보물</v>
          </cell>
          <cell r="F2671">
            <v>6</v>
          </cell>
          <cell r="G2671" t="str">
            <v>S</v>
          </cell>
          <cell r="H2671">
            <v>5</v>
          </cell>
        </row>
        <row r="2672">
          <cell r="A2672">
            <v>70417202</v>
          </cell>
          <cell r="B2672" t="str">
            <v>파이완 민족의상</v>
          </cell>
          <cell r="C2672" t="str">
            <v>보물</v>
          </cell>
          <cell r="D2672">
            <v>18</v>
          </cell>
          <cell r="E2672" t="str">
            <v>보물</v>
          </cell>
          <cell r="F2672">
            <v>6</v>
          </cell>
          <cell r="G2672" t="str">
            <v>C</v>
          </cell>
          <cell r="H2672">
            <v>2</v>
          </cell>
        </row>
        <row r="2673">
          <cell r="A2673">
            <v>70417204</v>
          </cell>
          <cell r="B2673" t="str">
            <v>포우나무</v>
          </cell>
          <cell r="C2673" t="str">
            <v>보물</v>
          </cell>
          <cell r="D2673">
            <v>18</v>
          </cell>
          <cell r="E2673" t="str">
            <v>보물</v>
          </cell>
          <cell r="F2673">
            <v>6</v>
          </cell>
          <cell r="G2673" t="str">
            <v>C</v>
          </cell>
          <cell r="H2673">
            <v>2</v>
          </cell>
        </row>
        <row r="2674">
          <cell r="A2674">
            <v>70417205</v>
          </cell>
          <cell r="B2674" t="str">
            <v>포이</v>
          </cell>
          <cell r="C2674" t="str">
            <v>보물</v>
          </cell>
          <cell r="D2674">
            <v>18</v>
          </cell>
          <cell r="E2674" t="str">
            <v>보물</v>
          </cell>
          <cell r="F2674">
            <v>6</v>
          </cell>
          <cell r="G2674" t="str">
            <v>C</v>
          </cell>
          <cell r="H2674">
            <v>2</v>
          </cell>
        </row>
        <row r="2675">
          <cell r="A2675">
            <v>70417206</v>
          </cell>
          <cell r="B2675" t="str">
            <v>폴리크라테스의 반지</v>
          </cell>
          <cell r="C2675" t="str">
            <v>보물</v>
          </cell>
          <cell r="D2675">
            <v>18</v>
          </cell>
          <cell r="E2675" t="str">
            <v>보물</v>
          </cell>
          <cell r="F2675">
            <v>6</v>
          </cell>
          <cell r="G2675" t="str">
            <v>B</v>
          </cell>
          <cell r="H2675">
            <v>3</v>
          </cell>
        </row>
        <row r="2676">
          <cell r="A2676">
            <v>70417207</v>
          </cell>
          <cell r="B2676" t="str">
            <v>풍신첩</v>
          </cell>
          <cell r="C2676" t="str">
            <v>보물</v>
          </cell>
          <cell r="D2676">
            <v>18</v>
          </cell>
          <cell r="E2676" t="str">
            <v>보물</v>
          </cell>
          <cell r="F2676">
            <v>6</v>
          </cell>
          <cell r="G2676" t="str">
            <v>C</v>
          </cell>
          <cell r="H2676">
            <v>2</v>
          </cell>
        </row>
        <row r="2677">
          <cell r="A2677">
            <v>70417208</v>
          </cell>
          <cell r="B2677" t="str">
            <v>프라가라흐</v>
          </cell>
          <cell r="C2677" t="str">
            <v>보물</v>
          </cell>
          <cell r="D2677">
            <v>18</v>
          </cell>
          <cell r="E2677" t="str">
            <v>보물</v>
          </cell>
          <cell r="F2677">
            <v>6</v>
          </cell>
          <cell r="G2677" t="str">
            <v>A</v>
          </cell>
          <cell r="H2677">
            <v>4</v>
          </cell>
        </row>
        <row r="2678">
          <cell r="A2678">
            <v>70417209</v>
          </cell>
          <cell r="B2678" t="str">
            <v>프리드리히 1세의 갑옷</v>
          </cell>
          <cell r="C2678" t="str">
            <v>보물</v>
          </cell>
          <cell r="D2678">
            <v>18</v>
          </cell>
          <cell r="E2678" t="str">
            <v>보물</v>
          </cell>
          <cell r="F2678">
            <v>6</v>
          </cell>
          <cell r="G2678" t="str">
            <v>B</v>
          </cell>
          <cell r="H2678">
            <v>3</v>
          </cell>
        </row>
        <row r="2679">
          <cell r="A2679">
            <v>70417212</v>
          </cell>
          <cell r="B2679" t="str">
            <v>합성궁</v>
          </cell>
          <cell r="C2679" t="str">
            <v>역사유물</v>
          </cell>
          <cell r="D2679">
            <v>15</v>
          </cell>
          <cell r="E2679" t="str">
            <v>유물</v>
          </cell>
          <cell r="F2679">
            <v>5</v>
          </cell>
          <cell r="G2679" t="str">
            <v>D</v>
          </cell>
          <cell r="H2679">
            <v>1</v>
          </cell>
          <cell r="AW2679" t="str">
            <v/>
          </cell>
          <cell r="BA2679" t="str">
            <v>-</v>
          </cell>
        </row>
        <row r="2680">
          <cell r="A2680">
            <v>70417214</v>
          </cell>
          <cell r="B2680" t="str">
            <v>헤르메스 문서</v>
          </cell>
          <cell r="C2680" t="str">
            <v>보물</v>
          </cell>
          <cell r="D2680">
            <v>18</v>
          </cell>
          <cell r="E2680" t="str">
            <v>보물</v>
          </cell>
          <cell r="F2680">
            <v>6</v>
          </cell>
          <cell r="G2680" t="str">
            <v>D</v>
          </cell>
          <cell r="H2680">
            <v>1</v>
          </cell>
          <cell r="AW2680" t="str">
            <v/>
          </cell>
          <cell r="BA2680" t="str">
            <v>-</v>
          </cell>
        </row>
        <row r="2681">
          <cell r="A2681">
            <v>70417215</v>
          </cell>
          <cell r="B2681" t="str">
            <v>현자의 돌</v>
          </cell>
          <cell r="C2681" t="str">
            <v>보물</v>
          </cell>
          <cell r="D2681">
            <v>18</v>
          </cell>
          <cell r="E2681" t="str">
            <v>보물</v>
          </cell>
          <cell r="F2681">
            <v>6</v>
          </cell>
          <cell r="G2681" t="str">
            <v>S</v>
          </cell>
          <cell r="H2681">
            <v>5</v>
          </cell>
        </row>
        <row r="2682">
          <cell r="A2682">
            <v>70417216</v>
          </cell>
          <cell r="B2682" t="str">
            <v>황금야마상</v>
          </cell>
          <cell r="C2682" t="str">
            <v>보물</v>
          </cell>
          <cell r="D2682">
            <v>18</v>
          </cell>
          <cell r="E2682" t="str">
            <v>보물</v>
          </cell>
          <cell r="F2682">
            <v>6</v>
          </cell>
          <cell r="G2682" t="str">
            <v>A</v>
          </cell>
          <cell r="H2682">
            <v>4</v>
          </cell>
        </row>
        <row r="2683">
          <cell r="A2683">
            <v>70417218</v>
          </cell>
          <cell r="B2683" t="str">
            <v>황제내경</v>
          </cell>
          <cell r="C2683" t="str">
            <v>보물</v>
          </cell>
          <cell r="D2683">
            <v>18</v>
          </cell>
          <cell r="E2683" t="str">
            <v>보물</v>
          </cell>
          <cell r="F2683">
            <v>6</v>
          </cell>
          <cell r="G2683" t="str">
            <v>B</v>
          </cell>
          <cell r="H2683">
            <v>3</v>
          </cell>
        </row>
        <row r="2684">
          <cell r="A2684">
            <v>70417219</v>
          </cell>
          <cell r="B2684" t="str">
            <v>훈민정음</v>
          </cell>
          <cell r="C2684" t="str">
            <v>보물</v>
          </cell>
          <cell r="D2684">
            <v>18</v>
          </cell>
          <cell r="E2684" t="str">
            <v>보물</v>
          </cell>
          <cell r="F2684">
            <v>6</v>
          </cell>
          <cell r="G2684" t="str">
            <v>S</v>
          </cell>
          <cell r="H2684">
            <v>5</v>
          </cell>
        </row>
        <row r="2685">
          <cell r="A2685">
            <v>70417221</v>
          </cell>
          <cell r="B2685" t="str">
            <v>흑태자의 루비</v>
          </cell>
          <cell r="C2685" t="str">
            <v>보물</v>
          </cell>
          <cell r="D2685">
            <v>18</v>
          </cell>
          <cell r="E2685" t="str">
            <v>보물</v>
          </cell>
          <cell r="F2685">
            <v>6</v>
          </cell>
          <cell r="G2685" t="str">
            <v>B</v>
          </cell>
          <cell r="H2685">
            <v>3</v>
          </cell>
        </row>
        <row r="2686">
          <cell r="A2686">
            <v>70417223</v>
          </cell>
          <cell r="B2686" t="str">
            <v>성자의 지팡이</v>
          </cell>
          <cell r="C2686" t="str">
            <v>보물</v>
          </cell>
          <cell r="D2686">
            <v>18</v>
          </cell>
          <cell r="E2686" t="str">
            <v>보물</v>
          </cell>
          <cell r="F2686">
            <v>6</v>
          </cell>
          <cell r="G2686" t="str">
            <v>S</v>
          </cell>
          <cell r="H2686">
            <v>5</v>
          </cell>
          <cell r="AW2686" t="str">
            <v>특정 퀘스트(=)</v>
          </cell>
          <cell r="AY2686" t="str">
            <v>피에트로 콘티 시나리오</v>
          </cell>
          <cell r="BA2686" t="str">
            <v>피에트로 콘티11_02</v>
          </cell>
        </row>
        <row r="2687">
          <cell r="A2687">
            <v>70417224</v>
          </cell>
          <cell r="B2687" t="str">
            <v>아서왕의 성배</v>
          </cell>
          <cell r="C2687" t="str">
            <v>보물</v>
          </cell>
          <cell r="D2687">
            <v>18</v>
          </cell>
          <cell r="E2687" t="str">
            <v>보물</v>
          </cell>
          <cell r="F2687">
            <v>6</v>
          </cell>
          <cell r="G2687" t="str">
            <v>B</v>
          </cell>
          <cell r="H2687">
            <v>3</v>
          </cell>
          <cell r="AW2687" t="str">
            <v>특정 퀘스트(=)</v>
          </cell>
          <cell r="AY2687" t="str">
            <v>밀란다 베르테 시나리오</v>
          </cell>
          <cell r="BA2687" t="str">
            <v>밀란다 베르테12_05</v>
          </cell>
        </row>
        <row r="2688">
          <cell r="A2688">
            <v>70418000</v>
          </cell>
          <cell r="B2688" t="str">
            <v>가리비류 화석</v>
          </cell>
          <cell r="C2688" t="str">
            <v>화석</v>
          </cell>
          <cell r="D2688">
            <v>4</v>
          </cell>
          <cell r="E2688" t="str">
            <v>자연</v>
          </cell>
          <cell r="F2688">
            <v>1</v>
          </cell>
          <cell r="G2688" t="str">
            <v>B</v>
          </cell>
          <cell r="H2688">
            <v>3</v>
          </cell>
        </row>
        <row r="2689">
          <cell r="A2689">
            <v>70418001</v>
          </cell>
          <cell r="B2689" t="str">
            <v>갯가재 화석</v>
          </cell>
          <cell r="C2689" t="str">
            <v>화석</v>
          </cell>
          <cell r="D2689">
            <v>4</v>
          </cell>
          <cell r="E2689" t="str">
            <v>자연</v>
          </cell>
          <cell r="F2689">
            <v>1</v>
          </cell>
          <cell r="G2689" t="str">
            <v>A</v>
          </cell>
          <cell r="H2689">
            <v>4</v>
          </cell>
        </row>
        <row r="2690">
          <cell r="A2690">
            <v>70418002</v>
          </cell>
          <cell r="B2690" t="str">
            <v>거미류 화석</v>
          </cell>
          <cell r="C2690" t="str">
            <v>화석</v>
          </cell>
          <cell r="D2690">
            <v>4</v>
          </cell>
          <cell r="E2690" t="str">
            <v>자연</v>
          </cell>
          <cell r="F2690">
            <v>1</v>
          </cell>
          <cell r="G2690" t="str">
            <v>C</v>
          </cell>
          <cell r="H2690">
            <v>2</v>
          </cell>
        </row>
        <row r="2691">
          <cell r="A2691">
            <v>70418003</v>
          </cell>
          <cell r="B2691" t="str">
            <v>고래 화석</v>
          </cell>
          <cell r="C2691" t="str">
            <v>화석</v>
          </cell>
          <cell r="D2691">
            <v>4</v>
          </cell>
          <cell r="E2691" t="str">
            <v>자연</v>
          </cell>
          <cell r="F2691">
            <v>1</v>
          </cell>
          <cell r="G2691" t="str">
            <v>A</v>
          </cell>
          <cell r="H2691">
            <v>4</v>
          </cell>
        </row>
        <row r="2692">
          <cell r="A2692">
            <v>70418004</v>
          </cell>
          <cell r="B2692" t="str">
            <v>고배류 화석</v>
          </cell>
          <cell r="C2692" t="str">
            <v>화석</v>
          </cell>
          <cell r="D2692">
            <v>4</v>
          </cell>
          <cell r="E2692" t="str">
            <v>자연</v>
          </cell>
          <cell r="F2692">
            <v>1</v>
          </cell>
          <cell r="G2692" t="str">
            <v>B</v>
          </cell>
          <cell r="H2692">
            <v>3</v>
          </cell>
        </row>
        <row r="2693">
          <cell r="A2693">
            <v>70418005</v>
          </cell>
          <cell r="B2693" t="str">
            <v>공룡알 화석</v>
          </cell>
          <cell r="C2693" t="str">
            <v>화석</v>
          </cell>
          <cell r="D2693">
            <v>4</v>
          </cell>
          <cell r="E2693" t="str">
            <v>자연</v>
          </cell>
          <cell r="F2693">
            <v>1</v>
          </cell>
          <cell r="G2693" t="str">
            <v>A</v>
          </cell>
          <cell r="H2693">
            <v>4</v>
          </cell>
        </row>
        <row r="2694">
          <cell r="A2694">
            <v>70418006</v>
          </cell>
          <cell r="B2694" t="str">
            <v>귀뚜라미류 화석</v>
          </cell>
          <cell r="C2694" t="str">
            <v>화석</v>
          </cell>
          <cell r="D2694">
            <v>4</v>
          </cell>
          <cell r="E2694" t="str">
            <v>자연</v>
          </cell>
          <cell r="F2694">
            <v>1</v>
          </cell>
          <cell r="G2694" t="str">
            <v>C</v>
          </cell>
          <cell r="H2694">
            <v>2</v>
          </cell>
        </row>
        <row r="2695">
          <cell r="A2695">
            <v>70418007</v>
          </cell>
          <cell r="B2695" t="str">
            <v>규화목</v>
          </cell>
          <cell r="C2695" t="str">
            <v>화석</v>
          </cell>
          <cell r="D2695">
            <v>4</v>
          </cell>
          <cell r="E2695" t="str">
            <v>자연</v>
          </cell>
          <cell r="F2695">
            <v>1</v>
          </cell>
          <cell r="G2695" t="str">
            <v>B</v>
          </cell>
          <cell r="H2695">
            <v>3</v>
          </cell>
        </row>
        <row r="2696">
          <cell r="A2696">
            <v>70418008</v>
          </cell>
          <cell r="B2696" t="str">
            <v>나뭇가지 화석</v>
          </cell>
          <cell r="C2696" t="str">
            <v>화석</v>
          </cell>
          <cell r="D2696">
            <v>4</v>
          </cell>
          <cell r="E2696" t="str">
            <v>자연</v>
          </cell>
          <cell r="F2696">
            <v>1</v>
          </cell>
          <cell r="G2696" t="str">
            <v>D</v>
          </cell>
          <cell r="H2696">
            <v>1</v>
          </cell>
          <cell r="AW2696" t="str">
            <v/>
          </cell>
          <cell r="BA2696" t="str">
            <v>-</v>
          </cell>
        </row>
        <row r="2697">
          <cell r="A2697">
            <v>70418009</v>
          </cell>
          <cell r="B2697" t="str">
            <v>나뭇잎 화석</v>
          </cell>
          <cell r="C2697" t="str">
            <v>화석</v>
          </cell>
          <cell r="D2697">
            <v>4</v>
          </cell>
          <cell r="E2697" t="str">
            <v>자연</v>
          </cell>
          <cell r="F2697">
            <v>1</v>
          </cell>
          <cell r="G2697" t="str">
            <v>C</v>
          </cell>
          <cell r="H2697">
            <v>2</v>
          </cell>
        </row>
        <row r="2698">
          <cell r="A2698">
            <v>70418010</v>
          </cell>
          <cell r="B2698" t="str">
            <v>너스상어 이빨 화석</v>
          </cell>
          <cell r="C2698" t="str">
            <v>화석</v>
          </cell>
          <cell r="D2698">
            <v>4</v>
          </cell>
          <cell r="E2698" t="str">
            <v>자연</v>
          </cell>
          <cell r="F2698">
            <v>1</v>
          </cell>
          <cell r="G2698" t="str">
            <v>A</v>
          </cell>
          <cell r="H2698">
            <v>4</v>
          </cell>
        </row>
        <row r="2699">
          <cell r="A2699">
            <v>70418011</v>
          </cell>
          <cell r="B2699" t="str">
            <v>동굴곰 화석</v>
          </cell>
          <cell r="C2699" t="str">
            <v>화석</v>
          </cell>
          <cell r="D2699">
            <v>4</v>
          </cell>
          <cell r="E2699" t="str">
            <v>자연</v>
          </cell>
          <cell r="F2699">
            <v>1</v>
          </cell>
          <cell r="G2699" t="str">
            <v>A</v>
          </cell>
          <cell r="H2699">
            <v>4</v>
          </cell>
        </row>
        <row r="2700">
          <cell r="A2700">
            <v>70418012</v>
          </cell>
          <cell r="B2700" t="str">
            <v>매머드 화석</v>
          </cell>
          <cell r="C2700" t="str">
            <v>화석</v>
          </cell>
          <cell r="D2700">
            <v>4</v>
          </cell>
          <cell r="E2700" t="str">
            <v>자연</v>
          </cell>
          <cell r="F2700">
            <v>1</v>
          </cell>
          <cell r="G2700" t="str">
            <v>A</v>
          </cell>
          <cell r="H2700">
            <v>4</v>
          </cell>
        </row>
        <row r="2701">
          <cell r="A2701">
            <v>70418013</v>
          </cell>
          <cell r="B2701" t="str">
            <v>물결 화석</v>
          </cell>
          <cell r="C2701" t="str">
            <v>화석</v>
          </cell>
          <cell r="D2701">
            <v>4</v>
          </cell>
          <cell r="E2701" t="str">
            <v>자연</v>
          </cell>
          <cell r="F2701">
            <v>1</v>
          </cell>
          <cell r="G2701" t="str">
            <v>C</v>
          </cell>
          <cell r="H2701">
            <v>2</v>
          </cell>
        </row>
        <row r="2702">
          <cell r="A2702">
            <v>70418014</v>
          </cell>
          <cell r="B2702" t="str">
            <v>벨름나이트 화석</v>
          </cell>
          <cell r="C2702" t="str">
            <v>화석</v>
          </cell>
          <cell r="D2702">
            <v>4</v>
          </cell>
          <cell r="E2702" t="str">
            <v>자연</v>
          </cell>
          <cell r="F2702">
            <v>1</v>
          </cell>
          <cell r="G2702" t="str">
            <v>S</v>
          </cell>
          <cell r="H2702">
            <v>5</v>
          </cell>
        </row>
        <row r="2703">
          <cell r="A2703">
            <v>70418015</v>
          </cell>
          <cell r="B2703" t="str">
            <v>불가사리류 화석</v>
          </cell>
          <cell r="C2703" t="str">
            <v>화석</v>
          </cell>
          <cell r="D2703">
            <v>4</v>
          </cell>
          <cell r="E2703" t="str">
            <v>자연</v>
          </cell>
          <cell r="F2703">
            <v>1</v>
          </cell>
          <cell r="G2703" t="str">
            <v>C</v>
          </cell>
          <cell r="H2703">
            <v>2</v>
          </cell>
        </row>
        <row r="2704">
          <cell r="A2704">
            <v>70418017</v>
          </cell>
          <cell r="B2704" t="str">
            <v>삼엽충 화석</v>
          </cell>
          <cell r="C2704" t="str">
            <v>화석</v>
          </cell>
          <cell r="D2704">
            <v>4</v>
          </cell>
          <cell r="E2704" t="str">
            <v>자연</v>
          </cell>
          <cell r="F2704">
            <v>1</v>
          </cell>
          <cell r="G2704" t="str">
            <v>B</v>
          </cell>
          <cell r="H2704">
            <v>3</v>
          </cell>
        </row>
        <row r="2705">
          <cell r="A2705">
            <v>70418018</v>
          </cell>
          <cell r="B2705" t="str">
            <v>새 발자국 화석</v>
          </cell>
          <cell r="C2705" t="str">
            <v>화석</v>
          </cell>
          <cell r="D2705">
            <v>4</v>
          </cell>
          <cell r="E2705" t="str">
            <v>자연</v>
          </cell>
          <cell r="F2705">
            <v>1</v>
          </cell>
          <cell r="G2705" t="str">
            <v>B</v>
          </cell>
          <cell r="H2705">
            <v>3</v>
          </cell>
        </row>
        <row r="2706">
          <cell r="A2706">
            <v>70418019</v>
          </cell>
          <cell r="B2706" t="str">
            <v>새알 화석</v>
          </cell>
          <cell r="C2706" t="str">
            <v>화석</v>
          </cell>
          <cell r="D2706">
            <v>4</v>
          </cell>
          <cell r="E2706" t="str">
            <v>자연</v>
          </cell>
          <cell r="F2706">
            <v>1</v>
          </cell>
          <cell r="G2706" t="str">
            <v>B</v>
          </cell>
          <cell r="H2706">
            <v>3</v>
          </cell>
        </row>
        <row r="2707">
          <cell r="A2707">
            <v>70418020</v>
          </cell>
          <cell r="B2707" t="str">
            <v>새우 화석</v>
          </cell>
          <cell r="C2707" t="str">
            <v>화석</v>
          </cell>
          <cell r="D2707">
            <v>4</v>
          </cell>
          <cell r="E2707" t="str">
            <v>자연</v>
          </cell>
          <cell r="F2707">
            <v>1</v>
          </cell>
          <cell r="G2707" t="str">
            <v>D</v>
          </cell>
          <cell r="H2707">
            <v>1</v>
          </cell>
          <cell r="AW2707" t="str">
            <v/>
          </cell>
          <cell r="BA2707" t="str">
            <v>-</v>
          </cell>
        </row>
        <row r="2708">
          <cell r="A2708">
            <v>70418021</v>
          </cell>
          <cell r="B2708" t="str">
            <v>솔방울 화석</v>
          </cell>
          <cell r="C2708" t="str">
            <v>화석</v>
          </cell>
          <cell r="D2708">
            <v>4</v>
          </cell>
          <cell r="E2708" t="str">
            <v>자연</v>
          </cell>
          <cell r="F2708">
            <v>1</v>
          </cell>
          <cell r="G2708" t="str">
            <v>D</v>
          </cell>
          <cell r="H2708">
            <v>1</v>
          </cell>
          <cell r="AW2708" t="str">
            <v/>
          </cell>
          <cell r="BA2708" t="str">
            <v>-</v>
          </cell>
        </row>
        <row r="2709">
          <cell r="A2709">
            <v>70418022</v>
          </cell>
          <cell r="B2709" t="str">
            <v>시조새 화석</v>
          </cell>
          <cell r="C2709" t="str">
            <v>화석</v>
          </cell>
          <cell r="D2709">
            <v>4</v>
          </cell>
          <cell r="E2709" t="str">
            <v>자연</v>
          </cell>
          <cell r="F2709">
            <v>1</v>
          </cell>
          <cell r="G2709" t="str">
            <v>A</v>
          </cell>
          <cell r="H2709">
            <v>4</v>
          </cell>
        </row>
        <row r="2710">
          <cell r="A2710">
            <v>70418023</v>
          </cell>
          <cell r="B2710" t="str">
            <v>아로카리아 화석</v>
          </cell>
          <cell r="C2710" t="str">
            <v>화석</v>
          </cell>
          <cell r="D2710">
            <v>4</v>
          </cell>
          <cell r="E2710" t="str">
            <v>자연</v>
          </cell>
          <cell r="F2710">
            <v>1</v>
          </cell>
          <cell r="G2710" t="str">
            <v>B</v>
          </cell>
          <cell r="H2710">
            <v>3</v>
          </cell>
        </row>
        <row r="2711">
          <cell r="A2711">
            <v>70418024</v>
          </cell>
          <cell r="B2711" t="str">
            <v>암모나이트류 화석</v>
          </cell>
          <cell r="C2711" t="str">
            <v>화석</v>
          </cell>
          <cell r="D2711">
            <v>4</v>
          </cell>
          <cell r="E2711" t="str">
            <v>자연</v>
          </cell>
          <cell r="F2711">
            <v>1</v>
          </cell>
          <cell r="G2711" t="str">
            <v>B</v>
          </cell>
          <cell r="H2711">
            <v>3</v>
          </cell>
        </row>
        <row r="2712">
          <cell r="A2712">
            <v>70418025</v>
          </cell>
          <cell r="B2712" t="str">
            <v>어룡 화석</v>
          </cell>
          <cell r="C2712" t="str">
            <v>화석</v>
          </cell>
          <cell r="D2712">
            <v>4</v>
          </cell>
          <cell r="E2712" t="str">
            <v>자연</v>
          </cell>
          <cell r="F2712">
            <v>1</v>
          </cell>
          <cell r="G2712" t="str">
            <v>B</v>
          </cell>
          <cell r="H2712">
            <v>3</v>
          </cell>
        </row>
        <row r="2713">
          <cell r="A2713">
            <v>70418026</v>
          </cell>
          <cell r="B2713" t="str">
            <v>엔코페 성게 화석</v>
          </cell>
          <cell r="C2713" t="str">
            <v>화석</v>
          </cell>
          <cell r="D2713">
            <v>4</v>
          </cell>
          <cell r="E2713" t="str">
            <v>자연</v>
          </cell>
          <cell r="F2713">
            <v>1</v>
          </cell>
          <cell r="G2713" t="str">
            <v>B</v>
          </cell>
          <cell r="H2713">
            <v>3</v>
          </cell>
        </row>
        <row r="2714">
          <cell r="A2714">
            <v>70418027</v>
          </cell>
          <cell r="B2714" t="str">
            <v>여치류 화석</v>
          </cell>
          <cell r="C2714" t="str">
            <v>화석</v>
          </cell>
          <cell r="D2714">
            <v>4</v>
          </cell>
          <cell r="E2714" t="str">
            <v>자연</v>
          </cell>
          <cell r="F2714">
            <v>1</v>
          </cell>
          <cell r="G2714" t="str">
            <v>C</v>
          </cell>
          <cell r="H2714">
            <v>2</v>
          </cell>
        </row>
        <row r="2715">
          <cell r="A2715">
            <v>70418028</v>
          </cell>
          <cell r="B2715" t="str">
            <v>이카로닉테리스 화석</v>
          </cell>
          <cell r="C2715" t="str">
            <v>화석</v>
          </cell>
          <cell r="D2715">
            <v>4</v>
          </cell>
          <cell r="E2715" t="str">
            <v>자연</v>
          </cell>
          <cell r="F2715">
            <v>1</v>
          </cell>
          <cell r="G2715" t="str">
            <v>A</v>
          </cell>
          <cell r="H2715">
            <v>4</v>
          </cell>
        </row>
        <row r="2716">
          <cell r="A2716">
            <v>70418029</v>
          </cell>
          <cell r="B2716" t="str">
            <v>이크티오스테가 화석</v>
          </cell>
          <cell r="C2716" t="str">
            <v>화석</v>
          </cell>
          <cell r="D2716">
            <v>4</v>
          </cell>
          <cell r="E2716" t="str">
            <v>자연</v>
          </cell>
          <cell r="F2716">
            <v>1</v>
          </cell>
          <cell r="G2716" t="str">
            <v>B</v>
          </cell>
          <cell r="H2716">
            <v>3</v>
          </cell>
        </row>
        <row r="2717">
          <cell r="A2717">
            <v>70418030</v>
          </cell>
          <cell r="B2717" t="str">
            <v>클리피스터 성게 화석</v>
          </cell>
          <cell r="C2717" t="str">
            <v>화석</v>
          </cell>
          <cell r="D2717">
            <v>4</v>
          </cell>
          <cell r="E2717" t="str">
            <v>자연</v>
          </cell>
          <cell r="F2717">
            <v>1</v>
          </cell>
          <cell r="G2717" t="str">
            <v>D</v>
          </cell>
          <cell r="H2717">
            <v>1</v>
          </cell>
        </row>
        <row r="2718">
          <cell r="A2718">
            <v>70418031</v>
          </cell>
          <cell r="B2718" t="str">
            <v>폼페이의 빵</v>
          </cell>
          <cell r="C2718" t="str">
            <v>화석</v>
          </cell>
          <cell r="D2718">
            <v>4</v>
          </cell>
          <cell r="E2718" t="str">
            <v>자연</v>
          </cell>
          <cell r="F2718">
            <v>1</v>
          </cell>
          <cell r="G2718" t="str">
            <v>C</v>
          </cell>
          <cell r="H2718">
            <v>2</v>
          </cell>
          <cell r="AW2718" t="str">
            <v>특정 퀘스트(=)</v>
          </cell>
          <cell r="AY2718" t="str">
            <v>화산재 덮인 빵</v>
          </cell>
          <cell r="BA2718">
            <v>3</v>
          </cell>
        </row>
        <row r="2719">
          <cell r="A2719">
            <v>70418032</v>
          </cell>
          <cell r="B2719" t="str">
            <v>플라타누스 화석</v>
          </cell>
          <cell r="C2719" t="str">
            <v>화석</v>
          </cell>
          <cell r="D2719">
            <v>4</v>
          </cell>
          <cell r="E2719" t="str">
            <v>자연</v>
          </cell>
          <cell r="F2719">
            <v>1</v>
          </cell>
          <cell r="G2719" t="str">
            <v>C</v>
          </cell>
          <cell r="H2719">
            <v>2</v>
          </cell>
        </row>
        <row r="2720">
          <cell r="A2720">
            <v>70418033</v>
          </cell>
          <cell r="B2720" t="str">
            <v>필석류 화석</v>
          </cell>
          <cell r="C2720" t="str">
            <v>화석</v>
          </cell>
          <cell r="D2720">
            <v>4</v>
          </cell>
          <cell r="E2720" t="str">
            <v>자연</v>
          </cell>
          <cell r="F2720">
            <v>1</v>
          </cell>
          <cell r="G2720" t="str">
            <v>C</v>
          </cell>
          <cell r="H2720">
            <v>2</v>
          </cell>
        </row>
        <row r="2721">
          <cell r="A2721">
            <v>70418034</v>
          </cell>
          <cell r="B2721" t="str">
            <v>해백합 화석</v>
          </cell>
          <cell r="C2721" t="str">
            <v>화석</v>
          </cell>
          <cell r="D2721">
            <v>4</v>
          </cell>
          <cell r="E2721" t="str">
            <v>자연</v>
          </cell>
          <cell r="F2721">
            <v>1</v>
          </cell>
          <cell r="G2721" t="str">
            <v>A</v>
          </cell>
          <cell r="H2721">
            <v>4</v>
          </cell>
        </row>
        <row r="2722">
          <cell r="A2722">
            <v>70418035</v>
          </cell>
          <cell r="B2722" t="str">
            <v>해파리 화석</v>
          </cell>
          <cell r="C2722" t="str">
            <v>화석</v>
          </cell>
          <cell r="D2722">
            <v>4</v>
          </cell>
          <cell r="E2722" t="str">
            <v>자연</v>
          </cell>
          <cell r="F2722">
            <v>1</v>
          </cell>
          <cell r="G2722" t="str">
            <v>B</v>
          </cell>
          <cell r="H2722">
            <v>3</v>
          </cell>
        </row>
        <row r="2723">
          <cell r="A2723" t="str">
            <v>#70418036</v>
          </cell>
          <cell r="B2723" t="str">
            <v>## 두다드 발견 테스트</v>
          </cell>
          <cell r="C2723" t="str">
            <v>역사유물</v>
          </cell>
          <cell r="D2723">
            <v>15</v>
          </cell>
          <cell r="E2723" t="str">
            <v>유물</v>
          </cell>
          <cell r="F2723">
            <v>5</v>
          </cell>
          <cell r="G2723" t="str">
            <v>S</v>
          </cell>
          <cell r="H2723">
            <v>5</v>
          </cell>
        </row>
        <row r="2724">
          <cell r="A2724" t="str">
            <v>#70418037</v>
          </cell>
          <cell r="B2724" t="str">
            <v>## 아이템 발견 테스트02_아쿼버스</v>
          </cell>
          <cell r="C2724" t="str">
            <v>종교유물</v>
          </cell>
          <cell r="D2724">
            <v>16</v>
          </cell>
          <cell r="E2724" t="str">
            <v>유물</v>
          </cell>
          <cell r="F2724">
            <v>5</v>
          </cell>
          <cell r="G2724" t="str">
            <v>A</v>
          </cell>
          <cell r="H2724">
            <v>4</v>
          </cell>
        </row>
        <row r="2725">
          <cell r="A2725" t="str">
            <v>#70418038</v>
          </cell>
          <cell r="B2725" t="str">
            <v>## 아이템 발견 테스트03_석궁</v>
          </cell>
          <cell r="C2725" t="str">
            <v>보물</v>
          </cell>
          <cell r="D2725">
            <v>18</v>
          </cell>
          <cell r="E2725" t="str">
            <v>보물</v>
          </cell>
          <cell r="F2725">
            <v>6</v>
          </cell>
          <cell r="G2725" t="str">
            <v>B</v>
          </cell>
          <cell r="H2725">
            <v>3</v>
          </cell>
        </row>
        <row r="2726">
          <cell r="A2726" t="str">
            <v>#70418039</v>
          </cell>
          <cell r="B2726" t="str">
            <v>## 아이템 발견 테스트04_명조</v>
          </cell>
          <cell r="C2726" t="str">
            <v>보물</v>
          </cell>
          <cell r="D2726">
            <v>18</v>
          </cell>
          <cell r="E2726" t="str">
            <v>보물</v>
          </cell>
          <cell r="F2726">
            <v>6</v>
          </cell>
          <cell r="G2726" t="str">
            <v>C</v>
          </cell>
          <cell r="H2726">
            <v>2</v>
          </cell>
        </row>
        <row r="2727">
          <cell r="A2727">
            <v>70490000</v>
          </cell>
          <cell r="B2727" t="str">
            <v>낡은 상자</v>
          </cell>
          <cell r="C2727" t="str">
            <v>보물</v>
          </cell>
          <cell r="D2727">
            <v>18</v>
          </cell>
          <cell r="E2727" t="str">
            <v>보물</v>
          </cell>
          <cell r="F2727">
            <v>6</v>
          </cell>
          <cell r="G2727" t="str">
            <v>D</v>
          </cell>
          <cell r="H2727">
            <v>1</v>
          </cell>
          <cell r="BA2727" t="str">
            <v>-</v>
          </cell>
        </row>
      </sheetData>
      <sheetData sheetId="19"/>
      <sheetData sheetId="20">
        <row r="8">
          <cell r="B8" t="str">
            <v>추크치해</v>
          </cell>
        </row>
        <row r="9">
          <cell r="B9" t="str">
            <v>보버트해</v>
          </cell>
        </row>
        <row r="10">
          <cell r="B10" t="str">
            <v>알레스카만</v>
          </cell>
        </row>
        <row r="11">
          <cell r="B11" t="str">
            <v>북 태평양</v>
          </cell>
        </row>
        <row r="12">
          <cell r="B12" t="str">
            <v>북동 태평양</v>
          </cell>
        </row>
        <row r="13">
          <cell r="B13" t="str">
            <v>북미 서해안</v>
          </cell>
        </row>
        <row r="14">
          <cell r="B14" t="str">
            <v>샌프란시스코 앞바다</v>
          </cell>
        </row>
        <row r="15">
          <cell r="B15" t="str">
            <v>하와이 앞바다</v>
          </cell>
        </row>
        <row r="16">
          <cell r="B16" t="str">
            <v>캘리포니아만</v>
          </cell>
        </row>
        <row r="17">
          <cell r="B17" t="str">
            <v>중앙 태평양 서쪽</v>
          </cell>
        </row>
        <row r="18">
          <cell r="B18" t="str">
            <v>중앙 태평양</v>
          </cell>
        </row>
        <row r="19">
          <cell r="B19" t="str">
            <v>중앙 태평양 동쪽</v>
          </cell>
        </row>
        <row r="20">
          <cell r="B20" t="str">
            <v>남 태평양 북쪽</v>
          </cell>
        </row>
        <row r="21">
          <cell r="B21" t="str">
            <v>남 태평양 서쪽</v>
          </cell>
        </row>
        <row r="22">
          <cell r="B22" t="str">
            <v>남 태평양 남쪽</v>
          </cell>
        </row>
        <row r="23">
          <cell r="B23" t="str">
            <v>남 태평양 동쪽</v>
          </cell>
        </row>
        <row r="24">
          <cell r="B24" t="str">
            <v>중앙 아메리카</v>
          </cell>
        </row>
        <row r="25">
          <cell r="B25" t="str">
            <v>남 아메리카 서해안</v>
          </cell>
        </row>
        <row r="26">
          <cell r="B26" t="str">
            <v>남 아메리카 서해안 남쪽</v>
          </cell>
        </row>
        <row r="27">
          <cell r="B27" t="str">
            <v>드레이크 해협</v>
          </cell>
        </row>
        <row r="28">
          <cell r="B28" t="str">
            <v>남아메리카 강</v>
          </cell>
        </row>
        <row r="29">
          <cell r="B29" t="str">
            <v>남서 대서양</v>
          </cell>
        </row>
        <row r="30">
          <cell r="B30" t="str">
            <v>남 대서양</v>
          </cell>
        </row>
        <row r="31">
          <cell r="B31" t="str">
            <v>스코샤해</v>
          </cell>
        </row>
        <row r="32">
          <cell r="B32" t="str">
            <v>중앙 대서양</v>
          </cell>
        </row>
        <row r="33">
          <cell r="B33" t="str">
            <v>아마존강 유역</v>
          </cell>
        </row>
        <row r="34">
          <cell r="B34" t="str">
            <v>카리브해</v>
          </cell>
        </row>
        <row r="35">
          <cell r="B35" t="str">
            <v>북아메리카 강</v>
          </cell>
        </row>
        <row r="36">
          <cell r="B36" t="str">
            <v>버뮤다 제도</v>
          </cell>
        </row>
        <row r="37">
          <cell r="B37" t="str">
            <v>서 대서양</v>
          </cell>
        </row>
        <row r="38">
          <cell r="B38" t="str">
            <v>테라노바 앞바다</v>
          </cell>
        </row>
        <row r="39">
          <cell r="B39" t="str">
            <v>북 대서양</v>
          </cell>
        </row>
        <row r="40">
          <cell r="B40" t="str">
            <v>레브라도해</v>
          </cell>
        </row>
        <row r="41">
          <cell r="B41" t="str">
            <v>허드슨만</v>
          </cell>
        </row>
        <row r="42">
          <cell r="B42" t="str">
            <v>북극제도 앞바다</v>
          </cell>
        </row>
        <row r="43">
          <cell r="B43" t="str">
            <v>북 대서양 북쪽</v>
          </cell>
        </row>
        <row r="44">
          <cell r="B44" t="str">
            <v>그린란드해</v>
          </cell>
        </row>
        <row r="45">
          <cell r="B45" t="str">
            <v>노르웨이해</v>
          </cell>
        </row>
        <row r="46">
          <cell r="B46" t="str">
            <v>발트해</v>
          </cell>
        </row>
        <row r="47">
          <cell r="B47" t="str">
            <v>북해</v>
          </cell>
        </row>
        <row r="48">
          <cell r="B48" t="str">
            <v>북동 대서양</v>
          </cell>
        </row>
        <row r="49">
          <cell r="B49" t="str">
            <v>동 대서양</v>
          </cell>
        </row>
        <row r="50">
          <cell r="B50" t="str">
            <v>리스본 앞바다</v>
          </cell>
        </row>
        <row r="51">
          <cell r="B51" t="str">
            <v>서 지중해</v>
          </cell>
        </row>
        <row r="52">
          <cell r="B52" t="str">
            <v>아오니아해</v>
          </cell>
        </row>
        <row r="53">
          <cell r="B53" t="str">
            <v>동 지중해</v>
          </cell>
        </row>
        <row r="54">
          <cell r="B54" t="str">
            <v>흑해</v>
          </cell>
        </row>
        <row r="55">
          <cell r="B55" t="str">
            <v>곡물 해안</v>
          </cell>
        </row>
        <row r="56">
          <cell r="B56" t="str">
            <v>황금 해안</v>
          </cell>
        </row>
        <row r="57">
          <cell r="B57" t="str">
            <v>나미비아 앞바다</v>
          </cell>
        </row>
        <row r="58">
          <cell r="B58" t="str">
            <v>희망봉 앞바다</v>
          </cell>
        </row>
        <row r="59">
          <cell r="B59" t="str">
            <v>케이프 해저분지</v>
          </cell>
        </row>
        <row r="60">
          <cell r="B60" t="str">
            <v>모잠비크 해협</v>
          </cell>
        </row>
        <row r="61">
          <cell r="B61" t="str">
            <v>아굴라스 해저분지</v>
          </cell>
        </row>
        <row r="62">
          <cell r="B62" t="str">
            <v>남서 인도양</v>
          </cell>
        </row>
        <row r="63">
          <cell r="B63" t="str">
            <v>남 인도양</v>
          </cell>
        </row>
        <row r="64">
          <cell r="B64" t="str">
            <v>서 인도양</v>
          </cell>
        </row>
        <row r="65">
          <cell r="B65" t="str">
            <v>아프리카 강</v>
          </cell>
        </row>
        <row r="66">
          <cell r="B66" t="str">
            <v>잔지바르 앞바다</v>
          </cell>
        </row>
        <row r="67">
          <cell r="B67" t="str">
            <v>나일강</v>
          </cell>
        </row>
        <row r="68">
          <cell r="B68" t="str">
            <v>아라비아해</v>
          </cell>
        </row>
        <row r="69">
          <cell r="B69" t="str">
            <v>페르시아만</v>
          </cell>
        </row>
        <row r="70">
          <cell r="B70" t="str">
            <v>인도 남쪽</v>
          </cell>
        </row>
        <row r="71">
          <cell r="B71" t="str">
            <v>안다만해</v>
          </cell>
        </row>
        <row r="72">
          <cell r="B72" t="str">
            <v>중앙 인도양</v>
          </cell>
        </row>
        <row r="73">
          <cell r="B73" t="str">
            <v>동 인도양</v>
          </cell>
        </row>
        <row r="74">
          <cell r="B74" t="str">
            <v>남동 인도양</v>
          </cell>
        </row>
        <row r="75">
          <cell r="B75" t="str">
            <v>퍼스 해저분지</v>
          </cell>
        </row>
        <row r="76">
          <cell r="B76" t="str">
            <v>호주 남부</v>
          </cell>
        </row>
        <row r="77">
          <cell r="B77" t="str">
            <v>호주 서부</v>
          </cell>
        </row>
        <row r="78">
          <cell r="B78" t="str">
            <v>자바해</v>
          </cell>
        </row>
        <row r="79">
          <cell r="B79" t="str">
            <v>반다해</v>
          </cell>
        </row>
        <row r="80">
          <cell r="B80" t="str">
            <v>셀레베스해</v>
          </cell>
        </row>
        <row r="81">
          <cell r="B81" t="str">
            <v>남중국해</v>
          </cell>
        </row>
        <row r="82">
          <cell r="B82" t="str">
            <v>중국 내륙 강</v>
          </cell>
        </row>
        <row r="83">
          <cell r="B83" t="str">
            <v>동중국해</v>
          </cell>
        </row>
        <row r="84">
          <cell r="B84" t="str">
            <v>황해</v>
          </cell>
        </row>
        <row r="85">
          <cell r="B85" t="str">
            <v>동해</v>
          </cell>
        </row>
        <row r="86">
          <cell r="B86" t="str">
            <v>동아시아 동부</v>
          </cell>
        </row>
        <row r="87">
          <cell r="B87" t="str">
            <v>서 캐롤린 해저</v>
          </cell>
        </row>
        <row r="88">
          <cell r="B88" t="str">
            <v>오호츠크해</v>
          </cell>
        </row>
        <row r="89">
          <cell r="B89" t="str">
            <v>북서 태평양</v>
          </cell>
        </row>
        <row r="90">
          <cell r="B90" t="str">
            <v>멜라네시아</v>
          </cell>
        </row>
        <row r="91">
          <cell r="B91" t="str">
            <v>동 캐롤린 해저</v>
          </cell>
        </row>
        <row r="92">
          <cell r="B92" t="str">
            <v>서 태평양</v>
          </cell>
        </row>
        <row r="93">
          <cell r="B93" t="str">
            <v>아라푸라해</v>
          </cell>
        </row>
        <row r="94">
          <cell r="B94" t="str">
            <v>산호해</v>
          </cell>
        </row>
        <row r="95">
          <cell r="B95" t="str">
            <v>태즈먼해</v>
          </cell>
        </row>
        <row r="96">
          <cell r="B96" t="str">
            <v>사모아섬</v>
          </cell>
        </row>
        <row r="97">
          <cell r="B97" t="str">
            <v>서 베링해</v>
          </cell>
        </row>
        <row r="98">
          <cell r="B98" t="str">
            <v>동 시베리아해</v>
          </cell>
        </row>
        <row r="99">
          <cell r="B99" t="str">
            <v>바렌츠해</v>
          </cell>
        </row>
        <row r="100">
          <cell r="B100" t="str">
            <v>러시아 강</v>
          </cell>
        </row>
        <row r="101">
          <cell r="B101" t="str">
            <v>남극</v>
          </cell>
        </row>
        <row r="102">
          <cell r="B102" t="str">
            <v>실러캔스</v>
          </cell>
        </row>
        <row r="103">
          <cell r="B103" t="str">
            <v>녹새치</v>
          </cell>
        </row>
        <row r="104">
          <cell r="B104" t="str">
            <v>대왕 오징어</v>
          </cell>
        </row>
        <row r="105">
          <cell r="B105" t="str">
            <v>백상아리</v>
          </cell>
        </row>
        <row r="106">
          <cell r="B106" t="str">
            <v>청상아리</v>
          </cell>
        </row>
        <row r="107">
          <cell r="B107" t="str">
            <v>향유고래</v>
          </cell>
        </row>
      </sheetData>
      <sheetData sheetId="21">
        <row r="1">
          <cell r="B1" t="str">
            <v>name</v>
          </cell>
          <cell r="I1" t="str">
            <v>ratio</v>
          </cell>
        </row>
        <row r="2">
          <cell r="B2" t="str">
            <v>string</v>
          </cell>
          <cell r="I2" t="str">
            <v>number</v>
          </cell>
        </row>
        <row r="3">
          <cell r="B3">
            <v>1</v>
          </cell>
          <cell r="I3">
            <v>1</v>
          </cell>
        </row>
        <row r="4">
          <cell r="B4" t="str">
            <v>-</v>
          </cell>
          <cell r="I4">
            <v>1</v>
          </cell>
        </row>
        <row r="5">
          <cell r="B5" t="str">
            <v>-</v>
          </cell>
          <cell r="I5" t="str">
            <v>-</v>
          </cell>
        </row>
        <row r="6">
          <cell r="B6" t="str">
            <v>-</v>
          </cell>
          <cell r="I6" t="str">
            <v>-</v>
          </cell>
        </row>
        <row r="7">
          <cell r="B7" t="str">
            <v>-</v>
          </cell>
          <cell r="I7" t="str">
            <v>-</v>
          </cell>
        </row>
        <row r="8">
          <cell r="B8" t="str">
            <v>-</v>
          </cell>
          <cell r="I8" t="str">
            <v>-</v>
          </cell>
        </row>
        <row r="9">
          <cell r="B9" t="str">
            <v>D급</v>
          </cell>
          <cell r="I9">
            <v>450</v>
          </cell>
        </row>
        <row r="10">
          <cell r="B10" t="str">
            <v>C급</v>
          </cell>
          <cell r="I10">
            <v>250</v>
          </cell>
        </row>
        <row r="11">
          <cell r="B11" t="str">
            <v>B급</v>
          </cell>
          <cell r="I11">
            <v>180</v>
          </cell>
        </row>
        <row r="12">
          <cell r="B12" t="str">
            <v>A급</v>
          </cell>
          <cell r="I12">
            <v>90</v>
          </cell>
        </row>
        <row r="13">
          <cell r="B13" t="str">
            <v>S급</v>
          </cell>
          <cell r="I13">
            <v>30</v>
          </cell>
        </row>
      </sheetData>
      <sheetData sheetId="22">
        <row r="1">
          <cell r="A1" t="str">
            <v>id</v>
          </cell>
          <cell r="B1" t="str">
            <v>group</v>
          </cell>
          <cell r="E1" t="str">
            <v>discoveryId</v>
          </cell>
          <cell r="H1" t="str">
            <v>discovery[0]["Id"]</v>
          </cell>
          <cell r="I1" t="str">
            <v>discovery[0]["Prob"]</v>
          </cell>
          <cell r="K1" t="str">
            <v>discovery[1]["Id"]</v>
          </cell>
          <cell r="L1" t="str">
            <v>discovery[1]["Prob"]</v>
          </cell>
          <cell r="N1" t="str">
            <v>discovery[2]["Id"]</v>
          </cell>
          <cell r="O1" t="str">
            <v>discovery[2]["Prob"]</v>
          </cell>
          <cell r="Q1" t="str">
            <v>discovery[3]["Id"]</v>
          </cell>
          <cell r="R1" t="str">
            <v>discovery[3]["Prob"]</v>
          </cell>
          <cell r="T1" t="str">
            <v>discovery[4]["Id"]</v>
          </cell>
          <cell r="U1" t="str">
            <v>discovery[4]["Prob"]</v>
          </cell>
          <cell r="W1" t="str">
            <v>discovery[5]["Id"]</v>
          </cell>
          <cell r="X1" t="str">
            <v>discovery[5]["Prob"]</v>
          </cell>
        </row>
        <row r="2">
          <cell r="A2" t="str">
            <v>key:72200000~72299999</v>
          </cell>
          <cell r="B2" t="str">
            <v>number</v>
          </cell>
          <cell r="E2" t="str">
            <v>number</v>
          </cell>
          <cell r="H2" t="str">
            <v>number</v>
          </cell>
          <cell r="I2" t="str">
            <v>number</v>
          </cell>
          <cell r="K2" t="str">
            <v>number</v>
          </cell>
          <cell r="L2" t="str">
            <v>number</v>
          </cell>
          <cell r="N2" t="str">
            <v>number</v>
          </cell>
          <cell r="O2" t="str">
            <v>number</v>
          </cell>
          <cell r="Q2" t="str">
            <v>number</v>
          </cell>
          <cell r="R2" t="str">
            <v>number</v>
          </cell>
          <cell r="T2" t="str">
            <v>number</v>
          </cell>
          <cell r="U2" t="str">
            <v>number</v>
          </cell>
          <cell r="W2" t="str">
            <v>number</v>
          </cell>
          <cell r="X2" t="str">
            <v>number</v>
          </cell>
        </row>
        <row r="3">
          <cell r="A3" t="str">
            <v>:required</v>
          </cell>
          <cell r="B3">
            <v>1</v>
          </cell>
          <cell r="E3" t="str">
            <v>-</v>
          </cell>
          <cell r="H3" t="str">
            <v>-</v>
          </cell>
          <cell r="I3" t="str">
            <v>-</v>
          </cell>
          <cell r="K3" t="str">
            <v>-</v>
          </cell>
          <cell r="L3" t="str">
            <v>-</v>
          </cell>
          <cell r="N3" t="str">
            <v>-</v>
          </cell>
          <cell r="O3" t="str">
            <v>-</v>
          </cell>
          <cell r="Q3" t="str">
            <v>-</v>
          </cell>
          <cell r="R3" t="str">
            <v>-</v>
          </cell>
          <cell r="T3" t="str">
            <v>-</v>
          </cell>
          <cell r="U3" t="str">
            <v>-</v>
          </cell>
          <cell r="W3" t="str">
            <v>-</v>
          </cell>
          <cell r="X3" t="str">
            <v>-</v>
          </cell>
        </row>
        <row r="4">
          <cell r="A4" t="str">
            <v>:requiredInObject</v>
          </cell>
          <cell r="B4" t="str">
            <v>-</v>
          </cell>
          <cell r="E4" t="str">
            <v>-</v>
          </cell>
          <cell r="H4">
            <v>1</v>
          </cell>
          <cell r="I4">
            <v>1</v>
          </cell>
          <cell r="K4">
            <v>1</v>
          </cell>
          <cell r="L4">
            <v>1</v>
          </cell>
          <cell r="N4">
            <v>1</v>
          </cell>
          <cell r="O4">
            <v>1</v>
          </cell>
          <cell r="Q4">
            <v>1</v>
          </cell>
          <cell r="R4">
            <v>1</v>
          </cell>
          <cell r="T4">
            <v>1</v>
          </cell>
          <cell r="U4">
            <v>1</v>
          </cell>
          <cell r="W4">
            <v>1</v>
          </cell>
          <cell r="X4">
            <v>1</v>
          </cell>
        </row>
        <row r="5">
          <cell r="A5" t="str">
            <v>:min</v>
          </cell>
          <cell r="B5" t="str">
            <v>-</v>
          </cell>
          <cell r="E5" t="str">
            <v>-</v>
          </cell>
          <cell r="H5">
            <v>70400000</v>
          </cell>
          <cell r="I5" t="str">
            <v>-</v>
          </cell>
          <cell r="K5">
            <v>70400000</v>
          </cell>
          <cell r="L5" t="str">
            <v>-</v>
          </cell>
          <cell r="N5">
            <v>70400000</v>
          </cell>
          <cell r="O5" t="str">
            <v>-</v>
          </cell>
          <cell r="Q5">
            <v>70400000</v>
          </cell>
          <cell r="R5" t="str">
            <v>-</v>
          </cell>
          <cell r="T5">
            <v>70400000</v>
          </cell>
          <cell r="U5" t="str">
            <v>-</v>
          </cell>
          <cell r="W5">
            <v>70400000</v>
          </cell>
          <cell r="X5" t="str">
            <v>-</v>
          </cell>
        </row>
        <row r="6">
          <cell r="A6" t="str">
            <v>:max</v>
          </cell>
          <cell r="B6" t="str">
            <v>-</v>
          </cell>
          <cell r="E6" t="str">
            <v>-</v>
          </cell>
          <cell r="H6">
            <v>70499999</v>
          </cell>
          <cell r="I6" t="str">
            <v>-</v>
          </cell>
          <cell r="K6">
            <v>70499999</v>
          </cell>
          <cell r="L6" t="str">
            <v>-</v>
          </cell>
          <cell r="N6">
            <v>70499999</v>
          </cell>
          <cell r="O6" t="str">
            <v>-</v>
          </cell>
          <cell r="Q6">
            <v>70499999</v>
          </cell>
          <cell r="R6" t="str">
            <v>-</v>
          </cell>
          <cell r="T6">
            <v>70499999</v>
          </cell>
          <cell r="U6" t="str">
            <v>-</v>
          </cell>
          <cell r="W6">
            <v>70499999</v>
          </cell>
          <cell r="X6" t="str">
            <v>-</v>
          </cell>
        </row>
        <row r="7">
          <cell r="A7" t="str">
            <v>:enum</v>
          </cell>
          <cell r="B7" t="str">
            <v>-</v>
          </cell>
          <cell r="E7" t="str">
            <v>-</v>
          </cell>
          <cell r="H7" t="str">
            <v>-</v>
          </cell>
          <cell r="I7" t="str">
            <v>-</v>
          </cell>
          <cell r="K7" t="str">
            <v>-</v>
          </cell>
          <cell r="L7" t="str">
            <v>-</v>
          </cell>
          <cell r="N7" t="str">
            <v>-</v>
          </cell>
          <cell r="O7" t="str">
            <v>-</v>
          </cell>
          <cell r="Q7" t="str">
            <v>-</v>
          </cell>
          <cell r="R7" t="str">
            <v>-</v>
          </cell>
          <cell r="T7" t="str">
            <v>-</v>
          </cell>
          <cell r="U7" t="str">
            <v>-</v>
          </cell>
          <cell r="W7" t="str">
            <v>-</v>
          </cell>
          <cell r="X7" t="str">
            <v>-</v>
          </cell>
        </row>
        <row r="8">
          <cell r="A8" t="str">
            <v>:links</v>
          </cell>
          <cell r="B8" t="str">
            <v>-</v>
          </cell>
          <cell r="C8" t="str">
            <v>발견물</v>
          </cell>
          <cell r="D8" t="str">
            <v>등급</v>
          </cell>
          <cell r="E8" t="str">
            <v>-</v>
          </cell>
          <cell r="F8" t="str">
            <v>낚시타일</v>
          </cell>
          <cell r="G8" t="str">
            <v>발견물</v>
          </cell>
          <cell r="H8" t="str">
            <v>"Discovery"</v>
          </cell>
          <cell r="I8" t="str">
            <v>-</v>
          </cell>
          <cell r="J8" t="str">
            <v>발견물</v>
          </cell>
          <cell r="K8" t="str">
            <v>"Discovery"</v>
          </cell>
          <cell r="L8" t="str">
            <v>-</v>
          </cell>
          <cell r="M8" t="str">
            <v>발견물</v>
          </cell>
          <cell r="N8" t="str">
            <v>"Discovery"</v>
          </cell>
          <cell r="O8" t="str">
            <v>-</v>
          </cell>
          <cell r="P8" t="str">
            <v>발견물</v>
          </cell>
          <cell r="Q8" t="str">
            <v>"Discovery"</v>
          </cell>
          <cell r="R8" t="str">
            <v>-</v>
          </cell>
          <cell r="S8" t="str">
            <v>발견물</v>
          </cell>
          <cell r="T8" t="str">
            <v>"Discovery"</v>
          </cell>
          <cell r="U8" t="str">
            <v>-</v>
          </cell>
          <cell r="V8" t="str">
            <v>발견물</v>
          </cell>
          <cell r="W8" t="str">
            <v>"Discovery"</v>
          </cell>
          <cell r="X8" t="str">
            <v>-</v>
          </cell>
        </row>
        <row r="9">
          <cell r="A9">
            <v>72220001</v>
          </cell>
          <cell r="B9">
            <v>1001</v>
          </cell>
          <cell r="C9" t="str">
            <v>전기가오리</v>
          </cell>
          <cell r="D9" t="str">
            <v>D</v>
          </cell>
          <cell r="E9">
            <v>70409311</v>
          </cell>
          <cell r="H9" t="str">
            <v>-</v>
          </cell>
          <cell r="I9" t="str">
            <v>-</v>
          </cell>
          <cell r="K9" t="str">
            <v>-</v>
          </cell>
          <cell r="L9" t="str">
            <v>-</v>
          </cell>
          <cell r="N9" t="str">
            <v>-</v>
          </cell>
          <cell r="O9" t="str">
            <v>-</v>
          </cell>
          <cell r="Q9" t="str">
            <v>-</v>
          </cell>
          <cell r="R9" t="str">
            <v>-</v>
          </cell>
          <cell r="T9" t="str">
            <v>-</v>
          </cell>
          <cell r="U9" t="str">
            <v>-</v>
          </cell>
          <cell r="W9" t="str">
            <v>-</v>
          </cell>
          <cell r="X9" t="str">
            <v>-</v>
          </cell>
        </row>
        <row r="10">
          <cell r="A10">
            <v>72220002</v>
          </cell>
          <cell r="B10">
            <v>1001</v>
          </cell>
          <cell r="C10" t="str">
            <v>강도다리</v>
          </cell>
          <cell r="D10" t="str">
            <v>A</v>
          </cell>
          <cell r="E10">
            <v>70409018</v>
          </cell>
          <cell r="H10" t="str">
            <v>-</v>
          </cell>
          <cell r="I10" t="str">
            <v>-</v>
          </cell>
          <cell r="K10" t="str">
            <v>-</v>
          </cell>
          <cell r="L10" t="str">
            <v>-</v>
          </cell>
          <cell r="N10" t="str">
            <v>-</v>
          </cell>
          <cell r="O10" t="str">
            <v>-</v>
          </cell>
          <cell r="Q10" t="str">
            <v>-</v>
          </cell>
          <cell r="R10" t="str">
            <v>-</v>
          </cell>
          <cell r="T10" t="str">
            <v>-</v>
          </cell>
          <cell r="U10" t="str">
            <v>-</v>
          </cell>
          <cell r="W10" t="str">
            <v>-</v>
          </cell>
          <cell r="X10" t="str">
            <v>-</v>
          </cell>
        </row>
        <row r="11">
          <cell r="A11">
            <v>72220003</v>
          </cell>
          <cell r="B11">
            <v>1001</v>
          </cell>
          <cell r="C11" t="str">
            <v>스텔러바다소</v>
          </cell>
          <cell r="D11" t="str">
            <v>B</v>
          </cell>
          <cell r="E11">
            <v>70409262</v>
          </cell>
          <cell r="H11" t="str">
            <v>-</v>
          </cell>
          <cell r="I11" t="str">
            <v>-</v>
          </cell>
          <cell r="K11" t="str">
            <v>-</v>
          </cell>
          <cell r="L11" t="str">
            <v>-</v>
          </cell>
          <cell r="N11" t="str">
            <v>-</v>
          </cell>
          <cell r="O11" t="str">
            <v>-</v>
          </cell>
          <cell r="Q11" t="str">
            <v>-</v>
          </cell>
          <cell r="R11" t="str">
            <v>-</v>
          </cell>
          <cell r="T11" t="str">
            <v>-</v>
          </cell>
          <cell r="U11" t="str">
            <v>-</v>
          </cell>
          <cell r="W11" t="str">
            <v>-</v>
          </cell>
          <cell r="X11" t="str">
            <v>-</v>
          </cell>
        </row>
        <row r="12">
          <cell r="A12">
            <v>72220004</v>
          </cell>
          <cell r="B12">
            <v>1001</v>
          </cell>
          <cell r="C12" t="str">
            <v>악상어</v>
          </cell>
          <cell r="D12" t="str">
            <v>S</v>
          </cell>
          <cell r="E12">
            <v>70409275</v>
          </cell>
          <cell r="H12" t="str">
            <v>-</v>
          </cell>
          <cell r="I12" t="str">
            <v>-</v>
          </cell>
          <cell r="K12" t="str">
            <v>-</v>
          </cell>
          <cell r="L12" t="str">
            <v>-</v>
          </cell>
          <cell r="N12" t="str">
            <v>-</v>
          </cell>
          <cell r="O12" t="str">
            <v>-</v>
          </cell>
          <cell r="Q12" t="str">
            <v>-</v>
          </cell>
          <cell r="R12" t="str">
            <v>-</v>
          </cell>
          <cell r="T12" t="str">
            <v>-</v>
          </cell>
          <cell r="U12" t="str">
            <v>-</v>
          </cell>
          <cell r="W12" t="str">
            <v>-</v>
          </cell>
          <cell r="X12" t="str">
            <v>-</v>
          </cell>
        </row>
        <row r="13">
          <cell r="A13">
            <v>72220005</v>
          </cell>
          <cell r="B13">
            <v>1002</v>
          </cell>
          <cell r="C13" t="str">
            <v>전기가오리</v>
          </cell>
          <cell r="D13" t="str">
            <v>D</v>
          </cell>
          <cell r="E13">
            <v>70409311</v>
          </cell>
          <cell r="H13" t="str">
            <v>-</v>
          </cell>
          <cell r="I13" t="str">
            <v>-</v>
          </cell>
          <cell r="K13" t="str">
            <v>-</v>
          </cell>
          <cell r="L13" t="str">
            <v>-</v>
          </cell>
          <cell r="N13" t="str">
            <v>-</v>
          </cell>
          <cell r="O13" t="str">
            <v>-</v>
          </cell>
          <cell r="Q13" t="str">
            <v>-</v>
          </cell>
          <cell r="R13" t="str">
            <v>-</v>
          </cell>
          <cell r="T13" t="str">
            <v>-</v>
          </cell>
          <cell r="U13" t="str">
            <v>-</v>
          </cell>
          <cell r="W13" t="str">
            <v>-</v>
          </cell>
          <cell r="X13" t="str">
            <v>-</v>
          </cell>
        </row>
        <row r="14">
          <cell r="A14">
            <v>72220006</v>
          </cell>
          <cell r="B14">
            <v>1002</v>
          </cell>
          <cell r="C14" t="str">
            <v>강도다리</v>
          </cell>
          <cell r="D14" t="str">
            <v>A</v>
          </cell>
          <cell r="E14">
            <v>70409018</v>
          </cell>
          <cell r="H14" t="str">
            <v>-</v>
          </cell>
          <cell r="I14" t="str">
            <v>-</v>
          </cell>
          <cell r="K14" t="str">
            <v>-</v>
          </cell>
          <cell r="L14" t="str">
            <v>-</v>
          </cell>
          <cell r="N14" t="str">
            <v>-</v>
          </cell>
          <cell r="O14" t="str">
            <v>-</v>
          </cell>
          <cell r="Q14" t="str">
            <v>-</v>
          </cell>
          <cell r="R14" t="str">
            <v>-</v>
          </cell>
          <cell r="T14" t="str">
            <v>-</v>
          </cell>
          <cell r="U14" t="str">
            <v>-</v>
          </cell>
          <cell r="W14" t="str">
            <v>-</v>
          </cell>
          <cell r="X14" t="str">
            <v>-</v>
          </cell>
        </row>
        <row r="15">
          <cell r="A15">
            <v>72220007</v>
          </cell>
          <cell r="B15">
            <v>1002</v>
          </cell>
          <cell r="C15" t="str">
            <v>스텔러바다소</v>
          </cell>
          <cell r="D15" t="str">
            <v>B</v>
          </cell>
          <cell r="E15">
            <v>70409262</v>
          </cell>
          <cell r="H15" t="str">
            <v>-</v>
          </cell>
          <cell r="I15" t="str">
            <v>-</v>
          </cell>
          <cell r="K15" t="str">
            <v>-</v>
          </cell>
          <cell r="L15" t="str">
            <v>-</v>
          </cell>
          <cell r="N15" t="str">
            <v>-</v>
          </cell>
          <cell r="O15" t="str">
            <v>-</v>
          </cell>
          <cell r="Q15" t="str">
            <v>-</v>
          </cell>
          <cell r="R15" t="str">
            <v>-</v>
          </cell>
          <cell r="T15" t="str">
            <v>-</v>
          </cell>
          <cell r="U15" t="str">
            <v>-</v>
          </cell>
          <cell r="W15" t="str">
            <v>-</v>
          </cell>
          <cell r="X15" t="str">
            <v>-</v>
          </cell>
        </row>
        <row r="16">
          <cell r="A16">
            <v>72220008</v>
          </cell>
          <cell r="B16">
            <v>1002</v>
          </cell>
          <cell r="C16" t="str">
            <v>악상어</v>
          </cell>
          <cell r="D16" t="str">
            <v>S</v>
          </cell>
          <cell r="E16">
            <v>70409275</v>
          </cell>
          <cell r="H16" t="str">
            <v>-</v>
          </cell>
          <cell r="I16" t="str">
            <v>-</v>
          </cell>
          <cell r="K16" t="str">
            <v>-</v>
          </cell>
          <cell r="L16" t="str">
            <v>-</v>
          </cell>
          <cell r="N16" t="str">
            <v>-</v>
          </cell>
          <cell r="O16" t="str">
            <v>-</v>
          </cell>
          <cell r="Q16" t="str">
            <v>-</v>
          </cell>
          <cell r="R16" t="str">
            <v>-</v>
          </cell>
          <cell r="T16" t="str">
            <v>-</v>
          </cell>
          <cell r="U16" t="str">
            <v>-</v>
          </cell>
          <cell r="W16" t="str">
            <v>-</v>
          </cell>
          <cell r="X16" t="str">
            <v>-</v>
          </cell>
        </row>
        <row r="17">
          <cell r="A17">
            <v>72220009</v>
          </cell>
          <cell r="B17">
            <v>1003</v>
          </cell>
          <cell r="C17" t="str">
            <v>전기가오리</v>
          </cell>
          <cell r="D17" t="str">
            <v>D</v>
          </cell>
          <cell r="E17">
            <v>70409311</v>
          </cell>
          <cell r="H17" t="str">
            <v>-</v>
          </cell>
          <cell r="I17" t="str">
            <v>-</v>
          </cell>
          <cell r="K17" t="str">
            <v>-</v>
          </cell>
          <cell r="L17" t="str">
            <v>-</v>
          </cell>
          <cell r="N17" t="str">
            <v>-</v>
          </cell>
          <cell r="O17" t="str">
            <v>-</v>
          </cell>
          <cell r="Q17" t="str">
            <v>-</v>
          </cell>
          <cell r="R17" t="str">
            <v>-</v>
          </cell>
          <cell r="T17" t="str">
            <v>-</v>
          </cell>
          <cell r="U17" t="str">
            <v>-</v>
          </cell>
          <cell r="W17" t="str">
            <v>-</v>
          </cell>
          <cell r="X17" t="str">
            <v>-</v>
          </cell>
        </row>
        <row r="18">
          <cell r="A18">
            <v>72220010</v>
          </cell>
          <cell r="B18">
            <v>1003</v>
          </cell>
          <cell r="C18" t="str">
            <v>강도다리</v>
          </cell>
          <cell r="D18" t="str">
            <v>A</v>
          </cell>
          <cell r="E18">
            <v>70409018</v>
          </cell>
          <cell r="H18" t="str">
            <v>-</v>
          </cell>
          <cell r="I18" t="str">
            <v>-</v>
          </cell>
          <cell r="K18" t="str">
            <v>-</v>
          </cell>
          <cell r="L18" t="str">
            <v>-</v>
          </cell>
          <cell r="N18" t="str">
            <v>-</v>
          </cell>
          <cell r="O18" t="str">
            <v>-</v>
          </cell>
          <cell r="Q18" t="str">
            <v>-</v>
          </cell>
          <cell r="R18" t="str">
            <v>-</v>
          </cell>
          <cell r="T18" t="str">
            <v>-</v>
          </cell>
          <cell r="U18" t="str">
            <v>-</v>
          </cell>
          <cell r="W18" t="str">
            <v>-</v>
          </cell>
          <cell r="X18" t="str">
            <v>-</v>
          </cell>
        </row>
        <row r="19">
          <cell r="A19">
            <v>72220011</v>
          </cell>
          <cell r="B19">
            <v>1003</v>
          </cell>
          <cell r="C19" t="str">
            <v>스텔러바다소</v>
          </cell>
          <cell r="D19" t="str">
            <v>B</v>
          </cell>
          <cell r="E19">
            <v>70409262</v>
          </cell>
          <cell r="H19" t="str">
            <v>-</v>
          </cell>
          <cell r="I19" t="str">
            <v>-</v>
          </cell>
          <cell r="K19" t="str">
            <v>-</v>
          </cell>
          <cell r="L19" t="str">
            <v>-</v>
          </cell>
          <cell r="N19" t="str">
            <v>-</v>
          </cell>
          <cell r="O19" t="str">
            <v>-</v>
          </cell>
          <cell r="Q19" t="str">
            <v>-</v>
          </cell>
          <cell r="R19" t="str">
            <v>-</v>
          </cell>
          <cell r="T19" t="str">
            <v>-</v>
          </cell>
          <cell r="U19" t="str">
            <v>-</v>
          </cell>
          <cell r="W19" t="str">
            <v>-</v>
          </cell>
          <cell r="X19" t="str">
            <v>-</v>
          </cell>
        </row>
        <row r="20">
          <cell r="A20">
            <v>72220012</v>
          </cell>
          <cell r="B20">
            <v>1003</v>
          </cell>
          <cell r="C20" t="str">
            <v>악상어</v>
          </cell>
          <cell r="D20" t="str">
            <v>S</v>
          </cell>
          <cell r="E20">
            <v>70409275</v>
          </cell>
          <cell r="H20" t="str">
            <v>-</v>
          </cell>
          <cell r="I20" t="str">
            <v>-</v>
          </cell>
          <cell r="K20" t="str">
            <v>-</v>
          </cell>
          <cell r="L20" t="str">
            <v>-</v>
          </cell>
          <cell r="N20" t="str">
            <v>-</v>
          </cell>
          <cell r="O20" t="str">
            <v>-</v>
          </cell>
          <cell r="Q20" t="str">
            <v>-</v>
          </cell>
          <cell r="R20" t="str">
            <v>-</v>
          </cell>
          <cell r="T20" t="str">
            <v>-</v>
          </cell>
          <cell r="U20" t="str">
            <v>-</v>
          </cell>
          <cell r="W20" t="str">
            <v>-</v>
          </cell>
          <cell r="X20" t="str">
            <v>-</v>
          </cell>
        </row>
        <row r="21">
          <cell r="A21">
            <v>72220013</v>
          </cell>
          <cell r="B21">
            <v>1004</v>
          </cell>
          <cell r="C21" t="str">
            <v>각시가자미</v>
          </cell>
          <cell r="D21" t="str">
            <v>D</v>
          </cell>
          <cell r="E21">
            <v>70409007</v>
          </cell>
          <cell r="H21" t="str">
            <v>-</v>
          </cell>
          <cell r="I21" t="str">
            <v>-</v>
          </cell>
          <cell r="K21" t="str">
            <v>-</v>
          </cell>
          <cell r="L21" t="str">
            <v>-</v>
          </cell>
          <cell r="N21" t="str">
            <v>-</v>
          </cell>
          <cell r="O21" t="str">
            <v>-</v>
          </cell>
          <cell r="Q21" t="str">
            <v>-</v>
          </cell>
          <cell r="R21" t="str">
            <v>-</v>
          </cell>
          <cell r="T21" t="str">
            <v>-</v>
          </cell>
          <cell r="U21" t="str">
            <v>-</v>
          </cell>
          <cell r="W21" t="str">
            <v>-</v>
          </cell>
          <cell r="X21" t="str">
            <v>-</v>
          </cell>
        </row>
        <row r="22">
          <cell r="A22">
            <v>72220014</v>
          </cell>
          <cell r="B22">
            <v>1004</v>
          </cell>
          <cell r="C22" t="str">
            <v>전기가오리</v>
          </cell>
          <cell r="D22" t="str">
            <v>D</v>
          </cell>
          <cell r="E22">
            <v>70409311</v>
          </cell>
          <cell r="H22" t="str">
            <v>-</v>
          </cell>
          <cell r="I22" t="str">
            <v>-</v>
          </cell>
          <cell r="K22" t="str">
            <v>-</v>
          </cell>
          <cell r="L22" t="str">
            <v>-</v>
          </cell>
          <cell r="N22" t="str">
            <v>-</v>
          </cell>
          <cell r="O22" t="str">
            <v>-</v>
          </cell>
          <cell r="Q22" t="str">
            <v>-</v>
          </cell>
          <cell r="R22" t="str">
            <v>-</v>
          </cell>
          <cell r="T22" t="str">
            <v>-</v>
          </cell>
          <cell r="U22" t="str">
            <v>-</v>
          </cell>
          <cell r="W22" t="str">
            <v>-</v>
          </cell>
          <cell r="X22" t="str">
            <v>-</v>
          </cell>
        </row>
        <row r="23">
          <cell r="A23">
            <v>72220015</v>
          </cell>
          <cell r="B23">
            <v>1004</v>
          </cell>
          <cell r="C23" t="str">
            <v>강도다리</v>
          </cell>
          <cell r="D23" t="str">
            <v>A</v>
          </cell>
          <cell r="E23">
            <v>70409018</v>
          </cell>
          <cell r="H23" t="str">
            <v>-</v>
          </cell>
          <cell r="I23" t="str">
            <v>-</v>
          </cell>
          <cell r="K23" t="str">
            <v>-</v>
          </cell>
          <cell r="L23" t="str">
            <v>-</v>
          </cell>
          <cell r="N23" t="str">
            <v>-</v>
          </cell>
          <cell r="O23" t="str">
            <v>-</v>
          </cell>
          <cell r="Q23" t="str">
            <v>-</v>
          </cell>
          <cell r="R23" t="str">
            <v>-</v>
          </cell>
          <cell r="T23" t="str">
            <v>-</v>
          </cell>
          <cell r="U23" t="str">
            <v>-</v>
          </cell>
          <cell r="W23" t="str">
            <v>-</v>
          </cell>
          <cell r="X23" t="str">
            <v>-</v>
          </cell>
        </row>
        <row r="24">
          <cell r="A24">
            <v>72220016</v>
          </cell>
          <cell r="B24">
            <v>1004</v>
          </cell>
          <cell r="C24" t="str">
            <v>스텔러바다소</v>
          </cell>
          <cell r="D24" t="str">
            <v>B</v>
          </cell>
          <cell r="E24">
            <v>70409262</v>
          </cell>
          <cell r="H24" t="str">
            <v>-</v>
          </cell>
          <cell r="I24" t="str">
            <v>-</v>
          </cell>
          <cell r="K24" t="str">
            <v>-</v>
          </cell>
          <cell r="L24" t="str">
            <v>-</v>
          </cell>
          <cell r="N24" t="str">
            <v>-</v>
          </cell>
          <cell r="O24" t="str">
            <v>-</v>
          </cell>
          <cell r="Q24" t="str">
            <v>-</v>
          </cell>
          <cell r="R24" t="str">
            <v>-</v>
          </cell>
          <cell r="T24" t="str">
            <v>-</v>
          </cell>
          <cell r="U24" t="str">
            <v>-</v>
          </cell>
          <cell r="W24" t="str">
            <v>-</v>
          </cell>
          <cell r="X24" t="str">
            <v>-</v>
          </cell>
        </row>
        <row r="25">
          <cell r="A25">
            <v>72220017</v>
          </cell>
          <cell r="B25">
            <v>1004</v>
          </cell>
          <cell r="C25" t="str">
            <v>악상어</v>
          </cell>
          <cell r="D25" t="str">
            <v>S</v>
          </cell>
          <cell r="E25">
            <v>70409275</v>
          </cell>
          <cell r="H25" t="str">
            <v>-</v>
          </cell>
          <cell r="I25" t="str">
            <v>-</v>
          </cell>
          <cell r="K25" t="str">
            <v>-</v>
          </cell>
          <cell r="L25" t="str">
            <v>-</v>
          </cell>
          <cell r="N25" t="str">
            <v>-</v>
          </cell>
          <cell r="O25" t="str">
            <v>-</v>
          </cell>
          <cell r="Q25" t="str">
            <v>-</v>
          </cell>
          <cell r="R25" t="str">
            <v>-</v>
          </cell>
          <cell r="T25" t="str">
            <v>-</v>
          </cell>
          <cell r="U25" t="str">
            <v>-</v>
          </cell>
          <cell r="W25" t="str">
            <v>-</v>
          </cell>
          <cell r="X25" t="str">
            <v>-</v>
          </cell>
        </row>
        <row r="26">
          <cell r="A26">
            <v>72220018</v>
          </cell>
          <cell r="B26">
            <v>1011</v>
          </cell>
          <cell r="C26" t="str">
            <v>북극고래</v>
          </cell>
          <cell r="D26" t="str">
            <v>S</v>
          </cell>
          <cell r="E26">
            <v>70409215</v>
          </cell>
          <cell r="H26" t="str">
            <v>-</v>
          </cell>
          <cell r="I26" t="str">
            <v>-</v>
          </cell>
          <cell r="K26" t="str">
            <v>-</v>
          </cell>
          <cell r="L26" t="str">
            <v>-</v>
          </cell>
          <cell r="N26" t="str">
            <v>-</v>
          </cell>
          <cell r="O26" t="str">
            <v>-</v>
          </cell>
          <cell r="Q26" t="str">
            <v>-</v>
          </cell>
          <cell r="R26" t="str">
            <v>-</v>
          </cell>
          <cell r="T26" t="str">
            <v>-</v>
          </cell>
          <cell r="U26" t="str">
            <v>-</v>
          </cell>
          <cell r="W26" t="str">
            <v>-</v>
          </cell>
          <cell r="X26" t="str">
            <v>-</v>
          </cell>
        </row>
        <row r="27">
          <cell r="A27">
            <v>72220019</v>
          </cell>
          <cell r="B27">
            <v>1011</v>
          </cell>
          <cell r="C27" t="str">
            <v>점해마</v>
          </cell>
          <cell r="D27" t="str">
            <v>D</v>
          </cell>
          <cell r="E27">
            <v>70409319</v>
          </cell>
          <cell r="H27" t="str">
            <v>-</v>
          </cell>
          <cell r="I27" t="str">
            <v>-</v>
          </cell>
          <cell r="K27" t="str">
            <v>-</v>
          </cell>
          <cell r="L27" t="str">
            <v>-</v>
          </cell>
          <cell r="N27" t="str">
            <v>-</v>
          </cell>
          <cell r="O27" t="str">
            <v>-</v>
          </cell>
          <cell r="Q27" t="str">
            <v>-</v>
          </cell>
          <cell r="R27" t="str">
            <v>-</v>
          </cell>
          <cell r="T27" t="str">
            <v>-</v>
          </cell>
          <cell r="U27" t="str">
            <v>-</v>
          </cell>
          <cell r="W27" t="str">
            <v>-</v>
          </cell>
          <cell r="X27" t="str">
            <v>-</v>
          </cell>
        </row>
        <row r="28">
          <cell r="A28">
            <v>72220020</v>
          </cell>
          <cell r="B28">
            <v>1011</v>
          </cell>
          <cell r="C28" t="str">
            <v>강도다리</v>
          </cell>
          <cell r="D28" t="str">
            <v>A</v>
          </cell>
          <cell r="E28">
            <v>70409018</v>
          </cell>
          <cell r="H28" t="str">
            <v>-</v>
          </cell>
          <cell r="I28" t="str">
            <v>-</v>
          </cell>
          <cell r="K28" t="str">
            <v>-</v>
          </cell>
          <cell r="L28" t="str">
            <v>-</v>
          </cell>
          <cell r="N28" t="str">
            <v>-</v>
          </cell>
          <cell r="O28" t="str">
            <v>-</v>
          </cell>
          <cell r="Q28" t="str">
            <v>-</v>
          </cell>
          <cell r="R28" t="str">
            <v>-</v>
          </cell>
          <cell r="T28" t="str">
            <v>-</v>
          </cell>
          <cell r="U28" t="str">
            <v>-</v>
          </cell>
          <cell r="W28" t="str">
            <v>-</v>
          </cell>
          <cell r="X28" t="str">
            <v>-</v>
          </cell>
        </row>
        <row r="29">
          <cell r="A29">
            <v>72220021</v>
          </cell>
          <cell r="B29">
            <v>1012</v>
          </cell>
          <cell r="C29" t="str">
            <v>북극고래</v>
          </cell>
          <cell r="D29" t="str">
            <v>S</v>
          </cell>
          <cell r="E29">
            <v>70409215</v>
          </cell>
          <cell r="H29" t="str">
            <v>-</v>
          </cell>
          <cell r="I29" t="str">
            <v>-</v>
          </cell>
          <cell r="K29" t="str">
            <v>-</v>
          </cell>
          <cell r="L29" t="str">
            <v>-</v>
          </cell>
          <cell r="N29" t="str">
            <v>-</v>
          </cell>
          <cell r="O29" t="str">
            <v>-</v>
          </cell>
          <cell r="Q29" t="str">
            <v>-</v>
          </cell>
          <cell r="R29" t="str">
            <v>-</v>
          </cell>
          <cell r="T29" t="str">
            <v>-</v>
          </cell>
          <cell r="U29" t="str">
            <v>-</v>
          </cell>
          <cell r="W29" t="str">
            <v>-</v>
          </cell>
          <cell r="X29" t="str">
            <v>-</v>
          </cell>
        </row>
        <row r="30">
          <cell r="A30">
            <v>72220022</v>
          </cell>
          <cell r="B30">
            <v>1012</v>
          </cell>
          <cell r="C30" t="str">
            <v>점해마</v>
          </cell>
          <cell r="D30" t="str">
            <v>D</v>
          </cell>
          <cell r="E30">
            <v>70409319</v>
          </cell>
          <cell r="H30" t="str">
            <v>-</v>
          </cell>
          <cell r="I30" t="str">
            <v>-</v>
          </cell>
          <cell r="K30" t="str">
            <v>-</v>
          </cell>
          <cell r="L30" t="str">
            <v>-</v>
          </cell>
          <cell r="N30" t="str">
            <v>-</v>
          </cell>
          <cell r="O30" t="str">
            <v>-</v>
          </cell>
          <cell r="Q30" t="str">
            <v>-</v>
          </cell>
          <cell r="R30" t="str">
            <v>-</v>
          </cell>
          <cell r="T30" t="str">
            <v>-</v>
          </cell>
          <cell r="U30" t="str">
            <v>-</v>
          </cell>
          <cell r="W30" t="str">
            <v>-</v>
          </cell>
          <cell r="X30" t="str">
            <v>-</v>
          </cell>
        </row>
        <row r="31">
          <cell r="A31">
            <v>72220023</v>
          </cell>
          <cell r="B31">
            <v>1012</v>
          </cell>
          <cell r="C31" t="str">
            <v>강도다리</v>
          </cell>
          <cell r="D31" t="str">
            <v>A</v>
          </cell>
          <cell r="E31">
            <v>70409018</v>
          </cell>
          <cell r="H31" t="str">
            <v>-</v>
          </cell>
          <cell r="I31" t="str">
            <v>-</v>
          </cell>
          <cell r="K31" t="str">
            <v>-</v>
          </cell>
          <cell r="L31" t="str">
            <v>-</v>
          </cell>
          <cell r="N31" t="str">
            <v>-</v>
          </cell>
          <cell r="O31" t="str">
            <v>-</v>
          </cell>
          <cell r="Q31" t="str">
            <v>-</v>
          </cell>
          <cell r="R31" t="str">
            <v>-</v>
          </cell>
          <cell r="T31" t="str">
            <v>-</v>
          </cell>
          <cell r="U31" t="str">
            <v>-</v>
          </cell>
          <cell r="W31" t="str">
            <v>-</v>
          </cell>
          <cell r="X31" t="str">
            <v>-</v>
          </cell>
        </row>
        <row r="32">
          <cell r="A32">
            <v>72220024</v>
          </cell>
          <cell r="B32">
            <v>1013</v>
          </cell>
          <cell r="C32" t="str">
            <v>북극고래</v>
          </cell>
          <cell r="D32" t="str">
            <v>S</v>
          </cell>
          <cell r="E32">
            <v>70409215</v>
          </cell>
          <cell r="H32" t="str">
            <v>-</v>
          </cell>
          <cell r="I32" t="str">
            <v>-</v>
          </cell>
          <cell r="K32" t="str">
            <v>-</v>
          </cell>
          <cell r="L32" t="str">
            <v>-</v>
          </cell>
          <cell r="N32" t="str">
            <v>-</v>
          </cell>
          <cell r="O32" t="str">
            <v>-</v>
          </cell>
          <cell r="Q32" t="str">
            <v>-</v>
          </cell>
          <cell r="R32" t="str">
            <v>-</v>
          </cell>
          <cell r="T32" t="str">
            <v>-</v>
          </cell>
          <cell r="U32" t="str">
            <v>-</v>
          </cell>
          <cell r="W32" t="str">
            <v>-</v>
          </cell>
          <cell r="X32" t="str">
            <v>-</v>
          </cell>
        </row>
        <row r="33">
          <cell r="A33">
            <v>72220025</v>
          </cell>
          <cell r="B33">
            <v>1013</v>
          </cell>
          <cell r="C33" t="str">
            <v>점해마</v>
          </cell>
          <cell r="D33" t="str">
            <v>D</v>
          </cell>
          <cell r="E33">
            <v>70409319</v>
          </cell>
          <cell r="H33" t="str">
            <v>-</v>
          </cell>
          <cell r="I33" t="str">
            <v>-</v>
          </cell>
          <cell r="K33" t="str">
            <v>-</v>
          </cell>
          <cell r="L33" t="str">
            <v>-</v>
          </cell>
          <cell r="N33" t="str">
            <v>-</v>
          </cell>
          <cell r="O33" t="str">
            <v>-</v>
          </cell>
          <cell r="Q33" t="str">
            <v>-</v>
          </cell>
          <cell r="R33" t="str">
            <v>-</v>
          </cell>
          <cell r="T33" t="str">
            <v>-</v>
          </cell>
          <cell r="U33" t="str">
            <v>-</v>
          </cell>
          <cell r="W33" t="str">
            <v>-</v>
          </cell>
          <cell r="X33" t="str">
            <v>-</v>
          </cell>
        </row>
        <row r="34">
          <cell r="A34">
            <v>72220026</v>
          </cell>
          <cell r="B34">
            <v>1013</v>
          </cell>
          <cell r="C34" t="str">
            <v>강도다리</v>
          </cell>
          <cell r="D34" t="str">
            <v>A</v>
          </cell>
          <cell r="E34">
            <v>70409018</v>
          </cell>
          <cell r="H34" t="str">
            <v>-</v>
          </cell>
          <cell r="I34" t="str">
            <v>-</v>
          </cell>
          <cell r="K34" t="str">
            <v>-</v>
          </cell>
          <cell r="L34" t="str">
            <v>-</v>
          </cell>
          <cell r="N34" t="str">
            <v>-</v>
          </cell>
          <cell r="O34" t="str">
            <v>-</v>
          </cell>
          <cell r="Q34" t="str">
            <v>-</v>
          </cell>
          <cell r="R34" t="str">
            <v>-</v>
          </cell>
          <cell r="T34" t="str">
            <v>-</v>
          </cell>
          <cell r="U34" t="str">
            <v>-</v>
          </cell>
          <cell r="W34" t="str">
            <v>-</v>
          </cell>
          <cell r="X34" t="str">
            <v>-</v>
          </cell>
        </row>
        <row r="35">
          <cell r="A35">
            <v>72220027</v>
          </cell>
          <cell r="B35">
            <v>1014</v>
          </cell>
          <cell r="C35" t="str">
            <v>북극고래</v>
          </cell>
          <cell r="D35" t="str">
            <v>S</v>
          </cell>
          <cell r="E35">
            <v>70409215</v>
          </cell>
          <cell r="H35" t="str">
            <v>-</v>
          </cell>
          <cell r="I35" t="str">
            <v>-</v>
          </cell>
          <cell r="K35" t="str">
            <v>-</v>
          </cell>
          <cell r="L35" t="str">
            <v>-</v>
          </cell>
          <cell r="N35" t="str">
            <v>-</v>
          </cell>
          <cell r="O35" t="str">
            <v>-</v>
          </cell>
          <cell r="Q35" t="str">
            <v>-</v>
          </cell>
          <cell r="R35" t="str">
            <v>-</v>
          </cell>
          <cell r="T35" t="str">
            <v>-</v>
          </cell>
          <cell r="U35" t="str">
            <v>-</v>
          </cell>
          <cell r="W35" t="str">
            <v>-</v>
          </cell>
          <cell r="X35" t="str">
            <v>-</v>
          </cell>
        </row>
        <row r="36">
          <cell r="A36">
            <v>72220028</v>
          </cell>
          <cell r="B36">
            <v>1014</v>
          </cell>
          <cell r="C36" t="str">
            <v>점해마</v>
          </cell>
          <cell r="D36" t="str">
            <v>D</v>
          </cell>
          <cell r="E36">
            <v>70409319</v>
          </cell>
          <cell r="H36" t="str">
            <v>-</v>
          </cell>
          <cell r="I36" t="str">
            <v>-</v>
          </cell>
          <cell r="K36" t="str">
            <v>-</v>
          </cell>
          <cell r="L36" t="str">
            <v>-</v>
          </cell>
          <cell r="N36" t="str">
            <v>-</v>
          </cell>
          <cell r="O36" t="str">
            <v>-</v>
          </cell>
          <cell r="Q36" t="str">
            <v>-</v>
          </cell>
          <cell r="R36" t="str">
            <v>-</v>
          </cell>
          <cell r="T36" t="str">
            <v>-</v>
          </cell>
          <cell r="U36" t="str">
            <v>-</v>
          </cell>
          <cell r="W36" t="str">
            <v>-</v>
          </cell>
          <cell r="X36" t="str">
            <v>-</v>
          </cell>
        </row>
        <row r="37">
          <cell r="A37">
            <v>72220029</v>
          </cell>
          <cell r="B37">
            <v>1014</v>
          </cell>
          <cell r="C37" t="str">
            <v>강도다리</v>
          </cell>
          <cell r="D37" t="str">
            <v>A</v>
          </cell>
          <cell r="E37">
            <v>70409018</v>
          </cell>
          <cell r="H37" t="str">
            <v>-</v>
          </cell>
          <cell r="I37" t="str">
            <v>-</v>
          </cell>
          <cell r="K37" t="str">
            <v>-</v>
          </cell>
          <cell r="L37" t="str">
            <v>-</v>
          </cell>
          <cell r="N37" t="str">
            <v>-</v>
          </cell>
          <cell r="O37" t="str">
            <v>-</v>
          </cell>
          <cell r="Q37" t="str">
            <v>-</v>
          </cell>
          <cell r="R37" t="str">
            <v>-</v>
          </cell>
          <cell r="T37" t="str">
            <v>-</v>
          </cell>
          <cell r="U37" t="str">
            <v>-</v>
          </cell>
          <cell r="W37" t="str">
            <v>-</v>
          </cell>
          <cell r="X37" t="str">
            <v>-</v>
          </cell>
        </row>
        <row r="38">
          <cell r="A38">
            <v>72220030</v>
          </cell>
          <cell r="B38">
            <v>1021</v>
          </cell>
          <cell r="C38" t="str">
            <v>귀신고래</v>
          </cell>
          <cell r="D38" t="str">
            <v>S</v>
          </cell>
          <cell r="E38">
            <v>70409039</v>
          </cell>
          <cell r="H38" t="str">
            <v>-</v>
          </cell>
          <cell r="I38" t="str">
            <v>-</v>
          </cell>
          <cell r="K38" t="str">
            <v>-</v>
          </cell>
          <cell r="L38" t="str">
            <v>-</v>
          </cell>
          <cell r="N38" t="str">
            <v>-</v>
          </cell>
          <cell r="O38" t="str">
            <v>-</v>
          </cell>
          <cell r="Q38" t="str">
            <v>-</v>
          </cell>
          <cell r="R38" t="str">
            <v>-</v>
          </cell>
          <cell r="T38" t="str">
            <v>-</v>
          </cell>
          <cell r="U38" t="str">
            <v>-</v>
          </cell>
          <cell r="W38" t="str">
            <v>-</v>
          </cell>
          <cell r="X38" t="str">
            <v>-</v>
          </cell>
        </row>
        <row r="39">
          <cell r="A39">
            <v>72220031</v>
          </cell>
          <cell r="B39">
            <v>1021</v>
          </cell>
          <cell r="C39" t="str">
            <v>점해마</v>
          </cell>
          <cell r="D39" t="str">
            <v>D</v>
          </cell>
          <cell r="E39">
            <v>70409319</v>
          </cell>
          <cell r="H39" t="str">
            <v>-</v>
          </cell>
          <cell r="I39" t="str">
            <v>-</v>
          </cell>
          <cell r="K39" t="str">
            <v>-</v>
          </cell>
          <cell r="L39" t="str">
            <v>-</v>
          </cell>
          <cell r="N39" t="str">
            <v>-</v>
          </cell>
          <cell r="O39" t="str">
            <v>-</v>
          </cell>
          <cell r="Q39" t="str">
            <v>-</v>
          </cell>
          <cell r="R39" t="str">
            <v>-</v>
          </cell>
          <cell r="T39" t="str">
            <v>-</v>
          </cell>
          <cell r="U39" t="str">
            <v>-</v>
          </cell>
          <cell r="W39" t="str">
            <v>-</v>
          </cell>
          <cell r="X39" t="str">
            <v>-</v>
          </cell>
        </row>
        <row r="40">
          <cell r="A40">
            <v>72220032</v>
          </cell>
          <cell r="B40">
            <v>1021</v>
          </cell>
          <cell r="C40" t="str">
            <v>스텔러바다소</v>
          </cell>
          <cell r="D40" t="str">
            <v>B</v>
          </cell>
          <cell r="E40">
            <v>70409262</v>
          </cell>
          <cell r="H40" t="str">
            <v>-</v>
          </cell>
          <cell r="I40" t="str">
            <v>-</v>
          </cell>
          <cell r="K40" t="str">
            <v>-</v>
          </cell>
          <cell r="L40" t="str">
            <v>-</v>
          </cell>
          <cell r="N40" t="str">
            <v>-</v>
          </cell>
          <cell r="O40" t="str">
            <v>-</v>
          </cell>
          <cell r="Q40" t="str">
            <v>-</v>
          </cell>
          <cell r="R40" t="str">
            <v>-</v>
          </cell>
          <cell r="T40" t="str">
            <v>-</v>
          </cell>
          <cell r="U40" t="str">
            <v>-</v>
          </cell>
          <cell r="W40" t="str">
            <v>-</v>
          </cell>
          <cell r="X40" t="str">
            <v>-</v>
          </cell>
        </row>
        <row r="41">
          <cell r="A41">
            <v>72220033</v>
          </cell>
          <cell r="B41">
            <v>1022</v>
          </cell>
          <cell r="C41" t="str">
            <v>귀신고래</v>
          </cell>
          <cell r="D41" t="str">
            <v>S</v>
          </cell>
          <cell r="E41">
            <v>70409039</v>
          </cell>
          <cell r="H41" t="str">
            <v>-</v>
          </cell>
          <cell r="I41" t="str">
            <v>-</v>
          </cell>
          <cell r="K41" t="str">
            <v>-</v>
          </cell>
          <cell r="L41" t="str">
            <v>-</v>
          </cell>
          <cell r="N41" t="str">
            <v>-</v>
          </cell>
          <cell r="O41" t="str">
            <v>-</v>
          </cell>
          <cell r="Q41" t="str">
            <v>-</v>
          </cell>
          <cell r="R41" t="str">
            <v>-</v>
          </cell>
          <cell r="T41" t="str">
            <v>-</v>
          </cell>
          <cell r="U41" t="str">
            <v>-</v>
          </cell>
          <cell r="W41" t="str">
            <v>-</v>
          </cell>
          <cell r="X41" t="str">
            <v>-</v>
          </cell>
        </row>
        <row r="42">
          <cell r="A42">
            <v>72220034</v>
          </cell>
          <cell r="B42">
            <v>1022</v>
          </cell>
          <cell r="C42" t="str">
            <v>점해마</v>
          </cell>
          <cell r="D42" t="str">
            <v>D</v>
          </cell>
          <cell r="E42">
            <v>70409319</v>
          </cell>
          <cell r="H42" t="str">
            <v>-</v>
          </cell>
          <cell r="I42" t="str">
            <v>-</v>
          </cell>
          <cell r="K42" t="str">
            <v>-</v>
          </cell>
          <cell r="L42" t="str">
            <v>-</v>
          </cell>
          <cell r="N42" t="str">
            <v>-</v>
          </cell>
          <cell r="O42" t="str">
            <v>-</v>
          </cell>
          <cell r="Q42" t="str">
            <v>-</v>
          </cell>
          <cell r="R42" t="str">
            <v>-</v>
          </cell>
          <cell r="T42" t="str">
            <v>-</v>
          </cell>
          <cell r="U42" t="str">
            <v>-</v>
          </cell>
          <cell r="W42" t="str">
            <v>-</v>
          </cell>
          <cell r="X42" t="str">
            <v>-</v>
          </cell>
        </row>
        <row r="43">
          <cell r="A43">
            <v>72220035</v>
          </cell>
          <cell r="B43">
            <v>1022</v>
          </cell>
          <cell r="C43" t="str">
            <v>스텔러바다소</v>
          </cell>
          <cell r="D43" t="str">
            <v>B</v>
          </cell>
          <cell r="E43">
            <v>70409262</v>
          </cell>
          <cell r="H43" t="str">
            <v>-</v>
          </cell>
          <cell r="I43" t="str">
            <v>-</v>
          </cell>
          <cell r="K43" t="str">
            <v>-</v>
          </cell>
          <cell r="L43" t="str">
            <v>-</v>
          </cell>
          <cell r="N43" t="str">
            <v>-</v>
          </cell>
          <cell r="O43" t="str">
            <v>-</v>
          </cell>
          <cell r="Q43" t="str">
            <v>-</v>
          </cell>
          <cell r="R43" t="str">
            <v>-</v>
          </cell>
          <cell r="T43" t="str">
            <v>-</v>
          </cell>
          <cell r="U43" t="str">
            <v>-</v>
          </cell>
          <cell r="W43" t="str">
            <v>-</v>
          </cell>
          <cell r="X43" t="str">
            <v>-</v>
          </cell>
        </row>
        <row r="44">
          <cell r="A44">
            <v>72220036</v>
          </cell>
          <cell r="B44">
            <v>1023</v>
          </cell>
          <cell r="C44" t="str">
            <v>귀신고래</v>
          </cell>
          <cell r="D44" t="str">
            <v>S</v>
          </cell>
          <cell r="E44">
            <v>70409039</v>
          </cell>
          <cell r="H44" t="str">
            <v>-</v>
          </cell>
          <cell r="I44" t="str">
            <v>-</v>
          </cell>
          <cell r="K44" t="str">
            <v>-</v>
          </cell>
          <cell r="L44" t="str">
            <v>-</v>
          </cell>
          <cell r="N44" t="str">
            <v>-</v>
          </cell>
          <cell r="O44" t="str">
            <v>-</v>
          </cell>
          <cell r="Q44" t="str">
            <v>-</v>
          </cell>
          <cell r="R44" t="str">
            <v>-</v>
          </cell>
          <cell r="T44" t="str">
            <v>-</v>
          </cell>
          <cell r="U44" t="str">
            <v>-</v>
          </cell>
          <cell r="W44" t="str">
            <v>-</v>
          </cell>
          <cell r="X44" t="str">
            <v>-</v>
          </cell>
        </row>
        <row r="45">
          <cell r="A45">
            <v>72220037</v>
          </cell>
          <cell r="B45">
            <v>1023</v>
          </cell>
          <cell r="C45" t="str">
            <v>점해마</v>
          </cell>
          <cell r="D45" t="str">
            <v>D</v>
          </cell>
          <cell r="E45">
            <v>70409319</v>
          </cell>
          <cell r="H45" t="str">
            <v>-</v>
          </cell>
          <cell r="I45" t="str">
            <v>-</v>
          </cell>
          <cell r="K45" t="str">
            <v>-</v>
          </cell>
          <cell r="L45" t="str">
            <v>-</v>
          </cell>
          <cell r="N45" t="str">
            <v>-</v>
          </cell>
          <cell r="O45" t="str">
            <v>-</v>
          </cell>
          <cell r="Q45" t="str">
            <v>-</v>
          </cell>
          <cell r="R45" t="str">
            <v>-</v>
          </cell>
          <cell r="T45" t="str">
            <v>-</v>
          </cell>
          <cell r="U45" t="str">
            <v>-</v>
          </cell>
          <cell r="W45" t="str">
            <v>-</v>
          </cell>
          <cell r="X45" t="str">
            <v>-</v>
          </cell>
        </row>
        <row r="46">
          <cell r="A46">
            <v>72220038</v>
          </cell>
          <cell r="B46">
            <v>1023</v>
          </cell>
          <cell r="C46" t="str">
            <v>스텔러바다소</v>
          </cell>
          <cell r="D46" t="str">
            <v>B</v>
          </cell>
          <cell r="E46">
            <v>70409262</v>
          </cell>
          <cell r="H46" t="str">
            <v>-</v>
          </cell>
          <cell r="I46" t="str">
            <v>-</v>
          </cell>
          <cell r="K46" t="str">
            <v>-</v>
          </cell>
          <cell r="L46" t="str">
            <v>-</v>
          </cell>
          <cell r="N46" t="str">
            <v>-</v>
          </cell>
          <cell r="O46" t="str">
            <v>-</v>
          </cell>
          <cell r="Q46" t="str">
            <v>-</v>
          </cell>
          <cell r="R46" t="str">
            <v>-</v>
          </cell>
          <cell r="T46" t="str">
            <v>-</v>
          </cell>
          <cell r="U46" t="str">
            <v>-</v>
          </cell>
          <cell r="W46" t="str">
            <v>-</v>
          </cell>
          <cell r="X46" t="str">
            <v>-</v>
          </cell>
        </row>
        <row r="47">
          <cell r="A47">
            <v>72220039</v>
          </cell>
          <cell r="B47">
            <v>1024</v>
          </cell>
          <cell r="C47" t="str">
            <v>귀신고래</v>
          </cell>
          <cell r="D47" t="str">
            <v>S</v>
          </cell>
          <cell r="E47">
            <v>70409039</v>
          </cell>
          <cell r="H47" t="str">
            <v>-</v>
          </cell>
          <cell r="I47" t="str">
            <v>-</v>
          </cell>
          <cell r="K47" t="str">
            <v>-</v>
          </cell>
          <cell r="L47" t="str">
            <v>-</v>
          </cell>
          <cell r="N47" t="str">
            <v>-</v>
          </cell>
          <cell r="O47" t="str">
            <v>-</v>
          </cell>
          <cell r="Q47" t="str">
            <v>-</v>
          </cell>
          <cell r="R47" t="str">
            <v>-</v>
          </cell>
          <cell r="T47" t="str">
            <v>-</v>
          </cell>
          <cell r="U47" t="str">
            <v>-</v>
          </cell>
          <cell r="W47" t="str">
            <v>-</v>
          </cell>
          <cell r="X47" t="str">
            <v>-</v>
          </cell>
        </row>
        <row r="48">
          <cell r="A48">
            <v>72220040</v>
          </cell>
          <cell r="B48">
            <v>1024</v>
          </cell>
          <cell r="C48" t="str">
            <v>점해마</v>
          </cell>
          <cell r="D48" t="str">
            <v>D</v>
          </cell>
          <cell r="E48">
            <v>70409319</v>
          </cell>
          <cell r="H48" t="str">
            <v>-</v>
          </cell>
          <cell r="I48" t="str">
            <v>-</v>
          </cell>
          <cell r="K48" t="str">
            <v>-</v>
          </cell>
          <cell r="L48" t="str">
            <v>-</v>
          </cell>
          <cell r="N48" t="str">
            <v>-</v>
          </cell>
          <cell r="O48" t="str">
            <v>-</v>
          </cell>
          <cell r="Q48" t="str">
            <v>-</v>
          </cell>
          <cell r="R48" t="str">
            <v>-</v>
          </cell>
          <cell r="T48" t="str">
            <v>-</v>
          </cell>
          <cell r="U48" t="str">
            <v>-</v>
          </cell>
          <cell r="W48" t="str">
            <v>-</v>
          </cell>
          <cell r="X48" t="str">
            <v>-</v>
          </cell>
        </row>
        <row r="49">
          <cell r="A49">
            <v>72220041</v>
          </cell>
          <cell r="B49">
            <v>1024</v>
          </cell>
          <cell r="C49" t="str">
            <v>스텔러바다소</v>
          </cell>
          <cell r="D49" t="str">
            <v>B</v>
          </cell>
          <cell r="E49">
            <v>70409262</v>
          </cell>
          <cell r="H49" t="str">
            <v>-</v>
          </cell>
          <cell r="I49" t="str">
            <v>-</v>
          </cell>
          <cell r="K49" t="str">
            <v>-</v>
          </cell>
          <cell r="L49" t="str">
            <v>-</v>
          </cell>
          <cell r="N49" t="str">
            <v>-</v>
          </cell>
          <cell r="O49" t="str">
            <v>-</v>
          </cell>
          <cell r="Q49" t="str">
            <v>-</v>
          </cell>
          <cell r="R49" t="str">
            <v>-</v>
          </cell>
          <cell r="T49" t="str">
            <v>-</v>
          </cell>
          <cell r="U49" t="str">
            <v>-</v>
          </cell>
          <cell r="W49" t="str">
            <v>-</v>
          </cell>
          <cell r="X49" t="str">
            <v>-</v>
          </cell>
        </row>
        <row r="50">
          <cell r="A50">
            <v>72220042</v>
          </cell>
          <cell r="B50">
            <v>1031</v>
          </cell>
          <cell r="C50" t="str">
            <v>밑성대</v>
          </cell>
          <cell r="D50" t="str">
            <v>S</v>
          </cell>
          <cell r="E50">
            <v>70409177</v>
          </cell>
          <cell r="H50" t="str">
            <v>-</v>
          </cell>
          <cell r="I50" t="str">
            <v>-</v>
          </cell>
          <cell r="K50" t="str">
            <v>-</v>
          </cell>
          <cell r="L50" t="str">
            <v>-</v>
          </cell>
          <cell r="N50" t="str">
            <v>-</v>
          </cell>
          <cell r="O50" t="str">
            <v>-</v>
          </cell>
          <cell r="Q50" t="str">
            <v>-</v>
          </cell>
          <cell r="R50" t="str">
            <v>-</v>
          </cell>
          <cell r="T50" t="str">
            <v>-</v>
          </cell>
          <cell r="U50" t="str">
            <v>-</v>
          </cell>
          <cell r="W50" t="str">
            <v>-</v>
          </cell>
          <cell r="X50" t="str">
            <v>-</v>
          </cell>
        </row>
        <row r="51">
          <cell r="A51">
            <v>72220043</v>
          </cell>
          <cell r="B51">
            <v>1031</v>
          </cell>
          <cell r="C51" t="str">
            <v>칠성장어</v>
          </cell>
          <cell r="D51" t="str">
            <v>A</v>
          </cell>
          <cell r="E51">
            <v>70409357</v>
          </cell>
          <cell r="H51" t="str">
            <v>-</v>
          </cell>
          <cell r="I51" t="str">
            <v>-</v>
          </cell>
          <cell r="K51" t="str">
            <v>-</v>
          </cell>
          <cell r="L51" t="str">
            <v>-</v>
          </cell>
          <cell r="N51" t="str">
            <v>-</v>
          </cell>
          <cell r="O51" t="str">
            <v>-</v>
          </cell>
          <cell r="Q51" t="str">
            <v>-</v>
          </cell>
          <cell r="R51" t="str">
            <v>-</v>
          </cell>
          <cell r="T51" t="str">
            <v>-</v>
          </cell>
          <cell r="U51" t="str">
            <v>-</v>
          </cell>
          <cell r="W51" t="str">
            <v>-</v>
          </cell>
          <cell r="X51" t="str">
            <v>-</v>
          </cell>
        </row>
        <row r="52">
          <cell r="A52">
            <v>72220044</v>
          </cell>
          <cell r="B52">
            <v>1031</v>
          </cell>
          <cell r="C52" t="str">
            <v>단기임연수어</v>
          </cell>
          <cell r="D52" t="str">
            <v>B</v>
          </cell>
          <cell r="E52">
            <v>70409096</v>
          </cell>
          <cell r="H52" t="str">
            <v>-</v>
          </cell>
          <cell r="I52" t="str">
            <v>-</v>
          </cell>
          <cell r="K52" t="str">
            <v>-</v>
          </cell>
          <cell r="L52" t="str">
            <v>-</v>
          </cell>
          <cell r="N52" t="str">
            <v>-</v>
          </cell>
          <cell r="O52" t="str">
            <v>-</v>
          </cell>
          <cell r="Q52" t="str">
            <v>-</v>
          </cell>
          <cell r="R52" t="str">
            <v>-</v>
          </cell>
          <cell r="T52" t="str">
            <v>-</v>
          </cell>
          <cell r="U52" t="str">
            <v>-</v>
          </cell>
          <cell r="W52" t="str">
            <v>-</v>
          </cell>
          <cell r="X52" t="str">
            <v>-</v>
          </cell>
        </row>
        <row r="53">
          <cell r="A53">
            <v>72220045</v>
          </cell>
          <cell r="B53">
            <v>1031</v>
          </cell>
          <cell r="C53" t="str">
            <v>큰점촉수</v>
          </cell>
          <cell r="D53" t="str">
            <v>D</v>
          </cell>
          <cell r="E53">
            <v>70409363</v>
          </cell>
          <cell r="H53" t="str">
            <v>-</v>
          </cell>
          <cell r="I53" t="str">
            <v>-</v>
          </cell>
          <cell r="K53" t="str">
            <v>-</v>
          </cell>
          <cell r="L53" t="str">
            <v>-</v>
          </cell>
          <cell r="N53" t="str">
            <v>-</v>
          </cell>
          <cell r="O53" t="str">
            <v>-</v>
          </cell>
          <cell r="Q53" t="str">
            <v>-</v>
          </cell>
          <cell r="R53" t="str">
            <v>-</v>
          </cell>
          <cell r="T53" t="str">
            <v>-</v>
          </cell>
          <cell r="U53" t="str">
            <v>-</v>
          </cell>
          <cell r="W53" t="str">
            <v>-</v>
          </cell>
          <cell r="X53" t="str">
            <v>-</v>
          </cell>
        </row>
        <row r="54">
          <cell r="A54">
            <v>72220046</v>
          </cell>
          <cell r="B54">
            <v>1031</v>
          </cell>
          <cell r="C54" t="str">
            <v>반지</v>
          </cell>
          <cell r="D54" t="str">
            <v>C</v>
          </cell>
          <cell r="E54">
            <v>70409184</v>
          </cell>
          <cell r="H54" t="str">
            <v>-</v>
          </cell>
          <cell r="I54" t="str">
            <v>-</v>
          </cell>
          <cell r="K54" t="str">
            <v>-</v>
          </cell>
          <cell r="L54" t="str">
            <v>-</v>
          </cell>
          <cell r="N54" t="str">
            <v>-</v>
          </cell>
          <cell r="O54" t="str">
            <v>-</v>
          </cell>
          <cell r="Q54" t="str">
            <v>-</v>
          </cell>
          <cell r="R54" t="str">
            <v>-</v>
          </cell>
          <cell r="T54" t="str">
            <v>-</v>
          </cell>
          <cell r="U54" t="str">
            <v>-</v>
          </cell>
          <cell r="W54" t="str">
            <v>-</v>
          </cell>
          <cell r="X54" t="str">
            <v>-</v>
          </cell>
        </row>
        <row r="55">
          <cell r="A55">
            <v>72220047</v>
          </cell>
          <cell r="B55">
            <v>1032</v>
          </cell>
          <cell r="C55" t="str">
            <v>밑성대</v>
          </cell>
          <cell r="D55" t="str">
            <v>S</v>
          </cell>
          <cell r="E55">
            <v>70409177</v>
          </cell>
          <cell r="H55" t="str">
            <v>-</v>
          </cell>
          <cell r="I55" t="str">
            <v>-</v>
          </cell>
          <cell r="K55" t="str">
            <v>-</v>
          </cell>
          <cell r="L55" t="str">
            <v>-</v>
          </cell>
          <cell r="N55" t="str">
            <v>-</v>
          </cell>
          <cell r="O55" t="str">
            <v>-</v>
          </cell>
          <cell r="Q55" t="str">
            <v>-</v>
          </cell>
          <cell r="R55" t="str">
            <v>-</v>
          </cell>
          <cell r="T55" t="str">
            <v>-</v>
          </cell>
          <cell r="U55" t="str">
            <v>-</v>
          </cell>
          <cell r="W55" t="str">
            <v>-</v>
          </cell>
          <cell r="X55" t="str">
            <v>-</v>
          </cell>
        </row>
        <row r="56">
          <cell r="A56">
            <v>72220048</v>
          </cell>
          <cell r="B56">
            <v>1032</v>
          </cell>
          <cell r="C56" t="str">
            <v>칠성장어</v>
          </cell>
          <cell r="D56" t="str">
            <v>A</v>
          </cell>
          <cell r="E56">
            <v>70409357</v>
          </cell>
          <cell r="H56" t="str">
            <v>-</v>
          </cell>
          <cell r="I56" t="str">
            <v>-</v>
          </cell>
          <cell r="K56" t="str">
            <v>-</v>
          </cell>
          <cell r="L56" t="str">
            <v>-</v>
          </cell>
          <cell r="N56" t="str">
            <v>-</v>
          </cell>
          <cell r="O56" t="str">
            <v>-</v>
          </cell>
          <cell r="Q56" t="str">
            <v>-</v>
          </cell>
          <cell r="R56" t="str">
            <v>-</v>
          </cell>
          <cell r="T56" t="str">
            <v>-</v>
          </cell>
          <cell r="U56" t="str">
            <v>-</v>
          </cell>
          <cell r="W56" t="str">
            <v>-</v>
          </cell>
          <cell r="X56" t="str">
            <v>-</v>
          </cell>
        </row>
        <row r="57">
          <cell r="A57">
            <v>72220049</v>
          </cell>
          <cell r="B57">
            <v>1032</v>
          </cell>
          <cell r="C57" t="str">
            <v>단기임연수어</v>
          </cell>
          <cell r="D57" t="str">
            <v>B</v>
          </cell>
          <cell r="E57">
            <v>70409096</v>
          </cell>
          <cell r="H57" t="str">
            <v>-</v>
          </cell>
          <cell r="I57" t="str">
            <v>-</v>
          </cell>
          <cell r="K57" t="str">
            <v>-</v>
          </cell>
          <cell r="L57" t="str">
            <v>-</v>
          </cell>
          <cell r="N57" t="str">
            <v>-</v>
          </cell>
          <cell r="O57" t="str">
            <v>-</v>
          </cell>
          <cell r="Q57" t="str">
            <v>-</v>
          </cell>
          <cell r="R57" t="str">
            <v>-</v>
          </cell>
          <cell r="T57" t="str">
            <v>-</v>
          </cell>
          <cell r="U57" t="str">
            <v>-</v>
          </cell>
          <cell r="W57" t="str">
            <v>-</v>
          </cell>
          <cell r="X57" t="str">
            <v>-</v>
          </cell>
        </row>
        <row r="58">
          <cell r="A58">
            <v>72220050</v>
          </cell>
          <cell r="B58">
            <v>1032</v>
          </cell>
          <cell r="C58" t="str">
            <v>큰점촉수</v>
          </cell>
          <cell r="D58" t="str">
            <v>D</v>
          </cell>
          <cell r="E58">
            <v>70409363</v>
          </cell>
          <cell r="H58" t="str">
            <v>-</v>
          </cell>
          <cell r="I58" t="str">
            <v>-</v>
          </cell>
          <cell r="K58" t="str">
            <v>-</v>
          </cell>
          <cell r="L58" t="str">
            <v>-</v>
          </cell>
          <cell r="N58" t="str">
            <v>-</v>
          </cell>
          <cell r="O58" t="str">
            <v>-</v>
          </cell>
          <cell r="Q58" t="str">
            <v>-</v>
          </cell>
          <cell r="R58" t="str">
            <v>-</v>
          </cell>
          <cell r="T58" t="str">
            <v>-</v>
          </cell>
          <cell r="U58" t="str">
            <v>-</v>
          </cell>
          <cell r="W58" t="str">
            <v>-</v>
          </cell>
          <cell r="X58" t="str">
            <v>-</v>
          </cell>
        </row>
        <row r="59">
          <cell r="A59">
            <v>72220051</v>
          </cell>
          <cell r="B59">
            <v>1032</v>
          </cell>
          <cell r="C59" t="str">
            <v>반지</v>
          </cell>
          <cell r="D59" t="str">
            <v>C</v>
          </cell>
          <cell r="E59">
            <v>70409184</v>
          </cell>
          <cell r="H59" t="str">
            <v>-</v>
          </cell>
          <cell r="I59" t="str">
            <v>-</v>
          </cell>
          <cell r="K59" t="str">
            <v>-</v>
          </cell>
          <cell r="L59" t="str">
            <v>-</v>
          </cell>
          <cell r="N59" t="str">
            <v>-</v>
          </cell>
          <cell r="O59" t="str">
            <v>-</v>
          </cell>
          <cell r="Q59" t="str">
            <v>-</v>
          </cell>
          <cell r="R59" t="str">
            <v>-</v>
          </cell>
          <cell r="T59" t="str">
            <v>-</v>
          </cell>
          <cell r="U59" t="str">
            <v>-</v>
          </cell>
          <cell r="W59" t="str">
            <v>-</v>
          </cell>
          <cell r="X59" t="str">
            <v>-</v>
          </cell>
        </row>
        <row r="60">
          <cell r="A60">
            <v>72220052</v>
          </cell>
          <cell r="B60">
            <v>1033</v>
          </cell>
          <cell r="C60" t="str">
            <v>밑성대</v>
          </cell>
          <cell r="D60" t="str">
            <v>S</v>
          </cell>
          <cell r="E60">
            <v>70409177</v>
          </cell>
          <cell r="H60" t="str">
            <v>-</v>
          </cell>
          <cell r="I60" t="str">
            <v>-</v>
          </cell>
          <cell r="K60" t="str">
            <v>-</v>
          </cell>
          <cell r="L60" t="str">
            <v>-</v>
          </cell>
          <cell r="N60" t="str">
            <v>-</v>
          </cell>
          <cell r="O60" t="str">
            <v>-</v>
          </cell>
          <cell r="Q60" t="str">
            <v>-</v>
          </cell>
          <cell r="R60" t="str">
            <v>-</v>
          </cell>
          <cell r="T60" t="str">
            <v>-</v>
          </cell>
          <cell r="U60" t="str">
            <v>-</v>
          </cell>
          <cell r="W60" t="str">
            <v>-</v>
          </cell>
          <cell r="X60" t="str">
            <v>-</v>
          </cell>
        </row>
        <row r="61">
          <cell r="A61">
            <v>72220053</v>
          </cell>
          <cell r="B61">
            <v>1033</v>
          </cell>
          <cell r="C61" t="str">
            <v>칠성장어</v>
          </cell>
          <cell r="D61" t="str">
            <v>A</v>
          </cell>
          <cell r="E61">
            <v>70409357</v>
          </cell>
          <cell r="H61" t="str">
            <v>-</v>
          </cell>
          <cell r="I61" t="str">
            <v>-</v>
          </cell>
          <cell r="K61" t="str">
            <v>-</v>
          </cell>
          <cell r="L61" t="str">
            <v>-</v>
          </cell>
          <cell r="N61" t="str">
            <v>-</v>
          </cell>
          <cell r="O61" t="str">
            <v>-</v>
          </cell>
          <cell r="Q61" t="str">
            <v>-</v>
          </cell>
          <cell r="R61" t="str">
            <v>-</v>
          </cell>
          <cell r="T61" t="str">
            <v>-</v>
          </cell>
          <cell r="U61" t="str">
            <v>-</v>
          </cell>
          <cell r="W61" t="str">
            <v>-</v>
          </cell>
          <cell r="X61" t="str">
            <v>-</v>
          </cell>
        </row>
        <row r="62">
          <cell r="A62">
            <v>72220054</v>
          </cell>
          <cell r="B62">
            <v>1033</v>
          </cell>
          <cell r="C62" t="str">
            <v>단기임연수어</v>
          </cell>
          <cell r="D62" t="str">
            <v>B</v>
          </cell>
          <cell r="E62">
            <v>70409096</v>
          </cell>
          <cell r="H62" t="str">
            <v>-</v>
          </cell>
          <cell r="I62" t="str">
            <v>-</v>
          </cell>
          <cell r="K62" t="str">
            <v>-</v>
          </cell>
          <cell r="L62" t="str">
            <v>-</v>
          </cell>
          <cell r="N62" t="str">
            <v>-</v>
          </cell>
          <cell r="O62" t="str">
            <v>-</v>
          </cell>
          <cell r="Q62" t="str">
            <v>-</v>
          </cell>
          <cell r="R62" t="str">
            <v>-</v>
          </cell>
          <cell r="T62" t="str">
            <v>-</v>
          </cell>
          <cell r="U62" t="str">
            <v>-</v>
          </cell>
          <cell r="W62" t="str">
            <v>-</v>
          </cell>
          <cell r="X62" t="str">
            <v>-</v>
          </cell>
        </row>
        <row r="63">
          <cell r="A63">
            <v>72220055</v>
          </cell>
          <cell r="B63">
            <v>1033</v>
          </cell>
          <cell r="C63" t="str">
            <v>큰점촉수</v>
          </cell>
          <cell r="D63" t="str">
            <v>D</v>
          </cell>
          <cell r="E63">
            <v>70409363</v>
          </cell>
          <cell r="H63" t="str">
            <v>-</v>
          </cell>
          <cell r="I63" t="str">
            <v>-</v>
          </cell>
          <cell r="K63" t="str">
            <v>-</v>
          </cell>
          <cell r="L63" t="str">
            <v>-</v>
          </cell>
          <cell r="N63" t="str">
            <v>-</v>
          </cell>
          <cell r="O63" t="str">
            <v>-</v>
          </cell>
          <cell r="Q63" t="str">
            <v>-</v>
          </cell>
          <cell r="R63" t="str">
            <v>-</v>
          </cell>
          <cell r="T63" t="str">
            <v>-</v>
          </cell>
          <cell r="U63" t="str">
            <v>-</v>
          </cell>
          <cell r="W63" t="str">
            <v>-</v>
          </cell>
          <cell r="X63" t="str">
            <v>-</v>
          </cell>
        </row>
        <row r="64">
          <cell r="A64">
            <v>72220056</v>
          </cell>
          <cell r="B64">
            <v>1033</v>
          </cell>
          <cell r="C64" t="str">
            <v>반지</v>
          </cell>
          <cell r="D64" t="str">
            <v>C</v>
          </cell>
          <cell r="E64">
            <v>70409184</v>
          </cell>
          <cell r="H64" t="str">
            <v>-</v>
          </cell>
          <cell r="I64" t="str">
            <v>-</v>
          </cell>
          <cell r="K64" t="str">
            <v>-</v>
          </cell>
          <cell r="L64" t="str">
            <v>-</v>
          </cell>
          <cell r="N64" t="str">
            <v>-</v>
          </cell>
          <cell r="O64" t="str">
            <v>-</v>
          </cell>
          <cell r="Q64" t="str">
            <v>-</v>
          </cell>
          <cell r="R64" t="str">
            <v>-</v>
          </cell>
          <cell r="T64" t="str">
            <v>-</v>
          </cell>
          <cell r="U64" t="str">
            <v>-</v>
          </cell>
          <cell r="W64" t="str">
            <v>-</v>
          </cell>
          <cell r="X64" t="str">
            <v>-</v>
          </cell>
        </row>
        <row r="65">
          <cell r="A65">
            <v>72220057</v>
          </cell>
          <cell r="B65">
            <v>1034</v>
          </cell>
          <cell r="C65" t="str">
            <v>밑성대</v>
          </cell>
          <cell r="D65" t="str">
            <v>S</v>
          </cell>
          <cell r="E65">
            <v>70409177</v>
          </cell>
          <cell r="H65" t="str">
            <v>-</v>
          </cell>
          <cell r="I65" t="str">
            <v>-</v>
          </cell>
          <cell r="K65" t="str">
            <v>-</v>
          </cell>
          <cell r="L65" t="str">
            <v>-</v>
          </cell>
          <cell r="N65" t="str">
            <v>-</v>
          </cell>
          <cell r="O65" t="str">
            <v>-</v>
          </cell>
          <cell r="Q65" t="str">
            <v>-</v>
          </cell>
          <cell r="R65" t="str">
            <v>-</v>
          </cell>
          <cell r="T65" t="str">
            <v>-</v>
          </cell>
          <cell r="U65" t="str">
            <v>-</v>
          </cell>
          <cell r="W65" t="str">
            <v>-</v>
          </cell>
          <cell r="X65" t="str">
            <v>-</v>
          </cell>
        </row>
        <row r="66">
          <cell r="A66">
            <v>72220058</v>
          </cell>
          <cell r="B66">
            <v>1034</v>
          </cell>
          <cell r="C66" t="str">
            <v>칠성장어</v>
          </cell>
          <cell r="D66" t="str">
            <v>A</v>
          </cell>
          <cell r="E66">
            <v>70409357</v>
          </cell>
          <cell r="H66" t="str">
            <v>-</v>
          </cell>
          <cell r="I66" t="str">
            <v>-</v>
          </cell>
          <cell r="K66" t="str">
            <v>-</v>
          </cell>
          <cell r="L66" t="str">
            <v>-</v>
          </cell>
          <cell r="N66" t="str">
            <v>-</v>
          </cell>
          <cell r="O66" t="str">
            <v>-</v>
          </cell>
          <cell r="Q66" t="str">
            <v>-</v>
          </cell>
          <cell r="R66" t="str">
            <v>-</v>
          </cell>
          <cell r="T66" t="str">
            <v>-</v>
          </cell>
          <cell r="U66" t="str">
            <v>-</v>
          </cell>
          <cell r="W66" t="str">
            <v>-</v>
          </cell>
          <cell r="X66" t="str">
            <v>-</v>
          </cell>
        </row>
        <row r="67">
          <cell r="A67">
            <v>72220059</v>
          </cell>
          <cell r="B67">
            <v>1034</v>
          </cell>
          <cell r="C67" t="str">
            <v>단기임연수어</v>
          </cell>
          <cell r="D67" t="str">
            <v>B</v>
          </cell>
          <cell r="E67">
            <v>70409096</v>
          </cell>
          <cell r="H67" t="str">
            <v>-</v>
          </cell>
          <cell r="I67" t="str">
            <v>-</v>
          </cell>
          <cell r="K67" t="str">
            <v>-</v>
          </cell>
          <cell r="L67" t="str">
            <v>-</v>
          </cell>
          <cell r="N67" t="str">
            <v>-</v>
          </cell>
          <cell r="O67" t="str">
            <v>-</v>
          </cell>
          <cell r="Q67" t="str">
            <v>-</v>
          </cell>
          <cell r="R67" t="str">
            <v>-</v>
          </cell>
          <cell r="T67" t="str">
            <v>-</v>
          </cell>
          <cell r="U67" t="str">
            <v>-</v>
          </cell>
          <cell r="W67" t="str">
            <v>-</v>
          </cell>
          <cell r="X67" t="str">
            <v>-</v>
          </cell>
        </row>
        <row r="68">
          <cell r="A68">
            <v>72220060</v>
          </cell>
          <cell r="B68">
            <v>1034</v>
          </cell>
          <cell r="C68" t="str">
            <v>큰점촉수</v>
          </cell>
          <cell r="D68" t="str">
            <v>D</v>
          </cell>
          <cell r="E68">
            <v>70409363</v>
          </cell>
          <cell r="H68" t="str">
            <v>-</v>
          </cell>
          <cell r="I68" t="str">
            <v>-</v>
          </cell>
          <cell r="K68" t="str">
            <v>-</v>
          </cell>
          <cell r="L68" t="str">
            <v>-</v>
          </cell>
          <cell r="N68" t="str">
            <v>-</v>
          </cell>
          <cell r="O68" t="str">
            <v>-</v>
          </cell>
          <cell r="Q68" t="str">
            <v>-</v>
          </cell>
          <cell r="R68" t="str">
            <v>-</v>
          </cell>
          <cell r="T68" t="str">
            <v>-</v>
          </cell>
          <cell r="U68" t="str">
            <v>-</v>
          </cell>
          <cell r="W68" t="str">
            <v>-</v>
          </cell>
          <cell r="X68" t="str">
            <v>-</v>
          </cell>
        </row>
        <row r="69">
          <cell r="A69">
            <v>72220061</v>
          </cell>
          <cell r="B69">
            <v>1034</v>
          </cell>
          <cell r="C69" t="str">
            <v>반지</v>
          </cell>
          <cell r="D69" t="str">
            <v>C</v>
          </cell>
          <cell r="E69">
            <v>70409184</v>
          </cell>
          <cell r="H69" t="str">
            <v>-</v>
          </cell>
          <cell r="I69" t="str">
            <v>-</v>
          </cell>
          <cell r="K69" t="str">
            <v>-</v>
          </cell>
          <cell r="L69" t="str">
            <v>-</v>
          </cell>
          <cell r="N69" t="str">
            <v>-</v>
          </cell>
          <cell r="O69" t="str">
            <v>-</v>
          </cell>
          <cell r="Q69" t="str">
            <v>-</v>
          </cell>
          <cell r="R69" t="str">
            <v>-</v>
          </cell>
          <cell r="T69" t="str">
            <v>-</v>
          </cell>
          <cell r="U69" t="str">
            <v>-</v>
          </cell>
          <cell r="W69" t="str">
            <v>-</v>
          </cell>
          <cell r="X69" t="str">
            <v>-</v>
          </cell>
        </row>
        <row r="70">
          <cell r="A70">
            <v>72220062</v>
          </cell>
          <cell r="B70">
            <v>1041</v>
          </cell>
          <cell r="C70" t="str">
            <v>망치고래</v>
          </cell>
          <cell r="D70" t="str">
            <v>S</v>
          </cell>
          <cell r="E70">
            <v>70409139</v>
          </cell>
          <cell r="H70" t="str">
            <v>-</v>
          </cell>
          <cell r="I70" t="str">
            <v>-</v>
          </cell>
          <cell r="K70" t="str">
            <v>-</v>
          </cell>
          <cell r="L70" t="str">
            <v>-</v>
          </cell>
          <cell r="N70" t="str">
            <v>-</v>
          </cell>
          <cell r="O70" t="str">
            <v>-</v>
          </cell>
          <cell r="Q70" t="str">
            <v>-</v>
          </cell>
          <cell r="R70" t="str">
            <v>-</v>
          </cell>
          <cell r="T70" t="str">
            <v>-</v>
          </cell>
          <cell r="U70" t="str">
            <v>-</v>
          </cell>
          <cell r="W70" t="str">
            <v>-</v>
          </cell>
          <cell r="X70" t="str">
            <v>-</v>
          </cell>
        </row>
        <row r="71">
          <cell r="A71">
            <v>72220063</v>
          </cell>
          <cell r="B71">
            <v>1041</v>
          </cell>
          <cell r="C71" t="str">
            <v>노랑자리돔</v>
          </cell>
          <cell r="D71" t="str">
            <v>A</v>
          </cell>
          <cell r="E71">
            <v>70409079</v>
          </cell>
          <cell r="H71" t="str">
            <v>-</v>
          </cell>
          <cell r="I71" t="str">
            <v>-</v>
          </cell>
          <cell r="K71" t="str">
            <v>-</v>
          </cell>
          <cell r="L71" t="str">
            <v>-</v>
          </cell>
          <cell r="N71" t="str">
            <v>-</v>
          </cell>
          <cell r="O71" t="str">
            <v>-</v>
          </cell>
          <cell r="Q71" t="str">
            <v>-</v>
          </cell>
          <cell r="R71" t="str">
            <v>-</v>
          </cell>
          <cell r="T71" t="str">
            <v>-</v>
          </cell>
          <cell r="U71" t="str">
            <v>-</v>
          </cell>
          <cell r="W71" t="str">
            <v>-</v>
          </cell>
          <cell r="X71" t="str">
            <v>-</v>
          </cell>
        </row>
        <row r="72">
          <cell r="A72">
            <v>72220064</v>
          </cell>
          <cell r="B72">
            <v>1041</v>
          </cell>
          <cell r="C72" t="str">
            <v>명태</v>
          </cell>
          <cell r="D72" t="str">
            <v>B</v>
          </cell>
          <cell r="E72">
            <v>70409151</v>
          </cell>
          <cell r="H72" t="str">
            <v>-</v>
          </cell>
          <cell r="I72" t="str">
            <v>-</v>
          </cell>
          <cell r="K72" t="str">
            <v>-</v>
          </cell>
          <cell r="L72" t="str">
            <v>-</v>
          </cell>
          <cell r="N72" t="str">
            <v>-</v>
          </cell>
          <cell r="O72" t="str">
            <v>-</v>
          </cell>
          <cell r="Q72" t="str">
            <v>-</v>
          </cell>
          <cell r="R72" t="str">
            <v>-</v>
          </cell>
          <cell r="T72" t="str">
            <v>-</v>
          </cell>
          <cell r="U72" t="str">
            <v>-</v>
          </cell>
          <cell r="W72" t="str">
            <v>-</v>
          </cell>
          <cell r="X72" t="str">
            <v>-</v>
          </cell>
        </row>
        <row r="73">
          <cell r="A73">
            <v>72220065</v>
          </cell>
          <cell r="B73">
            <v>1041</v>
          </cell>
          <cell r="C73" t="str">
            <v>알락우럭</v>
          </cell>
          <cell r="D73" t="str">
            <v>D</v>
          </cell>
          <cell r="E73">
            <v>70409277</v>
          </cell>
          <cell r="H73" t="str">
            <v>-</v>
          </cell>
          <cell r="I73" t="str">
            <v>-</v>
          </cell>
          <cell r="K73" t="str">
            <v>-</v>
          </cell>
          <cell r="L73" t="str">
            <v>-</v>
          </cell>
          <cell r="N73" t="str">
            <v>-</v>
          </cell>
          <cell r="O73" t="str">
            <v>-</v>
          </cell>
          <cell r="Q73" t="str">
            <v>-</v>
          </cell>
          <cell r="R73" t="str">
            <v>-</v>
          </cell>
          <cell r="T73" t="str">
            <v>-</v>
          </cell>
          <cell r="U73" t="str">
            <v>-</v>
          </cell>
          <cell r="W73" t="str">
            <v>-</v>
          </cell>
          <cell r="X73" t="str">
            <v>-</v>
          </cell>
        </row>
        <row r="74">
          <cell r="A74">
            <v>72220066</v>
          </cell>
          <cell r="B74">
            <v>1042</v>
          </cell>
          <cell r="C74" t="str">
            <v>망치고래</v>
          </cell>
          <cell r="D74" t="str">
            <v>S</v>
          </cell>
          <cell r="E74">
            <v>70409139</v>
          </cell>
          <cell r="H74" t="str">
            <v>-</v>
          </cell>
          <cell r="I74" t="str">
            <v>-</v>
          </cell>
          <cell r="K74" t="str">
            <v>-</v>
          </cell>
          <cell r="L74" t="str">
            <v>-</v>
          </cell>
          <cell r="N74" t="str">
            <v>-</v>
          </cell>
          <cell r="O74" t="str">
            <v>-</v>
          </cell>
          <cell r="Q74" t="str">
            <v>-</v>
          </cell>
          <cell r="R74" t="str">
            <v>-</v>
          </cell>
          <cell r="T74" t="str">
            <v>-</v>
          </cell>
          <cell r="U74" t="str">
            <v>-</v>
          </cell>
          <cell r="W74" t="str">
            <v>-</v>
          </cell>
          <cell r="X74" t="str">
            <v>-</v>
          </cell>
        </row>
        <row r="75">
          <cell r="A75">
            <v>72220067</v>
          </cell>
          <cell r="B75">
            <v>1042</v>
          </cell>
          <cell r="C75" t="str">
            <v>노랑자리돔</v>
          </cell>
          <cell r="D75" t="str">
            <v>A</v>
          </cell>
          <cell r="E75">
            <v>70409079</v>
          </cell>
          <cell r="H75" t="str">
            <v>-</v>
          </cell>
          <cell r="I75" t="str">
            <v>-</v>
          </cell>
          <cell r="K75" t="str">
            <v>-</v>
          </cell>
          <cell r="L75" t="str">
            <v>-</v>
          </cell>
          <cell r="N75" t="str">
            <v>-</v>
          </cell>
          <cell r="O75" t="str">
            <v>-</v>
          </cell>
          <cell r="Q75" t="str">
            <v>-</v>
          </cell>
          <cell r="R75" t="str">
            <v>-</v>
          </cell>
          <cell r="T75" t="str">
            <v>-</v>
          </cell>
          <cell r="U75" t="str">
            <v>-</v>
          </cell>
          <cell r="W75" t="str">
            <v>-</v>
          </cell>
          <cell r="X75" t="str">
            <v>-</v>
          </cell>
        </row>
        <row r="76">
          <cell r="A76">
            <v>72220068</v>
          </cell>
          <cell r="B76">
            <v>1042</v>
          </cell>
          <cell r="C76" t="str">
            <v>알락우럭</v>
          </cell>
          <cell r="D76" t="str">
            <v>D</v>
          </cell>
          <cell r="E76">
            <v>70409277</v>
          </cell>
          <cell r="H76" t="str">
            <v>-</v>
          </cell>
          <cell r="I76" t="str">
            <v>-</v>
          </cell>
          <cell r="K76" t="str">
            <v>-</v>
          </cell>
          <cell r="L76" t="str">
            <v>-</v>
          </cell>
          <cell r="N76" t="str">
            <v>-</v>
          </cell>
          <cell r="O76" t="str">
            <v>-</v>
          </cell>
          <cell r="Q76" t="str">
            <v>-</v>
          </cell>
          <cell r="R76" t="str">
            <v>-</v>
          </cell>
          <cell r="T76" t="str">
            <v>-</v>
          </cell>
          <cell r="U76" t="str">
            <v>-</v>
          </cell>
          <cell r="W76" t="str">
            <v>-</v>
          </cell>
          <cell r="X76" t="str">
            <v>-</v>
          </cell>
        </row>
        <row r="77">
          <cell r="A77">
            <v>72220069</v>
          </cell>
          <cell r="B77">
            <v>1043</v>
          </cell>
          <cell r="C77" t="str">
            <v>망치고래</v>
          </cell>
          <cell r="D77" t="str">
            <v>S</v>
          </cell>
          <cell r="E77">
            <v>70409139</v>
          </cell>
          <cell r="H77" t="str">
            <v>-</v>
          </cell>
          <cell r="I77" t="str">
            <v>-</v>
          </cell>
          <cell r="K77" t="str">
            <v>-</v>
          </cell>
          <cell r="L77" t="str">
            <v>-</v>
          </cell>
          <cell r="N77" t="str">
            <v>-</v>
          </cell>
          <cell r="O77" t="str">
            <v>-</v>
          </cell>
          <cell r="Q77" t="str">
            <v>-</v>
          </cell>
          <cell r="R77" t="str">
            <v>-</v>
          </cell>
          <cell r="T77" t="str">
            <v>-</v>
          </cell>
          <cell r="U77" t="str">
            <v>-</v>
          </cell>
          <cell r="W77" t="str">
            <v>-</v>
          </cell>
          <cell r="X77" t="str">
            <v>-</v>
          </cell>
        </row>
        <row r="78">
          <cell r="A78">
            <v>72220070</v>
          </cell>
          <cell r="B78">
            <v>1043</v>
          </cell>
          <cell r="C78" t="str">
            <v>노랑자리돔</v>
          </cell>
          <cell r="D78" t="str">
            <v>A</v>
          </cell>
          <cell r="E78">
            <v>70409079</v>
          </cell>
          <cell r="H78" t="str">
            <v>-</v>
          </cell>
          <cell r="I78" t="str">
            <v>-</v>
          </cell>
          <cell r="K78" t="str">
            <v>-</v>
          </cell>
          <cell r="L78" t="str">
            <v>-</v>
          </cell>
          <cell r="N78" t="str">
            <v>-</v>
          </cell>
          <cell r="O78" t="str">
            <v>-</v>
          </cell>
          <cell r="Q78" t="str">
            <v>-</v>
          </cell>
          <cell r="R78" t="str">
            <v>-</v>
          </cell>
          <cell r="T78" t="str">
            <v>-</v>
          </cell>
          <cell r="U78" t="str">
            <v>-</v>
          </cell>
          <cell r="W78" t="str">
            <v>-</v>
          </cell>
          <cell r="X78" t="str">
            <v>-</v>
          </cell>
        </row>
        <row r="79">
          <cell r="A79">
            <v>72220071</v>
          </cell>
          <cell r="B79">
            <v>1043</v>
          </cell>
          <cell r="C79" t="str">
            <v>알락우럭</v>
          </cell>
          <cell r="D79" t="str">
            <v>D</v>
          </cell>
          <cell r="E79">
            <v>70409277</v>
          </cell>
          <cell r="H79" t="str">
            <v>-</v>
          </cell>
          <cell r="I79" t="str">
            <v>-</v>
          </cell>
          <cell r="K79" t="str">
            <v>-</v>
          </cell>
          <cell r="L79" t="str">
            <v>-</v>
          </cell>
          <cell r="N79" t="str">
            <v>-</v>
          </cell>
          <cell r="O79" t="str">
            <v>-</v>
          </cell>
          <cell r="Q79" t="str">
            <v>-</v>
          </cell>
          <cell r="R79" t="str">
            <v>-</v>
          </cell>
          <cell r="T79" t="str">
            <v>-</v>
          </cell>
          <cell r="U79" t="str">
            <v>-</v>
          </cell>
          <cell r="W79" t="str">
            <v>-</v>
          </cell>
          <cell r="X79" t="str">
            <v>-</v>
          </cell>
        </row>
        <row r="80">
          <cell r="A80">
            <v>72220072</v>
          </cell>
          <cell r="B80">
            <v>1044</v>
          </cell>
          <cell r="C80" t="str">
            <v>망치고래</v>
          </cell>
          <cell r="D80" t="str">
            <v>S</v>
          </cell>
          <cell r="E80">
            <v>70409139</v>
          </cell>
          <cell r="H80" t="str">
            <v>-</v>
          </cell>
          <cell r="I80" t="str">
            <v>-</v>
          </cell>
          <cell r="K80" t="str">
            <v>-</v>
          </cell>
          <cell r="L80" t="str">
            <v>-</v>
          </cell>
          <cell r="N80" t="str">
            <v>-</v>
          </cell>
          <cell r="O80" t="str">
            <v>-</v>
          </cell>
          <cell r="Q80" t="str">
            <v>-</v>
          </cell>
          <cell r="R80" t="str">
            <v>-</v>
          </cell>
          <cell r="T80" t="str">
            <v>-</v>
          </cell>
          <cell r="U80" t="str">
            <v>-</v>
          </cell>
          <cell r="W80" t="str">
            <v>-</v>
          </cell>
          <cell r="X80" t="str">
            <v>-</v>
          </cell>
        </row>
        <row r="81">
          <cell r="A81">
            <v>72220073</v>
          </cell>
          <cell r="B81">
            <v>1044</v>
          </cell>
          <cell r="C81" t="str">
            <v>노랑자리돔</v>
          </cell>
          <cell r="D81" t="str">
            <v>A</v>
          </cell>
          <cell r="E81">
            <v>70409079</v>
          </cell>
          <cell r="H81" t="str">
            <v>-</v>
          </cell>
          <cell r="I81" t="str">
            <v>-</v>
          </cell>
          <cell r="K81" t="str">
            <v>-</v>
          </cell>
          <cell r="L81" t="str">
            <v>-</v>
          </cell>
          <cell r="N81" t="str">
            <v>-</v>
          </cell>
          <cell r="O81" t="str">
            <v>-</v>
          </cell>
          <cell r="Q81" t="str">
            <v>-</v>
          </cell>
          <cell r="R81" t="str">
            <v>-</v>
          </cell>
          <cell r="T81" t="str">
            <v>-</v>
          </cell>
          <cell r="U81" t="str">
            <v>-</v>
          </cell>
          <cell r="W81" t="str">
            <v>-</v>
          </cell>
          <cell r="X81" t="str">
            <v>-</v>
          </cell>
        </row>
        <row r="82">
          <cell r="A82">
            <v>72220074</v>
          </cell>
          <cell r="B82">
            <v>1044</v>
          </cell>
          <cell r="C82" t="str">
            <v>알락우럭</v>
          </cell>
          <cell r="D82" t="str">
            <v>D</v>
          </cell>
          <cell r="E82">
            <v>70409277</v>
          </cell>
          <cell r="H82" t="str">
            <v>-</v>
          </cell>
          <cell r="I82" t="str">
            <v>-</v>
          </cell>
          <cell r="K82" t="str">
            <v>-</v>
          </cell>
          <cell r="L82" t="str">
            <v>-</v>
          </cell>
          <cell r="N82" t="str">
            <v>-</v>
          </cell>
          <cell r="O82" t="str">
            <v>-</v>
          </cell>
          <cell r="Q82" t="str">
            <v>-</v>
          </cell>
          <cell r="R82" t="str">
            <v>-</v>
          </cell>
          <cell r="T82" t="str">
            <v>-</v>
          </cell>
          <cell r="U82" t="str">
            <v>-</v>
          </cell>
          <cell r="W82" t="str">
            <v>-</v>
          </cell>
          <cell r="X82" t="str">
            <v>-</v>
          </cell>
        </row>
        <row r="83">
          <cell r="A83">
            <v>72220075</v>
          </cell>
          <cell r="B83">
            <v>1051</v>
          </cell>
          <cell r="C83" t="str">
            <v>참다랑어</v>
          </cell>
          <cell r="D83" t="str">
            <v>S</v>
          </cell>
          <cell r="E83">
            <v>70409340</v>
          </cell>
          <cell r="H83" t="str">
            <v>-</v>
          </cell>
          <cell r="I83" t="str">
            <v>-</v>
          </cell>
          <cell r="K83" t="str">
            <v>-</v>
          </cell>
          <cell r="L83" t="str">
            <v>-</v>
          </cell>
          <cell r="N83" t="str">
            <v>-</v>
          </cell>
          <cell r="O83" t="str">
            <v>-</v>
          </cell>
          <cell r="Q83" t="str">
            <v>-</v>
          </cell>
          <cell r="R83" t="str">
            <v>-</v>
          </cell>
          <cell r="T83" t="str">
            <v>-</v>
          </cell>
          <cell r="U83" t="str">
            <v>-</v>
          </cell>
          <cell r="W83" t="str">
            <v>-</v>
          </cell>
          <cell r="X83" t="str">
            <v>-</v>
          </cell>
        </row>
        <row r="84">
          <cell r="A84">
            <v>72220076</v>
          </cell>
          <cell r="B84">
            <v>1051</v>
          </cell>
          <cell r="C84" t="str">
            <v>바다뱀</v>
          </cell>
          <cell r="D84" t="str">
            <v>A</v>
          </cell>
          <cell r="E84">
            <v>70409180</v>
          </cell>
          <cell r="H84" t="str">
            <v>-</v>
          </cell>
          <cell r="I84" t="str">
            <v>-</v>
          </cell>
          <cell r="K84" t="str">
            <v>-</v>
          </cell>
          <cell r="L84" t="str">
            <v>-</v>
          </cell>
          <cell r="N84" t="str">
            <v>-</v>
          </cell>
          <cell r="O84" t="str">
            <v>-</v>
          </cell>
          <cell r="Q84" t="str">
            <v>-</v>
          </cell>
          <cell r="R84" t="str">
            <v>-</v>
          </cell>
          <cell r="T84" t="str">
            <v>-</v>
          </cell>
          <cell r="U84" t="str">
            <v>-</v>
          </cell>
          <cell r="W84" t="str">
            <v>-</v>
          </cell>
          <cell r="X84" t="str">
            <v>-</v>
          </cell>
        </row>
        <row r="85">
          <cell r="A85">
            <v>72220077</v>
          </cell>
          <cell r="B85">
            <v>1051</v>
          </cell>
          <cell r="C85" t="str">
            <v>돛새치</v>
          </cell>
          <cell r="D85" t="str">
            <v>B</v>
          </cell>
          <cell r="E85">
            <v>70409124</v>
          </cell>
          <cell r="H85" t="str">
            <v>-</v>
          </cell>
          <cell r="I85" t="str">
            <v>-</v>
          </cell>
          <cell r="K85" t="str">
            <v>-</v>
          </cell>
          <cell r="L85" t="str">
            <v>-</v>
          </cell>
          <cell r="N85" t="str">
            <v>-</v>
          </cell>
          <cell r="O85" t="str">
            <v>-</v>
          </cell>
          <cell r="Q85" t="str">
            <v>-</v>
          </cell>
          <cell r="R85" t="str">
            <v>-</v>
          </cell>
          <cell r="T85" t="str">
            <v>-</v>
          </cell>
          <cell r="U85" t="str">
            <v>-</v>
          </cell>
          <cell r="W85" t="str">
            <v>-</v>
          </cell>
          <cell r="X85" t="str">
            <v>-</v>
          </cell>
        </row>
        <row r="86">
          <cell r="A86">
            <v>72220078</v>
          </cell>
          <cell r="B86">
            <v>1052</v>
          </cell>
          <cell r="C86" t="str">
            <v>참다랑어</v>
          </cell>
          <cell r="D86" t="str">
            <v>S</v>
          </cell>
          <cell r="E86">
            <v>70409340</v>
          </cell>
          <cell r="H86" t="str">
            <v>-</v>
          </cell>
          <cell r="I86" t="str">
            <v>-</v>
          </cell>
          <cell r="K86" t="str">
            <v>-</v>
          </cell>
          <cell r="L86" t="str">
            <v>-</v>
          </cell>
          <cell r="N86" t="str">
            <v>-</v>
          </cell>
          <cell r="O86" t="str">
            <v>-</v>
          </cell>
          <cell r="Q86" t="str">
            <v>-</v>
          </cell>
          <cell r="R86" t="str">
            <v>-</v>
          </cell>
          <cell r="T86" t="str">
            <v>-</v>
          </cell>
          <cell r="U86" t="str">
            <v>-</v>
          </cell>
          <cell r="W86" t="str">
            <v>-</v>
          </cell>
          <cell r="X86" t="str">
            <v>-</v>
          </cell>
        </row>
        <row r="87">
          <cell r="A87">
            <v>72220079</v>
          </cell>
          <cell r="B87">
            <v>1052</v>
          </cell>
          <cell r="C87" t="str">
            <v>바다뱀</v>
          </cell>
          <cell r="D87" t="str">
            <v>A</v>
          </cell>
          <cell r="E87">
            <v>70409180</v>
          </cell>
          <cell r="H87" t="str">
            <v>-</v>
          </cell>
          <cell r="I87" t="str">
            <v>-</v>
          </cell>
          <cell r="K87" t="str">
            <v>-</v>
          </cell>
          <cell r="L87" t="str">
            <v>-</v>
          </cell>
          <cell r="N87" t="str">
            <v>-</v>
          </cell>
          <cell r="O87" t="str">
            <v>-</v>
          </cell>
          <cell r="Q87" t="str">
            <v>-</v>
          </cell>
          <cell r="R87" t="str">
            <v>-</v>
          </cell>
          <cell r="T87" t="str">
            <v>-</v>
          </cell>
          <cell r="U87" t="str">
            <v>-</v>
          </cell>
          <cell r="W87" t="str">
            <v>-</v>
          </cell>
          <cell r="X87" t="str">
            <v>-</v>
          </cell>
        </row>
        <row r="88">
          <cell r="A88">
            <v>72220080</v>
          </cell>
          <cell r="B88">
            <v>1052</v>
          </cell>
          <cell r="C88" t="str">
            <v>돛새치</v>
          </cell>
          <cell r="D88" t="str">
            <v>B</v>
          </cell>
          <cell r="E88">
            <v>70409124</v>
          </cell>
          <cell r="H88" t="str">
            <v>-</v>
          </cell>
          <cell r="I88" t="str">
            <v>-</v>
          </cell>
          <cell r="K88" t="str">
            <v>-</v>
          </cell>
          <cell r="L88" t="str">
            <v>-</v>
          </cell>
          <cell r="N88" t="str">
            <v>-</v>
          </cell>
          <cell r="O88" t="str">
            <v>-</v>
          </cell>
          <cell r="Q88" t="str">
            <v>-</v>
          </cell>
          <cell r="R88" t="str">
            <v>-</v>
          </cell>
          <cell r="T88" t="str">
            <v>-</v>
          </cell>
          <cell r="U88" t="str">
            <v>-</v>
          </cell>
          <cell r="W88" t="str">
            <v>-</v>
          </cell>
          <cell r="X88" t="str">
            <v>-</v>
          </cell>
        </row>
        <row r="89">
          <cell r="A89">
            <v>72220081</v>
          </cell>
          <cell r="B89">
            <v>1053</v>
          </cell>
          <cell r="C89" t="str">
            <v>참다랑어</v>
          </cell>
          <cell r="D89" t="str">
            <v>S</v>
          </cell>
          <cell r="E89">
            <v>70409340</v>
          </cell>
          <cell r="H89" t="str">
            <v>-</v>
          </cell>
          <cell r="I89" t="str">
            <v>-</v>
          </cell>
          <cell r="K89" t="str">
            <v>-</v>
          </cell>
          <cell r="L89" t="str">
            <v>-</v>
          </cell>
          <cell r="N89" t="str">
            <v>-</v>
          </cell>
          <cell r="O89" t="str">
            <v>-</v>
          </cell>
          <cell r="Q89" t="str">
            <v>-</v>
          </cell>
          <cell r="R89" t="str">
            <v>-</v>
          </cell>
          <cell r="T89" t="str">
            <v>-</v>
          </cell>
          <cell r="U89" t="str">
            <v>-</v>
          </cell>
          <cell r="W89" t="str">
            <v>-</v>
          </cell>
          <cell r="X89" t="str">
            <v>-</v>
          </cell>
        </row>
        <row r="90">
          <cell r="A90">
            <v>72220082</v>
          </cell>
          <cell r="B90">
            <v>1053</v>
          </cell>
          <cell r="C90" t="str">
            <v>바다뱀</v>
          </cell>
          <cell r="D90" t="str">
            <v>A</v>
          </cell>
          <cell r="E90">
            <v>70409180</v>
          </cell>
          <cell r="H90" t="str">
            <v>-</v>
          </cell>
          <cell r="I90" t="str">
            <v>-</v>
          </cell>
          <cell r="K90" t="str">
            <v>-</v>
          </cell>
          <cell r="L90" t="str">
            <v>-</v>
          </cell>
          <cell r="N90" t="str">
            <v>-</v>
          </cell>
          <cell r="O90" t="str">
            <v>-</v>
          </cell>
          <cell r="Q90" t="str">
            <v>-</v>
          </cell>
          <cell r="R90" t="str">
            <v>-</v>
          </cell>
          <cell r="T90" t="str">
            <v>-</v>
          </cell>
          <cell r="U90" t="str">
            <v>-</v>
          </cell>
          <cell r="W90" t="str">
            <v>-</v>
          </cell>
          <cell r="X90" t="str">
            <v>-</v>
          </cell>
        </row>
        <row r="91">
          <cell r="A91">
            <v>72220083</v>
          </cell>
          <cell r="B91">
            <v>1053</v>
          </cell>
          <cell r="C91" t="str">
            <v>돛새치</v>
          </cell>
          <cell r="D91" t="str">
            <v>B</v>
          </cell>
          <cell r="E91">
            <v>70409124</v>
          </cell>
          <cell r="H91" t="str">
            <v>-</v>
          </cell>
          <cell r="I91" t="str">
            <v>-</v>
          </cell>
          <cell r="K91" t="str">
            <v>-</v>
          </cell>
          <cell r="L91" t="str">
            <v>-</v>
          </cell>
          <cell r="N91" t="str">
            <v>-</v>
          </cell>
          <cell r="O91" t="str">
            <v>-</v>
          </cell>
          <cell r="Q91" t="str">
            <v>-</v>
          </cell>
          <cell r="R91" t="str">
            <v>-</v>
          </cell>
          <cell r="T91" t="str">
            <v>-</v>
          </cell>
          <cell r="U91" t="str">
            <v>-</v>
          </cell>
          <cell r="W91" t="str">
            <v>-</v>
          </cell>
          <cell r="X91" t="str">
            <v>-</v>
          </cell>
        </row>
        <row r="92">
          <cell r="A92">
            <v>72220084</v>
          </cell>
          <cell r="B92">
            <v>1054</v>
          </cell>
          <cell r="C92" t="str">
            <v>참다랑어</v>
          </cell>
          <cell r="D92" t="str">
            <v>S</v>
          </cell>
          <cell r="E92">
            <v>70409340</v>
          </cell>
          <cell r="H92" t="str">
            <v>-</v>
          </cell>
          <cell r="I92" t="str">
            <v>-</v>
          </cell>
          <cell r="K92" t="str">
            <v>-</v>
          </cell>
          <cell r="L92" t="str">
            <v>-</v>
          </cell>
          <cell r="N92" t="str">
            <v>-</v>
          </cell>
          <cell r="O92" t="str">
            <v>-</v>
          </cell>
          <cell r="Q92" t="str">
            <v>-</v>
          </cell>
          <cell r="R92" t="str">
            <v>-</v>
          </cell>
          <cell r="T92" t="str">
            <v>-</v>
          </cell>
          <cell r="U92" t="str">
            <v>-</v>
          </cell>
          <cell r="W92" t="str">
            <v>-</v>
          </cell>
          <cell r="X92" t="str">
            <v>-</v>
          </cell>
        </row>
        <row r="93">
          <cell r="A93">
            <v>72220085</v>
          </cell>
          <cell r="B93">
            <v>1054</v>
          </cell>
          <cell r="C93" t="str">
            <v>바다뱀</v>
          </cell>
          <cell r="D93" t="str">
            <v>A</v>
          </cell>
          <cell r="E93">
            <v>70409180</v>
          </cell>
          <cell r="H93" t="str">
            <v>-</v>
          </cell>
          <cell r="I93" t="str">
            <v>-</v>
          </cell>
          <cell r="K93" t="str">
            <v>-</v>
          </cell>
          <cell r="L93" t="str">
            <v>-</v>
          </cell>
          <cell r="N93" t="str">
            <v>-</v>
          </cell>
          <cell r="O93" t="str">
            <v>-</v>
          </cell>
          <cell r="Q93" t="str">
            <v>-</v>
          </cell>
          <cell r="R93" t="str">
            <v>-</v>
          </cell>
          <cell r="T93" t="str">
            <v>-</v>
          </cell>
          <cell r="U93" t="str">
            <v>-</v>
          </cell>
          <cell r="W93" t="str">
            <v>-</v>
          </cell>
          <cell r="X93" t="str">
            <v>-</v>
          </cell>
        </row>
        <row r="94">
          <cell r="A94">
            <v>72220086</v>
          </cell>
          <cell r="B94">
            <v>1054</v>
          </cell>
          <cell r="C94" t="str">
            <v>돛새치</v>
          </cell>
          <cell r="D94" t="str">
            <v>B</v>
          </cell>
          <cell r="E94">
            <v>70409124</v>
          </cell>
          <cell r="H94" t="str">
            <v>-</v>
          </cell>
          <cell r="I94" t="str">
            <v>-</v>
          </cell>
          <cell r="K94" t="str">
            <v>-</v>
          </cell>
          <cell r="L94" t="str">
            <v>-</v>
          </cell>
          <cell r="N94" t="str">
            <v>-</v>
          </cell>
          <cell r="O94" t="str">
            <v>-</v>
          </cell>
          <cell r="Q94" t="str">
            <v>-</v>
          </cell>
          <cell r="R94" t="str">
            <v>-</v>
          </cell>
          <cell r="T94" t="str">
            <v>-</v>
          </cell>
          <cell r="U94" t="str">
            <v>-</v>
          </cell>
          <cell r="W94" t="str">
            <v>-</v>
          </cell>
          <cell r="X94" t="str">
            <v>-</v>
          </cell>
        </row>
        <row r="95">
          <cell r="A95">
            <v>72220087</v>
          </cell>
          <cell r="B95">
            <v>1061</v>
          </cell>
          <cell r="C95" t="str">
            <v>돔발상어</v>
          </cell>
          <cell r="D95" t="str">
            <v>S</v>
          </cell>
          <cell r="E95">
            <v>70409114</v>
          </cell>
          <cell r="H95" t="str">
            <v>-</v>
          </cell>
          <cell r="I95" t="str">
            <v>-</v>
          </cell>
          <cell r="K95" t="str">
            <v>-</v>
          </cell>
          <cell r="L95" t="str">
            <v>-</v>
          </cell>
          <cell r="N95" t="str">
            <v>-</v>
          </cell>
          <cell r="O95" t="str">
            <v>-</v>
          </cell>
          <cell r="Q95" t="str">
            <v>-</v>
          </cell>
          <cell r="R95" t="str">
            <v>-</v>
          </cell>
          <cell r="T95" t="str">
            <v>-</v>
          </cell>
          <cell r="U95" t="str">
            <v>-</v>
          </cell>
          <cell r="W95" t="str">
            <v>-</v>
          </cell>
          <cell r="X95" t="str">
            <v>-</v>
          </cell>
        </row>
        <row r="96">
          <cell r="A96">
            <v>72220088</v>
          </cell>
          <cell r="B96">
            <v>1061</v>
          </cell>
          <cell r="C96" t="str">
            <v>날개다랑어</v>
          </cell>
          <cell r="D96" t="str">
            <v>A</v>
          </cell>
          <cell r="E96">
            <v>70409065</v>
          </cell>
          <cell r="H96" t="str">
            <v>-</v>
          </cell>
          <cell r="I96" t="str">
            <v>-</v>
          </cell>
          <cell r="K96" t="str">
            <v>-</v>
          </cell>
          <cell r="L96" t="str">
            <v>-</v>
          </cell>
          <cell r="N96" t="str">
            <v>-</v>
          </cell>
          <cell r="O96" t="str">
            <v>-</v>
          </cell>
          <cell r="Q96" t="str">
            <v>-</v>
          </cell>
          <cell r="R96" t="str">
            <v>-</v>
          </cell>
          <cell r="T96" t="str">
            <v>-</v>
          </cell>
          <cell r="U96" t="str">
            <v>-</v>
          </cell>
          <cell r="W96" t="str">
            <v>-</v>
          </cell>
          <cell r="X96" t="str">
            <v>-</v>
          </cell>
        </row>
        <row r="97">
          <cell r="A97">
            <v>72220089</v>
          </cell>
          <cell r="B97">
            <v>1061</v>
          </cell>
          <cell r="C97" t="str">
            <v>돛새치</v>
          </cell>
          <cell r="D97" t="str">
            <v>B</v>
          </cell>
          <cell r="E97">
            <v>70409124</v>
          </cell>
          <cell r="H97" t="str">
            <v>-</v>
          </cell>
          <cell r="I97" t="str">
            <v>-</v>
          </cell>
          <cell r="K97" t="str">
            <v>-</v>
          </cell>
          <cell r="L97" t="str">
            <v>-</v>
          </cell>
          <cell r="N97" t="str">
            <v>-</v>
          </cell>
          <cell r="O97" t="str">
            <v>-</v>
          </cell>
          <cell r="Q97" t="str">
            <v>-</v>
          </cell>
          <cell r="R97" t="str">
            <v>-</v>
          </cell>
          <cell r="T97" t="str">
            <v>-</v>
          </cell>
          <cell r="U97" t="str">
            <v>-</v>
          </cell>
          <cell r="W97" t="str">
            <v>-</v>
          </cell>
          <cell r="X97" t="str">
            <v>-</v>
          </cell>
        </row>
        <row r="98">
          <cell r="A98">
            <v>72220090</v>
          </cell>
          <cell r="B98">
            <v>1061</v>
          </cell>
          <cell r="C98" t="str">
            <v>새가라지</v>
          </cell>
          <cell r="D98" t="str">
            <v>D</v>
          </cell>
          <cell r="E98">
            <v>70409247</v>
          </cell>
          <cell r="H98" t="str">
            <v>-</v>
          </cell>
          <cell r="I98" t="str">
            <v>-</v>
          </cell>
          <cell r="K98" t="str">
            <v>-</v>
          </cell>
          <cell r="L98" t="str">
            <v>-</v>
          </cell>
          <cell r="N98" t="str">
            <v>-</v>
          </cell>
          <cell r="O98" t="str">
            <v>-</v>
          </cell>
          <cell r="Q98" t="str">
            <v>-</v>
          </cell>
          <cell r="R98" t="str">
            <v>-</v>
          </cell>
          <cell r="T98" t="str">
            <v>-</v>
          </cell>
          <cell r="U98" t="str">
            <v>-</v>
          </cell>
          <cell r="W98" t="str">
            <v>-</v>
          </cell>
          <cell r="X98" t="str">
            <v>-</v>
          </cell>
        </row>
        <row r="99">
          <cell r="A99">
            <v>72220091</v>
          </cell>
          <cell r="B99">
            <v>1062</v>
          </cell>
          <cell r="C99" t="str">
            <v>돔발상어</v>
          </cell>
          <cell r="D99" t="str">
            <v>S</v>
          </cell>
          <cell r="E99">
            <v>70409114</v>
          </cell>
          <cell r="H99" t="str">
            <v>-</v>
          </cell>
          <cell r="I99" t="str">
            <v>-</v>
          </cell>
          <cell r="K99" t="str">
            <v>-</v>
          </cell>
          <cell r="L99" t="str">
            <v>-</v>
          </cell>
          <cell r="N99" t="str">
            <v>-</v>
          </cell>
          <cell r="O99" t="str">
            <v>-</v>
          </cell>
          <cell r="Q99" t="str">
            <v>-</v>
          </cell>
          <cell r="R99" t="str">
            <v>-</v>
          </cell>
          <cell r="T99" t="str">
            <v>-</v>
          </cell>
          <cell r="U99" t="str">
            <v>-</v>
          </cell>
          <cell r="W99" t="str">
            <v>-</v>
          </cell>
          <cell r="X99" t="str">
            <v>-</v>
          </cell>
        </row>
        <row r="100">
          <cell r="A100">
            <v>72220092</v>
          </cell>
          <cell r="B100">
            <v>1062</v>
          </cell>
          <cell r="C100" t="str">
            <v>날개다랑어</v>
          </cell>
          <cell r="D100" t="str">
            <v>A</v>
          </cell>
          <cell r="E100">
            <v>70409065</v>
          </cell>
          <cell r="H100" t="str">
            <v>-</v>
          </cell>
          <cell r="I100" t="str">
            <v>-</v>
          </cell>
          <cell r="K100" t="str">
            <v>-</v>
          </cell>
          <cell r="L100" t="str">
            <v>-</v>
          </cell>
          <cell r="N100" t="str">
            <v>-</v>
          </cell>
          <cell r="O100" t="str">
            <v>-</v>
          </cell>
          <cell r="Q100" t="str">
            <v>-</v>
          </cell>
          <cell r="R100" t="str">
            <v>-</v>
          </cell>
          <cell r="T100" t="str">
            <v>-</v>
          </cell>
          <cell r="U100" t="str">
            <v>-</v>
          </cell>
          <cell r="W100" t="str">
            <v>-</v>
          </cell>
          <cell r="X100" t="str">
            <v>-</v>
          </cell>
        </row>
        <row r="101">
          <cell r="A101">
            <v>72220093</v>
          </cell>
          <cell r="B101">
            <v>1062</v>
          </cell>
          <cell r="C101" t="str">
            <v>돛새치</v>
          </cell>
          <cell r="D101" t="str">
            <v>B</v>
          </cell>
          <cell r="E101">
            <v>70409124</v>
          </cell>
          <cell r="H101" t="str">
            <v>-</v>
          </cell>
          <cell r="I101" t="str">
            <v>-</v>
          </cell>
          <cell r="K101" t="str">
            <v>-</v>
          </cell>
          <cell r="L101" t="str">
            <v>-</v>
          </cell>
          <cell r="N101" t="str">
            <v>-</v>
          </cell>
          <cell r="O101" t="str">
            <v>-</v>
          </cell>
          <cell r="Q101" t="str">
            <v>-</v>
          </cell>
          <cell r="R101" t="str">
            <v>-</v>
          </cell>
          <cell r="T101" t="str">
            <v>-</v>
          </cell>
          <cell r="U101" t="str">
            <v>-</v>
          </cell>
          <cell r="W101" t="str">
            <v>-</v>
          </cell>
          <cell r="X101" t="str">
            <v>-</v>
          </cell>
        </row>
        <row r="102">
          <cell r="A102">
            <v>72220094</v>
          </cell>
          <cell r="B102">
            <v>1062</v>
          </cell>
          <cell r="C102" t="str">
            <v>새가라지</v>
          </cell>
          <cell r="D102" t="str">
            <v>D</v>
          </cell>
          <cell r="E102">
            <v>70409247</v>
          </cell>
          <cell r="H102" t="str">
            <v>-</v>
          </cell>
          <cell r="I102" t="str">
            <v>-</v>
          </cell>
          <cell r="K102" t="str">
            <v>-</v>
          </cell>
          <cell r="L102" t="str">
            <v>-</v>
          </cell>
          <cell r="N102" t="str">
            <v>-</v>
          </cell>
          <cell r="O102" t="str">
            <v>-</v>
          </cell>
          <cell r="Q102" t="str">
            <v>-</v>
          </cell>
          <cell r="R102" t="str">
            <v>-</v>
          </cell>
          <cell r="T102" t="str">
            <v>-</v>
          </cell>
          <cell r="U102" t="str">
            <v>-</v>
          </cell>
          <cell r="W102" t="str">
            <v>-</v>
          </cell>
          <cell r="X102" t="str">
            <v>-</v>
          </cell>
        </row>
        <row r="103">
          <cell r="A103">
            <v>72220095</v>
          </cell>
          <cell r="B103">
            <v>1063</v>
          </cell>
          <cell r="C103" t="str">
            <v>돔발상어</v>
          </cell>
          <cell r="D103" t="str">
            <v>S</v>
          </cell>
          <cell r="E103">
            <v>70409114</v>
          </cell>
          <cell r="H103" t="str">
            <v>-</v>
          </cell>
          <cell r="I103" t="str">
            <v>-</v>
          </cell>
          <cell r="K103" t="str">
            <v>-</v>
          </cell>
          <cell r="L103" t="str">
            <v>-</v>
          </cell>
          <cell r="N103" t="str">
            <v>-</v>
          </cell>
          <cell r="O103" t="str">
            <v>-</v>
          </cell>
          <cell r="Q103" t="str">
            <v>-</v>
          </cell>
          <cell r="R103" t="str">
            <v>-</v>
          </cell>
          <cell r="T103" t="str">
            <v>-</v>
          </cell>
          <cell r="U103" t="str">
            <v>-</v>
          </cell>
          <cell r="W103" t="str">
            <v>-</v>
          </cell>
          <cell r="X103" t="str">
            <v>-</v>
          </cell>
        </row>
        <row r="104">
          <cell r="A104">
            <v>72220096</v>
          </cell>
          <cell r="B104">
            <v>1063</v>
          </cell>
          <cell r="C104" t="str">
            <v>날개다랑어</v>
          </cell>
          <cell r="D104" t="str">
            <v>A</v>
          </cell>
          <cell r="E104">
            <v>70409065</v>
          </cell>
          <cell r="H104" t="str">
            <v>-</v>
          </cell>
          <cell r="I104" t="str">
            <v>-</v>
          </cell>
          <cell r="K104" t="str">
            <v>-</v>
          </cell>
          <cell r="L104" t="str">
            <v>-</v>
          </cell>
          <cell r="N104" t="str">
            <v>-</v>
          </cell>
          <cell r="O104" t="str">
            <v>-</v>
          </cell>
          <cell r="Q104" t="str">
            <v>-</v>
          </cell>
          <cell r="R104" t="str">
            <v>-</v>
          </cell>
          <cell r="T104" t="str">
            <v>-</v>
          </cell>
          <cell r="U104" t="str">
            <v>-</v>
          </cell>
          <cell r="W104" t="str">
            <v>-</v>
          </cell>
          <cell r="X104" t="str">
            <v>-</v>
          </cell>
        </row>
        <row r="105">
          <cell r="A105">
            <v>72220097</v>
          </cell>
          <cell r="B105">
            <v>1063</v>
          </cell>
          <cell r="C105" t="str">
            <v>돛새치</v>
          </cell>
          <cell r="D105" t="str">
            <v>B</v>
          </cell>
          <cell r="E105">
            <v>70409124</v>
          </cell>
          <cell r="H105" t="str">
            <v>-</v>
          </cell>
          <cell r="I105" t="str">
            <v>-</v>
          </cell>
          <cell r="K105" t="str">
            <v>-</v>
          </cell>
          <cell r="L105" t="str">
            <v>-</v>
          </cell>
          <cell r="N105" t="str">
            <v>-</v>
          </cell>
          <cell r="O105" t="str">
            <v>-</v>
          </cell>
          <cell r="Q105" t="str">
            <v>-</v>
          </cell>
          <cell r="R105" t="str">
            <v>-</v>
          </cell>
          <cell r="T105" t="str">
            <v>-</v>
          </cell>
          <cell r="U105" t="str">
            <v>-</v>
          </cell>
          <cell r="W105" t="str">
            <v>-</v>
          </cell>
          <cell r="X105" t="str">
            <v>-</v>
          </cell>
        </row>
        <row r="106">
          <cell r="A106">
            <v>72220098</v>
          </cell>
          <cell r="B106">
            <v>1063</v>
          </cell>
          <cell r="C106" t="str">
            <v>새가라지</v>
          </cell>
          <cell r="D106" t="str">
            <v>D</v>
          </cell>
          <cell r="E106">
            <v>70409247</v>
          </cell>
          <cell r="H106" t="str">
            <v>-</v>
          </cell>
          <cell r="I106" t="str">
            <v>-</v>
          </cell>
          <cell r="K106" t="str">
            <v>-</v>
          </cell>
          <cell r="L106" t="str">
            <v>-</v>
          </cell>
          <cell r="N106" t="str">
            <v>-</v>
          </cell>
          <cell r="O106" t="str">
            <v>-</v>
          </cell>
          <cell r="Q106" t="str">
            <v>-</v>
          </cell>
          <cell r="R106" t="str">
            <v>-</v>
          </cell>
          <cell r="T106" t="str">
            <v>-</v>
          </cell>
          <cell r="U106" t="str">
            <v>-</v>
          </cell>
          <cell r="W106" t="str">
            <v>-</v>
          </cell>
          <cell r="X106" t="str">
            <v>-</v>
          </cell>
        </row>
        <row r="107">
          <cell r="A107">
            <v>72220099</v>
          </cell>
          <cell r="B107">
            <v>1064</v>
          </cell>
          <cell r="C107" t="str">
            <v>돔발상어</v>
          </cell>
          <cell r="D107" t="str">
            <v>S</v>
          </cell>
          <cell r="E107">
            <v>70409114</v>
          </cell>
          <cell r="H107" t="str">
            <v>-</v>
          </cell>
          <cell r="I107" t="str">
            <v>-</v>
          </cell>
          <cell r="K107" t="str">
            <v>-</v>
          </cell>
          <cell r="L107" t="str">
            <v>-</v>
          </cell>
          <cell r="N107" t="str">
            <v>-</v>
          </cell>
          <cell r="O107" t="str">
            <v>-</v>
          </cell>
          <cell r="Q107" t="str">
            <v>-</v>
          </cell>
          <cell r="R107" t="str">
            <v>-</v>
          </cell>
          <cell r="T107" t="str">
            <v>-</v>
          </cell>
          <cell r="U107" t="str">
            <v>-</v>
          </cell>
          <cell r="W107" t="str">
            <v>-</v>
          </cell>
          <cell r="X107" t="str">
            <v>-</v>
          </cell>
        </row>
        <row r="108">
          <cell r="A108">
            <v>72220100</v>
          </cell>
          <cell r="B108">
            <v>1064</v>
          </cell>
          <cell r="C108" t="str">
            <v>날개다랑어</v>
          </cell>
          <cell r="D108" t="str">
            <v>A</v>
          </cell>
          <cell r="E108">
            <v>70409065</v>
          </cell>
          <cell r="H108" t="str">
            <v>-</v>
          </cell>
          <cell r="I108" t="str">
            <v>-</v>
          </cell>
          <cell r="K108" t="str">
            <v>-</v>
          </cell>
          <cell r="L108" t="str">
            <v>-</v>
          </cell>
          <cell r="N108" t="str">
            <v>-</v>
          </cell>
          <cell r="O108" t="str">
            <v>-</v>
          </cell>
          <cell r="Q108" t="str">
            <v>-</v>
          </cell>
          <cell r="R108" t="str">
            <v>-</v>
          </cell>
          <cell r="T108" t="str">
            <v>-</v>
          </cell>
          <cell r="U108" t="str">
            <v>-</v>
          </cell>
          <cell r="W108" t="str">
            <v>-</v>
          </cell>
          <cell r="X108" t="str">
            <v>-</v>
          </cell>
        </row>
        <row r="109">
          <cell r="A109">
            <v>72220101</v>
          </cell>
          <cell r="B109">
            <v>1064</v>
          </cell>
          <cell r="C109" t="str">
            <v>돛새치</v>
          </cell>
          <cell r="D109" t="str">
            <v>B</v>
          </cell>
          <cell r="E109">
            <v>70409124</v>
          </cell>
          <cell r="H109" t="str">
            <v>-</v>
          </cell>
          <cell r="I109" t="str">
            <v>-</v>
          </cell>
          <cell r="K109" t="str">
            <v>-</v>
          </cell>
          <cell r="L109" t="str">
            <v>-</v>
          </cell>
          <cell r="N109" t="str">
            <v>-</v>
          </cell>
          <cell r="O109" t="str">
            <v>-</v>
          </cell>
          <cell r="Q109" t="str">
            <v>-</v>
          </cell>
          <cell r="R109" t="str">
            <v>-</v>
          </cell>
          <cell r="T109" t="str">
            <v>-</v>
          </cell>
          <cell r="U109" t="str">
            <v>-</v>
          </cell>
          <cell r="W109" t="str">
            <v>-</v>
          </cell>
          <cell r="X109" t="str">
            <v>-</v>
          </cell>
        </row>
        <row r="110">
          <cell r="A110">
            <v>72220102</v>
          </cell>
          <cell r="B110">
            <v>1064</v>
          </cell>
          <cell r="C110" t="str">
            <v>새가라지</v>
          </cell>
          <cell r="D110" t="str">
            <v>D</v>
          </cell>
          <cell r="E110">
            <v>70409247</v>
          </cell>
          <cell r="H110" t="str">
            <v>-</v>
          </cell>
          <cell r="I110" t="str">
            <v>-</v>
          </cell>
          <cell r="K110" t="str">
            <v>-</v>
          </cell>
          <cell r="L110" t="str">
            <v>-</v>
          </cell>
          <cell r="N110" t="str">
            <v>-</v>
          </cell>
          <cell r="O110" t="str">
            <v>-</v>
          </cell>
          <cell r="Q110" t="str">
            <v>-</v>
          </cell>
          <cell r="R110" t="str">
            <v>-</v>
          </cell>
          <cell r="T110" t="str">
            <v>-</v>
          </cell>
          <cell r="U110" t="str">
            <v>-</v>
          </cell>
          <cell r="W110" t="str">
            <v>-</v>
          </cell>
          <cell r="X110" t="str">
            <v>-</v>
          </cell>
        </row>
        <row r="111">
          <cell r="A111">
            <v>72220103</v>
          </cell>
          <cell r="B111">
            <v>1071</v>
          </cell>
          <cell r="C111" t="str">
            <v>낫잿방어</v>
          </cell>
          <cell r="D111" t="str">
            <v>B</v>
          </cell>
          <cell r="E111">
            <v>70409070</v>
          </cell>
          <cell r="H111" t="str">
            <v>-</v>
          </cell>
          <cell r="I111" t="str">
            <v>-</v>
          </cell>
          <cell r="K111" t="str">
            <v>-</v>
          </cell>
          <cell r="L111" t="str">
            <v>-</v>
          </cell>
          <cell r="N111" t="str">
            <v>-</v>
          </cell>
          <cell r="O111" t="str">
            <v>-</v>
          </cell>
          <cell r="Q111" t="str">
            <v>-</v>
          </cell>
          <cell r="R111" t="str">
            <v>-</v>
          </cell>
          <cell r="T111" t="str">
            <v>-</v>
          </cell>
          <cell r="U111" t="str">
            <v>-</v>
          </cell>
          <cell r="W111" t="str">
            <v>-</v>
          </cell>
          <cell r="X111" t="str">
            <v>-</v>
          </cell>
        </row>
        <row r="112">
          <cell r="A112">
            <v>72220104</v>
          </cell>
          <cell r="B112">
            <v>1071</v>
          </cell>
          <cell r="C112" t="str">
            <v>줄삼치</v>
          </cell>
          <cell r="D112" t="str">
            <v>D</v>
          </cell>
          <cell r="E112">
            <v>70409330</v>
          </cell>
          <cell r="H112" t="str">
            <v>-</v>
          </cell>
          <cell r="I112" t="str">
            <v>-</v>
          </cell>
          <cell r="K112" t="str">
            <v>-</v>
          </cell>
          <cell r="L112" t="str">
            <v>-</v>
          </cell>
          <cell r="N112" t="str">
            <v>-</v>
          </cell>
          <cell r="O112" t="str">
            <v>-</v>
          </cell>
          <cell r="Q112" t="str">
            <v>-</v>
          </cell>
          <cell r="R112" t="str">
            <v>-</v>
          </cell>
          <cell r="T112" t="str">
            <v>-</v>
          </cell>
          <cell r="U112" t="str">
            <v>-</v>
          </cell>
          <cell r="W112" t="str">
            <v>-</v>
          </cell>
          <cell r="X112" t="str">
            <v>-</v>
          </cell>
        </row>
        <row r="113">
          <cell r="A113">
            <v>72220105</v>
          </cell>
          <cell r="B113">
            <v>1071</v>
          </cell>
          <cell r="C113" t="str">
            <v>은비늘치</v>
          </cell>
          <cell r="D113" t="str">
            <v>C</v>
          </cell>
          <cell r="E113">
            <v>70409303</v>
          </cell>
          <cell r="H113" t="str">
            <v>-</v>
          </cell>
          <cell r="I113" t="str">
            <v>-</v>
          </cell>
          <cell r="K113" t="str">
            <v>-</v>
          </cell>
          <cell r="L113" t="str">
            <v>-</v>
          </cell>
          <cell r="N113" t="str">
            <v>-</v>
          </cell>
          <cell r="O113" t="str">
            <v>-</v>
          </cell>
          <cell r="Q113" t="str">
            <v>-</v>
          </cell>
          <cell r="R113" t="str">
            <v>-</v>
          </cell>
          <cell r="T113" t="str">
            <v>-</v>
          </cell>
          <cell r="U113" t="str">
            <v>-</v>
          </cell>
          <cell r="W113" t="str">
            <v>-</v>
          </cell>
          <cell r="X113" t="str">
            <v>-</v>
          </cell>
        </row>
        <row r="114">
          <cell r="A114">
            <v>72220106</v>
          </cell>
          <cell r="B114">
            <v>1072</v>
          </cell>
          <cell r="C114" t="str">
            <v>낫잿방어</v>
          </cell>
          <cell r="D114" t="str">
            <v>B</v>
          </cell>
          <cell r="E114">
            <v>70409070</v>
          </cell>
          <cell r="H114" t="str">
            <v>-</v>
          </cell>
          <cell r="I114" t="str">
            <v>-</v>
          </cell>
          <cell r="K114" t="str">
            <v>-</v>
          </cell>
          <cell r="L114" t="str">
            <v>-</v>
          </cell>
          <cell r="N114" t="str">
            <v>-</v>
          </cell>
          <cell r="O114" t="str">
            <v>-</v>
          </cell>
          <cell r="Q114" t="str">
            <v>-</v>
          </cell>
          <cell r="R114" t="str">
            <v>-</v>
          </cell>
          <cell r="T114" t="str">
            <v>-</v>
          </cell>
          <cell r="U114" t="str">
            <v>-</v>
          </cell>
          <cell r="W114" t="str">
            <v>-</v>
          </cell>
          <cell r="X114" t="str">
            <v>-</v>
          </cell>
        </row>
        <row r="115">
          <cell r="A115">
            <v>72220107</v>
          </cell>
          <cell r="B115">
            <v>1072</v>
          </cell>
          <cell r="C115" t="str">
            <v>줄삼치</v>
          </cell>
          <cell r="D115" t="str">
            <v>D</v>
          </cell>
          <cell r="E115">
            <v>70409330</v>
          </cell>
          <cell r="H115" t="str">
            <v>-</v>
          </cell>
          <cell r="I115" t="str">
            <v>-</v>
          </cell>
          <cell r="K115" t="str">
            <v>-</v>
          </cell>
          <cell r="L115" t="str">
            <v>-</v>
          </cell>
          <cell r="N115" t="str">
            <v>-</v>
          </cell>
          <cell r="O115" t="str">
            <v>-</v>
          </cell>
          <cell r="Q115" t="str">
            <v>-</v>
          </cell>
          <cell r="R115" t="str">
            <v>-</v>
          </cell>
          <cell r="T115" t="str">
            <v>-</v>
          </cell>
          <cell r="U115" t="str">
            <v>-</v>
          </cell>
          <cell r="W115" t="str">
            <v>-</v>
          </cell>
          <cell r="X115" t="str">
            <v>-</v>
          </cell>
        </row>
        <row r="116">
          <cell r="A116">
            <v>72220108</v>
          </cell>
          <cell r="B116">
            <v>1072</v>
          </cell>
          <cell r="C116" t="str">
            <v>은비늘치</v>
          </cell>
          <cell r="D116" t="str">
            <v>C</v>
          </cell>
          <cell r="E116">
            <v>70409303</v>
          </cell>
          <cell r="H116" t="str">
            <v>-</v>
          </cell>
          <cell r="I116" t="str">
            <v>-</v>
          </cell>
          <cell r="K116" t="str">
            <v>-</v>
          </cell>
          <cell r="L116" t="str">
            <v>-</v>
          </cell>
          <cell r="N116" t="str">
            <v>-</v>
          </cell>
          <cell r="O116" t="str">
            <v>-</v>
          </cell>
          <cell r="Q116" t="str">
            <v>-</v>
          </cell>
          <cell r="R116" t="str">
            <v>-</v>
          </cell>
          <cell r="T116" t="str">
            <v>-</v>
          </cell>
          <cell r="U116" t="str">
            <v>-</v>
          </cell>
          <cell r="W116" t="str">
            <v>-</v>
          </cell>
          <cell r="X116" t="str">
            <v>-</v>
          </cell>
        </row>
        <row r="117">
          <cell r="A117">
            <v>72220109</v>
          </cell>
          <cell r="B117">
            <v>1073</v>
          </cell>
          <cell r="C117" t="str">
            <v>낫잿방어</v>
          </cell>
          <cell r="D117" t="str">
            <v>B</v>
          </cell>
          <cell r="E117">
            <v>70409070</v>
          </cell>
          <cell r="H117" t="str">
            <v>-</v>
          </cell>
          <cell r="I117" t="str">
            <v>-</v>
          </cell>
          <cell r="K117" t="str">
            <v>-</v>
          </cell>
          <cell r="L117" t="str">
            <v>-</v>
          </cell>
          <cell r="N117" t="str">
            <v>-</v>
          </cell>
          <cell r="O117" t="str">
            <v>-</v>
          </cell>
          <cell r="Q117" t="str">
            <v>-</v>
          </cell>
          <cell r="R117" t="str">
            <v>-</v>
          </cell>
          <cell r="T117" t="str">
            <v>-</v>
          </cell>
          <cell r="U117" t="str">
            <v>-</v>
          </cell>
          <cell r="W117" t="str">
            <v>-</v>
          </cell>
          <cell r="X117" t="str">
            <v>-</v>
          </cell>
        </row>
        <row r="118">
          <cell r="A118">
            <v>72220110</v>
          </cell>
          <cell r="B118">
            <v>1073</v>
          </cell>
          <cell r="C118" t="str">
            <v>줄삼치</v>
          </cell>
          <cell r="D118" t="str">
            <v>D</v>
          </cell>
          <cell r="E118">
            <v>70409330</v>
          </cell>
          <cell r="H118" t="str">
            <v>-</v>
          </cell>
          <cell r="I118" t="str">
            <v>-</v>
          </cell>
          <cell r="K118" t="str">
            <v>-</v>
          </cell>
          <cell r="L118" t="str">
            <v>-</v>
          </cell>
          <cell r="N118" t="str">
            <v>-</v>
          </cell>
          <cell r="O118" t="str">
            <v>-</v>
          </cell>
          <cell r="Q118" t="str">
            <v>-</v>
          </cell>
          <cell r="R118" t="str">
            <v>-</v>
          </cell>
          <cell r="T118" t="str">
            <v>-</v>
          </cell>
          <cell r="U118" t="str">
            <v>-</v>
          </cell>
          <cell r="W118" t="str">
            <v>-</v>
          </cell>
          <cell r="X118" t="str">
            <v>-</v>
          </cell>
        </row>
        <row r="119">
          <cell r="A119">
            <v>72220111</v>
          </cell>
          <cell r="B119">
            <v>1073</v>
          </cell>
          <cell r="C119" t="str">
            <v>은비늘치</v>
          </cell>
          <cell r="D119" t="str">
            <v>C</v>
          </cell>
          <cell r="E119">
            <v>70409303</v>
          </cell>
          <cell r="H119" t="str">
            <v>-</v>
          </cell>
          <cell r="I119" t="str">
            <v>-</v>
          </cell>
          <cell r="K119" t="str">
            <v>-</v>
          </cell>
          <cell r="L119" t="str">
            <v>-</v>
          </cell>
          <cell r="N119" t="str">
            <v>-</v>
          </cell>
          <cell r="O119" t="str">
            <v>-</v>
          </cell>
          <cell r="Q119" t="str">
            <v>-</v>
          </cell>
          <cell r="R119" t="str">
            <v>-</v>
          </cell>
          <cell r="T119" t="str">
            <v>-</v>
          </cell>
          <cell r="U119" t="str">
            <v>-</v>
          </cell>
          <cell r="W119" t="str">
            <v>-</v>
          </cell>
          <cell r="X119" t="str">
            <v>-</v>
          </cell>
        </row>
        <row r="120">
          <cell r="A120">
            <v>72220112</v>
          </cell>
          <cell r="B120">
            <v>1074</v>
          </cell>
          <cell r="C120" t="str">
            <v>낫잿방어</v>
          </cell>
          <cell r="D120" t="str">
            <v>B</v>
          </cell>
          <cell r="E120">
            <v>70409070</v>
          </cell>
          <cell r="H120" t="str">
            <v>-</v>
          </cell>
          <cell r="I120" t="str">
            <v>-</v>
          </cell>
          <cell r="K120" t="str">
            <v>-</v>
          </cell>
          <cell r="L120" t="str">
            <v>-</v>
          </cell>
          <cell r="N120" t="str">
            <v>-</v>
          </cell>
          <cell r="O120" t="str">
            <v>-</v>
          </cell>
          <cell r="Q120" t="str">
            <v>-</v>
          </cell>
          <cell r="R120" t="str">
            <v>-</v>
          </cell>
          <cell r="T120" t="str">
            <v>-</v>
          </cell>
          <cell r="U120" t="str">
            <v>-</v>
          </cell>
          <cell r="W120" t="str">
            <v>-</v>
          </cell>
          <cell r="X120" t="str">
            <v>-</v>
          </cell>
        </row>
        <row r="121">
          <cell r="A121">
            <v>72220113</v>
          </cell>
          <cell r="B121">
            <v>1074</v>
          </cell>
          <cell r="C121" t="str">
            <v>줄삼치</v>
          </cell>
          <cell r="D121" t="str">
            <v>D</v>
          </cell>
          <cell r="E121">
            <v>70409330</v>
          </cell>
          <cell r="H121" t="str">
            <v>-</v>
          </cell>
          <cell r="I121" t="str">
            <v>-</v>
          </cell>
          <cell r="K121" t="str">
            <v>-</v>
          </cell>
          <cell r="L121" t="str">
            <v>-</v>
          </cell>
          <cell r="N121" t="str">
            <v>-</v>
          </cell>
          <cell r="O121" t="str">
            <v>-</v>
          </cell>
          <cell r="Q121" t="str">
            <v>-</v>
          </cell>
          <cell r="R121" t="str">
            <v>-</v>
          </cell>
          <cell r="T121" t="str">
            <v>-</v>
          </cell>
          <cell r="U121" t="str">
            <v>-</v>
          </cell>
          <cell r="W121" t="str">
            <v>-</v>
          </cell>
          <cell r="X121" t="str">
            <v>-</v>
          </cell>
        </row>
        <row r="122">
          <cell r="A122">
            <v>72220114</v>
          </cell>
          <cell r="B122">
            <v>1074</v>
          </cell>
          <cell r="C122" t="str">
            <v>은비늘치</v>
          </cell>
          <cell r="D122" t="str">
            <v>C</v>
          </cell>
          <cell r="E122">
            <v>70409303</v>
          </cell>
          <cell r="H122" t="str">
            <v>-</v>
          </cell>
          <cell r="I122" t="str">
            <v>-</v>
          </cell>
          <cell r="K122" t="str">
            <v>-</v>
          </cell>
          <cell r="L122" t="str">
            <v>-</v>
          </cell>
          <cell r="N122" t="str">
            <v>-</v>
          </cell>
          <cell r="O122" t="str">
            <v>-</v>
          </cell>
          <cell r="Q122" t="str">
            <v>-</v>
          </cell>
          <cell r="R122" t="str">
            <v>-</v>
          </cell>
          <cell r="T122" t="str">
            <v>-</v>
          </cell>
          <cell r="U122" t="str">
            <v>-</v>
          </cell>
          <cell r="W122" t="str">
            <v>-</v>
          </cell>
          <cell r="X122" t="str">
            <v>-</v>
          </cell>
        </row>
        <row r="123">
          <cell r="A123">
            <v>72220115</v>
          </cell>
          <cell r="B123">
            <v>1081</v>
          </cell>
          <cell r="C123" t="str">
            <v>옥돔</v>
          </cell>
          <cell r="D123" t="str">
            <v>S</v>
          </cell>
          <cell r="E123">
            <v>70409295</v>
          </cell>
          <cell r="H123" t="str">
            <v>-</v>
          </cell>
          <cell r="I123" t="str">
            <v>-</v>
          </cell>
          <cell r="K123" t="str">
            <v>-</v>
          </cell>
          <cell r="L123" t="str">
            <v>-</v>
          </cell>
          <cell r="N123" t="str">
            <v>-</v>
          </cell>
          <cell r="O123" t="str">
            <v>-</v>
          </cell>
          <cell r="Q123" t="str">
            <v>-</v>
          </cell>
          <cell r="R123" t="str">
            <v>-</v>
          </cell>
          <cell r="T123" t="str">
            <v>-</v>
          </cell>
          <cell r="U123" t="str">
            <v>-</v>
          </cell>
          <cell r="W123" t="str">
            <v>-</v>
          </cell>
          <cell r="X123" t="str">
            <v>-</v>
          </cell>
        </row>
        <row r="124">
          <cell r="A124">
            <v>72220116</v>
          </cell>
          <cell r="B124">
            <v>1081</v>
          </cell>
          <cell r="C124" t="str">
            <v>바다뱀</v>
          </cell>
          <cell r="D124" t="str">
            <v>A</v>
          </cell>
          <cell r="E124">
            <v>70409180</v>
          </cell>
          <cell r="H124" t="str">
            <v>-</v>
          </cell>
          <cell r="I124" t="str">
            <v>-</v>
          </cell>
          <cell r="K124" t="str">
            <v>-</v>
          </cell>
          <cell r="L124" t="str">
            <v>-</v>
          </cell>
          <cell r="N124" t="str">
            <v>-</v>
          </cell>
          <cell r="O124" t="str">
            <v>-</v>
          </cell>
          <cell r="Q124" t="str">
            <v>-</v>
          </cell>
          <cell r="R124" t="str">
            <v>-</v>
          </cell>
          <cell r="T124" t="str">
            <v>-</v>
          </cell>
          <cell r="U124" t="str">
            <v>-</v>
          </cell>
          <cell r="W124" t="str">
            <v>-</v>
          </cell>
          <cell r="X124" t="str">
            <v>-</v>
          </cell>
        </row>
        <row r="125">
          <cell r="A125">
            <v>72220117</v>
          </cell>
          <cell r="B125">
            <v>1081</v>
          </cell>
          <cell r="C125" t="str">
            <v>돛새치</v>
          </cell>
          <cell r="D125" t="str">
            <v>B</v>
          </cell>
          <cell r="E125">
            <v>70409124</v>
          </cell>
          <cell r="H125" t="str">
            <v>-</v>
          </cell>
          <cell r="I125" t="str">
            <v>-</v>
          </cell>
          <cell r="K125" t="str">
            <v>-</v>
          </cell>
          <cell r="L125" t="str">
            <v>-</v>
          </cell>
          <cell r="N125" t="str">
            <v>-</v>
          </cell>
          <cell r="O125" t="str">
            <v>-</v>
          </cell>
          <cell r="Q125" t="str">
            <v>-</v>
          </cell>
          <cell r="R125" t="str">
            <v>-</v>
          </cell>
          <cell r="T125" t="str">
            <v>-</v>
          </cell>
          <cell r="U125" t="str">
            <v>-</v>
          </cell>
          <cell r="W125" t="str">
            <v>-</v>
          </cell>
          <cell r="X125" t="str">
            <v>-</v>
          </cell>
        </row>
        <row r="126">
          <cell r="A126">
            <v>72220118</v>
          </cell>
          <cell r="B126">
            <v>1081</v>
          </cell>
          <cell r="C126" t="str">
            <v>왕연어</v>
          </cell>
          <cell r="D126" t="str">
            <v>D</v>
          </cell>
          <cell r="E126">
            <v>70409297</v>
          </cell>
          <cell r="H126" t="str">
            <v>-</v>
          </cell>
          <cell r="I126" t="str">
            <v>-</v>
          </cell>
          <cell r="K126" t="str">
            <v>-</v>
          </cell>
          <cell r="L126" t="str">
            <v>-</v>
          </cell>
          <cell r="N126" t="str">
            <v>-</v>
          </cell>
          <cell r="O126" t="str">
            <v>-</v>
          </cell>
          <cell r="Q126" t="str">
            <v>-</v>
          </cell>
          <cell r="R126" t="str">
            <v>-</v>
          </cell>
          <cell r="T126" t="str">
            <v>-</v>
          </cell>
          <cell r="U126" t="str">
            <v>-</v>
          </cell>
          <cell r="W126" t="str">
            <v>-</v>
          </cell>
          <cell r="X126" t="str">
            <v>-</v>
          </cell>
        </row>
        <row r="127">
          <cell r="A127">
            <v>72220119</v>
          </cell>
          <cell r="B127">
            <v>1081</v>
          </cell>
          <cell r="C127" t="str">
            <v>멸치</v>
          </cell>
          <cell r="D127" t="str">
            <v>D</v>
          </cell>
          <cell r="E127">
            <v>70409150</v>
          </cell>
          <cell r="H127" t="str">
            <v>-</v>
          </cell>
          <cell r="I127" t="str">
            <v>-</v>
          </cell>
          <cell r="K127" t="str">
            <v>-</v>
          </cell>
          <cell r="L127" t="str">
            <v>-</v>
          </cell>
          <cell r="N127" t="str">
            <v>-</v>
          </cell>
          <cell r="O127" t="str">
            <v>-</v>
          </cell>
          <cell r="Q127" t="str">
            <v>-</v>
          </cell>
          <cell r="R127" t="str">
            <v>-</v>
          </cell>
          <cell r="T127" t="str">
            <v>-</v>
          </cell>
          <cell r="U127" t="str">
            <v>-</v>
          </cell>
          <cell r="W127" t="str">
            <v>-</v>
          </cell>
          <cell r="X127" t="str">
            <v>-</v>
          </cell>
        </row>
        <row r="128">
          <cell r="A128">
            <v>72220120</v>
          </cell>
          <cell r="B128">
            <v>1082</v>
          </cell>
          <cell r="C128" t="str">
            <v>옥돔</v>
          </cell>
          <cell r="D128" t="str">
            <v>S</v>
          </cell>
          <cell r="E128">
            <v>70409295</v>
          </cell>
          <cell r="H128" t="str">
            <v>-</v>
          </cell>
          <cell r="I128" t="str">
            <v>-</v>
          </cell>
          <cell r="K128" t="str">
            <v>-</v>
          </cell>
          <cell r="L128" t="str">
            <v>-</v>
          </cell>
          <cell r="N128" t="str">
            <v>-</v>
          </cell>
          <cell r="O128" t="str">
            <v>-</v>
          </cell>
          <cell r="Q128" t="str">
            <v>-</v>
          </cell>
          <cell r="R128" t="str">
            <v>-</v>
          </cell>
          <cell r="T128" t="str">
            <v>-</v>
          </cell>
          <cell r="U128" t="str">
            <v>-</v>
          </cell>
          <cell r="W128" t="str">
            <v>-</v>
          </cell>
          <cell r="X128" t="str">
            <v>-</v>
          </cell>
        </row>
        <row r="129">
          <cell r="A129">
            <v>72220121</v>
          </cell>
          <cell r="B129">
            <v>1082</v>
          </cell>
          <cell r="C129" t="str">
            <v>바다뱀</v>
          </cell>
          <cell r="D129" t="str">
            <v>A</v>
          </cell>
          <cell r="E129">
            <v>70409180</v>
          </cell>
          <cell r="H129" t="str">
            <v>-</v>
          </cell>
          <cell r="I129" t="str">
            <v>-</v>
          </cell>
          <cell r="K129" t="str">
            <v>-</v>
          </cell>
          <cell r="L129" t="str">
            <v>-</v>
          </cell>
          <cell r="N129" t="str">
            <v>-</v>
          </cell>
          <cell r="O129" t="str">
            <v>-</v>
          </cell>
          <cell r="Q129" t="str">
            <v>-</v>
          </cell>
          <cell r="R129" t="str">
            <v>-</v>
          </cell>
          <cell r="T129" t="str">
            <v>-</v>
          </cell>
          <cell r="U129" t="str">
            <v>-</v>
          </cell>
          <cell r="W129" t="str">
            <v>-</v>
          </cell>
          <cell r="X129" t="str">
            <v>-</v>
          </cell>
        </row>
        <row r="130">
          <cell r="A130">
            <v>72220122</v>
          </cell>
          <cell r="B130">
            <v>1082</v>
          </cell>
          <cell r="C130" t="str">
            <v>돛새치</v>
          </cell>
          <cell r="D130" t="str">
            <v>B</v>
          </cell>
          <cell r="E130">
            <v>70409124</v>
          </cell>
          <cell r="H130" t="str">
            <v>-</v>
          </cell>
          <cell r="I130" t="str">
            <v>-</v>
          </cell>
          <cell r="K130" t="str">
            <v>-</v>
          </cell>
          <cell r="L130" t="str">
            <v>-</v>
          </cell>
          <cell r="N130" t="str">
            <v>-</v>
          </cell>
          <cell r="O130" t="str">
            <v>-</v>
          </cell>
          <cell r="Q130" t="str">
            <v>-</v>
          </cell>
          <cell r="R130" t="str">
            <v>-</v>
          </cell>
          <cell r="T130" t="str">
            <v>-</v>
          </cell>
          <cell r="U130" t="str">
            <v>-</v>
          </cell>
          <cell r="W130" t="str">
            <v>-</v>
          </cell>
          <cell r="X130" t="str">
            <v>-</v>
          </cell>
        </row>
        <row r="131">
          <cell r="A131">
            <v>72220123</v>
          </cell>
          <cell r="B131">
            <v>1082</v>
          </cell>
          <cell r="C131" t="str">
            <v>왕연어</v>
          </cell>
          <cell r="D131" t="str">
            <v>D</v>
          </cell>
          <cell r="E131">
            <v>70409297</v>
          </cell>
          <cell r="H131" t="str">
            <v>-</v>
          </cell>
          <cell r="I131" t="str">
            <v>-</v>
          </cell>
          <cell r="K131" t="str">
            <v>-</v>
          </cell>
          <cell r="L131" t="str">
            <v>-</v>
          </cell>
          <cell r="N131" t="str">
            <v>-</v>
          </cell>
          <cell r="O131" t="str">
            <v>-</v>
          </cell>
          <cell r="Q131" t="str">
            <v>-</v>
          </cell>
          <cell r="R131" t="str">
            <v>-</v>
          </cell>
          <cell r="T131" t="str">
            <v>-</v>
          </cell>
          <cell r="U131" t="str">
            <v>-</v>
          </cell>
          <cell r="W131" t="str">
            <v>-</v>
          </cell>
          <cell r="X131" t="str">
            <v>-</v>
          </cell>
        </row>
        <row r="132">
          <cell r="A132">
            <v>72220124</v>
          </cell>
          <cell r="B132">
            <v>1082</v>
          </cell>
          <cell r="C132" t="str">
            <v>멸치</v>
          </cell>
          <cell r="D132" t="str">
            <v>D</v>
          </cell>
          <cell r="E132">
            <v>70409150</v>
          </cell>
          <cell r="H132" t="str">
            <v>-</v>
          </cell>
          <cell r="I132" t="str">
            <v>-</v>
          </cell>
          <cell r="K132" t="str">
            <v>-</v>
          </cell>
          <cell r="L132" t="str">
            <v>-</v>
          </cell>
          <cell r="N132" t="str">
            <v>-</v>
          </cell>
          <cell r="O132" t="str">
            <v>-</v>
          </cell>
          <cell r="Q132" t="str">
            <v>-</v>
          </cell>
          <cell r="R132" t="str">
            <v>-</v>
          </cell>
          <cell r="T132" t="str">
            <v>-</v>
          </cell>
          <cell r="U132" t="str">
            <v>-</v>
          </cell>
          <cell r="W132" t="str">
            <v>-</v>
          </cell>
          <cell r="X132" t="str">
            <v>-</v>
          </cell>
        </row>
        <row r="133">
          <cell r="A133">
            <v>72220125</v>
          </cell>
          <cell r="B133">
            <v>1083</v>
          </cell>
          <cell r="C133" t="str">
            <v>옥돔</v>
          </cell>
          <cell r="D133" t="str">
            <v>S</v>
          </cell>
          <cell r="E133">
            <v>70409295</v>
          </cell>
          <cell r="H133" t="str">
            <v>-</v>
          </cell>
          <cell r="I133" t="str">
            <v>-</v>
          </cell>
          <cell r="K133" t="str">
            <v>-</v>
          </cell>
          <cell r="L133" t="str">
            <v>-</v>
          </cell>
          <cell r="N133" t="str">
            <v>-</v>
          </cell>
          <cell r="O133" t="str">
            <v>-</v>
          </cell>
          <cell r="Q133" t="str">
            <v>-</v>
          </cell>
          <cell r="R133" t="str">
            <v>-</v>
          </cell>
          <cell r="T133" t="str">
            <v>-</v>
          </cell>
          <cell r="U133" t="str">
            <v>-</v>
          </cell>
          <cell r="W133" t="str">
            <v>-</v>
          </cell>
          <cell r="X133" t="str">
            <v>-</v>
          </cell>
        </row>
        <row r="134">
          <cell r="A134">
            <v>72220126</v>
          </cell>
          <cell r="B134">
            <v>1083</v>
          </cell>
          <cell r="C134" t="str">
            <v>바다뱀</v>
          </cell>
          <cell r="D134" t="str">
            <v>A</v>
          </cell>
          <cell r="E134">
            <v>70409180</v>
          </cell>
          <cell r="H134" t="str">
            <v>-</v>
          </cell>
          <cell r="I134" t="str">
            <v>-</v>
          </cell>
          <cell r="K134" t="str">
            <v>-</v>
          </cell>
          <cell r="L134" t="str">
            <v>-</v>
          </cell>
          <cell r="N134" t="str">
            <v>-</v>
          </cell>
          <cell r="O134" t="str">
            <v>-</v>
          </cell>
          <cell r="Q134" t="str">
            <v>-</v>
          </cell>
          <cell r="R134" t="str">
            <v>-</v>
          </cell>
          <cell r="T134" t="str">
            <v>-</v>
          </cell>
          <cell r="U134" t="str">
            <v>-</v>
          </cell>
          <cell r="W134" t="str">
            <v>-</v>
          </cell>
          <cell r="X134" t="str">
            <v>-</v>
          </cell>
        </row>
        <row r="135">
          <cell r="A135">
            <v>72220127</v>
          </cell>
          <cell r="B135">
            <v>1083</v>
          </cell>
          <cell r="C135" t="str">
            <v>돛새치</v>
          </cell>
          <cell r="D135" t="str">
            <v>B</v>
          </cell>
          <cell r="E135">
            <v>70409124</v>
          </cell>
          <cell r="H135" t="str">
            <v>-</v>
          </cell>
          <cell r="I135" t="str">
            <v>-</v>
          </cell>
          <cell r="K135" t="str">
            <v>-</v>
          </cell>
          <cell r="L135" t="str">
            <v>-</v>
          </cell>
          <cell r="N135" t="str">
            <v>-</v>
          </cell>
          <cell r="O135" t="str">
            <v>-</v>
          </cell>
          <cell r="Q135" t="str">
            <v>-</v>
          </cell>
          <cell r="R135" t="str">
            <v>-</v>
          </cell>
          <cell r="T135" t="str">
            <v>-</v>
          </cell>
          <cell r="U135" t="str">
            <v>-</v>
          </cell>
          <cell r="W135" t="str">
            <v>-</v>
          </cell>
          <cell r="X135" t="str">
            <v>-</v>
          </cell>
        </row>
        <row r="136">
          <cell r="A136">
            <v>72220128</v>
          </cell>
          <cell r="B136">
            <v>1083</v>
          </cell>
          <cell r="C136" t="str">
            <v>왕연어</v>
          </cell>
          <cell r="D136" t="str">
            <v>D</v>
          </cell>
          <cell r="E136">
            <v>70409297</v>
          </cell>
          <cell r="H136" t="str">
            <v>-</v>
          </cell>
          <cell r="I136" t="str">
            <v>-</v>
          </cell>
          <cell r="K136" t="str">
            <v>-</v>
          </cell>
          <cell r="L136" t="str">
            <v>-</v>
          </cell>
          <cell r="N136" t="str">
            <v>-</v>
          </cell>
          <cell r="O136" t="str">
            <v>-</v>
          </cell>
          <cell r="Q136" t="str">
            <v>-</v>
          </cell>
          <cell r="R136" t="str">
            <v>-</v>
          </cell>
          <cell r="T136" t="str">
            <v>-</v>
          </cell>
          <cell r="U136" t="str">
            <v>-</v>
          </cell>
          <cell r="W136" t="str">
            <v>-</v>
          </cell>
          <cell r="X136" t="str">
            <v>-</v>
          </cell>
        </row>
        <row r="137">
          <cell r="A137">
            <v>72220129</v>
          </cell>
          <cell r="B137">
            <v>1083</v>
          </cell>
          <cell r="C137" t="str">
            <v>멸치</v>
          </cell>
          <cell r="D137" t="str">
            <v>D</v>
          </cell>
          <cell r="E137">
            <v>70409150</v>
          </cell>
          <cell r="H137" t="str">
            <v>-</v>
          </cell>
          <cell r="I137" t="str">
            <v>-</v>
          </cell>
          <cell r="K137" t="str">
            <v>-</v>
          </cell>
          <cell r="L137" t="str">
            <v>-</v>
          </cell>
          <cell r="N137" t="str">
            <v>-</v>
          </cell>
          <cell r="O137" t="str">
            <v>-</v>
          </cell>
          <cell r="Q137" t="str">
            <v>-</v>
          </cell>
          <cell r="R137" t="str">
            <v>-</v>
          </cell>
          <cell r="T137" t="str">
            <v>-</v>
          </cell>
          <cell r="U137" t="str">
            <v>-</v>
          </cell>
          <cell r="W137" t="str">
            <v>-</v>
          </cell>
          <cell r="X137" t="str">
            <v>-</v>
          </cell>
        </row>
        <row r="138">
          <cell r="A138">
            <v>72220130</v>
          </cell>
          <cell r="B138">
            <v>1084</v>
          </cell>
          <cell r="C138" t="str">
            <v>옥돔</v>
          </cell>
          <cell r="D138" t="str">
            <v>S</v>
          </cell>
          <cell r="E138">
            <v>70409295</v>
          </cell>
          <cell r="H138" t="str">
            <v>-</v>
          </cell>
          <cell r="I138" t="str">
            <v>-</v>
          </cell>
          <cell r="K138" t="str">
            <v>-</v>
          </cell>
          <cell r="L138" t="str">
            <v>-</v>
          </cell>
          <cell r="N138" t="str">
            <v>-</v>
          </cell>
          <cell r="O138" t="str">
            <v>-</v>
          </cell>
          <cell r="Q138" t="str">
            <v>-</v>
          </cell>
          <cell r="R138" t="str">
            <v>-</v>
          </cell>
          <cell r="T138" t="str">
            <v>-</v>
          </cell>
          <cell r="U138" t="str">
            <v>-</v>
          </cell>
          <cell r="W138" t="str">
            <v>-</v>
          </cell>
          <cell r="X138" t="str">
            <v>-</v>
          </cell>
        </row>
        <row r="139">
          <cell r="A139">
            <v>72220131</v>
          </cell>
          <cell r="B139">
            <v>1084</v>
          </cell>
          <cell r="C139" t="str">
            <v>바다뱀</v>
          </cell>
          <cell r="D139" t="str">
            <v>A</v>
          </cell>
          <cell r="E139">
            <v>70409180</v>
          </cell>
          <cell r="H139" t="str">
            <v>-</v>
          </cell>
          <cell r="I139" t="str">
            <v>-</v>
          </cell>
          <cell r="K139" t="str">
            <v>-</v>
          </cell>
          <cell r="L139" t="str">
            <v>-</v>
          </cell>
          <cell r="N139" t="str">
            <v>-</v>
          </cell>
          <cell r="O139" t="str">
            <v>-</v>
          </cell>
          <cell r="Q139" t="str">
            <v>-</v>
          </cell>
          <cell r="R139" t="str">
            <v>-</v>
          </cell>
          <cell r="T139" t="str">
            <v>-</v>
          </cell>
          <cell r="U139" t="str">
            <v>-</v>
          </cell>
          <cell r="W139" t="str">
            <v>-</v>
          </cell>
          <cell r="X139" t="str">
            <v>-</v>
          </cell>
        </row>
        <row r="140">
          <cell r="A140">
            <v>72220132</v>
          </cell>
          <cell r="B140">
            <v>1084</v>
          </cell>
          <cell r="C140" t="str">
            <v>돛새치</v>
          </cell>
          <cell r="D140" t="str">
            <v>B</v>
          </cell>
          <cell r="E140">
            <v>70409124</v>
          </cell>
          <cell r="H140" t="str">
            <v>-</v>
          </cell>
          <cell r="I140" t="str">
            <v>-</v>
          </cell>
          <cell r="K140" t="str">
            <v>-</v>
          </cell>
          <cell r="L140" t="str">
            <v>-</v>
          </cell>
          <cell r="N140" t="str">
            <v>-</v>
          </cell>
          <cell r="O140" t="str">
            <v>-</v>
          </cell>
          <cell r="Q140" t="str">
            <v>-</v>
          </cell>
          <cell r="R140" t="str">
            <v>-</v>
          </cell>
          <cell r="T140" t="str">
            <v>-</v>
          </cell>
          <cell r="U140" t="str">
            <v>-</v>
          </cell>
          <cell r="W140" t="str">
            <v>-</v>
          </cell>
          <cell r="X140" t="str">
            <v>-</v>
          </cell>
        </row>
        <row r="141">
          <cell r="A141">
            <v>72220133</v>
          </cell>
          <cell r="B141">
            <v>1084</v>
          </cell>
          <cell r="C141" t="str">
            <v>왕연어</v>
          </cell>
          <cell r="D141" t="str">
            <v>D</v>
          </cell>
          <cell r="E141">
            <v>70409297</v>
          </cell>
          <cell r="H141" t="str">
            <v>-</v>
          </cell>
          <cell r="I141" t="str">
            <v>-</v>
          </cell>
          <cell r="K141" t="str">
            <v>-</v>
          </cell>
          <cell r="L141" t="str">
            <v>-</v>
          </cell>
          <cell r="N141" t="str">
            <v>-</v>
          </cell>
          <cell r="O141" t="str">
            <v>-</v>
          </cell>
          <cell r="Q141" t="str">
            <v>-</v>
          </cell>
          <cell r="R141" t="str">
            <v>-</v>
          </cell>
          <cell r="T141" t="str">
            <v>-</v>
          </cell>
          <cell r="U141" t="str">
            <v>-</v>
          </cell>
          <cell r="W141" t="str">
            <v>-</v>
          </cell>
          <cell r="X141" t="str">
            <v>-</v>
          </cell>
        </row>
        <row r="142">
          <cell r="A142">
            <v>72220134</v>
          </cell>
          <cell r="B142">
            <v>1084</v>
          </cell>
          <cell r="C142" t="str">
            <v>멸치</v>
          </cell>
          <cell r="D142" t="str">
            <v>D</v>
          </cell>
          <cell r="E142">
            <v>70409150</v>
          </cell>
          <cell r="H142" t="str">
            <v>-</v>
          </cell>
          <cell r="I142" t="str">
            <v>-</v>
          </cell>
          <cell r="K142" t="str">
            <v>-</v>
          </cell>
          <cell r="L142" t="str">
            <v>-</v>
          </cell>
          <cell r="N142" t="str">
            <v>-</v>
          </cell>
          <cell r="O142" t="str">
            <v>-</v>
          </cell>
          <cell r="Q142" t="str">
            <v>-</v>
          </cell>
          <cell r="R142" t="str">
            <v>-</v>
          </cell>
          <cell r="T142" t="str">
            <v>-</v>
          </cell>
          <cell r="U142" t="str">
            <v>-</v>
          </cell>
          <cell r="W142" t="str">
            <v>-</v>
          </cell>
          <cell r="X142" t="str">
            <v>-</v>
          </cell>
        </row>
        <row r="143">
          <cell r="A143">
            <v>72220135</v>
          </cell>
          <cell r="B143">
            <v>1091</v>
          </cell>
          <cell r="C143" t="str">
            <v>홍대치</v>
          </cell>
          <cell r="D143" t="str">
            <v>S</v>
          </cell>
          <cell r="E143">
            <v>70409394</v>
          </cell>
          <cell r="H143" t="str">
            <v>-</v>
          </cell>
          <cell r="I143" t="str">
            <v>-</v>
          </cell>
          <cell r="K143" t="str">
            <v>-</v>
          </cell>
          <cell r="L143" t="str">
            <v>-</v>
          </cell>
          <cell r="N143" t="str">
            <v>-</v>
          </cell>
          <cell r="O143" t="str">
            <v>-</v>
          </cell>
          <cell r="Q143" t="str">
            <v>-</v>
          </cell>
          <cell r="R143" t="str">
            <v>-</v>
          </cell>
          <cell r="T143" t="str">
            <v>-</v>
          </cell>
          <cell r="U143" t="str">
            <v>-</v>
          </cell>
          <cell r="W143" t="str">
            <v>-</v>
          </cell>
          <cell r="X143" t="str">
            <v>-</v>
          </cell>
        </row>
        <row r="144">
          <cell r="A144">
            <v>72220136</v>
          </cell>
          <cell r="B144">
            <v>1091</v>
          </cell>
          <cell r="C144" t="str">
            <v>녹색물결놀래기</v>
          </cell>
          <cell r="D144" t="str">
            <v>A</v>
          </cell>
          <cell r="E144">
            <v>70409084</v>
          </cell>
          <cell r="H144" t="str">
            <v>-</v>
          </cell>
          <cell r="I144" t="str">
            <v>-</v>
          </cell>
          <cell r="K144" t="str">
            <v>-</v>
          </cell>
          <cell r="L144" t="str">
            <v>-</v>
          </cell>
          <cell r="N144" t="str">
            <v>-</v>
          </cell>
          <cell r="O144" t="str">
            <v>-</v>
          </cell>
          <cell r="Q144" t="str">
            <v>-</v>
          </cell>
          <cell r="R144" t="str">
            <v>-</v>
          </cell>
          <cell r="T144" t="str">
            <v>-</v>
          </cell>
          <cell r="U144" t="str">
            <v>-</v>
          </cell>
          <cell r="W144" t="str">
            <v>-</v>
          </cell>
          <cell r="X144" t="str">
            <v>-</v>
          </cell>
        </row>
        <row r="145">
          <cell r="A145">
            <v>72220137</v>
          </cell>
          <cell r="B145">
            <v>1091</v>
          </cell>
          <cell r="C145" t="str">
            <v>각시돔</v>
          </cell>
          <cell r="D145" t="str">
            <v>C</v>
          </cell>
          <cell r="E145">
            <v>70409008</v>
          </cell>
          <cell r="H145" t="str">
            <v>-</v>
          </cell>
          <cell r="I145" t="str">
            <v>-</v>
          </cell>
          <cell r="K145" t="str">
            <v>-</v>
          </cell>
          <cell r="L145" t="str">
            <v>-</v>
          </cell>
          <cell r="N145" t="str">
            <v>-</v>
          </cell>
          <cell r="O145" t="str">
            <v>-</v>
          </cell>
          <cell r="Q145" t="str">
            <v>-</v>
          </cell>
          <cell r="R145" t="str">
            <v>-</v>
          </cell>
          <cell r="T145" t="str">
            <v>-</v>
          </cell>
          <cell r="U145" t="str">
            <v>-</v>
          </cell>
          <cell r="W145" t="str">
            <v>-</v>
          </cell>
          <cell r="X145" t="str">
            <v>-</v>
          </cell>
        </row>
        <row r="146">
          <cell r="A146">
            <v>72220138</v>
          </cell>
          <cell r="B146">
            <v>1091</v>
          </cell>
          <cell r="C146" t="str">
            <v>빨간양태</v>
          </cell>
          <cell r="D146" t="str">
            <v>D</v>
          </cell>
          <cell r="E146">
            <v>70409230</v>
          </cell>
          <cell r="H146" t="str">
            <v>-</v>
          </cell>
          <cell r="I146" t="str">
            <v>-</v>
          </cell>
          <cell r="K146" t="str">
            <v>-</v>
          </cell>
          <cell r="L146" t="str">
            <v>-</v>
          </cell>
          <cell r="N146" t="str">
            <v>-</v>
          </cell>
          <cell r="O146" t="str">
            <v>-</v>
          </cell>
          <cell r="Q146" t="str">
            <v>-</v>
          </cell>
          <cell r="R146" t="str">
            <v>-</v>
          </cell>
          <cell r="T146" t="str">
            <v>-</v>
          </cell>
          <cell r="U146" t="str">
            <v>-</v>
          </cell>
          <cell r="W146" t="str">
            <v>-</v>
          </cell>
          <cell r="X146" t="str">
            <v>-</v>
          </cell>
        </row>
        <row r="147">
          <cell r="A147">
            <v>72220139</v>
          </cell>
          <cell r="B147">
            <v>1092</v>
          </cell>
          <cell r="C147" t="str">
            <v>홍대치</v>
          </cell>
          <cell r="D147" t="str">
            <v>S</v>
          </cell>
          <cell r="E147">
            <v>70409394</v>
          </cell>
          <cell r="H147" t="str">
            <v>-</v>
          </cell>
          <cell r="I147" t="str">
            <v>-</v>
          </cell>
          <cell r="K147" t="str">
            <v>-</v>
          </cell>
          <cell r="L147" t="str">
            <v>-</v>
          </cell>
          <cell r="N147" t="str">
            <v>-</v>
          </cell>
          <cell r="O147" t="str">
            <v>-</v>
          </cell>
          <cell r="Q147" t="str">
            <v>-</v>
          </cell>
          <cell r="R147" t="str">
            <v>-</v>
          </cell>
          <cell r="T147" t="str">
            <v>-</v>
          </cell>
          <cell r="U147" t="str">
            <v>-</v>
          </cell>
          <cell r="W147" t="str">
            <v>-</v>
          </cell>
          <cell r="X147" t="str">
            <v>-</v>
          </cell>
        </row>
        <row r="148">
          <cell r="A148">
            <v>72220140</v>
          </cell>
          <cell r="B148">
            <v>1092</v>
          </cell>
          <cell r="C148" t="str">
            <v>녹색물결놀래기</v>
          </cell>
          <cell r="D148" t="str">
            <v>A</v>
          </cell>
          <cell r="E148">
            <v>70409084</v>
          </cell>
          <cell r="H148" t="str">
            <v>-</v>
          </cell>
          <cell r="I148" t="str">
            <v>-</v>
          </cell>
          <cell r="K148" t="str">
            <v>-</v>
          </cell>
          <cell r="L148" t="str">
            <v>-</v>
          </cell>
          <cell r="N148" t="str">
            <v>-</v>
          </cell>
          <cell r="O148" t="str">
            <v>-</v>
          </cell>
          <cell r="Q148" t="str">
            <v>-</v>
          </cell>
          <cell r="R148" t="str">
            <v>-</v>
          </cell>
          <cell r="T148" t="str">
            <v>-</v>
          </cell>
          <cell r="U148" t="str">
            <v>-</v>
          </cell>
          <cell r="W148" t="str">
            <v>-</v>
          </cell>
          <cell r="X148" t="str">
            <v>-</v>
          </cell>
        </row>
        <row r="149">
          <cell r="A149">
            <v>72220141</v>
          </cell>
          <cell r="B149">
            <v>1092</v>
          </cell>
          <cell r="C149" t="str">
            <v>각시돔</v>
          </cell>
          <cell r="D149" t="str">
            <v>C</v>
          </cell>
          <cell r="E149">
            <v>70409008</v>
          </cell>
          <cell r="H149" t="str">
            <v>-</v>
          </cell>
          <cell r="I149" t="str">
            <v>-</v>
          </cell>
          <cell r="K149" t="str">
            <v>-</v>
          </cell>
          <cell r="L149" t="str">
            <v>-</v>
          </cell>
          <cell r="N149" t="str">
            <v>-</v>
          </cell>
          <cell r="O149" t="str">
            <v>-</v>
          </cell>
          <cell r="Q149" t="str">
            <v>-</v>
          </cell>
          <cell r="R149" t="str">
            <v>-</v>
          </cell>
          <cell r="T149" t="str">
            <v>-</v>
          </cell>
          <cell r="U149" t="str">
            <v>-</v>
          </cell>
          <cell r="W149" t="str">
            <v>-</v>
          </cell>
          <cell r="X149" t="str">
            <v>-</v>
          </cell>
        </row>
        <row r="150">
          <cell r="A150">
            <v>72220142</v>
          </cell>
          <cell r="B150">
            <v>1092</v>
          </cell>
          <cell r="C150" t="str">
            <v>빨간양태</v>
          </cell>
          <cell r="D150" t="str">
            <v>D</v>
          </cell>
          <cell r="E150">
            <v>70409230</v>
          </cell>
          <cell r="H150" t="str">
            <v>-</v>
          </cell>
          <cell r="I150" t="str">
            <v>-</v>
          </cell>
          <cell r="K150" t="str">
            <v>-</v>
          </cell>
          <cell r="L150" t="str">
            <v>-</v>
          </cell>
          <cell r="N150" t="str">
            <v>-</v>
          </cell>
          <cell r="O150" t="str">
            <v>-</v>
          </cell>
          <cell r="Q150" t="str">
            <v>-</v>
          </cell>
          <cell r="R150" t="str">
            <v>-</v>
          </cell>
          <cell r="T150" t="str">
            <v>-</v>
          </cell>
          <cell r="U150" t="str">
            <v>-</v>
          </cell>
          <cell r="W150" t="str">
            <v>-</v>
          </cell>
          <cell r="X150" t="str">
            <v>-</v>
          </cell>
        </row>
        <row r="151">
          <cell r="A151">
            <v>72220143</v>
          </cell>
          <cell r="B151">
            <v>1093</v>
          </cell>
          <cell r="C151" t="str">
            <v>홍대치</v>
          </cell>
          <cell r="D151" t="str">
            <v>S</v>
          </cell>
          <cell r="E151">
            <v>70409394</v>
          </cell>
          <cell r="H151" t="str">
            <v>-</v>
          </cell>
          <cell r="I151" t="str">
            <v>-</v>
          </cell>
          <cell r="K151" t="str">
            <v>-</v>
          </cell>
          <cell r="L151" t="str">
            <v>-</v>
          </cell>
          <cell r="N151" t="str">
            <v>-</v>
          </cell>
          <cell r="O151" t="str">
            <v>-</v>
          </cell>
          <cell r="Q151" t="str">
            <v>-</v>
          </cell>
          <cell r="R151" t="str">
            <v>-</v>
          </cell>
          <cell r="T151" t="str">
            <v>-</v>
          </cell>
          <cell r="U151" t="str">
            <v>-</v>
          </cell>
          <cell r="W151" t="str">
            <v>-</v>
          </cell>
          <cell r="X151" t="str">
            <v>-</v>
          </cell>
        </row>
        <row r="152">
          <cell r="A152">
            <v>72220144</v>
          </cell>
          <cell r="B152">
            <v>1093</v>
          </cell>
          <cell r="C152" t="str">
            <v>녹색물결놀래기</v>
          </cell>
          <cell r="D152" t="str">
            <v>A</v>
          </cell>
          <cell r="E152">
            <v>70409084</v>
          </cell>
          <cell r="H152" t="str">
            <v>-</v>
          </cell>
          <cell r="I152" t="str">
            <v>-</v>
          </cell>
          <cell r="K152" t="str">
            <v>-</v>
          </cell>
          <cell r="L152" t="str">
            <v>-</v>
          </cell>
          <cell r="N152" t="str">
            <v>-</v>
          </cell>
          <cell r="O152" t="str">
            <v>-</v>
          </cell>
          <cell r="Q152" t="str">
            <v>-</v>
          </cell>
          <cell r="R152" t="str">
            <v>-</v>
          </cell>
          <cell r="T152" t="str">
            <v>-</v>
          </cell>
          <cell r="U152" t="str">
            <v>-</v>
          </cell>
          <cell r="W152" t="str">
            <v>-</v>
          </cell>
          <cell r="X152" t="str">
            <v>-</v>
          </cell>
        </row>
        <row r="153">
          <cell r="A153">
            <v>72220145</v>
          </cell>
          <cell r="B153">
            <v>1093</v>
          </cell>
          <cell r="C153" t="str">
            <v>각시돔</v>
          </cell>
          <cell r="D153" t="str">
            <v>C</v>
          </cell>
          <cell r="E153">
            <v>70409008</v>
          </cell>
          <cell r="H153" t="str">
            <v>-</v>
          </cell>
          <cell r="I153" t="str">
            <v>-</v>
          </cell>
          <cell r="K153" t="str">
            <v>-</v>
          </cell>
          <cell r="L153" t="str">
            <v>-</v>
          </cell>
          <cell r="N153" t="str">
            <v>-</v>
          </cell>
          <cell r="O153" t="str">
            <v>-</v>
          </cell>
          <cell r="Q153" t="str">
            <v>-</v>
          </cell>
          <cell r="R153" t="str">
            <v>-</v>
          </cell>
          <cell r="T153" t="str">
            <v>-</v>
          </cell>
          <cell r="U153" t="str">
            <v>-</v>
          </cell>
          <cell r="W153" t="str">
            <v>-</v>
          </cell>
          <cell r="X153" t="str">
            <v>-</v>
          </cell>
        </row>
        <row r="154">
          <cell r="A154">
            <v>72220146</v>
          </cell>
          <cell r="B154">
            <v>1093</v>
          </cell>
          <cell r="C154" t="str">
            <v>빨간양태</v>
          </cell>
          <cell r="D154" t="str">
            <v>D</v>
          </cell>
          <cell r="E154">
            <v>70409230</v>
          </cell>
          <cell r="H154" t="str">
            <v>-</v>
          </cell>
          <cell r="I154" t="str">
            <v>-</v>
          </cell>
          <cell r="K154" t="str">
            <v>-</v>
          </cell>
          <cell r="L154" t="str">
            <v>-</v>
          </cell>
          <cell r="N154" t="str">
            <v>-</v>
          </cell>
          <cell r="O154" t="str">
            <v>-</v>
          </cell>
          <cell r="Q154" t="str">
            <v>-</v>
          </cell>
          <cell r="R154" t="str">
            <v>-</v>
          </cell>
          <cell r="T154" t="str">
            <v>-</v>
          </cell>
          <cell r="U154" t="str">
            <v>-</v>
          </cell>
          <cell r="W154" t="str">
            <v>-</v>
          </cell>
          <cell r="X154" t="str">
            <v>-</v>
          </cell>
        </row>
        <row r="155">
          <cell r="A155">
            <v>72220147</v>
          </cell>
          <cell r="B155">
            <v>1094</v>
          </cell>
          <cell r="C155" t="str">
            <v>홍대치</v>
          </cell>
          <cell r="D155" t="str">
            <v>S</v>
          </cell>
          <cell r="E155">
            <v>70409394</v>
          </cell>
          <cell r="H155" t="str">
            <v>-</v>
          </cell>
          <cell r="I155" t="str">
            <v>-</v>
          </cell>
          <cell r="K155" t="str">
            <v>-</v>
          </cell>
          <cell r="L155" t="str">
            <v>-</v>
          </cell>
          <cell r="N155" t="str">
            <v>-</v>
          </cell>
          <cell r="O155" t="str">
            <v>-</v>
          </cell>
          <cell r="Q155" t="str">
            <v>-</v>
          </cell>
          <cell r="R155" t="str">
            <v>-</v>
          </cell>
          <cell r="T155" t="str">
            <v>-</v>
          </cell>
          <cell r="U155" t="str">
            <v>-</v>
          </cell>
          <cell r="W155" t="str">
            <v>-</v>
          </cell>
          <cell r="X155" t="str">
            <v>-</v>
          </cell>
        </row>
        <row r="156">
          <cell r="A156">
            <v>72220148</v>
          </cell>
          <cell r="B156">
            <v>1094</v>
          </cell>
          <cell r="C156" t="str">
            <v>녹색물결놀래기</v>
          </cell>
          <cell r="D156" t="str">
            <v>A</v>
          </cell>
          <cell r="E156">
            <v>70409084</v>
          </cell>
          <cell r="H156" t="str">
            <v>-</v>
          </cell>
          <cell r="I156" t="str">
            <v>-</v>
          </cell>
          <cell r="K156" t="str">
            <v>-</v>
          </cell>
          <cell r="L156" t="str">
            <v>-</v>
          </cell>
          <cell r="N156" t="str">
            <v>-</v>
          </cell>
          <cell r="O156" t="str">
            <v>-</v>
          </cell>
          <cell r="Q156" t="str">
            <v>-</v>
          </cell>
          <cell r="R156" t="str">
            <v>-</v>
          </cell>
          <cell r="T156" t="str">
            <v>-</v>
          </cell>
          <cell r="U156" t="str">
            <v>-</v>
          </cell>
          <cell r="W156" t="str">
            <v>-</v>
          </cell>
          <cell r="X156" t="str">
            <v>-</v>
          </cell>
        </row>
        <row r="157">
          <cell r="A157">
            <v>72220149</v>
          </cell>
          <cell r="B157">
            <v>1094</v>
          </cell>
          <cell r="C157" t="str">
            <v>각시돔</v>
          </cell>
          <cell r="D157" t="str">
            <v>C</v>
          </cell>
          <cell r="E157">
            <v>70409008</v>
          </cell>
          <cell r="H157" t="str">
            <v>-</v>
          </cell>
          <cell r="I157" t="str">
            <v>-</v>
          </cell>
          <cell r="K157" t="str">
            <v>-</v>
          </cell>
          <cell r="L157" t="str">
            <v>-</v>
          </cell>
          <cell r="N157" t="str">
            <v>-</v>
          </cell>
          <cell r="O157" t="str">
            <v>-</v>
          </cell>
          <cell r="Q157" t="str">
            <v>-</v>
          </cell>
          <cell r="R157" t="str">
            <v>-</v>
          </cell>
          <cell r="T157" t="str">
            <v>-</v>
          </cell>
          <cell r="U157" t="str">
            <v>-</v>
          </cell>
          <cell r="W157" t="str">
            <v>-</v>
          </cell>
          <cell r="X157" t="str">
            <v>-</v>
          </cell>
        </row>
        <row r="158">
          <cell r="A158">
            <v>72220150</v>
          </cell>
          <cell r="B158">
            <v>1094</v>
          </cell>
          <cell r="C158" t="str">
            <v>빨간양태</v>
          </cell>
          <cell r="D158" t="str">
            <v>D</v>
          </cell>
          <cell r="E158">
            <v>70409230</v>
          </cell>
          <cell r="H158" t="str">
            <v>-</v>
          </cell>
          <cell r="I158" t="str">
            <v>-</v>
          </cell>
          <cell r="K158" t="str">
            <v>-</v>
          </cell>
          <cell r="L158" t="str">
            <v>-</v>
          </cell>
          <cell r="N158" t="str">
            <v>-</v>
          </cell>
          <cell r="O158" t="str">
            <v>-</v>
          </cell>
          <cell r="Q158" t="str">
            <v>-</v>
          </cell>
          <cell r="R158" t="str">
            <v>-</v>
          </cell>
          <cell r="T158" t="str">
            <v>-</v>
          </cell>
          <cell r="U158" t="str">
            <v>-</v>
          </cell>
          <cell r="W158" t="str">
            <v>-</v>
          </cell>
          <cell r="X158" t="str">
            <v>-</v>
          </cell>
        </row>
        <row r="159">
          <cell r="A159">
            <v>72220151</v>
          </cell>
          <cell r="B159">
            <v>1101</v>
          </cell>
          <cell r="C159" t="str">
            <v>각시돔</v>
          </cell>
          <cell r="D159" t="str">
            <v>C</v>
          </cell>
          <cell r="E159">
            <v>70409008</v>
          </cell>
          <cell r="H159" t="str">
            <v>-</v>
          </cell>
          <cell r="I159" t="str">
            <v>-</v>
          </cell>
          <cell r="K159" t="str">
            <v>-</v>
          </cell>
          <cell r="L159" t="str">
            <v>-</v>
          </cell>
          <cell r="N159" t="str">
            <v>-</v>
          </cell>
          <cell r="O159" t="str">
            <v>-</v>
          </cell>
          <cell r="Q159" t="str">
            <v>-</v>
          </cell>
          <cell r="R159" t="str">
            <v>-</v>
          </cell>
          <cell r="T159" t="str">
            <v>-</v>
          </cell>
          <cell r="U159" t="str">
            <v>-</v>
          </cell>
          <cell r="W159" t="str">
            <v>-</v>
          </cell>
          <cell r="X159" t="str">
            <v>-</v>
          </cell>
        </row>
        <row r="160">
          <cell r="A160">
            <v>72220152</v>
          </cell>
          <cell r="B160">
            <v>1101</v>
          </cell>
          <cell r="C160" t="str">
            <v>궁제기서대</v>
          </cell>
          <cell r="D160" t="str">
            <v>A</v>
          </cell>
          <cell r="E160">
            <v>70409037</v>
          </cell>
          <cell r="H160" t="str">
            <v>-</v>
          </cell>
          <cell r="I160" t="str">
            <v>-</v>
          </cell>
          <cell r="K160" t="str">
            <v>-</v>
          </cell>
          <cell r="L160" t="str">
            <v>-</v>
          </cell>
          <cell r="N160" t="str">
            <v>-</v>
          </cell>
          <cell r="O160" t="str">
            <v>-</v>
          </cell>
          <cell r="Q160" t="str">
            <v>-</v>
          </cell>
          <cell r="R160" t="str">
            <v>-</v>
          </cell>
          <cell r="T160" t="str">
            <v>-</v>
          </cell>
          <cell r="U160" t="str">
            <v>-</v>
          </cell>
          <cell r="W160" t="str">
            <v>-</v>
          </cell>
          <cell r="X160" t="str">
            <v>-</v>
          </cell>
        </row>
        <row r="161">
          <cell r="A161">
            <v>72220153</v>
          </cell>
          <cell r="B161">
            <v>1101</v>
          </cell>
          <cell r="C161" t="str">
            <v>눈불개복</v>
          </cell>
          <cell r="D161" t="str">
            <v>B</v>
          </cell>
          <cell r="E161">
            <v>70409091</v>
          </cell>
          <cell r="H161" t="str">
            <v>-</v>
          </cell>
          <cell r="I161" t="str">
            <v>-</v>
          </cell>
          <cell r="K161" t="str">
            <v>-</v>
          </cell>
          <cell r="L161" t="str">
            <v>-</v>
          </cell>
          <cell r="N161" t="str">
            <v>-</v>
          </cell>
          <cell r="O161" t="str">
            <v>-</v>
          </cell>
          <cell r="Q161" t="str">
            <v>-</v>
          </cell>
          <cell r="R161" t="str">
            <v>-</v>
          </cell>
          <cell r="T161" t="str">
            <v>-</v>
          </cell>
          <cell r="U161" t="str">
            <v>-</v>
          </cell>
          <cell r="W161" t="str">
            <v>-</v>
          </cell>
          <cell r="X161" t="str">
            <v>-</v>
          </cell>
        </row>
        <row r="162">
          <cell r="A162">
            <v>72220154</v>
          </cell>
          <cell r="B162">
            <v>1101</v>
          </cell>
          <cell r="C162" t="str">
            <v>빨간양태</v>
          </cell>
          <cell r="D162" t="str">
            <v>D</v>
          </cell>
          <cell r="E162">
            <v>70409230</v>
          </cell>
          <cell r="H162" t="str">
            <v>-</v>
          </cell>
          <cell r="I162" t="str">
            <v>-</v>
          </cell>
          <cell r="K162" t="str">
            <v>-</v>
          </cell>
          <cell r="L162" t="str">
            <v>-</v>
          </cell>
          <cell r="N162" t="str">
            <v>-</v>
          </cell>
          <cell r="O162" t="str">
            <v>-</v>
          </cell>
          <cell r="Q162" t="str">
            <v>-</v>
          </cell>
          <cell r="R162" t="str">
            <v>-</v>
          </cell>
          <cell r="T162" t="str">
            <v>-</v>
          </cell>
          <cell r="U162" t="str">
            <v>-</v>
          </cell>
          <cell r="W162" t="str">
            <v>-</v>
          </cell>
          <cell r="X162" t="str">
            <v>-</v>
          </cell>
        </row>
        <row r="163">
          <cell r="A163">
            <v>72220155</v>
          </cell>
          <cell r="B163">
            <v>1102</v>
          </cell>
          <cell r="C163" t="str">
            <v>각시돔</v>
          </cell>
          <cell r="D163" t="str">
            <v>C</v>
          </cell>
          <cell r="E163">
            <v>70409008</v>
          </cell>
          <cell r="H163" t="str">
            <v>-</v>
          </cell>
          <cell r="I163" t="str">
            <v>-</v>
          </cell>
          <cell r="K163" t="str">
            <v>-</v>
          </cell>
          <cell r="L163" t="str">
            <v>-</v>
          </cell>
          <cell r="N163" t="str">
            <v>-</v>
          </cell>
          <cell r="O163" t="str">
            <v>-</v>
          </cell>
          <cell r="Q163" t="str">
            <v>-</v>
          </cell>
          <cell r="R163" t="str">
            <v>-</v>
          </cell>
          <cell r="T163" t="str">
            <v>-</v>
          </cell>
          <cell r="U163" t="str">
            <v>-</v>
          </cell>
          <cell r="W163" t="str">
            <v>-</v>
          </cell>
          <cell r="X163" t="str">
            <v>-</v>
          </cell>
        </row>
        <row r="164">
          <cell r="A164">
            <v>72220156</v>
          </cell>
          <cell r="B164">
            <v>1102</v>
          </cell>
          <cell r="C164" t="str">
            <v>궁제기서대</v>
          </cell>
          <cell r="D164" t="str">
            <v>A</v>
          </cell>
          <cell r="E164">
            <v>70409037</v>
          </cell>
          <cell r="H164" t="str">
            <v>-</v>
          </cell>
          <cell r="I164" t="str">
            <v>-</v>
          </cell>
          <cell r="K164" t="str">
            <v>-</v>
          </cell>
          <cell r="L164" t="str">
            <v>-</v>
          </cell>
          <cell r="N164" t="str">
            <v>-</v>
          </cell>
          <cell r="O164" t="str">
            <v>-</v>
          </cell>
          <cell r="Q164" t="str">
            <v>-</v>
          </cell>
          <cell r="R164" t="str">
            <v>-</v>
          </cell>
          <cell r="T164" t="str">
            <v>-</v>
          </cell>
          <cell r="U164" t="str">
            <v>-</v>
          </cell>
          <cell r="W164" t="str">
            <v>-</v>
          </cell>
          <cell r="X164" t="str">
            <v>-</v>
          </cell>
        </row>
        <row r="165">
          <cell r="A165">
            <v>72220157</v>
          </cell>
          <cell r="B165">
            <v>1102</v>
          </cell>
          <cell r="C165" t="str">
            <v>눈불개복</v>
          </cell>
          <cell r="D165" t="str">
            <v>B</v>
          </cell>
          <cell r="E165">
            <v>70409091</v>
          </cell>
          <cell r="H165" t="str">
            <v>-</v>
          </cell>
          <cell r="I165" t="str">
            <v>-</v>
          </cell>
          <cell r="K165" t="str">
            <v>-</v>
          </cell>
          <cell r="L165" t="str">
            <v>-</v>
          </cell>
          <cell r="N165" t="str">
            <v>-</v>
          </cell>
          <cell r="O165" t="str">
            <v>-</v>
          </cell>
          <cell r="Q165" t="str">
            <v>-</v>
          </cell>
          <cell r="R165" t="str">
            <v>-</v>
          </cell>
          <cell r="T165" t="str">
            <v>-</v>
          </cell>
          <cell r="U165" t="str">
            <v>-</v>
          </cell>
          <cell r="W165" t="str">
            <v>-</v>
          </cell>
          <cell r="X165" t="str">
            <v>-</v>
          </cell>
        </row>
        <row r="166">
          <cell r="A166">
            <v>72220158</v>
          </cell>
          <cell r="B166">
            <v>1102</v>
          </cell>
          <cell r="C166" t="str">
            <v>빨간양태</v>
          </cell>
          <cell r="D166" t="str">
            <v>D</v>
          </cell>
          <cell r="E166">
            <v>70409230</v>
          </cell>
          <cell r="H166" t="str">
            <v>-</v>
          </cell>
          <cell r="I166" t="str">
            <v>-</v>
          </cell>
          <cell r="K166" t="str">
            <v>-</v>
          </cell>
          <cell r="L166" t="str">
            <v>-</v>
          </cell>
          <cell r="N166" t="str">
            <v>-</v>
          </cell>
          <cell r="O166" t="str">
            <v>-</v>
          </cell>
          <cell r="Q166" t="str">
            <v>-</v>
          </cell>
          <cell r="R166" t="str">
            <v>-</v>
          </cell>
          <cell r="T166" t="str">
            <v>-</v>
          </cell>
          <cell r="U166" t="str">
            <v>-</v>
          </cell>
          <cell r="W166" t="str">
            <v>-</v>
          </cell>
          <cell r="X166" t="str">
            <v>-</v>
          </cell>
        </row>
        <row r="167">
          <cell r="A167">
            <v>72220159</v>
          </cell>
          <cell r="B167">
            <v>1103</v>
          </cell>
          <cell r="C167" t="str">
            <v>각시돔</v>
          </cell>
          <cell r="D167" t="str">
            <v>C</v>
          </cell>
          <cell r="E167">
            <v>70409008</v>
          </cell>
          <cell r="H167" t="str">
            <v>-</v>
          </cell>
          <cell r="I167" t="str">
            <v>-</v>
          </cell>
          <cell r="K167" t="str">
            <v>-</v>
          </cell>
          <cell r="L167" t="str">
            <v>-</v>
          </cell>
          <cell r="N167" t="str">
            <v>-</v>
          </cell>
          <cell r="O167" t="str">
            <v>-</v>
          </cell>
          <cell r="Q167" t="str">
            <v>-</v>
          </cell>
          <cell r="R167" t="str">
            <v>-</v>
          </cell>
          <cell r="T167" t="str">
            <v>-</v>
          </cell>
          <cell r="U167" t="str">
            <v>-</v>
          </cell>
          <cell r="W167" t="str">
            <v>-</v>
          </cell>
          <cell r="X167" t="str">
            <v>-</v>
          </cell>
        </row>
        <row r="168">
          <cell r="A168">
            <v>72220160</v>
          </cell>
          <cell r="B168">
            <v>1103</v>
          </cell>
          <cell r="C168" t="str">
            <v>궁제기서대</v>
          </cell>
          <cell r="D168" t="str">
            <v>A</v>
          </cell>
          <cell r="E168">
            <v>70409037</v>
          </cell>
          <cell r="H168" t="str">
            <v>-</v>
          </cell>
          <cell r="I168" t="str">
            <v>-</v>
          </cell>
          <cell r="K168" t="str">
            <v>-</v>
          </cell>
          <cell r="L168" t="str">
            <v>-</v>
          </cell>
          <cell r="N168" t="str">
            <v>-</v>
          </cell>
          <cell r="O168" t="str">
            <v>-</v>
          </cell>
          <cell r="Q168" t="str">
            <v>-</v>
          </cell>
          <cell r="R168" t="str">
            <v>-</v>
          </cell>
          <cell r="T168" t="str">
            <v>-</v>
          </cell>
          <cell r="U168" t="str">
            <v>-</v>
          </cell>
          <cell r="W168" t="str">
            <v>-</v>
          </cell>
          <cell r="X168" t="str">
            <v>-</v>
          </cell>
        </row>
        <row r="169">
          <cell r="A169">
            <v>72220161</v>
          </cell>
          <cell r="B169">
            <v>1103</v>
          </cell>
          <cell r="C169" t="str">
            <v>눈불개복</v>
          </cell>
          <cell r="D169" t="str">
            <v>B</v>
          </cell>
          <cell r="E169">
            <v>70409091</v>
          </cell>
          <cell r="H169" t="str">
            <v>-</v>
          </cell>
          <cell r="I169" t="str">
            <v>-</v>
          </cell>
          <cell r="K169" t="str">
            <v>-</v>
          </cell>
          <cell r="L169" t="str">
            <v>-</v>
          </cell>
          <cell r="N169" t="str">
            <v>-</v>
          </cell>
          <cell r="O169" t="str">
            <v>-</v>
          </cell>
          <cell r="Q169" t="str">
            <v>-</v>
          </cell>
          <cell r="R169" t="str">
            <v>-</v>
          </cell>
          <cell r="T169" t="str">
            <v>-</v>
          </cell>
          <cell r="U169" t="str">
            <v>-</v>
          </cell>
          <cell r="W169" t="str">
            <v>-</v>
          </cell>
          <cell r="X169" t="str">
            <v>-</v>
          </cell>
        </row>
        <row r="170">
          <cell r="A170">
            <v>72220162</v>
          </cell>
          <cell r="B170">
            <v>1103</v>
          </cell>
          <cell r="C170" t="str">
            <v>빨간양태</v>
          </cell>
          <cell r="D170" t="str">
            <v>D</v>
          </cell>
          <cell r="E170">
            <v>70409230</v>
          </cell>
          <cell r="H170" t="str">
            <v>-</v>
          </cell>
          <cell r="I170" t="str">
            <v>-</v>
          </cell>
          <cell r="K170" t="str">
            <v>-</v>
          </cell>
          <cell r="L170" t="str">
            <v>-</v>
          </cell>
          <cell r="N170" t="str">
            <v>-</v>
          </cell>
          <cell r="O170" t="str">
            <v>-</v>
          </cell>
          <cell r="Q170" t="str">
            <v>-</v>
          </cell>
          <cell r="R170" t="str">
            <v>-</v>
          </cell>
          <cell r="T170" t="str">
            <v>-</v>
          </cell>
          <cell r="U170" t="str">
            <v>-</v>
          </cell>
          <cell r="W170" t="str">
            <v>-</v>
          </cell>
          <cell r="X170" t="str">
            <v>-</v>
          </cell>
        </row>
        <row r="171">
          <cell r="A171">
            <v>72220163</v>
          </cell>
          <cell r="B171">
            <v>1104</v>
          </cell>
          <cell r="C171" t="str">
            <v>각시돔</v>
          </cell>
          <cell r="D171" t="str">
            <v>C</v>
          </cell>
          <cell r="E171">
            <v>70409008</v>
          </cell>
          <cell r="H171" t="str">
            <v>-</v>
          </cell>
          <cell r="I171" t="str">
            <v>-</v>
          </cell>
          <cell r="K171" t="str">
            <v>-</v>
          </cell>
          <cell r="L171" t="str">
            <v>-</v>
          </cell>
          <cell r="N171" t="str">
            <v>-</v>
          </cell>
          <cell r="O171" t="str">
            <v>-</v>
          </cell>
          <cell r="Q171" t="str">
            <v>-</v>
          </cell>
          <cell r="R171" t="str">
            <v>-</v>
          </cell>
          <cell r="T171" t="str">
            <v>-</v>
          </cell>
          <cell r="U171" t="str">
            <v>-</v>
          </cell>
          <cell r="W171" t="str">
            <v>-</v>
          </cell>
          <cell r="X171" t="str">
            <v>-</v>
          </cell>
        </row>
        <row r="172">
          <cell r="A172">
            <v>72220164</v>
          </cell>
          <cell r="B172">
            <v>1104</v>
          </cell>
          <cell r="C172" t="str">
            <v>궁제기서대</v>
          </cell>
          <cell r="D172" t="str">
            <v>A</v>
          </cell>
          <cell r="E172">
            <v>70409037</v>
          </cell>
          <cell r="H172" t="str">
            <v>-</v>
          </cell>
          <cell r="I172" t="str">
            <v>-</v>
          </cell>
          <cell r="K172" t="str">
            <v>-</v>
          </cell>
          <cell r="L172" t="str">
            <v>-</v>
          </cell>
          <cell r="N172" t="str">
            <v>-</v>
          </cell>
          <cell r="O172" t="str">
            <v>-</v>
          </cell>
          <cell r="Q172" t="str">
            <v>-</v>
          </cell>
          <cell r="R172" t="str">
            <v>-</v>
          </cell>
          <cell r="T172" t="str">
            <v>-</v>
          </cell>
          <cell r="U172" t="str">
            <v>-</v>
          </cell>
          <cell r="W172" t="str">
            <v>-</v>
          </cell>
          <cell r="X172" t="str">
            <v>-</v>
          </cell>
        </row>
        <row r="173">
          <cell r="A173">
            <v>72220165</v>
          </cell>
          <cell r="B173">
            <v>1104</v>
          </cell>
          <cell r="C173" t="str">
            <v>눈불개복</v>
          </cell>
          <cell r="D173" t="str">
            <v>B</v>
          </cell>
          <cell r="E173">
            <v>70409091</v>
          </cell>
          <cell r="H173" t="str">
            <v>-</v>
          </cell>
          <cell r="I173" t="str">
            <v>-</v>
          </cell>
          <cell r="K173" t="str">
            <v>-</v>
          </cell>
          <cell r="L173" t="str">
            <v>-</v>
          </cell>
          <cell r="N173" t="str">
            <v>-</v>
          </cell>
          <cell r="O173" t="str">
            <v>-</v>
          </cell>
          <cell r="Q173" t="str">
            <v>-</v>
          </cell>
          <cell r="R173" t="str">
            <v>-</v>
          </cell>
          <cell r="T173" t="str">
            <v>-</v>
          </cell>
          <cell r="U173" t="str">
            <v>-</v>
          </cell>
          <cell r="W173" t="str">
            <v>-</v>
          </cell>
          <cell r="X173" t="str">
            <v>-</v>
          </cell>
        </row>
        <row r="174">
          <cell r="A174">
            <v>72220166</v>
          </cell>
          <cell r="B174">
            <v>1104</v>
          </cell>
          <cell r="C174" t="str">
            <v>빨간양태</v>
          </cell>
          <cell r="D174" t="str">
            <v>D</v>
          </cell>
          <cell r="E174">
            <v>70409230</v>
          </cell>
          <cell r="H174" t="str">
            <v>-</v>
          </cell>
          <cell r="I174" t="str">
            <v>-</v>
          </cell>
          <cell r="K174" t="str">
            <v>-</v>
          </cell>
          <cell r="L174" t="str">
            <v>-</v>
          </cell>
          <cell r="N174" t="str">
            <v>-</v>
          </cell>
          <cell r="O174" t="str">
            <v>-</v>
          </cell>
          <cell r="Q174" t="str">
            <v>-</v>
          </cell>
          <cell r="R174" t="str">
            <v>-</v>
          </cell>
          <cell r="T174" t="str">
            <v>-</v>
          </cell>
          <cell r="U174" t="str">
            <v>-</v>
          </cell>
          <cell r="W174" t="str">
            <v>-</v>
          </cell>
          <cell r="X174" t="str">
            <v>-</v>
          </cell>
        </row>
        <row r="175">
          <cell r="A175">
            <v>72220167</v>
          </cell>
          <cell r="B175">
            <v>1111</v>
          </cell>
          <cell r="C175" t="str">
            <v>꺼끌복</v>
          </cell>
          <cell r="D175" t="str">
            <v>S</v>
          </cell>
          <cell r="E175">
            <v>70409052</v>
          </cell>
          <cell r="H175" t="str">
            <v>-</v>
          </cell>
          <cell r="I175" t="str">
            <v>-</v>
          </cell>
          <cell r="K175" t="str">
            <v>-</v>
          </cell>
          <cell r="L175" t="str">
            <v>-</v>
          </cell>
          <cell r="N175" t="str">
            <v>-</v>
          </cell>
          <cell r="O175" t="str">
            <v>-</v>
          </cell>
          <cell r="Q175" t="str">
            <v>-</v>
          </cell>
          <cell r="R175" t="str">
            <v>-</v>
          </cell>
          <cell r="T175" t="str">
            <v>-</v>
          </cell>
          <cell r="U175" t="str">
            <v>-</v>
          </cell>
          <cell r="W175" t="str">
            <v>-</v>
          </cell>
          <cell r="X175" t="str">
            <v>-</v>
          </cell>
        </row>
        <row r="176">
          <cell r="A176">
            <v>72220168</v>
          </cell>
          <cell r="B176">
            <v>1111</v>
          </cell>
          <cell r="C176" t="str">
            <v>가시나비고기</v>
          </cell>
          <cell r="D176" t="str">
            <v>A</v>
          </cell>
          <cell r="E176">
            <v>70409003</v>
          </cell>
          <cell r="H176" t="str">
            <v>-</v>
          </cell>
          <cell r="I176" t="str">
            <v>-</v>
          </cell>
          <cell r="K176" t="str">
            <v>-</v>
          </cell>
          <cell r="L176" t="str">
            <v>-</v>
          </cell>
          <cell r="N176" t="str">
            <v>-</v>
          </cell>
          <cell r="O176" t="str">
            <v>-</v>
          </cell>
          <cell r="Q176" t="str">
            <v>-</v>
          </cell>
          <cell r="R176" t="str">
            <v>-</v>
          </cell>
          <cell r="T176" t="str">
            <v>-</v>
          </cell>
          <cell r="U176" t="str">
            <v>-</v>
          </cell>
          <cell r="W176" t="str">
            <v>-</v>
          </cell>
          <cell r="X176" t="str">
            <v>-</v>
          </cell>
        </row>
        <row r="177">
          <cell r="A177">
            <v>72220169</v>
          </cell>
          <cell r="B177">
            <v>1111</v>
          </cell>
          <cell r="C177" t="str">
            <v>돛대돔</v>
          </cell>
          <cell r="D177" t="str">
            <v>B</v>
          </cell>
          <cell r="E177">
            <v>70409123</v>
          </cell>
          <cell r="H177" t="str">
            <v>-</v>
          </cell>
          <cell r="I177" t="str">
            <v>-</v>
          </cell>
          <cell r="K177" t="str">
            <v>-</v>
          </cell>
          <cell r="L177" t="str">
            <v>-</v>
          </cell>
          <cell r="N177" t="str">
            <v>-</v>
          </cell>
          <cell r="O177" t="str">
            <v>-</v>
          </cell>
          <cell r="Q177" t="str">
            <v>-</v>
          </cell>
          <cell r="R177" t="str">
            <v>-</v>
          </cell>
          <cell r="T177" t="str">
            <v>-</v>
          </cell>
          <cell r="U177" t="str">
            <v>-</v>
          </cell>
          <cell r="W177" t="str">
            <v>-</v>
          </cell>
          <cell r="X177" t="str">
            <v>-</v>
          </cell>
        </row>
        <row r="178">
          <cell r="A178">
            <v>72220170</v>
          </cell>
          <cell r="B178">
            <v>1111</v>
          </cell>
          <cell r="C178" t="str">
            <v>범돔</v>
          </cell>
          <cell r="D178" t="str">
            <v>B</v>
          </cell>
          <cell r="E178">
            <v>70409196</v>
          </cell>
          <cell r="H178" t="str">
            <v>-</v>
          </cell>
          <cell r="I178" t="str">
            <v>-</v>
          </cell>
          <cell r="K178" t="str">
            <v>-</v>
          </cell>
          <cell r="L178" t="str">
            <v>-</v>
          </cell>
          <cell r="N178" t="str">
            <v>-</v>
          </cell>
          <cell r="O178" t="str">
            <v>-</v>
          </cell>
          <cell r="Q178" t="str">
            <v>-</v>
          </cell>
          <cell r="R178" t="str">
            <v>-</v>
          </cell>
          <cell r="T178" t="str">
            <v>-</v>
          </cell>
          <cell r="U178" t="str">
            <v>-</v>
          </cell>
          <cell r="W178" t="str">
            <v>-</v>
          </cell>
          <cell r="X178" t="str">
            <v>-</v>
          </cell>
        </row>
        <row r="179">
          <cell r="A179">
            <v>72220171</v>
          </cell>
          <cell r="B179">
            <v>1111</v>
          </cell>
          <cell r="C179" t="str">
            <v>왕연어</v>
          </cell>
          <cell r="D179" t="str">
            <v>D</v>
          </cell>
          <cell r="E179">
            <v>70409297</v>
          </cell>
          <cell r="H179" t="str">
            <v>-</v>
          </cell>
          <cell r="I179" t="str">
            <v>-</v>
          </cell>
          <cell r="K179" t="str">
            <v>-</v>
          </cell>
          <cell r="L179" t="str">
            <v>-</v>
          </cell>
          <cell r="N179" t="str">
            <v>-</v>
          </cell>
          <cell r="O179" t="str">
            <v>-</v>
          </cell>
          <cell r="Q179" t="str">
            <v>-</v>
          </cell>
          <cell r="R179" t="str">
            <v>-</v>
          </cell>
          <cell r="T179" t="str">
            <v>-</v>
          </cell>
          <cell r="U179" t="str">
            <v>-</v>
          </cell>
          <cell r="W179" t="str">
            <v>-</v>
          </cell>
          <cell r="X179" t="str">
            <v>-</v>
          </cell>
        </row>
        <row r="180">
          <cell r="A180">
            <v>72220172</v>
          </cell>
          <cell r="B180">
            <v>1112</v>
          </cell>
          <cell r="C180" t="str">
            <v>꺼끌복</v>
          </cell>
          <cell r="D180" t="str">
            <v>S</v>
          </cell>
          <cell r="E180">
            <v>70409052</v>
          </cell>
          <cell r="H180" t="str">
            <v>-</v>
          </cell>
          <cell r="I180" t="str">
            <v>-</v>
          </cell>
          <cell r="K180" t="str">
            <v>-</v>
          </cell>
          <cell r="L180" t="str">
            <v>-</v>
          </cell>
          <cell r="N180" t="str">
            <v>-</v>
          </cell>
          <cell r="O180" t="str">
            <v>-</v>
          </cell>
          <cell r="Q180" t="str">
            <v>-</v>
          </cell>
          <cell r="R180" t="str">
            <v>-</v>
          </cell>
          <cell r="T180" t="str">
            <v>-</v>
          </cell>
          <cell r="U180" t="str">
            <v>-</v>
          </cell>
          <cell r="W180" t="str">
            <v>-</v>
          </cell>
          <cell r="X180" t="str">
            <v>-</v>
          </cell>
        </row>
        <row r="181">
          <cell r="A181">
            <v>72220173</v>
          </cell>
          <cell r="B181">
            <v>1112</v>
          </cell>
          <cell r="C181" t="str">
            <v>가시나비고기</v>
          </cell>
          <cell r="D181" t="str">
            <v>A</v>
          </cell>
          <cell r="E181">
            <v>70409003</v>
          </cell>
          <cell r="H181" t="str">
            <v>-</v>
          </cell>
          <cell r="I181" t="str">
            <v>-</v>
          </cell>
          <cell r="K181" t="str">
            <v>-</v>
          </cell>
          <cell r="L181" t="str">
            <v>-</v>
          </cell>
          <cell r="N181" t="str">
            <v>-</v>
          </cell>
          <cell r="O181" t="str">
            <v>-</v>
          </cell>
          <cell r="Q181" t="str">
            <v>-</v>
          </cell>
          <cell r="R181" t="str">
            <v>-</v>
          </cell>
          <cell r="T181" t="str">
            <v>-</v>
          </cell>
          <cell r="U181" t="str">
            <v>-</v>
          </cell>
          <cell r="W181" t="str">
            <v>-</v>
          </cell>
          <cell r="X181" t="str">
            <v>-</v>
          </cell>
        </row>
        <row r="182">
          <cell r="A182">
            <v>72220174</v>
          </cell>
          <cell r="B182">
            <v>1112</v>
          </cell>
          <cell r="C182" t="str">
            <v>돛대돔</v>
          </cell>
          <cell r="D182" t="str">
            <v>B</v>
          </cell>
          <cell r="E182">
            <v>70409123</v>
          </cell>
          <cell r="H182" t="str">
            <v>-</v>
          </cell>
          <cell r="I182" t="str">
            <v>-</v>
          </cell>
          <cell r="K182" t="str">
            <v>-</v>
          </cell>
          <cell r="L182" t="str">
            <v>-</v>
          </cell>
          <cell r="N182" t="str">
            <v>-</v>
          </cell>
          <cell r="O182" t="str">
            <v>-</v>
          </cell>
          <cell r="Q182" t="str">
            <v>-</v>
          </cell>
          <cell r="R182" t="str">
            <v>-</v>
          </cell>
          <cell r="T182" t="str">
            <v>-</v>
          </cell>
          <cell r="U182" t="str">
            <v>-</v>
          </cell>
          <cell r="W182" t="str">
            <v>-</v>
          </cell>
          <cell r="X182" t="str">
            <v>-</v>
          </cell>
        </row>
        <row r="183">
          <cell r="A183">
            <v>72220175</v>
          </cell>
          <cell r="B183">
            <v>1112</v>
          </cell>
          <cell r="C183" t="str">
            <v>범돔</v>
          </cell>
          <cell r="D183" t="str">
            <v>B</v>
          </cell>
          <cell r="E183">
            <v>70409196</v>
          </cell>
          <cell r="H183" t="str">
            <v>-</v>
          </cell>
          <cell r="I183" t="str">
            <v>-</v>
          </cell>
          <cell r="K183" t="str">
            <v>-</v>
          </cell>
          <cell r="L183" t="str">
            <v>-</v>
          </cell>
          <cell r="N183" t="str">
            <v>-</v>
          </cell>
          <cell r="O183" t="str">
            <v>-</v>
          </cell>
          <cell r="Q183" t="str">
            <v>-</v>
          </cell>
          <cell r="R183" t="str">
            <v>-</v>
          </cell>
          <cell r="T183" t="str">
            <v>-</v>
          </cell>
          <cell r="U183" t="str">
            <v>-</v>
          </cell>
          <cell r="W183" t="str">
            <v>-</v>
          </cell>
          <cell r="X183" t="str">
            <v>-</v>
          </cell>
        </row>
        <row r="184">
          <cell r="A184">
            <v>72220176</v>
          </cell>
          <cell r="B184">
            <v>1112</v>
          </cell>
          <cell r="C184" t="str">
            <v>왕연어</v>
          </cell>
          <cell r="D184" t="str">
            <v>D</v>
          </cell>
          <cell r="E184">
            <v>70409297</v>
          </cell>
          <cell r="H184" t="str">
            <v>-</v>
          </cell>
          <cell r="I184" t="str">
            <v>-</v>
          </cell>
          <cell r="K184" t="str">
            <v>-</v>
          </cell>
          <cell r="L184" t="str">
            <v>-</v>
          </cell>
          <cell r="N184" t="str">
            <v>-</v>
          </cell>
          <cell r="O184" t="str">
            <v>-</v>
          </cell>
          <cell r="Q184" t="str">
            <v>-</v>
          </cell>
          <cell r="R184" t="str">
            <v>-</v>
          </cell>
          <cell r="T184" t="str">
            <v>-</v>
          </cell>
          <cell r="U184" t="str">
            <v>-</v>
          </cell>
          <cell r="W184" t="str">
            <v>-</v>
          </cell>
          <cell r="X184" t="str">
            <v>-</v>
          </cell>
        </row>
        <row r="185">
          <cell r="A185">
            <v>72220177</v>
          </cell>
          <cell r="B185">
            <v>1113</v>
          </cell>
          <cell r="C185" t="str">
            <v>꺼끌복</v>
          </cell>
          <cell r="D185" t="str">
            <v>S</v>
          </cell>
          <cell r="E185">
            <v>70409052</v>
          </cell>
          <cell r="H185" t="str">
            <v>-</v>
          </cell>
          <cell r="I185" t="str">
            <v>-</v>
          </cell>
          <cell r="K185" t="str">
            <v>-</v>
          </cell>
          <cell r="L185" t="str">
            <v>-</v>
          </cell>
          <cell r="N185" t="str">
            <v>-</v>
          </cell>
          <cell r="O185" t="str">
            <v>-</v>
          </cell>
          <cell r="Q185" t="str">
            <v>-</v>
          </cell>
          <cell r="R185" t="str">
            <v>-</v>
          </cell>
          <cell r="T185" t="str">
            <v>-</v>
          </cell>
          <cell r="U185" t="str">
            <v>-</v>
          </cell>
          <cell r="W185" t="str">
            <v>-</v>
          </cell>
          <cell r="X185" t="str">
            <v>-</v>
          </cell>
        </row>
        <row r="186">
          <cell r="A186">
            <v>72220178</v>
          </cell>
          <cell r="B186">
            <v>1113</v>
          </cell>
          <cell r="C186" t="str">
            <v>가시나비고기</v>
          </cell>
          <cell r="D186" t="str">
            <v>A</v>
          </cell>
          <cell r="E186">
            <v>70409003</v>
          </cell>
          <cell r="H186" t="str">
            <v>-</v>
          </cell>
          <cell r="I186" t="str">
            <v>-</v>
          </cell>
          <cell r="K186" t="str">
            <v>-</v>
          </cell>
          <cell r="L186" t="str">
            <v>-</v>
          </cell>
          <cell r="N186" t="str">
            <v>-</v>
          </cell>
          <cell r="O186" t="str">
            <v>-</v>
          </cell>
          <cell r="Q186" t="str">
            <v>-</v>
          </cell>
          <cell r="R186" t="str">
            <v>-</v>
          </cell>
          <cell r="T186" t="str">
            <v>-</v>
          </cell>
          <cell r="U186" t="str">
            <v>-</v>
          </cell>
          <cell r="W186" t="str">
            <v>-</v>
          </cell>
          <cell r="X186" t="str">
            <v>-</v>
          </cell>
        </row>
        <row r="187">
          <cell r="A187">
            <v>72220179</v>
          </cell>
          <cell r="B187">
            <v>1113</v>
          </cell>
          <cell r="C187" t="str">
            <v>돛대돔</v>
          </cell>
          <cell r="D187" t="str">
            <v>B</v>
          </cell>
          <cell r="E187">
            <v>70409123</v>
          </cell>
          <cell r="H187" t="str">
            <v>-</v>
          </cell>
          <cell r="I187" t="str">
            <v>-</v>
          </cell>
          <cell r="K187" t="str">
            <v>-</v>
          </cell>
          <cell r="L187" t="str">
            <v>-</v>
          </cell>
          <cell r="N187" t="str">
            <v>-</v>
          </cell>
          <cell r="O187" t="str">
            <v>-</v>
          </cell>
          <cell r="Q187" t="str">
            <v>-</v>
          </cell>
          <cell r="R187" t="str">
            <v>-</v>
          </cell>
          <cell r="T187" t="str">
            <v>-</v>
          </cell>
          <cell r="U187" t="str">
            <v>-</v>
          </cell>
          <cell r="W187" t="str">
            <v>-</v>
          </cell>
          <cell r="X187" t="str">
            <v>-</v>
          </cell>
        </row>
        <row r="188">
          <cell r="A188">
            <v>72220180</v>
          </cell>
          <cell r="B188">
            <v>1113</v>
          </cell>
          <cell r="C188" t="str">
            <v>범돔</v>
          </cell>
          <cell r="D188" t="str">
            <v>B</v>
          </cell>
          <cell r="E188">
            <v>70409196</v>
          </cell>
          <cell r="H188" t="str">
            <v>-</v>
          </cell>
          <cell r="I188" t="str">
            <v>-</v>
          </cell>
          <cell r="K188" t="str">
            <v>-</v>
          </cell>
          <cell r="L188" t="str">
            <v>-</v>
          </cell>
          <cell r="N188" t="str">
            <v>-</v>
          </cell>
          <cell r="O188" t="str">
            <v>-</v>
          </cell>
          <cell r="Q188" t="str">
            <v>-</v>
          </cell>
          <cell r="R188" t="str">
            <v>-</v>
          </cell>
          <cell r="T188" t="str">
            <v>-</v>
          </cell>
          <cell r="U188" t="str">
            <v>-</v>
          </cell>
          <cell r="W188" t="str">
            <v>-</v>
          </cell>
          <cell r="X188" t="str">
            <v>-</v>
          </cell>
        </row>
        <row r="189">
          <cell r="A189">
            <v>72220181</v>
          </cell>
          <cell r="B189">
            <v>1113</v>
          </cell>
          <cell r="C189" t="str">
            <v>왕연어</v>
          </cell>
          <cell r="D189" t="str">
            <v>D</v>
          </cell>
          <cell r="E189">
            <v>70409297</v>
          </cell>
          <cell r="H189" t="str">
            <v>-</v>
          </cell>
          <cell r="I189" t="str">
            <v>-</v>
          </cell>
          <cell r="K189" t="str">
            <v>-</v>
          </cell>
          <cell r="L189" t="str">
            <v>-</v>
          </cell>
          <cell r="N189" t="str">
            <v>-</v>
          </cell>
          <cell r="O189" t="str">
            <v>-</v>
          </cell>
          <cell r="Q189" t="str">
            <v>-</v>
          </cell>
          <cell r="R189" t="str">
            <v>-</v>
          </cell>
          <cell r="T189" t="str">
            <v>-</v>
          </cell>
          <cell r="U189" t="str">
            <v>-</v>
          </cell>
          <cell r="W189" t="str">
            <v>-</v>
          </cell>
          <cell r="X189" t="str">
            <v>-</v>
          </cell>
        </row>
        <row r="190">
          <cell r="A190">
            <v>72220182</v>
          </cell>
          <cell r="B190">
            <v>1114</v>
          </cell>
          <cell r="C190" t="str">
            <v>꺼끌복</v>
          </cell>
          <cell r="D190" t="str">
            <v>S</v>
          </cell>
          <cell r="E190">
            <v>70409052</v>
          </cell>
          <cell r="H190" t="str">
            <v>-</v>
          </cell>
          <cell r="I190" t="str">
            <v>-</v>
          </cell>
          <cell r="K190" t="str">
            <v>-</v>
          </cell>
          <cell r="L190" t="str">
            <v>-</v>
          </cell>
          <cell r="N190" t="str">
            <v>-</v>
          </cell>
          <cell r="O190" t="str">
            <v>-</v>
          </cell>
          <cell r="Q190" t="str">
            <v>-</v>
          </cell>
          <cell r="R190" t="str">
            <v>-</v>
          </cell>
          <cell r="T190" t="str">
            <v>-</v>
          </cell>
          <cell r="U190" t="str">
            <v>-</v>
          </cell>
          <cell r="W190" t="str">
            <v>-</v>
          </cell>
          <cell r="X190" t="str">
            <v>-</v>
          </cell>
        </row>
        <row r="191">
          <cell r="A191">
            <v>72220183</v>
          </cell>
          <cell r="B191">
            <v>1114</v>
          </cell>
          <cell r="C191" t="str">
            <v>가시나비고기</v>
          </cell>
          <cell r="D191" t="str">
            <v>A</v>
          </cell>
          <cell r="E191">
            <v>70409003</v>
          </cell>
          <cell r="H191" t="str">
            <v>-</v>
          </cell>
          <cell r="I191" t="str">
            <v>-</v>
          </cell>
          <cell r="K191" t="str">
            <v>-</v>
          </cell>
          <cell r="L191" t="str">
            <v>-</v>
          </cell>
          <cell r="N191" t="str">
            <v>-</v>
          </cell>
          <cell r="O191" t="str">
            <v>-</v>
          </cell>
          <cell r="Q191" t="str">
            <v>-</v>
          </cell>
          <cell r="R191" t="str">
            <v>-</v>
          </cell>
          <cell r="T191" t="str">
            <v>-</v>
          </cell>
          <cell r="U191" t="str">
            <v>-</v>
          </cell>
          <cell r="W191" t="str">
            <v>-</v>
          </cell>
          <cell r="X191" t="str">
            <v>-</v>
          </cell>
        </row>
        <row r="192">
          <cell r="A192">
            <v>72220184</v>
          </cell>
          <cell r="B192">
            <v>1114</v>
          </cell>
          <cell r="C192" t="str">
            <v>돛대돔</v>
          </cell>
          <cell r="D192" t="str">
            <v>B</v>
          </cell>
          <cell r="E192">
            <v>70409123</v>
          </cell>
          <cell r="H192" t="str">
            <v>-</v>
          </cell>
          <cell r="I192" t="str">
            <v>-</v>
          </cell>
          <cell r="K192" t="str">
            <v>-</v>
          </cell>
          <cell r="L192" t="str">
            <v>-</v>
          </cell>
          <cell r="N192" t="str">
            <v>-</v>
          </cell>
          <cell r="O192" t="str">
            <v>-</v>
          </cell>
          <cell r="Q192" t="str">
            <v>-</v>
          </cell>
          <cell r="R192" t="str">
            <v>-</v>
          </cell>
          <cell r="T192" t="str">
            <v>-</v>
          </cell>
          <cell r="U192" t="str">
            <v>-</v>
          </cell>
          <cell r="W192" t="str">
            <v>-</v>
          </cell>
          <cell r="X192" t="str">
            <v>-</v>
          </cell>
        </row>
        <row r="193">
          <cell r="A193">
            <v>72220185</v>
          </cell>
          <cell r="B193">
            <v>1114</v>
          </cell>
          <cell r="C193" t="str">
            <v>범돔</v>
          </cell>
          <cell r="D193" t="str">
            <v>B</v>
          </cell>
          <cell r="E193">
            <v>70409196</v>
          </cell>
          <cell r="H193" t="str">
            <v>-</v>
          </cell>
          <cell r="I193" t="str">
            <v>-</v>
          </cell>
          <cell r="K193" t="str">
            <v>-</v>
          </cell>
          <cell r="L193" t="str">
            <v>-</v>
          </cell>
          <cell r="N193" t="str">
            <v>-</v>
          </cell>
          <cell r="O193" t="str">
            <v>-</v>
          </cell>
          <cell r="Q193" t="str">
            <v>-</v>
          </cell>
          <cell r="R193" t="str">
            <v>-</v>
          </cell>
          <cell r="T193" t="str">
            <v>-</v>
          </cell>
          <cell r="U193" t="str">
            <v>-</v>
          </cell>
          <cell r="W193" t="str">
            <v>-</v>
          </cell>
          <cell r="X193" t="str">
            <v>-</v>
          </cell>
        </row>
        <row r="194">
          <cell r="A194">
            <v>72220186</v>
          </cell>
          <cell r="B194">
            <v>1114</v>
          </cell>
          <cell r="C194" t="str">
            <v>왕연어</v>
          </cell>
          <cell r="D194" t="str">
            <v>D</v>
          </cell>
          <cell r="E194">
            <v>70409297</v>
          </cell>
          <cell r="H194" t="str">
            <v>-</v>
          </cell>
          <cell r="I194" t="str">
            <v>-</v>
          </cell>
          <cell r="K194" t="str">
            <v>-</v>
          </cell>
          <cell r="L194" t="str">
            <v>-</v>
          </cell>
          <cell r="N194" t="str">
            <v>-</v>
          </cell>
          <cell r="O194" t="str">
            <v>-</v>
          </cell>
          <cell r="Q194" t="str">
            <v>-</v>
          </cell>
          <cell r="R194" t="str">
            <v>-</v>
          </cell>
          <cell r="T194" t="str">
            <v>-</v>
          </cell>
          <cell r="U194" t="str">
            <v>-</v>
          </cell>
          <cell r="W194" t="str">
            <v>-</v>
          </cell>
          <cell r="X194" t="str">
            <v>-</v>
          </cell>
        </row>
        <row r="195">
          <cell r="A195">
            <v>72220187</v>
          </cell>
          <cell r="B195">
            <v>1121</v>
          </cell>
          <cell r="C195" t="str">
            <v>푸른점문어</v>
          </cell>
          <cell r="D195" t="str">
            <v>S</v>
          </cell>
          <cell r="E195">
            <v>70409380</v>
          </cell>
          <cell r="H195" t="str">
            <v>-</v>
          </cell>
          <cell r="I195" t="str">
            <v>-</v>
          </cell>
          <cell r="K195" t="str">
            <v>-</v>
          </cell>
          <cell r="L195" t="str">
            <v>-</v>
          </cell>
          <cell r="N195" t="str">
            <v>-</v>
          </cell>
          <cell r="O195" t="str">
            <v>-</v>
          </cell>
          <cell r="Q195" t="str">
            <v>-</v>
          </cell>
          <cell r="R195" t="str">
            <v>-</v>
          </cell>
          <cell r="T195" t="str">
            <v>-</v>
          </cell>
          <cell r="U195" t="str">
            <v>-</v>
          </cell>
          <cell r="W195" t="str">
            <v>-</v>
          </cell>
          <cell r="X195" t="str">
            <v>-</v>
          </cell>
        </row>
        <row r="196">
          <cell r="A196">
            <v>72220188</v>
          </cell>
          <cell r="B196">
            <v>1121</v>
          </cell>
          <cell r="C196" t="str">
            <v>백다랑어</v>
          </cell>
          <cell r="D196" t="str">
            <v>A</v>
          </cell>
          <cell r="E196">
            <v>70409188</v>
          </cell>
          <cell r="H196" t="str">
            <v>-</v>
          </cell>
          <cell r="I196" t="str">
            <v>-</v>
          </cell>
          <cell r="K196" t="str">
            <v>-</v>
          </cell>
          <cell r="L196" t="str">
            <v>-</v>
          </cell>
          <cell r="N196" t="str">
            <v>-</v>
          </cell>
          <cell r="O196" t="str">
            <v>-</v>
          </cell>
          <cell r="Q196" t="str">
            <v>-</v>
          </cell>
          <cell r="R196" t="str">
            <v>-</v>
          </cell>
          <cell r="T196" t="str">
            <v>-</v>
          </cell>
          <cell r="U196" t="str">
            <v>-</v>
          </cell>
          <cell r="W196" t="str">
            <v>-</v>
          </cell>
          <cell r="X196" t="str">
            <v>-</v>
          </cell>
        </row>
        <row r="197">
          <cell r="A197">
            <v>72220189</v>
          </cell>
          <cell r="B197">
            <v>1121</v>
          </cell>
          <cell r="C197" t="str">
            <v>나망곰치</v>
          </cell>
          <cell r="D197" t="str">
            <v>B</v>
          </cell>
          <cell r="E197">
            <v>70409060</v>
          </cell>
          <cell r="H197" t="str">
            <v>-</v>
          </cell>
          <cell r="I197" t="str">
            <v>-</v>
          </cell>
          <cell r="K197" t="str">
            <v>-</v>
          </cell>
          <cell r="L197" t="str">
            <v>-</v>
          </cell>
          <cell r="N197" t="str">
            <v>-</v>
          </cell>
          <cell r="O197" t="str">
            <v>-</v>
          </cell>
          <cell r="Q197" t="str">
            <v>-</v>
          </cell>
          <cell r="R197" t="str">
            <v>-</v>
          </cell>
          <cell r="T197" t="str">
            <v>-</v>
          </cell>
          <cell r="U197" t="str">
            <v>-</v>
          </cell>
          <cell r="W197" t="str">
            <v>-</v>
          </cell>
          <cell r="X197" t="str">
            <v>-</v>
          </cell>
        </row>
        <row r="198">
          <cell r="A198">
            <v>72220190</v>
          </cell>
          <cell r="B198">
            <v>1121</v>
          </cell>
          <cell r="C198" t="str">
            <v>검은점곰치</v>
          </cell>
          <cell r="D198" t="str">
            <v>B</v>
          </cell>
          <cell r="E198">
            <v>70409026</v>
          </cell>
          <cell r="H198" t="str">
            <v>-</v>
          </cell>
          <cell r="I198" t="str">
            <v>-</v>
          </cell>
          <cell r="K198" t="str">
            <v>-</v>
          </cell>
          <cell r="L198" t="str">
            <v>-</v>
          </cell>
          <cell r="N198" t="str">
            <v>-</v>
          </cell>
          <cell r="O198" t="str">
            <v>-</v>
          </cell>
          <cell r="Q198" t="str">
            <v>-</v>
          </cell>
          <cell r="R198" t="str">
            <v>-</v>
          </cell>
          <cell r="T198" t="str">
            <v>-</v>
          </cell>
          <cell r="U198" t="str">
            <v>-</v>
          </cell>
          <cell r="W198" t="str">
            <v>-</v>
          </cell>
          <cell r="X198" t="str">
            <v>-</v>
          </cell>
        </row>
        <row r="199">
          <cell r="A199">
            <v>72220191</v>
          </cell>
          <cell r="B199">
            <v>1122</v>
          </cell>
          <cell r="C199" t="str">
            <v>푸른점문어</v>
          </cell>
          <cell r="D199" t="str">
            <v>S</v>
          </cell>
          <cell r="E199">
            <v>70409380</v>
          </cell>
          <cell r="H199" t="str">
            <v>-</v>
          </cell>
          <cell r="I199" t="str">
            <v>-</v>
          </cell>
          <cell r="K199" t="str">
            <v>-</v>
          </cell>
          <cell r="L199" t="str">
            <v>-</v>
          </cell>
          <cell r="N199" t="str">
            <v>-</v>
          </cell>
          <cell r="O199" t="str">
            <v>-</v>
          </cell>
          <cell r="Q199" t="str">
            <v>-</v>
          </cell>
          <cell r="R199" t="str">
            <v>-</v>
          </cell>
          <cell r="T199" t="str">
            <v>-</v>
          </cell>
          <cell r="U199" t="str">
            <v>-</v>
          </cell>
          <cell r="W199" t="str">
            <v>-</v>
          </cell>
          <cell r="X199" t="str">
            <v>-</v>
          </cell>
        </row>
        <row r="200">
          <cell r="A200">
            <v>72220192</v>
          </cell>
          <cell r="B200">
            <v>1122</v>
          </cell>
          <cell r="C200" t="str">
            <v>백다랑어</v>
          </cell>
          <cell r="D200" t="str">
            <v>A</v>
          </cell>
          <cell r="E200">
            <v>70409188</v>
          </cell>
          <cell r="H200" t="str">
            <v>-</v>
          </cell>
          <cell r="I200" t="str">
            <v>-</v>
          </cell>
          <cell r="K200" t="str">
            <v>-</v>
          </cell>
          <cell r="L200" t="str">
            <v>-</v>
          </cell>
          <cell r="N200" t="str">
            <v>-</v>
          </cell>
          <cell r="O200" t="str">
            <v>-</v>
          </cell>
          <cell r="Q200" t="str">
            <v>-</v>
          </cell>
          <cell r="R200" t="str">
            <v>-</v>
          </cell>
          <cell r="T200" t="str">
            <v>-</v>
          </cell>
          <cell r="U200" t="str">
            <v>-</v>
          </cell>
          <cell r="W200" t="str">
            <v>-</v>
          </cell>
          <cell r="X200" t="str">
            <v>-</v>
          </cell>
        </row>
        <row r="201">
          <cell r="A201">
            <v>72220193</v>
          </cell>
          <cell r="B201">
            <v>1122</v>
          </cell>
          <cell r="C201" t="str">
            <v>나망곰치</v>
          </cell>
          <cell r="D201" t="str">
            <v>B</v>
          </cell>
          <cell r="E201">
            <v>70409060</v>
          </cell>
          <cell r="H201" t="str">
            <v>-</v>
          </cell>
          <cell r="I201" t="str">
            <v>-</v>
          </cell>
          <cell r="K201" t="str">
            <v>-</v>
          </cell>
          <cell r="L201" t="str">
            <v>-</v>
          </cell>
          <cell r="N201" t="str">
            <v>-</v>
          </cell>
          <cell r="O201" t="str">
            <v>-</v>
          </cell>
          <cell r="Q201" t="str">
            <v>-</v>
          </cell>
          <cell r="R201" t="str">
            <v>-</v>
          </cell>
          <cell r="T201" t="str">
            <v>-</v>
          </cell>
          <cell r="U201" t="str">
            <v>-</v>
          </cell>
          <cell r="W201" t="str">
            <v>-</v>
          </cell>
          <cell r="X201" t="str">
            <v>-</v>
          </cell>
        </row>
        <row r="202">
          <cell r="A202">
            <v>72220194</v>
          </cell>
          <cell r="B202">
            <v>1122</v>
          </cell>
          <cell r="C202" t="str">
            <v>검은점곰치</v>
          </cell>
          <cell r="D202" t="str">
            <v>B</v>
          </cell>
          <cell r="E202">
            <v>70409026</v>
          </cell>
          <cell r="H202" t="str">
            <v>-</v>
          </cell>
          <cell r="I202" t="str">
            <v>-</v>
          </cell>
          <cell r="K202" t="str">
            <v>-</v>
          </cell>
          <cell r="L202" t="str">
            <v>-</v>
          </cell>
          <cell r="N202" t="str">
            <v>-</v>
          </cell>
          <cell r="O202" t="str">
            <v>-</v>
          </cell>
          <cell r="Q202" t="str">
            <v>-</v>
          </cell>
          <cell r="R202" t="str">
            <v>-</v>
          </cell>
          <cell r="T202" t="str">
            <v>-</v>
          </cell>
          <cell r="U202" t="str">
            <v>-</v>
          </cell>
          <cell r="W202" t="str">
            <v>-</v>
          </cell>
          <cell r="X202" t="str">
            <v>-</v>
          </cell>
        </row>
        <row r="203">
          <cell r="A203">
            <v>72220195</v>
          </cell>
          <cell r="B203">
            <v>1123</v>
          </cell>
          <cell r="C203" t="str">
            <v>푸른점문어</v>
          </cell>
          <cell r="D203" t="str">
            <v>S</v>
          </cell>
          <cell r="E203">
            <v>70409380</v>
          </cell>
          <cell r="H203" t="str">
            <v>-</v>
          </cell>
          <cell r="I203" t="str">
            <v>-</v>
          </cell>
          <cell r="K203" t="str">
            <v>-</v>
          </cell>
          <cell r="L203" t="str">
            <v>-</v>
          </cell>
          <cell r="N203" t="str">
            <v>-</v>
          </cell>
          <cell r="O203" t="str">
            <v>-</v>
          </cell>
          <cell r="Q203" t="str">
            <v>-</v>
          </cell>
          <cell r="R203" t="str">
            <v>-</v>
          </cell>
          <cell r="T203" t="str">
            <v>-</v>
          </cell>
          <cell r="U203" t="str">
            <v>-</v>
          </cell>
          <cell r="W203" t="str">
            <v>-</v>
          </cell>
          <cell r="X203" t="str">
            <v>-</v>
          </cell>
        </row>
        <row r="204">
          <cell r="A204">
            <v>72220196</v>
          </cell>
          <cell r="B204">
            <v>1123</v>
          </cell>
          <cell r="C204" t="str">
            <v>백다랑어</v>
          </cell>
          <cell r="D204" t="str">
            <v>A</v>
          </cell>
          <cell r="E204">
            <v>70409188</v>
          </cell>
          <cell r="H204" t="str">
            <v>-</v>
          </cell>
          <cell r="I204" t="str">
            <v>-</v>
          </cell>
          <cell r="K204" t="str">
            <v>-</v>
          </cell>
          <cell r="L204" t="str">
            <v>-</v>
          </cell>
          <cell r="N204" t="str">
            <v>-</v>
          </cell>
          <cell r="O204" t="str">
            <v>-</v>
          </cell>
          <cell r="Q204" t="str">
            <v>-</v>
          </cell>
          <cell r="R204" t="str">
            <v>-</v>
          </cell>
          <cell r="T204" t="str">
            <v>-</v>
          </cell>
          <cell r="U204" t="str">
            <v>-</v>
          </cell>
          <cell r="W204" t="str">
            <v>-</v>
          </cell>
          <cell r="X204" t="str">
            <v>-</v>
          </cell>
        </row>
        <row r="205">
          <cell r="A205">
            <v>72220197</v>
          </cell>
          <cell r="B205">
            <v>1123</v>
          </cell>
          <cell r="C205" t="str">
            <v>나망곰치</v>
          </cell>
          <cell r="D205" t="str">
            <v>B</v>
          </cell>
          <cell r="E205">
            <v>70409060</v>
          </cell>
          <cell r="H205" t="str">
            <v>-</v>
          </cell>
          <cell r="I205" t="str">
            <v>-</v>
          </cell>
          <cell r="K205" t="str">
            <v>-</v>
          </cell>
          <cell r="L205" t="str">
            <v>-</v>
          </cell>
          <cell r="N205" t="str">
            <v>-</v>
          </cell>
          <cell r="O205" t="str">
            <v>-</v>
          </cell>
          <cell r="Q205" t="str">
            <v>-</v>
          </cell>
          <cell r="R205" t="str">
            <v>-</v>
          </cell>
          <cell r="T205" t="str">
            <v>-</v>
          </cell>
          <cell r="U205" t="str">
            <v>-</v>
          </cell>
          <cell r="W205" t="str">
            <v>-</v>
          </cell>
          <cell r="X205" t="str">
            <v>-</v>
          </cell>
        </row>
        <row r="206">
          <cell r="A206">
            <v>72220198</v>
          </cell>
          <cell r="B206">
            <v>1123</v>
          </cell>
          <cell r="C206" t="str">
            <v>검은점곰치</v>
          </cell>
          <cell r="D206" t="str">
            <v>B</v>
          </cell>
          <cell r="E206">
            <v>70409026</v>
          </cell>
          <cell r="H206" t="str">
            <v>-</v>
          </cell>
          <cell r="I206" t="str">
            <v>-</v>
          </cell>
          <cell r="K206" t="str">
            <v>-</v>
          </cell>
          <cell r="L206" t="str">
            <v>-</v>
          </cell>
          <cell r="N206" t="str">
            <v>-</v>
          </cell>
          <cell r="O206" t="str">
            <v>-</v>
          </cell>
          <cell r="Q206" t="str">
            <v>-</v>
          </cell>
          <cell r="R206" t="str">
            <v>-</v>
          </cell>
          <cell r="T206" t="str">
            <v>-</v>
          </cell>
          <cell r="U206" t="str">
            <v>-</v>
          </cell>
          <cell r="W206" t="str">
            <v>-</v>
          </cell>
          <cell r="X206" t="str">
            <v>-</v>
          </cell>
        </row>
        <row r="207">
          <cell r="A207">
            <v>72220199</v>
          </cell>
          <cell r="B207">
            <v>1124</v>
          </cell>
          <cell r="C207" t="str">
            <v>푸른점문어</v>
          </cell>
          <cell r="D207" t="str">
            <v>S</v>
          </cell>
          <cell r="E207">
            <v>70409380</v>
          </cell>
          <cell r="H207" t="str">
            <v>-</v>
          </cell>
          <cell r="I207" t="str">
            <v>-</v>
          </cell>
          <cell r="K207" t="str">
            <v>-</v>
          </cell>
          <cell r="L207" t="str">
            <v>-</v>
          </cell>
          <cell r="N207" t="str">
            <v>-</v>
          </cell>
          <cell r="O207" t="str">
            <v>-</v>
          </cell>
          <cell r="Q207" t="str">
            <v>-</v>
          </cell>
          <cell r="R207" t="str">
            <v>-</v>
          </cell>
          <cell r="T207" t="str">
            <v>-</v>
          </cell>
          <cell r="U207" t="str">
            <v>-</v>
          </cell>
          <cell r="W207" t="str">
            <v>-</v>
          </cell>
          <cell r="X207" t="str">
            <v>-</v>
          </cell>
        </row>
        <row r="208">
          <cell r="A208">
            <v>72220200</v>
          </cell>
          <cell r="B208">
            <v>1124</v>
          </cell>
          <cell r="C208" t="str">
            <v>백다랑어</v>
          </cell>
          <cell r="D208" t="str">
            <v>A</v>
          </cell>
          <cell r="E208">
            <v>70409188</v>
          </cell>
          <cell r="H208" t="str">
            <v>-</v>
          </cell>
          <cell r="I208" t="str">
            <v>-</v>
          </cell>
          <cell r="K208" t="str">
            <v>-</v>
          </cell>
          <cell r="L208" t="str">
            <v>-</v>
          </cell>
          <cell r="N208" t="str">
            <v>-</v>
          </cell>
          <cell r="O208" t="str">
            <v>-</v>
          </cell>
          <cell r="Q208" t="str">
            <v>-</v>
          </cell>
          <cell r="R208" t="str">
            <v>-</v>
          </cell>
          <cell r="T208" t="str">
            <v>-</v>
          </cell>
          <cell r="U208" t="str">
            <v>-</v>
          </cell>
          <cell r="W208" t="str">
            <v>-</v>
          </cell>
          <cell r="X208" t="str">
            <v>-</v>
          </cell>
        </row>
        <row r="209">
          <cell r="A209">
            <v>72220201</v>
          </cell>
          <cell r="B209">
            <v>1124</v>
          </cell>
          <cell r="C209" t="str">
            <v>나망곰치</v>
          </cell>
          <cell r="D209" t="str">
            <v>B</v>
          </cell>
          <cell r="E209">
            <v>70409060</v>
          </cell>
          <cell r="H209" t="str">
            <v>-</v>
          </cell>
          <cell r="I209" t="str">
            <v>-</v>
          </cell>
          <cell r="K209" t="str">
            <v>-</v>
          </cell>
          <cell r="L209" t="str">
            <v>-</v>
          </cell>
          <cell r="N209" t="str">
            <v>-</v>
          </cell>
          <cell r="O209" t="str">
            <v>-</v>
          </cell>
          <cell r="Q209" t="str">
            <v>-</v>
          </cell>
          <cell r="R209" t="str">
            <v>-</v>
          </cell>
          <cell r="T209" t="str">
            <v>-</v>
          </cell>
          <cell r="U209" t="str">
            <v>-</v>
          </cell>
          <cell r="W209" t="str">
            <v>-</v>
          </cell>
          <cell r="X209" t="str">
            <v>-</v>
          </cell>
        </row>
        <row r="210">
          <cell r="A210">
            <v>72220202</v>
          </cell>
          <cell r="B210">
            <v>1124</v>
          </cell>
          <cell r="C210" t="str">
            <v>검은점곰치</v>
          </cell>
          <cell r="D210" t="str">
            <v>B</v>
          </cell>
          <cell r="E210">
            <v>70409026</v>
          </cell>
          <cell r="H210" t="str">
            <v>-</v>
          </cell>
          <cell r="I210" t="str">
            <v>-</v>
          </cell>
          <cell r="K210" t="str">
            <v>-</v>
          </cell>
          <cell r="L210" t="str">
            <v>-</v>
          </cell>
          <cell r="N210" t="str">
            <v>-</v>
          </cell>
          <cell r="O210" t="str">
            <v>-</v>
          </cell>
          <cell r="Q210" t="str">
            <v>-</v>
          </cell>
          <cell r="R210" t="str">
            <v>-</v>
          </cell>
          <cell r="T210" t="str">
            <v>-</v>
          </cell>
          <cell r="U210" t="str">
            <v>-</v>
          </cell>
          <cell r="W210" t="str">
            <v>-</v>
          </cell>
          <cell r="X210" t="str">
            <v>-</v>
          </cell>
        </row>
        <row r="211">
          <cell r="A211">
            <v>72220203</v>
          </cell>
          <cell r="B211">
            <v>1131</v>
          </cell>
          <cell r="C211" t="str">
            <v>청새리상어</v>
          </cell>
          <cell r="D211" t="str">
            <v>S</v>
          </cell>
          <cell r="E211">
            <v>70409349</v>
          </cell>
          <cell r="H211" t="str">
            <v>-</v>
          </cell>
          <cell r="I211" t="str">
            <v>-</v>
          </cell>
          <cell r="K211" t="str">
            <v>-</v>
          </cell>
          <cell r="L211" t="str">
            <v>-</v>
          </cell>
          <cell r="N211" t="str">
            <v>-</v>
          </cell>
          <cell r="O211" t="str">
            <v>-</v>
          </cell>
          <cell r="Q211" t="str">
            <v>-</v>
          </cell>
          <cell r="R211" t="str">
            <v>-</v>
          </cell>
          <cell r="T211" t="str">
            <v>-</v>
          </cell>
          <cell r="U211" t="str">
            <v>-</v>
          </cell>
          <cell r="W211" t="str">
            <v>-</v>
          </cell>
          <cell r="X211" t="str">
            <v>-</v>
          </cell>
        </row>
        <row r="212">
          <cell r="A212">
            <v>72220204</v>
          </cell>
          <cell r="B212">
            <v>1131</v>
          </cell>
          <cell r="C212" t="str">
            <v>매끈이송편게</v>
          </cell>
          <cell r="D212" t="str">
            <v>A</v>
          </cell>
          <cell r="E212">
            <v>70409140</v>
          </cell>
          <cell r="H212" t="str">
            <v>-</v>
          </cell>
          <cell r="I212" t="str">
            <v>-</v>
          </cell>
          <cell r="K212" t="str">
            <v>-</v>
          </cell>
          <cell r="L212" t="str">
            <v>-</v>
          </cell>
          <cell r="N212" t="str">
            <v>-</v>
          </cell>
          <cell r="O212" t="str">
            <v>-</v>
          </cell>
          <cell r="Q212" t="str">
            <v>-</v>
          </cell>
          <cell r="R212" t="str">
            <v>-</v>
          </cell>
          <cell r="T212" t="str">
            <v>-</v>
          </cell>
          <cell r="U212" t="str">
            <v>-</v>
          </cell>
          <cell r="W212" t="str">
            <v>-</v>
          </cell>
          <cell r="X212" t="str">
            <v>-</v>
          </cell>
        </row>
        <row r="213">
          <cell r="A213">
            <v>72220205</v>
          </cell>
          <cell r="B213">
            <v>1131</v>
          </cell>
          <cell r="C213" t="str">
            <v>꾀붕장어</v>
          </cell>
          <cell r="D213" t="str">
            <v>B</v>
          </cell>
          <cell r="E213">
            <v>70409059</v>
          </cell>
          <cell r="H213" t="str">
            <v>-</v>
          </cell>
          <cell r="I213" t="str">
            <v>-</v>
          </cell>
          <cell r="K213" t="str">
            <v>-</v>
          </cell>
          <cell r="L213" t="str">
            <v>-</v>
          </cell>
          <cell r="N213" t="str">
            <v>-</v>
          </cell>
          <cell r="O213" t="str">
            <v>-</v>
          </cell>
          <cell r="Q213" t="str">
            <v>-</v>
          </cell>
          <cell r="R213" t="str">
            <v>-</v>
          </cell>
          <cell r="T213" t="str">
            <v>-</v>
          </cell>
          <cell r="U213" t="str">
            <v>-</v>
          </cell>
          <cell r="W213" t="str">
            <v>-</v>
          </cell>
          <cell r="X213" t="str">
            <v>-</v>
          </cell>
        </row>
        <row r="214">
          <cell r="A214">
            <v>72220206</v>
          </cell>
          <cell r="B214">
            <v>1131</v>
          </cell>
          <cell r="C214" t="str">
            <v>실망둑</v>
          </cell>
          <cell r="D214" t="str">
            <v>C</v>
          </cell>
          <cell r="E214">
            <v>70409264</v>
          </cell>
          <cell r="H214" t="str">
            <v>-</v>
          </cell>
          <cell r="I214" t="str">
            <v>-</v>
          </cell>
          <cell r="K214" t="str">
            <v>-</v>
          </cell>
          <cell r="L214" t="str">
            <v>-</v>
          </cell>
          <cell r="N214" t="str">
            <v>-</v>
          </cell>
          <cell r="O214" t="str">
            <v>-</v>
          </cell>
          <cell r="Q214" t="str">
            <v>-</v>
          </cell>
          <cell r="R214" t="str">
            <v>-</v>
          </cell>
          <cell r="T214" t="str">
            <v>-</v>
          </cell>
          <cell r="U214" t="str">
            <v>-</v>
          </cell>
          <cell r="W214" t="str">
            <v>-</v>
          </cell>
          <cell r="X214" t="str">
            <v>-</v>
          </cell>
        </row>
        <row r="215">
          <cell r="A215">
            <v>72220207</v>
          </cell>
          <cell r="B215">
            <v>1131</v>
          </cell>
          <cell r="C215" t="str">
            <v>점다랑어</v>
          </cell>
          <cell r="D215" t="str">
            <v>D</v>
          </cell>
          <cell r="E215">
            <v>70409315</v>
          </cell>
          <cell r="H215" t="str">
            <v>-</v>
          </cell>
          <cell r="I215" t="str">
            <v>-</v>
          </cell>
          <cell r="K215" t="str">
            <v>-</v>
          </cell>
          <cell r="L215" t="str">
            <v>-</v>
          </cell>
          <cell r="N215" t="str">
            <v>-</v>
          </cell>
          <cell r="O215" t="str">
            <v>-</v>
          </cell>
          <cell r="Q215" t="str">
            <v>-</v>
          </cell>
          <cell r="R215" t="str">
            <v>-</v>
          </cell>
          <cell r="T215" t="str">
            <v>-</v>
          </cell>
          <cell r="U215" t="str">
            <v>-</v>
          </cell>
          <cell r="W215" t="str">
            <v>-</v>
          </cell>
          <cell r="X215" t="str">
            <v>-</v>
          </cell>
        </row>
        <row r="216">
          <cell r="A216">
            <v>72220208</v>
          </cell>
          <cell r="B216">
            <v>1132</v>
          </cell>
          <cell r="C216" t="str">
            <v>청새리상어</v>
          </cell>
          <cell r="D216" t="str">
            <v>S</v>
          </cell>
          <cell r="E216">
            <v>70409349</v>
          </cell>
          <cell r="H216" t="str">
            <v>-</v>
          </cell>
          <cell r="I216" t="str">
            <v>-</v>
          </cell>
          <cell r="K216" t="str">
            <v>-</v>
          </cell>
          <cell r="L216" t="str">
            <v>-</v>
          </cell>
          <cell r="N216" t="str">
            <v>-</v>
          </cell>
          <cell r="O216" t="str">
            <v>-</v>
          </cell>
          <cell r="Q216" t="str">
            <v>-</v>
          </cell>
          <cell r="R216" t="str">
            <v>-</v>
          </cell>
          <cell r="T216" t="str">
            <v>-</v>
          </cell>
          <cell r="U216" t="str">
            <v>-</v>
          </cell>
          <cell r="W216" t="str">
            <v>-</v>
          </cell>
          <cell r="X216" t="str">
            <v>-</v>
          </cell>
        </row>
        <row r="217">
          <cell r="A217">
            <v>72220209</v>
          </cell>
          <cell r="B217">
            <v>1132</v>
          </cell>
          <cell r="C217" t="str">
            <v>매끈이송편게</v>
          </cell>
          <cell r="D217" t="str">
            <v>A</v>
          </cell>
          <cell r="E217">
            <v>70409140</v>
          </cell>
          <cell r="H217" t="str">
            <v>-</v>
          </cell>
          <cell r="I217" t="str">
            <v>-</v>
          </cell>
          <cell r="K217" t="str">
            <v>-</v>
          </cell>
          <cell r="L217" t="str">
            <v>-</v>
          </cell>
          <cell r="N217" t="str">
            <v>-</v>
          </cell>
          <cell r="O217" t="str">
            <v>-</v>
          </cell>
          <cell r="Q217" t="str">
            <v>-</v>
          </cell>
          <cell r="R217" t="str">
            <v>-</v>
          </cell>
          <cell r="T217" t="str">
            <v>-</v>
          </cell>
          <cell r="U217" t="str">
            <v>-</v>
          </cell>
          <cell r="W217" t="str">
            <v>-</v>
          </cell>
          <cell r="X217" t="str">
            <v>-</v>
          </cell>
        </row>
        <row r="218">
          <cell r="A218">
            <v>72220210</v>
          </cell>
          <cell r="B218">
            <v>1132</v>
          </cell>
          <cell r="C218" t="str">
            <v>꾀붕장어</v>
          </cell>
          <cell r="D218" t="str">
            <v>B</v>
          </cell>
          <cell r="E218">
            <v>70409059</v>
          </cell>
          <cell r="H218" t="str">
            <v>-</v>
          </cell>
          <cell r="I218" t="str">
            <v>-</v>
          </cell>
          <cell r="K218" t="str">
            <v>-</v>
          </cell>
          <cell r="L218" t="str">
            <v>-</v>
          </cell>
          <cell r="N218" t="str">
            <v>-</v>
          </cell>
          <cell r="O218" t="str">
            <v>-</v>
          </cell>
          <cell r="Q218" t="str">
            <v>-</v>
          </cell>
          <cell r="R218" t="str">
            <v>-</v>
          </cell>
          <cell r="T218" t="str">
            <v>-</v>
          </cell>
          <cell r="U218" t="str">
            <v>-</v>
          </cell>
          <cell r="W218" t="str">
            <v>-</v>
          </cell>
          <cell r="X218" t="str">
            <v>-</v>
          </cell>
        </row>
        <row r="219">
          <cell r="A219">
            <v>72220211</v>
          </cell>
          <cell r="B219">
            <v>1132</v>
          </cell>
          <cell r="C219" t="str">
            <v>실망둑</v>
          </cell>
          <cell r="D219" t="str">
            <v>C</v>
          </cell>
          <cell r="E219">
            <v>70409264</v>
          </cell>
          <cell r="H219" t="str">
            <v>-</v>
          </cell>
          <cell r="I219" t="str">
            <v>-</v>
          </cell>
          <cell r="K219" t="str">
            <v>-</v>
          </cell>
          <cell r="L219" t="str">
            <v>-</v>
          </cell>
          <cell r="N219" t="str">
            <v>-</v>
          </cell>
          <cell r="O219" t="str">
            <v>-</v>
          </cell>
          <cell r="Q219" t="str">
            <v>-</v>
          </cell>
          <cell r="R219" t="str">
            <v>-</v>
          </cell>
          <cell r="T219" t="str">
            <v>-</v>
          </cell>
          <cell r="U219" t="str">
            <v>-</v>
          </cell>
          <cell r="W219" t="str">
            <v>-</v>
          </cell>
          <cell r="X219" t="str">
            <v>-</v>
          </cell>
        </row>
        <row r="220">
          <cell r="A220">
            <v>72220212</v>
          </cell>
          <cell r="B220">
            <v>1132</v>
          </cell>
          <cell r="C220" t="str">
            <v>점다랑어</v>
          </cell>
          <cell r="D220" t="str">
            <v>D</v>
          </cell>
          <cell r="E220">
            <v>70409315</v>
          </cell>
          <cell r="H220" t="str">
            <v>-</v>
          </cell>
          <cell r="I220" t="str">
            <v>-</v>
          </cell>
          <cell r="K220" t="str">
            <v>-</v>
          </cell>
          <cell r="L220" t="str">
            <v>-</v>
          </cell>
          <cell r="N220" t="str">
            <v>-</v>
          </cell>
          <cell r="O220" t="str">
            <v>-</v>
          </cell>
          <cell r="Q220" t="str">
            <v>-</v>
          </cell>
          <cell r="R220" t="str">
            <v>-</v>
          </cell>
          <cell r="T220" t="str">
            <v>-</v>
          </cell>
          <cell r="U220" t="str">
            <v>-</v>
          </cell>
          <cell r="W220" t="str">
            <v>-</v>
          </cell>
          <cell r="X220" t="str">
            <v>-</v>
          </cell>
        </row>
        <row r="221">
          <cell r="A221">
            <v>72220213</v>
          </cell>
          <cell r="B221">
            <v>1133</v>
          </cell>
          <cell r="C221" t="str">
            <v>청새리상어</v>
          </cell>
          <cell r="D221" t="str">
            <v>S</v>
          </cell>
          <cell r="E221">
            <v>70409349</v>
          </cell>
          <cell r="H221" t="str">
            <v>-</v>
          </cell>
          <cell r="I221" t="str">
            <v>-</v>
          </cell>
          <cell r="K221" t="str">
            <v>-</v>
          </cell>
          <cell r="L221" t="str">
            <v>-</v>
          </cell>
          <cell r="N221" t="str">
            <v>-</v>
          </cell>
          <cell r="O221" t="str">
            <v>-</v>
          </cell>
          <cell r="Q221" t="str">
            <v>-</v>
          </cell>
          <cell r="R221" t="str">
            <v>-</v>
          </cell>
          <cell r="T221" t="str">
            <v>-</v>
          </cell>
          <cell r="U221" t="str">
            <v>-</v>
          </cell>
          <cell r="W221" t="str">
            <v>-</v>
          </cell>
          <cell r="X221" t="str">
            <v>-</v>
          </cell>
        </row>
        <row r="222">
          <cell r="A222">
            <v>72220214</v>
          </cell>
          <cell r="B222">
            <v>1133</v>
          </cell>
          <cell r="C222" t="str">
            <v>매끈이송편게</v>
          </cell>
          <cell r="D222" t="str">
            <v>A</v>
          </cell>
          <cell r="E222">
            <v>70409140</v>
          </cell>
          <cell r="H222" t="str">
            <v>-</v>
          </cell>
          <cell r="I222" t="str">
            <v>-</v>
          </cell>
          <cell r="K222" t="str">
            <v>-</v>
          </cell>
          <cell r="L222" t="str">
            <v>-</v>
          </cell>
          <cell r="N222" t="str">
            <v>-</v>
          </cell>
          <cell r="O222" t="str">
            <v>-</v>
          </cell>
          <cell r="Q222" t="str">
            <v>-</v>
          </cell>
          <cell r="R222" t="str">
            <v>-</v>
          </cell>
          <cell r="T222" t="str">
            <v>-</v>
          </cell>
          <cell r="U222" t="str">
            <v>-</v>
          </cell>
          <cell r="W222" t="str">
            <v>-</v>
          </cell>
          <cell r="X222" t="str">
            <v>-</v>
          </cell>
        </row>
        <row r="223">
          <cell r="A223">
            <v>72220215</v>
          </cell>
          <cell r="B223">
            <v>1133</v>
          </cell>
          <cell r="C223" t="str">
            <v>꾀붕장어</v>
          </cell>
          <cell r="D223" t="str">
            <v>B</v>
          </cell>
          <cell r="E223">
            <v>70409059</v>
          </cell>
          <cell r="H223" t="str">
            <v>-</v>
          </cell>
          <cell r="I223" t="str">
            <v>-</v>
          </cell>
          <cell r="K223" t="str">
            <v>-</v>
          </cell>
          <cell r="L223" t="str">
            <v>-</v>
          </cell>
          <cell r="N223" t="str">
            <v>-</v>
          </cell>
          <cell r="O223" t="str">
            <v>-</v>
          </cell>
          <cell r="Q223" t="str">
            <v>-</v>
          </cell>
          <cell r="R223" t="str">
            <v>-</v>
          </cell>
          <cell r="T223" t="str">
            <v>-</v>
          </cell>
          <cell r="U223" t="str">
            <v>-</v>
          </cell>
          <cell r="W223" t="str">
            <v>-</v>
          </cell>
          <cell r="X223" t="str">
            <v>-</v>
          </cell>
        </row>
        <row r="224">
          <cell r="A224">
            <v>72220216</v>
          </cell>
          <cell r="B224">
            <v>1133</v>
          </cell>
          <cell r="C224" t="str">
            <v>실망둑</v>
          </cell>
          <cell r="D224" t="str">
            <v>C</v>
          </cell>
          <cell r="E224">
            <v>70409264</v>
          </cell>
          <cell r="H224" t="str">
            <v>-</v>
          </cell>
          <cell r="I224" t="str">
            <v>-</v>
          </cell>
          <cell r="K224" t="str">
            <v>-</v>
          </cell>
          <cell r="L224" t="str">
            <v>-</v>
          </cell>
          <cell r="N224" t="str">
            <v>-</v>
          </cell>
          <cell r="O224" t="str">
            <v>-</v>
          </cell>
          <cell r="Q224" t="str">
            <v>-</v>
          </cell>
          <cell r="R224" t="str">
            <v>-</v>
          </cell>
          <cell r="T224" t="str">
            <v>-</v>
          </cell>
          <cell r="U224" t="str">
            <v>-</v>
          </cell>
          <cell r="W224" t="str">
            <v>-</v>
          </cell>
          <cell r="X224" t="str">
            <v>-</v>
          </cell>
        </row>
        <row r="225">
          <cell r="A225">
            <v>72220217</v>
          </cell>
          <cell r="B225">
            <v>1133</v>
          </cell>
          <cell r="C225" t="str">
            <v>점다랑어</v>
          </cell>
          <cell r="D225" t="str">
            <v>D</v>
          </cell>
          <cell r="E225">
            <v>70409315</v>
          </cell>
          <cell r="H225" t="str">
            <v>-</v>
          </cell>
          <cell r="I225" t="str">
            <v>-</v>
          </cell>
          <cell r="K225" t="str">
            <v>-</v>
          </cell>
          <cell r="L225" t="str">
            <v>-</v>
          </cell>
          <cell r="N225" t="str">
            <v>-</v>
          </cell>
          <cell r="O225" t="str">
            <v>-</v>
          </cell>
          <cell r="Q225" t="str">
            <v>-</v>
          </cell>
          <cell r="R225" t="str">
            <v>-</v>
          </cell>
          <cell r="T225" t="str">
            <v>-</v>
          </cell>
          <cell r="U225" t="str">
            <v>-</v>
          </cell>
          <cell r="W225" t="str">
            <v>-</v>
          </cell>
          <cell r="X225" t="str">
            <v>-</v>
          </cell>
        </row>
        <row r="226">
          <cell r="A226">
            <v>72220218</v>
          </cell>
          <cell r="B226">
            <v>1134</v>
          </cell>
          <cell r="C226" t="str">
            <v>청새리상어</v>
          </cell>
          <cell r="D226" t="str">
            <v>S</v>
          </cell>
          <cell r="E226">
            <v>70409349</v>
          </cell>
          <cell r="H226" t="str">
            <v>-</v>
          </cell>
          <cell r="I226" t="str">
            <v>-</v>
          </cell>
          <cell r="K226" t="str">
            <v>-</v>
          </cell>
          <cell r="L226" t="str">
            <v>-</v>
          </cell>
          <cell r="N226" t="str">
            <v>-</v>
          </cell>
          <cell r="O226" t="str">
            <v>-</v>
          </cell>
          <cell r="Q226" t="str">
            <v>-</v>
          </cell>
          <cell r="R226" t="str">
            <v>-</v>
          </cell>
          <cell r="T226" t="str">
            <v>-</v>
          </cell>
          <cell r="U226" t="str">
            <v>-</v>
          </cell>
          <cell r="W226" t="str">
            <v>-</v>
          </cell>
          <cell r="X226" t="str">
            <v>-</v>
          </cell>
        </row>
        <row r="227">
          <cell r="A227">
            <v>72220219</v>
          </cell>
          <cell r="B227">
            <v>1134</v>
          </cell>
          <cell r="C227" t="str">
            <v>매끈이송편게</v>
          </cell>
          <cell r="D227" t="str">
            <v>A</v>
          </cell>
          <cell r="E227">
            <v>70409140</v>
          </cell>
          <cell r="H227" t="str">
            <v>-</v>
          </cell>
          <cell r="I227" t="str">
            <v>-</v>
          </cell>
          <cell r="K227" t="str">
            <v>-</v>
          </cell>
          <cell r="L227" t="str">
            <v>-</v>
          </cell>
          <cell r="N227" t="str">
            <v>-</v>
          </cell>
          <cell r="O227" t="str">
            <v>-</v>
          </cell>
          <cell r="Q227" t="str">
            <v>-</v>
          </cell>
          <cell r="R227" t="str">
            <v>-</v>
          </cell>
          <cell r="T227" t="str">
            <v>-</v>
          </cell>
          <cell r="U227" t="str">
            <v>-</v>
          </cell>
          <cell r="W227" t="str">
            <v>-</v>
          </cell>
          <cell r="X227" t="str">
            <v>-</v>
          </cell>
        </row>
        <row r="228">
          <cell r="A228">
            <v>72220220</v>
          </cell>
          <cell r="B228">
            <v>1134</v>
          </cell>
          <cell r="C228" t="str">
            <v>꾀붕장어</v>
          </cell>
          <cell r="D228" t="str">
            <v>B</v>
          </cell>
          <cell r="E228">
            <v>70409059</v>
          </cell>
          <cell r="H228" t="str">
            <v>-</v>
          </cell>
          <cell r="I228" t="str">
            <v>-</v>
          </cell>
          <cell r="K228" t="str">
            <v>-</v>
          </cell>
          <cell r="L228" t="str">
            <v>-</v>
          </cell>
          <cell r="N228" t="str">
            <v>-</v>
          </cell>
          <cell r="O228" t="str">
            <v>-</v>
          </cell>
          <cell r="Q228" t="str">
            <v>-</v>
          </cell>
          <cell r="R228" t="str">
            <v>-</v>
          </cell>
          <cell r="T228" t="str">
            <v>-</v>
          </cell>
          <cell r="U228" t="str">
            <v>-</v>
          </cell>
          <cell r="W228" t="str">
            <v>-</v>
          </cell>
          <cell r="X228" t="str">
            <v>-</v>
          </cell>
        </row>
        <row r="229">
          <cell r="A229">
            <v>72220221</v>
          </cell>
          <cell r="B229">
            <v>1134</v>
          </cell>
          <cell r="C229" t="str">
            <v>실망둑</v>
          </cell>
          <cell r="D229" t="str">
            <v>C</v>
          </cell>
          <cell r="E229">
            <v>70409264</v>
          </cell>
          <cell r="H229" t="str">
            <v>-</v>
          </cell>
          <cell r="I229" t="str">
            <v>-</v>
          </cell>
          <cell r="K229" t="str">
            <v>-</v>
          </cell>
          <cell r="L229" t="str">
            <v>-</v>
          </cell>
          <cell r="N229" t="str">
            <v>-</v>
          </cell>
          <cell r="O229" t="str">
            <v>-</v>
          </cell>
          <cell r="Q229" t="str">
            <v>-</v>
          </cell>
          <cell r="R229" t="str">
            <v>-</v>
          </cell>
          <cell r="T229" t="str">
            <v>-</v>
          </cell>
          <cell r="U229" t="str">
            <v>-</v>
          </cell>
          <cell r="W229" t="str">
            <v>-</v>
          </cell>
          <cell r="X229" t="str">
            <v>-</v>
          </cell>
        </row>
        <row r="230">
          <cell r="A230">
            <v>72220222</v>
          </cell>
          <cell r="B230">
            <v>1134</v>
          </cell>
          <cell r="C230" t="str">
            <v>점다랑어</v>
          </cell>
          <cell r="D230" t="str">
            <v>D</v>
          </cell>
          <cell r="E230">
            <v>70409315</v>
          </cell>
          <cell r="H230" t="str">
            <v>-</v>
          </cell>
          <cell r="I230" t="str">
            <v>-</v>
          </cell>
          <cell r="K230" t="str">
            <v>-</v>
          </cell>
          <cell r="L230" t="str">
            <v>-</v>
          </cell>
          <cell r="N230" t="str">
            <v>-</v>
          </cell>
          <cell r="O230" t="str">
            <v>-</v>
          </cell>
          <cell r="Q230" t="str">
            <v>-</v>
          </cell>
          <cell r="R230" t="str">
            <v>-</v>
          </cell>
          <cell r="T230" t="str">
            <v>-</v>
          </cell>
          <cell r="U230" t="str">
            <v>-</v>
          </cell>
          <cell r="W230" t="str">
            <v>-</v>
          </cell>
          <cell r="X230" t="str">
            <v>-</v>
          </cell>
        </row>
        <row r="231">
          <cell r="A231">
            <v>72220223</v>
          </cell>
          <cell r="B231">
            <v>1141</v>
          </cell>
          <cell r="C231" t="str">
            <v>눈볼대</v>
          </cell>
          <cell r="D231" t="str">
            <v>S</v>
          </cell>
          <cell r="E231">
            <v>70409090</v>
          </cell>
          <cell r="H231" t="str">
            <v>-</v>
          </cell>
          <cell r="I231" t="str">
            <v>-</v>
          </cell>
          <cell r="K231" t="str">
            <v>-</v>
          </cell>
          <cell r="L231" t="str">
            <v>-</v>
          </cell>
          <cell r="N231" t="str">
            <v>-</v>
          </cell>
          <cell r="O231" t="str">
            <v>-</v>
          </cell>
          <cell r="Q231" t="str">
            <v>-</v>
          </cell>
          <cell r="R231" t="str">
            <v>-</v>
          </cell>
          <cell r="T231" t="str">
            <v>-</v>
          </cell>
          <cell r="U231" t="str">
            <v>-</v>
          </cell>
          <cell r="W231" t="str">
            <v>-</v>
          </cell>
          <cell r="X231" t="str">
            <v>-</v>
          </cell>
        </row>
        <row r="232">
          <cell r="A232">
            <v>72220224</v>
          </cell>
          <cell r="B232">
            <v>1141</v>
          </cell>
          <cell r="C232" t="str">
            <v>도화돔</v>
          </cell>
          <cell r="D232" t="str">
            <v>A</v>
          </cell>
          <cell r="E232">
            <v>70409108</v>
          </cell>
          <cell r="H232" t="str">
            <v>-</v>
          </cell>
          <cell r="I232" t="str">
            <v>-</v>
          </cell>
          <cell r="K232" t="str">
            <v>-</v>
          </cell>
          <cell r="L232" t="str">
            <v>-</v>
          </cell>
          <cell r="N232" t="str">
            <v>-</v>
          </cell>
          <cell r="O232" t="str">
            <v>-</v>
          </cell>
          <cell r="Q232" t="str">
            <v>-</v>
          </cell>
          <cell r="R232" t="str">
            <v>-</v>
          </cell>
          <cell r="T232" t="str">
            <v>-</v>
          </cell>
          <cell r="U232" t="str">
            <v>-</v>
          </cell>
          <cell r="W232" t="str">
            <v>-</v>
          </cell>
          <cell r="X232" t="str">
            <v>-</v>
          </cell>
        </row>
        <row r="233">
          <cell r="A233">
            <v>72220225</v>
          </cell>
          <cell r="B233">
            <v>1141</v>
          </cell>
          <cell r="C233" t="str">
            <v>보라기름눈돔</v>
          </cell>
          <cell r="D233" t="str">
            <v>B</v>
          </cell>
          <cell r="E233">
            <v>70409207</v>
          </cell>
          <cell r="H233" t="str">
            <v>-</v>
          </cell>
          <cell r="I233" t="str">
            <v>-</v>
          </cell>
          <cell r="K233" t="str">
            <v>-</v>
          </cell>
          <cell r="L233" t="str">
            <v>-</v>
          </cell>
          <cell r="N233" t="str">
            <v>-</v>
          </cell>
          <cell r="O233" t="str">
            <v>-</v>
          </cell>
          <cell r="Q233" t="str">
            <v>-</v>
          </cell>
          <cell r="R233" t="str">
            <v>-</v>
          </cell>
          <cell r="T233" t="str">
            <v>-</v>
          </cell>
          <cell r="U233" t="str">
            <v>-</v>
          </cell>
          <cell r="W233" t="str">
            <v>-</v>
          </cell>
          <cell r="X233" t="str">
            <v>-</v>
          </cell>
        </row>
        <row r="234">
          <cell r="A234">
            <v>72220226</v>
          </cell>
          <cell r="B234">
            <v>1141</v>
          </cell>
          <cell r="C234" t="str">
            <v>실망둑</v>
          </cell>
          <cell r="D234" t="str">
            <v>C</v>
          </cell>
          <cell r="E234">
            <v>70409264</v>
          </cell>
          <cell r="H234" t="str">
            <v>-</v>
          </cell>
          <cell r="I234" t="str">
            <v>-</v>
          </cell>
          <cell r="K234" t="str">
            <v>-</v>
          </cell>
          <cell r="L234" t="str">
            <v>-</v>
          </cell>
          <cell r="N234" t="str">
            <v>-</v>
          </cell>
          <cell r="O234" t="str">
            <v>-</v>
          </cell>
          <cell r="Q234" t="str">
            <v>-</v>
          </cell>
          <cell r="R234" t="str">
            <v>-</v>
          </cell>
          <cell r="T234" t="str">
            <v>-</v>
          </cell>
          <cell r="U234" t="str">
            <v>-</v>
          </cell>
          <cell r="W234" t="str">
            <v>-</v>
          </cell>
          <cell r="X234" t="str">
            <v>-</v>
          </cell>
        </row>
        <row r="235">
          <cell r="A235">
            <v>72220227</v>
          </cell>
          <cell r="B235">
            <v>1141</v>
          </cell>
          <cell r="C235" t="str">
            <v>점다랑어</v>
          </cell>
          <cell r="D235" t="str">
            <v>D</v>
          </cell>
          <cell r="E235">
            <v>70409315</v>
          </cell>
          <cell r="H235" t="str">
            <v>-</v>
          </cell>
          <cell r="I235" t="str">
            <v>-</v>
          </cell>
          <cell r="K235" t="str">
            <v>-</v>
          </cell>
          <cell r="L235" t="str">
            <v>-</v>
          </cell>
          <cell r="N235" t="str">
            <v>-</v>
          </cell>
          <cell r="O235" t="str">
            <v>-</v>
          </cell>
          <cell r="Q235" t="str">
            <v>-</v>
          </cell>
          <cell r="R235" t="str">
            <v>-</v>
          </cell>
          <cell r="T235" t="str">
            <v>-</v>
          </cell>
          <cell r="U235" t="str">
            <v>-</v>
          </cell>
          <cell r="W235" t="str">
            <v>-</v>
          </cell>
          <cell r="X235" t="str">
            <v>-</v>
          </cell>
        </row>
        <row r="236">
          <cell r="A236">
            <v>72220228</v>
          </cell>
          <cell r="B236">
            <v>1142</v>
          </cell>
          <cell r="C236" t="str">
            <v>눈볼대</v>
          </cell>
          <cell r="D236" t="str">
            <v>S</v>
          </cell>
          <cell r="E236">
            <v>70409090</v>
          </cell>
          <cell r="H236" t="str">
            <v>-</v>
          </cell>
          <cell r="I236" t="str">
            <v>-</v>
          </cell>
          <cell r="K236" t="str">
            <v>-</v>
          </cell>
          <cell r="L236" t="str">
            <v>-</v>
          </cell>
          <cell r="N236" t="str">
            <v>-</v>
          </cell>
          <cell r="O236" t="str">
            <v>-</v>
          </cell>
          <cell r="Q236" t="str">
            <v>-</v>
          </cell>
          <cell r="R236" t="str">
            <v>-</v>
          </cell>
          <cell r="T236" t="str">
            <v>-</v>
          </cell>
          <cell r="U236" t="str">
            <v>-</v>
          </cell>
          <cell r="W236" t="str">
            <v>-</v>
          </cell>
          <cell r="X236" t="str">
            <v>-</v>
          </cell>
        </row>
        <row r="237">
          <cell r="A237">
            <v>72220229</v>
          </cell>
          <cell r="B237">
            <v>1142</v>
          </cell>
          <cell r="C237" t="str">
            <v>도화돔</v>
          </cell>
          <cell r="D237" t="str">
            <v>A</v>
          </cell>
          <cell r="E237">
            <v>70409108</v>
          </cell>
          <cell r="H237" t="str">
            <v>-</v>
          </cell>
          <cell r="I237" t="str">
            <v>-</v>
          </cell>
          <cell r="K237" t="str">
            <v>-</v>
          </cell>
          <cell r="L237" t="str">
            <v>-</v>
          </cell>
          <cell r="N237" t="str">
            <v>-</v>
          </cell>
          <cell r="O237" t="str">
            <v>-</v>
          </cell>
          <cell r="Q237" t="str">
            <v>-</v>
          </cell>
          <cell r="R237" t="str">
            <v>-</v>
          </cell>
          <cell r="T237" t="str">
            <v>-</v>
          </cell>
          <cell r="U237" t="str">
            <v>-</v>
          </cell>
          <cell r="W237" t="str">
            <v>-</v>
          </cell>
          <cell r="X237" t="str">
            <v>-</v>
          </cell>
        </row>
        <row r="238">
          <cell r="A238">
            <v>72220230</v>
          </cell>
          <cell r="B238">
            <v>1142</v>
          </cell>
          <cell r="C238" t="str">
            <v>보라기름눈돔</v>
          </cell>
          <cell r="D238" t="str">
            <v>B</v>
          </cell>
          <cell r="E238">
            <v>70409207</v>
          </cell>
          <cell r="H238" t="str">
            <v>-</v>
          </cell>
          <cell r="I238" t="str">
            <v>-</v>
          </cell>
          <cell r="K238" t="str">
            <v>-</v>
          </cell>
          <cell r="L238" t="str">
            <v>-</v>
          </cell>
          <cell r="N238" t="str">
            <v>-</v>
          </cell>
          <cell r="O238" t="str">
            <v>-</v>
          </cell>
          <cell r="Q238" t="str">
            <v>-</v>
          </cell>
          <cell r="R238" t="str">
            <v>-</v>
          </cell>
          <cell r="T238" t="str">
            <v>-</v>
          </cell>
          <cell r="U238" t="str">
            <v>-</v>
          </cell>
          <cell r="W238" t="str">
            <v>-</v>
          </cell>
          <cell r="X238" t="str">
            <v>-</v>
          </cell>
        </row>
        <row r="239">
          <cell r="A239">
            <v>72220231</v>
          </cell>
          <cell r="B239">
            <v>1142</v>
          </cell>
          <cell r="C239" t="str">
            <v>실망둑</v>
          </cell>
          <cell r="D239" t="str">
            <v>C</v>
          </cell>
          <cell r="E239">
            <v>70409264</v>
          </cell>
          <cell r="H239" t="str">
            <v>-</v>
          </cell>
          <cell r="I239" t="str">
            <v>-</v>
          </cell>
          <cell r="K239" t="str">
            <v>-</v>
          </cell>
          <cell r="L239" t="str">
            <v>-</v>
          </cell>
          <cell r="N239" t="str">
            <v>-</v>
          </cell>
          <cell r="O239" t="str">
            <v>-</v>
          </cell>
          <cell r="Q239" t="str">
            <v>-</v>
          </cell>
          <cell r="R239" t="str">
            <v>-</v>
          </cell>
          <cell r="T239" t="str">
            <v>-</v>
          </cell>
          <cell r="U239" t="str">
            <v>-</v>
          </cell>
          <cell r="W239" t="str">
            <v>-</v>
          </cell>
          <cell r="X239" t="str">
            <v>-</v>
          </cell>
        </row>
        <row r="240">
          <cell r="A240">
            <v>72220232</v>
          </cell>
          <cell r="B240">
            <v>1142</v>
          </cell>
          <cell r="C240" t="str">
            <v>점다랑어</v>
          </cell>
          <cell r="D240" t="str">
            <v>D</v>
          </cell>
          <cell r="E240">
            <v>70409315</v>
          </cell>
          <cell r="H240" t="str">
            <v>-</v>
          </cell>
          <cell r="I240" t="str">
            <v>-</v>
          </cell>
          <cell r="K240" t="str">
            <v>-</v>
          </cell>
          <cell r="L240" t="str">
            <v>-</v>
          </cell>
          <cell r="N240" t="str">
            <v>-</v>
          </cell>
          <cell r="O240" t="str">
            <v>-</v>
          </cell>
          <cell r="Q240" t="str">
            <v>-</v>
          </cell>
          <cell r="R240" t="str">
            <v>-</v>
          </cell>
          <cell r="T240" t="str">
            <v>-</v>
          </cell>
          <cell r="U240" t="str">
            <v>-</v>
          </cell>
          <cell r="W240" t="str">
            <v>-</v>
          </cell>
          <cell r="X240" t="str">
            <v>-</v>
          </cell>
        </row>
        <row r="241">
          <cell r="A241">
            <v>72220233</v>
          </cell>
          <cell r="B241">
            <v>1143</v>
          </cell>
          <cell r="C241" t="str">
            <v>눈볼대</v>
          </cell>
          <cell r="D241" t="str">
            <v>S</v>
          </cell>
          <cell r="E241">
            <v>70409090</v>
          </cell>
          <cell r="H241" t="str">
            <v>-</v>
          </cell>
          <cell r="I241" t="str">
            <v>-</v>
          </cell>
          <cell r="K241" t="str">
            <v>-</v>
          </cell>
          <cell r="L241" t="str">
            <v>-</v>
          </cell>
          <cell r="N241" t="str">
            <v>-</v>
          </cell>
          <cell r="O241" t="str">
            <v>-</v>
          </cell>
          <cell r="Q241" t="str">
            <v>-</v>
          </cell>
          <cell r="R241" t="str">
            <v>-</v>
          </cell>
          <cell r="T241" t="str">
            <v>-</v>
          </cell>
          <cell r="U241" t="str">
            <v>-</v>
          </cell>
          <cell r="W241" t="str">
            <v>-</v>
          </cell>
          <cell r="X241" t="str">
            <v>-</v>
          </cell>
        </row>
        <row r="242">
          <cell r="A242">
            <v>72220234</v>
          </cell>
          <cell r="B242">
            <v>1143</v>
          </cell>
          <cell r="C242" t="str">
            <v>도화돔</v>
          </cell>
          <cell r="D242" t="str">
            <v>A</v>
          </cell>
          <cell r="E242">
            <v>70409108</v>
          </cell>
          <cell r="H242" t="str">
            <v>-</v>
          </cell>
          <cell r="I242" t="str">
            <v>-</v>
          </cell>
          <cell r="K242" t="str">
            <v>-</v>
          </cell>
          <cell r="L242" t="str">
            <v>-</v>
          </cell>
          <cell r="N242" t="str">
            <v>-</v>
          </cell>
          <cell r="O242" t="str">
            <v>-</v>
          </cell>
          <cell r="Q242" t="str">
            <v>-</v>
          </cell>
          <cell r="R242" t="str">
            <v>-</v>
          </cell>
          <cell r="T242" t="str">
            <v>-</v>
          </cell>
          <cell r="U242" t="str">
            <v>-</v>
          </cell>
          <cell r="W242" t="str">
            <v>-</v>
          </cell>
          <cell r="X242" t="str">
            <v>-</v>
          </cell>
        </row>
        <row r="243">
          <cell r="A243">
            <v>72220235</v>
          </cell>
          <cell r="B243">
            <v>1143</v>
          </cell>
          <cell r="C243" t="str">
            <v>보라기름눈돔</v>
          </cell>
          <cell r="D243" t="str">
            <v>B</v>
          </cell>
          <cell r="E243">
            <v>70409207</v>
          </cell>
          <cell r="H243" t="str">
            <v>-</v>
          </cell>
          <cell r="I243" t="str">
            <v>-</v>
          </cell>
          <cell r="K243" t="str">
            <v>-</v>
          </cell>
          <cell r="L243" t="str">
            <v>-</v>
          </cell>
          <cell r="N243" t="str">
            <v>-</v>
          </cell>
          <cell r="O243" t="str">
            <v>-</v>
          </cell>
          <cell r="Q243" t="str">
            <v>-</v>
          </cell>
          <cell r="R243" t="str">
            <v>-</v>
          </cell>
          <cell r="T243" t="str">
            <v>-</v>
          </cell>
          <cell r="U243" t="str">
            <v>-</v>
          </cell>
          <cell r="W243" t="str">
            <v>-</v>
          </cell>
          <cell r="X243" t="str">
            <v>-</v>
          </cell>
        </row>
        <row r="244">
          <cell r="A244">
            <v>72220236</v>
          </cell>
          <cell r="B244">
            <v>1143</v>
          </cell>
          <cell r="C244" t="str">
            <v>실망둑</v>
          </cell>
          <cell r="D244" t="str">
            <v>C</v>
          </cell>
          <cell r="E244">
            <v>70409264</v>
          </cell>
          <cell r="H244" t="str">
            <v>-</v>
          </cell>
          <cell r="I244" t="str">
            <v>-</v>
          </cell>
          <cell r="K244" t="str">
            <v>-</v>
          </cell>
          <cell r="L244" t="str">
            <v>-</v>
          </cell>
          <cell r="N244" t="str">
            <v>-</v>
          </cell>
          <cell r="O244" t="str">
            <v>-</v>
          </cell>
          <cell r="Q244" t="str">
            <v>-</v>
          </cell>
          <cell r="R244" t="str">
            <v>-</v>
          </cell>
          <cell r="T244" t="str">
            <v>-</v>
          </cell>
          <cell r="U244" t="str">
            <v>-</v>
          </cell>
          <cell r="W244" t="str">
            <v>-</v>
          </cell>
          <cell r="X244" t="str">
            <v>-</v>
          </cell>
        </row>
        <row r="245">
          <cell r="A245">
            <v>72220237</v>
          </cell>
          <cell r="B245">
            <v>1143</v>
          </cell>
          <cell r="C245" t="str">
            <v>점다랑어</v>
          </cell>
          <cell r="D245" t="str">
            <v>D</v>
          </cell>
          <cell r="E245">
            <v>70409315</v>
          </cell>
          <cell r="H245" t="str">
            <v>-</v>
          </cell>
          <cell r="I245" t="str">
            <v>-</v>
          </cell>
          <cell r="K245" t="str">
            <v>-</v>
          </cell>
          <cell r="L245" t="str">
            <v>-</v>
          </cell>
          <cell r="N245" t="str">
            <v>-</v>
          </cell>
          <cell r="O245" t="str">
            <v>-</v>
          </cell>
          <cell r="Q245" t="str">
            <v>-</v>
          </cell>
          <cell r="R245" t="str">
            <v>-</v>
          </cell>
          <cell r="T245" t="str">
            <v>-</v>
          </cell>
          <cell r="U245" t="str">
            <v>-</v>
          </cell>
          <cell r="W245" t="str">
            <v>-</v>
          </cell>
          <cell r="X245" t="str">
            <v>-</v>
          </cell>
        </row>
        <row r="246">
          <cell r="A246">
            <v>72220238</v>
          </cell>
          <cell r="B246">
            <v>1144</v>
          </cell>
          <cell r="C246" t="str">
            <v>눈볼대</v>
          </cell>
          <cell r="D246" t="str">
            <v>S</v>
          </cell>
          <cell r="E246">
            <v>70409090</v>
          </cell>
          <cell r="H246" t="str">
            <v>-</v>
          </cell>
          <cell r="I246" t="str">
            <v>-</v>
          </cell>
          <cell r="K246" t="str">
            <v>-</v>
          </cell>
          <cell r="L246" t="str">
            <v>-</v>
          </cell>
          <cell r="N246" t="str">
            <v>-</v>
          </cell>
          <cell r="O246" t="str">
            <v>-</v>
          </cell>
          <cell r="Q246" t="str">
            <v>-</v>
          </cell>
          <cell r="R246" t="str">
            <v>-</v>
          </cell>
          <cell r="T246" t="str">
            <v>-</v>
          </cell>
          <cell r="U246" t="str">
            <v>-</v>
          </cell>
          <cell r="W246" t="str">
            <v>-</v>
          </cell>
          <cell r="X246" t="str">
            <v>-</v>
          </cell>
        </row>
        <row r="247">
          <cell r="A247">
            <v>72220239</v>
          </cell>
          <cell r="B247">
            <v>1144</v>
          </cell>
          <cell r="C247" t="str">
            <v>도화돔</v>
          </cell>
          <cell r="D247" t="str">
            <v>A</v>
          </cell>
          <cell r="E247">
            <v>70409108</v>
          </cell>
          <cell r="H247" t="str">
            <v>-</v>
          </cell>
          <cell r="I247" t="str">
            <v>-</v>
          </cell>
          <cell r="K247" t="str">
            <v>-</v>
          </cell>
          <cell r="L247" t="str">
            <v>-</v>
          </cell>
          <cell r="N247" t="str">
            <v>-</v>
          </cell>
          <cell r="O247" t="str">
            <v>-</v>
          </cell>
          <cell r="Q247" t="str">
            <v>-</v>
          </cell>
          <cell r="R247" t="str">
            <v>-</v>
          </cell>
          <cell r="T247" t="str">
            <v>-</v>
          </cell>
          <cell r="U247" t="str">
            <v>-</v>
          </cell>
          <cell r="W247" t="str">
            <v>-</v>
          </cell>
          <cell r="X247" t="str">
            <v>-</v>
          </cell>
        </row>
        <row r="248">
          <cell r="A248">
            <v>72220240</v>
          </cell>
          <cell r="B248">
            <v>1144</v>
          </cell>
          <cell r="C248" t="str">
            <v>보라기름눈돔</v>
          </cell>
          <cell r="D248" t="str">
            <v>B</v>
          </cell>
          <cell r="E248">
            <v>70409207</v>
          </cell>
          <cell r="H248" t="str">
            <v>-</v>
          </cell>
          <cell r="I248" t="str">
            <v>-</v>
          </cell>
          <cell r="K248" t="str">
            <v>-</v>
          </cell>
          <cell r="L248" t="str">
            <v>-</v>
          </cell>
          <cell r="N248" t="str">
            <v>-</v>
          </cell>
          <cell r="O248" t="str">
            <v>-</v>
          </cell>
          <cell r="Q248" t="str">
            <v>-</v>
          </cell>
          <cell r="R248" t="str">
            <v>-</v>
          </cell>
          <cell r="T248" t="str">
            <v>-</v>
          </cell>
          <cell r="U248" t="str">
            <v>-</v>
          </cell>
          <cell r="W248" t="str">
            <v>-</v>
          </cell>
          <cell r="X248" t="str">
            <v>-</v>
          </cell>
        </row>
        <row r="249">
          <cell r="A249">
            <v>72220241</v>
          </cell>
          <cell r="B249">
            <v>1144</v>
          </cell>
          <cell r="C249" t="str">
            <v>실망둑</v>
          </cell>
          <cell r="D249" t="str">
            <v>C</v>
          </cell>
          <cell r="E249">
            <v>70409264</v>
          </cell>
          <cell r="H249" t="str">
            <v>-</v>
          </cell>
          <cell r="I249" t="str">
            <v>-</v>
          </cell>
          <cell r="K249" t="str">
            <v>-</v>
          </cell>
          <cell r="L249" t="str">
            <v>-</v>
          </cell>
          <cell r="N249" t="str">
            <v>-</v>
          </cell>
          <cell r="O249" t="str">
            <v>-</v>
          </cell>
          <cell r="Q249" t="str">
            <v>-</v>
          </cell>
          <cell r="R249" t="str">
            <v>-</v>
          </cell>
          <cell r="T249" t="str">
            <v>-</v>
          </cell>
          <cell r="U249" t="str">
            <v>-</v>
          </cell>
          <cell r="W249" t="str">
            <v>-</v>
          </cell>
          <cell r="X249" t="str">
            <v>-</v>
          </cell>
        </row>
        <row r="250">
          <cell r="A250">
            <v>72220242</v>
          </cell>
          <cell r="B250">
            <v>1144</v>
          </cell>
          <cell r="C250" t="str">
            <v>점다랑어</v>
          </cell>
          <cell r="D250" t="str">
            <v>D</v>
          </cell>
          <cell r="E250">
            <v>70409315</v>
          </cell>
          <cell r="H250" t="str">
            <v>-</v>
          </cell>
          <cell r="I250" t="str">
            <v>-</v>
          </cell>
          <cell r="K250" t="str">
            <v>-</v>
          </cell>
          <cell r="L250" t="str">
            <v>-</v>
          </cell>
          <cell r="N250" t="str">
            <v>-</v>
          </cell>
          <cell r="O250" t="str">
            <v>-</v>
          </cell>
          <cell r="Q250" t="str">
            <v>-</v>
          </cell>
          <cell r="R250" t="str">
            <v>-</v>
          </cell>
          <cell r="T250" t="str">
            <v>-</v>
          </cell>
          <cell r="U250" t="str">
            <v>-</v>
          </cell>
          <cell r="W250" t="str">
            <v>-</v>
          </cell>
          <cell r="X250" t="str">
            <v>-</v>
          </cell>
        </row>
        <row r="251">
          <cell r="A251">
            <v>72220243</v>
          </cell>
          <cell r="B251">
            <v>1151</v>
          </cell>
          <cell r="C251" t="str">
            <v>참돔</v>
          </cell>
          <cell r="D251" t="str">
            <v>A</v>
          </cell>
          <cell r="E251">
            <v>70409341</v>
          </cell>
          <cell r="H251" t="str">
            <v>-</v>
          </cell>
          <cell r="I251" t="str">
            <v>-</v>
          </cell>
          <cell r="K251" t="str">
            <v>-</v>
          </cell>
          <cell r="L251" t="str">
            <v>-</v>
          </cell>
          <cell r="N251" t="str">
            <v>-</v>
          </cell>
          <cell r="O251" t="str">
            <v>-</v>
          </cell>
          <cell r="Q251" t="str">
            <v>-</v>
          </cell>
          <cell r="R251" t="str">
            <v>-</v>
          </cell>
          <cell r="T251" t="str">
            <v>-</v>
          </cell>
          <cell r="U251" t="str">
            <v>-</v>
          </cell>
          <cell r="W251" t="str">
            <v>-</v>
          </cell>
          <cell r="X251" t="str">
            <v>-</v>
          </cell>
        </row>
        <row r="252">
          <cell r="A252">
            <v>72220244</v>
          </cell>
          <cell r="B252">
            <v>1151</v>
          </cell>
          <cell r="C252" t="str">
            <v>멸치</v>
          </cell>
          <cell r="D252" t="str">
            <v>D</v>
          </cell>
          <cell r="E252">
            <v>70409150</v>
          </cell>
          <cell r="H252" t="str">
            <v>-</v>
          </cell>
          <cell r="I252" t="str">
            <v>-</v>
          </cell>
          <cell r="K252" t="str">
            <v>-</v>
          </cell>
          <cell r="L252" t="str">
            <v>-</v>
          </cell>
          <cell r="N252" t="str">
            <v>-</v>
          </cell>
          <cell r="O252" t="str">
            <v>-</v>
          </cell>
          <cell r="Q252" t="str">
            <v>-</v>
          </cell>
          <cell r="R252" t="str">
            <v>-</v>
          </cell>
          <cell r="T252" t="str">
            <v>-</v>
          </cell>
          <cell r="U252" t="str">
            <v>-</v>
          </cell>
          <cell r="W252" t="str">
            <v>-</v>
          </cell>
          <cell r="X252" t="str">
            <v>-</v>
          </cell>
        </row>
        <row r="253">
          <cell r="A253">
            <v>72220245</v>
          </cell>
          <cell r="B253">
            <v>1151</v>
          </cell>
          <cell r="C253" t="str">
            <v>큰뿔표문쥐치</v>
          </cell>
          <cell r="D253" t="str">
            <v>D</v>
          </cell>
          <cell r="E253">
            <v>70409360</v>
          </cell>
          <cell r="H253" t="str">
            <v>-</v>
          </cell>
          <cell r="I253" t="str">
            <v>-</v>
          </cell>
          <cell r="K253" t="str">
            <v>-</v>
          </cell>
          <cell r="L253" t="str">
            <v>-</v>
          </cell>
          <cell r="N253" t="str">
            <v>-</v>
          </cell>
          <cell r="O253" t="str">
            <v>-</v>
          </cell>
          <cell r="Q253" t="str">
            <v>-</v>
          </cell>
          <cell r="R253" t="str">
            <v>-</v>
          </cell>
          <cell r="T253" t="str">
            <v>-</v>
          </cell>
          <cell r="U253" t="str">
            <v>-</v>
          </cell>
          <cell r="W253" t="str">
            <v>-</v>
          </cell>
          <cell r="X253" t="str">
            <v>-</v>
          </cell>
        </row>
        <row r="254">
          <cell r="A254">
            <v>72220246</v>
          </cell>
          <cell r="B254">
            <v>1152</v>
          </cell>
          <cell r="C254" t="str">
            <v>참돔</v>
          </cell>
          <cell r="D254" t="str">
            <v>A</v>
          </cell>
          <cell r="E254">
            <v>70409341</v>
          </cell>
          <cell r="H254" t="str">
            <v>-</v>
          </cell>
          <cell r="I254" t="str">
            <v>-</v>
          </cell>
          <cell r="K254" t="str">
            <v>-</v>
          </cell>
          <cell r="L254" t="str">
            <v>-</v>
          </cell>
          <cell r="N254" t="str">
            <v>-</v>
          </cell>
          <cell r="O254" t="str">
            <v>-</v>
          </cell>
          <cell r="Q254" t="str">
            <v>-</v>
          </cell>
          <cell r="R254" t="str">
            <v>-</v>
          </cell>
          <cell r="T254" t="str">
            <v>-</v>
          </cell>
          <cell r="U254" t="str">
            <v>-</v>
          </cell>
          <cell r="W254" t="str">
            <v>-</v>
          </cell>
          <cell r="X254" t="str">
            <v>-</v>
          </cell>
        </row>
        <row r="255">
          <cell r="A255">
            <v>72220247</v>
          </cell>
          <cell r="B255">
            <v>1152</v>
          </cell>
          <cell r="C255" t="str">
            <v>멸치</v>
          </cell>
          <cell r="D255" t="str">
            <v>D</v>
          </cell>
          <cell r="E255">
            <v>70409150</v>
          </cell>
          <cell r="H255" t="str">
            <v>-</v>
          </cell>
          <cell r="I255" t="str">
            <v>-</v>
          </cell>
          <cell r="K255" t="str">
            <v>-</v>
          </cell>
          <cell r="L255" t="str">
            <v>-</v>
          </cell>
          <cell r="N255" t="str">
            <v>-</v>
          </cell>
          <cell r="O255" t="str">
            <v>-</v>
          </cell>
          <cell r="Q255" t="str">
            <v>-</v>
          </cell>
          <cell r="R255" t="str">
            <v>-</v>
          </cell>
          <cell r="T255" t="str">
            <v>-</v>
          </cell>
          <cell r="U255" t="str">
            <v>-</v>
          </cell>
          <cell r="W255" t="str">
            <v>-</v>
          </cell>
          <cell r="X255" t="str">
            <v>-</v>
          </cell>
        </row>
        <row r="256">
          <cell r="A256">
            <v>72220248</v>
          </cell>
          <cell r="B256">
            <v>1152</v>
          </cell>
          <cell r="C256" t="str">
            <v>큰뿔표문쥐치</v>
          </cell>
          <cell r="D256" t="str">
            <v>D</v>
          </cell>
          <cell r="E256">
            <v>70409360</v>
          </cell>
          <cell r="H256" t="str">
            <v>-</v>
          </cell>
          <cell r="I256" t="str">
            <v>-</v>
          </cell>
          <cell r="K256" t="str">
            <v>-</v>
          </cell>
          <cell r="L256" t="str">
            <v>-</v>
          </cell>
          <cell r="N256" t="str">
            <v>-</v>
          </cell>
          <cell r="O256" t="str">
            <v>-</v>
          </cell>
          <cell r="Q256" t="str">
            <v>-</v>
          </cell>
          <cell r="R256" t="str">
            <v>-</v>
          </cell>
          <cell r="T256" t="str">
            <v>-</v>
          </cell>
          <cell r="U256" t="str">
            <v>-</v>
          </cell>
          <cell r="W256" t="str">
            <v>-</v>
          </cell>
          <cell r="X256" t="str">
            <v>-</v>
          </cell>
        </row>
        <row r="257">
          <cell r="A257">
            <v>72220249</v>
          </cell>
          <cell r="B257">
            <v>1153</v>
          </cell>
          <cell r="C257" t="str">
            <v>참돔</v>
          </cell>
          <cell r="D257" t="str">
            <v>A</v>
          </cell>
          <cell r="E257">
            <v>70409341</v>
          </cell>
          <cell r="H257" t="str">
            <v>-</v>
          </cell>
          <cell r="I257" t="str">
            <v>-</v>
          </cell>
          <cell r="K257" t="str">
            <v>-</v>
          </cell>
          <cell r="L257" t="str">
            <v>-</v>
          </cell>
          <cell r="N257" t="str">
            <v>-</v>
          </cell>
          <cell r="O257" t="str">
            <v>-</v>
          </cell>
          <cell r="Q257" t="str">
            <v>-</v>
          </cell>
          <cell r="R257" t="str">
            <v>-</v>
          </cell>
          <cell r="T257" t="str">
            <v>-</v>
          </cell>
          <cell r="U257" t="str">
            <v>-</v>
          </cell>
          <cell r="W257" t="str">
            <v>-</v>
          </cell>
          <cell r="X257" t="str">
            <v>-</v>
          </cell>
        </row>
        <row r="258">
          <cell r="A258">
            <v>72220250</v>
          </cell>
          <cell r="B258">
            <v>1153</v>
          </cell>
          <cell r="C258" t="str">
            <v>멸치</v>
          </cell>
          <cell r="D258" t="str">
            <v>D</v>
          </cell>
          <cell r="E258">
            <v>70409150</v>
          </cell>
          <cell r="H258" t="str">
            <v>-</v>
          </cell>
          <cell r="I258" t="str">
            <v>-</v>
          </cell>
          <cell r="K258" t="str">
            <v>-</v>
          </cell>
          <cell r="L258" t="str">
            <v>-</v>
          </cell>
          <cell r="N258" t="str">
            <v>-</v>
          </cell>
          <cell r="O258" t="str">
            <v>-</v>
          </cell>
          <cell r="Q258" t="str">
            <v>-</v>
          </cell>
          <cell r="R258" t="str">
            <v>-</v>
          </cell>
          <cell r="T258" t="str">
            <v>-</v>
          </cell>
          <cell r="U258" t="str">
            <v>-</v>
          </cell>
          <cell r="W258" t="str">
            <v>-</v>
          </cell>
          <cell r="X258" t="str">
            <v>-</v>
          </cell>
        </row>
        <row r="259">
          <cell r="A259">
            <v>72220251</v>
          </cell>
          <cell r="B259">
            <v>1153</v>
          </cell>
          <cell r="C259" t="str">
            <v>큰뿔표문쥐치</v>
          </cell>
          <cell r="D259" t="str">
            <v>D</v>
          </cell>
          <cell r="E259">
            <v>70409360</v>
          </cell>
          <cell r="H259" t="str">
            <v>-</v>
          </cell>
          <cell r="I259" t="str">
            <v>-</v>
          </cell>
          <cell r="K259" t="str">
            <v>-</v>
          </cell>
          <cell r="L259" t="str">
            <v>-</v>
          </cell>
          <cell r="N259" t="str">
            <v>-</v>
          </cell>
          <cell r="O259" t="str">
            <v>-</v>
          </cell>
          <cell r="Q259" t="str">
            <v>-</v>
          </cell>
          <cell r="R259" t="str">
            <v>-</v>
          </cell>
          <cell r="T259" t="str">
            <v>-</v>
          </cell>
          <cell r="U259" t="str">
            <v>-</v>
          </cell>
          <cell r="W259" t="str">
            <v>-</v>
          </cell>
          <cell r="X259" t="str">
            <v>-</v>
          </cell>
        </row>
        <row r="260">
          <cell r="A260">
            <v>72220252</v>
          </cell>
          <cell r="B260">
            <v>1154</v>
          </cell>
          <cell r="C260" t="str">
            <v>참돔</v>
          </cell>
          <cell r="D260" t="str">
            <v>A</v>
          </cell>
          <cell r="E260">
            <v>70409341</v>
          </cell>
          <cell r="H260" t="str">
            <v>-</v>
          </cell>
          <cell r="I260" t="str">
            <v>-</v>
          </cell>
          <cell r="K260" t="str">
            <v>-</v>
          </cell>
          <cell r="L260" t="str">
            <v>-</v>
          </cell>
          <cell r="N260" t="str">
            <v>-</v>
          </cell>
          <cell r="O260" t="str">
            <v>-</v>
          </cell>
          <cell r="Q260" t="str">
            <v>-</v>
          </cell>
          <cell r="R260" t="str">
            <v>-</v>
          </cell>
          <cell r="T260" t="str">
            <v>-</v>
          </cell>
          <cell r="U260" t="str">
            <v>-</v>
          </cell>
          <cell r="W260" t="str">
            <v>-</v>
          </cell>
          <cell r="X260" t="str">
            <v>-</v>
          </cell>
        </row>
        <row r="261">
          <cell r="A261">
            <v>72220253</v>
          </cell>
          <cell r="B261">
            <v>1154</v>
          </cell>
          <cell r="C261" t="str">
            <v>멸치</v>
          </cell>
          <cell r="D261" t="str">
            <v>D</v>
          </cell>
          <cell r="E261">
            <v>70409150</v>
          </cell>
          <cell r="H261" t="str">
            <v>-</v>
          </cell>
          <cell r="I261" t="str">
            <v>-</v>
          </cell>
          <cell r="K261" t="str">
            <v>-</v>
          </cell>
          <cell r="L261" t="str">
            <v>-</v>
          </cell>
          <cell r="N261" t="str">
            <v>-</v>
          </cell>
          <cell r="O261" t="str">
            <v>-</v>
          </cell>
          <cell r="Q261" t="str">
            <v>-</v>
          </cell>
          <cell r="R261" t="str">
            <v>-</v>
          </cell>
          <cell r="T261" t="str">
            <v>-</v>
          </cell>
          <cell r="U261" t="str">
            <v>-</v>
          </cell>
          <cell r="W261" t="str">
            <v>-</v>
          </cell>
          <cell r="X261" t="str">
            <v>-</v>
          </cell>
        </row>
        <row r="262">
          <cell r="A262">
            <v>72220254</v>
          </cell>
          <cell r="B262">
            <v>1154</v>
          </cell>
          <cell r="C262" t="str">
            <v>큰뿔표문쥐치</v>
          </cell>
          <cell r="D262" t="str">
            <v>D</v>
          </cell>
          <cell r="E262">
            <v>70409360</v>
          </cell>
          <cell r="H262" t="str">
            <v>-</v>
          </cell>
          <cell r="I262" t="str">
            <v>-</v>
          </cell>
          <cell r="K262" t="str">
            <v>-</v>
          </cell>
          <cell r="L262" t="str">
            <v>-</v>
          </cell>
          <cell r="N262" t="str">
            <v>-</v>
          </cell>
          <cell r="O262" t="str">
            <v>-</v>
          </cell>
          <cell r="Q262" t="str">
            <v>-</v>
          </cell>
          <cell r="R262" t="str">
            <v>-</v>
          </cell>
          <cell r="T262" t="str">
            <v>-</v>
          </cell>
          <cell r="U262" t="str">
            <v>-</v>
          </cell>
          <cell r="W262" t="str">
            <v>-</v>
          </cell>
          <cell r="X262" t="str">
            <v>-</v>
          </cell>
        </row>
        <row r="263">
          <cell r="A263">
            <v>72220255</v>
          </cell>
          <cell r="B263">
            <v>1161</v>
          </cell>
          <cell r="C263" t="str">
            <v>홍살귀상어</v>
          </cell>
          <cell r="D263" t="str">
            <v>S</v>
          </cell>
          <cell r="E263">
            <v>70409395</v>
          </cell>
          <cell r="H263" t="str">
            <v>-</v>
          </cell>
          <cell r="I263" t="str">
            <v>-</v>
          </cell>
          <cell r="K263" t="str">
            <v>-</v>
          </cell>
          <cell r="L263" t="str">
            <v>-</v>
          </cell>
          <cell r="N263" t="str">
            <v>-</v>
          </cell>
          <cell r="O263" t="str">
            <v>-</v>
          </cell>
          <cell r="Q263" t="str">
            <v>-</v>
          </cell>
          <cell r="R263" t="str">
            <v>-</v>
          </cell>
          <cell r="T263" t="str">
            <v>-</v>
          </cell>
          <cell r="U263" t="str">
            <v>-</v>
          </cell>
          <cell r="W263" t="str">
            <v>-</v>
          </cell>
          <cell r="X263" t="str">
            <v>-</v>
          </cell>
        </row>
        <row r="264">
          <cell r="A264">
            <v>72220256</v>
          </cell>
          <cell r="B264">
            <v>1161</v>
          </cell>
          <cell r="C264" t="str">
            <v>붉은입술부치</v>
          </cell>
          <cell r="D264" t="str">
            <v>D</v>
          </cell>
          <cell r="E264">
            <v>70409224</v>
          </cell>
          <cell r="H264" t="str">
            <v>-</v>
          </cell>
          <cell r="I264" t="str">
            <v>-</v>
          </cell>
          <cell r="K264" t="str">
            <v>-</v>
          </cell>
          <cell r="L264" t="str">
            <v>-</v>
          </cell>
          <cell r="N264" t="str">
            <v>-</v>
          </cell>
          <cell r="O264" t="str">
            <v>-</v>
          </cell>
          <cell r="Q264" t="str">
            <v>-</v>
          </cell>
          <cell r="R264" t="str">
            <v>-</v>
          </cell>
          <cell r="T264" t="str">
            <v>-</v>
          </cell>
          <cell r="U264" t="str">
            <v>-</v>
          </cell>
          <cell r="W264" t="str">
            <v>-</v>
          </cell>
          <cell r="X264" t="str">
            <v>-</v>
          </cell>
        </row>
        <row r="265">
          <cell r="A265">
            <v>72220257</v>
          </cell>
          <cell r="B265">
            <v>1161</v>
          </cell>
          <cell r="C265" t="str">
            <v>별상어</v>
          </cell>
          <cell r="D265" t="str">
            <v>A</v>
          </cell>
          <cell r="E265">
            <v>70409202</v>
          </cell>
          <cell r="H265" t="str">
            <v>-</v>
          </cell>
          <cell r="I265" t="str">
            <v>-</v>
          </cell>
          <cell r="K265" t="str">
            <v>-</v>
          </cell>
          <cell r="L265" t="str">
            <v>-</v>
          </cell>
          <cell r="N265" t="str">
            <v>-</v>
          </cell>
          <cell r="O265" t="str">
            <v>-</v>
          </cell>
          <cell r="Q265" t="str">
            <v>-</v>
          </cell>
          <cell r="R265" t="str">
            <v>-</v>
          </cell>
          <cell r="T265" t="str">
            <v>-</v>
          </cell>
          <cell r="U265" t="str">
            <v>-</v>
          </cell>
          <cell r="W265" t="str">
            <v>-</v>
          </cell>
          <cell r="X265" t="str">
            <v>-</v>
          </cell>
        </row>
        <row r="266">
          <cell r="A266">
            <v>72220258</v>
          </cell>
          <cell r="B266">
            <v>1161</v>
          </cell>
          <cell r="C266" t="str">
            <v>색줄멸</v>
          </cell>
          <cell r="D266" t="str">
            <v>D</v>
          </cell>
          <cell r="E266">
            <v>70409251</v>
          </cell>
          <cell r="H266" t="str">
            <v>-</v>
          </cell>
          <cell r="I266" t="str">
            <v>-</v>
          </cell>
          <cell r="K266" t="str">
            <v>-</v>
          </cell>
          <cell r="L266" t="str">
            <v>-</v>
          </cell>
          <cell r="N266" t="str">
            <v>-</v>
          </cell>
          <cell r="O266" t="str">
            <v>-</v>
          </cell>
          <cell r="Q266" t="str">
            <v>-</v>
          </cell>
          <cell r="R266" t="str">
            <v>-</v>
          </cell>
          <cell r="T266" t="str">
            <v>-</v>
          </cell>
          <cell r="U266" t="str">
            <v>-</v>
          </cell>
          <cell r="W266" t="str">
            <v>-</v>
          </cell>
          <cell r="X266" t="str">
            <v>-</v>
          </cell>
        </row>
        <row r="267">
          <cell r="A267">
            <v>72220259</v>
          </cell>
          <cell r="B267">
            <v>1162</v>
          </cell>
          <cell r="C267" t="str">
            <v>홍살귀상어</v>
          </cell>
          <cell r="D267" t="str">
            <v>S</v>
          </cell>
          <cell r="E267">
            <v>70409395</v>
          </cell>
          <cell r="H267" t="str">
            <v>-</v>
          </cell>
          <cell r="I267" t="str">
            <v>-</v>
          </cell>
          <cell r="K267" t="str">
            <v>-</v>
          </cell>
          <cell r="L267" t="str">
            <v>-</v>
          </cell>
          <cell r="N267" t="str">
            <v>-</v>
          </cell>
          <cell r="O267" t="str">
            <v>-</v>
          </cell>
          <cell r="Q267" t="str">
            <v>-</v>
          </cell>
          <cell r="R267" t="str">
            <v>-</v>
          </cell>
          <cell r="T267" t="str">
            <v>-</v>
          </cell>
          <cell r="U267" t="str">
            <v>-</v>
          </cell>
          <cell r="W267" t="str">
            <v>-</v>
          </cell>
          <cell r="X267" t="str">
            <v>-</v>
          </cell>
        </row>
        <row r="268">
          <cell r="A268">
            <v>72220260</v>
          </cell>
          <cell r="B268">
            <v>1162</v>
          </cell>
          <cell r="C268" t="str">
            <v>붉은입술부치</v>
          </cell>
          <cell r="D268" t="str">
            <v>D</v>
          </cell>
          <cell r="E268">
            <v>70409224</v>
          </cell>
          <cell r="H268" t="str">
            <v>-</v>
          </cell>
          <cell r="I268" t="str">
            <v>-</v>
          </cell>
          <cell r="K268" t="str">
            <v>-</v>
          </cell>
          <cell r="L268" t="str">
            <v>-</v>
          </cell>
          <cell r="N268" t="str">
            <v>-</v>
          </cell>
          <cell r="O268" t="str">
            <v>-</v>
          </cell>
          <cell r="Q268" t="str">
            <v>-</v>
          </cell>
          <cell r="R268" t="str">
            <v>-</v>
          </cell>
          <cell r="T268" t="str">
            <v>-</v>
          </cell>
          <cell r="U268" t="str">
            <v>-</v>
          </cell>
          <cell r="W268" t="str">
            <v>-</v>
          </cell>
          <cell r="X268" t="str">
            <v>-</v>
          </cell>
        </row>
        <row r="269">
          <cell r="A269">
            <v>72220261</v>
          </cell>
          <cell r="B269">
            <v>1162</v>
          </cell>
          <cell r="C269" t="str">
            <v>별상어</v>
          </cell>
          <cell r="D269" t="str">
            <v>A</v>
          </cell>
          <cell r="E269">
            <v>70409202</v>
          </cell>
          <cell r="H269" t="str">
            <v>-</v>
          </cell>
          <cell r="I269" t="str">
            <v>-</v>
          </cell>
          <cell r="K269" t="str">
            <v>-</v>
          </cell>
          <cell r="L269" t="str">
            <v>-</v>
          </cell>
          <cell r="N269" t="str">
            <v>-</v>
          </cell>
          <cell r="O269" t="str">
            <v>-</v>
          </cell>
          <cell r="Q269" t="str">
            <v>-</v>
          </cell>
          <cell r="R269" t="str">
            <v>-</v>
          </cell>
          <cell r="T269" t="str">
            <v>-</v>
          </cell>
          <cell r="U269" t="str">
            <v>-</v>
          </cell>
          <cell r="W269" t="str">
            <v>-</v>
          </cell>
          <cell r="X269" t="str">
            <v>-</v>
          </cell>
        </row>
        <row r="270">
          <cell r="A270">
            <v>72220262</v>
          </cell>
          <cell r="B270">
            <v>1162</v>
          </cell>
          <cell r="C270" t="str">
            <v>색줄멸</v>
          </cell>
          <cell r="D270" t="str">
            <v>D</v>
          </cell>
          <cell r="E270">
            <v>70409251</v>
          </cell>
          <cell r="H270" t="str">
            <v>-</v>
          </cell>
          <cell r="I270" t="str">
            <v>-</v>
          </cell>
          <cell r="K270" t="str">
            <v>-</v>
          </cell>
          <cell r="L270" t="str">
            <v>-</v>
          </cell>
          <cell r="N270" t="str">
            <v>-</v>
          </cell>
          <cell r="O270" t="str">
            <v>-</v>
          </cell>
          <cell r="Q270" t="str">
            <v>-</v>
          </cell>
          <cell r="R270" t="str">
            <v>-</v>
          </cell>
          <cell r="T270" t="str">
            <v>-</v>
          </cell>
          <cell r="U270" t="str">
            <v>-</v>
          </cell>
          <cell r="W270" t="str">
            <v>-</v>
          </cell>
          <cell r="X270" t="str">
            <v>-</v>
          </cell>
        </row>
        <row r="271">
          <cell r="A271">
            <v>72220263</v>
          </cell>
          <cell r="B271">
            <v>1163</v>
          </cell>
          <cell r="C271" t="str">
            <v>홍살귀상어</v>
          </cell>
          <cell r="D271" t="str">
            <v>S</v>
          </cell>
          <cell r="E271">
            <v>70409395</v>
          </cell>
          <cell r="H271" t="str">
            <v>-</v>
          </cell>
          <cell r="I271" t="str">
            <v>-</v>
          </cell>
          <cell r="K271" t="str">
            <v>-</v>
          </cell>
          <cell r="L271" t="str">
            <v>-</v>
          </cell>
          <cell r="N271" t="str">
            <v>-</v>
          </cell>
          <cell r="O271" t="str">
            <v>-</v>
          </cell>
          <cell r="Q271" t="str">
            <v>-</v>
          </cell>
          <cell r="R271" t="str">
            <v>-</v>
          </cell>
          <cell r="T271" t="str">
            <v>-</v>
          </cell>
          <cell r="U271" t="str">
            <v>-</v>
          </cell>
          <cell r="W271" t="str">
            <v>-</v>
          </cell>
          <cell r="X271" t="str">
            <v>-</v>
          </cell>
        </row>
        <row r="272">
          <cell r="A272">
            <v>72220264</v>
          </cell>
          <cell r="B272">
            <v>1163</v>
          </cell>
          <cell r="C272" t="str">
            <v>붉은입술부치</v>
          </cell>
          <cell r="D272" t="str">
            <v>D</v>
          </cell>
          <cell r="E272">
            <v>70409224</v>
          </cell>
          <cell r="H272" t="str">
            <v>-</v>
          </cell>
          <cell r="I272" t="str">
            <v>-</v>
          </cell>
          <cell r="K272" t="str">
            <v>-</v>
          </cell>
          <cell r="L272" t="str">
            <v>-</v>
          </cell>
          <cell r="N272" t="str">
            <v>-</v>
          </cell>
          <cell r="O272" t="str">
            <v>-</v>
          </cell>
          <cell r="Q272" t="str">
            <v>-</v>
          </cell>
          <cell r="R272" t="str">
            <v>-</v>
          </cell>
          <cell r="T272" t="str">
            <v>-</v>
          </cell>
          <cell r="U272" t="str">
            <v>-</v>
          </cell>
          <cell r="W272" t="str">
            <v>-</v>
          </cell>
          <cell r="X272" t="str">
            <v>-</v>
          </cell>
        </row>
        <row r="273">
          <cell r="A273">
            <v>72220265</v>
          </cell>
          <cell r="B273">
            <v>1163</v>
          </cell>
          <cell r="C273" t="str">
            <v>별상어</v>
          </cell>
          <cell r="D273" t="str">
            <v>A</v>
          </cell>
          <cell r="E273">
            <v>70409202</v>
          </cell>
          <cell r="H273" t="str">
            <v>-</v>
          </cell>
          <cell r="I273" t="str">
            <v>-</v>
          </cell>
          <cell r="K273" t="str">
            <v>-</v>
          </cell>
          <cell r="L273" t="str">
            <v>-</v>
          </cell>
          <cell r="N273" t="str">
            <v>-</v>
          </cell>
          <cell r="O273" t="str">
            <v>-</v>
          </cell>
          <cell r="Q273" t="str">
            <v>-</v>
          </cell>
          <cell r="R273" t="str">
            <v>-</v>
          </cell>
          <cell r="T273" t="str">
            <v>-</v>
          </cell>
          <cell r="U273" t="str">
            <v>-</v>
          </cell>
          <cell r="W273" t="str">
            <v>-</v>
          </cell>
          <cell r="X273" t="str">
            <v>-</v>
          </cell>
        </row>
        <row r="274">
          <cell r="A274">
            <v>72220266</v>
          </cell>
          <cell r="B274">
            <v>1163</v>
          </cell>
          <cell r="C274" t="str">
            <v>색줄멸</v>
          </cell>
          <cell r="D274" t="str">
            <v>D</v>
          </cell>
          <cell r="E274">
            <v>70409251</v>
          </cell>
          <cell r="H274" t="str">
            <v>-</v>
          </cell>
          <cell r="I274" t="str">
            <v>-</v>
          </cell>
          <cell r="K274" t="str">
            <v>-</v>
          </cell>
          <cell r="L274" t="str">
            <v>-</v>
          </cell>
          <cell r="N274" t="str">
            <v>-</v>
          </cell>
          <cell r="O274" t="str">
            <v>-</v>
          </cell>
          <cell r="Q274" t="str">
            <v>-</v>
          </cell>
          <cell r="R274" t="str">
            <v>-</v>
          </cell>
          <cell r="T274" t="str">
            <v>-</v>
          </cell>
          <cell r="U274" t="str">
            <v>-</v>
          </cell>
          <cell r="W274" t="str">
            <v>-</v>
          </cell>
          <cell r="X274" t="str">
            <v>-</v>
          </cell>
        </row>
        <row r="275">
          <cell r="A275">
            <v>72220267</v>
          </cell>
          <cell r="B275">
            <v>1164</v>
          </cell>
          <cell r="C275" t="str">
            <v>홍살귀상어</v>
          </cell>
          <cell r="D275" t="str">
            <v>S</v>
          </cell>
          <cell r="E275">
            <v>70409395</v>
          </cell>
          <cell r="H275" t="str">
            <v>-</v>
          </cell>
          <cell r="I275" t="str">
            <v>-</v>
          </cell>
          <cell r="K275" t="str">
            <v>-</v>
          </cell>
          <cell r="L275" t="str">
            <v>-</v>
          </cell>
          <cell r="N275" t="str">
            <v>-</v>
          </cell>
          <cell r="O275" t="str">
            <v>-</v>
          </cell>
          <cell r="Q275" t="str">
            <v>-</v>
          </cell>
          <cell r="R275" t="str">
            <v>-</v>
          </cell>
          <cell r="T275" t="str">
            <v>-</v>
          </cell>
          <cell r="U275" t="str">
            <v>-</v>
          </cell>
          <cell r="W275" t="str">
            <v>-</v>
          </cell>
          <cell r="X275" t="str">
            <v>-</v>
          </cell>
        </row>
        <row r="276">
          <cell r="A276">
            <v>72220268</v>
          </cell>
          <cell r="B276">
            <v>1164</v>
          </cell>
          <cell r="C276" t="str">
            <v>붉은입술부치</v>
          </cell>
          <cell r="D276" t="str">
            <v>D</v>
          </cell>
          <cell r="E276">
            <v>70409224</v>
          </cell>
          <cell r="H276" t="str">
            <v>-</v>
          </cell>
          <cell r="I276" t="str">
            <v>-</v>
          </cell>
          <cell r="K276" t="str">
            <v>-</v>
          </cell>
          <cell r="L276" t="str">
            <v>-</v>
          </cell>
          <cell r="N276" t="str">
            <v>-</v>
          </cell>
          <cell r="O276" t="str">
            <v>-</v>
          </cell>
          <cell r="Q276" t="str">
            <v>-</v>
          </cell>
          <cell r="R276" t="str">
            <v>-</v>
          </cell>
          <cell r="T276" t="str">
            <v>-</v>
          </cell>
          <cell r="U276" t="str">
            <v>-</v>
          </cell>
          <cell r="W276" t="str">
            <v>-</v>
          </cell>
          <cell r="X276" t="str">
            <v>-</v>
          </cell>
        </row>
        <row r="277">
          <cell r="A277">
            <v>72220269</v>
          </cell>
          <cell r="B277">
            <v>1164</v>
          </cell>
          <cell r="C277" t="str">
            <v>별상어</v>
          </cell>
          <cell r="D277" t="str">
            <v>A</v>
          </cell>
          <cell r="E277">
            <v>70409202</v>
          </cell>
          <cell r="H277" t="str">
            <v>-</v>
          </cell>
          <cell r="I277" t="str">
            <v>-</v>
          </cell>
          <cell r="K277" t="str">
            <v>-</v>
          </cell>
          <cell r="L277" t="str">
            <v>-</v>
          </cell>
          <cell r="N277" t="str">
            <v>-</v>
          </cell>
          <cell r="O277" t="str">
            <v>-</v>
          </cell>
          <cell r="Q277" t="str">
            <v>-</v>
          </cell>
          <cell r="R277" t="str">
            <v>-</v>
          </cell>
          <cell r="T277" t="str">
            <v>-</v>
          </cell>
          <cell r="U277" t="str">
            <v>-</v>
          </cell>
          <cell r="W277" t="str">
            <v>-</v>
          </cell>
          <cell r="X277" t="str">
            <v>-</v>
          </cell>
        </row>
        <row r="278">
          <cell r="A278">
            <v>72220270</v>
          </cell>
          <cell r="B278">
            <v>1164</v>
          </cell>
          <cell r="C278" t="str">
            <v>색줄멸</v>
          </cell>
          <cell r="D278" t="str">
            <v>D</v>
          </cell>
          <cell r="E278">
            <v>70409251</v>
          </cell>
          <cell r="H278" t="str">
            <v>-</v>
          </cell>
          <cell r="I278" t="str">
            <v>-</v>
          </cell>
          <cell r="K278" t="str">
            <v>-</v>
          </cell>
          <cell r="L278" t="str">
            <v>-</v>
          </cell>
          <cell r="N278" t="str">
            <v>-</v>
          </cell>
          <cell r="O278" t="str">
            <v>-</v>
          </cell>
          <cell r="Q278" t="str">
            <v>-</v>
          </cell>
          <cell r="R278" t="str">
            <v>-</v>
          </cell>
          <cell r="T278" t="str">
            <v>-</v>
          </cell>
          <cell r="U278" t="str">
            <v>-</v>
          </cell>
          <cell r="W278" t="str">
            <v>-</v>
          </cell>
          <cell r="X278" t="str">
            <v>-</v>
          </cell>
        </row>
        <row r="279">
          <cell r="A279">
            <v>72220271</v>
          </cell>
          <cell r="B279">
            <v>1171</v>
          </cell>
          <cell r="C279" t="str">
            <v>밍크고래</v>
          </cell>
          <cell r="D279" t="str">
            <v>S</v>
          </cell>
          <cell r="E279">
            <v>70409176</v>
          </cell>
          <cell r="H279" t="str">
            <v>-</v>
          </cell>
          <cell r="I279" t="str">
            <v>-</v>
          </cell>
          <cell r="K279" t="str">
            <v>-</v>
          </cell>
          <cell r="L279" t="str">
            <v>-</v>
          </cell>
          <cell r="N279" t="str">
            <v>-</v>
          </cell>
          <cell r="O279" t="str">
            <v>-</v>
          </cell>
          <cell r="Q279" t="str">
            <v>-</v>
          </cell>
          <cell r="R279" t="str">
            <v>-</v>
          </cell>
          <cell r="T279" t="str">
            <v>-</v>
          </cell>
          <cell r="U279" t="str">
            <v>-</v>
          </cell>
          <cell r="W279" t="str">
            <v>-</v>
          </cell>
          <cell r="X279" t="str">
            <v>-</v>
          </cell>
        </row>
        <row r="280">
          <cell r="A280">
            <v>72220272</v>
          </cell>
          <cell r="B280">
            <v>1171</v>
          </cell>
          <cell r="C280" t="str">
            <v>별상어</v>
          </cell>
          <cell r="D280" t="str">
            <v>A</v>
          </cell>
          <cell r="E280">
            <v>70409202</v>
          </cell>
          <cell r="H280" t="str">
            <v>-</v>
          </cell>
          <cell r="I280" t="str">
            <v>-</v>
          </cell>
          <cell r="K280" t="str">
            <v>-</v>
          </cell>
          <cell r="L280" t="str">
            <v>-</v>
          </cell>
          <cell r="N280" t="str">
            <v>-</v>
          </cell>
          <cell r="O280" t="str">
            <v>-</v>
          </cell>
          <cell r="Q280" t="str">
            <v>-</v>
          </cell>
          <cell r="R280" t="str">
            <v>-</v>
          </cell>
          <cell r="T280" t="str">
            <v>-</v>
          </cell>
          <cell r="U280" t="str">
            <v>-</v>
          </cell>
          <cell r="W280" t="str">
            <v>-</v>
          </cell>
          <cell r="X280" t="str">
            <v>-</v>
          </cell>
        </row>
        <row r="281">
          <cell r="A281">
            <v>72220273</v>
          </cell>
          <cell r="B281">
            <v>1171</v>
          </cell>
          <cell r="C281" t="str">
            <v>대주둥치</v>
          </cell>
          <cell r="D281" t="str">
            <v>B</v>
          </cell>
          <cell r="E281">
            <v>70409103</v>
          </cell>
          <cell r="H281" t="str">
            <v>-</v>
          </cell>
          <cell r="I281" t="str">
            <v>-</v>
          </cell>
          <cell r="K281" t="str">
            <v>-</v>
          </cell>
          <cell r="L281" t="str">
            <v>-</v>
          </cell>
          <cell r="N281" t="str">
            <v>-</v>
          </cell>
          <cell r="O281" t="str">
            <v>-</v>
          </cell>
          <cell r="Q281" t="str">
            <v>-</v>
          </cell>
          <cell r="R281" t="str">
            <v>-</v>
          </cell>
          <cell r="T281" t="str">
            <v>-</v>
          </cell>
          <cell r="U281" t="str">
            <v>-</v>
          </cell>
          <cell r="W281" t="str">
            <v>-</v>
          </cell>
          <cell r="X281" t="str">
            <v>-</v>
          </cell>
        </row>
        <row r="282">
          <cell r="A282">
            <v>72220274</v>
          </cell>
          <cell r="B282">
            <v>1171</v>
          </cell>
          <cell r="C282" t="str">
            <v>해마</v>
          </cell>
          <cell r="D282" t="str">
            <v>D</v>
          </cell>
          <cell r="E282">
            <v>70409388</v>
          </cell>
          <cell r="H282" t="str">
            <v>-</v>
          </cell>
          <cell r="I282" t="str">
            <v>-</v>
          </cell>
          <cell r="K282" t="str">
            <v>-</v>
          </cell>
          <cell r="L282" t="str">
            <v>-</v>
          </cell>
          <cell r="N282" t="str">
            <v>-</v>
          </cell>
          <cell r="O282" t="str">
            <v>-</v>
          </cell>
          <cell r="Q282" t="str">
            <v>-</v>
          </cell>
          <cell r="R282" t="str">
            <v>-</v>
          </cell>
          <cell r="T282" t="str">
            <v>-</v>
          </cell>
          <cell r="U282" t="str">
            <v>-</v>
          </cell>
          <cell r="W282" t="str">
            <v>-</v>
          </cell>
          <cell r="X282" t="str">
            <v>-</v>
          </cell>
        </row>
        <row r="283">
          <cell r="A283">
            <v>72220275</v>
          </cell>
          <cell r="B283">
            <v>1172</v>
          </cell>
          <cell r="C283" t="str">
            <v>밍크고래</v>
          </cell>
          <cell r="D283" t="str">
            <v>S</v>
          </cell>
          <cell r="E283">
            <v>70409176</v>
          </cell>
          <cell r="H283" t="str">
            <v>-</v>
          </cell>
          <cell r="I283" t="str">
            <v>-</v>
          </cell>
          <cell r="K283" t="str">
            <v>-</v>
          </cell>
          <cell r="L283" t="str">
            <v>-</v>
          </cell>
          <cell r="N283" t="str">
            <v>-</v>
          </cell>
          <cell r="O283" t="str">
            <v>-</v>
          </cell>
          <cell r="Q283" t="str">
            <v>-</v>
          </cell>
          <cell r="R283" t="str">
            <v>-</v>
          </cell>
          <cell r="T283" t="str">
            <v>-</v>
          </cell>
          <cell r="U283" t="str">
            <v>-</v>
          </cell>
          <cell r="W283" t="str">
            <v>-</v>
          </cell>
          <cell r="X283" t="str">
            <v>-</v>
          </cell>
        </row>
        <row r="284">
          <cell r="A284">
            <v>72220276</v>
          </cell>
          <cell r="B284">
            <v>1172</v>
          </cell>
          <cell r="C284" t="str">
            <v>별상어</v>
          </cell>
          <cell r="D284" t="str">
            <v>A</v>
          </cell>
          <cell r="E284">
            <v>70409202</v>
          </cell>
          <cell r="H284" t="str">
            <v>-</v>
          </cell>
          <cell r="I284" t="str">
            <v>-</v>
          </cell>
          <cell r="K284" t="str">
            <v>-</v>
          </cell>
          <cell r="L284" t="str">
            <v>-</v>
          </cell>
          <cell r="N284" t="str">
            <v>-</v>
          </cell>
          <cell r="O284" t="str">
            <v>-</v>
          </cell>
          <cell r="Q284" t="str">
            <v>-</v>
          </cell>
          <cell r="R284" t="str">
            <v>-</v>
          </cell>
          <cell r="T284" t="str">
            <v>-</v>
          </cell>
          <cell r="U284" t="str">
            <v>-</v>
          </cell>
          <cell r="W284" t="str">
            <v>-</v>
          </cell>
          <cell r="X284" t="str">
            <v>-</v>
          </cell>
        </row>
        <row r="285">
          <cell r="A285">
            <v>72220277</v>
          </cell>
          <cell r="B285">
            <v>1172</v>
          </cell>
          <cell r="C285" t="str">
            <v>대주둥치</v>
          </cell>
          <cell r="D285" t="str">
            <v>B</v>
          </cell>
          <cell r="E285">
            <v>70409103</v>
          </cell>
          <cell r="H285" t="str">
            <v>-</v>
          </cell>
          <cell r="I285" t="str">
            <v>-</v>
          </cell>
          <cell r="K285" t="str">
            <v>-</v>
          </cell>
          <cell r="L285" t="str">
            <v>-</v>
          </cell>
          <cell r="N285" t="str">
            <v>-</v>
          </cell>
          <cell r="O285" t="str">
            <v>-</v>
          </cell>
          <cell r="Q285" t="str">
            <v>-</v>
          </cell>
          <cell r="R285" t="str">
            <v>-</v>
          </cell>
          <cell r="T285" t="str">
            <v>-</v>
          </cell>
          <cell r="U285" t="str">
            <v>-</v>
          </cell>
          <cell r="W285" t="str">
            <v>-</v>
          </cell>
          <cell r="X285" t="str">
            <v>-</v>
          </cell>
        </row>
        <row r="286">
          <cell r="A286">
            <v>72220278</v>
          </cell>
          <cell r="B286">
            <v>1172</v>
          </cell>
          <cell r="C286" t="str">
            <v>해마</v>
          </cell>
          <cell r="D286" t="str">
            <v>D</v>
          </cell>
          <cell r="E286">
            <v>70409388</v>
          </cell>
          <cell r="H286" t="str">
            <v>-</v>
          </cell>
          <cell r="I286" t="str">
            <v>-</v>
          </cell>
          <cell r="K286" t="str">
            <v>-</v>
          </cell>
          <cell r="L286" t="str">
            <v>-</v>
          </cell>
          <cell r="N286" t="str">
            <v>-</v>
          </cell>
          <cell r="O286" t="str">
            <v>-</v>
          </cell>
          <cell r="Q286" t="str">
            <v>-</v>
          </cell>
          <cell r="R286" t="str">
            <v>-</v>
          </cell>
          <cell r="T286" t="str">
            <v>-</v>
          </cell>
          <cell r="U286" t="str">
            <v>-</v>
          </cell>
          <cell r="W286" t="str">
            <v>-</v>
          </cell>
          <cell r="X286" t="str">
            <v>-</v>
          </cell>
        </row>
        <row r="287">
          <cell r="A287">
            <v>72220279</v>
          </cell>
          <cell r="B287">
            <v>1173</v>
          </cell>
          <cell r="C287" t="str">
            <v>밍크고래</v>
          </cell>
          <cell r="D287" t="str">
            <v>S</v>
          </cell>
          <cell r="E287">
            <v>70409176</v>
          </cell>
          <cell r="H287" t="str">
            <v>-</v>
          </cell>
          <cell r="I287" t="str">
            <v>-</v>
          </cell>
          <cell r="K287" t="str">
            <v>-</v>
          </cell>
          <cell r="L287" t="str">
            <v>-</v>
          </cell>
          <cell r="N287" t="str">
            <v>-</v>
          </cell>
          <cell r="O287" t="str">
            <v>-</v>
          </cell>
          <cell r="Q287" t="str">
            <v>-</v>
          </cell>
          <cell r="R287" t="str">
            <v>-</v>
          </cell>
          <cell r="T287" t="str">
            <v>-</v>
          </cell>
          <cell r="U287" t="str">
            <v>-</v>
          </cell>
          <cell r="W287" t="str">
            <v>-</v>
          </cell>
          <cell r="X287" t="str">
            <v>-</v>
          </cell>
        </row>
        <row r="288">
          <cell r="A288">
            <v>72220280</v>
          </cell>
          <cell r="B288">
            <v>1173</v>
          </cell>
          <cell r="C288" t="str">
            <v>별상어</v>
          </cell>
          <cell r="D288" t="str">
            <v>A</v>
          </cell>
          <cell r="E288">
            <v>70409202</v>
          </cell>
          <cell r="H288" t="str">
            <v>-</v>
          </cell>
          <cell r="I288" t="str">
            <v>-</v>
          </cell>
          <cell r="K288" t="str">
            <v>-</v>
          </cell>
          <cell r="L288" t="str">
            <v>-</v>
          </cell>
          <cell r="N288" t="str">
            <v>-</v>
          </cell>
          <cell r="O288" t="str">
            <v>-</v>
          </cell>
          <cell r="Q288" t="str">
            <v>-</v>
          </cell>
          <cell r="R288" t="str">
            <v>-</v>
          </cell>
          <cell r="T288" t="str">
            <v>-</v>
          </cell>
          <cell r="U288" t="str">
            <v>-</v>
          </cell>
          <cell r="W288" t="str">
            <v>-</v>
          </cell>
          <cell r="X288" t="str">
            <v>-</v>
          </cell>
        </row>
        <row r="289">
          <cell r="A289">
            <v>72220281</v>
          </cell>
          <cell r="B289">
            <v>1173</v>
          </cell>
          <cell r="C289" t="str">
            <v>대주둥치</v>
          </cell>
          <cell r="D289" t="str">
            <v>B</v>
          </cell>
          <cell r="E289">
            <v>70409103</v>
          </cell>
          <cell r="H289" t="str">
            <v>-</v>
          </cell>
          <cell r="I289" t="str">
            <v>-</v>
          </cell>
          <cell r="K289" t="str">
            <v>-</v>
          </cell>
          <cell r="L289" t="str">
            <v>-</v>
          </cell>
          <cell r="N289" t="str">
            <v>-</v>
          </cell>
          <cell r="O289" t="str">
            <v>-</v>
          </cell>
          <cell r="Q289" t="str">
            <v>-</v>
          </cell>
          <cell r="R289" t="str">
            <v>-</v>
          </cell>
          <cell r="T289" t="str">
            <v>-</v>
          </cell>
          <cell r="U289" t="str">
            <v>-</v>
          </cell>
          <cell r="W289" t="str">
            <v>-</v>
          </cell>
          <cell r="X289" t="str">
            <v>-</v>
          </cell>
        </row>
        <row r="290">
          <cell r="A290">
            <v>72220282</v>
          </cell>
          <cell r="B290">
            <v>1173</v>
          </cell>
          <cell r="C290" t="str">
            <v>해마</v>
          </cell>
          <cell r="D290" t="str">
            <v>D</v>
          </cell>
          <cell r="E290">
            <v>70409388</v>
          </cell>
          <cell r="H290" t="str">
            <v>-</v>
          </cell>
          <cell r="I290" t="str">
            <v>-</v>
          </cell>
          <cell r="K290" t="str">
            <v>-</v>
          </cell>
          <cell r="L290" t="str">
            <v>-</v>
          </cell>
          <cell r="N290" t="str">
            <v>-</v>
          </cell>
          <cell r="O290" t="str">
            <v>-</v>
          </cell>
          <cell r="Q290" t="str">
            <v>-</v>
          </cell>
          <cell r="R290" t="str">
            <v>-</v>
          </cell>
          <cell r="T290" t="str">
            <v>-</v>
          </cell>
          <cell r="U290" t="str">
            <v>-</v>
          </cell>
          <cell r="W290" t="str">
            <v>-</v>
          </cell>
          <cell r="X290" t="str">
            <v>-</v>
          </cell>
        </row>
        <row r="291">
          <cell r="A291">
            <v>72220283</v>
          </cell>
          <cell r="B291">
            <v>1174</v>
          </cell>
          <cell r="C291" t="str">
            <v>밍크고래</v>
          </cell>
          <cell r="D291" t="str">
            <v>S</v>
          </cell>
          <cell r="E291">
            <v>70409176</v>
          </cell>
          <cell r="H291" t="str">
            <v>-</v>
          </cell>
          <cell r="I291" t="str">
            <v>-</v>
          </cell>
          <cell r="K291" t="str">
            <v>-</v>
          </cell>
          <cell r="L291" t="str">
            <v>-</v>
          </cell>
          <cell r="N291" t="str">
            <v>-</v>
          </cell>
          <cell r="O291" t="str">
            <v>-</v>
          </cell>
          <cell r="Q291" t="str">
            <v>-</v>
          </cell>
          <cell r="R291" t="str">
            <v>-</v>
          </cell>
          <cell r="T291" t="str">
            <v>-</v>
          </cell>
          <cell r="U291" t="str">
            <v>-</v>
          </cell>
          <cell r="W291" t="str">
            <v>-</v>
          </cell>
          <cell r="X291" t="str">
            <v>-</v>
          </cell>
        </row>
        <row r="292">
          <cell r="A292">
            <v>72220284</v>
          </cell>
          <cell r="B292">
            <v>1174</v>
          </cell>
          <cell r="C292" t="str">
            <v>별상어</v>
          </cell>
          <cell r="D292" t="str">
            <v>A</v>
          </cell>
          <cell r="E292">
            <v>70409202</v>
          </cell>
          <cell r="H292" t="str">
            <v>-</v>
          </cell>
          <cell r="I292" t="str">
            <v>-</v>
          </cell>
          <cell r="K292" t="str">
            <v>-</v>
          </cell>
          <cell r="L292" t="str">
            <v>-</v>
          </cell>
          <cell r="N292" t="str">
            <v>-</v>
          </cell>
          <cell r="O292" t="str">
            <v>-</v>
          </cell>
          <cell r="Q292" t="str">
            <v>-</v>
          </cell>
          <cell r="R292" t="str">
            <v>-</v>
          </cell>
          <cell r="T292" t="str">
            <v>-</v>
          </cell>
          <cell r="U292" t="str">
            <v>-</v>
          </cell>
          <cell r="W292" t="str">
            <v>-</v>
          </cell>
          <cell r="X292" t="str">
            <v>-</v>
          </cell>
        </row>
        <row r="293">
          <cell r="A293">
            <v>72220285</v>
          </cell>
          <cell r="B293">
            <v>1174</v>
          </cell>
          <cell r="C293" t="str">
            <v>대주둥치</v>
          </cell>
          <cell r="D293" t="str">
            <v>B</v>
          </cell>
          <cell r="E293">
            <v>70409103</v>
          </cell>
          <cell r="H293" t="str">
            <v>-</v>
          </cell>
          <cell r="I293" t="str">
            <v>-</v>
          </cell>
          <cell r="K293" t="str">
            <v>-</v>
          </cell>
          <cell r="L293" t="str">
            <v>-</v>
          </cell>
          <cell r="N293" t="str">
            <v>-</v>
          </cell>
          <cell r="O293" t="str">
            <v>-</v>
          </cell>
          <cell r="Q293" t="str">
            <v>-</v>
          </cell>
          <cell r="R293" t="str">
            <v>-</v>
          </cell>
          <cell r="T293" t="str">
            <v>-</v>
          </cell>
          <cell r="U293" t="str">
            <v>-</v>
          </cell>
          <cell r="W293" t="str">
            <v>-</v>
          </cell>
          <cell r="X293" t="str">
            <v>-</v>
          </cell>
        </row>
        <row r="294">
          <cell r="A294">
            <v>72220286</v>
          </cell>
          <cell r="B294">
            <v>1174</v>
          </cell>
          <cell r="C294" t="str">
            <v>해마</v>
          </cell>
          <cell r="D294" t="str">
            <v>D</v>
          </cell>
          <cell r="E294">
            <v>70409388</v>
          </cell>
          <cell r="H294" t="str">
            <v>-</v>
          </cell>
          <cell r="I294" t="str">
            <v>-</v>
          </cell>
          <cell r="K294" t="str">
            <v>-</v>
          </cell>
          <cell r="L294" t="str">
            <v>-</v>
          </cell>
          <cell r="N294" t="str">
            <v>-</v>
          </cell>
          <cell r="O294" t="str">
            <v>-</v>
          </cell>
          <cell r="Q294" t="str">
            <v>-</v>
          </cell>
          <cell r="R294" t="str">
            <v>-</v>
          </cell>
          <cell r="T294" t="str">
            <v>-</v>
          </cell>
          <cell r="U294" t="str">
            <v>-</v>
          </cell>
          <cell r="W294" t="str">
            <v>-</v>
          </cell>
          <cell r="X294" t="str">
            <v>-</v>
          </cell>
        </row>
        <row r="295">
          <cell r="A295">
            <v>72220287</v>
          </cell>
          <cell r="B295">
            <v>1181</v>
          </cell>
          <cell r="C295" t="str">
            <v>톱가오리</v>
          </cell>
          <cell r="D295" t="str">
            <v>S</v>
          </cell>
          <cell r="E295">
            <v>70409369</v>
          </cell>
          <cell r="H295" t="str">
            <v>-</v>
          </cell>
          <cell r="I295" t="str">
            <v>-</v>
          </cell>
          <cell r="K295" t="str">
            <v>-</v>
          </cell>
          <cell r="L295" t="str">
            <v>-</v>
          </cell>
          <cell r="N295" t="str">
            <v>-</v>
          </cell>
          <cell r="O295" t="str">
            <v>-</v>
          </cell>
          <cell r="Q295" t="str">
            <v>-</v>
          </cell>
          <cell r="R295" t="str">
            <v>-</v>
          </cell>
          <cell r="T295" t="str">
            <v>-</v>
          </cell>
          <cell r="U295" t="str">
            <v>-</v>
          </cell>
          <cell r="W295" t="str">
            <v>-</v>
          </cell>
          <cell r="X295" t="str">
            <v>-</v>
          </cell>
        </row>
        <row r="296">
          <cell r="A296">
            <v>72220288</v>
          </cell>
          <cell r="B296">
            <v>1181</v>
          </cell>
          <cell r="C296" t="str">
            <v>황새치</v>
          </cell>
          <cell r="D296" t="str">
            <v>A</v>
          </cell>
          <cell r="E296">
            <v>70409404</v>
          </cell>
          <cell r="H296" t="str">
            <v>-</v>
          </cell>
          <cell r="I296" t="str">
            <v>-</v>
          </cell>
          <cell r="K296" t="str">
            <v>-</v>
          </cell>
          <cell r="L296" t="str">
            <v>-</v>
          </cell>
          <cell r="N296" t="str">
            <v>-</v>
          </cell>
          <cell r="O296" t="str">
            <v>-</v>
          </cell>
          <cell r="Q296" t="str">
            <v>-</v>
          </cell>
          <cell r="R296" t="str">
            <v>-</v>
          </cell>
          <cell r="T296" t="str">
            <v>-</v>
          </cell>
          <cell r="U296" t="str">
            <v>-</v>
          </cell>
          <cell r="W296" t="str">
            <v>-</v>
          </cell>
          <cell r="X296" t="str">
            <v>-</v>
          </cell>
        </row>
        <row r="297">
          <cell r="A297">
            <v>72220289</v>
          </cell>
          <cell r="B297">
            <v>1181</v>
          </cell>
          <cell r="C297" t="str">
            <v>홍어</v>
          </cell>
          <cell r="D297" t="str">
            <v>D</v>
          </cell>
          <cell r="E297">
            <v>70409396</v>
          </cell>
          <cell r="H297" t="str">
            <v>-</v>
          </cell>
          <cell r="I297" t="str">
            <v>-</v>
          </cell>
          <cell r="K297" t="str">
            <v>-</v>
          </cell>
          <cell r="L297" t="str">
            <v>-</v>
          </cell>
          <cell r="N297" t="str">
            <v>-</v>
          </cell>
          <cell r="O297" t="str">
            <v>-</v>
          </cell>
          <cell r="Q297" t="str">
            <v>-</v>
          </cell>
          <cell r="R297" t="str">
            <v>-</v>
          </cell>
          <cell r="T297" t="str">
            <v>-</v>
          </cell>
          <cell r="U297" t="str">
            <v>-</v>
          </cell>
          <cell r="W297" t="str">
            <v>-</v>
          </cell>
          <cell r="X297" t="str">
            <v>-</v>
          </cell>
        </row>
        <row r="298">
          <cell r="A298">
            <v>72220290</v>
          </cell>
          <cell r="B298">
            <v>1181</v>
          </cell>
          <cell r="C298" t="str">
            <v>황날치</v>
          </cell>
          <cell r="D298" t="str">
            <v>B</v>
          </cell>
          <cell r="E298">
            <v>70409398</v>
          </cell>
          <cell r="H298" t="str">
            <v>-</v>
          </cell>
          <cell r="I298" t="str">
            <v>-</v>
          </cell>
          <cell r="K298" t="str">
            <v>-</v>
          </cell>
          <cell r="L298" t="str">
            <v>-</v>
          </cell>
          <cell r="N298" t="str">
            <v>-</v>
          </cell>
          <cell r="O298" t="str">
            <v>-</v>
          </cell>
          <cell r="Q298" t="str">
            <v>-</v>
          </cell>
          <cell r="R298" t="str">
            <v>-</v>
          </cell>
          <cell r="T298" t="str">
            <v>-</v>
          </cell>
          <cell r="U298" t="str">
            <v>-</v>
          </cell>
          <cell r="W298" t="str">
            <v>-</v>
          </cell>
          <cell r="X298" t="str">
            <v>-</v>
          </cell>
        </row>
        <row r="299">
          <cell r="A299">
            <v>72220291</v>
          </cell>
          <cell r="B299">
            <v>1182</v>
          </cell>
          <cell r="C299" t="str">
            <v>톱가오리</v>
          </cell>
          <cell r="D299" t="str">
            <v>S</v>
          </cell>
          <cell r="E299">
            <v>70409369</v>
          </cell>
          <cell r="H299" t="str">
            <v>-</v>
          </cell>
          <cell r="I299" t="str">
            <v>-</v>
          </cell>
          <cell r="K299" t="str">
            <v>-</v>
          </cell>
          <cell r="L299" t="str">
            <v>-</v>
          </cell>
          <cell r="N299" t="str">
            <v>-</v>
          </cell>
          <cell r="O299" t="str">
            <v>-</v>
          </cell>
          <cell r="Q299" t="str">
            <v>-</v>
          </cell>
          <cell r="R299" t="str">
            <v>-</v>
          </cell>
          <cell r="T299" t="str">
            <v>-</v>
          </cell>
          <cell r="U299" t="str">
            <v>-</v>
          </cell>
          <cell r="W299" t="str">
            <v>-</v>
          </cell>
          <cell r="X299" t="str">
            <v>-</v>
          </cell>
        </row>
        <row r="300">
          <cell r="A300">
            <v>72220292</v>
          </cell>
          <cell r="B300">
            <v>1182</v>
          </cell>
          <cell r="C300" t="str">
            <v>황새치</v>
          </cell>
          <cell r="D300" t="str">
            <v>A</v>
          </cell>
          <cell r="E300">
            <v>70409404</v>
          </cell>
          <cell r="H300" t="str">
            <v>-</v>
          </cell>
          <cell r="I300" t="str">
            <v>-</v>
          </cell>
          <cell r="K300" t="str">
            <v>-</v>
          </cell>
          <cell r="L300" t="str">
            <v>-</v>
          </cell>
          <cell r="N300" t="str">
            <v>-</v>
          </cell>
          <cell r="O300" t="str">
            <v>-</v>
          </cell>
          <cell r="Q300" t="str">
            <v>-</v>
          </cell>
          <cell r="R300" t="str">
            <v>-</v>
          </cell>
          <cell r="T300" t="str">
            <v>-</v>
          </cell>
          <cell r="U300" t="str">
            <v>-</v>
          </cell>
          <cell r="W300" t="str">
            <v>-</v>
          </cell>
          <cell r="X300" t="str">
            <v>-</v>
          </cell>
        </row>
        <row r="301">
          <cell r="A301">
            <v>72220293</v>
          </cell>
          <cell r="B301">
            <v>1182</v>
          </cell>
          <cell r="C301" t="str">
            <v>홍어</v>
          </cell>
          <cell r="D301" t="str">
            <v>D</v>
          </cell>
          <cell r="E301">
            <v>70409396</v>
          </cell>
          <cell r="H301" t="str">
            <v>-</v>
          </cell>
          <cell r="I301" t="str">
            <v>-</v>
          </cell>
          <cell r="K301" t="str">
            <v>-</v>
          </cell>
          <cell r="L301" t="str">
            <v>-</v>
          </cell>
          <cell r="N301" t="str">
            <v>-</v>
          </cell>
          <cell r="O301" t="str">
            <v>-</v>
          </cell>
          <cell r="Q301" t="str">
            <v>-</v>
          </cell>
          <cell r="R301" t="str">
            <v>-</v>
          </cell>
          <cell r="T301" t="str">
            <v>-</v>
          </cell>
          <cell r="U301" t="str">
            <v>-</v>
          </cell>
          <cell r="W301" t="str">
            <v>-</v>
          </cell>
          <cell r="X301" t="str">
            <v>-</v>
          </cell>
        </row>
        <row r="302">
          <cell r="A302">
            <v>72220294</v>
          </cell>
          <cell r="B302">
            <v>1182</v>
          </cell>
          <cell r="C302" t="str">
            <v>황날치</v>
          </cell>
          <cell r="D302" t="str">
            <v>B</v>
          </cell>
          <cell r="E302">
            <v>70409398</v>
          </cell>
          <cell r="H302" t="str">
            <v>-</v>
          </cell>
          <cell r="I302" t="str">
            <v>-</v>
          </cell>
          <cell r="K302" t="str">
            <v>-</v>
          </cell>
          <cell r="L302" t="str">
            <v>-</v>
          </cell>
          <cell r="N302" t="str">
            <v>-</v>
          </cell>
          <cell r="O302" t="str">
            <v>-</v>
          </cell>
          <cell r="Q302" t="str">
            <v>-</v>
          </cell>
          <cell r="R302" t="str">
            <v>-</v>
          </cell>
          <cell r="T302" t="str">
            <v>-</v>
          </cell>
          <cell r="U302" t="str">
            <v>-</v>
          </cell>
          <cell r="W302" t="str">
            <v>-</v>
          </cell>
          <cell r="X302" t="str">
            <v>-</v>
          </cell>
        </row>
        <row r="303">
          <cell r="A303">
            <v>72220295</v>
          </cell>
          <cell r="B303">
            <v>1183</v>
          </cell>
          <cell r="C303" t="str">
            <v>톱가오리</v>
          </cell>
          <cell r="D303" t="str">
            <v>S</v>
          </cell>
          <cell r="E303">
            <v>70409369</v>
          </cell>
          <cell r="H303" t="str">
            <v>-</v>
          </cell>
          <cell r="I303" t="str">
            <v>-</v>
          </cell>
          <cell r="K303" t="str">
            <v>-</v>
          </cell>
          <cell r="L303" t="str">
            <v>-</v>
          </cell>
          <cell r="N303" t="str">
            <v>-</v>
          </cell>
          <cell r="O303" t="str">
            <v>-</v>
          </cell>
          <cell r="Q303" t="str">
            <v>-</v>
          </cell>
          <cell r="R303" t="str">
            <v>-</v>
          </cell>
          <cell r="T303" t="str">
            <v>-</v>
          </cell>
          <cell r="U303" t="str">
            <v>-</v>
          </cell>
          <cell r="W303" t="str">
            <v>-</v>
          </cell>
          <cell r="X303" t="str">
            <v>-</v>
          </cell>
        </row>
        <row r="304">
          <cell r="A304">
            <v>72220296</v>
          </cell>
          <cell r="B304">
            <v>1183</v>
          </cell>
          <cell r="C304" t="str">
            <v>황새치</v>
          </cell>
          <cell r="D304" t="str">
            <v>A</v>
          </cell>
          <cell r="E304">
            <v>70409404</v>
          </cell>
          <cell r="H304" t="str">
            <v>-</v>
          </cell>
          <cell r="I304" t="str">
            <v>-</v>
          </cell>
          <cell r="K304" t="str">
            <v>-</v>
          </cell>
          <cell r="L304" t="str">
            <v>-</v>
          </cell>
          <cell r="N304" t="str">
            <v>-</v>
          </cell>
          <cell r="O304" t="str">
            <v>-</v>
          </cell>
          <cell r="Q304" t="str">
            <v>-</v>
          </cell>
          <cell r="R304" t="str">
            <v>-</v>
          </cell>
          <cell r="T304" t="str">
            <v>-</v>
          </cell>
          <cell r="U304" t="str">
            <v>-</v>
          </cell>
          <cell r="W304" t="str">
            <v>-</v>
          </cell>
          <cell r="X304" t="str">
            <v>-</v>
          </cell>
        </row>
        <row r="305">
          <cell r="A305">
            <v>72220297</v>
          </cell>
          <cell r="B305">
            <v>1183</v>
          </cell>
          <cell r="C305" t="str">
            <v>홍어</v>
          </cell>
          <cell r="D305" t="str">
            <v>D</v>
          </cell>
          <cell r="E305">
            <v>70409396</v>
          </cell>
          <cell r="H305" t="str">
            <v>-</v>
          </cell>
          <cell r="I305" t="str">
            <v>-</v>
          </cell>
          <cell r="K305" t="str">
            <v>-</v>
          </cell>
          <cell r="L305" t="str">
            <v>-</v>
          </cell>
          <cell r="N305" t="str">
            <v>-</v>
          </cell>
          <cell r="O305" t="str">
            <v>-</v>
          </cell>
          <cell r="Q305" t="str">
            <v>-</v>
          </cell>
          <cell r="R305" t="str">
            <v>-</v>
          </cell>
          <cell r="T305" t="str">
            <v>-</v>
          </cell>
          <cell r="U305" t="str">
            <v>-</v>
          </cell>
          <cell r="W305" t="str">
            <v>-</v>
          </cell>
          <cell r="X305" t="str">
            <v>-</v>
          </cell>
        </row>
        <row r="306">
          <cell r="A306">
            <v>72220298</v>
          </cell>
          <cell r="B306">
            <v>1183</v>
          </cell>
          <cell r="C306" t="str">
            <v>황날치</v>
          </cell>
          <cell r="D306" t="str">
            <v>B</v>
          </cell>
          <cell r="E306">
            <v>70409398</v>
          </cell>
          <cell r="H306" t="str">
            <v>-</v>
          </cell>
          <cell r="I306" t="str">
            <v>-</v>
          </cell>
          <cell r="K306" t="str">
            <v>-</v>
          </cell>
          <cell r="L306" t="str">
            <v>-</v>
          </cell>
          <cell r="N306" t="str">
            <v>-</v>
          </cell>
          <cell r="O306" t="str">
            <v>-</v>
          </cell>
          <cell r="Q306" t="str">
            <v>-</v>
          </cell>
          <cell r="R306" t="str">
            <v>-</v>
          </cell>
          <cell r="T306" t="str">
            <v>-</v>
          </cell>
          <cell r="U306" t="str">
            <v>-</v>
          </cell>
          <cell r="W306" t="str">
            <v>-</v>
          </cell>
          <cell r="X306" t="str">
            <v>-</v>
          </cell>
        </row>
        <row r="307">
          <cell r="A307">
            <v>72220299</v>
          </cell>
          <cell r="B307">
            <v>1184</v>
          </cell>
          <cell r="C307" t="str">
            <v>톱가오리</v>
          </cell>
          <cell r="D307" t="str">
            <v>S</v>
          </cell>
          <cell r="E307">
            <v>70409369</v>
          </cell>
          <cell r="H307" t="str">
            <v>-</v>
          </cell>
          <cell r="I307" t="str">
            <v>-</v>
          </cell>
          <cell r="K307" t="str">
            <v>-</v>
          </cell>
          <cell r="L307" t="str">
            <v>-</v>
          </cell>
          <cell r="N307" t="str">
            <v>-</v>
          </cell>
          <cell r="O307" t="str">
            <v>-</v>
          </cell>
          <cell r="Q307" t="str">
            <v>-</v>
          </cell>
          <cell r="R307" t="str">
            <v>-</v>
          </cell>
          <cell r="T307" t="str">
            <v>-</v>
          </cell>
          <cell r="U307" t="str">
            <v>-</v>
          </cell>
          <cell r="W307" t="str">
            <v>-</v>
          </cell>
          <cell r="X307" t="str">
            <v>-</v>
          </cell>
        </row>
        <row r="308">
          <cell r="A308">
            <v>72220300</v>
          </cell>
          <cell r="B308">
            <v>1184</v>
          </cell>
          <cell r="C308" t="str">
            <v>황새치</v>
          </cell>
          <cell r="D308" t="str">
            <v>A</v>
          </cell>
          <cell r="E308">
            <v>70409404</v>
          </cell>
          <cell r="H308" t="str">
            <v>-</v>
          </cell>
          <cell r="I308" t="str">
            <v>-</v>
          </cell>
          <cell r="K308" t="str">
            <v>-</v>
          </cell>
          <cell r="L308" t="str">
            <v>-</v>
          </cell>
          <cell r="N308" t="str">
            <v>-</v>
          </cell>
          <cell r="O308" t="str">
            <v>-</v>
          </cell>
          <cell r="Q308" t="str">
            <v>-</v>
          </cell>
          <cell r="R308" t="str">
            <v>-</v>
          </cell>
          <cell r="T308" t="str">
            <v>-</v>
          </cell>
          <cell r="U308" t="str">
            <v>-</v>
          </cell>
          <cell r="W308" t="str">
            <v>-</v>
          </cell>
          <cell r="X308" t="str">
            <v>-</v>
          </cell>
        </row>
        <row r="309">
          <cell r="A309">
            <v>72220301</v>
          </cell>
          <cell r="B309">
            <v>1184</v>
          </cell>
          <cell r="C309" t="str">
            <v>홍어</v>
          </cell>
          <cell r="D309" t="str">
            <v>D</v>
          </cell>
          <cell r="E309">
            <v>70409396</v>
          </cell>
          <cell r="H309" t="str">
            <v>-</v>
          </cell>
          <cell r="I309" t="str">
            <v>-</v>
          </cell>
          <cell r="K309" t="str">
            <v>-</v>
          </cell>
          <cell r="L309" t="str">
            <v>-</v>
          </cell>
          <cell r="N309" t="str">
            <v>-</v>
          </cell>
          <cell r="O309" t="str">
            <v>-</v>
          </cell>
          <cell r="Q309" t="str">
            <v>-</v>
          </cell>
          <cell r="R309" t="str">
            <v>-</v>
          </cell>
          <cell r="T309" t="str">
            <v>-</v>
          </cell>
          <cell r="U309" t="str">
            <v>-</v>
          </cell>
          <cell r="W309" t="str">
            <v>-</v>
          </cell>
          <cell r="X309" t="str">
            <v>-</v>
          </cell>
        </row>
        <row r="310">
          <cell r="A310">
            <v>72220302</v>
          </cell>
          <cell r="B310">
            <v>1184</v>
          </cell>
          <cell r="C310" t="str">
            <v>황날치</v>
          </cell>
          <cell r="D310" t="str">
            <v>B</v>
          </cell>
          <cell r="E310">
            <v>70409398</v>
          </cell>
          <cell r="H310" t="str">
            <v>-</v>
          </cell>
          <cell r="I310" t="str">
            <v>-</v>
          </cell>
          <cell r="K310" t="str">
            <v>-</v>
          </cell>
          <cell r="L310" t="str">
            <v>-</v>
          </cell>
          <cell r="N310" t="str">
            <v>-</v>
          </cell>
          <cell r="O310" t="str">
            <v>-</v>
          </cell>
          <cell r="Q310" t="str">
            <v>-</v>
          </cell>
          <cell r="R310" t="str">
            <v>-</v>
          </cell>
          <cell r="T310" t="str">
            <v>-</v>
          </cell>
          <cell r="U310" t="str">
            <v>-</v>
          </cell>
          <cell r="W310" t="str">
            <v>-</v>
          </cell>
          <cell r="X310" t="str">
            <v>-</v>
          </cell>
        </row>
        <row r="311">
          <cell r="A311">
            <v>72220303</v>
          </cell>
          <cell r="B311">
            <v>1191</v>
          </cell>
          <cell r="C311" t="str">
            <v>톱가오리</v>
          </cell>
          <cell r="D311" t="str">
            <v>S</v>
          </cell>
          <cell r="E311">
            <v>70409369</v>
          </cell>
          <cell r="H311" t="str">
            <v>-</v>
          </cell>
          <cell r="I311" t="str">
            <v>-</v>
          </cell>
          <cell r="K311" t="str">
            <v>-</v>
          </cell>
          <cell r="L311" t="str">
            <v>-</v>
          </cell>
          <cell r="N311" t="str">
            <v>-</v>
          </cell>
          <cell r="O311" t="str">
            <v>-</v>
          </cell>
          <cell r="Q311" t="str">
            <v>-</v>
          </cell>
          <cell r="R311" t="str">
            <v>-</v>
          </cell>
          <cell r="T311" t="str">
            <v>-</v>
          </cell>
          <cell r="U311" t="str">
            <v>-</v>
          </cell>
          <cell r="W311" t="str">
            <v>-</v>
          </cell>
          <cell r="X311" t="str">
            <v>-</v>
          </cell>
        </row>
        <row r="312">
          <cell r="A312">
            <v>72220304</v>
          </cell>
          <cell r="B312">
            <v>1191</v>
          </cell>
          <cell r="C312" t="str">
            <v>플랩잭문어</v>
          </cell>
          <cell r="D312" t="str">
            <v>A</v>
          </cell>
          <cell r="E312">
            <v>70409382</v>
          </cell>
          <cell r="H312" t="str">
            <v>-</v>
          </cell>
          <cell r="I312" t="str">
            <v>-</v>
          </cell>
          <cell r="K312" t="str">
            <v>-</v>
          </cell>
          <cell r="L312" t="str">
            <v>-</v>
          </cell>
          <cell r="N312" t="str">
            <v>-</v>
          </cell>
          <cell r="O312" t="str">
            <v>-</v>
          </cell>
          <cell r="Q312" t="str">
            <v>-</v>
          </cell>
          <cell r="R312" t="str">
            <v>-</v>
          </cell>
          <cell r="T312" t="str">
            <v>-</v>
          </cell>
          <cell r="U312" t="str">
            <v>-</v>
          </cell>
          <cell r="W312" t="str">
            <v>-</v>
          </cell>
          <cell r="X312" t="str">
            <v>-</v>
          </cell>
        </row>
        <row r="313">
          <cell r="A313">
            <v>72220305</v>
          </cell>
          <cell r="B313">
            <v>1191</v>
          </cell>
          <cell r="C313" t="str">
            <v>황날치</v>
          </cell>
          <cell r="D313" t="str">
            <v>B</v>
          </cell>
          <cell r="E313">
            <v>70409398</v>
          </cell>
          <cell r="H313" t="str">
            <v>-</v>
          </cell>
          <cell r="I313" t="str">
            <v>-</v>
          </cell>
          <cell r="K313" t="str">
            <v>-</v>
          </cell>
          <cell r="L313" t="str">
            <v>-</v>
          </cell>
          <cell r="N313" t="str">
            <v>-</v>
          </cell>
          <cell r="O313" t="str">
            <v>-</v>
          </cell>
          <cell r="Q313" t="str">
            <v>-</v>
          </cell>
          <cell r="R313" t="str">
            <v>-</v>
          </cell>
          <cell r="T313" t="str">
            <v>-</v>
          </cell>
          <cell r="U313" t="str">
            <v>-</v>
          </cell>
          <cell r="W313" t="str">
            <v>-</v>
          </cell>
          <cell r="X313" t="str">
            <v>-</v>
          </cell>
        </row>
        <row r="314">
          <cell r="A314">
            <v>72220306</v>
          </cell>
          <cell r="B314">
            <v>1191</v>
          </cell>
          <cell r="C314" t="str">
            <v>홍어</v>
          </cell>
          <cell r="D314" t="str">
            <v>D</v>
          </cell>
          <cell r="E314">
            <v>70409396</v>
          </cell>
          <cell r="H314" t="str">
            <v>-</v>
          </cell>
          <cell r="I314" t="str">
            <v>-</v>
          </cell>
          <cell r="K314" t="str">
            <v>-</v>
          </cell>
          <cell r="L314" t="str">
            <v>-</v>
          </cell>
          <cell r="N314" t="str">
            <v>-</v>
          </cell>
          <cell r="O314" t="str">
            <v>-</v>
          </cell>
          <cell r="Q314" t="str">
            <v>-</v>
          </cell>
          <cell r="R314" t="str">
            <v>-</v>
          </cell>
          <cell r="T314" t="str">
            <v>-</v>
          </cell>
          <cell r="U314" t="str">
            <v>-</v>
          </cell>
          <cell r="W314" t="str">
            <v>-</v>
          </cell>
          <cell r="X314" t="str">
            <v>-</v>
          </cell>
        </row>
        <row r="315">
          <cell r="A315">
            <v>72220307</v>
          </cell>
          <cell r="B315">
            <v>1192</v>
          </cell>
          <cell r="C315" t="str">
            <v>톱가오리</v>
          </cell>
          <cell r="D315" t="str">
            <v>S</v>
          </cell>
          <cell r="E315">
            <v>70409369</v>
          </cell>
          <cell r="H315" t="str">
            <v>-</v>
          </cell>
          <cell r="I315" t="str">
            <v>-</v>
          </cell>
          <cell r="K315" t="str">
            <v>-</v>
          </cell>
          <cell r="L315" t="str">
            <v>-</v>
          </cell>
          <cell r="N315" t="str">
            <v>-</v>
          </cell>
          <cell r="O315" t="str">
            <v>-</v>
          </cell>
          <cell r="Q315" t="str">
            <v>-</v>
          </cell>
          <cell r="R315" t="str">
            <v>-</v>
          </cell>
          <cell r="T315" t="str">
            <v>-</v>
          </cell>
          <cell r="U315" t="str">
            <v>-</v>
          </cell>
          <cell r="W315" t="str">
            <v>-</v>
          </cell>
          <cell r="X315" t="str">
            <v>-</v>
          </cell>
        </row>
        <row r="316">
          <cell r="A316">
            <v>72220308</v>
          </cell>
          <cell r="B316">
            <v>1192</v>
          </cell>
          <cell r="C316" t="str">
            <v>플랩잭문어</v>
          </cell>
          <cell r="D316" t="str">
            <v>A</v>
          </cell>
          <cell r="E316">
            <v>70409382</v>
          </cell>
          <cell r="H316" t="str">
            <v>-</v>
          </cell>
          <cell r="I316" t="str">
            <v>-</v>
          </cell>
          <cell r="K316" t="str">
            <v>-</v>
          </cell>
          <cell r="L316" t="str">
            <v>-</v>
          </cell>
          <cell r="N316" t="str">
            <v>-</v>
          </cell>
          <cell r="O316" t="str">
            <v>-</v>
          </cell>
          <cell r="Q316" t="str">
            <v>-</v>
          </cell>
          <cell r="R316" t="str">
            <v>-</v>
          </cell>
          <cell r="T316" t="str">
            <v>-</v>
          </cell>
          <cell r="U316" t="str">
            <v>-</v>
          </cell>
          <cell r="W316" t="str">
            <v>-</v>
          </cell>
          <cell r="X316" t="str">
            <v>-</v>
          </cell>
        </row>
        <row r="317">
          <cell r="A317">
            <v>72220309</v>
          </cell>
          <cell r="B317">
            <v>1192</v>
          </cell>
          <cell r="C317" t="str">
            <v>황날치</v>
          </cell>
          <cell r="D317" t="str">
            <v>B</v>
          </cell>
          <cell r="E317">
            <v>70409398</v>
          </cell>
          <cell r="H317" t="str">
            <v>-</v>
          </cell>
          <cell r="I317" t="str">
            <v>-</v>
          </cell>
          <cell r="K317" t="str">
            <v>-</v>
          </cell>
          <cell r="L317" t="str">
            <v>-</v>
          </cell>
          <cell r="N317" t="str">
            <v>-</v>
          </cell>
          <cell r="O317" t="str">
            <v>-</v>
          </cell>
          <cell r="Q317" t="str">
            <v>-</v>
          </cell>
          <cell r="R317" t="str">
            <v>-</v>
          </cell>
          <cell r="T317" t="str">
            <v>-</v>
          </cell>
          <cell r="U317" t="str">
            <v>-</v>
          </cell>
          <cell r="W317" t="str">
            <v>-</v>
          </cell>
          <cell r="X317" t="str">
            <v>-</v>
          </cell>
        </row>
        <row r="318">
          <cell r="A318">
            <v>72220310</v>
          </cell>
          <cell r="B318">
            <v>1192</v>
          </cell>
          <cell r="C318" t="str">
            <v>홍어</v>
          </cell>
          <cell r="D318" t="str">
            <v>D</v>
          </cell>
          <cell r="E318">
            <v>70409396</v>
          </cell>
          <cell r="H318" t="str">
            <v>-</v>
          </cell>
          <cell r="I318" t="str">
            <v>-</v>
          </cell>
          <cell r="K318" t="str">
            <v>-</v>
          </cell>
          <cell r="L318" t="str">
            <v>-</v>
          </cell>
          <cell r="N318" t="str">
            <v>-</v>
          </cell>
          <cell r="O318" t="str">
            <v>-</v>
          </cell>
          <cell r="Q318" t="str">
            <v>-</v>
          </cell>
          <cell r="R318" t="str">
            <v>-</v>
          </cell>
          <cell r="T318" t="str">
            <v>-</v>
          </cell>
          <cell r="U318" t="str">
            <v>-</v>
          </cell>
          <cell r="W318" t="str">
            <v>-</v>
          </cell>
          <cell r="X318" t="str">
            <v>-</v>
          </cell>
        </row>
        <row r="319">
          <cell r="A319">
            <v>72220311</v>
          </cell>
          <cell r="B319">
            <v>1193</v>
          </cell>
          <cell r="C319" t="str">
            <v>톱가오리</v>
          </cell>
          <cell r="D319" t="str">
            <v>S</v>
          </cell>
          <cell r="E319">
            <v>70409369</v>
          </cell>
          <cell r="H319" t="str">
            <v>-</v>
          </cell>
          <cell r="I319" t="str">
            <v>-</v>
          </cell>
          <cell r="K319" t="str">
            <v>-</v>
          </cell>
          <cell r="L319" t="str">
            <v>-</v>
          </cell>
          <cell r="N319" t="str">
            <v>-</v>
          </cell>
          <cell r="O319" t="str">
            <v>-</v>
          </cell>
          <cell r="Q319" t="str">
            <v>-</v>
          </cell>
          <cell r="R319" t="str">
            <v>-</v>
          </cell>
          <cell r="T319" t="str">
            <v>-</v>
          </cell>
          <cell r="U319" t="str">
            <v>-</v>
          </cell>
          <cell r="W319" t="str">
            <v>-</v>
          </cell>
          <cell r="X319" t="str">
            <v>-</v>
          </cell>
        </row>
        <row r="320">
          <cell r="A320">
            <v>72220312</v>
          </cell>
          <cell r="B320">
            <v>1193</v>
          </cell>
          <cell r="C320" t="str">
            <v>플랩잭문어</v>
          </cell>
          <cell r="D320" t="str">
            <v>A</v>
          </cell>
          <cell r="E320">
            <v>70409382</v>
          </cell>
          <cell r="H320" t="str">
            <v>-</v>
          </cell>
          <cell r="I320" t="str">
            <v>-</v>
          </cell>
          <cell r="K320" t="str">
            <v>-</v>
          </cell>
          <cell r="L320" t="str">
            <v>-</v>
          </cell>
          <cell r="N320" t="str">
            <v>-</v>
          </cell>
          <cell r="O320" t="str">
            <v>-</v>
          </cell>
          <cell r="Q320" t="str">
            <v>-</v>
          </cell>
          <cell r="R320" t="str">
            <v>-</v>
          </cell>
          <cell r="T320" t="str">
            <v>-</v>
          </cell>
          <cell r="U320" t="str">
            <v>-</v>
          </cell>
          <cell r="W320" t="str">
            <v>-</v>
          </cell>
          <cell r="X320" t="str">
            <v>-</v>
          </cell>
        </row>
        <row r="321">
          <cell r="A321">
            <v>72220313</v>
          </cell>
          <cell r="B321">
            <v>1193</v>
          </cell>
          <cell r="C321" t="str">
            <v>황날치</v>
          </cell>
          <cell r="D321" t="str">
            <v>B</v>
          </cell>
          <cell r="E321">
            <v>70409398</v>
          </cell>
          <cell r="H321" t="str">
            <v>-</v>
          </cell>
          <cell r="I321" t="str">
            <v>-</v>
          </cell>
          <cell r="K321" t="str">
            <v>-</v>
          </cell>
          <cell r="L321" t="str">
            <v>-</v>
          </cell>
          <cell r="N321" t="str">
            <v>-</v>
          </cell>
          <cell r="O321" t="str">
            <v>-</v>
          </cell>
          <cell r="Q321" t="str">
            <v>-</v>
          </cell>
          <cell r="R321" t="str">
            <v>-</v>
          </cell>
          <cell r="T321" t="str">
            <v>-</v>
          </cell>
          <cell r="U321" t="str">
            <v>-</v>
          </cell>
          <cell r="W321" t="str">
            <v>-</v>
          </cell>
          <cell r="X321" t="str">
            <v>-</v>
          </cell>
        </row>
        <row r="322">
          <cell r="A322">
            <v>72220314</v>
          </cell>
          <cell r="B322">
            <v>1193</v>
          </cell>
          <cell r="C322" t="str">
            <v>홍어</v>
          </cell>
          <cell r="D322" t="str">
            <v>D</v>
          </cell>
          <cell r="E322">
            <v>70409396</v>
          </cell>
          <cell r="H322" t="str">
            <v>-</v>
          </cell>
          <cell r="I322" t="str">
            <v>-</v>
          </cell>
          <cell r="K322" t="str">
            <v>-</v>
          </cell>
          <cell r="L322" t="str">
            <v>-</v>
          </cell>
          <cell r="N322" t="str">
            <v>-</v>
          </cell>
          <cell r="O322" t="str">
            <v>-</v>
          </cell>
          <cell r="Q322" t="str">
            <v>-</v>
          </cell>
          <cell r="R322" t="str">
            <v>-</v>
          </cell>
          <cell r="T322" t="str">
            <v>-</v>
          </cell>
          <cell r="U322" t="str">
            <v>-</v>
          </cell>
          <cell r="W322" t="str">
            <v>-</v>
          </cell>
          <cell r="X322" t="str">
            <v>-</v>
          </cell>
        </row>
        <row r="323">
          <cell r="A323">
            <v>72220315</v>
          </cell>
          <cell r="B323">
            <v>1194</v>
          </cell>
          <cell r="C323" t="str">
            <v>톱가오리</v>
          </cell>
          <cell r="D323" t="str">
            <v>S</v>
          </cell>
          <cell r="E323">
            <v>70409369</v>
          </cell>
          <cell r="H323" t="str">
            <v>-</v>
          </cell>
          <cell r="I323" t="str">
            <v>-</v>
          </cell>
          <cell r="K323" t="str">
            <v>-</v>
          </cell>
          <cell r="L323" t="str">
            <v>-</v>
          </cell>
          <cell r="N323" t="str">
            <v>-</v>
          </cell>
          <cell r="O323" t="str">
            <v>-</v>
          </cell>
          <cell r="Q323" t="str">
            <v>-</v>
          </cell>
          <cell r="R323" t="str">
            <v>-</v>
          </cell>
          <cell r="T323" t="str">
            <v>-</v>
          </cell>
          <cell r="U323" t="str">
            <v>-</v>
          </cell>
          <cell r="W323" t="str">
            <v>-</v>
          </cell>
          <cell r="X323" t="str">
            <v>-</v>
          </cell>
        </row>
        <row r="324">
          <cell r="A324">
            <v>72220316</v>
          </cell>
          <cell r="B324">
            <v>1194</v>
          </cell>
          <cell r="C324" t="str">
            <v>플랩잭문어</v>
          </cell>
          <cell r="D324" t="str">
            <v>A</v>
          </cell>
          <cell r="E324">
            <v>70409382</v>
          </cell>
          <cell r="H324" t="str">
            <v>-</v>
          </cell>
          <cell r="I324" t="str">
            <v>-</v>
          </cell>
          <cell r="K324" t="str">
            <v>-</v>
          </cell>
          <cell r="L324" t="str">
            <v>-</v>
          </cell>
          <cell r="N324" t="str">
            <v>-</v>
          </cell>
          <cell r="O324" t="str">
            <v>-</v>
          </cell>
          <cell r="Q324" t="str">
            <v>-</v>
          </cell>
          <cell r="R324" t="str">
            <v>-</v>
          </cell>
          <cell r="T324" t="str">
            <v>-</v>
          </cell>
          <cell r="U324" t="str">
            <v>-</v>
          </cell>
          <cell r="W324" t="str">
            <v>-</v>
          </cell>
          <cell r="X324" t="str">
            <v>-</v>
          </cell>
        </row>
        <row r="325">
          <cell r="A325">
            <v>72220317</v>
          </cell>
          <cell r="B325">
            <v>1194</v>
          </cell>
          <cell r="C325" t="str">
            <v>황날치</v>
          </cell>
          <cell r="D325" t="str">
            <v>B</v>
          </cell>
          <cell r="E325">
            <v>70409398</v>
          </cell>
          <cell r="H325" t="str">
            <v>-</v>
          </cell>
          <cell r="I325" t="str">
            <v>-</v>
          </cell>
          <cell r="K325" t="str">
            <v>-</v>
          </cell>
          <cell r="L325" t="str">
            <v>-</v>
          </cell>
          <cell r="N325" t="str">
            <v>-</v>
          </cell>
          <cell r="O325" t="str">
            <v>-</v>
          </cell>
          <cell r="Q325" t="str">
            <v>-</v>
          </cell>
          <cell r="R325" t="str">
            <v>-</v>
          </cell>
          <cell r="T325" t="str">
            <v>-</v>
          </cell>
          <cell r="U325" t="str">
            <v>-</v>
          </cell>
          <cell r="W325" t="str">
            <v>-</v>
          </cell>
          <cell r="X325" t="str">
            <v>-</v>
          </cell>
        </row>
        <row r="326">
          <cell r="A326">
            <v>72220318</v>
          </cell>
          <cell r="B326">
            <v>1194</v>
          </cell>
          <cell r="C326" t="str">
            <v>홍어</v>
          </cell>
          <cell r="D326" t="str">
            <v>D</v>
          </cell>
          <cell r="E326">
            <v>70409396</v>
          </cell>
          <cell r="H326" t="str">
            <v>-</v>
          </cell>
          <cell r="I326" t="str">
            <v>-</v>
          </cell>
          <cell r="K326" t="str">
            <v>-</v>
          </cell>
          <cell r="L326" t="str">
            <v>-</v>
          </cell>
          <cell r="N326" t="str">
            <v>-</v>
          </cell>
          <cell r="O326" t="str">
            <v>-</v>
          </cell>
          <cell r="Q326" t="str">
            <v>-</v>
          </cell>
          <cell r="R326" t="str">
            <v>-</v>
          </cell>
          <cell r="T326" t="str">
            <v>-</v>
          </cell>
          <cell r="U326" t="str">
            <v>-</v>
          </cell>
          <cell r="W326" t="str">
            <v>-</v>
          </cell>
          <cell r="X326" t="str">
            <v>-</v>
          </cell>
        </row>
        <row r="327">
          <cell r="A327">
            <v>72220319</v>
          </cell>
          <cell r="B327">
            <v>1201</v>
          </cell>
          <cell r="C327" t="str">
            <v>유리메기</v>
          </cell>
          <cell r="D327" t="str">
            <v>S</v>
          </cell>
          <cell r="E327">
            <v>70409301</v>
          </cell>
          <cell r="H327" t="str">
            <v>-</v>
          </cell>
          <cell r="I327" t="str">
            <v>-</v>
          </cell>
          <cell r="K327" t="str">
            <v>-</v>
          </cell>
          <cell r="L327" t="str">
            <v>-</v>
          </cell>
          <cell r="N327" t="str">
            <v>-</v>
          </cell>
          <cell r="O327" t="str">
            <v>-</v>
          </cell>
          <cell r="Q327" t="str">
            <v>-</v>
          </cell>
          <cell r="R327" t="str">
            <v>-</v>
          </cell>
          <cell r="T327" t="str">
            <v>-</v>
          </cell>
          <cell r="U327" t="str">
            <v>-</v>
          </cell>
          <cell r="W327" t="str">
            <v>-</v>
          </cell>
          <cell r="X327" t="str">
            <v>-</v>
          </cell>
        </row>
        <row r="328">
          <cell r="A328">
            <v>72220320</v>
          </cell>
          <cell r="B328">
            <v>1201</v>
          </cell>
          <cell r="C328" t="str">
            <v>흡혈메기</v>
          </cell>
          <cell r="D328" t="str">
            <v>B</v>
          </cell>
          <cell r="E328">
            <v>70409414</v>
          </cell>
          <cell r="H328" t="str">
            <v>-</v>
          </cell>
          <cell r="I328" t="str">
            <v>-</v>
          </cell>
          <cell r="K328" t="str">
            <v>-</v>
          </cell>
          <cell r="L328" t="str">
            <v>-</v>
          </cell>
          <cell r="N328" t="str">
            <v>-</v>
          </cell>
          <cell r="O328" t="str">
            <v>-</v>
          </cell>
          <cell r="Q328" t="str">
            <v>-</v>
          </cell>
          <cell r="R328" t="str">
            <v>-</v>
          </cell>
          <cell r="T328" t="str">
            <v>-</v>
          </cell>
          <cell r="U328" t="str">
            <v>-</v>
          </cell>
          <cell r="W328" t="str">
            <v>-</v>
          </cell>
          <cell r="X328" t="str">
            <v>-</v>
          </cell>
        </row>
        <row r="329">
          <cell r="A329">
            <v>72220321</v>
          </cell>
          <cell r="B329">
            <v>1201</v>
          </cell>
          <cell r="C329" t="str">
            <v>플레코스토무스</v>
          </cell>
          <cell r="D329" t="str">
            <v>D</v>
          </cell>
          <cell r="E329">
            <v>70409383</v>
          </cell>
          <cell r="H329" t="str">
            <v>-</v>
          </cell>
          <cell r="I329" t="str">
            <v>-</v>
          </cell>
          <cell r="K329" t="str">
            <v>-</v>
          </cell>
          <cell r="L329" t="str">
            <v>-</v>
          </cell>
          <cell r="N329" t="str">
            <v>-</v>
          </cell>
          <cell r="O329" t="str">
            <v>-</v>
          </cell>
          <cell r="Q329" t="str">
            <v>-</v>
          </cell>
          <cell r="R329" t="str">
            <v>-</v>
          </cell>
          <cell r="T329" t="str">
            <v>-</v>
          </cell>
          <cell r="U329" t="str">
            <v>-</v>
          </cell>
          <cell r="W329" t="str">
            <v>-</v>
          </cell>
          <cell r="X329" t="str">
            <v>-</v>
          </cell>
        </row>
        <row r="330">
          <cell r="A330">
            <v>72220322</v>
          </cell>
          <cell r="B330">
            <v>1201</v>
          </cell>
          <cell r="C330" t="str">
            <v>블랙아로와나</v>
          </cell>
          <cell r="D330" t="str">
            <v>B</v>
          </cell>
          <cell r="E330">
            <v>70409227</v>
          </cell>
          <cell r="H330" t="str">
            <v>-</v>
          </cell>
          <cell r="I330" t="str">
            <v>-</v>
          </cell>
          <cell r="K330" t="str">
            <v>-</v>
          </cell>
          <cell r="L330" t="str">
            <v>-</v>
          </cell>
          <cell r="N330" t="str">
            <v>-</v>
          </cell>
          <cell r="O330" t="str">
            <v>-</v>
          </cell>
          <cell r="Q330" t="str">
            <v>-</v>
          </cell>
          <cell r="R330" t="str">
            <v>-</v>
          </cell>
          <cell r="T330" t="str">
            <v>-</v>
          </cell>
          <cell r="U330" t="str">
            <v>-</v>
          </cell>
          <cell r="W330" t="str">
            <v>-</v>
          </cell>
          <cell r="X330" t="str">
            <v>-</v>
          </cell>
        </row>
        <row r="331">
          <cell r="A331">
            <v>72220323</v>
          </cell>
          <cell r="B331">
            <v>1201</v>
          </cell>
          <cell r="C331" t="str">
            <v>홉리아스 아이마라</v>
          </cell>
          <cell r="D331" t="str">
            <v>A</v>
          </cell>
          <cell r="E331">
            <v>70409392</v>
          </cell>
          <cell r="H331" t="str">
            <v>-</v>
          </cell>
          <cell r="I331" t="str">
            <v>-</v>
          </cell>
          <cell r="K331" t="str">
            <v>-</v>
          </cell>
          <cell r="L331" t="str">
            <v>-</v>
          </cell>
          <cell r="N331" t="str">
            <v>-</v>
          </cell>
          <cell r="O331" t="str">
            <v>-</v>
          </cell>
          <cell r="Q331" t="str">
            <v>-</v>
          </cell>
          <cell r="R331" t="str">
            <v>-</v>
          </cell>
          <cell r="T331" t="str">
            <v>-</v>
          </cell>
          <cell r="U331" t="str">
            <v>-</v>
          </cell>
          <cell r="W331" t="str">
            <v>-</v>
          </cell>
          <cell r="X331" t="str">
            <v>-</v>
          </cell>
        </row>
        <row r="332">
          <cell r="A332">
            <v>72220324</v>
          </cell>
          <cell r="B332">
            <v>1202</v>
          </cell>
          <cell r="C332" t="str">
            <v>유리메기</v>
          </cell>
          <cell r="D332" t="str">
            <v>S</v>
          </cell>
          <cell r="E332">
            <v>70409301</v>
          </cell>
          <cell r="H332" t="str">
            <v>-</v>
          </cell>
          <cell r="I332" t="str">
            <v>-</v>
          </cell>
          <cell r="K332" t="str">
            <v>-</v>
          </cell>
          <cell r="L332" t="str">
            <v>-</v>
          </cell>
          <cell r="N332" t="str">
            <v>-</v>
          </cell>
          <cell r="O332" t="str">
            <v>-</v>
          </cell>
          <cell r="Q332" t="str">
            <v>-</v>
          </cell>
          <cell r="R332" t="str">
            <v>-</v>
          </cell>
          <cell r="T332" t="str">
            <v>-</v>
          </cell>
          <cell r="U332" t="str">
            <v>-</v>
          </cell>
          <cell r="W332" t="str">
            <v>-</v>
          </cell>
          <cell r="X332" t="str">
            <v>-</v>
          </cell>
        </row>
        <row r="333">
          <cell r="A333">
            <v>72220325</v>
          </cell>
          <cell r="B333">
            <v>1202</v>
          </cell>
          <cell r="C333" t="str">
            <v>흡혈메기</v>
          </cell>
          <cell r="D333" t="str">
            <v>B</v>
          </cell>
          <cell r="E333">
            <v>70409414</v>
          </cell>
          <cell r="H333" t="str">
            <v>-</v>
          </cell>
          <cell r="I333" t="str">
            <v>-</v>
          </cell>
          <cell r="K333" t="str">
            <v>-</v>
          </cell>
          <cell r="L333" t="str">
            <v>-</v>
          </cell>
          <cell r="N333" t="str">
            <v>-</v>
          </cell>
          <cell r="O333" t="str">
            <v>-</v>
          </cell>
          <cell r="Q333" t="str">
            <v>-</v>
          </cell>
          <cell r="R333" t="str">
            <v>-</v>
          </cell>
          <cell r="T333" t="str">
            <v>-</v>
          </cell>
          <cell r="U333" t="str">
            <v>-</v>
          </cell>
          <cell r="W333" t="str">
            <v>-</v>
          </cell>
          <cell r="X333" t="str">
            <v>-</v>
          </cell>
        </row>
        <row r="334">
          <cell r="A334">
            <v>72220326</v>
          </cell>
          <cell r="B334">
            <v>1202</v>
          </cell>
          <cell r="C334" t="str">
            <v>플레코스토무스</v>
          </cell>
          <cell r="D334" t="str">
            <v>D</v>
          </cell>
          <cell r="E334">
            <v>70409383</v>
          </cell>
          <cell r="H334" t="str">
            <v>-</v>
          </cell>
          <cell r="I334" t="str">
            <v>-</v>
          </cell>
          <cell r="K334" t="str">
            <v>-</v>
          </cell>
          <cell r="L334" t="str">
            <v>-</v>
          </cell>
          <cell r="N334" t="str">
            <v>-</v>
          </cell>
          <cell r="O334" t="str">
            <v>-</v>
          </cell>
          <cell r="Q334" t="str">
            <v>-</v>
          </cell>
          <cell r="R334" t="str">
            <v>-</v>
          </cell>
          <cell r="T334" t="str">
            <v>-</v>
          </cell>
          <cell r="U334" t="str">
            <v>-</v>
          </cell>
          <cell r="W334" t="str">
            <v>-</v>
          </cell>
          <cell r="X334" t="str">
            <v>-</v>
          </cell>
        </row>
        <row r="335">
          <cell r="A335">
            <v>72220327</v>
          </cell>
          <cell r="B335">
            <v>1202</v>
          </cell>
          <cell r="C335" t="str">
            <v>유리메기</v>
          </cell>
          <cell r="D335" t="str">
            <v>S</v>
          </cell>
          <cell r="E335">
            <v>70409301</v>
          </cell>
          <cell r="H335" t="str">
            <v>-</v>
          </cell>
          <cell r="I335" t="str">
            <v>-</v>
          </cell>
          <cell r="K335" t="str">
            <v>-</v>
          </cell>
          <cell r="L335" t="str">
            <v>-</v>
          </cell>
          <cell r="N335" t="str">
            <v>-</v>
          </cell>
          <cell r="O335" t="str">
            <v>-</v>
          </cell>
          <cell r="Q335" t="str">
            <v>-</v>
          </cell>
          <cell r="R335" t="str">
            <v>-</v>
          </cell>
          <cell r="T335" t="str">
            <v>-</v>
          </cell>
          <cell r="U335" t="str">
            <v>-</v>
          </cell>
          <cell r="W335" t="str">
            <v>-</v>
          </cell>
          <cell r="X335" t="str">
            <v>-</v>
          </cell>
        </row>
        <row r="336">
          <cell r="A336">
            <v>72220328</v>
          </cell>
          <cell r="B336">
            <v>1202</v>
          </cell>
          <cell r="C336" t="str">
            <v>블랙아로와나</v>
          </cell>
          <cell r="D336" t="str">
            <v>B</v>
          </cell>
          <cell r="E336">
            <v>70409227</v>
          </cell>
          <cell r="H336" t="str">
            <v>-</v>
          </cell>
          <cell r="I336" t="str">
            <v>-</v>
          </cell>
          <cell r="K336" t="str">
            <v>-</v>
          </cell>
          <cell r="L336" t="str">
            <v>-</v>
          </cell>
          <cell r="N336" t="str">
            <v>-</v>
          </cell>
          <cell r="O336" t="str">
            <v>-</v>
          </cell>
          <cell r="Q336" t="str">
            <v>-</v>
          </cell>
          <cell r="R336" t="str">
            <v>-</v>
          </cell>
          <cell r="T336" t="str">
            <v>-</v>
          </cell>
          <cell r="U336" t="str">
            <v>-</v>
          </cell>
          <cell r="W336" t="str">
            <v>-</v>
          </cell>
          <cell r="X336" t="str">
            <v>-</v>
          </cell>
        </row>
        <row r="337">
          <cell r="A337">
            <v>72220329</v>
          </cell>
          <cell r="B337">
            <v>1202</v>
          </cell>
          <cell r="C337" t="str">
            <v>홉리아스 아이마라</v>
          </cell>
          <cell r="D337" t="str">
            <v>A</v>
          </cell>
          <cell r="E337">
            <v>70409392</v>
          </cell>
          <cell r="H337" t="str">
            <v>-</v>
          </cell>
          <cell r="I337" t="str">
            <v>-</v>
          </cell>
          <cell r="K337" t="str">
            <v>-</v>
          </cell>
          <cell r="L337" t="str">
            <v>-</v>
          </cell>
          <cell r="N337" t="str">
            <v>-</v>
          </cell>
          <cell r="O337" t="str">
            <v>-</v>
          </cell>
          <cell r="Q337" t="str">
            <v>-</v>
          </cell>
          <cell r="R337" t="str">
            <v>-</v>
          </cell>
          <cell r="T337" t="str">
            <v>-</v>
          </cell>
          <cell r="U337" t="str">
            <v>-</v>
          </cell>
          <cell r="W337" t="str">
            <v>-</v>
          </cell>
          <cell r="X337" t="str">
            <v>-</v>
          </cell>
        </row>
        <row r="338">
          <cell r="A338">
            <v>72220330</v>
          </cell>
          <cell r="B338">
            <v>1203</v>
          </cell>
          <cell r="C338" t="str">
            <v>흡혈메기</v>
          </cell>
          <cell r="D338" t="str">
            <v>B</v>
          </cell>
          <cell r="E338">
            <v>70409414</v>
          </cell>
          <cell r="H338" t="str">
            <v>-</v>
          </cell>
          <cell r="I338" t="str">
            <v>-</v>
          </cell>
          <cell r="K338" t="str">
            <v>-</v>
          </cell>
          <cell r="L338" t="str">
            <v>-</v>
          </cell>
          <cell r="N338" t="str">
            <v>-</v>
          </cell>
          <cell r="O338" t="str">
            <v>-</v>
          </cell>
          <cell r="Q338" t="str">
            <v>-</v>
          </cell>
          <cell r="R338" t="str">
            <v>-</v>
          </cell>
          <cell r="T338" t="str">
            <v>-</v>
          </cell>
          <cell r="U338" t="str">
            <v>-</v>
          </cell>
          <cell r="W338" t="str">
            <v>-</v>
          </cell>
          <cell r="X338" t="str">
            <v>-</v>
          </cell>
        </row>
        <row r="339">
          <cell r="A339">
            <v>72220331</v>
          </cell>
          <cell r="B339">
            <v>1203</v>
          </cell>
          <cell r="C339" t="str">
            <v>플레코스토무스</v>
          </cell>
          <cell r="D339" t="str">
            <v>D</v>
          </cell>
          <cell r="E339">
            <v>70409383</v>
          </cell>
          <cell r="H339" t="str">
            <v>-</v>
          </cell>
          <cell r="I339" t="str">
            <v>-</v>
          </cell>
          <cell r="K339" t="str">
            <v>-</v>
          </cell>
          <cell r="L339" t="str">
            <v>-</v>
          </cell>
          <cell r="N339" t="str">
            <v>-</v>
          </cell>
          <cell r="O339" t="str">
            <v>-</v>
          </cell>
          <cell r="Q339" t="str">
            <v>-</v>
          </cell>
          <cell r="R339" t="str">
            <v>-</v>
          </cell>
          <cell r="T339" t="str">
            <v>-</v>
          </cell>
          <cell r="U339" t="str">
            <v>-</v>
          </cell>
          <cell r="W339" t="str">
            <v>-</v>
          </cell>
          <cell r="X339" t="str">
            <v>-</v>
          </cell>
        </row>
        <row r="340">
          <cell r="A340">
            <v>72220332</v>
          </cell>
          <cell r="B340">
            <v>1203</v>
          </cell>
          <cell r="C340" t="str">
            <v>블랙아로와나</v>
          </cell>
          <cell r="D340" t="str">
            <v>B</v>
          </cell>
          <cell r="E340">
            <v>70409227</v>
          </cell>
          <cell r="H340" t="str">
            <v>-</v>
          </cell>
          <cell r="I340" t="str">
            <v>-</v>
          </cell>
          <cell r="K340" t="str">
            <v>-</v>
          </cell>
          <cell r="L340" t="str">
            <v>-</v>
          </cell>
          <cell r="N340" t="str">
            <v>-</v>
          </cell>
          <cell r="O340" t="str">
            <v>-</v>
          </cell>
          <cell r="Q340" t="str">
            <v>-</v>
          </cell>
          <cell r="R340" t="str">
            <v>-</v>
          </cell>
          <cell r="T340" t="str">
            <v>-</v>
          </cell>
          <cell r="U340" t="str">
            <v>-</v>
          </cell>
          <cell r="W340" t="str">
            <v>-</v>
          </cell>
          <cell r="X340" t="str">
            <v>-</v>
          </cell>
        </row>
        <row r="341">
          <cell r="A341">
            <v>72220333</v>
          </cell>
          <cell r="B341">
            <v>1203</v>
          </cell>
          <cell r="C341" t="str">
            <v>홉리아스 아이마라</v>
          </cell>
          <cell r="D341" t="str">
            <v>A</v>
          </cell>
          <cell r="E341">
            <v>70409392</v>
          </cell>
          <cell r="H341" t="str">
            <v>-</v>
          </cell>
          <cell r="I341" t="str">
            <v>-</v>
          </cell>
          <cell r="K341" t="str">
            <v>-</v>
          </cell>
          <cell r="L341" t="str">
            <v>-</v>
          </cell>
          <cell r="N341" t="str">
            <v>-</v>
          </cell>
          <cell r="O341" t="str">
            <v>-</v>
          </cell>
          <cell r="Q341" t="str">
            <v>-</v>
          </cell>
          <cell r="R341" t="str">
            <v>-</v>
          </cell>
          <cell r="T341" t="str">
            <v>-</v>
          </cell>
          <cell r="U341" t="str">
            <v>-</v>
          </cell>
          <cell r="W341" t="str">
            <v>-</v>
          </cell>
          <cell r="X341" t="str">
            <v>-</v>
          </cell>
        </row>
        <row r="342">
          <cell r="A342">
            <v>72220334</v>
          </cell>
          <cell r="B342">
            <v>1204</v>
          </cell>
          <cell r="C342" t="str">
            <v>유리메기</v>
          </cell>
          <cell r="D342" t="str">
            <v>S</v>
          </cell>
          <cell r="E342">
            <v>70409301</v>
          </cell>
          <cell r="H342" t="str">
            <v>-</v>
          </cell>
          <cell r="I342" t="str">
            <v>-</v>
          </cell>
          <cell r="K342" t="str">
            <v>-</v>
          </cell>
          <cell r="L342" t="str">
            <v>-</v>
          </cell>
          <cell r="N342" t="str">
            <v>-</v>
          </cell>
          <cell r="O342" t="str">
            <v>-</v>
          </cell>
          <cell r="Q342" t="str">
            <v>-</v>
          </cell>
          <cell r="R342" t="str">
            <v>-</v>
          </cell>
          <cell r="T342" t="str">
            <v>-</v>
          </cell>
          <cell r="U342" t="str">
            <v>-</v>
          </cell>
          <cell r="W342" t="str">
            <v>-</v>
          </cell>
          <cell r="X342" t="str">
            <v>-</v>
          </cell>
        </row>
        <row r="343">
          <cell r="A343">
            <v>72220335</v>
          </cell>
          <cell r="B343">
            <v>1204</v>
          </cell>
          <cell r="C343" t="str">
            <v>흡혈메기</v>
          </cell>
          <cell r="D343" t="str">
            <v>B</v>
          </cell>
          <cell r="E343">
            <v>70409414</v>
          </cell>
          <cell r="H343" t="str">
            <v>-</v>
          </cell>
          <cell r="I343" t="str">
            <v>-</v>
          </cell>
          <cell r="K343" t="str">
            <v>-</v>
          </cell>
          <cell r="L343" t="str">
            <v>-</v>
          </cell>
          <cell r="N343" t="str">
            <v>-</v>
          </cell>
          <cell r="O343" t="str">
            <v>-</v>
          </cell>
          <cell r="Q343" t="str">
            <v>-</v>
          </cell>
          <cell r="R343" t="str">
            <v>-</v>
          </cell>
          <cell r="T343" t="str">
            <v>-</v>
          </cell>
          <cell r="U343" t="str">
            <v>-</v>
          </cell>
          <cell r="W343" t="str">
            <v>-</v>
          </cell>
          <cell r="X343" t="str">
            <v>-</v>
          </cell>
        </row>
        <row r="344">
          <cell r="A344">
            <v>72220336</v>
          </cell>
          <cell r="B344">
            <v>1204</v>
          </cell>
          <cell r="C344" t="str">
            <v>플레코스토무스</v>
          </cell>
          <cell r="D344" t="str">
            <v>D</v>
          </cell>
          <cell r="E344">
            <v>70409383</v>
          </cell>
          <cell r="H344" t="str">
            <v>-</v>
          </cell>
          <cell r="I344" t="str">
            <v>-</v>
          </cell>
          <cell r="K344" t="str">
            <v>-</v>
          </cell>
          <cell r="L344" t="str">
            <v>-</v>
          </cell>
          <cell r="N344" t="str">
            <v>-</v>
          </cell>
          <cell r="O344" t="str">
            <v>-</v>
          </cell>
          <cell r="Q344" t="str">
            <v>-</v>
          </cell>
          <cell r="R344" t="str">
            <v>-</v>
          </cell>
          <cell r="T344" t="str">
            <v>-</v>
          </cell>
          <cell r="U344" t="str">
            <v>-</v>
          </cell>
          <cell r="W344" t="str">
            <v>-</v>
          </cell>
          <cell r="X344" t="str">
            <v>-</v>
          </cell>
        </row>
        <row r="345">
          <cell r="A345">
            <v>72220337</v>
          </cell>
          <cell r="B345">
            <v>1204</v>
          </cell>
          <cell r="C345" t="str">
            <v>블랙아로와나</v>
          </cell>
          <cell r="D345" t="str">
            <v>B</v>
          </cell>
          <cell r="E345">
            <v>70409227</v>
          </cell>
          <cell r="H345" t="str">
            <v>-</v>
          </cell>
          <cell r="I345" t="str">
            <v>-</v>
          </cell>
          <cell r="K345" t="str">
            <v>-</v>
          </cell>
          <cell r="L345" t="str">
            <v>-</v>
          </cell>
          <cell r="N345" t="str">
            <v>-</v>
          </cell>
          <cell r="O345" t="str">
            <v>-</v>
          </cell>
          <cell r="Q345" t="str">
            <v>-</v>
          </cell>
          <cell r="R345" t="str">
            <v>-</v>
          </cell>
          <cell r="T345" t="str">
            <v>-</v>
          </cell>
          <cell r="U345" t="str">
            <v>-</v>
          </cell>
          <cell r="W345" t="str">
            <v>-</v>
          </cell>
          <cell r="X345" t="str">
            <v>-</v>
          </cell>
        </row>
        <row r="346">
          <cell r="A346">
            <v>72220338</v>
          </cell>
          <cell r="B346">
            <v>1204</v>
          </cell>
          <cell r="C346" t="str">
            <v>홉리아스 아이마라</v>
          </cell>
          <cell r="D346" t="str">
            <v>A</v>
          </cell>
          <cell r="E346">
            <v>70409392</v>
          </cell>
          <cell r="H346" t="str">
            <v>-</v>
          </cell>
          <cell r="I346" t="str">
            <v>-</v>
          </cell>
          <cell r="K346" t="str">
            <v>-</v>
          </cell>
          <cell r="L346" t="str">
            <v>-</v>
          </cell>
          <cell r="N346" t="str">
            <v>-</v>
          </cell>
          <cell r="O346" t="str">
            <v>-</v>
          </cell>
          <cell r="Q346" t="str">
            <v>-</v>
          </cell>
          <cell r="R346" t="str">
            <v>-</v>
          </cell>
          <cell r="T346" t="str">
            <v>-</v>
          </cell>
          <cell r="U346" t="str">
            <v>-</v>
          </cell>
          <cell r="W346" t="str">
            <v>-</v>
          </cell>
          <cell r="X346" t="str">
            <v>-</v>
          </cell>
        </row>
        <row r="347">
          <cell r="A347">
            <v>72220339</v>
          </cell>
          <cell r="B347">
            <v>1211</v>
          </cell>
          <cell r="C347" t="str">
            <v>동갈방어</v>
          </cell>
          <cell r="D347" t="str">
            <v>A</v>
          </cell>
          <cell r="E347">
            <v>70409115</v>
          </cell>
          <cell r="H347" t="str">
            <v>-</v>
          </cell>
          <cell r="I347" t="str">
            <v>-</v>
          </cell>
          <cell r="K347" t="str">
            <v>-</v>
          </cell>
          <cell r="L347" t="str">
            <v>-</v>
          </cell>
          <cell r="N347" t="str">
            <v>-</v>
          </cell>
          <cell r="O347" t="str">
            <v>-</v>
          </cell>
          <cell r="Q347" t="str">
            <v>-</v>
          </cell>
          <cell r="R347" t="str">
            <v>-</v>
          </cell>
          <cell r="T347" t="str">
            <v>-</v>
          </cell>
          <cell r="U347" t="str">
            <v>-</v>
          </cell>
          <cell r="W347" t="str">
            <v>-</v>
          </cell>
          <cell r="X347" t="str">
            <v>-</v>
          </cell>
        </row>
        <row r="348">
          <cell r="A348">
            <v>72220340</v>
          </cell>
          <cell r="B348">
            <v>1211</v>
          </cell>
          <cell r="C348" t="str">
            <v>물수배기</v>
          </cell>
          <cell r="D348" t="str">
            <v>B</v>
          </cell>
          <cell r="E348">
            <v>70409167</v>
          </cell>
          <cell r="H348" t="str">
            <v>-</v>
          </cell>
          <cell r="I348" t="str">
            <v>-</v>
          </cell>
          <cell r="K348" t="str">
            <v>-</v>
          </cell>
          <cell r="L348" t="str">
            <v>-</v>
          </cell>
          <cell r="N348" t="str">
            <v>-</v>
          </cell>
          <cell r="O348" t="str">
            <v>-</v>
          </cell>
          <cell r="Q348" t="str">
            <v>-</v>
          </cell>
          <cell r="R348" t="str">
            <v>-</v>
          </cell>
          <cell r="T348" t="str">
            <v>-</v>
          </cell>
          <cell r="U348" t="str">
            <v>-</v>
          </cell>
          <cell r="W348" t="str">
            <v>-</v>
          </cell>
          <cell r="X348" t="str">
            <v>-</v>
          </cell>
        </row>
        <row r="349">
          <cell r="A349">
            <v>72220341</v>
          </cell>
          <cell r="B349">
            <v>1211</v>
          </cell>
          <cell r="C349" t="str">
            <v>빨판매가리</v>
          </cell>
          <cell r="D349" t="str">
            <v>C</v>
          </cell>
          <cell r="E349">
            <v>70409232</v>
          </cell>
          <cell r="H349" t="str">
            <v>-</v>
          </cell>
          <cell r="I349" t="str">
            <v>-</v>
          </cell>
          <cell r="K349" t="str">
            <v>-</v>
          </cell>
          <cell r="L349" t="str">
            <v>-</v>
          </cell>
          <cell r="N349" t="str">
            <v>-</v>
          </cell>
          <cell r="O349" t="str">
            <v>-</v>
          </cell>
          <cell r="Q349" t="str">
            <v>-</v>
          </cell>
          <cell r="R349" t="str">
            <v>-</v>
          </cell>
          <cell r="T349" t="str">
            <v>-</v>
          </cell>
          <cell r="U349" t="str">
            <v>-</v>
          </cell>
          <cell r="W349" t="str">
            <v>-</v>
          </cell>
          <cell r="X349" t="str">
            <v>-</v>
          </cell>
        </row>
        <row r="350">
          <cell r="A350">
            <v>72220342</v>
          </cell>
          <cell r="B350">
            <v>1212</v>
          </cell>
          <cell r="C350" t="str">
            <v>동갈방어</v>
          </cell>
          <cell r="D350" t="str">
            <v>A</v>
          </cell>
          <cell r="E350">
            <v>70409115</v>
          </cell>
          <cell r="H350" t="str">
            <v>-</v>
          </cell>
          <cell r="I350" t="str">
            <v>-</v>
          </cell>
          <cell r="K350" t="str">
            <v>-</v>
          </cell>
          <cell r="L350" t="str">
            <v>-</v>
          </cell>
          <cell r="N350" t="str">
            <v>-</v>
          </cell>
          <cell r="O350" t="str">
            <v>-</v>
          </cell>
          <cell r="Q350" t="str">
            <v>-</v>
          </cell>
          <cell r="R350" t="str">
            <v>-</v>
          </cell>
          <cell r="T350" t="str">
            <v>-</v>
          </cell>
          <cell r="U350" t="str">
            <v>-</v>
          </cell>
          <cell r="W350" t="str">
            <v>-</v>
          </cell>
          <cell r="X350" t="str">
            <v>-</v>
          </cell>
        </row>
        <row r="351">
          <cell r="A351">
            <v>72220343</v>
          </cell>
          <cell r="B351">
            <v>1212</v>
          </cell>
          <cell r="C351" t="str">
            <v>물수배기</v>
          </cell>
          <cell r="D351" t="str">
            <v>B</v>
          </cell>
          <cell r="E351">
            <v>70409167</v>
          </cell>
          <cell r="H351" t="str">
            <v>-</v>
          </cell>
          <cell r="I351" t="str">
            <v>-</v>
          </cell>
          <cell r="K351" t="str">
            <v>-</v>
          </cell>
          <cell r="L351" t="str">
            <v>-</v>
          </cell>
          <cell r="N351" t="str">
            <v>-</v>
          </cell>
          <cell r="O351" t="str">
            <v>-</v>
          </cell>
          <cell r="Q351" t="str">
            <v>-</v>
          </cell>
          <cell r="R351" t="str">
            <v>-</v>
          </cell>
          <cell r="T351" t="str">
            <v>-</v>
          </cell>
          <cell r="U351" t="str">
            <v>-</v>
          </cell>
          <cell r="W351" t="str">
            <v>-</v>
          </cell>
          <cell r="X351" t="str">
            <v>-</v>
          </cell>
        </row>
        <row r="352">
          <cell r="A352">
            <v>72220344</v>
          </cell>
          <cell r="B352">
            <v>1212</v>
          </cell>
          <cell r="C352" t="str">
            <v>빨판매가리</v>
          </cell>
          <cell r="D352" t="str">
            <v>C</v>
          </cell>
          <cell r="E352">
            <v>70409232</v>
          </cell>
          <cell r="H352" t="str">
            <v>-</v>
          </cell>
          <cell r="I352" t="str">
            <v>-</v>
          </cell>
          <cell r="K352" t="str">
            <v>-</v>
          </cell>
          <cell r="L352" t="str">
            <v>-</v>
          </cell>
          <cell r="N352" t="str">
            <v>-</v>
          </cell>
          <cell r="O352" t="str">
            <v>-</v>
          </cell>
          <cell r="Q352" t="str">
            <v>-</v>
          </cell>
          <cell r="R352" t="str">
            <v>-</v>
          </cell>
          <cell r="T352" t="str">
            <v>-</v>
          </cell>
          <cell r="U352" t="str">
            <v>-</v>
          </cell>
          <cell r="W352" t="str">
            <v>-</v>
          </cell>
          <cell r="X352" t="str">
            <v>-</v>
          </cell>
        </row>
        <row r="353">
          <cell r="A353">
            <v>72220345</v>
          </cell>
          <cell r="B353">
            <v>1213</v>
          </cell>
          <cell r="C353" t="str">
            <v>동갈방어</v>
          </cell>
          <cell r="D353" t="str">
            <v>A</v>
          </cell>
          <cell r="E353">
            <v>70409115</v>
          </cell>
          <cell r="H353" t="str">
            <v>-</v>
          </cell>
          <cell r="I353" t="str">
            <v>-</v>
          </cell>
          <cell r="K353" t="str">
            <v>-</v>
          </cell>
          <cell r="L353" t="str">
            <v>-</v>
          </cell>
          <cell r="N353" t="str">
            <v>-</v>
          </cell>
          <cell r="O353" t="str">
            <v>-</v>
          </cell>
          <cell r="Q353" t="str">
            <v>-</v>
          </cell>
          <cell r="R353" t="str">
            <v>-</v>
          </cell>
          <cell r="T353" t="str">
            <v>-</v>
          </cell>
          <cell r="U353" t="str">
            <v>-</v>
          </cell>
          <cell r="W353" t="str">
            <v>-</v>
          </cell>
          <cell r="X353" t="str">
            <v>-</v>
          </cell>
        </row>
        <row r="354">
          <cell r="A354">
            <v>72220346</v>
          </cell>
          <cell r="B354">
            <v>1213</v>
          </cell>
          <cell r="C354" t="str">
            <v>물수배기</v>
          </cell>
          <cell r="D354" t="str">
            <v>B</v>
          </cell>
          <cell r="E354">
            <v>70409167</v>
          </cell>
          <cell r="H354" t="str">
            <v>-</v>
          </cell>
          <cell r="I354" t="str">
            <v>-</v>
          </cell>
          <cell r="K354" t="str">
            <v>-</v>
          </cell>
          <cell r="L354" t="str">
            <v>-</v>
          </cell>
          <cell r="N354" t="str">
            <v>-</v>
          </cell>
          <cell r="O354" t="str">
            <v>-</v>
          </cell>
          <cell r="Q354" t="str">
            <v>-</v>
          </cell>
          <cell r="R354" t="str">
            <v>-</v>
          </cell>
          <cell r="T354" t="str">
            <v>-</v>
          </cell>
          <cell r="U354" t="str">
            <v>-</v>
          </cell>
          <cell r="W354" t="str">
            <v>-</v>
          </cell>
          <cell r="X354" t="str">
            <v>-</v>
          </cell>
        </row>
        <row r="355">
          <cell r="A355">
            <v>72220347</v>
          </cell>
          <cell r="B355">
            <v>1213</v>
          </cell>
          <cell r="C355" t="str">
            <v>빨판매가리</v>
          </cell>
          <cell r="D355" t="str">
            <v>C</v>
          </cell>
          <cell r="E355">
            <v>70409232</v>
          </cell>
          <cell r="H355" t="str">
            <v>-</v>
          </cell>
          <cell r="I355" t="str">
            <v>-</v>
          </cell>
          <cell r="K355" t="str">
            <v>-</v>
          </cell>
          <cell r="L355" t="str">
            <v>-</v>
          </cell>
          <cell r="N355" t="str">
            <v>-</v>
          </cell>
          <cell r="O355" t="str">
            <v>-</v>
          </cell>
          <cell r="Q355" t="str">
            <v>-</v>
          </cell>
          <cell r="R355" t="str">
            <v>-</v>
          </cell>
          <cell r="T355" t="str">
            <v>-</v>
          </cell>
          <cell r="U355" t="str">
            <v>-</v>
          </cell>
          <cell r="W355" t="str">
            <v>-</v>
          </cell>
          <cell r="X355" t="str">
            <v>-</v>
          </cell>
        </row>
        <row r="356">
          <cell r="A356">
            <v>72220348</v>
          </cell>
          <cell r="B356">
            <v>1214</v>
          </cell>
          <cell r="C356" t="str">
            <v>동갈방어</v>
          </cell>
          <cell r="D356" t="str">
            <v>A</v>
          </cell>
          <cell r="E356">
            <v>70409115</v>
          </cell>
          <cell r="H356" t="str">
            <v>-</v>
          </cell>
          <cell r="I356" t="str">
            <v>-</v>
          </cell>
          <cell r="K356" t="str">
            <v>-</v>
          </cell>
          <cell r="L356" t="str">
            <v>-</v>
          </cell>
          <cell r="N356" t="str">
            <v>-</v>
          </cell>
          <cell r="O356" t="str">
            <v>-</v>
          </cell>
          <cell r="Q356" t="str">
            <v>-</v>
          </cell>
          <cell r="R356" t="str">
            <v>-</v>
          </cell>
          <cell r="T356" t="str">
            <v>-</v>
          </cell>
          <cell r="U356" t="str">
            <v>-</v>
          </cell>
          <cell r="W356" t="str">
            <v>-</v>
          </cell>
          <cell r="X356" t="str">
            <v>-</v>
          </cell>
        </row>
        <row r="357">
          <cell r="A357">
            <v>72220349</v>
          </cell>
          <cell r="B357">
            <v>1214</v>
          </cell>
          <cell r="C357" t="str">
            <v>물수배기</v>
          </cell>
          <cell r="D357" t="str">
            <v>B</v>
          </cell>
          <cell r="E357">
            <v>70409167</v>
          </cell>
          <cell r="H357" t="str">
            <v>-</v>
          </cell>
          <cell r="I357" t="str">
            <v>-</v>
          </cell>
          <cell r="K357" t="str">
            <v>-</v>
          </cell>
          <cell r="L357" t="str">
            <v>-</v>
          </cell>
          <cell r="N357" t="str">
            <v>-</v>
          </cell>
          <cell r="O357" t="str">
            <v>-</v>
          </cell>
          <cell r="Q357" t="str">
            <v>-</v>
          </cell>
          <cell r="R357" t="str">
            <v>-</v>
          </cell>
          <cell r="T357" t="str">
            <v>-</v>
          </cell>
          <cell r="U357" t="str">
            <v>-</v>
          </cell>
          <cell r="W357" t="str">
            <v>-</v>
          </cell>
          <cell r="X357" t="str">
            <v>-</v>
          </cell>
        </row>
        <row r="358">
          <cell r="A358">
            <v>72220350</v>
          </cell>
          <cell r="B358">
            <v>1214</v>
          </cell>
          <cell r="C358" t="str">
            <v>빨판매가리</v>
          </cell>
          <cell r="D358" t="str">
            <v>C</v>
          </cell>
          <cell r="E358">
            <v>70409232</v>
          </cell>
          <cell r="H358" t="str">
            <v>-</v>
          </cell>
          <cell r="I358" t="str">
            <v>-</v>
          </cell>
          <cell r="K358" t="str">
            <v>-</v>
          </cell>
          <cell r="L358" t="str">
            <v>-</v>
          </cell>
          <cell r="N358" t="str">
            <v>-</v>
          </cell>
          <cell r="O358" t="str">
            <v>-</v>
          </cell>
          <cell r="Q358" t="str">
            <v>-</v>
          </cell>
          <cell r="R358" t="str">
            <v>-</v>
          </cell>
          <cell r="T358" t="str">
            <v>-</v>
          </cell>
          <cell r="U358" t="str">
            <v>-</v>
          </cell>
          <cell r="W358" t="str">
            <v>-</v>
          </cell>
          <cell r="X358" t="str">
            <v>-</v>
          </cell>
        </row>
        <row r="359">
          <cell r="A359">
            <v>72220351</v>
          </cell>
          <cell r="B359">
            <v>1221</v>
          </cell>
          <cell r="C359" t="str">
            <v>날새기</v>
          </cell>
          <cell r="D359" t="str">
            <v>B</v>
          </cell>
          <cell r="E359">
            <v>70409068</v>
          </cell>
          <cell r="H359" t="str">
            <v>-</v>
          </cell>
          <cell r="I359" t="str">
            <v>-</v>
          </cell>
          <cell r="K359" t="str">
            <v>-</v>
          </cell>
          <cell r="L359" t="str">
            <v>-</v>
          </cell>
          <cell r="N359" t="str">
            <v>-</v>
          </cell>
          <cell r="O359" t="str">
            <v>-</v>
          </cell>
          <cell r="Q359" t="str">
            <v>-</v>
          </cell>
          <cell r="R359" t="str">
            <v>-</v>
          </cell>
          <cell r="T359" t="str">
            <v>-</v>
          </cell>
          <cell r="U359" t="str">
            <v>-</v>
          </cell>
          <cell r="W359" t="str">
            <v>-</v>
          </cell>
          <cell r="X359" t="str">
            <v>-</v>
          </cell>
        </row>
        <row r="360">
          <cell r="A360">
            <v>72220352</v>
          </cell>
          <cell r="B360">
            <v>1221</v>
          </cell>
          <cell r="C360" t="str">
            <v>샛비늘치</v>
          </cell>
          <cell r="D360" t="str">
            <v>C</v>
          </cell>
          <cell r="E360">
            <v>70409252</v>
          </cell>
          <cell r="H360" t="str">
            <v>-</v>
          </cell>
          <cell r="I360" t="str">
            <v>-</v>
          </cell>
          <cell r="K360" t="str">
            <v>-</v>
          </cell>
          <cell r="L360" t="str">
            <v>-</v>
          </cell>
          <cell r="N360" t="str">
            <v>-</v>
          </cell>
          <cell r="O360" t="str">
            <v>-</v>
          </cell>
          <cell r="Q360" t="str">
            <v>-</v>
          </cell>
          <cell r="R360" t="str">
            <v>-</v>
          </cell>
          <cell r="T360" t="str">
            <v>-</v>
          </cell>
          <cell r="U360" t="str">
            <v>-</v>
          </cell>
          <cell r="W360" t="str">
            <v>-</v>
          </cell>
          <cell r="X360" t="str">
            <v>-</v>
          </cell>
        </row>
        <row r="361">
          <cell r="A361">
            <v>72220353</v>
          </cell>
          <cell r="B361">
            <v>1221</v>
          </cell>
          <cell r="C361" t="str">
            <v>타폰</v>
          </cell>
          <cell r="D361" t="str">
            <v>D</v>
          </cell>
          <cell r="E361">
            <v>70409367</v>
          </cell>
          <cell r="H361" t="str">
            <v>-</v>
          </cell>
          <cell r="I361" t="str">
            <v>-</v>
          </cell>
          <cell r="K361" t="str">
            <v>-</v>
          </cell>
          <cell r="L361" t="str">
            <v>-</v>
          </cell>
          <cell r="N361" t="str">
            <v>-</v>
          </cell>
          <cell r="O361" t="str">
            <v>-</v>
          </cell>
          <cell r="Q361" t="str">
            <v>-</v>
          </cell>
          <cell r="R361" t="str">
            <v>-</v>
          </cell>
          <cell r="T361" t="str">
            <v>-</v>
          </cell>
          <cell r="U361" t="str">
            <v>-</v>
          </cell>
          <cell r="W361" t="str">
            <v>-</v>
          </cell>
          <cell r="X361" t="str">
            <v>-</v>
          </cell>
        </row>
        <row r="362">
          <cell r="A362">
            <v>72220354</v>
          </cell>
          <cell r="B362">
            <v>1222</v>
          </cell>
          <cell r="C362" t="str">
            <v>날새기</v>
          </cell>
          <cell r="D362" t="str">
            <v>B</v>
          </cell>
          <cell r="E362">
            <v>70409068</v>
          </cell>
          <cell r="H362" t="str">
            <v>-</v>
          </cell>
          <cell r="I362" t="str">
            <v>-</v>
          </cell>
          <cell r="K362" t="str">
            <v>-</v>
          </cell>
          <cell r="L362" t="str">
            <v>-</v>
          </cell>
          <cell r="N362" t="str">
            <v>-</v>
          </cell>
          <cell r="O362" t="str">
            <v>-</v>
          </cell>
          <cell r="Q362" t="str">
            <v>-</v>
          </cell>
          <cell r="R362" t="str">
            <v>-</v>
          </cell>
          <cell r="T362" t="str">
            <v>-</v>
          </cell>
          <cell r="U362" t="str">
            <v>-</v>
          </cell>
          <cell r="W362" t="str">
            <v>-</v>
          </cell>
          <cell r="X362" t="str">
            <v>-</v>
          </cell>
        </row>
        <row r="363">
          <cell r="A363">
            <v>72220355</v>
          </cell>
          <cell r="B363">
            <v>1222</v>
          </cell>
          <cell r="C363" t="str">
            <v>샛비늘치</v>
          </cell>
          <cell r="D363" t="str">
            <v>C</v>
          </cell>
          <cell r="E363">
            <v>70409252</v>
          </cell>
          <cell r="H363" t="str">
            <v>-</v>
          </cell>
          <cell r="I363" t="str">
            <v>-</v>
          </cell>
          <cell r="K363" t="str">
            <v>-</v>
          </cell>
          <cell r="L363" t="str">
            <v>-</v>
          </cell>
          <cell r="N363" t="str">
            <v>-</v>
          </cell>
          <cell r="O363" t="str">
            <v>-</v>
          </cell>
          <cell r="Q363" t="str">
            <v>-</v>
          </cell>
          <cell r="R363" t="str">
            <v>-</v>
          </cell>
          <cell r="T363" t="str">
            <v>-</v>
          </cell>
          <cell r="U363" t="str">
            <v>-</v>
          </cell>
          <cell r="W363" t="str">
            <v>-</v>
          </cell>
          <cell r="X363" t="str">
            <v>-</v>
          </cell>
        </row>
        <row r="364">
          <cell r="A364">
            <v>72220356</v>
          </cell>
          <cell r="B364">
            <v>1222</v>
          </cell>
          <cell r="C364" t="str">
            <v>타폰</v>
          </cell>
          <cell r="D364" t="str">
            <v>D</v>
          </cell>
          <cell r="E364">
            <v>70409367</v>
          </cell>
          <cell r="H364" t="str">
            <v>-</v>
          </cell>
          <cell r="I364" t="str">
            <v>-</v>
          </cell>
          <cell r="K364" t="str">
            <v>-</v>
          </cell>
          <cell r="L364" t="str">
            <v>-</v>
          </cell>
          <cell r="N364" t="str">
            <v>-</v>
          </cell>
          <cell r="O364" t="str">
            <v>-</v>
          </cell>
          <cell r="Q364" t="str">
            <v>-</v>
          </cell>
          <cell r="R364" t="str">
            <v>-</v>
          </cell>
          <cell r="T364" t="str">
            <v>-</v>
          </cell>
          <cell r="U364" t="str">
            <v>-</v>
          </cell>
          <cell r="W364" t="str">
            <v>-</v>
          </cell>
          <cell r="X364" t="str">
            <v>-</v>
          </cell>
        </row>
        <row r="365">
          <cell r="A365">
            <v>72220357</v>
          </cell>
          <cell r="B365">
            <v>1223</v>
          </cell>
          <cell r="C365" t="str">
            <v>날새기</v>
          </cell>
          <cell r="D365" t="str">
            <v>B</v>
          </cell>
          <cell r="E365">
            <v>70409068</v>
          </cell>
          <cell r="H365" t="str">
            <v>-</v>
          </cell>
          <cell r="I365" t="str">
            <v>-</v>
          </cell>
          <cell r="K365" t="str">
            <v>-</v>
          </cell>
          <cell r="L365" t="str">
            <v>-</v>
          </cell>
          <cell r="N365" t="str">
            <v>-</v>
          </cell>
          <cell r="O365" t="str">
            <v>-</v>
          </cell>
          <cell r="Q365" t="str">
            <v>-</v>
          </cell>
          <cell r="R365" t="str">
            <v>-</v>
          </cell>
          <cell r="T365" t="str">
            <v>-</v>
          </cell>
          <cell r="U365" t="str">
            <v>-</v>
          </cell>
          <cell r="W365" t="str">
            <v>-</v>
          </cell>
          <cell r="X365" t="str">
            <v>-</v>
          </cell>
        </row>
        <row r="366">
          <cell r="A366">
            <v>72220358</v>
          </cell>
          <cell r="B366">
            <v>1223</v>
          </cell>
          <cell r="C366" t="str">
            <v>샛비늘치</v>
          </cell>
          <cell r="D366" t="str">
            <v>C</v>
          </cell>
          <cell r="E366">
            <v>70409252</v>
          </cell>
          <cell r="H366" t="str">
            <v>-</v>
          </cell>
          <cell r="I366" t="str">
            <v>-</v>
          </cell>
          <cell r="K366" t="str">
            <v>-</v>
          </cell>
          <cell r="L366" t="str">
            <v>-</v>
          </cell>
          <cell r="N366" t="str">
            <v>-</v>
          </cell>
          <cell r="O366" t="str">
            <v>-</v>
          </cell>
          <cell r="Q366" t="str">
            <v>-</v>
          </cell>
          <cell r="R366" t="str">
            <v>-</v>
          </cell>
          <cell r="T366" t="str">
            <v>-</v>
          </cell>
          <cell r="U366" t="str">
            <v>-</v>
          </cell>
          <cell r="W366" t="str">
            <v>-</v>
          </cell>
          <cell r="X366" t="str">
            <v>-</v>
          </cell>
        </row>
        <row r="367">
          <cell r="A367">
            <v>72220359</v>
          </cell>
          <cell r="B367">
            <v>1223</v>
          </cell>
          <cell r="C367" t="str">
            <v>타폰</v>
          </cell>
          <cell r="D367" t="str">
            <v>D</v>
          </cell>
          <cell r="E367">
            <v>70409367</v>
          </cell>
          <cell r="H367" t="str">
            <v>-</v>
          </cell>
          <cell r="I367" t="str">
            <v>-</v>
          </cell>
          <cell r="K367" t="str">
            <v>-</v>
          </cell>
          <cell r="L367" t="str">
            <v>-</v>
          </cell>
          <cell r="N367" t="str">
            <v>-</v>
          </cell>
          <cell r="O367" t="str">
            <v>-</v>
          </cell>
          <cell r="Q367" t="str">
            <v>-</v>
          </cell>
          <cell r="R367" t="str">
            <v>-</v>
          </cell>
          <cell r="T367" t="str">
            <v>-</v>
          </cell>
          <cell r="U367" t="str">
            <v>-</v>
          </cell>
          <cell r="W367" t="str">
            <v>-</v>
          </cell>
          <cell r="X367" t="str">
            <v>-</v>
          </cell>
        </row>
        <row r="368">
          <cell r="A368">
            <v>72220360</v>
          </cell>
          <cell r="B368">
            <v>1224</v>
          </cell>
          <cell r="C368" t="str">
            <v>날새기</v>
          </cell>
          <cell r="D368" t="str">
            <v>B</v>
          </cell>
          <cell r="E368">
            <v>70409068</v>
          </cell>
          <cell r="H368" t="str">
            <v>-</v>
          </cell>
          <cell r="I368" t="str">
            <v>-</v>
          </cell>
          <cell r="K368" t="str">
            <v>-</v>
          </cell>
          <cell r="L368" t="str">
            <v>-</v>
          </cell>
          <cell r="N368" t="str">
            <v>-</v>
          </cell>
          <cell r="O368" t="str">
            <v>-</v>
          </cell>
          <cell r="Q368" t="str">
            <v>-</v>
          </cell>
          <cell r="R368" t="str">
            <v>-</v>
          </cell>
          <cell r="T368" t="str">
            <v>-</v>
          </cell>
          <cell r="U368" t="str">
            <v>-</v>
          </cell>
          <cell r="W368" t="str">
            <v>-</v>
          </cell>
          <cell r="X368" t="str">
            <v>-</v>
          </cell>
        </row>
        <row r="369">
          <cell r="A369">
            <v>72220361</v>
          </cell>
          <cell r="B369">
            <v>1224</v>
          </cell>
          <cell r="C369" t="str">
            <v>샛비늘치</v>
          </cell>
          <cell r="D369" t="str">
            <v>C</v>
          </cell>
          <cell r="E369">
            <v>70409252</v>
          </cell>
          <cell r="H369" t="str">
            <v>-</v>
          </cell>
          <cell r="I369" t="str">
            <v>-</v>
          </cell>
          <cell r="K369" t="str">
            <v>-</v>
          </cell>
          <cell r="L369" t="str">
            <v>-</v>
          </cell>
          <cell r="N369" t="str">
            <v>-</v>
          </cell>
          <cell r="O369" t="str">
            <v>-</v>
          </cell>
          <cell r="Q369" t="str">
            <v>-</v>
          </cell>
          <cell r="R369" t="str">
            <v>-</v>
          </cell>
          <cell r="T369" t="str">
            <v>-</v>
          </cell>
          <cell r="U369" t="str">
            <v>-</v>
          </cell>
          <cell r="W369" t="str">
            <v>-</v>
          </cell>
          <cell r="X369" t="str">
            <v>-</v>
          </cell>
        </row>
        <row r="370">
          <cell r="A370">
            <v>72220362</v>
          </cell>
          <cell r="B370">
            <v>1224</v>
          </cell>
          <cell r="C370" t="str">
            <v>타폰</v>
          </cell>
          <cell r="D370" t="str">
            <v>D</v>
          </cell>
          <cell r="E370">
            <v>70409367</v>
          </cell>
          <cell r="H370" t="str">
            <v>-</v>
          </cell>
          <cell r="I370" t="str">
            <v>-</v>
          </cell>
          <cell r="K370" t="str">
            <v>-</v>
          </cell>
          <cell r="L370" t="str">
            <v>-</v>
          </cell>
          <cell r="N370" t="str">
            <v>-</v>
          </cell>
          <cell r="O370" t="str">
            <v>-</v>
          </cell>
          <cell r="Q370" t="str">
            <v>-</v>
          </cell>
          <cell r="R370" t="str">
            <v>-</v>
          </cell>
          <cell r="T370" t="str">
            <v>-</v>
          </cell>
          <cell r="U370" t="str">
            <v>-</v>
          </cell>
          <cell r="W370" t="str">
            <v>-</v>
          </cell>
          <cell r="X370" t="str">
            <v>-</v>
          </cell>
        </row>
        <row r="371">
          <cell r="A371">
            <v>72220363</v>
          </cell>
          <cell r="B371">
            <v>1231</v>
          </cell>
          <cell r="C371" t="str">
            <v>돌묵상어</v>
          </cell>
          <cell r="D371" t="str">
            <v>A</v>
          </cell>
          <cell r="E371">
            <v>70409113</v>
          </cell>
          <cell r="H371" t="str">
            <v>-</v>
          </cell>
          <cell r="I371" t="str">
            <v>-</v>
          </cell>
          <cell r="K371" t="str">
            <v>-</v>
          </cell>
          <cell r="L371" t="str">
            <v>-</v>
          </cell>
          <cell r="N371" t="str">
            <v>-</v>
          </cell>
          <cell r="O371" t="str">
            <v>-</v>
          </cell>
          <cell r="Q371" t="str">
            <v>-</v>
          </cell>
          <cell r="R371" t="str">
            <v>-</v>
          </cell>
          <cell r="T371" t="str">
            <v>-</v>
          </cell>
          <cell r="U371" t="str">
            <v>-</v>
          </cell>
          <cell r="W371" t="str">
            <v>-</v>
          </cell>
          <cell r="X371" t="str">
            <v>-</v>
          </cell>
        </row>
        <row r="372">
          <cell r="A372">
            <v>72220364</v>
          </cell>
          <cell r="B372">
            <v>1232</v>
          </cell>
          <cell r="C372" t="str">
            <v>돌묵상어</v>
          </cell>
          <cell r="D372" t="str">
            <v>A</v>
          </cell>
          <cell r="E372">
            <v>70409113</v>
          </cell>
          <cell r="H372" t="str">
            <v>-</v>
          </cell>
          <cell r="I372" t="str">
            <v>-</v>
          </cell>
          <cell r="K372" t="str">
            <v>-</v>
          </cell>
          <cell r="L372" t="str">
            <v>-</v>
          </cell>
          <cell r="N372" t="str">
            <v>-</v>
          </cell>
          <cell r="O372" t="str">
            <v>-</v>
          </cell>
          <cell r="Q372" t="str">
            <v>-</v>
          </cell>
          <cell r="R372" t="str">
            <v>-</v>
          </cell>
          <cell r="T372" t="str">
            <v>-</v>
          </cell>
          <cell r="U372" t="str">
            <v>-</v>
          </cell>
          <cell r="W372" t="str">
            <v>-</v>
          </cell>
          <cell r="X372" t="str">
            <v>-</v>
          </cell>
        </row>
        <row r="373">
          <cell r="A373">
            <v>72220365</v>
          </cell>
          <cell r="B373">
            <v>1233</v>
          </cell>
          <cell r="C373" t="str">
            <v>돌묵상어</v>
          </cell>
          <cell r="D373" t="str">
            <v>A</v>
          </cell>
          <cell r="E373">
            <v>70409113</v>
          </cell>
          <cell r="H373" t="str">
            <v>-</v>
          </cell>
          <cell r="I373" t="str">
            <v>-</v>
          </cell>
          <cell r="K373" t="str">
            <v>-</v>
          </cell>
          <cell r="L373" t="str">
            <v>-</v>
          </cell>
          <cell r="N373" t="str">
            <v>-</v>
          </cell>
          <cell r="O373" t="str">
            <v>-</v>
          </cell>
          <cell r="Q373" t="str">
            <v>-</v>
          </cell>
          <cell r="R373" t="str">
            <v>-</v>
          </cell>
          <cell r="T373" t="str">
            <v>-</v>
          </cell>
          <cell r="U373" t="str">
            <v>-</v>
          </cell>
          <cell r="W373" t="str">
            <v>-</v>
          </cell>
          <cell r="X373" t="str">
            <v>-</v>
          </cell>
        </row>
        <row r="374">
          <cell r="A374">
            <v>72220366</v>
          </cell>
          <cell r="B374">
            <v>1234</v>
          </cell>
          <cell r="C374" t="str">
            <v>돌묵상어</v>
          </cell>
          <cell r="D374" t="str">
            <v>A</v>
          </cell>
          <cell r="E374">
            <v>70409113</v>
          </cell>
          <cell r="H374" t="str">
            <v>-</v>
          </cell>
          <cell r="I374" t="str">
            <v>-</v>
          </cell>
          <cell r="K374" t="str">
            <v>-</v>
          </cell>
          <cell r="L374" t="str">
            <v>-</v>
          </cell>
          <cell r="N374" t="str">
            <v>-</v>
          </cell>
          <cell r="O374" t="str">
            <v>-</v>
          </cell>
          <cell r="Q374" t="str">
            <v>-</v>
          </cell>
          <cell r="R374" t="str">
            <v>-</v>
          </cell>
          <cell r="T374" t="str">
            <v>-</v>
          </cell>
          <cell r="U374" t="str">
            <v>-</v>
          </cell>
          <cell r="W374" t="str">
            <v>-</v>
          </cell>
          <cell r="X374" t="str">
            <v>-</v>
          </cell>
        </row>
        <row r="375">
          <cell r="A375">
            <v>72220367</v>
          </cell>
          <cell r="B375">
            <v>1241</v>
          </cell>
          <cell r="C375" t="str">
            <v>스쿼럴피쉬</v>
          </cell>
          <cell r="D375" t="str">
            <v>S</v>
          </cell>
          <cell r="E375">
            <v>70409261</v>
          </cell>
          <cell r="H375" t="str">
            <v>-</v>
          </cell>
          <cell r="I375" t="str">
            <v>-</v>
          </cell>
          <cell r="K375" t="str">
            <v>-</v>
          </cell>
          <cell r="L375" t="str">
            <v>-</v>
          </cell>
          <cell r="N375" t="str">
            <v>-</v>
          </cell>
          <cell r="O375" t="str">
            <v>-</v>
          </cell>
          <cell r="Q375" t="str">
            <v>-</v>
          </cell>
          <cell r="R375" t="str">
            <v>-</v>
          </cell>
          <cell r="T375" t="str">
            <v>-</v>
          </cell>
          <cell r="U375" t="str">
            <v>-</v>
          </cell>
          <cell r="W375" t="str">
            <v>-</v>
          </cell>
          <cell r="X375" t="str">
            <v>-</v>
          </cell>
        </row>
        <row r="376">
          <cell r="A376">
            <v>72220368</v>
          </cell>
          <cell r="B376">
            <v>1241</v>
          </cell>
          <cell r="C376" t="str">
            <v>객주리</v>
          </cell>
          <cell r="D376" t="str">
            <v>B</v>
          </cell>
          <cell r="E376">
            <v>70409021</v>
          </cell>
          <cell r="H376" t="str">
            <v>-</v>
          </cell>
          <cell r="I376" t="str">
            <v>-</v>
          </cell>
          <cell r="K376" t="str">
            <v>-</v>
          </cell>
          <cell r="L376" t="str">
            <v>-</v>
          </cell>
          <cell r="N376" t="str">
            <v>-</v>
          </cell>
          <cell r="O376" t="str">
            <v>-</v>
          </cell>
          <cell r="Q376" t="str">
            <v>-</v>
          </cell>
          <cell r="R376" t="str">
            <v>-</v>
          </cell>
          <cell r="T376" t="str">
            <v>-</v>
          </cell>
          <cell r="U376" t="str">
            <v>-</v>
          </cell>
          <cell r="W376" t="str">
            <v>-</v>
          </cell>
          <cell r="X376" t="str">
            <v>-</v>
          </cell>
        </row>
        <row r="377">
          <cell r="A377">
            <v>72220369</v>
          </cell>
          <cell r="B377">
            <v>1241</v>
          </cell>
          <cell r="C377" t="str">
            <v>눈다랑어</v>
          </cell>
          <cell r="D377" t="str">
            <v>B</v>
          </cell>
          <cell r="E377">
            <v>70409089</v>
          </cell>
          <cell r="H377" t="str">
            <v>-</v>
          </cell>
          <cell r="I377" t="str">
            <v>-</v>
          </cell>
          <cell r="K377" t="str">
            <v>-</v>
          </cell>
          <cell r="L377" t="str">
            <v>-</v>
          </cell>
          <cell r="N377" t="str">
            <v>-</v>
          </cell>
          <cell r="O377" t="str">
            <v>-</v>
          </cell>
          <cell r="Q377" t="str">
            <v>-</v>
          </cell>
          <cell r="R377" t="str">
            <v>-</v>
          </cell>
          <cell r="T377" t="str">
            <v>-</v>
          </cell>
          <cell r="U377" t="str">
            <v>-</v>
          </cell>
          <cell r="W377" t="str">
            <v>-</v>
          </cell>
          <cell r="X377" t="str">
            <v>-</v>
          </cell>
        </row>
        <row r="378">
          <cell r="A378">
            <v>72220370</v>
          </cell>
          <cell r="B378">
            <v>1241</v>
          </cell>
          <cell r="C378" t="str">
            <v>홍기가라지</v>
          </cell>
          <cell r="D378" t="str">
            <v>D</v>
          </cell>
          <cell r="E378">
            <v>70409393</v>
          </cell>
          <cell r="H378" t="str">
            <v>-</v>
          </cell>
          <cell r="I378" t="str">
            <v>-</v>
          </cell>
          <cell r="K378" t="str">
            <v>-</v>
          </cell>
          <cell r="L378" t="str">
            <v>-</v>
          </cell>
          <cell r="N378" t="str">
            <v>-</v>
          </cell>
          <cell r="O378" t="str">
            <v>-</v>
          </cell>
          <cell r="Q378" t="str">
            <v>-</v>
          </cell>
          <cell r="R378" t="str">
            <v>-</v>
          </cell>
          <cell r="T378" t="str">
            <v>-</v>
          </cell>
          <cell r="U378" t="str">
            <v>-</v>
          </cell>
          <cell r="W378" t="str">
            <v>-</v>
          </cell>
          <cell r="X378" t="str">
            <v>-</v>
          </cell>
        </row>
        <row r="379">
          <cell r="A379">
            <v>72220371</v>
          </cell>
          <cell r="B379">
            <v>1242</v>
          </cell>
          <cell r="C379" t="str">
            <v>객주리</v>
          </cell>
          <cell r="D379" t="str">
            <v>B</v>
          </cell>
          <cell r="E379">
            <v>70409021</v>
          </cell>
          <cell r="H379" t="str">
            <v>-</v>
          </cell>
          <cell r="I379" t="str">
            <v>-</v>
          </cell>
          <cell r="K379" t="str">
            <v>-</v>
          </cell>
          <cell r="L379" t="str">
            <v>-</v>
          </cell>
          <cell r="N379" t="str">
            <v>-</v>
          </cell>
          <cell r="O379" t="str">
            <v>-</v>
          </cell>
          <cell r="Q379" t="str">
            <v>-</v>
          </cell>
          <cell r="R379" t="str">
            <v>-</v>
          </cell>
          <cell r="T379" t="str">
            <v>-</v>
          </cell>
          <cell r="U379" t="str">
            <v>-</v>
          </cell>
          <cell r="W379" t="str">
            <v>-</v>
          </cell>
          <cell r="X379" t="str">
            <v>-</v>
          </cell>
        </row>
        <row r="380">
          <cell r="A380">
            <v>72220372</v>
          </cell>
          <cell r="B380">
            <v>1242</v>
          </cell>
          <cell r="C380" t="str">
            <v>눈다랑어</v>
          </cell>
          <cell r="D380" t="str">
            <v>B</v>
          </cell>
          <cell r="E380">
            <v>70409089</v>
          </cell>
          <cell r="H380" t="str">
            <v>-</v>
          </cell>
          <cell r="I380" t="str">
            <v>-</v>
          </cell>
          <cell r="K380" t="str">
            <v>-</v>
          </cell>
          <cell r="L380" t="str">
            <v>-</v>
          </cell>
          <cell r="N380" t="str">
            <v>-</v>
          </cell>
          <cell r="O380" t="str">
            <v>-</v>
          </cell>
          <cell r="Q380" t="str">
            <v>-</v>
          </cell>
          <cell r="R380" t="str">
            <v>-</v>
          </cell>
          <cell r="T380" t="str">
            <v>-</v>
          </cell>
          <cell r="U380" t="str">
            <v>-</v>
          </cell>
          <cell r="W380" t="str">
            <v>-</v>
          </cell>
          <cell r="X380" t="str">
            <v>-</v>
          </cell>
        </row>
        <row r="381">
          <cell r="A381">
            <v>72220373</v>
          </cell>
          <cell r="B381">
            <v>1242</v>
          </cell>
          <cell r="C381" t="str">
            <v>홍기가라지</v>
          </cell>
          <cell r="D381" t="str">
            <v>D</v>
          </cell>
          <cell r="E381">
            <v>70409393</v>
          </cell>
          <cell r="H381" t="str">
            <v>-</v>
          </cell>
          <cell r="I381" t="str">
            <v>-</v>
          </cell>
          <cell r="K381" t="str">
            <v>-</v>
          </cell>
          <cell r="L381" t="str">
            <v>-</v>
          </cell>
          <cell r="N381" t="str">
            <v>-</v>
          </cell>
          <cell r="O381" t="str">
            <v>-</v>
          </cell>
          <cell r="Q381" t="str">
            <v>-</v>
          </cell>
          <cell r="R381" t="str">
            <v>-</v>
          </cell>
          <cell r="T381" t="str">
            <v>-</v>
          </cell>
          <cell r="U381" t="str">
            <v>-</v>
          </cell>
          <cell r="W381" t="str">
            <v>-</v>
          </cell>
          <cell r="X381" t="str">
            <v>-</v>
          </cell>
        </row>
        <row r="382">
          <cell r="A382">
            <v>72220374</v>
          </cell>
          <cell r="B382">
            <v>1242</v>
          </cell>
          <cell r="C382" t="str">
            <v>객주리</v>
          </cell>
          <cell r="D382" t="str">
            <v>B</v>
          </cell>
          <cell r="E382">
            <v>70409021</v>
          </cell>
          <cell r="H382" t="str">
            <v>-</v>
          </cell>
          <cell r="I382" t="str">
            <v>-</v>
          </cell>
          <cell r="K382" t="str">
            <v>-</v>
          </cell>
          <cell r="L382" t="str">
            <v>-</v>
          </cell>
          <cell r="N382" t="str">
            <v>-</v>
          </cell>
          <cell r="O382" t="str">
            <v>-</v>
          </cell>
          <cell r="Q382" t="str">
            <v>-</v>
          </cell>
          <cell r="R382" t="str">
            <v>-</v>
          </cell>
          <cell r="T382" t="str">
            <v>-</v>
          </cell>
          <cell r="U382" t="str">
            <v>-</v>
          </cell>
          <cell r="W382" t="str">
            <v>-</v>
          </cell>
          <cell r="X382" t="str">
            <v>-</v>
          </cell>
        </row>
        <row r="383">
          <cell r="A383">
            <v>72220375</v>
          </cell>
          <cell r="B383">
            <v>1243</v>
          </cell>
          <cell r="C383" t="str">
            <v>눈다랑어</v>
          </cell>
          <cell r="D383" t="str">
            <v>B</v>
          </cell>
          <cell r="E383">
            <v>70409089</v>
          </cell>
          <cell r="H383" t="str">
            <v>-</v>
          </cell>
          <cell r="I383" t="str">
            <v>-</v>
          </cell>
          <cell r="K383" t="str">
            <v>-</v>
          </cell>
          <cell r="L383" t="str">
            <v>-</v>
          </cell>
          <cell r="N383" t="str">
            <v>-</v>
          </cell>
          <cell r="O383" t="str">
            <v>-</v>
          </cell>
          <cell r="Q383" t="str">
            <v>-</v>
          </cell>
          <cell r="R383" t="str">
            <v>-</v>
          </cell>
          <cell r="T383" t="str">
            <v>-</v>
          </cell>
          <cell r="U383" t="str">
            <v>-</v>
          </cell>
          <cell r="W383" t="str">
            <v>-</v>
          </cell>
          <cell r="X383" t="str">
            <v>-</v>
          </cell>
        </row>
        <row r="384">
          <cell r="A384">
            <v>72220376</v>
          </cell>
          <cell r="B384">
            <v>1243</v>
          </cell>
          <cell r="C384" t="str">
            <v>홍기가라지</v>
          </cell>
          <cell r="D384" t="str">
            <v>D</v>
          </cell>
          <cell r="E384">
            <v>70409393</v>
          </cell>
          <cell r="H384" t="str">
            <v>-</v>
          </cell>
          <cell r="I384" t="str">
            <v>-</v>
          </cell>
          <cell r="K384" t="str">
            <v>-</v>
          </cell>
          <cell r="L384" t="str">
            <v>-</v>
          </cell>
          <cell r="N384" t="str">
            <v>-</v>
          </cell>
          <cell r="O384" t="str">
            <v>-</v>
          </cell>
          <cell r="Q384" t="str">
            <v>-</v>
          </cell>
          <cell r="R384" t="str">
            <v>-</v>
          </cell>
          <cell r="T384" t="str">
            <v>-</v>
          </cell>
          <cell r="U384" t="str">
            <v>-</v>
          </cell>
          <cell r="W384" t="str">
            <v>-</v>
          </cell>
          <cell r="X384" t="str">
            <v>-</v>
          </cell>
        </row>
        <row r="385">
          <cell r="A385">
            <v>72220377</v>
          </cell>
          <cell r="B385">
            <v>1243</v>
          </cell>
          <cell r="C385" t="str">
            <v>객주리</v>
          </cell>
          <cell r="D385" t="str">
            <v>B</v>
          </cell>
          <cell r="E385">
            <v>70409021</v>
          </cell>
          <cell r="H385" t="str">
            <v>-</v>
          </cell>
          <cell r="I385" t="str">
            <v>-</v>
          </cell>
          <cell r="K385" t="str">
            <v>-</v>
          </cell>
          <cell r="L385" t="str">
            <v>-</v>
          </cell>
          <cell r="N385" t="str">
            <v>-</v>
          </cell>
          <cell r="O385" t="str">
            <v>-</v>
          </cell>
          <cell r="Q385" t="str">
            <v>-</v>
          </cell>
          <cell r="R385" t="str">
            <v>-</v>
          </cell>
          <cell r="T385" t="str">
            <v>-</v>
          </cell>
          <cell r="U385" t="str">
            <v>-</v>
          </cell>
          <cell r="W385" t="str">
            <v>-</v>
          </cell>
          <cell r="X385" t="str">
            <v>-</v>
          </cell>
        </row>
        <row r="386">
          <cell r="A386">
            <v>72220378</v>
          </cell>
          <cell r="B386">
            <v>1243</v>
          </cell>
          <cell r="C386" t="str">
            <v>눈다랑어</v>
          </cell>
          <cell r="D386" t="str">
            <v>B</v>
          </cell>
          <cell r="E386">
            <v>70409089</v>
          </cell>
          <cell r="H386" t="str">
            <v>-</v>
          </cell>
          <cell r="I386" t="str">
            <v>-</v>
          </cell>
          <cell r="K386" t="str">
            <v>-</v>
          </cell>
          <cell r="L386" t="str">
            <v>-</v>
          </cell>
          <cell r="N386" t="str">
            <v>-</v>
          </cell>
          <cell r="O386" t="str">
            <v>-</v>
          </cell>
          <cell r="Q386" t="str">
            <v>-</v>
          </cell>
          <cell r="R386" t="str">
            <v>-</v>
          </cell>
          <cell r="T386" t="str">
            <v>-</v>
          </cell>
          <cell r="U386" t="str">
            <v>-</v>
          </cell>
          <cell r="W386" t="str">
            <v>-</v>
          </cell>
          <cell r="X386" t="str">
            <v>-</v>
          </cell>
        </row>
        <row r="387">
          <cell r="A387">
            <v>72220379</v>
          </cell>
          <cell r="B387">
            <v>1244</v>
          </cell>
          <cell r="C387" t="str">
            <v>홍기가라지</v>
          </cell>
          <cell r="D387" t="str">
            <v>D</v>
          </cell>
          <cell r="E387">
            <v>70409393</v>
          </cell>
          <cell r="H387" t="str">
            <v>-</v>
          </cell>
          <cell r="I387" t="str">
            <v>-</v>
          </cell>
          <cell r="K387" t="str">
            <v>-</v>
          </cell>
          <cell r="L387" t="str">
            <v>-</v>
          </cell>
          <cell r="N387" t="str">
            <v>-</v>
          </cell>
          <cell r="O387" t="str">
            <v>-</v>
          </cell>
          <cell r="Q387" t="str">
            <v>-</v>
          </cell>
          <cell r="R387" t="str">
            <v>-</v>
          </cell>
          <cell r="T387" t="str">
            <v>-</v>
          </cell>
          <cell r="U387" t="str">
            <v>-</v>
          </cell>
          <cell r="W387" t="str">
            <v>-</v>
          </cell>
          <cell r="X387" t="str">
            <v>-</v>
          </cell>
        </row>
        <row r="388">
          <cell r="A388">
            <v>72220380</v>
          </cell>
          <cell r="B388">
            <v>1251</v>
          </cell>
          <cell r="C388" t="str">
            <v>도라도</v>
          </cell>
          <cell r="D388" t="str">
            <v>A</v>
          </cell>
          <cell r="E388">
            <v>70409106</v>
          </cell>
          <cell r="H388" t="str">
            <v>-</v>
          </cell>
          <cell r="I388" t="str">
            <v>-</v>
          </cell>
          <cell r="K388" t="str">
            <v>-</v>
          </cell>
          <cell r="L388" t="str">
            <v>-</v>
          </cell>
          <cell r="N388" t="str">
            <v>-</v>
          </cell>
          <cell r="O388" t="str">
            <v>-</v>
          </cell>
          <cell r="Q388" t="str">
            <v>-</v>
          </cell>
          <cell r="R388" t="str">
            <v>-</v>
          </cell>
          <cell r="T388" t="str">
            <v>-</v>
          </cell>
          <cell r="U388" t="str">
            <v>-</v>
          </cell>
          <cell r="W388" t="str">
            <v>-</v>
          </cell>
          <cell r="X388" t="str">
            <v>-</v>
          </cell>
        </row>
        <row r="389">
          <cell r="A389">
            <v>72220381</v>
          </cell>
          <cell r="B389">
            <v>1251</v>
          </cell>
          <cell r="C389" t="str">
            <v>붉은배파쿠</v>
          </cell>
          <cell r="D389" t="str">
            <v>B</v>
          </cell>
          <cell r="E389">
            <v>70409223</v>
          </cell>
          <cell r="H389" t="str">
            <v>-</v>
          </cell>
          <cell r="I389" t="str">
            <v>-</v>
          </cell>
          <cell r="K389" t="str">
            <v>-</v>
          </cell>
          <cell r="L389" t="str">
            <v>-</v>
          </cell>
          <cell r="N389" t="str">
            <v>-</v>
          </cell>
          <cell r="O389" t="str">
            <v>-</v>
          </cell>
          <cell r="Q389" t="str">
            <v>-</v>
          </cell>
          <cell r="R389" t="str">
            <v>-</v>
          </cell>
          <cell r="T389" t="str">
            <v>-</v>
          </cell>
          <cell r="U389" t="str">
            <v>-</v>
          </cell>
          <cell r="W389" t="str">
            <v>-</v>
          </cell>
          <cell r="X389" t="str">
            <v>-</v>
          </cell>
        </row>
        <row r="390">
          <cell r="A390">
            <v>72220382</v>
          </cell>
          <cell r="B390">
            <v>1251</v>
          </cell>
          <cell r="C390" t="str">
            <v>전기뱀장어</v>
          </cell>
          <cell r="D390" t="str">
            <v>B</v>
          </cell>
          <cell r="E390">
            <v>70409313</v>
          </cell>
          <cell r="H390" t="str">
            <v>-</v>
          </cell>
          <cell r="I390" t="str">
            <v>-</v>
          </cell>
          <cell r="K390" t="str">
            <v>-</v>
          </cell>
          <cell r="L390" t="str">
            <v>-</v>
          </cell>
          <cell r="N390" t="str">
            <v>-</v>
          </cell>
          <cell r="O390" t="str">
            <v>-</v>
          </cell>
          <cell r="Q390" t="str">
            <v>-</v>
          </cell>
          <cell r="R390" t="str">
            <v>-</v>
          </cell>
          <cell r="T390" t="str">
            <v>-</v>
          </cell>
          <cell r="U390" t="str">
            <v>-</v>
          </cell>
          <cell r="W390" t="str">
            <v>-</v>
          </cell>
          <cell r="X390" t="str">
            <v>-</v>
          </cell>
        </row>
        <row r="391">
          <cell r="A391">
            <v>72220383</v>
          </cell>
          <cell r="B391">
            <v>1251</v>
          </cell>
          <cell r="C391" t="str">
            <v>네눈박이송사리</v>
          </cell>
          <cell r="D391" t="str">
            <v>C</v>
          </cell>
          <cell r="E391">
            <v>70409073</v>
          </cell>
          <cell r="H391" t="str">
            <v>-</v>
          </cell>
          <cell r="I391" t="str">
            <v>-</v>
          </cell>
          <cell r="K391" t="str">
            <v>-</v>
          </cell>
          <cell r="L391" t="str">
            <v>-</v>
          </cell>
          <cell r="N391" t="str">
            <v>-</v>
          </cell>
          <cell r="O391" t="str">
            <v>-</v>
          </cell>
          <cell r="Q391" t="str">
            <v>-</v>
          </cell>
          <cell r="R391" t="str">
            <v>-</v>
          </cell>
          <cell r="T391" t="str">
            <v>-</v>
          </cell>
          <cell r="U391" t="str">
            <v>-</v>
          </cell>
          <cell r="W391" t="str">
            <v>-</v>
          </cell>
          <cell r="X391" t="str">
            <v>-</v>
          </cell>
        </row>
        <row r="392">
          <cell r="A392">
            <v>72220384</v>
          </cell>
          <cell r="B392">
            <v>1251</v>
          </cell>
          <cell r="C392" t="str">
            <v>탐바퀴</v>
          </cell>
          <cell r="D392" t="str">
            <v>D</v>
          </cell>
          <cell r="E392">
            <v>70409368</v>
          </cell>
          <cell r="H392" t="str">
            <v>-</v>
          </cell>
          <cell r="I392" t="str">
            <v>-</v>
          </cell>
          <cell r="K392" t="str">
            <v>-</v>
          </cell>
          <cell r="L392" t="str">
            <v>-</v>
          </cell>
          <cell r="N392" t="str">
            <v>-</v>
          </cell>
          <cell r="O392" t="str">
            <v>-</v>
          </cell>
          <cell r="Q392" t="str">
            <v>-</v>
          </cell>
          <cell r="R392" t="str">
            <v>-</v>
          </cell>
          <cell r="T392" t="str">
            <v>-</v>
          </cell>
          <cell r="U392" t="str">
            <v>-</v>
          </cell>
          <cell r="W392" t="str">
            <v>-</v>
          </cell>
          <cell r="X392" t="str">
            <v>-</v>
          </cell>
        </row>
        <row r="393">
          <cell r="A393">
            <v>72220385</v>
          </cell>
          <cell r="B393">
            <v>1252</v>
          </cell>
          <cell r="C393" t="str">
            <v>피라루쿠</v>
          </cell>
          <cell r="D393" t="str">
            <v>S</v>
          </cell>
          <cell r="E393">
            <v>70409384</v>
          </cell>
          <cell r="H393" t="str">
            <v>-</v>
          </cell>
          <cell r="I393" t="str">
            <v>-</v>
          </cell>
          <cell r="K393" t="str">
            <v>-</v>
          </cell>
          <cell r="L393" t="str">
            <v>-</v>
          </cell>
          <cell r="N393" t="str">
            <v>-</v>
          </cell>
          <cell r="O393" t="str">
            <v>-</v>
          </cell>
          <cell r="Q393" t="str">
            <v>-</v>
          </cell>
          <cell r="R393" t="str">
            <v>-</v>
          </cell>
          <cell r="T393" t="str">
            <v>-</v>
          </cell>
          <cell r="U393" t="str">
            <v>-</v>
          </cell>
          <cell r="W393" t="str">
            <v>-</v>
          </cell>
          <cell r="X393" t="str">
            <v>-</v>
          </cell>
        </row>
        <row r="394">
          <cell r="A394">
            <v>72220386</v>
          </cell>
          <cell r="B394">
            <v>1252</v>
          </cell>
          <cell r="C394" t="str">
            <v>도라도</v>
          </cell>
          <cell r="D394" t="str">
            <v>A</v>
          </cell>
          <cell r="E394">
            <v>70409106</v>
          </cell>
          <cell r="H394" t="str">
            <v>-</v>
          </cell>
          <cell r="I394" t="str">
            <v>-</v>
          </cell>
          <cell r="K394" t="str">
            <v>-</v>
          </cell>
          <cell r="L394" t="str">
            <v>-</v>
          </cell>
          <cell r="N394" t="str">
            <v>-</v>
          </cell>
          <cell r="O394" t="str">
            <v>-</v>
          </cell>
          <cell r="Q394" t="str">
            <v>-</v>
          </cell>
          <cell r="R394" t="str">
            <v>-</v>
          </cell>
          <cell r="T394" t="str">
            <v>-</v>
          </cell>
          <cell r="U394" t="str">
            <v>-</v>
          </cell>
          <cell r="W394" t="str">
            <v>-</v>
          </cell>
          <cell r="X394" t="str">
            <v>-</v>
          </cell>
        </row>
        <row r="395">
          <cell r="A395">
            <v>72220387</v>
          </cell>
          <cell r="B395">
            <v>1252</v>
          </cell>
          <cell r="C395" t="str">
            <v>붉은배파쿠</v>
          </cell>
          <cell r="D395" t="str">
            <v>B</v>
          </cell>
          <cell r="E395">
            <v>70409223</v>
          </cell>
          <cell r="H395" t="str">
            <v>-</v>
          </cell>
          <cell r="I395" t="str">
            <v>-</v>
          </cell>
          <cell r="K395" t="str">
            <v>-</v>
          </cell>
          <cell r="L395" t="str">
            <v>-</v>
          </cell>
          <cell r="N395" t="str">
            <v>-</v>
          </cell>
          <cell r="O395" t="str">
            <v>-</v>
          </cell>
          <cell r="Q395" t="str">
            <v>-</v>
          </cell>
          <cell r="R395" t="str">
            <v>-</v>
          </cell>
          <cell r="T395" t="str">
            <v>-</v>
          </cell>
          <cell r="U395" t="str">
            <v>-</v>
          </cell>
          <cell r="W395" t="str">
            <v>-</v>
          </cell>
          <cell r="X395" t="str">
            <v>-</v>
          </cell>
        </row>
        <row r="396">
          <cell r="A396">
            <v>72220388</v>
          </cell>
          <cell r="B396">
            <v>1252</v>
          </cell>
          <cell r="C396" t="str">
            <v>전기뱀장어</v>
          </cell>
          <cell r="D396" t="str">
            <v>B</v>
          </cell>
          <cell r="E396">
            <v>70409313</v>
          </cell>
          <cell r="H396" t="str">
            <v>-</v>
          </cell>
          <cell r="I396" t="str">
            <v>-</v>
          </cell>
          <cell r="K396" t="str">
            <v>-</v>
          </cell>
          <cell r="L396" t="str">
            <v>-</v>
          </cell>
          <cell r="N396" t="str">
            <v>-</v>
          </cell>
          <cell r="O396" t="str">
            <v>-</v>
          </cell>
          <cell r="Q396" t="str">
            <v>-</v>
          </cell>
          <cell r="R396" t="str">
            <v>-</v>
          </cell>
          <cell r="T396" t="str">
            <v>-</v>
          </cell>
          <cell r="U396" t="str">
            <v>-</v>
          </cell>
          <cell r="W396" t="str">
            <v>-</v>
          </cell>
          <cell r="X396" t="str">
            <v>-</v>
          </cell>
        </row>
        <row r="397">
          <cell r="A397">
            <v>72220389</v>
          </cell>
          <cell r="B397">
            <v>1252</v>
          </cell>
          <cell r="C397" t="str">
            <v>네눈박이송사리</v>
          </cell>
          <cell r="D397" t="str">
            <v>C</v>
          </cell>
          <cell r="E397">
            <v>70409073</v>
          </cell>
          <cell r="H397" t="str">
            <v>-</v>
          </cell>
          <cell r="I397" t="str">
            <v>-</v>
          </cell>
          <cell r="K397" t="str">
            <v>-</v>
          </cell>
          <cell r="L397" t="str">
            <v>-</v>
          </cell>
          <cell r="N397" t="str">
            <v>-</v>
          </cell>
          <cell r="O397" t="str">
            <v>-</v>
          </cell>
          <cell r="Q397" t="str">
            <v>-</v>
          </cell>
          <cell r="R397" t="str">
            <v>-</v>
          </cell>
          <cell r="T397" t="str">
            <v>-</v>
          </cell>
          <cell r="U397" t="str">
            <v>-</v>
          </cell>
          <cell r="W397" t="str">
            <v>-</v>
          </cell>
          <cell r="X397" t="str">
            <v>-</v>
          </cell>
        </row>
        <row r="398">
          <cell r="A398">
            <v>72220390</v>
          </cell>
          <cell r="B398">
            <v>1252</v>
          </cell>
          <cell r="C398" t="str">
            <v>탐바퀴</v>
          </cell>
          <cell r="D398" t="str">
            <v>D</v>
          </cell>
          <cell r="E398">
            <v>70409368</v>
          </cell>
          <cell r="H398" t="str">
            <v>-</v>
          </cell>
          <cell r="I398" t="str">
            <v>-</v>
          </cell>
          <cell r="K398" t="str">
            <v>-</v>
          </cell>
          <cell r="L398" t="str">
            <v>-</v>
          </cell>
          <cell r="N398" t="str">
            <v>-</v>
          </cell>
          <cell r="O398" t="str">
            <v>-</v>
          </cell>
          <cell r="Q398" t="str">
            <v>-</v>
          </cell>
          <cell r="R398" t="str">
            <v>-</v>
          </cell>
          <cell r="T398" t="str">
            <v>-</v>
          </cell>
          <cell r="U398" t="str">
            <v>-</v>
          </cell>
          <cell r="W398" t="str">
            <v>-</v>
          </cell>
          <cell r="X398" t="str">
            <v>-</v>
          </cell>
        </row>
        <row r="399">
          <cell r="A399">
            <v>72220391</v>
          </cell>
          <cell r="B399">
            <v>1253</v>
          </cell>
          <cell r="C399" t="str">
            <v>도라도</v>
          </cell>
          <cell r="D399" t="str">
            <v>A</v>
          </cell>
          <cell r="E399">
            <v>70409106</v>
          </cell>
          <cell r="H399" t="str">
            <v>-</v>
          </cell>
          <cell r="I399" t="str">
            <v>-</v>
          </cell>
          <cell r="K399" t="str">
            <v>-</v>
          </cell>
          <cell r="L399" t="str">
            <v>-</v>
          </cell>
          <cell r="N399" t="str">
            <v>-</v>
          </cell>
          <cell r="O399" t="str">
            <v>-</v>
          </cell>
          <cell r="Q399" t="str">
            <v>-</v>
          </cell>
          <cell r="R399" t="str">
            <v>-</v>
          </cell>
          <cell r="T399" t="str">
            <v>-</v>
          </cell>
          <cell r="U399" t="str">
            <v>-</v>
          </cell>
          <cell r="W399" t="str">
            <v>-</v>
          </cell>
          <cell r="X399" t="str">
            <v>-</v>
          </cell>
        </row>
        <row r="400">
          <cell r="A400">
            <v>72220392</v>
          </cell>
          <cell r="B400">
            <v>1253</v>
          </cell>
          <cell r="C400" t="str">
            <v>붉은배파쿠</v>
          </cell>
          <cell r="D400" t="str">
            <v>B</v>
          </cell>
          <cell r="E400">
            <v>70409223</v>
          </cell>
          <cell r="H400" t="str">
            <v>-</v>
          </cell>
          <cell r="I400" t="str">
            <v>-</v>
          </cell>
          <cell r="K400" t="str">
            <v>-</v>
          </cell>
          <cell r="L400" t="str">
            <v>-</v>
          </cell>
          <cell r="N400" t="str">
            <v>-</v>
          </cell>
          <cell r="O400" t="str">
            <v>-</v>
          </cell>
          <cell r="Q400" t="str">
            <v>-</v>
          </cell>
          <cell r="R400" t="str">
            <v>-</v>
          </cell>
          <cell r="T400" t="str">
            <v>-</v>
          </cell>
          <cell r="U400" t="str">
            <v>-</v>
          </cell>
          <cell r="W400" t="str">
            <v>-</v>
          </cell>
          <cell r="X400" t="str">
            <v>-</v>
          </cell>
        </row>
        <row r="401">
          <cell r="A401">
            <v>72220393</v>
          </cell>
          <cell r="B401">
            <v>1253</v>
          </cell>
          <cell r="C401" t="str">
            <v>전기뱀장어</v>
          </cell>
          <cell r="D401" t="str">
            <v>B</v>
          </cell>
          <cell r="E401">
            <v>70409313</v>
          </cell>
          <cell r="H401" t="str">
            <v>-</v>
          </cell>
          <cell r="I401" t="str">
            <v>-</v>
          </cell>
          <cell r="K401" t="str">
            <v>-</v>
          </cell>
          <cell r="L401" t="str">
            <v>-</v>
          </cell>
          <cell r="N401" t="str">
            <v>-</v>
          </cell>
          <cell r="O401" t="str">
            <v>-</v>
          </cell>
          <cell r="Q401" t="str">
            <v>-</v>
          </cell>
          <cell r="R401" t="str">
            <v>-</v>
          </cell>
          <cell r="T401" t="str">
            <v>-</v>
          </cell>
          <cell r="U401" t="str">
            <v>-</v>
          </cell>
          <cell r="W401" t="str">
            <v>-</v>
          </cell>
          <cell r="X401" t="str">
            <v>-</v>
          </cell>
        </row>
        <row r="402">
          <cell r="A402">
            <v>72220394</v>
          </cell>
          <cell r="B402">
            <v>1253</v>
          </cell>
          <cell r="C402" t="str">
            <v>네눈박이송사리</v>
          </cell>
          <cell r="D402" t="str">
            <v>C</v>
          </cell>
          <cell r="E402">
            <v>70409073</v>
          </cell>
          <cell r="H402" t="str">
            <v>-</v>
          </cell>
          <cell r="I402" t="str">
            <v>-</v>
          </cell>
          <cell r="K402" t="str">
            <v>-</v>
          </cell>
          <cell r="L402" t="str">
            <v>-</v>
          </cell>
          <cell r="N402" t="str">
            <v>-</v>
          </cell>
          <cell r="O402" t="str">
            <v>-</v>
          </cell>
          <cell r="Q402" t="str">
            <v>-</v>
          </cell>
          <cell r="R402" t="str">
            <v>-</v>
          </cell>
          <cell r="T402" t="str">
            <v>-</v>
          </cell>
          <cell r="U402" t="str">
            <v>-</v>
          </cell>
          <cell r="W402" t="str">
            <v>-</v>
          </cell>
          <cell r="X402" t="str">
            <v>-</v>
          </cell>
        </row>
        <row r="403">
          <cell r="A403">
            <v>72220395</v>
          </cell>
          <cell r="B403">
            <v>1253</v>
          </cell>
          <cell r="C403" t="str">
            <v>탐바퀴</v>
          </cell>
          <cell r="D403" t="str">
            <v>D</v>
          </cell>
          <cell r="E403">
            <v>70409368</v>
          </cell>
          <cell r="H403" t="str">
            <v>-</v>
          </cell>
          <cell r="I403" t="str">
            <v>-</v>
          </cell>
          <cell r="K403" t="str">
            <v>-</v>
          </cell>
          <cell r="L403" t="str">
            <v>-</v>
          </cell>
          <cell r="N403" t="str">
            <v>-</v>
          </cell>
          <cell r="O403" t="str">
            <v>-</v>
          </cell>
          <cell r="Q403" t="str">
            <v>-</v>
          </cell>
          <cell r="R403" t="str">
            <v>-</v>
          </cell>
          <cell r="T403" t="str">
            <v>-</v>
          </cell>
          <cell r="U403" t="str">
            <v>-</v>
          </cell>
          <cell r="W403" t="str">
            <v>-</v>
          </cell>
          <cell r="X403" t="str">
            <v>-</v>
          </cell>
        </row>
        <row r="404">
          <cell r="A404">
            <v>72220396</v>
          </cell>
          <cell r="B404">
            <v>1254</v>
          </cell>
          <cell r="C404" t="str">
            <v>도라도</v>
          </cell>
          <cell r="D404" t="str">
            <v>A</v>
          </cell>
          <cell r="E404">
            <v>70409106</v>
          </cell>
          <cell r="H404" t="str">
            <v>-</v>
          </cell>
          <cell r="I404" t="str">
            <v>-</v>
          </cell>
          <cell r="K404" t="str">
            <v>-</v>
          </cell>
          <cell r="L404" t="str">
            <v>-</v>
          </cell>
          <cell r="N404" t="str">
            <v>-</v>
          </cell>
          <cell r="O404" t="str">
            <v>-</v>
          </cell>
          <cell r="Q404" t="str">
            <v>-</v>
          </cell>
          <cell r="R404" t="str">
            <v>-</v>
          </cell>
          <cell r="T404" t="str">
            <v>-</v>
          </cell>
          <cell r="U404" t="str">
            <v>-</v>
          </cell>
          <cell r="W404" t="str">
            <v>-</v>
          </cell>
          <cell r="X404" t="str">
            <v>-</v>
          </cell>
        </row>
        <row r="405">
          <cell r="A405">
            <v>72220397</v>
          </cell>
          <cell r="B405">
            <v>1254</v>
          </cell>
          <cell r="C405" t="str">
            <v>붉은배파쿠</v>
          </cell>
          <cell r="D405" t="str">
            <v>B</v>
          </cell>
          <cell r="E405">
            <v>70409223</v>
          </cell>
          <cell r="H405" t="str">
            <v>-</v>
          </cell>
          <cell r="I405" t="str">
            <v>-</v>
          </cell>
          <cell r="K405" t="str">
            <v>-</v>
          </cell>
          <cell r="L405" t="str">
            <v>-</v>
          </cell>
          <cell r="N405" t="str">
            <v>-</v>
          </cell>
          <cell r="O405" t="str">
            <v>-</v>
          </cell>
          <cell r="Q405" t="str">
            <v>-</v>
          </cell>
          <cell r="R405" t="str">
            <v>-</v>
          </cell>
          <cell r="T405" t="str">
            <v>-</v>
          </cell>
          <cell r="U405" t="str">
            <v>-</v>
          </cell>
          <cell r="W405" t="str">
            <v>-</v>
          </cell>
          <cell r="X405" t="str">
            <v>-</v>
          </cell>
        </row>
        <row r="406">
          <cell r="A406">
            <v>72220398</v>
          </cell>
          <cell r="B406">
            <v>1254</v>
          </cell>
          <cell r="C406" t="str">
            <v>전기뱀장어</v>
          </cell>
          <cell r="D406" t="str">
            <v>B</v>
          </cell>
          <cell r="E406">
            <v>70409313</v>
          </cell>
          <cell r="H406" t="str">
            <v>-</v>
          </cell>
          <cell r="I406" t="str">
            <v>-</v>
          </cell>
          <cell r="K406" t="str">
            <v>-</v>
          </cell>
          <cell r="L406" t="str">
            <v>-</v>
          </cell>
          <cell r="N406" t="str">
            <v>-</v>
          </cell>
          <cell r="O406" t="str">
            <v>-</v>
          </cell>
          <cell r="Q406" t="str">
            <v>-</v>
          </cell>
          <cell r="R406" t="str">
            <v>-</v>
          </cell>
          <cell r="T406" t="str">
            <v>-</v>
          </cell>
          <cell r="U406" t="str">
            <v>-</v>
          </cell>
          <cell r="W406" t="str">
            <v>-</v>
          </cell>
          <cell r="X406" t="str">
            <v>-</v>
          </cell>
        </row>
        <row r="407">
          <cell r="A407">
            <v>72220399</v>
          </cell>
          <cell r="B407">
            <v>1254</v>
          </cell>
          <cell r="C407" t="str">
            <v>네눈박이송사리</v>
          </cell>
          <cell r="D407" t="str">
            <v>C</v>
          </cell>
          <cell r="E407">
            <v>70409073</v>
          </cell>
          <cell r="H407" t="str">
            <v>-</v>
          </cell>
          <cell r="I407" t="str">
            <v>-</v>
          </cell>
          <cell r="K407" t="str">
            <v>-</v>
          </cell>
          <cell r="L407" t="str">
            <v>-</v>
          </cell>
          <cell r="N407" t="str">
            <v>-</v>
          </cell>
          <cell r="O407" t="str">
            <v>-</v>
          </cell>
          <cell r="Q407" t="str">
            <v>-</v>
          </cell>
          <cell r="R407" t="str">
            <v>-</v>
          </cell>
          <cell r="T407" t="str">
            <v>-</v>
          </cell>
          <cell r="U407" t="str">
            <v>-</v>
          </cell>
          <cell r="W407" t="str">
            <v>-</v>
          </cell>
          <cell r="X407" t="str">
            <v>-</v>
          </cell>
        </row>
        <row r="408">
          <cell r="A408">
            <v>72220400</v>
          </cell>
          <cell r="B408">
            <v>1254</v>
          </cell>
          <cell r="C408" t="str">
            <v>탐바퀴</v>
          </cell>
          <cell r="D408" t="str">
            <v>D</v>
          </cell>
          <cell r="E408">
            <v>70409368</v>
          </cell>
          <cell r="H408" t="str">
            <v>-</v>
          </cell>
          <cell r="I408" t="str">
            <v>-</v>
          </cell>
          <cell r="K408" t="str">
            <v>-</v>
          </cell>
          <cell r="L408" t="str">
            <v>-</v>
          </cell>
          <cell r="N408" t="str">
            <v>-</v>
          </cell>
          <cell r="O408" t="str">
            <v>-</v>
          </cell>
          <cell r="Q408" t="str">
            <v>-</v>
          </cell>
          <cell r="R408" t="str">
            <v>-</v>
          </cell>
          <cell r="T408" t="str">
            <v>-</v>
          </cell>
          <cell r="U408" t="str">
            <v>-</v>
          </cell>
          <cell r="W408" t="str">
            <v>-</v>
          </cell>
          <cell r="X408" t="str">
            <v>-</v>
          </cell>
        </row>
        <row r="409">
          <cell r="A409">
            <v>72220401</v>
          </cell>
          <cell r="B409">
            <v>1261</v>
          </cell>
          <cell r="C409" t="str">
            <v>매너티</v>
          </cell>
          <cell r="D409" t="str">
            <v>S</v>
          </cell>
          <cell r="E409">
            <v>70409142</v>
          </cell>
          <cell r="H409" t="str">
            <v>-</v>
          </cell>
          <cell r="I409" t="str">
            <v>-</v>
          </cell>
          <cell r="K409" t="str">
            <v>-</v>
          </cell>
          <cell r="L409" t="str">
            <v>-</v>
          </cell>
          <cell r="N409" t="str">
            <v>-</v>
          </cell>
          <cell r="O409" t="str">
            <v>-</v>
          </cell>
          <cell r="Q409" t="str">
            <v>-</v>
          </cell>
          <cell r="R409" t="str">
            <v>-</v>
          </cell>
          <cell r="T409" t="str">
            <v>-</v>
          </cell>
          <cell r="U409" t="str">
            <v>-</v>
          </cell>
          <cell r="W409" t="str">
            <v>-</v>
          </cell>
          <cell r="X409" t="str">
            <v>-</v>
          </cell>
        </row>
        <row r="410">
          <cell r="A410">
            <v>72220402</v>
          </cell>
          <cell r="B410">
            <v>1261</v>
          </cell>
          <cell r="C410" t="str">
            <v>초록곰치</v>
          </cell>
          <cell r="D410" t="str">
            <v>A</v>
          </cell>
          <cell r="E410">
            <v>70409354</v>
          </cell>
          <cell r="H410" t="str">
            <v>-</v>
          </cell>
          <cell r="I410" t="str">
            <v>-</v>
          </cell>
          <cell r="K410" t="str">
            <v>-</v>
          </cell>
          <cell r="L410" t="str">
            <v>-</v>
          </cell>
          <cell r="N410" t="str">
            <v>-</v>
          </cell>
          <cell r="O410" t="str">
            <v>-</v>
          </cell>
          <cell r="Q410" t="str">
            <v>-</v>
          </cell>
          <cell r="R410" t="str">
            <v>-</v>
          </cell>
          <cell r="T410" t="str">
            <v>-</v>
          </cell>
          <cell r="U410" t="str">
            <v>-</v>
          </cell>
          <cell r="W410" t="str">
            <v>-</v>
          </cell>
          <cell r="X410" t="str">
            <v>-</v>
          </cell>
        </row>
        <row r="411">
          <cell r="A411">
            <v>72220403</v>
          </cell>
          <cell r="B411">
            <v>1261</v>
          </cell>
          <cell r="C411" t="str">
            <v>바다나리</v>
          </cell>
          <cell r="D411" t="str">
            <v>D</v>
          </cell>
          <cell r="E411">
            <v>70409178</v>
          </cell>
          <cell r="H411" t="str">
            <v>-</v>
          </cell>
          <cell r="I411" t="str">
            <v>-</v>
          </cell>
          <cell r="K411" t="str">
            <v>-</v>
          </cell>
          <cell r="L411" t="str">
            <v>-</v>
          </cell>
          <cell r="N411" t="str">
            <v>-</v>
          </cell>
          <cell r="O411" t="str">
            <v>-</v>
          </cell>
          <cell r="Q411" t="str">
            <v>-</v>
          </cell>
          <cell r="R411" t="str">
            <v>-</v>
          </cell>
          <cell r="T411" t="str">
            <v>-</v>
          </cell>
          <cell r="U411" t="str">
            <v>-</v>
          </cell>
          <cell r="W411" t="str">
            <v>-</v>
          </cell>
          <cell r="X411" t="str">
            <v>-</v>
          </cell>
        </row>
        <row r="412">
          <cell r="A412">
            <v>72220404</v>
          </cell>
          <cell r="B412">
            <v>1262</v>
          </cell>
          <cell r="C412" t="str">
            <v>매너티</v>
          </cell>
          <cell r="D412" t="str">
            <v>S</v>
          </cell>
          <cell r="E412">
            <v>70409142</v>
          </cell>
          <cell r="H412" t="str">
            <v>-</v>
          </cell>
          <cell r="I412" t="str">
            <v>-</v>
          </cell>
          <cell r="K412" t="str">
            <v>-</v>
          </cell>
          <cell r="L412" t="str">
            <v>-</v>
          </cell>
          <cell r="N412" t="str">
            <v>-</v>
          </cell>
          <cell r="O412" t="str">
            <v>-</v>
          </cell>
          <cell r="Q412" t="str">
            <v>-</v>
          </cell>
          <cell r="R412" t="str">
            <v>-</v>
          </cell>
          <cell r="T412" t="str">
            <v>-</v>
          </cell>
          <cell r="U412" t="str">
            <v>-</v>
          </cell>
          <cell r="W412" t="str">
            <v>-</v>
          </cell>
          <cell r="X412" t="str">
            <v>-</v>
          </cell>
        </row>
        <row r="413">
          <cell r="A413">
            <v>72220405</v>
          </cell>
          <cell r="B413">
            <v>1262</v>
          </cell>
          <cell r="C413" t="str">
            <v>초록곰치</v>
          </cell>
          <cell r="D413" t="str">
            <v>A</v>
          </cell>
          <cell r="E413">
            <v>70409354</v>
          </cell>
          <cell r="H413" t="str">
            <v>-</v>
          </cell>
          <cell r="I413" t="str">
            <v>-</v>
          </cell>
          <cell r="K413" t="str">
            <v>-</v>
          </cell>
          <cell r="L413" t="str">
            <v>-</v>
          </cell>
          <cell r="N413" t="str">
            <v>-</v>
          </cell>
          <cell r="O413" t="str">
            <v>-</v>
          </cell>
          <cell r="Q413" t="str">
            <v>-</v>
          </cell>
          <cell r="R413" t="str">
            <v>-</v>
          </cell>
          <cell r="T413" t="str">
            <v>-</v>
          </cell>
          <cell r="U413" t="str">
            <v>-</v>
          </cell>
          <cell r="W413" t="str">
            <v>-</v>
          </cell>
          <cell r="X413" t="str">
            <v>-</v>
          </cell>
        </row>
        <row r="414">
          <cell r="A414">
            <v>72220406</v>
          </cell>
          <cell r="B414">
            <v>1262</v>
          </cell>
          <cell r="C414" t="str">
            <v>바다나리</v>
          </cell>
          <cell r="D414" t="str">
            <v>D</v>
          </cell>
          <cell r="E414">
            <v>70409178</v>
          </cell>
          <cell r="H414" t="str">
            <v>-</v>
          </cell>
          <cell r="I414" t="str">
            <v>-</v>
          </cell>
          <cell r="K414" t="str">
            <v>-</v>
          </cell>
          <cell r="L414" t="str">
            <v>-</v>
          </cell>
          <cell r="N414" t="str">
            <v>-</v>
          </cell>
          <cell r="O414" t="str">
            <v>-</v>
          </cell>
          <cell r="Q414" t="str">
            <v>-</v>
          </cell>
          <cell r="R414" t="str">
            <v>-</v>
          </cell>
          <cell r="T414" t="str">
            <v>-</v>
          </cell>
          <cell r="U414" t="str">
            <v>-</v>
          </cell>
          <cell r="W414" t="str">
            <v>-</v>
          </cell>
          <cell r="X414" t="str">
            <v>-</v>
          </cell>
        </row>
        <row r="415">
          <cell r="A415">
            <v>72220407</v>
          </cell>
          <cell r="B415">
            <v>1263</v>
          </cell>
          <cell r="C415" t="str">
            <v>매너티</v>
          </cell>
          <cell r="D415" t="str">
            <v>S</v>
          </cell>
          <cell r="E415">
            <v>70409142</v>
          </cell>
          <cell r="H415" t="str">
            <v>-</v>
          </cell>
          <cell r="I415" t="str">
            <v>-</v>
          </cell>
          <cell r="K415" t="str">
            <v>-</v>
          </cell>
          <cell r="L415" t="str">
            <v>-</v>
          </cell>
          <cell r="N415" t="str">
            <v>-</v>
          </cell>
          <cell r="O415" t="str">
            <v>-</v>
          </cell>
          <cell r="Q415" t="str">
            <v>-</v>
          </cell>
          <cell r="R415" t="str">
            <v>-</v>
          </cell>
          <cell r="T415" t="str">
            <v>-</v>
          </cell>
          <cell r="U415" t="str">
            <v>-</v>
          </cell>
          <cell r="W415" t="str">
            <v>-</v>
          </cell>
          <cell r="X415" t="str">
            <v>-</v>
          </cell>
        </row>
        <row r="416">
          <cell r="A416">
            <v>72220408</v>
          </cell>
          <cell r="B416">
            <v>1263</v>
          </cell>
          <cell r="C416" t="str">
            <v>초록곰치</v>
          </cell>
          <cell r="D416" t="str">
            <v>A</v>
          </cell>
          <cell r="E416">
            <v>70409354</v>
          </cell>
          <cell r="H416" t="str">
            <v>-</v>
          </cell>
          <cell r="I416" t="str">
            <v>-</v>
          </cell>
          <cell r="K416" t="str">
            <v>-</v>
          </cell>
          <cell r="L416" t="str">
            <v>-</v>
          </cell>
          <cell r="N416" t="str">
            <v>-</v>
          </cell>
          <cell r="O416" t="str">
            <v>-</v>
          </cell>
          <cell r="Q416" t="str">
            <v>-</v>
          </cell>
          <cell r="R416" t="str">
            <v>-</v>
          </cell>
          <cell r="T416" t="str">
            <v>-</v>
          </cell>
          <cell r="U416" t="str">
            <v>-</v>
          </cell>
          <cell r="W416" t="str">
            <v>-</v>
          </cell>
          <cell r="X416" t="str">
            <v>-</v>
          </cell>
        </row>
        <row r="417">
          <cell r="A417">
            <v>72220409</v>
          </cell>
          <cell r="B417">
            <v>1263</v>
          </cell>
          <cell r="C417" t="str">
            <v>바다나리</v>
          </cell>
          <cell r="D417" t="str">
            <v>D</v>
          </cell>
          <cell r="E417">
            <v>70409178</v>
          </cell>
          <cell r="H417" t="str">
            <v>-</v>
          </cell>
          <cell r="I417" t="str">
            <v>-</v>
          </cell>
          <cell r="K417" t="str">
            <v>-</v>
          </cell>
          <cell r="L417" t="str">
            <v>-</v>
          </cell>
          <cell r="N417" t="str">
            <v>-</v>
          </cell>
          <cell r="O417" t="str">
            <v>-</v>
          </cell>
          <cell r="Q417" t="str">
            <v>-</v>
          </cell>
          <cell r="R417" t="str">
            <v>-</v>
          </cell>
          <cell r="T417" t="str">
            <v>-</v>
          </cell>
          <cell r="U417" t="str">
            <v>-</v>
          </cell>
          <cell r="W417" t="str">
            <v>-</v>
          </cell>
          <cell r="X417" t="str">
            <v>-</v>
          </cell>
        </row>
        <row r="418">
          <cell r="A418">
            <v>72220410</v>
          </cell>
          <cell r="B418">
            <v>1264</v>
          </cell>
          <cell r="C418" t="str">
            <v>매너티</v>
          </cell>
          <cell r="D418" t="str">
            <v>S</v>
          </cell>
          <cell r="E418">
            <v>70409142</v>
          </cell>
          <cell r="H418" t="str">
            <v>-</v>
          </cell>
          <cell r="I418" t="str">
            <v>-</v>
          </cell>
          <cell r="K418" t="str">
            <v>-</v>
          </cell>
          <cell r="L418" t="str">
            <v>-</v>
          </cell>
          <cell r="N418" t="str">
            <v>-</v>
          </cell>
          <cell r="O418" t="str">
            <v>-</v>
          </cell>
          <cell r="Q418" t="str">
            <v>-</v>
          </cell>
          <cell r="R418" t="str">
            <v>-</v>
          </cell>
          <cell r="T418" t="str">
            <v>-</v>
          </cell>
          <cell r="U418" t="str">
            <v>-</v>
          </cell>
          <cell r="W418" t="str">
            <v>-</v>
          </cell>
          <cell r="X418" t="str">
            <v>-</v>
          </cell>
        </row>
        <row r="419">
          <cell r="A419">
            <v>72220411</v>
          </cell>
          <cell r="B419">
            <v>1264</v>
          </cell>
          <cell r="C419" t="str">
            <v>초록곰치</v>
          </cell>
          <cell r="D419" t="str">
            <v>A</v>
          </cell>
          <cell r="E419">
            <v>70409354</v>
          </cell>
          <cell r="H419" t="str">
            <v>-</v>
          </cell>
          <cell r="I419" t="str">
            <v>-</v>
          </cell>
          <cell r="K419" t="str">
            <v>-</v>
          </cell>
          <cell r="L419" t="str">
            <v>-</v>
          </cell>
          <cell r="N419" t="str">
            <v>-</v>
          </cell>
          <cell r="O419" t="str">
            <v>-</v>
          </cell>
          <cell r="Q419" t="str">
            <v>-</v>
          </cell>
          <cell r="R419" t="str">
            <v>-</v>
          </cell>
          <cell r="T419" t="str">
            <v>-</v>
          </cell>
          <cell r="U419" t="str">
            <v>-</v>
          </cell>
          <cell r="W419" t="str">
            <v>-</v>
          </cell>
          <cell r="X419" t="str">
            <v>-</v>
          </cell>
        </row>
        <row r="420">
          <cell r="A420">
            <v>72220412</v>
          </cell>
          <cell r="B420">
            <v>1264</v>
          </cell>
          <cell r="C420" t="str">
            <v>바다나리</v>
          </cell>
          <cell r="D420" t="str">
            <v>D</v>
          </cell>
          <cell r="E420">
            <v>70409178</v>
          </cell>
          <cell r="H420" t="str">
            <v>-</v>
          </cell>
          <cell r="I420" t="str">
            <v>-</v>
          </cell>
          <cell r="K420" t="str">
            <v>-</v>
          </cell>
          <cell r="L420" t="str">
            <v>-</v>
          </cell>
          <cell r="N420" t="str">
            <v>-</v>
          </cell>
          <cell r="O420" t="str">
            <v>-</v>
          </cell>
          <cell r="Q420" t="str">
            <v>-</v>
          </cell>
          <cell r="R420" t="str">
            <v>-</v>
          </cell>
          <cell r="T420" t="str">
            <v>-</v>
          </cell>
          <cell r="U420" t="str">
            <v>-</v>
          </cell>
          <cell r="W420" t="str">
            <v>-</v>
          </cell>
          <cell r="X420" t="str">
            <v>-</v>
          </cell>
        </row>
        <row r="421">
          <cell r="A421">
            <v>72220413</v>
          </cell>
          <cell r="B421">
            <v>1271</v>
          </cell>
          <cell r="C421" t="str">
            <v>엘리게이터가아</v>
          </cell>
          <cell r="D421" t="str">
            <v>A</v>
          </cell>
          <cell r="E421">
            <v>70409289</v>
          </cell>
          <cell r="H421" t="str">
            <v>-</v>
          </cell>
          <cell r="I421" t="str">
            <v>-</v>
          </cell>
          <cell r="K421" t="str">
            <v>-</v>
          </cell>
          <cell r="L421" t="str">
            <v>-</v>
          </cell>
          <cell r="N421" t="str">
            <v>-</v>
          </cell>
          <cell r="O421" t="str">
            <v>-</v>
          </cell>
          <cell r="Q421" t="str">
            <v>-</v>
          </cell>
          <cell r="R421" t="str">
            <v>-</v>
          </cell>
          <cell r="T421" t="str">
            <v>-</v>
          </cell>
          <cell r="U421" t="str">
            <v>-</v>
          </cell>
          <cell r="W421" t="str">
            <v>-</v>
          </cell>
          <cell r="X421" t="str">
            <v>-</v>
          </cell>
        </row>
        <row r="422">
          <cell r="A422">
            <v>72220414</v>
          </cell>
          <cell r="B422">
            <v>1271</v>
          </cell>
          <cell r="C422" t="str">
            <v>주걱철갑상어</v>
          </cell>
          <cell r="D422" t="str">
            <v>S</v>
          </cell>
          <cell r="E422">
            <v>70409324</v>
          </cell>
          <cell r="H422" t="str">
            <v>-</v>
          </cell>
          <cell r="I422" t="str">
            <v>-</v>
          </cell>
          <cell r="K422" t="str">
            <v>-</v>
          </cell>
          <cell r="L422" t="str">
            <v>-</v>
          </cell>
          <cell r="N422" t="str">
            <v>-</v>
          </cell>
          <cell r="O422" t="str">
            <v>-</v>
          </cell>
          <cell r="Q422" t="str">
            <v>-</v>
          </cell>
          <cell r="R422" t="str">
            <v>-</v>
          </cell>
          <cell r="T422" t="str">
            <v>-</v>
          </cell>
          <cell r="U422" t="str">
            <v>-</v>
          </cell>
          <cell r="W422" t="str">
            <v>-</v>
          </cell>
          <cell r="X422" t="str">
            <v>-</v>
          </cell>
        </row>
        <row r="423">
          <cell r="A423">
            <v>72220415</v>
          </cell>
          <cell r="B423">
            <v>1272</v>
          </cell>
          <cell r="C423" t="str">
            <v>엘리게이터가아</v>
          </cell>
          <cell r="D423" t="str">
            <v>A</v>
          </cell>
          <cell r="E423">
            <v>70409289</v>
          </cell>
          <cell r="H423" t="str">
            <v>-</v>
          </cell>
          <cell r="I423" t="str">
            <v>-</v>
          </cell>
          <cell r="K423" t="str">
            <v>-</v>
          </cell>
          <cell r="L423" t="str">
            <v>-</v>
          </cell>
          <cell r="N423" t="str">
            <v>-</v>
          </cell>
          <cell r="O423" t="str">
            <v>-</v>
          </cell>
          <cell r="Q423" t="str">
            <v>-</v>
          </cell>
          <cell r="R423" t="str">
            <v>-</v>
          </cell>
          <cell r="T423" t="str">
            <v>-</v>
          </cell>
          <cell r="U423" t="str">
            <v>-</v>
          </cell>
          <cell r="W423" t="str">
            <v>-</v>
          </cell>
          <cell r="X423" t="str">
            <v>-</v>
          </cell>
        </row>
        <row r="424">
          <cell r="A424">
            <v>72220416</v>
          </cell>
          <cell r="B424">
            <v>1272</v>
          </cell>
          <cell r="C424" t="str">
            <v>주걱철갑상어</v>
          </cell>
          <cell r="D424" t="str">
            <v>S</v>
          </cell>
          <cell r="E424">
            <v>70409324</v>
          </cell>
          <cell r="H424" t="str">
            <v>-</v>
          </cell>
          <cell r="I424" t="str">
            <v>-</v>
          </cell>
          <cell r="K424" t="str">
            <v>-</v>
          </cell>
          <cell r="L424" t="str">
            <v>-</v>
          </cell>
          <cell r="N424" t="str">
            <v>-</v>
          </cell>
          <cell r="O424" t="str">
            <v>-</v>
          </cell>
          <cell r="Q424" t="str">
            <v>-</v>
          </cell>
          <cell r="R424" t="str">
            <v>-</v>
          </cell>
          <cell r="T424" t="str">
            <v>-</v>
          </cell>
          <cell r="U424" t="str">
            <v>-</v>
          </cell>
          <cell r="W424" t="str">
            <v>-</v>
          </cell>
          <cell r="X424" t="str">
            <v>-</v>
          </cell>
        </row>
        <row r="425">
          <cell r="A425">
            <v>72220417</v>
          </cell>
          <cell r="B425">
            <v>1273</v>
          </cell>
          <cell r="C425" t="str">
            <v>주걱철갑상어</v>
          </cell>
          <cell r="D425" t="str">
            <v>S</v>
          </cell>
          <cell r="E425">
            <v>70409324</v>
          </cell>
          <cell r="H425" t="str">
            <v>-</v>
          </cell>
          <cell r="I425" t="str">
            <v>-</v>
          </cell>
          <cell r="K425" t="str">
            <v>-</v>
          </cell>
          <cell r="L425" t="str">
            <v>-</v>
          </cell>
          <cell r="N425" t="str">
            <v>-</v>
          </cell>
          <cell r="O425" t="str">
            <v>-</v>
          </cell>
          <cell r="Q425" t="str">
            <v>-</v>
          </cell>
          <cell r="R425" t="str">
            <v>-</v>
          </cell>
          <cell r="T425" t="str">
            <v>-</v>
          </cell>
          <cell r="U425" t="str">
            <v>-</v>
          </cell>
          <cell r="W425" t="str">
            <v>-</v>
          </cell>
          <cell r="X425" t="str">
            <v>-</v>
          </cell>
        </row>
        <row r="426">
          <cell r="A426">
            <v>72220418</v>
          </cell>
          <cell r="B426">
            <v>1273</v>
          </cell>
          <cell r="C426" t="str">
            <v>엘리게이터가아</v>
          </cell>
          <cell r="D426" t="str">
            <v>A</v>
          </cell>
          <cell r="E426">
            <v>70409289</v>
          </cell>
          <cell r="H426" t="str">
            <v>-</v>
          </cell>
          <cell r="I426" t="str">
            <v>-</v>
          </cell>
          <cell r="K426" t="str">
            <v>-</v>
          </cell>
          <cell r="L426" t="str">
            <v>-</v>
          </cell>
          <cell r="N426" t="str">
            <v>-</v>
          </cell>
          <cell r="O426" t="str">
            <v>-</v>
          </cell>
          <cell r="Q426" t="str">
            <v>-</v>
          </cell>
          <cell r="R426" t="str">
            <v>-</v>
          </cell>
          <cell r="T426" t="str">
            <v>-</v>
          </cell>
          <cell r="U426" t="str">
            <v>-</v>
          </cell>
          <cell r="W426" t="str">
            <v>-</v>
          </cell>
          <cell r="X426" t="str">
            <v>-</v>
          </cell>
        </row>
        <row r="427">
          <cell r="A427">
            <v>72220419</v>
          </cell>
          <cell r="B427">
            <v>1274</v>
          </cell>
          <cell r="C427" t="str">
            <v>주걱철갑상어</v>
          </cell>
          <cell r="D427" t="str">
            <v>S</v>
          </cell>
          <cell r="E427">
            <v>70409324</v>
          </cell>
          <cell r="H427" t="str">
            <v>-</v>
          </cell>
          <cell r="I427" t="str">
            <v>-</v>
          </cell>
          <cell r="K427" t="str">
            <v>-</v>
          </cell>
          <cell r="L427" t="str">
            <v>-</v>
          </cell>
          <cell r="N427" t="str">
            <v>-</v>
          </cell>
          <cell r="O427" t="str">
            <v>-</v>
          </cell>
          <cell r="Q427" t="str">
            <v>-</v>
          </cell>
          <cell r="R427" t="str">
            <v>-</v>
          </cell>
          <cell r="T427" t="str">
            <v>-</v>
          </cell>
          <cell r="U427" t="str">
            <v>-</v>
          </cell>
          <cell r="W427" t="str">
            <v>-</v>
          </cell>
          <cell r="X427" t="str">
            <v>-</v>
          </cell>
        </row>
        <row r="428">
          <cell r="A428">
            <v>72220420</v>
          </cell>
          <cell r="B428">
            <v>1274</v>
          </cell>
          <cell r="C428" t="str">
            <v>엘리게이터가아</v>
          </cell>
          <cell r="D428" t="str">
            <v>A</v>
          </cell>
          <cell r="E428">
            <v>70409289</v>
          </cell>
          <cell r="H428" t="str">
            <v>-</v>
          </cell>
          <cell r="I428" t="str">
            <v>-</v>
          </cell>
          <cell r="K428" t="str">
            <v>-</v>
          </cell>
          <cell r="L428" t="str">
            <v>-</v>
          </cell>
          <cell r="N428" t="str">
            <v>-</v>
          </cell>
          <cell r="O428" t="str">
            <v>-</v>
          </cell>
          <cell r="Q428" t="str">
            <v>-</v>
          </cell>
          <cell r="R428" t="str">
            <v>-</v>
          </cell>
          <cell r="T428" t="str">
            <v>-</v>
          </cell>
          <cell r="U428" t="str">
            <v>-</v>
          </cell>
          <cell r="W428" t="str">
            <v>-</v>
          </cell>
          <cell r="X428" t="str">
            <v>-</v>
          </cell>
        </row>
        <row r="429">
          <cell r="A429">
            <v>72220421</v>
          </cell>
          <cell r="B429">
            <v>1281</v>
          </cell>
          <cell r="C429" t="str">
            <v>주름상어</v>
          </cell>
          <cell r="D429" t="str">
            <v>S</v>
          </cell>
          <cell r="E429">
            <v>70409325</v>
          </cell>
          <cell r="H429" t="str">
            <v>-</v>
          </cell>
          <cell r="I429" t="str">
            <v>-</v>
          </cell>
          <cell r="K429" t="str">
            <v>-</v>
          </cell>
          <cell r="L429" t="str">
            <v>-</v>
          </cell>
          <cell r="N429" t="str">
            <v>-</v>
          </cell>
          <cell r="O429" t="str">
            <v>-</v>
          </cell>
          <cell r="Q429" t="str">
            <v>-</v>
          </cell>
          <cell r="R429" t="str">
            <v>-</v>
          </cell>
          <cell r="T429" t="str">
            <v>-</v>
          </cell>
          <cell r="U429" t="str">
            <v>-</v>
          </cell>
          <cell r="W429" t="str">
            <v>-</v>
          </cell>
          <cell r="X429" t="str">
            <v>-</v>
          </cell>
        </row>
        <row r="430">
          <cell r="A430">
            <v>72220422</v>
          </cell>
          <cell r="B430">
            <v>1281</v>
          </cell>
          <cell r="C430" t="str">
            <v>붕장어</v>
          </cell>
          <cell r="D430" t="str">
            <v>A</v>
          </cell>
          <cell r="E430">
            <v>70409226</v>
          </cell>
          <cell r="H430" t="str">
            <v>-</v>
          </cell>
          <cell r="I430" t="str">
            <v>-</v>
          </cell>
          <cell r="K430" t="str">
            <v>-</v>
          </cell>
          <cell r="L430" t="str">
            <v>-</v>
          </cell>
          <cell r="N430" t="str">
            <v>-</v>
          </cell>
          <cell r="O430" t="str">
            <v>-</v>
          </cell>
          <cell r="Q430" t="str">
            <v>-</v>
          </cell>
          <cell r="R430" t="str">
            <v>-</v>
          </cell>
          <cell r="T430" t="str">
            <v>-</v>
          </cell>
          <cell r="U430" t="str">
            <v>-</v>
          </cell>
          <cell r="W430" t="str">
            <v>-</v>
          </cell>
          <cell r="X430" t="str">
            <v>-</v>
          </cell>
        </row>
        <row r="431">
          <cell r="A431">
            <v>72220423</v>
          </cell>
          <cell r="B431">
            <v>1281</v>
          </cell>
          <cell r="C431" t="str">
            <v>병치돔</v>
          </cell>
          <cell r="D431" t="str">
            <v>D</v>
          </cell>
          <cell r="E431">
            <v>70409205</v>
          </cell>
          <cell r="H431" t="str">
            <v>-</v>
          </cell>
          <cell r="I431" t="str">
            <v>-</v>
          </cell>
          <cell r="K431" t="str">
            <v>-</v>
          </cell>
          <cell r="L431" t="str">
            <v>-</v>
          </cell>
          <cell r="N431" t="str">
            <v>-</v>
          </cell>
          <cell r="O431" t="str">
            <v>-</v>
          </cell>
          <cell r="Q431" t="str">
            <v>-</v>
          </cell>
          <cell r="R431" t="str">
            <v>-</v>
          </cell>
          <cell r="T431" t="str">
            <v>-</v>
          </cell>
          <cell r="U431" t="str">
            <v>-</v>
          </cell>
          <cell r="W431" t="str">
            <v>-</v>
          </cell>
          <cell r="X431" t="str">
            <v>-</v>
          </cell>
        </row>
        <row r="432">
          <cell r="A432">
            <v>72220424</v>
          </cell>
          <cell r="B432">
            <v>1281</v>
          </cell>
          <cell r="C432" t="str">
            <v>황다랑어</v>
          </cell>
          <cell r="D432" t="str">
            <v>B</v>
          </cell>
          <cell r="E432">
            <v>70409399</v>
          </cell>
          <cell r="H432" t="str">
            <v>-</v>
          </cell>
          <cell r="I432" t="str">
            <v>-</v>
          </cell>
          <cell r="K432" t="str">
            <v>-</v>
          </cell>
          <cell r="L432" t="str">
            <v>-</v>
          </cell>
          <cell r="N432" t="str">
            <v>-</v>
          </cell>
          <cell r="O432" t="str">
            <v>-</v>
          </cell>
          <cell r="Q432" t="str">
            <v>-</v>
          </cell>
          <cell r="R432" t="str">
            <v>-</v>
          </cell>
          <cell r="T432" t="str">
            <v>-</v>
          </cell>
          <cell r="U432" t="str">
            <v>-</v>
          </cell>
          <cell r="W432" t="str">
            <v>-</v>
          </cell>
          <cell r="X432" t="str">
            <v>-</v>
          </cell>
        </row>
        <row r="433">
          <cell r="A433">
            <v>72220425</v>
          </cell>
          <cell r="B433">
            <v>1282</v>
          </cell>
          <cell r="C433" t="str">
            <v>주름상어</v>
          </cell>
          <cell r="D433" t="str">
            <v>S</v>
          </cell>
          <cell r="E433">
            <v>70409325</v>
          </cell>
          <cell r="H433" t="str">
            <v>-</v>
          </cell>
          <cell r="I433" t="str">
            <v>-</v>
          </cell>
          <cell r="K433" t="str">
            <v>-</v>
          </cell>
          <cell r="L433" t="str">
            <v>-</v>
          </cell>
          <cell r="N433" t="str">
            <v>-</v>
          </cell>
          <cell r="O433" t="str">
            <v>-</v>
          </cell>
          <cell r="Q433" t="str">
            <v>-</v>
          </cell>
          <cell r="R433" t="str">
            <v>-</v>
          </cell>
          <cell r="T433" t="str">
            <v>-</v>
          </cell>
          <cell r="U433" t="str">
            <v>-</v>
          </cell>
          <cell r="W433" t="str">
            <v>-</v>
          </cell>
          <cell r="X433" t="str">
            <v>-</v>
          </cell>
        </row>
        <row r="434">
          <cell r="A434">
            <v>72220426</v>
          </cell>
          <cell r="B434">
            <v>1282</v>
          </cell>
          <cell r="C434" t="str">
            <v>붕장어</v>
          </cell>
          <cell r="D434" t="str">
            <v>A</v>
          </cell>
          <cell r="E434">
            <v>70409226</v>
          </cell>
          <cell r="H434" t="str">
            <v>-</v>
          </cell>
          <cell r="I434" t="str">
            <v>-</v>
          </cell>
          <cell r="K434" t="str">
            <v>-</v>
          </cell>
          <cell r="L434" t="str">
            <v>-</v>
          </cell>
          <cell r="N434" t="str">
            <v>-</v>
          </cell>
          <cell r="O434" t="str">
            <v>-</v>
          </cell>
          <cell r="Q434" t="str">
            <v>-</v>
          </cell>
          <cell r="R434" t="str">
            <v>-</v>
          </cell>
          <cell r="T434" t="str">
            <v>-</v>
          </cell>
          <cell r="U434" t="str">
            <v>-</v>
          </cell>
          <cell r="W434" t="str">
            <v>-</v>
          </cell>
          <cell r="X434" t="str">
            <v>-</v>
          </cell>
        </row>
        <row r="435">
          <cell r="A435">
            <v>72220427</v>
          </cell>
          <cell r="B435">
            <v>1282</v>
          </cell>
          <cell r="C435" t="str">
            <v>병치돔</v>
          </cell>
          <cell r="D435" t="str">
            <v>D</v>
          </cell>
          <cell r="E435">
            <v>70409205</v>
          </cell>
          <cell r="H435" t="str">
            <v>-</v>
          </cell>
          <cell r="I435" t="str">
            <v>-</v>
          </cell>
          <cell r="K435" t="str">
            <v>-</v>
          </cell>
          <cell r="L435" t="str">
            <v>-</v>
          </cell>
          <cell r="N435" t="str">
            <v>-</v>
          </cell>
          <cell r="O435" t="str">
            <v>-</v>
          </cell>
          <cell r="Q435" t="str">
            <v>-</v>
          </cell>
          <cell r="R435" t="str">
            <v>-</v>
          </cell>
          <cell r="T435" t="str">
            <v>-</v>
          </cell>
          <cell r="U435" t="str">
            <v>-</v>
          </cell>
          <cell r="W435" t="str">
            <v>-</v>
          </cell>
          <cell r="X435" t="str">
            <v>-</v>
          </cell>
        </row>
        <row r="436">
          <cell r="A436">
            <v>72220428</v>
          </cell>
          <cell r="B436">
            <v>1282</v>
          </cell>
          <cell r="C436" t="str">
            <v>황다랑어</v>
          </cell>
          <cell r="D436" t="str">
            <v>B</v>
          </cell>
          <cell r="E436">
            <v>70409399</v>
          </cell>
          <cell r="H436" t="str">
            <v>-</v>
          </cell>
          <cell r="I436" t="str">
            <v>-</v>
          </cell>
          <cell r="K436" t="str">
            <v>-</v>
          </cell>
          <cell r="L436" t="str">
            <v>-</v>
          </cell>
          <cell r="N436" t="str">
            <v>-</v>
          </cell>
          <cell r="O436" t="str">
            <v>-</v>
          </cell>
          <cell r="Q436" t="str">
            <v>-</v>
          </cell>
          <cell r="R436" t="str">
            <v>-</v>
          </cell>
          <cell r="T436" t="str">
            <v>-</v>
          </cell>
          <cell r="U436" t="str">
            <v>-</v>
          </cell>
          <cell r="W436" t="str">
            <v>-</v>
          </cell>
          <cell r="X436" t="str">
            <v>-</v>
          </cell>
        </row>
        <row r="437">
          <cell r="A437">
            <v>72220429</v>
          </cell>
          <cell r="B437">
            <v>1283</v>
          </cell>
          <cell r="C437" t="str">
            <v>주름상어</v>
          </cell>
          <cell r="D437" t="str">
            <v>S</v>
          </cell>
          <cell r="E437">
            <v>70409325</v>
          </cell>
          <cell r="H437" t="str">
            <v>-</v>
          </cell>
          <cell r="I437" t="str">
            <v>-</v>
          </cell>
          <cell r="K437" t="str">
            <v>-</v>
          </cell>
          <cell r="L437" t="str">
            <v>-</v>
          </cell>
          <cell r="N437" t="str">
            <v>-</v>
          </cell>
          <cell r="O437" t="str">
            <v>-</v>
          </cell>
          <cell r="Q437" t="str">
            <v>-</v>
          </cell>
          <cell r="R437" t="str">
            <v>-</v>
          </cell>
          <cell r="T437" t="str">
            <v>-</v>
          </cell>
          <cell r="U437" t="str">
            <v>-</v>
          </cell>
          <cell r="W437" t="str">
            <v>-</v>
          </cell>
          <cell r="X437" t="str">
            <v>-</v>
          </cell>
        </row>
        <row r="438">
          <cell r="A438">
            <v>72220430</v>
          </cell>
          <cell r="B438">
            <v>1283</v>
          </cell>
          <cell r="C438" t="str">
            <v>붕장어</v>
          </cell>
          <cell r="D438" t="str">
            <v>A</v>
          </cell>
          <cell r="E438">
            <v>70409226</v>
          </cell>
          <cell r="H438" t="str">
            <v>-</v>
          </cell>
          <cell r="I438" t="str">
            <v>-</v>
          </cell>
          <cell r="K438" t="str">
            <v>-</v>
          </cell>
          <cell r="L438" t="str">
            <v>-</v>
          </cell>
          <cell r="N438" t="str">
            <v>-</v>
          </cell>
          <cell r="O438" t="str">
            <v>-</v>
          </cell>
          <cell r="Q438" t="str">
            <v>-</v>
          </cell>
          <cell r="R438" t="str">
            <v>-</v>
          </cell>
          <cell r="T438" t="str">
            <v>-</v>
          </cell>
          <cell r="U438" t="str">
            <v>-</v>
          </cell>
          <cell r="W438" t="str">
            <v>-</v>
          </cell>
          <cell r="X438" t="str">
            <v>-</v>
          </cell>
        </row>
        <row r="439">
          <cell r="A439">
            <v>72220431</v>
          </cell>
          <cell r="B439">
            <v>1283</v>
          </cell>
          <cell r="C439" t="str">
            <v>병치돔</v>
          </cell>
          <cell r="D439" t="str">
            <v>D</v>
          </cell>
          <cell r="E439">
            <v>70409205</v>
          </cell>
          <cell r="H439" t="str">
            <v>-</v>
          </cell>
          <cell r="I439" t="str">
            <v>-</v>
          </cell>
          <cell r="K439" t="str">
            <v>-</v>
          </cell>
          <cell r="L439" t="str">
            <v>-</v>
          </cell>
          <cell r="N439" t="str">
            <v>-</v>
          </cell>
          <cell r="O439" t="str">
            <v>-</v>
          </cell>
          <cell r="Q439" t="str">
            <v>-</v>
          </cell>
          <cell r="R439" t="str">
            <v>-</v>
          </cell>
          <cell r="T439" t="str">
            <v>-</v>
          </cell>
          <cell r="U439" t="str">
            <v>-</v>
          </cell>
          <cell r="W439" t="str">
            <v>-</v>
          </cell>
          <cell r="X439" t="str">
            <v>-</v>
          </cell>
        </row>
        <row r="440">
          <cell r="A440">
            <v>72220432</v>
          </cell>
          <cell r="B440">
            <v>1283</v>
          </cell>
          <cell r="C440" t="str">
            <v>황다랑어</v>
          </cell>
          <cell r="D440" t="str">
            <v>B</v>
          </cell>
          <cell r="E440">
            <v>70409399</v>
          </cell>
          <cell r="H440" t="str">
            <v>-</v>
          </cell>
          <cell r="I440" t="str">
            <v>-</v>
          </cell>
          <cell r="K440" t="str">
            <v>-</v>
          </cell>
          <cell r="L440" t="str">
            <v>-</v>
          </cell>
          <cell r="N440" t="str">
            <v>-</v>
          </cell>
          <cell r="O440" t="str">
            <v>-</v>
          </cell>
          <cell r="Q440" t="str">
            <v>-</v>
          </cell>
          <cell r="R440" t="str">
            <v>-</v>
          </cell>
          <cell r="T440" t="str">
            <v>-</v>
          </cell>
          <cell r="U440" t="str">
            <v>-</v>
          </cell>
          <cell r="W440" t="str">
            <v>-</v>
          </cell>
          <cell r="X440" t="str">
            <v>-</v>
          </cell>
        </row>
        <row r="441">
          <cell r="A441">
            <v>72220433</v>
          </cell>
          <cell r="B441">
            <v>1284</v>
          </cell>
          <cell r="C441" t="str">
            <v>주름상어</v>
          </cell>
          <cell r="D441" t="str">
            <v>S</v>
          </cell>
          <cell r="E441">
            <v>70409325</v>
          </cell>
          <cell r="H441" t="str">
            <v>-</v>
          </cell>
          <cell r="I441" t="str">
            <v>-</v>
          </cell>
          <cell r="K441" t="str">
            <v>-</v>
          </cell>
          <cell r="L441" t="str">
            <v>-</v>
          </cell>
          <cell r="N441" t="str">
            <v>-</v>
          </cell>
          <cell r="O441" t="str">
            <v>-</v>
          </cell>
          <cell r="Q441" t="str">
            <v>-</v>
          </cell>
          <cell r="R441" t="str">
            <v>-</v>
          </cell>
          <cell r="T441" t="str">
            <v>-</v>
          </cell>
          <cell r="U441" t="str">
            <v>-</v>
          </cell>
          <cell r="W441" t="str">
            <v>-</v>
          </cell>
          <cell r="X441" t="str">
            <v>-</v>
          </cell>
        </row>
        <row r="442">
          <cell r="A442">
            <v>72220434</v>
          </cell>
          <cell r="B442">
            <v>1284</v>
          </cell>
          <cell r="C442" t="str">
            <v>붕장어</v>
          </cell>
          <cell r="D442" t="str">
            <v>A</v>
          </cell>
          <cell r="E442">
            <v>70409226</v>
          </cell>
          <cell r="H442" t="str">
            <v>-</v>
          </cell>
          <cell r="I442" t="str">
            <v>-</v>
          </cell>
          <cell r="K442" t="str">
            <v>-</v>
          </cell>
          <cell r="L442" t="str">
            <v>-</v>
          </cell>
          <cell r="N442" t="str">
            <v>-</v>
          </cell>
          <cell r="O442" t="str">
            <v>-</v>
          </cell>
          <cell r="Q442" t="str">
            <v>-</v>
          </cell>
          <cell r="R442" t="str">
            <v>-</v>
          </cell>
          <cell r="T442" t="str">
            <v>-</v>
          </cell>
          <cell r="U442" t="str">
            <v>-</v>
          </cell>
          <cell r="W442" t="str">
            <v>-</v>
          </cell>
          <cell r="X442" t="str">
            <v>-</v>
          </cell>
        </row>
        <row r="443">
          <cell r="A443">
            <v>72220435</v>
          </cell>
          <cell r="B443">
            <v>1284</v>
          </cell>
          <cell r="C443" t="str">
            <v>병치돔</v>
          </cell>
          <cell r="D443" t="str">
            <v>D</v>
          </cell>
          <cell r="E443">
            <v>70409205</v>
          </cell>
          <cell r="H443" t="str">
            <v>-</v>
          </cell>
          <cell r="I443" t="str">
            <v>-</v>
          </cell>
          <cell r="K443" t="str">
            <v>-</v>
          </cell>
          <cell r="L443" t="str">
            <v>-</v>
          </cell>
          <cell r="N443" t="str">
            <v>-</v>
          </cell>
          <cell r="O443" t="str">
            <v>-</v>
          </cell>
          <cell r="Q443" t="str">
            <v>-</v>
          </cell>
          <cell r="R443" t="str">
            <v>-</v>
          </cell>
          <cell r="T443" t="str">
            <v>-</v>
          </cell>
          <cell r="U443" t="str">
            <v>-</v>
          </cell>
          <cell r="W443" t="str">
            <v>-</v>
          </cell>
          <cell r="X443" t="str">
            <v>-</v>
          </cell>
        </row>
        <row r="444">
          <cell r="A444">
            <v>72220436</v>
          </cell>
          <cell r="B444">
            <v>1284</v>
          </cell>
          <cell r="C444" t="str">
            <v>황다랑어</v>
          </cell>
          <cell r="D444" t="str">
            <v>B</v>
          </cell>
          <cell r="E444">
            <v>70409399</v>
          </cell>
          <cell r="H444" t="str">
            <v>-</v>
          </cell>
          <cell r="I444" t="str">
            <v>-</v>
          </cell>
          <cell r="K444" t="str">
            <v>-</v>
          </cell>
          <cell r="L444" t="str">
            <v>-</v>
          </cell>
          <cell r="N444" t="str">
            <v>-</v>
          </cell>
          <cell r="O444" t="str">
            <v>-</v>
          </cell>
          <cell r="Q444" t="str">
            <v>-</v>
          </cell>
          <cell r="R444" t="str">
            <v>-</v>
          </cell>
          <cell r="T444" t="str">
            <v>-</v>
          </cell>
          <cell r="U444" t="str">
            <v>-</v>
          </cell>
          <cell r="W444" t="str">
            <v>-</v>
          </cell>
          <cell r="X444" t="str">
            <v>-</v>
          </cell>
        </row>
        <row r="445">
          <cell r="A445">
            <v>72220437</v>
          </cell>
          <cell r="B445">
            <v>1291</v>
          </cell>
          <cell r="C445" t="str">
            <v>눈퉁멸</v>
          </cell>
          <cell r="D445" t="str">
            <v>B</v>
          </cell>
          <cell r="E445">
            <v>70409094</v>
          </cell>
          <cell r="H445" t="str">
            <v>-</v>
          </cell>
          <cell r="I445" t="str">
            <v>-</v>
          </cell>
          <cell r="K445" t="str">
            <v>-</v>
          </cell>
          <cell r="L445" t="str">
            <v>-</v>
          </cell>
          <cell r="N445" t="str">
            <v>-</v>
          </cell>
          <cell r="O445" t="str">
            <v>-</v>
          </cell>
          <cell r="Q445" t="str">
            <v>-</v>
          </cell>
          <cell r="R445" t="str">
            <v>-</v>
          </cell>
          <cell r="T445" t="str">
            <v>-</v>
          </cell>
          <cell r="U445" t="str">
            <v>-</v>
          </cell>
          <cell r="W445" t="str">
            <v>-</v>
          </cell>
          <cell r="X445" t="str">
            <v>-</v>
          </cell>
        </row>
        <row r="446">
          <cell r="A446">
            <v>72220438</v>
          </cell>
          <cell r="B446">
            <v>1291</v>
          </cell>
          <cell r="C446" t="str">
            <v>동동갈치</v>
          </cell>
          <cell r="D446" t="str">
            <v>C</v>
          </cell>
          <cell r="E446">
            <v>70409120</v>
          </cell>
          <cell r="H446" t="str">
            <v>-</v>
          </cell>
          <cell r="I446" t="str">
            <v>-</v>
          </cell>
          <cell r="K446" t="str">
            <v>-</v>
          </cell>
          <cell r="L446" t="str">
            <v>-</v>
          </cell>
          <cell r="N446" t="str">
            <v>-</v>
          </cell>
          <cell r="O446" t="str">
            <v>-</v>
          </cell>
          <cell r="Q446" t="str">
            <v>-</v>
          </cell>
          <cell r="R446" t="str">
            <v>-</v>
          </cell>
          <cell r="T446" t="str">
            <v>-</v>
          </cell>
          <cell r="U446" t="str">
            <v>-</v>
          </cell>
          <cell r="W446" t="str">
            <v>-</v>
          </cell>
          <cell r="X446" t="str">
            <v>-</v>
          </cell>
        </row>
        <row r="447">
          <cell r="A447">
            <v>72220439</v>
          </cell>
          <cell r="B447">
            <v>1291</v>
          </cell>
          <cell r="C447" t="str">
            <v>병치돔</v>
          </cell>
          <cell r="D447" t="str">
            <v>D</v>
          </cell>
          <cell r="E447">
            <v>70409205</v>
          </cell>
          <cell r="H447" t="str">
            <v>-</v>
          </cell>
          <cell r="I447" t="str">
            <v>-</v>
          </cell>
          <cell r="K447" t="str">
            <v>-</v>
          </cell>
          <cell r="L447" t="str">
            <v>-</v>
          </cell>
          <cell r="N447" t="str">
            <v>-</v>
          </cell>
          <cell r="O447" t="str">
            <v>-</v>
          </cell>
          <cell r="Q447" t="str">
            <v>-</v>
          </cell>
          <cell r="R447" t="str">
            <v>-</v>
          </cell>
          <cell r="T447" t="str">
            <v>-</v>
          </cell>
          <cell r="U447" t="str">
            <v>-</v>
          </cell>
          <cell r="W447" t="str">
            <v>-</v>
          </cell>
          <cell r="X447" t="str">
            <v>-</v>
          </cell>
        </row>
        <row r="448">
          <cell r="A448">
            <v>72220440</v>
          </cell>
          <cell r="B448">
            <v>1292</v>
          </cell>
          <cell r="C448" t="str">
            <v>눈퉁멸</v>
          </cell>
          <cell r="D448" t="str">
            <v>B</v>
          </cell>
          <cell r="E448">
            <v>70409094</v>
          </cell>
          <cell r="H448" t="str">
            <v>-</v>
          </cell>
          <cell r="I448" t="str">
            <v>-</v>
          </cell>
          <cell r="K448" t="str">
            <v>-</v>
          </cell>
          <cell r="L448" t="str">
            <v>-</v>
          </cell>
          <cell r="N448" t="str">
            <v>-</v>
          </cell>
          <cell r="O448" t="str">
            <v>-</v>
          </cell>
          <cell r="Q448" t="str">
            <v>-</v>
          </cell>
          <cell r="R448" t="str">
            <v>-</v>
          </cell>
          <cell r="T448" t="str">
            <v>-</v>
          </cell>
          <cell r="U448" t="str">
            <v>-</v>
          </cell>
          <cell r="W448" t="str">
            <v>-</v>
          </cell>
          <cell r="X448" t="str">
            <v>-</v>
          </cell>
        </row>
        <row r="449">
          <cell r="A449">
            <v>72220441</v>
          </cell>
          <cell r="B449">
            <v>1292</v>
          </cell>
          <cell r="C449" t="str">
            <v>동동갈치</v>
          </cell>
          <cell r="D449" t="str">
            <v>C</v>
          </cell>
          <cell r="E449">
            <v>70409120</v>
          </cell>
          <cell r="H449" t="str">
            <v>-</v>
          </cell>
          <cell r="I449" t="str">
            <v>-</v>
          </cell>
          <cell r="K449" t="str">
            <v>-</v>
          </cell>
          <cell r="L449" t="str">
            <v>-</v>
          </cell>
          <cell r="N449" t="str">
            <v>-</v>
          </cell>
          <cell r="O449" t="str">
            <v>-</v>
          </cell>
          <cell r="Q449" t="str">
            <v>-</v>
          </cell>
          <cell r="R449" t="str">
            <v>-</v>
          </cell>
          <cell r="T449" t="str">
            <v>-</v>
          </cell>
          <cell r="U449" t="str">
            <v>-</v>
          </cell>
          <cell r="W449" t="str">
            <v>-</v>
          </cell>
          <cell r="X449" t="str">
            <v>-</v>
          </cell>
        </row>
        <row r="450">
          <cell r="A450">
            <v>72220442</v>
          </cell>
          <cell r="B450">
            <v>1292</v>
          </cell>
          <cell r="C450" t="str">
            <v>병치돔</v>
          </cell>
          <cell r="D450" t="str">
            <v>D</v>
          </cell>
          <cell r="E450">
            <v>70409205</v>
          </cell>
          <cell r="H450" t="str">
            <v>-</v>
          </cell>
          <cell r="I450" t="str">
            <v>-</v>
          </cell>
          <cell r="K450" t="str">
            <v>-</v>
          </cell>
          <cell r="L450" t="str">
            <v>-</v>
          </cell>
          <cell r="N450" t="str">
            <v>-</v>
          </cell>
          <cell r="O450" t="str">
            <v>-</v>
          </cell>
          <cell r="Q450" t="str">
            <v>-</v>
          </cell>
          <cell r="R450" t="str">
            <v>-</v>
          </cell>
          <cell r="T450" t="str">
            <v>-</v>
          </cell>
          <cell r="U450" t="str">
            <v>-</v>
          </cell>
          <cell r="W450" t="str">
            <v>-</v>
          </cell>
          <cell r="X450" t="str">
            <v>-</v>
          </cell>
        </row>
        <row r="451">
          <cell r="A451">
            <v>72220443</v>
          </cell>
          <cell r="B451">
            <v>1293</v>
          </cell>
          <cell r="C451" t="str">
            <v>눈퉁멸</v>
          </cell>
          <cell r="D451" t="str">
            <v>B</v>
          </cell>
          <cell r="E451">
            <v>70409094</v>
          </cell>
          <cell r="H451" t="str">
            <v>-</v>
          </cell>
          <cell r="I451" t="str">
            <v>-</v>
          </cell>
          <cell r="K451" t="str">
            <v>-</v>
          </cell>
          <cell r="L451" t="str">
            <v>-</v>
          </cell>
          <cell r="N451" t="str">
            <v>-</v>
          </cell>
          <cell r="O451" t="str">
            <v>-</v>
          </cell>
          <cell r="Q451" t="str">
            <v>-</v>
          </cell>
          <cell r="R451" t="str">
            <v>-</v>
          </cell>
          <cell r="T451" t="str">
            <v>-</v>
          </cell>
          <cell r="U451" t="str">
            <v>-</v>
          </cell>
          <cell r="W451" t="str">
            <v>-</v>
          </cell>
          <cell r="X451" t="str">
            <v>-</v>
          </cell>
        </row>
        <row r="452">
          <cell r="A452">
            <v>72220444</v>
          </cell>
          <cell r="B452">
            <v>1293</v>
          </cell>
          <cell r="C452" t="str">
            <v>동동갈치</v>
          </cell>
          <cell r="D452" t="str">
            <v>C</v>
          </cell>
          <cell r="E452">
            <v>70409120</v>
          </cell>
          <cell r="H452" t="str">
            <v>-</v>
          </cell>
          <cell r="I452" t="str">
            <v>-</v>
          </cell>
          <cell r="K452" t="str">
            <v>-</v>
          </cell>
          <cell r="L452" t="str">
            <v>-</v>
          </cell>
          <cell r="N452" t="str">
            <v>-</v>
          </cell>
          <cell r="O452" t="str">
            <v>-</v>
          </cell>
          <cell r="Q452" t="str">
            <v>-</v>
          </cell>
          <cell r="R452" t="str">
            <v>-</v>
          </cell>
          <cell r="T452" t="str">
            <v>-</v>
          </cell>
          <cell r="U452" t="str">
            <v>-</v>
          </cell>
          <cell r="W452" t="str">
            <v>-</v>
          </cell>
          <cell r="X452" t="str">
            <v>-</v>
          </cell>
        </row>
        <row r="453">
          <cell r="A453">
            <v>72220445</v>
          </cell>
          <cell r="B453">
            <v>1293</v>
          </cell>
          <cell r="C453" t="str">
            <v>병치돔</v>
          </cell>
          <cell r="D453" t="str">
            <v>D</v>
          </cell>
          <cell r="E453">
            <v>70409205</v>
          </cell>
          <cell r="H453" t="str">
            <v>-</v>
          </cell>
          <cell r="I453" t="str">
            <v>-</v>
          </cell>
          <cell r="K453" t="str">
            <v>-</v>
          </cell>
          <cell r="L453" t="str">
            <v>-</v>
          </cell>
          <cell r="N453" t="str">
            <v>-</v>
          </cell>
          <cell r="O453" t="str">
            <v>-</v>
          </cell>
          <cell r="Q453" t="str">
            <v>-</v>
          </cell>
          <cell r="R453" t="str">
            <v>-</v>
          </cell>
          <cell r="T453" t="str">
            <v>-</v>
          </cell>
          <cell r="U453" t="str">
            <v>-</v>
          </cell>
          <cell r="W453" t="str">
            <v>-</v>
          </cell>
          <cell r="X453" t="str">
            <v>-</v>
          </cell>
        </row>
        <row r="454">
          <cell r="A454">
            <v>72220446</v>
          </cell>
          <cell r="B454">
            <v>1294</v>
          </cell>
          <cell r="C454" t="str">
            <v>눈퉁멸</v>
          </cell>
          <cell r="D454" t="str">
            <v>B</v>
          </cell>
          <cell r="E454">
            <v>70409094</v>
          </cell>
          <cell r="H454" t="str">
            <v>-</v>
          </cell>
          <cell r="I454" t="str">
            <v>-</v>
          </cell>
          <cell r="K454" t="str">
            <v>-</v>
          </cell>
          <cell r="L454" t="str">
            <v>-</v>
          </cell>
          <cell r="N454" t="str">
            <v>-</v>
          </cell>
          <cell r="O454" t="str">
            <v>-</v>
          </cell>
          <cell r="Q454" t="str">
            <v>-</v>
          </cell>
          <cell r="R454" t="str">
            <v>-</v>
          </cell>
          <cell r="T454" t="str">
            <v>-</v>
          </cell>
          <cell r="U454" t="str">
            <v>-</v>
          </cell>
          <cell r="W454" t="str">
            <v>-</v>
          </cell>
          <cell r="X454" t="str">
            <v>-</v>
          </cell>
        </row>
        <row r="455">
          <cell r="A455">
            <v>72220447</v>
          </cell>
          <cell r="B455">
            <v>1294</v>
          </cell>
          <cell r="C455" t="str">
            <v>동동갈치</v>
          </cell>
          <cell r="D455" t="str">
            <v>C</v>
          </cell>
          <cell r="E455">
            <v>70409120</v>
          </cell>
          <cell r="H455" t="str">
            <v>-</v>
          </cell>
          <cell r="I455" t="str">
            <v>-</v>
          </cell>
          <cell r="K455" t="str">
            <v>-</v>
          </cell>
          <cell r="L455" t="str">
            <v>-</v>
          </cell>
          <cell r="N455" t="str">
            <v>-</v>
          </cell>
          <cell r="O455" t="str">
            <v>-</v>
          </cell>
          <cell r="Q455" t="str">
            <v>-</v>
          </cell>
          <cell r="R455" t="str">
            <v>-</v>
          </cell>
          <cell r="T455" t="str">
            <v>-</v>
          </cell>
          <cell r="U455" t="str">
            <v>-</v>
          </cell>
          <cell r="W455" t="str">
            <v>-</v>
          </cell>
          <cell r="X455" t="str">
            <v>-</v>
          </cell>
        </row>
        <row r="456">
          <cell r="A456">
            <v>72220448</v>
          </cell>
          <cell r="B456">
            <v>1294</v>
          </cell>
          <cell r="C456" t="str">
            <v>병치돔</v>
          </cell>
          <cell r="D456" t="str">
            <v>D</v>
          </cell>
          <cell r="E456">
            <v>70409205</v>
          </cell>
          <cell r="H456" t="str">
            <v>-</v>
          </cell>
          <cell r="I456" t="str">
            <v>-</v>
          </cell>
          <cell r="K456" t="str">
            <v>-</v>
          </cell>
          <cell r="L456" t="str">
            <v>-</v>
          </cell>
          <cell r="N456" t="str">
            <v>-</v>
          </cell>
          <cell r="O456" t="str">
            <v>-</v>
          </cell>
          <cell r="Q456" t="str">
            <v>-</v>
          </cell>
          <cell r="R456" t="str">
            <v>-</v>
          </cell>
          <cell r="T456" t="str">
            <v>-</v>
          </cell>
          <cell r="U456" t="str">
            <v>-</v>
          </cell>
          <cell r="W456" t="str">
            <v>-</v>
          </cell>
          <cell r="X456" t="str">
            <v>-</v>
          </cell>
        </row>
        <row r="457">
          <cell r="A457">
            <v>72220449</v>
          </cell>
          <cell r="B457">
            <v>1301</v>
          </cell>
          <cell r="C457" t="str">
            <v>동동갈치</v>
          </cell>
          <cell r="D457" t="str">
            <v>C</v>
          </cell>
          <cell r="E457">
            <v>70409120</v>
          </cell>
          <cell r="H457" t="str">
            <v>-</v>
          </cell>
          <cell r="I457" t="str">
            <v>-</v>
          </cell>
          <cell r="K457" t="str">
            <v>-</v>
          </cell>
          <cell r="L457" t="str">
            <v>-</v>
          </cell>
          <cell r="N457" t="str">
            <v>-</v>
          </cell>
          <cell r="O457" t="str">
            <v>-</v>
          </cell>
          <cell r="Q457" t="str">
            <v>-</v>
          </cell>
          <cell r="R457" t="str">
            <v>-</v>
          </cell>
          <cell r="T457" t="str">
            <v>-</v>
          </cell>
          <cell r="U457" t="str">
            <v>-</v>
          </cell>
          <cell r="W457" t="str">
            <v>-</v>
          </cell>
          <cell r="X457" t="str">
            <v>-</v>
          </cell>
        </row>
        <row r="458">
          <cell r="A458">
            <v>72220450</v>
          </cell>
          <cell r="B458">
            <v>1301</v>
          </cell>
          <cell r="C458" t="str">
            <v>황매퉁이</v>
          </cell>
          <cell r="D458" t="str">
            <v>B</v>
          </cell>
          <cell r="E458">
            <v>70409403</v>
          </cell>
          <cell r="H458" t="str">
            <v>-</v>
          </cell>
          <cell r="I458" t="str">
            <v>-</v>
          </cell>
          <cell r="K458" t="str">
            <v>-</v>
          </cell>
          <cell r="L458" t="str">
            <v>-</v>
          </cell>
          <cell r="N458" t="str">
            <v>-</v>
          </cell>
          <cell r="O458" t="str">
            <v>-</v>
          </cell>
          <cell r="Q458" t="str">
            <v>-</v>
          </cell>
          <cell r="R458" t="str">
            <v>-</v>
          </cell>
          <cell r="T458" t="str">
            <v>-</v>
          </cell>
          <cell r="U458" t="str">
            <v>-</v>
          </cell>
          <cell r="W458" t="str">
            <v>-</v>
          </cell>
          <cell r="X458" t="str">
            <v>-</v>
          </cell>
        </row>
        <row r="459">
          <cell r="A459">
            <v>72220451</v>
          </cell>
          <cell r="B459">
            <v>1301</v>
          </cell>
          <cell r="C459" t="str">
            <v>병치돔</v>
          </cell>
          <cell r="D459" t="str">
            <v>D</v>
          </cell>
          <cell r="E459">
            <v>70409205</v>
          </cell>
          <cell r="H459" t="str">
            <v>-</v>
          </cell>
          <cell r="I459" t="str">
            <v>-</v>
          </cell>
          <cell r="K459" t="str">
            <v>-</v>
          </cell>
          <cell r="L459" t="str">
            <v>-</v>
          </cell>
          <cell r="N459" t="str">
            <v>-</v>
          </cell>
          <cell r="O459" t="str">
            <v>-</v>
          </cell>
          <cell r="Q459" t="str">
            <v>-</v>
          </cell>
          <cell r="R459" t="str">
            <v>-</v>
          </cell>
          <cell r="T459" t="str">
            <v>-</v>
          </cell>
          <cell r="U459" t="str">
            <v>-</v>
          </cell>
          <cell r="W459" t="str">
            <v>-</v>
          </cell>
          <cell r="X459" t="str">
            <v>-</v>
          </cell>
        </row>
        <row r="460">
          <cell r="A460">
            <v>72220452</v>
          </cell>
          <cell r="B460">
            <v>1302</v>
          </cell>
          <cell r="C460" t="str">
            <v>동동갈치</v>
          </cell>
          <cell r="D460" t="str">
            <v>C</v>
          </cell>
          <cell r="E460">
            <v>70409120</v>
          </cell>
          <cell r="H460" t="str">
            <v>-</v>
          </cell>
          <cell r="I460" t="str">
            <v>-</v>
          </cell>
          <cell r="K460" t="str">
            <v>-</v>
          </cell>
          <cell r="L460" t="str">
            <v>-</v>
          </cell>
          <cell r="N460" t="str">
            <v>-</v>
          </cell>
          <cell r="O460" t="str">
            <v>-</v>
          </cell>
          <cell r="Q460" t="str">
            <v>-</v>
          </cell>
          <cell r="R460" t="str">
            <v>-</v>
          </cell>
          <cell r="T460" t="str">
            <v>-</v>
          </cell>
          <cell r="U460" t="str">
            <v>-</v>
          </cell>
          <cell r="W460" t="str">
            <v>-</v>
          </cell>
          <cell r="X460" t="str">
            <v>-</v>
          </cell>
        </row>
        <row r="461">
          <cell r="A461">
            <v>72220453</v>
          </cell>
          <cell r="B461">
            <v>1302</v>
          </cell>
          <cell r="C461" t="str">
            <v>황매퉁이</v>
          </cell>
          <cell r="D461" t="str">
            <v>B</v>
          </cell>
          <cell r="E461">
            <v>70409403</v>
          </cell>
          <cell r="H461" t="str">
            <v>-</v>
          </cell>
          <cell r="I461" t="str">
            <v>-</v>
          </cell>
          <cell r="K461" t="str">
            <v>-</v>
          </cell>
          <cell r="L461" t="str">
            <v>-</v>
          </cell>
          <cell r="N461" t="str">
            <v>-</v>
          </cell>
          <cell r="O461" t="str">
            <v>-</v>
          </cell>
          <cell r="Q461" t="str">
            <v>-</v>
          </cell>
          <cell r="R461" t="str">
            <v>-</v>
          </cell>
          <cell r="T461" t="str">
            <v>-</v>
          </cell>
          <cell r="U461" t="str">
            <v>-</v>
          </cell>
          <cell r="W461" t="str">
            <v>-</v>
          </cell>
          <cell r="X461" t="str">
            <v>-</v>
          </cell>
        </row>
        <row r="462">
          <cell r="A462">
            <v>72220454</v>
          </cell>
          <cell r="B462">
            <v>1302</v>
          </cell>
          <cell r="C462" t="str">
            <v>병치돔</v>
          </cell>
          <cell r="D462" t="str">
            <v>D</v>
          </cell>
          <cell r="E462">
            <v>70409205</v>
          </cell>
          <cell r="H462" t="str">
            <v>-</v>
          </cell>
          <cell r="I462" t="str">
            <v>-</v>
          </cell>
          <cell r="K462" t="str">
            <v>-</v>
          </cell>
          <cell r="L462" t="str">
            <v>-</v>
          </cell>
          <cell r="N462" t="str">
            <v>-</v>
          </cell>
          <cell r="O462" t="str">
            <v>-</v>
          </cell>
          <cell r="Q462" t="str">
            <v>-</v>
          </cell>
          <cell r="R462" t="str">
            <v>-</v>
          </cell>
          <cell r="T462" t="str">
            <v>-</v>
          </cell>
          <cell r="U462" t="str">
            <v>-</v>
          </cell>
          <cell r="W462" t="str">
            <v>-</v>
          </cell>
          <cell r="X462" t="str">
            <v>-</v>
          </cell>
        </row>
        <row r="463">
          <cell r="A463">
            <v>72220455</v>
          </cell>
          <cell r="B463">
            <v>1303</v>
          </cell>
          <cell r="C463" t="str">
            <v>동동갈치</v>
          </cell>
          <cell r="D463" t="str">
            <v>C</v>
          </cell>
          <cell r="E463">
            <v>70409120</v>
          </cell>
          <cell r="H463" t="str">
            <v>-</v>
          </cell>
          <cell r="I463" t="str">
            <v>-</v>
          </cell>
          <cell r="K463" t="str">
            <v>-</v>
          </cell>
          <cell r="L463" t="str">
            <v>-</v>
          </cell>
          <cell r="N463" t="str">
            <v>-</v>
          </cell>
          <cell r="O463" t="str">
            <v>-</v>
          </cell>
          <cell r="Q463" t="str">
            <v>-</v>
          </cell>
          <cell r="R463" t="str">
            <v>-</v>
          </cell>
          <cell r="T463" t="str">
            <v>-</v>
          </cell>
          <cell r="U463" t="str">
            <v>-</v>
          </cell>
          <cell r="W463" t="str">
            <v>-</v>
          </cell>
          <cell r="X463" t="str">
            <v>-</v>
          </cell>
        </row>
        <row r="464">
          <cell r="A464">
            <v>72220456</v>
          </cell>
          <cell r="B464">
            <v>1303</v>
          </cell>
          <cell r="C464" t="str">
            <v>황매퉁이</v>
          </cell>
          <cell r="D464" t="str">
            <v>B</v>
          </cell>
          <cell r="E464">
            <v>70409403</v>
          </cell>
          <cell r="H464" t="str">
            <v>-</v>
          </cell>
          <cell r="I464" t="str">
            <v>-</v>
          </cell>
          <cell r="K464" t="str">
            <v>-</v>
          </cell>
          <cell r="L464" t="str">
            <v>-</v>
          </cell>
          <cell r="N464" t="str">
            <v>-</v>
          </cell>
          <cell r="O464" t="str">
            <v>-</v>
          </cell>
          <cell r="Q464" t="str">
            <v>-</v>
          </cell>
          <cell r="R464" t="str">
            <v>-</v>
          </cell>
          <cell r="T464" t="str">
            <v>-</v>
          </cell>
          <cell r="U464" t="str">
            <v>-</v>
          </cell>
          <cell r="W464" t="str">
            <v>-</v>
          </cell>
          <cell r="X464" t="str">
            <v>-</v>
          </cell>
        </row>
        <row r="465">
          <cell r="A465">
            <v>72220457</v>
          </cell>
          <cell r="B465">
            <v>1303</v>
          </cell>
          <cell r="C465" t="str">
            <v>병치돔</v>
          </cell>
          <cell r="D465" t="str">
            <v>D</v>
          </cell>
          <cell r="E465">
            <v>70409205</v>
          </cell>
          <cell r="H465" t="str">
            <v>-</v>
          </cell>
          <cell r="I465" t="str">
            <v>-</v>
          </cell>
          <cell r="K465" t="str">
            <v>-</v>
          </cell>
          <cell r="L465" t="str">
            <v>-</v>
          </cell>
          <cell r="N465" t="str">
            <v>-</v>
          </cell>
          <cell r="O465" t="str">
            <v>-</v>
          </cell>
          <cell r="Q465" t="str">
            <v>-</v>
          </cell>
          <cell r="R465" t="str">
            <v>-</v>
          </cell>
          <cell r="T465" t="str">
            <v>-</v>
          </cell>
          <cell r="U465" t="str">
            <v>-</v>
          </cell>
          <cell r="W465" t="str">
            <v>-</v>
          </cell>
          <cell r="X465" t="str">
            <v>-</v>
          </cell>
        </row>
        <row r="466">
          <cell r="A466">
            <v>72220458</v>
          </cell>
          <cell r="B466">
            <v>1304</v>
          </cell>
          <cell r="C466" t="str">
            <v>동동갈치</v>
          </cell>
          <cell r="D466" t="str">
            <v>C</v>
          </cell>
          <cell r="E466">
            <v>70409120</v>
          </cell>
          <cell r="H466" t="str">
            <v>-</v>
          </cell>
          <cell r="I466" t="str">
            <v>-</v>
          </cell>
          <cell r="K466" t="str">
            <v>-</v>
          </cell>
          <cell r="L466" t="str">
            <v>-</v>
          </cell>
          <cell r="N466" t="str">
            <v>-</v>
          </cell>
          <cell r="O466" t="str">
            <v>-</v>
          </cell>
          <cell r="Q466" t="str">
            <v>-</v>
          </cell>
          <cell r="R466" t="str">
            <v>-</v>
          </cell>
          <cell r="T466" t="str">
            <v>-</v>
          </cell>
          <cell r="U466" t="str">
            <v>-</v>
          </cell>
          <cell r="W466" t="str">
            <v>-</v>
          </cell>
          <cell r="X466" t="str">
            <v>-</v>
          </cell>
        </row>
        <row r="467">
          <cell r="A467">
            <v>72220459</v>
          </cell>
          <cell r="B467">
            <v>1304</v>
          </cell>
          <cell r="C467" t="str">
            <v>황매퉁이</v>
          </cell>
          <cell r="D467" t="str">
            <v>B</v>
          </cell>
          <cell r="E467">
            <v>70409403</v>
          </cell>
          <cell r="H467" t="str">
            <v>-</v>
          </cell>
          <cell r="I467" t="str">
            <v>-</v>
          </cell>
          <cell r="K467" t="str">
            <v>-</v>
          </cell>
          <cell r="L467" t="str">
            <v>-</v>
          </cell>
          <cell r="N467" t="str">
            <v>-</v>
          </cell>
          <cell r="O467" t="str">
            <v>-</v>
          </cell>
          <cell r="Q467" t="str">
            <v>-</v>
          </cell>
          <cell r="R467" t="str">
            <v>-</v>
          </cell>
          <cell r="T467" t="str">
            <v>-</v>
          </cell>
          <cell r="U467" t="str">
            <v>-</v>
          </cell>
          <cell r="W467" t="str">
            <v>-</v>
          </cell>
          <cell r="X467" t="str">
            <v>-</v>
          </cell>
        </row>
        <row r="468">
          <cell r="A468">
            <v>72220460</v>
          </cell>
          <cell r="B468">
            <v>1304</v>
          </cell>
          <cell r="C468" t="str">
            <v>병치돔</v>
          </cell>
          <cell r="D468" t="str">
            <v>D</v>
          </cell>
          <cell r="E468">
            <v>70409205</v>
          </cell>
          <cell r="H468" t="str">
            <v>-</v>
          </cell>
          <cell r="I468" t="str">
            <v>-</v>
          </cell>
          <cell r="K468" t="str">
            <v>-</v>
          </cell>
          <cell r="L468" t="str">
            <v>-</v>
          </cell>
          <cell r="N468" t="str">
            <v>-</v>
          </cell>
          <cell r="O468" t="str">
            <v>-</v>
          </cell>
          <cell r="Q468" t="str">
            <v>-</v>
          </cell>
          <cell r="R468" t="str">
            <v>-</v>
          </cell>
          <cell r="T468" t="str">
            <v>-</v>
          </cell>
          <cell r="U468" t="str">
            <v>-</v>
          </cell>
          <cell r="W468" t="str">
            <v>-</v>
          </cell>
          <cell r="X468" t="str">
            <v>-</v>
          </cell>
        </row>
        <row r="469">
          <cell r="A469">
            <v>72220461</v>
          </cell>
          <cell r="B469">
            <v>1311</v>
          </cell>
          <cell r="C469" t="str">
            <v>황매퉁이</v>
          </cell>
          <cell r="D469" t="str">
            <v>B</v>
          </cell>
          <cell r="E469">
            <v>70409403</v>
          </cell>
          <cell r="H469" t="str">
            <v>-</v>
          </cell>
          <cell r="I469" t="str">
            <v>-</v>
          </cell>
          <cell r="K469" t="str">
            <v>-</v>
          </cell>
          <cell r="L469" t="str">
            <v>-</v>
          </cell>
          <cell r="N469" t="str">
            <v>-</v>
          </cell>
          <cell r="O469" t="str">
            <v>-</v>
          </cell>
          <cell r="Q469" t="str">
            <v>-</v>
          </cell>
          <cell r="R469" t="str">
            <v>-</v>
          </cell>
          <cell r="T469" t="str">
            <v>-</v>
          </cell>
          <cell r="U469" t="str">
            <v>-</v>
          </cell>
          <cell r="W469" t="str">
            <v>-</v>
          </cell>
          <cell r="X469" t="str">
            <v>-</v>
          </cell>
        </row>
        <row r="470">
          <cell r="A470">
            <v>72220462</v>
          </cell>
          <cell r="B470">
            <v>1311</v>
          </cell>
          <cell r="C470" t="str">
            <v>투구게</v>
          </cell>
          <cell r="D470" t="str">
            <v>B</v>
          </cell>
          <cell r="E470">
            <v>70409372</v>
          </cell>
          <cell r="H470" t="str">
            <v>-</v>
          </cell>
          <cell r="I470" t="str">
            <v>-</v>
          </cell>
          <cell r="K470" t="str">
            <v>-</v>
          </cell>
          <cell r="L470" t="str">
            <v>-</v>
          </cell>
          <cell r="N470" t="str">
            <v>-</v>
          </cell>
          <cell r="O470" t="str">
            <v>-</v>
          </cell>
          <cell r="Q470" t="str">
            <v>-</v>
          </cell>
          <cell r="R470" t="str">
            <v>-</v>
          </cell>
          <cell r="T470" t="str">
            <v>-</v>
          </cell>
          <cell r="U470" t="str">
            <v>-</v>
          </cell>
          <cell r="W470" t="str">
            <v>-</v>
          </cell>
          <cell r="X470" t="str">
            <v>-</v>
          </cell>
        </row>
        <row r="471">
          <cell r="A471">
            <v>72220463</v>
          </cell>
          <cell r="B471">
            <v>1311</v>
          </cell>
          <cell r="C471" t="str">
            <v>만새기</v>
          </cell>
          <cell r="D471" t="str">
            <v>C</v>
          </cell>
          <cell r="E471">
            <v>70409135</v>
          </cell>
          <cell r="H471" t="str">
            <v>-</v>
          </cell>
          <cell r="I471" t="str">
            <v>-</v>
          </cell>
          <cell r="K471" t="str">
            <v>-</v>
          </cell>
          <cell r="L471" t="str">
            <v>-</v>
          </cell>
          <cell r="N471" t="str">
            <v>-</v>
          </cell>
          <cell r="O471" t="str">
            <v>-</v>
          </cell>
          <cell r="Q471" t="str">
            <v>-</v>
          </cell>
          <cell r="R471" t="str">
            <v>-</v>
          </cell>
          <cell r="T471" t="str">
            <v>-</v>
          </cell>
          <cell r="U471" t="str">
            <v>-</v>
          </cell>
          <cell r="W471" t="str">
            <v>-</v>
          </cell>
          <cell r="X471" t="str">
            <v>-</v>
          </cell>
        </row>
        <row r="472">
          <cell r="A472">
            <v>72220464</v>
          </cell>
          <cell r="B472">
            <v>1312</v>
          </cell>
          <cell r="C472" t="str">
            <v>황매퉁이</v>
          </cell>
          <cell r="D472" t="str">
            <v>B</v>
          </cell>
          <cell r="E472">
            <v>70409403</v>
          </cell>
          <cell r="H472" t="str">
            <v>-</v>
          </cell>
          <cell r="I472" t="str">
            <v>-</v>
          </cell>
          <cell r="K472" t="str">
            <v>-</v>
          </cell>
          <cell r="L472" t="str">
            <v>-</v>
          </cell>
          <cell r="N472" t="str">
            <v>-</v>
          </cell>
          <cell r="O472" t="str">
            <v>-</v>
          </cell>
          <cell r="Q472" t="str">
            <v>-</v>
          </cell>
          <cell r="R472" t="str">
            <v>-</v>
          </cell>
          <cell r="T472" t="str">
            <v>-</v>
          </cell>
          <cell r="U472" t="str">
            <v>-</v>
          </cell>
          <cell r="W472" t="str">
            <v>-</v>
          </cell>
          <cell r="X472" t="str">
            <v>-</v>
          </cell>
        </row>
        <row r="473">
          <cell r="A473">
            <v>72220465</v>
          </cell>
          <cell r="B473">
            <v>1312</v>
          </cell>
          <cell r="C473" t="str">
            <v>투구게</v>
          </cell>
          <cell r="D473" t="str">
            <v>B</v>
          </cell>
          <cell r="E473">
            <v>70409372</v>
          </cell>
          <cell r="H473" t="str">
            <v>-</v>
          </cell>
          <cell r="I473" t="str">
            <v>-</v>
          </cell>
          <cell r="K473" t="str">
            <v>-</v>
          </cell>
          <cell r="L473" t="str">
            <v>-</v>
          </cell>
          <cell r="N473" t="str">
            <v>-</v>
          </cell>
          <cell r="O473" t="str">
            <v>-</v>
          </cell>
          <cell r="Q473" t="str">
            <v>-</v>
          </cell>
          <cell r="R473" t="str">
            <v>-</v>
          </cell>
          <cell r="T473" t="str">
            <v>-</v>
          </cell>
          <cell r="U473" t="str">
            <v>-</v>
          </cell>
          <cell r="W473" t="str">
            <v>-</v>
          </cell>
          <cell r="X473" t="str">
            <v>-</v>
          </cell>
        </row>
        <row r="474">
          <cell r="A474">
            <v>72220466</v>
          </cell>
          <cell r="B474">
            <v>1312</v>
          </cell>
          <cell r="C474" t="str">
            <v>만새기</v>
          </cell>
          <cell r="D474" t="str">
            <v>C</v>
          </cell>
          <cell r="E474">
            <v>70409135</v>
          </cell>
          <cell r="H474" t="str">
            <v>-</v>
          </cell>
          <cell r="I474" t="str">
            <v>-</v>
          </cell>
          <cell r="K474" t="str">
            <v>-</v>
          </cell>
          <cell r="L474" t="str">
            <v>-</v>
          </cell>
          <cell r="N474" t="str">
            <v>-</v>
          </cell>
          <cell r="O474" t="str">
            <v>-</v>
          </cell>
          <cell r="Q474" t="str">
            <v>-</v>
          </cell>
          <cell r="R474" t="str">
            <v>-</v>
          </cell>
          <cell r="T474" t="str">
            <v>-</v>
          </cell>
          <cell r="U474" t="str">
            <v>-</v>
          </cell>
          <cell r="W474" t="str">
            <v>-</v>
          </cell>
          <cell r="X474" t="str">
            <v>-</v>
          </cell>
        </row>
        <row r="475">
          <cell r="A475">
            <v>72220467</v>
          </cell>
          <cell r="B475">
            <v>1313</v>
          </cell>
          <cell r="C475" t="str">
            <v>황매퉁이</v>
          </cell>
          <cell r="D475" t="str">
            <v>B</v>
          </cell>
          <cell r="E475">
            <v>70409403</v>
          </cell>
          <cell r="H475" t="str">
            <v>-</v>
          </cell>
          <cell r="I475" t="str">
            <v>-</v>
          </cell>
          <cell r="K475" t="str">
            <v>-</v>
          </cell>
          <cell r="L475" t="str">
            <v>-</v>
          </cell>
          <cell r="N475" t="str">
            <v>-</v>
          </cell>
          <cell r="O475" t="str">
            <v>-</v>
          </cell>
          <cell r="Q475" t="str">
            <v>-</v>
          </cell>
          <cell r="R475" t="str">
            <v>-</v>
          </cell>
          <cell r="T475" t="str">
            <v>-</v>
          </cell>
          <cell r="U475" t="str">
            <v>-</v>
          </cell>
          <cell r="W475" t="str">
            <v>-</v>
          </cell>
          <cell r="X475" t="str">
            <v>-</v>
          </cell>
        </row>
        <row r="476">
          <cell r="A476">
            <v>72220468</v>
          </cell>
          <cell r="B476">
            <v>1313</v>
          </cell>
          <cell r="C476" t="str">
            <v>투구게</v>
          </cell>
          <cell r="D476" t="str">
            <v>B</v>
          </cell>
          <cell r="E476">
            <v>70409372</v>
          </cell>
          <cell r="H476" t="str">
            <v>-</v>
          </cell>
          <cell r="I476" t="str">
            <v>-</v>
          </cell>
          <cell r="K476" t="str">
            <v>-</v>
          </cell>
          <cell r="L476" t="str">
            <v>-</v>
          </cell>
          <cell r="N476" t="str">
            <v>-</v>
          </cell>
          <cell r="O476" t="str">
            <v>-</v>
          </cell>
          <cell r="Q476" t="str">
            <v>-</v>
          </cell>
          <cell r="R476" t="str">
            <v>-</v>
          </cell>
          <cell r="T476" t="str">
            <v>-</v>
          </cell>
          <cell r="U476" t="str">
            <v>-</v>
          </cell>
          <cell r="W476" t="str">
            <v>-</v>
          </cell>
          <cell r="X476" t="str">
            <v>-</v>
          </cell>
        </row>
        <row r="477">
          <cell r="A477">
            <v>72220469</v>
          </cell>
          <cell r="B477">
            <v>1313</v>
          </cell>
          <cell r="C477" t="str">
            <v>만새기</v>
          </cell>
          <cell r="D477" t="str">
            <v>C</v>
          </cell>
          <cell r="E477">
            <v>70409135</v>
          </cell>
          <cell r="H477" t="str">
            <v>-</v>
          </cell>
          <cell r="I477" t="str">
            <v>-</v>
          </cell>
          <cell r="K477" t="str">
            <v>-</v>
          </cell>
          <cell r="L477" t="str">
            <v>-</v>
          </cell>
          <cell r="N477" t="str">
            <v>-</v>
          </cell>
          <cell r="O477" t="str">
            <v>-</v>
          </cell>
          <cell r="Q477" t="str">
            <v>-</v>
          </cell>
          <cell r="R477" t="str">
            <v>-</v>
          </cell>
          <cell r="T477" t="str">
            <v>-</v>
          </cell>
          <cell r="U477" t="str">
            <v>-</v>
          </cell>
          <cell r="W477" t="str">
            <v>-</v>
          </cell>
          <cell r="X477" t="str">
            <v>-</v>
          </cell>
        </row>
        <row r="478">
          <cell r="A478">
            <v>72220470</v>
          </cell>
          <cell r="B478">
            <v>1314</v>
          </cell>
          <cell r="C478" t="str">
            <v>황매퉁이</v>
          </cell>
          <cell r="D478" t="str">
            <v>B</v>
          </cell>
          <cell r="E478">
            <v>70409403</v>
          </cell>
          <cell r="H478" t="str">
            <v>-</v>
          </cell>
          <cell r="I478" t="str">
            <v>-</v>
          </cell>
          <cell r="K478" t="str">
            <v>-</v>
          </cell>
          <cell r="L478" t="str">
            <v>-</v>
          </cell>
          <cell r="N478" t="str">
            <v>-</v>
          </cell>
          <cell r="O478" t="str">
            <v>-</v>
          </cell>
          <cell r="Q478" t="str">
            <v>-</v>
          </cell>
          <cell r="R478" t="str">
            <v>-</v>
          </cell>
          <cell r="T478" t="str">
            <v>-</v>
          </cell>
          <cell r="U478" t="str">
            <v>-</v>
          </cell>
          <cell r="W478" t="str">
            <v>-</v>
          </cell>
          <cell r="X478" t="str">
            <v>-</v>
          </cell>
        </row>
        <row r="479">
          <cell r="A479">
            <v>72220471</v>
          </cell>
          <cell r="B479">
            <v>1314</v>
          </cell>
          <cell r="C479" t="str">
            <v>투구게</v>
          </cell>
          <cell r="D479" t="str">
            <v>B</v>
          </cell>
          <cell r="E479">
            <v>70409372</v>
          </cell>
          <cell r="H479" t="str">
            <v>-</v>
          </cell>
          <cell r="I479" t="str">
            <v>-</v>
          </cell>
          <cell r="K479" t="str">
            <v>-</v>
          </cell>
          <cell r="L479" t="str">
            <v>-</v>
          </cell>
          <cell r="N479" t="str">
            <v>-</v>
          </cell>
          <cell r="O479" t="str">
            <v>-</v>
          </cell>
          <cell r="Q479" t="str">
            <v>-</v>
          </cell>
          <cell r="R479" t="str">
            <v>-</v>
          </cell>
          <cell r="T479" t="str">
            <v>-</v>
          </cell>
          <cell r="U479" t="str">
            <v>-</v>
          </cell>
          <cell r="W479" t="str">
            <v>-</v>
          </cell>
          <cell r="X479" t="str">
            <v>-</v>
          </cell>
        </row>
        <row r="480">
          <cell r="A480">
            <v>72220472</v>
          </cell>
          <cell r="B480">
            <v>1314</v>
          </cell>
          <cell r="C480" t="str">
            <v>만새기</v>
          </cell>
          <cell r="D480" t="str">
            <v>C</v>
          </cell>
          <cell r="E480">
            <v>70409135</v>
          </cell>
          <cell r="H480" t="str">
            <v>-</v>
          </cell>
          <cell r="I480" t="str">
            <v>-</v>
          </cell>
          <cell r="K480" t="str">
            <v>-</v>
          </cell>
          <cell r="L480" t="str">
            <v>-</v>
          </cell>
          <cell r="N480" t="str">
            <v>-</v>
          </cell>
          <cell r="O480" t="str">
            <v>-</v>
          </cell>
          <cell r="Q480" t="str">
            <v>-</v>
          </cell>
          <cell r="R480" t="str">
            <v>-</v>
          </cell>
          <cell r="T480" t="str">
            <v>-</v>
          </cell>
          <cell r="U480" t="str">
            <v>-</v>
          </cell>
          <cell r="W480" t="str">
            <v>-</v>
          </cell>
          <cell r="X480" t="str">
            <v>-</v>
          </cell>
        </row>
        <row r="481">
          <cell r="A481">
            <v>72220473</v>
          </cell>
          <cell r="B481">
            <v>1314</v>
          </cell>
          <cell r="C481" t="str">
            <v>넓은주둥이상어</v>
          </cell>
          <cell r="D481" t="str">
            <v>B</v>
          </cell>
          <cell r="E481">
            <v>70409071</v>
          </cell>
          <cell r="H481" t="str">
            <v>-</v>
          </cell>
          <cell r="I481" t="str">
            <v>-</v>
          </cell>
          <cell r="K481" t="str">
            <v>-</v>
          </cell>
          <cell r="L481" t="str">
            <v>-</v>
          </cell>
          <cell r="N481" t="str">
            <v>-</v>
          </cell>
          <cell r="O481" t="str">
            <v>-</v>
          </cell>
          <cell r="Q481" t="str">
            <v>-</v>
          </cell>
          <cell r="R481" t="str">
            <v>-</v>
          </cell>
          <cell r="T481" t="str">
            <v>-</v>
          </cell>
          <cell r="U481" t="str">
            <v>-</v>
          </cell>
          <cell r="W481" t="str">
            <v>-</v>
          </cell>
          <cell r="X481" t="str">
            <v>-</v>
          </cell>
        </row>
        <row r="482">
          <cell r="A482">
            <v>72220474</v>
          </cell>
          <cell r="B482">
            <v>1321</v>
          </cell>
          <cell r="C482" t="str">
            <v>투구게</v>
          </cell>
          <cell r="D482" t="str">
            <v>B</v>
          </cell>
          <cell r="E482">
            <v>70409372</v>
          </cell>
          <cell r="H482" t="str">
            <v>-</v>
          </cell>
          <cell r="I482" t="str">
            <v>-</v>
          </cell>
          <cell r="K482" t="str">
            <v>-</v>
          </cell>
          <cell r="L482" t="str">
            <v>-</v>
          </cell>
          <cell r="N482" t="str">
            <v>-</v>
          </cell>
          <cell r="O482" t="str">
            <v>-</v>
          </cell>
          <cell r="Q482" t="str">
            <v>-</v>
          </cell>
          <cell r="R482" t="str">
            <v>-</v>
          </cell>
          <cell r="T482" t="str">
            <v>-</v>
          </cell>
          <cell r="U482" t="str">
            <v>-</v>
          </cell>
          <cell r="W482" t="str">
            <v>-</v>
          </cell>
          <cell r="X482" t="str">
            <v>-</v>
          </cell>
        </row>
        <row r="483">
          <cell r="A483">
            <v>72220475</v>
          </cell>
          <cell r="B483">
            <v>1321</v>
          </cell>
          <cell r="C483" t="str">
            <v>열빙어</v>
          </cell>
          <cell r="D483" t="str">
            <v>D</v>
          </cell>
          <cell r="E483">
            <v>70409292</v>
          </cell>
          <cell r="H483" t="str">
            <v>-</v>
          </cell>
          <cell r="I483" t="str">
            <v>-</v>
          </cell>
          <cell r="K483" t="str">
            <v>-</v>
          </cell>
          <cell r="L483" t="str">
            <v>-</v>
          </cell>
          <cell r="N483" t="str">
            <v>-</v>
          </cell>
          <cell r="O483" t="str">
            <v>-</v>
          </cell>
          <cell r="Q483" t="str">
            <v>-</v>
          </cell>
          <cell r="R483" t="str">
            <v>-</v>
          </cell>
          <cell r="T483" t="str">
            <v>-</v>
          </cell>
          <cell r="U483" t="str">
            <v>-</v>
          </cell>
          <cell r="W483" t="str">
            <v>-</v>
          </cell>
          <cell r="X483" t="str">
            <v>-</v>
          </cell>
        </row>
        <row r="484">
          <cell r="A484">
            <v>72220476</v>
          </cell>
          <cell r="B484">
            <v>1321</v>
          </cell>
          <cell r="C484" t="str">
            <v>만새기</v>
          </cell>
          <cell r="D484" t="str">
            <v>C</v>
          </cell>
          <cell r="E484">
            <v>70409135</v>
          </cell>
          <cell r="H484" t="str">
            <v>-</v>
          </cell>
          <cell r="I484" t="str">
            <v>-</v>
          </cell>
          <cell r="K484" t="str">
            <v>-</v>
          </cell>
          <cell r="L484" t="str">
            <v>-</v>
          </cell>
          <cell r="N484" t="str">
            <v>-</v>
          </cell>
          <cell r="O484" t="str">
            <v>-</v>
          </cell>
          <cell r="Q484" t="str">
            <v>-</v>
          </cell>
          <cell r="R484" t="str">
            <v>-</v>
          </cell>
          <cell r="T484" t="str">
            <v>-</v>
          </cell>
          <cell r="U484" t="str">
            <v>-</v>
          </cell>
          <cell r="W484" t="str">
            <v>-</v>
          </cell>
          <cell r="X484" t="str">
            <v>-</v>
          </cell>
        </row>
        <row r="485">
          <cell r="A485">
            <v>72220477</v>
          </cell>
          <cell r="B485">
            <v>1322</v>
          </cell>
          <cell r="C485" t="str">
            <v>투구게</v>
          </cell>
          <cell r="D485" t="str">
            <v>B</v>
          </cell>
          <cell r="E485">
            <v>70409372</v>
          </cell>
          <cell r="H485" t="str">
            <v>-</v>
          </cell>
          <cell r="I485" t="str">
            <v>-</v>
          </cell>
          <cell r="K485" t="str">
            <v>-</v>
          </cell>
          <cell r="L485" t="str">
            <v>-</v>
          </cell>
          <cell r="N485" t="str">
            <v>-</v>
          </cell>
          <cell r="O485" t="str">
            <v>-</v>
          </cell>
          <cell r="Q485" t="str">
            <v>-</v>
          </cell>
          <cell r="R485" t="str">
            <v>-</v>
          </cell>
          <cell r="T485" t="str">
            <v>-</v>
          </cell>
          <cell r="U485" t="str">
            <v>-</v>
          </cell>
          <cell r="W485" t="str">
            <v>-</v>
          </cell>
          <cell r="X485" t="str">
            <v>-</v>
          </cell>
        </row>
        <row r="486">
          <cell r="A486">
            <v>72220478</v>
          </cell>
          <cell r="B486">
            <v>1322</v>
          </cell>
          <cell r="C486" t="str">
            <v>열빙어</v>
          </cell>
          <cell r="D486" t="str">
            <v>D</v>
          </cell>
          <cell r="E486">
            <v>70409292</v>
          </cell>
          <cell r="H486" t="str">
            <v>-</v>
          </cell>
          <cell r="I486" t="str">
            <v>-</v>
          </cell>
          <cell r="K486" t="str">
            <v>-</v>
          </cell>
          <cell r="L486" t="str">
            <v>-</v>
          </cell>
          <cell r="N486" t="str">
            <v>-</v>
          </cell>
          <cell r="O486" t="str">
            <v>-</v>
          </cell>
          <cell r="Q486" t="str">
            <v>-</v>
          </cell>
          <cell r="R486" t="str">
            <v>-</v>
          </cell>
          <cell r="T486" t="str">
            <v>-</v>
          </cell>
          <cell r="U486" t="str">
            <v>-</v>
          </cell>
          <cell r="W486" t="str">
            <v>-</v>
          </cell>
          <cell r="X486" t="str">
            <v>-</v>
          </cell>
        </row>
        <row r="487">
          <cell r="A487">
            <v>72220479</v>
          </cell>
          <cell r="B487">
            <v>1322</v>
          </cell>
          <cell r="C487" t="str">
            <v>만새기</v>
          </cell>
          <cell r="D487" t="str">
            <v>C</v>
          </cell>
          <cell r="E487">
            <v>70409135</v>
          </cell>
          <cell r="H487" t="str">
            <v>-</v>
          </cell>
          <cell r="I487" t="str">
            <v>-</v>
          </cell>
          <cell r="K487" t="str">
            <v>-</v>
          </cell>
          <cell r="L487" t="str">
            <v>-</v>
          </cell>
          <cell r="N487" t="str">
            <v>-</v>
          </cell>
          <cell r="O487" t="str">
            <v>-</v>
          </cell>
          <cell r="Q487" t="str">
            <v>-</v>
          </cell>
          <cell r="R487" t="str">
            <v>-</v>
          </cell>
          <cell r="T487" t="str">
            <v>-</v>
          </cell>
          <cell r="U487" t="str">
            <v>-</v>
          </cell>
          <cell r="W487" t="str">
            <v>-</v>
          </cell>
          <cell r="X487" t="str">
            <v>-</v>
          </cell>
        </row>
        <row r="488">
          <cell r="A488">
            <v>72220480</v>
          </cell>
          <cell r="B488">
            <v>1323</v>
          </cell>
          <cell r="C488" t="str">
            <v>투구게</v>
          </cell>
          <cell r="D488" t="str">
            <v>B</v>
          </cell>
          <cell r="E488">
            <v>70409372</v>
          </cell>
          <cell r="H488" t="str">
            <v>-</v>
          </cell>
          <cell r="I488" t="str">
            <v>-</v>
          </cell>
          <cell r="K488" t="str">
            <v>-</v>
          </cell>
          <cell r="L488" t="str">
            <v>-</v>
          </cell>
          <cell r="N488" t="str">
            <v>-</v>
          </cell>
          <cell r="O488" t="str">
            <v>-</v>
          </cell>
          <cell r="Q488" t="str">
            <v>-</v>
          </cell>
          <cell r="R488" t="str">
            <v>-</v>
          </cell>
          <cell r="T488" t="str">
            <v>-</v>
          </cell>
          <cell r="U488" t="str">
            <v>-</v>
          </cell>
          <cell r="W488" t="str">
            <v>-</v>
          </cell>
          <cell r="X488" t="str">
            <v>-</v>
          </cell>
        </row>
        <row r="489">
          <cell r="A489">
            <v>72220481</v>
          </cell>
          <cell r="B489">
            <v>1323</v>
          </cell>
          <cell r="C489" t="str">
            <v>열빙어</v>
          </cell>
          <cell r="D489" t="str">
            <v>D</v>
          </cell>
          <cell r="E489">
            <v>70409292</v>
          </cell>
          <cell r="H489" t="str">
            <v>-</v>
          </cell>
          <cell r="I489" t="str">
            <v>-</v>
          </cell>
          <cell r="K489" t="str">
            <v>-</v>
          </cell>
          <cell r="L489" t="str">
            <v>-</v>
          </cell>
          <cell r="N489" t="str">
            <v>-</v>
          </cell>
          <cell r="O489" t="str">
            <v>-</v>
          </cell>
          <cell r="Q489" t="str">
            <v>-</v>
          </cell>
          <cell r="R489" t="str">
            <v>-</v>
          </cell>
          <cell r="T489" t="str">
            <v>-</v>
          </cell>
          <cell r="U489" t="str">
            <v>-</v>
          </cell>
          <cell r="W489" t="str">
            <v>-</v>
          </cell>
          <cell r="X489" t="str">
            <v>-</v>
          </cell>
        </row>
        <row r="490">
          <cell r="A490">
            <v>72220482</v>
          </cell>
          <cell r="B490">
            <v>1323</v>
          </cell>
          <cell r="C490" t="str">
            <v>만새기</v>
          </cell>
          <cell r="D490" t="str">
            <v>C</v>
          </cell>
          <cell r="E490">
            <v>70409135</v>
          </cell>
          <cell r="H490" t="str">
            <v>-</v>
          </cell>
          <cell r="I490" t="str">
            <v>-</v>
          </cell>
          <cell r="K490" t="str">
            <v>-</v>
          </cell>
          <cell r="L490" t="str">
            <v>-</v>
          </cell>
          <cell r="N490" t="str">
            <v>-</v>
          </cell>
          <cell r="O490" t="str">
            <v>-</v>
          </cell>
          <cell r="Q490" t="str">
            <v>-</v>
          </cell>
          <cell r="R490" t="str">
            <v>-</v>
          </cell>
          <cell r="T490" t="str">
            <v>-</v>
          </cell>
          <cell r="U490" t="str">
            <v>-</v>
          </cell>
          <cell r="W490" t="str">
            <v>-</v>
          </cell>
          <cell r="X490" t="str">
            <v>-</v>
          </cell>
        </row>
        <row r="491">
          <cell r="A491">
            <v>72220483</v>
          </cell>
          <cell r="B491">
            <v>1324</v>
          </cell>
          <cell r="C491" t="str">
            <v>투구게</v>
          </cell>
          <cell r="D491" t="str">
            <v>B</v>
          </cell>
          <cell r="E491">
            <v>70409372</v>
          </cell>
          <cell r="H491" t="str">
            <v>-</v>
          </cell>
          <cell r="I491" t="str">
            <v>-</v>
          </cell>
          <cell r="K491" t="str">
            <v>-</v>
          </cell>
          <cell r="L491" t="str">
            <v>-</v>
          </cell>
          <cell r="N491" t="str">
            <v>-</v>
          </cell>
          <cell r="O491" t="str">
            <v>-</v>
          </cell>
          <cell r="Q491" t="str">
            <v>-</v>
          </cell>
          <cell r="R491" t="str">
            <v>-</v>
          </cell>
          <cell r="T491" t="str">
            <v>-</v>
          </cell>
          <cell r="U491" t="str">
            <v>-</v>
          </cell>
          <cell r="W491" t="str">
            <v>-</v>
          </cell>
          <cell r="X491" t="str">
            <v>-</v>
          </cell>
        </row>
        <row r="492">
          <cell r="A492">
            <v>72220484</v>
          </cell>
          <cell r="B492">
            <v>1324</v>
          </cell>
          <cell r="C492" t="str">
            <v>열빙어</v>
          </cell>
          <cell r="D492" t="str">
            <v>D</v>
          </cell>
          <cell r="E492">
            <v>70409292</v>
          </cell>
          <cell r="H492" t="str">
            <v>-</v>
          </cell>
          <cell r="I492" t="str">
            <v>-</v>
          </cell>
          <cell r="K492" t="str">
            <v>-</v>
          </cell>
          <cell r="L492" t="str">
            <v>-</v>
          </cell>
          <cell r="N492" t="str">
            <v>-</v>
          </cell>
          <cell r="O492" t="str">
            <v>-</v>
          </cell>
          <cell r="Q492" t="str">
            <v>-</v>
          </cell>
          <cell r="R492" t="str">
            <v>-</v>
          </cell>
          <cell r="T492" t="str">
            <v>-</v>
          </cell>
          <cell r="U492" t="str">
            <v>-</v>
          </cell>
          <cell r="W492" t="str">
            <v>-</v>
          </cell>
          <cell r="X492" t="str">
            <v>-</v>
          </cell>
        </row>
        <row r="493">
          <cell r="A493">
            <v>72220485</v>
          </cell>
          <cell r="B493">
            <v>1324</v>
          </cell>
          <cell r="C493" t="str">
            <v>만새기</v>
          </cell>
          <cell r="D493" t="str">
            <v>C</v>
          </cell>
          <cell r="E493">
            <v>70409135</v>
          </cell>
          <cell r="H493" t="str">
            <v>-</v>
          </cell>
          <cell r="I493" t="str">
            <v>-</v>
          </cell>
          <cell r="K493" t="str">
            <v>-</v>
          </cell>
          <cell r="L493" t="str">
            <v>-</v>
          </cell>
          <cell r="N493" t="str">
            <v>-</v>
          </cell>
          <cell r="O493" t="str">
            <v>-</v>
          </cell>
          <cell r="Q493" t="str">
            <v>-</v>
          </cell>
          <cell r="R493" t="str">
            <v>-</v>
          </cell>
          <cell r="T493" t="str">
            <v>-</v>
          </cell>
          <cell r="U493" t="str">
            <v>-</v>
          </cell>
          <cell r="W493" t="str">
            <v>-</v>
          </cell>
          <cell r="X493" t="str">
            <v>-</v>
          </cell>
        </row>
        <row r="494">
          <cell r="A494">
            <v>72220486</v>
          </cell>
          <cell r="B494">
            <v>1331</v>
          </cell>
          <cell r="C494" t="str">
            <v>투구게</v>
          </cell>
          <cell r="D494" t="str">
            <v>B</v>
          </cell>
          <cell r="E494">
            <v>70409372</v>
          </cell>
          <cell r="H494" t="str">
            <v>-</v>
          </cell>
          <cell r="I494" t="str">
            <v>-</v>
          </cell>
          <cell r="K494" t="str">
            <v>-</v>
          </cell>
          <cell r="L494" t="str">
            <v>-</v>
          </cell>
          <cell r="N494" t="str">
            <v>-</v>
          </cell>
          <cell r="O494" t="str">
            <v>-</v>
          </cell>
          <cell r="Q494" t="str">
            <v>-</v>
          </cell>
          <cell r="R494" t="str">
            <v>-</v>
          </cell>
          <cell r="T494" t="str">
            <v>-</v>
          </cell>
          <cell r="U494" t="str">
            <v>-</v>
          </cell>
          <cell r="W494" t="str">
            <v>-</v>
          </cell>
          <cell r="X494" t="str">
            <v>-</v>
          </cell>
        </row>
        <row r="495">
          <cell r="A495">
            <v>72220487</v>
          </cell>
          <cell r="B495">
            <v>1331</v>
          </cell>
          <cell r="C495" t="str">
            <v>열빙어</v>
          </cell>
          <cell r="D495" t="str">
            <v>D</v>
          </cell>
          <cell r="E495">
            <v>70409292</v>
          </cell>
          <cell r="H495" t="str">
            <v>-</v>
          </cell>
          <cell r="I495" t="str">
            <v>-</v>
          </cell>
          <cell r="K495" t="str">
            <v>-</v>
          </cell>
          <cell r="L495" t="str">
            <v>-</v>
          </cell>
          <cell r="N495" t="str">
            <v>-</v>
          </cell>
          <cell r="O495" t="str">
            <v>-</v>
          </cell>
          <cell r="Q495" t="str">
            <v>-</v>
          </cell>
          <cell r="R495" t="str">
            <v>-</v>
          </cell>
          <cell r="T495" t="str">
            <v>-</v>
          </cell>
          <cell r="U495" t="str">
            <v>-</v>
          </cell>
          <cell r="W495" t="str">
            <v>-</v>
          </cell>
          <cell r="X495" t="str">
            <v>-</v>
          </cell>
        </row>
        <row r="496">
          <cell r="A496">
            <v>72220488</v>
          </cell>
          <cell r="B496">
            <v>1331</v>
          </cell>
          <cell r="C496" t="str">
            <v>만새기</v>
          </cell>
          <cell r="D496" t="str">
            <v>C</v>
          </cell>
          <cell r="E496">
            <v>70409135</v>
          </cell>
          <cell r="H496" t="str">
            <v>-</v>
          </cell>
          <cell r="I496" t="str">
            <v>-</v>
          </cell>
          <cell r="K496" t="str">
            <v>-</v>
          </cell>
          <cell r="L496" t="str">
            <v>-</v>
          </cell>
          <cell r="N496" t="str">
            <v>-</v>
          </cell>
          <cell r="O496" t="str">
            <v>-</v>
          </cell>
          <cell r="Q496" t="str">
            <v>-</v>
          </cell>
          <cell r="R496" t="str">
            <v>-</v>
          </cell>
          <cell r="T496" t="str">
            <v>-</v>
          </cell>
          <cell r="U496" t="str">
            <v>-</v>
          </cell>
          <cell r="W496" t="str">
            <v>-</v>
          </cell>
          <cell r="X496" t="str">
            <v>-</v>
          </cell>
        </row>
        <row r="497">
          <cell r="A497">
            <v>72220489</v>
          </cell>
          <cell r="B497">
            <v>1332</v>
          </cell>
          <cell r="C497" t="str">
            <v>투구게</v>
          </cell>
          <cell r="D497" t="str">
            <v>B</v>
          </cell>
          <cell r="E497">
            <v>70409372</v>
          </cell>
          <cell r="H497" t="str">
            <v>-</v>
          </cell>
          <cell r="I497" t="str">
            <v>-</v>
          </cell>
          <cell r="K497" t="str">
            <v>-</v>
          </cell>
          <cell r="L497" t="str">
            <v>-</v>
          </cell>
          <cell r="N497" t="str">
            <v>-</v>
          </cell>
          <cell r="O497" t="str">
            <v>-</v>
          </cell>
          <cell r="Q497" t="str">
            <v>-</v>
          </cell>
          <cell r="R497" t="str">
            <v>-</v>
          </cell>
          <cell r="T497" t="str">
            <v>-</v>
          </cell>
          <cell r="U497" t="str">
            <v>-</v>
          </cell>
          <cell r="W497" t="str">
            <v>-</v>
          </cell>
          <cell r="X497" t="str">
            <v>-</v>
          </cell>
        </row>
        <row r="498">
          <cell r="A498">
            <v>72220490</v>
          </cell>
          <cell r="B498">
            <v>1332</v>
          </cell>
          <cell r="C498" t="str">
            <v>열빙어</v>
          </cell>
          <cell r="D498" t="str">
            <v>D</v>
          </cell>
          <cell r="E498">
            <v>70409292</v>
          </cell>
          <cell r="H498" t="str">
            <v>-</v>
          </cell>
          <cell r="I498" t="str">
            <v>-</v>
          </cell>
          <cell r="K498" t="str">
            <v>-</v>
          </cell>
          <cell r="L498" t="str">
            <v>-</v>
          </cell>
          <cell r="N498" t="str">
            <v>-</v>
          </cell>
          <cell r="O498" t="str">
            <v>-</v>
          </cell>
          <cell r="Q498" t="str">
            <v>-</v>
          </cell>
          <cell r="R498" t="str">
            <v>-</v>
          </cell>
          <cell r="T498" t="str">
            <v>-</v>
          </cell>
          <cell r="U498" t="str">
            <v>-</v>
          </cell>
          <cell r="W498" t="str">
            <v>-</v>
          </cell>
          <cell r="X498" t="str">
            <v>-</v>
          </cell>
        </row>
        <row r="499">
          <cell r="A499">
            <v>72220491</v>
          </cell>
          <cell r="B499">
            <v>1332</v>
          </cell>
          <cell r="C499" t="str">
            <v>만새기</v>
          </cell>
          <cell r="D499" t="str">
            <v>C</v>
          </cell>
          <cell r="E499">
            <v>70409135</v>
          </cell>
          <cell r="H499" t="str">
            <v>-</v>
          </cell>
          <cell r="I499" t="str">
            <v>-</v>
          </cell>
          <cell r="K499" t="str">
            <v>-</v>
          </cell>
          <cell r="L499" t="str">
            <v>-</v>
          </cell>
          <cell r="N499" t="str">
            <v>-</v>
          </cell>
          <cell r="O499" t="str">
            <v>-</v>
          </cell>
          <cell r="Q499" t="str">
            <v>-</v>
          </cell>
          <cell r="R499" t="str">
            <v>-</v>
          </cell>
          <cell r="T499" t="str">
            <v>-</v>
          </cell>
          <cell r="U499" t="str">
            <v>-</v>
          </cell>
          <cell r="W499" t="str">
            <v>-</v>
          </cell>
          <cell r="X499" t="str">
            <v>-</v>
          </cell>
        </row>
        <row r="500">
          <cell r="A500">
            <v>72220492</v>
          </cell>
          <cell r="B500">
            <v>1333</v>
          </cell>
          <cell r="C500" t="str">
            <v>투구게</v>
          </cell>
          <cell r="D500" t="str">
            <v>B</v>
          </cell>
          <cell r="E500">
            <v>70409372</v>
          </cell>
          <cell r="H500" t="str">
            <v>-</v>
          </cell>
          <cell r="I500" t="str">
            <v>-</v>
          </cell>
          <cell r="K500" t="str">
            <v>-</v>
          </cell>
          <cell r="L500" t="str">
            <v>-</v>
          </cell>
          <cell r="N500" t="str">
            <v>-</v>
          </cell>
          <cell r="O500" t="str">
            <v>-</v>
          </cell>
          <cell r="Q500" t="str">
            <v>-</v>
          </cell>
          <cell r="R500" t="str">
            <v>-</v>
          </cell>
          <cell r="T500" t="str">
            <v>-</v>
          </cell>
          <cell r="U500" t="str">
            <v>-</v>
          </cell>
          <cell r="W500" t="str">
            <v>-</v>
          </cell>
          <cell r="X500" t="str">
            <v>-</v>
          </cell>
        </row>
        <row r="501">
          <cell r="A501">
            <v>72220493</v>
          </cell>
          <cell r="B501">
            <v>1333</v>
          </cell>
          <cell r="C501" t="str">
            <v>열빙어</v>
          </cell>
          <cell r="D501" t="str">
            <v>D</v>
          </cell>
          <cell r="E501">
            <v>70409292</v>
          </cell>
          <cell r="H501" t="str">
            <v>-</v>
          </cell>
          <cell r="I501" t="str">
            <v>-</v>
          </cell>
          <cell r="K501" t="str">
            <v>-</v>
          </cell>
          <cell r="L501" t="str">
            <v>-</v>
          </cell>
          <cell r="N501" t="str">
            <v>-</v>
          </cell>
          <cell r="O501" t="str">
            <v>-</v>
          </cell>
          <cell r="Q501" t="str">
            <v>-</v>
          </cell>
          <cell r="R501" t="str">
            <v>-</v>
          </cell>
          <cell r="T501" t="str">
            <v>-</v>
          </cell>
          <cell r="U501" t="str">
            <v>-</v>
          </cell>
          <cell r="W501" t="str">
            <v>-</v>
          </cell>
          <cell r="X501" t="str">
            <v>-</v>
          </cell>
        </row>
        <row r="502">
          <cell r="A502">
            <v>72220494</v>
          </cell>
          <cell r="B502">
            <v>1333</v>
          </cell>
          <cell r="C502" t="str">
            <v>만새기</v>
          </cell>
          <cell r="D502" t="str">
            <v>C</v>
          </cell>
          <cell r="E502">
            <v>70409135</v>
          </cell>
          <cell r="H502" t="str">
            <v>-</v>
          </cell>
          <cell r="I502" t="str">
            <v>-</v>
          </cell>
          <cell r="K502" t="str">
            <v>-</v>
          </cell>
          <cell r="L502" t="str">
            <v>-</v>
          </cell>
          <cell r="N502" t="str">
            <v>-</v>
          </cell>
          <cell r="O502" t="str">
            <v>-</v>
          </cell>
          <cell r="Q502" t="str">
            <v>-</v>
          </cell>
          <cell r="R502" t="str">
            <v>-</v>
          </cell>
          <cell r="T502" t="str">
            <v>-</v>
          </cell>
          <cell r="U502" t="str">
            <v>-</v>
          </cell>
          <cell r="W502" t="str">
            <v>-</v>
          </cell>
          <cell r="X502" t="str">
            <v>-</v>
          </cell>
        </row>
        <row r="503">
          <cell r="A503">
            <v>72220495</v>
          </cell>
          <cell r="B503">
            <v>1334</v>
          </cell>
          <cell r="C503" t="str">
            <v>투구게</v>
          </cell>
          <cell r="D503" t="str">
            <v>B</v>
          </cell>
          <cell r="E503">
            <v>70409372</v>
          </cell>
          <cell r="H503" t="str">
            <v>-</v>
          </cell>
          <cell r="I503" t="str">
            <v>-</v>
          </cell>
          <cell r="K503" t="str">
            <v>-</v>
          </cell>
          <cell r="L503" t="str">
            <v>-</v>
          </cell>
          <cell r="N503" t="str">
            <v>-</v>
          </cell>
          <cell r="O503" t="str">
            <v>-</v>
          </cell>
          <cell r="Q503" t="str">
            <v>-</v>
          </cell>
          <cell r="R503" t="str">
            <v>-</v>
          </cell>
          <cell r="T503" t="str">
            <v>-</v>
          </cell>
          <cell r="U503" t="str">
            <v>-</v>
          </cell>
          <cell r="W503" t="str">
            <v>-</v>
          </cell>
          <cell r="X503" t="str">
            <v>-</v>
          </cell>
        </row>
        <row r="504">
          <cell r="A504">
            <v>72220496</v>
          </cell>
          <cell r="B504">
            <v>1334</v>
          </cell>
          <cell r="C504" t="str">
            <v>열빙어</v>
          </cell>
          <cell r="D504" t="str">
            <v>D</v>
          </cell>
          <cell r="E504">
            <v>70409292</v>
          </cell>
          <cell r="H504" t="str">
            <v>-</v>
          </cell>
          <cell r="I504" t="str">
            <v>-</v>
          </cell>
          <cell r="K504" t="str">
            <v>-</v>
          </cell>
          <cell r="L504" t="str">
            <v>-</v>
          </cell>
          <cell r="N504" t="str">
            <v>-</v>
          </cell>
          <cell r="O504" t="str">
            <v>-</v>
          </cell>
          <cell r="Q504" t="str">
            <v>-</v>
          </cell>
          <cell r="R504" t="str">
            <v>-</v>
          </cell>
          <cell r="T504" t="str">
            <v>-</v>
          </cell>
          <cell r="U504" t="str">
            <v>-</v>
          </cell>
          <cell r="W504" t="str">
            <v>-</v>
          </cell>
          <cell r="X504" t="str">
            <v>-</v>
          </cell>
        </row>
        <row r="505">
          <cell r="A505">
            <v>72220497</v>
          </cell>
          <cell r="B505">
            <v>1334</v>
          </cell>
          <cell r="C505" t="str">
            <v>만새기</v>
          </cell>
          <cell r="D505" t="str">
            <v>C</v>
          </cell>
          <cell r="E505">
            <v>70409135</v>
          </cell>
          <cell r="H505" t="str">
            <v>-</v>
          </cell>
          <cell r="I505" t="str">
            <v>-</v>
          </cell>
          <cell r="K505" t="str">
            <v>-</v>
          </cell>
          <cell r="L505" t="str">
            <v>-</v>
          </cell>
          <cell r="N505" t="str">
            <v>-</v>
          </cell>
          <cell r="O505" t="str">
            <v>-</v>
          </cell>
          <cell r="Q505" t="str">
            <v>-</v>
          </cell>
          <cell r="R505" t="str">
            <v>-</v>
          </cell>
          <cell r="T505" t="str">
            <v>-</v>
          </cell>
          <cell r="U505" t="str">
            <v>-</v>
          </cell>
          <cell r="W505" t="str">
            <v>-</v>
          </cell>
          <cell r="X505" t="str">
            <v>-</v>
          </cell>
        </row>
        <row r="506">
          <cell r="A506">
            <v>72220498</v>
          </cell>
          <cell r="B506">
            <v>1341</v>
          </cell>
          <cell r="C506" t="str">
            <v>까치횟대</v>
          </cell>
          <cell r="D506" t="str">
            <v>A</v>
          </cell>
          <cell r="E506">
            <v>70409051</v>
          </cell>
          <cell r="H506" t="str">
            <v>-</v>
          </cell>
          <cell r="I506" t="str">
            <v>-</v>
          </cell>
          <cell r="K506" t="str">
            <v>-</v>
          </cell>
          <cell r="L506" t="str">
            <v>-</v>
          </cell>
          <cell r="N506" t="str">
            <v>-</v>
          </cell>
          <cell r="O506" t="str">
            <v>-</v>
          </cell>
          <cell r="Q506" t="str">
            <v>-</v>
          </cell>
          <cell r="R506" t="str">
            <v>-</v>
          </cell>
          <cell r="T506" t="str">
            <v>-</v>
          </cell>
          <cell r="U506" t="str">
            <v>-</v>
          </cell>
          <cell r="W506" t="str">
            <v>-</v>
          </cell>
          <cell r="X506" t="str">
            <v>-</v>
          </cell>
        </row>
        <row r="507">
          <cell r="A507">
            <v>72220499</v>
          </cell>
          <cell r="B507">
            <v>1342</v>
          </cell>
          <cell r="C507" t="str">
            <v>까치횟대</v>
          </cell>
          <cell r="D507" t="str">
            <v>A</v>
          </cell>
          <cell r="E507">
            <v>70409051</v>
          </cell>
          <cell r="H507" t="str">
            <v>-</v>
          </cell>
          <cell r="I507" t="str">
            <v>-</v>
          </cell>
          <cell r="K507" t="str">
            <v>-</v>
          </cell>
          <cell r="L507" t="str">
            <v>-</v>
          </cell>
          <cell r="N507" t="str">
            <v>-</v>
          </cell>
          <cell r="O507" t="str">
            <v>-</v>
          </cell>
          <cell r="Q507" t="str">
            <v>-</v>
          </cell>
          <cell r="R507" t="str">
            <v>-</v>
          </cell>
          <cell r="T507" t="str">
            <v>-</v>
          </cell>
          <cell r="U507" t="str">
            <v>-</v>
          </cell>
          <cell r="W507" t="str">
            <v>-</v>
          </cell>
          <cell r="X507" t="str">
            <v>-</v>
          </cell>
        </row>
        <row r="508">
          <cell r="A508">
            <v>72220500</v>
          </cell>
          <cell r="B508">
            <v>1343</v>
          </cell>
          <cell r="C508" t="str">
            <v>까치횟대</v>
          </cell>
          <cell r="D508" t="str">
            <v>A</v>
          </cell>
          <cell r="E508">
            <v>70409051</v>
          </cell>
          <cell r="H508" t="str">
            <v>-</v>
          </cell>
          <cell r="I508" t="str">
            <v>-</v>
          </cell>
          <cell r="K508" t="str">
            <v>-</v>
          </cell>
          <cell r="L508" t="str">
            <v>-</v>
          </cell>
          <cell r="N508" t="str">
            <v>-</v>
          </cell>
          <cell r="O508" t="str">
            <v>-</v>
          </cell>
          <cell r="Q508" t="str">
            <v>-</v>
          </cell>
          <cell r="R508" t="str">
            <v>-</v>
          </cell>
          <cell r="T508" t="str">
            <v>-</v>
          </cell>
          <cell r="U508" t="str">
            <v>-</v>
          </cell>
          <cell r="W508" t="str">
            <v>-</v>
          </cell>
          <cell r="X508" t="str">
            <v>-</v>
          </cell>
        </row>
        <row r="509">
          <cell r="A509">
            <v>72220501</v>
          </cell>
          <cell r="B509">
            <v>1344</v>
          </cell>
          <cell r="C509" t="str">
            <v>까치횟대</v>
          </cell>
          <cell r="D509" t="str">
            <v>A</v>
          </cell>
          <cell r="E509">
            <v>70409051</v>
          </cell>
          <cell r="H509" t="str">
            <v>-</v>
          </cell>
          <cell r="I509" t="str">
            <v>-</v>
          </cell>
          <cell r="K509" t="str">
            <v>-</v>
          </cell>
          <cell r="L509" t="str">
            <v>-</v>
          </cell>
          <cell r="N509" t="str">
            <v>-</v>
          </cell>
          <cell r="O509" t="str">
            <v>-</v>
          </cell>
          <cell r="Q509" t="str">
            <v>-</v>
          </cell>
          <cell r="R509" t="str">
            <v>-</v>
          </cell>
          <cell r="T509" t="str">
            <v>-</v>
          </cell>
          <cell r="U509" t="str">
            <v>-</v>
          </cell>
          <cell r="W509" t="str">
            <v>-</v>
          </cell>
          <cell r="X509" t="str">
            <v>-</v>
          </cell>
        </row>
        <row r="510">
          <cell r="A510">
            <v>72220502</v>
          </cell>
          <cell r="B510">
            <v>1351</v>
          </cell>
          <cell r="C510" t="str">
            <v>쥐가오리</v>
          </cell>
          <cell r="D510" t="str">
            <v>S</v>
          </cell>
          <cell r="E510">
            <v>70409333</v>
          </cell>
          <cell r="H510" t="str">
            <v>-</v>
          </cell>
          <cell r="I510" t="str">
            <v>-</v>
          </cell>
          <cell r="K510" t="str">
            <v>-</v>
          </cell>
          <cell r="L510" t="str">
            <v>-</v>
          </cell>
          <cell r="N510" t="str">
            <v>-</v>
          </cell>
          <cell r="O510" t="str">
            <v>-</v>
          </cell>
          <cell r="Q510" t="str">
            <v>-</v>
          </cell>
          <cell r="R510" t="str">
            <v>-</v>
          </cell>
          <cell r="T510" t="str">
            <v>-</v>
          </cell>
          <cell r="U510" t="str">
            <v>-</v>
          </cell>
          <cell r="W510" t="str">
            <v>-</v>
          </cell>
          <cell r="X510" t="str">
            <v>-</v>
          </cell>
        </row>
        <row r="511">
          <cell r="A511">
            <v>72220503</v>
          </cell>
          <cell r="B511">
            <v>1351</v>
          </cell>
          <cell r="C511" t="str">
            <v>고등어</v>
          </cell>
          <cell r="D511" t="str">
            <v>C</v>
          </cell>
          <cell r="E511">
            <v>70409031</v>
          </cell>
          <cell r="H511" t="str">
            <v>-</v>
          </cell>
          <cell r="I511" t="str">
            <v>-</v>
          </cell>
          <cell r="K511" t="str">
            <v>-</v>
          </cell>
          <cell r="L511" t="str">
            <v>-</v>
          </cell>
          <cell r="N511" t="str">
            <v>-</v>
          </cell>
          <cell r="O511" t="str">
            <v>-</v>
          </cell>
          <cell r="Q511" t="str">
            <v>-</v>
          </cell>
          <cell r="R511" t="str">
            <v>-</v>
          </cell>
          <cell r="T511" t="str">
            <v>-</v>
          </cell>
          <cell r="U511" t="str">
            <v>-</v>
          </cell>
          <cell r="W511" t="str">
            <v>-</v>
          </cell>
          <cell r="X511" t="str">
            <v>-</v>
          </cell>
        </row>
        <row r="512">
          <cell r="A512">
            <v>72220504</v>
          </cell>
          <cell r="B512">
            <v>1351</v>
          </cell>
          <cell r="C512" t="str">
            <v>타락치</v>
          </cell>
          <cell r="D512" t="str">
            <v>D</v>
          </cell>
          <cell r="E512">
            <v>70409366</v>
          </cell>
          <cell r="H512" t="str">
            <v>-</v>
          </cell>
          <cell r="I512" t="str">
            <v>-</v>
          </cell>
          <cell r="K512" t="str">
            <v>-</v>
          </cell>
          <cell r="L512" t="str">
            <v>-</v>
          </cell>
          <cell r="N512" t="str">
            <v>-</v>
          </cell>
          <cell r="O512" t="str">
            <v>-</v>
          </cell>
          <cell r="Q512" t="str">
            <v>-</v>
          </cell>
          <cell r="R512" t="str">
            <v>-</v>
          </cell>
          <cell r="T512" t="str">
            <v>-</v>
          </cell>
          <cell r="U512" t="str">
            <v>-</v>
          </cell>
          <cell r="W512" t="str">
            <v>-</v>
          </cell>
          <cell r="X512" t="str">
            <v>-</v>
          </cell>
        </row>
        <row r="513">
          <cell r="A513">
            <v>72220505</v>
          </cell>
          <cell r="B513">
            <v>1352</v>
          </cell>
          <cell r="C513" t="str">
            <v>쥐가오리</v>
          </cell>
          <cell r="D513" t="str">
            <v>S</v>
          </cell>
          <cell r="E513">
            <v>70409333</v>
          </cell>
          <cell r="H513" t="str">
            <v>-</v>
          </cell>
          <cell r="I513" t="str">
            <v>-</v>
          </cell>
          <cell r="K513" t="str">
            <v>-</v>
          </cell>
          <cell r="L513" t="str">
            <v>-</v>
          </cell>
          <cell r="N513" t="str">
            <v>-</v>
          </cell>
          <cell r="O513" t="str">
            <v>-</v>
          </cell>
          <cell r="Q513" t="str">
            <v>-</v>
          </cell>
          <cell r="R513" t="str">
            <v>-</v>
          </cell>
          <cell r="T513" t="str">
            <v>-</v>
          </cell>
          <cell r="U513" t="str">
            <v>-</v>
          </cell>
          <cell r="W513" t="str">
            <v>-</v>
          </cell>
          <cell r="X513" t="str">
            <v>-</v>
          </cell>
        </row>
        <row r="514">
          <cell r="A514">
            <v>72220506</v>
          </cell>
          <cell r="B514">
            <v>1352</v>
          </cell>
          <cell r="C514" t="str">
            <v>고등어</v>
          </cell>
          <cell r="D514" t="str">
            <v>C</v>
          </cell>
          <cell r="E514">
            <v>70409031</v>
          </cell>
          <cell r="H514" t="str">
            <v>-</v>
          </cell>
          <cell r="I514" t="str">
            <v>-</v>
          </cell>
          <cell r="K514" t="str">
            <v>-</v>
          </cell>
          <cell r="L514" t="str">
            <v>-</v>
          </cell>
          <cell r="N514" t="str">
            <v>-</v>
          </cell>
          <cell r="O514" t="str">
            <v>-</v>
          </cell>
          <cell r="Q514" t="str">
            <v>-</v>
          </cell>
          <cell r="R514" t="str">
            <v>-</v>
          </cell>
          <cell r="T514" t="str">
            <v>-</v>
          </cell>
          <cell r="U514" t="str">
            <v>-</v>
          </cell>
          <cell r="W514" t="str">
            <v>-</v>
          </cell>
          <cell r="X514" t="str">
            <v>-</v>
          </cell>
        </row>
        <row r="515">
          <cell r="A515">
            <v>72220507</v>
          </cell>
          <cell r="B515">
            <v>1353</v>
          </cell>
          <cell r="C515" t="str">
            <v>타락치</v>
          </cell>
          <cell r="D515" t="str">
            <v>D</v>
          </cell>
          <cell r="E515">
            <v>70409366</v>
          </cell>
          <cell r="H515" t="str">
            <v>-</v>
          </cell>
          <cell r="I515" t="str">
            <v>-</v>
          </cell>
          <cell r="K515" t="str">
            <v>-</v>
          </cell>
          <cell r="L515" t="str">
            <v>-</v>
          </cell>
          <cell r="N515" t="str">
            <v>-</v>
          </cell>
          <cell r="O515" t="str">
            <v>-</v>
          </cell>
          <cell r="Q515" t="str">
            <v>-</v>
          </cell>
          <cell r="R515" t="str">
            <v>-</v>
          </cell>
          <cell r="T515" t="str">
            <v>-</v>
          </cell>
          <cell r="U515" t="str">
            <v>-</v>
          </cell>
          <cell r="W515" t="str">
            <v>-</v>
          </cell>
          <cell r="X515" t="str">
            <v>-</v>
          </cell>
        </row>
        <row r="516">
          <cell r="A516">
            <v>72220508</v>
          </cell>
          <cell r="B516">
            <v>1353</v>
          </cell>
          <cell r="C516" t="str">
            <v>쥐가오리</v>
          </cell>
          <cell r="D516" t="str">
            <v>S</v>
          </cell>
          <cell r="E516">
            <v>70409333</v>
          </cell>
          <cell r="H516" t="str">
            <v>-</v>
          </cell>
          <cell r="I516" t="str">
            <v>-</v>
          </cell>
          <cell r="K516" t="str">
            <v>-</v>
          </cell>
          <cell r="L516" t="str">
            <v>-</v>
          </cell>
          <cell r="N516" t="str">
            <v>-</v>
          </cell>
          <cell r="O516" t="str">
            <v>-</v>
          </cell>
          <cell r="Q516" t="str">
            <v>-</v>
          </cell>
          <cell r="R516" t="str">
            <v>-</v>
          </cell>
          <cell r="T516" t="str">
            <v>-</v>
          </cell>
          <cell r="U516" t="str">
            <v>-</v>
          </cell>
          <cell r="W516" t="str">
            <v>-</v>
          </cell>
          <cell r="X516" t="str">
            <v>-</v>
          </cell>
        </row>
        <row r="517">
          <cell r="A517">
            <v>72220509</v>
          </cell>
          <cell r="B517">
            <v>1354</v>
          </cell>
          <cell r="C517" t="str">
            <v>고등어</v>
          </cell>
          <cell r="D517" t="str">
            <v>C</v>
          </cell>
          <cell r="E517">
            <v>70409031</v>
          </cell>
          <cell r="H517" t="str">
            <v>-</v>
          </cell>
          <cell r="I517" t="str">
            <v>-</v>
          </cell>
          <cell r="K517" t="str">
            <v>-</v>
          </cell>
          <cell r="L517" t="str">
            <v>-</v>
          </cell>
          <cell r="N517" t="str">
            <v>-</v>
          </cell>
          <cell r="O517" t="str">
            <v>-</v>
          </cell>
          <cell r="Q517" t="str">
            <v>-</v>
          </cell>
          <cell r="R517" t="str">
            <v>-</v>
          </cell>
          <cell r="T517" t="str">
            <v>-</v>
          </cell>
          <cell r="U517" t="str">
            <v>-</v>
          </cell>
          <cell r="W517" t="str">
            <v>-</v>
          </cell>
          <cell r="X517" t="str">
            <v>-</v>
          </cell>
        </row>
        <row r="518">
          <cell r="A518">
            <v>72220510</v>
          </cell>
          <cell r="B518">
            <v>1354</v>
          </cell>
          <cell r="C518" t="str">
            <v>타락치</v>
          </cell>
          <cell r="D518" t="str">
            <v>D</v>
          </cell>
          <cell r="E518">
            <v>70409366</v>
          </cell>
          <cell r="H518" t="str">
            <v>-</v>
          </cell>
          <cell r="I518" t="str">
            <v>-</v>
          </cell>
          <cell r="K518" t="str">
            <v>-</v>
          </cell>
          <cell r="L518" t="str">
            <v>-</v>
          </cell>
          <cell r="N518" t="str">
            <v>-</v>
          </cell>
          <cell r="O518" t="str">
            <v>-</v>
          </cell>
          <cell r="Q518" t="str">
            <v>-</v>
          </cell>
          <cell r="R518" t="str">
            <v>-</v>
          </cell>
          <cell r="T518" t="str">
            <v>-</v>
          </cell>
          <cell r="U518" t="str">
            <v>-</v>
          </cell>
          <cell r="W518" t="str">
            <v>-</v>
          </cell>
          <cell r="X518" t="str">
            <v>-</v>
          </cell>
        </row>
        <row r="519">
          <cell r="A519">
            <v>72220511</v>
          </cell>
          <cell r="B519">
            <v>1361</v>
          </cell>
          <cell r="C519" t="str">
            <v>그린란드상어</v>
          </cell>
          <cell r="D519" t="str">
            <v>S</v>
          </cell>
          <cell r="E519">
            <v>70409040</v>
          </cell>
          <cell r="H519" t="str">
            <v>-</v>
          </cell>
          <cell r="I519" t="str">
            <v>-</v>
          </cell>
          <cell r="K519" t="str">
            <v>-</v>
          </cell>
          <cell r="L519" t="str">
            <v>-</v>
          </cell>
          <cell r="N519" t="str">
            <v>-</v>
          </cell>
          <cell r="O519" t="str">
            <v>-</v>
          </cell>
          <cell r="Q519" t="str">
            <v>-</v>
          </cell>
          <cell r="R519" t="str">
            <v>-</v>
          </cell>
          <cell r="T519" t="str">
            <v>-</v>
          </cell>
          <cell r="U519" t="str">
            <v>-</v>
          </cell>
          <cell r="W519" t="str">
            <v>-</v>
          </cell>
          <cell r="X519" t="str">
            <v>-</v>
          </cell>
        </row>
        <row r="520">
          <cell r="A520">
            <v>72220512</v>
          </cell>
          <cell r="B520">
            <v>1362</v>
          </cell>
          <cell r="C520" t="str">
            <v>그린란드상어</v>
          </cell>
          <cell r="D520" t="str">
            <v>S</v>
          </cell>
          <cell r="E520">
            <v>70409040</v>
          </cell>
          <cell r="H520" t="str">
            <v>-</v>
          </cell>
          <cell r="I520" t="str">
            <v>-</v>
          </cell>
          <cell r="K520" t="str">
            <v>-</v>
          </cell>
          <cell r="L520" t="str">
            <v>-</v>
          </cell>
          <cell r="N520" t="str">
            <v>-</v>
          </cell>
          <cell r="O520" t="str">
            <v>-</v>
          </cell>
          <cell r="Q520" t="str">
            <v>-</v>
          </cell>
          <cell r="R520" t="str">
            <v>-</v>
          </cell>
          <cell r="T520" t="str">
            <v>-</v>
          </cell>
          <cell r="U520" t="str">
            <v>-</v>
          </cell>
          <cell r="W520" t="str">
            <v>-</v>
          </cell>
          <cell r="X520" t="str">
            <v>-</v>
          </cell>
        </row>
        <row r="521">
          <cell r="A521">
            <v>72220513</v>
          </cell>
          <cell r="B521">
            <v>1363</v>
          </cell>
          <cell r="C521" t="str">
            <v>그린란드상어</v>
          </cell>
          <cell r="D521" t="str">
            <v>S</v>
          </cell>
          <cell r="E521">
            <v>70409040</v>
          </cell>
          <cell r="H521" t="str">
            <v>-</v>
          </cell>
          <cell r="I521" t="str">
            <v>-</v>
          </cell>
          <cell r="K521" t="str">
            <v>-</v>
          </cell>
          <cell r="L521" t="str">
            <v>-</v>
          </cell>
          <cell r="N521" t="str">
            <v>-</v>
          </cell>
          <cell r="O521" t="str">
            <v>-</v>
          </cell>
          <cell r="Q521" t="str">
            <v>-</v>
          </cell>
          <cell r="R521" t="str">
            <v>-</v>
          </cell>
          <cell r="T521" t="str">
            <v>-</v>
          </cell>
          <cell r="U521" t="str">
            <v>-</v>
          </cell>
          <cell r="W521" t="str">
            <v>-</v>
          </cell>
          <cell r="X521" t="str">
            <v>-</v>
          </cell>
        </row>
        <row r="522">
          <cell r="A522">
            <v>72220514</v>
          </cell>
          <cell r="B522">
            <v>1364</v>
          </cell>
          <cell r="C522" t="str">
            <v>그린란드상어</v>
          </cell>
          <cell r="D522" t="str">
            <v>S</v>
          </cell>
          <cell r="E522">
            <v>70409040</v>
          </cell>
          <cell r="H522" t="str">
            <v>-</v>
          </cell>
          <cell r="I522" t="str">
            <v>-</v>
          </cell>
          <cell r="K522" t="str">
            <v>-</v>
          </cell>
          <cell r="L522" t="str">
            <v>-</v>
          </cell>
          <cell r="N522" t="str">
            <v>-</v>
          </cell>
          <cell r="O522" t="str">
            <v>-</v>
          </cell>
          <cell r="Q522" t="str">
            <v>-</v>
          </cell>
          <cell r="R522" t="str">
            <v>-</v>
          </cell>
          <cell r="T522" t="str">
            <v>-</v>
          </cell>
          <cell r="U522" t="str">
            <v>-</v>
          </cell>
          <cell r="W522" t="str">
            <v>-</v>
          </cell>
          <cell r="X522" t="str">
            <v>-</v>
          </cell>
        </row>
        <row r="523">
          <cell r="A523">
            <v>72220515</v>
          </cell>
          <cell r="B523">
            <v>1371</v>
          </cell>
          <cell r="C523" t="str">
            <v>대구</v>
          </cell>
          <cell r="D523" t="str">
            <v>B</v>
          </cell>
          <cell r="E523">
            <v>70409099</v>
          </cell>
          <cell r="H523" t="str">
            <v>-</v>
          </cell>
          <cell r="I523" t="str">
            <v>-</v>
          </cell>
          <cell r="K523" t="str">
            <v>-</v>
          </cell>
          <cell r="L523" t="str">
            <v>-</v>
          </cell>
          <cell r="N523" t="str">
            <v>-</v>
          </cell>
          <cell r="O523" t="str">
            <v>-</v>
          </cell>
          <cell r="Q523" t="str">
            <v>-</v>
          </cell>
          <cell r="R523" t="str">
            <v>-</v>
          </cell>
          <cell r="T523" t="str">
            <v>-</v>
          </cell>
          <cell r="U523" t="str">
            <v>-</v>
          </cell>
          <cell r="W523" t="str">
            <v>-</v>
          </cell>
          <cell r="X523" t="str">
            <v>-</v>
          </cell>
        </row>
        <row r="524">
          <cell r="A524">
            <v>72220516</v>
          </cell>
          <cell r="B524">
            <v>1372</v>
          </cell>
          <cell r="C524" t="str">
            <v>대구</v>
          </cell>
          <cell r="D524" t="str">
            <v>B</v>
          </cell>
          <cell r="E524">
            <v>70409099</v>
          </cell>
          <cell r="H524" t="str">
            <v>-</v>
          </cell>
          <cell r="I524" t="str">
            <v>-</v>
          </cell>
          <cell r="K524" t="str">
            <v>-</v>
          </cell>
          <cell r="L524" t="str">
            <v>-</v>
          </cell>
          <cell r="N524" t="str">
            <v>-</v>
          </cell>
          <cell r="O524" t="str">
            <v>-</v>
          </cell>
          <cell r="Q524" t="str">
            <v>-</v>
          </cell>
          <cell r="R524" t="str">
            <v>-</v>
          </cell>
          <cell r="T524" t="str">
            <v>-</v>
          </cell>
          <cell r="U524" t="str">
            <v>-</v>
          </cell>
          <cell r="W524" t="str">
            <v>-</v>
          </cell>
          <cell r="X524" t="str">
            <v>-</v>
          </cell>
        </row>
        <row r="525">
          <cell r="A525">
            <v>72220517</v>
          </cell>
          <cell r="B525">
            <v>1373</v>
          </cell>
          <cell r="C525" t="str">
            <v>대구</v>
          </cell>
          <cell r="D525" t="str">
            <v>B</v>
          </cell>
          <cell r="E525">
            <v>70409099</v>
          </cell>
          <cell r="H525" t="str">
            <v>-</v>
          </cell>
          <cell r="I525" t="str">
            <v>-</v>
          </cell>
          <cell r="K525" t="str">
            <v>-</v>
          </cell>
          <cell r="L525" t="str">
            <v>-</v>
          </cell>
          <cell r="N525" t="str">
            <v>-</v>
          </cell>
          <cell r="O525" t="str">
            <v>-</v>
          </cell>
          <cell r="Q525" t="str">
            <v>-</v>
          </cell>
          <cell r="R525" t="str">
            <v>-</v>
          </cell>
          <cell r="T525" t="str">
            <v>-</v>
          </cell>
          <cell r="U525" t="str">
            <v>-</v>
          </cell>
          <cell r="W525" t="str">
            <v>-</v>
          </cell>
          <cell r="X525" t="str">
            <v>-</v>
          </cell>
        </row>
        <row r="526">
          <cell r="A526">
            <v>72220518</v>
          </cell>
          <cell r="B526">
            <v>1374</v>
          </cell>
          <cell r="C526" t="str">
            <v>대구</v>
          </cell>
          <cell r="D526" t="str">
            <v>B</v>
          </cell>
          <cell r="E526">
            <v>70409099</v>
          </cell>
          <cell r="H526" t="str">
            <v>-</v>
          </cell>
          <cell r="I526" t="str">
            <v>-</v>
          </cell>
          <cell r="K526" t="str">
            <v>-</v>
          </cell>
          <cell r="L526" t="str">
            <v>-</v>
          </cell>
          <cell r="N526" t="str">
            <v>-</v>
          </cell>
          <cell r="O526" t="str">
            <v>-</v>
          </cell>
          <cell r="Q526" t="str">
            <v>-</v>
          </cell>
          <cell r="R526" t="str">
            <v>-</v>
          </cell>
          <cell r="T526" t="str">
            <v>-</v>
          </cell>
          <cell r="U526" t="str">
            <v>-</v>
          </cell>
          <cell r="W526" t="str">
            <v>-</v>
          </cell>
          <cell r="X526" t="str">
            <v>-</v>
          </cell>
        </row>
        <row r="527">
          <cell r="A527">
            <v>72220519</v>
          </cell>
          <cell r="B527">
            <v>1381</v>
          </cell>
          <cell r="C527" t="str">
            <v>웰스메기</v>
          </cell>
          <cell r="D527" t="str">
            <v>B</v>
          </cell>
          <cell r="E527">
            <v>70409300</v>
          </cell>
          <cell r="H527" t="str">
            <v>-</v>
          </cell>
          <cell r="I527" t="str">
            <v>-</v>
          </cell>
          <cell r="K527" t="str">
            <v>-</v>
          </cell>
          <cell r="L527" t="str">
            <v>-</v>
          </cell>
          <cell r="N527" t="str">
            <v>-</v>
          </cell>
          <cell r="O527" t="str">
            <v>-</v>
          </cell>
          <cell r="Q527" t="str">
            <v>-</v>
          </cell>
          <cell r="R527" t="str">
            <v>-</v>
          </cell>
          <cell r="T527" t="str">
            <v>-</v>
          </cell>
          <cell r="U527" t="str">
            <v>-</v>
          </cell>
          <cell r="W527" t="str">
            <v>-</v>
          </cell>
          <cell r="X527" t="str">
            <v>-</v>
          </cell>
        </row>
        <row r="528">
          <cell r="A528">
            <v>72220520</v>
          </cell>
          <cell r="B528">
            <v>1381</v>
          </cell>
          <cell r="C528" t="str">
            <v>뿔횟대</v>
          </cell>
          <cell r="D528" t="str">
            <v>C</v>
          </cell>
          <cell r="E528">
            <v>70409237</v>
          </cell>
          <cell r="H528" t="str">
            <v>-</v>
          </cell>
          <cell r="I528" t="str">
            <v>-</v>
          </cell>
          <cell r="K528" t="str">
            <v>-</v>
          </cell>
          <cell r="L528" t="str">
            <v>-</v>
          </cell>
          <cell r="N528" t="str">
            <v>-</v>
          </cell>
          <cell r="O528" t="str">
            <v>-</v>
          </cell>
          <cell r="Q528" t="str">
            <v>-</v>
          </cell>
          <cell r="R528" t="str">
            <v>-</v>
          </cell>
          <cell r="T528" t="str">
            <v>-</v>
          </cell>
          <cell r="U528" t="str">
            <v>-</v>
          </cell>
          <cell r="W528" t="str">
            <v>-</v>
          </cell>
          <cell r="X528" t="str">
            <v>-</v>
          </cell>
        </row>
        <row r="529">
          <cell r="A529">
            <v>72220521</v>
          </cell>
          <cell r="B529">
            <v>1381</v>
          </cell>
          <cell r="C529" t="str">
            <v>바다빙어</v>
          </cell>
          <cell r="D529" t="str">
            <v>B</v>
          </cell>
          <cell r="E529">
            <v>70409181</v>
          </cell>
          <cell r="H529" t="str">
            <v>-</v>
          </cell>
          <cell r="I529" t="str">
            <v>-</v>
          </cell>
          <cell r="K529" t="str">
            <v>-</v>
          </cell>
          <cell r="L529" t="str">
            <v>-</v>
          </cell>
          <cell r="N529" t="str">
            <v>-</v>
          </cell>
          <cell r="O529" t="str">
            <v>-</v>
          </cell>
          <cell r="Q529" t="str">
            <v>-</v>
          </cell>
          <cell r="R529" t="str">
            <v>-</v>
          </cell>
          <cell r="T529" t="str">
            <v>-</v>
          </cell>
          <cell r="U529" t="str">
            <v>-</v>
          </cell>
          <cell r="W529" t="str">
            <v>-</v>
          </cell>
          <cell r="X529" t="str">
            <v>-</v>
          </cell>
        </row>
        <row r="530">
          <cell r="A530">
            <v>72220522</v>
          </cell>
          <cell r="B530">
            <v>1381</v>
          </cell>
          <cell r="C530" t="str">
            <v>정어리</v>
          </cell>
          <cell r="D530" t="str">
            <v>D</v>
          </cell>
          <cell r="E530">
            <v>70409320</v>
          </cell>
          <cell r="H530" t="str">
            <v>-</v>
          </cell>
          <cell r="I530" t="str">
            <v>-</v>
          </cell>
          <cell r="K530" t="str">
            <v>-</v>
          </cell>
          <cell r="L530" t="str">
            <v>-</v>
          </cell>
          <cell r="N530" t="str">
            <v>-</v>
          </cell>
          <cell r="O530" t="str">
            <v>-</v>
          </cell>
          <cell r="Q530" t="str">
            <v>-</v>
          </cell>
          <cell r="R530" t="str">
            <v>-</v>
          </cell>
          <cell r="T530" t="str">
            <v>-</v>
          </cell>
          <cell r="U530" t="str">
            <v>-</v>
          </cell>
          <cell r="W530" t="str">
            <v>-</v>
          </cell>
          <cell r="X530" t="str">
            <v>-</v>
          </cell>
        </row>
        <row r="531">
          <cell r="A531">
            <v>72220523</v>
          </cell>
          <cell r="B531">
            <v>1382</v>
          </cell>
          <cell r="C531" t="str">
            <v>뿔횟대</v>
          </cell>
          <cell r="D531" t="str">
            <v>C</v>
          </cell>
          <cell r="E531">
            <v>70409237</v>
          </cell>
          <cell r="H531" t="str">
            <v>-</v>
          </cell>
          <cell r="I531" t="str">
            <v>-</v>
          </cell>
          <cell r="K531" t="str">
            <v>-</v>
          </cell>
          <cell r="L531" t="str">
            <v>-</v>
          </cell>
          <cell r="N531" t="str">
            <v>-</v>
          </cell>
          <cell r="O531" t="str">
            <v>-</v>
          </cell>
          <cell r="Q531" t="str">
            <v>-</v>
          </cell>
          <cell r="R531" t="str">
            <v>-</v>
          </cell>
          <cell r="T531" t="str">
            <v>-</v>
          </cell>
          <cell r="U531" t="str">
            <v>-</v>
          </cell>
          <cell r="W531" t="str">
            <v>-</v>
          </cell>
          <cell r="X531" t="str">
            <v>-</v>
          </cell>
        </row>
        <row r="532">
          <cell r="A532">
            <v>72220524</v>
          </cell>
          <cell r="B532">
            <v>1382</v>
          </cell>
          <cell r="C532" t="str">
            <v>바다빙어</v>
          </cell>
          <cell r="D532" t="str">
            <v>B</v>
          </cell>
          <cell r="E532">
            <v>70409181</v>
          </cell>
          <cell r="H532" t="str">
            <v>-</v>
          </cell>
          <cell r="I532" t="str">
            <v>-</v>
          </cell>
          <cell r="K532" t="str">
            <v>-</v>
          </cell>
          <cell r="L532" t="str">
            <v>-</v>
          </cell>
          <cell r="N532" t="str">
            <v>-</v>
          </cell>
          <cell r="O532" t="str">
            <v>-</v>
          </cell>
          <cell r="Q532" t="str">
            <v>-</v>
          </cell>
          <cell r="R532" t="str">
            <v>-</v>
          </cell>
          <cell r="T532" t="str">
            <v>-</v>
          </cell>
          <cell r="U532" t="str">
            <v>-</v>
          </cell>
          <cell r="W532" t="str">
            <v>-</v>
          </cell>
          <cell r="X532" t="str">
            <v>-</v>
          </cell>
        </row>
        <row r="533">
          <cell r="A533">
            <v>72220525</v>
          </cell>
          <cell r="B533">
            <v>1382</v>
          </cell>
          <cell r="C533" t="str">
            <v>정어리</v>
          </cell>
          <cell r="D533" t="str">
            <v>D</v>
          </cell>
          <cell r="E533">
            <v>70409320</v>
          </cell>
          <cell r="H533" t="str">
            <v>-</v>
          </cell>
          <cell r="I533" t="str">
            <v>-</v>
          </cell>
          <cell r="K533" t="str">
            <v>-</v>
          </cell>
          <cell r="L533" t="str">
            <v>-</v>
          </cell>
          <cell r="N533" t="str">
            <v>-</v>
          </cell>
          <cell r="O533" t="str">
            <v>-</v>
          </cell>
          <cell r="Q533" t="str">
            <v>-</v>
          </cell>
          <cell r="R533" t="str">
            <v>-</v>
          </cell>
          <cell r="T533" t="str">
            <v>-</v>
          </cell>
          <cell r="U533" t="str">
            <v>-</v>
          </cell>
          <cell r="W533" t="str">
            <v>-</v>
          </cell>
          <cell r="X533" t="str">
            <v>-</v>
          </cell>
        </row>
        <row r="534">
          <cell r="A534">
            <v>72220526</v>
          </cell>
          <cell r="B534">
            <v>1383</v>
          </cell>
          <cell r="C534" t="str">
            <v>뿔횟대</v>
          </cell>
          <cell r="D534" t="str">
            <v>C</v>
          </cell>
          <cell r="E534">
            <v>70409237</v>
          </cell>
          <cell r="H534" t="str">
            <v>-</v>
          </cell>
          <cell r="I534" t="str">
            <v>-</v>
          </cell>
          <cell r="K534" t="str">
            <v>-</v>
          </cell>
          <cell r="L534" t="str">
            <v>-</v>
          </cell>
          <cell r="N534" t="str">
            <v>-</v>
          </cell>
          <cell r="O534" t="str">
            <v>-</v>
          </cell>
          <cell r="Q534" t="str">
            <v>-</v>
          </cell>
          <cell r="R534" t="str">
            <v>-</v>
          </cell>
          <cell r="T534" t="str">
            <v>-</v>
          </cell>
          <cell r="U534" t="str">
            <v>-</v>
          </cell>
          <cell r="W534" t="str">
            <v>-</v>
          </cell>
          <cell r="X534" t="str">
            <v>-</v>
          </cell>
        </row>
        <row r="535">
          <cell r="A535">
            <v>72220527</v>
          </cell>
          <cell r="B535">
            <v>1383</v>
          </cell>
          <cell r="C535" t="str">
            <v>바다빙어</v>
          </cell>
          <cell r="D535" t="str">
            <v>B</v>
          </cell>
          <cell r="E535">
            <v>70409181</v>
          </cell>
          <cell r="H535" t="str">
            <v>-</v>
          </cell>
          <cell r="I535" t="str">
            <v>-</v>
          </cell>
          <cell r="K535" t="str">
            <v>-</v>
          </cell>
          <cell r="L535" t="str">
            <v>-</v>
          </cell>
          <cell r="N535" t="str">
            <v>-</v>
          </cell>
          <cell r="O535" t="str">
            <v>-</v>
          </cell>
          <cell r="Q535" t="str">
            <v>-</v>
          </cell>
          <cell r="R535" t="str">
            <v>-</v>
          </cell>
          <cell r="T535" t="str">
            <v>-</v>
          </cell>
          <cell r="U535" t="str">
            <v>-</v>
          </cell>
          <cell r="W535" t="str">
            <v>-</v>
          </cell>
          <cell r="X535" t="str">
            <v>-</v>
          </cell>
        </row>
        <row r="536">
          <cell r="A536">
            <v>72220528</v>
          </cell>
          <cell r="B536">
            <v>1383</v>
          </cell>
          <cell r="C536" t="str">
            <v>정어리</v>
          </cell>
          <cell r="D536" t="str">
            <v>D</v>
          </cell>
          <cell r="E536">
            <v>70409320</v>
          </cell>
          <cell r="H536" t="str">
            <v>-</v>
          </cell>
          <cell r="I536" t="str">
            <v>-</v>
          </cell>
          <cell r="K536" t="str">
            <v>-</v>
          </cell>
          <cell r="L536" t="str">
            <v>-</v>
          </cell>
          <cell r="N536" t="str">
            <v>-</v>
          </cell>
          <cell r="O536" t="str">
            <v>-</v>
          </cell>
          <cell r="Q536" t="str">
            <v>-</v>
          </cell>
          <cell r="R536" t="str">
            <v>-</v>
          </cell>
          <cell r="T536" t="str">
            <v>-</v>
          </cell>
          <cell r="U536" t="str">
            <v>-</v>
          </cell>
          <cell r="W536" t="str">
            <v>-</v>
          </cell>
          <cell r="X536" t="str">
            <v>-</v>
          </cell>
        </row>
        <row r="537">
          <cell r="A537">
            <v>72220529</v>
          </cell>
          <cell r="B537">
            <v>1384</v>
          </cell>
          <cell r="C537" t="str">
            <v>뿔횟대</v>
          </cell>
          <cell r="D537" t="str">
            <v>C</v>
          </cell>
          <cell r="E537">
            <v>70409237</v>
          </cell>
          <cell r="H537" t="str">
            <v>-</v>
          </cell>
          <cell r="I537" t="str">
            <v>-</v>
          </cell>
          <cell r="K537" t="str">
            <v>-</v>
          </cell>
          <cell r="L537" t="str">
            <v>-</v>
          </cell>
          <cell r="N537" t="str">
            <v>-</v>
          </cell>
          <cell r="O537" t="str">
            <v>-</v>
          </cell>
          <cell r="Q537" t="str">
            <v>-</v>
          </cell>
          <cell r="R537" t="str">
            <v>-</v>
          </cell>
          <cell r="T537" t="str">
            <v>-</v>
          </cell>
          <cell r="U537" t="str">
            <v>-</v>
          </cell>
          <cell r="W537" t="str">
            <v>-</v>
          </cell>
          <cell r="X537" t="str">
            <v>-</v>
          </cell>
        </row>
        <row r="538">
          <cell r="A538">
            <v>72220530</v>
          </cell>
          <cell r="B538">
            <v>1384</v>
          </cell>
          <cell r="C538" t="str">
            <v>바다빙어</v>
          </cell>
          <cell r="D538" t="str">
            <v>B</v>
          </cell>
          <cell r="E538">
            <v>70409181</v>
          </cell>
          <cell r="H538" t="str">
            <v>-</v>
          </cell>
          <cell r="I538" t="str">
            <v>-</v>
          </cell>
          <cell r="K538" t="str">
            <v>-</v>
          </cell>
          <cell r="L538" t="str">
            <v>-</v>
          </cell>
          <cell r="N538" t="str">
            <v>-</v>
          </cell>
          <cell r="O538" t="str">
            <v>-</v>
          </cell>
          <cell r="Q538" t="str">
            <v>-</v>
          </cell>
          <cell r="R538" t="str">
            <v>-</v>
          </cell>
          <cell r="T538" t="str">
            <v>-</v>
          </cell>
          <cell r="U538" t="str">
            <v>-</v>
          </cell>
          <cell r="W538" t="str">
            <v>-</v>
          </cell>
          <cell r="X538" t="str">
            <v>-</v>
          </cell>
        </row>
        <row r="539">
          <cell r="A539">
            <v>72220531</v>
          </cell>
          <cell r="B539">
            <v>1384</v>
          </cell>
          <cell r="C539" t="str">
            <v>정어리</v>
          </cell>
          <cell r="D539" t="str">
            <v>D</v>
          </cell>
          <cell r="E539">
            <v>70409320</v>
          </cell>
          <cell r="H539" t="str">
            <v>-</v>
          </cell>
          <cell r="I539" t="str">
            <v>-</v>
          </cell>
          <cell r="K539" t="str">
            <v>-</v>
          </cell>
          <cell r="L539" t="str">
            <v>-</v>
          </cell>
          <cell r="N539" t="str">
            <v>-</v>
          </cell>
          <cell r="O539" t="str">
            <v>-</v>
          </cell>
          <cell r="Q539" t="str">
            <v>-</v>
          </cell>
          <cell r="R539" t="str">
            <v>-</v>
          </cell>
          <cell r="T539" t="str">
            <v>-</v>
          </cell>
          <cell r="U539" t="str">
            <v>-</v>
          </cell>
          <cell r="W539" t="str">
            <v>-</v>
          </cell>
          <cell r="X539" t="str">
            <v>-</v>
          </cell>
        </row>
        <row r="540">
          <cell r="A540">
            <v>72220532</v>
          </cell>
          <cell r="B540">
            <v>1391</v>
          </cell>
          <cell r="C540" t="str">
            <v>범고래</v>
          </cell>
          <cell r="D540" t="str">
            <v>A</v>
          </cell>
          <cell r="E540">
            <v>70409195</v>
          </cell>
          <cell r="H540" t="str">
            <v>-</v>
          </cell>
          <cell r="I540" t="str">
            <v>-</v>
          </cell>
          <cell r="K540" t="str">
            <v>-</v>
          </cell>
          <cell r="L540" t="str">
            <v>-</v>
          </cell>
          <cell r="N540" t="str">
            <v>-</v>
          </cell>
          <cell r="O540" t="str">
            <v>-</v>
          </cell>
          <cell r="Q540" t="str">
            <v>-</v>
          </cell>
          <cell r="R540" t="str">
            <v>-</v>
          </cell>
          <cell r="T540" t="str">
            <v>-</v>
          </cell>
          <cell r="U540" t="str">
            <v>-</v>
          </cell>
          <cell r="W540" t="str">
            <v>-</v>
          </cell>
          <cell r="X540" t="str">
            <v>-</v>
          </cell>
        </row>
        <row r="541">
          <cell r="A541">
            <v>72220533</v>
          </cell>
          <cell r="B541">
            <v>1391</v>
          </cell>
          <cell r="C541" t="str">
            <v>바다빙어</v>
          </cell>
          <cell r="D541" t="str">
            <v>B</v>
          </cell>
          <cell r="E541">
            <v>70409181</v>
          </cell>
          <cell r="H541" t="str">
            <v>-</v>
          </cell>
          <cell r="I541" t="str">
            <v>-</v>
          </cell>
          <cell r="K541" t="str">
            <v>-</v>
          </cell>
          <cell r="L541" t="str">
            <v>-</v>
          </cell>
          <cell r="N541" t="str">
            <v>-</v>
          </cell>
          <cell r="O541" t="str">
            <v>-</v>
          </cell>
          <cell r="Q541" t="str">
            <v>-</v>
          </cell>
          <cell r="R541" t="str">
            <v>-</v>
          </cell>
          <cell r="T541" t="str">
            <v>-</v>
          </cell>
          <cell r="U541" t="str">
            <v>-</v>
          </cell>
          <cell r="W541" t="str">
            <v>-</v>
          </cell>
          <cell r="X541" t="str">
            <v>-</v>
          </cell>
        </row>
        <row r="542">
          <cell r="A542">
            <v>72220534</v>
          </cell>
          <cell r="B542">
            <v>1391</v>
          </cell>
          <cell r="C542" t="str">
            <v>뿔횟대</v>
          </cell>
          <cell r="D542" t="str">
            <v>C</v>
          </cell>
          <cell r="E542">
            <v>70409237</v>
          </cell>
          <cell r="H542" t="str">
            <v>-</v>
          </cell>
          <cell r="I542" t="str">
            <v>-</v>
          </cell>
          <cell r="K542" t="str">
            <v>-</v>
          </cell>
          <cell r="L542" t="str">
            <v>-</v>
          </cell>
          <cell r="N542" t="str">
            <v>-</v>
          </cell>
          <cell r="O542" t="str">
            <v>-</v>
          </cell>
          <cell r="Q542" t="str">
            <v>-</v>
          </cell>
          <cell r="R542" t="str">
            <v>-</v>
          </cell>
          <cell r="T542" t="str">
            <v>-</v>
          </cell>
          <cell r="U542" t="str">
            <v>-</v>
          </cell>
          <cell r="W542" t="str">
            <v>-</v>
          </cell>
          <cell r="X542" t="str">
            <v>-</v>
          </cell>
        </row>
        <row r="543">
          <cell r="A543">
            <v>72220535</v>
          </cell>
          <cell r="B543">
            <v>1391</v>
          </cell>
          <cell r="C543" t="str">
            <v>정어리</v>
          </cell>
          <cell r="D543" t="str">
            <v>D</v>
          </cell>
          <cell r="E543">
            <v>70409320</v>
          </cell>
          <cell r="H543" t="str">
            <v>-</v>
          </cell>
          <cell r="I543" t="str">
            <v>-</v>
          </cell>
          <cell r="K543" t="str">
            <v>-</v>
          </cell>
          <cell r="L543" t="str">
            <v>-</v>
          </cell>
          <cell r="N543" t="str">
            <v>-</v>
          </cell>
          <cell r="O543" t="str">
            <v>-</v>
          </cell>
          <cell r="Q543" t="str">
            <v>-</v>
          </cell>
          <cell r="R543" t="str">
            <v>-</v>
          </cell>
          <cell r="T543" t="str">
            <v>-</v>
          </cell>
          <cell r="U543" t="str">
            <v>-</v>
          </cell>
          <cell r="W543" t="str">
            <v>-</v>
          </cell>
          <cell r="X543" t="str">
            <v>-</v>
          </cell>
        </row>
        <row r="544">
          <cell r="A544">
            <v>72220536</v>
          </cell>
          <cell r="B544">
            <v>1392</v>
          </cell>
          <cell r="C544" t="str">
            <v>범고래</v>
          </cell>
          <cell r="D544" t="str">
            <v>A</v>
          </cell>
          <cell r="E544">
            <v>70409195</v>
          </cell>
          <cell r="H544" t="str">
            <v>-</v>
          </cell>
          <cell r="I544" t="str">
            <v>-</v>
          </cell>
          <cell r="K544" t="str">
            <v>-</v>
          </cell>
          <cell r="L544" t="str">
            <v>-</v>
          </cell>
          <cell r="N544" t="str">
            <v>-</v>
          </cell>
          <cell r="O544" t="str">
            <v>-</v>
          </cell>
          <cell r="Q544" t="str">
            <v>-</v>
          </cell>
          <cell r="R544" t="str">
            <v>-</v>
          </cell>
          <cell r="T544" t="str">
            <v>-</v>
          </cell>
          <cell r="U544" t="str">
            <v>-</v>
          </cell>
          <cell r="W544" t="str">
            <v>-</v>
          </cell>
          <cell r="X544" t="str">
            <v>-</v>
          </cell>
        </row>
        <row r="545">
          <cell r="A545">
            <v>72220537</v>
          </cell>
          <cell r="B545">
            <v>1392</v>
          </cell>
          <cell r="C545" t="str">
            <v>바다빙어</v>
          </cell>
          <cell r="D545" t="str">
            <v>B</v>
          </cell>
          <cell r="E545">
            <v>70409181</v>
          </cell>
          <cell r="H545" t="str">
            <v>-</v>
          </cell>
          <cell r="I545" t="str">
            <v>-</v>
          </cell>
          <cell r="K545" t="str">
            <v>-</v>
          </cell>
          <cell r="L545" t="str">
            <v>-</v>
          </cell>
          <cell r="N545" t="str">
            <v>-</v>
          </cell>
          <cell r="O545" t="str">
            <v>-</v>
          </cell>
          <cell r="Q545" t="str">
            <v>-</v>
          </cell>
          <cell r="R545" t="str">
            <v>-</v>
          </cell>
          <cell r="T545" t="str">
            <v>-</v>
          </cell>
          <cell r="U545" t="str">
            <v>-</v>
          </cell>
          <cell r="W545" t="str">
            <v>-</v>
          </cell>
          <cell r="X545" t="str">
            <v>-</v>
          </cell>
        </row>
        <row r="546">
          <cell r="A546">
            <v>72220538</v>
          </cell>
          <cell r="B546">
            <v>1392</v>
          </cell>
          <cell r="C546" t="str">
            <v>뿔횟대</v>
          </cell>
          <cell r="D546" t="str">
            <v>C</v>
          </cell>
          <cell r="E546">
            <v>70409237</v>
          </cell>
          <cell r="H546" t="str">
            <v>-</v>
          </cell>
          <cell r="I546" t="str">
            <v>-</v>
          </cell>
          <cell r="K546" t="str">
            <v>-</v>
          </cell>
          <cell r="L546" t="str">
            <v>-</v>
          </cell>
          <cell r="N546" t="str">
            <v>-</v>
          </cell>
          <cell r="O546" t="str">
            <v>-</v>
          </cell>
          <cell r="Q546" t="str">
            <v>-</v>
          </cell>
          <cell r="R546" t="str">
            <v>-</v>
          </cell>
          <cell r="T546" t="str">
            <v>-</v>
          </cell>
          <cell r="U546" t="str">
            <v>-</v>
          </cell>
          <cell r="W546" t="str">
            <v>-</v>
          </cell>
          <cell r="X546" t="str">
            <v>-</v>
          </cell>
        </row>
        <row r="547">
          <cell r="A547">
            <v>72220539</v>
          </cell>
          <cell r="B547">
            <v>1392</v>
          </cell>
          <cell r="C547" t="str">
            <v>정어리</v>
          </cell>
          <cell r="D547" t="str">
            <v>D</v>
          </cell>
          <cell r="E547">
            <v>70409320</v>
          </cell>
          <cell r="H547" t="str">
            <v>-</v>
          </cell>
          <cell r="I547" t="str">
            <v>-</v>
          </cell>
          <cell r="K547" t="str">
            <v>-</v>
          </cell>
          <cell r="L547" t="str">
            <v>-</v>
          </cell>
          <cell r="N547" t="str">
            <v>-</v>
          </cell>
          <cell r="O547" t="str">
            <v>-</v>
          </cell>
          <cell r="Q547" t="str">
            <v>-</v>
          </cell>
          <cell r="R547" t="str">
            <v>-</v>
          </cell>
          <cell r="T547" t="str">
            <v>-</v>
          </cell>
          <cell r="U547" t="str">
            <v>-</v>
          </cell>
          <cell r="W547" t="str">
            <v>-</v>
          </cell>
          <cell r="X547" t="str">
            <v>-</v>
          </cell>
        </row>
        <row r="548">
          <cell r="A548">
            <v>72220540</v>
          </cell>
          <cell r="B548">
            <v>1393</v>
          </cell>
          <cell r="C548" t="str">
            <v>범고래</v>
          </cell>
          <cell r="D548" t="str">
            <v>A</v>
          </cell>
          <cell r="E548">
            <v>70409195</v>
          </cell>
          <cell r="H548" t="str">
            <v>-</v>
          </cell>
          <cell r="I548" t="str">
            <v>-</v>
          </cell>
          <cell r="K548" t="str">
            <v>-</v>
          </cell>
          <cell r="L548" t="str">
            <v>-</v>
          </cell>
          <cell r="N548" t="str">
            <v>-</v>
          </cell>
          <cell r="O548" t="str">
            <v>-</v>
          </cell>
          <cell r="Q548" t="str">
            <v>-</v>
          </cell>
          <cell r="R548" t="str">
            <v>-</v>
          </cell>
          <cell r="T548" t="str">
            <v>-</v>
          </cell>
          <cell r="U548" t="str">
            <v>-</v>
          </cell>
          <cell r="W548" t="str">
            <v>-</v>
          </cell>
          <cell r="X548" t="str">
            <v>-</v>
          </cell>
        </row>
        <row r="549">
          <cell r="A549">
            <v>72220541</v>
          </cell>
          <cell r="B549">
            <v>1393</v>
          </cell>
          <cell r="C549" t="str">
            <v>바다빙어</v>
          </cell>
          <cell r="D549" t="str">
            <v>B</v>
          </cell>
          <cell r="E549">
            <v>70409181</v>
          </cell>
          <cell r="H549" t="str">
            <v>-</v>
          </cell>
          <cell r="I549" t="str">
            <v>-</v>
          </cell>
          <cell r="K549" t="str">
            <v>-</v>
          </cell>
          <cell r="L549" t="str">
            <v>-</v>
          </cell>
          <cell r="N549" t="str">
            <v>-</v>
          </cell>
          <cell r="O549" t="str">
            <v>-</v>
          </cell>
          <cell r="Q549" t="str">
            <v>-</v>
          </cell>
          <cell r="R549" t="str">
            <v>-</v>
          </cell>
          <cell r="T549" t="str">
            <v>-</v>
          </cell>
          <cell r="U549" t="str">
            <v>-</v>
          </cell>
          <cell r="W549" t="str">
            <v>-</v>
          </cell>
          <cell r="X549" t="str">
            <v>-</v>
          </cell>
        </row>
        <row r="550">
          <cell r="A550">
            <v>72220542</v>
          </cell>
          <cell r="B550">
            <v>1393</v>
          </cell>
          <cell r="C550" t="str">
            <v>뿔횟대</v>
          </cell>
          <cell r="D550" t="str">
            <v>C</v>
          </cell>
          <cell r="E550">
            <v>70409237</v>
          </cell>
          <cell r="H550" t="str">
            <v>-</v>
          </cell>
          <cell r="I550" t="str">
            <v>-</v>
          </cell>
          <cell r="K550" t="str">
            <v>-</v>
          </cell>
          <cell r="L550" t="str">
            <v>-</v>
          </cell>
          <cell r="N550" t="str">
            <v>-</v>
          </cell>
          <cell r="O550" t="str">
            <v>-</v>
          </cell>
          <cell r="Q550" t="str">
            <v>-</v>
          </cell>
          <cell r="R550" t="str">
            <v>-</v>
          </cell>
          <cell r="T550" t="str">
            <v>-</v>
          </cell>
          <cell r="U550" t="str">
            <v>-</v>
          </cell>
          <cell r="W550" t="str">
            <v>-</v>
          </cell>
          <cell r="X550" t="str">
            <v>-</v>
          </cell>
        </row>
        <row r="551">
          <cell r="A551">
            <v>72220543</v>
          </cell>
          <cell r="B551">
            <v>1393</v>
          </cell>
          <cell r="C551" t="str">
            <v>정어리</v>
          </cell>
          <cell r="D551" t="str">
            <v>D</v>
          </cell>
          <cell r="E551">
            <v>70409320</v>
          </cell>
          <cell r="H551" t="str">
            <v>-</v>
          </cell>
          <cell r="I551" t="str">
            <v>-</v>
          </cell>
          <cell r="K551" t="str">
            <v>-</v>
          </cell>
          <cell r="L551" t="str">
            <v>-</v>
          </cell>
          <cell r="N551" t="str">
            <v>-</v>
          </cell>
          <cell r="O551" t="str">
            <v>-</v>
          </cell>
          <cell r="Q551" t="str">
            <v>-</v>
          </cell>
          <cell r="R551" t="str">
            <v>-</v>
          </cell>
          <cell r="T551" t="str">
            <v>-</v>
          </cell>
          <cell r="U551" t="str">
            <v>-</v>
          </cell>
          <cell r="W551" t="str">
            <v>-</v>
          </cell>
          <cell r="X551" t="str">
            <v>-</v>
          </cell>
        </row>
        <row r="552">
          <cell r="A552">
            <v>72220544</v>
          </cell>
          <cell r="B552">
            <v>1394</v>
          </cell>
          <cell r="C552" t="str">
            <v>범고래</v>
          </cell>
          <cell r="D552" t="str">
            <v>A</v>
          </cell>
          <cell r="E552">
            <v>70409195</v>
          </cell>
          <cell r="H552" t="str">
            <v>-</v>
          </cell>
          <cell r="I552" t="str">
            <v>-</v>
          </cell>
          <cell r="K552" t="str">
            <v>-</v>
          </cell>
          <cell r="L552" t="str">
            <v>-</v>
          </cell>
          <cell r="N552" t="str">
            <v>-</v>
          </cell>
          <cell r="O552" t="str">
            <v>-</v>
          </cell>
          <cell r="Q552" t="str">
            <v>-</v>
          </cell>
          <cell r="R552" t="str">
            <v>-</v>
          </cell>
          <cell r="T552" t="str">
            <v>-</v>
          </cell>
          <cell r="U552" t="str">
            <v>-</v>
          </cell>
          <cell r="W552" t="str">
            <v>-</v>
          </cell>
          <cell r="X552" t="str">
            <v>-</v>
          </cell>
        </row>
        <row r="553">
          <cell r="A553">
            <v>72220545</v>
          </cell>
          <cell r="B553">
            <v>1394</v>
          </cell>
          <cell r="C553" t="str">
            <v>바다빙어</v>
          </cell>
          <cell r="D553" t="str">
            <v>B</v>
          </cell>
          <cell r="E553">
            <v>70409181</v>
          </cell>
          <cell r="H553" t="str">
            <v>-</v>
          </cell>
          <cell r="I553" t="str">
            <v>-</v>
          </cell>
          <cell r="K553" t="str">
            <v>-</v>
          </cell>
          <cell r="L553" t="str">
            <v>-</v>
          </cell>
          <cell r="N553" t="str">
            <v>-</v>
          </cell>
          <cell r="O553" t="str">
            <v>-</v>
          </cell>
          <cell r="Q553" t="str">
            <v>-</v>
          </cell>
          <cell r="R553" t="str">
            <v>-</v>
          </cell>
          <cell r="T553" t="str">
            <v>-</v>
          </cell>
          <cell r="U553" t="str">
            <v>-</v>
          </cell>
          <cell r="W553" t="str">
            <v>-</v>
          </cell>
          <cell r="X553" t="str">
            <v>-</v>
          </cell>
        </row>
        <row r="554">
          <cell r="A554">
            <v>72220546</v>
          </cell>
          <cell r="B554">
            <v>1394</v>
          </cell>
          <cell r="C554" t="str">
            <v>뿔횟대</v>
          </cell>
          <cell r="D554" t="str">
            <v>C</v>
          </cell>
          <cell r="E554">
            <v>70409237</v>
          </cell>
          <cell r="H554" t="str">
            <v>-</v>
          </cell>
          <cell r="I554" t="str">
            <v>-</v>
          </cell>
          <cell r="K554" t="str">
            <v>-</v>
          </cell>
          <cell r="L554" t="str">
            <v>-</v>
          </cell>
          <cell r="N554" t="str">
            <v>-</v>
          </cell>
          <cell r="O554" t="str">
            <v>-</v>
          </cell>
          <cell r="Q554" t="str">
            <v>-</v>
          </cell>
          <cell r="R554" t="str">
            <v>-</v>
          </cell>
          <cell r="T554" t="str">
            <v>-</v>
          </cell>
          <cell r="U554" t="str">
            <v>-</v>
          </cell>
          <cell r="W554" t="str">
            <v>-</v>
          </cell>
          <cell r="X554" t="str">
            <v>-</v>
          </cell>
        </row>
        <row r="555">
          <cell r="A555">
            <v>72220547</v>
          </cell>
          <cell r="B555">
            <v>1394</v>
          </cell>
          <cell r="C555" t="str">
            <v>정어리</v>
          </cell>
          <cell r="D555" t="str">
            <v>D</v>
          </cell>
          <cell r="E555">
            <v>70409320</v>
          </cell>
          <cell r="H555" t="str">
            <v>-</v>
          </cell>
          <cell r="I555" t="str">
            <v>-</v>
          </cell>
          <cell r="K555" t="str">
            <v>-</v>
          </cell>
          <cell r="L555" t="str">
            <v>-</v>
          </cell>
          <cell r="N555" t="str">
            <v>-</v>
          </cell>
          <cell r="O555" t="str">
            <v>-</v>
          </cell>
          <cell r="Q555" t="str">
            <v>-</v>
          </cell>
          <cell r="R555" t="str">
            <v>-</v>
          </cell>
          <cell r="T555" t="str">
            <v>-</v>
          </cell>
          <cell r="U555" t="str">
            <v>-</v>
          </cell>
          <cell r="W555" t="str">
            <v>-</v>
          </cell>
          <cell r="X555" t="str">
            <v>-</v>
          </cell>
        </row>
        <row r="556">
          <cell r="A556">
            <v>72220548</v>
          </cell>
          <cell r="B556">
            <v>1401</v>
          </cell>
          <cell r="C556" t="str">
            <v>빨판상어</v>
          </cell>
          <cell r="D556" t="str">
            <v>C</v>
          </cell>
          <cell r="E556">
            <v>70409233</v>
          </cell>
          <cell r="H556" t="str">
            <v>-</v>
          </cell>
          <cell r="I556" t="str">
            <v>-</v>
          </cell>
          <cell r="K556" t="str">
            <v>-</v>
          </cell>
          <cell r="L556" t="str">
            <v>-</v>
          </cell>
          <cell r="N556" t="str">
            <v>-</v>
          </cell>
          <cell r="O556" t="str">
            <v>-</v>
          </cell>
          <cell r="Q556" t="str">
            <v>-</v>
          </cell>
          <cell r="R556" t="str">
            <v>-</v>
          </cell>
          <cell r="T556" t="str">
            <v>-</v>
          </cell>
          <cell r="U556" t="str">
            <v>-</v>
          </cell>
          <cell r="W556" t="str">
            <v>-</v>
          </cell>
          <cell r="X556" t="str">
            <v>-</v>
          </cell>
        </row>
        <row r="557">
          <cell r="A557">
            <v>72220549</v>
          </cell>
          <cell r="B557">
            <v>1401</v>
          </cell>
          <cell r="C557" t="str">
            <v>철갑상어</v>
          </cell>
          <cell r="D557" t="str">
            <v>A</v>
          </cell>
          <cell r="E557">
            <v>70409346</v>
          </cell>
          <cell r="H557" t="str">
            <v>-</v>
          </cell>
          <cell r="I557" t="str">
            <v>-</v>
          </cell>
          <cell r="K557" t="str">
            <v>-</v>
          </cell>
          <cell r="L557" t="str">
            <v>-</v>
          </cell>
          <cell r="N557" t="str">
            <v>-</v>
          </cell>
          <cell r="O557" t="str">
            <v>-</v>
          </cell>
          <cell r="Q557" t="str">
            <v>-</v>
          </cell>
          <cell r="R557" t="str">
            <v>-</v>
          </cell>
          <cell r="T557" t="str">
            <v>-</v>
          </cell>
          <cell r="U557" t="str">
            <v>-</v>
          </cell>
          <cell r="W557" t="str">
            <v>-</v>
          </cell>
          <cell r="X557" t="str">
            <v>-</v>
          </cell>
        </row>
        <row r="558">
          <cell r="A558">
            <v>72220550</v>
          </cell>
          <cell r="B558">
            <v>1401</v>
          </cell>
          <cell r="C558" t="str">
            <v>타락치</v>
          </cell>
          <cell r="D558" t="str">
            <v>D</v>
          </cell>
          <cell r="E558">
            <v>70409366</v>
          </cell>
          <cell r="H558" t="str">
            <v>-</v>
          </cell>
          <cell r="I558" t="str">
            <v>-</v>
          </cell>
          <cell r="K558" t="str">
            <v>-</v>
          </cell>
          <cell r="L558" t="str">
            <v>-</v>
          </cell>
          <cell r="N558" t="str">
            <v>-</v>
          </cell>
          <cell r="O558" t="str">
            <v>-</v>
          </cell>
          <cell r="Q558" t="str">
            <v>-</v>
          </cell>
          <cell r="R558" t="str">
            <v>-</v>
          </cell>
          <cell r="T558" t="str">
            <v>-</v>
          </cell>
          <cell r="U558" t="str">
            <v>-</v>
          </cell>
          <cell r="W558" t="str">
            <v>-</v>
          </cell>
          <cell r="X558" t="str">
            <v>-</v>
          </cell>
        </row>
        <row r="559">
          <cell r="A559">
            <v>72220551</v>
          </cell>
          <cell r="B559">
            <v>1401</v>
          </cell>
          <cell r="C559" t="str">
            <v>정어리</v>
          </cell>
          <cell r="D559" t="str">
            <v>D</v>
          </cell>
          <cell r="E559">
            <v>70409320</v>
          </cell>
          <cell r="H559" t="str">
            <v>-</v>
          </cell>
          <cell r="I559" t="str">
            <v>-</v>
          </cell>
          <cell r="K559" t="str">
            <v>-</v>
          </cell>
          <cell r="L559" t="str">
            <v>-</v>
          </cell>
          <cell r="N559" t="str">
            <v>-</v>
          </cell>
          <cell r="O559" t="str">
            <v>-</v>
          </cell>
          <cell r="Q559" t="str">
            <v>-</v>
          </cell>
          <cell r="R559" t="str">
            <v>-</v>
          </cell>
          <cell r="T559" t="str">
            <v>-</v>
          </cell>
          <cell r="U559" t="str">
            <v>-</v>
          </cell>
          <cell r="W559" t="str">
            <v>-</v>
          </cell>
          <cell r="X559" t="str">
            <v>-</v>
          </cell>
        </row>
        <row r="560">
          <cell r="A560">
            <v>72220552</v>
          </cell>
          <cell r="B560">
            <v>1402</v>
          </cell>
          <cell r="C560" t="str">
            <v>빨판상어</v>
          </cell>
          <cell r="D560" t="str">
            <v>C</v>
          </cell>
          <cell r="E560">
            <v>70409233</v>
          </cell>
          <cell r="H560" t="str">
            <v>-</v>
          </cell>
          <cell r="I560" t="str">
            <v>-</v>
          </cell>
          <cell r="K560" t="str">
            <v>-</v>
          </cell>
          <cell r="L560" t="str">
            <v>-</v>
          </cell>
          <cell r="N560" t="str">
            <v>-</v>
          </cell>
          <cell r="O560" t="str">
            <v>-</v>
          </cell>
          <cell r="Q560" t="str">
            <v>-</v>
          </cell>
          <cell r="R560" t="str">
            <v>-</v>
          </cell>
          <cell r="T560" t="str">
            <v>-</v>
          </cell>
          <cell r="U560" t="str">
            <v>-</v>
          </cell>
          <cell r="W560" t="str">
            <v>-</v>
          </cell>
          <cell r="X560" t="str">
            <v>-</v>
          </cell>
        </row>
        <row r="561">
          <cell r="A561">
            <v>72220553</v>
          </cell>
          <cell r="B561">
            <v>1402</v>
          </cell>
          <cell r="C561" t="str">
            <v>철갑상어</v>
          </cell>
          <cell r="D561" t="str">
            <v>A</v>
          </cell>
          <cell r="E561">
            <v>70409346</v>
          </cell>
          <cell r="H561" t="str">
            <v>-</v>
          </cell>
          <cell r="I561" t="str">
            <v>-</v>
          </cell>
          <cell r="K561" t="str">
            <v>-</v>
          </cell>
          <cell r="L561" t="str">
            <v>-</v>
          </cell>
          <cell r="N561" t="str">
            <v>-</v>
          </cell>
          <cell r="O561" t="str">
            <v>-</v>
          </cell>
          <cell r="Q561" t="str">
            <v>-</v>
          </cell>
          <cell r="R561" t="str">
            <v>-</v>
          </cell>
          <cell r="T561" t="str">
            <v>-</v>
          </cell>
          <cell r="U561" t="str">
            <v>-</v>
          </cell>
          <cell r="W561" t="str">
            <v>-</v>
          </cell>
          <cell r="X561" t="str">
            <v>-</v>
          </cell>
        </row>
        <row r="562">
          <cell r="A562">
            <v>72220554</v>
          </cell>
          <cell r="B562">
            <v>1402</v>
          </cell>
          <cell r="C562" t="str">
            <v>타락치</v>
          </cell>
          <cell r="D562" t="str">
            <v>D</v>
          </cell>
          <cell r="E562">
            <v>70409366</v>
          </cell>
          <cell r="H562" t="str">
            <v>-</v>
          </cell>
          <cell r="I562" t="str">
            <v>-</v>
          </cell>
          <cell r="K562" t="str">
            <v>-</v>
          </cell>
          <cell r="L562" t="str">
            <v>-</v>
          </cell>
          <cell r="N562" t="str">
            <v>-</v>
          </cell>
          <cell r="O562" t="str">
            <v>-</v>
          </cell>
          <cell r="Q562" t="str">
            <v>-</v>
          </cell>
          <cell r="R562" t="str">
            <v>-</v>
          </cell>
          <cell r="T562" t="str">
            <v>-</v>
          </cell>
          <cell r="U562" t="str">
            <v>-</v>
          </cell>
          <cell r="W562" t="str">
            <v>-</v>
          </cell>
          <cell r="X562" t="str">
            <v>-</v>
          </cell>
        </row>
        <row r="563">
          <cell r="A563">
            <v>72220555</v>
          </cell>
          <cell r="B563">
            <v>1402</v>
          </cell>
          <cell r="C563" t="str">
            <v>정어리</v>
          </cell>
          <cell r="D563" t="str">
            <v>D</v>
          </cell>
          <cell r="E563">
            <v>70409320</v>
          </cell>
          <cell r="H563" t="str">
            <v>-</v>
          </cell>
          <cell r="I563" t="str">
            <v>-</v>
          </cell>
          <cell r="K563" t="str">
            <v>-</v>
          </cell>
          <cell r="L563" t="str">
            <v>-</v>
          </cell>
          <cell r="N563" t="str">
            <v>-</v>
          </cell>
          <cell r="O563" t="str">
            <v>-</v>
          </cell>
          <cell r="Q563" t="str">
            <v>-</v>
          </cell>
          <cell r="R563" t="str">
            <v>-</v>
          </cell>
          <cell r="T563" t="str">
            <v>-</v>
          </cell>
          <cell r="U563" t="str">
            <v>-</v>
          </cell>
          <cell r="W563" t="str">
            <v>-</v>
          </cell>
          <cell r="X563" t="str">
            <v>-</v>
          </cell>
        </row>
        <row r="564">
          <cell r="A564">
            <v>72220556</v>
          </cell>
          <cell r="B564">
            <v>1403</v>
          </cell>
          <cell r="C564" t="str">
            <v>빨판상어</v>
          </cell>
          <cell r="D564" t="str">
            <v>C</v>
          </cell>
          <cell r="E564">
            <v>70409233</v>
          </cell>
          <cell r="H564" t="str">
            <v>-</v>
          </cell>
          <cell r="I564" t="str">
            <v>-</v>
          </cell>
          <cell r="K564" t="str">
            <v>-</v>
          </cell>
          <cell r="L564" t="str">
            <v>-</v>
          </cell>
          <cell r="N564" t="str">
            <v>-</v>
          </cell>
          <cell r="O564" t="str">
            <v>-</v>
          </cell>
          <cell r="Q564" t="str">
            <v>-</v>
          </cell>
          <cell r="R564" t="str">
            <v>-</v>
          </cell>
          <cell r="T564" t="str">
            <v>-</v>
          </cell>
          <cell r="U564" t="str">
            <v>-</v>
          </cell>
          <cell r="W564" t="str">
            <v>-</v>
          </cell>
          <cell r="X564" t="str">
            <v>-</v>
          </cell>
        </row>
        <row r="565">
          <cell r="A565">
            <v>72220557</v>
          </cell>
          <cell r="B565">
            <v>1403</v>
          </cell>
          <cell r="C565" t="str">
            <v>철갑상어</v>
          </cell>
          <cell r="D565" t="str">
            <v>A</v>
          </cell>
          <cell r="E565">
            <v>70409346</v>
          </cell>
          <cell r="H565" t="str">
            <v>-</v>
          </cell>
          <cell r="I565" t="str">
            <v>-</v>
          </cell>
          <cell r="K565" t="str">
            <v>-</v>
          </cell>
          <cell r="L565" t="str">
            <v>-</v>
          </cell>
          <cell r="N565" t="str">
            <v>-</v>
          </cell>
          <cell r="O565" t="str">
            <v>-</v>
          </cell>
          <cell r="Q565" t="str">
            <v>-</v>
          </cell>
          <cell r="R565" t="str">
            <v>-</v>
          </cell>
          <cell r="T565" t="str">
            <v>-</v>
          </cell>
          <cell r="U565" t="str">
            <v>-</v>
          </cell>
          <cell r="W565" t="str">
            <v>-</v>
          </cell>
          <cell r="X565" t="str">
            <v>-</v>
          </cell>
        </row>
        <row r="566">
          <cell r="A566">
            <v>72220558</v>
          </cell>
          <cell r="B566">
            <v>1403</v>
          </cell>
          <cell r="C566" t="str">
            <v>타락치</v>
          </cell>
          <cell r="D566" t="str">
            <v>D</v>
          </cell>
          <cell r="E566">
            <v>70409366</v>
          </cell>
          <cell r="H566" t="str">
            <v>-</v>
          </cell>
          <cell r="I566" t="str">
            <v>-</v>
          </cell>
          <cell r="K566" t="str">
            <v>-</v>
          </cell>
          <cell r="L566" t="str">
            <v>-</v>
          </cell>
          <cell r="N566" t="str">
            <v>-</v>
          </cell>
          <cell r="O566" t="str">
            <v>-</v>
          </cell>
          <cell r="Q566" t="str">
            <v>-</v>
          </cell>
          <cell r="R566" t="str">
            <v>-</v>
          </cell>
          <cell r="T566" t="str">
            <v>-</v>
          </cell>
          <cell r="U566" t="str">
            <v>-</v>
          </cell>
          <cell r="W566" t="str">
            <v>-</v>
          </cell>
          <cell r="X566" t="str">
            <v>-</v>
          </cell>
        </row>
        <row r="567">
          <cell r="A567">
            <v>72220559</v>
          </cell>
          <cell r="B567">
            <v>1403</v>
          </cell>
          <cell r="C567" t="str">
            <v>정어리</v>
          </cell>
          <cell r="D567" t="str">
            <v>D</v>
          </cell>
          <cell r="E567">
            <v>70409320</v>
          </cell>
          <cell r="H567" t="str">
            <v>-</v>
          </cell>
          <cell r="I567" t="str">
            <v>-</v>
          </cell>
          <cell r="K567" t="str">
            <v>-</v>
          </cell>
          <cell r="L567" t="str">
            <v>-</v>
          </cell>
          <cell r="N567" t="str">
            <v>-</v>
          </cell>
          <cell r="O567" t="str">
            <v>-</v>
          </cell>
          <cell r="Q567" t="str">
            <v>-</v>
          </cell>
          <cell r="R567" t="str">
            <v>-</v>
          </cell>
          <cell r="T567" t="str">
            <v>-</v>
          </cell>
          <cell r="U567" t="str">
            <v>-</v>
          </cell>
          <cell r="W567" t="str">
            <v>-</v>
          </cell>
          <cell r="X567" t="str">
            <v>-</v>
          </cell>
        </row>
        <row r="568">
          <cell r="A568">
            <v>72220560</v>
          </cell>
          <cell r="B568">
            <v>1404</v>
          </cell>
          <cell r="C568" t="str">
            <v>빨판상어</v>
          </cell>
          <cell r="D568" t="str">
            <v>C</v>
          </cell>
          <cell r="E568">
            <v>70409233</v>
          </cell>
          <cell r="H568" t="str">
            <v>-</v>
          </cell>
          <cell r="I568" t="str">
            <v>-</v>
          </cell>
          <cell r="K568" t="str">
            <v>-</v>
          </cell>
          <cell r="L568" t="str">
            <v>-</v>
          </cell>
          <cell r="N568" t="str">
            <v>-</v>
          </cell>
          <cell r="O568" t="str">
            <v>-</v>
          </cell>
          <cell r="Q568" t="str">
            <v>-</v>
          </cell>
          <cell r="R568" t="str">
            <v>-</v>
          </cell>
          <cell r="T568" t="str">
            <v>-</v>
          </cell>
          <cell r="U568" t="str">
            <v>-</v>
          </cell>
          <cell r="W568" t="str">
            <v>-</v>
          </cell>
          <cell r="X568" t="str">
            <v>-</v>
          </cell>
        </row>
        <row r="569">
          <cell r="A569">
            <v>72220561</v>
          </cell>
          <cell r="B569">
            <v>1404</v>
          </cell>
          <cell r="C569" t="str">
            <v>철갑상어</v>
          </cell>
          <cell r="D569" t="str">
            <v>A</v>
          </cell>
          <cell r="E569">
            <v>70409346</v>
          </cell>
          <cell r="H569" t="str">
            <v>-</v>
          </cell>
          <cell r="I569" t="str">
            <v>-</v>
          </cell>
          <cell r="K569" t="str">
            <v>-</v>
          </cell>
          <cell r="L569" t="str">
            <v>-</v>
          </cell>
          <cell r="N569" t="str">
            <v>-</v>
          </cell>
          <cell r="O569" t="str">
            <v>-</v>
          </cell>
          <cell r="Q569" t="str">
            <v>-</v>
          </cell>
          <cell r="R569" t="str">
            <v>-</v>
          </cell>
          <cell r="T569" t="str">
            <v>-</v>
          </cell>
          <cell r="U569" t="str">
            <v>-</v>
          </cell>
          <cell r="W569" t="str">
            <v>-</v>
          </cell>
          <cell r="X569" t="str">
            <v>-</v>
          </cell>
        </row>
        <row r="570">
          <cell r="A570">
            <v>72220562</v>
          </cell>
          <cell r="B570">
            <v>1404</v>
          </cell>
          <cell r="C570" t="str">
            <v>타락치</v>
          </cell>
          <cell r="D570" t="str">
            <v>D</v>
          </cell>
          <cell r="E570">
            <v>70409366</v>
          </cell>
          <cell r="H570" t="str">
            <v>-</v>
          </cell>
          <cell r="I570" t="str">
            <v>-</v>
          </cell>
          <cell r="K570" t="str">
            <v>-</v>
          </cell>
          <cell r="L570" t="str">
            <v>-</v>
          </cell>
          <cell r="N570" t="str">
            <v>-</v>
          </cell>
          <cell r="O570" t="str">
            <v>-</v>
          </cell>
          <cell r="Q570" t="str">
            <v>-</v>
          </cell>
          <cell r="R570" t="str">
            <v>-</v>
          </cell>
          <cell r="T570" t="str">
            <v>-</v>
          </cell>
          <cell r="U570" t="str">
            <v>-</v>
          </cell>
          <cell r="W570" t="str">
            <v>-</v>
          </cell>
          <cell r="X570" t="str">
            <v>-</v>
          </cell>
        </row>
        <row r="571">
          <cell r="A571">
            <v>72220563</v>
          </cell>
          <cell r="B571">
            <v>1404</v>
          </cell>
          <cell r="C571" t="str">
            <v>정어리</v>
          </cell>
          <cell r="D571" t="str">
            <v>D</v>
          </cell>
          <cell r="E571">
            <v>70409320</v>
          </cell>
          <cell r="H571" t="str">
            <v>-</v>
          </cell>
          <cell r="I571" t="str">
            <v>-</v>
          </cell>
          <cell r="K571" t="str">
            <v>-</v>
          </cell>
          <cell r="L571" t="str">
            <v>-</v>
          </cell>
          <cell r="N571" t="str">
            <v>-</v>
          </cell>
          <cell r="O571" t="str">
            <v>-</v>
          </cell>
          <cell r="Q571" t="str">
            <v>-</v>
          </cell>
          <cell r="R571" t="str">
            <v>-</v>
          </cell>
          <cell r="T571" t="str">
            <v>-</v>
          </cell>
          <cell r="U571" t="str">
            <v>-</v>
          </cell>
          <cell r="W571" t="str">
            <v>-</v>
          </cell>
          <cell r="X571" t="str">
            <v>-</v>
          </cell>
        </row>
        <row r="572">
          <cell r="A572">
            <v>72220564</v>
          </cell>
          <cell r="B572">
            <v>1411</v>
          </cell>
          <cell r="C572" t="str">
            <v>고깔해파리</v>
          </cell>
          <cell r="D572" t="str">
            <v>B</v>
          </cell>
          <cell r="E572">
            <v>70409030</v>
          </cell>
          <cell r="H572" t="str">
            <v>-</v>
          </cell>
          <cell r="I572" t="str">
            <v>-</v>
          </cell>
          <cell r="K572" t="str">
            <v>-</v>
          </cell>
          <cell r="L572" t="str">
            <v>-</v>
          </cell>
          <cell r="N572" t="str">
            <v>-</v>
          </cell>
          <cell r="O572" t="str">
            <v>-</v>
          </cell>
          <cell r="Q572" t="str">
            <v>-</v>
          </cell>
          <cell r="R572" t="str">
            <v>-</v>
          </cell>
          <cell r="T572" t="str">
            <v>-</v>
          </cell>
          <cell r="U572" t="str">
            <v>-</v>
          </cell>
          <cell r="W572" t="str">
            <v>-</v>
          </cell>
          <cell r="X572" t="str">
            <v>-</v>
          </cell>
        </row>
        <row r="573">
          <cell r="A573">
            <v>72220565</v>
          </cell>
          <cell r="B573">
            <v>1411</v>
          </cell>
          <cell r="C573" t="str">
            <v>빨판상어</v>
          </cell>
          <cell r="D573" t="str">
            <v>C</v>
          </cell>
          <cell r="E573">
            <v>70409233</v>
          </cell>
          <cell r="H573" t="str">
            <v>-</v>
          </cell>
          <cell r="I573" t="str">
            <v>-</v>
          </cell>
          <cell r="K573" t="str">
            <v>-</v>
          </cell>
          <cell r="L573" t="str">
            <v>-</v>
          </cell>
          <cell r="N573" t="str">
            <v>-</v>
          </cell>
          <cell r="O573" t="str">
            <v>-</v>
          </cell>
          <cell r="Q573" t="str">
            <v>-</v>
          </cell>
          <cell r="R573" t="str">
            <v>-</v>
          </cell>
          <cell r="T573" t="str">
            <v>-</v>
          </cell>
          <cell r="U573" t="str">
            <v>-</v>
          </cell>
          <cell r="W573" t="str">
            <v>-</v>
          </cell>
          <cell r="X573" t="str">
            <v>-</v>
          </cell>
        </row>
        <row r="574">
          <cell r="A574">
            <v>72220566</v>
          </cell>
          <cell r="B574">
            <v>1411</v>
          </cell>
          <cell r="C574" t="str">
            <v>타락치</v>
          </cell>
          <cell r="D574" t="str">
            <v>D</v>
          </cell>
          <cell r="E574">
            <v>70409366</v>
          </cell>
          <cell r="H574" t="str">
            <v>-</v>
          </cell>
          <cell r="I574" t="str">
            <v>-</v>
          </cell>
          <cell r="K574" t="str">
            <v>-</v>
          </cell>
          <cell r="L574" t="str">
            <v>-</v>
          </cell>
          <cell r="N574" t="str">
            <v>-</v>
          </cell>
          <cell r="O574" t="str">
            <v>-</v>
          </cell>
          <cell r="Q574" t="str">
            <v>-</v>
          </cell>
          <cell r="R574" t="str">
            <v>-</v>
          </cell>
          <cell r="T574" t="str">
            <v>-</v>
          </cell>
          <cell r="U574" t="str">
            <v>-</v>
          </cell>
          <cell r="W574" t="str">
            <v>-</v>
          </cell>
          <cell r="X574" t="str">
            <v>-</v>
          </cell>
        </row>
        <row r="575">
          <cell r="A575">
            <v>72220567</v>
          </cell>
          <cell r="B575">
            <v>1412</v>
          </cell>
          <cell r="C575" t="str">
            <v>고깔해파리</v>
          </cell>
          <cell r="D575" t="str">
            <v>B</v>
          </cell>
          <cell r="E575">
            <v>70409030</v>
          </cell>
          <cell r="H575" t="str">
            <v>-</v>
          </cell>
          <cell r="I575" t="str">
            <v>-</v>
          </cell>
          <cell r="K575" t="str">
            <v>-</v>
          </cell>
          <cell r="L575" t="str">
            <v>-</v>
          </cell>
          <cell r="N575" t="str">
            <v>-</v>
          </cell>
          <cell r="O575" t="str">
            <v>-</v>
          </cell>
          <cell r="Q575" t="str">
            <v>-</v>
          </cell>
          <cell r="R575" t="str">
            <v>-</v>
          </cell>
          <cell r="T575" t="str">
            <v>-</v>
          </cell>
          <cell r="U575" t="str">
            <v>-</v>
          </cell>
          <cell r="W575" t="str">
            <v>-</v>
          </cell>
          <cell r="X575" t="str">
            <v>-</v>
          </cell>
        </row>
        <row r="576">
          <cell r="A576">
            <v>72220568</v>
          </cell>
          <cell r="B576">
            <v>1412</v>
          </cell>
          <cell r="C576" t="str">
            <v>빨판상어</v>
          </cell>
          <cell r="D576" t="str">
            <v>C</v>
          </cell>
          <cell r="E576">
            <v>70409233</v>
          </cell>
          <cell r="H576" t="str">
            <v>-</v>
          </cell>
          <cell r="I576" t="str">
            <v>-</v>
          </cell>
          <cell r="K576" t="str">
            <v>-</v>
          </cell>
          <cell r="L576" t="str">
            <v>-</v>
          </cell>
          <cell r="N576" t="str">
            <v>-</v>
          </cell>
          <cell r="O576" t="str">
            <v>-</v>
          </cell>
          <cell r="Q576" t="str">
            <v>-</v>
          </cell>
          <cell r="R576" t="str">
            <v>-</v>
          </cell>
          <cell r="T576" t="str">
            <v>-</v>
          </cell>
          <cell r="U576" t="str">
            <v>-</v>
          </cell>
          <cell r="W576" t="str">
            <v>-</v>
          </cell>
          <cell r="X576" t="str">
            <v>-</v>
          </cell>
        </row>
        <row r="577">
          <cell r="A577">
            <v>72220569</v>
          </cell>
          <cell r="B577">
            <v>1412</v>
          </cell>
          <cell r="C577" t="str">
            <v>타락치</v>
          </cell>
          <cell r="D577" t="str">
            <v>D</v>
          </cell>
          <cell r="E577">
            <v>70409366</v>
          </cell>
          <cell r="H577" t="str">
            <v>-</v>
          </cell>
          <cell r="I577" t="str">
            <v>-</v>
          </cell>
          <cell r="K577" t="str">
            <v>-</v>
          </cell>
          <cell r="L577" t="str">
            <v>-</v>
          </cell>
          <cell r="N577" t="str">
            <v>-</v>
          </cell>
          <cell r="O577" t="str">
            <v>-</v>
          </cell>
          <cell r="Q577" t="str">
            <v>-</v>
          </cell>
          <cell r="R577" t="str">
            <v>-</v>
          </cell>
          <cell r="T577" t="str">
            <v>-</v>
          </cell>
          <cell r="U577" t="str">
            <v>-</v>
          </cell>
          <cell r="W577" t="str">
            <v>-</v>
          </cell>
          <cell r="X577" t="str">
            <v>-</v>
          </cell>
        </row>
        <row r="578">
          <cell r="A578">
            <v>72220570</v>
          </cell>
          <cell r="B578">
            <v>1413</v>
          </cell>
          <cell r="C578" t="str">
            <v>고깔해파리</v>
          </cell>
          <cell r="D578" t="str">
            <v>B</v>
          </cell>
          <cell r="E578">
            <v>70409030</v>
          </cell>
          <cell r="H578" t="str">
            <v>-</v>
          </cell>
          <cell r="I578" t="str">
            <v>-</v>
          </cell>
          <cell r="K578" t="str">
            <v>-</v>
          </cell>
          <cell r="L578" t="str">
            <v>-</v>
          </cell>
          <cell r="N578" t="str">
            <v>-</v>
          </cell>
          <cell r="O578" t="str">
            <v>-</v>
          </cell>
          <cell r="Q578" t="str">
            <v>-</v>
          </cell>
          <cell r="R578" t="str">
            <v>-</v>
          </cell>
          <cell r="T578" t="str">
            <v>-</v>
          </cell>
          <cell r="U578" t="str">
            <v>-</v>
          </cell>
          <cell r="W578" t="str">
            <v>-</v>
          </cell>
          <cell r="X578" t="str">
            <v>-</v>
          </cell>
        </row>
        <row r="579">
          <cell r="A579">
            <v>72220571</v>
          </cell>
          <cell r="B579">
            <v>1413</v>
          </cell>
          <cell r="C579" t="str">
            <v>빨판상어</v>
          </cell>
          <cell r="D579" t="str">
            <v>C</v>
          </cell>
          <cell r="E579">
            <v>70409233</v>
          </cell>
          <cell r="H579" t="str">
            <v>-</v>
          </cell>
          <cell r="I579" t="str">
            <v>-</v>
          </cell>
          <cell r="K579" t="str">
            <v>-</v>
          </cell>
          <cell r="L579" t="str">
            <v>-</v>
          </cell>
          <cell r="N579" t="str">
            <v>-</v>
          </cell>
          <cell r="O579" t="str">
            <v>-</v>
          </cell>
          <cell r="Q579" t="str">
            <v>-</v>
          </cell>
          <cell r="R579" t="str">
            <v>-</v>
          </cell>
          <cell r="T579" t="str">
            <v>-</v>
          </cell>
          <cell r="U579" t="str">
            <v>-</v>
          </cell>
          <cell r="W579" t="str">
            <v>-</v>
          </cell>
          <cell r="X579" t="str">
            <v>-</v>
          </cell>
        </row>
        <row r="580">
          <cell r="A580">
            <v>72220572</v>
          </cell>
          <cell r="B580">
            <v>1413</v>
          </cell>
          <cell r="C580" t="str">
            <v>타락치</v>
          </cell>
          <cell r="D580" t="str">
            <v>D</v>
          </cell>
          <cell r="E580">
            <v>70409366</v>
          </cell>
          <cell r="H580" t="str">
            <v>-</v>
          </cell>
          <cell r="I580" t="str">
            <v>-</v>
          </cell>
          <cell r="K580" t="str">
            <v>-</v>
          </cell>
          <cell r="L580" t="str">
            <v>-</v>
          </cell>
          <cell r="N580" t="str">
            <v>-</v>
          </cell>
          <cell r="O580" t="str">
            <v>-</v>
          </cell>
          <cell r="Q580" t="str">
            <v>-</v>
          </cell>
          <cell r="R580" t="str">
            <v>-</v>
          </cell>
          <cell r="T580" t="str">
            <v>-</v>
          </cell>
          <cell r="U580" t="str">
            <v>-</v>
          </cell>
          <cell r="W580" t="str">
            <v>-</v>
          </cell>
          <cell r="X580" t="str">
            <v>-</v>
          </cell>
        </row>
        <row r="581">
          <cell r="A581">
            <v>72220573</v>
          </cell>
          <cell r="B581">
            <v>1414</v>
          </cell>
          <cell r="C581" t="str">
            <v>고깔해파리</v>
          </cell>
          <cell r="D581" t="str">
            <v>B</v>
          </cell>
          <cell r="E581">
            <v>70409030</v>
          </cell>
          <cell r="H581" t="str">
            <v>-</v>
          </cell>
          <cell r="I581" t="str">
            <v>-</v>
          </cell>
          <cell r="K581" t="str">
            <v>-</v>
          </cell>
          <cell r="L581" t="str">
            <v>-</v>
          </cell>
          <cell r="N581" t="str">
            <v>-</v>
          </cell>
          <cell r="O581" t="str">
            <v>-</v>
          </cell>
          <cell r="Q581" t="str">
            <v>-</v>
          </cell>
          <cell r="R581" t="str">
            <v>-</v>
          </cell>
          <cell r="T581" t="str">
            <v>-</v>
          </cell>
          <cell r="U581" t="str">
            <v>-</v>
          </cell>
          <cell r="W581" t="str">
            <v>-</v>
          </cell>
          <cell r="X581" t="str">
            <v>-</v>
          </cell>
        </row>
        <row r="582">
          <cell r="A582">
            <v>72220574</v>
          </cell>
          <cell r="B582">
            <v>1414</v>
          </cell>
          <cell r="C582" t="str">
            <v>빨판상어</v>
          </cell>
          <cell r="D582" t="str">
            <v>C</v>
          </cell>
          <cell r="E582">
            <v>70409233</v>
          </cell>
          <cell r="H582" t="str">
            <v>-</v>
          </cell>
          <cell r="I582" t="str">
            <v>-</v>
          </cell>
          <cell r="K582" t="str">
            <v>-</v>
          </cell>
          <cell r="L582" t="str">
            <v>-</v>
          </cell>
          <cell r="N582" t="str">
            <v>-</v>
          </cell>
          <cell r="O582" t="str">
            <v>-</v>
          </cell>
          <cell r="Q582" t="str">
            <v>-</v>
          </cell>
          <cell r="R582" t="str">
            <v>-</v>
          </cell>
          <cell r="T582" t="str">
            <v>-</v>
          </cell>
          <cell r="U582" t="str">
            <v>-</v>
          </cell>
          <cell r="W582" t="str">
            <v>-</v>
          </cell>
          <cell r="X582" t="str">
            <v>-</v>
          </cell>
        </row>
        <row r="583">
          <cell r="A583">
            <v>72220575</v>
          </cell>
          <cell r="B583">
            <v>1414</v>
          </cell>
          <cell r="C583" t="str">
            <v>타락치</v>
          </cell>
          <cell r="D583" t="str">
            <v>D</v>
          </cell>
          <cell r="E583">
            <v>70409366</v>
          </cell>
          <cell r="H583" t="str">
            <v>-</v>
          </cell>
          <cell r="I583" t="str">
            <v>-</v>
          </cell>
          <cell r="K583" t="str">
            <v>-</v>
          </cell>
          <cell r="L583" t="str">
            <v>-</v>
          </cell>
          <cell r="N583" t="str">
            <v>-</v>
          </cell>
          <cell r="O583" t="str">
            <v>-</v>
          </cell>
          <cell r="Q583" t="str">
            <v>-</v>
          </cell>
          <cell r="R583" t="str">
            <v>-</v>
          </cell>
          <cell r="T583" t="str">
            <v>-</v>
          </cell>
          <cell r="U583" t="str">
            <v>-</v>
          </cell>
          <cell r="W583" t="str">
            <v>-</v>
          </cell>
          <cell r="X583" t="str">
            <v>-</v>
          </cell>
        </row>
        <row r="584">
          <cell r="A584">
            <v>72220576</v>
          </cell>
          <cell r="B584">
            <v>1421</v>
          </cell>
          <cell r="C584" t="str">
            <v>매날치</v>
          </cell>
          <cell r="D584" t="str">
            <v>C</v>
          </cell>
          <cell r="E584">
            <v>70409141</v>
          </cell>
          <cell r="H584" t="str">
            <v>-</v>
          </cell>
          <cell r="I584" t="str">
            <v>-</v>
          </cell>
          <cell r="K584" t="str">
            <v>-</v>
          </cell>
          <cell r="L584" t="str">
            <v>-</v>
          </cell>
          <cell r="N584" t="str">
            <v>-</v>
          </cell>
          <cell r="O584" t="str">
            <v>-</v>
          </cell>
          <cell r="Q584" t="str">
            <v>-</v>
          </cell>
          <cell r="R584" t="str">
            <v>-</v>
          </cell>
          <cell r="T584" t="str">
            <v>-</v>
          </cell>
          <cell r="U584" t="str">
            <v>-</v>
          </cell>
          <cell r="W584" t="str">
            <v>-</v>
          </cell>
          <cell r="X584" t="str">
            <v>-</v>
          </cell>
        </row>
        <row r="585">
          <cell r="A585">
            <v>72220577</v>
          </cell>
          <cell r="B585">
            <v>1421</v>
          </cell>
          <cell r="C585" t="str">
            <v>귀상어</v>
          </cell>
          <cell r="D585" t="str">
            <v>S</v>
          </cell>
          <cell r="E585">
            <v>70409038</v>
          </cell>
          <cell r="H585" t="str">
            <v>-</v>
          </cell>
          <cell r="I585" t="str">
            <v>-</v>
          </cell>
          <cell r="K585" t="str">
            <v>-</v>
          </cell>
          <cell r="L585" t="str">
            <v>-</v>
          </cell>
          <cell r="N585" t="str">
            <v>-</v>
          </cell>
          <cell r="O585" t="str">
            <v>-</v>
          </cell>
          <cell r="Q585" t="str">
            <v>-</v>
          </cell>
          <cell r="R585" t="str">
            <v>-</v>
          </cell>
          <cell r="T585" t="str">
            <v>-</v>
          </cell>
          <cell r="U585" t="str">
            <v>-</v>
          </cell>
          <cell r="W585" t="str">
            <v>-</v>
          </cell>
          <cell r="X585" t="str">
            <v>-</v>
          </cell>
        </row>
        <row r="586">
          <cell r="A586">
            <v>72220578</v>
          </cell>
          <cell r="B586">
            <v>1421</v>
          </cell>
          <cell r="C586" t="str">
            <v>참치방어</v>
          </cell>
          <cell r="D586" t="str">
            <v>D</v>
          </cell>
          <cell r="E586">
            <v>70409343</v>
          </cell>
          <cell r="H586" t="str">
            <v>-</v>
          </cell>
          <cell r="I586" t="str">
            <v>-</v>
          </cell>
          <cell r="K586" t="str">
            <v>-</v>
          </cell>
          <cell r="L586" t="str">
            <v>-</v>
          </cell>
          <cell r="N586" t="str">
            <v>-</v>
          </cell>
          <cell r="O586" t="str">
            <v>-</v>
          </cell>
          <cell r="Q586" t="str">
            <v>-</v>
          </cell>
          <cell r="R586" t="str">
            <v>-</v>
          </cell>
          <cell r="T586" t="str">
            <v>-</v>
          </cell>
          <cell r="U586" t="str">
            <v>-</v>
          </cell>
          <cell r="W586" t="str">
            <v>-</v>
          </cell>
          <cell r="X586" t="str">
            <v>-</v>
          </cell>
        </row>
        <row r="587">
          <cell r="A587">
            <v>72220579</v>
          </cell>
          <cell r="B587">
            <v>1422</v>
          </cell>
          <cell r="C587" t="str">
            <v>매날치</v>
          </cell>
          <cell r="D587" t="str">
            <v>C</v>
          </cell>
          <cell r="E587">
            <v>70409141</v>
          </cell>
          <cell r="H587" t="str">
            <v>-</v>
          </cell>
          <cell r="I587" t="str">
            <v>-</v>
          </cell>
          <cell r="K587" t="str">
            <v>-</v>
          </cell>
          <cell r="L587" t="str">
            <v>-</v>
          </cell>
          <cell r="N587" t="str">
            <v>-</v>
          </cell>
          <cell r="O587" t="str">
            <v>-</v>
          </cell>
          <cell r="Q587" t="str">
            <v>-</v>
          </cell>
          <cell r="R587" t="str">
            <v>-</v>
          </cell>
          <cell r="T587" t="str">
            <v>-</v>
          </cell>
          <cell r="U587" t="str">
            <v>-</v>
          </cell>
          <cell r="W587" t="str">
            <v>-</v>
          </cell>
          <cell r="X587" t="str">
            <v>-</v>
          </cell>
        </row>
        <row r="588">
          <cell r="A588">
            <v>72220580</v>
          </cell>
          <cell r="B588">
            <v>1422</v>
          </cell>
          <cell r="C588" t="str">
            <v>귀상어</v>
          </cell>
          <cell r="D588" t="str">
            <v>S</v>
          </cell>
          <cell r="E588">
            <v>70409038</v>
          </cell>
          <cell r="H588" t="str">
            <v>-</v>
          </cell>
          <cell r="I588" t="str">
            <v>-</v>
          </cell>
          <cell r="K588" t="str">
            <v>-</v>
          </cell>
          <cell r="L588" t="str">
            <v>-</v>
          </cell>
          <cell r="N588" t="str">
            <v>-</v>
          </cell>
          <cell r="O588" t="str">
            <v>-</v>
          </cell>
          <cell r="Q588" t="str">
            <v>-</v>
          </cell>
          <cell r="R588" t="str">
            <v>-</v>
          </cell>
          <cell r="T588" t="str">
            <v>-</v>
          </cell>
          <cell r="U588" t="str">
            <v>-</v>
          </cell>
          <cell r="W588" t="str">
            <v>-</v>
          </cell>
          <cell r="X588" t="str">
            <v>-</v>
          </cell>
        </row>
        <row r="589">
          <cell r="A589">
            <v>72220581</v>
          </cell>
          <cell r="B589">
            <v>1422</v>
          </cell>
          <cell r="C589" t="str">
            <v>참치방어</v>
          </cell>
          <cell r="D589" t="str">
            <v>D</v>
          </cell>
          <cell r="E589">
            <v>70409343</v>
          </cell>
          <cell r="H589" t="str">
            <v>-</v>
          </cell>
          <cell r="I589" t="str">
            <v>-</v>
          </cell>
          <cell r="K589" t="str">
            <v>-</v>
          </cell>
          <cell r="L589" t="str">
            <v>-</v>
          </cell>
          <cell r="N589" t="str">
            <v>-</v>
          </cell>
          <cell r="O589" t="str">
            <v>-</v>
          </cell>
          <cell r="Q589" t="str">
            <v>-</v>
          </cell>
          <cell r="R589" t="str">
            <v>-</v>
          </cell>
          <cell r="T589" t="str">
            <v>-</v>
          </cell>
          <cell r="U589" t="str">
            <v>-</v>
          </cell>
          <cell r="W589" t="str">
            <v>-</v>
          </cell>
          <cell r="X589" t="str">
            <v>-</v>
          </cell>
        </row>
        <row r="590">
          <cell r="A590">
            <v>72220582</v>
          </cell>
          <cell r="B590">
            <v>1423</v>
          </cell>
          <cell r="C590" t="str">
            <v>매날치</v>
          </cell>
          <cell r="D590" t="str">
            <v>C</v>
          </cell>
          <cell r="E590">
            <v>70409141</v>
          </cell>
          <cell r="H590" t="str">
            <v>-</v>
          </cell>
          <cell r="I590" t="str">
            <v>-</v>
          </cell>
          <cell r="K590" t="str">
            <v>-</v>
          </cell>
          <cell r="L590" t="str">
            <v>-</v>
          </cell>
          <cell r="N590" t="str">
            <v>-</v>
          </cell>
          <cell r="O590" t="str">
            <v>-</v>
          </cell>
          <cell r="Q590" t="str">
            <v>-</v>
          </cell>
          <cell r="R590" t="str">
            <v>-</v>
          </cell>
          <cell r="T590" t="str">
            <v>-</v>
          </cell>
          <cell r="U590" t="str">
            <v>-</v>
          </cell>
          <cell r="W590" t="str">
            <v>-</v>
          </cell>
          <cell r="X590" t="str">
            <v>-</v>
          </cell>
        </row>
        <row r="591">
          <cell r="A591">
            <v>72220583</v>
          </cell>
          <cell r="B591">
            <v>1423</v>
          </cell>
          <cell r="C591" t="str">
            <v>귀상어</v>
          </cell>
          <cell r="D591" t="str">
            <v>S</v>
          </cell>
          <cell r="E591">
            <v>70409038</v>
          </cell>
          <cell r="H591" t="str">
            <v>-</v>
          </cell>
          <cell r="I591" t="str">
            <v>-</v>
          </cell>
          <cell r="K591" t="str">
            <v>-</v>
          </cell>
          <cell r="L591" t="str">
            <v>-</v>
          </cell>
          <cell r="N591" t="str">
            <v>-</v>
          </cell>
          <cell r="O591" t="str">
            <v>-</v>
          </cell>
          <cell r="Q591" t="str">
            <v>-</v>
          </cell>
          <cell r="R591" t="str">
            <v>-</v>
          </cell>
          <cell r="T591" t="str">
            <v>-</v>
          </cell>
          <cell r="U591" t="str">
            <v>-</v>
          </cell>
          <cell r="W591" t="str">
            <v>-</v>
          </cell>
          <cell r="X591" t="str">
            <v>-</v>
          </cell>
        </row>
        <row r="592">
          <cell r="A592">
            <v>72220584</v>
          </cell>
          <cell r="B592">
            <v>1423</v>
          </cell>
          <cell r="C592" t="str">
            <v>참치방어</v>
          </cell>
          <cell r="D592" t="str">
            <v>D</v>
          </cell>
          <cell r="E592">
            <v>70409343</v>
          </cell>
          <cell r="H592" t="str">
            <v>-</v>
          </cell>
          <cell r="I592" t="str">
            <v>-</v>
          </cell>
          <cell r="K592" t="str">
            <v>-</v>
          </cell>
          <cell r="L592" t="str">
            <v>-</v>
          </cell>
          <cell r="N592" t="str">
            <v>-</v>
          </cell>
          <cell r="O592" t="str">
            <v>-</v>
          </cell>
          <cell r="Q592" t="str">
            <v>-</v>
          </cell>
          <cell r="R592" t="str">
            <v>-</v>
          </cell>
          <cell r="T592" t="str">
            <v>-</v>
          </cell>
          <cell r="U592" t="str">
            <v>-</v>
          </cell>
          <cell r="W592" t="str">
            <v>-</v>
          </cell>
          <cell r="X592" t="str">
            <v>-</v>
          </cell>
        </row>
        <row r="593">
          <cell r="A593">
            <v>72220585</v>
          </cell>
          <cell r="B593">
            <v>1424</v>
          </cell>
          <cell r="C593" t="str">
            <v>매날치</v>
          </cell>
          <cell r="D593" t="str">
            <v>C</v>
          </cell>
          <cell r="E593">
            <v>70409141</v>
          </cell>
          <cell r="H593" t="str">
            <v>-</v>
          </cell>
          <cell r="I593" t="str">
            <v>-</v>
          </cell>
          <cell r="K593" t="str">
            <v>-</v>
          </cell>
          <cell r="L593" t="str">
            <v>-</v>
          </cell>
          <cell r="N593" t="str">
            <v>-</v>
          </cell>
          <cell r="O593" t="str">
            <v>-</v>
          </cell>
          <cell r="Q593" t="str">
            <v>-</v>
          </cell>
          <cell r="R593" t="str">
            <v>-</v>
          </cell>
          <cell r="T593" t="str">
            <v>-</v>
          </cell>
          <cell r="U593" t="str">
            <v>-</v>
          </cell>
          <cell r="W593" t="str">
            <v>-</v>
          </cell>
          <cell r="X593" t="str">
            <v>-</v>
          </cell>
        </row>
        <row r="594">
          <cell r="A594">
            <v>72220586</v>
          </cell>
          <cell r="B594">
            <v>1424</v>
          </cell>
          <cell r="C594" t="str">
            <v>귀상어</v>
          </cell>
          <cell r="D594" t="str">
            <v>S</v>
          </cell>
          <cell r="E594">
            <v>70409038</v>
          </cell>
          <cell r="H594" t="str">
            <v>-</v>
          </cell>
          <cell r="I594" t="str">
            <v>-</v>
          </cell>
          <cell r="K594" t="str">
            <v>-</v>
          </cell>
          <cell r="L594" t="str">
            <v>-</v>
          </cell>
          <cell r="N594" t="str">
            <v>-</v>
          </cell>
          <cell r="O594" t="str">
            <v>-</v>
          </cell>
          <cell r="Q594" t="str">
            <v>-</v>
          </cell>
          <cell r="R594" t="str">
            <v>-</v>
          </cell>
          <cell r="T594" t="str">
            <v>-</v>
          </cell>
          <cell r="U594" t="str">
            <v>-</v>
          </cell>
          <cell r="W594" t="str">
            <v>-</v>
          </cell>
          <cell r="X594" t="str">
            <v>-</v>
          </cell>
        </row>
        <row r="595">
          <cell r="A595">
            <v>72220587</v>
          </cell>
          <cell r="B595">
            <v>1424</v>
          </cell>
          <cell r="C595" t="str">
            <v>참치방어</v>
          </cell>
          <cell r="D595" t="str">
            <v>D</v>
          </cell>
          <cell r="E595">
            <v>70409343</v>
          </cell>
          <cell r="H595" t="str">
            <v>-</v>
          </cell>
          <cell r="I595" t="str">
            <v>-</v>
          </cell>
          <cell r="K595" t="str">
            <v>-</v>
          </cell>
          <cell r="L595" t="str">
            <v>-</v>
          </cell>
          <cell r="N595" t="str">
            <v>-</v>
          </cell>
          <cell r="O595" t="str">
            <v>-</v>
          </cell>
          <cell r="Q595" t="str">
            <v>-</v>
          </cell>
          <cell r="R595" t="str">
            <v>-</v>
          </cell>
          <cell r="T595" t="str">
            <v>-</v>
          </cell>
          <cell r="U595" t="str">
            <v>-</v>
          </cell>
          <cell r="W595" t="str">
            <v>-</v>
          </cell>
          <cell r="X595" t="str">
            <v>-</v>
          </cell>
        </row>
        <row r="596">
          <cell r="A596">
            <v>72220588</v>
          </cell>
          <cell r="B596">
            <v>1431</v>
          </cell>
          <cell r="C596" t="str">
            <v>매날치</v>
          </cell>
          <cell r="D596" t="str">
            <v>C</v>
          </cell>
          <cell r="E596">
            <v>70409141</v>
          </cell>
          <cell r="H596" t="str">
            <v>-</v>
          </cell>
          <cell r="I596" t="str">
            <v>-</v>
          </cell>
          <cell r="K596" t="str">
            <v>-</v>
          </cell>
          <cell r="L596" t="str">
            <v>-</v>
          </cell>
          <cell r="N596" t="str">
            <v>-</v>
          </cell>
          <cell r="O596" t="str">
            <v>-</v>
          </cell>
          <cell r="Q596" t="str">
            <v>-</v>
          </cell>
          <cell r="R596" t="str">
            <v>-</v>
          </cell>
          <cell r="T596" t="str">
            <v>-</v>
          </cell>
          <cell r="U596" t="str">
            <v>-</v>
          </cell>
          <cell r="W596" t="str">
            <v>-</v>
          </cell>
          <cell r="X596" t="str">
            <v>-</v>
          </cell>
        </row>
        <row r="597">
          <cell r="A597">
            <v>72220589</v>
          </cell>
          <cell r="B597">
            <v>1431</v>
          </cell>
          <cell r="C597" t="str">
            <v>지중해새치</v>
          </cell>
          <cell r="D597" t="str">
            <v>A</v>
          </cell>
          <cell r="E597">
            <v>70409335</v>
          </cell>
          <cell r="H597" t="str">
            <v>-</v>
          </cell>
          <cell r="I597" t="str">
            <v>-</v>
          </cell>
          <cell r="K597" t="str">
            <v>-</v>
          </cell>
          <cell r="L597" t="str">
            <v>-</v>
          </cell>
          <cell r="N597" t="str">
            <v>-</v>
          </cell>
          <cell r="O597" t="str">
            <v>-</v>
          </cell>
          <cell r="Q597" t="str">
            <v>-</v>
          </cell>
          <cell r="R597" t="str">
            <v>-</v>
          </cell>
          <cell r="T597" t="str">
            <v>-</v>
          </cell>
          <cell r="U597" t="str">
            <v>-</v>
          </cell>
          <cell r="W597" t="str">
            <v>-</v>
          </cell>
          <cell r="X597" t="str">
            <v>-</v>
          </cell>
        </row>
        <row r="598">
          <cell r="A598">
            <v>72220590</v>
          </cell>
          <cell r="B598">
            <v>1431</v>
          </cell>
          <cell r="C598" t="str">
            <v>참치방어</v>
          </cell>
          <cell r="D598" t="str">
            <v>D</v>
          </cell>
          <cell r="E598">
            <v>70409343</v>
          </cell>
          <cell r="H598" t="str">
            <v>-</v>
          </cell>
          <cell r="I598" t="str">
            <v>-</v>
          </cell>
          <cell r="K598" t="str">
            <v>-</v>
          </cell>
          <cell r="L598" t="str">
            <v>-</v>
          </cell>
          <cell r="N598" t="str">
            <v>-</v>
          </cell>
          <cell r="O598" t="str">
            <v>-</v>
          </cell>
          <cell r="Q598" t="str">
            <v>-</v>
          </cell>
          <cell r="R598" t="str">
            <v>-</v>
          </cell>
          <cell r="T598" t="str">
            <v>-</v>
          </cell>
          <cell r="U598" t="str">
            <v>-</v>
          </cell>
          <cell r="W598" t="str">
            <v>-</v>
          </cell>
          <cell r="X598" t="str">
            <v>-</v>
          </cell>
        </row>
        <row r="599">
          <cell r="A599">
            <v>72220591</v>
          </cell>
          <cell r="B599">
            <v>1431</v>
          </cell>
          <cell r="C599" t="str">
            <v>정어리</v>
          </cell>
          <cell r="D599" t="str">
            <v>D</v>
          </cell>
          <cell r="E599">
            <v>70409320</v>
          </cell>
          <cell r="H599" t="str">
            <v>-</v>
          </cell>
          <cell r="I599" t="str">
            <v>-</v>
          </cell>
          <cell r="K599" t="str">
            <v>-</v>
          </cell>
          <cell r="L599" t="str">
            <v>-</v>
          </cell>
          <cell r="N599" t="str">
            <v>-</v>
          </cell>
          <cell r="O599" t="str">
            <v>-</v>
          </cell>
          <cell r="Q599" t="str">
            <v>-</v>
          </cell>
          <cell r="R599" t="str">
            <v>-</v>
          </cell>
          <cell r="T599" t="str">
            <v>-</v>
          </cell>
          <cell r="U599" t="str">
            <v>-</v>
          </cell>
          <cell r="W599" t="str">
            <v>-</v>
          </cell>
          <cell r="X599" t="str">
            <v>-</v>
          </cell>
        </row>
        <row r="600">
          <cell r="A600">
            <v>72220592</v>
          </cell>
          <cell r="B600">
            <v>1432</v>
          </cell>
          <cell r="C600" t="str">
            <v>매날치</v>
          </cell>
          <cell r="D600" t="str">
            <v>C</v>
          </cell>
          <cell r="E600">
            <v>70409141</v>
          </cell>
          <cell r="H600" t="str">
            <v>-</v>
          </cell>
          <cell r="I600" t="str">
            <v>-</v>
          </cell>
          <cell r="K600" t="str">
            <v>-</v>
          </cell>
          <cell r="L600" t="str">
            <v>-</v>
          </cell>
          <cell r="N600" t="str">
            <v>-</v>
          </cell>
          <cell r="O600" t="str">
            <v>-</v>
          </cell>
          <cell r="Q600" t="str">
            <v>-</v>
          </cell>
          <cell r="R600" t="str">
            <v>-</v>
          </cell>
          <cell r="T600" t="str">
            <v>-</v>
          </cell>
          <cell r="U600" t="str">
            <v>-</v>
          </cell>
          <cell r="W600" t="str">
            <v>-</v>
          </cell>
          <cell r="X600" t="str">
            <v>-</v>
          </cell>
        </row>
        <row r="601">
          <cell r="A601">
            <v>72220593</v>
          </cell>
          <cell r="B601">
            <v>1432</v>
          </cell>
          <cell r="C601" t="str">
            <v>지중해새치</v>
          </cell>
          <cell r="D601" t="str">
            <v>A</v>
          </cell>
          <cell r="E601">
            <v>70409335</v>
          </cell>
          <cell r="H601" t="str">
            <v>-</v>
          </cell>
          <cell r="I601" t="str">
            <v>-</v>
          </cell>
          <cell r="K601" t="str">
            <v>-</v>
          </cell>
          <cell r="L601" t="str">
            <v>-</v>
          </cell>
          <cell r="N601" t="str">
            <v>-</v>
          </cell>
          <cell r="O601" t="str">
            <v>-</v>
          </cell>
          <cell r="Q601" t="str">
            <v>-</v>
          </cell>
          <cell r="R601" t="str">
            <v>-</v>
          </cell>
          <cell r="T601" t="str">
            <v>-</v>
          </cell>
          <cell r="U601" t="str">
            <v>-</v>
          </cell>
          <cell r="W601" t="str">
            <v>-</v>
          </cell>
          <cell r="X601" t="str">
            <v>-</v>
          </cell>
        </row>
        <row r="602">
          <cell r="A602">
            <v>72220594</v>
          </cell>
          <cell r="B602">
            <v>1432</v>
          </cell>
          <cell r="C602" t="str">
            <v>참치방어</v>
          </cell>
          <cell r="D602" t="str">
            <v>D</v>
          </cell>
          <cell r="E602">
            <v>70409343</v>
          </cell>
          <cell r="H602" t="str">
            <v>-</v>
          </cell>
          <cell r="I602" t="str">
            <v>-</v>
          </cell>
          <cell r="K602" t="str">
            <v>-</v>
          </cell>
          <cell r="L602" t="str">
            <v>-</v>
          </cell>
          <cell r="N602" t="str">
            <v>-</v>
          </cell>
          <cell r="O602" t="str">
            <v>-</v>
          </cell>
          <cell r="Q602" t="str">
            <v>-</v>
          </cell>
          <cell r="R602" t="str">
            <v>-</v>
          </cell>
          <cell r="T602" t="str">
            <v>-</v>
          </cell>
          <cell r="U602" t="str">
            <v>-</v>
          </cell>
          <cell r="W602" t="str">
            <v>-</v>
          </cell>
          <cell r="X602" t="str">
            <v>-</v>
          </cell>
        </row>
        <row r="603">
          <cell r="A603">
            <v>72220595</v>
          </cell>
          <cell r="B603">
            <v>1432</v>
          </cell>
          <cell r="C603" t="str">
            <v>정어리</v>
          </cell>
          <cell r="D603" t="str">
            <v>D</v>
          </cell>
          <cell r="E603">
            <v>70409320</v>
          </cell>
          <cell r="H603" t="str">
            <v>-</v>
          </cell>
          <cell r="I603" t="str">
            <v>-</v>
          </cell>
          <cell r="K603" t="str">
            <v>-</v>
          </cell>
          <cell r="L603" t="str">
            <v>-</v>
          </cell>
          <cell r="N603" t="str">
            <v>-</v>
          </cell>
          <cell r="O603" t="str">
            <v>-</v>
          </cell>
          <cell r="Q603" t="str">
            <v>-</v>
          </cell>
          <cell r="R603" t="str">
            <v>-</v>
          </cell>
          <cell r="T603" t="str">
            <v>-</v>
          </cell>
          <cell r="U603" t="str">
            <v>-</v>
          </cell>
          <cell r="W603" t="str">
            <v>-</v>
          </cell>
          <cell r="X603" t="str">
            <v>-</v>
          </cell>
        </row>
        <row r="604">
          <cell r="A604">
            <v>72220596</v>
          </cell>
          <cell r="B604">
            <v>1433</v>
          </cell>
          <cell r="C604" t="str">
            <v>매날치</v>
          </cell>
          <cell r="D604" t="str">
            <v>C</v>
          </cell>
          <cell r="E604">
            <v>70409141</v>
          </cell>
          <cell r="H604" t="str">
            <v>-</v>
          </cell>
          <cell r="I604" t="str">
            <v>-</v>
          </cell>
          <cell r="K604" t="str">
            <v>-</v>
          </cell>
          <cell r="L604" t="str">
            <v>-</v>
          </cell>
          <cell r="N604" t="str">
            <v>-</v>
          </cell>
          <cell r="O604" t="str">
            <v>-</v>
          </cell>
          <cell r="Q604" t="str">
            <v>-</v>
          </cell>
          <cell r="R604" t="str">
            <v>-</v>
          </cell>
          <cell r="T604" t="str">
            <v>-</v>
          </cell>
          <cell r="U604" t="str">
            <v>-</v>
          </cell>
          <cell r="W604" t="str">
            <v>-</v>
          </cell>
          <cell r="X604" t="str">
            <v>-</v>
          </cell>
        </row>
        <row r="605">
          <cell r="A605">
            <v>72220597</v>
          </cell>
          <cell r="B605">
            <v>1433</v>
          </cell>
          <cell r="C605" t="str">
            <v>지중해새치</v>
          </cell>
          <cell r="D605" t="str">
            <v>A</v>
          </cell>
          <cell r="E605">
            <v>70409335</v>
          </cell>
          <cell r="H605" t="str">
            <v>-</v>
          </cell>
          <cell r="I605" t="str">
            <v>-</v>
          </cell>
          <cell r="K605" t="str">
            <v>-</v>
          </cell>
          <cell r="L605" t="str">
            <v>-</v>
          </cell>
          <cell r="N605" t="str">
            <v>-</v>
          </cell>
          <cell r="O605" t="str">
            <v>-</v>
          </cell>
          <cell r="Q605" t="str">
            <v>-</v>
          </cell>
          <cell r="R605" t="str">
            <v>-</v>
          </cell>
          <cell r="T605" t="str">
            <v>-</v>
          </cell>
          <cell r="U605" t="str">
            <v>-</v>
          </cell>
          <cell r="W605" t="str">
            <v>-</v>
          </cell>
          <cell r="X605" t="str">
            <v>-</v>
          </cell>
        </row>
        <row r="606">
          <cell r="A606">
            <v>72220598</v>
          </cell>
          <cell r="B606">
            <v>1433</v>
          </cell>
          <cell r="C606" t="str">
            <v>참치방어</v>
          </cell>
          <cell r="D606" t="str">
            <v>D</v>
          </cell>
          <cell r="E606">
            <v>70409343</v>
          </cell>
          <cell r="H606" t="str">
            <v>-</v>
          </cell>
          <cell r="I606" t="str">
            <v>-</v>
          </cell>
          <cell r="K606" t="str">
            <v>-</v>
          </cell>
          <cell r="L606" t="str">
            <v>-</v>
          </cell>
          <cell r="N606" t="str">
            <v>-</v>
          </cell>
          <cell r="O606" t="str">
            <v>-</v>
          </cell>
          <cell r="Q606" t="str">
            <v>-</v>
          </cell>
          <cell r="R606" t="str">
            <v>-</v>
          </cell>
          <cell r="T606" t="str">
            <v>-</v>
          </cell>
          <cell r="U606" t="str">
            <v>-</v>
          </cell>
          <cell r="W606" t="str">
            <v>-</v>
          </cell>
          <cell r="X606" t="str">
            <v>-</v>
          </cell>
        </row>
        <row r="607">
          <cell r="A607">
            <v>72220599</v>
          </cell>
          <cell r="B607">
            <v>1433</v>
          </cell>
          <cell r="C607" t="str">
            <v>정어리</v>
          </cell>
          <cell r="D607" t="str">
            <v>D</v>
          </cell>
          <cell r="E607">
            <v>70409320</v>
          </cell>
          <cell r="H607" t="str">
            <v>-</v>
          </cell>
          <cell r="I607" t="str">
            <v>-</v>
          </cell>
          <cell r="K607" t="str">
            <v>-</v>
          </cell>
          <cell r="L607" t="str">
            <v>-</v>
          </cell>
          <cell r="N607" t="str">
            <v>-</v>
          </cell>
          <cell r="O607" t="str">
            <v>-</v>
          </cell>
          <cell r="Q607" t="str">
            <v>-</v>
          </cell>
          <cell r="R607" t="str">
            <v>-</v>
          </cell>
          <cell r="T607" t="str">
            <v>-</v>
          </cell>
          <cell r="U607" t="str">
            <v>-</v>
          </cell>
          <cell r="W607" t="str">
            <v>-</v>
          </cell>
          <cell r="X607" t="str">
            <v>-</v>
          </cell>
        </row>
        <row r="608">
          <cell r="A608">
            <v>72220600</v>
          </cell>
          <cell r="B608">
            <v>1434</v>
          </cell>
          <cell r="C608" t="str">
            <v>매날치</v>
          </cell>
          <cell r="D608" t="str">
            <v>C</v>
          </cell>
          <cell r="E608">
            <v>70409141</v>
          </cell>
          <cell r="H608" t="str">
            <v>-</v>
          </cell>
          <cell r="I608" t="str">
            <v>-</v>
          </cell>
          <cell r="K608" t="str">
            <v>-</v>
          </cell>
          <cell r="L608" t="str">
            <v>-</v>
          </cell>
          <cell r="N608" t="str">
            <v>-</v>
          </cell>
          <cell r="O608" t="str">
            <v>-</v>
          </cell>
          <cell r="Q608" t="str">
            <v>-</v>
          </cell>
          <cell r="R608" t="str">
            <v>-</v>
          </cell>
          <cell r="T608" t="str">
            <v>-</v>
          </cell>
          <cell r="U608" t="str">
            <v>-</v>
          </cell>
          <cell r="W608" t="str">
            <v>-</v>
          </cell>
          <cell r="X608" t="str">
            <v>-</v>
          </cell>
        </row>
        <row r="609">
          <cell r="A609">
            <v>72220601</v>
          </cell>
          <cell r="B609">
            <v>1434</v>
          </cell>
          <cell r="C609" t="str">
            <v>지중해새치</v>
          </cell>
          <cell r="D609" t="str">
            <v>A</v>
          </cell>
          <cell r="E609">
            <v>70409335</v>
          </cell>
          <cell r="H609" t="str">
            <v>-</v>
          </cell>
          <cell r="I609" t="str">
            <v>-</v>
          </cell>
          <cell r="K609" t="str">
            <v>-</v>
          </cell>
          <cell r="L609" t="str">
            <v>-</v>
          </cell>
          <cell r="N609" t="str">
            <v>-</v>
          </cell>
          <cell r="O609" t="str">
            <v>-</v>
          </cell>
          <cell r="Q609" t="str">
            <v>-</v>
          </cell>
          <cell r="R609" t="str">
            <v>-</v>
          </cell>
          <cell r="T609" t="str">
            <v>-</v>
          </cell>
          <cell r="U609" t="str">
            <v>-</v>
          </cell>
          <cell r="W609" t="str">
            <v>-</v>
          </cell>
          <cell r="X609" t="str">
            <v>-</v>
          </cell>
        </row>
        <row r="610">
          <cell r="A610">
            <v>72220602</v>
          </cell>
          <cell r="B610">
            <v>1434</v>
          </cell>
          <cell r="C610" t="str">
            <v>참치방어</v>
          </cell>
          <cell r="D610" t="str">
            <v>D</v>
          </cell>
          <cell r="E610">
            <v>70409343</v>
          </cell>
          <cell r="H610" t="str">
            <v>-</v>
          </cell>
          <cell r="I610" t="str">
            <v>-</v>
          </cell>
          <cell r="K610" t="str">
            <v>-</v>
          </cell>
          <cell r="L610" t="str">
            <v>-</v>
          </cell>
          <cell r="N610" t="str">
            <v>-</v>
          </cell>
          <cell r="O610" t="str">
            <v>-</v>
          </cell>
          <cell r="Q610" t="str">
            <v>-</v>
          </cell>
          <cell r="R610" t="str">
            <v>-</v>
          </cell>
          <cell r="T610" t="str">
            <v>-</v>
          </cell>
          <cell r="U610" t="str">
            <v>-</v>
          </cell>
          <cell r="W610" t="str">
            <v>-</v>
          </cell>
          <cell r="X610" t="str">
            <v>-</v>
          </cell>
        </row>
        <row r="611">
          <cell r="A611">
            <v>72220603</v>
          </cell>
          <cell r="B611">
            <v>1434</v>
          </cell>
          <cell r="C611" t="str">
            <v>정어리</v>
          </cell>
          <cell r="D611" t="str">
            <v>D</v>
          </cell>
          <cell r="E611">
            <v>70409320</v>
          </cell>
          <cell r="H611" t="str">
            <v>-</v>
          </cell>
          <cell r="I611" t="str">
            <v>-</v>
          </cell>
          <cell r="K611" t="str">
            <v>-</v>
          </cell>
          <cell r="L611" t="str">
            <v>-</v>
          </cell>
          <cell r="N611" t="str">
            <v>-</v>
          </cell>
          <cell r="O611" t="str">
            <v>-</v>
          </cell>
          <cell r="Q611" t="str">
            <v>-</v>
          </cell>
          <cell r="R611" t="str">
            <v>-</v>
          </cell>
          <cell r="T611" t="str">
            <v>-</v>
          </cell>
          <cell r="U611" t="str">
            <v>-</v>
          </cell>
          <cell r="W611" t="str">
            <v>-</v>
          </cell>
          <cell r="X611" t="str">
            <v>-</v>
          </cell>
        </row>
        <row r="612">
          <cell r="A612">
            <v>72220604</v>
          </cell>
          <cell r="B612">
            <v>1441</v>
          </cell>
          <cell r="C612" t="str">
            <v>지중해새치</v>
          </cell>
          <cell r="D612" t="str">
            <v>A</v>
          </cell>
          <cell r="E612">
            <v>70409335</v>
          </cell>
          <cell r="H612" t="str">
            <v>-</v>
          </cell>
          <cell r="I612" t="str">
            <v>-</v>
          </cell>
          <cell r="K612" t="str">
            <v>-</v>
          </cell>
          <cell r="L612" t="str">
            <v>-</v>
          </cell>
          <cell r="N612" t="str">
            <v>-</v>
          </cell>
          <cell r="O612" t="str">
            <v>-</v>
          </cell>
          <cell r="Q612" t="str">
            <v>-</v>
          </cell>
          <cell r="R612" t="str">
            <v>-</v>
          </cell>
          <cell r="T612" t="str">
            <v>-</v>
          </cell>
          <cell r="U612" t="str">
            <v>-</v>
          </cell>
          <cell r="W612" t="str">
            <v>-</v>
          </cell>
          <cell r="X612" t="str">
            <v>-</v>
          </cell>
        </row>
        <row r="613">
          <cell r="A613">
            <v>72220605</v>
          </cell>
          <cell r="B613">
            <v>1441</v>
          </cell>
          <cell r="C613" t="str">
            <v>참치방어</v>
          </cell>
          <cell r="D613" t="str">
            <v>D</v>
          </cell>
          <cell r="E613">
            <v>70409343</v>
          </cell>
          <cell r="H613" t="str">
            <v>-</v>
          </cell>
          <cell r="I613" t="str">
            <v>-</v>
          </cell>
          <cell r="K613" t="str">
            <v>-</v>
          </cell>
          <cell r="L613" t="str">
            <v>-</v>
          </cell>
          <cell r="N613" t="str">
            <v>-</v>
          </cell>
          <cell r="O613" t="str">
            <v>-</v>
          </cell>
          <cell r="Q613" t="str">
            <v>-</v>
          </cell>
          <cell r="R613" t="str">
            <v>-</v>
          </cell>
          <cell r="T613" t="str">
            <v>-</v>
          </cell>
          <cell r="U613" t="str">
            <v>-</v>
          </cell>
          <cell r="W613" t="str">
            <v>-</v>
          </cell>
          <cell r="X613" t="str">
            <v>-</v>
          </cell>
        </row>
        <row r="614">
          <cell r="A614">
            <v>72220606</v>
          </cell>
          <cell r="B614">
            <v>1441</v>
          </cell>
          <cell r="C614" t="str">
            <v>곱상어</v>
          </cell>
          <cell r="D614" t="str">
            <v>C</v>
          </cell>
          <cell r="E614">
            <v>70409036</v>
          </cell>
          <cell r="H614" t="str">
            <v>-</v>
          </cell>
          <cell r="I614" t="str">
            <v>-</v>
          </cell>
          <cell r="K614" t="str">
            <v>-</v>
          </cell>
          <cell r="L614" t="str">
            <v>-</v>
          </cell>
          <cell r="N614" t="str">
            <v>-</v>
          </cell>
          <cell r="O614" t="str">
            <v>-</v>
          </cell>
          <cell r="Q614" t="str">
            <v>-</v>
          </cell>
          <cell r="R614" t="str">
            <v>-</v>
          </cell>
          <cell r="T614" t="str">
            <v>-</v>
          </cell>
          <cell r="U614" t="str">
            <v>-</v>
          </cell>
          <cell r="W614" t="str">
            <v>-</v>
          </cell>
          <cell r="X614" t="str">
            <v>-</v>
          </cell>
        </row>
        <row r="615">
          <cell r="A615">
            <v>72220607</v>
          </cell>
          <cell r="B615">
            <v>1441</v>
          </cell>
          <cell r="C615" t="str">
            <v>정어리</v>
          </cell>
          <cell r="D615" t="str">
            <v>D</v>
          </cell>
          <cell r="E615">
            <v>70409320</v>
          </cell>
          <cell r="H615" t="str">
            <v>-</v>
          </cell>
          <cell r="I615" t="str">
            <v>-</v>
          </cell>
          <cell r="K615" t="str">
            <v>-</v>
          </cell>
          <cell r="L615" t="str">
            <v>-</v>
          </cell>
          <cell r="N615" t="str">
            <v>-</v>
          </cell>
          <cell r="O615" t="str">
            <v>-</v>
          </cell>
          <cell r="Q615" t="str">
            <v>-</v>
          </cell>
          <cell r="R615" t="str">
            <v>-</v>
          </cell>
          <cell r="T615" t="str">
            <v>-</v>
          </cell>
          <cell r="U615" t="str">
            <v>-</v>
          </cell>
          <cell r="W615" t="str">
            <v>-</v>
          </cell>
          <cell r="X615" t="str">
            <v>-</v>
          </cell>
        </row>
        <row r="616">
          <cell r="A616">
            <v>72220608</v>
          </cell>
          <cell r="B616">
            <v>1442</v>
          </cell>
          <cell r="C616" t="str">
            <v>지중해새치</v>
          </cell>
          <cell r="D616" t="str">
            <v>A</v>
          </cell>
          <cell r="E616">
            <v>70409335</v>
          </cell>
          <cell r="H616" t="str">
            <v>-</v>
          </cell>
          <cell r="I616" t="str">
            <v>-</v>
          </cell>
          <cell r="K616" t="str">
            <v>-</v>
          </cell>
          <cell r="L616" t="str">
            <v>-</v>
          </cell>
          <cell r="N616" t="str">
            <v>-</v>
          </cell>
          <cell r="O616" t="str">
            <v>-</v>
          </cell>
          <cell r="Q616" t="str">
            <v>-</v>
          </cell>
          <cell r="R616" t="str">
            <v>-</v>
          </cell>
          <cell r="T616" t="str">
            <v>-</v>
          </cell>
          <cell r="U616" t="str">
            <v>-</v>
          </cell>
          <cell r="W616" t="str">
            <v>-</v>
          </cell>
          <cell r="X616" t="str">
            <v>-</v>
          </cell>
        </row>
        <row r="617">
          <cell r="A617">
            <v>72220609</v>
          </cell>
          <cell r="B617">
            <v>1442</v>
          </cell>
          <cell r="C617" t="str">
            <v>참치방어</v>
          </cell>
          <cell r="D617" t="str">
            <v>D</v>
          </cell>
          <cell r="E617">
            <v>70409343</v>
          </cell>
          <cell r="H617" t="str">
            <v>-</v>
          </cell>
          <cell r="I617" t="str">
            <v>-</v>
          </cell>
          <cell r="K617" t="str">
            <v>-</v>
          </cell>
          <cell r="L617" t="str">
            <v>-</v>
          </cell>
          <cell r="N617" t="str">
            <v>-</v>
          </cell>
          <cell r="O617" t="str">
            <v>-</v>
          </cell>
          <cell r="Q617" t="str">
            <v>-</v>
          </cell>
          <cell r="R617" t="str">
            <v>-</v>
          </cell>
          <cell r="T617" t="str">
            <v>-</v>
          </cell>
          <cell r="U617" t="str">
            <v>-</v>
          </cell>
          <cell r="W617" t="str">
            <v>-</v>
          </cell>
          <cell r="X617" t="str">
            <v>-</v>
          </cell>
        </row>
        <row r="618">
          <cell r="A618">
            <v>72220610</v>
          </cell>
          <cell r="B618">
            <v>1442</v>
          </cell>
          <cell r="C618" t="str">
            <v>곱상어</v>
          </cell>
          <cell r="D618" t="str">
            <v>C</v>
          </cell>
          <cell r="E618">
            <v>70409036</v>
          </cell>
          <cell r="H618" t="str">
            <v>-</v>
          </cell>
          <cell r="I618" t="str">
            <v>-</v>
          </cell>
          <cell r="K618" t="str">
            <v>-</v>
          </cell>
          <cell r="L618" t="str">
            <v>-</v>
          </cell>
          <cell r="N618" t="str">
            <v>-</v>
          </cell>
          <cell r="O618" t="str">
            <v>-</v>
          </cell>
          <cell r="Q618" t="str">
            <v>-</v>
          </cell>
          <cell r="R618" t="str">
            <v>-</v>
          </cell>
          <cell r="T618" t="str">
            <v>-</v>
          </cell>
          <cell r="U618" t="str">
            <v>-</v>
          </cell>
          <cell r="W618" t="str">
            <v>-</v>
          </cell>
          <cell r="X618" t="str">
            <v>-</v>
          </cell>
        </row>
        <row r="619">
          <cell r="A619">
            <v>72220611</v>
          </cell>
          <cell r="B619">
            <v>1442</v>
          </cell>
          <cell r="C619" t="str">
            <v>정어리</v>
          </cell>
          <cell r="D619" t="str">
            <v>D</v>
          </cell>
          <cell r="E619">
            <v>70409320</v>
          </cell>
          <cell r="H619" t="str">
            <v>-</v>
          </cell>
          <cell r="I619" t="str">
            <v>-</v>
          </cell>
          <cell r="K619" t="str">
            <v>-</v>
          </cell>
          <cell r="L619" t="str">
            <v>-</v>
          </cell>
          <cell r="N619" t="str">
            <v>-</v>
          </cell>
          <cell r="O619" t="str">
            <v>-</v>
          </cell>
          <cell r="Q619" t="str">
            <v>-</v>
          </cell>
          <cell r="R619" t="str">
            <v>-</v>
          </cell>
          <cell r="T619" t="str">
            <v>-</v>
          </cell>
          <cell r="U619" t="str">
            <v>-</v>
          </cell>
          <cell r="W619" t="str">
            <v>-</v>
          </cell>
          <cell r="X619" t="str">
            <v>-</v>
          </cell>
        </row>
        <row r="620">
          <cell r="A620">
            <v>72220612</v>
          </cell>
          <cell r="B620">
            <v>1443</v>
          </cell>
          <cell r="C620" t="str">
            <v>지중해새치</v>
          </cell>
          <cell r="D620" t="str">
            <v>A</v>
          </cell>
          <cell r="E620">
            <v>70409335</v>
          </cell>
          <cell r="H620" t="str">
            <v>-</v>
          </cell>
          <cell r="I620" t="str">
            <v>-</v>
          </cell>
          <cell r="K620" t="str">
            <v>-</v>
          </cell>
          <cell r="L620" t="str">
            <v>-</v>
          </cell>
          <cell r="N620" t="str">
            <v>-</v>
          </cell>
          <cell r="O620" t="str">
            <v>-</v>
          </cell>
          <cell r="Q620" t="str">
            <v>-</v>
          </cell>
          <cell r="R620" t="str">
            <v>-</v>
          </cell>
          <cell r="T620" t="str">
            <v>-</v>
          </cell>
          <cell r="U620" t="str">
            <v>-</v>
          </cell>
          <cell r="W620" t="str">
            <v>-</v>
          </cell>
          <cell r="X620" t="str">
            <v>-</v>
          </cell>
        </row>
        <row r="621">
          <cell r="A621">
            <v>72220613</v>
          </cell>
          <cell r="B621">
            <v>1443</v>
          </cell>
          <cell r="C621" t="str">
            <v>참치방어</v>
          </cell>
          <cell r="D621" t="str">
            <v>D</v>
          </cell>
          <cell r="E621">
            <v>70409343</v>
          </cell>
          <cell r="H621" t="str">
            <v>-</v>
          </cell>
          <cell r="I621" t="str">
            <v>-</v>
          </cell>
          <cell r="K621" t="str">
            <v>-</v>
          </cell>
          <cell r="L621" t="str">
            <v>-</v>
          </cell>
          <cell r="N621" t="str">
            <v>-</v>
          </cell>
          <cell r="O621" t="str">
            <v>-</v>
          </cell>
          <cell r="Q621" t="str">
            <v>-</v>
          </cell>
          <cell r="R621" t="str">
            <v>-</v>
          </cell>
          <cell r="T621" t="str">
            <v>-</v>
          </cell>
          <cell r="U621" t="str">
            <v>-</v>
          </cell>
          <cell r="W621" t="str">
            <v>-</v>
          </cell>
          <cell r="X621" t="str">
            <v>-</v>
          </cell>
        </row>
        <row r="622">
          <cell r="A622">
            <v>72220614</v>
          </cell>
          <cell r="B622">
            <v>1443</v>
          </cell>
          <cell r="C622" t="str">
            <v>곱상어</v>
          </cell>
          <cell r="D622" t="str">
            <v>C</v>
          </cell>
          <cell r="E622">
            <v>70409036</v>
          </cell>
          <cell r="H622" t="str">
            <v>-</v>
          </cell>
          <cell r="I622" t="str">
            <v>-</v>
          </cell>
          <cell r="K622" t="str">
            <v>-</v>
          </cell>
          <cell r="L622" t="str">
            <v>-</v>
          </cell>
          <cell r="N622" t="str">
            <v>-</v>
          </cell>
          <cell r="O622" t="str">
            <v>-</v>
          </cell>
          <cell r="Q622" t="str">
            <v>-</v>
          </cell>
          <cell r="R622" t="str">
            <v>-</v>
          </cell>
          <cell r="T622" t="str">
            <v>-</v>
          </cell>
          <cell r="U622" t="str">
            <v>-</v>
          </cell>
          <cell r="W622" t="str">
            <v>-</v>
          </cell>
          <cell r="X622" t="str">
            <v>-</v>
          </cell>
        </row>
        <row r="623">
          <cell r="A623">
            <v>72220615</v>
          </cell>
          <cell r="B623">
            <v>1443</v>
          </cell>
          <cell r="C623" t="str">
            <v>정어리</v>
          </cell>
          <cell r="D623" t="str">
            <v>D</v>
          </cell>
          <cell r="E623">
            <v>70409320</v>
          </cell>
          <cell r="H623" t="str">
            <v>-</v>
          </cell>
          <cell r="I623" t="str">
            <v>-</v>
          </cell>
          <cell r="K623" t="str">
            <v>-</v>
          </cell>
          <cell r="L623" t="str">
            <v>-</v>
          </cell>
          <cell r="N623" t="str">
            <v>-</v>
          </cell>
          <cell r="O623" t="str">
            <v>-</v>
          </cell>
          <cell r="Q623" t="str">
            <v>-</v>
          </cell>
          <cell r="R623" t="str">
            <v>-</v>
          </cell>
          <cell r="T623" t="str">
            <v>-</v>
          </cell>
          <cell r="U623" t="str">
            <v>-</v>
          </cell>
          <cell r="W623" t="str">
            <v>-</v>
          </cell>
          <cell r="X623" t="str">
            <v>-</v>
          </cell>
        </row>
        <row r="624">
          <cell r="A624">
            <v>72220616</v>
          </cell>
          <cell r="B624">
            <v>1444</v>
          </cell>
          <cell r="C624" t="str">
            <v>지중해새치</v>
          </cell>
          <cell r="D624" t="str">
            <v>A</v>
          </cell>
          <cell r="E624">
            <v>70409335</v>
          </cell>
          <cell r="H624" t="str">
            <v>-</v>
          </cell>
          <cell r="I624" t="str">
            <v>-</v>
          </cell>
          <cell r="K624" t="str">
            <v>-</v>
          </cell>
          <cell r="L624" t="str">
            <v>-</v>
          </cell>
          <cell r="N624" t="str">
            <v>-</v>
          </cell>
          <cell r="O624" t="str">
            <v>-</v>
          </cell>
          <cell r="Q624" t="str">
            <v>-</v>
          </cell>
          <cell r="R624" t="str">
            <v>-</v>
          </cell>
          <cell r="T624" t="str">
            <v>-</v>
          </cell>
          <cell r="U624" t="str">
            <v>-</v>
          </cell>
          <cell r="W624" t="str">
            <v>-</v>
          </cell>
          <cell r="X624" t="str">
            <v>-</v>
          </cell>
        </row>
        <row r="625">
          <cell r="A625">
            <v>72220617</v>
          </cell>
          <cell r="B625">
            <v>1444</v>
          </cell>
          <cell r="C625" t="str">
            <v>참치방어</v>
          </cell>
          <cell r="D625" t="str">
            <v>D</v>
          </cell>
          <cell r="E625">
            <v>70409343</v>
          </cell>
          <cell r="H625" t="str">
            <v>-</v>
          </cell>
          <cell r="I625" t="str">
            <v>-</v>
          </cell>
          <cell r="K625" t="str">
            <v>-</v>
          </cell>
          <cell r="L625" t="str">
            <v>-</v>
          </cell>
          <cell r="N625" t="str">
            <v>-</v>
          </cell>
          <cell r="O625" t="str">
            <v>-</v>
          </cell>
          <cell r="Q625" t="str">
            <v>-</v>
          </cell>
          <cell r="R625" t="str">
            <v>-</v>
          </cell>
          <cell r="T625" t="str">
            <v>-</v>
          </cell>
          <cell r="U625" t="str">
            <v>-</v>
          </cell>
          <cell r="W625" t="str">
            <v>-</v>
          </cell>
          <cell r="X625" t="str">
            <v>-</v>
          </cell>
        </row>
        <row r="626">
          <cell r="A626">
            <v>72220618</v>
          </cell>
          <cell r="B626">
            <v>1444</v>
          </cell>
          <cell r="C626" t="str">
            <v>곱상어</v>
          </cell>
          <cell r="D626" t="str">
            <v>C</v>
          </cell>
          <cell r="E626">
            <v>70409036</v>
          </cell>
          <cell r="H626" t="str">
            <v>-</v>
          </cell>
          <cell r="I626" t="str">
            <v>-</v>
          </cell>
          <cell r="K626" t="str">
            <v>-</v>
          </cell>
          <cell r="L626" t="str">
            <v>-</v>
          </cell>
          <cell r="N626" t="str">
            <v>-</v>
          </cell>
          <cell r="O626" t="str">
            <v>-</v>
          </cell>
          <cell r="Q626" t="str">
            <v>-</v>
          </cell>
          <cell r="R626" t="str">
            <v>-</v>
          </cell>
          <cell r="T626" t="str">
            <v>-</v>
          </cell>
          <cell r="U626" t="str">
            <v>-</v>
          </cell>
          <cell r="W626" t="str">
            <v>-</v>
          </cell>
          <cell r="X626" t="str">
            <v>-</v>
          </cell>
        </row>
        <row r="627">
          <cell r="A627">
            <v>72220619</v>
          </cell>
          <cell r="B627">
            <v>1444</v>
          </cell>
          <cell r="C627" t="str">
            <v>정어리</v>
          </cell>
          <cell r="D627" t="str">
            <v>D</v>
          </cell>
          <cell r="E627">
            <v>70409320</v>
          </cell>
          <cell r="H627" t="str">
            <v>-</v>
          </cell>
          <cell r="I627" t="str">
            <v>-</v>
          </cell>
          <cell r="K627" t="str">
            <v>-</v>
          </cell>
          <cell r="L627" t="str">
            <v>-</v>
          </cell>
          <cell r="N627" t="str">
            <v>-</v>
          </cell>
          <cell r="O627" t="str">
            <v>-</v>
          </cell>
          <cell r="Q627" t="str">
            <v>-</v>
          </cell>
          <cell r="R627" t="str">
            <v>-</v>
          </cell>
          <cell r="T627" t="str">
            <v>-</v>
          </cell>
          <cell r="U627" t="str">
            <v>-</v>
          </cell>
          <cell r="W627" t="str">
            <v>-</v>
          </cell>
          <cell r="X627" t="str">
            <v>-</v>
          </cell>
        </row>
        <row r="628">
          <cell r="A628">
            <v>72220620</v>
          </cell>
          <cell r="B628">
            <v>1451</v>
          </cell>
          <cell r="C628" t="str">
            <v>푸른바다거북</v>
          </cell>
          <cell r="D628" t="str">
            <v>B</v>
          </cell>
          <cell r="E628">
            <v>70409378</v>
          </cell>
          <cell r="H628" t="str">
            <v>-</v>
          </cell>
          <cell r="I628" t="str">
            <v>-</v>
          </cell>
          <cell r="K628" t="str">
            <v>-</v>
          </cell>
          <cell r="L628" t="str">
            <v>-</v>
          </cell>
          <cell r="N628" t="str">
            <v>-</v>
          </cell>
          <cell r="O628" t="str">
            <v>-</v>
          </cell>
          <cell r="Q628" t="str">
            <v>-</v>
          </cell>
          <cell r="R628" t="str">
            <v>-</v>
          </cell>
          <cell r="T628" t="str">
            <v>-</v>
          </cell>
          <cell r="U628" t="str">
            <v>-</v>
          </cell>
          <cell r="W628" t="str">
            <v>-</v>
          </cell>
          <cell r="X628" t="str">
            <v>-</v>
          </cell>
        </row>
        <row r="629">
          <cell r="A629">
            <v>72220621</v>
          </cell>
          <cell r="B629">
            <v>1451</v>
          </cell>
          <cell r="C629" t="str">
            <v>정어리</v>
          </cell>
          <cell r="D629" t="str">
            <v>D</v>
          </cell>
          <cell r="E629">
            <v>70409320</v>
          </cell>
          <cell r="H629" t="str">
            <v>-</v>
          </cell>
          <cell r="I629" t="str">
            <v>-</v>
          </cell>
          <cell r="K629" t="str">
            <v>-</v>
          </cell>
          <cell r="L629" t="str">
            <v>-</v>
          </cell>
          <cell r="N629" t="str">
            <v>-</v>
          </cell>
          <cell r="O629" t="str">
            <v>-</v>
          </cell>
          <cell r="Q629" t="str">
            <v>-</v>
          </cell>
          <cell r="R629" t="str">
            <v>-</v>
          </cell>
          <cell r="T629" t="str">
            <v>-</v>
          </cell>
          <cell r="U629" t="str">
            <v>-</v>
          </cell>
          <cell r="W629" t="str">
            <v>-</v>
          </cell>
          <cell r="X629" t="str">
            <v>-</v>
          </cell>
        </row>
        <row r="630">
          <cell r="A630">
            <v>72220622</v>
          </cell>
          <cell r="B630">
            <v>1451</v>
          </cell>
          <cell r="C630" t="str">
            <v>대빨판이</v>
          </cell>
          <cell r="D630" t="str">
            <v>C</v>
          </cell>
          <cell r="E630">
            <v>70409100</v>
          </cell>
          <cell r="H630" t="str">
            <v>-</v>
          </cell>
          <cell r="I630" t="str">
            <v>-</v>
          </cell>
          <cell r="K630" t="str">
            <v>-</v>
          </cell>
          <cell r="L630" t="str">
            <v>-</v>
          </cell>
          <cell r="N630" t="str">
            <v>-</v>
          </cell>
          <cell r="O630" t="str">
            <v>-</v>
          </cell>
          <cell r="Q630" t="str">
            <v>-</v>
          </cell>
          <cell r="R630" t="str">
            <v>-</v>
          </cell>
          <cell r="T630" t="str">
            <v>-</v>
          </cell>
          <cell r="U630" t="str">
            <v>-</v>
          </cell>
          <cell r="W630" t="str">
            <v>-</v>
          </cell>
          <cell r="X630" t="str">
            <v>-</v>
          </cell>
        </row>
        <row r="631">
          <cell r="A631">
            <v>72220623</v>
          </cell>
          <cell r="B631">
            <v>1452</v>
          </cell>
          <cell r="C631" t="str">
            <v>푸른바다거북</v>
          </cell>
          <cell r="D631" t="str">
            <v>B</v>
          </cell>
          <cell r="E631">
            <v>70409378</v>
          </cell>
          <cell r="H631" t="str">
            <v>-</v>
          </cell>
          <cell r="I631" t="str">
            <v>-</v>
          </cell>
          <cell r="K631" t="str">
            <v>-</v>
          </cell>
          <cell r="L631" t="str">
            <v>-</v>
          </cell>
          <cell r="N631" t="str">
            <v>-</v>
          </cell>
          <cell r="O631" t="str">
            <v>-</v>
          </cell>
          <cell r="Q631" t="str">
            <v>-</v>
          </cell>
          <cell r="R631" t="str">
            <v>-</v>
          </cell>
          <cell r="T631" t="str">
            <v>-</v>
          </cell>
          <cell r="U631" t="str">
            <v>-</v>
          </cell>
          <cell r="W631" t="str">
            <v>-</v>
          </cell>
          <cell r="X631" t="str">
            <v>-</v>
          </cell>
        </row>
        <row r="632">
          <cell r="A632">
            <v>72220624</v>
          </cell>
          <cell r="B632">
            <v>1452</v>
          </cell>
          <cell r="C632" t="str">
            <v>정어리</v>
          </cell>
          <cell r="D632" t="str">
            <v>D</v>
          </cell>
          <cell r="E632">
            <v>70409320</v>
          </cell>
          <cell r="H632" t="str">
            <v>-</v>
          </cell>
          <cell r="I632" t="str">
            <v>-</v>
          </cell>
          <cell r="K632" t="str">
            <v>-</v>
          </cell>
          <cell r="L632" t="str">
            <v>-</v>
          </cell>
          <cell r="N632" t="str">
            <v>-</v>
          </cell>
          <cell r="O632" t="str">
            <v>-</v>
          </cell>
          <cell r="Q632" t="str">
            <v>-</v>
          </cell>
          <cell r="R632" t="str">
            <v>-</v>
          </cell>
          <cell r="T632" t="str">
            <v>-</v>
          </cell>
          <cell r="U632" t="str">
            <v>-</v>
          </cell>
          <cell r="W632" t="str">
            <v>-</v>
          </cell>
          <cell r="X632" t="str">
            <v>-</v>
          </cell>
        </row>
        <row r="633">
          <cell r="A633">
            <v>72220625</v>
          </cell>
          <cell r="B633">
            <v>1452</v>
          </cell>
          <cell r="C633" t="str">
            <v>대빨판이</v>
          </cell>
          <cell r="D633" t="str">
            <v>C</v>
          </cell>
          <cell r="E633">
            <v>70409100</v>
          </cell>
          <cell r="H633" t="str">
            <v>-</v>
          </cell>
          <cell r="I633" t="str">
            <v>-</v>
          </cell>
          <cell r="K633" t="str">
            <v>-</v>
          </cell>
          <cell r="L633" t="str">
            <v>-</v>
          </cell>
          <cell r="N633" t="str">
            <v>-</v>
          </cell>
          <cell r="O633" t="str">
            <v>-</v>
          </cell>
          <cell r="Q633" t="str">
            <v>-</v>
          </cell>
          <cell r="R633" t="str">
            <v>-</v>
          </cell>
          <cell r="T633" t="str">
            <v>-</v>
          </cell>
          <cell r="U633" t="str">
            <v>-</v>
          </cell>
          <cell r="W633" t="str">
            <v>-</v>
          </cell>
          <cell r="X633" t="str">
            <v>-</v>
          </cell>
        </row>
        <row r="634">
          <cell r="A634">
            <v>72220626</v>
          </cell>
          <cell r="B634">
            <v>1453</v>
          </cell>
          <cell r="C634" t="str">
            <v>푸른바다거북</v>
          </cell>
          <cell r="D634" t="str">
            <v>B</v>
          </cell>
          <cell r="E634">
            <v>70409378</v>
          </cell>
          <cell r="H634" t="str">
            <v>-</v>
          </cell>
          <cell r="I634" t="str">
            <v>-</v>
          </cell>
          <cell r="K634" t="str">
            <v>-</v>
          </cell>
          <cell r="L634" t="str">
            <v>-</v>
          </cell>
          <cell r="N634" t="str">
            <v>-</v>
          </cell>
          <cell r="O634" t="str">
            <v>-</v>
          </cell>
          <cell r="Q634" t="str">
            <v>-</v>
          </cell>
          <cell r="R634" t="str">
            <v>-</v>
          </cell>
          <cell r="T634" t="str">
            <v>-</v>
          </cell>
          <cell r="U634" t="str">
            <v>-</v>
          </cell>
          <cell r="W634" t="str">
            <v>-</v>
          </cell>
          <cell r="X634" t="str">
            <v>-</v>
          </cell>
        </row>
        <row r="635">
          <cell r="A635">
            <v>72220627</v>
          </cell>
          <cell r="B635">
            <v>1453</v>
          </cell>
          <cell r="C635" t="str">
            <v>정어리</v>
          </cell>
          <cell r="D635" t="str">
            <v>D</v>
          </cell>
          <cell r="E635">
            <v>70409320</v>
          </cell>
          <cell r="H635" t="str">
            <v>-</v>
          </cell>
          <cell r="I635" t="str">
            <v>-</v>
          </cell>
          <cell r="K635" t="str">
            <v>-</v>
          </cell>
          <cell r="L635" t="str">
            <v>-</v>
          </cell>
          <cell r="N635" t="str">
            <v>-</v>
          </cell>
          <cell r="O635" t="str">
            <v>-</v>
          </cell>
          <cell r="Q635" t="str">
            <v>-</v>
          </cell>
          <cell r="R635" t="str">
            <v>-</v>
          </cell>
          <cell r="T635" t="str">
            <v>-</v>
          </cell>
          <cell r="U635" t="str">
            <v>-</v>
          </cell>
          <cell r="W635" t="str">
            <v>-</v>
          </cell>
          <cell r="X635" t="str">
            <v>-</v>
          </cell>
        </row>
        <row r="636">
          <cell r="A636">
            <v>72220628</v>
          </cell>
          <cell r="B636">
            <v>1453</v>
          </cell>
          <cell r="C636" t="str">
            <v>대빨판이</v>
          </cell>
          <cell r="D636" t="str">
            <v>C</v>
          </cell>
          <cell r="E636">
            <v>70409100</v>
          </cell>
          <cell r="H636" t="str">
            <v>-</v>
          </cell>
          <cell r="I636" t="str">
            <v>-</v>
          </cell>
          <cell r="K636" t="str">
            <v>-</v>
          </cell>
          <cell r="L636" t="str">
            <v>-</v>
          </cell>
          <cell r="N636" t="str">
            <v>-</v>
          </cell>
          <cell r="O636" t="str">
            <v>-</v>
          </cell>
          <cell r="Q636" t="str">
            <v>-</v>
          </cell>
          <cell r="R636" t="str">
            <v>-</v>
          </cell>
          <cell r="T636" t="str">
            <v>-</v>
          </cell>
          <cell r="U636" t="str">
            <v>-</v>
          </cell>
          <cell r="W636" t="str">
            <v>-</v>
          </cell>
          <cell r="X636" t="str">
            <v>-</v>
          </cell>
        </row>
        <row r="637">
          <cell r="A637">
            <v>72220629</v>
          </cell>
          <cell r="B637">
            <v>1454</v>
          </cell>
          <cell r="C637" t="str">
            <v>푸른바다거북</v>
          </cell>
          <cell r="D637" t="str">
            <v>B</v>
          </cell>
          <cell r="E637">
            <v>70409378</v>
          </cell>
          <cell r="H637" t="str">
            <v>-</v>
          </cell>
          <cell r="I637" t="str">
            <v>-</v>
          </cell>
          <cell r="K637" t="str">
            <v>-</v>
          </cell>
          <cell r="L637" t="str">
            <v>-</v>
          </cell>
          <cell r="N637" t="str">
            <v>-</v>
          </cell>
          <cell r="O637" t="str">
            <v>-</v>
          </cell>
          <cell r="Q637" t="str">
            <v>-</v>
          </cell>
          <cell r="R637" t="str">
            <v>-</v>
          </cell>
          <cell r="T637" t="str">
            <v>-</v>
          </cell>
          <cell r="U637" t="str">
            <v>-</v>
          </cell>
          <cell r="W637" t="str">
            <v>-</v>
          </cell>
          <cell r="X637" t="str">
            <v>-</v>
          </cell>
        </row>
        <row r="638">
          <cell r="A638">
            <v>72220630</v>
          </cell>
          <cell r="B638">
            <v>1454</v>
          </cell>
          <cell r="C638" t="str">
            <v>정어리</v>
          </cell>
          <cell r="D638" t="str">
            <v>D</v>
          </cell>
          <cell r="E638">
            <v>70409320</v>
          </cell>
          <cell r="H638" t="str">
            <v>-</v>
          </cell>
          <cell r="I638" t="str">
            <v>-</v>
          </cell>
          <cell r="K638" t="str">
            <v>-</v>
          </cell>
          <cell r="L638" t="str">
            <v>-</v>
          </cell>
          <cell r="N638" t="str">
            <v>-</v>
          </cell>
          <cell r="O638" t="str">
            <v>-</v>
          </cell>
          <cell r="Q638" t="str">
            <v>-</v>
          </cell>
          <cell r="R638" t="str">
            <v>-</v>
          </cell>
          <cell r="T638" t="str">
            <v>-</v>
          </cell>
          <cell r="U638" t="str">
            <v>-</v>
          </cell>
          <cell r="W638" t="str">
            <v>-</v>
          </cell>
          <cell r="X638" t="str">
            <v>-</v>
          </cell>
        </row>
        <row r="639">
          <cell r="A639">
            <v>72220631</v>
          </cell>
          <cell r="B639">
            <v>1454</v>
          </cell>
          <cell r="C639" t="str">
            <v>대빨판이</v>
          </cell>
          <cell r="D639" t="str">
            <v>C</v>
          </cell>
          <cell r="E639">
            <v>70409100</v>
          </cell>
          <cell r="H639" t="str">
            <v>-</v>
          </cell>
          <cell r="I639" t="str">
            <v>-</v>
          </cell>
          <cell r="K639" t="str">
            <v>-</v>
          </cell>
          <cell r="L639" t="str">
            <v>-</v>
          </cell>
          <cell r="N639" t="str">
            <v>-</v>
          </cell>
          <cell r="O639" t="str">
            <v>-</v>
          </cell>
          <cell r="Q639" t="str">
            <v>-</v>
          </cell>
          <cell r="R639" t="str">
            <v>-</v>
          </cell>
          <cell r="T639" t="str">
            <v>-</v>
          </cell>
          <cell r="U639" t="str">
            <v>-</v>
          </cell>
          <cell r="W639" t="str">
            <v>-</v>
          </cell>
          <cell r="X639" t="str">
            <v>-</v>
          </cell>
        </row>
        <row r="640">
          <cell r="A640">
            <v>72220632</v>
          </cell>
          <cell r="B640">
            <v>1461</v>
          </cell>
          <cell r="C640" t="str">
            <v>가시복</v>
          </cell>
          <cell r="D640" t="str">
            <v>B</v>
          </cell>
          <cell r="E640">
            <v>70409004</v>
          </cell>
          <cell r="H640" t="str">
            <v>-</v>
          </cell>
          <cell r="I640" t="str">
            <v>-</v>
          </cell>
          <cell r="K640" t="str">
            <v>-</v>
          </cell>
          <cell r="L640" t="str">
            <v>-</v>
          </cell>
          <cell r="N640" t="str">
            <v>-</v>
          </cell>
          <cell r="O640" t="str">
            <v>-</v>
          </cell>
          <cell r="Q640" t="str">
            <v>-</v>
          </cell>
          <cell r="R640" t="str">
            <v>-</v>
          </cell>
          <cell r="T640" t="str">
            <v>-</v>
          </cell>
          <cell r="U640" t="str">
            <v>-</v>
          </cell>
          <cell r="W640" t="str">
            <v>-</v>
          </cell>
          <cell r="X640" t="str">
            <v>-</v>
          </cell>
        </row>
        <row r="641">
          <cell r="A641">
            <v>72220633</v>
          </cell>
          <cell r="B641">
            <v>1461</v>
          </cell>
          <cell r="C641" t="str">
            <v>달고기</v>
          </cell>
          <cell r="D641" t="str">
            <v>S</v>
          </cell>
          <cell r="E641">
            <v>70409097</v>
          </cell>
          <cell r="H641" t="str">
            <v>-</v>
          </cell>
          <cell r="I641" t="str">
            <v>-</v>
          </cell>
          <cell r="K641" t="str">
            <v>-</v>
          </cell>
          <cell r="L641" t="str">
            <v>-</v>
          </cell>
          <cell r="N641" t="str">
            <v>-</v>
          </cell>
          <cell r="O641" t="str">
            <v>-</v>
          </cell>
          <cell r="Q641" t="str">
            <v>-</v>
          </cell>
          <cell r="R641" t="str">
            <v>-</v>
          </cell>
          <cell r="T641" t="str">
            <v>-</v>
          </cell>
          <cell r="U641" t="str">
            <v>-</v>
          </cell>
          <cell r="W641" t="str">
            <v>-</v>
          </cell>
          <cell r="X641" t="str">
            <v>-</v>
          </cell>
        </row>
        <row r="642">
          <cell r="A642">
            <v>72220634</v>
          </cell>
          <cell r="B642">
            <v>1461</v>
          </cell>
          <cell r="C642" t="str">
            <v>정어리</v>
          </cell>
          <cell r="D642" t="str">
            <v>D</v>
          </cell>
          <cell r="E642">
            <v>70409320</v>
          </cell>
          <cell r="H642" t="str">
            <v>-</v>
          </cell>
          <cell r="I642" t="str">
            <v>-</v>
          </cell>
          <cell r="K642" t="str">
            <v>-</v>
          </cell>
          <cell r="L642" t="str">
            <v>-</v>
          </cell>
          <cell r="N642" t="str">
            <v>-</v>
          </cell>
          <cell r="O642" t="str">
            <v>-</v>
          </cell>
          <cell r="Q642" t="str">
            <v>-</v>
          </cell>
          <cell r="R642" t="str">
            <v>-</v>
          </cell>
          <cell r="T642" t="str">
            <v>-</v>
          </cell>
          <cell r="U642" t="str">
            <v>-</v>
          </cell>
          <cell r="W642" t="str">
            <v>-</v>
          </cell>
          <cell r="X642" t="str">
            <v>-</v>
          </cell>
        </row>
        <row r="643">
          <cell r="A643">
            <v>72220635</v>
          </cell>
          <cell r="B643">
            <v>1462</v>
          </cell>
          <cell r="C643" t="str">
            <v>가시복</v>
          </cell>
          <cell r="D643" t="str">
            <v>B</v>
          </cell>
          <cell r="E643">
            <v>70409004</v>
          </cell>
          <cell r="H643" t="str">
            <v>-</v>
          </cell>
          <cell r="I643" t="str">
            <v>-</v>
          </cell>
          <cell r="K643" t="str">
            <v>-</v>
          </cell>
          <cell r="L643" t="str">
            <v>-</v>
          </cell>
          <cell r="N643" t="str">
            <v>-</v>
          </cell>
          <cell r="O643" t="str">
            <v>-</v>
          </cell>
          <cell r="Q643" t="str">
            <v>-</v>
          </cell>
          <cell r="R643" t="str">
            <v>-</v>
          </cell>
          <cell r="T643" t="str">
            <v>-</v>
          </cell>
          <cell r="U643" t="str">
            <v>-</v>
          </cell>
          <cell r="W643" t="str">
            <v>-</v>
          </cell>
          <cell r="X643" t="str">
            <v>-</v>
          </cell>
        </row>
        <row r="644">
          <cell r="A644">
            <v>72220636</v>
          </cell>
          <cell r="B644">
            <v>1462</v>
          </cell>
          <cell r="C644" t="str">
            <v>달고기</v>
          </cell>
          <cell r="D644" t="str">
            <v>S</v>
          </cell>
          <cell r="E644">
            <v>70409097</v>
          </cell>
          <cell r="H644" t="str">
            <v>-</v>
          </cell>
          <cell r="I644" t="str">
            <v>-</v>
          </cell>
          <cell r="K644" t="str">
            <v>-</v>
          </cell>
          <cell r="L644" t="str">
            <v>-</v>
          </cell>
          <cell r="N644" t="str">
            <v>-</v>
          </cell>
          <cell r="O644" t="str">
            <v>-</v>
          </cell>
          <cell r="Q644" t="str">
            <v>-</v>
          </cell>
          <cell r="R644" t="str">
            <v>-</v>
          </cell>
          <cell r="T644" t="str">
            <v>-</v>
          </cell>
          <cell r="U644" t="str">
            <v>-</v>
          </cell>
          <cell r="W644" t="str">
            <v>-</v>
          </cell>
          <cell r="X644" t="str">
            <v>-</v>
          </cell>
        </row>
        <row r="645">
          <cell r="A645">
            <v>72220637</v>
          </cell>
          <cell r="B645">
            <v>1462</v>
          </cell>
          <cell r="C645" t="str">
            <v>정어리</v>
          </cell>
          <cell r="D645" t="str">
            <v>D</v>
          </cell>
          <cell r="E645">
            <v>70409320</v>
          </cell>
          <cell r="H645" t="str">
            <v>-</v>
          </cell>
          <cell r="I645" t="str">
            <v>-</v>
          </cell>
          <cell r="K645" t="str">
            <v>-</v>
          </cell>
          <cell r="L645" t="str">
            <v>-</v>
          </cell>
          <cell r="N645" t="str">
            <v>-</v>
          </cell>
          <cell r="O645" t="str">
            <v>-</v>
          </cell>
          <cell r="Q645" t="str">
            <v>-</v>
          </cell>
          <cell r="R645" t="str">
            <v>-</v>
          </cell>
          <cell r="T645" t="str">
            <v>-</v>
          </cell>
          <cell r="U645" t="str">
            <v>-</v>
          </cell>
          <cell r="W645" t="str">
            <v>-</v>
          </cell>
          <cell r="X645" t="str">
            <v>-</v>
          </cell>
        </row>
        <row r="646">
          <cell r="A646">
            <v>72220638</v>
          </cell>
          <cell r="B646">
            <v>1463</v>
          </cell>
          <cell r="C646" t="str">
            <v>가시복</v>
          </cell>
          <cell r="D646" t="str">
            <v>B</v>
          </cell>
          <cell r="E646">
            <v>70409004</v>
          </cell>
          <cell r="H646" t="str">
            <v>-</v>
          </cell>
          <cell r="I646" t="str">
            <v>-</v>
          </cell>
          <cell r="K646" t="str">
            <v>-</v>
          </cell>
          <cell r="L646" t="str">
            <v>-</v>
          </cell>
          <cell r="N646" t="str">
            <v>-</v>
          </cell>
          <cell r="O646" t="str">
            <v>-</v>
          </cell>
          <cell r="Q646" t="str">
            <v>-</v>
          </cell>
          <cell r="R646" t="str">
            <v>-</v>
          </cell>
          <cell r="T646" t="str">
            <v>-</v>
          </cell>
          <cell r="U646" t="str">
            <v>-</v>
          </cell>
          <cell r="W646" t="str">
            <v>-</v>
          </cell>
          <cell r="X646" t="str">
            <v>-</v>
          </cell>
        </row>
        <row r="647">
          <cell r="A647">
            <v>72220639</v>
          </cell>
          <cell r="B647">
            <v>1463</v>
          </cell>
          <cell r="C647" t="str">
            <v>달고기</v>
          </cell>
          <cell r="D647" t="str">
            <v>S</v>
          </cell>
          <cell r="E647">
            <v>70409097</v>
          </cell>
          <cell r="H647" t="str">
            <v>-</v>
          </cell>
          <cell r="I647" t="str">
            <v>-</v>
          </cell>
          <cell r="K647" t="str">
            <v>-</v>
          </cell>
          <cell r="L647" t="str">
            <v>-</v>
          </cell>
          <cell r="N647" t="str">
            <v>-</v>
          </cell>
          <cell r="O647" t="str">
            <v>-</v>
          </cell>
          <cell r="Q647" t="str">
            <v>-</v>
          </cell>
          <cell r="R647" t="str">
            <v>-</v>
          </cell>
          <cell r="T647" t="str">
            <v>-</v>
          </cell>
          <cell r="U647" t="str">
            <v>-</v>
          </cell>
          <cell r="W647" t="str">
            <v>-</v>
          </cell>
          <cell r="X647" t="str">
            <v>-</v>
          </cell>
        </row>
        <row r="648">
          <cell r="A648">
            <v>72220640</v>
          </cell>
          <cell r="B648">
            <v>1463</v>
          </cell>
          <cell r="C648" t="str">
            <v>정어리</v>
          </cell>
          <cell r="D648" t="str">
            <v>D</v>
          </cell>
          <cell r="E648">
            <v>70409320</v>
          </cell>
          <cell r="H648" t="str">
            <v>-</v>
          </cell>
          <cell r="I648" t="str">
            <v>-</v>
          </cell>
          <cell r="K648" t="str">
            <v>-</v>
          </cell>
          <cell r="L648" t="str">
            <v>-</v>
          </cell>
          <cell r="N648" t="str">
            <v>-</v>
          </cell>
          <cell r="O648" t="str">
            <v>-</v>
          </cell>
          <cell r="Q648" t="str">
            <v>-</v>
          </cell>
          <cell r="R648" t="str">
            <v>-</v>
          </cell>
          <cell r="T648" t="str">
            <v>-</v>
          </cell>
          <cell r="U648" t="str">
            <v>-</v>
          </cell>
          <cell r="W648" t="str">
            <v>-</v>
          </cell>
          <cell r="X648" t="str">
            <v>-</v>
          </cell>
        </row>
        <row r="649">
          <cell r="A649">
            <v>72220641</v>
          </cell>
          <cell r="B649">
            <v>1464</v>
          </cell>
          <cell r="C649" t="str">
            <v>가시복</v>
          </cell>
          <cell r="D649" t="str">
            <v>B</v>
          </cell>
          <cell r="E649">
            <v>70409004</v>
          </cell>
          <cell r="H649" t="str">
            <v>-</v>
          </cell>
          <cell r="I649" t="str">
            <v>-</v>
          </cell>
          <cell r="K649" t="str">
            <v>-</v>
          </cell>
          <cell r="L649" t="str">
            <v>-</v>
          </cell>
          <cell r="N649" t="str">
            <v>-</v>
          </cell>
          <cell r="O649" t="str">
            <v>-</v>
          </cell>
          <cell r="Q649" t="str">
            <v>-</v>
          </cell>
          <cell r="R649" t="str">
            <v>-</v>
          </cell>
          <cell r="T649" t="str">
            <v>-</v>
          </cell>
          <cell r="U649" t="str">
            <v>-</v>
          </cell>
          <cell r="W649" t="str">
            <v>-</v>
          </cell>
          <cell r="X649" t="str">
            <v>-</v>
          </cell>
        </row>
        <row r="650">
          <cell r="A650">
            <v>72220642</v>
          </cell>
          <cell r="B650">
            <v>1464</v>
          </cell>
          <cell r="C650" t="str">
            <v>달고기</v>
          </cell>
          <cell r="D650" t="str">
            <v>S</v>
          </cell>
          <cell r="E650">
            <v>70409097</v>
          </cell>
          <cell r="H650" t="str">
            <v>-</v>
          </cell>
          <cell r="I650" t="str">
            <v>-</v>
          </cell>
          <cell r="K650" t="str">
            <v>-</v>
          </cell>
          <cell r="L650" t="str">
            <v>-</v>
          </cell>
          <cell r="N650" t="str">
            <v>-</v>
          </cell>
          <cell r="O650" t="str">
            <v>-</v>
          </cell>
          <cell r="Q650" t="str">
            <v>-</v>
          </cell>
          <cell r="R650" t="str">
            <v>-</v>
          </cell>
          <cell r="T650" t="str">
            <v>-</v>
          </cell>
          <cell r="U650" t="str">
            <v>-</v>
          </cell>
          <cell r="W650" t="str">
            <v>-</v>
          </cell>
          <cell r="X650" t="str">
            <v>-</v>
          </cell>
        </row>
        <row r="651">
          <cell r="A651">
            <v>72220643</v>
          </cell>
          <cell r="B651">
            <v>1464</v>
          </cell>
          <cell r="C651" t="str">
            <v>정어리</v>
          </cell>
          <cell r="D651" t="str">
            <v>D</v>
          </cell>
          <cell r="E651">
            <v>70409320</v>
          </cell>
          <cell r="H651" t="str">
            <v>-</v>
          </cell>
          <cell r="I651" t="str">
            <v>-</v>
          </cell>
          <cell r="K651" t="str">
            <v>-</v>
          </cell>
          <cell r="L651" t="str">
            <v>-</v>
          </cell>
          <cell r="N651" t="str">
            <v>-</v>
          </cell>
          <cell r="O651" t="str">
            <v>-</v>
          </cell>
          <cell r="Q651" t="str">
            <v>-</v>
          </cell>
          <cell r="R651" t="str">
            <v>-</v>
          </cell>
          <cell r="T651" t="str">
            <v>-</v>
          </cell>
          <cell r="U651" t="str">
            <v>-</v>
          </cell>
          <cell r="W651" t="str">
            <v>-</v>
          </cell>
          <cell r="X651" t="str">
            <v>-</v>
          </cell>
        </row>
        <row r="652">
          <cell r="A652">
            <v>72220644</v>
          </cell>
          <cell r="B652">
            <v>1471</v>
          </cell>
          <cell r="C652" t="str">
            <v>푸른바다민달팽이</v>
          </cell>
          <cell r="D652" t="str">
            <v>B</v>
          </cell>
          <cell r="E652">
            <v>70409379</v>
          </cell>
          <cell r="H652" t="str">
            <v>-</v>
          </cell>
          <cell r="I652" t="str">
            <v>-</v>
          </cell>
          <cell r="K652" t="str">
            <v>-</v>
          </cell>
          <cell r="L652" t="str">
            <v>-</v>
          </cell>
          <cell r="N652" t="str">
            <v>-</v>
          </cell>
          <cell r="O652" t="str">
            <v>-</v>
          </cell>
          <cell r="Q652" t="str">
            <v>-</v>
          </cell>
          <cell r="R652" t="str">
            <v>-</v>
          </cell>
          <cell r="T652" t="str">
            <v>-</v>
          </cell>
          <cell r="U652" t="str">
            <v>-</v>
          </cell>
          <cell r="W652" t="str">
            <v>-</v>
          </cell>
          <cell r="X652" t="str">
            <v>-</v>
          </cell>
        </row>
        <row r="653">
          <cell r="A653">
            <v>72220645</v>
          </cell>
          <cell r="B653">
            <v>1471</v>
          </cell>
          <cell r="C653" t="str">
            <v>물개복치</v>
          </cell>
          <cell r="D653" t="str">
            <v>C</v>
          </cell>
          <cell r="E653">
            <v>70409166</v>
          </cell>
          <cell r="H653" t="str">
            <v>-</v>
          </cell>
          <cell r="I653" t="str">
            <v>-</v>
          </cell>
          <cell r="K653" t="str">
            <v>-</v>
          </cell>
          <cell r="L653" t="str">
            <v>-</v>
          </cell>
          <cell r="N653" t="str">
            <v>-</v>
          </cell>
          <cell r="O653" t="str">
            <v>-</v>
          </cell>
          <cell r="Q653" t="str">
            <v>-</v>
          </cell>
          <cell r="R653" t="str">
            <v>-</v>
          </cell>
          <cell r="T653" t="str">
            <v>-</v>
          </cell>
          <cell r="U653" t="str">
            <v>-</v>
          </cell>
          <cell r="W653" t="str">
            <v>-</v>
          </cell>
          <cell r="X653" t="str">
            <v>-</v>
          </cell>
        </row>
        <row r="654">
          <cell r="A654">
            <v>72220646</v>
          </cell>
          <cell r="B654">
            <v>1471</v>
          </cell>
          <cell r="C654" t="str">
            <v>불꽃청줄돔</v>
          </cell>
          <cell r="D654" t="str">
            <v>D</v>
          </cell>
          <cell r="E654">
            <v>70409381</v>
          </cell>
          <cell r="H654" t="str">
            <v>-</v>
          </cell>
          <cell r="I654" t="str">
            <v>-</v>
          </cell>
          <cell r="K654" t="str">
            <v>-</v>
          </cell>
          <cell r="L654" t="str">
            <v>-</v>
          </cell>
          <cell r="N654" t="str">
            <v>-</v>
          </cell>
          <cell r="O654" t="str">
            <v>-</v>
          </cell>
          <cell r="Q654" t="str">
            <v>-</v>
          </cell>
          <cell r="R654" t="str">
            <v>-</v>
          </cell>
          <cell r="T654" t="str">
            <v>-</v>
          </cell>
          <cell r="U654" t="str">
            <v>-</v>
          </cell>
          <cell r="W654" t="str">
            <v>-</v>
          </cell>
          <cell r="X654" t="str">
            <v>-</v>
          </cell>
        </row>
        <row r="655">
          <cell r="A655">
            <v>72220647</v>
          </cell>
          <cell r="B655">
            <v>1472</v>
          </cell>
          <cell r="C655" t="str">
            <v>푸른바다민달팽이</v>
          </cell>
          <cell r="D655" t="str">
            <v>B</v>
          </cell>
          <cell r="E655">
            <v>70409379</v>
          </cell>
          <cell r="H655" t="str">
            <v>-</v>
          </cell>
          <cell r="I655" t="str">
            <v>-</v>
          </cell>
          <cell r="K655" t="str">
            <v>-</v>
          </cell>
          <cell r="L655" t="str">
            <v>-</v>
          </cell>
          <cell r="N655" t="str">
            <v>-</v>
          </cell>
          <cell r="O655" t="str">
            <v>-</v>
          </cell>
          <cell r="Q655" t="str">
            <v>-</v>
          </cell>
          <cell r="R655" t="str">
            <v>-</v>
          </cell>
          <cell r="T655" t="str">
            <v>-</v>
          </cell>
          <cell r="U655" t="str">
            <v>-</v>
          </cell>
          <cell r="W655" t="str">
            <v>-</v>
          </cell>
          <cell r="X655" t="str">
            <v>-</v>
          </cell>
        </row>
        <row r="656">
          <cell r="A656">
            <v>72220648</v>
          </cell>
          <cell r="B656">
            <v>1472</v>
          </cell>
          <cell r="C656" t="str">
            <v>물개복치</v>
          </cell>
          <cell r="D656" t="str">
            <v>C</v>
          </cell>
          <cell r="E656">
            <v>70409166</v>
          </cell>
          <cell r="H656" t="str">
            <v>-</v>
          </cell>
          <cell r="I656" t="str">
            <v>-</v>
          </cell>
          <cell r="K656" t="str">
            <v>-</v>
          </cell>
          <cell r="L656" t="str">
            <v>-</v>
          </cell>
          <cell r="N656" t="str">
            <v>-</v>
          </cell>
          <cell r="O656" t="str">
            <v>-</v>
          </cell>
          <cell r="Q656" t="str">
            <v>-</v>
          </cell>
          <cell r="R656" t="str">
            <v>-</v>
          </cell>
          <cell r="T656" t="str">
            <v>-</v>
          </cell>
          <cell r="U656" t="str">
            <v>-</v>
          </cell>
          <cell r="W656" t="str">
            <v>-</v>
          </cell>
          <cell r="X656" t="str">
            <v>-</v>
          </cell>
        </row>
        <row r="657">
          <cell r="A657">
            <v>72220649</v>
          </cell>
          <cell r="B657">
            <v>1472</v>
          </cell>
          <cell r="C657" t="str">
            <v>불꽃청줄돔</v>
          </cell>
          <cell r="D657" t="str">
            <v>D</v>
          </cell>
          <cell r="E657">
            <v>70409381</v>
          </cell>
          <cell r="H657" t="str">
            <v>-</v>
          </cell>
          <cell r="I657" t="str">
            <v>-</v>
          </cell>
          <cell r="K657" t="str">
            <v>-</v>
          </cell>
          <cell r="L657" t="str">
            <v>-</v>
          </cell>
          <cell r="N657" t="str">
            <v>-</v>
          </cell>
          <cell r="O657" t="str">
            <v>-</v>
          </cell>
          <cell r="Q657" t="str">
            <v>-</v>
          </cell>
          <cell r="R657" t="str">
            <v>-</v>
          </cell>
          <cell r="T657" t="str">
            <v>-</v>
          </cell>
          <cell r="U657" t="str">
            <v>-</v>
          </cell>
          <cell r="W657" t="str">
            <v>-</v>
          </cell>
          <cell r="X657" t="str">
            <v>-</v>
          </cell>
        </row>
        <row r="658">
          <cell r="A658">
            <v>72220650</v>
          </cell>
          <cell r="B658">
            <v>1473</v>
          </cell>
          <cell r="C658" t="str">
            <v>푸른바다민달팽이</v>
          </cell>
          <cell r="D658" t="str">
            <v>B</v>
          </cell>
          <cell r="E658">
            <v>70409379</v>
          </cell>
          <cell r="H658" t="str">
            <v>-</v>
          </cell>
          <cell r="I658" t="str">
            <v>-</v>
          </cell>
          <cell r="K658" t="str">
            <v>-</v>
          </cell>
          <cell r="L658" t="str">
            <v>-</v>
          </cell>
          <cell r="N658" t="str">
            <v>-</v>
          </cell>
          <cell r="O658" t="str">
            <v>-</v>
          </cell>
          <cell r="Q658" t="str">
            <v>-</v>
          </cell>
          <cell r="R658" t="str">
            <v>-</v>
          </cell>
          <cell r="T658" t="str">
            <v>-</v>
          </cell>
          <cell r="U658" t="str">
            <v>-</v>
          </cell>
          <cell r="W658" t="str">
            <v>-</v>
          </cell>
          <cell r="X658" t="str">
            <v>-</v>
          </cell>
        </row>
        <row r="659">
          <cell r="A659">
            <v>72220651</v>
          </cell>
          <cell r="B659">
            <v>1473</v>
          </cell>
          <cell r="C659" t="str">
            <v>물개복치</v>
          </cell>
          <cell r="D659" t="str">
            <v>C</v>
          </cell>
          <cell r="E659">
            <v>70409166</v>
          </cell>
          <cell r="H659" t="str">
            <v>-</v>
          </cell>
          <cell r="I659" t="str">
            <v>-</v>
          </cell>
          <cell r="K659" t="str">
            <v>-</v>
          </cell>
          <cell r="L659" t="str">
            <v>-</v>
          </cell>
          <cell r="N659" t="str">
            <v>-</v>
          </cell>
          <cell r="O659" t="str">
            <v>-</v>
          </cell>
          <cell r="Q659" t="str">
            <v>-</v>
          </cell>
          <cell r="R659" t="str">
            <v>-</v>
          </cell>
          <cell r="T659" t="str">
            <v>-</v>
          </cell>
          <cell r="U659" t="str">
            <v>-</v>
          </cell>
          <cell r="W659" t="str">
            <v>-</v>
          </cell>
          <cell r="X659" t="str">
            <v>-</v>
          </cell>
        </row>
        <row r="660">
          <cell r="A660">
            <v>72220652</v>
          </cell>
          <cell r="B660">
            <v>1473</v>
          </cell>
          <cell r="C660" t="str">
            <v>불꽃청줄돔</v>
          </cell>
          <cell r="D660" t="str">
            <v>D</v>
          </cell>
          <cell r="E660">
            <v>70409381</v>
          </cell>
          <cell r="H660" t="str">
            <v>-</v>
          </cell>
          <cell r="I660" t="str">
            <v>-</v>
          </cell>
          <cell r="K660" t="str">
            <v>-</v>
          </cell>
          <cell r="L660" t="str">
            <v>-</v>
          </cell>
          <cell r="N660" t="str">
            <v>-</v>
          </cell>
          <cell r="O660" t="str">
            <v>-</v>
          </cell>
          <cell r="Q660" t="str">
            <v>-</v>
          </cell>
          <cell r="R660" t="str">
            <v>-</v>
          </cell>
          <cell r="T660" t="str">
            <v>-</v>
          </cell>
          <cell r="U660" t="str">
            <v>-</v>
          </cell>
          <cell r="W660" t="str">
            <v>-</v>
          </cell>
          <cell r="X660" t="str">
            <v>-</v>
          </cell>
        </row>
        <row r="661">
          <cell r="A661">
            <v>72220653</v>
          </cell>
          <cell r="B661">
            <v>1474</v>
          </cell>
          <cell r="C661" t="str">
            <v>푸른바다민달팽이</v>
          </cell>
          <cell r="D661" t="str">
            <v>B</v>
          </cell>
          <cell r="E661">
            <v>70409379</v>
          </cell>
          <cell r="H661" t="str">
            <v>-</v>
          </cell>
          <cell r="I661" t="str">
            <v>-</v>
          </cell>
          <cell r="K661" t="str">
            <v>-</v>
          </cell>
          <cell r="L661" t="str">
            <v>-</v>
          </cell>
          <cell r="N661" t="str">
            <v>-</v>
          </cell>
          <cell r="O661" t="str">
            <v>-</v>
          </cell>
          <cell r="Q661" t="str">
            <v>-</v>
          </cell>
          <cell r="R661" t="str">
            <v>-</v>
          </cell>
          <cell r="T661" t="str">
            <v>-</v>
          </cell>
          <cell r="U661" t="str">
            <v>-</v>
          </cell>
          <cell r="W661" t="str">
            <v>-</v>
          </cell>
          <cell r="X661" t="str">
            <v>-</v>
          </cell>
        </row>
        <row r="662">
          <cell r="A662">
            <v>72220654</v>
          </cell>
          <cell r="B662">
            <v>1474</v>
          </cell>
          <cell r="C662" t="str">
            <v>물개복치</v>
          </cell>
          <cell r="D662" t="str">
            <v>C</v>
          </cell>
          <cell r="E662">
            <v>70409166</v>
          </cell>
          <cell r="H662" t="str">
            <v>-</v>
          </cell>
          <cell r="I662" t="str">
            <v>-</v>
          </cell>
          <cell r="K662" t="str">
            <v>-</v>
          </cell>
          <cell r="L662" t="str">
            <v>-</v>
          </cell>
          <cell r="N662" t="str">
            <v>-</v>
          </cell>
          <cell r="O662" t="str">
            <v>-</v>
          </cell>
          <cell r="Q662" t="str">
            <v>-</v>
          </cell>
          <cell r="R662" t="str">
            <v>-</v>
          </cell>
          <cell r="T662" t="str">
            <v>-</v>
          </cell>
          <cell r="U662" t="str">
            <v>-</v>
          </cell>
          <cell r="W662" t="str">
            <v>-</v>
          </cell>
          <cell r="X662" t="str">
            <v>-</v>
          </cell>
        </row>
        <row r="663">
          <cell r="A663">
            <v>72220655</v>
          </cell>
          <cell r="B663">
            <v>1474</v>
          </cell>
          <cell r="C663" t="str">
            <v>불꽃청줄돔</v>
          </cell>
          <cell r="D663" t="str">
            <v>D</v>
          </cell>
          <cell r="E663">
            <v>70409381</v>
          </cell>
          <cell r="H663" t="str">
            <v>-</v>
          </cell>
          <cell r="I663" t="str">
            <v>-</v>
          </cell>
          <cell r="K663" t="str">
            <v>-</v>
          </cell>
          <cell r="L663" t="str">
            <v>-</v>
          </cell>
          <cell r="N663" t="str">
            <v>-</v>
          </cell>
          <cell r="O663" t="str">
            <v>-</v>
          </cell>
          <cell r="Q663" t="str">
            <v>-</v>
          </cell>
          <cell r="R663" t="str">
            <v>-</v>
          </cell>
          <cell r="T663" t="str">
            <v>-</v>
          </cell>
          <cell r="U663" t="str">
            <v>-</v>
          </cell>
          <cell r="W663" t="str">
            <v>-</v>
          </cell>
          <cell r="X663" t="str">
            <v>-</v>
          </cell>
        </row>
        <row r="664">
          <cell r="A664">
            <v>72220656</v>
          </cell>
          <cell r="B664">
            <v>1474</v>
          </cell>
          <cell r="C664" t="str">
            <v>강남상어</v>
          </cell>
          <cell r="D664" t="str">
            <v>S</v>
          </cell>
          <cell r="E664">
            <v>70409017</v>
          </cell>
          <cell r="H664" t="str">
            <v>-</v>
          </cell>
          <cell r="I664" t="str">
            <v>-</v>
          </cell>
          <cell r="K664" t="str">
            <v>-</v>
          </cell>
          <cell r="L664" t="str">
            <v>-</v>
          </cell>
          <cell r="N664" t="str">
            <v>-</v>
          </cell>
          <cell r="O664" t="str">
            <v>-</v>
          </cell>
          <cell r="Q664" t="str">
            <v>-</v>
          </cell>
          <cell r="R664" t="str">
            <v>-</v>
          </cell>
          <cell r="T664" t="str">
            <v>-</v>
          </cell>
          <cell r="U664" t="str">
            <v>-</v>
          </cell>
          <cell r="W664" t="str">
            <v>-</v>
          </cell>
          <cell r="X664" t="str">
            <v>-</v>
          </cell>
        </row>
        <row r="665">
          <cell r="A665">
            <v>72220657</v>
          </cell>
          <cell r="B665">
            <v>1481</v>
          </cell>
          <cell r="C665" t="str">
            <v>모조리상어</v>
          </cell>
          <cell r="D665" t="str">
            <v>S</v>
          </cell>
          <cell r="E665">
            <v>70409152</v>
          </cell>
          <cell r="H665" t="str">
            <v>-</v>
          </cell>
          <cell r="I665" t="str">
            <v>-</v>
          </cell>
          <cell r="K665" t="str">
            <v>-</v>
          </cell>
          <cell r="L665" t="str">
            <v>-</v>
          </cell>
          <cell r="N665" t="str">
            <v>-</v>
          </cell>
          <cell r="O665" t="str">
            <v>-</v>
          </cell>
          <cell r="Q665" t="str">
            <v>-</v>
          </cell>
          <cell r="R665" t="str">
            <v>-</v>
          </cell>
          <cell r="T665" t="str">
            <v>-</v>
          </cell>
          <cell r="U665" t="str">
            <v>-</v>
          </cell>
          <cell r="W665" t="str">
            <v>-</v>
          </cell>
          <cell r="X665" t="str">
            <v>-</v>
          </cell>
        </row>
        <row r="666">
          <cell r="A666">
            <v>72220658</v>
          </cell>
          <cell r="B666">
            <v>1481</v>
          </cell>
          <cell r="C666" t="str">
            <v>흰빨판이</v>
          </cell>
          <cell r="D666" t="str">
            <v>C</v>
          </cell>
          <cell r="E666">
            <v>70409417</v>
          </cell>
          <cell r="H666" t="str">
            <v>-</v>
          </cell>
          <cell r="I666" t="str">
            <v>-</v>
          </cell>
          <cell r="K666" t="str">
            <v>-</v>
          </cell>
          <cell r="L666" t="str">
            <v>-</v>
          </cell>
          <cell r="N666" t="str">
            <v>-</v>
          </cell>
          <cell r="O666" t="str">
            <v>-</v>
          </cell>
          <cell r="Q666" t="str">
            <v>-</v>
          </cell>
          <cell r="R666" t="str">
            <v>-</v>
          </cell>
          <cell r="T666" t="str">
            <v>-</v>
          </cell>
          <cell r="U666" t="str">
            <v>-</v>
          </cell>
          <cell r="W666" t="str">
            <v>-</v>
          </cell>
          <cell r="X666" t="str">
            <v>-</v>
          </cell>
        </row>
        <row r="667">
          <cell r="A667">
            <v>72220659</v>
          </cell>
          <cell r="B667">
            <v>1481</v>
          </cell>
          <cell r="C667" t="str">
            <v>날개쥐치</v>
          </cell>
          <cell r="D667" t="str">
            <v>B</v>
          </cell>
          <cell r="E667">
            <v>70409066</v>
          </cell>
          <cell r="H667" t="str">
            <v>-</v>
          </cell>
          <cell r="I667" t="str">
            <v>-</v>
          </cell>
          <cell r="K667" t="str">
            <v>-</v>
          </cell>
          <cell r="L667" t="str">
            <v>-</v>
          </cell>
          <cell r="N667" t="str">
            <v>-</v>
          </cell>
          <cell r="O667" t="str">
            <v>-</v>
          </cell>
          <cell r="Q667" t="str">
            <v>-</v>
          </cell>
          <cell r="R667" t="str">
            <v>-</v>
          </cell>
          <cell r="T667" t="str">
            <v>-</v>
          </cell>
          <cell r="U667" t="str">
            <v>-</v>
          </cell>
          <cell r="W667" t="str">
            <v>-</v>
          </cell>
          <cell r="X667" t="str">
            <v>-</v>
          </cell>
        </row>
        <row r="668">
          <cell r="A668">
            <v>72220660</v>
          </cell>
          <cell r="B668">
            <v>1481</v>
          </cell>
          <cell r="C668" t="str">
            <v>숭어</v>
          </cell>
          <cell r="D668" t="str">
            <v>D</v>
          </cell>
          <cell r="E668">
            <v>70409259</v>
          </cell>
          <cell r="H668" t="str">
            <v>-</v>
          </cell>
          <cell r="I668" t="str">
            <v>-</v>
          </cell>
          <cell r="K668" t="str">
            <v>-</v>
          </cell>
          <cell r="L668" t="str">
            <v>-</v>
          </cell>
          <cell r="N668" t="str">
            <v>-</v>
          </cell>
          <cell r="O668" t="str">
            <v>-</v>
          </cell>
          <cell r="Q668" t="str">
            <v>-</v>
          </cell>
          <cell r="R668" t="str">
            <v>-</v>
          </cell>
          <cell r="T668" t="str">
            <v>-</v>
          </cell>
          <cell r="U668" t="str">
            <v>-</v>
          </cell>
          <cell r="W668" t="str">
            <v>-</v>
          </cell>
          <cell r="X668" t="str">
            <v>-</v>
          </cell>
        </row>
        <row r="669">
          <cell r="A669">
            <v>72220661</v>
          </cell>
          <cell r="B669">
            <v>1482</v>
          </cell>
          <cell r="C669" t="str">
            <v>흰빨판이</v>
          </cell>
          <cell r="D669" t="str">
            <v>C</v>
          </cell>
          <cell r="E669">
            <v>70409417</v>
          </cell>
          <cell r="H669" t="str">
            <v>-</v>
          </cell>
          <cell r="I669" t="str">
            <v>-</v>
          </cell>
          <cell r="K669" t="str">
            <v>-</v>
          </cell>
          <cell r="L669" t="str">
            <v>-</v>
          </cell>
          <cell r="N669" t="str">
            <v>-</v>
          </cell>
          <cell r="O669" t="str">
            <v>-</v>
          </cell>
          <cell r="Q669" t="str">
            <v>-</v>
          </cell>
          <cell r="R669" t="str">
            <v>-</v>
          </cell>
          <cell r="T669" t="str">
            <v>-</v>
          </cell>
          <cell r="U669" t="str">
            <v>-</v>
          </cell>
          <cell r="W669" t="str">
            <v>-</v>
          </cell>
          <cell r="X669" t="str">
            <v>-</v>
          </cell>
        </row>
        <row r="670">
          <cell r="A670">
            <v>72220662</v>
          </cell>
          <cell r="B670">
            <v>1482</v>
          </cell>
          <cell r="C670" t="str">
            <v>날개쥐치</v>
          </cell>
          <cell r="D670" t="str">
            <v>B</v>
          </cell>
          <cell r="E670">
            <v>70409066</v>
          </cell>
          <cell r="H670" t="str">
            <v>-</v>
          </cell>
          <cell r="I670" t="str">
            <v>-</v>
          </cell>
          <cell r="K670" t="str">
            <v>-</v>
          </cell>
          <cell r="L670" t="str">
            <v>-</v>
          </cell>
          <cell r="N670" t="str">
            <v>-</v>
          </cell>
          <cell r="O670" t="str">
            <v>-</v>
          </cell>
          <cell r="Q670" t="str">
            <v>-</v>
          </cell>
          <cell r="R670" t="str">
            <v>-</v>
          </cell>
          <cell r="T670" t="str">
            <v>-</v>
          </cell>
          <cell r="U670" t="str">
            <v>-</v>
          </cell>
          <cell r="W670" t="str">
            <v>-</v>
          </cell>
          <cell r="X670" t="str">
            <v>-</v>
          </cell>
        </row>
        <row r="671">
          <cell r="A671">
            <v>72220663</v>
          </cell>
          <cell r="B671">
            <v>1482</v>
          </cell>
          <cell r="C671" t="str">
            <v>숭어</v>
          </cell>
          <cell r="D671" t="str">
            <v>D</v>
          </cell>
          <cell r="E671">
            <v>70409259</v>
          </cell>
          <cell r="H671" t="str">
            <v>-</v>
          </cell>
          <cell r="I671" t="str">
            <v>-</v>
          </cell>
          <cell r="K671" t="str">
            <v>-</v>
          </cell>
          <cell r="L671" t="str">
            <v>-</v>
          </cell>
          <cell r="N671" t="str">
            <v>-</v>
          </cell>
          <cell r="O671" t="str">
            <v>-</v>
          </cell>
          <cell r="Q671" t="str">
            <v>-</v>
          </cell>
          <cell r="R671" t="str">
            <v>-</v>
          </cell>
          <cell r="T671" t="str">
            <v>-</v>
          </cell>
          <cell r="U671" t="str">
            <v>-</v>
          </cell>
          <cell r="W671" t="str">
            <v>-</v>
          </cell>
          <cell r="X671" t="str">
            <v>-</v>
          </cell>
        </row>
        <row r="672">
          <cell r="A672">
            <v>72220664</v>
          </cell>
          <cell r="B672">
            <v>1483</v>
          </cell>
          <cell r="C672" t="str">
            <v>흰빨판이</v>
          </cell>
          <cell r="D672" t="str">
            <v>C</v>
          </cell>
          <cell r="E672">
            <v>70409417</v>
          </cell>
          <cell r="H672" t="str">
            <v>-</v>
          </cell>
          <cell r="I672" t="str">
            <v>-</v>
          </cell>
          <cell r="K672" t="str">
            <v>-</v>
          </cell>
          <cell r="L672" t="str">
            <v>-</v>
          </cell>
          <cell r="N672" t="str">
            <v>-</v>
          </cell>
          <cell r="O672" t="str">
            <v>-</v>
          </cell>
          <cell r="Q672" t="str">
            <v>-</v>
          </cell>
          <cell r="R672" t="str">
            <v>-</v>
          </cell>
          <cell r="T672" t="str">
            <v>-</v>
          </cell>
          <cell r="U672" t="str">
            <v>-</v>
          </cell>
          <cell r="W672" t="str">
            <v>-</v>
          </cell>
          <cell r="X672" t="str">
            <v>-</v>
          </cell>
        </row>
        <row r="673">
          <cell r="A673">
            <v>72220665</v>
          </cell>
          <cell r="B673">
            <v>1483</v>
          </cell>
          <cell r="C673" t="str">
            <v>날개쥐치</v>
          </cell>
          <cell r="D673" t="str">
            <v>B</v>
          </cell>
          <cell r="E673">
            <v>70409066</v>
          </cell>
          <cell r="H673" t="str">
            <v>-</v>
          </cell>
          <cell r="I673" t="str">
            <v>-</v>
          </cell>
          <cell r="K673" t="str">
            <v>-</v>
          </cell>
          <cell r="L673" t="str">
            <v>-</v>
          </cell>
          <cell r="N673" t="str">
            <v>-</v>
          </cell>
          <cell r="O673" t="str">
            <v>-</v>
          </cell>
          <cell r="Q673" t="str">
            <v>-</v>
          </cell>
          <cell r="R673" t="str">
            <v>-</v>
          </cell>
          <cell r="T673" t="str">
            <v>-</v>
          </cell>
          <cell r="U673" t="str">
            <v>-</v>
          </cell>
          <cell r="W673" t="str">
            <v>-</v>
          </cell>
          <cell r="X673" t="str">
            <v>-</v>
          </cell>
        </row>
        <row r="674">
          <cell r="A674">
            <v>72220666</v>
          </cell>
          <cell r="B674">
            <v>1483</v>
          </cell>
          <cell r="C674" t="str">
            <v>숭어</v>
          </cell>
          <cell r="D674" t="str">
            <v>D</v>
          </cell>
          <cell r="E674">
            <v>70409259</v>
          </cell>
          <cell r="H674" t="str">
            <v>-</v>
          </cell>
          <cell r="I674" t="str">
            <v>-</v>
          </cell>
          <cell r="K674" t="str">
            <v>-</v>
          </cell>
          <cell r="L674" t="str">
            <v>-</v>
          </cell>
          <cell r="N674" t="str">
            <v>-</v>
          </cell>
          <cell r="O674" t="str">
            <v>-</v>
          </cell>
          <cell r="Q674" t="str">
            <v>-</v>
          </cell>
          <cell r="R674" t="str">
            <v>-</v>
          </cell>
          <cell r="T674" t="str">
            <v>-</v>
          </cell>
          <cell r="U674" t="str">
            <v>-</v>
          </cell>
          <cell r="W674" t="str">
            <v>-</v>
          </cell>
          <cell r="X674" t="str">
            <v>-</v>
          </cell>
        </row>
        <row r="675">
          <cell r="A675">
            <v>72220667</v>
          </cell>
          <cell r="B675">
            <v>1484</v>
          </cell>
          <cell r="C675" t="str">
            <v>흰빨판이</v>
          </cell>
          <cell r="D675" t="str">
            <v>C</v>
          </cell>
          <cell r="E675">
            <v>70409417</v>
          </cell>
          <cell r="H675" t="str">
            <v>-</v>
          </cell>
          <cell r="I675" t="str">
            <v>-</v>
          </cell>
          <cell r="K675" t="str">
            <v>-</v>
          </cell>
          <cell r="L675" t="str">
            <v>-</v>
          </cell>
          <cell r="N675" t="str">
            <v>-</v>
          </cell>
          <cell r="O675" t="str">
            <v>-</v>
          </cell>
          <cell r="Q675" t="str">
            <v>-</v>
          </cell>
          <cell r="R675" t="str">
            <v>-</v>
          </cell>
          <cell r="T675" t="str">
            <v>-</v>
          </cell>
          <cell r="U675" t="str">
            <v>-</v>
          </cell>
          <cell r="W675" t="str">
            <v>-</v>
          </cell>
          <cell r="X675" t="str">
            <v>-</v>
          </cell>
        </row>
        <row r="676">
          <cell r="A676">
            <v>72220668</v>
          </cell>
          <cell r="B676">
            <v>1484</v>
          </cell>
          <cell r="C676" t="str">
            <v>날개쥐치</v>
          </cell>
          <cell r="D676" t="str">
            <v>B</v>
          </cell>
          <cell r="E676">
            <v>70409066</v>
          </cell>
          <cell r="H676" t="str">
            <v>-</v>
          </cell>
          <cell r="I676" t="str">
            <v>-</v>
          </cell>
          <cell r="K676" t="str">
            <v>-</v>
          </cell>
          <cell r="L676" t="str">
            <v>-</v>
          </cell>
          <cell r="N676" t="str">
            <v>-</v>
          </cell>
          <cell r="O676" t="str">
            <v>-</v>
          </cell>
          <cell r="Q676" t="str">
            <v>-</v>
          </cell>
          <cell r="R676" t="str">
            <v>-</v>
          </cell>
          <cell r="T676" t="str">
            <v>-</v>
          </cell>
          <cell r="U676" t="str">
            <v>-</v>
          </cell>
          <cell r="W676" t="str">
            <v>-</v>
          </cell>
          <cell r="X676" t="str">
            <v>-</v>
          </cell>
        </row>
        <row r="677">
          <cell r="A677">
            <v>72220669</v>
          </cell>
          <cell r="B677">
            <v>1484</v>
          </cell>
          <cell r="C677" t="str">
            <v>숭어</v>
          </cell>
          <cell r="D677" t="str">
            <v>D</v>
          </cell>
          <cell r="E677">
            <v>70409259</v>
          </cell>
          <cell r="H677" t="str">
            <v>-</v>
          </cell>
          <cell r="I677" t="str">
            <v>-</v>
          </cell>
          <cell r="K677" t="str">
            <v>-</v>
          </cell>
          <cell r="L677" t="str">
            <v>-</v>
          </cell>
          <cell r="N677" t="str">
            <v>-</v>
          </cell>
          <cell r="O677" t="str">
            <v>-</v>
          </cell>
          <cell r="Q677" t="str">
            <v>-</v>
          </cell>
          <cell r="R677" t="str">
            <v>-</v>
          </cell>
          <cell r="T677" t="str">
            <v>-</v>
          </cell>
          <cell r="U677" t="str">
            <v>-</v>
          </cell>
          <cell r="W677" t="str">
            <v>-</v>
          </cell>
          <cell r="X677" t="str">
            <v>-</v>
          </cell>
        </row>
        <row r="678">
          <cell r="A678">
            <v>72220670</v>
          </cell>
          <cell r="B678">
            <v>1491</v>
          </cell>
          <cell r="C678" t="str">
            <v>밀복</v>
          </cell>
          <cell r="D678" t="str">
            <v>C</v>
          </cell>
          <cell r="E678">
            <v>70409175</v>
          </cell>
          <cell r="F678" t="str">
            <v>밀복</v>
          </cell>
          <cell r="H678" t="str">
            <v>-</v>
          </cell>
          <cell r="I678" t="str">
            <v>-</v>
          </cell>
          <cell r="K678" t="str">
            <v>-</v>
          </cell>
          <cell r="L678" t="str">
            <v>-</v>
          </cell>
          <cell r="N678" t="str">
            <v>-</v>
          </cell>
          <cell r="O678" t="str">
            <v>-</v>
          </cell>
          <cell r="Q678" t="str">
            <v>-</v>
          </cell>
          <cell r="R678" t="str">
            <v>-</v>
          </cell>
          <cell r="T678" t="str">
            <v>-</v>
          </cell>
          <cell r="U678" t="str">
            <v>-</v>
          </cell>
          <cell r="W678" t="str">
            <v>-</v>
          </cell>
          <cell r="X678" t="str">
            <v>-</v>
          </cell>
        </row>
        <row r="679">
          <cell r="A679">
            <v>72220671</v>
          </cell>
          <cell r="B679">
            <v>1491</v>
          </cell>
          <cell r="C679" t="str">
            <v>별복</v>
          </cell>
          <cell r="D679" t="str">
            <v>C</v>
          </cell>
          <cell r="E679">
            <v>70409201</v>
          </cell>
          <cell r="F679" t="str">
            <v>별복</v>
          </cell>
          <cell r="H679" t="str">
            <v>-</v>
          </cell>
          <cell r="I679" t="str">
            <v>-</v>
          </cell>
          <cell r="K679" t="str">
            <v>-</v>
          </cell>
          <cell r="L679" t="str">
            <v>-</v>
          </cell>
          <cell r="N679" t="str">
            <v>-</v>
          </cell>
          <cell r="O679" t="str">
            <v>-</v>
          </cell>
          <cell r="Q679" t="str">
            <v>-</v>
          </cell>
          <cell r="R679" t="str">
            <v>-</v>
          </cell>
          <cell r="T679" t="str">
            <v>-</v>
          </cell>
          <cell r="U679" t="str">
            <v>-</v>
          </cell>
          <cell r="W679" t="str">
            <v>-</v>
          </cell>
          <cell r="X679" t="str">
            <v>-</v>
          </cell>
        </row>
        <row r="680">
          <cell r="A680">
            <v>72220672</v>
          </cell>
          <cell r="B680">
            <v>1491</v>
          </cell>
          <cell r="C680" t="str">
            <v>나비가오리</v>
          </cell>
          <cell r="D680" t="str">
            <v>A</v>
          </cell>
          <cell r="E680">
            <v>70409061</v>
          </cell>
          <cell r="F680" t="str">
            <v>참고래</v>
          </cell>
          <cell r="H680" t="str">
            <v>-</v>
          </cell>
          <cell r="I680" t="str">
            <v>-</v>
          </cell>
          <cell r="K680" t="str">
            <v>-</v>
          </cell>
          <cell r="L680" t="str">
            <v>-</v>
          </cell>
          <cell r="N680" t="str">
            <v>-</v>
          </cell>
          <cell r="O680" t="str">
            <v>-</v>
          </cell>
          <cell r="Q680" t="str">
            <v>-</v>
          </cell>
          <cell r="R680" t="str">
            <v>-</v>
          </cell>
          <cell r="T680" t="str">
            <v>-</v>
          </cell>
          <cell r="U680" t="str">
            <v>-</v>
          </cell>
          <cell r="W680" t="str">
            <v>-</v>
          </cell>
          <cell r="X680" t="str">
            <v>-</v>
          </cell>
        </row>
        <row r="681">
          <cell r="A681">
            <v>72220673</v>
          </cell>
          <cell r="B681">
            <v>1492</v>
          </cell>
          <cell r="C681" t="str">
            <v>밀복</v>
          </cell>
          <cell r="D681" t="str">
            <v>C</v>
          </cell>
          <cell r="E681">
            <v>70409175</v>
          </cell>
          <cell r="F681" t="str">
            <v>밀복</v>
          </cell>
          <cell r="H681" t="str">
            <v>-</v>
          </cell>
          <cell r="I681" t="str">
            <v>-</v>
          </cell>
          <cell r="K681" t="str">
            <v>-</v>
          </cell>
          <cell r="L681" t="str">
            <v>-</v>
          </cell>
          <cell r="N681" t="str">
            <v>-</v>
          </cell>
          <cell r="O681" t="str">
            <v>-</v>
          </cell>
          <cell r="Q681" t="str">
            <v>-</v>
          </cell>
          <cell r="R681" t="str">
            <v>-</v>
          </cell>
          <cell r="T681" t="str">
            <v>-</v>
          </cell>
          <cell r="U681" t="str">
            <v>-</v>
          </cell>
          <cell r="W681" t="str">
            <v>-</v>
          </cell>
          <cell r="X681" t="str">
            <v>-</v>
          </cell>
        </row>
        <row r="682">
          <cell r="A682">
            <v>72220674</v>
          </cell>
          <cell r="B682">
            <v>1492</v>
          </cell>
          <cell r="C682" t="str">
            <v>별복</v>
          </cell>
          <cell r="D682" t="str">
            <v>C</v>
          </cell>
          <cell r="E682">
            <v>70409201</v>
          </cell>
          <cell r="F682" t="str">
            <v>별복</v>
          </cell>
          <cell r="H682" t="str">
            <v>-</v>
          </cell>
          <cell r="I682" t="str">
            <v>-</v>
          </cell>
          <cell r="K682" t="str">
            <v>-</v>
          </cell>
          <cell r="L682" t="str">
            <v>-</v>
          </cell>
          <cell r="N682" t="str">
            <v>-</v>
          </cell>
          <cell r="O682" t="str">
            <v>-</v>
          </cell>
          <cell r="Q682" t="str">
            <v>-</v>
          </cell>
          <cell r="R682" t="str">
            <v>-</v>
          </cell>
          <cell r="T682" t="str">
            <v>-</v>
          </cell>
          <cell r="U682" t="str">
            <v>-</v>
          </cell>
          <cell r="W682" t="str">
            <v>-</v>
          </cell>
          <cell r="X682" t="str">
            <v>-</v>
          </cell>
        </row>
        <row r="683">
          <cell r="A683">
            <v>72220675</v>
          </cell>
          <cell r="B683">
            <v>1492</v>
          </cell>
          <cell r="C683" t="str">
            <v>나비가오리</v>
          </cell>
          <cell r="D683" t="str">
            <v>A</v>
          </cell>
          <cell r="E683">
            <v>70409061</v>
          </cell>
          <cell r="F683" t="str">
            <v>참고래</v>
          </cell>
          <cell r="H683" t="str">
            <v>-</v>
          </cell>
          <cell r="I683" t="str">
            <v>-</v>
          </cell>
          <cell r="K683" t="str">
            <v>-</v>
          </cell>
          <cell r="L683" t="str">
            <v>-</v>
          </cell>
          <cell r="N683" t="str">
            <v>-</v>
          </cell>
          <cell r="O683" t="str">
            <v>-</v>
          </cell>
          <cell r="Q683" t="str">
            <v>-</v>
          </cell>
          <cell r="R683" t="str">
            <v>-</v>
          </cell>
          <cell r="T683" t="str">
            <v>-</v>
          </cell>
          <cell r="U683" t="str">
            <v>-</v>
          </cell>
          <cell r="W683" t="str">
            <v>-</v>
          </cell>
          <cell r="X683" t="str">
            <v>-</v>
          </cell>
        </row>
        <row r="684">
          <cell r="A684">
            <v>72220676</v>
          </cell>
          <cell r="B684">
            <v>1493</v>
          </cell>
          <cell r="C684" t="str">
            <v>밀복</v>
          </cell>
          <cell r="D684" t="str">
            <v>C</v>
          </cell>
          <cell r="E684">
            <v>70409175</v>
          </cell>
          <cell r="F684" t="str">
            <v>밀복</v>
          </cell>
          <cell r="H684" t="str">
            <v>-</v>
          </cell>
          <cell r="I684" t="str">
            <v>-</v>
          </cell>
          <cell r="K684" t="str">
            <v>-</v>
          </cell>
          <cell r="L684" t="str">
            <v>-</v>
          </cell>
          <cell r="N684" t="str">
            <v>-</v>
          </cell>
          <cell r="O684" t="str">
            <v>-</v>
          </cell>
          <cell r="Q684" t="str">
            <v>-</v>
          </cell>
          <cell r="R684" t="str">
            <v>-</v>
          </cell>
          <cell r="T684" t="str">
            <v>-</v>
          </cell>
          <cell r="U684" t="str">
            <v>-</v>
          </cell>
          <cell r="W684" t="str">
            <v>-</v>
          </cell>
          <cell r="X684" t="str">
            <v>-</v>
          </cell>
        </row>
        <row r="685">
          <cell r="A685">
            <v>72220677</v>
          </cell>
          <cell r="B685">
            <v>1493</v>
          </cell>
          <cell r="C685" t="str">
            <v>별복</v>
          </cell>
          <cell r="D685" t="str">
            <v>C</v>
          </cell>
          <cell r="E685">
            <v>70409201</v>
          </cell>
          <cell r="F685" t="str">
            <v>별복</v>
          </cell>
          <cell r="H685" t="str">
            <v>-</v>
          </cell>
          <cell r="I685" t="str">
            <v>-</v>
          </cell>
          <cell r="K685" t="str">
            <v>-</v>
          </cell>
          <cell r="L685" t="str">
            <v>-</v>
          </cell>
          <cell r="N685" t="str">
            <v>-</v>
          </cell>
          <cell r="O685" t="str">
            <v>-</v>
          </cell>
          <cell r="Q685" t="str">
            <v>-</v>
          </cell>
          <cell r="R685" t="str">
            <v>-</v>
          </cell>
          <cell r="T685" t="str">
            <v>-</v>
          </cell>
          <cell r="U685" t="str">
            <v>-</v>
          </cell>
          <cell r="W685" t="str">
            <v>-</v>
          </cell>
          <cell r="X685" t="str">
            <v>-</v>
          </cell>
        </row>
        <row r="686">
          <cell r="A686">
            <v>72220678</v>
          </cell>
          <cell r="B686">
            <v>1493</v>
          </cell>
          <cell r="C686" t="str">
            <v>나비가오리</v>
          </cell>
          <cell r="D686" t="str">
            <v>A</v>
          </cell>
          <cell r="E686">
            <v>70409061</v>
          </cell>
          <cell r="F686" t="str">
            <v>참고래</v>
          </cell>
          <cell r="H686" t="str">
            <v>-</v>
          </cell>
          <cell r="I686" t="str">
            <v>-</v>
          </cell>
          <cell r="K686" t="str">
            <v>-</v>
          </cell>
          <cell r="L686" t="str">
            <v>-</v>
          </cell>
          <cell r="N686" t="str">
            <v>-</v>
          </cell>
          <cell r="O686" t="str">
            <v>-</v>
          </cell>
          <cell r="Q686" t="str">
            <v>-</v>
          </cell>
          <cell r="R686" t="str">
            <v>-</v>
          </cell>
          <cell r="T686" t="str">
            <v>-</v>
          </cell>
          <cell r="U686" t="str">
            <v>-</v>
          </cell>
          <cell r="W686" t="str">
            <v>-</v>
          </cell>
          <cell r="X686" t="str">
            <v>-</v>
          </cell>
        </row>
        <row r="687">
          <cell r="A687">
            <v>72220679</v>
          </cell>
          <cell r="B687">
            <v>1494</v>
          </cell>
          <cell r="C687" t="str">
            <v>밀복</v>
          </cell>
          <cell r="D687" t="str">
            <v>C</v>
          </cell>
          <cell r="E687">
            <v>70409175</v>
          </cell>
          <cell r="F687" t="str">
            <v>밀복</v>
          </cell>
          <cell r="H687" t="str">
            <v>-</v>
          </cell>
          <cell r="I687" t="str">
            <v>-</v>
          </cell>
          <cell r="K687" t="str">
            <v>-</v>
          </cell>
          <cell r="L687" t="str">
            <v>-</v>
          </cell>
          <cell r="N687" t="str">
            <v>-</v>
          </cell>
          <cell r="O687" t="str">
            <v>-</v>
          </cell>
          <cell r="Q687" t="str">
            <v>-</v>
          </cell>
          <cell r="R687" t="str">
            <v>-</v>
          </cell>
          <cell r="T687" t="str">
            <v>-</v>
          </cell>
          <cell r="U687" t="str">
            <v>-</v>
          </cell>
          <cell r="W687" t="str">
            <v>-</v>
          </cell>
          <cell r="X687" t="str">
            <v>-</v>
          </cell>
        </row>
        <row r="688">
          <cell r="A688">
            <v>72220680</v>
          </cell>
          <cell r="B688">
            <v>1494</v>
          </cell>
          <cell r="C688" t="str">
            <v>별복</v>
          </cell>
          <cell r="D688" t="str">
            <v>C</v>
          </cell>
          <cell r="E688">
            <v>70409201</v>
          </cell>
          <cell r="F688" t="str">
            <v>별복</v>
          </cell>
          <cell r="H688" t="str">
            <v>-</v>
          </cell>
          <cell r="I688" t="str">
            <v>-</v>
          </cell>
          <cell r="K688" t="str">
            <v>-</v>
          </cell>
          <cell r="L688" t="str">
            <v>-</v>
          </cell>
          <cell r="N688" t="str">
            <v>-</v>
          </cell>
          <cell r="O688" t="str">
            <v>-</v>
          </cell>
          <cell r="Q688" t="str">
            <v>-</v>
          </cell>
          <cell r="R688" t="str">
            <v>-</v>
          </cell>
          <cell r="T688" t="str">
            <v>-</v>
          </cell>
          <cell r="U688" t="str">
            <v>-</v>
          </cell>
          <cell r="W688" t="str">
            <v>-</v>
          </cell>
          <cell r="X688" t="str">
            <v>-</v>
          </cell>
        </row>
        <row r="689">
          <cell r="A689">
            <v>72220681</v>
          </cell>
          <cell r="B689">
            <v>1494</v>
          </cell>
          <cell r="C689" t="str">
            <v>나비가오리</v>
          </cell>
          <cell r="D689" t="str">
            <v>A</v>
          </cell>
          <cell r="E689">
            <v>70409061</v>
          </cell>
          <cell r="F689" t="str">
            <v>참고래</v>
          </cell>
          <cell r="H689" t="str">
            <v>-</v>
          </cell>
          <cell r="I689" t="str">
            <v>-</v>
          </cell>
          <cell r="K689" t="str">
            <v>-</v>
          </cell>
          <cell r="L689" t="str">
            <v>-</v>
          </cell>
          <cell r="N689" t="str">
            <v>-</v>
          </cell>
          <cell r="O689" t="str">
            <v>-</v>
          </cell>
          <cell r="Q689" t="str">
            <v>-</v>
          </cell>
          <cell r="R689" t="str">
            <v>-</v>
          </cell>
          <cell r="T689" t="str">
            <v>-</v>
          </cell>
          <cell r="U689" t="str">
            <v>-</v>
          </cell>
          <cell r="W689" t="str">
            <v>-</v>
          </cell>
          <cell r="X689" t="str">
            <v>-</v>
          </cell>
        </row>
        <row r="690">
          <cell r="A690">
            <v>72220682</v>
          </cell>
          <cell r="B690">
            <v>1501</v>
          </cell>
          <cell r="C690" t="str">
            <v>줄만새기</v>
          </cell>
          <cell r="D690" t="str">
            <v>B</v>
          </cell>
          <cell r="E690">
            <v>70409328</v>
          </cell>
          <cell r="H690" t="str">
            <v>-</v>
          </cell>
          <cell r="I690" t="str">
            <v>-</v>
          </cell>
          <cell r="K690" t="str">
            <v>-</v>
          </cell>
          <cell r="L690" t="str">
            <v>-</v>
          </cell>
          <cell r="N690" t="str">
            <v>-</v>
          </cell>
          <cell r="O690" t="str">
            <v>-</v>
          </cell>
          <cell r="Q690" t="str">
            <v>-</v>
          </cell>
          <cell r="R690" t="str">
            <v>-</v>
          </cell>
          <cell r="T690" t="str">
            <v>-</v>
          </cell>
          <cell r="U690" t="str">
            <v>-</v>
          </cell>
          <cell r="W690" t="str">
            <v>-</v>
          </cell>
          <cell r="X690" t="str">
            <v>-</v>
          </cell>
        </row>
        <row r="691">
          <cell r="A691">
            <v>72220683</v>
          </cell>
          <cell r="B691">
            <v>1501</v>
          </cell>
          <cell r="C691" t="str">
            <v>무늬깜정이</v>
          </cell>
          <cell r="D691" t="str">
            <v>C</v>
          </cell>
          <cell r="E691">
            <v>70409157</v>
          </cell>
          <cell r="H691" t="str">
            <v>-</v>
          </cell>
          <cell r="I691" t="str">
            <v>-</v>
          </cell>
          <cell r="K691" t="str">
            <v>-</v>
          </cell>
          <cell r="L691" t="str">
            <v>-</v>
          </cell>
          <cell r="N691" t="str">
            <v>-</v>
          </cell>
          <cell r="O691" t="str">
            <v>-</v>
          </cell>
          <cell r="Q691" t="str">
            <v>-</v>
          </cell>
          <cell r="R691" t="str">
            <v>-</v>
          </cell>
          <cell r="T691" t="str">
            <v>-</v>
          </cell>
          <cell r="U691" t="str">
            <v>-</v>
          </cell>
          <cell r="W691" t="str">
            <v>-</v>
          </cell>
          <cell r="X691" t="str">
            <v>-</v>
          </cell>
        </row>
        <row r="692">
          <cell r="A692">
            <v>72220684</v>
          </cell>
          <cell r="B692">
            <v>1501</v>
          </cell>
          <cell r="C692" t="str">
            <v>애붕장어</v>
          </cell>
          <cell r="D692" t="str">
            <v>D</v>
          </cell>
          <cell r="E692">
            <v>70409278</v>
          </cell>
          <cell r="H692" t="str">
            <v>-</v>
          </cell>
          <cell r="I692" t="str">
            <v>-</v>
          </cell>
          <cell r="K692" t="str">
            <v>-</v>
          </cell>
          <cell r="L692" t="str">
            <v>-</v>
          </cell>
          <cell r="N692" t="str">
            <v>-</v>
          </cell>
          <cell r="O692" t="str">
            <v>-</v>
          </cell>
          <cell r="Q692" t="str">
            <v>-</v>
          </cell>
          <cell r="R692" t="str">
            <v>-</v>
          </cell>
          <cell r="T692" t="str">
            <v>-</v>
          </cell>
          <cell r="U692" t="str">
            <v>-</v>
          </cell>
          <cell r="W692" t="str">
            <v>-</v>
          </cell>
          <cell r="X692" t="str">
            <v>-</v>
          </cell>
        </row>
        <row r="693">
          <cell r="A693">
            <v>72220685</v>
          </cell>
          <cell r="B693">
            <v>1501</v>
          </cell>
          <cell r="C693" t="str">
            <v>뿔복</v>
          </cell>
          <cell r="D693" t="str">
            <v>C</v>
          </cell>
          <cell r="E693">
            <v>70409235</v>
          </cell>
          <cell r="H693" t="str">
            <v>-</v>
          </cell>
          <cell r="I693" t="str">
            <v>-</v>
          </cell>
          <cell r="K693" t="str">
            <v>-</v>
          </cell>
          <cell r="L693" t="str">
            <v>-</v>
          </cell>
          <cell r="N693" t="str">
            <v>-</v>
          </cell>
          <cell r="O693" t="str">
            <v>-</v>
          </cell>
          <cell r="Q693" t="str">
            <v>-</v>
          </cell>
          <cell r="R693" t="str">
            <v>-</v>
          </cell>
          <cell r="T693" t="str">
            <v>-</v>
          </cell>
          <cell r="U693" t="str">
            <v>-</v>
          </cell>
          <cell r="W693" t="str">
            <v>-</v>
          </cell>
          <cell r="X693" t="str">
            <v>-</v>
          </cell>
        </row>
        <row r="694">
          <cell r="A694">
            <v>72220686</v>
          </cell>
          <cell r="B694">
            <v>1502</v>
          </cell>
          <cell r="C694" t="str">
            <v>줄만새기</v>
          </cell>
          <cell r="D694" t="str">
            <v>B</v>
          </cell>
          <cell r="E694">
            <v>70409328</v>
          </cell>
          <cell r="H694" t="str">
            <v>-</v>
          </cell>
          <cell r="I694" t="str">
            <v>-</v>
          </cell>
          <cell r="K694" t="str">
            <v>-</v>
          </cell>
          <cell r="L694" t="str">
            <v>-</v>
          </cell>
          <cell r="N694" t="str">
            <v>-</v>
          </cell>
          <cell r="O694" t="str">
            <v>-</v>
          </cell>
          <cell r="Q694" t="str">
            <v>-</v>
          </cell>
          <cell r="R694" t="str">
            <v>-</v>
          </cell>
          <cell r="T694" t="str">
            <v>-</v>
          </cell>
          <cell r="U694" t="str">
            <v>-</v>
          </cell>
          <cell r="W694" t="str">
            <v>-</v>
          </cell>
          <cell r="X694" t="str">
            <v>-</v>
          </cell>
        </row>
        <row r="695">
          <cell r="A695">
            <v>72220687</v>
          </cell>
          <cell r="B695">
            <v>1502</v>
          </cell>
          <cell r="C695" t="str">
            <v>무늬깜정이</v>
          </cell>
          <cell r="D695" t="str">
            <v>C</v>
          </cell>
          <cell r="E695">
            <v>70409157</v>
          </cell>
          <cell r="H695" t="str">
            <v>-</v>
          </cell>
          <cell r="I695" t="str">
            <v>-</v>
          </cell>
          <cell r="K695" t="str">
            <v>-</v>
          </cell>
          <cell r="L695" t="str">
            <v>-</v>
          </cell>
          <cell r="N695" t="str">
            <v>-</v>
          </cell>
          <cell r="O695" t="str">
            <v>-</v>
          </cell>
          <cell r="Q695" t="str">
            <v>-</v>
          </cell>
          <cell r="R695" t="str">
            <v>-</v>
          </cell>
          <cell r="T695" t="str">
            <v>-</v>
          </cell>
          <cell r="U695" t="str">
            <v>-</v>
          </cell>
          <cell r="W695" t="str">
            <v>-</v>
          </cell>
          <cell r="X695" t="str">
            <v>-</v>
          </cell>
        </row>
        <row r="696">
          <cell r="A696">
            <v>72220688</v>
          </cell>
          <cell r="B696">
            <v>1502</v>
          </cell>
          <cell r="C696" t="str">
            <v>애붕장어</v>
          </cell>
          <cell r="D696" t="str">
            <v>D</v>
          </cell>
          <cell r="E696">
            <v>70409278</v>
          </cell>
          <cell r="H696" t="str">
            <v>-</v>
          </cell>
          <cell r="I696" t="str">
            <v>-</v>
          </cell>
          <cell r="K696" t="str">
            <v>-</v>
          </cell>
          <cell r="L696" t="str">
            <v>-</v>
          </cell>
          <cell r="N696" t="str">
            <v>-</v>
          </cell>
          <cell r="O696" t="str">
            <v>-</v>
          </cell>
          <cell r="Q696" t="str">
            <v>-</v>
          </cell>
          <cell r="R696" t="str">
            <v>-</v>
          </cell>
          <cell r="T696" t="str">
            <v>-</v>
          </cell>
          <cell r="U696" t="str">
            <v>-</v>
          </cell>
          <cell r="W696" t="str">
            <v>-</v>
          </cell>
          <cell r="X696" t="str">
            <v>-</v>
          </cell>
        </row>
        <row r="697">
          <cell r="A697">
            <v>72220689</v>
          </cell>
          <cell r="B697">
            <v>1502</v>
          </cell>
          <cell r="C697" t="str">
            <v>뿔복</v>
          </cell>
          <cell r="D697" t="str">
            <v>C</v>
          </cell>
          <cell r="E697">
            <v>70409235</v>
          </cell>
          <cell r="H697" t="str">
            <v>-</v>
          </cell>
          <cell r="I697" t="str">
            <v>-</v>
          </cell>
          <cell r="K697" t="str">
            <v>-</v>
          </cell>
          <cell r="L697" t="str">
            <v>-</v>
          </cell>
          <cell r="N697" t="str">
            <v>-</v>
          </cell>
          <cell r="O697" t="str">
            <v>-</v>
          </cell>
          <cell r="Q697" t="str">
            <v>-</v>
          </cell>
          <cell r="R697" t="str">
            <v>-</v>
          </cell>
          <cell r="T697" t="str">
            <v>-</v>
          </cell>
          <cell r="U697" t="str">
            <v>-</v>
          </cell>
          <cell r="W697" t="str">
            <v>-</v>
          </cell>
          <cell r="X697" t="str">
            <v>-</v>
          </cell>
        </row>
        <row r="698">
          <cell r="A698">
            <v>72220690</v>
          </cell>
          <cell r="B698">
            <v>1503</v>
          </cell>
          <cell r="C698" t="str">
            <v>줄만새기</v>
          </cell>
          <cell r="D698" t="str">
            <v>B</v>
          </cell>
          <cell r="E698">
            <v>70409328</v>
          </cell>
          <cell r="H698" t="str">
            <v>-</v>
          </cell>
          <cell r="I698" t="str">
            <v>-</v>
          </cell>
          <cell r="K698" t="str">
            <v>-</v>
          </cell>
          <cell r="L698" t="str">
            <v>-</v>
          </cell>
          <cell r="N698" t="str">
            <v>-</v>
          </cell>
          <cell r="O698" t="str">
            <v>-</v>
          </cell>
          <cell r="Q698" t="str">
            <v>-</v>
          </cell>
          <cell r="R698" t="str">
            <v>-</v>
          </cell>
          <cell r="T698" t="str">
            <v>-</v>
          </cell>
          <cell r="U698" t="str">
            <v>-</v>
          </cell>
          <cell r="W698" t="str">
            <v>-</v>
          </cell>
          <cell r="X698" t="str">
            <v>-</v>
          </cell>
        </row>
        <row r="699">
          <cell r="A699">
            <v>72220691</v>
          </cell>
          <cell r="B699">
            <v>1503</v>
          </cell>
          <cell r="C699" t="str">
            <v>무늬깜정이</v>
          </cell>
          <cell r="D699" t="str">
            <v>C</v>
          </cell>
          <cell r="E699">
            <v>70409157</v>
          </cell>
          <cell r="H699" t="str">
            <v>-</v>
          </cell>
          <cell r="I699" t="str">
            <v>-</v>
          </cell>
          <cell r="K699" t="str">
            <v>-</v>
          </cell>
          <cell r="L699" t="str">
            <v>-</v>
          </cell>
          <cell r="N699" t="str">
            <v>-</v>
          </cell>
          <cell r="O699" t="str">
            <v>-</v>
          </cell>
          <cell r="Q699" t="str">
            <v>-</v>
          </cell>
          <cell r="R699" t="str">
            <v>-</v>
          </cell>
          <cell r="T699" t="str">
            <v>-</v>
          </cell>
          <cell r="U699" t="str">
            <v>-</v>
          </cell>
          <cell r="W699" t="str">
            <v>-</v>
          </cell>
          <cell r="X699" t="str">
            <v>-</v>
          </cell>
        </row>
        <row r="700">
          <cell r="A700">
            <v>72220692</v>
          </cell>
          <cell r="B700">
            <v>1503</v>
          </cell>
          <cell r="C700" t="str">
            <v>애붕장어</v>
          </cell>
          <cell r="D700" t="str">
            <v>D</v>
          </cell>
          <cell r="E700">
            <v>70409278</v>
          </cell>
          <cell r="H700" t="str">
            <v>-</v>
          </cell>
          <cell r="I700" t="str">
            <v>-</v>
          </cell>
          <cell r="K700" t="str">
            <v>-</v>
          </cell>
          <cell r="L700" t="str">
            <v>-</v>
          </cell>
          <cell r="N700" t="str">
            <v>-</v>
          </cell>
          <cell r="O700" t="str">
            <v>-</v>
          </cell>
          <cell r="Q700" t="str">
            <v>-</v>
          </cell>
          <cell r="R700" t="str">
            <v>-</v>
          </cell>
          <cell r="T700" t="str">
            <v>-</v>
          </cell>
          <cell r="U700" t="str">
            <v>-</v>
          </cell>
          <cell r="W700" t="str">
            <v>-</v>
          </cell>
          <cell r="X700" t="str">
            <v>-</v>
          </cell>
        </row>
        <row r="701">
          <cell r="A701">
            <v>72220693</v>
          </cell>
          <cell r="B701">
            <v>1504</v>
          </cell>
          <cell r="C701" t="str">
            <v>뿔복</v>
          </cell>
          <cell r="D701" t="str">
            <v>C</v>
          </cell>
          <cell r="E701">
            <v>70409235</v>
          </cell>
          <cell r="H701" t="str">
            <v>-</v>
          </cell>
          <cell r="I701" t="str">
            <v>-</v>
          </cell>
          <cell r="K701" t="str">
            <v>-</v>
          </cell>
          <cell r="L701" t="str">
            <v>-</v>
          </cell>
          <cell r="N701" t="str">
            <v>-</v>
          </cell>
          <cell r="O701" t="str">
            <v>-</v>
          </cell>
          <cell r="Q701" t="str">
            <v>-</v>
          </cell>
          <cell r="R701" t="str">
            <v>-</v>
          </cell>
          <cell r="T701" t="str">
            <v>-</v>
          </cell>
          <cell r="U701" t="str">
            <v>-</v>
          </cell>
          <cell r="W701" t="str">
            <v>-</v>
          </cell>
          <cell r="X701" t="str">
            <v>-</v>
          </cell>
        </row>
        <row r="702">
          <cell r="A702">
            <v>72220694</v>
          </cell>
          <cell r="B702">
            <v>1504</v>
          </cell>
          <cell r="C702" t="str">
            <v>줄만새기</v>
          </cell>
          <cell r="D702" t="str">
            <v>B</v>
          </cell>
          <cell r="E702">
            <v>70409328</v>
          </cell>
          <cell r="H702" t="str">
            <v>-</v>
          </cell>
          <cell r="I702" t="str">
            <v>-</v>
          </cell>
          <cell r="K702" t="str">
            <v>-</v>
          </cell>
          <cell r="L702" t="str">
            <v>-</v>
          </cell>
          <cell r="N702" t="str">
            <v>-</v>
          </cell>
          <cell r="O702" t="str">
            <v>-</v>
          </cell>
          <cell r="Q702" t="str">
            <v>-</v>
          </cell>
          <cell r="R702" t="str">
            <v>-</v>
          </cell>
          <cell r="T702" t="str">
            <v>-</v>
          </cell>
          <cell r="U702" t="str">
            <v>-</v>
          </cell>
          <cell r="W702" t="str">
            <v>-</v>
          </cell>
          <cell r="X702" t="str">
            <v>-</v>
          </cell>
        </row>
        <row r="703">
          <cell r="A703">
            <v>72220695</v>
          </cell>
          <cell r="B703">
            <v>1504</v>
          </cell>
          <cell r="C703" t="str">
            <v>무늬깜정이</v>
          </cell>
          <cell r="D703" t="str">
            <v>C</v>
          </cell>
          <cell r="E703">
            <v>70409157</v>
          </cell>
          <cell r="H703" t="str">
            <v>-</v>
          </cell>
          <cell r="I703" t="str">
            <v>-</v>
          </cell>
          <cell r="K703" t="str">
            <v>-</v>
          </cell>
          <cell r="L703" t="str">
            <v>-</v>
          </cell>
          <cell r="N703" t="str">
            <v>-</v>
          </cell>
          <cell r="O703" t="str">
            <v>-</v>
          </cell>
          <cell r="Q703" t="str">
            <v>-</v>
          </cell>
          <cell r="R703" t="str">
            <v>-</v>
          </cell>
          <cell r="T703" t="str">
            <v>-</v>
          </cell>
          <cell r="U703" t="str">
            <v>-</v>
          </cell>
          <cell r="W703" t="str">
            <v>-</v>
          </cell>
          <cell r="X703" t="str">
            <v>-</v>
          </cell>
        </row>
        <row r="704">
          <cell r="A704">
            <v>72220696</v>
          </cell>
          <cell r="B704">
            <v>1504</v>
          </cell>
          <cell r="C704" t="str">
            <v>애붕장어</v>
          </cell>
          <cell r="D704" t="str">
            <v>D</v>
          </cell>
          <cell r="E704">
            <v>70409278</v>
          </cell>
          <cell r="H704" t="str">
            <v>-</v>
          </cell>
          <cell r="I704" t="str">
            <v>-</v>
          </cell>
          <cell r="K704" t="str">
            <v>-</v>
          </cell>
          <cell r="L704" t="str">
            <v>-</v>
          </cell>
          <cell r="N704" t="str">
            <v>-</v>
          </cell>
          <cell r="O704" t="str">
            <v>-</v>
          </cell>
          <cell r="Q704" t="str">
            <v>-</v>
          </cell>
          <cell r="R704" t="str">
            <v>-</v>
          </cell>
          <cell r="T704" t="str">
            <v>-</v>
          </cell>
          <cell r="U704" t="str">
            <v>-</v>
          </cell>
          <cell r="W704" t="str">
            <v>-</v>
          </cell>
          <cell r="X704" t="str">
            <v>-</v>
          </cell>
        </row>
        <row r="705">
          <cell r="A705">
            <v>72220697</v>
          </cell>
          <cell r="B705">
            <v>1504</v>
          </cell>
          <cell r="C705" t="str">
            <v>뿔복</v>
          </cell>
          <cell r="D705" t="str">
            <v>C</v>
          </cell>
          <cell r="E705">
            <v>70409235</v>
          </cell>
          <cell r="H705" t="str">
            <v>-</v>
          </cell>
          <cell r="I705" t="str">
            <v>-</v>
          </cell>
          <cell r="K705" t="str">
            <v>-</v>
          </cell>
          <cell r="L705" t="str">
            <v>-</v>
          </cell>
          <cell r="N705" t="str">
            <v>-</v>
          </cell>
          <cell r="O705" t="str">
            <v>-</v>
          </cell>
          <cell r="Q705" t="str">
            <v>-</v>
          </cell>
          <cell r="R705" t="str">
            <v>-</v>
          </cell>
          <cell r="T705" t="str">
            <v>-</v>
          </cell>
          <cell r="U705" t="str">
            <v>-</v>
          </cell>
          <cell r="W705" t="str">
            <v>-</v>
          </cell>
          <cell r="X705" t="str">
            <v>-</v>
          </cell>
        </row>
        <row r="706">
          <cell r="A706">
            <v>72220698</v>
          </cell>
          <cell r="B706">
            <v>1511</v>
          </cell>
          <cell r="C706" t="str">
            <v>검은줄꼬리돔</v>
          </cell>
          <cell r="D706" t="str">
            <v>A</v>
          </cell>
          <cell r="E706">
            <v>70409027</v>
          </cell>
          <cell r="H706" t="str">
            <v>-</v>
          </cell>
          <cell r="I706" t="str">
            <v>-</v>
          </cell>
          <cell r="K706" t="str">
            <v>-</v>
          </cell>
          <cell r="L706" t="str">
            <v>-</v>
          </cell>
          <cell r="N706" t="str">
            <v>-</v>
          </cell>
          <cell r="O706" t="str">
            <v>-</v>
          </cell>
          <cell r="Q706" t="str">
            <v>-</v>
          </cell>
          <cell r="R706" t="str">
            <v>-</v>
          </cell>
          <cell r="T706" t="str">
            <v>-</v>
          </cell>
          <cell r="U706" t="str">
            <v>-</v>
          </cell>
          <cell r="W706" t="str">
            <v>-</v>
          </cell>
          <cell r="X706" t="str">
            <v>-</v>
          </cell>
        </row>
        <row r="707">
          <cell r="A707">
            <v>72220699</v>
          </cell>
          <cell r="B707">
            <v>1511</v>
          </cell>
          <cell r="C707" t="str">
            <v>무늬깜정이</v>
          </cell>
          <cell r="D707" t="str">
            <v>C</v>
          </cell>
          <cell r="E707">
            <v>70409157</v>
          </cell>
          <cell r="H707" t="str">
            <v>-</v>
          </cell>
          <cell r="I707" t="str">
            <v>-</v>
          </cell>
          <cell r="K707" t="str">
            <v>-</v>
          </cell>
          <cell r="L707" t="str">
            <v>-</v>
          </cell>
          <cell r="N707" t="str">
            <v>-</v>
          </cell>
          <cell r="O707" t="str">
            <v>-</v>
          </cell>
          <cell r="Q707" t="str">
            <v>-</v>
          </cell>
          <cell r="R707" t="str">
            <v>-</v>
          </cell>
          <cell r="T707" t="str">
            <v>-</v>
          </cell>
          <cell r="U707" t="str">
            <v>-</v>
          </cell>
          <cell r="W707" t="str">
            <v>-</v>
          </cell>
          <cell r="X707" t="str">
            <v>-</v>
          </cell>
        </row>
        <row r="708">
          <cell r="A708">
            <v>72220700</v>
          </cell>
          <cell r="B708">
            <v>1511</v>
          </cell>
          <cell r="C708" t="str">
            <v>애붕장어</v>
          </cell>
          <cell r="D708" t="str">
            <v>D</v>
          </cell>
          <cell r="E708">
            <v>70409278</v>
          </cell>
          <cell r="H708" t="str">
            <v>-</v>
          </cell>
          <cell r="I708" t="str">
            <v>-</v>
          </cell>
          <cell r="K708" t="str">
            <v>-</v>
          </cell>
          <cell r="L708" t="str">
            <v>-</v>
          </cell>
          <cell r="N708" t="str">
            <v>-</v>
          </cell>
          <cell r="O708" t="str">
            <v>-</v>
          </cell>
          <cell r="Q708" t="str">
            <v>-</v>
          </cell>
          <cell r="R708" t="str">
            <v>-</v>
          </cell>
          <cell r="T708" t="str">
            <v>-</v>
          </cell>
          <cell r="U708" t="str">
            <v>-</v>
          </cell>
          <cell r="W708" t="str">
            <v>-</v>
          </cell>
          <cell r="X708" t="str">
            <v>-</v>
          </cell>
        </row>
        <row r="709">
          <cell r="A709">
            <v>72220701</v>
          </cell>
          <cell r="B709">
            <v>1512</v>
          </cell>
          <cell r="C709" t="str">
            <v>검은줄꼬리돔</v>
          </cell>
          <cell r="D709" t="str">
            <v>A</v>
          </cell>
          <cell r="E709">
            <v>70409027</v>
          </cell>
          <cell r="H709" t="str">
            <v>-</v>
          </cell>
          <cell r="I709" t="str">
            <v>-</v>
          </cell>
          <cell r="K709" t="str">
            <v>-</v>
          </cell>
          <cell r="L709" t="str">
            <v>-</v>
          </cell>
          <cell r="N709" t="str">
            <v>-</v>
          </cell>
          <cell r="O709" t="str">
            <v>-</v>
          </cell>
          <cell r="Q709" t="str">
            <v>-</v>
          </cell>
          <cell r="R709" t="str">
            <v>-</v>
          </cell>
          <cell r="T709" t="str">
            <v>-</v>
          </cell>
          <cell r="U709" t="str">
            <v>-</v>
          </cell>
          <cell r="W709" t="str">
            <v>-</v>
          </cell>
          <cell r="X709" t="str">
            <v>-</v>
          </cell>
        </row>
        <row r="710">
          <cell r="A710">
            <v>72220702</v>
          </cell>
          <cell r="B710">
            <v>1512</v>
          </cell>
          <cell r="C710" t="str">
            <v>무늬깜정이</v>
          </cell>
          <cell r="D710" t="str">
            <v>C</v>
          </cell>
          <cell r="E710">
            <v>70409157</v>
          </cell>
          <cell r="H710" t="str">
            <v>-</v>
          </cell>
          <cell r="I710" t="str">
            <v>-</v>
          </cell>
          <cell r="K710" t="str">
            <v>-</v>
          </cell>
          <cell r="L710" t="str">
            <v>-</v>
          </cell>
          <cell r="N710" t="str">
            <v>-</v>
          </cell>
          <cell r="O710" t="str">
            <v>-</v>
          </cell>
          <cell r="Q710" t="str">
            <v>-</v>
          </cell>
          <cell r="R710" t="str">
            <v>-</v>
          </cell>
          <cell r="T710" t="str">
            <v>-</v>
          </cell>
          <cell r="U710" t="str">
            <v>-</v>
          </cell>
          <cell r="W710" t="str">
            <v>-</v>
          </cell>
          <cell r="X710" t="str">
            <v>-</v>
          </cell>
        </row>
        <row r="711">
          <cell r="A711">
            <v>72220703</v>
          </cell>
          <cell r="B711">
            <v>1512</v>
          </cell>
          <cell r="C711" t="str">
            <v>애붕장어</v>
          </cell>
          <cell r="D711" t="str">
            <v>D</v>
          </cell>
          <cell r="E711">
            <v>70409278</v>
          </cell>
          <cell r="H711" t="str">
            <v>-</v>
          </cell>
          <cell r="I711" t="str">
            <v>-</v>
          </cell>
          <cell r="K711" t="str">
            <v>-</v>
          </cell>
          <cell r="L711" t="str">
            <v>-</v>
          </cell>
          <cell r="N711" t="str">
            <v>-</v>
          </cell>
          <cell r="O711" t="str">
            <v>-</v>
          </cell>
          <cell r="Q711" t="str">
            <v>-</v>
          </cell>
          <cell r="R711" t="str">
            <v>-</v>
          </cell>
          <cell r="T711" t="str">
            <v>-</v>
          </cell>
          <cell r="U711" t="str">
            <v>-</v>
          </cell>
          <cell r="W711" t="str">
            <v>-</v>
          </cell>
          <cell r="X711" t="str">
            <v>-</v>
          </cell>
        </row>
        <row r="712">
          <cell r="A712">
            <v>72220704</v>
          </cell>
          <cell r="B712">
            <v>1513</v>
          </cell>
          <cell r="C712" t="str">
            <v>검은줄꼬리돔</v>
          </cell>
          <cell r="D712" t="str">
            <v>A</v>
          </cell>
          <cell r="E712">
            <v>70409027</v>
          </cell>
          <cell r="H712" t="str">
            <v>-</v>
          </cell>
          <cell r="I712" t="str">
            <v>-</v>
          </cell>
          <cell r="K712" t="str">
            <v>-</v>
          </cell>
          <cell r="L712" t="str">
            <v>-</v>
          </cell>
          <cell r="N712" t="str">
            <v>-</v>
          </cell>
          <cell r="O712" t="str">
            <v>-</v>
          </cell>
          <cell r="Q712" t="str">
            <v>-</v>
          </cell>
          <cell r="R712" t="str">
            <v>-</v>
          </cell>
          <cell r="T712" t="str">
            <v>-</v>
          </cell>
          <cell r="U712" t="str">
            <v>-</v>
          </cell>
          <cell r="W712" t="str">
            <v>-</v>
          </cell>
          <cell r="X712" t="str">
            <v>-</v>
          </cell>
        </row>
        <row r="713">
          <cell r="A713">
            <v>72220705</v>
          </cell>
          <cell r="B713">
            <v>1513</v>
          </cell>
          <cell r="C713" t="str">
            <v>무늬깜정이</v>
          </cell>
          <cell r="D713" t="str">
            <v>C</v>
          </cell>
          <cell r="E713">
            <v>70409157</v>
          </cell>
          <cell r="H713" t="str">
            <v>-</v>
          </cell>
          <cell r="I713" t="str">
            <v>-</v>
          </cell>
          <cell r="K713" t="str">
            <v>-</v>
          </cell>
          <cell r="L713" t="str">
            <v>-</v>
          </cell>
          <cell r="N713" t="str">
            <v>-</v>
          </cell>
          <cell r="O713" t="str">
            <v>-</v>
          </cell>
          <cell r="Q713" t="str">
            <v>-</v>
          </cell>
          <cell r="R713" t="str">
            <v>-</v>
          </cell>
          <cell r="T713" t="str">
            <v>-</v>
          </cell>
          <cell r="U713" t="str">
            <v>-</v>
          </cell>
          <cell r="W713" t="str">
            <v>-</v>
          </cell>
          <cell r="X713" t="str">
            <v>-</v>
          </cell>
        </row>
        <row r="714">
          <cell r="A714">
            <v>72220706</v>
          </cell>
          <cell r="B714">
            <v>1513</v>
          </cell>
          <cell r="C714" t="str">
            <v>애붕장어</v>
          </cell>
          <cell r="D714" t="str">
            <v>D</v>
          </cell>
          <cell r="E714">
            <v>70409278</v>
          </cell>
          <cell r="H714" t="str">
            <v>-</v>
          </cell>
          <cell r="I714" t="str">
            <v>-</v>
          </cell>
          <cell r="K714" t="str">
            <v>-</v>
          </cell>
          <cell r="L714" t="str">
            <v>-</v>
          </cell>
          <cell r="N714" t="str">
            <v>-</v>
          </cell>
          <cell r="O714" t="str">
            <v>-</v>
          </cell>
          <cell r="Q714" t="str">
            <v>-</v>
          </cell>
          <cell r="R714" t="str">
            <v>-</v>
          </cell>
          <cell r="T714" t="str">
            <v>-</v>
          </cell>
          <cell r="U714" t="str">
            <v>-</v>
          </cell>
          <cell r="W714" t="str">
            <v>-</v>
          </cell>
          <cell r="X714" t="str">
            <v>-</v>
          </cell>
        </row>
        <row r="715">
          <cell r="A715">
            <v>72220707</v>
          </cell>
          <cell r="B715">
            <v>1514</v>
          </cell>
          <cell r="C715" t="str">
            <v>검은줄꼬리돔</v>
          </cell>
          <cell r="D715" t="str">
            <v>A</v>
          </cell>
          <cell r="E715">
            <v>70409027</v>
          </cell>
          <cell r="H715" t="str">
            <v>-</v>
          </cell>
          <cell r="I715" t="str">
            <v>-</v>
          </cell>
          <cell r="K715" t="str">
            <v>-</v>
          </cell>
          <cell r="L715" t="str">
            <v>-</v>
          </cell>
          <cell r="N715" t="str">
            <v>-</v>
          </cell>
          <cell r="O715" t="str">
            <v>-</v>
          </cell>
          <cell r="Q715" t="str">
            <v>-</v>
          </cell>
          <cell r="R715" t="str">
            <v>-</v>
          </cell>
          <cell r="T715" t="str">
            <v>-</v>
          </cell>
          <cell r="U715" t="str">
            <v>-</v>
          </cell>
          <cell r="W715" t="str">
            <v>-</v>
          </cell>
          <cell r="X715" t="str">
            <v>-</v>
          </cell>
        </row>
        <row r="716">
          <cell r="A716">
            <v>72220708</v>
          </cell>
          <cell r="B716">
            <v>1514</v>
          </cell>
          <cell r="C716" t="str">
            <v>무늬깜정이</v>
          </cell>
          <cell r="D716" t="str">
            <v>C</v>
          </cell>
          <cell r="E716">
            <v>70409157</v>
          </cell>
          <cell r="H716" t="str">
            <v>-</v>
          </cell>
          <cell r="I716" t="str">
            <v>-</v>
          </cell>
          <cell r="K716" t="str">
            <v>-</v>
          </cell>
          <cell r="L716" t="str">
            <v>-</v>
          </cell>
          <cell r="N716" t="str">
            <v>-</v>
          </cell>
          <cell r="O716" t="str">
            <v>-</v>
          </cell>
          <cell r="Q716" t="str">
            <v>-</v>
          </cell>
          <cell r="R716" t="str">
            <v>-</v>
          </cell>
          <cell r="T716" t="str">
            <v>-</v>
          </cell>
          <cell r="U716" t="str">
            <v>-</v>
          </cell>
          <cell r="W716" t="str">
            <v>-</v>
          </cell>
          <cell r="X716" t="str">
            <v>-</v>
          </cell>
        </row>
        <row r="717">
          <cell r="A717">
            <v>72220709</v>
          </cell>
          <cell r="B717">
            <v>1514</v>
          </cell>
          <cell r="C717" t="str">
            <v>애붕장어</v>
          </cell>
          <cell r="D717" t="str">
            <v>D</v>
          </cell>
          <cell r="E717">
            <v>70409278</v>
          </cell>
          <cell r="H717" t="str">
            <v>-</v>
          </cell>
          <cell r="I717" t="str">
            <v>-</v>
          </cell>
          <cell r="K717" t="str">
            <v>-</v>
          </cell>
          <cell r="L717" t="str">
            <v>-</v>
          </cell>
          <cell r="N717" t="str">
            <v>-</v>
          </cell>
          <cell r="O717" t="str">
            <v>-</v>
          </cell>
          <cell r="Q717" t="str">
            <v>-</v>
          </cell>
          <cell r="R717" t="str">
            <v>-</v>
          </cell>
          <cell r="T717" t="str">
            <v>-</v>
          </cell>
          <cell r="U717" t="str">
            <v>-</v>
          </cell>
          <cell r="W717" t="str">
            <v>-</v>
          </cell>
          <cell r="X717" t="str">
            <v>-</v>
          </cell>
        </row>
        <row r="718">
          <cell r="A718">
            <v>72220710</v>
          </cell>
          <cell r="B718">
            <v>1521</v>
          </cell>
          <cell r="C718" t="str">
            <v>거북복</v>
          </cell>
          <cell r="D718" t="str">
            <v>B</v>
          </cell>
          <cell r="E718">
            <v>70409024</v>
          </cell>
          <cell r="H718" t="str">
            <v>-</v>
          </cell>
          <cell r="I718" t="str">
            <v>-</v>
          </cell>
          <cell r="K718" t="str">
            <v>-</v>
          </cell>
          <cell r="L718" t="str">
            <v>-</v>
          </cell>
          <cell r="N718" t="str">
            <v>-</v>
          </cell>
          <cell r="O718" t="str">
            <v>-</v>
          </cell>
          <cell r="Q718" t="str">
            <v>-</v>
          </cell>
          <cell r="R718" t="str">
            <v>-</v>
          </cell>
          <cell r="T718" t="str">
            <v>-</v>
          </cell>
          <cell r="U718" t="str">
            <v>-</v>
          </cell>
          <cell r="W718" t="str">
            <v>-</v>
          </cell>
          <cell r="X718" t="str">
            <v>-</v>
          </cell>
        </row>
        <row r="719">
          <cell r="A719">
            <v>72220711</v>
          </cell>
          <cell r="B719">
            <v>1521</v>
          </cell>
          <cell r="C719" t="str">
            <v>깃비늘치</v>
          </cell>
          <cell r="D719" t="str">
            <v>A</v>
          </cell>
          <cell r="E719">
            <v>70409045</v>
          </cell>
          <cell r="H719" t="str">
            <v>-</v>
          </cell>
          <cell r="I719" t="str">
            <v>-</v>
          </cell>
          <cell r="K719" t="str">
            <v>-</v>
          </cell>
          <cell r="L719" t="str">
            <v>-</v>
          </cell>
          <cell r="N719" t="str">
            <v>-</v>
          </cell>
          <cell r="O719" t="str">
            <v>-</v>
          </cell>
          <cell r="Q719" t="str">
            <v>-</v>
          </cell>
          <cell r="R719" t="str">
            <v>-</v>
          </cell>
          <cell r="T719" t="str">
            <v>-</v>
          </cell>
          <cell r="U719" t="str">
            <v>-</v>
          </cell>
          <cell r="W719" t="str">
            <v>-</v>
          </cell>
          <cell r="X719" t="str">
            <v>-</v>
          </cell>
        </row>
        <row r="720">
          <cell r="A720">
            <v>72220712</v>
          </cell>
          <cell r="B720">
            <v>1521</v>
          </cell>
          <cell r="C720" t="str">
            <v>별쭉지성대</v>
          </cell>
          <cell r="D720" t="str">
            <v>C</v>
          </cell>
          <cell r="E720">
            <v>70409203</v>
          </cell>
          <cell r="H720" t="str">
            <v>-</v>
          </cell>
          <cell r="I720" t="str">
            <v>-</v>
          </cell>
          <cell r="K720" t="str">
            <v>-</v>
          </cell>
          <cell r="L720" t="str">
            <v>-</v>
          </cell>
          <cell r="N720" t="str">
            <v>-</v>
          </cell>
          <cell r="O720" t="str">
            <v>-</v>
          </cell>
          <cell r="Q720" t="str">
            <v>-</v>
          </cell>
          <cell r="R720" t="str">
            <v>-</v>
          </cell>
          <cell r="T720" t="str">
            <v>-</v>
          </cell>
          <cell r="U720" t="str">
            <v>-</v>
          </cell>
          <cell r="W720" t="str">
            <v>-</v>
          </cell>
          <cell r="X720" t="str">
            <v>-</v>
          </cell>
        </row>
        <row r="721">
          <cell r="A721">
            <v>72220713</v>
          </cell>
          <cell r="B721">
            <v>1522</v>
          </cell>
          <cell r="C721" t="str">
            <v>거북복</v>
          </cell>
          <cell r="D721" t="str">
            <v>B</v>
          </cell>
          <cell r="E721">
            <v>70409024</v>
          </cell>
          <cell r="H721" t="str">
            <v>-</v>
          </cell>
          <cell r="I721" t="str">
            <v>-</v>
          </cell>
          <cell r="K721" t="str">
            <v>-</v>
          </cell>
          <cell r="L721" t="str">
            <v>-</v>
          </cell>
          <cell r="N721" t="str">
            <v>-</v>
          </cell>
          <cell r="O721" t="str">
            <v>-</v>
          </cell>
          <cell r="Q721" t="str">
            <v>-</v>
          </cell>
          <cell r="R721" t="str">
            <v>-</v>
          </cell>
          <cell r="T721" t="str">
            <v>-</v>
          </cell>
          <cell r="U721" t="str">
            <v>-</v>
          </cell>
          <cell r="W721" t="str">
            <v>-</v>
          </cell>
          <cell r="X721" t="str">
            <v>-</v>
          </cell>
        </row>
        <row r="722">
          <cell r="A722">
            <v>72220714</v>
          </cell>
          <cell r="B722">
            <v>1522</v>
          </cell>
          <cell r="C722" t="str">
            <v>깃비늘치</v>
          </cell>
          <cell r="D722" t="str">
            <v>A</v>
          </cell>
          <cell r="E722">
            <v>70409045</v>
          </cell>
          <cell r="H722" t="str">
            <v>-</v>
          </cell>
          <cell r="I722" t="str">
            <v>-</v>
          </cell>
          <cell r="K722" t="str">
            <v>-</v>
          </cell>
          <cell r="L722" t="str">
            <v>-</v>
          </cell>
          <cell r="N722" t="str">
            <v>-</v>
          </cell>
          <cell r="O722" t="str">
            <v>-</v>
          </cell>
          <cell r="Q722" t="str">
            <v>-</v>
          </cell>
          <cell r="R722" t="str">
            <v>-</v>
          </cell>
          <cell r="T722" t="str">
            <v>-</v>
          </cell>
          <cell r="U722" t="str">
            <v>-</v>
          </cell>
          <cell r="W722" t="str">
            <v>-</v>
          </cell>
          <cell r="X722" t="str">
            <v>-</v>
          </cell>
        </row>
        <row r="723">
          <cell r="A723">
            <v>72220715</v>
          </cell>
          <cell r="B723">
            <v>1522</v>
          </cell>
          <cell r="C723" t="str">
            <v>별쭉지성대</v>
          </cell>
          <cell r="D723" t="str">
            <v>C</v>
          </cell>
          <cell r="E723">
            <v>70409203</v>
          </cell>
          <cell r="H723" t="str">
            <v>-</v>
          </cell>
          <cell r="I723" t="str">
            <v>-</v>
          </cell>
          <cell r="K723" t="str">
            <v>-</v>
          </cell>
          <cell r="L723" t="str">
            <v>-</v>
          </cell>
          <cell r="N723" t="str">
            <v>-</v>
          </cell>
          <cell r="O723" t="str">
            <v>-</v>
          </cell>
          <cell r="Q723" t="str">
            <v>-</v>
          </cell>
          <cell r="R723" t="str">
            <v>-</v>
          </cell>
          <cell r="T723" t="str">
            <v>-</v>
          </cell>
          <cell r="U723" t="str">
            <v>-</v>
          </cell>
          <cell r="W723" t="str">
            <v>-</v>
          </cell>
          <cell r="X723" t="str">
            <v>-</v>
          </cell>
        </row>
        <row r="724">
          <cell r="A724">
            <v>72220716</v>
          </cell>
          <cell r="B724">
            <v>1523</v>
          </cell>
          <cell r="C724" t="str">
            <v>거북복</v>
          </cell>
          <cell r="D724" t="str">
            <v>B</v>
          </cell>
          <cell r="E724">
            <v>70409024</v>
          </cell>
          <cell r="H724" t="str">
            <v>-</v>
          </cell>
          <cell r="I724" t="str">
            <v>-</v>
          </cell>
          <cell r="K724" t="str">
            <v>-</v>
          </cell>
          <cell r="L724" t="str">
            <v>-</v>
          </cell>
          <cell r="N724" t="str">
            <v>-</v>
          </cell>
          <cell r="O724" t="str">
            <v>-</v>
          </cell>
          <cell r="Q724" t="str">
            <v>-</v>
          </cell>
          <cell r="R724" t="str">
            <v>-</v>
          </cell>
          <cell r="T724" t="str">
            <v>-</v>
          </cell>
          <cell r="U724" t="str">
            <v>-</v>
          </cell>
          <cell r="W724" t="str">
            <v>-</v>
          </cell>
          <cell r="X724" t="str">
            <v>-</v>
          </cell>
        </row>
        <row r="725">
          <cell r="A725">
            <v>72220717</v>
          </cell>
          <cell r="B725">
            <v>1523</v>
          </cell>
          <cell r="C725" t="str">
            <v>깃비늘치</v>
          </cell>
          <cell r="D725" t="str">
            <v>A</v>
          </cell>
          <cell r="E725">
            <v>70409045</v>
          </cell>
          <cell r="H725" t="str">
            <v>-</v>
          </cell>
          <cell r="I725" t="str">
            <v>-</v>
          </cell>
          <cell r="K725" t="str">
            <v>-</v>
          </cell>
          <cell r="L725" t="str">
            <v>-</v>
          </cell>
          <cell r="N725" t="str">
            <v>-</v>
          </cell>
          <cell r="O725" t="str">
            <v>-</v>
          </cell>
          <cell r="Q725" t="str">
            <v>-</v>
          </cell>
          <cell r="R725" t="str">
            <v>-</v>
          </cell>
          <cell r="T725" t="str">
            <v>-</v>
          </cell>
          <cell r="U725" t="str">
            <v>-</v>
          </cell>
          <cell r="W725" t="str">
            <v>-</v>
          </cell>
          <cell r="X725" t="str">
            <v>-</v>
          </cell>
        </row>
        <row r="726">
          <cell r="A726">
            <v>72220718</v>
          </cell>
          <cell r="B726">
            <v>1523</v>
          </cell>
          <cell r="C726" t="str">
            <v>별쭉지성대</v>
          </cell>
          <cell r="D726" t="str">
            <v>C</v>
          </cell>
          <cell r="E726">
            <v>70409203</v>
          </cell>
          <cell r="H726" t="str">
            <v>-</v>
          </cell>
          <cell r="I726" t="str">
            <v>-</v>
          </cell>
          <cell r="K726" t="str">
            <v>-</v>
          </cell>
          <cell r="L726" t="str">
            <v>-</v>
          </cell>
          <cell r="N726" t="str">
            <v>-</v>
          </cell>
          <cell r="O726" t="str">
            <v>-</v>
          </cell>
          <cell r="Q726" t="str">
            <v>-</v>
          </cell>
          <cell r="R726" t="str">
            <v>-</v>
          </cell>
          <cell r="T726" t="str">
            <v>-</v>
          </cell>
          <cell r="U726" t="str">
            <v>-</v>
          </cell>
          <cell r="W726" t="str">
            <v>-</v>
          </cell>
          <cell r="X726" t="str">
            <v>-</v>
          </cell>
        </row>
        <row r="727">
          <cell r="A727">
            <v>72220719</v>
          </cell>
          <cell r="B727">
            <v>1524</v>
          </cell>
          <cell r="C727" t="str">
            <v>거북복</v>
          </cell>
          <cell r="D727" t="str">
            <v>B</v>
          </cell>
          <cell r="E727">
            <v>70409024</v>
          </cell>
          <cell r="H727" t="str">
            <v>-</v>
          </cell>
          <cell r="I727" t="str">
            <v>-</v>
          </cell>
          <cell r="K727" t="str">
            <v>-</v>
          </cell>
          <cell r="L727" t="str">
            <v>-</v>
          </cell>
          <cell r="N727" t="str">
            <v>-</v>
          </cell>
          <cell r="O727" t="str">
            <v>-</v>
          </cell>
          <cell r="Q727" t="str">
            <v>-</v>
          </cell>
          <cell r="R727" t="str">
            <v>-</v>
          </cell>
          <cell r="T727" t="str">
            <v>-</v>
          </cell>
          <cell r="U727" t="str">
            <v>-</v>
          </cell>
          <cell r="W727" t="str">
            <v>-</v>
          </cell>
          <cell r="X727" t="str">
            <v>-</v>
          </cell>
        </row>
        <row r="728">
          <cell r="A728">
            <v>72220720</v>
          </cell>
          <cell r="B728">
            <v>1524</v>
          </cell>
          <cell r="C728" t="str">
            <v>깃비늘치</v>
          </cell>
          <cell r="D728" t="str">
            <v>A</v>
          </cell>
          <cell r="E728">
            <v>70409045</v>
          </cell>
          <cell r="H728" t="str">
            <v>-</v>
          </cell>
          <cell r="I728" t="str">
            <v>-</v>
          </cell>
          <cell r="K728" t="str">
            <v>-</v>
          </cell>
          <cell r="L728" t="str">
            <v>-</v>
          </cell>
          <cell r="N728" t="str">
            <v>-</v>
          </cell>
          <cell r="O728" t="str">
            <v>-</v>
          </cell>
          <cell r="Q728" t="str">
            <v>-</v>
          </cell>
          <cell r="R728" t="str">
            <v>-</v>
          </cell>
          <cell r="T728" t="str">
            <v>-</v>
          </cell>
          <cell r="U728" t="str">
            <v>-</v>
          </cell>
          <cell r="W728" t="str">
            <v>-</v>
          </cell>
          <cell r="X728" t="str">
            <v>-</v>
          </cell>
        </row>
        <row r="729">
          <cell r="A729">
            <v>72220721</v>
          </cell>
          <cell r="B729">
            <v>1524</v>
          </cell>
          <cell r="C729" t="str">
            <v>별쭉지성대</v>
          </cell>
          <cell r="D729" t="str">
            <v>C</v>
          </cell>
          <cell r="E729">
            <v>70409203</v>
          </cell>
          <cell r="H729" t="str">
            <v>-</v>
          </cell>
          <cell r="I729" t="str">
            <v>-</v>
          </cell>
          <cell r="K729" t="str">
            <v>-</v>
          </cell>
          <cell r="L729" t="str">
            <v>-</v>
          </cell>
          <cell r="N729" t="str">
            <v>-</v>
          </cell>
          <cell r="O729" t="str">
            <v>-</v>
          </cell>
          <cell r="Q729" t="str">
            <v>-</v>
          </cell>
          <cell r="R729" t="str">
            <v>-</v>
          </cell>
          <cell r="T729" t="str">
            <v>-</v>
          </cell>
          <cell r="U729" t="str">
            <v>-</v>
          </cell>
          <cell r="W729" t="str">
            <v>-</v>
          </cell>
          <cell r="X729" t="str">
            <v>-</v>
          </cell>
        </row>
        <row r="730">
          <cell r="A730">
            <v>72220722</v>
          </cell>
          <cell r="B730">
            <v>1531</v>
          </cell>
          <cell r="C730" t="str">
            <v>뿔서대</v>
          </cell>
          <cell r="D730" t="str">
            <v>B</v>
          </cell>
          <cell r="E730">
            <v>70409236</v>
          </cell>
          <cell r="H730" t="str">
            <v>-</v>
          </cell>
          <cell r="I730" t="str">
            <v>-</v>
          </cell>
          <cell r="K730" t="str">
            <v>-</v>
          </cell>
          <cell r="L730" t="str">
            <v>-</v>
          </cell>
          <cell r="N730" t="str">
            <v>-</v>
          </cell>
          <cell r="O730" t="str">
            <v>-</v>
          </cell>
          <cell r="Q730" t="str">
            <v>-</v>
          </cell>
          <cell r="R730" t="str">
            <v>-</v>
          </cell>
          <cell r="T730" t="str">
            <v>-</v>
          </cell>
          <cell r="U730" t="str">
            <v>-</v>
          </cell>
          <cell r="W730" t="str">
            <v>-</v>
          </cell>
          <cell r="X730" t="str">
            <v>-</v>
          </cell>
        </row>
        <row r="731">
          <cell r="A731">
            <v>72220723</v>
          </cell>
          <cell r="B731">
            <v>1531</v>
          </cell>
          <cell r="C731" t="str">
            <v>점줄우럭</v>
          </cell>
          <cell r="D731" t="str">
            <v>D</v>
          </cell>
          <cell r="E731">
            <v>70409318</v>
          </cell>
          <cell r="H731" t="str">
            <v>-</v>
          </cell>
          <cell r="I731" t="str">
            <v>-</v>
          </cell>
          <cell r="K731" t="str">
            <v>-</v>
          </cell>
          <cell r="L731" t="str">
            <v>-</v>
          </cell>
          <cell r="N731" t="str">
            <v>-</v>
          </cell>
          <cell r="O731" t="str">
            <v>-</v>
          </cell>
          <cell r="Q731" t="str">
            <v>-</v>
          </cell>
          <cell r="R731" t="str">
            <v>-</v>
          </cell>
          <cell r="T731" t="str">
            <v>-</v>
          </cell>
          <cell r="U731" t="str">
            <v>-</v>
          </cell>
          <cell r="W731" t="str">
            <v>-</v>
          </cell>
          <cell r="X731" t="str">
            <v>-</v>
          </cell>
        </row>
        <row r="732">
          <cell r="A732">
            <v>72220724</v>
          </cell>
          <cell r="B732">
            <v>1532</v>
          </cell>
          <cell r="C732" t="str">
            <v>뿔서대</v>
          </cell>
          <cell r="D732" t="str">
            <v>B</v>
          </cell>
          <cell r="E732">
            <v>70409236</v>
          </cell>
          <cell r="H732" t="str">
            <v>-</v>
          </cell>
          <cell r="I732" t="str">
            <v>-</v>
          </cell>
          <cell r="K732" t="str">
            <v>-</v>
          </cell>
          <cell r="L732" t="str">
            <v>-</v>
          </cell>
          <cell r="N732" t="str">
            <v>-</v>
          </cell>
          <cell r="O732" t="str">
            <v>-</v>
          </cell>
          <cell r="Q732" t="str">
            <v>-</v>
          </cell>
          <cell r="R732" t="str">
            <v>-</v>
          </cell>
          <cell r="T732" t="str">
            <v>-</v>
          </cell>
          <cell r="U732" t="str">
            <v>-</v>
          </cell>
          <cell r="W732" t="str">
            <v>-</v>
          </cell>
          <cell r="X732" t="str">
            <v>-</v>
          </cell>
        </row>
        <row r="733">
          <cell r="A733">
            <v>72220725</v>
          </cell>
          <cell r="B733">
            <v>1532</v>
          </cell>
          <cell r="C733" t="str">
            <v>점줄우럭</v>
          </cell>
          <cell r="D733" t="str">
            <v>D</v>
          </cell>
          <cell r="E733">
            <v>70409318</v>
          </cell>
          <cell r="H733" t="str">
            <v>-</v>
          </cell>
          <cell r="I733" t="str">
            <v>-</v>
          </cell>
          <cell r="K733" t="str">
            <v>-</v>
          </cell>
          <cell r="L733" t="str">
            <v>-</v>
          </cell>
          <cell r="N733" t="str">
            <v>-</v>
          </cell>
          <cell r="O733" t="str">
            <v>-</v>
          </cell>
          <cell r="Q733" t="str">
            <v>-</v>
          </cell>
          <cell r="R733" t="str">
            <v>-</v>
          </cell>
          <cell r="T733" t="str">
            <v>-</v>
          </cell>
          <cell r="U733" t="str">
            <v>-</v>
          </cell>
          <cell r="W733" t="str">
            <v>-</v>
          </cell>
          <cell r="X733" t="str">
            <v>-</v>
          </cell>
        </row>
        <row r="734">
          <cell r="A734">
            <v>72220726</v>
          </cell>
          <cell r="B734">
            <v>1533</v>
          </cell>
          <cell r="C734" t="str">
            <v>뿔서대</v>
          </cell>
          <cell r="D734" t="str">
            <v>B</v>
          </cell>
          <cell r="E734">
            <v>70409236</v>
          </cell>
          <cell r="H734" t="str">
            <v>-</v>
          </cell>
          <cell r="I734" t="str">
            <v>-</v>
          </cell>
          <cell r="K734" t="str">
            <v>-</v>
          </cell>
          <cell r="L734" t="str">
            <v>-</v>
          </cell>
          <cell r="N734" t="str">
            <v>-</v>
          </cell>
          <cell r="O734" t="str">
            <v>-</v>
          </cell>
          <cell r="Q734" t="str">
            <v>-</v>
          </cell>
          <cell r="R734" t="str">
            <v>-</v>
          </cell>
          <cell r="T734" t="str">
            <v>-</v>
          </cell>
          <cell r="U734" t="str">
            <v>-</v>
          </cell>
          <cell r="W734" t="str">
            <v>-</v>
          </cell>
          <cell r="X734" t="str">
            <v>-</v>
          </cell>
        </row>
        <row r="735">
          <cell r="A735">
            <v>72220727</v>
          </cell>
          <cell r="B735">
            <v>1533</v>
          </cell>
          <cell r="C735" t="str">
            <v>점줄우럭</v>
          </cell>
          <cell r="D735" t="str">
            <v>D</v>
          </cell>
          <cell r="E735">
            <v>70409318</v>
          </cell>
          <cell r="H735" t="str">
            <v>-</v>
          </cell>
          <cell r="I735" t="str">
            <v>-</v>
          </cell>
          <cell r="K735" t="str">
            <v>-</v>
          </cell>
          <cell r="L735" t="str">
            <v>-</v>
          </cell>
          <cell r="N735" t="str">
            <v>-</v>
          </cell>
          <cell r="O735" t="str">
            <v>-</v>
          </cell>
          <cell r="Q735" t="str">
            <v>-</v>
          </cell>
          <cell r="R735" t="str">
            <v>-</v>
          </cell>
          <cell r="T735" t="str">
            <v>-</v>
          </cell>
          <cell r="U735" t="str">
            <v>-</v>
          </cell>
          <cell r="W735" t="str">
            <v>-</v>
          </cell>
          <cell r="X735" t="str">
            <v>-</v>
          </cell>
        </row>
        <row r="736">
          <cell r="A736">
            <v>72220728</v>
          </cell>
          <cell r="B736">
            <v>1534</v>
          </cell>
          <cell r="C736" t="str">
            <v>뿔서대</v>
          </cell>
          <cell r="D736" t="str">
            <v>B</v>
          </cell>
          <cell r="E736">
            <v>70409236</v>
          </cell>
          <cell r="H736" t="str">
            <v>-</v>
          </cell>
          <cell r="I736" t="str">
            <v>-</v>
          </cell>
          <cell r="K736" t="str">
            <v>-</v>
          </cell>
          <cell r="L736" t="str">
            <v>-</v>
          </cell>
          <cell r="N736" t="str">
            <v>-</v>
          </cell>
          <cell r="O736" t="str">
            <v>-</v>
          </cell>
          <cell r="Q736" t="str">
            <v>-</v>
          </cell>
          <cell r="R736" t="str">
            <v>-</v>
          </cell>
          <cell r="T736" t="str">
            <v>-</v>
          </cell>
          <cell r="U736" t="str">
            <v>-</v>
          </cell>
          <cell r="W736" t="str">
            <v>-</v>
          </cell>
          <cell r="X736" t="str">
            <v>-</v>
          </cell>
        </row>
        <row r="737">
          <cell r="A737">
            <v>72220729</v>
          </cell>
          <cell r="B737">
            <v>1534</v>
          </cell>
          <cell r="C737" t="str">
            <v>점줄우럭</v>
          </cell>
          <cell r="D737" t="str">
            <v>D</v>
          </cell>
          <cell r="E737">
            <v>70409318</v>
          </cell>
          <cell r="H737" t="str">
            <v>-</v>
          </cell>
          <cell r="I737" t="str">
            <v>-</v>
          </cell>
          <cell r="K737" t="str">
            <v>-</v>
          </cell>
          <cell r="L737" t="str">
            <v>-</v>
          </cell>
          <cell r="N737" t="str">
            <v>-</v>
          </cell>
          <cell r="O737" t="str">
            <v>-</v>
          </cell>
          <cell r="Q737" t="str">
            <v>-</v>
          </cell>
          <cell r="R737" t="str">
            <v>-</v>
          </cell>
          <cell r="T737" t="str">
            <v>-</v>
          </cell>
          <cell r="U737" t="str">
            <v>-</v>
          </cell>
          <cell r="W737" t="str">
            <v>-</v>
          </cell>
          <cell r="X737" t="str">
            <v>-</v>
          </cell>
        </row>
        <row r="738">
          <cell r="A738">
            <v>72220730</v>
          </cell>
          <cell r="B738">
            <v>1541</v>
          </cell>
          <cell r="C738" t="str">
            <v>무늬쥐치</v>
          </cell>
          <cell r="D738" t="str">
            <v>C</v>
          </cell>
          <cell r="E738">
            <v>70409159</v>
          </cell>
          <cell r="H738" t="str">
            <v>-</v>
          </cell>
          <cell r="I738" t="str">
            <v>-</v>
          </cell>
          <cell r="K738" t="str">
            <v>-</v>
          </cell>
          <cell r="L738" t="str">
            <v>-</v>
          </cell>
          <cell r="N738" t="str">
            <v>-</v>
          </cell>
          <cell r="O738" t="str">
            <v>-</v>
          </cell>
          <cell r="Q738" t="str">
            <v>-</v>
          </cell>
          <cell r="R738" t="str">
            <v>-</v>
          </cell>
          <cell r="T738" t="str">
            <v>-</v>
          </cell>
          <cell r="U738" t="str">
            <v>-</v>
          </cell>
          <cell r="W738" t="str">
            <v>-</v>
          </cell>
          <cell r="X738" t="str">
            <v>-</v>
          </cell>
        </row>
        <row r="739">
          <cell r="A739">
            <v>72220731</v>
          </cell>
          <cell r="B739">
            <v>1541</v>
          </cell>
          <cell r="C739" t="str">
            <v>물각쥐치</v>
          </cell>
          <cell r="D739" t="str">
            <v>C</v>
          </cell>
          <cell r="E739">
            <v>70409165</v>
          </cell>
          <cell r="H739" t="str">
            <v>-</v>
          </cell>
          <cell r="I739" t="str">
            <v>-</v>
          </cell>
          <cell r="K739" t="str">
            <v>-</v>
          </cell>
          <cell r="L739" t="str">
            <v>-</v>
          </cell>
          <cell r="N739" t="str">
            <v>-</v>
          </cell>
          <cell r="O739" t="str">
            <v>-</v>
          </cell>
          <cell r="Q739" t="str">
            <v>-</v>
          </cell>
          <cell r="R739" t="str">
            <v>-</v>
          </cell>
          <cell r="T739" t="str">
            <v>-</v>
          </cell>
          <cell r="U739" t="str">
            <v>-</v>
          </cell>
          <cell r="W739" t="str">
            <v>-</v>
          </cell>
          <cell r="X739" t="str">
            <v>-</v>
          </cell>
        </row>
        <row r="740">
          <cell r="A740">
            <v>72220732</v>
          </cell>
          <cell r="B740">
            <v>1541</v>
          </cell>
          <cell r="C740" t="str">
            <v>민밀복</v>
          </cell>
          <cell r="D740" t="str">
            <v>C</v>
          </cell>
          <cell r="E740">
            <v>70409172</v>
          </cell>
          <cell r="H740" t="str">
            <v>-</v>
          </cell>
          <cell r="I740" t="str">
            <v>-</v>
          </cell>
          <cell r="K740" t="str">
            <v>-</v>
          </cell>
          <cell r="L740" t="str">
            <v>-</v>
          </cell>
          <cell r="N740" t="str">
            <v>-</v>
          </cell>
          <cell r="O740" t="str">
            <v>-</v>
          </cell>
          <cell r="Q740" t="str">
            <v>-</v>
          </cell>
          <cell r="R740" t="str">
            <v>-</v>
          </cell>
          <cell r="T740" t="str">
            <v>-</v>
          </cell>
          <cell r="U740" t="str">
            <v>-</v>
          </cell>
          <cell r="W740" t="str">
            <v>-</v>
          </cell>
          <cell r="X740" t="str">
            <v>-</v>
          </cell>
        </row>
        <row r="741">
          <cell r="A741">
            <v>72220733</v>
          </cell>
          <cell r="B741">
            <v>1541</v>
          </cell>
          <cell r="C741" t="str">
            <v>삿징이상어</v>
          </cell>
          <cell r="D741" t="str">
            <v>C</v>
          </cell>
          <cell r="E741">
            <v>70409244</v>
          </cell>
          <cell r="H741" t="str">
            <v>-</v>
          </cell>
          <cell r="I741" t="str">
            <v>-</v>
          </cell>
          <cell r="K741" t="str">
            <v>-</v>
          </cell>
          <cell r="L741" t="str">
            <v>-</v>
          </cell>
          <cell r="N741" t="str">
            <v>-</v>
          </cell>
          <cell r="O741" t="str">
            <v>-</v>
          </cell>
          <cell r="Q741" t="str">
            <v>-</v>
          </cell>
          <cell r="R741" t="str">
            <v>-</v>
          </cell>
          <cell r="T741" t="str">
            <v>-</v>
          </cell>
          <cell r="U741" t="str">
            <v>-</v>
          </cell>
          <cell r="W741" t="str">
            <v>-</v>
          </cell>
          <cell r="X741" t="str">
            <v>-</v>
          </cell>
        </row>
        <row r="742">
          <cell r="A742">
            <v>72220734</v>
          </cell>
          <cell r="B742">
            <v>1541</v>
          </cell>
          <cell r="C742" t="str">
            <v>양태</v>
          </cell>
          <cell r="D742" t="str">
            <v>D</v>
          </cell>
          <cell r="E742">
            <v>70409283</v>
          </cell>
          <cell r="H742" t="str">
            <v>-</v>
          </cell>
          <cell r="I742" t="str">
            <v>-</v>
          </cell>
          <cell r="K742" t="str">
            <v>-</v>
          </cell>
          <cell r="L742" t="str">
            <v>-</v>
          </cell>
          <cell r="N742" t="str">
            <v>-</v>
          </cell>
          <cell r="O742" t="str">
            <v>-</v>
          </cell>
          <cell r="Q742" t="str">
            <v>-</v>
          </cell>
          <cell r="R742" t="str">
            <v>-</v>
          </cell>
          <cell r="T742" t="str">
            <v>-</v>
          </cell>
          <cell r="U742" t="str">
            <v>-</v>
          </cell>
          <cell r="W742" t="str">
            <v>-</v>
          </cell>
          <cell r="X742" t="str">
            <v>-</v>
          </cell>
        </row>
        <row r="743">
          <cell r="A743">
            <v>72220735</v>
          </cell>
          <cell r="B743">
            <v>1542</v>
          </cell>
          <cell r="C743" t="str">
            <v>무늬쥐치</v>
          </cell>
          <cell r="D743" t="str">
            <v>C</v>
          </cell>
          <cell r="E743">
            <v>70409159</v>
          </cell>
          <cell r="H743" t="str">
            <v>-</v>
          </cell>
          <cell r="I743" t="str">
            <v>-</v>
          </cell>
          <cell r="K743" t="str">
            <v>-</v>
          </cell>
          <cell r="L743" t="str">
            <v>-</v>
          </cell>
          <cell r="N743" t="str">
            <v>-</v>
          </cell>
          <cell r="O743" t="str">
            <v>-</v>
          </cell>
          <cell r="Q743" t="str">
            <v>-</v>
          </cell>
          <cell r="R743" t="str">
            <v>-</v>
          </cell>
          <cell r="T743" t="str">
            <v>-</v>
          </cell>
          <cell r="U743" t="str">
            <v>-</v>
          </cell>
          <cell r="W743" t="str">
            <v>-</v>
          </cell>
          <cell r="X743" t="str">
            <v>-</v>
          </cell>
        </row>
        <row r="744">
          <cell r="A744">
            <v>72220736</v>
          </cell>
          <cell r="B744">
            <v>1542</v>
          </cell>
          <cell r="C744" t="str">
            <v>물각쥐치</v>
          </cell>
          <cell r="D744" t="str">
            <v>C</v>
          </cell>
          <cell r="E744">
            <v>70409165</v>
          </cell>
          <cell r="H744" t="str">
            <v>-</v>
          </cell>
          <cell r="I744" t="str">
            <v>-</v>
          </cell>
          <cell r="K744" t="str">
            <v>-</v>
          </cell>
          <cell r="L744" t="str">
            <v>-</v>
          </cell>
          <cell r="N744" t="str">
            <v>-</v>
          </cell>
          <cell r="O744" t="str">
            <v>-</v>
          </cell>
          <cell r="Q744" t="str">
            <v>-</v>
          </cell>
          <cell r="R744" t="str">
            <v>-</v>
          </cell>
          <cell r="T744" t="str">
            <v>-</v>
          </cell>
          <cell r="U744" t="str">
            <v>-</v>
          </cell>
          <cell r="W744" t="str">
            <v>-</v>
          </cell>
          <cell r="X744" t="str">
            <v>-</v>
          </cell>
        </row>
        <row r="745">
          <cell r="A745">
            <v>72220737</v>
          </cell>
          <cell r="B745">
            <v>1542</v>
          </cell>
          <cell r="C745" t="str">
            <v>민밀복</v>
          </cell>
          <cell r="D745" t="str">
            <v>C</v>
          </cell>
          <cell r="E745">
            <v>70409172</v>
          </cell>
          <cell r="H745" t="str">
            <v>-</v>
          </cell>
          <cell r="I745" t="str">
            <v>-</v>
          </cell>
          <cell r="K745" t="str">
            <v>-</v>
          </cell>
          <cell r="L745" t="str">
            <v>-</v>
          </cell>
          <cell r="N745" t="str">
            <v>-</v>
          </cell>
          <cell r="O745" t="str">
            <v>-</v>
          </cell>
          <cell r="Q745" t="str">
            <v>-</v>
          </cell>
          <cell r="R745" t="str">
            <v>-</v>
          </cell>
          <cell r="T745" t="str">
            <v>-</v>
          </cell>
          <cell r="U745" t="str">
            <v>-</v>
          </cell>
          <cell r="W745" t="str">
            <v>-</v>
          </cell>
          <cell r="X745" t="str">
            <v>-</v>
          </cell>
        </row>
        <row r="746">
          <cell r="A746">
            <v>72220738</v>
          </cell>
          <cell r="B746">
            <v>1542</v>
          </cell>
          <cell r="C746" t="str">
            <v>삿징이상어</v>
          </cell>
          <cell r="D746" t="str">
            <v>C</v>
          </cell>
          <cell r="E746">
            <v>70409244</v>
          </cell>
          <cell r="H746" t="str">
            <v>-</v>
          </cell>
          <cell r="I746" t="str">
            <v>-</v>
          </cell>
          <cell r="K746" t="str">
            <v>-</v>
          </cell>
          <cell r="L746" t="str">
            <v>-</v>
          </cell>
          <cell r="N746" t="str">
            <v>-</v>
          </cell>
          <cell r="O746" t="str">
            <v>-</v>
          </cell>
          <cell r="Q746" t="str">
            <v>-</v>
          </cell>
          <cell r="R746" t="str">
            <v>-</v>
          </cell>
          <cell r="T746" t="str">
            <v>-</v>
          </cell>
          <cell r="U746" t="str">
            <v>-</v>
          </cell>
          <cell r="W746" t="str">
            <v>-</v>
          </cell>
          <cell r="X746" t="str">
            <v>-</v>
          </cell>
        </row>
        <row r="747">
          <cell r="A747">
            <v>72220739</v>
          </cell>
          <cell r="B747">
            <v>1542</v>
          </cell>
          <cell r="C747" t="str">
            <v>양태</v>
          </cell>
          <cell r="D747" t="str">
            <v>D</v>
          </cell>
          <cell r="E747">
            <v>70409283</v>
          </cell>
          <cell r="H747" t="str">
            <v>-</v>
          </cell>
          <cell r="I747" t="str">
            <v>-</v>
          </cell>
          <cell r="K747" t="str">
            <v>-</v>
          </cell>
          <cell r="L747" t="str">
            <v>-</v>
          </cell>
          <cell r="N747" t="str">
            <v>-</v>
          </cell>
          <cell r="O747" t="str">
            <v>-</v>
          </cell>
          <cell r="Q747" t="str">
            <v>-</v>
          </cell>
          <cell r="R747" t="str">
            <v>-</v>
          </cell>
          <cell r="T747" t="str">
            <v>-</v>
          </cell>
          <cell r="U747" t="str">
            <v>-</v>
          </cell>
          <cell r="W747" t="str">
            <v>-</v>
          </cell>
          <cell r="X747" t="str">
            <v>-</v>
          </cell>
        </row>
        <row r="748">
          <cell r="A748">
            <v>72220740</v>
          </cell>
          <cell r="B748">
            <v>1543</v>
          </cell>
          <cell r="C748" t="str">
            <v>무늬쥐치</v>
          </cell>
          <cell r="D748" t="str">
            <v>C</v>
          </cell>
          <cell r="E748">
            <v>70409159</v>
          </cell>
          <cell r="H748" t="str">
            <v>-</v>
          </cell>
          <cell r="I748" t="str">
            <v>-</v>
          </cell>
          <cell r="K748" t="str">
            <v>-</v>
          </cell>
          <cell r="L748" t="str">
            <v>-</v>
          </cell>
          <cell r="N748" t="str">
            <v>-</v>
          </cell>
          <cell r="O748" t="str">
            <v>-</v>
          </cell>
          <cell r="Q748" t="str">
            <v>-</v>
          </cell>
          <cell r="R748" t="str">
            <v>-</v>
          </cell>
          <cell r="T748" t="str">
            <v>-</v>
          </cell>
          <cell r="U748" t="str">
            <v>-</v>
          </cell>
          <cell r="W748" t="str">
            <v>-</v>
          </cell>
          <cell r="X748" t="str">
            <v>-</v>
          </cell>
        </row>
        <row r="749">
          <cell r="A749">
            <v>72220741</v>
          </cell>
          <cell r="B749">
            <v>1543</v>
          </cell>
          <cell r="C749" t="str">
            <v>물각쥐치</v>
          </cell>
          <cell r="D749" t="str">
            <v>C</v>
          </cell>
          <cell r="E749">
            <v>70409165</v>
          </cell>
          <cell r="H749" t="str">
            <v>-</v>
          </cell>
          <cell r="I749" t="str">
            <v>-</v>
          </cell>
          <cell r="K749" t="str">
            <v>-</v>
          </cell>
          <cell r="L749" t="str">
            <v>-</v>
          </cell>
          <cell r="N749" t="str">
            <v>-</v>
          </cell>
          <cell r="O749" t="str">
            <v>-</v>
          </cell>
          <cell r="Q749" t="str">
            <v>-</v>
          </cell>
          <cell r="R749" t="str">
            <v>-</v>
          </cell>
          <cell r="T749" t="str">
            <v>-</v>
          </cell>
          <cell r="U749" t="str">
            <v>-</v>
          </cell>
          <cell r="W749" t="str">
            <v>-</v>
          </cell>
          <cell r="X749" t="str">
            <v>-</v>
          </cell>
        </row>
        <row r="750">
          <cell r="A750">
            <v>72220742</v>
          </cell>
          <cell r="B750">
            <v>1543</v>
          </cell>
          <cell r="C750" t="str">
            <v>민밀복</v>
          </cell>
          <cell r="D750" t="str">
            <v>C</v>
          </cell>
          <cell r="E750">
            <v>70409172</v>
          </cell>
          <cell r="H750" t="str">
            <v>-</v>
          </cell>
          <cell r="I750" t="str">
            <v>-</v>
          </cell>
          <cell r="K750" t="str">
            <v>-</v>
          </cell>
          <cell r="L750" t="str">
            <v>-</v>
          </cell>
          <cell r="N750" t="str">
            <v>-</v>
          </cell>
          <cell r="O750" t="str">
            <v>-</v>
          </cell>
          <cell r="Q750" t="str">
            <v>-</v>
          </cell>
          <cell r="R750" t="str">
            <v>-</v>
          </cell>
          <cell r="T750" t="str">
            <v>-</v>
          </cell>
          <cell r="U750" t="str">
            <v>-</v>
          </cell>
          <cell r="W750" t="str">
            <v>-</v>
          </cell>
          <cell r="X750" t="str">
            <v>-</v>
          </cell>
        </row>
        <row r="751">
          <cell r="A751">
            <v>72220743</v>
          </cell>
          <cell r="B751">
            <v>1543</v>
          </cell>
          <cell r="C751" t="str">
            <v>삿징이상어</v>
          </cell>
          <cell r="D751" t="str">
            <v>C</v>
          </cell>
          <cell r="E751">
            <v>70409244</v>
          </cell>
          <cell r="H751" t="str">
            <v>-</v>
          </cell>
          <cell r="I751" t="str">
            <v>-</v>
          </cell>
          <cell r="K751" t="str">
            <v>-</v>
          </cell>
          <cell r="L751" t="str">
            <v>-</v>
          </cell>
          <cell r="N751" t="str">
            <v>-</v>
          </cell>
          <cell r="O751" t="str">
            <v>-</v>
          </cell>
          <cell r="Q751" t="str">
            <v>-</v>
          </cell>
          <cell r="R751" t="str">
            <v>-</v>
          </cell>
          <cell r="T751" t="str">
            <v>-</v>
          </cell>
          <cell r="U751" t="str">
            <v>-</v>
          </cell>
          <cell r="W751" t="str">
            <v>-</v>
          </cell>
          <cell r="X751" t="str">
            <v>-</v>
          </cell>
        </row>
        <row r="752">
          <cell r="A752">
            <v>72220744</v>
          </cell>
          <cell r="B752">
            <v>1543</v>
          </cell>
          <cell r="C752" t="str">
            <v>양태</v>
          </cell>
          <cell r="D752" t="str">
            <v>D</v>
          </cell>
          <cell r="E752">
            <v>70409283</v>
          </cell>
          <cell r="H752" t="str">
            <v>-</v>
          </cell>
          <cell r="I752" t="str">
            <v>-</v>
          </cell>
          <cell r="K752" t="str">
            <v>-</v>
          </cell>
          <cell r="L752" t="str">
            <v>-</v>
          </cell>
          <cell r="N752" t="str">
            <v>-</v>
          </cell>
          <cell r="O752" t="str">
            <v>-</v>
          </cell>
          <cell r="Q752" t="str">
            <v>-</v>
          </cell>
          <cell r="R752" t="str">
            <v>-</v>
          </cell>
          <cell r="T752" t="str">
            <v>-</v>
          </cell>
          <cell r="U752" t="str">
            <v>-</v>
          </cell>
          <cell r="W752" t="str">
            <v>-</v>
          </cell>
          <cell r="X752" t="str">
            <v>-</v>
          </cell>
        </row>
        <row r="753">
          <cell r="A753">
            <v>72220745</v>
          </cell>
          <cell r="B753">
            <v>1544</v>
          </cell>
          <cell r="C753" t="str">
            <v>무늬쥐치</v>
          </cell>
          <cell r="D753" t="str">
            <v>C</v>
          </cell>
          <cell r="E753">
            <v>70409159</v>
          </cell>
          <cell r="H753" t="str">
            <v>-</v>
          </cell>
          <cell r="I753" t="str">
            <v>-</v>
          </cell>
          <cell r="K753" t="str">
            <v>-</v>
          </cell>
          <cell r="L753" t="str">
            <v>-</v>
          </cell>
          <cell r="N753" t="str">
            <v>-</v>
          </cell>
          <cell r="O753" t="str">
            <v>-</v>
          </cell>
          <cell r="Q753" t="str">
            <v>-</v>
          </cell>
          <cell r="R753" t="str">
            <v>-</v>
          </cell>
          <cell r="T753" t="str">
            <v>-</v>
          </cell>
          <cell r="U753" t="str">
            <v>-</v>
          </cell>
          <cell r="W753" t="str">
            <v>-</v>
          </cell>
          <cell r="X753" t="str">
            <v>-</v>
          </cell>
        </row>
        <row r="754">
          <cell r="A754">
            <v>72220746</v>
          </cell>
          <cell r="B754">
            <v>1544</v>
          </cell>
          <cell r="C754" t="str">
            <v>물각쥐치</v>
          </cell>
          <cell r="D754" t="str">
            <v>C</v>
          </cell>
          <cell r="E754">
            <v>70409165</v>
          </cell>
          <cell r="H754" t="str">
            <v>-</v>
          </cell>
          <cell r="I754" t="str">
            <v>-</v>
          </cell>
          <cell r="K754" t="str">
            <v>-</v>
          </cell>
          <cell r="L754" t="str">
            <v>-</v>
          </cell>
          <cell r="N754" t="str">
            <v>-</v>
          </cell>
          <cell r="O754" t="str">
            <v>-</v>
          </cell>
          <cell r="Q754" t="str">
            <v>-</v>
          </cell>
          <cell r="R754" t="str">
            <v>-</v>
          </cell>
          <cell r="T754" t="str">
            <v>-</v>
          </cell>
          <cell r="U754" t="str">
            <v>-</v>
          </cell>
          <cell r="W754" t="str">
            <v>-</v>
          </cell>
          <cell r="X754" t="str">
            <v>-</v>
          </cell>
        </row>
        <row r="755">
          <cell r="A755">
            <v>72220747</v>
          </cell>
          <cell r="B755">
            <v>1544</v>
          </cell>
          <cell r="C755" t="str">
            <v>민밀복</v>
          </cell>
          <cell r="D755" t="str">
            <v>C</v>
          </cell>
          <cell r="E755">
            <v>70409172</v>
          </cell>
          <cell r="H755" t="str">
            <v>-</v>
          </cell>
          <cell r="I755" t="str">
            <v>-</v>
          </cell>
          <cell r="K755" t="str">
            <v>-</v>
          </cell>
          <cell r="L755" t="str">
            <v>-</v>
          </cell>
          <cell r="N755" t="str">
            <v>-</v>
          </cell>
          <cell r="O755" t="str">
            <v>-</v>
          </cell>
          <cell r="Q755" t="str">
            <v>-</v>
          </cell>
          <cell r="R755" t="str">
            <v>-</v>
          </cell>
          <cell r="T755" t="str">
            <v>-</v>
          </cell>
          <cell r="U755" t="str">
            <v>-</v>
          </cell>
          <cell r="W755" t="str">
            <v>-</v>
          </cell>
          <cell r="X755" t="str">
            <v>-</v>
          </cell>
        </row>
        <row r="756">
          <cell r="A756">
            <v>72220748</v>
          </cell>
          <cell r="B756">
            <v>1544</v>
          </cell>
          <cell r="C756" t="str">
            <v>삿징이상어</v>
          </cell>
          <cell r="D756" t="str">
            <v>C</v>
          </cell>
          <cell r="E756">
            <v>70409244</v>
          </cell>
          <cell r="H756" t="str">
            <v>-</v>
          </cell>
          <cell r="I756" t="str">
            <v>-</v>
          </cell>
          <cell r="K756" t="str">
            <v>-</v>
          </cell>
          <cell r="L756" t="str">
            <v>-</v>
          </cell>
          <cell r="N756" t="str">
            <v>-</v>
          </cell>
          <cell r="O756" t="str">
            <v>-</v>
          </cell>
          <cell r="Q756" t="str">
            <v>-</v>
          </cell>
          <cell r="R756" t="str">
            <v>-</v>
          </cell>
          <cell r="T756" t="str">
            <v>-</v>
          </cell>
          <cell r="U756" t="str">
            <v>-</v>
          </cell>
          <cell r="W756" t="str">
            <v>-</v>
          </cell>
          <cell r="X756" t="str">
            <v>-</v>
          </cell>
        </row>
        <row r="757">
          <cell r="A757">
            <v>72220749</v>
          </cell>
          <cell r="B757">
            <v>1544</v>
          </cell>
          <cell r="C757" t="str">
            <v>양태</v>
          </cell>
          <cell r="D757" t="str">
            <v>D</v>
          </cell>
          <cell r="E757">
            <v>70409283</v>
          </cell>
          <cell r="H757" t="str">
            <v>-</v>
          </cell>
          <cell r="I757" t="str">
            <v>-</v>
          </cell>
          <cell r="K757" t="str">
            <v>-</v>
          </cell>
          <cell r="L757" t="str">
            <v>-</v>
          </cell>
          <cell r="N757" t="str">
            <v>-</v>
          </cell>
          <cell r="O757" t="str">
            <v>-</v>
          </cell>
          <cell r="Q757" t="str">
            <v>-</v>
          </cell>
          <cell r="R757" t="str">
            <v>-</v>
          </cell>
          <cell r="T757" t="str">
            <v>-</v>
          </cell>
          <cell r="U757" t="str">
            <v>-</v>
          </cell>
          <cell r="W757" t="str">
            <v>-</v>
          </cell>
          <cell r="X757" t="str">
            <v>-</v>
          </cell>
        </row>
        <row r="758">
          <cell r="A758">
            <v>72220750</v>
          </cell>
          <cell r="B758">
            <v>1551</v>
          </cell>
          <cell r="C758" t="str">
            <v>해포리고기</v>
          </cell>
          <cell r="D758" t="str">
            <v>D</v>
          </cell>
          <cell r="E758">
            <v>70409389</v>
          </cell>
          <cell r="H758" t="str">
            <v>-</v>
          </cell>
          <cell r="I758" t="str">
            <v>-</v>
          </cell>
          <cell r="K758" t="str">
            <v>-</v>
          </cell>
          <cell r="L758" t="str">
            <v>-</v>
          </cell>
          <cell r="N758" t="str">
            <v>-</v>
          </cell>
          <cell r="O758" t="str">
            <v>-</v>
          </cell>
          <cell r="Q758" t="str">
            <v>-</v>
          </cell>
          <cell r="R758" t="str">
            <v>-</v>
          </cell>
          <cell r="T758" t="str">
            <v>-</v>
          </cell>
          <cell r="U758" t="str">
            <v>-</v>
          </cell>
          <cell r="W758" t="str">
            <v>-</v>
          </cell>
          <cell r="X758" t="str">
            <v>-</v>
          </cell>
        </row>
        <row r="759">
          <cell r="A759">
            <v>72220751</v>
          </cell>
          <cell r="B759">
            <v>1551</v>
          </cell>
          <cell r="C759" t="str">
            <v>황등어</v>
          </cell>
          <cell r="D759" t="str">
            <v>D</v>
          </cell>
          <cell r="E759">
            <v>70409401</v>
          </cell>
          <cell r="H759" t="str">
            <v>-</v>
          </cell>
          <cell r="I759" t="str">
            <v>-</v>
          </cell>
          <cell r="K759" t="str">
            <v>-</v>
          </cell>
          <cell r="L759" t="str">
            <v>-</v>
          </cell>
          <cell r="N759" t="str">
            <v>-</v>
          </cell>
          <cell r="O759" t="str">
            <v>-</v>
          </cell>
          <cell r="Q759" t="str">
            <v>-</v>
          </cell>
          <cell r="R759" t="str">
            <v>-</v>
          </cell>
          <cell r="T759" t="str">
            <v>-</v>
          </cell>
          <cell r="U759" t="str">
            <v>-</v>
          </cell>
          <cell r="W759" t="str">
            <v>-</v>
          </cell>
          <cell r="X759" t="str">
            <v>-</v>
          </cell>
        </row>
        <row r="760">
          <cell r="A760">
            <v>72220752</v>
          </cell>
          <cell r="B760">
            <v>1551</v>
          </cell>
          <cell r="C760" t="str">
            <v>동수구리</v>
          </cell>
          <cell r="D760" t="str">
            <v>S</v>
          </cell>
          <cell r="E760">
            <v>70409122</v>
          </cell>
          <cell r="H760" t="str">
            <v>-</v>
          </cell>
          <cell r="I760" t="str">
            <v>-</v>
          </cell>
          <cell r="K760" t="str">
            <v>-</v>
          </cell>
          <cell r="L760" t="str">
            <v>-</v>
          </cell>
          <cell r="N760" t="str">
            <v>-</v>
          </cell>
          <cell r="O760" t="str">
            <v>-</v>
          </cell>
          <cell r="Q760" t="str">
            <v>-</v>
          </cell>
          <cell r="R760" t="str">
            <v>-</v>
          </cell>
          <cell r="T760" t="str">
            <v>-</v>
          </cell>
          <cell r="U760" t="str">
            <v>-</v>
          </cell>
          <cell r="W760" t="str">
            <v>-</v>
          </cell>
          <cell r="X760" t="str">
            <v>-</v>
          </cell>
        </row>
        <row r="761">
          <cell r="A761">
            <v>72220753</v>
          </cell>
          <cell r="B761">
            <v>1551</v>
          </cell>
          <cell r="C761" t="str">
            <v>흰점꺼끌복</v>
          </cell>
          <cell r="D761" t="str">
            <v>D</v>
          </cell>
          <cell r="E761">
            <v>70409419</v>
          </cell>
          <cell r="H761" t="str">
            <v>-</v>
          </cell>
          <cell r="I761" t="str">
            <v>-</v>
          </cell>
          <cell r="K761" t="str">
            <v>-</v>
          </cell>
          <cell r="L761" t="str">
            <v>-</v>
          </cell>
          <cell r="N761" t="str">
            <v>-</v>
          </cell>
          <cell r="O761" t="str">
            <v>-</v>
          </cell>
          <cell r="Q761" t="str">
            <v>-</v>
          </cell>
          <cell r="R761" t="str">
            <v>-</v>
          </cell>
          <cell r="T761" t="str">
            <v>-</v>
          </cell>
          <cell r="U761" t="str">
            <v>-</v>
          </cell>
          <cell r="W761" t="str">
            <v>-</v>
          </cell>
          <cell r="X761" t="str">
            <v>-</v>
          </cell>
        </row>
        <row r="762">
          <cell r="A762">
            <v>72220754</v>
          </cell>
          <cell r="B762">
            <v>1552</v>
          </cell>
          <cell r="C762" t="str">
            <v>해포리고기</v>
          </cell>
          <cell r="D762" t="str">
            <v>D</v>
          </cell>
          <cell r="E762">
            <v>70409389</v>
          </cell>
          <cell r="H762" t="str">
            <v>-</v>
          </cell>
          <cell r="I762" t="str">
            <v>-</v>
          </cell>
          <cell r="K762" t="str">
            <v>-</v>
          </cell>
          <cell r="L762" t="str">
            <v>-</v>
          </cell>
          <cell r="N762" t="str">
            <v>-</v>
          </cell>
          <cell r="O762" t="str">
            <v>-</v>
          </cell>
          <cell r="Q762" t="str">
            <v>-</v>
          </cell>
          <cell r="R762" t="str">
            <v>-</v>
          </cell>
          <cell r="T762" t="str">
            <v>-</v>
          </cell>
          <cell r="U762" t="str">
            <v>-</v>
          </cell>
          <cell r="W762" t="str">
            <v>-</v>
          </cell>
          <cell r="X762" t="str">
            <v>-</v>
          </cell>
        </row>
        <row r="763">
          <cell r="A763">
            <v>72220755</v>
          </cell>
          <cell r="B763">
            <v>1552</v>
          </cell>
          <cell r="C763" t="str">
            <v>황등어</v>
          </cell>
          <cell r="D763" t="str">
            <v>D</v>
          </cell>
          <cell r="E763">
            <v>70409401</v>
          </cell>
          <cell r="H763" t="str">
            <v>-</v>
          </cell>
          <cell r="I763" t="str">
            <v>-</v>
          </cell>
          <cell r="K763" t="str">
            <v>-</v>
          </cell>
          <cell r="L763" t="str">
            <v>-</v>
          </cell>
          <cell r="N763" t="str">
            <v>-</v>
          </cell>
          <cell r="O763" t="str">
            <v>-</v>
          </cell>
          <cell r="Q763" t="str">
            <v>-</v>
          </cell>
          <cell r="R763" t="str">
            <v>-</v>
          </cell>
          <cell r="T763" t="str">
            <v>-</v>
          </cell>
          <cell r="U763" t="str">
            <v>-</v>
          </cell>
          <cell r="W763" t="str">
            <v>-</v>
          </cell>
          <cell r="X763" t="str">
            <v>-</v>
          </cell>
        </row>
        <row r="764">
          <cell r="A764">
            <v>72220756</v>
          </cell>
          <cell r="B764">
            <v>1552</v>
          </cell>
          <cell r="C764" t="str">
            <v>동수구리</v>
          </cell>
          <cell r="D764" t="str">
            <v>S</v>
          </cell>
          <cell r="E764">
            <v>70409122</v>
          </cell>
          <cell r="H764" t="str">
            <v>-</v>
          </cell>
          <cell r="I764" t="str">
            <v>-</v>
          </cell>
          <cell r="K764" t="str">
            <v>-</v>
          </cell>
          <cell r="L764" t="str">
            <v>-</v>
          </cell>
          <cell r="N764" t="str">
            <v>-</v>
          </cell>
          <cell r="O764" t="str">
            <v>-</v>
          </cell>
          <cell r="Q764" t="str">
            <v>-</v>
          </cell>
          <cell r="R764" t="str">
            <v>-</v>
          </cell>
          <cell r="T764" t="str">
            <v>-</v>
          </cell>
          <cell r="U764" t="str">
            <v>-</v>
          </cell>
          <cell r="W764" t="str">
            <v>-</v>
          </cell>
          <cell r="X764" t="str">
            <v>-</v>
          </cell>
        </row>
        <row r="765">
          <cell r="A765">
            <v>72220757</v>
          </cell>
          <cell r="B765">
            <v>1552</v>
          </cell>
          <cell r="C765" t="str">
            <v>흰점꺼끌복</v>
          </cell>
          <cell r="D765" t="str">
            <v>D</v>
          </cell>
          <cell r="E765">
            <v>70409419</v>
          </cell>
          <cell r="H765" t="str">
            <v>-</v>
          </cell>
          <cell r="I765" t="str">
            <v>-</v>
          </cell>
          <cell r="K765" t="str">
            <v>-</v>
          </cell>
          <cell r="L765" t="str">
            <v>-</v>
          </cell>
          <cell r="N765" t="str">
            <v>-</v>
          </cell>
          <cell r="O765" t="str">
            <v>-</v>
          </cell>
          <cell r="Q765" t="str">
            <v>-</v>
          </cell>
          <cell r="R765" t="str">
            <v>-</v>
          </cell>
          <cell r="T765" t="str">
            <v>-</v>
          </cell>
          <cell r="U765" t="str">
            <v>-</v>
          </cell>
          <cell r="W765" t="str">
            <v>-</v>
          </cell>
          <cell r="X765" t="str">
            <v>-</v>
          </cell>
        </row>
        <row r="766">
          <cell r="A766">
            <v>72220758</v>
          </cell>
          <cell r="B766">
            <v>1553</v>
          </cell>
          <cell r="C766" t="str">
            <v>해포리고기</v>
          </cell>
          <cell r="D766" t="str">
            <v>D</v>
          </cell>
          <cell r="E766">
            <v>70409389</v>
          </cell>
          <cell r="H766" t="str">
            <v>-</v>
          </cell>
          <cell r="I766" t="str">
            <v>-</v>
          </cell>
          <cell r="K766" t="str">
            <v>-</v>
          </cell>
          <cell r="L766" t="str">
            <v>-</v>
          </cell>
          <cell r="N766" t="str">
            <v>-</v>
          </cell>
          <cell r="O766" t="str">
            <v>-</v>
          </cell>
          <cell r="Q766" t="str">
            <v>-</v>
          </cell>
          <cell r="R766" t="str">
            <v>-</v>
          </cell>
          <cell r="T766" t="str">
            <v>-</v>
          </cell>
          <cell r="U766" t="str">
            <v>-</v>
          </cell>
          <cell r="W766" t="str">
            <v>-</v>
          </cell>
          <cell r="X766" t="str">
            <v>-</v>
          </cell>
        </row>
        <row r="767">
          <cell r="A767">
            <v>72220759</v>
          </cell>
          <cell r="B767">
            <v>1553</v>
          </cell>
          <cell r="C767" t="str">
            <v>황등어</v>
          </cell>
          <cell r="D767" t="str">
            <v>D</v>
          </cell>
          <cell r="E767">
            <v>70409401</v>
          </cell>
          <cell r="H767" t="str">
            <v>-</v>
          </cell>
          <cell r="I767" t="str">
            <v>-</v>
          </cell>
          <cell r="K767" t="str">
            <v>-</v>
          </cell>
          <cell r="L767" t="str">
            <v>-</v>
          </cell>
          <cell r="N767" t="str">
            <v>-</v>
          </cell>
          <cell r="O767" t="str">
            <v>-</v>
          </cell>
          <cell r="Q767" t="str">
            <v>-</v>
          </cell>
          <cell r="R767" t="str">
            <v>-</v>
          </cell>
          <cell r="T767" t="str">
            <v>-</v>
          </cell>
          <cell r="U767" t="str">
            <v>-</v>
          </cell>
          <cell r="W767" t="str">
            <v>-</v>
          </cell>
          <cell r="X767" t="str">
            <v>-</v>
          </cell>
        </row>
        <row r="768">
          <cell r="A768">
            <v>72220760</v>
          </cell>
          <cell r="B768">
            <v>1553</v>
          </cell>
          <cell r="C768" t="str">
            <v>동수구리</v>
          </cell>
          <cell r="D768" t="str">
            <v>S</v>
          </cell>
          <cell r="E768">
            <v>70409122</v>
          </cell>
          <cell r="H768" t="str">
            <v>-</v>
          </cell>
          <cell r="I768" t="str">
            <v>-</v>
          </cell>
          <cell r="K768" t="str">
            <v>-</v>
          </cell>
          <cell r="L768" t="str">
            <v>-</v>
          </cell>
          <cell r="N768" t="str">
            <v>-</v>
          </cell>
          <cell r="O768" t="str">
            <v>-</v>
          </cell>
          <cell r="Q768" t="str">
            <v>-</v>
          </cell>
          <cell r="R768" t="str">
            <v>-</v>
          </cell>
          <cell r="T768" t="str">
            <v>-</v>
          </cell>
          <cell r="U768" t="str">
            <v>-</v>
          </cell>
          <cell r="W768" t="str">
            <v>-</v>
          </cell>
          <cell r="X768" t="str">
            <v>-</v>
          </cell>
        </row>
        <row r="769">
          <cell r="A769">
            <v>72220761</v>
          </cell>
          <cell r="B769">
            <v>1553</v>
          </cell>
          <cell r="C769" t="str">
            <v>흰점꺼끌복</v>
          </cell>
          <cell r="D769" t="str">
            <v>D</v>
          </cell>
          <cell r="E769">
            <v>70409419</v>
          </cell>
          <cell r="H769" t="str">
            <v>-</v>
          </cell>
          <cell r="I769" t="str">
            <v>-</v>
          </cell>
          <cell r="K769" t="str">
            <v>-</v>
          </cell>
          <cell r="L769" t="str">
            <v>-</v>
          </cell>
          <cell r="N769" t="str">
            <v>-</v>
          </cell>
          <cell r="O769" t="str">
            <v>-</v>
          </cell>
          <cell r="Q769" t="str">
            <v>-</v>
          </cell>
          <cell r="R769" t="str">
            <v>-</v>
          </cell>
          <cell r="T769" t="str">
            <v>-</v>
          </cell>
          <cell r="U769" t="str">
            <v>-</v>
          </cell>
          <cell r="W769" t="str">
            <v>-</v>
          </cell>
          <cell r="X769" t="str">
            <v>-</v>
          </cell>
        </row>
        <row r="770">
          <cell r="A770">
            <v>72220762</v>
          </cell>
          <cell r="B770">
            <v>1554</v>
          </cell>
          <cell r="C770" t="str">
            <v>해포리고기</v>
          </cell>
          <cell r="D770" t="str">
            <v>D</v>
          </cell>
          <cell r="E770">
            <v>70409389</v>
          </cell>
          <cell r="H770" t="str">
            <v>-</v>
          </cell>
          <cell r="I770" t="str">
            <v>-</v>
          </cell>
          <cell r="K770" t="str">
            <v>-</v>
          </cell>
          <cell r="L770" t="str">
            <v>-</v>
          </cell>
          <cell r="N770" t="str">
            <v>-</v>
          </cell>
          <cell r="O770" t="str">
            <v>-</v>
          </cell>
          <cell r="Q770" t="str">
            <v>-</v>
          </cell>
          <cell r="R770" t="str">
            <v>-</v>
          </cell>
          <cell r="T770" t="str">
            <v>-</v>
          </cell>
          <cell r="U770" t="str">
            <v>-</v>
          </cell>
          <cell r="W770" t="str">
            <v>-</v>
          </cell>
          <cell r="X770" t="str">
            <v>-</v>
          </cell>
        </row>
        <row r="771">
          <cell r="A771">
            <v>72220763</v>
          </cell>
          <cell r="B771">
            <v>1554</v>
          </cell>
          <cell r="C771" t="str">
            <v>황등어</v>
          </cell>
          <cell r="D771" t="str">
            <v>D</v>
          </cell>
          <cell r="E771">
            <v>70409401</v>
          </cell>
          <cell r="H771" t="str">
            <v>-</v>
          </cell>
          <cell r="I771" t="str">
            <v>-</v>
          </cell>
          <cell r="K771" t="str">
            <v>-</v>
          </cell>
          <cell r="L771" t="str">
            <v>-</v>
          </cell>
          <cell r="N771" t="str">
            <v>-</v>
          </cell>
          <cell r="O771" t="str">
            <v>-</v>
          </cell>
          <cell r="Q771" t="str">
            <v>-</v>
          </cell>
          <cell r="R771" t="str">
            <v>-</v>
          </cell>
          <cell r="T771" t="str">
            <v>-</v>
          </cell>
          <cell r="U771" t="str">
            <v>-</v>
          </cell>
          <cell r="W771" t="str">
            <v>-</v>
          </cell>
          <cell r="X771" t="str">
            <v>-</v>
          </cell>
        </row>
        <row r="772">
          <cell r="A772">
            <v>72220764</v>
          </cell>
          <cell r="B772">
            <v>1554</v>
          </cell>
          <cell r="C772" t="str">
            <v>동수구리</v>
          </cell>
          <cell r="D772" t="str">
            <v>S</v>
          </cell>
          <cell r="E772">
            <v>70409122</v>
          </cell>
          <cell r="H772" t="str">
            <v>-</v>
          </cell>
          <cell r="I772" t="str">
            <v>-</v>
          </cell>
          <cell r="K772" t="str">
            <v>-</v>
          </cell>
          <cell r="L772" t="str">
            <v>-</v>
          </cell>
          <cell r="N772" t="str">
            <v>-</v>
          </cell>
          <cell r="O772" t="str">
            <v>-</v>
          </cell>
          <cell r="Q772" t="str">
            <v>-</v>
          </cell>
          <cell r="R772" t="str">
            <v>-</v>
          </cell>
          <cell r="T772" t="str">
            <v>-</v>
          </cell>
          <cell r="U772" t="str">
            <v>-</v>
          </cell>
          <cell r="W772" t="str">
            <v>-</v>
          </cell>
          <cell r="X772" t="str">
            <v>-</v>
          </cell>
        </row>
        <row r="773">
          <cell r="A773">
            <v>72220765</v>
          </cell>
          <cell r="B773">
            <v>1554</v>
          </cell>
          <cell r="C773" t="str">
            <v>흰점꺼끌복</v>
          </cell>
          <cell r="D773" t="str">
            <v>D</v>
          </cell>
          <cell r="E773">
            <v>70409419</v>
          </cell>
          <cell r="H773" t="str">
            <v>-</v>
          </cell>
          <cell r="I773" t="str">
            <v>-</v>
          </cell>
          <cell r="K773" t="str">
            <v>-</v>
          </cell>
          <cell r="L773" t="str">
            <v>-</v>
          </cell>
          <cell r="N773" t="str">
            <v>-</v>
          </cell>
          <cell r="O773" t="str">
            <v>-</v>
          </cell>
          <cell r="Q773" t="str">
            <v>-</v>
          </cell>
          <cell r="R773" t="str">
            <v>-</v>
          </cell>
          <cell r="T773" t="str">
            <v>-</v>
          </cell>
          <cell r="U773" t="str">
            <v>-</v>
          </cell>
          <cell r="W773" t="str">
            <v>-</v>
          </cell>
          <cell r="X773" t="str">
            <v>-</v>
          </cell>
        </row>
        <row r="774">
          <cell r="A774">
            <v>72220766</v>
          </cell>
          <cell r="B774">
            <v>1561</v>
          </cell>
          <cell r="C774" t="str">
            <v>표문쥐치</v>
          </cell>
          <cell r="D774" t="str">
            <v>D</v>
          </cell>
          <cell r="E774">
            <v>70409376</v>
          </cell>
          <cell r="H774" t="str">
            <v>-</v>
          </cell>
          <cell r="I774" t="str">
            <v>-</v>
          </cell>
          <cell r="K774" t="str">
            <v>-</v>
          </cell>
          <cell r="L774" t="str">
            <v>-</v>
          </cell>
          <cell r="N774" t="str">
            <v>-</v>
          </cell>
          <cell r="O774" t="str">
            <v>-</v>
          </cell>
          <cell r="Q774" t="str">
            <v>-</v>
          </cell>
          <cell r="R774" t="str">
            <v>-</v>
          </cell>
          <cell r="T774" t="str">
            <v>-</v>
          </cell>
          <cell r="U774" t="str">
            <v>-</v>
          </cell>
          <cell r="W774" t="str">
            <v>-</v>
          </cell>
          <cell r="X774" t="str">
            <v>-</v>
          </cell>
        </row>
        <row r="775">
          <cell r="A775">
            <v>72220767</v>
          </cell>
          <cell r="B775">
            <v>1561</v>
          </cell>
          <cell r="C775" t="str">
            <v>무늬갈돔</v>
          </cell>
          <cell r="D775" t="str">
            <v>B</v>
          </cell>
          <cell r="E775">
            <v>70409156</v>
          </cell>
          <cell r="H775" t="str">
            <v>-</v>
          </cell>
          <cell r="I775" t="str">
            <v>-</v>
          </cell>
          <cell r="K775" t="str">
            <v>-</v>
          </cell>
          <cell r="L775" t="str">
            <v>-</v>
          </cell>
          <cell r="N775" t="str">
            <v>-</v>
          </cell>
          <cell r="O775" t="str">
            <v>-</v>
          </cell>
          <cell r="Q775" t="str">
            <v>-</v>
          </cell>
          <cell r="R775" t="str">
            <v>-</v>
          </cell>
          <cell r="T775" t="str">
            <v>-</v>
          </cell>
          <cell r="U775" t="str">
            <v>-</v>
          </cell>
          <cell r="W775" t="str">
            <v>-</v>
          </cell>
          <cell r="X775" t="str">
            <v>-</v>
          </cell>
        </row>
        <row r="776">
          <cell r="A776">
            <v>72220768</v>
          </cell>
          <cell r="B776">
            <v>1561</v>
          </cell>
          <cell r="C776" t="str">
            <v>별목탁가자미</v>
          </cell>
          <cell r="D776" t="str">
            <v>C</v>
          </cell>
          <cell r="E776">
            <v>70409199</v>
          </cell>
          <cell r="H776" t="str">
            <v>-</v>
          </cell>
          <cell r="I776" t="str">
            <v>-</v>
          </cell>
          <cell r="K776" t="str">
            <v>-</v>
          </cell>
          <cell r="L776" t="str">
            <v>-</v>
          </cell>
          <cell r="N776" t="str">
            <v>-</v>
          </cell>
          <cell r="O776" t="str">
            <v>-</v>
          </cell>
          <cell r="Q776" t="str">
            <v>-</v>
          </cell>
          <cell r="R776" t="str">
            <v>-</v>
          </cell>
          <cell r="T776" t="str">
            <v>-</v>
          </cell>
          <cell r="U776" t="str">
            <v>-</v>
          </cell>
          <cell r="W776" t="str">
            <v>-</v>
          </cell>
          <cell r="X776" t="str">
            <v>-</v>
          </cell>
        </row>
        <row r="777">
          <cell r="A777">
            <v>72220769</v>
          </cell>
          <cell r="B777">
            <v>1561</v>
          </cell>
          <cell r="C777" t="str">
            <v>아귀</v>
          </cell>
          <cell r="D777" t="str">
            <v>C</v>
          </cell>
          <cell r="E777">
            <v>70409272</v>
          </cell>
          <cell r="H777" t="str">
            <v>-</v>
          </cell>
          <cell r="I777" t="str">
            <v>-</v>
          </cell>
          <cell r="K777" t="str">
            <v>-</v>
          </cell>
          <cell r="L777" t="str">
            <v>-</v>
          </cell>
          <cell r="N777" t="str">
            <v>-</v>
          </cell>
          <cell r="O777" t="str">
            <v>-</v>
          </cell>
          <cell r="Q777" t="str">
            <v>-</v>
          </cell>
          <cell r="R777" t="str">
            <v>-</v>
          </cell>
          <cell r="T777" t="str">
            <v>-</v>
          </cell>
          <cell r="U777" t="str">
            <v>-</v>
          </cell>
          <cell r="W777" t="str">
            <v>-</v>
          </cell>
          <cell r="X777" t="str">
            <v>-</v>
          </cell>
        </row>
        <row r="778">
          <cell r="A778">
            <v>72220770</v>
          </cell>
          <cell r="B778">
            <v>1562</v>
          </cell>
          <cell r="C778" t="str">
            <v>표문쥐치</v>
          </cell>
          <cell r="D778" t="str">
            <v>D</v>
          </cell>
          <cell r="E778">
            <v>70409376</v>
          </cell>
          <cell r="H778" t="str">
            <v>-</v>
          </cell>
          <cell r="I778" t="str">
            <v>-</v>
          </cell>
          <cell r="K778" t="str">
            <v>-</v>
          </cell>
          <cell r="L778" t="str">
            <v>-</v>
          </cell>
          <cell r="N778" t="str">
            <v>-</v>
          </cell>
          <cell r="O778" t="str">
            <v>-</v>
          </cell>
          <cell r="Q778" t="str">
            <v>-</v>
          </cell>
          <cell r="R778" t="str">
            <v>-</v>
          </cell>
          <cell r="T778" t="str">
            <v>-</v>
          </cell>
          <cell r="U778" t="str">
            <v>-</v>
          </cell>
          <cell r="W778" t="str">
            <v>-</v>
          </cell>
          <cell r="X778" t="str">
            <v>-</v>
          </cell>
        </row>
        <row r="779">
          <cell r="A779">
            <v>72220771</v>
          </cell>
          <cell r="B779">
            <v>1562</v>
          </cell>
          <cell r="C779" t="str">
            <v>무늬갈돔</v>
          </cell>
          <cell r="D779" t="str">
            <v>B</v>
          </cell>
          <cell r="E779">
            <v>70409156</v>
          </cell>
          <cell r="H779" t="str">
            <v>-</v>
          </cell>
          <cell r="I779" t="str">
            <v>-</v>
          </cell>
          <cell r="K779" t="str">
            <v>-</v>
          </cell>
          <cell r="L779" t="str">
            <v>-</v>
          </cell>
          <cell r="N779" t="str">
            <v>-</v>
          </cell>
          <cell r="O779" t="str">
            <v>-</v>
          </cell>
          <cell r="Q779" t="str">
            <v>-</v>
          </cell>
          <cell r="R779" t="str">
            <v>-</v>
          </cell>
          <cell r="T779" t="str">
            <v>-</v>
          </cell>
          <cell r="U779" t="str">
            <v>-</v>
          </cell>
          <cell r="W779" t="str">
            <v>-</v>
          </cell>
          <cell r="X779" t="str">
            <v>-</v>
          </cell>
        </row>
        <row r="780">
          <cell r="A780">
            <v>72220772</v>
          </cell>
          <cell r="B780">
            <v>1562</v>
          </cell>
          <cell r="C780" t="str">
            <v>별목탁가자미</v>
          </cell>
          <cell r="D780" t="str">
            <v>C</v>
          </cell>
          <cell r="E780">
            <v>70409199</v>
          </cell>
          <cell r="H780" t="str">
            <v>-</v>
          </cell>
          <cell r="I780" t="str">
            <v>-</v>
          </cell>
          <cell r="K780" t="str">
            <v>-</v>
          </cell>
          <cell r="L780" t="str">
            <v>-</v>
          </cell>
          <cell r="N780" t="str">
            <v>-</v>
          </cell>
          <cell r="O780" t="str">
            <v>-</v>
          </cell>
          <cell r="Q780" t="str">
            <v>-</v>
          </cell>
          <cell r="R780" t="str">
            <v>-</v>
          </cell>
          <cell r="T780" t="str">
            <v>-</v>
          </cell>
          <cell r="U780" t="str">
            <v>-</v>
          </cell>
          <cell r="W780" t="str">
            <v>-</v>
          </cell>
          <cell r="X780" t="str">
            <v>-</v>
          </cell>
        </row>
        <row r="781">
          <cell r="A781">
            <v>72220773</v>
          </cell>
          <cell r="B781">
            <v>1562</v>
          </cell>
          <cell r="C781" t="str">
            <v>아귀</v>
          </cell>
          <cell r="D781" t="str">
            <v>C</v>
          </cell>
          <cell r="E781">
            <v>70409272</v>
          </cell>
          <cell r="H781" t="str">
            <v>-</v>
          </cell>
          <cell r="I781" t="str">
            <v>-</v>
          </cell>
          <cell r="K781" t="str">
            <v>-</v>
          </cell>
          <cell r="L781" t="str">
            <v>-</v>
          </cell>
          <cell r="N781" t="str">
            <v>-</v>
          </cell>
          <cell r="O781" t="str">
            <v>-</v>
          </cell>
          <cell r="Q781" t="str">
            <v>-</v>
          </cell>
          <cell r="R781" t="str">
            <v>-</v>
          </cell>
          <cell r="T781" t="str">
            <v>-</v>
          </cell>
          <cell r="U781" t="str">
            <v>-</v>
          </cell>
          <cell r="W781" t="str">
            <v>-</v>
          </cell>
          <cell r="X781" t="str">
            <v>-</v>
          </cell>
        </row>
        <row r="782">
          <cell r="A782">
            <v>72220774</v>
          </cell>
          <cell r="B782">
            <v>1563</v>
          </cell>
          <cell r="C782" t="str">
            <v>표문쥐치</v>
          </cell>
          <cell r="D782" t="str">
            <v>D</v>
          </cell>
          <cell r="E782">
            <v>70409376</v>
          </cell>
          <cell r="H782" t="str">
            <v>-</v>
          </cell>
          <cell r="I782" t="str">
            <v>-</v>
          </cell>
          <cell r="K782" t="str">
            <v>-</v>
          </cell>
          <cell r="L782" t="str">
            <v>-</v>
          </cell>
          <cell r="N782" t="str">
            <v>-</v>
          </cell>
          <cell r="O782" t="str">
            <v>-</v>
          </cell>
          <cell r="Q782" t="str">
            <v>-</v>
          </cell>
          <cell r="R782" t="str">
            <v>-</v>
          </cell>
          <cell r="T782" t="str">
            <v>-</v>
          </cell>
          <cell r="U782" t="str">
            <v>-</v>
          </cell>
          <cell r="W782" t="str">
            <v>-</v>
          </cell>
          <cell r="X782" t="str">
            <v>-</v>
          </cell>
        </row>
        <row r="783">
          <cell r="A783">
            <v>72220775</v>
          </cell>
          <cell r="B783">
            <v>1563</v>
          </cell>
          <cell r="C783" t="str">
            <v>무늬갈돔</v>
          </cell>
          <cell r="D783" t="str">
            <v>B</v>
          </cell>
          <cell r="E783">
            <v>70409156</v>
          </cell>
          <cell r="H783" t="str">
            <v>-</v>
          </cell>
          <cell r="I783" t="str">
            <v>-</v>
          </cell>
          <cell r="K783" t="str">
            <v>-</v>
          </cell>
          <cell r="L783" t="str">
            <v>-</v>
          </cell>
          <cell r="N783" t="str">
            <v>-</v>
          </cell>
          <cell r="O783" t="str">
            <v>-</v>
          </cell>
          <cell r="Q783" t="str">
            <v>-</v>
          </cell>
          <cell r="R783" t="str">
            <v>-</v>
          </cell>
          <cell r="T783" t="str">
            <v>-</v>
          </cell>
          <cell r="U783" t="str">
            <v>-</v>
          </cell>
          <cell r="W783" t="str">
            <v>-</v>
          </cell>
          <cell r="X783" t="str">
            <v>-</v>
          </cell>
        </row>
        <row r="784">
          <cell r="A784">
            <v>72220776</v>
          </cell>
          <cell r="B784">
            <v>1563</v>
          </cell>
          <cell r="C784" t="str">
            <v>별목탁가자미</v>
          </cell>
          <cell r="D784" t="str">
            <v>C</v>
          </cell>
          <cell r="E784">
            <v>70409199</v>
          </cell>
          <cell r="H784" t="str">
            <v>-</v>
          </cell>
          <cell r="I784" t="str">
            <v>-</v>
          </cell>
          <cell r="K784" t="str">
            <v>-</v>
          </cell>
          <cell r="L784" t="str">
            <v>-</v>
          </cell>
          <cell r="N784" t="str">
            <v>-</v>
          </cell>
          <cell r="O784" t="str">
            <v>-</v>
          </cell>
          <cell r="Q784" t="str">
            <v>-</v>
          </cell>
          <cell r="R784" t="str">
            <v>-</v>
          </cell>
          <cell r="T784" t="str">
            <v>-</v>
          </cell>
          <cell r="U784" t="str">
            <v>-</v>
          </cell>
          <cell r="W784" t="str">
            <v>-</v>
          </cell>
          <cell r="X784" t="str">
            <v>-</v>
          </cell>
        </row>
        <row r="785">
          <cell r="A785">
            <v>72220777</v>
          </cell>
          <cell r="B785">
            <v>1563</v>
          </cell>
          <cell r="C785" t="str">
            <v>아귀</v>
          </cell>
          <cell r="D785" t="str">
            <v>C</v>
          </cell>
          <cell r="E785">
            <v>70409272</v>
          </cell>
          <cell r="H785" t="str">
            <v>-</v>
          </cell>
          <cell r="I785" t="str">
            <v>-</v>
          </cell>
          <cell r="K785" t="str">
            <v>-</v>
          </cell>
          <cell r="L785" t="str">
            <v>-</v>
          </cell>
          <cell r="N785" t="str">
            <v>-</v>
          </cell>
          <cell r="O785" t="str">
            <v>-</v>
          </cell>
          <cell r="Q785" t="str">
            <v>-</v>
          </cell>
          <cell r="R785" t="str">
            <v>-</v>
          </cell>
          <cell r="T785" t="str">
            <v>-</v>
          </cell>
          <cell r="U785" t="str">
            <v>-</v>
          </cell>
          <cell r="W785" t="str">
            <v>-</v>
          </cell>
          <cell r="X785" t="str">
            <v>-</v>
          </cell>
        </row>
        <row r="786">
          <cell r="A786">
            <v>72220778</v>
          </cell>
          <cell r="B786">
            <v>1564</v>
          </cell>
          <cell r="C786" t="str">
            <v>표문쥐치</v>
          </cell>
          <cell r="D786" t="str">
            <v>D</v>
          </cell>
          <cell r="E786">
            <v>70409376</v>
          </cell>
          <cell r="H786" t="str">
            <v>-</v>
          </cell>
          <cell r="I786" t="str">
            <v>-</v>
          </cell>
          <cell r="K786" t="str">
            <v>-</v>
          </cell>
          <cell r="L786" t="str">
            <v>-</v>
          </cell>
          <cell r="N786" t="str">
            <v>-</v>
          </cell>
          <cell r="O786" t="str">
            <v>-</v>
          </cell>
          <cell r="Q786" t="str">
            <v>-</v>
          </cell>
          <cell r="R786" t="str">
            <v>-</v>
          </cell>
          <cell r="T786" t="str">
            <v>-</v>
          </cell>
          <cell r="U786" t="str">
            <v>-</v>
          </cell>
          <cell r="W786" t="str">
            <v>-</v>
          </cell>
          <cell r="X786" t="str">
            <v>-</v>
          </cell>
        </row>
        <row r="787">
          <cell r="A787">
            <v>72220779</v>
          </cell>
          <cell r="B787">
            <v>1564</v>
          </cell>
          <cell r="C787" t="str">
            <v>무늬갈돔</v>
          </cell>
          <cell r="D787" t="str">
            <v>B</v>
          </cell>
          <cell r="E787">
            <v>70409156</v>
          </cell>
          <cell r="H787" t="str">
            <v>-</v>
          </cell>
          <cell r="I787" t="str">
            <v>-</v>
          </cell>
          <cell r="K787" t="str">
            <v>-</v>
          </cell>
          <cell r="L787" t="str">
            <v>-</v>
          </cell>
          <cell r="N787" t="str">
            <v>-</v>
          </cell>
          <cell r="O787" t="str">
            <v>-</v>
          </cell>
          <cell r="Q787" t="str">
            <v>-</v>
          </cell>
          <cell r="R787" t="str">
            <v>-</v>
          </cell>
          <cell r="T787" t="str">
            <v>-</v>
          </cell>
          <cell r="U787" t="str">
            <v>-</v>
          </cell>
          <cell r="W787" t="str">
            <v>-</v>
          </cell>
          <cell r="X787" t="str">
            <v>-</v>
          </cell>
        </row>
        <row r="788">
          <cell r="A788">
            <v>72220780</v>
          </cell>
          <cell r="B788">
            <v>1564</v>
          </cell>
          <cell r="C788" t="str">
            <v>별목탁가자미</v>
          </cell>
          <cell r="D788" t="str">
            <v>C</v>
          </cell>
          <cell r="E788">
            <v>70409199</v>
          </cell>
          <cell r="H788" t="str">
            <v>-</v>
          </cell>
          <cell r="I788" t="str">
            <v>-</v>
          </cell>
          <cell r="K788" t="str">
            <v>-</v>
          </cell>
          <cell r="L788" t="str">
            <v>-</v>
          </cell>
          <cell r="N788" t="str">
            <v>-</v>
          </cell>
          <cell r="O788" t="str">
            <v>-</v>
          </cell>
          <cell r="Q788" t="str">
            <v>-</v>
          </cell>
          <cell r="R788" t="str">
            <v>-</v>
          </cell>
          <cell r="T788" t="str">
            <v>-</v>
          </cell>
          <cell r="U788" t="str">
            <v>-</v>
          </cell>
          <cell r="W788" t="str">
            <v>-</v>
          </cell>
          <cell r="X788" t="str">
            <v>-</v>
          </cell>
        </row>
        <row r="789">
          <cell r="A789">
            <v>72220781</v>
          </cell>
          <cell r="B789">
            <v>1564</v>
          </cell>
          <cell r="C789" t="str">
            <v>아귀</v>
          </cell>
          <cell r="D789" t="str">
            <v>C</v>
          </cell>
          <cell r="E789">
            <v>70409272</v>
          </cell>
          <cell r="H789" t="str">
            <v>-</v>
          </cell>
          <cell r="I789" t="str">
            <v>-</v>
          </cell>
          <cell r="K789" t="str">
            <v>-</v>
          </cell>
          <cell r="L789" t="str">
            <v>-</v>
          </cell>
          <cell r="N789" t="str">
            <v>-</v>
          </cell>
          <cell r="O789" t="str">
            <v>-</v>
          </cell>
          <cell r="Q789" t="str">
            <v>-</v>
          </cell>
          <cell r="R789" t="str">
            <v>-</v>
          </cell>
          <cell r="T789" t="str">
            <v>-</v>
          </cell>
          <cell r="U789" t="str">
            <v>-</v>
          </cell>
          <cell r="W789" t="str">
            <v>-</v>
          </cell>
          <cell r="X789" t="str">
            <v>-</v>
          </cell>
        </row>
        <row r="790">
          <cell r="A790">
            <v>72220782</v>
          </cell>
          <cell r="B790">
            <v>1571</v>
          </cell>
          <cell r="C790" t="str">
            <v>아프리카폐어</v>
          </cell>
          <cell r="D790" t="str">
            <v>B</v>
          </cell>
          <cell r="E790">
            <v>70409274</v>
          </cell>
          <cell r="H790" t="str">
            <v>-</v>
          </cell>
          <cell r="I790" t="str">
            <v>-</v>
          </cell>
          <cell r="K790" t="str">
            <v>-</v>
          </cell>
          <cell r="L790" t="str">
            <v>-</v>
          </cell>
          <cell r="N790" t="str">
            <v>-</v>
          </cell>
          <cell r="O790" t="str">
            <v>-</v>
          </cell>
          <cell r="Q790" t="str">
            <v>-</v>
          </cell>
          <cell r="R790" t="str">
            <v>-</v>
          </cell>
          <cell r="T790" t="str">
            <v>-</v>
          </cell>
          <cell r="U790" t="str">
            <v>-</v>
          </cell>
          <cell r="W790" t="str">
            <v>-</v>
          </cell>
          <cell r="X790" t="str">
            <v>-</v>
          </cell>
        </row>
        <row r="791">
          <cell r="A791">
            <v>72220783</v>
          </cell>
          <cell r="B791">
            <v>1571</v>
          </cell>
          <cell r="C791" t="str">
            <v>코끼리주둥이고기</v>
          </cell>
          <cell r="D791" t="str">
            <v>A</v>
          </cell>
          <cell r="E791">
            <v>70409358</v>
          </cell>
          <cell r="H791" t="str">
            <v>-</v>
          </cell>
          <cell r="I791" t="str">
            <v>-</v>
          </cell>
          <cell r="K791" t="str">
            <v>-</v>
          </cell>
          <cell r="L791" t="str">
            <v>-</v>
          </cell>
          <cell r="N791" t="str">
            <v>-</v>
          </cell>
          <cell r="O791" t="str">
            <v>-</v>
          </cell>
          <cell r="Q791" t="str">
            <v>-</v>
          </cell>
          <cell r="R791" t="str">
            <v>-</v>
          </cell>
          <cell r="T791" t="str">
            <v>-</v>
          </cell>
          <cell r="U791" t="str">
            <v>-</v>
          </cell>
          <cell r="W791" t="str">
            <v>-</v>
          </cell>
          <cell r="X791" t="str">
            <v>-</v>
          </cell>
        </row>
        <row r="792">
          <cell r="A792">
            <v>72220784</v>
          </cell>
          <cell r="B792">
            <v>1571</v>
          </cell>
          <cell r="C792" t="str">
            <v>폴립테루스 엔들리케리</v>
          </cell>
          <cell r="D792" t="str">
            <v>A</v>
          </cell>
          <cell r="E792">
            <v>70409288</v>
          </cell>
          <cell r="H792" t="str">
            <v>-</v>
          </cell>
          <cell r="I792" t="str">
            <v>-</v>
          </cell>
          <cell r="K792" t="str">
            <v>-</v>
          </cell>
          <cell r="L792" t="str">
            <v>-</v>
          </cell>
          <cell r="N792" t="str">
            <v>-</v>
          </cell>
          <cell r="O792" t="str">
            <v>-</v>
          </cell>
          <cell r="Q792" t="str">
            <v>-</v>
          </cell>
          <cell r="R792" t="str">
            <v>-</v>
          </cell>
          <cell r="T792" t="str">
            <v>-</v>
          </cell>
          <cell r="U792" t="str">
            <v>-</v>
          </cell>
          <cell r="W792" t="str">
            <v>-</v>
          </cell>
          <cell r="X792" t="str">
            <v>-</v>
          </cell>
        </row>
        <row r="793">
          <cell r="A793">
            <v>72220785</v>
          </cell>
          <cell r="B793">
            <v>1572</v>
          </cell>
          <cell r="C793" t="str">
            <v>아프리카폐어</v>
          </cell>
          <cell r="D793" t="str">
            <v>B</v>
          </cell>
          <cell r="E793">
            <v>70409274</v>
          </cell>
          <cell r="H793" t="str">
            <v>-</v>
          </cell>
          <cell r="I793" t="str">
            <v>-</v>
          </cell>
          <cell r="K793" t="str">
            <v>-</v>
          </cell>
          <cell r="L793" t="str">
            <v>-</v>
          </cell>
          <cell r="N793" t="str">
            <v>-</v>
          </cell>
          <cell r="O793" t="str">
            <v>-</v>
          </cell>
          <cell r="Q793" t="str">
            <v>-</v>
          </cell>
          <cell r="R793" t="str">
            <v>-</v>
          </cell>
          <cell r="T793" t="str">
            <v>-</v>
          </cell>
          <cell r="U793" t="str">
            <v>-</v>
          </cell>
          <cell r="W793" t="str">
            <v>-</v>
          </cell>
          <cell r="X793" t="str">
            <v>-</v>
          </cell>
        </row>
        <row r="794">
          <cell r="A794">
            <v>72220786</v>
          </cell>
          <cell r="B794">
            <v>1572</v>
          </cell>
          <cell r="C794" t="str">
            <v>코끼리주둥이고기</v>
          </cell>
          <cell r="D794" t="str">
            <v>A</v>
          </cell>
          <cell r="E794">
            <v>70409358</v>
          </cell>
          <cell r="H794" t="str">
            <v>-</v>
          </cell>
          <cell r="I794" t="str">
            <v>-</v>
          </cell>
          <cell r="K794" t="str">
            <v>-</v>
          </cell>
          <cell r="L794" t="str">
            <v>-</v>
          </cell>
          <cell r="N794" t="str">
            <v>-</v>
          </cell>
          <cell r="O794" t="str">
            <v>-</v>
          </cell>
          <cell r="Q794" t="str">
            <v>-</v>
          </cell>
          <cell r="R794" t="str">
            <v>-</v>
          </cell>
          <cell r="T794" t="str">
            <v>-</v>
          </cell>
          <cell r="U794" t="str">
            <v>-</v>
          </cell>
          <cell r="W794" t="str">
            <v>-</v>
          </cell>
          <cell r="X794" t="str">
            <v>-</v>
          </cell>
        </row>
        <row r="795">
          <cell r="A795">
            <v>72220787</v>
          </cell>
          <cell r="B795">
            <v>1572</v>
          </cell>
          <cell r="C795" t="str">
            <v>폴립테루스 엔들리케리</v>
          </cell>
          <cell r="D795" t="str">
            <v>A</v>
          </cell>
          <cell r="E795">
            <v>70409288</v>
          </cell>
          <cell r="H795" t="str">
            <v>-</v>
          </cell>
          <cell r="I795" t="str">
            <v>-</v>
          </cell>
          <cell r="K795" t="str">
            <v>-</v>
          </cell>
          <cell r="L795" t="str">
            <v>-</v>
          </cell>
          <cell r="N795" t="str">
            <v>-</v>
          </cell>
          <cell r="O795" t="str">
            <v>-</v>
          </cell>
          <cell r="Q795" t="str">
            <v>-</v>
          </cell>
          <cell r="R795" t="str">
            <v>-</v>
          </cell>
          <cell r="T795" t="str">
            <v>-</v>
          </cell>
          <cell r="U795" t="str">
            <v>-</v>
          </cell>
          <cell r="W795" t="str">
            <v>-</v>
          </cell>
          <cell r="X795" t="str">
            <v>-</v>
          </cell>
        </row>
        <row r="796">
          <cell r="A796">
            <v>72220788</v>
          </cell>
          <cell r="B796">
            <v>1573</v>
          </cell>
          <cell r="C796" t="str">
            <v>아프리카폐어</v>
          </cell>
          <cell r="D796" t="str">
            <v>B</v>
          </cell>
          <cell r="E796">
            <v>70409274</v>
          </cell>
          <cell r="H796" t="str">
            <v>-</v>
          </cell>
          <cell r="I796" t="str">
            <v>-</v>
          </cell>
          <cell r="K796" t="str">
            <v>-</v>
          </cell>
          <cell r="L796" t="str">
            <v>-</v>
          </cell>
          <cell r="N796" t="str">
            <v>-</v>
          </cell>
          <cell r="O796" t="str">
            <v>-</v>
          </cell>
          <cell r="Q796" t="str">
            <v>-</v>
          </cell>
          <cell r="R796" t="str">
            <v>-</v>
          </cell>
          <cell r="T796" t="str">
            <v>-</v>
          </cell>
          <cell r="U796" t="str">
            <v>-</v>
          </cell>
          <cell r="W796" t="str">
            <v>-</v>
          </cell>
          <cell r="X796" t="str">
            <v>-</v>
          </cell>
        </row>
        <row r="797">
          <cell r="A797">
            <v>72220789</v>
          </cell>
          <cell r="B797">
            <v>1573</v>
          </cell>
          <cell r="C797" t="str">
            <v>코끼리주둥이고기</v>
          </cell>
          <cell r="D797" t="str">
            <v>A</v>
          </cell>
          <cell r="E797">
            <v>70409358</v>
          </cell>
          <cell r="H797" t="str">
            <v>-</v>
          </cell>
          <cell r="I797" t="str">
            <v>-</v>
          </cell>
          <cell r="K797" t="str">
            <v>-</v>
          </cell>
          <cell r="L797" t="str">
            <v>-</v>
          </cell>
          <cell r="N797" t="str">
            <v>-</v>
          </cell>
          <cell r="O797" t="str">
            <v>-</v>
          </cell>
          <cell r="Q797" t="str">
            <v>-</v>
          </cell>
          <cell r="R797" t="str">
            <v>-</v>
          </cell>
          <cell r="T797" t="str">
            <v>-</v>
          </cell>
          <cell r="U797" t="str">
            <v>-</v>
          </cell>
          <cell r="W797" t="str">
            <v>-</v>
          </cell>
          <cell r="X797" t="str">
            <v>-</v>
          </cell>
        </row>
        <row r="798">
          <cell r="A798">
            <v>72220790</v>
          </cell>
          <cell r="B798">
            <v>1573</v>
          </cell>
          <cell r="C798" t="str">
            <v>폴립테루스 엔들리케리</v>
          </cell>
          <cell r="D798" t="str">
            <v>A</v>
          </cell>
          <cell r="E798">
            <v>70409288</v>
          </cell>
          <cell r="H798" t="str">
            <v>-</v>
          </cell>
          <cell r="I798" t="str">
            <v>-</v>
          </cell>
          <cell r="K798" t="str">
            <v>-</v>
          </cell>
          <cell r="L798" t="str">
            <v>-</v>
          </cell>
          <cell r="N798" t="str">
            <v>-</v>
          </cell>
          <cell r="O798" t="str">
            <v>-</v>
          </cell>
          <cell r="Q798" t="str">
            <v>-</v>
          </cell>
          <cell r="R798" t="str">
            <v>-</v>
          </cell>
          <cell r="T798" t="str">
            <v>-</v>
          </cell>
          <cell r="U798" t="str">
            <v>-</v>
          </cell>
          <cell r="W798" t="str">
            <v>-</v>
          </cell>
          <cell r="X798" t="str">
            <v>-</v>
          </cell>
        </row>
        <row r="799">
          <cell r="A799">
            <v>72220791</v>
          </cell>
          <cell r="B799">
            <v>1574</v>
          </cell>
          <cell r="C799" t="str">
            <v>아프리카폐어</v>
          </cell>
          <cell r="D799" t="str">
            <v>B</v>
          </cell>
          <cell r="E799">
            <v>70409274</v>
          </cell>
          <cell r="H799" t="str">
            <v>-</v>
          </cell>
          <cell r="I799" t="str">
            <v>-</v>
          </cell>
          <cell r="K799" t="str">
            <v>-</v>
          </cell>
          <cell r="L799" t="str">
            <v>-</v>
          </cell>
          <cell r="N799" t="str">
            <v>-</v>
          </cell>
          <cell r="O799" t="str">
            <v>-</v>
          </cell>
          <cell r="Q799" t="str">
            <v>-</v>
          </cell>
          <cell r="R799" t="str">
            <v>-</v>
          </cell>
          <cell r="T799" t="str">
            <v>-</v>
          </cell>
          <cell r="U799" t="str">
            <v>-</v>
          </cell>
          <cell r="W799" t="str">
            <v>-</v>
          </cell>
          <cell r="X799" t="str">
            <v>-</v>
          </cell>
        </row>
        <row r="800">
          <cell r="A800">
            <v>72220792</v>
          </cell>
          <cell r="B800">
            <v>1574</v>
          </cell>
          <cell r="C800" t="str">
            <v>코끼리주둥이고기</v>
          </cell>
          <cell r="D800" t="str">
            <v>A</v>
          </cell>
          <cell r="E800">
            <v>70409358</v>
          </cell>
          <cell r="H800" t="str">
            <v>-</v>
          </cell>
          <cell r="I800" t="str">
            <v>-</v>
          </cell>
          <cell r="K800" t="str">
            <v>-</v>
          </cell>
          <cell r="L800" t="str">
            <v>-</v>
          </cell>
          <cell r="N800" t="str">
            <v>-</v>
          </cell>
          <cell r="O800" t="str">
            <v>-</v>
          </cell>
          <cell r="Q800" t="str">
            <v>-</v>
          </cell>
          <cell r="R800" t="str">
            <v>-</v>
          </cell>
          <cell r="T800" t="str">
            <v>-</v>
          </cell>
          <cell r="U800" t="str">
            <v>-</v>
          </cell>
          <cell r="W800" t="str">
            <v>-</v>
          </cell>
          <cell r="X800" t="str">
            <v>-</v>
          </cell>
        </row>
        <row r="801">
          <cell r="A801">
            <v>72220793</v>
          </cell>
          <cell r="B801">
            <v>1574</v>
          </cell>
          <cell r="C801" t="str">
            <v>폴립테루스 엔들리케리</v>
          </cell>
          <cell r="D801" t="str">
            <v>A</v>
          </cell>
          <cell r="E801">
            <v>70409288</v>
          </cell>
          <cell r="H801" t="str">
            <v>-</v>
          </cell>
          <cell r="I801" t="str">
            <v>-</v>
          </cell>
          <cell r="K801" t="str">
            <v>-</v>
          </cell>
          <cell r="L801" t="str">
            <v>-</v>
          </cell>
          <cell r="N801" t="str">
            <v>-</v>
          </cell>
          <cell r="O801" t="str">
            <v>-</v>
          </cell>
          <cell r="Q801" t="str">
            <v>-</v>
          </cell>
          <cell r="R801" t="str">
            <v>-</v>
          </cell>
          <cell r="T801" t="str">
            <v>-</v>
          </cell>
          <cell r="U801" t="str">
            <v>-</v>
          </cell>
          <cell r="W801" t="str">
            <v>-</v>
          </cell>
          <cell r="X801" t="str">
            <v>-</v>
          </cell>
        </row>
        <row r="802">
          <cell r="A802">
            <v>72220794</v>
          </cell>
          <cell r="B802">
            <v>1581</v>
          </cell>
          <cell r="C802" t="str">
            <v>두동가리돔</v>
          </cell>
          <cell r="D802" t="str">
            <v>C</v>
          </cell>
          <cell r="E802">
            <v>70409126</v>
          </cell>
          <cell r="H802" t="str">
            <v>-</v>
          </cell>
          <cell r="I802" t="str">
            <v>-</v>
          </cell>
          <cell r="K802" t="str">
            <v>-</v>
          </cell>
          <cell r="L802" t="str">
            <v>-</v>
          </cell>
          <cell r="N802" t="str">
            <v>-</v>
          </cell>
          <cell r="O802" t="str">
            <v>-</v>
          </cell>
          <cell r="Q802" t="str">
            <v>-</v>
          </cell>
          <cell r="R802" t="str">
            <v>-</v>
          </cell>
          <cell r="T802" t="str">
            <v>-</v>
          </cell>
          <cell r="U802" t="str">
            <v>-</v>
          </cell>
          <cell r="W802" t="str">
            <v>-</v>
          </cell>
          <cell r="X802" t="str">
            <v>-</v>
          </cell>
        </row>
        <row r="803">
          <cell r="A803">
            <v>72220795</v>
          </cell>
          <cell r="B803">
            <v>1581</v>
          </cell>
          <cell r="C803" t="str">
            <v>철갑둥어</v>
          </cell>
          <cell r="D803" t="str">
            <v>D</v>
          </cell>
          <cell r="E803">
            <v>70409345</v>
          </cell>
          <cell r="H803" t="str">
            <v>-</v>
          </cell>
          <cell r="I803" t="str">
            <v>-</v>
          </cell>
          <cell r="K803" t="str">
            <v>-</v>
          </cell>
          <cell r="L803" t="str">
            <v>-</v>
          </cell>
          <cell r="N803" t="str">
            <v>-</v>
          </cell>
          <cell r="O803" t="str">
            <v>-</v>
          </cell>
          <cell r="Q803" t="str">
            <v>-</v>
          </cell>
          <cell r="R803" t="str">
            <v>-</v>
          </cell>
          <cell r="T803" t="str">
            <v>-</v>
          </cell>
          <cell r="U803" t="str">
            <v>-</v>
          </cell>
          <cell r="W803" t="str">
            <v>-</v>
          </cell>
          <cell r="X803" t="str">
            <v>-</v>
          </cell>
        </row>
        <row r="804">
          <cell r="A804">
            <v>72220796</v>
          </cell>
          <cell r="B804">
            <v>1581</v>
          </cell>
          <cell r="C804" t="str">
            <v>반딧불게르치</v>
          </cell>
          <cell r="D804" t="str">
            <v>B</v>
          </cell>
          <cell r="E804">
            <v>70409183</v>
          </cell>
          <cell r="H804" t="str">
            <v>-</v>
          </cell>
          <cell r="I804" t="str">
            <v>-</v>
          </cell>
          <cell r="K804" t="str">
            <v>-</v>
          </cell>
          <cell r="L804" t="str">
            <v>-</v>
          </cell>
          <cell r="N804" t="str">
            <v>-</v>
          </cell>
          <cell r="O804" t="str">
            <v>-</v>
          </cell>
          <cell r="Q804" t="str">
            <v>-</v>
          </cell>
          <cell r="R804" t="str">
            <v>-</v>
          </cell>
          <cell r="T804" t="str">
            <v>-</v>
          </cell>
          <cell r="U804" t="str">
            <v>-</v>
          </cell>
          <cell r="W804" t="str">
            <v>-</v>
          </cell>
          <cell r="X804" t="str">
            <v>-</v>
          </cell>
        </row>
        <row r="805">
          <cell r="A805">
            <v>72220797</v>
          </cell>
          <cell r="B805">
            <v>1582</v>
          </cell>
          <cell r="C805" t="str">
            <v>두동가리돔</v>
          </cell>
          <cell r="D805" t="str">
            <v>C</v>
          </cell>
          <cell r="E805">
            <v>70409126</v>
          </cell>
          <cell r="H805" t="str">
            <v>-</v>
          </cell>
          <cell r="I805" t="str">
            <v>-</v>
          </cell>
          <cell r="K805" t="str">
            <v>-</v>
          </cell>
          <cell r="L805" t="str">
            <v>-</v>
          </cell>
          <cell r="N805" t="str">
            <v>-</v>
          </cell>
          <cell r="O805" t="str">
            <v>-</v>
          </cell>
          <cell r="Q805" t="str">
            <v>-</v>
          </cell>
          <cell r="R805" t="str">
            <v>-</v>
          </cell>
          <cell r="T805" t="str">
            <v>-</v>
          </cell>
          <cell r="U805" t="str">
            <v>-</v>
          </cell>
          <cell r="W805" t="str">
            <v>-</v>
          </cell>
          <cell r="X805" t="str">
            <v>-</v>
          </cell>
        </row>
        <row r="806">
          <cell r="A806">
            <v>72220798</v>
          </cell>
          <cell r="B806">
            <v>1582</v>
          </cell>
          <cell r="C806" t="str">
            <v>철갑둥어</v>
          </cell>
          <cell r="D806" t="str">
            <v>D</v>
          </cell>
          <cell r="E806">
            <v>70409345</v>
          </cell>
          <cell r="H806" t="str">
            <v>-</v>
          </cell>
          <cell r="I806" t="str">
            <v>-</v>
          </cell>
          <cell r="K806" t="str">
            <v>-</v>
          </cell>
          <cell r="L806" t="str">
            <v>-</v>
          </cell>
          <cell r="N806" t="str">
            <v>-</v>
          </cell>
          <cell r="O806" t="str">
            <v>-</v>
          </cell>
          <cell r="Q806" t="str">
            <v>-</v>
          </cell>
          <cell r="R806" t="str">
            <v>-</v>
          </cell>
          <cell r="T806" t="str">
            <v>-</v>
          </cell>
          <cell r="U806" t="str">
            <v>-</v>
          </cell>
          <cell r="W806" t="str">
            <v>-</v>
          </cell>
          <cell r="X806" t="str">
            <v>-</v>
          </cell>
        </row>
        <row r="807">
          <cell r="A807">
            <v>72220799</v>
          </cell>
          <cell r="B807">
            <v>1582</v>
          </cell>
          <cell r="C807" t="str">
            <v>반딧불게르치</v>
          </cell>
          <cell r="D807" t="str">
            <v>B</v>
          </cell>
          <cell r="E807">
            <v>70409183</v>
          </cell>
          <cell r="H807" t="str">
            <v>-</v>
          </cell>
          <cell r="I807" t="str">
            <v>-</v>
          </cell>
          <cell r="K807" t="str">
            <v>-</v>
          </cell>
          <cell r="L807" t="str">
            <v>-</v>
          </cell>
          <cell r="N807" t="str">
            <v>-</v>
          </cell>
          <cell r="O807" t="str">
            <v>-</v>
          </cell>
          <cell r="Q807" t="str">
            <v>-</v>
          </cell>
          <cell r="R807" t="str">
            <v>-</v>
          </cell>
          <cell r="T807" t="str">
            <v>-</v>
          </cell>
          <cell r="U807" t="str">
            <v>-</v>
          </cell>
          <cell r="W807" t="str">
            <v>-</v>
          </cell>
          <cell r="X807" t="str">
            <v>-</v>
          </cell>
        </row>
        <row r="808">
          <cell r="A808">
            <v>72220800</v>
          </cell>
          <cell r="B808">
            <v>1583</v>
          </cell>
          <cell r="C808" t="str">
            <v>두동가리돔</v>
          </cell>
          <cell r="D808" t="str">
            <v>C</v>
          </cell>
          <cell r="E808">
            <v>70409126</v>
          </cell>
          <cell r="H808" t="str">
            <v>-</v>
          </cell>
          <cell r="I808" t="str">
            <v>-</v>
          </cell>
          <cell r="K808" t="str">
            <v>-</v>
          </cell>
          <cell r="L808" t="str">
            <v>-</v>
          </cell>
          <cell r="N808" t="str">
            <v>-</v>
          </cell>
          <cell r="O808" t="str">
            <v>-</v>
          </cell>
          <cell r="Q808" t="str">
            <v>-</v>
          </cell>
          <cell r="R808" t="str">
            <v>-</v>
          </cell>
          <cell r="T808" t="str">
            <v>-</v>
          </cell>
          <cell r="U808" t="str">
            <v>-</v>
          </cell>
          <cell r="W808" t="str">
            <v>-</v>
          </cell>
          <cell r="X808" t="str">
            <v>-</v>
          </cell>
        </row>
        <row r="809">
          <cell r="A809">
            <v>72220801</v>
          </cell>
          <cell r="B809">
            <v>1583</v>
          </cell>
          <cell r="C809" t="str">
            <v>철갑둥어</v>
          </cell>
          <cell r="D809" t="str">
            <v>D</v>
          </cell>
          <cell r="E809">
            <v>70409345</v>
          </cell>
          <cell r="H809" t="str">
            <v>-</v>
          </cell>
          <cell r="I809" t="str">
            <v>-</v>
          </cell>
          <cell r="K809" t="str">
            <v>-</v>
          </cell>
          <cell r="L809" t="str">
            <v>-</v>
          </cell>
          <cell r="N809" t="str">
            <v>-</v>
          </cell>
          <cell r="O809" t="str">
            <v>-</v>
          </cell>
          <cell r="Q809" t="str">
            <v>-</v>
          </cell>
          <cell r="R809" t="str">
            <v>-</v>
          </cell>
          <cell r="T809" t="str">
            <v>-</v>
          </cell>
          <cell r="U809" t="str">
            <v>-</v>
          </cell>
          <cell r="W809" t="str">
            <v>-</v>
          </cell>
          <cell r="X809" t="str">
            <v>-</v>
          </cell>
        </row>
        <row r="810">
          <cell r="A810">
            <v>72220802</v>
          </cell>
          <cell r="B810">
            <v>1583</v>
          </cell>
          <cell r="C810" t="str">
            <v>반딧불게르치</v>
          </cell>
          <cell r="D810" t="str">
            <v>B</v>
          </cell>
          <cell r="E810">
            <v>70409183</v>
          </cell>
          <cell r="H810" t="str">
            <v>-</v>
          </cell>
          <cell r="I810" t="str">
            <v>-</v>
          </cell>
          <cell r="K810" t="str">
            <v>-</v>
          </cell>
          <cell r="L810" t="str">
            <v>-</v>
          </cell>
          <cell r="N810" t="str">
            <v>-</v>
          </cell>
          <cell r="O810" t="str">
            <v>-</v>
          </cell>
          <cell r="Q810" t="str">
            <v>-</v>
          </cell>
          <cell r="R810" t="str">
            <v>-</v>
          </cell>
          <cell r="T810" t="str">
            <v>-</v>
          </cell>
          <cell r="U810" t="str">
            <v>-</v>
          </cell>
          <cell r="W810" t="str">
            <v>-</v>
          </cell>
          <cell r="X810" t="str">
            <v>-</v>
          </cell>
        </row>
        <row r="811">
          <cell r="A811">
            <v>72220803</v>
          </cell>
          <cell r="B811">
            <v>1584</v>
          </cell>
          <cell r="C811" t="str">
            <v>두동가리돔</v>
          </cell>
          <cell r="D811" t="str">
            <v>C</v>
          </cell>
          <cell r="E811">
            <v>70409126</v>
          </cell>
          <cell r="H811" t="str">
            <v>-</v>
          </cell>
          <cell r="I811" t="str">
            <v>-</v>
          </cell>
          <cell r="K811" t="str">
            <v>-</v>
          </cell>
          <cell r="L811" t="str">
            <v>-</v>
          </cell>
          <cell r="N811" t="str">
            <v>-</v>
          </cell>
          <cell r="O811" t="str">
            <v>-</v>
          </cell>
          <cell r="Q811" t="str">
            <v>-</v>
          </cell>
          <cell r="R811" t="str">
            <v>-</v>
          </cell>
          <cell r="T811" t="str">
            <v>-</v>
          </cell>
          <cell r="U811" t="str">
            <v>-</v>
          </cell>
          <cell r="W811" t="str">
            <v>-</v>
          </cell>
          <cell r="X811" t="str">
            <v>-</v>
          </cell>
        </row>
        <row r="812">
          <cell r="A812">
            <v>72220804</v>
          </cell>
          <cell r="B812">
            <v>1584</v>
          </cell>
          <cell r="C812" t="str">
            <v>철갑둥어</v>
          </cell>
          <cell r="D812" t="str">
            <v>D</v>
          </cell>
          <cell r="E812">
            <v>70409345</v>
          </cell>
          <cell r="H812" t="str">
            <v>-</v>
          </cell>
          <cell r="I812" t="str">
            <v>-</v>
          </cell>
          <cell r="K812" t="str">
            <v>-</v>
          </cell>
          <cell r="L812" t="str">
            <v>-</v>
          </cell>
          <cell r="N812" t="str">
            <v>-</v>
          </cell>
          <cell r="O812" t="str">
            <v>-</v>
          </cell>
          <cell r="Q812" t="str">
            <v>-</v>
          </cell>
          <cell r="R812" t="str">
            <v>-</v>
          </cell>
          <cell r="T812" t="str">
            <v>-</v>
          </cell>
          <cell r="U812" t="str">
            <v>-</v>
          </cell>
          <cell r="W812" t="str">
            <v>-</v>
          </cell>
          <cell r="X812" t="str">
            <v>-</v>
          </cell>
        </row>
        <row r="813">
          <cell r="A813">
            <v>72220805</v>
          </cell>
          <cell r="B813">
            <v>1584</v>
          </cell>
          <cell r="C813" t="str">
            <v>반딧불게르치</v>
          </cell>
          <cell r="D813" t="str">
            <v>B</v>
          </cell>
          <cell r="E813">
            <v>70409183</v>
          </cell>
          <cell r="H813" t="str">
            <v>-</v>
          </cell>
          <cell r="I813" t="str">
            <v>-</v>
          </cell>
          <cell r="K813" t="str">
            <v>-</v>
          </cell>
          <cell r="L813" t="str">
            <v>-</v>
          </cell>
          <cell r="N813" t="str">
            <v>-</v>
          </cell>
          <cell r="O813" t="str">
            <v>-</v>
          </cell>
          <cell r="Q813" t="str">
            <v>-</v>
          </cell>
          <cell r="R813" t="str">
            <v>-</v>
          </cell>
          <cell r="T813" t="str">
            <v>-</v>
          </cell>
          <cell r="U813" t="str">
            <v>-</v>
          </cell>
          <cell r="W813" t="str">
            <v>-</v>
          </cell>
          <cell r="X813" t="str">
            <v>-</v>
          </cell>
        </row>
        <row r="814">
          <cell r="A814">
            <v>72220806</v>
          </cell>
          <cell r="B814">
            <v>1591</v>
          </cell>
          <cell r="C814" t="str">
            <v>나일아로와나</v>
          </cell>
          <cell r="D814" t="str">
            <v>B</v>
          </cell>
          <cell r="E814">
            <v>70409063</v>
          </cell>
          <cell r="H814" t="str">
            <v>-</v>
          </cell>
          <cell r="I814" t="str">
            <v>-</v>
          </cell>
          <cell r="K814" t="str">
            <v>-</v>
          </cell>
          <cell r="L814" t="str">
            <v>-</v>
          </cell>
          <cell r="N814" t="str">
            <v>-</v>
          </cell>
          <cell r="O814" t="str">
            <v>-</v>
          </cell>
          <cell r="Q814" t="str">
            <v>-</v>
          </cell>
          <cell r="R814" t="str">
            <v>-</v>
          </cell>
          <cell r="T814" t="str">
            <v>-</v>
          </cell>
          <cell r="U814" t="str">
            <v>-</v>
          </cell>
          <cell r="W814" t="str">
            <v>-</v>
          </cell>
          <cell r="X814" t="str">
            <v>-</v>
          </cell>
        </row>
        <row r="815">
          <cell r="A815">
            <v>72220807</v>
          </cell>
          <cell r="B815">
            <v>1591</v>
          </cell>
          <cell r="C815" t="str">
            <v>나일퍼치</v>
          </cell>
          <cell r="D815" t="str">
            <v>A</v>
          </cell>
          <cell r="E815">
            <v>70409064</v>
          </cell>
          <cell r="H815" t="str">
            <v>-</v>
          </cell>
          <cell r="I815" t="str">
            <v>-</v>
          </cell>
          <cell r="K815" t="str">
            <v>-</v>
          </cell>
          <cell r="L815" t="str">
            <v>-</v>
          </cell>
          <cell r="N815" t="str">
            <v>-</v>
          </cell>
          <cell r="O815" t="str">
            <v>-</v>
          </cell>
          <cell r="Q815" t="str">
            <v>-</v>
          </cell>
          <cell r="R815" t="str">
            <v>-</v>
          </cell>
          <cell r="T815" t="str">
            <v>-</v>
          </cell>
          <cell r="U815" t="str">
            <v>-</v>
          </cell>
          <cell r="W815" t="str">
            <v>-</v>
          </cell>
          <cell r="X815" t="str">
            <v>-</v>
          </cell>
        </row>
        <row r="816">
          <cell r="A816">
            <v>72220808</v>
          </cell>
          <cell r="B816">
            <v>1591</v>
          </cell>
          <cell r="C816" t="str">
            <v>전기메기</v>
          </cell>
          <cell r="D816" t="str">
            <v>B</v>
          </cell>
          <cell r="E816">
            <v>70409312</v>
          </cell>
          <cell r="H816" t="str">
            <v>-</v>
          </cell>
          <cell r="I816" t="str">
            <v>-</v>
          </cell>
          <cell r="K816" t="str">
            <v>-</v>
          </cell>
          <cell r="L816" t="str">
            <v>-</v>
          </cell>
          <cell r="N816" t="str">
            <v>-</v>
          </cell>
          <cell r="O816" t="str">
            <v>-</v>
          </cell>
          <cell r="Q816" t="str">
            <v>-</v>
          </cell>
          <cell r="R816" t="str">
            <v>-</v>
          </cell>
          <cell r="T816" t="str">
            <v>-</v>
          </cell>
          <cell r="U816" t="str">
            <v>-</v>
          </cell>
          <cell r="W816" t="str">
            <v>-</v>
          </cell>
          <cell r="X816" t="str">
            <v>-</v>
          </cell>
        </row>
        <row r="817">
          <cell r="A817">
            <v>72220809</v>
          </cell>
          <cell r="B817">
            <v>1592</v>
          </cell>
          <cell r="C817" t="str">
            <v>나일아로와나</v>
          </cell>
          <cell r="D817" t="str">
            <v>B</v>
          </cell>
          <cell r="E817">
            <v>70409063</v>
          </cell>
          <cell r="H817" t="str">
            <v>-</v>
          </cell>
          <cell r="I817" t="str">
            <v>-</v>
          </cell>
          <cell r="K817" t="str">
            <v>-</v>
          </cell>
          <cell r="L817" t="str">
            <v>-</v>
          </cell>
          <cell r="N817" t="str">
            <v>-</v>
          </cell>
          <cell r="O817" t="str">
            <v>-</v>
          </cell>
          <cell r="Q817" t="str">
            <v>-</v>
          </cell>
          <cell r="R817" t="str">
            <v>-</v>
          </cell>
          <cell r="T817" t="str">
            <v>-</v>
          </cell>
          <cell r="U817" t="str">
            <v>-</v>
          </cell>
          <cell r="W817" t="str">
            <v>-</v>
          </cell>
          <cell r="X817" t="str">
            <v>-</v>
          </cell>
        </row>
        <row r="818">
          <cell r="A818">
            <v>72220810</v>
          </cell>
          <cell r="B818">
            <v>1592</v>
          </cell>
          <cell r="C818" t="str">
            <v>나일퍼치</v>
          </cell>
          <cell r="D818" t="str">
            <v>A</v>
          </cell>
          <cell r="E818">
            <v>70409064</v>
          </cell>
          <cell r="H818" t="str">
            <v>-</v>
          </cell>
          <cell r="I818" t="str">
            <v>-</v>
          </cell>
          <cell r="K818" t="str">
            <v>-</v>
          </cell>
          <cell r="L818" t="str">
            <v>-</v>
          </cell>
          <cell r="N818" t="str">
            <v>-</v>
          </cell>
          <cell r="O818" t="str">
            <v>-</v>
          </cell>
          <cell r="Q818" t="str">
            <v>-</v>
          </cell>
          <cell r="R818" t="str">
            <v>-</v>
          </cell>
          <cell r="T818" t="str">
            <v>-</v>
          </cell>
          <cell r="U818" t="str">
            <v>-</v>
          </cell>
          <cell r="W818" t="str">
            <v>-</v>
          </cell>
          <cell r="X818" t="str">
            <v>-</v>
          </cell>
        </row>
        <row r="819">
          <cell r="A819">
            <v>72220811</v>
          </cell>
          <cell r="B819">
            <v>1592</v>
          </cell>
          <cell r="C819" t="str">
            <v>전기메기</v>
          </cell>
          <cell r="D819" t="str">
            <v>B</v>
          </cell>
          <cell r="E819">
            <v>70409312</v>
          </cell>
          <cell r="H819" t="str">
            <v>-</v>
          </cell>
          <cell r="I819" t="str">
            <v>-</v>
          </cell>
          <cell r="K819" t="str">
            <v>-</v>
          </cell>
          <cell r="L819" t="str">
            <v>-</v>
          </cell>
          <cell r="N819" t="str">
            <v>-</v>
          </cell>
          <cell r="O819" t="str">
            <v>-</v>
          </cell>
          <cell r="Q819" t="str">
            <v>-</v>
          </cell>
          <cell r="R819" t="str">
            <v>-</v>
          </cell>
          <cell r="T819" t="str">
            <v>-</v>
          </cell>
          <cell r="U819" t="str">
            <v>-</v>
          </cell>
          <cell r="W819" t="str">
            <v>-</v>
          </cell>
          <cell r="X819" t="str">
            <v>-</v>
          </cell>
        </row>
        <row r="820">
          <cell r="A820">
            <v>72220812</v>
          </cell>
          <cell r="B820">
            <v>1593</v>
          </cell>
          <cell r="C820" t="str">
            <v>나일아로와나</v>
          </cell>
          <cell r="D820" t="str">
            <v>B</v>
          </cell>
          <cell r="E820">
            <v>70409063</v>
          </cell>
          <cell r="H820" t="str">
            <v>-</v>
          </cell>
          <cell r="I820" t="str">
            <v>-</v>
          </cell>
          <cell r="K820" t="str">
            <v>-</v>
          </cell>
          <cell r="L820" t="str">
            <v>-</v>
          </cell>
          <cell r="N820" t="str">
            <v>-</v>
          </cell>
          <cell r="O820" t="str">
            <v>-</v>
          </cell>
          <cell r="Q820" t="str">
            <v>-</v>
          </cell>
          <cell r="R820" t="str">
            <v>-</v>
          </cell>
          <cell r="T820" t="str">
            <v>-</v>
          </cell>
          <cell r="U820" t="str">
            <v>-</v>
          </cell>
          <cell r="W820" t="str">
            <v>-</v>
          </cell>
          <cell r="X820" t="str">
            <v>-</v>
          </cell>
        </row>
        <row r="821">
          <cell r="A821">
            <v>72220813</v>
          </cell>
          <cell r="B821">
            <v>1593</v>
          </cell>
          <cell r="C821" t="str">
            <v>나일퍼치</v>
          </cell>
          <cell r="D821" t="str">
            <v>A</v>
          </cell>
          <cell r="E821">
            <v>70409064</v>
          </cell>
          <cell r="H821" t="str">
            <v>-</v>
          </cell>
          <cell r="I821" t="str">
            <v>-</v>
          </cell>
          <cell r="K821" t="str">
            <v>-</v>
          </cell>
          <cell r="L821" t="str">
            <v>-</v>
          </cell>
          <cell r="N821" t="str">
            <v>-</v>
          </cell>
          <cell r="O821" t="str">
            <v>-</v>
          </cell>
          <cell r="Q821" t="str">
            <v>-</v>
          </cell>
          <cell r="R821" t="str">
            <v>-</v>
          </cell>
          <cell r="T821" t="str">
            <v>-</v>
          </cell>
          <cell r="U821" t="str">
            <v>-</v>
          </cell>
          <cell r="W821" t="str">
            <v>-</v>
          </cell>
          <cell r="X821" t="str">
            <v>-</v>
          </cell>
        </row>
        <row r="822">
          <cell r="A822">
            <v>72220814</v>
          </cell>
          <cell r="B822">
            <v>1593</v>
          </cell>
          <cell r="C822" t="str">
            <v>전기메기</v>
          </cell>
          <cell r="D822" t="str">
            <v>B</v>
          </cell>
          <cell r="E822">
            <v>70409312</v>
          </cell>
          <cell r="H822" t="str">
            <v>-</v>
          </cell>
          <cell r="I822" t="str">
            <v>-</v>
          </cell>
          <cell r="K822" t="str">
            <v>-</v>
          </cell>
          <cell r="L822" t="str">
            <v>-</v>
          </cell>
          <cell r="N822" t="str">
            <v>-</v>
          </cell>
          <cell r="O822" t="str">
            <v>-</v>
          </cell>
          <cell r="Q822" t="str">
            <v>-</v>
          </cell>
          <cell r="R822" t="str">
            <v>-</v>
          </cell>
          <cell r="T822" t="str">
            <v>-</v>
          </cell>
          <cell r="U822" t="str">
            <v>-</v>
          </cell>
          <cell r="W822" t="str">
            <v>-</v>
          </cell>
          <cell r="X822" t="str">
            <v>-</v>
          </cell>
        </row>
        <row r="823">
          <cell r="A823">
            <v>72220815</v>
          </cell>
          <cell r="B823">
            <v>1594</v>
          </cell>
          <cell r="C823" t="str">
            <v>나일아로와나</v>
          </cell>
          <cell r="D823" t="str">
            <v>B</v>
          </cell>
          <cell r="E823">
            <v>70409063</v>
          </cell>
          <cell r="H823" t="str">
            <v>-</v>
          </cell>
          <cell r="I823" t="str">
            <v>-</v>
          </cell>
          <cell r="K823" t="str">
            <v>-</v>
          </cell>
          <cell r="L823" t="str">
            <v>-</v>
          </cell>
          <cell r="N823" t="str">
            <v>-</v>
          </cell>
          <cell r="O823" t="str">
            <v>-</v>
          </cell>
          <cell r="Q823" t="str">
            <v>-</v>
          </cell>
          <cell r="R823" t="str">
            <v>-</v>
          </cell>
          <cell r="T823" t="str">
            <v>-</v>
          </cell>
          <cell r="U823" t="str">
            <v>-</v>
          </cell>
          <cell r="W823" t="str">
            <v>-</v>
          </cell>
          <cell r="X823" t="str">
            <v>-</v>
          </cell>
        </row>
        <row r="824">
          <cell r="A824">
            <v>72220816</v>
          </cell>
          <cell r="B824">
            <v>1594</v>
          </cell>
          <cell r="C824" t="str">
            <v>나일퍼치</v>
          </cell>
          <cell r="D824" t="str">
            <v>A</v>
          </cell>
          <cell r="E824">
            <v>70409064</v>
          </cell>
          <cell r="H824" t="str">
            <v>-</v>
          </cell>
          <cell r="I824" t="str">
            <v>-</v>
          </cell>
          <cell r="K824" t="str">
            <v>-</v>
          </cell>
          <cell r="L824" t="str">
            <v>-</v>
          </cell>
          <cell r="N824" t="str">
            <v>-</v>
          </cell>
          <cell r="O824" t="str">
            <v>-</v>
          </cell>
          <cell r="Q824" t="str">
            <v>-</v>
          </cell>
          <cell r="R824" t="str">
            <v>-</v>
          </cell>
          <cell r="T824" t="str">
            <v>-</v>
          </cell>
          <cell r="U824" t="str">
            <v>-</v>
          </cell>
          <cell r="W824" t="str">
            <v>-</v>
          </cell>
          <cell r="X824" t="str">
            <v>-</v>
          </cell>
        </row>
        <row r="825">
          <cell r="A825">
            <v>72220817</v>
          </cell>
          <cell r="B825">
            <v>1594</v>
          </cell>
          <cell r="C825" t="str">
            <v>전기메기</v>
          </cell>
          <cell r="D825" t="str">
            <v>B</v>
          </cell>
          <cell r="E825">
            <v>70409312</v>
          </cell>
          <cell r="H825" t="str">
            <v>-</v>
          </cell>
          <cell r="I825" t="str">
            <v>-</v>
          </cell>
          <cell r="K825" t="str">
            <v>-</v>
          </cell>
          <cell r="L825" t="str">
            <v>-</v>
          </cell>
          <cell r="N825" t="str">
            <v>-</v>
          </cell>
          <cell r="O825" t="str">
            <v>-</v>
          </cell>
          <cell r="Q825" t="str">
            <v>-</v>
          </cell>
          <cell r="R825" t="str">
            <v>-</v>
          </cell>
          <cell r="T825" t="str">
            <v>-</v>
          </cell>
          <cell r="U825" t="str">
            <v>-</v>
          </cell>
          <cell r="W825" t="str">
            <v>-</v>
          </cell>
          <cell r="X825" t="str">
            <v>-</v>
          </cell>
        </row>
        <row r="826">
          <cell r="A826">
            <v>72220818</v>
          </cell>
          <cell r="B826">
            <v>1601</v>
          </cell>
          <cell r="C826" t="str">
            <v>흑나비조개</v>
          </cell>
          <cell r="D826" t="str">
            <v>A</v>
          </cell>
          <cell r="E826">
            <v>70409408</v>
          </cell>
          <cell r="H826" t="str">
            <v>-</v>
          </cell>
          <cell r="I826" t="str">
            <v>-</v>
          </cell>
          <cell r="K826" t="str">
            <v>-</v>
          </cell>
          <cell r="L826" t="str">
            <v>-</v>
          </cell>
          <cell r="N826" t="str">
            <v>-</v>
          </cell>
          <cell r="O826" t="str">
            <v>-</v>
          </cell>
          <cell r="Q826" t="str">
            <v>-</v>
          </cell>
          <cell r="R826" t="str">
            <v>-</v>
          </cell>
          <cell r="T826" t="str">
            <v>-</v>
          </cell>
          <cell r="U826" t="str">
            <v>-</v>
          </cell>
          <cell r="W826" t="str">
            <v>-</v>
          </cell>
          <cell r="X826" t="str">
            <v>-</v>
          </cell>
        </row>
        <row r="827">
          <cell r="A827">
            <v>72220819</v>
          </cell>
          <cell r="B827">
            <v>1601</v>
          </cell>
          <cell r="C827" t="str">
            <v>선홍치</v>
          </cell>
          <cell r="D827" t="str">
            <v>B</v>
          </cell>
          <cell r="E827">
            <v>70409253</v>
          </cell>
          <cell r="H827" t="str">
            <v>-</v>
          </cell>
          <cell r="I827" t="str">
            <v>-</v>
          </cell>
          <cell r="K827" t="str">
            <v>-</v>
          </cell>
          <cell r="L827" t="str">
            <v>-</v>
          </cell>
          <cell r="N827" t="str">
            <v>-</v>
          </cell>
          <cell r="O827" t="str">
            <v>-</v>
          </cell>
          <cell r="Q827" t="str">
            <v>-</v>
          </cell>
          <cell r="R827" t="str">
            <v>-</v>
          </cell>
          <cell r="T827" t="str">
            <v>-</v>
          </cell>
          <cell r="U827" t="str">
            <v>-</v>
          </cell>
          <cell r="W827" t="str">
            <v>-</v>
          </cell>
          <cell r="X827" t="str">
            <v>-</v>
          </cell>
        </row>
        <row r="828">
          <cell r="A828">
            <v>72220820</v>
          </cell>
          <cell r="B828">
            <v>1601</v>
          </cell>
          <cell r="C828" t="str">
            <v>백미돔</v>
          </cell>
          <cell r="D828" t="str">
            <v>A</v>
          </cell>
          <cell r="E828">
            <v>70409189</v>
          </cell>
          <cell r="H828" t="str">
            <v>-</v>
          </cell>
          <cell r="I828" t="str">
            <v>-</v>
          </cell>
          <cell r="K828" t="str">
            <v>-</v>
          </cell>
          <cell r="L828" t="str">
            <v>-</v>
          </cell>
          <cell r="N828" t="str">
            <v>-</v>
          </cell>
          <cell r="O828" t="str">
            <v>-</v>
          </cell>
          <cell r="Q828" t="str">
            <v>-</v>
          </cell>
          <cell r="R828" t="str">
            <v>-</v>
          </cell>
          <cell r="T828" t="str">
            <v>-</v>
          </cell>
          <cell r="U828" t="str">
            <v>-</v>
          </cell>
          <cell r="W828" t="str">
            <v>-</v>
          </cell>
          <cell r="X828" t="str">
            <v>-</v>
          </cell>
        </row>
        <row r="829">
          <cell r="A829">
            <v>72220821</v>
          </cell>
          <cell r="B829">
            <v>1601</v>
          </cell>
          <cell r="C829" t="str">
            <v>청돔</v>
          </cell>
          <cell r="D829" t="str">
            <v>C</v>
          </cell>
          <cell r="E829">
            <v>70409347</v>
          </cell>
          <cell r="H829" t="str">
            <v>-</v>
          </cell>
          <cell r="I829" t="str">
            <v>-</v>
          </cell>
          <cell r="K829" t="str">
            <v>-</v>
          </cell>
          <cell r="L829" t="str">
            <v>-</v>
          </cell>
          <cell r="N829" t="str">
            <v>-</v>
          </cell>
          <cell r="O829" t="str">
            <v>-</v>
          </cell>
          <cell r="Q829" t="str">
            <v>-</v>
          </cell>
          <cell r="R829" t="str">
            <v>-</v>
          </cell>
          <cell r="T829" t="str">
            <v>-</v>
          </cell>
          <cell r="U829" t="str">
            <v>-</v>
          </cell>
          <cell r="W829" t="str">
            <v>-</v>
          </cell>
          <cell r="X829" t="str">
            <v>-</v>
          </cell>
        </row>
        <row r="830">
          <cell r="A830">
            <v>72220822</v>
          </cell>
          <cell r="B830">
            <v>1601</v>
          </cell>
          <cell r="C830" t="str">
            <v>게레치</v>
          </cell>
          <cell r="D830" t="str">
            <v>B</v>
          </cell>
          <cell r="E830">
            <v>70409028</v>
          </cell>
          <cell r="H830" t="str">
            <v>-</v>
          </cell>
          <cell r="I830" t="str">
            <v>-</v>
          </cell>
          <cell r="K830" t="str">
            <v>-</v>
          </cell>
          <cell r="L830" t="str">
            <v>-</v>
          </cell>
          <cell r="N830" t="str">
            <v>-</v>
          </cell>
          <cell r="O830" t="str">
            <v>-</v>
          </cell>
          <cell r="Q830" t="str">
            <v>-</v>
          </cell>
          <cell r="R830" t="str">
            <v>-</v>
          </cell>
          <cell r="T830" t="str">
            <v>-</v>
          </cell>
          <cell r="U830" t="str">
            <v>-</v>
          </cell>
          <cell r="W830" t="str">
            <v>-</v>
          </cell>
          <cell r="X830" t="str">
            <v>-</v>
          </cell>
        </row>
        <row r="831">
          <cell r="A831">
            <v>72220823</v>
          </cell>
          <cell r="B831">
            <v>1602</v>
          </cell>
          <cell r="C831" t="str">
            <v>흑나비조개</v>
          </cell>
          <cell r="D831" t="str">
            <v>A</v>
          </cell>
          <cell r="E831">
            <v>70409408</v>
          </cell>
          <cell r="H831" t="str">
            <v>-</v>
          </cell>
          <cell r="I831" t="str">
            <v>-</v>
          </cell>
          <cell r="K831" t="str">
            <v>-</v>
          </cell>
          <cell r="L831" t="str">
            <v>-</v>
          </cell>
          <cell r="N831" t="str">
            <v>-</v>
          </cell>
          <cell r="O831" t="str">
            <v>-</v>
          </cell>
          <cell r="Q831" t="str">
            <v>-</v>
          </cell>
          <cell r="R831" t="str">
            <v>-</v>
          </cell>
          <cell r="T831" t="str">
            <v>-</v>
          </cell>
          <cell r="U831" t="str">
            <v>-</v>
          </cell>
          <cell r="W831" t="str">
            <v>-</v>
          </cell>
          <cell r="X831" t="str">
            <v>-</v>
          </cell>
        </row>
        <row r="832">
          <cell r="A832">
            <v>72220824</v>
          </cell>
          <cell r="B832">
            <v>1602</v>
          </cell>
          <cell r="C832" t="str">
            <v>선홍치</v>
          </cell>
          <cell r="D832" t="str">
            <v>B</v>
          </cell>
          <cell r="E832">
            <v>70409253</v>
          </cell>
          <cell r="H832" t="str">
            <v>-</v>
          </cell>
          <cell r="I832" t="str">
            <v>-</v>
          </cell>
          <cell r="K832" t="str">
            <v>-</v>
          </cell>
          <cell r="L832" t="str">
            <v>-</v>
          </cell>
          <cell r="N832" t="str">
            <v>-</v>
          </cell>
          <cell r="O832" t="str">
            <v>-</v>
          </cell>
          <cell r="Q832" t="str">
            <v>-</v>
          </cell>
          <cell r="R832" t="str">
            <v>-</v>
          </cell>
          <cell r="T832" t="str">
            <v>-</v>
          </cell>
          <cell r="U832" t="str">
            <v>-</v>
          </cell>
          <cell r="W832" t="str">
            <v>-</v>
          </cell>
          <cell r="X832" t="str">
            <v>-</v>
          </cell>
        </row>
        <row r="833">
          <cell r="A833">
            <v>72220825</v>
          </cell>
          <cell r="B833">
            <v>1602</v>
          </cell>
          <cell r="C833" t="str">
            <v>백미돔</v>
          </cell>
          <cell r="D833" t="str">
            <v>A</v>
          </cell>
          <cell r="E833">
            <v>70409189</v>
          </cell>
          <cell r="H833" t="str">
            <v>-</v>
          </cell>
          <cell r="I833" t="str">
            <v>-</v>
          </cell>
          <cell r="K833" t="str">
            <v>-</v>
          </cell>
          <cell r="L833" t="str">
            <v>-</v>
          </cell>
          <cell r="N833" t="str">
            <v>-</v>
          </cell>
          <cell r="O833" t="str">
            <v>-</v>
          </cell>
          <cell r="Q833" t="str">
            <v>-</v>
          </cell>
          <cell r="R833" t="str">
            <v>-</v>
          </cell>
          <cell r="T833" t="str">
            <v>-</v>
          </cell>
          <cell r="U833" t="str">
            <v>-</v>
          </cell>
          <cell r="W833" t="str">
            <v>-</v>
          </cell>
          <cell r="X833" t="str">
            <v>-</v>
          </cell>
        </row>
        <row r="834">
          <cell r="A834">
            <v>72220826</v>
          </cell>
          <cell r="B834">
            <v>1602</v>
          </cell>
          <cell r="C834" t="str">
            <v>청돔</v>
          </cell>
          <cell r="D834" t="str">
            <v>C</v>
          </cell>
          <cell r="E834">
            <v>70409347</v>
          </cell>
          <cell r="H834" t="str">
            <v>-</v>
          </cell>
          <cell r="I834" t="str">
            <v>-</v>
          </cell>
          <cell r="K834" t="str">
            <v>-</v>
          </cell>
          <cell r="L834" t="str">
            <v>-</v>
          </cell>
          <cell r="N834" t="str">
            <v>-</v>
          </cell>
          <cell r="O834" t="str">
            <v>-</v>
          </cell>
          <cell r="Q834" t="str">
            <v>-</v>
          </cell>
          <cell r="R834" t="str">
            <v>-</v>
          </cell>
          <cell r="T834" t="str">
            <v>-</v>
          </cell>
          <cell r="U834" t="str">
            <v>-</v>
          </cell>
          <cell r="W834" t="str">
            <v>-</v>
          </cell>
          <cell r="X834" t="str">
            <v>-</v>
          </cell>
        </row>
        <row r="835">
          <cell r="A835">
            <v>72220827</v>
          </cell>
          <cell r="B835">
            <v>1602</v>
          </cell>
          <cell r="C835" t="str">
            <v>게레치</v>
          </cell>
          <cell r="D835" t="str">
            <v>B</v>
          </cell>
          <cell r="E835">
            <v>70409028</v>
          </cell>
          <cell r="H835" t="str">
            <v>-</v>
          </cell>
          <cell r="I835" t="str">
            <v>-</v>
          </cell>
          <cell r="K835" t="str">
            <v>-</v>
          </cell>
          <cell r="L835" t="str">
            <v>-</v>
          </cell>
          <cell r="N835" t="str">
            <v>-</v>
          </cell>
          <cell r="O835" t="str">
            <v>-</v>
          </cell>
          <cell r="Q835" t="str">
            <v>-</v>
          </cell>
          <cell r="R835" t="str">
            <v>-</v>
          </cell>
          <cell r="T835" t="str">
            <v>-</v>
          </cell>
          <cell r="U835" t="str">
            <v>-</v>
          </cell>
          <cell r="W835" t="str">
            <v>-</v>
          </cell>
          <cell r="X835" t="str">
            <v>-</v>
          </cell>
        </row>
        <row r="836">
          <cell r="A836">
            <v>72220828</v>
          </cell>
          <cell r="B836">
            <v>1603</v>
          </cell>
          <cell r="C836" t="str">
            <v>흑나비조개</v>
          </cell>
          <cell r="D836" t="str">
            <v>A</v>
          </cell>
          <cell r="E836">
            <v>70409408</v>
          </cell>
          <cell r="H836" t="str">
            <v>-</v>
          </cell>
          <cell r="I836" t="str">
            <v>-</v>
          </cell>
          <cell r="K836" t="str">
            <v>-</v>
          </cell>
          <cell r="L836" t="str">
            <v>-</v>
          </cell>
          <cell r="N836" t="str">
            <v>-</v>
          </cell>
          <cell r="O836" t="str">
            <v>-</v>
          </cell>
          <cell r="Q836" t="str">
            <v>-</v>
          </cell>
          <cell r="R836" t="str">
            <v>-</v>
          </cell>
          <cell r="T836" t="str">
            <v>-</v>
          </cell>
          <cell r="U836" t="str">
            <v>-</v>
          </cell>
          <cell r="W836" t="str">
            <v>-</v>
          </cell>
          <cell r="X836" t="str">
            <v>-</v>
          </cell>
        </row>
        <row r="837">
          <cell r="A837">
            <v>72220829</v>
          </cell>
          <cell r="B837">
            <v>1603</v>
          </cell>
          <cell r="C837" t="str">
            <v>선홍치</v>
          </cell>
          <cell r="D837" t="str">
            <v>B</v>
          </cell>
          <cell r="E837">
            <v>70409253</v>
          </cell>
          <cell r="H837" t="str">
            <v>-</v>
          </cell>
          <cell r="I837" t="str">
            <v>-</v>
          </cell>
          <cell r="K837" t="str">
            <v>-</v>
          </cell>
          <cell r="L837" t="str">
            <v>-</v>
          </cell>
          <cell r="N837" t="str">
            <v>-</v>
          </cell>
          <cell r="O837" t="str">
            <v>-</v>
          </cell>
          <cell r="Q837" t="str">
            <v>-</v>
          </cell>
          <cell r="R837" t="str">
            <v>-</v>
          </cell>
          <cell r="T837" t="str">
            <v>-</v>
          </cell>
          <cell r="U837" t="str">
            <v>-</v>
          </cell>
          <cell r="W837" t="str">
            <v>-</v>
          </cell>
          <cell r="X837" t="str">
            <v>-</v>
          </cell>
        </row>
        <row r="838">
          <cell r="A838">
            <v>72220830</v>
          </cell>
          <cell r="B838">
            <v>1603</v>
          </cell>
          <cell r="C838" t="str">
            <v>백미돔</v>
          </cell>
          <cell r="D838" t="str">
            <v>A</v>
          </cell>
          <cell r="E838">
            <v>70409189</v>
          </cell>
          <cell r="H838" t="str">
            <v>-</v>
          </cell>
          <cell r="I838" t="str">
            <v>-</v>
          </cell>
          <cell r="K838" t="str">
            <v>-</v>
          </cell>
          <cell r="L838" t="str">
            <v>-</v>
          </cell>
          <cell r="N838" t="str">
            <v>-</v>
          </cell>
          <cell r="O838" t="str">
            <v>-</v>
          </cell>
          <cell r="Q838" t="str">
            <v>-</v>
          </cell>
          <cell r="R838" t="str">
            <v>-</v>
          </cell>
          <cell r="T838" t="str">
            <v>-</v>
          </cell>
          <cell r="U838" t="str">
            <v>-</v>
          </cell>
          <cell r="W838" t="str">
            <v>-</v>
          </cell>
          <cell r="X838" t="str">
            <v>-</v>
          </cell>
        </row>
        <row r="839">
          <cell r="A839">
            <v>72220831</v>
          </cell>
          <cell r="B839">
            <v>1603</v>
          </cell>
          <cell r="C839" t="str">
            <v>청돔</v>
          </cell>
          <cell r="D839" t="str">
            <v>C</v>
          </cell>
          <cell r="E839">
            <v>70409347</v>
          </cell>
          <cell r="H839" t="str">
            <v>-</v>
          </cell>
          <cell r="I839" t="str">
            <v>-</v>
          </cell>
          <cell r="K839" t="str">
            <v>-</v>
          </cell>
          <cell r="L839" t="str">
            <v>-</v>
          </cell>
          <cell r="N839" t="str">
            <v>-</v>
          </cell>
          <cell r="O839" t="str">
            <v>-</v>
          </cell>
          <cell r="Q839" t="str">
            <v>-</v>
          </cell>
          <cell r="R839" t="str">
            <v>-</v>
          </cell>
          <cell r="T839" t="str">
            <v>-</v>
          </cell>
          <cell r="U839" t="str">
            <v>-</v>
          </cell>
          <cell r="W839" t="str">
            <v>-</v>
          </cell>
          <cell r="X839" t="str">
            <v>-</v>
          </cell>
        </row>
        <row r="840">
          <cell r="A840">
            <v>72220832</v>
          </cell>
          <cell r="B840">
            <v>1603</v>
          </cell>
          <cell r="C840" t="str">
            <v>게레치</v>
          </cell>
          <cell r="D840" t="str">
            <v>B</v>
          </cell>
          <cell r="E840">
            <v>70409028</v>
          </cell>
          <cell r="H840" t="str">
            <v>-</v>
          </cell>
          <cell r="I840" t="str">
            <v>-</v>
          </cell>
          <cell r="K840" t="str">
            <v>-</v>
          </cell>
          <cell r="L840" t="str">
            <v>-</v>
          </cell>
          <cell r="N840" t="str">
            <v>-</v>
          </cell>
          <cell r="O840" t="str">
            <v>-</v>
          </cell>
          <cell r="Q840" t="str">
            <v>-</v>
          </cell>
          <cell r="R840" t="str">
            <v>-</v>
          </cell>
          <cell r="T840" t="str">
            <v>-</v>
          </cell>
          <cell r="U840" t="str">
            <v>-</v>
          </cell>
          <cell r="W840" t="str">
            <v>-</v>
          </cell>
          <cell r="X840" t="str">
            <v>-</v>
          </cell>
        </row>
        <row r="841">
          <cell r="A841">
            <v>72220833</v>
          </cell>
          <cell r="B841">
            <v>1604</v>
          </cell>
          <cell r="C841" t="str">
            <v>흑나비조개</v>
          </cell>
          <cell r="D841" t="str">
            <v>A</v>
          </cell>
          <cell r="E841">
            <v>70409408</v>
          </cell>
          <cell r="H841" t="str">
            <v>-</v>
          </cell>
          <cell r="I841" t="str">
            <v>-</v>
          </cell>
          <cell r="K841" t="str">
            <v>-</v>
          </cell>
          <cell r="L841" t="str">
            <v>-</v>
          </cell>
          <cell r="N841" t="str">
            <v>-</v>
          </cell>
          <cell r="O841" t="str">
            <v>-</v>
          </cell>
          <cell r="Q841" t="str">
            <v>-</v>
          </cell>
          <cell r="R841" t="str">
            <v>-</v>
          </cell>
          <cell r="T841" t="str">
            <v>-</v>
          </cell>
          <cell r="U841" t="str">
            <v>-</v>
          </cell>
          <cell r="W841" t="str">
            <v>-</v>
          </cell>
          <cell r="X841" t="str">
            <v>-</v>
          </cell>
        </row>
        <row r="842">
          <cell r="A842">
            <v>72220834</v>
          </cell>
          <cell r="B842">
            <v>1604</v>
          </cell>
          <cell r="C842" t="str">
            <v>선홍치</v>
          </cell>
          <cell r="D842" t="str">
            <v>B</v>
          </cell>
          <cell r="E842">
            <v>70409253</v>
          </cell>
          <cell r="H842" t="str">
            <v>-</v>
          </cell>
          <cell r="I842" t="str">
            <v>-</v>
          </cell>
          <cell r="K842" t="str">
            <v>-</v>
          </cell>
          <cell r="L842" t="str">
            <v>-</v>
          </cell>
          <cell r="N842" t="str">
            <v>-</v>
          </cell>
          <cell r="O842" t="str">
            <v>-</v>
          </cell>
          <cell r="Q842" t="str">
            <v>-</v>
          </cell>
          <cell r="R842" t="str">
            <v>-</v>
          </cell>
          <cell r="T842" t="str">
            <v>-</v>
          </cell>
          <cell r="U842" t="str">
            <v>-</v>
          </cell>
          <cell r="W842" t="str">
            <v>-</v>
          </cell>
          <cell r="X842" t="str">
            <v>-</v>
          </cell>
        </row>
        <row r="843">
          <cell r="A843">
            <v>72220835</v>
          </cell>
          <cell r="B843">
            <v>1604</v>
          </cell>
          <cell r="C843" t="str">
            <v>백미돔</v>
          </cell>
          <cell r="D843" t="str">
            <v>A</v>
          </cell>
          <cell r="E843">
            <v>70409189</v>
          </cell>
          <cell r="H843" t="str">
            <v>-</v>
          </cell>
          <cell r="I843" t="str">
            <v>-</v>
          </cell>
          <cell r="K843" t="str">
            <v>-</v>
          </cell>
          <cell r="L843" t="str">
            <v>-</v>
          </cell>
          <cell r="N843" t="str">
            <v>-</v>
          </cell>
          <cell r="O843" t="str">
            <v>-</v>
          </cell>
          <cell r="Q843" t="str">
            <v>-</v>
          </cell>
          <cell r="R843" t="str">
            <v>-</v>
          </cell>
          <cell r="T843" t="str">
            <v>-</v>
          </cell>
          <cell r="U843" t="str">
            <v>-</v>
          </cell>
          <cell r="W843" t="str">
            <v>-</v>
          </cell>
          <cell r="X843" t="str">
            <v>-</v>
          </cell>
        </row>
        <row r="844">
          <cell r="A844">
            <v>72220836</v>
          </cell>
          <cell r="B844">
            <v>1604</v>
          </cell>
          <cell r="C844" t="str">
            <v>청돔</v>
          </cell>
          <cell r="D844" t="str">
            <v>C</v>
          </cell>
          <cell r="E844">
            <v>70409347</v>
          </cell>
          <cell r="H844" t="str">
            <v>-</v>
          </cell>
          <cell r="I844" t="str">
            <v>-</v>
          </cell>
          <cell r="K844" t="str">
            <v>-</v>
          </cell>
          <cell r="L844" t="str">
            <v>-</v>
          </cell>
          <cell r="N844" t="str">
            <v>-</v>
          </cell>
          <cell r="O844" t="str">
            <v>-</v>
          </cell>
          <cell r="Q844" t="str">
            <v>-</v>
          </cell>
          <cell r="R844" t="str">
            <v>-</v>
          </cell>
          <cell r="T844" t="str">
            <v>-</v>
          </cell>
          <cell r="U844" t="str">
            <v>-</v>
          </cell>
          <cell r="W844" t="str">
            <v>-</v>
          </cell>
          <cell r="X844" t="str">
            <v>-</v>
          </cell>
        </row>
        <row r="845">
          <cell r="A845">
            <v>72220837</v>
          </cell>
          <cell r="B845">
            <v>1604</v>
          </cell>
          <cell r="C845" t="str">
            <v>게레치</v>
          </cell>
          <cell r="D845" t="str">
            <v>B</v>
          </cell>
          <cell r="E845">
            <v>70409028</v>
          </cell>
          <cell r="H845" t="str">
            <v>-</v>
          </cell>
          <cell r="I845" t="str">
            <v>-</v>
          </cell>
          <cell r="K845" t="str">
            <v>-</v>
          </cell>
          <cell r="L845" t="str">
            <v>-</v>
          </cell>
          <cell r="N845" t="str">
            <v>-</v>
          </cell>
          <cell r="O845" t="str">
            <v>-</v>
          </cell>
          <cell r="Q845" t="str">
            <v>-</v>
          </cell>
          <cell r="R845" t="str">
            <v>-</v>
          </cell>
          <cell r="T845" t="str">
            <v>-</v>
          </cell>
          <cell r="U845" t="str">
            <v>-</v>
          </cell>
          <cell r="W845" t="str">
            <v>-</v>
          </cell>
          <cell r="X845" t="str">
            <v>-</v>
          </cell>
        </row>
        <row r="846">
          <cell r="A846">
            <v>72220838</v>
          </cell>
          <cell r="B846">
            <v>1611</v>
          </cell>
          <cell r="C846" t="str">
            <v>환도상어</v>
          </cell>
          <cell r="D846" t="str">
            <v>D</v>
          </cell>
          <cell r="E846">
            <v>70409397</v>
          </cell>
          <cell r="H846" t="str">
            <v>-</v>
          </cell>
          <cell r="I846" t="str">
            <v>-</v>
          </cell>
          <cell r="K846" t="str">
            <v>-</v>
          </cell>
          <cell r="L846" t="str">
            <v>-</v>
          </cell>
          <cell r="N846" t="str">
            <v>-</v>
          </cell>
          <cell r="O846" t="str">
            <v>-</v>
          </cell>
          <cell r="Q846" t="str">
            <v>-</v>
          </cell>
          <cell r="R846" t="str">
            <v>-</v>
          </cell>
          <cell r="T846" t="str">
            <v>-</v>
          </cell>
          <cell r="U846" t="str">
            <v>-</v>
          </cell>
          <cell r="W846" t="str">
            <v>-</v>
          </cell>
          <cell r="X846" t="str">
            <v>-</v>
          </cell>
        </row>
        <row r="847">
          <cell r="A847">
            <v>72220839</v>
          </cell>
          <cell r="B847">
            <v>1611</v>
          </cell>
          <cell r="C847" t="str">
            <v>병어</v>
          </cell>
          <cell r="D847" t="str">
            <v>B</v>
          </cell>
          <cell r="E847">
            <v>70409204</v>
          </cell>
          <cell r="H847" t="str">
            <v>-</v>
          </cell>
          <cell r="I847" t="str">
            <v>-</v>
          </cell>
          <cell r="K847" t="str">
            <v>-</v>
          </cell>
          <cell r="L847" t="str">
            <v>-</v>
          </cell>
          <cell r="N847" t="str">
            <v>-</v>
          </cell>
          <cell r="O847" t="str">
            <v>-</v>
          </cell>
          <cell r="Q847" t="str">
            <v>-</v>
          </cell>
          <cell r="R847" t="str">
            <v>-</v>
          </cell>
          <cell r="T847" t="str">
            <v>-</v>
          </cell>
          <cell r="U847" t="str">
            <v>-</v>
          </cell>
          <cell r="W847" t="str">
            <v>-</v>
          </cell>
          <cell r="X847" t="str">
            <v>-</v>
          </cell>
        </row>
        <row r="848">
          <cell r="A848">
            <v>72220840</v>
          </cell>
          <cell r="B848">
            <v>1611</v>
          </cell>
          <cell r="C848" t="str">
            <v>아구상어</v>
          </cell>
          <cell r="D848" t="str">
            <v>D</v>
          </cell>
          <cell r="E848">
            <v>70409271</v>
          </cell>
          <cell r="H848" t="str">
            <v>-</v>
          </cell>
          <cell r="I848" t="str">
            <v>-</v>
          </cell>
          <cell r="K848" t="str">
            <v>-</v>
          </cell>
          <cell r="L848" t="str">
            <v>-</v>
          </cell>
          <cell r="N848" t="str">
            <v>-</v>
          </cell>
          <cell r="O848" t="str">
            <v>-</v>
          </cell>
          <cell r="Q848" t="str">
            <v>-</v>
          </cell>
          <cell r="R848" t="str">
            <v>-</v>
          </cell>
          <cell r="T848" t="str">
            <v>-</v>
          </cell>
          <cell r="U848" t="str">
            <v>-</v>
          </cell>
          <cell r="W848" t="str">
            <v>-</v>
          </cell>
          <cell r="X848" t="str">
            <v>-</v>
          </cell>
        </row>
        <row r="849">
          <cell r="A849">
            <v>72220841</v>
          </cell>
          <cell r="B849">
            <v>1611</v>
          </cell>
          <cell r="C849" t="str">
            <v>칠성상어</v>
          </cell>
          <cell r="D849" t="str">
            <v>S</v>
          </cell>
          <cell r="E849">
            <v>70409356</v>
          </cell>
          <cell r="H849" t="str">
            <v>-</v>
          </cell>
          <cell r="I849" t="str">
            <v>-</v>
          </cell>
          <cell r="K849" t="str">
            <v>-</v>
          </cell>
          <cell r="L849" t="str">
            <v>-</v>
          </cell>
          <cell r="N849" t="str">
            <v>-</v>
          </cell>
          <cell r="O849" t="str">
            <v>-</v>
          </cell>
          <cell r="Q849" t="str">
            <v>-</v>
          </cell>
          <cell r="R849" t="str">
            <v>-</v>
          </cell>
          <cell r="T849" t="str">
            <v>-</v>
          </cell>
          <cell r="U849" t="str">
            <v>-</v>
          </cell>
          <cell r="W849" t="str">
            <v>-</v>
          </cell>
          <cell r="X849" t="str">
            <v>-</v>
          </cell>
        </row>
        <row r="850">
          <cell r="A850">
            <v>72220842</v>
          </cell>
          <cell r="B850">
            <v>1611</v>
          </cell>
          <cell r="C850" t="str">
            <v>매퉁이</v>
          </cell>
          <cell r="D850" t="str">
            <v>B</v>
          </cell>
          <cell r="E850">
            <v>70409144</v>
          </cell>
          <cell r="H850" t="str">
            <v>-</v>
          </cell>
          <cell r="I850" t="str">
            <v>-</v>
          </cell>
          <cell r="K850" t="str">
            <v>-</v>
          </cell>
          <cell r="L850" t="str">
            <v>-</v>
          </cell>
          <cell r="N850" t="str">
            <v>-</v>
          </cell>
          <cell r="O850" t="str">
            <v>-</v>
          </cell>
          <cell r="Q850" t="str">
            <v>-</v>
          </cell>
          <cell r="R850" t="str">
            <v>-</v>
          </cell>
          <cell r="T850" t="str">
            <v>-</v>
          </cell>
          <cell r="U850" t="str">
            <v>-</v>
          </cell>
          <cell r="W850" t="str">
            <v>-</v>
          </cell>
          <cell r="X850" t="str">
            <v>-</v>
          </cell>
        </row>
        <row r="851">
          <cell r="A851">
            <v>72220843</v>
          </cell>
          <cell r="B851">
            <v>1612</v>
          </cell>
          <cell r="C851" t="str">
            <v>환도상어</v>
          </cell>
          <cell r="D851" t="str">
            <v>D</v>
          </cell>
          <cell r="E851">
            <v>70409397</v>
          </cell>
          <cell r="H851" t="str">
            <v>-</v>
          </cell>
          <cell r="I851" t="str">
            <v>-</v>
          </cell>
          <cell r="K851" t="str">
            <v>-</v>
          </cell>
          <cell r="L851" t="str">
            <v>-</v>
          </cell>
          <cell r="N851" t="str">
            <v>-</v>
          </cell>
          <cell r="O851" t="str">
            <v>-</v>
          </cell>
          <cell r="Q851" t="str">
            <v>-</v>
          </cell>
          <cell r="R851" t="str">
            <v>-</v>
          </cell>
          <cell r="T851" t="str">
            <v>-</v>
          </cell>
          <cell r="U851" t="str">
            <v>-</v>
          </cell>
          <cell r="W851" t="str">
            <v>-</v>
          </cell>
          <cell r="X851" t="str">
            <v>-</v>
          </cell>
        </row>
        <row r="852">
          <cell r="A852">
            <v>72220844</v>
          </cell>
          <cell r="B852">
            <v>1612</v>
          </cell>
          <cell r="C852" t="str">
            <v>병어</v>
          </cell>
          <cell r="D852" t="str">
            <v>B</v>
          </cell>
          <cell r="E852">
            <v>70409204</v>
          </cell>
          <cell r="H852" t="str">
            <v>-</v>
          </cell>
          <cell r="I852" t="str">
            <v>-</v>
          </cell>
          <cell r="K852" t="str">
            <v>-</v>
          </cell>
          <cell r="L852" t="str">
            <v>-</v>
          </cell>
          <cell r="N852" t="str">
            <v>-</v>
          </cell>
          <cell r="O852" t="str">
            <v>-</v>
          </cell>
          <cell r="Q852" t="str">
            <v>-</v>
          </cell>
          <cell r="R852" t="str">
            <v>-</v>
          </cell>
          <cell r="T852" t="str">
            <v>-</v>
          </cell>
          <cell r="U852" t="str">
            <v>-</v>
          </cell>
          <cell r="W852" t="str">
            <v>-</v>
          </cell>
          <cell r="X852" t="str">
            <v>-</v>
          </cell>
        </row>
        <row r="853">
          <cell r="A853">
            <v>72220845</v>
          </cell>
          <cell r="B853">
            <v>1612</v>
          </cell>
          <cell r="C853" t="str">
            <v>아구상어</v>
          </cell>
          <cell r="D853" t="str">
            <v>D</v>
          </cell>
          <cell r="E853">
            <v>70409271</v>
          </cell>
          <cell r="H853" t="str">
            <v>-</v>
          </cell>
          <cell r="I853" t="str">
            <v>-</v>
          </cell>
          <cell r="K853" t="str">
            <v>-</v>
          </cell>
          <cell r="L853" t="str">
            <v>-</v>
          </cell>
          <cell r="N853" t="str">
            <v>-</v>
          </cell>
          <cell r="O853" t="str">
            <v>-</v>
          </cell>
          <cell r="Q853" t="str">
            <v>-</v>
          </cell>
          <cell r="R853" t="str">
            <v>-</v>
          </cell>
          <cell r="T853" t="str">
            <v>-</v>
          </cell>
          <cell r="U853" t="str">
            <v>-</v>
          </cell>
          <cell r="W853" t="str">
            <v>-</v>
          </cell>
          <cell r="X853" t="str">
            <v>-</v>
          </cell>
        </row>
        <row r="854">
          <cell r="A854">
            <v>72220846</v>
          </cell>
          <cell r="B854">
            <v>1612</v>
          </cell>
          <cell r="C854" t="str">
            <v>칠성상어</v>
          </cell>
          <cell r="D854" t="str">
            <v>S</v>
          </cell>
          <cell r="E854">
            <v>70409356</v>
          </cell>
          <cell r="H854" t="str">
            <v>-</v>
          </cell>
          <cell r="I854" t="str">
            <v>-</v>
          </cell>
          <cell r="K854" t="str">
            <v>-</v>
          </cell>
          <cell r="L854" t="str">
            <v>-</v>
          </cell>
          <cell r="N854" t="str">
            <v>-</v>
          </cell>
          <cell r="O854" t="str">
            <v>-</v>
          </cell>
          <cell r="Q854" t="str">
            <v>-</v>
          </cell>
          <cell r="R854" t="str">
            <v>-</v>
          </cell>
          <cell r="T854" t="str">
            <v>-</v>
          </cell>
          <cell r="U854" t="str">
            <v>-</v>
          </cell>
          <cell r="W854" t="str">
            <v>-</v>
          </cell>
          <cell r="X854" t="str">
            <v>-</v>
          </cell>
        </row>
        <row r="855">
          <cell r="A855">
            <v>72220847</v>
          </cell>
          <cell r="B855">
            <v>1612</v>
          </cell>
          <cell r="C855" t="str">
            <v>매퉁이</v>
          </cell>
          <cell r="D855" t="str">
            <v>B</v>
          </cell>
          <cell r="E855">
            <v>70409144</v>
          </cell>
          <cell r="H855" t="str">
            <v>-</v>
          </cell>
          <cell r="I855" t="str">
            <v>-</v>
          </cell>
          <cell r="K855" t="str">
            <v>-</v>
          </cell>
          <cell r="L855" t="str">
            <v>-</v>
          </cell>
          <cell r="N855" t="str">
            <v>-</v>
          </cell>
          <cell r="O855" t="str">
            <v>-</v>
          </cell>
          <cell r="Q855" t="str">
            <v>-</v>
          </cell>
          <cell r="R855" t="str">
            <v>-</v>
          </cell>
          <cell r="T855" t="str">
            <v>-</v>
          </cell>
          <cell r="U855" t="str">
            <v>-</v>
          </cell>
          <cell r="W855" t="str">
            <v>-</v>
          </cell>
          <cell r="X855" t="str">
            <v>-</v>
          </cell>
        </row>
        <row r="856">
          <cell r="A856">
            <v>72220848</v>
          </cell>
          <cell r="B856">
            <v>1613</v>
          </cell>
          <cell r="C856" t="str">
            <v>환도상어</v>
          </cell>
          <cell r="D856" t="str">
            <v>D</v>
          </cell>
          <cell r="E856">
            <v>70409397</v>
          </cell>
          <cell r="H856" t="str">
            <v>-</v>
          </cell>
          <cell r="I856" t="str">
            <v>-</v>
          </cell>
          <cell r="K856" t="str">
            <v>-</v>
          </cell>
          <cell r="L856" t="str">
            <v>-</v>
          </cell>
          <cell r="N856" t="str">
            <v>-</v>
          </cell>
          <cell r="O856" t="str">
            <v>-</v>
          </cell>
          <cell r="Q856" t="str">
            <v>-</v>
          </cell>
          <cell r="R856" t="str">
            <v>-</v>
          </cell>
          <cell r="T856" t="str">
            <v>-</v>
          </cell>
          <cell r="U856" t="str">
            <v>-</v>
          </cell>
          <cell r="W856" t="str">
            <v>-</v>
          </cell>
          <cell r="X856" t="str">
            <v>-</v>
          </cell>
        </row>
        <row r="857">
          <cell r="A857">
            <v>72220849</v>
          </cell>
          <cell r="B857">
            <v>1613</v>
          </cell>
          <cell r="C857" t="str">
            <v>병어</v>
          </cell>
          <cell r="D857" t="str">
            <v>B</v>
          </cell>
          <cell r="E857">
            <v>70409204</v>
          </cell>
          <cell r="H857" t="str">
            <v>-</v>
          </cell>
          <cell r="I857" t="str">
            <v>-</v>
          </cell>
          <cell r="K857" t="str">
            <v>-</v>
          </cell>
          <cell r="L857" t="str">
            <v>-</v>
          </cell>
          <cell r="N857" t="str">
            <v>-</v>
          </cell>
          <cell r="O857" t="str">
            <v>-</v>
          </cell>
          <cell r="Q857" t="str">
            <v>-</v>
          </cell>
          <cell r="R857" t="str">
            <v>-</v>
          </cell>
          <cell r="T857" t="str">
            <v>-</v>
          </cell>
          <cell r="U857" t="str">
            <v>-</v>
          </cell>
          <cell r="W857" t="str">
            <v>-</v>
          </cell>
          <cell r="X857" t="str">
            <v>-</v>
          </cell>
        </row>
        <row r="858">
          <cell r="A858">
            <v>72220850</v>
          </cell>
          <cell r="B858">
            <v>1613</v>
          </cell>
          <cell r="C858" t="str">
            <v>아구상어</v>
          </cell>
          <cell r="D858" t="str">
            <v>D</v>
          </cell>
          <cell r="E858">
            <v>70409271</v>
          </cell>
          <cell r="H858" t="str">
            <v>-</v>
          </cell>
          <cell r="I858" t="str">
            <v>-</v>
          </cell>
          <cell r="K858" t="str">
            <v>-</v>
          </cell>
          <cell r="L858" t="str">
            <v>-</v>
          </cell>
          <cell r="N858" t="str">
            <v>-</v>
          </cell>
          <cell r="O858" t="str">
            <v>-</v>
          </cell>
          <cell r="Q858" t="str">
            <v>-</v>
          </cell>
          <cell r="R858" t="str">
            <v>-</v>
          </cell>
          <cell r="T858" t="str">
            <v>-</v>
          </cell>
          <cell r="U858" t="str">
            <v>-</v>
          </cell>
          <cell r="W858" t="str">
            <v>-</v>
          </cell>
          <cell r="X858" t="str">
            <v>-</v>
          </cell>
        </row>
        <row r="859">
          <cell r="A859">
            <v>72220851</v>
          </cell>
          <cell r="B859">
            <v>1613</v>
          </cell>
          <cell r="C859" t="str">
            <v>칠성상어</v>
          </cell>
          <cell r="D859" t="str">
            <v>S</v>
          </cell>
          <cell r="E859">
            <v>70409356</v>
          </cell>
          <cell r="H859" t="str">
            <v>-</v>
          </cell>
          <cell r="I859" t="str">
            <v>-</v>
          </cell>
          <cell r="K859" t="str">
            <v>-</v>
          </cell>
          <cell r="L859" t="str">
            <v>-</v>
          </cell>
          <cell r="N859" t="str">
            <v>-</v>
          </cell>
          <cell r="O859" t="str">
            <v>-</v>
          </cell>
          <cell r="Q859" t="str">
            <v>-</v>
          </cell>
          <cell r="R859" t="str">
            <v>-</v>
          </cell>
          <cell r="T859" t="str">
            <v>-</v>
          </cell>
          <cell r="U859" t="str">
            <v>-</v>
          </cell>
          <cell r="W859" t="str">
            <v>-</v>
          </cell>
          <cell r="X859" t="str">
            <v>-</v>
          </cell>
        </row>
        <row r="860">
          <cell r="A860">
            <v>72220852</v>
          </cell>
          <cell r="B860">
            <v>1613</v>
          </cell>
          <cell r="C860" t="str">
            <v>매퉁이</v>
          </cell>
          <cell r="D860" t="str">
            <v>B</v>
          </cell>
          <cell r="E860">
            <v>70409144</v>
          </cell>
          <cell r="H860" t="str">
            <v>-</v>
          </cell>
          <cell r="I860" t="str">
            <v>-</v>
          </cell>
          <cell r="K860" t="str">
            <v>-</v>
          </cell>
          <cell r="L860" t="str">
            <v>-</v>
          </cell>
          <cell r="N860" t="str">
            <v>-</v>
          </cell>
          <cell r="O860" t="str">
            <v>-</v>
          </cell>
          <cell r="Q860" t="str">
            <v>-</v>
          </cell>
          <cell r="R860" t="str">
            <v>-</v>
          </cell>
          <cell r="T860" t="str">
            <v>-</v>
          </cell>
          <cell r="U860" t="str">
            <v>-</v>
          </cell>
          <cell r="W860" t="str">
            <v>-</v>
          </cell>
          <cell r="X860" t="str">
            <v>-</v>
          </cell>
        </row>
        <row r="861">
          <cell r="A861">
            <v>72220853</v>
          </cell>
          <cell r="B861">
            <v>1614</v>
          </cell>
          <cell r="C861" t="str">
            <v>환도상어</v>
          </cell>
          <cell r="D861" t="str">
            <v>D</v>
          </cell>
          <cell r="E861">
            <v>70409397</v>
          </cell>
          <cell r="H861" t="str">
            <v>-</v>
          </cell>
          <cell r="I861" t="str">
            <v>-</v>
          </cell>
          <cell r="K861" t="str">
            <v>-</v>
          </cell>
          <cell r="L861" t="str">
            <v>-</v>
          </cell>
          <cell r="N861" t="str">
            <v>-</v>
          </cell>
          <cell r="O861" t="str">
            <v>-</v>
          </cell>
          <cell r="Q861" t="str">
            <v>-</v>
          </cell>
          <cell r="R861" t="str">
            <v>-</v>
          </cell>
          <cell r="T861" t="str">
            <v>-</v>
          </cell>
          <cell r="U861" t="str">
            <v>-</v>
          </cell>
          <cell r="W861" t="str">
            <v>-</v>
          </cell>
          <cell r="X861" t="str">
            <v>-</v>
          </cell>
        </row>
        <row r="862">
          <cell r="A862">
            <v>72220854</v>
          </cell>
          <cell r="B862">
            <v>1614</v>
          </cell>
          <cell r="C862" t="str">
            <v>병어</v>
          </cell>
          <cell r="D862" t="str">
            <v>B</v>
          </cell>
          <cell r="E862">
            <v>70409204</v>
          </cell>
          <cell r="H862" t="str">
            <v>-</v>
          </cell>
          <cell r="I862" t="str">
            <v>-</v>
          </cell>
          <cell r="K862" t="str">
            <v>-</v>
          </cell>
          <cell r="L862" t="str">
            <v>-</v>
          </cell>
          <cell r="N862" t="str">
            <v>-</v>
          </cell>
          <cell r="O862" t="str">
            <v>-</v>
          </cell>
          <cell r="Q862" t="str">
            <v>-</v>
          </cell>
          <cell r="R862" t="str">
            <v>-</v>
          </cell>
          <cell r="T862" t="str">
            <v>-</v>
          </cell>
          <cell r="U862" t="str">
            <v>-</v>
          </cell>
          <cell r="W862" t="str">
            <v>-</v>
          </cell>
          <cell r="X862" t="str">
            <v>-</v>
          </cell>
        </row>
        <row r="863">
          <cell r="A863">
            <v>72220855</v>
          </cell>
          <cell r="B863">
            <v>1614</v>
          </cell>
          <cell r="C863" t="str">
            <v>아구상어</v>
          </cell>
          <cell r="D863" t="str">
            <v>D</v>
          </cell>
          <cell r="E863">
            <v>70409271</v>
          </cell>
          <cell r="H863" t="str">
            <v>-</v>
          </cell>
          <cell r="I863" t="str">
            <v>-</v>
          </cell>
          <cell r="K863" t="str">
            <v>-</v>
          </cell>
          <cell r="L863" t="str">
            <v>-</v>
          </cell>
          <cell r="N863" t="str">
            <v>-</v>
          </cell>
          <cell r="O863" t="str">
            <v>-</v>
          </cell>
          <cell r="Q863" t="str">
            <v>-</v>
          </cell>
          <cell r="R863" t="str">
            <v>-</v>
          </cell>
          <cell r="T863" t="str">
            <v>-</v>
          </cell>
          <cell r="U863" t="str">
            <v>-</v>
          </cell>
          <cell r="W863" t="str">
            <v>-</v>
          </cell>
          <cell r="X863" t="str">
            <v>-</v>
          </cell>
        </row>
        <row r="864">
          <cell r="A864">
            <v>72220856</v>
          </cell>
          <cell r="B864">
            <v>1614</v>
          </cell>
          <cell r="C864" t="str">
            <v>칠성상어</v>
          </cell>
          <cell r="D864" t="str">
            <v>S</v>
          </cell>
          <cell r="E864">
            <v>70409356</v>
          </cell>
          <cell r="H864" t="str">
            <v>-</v>
          </cell>
          <cell r="I864" t="str">
            <v>-</v>
          </cell>
          <cell r="K864" t="str">
            <v>-</v>
          </cell>
          <cell r="L864" t="str">
            <v>-</v>
          </cell>
          <cell r="N864" t="str">
            <v>-</v>
          </cell>
          <cell r="O864" t="str">
            <v>-</v>
          </cell>
          <cell r="Q864" t="str">
            <v>-</v>
          </cell>
          <cell r="R864" t="str">
            <v>-</v>
          </cell>
          <cell r="T864" t="str">
            <v>-</v>
          </cell>
          <cell r="U864" t="str">
            <v>-</v>
          </cell>
          <cell r="W864" t="str">
            <v>-</v>
          </cell>
          <cell r="X864" t="str">
            <v>-</v>
          </cell>
        </row>
        <row r="865">
          <cell r="A865">
            <v>72220857</v>
          </cell>
          <cell r="B865">
            <v>1614</v>
          </cell>
          <cell r="C865" t="str">
            <v>매퉁이</v>
          </cell>
          <cell r="D865" t="str">
            <v>B</v>
          </cell>
          <cell r="E865">
            <v>70409144</v>
          </cell>
          <cell r="H865" t="str">
            <v>-</v>
          </cell>
          <cell r="I865" t="str">
            <v>-</v>
          </cell>
          <cell r="K865" t="str">
            <v>-</v>
          </cell>
          <cell r="L865" t="str">
            <v>-</v>
          </cell>
          <cell r="N865" t="str">
            <v>-</v>
          </cell>
          <cell r="O865" t="str">
            <v>-</v>
          </cell>
          <cell r="Q865" t="str">
            <v>-</v>
          </cell>
          <cell r="R865" t="str">
            <v>-</v>
          </cell>
          <cell r="T865" t="str">
            <v>-</v>
          </cell>
          <cell r="U865" t="str">
            <v>-</v>
          </cell>
          <cell r="W865" t="str">
            <v>-</v>
          </cell>
          <cell r="X865" t="str">
            <v>-</v>
          </cell>
        </row>
        <row r="866">
          <cell r="A866">
            <v>72220858</v>
          </cell>
          <cell r="B866">
            <v>1621</v>
          </cell>
          <cell r="C866" t="str">
            <v>흰동가리</v>
          </cell>
          <cell r="D866" t="str">
            <v>D</v>
          </cell>
          <cell r="E866">
            <v>70409415</v>
          </cell>
          <cell r="H866" t="str">
            <v>-</v>
          </cell>
          <cell r="I866" t="str">
            <v>-</v>
          </cell>
          <cell r="K866" t="str">
            <v>-</v>
          </cell>
          <cell r="L866" t="str">
            <v>-</v>
          </cell>
          <cell r="N866" t="str">
            <v>-</v>
          </cell>
          <cell r="O866" t="str">
            <v>-</v>
          </cell>
          <cell r="Q866" t="str">
            <v>-</v>
          </cell>
          <cell r="R866" t="str">
            <v>-</v>
          </cell>
          <cell r="T866" t="str">
            <v>-</v>
          </cell>
          <cell r="U866" t="str">
            <v>-</v>
          </cell>
          <cell r="W866" t="str">
            <v>-</v>
          </cell>
          <cell r="X866" t="str">
            <v>-</v>
          </cell>
        </row>
        <row r="867">
          <cell r="A867">
            <v>72220859</v>
          </cell>
          <cell r="B867">
            <v>1621</v>
          </cell>
          <cell r="C867" t="str">
            <v>흑새치</v>
          </cell>
          <cell r="D867" t="str">
            <v>D</v>
          </cell>
          <cell r="E867">
            <v>70409410</v>
          </cell>
          <cell r="H867" t="str">
            <v>-</v>
          </cell>
          <cell r="I867" t="str">
            <v>-</v>
          </cell>
          <cell r="K867" t="str">
            <v>-</v>
          </cell>
          <cell r="L867" t="str">
            <v>-</v>
          </cell>
          <cell r="N867" t="str">
            <v>-</v>
          </cell>
          <cell r="O867" t="str">
            <v>-</v>
          </cell>
          <cell r="Q867" t="str">
            <v>-</v>
          </cell>
          <cell r="R867" t="str">
            <v>-</v>
          </cell>
          <cell r="T867" t="str">
            <v>-</v>
          </cell>
          <cell r="U867" t="str">
            <v>-</v>
          </cell>
          <cell r="W867" t="str">
            <v>-</v>
          </cell>
          <cell r="X867" t="str">
            <v>-</v>
          </cell>
        </row>
        <row r="868">
          <cell r="A868">
            <v>72220860</v>
          </cell>
          <cell r="B868">
            <v>1621</v>
          </cell>
          <cell r="C868" t="str">
            <v>네줄벤자리</v>
          </cell>
          <cell r="D868" t="str">
            <v>B</v>
          </cell>
          <cell r="E868">
            <v>70409076</v>
          </cell>
          <cell r="H868" t="str">
            <v>-</v>
          </cell>
          <cell r="I868" t="str">
            <v>-</v>
          </cell>
          <cell r="K868" t="str">
            <v>-</v>
          </cell>
          <cell r="L868" t="str">
            <v>-</v>
          </cell>
          <cell r="N868" t="str">
            <v>-</v>
          </cell>
          <cell r="O868" t="str">
            <v>-</v>
          </cell>
          <cell r="Q868" t="str">
            <v>-</v>
          </cell>
          <cell r="R868" t="str">
            <v>-</v>
          </cell>
          <cell r="T868" t="str">
            <v>-</v>
          </cell>
          <cell r="U868" t="str">
            <v>-</v>
          </cell>
          <cell r="W868" t="str">
            <v>-</v>
          </cell>
          <cell r="X868" t="str">
            <v>-</v>
          </cell>
        </row>
        <row r="869">
          <cell r="A869">
            <v>72220861</v>
          </cell>
          <cell r="B869">
            <v>1621</v>
          </cell>
          <cell r="C869" t="str">
            <v>어렝놀래기</v>
          </cell>
          <cell r="D869" t="str">
            <v>D</v>
          </cell>
          <cell r="E869">
            <v>70409284</v>
          </cell>
          <cell r="H869" t="str">
            <v>-</v>
          </cell>
          <cell r="I869" t="str">
            <v>-</v>
          </cell>
          <cell r="K869" t="str">
            <v>-</v>
          </cell>
          <cell r="L869" t="str">
            <v>-</v>
          </cell>
          <cell r="N869" t="str">
            <v>-</v>
          </cell>
          <cell r="O869" t="str">
            <v>-</v>
          </cell>
          <cell r="Q869" t="str">
            <v>-</v>
          </cell>
          <cell r="R869" t="str">
            <v>-</v>
          </cell>
          <cell r="T869" t="str">
            <v>-</v>
          </cell>
          <cell r="U869" t="str">
            <v>-</v>
          </cell>
          <cell r="W869" t="str">
            <v>-</v>
          </cell>
          <cell r="X869" t="str">
            <v>-</v>
          </cell>
        </row>
        <row r="870">
          <cell r="A870">
            <v>72220862</v>
          </cell>
          <cell r="B870">
            <v>1621</v>
          </cell>
          <cell r="C870" t="str">
            <v>동강연치</v>
          </cell>
          <cell r="D870" t="str">
            <v>B</v>
          </cell>
          <cell r="E870">
            <v>70409119</v>
          </cell>
          <cell r="H870" t="str">
            <v>-</v>
          </cell>
          <cell r="I870" t="str">
            <v>-</v>
          </cell>
          <cell r="K870" t="str">
            <v>-</v>
          </cell>
          <cell r="L870" t="str">
            <v>-</v>
          </cell>
          <cell r="N870" t="str">
            <v>-</v>
          </cell>
          <cell r="O870" t="str">
            <v>-</v>
          </cell>
          <cell r="Q870" t="str">
            <v>-</v>
          </cell>
          <cell r="R870" t="str">
            <v>-</v>
          </cell>
          <cell r="T870" t="str">
            <v>-</v>
          </cell>
          <cell r="U870" t="str">
            <v>-</v>
          </cell>
          <cell r="W870" t="str">
            <v>-</v>
          </cell>
          <cell r="X870" t="str">
            <v>-</v>
          </cell>
        </row>
        <row r="871">
          <cell r="A871">
            <v>72220863</v>
          </cell>
          <cell r="B871">
            <v>1622</v>
          </cell>
          <cell r="C871" t="str">
            <v>흰동가리</v>
          </cell>
          <cell r="D871" t="str">
            <v>D</v>
          </cell>
          <cell r="E871">
            <v>70409415</v>
          </cell>
          <cell r="H871" t="str">
            <v>-</v>
          </cell>
          <cell r="I871" t="str">
            <v>-</v>
          </cell>
          <cell r="K871" t="str">
            <v>-</v>
          </cell>
          <cell r="L871" t="str">
            <v>-</v>
          </cell>
          <cell r="N871" t="str">
            <v>-</v>
          </cell>
          <cell r="O871" t="str">
            <v>-</v>
          </cell>
          <cell r="Q871" t="str">
            <v>-</v>
          </cell>
          <cell r="R871" t="str">
            <v>-</v>
          </cell>
          <cell r="T871" t="str">
            <v>-</v>
          </cell>
          <cell r="U871" t="str">
            <v>-</v>
          </cell>
          <cell r="W871" t="str">
            <v>-</v>
          </cell>
          <cell r="X871" t="str">
            <v>-</v>
          </cell>
        </row>
        <row r="872">
          <cell r="A872">
            <v>72220864</v>
          </cell>
          <cell r="B872">
            <v>1622</v>
          </cell>
          <cell r="C872" t="str">
            <v>흑새치</v>
          </cell>
          <cell r="D872" t="str">
            <v>D</v>
          </cell>
          <cell r="E872">
            <v>70409410</v>
          </cell>
          <cell r="H872" t="str">
            <v>-</v>
          </cell>
          <cell r="I872" t="str">
            <v>-</v>
          </cell>
          <cell r="K872" t="str">
            <v>-</v>
          </cell>
          <cell r="L872" t="str">
            <v>-</v>
          </cell>
          <cell r="N872" t="str">
            <v>-</v>
          </cell>
          <cell r="O872" t="str">
            <v>-</v>
          </cell>
          <cell r="Q872" t="str">
            <v>-</v>
          </cell>
          <cell r="R872" t="str">
            <v>-</v>
          </cell>
          <cell r="T872" t="str">
            <v>-</v>
          </cell>
          <cell r="U872" t="str">
            <v>-</v>
          </cell>
          <cell r="W872" t="str">
            <v>-</v>
          </cell>
          <cell r="X872" t="str">
            <v>-</v>
          </cell>
        </row>
        <row r="873">
          <cell r="A873">
            <v>72220865</v>
          </cell>
          <cell r="B873">
            <v>1622</v>
          </cell>
          <cell r="C873" t="str">
            <v>네줄벤자리</v>
          </cell>
          <cell r="D873" t="str">
            <v>B</v>
          </cell>
          <cell r="E873">
            <v>70409076</v>
          </cell>
          <cell r="H873" t="str">
            <v>-</v>
          </cell>
          <cell r="I873" t="str">
            <v>-</v>
          </cell>
          <cell r="K873" t="str">
            <v>-</v>
          </cell>
          <cell r="L873" t="str">
            <v>-</v>
          </cell>
          <cell r="N873" t="str">
            <v>-</v>
          </cell>
          <cell r="O873" t="str">
            <v>-</v>
          </cell>
          <cell r="Q873" t="str">
            <v>-</v>
          </cell>
          <cell r="R873" t="str">
            <v>-</v>
          </cell>
          <cell r="T873" t="str">
            <v>-</v>
          </cell>
          <cell r="U873" t="str">
            <v>-</v>
          </cell>
          <cell r="W873" t="str">
            <v>-</v>
          </cell>
          <cell r="X873" t="str">
            <v>-</v>
          </cell>
        </row>
        <row r="874">
          <cell r="A874">
            <v>72220866</v>
          </cell>
          <cell r="B874">
            <v>1622</v>
          </cell>
          <cell r="C874" t="str">
            <v>어렝놀래기</v>
          </cell>
          <cell r="D874" t="str">
            <v>D</v>
          </cell>
          <cell r="E874">
            <v>70409284</v>
          </cell>
          <cell r="H874" t="str">
            <v>-</v>
          </cell>
          <cell r="I874" t="str">
            <v>-</v>
          </cell>
          <cell r="K874" t="str">
            <v>-</v>
          </cell>
          <cell r="L874" t="str">
            <v>-</v>
          </cell>
          <cell r="N874" t="str">
            <v>-</v>
          </cell>
          <cell r="O874" t="str">
            <v>-</v>
          </cell>
          <cell r="Q874" t="str">
            <v>-</v>
          </cell>
          <cell r="R874" t="str">
            <v>-</v>
          </cell>
          <cell r="T874" t="str">
            <v>-</v>
          </cell>
          <cell r="U874" t="str">
            <v>-</v>
          </cell>
          <cell r="W874" t="str">
            <v>-</v>
          </cell>
          <cell r="X874" t="str">
            <v>-</v>
          </cell>
        </row>
        <row r="875">
          <cell r="A875">
            <v>72220867</v>
          </cell>
          <cell r="B875">
            <v>1622</v>
          </cell>
          <cell r="C875" t="str">
            <v>동강연치</v>
          </cell>
          <cell r="D875" t="str">
            <v>B</v>
          </cell>
          <cell r="E875">
            <v>70409119</v>
          </cell>
          <cell r="H875" t="str">
            <v>-</v>
          </cell>
          <cell r="I875" t="str">
            <v>-</v>
          </cell>
          <cell r="K875" t="str">
            <v>-</v>
          </cell>
          <cell r="L875" t="str">
            <v>-</v>
          </cell>
          <cell r="N875" t="str">
            <v>-</v>
          </cell>
          <cell r="O875" t="str">
            <v>-</v>
          </cell>
          <cell r="Q875" t="str">
            <v>-</v>
          </cell>
          <cell r="R875" t="str">
            <v>-</v>
          </cell>
          <cell r="T875" t="str">
            <v>-</v>
          </cell>
          <cell r="U875" t="str">
            <v>-</v>
          </cell>
          <cell r="W875" t="str">
            <v>-</v>
          </cell>
          <cell r="X875" t="str">
            <v>-</v>
          </cell>
        </row>
        <row r="876">
          <cell r="A876">
            <v>72220868</v>
          </cell>
          <cell r="B876">
            <v>1623</v>
          </cell>
          <cell r="C876" t="str">
            <v>흰동가리</v>
          </cell>
          <cell r="D876" t="str">
            <v>D</v>
          </cell>
          <cell r="E876">
            <v>70409415</v>
          </cell>
          <cell r="H876" t="str">
            <v>-</v>
          </cell>
          <cell r="I876" t="str">
            <v>-</v>
          </cell>
          <cell r="K876" t="str">
            <v>-</v>
          </cell>
          <cell r="L876" t="str">
            <v>-</v>
          </cell>
          <cell r="N876" t="str">
            <v>-</v>
          </cell>
          <cell r="O876" t="str">
            <v>-</v>
          </cell>
          <cell r="Q876" t="str">
            <v>-</v>
          </cell>
          <cell r="R876" t="str">
            <v>-</v>
          </cell>
          <cell r="T876" t="str">
            <v>-</v>
          </cell>
          <cell r="U876" t="str">
            <v>-</v>
          </cell>
          <cell r="W876" t="str">
            <v>-</v>
          </cell>
          <cell r="X876" t="str">
            <v>-</v>
          </cell>
        </row>
        <row r="877">
          <cell r="A877">
            <v>72220869</v>
          </cell>
          <cell r="B877">
            <v>1623</v>
          </cell>
          <cell r="C877" t="str">
            <v>흑새치</v>
          </cell>
          <cell r="D877" t="str">
            <v>D</v>
          </cell>
          <cell r="E877">
            <v>70409410</v>
          </cell>
          <cell r="H877" t="str">
            <v>-</v>
          </cell>
          <cell r="I877" t="str">
            <v>-</v>
          </cell>
          <cell r="K877" t="str">
            <v>-</v>
          </cell>
          <cell r="L877" t="str">
            <v>-</v>
          </cell>
          <cell r="N877" t="str">
            <v>-</v>
          </cell>
          <cell r="O877" t="str">
            <v>-</v>
          </cell>
          <cell r="Q877" t="str">
            <v>-</v>
          </cell>
          <cell r="R877" t="str">
            <v>-</v>
          </cell>
          <cell r="T877" t="str">
            <v>-</v>
          </cell>
          <cell r="U877" t="str">
            <v>-</v>
          </cell>
          <cell r="W877" t="str">
            <v>-</v>
          </cell>
          <cell r="X877" t="str">
            <v>-</v>
          </cell>
        </row>
        <row r="878">
          <cell r="A878">
            <v>72220870</v>
          </cell>
          <cell r="B878">
            <v>1623</v>
          </cell>
          <cell r="C878" t="str">
            <v>네줄벤자리</v>
          </cell>
          <cell r="D878" t="str">
            <v>B</v>
          </cell>
          <cell r="E878">
            <v>70409076</v>
          </cell>
          <cell r="H878" t="str">
            <v>-</v>
          </cell>
          <cell r="I878" t="str">
            <v>-</v>
          </cell>
          <cell r="K878" t="str">
            <v>-</v>
          </cell>
          <cell r="L878" t="str">
            <v>-</v>
          </cell>
          <cell r="N878" t="str">
            <v>-</v>
          </cell>
          <cell r="O878" t="str">
            <v>-</v>
          </cell>
          <cell r="Q878" t="str">
            <v>-</v>
          </cell>
          <cell r="R878" t="str">
            <v>-</v>
          </cell>
          <cell r="T878" t="str">
            <v>-</v>
          </cell>
          <cell r="U878" t="str">
            <v>-</v>
          </cell>
          <cell r="W878" t="str">
            <v>-</v>
          </cell>
          <cell r="X878" t="str">
            <v>-</v>
          </cell>
        </row>
        <row r="879">
          <cell r="A879">
            <v>72220871</v>
          </cell>
          <cell r="B879">
            <v>1623</v>
          </cell>
          <cell r="C879" t="str">
            <v>어렝놀래기</v>
          </cell>
          <cell r="D879" t="str">
            <v>D</v>
          </cell>
          <cell r="E879">
            <v>70409284</v>
          </cell>
          <cell r="H879" t="str">
            <v>-</v>
          </cell>
          <cell r="I879" t="str">
            <v>-</v>
          </cell>
          <cell r="K879" t="str">
            <v>-</v>
          </cell>
          <cell r="L879" t="str">
            <v>-</v>
          </cell>
          <cell r="N879" t="str">
            <v>-</v>
          </cell>
          <cell r="O879" t="str">
            <v>-</v>
          </cell>
          <cell r="Q879" t="str">
            <v>-</v>
          </cell>
          <cell r="R879" t="str">
            <v>-</v>
          </cell>
          <cell r="T879" t="str">
            <v>-</v>
          </cell>
          <cell r="U879" t="str">
            <v>-</v>
          </cell>
          <cell r="W879" t="str">
            <v>-</v>
          </cell>
          <cell r="X879" t="str">
            <v>-</v>
          </cell>
        </row>
        <row r="880">
          <cell r="A880">
            <v>72220872</v>
          </cell>
          <cell r="B880">
            <v>1623</v>
          </cell>
          <cell r="C880" t="str">
            <v>동강연치</v>
          </cell>
          <cell r="D880" t="str">
            <v>B</v>
          </cell>
          <cell r="E880">
            <v>70409119</v>
          </cell>
          <cell r="H880" t="str">
            <v>-</v>
          </cell>
          <cell r="I880" t="str">
            <v>-</v>
          </cell>
          <cell r="K880" t="str">
            <v>-</v>
          </cell>
          <cell r="L880" t="str">
            <v>-</v>
          </cell>
          <cell r="N880" t="str">
            <v>-</v>
          </cell>
          <cell r="O880" t="str">
            <v>-</v>
          </cell>
          <cell r="Q880" t="str">
            <v>-</v>
          </cell>
          <cell r="R880" t="str">
            <v>-</v>
          </cell>
          <cell r="T880" t="str">
            <v>-</v>
          </cell>
          <cell r="U880" t="str">
            <v>-</v>
          </cell>
          <cell r="W880" t="str">
            <v>-</v>
          </cell>
          <cell r="X880" t="str">
            <v>-</v>
          </cell>
        </row>
        <row r="881">
          <cell r="A881">
            <v>72220873</v>
          </cell>
          <cell r="B881">
            <v>1624</v>
          </cell>
          <cell r="C881" t="str">
            <v>흰동가리</v>
          </cell>
          <cell r="D881" t="str">
            <v>D</v>
          </cell>
          <cell r="E881">
            <v>70409415</v>
          </cell>
          <cell r="H881" t="str">
            <v>-</v>
          </cell>
          <cell r="I881" t="str">
            <v>-</v>
          </cell>
          <cell r="K881" t="str">
            <v>-</v>
          </cell>
          <cell r="L881" t="str">
            <v>-</v>
          </cell>
          <cell r="N881" t="str">
            <v>-</v>
          </cell>
          <cell r="O881" t="str">
            <v>-</v>
          </cell>
          <cell r="Q881" t="str">
            <v>-</v>
          </cell>
          <cell r="R881" t="str">
            <v>-</v>
          </cell>
          <cell r="T881" t="str">
            <v>-</v>
          </cell>
          <cell r="U881" t="str">
            <v>-</v>
          </cell>
          <cell r="W881" t="str">
            <v>-</v>
          </cell>
          <cell r="X881" t="str">
            <v>-</v>
          </cell>
        </row>
        <row r="882">
          <cell r="A882">
            <v>72220874</v>
          </cell>
          <cell r="B882">
            <v>1624</v>
          </cell>
          <cell r="C882" t="str">
            <v>흑새치</v>
          </cell>
          <cell r="D882" t="str">
            <v>D</v>
          </cell>
          <cell r="E882">
            <v>70409410</v>
          </cell>
          <cell r="H882" t="str">
            <v>-</v>
          </cell>
          <cell r="I882" t="str">
            <v>-</v>
          </cell>
          <cell r="K882" t="str">
            <v>-</v>
          </cell>
          <cell r="L882" t="str">
            <v>-</v>
          </cell>
          <cell r="N882" t="str">
            <v>-</v>
          </cell>
          <cell r="O882" t="str">
            <v>-</v>
          </cell>
          <cell r="Q882" t="str">
            <v>-</v>
          </cell>
          <cell r="R882" t="str">
            <v>-</v>
          </cell>
          <cell r="T882" t="str">
            <v>-</v>
          </cell>
          <cell r="U882" t="str">
            <v>-</v>
          </cell>
          <cell r="W882" t="str">
            <v>-</v>
          </cell>
          <cell r="X882" t="str">
            <v>-</v>
          </cell>
        </row>
        <row r="883">
          <cell r="A883">
            <v>72220875</v>
          </cell>
          <cell r="B883">
            <v>1624</v>
          </cell>
          <cell r="C883" t="str">
            <v>네줄벤자리</v>
          </cell>
          <cell r="D883" t="str">
            <v>B</v>
          </cell>
          <cell r="E883">
            <v>70409076</v>
          </cell>
          <cell r="H883" t="str">
            <v>-</v>
          </cell>
          <cell r="I883" t="str">
            <v>-</v>
          </cell>
          <cell r="K883" t="str">
            <v>-</v>
          </cell>
          <cell r="L883" t="str">
            <v>-</v>
          </cell>
          <cell r="N883" t="str">
            <v>-</v>
          </cell>
          <cell r="O883" t="str">
            <v>-</v>
          </cell>
          <cell r="Q883" t="str">
            <v>-</v>
          </cell>
          <cell r="R883" t="str">
            <v>-</v>
          </cell>
          <cell r="T883" t="str">
            <v>-</v>
          </cell>
          <cell r="U883" t="str">
            <v>-</v>
          </cell>
          <cell r="W883" t="str">
            <v>-</v>
          </cell>
          <cell r="X883" t="str">
            <v>-</v>
          </cell>
        </row>
        <row r="884">
          <cell r="A884">
            <v>72220876</v>
          </cell>
          <cell r="B884">
            <v>1624</v>
          </cell>
          <cell r="C884" t="str">
            <v>어렝놀래기</v>
          </cell>
          <cell r="D884" t="str">
            <v>D</v>
          </cell>
          <cell r="E884">
            <v>70409284</v>
          </cell>
          <cell r="H884" t="str">
            <v>-</v>
          </cell>
          <cell r="I884" t="str">
            <v>-</v>
          </cell>
          <cell r="K884" t="str">
            <v>-</v>
          </cell>
          <cell r="L884" t="str">
            <v>-</v>
          </cell>
          <cell r="N884" t="str">
            <v>-</v>
          </cell>
          <cell r="O884" t="str">
            <v>-</v>
          </cell>
          <cell r="Q884" t="str">
            <v>-</v>
          </cell>
          <cell r="R884" t="str">
            <v>-</v>
          </cell>
          <cell r="T884" t="str">
            <v>-</v>
          </cell>
          <cell r="U884" t="str">
            <v>-</v>
          </cell>
          <cell r="W884" t="str">
            <v>-</v>
          </cell>
          <cell r="X884" t="str">
            <v>-</v>
          </cell>
        </row>
        <row r="885">
          <cell r="A885">
            <v>72220877</v>
          </cell>
          <cell r="B885">
            <v>1624</v>
          </cell>
          <cell r="C885" t="str">
            <v>동강연치</v>
          </cell>
          <cell r="D885" t="str">
            <v>B</v>
          </cell>
          <cell r="E885">
            <v>70409119</v>
          </cell>
          <cell r="H885" t="str">
            <v>-</v>
          </cell>
          <cell r="I885" t="str">
            <v>-</v>
          </cell>
          <cell r="K885" t="str">
            <v>-</v>
          </cell>
          <cell r="L885" t="str">
            <v>-</v>
          </cell>
          <cell r="N885" t="str">
            <v>-</v>
          </cell>
          <cell r="O885" t="str">
            <v>-</v>
          </cell>
          <cell r="Q885" t="str">
            <v>-</v>
          </cell>
          <cell r="R885" t="str">
            <v>-</v>
          </cell>
          <cell r="T885" t="str">
            <v>-</v>
          </cell>
          <cell r="U885" t="str">
            <v>-</v>
          </cell>
          <cell r="W885" t="str">
            <v>-</v>
          </cell>
          <cell r="X885" t="str">
            <v>-</v>
          </cell>
        </row>
        <row r="886">
          <cell r="A886">
            <v>72220878</v>
          </cell>
          <cell r="B886">
            <v>1631</v>
          </cell>
          <cell r="C886" t="str">
            <v>꽁치아재비</v>
          </cell>
          <cell r="D886" t="str">
            <v>B</v>
          </cell>
          <cell r="E886">
            <v>70409057</v>
          </cell>
          <cell r="H886" t="str">
            <v>-</v>
          </cell>
          <cell r="I886" t="str">
            <v>-</v>
          </cell>
          <cell r="K886" t="str">
            <v>-</v>
          </cell>
          <cell r="L886" t="str">
            <v>-</v>
          </cell>
          <cell r="N886" t="str">
            <v>-</v>
          </cell>
          <cell r="O886" t="str">
            <v>-</v>
          </cell>
          <cell r="Q886" t="str">
            <v>-</v>
          </cell>
          <cell r="R886" t="str">
            <v>-</v>
          </cell>
          <cell r="T886" t="str">
            <v>-</v>
          </cell>
          <cell r="U886" t="str">
            <v>-</v>
          </cell>
          <cell r="W886" t="str">
            <v>-</v>
          </cell>
          <cell r="X886" t="str">
            <v>-</v>
          </cell>
        </row>
        <row r="887">
          <cell r="A887">
            <v>72220879</v>
          </cell>
          <cell r="B887">
            <v>1631</v>
          </cell>
          <cell r="C887" t="str">
            <v>먹테얼게비늘</v>
          </cell>
          <cell r="D887" t="str">
            <v>B</v>
          </cell>
          <cell r="E887">
            <v>70409149</v>
          </cell>
          <cell r="H887" t="str">
            <v>-</v>
          </cell>
          <cell r="I887" t="str">
            <v>-</v>
          </cell>
          <cell r="K887" t="str">
            <v>-</v>
          </cell>
          <cell r="L887" t="str">
            <v>-</v>
          </cell>
          <cell r="N887" t="str">
            <v>-</v>
          </cell>
          <cell r="O887" t="str">
            <v>-</v>
          </cell>
          <cell r="Q887" t="str">
            <v>-</v>
          </cell>
          <cell r="R887" t="str">
            <v>-</v>
          </cell>
          <cell r="T887" t="str">
            <v>-</v>
          </cell>
          <cell r="U887" t="str">
            <v>-</v>
          </cell>
          <cell r="W887" t="str">
            <v>-</v>
          </cell>
          <cell r="X887" t="str">
            <v>-</v>
          </cell>
        </row>
        <row r="888">
          <cell r="A888">
            <v>72220880</v>
          </cell>
          <cell r="B888">
            <v>1631</v>
          </cell>
          <cell r="C888" t="str">
            <v>살살치</v>
          </cell>
          <cell r="D888" t="str">
            <v>C</v>
          </cell>
          <cell r="E888">
            <v>70409242</v>
          </cell>
          <cell r="H888" t="str">
            <v>-</v>
          </cell>
          <cell r="I888" t="str">
            <v>-</v>
          </cell>
          <cell r="K888" t="str">
            <v>-</v>
          </cell>
          <cell r="L888" t="str">
            <v>-</v>
          </cell>
          <cell r="N888" t="str">
            <v>-</v>
          </cell>
          <cell r="O888" t="str">
            <v>-</v>
          </cell>
          <cell r="Q888" t="str">
            <v>-</v>
          </cell>
          <cell r="R888" t="str">
            <v>-</v>
          </cell>
          <cell r="T888" t="str">
            <v>-</v>
          </cell>
          <cell r="U888" t="str">
            <v>-</v>
          </cell>
          <cell r="W888" t="str">
            <v>-</v>
          </cell>
          <cell r="X888" t="str">
            <v>-</v>
          </cell>
        </row>
        <row r="889">
          <cell r="A889">
            <v>72220881</v>
          </cell>
          <cell r="B889">
            <v>1631</v>
          </cell>
          <cell r="C889" t="str">
            <v>벌감펭</v>
          </cell>
          <cell r="D889" t="str">
            <v>C</v>
          </cell>
          <cell r="E889">
            <v>70409194</v>
          </cell>
          <cell r="H889" t="str">
            <v>-</v>
          </cell>
          <cell r="I889" t="str">
            <v>-</v>
          </cell>
          <cell r="K889" t="str">
            <v>-</v>
          </cell>
          <cell r="L889" t="str">
            <v>-</v>
          </cell>
          <cell r="N889" t="str">
            <v>-</v>
          </cell>
          <cell r="O889" t="str">
            <v>-</v>
          </cell>
          <cell r="Q889" t="str">
            <v>-</v>
          </cell>
          <cell r="R889" t="str">
            <v>-</v>
          </cell>
          <cell r="T889" t="str">
            <v>-</v>
          </cell>
          <cell r="U889" t="str">
            <v>-</v>
          </cell>
          <cell r="W889" t="str">
            <v>-</v>
          </cell>
          <cell r="X889" t="str">
            <v>-</v>
          </cell>
        </row>
        <row r="890">
          <cell r="A890">
            <v>72220882</v>
          </cell>
          <cell r="B890">
            <v>1631</v>
          </cell>
          <cell r="C890" t="str">
            <v>새눈치</v>
          </cell>
          <cell r="D890" t="str">
            <v>D</v>
          </cell>
          <cell r="E890">
            <v>70409249</v>
          </cell>
          <cell r="H890" t="str">
            <v>-</v>
          </cell>
          <cell r="I890" t="str">
            <v>-</v>
          </cell>
          <cell r="K890" t="str">
            <v>-</v>
          </cell>
          <cell r="L890" t="str">
            <v>-</v>
          </cell>
          <cell r="N890" t="str">
            <v>-</v>
          </cell>
          <cell r="O890" t="str">
            <v>-</v>
          </cell>
          <cell r="Q890" t="str">
            <v>-</v>
          </cell>
          <cell r="R890" t="str">
            <v>-</v>
          </cell>
          <cell r="T890" t="str">
            <v>-</v>
          </cell>
          <cell r="U890" t="str">
            <v>-</v>
          </cell>
          <cell r="W890" t="str">
            <v>-</v>
          </cell>
          <cell r="X890" t="str">
            <v>-</v>
          </cell>
        </row>
        <row r="891">
          <cell r="A891">
            <v>72220883</v>
          </cell>
          <cell r="B891">
            <v>1632</v>
          </cell>
          <cell r="C891" t="str">
            <v>꽁치아재비</v>
          </cell>
          <cell r="D891" t="str">
            <v>B</v>
          </cell>
          <cell r="E891">
            <v>70409057</v>
          </cell>
          <cell r="H891" t="str">
            <v>-</v>
          </cell>
          <cell r="I891" t="str">
            <v>-</v>
          </cell>
          <cell r="K891" t="str">
            <v>-</v>
          </cell>
          <cell r="L891" t="str">
            <v>-</v>
          </cell>
          <cell r="N891" t="str">
            <v>-</v>
          </cell>
          <cell r="O891" t="str">
            <v>-</v>
          </cell>
          <cell r="Q891" t="str">
            <v>-</v>
          </cell>
          <cell r="R891" t="str">
            <v>-</v>
          </cell>
          <cell r="T891" t="str">
            <v>-</v>
          </cell>
          <cell r="U891" t="str">
            <v>-</v>
          </cell>
          <cell r="W891" t="str">
            <v>-</v>
          </cell>
          <cell r="X891" t="str">
            <v>-</v>
          </cell>
        </row>
        <row r="892">
          <cell r="A892">
            <v>72220884</v>
          </cell>
          <cell r="B892">
            <v>1632</v>
          </cell>
          <cell r="C892" t="str">
            <v>먹테얼게비늘</v>
          </cell>
          <cell r="D892" t="str">
            <v>B</v>
          </cell>
          <cell r="E892">
            <v>70409149</v>
          </cell>
          <cell r="H892" t="str">
            <v>-</v>
          </cell>
          <cell r="I892" t="str">
            <v>-</v>
          </cell>
          <cell r="K892" t="str">
            <v>-</v>
          </cell>
          <cell r="L892" t="str">
            <v>-</v>
          </cell>
          <cell r="N892" t="str">
            <v>-</v>
          </cell>
          <cell r="O892" t="str">
            <v>-</v>
          </cell>
          <cell r="Q892" t="str">
            <v>-</v>
          </cell>
          <cell r="R892" t="str">
            <v>-</v>
          </cell>
          <cell r="T892" t="str">
            <v>-</v>
          </cell>
          <cell r="U892" t="str">
            <v>-</v>
          </cell>
          <cell r="W892" t="str">
            <v>-</v>
          </cell>
          <cell r="X892" t="str">
            <v>-</v>
          </cell>
        </row>
        <row r="893">
          <cell r="A893">
            <v>72220885</v>
          </cell>
          <cell r="B893">
            <v>1632</v>
          </cell>
          <cell r="C893" t="str">
            <v>살살치</v>
          </cell>
          <cell r="D893" t="str">
            <v>C</v>
          </cell>
          <cell r="E893">
            <v>70409242</v>
          </cell>
          <cell r="H893" t="str">
            <v>-</v>
          </cell>
          <cell r="I893" t="str">
            <v>-</v>
          </cell>
          <cell r="K893" t="str">
            <v>-</v>
          </cell>
          <cell r="L893" t="str">
            <v>-</v>
          </cell>
          <cell r="N893" t="str">
            <v>-</v>
          </cell>
          <cell r="O893" t="str">
            <v>-</v>
          </cell>
          <cell r="Q893" t="str">
            <v>-</v>
          </cell>
          <cell r="R893" t="str">
            <v>-</v>
          </cell>
          <cell r="T893" t="str">
            <v>-</v>
          </cell>
          <cell r="U893" t="str">
            <v>-</v>
          </cell>
          <cell r="W893" t="str">
            <v>-</v>
          </cell>
          <cell r="X893" t="str">
            <v>-</v>
          </cell>
        </row>
        <row r="894">
          <cell r="A894">
            <v>72220886</v>
          </cell>
          <cell r="B894">
            <v>1632</v>
          </cell>
          <cell r="C894" t="str">
            <v>벌감펭</v>
          </cell>
          <cell r="D894" t="str">
            <v>C</v>
          </cell>
          <cell r="E894">
            <v>70409194</v>
          </cell>
          <cell r="H894" t="str">
            <v>-</v>
          </cell>
          <cell r="I894" t="str">
            <v>-</v>
          </cell>
          <cell r="K894" t="str">
            <v>-</v>
          </cell>
          <cell r="L894" t="str">
            <v>-</v>
          </cell>
          <cell r="N894" t="str">
            <v>-</v>
          </cell>
          <cell r="O894" t="str">
            <v>-</v>
          </cell>
          <cell r="Q894" t="str">
            <v>-</v>
          </cell>
          <cell r="R894" t="str">
            <v>-</v>
          </cell>
          <cell r="T894" t="str">
            <v>-</v>
          </cell>
          <cell r="U894" t="str">
            <v>-</v>
          </cell>
          <cell r="W894" t="str">
            <v>-</v>
          </cell>
          <cell r="X894" t="str">
            <v>-</v>
          </cell>
        </row>
        <row r="895">
          <cell r="A895">
            <v>72220887</v>
          </cell>
          <cell r="B895">
            <v>1632</v>
          </cell>
          <cell r="C895" t="str">
            <v>새눈치</v>
          </cell>
          <cell r="D895" t="str">
            <v>D</v>
          </cell>
          <cell r="E895">
            <v>70409249</v>
          </cell>
          <cell r="H895" t="str">
            <v>-</v>
          </cell>
          <cell r="I895" t="str">
            <v>-</v>
          </cell>
          <cell r="K895" t="str">
            <v>-</v>
          </cell>
          <cell r="L895" t="str">
            <v>-</v>
          </cell>
          <cell r="N895" t="str">
            <v>-</v>
          </cell>
          <cell r="O895" t="str">
            <v>-</v>
          </cell>
          <cell r="Q895" t="str">
            <v>-</v>
          </cell>
          <cell r="R895" t="str">
            <v>-</v>
          </cell>
          <cell r="T895" t="str">
            <v>-</v>
          </cell>
          <cell r="U895" t="str">
            <v>-</v>
          </cell>
          <cell r="W895" t="str">
            <v>-</v>
          </cell>
          <cell r="X895" t="str">
            <v>-</v>
          </cell>
        </row>
        <row r="896">
          <cell r="A896">
            <v>72220888</v>
          </cell>
          <cell r="B896">
            <v>1633</v>
          </cell>
          <cell r="C896" t="str">
            <v>꽁치아재비</v>
          </cell>
          <cell r="D896" t="str">
            <v>B</v>
          </cell>
          <cell r="E896">
            <v>70409057</v>
          </cell>
          <cell r="H896" t="str">
            <v>-</v>
          </cell>
          <cell r="I896" t="str">
            <v>-</v>
          </cell>
          <cell r="K896" t="str">
            <v>-</v>
          </cell>
          <cell r="L896" t="str">
            <v>-</v>
          </cell>
          <cell r="N896" t="str">
            <v>-</v>
          </cell>
          <cell r="O896" t="str">
            <v>-</v>
          </cell>
          <cell r="Q896" t="str">
            <v>-</v>
          </cell>
          <cell r="R896" t="str">
            <v>-</v>
          </cell>
          <cell r="T896" t="str">
            <v>-</v>
          </cell>
          <cell r="U896" t="str">
            <v>-</v>
          </cell>
          <cell r="W896" t="str">
            <v>-</v>
          </cell>
          <cell r="X896" t="str">
            <v>-</v>
          </cell>
        </row>
        <row r="897">
          <cell r="A897">
            <v>72220889</v>
          </cell>
          <cell r="B897">
            <v>1633</v>
          </cell>
          <cell r="C897" t="str">
            <v>먹테얼게비늘</v>
          </cell>
          <cell r="D897" t="str">
            <v>B</v>
          </cell>
          <cell r="E897">
            <v>70409149</v>
          </cell>
          <cell r="H897" t="str">
            <v>-</v>
          </cell>
          <cell r="I897" t="str">
            <v>-</v>
          </cell>
          <cell r="K897" t="str">
            <v>-</v>
          </cell>
          <cell r="L897" t="str">
            <v>-</v>
          </cell>
          <cell r="N897" t="str">
            <v>-</v>
          </cell>
          <cell r="O897" t="str">
            <v>-</v>
          </cell>
          <cell r="Q897" t="str">
            <v>-</v>
          </cell>
          <cell r="R897" t="str">
            <v>-</v>
          </cell>
          <cell r="T897" t="str">
            <v>-</v>
          </cell>
          <cell r="U897" t="str">
            <v>-</v>
          </cell>
          <cell r="W897" t="str">
            <v>-</v>
          </cell>
          <cell r="X897" t="str">
            <v>-</v>
          </cell>
        </row>
        <row r="898">
          <cell r="A898">
            <v>72220890</v>
          </cell>
          <cell r="B898">
            <v>1633</v>
          </cell>
          <cell r="C898" t="str">
            <v>살살치</v>
          </cell>
          <cell r="D898" t="str">
            <v>C</v>
          </cell>
          <cell r="E898">
            <v>70409242</v>
          </cell>
          <cell r="H898" t="str">
            <v>-</v>
          </cell>
          <cell r="I898" t="str">
            <v>-</v>
          </cell>
          <cell r="K898" t="str">
            <v>-</v>
          </cell>
          <cell r="L898" t="str">
            <v>-</v>
          </cell>
          <cell r="N898" t="str">
            <v>-</v>
          </cell>
          <cell r="O898" t="str">
            <v>-</v>
          </cell>
          <cell r="Q898" t="str">
            <v>-</v>
          </cell>
          <cell r="R898" t="str">
            <v>-</v>
          </cell>
          <cell r="T898" t="str">
            <v>-</v>
          </cell>
          <cell r="U898" t="str">
            <v>-</v>
          </cell>
          <cell r="W898" t="str">
            <v>-</v>
          </cell>
          <cell r="X898" t="str">
            <v>-</v>
          </cell>
        </row>
        <row r="899">
          <cell r="A899">
            <v>72220891</v>
          </cell>
          <cell r="B899">
            <v>1633</v>
          </cell>
          <cell r="C899" t="str">
            <v>벌감펭</v>
          </cell>
          <cell r="D899" t="str">
            <v>C</v>
          </cell>
          <cell r="E899">
            <v>70409194</v>
          </cell>
          <cell r="H899" t="str">
            <v>-</v>
          </cell>
          <cell r="I899" t="str">
            <v>-</v>
          </cell>
          <cell r="K899" t="str">
            <v>-</v>
          </cell>
          <cell r="L899" t="str">
            <v>-</v>
          </cell>
          <cell r="N899" t="str">
            <v>-</v>
          </cell>
          <cell r="O899" t="str">
            <v>-</v>
          </cell>
          <cell r="Q899" t="str">
            <v>-</v>
          </cell>
          <cell r="R899" t="str">
            <v>-</v>
          </cell>
          <cell r="T899" t="str">
            <v>-</v>
          </cell>
          <cell r="U899" t="str">
            <v>-</v>
          </cell>
          <cell r="W899" t="str">
            <v>-</v>
          </cell>
          <cell r="X899" t="str">
            <v>-</v>
          </cell>
        </row>
        <row r="900">
          <cell r="A900">
            <v>72220892</v>
          </cell>
          <cell r="B900">
            <v>1633</v>
          </cell>
          <cell r="C900" t="str">
            <v>새눈치</v>
          </cell>
          <cell r="D900" t="str">
            <v>D</v>
          </cell>
          <cell r="E900">
            <v>70409249</v>
          </cell>
          <cell r="H900" t="str">
            <v>-</v>
          </cell>
          <cell r="I900" t="str">
            <v>-</v>
          </cell>
          <cell r="K900" t="str">
            <v>-</v>
          </cell>
          <cell r="L900" t="str">
            <v>-</v>
          </cell>
          <cell r="N900" t="str">
            <v>-</v>
          </cell>
          <cell r="O900" t="str">
            <v>-</v>
          </cell>
          <cell r="Q900" t="str">
            <v>-</v>
          </cell>
          <cell r="R900" t="str">
            <v>-</v>
          </cell>
          <cell r="T900" t="str">
            <v>-</v>
          </cell>
          <cell r="U900" t="str">
            <v>-</v>
          </cell>
          <cell r="W900" t="str">
            <v>-</v>
          </cell>
          <cell r="X900" t="str">
            <v>-</v>
          </cell>
        </row>
        <row r="901">
          <cell r="A901">
            <v>72220893</v>
          </cell>
          <cell r="B901">
            <v>1634</v>
          </cell>
          <cell r="C901" t="str">
            <v>꽁치아재비</v>
          </cell>
          <cell r="D901" t="str">
            <v>B</v>
          </cell>
          <cell r="E901">
            <v>70409057</v>
          </cell>
          <cell r="H901" t="str">
            <v>-</v>
          </cell>
          <cell r="I901" t="str">
            <v>-</v>
          </cell>
          <cell r="K901" t="str">
            <v>-</v>
          </cell>
          <cell r="L901" t="str">
            <v>-</v>
          </cell>
          <cell r="N901" t="str">
            <v>-</v>
          </cell>
          <cell r="O901" t="str">
            <v>-</v>
          </cell>
          <cell r="Q901" t="str">
            <v>-</v>
          </cell>
          <cell r="R901" t="str">
            <v>-</v>
          </cell>
          <cell r="T901" t="str">
            <v>-</v>
          </cell>
          <cell r="U901" t="str">
            <v>-</v>
          </cell>
          <cell r="W901" t="str">
            <v>-</v>
          </cell>
          <cell r="X901" t="str">
            <v>-</v>
          </cell>
        </row>
        <row r="902">
          <cell r="A902">
            <v>72220894</v>
          </cell>
          <cell r="B902">
            <v>1634</v>
          </cell>
          <cell r="C902" t="str">
            <v>먹테얼게비늘</v>
          </cell>
          <cell r="D902" t="str">
            <v>B</v>
          </cell>
          <cell r="E902">
            <v>70409149</v>
          </cell>
          <cell r="H902" t="str">
            <v>-</v>
          </cell>
          <cell r="I902" t="str">
            <v>-</v>
          </cell>
          <cell r="K902" t="str">
            <v>-</v>
          </cell>
          <cell r="L902" t="str">
            <v>-</v>
          </cell>
          <cell r="N902" t="str">
            <v>-</v>
          </cell>
          <cell r="O902" t="str">
            <v>-</v>
          </cell>
          <cell r="Q902" t="str">
            <v>-</v>
          </cell>
          <cell r="R902" t="str">
            <v>-</v>
          </cell>
          <cell r="T902" t="str">
            <v>-</v>
          </cell>
          <cell r="U902" t="str">
            <v>-</v>
          </cell>
          <cell r="W902" t="str">
            <v>-</v>
          </cell>
          <cell r="X902" t="str">
            <v>-</v>
          </cell>
        </row>
        <row r="903">
          <cell r="A903">
            <v>72220895</v>
          </cell>
          <cell r="B903">
            <v>1634</v>
          </cell>
          <cell r="C903" t="str">
            <v>살살치</v>
          </cell>
          <cell r="D903" t="str">
            <v>C</v>
          </cell>
          <cell r="E903">
            <v>70409242</v>
          </cell>
          <cell r="H903" t="str">
            <v>-</v>
          </cell>
          <cell r="I903" t="str">
            <v>-</v>
          </cell>
          <cell r="K903" t="str">
            <v>-</v>
          </cell>
          <cell r="L903" t="str">
            <v>-</v>
          </cell>
          <cell r="N903" t="str">
            <v>-</v>
          </cell>
          <cell r="O903" t="str">
            <v>-</v>
          </cell>
          <cell r="Q903" t="str">
            <v>-</v>
          </cell>
          <cell r="R903" t="str">
            <v>-</v>
          </cell>
          <cell r="T903" t="str">
            <v>-</v>
          </cell>
          <cell r="U903" t="str">
            <v>-</v>
          </cell>
          <cell r="W903" t="str">
            <v>-</v>
          </cell>
          <cell r="X903" t="str">
            <v>-</v>
          </cell>
        </row>
        <row r="904">
          <cell r="A904">
            <v>72220896</v>
          </cell>
          <cell r="B904">
            <v>1634</v>
          </cell>
          <cell r="C904" t="str">
            <v>벌감펭</v>
          </cell>
          <cell r="D904" t="str">
            <v>C</v>
          </cell>
          <cell r="E904">
            <v>70409194</v>
          </cell>
          <cell r="H904" t="str">
            <v>-</v>
          </cell>
          <cell r="I904" t="str">
            <v>-</v>
          </cell>
          <cell r="K904" t="str">
            <v>-</v>
          </cell>
          <cell r="L904" t="str">
            <v>-</v>
          </cell>
          <cell r="N904" t="str">
            <v>-</v>
          </cell>
          <cell r="O904" t="str">
            <v>-</v>
          </cell>
          <cell r="Q904" t="str">
            <v>-</v>
          </cell>
          <cell r="R904" t="str">
            <v>-</v>
          </cell>
          <cell r="T904" t="str">
            <v>-</v>
          </cell>
          <cell r="U904" t="str">
            <v>-</v>
          </cell>
          <cell r="W904" t="str">
            <v>-</v>
          </cell>
          <cell r="X904" t="str">
            <v>-</v>
          </cell>
        </row>
        <row r="905">
          <cell r="A905">
            <v>72220897</v>
          </cell>
          <cell r="B905">
            <v>1634</v>
          </cell>
          <cell r="C905" t="str">
            <v>새눈치</v>
          </cell>
          <cell r="D905" t="str">
            <v>D</v>
          </cell>
          <cell r="E905">
            <v>70409249</v>
          </cell>
          <cell r="H905" t="str">
            <v>-</v>
          </cell>
          <cell r="I905" t="str">
            <v>-</v>
          </cell>
          <cell r="K905" t="str">
            <v>-</v>
          </cell>
          <cell r="L905" t="str">
            <v>-</v>
          </cell>
          <cell r="N905" t="str">
            <v>-</v>
          </cell>
          <cell r="O905" t="str">
            <v>-</v>
          </cell>
          <cell r="Q905" t="str">
            <v>-</v>
          </cell>
          <cell r="R905" t="str">
            <v>-</v>
          </cell>
          <cell r="T905" t="str">
            <v>-</v>
          </cell>
          <cell r="U905" t="str">
            <v>-</v>
          </cell>
          <cell r="W905" t="str">
            <v>-</v>
          </cell>
          <cell r="X905" t="str">
            <v>-</v>
          </cell>
        </row>
        <row r="906">
          <cell r="A906">
            <v>72220898</v>
          </cell>
          <cell r="B906">
            <v>1641</v>
          </cell>
          <cell r="C906" t="str">
            <v>고래상어</v>
          </cell>
          <cell r="D906" t="str">
            <v>S</v>
          </cell>
          <cell r="E906">
            <v>70409032</v>
          </cell>
          <cell r="H906" t="str">
            <v>-</v>
          </cell>
          <cell r="I906" t="str">
            <v>-</v>
          </cell>
          <cell r="K906" t="str">
            <v>-</v>
          </cell>
          <cell r="L906" t="str">
            <v>-</v>
          </cell>
          <cell r="N906" t="str">
            <v>-</v>
          </cell>
          <cell r="O906" t="str">
            <v>-</v>
          </cell>
          <cell r="Q906" t="str">
            <v>-</v>
          </cell>
          <cell r="R906" t="str">
            <v>-</v>
          </cell>
          <cell r="T906" t="str">
            <v>-</v>
          </cell>
          <cell r="U906" t="str">
            <v>-</v>
          </cell>
          <cell r="W906" t="str">
            <v>-</v>
          </cell>
          <cell r="X906" t="str">
            <v>-</v>
          </cell>
        </row>
        <row r="907">
          <cell r="A907">
            <v>72220899</v>
          </cell>
          <cell r="B907">
            <v>1641</v>
          </cell>
          <cell r="C907" t="str">
            <v>물천구</v>
          </cell>
          <cell r="D907" t="str">
            <v>A</v>
          </cell>
          <cell r="E907">
            <v>70409168</v>
          </cell>
          <cell r="H907" t="str">
            <v>-</v>
          </cell>
          <cell r="I907" t="str">
            <v>-</v>
          </cell>
          <cell r="K907" t="str">
            <v>-</v>
          </cell>
          <cell r="L907" t="str">
            <v>-</v>
          </cell>
          <cell r="N907" t="str">
            <v>-</v>
          </cell>
          <cell r="O907" t="str">
            <v>-</v>
          </cell>
          <cell r="Q907" t="str">
            <v>-</v>
          </cell>
          <cell r="R907" t="str">
            <v>-</v>
          </cell>
          <cell r="T907" t="str">
            <v>-</v>
          </cell>
          <cell r="U907" t="str">
            <v>-</v>
          </cell>
          <cell r="W907" t="str">
            <v>-</v>
          </cell>
          <cell r="X907" t="str">
            <v>-</v>
          </cell>
        </row>
        <row r="908">
          <cell r="A908">
            <v>72220900</v>
          </cell>
          <cell r="B908">
            <v>1641</v>
          </cell>
          <cell r="C908" t="str">
            <v>나사조개</v>
          </cell>
          <cell r="D908" t="str">
            <v>B</v>
          </cell>
          <cell r="E908">
            <v>70409062</v>
          </cell>
          <cell r="H908" t="str">
            <v>-</v>
          </cell>
          <cell r="I908" t="str">
            <v>-</v>
          </cell>
          <cell r="K908" t="str">
            <v>-</v>
          </cell>
          <cell r="L908" t="str">
            <v>-</v>
          </cell>
          <cell r="N908" t="str">
            <v>-</v>
          </cell>
          <cell r="O908" t="str">
            <v>-</v>
          </cell>
          <cell r="Q908" t="str">
            <v>-</v>
          </cell>
          <cell r="R908" t="str">
            <v>-</v>
          </cell>
          <cell r="T908" t="str">
            <v>-</v>
          </cell>
          <cell r="U908" t="str">
            <v>-</v>
          </cell>
          <cell r="W908" t="str">
            <v>-</v>
          </cell>
          <cell r="X908" t="str">
            <v>-</v>
          </cell>
        </row>
        <row r="909">
          <cell r="A909">
            <v>72220901</v>
          </cell>
          <cell r="B909">
            <v>1641</v>
          </cell>
          <cell r="C909" t="str">
            <v>배불뚝치</v>
          </cell>
          <cell r="D909" t="str">
            <v>C</v>
          </cell>
          <cell r="E909">
            <v>70409186</v>
          </cell>
          <cell r="H909" t="str">
            <v>-</v>
          </cell>
          <cell r="I909" t="str">
            <v>-</v>
          </cell>
          <cell r="K909" t="str">
            <v>-</v>
          </cell>
          <cell r="L909" t="str">
            <v>-</v>
          </cell>
          <cell r="N909" t="str">
            <v>-</v>
          </cell>
          <cell r="O909" t="str">
            <v>-</v>
          </cell>
          <cell r="Q909" t="str">
            <v>-</v>
          </cell>
          <cell r="R909" t="str">
            <v>-</v>
          </cell>
          <cell r="T909" t="str">
            <v>-</v>
          </cell>
          <cell r="U909" t="str">
            <v>-</v>
          </cell>
          <cell r="W909" t="str">
            <v>-</v>
          </cell>
          <cell r="X909" t="str">
            <v>-</v>
          </cell>
        </row>
        <row r="910">
          <cell r="A910">
            <v>72220902</v>
          </cell>
          <cell r="B910">
            <v>1641</v>
          </cell>
          <cell r="C910" t="str">
            <v>알락곰치</v>
          </cell>
          <cell r="D910" t="str">
            <v>C</v>
          </cell>
          <cell r="E910">
            <v>70409276</v>
          </cell>
          <cell r="H910" t="str">
            <v>-</v>
          </cell>
          <cell r="I910" t="str">
            <v>-</v>
          </cell>
          <cell r="K910" t="str">
            <v>-</v>
          </cell>
          <cell r="L910" t="str">
            <v>-</v>
          </cell>
          <cell r="N910" t="str">
            <v>-</v>
          </cell>
          <cell r="O910" t="str">
            <v>-</v>
          </cell>
          <cell r="Q910" t="str">
            <v>-</v>
          </cell>
          <cell r="R910" t="str">
            <v>-</v>
          </cell>
          <cell r="T910" t="str">
            <v>-</v>
          </cell>
          <cell r="U910" t="str">
            <v>-</v>
          </cell>
          <cell r="W910" t="str">
            <v>-</v>
          </cell>
          <cell r="X910" t="str">
            <v>-</v>
          </cell>
        </row>
        <row r="911">
          <cell r="A911">
            <v>72220903</v>
          </cell>
          <cell r="B911">
            <v>1642</v>
          </cell>
          <cell r="C911" t="str">
            <v>고래상어</v>
          </cell>
          <cell r="D911" t="str">
            <v>S</v>
          </cell>
          <cell r="E911">
            <v>70409032</v>
          </cell>
          <cell r="H911" t="str">
            <v>-</v>
          </cell>
          <cell r="I911" t="str">
            <v>-</v>
          </cell>
          <cell r="K911" t="str">
            <v>-</v>
          </cell>
          <cell r="L911" t="str">
            <v>-</v>
          </cell>
          <cell r="N911" t="str">
            <v>-</v>
          </cell>
          <cell r="O911" t="str">
            <v>-</v>
          </cell>
          <cell r="Q911" t="str">
            <v>-</v>
          </cell>
          <cell r="R911" t="str">
            <v>-</v>
          </cell>
          <cell r="T911" t="str">
            <v>-</v>
          </cell>
          <cell r="U911" t="str">
            <v>-</v>
          </cell>
          <cell r="W911" t="str">
            <v>-</v>
          </cell>
          <cell r="X911" t="str">
            <v>-</v>
          </cell>
        </row>
        <row r="912">
          <cell r="A912">
            <v>72220904</v>
          </cell>
          <cell r="B912">
            <v>1642</v>
          </cell>
          <cell r="C912" t="str">
            <v>물천구</v>
          </cell>
          <cell r="D912" t="str">
            <v>A</v>
          </cell>
          <cell r="E912">
            <v>70409168</v>
          </cell>
          <cell r="H912" t="str">
            <v>-</v>
          </cell>
          <cell r="I912" t="str">
            <v>-</v>
          </cell>
          <cell r="K912" t="str">
            <v>-</v>
          </cell>
          <cell r="L912" t="str">
            <v>-</v>
          </cell>
          <cell r="N912" t="str">
            <v>-</v>
          </cell>
          <cell r="O912" t="str">
            <v>-</v>
          </cell>
          <cell r="Q912" t="str">
            <v>-</v>
          </cell>
          <cell r="R912" t="str">
            <v>-</v>
          </cell>
          <cell r="T912" t="str">
            <v>-</v>
          </cell>
          <cell r="U912" t="str">
            <v>-</v>
          </cell>
          <cell r="W912" t="str">
            <v>-</v>
          </cell>
          <cell r="X912" t="str">
            <v>-</v>
          </cell>
        </row>
        <row r="913">
          <cell r="A913">
            <v>72220905</v>
          </cell>
          <cell r="B913">
            <v>1642</v>
          </cell>
          <cell r="C913" t="str">
            <v>나사조개</v>
          </cell>
          <cell r="D913" t="str">
            <v>B</v>
          </cell>
          <cell r="E913">
            <v>70409062</v>
          </cell>
          <cell r="H913" t="str">
            <v>-</v>
          </cell>
          <cell r="I913" t="str">
            <v>-</v>
          </cell>
          <cell r="K913" t="str">
            <v>-</v>
          </cell>
          <cell r="L913" t="str">
            <v>-</v>
          </cell>
          <cell r="N913" t="str">
            <v>-</v>
          </cell>
          <cell r="O913" t="str">
            <v>-</v>
          </cell>
          <cell r="Q913" t="str">
            <v>-</v>
          </cell>
          <cell r="R913" t="str">
            <v>-</v>
          </cell>
          <cell r="T913" t="str">
            <v>-</v>
          </cell>
          <cell r="U913" t="str">
            <v>-</v>
          </cell>
          <cell r="W913" t="str">
            <v>-</v>
          </cell>
          <cell r="X913" t="str">
            <v>-</v>
          </cell>
        </row>
        <row r="914">
          <cell r="A914">
            <v>72220906</v>
          </cell>
          <cell r="B914">
            <v>1642</v>
          </cell>
          <cell r="C914" t="str">
            <v>배불뚝치</v>
          </cell>
          <cell r="D914" t="str">
            <v>C</v>
          </cell>
          <cell r="E914">
            <v>70409186</v>
          </cell>
          <cell r="H914" t="str">
            <v>-</v>
          </cell>
          <cell r="I914" t="str">
            <v>-</v>
          </cell>
          <cell r="K914" t="str">
            <v>-</v>
          </cell>
          <cell r="L914" t="str">
            <v>-</v>
          </cell>
          <cell r="N914" t="str">
            <v>-</v>
          </cell>
          <cell r="O914" t="str">
            <v>-</v>
          </cell>
          <cell r="Q914" t="str">
            <v>-</v>
          </cell>
          <cell r="R914" t="str">
            <v>-</v>
          </cell>
          <cell r="T914" t="str">
            <v>-</v>
          </cell>
          <cell r="U914" t="str">
            <v>-</v>
          </cell>
          <cell r="W914" t="str">
            <v>-</v>
          </cell>
          <cell r="X914" t="str">
            <v>-</v>
          </cell>
        </row>
        <row r="915">
          <cell r="A915">
            <v>72220907</v>
          </cell>
          <cell r="B915">
            <v>1642</v>
          </cell>
          <cell r="C915" t="str">
            <v>알락곰치</v>
          </cell>
          <cell r="D915" t="str">
            <v>C</v>
          </cell>
          <cell r="E915">
            <v>70409276</v>
          </cell>
          <cell r="H915" t="str">
            <v>-</v>
          </cell>
          <cell r="I915" t="str">
            <v>-</v>
          </cell>
          <cell r="K915" t="str">
            <v>-</v>
          </cell>
          <cell r="L915" t="str">
            <v>-</v>
          </cell>
          <cell r="N915" t="str">
            <v>-</v>
          </cell>
          <cell r="O915" t="str">
            <v>-</v>
          </cell>
          <cell r="Q915" t="str">
            <v>-</v>
          </cell>
          <cell r="R915" t="str">
            <v>-</v>
          </cell>
          <cell r="T915" t="str">
            <v>-</v>
          </cell>
          <cell r="U915" t="str">
            <v>-</v>
          </cell>
          <cell r="W915" t="str">
            <v>-</v>
          </cell>
          <cell r="X915" t="str">
            <v>-</v>
          </cell>
        </row>
        <row r="916">
          <cell r="A916">
            <v>72220908</v>
          </cell>
          <cell r="B916">
            <v>1643</v>
          </cell>
          <cell r="C916" t="str">
            <v>고래상어</v>
          </cell>
          <cell r="D916" t="str">
            <v>S</v>
          </cell>
          <cell r="E916">
            <v>70409032</v>
          </cell>
          <cell r="H916" t="str">
            <v>-</v>
          </cell>
          <cell r="I916" t="str">
            <v>-</v>
          </cell>
          <cell r="K916" t="str">
            <v>-</v>
          </cell>
          <cell r="L916" t="str">
            <v>-</v>
          </cell>
          <cell r="N916" t="str">
            <v>-</v>
          </cell>
          <cell r="O916" t="str">
            <v>-</v>
          </cell>
          <cell r="Q916" t="str">
            <v>-</v>
          </cell>
          <cell r="R916" t="str">
            <v>-</v>
          </cell>
          <cell r="T916" t="str">
            <v>-</v>
          </cell>
          <cell r="U916" t="str">
            <v>-</v>
          </cell>
          <cell r="W916" t="str">
            <v>-</v>
          </cell>
          <cell r="X916" t="str">
            <v>-</v>
          </cell>
        </row>
        <row r="917">
          <cell r="A917">
            <v>72220909</v>
          </cell>
          <cell r="B917">
            <v>1643</v>
          </cell>
          <cell r="C917" t="str">
            <v>물천구</v>
          </cell>
          <cell r="D917" t="str">
            <v>A</v>
          </cell>
          <cell r="E917">
            <v>70409168</v>
          </cell>
          <cell r="H917" t="str">
            <v>-</v>
          </cell>
          <cell r="I917" t="str">
            <v>-</v>
          </cell>
          <cell r="K917" t="str">
            <v>-</v>
          </cell>
          <cell r="L917" t="str">
            <v>-</v>
          </cell>
          <cell r="N917" t="str">
            <v>-</v>
          </cell>
          <cell r="O917" t="str">
            <v>-</v>
          </cell>
          <cell r="Q917" t="str">
            <v>-</v>
          </cell>
          <cell r="R917" t="str">
            <v>-</v>
          </cell>
          <cell r="T917" t="str">
            <v>-</v>
          </cell>
          <cell r="U917" t="str">
            <v>-</v>
          </cell>
          <cell r="W917" t="str">
            <v>-</v>
          </cell>
          <cell r="X917" t="str">
            <v>-</v>
          </cell>
        </row>
        <row r="918">
          <cell r="A918">
            <v>72220910</v>
          </cell>
          <cell r="B918">
            <v>1643</v>
          </cell>
          <cell r="C918" t="str">
            <v>나사조개</v>
          </cell>
          <cell r="D918" t="str">
            <v>B</v>
          </cell>
          <cell r="E918">
            <v>70409062</v>
          </cell>
          <cell r="H918" t="str">
            <v>-</v>
          </cell>
          <cell r="I918" t="str">
            <v>-</v>
          </cell>
          <cell r="K918" t="str">
            <v>-</v>
          </cell>
          <cell r="L918" t="str">
            <v>-</v>
          </cell>
          <cell r="N918" t="str">
            <v>-</v>
          </cell>
          <cell r="O918" t="str">
            <v>-</v>
          </cell>
          <cell r="Q918" t="str">
            <v>-</v>
          </cell>
          <cell r="R918" t="str">
            <v>-</v>
          </cell>
          <cell r="T918" t="str">
            <v>-</v>
          </cell>
          <cell r="U918" t="str">
            <v>-</v>
          </cell>
          <cell r="W918" t="str">
            <v>-</v>
          </cell>
          <cell r="X918" t="str">
            <v>-</v>
          </cell>
        </row>
        <row r="919">
          <cell r="A919">
            <v>72220911</v>
          </cell>
          <cell r="B919">
            <v>1643</v>
          </cell>
          <cell r="C919" t="str">
            <v>배불뚝치</v>
          </cell>
          <cell r="D919" t="str">
            <v>C</v>
          </cell>
          <cell r="E919">
            <v>70409186</v>
          </cell>
          <cell r="H919" t="str">
            <v>-</v>
          </cell>
          <cell r="I919" t="str">
            <v>-</v>
          </cell>
          <cell r="K919" t="str">
            <v>-</v>
          </cell>
          <cell r="L919" t="str">
            <v>-</v>
          </cell>
          <cell r="N919" t="str">
            <v>-</v>
          </cell>
          <cell r="O919" t="str">
            <v>-</v>
          </cell>
          <cell r="Q919" t="str">
            <v>-</v>
          </cell>
          <cell r="R919" t="str">
            <v>-</v>
          </cell>
          <cell r="T919" t="str">
            <v>-</v>
          </cell>
          <cell r="U919" t="str">
            <v>-</v>
          </cell>
          <cell r="W919" t="str">
            <v>-</v>
          </cell>
          <cell r="X919" t="str">
            <v>-</v>
          </cell>
        </row>
        <row r="920">
          <cell r="A920">
            <v>72220912</v>
          </cell>
          <cell r="B920">
            <v>1643</v>
          </cell>
          <cell r="C920" t="str">
            <v>알락곰치</v>
          </cell>
          <cell r="D920" t="str">
            <v>C</v>
          </cell>
          <cell r="E920">
            <v>70409276</v>
          </cell>
          <cell r="H920" t="str">
            <v>-</v>
          </cell>
          <cell r="I920" t="str">
            <v>-</v>
          </cell>
          <cell r="K920" t="str">
            <v>-</v>
          </cell>
          <cell r="L920" t="str">
            <v>-</v>
          </cell>
          <cell r="N920" t="str">
            <v>-</v>
          </cell>
          <cell r="O920" t="str">
            <v>-</v>
          </cell>
          <cell r="Q920" t="str">
            <v>-</v>
          </cell>
          <cell r="R920" t="str">
            <v>-</v>
          </cell>
          <cell r="T920" t="str">
            <v>-</v>
          </cell>
          <cell r="U920" t="str">
            <v>-</v>
          </cell>
          <cell r="W920" t="str">
            <v>-</v>
          </cell>
          <cell r="X920" t="str">
            <v>-</v>
          </cell>
        </row>
        <row r="921">
          <cell r="A921">
            <v>72220913</v>
          </cell>
          <cell r="B921">
            <v>1644</v>
          </cell>
          <cell r="C921" t="str">
            <v>고래상어</v>
          </cell>
          <cell r="D921" t="str">
            <v>S</v>
          </cell>
          <cell r="E921">
            <v>70409032</v>
          </cell>
          <cell r="H921" t="str">
            <v>-</v>
          </cell>
          <cell r="I921" t="str">
            <v>-</v>
          </cell>
          <cell r="K921" t="str">
            <v>-</v>
          </cell>
          <cell r="L921" t="str">
            <v>-</v>
          </cell>
          <cell r="N921" t="str">
            <v>-</v>
          </cell>
          <cell r="O921" t="str">
            <v>-</v>
          </cell>
          <cell r="Q921" t="str">
            <v>-</v>
          </cell>
          <cell r="R921" t="str">
            <v>-</v>
          </cell>
          <cell r="T921" t="str">
            <v>-</v>
          </cell>
          <cell r="U921" t="str">
            <v>-</v>
          </cell>
          <cell r="W921" t="str">
            <v>-</v>
          </cell>
          <cell r="X921" t="str">
            <v>-</v>
          </cell>
        </row>
        <row r="922">
          <cell r="A922">
            <v>72220914</v>
          </cell>
          <cell r="B922">
            <v>1644</v>
          </cell>
          <cell r="C922" t="str">
            <v>물천구</v>
          </cell>
          <cell r="D922" t="str">
            <v>A</v>
          </cell>
          <cell r="E922">
            <v>70409168</v>
          </cell>
          <cell r="H922" t="str">
            <v>-</v>
          </cell>
          <cell r="I922" t="str">
            <v>-</v>
          </cell>
          <cell r="K922" t="str">
            <v>-</v>
          </cell>
          <cell r="L922" t="str">
            <v>-</v>
          </cell>
          <cell r="N922" t="str">
            <v>-</v>
          </cell>
          <cell r="O922" t="str">
            <v>-</v>
          </cell>
          <cell r="Q922" t="str">
            <v>-</v>
          </cell>
          <cell r="R922" t="str">
            <v>-</v>
          </cell>
          <cell r="T922" t="str">
            <v>-</v>
          </cell>
          <cell r="U922" t="str">
            <v>-</v>
          </cell>
          <cell r="W922" t="str">
            <v>-</v>
          </cell>
          <cell r="X922" t="str">
            <v>-</v>
          </cell>
        </row>
        <row r="923">
          <cell r="A923">
            <v>72220915</v>
          </cell>
          <cell r="B923">
            <v>1644</v>
          </cell>
          <cell r="C923" t="str">
            <v>나사조개</v>
          </cell>
          <cell r="D923" t="str">
            <v>B</v>
          </cell>
          <cell r="E923">
            <v>70409062</v>
          </cell>
          <cell r="H923" t="str">
            <v>-</v>
          </cell>
          <cell r="I923" t="str">
            <v>-</v>
          </cell>
          <cell r="K923" t="str">
            <v>-</v>
          </cell>
          <cell r="L923" t="str">
            <v>-</v>
          </cell>
          <cell r="N923" t="str">
            <v>-</v>
          </cell>
          <cell r="O923" t="str">
            <v>-</v>
          </cell>
          <cell r="Q923" t="str">
            <v>-</v>
          </cell>
          <cell r="R923" t="str">
            <v>-</v>
          </cell>
          <cell r="T923" t="str">
            <v>-</v>
          </cell>
          <cell r="U923" t="str">
            <v>-</v>
          </cell>
          <cell r="W923" t="str">
            <v>-</v>
          </cell>
          <cell r="X923" t="str">
            <v>-</v>
          </cell>
        </row>
        <row r="924">
          <cell r="A924">
            <v>72220916</v>
          </cell>
          <cell r="B924">
            <v>1644</v>
          </cell>
          <cell r="C924" t="str">
            <v>배불뚝치</v>
          </cell>
          <cell r="D924" t="str">
            <v>C</v>
          </cell>
          <cell r="E924">
            <v>70409186</v>
          </cell>
          <cell r="H924" t="str">
            <v>-</v>
          </cell>
          <cell r="I924" t="str">
            <v>-</v>
          </cell>
          <cell r="K924" t="str">
            <v>-</v>
          </cell>
          <cell r="L924" t="str">
            <v>-</v>
          </cell>
          <cell r="N924" t="str">
            <v>-</v>
          </cell>
          <cell r="O924" t="str">
            <v>-</v>
          </cell>
          <cell r="Q924" t="str">
            <v>-</v>
          </cell>
          <cell r="R924" t="str">
            <v>-</v>
          </cell>
          <cell r="T924" t="str">
            <v>-</v>
          </cell>
          <cell r="U924" t="str">
            <v>-</v>
          </cell>
          <cell r="W924" t="str">
            <v>-</v>
          </cell>
          <cell r="X924" t="str">
            <v>-</v>
          </cell>
        </row>
        <row r="925">
          <cell r="A925">
            <v>72220917</v>
          </cell>
          <cell r="B925">
            <v>1644</v>
          </cell>
          <cell r="C925" t="str">
            <v>알락곰치</v>
          </cell>
          <cell r="D925" t="str">
            <v>C</v>
          </cell>
          <cell r="E925">
            <v>70409276</v>
          </cell>
          <cell r="H925" t="str">
            <v>-</v>
          </cell>
          <cell r="I925" t="str">
            <v>-</v>
          </cell>
          <cell r="K925" t="str">
            <v>-</v>
          </cell>
          <cell r="L925" t="str">
            <v>-</v>
          </cell>
          <cell r="N925" t="str">
            <v>-</v>
          </cell>
          <cell r="O925" t="str">
            <v>-</v>
          </cell>
          <cell r="Q925" t="str">
            <v>-</v>
          </cell>
          <cell r="R925" t="str">
            <v>-</v>
          </cell>
          <cell r="T925" t="str">
            <v>-</v>
          </cell>
          <cell r="U925" t="str">
            <v>-</v>
          </cell>
          <cell r="W925" t="str">
            <v>-</v>
          </cell>
          <cell r="X925" t="str">
            <v>-</v>
          </cell>
        </row>
        <row r="926">
          <cell r="A926">
            <v>72220918</v>
          </cell>
          <cell r="B926">
            <v>1651</v>
          </cell>
          <cell r="C926" t="str">
            <v>듀공</v>
          </cell>
          <cell r="D926" t="str">
            <v>S</v>
          </cell>
          <cell r="E926">
            <v>70409132</v>
          </cell>
          <cell r="H926" t="str">
            <v>-</v>
          </cell>
          <cell r="I926" t="str">
            <v>-</v>
          </cell>
          <cell r="K926" t="str">
            <v>-</v>
          </cell>
          <cell r="L926" t="str">
            <v>-</v>
          </cell>
          <cell r="N926" t="str">
            <v>-</v>
          </cell>
          <cell r="O926" t="str">
            <v>-</v>
          </cell>
          <cell r="Q926" t="str">
            <v>-</v>
          </cell>
          <cell r="R926" t="str">
            <v>-</v>
          </cell>
          <cell r="T926" t="str">
            <v>-</v>
          </cell>
          <cell r="U926" t="str">
            <v>-</v>
          </cell>
          <cell r="W926" t="str">
            <v>-</v>
          </cell>
          <cell r="X926" t="str">
            <v>-</v>
          </cell>
        </row>
        <row r="927">
          <cell r="A927">
            <v>72220919</v>
          </cell>
          <cell r="B927">
            <v>1651</v>
          </cell>
          <cell r="C927" t="str">
            <v>쏠배감펭</v>
          </cell>
          <cell r="D927" t="str">
            <v>A</v>
          </cell>
          <cell r="E927">
            <v>70409267</v>
          </cell>
          <cell r="H927" t="str">
            <v>-</v>
          </cell>
          <cell r="I927" t="str">
            <v>-</v>
          </cell>
          <cell r="K927" t="str">
            <v>-</v>
          </cell>
          <cell r="L927" t="str">
            <v>-</v>
          </cell>
          <cell r="N927" t="str">
            <v>-</v>
          </cell>
          <cell r="O927" t="str">
            <v>-</v>
          </cell>
          <cell r="Q927" t="str">
            <v>-</v>
          </cell>
          <cell r="R927" t="str">
            <v>-</v>
          </cell>
          <cell r="T927" t="str">
            <v>-</v>
          </cell>
          <cell r="U927" t="str">
            <v>-</v>
          </cell>
          <cell r="W927" t="str">
            <v>-</v>
          </cell>
          <cell r="X927" t="str">
            <v>-</v>
          </cell>
        </row>
        <row r="928">
          <cell r="A928">
            <v>72220920</v>
          </cell>
          <cell r="B928">
            <v>1651</v>
          </cell>
          <cell r="C928" t="str">
            <v>황줄돔</v>
          </cell>
          <cell r="D928" t="str">
            <v>C</v>
          </cell>
          <cell r="E928">
            <v>70409407</v>
          </cell>
          <cell r="H928" t="str">
            <v>-</v>
          </cell>
          <cell r="I928" t="str">
            <v>-</v>
          </cell>
          <cell r="K928" t="str">
            <v>-</v>
          </cell>
          <cell r="L928" t="str">
            <v>-</v>
          </cell>
          <cell r="N928" t="str">
            <v>-</v>
          </cell>
          <cell r="O928" t="str">
            <v>-</v>
          </cell>
          <cell r="Q928" t="str">
            <v>-</v>
          </cell>
          <cell r="R928" t="str">
            <v>-</v>
          </cell>
          <cell r="T928" t="str">
            <v>-</v>
          </cell>
          <cell r="U928" t="str">
            <v>-</v>
          </cell>
          <cell r="W928" t="str">
            <v>-</v>
          </cell>
          <cell r="X928" t="str">
            <v>-</v>
          </cell>
        </row>
        <row r="929">
          <cell r="A929">
            <v>72220921</v>
          </cell>
          <cell r="B929">
            <v>1651</v>
          </cell>
          <cell r="C929" t="str">
            <v>통치</v>
          </cell>
          <cell r="D929" t="str">
            <v>D</v>
          </cell>
          <cell r="E929">
            <v>70409371</v>
          </cell>
          <cell r="H929" t="str">
            <v>-</v>
          </cell>
          <cell r="I929" t="str">
            <v>-</v>
          </cell>
          <cell r="K929" t="str">
            <v>-</v>
          </cell>
          <cell r="L929" t="str">
            <v>-</v>
          </cell>
          <cell r="N929" t="str">
            <v>-</v>
          </cell>
          <cell r="O929" t="str">
            <v>-</v>
          </cell>
          <cell r="Q929" t="str">
            <v>-</v>
          </cell>
          <cell r="R929" t="str">
            <v>-</v>
          </cell>
          <cell r="T929" t="str">
            <v>-</v>
          </cell>
          <cell r="U929" t="str">
            <v>-</v>
          </cell>
          <cell r="W929" t="str">
            <v>-</v>
          </cell>
          <cell r="X929" t="str">
            <v>-</v>
          </cell>
        </row>
        <row r="930">
          <cell r="A930">
            <v>72220922</v>
          </cell>
          <cell r="B930">
            <v>1651</v>
          </cell>
          <cell r="C930" t="str">
            <v>갈고등어</v>
          </cell>
          <cell r="D930" t="str">
            <v>A</v>
          </cell>
          <cell r="E930">
            <v>70409009</v>
          </cell>
          <cell r="H930" t="str">
            <v>-</v>
          </cell>
          <cell r="I930" t="str">
            <v>-</v>
          </cell>
          <cell r="K930" t="str">
            <v>-</v>
          </cell>
          <cell r="L930" t="str">
            <v>-</v>
          </cell>
          <cell r="N930" t="str">
            <v>-</v>
          </cell>
          <cell r="O930" t="str">
            <v>-</v>
          </cell>
          <cell r="Q930" t="str">
            <v>-</v>
          </cell>
          <cell r="R930" t="str">
            <v>-</v>
          </cell>
          <cell r="T930" t="str">
            <v>-</v>
          </cell>
          <cell r="U930" t="str">
            <v>-</v>
          </cell>
          <cell r="W930" t="str">
            <v>-</v>
          </cell>
          <cell r="X930" t="str">
            <v>-</v>
          </cell>
        </row>
        <row r="931">
          <cell r="A931">
            <v>72220923</v>
          </cell>
          <cell r="B931">
            <v>1652</v>
          </cell>
          <cell r="C931" t="str">
            <v>듀공</v>
          </cell>
          <cell r="D931" t="str">
            <v>S</v>
          </cell>
          <cell r="E931">
            <v>70409132</v>
          </cell>
          <cell r="H931" t="str">
            <v>-</v>
          </cell>
          <cell r="I931" t="str">
            <v>-</v>
          </cell>
          <cell r="K931" t="str">
            <v>-</v>
          </cell>
          <cell r="L931" t="str">
            <v>-</v>
          </cell>
          <cell r="N931" t="str">
            <v>-</v>
          </cell>
          <cell r="O931" t="str">
            <v>-</v>
          </cell>
          <cell r="Q931" t="str">
            <v>-</v>
          </cell>
          <cell r="R931" t="str">
            <v>-</v>
          </cell>
          <cell r="T931" t="str">
            <v>-</v>
          </cell>
          <cell r="U931" t="str">
            <v>-</v>
          </cell>
          <cell r="W931" t="str">
            <v>-</v>
          </cell>
          <cell r="X931" t="str">
            <v>-</v>
          </cell>
        </row>
        <row r="932">
          <cell r="A932">
            <v>72220924</v>
          </cell>
          <cell r="B932">
            <v>1652</v>
          </cell>
          <cell r="C932" t="str">
            <v>쏠배감펭</v>
          </cell>
          <cell r="D932" t="str">
            <v>A</v>
          </cell>
          <cell r="E932">
            <v>70409267</v>
          </cell>
          <cell r="H932" t="str">
            <v>-</v>
          </cell>
          <cell r="I932" t="str">
            <v>-</v>
          </cell>
          <cell r="K932" t="str">
            <v>-</v>
          </cell>
          <cell r="L932" t="str">
            <v>-</v>
          </cell>
          <cell r="N932" t="str">
            <v>-</v>
          </cell>
          <cell r="O932" t="str">
            <v>-</v>
          </cell>
          <cell r="Q932" t="str">
            <v>-</v>
          </cell>
          <cell r="R932" t="str">
            <v>-</v>
          </cell>
          <cell r="T932" t="str">
            <v>-</v>
          </cell>
          <cell r="U932" t="str">
            <v>-</v>
          </cell>
          <cell r="W932" t="str">
            <v>-</v>
          </cell>
          <cell r="X932" t="str">
            <v>-</v>
          </cell>
        </row>
        <row r="933">
          <cell r="A933">
            <v>72220925</v>
          </cell>
          <cell r="B933">
            <v>1652</v>
          </cell>
          <cell r="C933" t="str">
            <v>황줄돔</v>
          </cell>
          <cell r="D933" t="str">
            <v>C</v>
          </cell>
          <cell r="E933">
            <v>70409407</v>
          </cell>
          <cell r="H933" t="str">
            <v>-</v>
          </cell>
          <cell r="I933" t="str">
            <v>-</v>
          </cell>
          <cell r="K933" t="str">
            <v>-</v>
          </cell>
          <cell r="L933" t="str">
            <v>-</v>
          </cell>
          <cell r="N933" t="str">
            <v>-</v>
          </cell>
          <cell r="O933" t="str">
            <v>-</v>
          </cell>
          <cell r="Q933" t="str">
            <v>-</v>
          </cell>
          <cell r="R933" t="str">
            <v>-</v>
          </cell>
          <cell r="T933" t="str">
            <v>-</v>
          </cell>
          <cell r="U933" t="str">
            <v>-</v>
          </cell>
          <cell r="W933" t="str">
            <v>-</v>
          </cell>
          <cell r="X933" t="str">
            <v>-</v>
          </cell>
        </row>
        <row r="934">
          <cell r="A934">
            <v>72220926</v>
          </cell>
          <cell r="B934">
            <v>1652</v>
          </cell>
          <cell r="C934" t="str">
            <v>통치</v>
          </cell>
          <cell r="D934" t="str">
            <v>D</v>
          </cell>
          <cell r="E934">
            <v>70409371</v>
          </cell>
          <cell r="H934" t="str">
            <v>-</v>
          </cell>
          <cell r="I934" t="str">
            <v>-</v>
          </cell>
          <cell r="K934" t="str">
            <v>-</v>
          </cell>
          <cell r="L934" t="str">
            <v>-</v>
          </cell>
          <cell r="N934" t="str">
            <v>-</v>
          </cell>
          <cell r="O934" t="str">
            <v>-</v>
          </cell>
          <cell r="Q934" t="str">
            <v>-</v>
          </cell>
          <cell r="R934" t="str">
            <v>-</v>
          </cell>
          <cell r="T934" t="str">
            <v>-</v>
          </cell>
          <cell r="U934" t="str">
            <v>-</v>
          </cell>
          <cell r="W934" t="str">
            <v>-</v>
          </cell>
          <cell r="X934" t="str">
            <v>-</v>
          </cell>
        </row>
        <row r="935">
          <cell r="A935">
            <v>72220927</v>
          </cell>
          <cell r="B935">
            <v>1652</v>
          </cell>
          <cell r="C935" t="str">
            <v>갈고등어</v>
          </cell>
          <cell r="D935" t="str">
            <v>A</v>
          </cell>
          <cell r="E935">
            <v>70409009</v>
          </cell>
          <cell r="H935" t="str">
            <v>-</v>
          </cell>
          <cell r="I935" t="str">
            <v>-</v>
          </cell>
          <cell r="K935" t="str">
            <v>-</v>
          </cell>
          <cell r="L935" t="str">
            <v>-</v>
          </cell>
          <cell r="N935" t="str">
            <v>-</v>
          </cell>
          <cell r="O935" t="str">
            <v>-</v>
          </cell>
          <cell r="Q935" t="str">
            <v>-</v>
          </cell>
          <cell r="R935" t="str">
            <v>-</v>
          </cell>
          <cell r="T935" t="str">
            <v>-</v>
          </cell>
          <cell r="U935" t="str">
            <v>-</v>
          </cell>
          <cell r="W935" t="str">
            <v>-</v>
          </cell>
          <cell r="X935" t="str">
            <v>-</v>
          </cell>
        </row>
        <row r="936">
          <cell r="A936">
            <v>72220928</v>
          </cell>
          <cell r="B936">
            <v>1653</v>
          </cell>
          <cell r="C936" t="str">
            <v>듀공</v>
          </cell>
          <cell r="D936" t="str">
            <v>S</v>
          </cell>
          <cell r="E936">
            <v>70409132</v>
          </cell>
          <cell r="H936" t="str">
            <v>-</v>
          </cell>
          <cell r="I936" t="str">
            <v>-</v>
          </cell>
          <cell r="K936" t="str">
            <v>-</v>
          </cell>
          <cell r="L936" t="str">
            <v>-</v>
          </cell>
          <cell r="N936" t="str">
            <v>-</v>
          </cell>
          <cell r="O936" t="str">
            <v>-</v>
          </cell>
          <cell r="Q936" t="str">
            <v>-</v>
          </cell>
          <cell r="R936" t="str">
            <v>-</v>
          </cell>
          <cell r="T936" t="str">
            <v>-</v>
          </cell>
          <cell r="U936" t="str">
            <v>-</v>
          </cell>
          <cell r="W936" t="str">
            <v>-</v>
          </cell>
          <cell r="X936" t="str">
            <v>-</v>
          </cell>
        </row>
        <row r="937">
          <cell r="A937">
            <v>72220929</v>
          </cell>
          <cell r="B937">
            <v>1653</v>
          </cell>
          <cell r="C937" t="str">
            <v>쏠배감펭</v>
          </cell>
          <cell r="D937" t="str">
            <v>A</v>
          </cell>
          <cell r="E937">
            <v>70409267</v>
          </cell>
          <cell r="H937" t="str">
            <v>-</v>
          </cell>
          <cell r="I937" t="str">
            <v>-</v>
          </cell>
          <cell r="K937" t="str">
            <v>-</v>
          </cell>
          <cell r="L937" t="str">
            <v>-</v>
          </cell>
          <cell r="N937" t="str">
            <v>-</v>
          </cell>
          <cell r="O937" t="str">
            <v>-</v>
          </cell>
          <cell r="Q937" t="str">
            <v>-</v>
          </cell>
          <cell r="R937" t="str">
            <v>-</v>
          </cell>
          <cell r="T937" t="str">
            <v>-</v>
          </cell>
          <cell r="U937" t="str">
            <v>-</v>
          </cell>
          <cell r="W937" t="str">
            <v>-</v>
          </cell>
          <cell r="X937" t="str">
            <v>-</v>
          </cell>
        </row>
        <row r="938">
          <cell r="A938">
            <v>72220930</v>
          </cell>
          <cell r="B938">
            <v>1653</v>
          </cell>
          <cell r="C938" t="str">
            <v>황줄돔</v>
          </cell>
          <cell r="D938" t="str">
            <v>C</v>
          </cell>
          <cell r="E938">
            <v>70409407</v>
          </cell>
          <cell r="H938" t="str">
            <v>-</v>
          </cell>
          <cell r="I938" t="str">
            <v>-</v>
          </cell>
          <cell r="K938" t="str">
            <v>-</v>
          </cell>
          <cell r="L938" t="str">
            <v>-</v>
          </cell>
          <cell r="N938" t="str">
            <v>-</v>
          </cell>
          <cell r="O938" t="str">
            <v>-</v>
          </cell>
          <cell r="Q938" t="str">
            <v>-</v>
          </cell>
          <cell r="R938" t="str">
            <v>-</v>
          </cell>
          <cell r="T938" t="str">
            <v>-</v>
          </cell>
          <cell r="U938" t="str">
            <v>-</v>
          </cell>
          <cell r="W938" t="str">
            <v>-</v>
          </cell>
          <cell r="X938" t="str">
            <v>-</v>
          </cell>
        </row>
        <row r="939">
          <cell r="A939">
            <v>72220931</v>
          </cell>
          <cell r="B939">
            <v>1653</v>
          </cell>
          <cell r="C939" t="str">
            <v>통치</v>
          </cell>
          <cell r="D939" t="str">
            <v>D</v>
          </cell>
          <cell r="E939">
            <v>70409371</v>
          </cell>
          <cell r="H939" t="str">
            <v>-</v>
          </cell>
          <cell r="I939" t="str">
            <v>-</v>
          </cell>
          <cell r="K939" t="str">
            <v>-</v>
          </cell>
          <cell r="L939" t="str">
            <v>-</v>
          </cell>
          <cell r="N939" t="str">
            <v>-</v>
          </cell>
          <cell r="O939" t="str">
            <v>-</v>
          </cell>
          <cell r="Q939" t="str">
            <v>-</v>
          </cell>
          <cell r="R939" t="str">
            <v>-</v>
          </cell>
          <cell r="T939" t="str">
            <v>-</v>
          </cell>
          <cell r="U939" t="str">
            <v>-</v>
          </cell>
          <cell r="W939" t="str">
            <v>-</v>
          </cell>
          <cell r="X939" t="str">
            <v>-</v>
          </cell>
        </row>
        <row r="940">
          <cell r="A940">
            <v>72220932</v>
          </cell>
          <cell r="B940">
            <v>1653</v>
          </cell>
          <cell r="C940" t="str">
            <v>갈고등어</v>
          </cell>
          <cell r="D940" t="str">
            <v>A</v>
          </cell>
          <cell r="E940">
            <v>70409009</v>
          </cell>
          <cell r="H940" t="str">
            <v>-</v>
          </cell>
          <cell r="I940" t="str">
            <v>-</v>
          </cell>
          <cell r="K940" t="str">
            <v>-</v>
          </cell>
          <cell r="L940" t="str">
            <v>-</v>
          </cell>
          <cell r="N940" t="str">
            <v>-</v>
          </cell>
          <cell r="O940" t="str">
            <v>-</v>
          </cell>
          <cell r="Q940" t="str">
            <v>-</v>
          </cell>
          <cell r="R940" t="str">
            <v>-</v>
          </cell>
          <cell r="T940" t="str">
            <v>-</v>
          </cell>
          <cell r="U940" t="str">
            <v>-</v>
          </cell>
          <cell r="W940" t="str">
            <v>-</v>
          </cell>
          <cell r="X940" t="str">
            <v>-</v>
          </cell>
        </row>
        <row r="941">
          <cell r="A941">
            <v>72220933</v>
          </cell>
          <cell r="B941">
            <v>1654</v>
          </cell>
          <cell r="C941" t="str">
            <v>듀공</v>
          </cell>
          <cell r="D941" t="str">
            <v>S</v>
          </cell>
          <cell r="E941">
            <v>70409132</v>
          </cell>
          <cell r="H941" t="str">
            <v>-</v>
          </cell>
          <cell r="I941" t="str">
            <v>-</v>
          </cell>
          <cell r="K941" t="str">
            <v>-</v>
          </cell>
          <cell r="L941" t="str">
            <v>-</v>
          </cell>
          <cell r="N941" t="str">
            <v>-</v>
          </cell>
          <cell r="O941" t="str">
            <v>-</v>
          </cell>
          <cell r="Q941" t="str">
            <v>-</v>
          </cell>
          <cell r="R941" t="str">
            <v>-</v>
          </cell>
          <cell r="T941" t="str">
            <v>-</v>
          </cell>
          <cell r="U941" t="str">
            <v>-</v>
          </cell>
          <cell r="W941" t="str">
            <v>-</v>
          </cell>
          <cell r="X941" t="str">
            <v>-</v>
          </cell>
        </row>
        <row r="942">
          <cell r="A942">
            <v>72220934</v>
          </cell>
          <cell r="B942">
            <v>1654</v>
          </cell>
          <cell r="C942" t="str">
            <v>쏠배감펭</v>
          </cell>
          <cell r="D942" t="str">
            <v>A</v>
          </cell>
          <cell r="E942">
            <v>70409267</v>
          </cell>
          <cell r="H942" t="str">
            <v>-</v>
          </cell>
          <cell r="I942" t="str">
            <v>-</v>
          </cell>
          <cell r="K942" t="str">
            <v>-</v>
          </cell>
          <cell r="L942" t="str">
            <v>-</v>
          </cell>
          <cell r="N942" t="str">
            <v>-</v>
          </cell>
          <cell r="O942" t="str">
            <v>-</v>
          </cell>
          <cell r="Q942" t="str">
            <v>-</v>
          </cell>
          <cell r="R942" t="str">
            <v>-</v>
          </cell>
          <cell r="T942" t="str">
            <v>-</v>
          </cell>
          <cell r="U942" t="str">
            <v>-</v>
          </cell>
          <cell r="W942" t="str">
            <v>-</v>
          </cell>
          <cell r="X942" t="str">
            <v>-</v>
          </cell>
        </row>
        <row r="943">
          <cell r="A943">
            <v>72220935</v>
          </cell>
          <cell r="B943">
            <v>1654</v>
          </cell>
          <cell r="C943" t="str">
            <v>황줄돔</v>
          </cell>
          <cell r="D943" t="str">
            <v>C</v>
          </cell>
          <cell r="E943">
            <v>70409407</v>
          </cell>
          <cell r="H943" t="str">
            <v>-</v>
          </cell>
          <cell r="I943" t="str">
            <v>-</v>
          </cell>
          <cell r="K943" t="str">
            <v>-</v>
          </cell>
          <cell r="L943" t="str">
            <v>-</v>
          </cell>
          <cell r="N943" t="str">
            <v>-</v>
          </cell>
          <cell r="O943" t="str">
            <v>-</v>
          </cell>
          <cell r="Q943" t="str">
            <v>-</v>
          </cell>
          <cell r="R943" t="str">
            <v>-</v>
          </cell>
          <cell r="T943" t="str">
            <v>-</v>
          </cell>
          <cell r="U943" t="str">
            <v>-</v>
          </cell>
          <cell r="W943" t="str">
            <v>-</v>
          </cell>
          <cell r="X943" t="str">
            <v>-</v>
          </cell>
        </row>
        <row r="944">
          <cell r="A944">
            <v>72220936</v>
          </cell>
          <cell r="B944">
            <v>1654</v>
          </cell>
          <cell r="C944" t="str">
            <v>통치</v>
          </cell>
          <cell r="D944" t="str">
            <v>D</v>
          </cell>
          <cell r="E944">
            <v>70409371</v>
          </cell>
          <cell r="H944" t="str">
            <v>-</v>
          </cell>
          <cell r="I944" t="str">
            <v>-</v>
          </cell>
          <cell r="K944" t="str">
            <v>-</v>
          </cell>
          <cell r="L944" t="str">
            <v>-</v>
          </cell>
          <cell r="N944" t="str">
            <v>-</v>
          </cell>
          <cell r="O944" t="str">
            <v>-</v>
          </cell>
          <cell r="Q944" t="str">
            <v>-</v>
          </cell>
          <cell r="R944" t="str">
            <v>-</v>
          </cell>
          <cell r="T944" t="str">
            <v>-</v>
          </cell>
          <cell r="U944" t="str">
            <v>-</v>
          </cell>
          <cell r="W944" t="str">
            <v>-</v>
          </cell>
          <cell r="X944" t="str">
            <v>-</v>
          </cell>
        </row>
        <row r="945">
          <cell r="A945">
            <v>72220937</v>
          </cell>
          <cell r="B945">
            <v>1654</v>
          </cell>
          <cell r="C945" t="str">
            <v>갈고등어</v>
          </cell>
          <cell r="D945" t="str">
            <v>A</v>
          </cell>
          <cell r="E945">
            <v>70409009</v>
          </cell>
          <cell r="H945" t="str">
            <v>-</v>
          </cell>
          <cell r="I945" t="str">
            <v>-</v>
          </cell>
          <cell r="K945" t="str">
            <v>-</v>
          </cell>
          <cell r="L945" t="str">
            <v>-</v>
          </cell>
          <cell r="N945" t="str">
            <v>-</v>
          </cell>
          <cell r="O945" t="str">
            <v>-</v>
          </cell>
          <cell r="Q945" t="str">
            <v>-</v>
          </cell>
          <cell r="R945" t="str">
            <v>-</v>
          </cell>
          <cell r="T945" t="str">
            <v>-</v>
          </cell>
          <cell r="U945" t="str">
            <v>-</v>
          </cell>
          <cell r="W945" t="str">
            <v>-</v>
          </cell>
          <cell r="X945" t="str">
            <v>-</v>
          </cell>
        </row>
        <row r="946">
          <cell r="A946">
            <v>72220938</v>
          </cell>
          <cell r="B946">
            <v>1661</v>
          </cell>
          <cell r="C946" t="str">
            <v>쭉지성대</v>
          </cell>
          <cell r="D946" t="str">
            <v>C</v>
          </cell>
          <cell r="E946">
            <v>70409338</v>
          </cell>
          <cell r="H946" t="str">
            <v>-</v>
          </cell>
          <cell r="I946" t="str">
            <v>-</v>
          </cell>
          <cell r="K946" t="str">
            <v>-</v>
          </cell>
          <cell r="L946" t="str">
            <v>-</v>
          </cell>
          <cell r="N946" t="str">
            <v>-</v>
          </cell>
          <cell r="O946" t="str">
            <v>-</v>
          </cell>
          <cell r="Q946" t="str">
            <v>-</v>
          </cell>
          <cell r="R946" t="str">
            <v>-</v>
          </cell>
          <cell r="T946" t="str">
            <v>-</v>
          </cell>
          <cell r="U946" t="str">
            <v>-</v>
          </cell>
          <cell r="W946" t="str">
            <v>-</v>
          </cell>
          <cell r="X946" t="str">
            <v>-</v>
          </cell>
        </row>
        <row r="947">
          <cell r="A947">
            <v>72220939</v>
          </cell>
          <cell r="B947">
            <v>1661</v>
          </cell>
          <cell r="C947" t="str">
            <v>불뚝복</v>
          </cell>
          <cell r="D947" t="str">
            <v>D</v>
          </cell>
          <cell r="E947">
            <v>70409217</v>
          </cell>
          <cell r="H947" t="str">
            <v>-</v>
          </cell>
          <cell r="I947" t="str">
            <v>-</v>
          </cell>
          <cell r="K947" t="str">
            <v>-</v>
          </cell>
          <cell r="L947" t="str">
            <v>-</v>
          </cell>
          <cell r="N947" t="str">
            <v>-</v>
          </cell>
          <cell r="O947" t="str">
            <v>-</v>
          </cell>
          <cell r="Q947" t="str">
            <v>-</v>
          </cell>
          <cell r="R947" t="str">
            <v>-</v>
          </cell>
          <cell r="T947" t="str">
            <v>-</v>
          </cell>
          <cell r="U947" t="str">
            <v>-</v>
          </cell>
          <cell r="W947" t="str">
            <v>-</v>
          </cell>
          <cell r="X947" t="str">
            <v>-</v>
          </cell>
        </row>
        <row r="948">
          <cell r="A948">
            <v>72220940</v>
          </cell>
          <cell r="B948">
            <v>1661</v>
          </cell>
          <cell r="C948" t="str">
            <v>오점촉수</v>
          </cell>
          <cell r="D948" t="str">
            <v>C</v>
          </cell>
          <cell r="E948">
            <v>70409293</v>
          </cell>
          <cell r="H948" t="str">
            <v>-</v>
          </cell>
          <cell r="I948" t="str">
            <v>-</v>
          </cell>
          <cell r="K948" t="str">
            <v>-</v>
          </cell>
          <cell r="L948" t="str">
            <v>-</v>
          </cell>
          <cell r="N948" t="str">
            <v>-</v>
          </cell>
          <cell r="O948" t="str">
            <v>-</v>
          </cell>
          <cell r="Q948" t="str">
            <v>-</v>
          </cell>
          <cell r="R948" t="str">
            <v>-</v>
          </cell>
          <cell r="T948" t="str">
            <v>-</v>
          </cell>
          <cell r="U948" t="str">
            <v>-</v>
          </cell>
          <cell r="W948" t="str">
            <v>-</v>
          </cell>
          <cell r="X948" t="str">
            <v>-</v>
          </cell>
        </row>
        <row r="949">
          <cell r="A949">
            <v>72220941</v>
          </cell>
          <cell r="B949">
            <v>1661</v>
          </cell>
          <cell r="C949" t="str">
            <v>흑줄돔</v>
          </cell>
          <cell r="D949" t="str">
            <v>D</v>
          </cell>
          <cell r="E949">
            <v>70409413</v>
          </cell>
          <cell r="H949" t="str">
            <v>-</v>
          </cell>
          <cell r="I949" t="str">
            <v>-</v>
          </cell>
          <cell r="K949" t="str">
            <v>-</v>
          </cell>
          <cell r="L949" t="str">
            <v>-</v>
          </cell>
          <cell r="N949" t="str">
            <v>-</v>
          </cell>
          <cell r="O949" t="str">
            <v>-</v>
          </cell>
          <cell r="Q949" t="str">
            <v>-</v>
          </cell>
          <cell r="R949" t="str">
            <v>-</v>
          </cell>
          <cell r="T949" t="str">
            <v>-</v>
          </cell>
          <cell r="U949" t="str">
            <v>-</v>
          </cell>
          <cell r="W949" t="str">
            <v>-</v>
          </cell>
          <cell r="X949" t="str">
            <v>-</v>
          </cell>
        </row>
        <row r="950">
          <cell r="A950">
            <v>72220942</v>
          </cell>
          <cell r="B950">
            <v>1661</v>
          </cell>
          <cell r="C950" t="str">
            <v>파랑쥐치</v>
          </cell>
          <cell r="D950" t="str">
            <v>D</v>
          </cell>
          <cell r="E950">
            <v>70409373</v>
          </cell>
          <cell r="H950" t="str">
            <v>-</v>
          </cell>
          <cell r="I950" t="str">
            <v>-</v>
          </cell>
          <cell r="K950" t="str">
            <v>-</v>
          </cell>
          <cell r="L950" t="str">
            <v>-</v>
          </cell>
          <cell r="N950" t="str">
            <v>-</v>
          </cell>
          <cell r="O950" t="str">
            <v>-</v>
          </cell>
          <cell r="Q950" t="str">
            <v>-</v>
          </cell>
          <cell r="R950" t="str">
            <v>-</v>
          </cell>
          <cell r="T950" t="str">
            <v>-</v>
          </cell>
          <cell r="U950" t="str">
            <v>-</v>
          </cell>
          <cell r="W950" t="str">
            <v>-</v>
          </cell>
          <cell r="X950" t="str">
            <v>-</v>
          </cell>
        </row>
        <row r="951">
          <cell r="A951">
            <v>72220943</v>
          </cell>
          <cell r="B951">
            <v>1662</v>
          </cell>
          <cell r="C951" t="str">
            <v>쭉지성대</v>
          </cell>
          <cell r="D951" t="str">
            <v>C</v>
          </cell>
          <cell r="E951">
            <v>70409338</v>
          </cell>
          <cell r="H951" t="str">
            <v>-</v>
          </cell>
          <cell r="I951" t="str">
            <v>-</v>
          </cell>
          <cell r="K951" t="str">
            <v>-</v>
          </cell>
          <cell r="L951" t="str">
            <v>-</v>
          </cell>
          <cell r="N951" t="str">
            <v>-</v>
          </cell>
          <cell r="O951" t="str">
            <v>-</v>
          </cell>
          <cell r="Q951" t="str">
            <v>-</v>
          </cell>
          <cell r="R951" t="str">
            <v>-</v>
          </cell>
          <cell r="T951" t="str">
            <v>-</v>
          </cell>
          <cell r="U951" t="str">
            <v>-</v>
          </cell>
          <cell r="W951" t="str">
            <v>-</v>
          </cell>
          <cell r="X951" t="str">
            <v>-</v>
          </cell>
        </row>
        <row r="952">
          <cell r="A952">
            <v>72220944</v>
          </cell>
          <cell r="B952">
            <v>1662</v>
          </cell>
          <cell r="C952" t="str">
            <v>불뚝복</v>
          </cell>
          <cell r="D952" t="str">
            <v>D</v>
          </cell>
          <cell r="E952">
            <v>70409217</v>
          </cell>
          <cell r="H952" t="str">
            <v>-</v>
          </cell>
          <cell r="I952" t="str">
            <v>-</v>
          </cell>
          <cell r="K952" t="str">
            <v>-</v>
          </cell>
          <cell r="L952" t="str">
            <v>-</v>
          </cell>
          <cell r="N952" t="str">
            <v>-</v>
          </cell>
          <cell r="O952" t="str">
            <v>-</v>
          </cell>
          <cell r="Q952" t="str">
            <v>-</v>
          </cell>
          <cell r="R952" t="str">
            <v>-</v>
          </cell>
          <cell r="T952" t="str">
            <v>-</v>
          </cell>
          <cell r="U952" t="str">
            <v>-</v>
          </cell>
          <cell r="W952" t="str">
            <v>-</v>
          </cell>
          <cell r="X952" t="str">
            <v>-</v>
          </cell>
        </row>
        <row r="953">
          <cell r="A953">
            <v>72220945</v>
          </cell>
          <cell r="B953">
            <v>1662</v>
          </cell>
          <cell r="C953" t="str">
            <v>오점촉수</v>
          </cell>
          <cell r="D953" t="str">
            <v>C</v>
          </cell>
          <cell r="E953">
            <v>70409293</v>
          </cell>
          <cell r="H953" t="str">
            <v>-</v>
          </cell>
          <cell r="I953" t="str">
            <v>-</v>
          </cell>
          <cell r="K953" t="str">
            <v>-</v>
          </cell>
          <cell r="L953" t="str">
            <v>-</v>
          </cell>
          <cell r="N953" t="str">
            <v>-</v>
          </cell>
          <cell r="O953" t="str">
            <v>-</v>
          </cell>
          <cell r="Q953" t="str">
            <v>-</v>
          </cell>
          <cell r="R953" t="str">
            <v>-</v>
          </cell>
          <cell r="T953" t="str">
            <v>-</v>
          </cell>
          <cell r="U953" t="str">
            <v>-</v>
          </cell>
          <cell r="W953" t="str">
            <v>-</v>
          </cell>
          <cell r="X953" t="str">
            <v>-</v>
          </cell>
        </row>
        <row r="954">
          <cell r="A954">
            <v>72220946</v>
          </cell>
          <cell r="B954">
            <v>1662</v>
          </cell>
          <cell r="C954" t="str">
            <v>흑줄돔</v>
          </cell>
          <cell r="D954" t="str">
            <v>D</v>
          </cell>
          <cell r="E954">
            <v>70409413</v>
          </cell>
          <cell r="H954" t="str">
            <v>-</v>
          </cell>
          <cell r="I954" t="str">
            <v>-</v>
          </cell>
          <cell r="K954" t="str">
            <v>-</v>
          </cell>
          <cell r="L954" t="str">
            <v>-</v>
          </cell>
          <cell r="N954" t="str">
            <v>-</v>
          </cell>
          <cell r="O954" t="str">
            <v>-</v>
          </cell>
          <cell r="Q954" t="str">
            <v>-</v>
          </cell>
          <cell r="R954" t="str">
            <v>-</v>
          </cell>
          <cell r="T954" t="str">
            <v>-</v>
          </cell>
          <cell r="U954" t="str">
            <v>-</v>
          </cell>
          <cell r="W954" t="str">
            <v>-</v>
          </cell>
          <cell r="X954" t="str">
            <v>-</v>
          </cell>
        </row>
        <row r="955">
          <cell r="A955">
            <v>72220947</v>
          </cell>
          <cell r="B955">
            <v>1662</v>
          </cell>
          <cell r="C955" t="str">
            <v>파랑쥐치</v>
          </cell>
          <cell r="D955" t="str">
            <v>D</v>
          </cell>
          <cell r="E955">
            <v>70409373</v>
          </cell>
          <cell r="H955" t="str">
            <v>-</v>
          </cell>
          <cell r="I955" t="str">
            <v>-</v>
          </cell>
          <cell r="K955" t="str">
            <v>-</v>
          </cell>
          <cell r="L955" t="str">
            <v>-</v>
          </cell>
          <cell r="N955" t="str">
            <v>-</v>
          </cell>
          <cell r="O955" t="str">
            <v>-</v>
          </cell>
          <cell r="Q955" t="str">
            <v>-</v>
          </cell>
          <cell r="R955" t="str">
            <v>-</v>
          </cell>
          <cell r="T955" t="str">
            <v>-</v>
          </cell>
          <cell r="U955" t="str">
            <v>-</v>
          </cell>
          <cell r="W955" t="str">
            <v>-</v>
          </cell>
          <cell r="X955" t="str">
            <v>-</v>
          </cell>
        </row>
        <row r="956">
          <cell r="A956">
            <v>72220948</v>
          </cell>
          <cell r="B956">
            <v>1663</v>
          </cell>
          <cell r="C956" t="str">
            <v>쭉지성대</v>
          </cell>
          <cell r="D956" t="str">
            <v>C</v>
          </cell>
          <cell r="E956">
            <v>70409338</v>
          </cell>
          <cell r="H956" t="str">
            <v>-</v>
          </cell>
          <cell r="I956" t="str">
            <v>-</v>
          </cell>
          <cell r="K956" t="str">
            <v>-</v>
          </cell>
          <cell r="L956" t="str">
            <v>-</v>
          </cell>
          <cell r="N956" t="str">
            <v>-</v>
          </cell>
          <cell r="O956" t="str">
            <v>-</v>
          </cell>
          <cell r="Q956" t="str">
            <v>-</v>
          </cell>
          <cell r="R956" t="str">
            <v>-</v>
          </cell>
          <cell r="T956" t="str">
            <v>-</v>
          </cell>
          <cell r="U956" t="str">
            <v>-</v>
          </cell>
          <cell r="W956" t="str">
            <v>-</v>
          </cell>
          <cell r="X956" t="str">
            <v>-</v>
          </cell>
        </row>
        <row r="957">
          <cell r="A957">
            <v>72220949</v>
          </cell>
          <cell r="B957">
            <v>1663</v>
          </cell>
          <cell r="C957" t="str">
            <v>불뚝복</v>
          </cell>
          <cell r="D957" t="str">
            <v>D</v>
          </cell>
          <cell r="E957">
            <v>70409217</v>
          </cell>
          <cell r="H957" t="str">
            <v>-</v>
          </cell>
          <cell r="I957" t="str">
            <v>-</v>
          </cell>
          <cell r="K957" t="str">
            <v>-</v>
          </cell>
          <cell r="L957" t="str">
            <v>-</v>
          </cell>
          <cell r="N957" t="str">
            <v>-</v>
          </cell>
          <cell r="O957" t="str">
            <v>-</v>
          </cell>
          <cell r="Q957" t="str">
            <v>-</v>
          </cell>
          <cell r="R957" t="str">
            <v>-</v>
          </cell>
          <cell r="T957" t="str">
            <v>-</v>
          </cell>
          <cell r="U957" t="str">
            <v>-</v>
          </cell>
          <cell r="W957" t="str">
            <v>-</v>
          </cell>
          <cell r="X957" t="str">
            <v>-</v>
          </cell>
        </row>
        <row r="958">
          <cell r="A958">
            <v>72220950</v>
          </cell>
          <cell r="B958">
            <v>1663</v>
          </cell>
          <cell r="C958" t="str">
            <v>오점촉수</v>
          </cell>
          <cell r="D958" t="str">
            <v>C</v>
          </cell>
          <cell r="E958">
            <v>70409293</v>
          </cell>
          <cell r="H958" t="str">
            <v>-</v>
          </cell>
          <cell r="I958" t="str">
            <v>-</v>
          </cell>
          <cell r="K958" t="str">
            <v>-</v>
          </cell>
          <cell r="L958" t="str">
            <v>-</v>
          </cell>
          <cell r="N958" t="str">
            <v>-</v>
          </cell>
          <cell r="O958" t="str">
            <v>-</v>
          </cell>
          <cell r="Q958" t="str">
            <v>-</v>
          </cell>
          <cell r="R958" t="str">
            <v>-</v>
          </cell>
          <cell r="T958" t="str">
            <v>-</v>
          </cell>
          <cell r="U958" t="str">
            <v>-</v>
          </cell>
          <cell r="W958" t="str">
            <v>-</v>
          </cell>
          <cell r="X958" t="str">
            <v>-</v>
          </cell>
        </row>
        <row r="959">
          <cell r="A959">
            <v>72220951</v>
          </cell>
          <cell r="B959">
            <v>1663</v>
          </cell>
          <cell r="C959" t="str">
            <v>흑줄돔</v>
          </cell>
          <cell r="D959" t="str">
            <v>D</v>
          </cell>
          <cell r="E959">
            <v>70409413</v>
          </cell>
          <cell r="H959" t="str">
            <v>-</v>
          </cell>
          <cell r="I959" t="str">
            <v>-</v>
          </cell>
          <cell r="K959" t="str">
            <v>-</v>
          </cell>
          <cell r="L959" t="str">
            <v>-</v>
          </cell>
          <cell r="N959" t="str">
            <v>-</v>
          </cell>
          <cell r="O959" t="str">
            <v>-</v>
          </cell>
          <cell r="Q959" t="str">
            <v>-</v>
          </cell>
          <cell r="R959" t="str">
            <v>-</v>
          </cell>
          <cell r="T959" t="str">
            <v>-</v>
          </cell>
          <cell r="U959" t="str">
            <v>-</v>
          </cell>
          <cell r="W959" t="str">
            <v>-</v>
          </cell>
          <cell r="X959" t="str">
            <v>-</v>
          </cell>
        </row>
        <row r="960">
          <cell r="A960">
            <v>72220952</v>
          </cell>
          <cell r="B960">
            <v>1663</v>
          </cell>
          <cell r="C960" t="str">
            <v>파랑쥐치</v>
          </cell>
          <cell r="D960" t="str">
            <v>D</v>
          </cell>
          <cell r="E960">
            <v>70409373</v>
          </cell>
          <cell r="H960" t="str">
            <v>-</v>
          </cell>
          <cell r="I960" t="str">
            <v>-</v>
          </cell>
          <cell r="K960" t="str">
            <v>-</v>
          </cell>
          <cell r="L960" t="str">
            <v>-</v>
          </cell>
          <cell r="N960" t="str">
            <v>-</v>
          </cell>
          <cell r="O960" t="str">
            <v>-</v>
          </cell>
          <cell r="Q960" t="str">
            <v>-</v>
          </cell>
          <cell r="R960" t="str">
            <v>-</v>
          </cell>
          <cell r="T960" t="str">
            <v>-</v>
          </cell>
          <cell r="U960" t="str">
            <v>-</v>
          </cell>
          <cell r="W960" t="str">
            <v>-</v>
          </cell>
          <cell r="X960" t="str">
            <v>-</v>
          </cell>
        </row>
        <row r="961">
          <cell r="A961">
            <v>72220953</v>
          </cell>
          <cell r="B961">
            <v>1664</v>
          </cell>
          <cell r="C961" t="str">
            <v>쭉지성대</v>
          </cell>
          <cell r="D961" t="str">
            <v>C</v>
          </cell>
          <cell r="E961">
            <v>70409338</v>
          </cell>
          <cell r="H961" t="str">
            <v>-</v>
          </cell>
          <cell r="I961" t="str">
            <v>-</v>
          </cell>
          <cell r="K961" t="str">
            <v>-</v>
          </cell>
          <cell r="L961" t="str">
            <v>-</v>
          </cell>
          <cell r="N961" t="str">
            <v>-</v>
          </cell>
          <cell r="O961" t="str">
            <v>-</v>
          </cell>
          <cell r="Q961" t="str">
            <v>-</v>
          </cell>
          <cell r="R961" t="str">
            <v>-</v>
          </cell>
          <cell r="T961" t="str">
            <v>-</v>
          </cell>
          <cell r="U961" t="str">
            <v>-</v>
          </cell>
          <cell r="W961" t="str">
            <v>-</v>
          </cell>
          <cell r="X961" t="str">
            <v>-</v>
          </cell>
        </row>
        <row r="962">
          <cell r="A962">
            <v>72220954</v>
          </cell>
          <cell r="B962">
            <v>1664</v>
          </cell>
          <cell r="C962" t="str">
            <v>불뚝복</v>
          </cell>
          <cell r="D962" t="str">
            <v>D</v>
          </cell>
          <cell r="E962">
            <v>70409217</v>
          </cell>
          <cell r="H962" t="str">
            <v>-</v>
          </cell>
          <cell r="I962" t="str">
            <v>-</v>
          </cell>
          <cell r="K962" t="str">
            <v>-</v>
          </cell>
          <cell r="L962" t="str">
            <v>-</v>
          </cell>
          <cell r="N962" t="str">
            <v>-</v>
          </cell>
          <cell r="O962" t="str">
            <v>-</v>
          </cell>
          <cell r="Q962" t="str">
            <v>-</v>
          </cell>
          <cell r="R962" t="str">
            <v>-</v>
          </cell>
          <cell r="T962" t="str">
            <v>-</v>
          </cell>
          <cell r="U962" t="str">
            <v>-</v>
          </cell>
          <cell r="W962" t="str">
            <v>-</v>
          </cell>
          <cell r="X962" t="str">
            <v>-</v>
          </cell>
        </row>
        <row r="963">
          <cell r="A963">
            <v>72220955</v>
          </cell>
          <cell r="B963">
            <v>1664</v>
          </cell>
          <cell r="C963" t="str">
            <v>오점촉수</v>
          </cell>
          <cell r="D963" t="str">
            <v>C</v>
          </cell>
          <cell r="E963">
            <v>70409293</v>
          </cell>
          <cell r="H963" t="str">
            <v>-</v>
          </cell>
          <cell r="I963" t="str">
            <v>-</v>
          </cell>
          <cell r="K963" t="str">
            <v>-</v>
          </cell>
          <cell r="L963" t="str">
            <v>-</v>
          </cell>
          <cell r="N963" t="str">
            <v>-</v>
          </cell>
          <cell r="O963" t="str">
            <v>-</v>
          </cell>
          <cell r="Q963" t="str">
            <v>-</v>
          </cell>
          <cell r="R963" t="str">
            <v>-</v>
          </cell>
          <cell r="T963" t="str">
            <v>-</v>
          </cell>
          <cell r="U963" t="str">
            <v>-</v>
          </cell>
          <cell r="W963" t="str">
            <v>-</v>
          </cell>
          <cell r="X963" t="str">
            <v>-</v>
          </cell>
        </row>
        <row r="964">
          <cell r="A964">
            <v>72220956</v>
          </cell>
          <cell r="B964">
            <v>1664</v>
          </cell>
          <cell r="C964" t="str">
            <v>흑줄돔</v>
          </cell>
          <cell r="D964" t="str">
            <v>D</v>
          </cell>
          <cell r="E964">
            <v>70409413</v>
          </cell>
          <cell r="H964" t="str">
            <v>-</v>
          </cell>
          <cell r="I964" t="str">
            <v>-</v>
          </cell>
          <cell r="K964" t="str">
            <v>-</v>
          </cell>
          <cell r="L964" t="str">
            <v>-</v>
          </cell>
          <cell r="N964" t="str">
            <v>-</v>
          </cell>
          <cell r="O964" t="str">
            <v>-</v>
          </cell>
          <cell r="Q964" t="str">
            <v>-</v>
          </cell>
          <cell r="R964" t="str">
            <v>-</v>
          </cell>
          <cell r="T964" t="str">
            <v>-</v>
          </cell>
          <cell r="U964" t="str">
            <v>-</v>
          </cell>
          <cell r="W964" t="str">
            <v>-</v>
          </cell>
          <cell r="X964" t="str">
            <v>-</v>
          </cell>
        </row>
        <row r="965">
          <cell r="A965">
            <v>72220957</v>
          </cell>
          <cell r="B965">
            <v>1664</v>
          </cell>
          <cell r="C965" t="str">
            <v>파랑쥐치</v>
          </cell>
          <cell r="D965" t="str">
            <v>D</v>
          </cell>
          <cell r="E965">
            <v>70409373</v>
          </cell>
          <cell r="H965" t="str">
            <v>-</v>
          </cell>
          <cell r="I965" t="str">
            <v>-</v>
          </cell>
          <cell r="K965" t="str">
            <v>-</v>
          </cell>
          <cell r="L965" t="str">
            <v>-</v>
          </cell>
          <cell r="N965" t="str">
            <v>-</v>
          </cell>
          <cell r="O965" t="str">
            <v>-</v>
          </cell>
          <cell r="Q965" t="str">
            <v>-</v>
          </cell>
          <cell r="R965" t="str">
            <v>-</v>
          </cell>
          <cell r="T965" t="str">
            <v>-</v>
          </cell>
          <cell r="U965" t="str">
            <v>-</v>
          </cell>
          <cell r="W965" t="str">
            <v>-</v>
          </cell>
          <cell r="X965" t="str">
            <v>-</v>
          </cell>
        </row>
        <row r="966">
          <cell r="A966">
            <v>72220958</v>
          </cell>
          <cell r="B966">
            <v>1671</v>
          </cell>
          <cell r="C966" t="str">
            <v>네동가리</v>
          </cell>
          <cell r="D966" t="str">
            <v>B</v>
          </cell>
          <cell r="E966">
            <v>70409074</v>
          </cell>
          <cell r="H966" t="str">
            <v>-</v>
          </cell>
          <cell r="I966" t="str">
            <v>-</v>
          </cell>
          <cell r="K966" t="str">
            <v>-</v>
          </cell>
          <cell r="L966" t="str">
            <v>-</v>
          </cell>
          <cell r="N966" t="str">
            <v>-</v>
          </cell>
          <cell r="O966" t="str">
            <v>-</v>
          </cell>
          <cell r="Q966" t="str">
            <v>-</v>
          </cell>
          <cell r="R966" t="str">
            <v>-</v>
          </cell>
          <cell r="T966" t="str">
            <v>-</v>
          </cell>
          <cell r="U966" t="str">
            <v>-</v>
          </cell>
          <cell r="W966" t="str">
            <v>-</v>
          </cell>
          <cell r="X966" t="str">
            <v>-</v>
          </cell>
        </row>
        <row r="967">
          <cell r="A967">
            <v>72220959</v>
          </cell>
          <cell r="B967">
            <v>1671</v>
          </cell>
          <cell r="C967" t="str">
            <v>사랑놀래기</v>
          </cell>
          <cell r="D967" t="str">
            <v>D</v>
          </cell>
          <cell r="E967">
            <v>70409238</v>
          </cell>
          <cell r="H967" t="str">
            <v>-</v>
          </cell>
          <cell r="I967" t="str">
            <v>-</v>
          </cell>
          <cell r="K967" t="str">
            <v>-</v>
          </cell>
          <cell r="L967" t="str">
            <v>-</v>
          </cell>
          <cell r="N967" t="str">
            <v>-</v>
          </cell>
          <cell r="O967" t="str">
            <v>-</v>
          </cell>
          <cell r="Q967" t="str">
            <v>-</v>
          </cell>
          <cell r="R967" t="str">
            <v>-</v>
          </cell>
          <cell r="T967" t="str">
            <v>-</v>
          </cell>
          <cell r="U967" t="str">
            <v>-</v>
          </cell>
          <cell r="W967" t="str">
            <v>-</v>
          </cell>
          <cell r="X967" t="str">
            <v>-</v>
          </cell>
        </row>
        <row r="968">
          <cell r="A968">
            <v>72220960</v>
          </cell>
          <cell r="B968">
            <v>1672</v>
          </cell>
          <cell r="C968" t="str">
            <v>네동가리</v>
          </cell>
          <cell r="D968" t="str">
            <v>B</v>
          </cell>
          <cell r="E968">
            <v>70409074</v>
          </cell>
          <cell r="H968" t="str">
            <v>-</v>
          </cell>
          <cell r="I968" t="str">
            <v>-</v>
          </cell>
          <cell r="K968" t="str">
            <v>-</v>
          </cell>
          <cell r="L968" t="str">
            <v>-</v>
          </cell>
          <cell r="N968" t="str">
            <v>-</v>
          </cell>
          <cell r="O968" t="str">
            <v>-</v>
          </cell>
          <cell r="Q968" t="str">
            <v>-</v>
          </cell>
          <cell r="R968" t="str">
            <v>-</v>
          </cell>
          <cell r="T968" t="str">
            <v>-</v>
          </cell>
          <cell r="U968" t="str">
            <v>-</v>
          </cell>
          <cell r="W968" t="str">
            <v>-</v>
          </cell>
          <cell r="X968" t="str">
            <v>-</v>
          </cell>
        </row>
        <row r="969">
          <cell r="A969">
            <v>72220961</v>
          </cell>
          <cell r="B969">
            <v>1672</v>
          </cell>
          <cell r="C969" t="str">
            <v>사랑놀래기</v>
          </cell>
          <cell r="D969" t="str">
            <v>D</v>
          </cell>
          <cell r="E969">
            <v>70409238</v>
          </cell>
          <cell r="H969" t="str">
            <v>-</v>
          </cell>
          <cell r="I969" t="str">
            <v>-</v>
          </cell>
          <cell r="K969" t="str">
            <v>-</v>
          </cell>
          <cell r="L969" t="str">
            <v>-</v>
          </cell>
          <cell r="N969" t="str">
            <v>-</v>
          </cell>
          <cell r="O969" t="str">
            <v>-</v>
          </cell>
          <cell r="Q969" t="str">
            <v>-</v>
          </cell>
          <cell r="R969" t="str">
            <v>-</v>
          </cell>
          <cell r="T969" t="str">
            <v>-</v>
          </cell>
          <cell r="U969" t="str">
            <v>-</v>
          </cell>
          <cell r="W969" t="str">
            <v>-</v>
          </cell>
          <cell r="X969" t="str">
            <v>-</v>
          </cell>
        </row>
        <row r="970">
          <cell r="A970">
            <v>72220962</v>
          </cell>
          <cell r="B970">
            <v>1673</v>
          </cell>
          <cell r="C970" t="str">
            <v>네동가리</v>
          </cell>
          <cell r="D970" t="str">
            <v>B</v>
          </cell>
          <cell r="E970">
            <v>70409074</v>
          </cell>
          <cell r="H970" t="str">
            <v>-</v>
          </cell>
          <cell r="I970" t="str">
            <v>-</v>
          </cell>
          <cell r="K970" t="str">
            <v>-</v>
          </cell>
          <cell r="L970" t="str">
            <v>-</v>
          </cell>
          <cell r="N970" t="str">
            <v>-</v>
          </cell>
          <cell r="O970" t="str">
            <v>-</v>
          </cell>
          <cell r="Q970" t="str">
            <v>-</v>
          </cell>
          <cell r="R970" t="str">
            <v>-</v>
          </cell>
          <cell r="T970" t="str">
            <v>-</v>
          </cell>
          <cell r="U970" t="str">
            <v>-</v>
          </cell>
          <cell r="W970" t="str">
            <v>-</v>
          </cell>
          <cell r="X970" t="str">
            <v>-</v>
          </cell>
        </row>
        <row r="971">
          <cell r="A971">
            <v>72220963</v>
          </cell>
          <cell r="B971">
            <v>1673</v>
          </cell>
          <cell r="C971" t="str">
            <v>사랑놀래기</v>
          </cell>
          <cell r="D971" t="str">
            <v>D</v>
          </cell>
          <cell r="E971">
            <v>70409238</v>
          </cell>
          <cell r="H971" t="str">
            <v>-</v>
          </cell>
          <cell r="I971" t="str">
            <v>-</v>
          </cell>
          <cell r="K971" t="str">
            <v>-</v>
          </cell>
          <cell r="L971" t="str">
            <v>-</v>
          </cell>
          <cell r="N971" t="str">
            <v>-</v>
          </cell>
          <cell r="O971" t="str">
            <v>-</v>
          </cell>
          <cell r="Q971" t="str">
            <v>-</v>
          </cell>
          <cell r="R971" t="str">
            <v>-</v>
          </cell>
          <cell r="T971" t="str">
            <v>-</v>
          </cell>
          <cell r="U971" t="str">
            <v>-</v>
          </cell>
          <cell r="W971" t="str">
            <v>-</v>
          </cell>
          <cell r="X971" t="str">
            <v>-</v>
          </cell>
        </row>
        <row r="972">
          <cell r="A972">
            <v>72220964</v>
          </cell>
          <cell r="B972">
            <v>1674</v>
          </cell>
          <cell r="C972" t="str">
            <v>네동가리</v>
          </cell>
          <cell r="D972" t="str">
            <v>B</v>
          </cell>
          <cell r="E972">
            <v>70409074</v>
          </cell>
          <cell r="H972" t="str">
            <v>-</v>
          </cell>
          <cell r="I972" t="str">
            <v>-</v>
          </cell>
          <cell r="K972" t="str">
            <v>-</v>
          </cell>
          <cell r="L972" t="str">
            <v>-</v>
          </cell>
          <cell r="N972" t="str">
            <v>-</v>
          </cell>
          <cell r="O972" t="str">
            <v>-</v>
          </cell>
          <cell r="Q972" t="str">
            <v>-</v>
          </cell>
          <cell r="R972" t="str">
            <v>-</v>
          </cell>
          <cell r="T972" t="str">
            <v>-</v>
          </cell>
          <cell r="U972" t="str">
            <v>-</v>
          </cell>
          <cell r="W972" t="str">
            <v>-</v>
          </cell>
          <cell r="X972" t="str">
            <v>-</v>
          </cell>
        </row>
        <row r="973">
          <cell r="A973">
            <v>72220965</v>
          </cell>
          <cell r="B973">
            <v>1674</v>
          </cell>
          <cell r="C973" t="str">
            <v>사랑놀래기</v>
          </cell>
          <cell r="D973" t="str">
            <v>D</v>
          </cell>
          <cell r="E973">
            <v>70409238</v>
          </cell>
          <cell r="H973" t="str">
            <v>-</v>
          </cell>
          <cell r="I973" t="str">
            <v>-</v>
          </cell>
          <cell r="K973" t="str">
            <v>-</v>
          </cell>
          <cell r="L973" t="str">
            <v>-</v>
          </cell>
          <cell r="N973" t="str">
            <v>-</v>
          </cell>
          <cell r="O973" t="str">
            <v>-</v>
          </cell>
          <cell r="Q973" t="str">
            <v>-</v>
          </cell>
          <cell r="R973" t="str">
            <v>-</v>
          </cell>
          <cell r="T973" t="str">
            <v>-</v>
          </cell>
          <cell r="U973" t="str">
            <v>-</v>
          </cell>
          <cell r="W973" t="str">
            <v>-</v>
          </cell>
          <cell r="X973" t="str">
            <v>-</v>
          </cell>
        </row>
        <row r="974">
          <cell r="A974">
            <v>72220966</v>
          </cell>
          <cell r="B974">
            <v>1681</v>
          </cell>
          <cell r="C974" t="str">
            <v>큰입선농어</v>
          </cell>
          <cell r="D974" t="str">
            <v>B</v>
          </cell>
          <cell r="E974">
            <v>70409362</v>
          </cell>
          <cell r="H974" t="str">
            <v>-</v>
          </cell>
          <cell r="I974" t="str">
            <v>-</v>
          </cell>
          <cell r="K974" t="str">
            <v>-</v>
          </cell>
          <cell r="L974" t="str">
            <v>-</v>
          </cell>
          <cell r="N974" t="str">
            <v>-</v>
          </cell>
          <cell r="O974" t="str">
            <v>-</v>
          </cell>
          <cell r="Q974" t="str">
            <v>-</v>
          </cell>
          <cell r="R974" t="str">
            <v>-</v>
          </cell>
          <cell r="T974" t="str">
            <v>-</v>
          </cell>
          <cell r="U974" t="str">
            <v>-</v>
          </cell>
          <cell r="W974" t="str">
            <v>-</v>
          </cell>
          <cell r="X974" t="str">
            <v>-</v>
          </cell>
        </row>
        <row r="975">
          <cell r="A975">
            <v>72220967</v>
          </cell>
          <cell r="B975">
            <v>1681</v>
          </cell>
          <cell r="C975" t="str">
            <v>독가시치</v>
          </cell>
          <cell r="D975" t="str">
            <v>A</v>
          </cell>
          <cell r="E975">
            <v>70409110</v>
          </cell>
          <cell r="H975" t="str">
            <v>-</v>
          </cell>
          <cell r="I975" t="str">
            <v>-</v>
          </cell>
          <cell r="K975" t="str">
            <v>-</v>
          </cell>
          <cell r="L975" t="str">
            <v>-</v>
          </cell>
          <cell r="N975" t="str">
            <v>-</v>
          </cell>
          <cell r="O975" t="str">
            <v>-</v>
          </cell>
          <cell r="Q975" t="str">
            <v>-</v>
          </cell>
          <cell r="R975" t="str">
            <v>-</v>
          </cell>
          <cell r="T975" t="str">
            <v>-</v>
          </cell>
          <cell r="U975" t="str">
            <v>-</v>
          </cell>
          <cell r="W975" t="str">
            <v>-</v>
          </cell>
          <cell r="X975" t="str">
            <v>-</v>
          </cell>
        </row>
        <row r="976">
          <cell r="A976">
            <v>72220968</v>
          </cell>
          <cell r="B976">
            <v>1681</v>
          </cell>
          <cell r="C976" t="str">
            <v>넓은주둥이상어</v>
          </cell>
          <cell r="D976" t="str">
            <v>B</v>
          </cell>
          <cell r="E976">
            <v>70409071</v>
          </cell>
          <cell r="H976" t="str">
            <v>-</v>
          </cell>
          <cell r="I976" t="str">
            <v>-</v>
          </cell>
          <cell r="K976" t="str">
            <v>-</v>
          </cell>
          <cell r="L976" t="str">
            <v>-</v>
          </cell>
          <cell r="N976" t="str">
            <v>-</v>
          </cell>
          <cell r="O976" t="str">
            <v>-</v>
          </cell>
          <cell r="Q976" t="str">
            <v>-</v>
          </cell>
          <cell r="R976" t="str">
            <v>-</v>
          </cell>
          <cell r="T976" t="str">
            <v>-</v>
          </cell>
          <cell r="U976" t="str">
            <v>-</v>
          </cell>
          <cell r="W976" t="str">
            <v>-</v>
          </cell>
          <cell r="X976" t="str">
            <v>-</v>
          </cell>
        </row>
        <row r="977">
          <cell r="A977">
            <v>72220969</v>
          </cell>
          <cell r="B977">
            <v>1682</v>
          </cell>
          <cell r="C977" t="str">
            <v>큰입선농어</v>
          </cell>
          <cell r="D977" t="str">
            <v>B</v>
          </cell>
          <cell r="E977">
            <v>70409362</v>
          </cell>
          <cell r="H977" t="str">
            <v>-</v>
          </cell>
          <cell r="I977" t="str">
            <v>-</v>
          </cell>
          <cell r="K977" t="str">
            <v>-</v>
          </cell>
          <cell r="L977" t="str">
            <v>-</v>
          </cell>
          <cell r="N977" t="str">
            <v>-</v>
          </cell>
          <cell r="O977" t="str">
            <v>-</v>
          </cell>
          <cell r="Q977" t="str">
            <v>-</v>
          </cell>
          <cell r="R977" t="str">
            <v>-</v>
          </cell>
          <cell r="T977" t="str">
            <v>-</v>
          </cell>
          <cell r="U977" t="str">
            <v>-</v>
          </cell>
          <cell r="W977" t="str">
            <v>-</v>
          </cell>
          <cell r="X977" t="str">
            <v>-</v>
          </cell>
        </row>
        <row r="978">
          <cell r="A978">
            <v>72220970</v>
          </cell>
          <cell r="B978">
            <v>1682</v>
          </cell>
          <cell r="C978" t="str">
            <v>독가시치</v>
          </cell>
          <cell r="D978" t="str">
            <v>A</v>
          </cell>
          <cell r="E978">
            <v>70409110</v>
          </cell>
          <cell r="H978" t="str">
            <v>-</v>
          </cell>
          <cell r="I978" t="str">
            <v>-</v>
          </cell>
          <cell r="K978" t="str">
            <v>-</v>
          </cell>
          <cell r="L978" t="str">
            <v>-</v>
          </cell>
          <cell r="N978" t="str">
            <v>-</v>
          </cell>
          <cell r="O978" t="str">
            <v>-</v>
          </cell>
          <cell r="Q978" t="str">
            <v>-</v>
          </cell>
          <cell r="R978" t="str">
            <v>-</v>
          </cell>
          <cell r="T978" t="str">
            <v>-</v>
          </cell>
          <cell r="U978" t="str">
            <v>-</v>
          </cell>
          <cell r="W978" t="str">
            <v>-</v>
          </cell>
          <cell r="X978" t="str">
            <v>-</v>
          </cell>
        </row>
        <row r="979">
          <cell r="A979">
            <v>72220971</v>
          </cell>
          <cell r="B979">
            <v>1682</v>
          </cell>
          <cell r="C979" t="str">
            <v>넓은주둥이상어</v>
          </cell>
          <cell r="D979" t="str">
            <v>B</v>
          </cell>
          <cell r="E979">
            <v>70409071</v>
          </cell>
          <cell r="H979" t="str">
            <v>-</v>
          </cell>
          <cell r="I979" t="str">
            <v>-</v>
          </cell>
          <cell r="K979" t="str">
            <v>-</v>
          </cell>
          <cell r="L979" t="str">
            <v>-</v>
          </cell>
          <cell r="N979" t="str">
            <v>-</v>
          </cell>
          <cell r="O979" t="str">
            <v>-</v>
          </cell>
          <cell r="Q979" t="str">
            <v>-</v>
          </cell>
          <cell r="R979" t="str">
            <v>-</v>
          </cell>
          <cell r="T979" t="str">
            <v>-</v>
          </cell>
          <cell r="U979" t="str">
            <v>-</v>
          </cell>
          <cell r="W979" t="str">
            <v>-</v>
          </cell>
          <cell r="X979" t="str">
            <v>-</v>
          </cell>
        </row>
        <row r="980">
          <cell r="A980">
            <v>72220972</v>
          </cell>
          <cell r="B980">
            <v>1683</v>
          </cell>
          <cell r="C980" t="str">
            <v>큰입선농어</v>
          </cell>
          <cell r="D980" t="str">
            <v>B</v>
          </cell>
          <cell r="E980">
            <v>70409362</v>
          </cell>
          <cell r="H980" t="str">
            <v>-</v>
          </cell>
          <cell r="I980" t="str">
            <v>-</v>
          </cell>
          <cell r="K980" t="str">
            <v>-</v>
          </cell>
          <cell r="L980" t="str">
            <v>-</v>
          </cell>
          <cell r="N980" t="str">
            <v>-</v>
          </cell>
          <cell r="O980" t="str">
            <v>-</v>
          </cell>
          <cell r="Q980" t="str">
            <v>-</v>
          </cell>
          <cell r="R980" t="str">
            <v>-</v>
          </cell>
          <cell r="T980" t="str">
            <v>-</v>
          </cell>
          <cell r="U980" t="str">
            <v>-</v>
          </cell>
          <cell r="W980" t="str">
            <v>-</v>
          </cell>
          <cell r="X980" t="str">
            <v>-</v>
          </cell>
        </row>
        <row r="981">
          <cell r="A981">
            <v>72220973</v>
          </cell>
          <cell r="B981">
            <v>1683</v>
          </cell>
          <cell r="C981" t="str">
            <v>독가시치</v>
          </cell>
          <cell r="D981" t="str">
            <v>A</v>
          </cell>
          <cell r="E981">
            <v>70409110</v>
          </cell>
          <cell r="H981" t="str">
            <v>-</v>
          </cell>
          <cell r="I981" t="str">
            <v>-</v>
          </cell>
          <cell r="K981" t="str">
            <v>-</v>
          </cell>
          <cell r="L981" t="str">
            <v>-</v>
          </cell>
          <cell r="N981" t="str">
            <v>-</v>
          </cell>
          <cell r="O981" t="str">
            <v>-</v>
          </cell>
          <cell r="Q981" t="str">
            <v>-</v>
          </cell>
          <cell r="R981" t="str">
            <v>-</v>
          </cell>
          <cell r="T981" t="str">
            <v>-</v>
          </cell>
          <cell r="U981" t="str">
            <v>-</v>
          </cell>
          <cell r="W981" t="str">
            <v>-</v>
          </cell>
          <cell r="X981" t="str">
            <v>-</v>
          </cell>
        </row>
        <row r="982">
          <cell r="A982">
            <v>72220974</v>
          </cell>
          <cell r="B982">
            <v>1683</v>
          </cell>
          <cell r="C982" t="str">
            <v>넓은주둥이상어</v>
          </cell>
          <cell r="D982" t="str">
            <v>B</v>
          </cell>
          <cell r="E982">
            <v>70409071</v>
          </cell>
          <cell r="H982" t="str">
            <v>-</v>
          </cell>
          <cell r="I982" t="str">
            <v>-</v>
          </cell>
          <cell r="K982" t="str">
            <v>-</v>
          </cell>
          <cell r="L982" t="str">
            <v>-</v>
          </cell>
          <cell r="N982" t="str">
            <v>-</v>
          </cell>
          <cell r="O982" t="str">
            <v>-</v>
          </cell>
          <cell r="Q982" t="str">
            <v>-</v>
          </cell>
          <cell r="R982" t="str">
            <v>-</v>
          </cell>
          <cell r="T982" t="str">
            <v>-</v>
          </cell>
          <cell r="U982" t="str">
            <v>-</v>
          </cell>
          <cell r="W982" t="str">
            <v>-</v>
          </cell>
          <cell r="X982" t="str">
            <v>-</v>
          </cell>
        </row>
        <row r="983">
          <cell r="A983">
            <v>72220975</v>
          </cell>
          <cell r="B983">
            <v>1684</v>
          </cell>
          <cell r="C983" t="str">
            <v>큰입선농어</v>
          </cell>
          <cell r="D983" t="str">
            <v>B</v>
          </cell>
          <cell r="E983">
            <v>70409362</v>
          </cell>
          <cell r="H983" t="str">
            <v>-</v>
          </cell>
          <cell r="I983" t="str">
            <v>-</v>
          </cell>
          <cell r="K983" t="str">
            <v>-</v>
          </cell>
          <cell r="L983" t="str">
            <v>-</v>
          </cell>
          <cell r="N983" t="str">
            <v>-</v>
          </cell>
          <cell r="O983" t="str">
            <v>-</v>
          </cell>
          <cell r="Q983" t="str">
            <v>-</v>
          </cell>
          <cell r="R983" t="str">
            <v>-</v>
          </cell>
          <cell r="T983" t="str">
            <v>-</v>
          </cell>
          <cell r="U983" t="str">
            <v>-</v>
          </cell>
          <cell r="W983" t="str">
            <v>-</v>
          </cell>
          <cell r="X983" t="str">
            <v>-</v>
          </cell>
        </row>
        <row r="984">
          <cell r="A984">
            <v>72220976</v>
          </cell>
          <cell r="B984">
            <v>1684</v>
          </cell>
          <cell r="C984" t="str">
            <v>독가시치</v>
          </cell>
          <cell r="D984" t="str">
            <v>A</v>
          </cell>
          <cell r="E984">
            <v>70409110</v>
          </cell>
          <cell r="H984" t="str">
            <v>-</v>
          </cell>
          <cell r="I984" t="str">
            <v>-</v>
          </cell>
          <cell r="K984" t="str">
            <v>-</v>
          </cell>
          <cell r="L984" t="str">
            <v>-</v>
          </cell>
          <cell r="N984" t="str">
            <v>-</v>
          </cell>
          <cell r="O984" t="str">
            <v>-</v>
          </cell>
          <cell r="Q984" t="str">
            <v>-</v>
          </cell>
          <cell r="R984" t="str">
            <v>-</v>
          </cell>
          <cell r="T984" t="str">
            <v>-</v>
          </cell>
          <cell r="U984" t="str">
            <v>-</v>
          </cell>
          <cell r="W984" t="str">
            <v>-</v>
          </cell>
          <cell r="X984" t="str">
            <v>-</v>
          </cell>
        </row>
        <row r="985">
          <cell r="A985">
            <v>72220977</v>
          </cell>
          <cell r="B985">
            <v>1684</v>
          </cell>
          <cell r="C985" t="str">
            <v>넓은주둥이상어</v>
          </cell>
          <cell r="D985" t="str">
            <v>B</v>
          </cell>
          <cell r="E985">
            <v>70409071</v>
          </cell>
          <cell r="H985" t="str">
            <v>-</v>
          </cell>
          <cell r="I985" t="str">
            <v>-</v>
          </cell>
          <cell r="K985" t="str">
            <v>-</v>
          </cell>
          <cell r="L985" t="str">
            <v>-</v>
          </cell>
          <cell r="N985" t="str">
            <v>-</v>
          </cell>
          <cell r="O985" t="str">
            <v>-</v>
          </cell>
          <cell r="Q985" t="str">
            <v>-</v>
          </cell>
          <cell r="R985" t="str">
            <v>-</v>
          </cell>
          <cell r="T985" t="str">
            <v>-</v>
          </cell>
          <cell r="U985" t="str">
            <v>-</v>
          </cell>
          <cell r="W985" t="str">
            <v>-</v>
          </cell>
          <cell r="X985" t="str">
            <v>-</v>
          </cell>
        </row>
        <row r="986">
          <cell r="A986">
            <v>72220978</v>
          </cell>
          <cell r="B986">
            <v>1691</v>
          </cell>
          <cell r="C986" t="str">
            <v>눈퉁군평선</v>
          </cell>
          <cell r="D986" t="str">
            <v>A</v>
          </cell>
          <cell r="E986">
            <v>70409093</v>
          </cell>
          <cell r="H986" t="str">
            <v>-</v>
          </cell>
          <cell r="I986" t="str">
            <v>-</v>
          </cell>
          <cell r="K986" t="str">
            <v>-</v>
          </cell>
          <cell r="L986" t="str">
            <v>-</v>
          </cell>
          <cell r="N986" t="str">
            <v>-</v>
          </cell>
          <cell r="O986" t="str">
            <v>-</v>
          </cell>
          <cell r="Q986" t="str">
            <v>-</v>
          </cell>
          <cell r="R986" t="str">
            <v>-</v>
          </cell>
          <cell r="T986" t="str">
            <v>-</v>
          </cell>
          <cell r="U986" t="str">
            <v>-</v>
          </cell>
          <cell r="W986" t="str">
            <v>-</v>
          </cell>
          <cell r="X986" t="str">
            <v>-</v>
          </cell>
        </row>
        <row r="987">
          <cell r="A987">
            <v>72220979</v>
          </cell>
          <cell r="B987">
            <v>1691</v>
          </cell>
          <cell r="C987" t="str">
            <v>꼬치삼치</v>
          </cell>
          <cell r="D987" t="str">
            <v>S</v>
          </cell>
          <cell r="E987">
            <v>70409054</v>
          </cell>
          <cell r="H987" t="str">
            <v>-</v>
          </cell>
          <cell r="I987" t="str">
            <v>-</v>
          </cell>
          <cell r="K987" t="str">
            <v>-</v>
          </cell>
          <cell r="L987" t="str">
            <v>-</v>
          </cell>
          <cell r="N987" t="str">
            <v>-</v>
          </cell>
          <cell r="O987" t="str">
            <v>-</v>
          </cell>
          <cell r="Q987" t="str">
            <v>-</v>
          </cell>
          <cell r="R987" t="str">
            <v>-</v>
          </cell>
          <cell r="T987" t="str">
            <v>-</v>
          </cell>
          <cell r="U987" t="str">
            <v>-</v>
          </cell>
          <cell r="W987" t="str">
            <v>-</v>
          </cell>
          <cell r="X987" t="str">
            <v>-</v>
          </cell>
        </row>
        <row r="988">
          <cell r="A988">
            <v>72220980</v>
          </cell>
          <cell r="B988">
            <v>1691</v>
          </cell>
          <cell r="C988" t="str">
            <v>꽁치</v>
          </cell>
          <cell r="D988" t="str">
            <v>B</v>
          </cell>
          <cell r="E988">
            <v>70409056</v>
          </cell>
          <cell r="H988" t="str">
            <v>-</v>
          </cell>
          <cell r="I988" t="str">
            <v>-</v>
          </cell>
          <cell r="K988" t="str">
            <v>-</v>
          </cell>
          <cell r="L988" t="str">
            <v>-</v>
          </cell>
          <cell r="N988" t="str">
            <v>-</v>
          </cell>
          <cell r="O988" t="str">
            <v>-</v>
          </cell>
          <cell r="Q988" t="str">
            <v>-</v>
          </cell>
          <cell r="R988" t="str">
            <v>-</v>
          </cell>
          <cell r="T988" t="str">
            <v>-</v>
          </cell>
          <cell r="U988" t="str">
            <v>-</v>
          </cell>
          <cell r="W988" t="str">
            <v>-</v>
          </cell>
          <cell r="X988" t="str">
            <v>-</v>
          </cell>
        </row>
        <row r="989">
          <cell r="A989">
            <v>72220981</v>
          </cell>
          <cell r="B989">
            <v>1691</v>
          </cell>
          <cell r="C989" t="str">
            <v>병치매가리</v>
          </cell>
          <cell r="D989" t="str">
            <v>C</v>
          </cell>
          <cell r="E989">
            <v>70409206</v>
          </cell>
          <cell r="H989" t="str">
            <v>-</v>
          </cell>
          <cell r="I989" t="str">
            <v>-</v>
          </cell>
          <cell r="K989" t="str">
            <v>-</v>
          </cell>
          <cell r="L989" t="str">
            <v>-</v>
          </cell>
          <cell r="N989" t="str">
            <v>-</v>
          </cell>
          <cell r="O989" t="str">
            <v>-</v>
          </cell>
          <cell r="Q989" t="str">
            <v>-</v>
          </cell>
          <cell r="R989" t="str">
            <v>-</v>
          </cell>
          <cell r="T989" t="str">
            <v>-</v>
          </cell>
          <cell r="U989" t="str">
            <v>-</v>
          </cell>
          <cell r="W989" t="str">
            <v>-</v>
          </cell>
          <cell r="X989" t="str">
            <v>-</v>
          </cell>
        </row>
        <row r="990">
          <cell r="A990">
            <v>72220982</v>
          </cell>
          <cell r="B990">
            <v>1691</v>
          </cell>
          <cell r="C990" t="str">
            <v>줄무늬주둥치</v>
          </cell>
          <cell r="D990" t="str">
            <v>D</v>
          </cell>
          <cell r="E990">
            <v>70409329</v>
          </cell>
          <cell r="H990" t="str">
            <v>-</v>
          </cell>
          <cell r="I990" t="str">
            <v>-</v>
          </cell>
          <cell r="K990" t="str">
            <v>-</v>
          </cell>
          <cell r="L990" t="str">
            <v>-</v>
          </cell>
          <cell r="N990" t="str">
            <v>-</v>
          </cell>
          <cell r="O990" t="str">
            <v>-</v>
          </cell>
          <cell r="Q990" t="str">
            <v>-</v>
          </cell>
          <cell r="R990" t="str">
            <v>-</v>
          </cell>
          <cell r="T990" t="str">
            <v>-</v>
          </cell>
          <cell r="U990" t="str">
            <v>-</v>
          </cell>
          <cell r="W990" t="str">
            <v>-</v>
          </cell>
          <cell r="X990" t="str">
            <v>-</v>
          </cell>
        </row>
        <row r="991">
          <cell r="A991">
            <v>72220983</v>
          </cell>
          <cell r="B991">
            <v>1692</v>
          </cell>
          <cell r="C991" t="str">
            <v>눈퉁군평선</v>
          </cell>
          <cell r="D991" t="str">
            <v>A</v>
          </cell>
          <cell r="E991">
            <v>70409093</v>
          </cell>
          <cell r="H991" t="str">
            <v>-</v>
          </cell>
          <cell r="I991" t="str">
            <v>-</v>
          </cell>
          <cell r="K991" t="str">
            <v>-</v>
          </cell>
          <cell r="L991" t="str">
            <v>-</v>
          </cell>
          <cell r="N991" t="str">
            <v>-</v>
          </cell>
          <cell r="O991" t="str">
            <v>-</v>
          </cell>
          <cell r="Q991" t="str">
            <v>-</v>
          </cell>
          <cell r="R991" t="str">
            <v>-</v>
          </cell>
          <cell r="T991" t="str">
            <v>-</v>
          </cell>
          <cell r="U991" t="str">
            <v>-</v>
          </cell>
          <cell r="W991" t="str">
            <v>-</v>
          </cell>
          <cell r="X991" t="str">
            <v>-</v>
          </cell>
        </row>
        <row r="992">
          <cell r="A992">
            <v>72220984</v>
          </cell>
          <cell r="B992">
            <v>1692</v>
          </cell>
          <cell r="C992" t="str">
            <v>꼬치삼치</v>
          </cell>
          <cell r="D992" t="str">
            <v>S</v>
          </cell>
          <cell r="E992">
            <v>70409054</v>
          </cell>
          <cell r="H992" t="str">
            <v>-</v>
          </cell>
          <cell r="I992" t="str">
            <v>-</v>
          </cell>
          <cell r="K992" t="str">
            <v>-</v>
          </cell>
          <cell r="L992" t="str">
            <v>-</v>
          </cell>
          <cell r="N992" t="str">
            <v>-</v>
          </cell>
          <cell r="O992" t="str">
            <v>-</v>
          </cell>
          <cell r="Q992" t="str">
            <v>-</v>
          </cell>
          <cell r="R992" t="str">
            <v>-</v>
          </cell>
          <cell r="T992" t="str">
            <v>-</v>
          </cell>
          <cell r="U992" t="str">
            <v>-</v>
          </cell>
          <cell r="W992" t="str">
            <v>-</v>
          </cell>
          <cell r="X992" t="str">
            <v>-</v>
          </cell>
        </row>
        <row r="993">
          <cell r="A993">
            <v>72220985</v>
          </cell>
          <cell r="B993">
            <v>1692</v>
          </cell>
          <cell r="C993" t="str">
            <v>꽁치</v>
          </cell>
          <cell r="D993" t="str">
            <v>B</v>
          </cell>
          <cell r="E993">
            <v>70409056</v>
          </cell>
          <cell r="H993" t="str">
            <v>-</v>
          </cell>
          <cell r="I993" t="str">
            <v>-</v>
          </cell>
          <cell r="K993" t="str">
            <v>-</v>
          </cell>
          <cell r="L993" t="str">
            <v>-</v>
          </cell>
          <cell r="N993" t="str">
            <v>-</v>
          </cell>
          <cell r="O993" t="str">
            <v>-</v>
          </cell>
          <cell r="Q993" t="str">
            <v>-</v>
          </cell>
          <cell r="R993" t="str">
            <v>-</v>
          </cell>
          <cell r="T993" t="str">
            <v>-</v>
          </cell>
          <cell r="U993" t="str">
            <v>-</v>
          </cell>
          <cell r="W993" t="str">
            <v>-</v>
          </cell>
          <cell r="X993" t="str">
            <v>-</v>
          </cell>
        </row>
        <row r="994">
          <cell r="A994">
            <v>72220986</v>
          </cell>
          <cell r="B994">
            <v>1692</v>
          </cell>
          <cell r="C994" t="str">
            <v>병치매가리</v>
          </cell>
          <cell r="D994" t="str">
            <v>C</v>
          </cell>
          <cell r="E994">
            <v>70409206</v>
          </cell>
          <cell r="H994" t="str">
            <v>-</v>
          </cell>
          <cell r="I994" t="str">
            <v>-</v>
          </cell>
          <cell r="K994" t="str">
            <v>-</v>
          </cell>
          <cell r="L994" t="str">
            <v>-</v>
          </cell>
          <cell r="N994" t="str">
            <v>-</v>
          </cell>
          <cell r="O994" t="str">
            <v>-</v>
          </cell>
          <cell r="Q994" t="str">
            <v>-</v>
          </cell>
          <cell r="R994" t="str">
            <v>-</v>
          </cell>
          <cell r="T994" t="str">
            <v>-</v>
          </cell>
          <cell r="U994" t="str">
            <v>-</v>
          </cell>
          <cell r="W994" t="str">
            <v>-</v>
          </cell>
          <cell r="X994" t="str">
            <v>-</v>
          </cell>
        </row>
        <row r="995">
          <cell r="A995">
            <v>72220987</v>
          </cell>
          <cell r="B995">
            <v>1692</v>
          </cell>
          <cell r="C995" t="str">
            <v>줄무늬주둥치</v>
          </cell>
          <cell r="D995" t="str">
            <v>D</v>
          </cell>
          <cell r="E995">
            <v>70409329</v>
          </cell>
          <cell r="H995" t="str">
            <v>-</v>
          </cell>
          <cell r="I995" t="str">
            <v>-</v>
          </cell>
          <cell r="K995" t="str">
            <v>-</v>
          </cell>
          <cell r="L995" t="str">
            <v>-</v>
          </cell>
          <cell r="N995" t="str">
            <v>-</v>
          </cell>
          <cell r="O995" t="str">
            <v>-</v>
          </cell>
          <cell r="Q995" t="str">
            <v>-</v>
          </cell>
          <cell r="R995" t="str">
            <v>-</v>
          </cell>
          <cell r="T995" t="str">
            <v>-</v>
          </cell>
          <cell r="U995" t="str">
            <v>-</v>
          </cell>
          <cell r="W995" t="str">
            <v>-</v>
          </cell>
          <cell r="X995" t="str">
            <v>-</v>
          </cell>
        </row>
        <row r="996">
          <cell r="A996">
            <v>72220988</v>
          </cell>
          <cell r="B996">
            <v>1693</v>
          </cell>
          <cell r="C996" t="str">
            <v>눈퉁군평선</v>
          </cell>
          <cell r="D996" t="str">
            <v>A</v>
          </cell>
          <cell r="E996">
            <v>70409093</v>
          </cell>
          <cell r="H996" t="str">
            <v>-</v>
          </cell>
          <cell r="I996" t="str">
            <v>-</v>
          </cell>
          <cell r="K996" t="str">
            <v>-</v>
          </cell>
          <cell r="L996" t="str">
            <v>-</v>
          </cell>
          <cell r="N996" t="str">
            <v>-</v>
          </cell>
          <cell r="O996" t="str">
            <v>-</v>
          </cell>
          <cell r="Q996" t="str">
            <v>-</v>
          </cell>
          <cell r="R996" t="str">
            <v>-</v>
          </cell>
          <cell r="T996" t="str">
            <v>-</v>
          </cell>
          <cell r="U996" t="str">
            <v>-</v>
          </cell>
          <cell r="W996" t="str">
            <v>-</v>
          </cell>
          <cell r="X996" t="str">
            <v>-</v>
          </cell>
        </row>
        <row r="997">
          <cell r="A997">
            <v>72220989</v>
          </cell>
          <cell r="B997">
            <v>1693</v>
          </cell>
          <cell r="C997" t="str">
            <v>꼬치삼치</v>
          </cell>
          <cell r="D997" t="str">
            <v>S</v>
          </cell>
          <cell r="E997">
            <v>70409054</v>
          </cell>
          <cell r="H997" t="str">
            <v>-</v>
          </cell>
          <cell r="I997" t="str">
            <v>-</v>
          </cell>
          <cell r="K997" t="str">
            <v>-</v>
          </cell>
          <cell r="L997" t="str">
            <v>-</v>
          </cell>
          <cell r="N997" t="str">
            <v>-</v>
          </cell>
          <cell r="O997" t="str">
            <v>-</v>
          </cell>
          <cell r="Q997" t="str">
            <v>-</v>
          </cell>
          <cell r="R997" t="str">
            <v>-</v>
          </cell>
          <cell r="T997" t="str">
            <v>-</v>
          </cell>
          <cell r="U997" t="str">
            <v>-</v>
          </cell>
          <cell r="W997" t="str">
            <v>-</v>
          </cell>
          <cell r="X997" t="str">
            <v>-</v>
          </cell>
        </row>
        <row r="998">
          <cell r="A998">
            <v>72220990</v>
          </cell>
          <cell r="B998">
            <v>1693</v>
          </cell>
          <cell r="C998" t="str">
            <v>꽁치</v>
          </cell>
          <cell r="D998" t="str">
            <v>B</v>
          </cell>
          <cell r="E998">
            <v>70409056</v>
          </cell>
          <cell r="H998" t="str">
            <v>-</v>
          </cell>
          <cell r="I998" t="str">
            <v>-</v>
          </cell>
          <cell r="K998" t="str">
            <v>-</v>
          </cell>
          <cell r="L998" t="str">
            <v>-</v>
          </cell>
          <cell r="N998" t="str">
            <v>-</v>
          </cell>
          <cell r="O998" t="str">
            <v>-</v>
          </cell>
          <cell r="Q998" t="str">
            <v>-</v>
          </cell>
          <cell r="R998" t="str">
            <v>-</v>
          </cell>
          <cell r="T998" t="str">
            <v>-</v>
          </cell>
          <cell r="U998" t="str">
            <v>-</v>
          </cell>
          <cell r="W998" t="str">
            <v>-</v>
          </cell>
          <cell r="X998" t="str">
            <v>-</v>
          </cell>
        </row>
        <row r="999">
          <cell r="A999">
            <v>72220991</v>
          </cell>
          <cell r="B999">
            <v>1693</v>
          </cell>
          <cell r="C999" t="str">
            <v>병치매가리</v>
          </cell>
          <cell r="D999" t="str">
            <v>C</v>
          </cell>
          <cell r="E999">
            <v>70409206</v>
          </cell>
          <cell r="H999" t="str">
            <v>-</v>
          </cell>
          <cell r="I999" t="str">
            <v>-</v>
          </cell>
          <cell r="K999" t="str">
            <v>-</v>
          </cell>
          <cell r="L999" t="str">
            <v>-</v>
          </cell>
          <cell r="N999" t="str">
            <v>-</v>
          </cell>
          <cell r="O999" t="str">
            <v>-</v>
          </cell>
          <cell r="Q999" t="str">
            <v>-</v>
          </cell>
          <cell r="R999" t="str">
            <v>-</v>
          </cell>
          <cell r="T999" t="str">
            <v>-</v>
          </cell>
          <cell r="U999" t="str">
            <v>-</v>
          </cell>
          <cell r="W999" t="str">
            <v>-</v>
          </cell>
          <cell r="X999" t="str">
            <v>-</v>
          </cell>
        </row>
        <row r="1000">
          <cell r="A1000">
            <v>72220992</v>
          </cell>
          <cell r="B1000">
            <v>1693</v>
          </cell>
          <cell r="C1000" t="str">
            <v>줄무늬주둥치</v>
          </cell>
          <cell r="D1000" t="str">
            <v>D</v>
          </cell>
          <cell r="E1000">
            <v>70409329</v>
          </cell>
          <cell r="H1000" t="str">
            <v>-</v>
          </cell>
          <cell r="I1000" t="str">
            <v>-</v>
          </cell>
          <cell r="K1000" t="str">
            <v>-</v>
          </cell>
          <cell r="L1000" t="str">
            <v>-</v>
          </cell>
          <cell r="N1000" t="str">
            <v>-</v>
          </cell>
          <cell r="O1000" t="str">
            <v>-</v>
          </cell>
          <cell r="Q1000" t="str">
            <v>-</v>
          </cell>
          <cell r="R1000" t="str">
            <v>-</v>
          </cell>
          <cell r="T1000" t="str">
            <v>-</v>
          </cell>
          <cell r="U1000" t="str">
            <v>-</v>
          </cell>
          <cell r="W1000" t="str">
            <v>-</v>
          </cell>
          <cell r="X1000" t="str">
            <v>-</v>
          </cell>
        </row>
        <row r="1001">
          <cell r="A1001">
            <v>72220993</v>
          </cell>
          <cell r="B1001">
            <v>1694</v>
          </cell>
          <cell r="C1001" t="str">
            <v>눈퉁군평선</v>
          </cell>
          <cell r="D1001" t="str">
            <v>A</v>
          </cell>
          <cell r="E1001">
            <v>70409093</v>
          </cell>
          <cell r="H1001" t="str">
            <v>-</v>
          </cell>
          <cell r="I1001" t="str">
            <v>-</v>
          </cell>
          <cell r="K1001" t="str">
            <v>-</v>
          </cell>
          <cell r="L1001" t="str">
            <v>-</v>
          </cell>
          <cell r="N1001" t="str">
            <v>-</v>
          </cell>
          <cell r="O1001" t="str">
            <v>-</v>
          </cell>
          <cell r="Q1001" t="str">
            <v>-</v>
          </cell>
          <cell r="R1001" t="str">
            <v>-</v>
          </cell>
          <cell r="T1001" t="str">
            <v>-</v>
          </cell>
          <cell r="U1001" t="str">
            <v>-</v>
          </cell>
          <cell r="W1001" t="str">
            <v>-</v>
          </cell>
          <cell r="X1001" t="str">
            <v>-</v>
          </cell>
        </row>
        <row r="1002">
          <cell r="A1002">
            <v>72220994</v>
          </cell>
          <cell r="B1002">
            <v>1694</v>
          </cell>
          <cell r="C1002" t="str">
            <v>꼬치삼치</v>
          </cell>
          <cell r="D1002" t="str">
            <v>S</v>
          </cell>
          <cell r="E1002">
            <v>70409054</v>
          </cell>
          <cell r="H1002" t="str">
            <v>-</v>
          </cell>
          <cell r="I1002" t="str">
            <v>-</v>
          </cell>
          <cell r="K1002" t="str">
            <v>-</v>
          </cell>
          <cell r="L1002" t="str">
            <v>-</v>
          </cell>
          <cell r="N1002" t="str">
            <v>-</v>
          </cell>
          <cell r="O1002" t="str">
            <v>-</v>
          </cell>
          <cell r="Q1002" t="str">
            <v>-</v>
          </cell>
          <cell r="R1002" t="str">
            <v>-</v>
          </cell>
          <cell r="T1002" t="str">
            <v>-</v>
          </cell>
          <cell r="U1002" t="str">
            <v>-</v>
          </cell>
          <cell r="W1002" t="str">
            <v>-</v>
          </cell>
          <cell r="X1002" t="str">
            <v>-</v>
          </cell>
        </row>
        <row r="1003">
          <cell r="A1003">
            <v>72220995</v>
          </cell>
          <cell r="B1003">
            <v>1694</v>
          </cell>
          <cell r="C1003" t="str">
            <v>꽁치</v>
          </cell>
          <cell r="D1003" t="str">
            <v>B</v>
          </cell>
          <cell r="E1003">
            <v>70409056</v>
          </cell>
          <cell r="H1003" t="str">
            <v>-</v>
          </cell>
          <cell r="I1003" t="str">
            <v>-</v>
          </cell>
          <cell r="K1003" t="str">
            <v>-</v>
          </cell>
          <cell r="L1003" t="str">
            <v>-</v>
          </cell>
          <cell r="N1003" t="str">
            <v>-</v>
          </cell>
          <cell r="O1003" t="str">
            <v>-</v>
          </cell>
          <cell r="Q1003" t="str">
            <v>-</v>
          </cell>
          <cell r="R1003" t="str">
            <v>-</v>
          </cell>
          <cell r="T1003" t="str">
            <v>-</v>
          </cell>
          <cell r="U1003" t="str">
            <v>-</v>
          </cell>
          <cell r="W1003" t="str">
            <v>-</v>
          </cell>
          <cell r="X1003" t="str">
            <v>-</v>
          </cell>
        </row>
        <row r="1004">
          <cell r="A1004">
            <v>72220996</v>
          </cell>
          <cell r="B1004">
            <v>1694</v>
          </cell>
          <cell r="C1004" t="str">
            <v>병치매가리</v>
          </cell>
          <cell r="D1004" t="str">
            <v>C</v>
          </cell>
          <cell r="E1004">
            <v>70409206</v>
          </cell>
          <cell r="H1004" t="str">
            <v>-</v>
          </cell>
          <cell r="I1004" t="str">
            <v>-</v>
          </cell>
          <cell r="K1004" t="str">
            <v>-</v>
          </cell>
          <cell r="L1004" t="str">
            <v>-</v>
          </cell>
          <cell r="N1004" t="str">
            <v>-</v>
          </cell>
          <cell r="O1004" t="str">
            <v>-</v>
          </cell>
          <cell r="Q1004" t="str">
            <v>-</v>
          </cell>
          <cell r="R1004" t="str">
            <v>-</v>
          </cell>
          <cell r="T1004" t="str">
            <v>-</v>
          </cell>
          <cell r="U1004" t="str">
            <v>-</v>
          </cell>
          <cell r="W1004" t="str">
            <v>-</v>
          </cell>
          <cell r="X1004" t="str">
            <v>-</v>
          </cell>
        </row>
        <row r="1005">
          <cell r="A1005">
            <v>72220997</v>
          </cell>
          <cell r="B1005">
            <v>1694</v>
          </cell>
          <cell r="C1005" t="str">
            <v>줄무늬주둥치</v>
          </cell>
          <cell r="D1005" t="str">
            <v>D</v>
          </cell>
          <cell r="E1005">
            <v>70409329</v>
          </cell>
          <cell r="H1005" t="str">
            <v>-</v>
          </cell>
          <cell r="I1005" t="str">
            <v>-</v>
          </cell>
          <cell r="K1005" t="str">
            <v>-</v>
          </cell>
          <cell r="L1005" t="str">
            <v>-</v>
          </cell>
          <cell r="N1005" t="str">
            <v>-</v>
          </cell>
          <cell r="O1005" t="str">
            <v>-</v>
          </cell>
          <cell r="Q1005" t="str">
            <v>-</v>
          </cell>
          <cell r="R1005" t="str">
            <v>-</v>
          </cell>
          <cell r="T1005" t="str">
            <v>-</v>
          </cell>
          <cell r="U1005" t="str">
            <v>-</v>
          </cell>
          <cell r="W1005" t="str">
            <v>-</v>
          </cell>
          <cell r="X1005" t="str">
            <v>-</v>
          </cell>
        </row>
        <row r="1006">
          <cell r="A1006">
            <v>72220998</v>
          </cell>
          <cell r="B1006">
            <v>1701</v>
          </cell>
          <cell r="C1006" t="str">
            <v>개상어</v>
          </cell>
          <cell r="D1006" t="str">
            <v>S</v>
          </cell>
          <cell r="E1006">
            <v>70409020</v>
          </cell>
          <cell r="H1006" t="str">
            <v>-</v>
          </cell>
          <cell r="I1006" t="str">
            <v>-</v>
          </cell>
          <cell r="K1006" t="str">
            <v>-</v>
          </cell>
          <cell r="L1006" t="str">
            <v>-</v>
          </cell>
          <cell r="N1006" t="str">
            <v>-</v>
          </cell>
          <cell r="O1006" t="str">
            <v>-</v>
          </cell>
          <cell r="Q1006" t="str">
            <v>-</v>
          </cell>
          <cell r="R1006" t="str">
            <v>-</v>
          </cell>
          <cell r="T1006" t="str">
            <v>-</v>
          </cell>
          <cell r="U1006" t="str">
            <v>-</v>
          </cell>
          <cell r="W1006" t="str">
            <v>-</v>
          </cell>
          <cell r="X1006" t="str">
            <v>-</v>
          </cell>
        </row>
        <row r="1007">
          <cell r="A1007">
            <v>72220999</v>
          </cell>
          <cell r="B1007">
            <v>1701</v>
          </cell>
          <cell r="C1007" t="str">
            <v>대전어</v>
          </cell>
          <cell r="D1007" t="str">
            <v>B</v>
          </cell>
          <cell r="E1007">
            <v>70409102</v>
          </cell>
          <cell r="H1007" t="str">
            <v>-</v>
          </cell>
          <cell r="I1007" t="str">
            <v>-</v>
          </cell>
          <cell r="K1007" t="str">
            <v>-</v>
          </cell>
          <cell r="L1007" t="str">
            <v>-</v>
          </cell>
          <cell r="N1007" t="str">
            <v>-</v>
          </cell>
          <cell r="O1007" t="str">
            <v>-</v>
          </cell>
          <cell r="Q1007" t="str">
            <v>-</v>
          </cell>
          <cell r="R1007" t="str">
            <v>-</v>
          </cell>
          <cell r="T1007" t="str">
            <v>-</v>
          </cell>
          <cell r="U1007" t="str">
            <v>-</v>
          </cell>
          <cell r="W1007" t="str">
            <v>-</v>
          </cell>
          <cell r="X1007" t="str">
            <v>-</v>
          </cell>
        </row>
        <row r="1008">
          <cell r="A1008">
            <v>72221000</v>
          </cell>
          <cell r="B1008">
            <v>1701</v>
          </cell>
          <cell r="C1008" t="str">
            <v>두줄벤자리</v>
          </cell>
          <cell r="D1008" t="str">
            <v>A</v>
          </cell>
          <cell r="E1008">
            <v>70409129</v>
          </cell>
          <cell r="H1008" t="str">
            <v>-</v>
          </cell>
          <cell r="I1008" t="str">
            <v>-</v>
          </cell>
          <cell r="K1008" t="str">
            <v>-</v>
          </cell>
          <cell r="L1008" t="str">
            <v>-</v>
          </cell>
          <cell r="N1008" t="str">
            <v>-</v>
          </cell>
          <cell r="O1008" t="str">
            <v>-</v>
          </cell>
          <cell r="Q1008" t="str">
            <v>-</v>
          </cell>
          <cell r="R1008" t="str">
            <v>-</v>
          </cell>
          <cell r="T1008" t="str">
            <v>-</v>
          </cell>
          <cell r="U1008" t="str">
            <v>-</v>
          </cell>
          <cell r="W1008" t="str">
            <v>-</v>
          </cell>
          <cell r="X1008" t="str">
            <v>-</v>
          </cell>
        </row>
        <row r="1009">
          <cell r="A1009">
            <v>72221001</v>
          </cell>
          <cell r="B1009">
            <v>1701</v>
          </cell>
          <cell r="C1009" t="str">
            <v>병치매가리</v>
          </cell>
          <cell r="D1009" t="str">
            <v>C</v>
          </cell>
          <cell r="E1009">
            <v>70409206</v>
          </cell>
          <cell r="H1009" t="str">
            <v>-</v>
          </cell>
          <cell r="I1009" t="str">
            <v>-</v>
          </cell>
          <cell r="K1009" t="str">
            <v>-</v>
          </cell>
          <cell r="L1009" t="str">
            <v>-</v>
          </cell>
          <cell r="N1009" t="str">
            <v>-</v>
          </cell>
          <cell r="O1009" t="str">
            <v>-</v>
          </cell>
          <cell r="Q1009" t="str">
            <v>-</v>
          </cell>
          <cell r="R1009" t="str">
            <v>-</v>
          </cell>
          <cell r="T1009" t="str">
            <v>-</v>
          </cell>
          <cell r="U1009" t="str">
            <v>-</v>
          </cell>
          <cell r="W1009" t="str">
            <v>-</v>
          </cell>
          <cell r="X1009" t="str">
            <v>-</v>
          </cell>
        </row>
        <row r="1010">
          <cell r="A1010">
            <v>72221002</v>
          </cell>
          <cell r="B1010">
            <v>1701</v>
          </cell>
          <cell r="C1010" t="str">
            <v>줄전갱이</v>
          </cell>
          <cell r="D1010" t="str">
            <v>D</v>
          </cell>
          <cell r="E1010">
            <v>70409332</v>
          </cell>
          <cell r="H1010" t="str">
            <v>-</v>
          </cell>
          <cell r="I1010" t="str">
            <v>-</v>
          </cell>
          <cell r="K1010" t="str">
            <v>-</v>
          </cell>
          <cell r="L1010" t="str">
            <v>-</v>
          </cell>
          <cell r="N1010" t="str">
            <v>-</v>
          </cell>
          <cell r="O1010" t="str">
            <v>-</v>
          </cell>
          <cell r="Q1010" t="str">
            <v>-</v>
          </cell>
          <cell r="R1010" t="str">
            <v>-</v>
          </cell>
          <cell r="T1010" t="str">
            <v>-</v>
          </cell>
          <cell r="U1010" t="str">
            <v>-</v>
          </cell>
          <cell r="W1010" t="str">
            <v>-</v>
          </cell>
          <cell r="X1010" t="str">
            <v>-</v>
          </cell>
        </row>
        <row r="1011">
          <cell r="A1011">
            <v>72221003</v>
          </cell>
          <cell r="B1011">
            <v>1702</v>
          </cell>
          <cell r="C1011" t="str">
            <v>개상어</v>
          </cell>
          <cell r="D1011" t="str">
            <v>S</v>
          </cell>
          <cell r="E1011">
            <v>70409020</v>
          </cell>
          <cell r="H1011" t="str">
            <v>-</v>
          </cell>
          <cell r="I1011" t="str">
            <v>-</v>
          </cell>
          <cell r="K1011" t="str">
            <v>-</v>
          </cell>
          <cell r="L1011" t="str">
            <v>-</v>
          </cell>
          <cell r="N1011" t="str">
            <v>-</v>
          </cell>
          <cell r="O1011" t="str">
            <v>-</v>
          </cell>
          <cell r="Q1011" t="str">
            <v>-</v>
          </cell>
          <cell r="R1011" t="str">
            <v>-</v>
          </cell>
          <cell r="T1011" t="str">
            <v>-</v>
          </cell>
          <cell r="U1011" t="str">
            <v>-</v>
          </cell>
          <cell r="W1011" t="str">
            <v>-</v>
          </cell>
          <cell r="X1011" t="str">
            <v>-</v>
          </cell>
        </row>
        <row r="1012">
          <cell r="A1012">
            <v>72221004</v>
          </cell>
          <cell r="B1012">
            <v>1702</v>
          </cell>
          <cell r="C1012" t="str">
            <v>대전어</v>
          </cell>
          <cell r="D1012" t="str">
            <v>B</v>
          </cell>
          <cell r="E1012">
            <v>70409102</v>
          </cell>
          <cell r="H1012" t="str">
            <v>-</v>
          </cell>
          <cell r="I1012" t="str">
            <v>-</v>
          </cell>
          <cell r="K1012" t="str">
            <v>-</v>
          </cell>
          <cell r="L1012" t="str">
            <v>-</v>
          </cell>
          <cell r="N1012" t="str">
            <v>-</v>
          </cell>
          <cell r="O1012" t="str">
            <v>-</v>
          </cell>
          <cell r="Q1012" t="str">
            <v>-</v>
          </cell>
          <cell r="R1012" t="str">
            <v>-</v>
          </cell>
          <cell r="T1012" t="str">
            <v>-</v>
          </cell>
          <cell r="U1012" t="str">
            <v>-</v>
          </cell>
          <cell r="W1012" t="str">
            <v>-</v>
          </cell>
          <cell r="X1012" t="str">
            <v>-</v>
          </cell>
        </row>
        <row r="1013">
          <cell r="A1013">
            <v>72221005</v>
          </cell>
          <cell r="B1013">
            <v>1702</v>
          </cell>
          <cell r="C1013" t="str">
            <v>두줄벤자리</v>
          </cell>
          <cell r="D1013" t="str">
            <v>A</v>
          </cell>
          <cell r="E1013">
            <v>70409129</v>
          </cell>
          <cell r="H1013" t="str">
            <v>-</v>
          </cell>
          <cell r="I1013" t="str">
            <v>-</v>
          </cell>
          <cell r="K1013" t="str">
            <v>-</v>
          </cell>
          <cell r="L1013" t="str">
            <v>-</v>
          </cell>
          <cell r="N1013" t="str">
            <v>-</v>
          </cell>
          <cell r="O1013" t="str">
            <v>-</v>
          </cell>
          <cell r="Q1013" t="str">
            <v>-</v>
          </cell>
          <cell r="R1013" t="str">
            <v>-</v>
          </cell>
          <cell r="T1013" t="str">
            <v>-</v>
          </cell>
          <cell r="U1013" t="str">
            <v>-</v>
          </cell>
          <cell r="W1013" t="str">
            <v>-</v>
          </cell>
          <cell r="X1013" t="str">
            <v>-</v>
          </cell>
        </row>
        <row r="1014">
          <cell r="A1014">
            <v>72221006</v>
          </cell>
          <cell r="B1014">
            <v>1702</v>
          </cell>
          <cell r="C1014" t="str">
            <v>험프헤드앵무고기</v>
          </cell>
          <cell r="D1014" t="str">
            <v>B</v>
          </cell>
          <cell r="E1014">
            <v>70409391</v>
          </cell>
          <cell r="H1014" t="str">
            <v>-</v>
          </cell>
          <cell r="I1014" t="str">
            <v>-</v>
          </cell>
          <cell r="K1014" t="str">
            <v>-</v>
          </cell>
          <cell r="L1014" t="str">
            <v>-</v>
          </cell>
          <cell r="N1014" t="str">
            <v>-</v>
          </cell>
          <cell r="O1014" t="str">
            <v>-</v>
          </cell>
          <cell r="Q1014" t="str">
            <v>-</v>
          </cell>
          <cell r="R1014" t="str">
            <v>-</v>
          </cell>
          <cell r="T1014" t="str">
            <v>-</v>
          </cell>
          <cell r="U1014" t="str">
            <v>-</v>
          </cell>
          <cell r="W1014" t="str">
            <v>-</v>
          </cell>
          <cell r="X1014" t="str">
            <v>-</v>
          </cell>
        </row>
        <row r="1015">
          <cell r="A1015">
            <v>72221007</v>
          </cell>
          <cell r="B1015">
            <v>1702</v>
          </cell>
          <cell r="C1015" t="str">
            <v>줄무늬주둥치</v>
          </cell>
          <cell r="D1015" t="str">
            <v>D</v>
          </cell>
          <cell r="E1015">
            <v>70409329</v>
          </cell>
          <cell r="H1015" t="str">
            <v>-</v>
          </cell>
          <cell r="I1015" t="str">
            <v>-</v>
          </cell>
          <cell r="K1015" t="str">
            <v>-</v>
          </cell>
          <cell r="L1015" t="str">
            <v>-</v>
          </cell>
          <cell r="N1015" t="str">
            <v>-</v>
          </cell>
          <cell r="O1015" t="str">
            <v>-</v>
          </cell>
          <cell r="Q1015" t="str">
            <v>-</v>
          </cell>
          <cell r="R1015" t="str">
            <v>-</v>
          </cell>
          <cell r="T1015" t="str">
            <v>-</v>
          </cell>
          <cell r="U1015" t="str">
            <v>-</v>
          </cell>
          <cell r="W1015" t="str">
            <v>-</v>
          </cell>
          <cell r="X1015" t="str">
            <v>-</v>
          </cell>
        </row>
        <row r="1016">
          <cell r="A1016">
            <v>72221008</v>
          </cell>
          <cell r="B1016">
            <v>1703</v>
          </cell>
          <cell r="C1016" t="str">
            <v>개상어</v>
          </cell>
          <cell r="D1016" t="str">
            <v>S</v>
          </cell>
          <cell r="E1016">
            <v>70409020</v>
          </cell>
          <cell r="H1016" t="str">
            <v>-</v>
          </cell>
          <cell r="I1016" t="str">
            <v>-</v>
          </cell>
          <cell r="K1016" t="str">
            <v>-</v>
          </cell>
          <cell r="L1016" t="str">
            <v>-</v>
          </cell>
          <cell r="N1016" t="str">
            <v>-</v>
          </cell>
          <cell r="O1016" t="str">
            <v>-</v>
          </cell>
          <cell r="Q1016" t="str">
            <v>-</v>
          </cell>
          <cell r="R1016" t="str">
            <v>-</v>
          </cell>
          <cell r="T1016" t="str">
            <v>-</v>
          </cell>
          <cell r="U1016" t="str">
            <v>-</v>
          </cell>
          <cell r="W1016" t="str">
            <v>-</v>
          </cell>
          <cell r="X1016" t="str">
            <v>-</v>
          </cell>
        </row>
        <row r="1017">
          <cell r="A1017">
            <v>72221009</v>
          </cell>
          <cell r="B1017">
            <v>1703</v>
          </cell>
          <cell r="C1017" t="str">
            <v>대전어</v>
          </cell>
          <cell r="D1017" t="str">
            <v>B</v>
          </cell>
          <cell r="E1017">
            <v>70409102</v>
          </cell>
          <cell r="H1017" t="str">
            <v>-</v>
          </cell>
          <cell r="I1017" t="str">
            <v>-</v>
          </cell>
          <cell r="K1017" t="str">
            <v>-</v>
          </cell>
          <cell r="L1017" t="str">
            <v>-</v>
          </cell>
          <cell r="N1017" t="str">
            <v>-</v>
          </cell>
          <cell r="O1017" t="str">
            <v>-</v>
          </cell>
          <cell r="Q1017" t="str">
            <v>-</v>
          </cell>
          <cell r="R1017" t="str">
            <v>-</v>
          </cell>
          <cell r="T1017" t="str">
            <v>-</v>
          </cell>
          <cell r="U1017" t="str">
            <v>-</v>
          </cell>
          <cell r="W1017" t="str">
            <v>-</v>
          </cell>
          <cell r="X1017" t="str">
            <v>-</v>
          </cell>
        </row>
        <row r="1018">
          <cell r="A1018">
            <v>72221010</v>
          </cell>
          <cell r="B1018">
            <v>1703</v>
          </cell>
          <cell r="C1018" t="str">
            <v>두줄벤자리</v>
          </cell>
          <cell r="D1018" t="str">
            <v>A</v>
          </cell>
          <cell r="E1018">
            <v>70409129</v>
          </cell>
          <cell r="H1018" t="str">
            <v>-</v>
          </cell>
          <cell r="I1018" t="str">
            <v>-</v>
          </cell>
          <cell r="K1018" t="str">
            <v>-</v>
          </cell>
          <cell r="L1018" t="str">
            <v>-</v>
          </cell>
          <cell r="N1018" t="str">
            <v>-</v>
          </cell>
          <cell r="O1018" t="str">
            <v>-</v>
          </cell>
          <cell r="Q1018" t="str">
            <v>-</v>
          </cell>
          <cell r="R1018" t="str">
            <v>-</v>
          </cell>
          <cell r="T1018" t="str">
            <v>-</v>
          </cell>
          <cell r="U1018" t="str">
            <v>-</v>
          </cell>
          <cell r="W1018" t="str">
            <v>-</v>
          </cell>
          <cell r="X1018" t="str">
            <v>-</v>
          </cell>
        </row>
        <row r="1019">
          <cell r="A1019">
            <v>72221011</v>
          </cell>
          <cell r="B1019">
            <v>1703</v>
          </cell>
          <cell r="C1019" t="str">
            <v>험프헤드앵무고기</v>
          </cell>
          <cell r="D1019" t="str">
            <v>B</v>
          </cell>
          <cell r="E1019">
            <v>70409391</v>
          </cell>
          <cell r="H1019" t="str">
            <v>-</v>
          </cell>
          <cell r="I1019" t="str">
            <v>-</v>
          </cell>
          <cell r="K1019" t="str">
            <v>-</v>
          </cell>
          <cell r="L1019" t="str">
            <v>-</v>
          </cell>
          <cell r="N1019" t="str">
            <v>-</v>
          </cell>
          <cell r="O1019" t="str">
            <v>-</v>
          </cell>
          <cell r="Q1019" t="str">
            <v>-</v>
          </cell>
          <cell r="R1019" t="str">
            <v>-</v>
          </cell>
          <cell r="T1019" t="str">
            <v>-</v>
          </cell>
          <cell r="U1019" t="str">
            <v>-</v>
          </cell>
          <cell r="W1019" t="str">
            <v>-</v>
          </cell>
          <cell r="X1019" t="str">
            <v>-</v>
          </cell>
        </row>
        <row r="1020">
          <cell r="A1020">
            <v>72221012</v>
          </cell>
          <cell r="B1020">
            <v>1703</v>
          </cell>
          <cell r="C1020" t="str">
            <v>줄무늬주둥치</v>
          </cell>
          <cell r="D1020" t="str">
            <v>D</v>
          </cell>
          <cell r="E1020">
            <v>70409329</v>
          </cell>
          <cell r="H1020" t="str">
            <v>-</v>
          </cell>
          <cell r="I1020" t="str">
            <v>-</v>
          </cell>
          <cell r="K1020" t="str">
            <v>-</v>
          </cell>
          <cell r="L1020" t="str">
            <v>-</v>
          </cell>
          <cell r="N1020" t="str">
            <v>-</v>
          </cell>
          <cell r="O1020" t="str">
            <v>-</v>
          </cell>
          <cell r="Q1020" t="str">
            <v>-</v>
          </cell>
          <cell r="R1020" t="str">
            <v>-</v>
          </cell>
          <cell r="T1020" t="str">
            <v>-</v>
          </cell>
          <cell r="U1020" t="str">
            <v>-</v>
          </cell>
          <cell r="W1020" t="str">
            <v>-</v>
          </cell>
          <cell r="X1020" t="str">
            <v>-</v>
          </cell>
        </row>
        <row r="1021">
          <cell r="A1021">
            <v>72221013</v>
          </cell>
          <cell r="B1021">
            <v>1704</v>
          </cell>
          <cell r="C1021" t="str">
            <v>개상어</v>
          </cell>
          <cell r="D1021" t="str">
            <v>S</v>
          </cell>
          <cell r="E1021">
            <v>70409020</v>
          </cell>
          <cell r="H1021" t="str">
            <v>-</v>
          </cell>
          <cell r="I1021" t="str">
            <v>-</v>
          </cell>
          <cell r="K1021" t="str">
            <v>-</v>
          </cell>
          <cell r="L1021" t="str">
            <v>-</v>
          </cell>
          <cell r="N1021" t="str">
            <v>-</v>
          </cell>
          <cell r="O1021" t="str">
            <v>-</v>
          </cell>
          <cell r="Q1021" t="str">
            <v>-</v>
          </cell>
          <cell r="R1021" t="str">
            <v>-</v>
          </cell>
          <cell r="T1021" t="str">
            <v>-</v>
          </cell>
          <cell r="U1021" t="str">
            <v>-</v>
          </cell>
          <cell r="W1021" t="str">
            <v>-</v>
          </cell>
          <cell r="X1021" t="str">
            <v>-</v>
          </cell>
        </row>
        <row r="1022">
          <cell r="A1022">
            <v>72221014</v>
          </cell>
          <cell r="B1022">
            <v>1704</v>
          </cell>
          <cell r="C1022" t="str">
            <v>대전어</v>
          </cell>
          <cell r="D1022" t="str">
            <v>B</v>
          </cell>
          <cell r="E1022">
            <v>70409102</v>
          </cell>
          <cell r="H1022" t="str">
            <v>-</v>
          </cell>
          <cell r="I1022" t="str">
            <v>-</v>
          </cell>
          <cell r="K1022" t="str">
            <v>-</v>
          </cell>
          <cell r="L1022" t="str">
            <v>-</v>
          </cell>
          <cell r="N1022" t="str">
            <v>-</v>
          </cell>
          <cell r="O1022" t="str">
            <v>-</v>
          </cell>
          <cell r="Q1022" t="str">
            <v>-</v>
          </cell>
          <cell r="R1022" t="str">
            <v>-</v>
          </cell>
          <cell r="T1022" t="str">
            <v>-</v>
          </cell>
          <cell r="U1022" t="str">
            <v>-</v>
          </cell>
          <cell r="W1022" t="str">
            <v>-</v>
          </cell>
          <cell r="X1022" t="str">
            <v>-</v>
          </cell>
        </row>
        <row r="1023">
          <cell r="A1023">
            <v>72221015</v>
          </cell>
          <cell r="B1023">
            <v>1704</v>
          </cell>
          <cell r="C1023" t="str">
            <v>두줄벤자리</v>
          </cell>
          <cell r="D1023" t="str">
            <v>A</v>
          </cell>
          <cell r="E1023">
            <v>70409129</v>
          </cell>
          <cell r="H1023" t="str">
            <v>-</v>
          </cell>
          <cell r="I1023" t="str">
            <v>-</v>
          </cell>
          <cell r="K1023" t="str">
            <v>-</v>
          </cell>
          <cell r="L1023" t="str">
            <v>-</v>
          </cell>
          <cell r="N1023" t="str">
            <v>-</v>
          </cell>
          <cell r="O1023" t="str">
            <v>-</v>
          </cell>
          <cell r="Q1023" t="str">
            <v>-</v>
          </cell>
          <cell r="R1023" t="str">
            <v>-</v>
          </cell>
          <cell r="T1023" t="str">
            <v>-</v>
          </cell>
          <cell r="U1023" t="str">
            <v>-</v>
          </cell>
          <cell r="W1023" t="str">
            <v>-</v>
          </cell>
          <cell r="X1023" t="str">
            <v>-</v>
          </cell>
        </row>
        <row r="1024">
          <cell r="A1024">
            <v>72221016</v>
          </cell>
          <cell r="B1024">
            <v>1704</v>
          </cell>
          <cell r="C1024" t="str">
            <v>험프헤드앵무고기</v>
          </cell>
          <cell r="D1024" t="str">
            <v>B</v>
          </cell>
          <cell r="E1024">
            <v>70409391</v>
          </cell>
          <cell r="H1024" t="str">
            <v>-</v>
          </cell>
          <cell r="I1024" t="str">
            <v>-</v>
          </cell>
          <cell r="K1024" t="str">
            <v>-</v>
          </cell>
          <cell r="L1024" t="str">
            <v>-</v>
          </cell>
          <cell r="N1024" t="str">
            <v>-</v>
          </cell>
          <cell r="O1024" t="str">
            <v>-</v>
          </cell>
          <cell r="Q1024" t="str">
            <v>-</v>
          </cell>
          <cell r="R1024" t="str">
            <v>-</v>
          </cell>
          <cell r="T1024" t="str">
            <v>-</v>
          </cell>
          <cell r="U1024" t="str">
            <v>-</v>
          </cell>
          <cell r="W1024" t="str">
            <v>-</v>
          </cell>
          <cell r="X1024" t="str">
            <v>-</v>
          </cell>
        </row>
        <row r="1025">
          <cell r="A1025">
            <v>72221017</v>
          </cell>
          <cell r="B1025">
            <v>1704</v>
          </cell>
          <cell r="C1025" t="str">
            <v>줄무늬주둥치</v>
          </cell>
          <cell r="D1025" t="str">
            <v>D</v>
          </cell>
          <cell r="E1025">
            <v>70409329</v>
          </cell>
          <cell r="H1025" t="str">
            <v>-</v>
          </cell>
          <cell r="I1025" t="str">
            <v>-</v>
          </cell>
          <cell r="K1025" t="str">
            <v>-</v>
          </cell>
          <cell r="L1025" t="str">
            <v>-</v>
          </cell>
          <cell r="N1025" t="str">
            <v>-</v>
          </cell>
          <cell r="O1025" t="str">
            <v>-</v>
          </cell>
          <cell r="Q1025" t="str">
            <v>-</v>
          </cell>
          <cell r="R1025" t="str">
            <v>-</v>
          </cell>
          <cell r="T1025" t="str">
            <v>-</v>
          </cell>
          <cell r="U1025" t="str">
            <v>-</v>
          </cell>
          <cell r="W1025" t="str">
            <v>-</v>
          </cell>
          <cell r="X1025" t="str">
            <v>-</v>
          </cell>
        </row>
        <row r="1026">
          <cell r="A1026">
            <v>72221018</v>
          </cell>
          <cell r="B1026">
            <v>1711</v>
          </cell>
          <cell r="C1026" t="str">
            <v>봉오리양태</v>
          </cell>
          <cell r="D1026" t="str">
            <v>C</v>
          </cell>
          <cell r="E1026">
            <v>70409212</v>
          </cell>
          <cell r="H1026" t="str">
            <v>-</v>
          </cell>
          <cell r="I1026" t="str">
            <v>-</v>
          </cell>
          <cell r="K1026" t="str">
            <v>-</v>
          </cell>
          <cell r="L1026" t="str">
            <v>-</v>
          </cell>
          <cell r="N1026" t="str">
            <v>-</v>
          </cell>
          <cell r="O1026" t="str">
            <v>-</v>
          </cell>
          <cell r="Q1026" t="str">
            <v>-</v>
          </cell>
          <cell r="R1026" t="str">
            <v>-</v>
          </cell>
          <cell r="T1026" t="str">
            <v>-</v>
          </cell>
          <cell r="U1026" t="str">
            <v>-</v>
          </cell>
          <cell r="W1026" t="str">
            <v>-</v>
          </cell>
          <cell r="X1026" t="str">
            <v>-</v>
          </cell>
        </row>
        <row r="1027">
          <cell r="A1027">
            <v>72221019</v>
          </cell>
          <cell r="B1027">
            <v>1711</v>
          </cell>
          <cell r="C1027" t="str">
            <v>자바리</v>
          </cell>
          <cell r="D1027" t="str">
            <v>B</v>
          </cell>
          <cell r="E1027">
            <v>70409307</v>
          </cell>
          <cell r="H1027" t="str">
            <v>-</v>
          </cell>
          <cell r="I1027" t="str">
            <v>-</v>
          </cell>
          <cell r="K1027" t="str">
            <v>-</v>
          </cell>
          <cell r="L1027" t="str">
            <v>-</v>
          </cell>
          <cell r="N1027" t="str">
            <v>-</v>
          </cell>
          <cell r="O1027" t="str">
            <v>-</v>
          </cell>
          <cell r="Q1027" t="str">
            <v>-</v>
          </cell>
          <cell r="R1027" t="str">
            <v>-</v>
          </cell>
          <cell r="T1027" t="str">
            <v>-</v>
          </cell>
          <cell r="U1027" t="str">
            <v>-</v>
          </cell>
          <cell r="W1027" t="str">
            <v>-</v>
          </cell>
          <cell r="X1027" t="str">
            <v>-</v>
          </cell>
        </row>
        <row r="1028">
          <cell r="A1028">
            <v>72221020</v>
          </cell>
          <cell r="B1028">
            <v>1711</v>
          </cell>
          <cell r="C1028" t="str">
            <v>준치</v>
          </cell>
          <cell r="D1028" t="str">
            <v>S</v>
          </cell>
          <cell r="E1028">
            <v>70409326</v>
          </cell>
          <cell r="H1028" t="str">
            <v>-</v>
          </cell>
          <cell r="I1028" t="str">
            <v>-</v>
          </cell>
          <cell r="K1028" t="str">
            <v>-</v>
          </cell>
          <cell r="L1028" t="str">
            <v>-</v>
          </cell>
          <cell r="N1028" t="str">
            <v>-</v>
          </cell>
          <cell r="O1028" t="str">
            <v>-</v>
          </cell>
          <cell r="Q1028" t="str">
            <v>-</v>
          </cell>
          <cell r="R1028" t="str">
            <v>-</v>
          </cell>
          <cell r="T1028" t="str">
            <v>-</v>
          </cell>
          <cell r="U1028" t="str">
            <v>-</v>
          </cell>
          <cell r="W1028" t="str">
            <v>-</v>
          </cell>
          <cell r="X1028" t="str">
            <v>-</v>
          </cell>
        </row>
        <row r="1029">
          <cell r="A1029">
            <v>72221021</v>
          </cell>
          <cell r="B1029">
            <v>1711</v>
          </cell>
          <cell r="C1029" t="str">
            <v>큰양놀래기</v>
          </cell>
          <cell r="D1029" t="str">
            <v>B</v>
          </cell>
          <cell r="E1029">
            <v>70409361</v>
          </cell>
          <cell r="H1029" t="str">
            <v>-</v>
          </cell>
          <cell r="I1029" t="str">
            <v>-</v>
          </cell>
          <cell r="K1029" t="str">
            <v>-</v>
          </cell>
          <cell r="L1029" t="str">
            <v>-</v>
          </cell>
          <cell r="N1029" t="str">
            <v>-</v>
          </cell>
          <cell r="O1029" t="str">
            <v>-</v>
          </cell>
          <cell r="Q1029" t="str">
            <v>-</v>
          </cell>
          <cell r="R1029" t="str">
            <v>-</v>
          </cell>
          <cell r="T1029" t="str">
            <v>-</v>
          </cell>
          <cell r="U1029" t="str">
            <v>-</v>
          </cell>
          <cell r="W1029" t="str">
            <v>-</v>
          </cell>
          <cell r="X1029" t="str">
            <v>-</v>
          </cell>
        </row>
        <row r="1030">
          <cell r="A1030">
            <v>72221022</v>
          </cell>
          <cell r="B1030">
            <v>1711</v>
          </cell>
          <cell r="C1030" t="str">
            <v>새날치</v>
          </cell>
          <cell r="D1030" t="str">
            <v>D</v>
          </cell>
          <cell r="E1030">
            <v>70409248</v>
          </cell>
          <cell r="H1030" t="str">
            <v>-</v>
          </cell>
          <cell r="I1030" t="str">
            <v>-</v>
          </cell>
          <cell r="K1030" t="str">
            <v>-</v>
          </cell>
          <cell r="L1030" t="str">
            <v>-</v>
          </cell>
          <cell r="N1030" t="str">
            <v>-</v>
          </cell>
          <cell r="O1030" t="str">
            <v>-</v>
          </cell>
          <cell r="Q1030" t="str">
            <v>-</v>
          </cell>
          <cell r="R1030" t="str">
            <v>-</v>
          </cell>
          <cell r="T1030" t="str">
            <v>-</v>
          </cell>
          <cell r="U1030" t="str">
            <v>-</v>
          </cell>
          <cell r="W1030" t="str">
            <v>-</v>
          </cell>
          <cell r="X1030" t="str">
            <v>-</v>
          </cell>
        </row>
        <row r="1031">
          <cell r="A1031">
            <v>72221023</v>
          </cell>
          <cell r="B1031">
            <v>1712</v>
          </cell>
          <cell r="C1031" t="str">
            <v>봉오리양태</v>
          </cell>
          <cell r="D1031" t="str">
            <v>C</v>
          </cell>
          <cell r="E1031">
            <v>70409212</v>
          </cell>
          <cell r="H1031" t="str">
            <v>-</v>
          </cell>
          <cell r="I1031" t="str">
            <v>-</v>
          </cell>
          <cell r="K1031" t="str">
            <v>-</v>
          </cell>
          <cell r="L1031" t="str">
            <v>-</v>
          </cell>
          <cell r="N1031" t="str">
            <v>-</v>
          </cell>
          <cell r="O1031" t="str">
            <v>-</v>
          </cell>
          <cell r="Q1031" t="str">
            <v>-</v>
          </cell>
          <cell r="R1031" t="str">
            <v>-</v>
          </cell>
          <cell r="T1031" t="str">
            <v>-</v>
          </cell>
          <cell r="U1031" t="str">
            <v>-</v>
          </cell>
          <cell r="W1031" t="str">
            <v>-</v>
          </cell>
          <cell r="X1031" t="str">
            <v>-</v>
          </cell>
        </row>
        <row r="1032">
          <cell r="A1032">
            <v>72221024</v>
          </cell>
          <cell r="B1032">
            <v>1712</v>
          </cell>
          <cell r="C1032" t="str">
            <v>자바리</v>
          </cell>
          <cell r="D1032" t="str">
            <v>B</v>
          </cell>
          <cell r="E1032">
            <v>70409307</v>
          </cell>
          <cell r="H1032" t="str">
            <v>-</v>
          </cell>
          <cell r="I1032" t="str">
            <v>-</v>
          </cell>
          <cell r="K1032" t="str">
            <v>-</v>
          </cell>
          <cell r="L1032" t="str">
            <v>-</v>
          </cell>
          <cell r="N1032" t="str">
            <v>-</v>
          </cell>
          <cell r="O1032" t="str">
            <v>-</v>
          </cell>
          <cell r="Q1032" t="str">
            <v>-</v>
          </cell>
          <cell r="R1032" t="str">
            <v>-</v>
          </cell>
          <cell r="T1032" t="str">
            <v>-</v>
          </cell>
          <cell r="U1032" t="str">
            <v>-</v>
          </cell>
          <cell r="W1032" t="str">
            <v>-</v>
          </cell>
          <cell r="X1032" t="str">
            <v>-</v>
          </cell>
        </row>
        <row r="1033">
          <cell r="A1033">
            <v>72221025</v>
          </cell>
          <cell r="B1033">
            <v>1712</v>
          </cell>
          <cell r="C1033" t="str">
            <v>준치</v>
          </cell>
          <cell r="D1033" t="str">
            <v>S</v>
          </cell>
          <cell r="E1033">
            <v>70409326</v>
          </cell>
          <cell r="H1033" t="str">
            <v>-</v>
          </cell>
          <cell r="I1033" t="str">
            <v>-</v>
          </cell>
          <cell r="K1033" t="str">
            <v>-</v>
          </cell>
          <cell r="L1033" t="str">
            <v>-</v>
          </cell>
          <cell r="N1033" t="str">
            <v>-</v>
          </cell>
          <cell r="O1033" t="str">
            <v>-</v>
          </cell>
          <cell r="Q1033" t="str">
            <v>-</v>
          </cell>
          <cell r="R1033" t="str">
            <v>-</v>
          </cell>
          <cell r="T1033" t="str">
            <v>-</v>
          </cell>
          <cell r="U1033" t="str">
            <v>-</v>
          </cell>
          <cell r="W1033" t="str">
            <v>-</v>
          </cell>
          <cell r="X1033" t="str">
            <v>-</v>
          </cell>
        </row>
        <row r="1034">
          <cell r="A1034">
            <v>72221026</v>
          </cell>
          <cell r="B1034">
            <v>1712</v>
          </cell>
          <cell r="C1034" t="str">
            <v>큰양놀래기</v>
          </cell>
          <cell r="D1034" t="str">
            <v>B</v>
          </cell>
          <cell r="E1034">
            <v>70409361</v>
          </cell>
          <cell r="H1034" t="str">
            <v>-</v>
          </cell>
          <cell r="I1034" t="str">
            <v>-</v>
          </cell>
          <cell r="K1034" t="str">
            <v>-</v>
          </cell>
          <cell r="L1034" t="str">
            <v>-</v>
          </cell>
          <cell r="N1034" t="str">
            <v>-</v>
          </cell>
          <cell r="O1034" t="str">
            <v>-</v>
          </cell>
          <cell r="Q1034" t="str">
            <v>-</v>
          </cell>
          <cell r="R1034" t="str">
            <v>-</v>
          </cell>
          <cell r="T1034" t="str">
            <v>-</v>
          </cell>
          <cell r="U1034" t="str">
            <v>-</v>
          </cell>
          <cell r="W1034" t="str">
            <v>-</v>
          </cell>
          <cell r="X1034" t="str">
            <v>-</v>
          </cell>
        </row>
        <row r="1035">
          <cell r="A1035">
            <v>72221027</v>
          </cell>
          <cell r="B1035">
            <v>1712</v>
          </cell>
          <cell r="C1035" t="str">
            <v>새날치</v>
          </cell>
          <cell r="D1035" t="str">
            <v>D</v>
          </cell>
          <cell r="E1035">
            <v>70409248</v>
          </cell>
          <cell r="H1035" t="str">
            <v>-</v>
          </cell>
          <cell r="I1035" t="str">
            <v>-</v>
          </cell>
          <cell r="K1035" t="str">
            <v>-</v>
          </cell>
          <cell r="L1035" t="str">
            <v>-</v>
          </cell>
          <cell r="N1035" t="str">
            <v>-</v>
          </cell>
          <cell r="O1035" t="str">
            <v>-</v>
          </cell>
          <cell r="Q1035" t="str">
            <v>-</v>
          </cell>
          <cell r="R1035" t="str">
            <v>-</v>
          </cell>
          <cell r="T1035" t="str">
            <v>-</v>
          </cell>
          <cell r="U1035" t="str">
            <v>-</v>
          </cell>
          <cell r="W1035" t="str">
            <v>-</v>
          </cell>
          <cell r="X1035" t="str">
            <v>-</v>
          </cell>
        </row>
        <row r="1036">
          <cell r="A1036">
            <v>72221028</v>
          </cell>
          <cell r="B1036">
            <v>1713</v>
          </cell>
          <cell r="C1036" t="str">
            <v>봉오리양태</v>
          </cell>
          <cell r="D1036" t="str">
            <v>C</v>
          </cell>
          <cell r="E1036">
            <v>70409212</v>
          </cell>
          <cell r="H1036" t="str">
            <v>-</v>
          </cell>
          <cell r="I1036" t="str">
            <v>-</v>
          </cell>
          <cell r="K1036" t="str">
            <v>-</v>
          </cell>
          <cell r="L1036" t="str">
            <v>-</v>
          </cell>
          <cell r="N1036" t="str">
            <v>-</v>
          </cell>
          <cell r="O1036" t="str">
            <v>-</v>
          </cell>
          <cell r="Q1036" t="str">
            <v>-</v>
          </cell>
          <cell r="R1036" t="str">
            <v>-</v>
          </cell>
          <cell r="T1036" t="str">
            <v>-</v>
          </cell>
          <cell r="U1036" t="str">
            <v>-</v>
          </cell>
          <cell r="W1036" t="str">
            <v>-</v>
          </cell>
          <cell r="X1036" t="str">
            <v>-</v>
          </cell>
        </row>
        <row r="1037">
          <cell r="A1037">
            <v>72221029</v>
          </cell>
          <cell r="B1037">
            <v>1713</v>
          </cell>
          <cell r="C1037" t="str">
            <v>자바리</v>
          </cell>
          <cell r="D1037" t="str">
            <v>B</v>
          </cell>
          <cell r="E1037">
            <v>70409307</v>
          </cell>
          <cell r="H1037" t="str">
            <v>-</v>
          </cell>
          <cell r="I1037" t="str">
            <v>-</v>
          </cell>
          <cell r="K1037" t="str">
            <v>-</v>
          </cell>
          <cell r="L1037" t="str">
            <v>-</v>
          </cell>
          <cell r="N1037" t="str">
            <v>-</v>
          </cell>
          <cell r="O1037" t="str">
            <v>-</v>
          </cell>
          <cell r="Q1037" t="str">
            <v>-</v>
          </cell>
          <cell r="R1037" t="str">
            <v>-</v>
          </cell>
          <cell r="T1037" t="str">
            <v>-</v>
          </cell>
          <cell r="U1037" t="str">
            <v>-</v>
          </cell>
          <cell r="W1037" t="str">
            <v>-</v>
          </cell>
          <cell r="X1037" t="str">
            <v>-</v>
          </cell>
        </row>
        <row r="1038">
          <cell r="A1038">
            <v>72221030</v>
          </cell>
          <cell r="B1038">
            <v>1713</v>
          </cell>
          <cell r="C1038" t="str">
            <v>준치</v>
          </cell>
          <cell r="D1038" t="str">
            <v>S</v>
          </cell>
          <cell r="E1038">
            <v>70409326</v>
          </cell>
          <cell r="H1038" t="str">
            <v>-</v>
          </cell>
          <cell r="I1038" t="str">
            <v>-</v>
          </cell>
          <cell r="K1038" t="str">
            <v>-</v>
          </cell>
          <cell r="L1038" t="str">
            <v>-</v>
          </cell>
          <cell r="N1038" t="str">
            <v>-</v>
          </cell>
          <cell r="O1038" t="str">
            <v>-</v>
          </cell>
          <cell r="Q1038" t="str">
            <v>-</v>
          </cell>
          <cell r="R1038" t="str">
            <v>-</v>
          </cell>
          <cell r="T1038" t="str">
            <v>-</v>
          </cell>
          <cell r="U1038" t="str">
            <v>-</v>
          </cell>
          <cell r="W1038" t="str">
            <v>-</v>
          </cell>
          <cell r="X1038" t="str">
            <v>-</v>
          </cell>
        </row>
        <row r="1039">
          <cell r="A1039">
            <v>72221031</v>
          </cell>
          <cell r="B1039">
            <v>1713</v>
          </cell>
          <cell r="C1039" t="str">
            <v>큰양놀래기</v>
          </cell>
          <cell r="D1039" t="str">
            <v>B</v>
          </cell>
          <cell r="E1039">
            <v>70409361</v>
          </cell>
          <cell r="H1039" t="str">
            <v>-</v>
          </cell>
          <cell r="I1039" t="str">
            <v>-</v>
          </cell>
          <cell r="K1039" t="str">
            <v>-</v>
          </cell>
          <cell r="L1039" t="str">
            <v>-</v>
          </cell>
          <cell r="N1039" t="str">
            <v>-</v>
          </cell>
          <cell r="O1039" t="str">
            <v>-</v>
          </cell>
          <cell r="Q1039" t="str">
            <v>-</v>
          </cell>
          <cell r="R1039" t="str">
            <v>-</v>
          </cell>
          <cell r="T1039" t="str">
            <v>-</v>
          </cell>
          <cell r="U1039" t="str">
            <v>-</v>
          </cell>
          <cell r="W1039" t="str">
            <v>-</v>
          </cell>
          <cell r="X1039" t="str">
            <v>-</v>
          </cell>
        </row>
        <row r="1040">
          <cell r="A1040">
            <v>72221032</v>
          </cell>
          <cell r="B1040">
            <v>1713</v>
          </cell>
          <cell r="C1040" t="str">
            <v>새날치</v>
          </cell>
          <cell r="D1040" t="str">
            <v>D</v>
          </cell>
          <cell r="E1040">
            <v>70409248</v>
          </cell>
          <cell r="H1040" t="str">
            <v>-</v>
          </cell>
          <cell r="I1040" t="str">
            <v>-</v>
          </cell>
          <cell r="K1040" t="str">
            <v>-</v>
          </cell>
          <cell r="L1040" t="str">
            <v>-</v>
          </cell>
          <cell r="N1040" t="str">
            <v>-</v>
          </cell>
          <cell r="O1040" t="str">
            <v>-</v>
          </cell>
          <cell r="Q1040" t="str">
            <v>-</v>
          </cell>
          <cell r="R1040" t="str">
            <v>-</v>
          </cell>
          <cell r="T1040" t="str">
            <v>-</v>
          </cell>
          <cell r="U1040" t="str">
            <v>-</v>
          </cell>
          <cell r="W1040" t="str">
            <v>-</v>
          </cell>
          <cell r="X1040" t="str">
            <v>-</v>
          </cell>
        </row>
        <row r="1041">
          <cell r="A1041">
            <v>72221033</v>
          </cell>
          <cell r="B1041">
            <v>1714</v>
          </cell>
          <cell r="C1041" t="str">
            <v>봉오리양태</v>
          </cell>
          <cell r="D1041" t="str">
            <v>C</v>
          </cell>
          <cell r="E1041">
            <v>70409212</v>
          </cell>
          <cell r="H1041" t="str">
            <v>-</v>
          </cell>
          <cell r="I1041" t="str">
            <v>-</v>
          </cell>
          <cell r="K1041" t="str">
            <v>-</v>
          </cell>
          <cell r="L1041" t="str">
            <v>-</v>
          </cell>
          <cell r="N1041" t="str">
            <v>-</v>
          </cell>
          <cell r="O1041" t="str">
            <v>-</v>
          </cell>
          <cell r="Q1041" t="str">
            <v>-</v>
          </cell>
          <cell r="R1041" t="str">
            <v>-</v>
          </cell>
          <cell r="T1041" t="str">
            <v>-</v>
          </cell>
          <cell r="U1041" t="str">
            <v>-</v>
          </cell>
          <cell r="W1041" t="str">
            <v>-</v>
          </cell>
          <cell r="X1041" t="str">
            <v>-</v>
          </cell>
        </row>
        <row r="1042">
          <cell r="A1042">
            <v>72221034</v>
          </cell>
          <cell r="B1042">
            <v>1714</v>
          </cell>
          <cell r="C1042" t="str">
            <v>자바리</v>
          </cell>
          <cell r="D1042" t="str">
            <v>B</v>
          </cell>
          <cell r="E1042">
            <v>70409307</v>
          </cell>
          <cell r="H1042" t="str">
            <v>-</v>
          </cell>
          <cell r="I1042" t="str">
            <v>-</v>
          </cell>
          <cell r="K1042" t="str">
            <v>-</v>
          </cell>
          <cell r="L1042" t="str">
            <v>-</v>
          </cell>
          <cell r="N1042" t="str">
            <v>-</v>
          </cell>
          <cell r="O1042" t="str">
            <v>-</v>
          </cell>
          <cell r="Q1042" t="str">
            <v>-</v>
          </cell>
          <cell r="R1042" t="str">
            <v>-</v>
          </cell>
          <cell r="T1042" t="str">
            <v>-</v>
          </cell>
          <cell r="U1042" t="str">
            <v>-</v>
          </cell>
          <cell r="W1042" t="str">
            <v>-</v>
          </cell>
          <cell r="X1042" t="str">
            <v>-</v>
          </cell>
        </row>
        <row r="1043">
          <cell r="A1043">
            <v>72221035</v>
          </cell>
          <cell r="B1043">
            <v>1714</v>
          </cell>
          <cell r="C1043" t="str">
            <v>준치</v>
          </cell>
          <cell r="D1043" t="str">
            <v>S</v>
          </cell>
          <cell r="E1043">
            <v>70409326</v>
          </cell>
          <cell r="H1043" t="str">
            <v>-</v>
          </cell>
          <cell r="I1043" t="str">
            <v>-</v>
          </cell>
          <cell r="K1043" t="str">
            <v>-</v>
          </cell>
          <cell r="L1043" t="str">
            <v>-</v>
          </cell>
          <cell r="N1043" t="str">
            <v>-</v>
          </cell>
          <cell r="O1043" t="str">
            <v>-</v>
          </cell>
          <cell r="Q1043" t="str">
            <v>-</v>
          </cell>
          <cell r="R1043" t="str">
            <v>-</v>
          </cell>
          <cell r="T1043" t="str">
            <v>-</v>
          </cell>
          <cell r="U1043" t="str">
            <v>-</v>
          </cell>
          <cell r="W1043" t="str">
            <v>-</v>
          </cell>
          <cell r="X1043" t="str">
            <v>-</v>
          </cell>
        </row>
        <row r="1044">
          <cell r="A1044">
            <v>72221036</v>
          </cell>
          <cell r="B1044">
            <v>1714</v>
          </cell>
          <cell r="C1044" t="str">
            <v>큰양놀래기</v>
          </cell>
          <cell r="D1044" t="str">
            <v>B</v>
          </cell>
          <cell r="E1044">
            <v>70409361</v>
          </cell>
          <cell r="H1044" t="str">
            <v>-</v>
          </cell>
          <cell r="I1044" t="str">
            <v>-</v>
          </cell>
          <cell r="K1044" t="str">
            <v>-</v>
          </cell>
          <cell r="L1044" t="str">
            <v>-</v>
          </cell>
          <cell r="N1044" t="str">
            <v>-</v>
          </cell>
          <cell r="O1044" t="str">
            <v>-</v>
          </cell>
          <cell r="Q1044" t="str">
            <v>-</v>
          </cell>
          <cell r="R1044" t="str">
            <v>-</v>
          </cell>
          <cell r="T1044" t="str">
            <v>-</v>
          </cell>
          <cell r="U1044" t="str">
            <v>-</v>
          </cell>
          <cell r="W1044" t="str">
            <v>-</v>
          </cell>
          <cell r="X1044" t="str">
            <v>-</v>
          </cell>
        </row>
        <row r="1045">
          <cell r="A1045">
            <v>72221037</v>
          </cell>
          <cell r="B1045">
            <v>1714</v>
          </cell>
          <cell r="C1045" t="str">
            <v>새날치</v>
          </cell>
          <cell r="D1045" t="str">
            <v>D</v>
          </cell>
          <cell r="E1045">
            <v>70409248</v>
          </cell>
          <cell r="H1045" t="str">
            <v>-</v>
          </cell>
          <cell r="I1045" t="str">
            <v>-</v>
          </cell>
          <cell r="K1045" t="str">
            <v>-</v>
          </cell>
          <cell r="L1045" t="str">
            <v>-</v>
          </cell>
          <cell r="N1045" t="str">
            <v>-</v>
          </cell>
          <cell r="O1045" t="str">
            <v>-</v>
          </cell>
          <cell r="Q1045" t="str">
            <v>-</v>
          </cell>
          <cell r="R1045" t="str">
            <v>-</v>
          </cell>
          <cell r="T1045" t="str">
            <v>-</v>
          </cell>
          <cell r="U1045" t="str">
            <v>-</v>
          </cell>
          <cell r="W1045" t="str">
            <v>-</v>
          </cell>
          <cell r="X1045" t="str">
            <v>-</v>
          </cell>
        </row>
        <row r="1046">
          <cell r="A1046">
            <v>72221038</v>
          </cell>
          <cell r="B1046">
            <v>1721</v>
          </cell>
          <cell r="C1046" t="str">
            <v>게르치</v>
          </cell>
          <cell r="D1046" t="str">
            <v>C</v>
          </cell>
          <cell r="E1046">
            <v>70409029</v>
          </cell>
          <cell r="H1046" t="str">
            <v>-</v>
          </cell>
          <cell r="I1046" t="str">
            <v>-</v>
          </cell>
          <cell r="K1046" t="str">
            <v>-</v>
          </cell>
          <cell r="L1046" t="str">
            <v>-</v>
          </cell>
          <cell r="N1046" t="str">
            <v>-</v>
          </cell>
          <cell r="O1046" t="str">
            <v>-</v>
          </cell>
          <cell r="Q1046" t="str">
            <v>-</v>
          </cell>
          <cell r="R1046" t="str">
            <v>-</v>
          </cell>
          <cell r="T1046" t="str">
            <v>-</v>
          </cell>
          <cell r="U1046" t="str">
            <v>-</v>
          </cell>
          <cell r="W1046" t="str">
            <v>-</v>
          </cell>
          <cell r="X1046" t="str">
            <v>-</v>
          </cell>
        </row>
        <row r="1047">
          <cell r="A1047">
            <v>72221039</v>
          </cell>
          <cell r="B1047">
            <v>1721</v>
          </cell>
          <cell r="C1047" t="str">
            <v>다금바리</v>
          </cell>
          <cell r="D1047" t="str">
            <v>S</v>
          </cell>
          <cell r="E1047">
            <v>70409095</v>
          </cell>
          <cell r="H1047" t="str">
            <v>-</v>
          </cell>
          <cell r="I1047" t="str">
            <v>-</v>
          </cell>
          <cell r="K1047" t="str">
            <v>-</v>
          </cell>
          <cell r="L1047" t="str">
            <v>-</v>
          </cell>
          <cell r="N1047" t="str">
            <v>-</v>
          </cell>
          <cell r="O1047" t="str">
            <v>-</v>
          </cell>
          <cell r="Q1047" t="str">
            <v>-</v>
          </cell>
          <cell r="R1047" t="str">
            <v>-</v>
          </cell>
          <cell r="T1047" t="str">
            <v>-</v>
          </cell>
          <cell r="U1047" t="str">
            <v>-</v>
          </cell>
          <cell r="W1047" t="str">
            <v>-</v>
          </cell>
          <cell r="X1047" t="str">
            <v>-</v>
          </cell>
        </row>
        <row r="1048">
          <cell r="A1048">
            <v>72221040</v>
          </cell>
          <cell r="B1048">
            <v>1721</v>
          </cell>
          <cell r="C1048" t="str">
            <v>세동가리돔</v>
          </cell>
          <cell r="D1048" t="str">
            <v>B</v>
          </cell>
          <cell r="E1048">
            <v>70409254</v>
          </cell>
          <cell r="H1048" t="str">
            <v>-</v>
          </cell>
          <cell r="I1048" t="str">
            <v>-</v>
          </cell>
          <cell r="K1048" t="str">
            <v>-</v>
          </cell>
          <cell r="L1048" t="str">
            <v>-</v>
          </cell>
          <cell r="N1048" t="str">
            <v>-</v>
          </cell>
          <cell r="O1048" t="str">
            <v>-</v>
          </cell>
          <cell r="Q1048" t="str">
            <v>-</v>
          </cell>
          <cell r="R1048" t="str">
            <v>-</v>
          </cell>
          <cell r="T1048" t="str">
            <v>-</v>
          </cell>
          <cell r="U1048" t="str">
            <v>-</v>
          </cell>
          <cell r="W1048" t="str">
            <v>-</v>
          </cell>
          <cell r="X1048" t="str">
            <v>-</v>
          </cell>
        </row>
        <row r="1049">
          <cell r="A1049">
            <v>72221041</v>
          </cell>
          <cell r="B1049">
            <v>1721</v>
          </cell>
          <cell r="C1049" t="str">
            <v>큰양놀래기</v>
          </cell>
          <cell r="D1049" t="str">
            <v>B</v>
          </cell>
          <cell r="E1049">
            <v>70409361</v>
          </cell>
          <cell r="H1049" t="str">
            <v>-</v>
          </cell>
          <cell r="I1049" t="str">
            <v>-</v>
          </cell>
          <cell r="K1049" t="str">
            <v>-</v>
          </cell>
          <cell r="L1049" t="str">
            <v>-</v>
          </cell>
          <cell r="N1049" t="str">
            <v>-</v>
          </cell>
          <cell r="O1049" t="str">
            <v>-</v>
          </cell>
          <cell r="Q1049" t="str">
            <v>-</v>
          </cell>
          <cell r="R1049" t="str">
            <v>-</v>
          </cell>
          <cell r="T1049" t="str">
            <v>-</v>
          </cell>
          <cell r="U1049" t="str">
            <v>-</v>
          </cell>
          <cell r="W1049" t="str">
            <v>-</v>
          </cell>
          <cell r="X1049" t="str">
            <v>-</v>
          </cell>
        </row>
        <row r="1050">
          <cell r="A1050">
            <v>72221042</v>
          </cell>
          <cell r="B1050">
            <v>1722</v>
          </cell>
          <cell r="C1050" t="str">
            <v>게르치</v>
          </cell>
          <cell r="D1050" t="str">
            <v>C</v>
          </cell>
          <cell r="E1050">
            <v>70409029</v>
          </cell>
          <cell r="H1050" t="str">
            <v>-</v>
          </cell>
          <cell r="I1050" t="str">
            <v>-</v>
          </cell>
          <cell r="K1050" t="str">
            <v>-</v>
          </cell>
          <cell r="L1050" t="str">
            <v>-</v>
          </cell>
          <cell r="N1050" t="str">
            <v>-</v>
          </cell>
          <cell r="O1050" t="str">
            <v>-</v>
          </cell>
          <cell r="Q1050" t="str">
            <v>-</v>
          </cell>
          <cell r="R1050" t="str">
            <v>-</v>
          </cell>
          <cell r="T1050" t="str">
            <v>-</v>
          </cell>
          <cell r="U1050" t="str">
            <v>-</v>
          </cell>
          <cell r="W1050" t="str">
            <v>-</v>
          </cell>
          <cell r="X1050" t="str">
            <v>-</v>
          </cell>
        </row>
        <row r="1051">
          <cell r="A1051">
            <v>72221043</v>
          </cell>
          <cell r="B1051">
            <v>1722</v>
          </cell>
          <cell r="C1051" t="str">
            <v>다금바리</v>
          </cell>
          <cell r="D1051" t="str">
            <v>S</v>
          </cell>
          <cell r="E1051">
            <v>70409095</v>
          </cell>
          <cell r="H1051" t="str">
            <v>-</v>
          </cell>
          <cell r="I1051" t="str">
            <v>-</v>
          </cell>
          <cell r="K1051" t="str">
            <v>-</v>
          </cell>
          <cell r="L1051" t="str">
            <v>-</v>
          </cell>
          <cell r="N1051" t="str">
            <v>-</v>
          </cell>
          <cell r="O1051" t="str">
            <v>-</v>
          </cell>
          <cell r="Q1051" t="str">
            <v>-</v>
          </cell>
          <cell r="R1051" t="str">
            <v>-</v>
          </cell>
          <cell r="T1051" t="str">
            <v>-</v>
          </cell>
          <cell r="U1051" t="str">
            <v>-</v>
          </cell>
          <cell r="W1051" t="str">
            <v>-</v>
          </cell>
          <cell r="X1051" t="str">
            <v>-</v>
          </cell>
        </row>
        <row r="1052">
          <cell r="A1052">
            <v>72221044</v>
          </cell>
          <cell r="B1052">
            <v>1722</v>
          </cell>
          <cell r="C1052" t="str">
            <v>세동가리돔</v>
          </cell>
          <cell r="D1052" t="str">
            <v>B</v>
          </cell>
          <cell r="E1052">
            <v>70409254</v>
          </cell>
          <cell r="H1052" t="str">
            <v>-</v>
          </cell>
          <cell r="I1052" t="str">
            <v>-</v>
          </cell>
          <cell r="K1052" t="str">
            <v>-</v>
          </cell>
          <cell r="L1052" t="str">
            <v>-</v>
          </cell>
          <cell r="N1052" t="str">
            <v>-</v>
          </cell>
          <cell r="O1052" t="str">
            <v>-</v>
          </cell>
          <cell r="Q1052" t="str">
            <v>-</v>
          </cell>
          <cell r="R1052" t="str">
            <v>-</v>
          </cell>
          <cell r="T1052" t="str">
            <v>-</v>
          </cell>
          <cell r="U1052" t="str">
            <v>-</v>
          </cell>
          <cell r="W1052" t="str">
            <v>-</v>
          </cell>
          <cell r="X1052" t="str">
            <v>-</v>
          </cell>
        </row>
        <row r="1053">
          <cell r="A1053">
            <v>72221045</v>
          </cell>
          <cell r="B1053">
            <v>1722</v>
          </cell>
          <cell r="C1053" t="str">
            <v>참돔</v>
          </cell>
          <cell r="D1053" t="str">
            <v>A</v>
          </cell>
          <cell r="E1053">
            <v>70409341</v>
          </cell>
          <cell r="H1053" t="str">
            <v>-</v>
          </cell>
          <cell r="I1053" t="str">
            <v>-</v>
          </cell>
          <cell r="K1053" t="str">
            <v>-</v>
          </cell>
          <cell r="L1053" t="str">
            <v>-</v>
          </cell>
          <cell r="N1053" t="str">
            <v>-</v>
          </cell>
          <cell r="O1053" t="str">
            <v>-</v>
          </cell>
          <cell r="Q1053" t="str">
            <v>-</v>
          </cell>
          <cell r="R1053" t="str">
            <v>-</v>
          </cell>
          <cell r="T1053" t="str">
            <v>-</v>
          </cell>
          <cell r="U1053" t="str">
            <v>-</v>
          </cell>
          <cell r="W1053" t="str">
            <v>-</v>
          </cell>
          <cell r="X1053" t="str">
            <v>-</v>
          </cell>
        </row>
        <row r="1054">
          <cell r="A1054">
            <v>72221046</v>
          </cell>
          <cell r="B1054">
            <v>1722</v>
          </cell>
          <cell r="C1054" t="str">
            <v>초승제비활치</v>
          </cell>
          <cell r="D1054" t="str">
            <v>D</v>
          </cell>
          <cell r="E1054">
            <v>70409355</v>
          </cell>
          <cell r="H1054" t="str">
            <v>-</v>
          </cell>
          <cell r="I1054" t="str">
            <v>-</v>
          </cell>
          <cell r="K1054" t="str">
            <v>-</v>
          </cell>
          <cell r="L1054" t="str">
            <v>-</v>
          </cell>
          <cell r="N1054" t="str">
            <v>-</v>
          </cell>
          <cell r="O1054" t="str">
            <v>-</v>
          </cell>
          <cell r="Q1054" t="str">
            <v>-</v>
          </cell>
          <cell r="R1054" t="str">
            <v>-</v>
          </cell>
          <cell r="T1054" t="str">
            <v>-</v>
          </cell>
          <cell r="U1054" t="str">
            <v>-</v>
          </cell>
          <cell r="W1054" t="str">
            <v>-</v>
          </cell>
          <cell r="X1054" t="str">
            <v>-</v>
          </cell>
        </row>
        <row r="1055">
          <cell r="A1055">
            <v>72221047</v>
          </cell>
          <cell r="B1055">
            <v>1723</v>
          </cell>
          <cell r="C1055" t="str">
            <v>게르치</v>
          </cell>
          <cell r="D1055" t="str">
            <v>C</v>
          </cell>
          <cell r="E1055">
            <v>70409029</v>
          </cell>
          <cell r="H1055" t="str">
            <v>-</v>
          </cell>
          <cell r="I1055" t="str">
            <v>-</v>
          </cell>
          <cell r="K1055" t="str">
            <v>-</v>
          </cell>
          <cell r="L1055" t="str">
            <v>-</v>
          </cell>
          <cell r="N1055" t="str">
            <v>-</v>
          </cell>
          <cell r="O1055" t="str">
            <v>-</v>
          </cell>
          <cell r="Q1055" t="str">
            <v>-</v>
          </cell>
          <cell r="R1055" t="str">
            <v>-</v>
          </cell>
          <cell r="T1055" t="str">
            <v>-</v>
          </cell>
          <cell r="U1055" t="str">
            <v>-</v>
          </cell>
          <cell r="W1055" t="str">
            <v>-</v>
          </cell>
          <cell r="X1055" t="str">
            <v>-</v>
          </cell>
        </row>
        <row r="1056">
          <cell r="A1056">
            <v>72221048</v>
          </cell>
          <cell r="B1056">
            <v>1723</v>
          </cell>
          <cell r="C1056" t="str">
            <v>다금바리</v>
          </cell>
          <cell r="D1056" t="str">
            <v>S</v>
          </cell>
          <cell r="E1056">
            <v>70409095</v>
          </cell>
          <cell r="H1056" t="str">
            <v>-</v>
          </cell>
          <cell r="I1056" t="str">
            <v>-</v>
          </cell>
          <cell r="K1056" t="str">
            <v>-</v>
          </cell>
          <cell r="L1056" t="str">
            <v>-</v>
          </cell>
          <cell r="N1056" t="str">
            <v>-</v>
          </cell>
          <cell r="O1056" t="str">
            <v>-</v>
          </cell>
          <cell r="Q1056" t="str">
            <v>-</v>
          </cell>
          <cell r="R1056" t="str">
            <v>-</v>
          </cell>
          <cell r="T1056" t="str">
            <v>-</v>
          </cell>
          <cell r="U1056" t="str">
            <v>-</v>
          </cell>
          <cell r="W1056" t="str">
            <v>-</v>
          </cell>
          <cell r="X1056" t="str">
            <v>-</v>
          </cell>
        </row>
        <row r="1057">
          <cell r="A1057">
            <v>72221049</v>
          </cell>
          <cell r="B1057">
            <v>1723</v>
          </cell>
          <cell r="C1057" t="str">
            <v>세동가리돔</v>
          </cell>
          <cell r="D1057" t="str">
            <v>B</v>
          </cell>
          <cell r="E1057">
            <v>70409254</v>
          </cell>
          <cell r="H1057" t="str">
            <v>-</v>
          </cell>
          <cell r="I1057" t="str">
            <v>-</v>
          </cell>
          <cell r="K1057" t="str">
            <v>-</v>
          </cell>
          <cell r="L1057" t="str">
            <v>-</v>
          </cell>
          <cell r="N1057" t="str">
            <v>-</v>
          </cell>
          <cell r="O1057" t="str">
            <v>-</v>
          </cell>
          <cell r="Q1057" t="str">
            <v>-</v>
          </cell>
          <cell r="R1057" t="str">
            <v>-</v>
          </cell>
          <cell r="T1057" t="str">
            <v>-</v>
          </cell>
          <cell r="U1057" t="str">
            <v>-</v>
          </cell>
          <cell r="W1057" t="str">
            <v>-</v>
          </cell>
          <cell r="X1057" t="str">
            <v>-</v>
          </cell>
        </row>
        <row r="1058">
          <cell r="A1058">
            <v>72221050</v>
          </cell>
          <cell r="B1058">
            <v>1723</v>
          </cell>
          <cell r="C1058" t="str">
            <v>참돔</v>
          </cell>
          <cell r="D1058" t="str">
            <v>A</v>
          </cell>
          <cell r="E1058">
            <v>70409341</v>
          </cell>
          <cell r="H1058" t="str">
            <v>-</v>
          </cell>
          <cell r="I1058" t="str">
            <v>-</v>
          </cell>
          <cell r="K1058" t="str">
            <v>-</v>
          </cell>
          <cell r="L1058" t="str">
            <v>-</v>
          </cell>
          <cell r="N1058" t="str">
            <v>-</v>
          </cell>
          <cell r="O1058" t="str">
            <v>-</v>
          </cell>
          <cell r="Q1058" t="str">
            <v>-</v>
          </cell>
          <cell r="R1058" t="str">
            <v>-</v>
          </cell>
          <cell r="T1058" t="str">
            <v>-</v>
          </cell>
          <cell r="U1058" t="str">
            <v>-</v>
          </cell>
          <cell r="W1058" t="str">
            <v>-</v>
          </cell>
          <cell r="X1058" t="str">
            <v>-</v>
          </cell>
        </row>
        <row r="1059">
          <cell r="A1059">
            <v>72221051</v>
          </cell>
          <cell r="B1059">
            <v>1723</v>
          </cell>
          <cell r="C1059" t="str">
            <v>초승제비활치</v>
          </cell>
          <cell r="D1059" t="str">
            <v>D</v>
          </cell>
          <cell r="E1059">
            <v>70409355</v>
          </cell>
          <cell r="H1059" t="str">
            <v>-</v>
          </cell>
          <cell r="I1059" t="str">
            <v>-</v>
          </cell>
          <cell r="K1059" t="str">
            <v>-</v>
          </cell>
          <cell r="L1059" t="str">
            <v>-</v>
          </cell>
          <cell r="N1059" t="str">
            <v>-</v>
          </cell>
          <cell r="O1059" t="str">
            <v>-</v>
          </cell>
          <cell r="Q1059" t="str">
            <v>-</v>
          </cell>
          <cell r="R1059" t="str">
            <v>-</v>
          </cell>
          <cell r="T1059" t="str">
            <v>-</v>
          </cell>
          <cell r="U1059" t="str">
            <v>-</v>
          </cell>
          <cell r="W1059" t="str">
            <v>-</v>
          </cell>
          <cell r="X1059" t="str">
            <v>-</v>
          </cell>
        </row>
        <row r="1060">
          <cell r="A1060">
            <v>72221052</v>
          </cell>
          <cell r="B1060">
            <v>1724</v>
          </cell>
          <cell r="C1060" t="str">
            <v>게르치</v>
          </cell>
          <cell r="D1060" t="str">
            <v>C</v>
          </cell>
          <cell r="E1060">
            <v>70409029</v>
          </cell>
          <cell r="H1060" t="str">
            <v>-</v>
          </cell>
          <cell r="I1060" t="str">
            <v>-</v>
          </cell>
          <cell r="K1060" t="str">
            <v>-</v>
          </cell>
          <cell r="L1060" t="str">
            <v>-</v>
          </cell>
          <cell r="N1060" t="str">
            <v>-</v>
          </cell>
          <cell r="O1060" t="str">
            <v>-</v>
          </cell>
          <cell r="Q1060" t="str">
            <v>-</v>
          </cell>
          <cell r="R1060" t="str">
            <v>-</v>
          </cell>
          <cell r="T1060" t="str">
            <v>-</v>
          </cell>
          <cell r="U1060" t="str">
            <v>-</v>
          </cell>
          <cell r="W1060" t="str">
            <v>-</v>
          </cell>
          <cell r="X1060" t="str">
            <v>-</v>
          </cell>
        </row>
        <row r="1061">
          <cell r="A1061">
            <v>72221053</v>
          </cell>
          <cell r="B1061">
            <v>1724</v>
          </cell>
          <cell r="C1061" t="str">
            <v>다금바리</v>
          </cell>
          <cell r="D1061" t="str">
            <v>S</v>
          </cell>
          <cell r="E1061">
            <v>70409095</v>
          </cell>
          <cell r="H1061" t="str">
            <v>-</v>
          </cell>
          <cell r="I1061" t="str">
            <v>-</v>
          </cell>
          <cell r="K1061" t="str">
            <v>-</v>
          </cell>
          <cell r="L1061" t="str">
            <v>-</v>
          </cell>
          <cell r="N1061" t="str">
            <v>-</v>
          </cell>
          <cell r="O1061" t="str">
            <v>-</v>
          </cell>
          <cell r="Q1061" t="str">
            <v>-</v>
          </cell>
          <cell r="R1061" t="str">
            <v>-</v>
          </cell>
          <cell r="T1061" t="str">
            <v>-</v>
          </cell>
          <cell r="U1061" t="str">
            <v>-</v>
          </cell>
          <cell r="W1061" t="str">
            <v>-</v>
          </cell>
          <cell r="X1061" t="str">
            <v>-</v>
          </cell>
        </row>
        <row r="1062">
          <cell r="A1062">
            <v>72221054</v>
          </cell>
          <cell r="B1062">
            <v>1724</v>
          </cell>
          <cell r="C1062" t="str">
            <v>세동가리돔</v>
          </cell>
          <cell r="D1062" t="str">
            <v>B</v>
          </cell>
          <cell r="E1062">
            <v>70409254</v>
          </cell>
          <cell r="H1062" t="str">
            <v>-</v>
          </cell>
          <cell r="I1062" t="str">
            <v>-</v>
          </cell>
          <cell r="K1062" t="str">
            <v>-</v>
          </cell>
          <cell r="L1062" t="str">
            <v>-</v>
          </cell>
          <cell r="N1062" t="str">
            <v>-</v>
          </cell>
          <cell r="O1062" t="str">
            <v>-</v>
          </cell>
          <cell r="Q1062" t="str">
            <v>-</v>
          </cell>
          <cell r="R1062" t="str">
            <v>-</v>
          </cell>
          <cell r="T1062" t="str">
            <v>-</v>
          </cell>
          <cell r="U1062" t="str">
            <v>-</v>
          </cell>
          <cell r="W1062" t="str">
            <v>-</v>
          </cell>
          <cell r="X1062" t="str">
            <v>-</v>
          </cell>
        </row>
        <row r="1063">
          <cell r="A1063">
            <v>72221055</v>
          </cell>
          <cell r="B1063">
            <v>1724</v>
          </cell>
          <cell r="C1063" t="str">
            <v>참돔</v>
          </cell>
          <cell r="D1063" t="str">
            <v>A</v>
          </cell>
          <cell r="E1063">
            <v>70409341</v>
          </cell>
          <cell r="H1063" t="str">
            <v>-</v>
          </cell>
          <cell r="I1063" t="str">
            <v>-</v>
          </cell>
          <cell r="K1063" t="str">
            <v>-</v>
          </cell>
          <cell r="L1063" t="str">
            <v>-</v>
          </cell>
          <cell r="N1063" t="str">
            <v>-</v>
          </cell>
          <cell r="O1063" t="str">
            <v>-</v>
          </cell>
          <cell r="Q1063" t="str">
            <v>-</v>
          </cell>
          <cell r="R1063" t="str">
            <v>-</v>
          </cell>
          <cell r="T1063" t="str">
            <v>-</v>
          </cell>
          <cell r="U1063" t="str">
            <v>-</v>
          </cell>
          <cell r="W1063" t="str">
            <v>-</v>
          </cell>
          <cell r="X1063" t="str">
            <v>-</v>
          </cell>
        </row>
        <row r="1064">
          <cell r="A1064">
            <v>72221056</v>
          </cell>
          <cell r="B1064">
            <v>1724</v>
          </cell>
          <cell r="C1064" t="str">
            <v>초승제비활치</v>
          </cell>
          <cell r="D1064" t="str">
            <v>D</v>
          </cell>
          <cell r="E1064">
            <v>70409355</v>
          </cell>
          <cell r="H1064" t="str">
            <v>-</v>
          </cell>
          <cell r="I1064" t="str">
            <v>-</v>
          </cell>
          <cell r="K1064" t="str">
            <v>-</v>
          </cell>
          <cell r="L1064" t="str">
            <v>-</v>
          </cell>
          <cell r="N1064" t="str">
            <v>-</v>
          </cell>
          <cell r="O1064" t="str">
            <v>-</v>
          </cell>
          <cell r="Q1064" t="str">
            <v>-</v>
          </cell>
          <cell r="R1064" t="str">
            <v>-</v>
          </cell>
          <cell r="T1064" t="str">
            <v>-</v>
          </cell>
          <cell r="U1064" t="str">
            <v>-</v>
          </cell>
          <cell r="W1064" t="str">
            <v>-</v>
          </cell>
          <cell r="X1064" t="str">
            <v>-</v>
          </cell>
        </row>
        <row r="1065">
          <cell r="A1065">
            <v>72221057</v>
          </cell>
          <cell r="B1065">
            <v>1731</v>
          </cell>
          <cell r="C1065" t="str">
            <v>고베둥글넙치</v>
          </cell>
          <cell r="D1065" t="str">
            <v>B</v>
          </cell>
          <cell r="E1065">
            <v>70409034</v>
          </cell>
          <cell r="H1065" t="str">
            <v>-</v>
          </cell>
          <cell r="I1065" t="str">
            <v>-</v>
          </cell>
          <cell r="K1065" t="str">
            <v>-</v>
          </cell>
          <cell r="L1065" t="str">
            <v>-</v>
          </cell>
          <cell r="N1065" t="str">
            <v>-</v>
          </cell>
          <cell r="O1065" t="str">
            <v>-</v>
          </cell>
          <cell r="Q1065" t="str">
            <v>-</v>
          </cell>
          <cell r="R1065" t="str">
            <v>-</v>
          </cell>
          <cell r="T1065" t="str">
            <v>-</v>
          </cell>
          <cell r="U1065" t="str">
            <v>-</v>
          </cell>
          <cell r="W1065" t="str">
            <v>-</v>
          </cell>
          <cell r="X1065" t="str">
            <v>-</v>
          </cell>
        </row>
        <row r="1066">
          <cell r="A1066">
            <v>72221058</v>
          </cell>
          <cell r="B1066">
            <v>1731</v>
          </cell>
          <cell r="C1066" t="str">
            <v>넙치</v>
          </cell>
          <cell r="D1066" t="str">
            <v>C</v>
          </cell>
          <cell r="E1066">
            <v>70409072</v>
          </cell>
          <cell r="H1066" t="str">
            <v>-</v>
          </cell>
          <cell r="I1066" t="str">
            <v>-</v>
          </cell>
          <cell r="K1066" t="str">
            <v>-</v>
          </cell>
          <cell r="L1066" t="str">
            <v>-</v>
          </cell>
          <cell r="N1066" t="str">
            <v>-</v>
          </cell>
          <cell r="O1066" t="str">
            <v>-</v>
          </cell>
          <cell r="Q1066" t="str">
            <v>-</v>
          </cell>
          <cell r="R1066" t="str">
            <v>-</v>
          </cell>
          <cell r="T1066" t="str">
            <v>-</v>
          </cell>
          <cell r="U1066" t="str">
            <v>-</v>
          </cell>
          <cell r="W1066" t="str">
            <v>-</v>
          </cell>
          <cell r="X1066" t="str">
            <v>-</v>
          </cell>
        </row>
        <row r="1067">
          <cell r="A1067">
            <v>72221059</v>
          </cell>
          <cell r="B1067">
            <v>1731</v>
          </cell>
          <cell r="C1067" t="str">
            <v>동서대</v>
          </cell>
          <cell r="D1067" t="str">
            <v>B</v>
          </cell>
          <cell r="E1067">
            <v>70409121</v>
          </cell>
          <cell r="H1067" t="str">
            <v>-</v>
          </cell>
          <cell r="I1067" t="str">
            <v>-</v>
          </cell>
          <cell r="K1067" t="str">
            <v>-</v>
          </cell>
          <cell r="L1067" t="str">
            <v>-</v>
          </cell>
          <cell r="N1067" t="str">
            <v>-</v>
          </cell>
          <cell r="O1067" t="str">
            <v>-</v>
          </cell>
          <cell r="Q1067" t="str">
            <v>-</v>
          </cell>
          <cell r="R1067" t="str">
            <v>-</v>
          </cell>
          <cell r="T1067" t="str">
            <v>-</v>
          </cell>
          <cell r="U1067" t="str">
            <v>-</v>
          </cell>
          <cell r="W1067" t="str">
            <v>-</v>
          </cell>
          <cell r="X1067" t="str">
            <v>-</v>
          </cell>
        </row>
        <row r="1068">
          <cell r="A1068">
            <v>72221060</v>
          </cell>
          <cell r="B1068">
            <v>1731</v>
          </cell>
          <cell r="C1068" t="str">
            <v>갯농어</v>
          </cell>
          <cell r="D1068" t="str">
            <v>B</v>
          </cell>
          <cell r="E1068">
            <v>70409022</v>
          </cell>
          <cell r="H1068" t="str">
            <v>-</v>
          </cell>
          <cell r="I1068" t="str">
            <v>-</v>
          </cell>
          <cell r="K1068" t="str">
            <v>-</v>
          </cell>
          <cell r="L1068" t="str">
            <v>-</v>
          </cell>
          <cell r="N1068" t="str">
            <v>-</v>
          </cell>
          <cell r="O1068" t="str">
            <v>-</v>
          </cell>
          <cell r="Q1068" t="str">
            <v>-</v>
          </cell>
          <cell r="R1068" t="str">
            <v>-</v>
          </cell>
          <cell r="T1068" t="str">
            <v>-</v>
          </cell>
          <cell r="U1068" t="str">
            <v>-</v>
          </cell>
          <cell r="W1068" t="str">
            <v>-</v>
          </cell>
          <cell r="X1068" t="str">
            <v>-</v>
          </cell>
        </row>
        <row r="1069">
          <cell r="A1069">
            <v>72221061</v>
          </cell>
          <cell r="B1069">
            <v>1731</v>
          </cell>
          <cell r="C1069" t="str">
            <v>상날치</v>
          </cell>
          <cell r="D1069" t="str">
            <v>D</v>
          </cell>
          <cell r="E1069">
            <v>70409246</v>
          </cell>
          <cell r="H1069" t="str">
            <v>-</v>
          </cell>
          <cell r="I1069" t="str">
            <v>-</v>
          </cell>
          <cell r="K1069" t="str">
            <v>-</v>
          </cell>
          <cell r="L1069" t="str">
            <v>-</v>
          </cell>
          <cell r="N1069" t="str">
            <v>-</v>
          </cell>
          <cell r="O1069" t="str">
            <v>-</v>
          </cell>
          <cell r="Q1069" t="str">
            <v>-</v>
          </cell>
          <cell r="R1069" t="str">
            <v>-</v>
          </cell>
          <cell r="T1069" t="str">
            <v>-</v>
          </cell>
          <cell r="U1069" t="str">
            <v>-</v>
          </cell>
          <cell r="W1069" t="str">
            <v>-</v>
          </cell>
          <cell r="X1069" t="str">
            <v>-</v>
          </cell>
        </row>
        <row r="1070">
          <cell r="A1070">
            <v>72221062</v>
          </cell>
          <cell r="B1070">
            <v>1731</v>
          </cell>
          <cell r="C1070" t="str">
            <v>농어</v>
          </cell>
          <cell r="D1070" t="str">
            <v>C</v>
          </cell>
          <cell r="E1070">
            <v>70409088</v>
          </cell>
          <cell r="H1070" t="str">
            <v>-</v>
          </cell>
          <cell r="I1070" t="str">
            <v>-</v>
          </cell>
          <cell r="K1070" t="str">
            <v>-</v>
          </cell>
          <cell r="L1070" t="str">
            <v>-</v>
          </cell>
          <cell r="N1070" t="str">
            <v>-</v>
          </cell>
          <cell r="O1070" t="str">
            <v>-</v>
          </cell>
          <cell r="Q1070" t="str">
            <v>-</v>
          </cell>
          <cell r="R1070" t="str">
            <v>-</v>
          </cell>
          <cell r="T1070" t="str">
            <v>-</v>
          </cell>
          <cell r="U1070" t="str">
            <v>-</v>
          </cell>
          <cell r="W1070" t="str">
            <v>-</v>
          </cell>
          <cell r="X1070" t="str">
            <v>-</v>
          </cell>
        </row>
        <row r="1071">
          <cell r="A1071">
            <v>72221063</v>
          </cell>
          <cell r="B1071">
            <v>1732</v>
          </cell>
          <cell r="C1071" t="str">
            <v>고베둥글넙치</v>
          </cell>
          <cell r="D1071" t="str">
            <v>B</v>
          </cell>
          <cell r="E1071">
            <v>70409034</v>
          </cell>
          <cell r="H1071" t="str">
            <v>-</v>
          </cell>
          <cell r="I1071" t="str">
            <v>-</v>
          </cell>
          <cell r="K1071" t="str">
            <v>-</v>
          </cell>
          <cell r="L1071" t="str">
            <v>-</v>
          </cell>
          <cell r="N1071" t="str">
            <v>-</v>
          </cell>
          <cell r="O1071" t="str">
            <v>-</v>
          </cell>
          <cell r="Q1071" t="str">
            <v>-</v>
          </cell>
          <cell r="R1071" t="str">
            <v>-</v>
          </cell>
          <cell r="T1071" t="str">
            <v>-</v>
          </cell>
          <cell r="U1071" t="str">
            <v>-</v>
          </cell>
          <cell r="W1071" t="str">
            <v>-</v>
          </cell>
          <cell r="X1071" t="str">
            <v>-</v>
          </cell>
        </row>
        <row r="1072">
          <cell r="A1072">
            <v>72221064</v>
          </cell>
          <cell r="B1072">
            <v>1732</v>
          </cell>
          <cell r="C1072" t="str">
            <v>넙치</v>
          </cell>
          <cell r="D1072" t="str">
            <v>C</v>
          </cell>
          <cell r="E1072">
            <v>70409072</v>
          </cell>
          <cell r="H1072" t="str">
            <v>-</v>
          </cell>
          <cell r="I1072" t="str">
            <v>-</v>
          </cell>
          <cell r="K1072" t="str">
            <v>-</v>
          </cell>
          <cell r="L1072" t="str">
            <v>-</v>
          </cell>
          <cell r="N1072" t="str">
            <v>-</v>
          </cell>
          <cell r="O1072" t="str">
            <v>-</v>
          </cell>
          <cell r="Q1072" t="str">
            <v>-</v>
          </cell>
          <cell r="R1072" t="str">
            <v>-</v>
          </cell>
          <cell r="T1072" t="str">
            <v>-</v>
          </cell>
          <cell r="U1072" t="str">
            <v>-</v>
          </cell>
          <cell r="W1072" t="str">
            <v>-</v>
          </cell>
          <cell r="X1072" t="str">
            <v>-</v>
          </cell>
        </row>
        <row r="1073">
          <cell r="A1073">
            <v>72221065</v>
          </cell>
          <cell r="B1073">
            <v>1732</v>
          </cell>
          <cell r="C1073" t="str">
            <v>동서대</v>
          </cell>
          <cell r="D1073" t="str">
            <v>B</v>
          </cell>
          <cell r="E1073">
            <v>70409121</v>
          </cell>
          <cell r="H1073" t="str">
            <v>-</v>
          </cell>
          <cell r="I1073" t="str">
            <v>-</v>
          </cell>
          <cell r="K1073" t="str">
            <v>-</v>
          </cell>
          <cell r="L1073" t="str">
            <v>-</v>
          </cell>
          <cell r="N1073" t="str">
            <v>-</v>
          </cell>
          <cell r="O1073" t="str">
            <v>-</v>
          </cell>
          <cell r="Q1073" t="str">
            <v>-</v>
          </cell>
          <cell r="R1073" t="str">
            <v>-</v>
          </cell>
          <cell r="T1073" t="str">
            <v>-</v>
          </cell>
          <cell r="U1073" t="str">
            <v>-</v>
          </cell>
          <cell r="W1073" t="str">
            <v>-</v>
          </cell>
          <cell r="X1073" t="str">
            <v>-</v>
          </cell>
        </row>
        <row r="1074">
          <cell r="A1074">
            <v>72221066</v>
          </cell>
          <cell r="B1074">
            <v>1732</v>
          </cell>
          <cell r="C1074" t="str">
            <v>갯농어</v>
          </cell>
          <cell r="D1074" t="str">
            <v>B</v>
          </cell>
          <cell r="E1074">
            <v>70409022</v>
          </cell>
          <cell r="H1074" t="str">
            <v>-</v>
          </cell>
          <cell r="I1074" t="str">
            <v>-</v>
          </cell>
          <cell r="K1074" t="str">
            <v>-</v>
          </cell>
          <cell r="L1074" t="str">
            <v>-</v>
          </cell>
          <cell r="N1074" t="str">
            <v>-</v>
          </cell>
          <cell r="O1074" t="str">
            <v>-</v>
          </cell>
          <cell r="Q1074" t="str">
            <v>-</v>
          </cell>
          <cell r="R1074" t="str">
            <v>-</v>
          </cell>
          <cell r="T1074" t="str">
            <v>-</v>
          </cell>
          <cell r="U1074" t="str">
            <v>-</v>
          </cell>
          <cell r="W1074" t="str">
            <v>-</v>
          </cell>
          <cell r="X1074" t="str">
            <v>-</v>
          </cell>
        </row>
        <row r="1075">
          <cell r="A1075">
            <v>72221067</v>
          </cell>
          <cell r="B1075">
            <v>1732</v>
          </cell>
          <cell r="C1075" t="str">
            <v>상날치</v>
          </cell>
          <cell r="D1075" t="str">
            <v>D</v>
          </cell>
          <cell r="E1075">
            <v>70409246</v>
          </cell>
          <cell r="H1075" t="str">
            <v>-</v>
          </cell>
          <cell r="I1075" t="str">
            <v>-</v>
          </cell>
          <cell r="K1075" t="str">
            <v>-</v>
          </cell>
          <cell r="L1075" t="str">
            <v>-</v>
          </cell>
          <cell r="N1075" t="str">
            <v>-</v>
          </cell>
          <cell r="O1075" t="str">
            <v>-</v>
          </cell>
          <cell r="Q1075" t="str">
            <v>-</v>
          </cell>
          <cell r="R1075" t="str">
            <v>-</v>
          </cell>
          <cell r="T1075" t="str">
            <v>-</v>
          </cell>
          <cell r="U1075" t="str">
            <v>-</v>
          </cell>
          <cell r="W1075" t="str">
            <v>-</v>
          </cell>
          <cell r="X1075" t="str">
            <v>-</v>
          </cell>
        </row>
        <row r="1076">
          <cell r="A1076">
            <v>72221068</v>
          </cell>
          <cell r="B1076">
            <v>1732</v>
          </cell>
          <cell r="C1076" t="str">
            <v>농어</v>
          </cell>
          <cell r="D1076" t="str">
            <v>C</v>
          </cell>
          <cell r="E1076">
            <v>70409088</v>
          </cell>
          <cell r="H1076" t="str">
            <v>-</v>
          </cell>
          <cell r="I1076" t="str">
            <v>-</v>
          </cell>
          <cell r="K1076" t="str">
            <v>-</v>
          </cell>
          <cell r="L1076" t="str">
            <v>-</v>
          </cell>
          <cell r="N1076" t="str">
            <v>-</v>
          </cell>
          <cell r="O1076" t="str">
            <v>-</v>
          </cell>
          <cell r="Q1076" t="str">
            <v>-</v>
          </cell>
          <cell r="R1076" t="str">
            <v>-</v>
          </cell>
          <cell r="T1076" t="str">
            <v>-</v>
          </cell>
          <cell r="U1076" t="str">
            <v>-</v>
          </cell>
          <cell r="W1076" t="str">
            <v>-</v>
          </cell>
          <cell r="X1076" t="str">
            <v>-</v>
          </cell>
        </row>
        <row r="1077">
          <cell r="A1077">
            <v>72221069</v>
          </cell>
          <cell r="B1077">
            <v>1733</v>
          </cell>
          <cell r="C1077" t="str">
            <v>고베둥글넙치</v>
          </cell>
          <cell r="D1077" t="str">
            <v>B</v>
          </cell>
          <cell r="E1077">
            <v>70409034</v>
          </cell>
          <cell r="H1077" t="str">
            <v>-</v>
          </cell>
          <cell r="I1077" t="str">
            <v>-</v>
          </cell>
          <cell r="K1077" t="str">
            <v>-</v>
          </cell>
          <cell r="L1077" t="str">
            <v>-</v>
          </cell>
          <cell r="N1077" t="str">
            <v>-</v>
          </cell>
          <cell r="O1077" t="str">
            <v>-</v>
          </cell>
          <cell r="Q1077" t="str">
            <v>-</v>
          </cell>
          <cell r="R1077" t="str">
            <v>-</v>
          </cell>
          <cell r="T1077" t="str">
            <v>-</v>
          </cell>
          <cell r="U1077" t="str">
            <v>-</v>
          </cell>
          <cell r="W1077" t="str">
            <v>-</v>
          </cell>
          <cell r="X1077" t="str">
            <v>-</v>
          </cell>
        </row>
        <row r="1078">
          <cell r="A1078">
            <v>72221070</v>
          </cell>
          <cell r="B1078">
            <v>1733</v>
          </cell>
          <cell r="C1078" t="str">
            <v>넙치</v>
          </cell>
          <cell r="D1078" t="str">
            <v>C</v>
          </cell>
          <cell r="E1078">
            <v>70409072</v>
          </cell>
          <cell r="H1078" t="str">
            <v>-</v>
          </cell>
          <cell r="I1078" t="str">
            <v>-</v>
          </cell>
          <cell r="K1078" t="str">
            <v>-</v>
          </cell>
          <cell r="L1078" t="str">
            <v>-</v>
          </cell>
          <cell r="N1078" t="str">
            <v>-</v>
          </cell>
          <cell r="O1078" t="str">
            <v>-</v>
          </cell>
          <cell r="Q1078" t="str">
            <v>-</v>
          </cell>
          <cell r="R1078" t="str">
            <v>-</v>
          </cell>
          <cell r="T1078" t="str">
            <v>-</v>
          </cell>
          <cell r="U1078" t="str">
            <v>-</v>
          </cell>
          <cell r="W1078" t="str">
            <v>-</v>
          </cell>
          <cell r="X1078" t="str">
            <v>-</v>
          </cell>
        </row>
        <row r="1079">
          <cell r="A1079">
            <v>72221071</v>
          </cell>
          <cell r="B1079">
            <v>1733</v>
          </cell>
          <cell r="C1079" t="str">
            <v>동서대</v>
          </cell>
          <cell r="D1079" t="str">
            <v>B</v>
          </cell>
          <cell r="E1079">
            <v>70409121</v>
          </cell>
          <cell r="H1079" t="str">
            <v>-</v>
          </cell>
          <cell r="I1079" t="str">
            <v>-</v>
          </cell>
          <cell r="K1079" t="str">
            <v>-</v>
          </cell>
          <cell r="L1079" t="str">
            <v>-</v>
          </cell>
          <cell r="N1079" t="str">
            <v>-</v>
          </cell>
          <cell r="O1079" t="str">
            <v>-</v>
          </cell>
          <cell r="Q1079" t="str">
            <v>-</v>
          </cell>
          <cell r="R1079" t="str">
            <v>-</v>
          </cell>
          <cell r="T1079" t="str">
            <v>-</v>
          </cell>
          <cell r="U1079" t="str">
            <v>-</v>
          </cell>
          <cell r="W1079" t="str">
            <v>-</v>
          </cell>
          <cell r="X1079" t="str">
            <v>-</v>
          </cell>
        </row>
        <row r="1080">
          <cell r="A1080">
            <v>72221072</v>
          </cell>
          <cell r="B1080">
            <v>1733</v>
          </cell>
          <cell r="C1080" t="str">
            <v>갯농어</v>
          </cell>
          <cell r="D1080" t="str">
            <v>B</v>
          </cell>
          <cell r="E1080">
            <v>70409022</v>
          </cell>
          <cell r="H1080" t="str">
            <v>-</v>
          </cell>
          <cell r="I1080" t="str">
            <v>-</v>
          </cell>
          <cell r="K1080" t="str">
            <v>-</v>
          </cell>
          <cell r="L1080" t="str">
            <v>-</v>
          </cell>
          <cell r="N1080" t="str">
            <v>-</v>
          </cell>
          <cell r="O1080" t="str">
            <v>-</v>
          </cell>
          <cell r="Q1080" t="str">
            <v>-</v>
          </cell>
          <cell r="R1080" t="str">
            <v>-</v>
          </cell>
          <cell r="T1080" t="str">
            <v>-</v>
          </cell>
          <cell r="U1080" t="str">
            <v>-</v>
          </cell>
          <cell r="W1080" t="str">
            <v>-</v>
          </cell>
          <cell r="X1080" t="str">
            <v>-</v>
          </cell>
        </row>
        <row r="1081">
          <cell r="A1081">
            <v>72221073</v>
          </cell>
          <cell r="B1081">
            <v>1733</v>
          </cell>
          <cell r="C1081" t="str">
            <v>상날치</v>
          </cell>
          <cell r="D1081" t="str">
            <v>D</v>
          </cell>
          <cell r="E1081">
            <v>70409246</v>
          </cell>
          <cell r="H1081" t="str">
            <v>-</v>
          </cell>
          <cell r="I1081" t="str">
            <v>-</v>
          </cell>
          <cell r="K1081" t="str">
            <v>-</v>
          </cell>
          <cell r="L1081" t="str">
            <v>-</v>
          </cell>
          <cell r="N1081" t="str">
            <v>-</v>
          </cell>
          <cell r="O1081" t="str">
            <v>-</v>
          </cell>
          <cell r="Q1081" t="str">
            <v>-</v>
          </cell>
          <cell r="R1081" t="str">
            <v>-</v>
          </cell>
          <cell r="T1081" t="str">
            <v>-</v>
          </cell>
          <cell r="U1081" t="str">
            <v>-</v>
          </cell>
          <cell r="W1081" t="str">
            <v>-</v>
          </cell>
          <cell r="X1081" t="str">
            <v>-</v>
          </cell>
        </row>
        <row r="1082">
          <cell r="A1082">
            <v>72221074</v>
          </cell>
          <cell r="B1082">
            <v>1733</v>
          </cell>
          <cell r="C1082" t="str">
            <v>농어</v>
          </cell>
          <cell r="D1082" t="str">
            <v>C</v>
          </cell>
          <cell r="E1082">
            <v>70409088</v>
          </cell>
          <cell r="H1082" t="str">
            <v>-</v>
          </cell>
          <cell r="I1082" t="str">
            <v>-</v>
          </cell>
          <cell r="K1082" t="str">
            <v>-</v>
          </cell>
          <cell r="L1082" t="str">
            <v>-</v>
          </cell>
          <cell r="N1082" t="str">
            <v>-</v>
          </cell>
          <cell r="O1082" t="str">
            <v>-</v>
          </cell>
          <cell r="Q1082" t="str">
            <v>-</v>
          </cell>
          <cell r="R1082" t="str">
            <v>-</v>
          </cell>
          <cell r="T1082" t="str">
            <v>-</v>
          </cell>
          <cell r="U1082" t="str">
            <v>-</v>
          </cell>
          <cell r="W1082" t="str">
            <v>-</v>
          </cell>
          <cell r="X1082" t="str">
            <v>-</v>
          </cell>
        </row>
        <row r="1083">
          <cell r="A1083">
            <v>72221075</v>
          </cell>
          <cell r="B1083">
            <v>1734</v>
          </cell>
          <cell r="C1083" t="str">
            <v>고베둥글넙치</v>
          </cell>
          <cell r="D1083" t="str">
            <v>B</v>
          </cell>
          <cell r="E1083">
            <v>70409034</v>
          </cell>
          <cell r="H1083" t="str">
            <v>-</v>
          </cell>
          <cell r="I1083" t="str">
            <v>-</v>
          </cell>
          <cell r="K1083" t="str">
            <v>-</v>
          </cell>
          <cell r="L1083" t="str">
            <v>-</v>
          </cell>
          <cell r="N1083" t="str">
            <v>-</v>
          </cell>
          <cell r="O1083" t="str">
            <v>-</v>
          </cell>
          <cell r="Q1083" t="str">
            <v>-</v>
          </cell>
          <cell r="R1083" t="str">
            <v>-</v>
          </cell>
          <cell r="T1083" t="str">
            <v>-</v>
          </cell>
          <cell r="U1083" t="str">
            <v>-</v>
          </cell>
          <cell r="W1083" t="str">
            <v>-</v>
          </cell>
          <cell r="X1083" t="str">
            <v>-</v>
          </cell>
        </row>
        <row r="1084">
          <cell r="A1084">
            <v>72221076</v>
          </cell>
          <cell r="B1084">
            <v>1734</v>
          </cell>
          <cell r="C1084" t="str">
            <v>넙치</v>
          </cell>
          <cell r="D1084" t="str">
            <v>C</v>
          </cell>
          <cell r="E1084">
            <v>70409072</v>
          </cell>
          <cell r="H1084" t="str">
            <v>-</v>
          </cell>
          <cell r="I1084" t="str">
            <v>-</v>
          </cell>
          <cell r="K1084" t="str">
            <v>-</v>
          </cell>
          <cell r="L1084" t="str">
            <v>-</v>
          </cell>
          <cell r="N1084" t="str">
            <v>-</v>
          </cell>
          <cell r="O1084" t="str">
            <v>-</v>
          </cell>
          <cell r="Q1084" t="str">
            <v>-</v>
          </cell>
          <cell r="R1084" t="str">
            <v>-</v>
          </cell>
          <cell r="T1084" t="str">
            <v>-</v>
          </cell>
          <cell r="U1084" t="str">
            <v>-</v>
          </cell>
          <cell r="W1084" t="str">
            <v>-</v>
          </cell>
          <cell r="X1084" t="str">
            <v>-</v>
          </cell>
        </row>
        <row r="1085">
          <cell r="A1085">
            <v>72221077</v>
          </cell>
          <cell r="B1085">
            <v>1734</v>
          </cell>
          <cell r="C1085" t="str">
            <v>동서대</v>
          </cell>
          <cell r="D1085" t="str">
            <v>B</v>
          </cell>
          <cell r="E1085">
            <v>70409121</v>
          </cell>
          <cell r="H1085" t="str">
            <v>-</v>
          </cell>
          <cell r="I1085" t="str">
            <v>-</v>
          </cell>
          <cell r="K1085" t="str">
            <v>-</v>
          </cell>
          <cell r="L1085" t="str">
            <v>-</v>
          </cell>
          <cell r="N1085" t="str">
            <v>-</v>
          </cell>
          <cell r="O1085" t="str">
            <v>-</v>
          </cell>
          <cell r="Q1085" t="str">
            <v>-</v>
          </cell>
          <cell r="R1085" t="str">
            <v>-</v>
          </cell>
          <cell r="T1085" t="str">
            <v>-</v>
          </cell>
          <cell r="U1085" t="str">
            <v>-</v>
          </cell>
          <cell r="W1085" t="str">
            <v>-</v>
          </cell>
          <cell r="X1085" t="str">
            <v>-</v>
          </cell>
        </row>
        <row r="1086">
          <cell r="A1086">
            <v>72221078</v>
          </cell>
          <cell r="B1086">
            <v>1734</v>
          </cell>
          <cell r="C1086" t="str">
            <v>갯농어</v>
          </cell>
          <cell r="D1086" t="str">
            <v>B</v>
          </cell>
          <cell r="E1086">
            <v>70409022</v>
          </cell>
          <cell r="H1086" t="str">
            <v>-</v>
          </cell>
          <cell r="I1086" t="str">
            <v>-</v>
          </cell>
          <cell r="K1086" t="str">
            <v>-</v>
          </cell>
          <cell r="L1086" t="str">
            <v>-</v>
          </cell>
          <cell r="N1086" t="str">
            <v>-</v>
          </cell>
          <cell r="O1086" t="str">
            <v>-</v>
          </cell>
          <cell r="Q1086" t="str">
            <v>-</v>
          </cell>
          <cell r="R1086" t="str">
            <v>-</v>
          </cell>
          <cell r="T1086" t="str">
            <v>-</v>
          </cell>
          <cell r="U1086" t="str">
            <v>-</v>
          </cell>
          <cell r="W1086" t="str">
            <v>-</v>
          </cell>
          <cell r="X1086" t="str">
            <v>-</v>
          </cell>
        </row>
        <row r="1087">
          <cell r="A1087">
            <v>72221079</v>
          </cell>
          <cell r="B1087">
            <v>1734</v>
          </cell>
          <cell r="C1087" t="str">
            <v>상날치</v>
          </cell>
          <cell r="D1087" t="str">
            <v>D</v>
          </cell>
          <cell r="E1087">
            <v>70409246</v>
          </cell>
          <cell r="H1087" t="str">
            <v>-</v>
          </cell>
          <cell r="I1087" t="str">
            <v>-</v>
          </cell>
          <cell r="K1087" t="str">
            <v>-</v>
          </cell>
          <cell r="L1087" t="str">
            <v>-</v>
          </cell>
          <cell r="N1087" t="str">
            <v>-</v>
          </cell>
          <cell r="O1087" t="str">
            <v>-</v>
          </cell>
          <cell r="Q1087" t="str">
            <v>-</v>
          </cell>
          <cell r="R1087" t="str">
            <v>-</v>
          </cell>
          <cell r="T1087" t="str">
            <v>-</v>
          </cell>
          <cell r="U1087" t="str">
            <v>-</v>
          </cell>
          <cell r="W1087" t="str">
            <v>-</v>
          </cell>
          <cell r="X1087" t="str">
            <v>-</v>
          </cell>
        </row>
        <row r="1088">
          <cell r="A1088">
            <v>72221080</v>
          </cell>
          <cell r="B1088">
            <v>1734</v>
          </cell>
          <cell r="C1088" t="str">
            <v>농어</v>
          </cell>
          <cell r="D1088" t="str">
            <v>C</v>
          </cell>
          <cell r="E1088">
            <v>70409088</v>
          </cell>
          <cell r="H1088" t="str">
            <v>-</v>
          </cell>
          <cell r="I1088" t="str">
            <v>-</v>
          </cell>
          <cell r="K1088" t="str">
            <v>-</v>
          </cell>
          <cell r="L1088" t="str">
            <v>-</v>
          </cell>
          <cell r="N1088" t="str">
            <v>-</v>
          </cell>
          <cell r="O1088" t="str">
            <v>-</v>
          </cell>
          <cell r="Q1088" t="str">
            <v>-</v>
          </cell>
          <cell r="R1088" t="str">
            <v>-</v>
          </cell>
          <cell r="T1088" t="str">
            <v>-</v>
          </cell>
          <cell r="U1088" t="str">
            <v>-</v>
          </cell>
          <cell r="W1088" t="str">
            <v>-</v>
          </cell>
          <cell r="X1088" t="str">
            <v>-</v>
          </cell>
        </row>
        <row r="1089">
          <cell r="A1089">
            <v>72221081</v>
          </cell>
          <cell r="B1089">
            <v>1741</v>
          </cell>
          <cell r="C1089" t="str">
            <v>상괭이</v>
          </cell>
          <cell r="D1089" t="str">
            <v>A</v>
          </cell>
          <cell r="E1089">
            <v>70409245</v>
          </cell>
          <cell r="H1089" t="str">
            <v>-</v>
          </cell>
          <cell r="I1089" t="str">
            <v>-</v>
          </cell>
          <cell r="K1089" t="str">
            <v>-</v>
          </cell>
          <cell r="L1089" t="str">
            <v>-</v>
          </cell>
          <cell r="N1089" t="str">
            <v>-</v>
          </cell>
          <cell r="O1089" t="str">
            <v>-</v>
          </cell>
          <cell r="Q1089" t="str">
            <v>-</v>
          </cell>
          <cell r="R1089" t="str">
            <v>-</v>
          </cell>
          <cell r="T1089" t="str">
            <v>-</v>
          </cell>
          <cell r="U1089" t="str">
            <v>-</v>
          </cell>
          <cell r="W1089" t="str">
            <v>-</v>
          </cell>
          <cell r="X1089" t="str">
            <v>-</v>
          </cell>
        </row>
        <row r="1090">
          <cell r="A1090">
            <v>72221082</v>
          </cell>
          <cell r="B1090">
            <v>1741</v>
          </cell>
          <cell r="C1090" t="str">
            <v>은어</v>
          </cell>
          <cell r="D1090" t="str">
            <v>A</v>
          </cell>
          <cell r="E1090">
            <v>70409304</v>
          </cell>
          <cell r="H1090" t="str">
            <v>-</v>
          </cell>
          <cell r="I1090" t="str">
            <v>-</v>
          </cell>
          <cell r="K1090" t="str">
            <v>-</v>
          </cell>
          <cell r="L1090" t="str">
            <v>-</v>
          </cell>
          <cell r="N1090" t="str">
            <v>-</v>
          </cell>
          <cell r="O1090" t="str">
            <v>-</v>
          </cell>
          <cell r="Q1090" t="str">
            <v>-</v>
          </cell>
          <cell r="R1090" t="str">
            <v>-</v>
          </cell>
          <cell r="T1090" t="str">
            <v>-</v>
          </cell>
          <cell r="U1090" t="str">
            <v>-</v>
          </cell>
          <cell r="W1090" t="str">
            <v>-</v>
          </cell>
          <cell r="X1090" t="str">
            <v>-</v>
          </cell>
        </row>
        <row r="1091">
          <cell r="A1091">
            <v>72221083</v>
          </cell>
          <cell r="B1091">
            <v>1741</v>
          </cell>
          <cell r="C1091" t="str">
            <v>송어</v>
          </cell>
          <cell r="D1091" t="str">
            <v>D</v>
          </cell>
          <cell r="E1091">
            <v>70409256</v>
          </cell>
          <cell r="H1091" t="str">
            <v>-</v>
          </cell>
          <cell r="I1091" t="str">
            <v>-</v>
          </cell>
          <cell r="K1091" t="str">
            <v>-</v>
          </cell>
          <cell r="L1091" t="str">
            <v>-</v>
          </cell>
          <cell r="N1091" t="str">
            <v>-</v>
          </cell>
          <cell r="O1091" t="str">
            <v>-</v>
          </cell>
          <cell r="Q1091" t="str">
            <v>-</v>
          </cell>
          <cell r="R1091" t="str">
            <v>-</v>
          </cell>
          <cell r="T1091" t="str">
            <v>-</v>
          </cell>
          <cell r="U1091" t="str">
            <v>-</v>
          </cell>
          <cell r="W1091" t="str">
            <v>-</v>
          </cell>
          <cell r="X1091" t="str">
            <v>-</v>
          </cell>
        </row>
        <row r="1092">
          <cell r="A1092">
            <v>72221084</v>
          </cell>
          <cell r="B1092">
            <v>1741</v>
          </cell>
          <cell r="C1092" t="str">
            <v>갑옷메기</v>
          </cell>
          <cell r="D1092" t="str">
            <v>C</v>
          </cell>
          <cell r="E1092">
            <v>70409016</v>
          </cell>
          <cell r="H1092" t="str">
            <v>-</v>
          </cell>
          <cell r="I1092" t="str">
            <v>-</v>
          </cell>
          <cell r="K1092" t="str">
            <v>-</v>
          </cell>
          <cell r="L1092" t="str">
            <v>-</v>
          </cell>
          <cell r="N1092" t="str">
            <v>-</v>
          </cell>
          <cell r="O1092" t="str">
            <v>-</v>
          </cell>
          <cell r="Q1092" t="str">
            <v>-</v>
          </cell>
          <cell r="R1092" t="str">
            <v>-</v>
          </cell>
          <cell r="T1092" t="str">
            <v>-</v>
          </cell>
          <cell r="U1092" t="str">
            <v>-</v>
          </cell>
          <cell r="W1092" t="str">
            <v>-</v>
          </cell>
          <cell r="X1092" t="str">
            <v>-</v>
          </cell>
        </row>
        <row r="1093">
          <cell r="A1093">
            <v>72221085</v>
          </cell>
          <cell r="B1093">
            <v>1742</v>
          </cell>
          <cell r="C1093" t="str">
            <v>상괭이</v>
          </cell>
          <cell r="D1093" t="str">
            <v>A</v>
          </cell>
          <cell r="E1093">
            <v>70409245</v>
          </cell>
          <cell r="H1093" t="str">
            <v>-</v>
          </cell>
          <cell r="I1093" t="str">
            <v>-</v>
          </cell>
          <cell r="K1093" t="str">
            <v>-</v>
          </cell>
          <cell r="L1093" t="str">
            <v>-</v>
          </cell>
          <cell r="N1093" t="str">
            <v>-</v>
          </cell>
          <cell r="O1093" t="str">
            <v>-</v>
          </cell>
          <cell r="Q1093" t="str">
            <v>-</v>
          </cell>
          <cell r="R1093" t="str">
            <v>-</v>
          </cell>
          <cell r="T1093" t="str">
            <v>-</v>
          </cell>
          <cell r="U1093" t="str">
            <v>-</v>
          </cell>
          <cell r="W1093" t="str">
            <v>-</v>
          </cell>
          <cell r="X1093" t="str">
            <v>-</v>
          </cell>
        </row>
        <row r="1094">
          <cell r="A1094">
            <v>72221086</v>
          </cell>
          <cell r="B1094">
            <v>1742</v>
          </cell>
          <cell r="C1094" t="str">
            <v>은어</v>
          </cell>
          <cell r="D1094" t="str">
            <v>A</v>
          </cell>
          <cell r="E1094">
            <v>70409304</v>
          </cell>
          <cell r="H1094" t="str">
            <v>-</v>
          </cell>
          <cell r="I1094" t="str">
            <v>-</v>
          </cell>
          <cell r="K1094" t="str">
            <v>-</v>
          </cell>
          <cell r="L1094" t="str">
            <v>-</v>
          </cell>
          <cell r="N1094" t="str">
            <v>-</v>
          </cell>
          <cell r="O1094" t="str">
            <v>-</v>
          </cell>
          <cell r="Q1094" t="str">
            <v>-</v>
          </cell>
          <cell r="R1094" t="str">
            <v>-</v>
          </cell>
          <cell r="T1094" t="str">
            <v>-</v>
          </cell>
          <cell r="U1094" t="str">
            <v>-</v>
          </cell>
          <cell r="W1094" t="str">
            <v>-</v>
          </cell>
          <cell r="X1094" t="str">
            <v>-</v>
          </cell>
        </row>
        <row r="1095">
          <cell r="A1095">
            <v>72221087</v>
          </cell>
          <cell r="B1095">
            <v>1742</v>
          </cell>
          <cell r="C1095" t="str">
            <v>송어</v>
          </cell>
          <cell r="D1095" t="str">
            <v>D</v>
          </cell>
          <cell r="E1095">
            <v>70409256</v>
          </cell>
          <cell r="H1095" t="str">
            <v>-</v>
          </cell>
          <cell r="I1095" t="str">
            <v>-</v>
          </cell>
          <cell r="K1095" t="str">
            <v>-</v>
          </cell>
          <cell r="L1095" t="str">
            <v>-</v>
          </cell>
          <cell r="N1095" t="str">
            <v>-</v>
          </cell>
          <cell r="O1095" t="str">
            <v>-</v>
          </cell>
          <cell r="Q1095" t="str">
            <v>-</v>
          </cell>
          <cell r="R1095" t="str">
            <v>-</v>
          </cell>
          <cell r="T1095" t="str">
            <v>-</v>
          </cell>
          <cell r="U1095" t="str">
            <v>-</v>
          </cell>
          <cell r="W1095" t="str">
            <v>-</v>
          </cell>
          <cell r="X1095" t="str">
            <v>-</v>
          </cell>
        </row>
        <row r="1096">
          <cell r="A1096">
            <v>72221088</v>
          </cell>
          <cell r="B1096">
            <v>1742</v>
          </cell>
          <cell r="C1096" t="str">
            <v>갑옷메기</v>
          </cell>
          <cell r="D1096" t="str">
            <v>C</v>
          </cell>
          <cell r="E1096">
            <v>70409016</v>
          </cell>
          <cell r="H1096" t="str">
            <v>-</v>
          </cell>
          <cell r="I1096" t="str">
            <v>-</v>
          </cell>
          <cell r="K1096" t="str">
            <v>-</v>
          </cell>
          <cell r="L1096" t="str">
            <v>-</v>
          </cell>
          <cell r="N1096" t="str">
            <v>-</v>
          </cell>
          <cell r="O1096" t="str">
            <v>-</v>
          </cell>
          <cell r="Q1096" t="str">
            <v>-</v>
          </cell>
          <cell r="R1096" t="str">
            <v>-</v>
          </cell>
          <cell r="T1096" t="str">
            <v>-</v>
          </cell>
          <cell r="U1096" t="str">
            <v>-</v>
          </cell>
          <cell r="W1096" t="str">
            <v>-</v>
          </cell>
          <cell r="X1096" t="str">
            <v>-</v>
          </cell>
        </row>
        <row r="1097">
          <cell r="A1097">
            <v>72221089</v>
          </cell>
          <cell r="B1097">
            <v>1743</v>
          </cell>
          <cell r="C1097" t="str">
            <v>상괭이</v>
          </cell>
          <cell r="D1097" t="str">
            <v>A</v>
          </cell>
          <cell r="E1097">
            <v>70409245</v>
          </cell>
          <cell r="H1097" t="str">
            <v>-</v>
          </cell>
          <cell r="I1097" t="str">
            <v>-</v>
          </cell>
          <cell r="K1097" t="str">
            <v>-</v>
          </cell>
          <cell r="L1097" t="str">
            <v>-</v>
          </cell>
          <cell r="N1097" t="str">
            <v>-</v>
          </cell>
          <cell r="O1097" t="str">
            <v>-</v>
          </cell>
          <cell r="Q1097" t="str">
            <v>-</v>
          </cell>
          <cell r="R1097" t="str">
            <v>-</v>
          </cell>
          <cell r="T1097" t="str">
            <v>-</v>
          </cell>
          <cell r="U1097" t="str">
            <v>-</v>
          </cell>
          <cell r="W1097" t="str">
            <v>-</v>
          </cell>
          <cell r="X1097" t="str">
            <v>-</v>
          </cell>
        </row>
        <row r="1098">
          <cell r="A1098">
            <v>72221090</v>
          </cell>
          <cell r="B1098">
            <v>1743</v>
          </cell>
          <cell r="C1098" t="str">
            <v>은어</v>
          </cell>
          <cell r="D1098" t="str">
            <v>A</v>
          </cell>
          <cell r="E1098">
            <v>70409304</v>
          </cell>
          <cell r="H1098" t="str">
            <v>-</v>
          </cell>
          <cell r="I1098" t="str">
            <v>-</v>
          </cell>
          <cell r="K1098" t="str">
            <v>-</v>
          </cell>
          <cell r="L1098" t="str">
            <v>-</v>
          </cell>
          <cell r="N1098" t="str">
            <v>-</v>
          </cell>
          <cell r="O1098" t="str">
            <v>-</v>
          </cell>
          <cell r="Q1098" t="str">
            <v>-</v>
          </cell>
          <cell r="R1098" t="str">
            <v>-</v>
          </cell>
          <cell r="T1098" t="str">
            <v>-</v>
          </cell>
          <cell r="U1098" t="str">
            <v>-</v>
          </cell>
          <cell r="W1098" t="str">
            <v>-</v>
          </cell>
          <cell r="X1098" t="str">
            <v>-</v>
          </cell>
        </row>
        <row r="1099">
          <cell r="A1099">
            <v>72221091</v>
          </cell>
          <cell r="B1099">
            <v>1743</v>
          </cell>
          <cell r="C1099" t="str">
            <v>송어</v>
          </cell>
          <cell r="D1099" t="str">
            <v>D</v>
          </cell>
          <cell r="E1099">
            <v>70409256</v>
          </cell>
          <cell r="H1099" t="str">
            <v>-</v>
          </cell>
          <cell r="I1099" t="str">
            <v>-</v>
          </cell>
          <cell r="K1099" t="str">
            <v>-</v>
          </cell>
          <cell r="L1099" t="str">
            <v>-</v>
          </cell>
          <cell r="N1099" t="str">
            <v>-</v>
          </cell>
          <cell r="O1099" t="str">
            <v>-</v>
          </cell>
          <cell r="Q1099" t="str">
            <v>-</v>
          </cell>
          <cell r="R1099" t="str">
            <v>-</v>
          </cell>
          <cell r="T1099" t="str">
            <v>-</v>
          </cell>
          <cell r="U1099" t="str">
            <v>-</v>
          </cell>
          <cell r="W1099" t="str">
            <v>-</v>
          </cell>
          <cell r="X1099" t="str">
            <v>-</v>
          </cell>
        </row>
        <row r="1100">
          <cell r="A1100">
            <v>72221092</v>
          </cell>
          <cell r="B1100">
            <v>1743</v>
          </cell>
          <cell r="C1100" t="str">
            <v>갑옷메기</v>
          </cell>
          <cell r="D1100" t="str">
            <v>C</v>
          </cell>
          <cell r="E1100">
            <v>70409016</v>
          </cell>
          <cell r="H1100" t="str">
            <v>-</v>
          </cell>
          <cell r="I1100" t="str">
            <v>-</v>
          </cell>
          <cell r="K1100" t="str">
            <v>-</v>
          </cell>
          <cell r="L1100" t="str">
            <v>-</v>
          </cell>
          <cell r="N1100" t="str">
            <v>-</v>
          </cell>
          <cell r="O1100" t="str">
            <v>-</v>
          </cell>
          <cell r="Q1100" t="str">
            <v>-</v>
          </cell>
          <cell r="R1100" t="str">
            <v>-</v>
          </cell>
          <cell r="T1100" t="str">
            <v>-</v>
          </cell>
          <cell r="U1100" t="str">
            <v>-</v>
          </cell>
          <cell r="W1100" t="str">
            <v>-</v>
          </cell>
          <cell r="X1100" t="str">
            <v>-</v>
          </cell>
        </row>
        <row r="1101">
          <cell r="A1101">
            <v>72221093</v>
          </cell>
          <cell r="B1101">
            <v>1744</v>
          </cell>
          <cell r="C1101" t="str">
            <v>상괭이</v>
          </cell>
          <cell r="D1101" t="str">
            <v>A</v>
          </cell>
          <cell r="E1101">
            <v>70409245</v>
          </cell>
          <cell r="H1101" t="str">
            <v>-</v>
          </cell>
          <cell r="I1101" t="str">
            <v>-</v>
          </cell>
          <cell r="K1101" t="str">
            <v>-</v>
          </cell>
          <cell r="L1101" t="str">
            <v>-</v>
          </cell>
          <cell r="N1101" t="str">
            <v>-</v>
          </cell>
          <cell r="O1101" t="str">
            <v>-</v>
          </cell>
          <cell r="Q1101" t="str">
            <v>-</v>
          </cell>
          <cell r="R1101" t="str">
            <v>-</v>
          </cell>
          <cell r="T1101" t="str">
            <v>-</v>
          </cell>
          <cell r="U1101" t="str">
            <v>-</v>
          </cell>
          <cell r="W1101" t="str">
            <v>-</v>
          </cell>
          <cell r="X1101" t="str">
            <v>-</v>
          </cell>
        </row>
        <row r="1102">
          <cell r="A1102">
            <v>72221094</v>
          </cell>
          <cell r="B1102">
            <v>1744</v>
          </cell>
          <cell r="C1102" t="str">
            <v>은어</v>
          </cell>
          <cell r="D1102" t="str">
            <v>A</v>
          </cell>
          <cell r="E1102">
            <v>70409304</v>
          </cell>
          <cell r="H1102" t="str">
            <v>-</v>
          </cell>
          <cell r="I1102" t="str">
            <v>-</v>
          </cell>
          <cell r="K1102" t="str">
            <v>-</v>
          </cell>
          <cell r="L1102" t="str">
            <v>-</v>
          </cell>
          <cell r="N1102" t="str">
            <v>-</v>
          </cell>
          <cell r="O1102" t="str">
            <v>-</v>
          </cell>
          <cell r="Q1102" t="str">
            <v>-</v>
          </cell>
          <cell r="R1102" t="str">
            <v>-</v>
          </cell>
          <cell r="T1102" t="str">
            <v>-</v>
          </cell>
          <cell r="U1102" t="str">
            <v>-</v>
          </cell>
          <cell r="W1102" t="str">
            <v>-</v>
          </cell>
          <cell r="X1102" t="str">
            <v>-</v>
          </cell>
        </row>
        <row r="1103">
          <cell r="A1103">
            <v>72221095</v>
          </cell>
          <cell r="B1103">
            <v>1744</v>
          </cell>
          <cell r="C1103" t="str">
            <v>송어</v>
          </cell>
          <cell r="D1103" t="str">
            <v>D</v>
          </cell>
          <cell r="E1103">
            <v>70409256</v>
          </cell>
          <cell r="H1103" t="str">
            <v>-</v>
          </cell>
          <cell r="I1103" t="str">
            <v>-</v>
          </cell>
          <cell r="K1103" t="str">
            <v>-</v>
          </cell>
          <cell r="L1103" t="str">
            <v>-</v>
          </cell>
          <cell r="N1103" t="str">
            <v>-</v>
          </cell>
          <cell r="O1103" t="str">
            <v>-</v>
          </cell>
          <cell r="Q1103" t="str">
            <v>-</v>
          </cell>
          <cell r="R1103" t="str">
            <v>-</v>
          </cell>
          <cell r="T1103" t="str">
            <v>-</v>
          </cell>
          <cell r="U1103" t="str">
            <v>-</v>
          </cell>
          <cell r="W1103" t="str">
            <v>-</v>
          </cell>
          <cell r="X1103" t="str">
            <v>-</v>
          </cell>
        </row>
        <row r="1104">
          <cell r="A1104">
            <v>72221096</v>
          </cell>
          <cell r="B1104">
            <v>1744</v>
          </cell>
          <cell r="C1104" t="str">
            <v>갑옷메기</v>
          </cell>
          <cell r="D1104" t="str">
            <v>C</v>
          </cell>
          <cell r="E1104">
            <v>70409016</v>
          </cell>
          <cell r="H1104" t="str">
            <v>-</v>
          </cell>
          <cell r="I1104" t="str">
            <v>-</v>
          </cell>
          <cell r="K1104" t="str">
            <v>-</v>
          </cell>
          <cell r="L1104" t="str">
            <v>-</v>
          </cell>
          <cell r="N1104" t="str">
            <v>-</v>
          </cell>
          <cell r="O1104" t="str">
            <v>-</v>
          </cell>
          <cell r="Q1104" t="str">
            <v>-</v>
          </cell>
          <cell r="R1104" t="str">
            <v>-</v>
          </cell>
          <cell r="T1104" t="str">
            <v>-</v>
          </cell>
          <cell r="U1104" t="str">
            <v>-</v>
          </cell>
          <cell r="W1104" t="str">
            <v>-</v>
          </cell>
          <cell r="X1104" t="str">
            <v>-</v>
          </cell>
        </row>
        <row r="1105">
          <cell r="A1105">
            <v>72221097</v>
          </cell>
          <cell r="B1105">
            <v>1751</v>
          </cell>
          <cell r="C1105" t="str">
            <v>까지양태</v>
          </cell>
          <cell r="D1105" t="str">
            <v>B</v>
          </cell>
          <cell r="E1105">
            <v>70409048</v>
          </cell>
          <cell r="H1105" t="str">
            <v>-</v>
          </cell>
          <cell r="I1105" t="str">
            <v>-</v>
          </cell>
          <cell r="K1105" t="str">
            <v>-</v>
          </cell>
          <cell r="L1105" t="str">
            <v>-</v>
          </cell>
          <cell r="N1105" t="str">
            <v>-</v>
          </cell>
          <cell r="O1105" t="str">
            <v>-</v>
          </cell>
          <cell r="Q1105" t="str">
            <v>-</v>
          </cell>
          <cell r="R1105" t="str">
            <v>-</v>
          </cell>
          <cell r="T1105" t="str">
            <v>-</v>
          </cell>
          <cell r="U1105" t="str">
            <v>-</v>
          </cell>
          <cell r="W1105" t="str">
            <v>-</v>
          </cell>
          <cell r="X1105" t="str">
            <v>-</v>
          </cell>
        </row>
        <row r="1106">
          <cell r="A1106">
            <v>72221098</v>
          </cell>
          <cell r="B1106">
            <v>1751</v>
          </cell>
          <cell r="C1106" t="str">
            <v>뱀장어</v>
          </cell>
          <cell r="D1106" t="str">
            <v>A</v>
          </cell>
          <cell r="E1106">
            <v>70409192</v>
          </cell>
          <cell r="H1106" t="str">
            <v>-</v>
          </cell>
          <cell r="I1106" t="str">
            <v>-</v>
          </cell>
          <cell r="K1106" t="str">
            <v>-</v>
          </cell>
          <cell r="L1106" t="str">
            <v>-</v>
          </cell>
          <cell r="N1106" t="str">
            <v>-</v>
          </cell>
          <cell r="O1106" t="str">
            <v>-</v>
          </cell>
          <cell r="Q1106" t="str">
            <v>-</v>
          </cell>
          <cell r="R1106" t="str">
            <v>-</v>
          </cell>
          <cell r="T1106" t="str">
            <v>-</v>
          </cell>
          <cell r="U1106" t="str">
            <v>-</v>
          </cell>
          <cell r="W1106" t="str">
            <v>-</v>
          </cell>
          <cell r="X1106" t="str">
            <v>-</v>
          </cell>
        </row>
        <row r="1107">
          <cell r="A1107">
            <v>72221099</v>
          </cell>
          <cell r="B1107">
            <v>1751</v>
          </cell>
          <cell r="C1107" t="str">
            <v>복상어</v>
          </cell>
          <cell r="D1107" t="str">
            <v>S</v>
          </cell>
          <cell r="E1107">
            <v>70409210</v>
          </cell>
          <cell r="H1107" t="str">
            <v>-</v>
          </cell>
          <cell r="I1107" t="str">
            <v>-</v>
          </cell>
          <cell r="K1107" t="str">
            <v>-</v>
          </cell>
          <cell r="L1107" t="str">
            <v>-</v>
          </cell>
          <cell r="N1107" t="str">
            <v>-</v>
          </cell>
          <cell r="O1107" t="str">
            <v>-</v>
          </cell>
          <cell r="Q1107" t="str">
            <v>-</v>
          </cell>
          <cell r="R1107" t="str">
            <v>-</v>
          </cell>
          <cell r="T1107" t="str">
            <v>-</v>
          </cell>
          <cell r="U1107" t="str">
            <v>-</v>
          </cell>
          <cell r="W1107" t="str">
            <v>-</v>
          </cell>
          <cell r="X1107" t="str">
            <v>-</v>
          </cell>
        </row>
        <row r="1108">
          <cell r="A1108">
            <v>72221100</v>
          </cell>
          <cell r="B1108">
            <v>1751</v>
          </cell>
          <cell r="C1108" t="str">
            <v>두줄베도라치</v>
          </cell>
          <cell r="D1108" t="str">
            <v>C</v>
          </cell>
          <cell r="E1108">
            <v>70409128</v>
          </cell>
          <cell r="H1108" t="str">
            <v>-</v>
          </cell>
          <cell r="I1108" t="str">
            <v>-</v>
          </cell>
          <cell r="K1108" t="str">
            <v>-</v>
          </cell>
          <cell r="L1108" t="str">
            <v>-</v>
          </cell>
          <cell r="N1108" t="str">
            <v>-</v>
          </cell>
          <cell r="O1108" t="str">
            <v>-</v>
          </cell>
          <cell r="Q1108" t="str">
            <v>-</v>
          </cell>
          <cell r="R1108" t="str">
            <v>-</v>
          </cell>
          <cell r="T1108" t="str">
            <v>-</v>
          </cell>
          <cell r="U1108" t="str">
            <v>-</v>
          </cell>
          <cell r="W1108" t="str">
            <v>-</v>
          </cell>
          <cell r="X1108" t="str">
            <v>-</v>
          </cell>
        </row>
        <row r="1109">
          <cell r="A1109">
            <v>72221101</v>
          </cell>
          <cell r="B1109">
            <v>1751</v>
          </cell>
          <cell r="C1109" t="str">
            <v>황돔</v>
          </cell>
          <cell r="D1109" t="str">
            <v>D</v>
          </cell>
          <cell r="E1109">
            <v>70409400</v>
          </cell>
          <cell r="H1109" t="str">
            <v>-</v>
          </cell>
          <cell r="I1109" t="str">
            <v>-</v>
          </cell>
          <cell r="K1109" t="str">
            <v>-</v>
          </cell>
          <cell r="L1109" t="str">
            <v>-</v>
          </cell>
          <cell r="N1109" t="str">
            <v>-</v>
          </cell>
          <cell r="O1109" t="str">
            <v>-</v>
          </cell>
          <cell r="Q1109" t="str">
            <v>-</v>
          </cell>
          <cell r="R1109" t="str">
            <v>-</v>
          </cell>
          <cell r="T1109" t="str">
            <v>-</v>
          </cell>
          <cell r="U1109" t="str">
            <v>-</v>
          </cell>
          <cell r="W1109" t="str">
            <v>-</v>
          </cell>
          <cell r="X1109" t="str">
            <v>-</v>
          </cell>
        </row>
        <row r="1110">
          <cell r="A1110">
            <v>72221102</v>
          </cell>
          <cell r="B1110">
            <v>1751</v>
          </cell>
          <cell r="C1110" t="str">
            <v>왜주둥치</v>
          </cell>
          <cell r="D1110" t="str">
            <v>B</v>
          </cell>
          <cell r="E1110">
            <v>70409298</v>
          </cell>
          <cell r="H1110" t="str">
            <v>-</v>
          </cell>
          <cell r="I1110" t="str">
            <v>-</v>
          </cell>
          <cell r="K1110" t="str">
            <v>-</v>
          </cell>
          <cell r="L1110" t="str">
            <v>-</v>
          </cell>
          <cell r="N1110" t="str">
            <v>-</v>
          </cell>
          <cell r="O1110" t="str">
            <v>-</v>
          </cell>
          <cell r="Q1110" t="str">
            <v>-</v>
          </cell>
          <cell r="R1110" t="str">
            <v>-</v>
          </cell>
          <cell r="T1110" t="str">
            <v>-</v>
          </cell>
          <cell r="U1110" t="str">
            <v>-</v>
          </cell>
          <cell r="W1110" t="str">
            <v>-</v>
          </cell>
          <cell r="X1110" t="str">
            <v>-</v>
          </cell>
        </row>
        <row r="1111">
          <cell r="A1111">
            <v>72221103</v>
          </cell>
          <cell r="B1111">
            <v>1752</v>
          </cell>
          <cell r="C1111" t="str">
            <v>까지양태</v>
          </cell>
          <cell r="D1111" t="str">
            <v>B</v>
          </cell>
          <cell r="E1111">
            <v>70409048</v>
          </cell>
          <cell r="H1111" t="str">
            <v>-</v>
          </cell>
          <cell r="I1111" t="str">
            <v>-</v>
          </cell>
          <cell r="K1111" t="str">
            <v>-</v>
          </cell>
          <cell r="L1111" t="str">
            <v>-</v>
          </cell>
          <cell r="N1111" t="str">
            <v>-</v>
          </cell>
          <cell r="O1111" t="str">
            <v>-</v>
          </cell>
          <cell r="Q1111" t="str">
            <v>-</v>
          </cell>
          <cell r="R1111" t="str">
            <v>-</v>
          </cell>
          <cell r="T1111" t="str">
            <v>-</v>
          </cell>
          <cell r="U1111" t="str">
            <v>-</v>
          </cell>
          <cell r="W1111" t="str">
            <v>-</v>
          </cell>
          <cell r="X1111" t="str">
            <v>-</v>
          </cell>
        </row>
        <row r="1112">
          <cell r="A1112">
            <v>72221104</v>
          </cell>
          <cell r="B1112">
            <v>1752</v>
          </cell>
          <cell r="C1112" t="str">
            <v>뱀장어</v>
          </cell>
          <cell r="D1112" t="str">
            <v>A</v>
          </cell>
          <cell r="E1112">
            <v>70409192</v>
          </cell>
          <cell r="H1112" t="str">
            <v>-</v>
          </cell>
          <cell r="I1112" t="str">
            <v>-</v>
          </cell>
          <cell r="K1112" t="str">
            <v>-</v>
          </cell>
          <cell r="L1112" t="str">
            <v>-</v>
          </cell>
          <cell r="N1112" t="str">
            <v>-</v>
          </cell>
          <cell r="O1112" t="str">
            <v>-</v>
          </cell>
          <cell r="Q1112" t="str">
            <v>-</v>
          </cell>
          <cell r="R1112" t="str">
            <v>-</v>
          </cell>
          <cell r="T1112" t="str">
            <v>-</v>
          </cell>
          <cell r="U1112" t="str">
            <v>-</v>
          </cell>
          <cell r="W1112" t="str">
            <v>-</v>
          </cell>
          <cell r="X1112" t="str">
            <v>-</v>
          </cell>
        </row>
        <row r="1113">
          <cell r="A1113">
            <v>72221105</v>
          </cell>
          <cell r="B1113">
            <v>1752</v>
          </cell>
          <cell r="C1113" t="str">
            <v>복상어</v>
          </cell>
          <cell r="D1113" t="str">
            <v>S</v>
          </cell>
          <cell r="E1113">
            <v>70409210</v>
          </cell>
          <cell r="H1113" t="str">
            <v>-</v>
          </cell>
          <cell r="I1113" t="str">
            <v>-</v>
          </cell>
          <cell r="K1113" t="str">
            <v>-</v>
          </cell>
          <cell r="L1113" t="str">
            <v>-</v>
          </cell>
          <cell r="N1113" t="str">
            <v>-</v>
          </cell>
          <cell r="O1113" t="str">
            <v>-</v>
          </cell>
          <cell r="Q1113" t="str">
            <v>-</v>
          </cell>
          <cell r="R1113" t="str">
            <v>-</v>
          </cell>
          <cell r="T1113" t="str">
            <v>-</v>
          </cell>
          <cell r="U1113" t="str">
            <v>-</v>
          </cell>
          <cell r="W1113" t="str">
            <v>-</v>
          </cell>
          <cell r="X1113" t="str">
            <v>-</v>
          </cell>
        </row>
        <row r="1114">
          <cell r="A1114">
            <v>72221106</v>
          </cell>
          <cell r="B1114">
            <v>1752</v>
          </cell>
          <cell r="C1114" t="str">
            <v>두줄베도라치</v>
          </cell>
          <cell r="D1114" t="str">
            <v>C</v>
          </cell>
          <cell r="E1114">
            <v>70409128</v>
          </cell>
          <cell r="H1114" t="str">
            <v>-</v>
          </cell>
          <cell r="I1114" t="str">
            <v>-</v>
          </cell>
          <cell r="K1114" t="str">
            <v>-</v>
          </cell>
          <cell r="L1114" t="str">
            <v>-</v>
          </cell>
          <cell r="N1114" t="str">
            <v>-</v>
          </cell>
          <cell r="O1114" t="str">
            <v>-</v>
          </cell>
          <cell r="Q1114" t="str">
            <v>-</v>
          </cell>
          <cell r="R1114" t="str">
            <v>-</v>
          </cell>
          <cell r="T1114" t="str">
            <v>-</v>
          </cell>
          <cell r="U1114" t="str">
            <v>-</v>
          </cell>
          <cell r="W1114" t="str">
            <v>-</v>
          </cell>
          <cell r="X1114" t="str">
            <v>-</v>
          </cell>
        </row>
        <row r="1115">
          <cell r="A1115">
            <v>72221107</v>
          </cell>
          <cell r="B1115">
            <v>1752</v>
          </cell>
          <cell r="C1115" t="str">
            <v>황돔</v>
          </cell>
          <cell r="D1115" t="str">
            <v>D</v>
          </cell>
          <cell r="E1115">
            <v>70409400</v>
          </cell>
          <cell r="H1115" t="str">
            <v>-</v>
          </cell>
          <cell r="I1115" t="str">
            <v>-</v>
          </cell>
          <cell r="K1115" t="str">
            <v>-</v>
          </cell>
          <cell r="L1115" t="str">
            <v>-</v>
          </cell>
          <cell r="N1115" t="str">
            <v>-</v>
          </cell>
          <cell r="O1115" t="str">
            <v>-</v>
          </cell>
          <cell r="Q1115" t="str">
            <v>-</v>
          </cell>
          <cell r="R1115" t="str">
            <v>-</v>
          </cell>
          <cell r="T1115" t="str">
            <v>-</v>
          </cell>
          <cell r="U1115" t="str">
            <v>-</v>
          </cell>
          <cell r="W1115" t="str">
            <v>-</v>
          </cell>
          <cell r="X1115" t="str">
            <v>-</v>
          </cell>
        </row>
        <row r="1116">
          <cell r="A1116">
            <v>72221108</v>
          </cell>
          <cell r="B1116">
            <v>1752</v>
          </cell>
          <cell r="C1116" t="str">
            <v>왜주둥치</v>
          </cell>
          <cell r="D1116" t="str">
            <v>B</v>
          </cell>
          <cell r="E1116">
            <v>70409298</v>
          </cell>
          <cell r="H1116" t="str">
            <v>-</v>
          </cell>
          <cell r="I1116" t="str">
            <v>-</v>
          </cell>
          <cell r="K1116" t="str">
            <v>-</v>
          </cell>
          <cell r="L1116" t="str">
            <v>-</v>
          </cell>
          <cell r="N1116" t="str">
            <v>-</v>
          </cell>
          <cell r="O1116" t="str">
            <v>-</v>
          </cell>
          <cell r="Q1116" t="str">
            <v>-</v>
          </cell>
          <cell r="R1116" t="str">
            <v>-</v>
          </cell>
          <cell r="T1116" t="str">
            <v>-</v>
          </cell>
          <cell r="U1116" t="str">
            <v>-</v>
          </cell>
          <cell r="W1116" t="str">
            <v>-</v>
          </cell>
          <cell r="X1116" t="str">
            <v>-</v>
          </cell>
        </row>
        <row r="1117">
          <cell r="A1117">
            <v>72221109</v>
          </cell>
          <cell r="B1117">
            <v>1753</v>
          </cell>
          <cell r="C1117" t="str">
            <v>까지양태</v>
          </cell>
          <cell r="D1117" t="str">
            <v>B</v>
          </cell>
          <cell r="E1117">
            <v>70409048</v>
          </cell>
          <cell r="H1117" t="str">
            <v>-</v>
          </cell>
          <cell r="I1117" t="str">
            <v>-</v>
          </cell>
          <cell r="K1117" t="str">
            <v>-</v>
          </cell>
          <cell r="L1117" t="str">
            <v>-</v>
          </cell>
          <cell r="N1117" t="str">
            <v>-</v>
          </cell>
          <cell r="O1117" t="str">
            <v>-</v>
          </cell>
          <cell r="Q1117" t="str">
            <v>-</v>
          </cell>
          <cell r="R1117" t="str">
            <v>-</v>
          </cell>
          <cell r="T1117" t="str">
            <v>-</v>
          </cell>
          <cell r="U1117" t="str">
            <v>-</v>
          </cell>
          <cell r="W1117" t="str">
            <v>-</v>
          </cell>
          <cell r="X1117" t="str">
            <v>-</v>
          </cell>
        </row>
        <row r="1118">
          <cell r="A1118">
            <v>72221110</v>
          </cell>
          <cell r="B1118">
            <v>1753</v>
          </cell>
          <cell r="C1118" t="str">
            <v>뱀장어</v>
          </cell>
          <cell r="D1118" t="str">
            <v>A</v>
          </cell>
          <cell r="E1118">
            <v>70409192</v>
          </cell>
          <cell r="H1118" t="str">
            <v>-</v>
          </cell>
          <cell r="I1118" t="str">
            <v>-</v>
          </cell>
          <cell r="K1118" t="str">
            <v>-</v>
          </cell>
          <cell r="L1118" t="str">
            <v>-</v>
          </cell>
          <cell r="N1118" t="str">
            <v>-</v>
          </cell>
          <cell r="O1118" t="str">
            <v>-</v>
          </cell>
          <cell r="Q1118" t="str">
            <v>-</v>
          </cell>
          <cell r="R1118" t="str">
            <v>-</v>
          </cell>
          <cell r="T1118" t="str">
            <v>-</v>
          </cell>
          <cell r="U1118" t="str">
            <v>-</v>
          </cell>
          <cell r="W1118" t="str">
            <v>-</v>
          </cell>
          <cell r="X1118" t="str">
            <v>-</v>
          </cell>
        </row>
        <row r="1119">
          <cell r="A1119">
            <v>72221111</v>
          </cell>
          <cell r="B1119">
            <v>1753</v>
          </cell>
          <cell r="C1119" t="str">
            <v>복상어</v>
          </cell>
          <cell r="D1119" t="str">
            <v>S</v>
          </cell>
          <cell r="E1119">
            <v>70409210</v>
          </cell>
          <cell r="H1119" t="str">
            <v>-</v>
          </cell>
          <cell r="I1119" t="str">
            <v>-</v>
          </cell>
          <cell r="K1119" t="str">
            <v>-</v>
          </cell>
          <cell r="L1119" t="str">
            <v>-</v>
          </cell>
          <cell r="N1119" t="str">
            <v>-</v>
          </cell>
          <cell r="O1119" t="str">
            <v>-</v>
          </cell>
          <cell r="Q1119" t="str">
            <v>-</v>
          </cell>
          <cell r="R1119" t="str">
            <v>-</v>
          </cell>
          <cell r="T1119" t="str">
            <v>-</v>
          </cell>
          <cell r="U1119" t="str">
            <v>-</v>
          </cell>
          <cell r="W1119" t="str">
            <v>-</v>
          </cell>
          <cell r="X1119" t="str">
            <v>-</v>
          </cell>
        </row>
        <row r="1120">
          <cell r="A1120">
            <v>72221112</v>
          </cell>
          <cell r="B1120">
            <v>1753</v>
          </cell>
          <cell r="C1120" t="str">
            <v>두줄베도라치</v>
          </cell>
          <cell r="D1120" t="str">
            <v>C</v>
          </cell>
          <cell r="E1120">
            <v>70409128</v>
          </cell>
          <cell r="H1120" t="str">
            <v>-</v>
          </cell>
          <cell r="I1120" t="str">
            <v>-</v>
          </cell>
          <cell r="K1120" t="str">
            <v>-</v>
          </cell>
          <cell r="L1120" t="str">
            <v>-</v>
          </cell>
          <cell r="N1120" t="str">
            <v>-</v>
          </cell>
          <cell r="O1120" t="str">
            <v>-</v>
          </cell>
          <cell r="Q1120" t="str">
            <v>-</v>
          </cell>
          <cell r="R1120" t="str">
            <v>-</v>
          </cell>
          <cell r="T1120" t="str">
            <v>-</v>
          </cell>
          <cell r="U1120" t="str">
            <v>-</v>
          </cell>
          <cell r="W1120" t="str">
            <v>-</v>
          </cell>
          <cell r="X1120" t="str">
            <v>-</v>
          </cell>
        </row>
        <row r="1121">
          <cell r="A1121">
            <v>72221113</v>
          </cell>
          <cell r="B1121">
            <v>1753</v>
          </cell>
          <cell r="C1121" t="str">
            <v>황돔</v>
          </cell>
          <cell r="D1121" t="str">
            <v>D</v>
          </cell>
          <cell r="E1121">
            <v>70409400</v>
          </cell>
          <cell r="H1121" t="str">
            <v>-</v>
          </cell>
          <cell r="I1121" t="str">
            <v>-</v>
          </cell>
          <cell r="K1121" t="str">
            <v>-</v>
          </cell>
          <cell r="L1121" t="str">
            <v>-</v>
          </cell>
          <cell r="N1121" t="str">
            <v>-</v>
          </cell>
          <cell r="O1121" t="str">
            <v>-</v>
          </cell>
          <cell r="Q1121" t="str">
            <v>-</v>
          </cell>
          <cell r="R1121" t="str">
            <v>-</v>
          </cell>
          <cell r="T1121" t="str">
            <v>-</v>
          </cell>
          <cell r="U1121" t="str">
            <v>-</v>
          </cell>
          <cell r="W1121" t="str">
            <v>-</v>
          </cell>
          <cell r="X1121" t="str">
            <v>-</v>
          </cell>
        </row>
        <row r="1122">
          <cell r="A1122">
            <v>72221114</v>
          </cell>
          <cell r="B1122">
            <v>1753</v>
          </cell>
          <cell r="C1122" t="str">
            <v>왜주둥치</v>
          </cell>
          <cell r="D1122" t="str">
            <v>B</v>
          </cell>
          <cell r="E1122">
            <v>70409298</v>
          </cell>
          <cell r="H1122" t="str">
            <v>-</v>
          </cell>
          <cell r="I1122" t="str">
            <v>-</v>
          </cell>
          <cell r="K1122" t="str">
            <v>-</v>
          </cell>
          <cell r="L1122" t="str">
            <v>-</v>
          </cell>
          <cell r="N1122" t="str">
            <v>-</v>
          </cell>
          <cell r="O1122" t="str">
            <v>-</v>
          </cell>
          <cell r="Q1122" t="str">
            <v>-</v>
          </cell>
          <cell r="R1122" t="str">
            <v>-</v>
          </cell>
          <cell r="T1122" t="str">
            <v>-</v>
          </cell>
          <cell r="U1122" t="str">
            <v>-</v>
          </cell>
          <cell r="W1122" t="str">
            <v>-</v>
          </cell>
          <cell r="X1122" t="str">
            <v>-</v>
          </cell>
        </row>
        <row r="1123">
          <cell r="A1123">
            <v>72221115</v>
          </cell>
          <cell r="B1123">
            <v>1754</v>
          </cell>
          <cell r="C1123" t="str">
            <v>까지양태</v>
          </cell>
          <cell r="D1123" t="str">
            <v>B</v>
          </cell>
          <cell r="E1123">
            <v>70409048</v>
          </cell>
          <cell r="H1123" t="str">
            <v>-</v>
          </cell>
          <cell r="I1123" t="str">
            <v>-</v>
          </cell>
          <cell r="K1123" t="str">
            <v>-</v>
          </cell>
          <cell r="L1123" t="str">
            <v>-</v>
          </cell>
          <cell r="N1123" t="str">
            <v>-</v>
          </cell>
          <cell r="O1123" t="str">
            <v>-</v>
          </cell>
          <cell r="Q1123" t="str">
            <v>-</v>
          </cell>
          <cell r="R1123" t="str">
            <v>-</v>
          </cell>
          <cell r="T1123" t="str">
            <v>-</v>
          </cell>
          <cell r="U1123" t="str">
            <v>-</v>
          </cell>
          <cell r="W1123" t="str">
            <v>-</v>
          </cell>
          <cell r="X1123" t="str">
            <v>-</v>
          </cell>
        </row>
        <row r="1124">
          <cell r="A1124">
            <v>72221116</v>
          </cell>
          <cell r="B1124">
            <v>1754</v>
          </cell>
          <cell r="C1124" t="str">
            <v>뱀장어</v>
          </cell>
          <cell r="D1124" t="str">
            <v>A</v>
          </cell>
          <cell r="E1124">
            <v>70409192</v>
          </cell>
          <cell r="H1124" t="str">
            <v>-</v>
          </cell>
          <cell r="I1124" t="str">
            <v>-</v>
          </cell>
          <cell r="K1124" t="str">
            <v>-</v>
          </cell>
          <cell r="L1124" t="str">
            <v>-</v>
          </cell>
          <cell r="N1124" t="str">
            <v>-</v>
          </cell>
          <cell r="O1124" t="str">
            <v>-</v>
          </cell>
          <cell r="Q1124" t="str">
            <v>-</v>
          </cell>
          <cell r="R1124" t="str">
            <v>-</v>
          </cell>
          <cell r="T1124" t="str">
            <v>-</v>
          </cell>
          <cell r="U1124" t="str">
            <v>-</v>
          </cell>
          <cell r="W1124" t="str">
            <v>-</v>
          </cell>
          <cell r="X1124" t="str">
            <v>-</v>
          </cell>
        </row>
        <row r="1125">
          <cell r="A1125">
            <v>72221117</v>
          </cell>
          <cell r="B1125">
            <v>1754</v>
          </cell>
          <cell r="C1125" t="str">
            <v>복상어</v>
          </cell>
          <cell r="D1125" t="str">
            <v>S</v>
          </cell>
          <cell r="E1125">
            <v>70409210</v>
          </cell>
          <cell r="H1125" t="str">
            <v>-</v>
          </cell>
          <cell r="I1125" t="str">
            <v>-</v>
          </cell>
          <cell r="K1125" t="str">
            <v>-</v>
          </cell>
          <cell r="L1125" t="str">
            <v>-</v>
          </cell>
          <cell r="N1125" t="str">
            <v>-</v>
          </cell>
          <cell r="O1125" t="str">
            <v>-</v>
          </cell>
          <cell r="Q1125" t="str">
            <v>-</v>
          </cell>
          <cell r="R1125" t="str">
            <v>-</v>
          </cell>
          <cell r="T1125" t="str">
            <v>-</v>
          </cell>
          <cell r="U1125" t="str">
            <v>-</v>
          </cell>
          <cell r="W1125" t="str">
            <v>-</v>
          </cell>
          <cell r="X1125" t="str">
            <v>-</v>
          </cell>
        </row>
        <row r="1126">
          <cell r="A1126">
            <v>72221118</v>
          </cell>
          <cell r="B1126">
            <v>1754</v>
          </cell>
          <cell r="C1126" t="str">
            <v>두줄베도라치</v>
          </cell>
          <cell r="D1126" t="str">
            <v>C</v>
          </cell>
          <cell r="E1126">
            <v>70409128</v>
          </cell>
          <cell r="H1126" t="str">
            <v>-</v>
          </cell>
          <cell r="I1126" t="str">
            <v>-</v>
          </cell>
          <cell r="K1126" t="str">
            <v>-</v>
          </cell>
          <cell r="L1126" t="str">
            <v>-</v>
          </cell>
          <cell r="N1126" t="str">
            <v>-</v>
          </cell>
          <cell r="O1126" t="str">
            <v>-</v>
          </cell>
          <cell r="Q1126" t="str">
            <v>-</v>
          </cell>
          <cell r="R1126" t="str">
            <v>-</v>
          </cell>
          <cell r="T1126" t="str">
            <v>-</v>
          </cell>
          <cell r="U1126" t="str">
            <v>-</v>
          </cell>
          <cell r="W1126" t="str">
            <v>-</v>
          </cell>
          <cell r="X1126" t="str">
            <v>-</v>
          </cell>
        </row>
        <row r="1127">
          <cell r="A1127">
            <v>72221119</v>
          </cell>
          <cell r="B1127">
            <v>1754</v>
          </cell>
          <cell r="C1127" t="str">
            <v>황돔</v>
          </cell>
          <cell r="D1127" t="str">
            <v>D</v>
          </cell>
          <cell r="E1127">
            <v>70409400</v>
          </cell>
          <cell r="H1127" t="str">
            <v>-</v>
          </cell>
          <cell r="I1127" t="str">
            <v>-</v>
          </cell>
          <cell r="K1127" t="str">
            <v>-</v>
          </cell>
          <cell r="L1127" t="str">
            <v>-</v>
          </cell>
          <cell r="N1127" t="str">
            <v>-</v>
          </cell>
          <cell r="O1127" t="str">
            <v>-</v>
          </cell>
          <cell r="Q1127" t="str">
            <v>-</v>
          </cell>
          <cell r="R1127" t="str">
            <v>-</v>
          </cell>
          <cell r="T1127" t="str">
            <v>-</v>
          </cell>
          <cell r="U1127" t="str">
            <v>-</v>
          </cell>
          <cell r="W1127" t="str">
            <v>-</v>
          </cell>
          <cell r="X1127" t="str">
            <v>-</v>
          </cell>
        </row>
        <row r="1128">
          <cell r="A1128">
            <v>72221120</v>
          </cell>
          <cell r="B1128">
            <v>1754</v>
          </cell>
          <cell r="C1128" t="str">
            <v>왜주둥치</v>
          </cell>
          <cell r="D1128" t="str">
            <v>B</v>
          </cell>
          <cell r="E1128">
            <v>70409298</v>
          </cell>
          <cell r="H1128" t="str">
            <v>-</v>
          </cell>
          <cell r="I1128" t="str">
            <v>-</v>
          </cell>
          <cell r="K1128" t="str">
            <v>-</v>
          </cell>
          <cell r="L1128" t="str">
            <v>-</v>
          </cell>
          <cell r="N1128" t="str">
            <v>-</v>
          </cell>
          <cell r="O1128" t="str">
            <v>-</v>
          </cell>
          <cell r="Q1128" t="str">
            <v>-</v>
          </cell>
          <cell r="R1128" t="str">
            <v>-</v>
          </cell>
          <cell r="T1128" t="str">
            <v>-</v>
          </cell>
          <cell r="U1128" t="str">
            <v>-</v>
          </cell>
          <cell r="W1128" t="str">
            <v>-</v>
          </cell>
          <cell r="X1128" t="str">
            <v>-</v>
          </cell>
        </row>
        <row r="1129">
          <cell r="A1129">
            <v>72221121</v>
          </cell>
          <cell r="B1129">
            <v>1761</v>
          </cell>
          <cell r="C1129" t="str">
            <v>가숭어</v>
          </cell>
          <cell r="D1129" t="str">
            <v>B</v>
          </cell>
          <cell r="E1129">
            <v>70409002</v>
          </cell>
          <cell r="H1129" t="str">
            <v>-</v>
          </cell>
          <cell r="I1129" t="str">
            <v>-</v>
          </cell>
          <cell r="K1129" t="str">
            <v>-</v>
          </cell>
          <cell r="L1129" t="str">
            <v>-</v>
          </cell>
          <cell r="N1129" t="str">
            <v>-</v>
          </cell>
          <cell r="O1129" t="str">
            <v>-</v>
          </cell>
          <cell r="Q1129" t="str">
            <v>-</v>
          </cell>
          <cell r="R1129" t="str">
            <v>-</v>
          </cell>
          <cell r="T1129" t="str">
            <v>-</v>
          </cell>
          <cell r="U1129" t="str">
            <v>-</v>
          </cell>
          <cell r="W1129" t="str">
            <v>-</v>
          </cell>
          <cell r="X1129" t="str">
            <v>-</v>
          </cell>
        </row>
        <row r="1130">
          <cell r="A1130">
            <v>72221122</v>
          </cell>
          <cell r="B1130">
            <v>1761</v>
          </cell>
          <cell r="C1130" t="str">
            <v>까치상어</v>
          </cell>
          <cell r="D1130" t="str">
            <v>B</v>
          </cell>
          <cell r="E1130">
            <v>70409050</v>
          </cell>
          <cell r="H1130" t="str">
            <v>-</v>
          </cell>
          <cell r="I1130" t="str">
            <v>-</v>
          </cell>
          <cell r="K1130" t="str">
            <v>-</v>
          </cell>
          <cell r="L1130" t="str">
            <v>-</v>
          </cell>
          <cell r="N1130" t="str">
            <v>-</v>
          </cell>
          <cell r="O1130" t="str">
            <v>-</v>
          </cell>
          <cell r="Q1130" t="str">
            <v>-</v>
          </cell>
          <cell r="R1130" t="str">
            <v>-</v>
          </cell>
          <cell r="T1130" t="str">
            <v>-</v>
          </cell>
          <cell r="U1130" t="str">
            <v>-</v>
          </cell>
          <cell r="W1130" t="str">
            <v>-</v>
          </cell>
          <cell r="X1130" t="str">
            <v>-</v>
          </cell>
        </row>
        <row r="1131">
          <cell r="A1131">
            <v>72221123</v>
          </cell>
          <cell r="B1131">
            <v>1761</v>
          </cell>
          <cell r="C1131" t="str">
            <v>표범상어</v>
          </cell>
          <cell r="D1131" t="str">
            <v>S</v>
          </cell>
          <cell r="E1131">
            <v>70409377</v>
          </cell>
          <cell r="H1131" t="str">
            <v>-</v>
          </cell>
          <cell r="I1131" t="str">
            <v>-</v>
          </cell>
          <cell r="K1131" t="str">
            <v>-</v>
          </cell>
          <cell r="L1131" t="str">
            <v>-</v>
          </cell>
          <cell r="N1131" t="str">
            <v>-</v>
          </cell>
          <cell r="O1131" t="str">
            <v>-</v>
          </cell>
          <cell r="Q1131" t="str">
            <v>-</v>
          </cell>
          <cell r="R1131" t="str">
            <v>-</v>
          </cell>
          <cell r="T1131" t="str">
            <v>-</v>
          </cell>
          <cell r="U1131" t="str">
            <v>-</v>
          </cell>
          <cell r="W1131" t="str">
            <v>-</v>
          </cell>
          <cell r="X1131" t="str">
            <v>-</v>
          </cell>
        </row>
        <row r="1132">
          <cell r="A1132">
            <v>72221124</v>
          </cell>
          <cell r="B1132">
            <v>1761</v>
          </cell>
          <cell r="C1132" t="str">
            <v>붉벤자리</v>
          </cell>
          <cell r="D1132" t="str">
            <v>C</v>
          </cell>
          <cell r="E1132">
            <v>70409220</v>
          </cell>
          <cell r="H1132" t="str">
            <v>-</v>
          </cell>
          <cell r="I1132" t="str">
            <v>-</v>
          </cell>
          <cell r="K1132" t="str">
            <v>-</v>
          </cell>
          <cell r="L1132" t="str">
            <v>-</v>
          </cell>
          <cell r="N1132" t="str">
            <v>-</v>
          </cell>
          <cell r="O1132" t="str">
            <v>-</v>
          </cell>
          <cell r="Q1132" t="str">
            <v>-</v>
          </cell>
          <cell r="R1132" t="str">
            <v>-</v>
          </cell>
          <cell r="T1132" t="str">
            <v>-</v>
          </cell>
          <cell r="U1132" t="str">
            <v>-</v>
          </cell>
          <cell r="W1132" t="str">
            <v>-</v>
          </cell>
          <cell r="X1132" t="str">
            <v>-</v>
          </cell>
        </row>
        <row r="1133">
          <cell r="A1133">
            <v>72221125</v>
          </cell>
          <cell r="B1133">
            <v>1761</v>
          </cell>
          <cell r="C1133" t="str">
            <v>두건망둑</v>
          </cell>
          <cell r="D1133" t="str">
            <v>C</v>
          </cell>
          <cell r="E1133">
            <v>70409125</v>
          </cell>
          <cell r="H1133" t="str">
            <v>-</v>
          </cell>
          <cell r="I1133" t="str">
            <v>-</v>
          </cell>
          <cell r="K1133" t="str">
            <v>-</v>
          </cell>
          <cell r="L1133" t="str">
            <v>-</v>
          </cell>
          <cell r="N1133" t="str">
            <v>-</v>
          </cell>
          <cell r="O1133" t="str">
            <v>-</v>
          </cell>
          <cell r="Q1133" t="str">
            <v>-</v>
          </cell>
          <cell r="R1133" t="str">
            <v>-</v>
          </cell>
          <cell r="T1133" t="str">
            <v>-</v>
          </cell>
          <cell r="U1133" t="str">
            <v>-</v>
          </cell>
          <cell r="W1133" t="str">
            <v>-</v>
          </cell>
          <cell r="X1133" t="str">
            <v>-</v>
          </cell>
        </row>
        <row r="1134">
          <cell r="A1134">
            <v>72221126</v>
          </cell>
          <cell r="B1134">
            <v>1762</v>
          </cell>
          <cell r="C1134" t="str">
            <v>가숭어</v>
          </cell>
          <cell r="D1134" t="str">
            <v>B</v>
          </cell>
          <cell r="E1134">
            <v>70409002</v>
          </cell>
          <cell r="H1134" t="str">
            <v>-</v>
          </cell>
          <cell r="I1134" t="str">
            <v>-</v>
          </cell>
          <cell r="K1134" t="str">
            <v>-</v>
          </cell>
          <cell r="L1134" t="str">
            <v>-</v>
          </cell>
          <cell r="N1134" t="str">
            <v>-</v>
          </cell>
          <cell r="O1134" t="str">
            <v>-</v>
          </cell>
          <cell r="Q1134" t="str">
            <v>-</v>
          </cell>
          <cell r="R1134" t="str">
            <v>-</v>
          </cell>
          <cell r="T1134" t="str">
            <v>-</v>
          </cell>
          <cell r="U1134" t="str">
            <v>-</v>
          </cell>
          <cell r="W1134" t="str">
            <v>-</v>
          </cell>
          <cell r="X1134" t="str">
            <v>-</v>
          </cell>
        </row>
        <row r="1135">
          <cell r="A1135">
            <v>72221127</v>
          </cell>
          <cell r="B1135">
            <v>1762</v>
          </cell>
          <cell r="C1135" t="str">
            <v>까치상어</v>
          </cell>
          <cell r="D1135" t="str">
            <v>B</v>
          </cell>
          <cell r="E1135">
            <v>70409050</v>
          </cell>
          <cell r="H1135" t="str">
            <v>-</v>
          </cell>
          <cell r="I1135" t="str">
            <v>-</v>
          </cell>
          <cell r="K1135" t="str">
            <v>-</v>
          </cell>
          <cell r="L1135" t="str">
            <v>-</v>
          </cell>
          <cell r="N1135" t="str">
            <v>-</v>
          </cell>
          <cell r="O1135" t="str">
            <v>-</v>
          </cell>
          <cell r="Q1135" t="str">
            <v>-</v>
          </cell>
          <cell r="R1135" t="str">
            <v>-</v>
          </cell>
          <cell r="T1135" t="str">
            <v>-</v>
          </cell>
          <cell r="U1135" t="str">
            <v>-</v>
          </cell>
          <cell r="W1135" t="str">
            <v>-</v>
          </cell>
          <cell r="X1135" t="str">
            <v>-</v>
          </cell>
        </row>
        <row r="1136">
          <cell r="A1136">
            <v>72221128</v>
          </cell>
          <cell r="B1136">
            <v>1762</v>
          </cell>
          <cell r="C1136" t="str">
            <v>표범상어</v>
          </cell>
          <cell r="D1136" t="str">
            <v>S</v>
          </cell>
          <cell r="E1136">
            <v>70409377</v>
          </cell>
          <cell r="H1136" t="str">
            <v>-</v>
          </cell>
          <cell r="I1136" t="str">
            <v>-</v>
          </cell>
          <cell r="K1136" t="str">
            <v>-</v>
          </cell>
          <cell r="L1136" t="str">
            <v>-</v>
          </cell>
          <cell r="N1136" t="str">
            <v>-</v>
          </cell>
          <cell r="O1136" t="str">
            <v>-</v>
          </cell>
          <cell r="Q1136" t="str">
            <v>-</v>
          </cell>
          <cell r="R1136" t="str">
            <v>-</v>
          </cell>
          <cell r="T1136" t="str">
            <v>-</v>
          </cell>
          <cell r="U1136" t="str">
            <v>-</v>
          </cell>
          <cell r="W1136" t="str">
            <v>-</v>
          </cell>
          <cell r="X1136" t="str">
            <v>-</v>
          </cell>
        </row>
        <row r="1137">
          <cell r="A1137">
            <v>72221129</v>
          </cell>
          <cell r="B1137">
            <v>1762</v>
          </cell>
          <cell r="C1137" t="str">
            <v>붉벤자리</v>
          </cell>
          <cell r="D1137" t="str">
            <v>C</v>
          </cell>
          <cell r="E1137">
            <v>70409220</v>
          </cell>
          <cell r="H1137" t="str">
            <v>-</v>
          </cell>
          <cell r="I1137" t="str">
            <v>-</v>
          </cell>
          <cell r="K1137" t="str">
            <v>-</v>
          </cell>
          <cell r="L1137" t="str">
            <v>-</v>
          </cell>
          <cell r="N1137" t="str">
            <v>-</v>
          </cell>
          <cell r="O1137" t="str">
            <v>-</v>
          </cell>
          <cell r="Q1137" t="str">
            <v>-</v>
          </cell>
          <cell r="R1137" t="str">
            <v>-</v>
          </cell>
          <cell r="T1137" t="str">
            <v>-</v>
          </cell>
          <cell r="U1137" t="str">
            <v>-</v>
          </cell>
          <cell r="W1137" t="str">
            <v>-</v>
          </cell>
          <cell r="X1137" t="str">
            <v>-</v>
          </cell>
        </row>
        <row r="1138">
          <cell r="A1138">
            <v>72221130</v>
          </cell>
          <cell r="B1138">
            <v>1762</v>
          </cell>
          <cell r="C1138" t="str">
            <v>두건망둑</v>
          </cell>
          <cell r="D1138" t="str">
            <v>C</v>
          </cell>
          <cell r="E1138">
            <v>70409125</v>
          </cell>
          <cell r="H1138" t="str">
            <v>-</v>
          </cell>
          <cell r="I1138" t="str">
            <v>-</v>
          </cell>
          <cell r="K1138" t="str">
            <v>-</v>
          </cell>
          <cell r="L1138" t="str">
            <v>-</v>
          </cell>
          <cell r="N1138" t="str">
            <v>-</v>
          </cell>
          <cell r="O1138" t="str">
            <v>-</v>
          </cell>
          <cell r="Q1138" t="str">
            <v>-</v>
          </cell>
          <cell r="R1138" t="str">
            <v>-</v>
          </cell>
          <cell r="T1138" t="str">
            <v>-</v>
          </cell>
          <cell r="U1138" t="str">
            <v>-</v>
          </cell>
          <cell r="W1138" t="str">
            <v>-</v>
          </cell>
          <cell r="X1138" t="str">
            <v>-</v>
          </cell>
        </row>
        <row r="1139">
          <cell r="A1139">
            <v>72221131</v>
          </cell>
          <cell r="B1139">
            <v>1763</v>
          </cell>
          <cell r="C1139" t="str">
            <v>가숭어</v>
          </cell>
          <cell r="D1139" t="str">
            <v>B</v>
          </cell>
          <cell r="E1139">
            <v>70409002</v>
          </cell>
          <cell r="H1139" t="str">
            <v>-</v>
          </cell>
          <cell r="I1139" t="str">
            <v>-</v>
          </cell>
          <cell r="K1139" t="str">
            <v>-</v>
          </cell>
          <cell r="L1139" t="str">
            <v>-</v>
          </cell>
          <cell r="N1139" t="str">
            <v>-</v>
          </cell>
          <cell r="O1139" t="str">
            <v>-</v>
          </cell>
          <cell r="Q1139" t="str">
            <v>-</v>
          </cell>
          <cell r="R1139" t="str">
            <v>-</v>
          </cell>
          <cell r="T1139" t="str">
            <v>-</v>
          </cell>
          <cell r="U1139" t="str">
            <v>-</v>
          </cell>
          <cell r="W1139" t="str">
            <v>-</v>
          </cell>
          <cell r="X1139" t="str">
            <v>-</v>
          </cell>
        </row>
        <row r="1140">
          <cell r="A1140">
            <v>72221132</v>
          </cell>
          <cell r="B1140">
            <v>1763</v>
          </cell>
          <cell r="C1140" t="str">
            <v>까치상어</v>
          </cell>
          <cell r="D1140" t="str">
            <v>B</v>
          </cell>
          <cell r="E1140">
            <v>70409050</v>
          </cell>
          <cell r="H1140" t="str">
            <v>-</v>
          </cell>
          <cell r="I1140" t="str">
            <v>-</v>
          </cell>
          <cell r="K1140" t="str">
            <v>-</v>
          </cell>
          <cell r="L1140" t="str">
            <v>-</v>
          </cell>
          <cell r="N1140" t="str">
            <v>-</v>
          </cell>
          <cell r="O1140" t="str">
            <v>-</v>
          </cell>
          <cell r="Q1140" t="str">
            <v>-</v>
          </cell>
          <cell r="R1140" t="str">
            <v>-</v>
          </cell>
          <cell r="T1140" t="str">
            <v>-</v>
          </cell>
          <cell r="U1140" t="str">
            <v>-</v>
          </cell>
          <cell r="W1140" t="str">
            <v>-</v>
          </cell>
          <cell r="X1140" t="str">
            <v>-</v>
          </cell>
        </row>
        <row r="1141">
          <cell r="A1141">
            <v>72221133</v>
          </cell>
          <cell r="B1141">
            <v>1763</v>
          </cell>
          <cell r="C1141" t="str">
            <v>표범상어</v>
          </cell>
          <cell r="D1141" t="str">
            <v>S</v>
          </cell>
          <cell r="E1141">
            <v>70409377</v>
          </cell>
          <cell r="H1141" t="str">
            <v>-</v>
          </cell>
          <cell r="I1141" t="str">
            <v>-</v>
          </cell>
          <cell r="K1141" t="str">
            <v>-</v>
          </cell>
          <cell r="L1141" t="str">
            <v>-</v>
          </cell>
          <cell r="N1141" t="str">
            <v>-</v>
          </cell>
          <cell r="O1141" t="str">
            <v>-</v>
          </cell>
          <cell r="Q1141" t="str">
            <v>-</v>
          </cell>
          <cell r="R1141" t="str">
            <v>-</v>
          </cell>
          <cell r="T1141" t="str">
            <v>-</v>
          </cell>
          <cell r="U1141" t="str">
            <v>-</v>
          </cell>
          <cell r="W1141" t="str">
            <v>-</v>
          </cell>
          <cell r="X1141" t="str">
            <v>-</v>
          </cell>
        </row>
        <row r="1142">
          <cell r="A1142">
            <v>72221134</v>
          </cell>
          <cell r="B1142">
            <v>1763</v>
          </cell>
          <cell r="C1142" t="str">
            <v>붉벤자리</v>
          </cell>
          <cell r="D1142" t="str">
            <v>C</v>
          </cell>
          <cell r="E1142">
            <v>70409220</v>
          </cell>
          <cell r="H1142" t="str">
            <v>-</v>
          </cell>
          <cell r="I1142" t="str">
            <v>-</v>
          </cell>
          <cell r="K1142" t="str">
            <v>-</v>
          </cell>
          <cell r="L1142" t="str">
            <v>-</v>
          </cell>
          <cell r="N1142" t="str">
            <v>-</v>
          </cell>
          <cell r="O1142" t="str">
            <v>-</v>
          </cell>
          <cell r="Q1142" t="str">
            <v>-</v>
          </cell>
          <cell r="R1142" t="str">
            <v>-</v>
          </cell>
          <cell r="T1142" t="str">
            <v>-</v>
          </cell>
          <cell r="U1142" t="str">
            <v>-</v>
          </cell>
          <cell r="W1142" t="str">
            <v>-</v>
          </cell>
          <cell r="X1142" t="str">
            <v>-</v>
          </cell>
        </row>
        <row r="1143">
          <cell r="A1143">
            <v>72221135</v>
          </cell>
          <cell r="B1143">
            <v>1763</v>
          </cell>
          <cell r="C1143" t="str">
            <v>두건망둑</v>
          </cell>
          <cell r="D1143" t="str">
            <v>C</v>
          </cell>
          <cell r="E1143">
            <v>70409125</v>
          </cell>
          <cell r="H1143" t="str">
            <v>-</v>
          </cell>
          <cell r="I1143" t="str">
            <v>-</v>
          </cell>
          <cell r="K1143" t="str">
            <v>-</v>
          </cell>
          <cell r="L1143" t="str">
            <v>-</v>
          </cell>
          <cell r="N1143" t="str">
            <v>-</v>
          </cell>
          <cell r="O1143" t="str">
            <v>-</v>
          </cell>
          <cell r="Q1143" t="str">
            <v>-</v>
          </cell>
          <cell r="R1143" t="str">
            <v>-</v>
          </cell>
          <cell r="T1143" t="str">
            <v>-</v>
          </cell>
          <cell r="U1143" t="str">
            <v>-</v>
          </cell>
          <cell r="W1143" t="str">
            <v>-</v>
          </cell>
          <cell r="X1143" t="str">
            <v>-</v>
          </cell>
        </row>
        <row r="1144">
          <cell r="A1144">
            <v>72221136</v>
          </cell>
          <cell r="B1144">
            <v>1764</v>
          </cell>
          <cell r="C1144" t="str">
            <v>가숭어</v>
          </cell>
          <cell r="D1144" t="str">
            <v>B</v>
          </cell>
          <cell r="E1144">
            <v>70409002</v>
          </cell>
          <cell r="H1144" t="str">
            <v>-</v>
          </cell>
          <cell r="I1144" t="str">
            <v>-</v>
          </cell>
          <cell r="K1144" t="str">
            <v>-</v>
          </cell>
          <cell r="L1144" t="str">
            <v>-</v>
          </cell>
          <cell r="N1144" t="str">
            <v>-</v>
          </cell>
          <cell r="O1144" t="str">
            <v>-</v>
          </cell>
          <cell r="Q1144" t="str">
            <v>-</v>
          </cell>
          <cell r="R1144" t="str">
            <v>-</v>
          </cell>
          <cell r="T1144" t="str">
            <v>-</v>
          </cell>
          <cell r="U1144" t="str">
            <v>-</v>
          </cell>
          <cell r="W1144" t="str">
            <v>-</v>
          </cell>
          <cell r="X1144" t="str">
            <v>-</v>
          </cell>
        </row>
        <row r="1145">
          <cell r="A1145">
            <v>72221137</v>
          </cell>
          <cell r="B1145">
            <v>1764</v>
          </cell>
          <cell r="C1145" t="str">
            <v>까치상어</v>
          </cell>
          <cell r="D1145" t="str">
            <v>B</v>
          </cell>
          <cell r="E1145">
            <v>70409050</v>
          </cell>
          <cell r="H1145" t="str">
            <v>-</v>
          </cell>
          <cell r="I1145" t="str">
            <v>-</v>
          </cell>
          <cell r="K1145" t="str">
            <v>-</v>
          </cell>
          <cell r="L1145" t="str">
            <v>-</v>
          </cell>
          <cell r="N1145" t="str">
            <v>-</v>
          </cell>
          <cell r="O1145" t="str">
            <v>-</v>
          </cell>
          <cell r="Q1145" t="str">
            <v>-</v>
          </cell>
          <cell r="R1145" t="str">
            <v>-</v>
          </cell>
          <cell r="T1145" t="str">
            <v>-</v>
          </cell>
          <cell r="U1145" t="str">
            <v>-</v>
          </cell>
          <cell r="W1145" t="str">
            <v>-</v>
          </cell>
          <cell r="X1145" t="str">
            <v>-</v>
          </cell>
        </row>
        <row r="1146">
          <cell r="A1146">
            <v>72221138</v>
          </cell>
          <cell r="B1146">
            <v>1764</v>
          </cell>
          <cell r="C1146" t="str">
            <v>표범상어</v>
          </cell>
          <cell r="D1146" t="str">
            <v>S</v>
          </cell>
          <cell r="E1146">
            <v>70409377</v>
          </cell>
          <cell r="H1146" t="str">
            <v>-</v>
          </cell>
          <cell r="I1146" t="str">
            <v>-</v>
          </cell>
          <cell r="K1146" t="str">
            <v>-</v>
          </cell>
          <cell r="L1146" t="str">
            <v>-</v>
          </cell>
          <cell r="N1146" t="str">
            <v>-</v>
          </cell>
          <cell r="O1146" t="str">
            <v>-</v>
          </cell>
          <cell r="Q1146" t="str">
            <v>-</v>
          </cell>
          <cell r="R1146" t="str">
            <v>-</v>
          </cell>
          <cell r="T1146" t="str">
            <v>-</v>
          </cell>
          <cell r="U1146" t="str">
            <v>-</v>
          </cell>
          <cell r="W1146" t="str">
            <v>-</v>
          </cell>
          <cell r="X1146" t="str">
            <v>-</v>
          </cell>
        </row>
        <row r="1147">
          <cell r="A1147">
            <v>72221139</v>
          </cell>
          <cell r="B1147">
            <v>1764</v>
          </cell>
          <cell r="C1147" t="str">
            <v>붉벤자리</v>
          </cell>
          <cell r="D1147" t="str">
            <v>C</v>
          </cell>
          <cell r="E1147">
            <v>70409220</v>
          </cell>
          <cell r="H1147" t="str">
            <v>-</v>
          </cell>
          <cell r="I1147" t="str">
            <v>-</v>
          </cell>
          <cell r="K1147" t="str">
            <v>-</v>
          </cell>
          <cell r="L1147" t="str">
            <v>-</v>
          </cell>
          <cell r="N1147" t="str">
            <v>-</v>
          </cell>
          <cell r="O1147" t="str">
            <v>-</v>
          </cell>
          <cell r="Q1147" t="str">
            <v>-</v>
          </cell>
          <cell r="R1147" t="str">
            <v>-</v>
          </cell>
          <cell r="T1147" t="str">
            <v>-</v>
          </cell>
          <cell r="U1147" t="str">
            <v>-</v>
          </cell>
          <cell r="W1147" t="str">
            <v>-</v>
          </cell>
          <cell r="X1147" t="str">
            <v>-</v>
          </cell>
        </row>
        <row r="1148">
          <cell r="A1148">
            <v>72221140</v>
          </cell>
          <cell r="B1148">
            <v>1764</v>
          </cell>
          <cell r="C1148" t="str">
            <v>두건망둑</v>
          </cell>
          <cell r="D1148" t="str">
            <v>C</v>
          </cell>
          <cell r="E1148">
            <v>70409125</v>
          </cell>
          <cell r="H1148" t="str">
            <v>-</v>
          </cell>
          <cell r="I1148" t="str">
            <v>-</v>
          </cell>
          <cell r="K1148" t="str">
            <v>-</v>
          </cell>
          <cell r="L1148" t="str">
            <v>-</v>
          </cell>
          <cell r="N1148" t="str">
            <v>-</v>
          </cell>
          <cell r="O1148" t="str">
            <v>-</v>
          </cell>
          <cell r="Q1148" t="str">
            <v>-</v>
          </cell>
          <cell r="R1148" t="str">
            <v>-</v>
          </cell>
          <cell r="T1148" t="str">
            <v>-</v>
          </cell>
          <cell r="U1148" t="str">
            <v>-</v>
          </cell>
          <cell r="W1148" t="str">
            <v>-</v>
          </cell>
          <cell r="X1148" t="str">
            <v>-</v>
          </cell>
        </row>
        <row r="1149">
          <cell r="A1149">
            <v>72221141</v>
          </cell>
          <cell r="B1149">
            <v>1771</v>
          </cell>
          <cell r="C1149" t="str">
            <v>동갈양태</v>
          </cell>
          <cell r="D1149" t="str">
            <v>B</v>
          </cell>
          <cell r="E1149">
            <v>70409116</v>
          </cell>
          <cell r="H1149" t="str">
            <v>-</v>
          </cell>
          <cell r="I1149" t="str">
            <v>-</v>
          </cell>
          <cell r="K1149" t="str">
            <v>-</v>
          </cell>
          <cell r="L1149" t="str">
            <v>-</v>
          </cell>
          <cell r="N1149" t="str">
            <v>-</v>
          </cell>
          <cell r="O1149" t="str">
            <v>-</v>
          </cell>
          <cell r="Q1149" t="str">
            <v>-</v>
          </cell>
          <cell r="R1149" t="str">
            <v>-</v>
          </cell>
          <cell r="T1149" t="str">
            <v>-</v>
          </cell>
          <cell r="U1149" t="str">
            <v>-</v>
          </cell>
          <cell r="W1149" t="str">
            <v>-</v>
          </cell>
          <cell r="X1149" t="str">
            <v>-</v>
          </cell>
        </row>
        <row r="1150">
          <cell r="A1150">
            <v>72221142</v>
          </cell>
          <cell r="B1150">
            <v>1771</v>
          </cell>
          <cell r="C1150" t="str">
            <v>전어</v>
          </cell>
          <cell r="D1150" t="str">
            <v>B</v>
          </cell>
          <cell r="E1150">
            <v>70409314</v>
          </cell>
          <cell r="H1150" t="str">
            <v>-</v>
          </cell>
          <cell r="I1150" t="str">
            <v>-</v>
          </cell>
          <cell r="K1150" t="str">
            <v>-</v>
          </cell>
          <cell r="L1150" t="str">
            <v>-</v>
          </cell>
          <cell r="N1150" t="str">
            <v>-</v>
          </cell>
          <cell r="O1150" t="str">
            <v>-</v>
          </cell>
          <cell r="Q1150" t="str">
            <v>-</v>
          </cell>
          <cell r="R1150" t="str">
            <v>-</v>
          </cell>
          <cell r="T1150" t="str">
            <v>-</v>
          </cell>
          <cell r="U1150" t="str">
            <v>-</v>
          </cell>
          <cell r="W1150" t="str">
            <v>-</v>
          </cell>
          <cell r="X1150" t="str">
            <v>-</v>
          </cell>
        </row>
        <row r="1151">
          <cell r="A1151">
            <v>72221143</v>
          </cell>
          <cell r="B1151">
            <v>1771</v>
          </cell>
          <cell r="C1151" t="str">
            <v>톱상어</v>
          </cell>
          <cell r="D1151" t="str">
            <v>S</v>
          </cell>
          <cell r="E1151">
            <v>70409370</v>
          </cell>
          <cell r="H1151" t="str">
            <v>-</v>
          </cell>
          <cell r="I1151" t="str">
            <v>-</v>
          </cell>
          <cell r="K1151" t="str">
            <v>-</v>
          </cell>
          <cell r="L1151" t="str">
            <v>-</v>
          </cell>
          <cell r="N1151" t="str">
            <v>-</v>
          </cell>
          <cell r="O1151" t="str">
            <v>-</v>
          </cell>
          <cell r="Q1151" t="str">
            <v>-</v>
          </cell>
          <cell r="R1151" t="str">
            <v>-</v>
          </cell>
          <cell r="T1151" t="str">
            <v>-</v>
          </cell>
          <cell r="U1151" t="str">
            <v>-</v>
          </cell>
          <cell r="W1151" t="str">
            <v>-</v>
          </cell>
          <cell r="X1151" t="str">
            <v>-</v>
          </cell>
        </row>
        <row r="1152">
          <cell r="A1152">
            <v>72221144</v>
          </cell>
          <cell r="B1152">
            <v>1771</v>
          </cell>
          <cell r="C1152" t="str">
            <v>등가시치</v>
          </cell>
          <cell r="D1152" t="str">
            <v>C</v>
          </cell>
          <cell r="E1152">
            <v>70409133</v>
          </cell>
          <cell r="H1152" t="str">
            <v>-</v>
          </cell>
          <cell r="I1152" t="str">
            <v>-</v>
          </cell>
          <cell r="K1152" t="str">
            <v>-</v>
          </cell>
          <cell r="L1152" t="str">
            <v>-</v>
          </cell>
          <cell r="N1152" t="str">
            <v>-</v>
          </cell>
          <cell r="O1152" t="str">
            <v>-</v>
          </cell>
          <cell r="Q1152" t="str">
            <v>-</v>
          </cell>
          <cell r="R1152" t="str">
            <v>-</v>
          </cell>
          <cell r="T1152" t="str">
            <v>-</v>
          </cell>
          <cell r="U1152" t="str">
            <v>-</v>
          </cell>
          <cell r="W1152" t="str">
            <v>-</v>
          </cell>
          <cell r="X1152" t="str">
            <v>-</v>
          </cell>
        </row>
        <row r="1153">
          <cell r="A1153">
            <v>72221145</v>
          </cell>
          <cell r="B1153">
            <v>1771</v>
          </cell>
          <cell r="C1153" t="str">
            <v>자붉돔</v>
          </cell>
          <cell r="D1153" t="str">
            <v>D</v>
          </cell>
          <cell r="E1153">
            <v>70409308</v>
          </cell>
          <cell r="H1153" t="str">
            <v>-</v>
          </cell>
          <cell r="I1153" t="str">
            <v>-</v>
          </cell>
          <cell r="K1153" t="str">
            <v>-</v>
          </cell>
          <cell r="L1153" t="str">
            <v>-</v>
          </cell>
          <cell r="N1153" t="str">
            <v>-</v>
          </cell>
          <cell r="O1153" t="str">
            <v>-</v>
          </cell>
          <cell r="Q1153" t="str">
            <v>-</v>
          </cell>
          <cell r="R1153" t="str">
            <v>-</v>
          </cell>
          <cell r="T1153" t="str">
            <v>-</v>
          </cell>
          <cell r="U1153" t="str">
            <v>-</v>
          </cell>
          <cell r="W1153" t="str">
            <v>-</v>
          </cell>
          <cell r="X1153" t="str">
            <v>-</v>
          </cell>
        </row>
        <row r="1154">
          <cell r="A1154">
            <v>72221146</v>
          </cell>
          <cell r="B1154">
            <v>1771</v>
          </cell>
          <cell r="C1154" t="str">
            <v>노랑촉수</v>
          </cell>
          <cell r="D1154" t="str">
            <v>B</v>
          </cell>
          <cell r="E1154">
            <v>70409082</v>
          </cell>
          <cell r="H1154" t="str">
            <v>-</v>
          </cell>
          <cell r="I1154" t="str">
            <v>-</v>
          </cell>
          <cell r="K1154" t="str">
            <v>-</v>
          </cell>
          <cell r="L1154" t="str">
            <v>-</v>
          </cell>
          <cell r="N1154" t="str">
            <v>-</v>
          </cell>
          <cell r="O1154" t="str">
            <v>-</v>
          </cell>
          <cell r="Q1154" t="str">
            <v>-</v>
          </cell>
          <cell r="R1154" t="str">
            <v>-</v>
          </cell>
          <cell r="T1154" t="str">
            <v>-</v>
          </cell>
          <cell r="U1154" t="str">
            <v>-</v>
          </cell>
          <cell r="W1154" t="str">
            <v>-</v>
          </cell>
          <cell r="X1154" t="str">
            <v>-</v>
          </cell>
        </row>
        <row r="1155">
          <cell r="A1155">
            <v>72221147</v>
          </cell>
          <cell r="B1155">
            <v>1772</v>
          </cell>
          <cell r="C1155" t="str">
            <v>동갈양태</v>
          </cell>
          <cell r="D1155" t="str">
            <v>B</v>
          </cell>
          <cell r="E1155">
            <v>70409116</v>
          </cell>
          <cell r="H1155" t="str">
            <v>-</v>
          </cell>
          <cell r="I1155" t="str">
            <v>-</v>
          </cell>
          <cell r="K1155" t="str">
            <v>-</v>
          </cell>
          <cell r="L1155" t="str">
            <v>-</v>
          </cell>
          <cell r="N1155" t="str">
            <v>-</v>
          </cell>
          <cell r="O1155" t="str">
            <v>-</v>
          </cell>
          <cell r="Q1155" t="str">
            <v>-</v>
          </cell>
          <cell r="R1155" t="str">
            <v>-</v>
          </cell>
          <cell r="T1155" t="str">
            <v>-</v>
          </cell>
          <cell r="U1155" t="str">
            <v>-</v>
          </cell>
          <cell r="W1155" t="str">
            <v>-</v>
          </cell>
          <cell r="X1155" t="str">
            <v>-</v>
          </cell>
        </row>
        <row r="1156">
          <cell r="A1156">
            <v>72221148</v>
          </cell>
          <cell r="B1156">
            <v>1772</v>
          </cell>
          <cell r="C1156" t="str">
            <v>전어</v>
          </cell>
          <cell r="D1156" t="str">
            <v>B</v>
          </cell>
          <cell r="E1156">
            <v>70409314</v>
          </cell>
          <cell r="H1156" t="str">
            <v>-</v>
          </cell>
          <cell r="I1156" t="str">
            <v>-</v>
          </cell>
          <cell r="K1156" t="str">
            <v>-</v>
          </cell>
          <cell r="L1156" t="str">
            <v>-</v>
          </cell>
          <cell r="N1156" t="str">
            <v>-</v>
          </cell>
          <cell r="O1156" t="str">
            <v>-</v>
          </cell>
          <cell r="Q1156" t="str">
            <v>-</v>
          </cell>
          <cell r="R1156" t="str">
            <v>-</v>
          </cell>
          <cell r="T1156" t="str">
            <v>-</v>
          </cell>
          <cell r="U1156" t="str">
            <v>-</v>
          </cell>
          <cell r="W1156" t="str">
            <v>-</v>
          </cell>
          <cell r="X1156" t="str">
            <v>-</v>
          </cell>
        </row>
        <row r="1157">
          <cell r="A1157">
            <v>72221149</v>
          </cell>
          <cell r="B1157">
            <v>1772</v>
          </cell>
          <cell r="C1157" t="str">
            <v>톱상어</v>
          </cell>
          <cell r="D1157" t="str">
            <v>S</v>
          </cell>
          <cell r="E1157">
            <v>70409370</v>
          </cell>
          <cell r="H1157" t="str">
            <v>-</v>
          </cell>
          <cell r="I1157" t="str">
            <v>-</v>
          </cell>
          <cell r="K1157" t="str">
            <v>-</v>
          </cell>
          <cell r="L1157" t="str">
            <v>-</v>
          </cell>
          <cell r="N1157" t="str">
            <v>-</v>
          </cell>
          <cell r="O1157" t="str">
            <v>-</v>
          </cell>
          <cell r="Q1157" t="str">
            <v>-</v>
          </cell>
          <cell r="R1157" t="str">
            <v>-</v>
          </cell>
          <cell r="T1157" t="str">
            <v>-</v>
          </cell>
          <cell r="U1157" t="str">
            <v>-</v>
          </cell>
          <cell r="W1157" t="str">
            <v>-</v>
          </cell>
          <cell r="X1157" t="str">
            <v>-</v>
          </cell>
        </row>
        <row r="1158">
          <cell r="A1158">
            <v>72221150</v>
          </cell>
          <cell r="B1158">
            <v>1772</v>
          </cell>
          <cell r="C1158" t="str">
            <v>등가시치</v>
          </cell>
          <cell r="D1158" t="str">
            <v>C</v>
          </cell>
          <cell r="E1158">
            <v>70409133</v>
          </cell>
          <cell r="H1158" t="str">
            <v>-</v>
          </cell>
          <cell r="I1158" t="str">
            <v>-</v>
          </cell>
          <cell r="K1158" t="str">
            <v>-</v>
          </cell>
          <cell r="L1158" t="str">
            <v>-</v>
          </cell>
          <cell r="N1158" t="str">
            <v>-</v>
          </cell>
          <cell r="O1158" t="str">
            <v>-</v>
          </cell>
          <cell r="Q1158" t="str">
            <v>-</v>
          </cell>
          <cell r="R1158" t="str">
            <v>-</v>
          </cell>
          <cell r="T1158" t="str">
            <v>-</v>
          </cell>
          <cell r="U1158" t="str">
            <v>-</v>
          </cell>
          <cell r="W1158" t="str">
            <v>-</v>
          </cell>
          <cell r="X1158" t="str">
            <v>-</v>
          </cell>
        </row>
        <row r="1159">
          <cell r="A1159">
            <v>72221151</v>
          </cell>
          <cell r="B1159">
            <v>1772</v>
          </cell>
          <cell r="C1159" t="str">
            <v>자붉돔</v>
          </cell>
          <cell r="D1159" t="str">
            <v>D</v>
          </cell>
          <cell r="E1159">
            <v>70409308</v>
          </cell>
          <cell r="H1159" t="str">
            <v>-</v>
          </cell>
          <cell r="I1159" t="str">
            <v>-</v>
          </cell>
          <cell r="K1159" t="str">
            <v>-</v>
          </cell>
          <cell r="L1159" t="str">
            <v>-</v>
          </cell>
          <cell r="N1159" t="str">
            <v>-</v>
          </cell>
          <cell r="O1159" t="str">
            <v>-</v>
          </cell>
          <cell r="Q1159" t="str">
            <v>-</v>
          </cell>
          <cell r="R1159" t="str">
            <v>-</v>
          </cell>
          <cell r="T1159" t="str">
            <v>-</v>
          </cell>
          <cell r="U1159" t="str">
            <v>-</v>
          </cell>
          <cell r="W1159" t="str">
            <v>-</v>
          </cell>
          <cell r="X1159" t="str">
            <v>-</v>
          </cell>
        </row>
        <row r="1160">
          <cell r="A1160">
            <v>72221152</v>
          </cell>
          <cell r="B1160">
            <v>1772</v>
          </cell>
          <cell r="C1160" t="str">
            <v>노랑촉수</v>
          </cell>
          <cell r="D1160" t="str">
            <v>B</v>
          </cell>
          <cell r="E1160">
            <v>70409082</v>
          </cell>
          <cell r="H1160" t="str">
            <v>-</v>
          </cell>
          <cell r="I1160" t="str">
            <v>-</v>
          </cell>
          <cell r="K1160" t="str">
            <v>-</v>
          </cell>
          <cell r="L1160" t="str">
            <v>-</v>
          </cell>
          <cell r="N1160" t="str">
            <v>-</v>
          </cell>
          <cell r="O1160" t="str">
            <v>-</v>
          </cell>
          <cell r="Q1160" t="str">
            <v>-</v>
          </cell>
          <cell r="R1160" t="str">
            <v>-</v>
          </cell>
          <cell r="T1160" t="str">
            <v>-</v>
          </cell>
          <cell r="U1160" t="str">
            <v>-</v>
          </cell>
          <cell r="W1160" t="str">
            <v>-</v>
          </cell>
          <cell r="X1160" t="str">
            <v>-</v>
          </cell>
        </row>
        <row r="1161">
          <cell r="A1161">
            <v>72221153</v>
          </cell>
          <cell r="B1161">
            <v>1773</v>
          </cell>
          <cell r="C1161" t="str">
            <v>동갈양태</v>
          </cell>
          <cell r="D1161" t="str">
            <v>B</v>
          </cell>
          <cell r="E1161">
            <v>70409116</v>
          </cell>
          <cell r="H1161" t="str">
            <v>-</v>
          </cell>
          <cell r="I1161" t="str">
            <v>-</v>
          </cell>
          <cell r="K1161" t="str">
            <v>-</v>
          </cell>
          <cell r="L1161" t="str">
            <v>-</v>
          </cell>
          <cell r="N1161" t="str">
            <v>-</v>
          </cell>
          <cell r="O1161" t="str">
            <v>-</v>
          </cell>
          <cell r="Q1161" t="str">
            <v>-</v>
          </cell>
          <cell r="R1161" t="str">
            <v>-</v>
          </cell>
          <cell r="T1161" t="str">
            <v>-</v>
          </cell>
          <cell r="U1161" t="str">
            <v>-</v>
          </cell>
          <cell r="W1161" t="str">
            <v>-</v>
          </cell>
          <cell r="X1161" t="str">
            <v>-</v>
          </cell>
        </row>
        <row r="1162">
          <cell r="A1162">
            <v>72221154</v>
          </cell>
          <cell r="B1162">
            <v>1773</v>
          </cell>
          <cell r="C1162" t="str">
            <v>전어</v>
          </cell>
          <cell r="D1162" t="str">
            <v>B</v>
          </cell>
          <cell r="E1162">
            <v>70409314</v>
          </cell>
          <cell r="H1162" t="str">
            <v>-</v>
          </cell>
          <cell r="I1162" t="str">
            <v>-</v>
          </cell>
          <cell r="K1162" t="str">
            <v>-</v>
          </cell>
          <cell r="L1162" t="str">
            <v>-</v>
          </cell>
          <cell r="N1162" t="str">
            <v>-</v>
          </cell>
          <cell r="O1162" t="str">
            <v>-</v>
          </cell>
          <cell r="Q1162" t="str">
            <v>-</v>
          </cell>
          <cell r="R1162" t="str">
            <v>-</v>
          </cell>
          <cell r="T1162" t="str">
            <v>-</v>
          </cell>
          <cell r="U1162" t="str">
            <v>-</v>
          </cell>
          <cell r="W1162" t="str">
            <v>-</v>
          </cell>
          <cell r="X1162" t="str">
            <v>-</v>
          </cell>
        </row>
        <row r="1163">
          <cell r="A1163">
            <v>72221155</v>
          </cell>
          <cell r="B1163">
            <v>1773</v>
          </cell>
          <cell r="C1163" t="str">
            <v>톱상어</v>
          </cell>
          <cell r="D1163" t="str">
            <v>S</v>
          </cell>
          <cell r="E1163">
            <v>70409370</v>
          </cell>
          <cell r="H1163" t="str">
            <v>-</v>
          </cell>
          <cell r="I1163" t="str">
            <v>-</v>
          </cell>
          <cell r="K1163" t="str">
            <v>-</v>
          </cell>
          <cell r="L1163" t="str">
            <v>-</v>
          </cell>
          <cell r="N1163" t="str">
            <v>-</v>
          </cell>
          <cell r="O1163" t="str">
            <v>-</v>
          </cell>
          <cell r="Q1163" t="str">
            <v>-</v>
          </cell>
          <cell r="R1163" t="str">
            <v>-</v>
          </cell>
          <cell r="T1163" t="str">
            <v>-</v>
          </cell>
          <cell r="U1163" t="str">
            <v>-</v>
          </cell>
          <cell r="W1163" t="str">
            <v>-</v>
          </cell>
          <cell r="X1163" t="str">
            <v>-</v>
          </cell>
        </row>
        <row r="1164">
          <cell r="A1164">
            <v>72221156</v>
          </cell>
          <cell r="B1164">
            <v>1773</v>
          </cell>
          <cell r="C1164" t="str">
            <v>등가시치</v>
          </cell>
          <cell r="D1164" t="str">
            <v>C</v>
          </cell>
          <cell r="E1164">
            <v>70409133</v>
          </cell>
          <cell r="H1164" t="str">
            <v>-</v>
          </cell>
          <cell r="I1164" t="str">
            <v>-</v>
          </cell>
          <cell r="K1164" t="str">
            <v>-</v>
          </cell>
          <cell r="L1164" t="str">
            <v>-</v>
          </cell>
          <cell r="N1164" t="str">
            <v>-</v>
          </cell>
          <cell r="O1164" t="str">
            <v>-</v>
          </cell>
          <cell r="Q1164" t="str">
            <v>-</v>
          </cell>
          <cell r="R1164" t="str">
            <v>-</v>
          </cell>
          <cell r="T1164" t="str">
            <v>-</v>
          </cell>
          <cell r="U1164" t="str">
            <v>-</v>
          </cell>
          <cell r="W1164" t="str">
            <v>-</v>
          </cell>
          <cell r="X1164" t="str">
            <v>-</v>
          </cell>
        </row>
        <row r="1165">
          <cell r="A1165">
            <v>72221157</v>
          </cell>
          <cell r="B1165">
            <v>1773</v>
          </cell>
          <cell r="C1165" t="str">
            <v>자붉돔</v>
          </cell>
          <cell r="D1165" t="str">
            <v>D</v>
          </cell>
          <cell r="E1165">
            <v>70409308</v>
          </cell>
          <cell r="H1165" t="str">
            <v>-</v>
          </cell>
          <cell r="I1165" t="str">
            <v>-</v>
          </cell>
          <cell r="K1165" t="str">
            <v>-</v>
          </cell>
          <cell r="L1165" t="str">
            <v>-</v>
          </cell>
          <cell r="N1165" t="str">
            <v>-</v>
          </cell>
          <cell r="O1165" t="str">
            <v>-</v>
          </cell>
          <cell r="Q1165" t="str">
            <v>-</v>
          </cell>
          <cell r="R1165" t="str">
            <v>-</v>
          </cell>
          <cell r="T1165" t="str">
            <v>-</v>
          </cell>
          <cell r="U1165" t="str">
            <v>-</v>
          </cell>
          <cell r="W1165" t="str">
            <v>-</v>
          </cell>
          <cell r="X1165" t="str">
            <v>-</v>
          </cell>
        </row>
        <row r="1166">
          <cell r="A1166">
            <v>72221158</v>
          </cell>
          <cell r="B1166">
            <v>1773</v>
          </cell>
          <cell r="C1166" t="str">
            <v>노랑촉수</v>
          </cell>
          <cell r="D1166" t="str">
            <v>B</v>
          </cell>
          <cell r="E1166">
            <v>70409082</v>
          </cell>
          <cell r="H1166" t="str">
            <v>-</v>
          </cell>
          <cell r="I1166" t="str">
            <v>-</v>
          </cell>
          <cell r="K1166" t="str">
            <v>-</v>
          </cell>
          <cell r="L1166" t="str">
            <v>-</v>
          </cell>
          <cell r="N1166" t="str">
            <v>-</v>
          </cell>
          <cell r="O1166" t="str">
            <v>-</v>
          </cell>
          <cell r="Q1166" t="str">
            <v>-</v>
          </cell>
          <cell r="R1166" t="str">
            <v>-</v>
          </cell>
          <cell r="T1166" t="str">
            <v>-</v>
          </cell>
          <cell r="U1166" t="str">
            <v>-</v>
          </cell>
          <cell r="W1166" t="str">
            <v>-</v>
          </cell>
          <cell r="X1166" t="str">
            <v>-</v>
          </cell>
        </row>
        <row r="1167">
          <cell r="A1167">
            <v>72221159</v>
          </cell>
          <cell r="B1167">
            <v>1774</v>
          </cell>
          <cell r="C1167" t="str">
            <v>동갈양태</v>
          </cell>
          <cell r="D1167" t="str">
            <v>B</v>
          </cell>
          <cell r="E1167">
            <v>70409116</v>
          </cell>
          <cell r="H1167" t="str">
            <v>-</v>
          </cell>
          <cell r="I1167" t="str">
            <v>-</v>
          </cell>
          <cell r="K1167" t="str">
            <v>-</v>
          </cell>
          <cell r="L1167" t="str">
            <v>-</v>
          </cell>
          <cell r="N1167" t="str">
            <v>-</v>
          </cell>
          <cell r="O1167" t="str">
            <v>-</v>
          </cell>
          <cell r="Q1167" t="str">
            <v>-</v>
          </cell>
          <cell r="R1167" t="str">
            <v>-</v>
          </cell>
          <cell r="T1167" t="str">
            <v>-</v>
          </cell>
          <cell r="U1167" t="str">
            <v>-</v>
          </cell>
          <cell r="W1167" t="str">
            <v>-</v>
          </cell>
          <cell r="X1167" t="str">
            <v>-</v>
          </cell>
        </row>
        <row r="1168">
          <cell r="A1168">
            <v>72221160</v>
          </cell>
          <cell r="B1168">
            <v>1774</v>
          </cell>
          <cell r="C1168" t="str">
            <v>전어</v>
          </cell>
          <cell r="D1168" t="str">
            <v>B</v>
          </cell>
          <cell r="E1168">
            <v>70409314</v>
          </cell>
          <cell r="H1168" t="str">
            <v>-</v>
          </cell>
          <cell r="I1168" t="str">
            <v>-</v>
          </cell>
          <cell r="K1168" t="str">
            <v>-</v>
          </cell>
          <cell r="L1168" t="str">
            <v>-</v>
          </cell>
          <cell r="N1168" t="str">
            <v>-</v>
          </cell>
          <cell r="O1168" t="str">
            <v>-</v>
          </cell>
          <cell r="Q1168" t="str">
            <v>-</v>
          </cell>
          <cell r="R1168" t="str">
            <v>-</v>
          </cell>
          <cell r="T1168" t="str">
            <v>-</v>
          </cell>
          <cell r="U1168" t="str">
            <v>-</v>
          </cell>
          <cell r="W1168" t="str">
            <v>-</v>
          </cell>
          <cell r="X1168" t="str">
            <v>-</v>
          </cell>
        </row>
        <row r="1169">
          <cell r="A1169">
            <v>72221161</v>
          </cell>
          <cell r="B1169">
            <v>1774</v>
          </cell>
          <cell r="C1169" t="str">
            <v>톱상어</v>
          </cell>
          <cell r="D1169" t="str">
            <v>S</v>
          </cell>
          <cell r="E1169">
            <v>70409370</v>
          </cell>
          <cell r="H1169" t="str">
            <v>-</v>
          </cell>
          <cell r="I1169" t="str">
            <v>-</v>
          </cell>
          <cell r="K1169" t="str">
            <v>-</v>
          </cell>
          <cell r="L1169" t="str">
            <v>-</v>
          </cell>
          <cell r="N1169" t="str">
            <v>-</v>
          </cell>
          <cell r="O1169" t="str">
            <v>-</v>
          </cell>
          <cell r="Q1169" t="str">
            <v>-</v>
          </cell>
          <cell r="R1169" t="str">
            <v>-</v>
          </cell>
          <cell r="T1169" t="str">
            <v>-</v>
          </cell>
          <cell r="U1169" t="str">
            <v>-</v>
          </cell>
          <cell r="W1169" t="str">
            <v>-</v>
          </cell>
          <cell r="X1169" t="str">
            <v>-</v>
          </cell>
        </row>
        <row r="1170">
          <cell r="A1170">
            <v>72221162</v>
          </cell>
          <cell r="B1170">
            <v>1774</v>
          </cell>
          <cell r="C1170" t="str">
            <v>등가시치</v>
          </cell>
          <cell r="D1170" t="str">
            <v>C</v>
          </cell>
          <cell r="E1170">
            <v>70409133</v>
          </cell>
          <cell r="H1170" t="str">
            <v>-</v>
          </cell>
          <cell r="I1170" t="str">
            <v>-</v>
          </cell>
          <cell r="K1170" t="str">
            <v>-</v>
          </cell>
          <cell r="L1170" t="str">
            <v>-</v>
          </cell>
          <cell r="N1170" t="str">
            <v>-</v>
          </cell>
          <cell r="O1170" t="str">
            <v>-</v>
          </cell>
          <cell r="Q1170" t="str">
            <v>-</v>
          </cell>
          <cell r="R1170" t="str">
            <v>-</v>
          </cell>
          <cell r="T1170" t="str">
            <v>-</v>
          </cell>
          <cell r="U1170" t="str">
            <v>-</v>
          </cell>
          <cell r="W1170" t="str">
            <v>-</v>
          </cell>
          <cell r="X1170" t="str">
            <v>-</v>
          </cell>
        </row>
        <row r="1171">
          <cell r="A1171">
            <v>72221163</v>
          </cell>
          <cell r="B1171">
            <v>1774</v>
          </cell>
          <cell r="C1171" t="str">
            <v>자붉돔</v>
          </cell>
          <cell r="D1171" t="str">
            <v>D</v>
          </cell>
          <cell r="E1171">
            <v>70409308</v>
          </cell>
          <cell r="H1171" t="str">
            <v>-</v>
          </cell>
          <cell r="I1171" t="str">
            <v>-</v>
          </cell>
          <cell r="K1171" t="str">
            <v>-</v>
          </cell>
          <cell r="L1171" t="str">
            <v>-</v>
          </cell>
          <cell r="N1171" t="str">
            <v>-</v>
          </cell>
          <cell r="O1171" t="str">
            <v>-</v>
          </cell>
          <cell r="Q1171" t="str">
            <v>-</v>
          </cell>
          <cell r="R1171" t="str">
            <v>-</v>
          </cell>
          <cell r="T1171" t="str">
            <v>-</v>
          </cell>
          <cell r="U1171" t="str">
            <v>-</v>
          </cell>
          <cell r="W1171" t="str">
            <v>-</v>
          </cell>
          <cell r="X1171" t="str">
            <v>-</v>
          </cell>
        </row>
        <row r="1172">
          <cell r="A1172">
            <v>72221164</v>
          </cell>
          <cell r="B1172">
            <v>1774</v>
          </cell>
          <cell r="C1172" t="str">
            <v>노랑촉수</v>
          </cell>
          <cell r="D1172" t="str">
            <v>B</v>
          </cell>
          <cell r="E1172">
            <v>70409082</v>
          </cell>
          <cell r="H1172" t="str">
            <v>-</v>
          </cell>
          <cell r="I1172" t="str">
            <v>-</v>
          </cell>
          <cell r="K1172" t="str">
            <v>-</v>
          </cell>
          <cell r="L1172" t="str">
            <v>-</v>
          </cell>
          <cell r="N1172" t="str">
            <v>-</v>
          </cell>
          <cell r="O1172" t="str">
            <v>-</v>
          </cell>
          <cell r="Q1172" t="str">
            <v>-</v>
          </cell>
          <cell r="R1172" t="str">
            <v>-</v>
          </cell>
          <cell r="T1172" t="str">
            <v>-</v>
          </cell>
          <cell r="U1172" t="str">
            <v>-</v>
          </cell>
          <cell r="W1172" t="str">
            <v>-</v>
          </cell>
          <cell r="X1172" t="str">
            <v>-</v>
          </cell>
        </row>
        <row r="1173">
          <cell r="A1173">
            <v>72221165</v>
          </cell>
          <cell r="B1173">
            <v>1781</v>
          </cell>
          <cell r="C1173" t="str">
            <v>수염상어</v>
          </cell>
          <cell r="D1173" t="str">
            <v>S</v>
          </cell>
          <cell r="E1173">
            <v>70409257</v>
          </cell>
          <cell r="H1173" t="str">
            <v>-</v>
          </cell>
          <cell r="I1173" t="str">
            <v>-</v>
          </cell>
          <cell r="K1173" t="str">
            <v>-</v>
          </cell>
          <cell r="L1173" t="str">
            <v>-</v>
          </cell>
          <cell r="N1173" t="str">
            <v>-</v>
          </cell>
          <cell r="O1173" t="str">
            <v>-</v>
          </cell>
          <cell r="Q1173" t="str">
            <v>-</v>
          </cell>
          <cell r="R1173" t="str">
            <v>-</v>
          </cell>
          <cell r="T1173" t="str">
            <v>-</v>
          </cell>
          <cell r="U1173" t="str">
            <v>-</v>
          </cell>
          <cell r="W1173" t="str">
            <v>-</v>
          </cell>
          <cell r="X1173" t="str">
            <v>-</v>
          </cell>
        </row>
        <row r="1174">
          <cell r="A1174">
            <v>72221166</v>
          </cell>
          <cell r="B1174">
            <v>1781</v>
          </cell>
          <cell r="C1174" t="str">
            <v>놀락감펭</v>
          </cell>
          <cell r="D1174" t="str">
            <v>A</v>
          </cell>
          <cell r="E1174">
            <v>70409086</v>
          </cell>
          <cell r="H1174" t="str">
            <v>-</v>
          </cell>
          <cell r="I1174" t="str">
            <v>-</v>
          </cell>
          <cell r="K1174" t="str">
            <v>-</v>
          </cell>
          <cell r="L1174" t="str">
            <v>-</v>
          </cell>
          <cell r="N1174" t="str">
            <v>-</v>
          </cell>
          <cell r="O1174" t="str">
            <v>-</v>
          </cell>
          <cell r="Q1174" t="str">
            <v>-</v>
          </cell>
          <cell r="R1174" t="str">
            <v>-</v>
          </cell>
          <cell r="T1174" t="str">
            <v>-</v>
          </cell>
          <cell r="U1174" t="str">
            <v>-</v>
          </cell>
          <cell r="W1174" t="str">
            <v>-</v>
          </cell>
          <cell r="X1174" t="str">
            <v>-</v>
          </cell>
        </row>
        <row r="1175">
          <cell r="A1175">
            <v>72221167</v>
          </cell>
          <cell r="B1175">
            <v>1781</v>
          </cell>
          <cell r="C1175" t="str">
            <v>황줄깜정이</v>
          </cell>
          <cell r="D1175" t="str">
            <v>B</v>
          </cell>
          <cell r="E1175">
            <v>70409406</v>
          </cell>
          <cell r="H1175" t="str">
            <v>-</v>
          </cell>
          <cell r="I1175" t="str">
            <v>-</v>
          </cell>
          <cell r="K1175" t="str">
            <v>-</v>
          </cell>
          <cell r="L1175" t="str">
            <v>-</v>
          </cell>
          <cell r="N1175" t="str">
            <v>-</v>
          </cell>
          <cell r="O1175" t="str">
            <v>-</v>
          </cell>
          <cell r="Q1175" t="str">
            <v>-</v>
          </cell>
          <cell r="R1175" t="str">
            <v>-</v>
          </cell>
          <cell r="T1175" t="str">
            <v>-</v>
          </cell>
          <cell r="U1175" t="str">
            <v>-</v>
          </cell>
          <cell r="W1175" t="str">
            <v>-</v>
          </cell>
          <cell r="X1175" t="str">
            <v>-</v>
          </cell>
        </row>
        <row r="1176">
          <cell r="A1176">
            <v>72221168</v>
          </cell>
          <cell r="B1176">
            <v>1781</v>
          </cell>
          <cell r="C1176" t="str">
            <v>적투어</v>
          </cell>
          <cell r="D1176" t="str">
            <v>D</v>
          </cell>
          <cell r="E1176">
            <v>70409310</v>
          </cell>
          <cell r="H1176" t="str">
            <v>-</v>
          </cell>
          <cell r="I1176" t="str">
            <v>-</v>
          </cell>
          <cell r="K1176" t="str">
            <v>-</v>
          </cell>
          <cell r="L1176" t="str">
            <v>-</v>
          </cell>
          <cell r="N1176" t="str">
            <v>-</v>
          </cell>
          <cell r="O1176" t="str">
            <v>-</v>
          </cell>
          <cell r="Q1176" t="str">
            <v>-</v>
          </cell>
          <cell r="R1176" t="str">
            <v>-</v>
          </cell>
          <cell r="T1176" t="str">
            <v>-</v>
          </cell>
          <cell r="U1176" t="str">
            <v>-</v>
          </cell>
          <cell r="W1176" t="str">
            <v>-</v>
          </cell>
          <cell r="X1176" t="str">
            <v>-</v>
          </cell>
        </row>
        <row r="1177">
          <cell r="A1177">
            <v>72221169</v>
          </cell>
          <cell r="B1177">
            <v>1781</v>
          </cell>
          <cell r="C1177" t="str">
            <v>날치</v>
          </cell>
          <cell r="D1177" t="str">
            <v>C</v>
          </cell>
          <cell r="E1177">
            <v>70409069</v>
          </cell>
          <cell r="H1177" t="str">
            <v>-</v>
          </cell>
          <cell r="I1177" t="str">
            <v>-</v>
          </cell>
          <cell r="K1177" t="str">
            <v>-</v>
          </cell>
          <cell r="L1177" t="str">
            <v>-</v>
          </cell>
          <cell r="N1177" t="str">
            <v>-</v>
          </cell>
          <cell r="O1177" t="str">
            <v>-</v>
          </cell>
          <cell r="Q1177" t="str">
            <v>-</v>
          </cell>
          <cell r="R1177" t="str">
            <v>-</v>
          </cell>
          <cell r="T1177" t="str">
            <v>-</v>
          </cell>
          <cell r="U1177" t="str">
            <v>-</v>
          </cell>
          <cell r="W1177" t="str">
            <v>-</v>
          </cell>
          <cell r="X1177" t="str">
            <v>-</v>
          </cell>
        </row>
        <row r="1178">
          <cell r="A1178">
            <v>72221170</v>
          </cell>
          <cell r="B1178">
            <v>1781</v>
          </cell>
          <cell r="C1178" t="str">
            <v>얼비늘치</v>
          </cell>
          <cell r="D1178" t="str">
            <v>S</v>
          </cell>
          <cell r="E1178">
            <v>70409287</v>
          </cell>
          <cell r="H1178" t="str">
            <v>-</v>
          </cell>
          <cell r="I1178" t="str">
            <v>-</v>
          </cell>
          <cell r="K1178" t="str">
            <v>-</v>
          </cell>
          <cell r="L1178" t="str">
            <v>-</v>
          </cell>
          <cell r="N1178" t="str">
            <v>-</v>
          </cell>
          <cell r="O1178" t="str">
            <v>-</v>
          </cell>
          <cell r="Q1178" t="str">
            <v>-</v>
          </cell>
          <cell r="R1178" t="str">
            <v>-</v>
          </cell>
          <cell r="T1178" t="str">
            <v>-</v>
          </cell>
          <cell r="U1178" t="str">
            <v>-</v>
          </cell>
          <cell r="W1178" t="str">
            <v>-</v>
          </cell>
          <cell r="X1178" t="str">
            <v>-</v>
          </cell>
        </row>
        <row r="1179">
          <cell r="A1179">
            <v>72221171</v>
          </cell>
          <cell r="B1179">
            <v>1781</v>
          </cell>
          <cell r="C1179" t="str">
            <v>어름돔</v>
          </cell>
          <cell r="D1179" t="str">
            <v>D</v>
          </cell>
          <cell r="E1179">
            <v>70409285</v>
          </cell>
          <cell r="H1179" t="str">
            <v>-</v>
          </cell>
          <cell r="I1179" t="str">
            <v>-</v>
          </cell>
          <cell r="K1179" t="str">
            <v>-</v>
          </cell>
          <cell r="L1179" t="str">
            <v>-</v>
          </cell>
          <cell r="N1179" t="str">
            <v>-</v>
          </cell>
          <cell r="O1179" t="str">
            <v>-</v>
          </cell>
          <cell r="Q1179" t="str">
            <v>-</v>
          </cell>
          <cell r="R1179" t="str">
            <v>-</v>
          </cell>
          <cell r="T1179" t="str">
            <v>-</v>
          </cell>
          <cell r="U1179" t="str">
            <v>-</v>
          </cell>
          <cell r="W1179" t="str">
            <v>-</v>
          </cell>
          <cell r="X1179" t="str">
            <v>-</v>
          </cell>
        </row>
        <row r="1180">
          <cell r="A1180">
            <v>72221172</v>
          </cell>
          <cell r="B1180">
            <v>1782</v>
          </cell>
          <cell r="C1180" t="str">
            <v>수염상어</v>
          </cell>
          <cell r="D1180" t="str">
            <v>S</v>
          </cell>
          <cell r="E1180">
            <v>70409257</v>
          </cell>
          <cell r="H1180" t="str">
            <v>-</v>
          </cell>
          <cell r="I1180" t="str">
            <v>-</v>
          </cell>
          <cell r="K1180" t="str">
            <v>-</v>
          </cell>
          <cell r="L1180" t="str">
            <v>-</v>
          </cell>
          <cell r="N1180" t="str">
            <v>-</v>
          </cell>
          <cell r="O1180" t="str">
            <v>-</v>
          </cell>
          <cell r="Q1180" t="str">
            <v>-</v>
          </cell>
          <cell r="R1180" t="str">
            <v>-</v>
          </cell>
          <cell r="T1180" t="str">
            <v>-</v>
          </cell>
          <cell r="U1180" t="str">
            <v>-</v>
          </cell>
          <cell r="W1180" t="str">
            <v>-</v>
          </cell>
          <cell r="X1180" t="str">
            <v>-</v>
          </cell>
        </row>
        <row r="1181">
          <cell r="A1181">
            <v>72221173</v>
          </cell>
          <cell r="B1181">
            <v>1782</v>
          </cell>
          <cell r="C1181" t="str">
            <v>놀락감펭</v>
          </cell>
          <cell r="D1181" t="str">
            <v>A</v>
          </cell>
          <cell r="E1181">
            <v>70409086</v>
          </cell>
          <cell r="H1181" t="str">
            <v>-</v>
          </cell>
          <cell r="I1181" t="str">
            <v>-</v>
          </cell>
          <cell r="K1181" t="str">
            <v>-</v>
          </cell>
          <cell r="L1181" t="str">
            <v>-</v>
          </cell>
          <cell r="N1181" t="str">
            <v>-</v>
          </cell>
          <cell r="O1181" t="str">
            <v>-</v>
          </cell>
          <cell r="Q1181" t="str">
            <v>-</v>
          </cell>
          <cell r="R1181" t="str">
            <v>-</v>
          </cell>
          <cell r="T1181" t="str">
            <v>-</v>
          </cell>
          <cell r="U1181" t="str">
            <v>-</v>
          </cell>
          <cell r="W1181" t="str">
            <v>-</v>
          </cell>
          <cell r="X1181" t="str">
            <v>-</v>
          </cell>
        </row>
        <row r="1182">
          <cell r="A1182">
            <v>72221174</v>
          </cell>
          <cell r="B1182">
            <v>1782</v>
          </cell>
          <cell r="C1182" t="str">
            <v>황줄깜정이</v>
          </cell>
          <cell r="D1182" t="str">
            <v>B</v>
          </cell>
          <cell r="E1182">
            <v>70409406</v>
          </cell>
          <cell r="H1182" t="str">
            <v>-</v>
          </cell>
          <cell r="I1182" t="str">
            <v>-</v>
          </cell>
          <cell r="K1182" t="str">
            <v>-</v>
          </cell>
          <cell r="L1182" t="str">
            <v>-</v>
          </cell>
          <cell r="N1182" t="str">
            <v>-</v>
          </cell>
          <cell r="O1182" t="str">
            <v>-</v>
          </cell>
          <cell r="Q1182" t="str">
            <v>-</v>
          </cell>
          <cell r="R1182" t="str">
            <v>-</v>
          </cell>
          <cell r="T1182" t="str">
            <v>-</v>
          </cell>
          <cell r="U1182" t="str">
            <v>-</v>
          </cell>
          <cell r="W1182" t="str">
            <v>-</v>
          </cell>
          <cell r="X1182" t="str">
            <v>-</v>
          </cell>
        </row>
        <row r="1183">
          <cell r="A1183">
            <v>72221175</v>
          </cell>
          <cell r="B1183">
            <v>1782</v>
          </cell>
          <cell r="C1183" t="str">
            <v>적투어</v>
          </cell>
          <cell r="D1183" t="str">
            <v>D</v>
          </cell>
          <cell r="E1183">
            <v>70409310</v>
          </cell>
          <cell r="H1183" t="str">
            <v>-</v>
          </cell>
          <cell r="I1183" t="str">
            <v>-</v>
          </cell>
          <cell r="K1183" t="str">
            <v>-</v>
          </cell>
          <cell r="L1183" t="str">
            <v>-</v>
          </cell>
          <cell r="N1183" t="str">
            <v>-</v>
          </cell>
          <cell r="O1183" t="str">
            <v>-</v>
          </cell>
          <cell r="Q1183" t="str">
            <v>-</v>
          </cell>
          <cell r="R1183" t="str">
            <v>-</v>
          </cell>
          <cell r="T1183" t="str">
            <v>-</v>
          </cell>
          <cell r="U1183" t="str">
            <v>-</v>
          </cell>
          <cell r="W1183" t="str">
            <v>-</v>
          </cell>
          <cell r="X1183" t="str">
            <v>-</v>
          </cell>
        </row>
        <row r="1184">
          <cell r="A1184">
            <v>72221176</v>
          </cell>
          <cell r="B1184">
            <v>1782</v>
          </cell>
          <cell r="C1184" t="str">
            <v>날치</v>
          </cell>
          <cell r="D1184" t="str">
            <v>C</v>
          </cell>
          <cell r="E1184">
            <v>70409069</v>
          </cell>
          <cell r="H1184" t="str">
            <v>-</v>
          </cell>
          <cell r="I1184" t="str">
            <v>-</v>
          </cell>
          <cell r="K1184" t="str">
            <v>-</v>
          </cell>
          <cell r="L1184" t="str">
            <v>-</v>
          </cell>
          <cell r="N1184" t="str">
            <v>-</v>
          </cell>
          <cell r="O1184" t="str">
            <v>-</v>
          </cell>
          <cell r="Q1184" t="str">
            <v>-</v>
          </cell>
          <cell r="R1184" t="str">
            <v>-</v>
          </cell>
          <cell r="T1184" t="str">
            <v>-</v>
          </cell>
          <cell r="U1184" t="str">
            <v>-</v>
          </cell>
          <cell r="W1184" t="str">
            <v>-</v>
          </cell>
          <cell r="X1184" t="str">
            <v>-</v>
          </cell>
        </row>
        <row r="1185">
          <cell r="A1185">
            <v>72221177</v>
          </cell>
          <cell r="B1185">
            <v>1782</v>
          </cell>
          <cell r="C1185" t="str">
            <v>얼비늘치</v>
          </cell>
          <cell r="D1185" t="str">
            <v>S</v>
          </cell>
          <cell r="E1185">
            <v>70409287</v>
          </cell>
          <cell r="H1185" t="str">
            <v>-</v>
          </cell>
          <cell r="I1185" t="str">
            <v>-</v>
          </cell>
          <cell r="K1185" t="str">
            <v>-</v>
          </cell>
          <cell r="L1185" t="str">
            <v>-</v>
          </cell>
          <cell r="N1185" t="str">
            <v>-</v>
          </cell>
          <cell r="O1185" t="str">
            <v>-</v>
          </cell>
          <cell r="Q1185" t="str">
            <v>-</v>
          </cell>
          <cell r="R1185" t="str">
            <v>-</v>
          </cell>
          <cell r="T1185" t="str">
            <v>-</v>
          </cell>
          <cell r="U1185" t="str">
            <v>-</v>
          </cell>
          <cell r="W1185" t="str">
            <v>-</v>
          </cell>
          <cell r="X1185" t="str">
            <v>-</v>
          </cell>
        </row>
        <row r="1186">
          <cell r="A1186">
            <v>72221178</v>
          </cell>
          <cell r="B1186">
            <v>1782</v>
          </cell>
          <cell r="C1186" t="str">
            <v>어름돔</v>
          </cell>
          <cell r="D1186" t="str">
            <v>D</v>
          </cell>
          <cell r="E1186">
            <v>70409285</v>
          </cell>
          <cell r="H1186" t="str">
            <v>-</v>
          </cell>
          <cell r="I1186" t="str">
            <v>-</v>
          </cell>
          <cell r="K1186" t="str">
            <v>-</v>
          </cell>
          <cell r="L1186" t="str">
            <v>-</v>
          </cell>
          <cell r="N1186" t="str">
            <v>-</v>
          </cell>
          <cell r="O1186" t="str">
            <v>-</v>
          </cell>
          <cell r="Q1186" t="str">
            <v>-</v>
          </cell>
          <cell r="R1186" t="str">
            <v>-</v>
          </cell>
          <cell r="T1186" t="str">
            <v>-</v>
          </cell>
          <cell r="U1186" t="str">
            <v>-</v>
          </cell>
          <cell r="W1186" t="str">
            <v>-</v>
          </cell>
          <cell r="X1186" t="str">
            <v>-</v>
          </cell>
        </row>
        <row r="1187">
          <cell r="A1187">
            <v>72221179</v>
          </cell>
          <cell r="B1187">
            <v>1783</v>
          </cell>
          <cell r="C1187" t="str">
            <v>수염상어</v>
          </cell>
          <cell r="D1187" t="str">
            <v>S</v>
          </cell>
          <cell r="E1187">
            <v>70409257</v>
          </cell>
          <cell r="H1187" t="str">
            <v>-</v>
          </cell>
          <cell r="I1187" t="str">
            <v>-</v>
          </cell>
          <cell r="K1187" t="str">
            <v>-</v>
          </cell>
          <cell r="L1187" t="str">
            <v>-</v>
          </cell>
          <cell r="N1187" t="str">
            <v>-</v>
          </cell>
          <cell r="O1187" t="str">
            <v>-</v>
          </cell>
          <cell r="Q1187" t="str">
            <v>-</v>
          </cell>
          <cell r="R1187" t="str">
            <v>-</v>
          </cell>
          <cell r="T1187" t="str">
            <v>-</v>
          </cell>
          <cell r="U1187" t="str">
            <v>-</v>
          </cell>
          <cell r="W1187" t="str">
            <v>-</v>
          </cell>
          <cell r="X1187" t="str">
            <v>-</v>
          </cell>
        </row>
        <row r="1188">
          <cell r="A1188">
            <v>72221180</v>
          </cell>
          <cell r="B1188">
            <v>1783</v>
          </cell>
          <cell r="C1188" t="str">
            <v>놀락감펭</v>
          </cell>
          <cell r="D1188" t="str">
            <v>A</v>
          </cell>
          <cell r="E1188">
            <v>70409086</v>
          </cell>
          <cell r="H1188" t="str">
            <v>-</v>
          </cell>
          <cell r="I1188" t="str">
            <v>-</v>
          </cell>
          <cell r="K1188" t="str">
            <v>-</v>
          </cell>
          <cell r="L1188" t="str">
            <v>-</v>
          </cell>
          <cell r="N1188" t="str">
            <v>-</v>
          </cell>
          <cell r="O1188" t="str">
            <v>-</v>
          </cell>
          <cell r="Q1188" t="str">
            <v>-</v>
          </cell>
          <cell r="R1188" t="str">
            <v>-</v>
          </cell>
          <cell r="T1188" t="str">
            <v>-</v>
          </cell>
          <cell r="U1188" t="str">
            <v>-</v>
          </cell>
          <cell r="W1188" t="str">
            <v>-</v>
          </cell>
          <cell r="X1188" t="str">
            <v>-</v>
          </cell>
        </row>
        <row r="1189">
          <cell r="A1189">
            <v>72221181</v>
          </cell>
          <cell r="B1189">
            <v>1783</v>
          </cell>
          <cell r="C1189" t="str">
            <v>황줄깜정이</v>
          </cell>
          <cell r="D1189" t="str">
            <v>B</v>
          </cell>
          <cell r="E1189">
            <v>70409406</v>
          </cell>
          <cell r="H1189" t="str">
            <v>-</v>
          </cell>
          <cell r="I1189" t="str">
            <v>-</v>
          </cell>
          <cell r="K1189" t="str">
            <v>-</v>
          </cell>
          <cell r="L1189" t="str">
            <v>-</v>
          </cell>
          <cell r="N1189" t="str">
            <v>-</v>
          </cell>
          <cell r="O1189" t="str">
            <v>-</v>
          </cell>
          <cell r="Q1189" t="str">
            <v>-</v>
          </cell>
          <cell r="R1189" t="str">
            <v>-</v>
          </cell>
          <cell r="T1189" t="str">
            <v>-</v>
          </cell>
          <cell r="U1189" t="str">
            <v>-</v>
          </cell>
          <cell r="W1189" t="str">
            <v>-</v>
          </cell>
          <cell r="X1189" t="str">
            <v>-</v>
          </cell>
        </row>
        <row r="1190">
          <cell r="A1190">
            <v>72221182</v>
          </cell>
          <cell r="B1190">
            <v>1783</v>
          </cell>
          <cell r="C1190" t="str">
            <v>적투어</v>
          </cell>
          <cell r="D1190" t="str">
            <v>D</v>
          </cell>
          <cell r="E1190">
            <v>70409310</v>
          </cell>
          <cell r="H1190" t="str">
            <v>-</v>
          </cell>
          <cell r="I1190" t="str">
            <v>-</v>
          </cell>
          <cell r="K1190" t="str">
            <v>-</v>
          </cell>
          <cell r="L1190" t="str">
            <v>-</v>
          </cell>
          <cell r="N1190" t="str">
            <v>-</v>
          </cell>
          <cell r="O1190" t="str">
            <v>-</v>
          </cell>
          <cell r="Q1190" t="str">
            <v>-</v>
          </cell>
          <cell r="R1190" t="str">
            <v>-</v>
          </cell>
          <cell r="T1190" t="str">
            <v>-</v>
          </cell>
          <cell r="U1190" t="str">
            <v>-</v>
          </cell>
          <cell r="W1190" t="str">
            <v>-</v>
          </cell>
          <cell r="X1190" t="str">
            <v>-</v>
          </cell>
        </row>
        <row r="1191">
          <cell r="A1191">
            <v>72221183</v>
          </cell>
          <cell r="B1191">
            <v>1783</v>
          </cell>
          <cell r="C1191" t="str">
            <v>날치</v>
          </cell>
          <cell r="D1191" t="str">
            <v>C</v>
          </cell>
          <cell r="E1191">
            <v>70409069</v>
          </cell>
          <cell r="H1191" t="str">
            <v>-</v>
          </cell>
          <cell r="I1191" t="str">
            <v>-</v>
          </cell>
          <cell r="K1191" t="str">
            <v>-</v>
          </cell>
          <cell r="L1191" t="str">
            <v>-</v>
          </cell>
          <cell r="N1191" t="str">
            <v>-</v>
          </cell>
          <cell r="O1191" t="str">
            <v>-</v>
          </cell>
          <cell r="Q1191" t="str">
            <v>-</v>
          </cell>
          <cell r="R1191" t="str">
            <v>-</v>
          </cell>
          <cell r="T1191" t="str">
            <v>-</v>
          </cell>
          <cell r="U1191" t="str">
            <v>-</v>
          </cell>
          <cell r="W1191" t="str">
            <v>-</v>
          </cell>
          <cell r="X1191" t="str">
            <v>-</v>
          </cell>
        </row>
        <row r="1192">
          <cell r="A1192">
            <v>72221184</v>
          </cell>
          <cell r="B1192">
            <v>1783</v>
          </cell>
          <cell r="C1192" t="str">
            <v>얼비늘치</v>
          </cell>
          <cell r="D1192" t="str">
            <v>S</v>
          </cell>
          <cell r="E1192">
            <v>70409287</v>
          </cell>
          <cell r="H1192" t="str">
            <v>-</v>
          </cell>
          <cell r="I1192" t="str">
            <v>-</v>
          </cell>
          <cell r="K1192" t="str">
            <v>-</v>
          </cell>
          <cell r="L1192" t="str">
            <v>-</v>
          </cell>
          <cell r="N1192" t="str">
            <v>-</v>
          </cell>
          <cell r="O1192" t="str">
            <v>-</v>
          </cell>
          <cell r="Q1192" t="str">
            <v>-</v>
          </cell>
          <cell r="R1192" t="str">
            <v>-</v>
          </cell>
          <cell r="T1192" t="str">
            <v>-</v>
          </cell>
          <cell r="U1192" t="str">
            <v>-</v>
          </cell>
          <cell r="W1192" t="str">
            <v>-</v>
          </cell>
          <cell r="X1192" t="str">
            <v>-</v>
          </cell>
        </row>
        <row r="1193">
          <cell r="A1193">
            <v>72221185</v>
          </cell>
          <cell r="B1193">
            <v>1783</v>
          </cell>
          <cell r="C1193" t="str">
            <v>어름돔</v>
          </cell>
          <cell r="D1193" t="str">
            <v>D</v>
          </cell>
          <cell r="E1193">
            <v>70409285</v>
          </cell>
          <cell r="H1193" t="str">
            <v>-</v>
          </cell>
          <cell r="I1193" t="str">
            <v>-</v>
          </cell>
          <cell r="K1193" t="str">
            <v>-</v>
          </cell>
          <cell r="L1193" t="str">
            <v>-</v>
          </cell>
          <cell r="N1193" t="str">
            <v>-</v>
          </cell>
          <cell r="O1193" t="str">
            <v>-</v>
          </cell>
          <cell r="Q1193" t="str">
            <v>-</v>
          </cell>
          <cell r="R1193" t="str">
            <v>-</v>
          </cell>
          <cell r="T1193" t="str">
            <v>-</v>
          </cell>
          <cell r="U1193" t="str">
            <v>-</v>
          </cell>
          <cell r="W1193" t="str">
            <v>-</v>
          </cell>
          <cell r="X1193" t="str">
            <v>-</v>
          </cell>
        </row>
        <row r="1194">
          <cell r="A1194">
            <v>72221186</v>
          </cell>
          <cell r="B1194">
            <v>1784</v>
          </cell>
          <cell r="C1194" t="str">
            <v>수염상어</v>
          </cell>
          <cell r="D1194" t="str">
            <v>S</v>
          </cell>
          <cell r="E1194">
            <v>70409257</v>
          </cell>
          <cell r="H1194" t="str">
            <v>-</v>
          </cell>
          <cell r="I1194" t="str">
            <v>-</v>
          </cell>
          <cell r="K1194" t="str">
            <v>-</v>
          </cell>
          <cell r="L1194" t="str">
            <v>-</v>
          </cell>
          <cell r="N1194" t="str">
            <v>-</v>
          </cell>
          <cell r="O1194" t="str">
            <v>-</v>
          </cell>
          <cell r="Q1194" t="str">
            <v>-</v>
          </cell>
          <cell r="R1194" t="str">
            <v>-</v>
          </cell>
          <cell r="T1194" t="str">
            <v>-</v>
          </cell>
          <cell r="U1194" t="str">
            <v>-</v>
          </cell>
          <cell r="W1194" t="str">
            <v>-</v>
          </cell>
          <cell r="X1194" t="str">
            <v>-</v>
          </cell>
        </row>
        <row r="1195">
          <cell r="A1195">
            <v>72221187</v>
          </cell>
          <cell r="B1195">
            <v>1784</v>
          </cell>
          <cell r="C1195" t="str">
            <v>놀락감펭</v>
          </cell>
          <cell r="D1195" t="str">
            <v>A</v>
          </cell>
          <cell r="E1195">
            <v>70409086</v>
          </cell>
          <cell r="H1195" t="str">
            <v>-</v>
          </cell>
          <cell r="I1195" t="str">
            <v>-</v>
          </cell>
          <cell r="K1195" t="str">
            <v>-</v>
          </cell>
          <cell r="L1195" t="str">
            <v>-</v>
          </cell>
          <cell r="N1195" t="str">
            <v>-</v>
          </cell>
          <cell r="O1195" t="str">
            <v>-</v>
          </cell>
          <cell r="Q1195" t="str">
            <v>-</v>
          </cell>
          <cell r="R1195" t="str">
            <v>-</v>
          </cell>
          <cell r="T1195" t="str">
            <v>-</v>
          </cell>
          <cell r="U1195" t="str">
            <v>-</v>
          </cell>
          <cell r="W1195" t="str">
            <v>-</v>
          </cell>
          <cell r="X1195" t="str">
            <v>-</v>
          </cell>
        </row>
        <row r="1196">
          <cell r="A1196">
            <v>72221188</v>
          </cell>
          <cell r="B1196">
            <v>1784</v>
          </cell>
          <cell r="C1196" t="str">
            <v>황줄깜정이</v>
          </cell>
          <cell r="D1196" t="str">
            <v>B</v>
          </cell>
          <cell r="E1196">
            <v>70409406</v>
          </cell>
          <cell r="H1196" t="str">
            <v>-</v>
          </cell>
          <cell r="I1196" t="str">
            <v>-</v>
          </cell>
          <cell r="K1196" t="str">
            <v>-</v>
          </cell>
          <cell r="L1196" t="str">
            <v>-</v>
          </cell>
          <cell r="N1196" t="str">
            <v>-</v>
          </cell>
          <cell r="O1196" t="str">
            <v>-</v>
          </cell>
          <cell r="Q1196" t="str">
            <v>-</v>
          </cell>
          <cell r="R1196" t="str">
            <v>-</v>
          </cell>
          <cell r="T1196" t="str">
            <v>-</v>
          </cell>
          <cell r="U1196" t="str">
            <v>-</v>
          </cell>
          <cell r="W1196" t="str">
            <v>-</v>
          </cell>
          <cell r="X1196" t="str">
            <v>-</v>
          </cell>
        </row>
        <row r="1197">
          <cell r="A1197">
            <v>72221189</v>
          </cell>
          <cell r="B1197">
            <v>1784</v>
          </cell>
          <cell r="C1197" t="str">
            <v>적투어</v>
          </cell>
          <cell r="D1197" t="str">
            <v>D</v>
          </cell>
          <cell r="E1197">
            <v>70409310</v>
          </cell>
          <cell r="H1197" t="str">
            <v>-</v>
          </cell>
          <cell r="I1197" t="str">
            <v>-</v>
          </cell>
          <cell r="K1197" t="str">
            <v>-</v>
          </cell>
          <cell r="L1197" t="str">
            <v>-</v>
          </cell>
          <cell r="N1197" t="str">
            <v>-</v>
          </cell>
          <cell r="O1197" t="str">
            <v>-</v>
          </cell>
          <cell r="Q1197" t="str">
            <v>-</v>
          </cell>
          <cell r="R1197" t="str">
            <v>-</v>
          </cell>
          <cell r="T1197" t="str">
            <v>-</v>
          </cell>
          <cell r="U1197" t="str">
            <v>-</v>
          </cell>
          <cell r="W1197" t="str">
            <v>-</v>
          </cell>
          <cell r="X1197" t="str">
            <v>-</v>
          </cell>
        </row>
        <row r="1198">
          <cell r="A1198">
            <v>72221190</v>
          </cell>
          <cell r="B1198">
            <v>1784</v>
          </cell>
          <cell r="C1198" t="str">
            <v>날치</v>
          </cell>
          <cell r="D1198" t="str">
            <v>C</v>
          </cell>
          <cell r="E1198">
            <v>70409069</v>
          </cell>
          <cell r="H1198" t="str">
            <v>-</v>
          </cell>
          <cell r="I1198" t="str">
            <v>-</v>
          </cell>
          <cell r="K1198" t="str">
            <v>-</v>
          </cell>
          <cell r="L1198" t="str">
            <v>-</v>
          </cell>
          <cell r="N1198" t="str">
            <v>-</v>
          </cell>
          <cell r="O1198" t="str">
            <v>-</v>
          </cell>
          <cell r="Q1198" t="str">
            <v>-</v>
          </cell>
          <cell r="R1198" t="str">
            <v>-</v>
          </cell>
          <cell r="T1198" t="str">
            <v>-</v>
          </cell>
          <cell r="U1198" t="str">
            <v>-</v>
          </cell>
          <cell r="W1198" t="str">
            <v>-</v>
          </cell>
          <cell r="X1198" t="str">
            <v>-</v>
          </cell>
        </row>
        <row r="1199">
          <cell r="A1199">
            <v>72221191</v>
          </cell>
          <cell r="B1199">
            <v>1784</v>
          </cell>
          <cell r="C1199" t="str">
            <v>얼비늘치</v>
          </cell>
          <cell r="D1199" t="str">
            <v>S</v>
          </cell>
          <cell r="E1199">
            <v>70409287</v>
          </cell>
          <cell r="H1199" t="str">
            <v>-</v>
          </cell>
          <cell r="I1199" t="str">
            <v>-</v>
          </cell>
          <cell r="K1199" t="str">
            <v>-</v>
          </cell>
          <cell r="L1199" t="str">
            <v>-</v>
          </cell>
          <cell r="N1199" t="str">
            <v>-</v>
          </cell>
          <cell r="O1199" t="str">
            <v>-</v>
          </cell>
          <cell r="Q1199" t="str">
            <v>-</v>
          </cell>
          <cell r="R1199" t="str">
            <v>-</v>
          </cell>
          <cell r="T1199" t="str">
            <v>-</v>
          </cell>
          <cell r="U1199" t="str">
            <v>-</v>
          </cell>
          <cell r="W1199" t="str">
            <v>-</v>
          </cell>
          <cell r="X1199" t="str">
            <v>-</v>
          </cell>
        </row>
        <row r="1200">
          <cell r="A1200">
            <v>72221192</v>
          </cell>
          <cell r="B1200">
            <v>1784</v>
          </cell>
          <cell r="C1200" t="str">
            <v>어름돔</v>
          </cell>
          <cell r="D1200" t="str">
            <v>D</v>
          </cell>
          <cell r="E1200">
            <v>70409285</v>
          </cell>
          <cell r="H1200" t="str">
            <v>-</v>
          </cell>
          <cell r="I1200" t="str">
            <v>-</v>
          </cell>
          <cell r="K1200" t="str">
            <v>-</v>
          </cell>
          <cell r="L1200" t="str">
            <v>-</v>
          </cell>
          <cell r="N1200" t="str">
            <v>-</v>
          </cell>
          <cell r="O1200" t="str">
            <v>-</v>
          </cell>
          <cell r="Q1200" t="str">
            <v>-</v>
          </cell>
          <cell r="R1200" t="str">
            <v>-</v>
          </cell>
          <cell r="T1200" t="str">
            <v>-</v>
          </cell>
          <cell r="U1200" t="str">
            <v>-</v>
          </cell>
          <cell r="W1200" t="str">
            <v>-</v>
          </cell>
          <cell r="X1200" t="str">
            <v>-</v>
          </cell>
        </row>
        <row r="1201">
          <cell r="A1201">
            <v>72221193</v>
          </cell>
          <cell r="B1201">
            <v>1791</v>
          </cell>
          <cell r="C1201" t="str">
            <v>흰배환도상어</v>
          </cell>
          <cell r="D1201" t="str">
            <v>S</v>
          </cell>
          <cell r="E1201">
            <v>70409416</v>
          </cell>
          <cell r="H1201" t="str">
            <v>-</v>
          </cell>
          <cell r="I1201" t="str">
            <v>-</v>
          </cell>
          <cell r="K1201" t="str">
            <v>-</v>
          </cell>
          <cell r="L1201" t="str">
            <v>-</v>
          </cell>
          <cell r="N1201" t="str">
            <v>-</v>
          </cell>
          <cell r="O1201" t="str">
            <v>-</v>
          </cell>
          <cell r="Q1201" t="str">
            <v>-</v>
          </cell>
          <cell r="R1201" t="str">
            <v>-</v>
          </cell>
          <cell r="T1201" t="str">
            <v>-</v>
          </cell>
          <cell r="U1201" t="str">
            <v>-</v>
          </cell>
          <cell r="W1201" t="str">
            <v>-</v>
          </cell>
          <cell r="X1201" t="str">
            <v>-</v>
          </cell>
        </row>
        <row r="1202">
          <cell r="A1202">
            <v>72221194</v>
          </cell>
          <cell r="B1202">
            <v>1791</v>
          </cell>
          <cell r="C1202" t="str">
            <v>참조기</v>
          </cell>
          <cell r="D1202" t="str">
            <v>B</v>
          </cell>
          <cell r="E1202">
            <v>70409342</v>
          </cell>
          <cell r="H1202" t="str">
            <v>-</v>
          </cell>
          <cell r="I1202" t="str">
            <v>-</v>
          </cell>
          <cell r="K1202" t="str">
            <v>-</v>
          </cell>
          <cell r="L1202" t="str">
            <v>-</v>
          </cell>
          <cell r="N1202" t="str">
            <v>-</v>
          </cell>
          <cell r="O1202" t="str">
            <v>-</v>
          </cell>
          <cell r="Q1202" t="str">
            <v>-</v>
          </cell>
          <cell r="R1202" t="str">
            <v>-</v>
          </cell>
          <cell r="T1202" t="str">
            <v>-</v>
          </cell>
          <cell r="U1202" t="str">
            <v>-</v>
          </cell>
          <cell r="W1202" t="str">
            <v>-</v>
          </cell>
          <cell r="X1202" t="str">
            <v>-</v>
          </cell>
        </row>
        <row r="1203">
          <cell r="A1203">
            <v>72221195</v>
          </cell>
          <cell r="B1203">
            <v>1791</v>
          </cell>
          <cell r="C1203" t="str">
            <v>네줄고기</v>
          </cell>
          <cell r="D1203" t="str">
            <v>B</v>
          </cell>
          <cell r="E1203">
            <v>70409075</v>
          </cell>
          <cell r="H1203" t="str">
            <v>-</v>
          </cell>
          <cell r="I1203" t="str">
            <v>-</v>
          </cell>
          <cell r="K1203" t="str">
            <v>-</v>
          </cell>
          <cell r="L1203" t="str">
            <v>-</v>
          </cell>
          <cell r="N1203" t="str">
            <v>-</v>
          </cell>
          <cell r="O1203" t="str">
            <v>-</v>
          </cell>
          <cell r="Q1203" t="str">
            <v>-</v>
          </cell>
          <cell r="R1203" t="str">
            <v>-</v>
          </cell>
          <cell r="T1203" t="str">
            <v>-</v>
          </cell>
          <cell r="U1203" t="str">
            <v>-</v>
          </cell>
          <cell r="W1203" t="str">
            <v>-</v>
          </cell>
          <cell r="X1203" t="str">
            <v>-</v>
          </cell>
        </row>
        <row r="1204">
          <cell r="A1204">
            <v>72221196</v>
          </cell>
          <cell r="B1204">
            <v>1791</v>
          </cell>
          <cell r="C1204" t="str">
            <v>둥글돔</v>
          </cell>
          <cell r="D1204" t="str">
            <v>C</v>
          </cell>
          <cell r="E1204">
            <v>70409131</v>
          </cell>
          <cell r="H1204" t="str">
            <v>-</v>
          </cell>
          <cell r="I1204" t="str">
            <v>-</v>
          </cell>
          <cell r="K1204" t="str">
            <v>-</v>
          </cell>
          <cell r="L1204" t="str">
            <v>-</v>
          </cell>
          <cell r="N1204" t="str">
            <v>-</v>
          </cell>
          <cell r="O1204" t="str">
            <v>-</v>
          </cell>
          <cell r="Q1204" t="str">
            <v>-</v>
          </cell>
          <cell r="R1204" t="str">
            <v>-</v>
          </cell>
          <cell r="T1204" t="str">
            <v>-</v>
          </cell>
          <cell r="U1204" t="str">
            <v>-</v>
          </cell>
          <cell r="W1204" t="str">
            <v>-</v>
          </cell>
          <cell r="X1204" t="str">
            <v>-</v>
          </cell>
        </row>
        <row r="1205">
          <cell r="A1205">
            <v>72221197</v>
          </cell>
          <cell r="B1205">
            <v>1791</v>
          </cell>
          <cell r="C1205" t="str">
            <v>도도바리</v>
          </cell>
          <cell r="D1205" t="str">
            <v>A</v>
          </cell>
          <cell r="E1205">
            <v>70409105</v>
          </cell>
          <cell r="H1205" t="str">
            <v>-</v>
          </cell>
          <cell r="I1205" t="str">
            <v>-</v>
          </cell>
          <cell r="K1205" t="str">
            <v>-</v>
          </cell>
          <cell r="L1205" t="str">
            <v>-</v>
          </cell>
          <cell r="N1205" t="str">
            <v>-</v>
          </cell>
          <cell r="O1205" t="str">
            <v>-</v>
          </cell>
          <cell r="Q1205" t="str">
            <v>-</v>
          </cell>
          <cell r="R1205" t="str">
            <v>-</v>
          </cell>
          <cell r="T1205" t="str">
            <v>-</v>
          </cell>
          <cell r="U1205" t="str">
            <v>-</v>
          </cell>
          <cell r="W1205" t="str">
            <v>-</v>
          </cell>
          <cell r="X1205" t="str">
            <v>-</v>
          </cell>
        </row>
        <row r="1206">
          <cell r="A1206">
            <v>72221198</v>
          </cell>
          <cell r="B1206">
            <v>1792</v>
          </cell>
          <cell r="C1206" t="str">
            <v>흰배환도상어</v>
          </cell>
          <cell r="D1206" t="str">
            <v>S</v>
          </cell>
          <cell r="E1206">
            <v>70409416</v>
          </cell>
          <cell r="H1206" t="str">
            <v>-</v>
          </cell>
          <cell r="I1206" t="str">
            <v>-</v>
          </cell>
          <cell r="K1206" t="str">
            <v>-</v>
          </cell>
          <cell r="L1206" t="str">
            <v>-</v>
          </cell>
          <cell r="N1206" t="str">
            <v>-</v>
          </cell>
          <cell r="O1206" t="str">
            <v>-</v>
          </cell>
          <cell r="Q1206" t="str">
            <v>-</v>
          </cell>
          <cell r="R1206" t="str">
            <v>-</v>
          </cell>
          <cell r="T1206" t="str">
            <v>-</v>
          </cell>
          <cell r="U1206" t="str">
            <v>-</v>
          </cell>
          <cell r="W1206" t="str">
            <v>-</v>
          </cell>
          <cell r="X1206" t="str">
            <v>-</v>
          </cell>
        </row>
        <row r="1207">
          <cell r="A1207">
            <v>72221199</v>
          </cell>
          <cell r="B1207">
            <v>1792</v>
          </cell>
          <cell r="C1207" t="str">
            <v>참조기</v>
          </cell>
          <cell r="D1207" t="str">
            <v>B</v>
          </cell>
          <cell r="E1207">
            <v>70409342</v>
          </cell>
          <cell r="H1207" t="str">
            <v>-</v>
          </cell>
          <cell r="I1207" t="str">
            <v>-</v>
          </cell>
          <cell r="K1207" t="str">
            <v>-</v>
          </cell>
          <cell r="L1207" t="str">
            <v>-</v>
          </cell>
          <cell r="N1207" t="str">
            <v>-</v>
          </cell>
          <cell r="O1207" t="str">
            <v>-</v>
          </cell>
          <cell r="Q1207" t="str">
            <v>-</v>
          </cell>
          <cell r="R1207" t="str">
            <v>-</v>
          </cell>
          <cell r="T1207" t="str">
            <v>-</v>
          </cell>
          <cell r="U1207" t="str">
            <v>-</v>
          </cell>
          <cell r="W1207" t="str">
            <v>-</v>
          </cell>
          <cell r="X1207" t="str">
            <v>-</v>
          </cell>
        </row>
        <row r="1208">
          <cell r="A1208">
            <v>72221200</v>
          </cell>
          <cell r="B1208">
            <v>1792</v>
          </cell>
          <cell r="C1208" t="str">
            <v>네줄고기</v>
          </cell>
          <cell r="D1208" t="str">
            <v>B</v>
          </cell>
          <cell r="E1208">
            <v>70409075</v>
          </cell>
          <cell r="H1208" t="str">
            <v>-</v>
          </cell>
          <cell r="I1208" t="str">
            <v>-</v>
          </cell>
          <cell r="K1208" t="str">
            <v>-</v>
          </cell>
          <cell r="L1208" t="str">
            <v>-</v>
          </cell>
          <cell r="N1208" t="str">
            <v>-</v>
          </cell>
          <cell r="O1208" t="str">
            <v>-</v>
          </cell>
          <cell r="Q1208" t="str">
            <v>-</v>
          </cell>
          <cell r="R1208" t="str">
            <v>-</v>
          </cell>
          <cell r="T1208" t="str">
            <v>-</v>
          </cell>
          <cell r="U1208" t="str">
            <v>-</v>
          </cell>
          <cell r="W1208" t="str">
            <v>-</v>
          </cell>
          <cell r="X1208" t="str">
            <v>-</v>
          </cell>
        </row>
        <row r="1209">
          <cell r="A1209">
            <v>72221201</v>
          </cell>
          <cell r="B1209">
            <v>1792</v>
          </cell>
          <cell r="C1209" t="str">
            <v>둥글돔</v>
          </cell>
          <cell r="D1209" t="str">
            <v>C</v>
          </cell>
          <cell r="E1209">
            <v>70409131</v>
          </cell>
          <cell r="H1209" t="str">
            <v>-</v>
          </cell>
          <cell r="I1209" t="str">
            <v>-</v>
          </cell>
          <cell r="K1209" t="str">
            <v>-</v>
          </cell>
          <cell r="L1209" t="str">
            <v>-</v>
          </cell>
          <cell r="N1209" t="str">
            <v>-</v>
          </cell>
          <cell r="O1209" t="str">
            <v>-</v>
          </cell>
          <cell r="Q1209" t="str">
            <v>-</v>
          </cell>
          <cell r="R1209" t="str">
            <v>-</v>
          </cell>
          <cell r="T1209" t="str">
            <v>-</v>
          </cell>
          <cell r="U1209" t="str">
            <v>-</v>
          </cell>
          <cell r="W1209" t="str">
            <v>-</v>
          </cell>
          <cell r="X1209" t="str">
            <v>-</v>
          </cell>
        </row>
        <row r="1210">
          <cell r="A1210">
            <v>72221202</v>
          </cell>
          <cell r="B1210">
            <v>1792</v>
          </cell>
          <cell r="C1210" t="str">
            <v>도도바리</v>
          </cell>
          <cell r="D1210" t="str">
            <v>A</v>
          </cell>
          <cell r="E1210">
            <v>70409105</v>
          </cell>
          <cell r="H1210" t="str">
            <v>-</v>
          </cell>
          <cell r="I1210" t="str">
            <v>-</v>
          </cell>
          <cell r="K1210" t="str">
            <v>-</v>
          </cell>
          <cell r="L1210" t="str">
            <v>-</v>
          </cell>
          <cell r="N1210" t="str">
            <v>-</v>
          </cell>
          <cell r="O1210" t="str">
            <v>-</v>
          </cell>
          <cell r="Q1210" t="str">
            <v>-</v>
          </cell>
          <cell r="R1210" t="str">
            <v>-</v>
          </cell>
          <cell r="T1210" t="str">
            <v>-</v>
          </cell>
          <cell r="U1210" t="str">
            <v>-</v>
          </cell>
          <cell r="W1210" t="str">
            <v>-</v>
          </cell>
          <cell r="X1210" t="str">
            <v>-</v>
          </cell>
        </row>
        <row r="1211">
          <cell r="A1211">
            <v>72221203</v>
          </cell>
          <cell r="B1211">
            <v>1793</v>
          </cell>
          <cell r="C1211" t="str">
            <v>흰배환도상어</v>
          </cell>
          <cell r="D1211" t="str">
            <v>S</v>
          </cell>
          <cell r="E1211">
            <v>70409416</v>
          </cell>
          <cell r="H1211" t="str">
            <v>-</v>
          </cell>
          <cell r="I1211" t="str">
            <v>-</v>
          </cell>
          <cell r="K1211" t="str">
            <v>-</v>
          </cell>
          <cell r="L1211" t="str">
            <v>-</v>
          </cell>
          <cell r="N1211" t="str">
            <v>-</v>
          </cell>
          <cell r="O1211" t="str">
            <v>-</v>
          </cell>
          <cell r="Q1211" t="str">
            <v>-</v>
          </cell>
          <cell r="R1211" t="str">
            <v>-</v>
          </cell>
          <cell r="T1211" t="str">
            <v>-</v>
          </cell>
          <cell r="U1211" t="str">
            <v>-</v>
          </cell>
          <cell r="W1211" t="str">
            <v>-</v>
          </cell>
          <cell r="X1211" t="str">
            <v>-</v>
          </cell>
        </row>
        <row r="1212">
          <cell r="A1212">
            <v>72221204</v>
          </cell>
          <cell r="B1212">
            <v>1793</v>
          </cell>
          <cell r="C1212" t="str">
            <v>참조기</v>
          </cell>
          <cell r="D1212" t="str">
            <v>B</v>
          </cell>
          <cell r="E1212">
            <v>70409342</v>
          </cell>
          <cell r="H1212" t="str">
            <v>-</v>
          </cell>
          <cell r="I1212" t="str">
            <v>-</v>
          </cell>
          <cell r="K1212" t="str">
            <v>-</v>
          </cell>
          <cell r="L1212" t="str">
            <v>-</v>
          </cell>
          <cell r="N1212" t="str">
            <v>-</v>
          </cell>
          <cell r="O1212" t="str">
            <v>-</v>
          </cell>
          <cell r="Q1212" t="str">
            <v>-</v>
          </cell>
          <cell r="R1212" t="str">
            <v>-</v>
          </cell>
          <cell r="T1212" t="str">
            <v>-</v>
          </cell>
          <cell r="U1212" t="str">
            <v>-</v>
          </cell>
          <cell r="W1212" t="str">
            <v>-</v>
          </cell>
          <cell r="X1212" t="str">
            <v>-</v>
          </cell>
        </row>
        <row r="1213">
          <cell r="A1213">
            <v>72221205</v>
          </cell>
          <cell r="B1213">
            <v>1793</v>
          </cell>
          <cell r="C1213" t="str">
            <v>네줄고기</v>
          </cell>
          <cell r="D1213" t="str">
            <v>B</v>
          </cell>
          <cell r="E1213">
            <v>70409075</v>
          </cell>
          <cell r="H1213" t="str">
            <v>-</v>
          </cell>
          <cell r="I1213" t="str">
            <v>-</v>
          </cell>
          <cell r="K1213" t="str">
            <v>-</v>
          </cell>
          <cell r="L1213" t="str">
            <v>-</v>
          </cell>
          <cell r="N1213" t="str">
            <v>-</v>
          </cell>
          <cell r="O1213" t="str">
            <v>-</v>
          </cell>
          <cell r="Q1213" t="str">
            <v>-</v>
          </cell>
          <cell r="R1213" t="str">
            <v>-</v>
          </cell>
          <cell r="T1213" t="str">
            <v>-</v>
          </cell>
          <cell r="U1213" t="str">
            <v>-</v>
          </cell>
          <cell r="W1213" t="str">
            <v>-</v>
          </cell>
          <cell r="X1213" t="str">
            <v>-</v>
          </cell>
        </row>
        <row r="1214">
          <cell r="A1214">
            <v>72221206</v>
          </cell>
          <cell r="B1214">
            <v>1793</v>
          </cell>
          <cell r="C1214" t="str">
            <v>둥글돔</v>
          </cell>
          <cell r="D1214" t="str">
            <v>C</v>
          </cell>
          <cell r="E1214">
            <v>70409131</v>
          </cell>
          <cell r="H1214" t="str">
            <v>-</v>
          </cell>
          <cell r="I1214" t="str">
            <v>-</v>
          </cell>
          <cell r="K1214" t="str">
            <v>-</v>
          </cell>
          <cell r="L1214" t="str">
            <v>-</v>
          </cell>
          <cell r="N1214" t="str">
            <v>-</v>
          </cell>
          <cell r="O1214" t="str">
            <v>-</v>
          </cell>
          <cell r="Q1214" t="str">
            <v>-</v>
          </cell>
          <cell r="R1214" t="str">
            <v>-</v>
          </cell>
          <cell r="T1214" t="str">
            <v>-</v>
          </cell>
          <cell r="U1214" t="str">
            <v>-</v>
          </cell>
          <cell r="W1214" t="str">
            <v>-</v>
          </cell>
          <cell r="X1214" t="str">
            <v>-</v>
          </cell>
        </row>
        <row r="1215">
          <cell r="A1215">
            <v>72221207</v>
          </cell>
          <cell r="B1215">
            <v>1793</v>
          </cell>
          <cell r="C1215" t="str">
            <v>도도바리</v>
          </cell>
          <cell r="D1215" t="str">
            <v>A</v>
          </cell>
          <cell r="E1215">
            <v>70409105</v>
          </cell>
          <cell r="H1215" t="str">
            <v>-</v>
          </cell>
          <cell r="I1215" t="str">
            <v>-</v>
          </cell>
          <cell r="K1215" t="str">
            <v>-</v>
          </cell>
          <cell r="L1215" t="str">
            <v>-</v>
          </cell>
          <cell r="N1215" t="str">
            <v>-</v>
          </cell>
          <cell r="O1215" t="str">
            <v>-</v>
          </cell>
          <cell r="Q1215" t="str">
            <v>-</v>
          </cell>
          <cell r="R1215" t="str">
            <v>-</v>
          </cell>
          <cell r="T1215" t="str">
            <v>-</v>
          </cell>
          <cell r="U1215" t="str">
            <v>-</v>
          </cell>
          <cell r="W1215" t="str">
            <v>-</v>
          </cell>
          <cell r="X1215" t="str">
            <v>-</v>
          </cell>
        </row>
        <row r="1216">
          <cell r="A1216">
            <v>72221208</v>
          </cell>
          <cell r="B1216">
            <v>1794</v>
          </cell>
          <cell r="C1216" t="str">
            <v>흰배환도상어</v>
          </cell>
          <cell r="D1216" t="str">
            <v>S</v>
          </cell>
          <cell r="E1216">
            <v>70409416</v>
          </cell>
          <cell r="H1216" t="str">
            <v>-</v>
          </cell>
          <cell r="I1216" t="str">
            <v>-</v>
          </cell>
          <cell r="K1216" t="str">
            <v>-</v>
          </cell>
          <cell r="L1216" t="str">
            <v>-</v>
          </cell>
          <cell r="N1216" t="str">
            <v>-</v>
          </cell>
          <cell r="O1216" t="str">
            <v>-</v>
          </cell>
          <cell r="Q1216" t="str">
            <v>-</v>
          </cell>
          <cell r="R1216" t="str">
            <v>-</v>
          </cell>
          <cell r="T1216" t="str">
            <v>-</v>
          </cell>
          <cell r="U1216" t="str">
            <v>-</v>
          </cell>
          <cell r="W1216" t="str">
            <v>-</v>
          </cell>
          <cell r="X1216" t="str">
            <v>-</v>
          </cell>
        </row>
        <row r="1217">
          <cell r="A1217">
            <v>72221209</v>
          </cell>
          <cell r="B1217">
            <v>1794</v>
          </cell>
          <cell r="C1217" t="str">
            <v>참조기</v>
          </cell>
          <cell r="D1217" t="str">
            <v>B</v>
          </cell>
          <cell r="E1217">
            <v>70409342</v>
          </cell>
          <cell r="H1217" t="str">
            <v>-</v>
          </cell>
          <cell r="I1217" t="str">
            <v>-</v>
          </cell>
          <cell r="K1217" t="str">
            <v>-</v>
          </cell>
          <cell r="L1217" t="str">
            <v>-</v>
          </cell>
          <cell r="N1217" t="str">
            <v>-</v>
          </cell>
          <cell r="O1217" t="str">
            <v>-</v>
          </cell>
          <cell r="Q1217" t="str">
            <v>-</v>
          </cell>
          <cell r="R1217" t="str">
            <v>-</v>
          </cell>
          <cell r="T1217" t="str">
            <v>-</v>
          </cell>
          <cell r="U1217" t="str">
            <v>-</v>
          </cell>
          <cell r="W1217" t="str">
            <v>-</v>
          </cell>
          <cell r="X1217" t="str">
            <v>-</v>
          </cell>
        </row>
        <row r="1218">
          <cell r="A1218">
            <v>72221210</v>
          </cell>
          <cell r="B1218">
            <v>1794</v>
          </cell>
          <cell r="C1218" t="str">
            <v>네줄고기</v>
          </cell>
          <cell r="D1218" t="str">
            <v>B</v>
          </cell>
          <cell r="E1218">
            <v>70409075</v>
          </cell>
          <cell r="H1218" t="str">
            <v>-</v>
          </cell>
          <cell r="I1218" t="str">
            <v>-</v>
          </cell>
          <cell r="K1218" t="str">
            <v>-</v>
          </cell>
          <cell r="L1218" t="str">
            <v>-</v>
          </cell>
          <cell r="N1218" t="str">
            <v>-</v>
          </cell>
          <cell r="O1218" t="str">
            <v>-</v>
          </cell>
          <cell r="Q1218" t="str">
            <v>-</v>
          </cell>
          <cell r="R1218" t="str">
            <v>-</v>
          </cell>
          <cell r="T1218" t="str">
            <v>-</v>
          </cell>
          <cell r="U1218" t="str">
            <v>-</v>
          </cell>
          <cell r="W1218" t="str">
            <v>-</v>
          </cell>
          <cell r="X1218" t="str">
            <v>-</v>
          </cell>
        </row>
        <row r="1219">
          <cell r="A1219">
            <v>72221211</v>
          </cell>
          <cell r="B1219">
            <v>1794</v>
          </cell>
          <cell r="C1219" t="str">
            <v>둥글돔</v>
          </cell>
          <cell r="D1219" t="str">
            <v>C</v>
          </cell>
          <cell r="E1219">
            <v>70409131</v>
          </cell>
          <cell r="H1219" t="str">
            <v>-</v>
          </cell>
          <cell r="I1219" t="str">
            <v>-</v>
          </cell>
          <cell r="K1219" t="str">
            <v>-</v>
          </cell>
          <cell r="L1219" t="str">
            <v>-</v>
          </cell>
          <cell r="N1219" t="str">
            <v>-</v>
          </cell>
          <cell r="O1219" t="str">
            <v>-</v>
          </cell>
          <cell r="Q1219" t="str">
            <v>-</v>
          </cell>
          <cell r="R1219" t="str">
            <v>-</v>
          </cell>
          <cell r="T1219" t="str">
            <v>-</v>
          </cell>
          <cell r="U1219" t="str">
            <v>-</v>
          </cell>
          <cell r="W1219" t="str">
            <v>-</v>
          </cell>
          <cell r="X1219" t="str">
            <v>-</v>
          </cell>
        </row>
        <row r="1220">
          <cell r="A1220">
            <v>72221212</v>
          </cell>
          <cell r="B1220">
            <v>1794</v>
          </cell>
          <cell r="C1220" t="str">
            <v>도도바리</v>
          </cell>
          <cell r="D1220" t="str">
            <v>A</v>
          </cell>
          <cell r="E1220">
            <v>70409105</v>
          </cell>
          <cell r="H1220" t="str">
            <v>-</v>
          </cell>
          <cell r="I1220" t="str">
            <v>-</v>
          </cell>
          <cell r="K1220" t="str">
            <v>-</v>
          </cell>
          <cell r="L1220" t="str">
            <v>-</v>
          </cell>
          <cell r="N1220" t="str">
            <v>-</v>
          </cell>
          <cell r="O1220" t="str">
            <v>-</v>
          </cell>
          <cell r="Q1220" t="str">
            <v>-</v>
          </cell>
          <cell r="R1220" t="str">
            <v>-</v>
          </cell>
          <cell r="T1220" t="str">
            <v>-</v>
          </cell>
          <cell r="U1220" t="str">
            <v>-</v>
          </cell>
          <cell r="W1220" t="str">
            <v>-</v>
          </cell>
          <cell r="X1220" t="str">
            <v>-</v>
          </cell>
        </row>
        <row r="1221">
          <cell r="A1221">
            <v>72221213</v>
          </cell>
          <cell r="B1221">
            <v>1801</v>
          </cell>
          <cell r="C1221" t="str">
            <v>도루묵</v>
          </cell>
          <cell r="D1221" t="str">
            <v>B</v>
          </cell>
          <cell r="E1221">
            <v>70409107</v>
          </cell>
          <cell r="H1221" t="str">
            <v>-</v>
          </cell>
          <cell r="I1221" t="str">
            <v>-</v>
          </cell>
          <cell r="K1221" t="str">
            <v>-</v>
          </cell>
          <cell r="L1221" t="str">
            <v>-</v>
          </cell>
          <cell r="N1221" t="str">
            <v>-</v>
          </cell>
          <cell r="O1221" t="str">
            <v>-</v>
          </cell>
          <cell r="Q1221" t="str">
            <v>-</v>
          </cell>
          <cell r="R1221" t="str">
            <v>-</v>
          </cell>
          <cell r="T1221" t="str">
            <v>-</v>
          </cell>
          <cell r="U1221" t="str">
            <v>-</v>
          </cell>
          <cell r="W1221" t="str">
            <v>-</v>
          </cell>
          <cell r="X1221" t="str">
            <v>-</v>
          </cell>
        </row>
        <row r="1222">
          <cell r="A1222">
            <v>72221214</v>
          </cell>
          <cell r="B1222">
            <v>1801</v>
          </cell>
          <cell r="C1222" t="str">
            <v>바닥가오리</v>
          </cell>
          <cell r="D1222" t="str">
            <v>C</v>
          </cell>
          <cell r="E1222">
            <v>70409182</v>
          </cell>
          <cell r="H1222" t="str">
            <v>-</v>
          </cell>
          <cell r="I1222" t="str">
            <v>-</v>
          </cell>
          <cell r="K1222" t="str">
            <v>-</v>
          </cell>
          <cell r="L1222" t="str">
            <v>-</v>
          </cell>
          <cell r="N1222" t="str">
            <v>-</v>
          </cell>
          <cell r="O1222" t="str">
            <v>-</v>
          </cell>
          <cell r="Q1222" t="str">
            <v>-</v>
          </cell>
          <cell r="R1222" t="str">
            <v>-</v>
          </cell>
          <cell r="T1222" t="str">
            <v>-</v>
          </cell>
          <cell r="U1222" t="str">
            <v>-</v>
          </cell>
          <cell r="W1222" t="str">
            <v>-</v>
          </cell>
          <cell r="X1222" t="str">
            <v>-</v>
          </cell>
        </row>
        <row r="1223">
          <cell r="A1223">
            <v>72221215</v>
          </cell>
          <cell r="B1223">
            <v>1801</v>
          </cell>
          <cell r="C1223" t="str">
            <v>임연수어</v>
          </cell>
          <cell r="D1223" t="str">
            <v>C</v>
          </cell>
          <cell r="E1223">
            <v>70409306</v>
          </cell>
          <cell r="H1223" t="str">
            <v>-</v>
          </cell>
          <cell r="I1223" t="str">
            <v>-</v>
          </cell>
          <cell r="K1223" t="str">
            <v>-</v>
          </cell>
          <cell r="L1223" t="str">
            <v>-</v>
          </cell>
          <cell r="N1223" t="str">
            <v>-</v>
          </cell>
          <cell r="O1223" t="str">
            <v>-</v>
          </cell>
          <cell r="Q1223" t="str">
            <v>-</v>
          </cell>
          <cell r="R1223" t="str">
            <v>-</v>
          </cell>
          <cell r="T1223" t="str">
            <v>-</v>
          </cell>
          <cell r="U1223" t="str">
            <v>-</v>
          </cell>
          <cell r="W1223" t="str">
            <v>-</v>
          </cell>
          <cell r="X1223" t="str">
            <v>-</v>
          </cell>
        </row>
        <row r="1224">
          <cell r="A1224">
            <v>72221216</v>
          </cell>
          <cell r="B1224">
            <v>1801</v>
          </cell>
          <cell r="C1224" t="str">
            <v>망치고등어</v>
          </cell>
          <cell r="D1224" t="str">
            <v>C</v>
          </cell>
          <cell r="E1224">
            <v>70409138</v>
          </cell>
          <cell r="H1224" t="str">
            <v>-</v>
          </cell>
          <cell r="I1224" t="str">
            <v>-</v>
          </cell>
          <cell r="K1224" t="str">
            <v>-</v>
          </cell>
          <cell r="L1224" t="str">
            <v>-</v>
          </cell>
          <cell r="N1224" t="str">
            <v>-</v>
          </cell>
          <cell r="O1224" t="str">
            <v>-</v>
          </cell>
          <cell r="Q1224" t="str">
            <v>-</v>
          </cell>
          <cell r="R1224" t="str">
            <v>-</v>
          </cell>
          <cell r="T1224" t="str">
            <v>-</v>
          </cell>
          <cell r="U1224" t="str">
            <v>-</v>
          </cell>
          <cell r="W1224" t="str">
            <v>-</v>
          </cell>
          <cell r="X1224" t="str">
            <v>-</v>
          </cell>
        </row>
        <row r="1225">
          <cell r="A1225">
            <v>72221217</v>
          </cell>
          <cell r="B1225">
            <v>1801</v>
          </cell>
          <cell r="C1225" t="str">
            <v>제비활치</v>
          </cell>
          <cell r="D1225" t="str">
            <v>B</v>
          </cell>
          <cell r="E1225">
            <v>70409322</v>
          </cell>
          <cell r="H1225" t="str">
            <v>-</v>
          </cell>
          <cell r="I1225" t="str">
            <v>-</v>
          </cell>
          <cell r="K1225" t="str">
            <v>-</v>
          </cell>
          <cell r="L1225" t="str">
            <v>-</v>
          </cell>
          <cell r="N1225" t="str">
            <v>-</v>
          </cell>
          <cell r="O1225" t="str">
            <v>-</v>
          </cell>
          <cell r="Q1225" t="str">
            <v>-</v>
          </cell>
          <cell r="R1225" t="str">
            <v>-</v>
          </cell>
          <cell r="T1225" t="str">
            <v>-</v>
          </cell>
          <cell r="U1225" t="str">
            <v>-</v>
          </cell>
          <cell r="W1225" t="str">
            <v>-</v>
          </cell>
          <cell r="X1225" t="str">
            <v>-</v>
          </cell>
        </row>
        <row r="1226">
          <cell r="A1226">
            <v>72221218</v>
          </cell>
          <cell r="B1226">
            <v>1802</v>
          </cell>
          <cell r="C1226" t="str">
            <v>도루묵</v>
          </cell>
          <cell r="D1226" t="str">
            <v>B</v>
          </cell>
          <cell r="E1226">
            <v>70409107</v>
          </cell>
          <cell r="H1226" t="str">
            <v>-</v>
          </cell>
          <cell r="I1226" t="str">
            <v>-</v>
          </cell>
          <cell r="K1226" t="str">
            <v>-</v>
          </cell>
          <cell r="L1226" t="str">
            <v>-</v>
          </cell>
          <cell r="N1226" t="str">
            <v>-</v>
          </cell>
          <cell r="O1226" t="str">
            <v>-</v>
          </cell>
          <cell r="Q1226" t="str">
            <v>-</v>
          </cell>
          <cell r="R1226" t="str">
            <v>-</v>
          </cell>
          <cell r="T1226" t="str">
            <v>-</v>
          </cell>
          <cell r="U1226" t="str">
            <v>-</v>
          </cell>
          <cell r="W1226" t="str">
            <v>-</v>
          </cell>
          <cell r="X1226" t="str">
            <v>-</v>
          </cell>
        </row>
        <row r="1227">
          <cell r="A1227">
            <v>72221219</v>
          </cell>
          <cell r="B1227">
            <v>1802</v>
          </cell>
          <cell r="C1227" t="str">
            <v>바닥가오리</v>
          </cell>
          <cell r="D1227" t="str">
            <v>C</v>
          </cell>
          <cell r="E1227">
            <v>70409182</v>
          </cell>
          <cell r="H1227" t="str">
            <v>-</v>
          </cell>
          <cell r="I1227" t="str">
            <v>-</v>
          </cell>
          <cell r="K1227" t="str">
            <v>-</v>
          </cell>
          <cell r="L1227" t="str">
            <v>-</v>
          </cell>
          <cell r="N1227" t="str">
            <v>-</v>
          </cell>
          <cell r="O1227" t="str">
            <v>-</v>
          </cell>
          <cell r="Q1227" t="str">
            <v>-</v>
          </cell>
          <cell r="R1227" t="str">
            <v>-</v>
          </cell>
          <cell r="T1227" t="str">
            <v>-</v>
          </cell>
          <cell r="U1227" t="str">
            <v>-</v>
          </cell>
          <cell r="W1227" t="str">
            <v>-</v>
          </cell>
          <cell r="X1227" t="str">
            <v>-</v>
          </cell>
        </row>
        <row r="1228">
          <cell r="A1228">
            <v>72221220</v>
          </cell>
          <cell r="B1228">
            <v>1802</v>
          </cell>
          <cell r="C1228" t="str">
            <v>임연수어</v>
          </cell>
          <cell r="D1228" t="str">
            <v>C</v>
          </cell>
          <cell r="E1228">
            <v>70409306</v>
          </cell>
          <cell r="H1228" t="str">
            <v>-</v>
          </cell>
          <cell r="I1228" t="str">
            <v>-</v>
          </cell>
          <cell r="K1228" t="str">
            <v>-</v>
          </cell>
          <cell r="L1228" t="str">
            <v>-</v>
          </cell>
          <cell r="N1228" t="str">
            <v>-</v>
          </cell>
          <cell r="O1228" t="str">
            <v>-</v>
          </cell>
          <cell r="Q1228" t="str">
            <v>-</v>
          </cell>
          <cell r="R1228" t="str">
            <v>-</v>
          </cell>
          <cell r="T1228" t="str">
            <v>-</v>
          </cell>
          <cell r="U1228" t="str">
            <v>-</v>
          </cell>
          <cell r="W1228" t="str">
            <v>-</v>
          </cell>
          <cell r="X1228" t="str">
            <v>-</v>
          </cell>
        </row>
        <row r="1229">
          <cell r="A1229">
            <v>72221221</v>
          </cell>
          <cell r="B1229">
            <v>1802</v>
          </cell>
          <cell r="C1229" t="str">
            <v>망치고등어</v>
          </cell>
          <cell r="D1229" t="str">
            <v>C</v>
          </cell>
          <cell r="E1229">
            <v>70409138</v>
          </cell>
          <cell r="H1229" t="str">
            <v>-</v>
          </cell>
          <cell r="I1229" t="str">
            <v>-</v>
          </cell>
          <cell r="K1229" t="str">
            <v>-</v>
          </cell>
          <cell r="L1229" t="str">
            <v>-</v>
          </cell>
          <cell r="N1229" t="str">
            <v>-</v>
          </cell>
          <cell r="O1229" t="str">
            <v>-</v>
          </cell>
          <cell r="Q1229" t="str">
            <v>-</v>
          </cell>
          <cell r="R1229" t="str">
            <v>-</v>
          </cell>
          <cell r="T1229" t="str">
            <v>-</v>
          </cell>
          <cell r="U1229" t="str">
            <v>-</v>
          </cell>
          <cell r="W1229" t="str">
            <v>-</v>
          </cell>
          <cell r="X1229" t="str">
            <v>-</v>
          </cell>
        </row>
        <row r="1230">
          <cell r="A1230">
            <v>72221222</v>
          </cell>
          <cell r="B1230">
            <v>1802</v>
          </cell>
          <cell r="C1230" t="str">
            <v>제비활치</v>
          </cell>
          <cell r="D1230" t="str">
            <v>B</v>
          </cell>
          <cell r="E1230">
            <v>70409322</v>
          </cell>
          <cell r="H1230" t="str">
            <v>-</v>
          </cell>
          <cell r="I1230" t="str">
            <v>-</v>
          </cell>
          <cell r="K1230" t="str">
            <v>-</v>
          </cell>
          <cell r="L1230" t="str">
            <v>-</v>
          </cell>
          <cell r="N1230" t="str">
            <v>-</v>
          </cell>
          <cell r="O1230" t="str">
            <v>-</v>
          </cell>
          <cell r="Q1230" t="str">
            <v>-</v>
          </cell>
          <cell r="R1230" t="str">
            <v>-</v>
          </cell>
          <cell r="T1230" t="str">
            <v>-</v>
          </cell>
          <cell r="U1230" t="str">
            <v>-</v>
          </cell>
          <cell r="W1230" t="str">
            <v>-</v>
          </cell>
          <cell r="X1230" t="str">
            <v>-</v>
          </cell>
        </row>
        <row r="1231">
          <cell r="A1231">
            <v>72221223</v>
          </cell>
          <cell r="B1231">
            <v>1803</v>
          </cell>
          <cell r="C1231" t="str">
            <v>도루묵</v>
          </cell>
          <cell r="D1231" t="str">
            <v>B</v>
          </cell>
          <cell r="E1231">
            <v>70409107</v>
          </cell>
          <cell r="H1231" t="str">
            <v>-</v>
          </cell>
          <cell r="I1231" t="str">
            <v>-</v>
          </cell>
          <cell r="K1231" t="str">
            <v>-</v>
          </cell>
          <cell r="L1231" t="str">
            <v>-</v>
          </cell>
          <cell r="N1231" t="str">
            <v>-</v>
          </cell>
          <cell r="O1231" t="str">
            <v>-</v>
          </cell>
          <cell r="Q1231" t="str">
            <v>-</v>
          </cell>
          <cell r="R1231" t="str">
            <v>-</v>
          </cell>
          <cell r="T1231" t="str">
            <v>-</v>
          </cell>
          <cell r="U1231" t="str">
            <v>-</v>
          </cell>
          <cell r="W1231" t="str">
            <v>-</v>
          </cell>
          <cell r="X1231" t="str">
            <v>-</v>
          </cell>
        </row>
        <row r="1232">
          <cell r="A1232">
            <v>72221224</v>
          </cell>
          <cell r="B1232">
            <v>1803</v>
          </cell>
          <cell r="C1232" t="str">
            <v>바닥가오리</v>
          </cell>
          <cell r="D1232" t="str">
            <v>C</v>
          </cell>
          <cell r="E1232">
            <v>70409182</v>
          </cell>
          <cell r="H1232" t="str">
            <v>-</v>
          </cell>
          <cell r="I1232" t="str">
            <v>-</v>
          </cell>
          <cell r="K1232" t="str">
            <v>-</v>
          </cell>
          <cell r="L1232" t="str">
            <v>-</v>
          </cell>
          <cell r="N1232" t="str">
            <v>-</v>
          </cell>
          <cell r="O1232" t="str">
            <v>-</v>
          </cell>
          <cell r="Q1232" t="str">
            <v>-</v>
          </cell>
          <cell r="R1232" t="str">
            <v>-</v>
          </cell>
          <cell r="T1232" t="str">
            <v>-</v>
          </cell>
          <cell r="U1232" t="str">
            <v>-</v>
          </cell>
          <cell r="W1232" t="str">
            <v>-</v>
          </cell>
          <cell r="X1232" t="str">
            <v>-</v>
          </cell>
        </row>
        <row r="1233">
          <cell r="A1233">
            <v>72221225</v>
          </cell>
          <cell r="B1233">
            <v>1803</v>
          </cell>
          <cell r="C1233" t="str">
            <v>임연수어</v>
          </cell>
          <cell r="D1233" t="str">
            <v>C</v>
          </cell>
          <cell r="E1233">
            <v>70409306</v>
          </cell>
          <cell r="H1233" t="str">
            <v>-</v>
          </cell>
          <cell r="I1233" t="str">
            <v>-</v>
          </cell>
          <cell r="K1233" t="str">
            <v>-</v>
          </cell>
          <cell r="L1233" t="str">
            <v>-</v>
          </cell>
          <cell r="N1233" t="str">
            <v>-</v>
          </cell>
          <cell r="O1233" t="str">
            <v>-</v>
          </cell>
          <cell r="Q1233" t="str">
            <v>-</v>
          </cell>
          <cell r="R1233" t="str">
            <v>-</v>
          </cell>
          <cell r="T1233" t="str">
            <v>-</v>
          </cell>
          <cell r="U1233" t="str">
            <v>-</v>
          </cell>
          <cell r="W1233" t="str">
            <v>-</v>
          </cell>
          <cell r="X1233" t="str">
            <v>-</v>
          </cell>
        </row>
        <row r="1234">
          <cell r="A1234">
            <v>72221226</v>
          </cell>
          <cell r="B1234">
            <v>1803</v>
          </cell>
          <cell r="C1234" t="str">
            <v>망치고등어</v>
          </cell>
          <cell r="D1234" t="str">
            <v>C</v>
          </cell>
          <cell r="E1234">
            <v>70409138</v>
          </cell>
          <cell r="H1234" t="str">
            <v>-</v>
          </cell>
          <cell r="I1234" t="str">
            <v>-</v>
          </cell>
          <cell r="K1234" t="str">
            <v>-</v>
          </cell>
          <cell r="L1234" t="str">
            <v>-</v>
          </cell>
          <cell r="N1234" t="str">
            <v>-</v>
          </cell>
          <cell r="O1234" t="str">
            <v>-</v>
          </cell>
          <cell r="Q1234" t="str">
            <v>-</v>
          </cell>
          <cell r="R1234" t="str">
            <v>-</v>
          </cell>
          <cell r="T1234" t="str">
            <v>-</v>
          </cell>
          <cell r="U1234" t="str">
            <v>-</v>
          </cell>
          <cell r="W1234" t="str">
            <v>-</v>
          </cell>
          <cell r="X1234" t="str">
            <v>-</v>
          </cell>
        </row>
        <row r="1235">
          <cell r="A1235">
            <v>72221227</v>
          </cell>
          <cell r="B1235">
            <v>1803</v>
          </cell>
          <cell r="C1235" t="str">
            <v>제비활치</v>
          </cell>
          <cell r="D1235" t="str">
            <v>B</v>
          </cell>
          <cell r="E1235">
            <v>70409322</v>
          </cell>
          <cell r="H1235" t="str">
            <v>-</v>
          </cell>
          <cell r="I1235" t="str">
            <v>-</v>
          </cell>
          <cell r="K1235" t="str">
            <v>-</v>
          </cell>
          <cell r="L1235" t="str">
            <v>-</v>
          </cell>
          <cell r="N1235" t="str">
            <v>-</v>
          </cell>
          <cell r="O1235" t="str">
            <v>-</v>
          </cell>
          <cell r="Q1235" t="str">
            <v>-</v>
          </cell>
          <cell r="R1235" t="str">
            <v>-</v>
          </cell>
          <cell r="T1235" t="str">
            <v>-</v>
          </cell>
          <cell r="U1235" t="str">
            <v>-</v>
          </cell>
          <cell r="W1235" t="str">
            <v>-</v>
          </cell>
          <cell r="X1235" t="str">
            <v>-</v>
          </cell>
        </row>
        <row r="1236">
          <cell r="A1236">
            <v>72221228</v>
          </cell>
          <cell r="B1236">
            <v>1804</v>
          </cell>
          <cell r="C1236" t="str">
            <v>도루묵</v>
          </cell>
          <cell r="D1236" t="str">
            <v>B</v>
          </cell>
          <cell r="E1236">
            <v>70409107</v>
          </cell>
          <cell r="H1236" t="str">
            <v>-</v>
          </cell>
          <cell r="I1236" t="str">
            <v>-</v>
          </cell>
          <cell r="K1236" t="str">
            <v>-</v>
          </cell>
          <cell r="L1236" t="str">
            <v>-</v>
          </cell>
          <cell r="N1236" t="str">
            <v>-</v>
          </cell>
          <cell r="O1236" t="str">
            <v>-</v>
          </cell>
          <cell r="Q1236" t="str">
            <v>-</v>
          </cell>
          <cell r="R1236" t="str">
            <v>-</v>
          </cell>
          <cell r="T1236" t="str">
            <v>-</v>
          </cell>
          <cell r="U1236" t="str">
            <v>-</v>
          </cell>
          <cell r="W1236" t="str">
            <v>-</v>
          </cell>
          <cell r="X1236" t="str">
            <v>-</v>
          </cell>
        </row>
        <row r="1237">
          <cell r="A1237">
            <v>72221229</v>
          </cell>
          <cell r="B1237">
            <v>1804</v>
          </cell>
          <cell r="C1237" t="str">
            <v>바닥가오리</v>
          </cell>
          <cell r="D1237" t="str">
            <v>C</v>
          </cell>
          <cell r="E1237">
            <v>70409182</v>
          </cell>
          <cell r="H1237" t="str">
            <v>-</v>
          </cell>
          <cell r="I1237" t="str">
            <v>-</v>
          </cell>
          <cell r="K1237" t="str">
            <v>-</v>
          </cell>
          <cell r="L1237" t="str">
            <v>-</v>
          </cell>
          <cell r="N1237" t="str">
            <v>-</v>
          </cell>
          <cell r="O1237" t="str">
            <v>-</v>
          </cell>
          <cell r="Q1237" t="str">
            <v>-</v>
          </cell>
          <cell r="R1237" t="str">
            <v>-</v>
          </cell>
          <cell r="T1237" t="str">
            <v>-</v>
          </cell>
          <cell r="U1237" t="str">
            <v>-</v>
          </cell>
          <cell r="W1237" t="str">
            <v>-</v>
          </cell>
          <cell r="X1237" t="str">
            <v>-</v>
          </cell>
        </row>
        <row r="1238">
          <cell r="A1238">
            <v>72221230</v>
          </cell>
          <cell r="B1238">
            <v>1804</v>
          </cell>
          <cell r="C1238" t="str">
            <v>임연수어</v>
          </cell>
          <cell r="D1238" t="str">
            <v>C</v>
          </cell>
          <cell r="E1238">
            <v>70409306</v>
          </cell>
          <cell r="H1238" t="str">
            <v>-</v>
          </cell>
          <cell r="I1238" t="str">
            <v>-</v>
          </cell>
          <cell r="K1238" t="str">
            <v>-</v>
          </cell>
          <cell r="L1238" t="str">
            <v>-</v>
          </cell>
          <cell r="N1238" t="str">
            <v>-</v>
          </cell>
          <cell r="O1238" t="str">
            <v>-</v>
          </cell>
          <cell r="Q1238" t="str">
            <v>-</v>
          </cell>
          <cell r="R1238" t="str">
            <v>-</v>
          </cell>
          <cell r="T1238" t="str">
            <v>-</v>
          </cell>
          <cell r="U1238" t="str">
            <v>-</v>
          </cell>
          <cell r="W1238" t="str">
            <v>-</v>
          </cell>
          <cell r="X1238" t="str">
            <v>-</v>
          </cell>
        </row>
        <row r="1239">
          <cell r="A1239">
            <v>72221231</v>
          </cell>
          <cell r="B1239">
            <v>1804</v>
          </cell>
          <cell r="C1239" t="str">
            <v>망치고등어</v>
          </cell>
          <cell r="D1239" t="str">
            <v>C</v>
          </cell>
          <cell r="E1239">
            <v>70409138</v>
          </cell>
          <cell r="H1239" t="str">
            <v>-</v>
          </cell>
          <cell r="I1239" t="str">
            <v>-</v>
          </cell>
          <cell r="K1239" t="str">
            <v>-</v>
          </cell>
          <cell r="L1239" t="str">
            <v>-</v>
          </cell>
          <cell r="N1239" t="str">
            <v>-</v>
          </cell>
          <cell r="O1239" t="str">
            <v>-</v>
          </cell>
          <cell r="Q1239" t="str">
            <v>-</v>
          </cell>
          <cell r="R1239" t="str">
            <v>-</v>
          </cell>
          <cell r="T1239" t="str">
            <v>-</v>
          </cell>
          <cell r="U1239" t="str">
            <v>-</v>
          </cell>
          <cell r="W1239" t="str">
            <v>-</v>
          </cell>
          <cell r="X1239" t="str">
            <v>-</v>
          </cell>
        </row>
        <row r="1240">
          <cell r="A1240">
            <v>72221232</v>
          </cell>
          <cell r="B1240">
            <v>1804</v>
          </cell>
          <cell r="C1240" t="str">
            <v>제비활치</v>
          </cell>
          <cell r="D1240" t="str">
            <v>B</v>
          </cell>
          <cell r="E1240">
            <v>70409322</v>
          </cell>
          <cell r="H1240" t="str">
            <v>-</v>
          </cell>
          <cell r="I1240" t="str">
            <v>-</v>
          </cell>
          <cell r="K1240" t="str">
            <v>-</v>
          </cell>
          <cell r="L1240" t="str">
            <v>-</v>
          </cell>
          <cell r="N1240" t="str">
            <v>-</v>
          </cell>
          <cell r="O1240" t="str">
            <v>-</v>
          </cell>
          <cell r="Q1240" t="str">
            <v>-</v>
          </cell>
          <cell r="R1240" t="str">
            <v>-</v>
          </cell>
          <cell r="T1240" t="str">
            <v>-</v>
          </cell>
          <cell r="U1240" t="str">
            <v>-</v>
          </cell>
          <cell r="W1240" t="str">
            <v>-</v>
          </cell>
          <cell r="X1240" t="str">
            <v>-</v>
          </cell>
        </row>
        <row r="1241">
          <cell r="A1241">
            <v>72221233</v>
          </cell>
          <cell r="B1241">
            <v>1811</v>
          </cell>
          <cell r="C1241" t="str">
            <v>그물코쥐치</v>
          </cell>
          <cell r="D1241" t="str">
            <v>B</v>
          </cell>
          <cell r="E1241">
            <v>70409041</v>
          </cell>
          <cell r="H1241" t="str">
            <v>-</v>
          </cell>
          <cell r="I1241" t="str">
            <v>-</v>
          </cell>
          <cell r="K1241" t="str">
            <v>-</v>
          </cell>
          <cell r="L1241" t="str">
            <v>-</v>
          </cell>
          <cell r="N1241" t="str">
            <v>-</v>
          </cell>
          <cell r="O1241" t="str">
            <v>-</v>
          </cell>
          <cell r="Q1241" t="str">
            <v>-</v>
          </cell>
          <cell r="R1241" t="str">
            <v>-</v>
          </cell>
          <cell r="T1241" t="str">
            <v>-</v>
          </cell>
          <cell r="U1241" t="str">
            <v>-</v>
          </cell>
          <cell r="W1241" t="str">
            <v>-</v>
          </cell>
          <cell r="X1241" t="str">
            <v>-</v>
          </cell>
        </row>
        <row r="1242">
          <cell r="A1242">
            <v>72221234</v>
          </cell>
          <cell r="B1242">
            <v>1811</v>
          </cell>
          <cell r="C1242" t="str">
            <v>두줄망둑</v>
          </cell>
          <cell r="D1242" t="str">
            <v>B</v>
          </cell>
          <cell r="E1242">
            <v>70409127</v>
          </cell>
          <cell r="H1242" t="str">
            <v>-</v>
          </cell>
          <cell r="I1242" t="str">
            <v>-</v>
          </cell>
          <cell r="K1242" t="str">
            <v>-</v>
          </cell>
          <cell r="L1242" t="str">
            <v>-</v>
          </cell>
          <cell r="N1242" t="str">
            <v>-</v>
          </cell>
          <cell r="O1242" t="str">
            <v>-</v>
          </cell>
          <cell r="Q1242" t="str">
            <v>-</v>
          </cell>
          <cell r="R1242" t="str">
            <v>-</v>
          </cell>
          <cell r="T1242" t="str">
            <v>-</v>
          </cell>
          <cell r="U1242" t="str">
            <v>-</v>
          </cell>
          <cell r="W1242" t="str">
            <v>-</v>
          </cell>
          <cell r="X1242" t="str">
            <v>-</v>
          </cell>
        </row>
        <row r="1243">
          <cell r="A1243">
            <v>72221235</v>
          </cell>
          <cell r="B1243">
            <v>1811</v>
          </cell>
          <cell r="C1243" t="str">
            <v>무지개송어</v>
          </cell>
          <cell r="D1243" t="str">
            <v>C</v>
          </cell>
          <cell r="E1243">
            <v>70409161</v>
          </cell>
          <cell r="H1243" t="str">
            <v>-</v>
          </cell>
          <cell r="I1243" t="str">
            <v>-</v>
          </cell>
          <cell r="K1243" t="str">
            <v>-</v>
          </cell>
          <cell r="L1243" t="str">
            <v>-</v>
          </cell>
          <cell r="N1243" t="str">
            <v>-</v>
          </cell>
          <cell r="O1243" t="str">
            <v>-</v>
          </cell>
          <cell r="Q1243" t="str">
            <v>-</v>
          </cell>
          <cell r="R1243" t="str">
            <v>-</v>
          </cell>
          <cell r="T1243" t="str">
            <v>-</v>
          </cell>
          <cell r="U1243" t="str">
            <v>-</v>
          </cell>
          <cell r="W1243" t="str">
            <v>-</v>
          </cell>
          <cell r="X1243" t="str">
            <v>-</v>
          </cell>
        </row>
        <row r="1244">
          <cell r="A1244">
            <v>72221236</v>
          </cell>
          <cell r="B1244">
            <v>1811</v>
          </cell>
          <cell r="C1244" t="str">
            <v>제비날치</v>
          </cell>
          <cell r="D1244" t="str">
            <v>B</v>
          </cell>
          <cell r="E1244">
            <v>70409321</v>
          </cell>
          <cell r="H1244" t="str">
            <v>-</v>
          </cell>
          <cell r="I1244" t="str">
            <v>-</v>
          </cell>
          <cell r="K1244" t="str">
            <v>-</v>
          </cell>
          <cell r="L1244" t="str">
            <v>-</v>
          </cell>
          <cell r="N1244" t="str">
            <v>-</v>
          </cell>
          <cell r="O1244" t="str">
            <v>-</v>
          </cell>
          <cell r="Q1244" t="str">
            <v>-</v>
          </cell>
          <cell r="R1244" t="str">
            <v>-</v>
          </cell>
          <cell r="T1244" t="str">
            <v>-</v>
          </cell>
          <cell r="U1244" t="str">
            <v>-</v>
          </cell>
          <cell r="W1244" t="str">
            <v>-</v>
          </cell>
          <cell r="X1244" t="str">
            <v>-</v>
          </cell>
        </row>
        <row r="1245">
          <cell r="A1245">
            <v>72221237</v>
          </cell>
          <cell r="B1245">
            <v>1811</v>
          </cell>
          <cell r="C1245" t="str">
            <v>두툽상어</v>
          </cell>
          <cell r="D1245" t="str">
            <v>C</v>
          </cell>
          <cell r="E1245">
            <v>70409130</v>
          </cell>
          <cell r="H1245" t="str">
            <v>-</v>
          </cell>
          <cell r="I1245" t="str">
            <v>-</v>
          </cell>
          <cell r="K1245" t="str">
            <v>-</v>
          </cell>
          <cell r="L1245" t="str">
            <v>-</v>
          </cell>
          <cell r="N1245" t="str">
            <v>-</v>
          </cell>
          <cell r="O1245" t="str">
            <v>-</v>
          </cell>
          <cell r="Q1245" t="str">
            <v>-</v>
          </cell>
          <cell r="R1245" t="str">
            <v>-</v>
          </cell>
          <cell r="T1245" t="str">
            <v>-</v>
          </cell>
          <cell r="U1245" t="str">
            <v>-</v>
          </cell>
          <cell r="W1245" t="str">
            <v>-</v>
          </cell>
          <cell r="X1245" t="str">
            <v>-</v>
          </cell>
        </row>
        <row r="1246">
          <cell r="A1246">
            <v>72221238</v>
          </cell>
          <cell r="B1246">
            <v>1811</v>
          </cell>
          <cell r="C1246" t="str">
            <v>얼룩상어</v>
          </cell>
          <cell r="D1246" t="str">
            <v>S</v>
          </cell>
          <cell r="E1246">
            <v>70409286</v>
          </cell>
          <cell r="H1246" t="str">
            <v>-</v>
          </cell>
          <cell r="I1246" t="str">
            <v>-</v>
          </cell>
          <cell r="K1246" t="str">
            <v>-</v>
          </cell>
          <cell r="L1246" t="str">
            <v>-</v>
          </cell>
          <cell r="N1246" t="str">
            <v>-</v>
          </cell>
          <cell r="O1246" t="str">
            <v>-</v>
          </cell>
          <cell r="Q1246" t="str">
            <v>-</v>
          </cell>
          <cell r="R1246" t="str">
            <v>-</v>
          </cell>
          <cell r="T1246" t="str">
            <v>-</v>
          </cell>
          <cell r="U1246" t="str">
            <v>-</v>
          </cell>
          <cell r="W1246" t="str">
            <v>-</v>
          </cell>
          <cell r="X1246" t="str">
            <v>-</v>
          </cell>
        </row>
        <row r="1247">
          <cell r="A1247">
            <v>72221239</v>
          </cell>
          <cell r="B1247">
            <v>1812</v>
          </cell>
          <cell r="C1247" t="str">
            <v>그물코쥐치</v>
          </cell>
          <cell r="D1247" t="str">
            <v>B</v>
          </cell>
          <cell r="E1247">
            <v>70409041</v>
          </cell>
          <cell r="H1247" t="str">
            <v>-</v>
          </cell>
          <cell r="I1247" t="str">
            <v>-</v>
          </cell>
          <cell r="K1247" t="str">
            <v>-</v>
          </cell>
          <cell r="L1247" t="str">
            <v>-</v>
          </cell>
          <cell r="N1247" t="str">
            <v>-</v>
          </cell>
          <cell r="O1247" t="str">
            <v>-</v>
          </cell>
          <cell r="Q1247" t="str">
            <v>-</v>
          </cell>
          <cell r="R1247" t="str">
            <v>-</v>
          </cell>
          <cell r="T1247" t="str">
            <v>-</v>
          </cell>
          <cell r="U1247" t="str">
            <v>-</v>
          </cell>
          <cell r="W1247" t="str">
            <v>-</v>
          </cell>
          <cell r="X1247" t="str">
            <v>-</v>
          </cell>
        </row>
        <row r="1248">
          <cell r="A1248">
            <v>72221240</v>
          </cell>
          <cell r="B1248">
            <v>1812</v>
          </cell>
          <cell r="C1248" t="str">
            <v>두줄망둑</v>
          </cell>
          <cell r="D1248" t="str">
            <v>B</v>
          </cell>
          <cell r="E1248">
            <v>70409127</v>
          </cell>
          <cell r="H1248" t="str">
            <v>-</v>
          </cell>
          <cell r="I1248" t="str">
            <v>-</v>
          </cell>
          <cell r="K1248" t="str">
            <v>-</v>
          </cell>
          <cell r="L1248" t="str">
            <v>-</v>
          </cell>
          <cell r="N1248" t="str">
            <v>-</v>
          </cell>
          <cell r="O1248" t="str">
            <v>-</v>
          </cell>
          <cell r="Q1248" t="str">
            <v>-</v>
          </cell>
          <cell r="R1248" t="str">
            <v>-</v>
          </cell>
          <cell r="T1248" t="str">
            <v>-</v>
          </cell>
          <cell r="U1248" t="str">
            <v>-</v>
          </cell>
          <cell r="W1248" t="str">
            <v>-</v>
          </cell>
          <cell r="X1248" t="str">
            <v>-</v>
          </cell>
        </row>
        <row r="1249">
          <cell r="A1249">
            <v>72221241</v>
          </cell>
          <cell r="B1249">
            <v>1812</v>
          </cell>
          <cell r="C1249" t="str">
            <v>무지개송어</v>
          </cell>
          <cell r="D1249" t="str">
            <v>C</v>
          </cell>
          <cell r="E1249">
            <v>70409161</v>
          </cell>
          <cell r="H1249" t="str">
            <v>-</v>
          </cell>
          <cell r="I1249" t="str">
            <v>-</v>
          </cell>
          <cell r="K1249" t="str">
            <v>-</v>
          </cell>
          <cell r="L1249" t="str">
            <v>-</v>
          </cell>
          <cell r="N1249" t="str">
            <v>-</v>
          </cell>
          <cell r="O1249" t="str">
            <v>-</v>
          </cell>
          <cell r="Q1249" t="str">
            <v>-</v>
          </cell>
          <cell r="R1249" t="str">
            <v>-</v>
          </cell>
          <cell r="T1249" t="str">
            <v>-</v>
          </cell>
          <cell r="U1249" t="str">
            <v>-</v>
          </cell>
          <cell r="W1249" t="str">
            <v>-</v>
          </cell>
          <cell r="X1249" t="str">
            <v>-</v>
          </cell>
        </row>
        <row r="1250">
          <cell r="A1250">
            <v>72221242</v>
          </cell>
          <cell r="B1250">
            <v>1812</v>
          </cell>
          <cell r="C1250" t="str">
            <v>제비날치</v>
          </cell>
          <cell r="D1250" t="str">
            <v>B</v>
          </cell>
          <cell r="E1250">
            <v>70409321</v>
          </cell>
          <cell r="H1250" t="str">
            <v>-</v>
          </cell>
          <cell r="I1250" t="str">
            <v>-</v>
          </cell>
          <cell r="K1250" t="str">
            <v>-</v>
          </cell>
          <cell r="L1250" t="str">
            <v>-</v>
          </cell>
          <cell r="N1250" t="str">
            <v>-</v>
          </cell>
          <cell r="O1250" t="str">
            <v>-</v>
          </cell>
          <cell r="Q1250" t="str">
            <v>-</v>
          </cell>
          <cell r="R1250" t="str">
            <v>-</v>
          </cell>
          <cell r="T1250" t="str">
            <v>-</v>
          </cell>
          <cell r="U1250" t="str">
            <v>-</v>
          </cell>
          <cell r="W1250" t="str">
            <v>-</v>
          </cell>
          <cell r="X1250" t="str">
            <v>-</v>
          </cell>
        </row>
        <row r="1251">
          <cell r="A1251">
            <v>72221243</v>
          </cell>
          <cell r="B1251">
            <v>1812</v>
          </cell>
          <cell r="C1251" t="str">
            <v>두툽상어</v>
          </cell>
          <cell r="D1251" t="str">
            <v>C</v>
          </cell>
          <cell r="E1251">
            <v>70409130</v>
          </cell>
          <cell r="H1251" t="str">
            <v>-</v>
          </cell>
          <cell r="I1251" t="str">
            <v>-</v>
          </cell>
          <cell r="K1251" t="str">
            <v>-</v>
          </cell>
          <cell r="L1251" t="str">
            <v>-</v>
          </cell>
          <cell r="N1251" t="str">
            <v>-</v>
          </cell>
          <cell r="O1251" t="str">
            <v>-</v>
          </cell>
          <cell r="Q1251" t="str">
            <v>-</v>
          </cell>
          <cell r="R1251" t="str">
            <v>-</v>
          </cell>
          <cell r="T1251" t="str">
            <v>-</v>
          </cell>
          <cell r="U1251" t="str">
            <v>-</v>
          </cell>
          <cell r="W1251" t="str">
            <v>-</v>
          </cell>
          <cell r="X1251" t="str">
            <v>-</v>
          </cell>
        </row>
        <row r="1252">
          <cell r="A1252">
            <v>72221244</v>
          </cell>
          <cell r="B1252">
            <v>1812</v>
          </cell>
          <cell r="C1252" t="str">
            <v>얼룩상어</v>
          </cell>
          <cell r="D1252" t="str">
            <v>S</v>
          </cell>
          <cell r="E1252">
            <v>70409286</v>
          </cell>
          <cell r="H1252" t="str">
            <v>-</v>
          </cell>
          <cell r="I1252" t="str">
            <v>-</v>
          </cell>
          <cell r="K1252" t="str">
            <v>-</v>
          </cell>
          <cell r="L1252" t="str">
            <v>-</v>
          </cell>
          <cell r="N1252" t="str">
            <v>-</v>
          </cell>
          <cell r="O1252" t="str">
            <v>-</v>
          </cell>
          <cell r="Q1252" t="str">
            <v>-</v>
          </cell>
          <cell r="R1252" t="str">
            <v>-</v>
          </cell>
          <cell r="T1252" t="str">
            <v>-</v>
          </cell>
          <cell r="U1252" t="str">
            <v>-</v>
          </cell>
          <cell r="W1252" t="str">
            <v>-</v>
          </cell>
          <cell r="X1252" t="str">
            <v>-</v>
          </cell>
        </row>
        <row r="1253">
          <cell r="A1253">
            <v>72221245</v>
          </cell>
          <cell r="B1253">
            <v>1813</v>
          </cell>
          <cell r="C1253" t="str">
            <v>그물코쥐치</v>
          </cell>
          <cell r="D1253" t="str">
            <v>B</v>
          </cell>
          <cell r="E1253">
            <v>70409041</v>
          </cell>
          <cell r="H1253" t="str">
            <v>-</v>
          </cell>
          <cell r="I1253" t="str">
            <v>-</v>
          </cell>
          <cell r="K1253" t="str">
            <v>-</v>
          </cell>
          <cell r="L1253" t="str">
            <v>-</v>
          </cell>
          <cell r="N1253" t="str">
            <v>-</v>
          </cell>
          <cell r="O1253" t="str">
            <v>-</v>
          </cell>
          <cell r="Q1253" t="str">
            <v>-</v>
          </cell>
          <cell r="R1253" t="str">
            <v>-</v>
          </cell>
          <cell r="T1253" t="str">
            <v>-</v>
          </cell>
          <cell r="U1253" t="str">
            <v>-</v>
          </cell>
          <cell r="W1253" t="str">
            <v>-</v>
          </cell>
          <cell r="X1253" t="str">
            <v>-</v>
          </cell>
        </row>
        <row r="1254">
          <cell r="A1254">
            <v>72221246</v>
          </cell>
          <cell r="B1254">
            <v>1813</v>
          </cell>
          <cell r="C1254" t="str">
            <v>두줄망둑</v>
          </cell>
          <cell r="D1254" t="str">
            <v>B</v>
          </cell>
          <cell r="E1254">
            <v>70409127</v>
          </cell>
          <cell r="H1254" t="str">
            <v>-</v>
          </cell>
          <cell r="I1254" t="str">
            <v>-</v>
          </cell>
          <cell r="K1254" t="str">
            <v>-</v>
          </cell>
          <cell r="L1254" t="str">
            <v>-</v>
          </cell>
          <cell r="N1254" t="str">
            <v>-</v>
          </cell>
          <cell r="O1254" t="str">
            <v>-</v>
          </cell>
          <cell r="Q1254" t="str">
            <v>-</v>
          </cell>
          <cell r="R1254" t="str">
            <v>-</v>
          </cell>
          <cell r="T1254" t="str">
            <v>-</v>
          </cell>
          <cell r="U1254" t="str">
            <v>-</v>
          </cell>
          <cell r="W1254" t="str">
            <v>-</v>
          </cell>
          <cell r="X1254" t="str">
            <v>-</v>
          </cell>
        </row>
        <row r="1255">
          <cell r="A1255">
            <v>72221247</v>
          </cell>
          <cell r="B1255">
            <v>1813</v>
          </cell>
          <cell r="C1255" t="str">
            <v>무지개송어</v>
          </cell>
          <cell r="D1255" t="str">
            <v>C</v>
          </cell>
          <cell r="E1255">
            <v>70409161</v>
          </cell>
          <cell r="H1255" t="str">
            <v>-</v>
          </cell>
          <cell r="I1255" t="str">
            <v>-</v>
          </cell>
          <cell r="K1255" t="str">
            <v>-</v>
          </cell>
          <cell r="L1255" t="str">
            <v>-</v>
          </cell>
          <cell r="N1255" t="str">
            <v>-</v>
          </cell>
          <cell r="O1255" t="str">
            <v>-</v>
          </cell>
          <cell r="Q1255" t="str">
            <v>-</v>
          </cell>
          <cell r="R1255" t="str">
            <v>-</v>
          </cell>
          <cell r="T1255" t="str">
            <v>-</v>
          </cell>
          <cell r="U1255" t="str">
            <v>-</v>
          </cell>
          <cell r="W1255" t="str">
            <v>-</v>
          </cell>
          <cell r="X1255" t="str">
            <v>-</v>
          </cell>
        </row>
        <row r="1256">
          <cell r="A1256">
            <v>72221248</v>
          </cell>
          <cell r="B1256">
            <v>1813</v>
          </cell>
          <cell r="C1256" t="str">
            <v>제비날치</v>
          </cell>
          <cell r="D1256" t="str">
            <v>B</v>
          </cell>
          <cell r="E1256">
            <v>70409321</v>
          </cell>
          <cell r="H1256" t="str">
            <v>-</v>
          </cell>
          <cell r="I1256" t="str">
            <v>-</v>
          </cell>
          <cell r="K1256" t="str">
            <v>-</v>
          </cell>
          <cell r="L1256" t="str">
            <v>-</v>
          </cell>
          <cell r="N1256" t="str">
            <v>-</v>
          </cell>
          <cell r="O1256" t="str">
            <v>-</v>
          </cell>
          <cell r="Q1256" t="str">
            <v>-</v>
          </cell>
          <cell r="R1256" t="str">
            <v>-</v>
          </cell>
          <cell r="T1256" t="str">
            <v>-</v>
          </cell>
          <cell r="U1256" t="str">
            <v>-</v>
          </cell>
          <cell r="W1256" t="str">
            <v>-</v>
          </cell>
          <cell r="X1256" t="str">
            <v>-</v>
          </cell>
        </row>
        <row r="1257">
          <cell r="A1257">
            <v>72221249</v>
          </cell>
          <cell r="B1257">
            <v>1813</v>
          </cell>
          <cell r="C1257" t="str">
            <v>두툽상어</v>
          </cell>
          <cell r="D1257" t="str">
            <v>C</v>
          </cell>
          <cell r="E1257">
            <v>70409130</v>
          </cell>
          <cell r="H1257" t="str">
            <v>-</v>
          </cell>
          <cell r="I1257" t="str">
            <v>-</v>
          </cell>
          <cell r="K1257" t="str">
            <v>-</v>
          </cell>
          <cell r="L1257" t="str">
            <v>-</v>
          </cell>
          <cell r="N1257" t="str">
            <v>-</v>
          </cell>
          <cell r="O1257" t="str">
            <v>-</v>
          </cell>
          <cell r="Q1257" t="str">
            <v>-</v>
          </cell>
          <cell r="R1257" t="str">
            <v>-</v>
          </cell>
          <cell r="T1257" t="str">
            <v>-</v>
          </cell>
          <cell r="U1257" t="str">
            <v>-</v>
          </cell>
          <cell r="W1257" t="str">
            <v>-</v>
          </cell>
          <cell r="X1257" t="str">
            <v>-</v>
          </cell>
        </row>
        <row r="1258">
          <cell r="A1258">
            <v>72221250</v>
          </cell>
          <cell r="B1258">
            <v>1813</v>
          </cell>
          <cell r="C1258" t="str">
            <v>얼룩상어</v>
          </cell>
          <cell r="D1258" t="str">
            <v>S</v>
          </cell>
          <cell r="E1258">
            <v>70409286</v>
          </cell>
          <cell r="H1258" t="str">
            <v>-</v>
          </cell>
          <cell r="I1258" t="str">
            <v>-</v>
          </cell>
          <cell r="K1258" t="str">
            <v>-</v>
          </cell>
          <cell r="L1258" t="str">
            <v>-</v>
          </cell>
          <cell r="N1258" t="str">
            <v>-</v>
          </cell>
          <cell r="O1258" t="str">
            <v>-</v>
          </cell>
          <cell r="Q1258" t="str">
            <v>-</v>
          </cell>
          <cell r="R1258" t="str">
            <v>-</v>
          </cell>
          <cell r="T1258" t="str">
            <v>-</v>
          </cell>
          <cell r="U1258" t="str">
            <v>-</v>
          </cell>
          <cell r="W1258" t="str">
            <v>-</v>
          </cell>
          <cell r="X1258" t="str">
            <v>-</v>
          </cell>
        </row>
        <row r="1259">
          <cell r="A1259">
            <v>72221251</v>
          </cell>
          <cell r="B1259">
            <v>1814</v>
          </cell>
          <cell r="C1259" t="str">
            <v>그물코쥐치</v>
          </cell>
          <cell r="D1259" t="str">
            <v>B</v>
          </cell>
          <cell r="E1259">
            <v>70409041</v>
          </cell>
          <cell r="H1259" t="str">
            <v>-</v>
          </cell>
          <cell r="I1259" t="str">
            <v>-</v>
          </cell>
          <cell r="K1259" t="str">
            <v>-</v>
          </cell>
          <cell r="L1259" t="str">
            <v>-</v>
          </cell>
          <cell r="N1259" t="str">
            <v>-</v>
          </cell>
          <cell r="O1259" t="str">
            <v>-</v>
          </cell>
          <cell r="Q1259" t="str">
            <v>-</v>
          </cell>
          <cell r="R1259" t="str">
            <v>-</v>
          </cell>
          <cell r="T1259" t="str">
            <v>-</v>
          </cell>
          <cell r="U1259" t="str">
            <v>-</v>
          </cell>
          <cell r="W1259" t="str">
            <v>-</v>
          </cell>
          <cell r="X1259" t="str">
            <v>-</v>
          </cell>
        </row>
        <row r="1260">
          <cell r="A1260">
            <v>72221252</v>
          </cell>
          <cell r="B1260">
            <v>1814</v>
          </cell>
          <cell r="C1260" t="str">
            <v>두줄망둑</v>
          </cell>
          <cell r="D1260" t="str">
            <v>B</v>
          </cell>
          <cell r="E1260">
            <v>70409127</v>
          </cell>
          <cell r="H1260" t="str">
            <v>-</v>
          </cell>
          <cell r="I1260" t="str">
            <v>-</v>
          </cell>
          <cell r="K1260" t="str">
            <v>-</v>
          </cell>
          <cell r="L1260" t="str">
            <v>-</v>
          </cell>
          <cell r="N1260" t="str">
            <v>-</v>
          </cell>
          <cell r="O1260" t="str">
            <v>-</v>
          </cell>
          <cell r="Q1260" t="str">
            <v>-</v>
          </cell>
          <cell r="R1260" t="str">
            <v>-</v>
          </cell>
          <cell r="T1260" t="str">
            <v>-</v>
          </cell>
          <cell r="U1260" t="str">
            <v>-</v>
          </cell>
          <cell r="W1260" t="str">
            <v>-</v>
          </cell>
          <cell r="X1260" t="str">
            <v>-</v>
          </cell>
        </row>
        <row r="1261">
          <cell r="A1261">
            <v>72221253</v>
          </cell>
          <cell r="B1261">
            <v>1814</v>
          </cell>
          <cell r="C1261" t="str">
            <v>무지개송어</v>
          </cell>
          <cell r="D1261" t="str">
            <v>C</v>
          </cell>
          <cell r="E1261">
            <v>70409161</v>
          </cell>
          <cell r="H1261" t="str">
            <v>-</v>
          </cell>
          <cell r="I1261" t="str">
            <v>-</v>
          </cell>
          <cell r="K1261" t="str">
            <v>-</v>
          </cell>
          <cell r="L1261" t="str">
            <v>-</v>
          </cell>
          <cell r="N1261" t="str">
            <v>-</v>
          </cell>
          <cell r="O1261" t="str">
            <v>-</v>
          </cell>
          <cell r="Q1261" t="str">
            <v>-</v>
          </cell>
          <cell r="R1261" t="str">
            <v>-</v>
          </cell>
          <cell r="T1261" t="str">
            <v>-</v>
          </cell>
          <cell r="U1261" t="str">
            <v>-</v>
          </cell>
          <cell r="W1261" t="str">
            <v>-</v>
          </cell>
          <cell r="X1261" t="str">
            <v>-</v>
          </cell>
        </row>
        <row r="1262">
          <cell r="A1262">
            <v>72221254</v>
          </cell>
          <cell r="B1262">
            <v>1814</v>
          </cell>
          <cell r="C1262" t="str">
            <v>제비날치</v>
          </cell>
          <cell r="D1262" t="str">
            <v>B</v>
          </cell>
          <cell r="E1262">
            <v>70409321</v>
          </cell>
          <cell r="H1262" t="str">
            <v>-</v>
          </cell>
          <cell r="I1262" t="str">
            <v>-</v>
          </cell>
          <cell r="K1262" t="str">
            <v>-</v>
          </cell>
          <cell r="L1262" t="str">
            <v>-</v>
          </cell>
          <cell r="N1262" t="str">
            <v>-</v>
          </cell>
          <cell r="O1262" t="str">
            <v>-</v>
          </cell>
          <cell r="Q1262" t="str">
            <v>-</v>
          </cell>
          <cell r="R1262" t="str">
            <v>-</v>
          </cell>
          <cell r="T1262" t="str">
            <v>-</v>
          </cell>
          <cell r="U1262" t="str">
            <v>-</v>
          </cell>
          <cell r="W1262" t="str">
            <v>-</v>
          </cell>
          <cell r="X1262" t="str">
            <v>-</v>
          </cell>
        </row>
        <row r="1263">
          <cell r="A1263">
            <v>72221255</v>
          </cell>
          <cell r="B1263">
            <v>1814</v>
          </cell>
          <cell r="C1263" t="str">
            <v>두툽상어</v>
          </cell>
          <cell r="D1263" t="str">
            <v>C</v>
          </cell>
          <cell r="E1263">
            <v>70409130</v>
          </cell>
          <cell r="H1263" t="str">
            <v>-</v>
          </cell>
          <cell r="I1263" t="str">
            <v>-</v>
          </cell>
          <cell r="K1263" t="str">
            <v>-</v>
          </cell>
          <cell r="L1263" t="str">
            <v>-</v>
          </cell>
          <cell r="N1263" t="str">
            <v>-</v>
          </cell>
          <cell r="O1263" t="str">
            <v>-</v>
          </cell>
          <cell r="Q1263" t="str">
            <v>-</v>
          </cell>
          <cell r="R1263" t="str">
            <v>-</v>
          </cell>
          <cell r="T1263" t="str">
            <v>-</v>
          </cell>
          <cell r="U1263" t="str">
            <v>-</v>
          </cell>
          <cell r="W1263" t="str">
            <v>-</v>
          </cell>
          <cell r="X1263" t="str">
            <v>-</v>
          </cell>
        </row>
        <row r="1264">
          <cell r="A1264">
            <v>72221256</v>
          </cell>
          <cell r="B1264">
            <v>1814</v>
          </cell>
          <cell r="C1264" t="str">
            <v>얼룩상어</v>
          </cell>
          <cell r="D1264" t="str">
            <v>S</v>
          </cell>
          <cell r="E1264">
            <v>70409286</v>
          </cell>
          <cell r="H1264" t="str">
            <v>-</v>
          </cell>
          <cell r="I1264" t="str">
            <v>-</v>
          </cell>
          <cell r="K1264" t="str">
            <v>-</v>
          </cell>
          <cell r="L1264" t="str">
            <v>-</v>
          </cell>
          <cell r="N1264" t="str">
            <v>-</v>
          </cell>
          <cell r="O1264" t="str">
            <v>-</v>
          </cell>
          <cell r="Q1264" t="str">
            <v>-</v>
          </cell>
          <cell r="R1264" t="str">
            <v>-</v>
          </cell>
          <cell r="T1264" t="str">
            <v>-</v>
          </cell>
          <cell r="U1264" t="str">
            <v>-</v>
          </cell>
          <cell r="W1264" t="str">
            <v>-</v>
          </cell>
          <cell r="X1264" t="str">
            <v>-</v>
          </cell>
        </row>
        <row r="1265">
          <cell r="A1265">
            <v>72221257</v>
          </cell>
          <cell r="B1265">
            <v>1821</v>
          </cell>
          <cell r="C1265" t="str">
            <v>먹붕장어</v>
          </cell>
          <cell r="D1265" t="str">
            <v>B</v>
          </cell>
          <cell r="E1265">
            <v>70409145</v>
          </cell>
          <cell r="H1265" t="str">
            <v>-</v>
          </cell>
          <cell r="I1265" t="str">
            <v>-</v>
          </cell>
          <cell r="K1265" t="str">
            <v>-</v>
          </cell>
          <cell r="L1265" t="str">
            <v>-</v>
          </cell>
          <cell r="N1265" t="str">
            <v>-</v>
          </cell>
          <cell r="O1265" t="str">
            <v>-</v>
          </cell>
          <cell r="Q1265" t="str">
            <v>-</v>
          </cell>
          <cell r="R1265" t="str">
            <v>-</v>
          </cell>
          <cell r="T1265" t="str">
            <v>-</v>
          </cell>
          <cell r="U1265" t="str">
            <v>-</v>
          </cell>
          <cell r="W1265" t="str">
            <v>-</v>
          </cell>
          <cell r="X1265" t="str">
            <v>-</v>
          </cell>
        </row>
        <row r="1266">
          <cell r="A1266">
            <v>72221258</v>
          </cell>
          <cell r="B1266">
            <v>1821</v>
          </cell>
          <cell r="C1266" t="str">
            <v>별보리멸</v>
          </cell>
          <cell r="D1266" t="str">
            <v>C</v>
          </cell>
          <cell r="E1266">
            <v>70409200</v>
          </cell>
          <cell r="H1266" t="str">
            <v>-</v>
          </cell>
          <cell r="I1266" t="str">
            <v>-</v>
          </cell>
          <cell r="K1266" t="str">
            <v>-</v>
          </cell>
          <cell r="L1266" t="str">
            <v>-</v>
          </cell>
          <cell r="N1266" t="str">
            <v>-</v>
          </cell>
          <cell r="O1266" t="str">
            <v>-</v>
          </cell>
          <cell r="Q1266" t="str">
            <v>-</v>
          </cell>
          <cell r="R1266" t="str">
            <v>-</v>
          </cell>
          <cell r="T1266" t="str">
            <v>-</v>
          </cell>
          <cell r="U1266" t="str">
            <v>-</v>
          </cell>
          <cell r="W1266" t="str">
            <v>-</v>
          </cell>
          <cell r="X1266" t="str">
            <v>-</v>
          </cell>
        </row>
        <row r="1267">
          <cell r="A1267">
            <v>72221259</v>
          </cell>
          <cell r="B1267">
            <v>1821</v>
          </cell>
          <cell r="C1267" t="str">
            <v>큰눈홍치</v>
          </cell>
          <cell r="D1267" t="str">
            <v>D</v>
          </cell>
          <cell r="E1267">
            <v>70409359</v>
          </cell>
          <cell r="H1267" t="str">
            <v>-</v>
          </cell>
          <cell r="I1267" t="str">
            <v>-</v>
          </cell>
          <cell r="K1267" t="str">
            <v>-</v>
          </cell>
          <cell r="L1267" t="str">
            <v>-</v>
          </cell>
          <cell r="N1267" t="str">
            <v>-</v>
          </cell>
          <cell r="O1267" t="str">
            <v>-</v>
          </cell>
          <cell r="Q1267" t="str">
            <v>-</v>
          </cell>
          <cell r="R1267" t="str">
            <v>-</v>
          </cell>
          <cell r="T1267" t="str">
            <v>-</v>
          </cell>
          <cell r="U1267" t="str">
            <v>-</v>
          </cell>
          <cell r="W1267" t="str">
            <v>-</v>
          </cell>
          <cell r="X1267" t="str">
            <v>-</v>
          </cell>
        </row>
        <row r="1268">
          <cell r="A1268">
            <v>72221260</v>
          </cell>
          <cell r="B1268">
            <v>1822</v>
          </cell>
          <cell r="C1268" t="str">
            <v>먹붕장어</v>
          </cell>
          <cell r="D1268" t="str">
            <v>B</v>
          </cell>
          <cell r="E1268">
            <v>70409145</v>
          </cell>
          <cell r="H1268" t="str">
            <v>-</v>
          </cell>
          <cell r="I1268" t="str">
            <v>-</v>
          </cell>
          <cell r="K1268" t="str">
            <v>-</v>
          </cell>
          <cell r="L1268" t="str">
            <v>-</v>
          </cell>
          <cell r="N1268" t="str">
            <v>-</v>
          </cell>
          <cell r="O1268" t="str">
            <v>-</v>
          </cell>
          <cell r="Q1268" t="str">
            <v>-</v>
          </cell>
          <cell r="R1268" t="str">
            <v>-</v>
          </cell>
          <cell r="T1268" t="str">
            <v>-</v>
          </cell>
          <cell r="U1268" t="str">
            <v>-</v>
          </cell>
          <cell r="W1268" t="str">
            <v>-</v>
          </cell>
          <cell r="X1268" t="str">
            <v>-</v>
          </cell>
        </row>
        <row r="1269">
          <cell r="A1269">
            <v>72221261</v>
          </cell>
          <cell r="B1269">
            <v>1822</v>
          </cell>
          <cell r="C1269" t="str">
            <v>별보리멸</v>
          </cell>
          <cell r="D1269" t="str">
            <v>C</v>
          </cell>
          <cell r="E1269">
            <v>70409200</v>
          </cell>
          <cell r="H1269" t="str">
            <v>-</v>
          </cell>
          <cell r="I1269" t="str">
            <v>-</v>
          </cell>
          <cell r="K1269" t="str">
            <v>-</v>
          </cell>
          <cell r="L1269" t="str">
            <v>-</v>
          </cell>
          <cell r="N1269" t="str">
            <v>-</v>
          </cell>
          <cell r="O1269" t="str">
            <v>-</v>
          </cell>
          <cell r="Q1269" t="str">
            <v>-</v>
          </cell>
          <cell r="R1269" t="str">
            <v>-</v>
          </cell>
          <cell r="T1269" t="str">
            <v>-</v>
          </cell>
          <cell r="U1269" t="str">
            <v>-</v>
          </cell>
          <cell r="W1269" t="str">
            <v>-</v>
          </cell>
          <cell r="X1269" t="str">
            <v>-</v>
          </cell>
        </row>
        <row r="1270">
          <cell r="A1270">
            <v>72221262</v>
          </cell>
          <cell r="B1270">
            <v>1822</v>
          </cell>
          <cell r="C1270" t="str">
            <v>큰눈홍치</v>
          </cell>
          <cell r="D1270" t="str">
            <v>D</v>
          </cell>
          <cell r="E1270">
            <v>70409359</v>
          </cell>
          <cell r="H1270" t="str">
            <v>-</v>
          </cell>
          <cell r="I1270" t="str">
            <v>-</v>
          </cell>
          <cell r="K1270" t="str">
            <v>-</v>
          </cell>
          <cell r="L1270" t="str">
            <v>-</v>
          </cell>
          <cell r="N1270" t="str">
            <v>-</v>
          </cell>
          <cell r="O1270" t="str">
            <v>-</v>
          </cell>
          <cell r="Q1270" t="str">
            <v>-</v>
          </cell>
          <cell r="R1270" t="str">
            <v>-</v>
          </cell>
          <cell r="T1270" t="str">
            <v>-</v>
          </cell>
          <cell r="U1270" t="str">
            <v>-</v>
          </cell>
          <cell r="W1270" t="str">
            <v>-</v>
          </cell>
          <cell r="X1270" t="str">
            <v>-</v>
          </cell>
        </row>
        <row r="1271">
          <cell r="A1271">
            <v>72221263</v>
          </cell>
          <cell r="B1271">
            <v>1823</v>
          </cell>
          <cell r="C1271" t="str">
            <v>먹붕장어</v>
          </cell>
          <cell r="D1271" t="str">
            <v>B</v>
          </cell>
          <cell r="E1271">
            <v>70409145</v>
          </cell>
          <cell r="H1271" t="str">
            <v>-</v>
          </cell>
          <cell r="I1271" t="str">
            <v>-</v>
          </cell>
          <cell r="K1271" t="str">
            <v>-</v>
          </cell>
          <cell r="L1271" t="str">
            <v>-</v>
          </cell>
          <cell r="N1271" t="str">
            <v>-</v>
          </cell>
          <cell r="O1271" t="str">
            <v>-</v>
          </cell>
          <cell r="Q1271" t="str">
            <v>-</v>
          </cell>
          <cell r="R1271" t="str">
            <v>-</v>
          </cell>
          <cell r="T1271" t="str">
            <v>-</v>
          </cell>
          <cell r="U1271" t="str">
            <v>-</v>
          </cell>
          <cell r="W1271" t="str">
            <v>-</v>
          </cell>
          <cell r="X1271" t="str">
            <v>-</v>
          </cell>
        </row>
        <row r="1272">
          <cell r="A1272">
            <v>72221264</v>
          </cell>
          <cell r="B1272">
            <v>1823</v>
          </cell>
          <cell r="C1272" t="str">
            <v>별보리멸</v>
          </cell>
          <cell r="D1272" t="str">
            <v>C</v>
          </cell>
          <cell r="E1272">
            <v>70409200</v>
          </cell>
          <cell r="H1272" t="str">
            <v>-</v>
          </cell>
          <cell r="I1272" t="str">
            <v>-</v>
          </cell>
          <cell r="K1272" t="str">
            <v>-</v>
          </cell>
          <cell r="L1272" t="str">
            <v>-</v>
          </cell>
          <cell r="N1272" t="str">
            <v>-</v>
          </cell>
          <cell r="O1272" t="str">
            <v>-</v>
          </cell>
          <cell r="Q1272" t="str">
            <v>-</v>
          </cell>
          <cell r="R1272" t="str">
            <v>-</v>
          </cell>
          <cell r="T1272" t="str">
            <v>-</v>
          </cell>
          <cell r="U1272" t="str">
            <v>-</v>
          </cell>
          <cell r="W1272" t="str">
            <v>-</v>
          </cell>
          <cell r="X1272" t="str">
            <v>-</v>
          </cell>
        </row>
        <row r="1273">
          <cell r="A1273">
            <v>72221265</v>
          </cell>
          <cell r="B1273">
            <v>1823</v>
          </cell>
          <cell r="C1273" t="str">
            <v>큰눈홍치</v>
          </cell>
          <cell r="D1273" t="str">
            <v>D</v>
          </cell>
          <cell r="E1273">
            <v>70409359</v>
          </cell>
          <cell r="H1273" t="str">
            <v>-</v>
          </cell>
          <cell r="I1273" t="str">
            <v>-</v>
          </cell>
          <cell r="K1273" t="str">
            <v>-</v>
          </cell>
          <cell r="L1273" t="str">
            <v>-</v>
          </cell>
          <cell r="N1273" t="str">
            <v>-</v>
          </cell>
          <cell r="O1273" t="str">
            <v>-</v>
          </cell>
          <cell r="Q1273" t="str">
            <v>-</v>
          </cell>
          <cell r="R1273" t="str">
            <v>-</v>
          </cell>
          <cell r="T1273" t="str">
            <v>-</v>
          </cell>
          <cell r="U1273" t="str">
            <v>-</v>
          </cell>
          <cell r="W1273" t="str">
            <v>-</v>
          </cell>
          <cell r="X1273" t="str">
            <v>-</v>
          </cell>
        </row>
        <row r="1274">
          <cell r="A1274">
            <v>72221266</v>
          </cell>
          <cell r="B1274">
            <v>1824</v>
          </cell>
          <cell r="C1274" t="str">
            <v>먹붕장어</v>
          </cell>
          <cell r="D1274" t="str">
            <v>B</v>
          </cell>
          <cell r="E1274">
            <v>70409145</v>
          </cell>
          <cell r="H1274" t="str">
            <v>-</v>
          </cell>
          <cell r="I1274" t="str">
            <v>-</v>
          </cell>
          <cell r="K1274" t="str">
            <v>-</v>
          </cell>
          <cell r="L1274" t="str">
            <v>-</v>
          </cell>
          <cell r="N1274" t="str">
            <v>-</v>
          </cell>
          <cell r="O1274" t="str">
            <v>-</v>
          </cell>
          <cell r="Q1274" t="str">
            <v>-</v>
          </cell>
          <cell r="R1274" t="str">
            <v>-</v>
          </cell>
          <cell r="T1274" t="str">
            <v>-</v>
          </cell>
          <cell r="U1274" t="str">
            <v>-</v>
          </cell>
          <cell r="W1274" t="str">
            <v>-</v>
          </cell>
          <cell r="X1274" t="str">
            <v>-</v>
          </cell>
        </row>
        <row r="1275">
          <cell r="A1275">
            <v>72221267</v>
          </cell>
          <cell r="B1275">
            <v>1824</v>
          </cell>
          <cell r="C1275" t="str">
            <v>별보리멸</v>
          </cell>
          <cell r="D1275" t="str">
            <v>C</v>
          </cell>
          <cell r="E1275">
            <v>70409200</v>
          </cell>
          <cell r="H1275" t="str">
            <v>-</v>
          </cell>
          <cell r="I1275" t="str">
            <v>-</v>
          </cell>
          <cell r="K1275" t="str">
            <v>-</v>
          </cell>
          <cell r="L1275" t="str">
            <v>-</v>
          </cell>
          <cell r="N1275" t="str">
            <v>-</v>
          </cell>
          <cell r="O1275" t="str">
            <v>-</v>
          </cell>
          <cell r="Q1275" t="str">
            <v>-</v>
          </cell>
          <cell r="R1275" t="str">
            <v>-</v>
          </cell>
          <cell r="T1275" t="str">
            <v>-</v>
          </cell>
          <cell r="U1275" t="str">
            <v>-</v>
          </cell>
          <cell r="W1275" t="str">
            <v>-</v>
          </cell>
          <cell r="X1275" t="str">
            <v>-</v>
          </cell>
        </row>
        <row r="1276">
          <cell r="A1276">
            <v>72221268</v>
          </cell>
          <cell r="B1276">
            <v>1824</v>
          </cell>
          <cell r="C1276" t="str">
            <v>큰눈홍치</v>
          </cell>
          <cell r="D1276" t="str">
            <v>D</v>
          </cell>
          <cell r="E1276">
            <v>70409359</v>
          </cell>
          <cell r="H1276" t="str">
            <v>-</v>
          </cell>
          <cell r="I1276" t="str">
            <v>-</v>
          </cell>
          <cell r="K1276" t="str">
            <v>-</v>
          </cell>
          <cell r="L1276" t="str">
            <v>-</v>
          </cell>
          <cell r="N1276" t="str">
            <v>-</v>
          </cell>
          <cell r="O1276" t="str">
            <v>-</v>
          </cell>
          <cell r="Q1276" t="str">
            <v>-</v>
          </cell>
          <cell r="R1276" t="str">
            <v>-</v>
          </cell>
          <cell r="T1276" t="str">
            <v>-</v>
          </cell>
          <cell r="U1276" t="str">
            <v>-</v>
          </cell>
          <cell r="W1276" t="str">
            <v>-</v>
          </cell>
          <cell r="X1276" t="str">
            <v>-</v>
          </cell>
        </row>
        <row r="1277">
          <cell r="A1277">
            <v>72221269</v>
          </cell>
          <cell r="B1277">
            <v>1831</v>
          </cell>
          <cell r="C1277" t="str">
            <v>쑥감펭</v>
          </cell>
          <cell r="D1277" t="str">
            <v>S</v>
          </cell>
          <cell r="E1277">
            <v>70409270</v>
          </cell>
          <cell r="H1277" t="str">
            <v>-</v>
          </cell>
          <cell r="I1277" t="str">
            <v>-</v>
          </cell>
          <cell r="K1277" t="str">
            <v>-</v>
          </cell>
          <cell r="L1277" t="str">
            <v>-</v>
          </cell>
          <cell r="N1277" t="str">
            <v>-</v>
          </cell>
          <cell r="O1277" t="str">
            <v>-</v>
          </cell>
          <cell r="Q1277" t="str">
            <v>-</v>
          </cell>
          <cell r="R1277" t="str">
            <v>-</v>
          </cell>
          <cell r="T1277" t="str">
            <v>-</v>
          </cell>
          <cell r="U1277" t="str">
            <v>-</v>
          </cell>
          <cell r="W1277" t="str">
            <v>-</v>
          </cell>
          <cell r="X1277" t="str">
            <v>-</v>
          </cell>
        </row>
        <row r="1278">
          <cell r="A1278">
            <v>72221270</v>
          </cell>
          <cell r="B1278">
            <v>1831</v>
          </cell>
          <cell r="C1278" t="str">
            <v>하스돔</v>
          </cell>
          <cell r="D1278" t="str">
            <v>A</v>
          </cell>
          <cell r="E1278">
            <v>70409386</v>
          </cell>
          <cell r="H1278" t="str">
            <v>-</v>
          </cell>
          <cell r="I1278" t="str">
            <v>-</v>
          </cell>
          <cell r="K1278" t="str">
            <v>-</v>
          </cell>
          <cell r="L1278" t="str">
            <v>-</v>
          </cell>
          <cell r="N1278" t="str">
            <v>-</v>
          </cell>
          <cell r="O1278" t="str">
            <v>-</v>
          </cell>
          <cell r="Q1278" t="str">
            <v>-</v>
          </cell>
          <cell r="R1278" t="str">
            <v>-</v>
          </cell>
          <cell r="T1278" t="str">
            <v>-</v>
          </cell>
          <cell r="U1278" t="str">
            <v>-</v>
          </cell>
          <cell r="W1278" t="str">
            <v>-</v>
          </cell>
          <cell r="X1278" t="str">
            <v>-</v>
          </cell>
        </row>
        <row r="1279">
          <cell r="A1279">
            <v>72221271</v>
          </cell>
          <cell r="B1279">
            <v>1831</v>
          </cell>
          <cell r="C1279" t="str">
            <v>학공치</v>
          </cell>
          <cell r="D1279" t="str">
            <v>B</v>
          </cell>
          <cell r="E1279">
            <v>70409387</v>
          </cell>
          <cell r="H1279" t="str">
            <v>-</v>
          </cell>
          <cell r="I1279" t="str">
            <v>-</v>
          </cell>
          <cell r="K1279" t="str">
            <v>-</v>
          </cell>
          <cell r="L1279" t="str">
            <v>-</v>
          </cell>
          <cell r="N1279" t="str">
            <v>-</v>
          </cell>
          <cell r="O1279" t="str">
            <v>-</v>
          </cell>
          <cell r="Q1279" t="str">
            <v>-</v>
          </cell>
          <cell r="R1279" t="str">
            <v>-</v>
          </cell>
          <cell r="T1279" t="str">
            <v>-</v>
          </cell>
          <cell r="U1279" t="str">
            <v>-</v>
          </cell>
          <cell r="W1279" t="str">
            <v>-</v>
          </cell>
          <cell r="X1279" t="str">
            <v>-</v>
          </cell>
        </row>
        <row r="1280">
          <cell r="A1280">
            <v>72221272</v>
          </cell>
          <cell r="B1280">
            <v>1831</v>
          </cell>
          <cell r="C1280" t="str">
            <v>줄갈돔</v>
          </cell>
          <cell r="D1280" t="str">
            <v>D</v>
          </cell>
          <cell r="E1280">
            <v>70409327</v>
          </cell>
          <cell r="H1280" t="str">
            <v>-</v>
          </cell>
          <cell r="I1280" t="str">
            <v>-</v>
          </cell>
          <cell r="K1280" t="str">
            <v>-</v>
          </cell>
          <cell r="L1280" t="str">
            <v>-</v>
          </cell>
          <cell r="N1280" t="str">
            <v>-</v>
          </cell>
          <cell r="O1280" t="str">
            <v>-</v>
          </cell>
          <cell r="Q1280" t="str">
            <v>-</v>
          </cell>
          <cell r="R1280" t="str">
            <v>-</v>
          </cell>
          <cell r="T1280" t="str">
            <v>-</v>
          </cell>
          <cell r="U1280" t="str">
            <v>-</v>
          </cell>
          <cell r="W1280" t="str">
            <v>-</v>
          </cell>
          <cell r="X1280" t="str">
            <v>-</v>
          </cell>
        </row>
        <row r="1281">
          <cell r="A1281">
            <v>72221273</v>
          </cell>
          <cell r="B1281">
            <v>1831</v>
          </cell>
          <cell r="C1281" t="str">
            <v>실붉돔</v>
          </cell>
          <cell r="D1281" t="str">
            <v>D</v>
          </cell>
          <cell r="E1281">
            <v>70409265</v>
          </cell>
          <cell r="H1281" t="str">
            <v>-</v>
          </cell>
          <cell r="I1281" t="str">
            <v>-</v>
          </cell>
          <cell r="K1281" t="str">
            <v>-</v>
          </cell>
          <cell r="L1281" t="str">
            <v>-</v>
          </cell>
          <cell r="N1281" t="str">
            <v>-</v>
          </cell>
          <cell r="O1281" t="str">
            <v>-</v>
          </cell>
          <cell r="Q1281" t="str">
            <v>-</v>
          </cell>
          <cell r="R1281" t="str">
            <v>-</v>
          </cell>
          <cell r="T1281" t="str">
            <v>-</v>
          </cell>
          <cell r="U1281" t="str">
            <v>-</v>
          </cell>
          <cell r="W1281" t="str">
            <v>-</v>
          </cell>
          <cell r="X1281" t="str">
            <v>-</v>
          </cell>
        </row>
        <row r="1282">
          <cell r="A1282">
            <v>72221274</v>
          </cell>
          <cell r="B1282">
            <v>1832</v>
          </cell>
          <cell r="C1282" t="str">
            <v>쑥감펭</v>
          </cell>
          <cell r="D1282" t="str">
            <v>S</v>
          </cell>
          <cell r="E1282">
            <v>70409270</v>
          </cell>
          <cell r="H1282" t="str">
            <v>-</v>
          </cell>
          <cell r="I1282" t="str">
            <v>-</v>
          </cell>
          <cell r="K1282" t="str">
            <v>-</v>
          </cell>
          <cell r="L1282" t="str">
            <v>-</v>
          </cell>
          <cell r="N1282" t="str">
            <v>-</v>
          </cell>
          <cell r="O1282" t="str">
            <v>-</v>
          </cell>
          <cell r="Q1282" t="str">
            <v>-</v>
          </cell>
          <cell r="R1282" t="str">
            <v>-</v>
          </cell>
          <cell r="T1282" t="str">
            <v>-</v>
          </cell>
          <cell r="U1282" t="str">
            <v>-</v>
          </cell>
          <cell r="W1282" t="str">
            <v>-</v>
          </cell>
          <cell r="X1282" t="str">
            <v>-</v>
          </cell>
        </row>
        <row r="1283">
          <cell r="A1283">
            <v>72221275</v>
          </cell>
          <cell r="B1283">
            <v>1832</v>
          </cell>
          <cell r="C1283" t="str">
            <v>하스돔</v>
          </cell>
          <cell r="D1283" t="str">
            <v>A</v>
          </cell>
          <cell r="E1283">
            <v>70409386</v>
          </cell>
          <cell r="H1283" t="str">
            <v>-</v>
          </cell>
          <cell r="I1283" t="str">
            <v>-</v>
          </cell>
          <cell r="K1283" t="str">
            <v>-</v>
          </cell>
          <cell r="L1283" t="str">
            <v>-</v>
          </cell>
          <cell r="N1283" t="str">
            <v>-</v>
          </cell>
          <cell r="O1283" t="str">
            <v>-</v>
          </cell>
          <cell r="Q1283" t="str">
            <v>-</v>
          </cell>
          <cell r="R1283" t="str">
            <v>-</v>
          </cell>
          <cell r="T1283" t="str">
            <v>-</v>
          </cell>
          <cell r="U1283" t="str">
            <v>-</v>
          </cell>
          <cell r="W1283" t="str">
            <v>-</v>
          </cell>
          <cell r="X1283" t="str">
            <v>-</v>
          </cell>
        </row>
        <row r="1284">
          <cell r="A1284">
            <v>72221276</v>
          </cell>
          <cell r="B1284">
            <v>1832</v>
          </cell>
          <cell r="C1284" t="str">
            <v>학공치</v>
          </cell>
          <cell r="D1284" t="str">
            <v>B</v>
          </cell>
          <cell r="E1284">
            <v>70409387</v>
          </cell>
          <cell r="H1284" t="str">
            <v>-</v>
          </cell>
          <cell r="I1284" t="str">
            <v>-</v>
          </cell>
          <cell r="K1284" t="str">
            <v>-</v>
          </cell>
          <cell r="L1284" t="str">
            <v>-</v>
          </cell>
          <cell r="N1284" t="str">
            <v>-</v>
          </cell>
          <cell r="O1284" t="str">
            <v>-</v>
          </cell>
          <cell r="Q1284" t="str">
            <v>-</v>
          </cell>
          <cell r="R1284" t="str">
            <v>-</v>
          </cell>
          <cell r="T1284" t="str">
            <v>-</v>
          </cell>
          <cell r="U1284" t="str">
            <v>-</v>
          </cell>
          <cell r="W1284" t="str">
            <v>-</v>
          </cell>
          <cell r="X1284" t="str">
            <v>-</v>
          </cell>
        </row>
        <row r="1285">
          <cell r="A1285">
            <v>72221277</v>
          </cell>
          <cell r="B1285">
            <v>1832</v>
          </cell>
          <cell r="C1285" t="str">
            <v>줄갈돔</v>
          </cell>
          <cell r="D1285" t="str">
            <v>D</v>
          </cell>
          <cell r="E1285">
            <v>70409327</v>
          </cell>
          <cell r="H1285" t="str">
            <v>-</v>
          </cell>
          <cell r="I1285" t="str">
            <v>-</v>
          </cell>
          <cell r="K1285" t="str">
            <v>-</v>
          </cell>
          <cell r="L1285" t="str">
            <v>-</v>
          </cell>
          <cell r="N1285" t="str">
            <v>-</v>
          </cell>
          <cell r="O1285" t="str">
            <v>-</v>
          </cell>
          <cell r="Q1285" t="str">
            <v>-</v>
          </cell>
          <cell r="R1285" t="str">
            <v>-</v>
          </cell>
          <cell r="T1285" t="str">
            <v>-</v>
          </cell>
          <cell r="U1285" t="str">
            <v>-</v>
          </cell>
          <cell r="W1285" t="str">
            <v>-</v>
          </cell>
          <cell r="X1285" t="str">
            <v>-</v>
          </cell>
        </row>
        <row r="1286">
          <cell r="A1286">
            <v>72221278</v>
          </cell>
          <cell r="B1286">
            <v>1832</v>
          </cell>
          <cell r="C1286" t="str">
            <v>실붉돔</v>
          </cell>
          <cell r="D1286" t="str">
            <v>D</v>
          </cell>
          <cell r="E1286">
            <v>70409265</v>
          </cell>
          <cell r="H1286" t="str">
            <v>-</v>
          </cell>
          <cell r="I1286" t="str">
            <v>-</v>
          </cell>
          <cell r="K1286" t="str">
            <v>-</v>
          </cell>
          <cell r="L1286" t="str">
            <v>-</v>
          </cell>
          <cell r="N1286" t="str">
            <v>-</v>
          </cell>
          <cell r="O1286" t="str">
            <v>-</v>
          </cell>
          <cell r="Q1286" t="str">
            <v>-</v>
          </cell>
          <cell r="R1286" t="str">
            <v>-</v>
          </cell>
          <cell r="T1286" t="str">
            <v>-</v>
          </cell>
          <cell r="U1286" t="str">
            <v>-</v>
          </cell>
          <cell r="W1286" t="str">
            <v>-</v>
          </cell>
          <cell r="X1286" t="str">
            <v>-</v>
          </cell>
        </row>
        <row r="1287">
          <cell r="A1287">
            <v>72221279</v>
          </cell>
          <cell r="B1287">
            <v>1833</v>
          </cell>
          <cell r="C1287" t="str">
            <v>쑥감펭</v>
          </cell>
          <cell r="D1287" t="str">
            <v>S</v>
          </cell>
          <cell r="E1287">
            <v>70409270</v>
          </cell>
          <cell r="H1287" t="str">
            <v>-</v>
          </cell>
          <cell r="I1287" t="str">
            <v>-</v>
          </cell>
          <cell r="K1287" t="str">
            <v>-</v>
          </cell>
          <cell r="L1287" t="str">
            <v>-</v>
          </cell>
          <cell r="N1287" t="str">
            <v>-</v>
          </cell>
          <cell r="O1287" t="str">
            <v>-</v>
          </cell>
          <cell r="Q1287" t="str">
            <v>-</v>
          </cell>
          <cell r="R1287" t="str">
            <v>-</v>
          </cell>
          <cell r="T1287" t="str">
            <v>-</v>
          </cell>
          <cell r="U1287" t="str">
            <v>-</v>
          </cell>
          <cell r="W1287" t="str">
            <v>-</v>
          </cell>
          <cell r="X1287" t="str">
            <v>-</v>
          </cell>
        </row>
        <row r="1288">
          <cell r="A1288">
            <v>72221280</v>
          </cell>
          <cell r="B1288">
            <v>1833</v>
          </cell>
          <cell r="C1288" t="str">
            <v>하스돔</v>
          </cell>
          <cell r="D1288" t="str">
            <v>A</v>
          </cell>
          <cell r="E1288">
            <v>70409386</v>
          </cell>
          <cell r="H1288" t="str">
            <v>-</v>
          </cell>
          <cell r="I1288" t="str">
            <v>-</v>
          </cell>
          <cell r="K1288" t="str">
            <v>-</v>
          </cell>
          <cell r="L1288" t="str">
            <v>-</v>
          </cell>
          <cell r="N1288" t="str">
            <v>-</v>
          </cell>
          <cell r="O1288" t="str">
            <v>-</v>
          </cell>
          <cell r="Q1288" t="str">
            <v>-</v>
          </cell>
          <cell r="R1288" t="str">
            <v>-</v>
          </cell>
          <cell r="T1288" t="str">
            <v>-</v>
          </cell>
          <cell r="U1288" t="str">
            <v>-</v>
          </cell>
          <cell r="W1288" t="str">
            <v>-</v>
          </cell>
          <cell r="X1288" t="str">
            <v>-</v>
          </cell>
        </row>
        <row r="1289">
          <cell r="A1289">
            <v>72221281</v>
          </cell>
          <cell r="B1289">
            <v>1833</v>
          </cell>
          <cell r="C1289" t="str">
            <v>학공치</v>
          </cell>
          <cell r="D1289" t="str">
            <v>B</v>
          </cell>
          <cell r="E1289">
            <v>70409387</v>
          </cell>
          <cell r="H1289" t="str">
            <v>-</v>
          </cell>
          <cell r="I1289" t="str">
            <v>-</v>
          </cell>
          <cell r="K1289" t="str">
            <v>-</v>
          </cell>
          <cell r="L1289" t="str">
            <v>-</v>
          </cell>
          <cell r="N1289" t="str">
            <v>-</v>
          </cell>
          <cell r="O1289" t="str">
            <v>-</v>
          </cell>
          <cell r="Q1289" t="str">
            <v>-</v>
          </cell>
          <cell r="R1289" t="str">
            <v>-</v>
          </cell>
          <cell r="T1289" t="str">
            <v>-</v>
          </cell>
          <cell r="U1289" t="str">
            <v>-</v>
          </cell>
          <cell r="W1289" t="str">
            <v>-</v>
          </cell>
          <cell r="X1289" t="str">
            <v>-</v>
          </cell>
        </row>
        <row r="1290">
          <cell r="A1290">
            <v>72221282</v>
          </cell>
          <cell r="B1290">
            <v>1833</v>
          </cell>
          <cell r="C1290" t="str">
            <v>줄갈돔</v>
          </cell>
          <cell r="D1290" t="str">
            <v>D</v>
          </cell>
          <cell r="E1290">
            <v>70409327</v>
          </cell>
          <cell r="H1290" t="str">
            <v>-</v>
          </cell>
          <cell r="I1290" t="str">
            <v>-</v>
          </cell>
          <cell r="K1290" t="str">
            <v>-</v>
          </cell>
          <cell r="L1290" t="str">
            <v>-</v>
          </cell>
          <cell r="N1290" t="str">
            <v>-</v>
          </cell>
          <cell r="O1290" t="str">
            <v>-</v>
          </cell>
          <cell r="Q1290" t="str">
            <v>-</v>
          </cell>
          <cell r="R1290" t="str">
            <v>-</v>
          </cell>
          <cell r="T1290" t="str">
            <v>-</v>
          </cell>
          <cell r="U1290" t="str">
            <v>-</v>
          </cell>
          <cell r="W1290" t="str">
            <v>-</v>
          </cell>
          <cell r="X1290" t="str">
            <v>-</v>
          </cell>
        </row>
        <row r="1291">
          <cell r="A1291">
            <v>72221283</v>
          </cell>
          <cell r="B1291">
            <v>1833</v>
          </cell>
          <cell r="C1291" t="str">
            <v>실붉돔</v>
          </cell>
          <cell r="D1291" t="str">
            <v>D</v>
          </cell>
          <cell r="E1291">
            <v>70409265</v>
          </cell>
          <cell r="H1291" t="str">
            <v>-</v>
          </cell>
          <cell r="I1291" t="str">
            <v>-</v>
          </cell>
          <cell r="K1291" t="str">
            <v>-</v>
          </cell>
          <cell r="L1291" t="str">
            <v>-</v>
          </cell>
          <cell r="N1291" t="str">
            <v>-</v>
          </cell>
          <cell r="O1291" t="str">
            <v>-</v>
          </cell>
          <cell r="Q1291" t="str">
            <v>-</v>
          </cell>
          <cell r="R1291" t="str">
            <v>-</v>
          </cell>
          <cell r="T1291" t="str">
            <v>-</v>
          </cell>
          <cell r="U1291" t="str">
            <v>-</v>
          </cell>
          <cell r="W1291" t="str">
            <v>-</v>
          </cell>
          <cell r="X1291" t="str">
            <v>-</v>
          </cell>
        </row>
        <row r="1292">
          <cell r="A1292">
            <v>72221284</v>
          </cell>
          <cell r="B1292">
            <v>1834</v>
          </cell>
          <cell r="C1292" t="str">
            <v>쑥감펭</v>
          </cell>
          <cell r="D1292" t="str">
            <v>S</v>
          </cell>
          <cell r="E1292">
            <v>70409270</v>
          </cell>
          <cell r="H1292" t="str">
            <v>-</v>
          </cell>
          <cell r="I1292" t="str">
            <v>-</v>
          </cell>
          <cell r="K1292" t="str">
            <v>-</v>
          </cell>
          <cell r="L1292" t="str">
            <v>-</v>
          </cell>
          <cell r="N1292" t="str">
            <v>-</v>
          </cell>
          <cell r="O1292" t="str">
            <v>-</v>
          </cell>
          <cell r="Q1292" t="str">
            <v>-</v>
          </cell>
          <cell r="R1292" t="str">
            <v>-</v>
          </cell>
          <cell r="T1292" t="str">
            <v>-</v>
          </cell>
          <cell r="U1292" t="str">
            <v>-</v>
          </cell>
          <cell r="W1292" t="str">
            <v>-</v>
          </cell>
          <cell r="X1292" t="str">
            <v>-</v>
          </cell>
        </row>
        <row r="1293">
          <cell r="A1293">
            <v>72221285</v>
          </cell>
          <cell r="B1293">
            <v>1834</v>
          </cell>
          <cell r="C1293" t="str">
            <v>하스돔</v>
          </cell>
          <cell r="D1293" t="str">
            <v>A</v>
          </cell>
          <cell r="E1293">
            <v>70409386</v>
          </cell>
          <cell r="H1293" t="str">
            <v>-</v>
          </cell>
          <cell r="I1293" t="str">
            <v>-</v>
          </cell>
          <cell r="K1293" t="str">
            <v>-</v>
          </cell>
          <cell r="L1293" t="str">
            <v>-</v>
          </cell>
          <cell r="N1293" t="str">
            <v>-</v>
          </cell>
          <cell r="O1293" t="str">
            <v>-</v>
          </cell>
          <cell r="Q1293" t="str">
            <v>-</v>
          </cell>
          <cell r="R1293" t="str">
            <v>-</v>
          </cell>
          <cell r="T1293" t="str">
            <v>-</v>
          </cell>
          <cell r="U1293" t="str">
            <v>-</v>
          </cell>
          <cell r="W1293" t="str">
            <v>-</v>
          </cell>
          <cell r="X1293" t="str">
            <v>-</v>
          </cell>
        </row>
        <row r="1294">
          <cell r="A1294">
            <v>72221286</v>
          </cell>
          <cell r="B1294">
            <v>1834</v>
          </cell>
          <cell r="C1294" t="str">
            <v>학공치</v>
          </cell>
          <cell r="D1294" t="str">
            <v>B</v>
          </cell>
          <cell r="E1294">
            <v>70409387</v>
          </cell>
          <cell r="H1294" t="str">
            <v>-</v>
          </cell>
          <cell r="I1294" t="str">
            <v>-</v>
          </cell>
          <cell r="K1294" t="str">
            <v>-</v>
          </cell>
          <cell r="L1294" t="str">
            <v>-</v>
          </cell>
          <cell r="N1294" t="str">
            <v>-</v>
          </cell>
          <cell r="O1294" t="str">
            <v>-</v>
          </cell>
          <cell r="Q1294" t="str">
            <v>-</v>
          </cell>
          <cell r="R1294" t="str">
            <v>-</v>
          </cell>
          <cell r="T1294" t="str">
            <v>-</v>
          </cell>
          <cell r="U1294" t="str">
            <v>-</v>
          </cell>
          <cell r="W1294" t="str">
            <v>-</v>
          </cell>
          <cell r="X1294" t="str">
            <v>-</v>
          </cell>
        </row>
        <row r="1295">
          <cell r="A1295">
            <v>72221287</v>
          </cell>
          <cell r="B1295">
            <v>1834</v>
          </cell>
          <cell r="C1295" t="str">
            <v>줄갈돔</v>
          </cell>
          <cell r="D1295" t="str">
            <v>D</v>
          </cell>
          <cell r="E1295">
            <v>70409327</v>
          </cell>
          <cell r="H1295" t="str">
            <v>-</v>
          </cell>
          <cell r="I1295" t="str">
            <v>-</v>
          </cell>
          <cell r="K1295" t="str">
            <v>-</v>
          </cell>
          <cell r="L1295" t="str">
            <v>-</v>
          </cell>
          <cell r="N1295" t="str">
            <v>-</v>
          </cell>
          <cell r="O1295" t="str">
            <v>-</v>
          </cell>
          <cell r="Q1295" t="str">
            <v>-</v>
          </cell>
          <cell r="R1295" t="str">
            <v>-</v>
          </cell>
          <cell r="T1295" t="str">
            <v>-</v>
          </cell>
          <cell r="U1295" t="str">
            <v>-</v>
          </cell>
          <cell r="W1295" t="str">
            <v>-</v>
          </cell>
          <cell r="X1295" t="str">
            <v>-</v>
          </cell>
        </row>
        <row r="1296">
          <cell r="A1296">
            <v>72221288</v>
          </cell>
          <cell r="B1296">
            <v>1834</v>
          </cell>
          <cell r="C1296" t="str">
            <v>실붉돔</v>
          </cell>
          <cell r="D1296" t="str">
            <v>D</v>
          </cell>
          <cell r="E1296">
            <v>70409265</v>
          </cell>
          <cell r="H1296" t="str">
            <v>-</v>
          </cell>
          <cell r="I1296" t="str">
            <v>-</v>
          </cell>
          <cell r="K1296" t="str">
            <v>-</v>
          </cell>
          <cell r="L1296" t="str">
            <v>-</v>
          </cell>
          <cell r="N1296" t="str">
            <v>-</v>
          </cell>
          <cell r="O1296" t="str">
            <v>-</v>
          </cell>
          <cell r="Q1296" t="str">
            <v>-</v>
          </cell>
          <cell r="R1296" t="str">
            <v>-</v>
          </cell>
          <cell r="T1296" t="str">
            <v>-</v>
          </cell>
          <cell r="U1296" t="str">
            <v>-</v>
          </cell>
          <cell r="W1296" t="str">
            <v>-</v>
          </cell>
          <cell r="X1296" t="str">
            <v>-</v>
          </cell>
        </row>
        <row r="1297">
          <cell r="A1297">
            <v>72221289</v>
          </cell>
          <cell r="B1297">
            <v>1841</v>
          </cell>
          <cell r="C1297" t="str">
            <v>뱀상어</v>
          </cell>
          <cell r="D1297" t="str">
            <v>S</v>
          </cell>
          <cell r="E1297">
            <v>70409191</v>
          </cell>
          <cell r="H1297" t="str">
            <v>-</v>
          </cell>
          <cell r="I1297" t="str">
            <v>-</v>
          </cell>
          <cell r="K1297" t="str">
            <v>-</v>
          </cell>
          <cell r="L1297" t="str">
            <v>-</v>
          </cell>
          <cell r="N1297" t="str">
            <v>-</v>
          </cell>
          <cell r="O1297" t="str">
            <v>-</v>
          </cell>
          <cell r="Q1297" t="str">
            <v>-</v>
          </cell>
          <cell r="R1297" t="str">
            <v>-</v>
          </cell>
          <cell r="T1297" t="str">
            <v>-</v>
          </cell>
          <cell r="U1297" t="str">
            <v>-</v>
          </cell>
          <cell r="W1297" t="str">
            <v>-</v>
          </cell>
          <cell r="X1297" t="str">
            <v>-</v>
          </cell>
        </row>
        <row r="1298">
          <cell r="A1298">
            <v>72221290</v>
          </cell>
          <cell r="B1298">
            <v>1841</v>
          </cell>
          <cell r="C1298" t="str">
            <v>청황돔</v>
          </cell>
          <cell r="D1298" t="str">
            <v>D</v>
          </cell>
          <cell r="E1298">
            <v>70409352</v>
          </cell>
          <cell r="H1298" t="str">
            <v>-</v>
          </cell>
          <cell r="I1298" t="str">
            <v>-</v>
          </cell>
          <cell r="K1298" t="str">
            <v>-</v>
          </cell>
          <cell r="L1298" t="str">
            <v>-</v>
          </cell>
          <cell r="N1298" t="str">
            <v>-</v>
          </cell>
          <cell r="O1298" t="str">
            <v>-</v>
          </cell>
          <cell r="Q1298" t="str">
            <v>-</v>
          </cell>
          <cell r="R1298" t="str">
            <v>-</v>
          </cell>
          <cell r="T1298" t="str">
            <v>-</v>
          </cell>
          <cell r="U1298" t="str">
            <v>-</v>
          </cell>
          <cell r="W1298" t="str">
            <v>-</v>
          </cell>
          <cell r="X1298" t="str">
            <v>-</v>
          </cell>
        </row>
        <row r="1299">
          <cell r="A1299">
            <v>72221291</v>
          </cell>
          <cell r="B1299">
            <v>1841</v>
          </cell>
          <cell r="C1299" t="str">
            <v>청줄청소놀래기</v>
          </cell>
          <cell r="D1299" t="str">
            <v>D</v>
          </cell>
          <cell r="E1299">
            <v>70409351</v>
          </cell>
          <cell r="H1299" t="str">
            <v>-</v>
          </cell>
          <cell r="I1299" t="str">
            <v>-</v>
          </cell>
          <cell r="K1299" t="str">
            <v>-</v>
          </cell>
          <cell r="L1299" t="str">
            <v>-</v>
          </cell>
          <cell r="N1299" t="str">
            <v>-</v>
          </cell>
          <cell r="O1299" t="str">
            <v>-</v>
          </cell>
          <cell r="Q1299" t="str">
            <v>-</v>
          </cell>
          <cell r="R1299" t="str">
            <v>-</v>
          </cell>
          <cell r="T1299" t="str">
            <v>-</v>
          </cell>
          <cell r="U1299" t="str">
            <v>-</v>
          </cell>
          <cell r="W1299" t="str">
            <v>-</v>
          </cell>
          <cell r="X1299" t="str">
            <v>-</v>
          </cell>
        </row>
        <row r="1300">
          <cell r="A1300">
            <v>72221292</v>
          </cell>
          <cell r="B1300">
            <v>1841</v>
          </cell>
          <cell r="C1300" t="str">
            <v>갑오징어</v>
          </cell>
          <cell r="D1300" t="str">
            <v>A</v>
          </cell>
          <cell r="E1300">
            <v>70409015</v>
          </cell>
          <cell r="H1300" t="str">
            <v>-</v>
          </cell>
          <cell r="I1300" t="str">
            <v>-</v>
          </cell>
          <cell r="K1300" t="str">
            <v>-</v>
          </cell>
          <cell r="L1300" t="str">
            <v>-</v>
          </cell>
          <cell r="N1300" t="str">
            <v>-</v>
          </cell>
          <cell r="O1300" t="str">
            <v>-</v>
          </cell>
          <cell r="Q1300" t="str">
            <v>-</v>
          </cell>
          <cell r="R1300" t="str">
            <v>-</v>
          </cell>
          <cell r="T1300" t="str">
            <v>-</v>
          </cell>
          <cell r="U1300" t="str">
            <v>-</v>
          </cell>
          <cell r="W1300" t="str">
            <v>-</v>
          </cell>
          <cell r="X1300" t="str">
            <v>-</v>
          </cell>
        </row>
        <row r="1301">
          <cell r="A1301">
            <v>72221293</v>
          </cell>
          <cell r="B1301">
            <v>1841</v>
          </cell>
          <cell r="C1301" t="str">
            <v>동갈자돔</v>
          </cell>
          <cell r="D1301" t="str">
            <v>B</v>
          </cell>
          <cell r="E1301">
            <v>70409117</v>
          </cell>
          <cell r="H1301" t="str">
            <v>-</v>
          </cell>
          <cell r="I1301" t="str">
            <v>-</v>
          </cell>
          <cell r="K1301" t="str">
            <v>-</v>
          </cell>
          <cell r="L1301" t="str">
            <v>-</v>
          </cell>
          <cell r="N1301" t="str">
            <v>-</v>
          </cell>
          <cell r="O1301" t="str">
            <v>-</v>
          </cell>
          <cell r="Q1301" t="str">
            <v>-</v>
          </cell>
          <cell r="R1301" t="str">
            <v>-</v>
          </cell>
          <cell r="T1301" t="str">
            <v>-</v>
          </cell>
          <cell r="U1301" t="str">
            <v>-</v>
          </cell>
          <cell r="W1301" t="str">
            <v>-</v>
          </cell>
          <cell r="X1301" t="str">
            <v>-</v>
          </cell>
        </row>
        <row r="1302">
          <cell r="A1302">
            <v>72221294</v>
          </cell>
          <cell r="B1302">
            <v>1841</v>
          </cell>
          <cell r="C1302" t="str">
            <v>가라지</v>
          </cell>
          <cell r="D1302" t="str">
            <v>B</v>
          </cell>
          <cell r="E1302">
            <v>70409000</v>
          </cell>
          <cell r="H1302" t="str">
            <v>-</v>
          </cell>
          <cell r="I1302" t="str">
            <v>-</v>
          </cell>
          <cell r="K1302" t="str">
            <v>-</v>
          </cell>
          <cell r="L1302" t="str">
            <v>-</v>
          </cell>
          <cell r="N1302" t="str">
            <v>-</v>
          </cell>
          <cell r="O1302" t="str">
            <v>-</v>
          </cell>
          <cell r="Q1302" t="str">
            <v>-</v>
          </cell>
          <cell r="R1302" t="str">
            <v>-</v>
          </cell>
          <cell r="T1302" t="str">
            <v>-</v>
          </cell>
          <cell r="U1302" t="str">
            <v>-</v>
          </cell>
          <cell r="W1302" t="str">
            <v>-</v>
          </cell>
          <cell r="X1302" t="str">
            <v>-</v>
          </cell>
        </row>
        <row r="1303">
          <cell r="A1303">
            <v>72221295</v>
          </cell>
          <cell r="B1303">
            <v>1842</v>
          </cell>
          <cell r="C1303" t="str">
            <v>뱀상어</v>
          </cell>
          <cell r="D1303" t="str">
            <v>S</v>
          </cell>
          <cell r="E1303">
            <v>70409191</v>
          </cell>
          <cell r="H1303" t="str">
            <v>-</v>
          </cell>
          <cell r="I1303" t="str">
            <v>-</v>
          </cell>
          <cell r="K1303" t="str">
            <v>-</v>
          </cell>
          <cell r="L1303" t="str">
            <v>-</v>
          </cell>
          <cell r="N1303" t="str">
            <v>-</v>
          </cell>
          <cell r="O1303" t="str">
            <v>-</v>
          </cell>
          <cell r="Q1303" t="str">
            <v>-</v>
          </cell>
          <cell r="R1303" t="str">
            <v>-</v>
          </cell>
          <cell r="T1303" t="str">
            <v>-</v>
          </cell>
          <cell r="U1303" t="str">
            <v>-</v>
          </cell>
          <cell r="W1303" t="str">
            <v>-</v>
          </cell>
          <cell r="X1303" t="str">
            <v>-</v>
          </cell>
        </row>
        <row r="1304">
          <cell r="A1304">
            <v>72221296</v>
          </cell>
          <cell r="B1304">
            <v>1842</v>
          </cell>
          <cell r="C1304" t="str">
            <v>청황돔</v>
          </cell>
          <cell r="D1304" t="str">
            <v>D</v>
          </cell>
          <cell r="E1304">
            <v>70409352</v>
          </cell>
          <cell r="H1304" t="str">
            <v>-</v>
          </cell>
          <cell r="I1304" t="str">
            <v>-</v>
          </cell>
          <cell r="K1304" t="str">
            <v>-</v>
          </cell>
          <cell r="L1304" t="str">
            <v>-</v>
          </cell>
          <cell r="N1304" t="str">
            <v>-</v>
          </cell>
          <cell r="O1304" t="str">
            <v>-</v>
          </cell>
          <cell r="Q1304" t="str">
            <v>-</v>
          </cell>
          <cell r="R1304" t="str">
            <v>-</v>
          </cell>
          <cell r="T1304" t="str">
            <v>-</v>
          </cell>
          <cell r="U1304" t="str">
            <v>-</v>
          </cell>
          <cell r="W1304" t="str">
            <v>-</v>
          </cell>
          <cell r="X1304" t="str">
            <v>-</v>
          </cell>
        </row>
        <row r="1305">
          <cell r="A1305">
            <v>72221297</v>
          </cell>
          <cell r="B1305">
            <v>1842</v>
          </cell>
          <cell r="C1305" t="str">
            <v>청줄청소놀래기</v>
          </cell>
          <cell r="D1305" t="str">
            <v>D</v>
          </cell>
          <cell r="E1305">
            <v>70409351</v>
          </cell>
          <cell r="H1305" t="str">
            <v>-</v>
          </cell>
          <cell r="I1305" t="str">
            <v>-</v>
          </cell>
          <cell r="K1305" t="str">
            <v>-</v>
          </cell>
          <cell r="L1305" t="str">
            <v>-</v>
          </cell>
          <cell r="N1305" t="str">
            <v>-</v>
          </cell>
          <cell r="O1305" t="str">
            <v>-</v>
          </cell>
          <cell r="Q1305" t="str">
            <v>-</v>
          </cell>
          <cell r="R1305" t="str">
            <v>-</v>
          </cell>
          <cell r="T1305" t="str">
            <v>-</v>
          </cell>
          <cell r="U1305" t="str">
            <v>-</v>
          </cell>
          <cell r="W1305" t="str">
            <v>-</v>
          </cell>
          <cell r="X1305" t="str">
            <v>-</v>
          </cell>
        </row>
        <row r="1306">
          <cell r="A1306">
            <v>72221298</v>
          </cell>
          <cell r="B1306">
            <v>1842</v>
          </cell>
          <cell r="C1306" t="str">
            <v>갑오징어</v>
          </cell>
          <cell r="D1306" t="str">
            <v>A</v>
          </cell>
          <cell r="E1306">
            <v>70409015</v>
          </cell>
          <cell r="H1306" t="str">
            <v>-</v>
          </cell>
          <cell r="I1306" t="str">
            <v>-</v>
          </cell>
          <cell r="K1306" t="str">
            <v>-</v>
          </cell>
          <cell r="L1306" t="str">
            <v>-</v>
          </cell>
          <cell r="N1306" t="str">
            <v>-</v>
          </cell>
          <cell r="O1306" t="str">
            <v>-</v>
          </cell>
          <cell r="Q1306" t="str">
            <v>-</v>
          </cell>
          <cell r="R1306" t="str">
            <v>-</v>
          </cell>
          <cell r="T1306" t="str">
            <v>-</v>
          </cell>
          <cell r="U1306" t="str">
            <v>-</v>
          </cell>
          <cell r="W1306" t="str">
            <v>-</v>
          </cell>
          <cell r="X1306" t="str">
            <v>-</v>
          </cell>
        </row>
        <row r="1307">
          <cell r="A1307">
            <v>72221299</v>
          </cell>
          <cell r="B1307">
            <v>1842</v>
          </cell>
          <cell r="C1307" t="str">
            <v>동갈자돔</v>
          </cell>
          <cell r="D1307" t="str">
            <v>B</v>
          </cell>
          <cell r="E1307">
            <v>70409117</v>
          </cell>
          <cell r="H1307" t="str">
            <v>-</v>
          </cell>
          <cell r="I1307" t="str">
            <v>-</v>
          </cell>
          <cell r="K1307" t="str">
            <v>-</v>
          </cell>
          <cell r="L1307" t="str">
            <v>-</v>
          </cell>
          <cell r="N1307" t="str">
            <v>-</v>
          </cell>
          <cell r="O1307" t="str">
            <v>-</v>
          </cell>
          <cell r="Q1307" t="str">
            <v>-</v>
          </cell>
          <cell r="R1307" t="str">
            <v>-</v>
          </cell>
          <cell r="T1307" t="str">
            <v>-</v>
          </cell>
          <cell r="U1307" t="str">
            <v>-</v>
          </cell>
          <cell r="W1307" t="str">
            <v>-</v>
          </cell>
          <cell r="X1307" t="str">
            <v>-</v>
          </cell>
        </row>
        <row r="1308">
          <cell r="A1308">
            <v>72221300</v>
          </cell>
          <cell r="B1308">
            <v>1842</v>
          </cell>
          <cell r="C1308" t="str">
            <v>가라지</v>
          </cell>
          <cell r="D1308" t="str">
            <v>B</v>
          </cell>
          <cell r="E1308">
            <v>70409000</v>
          </cell>
          <cell r="H1308" t="str">
            <v>-</v>
          </cell>
          <cell r="I1308" t="str">
            <v>-</v>
          </cell>
          <cell r="K1308" t="str">
            <v>-</v>
          </cell>
          <cell r="L1308" t="str">
            <v>-</v>
          </cell>
          <cell r="N1308" t="str">
            <v>-</v>
          </cell>
          <cell r="O1308" t="str">
            <v>-</v>
          </cell>
          <cell r="Q1308" t="str">
            <v>-</v>
          </cell>
          <cell r="R1308" t="str">
            <v>-</v>
          </cell>
          <cell r="T1308" t="str">
            <v>-</v>
          </cell>
          <cell r="U1308" t="str">
            <v>-</v>
          </cell>
          <cell r="W1308" t="str">
            <v>-</v>
          </cell>
          <cell r="X1308" t="str">
            <v>-</v>
          </cell>
        </row>
        <row r="1309">
          <cell r="A1309">
            <v>72221301</v>
          </cell>
          <cell r="B1309">
            <v>1843</v>
          </cell>
          <cell r="C1309" t="str">
            <v>뱀상어</v>
          </cell>
          <cell r="D1309" t="str">
            <v>S</v>
          </cell>
          <cell r="E1309">
            <v>70409191</v>
          </cell>
          <cell r="H1309" t="str">
            <v>-</v>
          </cell>
          <cell r="I1309" t="str">
            <v>-</v>
          </cell>
          <cell r="K1309" t="str">
            <v>-</v>
          </cell>
          <cell r="L1309" t="str">
            <v>-</v>
          </cell>
          <cell r="N1309" t="str">
            <v>-</v>
          </cell>
          <cell r="O1309" t="str">
            <v>-</v>
          </cell>
          <cell r="Q1309" t="str">
            <v>-</v>
          </cell>
          <cell r="R1309" t="str">
            <v>-</v>
          </cell>
          <cell r="T1309" t="str">
            <v>-</v>
          </cell>
          <cell r="U1309" t="str">
            <v>-</v>
          </cell>
          <cell r="W1309" t="str">
            <v>-</v>
          </cell>
          <cell r="X1309" t="str">
            <v>-</v>
          </cell>
        </row>
        <row r="1310">
          <cell r="A1310">
            <v>72221302</v>
          </cell>
          <cell r="B1310">
            <v>1843</v>
          </cell>
          <cell r="C1310" t="str">
            <v>청황돔</v>
          </cell>
          <cell r="D1310" t="str">
            <v>D</v>
          </cell>
          <cell r="E1310">
            <v>70409352</v>
          </cell>
          <cell r="H1310" t="str">
            <v>-</v>
          </cell>
          <cell r="I1310" t="str">
            <v>-</v>
          </cell>
          <cell r="K1310" t="str">
            <v>-</v>
          </cell>
          <cell r="L1310" t="str">
            <v>-</v>
          </cell>
          <cell r="N1310" t="str">
            <v>-</v>
          </cell>
          <cell r="O1310" t="str">
            <v>-</v>
          </cell>
          <cell r="Q1310" t="str">
            <v>-</v>
          </cell>
          <cell r="R1310" t="str">
            <v>-</v>
          </cell>
          <cell r="T1310" t="str">
            <v>-</v>
          </cell>
          <cell r="U1310" t="str">
            <v>-</v>
          </cell>
          <cell r="W1310" t="str">
            <v>-</v>
          </cell>
          <cell r="X1310" t="str">
            <v>-</v>
          </cell>
        </row>
        <row r="1311">
          <cell r="A1311">
            <v>72221303</v>
          </cell>
          <cell r="B1311">
            <v>1843</v>
          </cell>
          <cell r="C1311" t="str">
            <v>청줄청소놀래기</v>
          </cell>
          <cell r="D1311" t="str">
            <v>D</v>
          </cell>
          <cell r="E1311">
            <v>70409351</v>
          </cell>
          <cell r="H1311" t="str">
            <v>-</v>
          </cell>
          <cell r="I1311" t="str">
            <v>-</v>
          </cell>
          <cell r="K1311" t="str">
            <v>-</v>
          </cell>
          <cell r="L1311" t="str">
            <v>-</v>
          </cell>
          <cell r="N1311" t="str">
            <v>-</v>
          </cell>
          <cell r="O1311" t="str">
            <v>-</v>
          </cell>
          <cell r="Q1311" t="str">
            <v>-</v>
          </cell>
          <cell r="R1311" t="str">
            <v>-</v>
          </cell>
          <cell r="T1311" t="str">
            <v>-</v>
          </cell>
          <cell r="U1311" t="str">
            <v>-</v>
          </cell>
          <cell r="W1311" t="str">
            <v>-</v>
          </cell>
          <cell r="X1311" t="str">
            <v>-</v>
          </cell>
        </row>
        <row r="1312">
          <cell r="A1312">
            <v>72221304</v>
          </cell>
          <cell r="B1312">
            <v>1843</v>
          </cell>
          <cell r="C1312" t="str">
            <v>갑오징어</v>
          </cell>
          <cell r="D1312" t="str">
            <v>A</v>
          </cell>
          <cell r="E1312">
            <v>70409015</v>
          </cell>
          <cell r="H1312" t="str">
            <v>-</v>
          </cell>
          <cell r="I1312" t="str">
            <v>-</v>
          </cell>
          <cell r="K1312" t="str">
            <v>-</v>
          </cell>
          <cell r="L1312" t="str">
            <v>-</v>
          </cell>
          <cell r="N1312" t="str">
            <v>-</v>
          </cell>
          <cell r="O1312" t="str">
            <v>-</v>
          </cell>
          <cell r="Q1312" t="str">
            <v>-</v>
          </cell>
          <cell r="R1312" t="str">
            <v>-</v>
          </cell>
          <cell r="T1312" t="str">
            <v>-</v>
          </cell>
          <cell r="U1312" t="str">
            <v>-</v>
          </cell>
          <cell r="W1312" t="str">
            <v>-</v>
          </cell>
          <cell r="X1312" t="str">
            <v>-</v>
          </cell>
        </row>
        <row r="1313">
          <cell r="A1313">
            <v>72221305</v>
          </cell>
          <cell r="B1313">
            <v>1843</v>
          </cell>
          <cell r="C1313" t="str">
            <v>동갈자돔</v>
          </cell>
          <cell r="D1313" t="str">
            <v>B</v>
          </cell>
          <cell r="E1313">
            <v>70409117</v>
          </cell>
          <cell r="H1313" t="str">
            <v>-</v>
          </cell>
          <cell r="I1313" t="str">
            <v>-</v>
          </cell>
          <cell r="K1313" t="str">
            <v>-</v>
          </cell>
          <cell r="L1313" t="str">
            <v>-</v>
          </cell>
          <cell r="N1313" t="str">
            <v>-</v>
          </cell>
          <cell r="O1313" t="str">
            <v>-</v>
          </cell>
          <cell r="Q1313" t="str">
            <v>-</v>
          </cell>
          <cell r="R1313" t="str">
            <v>-</v>
          </cell>
          <cell r="T1313" t="str">
            <v>-</v>
          </cell>
          <cell r="U1313" t="str">
            <v>-</v>
          </cell>
          <cell r="W1313" t="str">
            <v>-</v>
          </cell>
          <cell r="X1313" t="str">
            <v>-</v>
          </cell>
        </row>
        <row r="1314">
          <cell r="A1314">
            <v>72221306</v>
          </cell>
          <cell r="B1314">
            <v>1843</v>
          </cell>
          <cell r="C1314" t="str">
            <v>가라지</v>
          </cell>
          <cell r="D1314" t="str">
            <v>B</v>
          </cell>
          <cell r="E1314">
            <v>70409000</v>
          </cell>
          <cell r="H1314" t="str">
            <v>-</v>
          </cell>
          <cell r="I1314" t="str">
            <v>-</v>
          </cell>
          <cell r="K1314" t="str">
            <v>-</v>
          </cell>
          <cell r="L1314" t="str">
            <v>-</v>
          </cell>
          <cell r="N1314" t="str">
            <v>-</v>
          </cell>
          <cell r="O1314" t="str">
            <v>-</v>
          </cell>
          <cell r="Q1314" t="str">
            <v>-</v>
          </cell>
          <cell r="R1314" t="str">
            <v>-</v>
          </cell>
          <cell r="T1314" t="str">
            <v>-</v>
          </cell>
          <cell r="U1314" t="str">
            <v>-</v>
          </cell>
          <cell r="W1314" t="str">
            <v>-</v>
          </cell>
          <cell r="X1314" t="str">
            <v>-</v>
          </cell>
        </row>
        <row r="1315">
          <cell r="A1315">
            <v>72221307</v>
          </cell>
          <cell r="B1315">
            <v>1844</v>
          </cell>
          <cell r="C1315" t="str">
            <v>뱀상어</v>
          </cell>
          <cell r="D1315" t="str">
            <v>S</v>
          </cell>
          <cell r="E1315">
            <v>70409191</v>
          </cell>
          <cell r="H1315" t="str">
            <v>-</v>
          </cell>
          <cell r="I1315" t="str">
            <v>-</v>
          </cell>
          <cell r="K1315" t="str">
            <v>-</v>
          </cell>
          <cell r="L1315" t="str">
            <v>-</v>
          </cell>
          <cell r="N1315" t="str">
            <v>-</v>
          </cell>
          <cell r="O1315" t="str">
            <v>-</v>
          </cell>
          <cell r="Q1315" t="str">
            <v>-</v>
          </cell>
          <cell r="R1315" t="str">
            <v>-</v>
          </cell>
          <cell r="T1315" t="str">
            <v>-</v>
          </cell>
          <cell r="U1315" t="str">
            <v>-</v>
          </cell>
          <cell r="W1315" t="str">
            <v>-</v>
          </cell>
          <cell r="X1315" t="str">
            <v>-</v>
          </cell>
        </row>
        <row r="1316">
          <cell r="A1316">
            <v>72221308</v>
          </cell>
          <cell r="B1316">
            <v>1844</v>
          </cell>
          <cell r="C1316" t="str">
            <v>청황돔</v>
          </cell>
          <cell r="D1316" t="str">
            <v>D</v>
          </cell>
          <cell r="E1316">
            <v>70409352</v>
          </cell>
          <cell r="H1316" t="str">
            <v>-</v>
          </cell>
          <cell r="I1316" t="str">
            <v>-</v>
          </cell>
          <cell r="K1316" t="str">
            <v>-</v>
          </cell>
          <cell r="L1316" t="str">
            <v>-</v>
          </cell>
          <cell r="N1316" t="str">
            <v>-</v>
          </cell>
          <cell r="O1316" t="str">
            <v>-</v>
          </cell>
          <cell r="Q1316" t="str">
            <v>-</v>
          </cell>
          <cell r="R1316" t="str">
            <v>-</v>
          </cell>
          <cell r="T1316" t="str">
            <v>-</v>
          </cell>
          <cell r="U1316" t="str">
            <v>-</v>
          </cell>
          <cell r="W1316" t="str">
            <v>-</v>
          </cell>
          <cell r="X1316" t="str">
            <v>-</v>
          </cell>
        </row>
        <row r="1317">
          <cell r="A1317">
            <v>72221309</v>
          </cell>
          <cell r="B1317">
            <v>1844</v>
          </cell>
          <cell r="C1317" t="str">
            <v>청줄청소놀래기</v>
          </cell>
          <cell r="D1317" t="str">
            <v>D</v>
          </cell>
          <cell r="E1317">
            <v>70409351</v>
          </cell>
          <cell r="H1317" t="str">
            <v>-</v>
          </cell>
          <cell r="I1317" t="str">
            <v>-</v>
          </cell>
          <cell r="K1317" t="str">
            <v>-</v>
          </cell>
          <cell r="L1317" t="str">
            <v>-</v>
          </cell>
          <cell r="N1317" t="str">
            <v>-</v>
          </cell>
          <cell r="O1317" t="str">
            <v>-</v>
          </cell>
          <cell r="Q1317" t="str">
            <v>-</v>
          </cell>
          <cell r="R1317" t="str">
            <v>-</v>
          </cell>
          <cell r="T1317" t="str">
            <v>-</v>
          </cell>
          <cell r="U1317" t="str">
            <v>-</v>
          </cell>
          <cell r="W1317" t="str">
            <v>-</v>
          </cell>
          <cell r="X1317" t="str">
            <v>-</v>
          </cell>
        </row>
        <row r="1318">
          <cell r="A1318">
            <v>72221310</v>
          </cell>
          <cell r="B1318">
            <v>1844</v>
          </cell>
          <cell r="C1318" t="str">
            <v>갑오징어</v>
          </cell>
          <cell r="D1318" t="str">
            <v>A</v>
          </cell>
          <cell r="E1318">
            <v>70409015</v>
          </cell>
          <cell r="H1318" t="str">
            <v>-</v>
          </cell>
          <cell r="I1318" t="str">
            <v>-</v>
          </cell>
          <cell r="K1318" t="str">
            <v>-</v>
          </cell>
          <cell r="L1318" t="str">
            <v>-</v>
          </cell>
          <cell r="N1318" t="str">
            <v>-</v>
          </cell>
          <cell r="O1318" t="str">
            <v>-</v>
          </cell>
          <cell r="Q1318" t="str">
            <v>-</v>
          </cell>
          <cell r="R1318" t="str">
            <v>-</v>
          </cell>
          <cell r="T1318" t="str">
            <v>-</v>
          </cell>
          <cell r="U1318" t="str">
            <v>-</v>
          </cell>
          <cell r="W1318" t="str">
            <v>-</v>
          </cell>
          <cell r="X1318" t="str">
            <v>-</v>
          </cell>
        </row>
        <row r="1319">
          <cell r="A1319">
            <v>72221311</v>
          </cell>
          <cell r="B1319">
            <v>1844</v>
          </cell>
          <cell r="C1319" t="str">
            <v>동갈자돔</v>
          </cell>
          <cell r="D1319" t="str">
            <v>B</v>
          </cell>
          <cell r="E1319">
            <v>70409117</v>
          </cell>
          <cell r="H1319" t="str">
            <v>-</v>
          </cell>
          <cell r="I1319" t="str">
            <v>-</v>
          </cell>
          <cell r="K1319" t="str">
            <v>-</v>
          </cell>
          <cell r="L1319" t="str">
            <v>-</v>
          </cell>
          <cell r="N1319" t="str">
            <v>-</v>
          </cell>
          <cell r="O1319" t="str">
            <v>-</v>
          </cell>
          <cell r="Q1319" t="str">
            <v>-</v>
          </cell>
          <cell r="R1319" t="str">
            <v>-</v>
          </cell>
          <cell r="T1319" t="str">
            <v>-</v>
          </cell>
          <cell r="U1319" t="str">
            <v>-</v>
          </cell>
          <cell r="W1319" t="str">
            <v>-</v>
          </cell>
          <cell r="X1319" t="str">
            <v>-</v>
          </cell>
        </row>
        <row r="1320">
          <cell r="A1320">
            <v>72221312</v>
          </cell>
          <cell r="B1320">
            <v>1844</v>
          </cell>
          <cell r="C1320" t="str">
            <v>가라지</v>
          </cell>
          <cell r="D1320" t="str">
            <v>B</v>
          </cell>
          <cell r="E1320">
            <v>70409000</v>
          </cell>
          <cell r="H1320" t="str">
            <v>-</v>
          </cell>
          <cell r="I1320" t="str">
            <v>-</v>
          </cell>
          <cell r="K1320" t="str">
            <v>-</v>
          </cell>
          <cell r="L1320" t="str">
            <v>-</v>
          </cell>
          <cell r="N1320" t="str">
            <v>-</v>
          </cell>
          <cell r="O1320" t="str">
            <v>-</v>
          </cell>
          <cell r="Q1320" t="str">
            <v>-</v>
          </cell>
          <cell r="R1320" t="str">
            <v>-</v>
          </cell>
          <cell r="T1320" t="str">
            <v>-</v>
          </cell>
          <cell r="U1320" t="str">
            <v>-</v>
          </cell>
          <cell r="W1320" t="str">
            <v>-</v>
          </cell>
          <cell r="X1320" t="str">
            <v>-</v>
          </cell>
        </row>
        <row r="1321">
          <cell r="A1321">
            <v>72221313</v>
          </cell>
          <cell r="B1321">
            <v>1851</v>
          </cell>
          <cell r="C1321" t="str">
            <v>가시쥐치</v>
          </cell>
          <cell r="D1321" t="str">
            <v>B</v>
          </cell>
          <cell r="E1321">
            <v>70409005</v>
          </cell>
          <cell r="H1321" t="str">
            <v>-</v>
          </cell>
          <cell r="I1321" t="str">
            <v>-</v>
          </cell>
          <cell r="K1321" t="str">
            <v>-</v>
          </cell>
          <cell r="L1321" t="str">
            <v>-</v>
          </cell>
          <cell r="N1321" t="str">
            <v>-</v>
          </cell>
          <cell r="O1321" t="str">
            <v>-</v>
          </cell>
          <cell r="Q1321" t="str">
            <v>-</v>
          </cell>
          <cell r="R1321" t="str">
            <v>-</v>
          </cell>
          <cell r="T1321" t="str">
            <v>-</v>
          </cell>
          <cell r="U1321" t="str">
            <v>-</v>
          </cell>
          <cell r="W1321" t="str">
            <v>-</v>
          </cell>
          <cell r="X1321" t="str">
            <v>-</v>
          </cell>
        </row>
        <row r="1322">
          <cell r="A1322">
            <v>72221314</v>
          </cell>
          <cell r="B1322">
            <v>1851</v>
          </cell>
          <cell r="C1322" t="str">
            <v>가시해마</v>
          </cell>
          <cell r="D1322" t="str">
            <v>C</v>
          </cell>
          <cell r="E1322">
            <v>70409006</v>
          </cell>
          <cell r="H1322" t="str">
            <v>-</v>
          </cell>
          <cell r="I1322" t="str">
            <v>-</v>
          </cell>
          <cell r="K1322" t="str">
            <v>-</v>
          </cell>
          <cell r="L1322" t="str">
            <v>-</v>
          </cell>
          <cell r="N1322" t="str">
            <v>-</v>
          </cell>
          <cell r="O1322" t="str">
            <v>-</v>
          </cell>
          <cell r="Q1322" t="str">
            <v>-</v>
          </cell>
          <cell r="R1322" t="str">
            <v>-</v>
          </cell>
          <cell r="T1322" t="str">
            <v>-</v>
          </cell>
          <cell r="U1322" t="str">
            <v>-</v>
          </cell>
          <cell r="W1322" t="str">
            <v>-</v>
          </cell>
          <cell r="X1322" t="str">
            <v>-</v>
          </cell>
        </row>
        <row r="1323">
          <cell r="A1323">
            <v>72221315</v>
          </cell>
          <cell r="B1323">
            <v>1851</v>
          </cell>
          <cell r="C1323" t="str">
            <v>무늬퉁돔</v>
          </cell>
          <cell r="D1323" t="str">
            <v>C</v>
          </cell>
          <cell r="E1323">
            <v>70409160</v>
          </cell>
          <cell r="H1323" t="str">
            <v>-</v>
          </cell>
          <cell r="I1323" t="str">
            <v>-</v>
          </cell>
          <cell r="K1323" t="str">
            <v>-</v>
          </cell>
          <cell r="L1323" t="str">
            <v>-</v>
          </cell>
          <cell r="N1323" t="str">
            <v>-</v>
          </cell>
          <cell r="O1323" t="str">
            <v>-</v>
          </cell>
          <cell r="Q1323" t="str">
            <v>-</v>
          </cell>
          <cell r="R1323" t="str">
            <v>-</v>
          </cell>
          <cell r="T1323" t="str">
            <v>-</v>
          </cell>
          <cell r="U1323" t="str">
            <v>-</v>
          </cell>
          <cell r="W1323" t="str">
            <v>-</v>
          </cell>
          <cell r="X1323" t="str">
            <v>-</v>
          </cell>
        </row>
        <row r="1324">
          <cell r="A1324">
            <v>72221316</v>
          </cell>
          <cell r="B1324">
            <v>1851</v>
          </cell>
          <cell r="C1324" t="str">
            <v>해포리고기</v>
          </cell>
          <cell r="D1324" t="str">
            <v>D</v>
          </cell>
          <cell r="E1324">
            <v>70409389</v>
          </cell>
          <cell r="H1324" t="str">
            <v>-</v>
          </cell>
          <cell r="I1324" t="str">
            <v>-</v>
          </cell>
          <cell r="K1324" t="str">
            <v>-</v>
          </cell>
          <cell r="L1324" t="str">
            <v>-</v>
          </cell>
          <cell r="N1324" t="str">
            <v>-</v>
          </cell>
          <cell r="O1324" t="str">
            <v>-</v>
          </cell>
          <cell r="Q1324" t="str">
            <v>-</v>
          </cell>
          <cell r="R1324" t="str">
            <v>-</v>
          </cell>
          <cell r="T1324" t="str">
            <v>-</v>
          </cell>
          <cell r="U1324" t="str">
            <v>-</v>
          </cell>
          <cell r="W1324" t="str">
            <v>-</v>
          </cell>
          <cell r="X1324" t="str">
            <v>-</v>
          </cell>
        </row>
        <row r="1325">
          <cell r="A1325">
            <v>72221317</v>
          </cell>
          <cell r="B1325">
            <v>1851</v>
          </cell>
          <cell r="C1325" t="str">
            <v>갑오징어</v>
          </cell>
          <cell r="D1325" t="str">
            <v>A</v>
          </cell>
          <cell r="E1325">
            <v>70409015</v>
          </cell>
          <cell r="H1325" t="str">
            <v>-</v>
          </cell>
          <cell r="I1325" t="str">
            <v>-</v>
          </cell>
          <cell r="K1325" t="str">
            <v>-</v>
          </cell>
          <cell r="L1325" t="str">
            <v>-</v>
          </cell>
          <cell r="N1325" t="str">
            <v>-</v>
          </cell>
          <cell r="O1325" t="str">
            <v>-</v>
          </cell>
          <cell r="Q1325" t="str">
            <v>-</v>
          </cell>
          <cell r="R1325" t="str">
            <v>-</v>
          </cell>
          <cell r="T1325" t="str">
            <v>-</v>
          </cell>
          <cell r="U1325" t="str">
            <v>-</v>
          </cell>
          <cell r="W1325" t="str">
            <v>-</v>
          </cell>
          <cell r="X1325" t="str">
            <v>-</v>
          </cell>
        </row>
        <row r="1326">
          <cell r="A1326">
            <v>72221318</v>
          </cell>
          <cell r="B1326">
            <v>1852</v>
          </cell>
          <cell r="C1326" t="str">
            <v>가시쥐치</v>
          </cell>
          <cell r="D1326" t="str">
            <v>B</v>
          </cell>
          <cell r="E1326">
            <v>70409005</v>
          </cell>
          <cell r="H1326" t="str">
            <v>-</v>
          </cell>
          <cell r="I1326" t="str">
            <v>-</v>
          </cell>
          <cell r="K1326" t="str">
            <v>-</v>
          </cell>
          <cell r="L1326" t="str">
            <v>-</v>
          </cell>
          <cell r="N1326" t="str">
            <v>-</v>
          </cell>
          <cell r="O1326" t="str">
            <v>-</v>
          </cell>
          <cell r="Q1326" t="str">
            <v>-</v>
          </cell>
          <cell r="R1326" t="str">
            <v>-</v>
          </cell>
          <cell r="T1326" t="str">
            <v>-</v>
          </cell>
          <cell r="U1326" t="str">
            <v>-</v>
          </cell>
          <cell r="W1326" t="str">
            <v>-</v>
          </cell>
          <cell r="X1326" t="str">
            <v>-</v>
          </cell>
        </row>
        <row r="1327">
          <cell r="A1327">
            <v>72221319</v>
          </cell>
          <cell r="B1327">
            <v>1852</v>
          </cell>
          <cell r="C1327" t="str">
            <v>가시해마</v>
          </cell>
          <cell r="D1327" t="str">
            <v>C</v>
          </cell>
          <cell r="E1327">
            <v>70409006</v>
          </cell>
          <cell r="H1327" t="str">
            <v>-</v>
          </cell>
          <cell r="I1327" t="str">
            <v>-</v>
          </cell>
          <cell r="K1327" t="str">
            <v>-</v>
          </cell>
          <cell r="L1327" t="str">
            <v>-</v>
          </cell>
          <cell r="N1327" t="str">
            <v>-</v>
          </cell>
          <cell r="O1327" t="str">
            <v>-</v>
          </cell>
          <cell r="Q1327" t="str">
            <v>-</v>
          </cell>
          <cell r="R1327" t="str">
            <v>-</v>
          </cell>
          <cell r="T1327" t="str">
            <v>-</v>
          </cell>
          <cell r="U1327" t="str">
            <v>-</v>
          </cell>
          <cell r="W1327" t="str">
            <v>-</v>
          </cell>
          <cell r="X1327" t="str">
            <v>-</v>
          </cell>
        </row>
        <row r="1328">
          <cell r="A1328">
            <v>72221320</v>
          </cell>
          <cell r="B1328">
            <v>1852</v>
          </cell>
          <cell r="C1328" t="str">
            <v>무늬퉁돔</v>
          </cell>
          <cell r="D1328" t="str">
            <v>C</v>
          </cell>
          <cell r="E1328">
            <v>70409160</v>
          </cell>
          <cell r="H1328" t="str">
            <v>-</v>
          </cell>
          <cell r="I1328" t="str">
            <v>-</v>
          </cell>
          <cell r="K1328" t="str">
            <v>-</v>
          </cell>
          <cell r="L1328" t="str">
            <v>-</v>
          </cell>
          <cell r="N1328" t="str">
            <v>-</v>
          </cell>
          <cell r="O1328" t="str">
            <v>-</v>
          </cell>
          <cell r="Q1328" t="str">
            <v>-</v>
          </cell>
          <cell r="R1328" t="str">
            <v>-</v>
          </cell>
          <cell r="T1328" t="str">
            <v>-</v>
          </cell>
          <cell r="U1328" t="str">
            <v>-</v>
          </cell>
          <cell r="W1328" t="str">
            <v>-</v>
          </cell>
          <cell r="X1328" t="str">
            <v>-</v>
          </cell>
        </row>
        <row r="1329">
          <cell r="A1329">
            <v>72221321</v>
          </cell>
          <cell r="B1329">
            <v>1852</v>
          </cell>
          <cell r="C1329" t="str">
            <v>해포리고기</v>
          </cell>
          <cell r="D1329" t="str">
            <v>D</v>
          </cell>
          <cell r="E1329">
            <v>70409389</v>
          </cell>
          <cell r="H1329" t="str">
            <v>-</v>
          </cell>
          <cell r="I1329" t="str">
            <v>-</v>
          </cell>
          <cell r="K1329" t="str">
            <v>-</v>
          </cell>
          <cell r="L1329" t="str">
            <v>-</v>
          </cell>
          <cell r="N1329" t="str">
            <v>-</v>
          </cell>
          <cell r="O1329" t="str">
            <v>-</v>
          </cell>
          <cell r="Q1329" t="str">
            <v>-</v>
          </cell>
          <cell r="R1329" t="str">
            <v>-</v>
          </cell>
          <cell r="T1329" t="str">
            <v>-</v>
          </cell>
          <cell r="U1329" t="str">
            <v>-</v>
          </cell>
          <cell r="W1329" t="str">
            <v>-</v>
          </cell>
          <cell r="X1329" t="str">
            <v>-</v>
          </cell>
        </row>
        <row r="1330">
          <cell r="A1330">
            <v>72221322</v>
          </cell>
          <cell r="B1330">
            <v>1852</v>
          </cell>
          <cell r="C1330" t="str">
            <v>갑오징어</v>
          </cell>
          <cell r="D1330" t="str">
            <v>A</v>
          </cell>
          <cell r="E1330">
            <v>70409015</v>
          </cell>
          <cell r="H1330" t="str">
            <v>-</v>
          </cell>
          <cell r="I1330" t="str">
            <v>-</v>
          </cell>
          <cell r="K1330" t="str">
            <v>-</v>
          </cell>
          <cell r="L1330" t="str">
            <v>-</v>
          </cell>
          <cell r="N1330" t="str">
            <v>-</v>
          </cell>
          <cell r="O1330" t="str">
            <v>-</v>
          </cell>
          <cell r="Q1330" t="str">
            <v>-</v>
          </cell>
          <cell r="R1330" t="str">
            <v>-</v>
          </cell>
          <cell r="T1330" t="str">
            <v>-</v>
          </cell>
          <cell r="U1330" t="str">
            <v>-</v>
          </cell>
          <cell r="W1330" t="str">
            <v>-</v>
          </cell>
          <cell r="X1330" t="str">
            <v>-</v>
          </cell>
        </row>
        <row r="1331">
          <cell r="A1331">
            <v>72221323</v>
          </cell>
          <cell r="B1331">
            <v>1853</v>
          </cell>
          <cell r="C1331" t="str">
            <v>가시쥐치</v>
          </cell>
          <cell r="D1331" t="str">
            <v>B</v>
          </cell>
          <cell r="E1331">
            <v>70409005</v>
          </cell>
          <cell r="H1331" t="str">
            <v>-</v>
          </cell>
          <cell r="I1331" t="str">
            <v>-</v>
          </cell>
          <cell r="K1331" t="str">
            <v>-</v>
          </cell>
          <cell r="L1331" t="str">
            <v>-</v>
          </cell>
          <cell r="N1331" t="str">
            <v>-</v>
          </cell>
          <cell r="O1331" t="str">
            <v>-</v>
          </cell>
          <cell r="Q1331" t="str">
            <v>-</v>
          </cell>
          <cell r="R1331" t="str">
            <v>-</v>
          </cell>
          <cell r="T1331" t="str">
            <v>-</v>
          </cell>
          <cell r="U1331" t="str">
            <v>-</v>
          </cell>
          <cell r="W1331" t="str">
            <v>-</v>
          </cell>
          <cell r="X1331" t="str">
            <v>-</v>
          </cell>
        </row>
        <row r="1332">
          <cell r="A1332">
            <v>72221324</v>
          </cell>
          <cell r="B1332">
            <v>1853</v>
          </cell>
          <cell r="C1332" t="str">
            <v>가시해마</v>
          </cell>
          <cell r="D1332" t="str">
            <v>C</v>
          </cell>
          <cell r="E1332">
            <v>70409006</v>
          </cell>
          <cell r="H1332" t="str">
            <v>-</v>
          </cell>
          <cell r="I1332" t="str">
            <v>-</v>
          </cell>
          <cell r="K1332" t="str">
            <v>-</v>
          </cell>
          <cell r="L1332" t="str">
            <v>-</v>
          </cell>
          <cell r="N1332" t="str">
            <v>-</v>
          </cell>
          <cell r="O1332" t="str">
            <v>-</v>
          </cell>
          <cell r="Q1332" t="str">
            <v>-</v>
          </cell>
          <cell r="R1332" t="str">
            <v>-</v>
          </cell>
          <cell r="T1332" t="str">
            <v>-</v>
          </cell>
          <cell r="U1332" t="str">
            <v>-</v>
          </cell>
          <cell r="W1332" t="str">
            <v>-</v>
          </cell>
          <cell r="X1332" t="str">
            <v>-</v>
          </cell>
        </row>
        <row r="1333">
          <cell r="A1333">
            <v>72221325</v>
          </cell>
          <cell r="B1333">
            <v>1853</v>
          </cell>
          <cell r="C1333" t="str">
            <v>무늬퉁돔</v>
          </cell>
          <cell r="D1333" t="str">
            <v>C</v>
          </cell>
          <cell r="E1333">
            <v>70409160</v>
          </cell>
          <cell r="H1333" t="str">
            <v>-</v>
          </cell>
          <cell r="I1333" t="str">
            <v>-</v>
          </cell>
          <cell r="K1333" t="str">
            <v>-</v>
          </cell>
          <cell r="L1333" t="str">
            <v>-</v>
          </cell>
          <cell r="N1333" t="str">
            <v>-</v>
          </cell>
          <cell r="O1333" t="str">
            <v>-</v>
          </cell>
          <cell r="Q1333" t="str">
            <v>-</v>
          </cell>
          <cell r="R1333" t="str">
            <v>-</v>
          </cell>
          <cell r="T1333" t="str">
            <v>-</v>
          </cell>
          <cell r="U1333" t="str">
            <v>-</v>
          </cell>
          <cell r="W1333" t="str">
            <v>-</v>
          </cell>
          <cell r="X1333" t="str">
            <v>-</v>
          </cell>
        </row>
        <row r="1334">
          <cell r="A1334">
            <v>72221326</v>
          </cell>
          <cell r="B1334">
            <v>1853</v>
          </cell>
          <cell r="C1334" t="str">
            <v>해포리고기</v>
          </cell>
          <cell r="D1334" t="str">
            <v>D</v>
          </cell>
          <cell r="E1334">
            <v>70409389</v>
          </cell>
          <cell r="H1334" t="str">
            <v>-</v>
          </cell>
          <cell r="I1334" t="str">
            <v>-</v>
          </cell>
          <cell r="K1334" t="str">
            <v>-</v>
          </cell>
          <cell r="L1334" t="str">
            <v>-</v>
          </cell>
          <cell r="N1334" t="str">
            <v>-</v>
          </cell>
          <cell r="O1334" t="str">
            <v>-</v>
          </cell>
          <cell r="Q1334" t="str">
            <v>-</v>
          </cell>
          <cell r="R1334" t="str">
            <v>-</v>
          </cell>
          <cell r="T1334" t="str">
            <v>-</v>
          </cell>
          <cell r="U1334" t="str">
            <v>-</v>
          </cell>
          <cell r="W1334" t="str">
            <v>-</v>
          </cell>
          <cell r="X1334" t="str">
            <v>-</v>
          </cell>
        </row>
        <row r="1335">
          <cell r="A1335">
            <v>72221327</v>
          </cell>
          <cell r="B1335">
            <v>1853</v>
          </cell>
          <cell r="C1335" t="str">
            <v>갑오징어</v>
          </cell>
          <cell r="D1335" t="str">
            <v>A</v>
          </cell>
          <cell r="E1335">
            <v>70409015</v>
          </cell>
          <cell r="H1335" t="str">
            <v>-</v>
          </cell>
          <cell r="I1335" t="str">
            <v>-</v>
          </cell>
          <cell r="K1335" t="str">
            <v>-</v>
          </cell>
          <cell r="L1335" t="str">
            <v>-</v>
          </cell>
          <cell r="N1335" t="str">
            <v>-</v>
          </cell>
          <cell r="O1335" t="str">
            <v>-</v>
          </cell>
          <cell r="Q1335" t="str">
            <v>-</v>
          </cell>
          <cell r="R1335" t="str">
            <v>-</v>
          </cell>
          <cell r="T1335" t="str">
            <v>-</v>
          </cell>
          <cell r="U1335" t="str">
            <v>-</v>
          </cell>
          <cell r="W1335" t="str">
            <v>-</v>
          </cell>
          <cell r="X1335" t="str">
            <v>-</v>
          </cell>
        </row>
        <row r="1336">
          <cell r="A1336">
            <v>72221328</v>
          </cell>
          <cell r="B1336">
            <v>1854</v>
          </cell>
          <cell r="C1336" t="str">
            <v>가시쥐치</v>
          </cell>
          <cell r="D1336" t="str">
            <v>B</v>
          </cell>
          <cell r="E1336">
            <v>70409005</v>
          </cell>
          <cell r="H1336" t="str">
            <v>-</v>
          </cell>
          <cell r="I1336" t="str">
            <v>-</v>
          </cell>
          <cell r="K1336" t="str">
            <v>-</v>
          </cell>
          <cell r="L1336" t="str">
            <v>-</v>
          </cell>
          <cell r="N1336" t="str">
            <v>-</v>
          </cell>
          <cell r="O1336" t="str">
            <v>-</v>
          </cell>
          <cell r="Q1336" t="str">
            <v>-</v>
          </cell>
          <cell r="R1336" t="str">
            <v>-</v>
          </cell>
          <cell r="T1336" t="str">
            <v>-</v>
          </cell>
          <cell r="U1336" t="str">
            <v>-</v>
          </cell>
          <cell r="W1336" t="str">
            <v>-</v>
          </cell>
          <cell r="X1336" t="str">
            <v>-</v>
          </cell>
        </row>
        <row r="1337">
          <cell r="A1337">
            <v>72221329</v>
          </cell>
          <cell r="B1337">
            <v>1854</v>
          </cell>
          <cell r="C1337" t="str">
            <v>가시해마</v>
          </cell>
          <cell r="D1337" t="str">
            <v>C</v>
          </cell>
          <cell r="E1337">
            <v>70409006</v>
          </cell>
          <cell r="H1337" t="str">
            <v>-</v>
          </cell>
          <cell r="I1337" t="str">
            <v>-</v>
          </cell>
          <cell r="K1337" t="str">
            <v>-</v>
          </cell>
          <cell r="L1337" t="str">
            <v>-</v>
          </cell>
          <cell r="N1337" t="str">
            <v>-</v>
          </cell>
          <cell r="O1337" t="str">
            <v>-</v>
          </cell>
          <cell r="Q1337" t="str">
            <v>-</v>
          </cell>
          <cell r="R1337" t="str">
            <v>-</v>
          </cell>
          <cell r="T1337" t="str">
            <v>-</v>
          </cell>
          <cell r="U1337" t="str">
            <v>-</v>
          </cell>
          <cell r="W1337" t="str">
            <v>-</v>
          </cell>
          <cell r="X1337" t="str">
            <v>-</v>
          </cell>
        </row>
        <row r="1338">
          <cell r="A1338">
            <v>72221330</v>
          </cell>
          <cell r="B1338">
            <v>1854</v>
          </cell>
          <cell r="C1338" t="str">
            <v>무늬퉁돔</v>
          </cell>
          <cell r="D1338" t="str">
            <v>C</v>
          </cell>
          <cell r="E1338">
            <v>70409160</v>
          </cell>
          <cell r="H1338" t="str">
            <v>-</v>
          </cell>
          <cell r="I1338" t="str">
            <v>-</v>
          </cell>
          <cell r="K1338" t="str">
            <v>-</v>
          </cell>
          <cell r="L1338" t="str">
            <v>-</v>
          </cell>
          <cell r="N1338" t="str">
            <v>-</v>
          </cell>
          <cell r="O1338" t="str">
            <v>-</v>
          </cell>
          <cell r="Q1338" t="str">
            <v>-</v>
          </cell>
          <cell r="R1338" t="str">
            <v>-</v>
          </cell>
          <cell r="T1338" t="str">
            <v>-</v>
          </cell>
          <cell r="U1338" t="str">
            <v>-</v>
          </cell>
          <cell r="W1338" t="str">
            <v>-</v>
          </cell>
          <cell r="X1338" t="str">
            <v>-</v>
          </cell>
        </row>
        <row r="1339">
          <cell r="A1339">
            <v>72221331</v>
          </cell>
          <cell r="B1339">
            <v>1854</v>
          </cell>
          <cell r="C1339" t="str">
            <v>해포리고기</v>
          </cell>
          <cell r="D1339" t="str">
            <v>D</v>
          </cell>
          <cell r="E1339">
            <v>70409389</v>
          </cell>
          <cell r="H1339" t="str">
            <v>-</v>
          </cell>
          <cell r="I1339" t="str">
            <v>-</v>
          </cell>
          <cell r="K1339" t="str">
            <v>-</v>
          </cell>
          <cell r="L1339" t="str">
            <v>-</v>
          </cell>
          <cell r="N1339" t="str">
            <v>-</v>
          </cell>
          <cell r="O1339" t="str">
            <v>-</v>
          </cell>
          <cell r="Q1339" t="str">
            <v>-</v>
          </cell>
          <cell r="R1339" t="str">
            <v>-</v>
          </cell>
          <cell r="T1339" t="str">
            <v>-</v>
          </cell>
          <cell r="U1339" t="str">
            <v>-</v>
          </cell>
          <cell r="W1339" t="str">
            <v>-</v>
          </cell>
          <cell r="X1339" t="str">
            <v>-</v>
          </cell>
        </row>
        <row r="1340">
          <cell r="A1340">
            <v>72221332</v>
          </cell>
          <cell r="B1340">
            <v>1854</v>
          </cell>
          <cell r="C1340" t="str">
            <v>갑오징어</v>
          </cell>
          <cell r="D1340" t="str">
            <v>A</v>
          </cell>
          <cell r="E1340">
            <v>70409015</v>
          </cell>
          <cell r="H1340" t="str">
            <v>-</v>
          </cell>
          <cell r="I1340" t="str">
            <v>-</v>
          </cell>
          <cell r="K1340" t="str">
            <v>-</v>
          </cell>
          <cell r="L1340" t="str">
            <v>-</v>
          </cell>
          <cell r="N1340" t="str">
            <v>-</v>
          </cell>
          <cell r="O1340" t="str">
            <v>-</v>
          </cell>
          <cell r="Q1340" t="str">
            <v>-</v>
          </cell>
          <cell r="R1340" t="str">
            <v>-</v>
          </cell>
          <cell r="T1340" t="str">
            <v>-</v>
          </cell>
          <cell r="U1340" t="str">
            <v>-</v>
          </cell>
          <cell r="W1340" t="str">
            <v>-</v>
          </cell>
          <cell r="X1340" t="str">
            <v>-</v>
          </cell>
        </row>
        <row r="1341">
          <cell r="A1341">
            <v>72221333</v>
          </cell>
          <cell r="B1341">
            <v>1861</v>
          </cell>
          <cell r="C1341" t="str">
            <v>분장어</v>
          </cell>
          <cell r="D1341" t="str">
            <v>C</v>
          </cell>
          <cell r="E1341">
            <v>70409216</v>
          </cell>
          <cell r="H1341" t="str">
            <v>-</v>
          </cell>
          <cell r="I1341" t="str">
            <v>-</v>
          </cell>
          <cell r="K1341" t="str">
            <v>-</v>
          </cell>
          <cell r="L1341" t="str">
            <v>-</v>
          </cell>
          <cell r="N1341" t="str">
            <v>-</v>
          </cell>
          <cell r="O1341" t="str">
            <v>-</v>
          </cell>
          <cell r="Q1341" t="str">
            <v>-</v>
          </cell>
          <cell r="R1341" t="str">
            <v>-</v>
          </cell>
          <cell r="T1341" t="str">
            <v>-</v>
          </cell>
          <cell r="U1341" t="str">
            <v>-</v>
          </cell>
          <cell r="W1341" t="str">
            <v>-</v>
          </cell>
          <cell r="X1341" t="str">
            <v>-</v>
          </cell>
        </row>
        <row r="1342">
          <cell r="A1342">
            <v>72221334</v>
          </cell>
          <cell r="B1342">
            <v>1861</v>
          </cell>
          <cell r="C1342" t="str">
            <v>빨강부치</v>
          </cell>
          <cell r="D1342" t="str">
            <v>C</v>
          </cell>
          <cell r="E1342">
            <v>70409231</v>
          </cell>
          <cell r="H1342" t="str">
            <v>-</v>
          </cell>
          <cell r="I1342" t="str">
            <v>-</v>
          </cell>
          <cell r="K1342" t="str">
            <v>-</v>
          </cell>
          <cell r="L1342" t="str">
            <v>-</v>
          </cell>
          <cell r="N1342" t="str">
            <v>-</v>
          </cell>
          <cell r="O1342" t="str">
            <v>-</v>
          </cell>
          <cell r="Q1342" t="str">
            <v>-</v>
          </cell>
          <cell r="R1342" t="str">
            <v>-</v>
          </cell>
          <cell r="T1342" t="str">
            <v>-</v>
          </cell>
          <cell r="U1342" t="str">
            <v>-</v>
          </cell>
          <cell r="W1342" t="str">
            <v>-</v>
          </cell>
          <cell r="X1342" t="str">
            <v>-</v>
          </cell>
        </row>
        <row r="1343">
          <cell r="A1343">
            <v>72221335</v>
          </cell>
          <cell r="B1343">
            <v>1861</v>
          </cell>
          <cell r="C1343" t="str">
            <v>창꼬치</v>
          </cell>
          <cell r="D1343" t="str">
            <v>C</v>
          </cell>
          <cell r="E1343">
            <v>70409344</v>
          </cell>
          <cell r="H1343" t="str">
            <v>-</v>
          </cell>
          <cell r="I1343" t="str">
            <v>-</v>
          </cell>
          <cell r="K1343" t="str">
            <v>-</v>
          </cell>
          <cell r="L1343" t="str">
            <v>-</v>
          </cell>
          <cell r="N1343" t="str">
            <v>-</v>
          </cell>
          <cell r="O1343" t="str">
            <v>-</v>
          </cell>
          <cell r="Q1343" t="str">
            <v>-</v>
          </cell>
          <cell r="R1343" t="str">
            <v>-</v>
          </cell>
          <cell r="T1343" t="str">
            <v>-</v>
          </cell>
          <cell r="U1343" t="str">
            <v>-</v>
          </cell>
          <cell r="W1343" t="str">
            <v>-</v>
          </cell>
          <cell r="X1343" t="str">
            <v>-</v>
          </cell>
        </row>
        <row r="1344">
          <cell r="A1344">
            <v>72221336</v>
          </cell>
          <cell r="B1344">
            <v>1861</v>
          </cell>
          <cell r="C1344" t="str">
            <v>금줄촉수</v>
          </cell>
          <cell r="D1344" t="str">
            <v>A</v>
          </cell>
          <cell r="E1344">
            <v>70409042</v>
          </cell>
          <cell r="H1344" t="str">
            <v>-</v>
          </cell>
          <cell r="I1344" t="str">
            <v>-</v>
          </cell>
          <cell r="K1344" t="str">
            <v>-</v>
          </cell>
          <cell r="L1344" t="str">
            <v>-</v>
          </cell>
          <cell r="N1344" t="str">
            <v>-</v>
          </cell>
          <cell r="O1344" t="str">
            <v>-</v>
          </cell>
          <cell r="Q1344" t="str">
            <v>-</v>
          </cell>
          <cell r="R1344" t="str">
            <v>-</v>
          </cell>
          <cell r="T1344" t="str">
            <v>-</v>
          </cell>
          <cell r="U1344" t="str">
            <v>-</v>
          </cell>
          <cell r="W1344" t="str">
            <v>-</v>
          </cell>
          <cell r="X1344" t="str">
            <v>-</v>
          </cell>
        </row>
        <row r="1345">
          <cell r="A1345">
            <v>72221337</v>
          </cell>
          <cell r="B1345">
            <v>1862</v>
          </cell>
          <cell r="C1345" t="str">
            <v>분장어</v>
          </cell>
          <cell r="D1345" t="str">
            <v>C</v>
          </cell>
          <cell r="E1345">
            <v>70409216</v>
          </cell>
          <cell r="H1345" t="str">
            <v>-</v>
          </cell>
          <cell r="I1345" t="str">
            <v>-</v>
          </cell>
          <cell r="K1345" t="str">
            <v>-</v>
          </cell>
          <cell r="L1345" t="str">
            <v>-</v>
          </cell>
          <cell r="N1345" t="str">
            <v>-</v>
          </cell>
          <cell r="O1345" t="str">
            <v>-</v>
          </cell>
          <cell r="Q1345" t="str">
            <v>-</v>
          </cell>
          <cell r="R1345" t="str">
            <v>-</v>
          </cell>
          <cell r="T1345" t="str">
            <v>-</v>
          </cell>
          <cell r="U1345" t="str">
            <v>-</v>
          </cell>
          <cell r="W1345" t="str">
            <v>-</v>
          </cell>
          <cell r="X1345" t="str">
            <v>-</v>
          </cell>
        </row>
        <row r="1346">
          <cell r="A1346">
            <v>72221338</v>
          </cell>
          <cell r="B1346">
            <v>1862</v>
          </cell>
          <cell r="C1346" t="str">
            <v>빨강부치</v>
          </cell>
          <cell r="D1346" t="str">
            <v>C</v>
          </cell>
          <cell r="E1346">
            <v>70409231</v>
          </cell>
          <cell r="H1346" t="str">
            <v>-</v>
          </cell>
          <cell r="I1346" t="str">
            <v>-</v>
          </cell>
          <cell r="K1346" t="str">
            <v>-</v>
          </cell>
          <cell r="L1346" t="str">
            <v>-</v>
          </cell>
          <cell r="N1346" t="str">
            <v>-</v>
          </cell>
          <cell r="O1346" t="str">
            <v>-</v>
          </cell>
          <cell r="Q1346" t="str">
            <v>-</v>
          </cell>
          <cell r="R1346" t="str">
            <v>-</v>
          </cell>
          <cell r="T1346" t="str">
            <v>-</v>
          </cell>
          <cell r="U1346" t="str">
            <v>-</v>
          </cell>
          <cell r="W1346" t="str">
            <v>-</v>
          </cell>
          <cell r="X1346" t="str">
            <v>-</v>
          </cell>
        </row>
        <row r="1347">
          <cell r="A1347">
            <v>72221339</v>
          </cell>
          <cell r="B1347">
            <v>1862</v>
          </cell>
          <cell r="C1347" t="str">
            <v>창꼬치</v>
          </cell>
          <cell r="D1347" t="str">
            <v>C</v>
          </cell>
          <cell r="E1347">
            <v>70409344</v>
          </cell>
          <cell r="H1347" t="str">
            <v>-</v>
          </cell>
          <cell r="I1347" t="str">
            <v>-</v>
          </cell>
          <cell r="K1347" t="str">
            <v>-</v>
          </cell>
          <cell r="L1347" t="str">
            <v>-</v>
          </cell>
          <cell r="N1347" t="str">
            <v>-</v>
          </cell>
          <cell r="O1347" t="str">
            <v>-</v>
          </cell>
          <cell r="Q1347" t="str">
            <v>-</v>
          </cell>
          <cell r="R1347" t="str">
            <v>-</v>
          </cell>
          <cell r="T1347" t="str">
            <v>-</v>
          </cell>
          <cell r="U1347" t="str">
            <v>-</v>
          </cell>
          <cell r="W1347" t="str">
            <v>-</v>
          </cell>
          <cell r="X1347" t="str">
            <v>-</v>
          </cell>
        </row>
        <row r="1348">
          <cell r="A1348">
            <v>72221340</v>
          </cell>
          <cell r="B1348">
            <v>1862</v>
          </cell>
          <cell r="C1348" t="str">
            <v>금줄촉수</v>
          </cell>
          <cell r="D1348" t="str">
            <v>A</v>
          </cell>
          <cell r="E1348">
            <v>70409042</v>
          </cell>
          <cell r="H1348" t="str">
            <v>-</v>
          </cell>
          <cell r="I1348" t="str">
            <v>-</v>
          </cell>
          <cell r="K1348" t="str">
            <v>-</v>
          </cell>
          <cell r="L1348" t="str">
            <v>-</v>
          </cell>
          <cell r="N1348" t="str">
            <v>-</v>
          </cell>
          <cell r="O1348" t="str">
            <v>-</v>
          </cell>
          <cell r="Q1348" t="str">
            <v>-</v>
          </cell>
          <cell r="R1348" t="str">
            <v>-</v>
          </cell>
          <cell r="T1348" t="str">
            <v>-</v>
          </cell>
          <cell r="U1348" t="str">
            <v>-</v>
          </cell>
          <cell r="W1348" t="str">
            <v>-</v>
          </cell>
          <cell r="X1348" t="str">
            <v>-</v>
          </cell>
        </row>
        <row r="1349">
          <cell r="A1349">
            <v>72221341</v>
          </cell>
          <cell r="B1349">
            <v>1863</v>
          </cell>
          <cell r="C1349" t="str">
            <v>분장어</v>
          </cell>
          <cell r="D1349" t="str">
            <v>C</v>
          </cell>
          <cell r="E1349">
            <v>70409216</v>
          </cell>
          <cell r="H1349" t="str">
            <v>-</v>
          </cell>
          <cell r="I1349" t="str">
            <v>-</v>
          </cell>
          <cell r="K1349" t="str">
            <v>-</v>
          </cell>
          <cell r="L1349" t="str">
            <v>-</v>
          </cell>
          <cell r="N1349" t="str">
            <v>-</v>
          </cell>
          <cell r="O1349" t="str">
            <v>-</v>
          </cell>
          <cell r="Q1349" t="str">
            <v>-</v>
          </cell>
          <cell r="R1349" t="str">
            <v>-</v>
          </cell>
          <cell r="T1349" t="str">
            <v>-</v>
          </cell>
          <cell r="U1349" t="str">
            <v>-</v>
          </cell>
          <cell r="W1349" t="str">
            <v>-</v>
          </cell>
          <cell r="X1349" t="str">
            <v>-</v>
          </cell>
        </row>
        <row r="1350">
          <cell r="A1350">
            <v>72221342</v>
          </cell>
          <cell r="B1350">
            <v>1863</v>
          </cell>
          <cell r="C1350" t="str">
            <v>빨강부치</v>
          </cell>
          <cell r="D1350" t="str">
            <v>C</v>
          </cell>
          <cell r="E1350">
            <v>70409231</v>
          </cell>
          <cell r="H1350" t="str">
            <v>-</v>
          </cell>
          <cell r="I1350" t="str">
            <v>-</v>
          </cell>
          <cell r="K1350" t="str">
            <v>-</v>
          </cell>
          <cell r="L1350" t="str">
            <v>-</v>
          </cell>
          <cell r="N1350" t="str">
            <v>-</v>
          </cell>
          <cell r="O1350" t="str">
            <v>-</v>
          </cell>
          <cell r="Q1350" t="str">
            <v>-</v>
          </cell>
          <cell r="R1350" t="str">
            <v>-</v>
          </cell>
          <cell r="T1350" t="str">
            <v>-</v>
          </cell>
          <cell r="U1350" t="str">
            <v>-</v>
          </cell>
          <cell r="W1350" t="str">
            <v>-</v>
          </cell>
          <cell r="X1350" t="str">
            <v>-</v>
          </cell>
        </row>
        <row r="1351">
          <cell r="A1351">
            <v>72221343</v>
          </cell>
          <cell r="B1351">
            <v>1863</v>
          </cell>
          <cell r="C1351" t="str">
            <v>창꼬치</v>
          </cell>
          <cell r="D1351" t="str">
            <v>C</v>
          </cell>
          <cell r="E1351">
            <v>70409344</v>
          </cell>
          <cell r="H1351" t="str">
            <v>-</v>
          </cell>
          <cell r="I1351" t="str">
            <v>-</v>
          </cell>
          <cell r="K1351" t="str">
            <v>-</v>
          </cell>
          <cell r="L1351" t="str">
            <v>-</v>
          </cell>
          <cell r="N1351" t="str">
            <v>-</v>
          </cell>
          <cell r="O1351" t="str">
            <v>-</v>
          </cell>
          <cell r="Q1351" t="str">
            <v>-</v>
          </cell>
          <cell r="R1351" t="str">
            <v>-</v>
          </cell>
          <cell r="T1351" t="str">
            <v>-</v>
          </cell>
          <cell r="U1351" t="str">
            <v>-</v>
          </cell>
          <cell r="W1351" t="str">
            <v>-</v>
          </cell>
          <cell r="X1351" t="str">
            <v>-</v>
          </cell>
        </row>
        <row r="1352">
          <cell r="A1352">
            <v>72221344</v>
          </cell>
          <cell r="B1352">
            <v>1863</v>
          </cell>
          <cell r="C1352" t="str">
            <v>금줄촉수</v>
          </cell>
          <cell r="D1352" t="str">
            <v>A</v>
          </cell>
          <cell r="E1352">
            <v>70409042</v>
          </cell>
          <cell r="H1352" t="str">
            <v>-</v>
          </cell>
          <cell r="I1352" t="str">
            <v>-</v>
          </cell>
          <cell r="K1352" t="str">
            <v>-</v>
          </cell>
          <cell r="L1352" t="str">
            <v>-</v>
          </cell>
          <cell r="N1352" t="str">
            <v>-</v>
          </cell>
          <cell r="O1352" t="str">
            <v>-</v>
          </cell>
          <cell r="Q1352" t="str">
            <v>-</v>
          </cell>
          <cell r="R1352" t="str">
            <v>-</v>
          </cell>
          <cell r="T1352" t="str">
            <v>-</v>
          </cell>
          <cell r="U1352" t="str">
            <v>-</v>
          </cell>
          <cell r="W1352" t="str">
            <v>-</v>
          </cell>
          <cell r="X1352" t="str">
            <v>-</v>
          </cell>
        </row>
        <row r="1353">
          <cell r="A1353">
            <v>72221345</v>
          </cell>
          <cell r="B1353">
            <v>1864</v>
          </cell>
          <cell r="C1353" t="str">
            <v>분장어</v>
          </cell>
          <cell r="D1353" t="str">
            <v>C</v>
          </cell>
          <cell r="E1353">
            <v>70409216</v>
          </cell>
          <cell r="H1353" t="str">
            <v>-</v>
          </cell>
          <cell r="I1353" t="str">
            <v>-</v>
          </cell>
          <cell r="K1353" t="str">
            <v>-</v>
          </cell>
          <cell r="L1353" t="str">
            <v>-</v>
          </cell>
          <cell r="N1353" t="str">
            <v>-</v>
          </cell>
          <cell r="O1353" t="str">
            <v>-</v>
          </cell>
          <cell r="Q1353" t="str">
            <v>-</v>
          </cell>
          <cell r="R1353" t="str">
            <v>-</v>
          </cell>
          <cell r="T1353" t="str">
            <v>-</v>
          </cell>
          <cell r="U1353" t="str">
            <v>-</v>
          </cell>
          <cell r="W1353" t="str">
            <v>-</v>
          </cell>
          <cell r="X1353" t="str">
            <v>-</v>
          </cell>
        </row>
        <row r="1354">
          <cell r="A1354">
            <v>72221346</v>
          </cell>
          <cell r="B1354">
            <v>1864</v>
          </cell>
          <cell r="C1354" t="str">
            <v>빨강부치</v>
          </cell>
          <cell r="D1354" t="str">
            <v>C</v>
          </cell>
          <cell r="E1354">
            <v>70409231</v>
          </cell>
          <cell r="H1354" t="str">
            <v>-</v>
          </cell>
          <cell r="I1354" t="str">
            <v>-</v>
          </cell>
          <cell r="K1354" t="str">
            <v>-</v>
          </cell>
          <cell r="L1354" t="str">
            <v>-</v>
          </cell>
          <cell r="N1354" t="str">
            <v>-</v>
          </cell>
          <cell r="O1354" t="str">
            <v>-</v>
          </cell>
          <cell r="Q1354" t="str">
            <v>-</v>
          </cell>
          <cell r="R1354" t="str">
            <v>-</v>
          </cell>
          <cell r="T1354" t="str">
            <v>-</v>
          </cell>
          <cell r="U1354" t="str">
            <v>-</v>
          </cell>
          <cell r="W1354" t="str">
            <v>-</v>
          </cell>
          <cell r="X1354" t="str">
            <v>-</v>
          </cell>
        </row>
        <row r="1355">
          <cell r="A1355">
            <v>72221347</v>
          </cell>
          <cell r="B1355">
            <v>1864</v>
          </cell>
          <cell r="C1355" t="str">
            <v>창꼬치</v>
          </cell>
          <cell r="D1355" t="str">
            <v>C</v>
          </cell>
          <cell r="E1355">
            <v>70409344</v>
          </cell>
          <cell r="H1355" t="str">
            <v>-</v>
          </cell>
          <cell r="I1355" t="str">
            <v>-</v>
          </cell>
          <cell r="K1355" t="str">
            <v>-</v>
          </cell>
          <cell r="L1355" t="str">
            <v>-</v>
          </cell>
          <cell r="N1355" t="str">
            <v>-</v>
          </cell>
          <cell r="O1355" t="str">
            <v>-</v>
          </cell>
          <cell r="Q1355" t="str">
            <v>-</v>
          </cell>
          <cell r="R1355" t="str">
            <v>-</v>
          </cell>
          <cell r="T1355" t="str">
            <v>-</v>
          </cell>
          <cell r="U1355" t="str">
            <v>-</v>
          </cell>
          <cell r="W1355" t="str">
            <v>-</v>
          </cell>
          <cell r="X1355" t="str">
            <v>-</v>
          </cell>
        </row>
        <row r="1356">
          <cell r="A1356">
            <v>72221348</v>
          </cell>
          <cell r="B1356">
            <v>1864</v>
          </cell>
          <cell r="C1356" t="str">
            <v>금줄촉수</v>
          </cell>
          <cell r="D1356" t="str">
            <v>A</v>
          </cell>
          <cell r="E1356">
            <v>70409042</v>
          </cell>
          <cell r="H1356" t="str">
            <v>-</v>
          </cell>
          <cell r="I1356" t="str">
            <v>-</v>
          </cell>
          <cell r="K1356" t="str">
            <v>-</v>
          </cell>
          <cell r="L1356" t="str">
            <v>-</v>
          </cell>
          <cell r="N1356" t="str">
            <v>-</v>
          </cell>
          <cell r="O1356" t="str">
            <v>-</v>
          </cell>
          <cell r="Q1356" t="str">
            <v>-</v>
          </cell>
          <cell r="R1356" t="str">
            <v>-</v>
          </cell>
          <cell r="T1356" t="str">
            <v>-</v>
          </cell>
          <cell r="U1356" t="str">
            <v>-</v>
          </cell>
          <cell r="W1356" t="str">
            <v>-</v>
          </cell>
          <cell r="X1356" t="str">
            <v>-</v>
          </cell>
        </row>
        <row r="1357">
          <cell r="A1357">
            <v>72221349</v>
          </cell>
          <cell r="B1357">
            <v>1871</v>
          </cell>
          <cell r="C1357" t="str">
            <v>긴가라지</v>
          </cell>
          <cell r="D1357" t="str">
            <v>C</v>
          </cell>
          <cell r="E1357">
            <v>70409043</v>
          </cell>
          <cell r="H1357" t="str">
            <v>-</v>
          </cell>
          <cell r="I1357" t="str">
            <v>-</v>
          </cell>
          <cell r="K1357" t="str">
            <v>-</v>
          </cell>
          <cell r="L1357" t="str">
            <v>-</v>
          </cell>
          <cell r="N1357" t="str">
            <v>-</v>
          </cell>
          <cell r="O1357" t="str">
            <v>-</v>
          </cell>
          <cell r="Q1357" t="str">
            <v>-</v>
          </cell>
          <cell r="R1357" t="str">
            <v>-</v>
          </cell>
          <cell r="T1357" t="str">
            <v>-</v>
          </cell>
          <cell r="U1357" t="str">
            <v>-</v>
          </cell>
          <cell r="W1357" t="str">
            <v>-</v>
          </cell>
          <cell r="X1357" t="str">
            <v>-</v>
          </cell>
        </row>
        <row r="1358">
          <cell r="A1358">
            <v>72221350</v>
          </cell>
          <cell r="B1358">
            <v>1871</v>
          </cell>
          <cell r="C1358" t="str">
            <v>놀락민태</v>
          </cell>
          <cell r="D1358" t="str">
            <v>C</v>
          </cell>
          <cell r="E1358">
            <v>70409087</v>
          </cell>
          <cell r="H1358" t="str">
            <v>-</v>
          </cell>
          <cell r="I1358" t="str">
            <v>-</v>
          </cell>
          <cell r="K1358" t="str">
            <v>-</v>
          </cell>
          <cell r="L1358" t="str">
            <v>-</v>
          </cell>
          <cell r="N1358" t="str">
            <v>-</v>
          </cell>
          <cell r="O1358" t="str">
            <v>-</v>
          </cell>
          <cell r="Q1358" t="str">
            <v>-</v>
          </cell>
          <cell r="R1358" t="str">
            <v>-</v>
          </cell>
          <cell r="T1358" t="str">
            <v>-</v>
          </cell>
          <cell r="U1358" t="str">
            <v>-</v>
          </cell>
          <cell r="W1358" t="str">
            <v>-</v>
          </cell>
          <cell r="X1358" t="str">
            <v>-</v>
          </cell>
        </row>
        <row r="1359">
          <cell r="A1359">
            <v>72221351</v>
          </cell>
          <cell r="B1359">
            <v>1872</v>
          </cell>
          <cell r="C1359" t="str">
            <v>긴가라지</v>
          </cell>
          <cell r="D1359" t="str">
            <v>C</v>
          </cell>
          <cell r="E1359">
            <v>70409043</v>
          </cell>
          <cell r="H1359" t="str">
            <v>-</v>
          </cell>
          <cell r="I1359" t="str">
            <v>-</v>
          </cell>
          <cell r="K1359" t="str">
            <v>-</v>
          </cell>
          <cell r="L1359" t="str">
            <v>-</v>
          </cell>
          <cell r="N1359" t="str">
            <v>-</v>
          </cell>
          <cell r="O1359" t="str">
            <v>-</v>
          </cell>
          <cell r="Q1359" t="str">
            <v>-</v>
          </cell>
          <cell r="R1359" t="str">
            <v>-</v>
          </cell>
          <cell r="T1359" t="str">
            <v>-</v>
          </cell>
          <cell r="U1359" t="str">
            <v>-</v>
          </cell>
          <cell r="W1359" t="str">
            <v>-</v>
          </cell>
          <cell r="X1359" t="str">
            <v>-</v>
          </cell>
        </row>
        <row r="1360">
          <cell r="A1360">
            <v>72221352</v>
          </cell>
          <cell r="B1360">
            <v>1872</v>
          </cell>
          <cell r="C1360" t="str">
            <v>놀락민태</v>
          </cell>
          <cell r="D1360" t="str">
            <v>C</v>
          </cell>
          <cell r="E1360">
            <v>70409087</v>
          </cell>
          <cell r="H1360" t="str">
            <v>-</v>
          </cell>
          <cell r="I1360" t="str">
            <v>-</v>
          </cell>
          <cell r="K1360" t="str">
            <v>-</v>
          </cell>
          <cell r="L1360" t="str">
            <v>-</v>
          </cell>
          <cell r="N1360" t="str">
            <v>-</v>
          </cell>
          <cell r="O1360" t="str">
            <v>-</v>
          </cell>
          <cell r="Q1360" t="str">
            <v>-</v>
          </cell>
          <cell r="R1360" t="str">
            <v>-</v>
          </cell>
          <cell r="T1360" t="str">
            <v>-</v>
          </cell>
          <cell r="U1360" t="str">
            <v>-</v>
          </cell>
          <cell r="W1360" t="str">
            <v>-</v>
          </cell>
          <cell r="X1360" t="str">
            <v>-</v>
          </cell>
        </row>
        <row r="1361">
          <cell r="A1361">
            <v>72221353</v>
          </cell>
          <cell r="B1361">
            <v>1873</v>
          </cell>
          <cell r="C1361" t="str">
            <v>긴가라지</v>
          </cell>
          <cell r="D1361" t="str">
            <v>C</v>
          </cell>
          <cell r="E1361">
            <v>70409043</v>
          </cell>
          <cell r="H1361" t="str">
            <v>-</v>
          </cell>
          <cell r="I1361" t="str">
            <v>-</v>
          </cell>
          <cell r="K1361" t="str">
            <v>-</v>
          </cell>
          <cell r="L1361" t="str">
            <v>-</v>
          </cell>
          <cell r="N1361" t="str">
            <v>-</v>
          </cell>
          <cell r="O1361" t="str">
            <v>-</v>
          </cell>
          <cell r="Q1361" t="str">
            <v>-</v>
          </cell>
          <cell r="R1361" t="str">
            <v>-</v>
          </cell>
          <cell r="T1361" t="str">
            <v>-</v>
          </cell>
          <cell r="U1361" t="str">
            <v>-</v>
          </cell>
          <cell r="W1361" t="str">
            <v>-</v>
          </cell>
          <cell r="X1361" t="str">
            <v>-</v>
          </cell>
        </row>
        <row r="1362">
          <cell r="A1362">
            <v>72221354</v>
          </cell>
          <cell r="B1362">
            <v>1873</v>
          </cell>
          <cell r="C1362" t="str">
            <v>놀락민태</v>
          </cell>
          <cell r="D1362" t="str">
            <v>C</v>
          </cell>
          <cell r="E1362">
            <v>70409087</v>
          </cell>
          <cell r="H1362" t="str">
            <v>-</v>
          </cell>
          <cell r="I1362" t="str">
            <v>-</v>
          </cell>
          <cell r="K1362" t="str">
            <v>-</v>
          </cell>
          <cell r="L1362" t="str">
            <v>-</v>
          </cell>
          <cell r="N1362" t="str">
            <v>-</v>
          </cell>
          <cell r="O1362" t="str">
            <v>-</v>
          </cell>
          <cell r="Q1362" t="str">
            <v>-</v>
          </cell>
          <cell r="R1362" t="str">
            <v>-</v>
          </cell>
          <cell r="T1362" t="str">
            <v>-</v>
          </cell>
          <cell r="U1362" t="str">
            <v>-</v>
          </cell>
          <cell r="W1362" t="str">
            <v>-</v>
          </cell>
          <cell r="X1362" t="str">
            <v>-</v>
          </cell>
        </row>
        <row r="1363">
          <cell r="A1363">
            <v>72221355</v>
          </cell>
          <cell r="B1363">
            <v>1874</v>
          </cell>
          <cell r="C1363" t="str">
            <v>긴가라지</v>
          </cell>
          <cell r="D1363" t="str">
            <v>C</v>
          </cell>
          <cell r="E1363">
            <v>70409043</v>
          </cell>
          <cell r="H1363" t="str">
            <v>-</v>
          </cell>
          <cell r="I1363" t="str">
            <v>-</v>
          </cell>
          <cell r="K1363" t="str">
            <v>-</v>
          </cell>
          <cell r="L1363" t="str">
            <v>-</v>
          </cell>
          <cell r="N1363" t="str">
            <v>-</v>
          </cell>
          <cell r="O1363" t="str">
            <v>-</v>
          </cell>
          <cell r="Q1363" t="str">
            <v>-</v>
          </cell>
          <cell r="R1363" t="str">
            <v>-</v>
          </cell>
          <cell r="T1363" t="str">
            <v>-</v>
          </cell>
          <cell r="U1363" t="str">
            <v>-</v>
          </cell>
          <cell r="W1363" t="str">
            <v>-</v>
          </cell>
          <cell r="X1363" t="str">
            <v>-</v>
          </cell>
        </row>
        <row r="1364">
          <cell r="A1364">
            <v>72221356</v>
          </cell>
          <cell r="B1364">
            <v>1874</v>
          </cell>
          <cell r="C1364" t="str">
            <v>놀락민태</v>
          </cell>
          <cell r="D1364" t="str">
            <v>C</v>
          </cell>
          <cell r="E1364">
            <v>70409087</v>
          </cell>
          <cell r="H1364" t="str">
            <v>-</v>
          </cell>
          <cell r="I1364" t="str">
            <v>-</v>
          </cell>
          <cell r="K1364" t="str">
            <v>-</v>
          </cell>
          <cell r="L1364" t="str">
            <v>-</v>
          </cell>
          <cell r="N1364" t="str">
            <v>-</v>
          </cell>
          <cell r="O1364" t="str">
            <v>-</v>
          </cell>
          <cell r="Q1364" t="str">
            <v>-</v>
          </cell>
          <cell r="R1364" t="str">
            <v>-</v>
          </cell>
          <cell r="T1364" t="str">
            <v>-</v>
          </cell>
          <cell r="U1364" t="str">
            <v>-</v>
          </cell>
          <cell r="W1364" t="str">
            <v>-</v>
          </cell>
          <cell r="X1364" t="str">
            <v>-</v>
          </cell>
        </row>
        <row r="1365">
          <cell r="A1365">
            <v>72221357</v>
          </cell>
          <cell r="B1365">
            <v>1881</v>
          </cell>
          <cell r="C1365" t="str">
            <v>물퉁돔</v>
          </cell>
          <cell r="D1365" t="str">
            <v>B</v>
          </cell>
          <cell r="E1365">
            <v>70409169</v>
          </cell>
          <cell r="H1365" t="str">
            <v>-</v>
          </cell>
          <cell r="I1365" t="str">
            <v>-</v>
          </cell>
          <cell r="K1365" t="str">
            <v>-</v>
          </cell>
          <cell r="L1365" t="str">
            <v>-</v>
          </cell>
          <cell r="N1365" t="str">
            <v>-</v>
          </cell>
          <cell r="O1365" t="str">
            <v>-</v>
          </cell>
          <cell r="Q1365" t="str">
            <v>-</v>
          </cell>
          <cell r="R1365" t="str">
            <v>-</v>
          </cell>
          <cell r="T1365" t="str">
            <v>-</v>
          </cell>
          <cell r="U1365" t="str">
            <v>-</v>
          </cell>
          <cell r="W1365" t="str">
            <v>-</v>
          </cell>
          <cell r="X1365" t="str">
            <v>-</v>
          </cell>
        </row>
        <row r="1366">
          <cell r="A1366">
            <v>72221358</v>
          </cell>
          <cell r="B1366">
            <v>1881</v>
          </cell>
          <cell r="C1366" t="str">
            <v>육동가리돔</v>
          </cell>
          <cell r="D1366" t="str">
            <v>D</v>
          </cell>
          <cell r="E1366">
            <v>70409302</v>
          </cell>
          <cell r="H1366" t="str">
            <v>-</v>
          </cell>
          <cell r="I1366" t="str">
            <v>-</v>
          </cell>
          <cell r="K1366" t="str">
            <v>-</v>
          </cell>
          <cell r="L1366" t="str">
            <v>-</v>
          </cell>
          <cell r="N1366" t="str">
            <v>-</v>
          </cell>
          <cell r="O1366" t="str">
            <v>-</v>
          </cell>
          <cell r="Q1366" t="str">
            <v>-</v>
          </cell>
          <cell r="R1366" t="str">
            <v>-</v>
          </cell>
          <cell r="T1366" t="str">
            <v>-</v>
          </cell>
          <cell r="U1366" t="str">
            <v>-</v>
          </cell>
          <cell r="W1366" t="str">
            <v>-</v>
          </cell>
          <cell r="X1366" t="str">
            <v>-</v>
          </cell>
        </row>
        <row r="1367">
          <cell r="A1367">
            <v>72221359</v>
          </cell>
          <cell r="B1367">
            <v>1881</v>
          </cell>
          <cell r="C1367" t="str">
            <v>보리멸</v>
          </cell>
          <cell r="D1367" t="str">
            <v>D</v>
          </cell>
          <cell r="E1367">
            <v>70409208</v>
          </cell>
          <cell r="H1367" t="str">
            <v>-</v>
          </cell>
          <cell r="I1367" t="str">
            <v>-</v>
          </cell>
          <cell r="K1367" t="str">
            <v>-</v>
          </cell>
          <cell r="L1367" t="str">
            <v>-</v>
          </cell>
          <cell r="N1367" t="str">
            <v>-</v>
          </cell>
          <cell r="O1367" t="str">
            <v>-</v>
          </cell>
          <cell r="Q1367" t="str">
            <v>-</v>
          </cell>
          <cell r="R1367" t="str">
            <v>-</v>
          </cell>
          <cell r="T1367" t="str">
            <v>-</v>
          </cell>
          <cell r="U1367" t="str">
            <v>-</v>
          </cell>
          <cell r="W1367" t="str">
            <v>-</v>
          </cell>
          <cell r="X1367" t="str">
            <v>-</v>
          </cell>
        </row>
        <row r="1368">
          <cell r="A1368">
            <v>72221360</v>
          </cell>
          <cell r="B1368">
            <v>1882</v>
          </cell>
          <cell r="C1368" t="str">
            <v>물퉁돔</v>
          </cell>
          <cell r="D1368" t="str">
            <v>B</v>
          </cell>
          <cell r="E1368">
            <v>70409169</v>
          </cell>
          <cell r="H1368" t="str">
            <v>-</v>
          </cell>
          <cell r="I1368" t="str">
            <v>-</v>
          </cell>
          <cell r="K1368" t="str">
            <v>-</v>
          </cell>
          <cell r="L1368" t="str">
            <v>-</v>
          </cell>
          <cell r="N1368" t="str">
            <v>-</v>
          </cell>
          <cell r="O1368" t="str">
            <v>-</v>
          </cell>
          <cell r="Q1368" t="str">
            <v>-</v>
          </cell>
          <cell r="R1368" t="str">
            <v>-</v>
          </cell>
          <cell r="T1368" t="str">
            <v>-</v>
          </cell>
          <cell r="U1368" t="str">
            <v>-</v>
          </cell>
          <cell r="W1368" t="str">
            <v>-</v>
          </cell>
          <cell r="X1368" t="str">
            <v>-</v>
          </cell>
        </row>
        <row r="1369">
          <cell r="A1369">
            <v>72221361</v>
          </cell>
          <cell r="B1369">
            <v>1882</v>
          </cell>
          <cell r="C1369" t="str">
            <v>육동가리돔</v>
          </cell>
          <cell r="D1369" t="str">
            <v>D</v>
          </cell>
          <cell r="E1369">
            <v>70409302</v>
          </cell>
          <cell r="H1369" t="str">
            <v>-</v>
          </cell>
          <cell r="I1369" t="str">
            <v>-</v>
          </cell>
          <cell r="K1369" t="str">
            <v>-</v>
          </cell>
          <cell r="L1369" t="str">
            <v>-</v>
          </cell>
          <cell r="N1369" t="str">
            <v>-</v>
          </cell>
          <cell r="O1369" t="str">
            <v>-</v>
          </cell>
          <cell r="Q1369" t="str">
            <v>-</v>
          </cell>
          <cell r="R1369" t="str">
            <v>-</v>
          </cell>
          <cell r="T1369" t="str">
            <v>-</v>
          </cell>
          <cell r="U1369" t="str">
            <v>-</v>
          </cell>
          <cell r="W1369" t="str">
            <v>-</v>
          </cell>
          <cell r="X1369" t="str">
            <v>-</v>
          </cell>
        </row>
        <row r="1370">
          <cell r="A1370">
            <v>72221362</v>
          </cell>
          <cell r="B1370">
            <v>1882</v>
          </cell>
          <cell r="C1370" t="str">
            <v>클리오네</v>
          </cell>
          <cell r="D1370" t="str">
            <v>C</v>
          </cell>
          <cell r="E1370">
            <v>70409365</v>
          </cell>
          <cell r="H1370" t="str">
            <v>-</v>
          </cell>
          <cell r="I1370" t="str">
            <v>-</v>
          </cell>
          <cell r="K1370" t="str">
            <v>-</v>
          </cell>
          <cell r="L1370" t="str">
            <v>-</v>
          </cell>
          <cell r="N1370" t="str">
            <v>-</v>
          </cell>
          <cell r="O1370" t="str">
            <v>-</v>
          </cell>
          <cell r="Q1370" t="str">
            <v>-</v>
          </cell>
          <cell r="R1370" t="str">
            <v>-</v>
          </cell>
          <cell r="T1370" t="str">
            <v>-</v>
          </cell>
          <cell r="U1370" t="str">
            <v>-</v>
          </cell>
          <cell r="W1370" t="str">
            <v>-</v>
          </cell>
          <cell r="X1370" t="str">
            <v>-</v>
          </cell>
        </row>
        <row r="1371">
          <cell r="A1371">
            <v>72221363</v>
          </cell>
          <cell r="B1371">
            <v>1883</v>
          </cell>
          <cell r="C1371" t="str">
            <v>물퉁돔</v>
          </cell>
          <cell r="D1371" t="str">
            <v>B</v>
          </cell>
          <cell r="E1371">
            <v>70409169</v>
          </cell>
          <cell r="H1371" t="str">
            <v>-</v>
          </cell>
          <cell r="I1371" t="str">
            <v>-</v>
          </cell>
          <cell r="K1371" t="str">
            <v>-</v>
          </cell>
          <cell r="L1371" t="str">
            <v>-</v>
          </cell>
          <cell r="N1371" t="str">
            <v>-</v>
          </cell>
          <cell r="O1371" t="str">
            <v>-</v>
          </cell>
          <cell r="Q1371" t="str">
            <v>-</v>
          </cell>
          <cell r="R1371" t="str">
            <v>-</v>
          </cell>
          <cell r="T1371" t="str">
            <v>-</v>
          </cell>
          <cell r="U1371" t="str">
            <v>-</v>
          </cell>
          <cell r="W1371" t="str">
            <v>-</v>
          </cell>
          <cell r="X1371" t="str">
            <v>-</v>
          </cell>
        </row>
        <row r="1372">
          <cell r="A1372">
            <v>72221364</v>
          </cell>
          <cell r="B1372">
            <v>1883</v>
          </cell>
          <cell r="C1372" t="str">
            <v>육동가리돔</v>
          </cell>
          <cell r="D1372" t="str">
            <v>D</v>
          </cell>
          <cell r="E1372">
            <v>70409302</v>
          </cell>
          <cell r="H1372" t="str">
            <v>-</v>
          </cell>
          <cell r="I1372" t="str">
            <v>-</v>
          </cell>
          <cell r="K1372" t="str">
            <v>-</v>
          </cell>
          <cell r="L1372" t="str">
            <v>-</v>
          </cell>
          <cell r="N1372" t="str">
            <v>-</v>
          </cell>
          <cell r="O1372" t="str">
            <v>-</v>
          </cell>
          <cell r="Q1372" t="str">
            <v>-</v>
          </cell>
          <cell r="R1372" t="str">
            <v>-</v>
          </cell>
          <cell r="T1372" t="str">
            <v>-</v>
          </cell>
          <cell r="U1372" t="str">
            <v>-</v>
          </cell>
          <cell r="W1372" t="str">
            <v>-</v>
          </cell>
          <cell r="X1372" t="str">
            <v>-</v>
          </cell>
        </row>
        <row r="1373">
          <cell r="A1373">
            <v>72221365</v>
          </cell>
          <cell r="B1373">
            <v>1883</v>
          </cell>
          <cell r="C1373" t="str">
            <v>클리오네</v>
          </cell>
          <cell r="D1373" t="str">
            <v>C</v>
          </cell>
          <cell r="E1373">
            <v>70409365</v>
          </cell>
          <cell r="H1373" t="str">
            <v>-</v>
          </cell>
          <cell r="I1373" t="str">
            <v>-</v>
          </cell>
          <cell r="K1373" t="str">
            <v>-</v>
          </cell>
          <cell r="L1373" t="str">
            <v>-</v>
          </cell>
          <cell r="N1373" t="str">
            <v>-</v>
          </cell>
          <cell r="O1373" t="str">
            <v>-</v>
          </cell>
          <cell r="Q1373" t="str">
            <v>-</v>
          </cell>
          <cell r="R1373" t="str">
            <v>-</v>
          </cell>
          <cell r="T1373" t="str">
            <v>-</v>
          </cell>
          <cell r="U1373" t="str">
            <v>-</v>
          </cell>
          <cell r="W1373" t="str">
            <v>-</v>
          </cell>
          <cell r="X1373" t="str">
            <v>-</v>
          </cell>
        </row>
        <row r="1374">
          <cell r="A1374">
            <v>72221366</v>
          </cell>
          <cell r="B1374">
            <v>1884</v>
          </cell>
          <cell r="C1374" t="str">
            <v>물퉁돔</v>
          </cell>
          <cell r="D1374" t="str">
            <v>B</v>
          </cell>
          <cell r="E1374">
            <v>70409169</v>
          </cell>
          <cell r="H1374" t="str">
            <v>-</v>
          </cell>
          <cell r="I1374" t="str">
            <v>-</v>
          </cell>
          <cell r="K1374" t="str">
            <v>-</v>
          </cell>
          <cell r="L1374" t="str">
            <v>-</v>
          </cell>
          <cell r="N1374" t="str">
            <v>-</v>
          </cell>
          <cell r="O1374" t="str">
            <v>-</v>
          </cell>
          <cell r="Q1374" t="str">
            <v>-</v>
          </cell>
          <cell r="R1374" t="str">
            <v>-</v>
          </cell>
          <cell r="T1374" t="str">
            <v>-</v>
          </cell>
          <cell r="U1374" t="str">
            <v>-</v>
          </cell>
          <cell r="W1374" t="str">
            <v>-</v>
          </cell>
          <cell r="X1374" t="str">
            <v>-</v>
          </cell>
        </row>
        <row r="1375">
          <cell r="A1375">
            <v>72221367</v>
          </cell>
          <cell r="B1375">
            <v>1884</v>
          </cell>
          <cell r="C1375" t="str">
            <v>육동가리돔</v>
          </cell>
          <cell r="D1375" t="str">
            <v>D</v>
          </cell>
          <cell r="E1375">
            <v>70409302</v>
          </cell>
          <cell r="H1375" t="str">
            <v>-</v>
          </cell>
          <cell r="I1375" t="str">
            <v>-</v>
          </cell>
          <cell r="K1375" t="str">
            <v>-</v>
          </cell>
          <cell r="L1375" t="str">
            <v>-</v>
          </cell>
          <cell r="N1375" t="str">
            <v>-</v>
          </cell>
          <cell r="O1375" t="str">
            <v>-</v>
          </cell>
          <cell r="Q1375" t="str">
            <v>-</v>
          </cell>
          <cell r="R1375" t="str">
            <v>-</v>
          </cell>
          <cell r="T1375" t="str">
            <v>-</v>
          </cell>
          <cell r="U1375" t="str">
            <v>-</v>
          </cell>
          <cell r="W1375" t="str">
            <v>-</v>
          </cell>
          <cell r="X1375" t="str">
            <v>-</v>
          </cell>
        </row>
        <row r="1376">
          <cell r="A1376">
            <v>72221368</v>
          </cell>
          <cell r="B1376">
            <v>1884</v>
          </cell>
          <cell r="C1376" t="str">
            <v>클리오네</v>
          </cell>
          <cell r="D1376" t="str">
            <v>C</v>
          </cell>
          <cell r="E1376">
            <v>70409365</v>
          </cell>
          <cell r="H1376" t="str">
            <v>-</v>
          </cell>
          <cell r="I1376" t="str">
            <v>-</v>
          </cell>
          <cell r="K1376" t="str">
            <v>-</v>
          </cell>
          <cell r="L1376" t="str">
            <v>-</v>
          </cell>
          <cell r="N1376" t="str">
            <v>-</v>
          </cell>
          <cell r="O1376" t="str">
            <v>-</v>
          </cell>
          <cell r="Q1376" t="str">
            <v>-</v>
          </cell>
          <cell r="R1376" t="str">
            <v>-</v>
          </cell>
          <cell r="T1376" t="str">
            <v>-</v>
          </cell>
          <cell r="U1376" t="str">
            <v>-</v>
          </cell>
          <cell r="W1376" t="str">
            <v>-</v>
          </cell>
          <cell r="X1376" t="str">
            <v>-</v>
          </cell>
        </row>
        <row r="1377">
          <cell r="A1377">
            <v>72221369</v>
          </cell>
          <cell r="B1377">
            <v>1891</v>
          </cell>
          <cell r="C1377" t="str">
            <v>베링늑대고기</v>
          </cell>
          <cell r="D1377" t="str">
            <v>B</v>
          </cell>
          <cell r="E1377">
            <v>70409197</v>
          </cell>
          <cell r="H1377" t="str">
            <v>-</v>
          </cell>
          <cell r="I1377" t="str">
            <v>-</v>
          </cell>
          <cell r="K1377" t="str">
            <v>-</v>
          </cell>
          <cell r="L1377" t="str">
            <v>-</v>
          </cell>
          <cell r="N1377" t="str">
            <v>-</v>
          </cell>
          <cell r="O1377" t="str">
            <v>-</v>
          </cell>
          <cell r="Q1377" t="str">
            <v>-</v>
          </cell>
          <cell r="R1377" t="str">
            <v>-</v>
          </cell>
          <cell r="T1377" t="str">
            <v>-</v>
          </cell>
          <cell r="U1377" t="str">
            <v>-</v>
          </cell>
          <cell r="W1377" t="str">
            <v>-</v>
          </cell>
          <cell r="X1377" t="str">
            <v>-</v>
          </cell>
        </row>
        <row r="1378">
          <cell r="A1378">
            <v>72221370</v>
          </cell>
          <cell r="B1378">
            <v>1892</v>
          </cell>
          <cell r="C1378" t="str">
            <v>베링늑대고기</v>
          </cell>
          <cell r="D1378" t="str">
            <v>B</v>
          </cell>
          <cell r="E1378">
            <v>70409197</v>
          </cell>
          <cell r="H1378" t="str">
            <v>-</v>
          </cell>
          <cell r="I1378" t="str">
            <v>-</v>
          </cell>
          <cell r="K1378" t="str">
            <v>-</v>
          </cell>
          <cell r="L1378" t="str">
            <v>-</v>
          </cell>
          <cell r="N1378" t="str">
            <v>-</v>
          </cell>
          <cell r="O1378" t="str">
            <v>-</v>
          </cell>
          <cell r="Q1378" t="str">
            <v>-</v>
          </cell>
          <cell r="R1378" t="str">
            <v>-</v>
          </cell>
          <cell r="T1378" t="str">
            <v>-</v>
          </cell>
          <cell r="U1378" t="str">
            <v>-</v>
          </cell>
          <cell r="W1378" t="str">
            <v>-</v>
          </cell>
          <cell r="X1378" t="str">
            <v>-</v>
          </cell>
        </row>
        <row r="1379">
          <cell r="A1379">
            <v>72221371</v>
          </cell>
          <cell r="B1379">
            <v>1893</v>
          </cell>
          <cell r="C1379" t="str">
            <v>베링늑대고기</v>
          </cell>
          <cell r="D1379" t="str">
            <v>B</v>
          </cell>
          <cell r="E1379">
            <v>70409197</v>
          </cell>
          <cell r="H1379" t="str">
            <v>-</v>
          </cell>
          <cell r="I1379" t="str">
            <v>-</v>
          </cell>
          <cell r="K1379" t="str">
            <v>-</v>
          </cell>
          <cell r="L1379" t="str">
            <v>-</v>
          </cell>
          <cell r="N1379" t="str">
            <v>-</v>
          </cell>
          <cell r="O1379" t="str">
            <v>-</v>
          </cell>
          <cell r="Q1379" t="str">
            <v>-</v>
          </cell>
          <cell r="R1379" t="str">
            <v>-</v>
          </cell>
          <cell r="T1379" t="str">
            <v>-</v>
          </cell>
          <cell r="U1379" t="str">
            <v>-</v>
          </cell>
          <cell r="W1379" t="str">
            <v>-</v>
          </cell>
          <cell r="X1379" t="str">
            <v>-</v>
          </cell>
        </row>
        <row r="1380">
          <cell r="A1380">
            <v>72221372</v>
          </cell>
          <cell r="B1380">
            <v>1894</v>
          </cell>
          <cell r="C1380" t="str">
            <v>베링늑대고기</v>
          </cell>
          <cell r="D1380" t="str">
            <v>B</v>
          </cell>
          <cell r="E1380">
            <v>70409197</v>
          </cell>
          <cell r="H1380" t="str">
            <v>-</v>
          </cell>
          <cell r="I1380" t="str">
            <v>-</v>
          </cell>
          <cell r="K1380" t="str">
            <v>-</v>
          </cell>
          <cell r="L1380" t="str">
            <v>-</v>
          </cell>
          <cell r="N1380" t="str">
            <v>-</v>
          </cell>
          <cell r="O1380" t="str">
            <v>-</v>
          </cell>
          <cell r="Q1380" t="str">
            <v>-</v>
          </cell>
          <cell r="R1380" t="str">
            <v>-</v>
          </cell>
          <cell r="T1380" t="str">
            <v>-</v>
          </cell>
          <cell r="U1380" t="str">
            <v>-</v>
          </cell>
          <cell r="W1380" t="str">
            <v>-</v>
          </cell>
          <cell r="X1380" t="str">
            <v>-</v>
          </cell>
        </row>
        <row r="1381">
          <cell r="A1381">
            <v>72221373</v>
          </cell>
          <cell r="B1381">
            <v>1901</v>
          </cell>
          <cell r="C1381" t="str">
            <v>긴코줄고기</v>
          </cell>
          <cell r="D1381" t="str">
            <v>B</v>
          </cell>
          <cell r="E1381">
            <v>70409044</v>
          </cell>
          <cell r="H1381" t="str">
            <v>-</v>
          </cell>
          <cell r="I1381" t="str">
            <v>-</v>
          </cell>
          <cell r="K1381" t="str">
            <v>-</v>
          </cell>
          <cell r="L1381" t="str">
            <v>-</v>
          </cell>
          <cell r="N1381" t="str">
            <v>-</v>
          </cell>
          <cell r="O1381" t="str">
            <v>-</v>
          </cell>
          <cell r="Q1381" t="str">
            <v>-</v>
          </cell>
          <cell r="R1381" t="str">
            <v>-</v>
          </cell>
          <cell r="T1381" t="str">
            <v>-</v>
          </cell>
          <cell r="U1381" t="str">
            <v>-</v>
          </cell>
          <cell r="W1381" t="str">
            <v>-</v>
          </cell>
          <cell r="X1381" t="str">
            <v>-</v>
          </cell>
        </row>
        <row r="1382">
          <cell r="A1382">
            <v>72221374</v>
          </cell>
          <cell r="B1382">
            <v>1901</v>
          </cell>
          <cell r="C1382" t="str">
            <v>눈양태</v>
          </cell>
          <cell r="D1382" t="str">
            <v>A</v>
          </cell>
          <cell r="E1382">
            <v>70409092</v>
          </cell>
          <cell r="H1382" t="str">
            <v>-</v>
          </cell>
          <cell r="I1382" t="str">
            <v>-</v>
          </cell>
          <cell r="K1382" t="str">
            <v>-</v>
          </cell>
          <cell r="L1382" t="str">
            <v>-</v>
          </cell>
          <cell r="N1382" t="str">
            <v>-</v>
          </cell>
          <cell r="O1382" t="str">
            <v>-</v>
          </cell>
          <cell r="Q1382" t="str">
            <v>-</v>
          </cell>
          <cell r="R1382" t="str">
            <v>-</v>
          </cell>
          <cell r="T1382" t="str">
            <v>-</v>
          </cell>
          <cell r="U1382" t="str">
            <v>-</v>
          </cell>
          <cell r="W1382" t="str">
            <v>-</v>
          </cell>
          <cell r="X1382" t="str">
            <v>-</v>
          </cell>
        </row>
        <row r="1383">
          <cell r="A1383">
            <v>72221375</v>
          </cell>
          <cell r="B1383">
            <v>1901</v>
          </cell>
          <cell r="C1383" t="str">
            <v>까지가자미</v>
          </cell>
          <cell r="D1383" t="str">
            <v>B</v>
          </cell>
          <cell r="E1383">
            <v>70409047</v>
          </cell>
          <cell r="H1383" t="str">
            <v>-</v>
          </cell>
          <cell r="I1383" t="str">
            <v>-</v>
          </cell>
          <cell r="K1383" t="str">
            <v>-</v>
          </cell>
          <cell r="L1383" t="str">
            <v>-</v>
          </cell>
          <cell r="N1383" t="str">
            <v>-</v>
          </cell>
          <cell r="O1383" t="str">
            <v>-</v>
          </cell>
          <cell r="Q1383" t="str">
            <v>-</v>
          </cell>
          <cell r="R1383" t="str">
            <v>-</v>
          </cell>
          <cell r="T1383" t="str">
            <v>-</v>
          </cell>
          <cell r="U1383" t="str">
            <v>-</v>
          </cell>
          <cell r="W1383" t="str">
            <v>-</v>
          </cell>
          <cell r="X1383" t="str">
            <v>-</v>
          </cell>
        </row>
        <row r="1384">
          <cell r="A1384">
            <v>72221376</v>
          </cell>
          <cell r="B1384">
            <v>1902</v>
          </cell>
          <cell r="C1384" t="str">
            <v>긴코줄고기</v>
          </cell>
          <cell r="D1384" t="str">
            <v>B</v>
          </cell>
          <cell r="E1384">
            <v>70409044</v>
          </cell>
          <cell r="H1384" t="str">
            <v>-</v>
          </cell>
          <cell r="I1384" t="str">
            <v>-</v>
          </cell>
          <cell r="K1384" t="str">
            <v>-</v>
          </cell>
          <cell r="L1384" t="str">
            <v>-</v>
          </cell>
          <cell r="N1384" t="str">
            <v>-</v>
          </cell>
          <cell r="O1384" t="str">
            <v>-</v>
          </cell>
          <cell r="Q1384" t="str">
            <v>-</v>
          </cell>
          <cell r="R1384" t="str">
            <v>-</v>
          </cell>
          <cell r="T1384" t="str">
            <v>-</v>
          </cell>
          <cell r="U1384" t="str">
            <v>-</v>
          </cell>
          <cell r="W1384" t="str">
            <v>-</v>
          </cell>
          <cell r="X1384" t="str">
            <v>-</v>
          </cell>
        </row>
        <row r="1385">
          <cell r="A1385">
            <v>72221377</v>
          </cell>
          <cell r="B1385">
            <v>1902</v>
          </cell>
          <cell r="C1385" t="str">
            <v>눈양태</v>
          </cell>
          <cell r="D1385" t="str">
            <v>A</v>
          </cell>
          <cell r="E1385">
            <v>70409092</v>
          </cell>
          <cell r="H1385" t="str">
            <v>-</v>
          </cell>
          <cell r="I1385" t="str">
            <v>-</v>
          </cell>
          <cell r="K1385" t="str">
            <v>-</v>
          </cell>
          <cell r="L1385" t="str">
            <v>-</v>
          </cell>
          <cell r="N1385" t="str">
            <v>-</v>
          </cell>
          <cell r="O1385" t="str">
            <v>-</v>
          </cell>
          <cell r="Q1385" t="str">
            <v>-</v>
          </cell>
          <cell r="R1385" t="str">
            <v>-</v>
          </cell>
          <cell r="T1385" t="str">
            <v>-</v>
          </cell>
          <cell r="U1385" t="str">
            <v>-</v>
          </cell>
          <cell r="W1385" t="str">
            <v>-</v>
          </cell>
          <cell r="X1385" t="str">
            <v>-</v>
          </cell>
        </row>
        <row r="1386">
          <cell r="A1386">
            <v>72221378</v>
          </cell>
          <cell r="B1386">
            <v>1902</v>
          </cell>
          <cell r="C1386" t="str">
            <v>까지가자미</v>
          </cell>
          <cell r="D1386" t="str">
            <v>B</v>
          </cell>
          <cell r="E1386">
            <v>70409047</v>
          </cell>
          <cell r="H1386" t="str">
            <v>-</v>
          </cell>
          <cell r="I1386" t="str">
            <v>-</v>
          </cell>
          <cell r="K1386" t="str">
            <v>-</v>
          </cell>
          <cell r="L1386" t="str">
            <v>-</v>
          </cell>
          <cell r="N1386" t="str">
            <v>-</v>
          </cell>
          <cell r="O1386" t="str">
            <v>-</v>
          </cell>
          <cell r="Q1386" t="str">
            <v>-</v>
          </cell>
          <cell r="R1386" t="str">
            <v>-</v>
          </cell>
          <cell r="T1386" t="str">
            <v>-</v>
          </cell>
          <cell r="U1386" t="str">
            <v>-</v>
          </cell>
          <cell r="W1386" t="str">
            <v>-</v>
          </cell>
          <cell r="X1386" t="str">
            <v>-</v>
          </cell>
        </row>
        <row r="1387">
          <cell r="A1387">
            <v>72221379</v>
          </cell>
          <cell r="B1387">
            <v>1903</v>
          </cell>
          <cell r="C1387" t="str">
            <v>긴코줄고기</v>
          </cell>
          <cell r="D1387" t="str">
            <v>B</v>
          </cell>
          <cell r="E1387">
            <v>70409044</v>
          </cell>
          <cell r="H1387" t="str">
            <v>-</v>
          </cell>
          <cell r="I1387" t="str">
            <v>-</v>
          </cell>
          <cell r="K1387" t="str">
            <v>-</v>
          </cell>
          <cell r="L1387" t="str">
            <v>-</v>
          </cell>
          <cell r="N1387" t="str">
            <v>-</v>
          </cell>
          <cell r="O1387" t="str">
            <v>-</v>
          </cell>
          <cell r="Q1387" t="str">
            <v>-</v>
          </cell>
          <cell r="R1387" t="str">
            <v>-</v>
          </cell>
          <cell r="T1387" t="str">
            <v>-</v>
          </cell>
          <cell r="U1387" t="str">
            <v>-</v>
          </cell>
          <cell r="W1387" t="str">
            <v>-</v>
          </cell>
          <cell r="X1387" t="str">
            <v>-</v>
          </cell>
        </row>
        <row r="1388">
          <cell r="A1388">
            <v>72221380</v>
          </cell>
          <cell r="B1388">
            <v>1903</v>
          </cell>
          <cell r="C1388" t="str">
            <v>눈양태</v>
          </cell>
          <cell r="D1388" t="str">
            <v>A</v>
          </cell>
          <cell r="E1388">
            <v>70409092</v>
          </cell>
          <cell r="H1388" t="str">
            <v>-</v>
          </cell>
          <cell r="I1388" t="str">
            <v>-</v>
          </cell>
          <cell r="K1388" t="str">
            <v>-</v>
          </cell>
          <cell r="L1388" t="str">
            <v>-</v>
          </cell>
          <cell r="N1388" t="str">
            <v>-</v>
          </cell>
          <cell r="O1388" t="str">
            <v>-</v>
          </cell>
          <cell r="Q1388" t="str">
            <v>-</v>
          </cell>
          <cell r="R1388" t="str">
            <v>-</v>
          </cell>
          <cell r="T1388" t="str">
            <v>-</v>
          </cell>
          <cell r="U1388" t="str">
            <v>-</v>
          </cell>
          <cell r="W1388" t="str">
            <v>-</v>
          </cell>
          <cell r="X1388" t="str">
            <v>-</v>
          </cell>
        </row>
        <row r="1389">
          <cell r="A1389">
            <v>72221381</v>
          </cell>
          <cell r="B1389">
            <v>1903</v>
          </cell>
          <cell r="C1389" t="str">
            <v>까지가자미</v>
          </cell>
          <cell r="D1389" t="str">
            <v>B</v>
          </cell>
          <cell r="E1389">
            <v>70409047</v>
          </cell>
          <cell r="H1389" t="str">
            <v>-</v>
          </cell>
          <cell r="I1389" t="str">
            <v>-</v>
          </cell>
          <cell r="K1389" t="str">
            <v>-</v>
          </cell>
          <cell r="L1389" t="str">
            <v>-</v>
          </cell>
          <cell r="N1389" t="str">
            <v>-</v>
          </cell>
          <cell r="O1389" t="str">
            <v>-</v>
          </cell>
          <cell r="Q1389" t="str">
            <v>-</v>
          </cell>
          <cell r="R1389" t="str">
            <v>-</v>
          </cell>
          <cell r="T1389" t="str">
            <v>-</v>
          </cell>
          <cell r="U1389" t="str">
            <v>-</v>
          </cell>
          <cell r="W1389" t="str">
            <v>-</v>
          </cell>
          <cell r="X1389" t="str">
            <v>-</v>
          </cell>
        </row>
        <row r="1390">
          <cell r="A1390">
            <v>72221382</v>
          </cell>
          <cell r="B1390">
            <v>1904</v>
          </cell>
          <cell r="C1390" t="str">
            <v>긴코줄고기</v>
          </cell>
          <cell r="D1390" t="str">
            <v>B</v>
          </cell>
          <cell r="E1390">
            <v>70409044</v>
          </cell>
          <cell r="H1390" t="str">
            <v>-</v>
          </cell>
          <cell r="I1390" t="str">
            <v>-</v>
          </cell>
          <cell r="K1390" t="str">
            <v>-</v>
          </cell>
          <cell r="L1390" t="str">
            <v>-</v>
          </cell>
          <cell r="N1390" t="str">
            <v>-</v>
          </cell>
          <cell r="O1390" t="str">
            <v>-</v>
          </cell>
          <cell r="Q1390" t="str">
            <v>-</v>
          </cell>
          <cell r="R1390" t="str">
            <v>-</v>
          </cell>
          <cell r="T1390" t="str">
            <v>-</v>
          </cell>
          <cell r="U1390" t="str">
            <v>-</v>
          </cell>
          <cell r="W1390" t="str">
            <v>-</v>
          </cell>
          <cell r="X1390" t="str">
            <v>-</v>
          </cell>
        </row>
        <row r="1391">
          <cell r="A1391">
            <v>72221383</v>
          </cell>
          <cell r="B1391">
            <v>1904</v>
          </cell>
          <cell r="C1391" t="str">
            <v>눈양태</v>
          </cell>
          <cell r="D1391" t="str">
            <v>A</v>
          </cell>
          <cell r="E1391">
            <v>70409092</v>
          </cell>
          <cell r="H1391" t="str">
            <v>-</v>
          </cell>
          <cell r="I1391" t="str">
            <v>-</v>
          </cell>
          <cell r="K1391" t="str">
            <v>-</v>
          </cell>
          <cell r="L1391" t="str">
            <v>-</v>
          </cell>
          <cell r="N1391" t="str">
            <v>-</v>
          </cell>
          <cell r="O1391" t="str">
            <v>-</v>
          </cell>
          <cell r="Q1391" t="str">
            <v>-</v>
          </cell>
          <cell r="R1391" t="str">
            <v>-</v>
          </cell>
          <cell r="T1391" t="str">
            <v>-</v>
          </cell>
          <cell r="U1391" t="str">
            <v>-</v>
          </cell>
          <cell r="W1391" t="str">
            <v>-</v>
          </cell>
          <cell r="X1391" t="str">
            <v>-</v>
          </cell>
        </row>
        <row r="1392">
          <cell r="A1392">
            <v>72221384</v>
          </cell>
          <cell r="B1392">
            <v>1904</v>
          </cell>
          <cell r="C1392" t="str">
            <v>까지가자미</v>
          </cell>
          <cell r="D1392" t="str">
            <v>B</v>
          </cell>
          <cell r="E1392">
            <v>70409047</v>
          </cell>
          <cell r="H1392" t="str">
            <v>-</v>
          </cell>
          <cell r="I1392" t="str">
            <v>-</v>
          </cell>
          <cell r="K1392" t="str">
            <v>-</v>
          </cell>
          <cell r="L1392" t="str">
            <v>-</v>
          </cell>
          <cell r="N1392" t="str">
            <v>-</v>
          </cell>
          <cell r="O1392" t="str">
            <v>-</v>
          </cell>
          <cell r="Q1392" t="str">
            <v>-</v>
          </cell>
          <cell r="R1392" t="str">
            <v>-</v>
          </cell>
          <cell r="T1392" t="str">
            <v>-</v>
          </cell>
          <cell r="U1392" t="str">
            <v>-</v>
          </cell>
          <cell r="W1392" t="str">
            <v>-</v>
          </cell>
          <cell r="X1392" t="str">
            <v>-</v>
          </cell>
        </row>
        <row r="1393">
          <cell r="A1393">
            <v>72221385</v>
          </cell>
          <cell r="B1393">
            <v>1911</v>
          </cell>
          <cell r="C1393" t="str">
            <v>민무늬백합</v>
          </cell>
          <cell r="D1393" t="str">
            <v>C</v>
          </cell>
          <cell r="E1393">
            <v>70409170</v>
          </cell>
          <cell r="H1393" t="str">
            <v>-</v>
          </cell>
          <cell r="I1393" t="str">
            <v>-</v>
          </cell>
          <cell r="K1393" t="str">
            <v>-</v>
          </cell>
          <cell r="L1393" t="str">
            <v>-</v>
          </cell>
          <cell r="N1393" t="str">
            <v>-</v>
          </cell>
          <cell r="O1393" t="str">
            <v>-</v>
          </cell>
          <cell r="Q1393" t="str">
            <v>-</v>
          </cell>
          <cell r="R1393" t="str">
            <v>-</v>
          </cell>
          <cell r="T1393" t="str">
            <v>-</v>
          </cell>
          <cell r="U1393" t="str">
            <v>-</v>
          </cell>
          <cell r="W1393" t="str">
            <v>-</v>
          </cell>
          <cell r="X1393" t="str">
            <v>-</v>
          </cell>
        </row>
        <row r="1394">
          <cell r="A1394">
            <v>72221386</v>
          </cell>
          <cell r="B1394">
            <v>1912</v>
          </cell>
          <cell r="C1394" t="str">
            <v>민무늬백합</v>
          </cell>
          <cell r="D1394" t="str">
            <v>C</v>
          </cell>
          <cell r="E1394">
            <v>70409170</v>
          </cell>
          <cell r="H1394" t="str">
            <v>-</v>
          </cell>
          <cell r="I1394" t="str">
            <v>-</v>
          </cell>
          <cell r="K1394" t="str">
            <v>-</v>
          </cell>
          <cell r="L1394" t="str">
            <v>-</v>
          </cell>
          <cell r="N1394" t="str">
            <v>-</v>
          </cell>
          <cell r="O1394" t="str">
            <v>-</v>
          </cell>
          <cell r="Q1394" t="str">
            <v>-</v>
          </cell>
          <cell r="R1394" t="str">
            <v>-</v>
          </cell>
          <cell r="T1394" t="str">
            <v>-</v>
          </cell>
          <cell r="U1394" t="str">
            <v>-</v>
          </cell>
          <cell r="W1394" t="str">
            <v>-</v>
          </cell>
          <cell r="X1394" t="str">
            <v>-</v>
          </cell>
        </row>
        <row r="1395">
          <cell r="A1395">
            <v>72221387</v>
          </cell>
          <cell r="B1395">
            <v>1913</v>
          </cell>
          <cell r="C1395" t="str">
            <v>민무늬백합</v>
          </cell>
          <cell r="D1395" t="str">
            <v>C</v>
          </cell>
          <cell r="E1395">
            <v>70409170</v>
          </cell>
          <cell r="H1395" t="str">
            <v>-</v>
          </cell>
          <cell r="I1395" t="str">
            <v>-</v>
          </cell>
          <cell r="K1395" t="str">
            <v>-</v>
          </cell>
          <cell r="L1395" t="str">
            <v>-</v>
          </cell>
          <cell r="N1395" t="str">
            <v>-</v>
          </cell>
          <cell r="O1395" t="str">
            <v>-</v>
          </cell>
          <cell r="Q1395" t="str">
            <v>-</v>
          </cell>
          <cell r="R1395" t="str">
            <v>-</v>
          </cell>
          <cell r="T1395" t="str">
            <v>-</v>
          </cell>
          <cell r="U1395" t="str">
            <v>-</v>
          </cell>
          <cell r="W1395" t="str">
            <v>-</v>
          </cell>
          <cell r="X1395" t="str">
            <v>-</v>
          </cell>
        </row>
        <row r="1396">
          <cell r="A1396">
            <v>72221388</v>
          </cell>
          <cell r="B1396">
            <v>1914</v>
          </cell>
          <cell r="C1396" t="str">
            <v>민무늬백합</v>
          </cell>
          <cell r="D1396" t="str">
            <v>C</v>
          </cell>
          <cell r="E1396">
            <v>70409170</v>
          </cell>
          <cell r="H1396" t="str">
            <v>-</v>
          </cell>
          <cell r="I1396" t="str">
            <v>-</v>
          </cell>
          <cell r="K1396" t="str">
            <v>-</v>
          </cell>
          <cell r="L1396" t="str">
            <v>-</v>
          </cell>
          <cell r="N1396" t="str">
            <v>-</v>
          </cell>
          <cell r="O1396" t="str">
            <v>-</v>
          </cell>
          <cell r="Q1396" t="str">
            <v>-</v>
          </cell>
          <cell r="R1396" t="str">
            <v>-</v>
          </cell>
          <cell r="T1396" t="str">
            <v>-</v>
          </cell>
          <cell r="U1396" t="str">
            <v>-</v>
          </cell>
          <cell r="W1396" t="str">
            <v>-</v>
          </cell>
          <cell r="X1396" t="str">
            <v>-</v>
          </cell>
        </row>
        <row r="1397">
          <cell r="A1397">
            <v>72221389</v>
          </cell>
          <cell r="B1397">
            <v>1921</v>
          </cell>
          <cell r="C1397" t="str">
            <v>민물꼬치고기</v>
          </cell>
          <cell r="D1397" t="str">
            <v>B</v>
          </cell>
          <cell r="E1397">
            <v>70409171</v>
          </cell>
          <cell r="H1397" t="str">
            <v>-</v>
          </cell>
          <cell r="I1397" t="str">
            <v>-</v>
          </cell>
          <cell r="K1397" t="str">
            <v>-</v>
          </cell>
          <cell r="L1397" t="str">
            <v>-</v>
          </cell>
          <cell r="N1397" t="str">
            <v>-</v>
          </cell>
          <cell r="O1397" t="str">
            <v>-</v>
          </cell>
          <cell r="Q1397" t="str">
            <v>-</v>
          </cell>
          <cell r="R1397" t="str">
            <v>-</v>
          </cell>
          <cell r="T1397" t="str">
            <v>-</v>
          </cell>
          <cell r="U1397" t="str">
            <v>-</v>
          </cell>
          <cell r="W1397" t="str">
            <v>-</v>
          </cell>
          <cell r="X1397" t="str">
            <v>-</v>
          </cell>
        </row>
        <row r="1398">
          <cell r="A1398">
            <v>72221390</v>
          </cell>
          <cell r="B1398">
            <v>1922</v>
          </cell>
          <cell r="C1398" t="str">
            <v>민물꼬치고기</v>
          </cell>
          <cell r="D1398" t="str">
            <v>B</v>
          </cell>
          <cell r="E1398">
            <v>70409171</v>
          </cell>
          <cell r="H1398" t="str">
            <v>-</v>
          </cell>
          <cell r="I1398" t="str">
            <v>-</v>
          </cell>
          <cell r="K1398" t="str">
            <v>-</v>
          </cell>
          <cell r="L1398" t="str">
            <v>-</v>
          </cell>
          <cell r="N1398" t="str">
            <v>-</v>
          </cell>
          <cell r="O1398" t="str">
            <v>-</v>
          </cell>
          <cell r="Q1398" t="str">
            <v>-</v>
          </cell>
          <cell r="R1398" t="str">
            <v>-</v>
          </cell>
          <cell r="T1398" t="str">
            <v>-</v>
          </cell>
          <cell r="U1398" t="str">
            <v>-</v>
          </cell>
          <cell r="W1398" t="str">
            <v>-</v>
          </cell>
          <cell r="X1398" t="str">
            <v>-</v>
          </cell>
        </row>
        <row r="1399">
          <cell r="A1399">
            <v>72221391</v>
          </cell>
          <cell r="B1399">
            <v>1923</v>
          </cell>
          <cell r="C1399" t="str">
            <v>민물꼬치고기</v>
          </cell>
          <cell r="D1399" t="str">
            <v>B</v>
          </cell>
          <cell r="E1399">
            <v>70409171</v>
          </cell>
          <cell r="H1399" t="str">
            <v>-</v>
          </cell>
          <cell r="I1399" t="str">
            <v>-</v>
          </cell>
          <cell r="K1399" t="str">
            <v>-</v>
          </cell>
          <cell r="L1399" t="str">
            <v>-</v>
          </cell>
          <cell r="N1399" t="str">
            <v>-</v>
          </cell>
          <cell r="O1399" t="str">
            <v>-</v>
          </cell>
          <cell r="Q1399" t="str">
            <v>-</v>
          </cell>
          <cell r="R1399" t="str">
            <v>-</v>
          </cell>
          <cell r="T1399" t="str">
            <v>-</v>
          </cell>
          <cell r="U1399" t="str">
            <v>-</v>
          </cell>
          <cell r="W1399" t="str">
            <v>-</v>
          </cell>
          <cell r="X1399" t="str">
            <v>-</v>
          </cell>
        </row>
        <row r="1400">
          <cell r="A1400">
            <v>72221392</v>
          </cell>
          <cell r="B1400">
            <v>1924</v>
          </cell>
          <cell r="C1400" t="str">
            <v>민물꼬치고기</v>
          </cell>
          <cell r="D1400" t="str">
            <v>B</v>
          </cell>
          <cell r="E1400">
            <v>70409171</v>
          </cell>
          <cell r="H1400" t="str">
            <v>-</v>
          </cell>
          <cell r="I1400" t="str">
            <v>-</v>
          </cell>
          <cell r="K1400" t="str">
            <v>-</v>
          </cell>
          <cell r="L1400" t="str">
            <v>-</v>
          </cell>
          <cell r="N1400" t="str">
            <v>-</v>
          </cell>
          <cell r="O1400" t="str">
            <v>-</v>
          </cell>
          <cell r="Q1400" t="str">
            <v>-</v>
          </cell>
          <cell r="R1400" t="str">
            <v>-</v>
          </cell>
          <cell r="T1400" t="str">
            <v>-</v>
          </cell>
          <cell r="U1400" t="str">
            <v>-</v>
          </cell>
          <cell r="W1400" t="str">
            <v>-</v>
          </cell>
          <cell r="X1400" t="str">
            <v>-</v>
          </cell>
        </row>
        <row r="1401">
          <cell r="A1401">
            <v>72221393</v>
          </cell>
          <cell r="B1401">
            <v>1931</v>
          </cell>
          <cell r="C1401" t="str">
            <v>비막치어</v>
          </cell>
          <cell r="D1401" t="str">
            <v>B</v>
          </cell>
          <cell r="E1401">
            <v>70409228</v>
          </cell>
          <cell r="H1401" t="str">
            <v>-</v>
          </cell>
          <cell r="I1401" t="str">
            <v>-</v>
          </cell>
          <cell r="K1401" t="str">
            <v>-</v>
          </cell>
          <cell r="L1401" t="str">
            <v>-</v>
          </cell>
          <cell r="N1401" t="str">
            <v>-</v>
          </cell>
          <cell r="O1401" t="str">
            <v>-</v>
          </cell>
          <cell r="Q1401" t="str">
            <v>-</v>
          </cell>
          <cell r="R1401" t="str">
            <v>-</v>
          </cell>
          <cell r="T1401" t="str">
            <v>-</v>
          </cell>
          <cell r="U1401" t="str">
            <v>-</v>
          </cell>
          <cell r="W1401" t="str">
            <v>-</v>
          </cell>
          <cell r="X1401" t="str">
            <v>-</v>
          </cell>
        </row>
        <row r="1402">
          <cell r="A1402">
            <v>72221394</v>
          </cell>
          <cell r="B1402">
            <v>1931</v>
          </cell>
          <cell r="C1402" t="str">
            <v>참고래</v>
          </cell>
          <cell r="D1402" t="str">
            <v>A</v>
          </cell>
          <cell r="E1402">
            <v>70409339</v>
          </cell>
          <cell r="H1402" t="str">
            <v>-</v>
          </cell>
          <cell r="I1402" t="str">
            <v>-</v>
          </cell>
          <cell r="K1402" t="str">
            <v>-</v>
          </cell>
          <cell r="L1402" t="str">
            <v>-</v>
          </cell>
          <cell r="N1402" t="str">
            <v>-</v>
          </cell>
          <cell r="O1402" t="str">
            <v>-</v>
          </cell>
          <cell r="Q1402" t="str">
            <v>-</v>
          </cell>
          <cell r="R1402" t="str">
            <v>-</v>
          </cell>
          <cell r="T1402" t="str">
            <v>-</v>
          </cell>
          <cell r="U1402" t="str">
            <v>-</v>
          </cell>
          <cell r="W1402" t="str">
            <v>-</v>
          </cell>
          <cell r="X1402" t="str">
            <v>-</v>
          </cell>
        </row>
        <row r="1403">
          <cell r="A1403">
            <v>72221395</v>
          </cell>
          <cell r="B1403">
            <v>1932</v>
          </cell>
          <cell r="C1403" t="str">
            <v>비막치어</v>
          </cell>
          <cell r="D1403" t="str">
            <v>B</v>
          </cell>
          <cell r="E1403">
            <v>70409228</v>
          </cell>
          <cell r="H1403" t="str">
            <v>-</v>
          </cell>
          <cell r="I1403" t="str">
            <v>-</v>
          </cell>
          <cell r="K1403" t="str">
            <v>-</v>
          </cell>
          <cell r="L1403" t="str">
            <v>-</v>
          </cell>
          <cell r="N1403" t="str">
            <v>-</v>
          </cell>
          <cell r="O1403" t="str">
            <v>-</v>
          </cell>
          <cell r="Q1403" t="str">
            <v>-</v>
          </cell>
          <cell r="R1403" t="str">
            <v>-</v>
          </cell>
          <cell r="T1403" t="str">
            <v>-</v>
          </cell>
          <cell r="U1403" t="str">
            <v>-</v>
          </cell>
          <cell r="W1403" t="str">
            <v>-</v>
          </cell>
          <cell r="X1403" t="str">
            <v>-</v>
          </cell>
        </row>
        <row r="1404">
          <cell r="A1404">
            <v>72221396</v>
          </cell>
          <cell r="B1404">
            <v>1932</v>
          </cell>
          <cell r="C1404" t="str">
            <v>참고래</v>
          </cell>
          <cell r="D1404" t="str">
            <v>A</v>
          </cell>
          <cell r="E1404">
            <v>70409339</v>
          </cell>
          <cell r="H1404" t="str">
            <v>-</v>
          </cell>
          <cell r="I1404" t="str">
            <v>-</v>
          </cell>
          <cell r="K1404" t="str">
            <v>-</v>
          </cell>
          <cell r="L1404" t="str">
            <v>-</v>
          </cell>
          <cell r="N1404" t="str">
            <v>-</v>
          </cell>
          <cell r="O1404" t="str">
            <v>-</v>
          </cell>
          <cell r="Q1404" t="str">
            <v>-</v>
          </cell>
          <cell r="R1404" t="str">
            <v>-</v>
          </cell>
          <cell r="T1404" t="str">
            <v>-</v>
          </cell>
          <cell r="U1404" t="str">
            <v>-</v>
          </cell>
          <cell r="W1404" t="str">
            <v>-</v>
          </cell>
          <cell r="X1404" t="str">
            <v>-</v>
          </cell>
        </row>
        <row r="1405">
          <cell r="A1405">
            <v>72221397</v>
          </cell>
          <cell r="B1405">
            <v>1933</v>
          </cell>
          <cell r="C1405" t="str">
            <v>비막치어</v>
          </cell>
          <cell r="D1405" t="str">
            <v>B</v>
          </cell>
          <cell r="E1405">
            <v>70409228</v>
          </cell>
          <cell r="H1405" t="str">
            <v>-</v>
          </cell>
          <cell r="I1405" t="str">
            <v>-</v>
          </cell>
          <cell r="K1405" t="str">
            <v>-</v>
          </cell>
          <cell r="L1405" t="str">
            <v>-</v>
          </cell>
          <cell r="N1405" t="str">
            <v>-</v>
          </cell>
          <cell r="O1405" t="str">
            <v>-</v>
          </cell>
          <cell r="Q1405" t="str">
            <v>-</v>
          </cell>
          <cell r="R1405" t="str">
            <v>-</v>
          </cell>
          <cell r="T1405" t="str">
            <v>-</v>
          </cell>
          <cell r="U1405" t="str">
            <v>-</v>
          </cell>
          <cell r="W1405" t="str">
            <v>-</v>
          </cell>
          <cell r="X1405" t="str">
            <v>-</v>
          </cell>
        </row>
        <row r="1406">
          <cell r="A1406">
            <v>72221398</v>
          </cell>
          <cell r="B1406">
            <v>1933</v>
          </cell>
          <cell r="C1406" t="str">
            <v>참고래</v>
          </cell>
          <cell r="D1406" t="str">
            <v>A</v>
          </cell>
          <cell r="E1406">
            <v>70409339</v>
          </cell>
          <cell r="H1406" t="str">
            <v>-</v>
          </cell>
          <cell r="I1406" t="str">
            <v>-</v>
          </cell>
          <cell r="K1406" t="str">
            <v>-</v>
          </cell>
          <cell r="L1406" t="str">
            <v>-</v>
          </cell>
          <cell r="N1406" t="str">
            <v>-</v>
          </cell>
          <cell r="O1406" t="str">
            <v>-</v>
          </cell>
          <cell r="Q1406" t="str">
            <v>-</v>
          </cell>
          <cell r="R1406" t="str">
            <v>-</v>
          </cell>
          <cell r="T1406" t="str">
            <v>-</v>
          </cell>
          <cell r="U1406" t="str">
            <v>-</v>
          </cell>
          <cell r="W1406" t="str">
            <v>-</v>
          </cell>
          <cell r="X1406" t="str">
            <v>-</v>
          </cell>
        </row>
        <row r="1407">
          <cell r="A1407">
            <v>72221399</v>
          </cell>
          <cell r="B1407">
            <v>1934</v>
          </cell>
          <cell r="C1407" t="str">
            <v>비막치어</v>
          </cell>
          <cell r="D1407" t="str">
            <v>B</v>
          </cell>
          <cell r="E1407">
            <v>70409228</v>
          </cell>
          <cell r="H1407" t="str">
            <v>-</v>
          </cell>
          <cell r="I1407" t="str">
            <v>-</v>
          </cell>
          <cell r="K1407" t="str">
            <v>-</v>
          </cell>
          <cell r="L1407" t="str">
            <v>-</v>
          </cell>
          <cell r="N1407" t="str">
            <v>-</v>
          </cell>
          <cell r="O1407" t="str">
            <v>-</v>
          </cell>
          <cell r="Q1407" t="str">
            <v>-</v>
          </cell>
          <cell r="R1407" t="str">
            <v>-</v>
          </cell>
          <cell r="T1407" t="str">
            <v>-</v>
          </cell>
          <cell r="U1407" t="str">
            <v>-</v>
          </cell>
          <cell r="W1407" t="str">
            <v>-</v>
          </cell>
          <cell r="X1407" t="str">
            <v>-</v>
          </cell>
        </row>
        <row r="1408">
          <cell r="A1408">
            <v>72221400</v>
          </cell>
          <cell r="B1408">
            <v>60001</v>
          </cell>
          <cell r="C1408" t="str">
            <v>실러캔스</v>
          </cell>
          <cell r="D1408" t="str">
            <v>S</v>
          </cell>
          <cell r="E1408">
            <v>70409263</v>
          </cell>
          <cell r="H1408" t="str">
            <v>-</v>
          </cell>
          <cell r="I1408" t="str">
            <v>-</v>
          </cell>
          <cell r="K1408" t="str">
            <v>-</v>
          </cell>
          <cell r="L1408" t="str">
            <v>-</v>
          </cell>
          <cell r="N1408" t="str">
            <v>-</v>
          </cell>
          <cell r="O1408" t="str">
            <v>-</v>
          </cell>
          <cell r="Q1408" t="str">
            <v>-</v>
          </cell>
          <cell r="R1408" t="str">
            <v>-</v>
          </cell>
          <cell r="T1408" t="str">
            <v>-</v>
          </cell>
          <cell r="U1408" t="str">
            <v>-</v>
          </cell>
          <cell r="W1408" t="str">
            <v>-</v>
          </cell>
          <cell r="X1408" t="str">
            <v>-</v>
          </cell>
        </row>
        <row r="1409">
          <cell r="A1409">
            <v>72221401</v>
          </cell>
          <cell r="B1409">
            <v>60002</v>
          </cell>
          <cell r="C1409" t="str">
            <v>녹새치</v>
          </cell>
          <cell r="D1409" t="str">
            <v>S</v>
          </cell>
          <cell r="E1409">
            <v>70409083</v>
          </cell>
          <cell r="H1409" t="str">
            <v>-</v>
          </cell>
          <cell r="I1409" t="str">
            <v>-</v>
          </cell>
          <cell r="K1409" t="str">
            <v>-</v>
          </cell>
          <cell r="L1409" t="str">
            <v>-</v>
          </cell>
          <cell r="N1409" t="str">
            <v>-</v>
          </cell>
          <cell r="O1409" t="str">
            <v>-</v>
          </cell>
          <cell r="Q1409" t="str">
            <v>-</v>
          </cell>
          <cell r="R1409" t="str">
            <v>-</v>
          </cell>
          <cell r="T1409" t="str">
            <v>-</v>
          </cell>
          <cell r="U1409" t="str">
            <v>-</v>
          </cell>
          <cell r="W1409" t="str">
            <v>-</v>
          </cell>
          <cell r="X1409" t="str">
            <v>-</v>
          </cell>
        </row>
        <row r="1410">
          <cell r="A1410">
            <v>72221402</v>
          </cell>
          <cell r="B1410">
            <v>60003</v>
          </cell>
          <cell r="C1410" t="str">
            <v>대왕오징어</v>
          </cell>
          <cell r="D1410" t="str">
            <v>S</v>
          </cell>
          <cell r="E1410">
            <v>70409101</v>
          </cell>
          <cell r="H1410" t="str">
            <v>-</v>
          </cell>
          <cell r="I1410" t="str">
            <v>-</v>
          </cell>
          <cell r="K1410" t="str">
            <v>-</v>
          </cell>
          <cell r="L1410" t="str">
            <v>-</v>
          </cell>
          <cell r="N1410" t="str">
            <v>-</v>
          </cell>
          <cell r="O1410" t="str">
            <v>-</v>
          </cell>
          <cell r="Q1410" t="str">
            <v>-</v>
          </cell>
          <cell r="R1410" t="str">
            <v>-</v>
          </cell>
          <cell r="T1410" t="str">
            <v>-</v>
          </cell>
          <cell r="U1410" t="str">
            <v>-</v>
          </cell>
          <cell r="W1410" t="str">
            <v>-</v>
          </cell>
          <cell r="X1410" t="str">
            <v>-</v>
          </cell>
        </row>
        <row r="1411">
          <cell r="A1411">
            <v>72221403</v>
          </cell>
          <cell r="B1411">
            <v>60004</v>
          </cell>
          <cell r="C1411" t="str">
            <v>백상아리</v>
          </cell>
          <cell r="D1411" t="str">
            <v>S</v>
          </cell>
          <cell r="E1411">
            <v>70409190</v>
          </cell>
          <cell r="H1411" t="str">
            <v>-</v>
          </cell>
          <cell r="I1411" t="str">
            <v>-</v>
          </cell>
          <cell r="K1411" t="str">
            <v>-</v>
          </cell>
          <cell r="L1411" t="str">
            <v>-</v>
          </cell>
          <cell r="N1411" t="str">
            <v>-</v>
          </cell>
          <cell r="O1411" t="str">
            <v>-</v>
          </cell>
          <cell r="Q1411" t="str">
            <v>-</v>
          </cell>
          <cell r="R1411" t="str">
            <v>-</v>
          </cell>
          <cell r="T1411" t="str">
            <v>-</v>
          </cell>
          <cell r="U1411" t="str">
            <v>-</v>
          </cell>
          <cell r="W1411" t="str">
            <v>-</v>
          </cell>
          <cell r="X1411" t="str">
            <v>-</v>
          </cell>
        </row>
        <row r="1412">
          <cell r="A1412">
            <v>72221404</v>
          </cell>
          <cell r="B1412">
            <v>60005</v>
          </cell>
          <cell r="C1412" t="str">
            <v>청상아리</v>
          </cell>
          <cell r="D1412" t="str">
            <v>S</v>
          </cell>
          <cell r="E1412">
            <v>70409348</v>
          </cell>
          <cell r="H1412" t="str">
            <v>-</v>
          </cell>
          <cell r="I1412" t="str">
            <v>-</v>
          </cell>
          <cell r="K1412" t="str">
            <v>-</v>
          </cell>
          <cell r="L1412" t="str">
            <v>-</v>
          </cell>
          <cell r="N1412" t="str">
            <v>-</v>
          </cell>
          <cell r="O1412" t="str">
            <v>-</v>
          </cell>
          <cell r="Q1412" t="str">
            <v>-</v>
          </cell>
          <cell r="R1412" t="str">
            <v>-</v>
          </cell>
          <cell r="T1412" t="str">
            <v>-</v>
          </cell>
          <cell r="U1412" t="str">
            <v>-</v>
          </cell>
          <cell r="W1412" t="str">
            <v>-</v>
          </cell>
          <cell r="X1412" t="str">
            <v>-</v>
          </cell>
        </row>
        <row r="1413">
          <cell r="A1413">
            <v>72221405</v>
          </cell>
          <cell r="B1413">
            <v>60006</v>
          </cell>
          <cell r="C1413" t="str">
            <v>향유고래</v>
          </cell>
          <cell r="D1413" t="str">
            <v>S</v>
          </cell>
          <cell r="E1413">
            <v>70409390</v>
          </cell>
          <cell r="H1413" t="str">
            <v>-</v>
          </cell>
          <cell r="I1413" t="str">
            <v>-</v>
          </cell>
          <cell r="K1413" t="str">
            <v>-</v>
          </cell>
          <cell r="L1413" t="str">
            <v>-</v>
          </cell>
          <cell r="N1413" t="str">
            <v>-</v>
          </cell>
          <cell r="O1413" t="str">
            <v>-</v>
          </cell>
          <cell r="Q1413" t="str">
            <v>-</v>
          </cell>
          <cell r="R1413" t="str">
            <v>-</v>
          </cell>
          <cell r="T1413" t="str">
            <v>-</v>
          </cell>
          <cell r="U1413" t="str">
            <v>-</v>
          </cell>
          <cell r="W1413" t="str">
            <v>-</v>
          </cell>
          <cell r="X1413" t="str">
            <v>-</v>
          </cell>
        </row>
      </sheetData>
      <sheetData sheetId="23"/>
      <sheetData sheetId="24">
        <row r="1">
          <cell r="E1" t="str">
            <v>name</v>
          </cell>
        </row>
        <row r="2">
          <cell r="E2" t="str">
            <v>text</v>
          </cell>
        </row>
        <row r="3">
          <cell r="E3" t="str">
            <v>-</v>
          </cell>
        </row>
        <row r="4">
          <cell r="E4" t="str">
            <v>-</v>
          </cell>
        </row>
        <row r="5">
          <cell r="E5" t="str">
            <v>-</v>
          </cell>
        </row>
        <row r="6">
          <cell r="E6" t="str">
            <v>-</v>
          </cell>
        </row>
        <row r="7">
          <cell r="E7" t="str">
            <v>-</v>
          </cell>
        </row>
        <row r="8">
          <cell r="C8" t="str">
            <v>문화권</v>
          </cell>
          <cell r="E8" t="str">
            <v>-</v>
          </cell>
        </row>
        <row r="9">
          <cell r="B9" t="str">
            <v>##이베리아</v>
          </cell>
          <cell r="C9" t="str">
            <v>서양</v>
          </cell>
          <cell r="E9" t="str">
            <v>리스보아 부근</v>
          </cell>
        </row>
        <row r="10">
          <cell r="B10" t="str">
            <v>##남프랑스</v>
          </cell>
          <cell r="C10" t="str">
            <v>서양</v>
          </cell>
          <cell r="E10" t="str">
            <v>마르세유 부근</v>
          </cell>
        </row>
        <row r="11">
          <cell r="B11" t="str">
            <v>##이탈리아</v>
          </cell>
          <cell r="C11" t="str">
            <v>서양</v>
          </cell>
          <cell r="E11" t="str">
            <v>나폴리 부근</v>
          </cell>
        </row>
        <row r="12">
          <cell r="B12" t="str">
            <v>##발칸</v>
          </cell>
          <cell r="C12" t="str">
            <v>서양</v>
          </cell>
          <cell r="E12" t="str">
            <v>아티나 부근</v>
          </cell>
        </row>
        <row r="13">
          <cell r="B13" t="str">
            <v>##터키</v>
          </cell>
          <cell r="C13" t="str">
            <v>서양</v>
          </cell>
          <cell r="E13" t="str">
            <v>트라브존 부근</v>
          </cell>
        </row>
        <row r="14">
          <cell r="B14" t="str">
            <v>##북프랑스</v>
          </cell>
          <cell r="C14" t="str">
            <v>서양</v>
          </cell>
          <cell r="E14" t="str">
            <v>낭트 부근</v>
          </cell>
        </row>
        <row r="15">
          <cell r="B15" t="str">
            <v>##러시아</v>
          </cell>
          <cell r="C15" t="str">
            <v>서양</v>
          </cell>
          <cell r="E15" t="str">
            <v>딕손 부근</v>
          </cell>
        </row>
        <row r="16">
          <cell r="B16" t="str">
            <v>##북유럽</v>
          </cell>
          <cell r="C16" t="str">
            <v>서양</v>
          </cell>
          <cell r="E16" t="str">
            <v>베르겐 부근</v>
          </cell>
        </row>
        <row r="17">
          <cell r="B17" t="str">
            <v>##스칸디나비아 반도 북부</v>
          </cell>
          <cell r="C17" t="str">
            <v>서양</v>
          </cell>
          <cell r="E17" t="str">
            <v>나르비크 부근</v>
          </cell>
        </row>
        <row r="18">
          <cell r="B18" t="str">
            <v>##브리튼</v>
          </cell>
          <cell r="C18" t="str">
            <v>서양</v>
          </cell>
          <cell r="E18" t="str">
            <v>런던 부근</v>
          </cell>
        </row>
        <row r="19">
          <cell r="B19" t="str">
            <v>##독일</v>
          </cell>
          <cell r="C19" t="str">
            <v>서양</v>
          </cell>
          <cell r="E19" t="str">
            <v>암스테르담 부근</v>
          </cell>
        </row>
        <row r="20">
          <cell r="B20" t="str">
            <v>##아이슬란드 북부</v>
          </cell>
          <cell r="C20" t="str">
            <v>서양</v>
          </cell>
          <cell r="E20" t="str">
            <v>아이슬란드 북부</v>
          </cell>
        </row>
        <row r="21">
          <cell r="B21" t="str">
            <v>##흑해</v>
          </cell>
          <cell r="C21" t="str">
            <v>서양</v>
          </cell>
          <cell r="E21" t="str">
            <v>케르치 부근</v>
          </cell>
        </row>
        <row r="22">
          <cell r="B22" t="str">
            <v>##발트해</v>
          </cell>
          <cell r="C22" t="str">
            <v>서양</v>
          </cell>
          <cell r="E22" t="str">
            <v>스톡홀름 부근</v>
          </cell>
        </row>
        <row r="23">
          <cell r="B23" t="str">
            <v>##북아프리카(서)</v>
          </cell>
          <cell r="C23" t="str">
            <v>서양</v>
          </cell>
          <cell r="E23" t="str">
            <v>카사블랑카 부근</v>
          </cell>
        </row>
        <row r="24">
          <cell r="B24" t="str">
            <v>##북아프리카(동)</v>
          </cell>
          <cell r="C24" t="str">
            <v>서양</v>
          </cell>
          <cell r="E24" t="str">
            <v>알이스칸다리야 부근</v>
          </cell>
        </row>
        <row r="25">
          <cell r="B25" t="str">
            <v>##서아프리카(북)</v>
          </cell>
          <cell r="C25" t="str">
            <v>서양</v>
          </cell>
          <cell r="E25" t="str">
            <v>아르김 부근</v>
          </cell>
        </row>
        <row r="26">
          <cell r="B26" t="str">
            <v>##서아프리카</v>
          </cell>
          <cell r="C26" t="str">
            <v>서양</v>
          </cell>
          <cell r="E26" t="str">
            <v>베냉 부근</v>
          </cell>
        </row>
        <row r="27">
          <cell r="B27" t="str">
            <v>##나이저강</v>
          </cell>
          <cell r="C27" t="str">
            <v>서양</v>
          </cell>
          <cell r="E27" t="str">
            <v>나이저강</v>
          </cell>
        </row>
        <row r="28">
          <cell r="B28" t="str">
            <v>##콩고강</v>
          </cell>
          <cell r="C28" t="str">
            <v>서양</v>
          </cell>
          <cell r="E28" t="str">
            <v>콩고강</v>
          </cell>
        </row>
        <row r="29">
          <cell r="B29" t="str">
            <v>##서아프리카(남)</v>
          </cell>
          <cell r="C29" t="str">
            <v>서양</v>
          </cell>
          <cell r="E29" t="str">
            <v>벵겔라 부근</v>
          </cell>
        </row>
        <row r="30">
          <cell r="B30" t="str">
            <v>##동아프리카(남)</v>
          </cell>
          <cell r="C30" t="str">
            <v>서양</v>
          </cell>
          <cell r="E30" t="str">
            <v>나탈 부근</v>
          </cell>
        </row>
        <row r="31">
          <cell r="B31" t="str">
            <v>##짐베지강</v>
          </cell>
          <cell r="C31" t="str">
            <v>서양</v>
          </cell>
          <cell r="E31" t="str">
            <v>잠베지강</v>
          </cell>
        </row>
        <row r="32">
          <cell r="B32" t="str">
            <v>##동아프리카(마다)</v>
          </cell>
          <cell r="C32" t="str">
            <v>서양</v>
          </cell>
          <cell r="E32" t="str">
            <v>토아마시나 부근</v>
          </cell>
        </row>
        <row r="33">
          <cell r="B33" t="str">
            <v>##동아프리카(북)</v>
          </cell>
          <cell r="C33" t="str">
            <v>서양</v>
          </cell>
          <cell r="E33" t="str">
            <v>마사와 부근</v>
          </cell>
        </row>
        <row r="34">
          <cell r="B34" t="str">
            <v>##나일강</v>
          </cell>
          <cell r="C34" t="str">
            <v>서양</v>
          </cell>
          <cell r="E34" t="str">
            <v>나일강</v>
          </cell>
        </row>
        <row r="35">
          <cell r="B35" t="str">
            <v>##조선 동해안</v>
          </cell>
          <cell r="C35" t="str">
            <v>동양</v>
          </cell>
          <cell r="E35" t="str">
            <v>영일 부근</v>
          </cell>
        </row>
        <row r="36">
          <cell r="B36" t="str">
            <v>##조선 서해안</v>
          </cell>
          <cell r="C36" t="str">
            <v>동양</v>
          </cell>
          <cell r="E36" t="str">
            <v>한양 부근</v>
          </cell>
        </row>
        <row r="37">
          <cell r="B37" t="str">
            <v>##조선 제주도</v>
          </cell>
          <cell r="C37" t="str">
            <v>동양</v>
          </cell>
          <cell r="E37" t="str">
            <v>제주 부근</v>
          </cell>
        </row>
        <row r="38">
          <cell r="B38" t="str">
            <v>##일본</v>
          </cell>
          <cell r="C38" t="str">
            <v>동양</v>
          </cell>
          <cell r="E38" t="str">
            <v>에도 부근</v>
          </cell>
        </row>
        <row r="39">
          <cell r="B39" t="str">
            <v>##쿠릴 열도</v>
          </cell>
          <cell r="C39" t="str">
            <v>동양</v>
          </cell>
          <cell r="E39" t="str">
            <v>에조 부근</v>
          </cell>
        </row>
        <row r="40">
          <cell r="B40" t="str">
            <v>##훗카이도</v>
          </cell>
          <cell r="C40" t="str">
            <v>동양</v>
          </cell>
          <cell r="E40" t="str">
            <v>에조 부근</v>
          </cell>
        </row>
        <row r="41">
          <cell r="B41" t="str">
            <v>##후쿠오카</v>
          </cell>
          <cell r="C41" t="str">
            <v>동양</v>
          </cell>
          <cell r="E41" t="str">
            <v>나가사키 부근</v>
          </cell>
        </row>
        <row r="42">
          <cell r="B42" t="str">
            <v>##중국</v>
          </cell>
          <cell r="C42" t="str">
            <v>동양</v>
          </cell>
          <cell r="E42" t="str">
            <v>항주 부근</v>
          </cell>
        </row>
        <row r="43">
          <cell r="B43" t="str">
            <v>##중국 남부</v>
          </cell>
          <cell r="C43" t="str">
            <v>동양</v>
          </cell>
          <cell r="E43" t="str">
            <v>마카오 부근</v>
          </cell>
        </row>
        <row r="44">
          <cell r="B44" t="str">
            <v>##장강</v>
          </cell>
          <cell r="C44" t="str">
            <v>동양</v>
          </cell>
          <cell r="E44" t="str">
            <v>장강</v>
          </cell>
        </row>
        <row r="45">
          <cell r="B45" t="str">
            <v>##황허</v>
          </cell>
          <cell r="C45" t="str">
            <v>동양</v>
          </cell>
          <cell r="E45" t="str">
            <v>황허</v>
          </cell>
        </row>
        <row r="46">
          <cell r="B46" t="str">
            <v>##인도차이나</v>
          </cell>
          <cell r="C46" t="str">
            <v>동양</v>
          </cell>
          <cell r="E46" t="str">
            <v>하노이 부근</v>
          </cell>
        </row>
        <row r="47">
          <cell r="B47" t="str">
            <v>##파간유적</v>
          </cell>
          <cell r="C47" t="str">
            <v>동양</v>
          </cell>
          <cell r="E47" t="str">
            <v>페구 부근</v>
          </cell>
        </row>
        <row r="48">
          <cell r="B48" t="str">
            <v>##아랍</v>
          </cell>
          <cell r="C48" t="str">
            <v>서양</v>
          </cell>
          <cell r="E48" t="str">
            <v>도파르 부근</v>
          </cell>
        </row>
        <row r="49">
          <cell r="B49" t="str">
            <v>##페르시아</v>
          </cell>
          <cell r="C49" t="str">
            <v>서양</v>
          </cell>
          <cell r="E49" t="str">
            <v>하라무즈 부근</v>
          </cell>
        </row>
        <row r="50">
          <cell r="B50" t="str">
            <v>##인도</v>
          </cell>
          <cell r="C50" t="str">
            <v>동서양</v>
          </cell>
          <cell r="E50" t="str">
            <v>고아 부근</v>
          </cell>
        </row>
        <row r="51">
          <cell r="B51" t="str">
            <v>##인도 동부</v>
          </cell>
          <cell r="C51" t="str">
            <v>동서양</v>
          </cell>
          <cell r="E51" t="str">
            <v>마실리파트남 부근</v>
          </cell>
        </row>
        <row r="52">
          <cell r="B52" t="str">
            <v>##동남아군도</v>
          </cell>
          <cell r="C52" t="str">
            <v>동양</v>
          </cell>
          <cell r="E52" t="str">
            <v>브루네이 부근</v>
          </cell>
        </row>
        <row r="53">
          <cell r="B53" t="str">
            <v>##소순다 열도</v>
          </cell>
          <cell r="C53" t="str">
            <v>동양</v>
          </cell>
          <cell r="E53" t="str">
            <v>수라바야 부근</v>
          </cell>
        </row>
        <row r="54">
          <cell r="B54" t="str">
            <v>##보르네오 섬</v>
          </cell>
          <cell r="C54" t="str">
            <v>동양</v>
          </cell>
          <cell r="E54" t="str">
            <v>쿠칭 부근</v>
          </cell>
        </row>
        <row r="55">
          <cell r="B55" t="str">
            <v>##대만</v>
          </cell>
          <cell r="C55" t="str">
            <v>동양</v>
          </cell>
          <cell r="E55" t="str">
            <v>타이난 부근</v>
          </cell>
        </row>
        <row r="56">
          <cell r="B56" t="str">
            <v>##류큐</v>
          </cell>
          <cell r="C56" t="str">
            <v>동양</v>
          </cell>
          <cell r="E56" t="str">
            <v>수이 부근</v>
          </cell>
        </row>
        <row r="57">
          <cell r="B57" t="str">
            <v>##동동북방</v>
          </cell>
          <cell r="C57" t="str">
            <v>동양</v>
          </cell>
          <cell r="E57" t="str">
            <v>코르프 부근</v>
          </cell>
        </row>
        <row r="58">
          <cell r="B58" t="str">
            <v>##북아메리카 동북</v>
          </cell>
          <cell r="C58" t="str">
            <v>서양</v>
          </cell>
          <cell r="E58" t="str">
            <v>코하셋 부근</v>
          </cell>
        </row>
        <row r="59">
          <cell r="B59" t="str">
            <v>##북아메리카 동남</v>
          </cell>
          <cell r="C59" t="str">
            <v>서양</v>
          </cell>
          <cell r="E59" t="str">
            <v>미시시피강 하류</v>
          </cell>
        </row>
        <row r="60">
          <cell r="B60" t="str">
            <v>##미시시피강</v>
          </cell>
          <cell r="C60" t="str">
            <v>서양</v>
          </cell>
          <cell r="E60" t="str">
            <v>미시시피강</v>
          </cell>
        </row>
        <row r="61">
          <cell r="B61" t="str">
            <v>##북아메리카 서북</v>
          </cell>
          <cell r="C61" t="str">
            <v>서양</v>
          </cell>
          <cell r="E61" t="str">
            <v>오흘론 부근</v>
          </cell>
        </row>
        <row r="62">
          <cell r="B62" t="str">
            <v>##북아메리카 서남</v>
          </cell>
          <cell r="C62" t="str">
            <v>서양</v>
          </cell>
          <cell r="E62" t="str">
            <v>아카풀코 부근</v>
          </cell>
        </row>
        <row r="63">
          <cell r="B63" t="str">
            <v>##남아메리카 동북</v>
          </cell>
          <cell r="C63" t="str">
            <v>서양</v>
          </cell>
          <cell r="E63" t="str">
            <v>카라카스 부근</v>
          </cell>
        </row>
        <row r="64">
          <cell r="B64" t="str">
            <v>##아마존강 하류</v>
          </cell>
          <cell r="C64" t="str">
            <v>서양</v>
          </cell>
          <cell r="E64" t="str">
            <v>아마존 하류</v>
          </cell>
        </row>
        <row r="65">
          <cell r="B65" t="str">
            <v>##아마존강 상류</v>
          </cell>
          <cell r="C65" t="str">
            <v>서양</v>
          </cell>
          <cell r="E65" t="str">
            <v>아마존 상류</v>
          </cell>
        </row>
        <row r="66">
          <cell r="B66" t="str">
            <v>##남아메리카 동남</v>
          </cell>
          <cell r="C66" t="str">
            <v>서양</v>
          </cell>
          <cell r="E66" t="str">
            <v>바이아 부근</v>
          </cell>
        </row>
        <row r="67">
          <cell r="B67" t="str">
            <v>##우루과이강</v>
          </cell>
          <cell r="C67" t="str">
            <v>서양</v>
          </cell>
          <cell r="E67" t="str">
            <v>라플라타강</v>
          </cell>
        </row>
        <row r="68">
          <cell r="B68" t="str">
            <v>##남아메리카 서북</v>
          </cell>
          <cell r="C68" t="str">
            <v>서양</v>
          </cell>
          <cell r="E68" t="str">
            <v>툼베스 부근</v>
          </cell>
        </row>
        <row r="69">
          <cell r="B69" t="str">
            <v>##남아메리카 서남</v>
          </cell>
          <cell r="C69" t="str">
            <v>서양</v>
          </cell>
          <cell r="E69" t="str">
            <v>발파라이소 부근</v>
          </cell>
        </row>
        <row r="70">
          <cell r="B70" t="str">
            <v>##남아메리카 극남</v>
          </cell>
          <cell r="C70" t="str">
            <v>서양</v>
          </cell>
          <cell r="E70" t="str">
            <v>우수아이아 부근</v>
          </cell>
        </row>
        <row r="71">
          <cell r="B71" t="str">
            <v>##중앙아메리카(동)</v>
          </cell>
          <cell r="C71" t="str">
            <v>서양</v>
          </cell>
          <cell r="E71" t="str">
            <v>트루히요 부근</v>
          </cell>
        </row>
        <row r="72">
          <cell r="B72" t="str">
            <v>##카리브</v>
          </cell>
          <cell r="C72" t="str">
            <v>서양</v>
          </cell>
          <cell r="E72" t="str">
            <v>산티아고 부근</v>
          </cell>
        </row>
        <row r="73">
          <cell r="B73" t="str">
            <v>##오세아니아(동)</v>
          </cell>
          <cell r="C73" t="str">
            <v>서양</v>
          </cell>
          <cell r="E73" t="str">
            <v>핀자라 부근</v>
          </cell>
        </row>
        <row r="74">
          <cell r="B74" t="str">
            <v>##오세아니아(서)</v>
          </cell>
          <cell r="C74" t="str">
            <v>서양</v>
          </cell>
          <cell r="E74" t="str">
            <v>가리 부근</v>
          </cell>
        </row>
        <row r="75">
          <cell r="B75" t="str">
            <v>##오세아니아(남)</v>
          </cell>
          <cell r="C75" t="str">
            <v>서양</v>
          </cell>
          <cell r="E75" t="str">
            <v>포트피리 부근</v>
          </cell>
        </row>
        <row r="76">
          <cell r="B76" t="str">
            <v>##오세아니아(북)</v>
          </cell>
          <cell r="C76" t="str">
            <v>동서양</v>
          </cell>
          <cell r="E76" t="str">
            <v>카카투와 부근</v>
          </cell>
        </row>
        <row r="77">
          <cell r="B77" t="str">
            <v>##뉴기니</v>
          </cell>
          <cell r="C77" t="str">
            <v>동양</v>
          </cell>
          <cell r="E77" t="str">
            <v>반다 부근</v>
          </cell>
        </row>
        <row r="78">
          <cell r="B78" t="str">
            <v>##동뉴기니</v>
          </cell>
          <cell r="C78" t="str">
            <v>동양</v>
          </cell>
          <cell r="E78" t="str">
            <v>사마라이 부근</v>
          </cell>
        </row>
        <row r="79">
          <cell r="B79" t="str">
            <v>##폴리네시아</v>
          </cell>
          <cell r="C79" t="str">
            <v>서양</v>
          </cell>
          <cell r="E79" t="str">
            <v>수바 부근</v>
          </cell>
        </row>
        <row r="80">
          <cell r="B80" t="str">
            <v>##뉴질랜드</v>
          </cell>
          <cell r="C80" t="str">
            <v>서양</v>
          </cell>
          <cell r="E80" t="str">
            <v>왕거누이 부근</v>
          </cell>
        </row>
        <row r="81">
          <cell r="B81" t="str">
            <v>##태평양(하와이)</v>
          </cell>
          <cell r="C81" t="str">
            <v>서양</v>
          </cell>
          <cell r="E81" t="str">
            <v>호놀룰루 부근</v>
          </cell>
        </row>
        <row r="82">
          <cell r="B82" t="str">
            <v>##극지방(북극)</v>
          </cell>
          <cell r="C82" t="str">
            <v>서양</v>
          </cell>
          <cell r="E82" t="str">
            <v>배로우 부근</v>
          </cell>
        </row>
        <row r="83">
          <cell r="B83" t="str">
            <v>##북아메리카(북극)</v>
          </cell>
          <cell r="C83" t="str">
            <v>서양</v>
          </cell>
          <cell r="E83" t="str">
            <v>이콸룩투티악 부근</v>
          </cell>
        </row>
        <row r="84">
          <cell r="B84" t="str">
            <v>##극지방(그린란드)</v>
          </cell>
          <cell r="C84" t="str">
            <v>서양</v>
          </cell>
          <cell r="E84" t="str">
            <v>그린란드 북부</v>
          </cell>
        </row>
        <row r="85">
          <cell r="B85" t="str">
            <v>##극지방(북미북동)</v>
          </cell>
          <cell r="C85" t="str">
            <v>서양</v>
          </cell>
          <cell r="E85" t="str">
            <v>아비앗 부근</v>
          </cell>
        </row>
        <row r="86">
          <cell r="B86" t="str">
            <v>##극지방(유라시아극북)</v>
          </cell>
          <cell r="C86" t="str">
            <v>서양</v>
          </cell>
          <cell r="E86" t="str">
            <v>체르스키 부근</v>
          </cell>
        </row>
        <row r="87">
          <cell r="B87" t="str">
            <v>##극지방(남극)</v>
          </cell>
          <cell r="C87" t="str">
            <v>서양</v>
          </cell>
          <cell r="E87" t="str">
            <v>로스 만 부근</v>
          </cell>
        </row>
        <row r="88">
          <cell r="B88" t="str">
            <v>##극지방(남극)2</v>
          </cell>
          <cell r="C88" t="str">
            <v>서양</v>
          </cell>
          <cell r="E88" t="str">
            <v>남극 대륙</v>
          </cell>
        </row>
        <row r="89">
          <cell r="B89" t="str">
            <v>##극지방(남극)3</v>
          </cell>
          <cell r="C89" t="str">
            <v>서양</v>
          </cell>
          <cell r="E89" t="str">
            <v>시들리 산 부근</v>
          </cell>
        </row>
        <row r="90">
          <cell r="B90" t="str">
            <v>##극지방(남극)4</v>
          </cell>
          <cell r="C90" t="str">
            <v>서양</v>
          </cell>
          <cell r="E90" t="str">
            <v>남극 반도</v>
          </cell>
        </row>
        <row r="91">
          <cell r="B91" t="str">
            <v>##중앙아메리카(서)</v>
          </cell>
          <cell r="C91" t="str">
            <v>서양</v>
          </cell>
          <cell r="E91" t="str">
            <v>과테말라 부근</v>
          </cell>
        </row>
        <row r="92">
          <cell r="B92" t="str">
            <v>##극지방(그린란드)(남)</v>
          </cell>
          <cell r="C92" t="str">
            <v>서양</v>
          </cell>
          <cell r="E92" t="str">
            <v>그린란드 남부</v>
          </cell>
        </row>
        <row r="93">
          <cell r="B93" t="str">
            <v>##아이슬란드 남부</v>
          </cell>
          <cell r="C93" t="str">
            <v>서양</v>
          </cell>
          <cell r="E93" t="str">
            <v>아이슬란드 남부</v>
          </cell>
        </row>
        <row r="94">
          <cell r="B94" t="str">
            <v>##인도양 섬 높은 보상 낮은 확률</v>
          </cell>
          <cell r="C94" t="str">
            <v>서양</v>
          </cell>
          <cell r="E94" t="str">
            <v>시들리 산 부근</v>
          </cell>
        </row>
        <row r="95">
          <cell r="B95" t="str">
            <v>##그린란드 북부 높은 보상 낮은 확률</v>
          </cell>
          <cell r="C95" t="str">
            <v>서양</v>
          </cell>
          <cell r="E95" t="str">
            <v>그린란드 북부</v>
          </cell>
        </row>
        <row r="96">
          <cell r="B96" t="str">
            <v>##궁수자리</v>
          </cell>
          <cell r="C96" t="str">
            <v>서양</v>
          </cell>
          <cell r="E96" t="str">
            <v>카사블랑카 부근</v>
          </cell>
        </row>
        <row r="97">
          <cell r="B97" t="str">
            <v>##엘레우시스 신전</v>
          </cell>
          <cell r="C97" t="str">
            <v>서양</v>
          </cell>
          <cell r="E97" t="str">
            <v>아티나 부근</v>
          </cell>
        </row>
        <row r="98">
          <cell r="B98" t="str">
            <v>##넓적부리황새&amp;바오바브나무</v>
          </cell>
          <cell r="C98" t="str">
            <v>서양</v>
          </cell>
          <cell r="E98" t="str">
            <v>벵겔라 부근</v>
          </cell>
        </row>
        <row r="99">
          <cell r="B99" t="str">
            <v>##히아신스</v>
          </cell>
          <cell r="C99" t="str">
            <v>서양</v>
          </cell>
          <cell r="E99" t="str">
            <v>트라브존 부근</v>
          </cell>
        </row>
        <row r="100">
          <cell r="B100" t="str">
            <v>##사자의 서&amp;기자의 대 스핑크스&amp;카르나크 신전</v>
          </cell>
          <cell r="C100" t="str">
            <v>서양</v>
          </cell>
          <cell r="E100" t="str">
            <v>알이스칸다리야 부근</v>
          </cell>
        </row>
        <row r="101">
          <cell r="B101" t="str">
            <v>##찬드라굽타 왕의 검</v>
          </cell>
          <cell r="C101" t="str">
            <v>동서양</v>
          </cell>
          <cell r="E101" t="str">
            <v>고아 부근</v>
          </cell>
        </row>
        <row r="102">
          <cell r="B102" t="str">
            <v>##폼페이의 빵
아추라 동굴</v>
          </cell>
          <cell r="C102" t="str">
            <v>서양</v>
          </cell>
          <cell r="E102" t="str">
            <v>나폴리 부근</v>
          </cell>
        </row>
        <row r="103">
          <cell r="B103" t="str">
            <v>##비명의 신전</v>
          </cell>
          <cell r="C103" t="str">
            <v>서양</v>
          </cell>
          <cell r="E103" t="str">
            <v>과테말라 부근</v>
          </cell>
        </row>
        <row r="104">
          <cell r="B104" t="str">
            <v>##유럽 다프네</v>
          </cell>
          <cell r="C104" t="str">
            <v>서양</v>
          </cell>
          <cell r="E104" t="str">
            <v>스톡홀름 부근</v>
          </cell>
        </row>
        <row r="105">
          <cell r="B105" t="str">
            <v>##하이에나</v>
          </cell>
          <cell r="C105" t="str">
            <v>서양</v>
          </cell>
          <cell r="E105" t="str">
            <v>도파르 부근</v>
          </cell>
        </row>
        <row r="106">
          <cell r="B106" t="str">
            <v>##알렉산더 대왕의 석관</v>
          </cell>
          <cell r="C106" t="str">
            <v>서양</v>
          </cell>
          <cell r="E106" t="str">
            <v>알이스칸다리야 부근</v>
          </cell>
        </row>
        <row r="107">
          <cell r="B107" t="str">
            <v>##흡혈귀 전설&amp;케플러의 신성</v>
          </cell>
          <cell r="C107" t="str">
            <v>서양</v>
          </cell>
          <cell r="E107" t="str">
            <v>나폴리 부근</v>
          </cell>
        </row>
        <row r="108">
          <cell r="B108" t="str">
            <v>##금강산</v>
          </cell>
          <cell r="C108" t="str">
            <v>동양</v>
          </cell>
          <cell r="E108" t="str">
            <v>영일 부근</v>
          </cell>
        </row>
        <row r="109">
          <cell r="B109" t="str">
            <v>##작은발톱수달</v>
          </cell>
          <cell r="C109" t="str">
            <v>동서양</v>
          </cell>
          <cell r="E109" t="str">
            <v>고아 부근</v>
          </cell>
        </row>
        <row r="110">
          <cell r="B110" t="str">
            <v>##월하미인</v>
          </cell>
          <cell r="C110" t="str">
            <v>서양</v>
          </cell>
          <cell r="E110" t="str">
            <v>산티아고 부근</v>
          </cell>
        </row>
        <row r="111">
          <cell r="B111" t="str">
            <v>##광개토대왕릉비</v>
          </cell>
          <cell r="C111" t="str">
            <v>동양</v>
          </cell>
          <cell r="E111" t="str">
            <v>영일 부근</v>
          </cell>
        </row>
        <row r="112">
          <cell r="B112" t="str">
            <v>##북극곰</v>
          </cell>
          <cell r="C112" t="str">
            <v>서양</v>
          </cell>
          <cell r="E112" t="str">
            <v>배로우 부근</v>
          </cell>
        </row>
        <row r="113">
          <cell r="B113" t="str">
            <v>##함무라비법전</v>
          </cell>
          <cell r="C113" t="str">
            <v>서양</v>
          </cell>
          <cell r="E113" t="str">
            <v>하라무즈 부근</v>
          </cell>
        </row>
        <row r="114">
          <cell r="B114" t="str">
            <v>##니벨룽겐의 반지</v>
          </cell>
          <cell r="C114" t="str">
            <v>서양</v>
          </cell>
          <cell r="E114" t="str">
            <v>산티아고 부근</v>
          </cell>
        </row>
        <row r="115">
          <cell r="B115" t="str">
            <v>##핼리 혜성</v>
          </cell>
          <cell r="C115" t="str">
            <v>서양</v>
          </cell>
          <cell r="E115" t="str">
            <v>벵겔라 부근</v>
          </cell>
        </row>
        <row r="116">
          <cell r="B116" t="str">
            <v>##백호</v>
          </cell>
          <cell r="C116" t="str">
            <v>동서양</v>
          </cell>
          <cell r="E116" t="str">
            <v>마실리파트남 부근</v>
          </cell>
        </row>
        <row r="117">
          <cell r="B117" t="str">
            <v>##히드노라 아프리카나</v>
          </cell>
          <cell r="C117" t="str">
            <v>서양</v>
          </cell>
          <cell r="E117" t="str">
            <v>벵겔라 부근</v>
          </cell>
        </row>
        <row r="118">
          <cell r="B118" t="str">
            <v>##엑스칼리버</v>
          </cell>
          <cell r="C118" t="str">
            <v>서양</v>
          </cell>
          <cell r="E118" t="str">
            <v>산티아고 부근</v>
          </cell>
        </row>
        <row r="119">
          <cell r="B119" t="str">
            <v>##멀린의 지팡이</v>
          </cell>
          <cell r="C119" t="str">
            <v>서양</v>
          </cell>
          <cell r="E119" t="str">
            <v>런던 부근</v>
          </cell>
        </row>
        <row r="120">
          <cell r="B120" t="str">
            <v>##하트 스카라베</v>
          </cell>
          <cell r="C120" t="str">
            <v>서양</v>
          </cell>
          <cell r="E120" t="str">
            <v>나일강</v>
          </cell>
        </row>
        <row r="121">
          <cell r="B121" t="str">
            <v>##만리장성</v>
          </cell>
          <cell r="C121" t="str">
            <v>동양</v>
          </cell>
          <cell r="E121" t="str">
            <v>항주 부근</v>
          </cell>
        </row>
        <row r="122">
          <cell r="B122" t="str">
            <v>##템플기사단장의 갑옷</v>
          </cell>
          <cell r="C122" t="str">
            <v>서양</v>
          </cell>
          <cell r="E122" t="str">
            <v>마르세유 부근</v>
          </cell>
        </row>
        <row r="123">
          <cell r="B123" t="str">
            <v>##이븐 바투타 여행기</v>
          </cell>
          <cell r="C123" t="str">
            <v>서양</v>
          </cell>
          <cell r="E123" t="str">
            <v>알이스칸다리야 부근</v>
          </cell>
        </row>
        <row r="124">
          <cell r="B124" t="str">
            <v>##세이렌의 하프</v>
          </cell>
          <cell r="C124" t="str">
            <v>서양</v>
          </cell>
          <cell r="E124" t="str">
            <v>카나크 부근</v>
          </cell>
        </row>
        <row r="125">
          <cell r="B125" t="str">
            <v>##극락조</v>
          </cell>
          <cell r="C125" t="str">
            <v>서양</v>
          </cell>
          <cell r="E125" t="str">
            <v>수바 부근</v>
          </cell>
        </row>
        <row r="126">
          <cell r="B126" t="str">
            <v>##양 머리의 스핑크스</v>
          </cell>
          <cell r="C126" t="str">
            <v>서양</v>
          </cell>
          <cell r="E126" t="str">
            <v>나일강</v>
          </cell>
        </row>
        <row r="127">
          <cell r="B127" t="str">
            <v>##아서왕의 성배</v>
          </cell>
          <cell r="C127" t="str">
            <v>서양</v>
          </cell>
          <cell r="E127" t="str">
            <v>그린란드 남부</v>
          </cell>
        </row>
        <row r="128">
          <cell r="B128" t="str">
            <v>##나스카의 지상화</v>
          </cell>
          <cell r="C128" t="str">
            <v>서양</v>
          </cell>
          <cell r="E128" t="str">
            <v>발파라이소 부근</v>
          </cell>
        </row>
        <row r="129">
          <cell r="B129" t="str">
            <v>##시바상</v>
          </cell>
          <cell r="C129" t="str">
            <v>동서양</v>
          </cell>
          <cell r="E129" t="str">
            <v>고아 부근</v>
          </cell>
        </row>
        <row r="130">
          <cell r="B130" t="str">
            <v>##천산갑</v>
          </cell>
          <cell r="C130" t="str">
            <v>동양</v>
          </cell>
          <cell r="E130" t="str">
            <v>브루네이 부근</v>
          </cell>
        </row>
        <row r="131">
          <cell r="B131" t="str">
            <v>##금루옥의</v>
          </cell>
          <cell r="C131" t="str">
            <v>동양</v>
          </cell>
          <cell r="E131" t="str">
            <v>황허</v>
          </cell>
        </row>
        <row r="132">
          <cell r="B132" t="str">
            <v>##오리너구리</v>
          </cell>
          <cell r="C132" t="str">
            <v>서양</v>
          </cell>
          <cell r="E132" t="str">
            <v>포트피리 부근</v>
          </cell>
        </row>
        <row r="133">
          <cell r="B133" t="str">
            <v>##에키네시아</v>
          </cell>
          <cell r="C133" t="str">
            <v>서양</v>
          </cell>
          <cell r="E133" t="str">
            <v>코하셋 부근</v>
          </cell>
        </row>
        <row r="134">
          <cell r="B134" t="str">
            <v>##빅토리아호수</v>
          </cell>
          <cell r="C134" t="str">
            <v>서양</v>
          </cell>
          <cell r="E134" t="str">
            <v>나일강</v>
          </cell>
        </row>
        <row r="135">
          <cell r="B135" t="str">
            <v>##클레로덴드룸</v>
          </cell>
          <cell r="C135" t="str">
            <v>서양</v>
          </cell>
          <cell r="E135" t="str">
            <v>콩고강</v>
          </cell>
        </row>
        <row r="136">
          <cell r="B136" t="str">
            <v>##스칸디나비아 반도</v>
          </cell>
          <cell r="C136" t="str">
            <v>서양</v>
          </cell>
          <cell r="E136" t="str">
            <v>베르겐 부근</v>
          </cell>
        </row>
        <row r="137">
          <cell r="B137" t="str">
            <v>##이비사 섬</v>
          </cell>
          <cell r="C137" t="str">
            <v>서양</v>
          </cell>
          <cell r="E137" t="str">
            <v>리스보아 부근</v>
          </cell>
        </row>
        <row r="138">
          <cell r="B138" t="str">
            <v>##나이저 강</v>
          </cell>
          <cell r="C138" t="str">
            <v>서양</v>
          </cell>
          <cell r="E138" t="str">
            <v>나이저강</v>
          </cell>
        </row>
        <row r="139">
          <cell r="B139" t="str">
            <v>##소순다열도/로리스</v>
          </cell>
          <cell r="C139" t="str">
            <v>동양</v>
          </cell>
          <cell r="E139" t="str">
            <v>수라바야 부근</v>
          </cell>
        </row>
        <row r="140">
          <cell r="B140" t="str">
            <v>##자바섬</v>
          </cell>
          <cell r="C140" t="str">
            <v>동양</v>
          </cell>
          <cell r="E140" t="str">
            <v>수라바야 부근</v>
          </cell>
        </row>
        <row r="141">
          <cell r="B141" t="str">
            <v>##티그리스 강</v>
          </cell>
          <cell r="C141" t="str">
            <v>서양</v>
          </cell>
          <cell r="E141" t="str">
            <v>하라무즈 부근</v>
          </cell>
        </row>
        <row r="142">
          <cell r="B142" t="str">
            <v>##네스호</v>
          </cell>
          <cell r="C142" t="str">
            <v>서양</v>
          </cell>
          <cell r="E142" t="str">
            <v>런던 부근</v>
          </cell>
        </row>
        <row r="143">
          <cell r="B143" t="str">
            <v>##카르나크 거석군</v>
          </cell>
          <cell r="C143" t="str">
            <v>서양</v>
          </cell>
          <cell r="E143" t="str">
            <v>낭트 부근</v>
          </cell>
        </row>
        <row r="144">
          <cell r="B144" t="str">
            <v>##바다 민족의 검</v>
          </cell>
          <cell r="C144" t="str">
            <v>서양</v>
          </cell>
          <cell r="E144" t="str">
            <v>트라브존 부근</v>
          </cell>
        </row>
        <row r="145">
          <cell r="B145" t="str">
            <v>##델포이 유적</v>
          </cell>
          <cell r="C145" t="str">
            <v>서양</v>
          </cell>
          <cell r="E145" t="str">
            <v>아티나 부근</v>
          </cell>
        </row>
        <row r="146">
          <cell r="B146" t="str">
            <v>##그리스의 불</v>
          </cell>
          <cell r="C146" t="str">
            <v>서양</v>
          </cell>
          <cell r="E146" t="str">
            <v>알이스칸다리야 부근</v>
          </cell>
        </row>
        <row r="147">
          <cell r="B147" t="str">
            <v>##아프로디테 조각상/크노소스 궁전</v>
          </cell>
          <cell r="C147" t="str">
            <v>서양</v>
          </cell>
          <cell r="E147" t="str">
            <v>아티나 부근</v>
          </cell>
        </row>
        <row r="148">
          <cell r="B148" t="str">
            <v>##투탕카멘왕의 황금마스크</v>
          </cell>
          <cell r="C148" t="str">
            <v>서양</v>
          </cell>
          <cell r="E148" t="str">
            <v>나일강</v>
          </cell>
        </row>
        <row r="149">
          <cell r="B149" t="str">
            <v>##성자의 지팡이</v>
          </cell>
          <cell r="C149" t="str">
            <v>서양</v>
          </cell>
          <cell r="E149" t="str">
            <v>하라무즈 부근</v>
          </cell>
        </row>
        <row r="150">
          <cell r="B150" t="str">
            <v>##태양의 돌</v>
          </cell>
          <cell r="C150" t="str">
            <v>서양</v>
          </cell>
          <cell r="E150" t="str">
            <v>과테말라 부근</v>
          </cell>
        </row>
      </sheetData>
      <sheetData sheetId="25">
        <row r="1">
          <cell r="BR1" t="str">
            <v>waterDropRate</v>
          </cell>
        </row>
        <row r="2">
          <cell r="BR2" t="str">
            <v>number</v>
          </cell>
        </row>
        <row r="3">
          <cell r="BR3">
            <v>1</v>
          </cell>
        </row>
        <row r="4">
          <cell r="BR4" t="str">
            <v>-</v>
          </cell>
        </row>
        <row r="5">
          <cell r="BR5" t="str">
            <v>-</v>
          </cell>
        </row>
        <row r="6">
          <cell r="BR6" t="str">
            <v>-</v>
          </cell>
        </row>
        <row r="7">
          <cell r="BR7" t="str">
            <v>-</v>
          </cell>
        </row>
        <row r="8">
          <cell r="C8" t="str">
            <v>문화권</v>
          </cell>
          <cell r="BR8" t="str">
            <v>-</v>
          </cell>
        </row>
        <row r="9">
          <cell r="B9" t="str">
            <v>스비아인의 마을</v>
          </cell>
          <cell r="C9" t="str">
            <v>남아메리카</v>
          </cell>
          <cell r="BR9">
            <v>200</v>
          </cell>
        </row>
        <row r="10">
          <cell r="B10" t="str">
            <v>쿠르드인의 마을</v>
          </cell>
          <cell r="C10" t="str">
            <v>남아메리카</v>
          </cell>
          <cell r="BR10">
            <v>200</v>
          </cell>
        </row>
        <row r="11">
          <cell r="B11" t="str">
            <v>튀르크족의 마을</v>
          </cell>
          <cell r="C11" t="str">
            <v>남아메리카</v>
          </cell>
          <cell r="BR11">
            <v>200</v>
          </cell>
        </row>
        <row r="12">
          <cell r="B12" t="str">
            <v>루르인의 마을</v>
          </cell>
          <cell r="C12" t="str">
            <v>중앙아메리카</v>
          </cell>
          <cell r="BR12">
            <v>200</v>
          </cell>
        </row>
        <row r="13">
          <cell r="B13" t="str">
            <v>카슈카이족의 마을</v>
          </cell>
          <cell r="C13" t="str">
            <v>북아메리카</v>
          </cell>
          <cell r="BR13">
            <v>200</v>
          </cell>
        </row>
        <row r="14">
          <cell r="B14" t="str">
            <v>베르베르인의 마을</v>
          </cell>
          <cell r="C14" t="str">
            <v>북아메리카</v>
          </cell>
          <cell r="BR14">
            <v>200</v>
          </cell>
        </row>
        <row r="15">
          <cell r="B15" t="str">
            <v>누비아인의 마을</v>
          </cell>
          <cell r="C15" t="str">
            <v>북아메리카</v>
          </cell>
          <cell r="BR15">
            <v>200</v>
          </cell>
        </row>
        <row r="16">
          <cell r="B16" t="str">
            <v>바리족의 마을</v>
          </cell>
          <cell r="C16" t="str">
            <v>북아메리카</v>
          </cell>
          <cell r="BR16">
            <v>200</v>
          </cell>
        </row>
        <row r="17">
          <cell r="B17" t="str">
            <v>바간다족의 마을</v>
          </cell>
          <cell r="C17" t="str">
            <v>북아메리카</v>
          </cell>
          <cell r="BR17">
            <v>200</v>
          </cell>
        </row>
        <row r="18">
          <cell r="B18" t="str">
            <v>말링케족의 마을</v>
          </cell>
          <cell r="C18" t="str">
            <v>북아메리카</v>
          </cell>
          <cell r="BR18">
            <v>200</v>
          </cell>
        </row>
        <row r="19">
          <cell r="B19" t="str">
            <v>요루바족의 마을</v>
          </cell>
          <cell r="C19" t="str">
            <v>북아메리카</v>
          </cell>
          <cell r="BR19">
            <v>200</v>
          </cell>
        </row>
        <row r="20">
          <cell r="B20" t="str">
            <v>반투족의 마을</v>
          </cell>
          <cell r="C20" t="str">
            <v>서아프리카</v>
          </cell>
          <cell r="BR20">
            <v>200</v>
          </cell>
        </row>
        <row r="21">
          <cell r="B21" t="str">
            <v>후투족의 마을</v>
          </cell>
          <cell r="C21" t="str">
            <v>유라시아</v>
          </cell>
          <cell r="BR21">
            <v>200</v>
          </cell>
        </row>
        <row r="22">
          <cell r="B22" t="str">
            <v>산족의 마을</v>
          </cell>
          <cell r="C22" t="str">
            <v>극지방</v>
          </cell>
          <cell r="BR22">
            <v>200</v>
          </cell>
        </row>
        <row r="23">
          <cell r="B23" t="str">
            <v>쇼나족의 마을</v>
          </cell>
          <cell r="C23" t="str">
            <v>극지방</v>
          </cell>
          <cell r="BR23">
            <v>200</v>
          </cell>
        </row>
        <row r="24">
          <cell r="B24" t="str">
            <v>말라가시인의 마을</v>
          </cell>
          <cell r="C24" t="str">
            <v>유라시아</v>
          </cell>
          <cell r="BR24">
            <v>200</v>
          </cell>
        </row>
        <row r="25">
          <cell r="B25" t="str">
            <v>인도양, 서쪽의 섬</v>
          </cell>
          <cell r="C25" t="str">
            <v>유라시아</v>
          </cell>
          <cell r="BR25">
            <v>200</v>
          </cell>
        </row>
        <row r="26">
          <cell r="B26" t="str">
            <v>대서양, 남쪽의 섬</v>
          </cell>
          <cell r="C26" t="str">
            <v>동아시아</v>
          </cell>
          <cell r="BR26">
            <v>200</v>
          </cell>
        </row>
        <row r="27">
          <cell r="B27" t="str">
            <v>과라니족의 마을</v>
          </cell>
          <cell r="C27" t="str">
            <v>동아시아</v>
          </cell>
          <cell r="BR27">
            <v>200</v>
          </cell>
        </row>
        <row r="28">
          <cell r="B28" t="str">
            <v>보로로족의 마을</v>
          </cell>
          <cell r="C28" t="str">
            <v>동아시아</v>
          </cell>
          <cell r="BR28">
            <v>200</v>
          </cell>
        </row>
        <row r="29">
          <cell r="B29" t="str">
            <v>시리오노족의 마을</v>
          </cell>
          <cell r="C29" t="str">
            <v>동아시아</v>
          </cell>
          <cell r="BR29">
            <v>200</v>
          </cell>
        </row>
        <row r="30">
          <cell r="B30" t="str">
            <v>케추아족의 마을</v>
          </cell>
          <cell r="C30" t="str">
            <v>동아시아</v>
          </cell>
          <cell r="BR30">
            <v>200</v>
          </cell>
        </row>
        <row r="31">
          <cell r="B31" t="str">
            <v>히바로족의 마을</v>
          </cell>
          <cell r="C31" t="str">
            <v>동아시아</v>
          </cell>
          <cell r="BR31">
            <v>200</v>
          </cell>
        </row>
        <row r="32">
          <cell r="B32" t="str">
            <v>위토토족의 마을</v>
          </cell>
          <cell r="C32" t="str">
            <v>동아시아</v>
          </cell>
          <cell r="BR32">
            <v>200</v>
          </cell>
        </row>
        <row r="33">
          <cell r="B33" t="str">
            <v>투카노족의 마을</v>
          </cell>
          <cell r="C33" t="str">
            <v>동아시아</v>
          </cell>
          <cell r="BR33">
            <v>200</v>
          </cell>
        </row>
        <row r="34">
          <cell r="B34" t="str">
            <v>무라족의 마을</v>
          </cell>
          <cell r="C34" t="str">
            <v>남아시아</v>
          </cell>
          <cell r="BR34">
            <v>200</v>
          </cell>
        </row>
        <row r="35">
          <cell r="B35" t="str">
            <v>신대륙, 서쪽의 섬</v>
          </cell>
          <cell r="C35" t="str">
            <v>동남아시아</v>
          </cell>
          <cell r="BR35">
            <v>200</v>
          </cell>
        </row>
        <row r="36">
          <cell r="B36" t="str">
            <v>긴 귀족의 마을</v>
          </cell>
          <cell r="C36" t="str">
            <v>동남아시아</v>
          </cell>
          <cell r="BR36">
            <v>200</v>
          </cell>
        </row>
        <row r="37">
          <cell r="B37" t="str">
            <v>코아우일테칸족의 마을</v>
          </cell>
          <cell r="C37" t="str">
            <v>동남아시아</v>
          </cell>
          <cell r="BR37">
            <v>200</v>
          </cell>
        </row>
        <row r="38">
          <cell r="B38" t="str">
            <v>코만치족의 마을</v>
          </cell>
          <cell r="C38" t="str">
            <v>동남아시아</v>
          </cell>
          <cell r="BR38">
            <v>200</v>
          </cell>
        </row>
        <row r="39">
          <cell r="B39" t="str">
            <v>아파치족의 마을</v>
          </cell>
          <cell r="C39" t="str">
            <v>오세아니아</v>
          </cell>
          <cell r="BR39">
            <v>200</v>
          </cell>
        </row>
        <row r="40">
          <cell r="B40" t="str">
            <v>치누크족의 마을</v>
          </cell>
          <cell r="C40" t="str">
            <v>오세아니아</v>
          </cell>
          <cell r="BR40">
            <v>200</v>
          </cell>
        </row>
        <row r="41">
          <cell r="B41" t="str">
            <v>샤이엔족의 마을</v>
          </cell>
          <cell r="C41" t="str">
            <v>오세아니아</v>
          </cell>
          <cell r="BR41">
            <v>200</v>
          </cell>
        </row>
        <row r="42">
          <cell r="B42" t="str">
            <v>포니족의 마을</v>
          </cell>
          <cell r="C42" t="str">
            <v>오세아니아</v>
          </cell>
          <cell r="BR42">
            <v>200</v>
          </cell>
        </row>
        <row r="43">
          <cell r="B43" t="str">
            <v>수족의 마을</v>
          </cell>
          <cell r="C43" t="str">
            <v>태평양</v>
          </cell>
          <cell r="BR43">
            <v>200</v>
          </cell>
        </row>
        <row r="44">
          <cell r="B44" t="str">
            <v>극지, 설산의 만</v>
          </cell>
          <cell r="C44" t="str">
            <v>중앙아메리카</v>
          </cell>
          <cell r="BR44">
            <v>200</v>
          </cell>
        </row>
        <row r="45">
          <cell r="B45" t="str">
            <v>이누이트족의 마을</v>
          </cell>
          <cell r="C45" t="str">
            <v>남아메리카</v>
          </cell>
          <cell r="BR45">
            <v>200</v>
          </cell>
        </row>
        <row r="46">
          <cell r="B46" t="str">
            <v>네네츠인의 마을</v>
          </cell>
          <cell r="C46" t="str">
            <v>극지방</v>
          </cell>
          <cell r="BR46">
            <v>200</v>
          </cell>
        </row>
        <row r="47">
          <cell r="B47" t="str">
            <v>극지, 빙하의 섬</v>
          </cell>
          <cell r="C47" t="str">
            <v>극지방</v>
          </cell>
          <cell r="BR47">
            <v>200</v>
          </cell>
        </row>
        <row r="48">
          <cell r="B48" t="str">
            <v>극지, 설산의 섬</v>
          </cell>
          <cell r="C48" t="str">
            <v>북유럽</v>
          </cell>
          <cell r="BR48">
            <v>200</v>
          </cell>
        </row>
        <row r="49">
          <cell r="B49" t="str">
            <v>야쿠트인의 마을</v>
          </cell>
          <cell r="C49" t="str">
            <v>유라시아</v>
          </cell>
          <cell r="BR49">
            <v>200</v>
          </cell>
        </row>
        <row r="50">
          <cell r="B50" t="str">
            <v>축치인의 마을</v>
          </cell>
          <cell r="C50" t="str">
            <v>유라시아</v>
          </cell>
          <cell r="BR50">
            <v>200</v>
          </cell>
        </row>
        <row r="51">
          <cell r="B51" t="str">
            <v>경흥의 마을</v>
          </cell>
          <cell r="C51" t="str">
            <v>북아메리카</v>
          </cell>
          <cell r="BR51">
            <v>200</v>
          </cell>
        </row>
        <row r="52">
          <cell r="B52" t="str">
            <v>부안의 마을</v>
          </cell>
          <cell r="C52" t="str">
            <v>남아메리카</v>
          </cell>
          <cell r="BR52">
            <v>200</v>
          </cell>
        </row>
        <row r="53">
          <cell r="B53" t="str">
            <v>에미시의 마을</v>
          </cell>
          <cell r="C53" t="str">
            <v>남아메리카</v>
          </cell>
          <cell r="BR53">
            <v>200</v>
          </cell>
        </row>
        <row r="54">
          <cell r="B54" t="str">
            <v>에치젠의 마을</v>
          </cell>
          <cell r="C54" t="str">
            <v>남아시아</v>
          </cell>
          <cell r="BR54">
            <v>200</v>
          </cell>
        </row>
        <row r="55">
          <cell r="B55" t="str">
            <v>규슈의 마을</v>
          </cell>
          <cell r="C55" t="str">
            <v>동아시아</v>
          </cell>
          <cell r="BR55">
            <v>200</v>
          </cell>
        </row>
        <row r="56">
          <cell r="B56" t="str">
            <v>황허, 한족의 마을</v>
          </cell>
          <cell r="C56" t="str">
            <v>동아시아</v>
          </cell>
          <cell r="BR56">
            <v>200</v>
          </cell>
        </row>
        <row r="57">
          <cell r="B57" t="str">
            <v>장강, 투자족의 마을</v>
          </cell>
          <cell r="C57" t="str">
            <v>동아시아</v>
          </cell>
          <cell r="BR57">
            <v>200</v>
          </cell>
        </row>
        <row r="58">
          <cell r="B58" t="str">
            <v>아미족의 마을</v>
          </cell>
          <cell r="C58" t="str">
            <v>북유럽</v>
          </cell>
          <cell r="BR58">
            <v>200</v>
          </cell>
        </row>
        <row r="59">
          <cell r="B59" t="str">
            <v>오리야인의 마을</v>
          </cell>
          <cell r="C59" t="str">
            <v>남아메리카</v>
          </cell>
          <cell r="BR59">
            <v>200</v>
          </cell>
        </row>
        <row r="60">
          <cell r="B60" t="str">
            <v>버마족의 마을</v>
          </cell>
          <cell r="C60" t="str">
            <v>태평양</v>
          </cell>
          <cell r="BR60">
            <v>200</v>
          </cell>
        </row>
        <row r="61">
          <cell r="B61" t="str">
            <v>크메르족의 마을</v>
          </cell>
          <cell r="C61" t="str">
            <v>동아시아</v>
          </cell>
          <cell r="BR61">
            <v>200</v>
          </cell>
        </row>
        <row r="62">
          <cell r="B62" t="str">
            <v>말레이족의 마을</v>
          </cell>
          <cell r="C62" t="str">
            <v>동아시아</v>
          </cell>
          <cell r="BR62">
            <v>200</v>
          </cell>
        </row>
        <row r="63">
          <cell r="B63" t="str">
            <v>멜라네시아인의 마을</v>
          </cell>
          <cell r="C63" t="str">
            <v>북아메리카</v>
          </cell>
          <cell r="BR63">
            <v>200</v>
          </cell>
        </row>
        <row r="64">
          <cell r="B64" t="str">
            <v>야우루족의 마을</v>
          </cell>
          <cell r="C64" t="str">
            <v>중앙아메리카</v>
          </cell>
          <cell r="BR64">
            <v>200</v>
          </cell>
        </row>
        <row r="65">
          <cell r="B65" t="str">
            <v>나우오족의 마을</v>
          </cell>
          <cell r="C65" t="str">
            <v>오세아니아</v>
          </cell>
          <cell r="BR65">
            <v>200</v>
          </cell>
        </row>
        <row r="66">
          <cell r="B66" t="str">
            <v>칼 카툰 구족의 마을</v>
          </cell>
          <cell r="C66" t="str">
            <v>북아메리카</v>
          </cell>
          <cell r="BR66">
            <v>200</v>
          </cell>
        </row>
        <row r="67">
          <cell r="B67" t="str">
            <v>마오리족의 마을</v>
          </cell>
          <cell r="C67" t="str">
            <v>북유럽</v>
          </cell>
          <cell r="BR67">
            <v>200</v>
          </cell>
        </row>
        <row r="68">
          <cell r="B68" t="str">
            <v>하와이 선주민의 마을</v>
          </cell>
          <cell r="C68" t="str">
            <v>북아메리카</v>
          </cell>
          <cell r="BR68">
            <v>200</v>
          </cell>
        </row>
        <row r="69">
          <cell r="B69" t="str">
            <v>시과요족의 마을</v>
          </cell>
          <cell r="C69" t="str">
            <v>오세아니아</v>
          </cell>
          <cell r="BR69">
            <v>200</v>
          </cell>
        </row>
        <row r="70">
          <cell r="B70" t="str">
            <v>야간족의 마을</v>
          </cell>
          <cell r="C70" t="str">
            <v>극지방</v>
          </cell>
          <cell r="BR70">
            <v>200</v>
          </cell>
        </row>
        <row r="71">
          <cell r="B71" t="str">
            <v>극지, 신대륙의 남쪽</v>
          </cell>
          <cell r="C71" t="str">
            <v>극지방</v>
          </cell>
          <cell r="BR71">
            <v>200</v>
          </cell>
        </row>
        <row r="72">
          <cell r="B72" t="str">
            <v>극지, 아프리카의 남쪽</v>
          </cell>
          <cell r="C72" t="str">
            <v>태평양</v>
          </cell>
          <cell r="BR72">
            <v>200</v>
          </cell>
        </row>
        <row r="73">
          <cell r="B73" t="str">
            <v>사미족의 마을</v>
          </cell>
          <cell r="C73" t="str">
            <v>동아시아</v>
          </cell>
          <cell r="BR73">
            <v>200</v>
          </cell>
        </row>
        <row r="74">
          <cell r="B74" t="str">
            <v>케트인의 마을</v>
          </cell>
          <cell r="C74" t="str">
            <v>동아시아</v>
          </cell>
          <cell r="BR74">
            <v>200</v>
          </cell>
        </row>
        <row r="75">
          <cell r="B75" t="str">
            <v>##village66</v>
          </cell>
          <cell r="BR75">
            <v>200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G1" t="str">
            <v>discovery[0]["Id"]</v>
          </cell>
          <cell r="I1" t="str">
            <v>discovery[0]["CheckCT"]</v>
          </cell>
          <cell r="M1" t="str">
            <v>discovery[1]["Prob"]</v>
          </cell>
          <cell r="N1" t="str">
            <v>discovery[1]["CheckCT"]</v>
          </cell>
          <cell r="S1" t="str">
            <v>discovery[2]["CheckCT"]</v>
          </cell>
          <cell r="V1" t="str">
            <v>discovery[3]["Id"]</v>
          </cell>
          <cell r="X1" t="str">
            <v>discovery[3]["CheckCT"]</v>
          </cell>
          <cell r="AB1" t="str">
            <v>discovery[4]["Prob"]</v>
          </cell>
          <cell r="AC1" t="str">
            <v>discovery[4]["CheckCT"]</v>
          </cell>
          <cell r="AH1" t="str">
            <v>discovery[5]["CheckCT"]</v>
          </cell>
        </row>
        <row r="2">
          <cell r="G2" t="str">
            <v>number</v>
          </cell>
          <cell r="I2" t="str">
            <v>bool</v>
          </cell>
          <cell r="M2" t="str">
            <v>number</v>
          </cell>
          <cell r="N2" t="str">
            <v>bool</v>
          </cell>
          <cell r="S2" t="str">
            <v>bool</v>
          </cell>
          <cell r="V2" t="str">
            <v>number</v>
          </cell>
          <cell r="X2" t="str">
            <v>bool</v>
          </cell>
          <cell r="AB2" t="str">
            <v>number</v>
          </cell>
          <cell r="AC2" t="str">
            <v>bool</v>
          </cell>
          <cell r="AH2" t="str">
            <v>bool</v>
          </cell>
        </row>
        <row r="3">
          <cell r="G3">
            <v>1</v>
          </cell>
          <cell r="I3">
            <v>1</v>
          </cell>
          <cell r="M3" t="str">
            <v>-</v>
          </cell>
          <cell r="N3" t="str">
            <v>-</v>
          </cell>
          <cell r="S3" t="str">
            <v>-</v>
          </cell>
          <cell r="V3" t="str">
            <v>-</v>
          </cell>
          <cell r="X3" t="str">
            <v>-</v>
          </cell>
          <cell r="AB3" t="str">
            <v>-</v>
          </cell>
          <cell r="AC3" t="str">
            <v>-</v>
          </cell>
          <cell r="AH3" t="str">
            <v>-</v>
          </cell>
        </row>
        <row r="4">
          <cell r="G4">
            <v>1</v>
          </cell>
          <cell r="I4">
            <v>1</v>
          </cell>
          <cell r="M4">
            <v>1</v>
          </cell>
          <cell r="N4">
            <v>1</v>
          </cell>
          <cell r="S4">
            <v>1</v>
          </cell>
          <cell r="V4">
            <v>1</v>
          </cell>
          <cell r="X4">
            <v>1</v>
          </cell>
          <cell r="AB4">
            <v>1</v>
          </cell>
          <cell r="AC4">
            <v>1</v>
          </cell>
          <cell r="AH4">
            <v>1</v>
          </cell>
        </row>
        <row r="5">
          <cell r="G5">
            <v>70400000</v>
          </cell>
          <cell r="I5" t="str">
            <v>-</v>
          </cell>
          <cell r="M5" t="str">
            <v>-</v>
          </cell>
          <cell r="N5" t="str">
            <v>-</v>
          </cell>
          <cell r="S5" t="str">
            <v>-</v>
          </cell>
          <cell r="V5">
            <v>70400000</v>
          </cell>
          <cell r="X5" t="str">
            <v>-</v>
          </cell>
          <cell r="AB5" t="str">
            <v>-</v>
          </cell>
          <cell r="AC5" t="str">
            <v>-</v>
          </cell>
          <cell r="AH5" t="str">
            <v>-</v>
          </cell>
        </row>
        <row r="6">
          <cell r="G6">
            <v>70499999</v>
          </cell>
          <cell r="I6" t="str">
            <v>-</v>
          </cell>
          <cell r="M6" t="str">
            <v>-</v>
          </cell>
          <cell r="N6" t="str">
            <v>-</v>
          </cell>
          <cell r="S6" t="str">
            <v>-</v>
          </cell>
          <cell r="V6">
            <v>70499999</v>
          </cell>
          <cell r="X6" t="str">
            <v>-</v>
          </cell>
          <cell r="AB6" t="str">
            <v>-</v>
          </cell>
          <cell r="AC6" t="str">
            <v>-</v>
          </cell>
          <cell r="AH6" t="str">
            <v>-</v>
          </cell>
        </row>
        <row r="7">
          <cell r="C7" t="str">
            <v>가능여부</v>
          </cell>
          <cell r="G7" t="str">
            <v>-</v>
          </cell>
          <cell r="I7" t="str">
            <v>-</v>
          </cell>
          <cell r="M7" t="str">
            <v>-</v>
          </cell>
          <cell r="N7" t="str">
            <v>-</v>
          </cell>
          <cell r="S7" t="str">
            <v>-</v>
          </cell>
          <cell r="V7" t="str">
            <v>-</v>
          </cell>
          <cell r="X7" t="str">
            <v>-</v>
          </cell>
          <cell r="AB7" t="str">
            <v>-</v>
          </cell>
          <cell r="AC7" t="str">
            <v>-</v>
          </cell>
          <cell r="AH7" t="str">
            <v>-</v>
          </cell>
        </row>
        <row r="8">
          <cell r="C8" t="str">
            <v>"타일정보보기"</v>
          </cell>
          <cell r="D8" t="str">
            <v>단계</v>
          </cell>
          <cell r="E8">
            <v>483</v>
          </cell>
          <cell r="F8">
            <v>2</v>
          </cell>
          <cell r="G8" t="str">
            <v>"Discovery"</v>
          </cell>
          <cell r="H8" t="str">
            <v>-</v>
          </cell>
          <cell r="I8" t="str">
            <v>-</v>
          </cell>
          <cell r="L8" t="str">
            <v>"Discovery"</v>
          </cell>
          <cell r="M8" t="str">
            <v>-</v>
          </cell>
          <cell r="N8" t="str">
            <v>-</v>
          </cell>
          <cell r="Q8" t="str">
            <v>"Discovery"</v>
          </cell>
          <cell r="R8" t="str">
            <v>-</v>
          </cell>
          <cell r="S8" t="str">
            <v>-</v>
          </cell>
          <cell r="V8" t="str">
            <v>"Discovery"</v>
          </cell>
          <cell r="W8" t="str">
            <v>-</v>
          </cell>
          <cell r="X8" t="str">
            <v>-</v>
          </cell>
          <cell r="AA8" t="str">
            <v>"Discovery"</v>
          </cell>
          <cell r="AB8" t="str">
            <v>-</v>
          </cell>
          <cell r="AC8" t="str">
            <v>-</v>
          </cell>
          <cell r="AF8" t="str">
            <v>"Discovery"</v>
          </cell>
          <cell r="AG8" t="str">
            <v>-</v>
          </cell>
          <cell r="AH8" t="str">
            <v>-</v>
          </cell>
          <cell r="AK8" t="str">
            <v>"Discovery"</v>
          </cell>
          <cell r="AL8" t="str">
            <v>-</v>
          </cell>
          <cell r="AM8" t="str">
            <v>-</v>
          </cell>
          <cell r="AP8" t="str">
            <v>"Discovery"</v>
          </cell>
          <cell r="AQ8" t="str">
            <v>-</v>
          </cell>
          <cell r="AR8" t="str">
            <v>-</v>
          </cell>
          <cell r="AU8" t="str">
            <v>"Discovery"</v>
          </cell>
          <cell r="AV8" t="str">
            <v>-</v>
          </cell>
          <cell r="AW8" t="str">
            <v>-</v>
          </cell>
        </row>
        <row r="9">
          <cell r="B9" t="str">
            <v>##이베리아</v>
          </cell>
          <cell r="C9" t="str">
            <v>가능</v>
          </cell>
          <cell r="D9" t="str">
            <v>리스보아 부근</v>
          </cell>
          <cell r="E9" t="str">
            <v>데이지</v>
          </cell>
          <cell r="F9" t="str">
            <v>종류:쌍자엽</v>
          </cell>
          <cell r="G9">
            <v>70403026</v>
          </cell>
          <cell r="H9">
            <v>292</v>
          </cell>
          <cell r="I9" t="b">
            <v>0</v>
          </cell>
          <cell r="J9" t="str">
            <v>클리피스터 성게 화석</v>
          </cell>
          <cell r="K9" t="str">
            <v>종류:화석</v>
          </cell>
          <cell r="L9">
            <v>70418030</v>
          </cell>
          <cell r="M9">
            <v>666</v>
          </cell>
          <cell r="N9" t="b">
            <v>0</v>
          </cell>
          <cell r="O9" t="str">
            <v>유스티티아상</v>
          </cell>
          <cell r="P9" t="str">
            <v>종류:종교유물</v>
          </cell>
          <cell r="Q9">
            <v>70402109</v>
          </cell>
          <cell r="R9">
            <v>24</v>
          </cell>
          <cell r="S9" t="b">
            <v>0</v>
          </cell>
          <cell r="T9" t="str">
            <v>토끼풀</v>
          </cell>
          <cell r="U9" t="str">
            <v>종류:쌍자엽</v>
          </cell>
          <cell r="V9">
            <v>70403130</v>
          </cell>
          <cell r="W9">
            <v>666</v>
          </cell>
          <cell r="X9" t="b">
            <v>0</v>
          </cell>
          <cell r="Y9" t="str">
            <v>베일을 쓴 여인</v>
          </cell>
          <cell r="Z9" t="str">
            <v>종류:미술품</v>
          </cell>
          <cell r="AA9">
            <v>70416025</v>
          </cell>
          <cell r="AB9">
            <v>666</v>
          </cell>
          <cell r="AC9" t="b">
            <v>0</v>
          </cell>
          <cell r="AD9" t="str">
            <v>갈리아인과 그의 처</v>
          </cell>
          <cell r="AE9" t="str">
            <v>종류:미술품</v>
          </cell>
          <cell r="AF9">
            <v>70416000</v>
          </cell>
          <cell r="AG9">
            <v>666</v>
          </cell>
          <cell r="AH9" t="b">
            <v>0</v>
          </cell>
          <cell r="AI9" t="str">
            <v>아스테리스커스</v>
          </cell>
          <cell r="AJ9" t="str">
            <v>종류:쌍자엽</v>
          </cell>
          <cell r="AK9">
            <v>70403088</v>
          </cell>
          <cell r="AL9">
            <v>666</v>
          </cell>
          <cell r="AM9" t="b">
            <v>0</v>
          </cell>
          <cell r="AO9" t="str">
            <v/>
          </cell>
          <cell r="AP9" t="str">
            <v>-</v>
          </cell>
          <cell r="AQ9" t="str">
            <v>-</v>
          </cell>
          <cell r="AR9" t="str">
            <v>-</v>
          </cell>
          <cell r="AT9" t="str">
            <v/>
          </cell>
          <cell r="AU9" t="str">
            <v>-</v>
          </cell>
          <cell r="AV9" t="str">
            <v>-</v>
          </cell>
          <cell r="AW9" t="str">
            <v>-</v>
          </cell>
        </row>
        <row r="10">
          <cell r="B10" t="str">
            <v>##남프랑스</v>
          </cell>
          <cell r="C10" t="str">
            <v>가능</v>
          </cell>
          <cell r="D10" t="str">
            <v>마르세유 부근</v>
          </cell>
          <cell r="E10" t="str">
            <v>쥐엄나무</v>
          </cell>
          <cell r="F10" t="str">
            <v>종류:쌍자엽</v>
          </cell>
          <cell r="G10">
            <v>70403118</v>
          </cell>
          <cell r="H10">
            <v>292</v>
          </cell>
          <cell r="I10" t="b">
            <v>0</v>
          </cell>
          <cell r="J10" t="str">
            <v>아칸서스</v>
          </cell>
          <cell r="K10" t="str">
            <v>종류:쌍자엽</v>
          </cell>
          <cell r="L10">
            <v>70403090</v>
          </cell>
          <cell r="M10">
            <v>666</v>
          </cell>
          <cell r="N10" t="b">
            <v>0</v>
          </cell>
          <cell r="O10" t="str">
            <v>뒤러의 코뿔소</v>
          </cell>
          <cell r="P10" t="str">
            <v>종류:미술품</v>
          </cell>
          <cell r="Q10">
            <v>70416069</v>
          </cell>
          <cell r="R10">
            <v>666</v>
          </cell>
          <cell r="S10" t="b">
            <v>0</v>
          </cell>
          <cell r="T10" t="str">
            <v>그리스 문자의 석판</v>
          </cell>
          <cell r="U10" t="str">
            <v>종류:역사유물</v>
          </cell>
          <cell r="V10">
            <v>70401009</v>
          </cell>
          <cell r="W10">
            <v>666</v>
          </cell>
          <cell r="X10" t="b">
            <v>0</v>
          </cell>
          <cell r="Y10" t="str">
            <v>토끼풀</v>
          </cell>
          <cell r="Z10" t="str">
            <v>종류:쌍자엽</v>
          </cell>
          <cell r="AA10">
            <v>70403130</v>
          </cell>
          <cell r="AB10">
            <v>666</v>
          </cell>
          <cell r="AC10" t="b">
            <v>0</v>
          </cell>
          <cell r="AD10" t="str">
            <v>고정핀</v>
          </cell>
          <cell r="AE10" t="str">
            <v>종류:보물</v>
          </cell>
          <cell r="AF10">
            <v>70417009</v>
          </cell>
          <cell r="AG10">
            <v>666</v>
          </cell>
          <cell r="AH10" t="b">
            <v>0</v>
          </cell>
          <cell r="AI10" t="str">
            <v>모세</v>
          </cell>
          <cell r="AJ10" t="str">
            <v>종류:미술품</v>
          </cell>
          <cell r="AK10">
            <v>70416020</v>
          </cell>
          <cell r="AL10">
            <v>24</v>
          </cell>
          <cell r="AM10" t="b">
            <v>0</v>
          </cell>
          <cell r="AO10" t="str">
            <v/>
          </cell>
          <cell r="AP10" t="str">
            <v>-</v>
          </cell>
          <cell r="AQ10" t="str">
            <v>-</v>
          </cell>
          <cell r="AR10" t="str">
            <v>-</v>
          </cell>
          <cell r="AT10" t="str">
            <v/>
          </cell>
          <cell r="AU10" t="str">
            <v>-</v>
          </cell>
          <cell r="AV10" t="str">
            <v>-</v>
          </cell>
          <cell r="AW10" t="str">
            <v>-</v>
          </cell>
        </row>
        <row r="11">
          <cell r="B11" t="str">
            <v>##이탈리아</v>
          </cell>
          <cell r="C11" t="str">
            <v>가능</v>
          </cell>
          <cell r="D11" t="str">
            <v>나폴리 부근</v>
          </cell>
          <cell r="E11" t="str">
            <v>빌라 아드리아나</v>
          </cell>
          <cell r="F11" t="str">
            <v>종류:사적</v>
          </cell>
          <cell r="G11">
            <v>70410032</v>
          </cell>
          <cell r="H11">
            <v>666</v>
          </cell>
          <cell r="I11" t="b">
            <v>0</v>
          </cell>
          <cell r="J11" t="str">
            <v>승리</v>
          </cell>
          <cell r="K11" t="str">
            <v>종류:미술품</v>
          </cell>
          <cell r="L11">
            <v>70416044</v>
          </cell>
          <cell r="M11">
            <v>666</v>
          </cell>
          <cell r="N11" t="b">
            <v>0</v>
          </cell>
          <cell r="O11" t="str">
            <v>카피톨리나 늑대상</v>
          </cell>
          <cell r="P11" t="str">
            <v>종류:미술품</v>
          </cell>
          <cell r="Q11">
            <v>70416068</v>
          </cell>
          <cell r="R11">
            <v>666</v>
          </cell>
          <cell r="S11" t="b">
            <v>0</v>
          </cell>
          <cell r="T11" t="str">
            <v>헤르만육지거북</v>
          </cell>
          <cell r="U11" t="str">
            <v>종류:파충류</v>
          </cell>
          <cell r="V11">
            <v>70407100</v>
          </cell>
          <cell r="W11">
            <v>292</v>
          </cell>
          <cell r="X11" t="b">
            <v>0</v>
          </cell>
          <cell r="Y11" t="str">
            <v>칼리굴라 황제의 흉상</v>
          </cell>
          <cell r="Z11" t="str">
            <v>종류:역사유물</v>
          </cell>
          <cell r="AA11">
            <v>70401151</v>
          </cell>
          <cell r="AB11">
            <v>24</v>
          </cell>
          <cell r="AC11" t="b">
            <v>0</v>
          </cell>
          <cell r="AD11" t="str">
            <v>오소리</v>
          </cell>
          <cell r="AE11" t="str">
            <v>종류:포유류</v>
          </cell>
          <cell r="AF11">
            <v>70407060</v>
          </cell>
          <cell r="AG11">
            <v>666</v>
          </cell>
          <cell r="AH11" t="b">
            <v>0</v>
          </cell>
          <cell r="AI11" t="str">
            <v>토끼풀</v>
          </cell>
          <cell r="AJ11" t="str">
            <v>종류:쌍자엽</v>
          </cell>
          <cell r="AK11">
            <v>70403130</v>
          </cell>
          <cell r="AL11">
            <v>666</v>
          </cell>
          <cell r="AM11" t="b">
            <v>0</v>
          </cell>
          <cell r="AO11" t="str">
            <v/>
          </cell>
          <cell r="AP11" t="str">
            <v>-</v>
          </cell>
          <cell r="AQ11" t="str">
            <v>-</v>
          </cell>
          <cell r="AR11" t="str">
            <v>-</v>
          </cell>
          <cell r="AT11" t="str">
            <v/>
          </cell>
          <cell r="AU11" t="str">
            <v>-</v>
          </cell>
          <cell r="AV11" t="str">
            <v>-</v>
          </cell>
          <cell r="AW11" t="str">
            <v>-</v>
          </cell>
        </row>
        <row r="12">
          <cell r="B12" t="str">
            <v>##발칸</v>
          </cell>
          <cell r="C12" t="str">
            <v>가능</v>
          </cell>
          <cell r="D12" t="str">
            <v>아티나 부근</v>
          </cell>
          <cell r="E12" t="str">
            <v>토끼풀</v>
          </cell>
          <cell r="F12" t="str">
            <v>종류:쌍자엽</v>
          </cell>
          <cell r="G12">
            <v>70403130</v>
          </cell>
          <cell r="H12">
            <v>666</v>
          </cell>
          <cell r="I12" t="b">
            <v>0</v>
          </cell>
          <cell r="J12" t="str">
            <v>수레국화</v>
          </cell>
          <cell r="K12" t="str">
            <v>종류:쌍자엽</v>
          </cell>
          <cell r="L12">
            <v>70403073</v>
          </cell>
          <cell r="M12">
            <v>666</v>
          </cell>
          <cell r="N12" t="b">
            <v>0</v>
          </cell>
          <cell r="O12" t="str">
            <v>뱀의 여신상</v>
          </cell>
          <cell r="P12" t="str">
            <v>종류:보물</v>
          </cell>
          <cell r="Q12">
            <v>70417071</v>
          </cell>
          <cell r="R12">
            <v>666</v>
          </cell>
          <cell r="S12" t="b">
            <v>0</v>
          </cell>
          <cell r="T12" t="str">
            <v>디오니소스 극장</v>
          </cell>
          <cell r="U12" t="str">
            <v>종류:사적</v>
          </cell>
          <cell r="V12">
            <v>70410012</v>
          </cell>
          <cell r="W12">
            <v>292</v>
          </cell>
          <cell r="X12" t="b">
            <v>0</v>
          </cell>
          <cell r="Y12" t="str">
            <v>사리사</v>
          </cell>
          <cell r="Z12" t="str">
            <v>종류:역사유물</v>
          </cell>
          <cell r="AA12">
            <v>70401066</v>
          </cell>
          <cell r="AB12">
            <v>666</v>
          </cell>
          <cell r="AC12" t="b">
            <v>0</v>
          </cell>
          <cell r="AD12" t="str">
            <v>시클라멘</v>
          </cell>
          <cell r="AE12" t="str">
            <v>종류:쌍자엽</v>
          </cell>
          <cell r="AF12">
            <v>70403080</v>
          </cell>
          <cell r="AG12">
            <v>24</v>
          </cell>
          <cell r="AH12" t="b">
            <v>0</v>
          </cell>
          <cell r="AI12" t="str">
            <v>유럽땅다람쥐</v>
          </cell>
          <cell r="AJ12" t="str">
            <v>종류:포유류</v>
          </cell>
          <cell r="AK12">
            <v>70406071</v>
          </cell>
          <cell r="AL12">
            <v>666</v>
          </cell>
          <cell r="AM12" t="b">
            <v>0</v>
          </cell>
          <cell r="AO12" t="str">
            <v/>
          </cell>
          <cell r="AP12" t="str">
            <v>-</v>
          </cell>
          <cell r="AQ12" t="str">
            <v>-</v>
          </cell>
          <cell r="AR12" t="str">
            <v>-</v>
          </cell>
          <cell r="AT12" t="str">
            <v/>
          </cell>
          <cell r="AU12" t="str">
            <v>-</v>
          </cell>
          <cell r="AV12" t="str">
            <v>-</v>
          </cell>
          <cell r="AW12" t="str">
            <v>-</v>
          </cell>
        </row>
        <row r="13">
          <cell r="B13" t="str">
            <v>##터키</v>
          </cell>
          <cell r="C13" t="str">
            <v>가능</v>
          </cell>
          <cell r="D13" t="str">
            <v>트라브존 부근</v>
          </cell>
          <cell r="E13" t="str">
            <v>벨레스의 목상</v>
          </cell>
          <cell r="F13" t="str">
            <v>종류:종교유물</v>
          </cell>
          <cell r="G13">
            <v>70402039</v>
          </cell>
          <cell r="H13">
            <v>666</v>
          </cell>
          <cell r="I13" t="b">
            <v>0</v>
          </cell>
          <cell r="J13" t="str">
            <v>붉은토끼풀</v>
          </cell>
          <cell r="K13" t="str">
            <v>종류:쌍자엽</v>
          </cell>
          <cell r="L13">
            <v>70403056</v>
          </cell>
          <cell r="M13">
            <v>666</v>
          </cell>
          <cell r="N13" t="b">
            <v>0</v>
          </cell>
          <cell r="O13" t="str">
            <v>주르나</v>
          </cell>
          <cell r="P13" t="str">
            <v>종류:보물</v>
          </cell>
          <cell r="Q13">
            <v>70417165</v>
          </cell>
          <cell r="R13">
            <v>666</v>
          </cell>
          <cell r="S13" t="b">
            <v>0</v>
          </cell>
          <cell r="T13" t="str">
            <v>히타이트 전차</v>
          </cell>
          <cell r="U13" t="str">
            <v>종류:역사유물</v>
          </cell>
          <cell r="V13">
            <v>70401195</v>
          </cell>
          <cell r="W13">
            <v>292</v>
          </cell>
          <cell r="X13" t="b">
            <v>0</v>
          </cell>
          <cell r="Y13" t="str">
            <v>흑종초</v>
          </cell>
          <cell r="Z13" t="str">
            <v>종류:쌍자엽</v>
          </cell>
          <cell r="AA13">
            <v>70403145</v>
          </cell>
          <cell r="AB13">
            <v>24</v>
          </cell>
          <cell r="AC13" t="b">
            <v>0</v>
          </cell>
          <cell r="AD13" t="str">
            <v>토끼풀</v>
          </cell>
          <cell r="AE13" t="str">
            <v>종류:쌍자엽</v>
          </cell>
          <cell r="AF13">
            <v>70403130</v>
          </cell>
          <cell r="AG13">
            <v>666</v>
          </cell>
          <cell r="AH13" t="b">
            <v>0</v>
          </cell>
          <cell r="AI13" t="str">
            <v>나자르 본주</v>
          </cell>
          <cell r="AJ13" t="str">
            <v>종류:보물</v>
          </cell>
          <cell r="AK13">
            <v>70417023</v>
          </cell>
          <cell r="AL13">
            <v>666</v>
          </cell>
          <cell r="AM13" t="b">
            <v>0</v>
          </cell>
          <cell r="AO13" t="str">
            <v/>
          </cell>
          <cell r="AP13" t="str">
            <v>-</v>
          </cell>
          <cell r="AQ13" t="str">
            <v>-</v>
          </cell>
          <cell r="AR13" t="str">
            <v>-</v>
          </cell>
          <cell r="AT13" t="str">
            <v/>
          </cell>
          <cell r="AU13" t="str">
            <v>-</v>
          </cell>
          <cell r="AV13" t="str">
            <v>-</v>
          </cell>
          <cell r="AW13" t="str">
            <v>-</v>
          </cell>
        </row>
        <row r="14">
          <cell r="B14" t="str">
            <v>##북프랑스</v>
          </cell>
          <cell r="C14" t="str">
            <v>가능</v>
          </cell>
          <cell r="D14" t="str">
            <v>낭트 부근</v>
          </cell>
          <cell r="E14" t="str">
            <v>상감세공 갑옷</v>
          </cell>
          <cell r="F14" t="str">
            <v>종류:보물</v>
          </cell>
          <cell r="G14">
            <v>70417088</v>
          </cell>
          <cell r="H14">
            <v>666</v>
          </cell>
          <cell r="I14" t="b">
            <v>0</v>
          </cell>
          <cell r="J14" t="str">
            <v>아티초크</v>
          </cell>
          <cell r="K14" t="str">
            <v>종류:쌍자엽</v>
          </cell>
          <cell r="L14">
            <v>70403092</v>
          </cell>
          <cell r="M14">
            <v>666</v>
          </cell>
          <cell r="N14" t="b">
            <v>0</v>
          </cell>
          <cell r="O14" t="str">
            <v>생트샤펠</v>
          </cell>
          <cell r="P14" t="str">
            <v>종류:종교 건축물</v>
          </cell>
          <cell r="Q14">
            <v>70411016</v>
          </cell>
          <cell r="R14">
            <v>292</v>
          </cell>
          <cell r="S14" t="b">
            <v>0</v>
          </cell>
          <cell r="T14" t="str">
            <v>바이외 태피스트리</v>
          </cell>
          <cell r="U14" t="str">
            <v>종류:미술품</v>
          </cell>
          <cell r="V14">
            <v>70416024</v>
          </cell>
          <cell r="W14">
            <v>24</v>
          </cell>
          <cell r="X14" t="b">
            <v>0</v>
          </cell>
          <cell r="Y14" t="str">
            <v>생 드니의 순교</v>
          </cell>
          <cell r="Z14" t="str">
            <v>종류:미술품</v>
          </cell>
          <cell r="AA14">
            <v>70416032</v>
          </cell>
          <cell r="AB14">
            <v>95</v>
          </cell>
          <cell r="AC14" t="b">
            <v>0</v>
          </cell>
          <cell r="AD14" t="str">
            <v>토끼풀</v>
          </cell>
          <cell r="AE14" t="str">
            <v>종류:쌍자엽</v>
          </cell>
          <cell r="AF14">
            <v>70403130</v>
          </cell>
          <cell r="AG14">
            <v>666</v>
          </cell>
          <cell r="AH14" t="b">
            <v>0</v>
          </cell>
          <cell r="AI14" t="str">
            <v>튤립</v>
          </cell>
          <cell r="AJ14" t="str">
            <v>종류:단자엽</v>
          </cell>
          <cell r="AK14">
            <v>70403132</v>
          </cell>
          <cell r="AL14">
            <v>666</v>
          </cell>
          <cell r="AM14" t="b">
            <v>0</v>
          </cell>
          <cell r="AO14" t="str">
            <v/>
          </cell>
          <cell r="AP14" t="str">
            <v>-</v>
          </cell>
          <cell r="AQ14" t="str">
            <v>-</v>
          </cell>
          <cell r="AR14" t="str">
            <v>-</v>
          </cell>
          <cell r="AT14" t="str">
            <v/>
          </cell>
          <cell r="AU14" t="str">
            <v>-</v>
          </cell>
          <cell r="AV14" t="str">
            <v>-</v>
          </cell>
          <cell r="AW14" t="str">
            <v>-</v>
          </cell>
        </row>
        <row r="15">
          <cell r="B15" t="str">
            <v>##러시아</v>
          </cell>
          <cell r="C15" t="str">
            <v>불가능</v>
          </cell>
          <cell r="D15" t="str">
            <v>딕손 부근</v>
          </cell>
          <cell r="E15" t="str">
            <v>뱀눈나비</v>
          </cell>
          <cell r="F15" t="str">
            <v>종류:무척추동물</v>
          </cell>
          <cell r="G15">
            <v>70404016</v>
          </cell>
          <cell r="H15">
            <v>95</v>
          </cell>
          <cell r="I15" t="b">
            <v>0</v>
          </cell>
          <cell r="J15" t="str">
            <v>검은담비</v>
          </cell>
          <cell r="K15" t="str">
            <v>종류:포유류</v>
          </cell>
          <cell r="L15">
            <v>70406006</v>
          </cell>
          <cell r="M15">
            <v>4</v>
          </cell>
          <cell r="N15" t="b">
            <v>0</v>
          </cell>
          <cell r="O15" t="str">
            <v>이파치예프스키 사본</v>
          </cell>
          <cell r="P15" t="str">
            <v>종류:역사유물</v>
          </cell>
          <cell r="Q15">
            <v>70417152</v>
          </cell>
          <cell r="R15">
            <v>24</v>
          </cell>
          <cell r="S15" t="b">
            <v>0</v>
          </cell>
          <cell r="T15" t="str">
            <v>이카로닉테리스 화석</v>
          </cell>
          <cell r="U15" t="str">
            <v>종류:화석</v>
          </cell>
          <cell r="V15">
            <v>70418028</v>
          </cell>
          <cell r="W15">
            <v>24</v>
          </cell>
          <cell r="X15" t="b">
            <v>0</v>
          </cell>
          <cell r="Y15" t="str">
            <v>신통기</v>
          </cell>
          <cell r="Z15" t="str">
            <v>종류:종교유물</v>
          </cell>
          <cell r="AA15">
            <v>70402072</v>
          </cell>
          <cell r="AB15">
            <v>292</v>
          </cell>
          <cell r="AC15" t="b">
            <v>0</v>
          </cell>
          <cell r="AD15" t="str">
            <v>토끼풀</v>
          </cell>
          <cell r="AE15" t="str">
            <v>종류:쌍자엽</v>
          </cell>
          <cell r="AF15">
            <v>70403130</v>
          </cell>
          <cell r="AG15">
            <v>666</v>
          </cell>
          <cell r="AH15" t="b">
            <v>0</v>
          </cell>
          <cell r="AJ15" t="str">
            <v/>
          </cell>
          <cell r="AK15" t="str">
            <v>-</v>
          </cell>
          <cell r="AL15" t="str">
            <v>-</v>
          </cell>
          <cell r="AM15" t="str">
            <v>-</v>
          </cell>
          <cell r="AO15" t="str">
            <v/>
          </cell>
          <cell r="AP15" t="str">
            <v>-</v>
          </cell>
          <cell r="AQ15" t="str">
            <v>-</v>
          </cell>
          <cell r="AR15" t="str">
            <v>-</v>
          </cell>
          <cell r="AT15" t="str">
            <v/>
          </cell>
          <cell r="AU15" t="str">
            <v>-</v>
          </cell>
          <cell r="AV15" t="str">
            <v>-</v>
          </cell>
          <cell r="AW15" t="str">
            <v>-</v>
          </cell>
        </row>
        <row r="16">
          <cell r="B16" t="str">
            <v>##북유럽</v>
          </cell>
          <cell r="C16" t="str">
            <v>가능</v>
          </cell>
          <cell r="D16" t="str">
            <v>베르겐 부근</v>
          </cell>
          <cell r="E16" t="str">
            <v>바이킹의 철 방패</v>
          </cell>
          <cell r="F16" t="str">
            <v>종류:역사유물</v>
          </cell>
          <cell r="G16">
            <v>70401052</v>
          </cell>
          <cell r="H16">
            <v>666</v>
          </cell>
          <cell r="I16" t="b">
            <v>0</v>
          </cell>
          <cell r="J16" t="str">
            <v>멧돼지</v>
          </cell>
          <cell r="K16" t="str">
            <v>종류:포유류</v>
          </cell>
          <cell r="L16">
            <v>70408016</v>
          </cell>
          <cell r="M16">
            <v>666</v>
          </cell>
          <cell r="N16" t="b">
            <v>0</v>
          </cell>
          <cell r="O16" t="str">
            <v>유럽 들소</v>
          </cell>
          <cell r="P16" t="str">
            <v>종류:포유류</v>
          </cell>
          <cell r="Q16">
            <v>70408046</v>
          </cell>
          <cell r="R16">
            <v>666</v>
          </cell>
          <cell r="S16" t="b">
            <v>0</v>
          </cell>
          <cell r="T16" t="str">
            <v>네덜란드의 속담</v>
          </cell>
          <cell r="U16" t="str">
            <v>종류:미술품</v>
          </cell>
          <cell r="V16">
            <v>70416008</v>
          </cell>
          <cell r="W16">
            <v>24</v>
          </cell>
          <cell r="X16" t="b">
            <v>0</v>
          </cell>
          <cell r="Y16" t="str">
            <v>레밍</v>
          </cell>
          <cell r="Z16" t="str">
            <v>종류:포유류</v>
          </cell>
          <cell r="AA16">
            <v>70406028</v>
          </cell>
          <cell r="AB16">
            <v>666</v>
          </cell>
          <cell r="AC16" t="b">
            <v>0</v>
          </cell>
          <cell r="AD16" t="str">
            <v>젤링 비석</v>
          </cell>
          <cell r="AE16" t="str">
            <v>종류:종교유물</v>
          </cell>
          <cell r="AF16">
            <v>70402119</v>
          </cell>
          <cell r="AG16">
            <v>292</v>
          </cell>
          <cell r="AH16" t="b">
            <v>0</v>
          </cell>
          <cell r="AI16" t="str">
            <v>토끼풀</v>
          </cell>
          <cell r="AJ16" t="str">
            <v>종류:쌍자엽</v>
          </cell>
          <cell r="AK16">
            <v>70403130</v>
          </cell>
          <cell r="AL16">
            <v>666</v>
          </cell>
          <cell r="AM16" t="b">
            <v>0</v>
          </cell>
          <cell r="AO16" t="str">
            <v/>
          </cell>
          <cell r="AP16" t="str">
            <v>-</v>
          </cell>
          <cell r="AQ16" t="str">
            <v>-</v>
          </cell>
          <cell r="AR16" t="str">
            <v>-</v>
          </cell>
          <cell r="AT16" t="str">
            <v/>
          </cell>
          <cell r="AU16" t="str">
            <v>-</v>
          </cell>
          <cell r="AV16" t="str">
            <v>-</v>
          </cell>
          <cell r="AW16" t="str">
            <v>-</v>
          </cell>
        </row>
        <row r="17">
          <cell r="B17" t="str">
            <v>##스칸디나비아 반도 북부</v>
          </cell>
          <cell r="C17" t="str">
            <v>불가능</v>
          </cell>
          <cell r="D17" t="str">
            <v>나르비크 부근</v>
          </cell>
          <cell r="E17" t="str">
            <v>자작나무</v>
          </cell>
          <cell r="F17" t="str">
            <v>종류:쌍자엽</v>
          </cell>
          <cell r="G17">
            <v>70403113</v>
          </cell>
          <cell r="H17">
            <v>95</v>
          </cell>
          <cell r="I17" t="b">
            <v>0</v>
          </cell>
          <cell r="J17" t="str">
            <v>스라소니</v>
          </cell>
          <cell r="K17" t="str">
            <v>종류:포유류</v>
          </cell>
          <cell r="L17">
            <v>70407047</v>
          </cell>
          <cell r="M17">
            <v>24</v>
          </cell>
          <cell r="N17" t="b">
            <v>0</v>
          </cell>
          <cell r="O17" t="str">
            <v>린디스판 복음서</v>
          </cell>
          <cell r="P17" t="str">
            <v>종류:종교유물</v>
          </cell>
          <cell r="Q17">
            <v>70417048</v>
          </cell>
          <cell r="R17">
            <v>24</v>
          </cell>
          <cell r="S17" t="b">
            <v>0</v>
          </cell>
          <cell r="T17" t="str">
            <v>구슬레</v>
          </cell>
          <cell r="U17" t="str">
            <v>종류:보물</v>
          </cell>
          <cell r="V17">
            <v>70417013</v>
          </cell>
          <cell r="W17">
            <v>292</v>
          </cell>
          <cell r="X17" t="b">
            <v>0</v>
          </cell>
          <cell r="Y17" t="str">
            <v>룬문자 비석</v>
          </cell>
          <cell r="Z17" t="str">
            <v>종류:역사유물</v>
          </cell>
          <cell r="AA17">
            <v>70401036</v>
          </cell>
          <cell r="AB17">
            <v>4</v>
          </cell>
          <cell r="AC17" t="b">
            <v>0</v>
          </cell>
          <cell r="AD17" t="str">
            <v>토끼풀</v>
          </cell>
          <cell r="AE17" t="str">
            <v>종류:쌍자엽</v>
          </cell>
          <cell r="AF17">
            <v>70403130</v>
          </cell>
          <cell r="AG17">
            <v>666</v>
          </cell>
          <cell r="AH17" t="b">
            <v>0</v>
          </cell>
          <cell r="AJ17" t="str">
            <v/>
          </cell>
          <cell r="AK17" t="str">
            <v>-</v>
          </cell>
          <cell r="AL17" t="str">
            <v>-</v>
          </cell>
          <cell r="AM17" t="str">
            <v>-</v>
          </cell>
          <cell r="AO17" t="str">
            <v/>
          </cell>
          <cell r="AP17" t="str">
            <v>-</v>
          </cell>
          <cell r="AQ17" t="str">
            <v>-</v>
          </cell>
          <cell r="AR17" t="str">
            <v>-</v>
          </cell>
          <cell r="AT17" t="str">
            <v/>
          </cell>
          <cell r="AU17" t="str">
            <v>-</v>
          </cell>
          <cell r="AV17" t="str">
            <v>-</v>
          </cell>
          <cell r="AW17" t="str">
            <v>-</v>
          </cell>
        </row>
        <row r="18">
          <cell r="B18" t="str">
            <v>##브리튼</v>
          </cell>
          <cell r="C18" t="str">
            <v>가능</v>
          </cell>
          <cell r="D18" t="str">
            <v>런던 부근</v>
          </cell>
          <cell r="E18" t="str">
            <v>만쿠니움 요새</v>
          </cell>
          <cell r="F18" t="str">
            <v>종류:사적</v>
          </cell>
          <cell r="G18">
            <v>70410021</v>
          </cell>
          <cell r="H18">
            <v>666</v>
          </cell>
          <cell r="I18" t="b">
            <v>0</v>
          </cell>
          <cell r="J18" t="str">
            <v>장궁</v>
          </cell>
          <cell r="K18" t="str">
            <v>종류:역사유물</v>
          </cell>
          <cell r="L18">
            <v>70417160</v>
          </cell>
          <cell r="M18">
            <v>666</v>
          </cell>
          <cell r="N18" t="b">
            <v>0</v>
          </cell>
          <cell r="O18" t="str">
            <v>토끼풀</v>
          </cell>
          <cell r="P18" t="str">
            <v>종류:쌍자엽</v>
          </cell>
          <cell r="Q18">
            <v>70403130</v>
          </cell>
          <cell r="R18">
            <v>666</v>
          </cell>
          <cell r="S18" t="b">
            <v>0</v>
          </cell>
          <cell r="T18" t="str">
            <v>루이스의 체스 기물</v>
          </cell>
          <cell r="U18" t="str">
            <v>종류:보물</v>
          </cell>
          <cell r="V18">
            <v>70417045</v>
          </cell>
          <cell r="W18">
            <v>292</v>
          </cell>
          <cell r="X18" t="b">
            <v>0</v>
          </cell>
          <cell r="Y18" t="str">
            <v>소네트집</v>
          </cell>
          <cell r="Z18" t="str">
            <v>종류:보물</v>
          </cell>
          <cell r="AA18">
            <v>70417099</v>
          </cell>
          <cell r="AB18">
            <v>24</v>
          </cell>
          <cell r="AC18" t="b">
            <v>0</v>
          </cell>
          <cell r="AD18" t="str">
            <v>힌튼 세인트 메리 모자이크</v>
          </cell>
          <cell r="AE18" t="str">
            <v>종류:미술품</v>
          </cell>
          <cell r="AF18">
            <v>70416075</v>
          </cell>
          <cell r="AG18">
            <v>292</v>
          </cell>
          <cell r="AH18" t="b">
            <v>0</v>
          </cell>
          <cell r="AI18" t="str">
            <v>붉은사슴</v>
          </cell>
          <cell r="AJ18" t="str">
            <v>종류:포유류</v>
          </cell>
          <cell r="AK18">
            <v>70407038</v>
          </cell>
          <cell r="AL18">
            <v>666</v>
          </cell>
          <cell r="AM18" t="b">
            <v>0</v>
          </cell>
          <cell r="AO18" t="str">
            <v/>
          </cell>
          <cell r="AP18" t="str">
            <v>-</v>
          </cell>
          <cell r="AQ18" t="str">
            <v>-</v>
          </cell>
          <cell r="AR18" t="str">
            <v>-</v>
          </cell>
          <cell r="AT18" t="str">
            <v/>
          </cell>
          <cell r="AU18" t="str">
            <v>-</v>
          </cell>
          <cell r="AV18" t="str">
            <v>-</v>
          </cell>
          <cell r="AW18" t="str">
            <v>-</v>
          </cell>
        </row>
        <row r="19">
          <cell r="B19" t="str">
            <v>##독일</v>
          </cell>
          <cell r="C19" t="str">
            <v>가능</v>
          </cell>
          <cell r="D19" t="str">
            <v>암스테르담 부근</v>
          </cell>
          <cell r="E19" t="str">
            <v>토끼풀</v>
          </cell>
          <cell r="F19" t="str">
            <v>종류:쌍자엽</v>
          </cell>
          <cell r="G19">
            <v>70403130</v>
          </cell>
          <cell r="H19">
            <v>666</v>
          </cell>
          <cell r="I19" t="b">
            <v>0</v>
          </cell>
          <cell r="J19" t="str">
            <v>리어 팔</v>
          </cell>
          <cell r="K19" t="str">
            <v>종류:보물</v>
          </cell>
          <cell r="L19">
            <v>70417047</v>
          </cell>
          <cell r="M19">
            <v>292</v>
          </cell>
          <cell r="N19" t="b">
            <v>0</v>
          </cell>
          <cell r="O19" t="str">
            <v>더로우의 서</v>
          </cell>
          <cell r="P19" t="str">
            <v>종류:보물</v>
          </cell>
          <cell r="Q19">
            <v>70417032</v>
          </cell>
          <cell r="R19">
            <v>292</v>
          </cell>
          <cell r="S19" t="b">
            <v>0</v>
          </cell>
          <cell r="T19" t="str">
            <v>4명의 사도</v>
          </cell>
          <cell r="U19" t="str">
            <v>종류:미술품</v>
          </cell>
          <cell r="V19">
            <v>70416007</v>
          </cell>
          <cell r="W19">
            <v>24</v>
          </cell>
          <cell r="X19" t="b">
            <v>0</v>
          </cell>
          <cell r="Y19" t="str">
            <v>카네이션</v>
          </cell>
          <cell r="Z19" t="str">
            <v>종류:쌍자엽</v>
          </cell>
          <cell r="AA19">
            <v>70403120</v>
          </cell>
          <cell r="AB19">
            <v>666</v>
          </cell>
          <cell r="AC19" t="b">
            <v>0</v>
          </cell>
          <cell r="AD19" t="str">
            <v>수켈루스 신상</v>
          </cell>
          <cell r="AE19" t="str">
            <v>종류:종교유물</v>
          </cell>
          <cell r="AF19">
            <v>70402066</v>
          </cell>
          <cell r="AG19">
            <v>666</v>
          </cell>
          <cell r="AH19" t="b">
            <v>0</v>
          </cell>
          <cell r="AJ19" t="str">
            <v/>
          </cell>
          <cell r="AK19" t="str">
            <v>-</v>
          </cell>
          <cell r="AL19" t="str">
            <v>-</v>
          </cell>
          <cell r="AM19" t="str">
            <v>-</v>
          </cell>
          <cell r="AO19" t="str">
            <v/>
          </cell>
          <cell r="AP19" t="str">
            <v>-</v>
          </cell>
          <cell r="AQ19" t="str">
            <v>-</v>
          </cell>
          <cell r="AR19" t="str">
            <v>-</v>
          </cell>
          <cell r="AT19" t="str">
            <v/>
          </cell>
          <cell r="AU19" t="str">
            <v>-</v>
          </cell>
          <cell r="AV19" t="str">
            <v>-</v>
          </cell>
          <cell r="AW19" t="str">
            <v>-</v>
          </cell>
        </row>
        <row r="20">
          <cell r="B20" t="str">
            <v>##아이슬란드 남부</v>
          </cell>
          <cell r="C20" t="str">
            <v>가능</v>
          </cell>
          <cell r="D20" t="str">
            <v>아이슬란드 남부</v>
          </cell>
          <cell r="E20" t="str">
            <v>헤임스크링글라</v>
          </cell>
          <cell r="F20" t="str">
            <v>종류:역사유물</v>
          </cell>
          <cell r="G20">
            <v>70401187</v>
          </cell>
          <cell r="H20">
            <v>4</v>
          </cell>
          <cell r="I20" t="b">
            <v>0</v>
          </cell>
          <cell r="J20" t="str">
            <v>고리무늬물범</v>
          </cell>
          <cell r="K20" t="str">
            <v>종류:포유류</v>
          </cell>
          <cell r="L20">
            <v>70407006</v>
          </cell>
          <cell r="M20">
            <v>24</v>
          </cell>
          <cell r="N20" t="b">
            <v>0</v>
          </cell>
          <cell r="O20" t="str">
            <v>암모나이트류 화석</v>
          </cell>
          <cell r="P20" t="str">
            <v>종류:화석</v>
          </cell>
          <cell r="Q20">
            <v>70418024</v>
          </cell>
          <cell r="R20">
            <v>95</v>
          </cell>
          <cell r="S20" t="b">
            <v>0</v>
          </cell>
          <cell r="U20" t="str">
            <v/>
          </cell>
          <cell r="V20" t="str">
            <v>-</v>
          </cell>
          <cell r="W20" t="str">
            <v>-</v>
          </cell>
          <cell r="X20" t="str">
            <v>-</v>
          </cell>
          <cell r="Z20" t="str">
            <v/>
          </cell>
          <cell r="AA20" t="str">
            <v>-</v>
          </cell>
          <cell r="AB20" t="str">
            <v>-</v>
          </cell>
          <cell r="AC20" t="str">
            <v>-</v>
          </cell>
          <cell r="AE20" t="str">
            <v/>
          </cell>
          <cell r="AF20" t="str">
            <v>-</v>
          </cell>
          <cell r="AG20" t="str">
            <v>-</v>
          </cell>
          <cell r="AH20" t="str">
            <v>-</v>
          </cell>
          <cell r="AJ20" t="str">
            <v/>
          </cell>
          <cell r="AK20" t="str">
            <v>-</v>
          </cell>
          <cell r="AL20" t="str">
            <v>-</v>
          </cell>
          <cell r="AM20" t="str">
            <v>-</v>
          </cell>
          <cell r="AO20" t="str">
            <v/>
          </cell>
          <cell r="AP20" t="str">
            <v>-</v>
          </cell>
          <cell r="AQ20" t="str">
            <v>-</v>
          </cell>
          <cell r="AR20" t="str">
            <v>-</v>
          </cell>
          <cell r="AT20" t="str">
            <v/>
          </cell>
          <cell r="AU20" t="str">
            <v>-</v>
          </cell>
          <cell r="AV20" t="str">
            <v>-</v>
          </cell>
          <cell r="AW20" t="str">
            <v>-</v>
          </cell>
        </row>
        <row r="21">
          <cell r="B21" t="str">
            <v>##흑해</v>
          </cell>
          <cell r="C21" t="str">
            <v>가능</v>
          </cell>
          <cell r="D21" t="str">
            <v>케르치 부근</v>
          </cell>
          <cell r="E21" t="str">
            <v>다즈보그의 부조</v>
          </cell>
          <cell r="F21" t="str">
            <v>종류:종교유물</v>
          </cell>
          <cell r="G21">
            <v>70402021</v>
          </cell>
          <cell r="H21">
            <v>95</v>
          </cell>
          <cell r="I21" t="b">
            <v>0</v>
          </cell>
          <cell r="J21" t="str">
            <v>히타이트 조약문</v>
          </cell>
          <cell r="K21" t="str">
            <v>종류:역사유물</v>
          </cell>
          <cell r="L21">
            <v>70401196</v>
          </cell>
          <cell r="M21">
            <v>24</v>
          </cell>
          <cell r="N21" t="b">
            <v>0</v>
          </cell>
          <cell r="O21" t="str">
            <v>페룬의 목상</v>
          </cell>
          <cell r="P21" t="str">
            <v>종류:종교유물</v>
          </cell>
          <cell r="Q21">
            <v>70402149</v>
          </cell>
          <cell r="R21">
            <v>95</v>
          </cell>
          <cell r="S21" t="b">
            <v>0</v>
          </cell>
          <cell r="T21" t="str">
            <v>공작 브로치</v>
          </cell>
          <cell r="U21" t="str">
            <v>종류:보물</v>
          </cell>
          <cell r="V21">
            <v>70417011</v>
          </cell>
          <cell r="W21">
            <v>292</v>
          </cell>
          <cell r="X21" t="b">
            <v>0</v>
          </cell>
          <cell r="Y21" t="str">
            <v>토끼풀</v>
          </cell>
          <cell r="Z21" t="str">
            <v>종류:쌍자엽</v>
          </cell>
          <cell r="AA21">
            <v>70403130</v>
          </cell>
          <cell r="AB21">
            <v>666</v>
          </cell>
          <cell r="AC21" t="b">
            <v>0</v>
          </cell>
          <cell r="AE21" t="str">
            <v/>
          </cell>
          <cell r="AF21" t="str">
            <v>-</v>
          </cell>
          <cell r="AG21" t="str">
            <v>-</v>
          </cell>
          <cell r="AH21" t="str">
            <v>-</v>
          </cell>
          <cell r="AJ21" t="str">
            <v/>
          </cell>
          <cell r="AK21" t="str">
            <v>-</v>
          </cell>
          <cell r="AL21" t="str">
            <v>-</v>
          </cell>
          <cell r="AM21" t="str">
            <v>-</v>
          </cell>
          <cell r="AO21" t="str">
            <v/>
          </cell>
          <cell r="AP21" t="str">
            <v>-</v>
          </cell>
          <cell r="AQ21" t="str">
            <v>-</v>
          </cell>
          <cell r="AR21" t="str">
            <v>-</v>
          </cell>
          <cell r="AT21" t="str">
            <v/>
          </cell>
          <cell r="AU21" t="str">
            <v>-</v>
          </cell>
          <cell r="AV21" t="str">
            <v>-</v>
          </cell>
          <cell r="AW21" t="str">
            <v>-</v>
          </cell>
        </row>
        <row r="22">
          <cell r="B22" t="str">
            <v>##발트해</v>
          </cell>
          <cell r="C22" t="str">
            <v>가능</v>
          </cell>
          <cell r="D22" t="str">
            <v>스톡홀름 부근</v>
          </cell>
          <cell r="E22" t="str">
            <v>붉은 에이리크 사가</v>
          </cell>
          <cell r="F22" t="str">
            <v>종류:보물</v>
          </cell>
          <cell r="G22">
            <v>70417077</v>
          </cell>
          <cell r="H22">
            <v>95</v>
          </cell>
          <cell r="I22" t="b">
            <v>0</v>
          </cell>
          <cell r="J22" t="str">
            <v>뇌조</v>
          </cell>
          <cell r="K22" t="str">
            <v>종류:조류</v>
          </cell>
          <cell r="L22">
            <v>70405026</v>
          </cell>
          <cell r="M22">
            <v>95</v>
          </cell>
          <cell r="N22" t="b">
            <v>0</v>
          </cell>
          <cell r="O22" t="str">
            <v>오록스</v>
          </cell>
          <cell r="P22" t="str">
            <v>종류:포유류</v>
          </cell>
          <cell r="Q22">
            <v>70408044</v>
          </cell>
          <cell r="R22">
            <v>292</v>
          </cell>
          <cell r="S22" t="b">
            <v>0</v>
          </cell>
          <cell r="T22" t="str">
            <v>큰바다쇠오리</v>
          </cell>
          <cell r="U22" t="str">
            <v>종류:조류</v>
          </cell>
          <cell r="V22">
            <v>70405095</v>
          </cell>
          <cell r="W22">
            <v>24</v>
          </cell>
          <cell r="X22" t="b">
            <v>0</v>
          </cell>
          <cell r="Y22" t="str">
            <v>귀부인의 드레스</v>
          </cell>
          <cell r="Z22" t="str">
            <v>종류:보물</v>
          </cell>
          <cell r="AA22">
            <v>70417015</v>
          </cell>
          <cell r="AB22">
            <v>292</v>
          </cell>
          <cell r="AC22" t="b">
            <v>0</v>
          </cell>
          <cell r="AD22" t="str">
            <v>피오르</v>
          </cell>
          <cell r="AE22" t="str">
            <v>종류:지리</v>
          </cell>
          <cell r="AF22">
            <v>70413362</v>
          </cell>
          <cell r="AG22">
            <v>292</v>
          </cell>
          <cell r="AH22" t="b">
            <v>0</v>
          </cell>
          <cell r="AJ22" t="str">
            <v/>
          </cell>
          <cell r="AK22" t="str">
            <v>-</v>
          </cell>
          <cell r="AL22" t="str">
            <v>-</v>
          </cell>
          <cell r="AM22" t="str">
            <v>-</v>
          </cell>
          <cell r="AO22" t="str">
            <v/>
          </cell>
          <cell r="AP22" t="str">
            <v>-</v>
          </cell>
          <cell r="AQ22" t="str">
            <v>-</v>
          </cell>
          <cell r="AR22" t="str">
            <v>-</v>
          </cell>
          <cell r="AT22" t="str">
            <v/>
          </cell>
          <cell r="AU22" t="str">
            <v>-</v>
          </cell>
          <cell r="AV22" t="str">
            <v>-</v>
          </cell>
          <cell r="AW22" t="str">
            <v>-</v>
          </cell>
        </row>
        <row r="23">
          <cell r="B23" t="str">
            <v>##북아프리카(서)</v>
          </cell>
          <cell r="C23" t="str">
            <v>가능</v>
          </cell>
          <cell r="D23" t="str">
            <v>카사블랑카 부근</v>
          </cell>
          <cell r="E23" t="str">
            <v>새우 화석</v>
          </cell>
          <cell r="F23" t="str">
            <v>종류:화석</v>
          </cell>
          <cell r="G23">
            <v>70418020</v>
          </cell>
          <cell r="H23">
            <v>666</v>
          </cell>
          <cell r="I23" t="b">
            <v>0</v>
          </cell>
          <cell r="J23" t="str">
            <v>아자와크</v>
          </cell>
          <cell r="K23" t="str">
            <v>종류:포유류</v>
          </cell>
          <cell r="L23">
            <v>70407055</v>
          </cell>
          <cell r="M23">
            <v>292</v>
          </cell>
          <cell r="N23" t="b">
            <v>0</v>
          </cell>
          <cell r="O23" t="str">
            <v>세네트</v>
          </cell>
          <cell r="P23" t="str">
            <v>종류:보물</v>
          </cell>
          <cell r="Q23">
            <v>70417097</v>
          </cell>
          <cell r="R23">
            <v>292</v>
          </cell>
          <cell r="S23" t="b">
            <v>0</v>
          </cell>
          <cell r="T23" t="str">
            <v>자칼</v>
          </cell>
          <cell r="U23" t="str">
            <v>종류:포유류</v>
          </cell>
          <cell r="V23">
            <v>70407073</v>
          </cell>
          <cell r="W23">
            <v>666</v>
          </cell>
          <cell r="X23" t="b">
            <v>0</v>
          </cell>
          <cell r="Y23" t="str">
            <v>크눔상</v>
          </cell>
          <cell r="Z23" t="str">
            <v>종류:종교유물</v>
          </cell>
          <cell r="AA23">
            <v>70402138</v>
          </cell>
          <cell r="AB23">
            <v>24</v>
          </cell>
          <cell r="AC23" t="b">
            <v>0</v>
          </cell>
          <cell r="AD23" t="str">
            <v>토끼풀</v>
          </cell>
          <cell r="AE23" t="str">
            <v>종류:쌍자엽</v>
          </cell>
          <cell r="AF23">
            <v>70403130</v>
          </cell>
          <cell r="AG23">
            <v>666</v>
          </cell>
          <cell r="AH23" t="b">
            <v>0</v>
          </cell>
          <cell r="AI23" t="str">
            <v>이집트의 벽화</v>
          </cell>
          <cell r="AJ23" t="str">
            <v>종류:역사유물</v>
          </cell>
          <cell r="AK23">
            <v>70401124</v>
          </cell>
          <cell r="AL23">
            <v>666</v>
          </cell>
          <cell r="AM23" t="b">
            <v>0</v>
          </cell>
          <cell r="AO23" t="str">
            <v/>
          </cell>
          <cell r="AP23" t="str">
            <v>-</v>
          </cell>
          <cell r="AQ23" t="str">
            <v>-</v>
          </cell>
          <cell r="AR23" t="str">
            <v>-</v>
          </cell>
          <cell r="AT23" t="str">
            <v/>
          </cell>
          <cell r="AU23" t="str">
            <v>-</v>
          </cell>
          <cell r="AV23" t="str">
            <v>-</v>
          </cell>
          <cell r="AW23" t="str">
            <v>-</v>
          </cell>
        </row>
        <row r="24">
          <cell r="B24" t="str">
            <v>##북아프리카(동)</v>
          </cell>
          <cell r="C24" t="str">
            <v>가능</v>
          </cell>
          <cell r="D24" t="str">
            <v>알이스칸다리야 부근</v>
          </cell>
          <cell r="E24" t="str">
            <v>렙티스마그나의 비너스상</v>
          </cell>
          <cell r="F24" t="str">
            <v>종류:미술품</v>
          </cell>
          <cell r="G24">
            <v>70401030</v>
          </cell>
          <cell r="H24">
            <v>292</v>
          </cell>
          <cell r="I24" t="b">
            <v>0</v>
          </cell>
          <cell r="J24" t="str">
            <v>바바리양</v>
          </cell>
          <cell r="K24" t="str">
            <v>종류:포유류</v>
          </cell>
          <cell r="L24">
            <v>70407030</v>
          </cell>
          <cell r="M24">
            <v>666</v>
          </cell>
          <cell r="N24" t="b">
            <v>0</v>
          </cell>
          <cell r="O24" t="str">
            <v>타실리 나제르</v>
          </cell>
          <cell r="P24" t="str">
            <v>종류:사적</v>
          </cell>
          <cell r="Q24">
            <v>70410073</v>
          </cell>
          <cell r="R24">
            <v>666</v>
          </cell>
          <cell r="S24" t="b">
            <v>0</v>
          </cell>
          <cell r="T24" t="str">
            <v>카노푸스 단지</v>
          </cell>
          <cell r="U24" t="str">
            <v>종류:역사유물</v>
          </cell>
          <cell r="V24">
            <v>70401144</v>
          </cell>
          <cell r="W24">
            <v>666</v>
          </cell>
          <cell r="X24" t="b">
            <v>0</v>
          </cell>
          <cell r="Y24" t="str">
            <v>토끼풀</v>
          </cell>
          <cell r="Z24" t="str">
            <v>종류:쌍자엽</v>
          </cell>
          <cell r="AA24">
            <v>70403130</v>
          </cell>
          <cell r="AB24">
            <v>666</v>
          </cell>
          <cell r="AC24" t="b">
            <v>0</v>
          </cell>
          <cell r="AD24" t="str">
            <v>낙타거미</v>
          </cell>
          <cell r="AE24" t="str">
            <v>종류:무척추동물</v>
          </cell>
          <cell r="AF24">
            <v>70406014</v>
          </cell>
          <cell r="AG24">
            <v>24</v>
          </cell>
          <cell r="AH24" t="b">
            <v>0</v>
          </cell>
          <cell r="AI24" t="str">
            <v>이집트문자의 석판</v>
          </cell>
          <cell r="AJ24" t="str">
            <v>종류:역사유물</v>
          </cell>
          <cell r="AK24">
            <v>70401123</v>
          </cell>
          <cell r="AL24">
            <v>292</v>
          </cell>
          <cell r="AM24" t="b">
            <v>0</v>
          </cell>
          <cell r="AO24" t="str">
            <v/>
          </cell>
          <cell r="AP24" t="str">
            <v>-</v>
          </cell>
          <cell r="AQ24" t="str">
            <v>-</v>
          </cell>
          <cell r="AR24" t="str">
            <v>-</v>
          </cell>
          <cell r="AT24" t="str">
            <v/>
          </cell>
          <cell r="AU24" t="str">
            <v>-</v>
          </cell>
          <cell r="AV24" t="str">
            <v>-</v>
          </cell>
          <cell r="AW24" t="str">
            <v>-</v>
          </cell>
        </row>
        <row r="25">
          <cell r="B25" t="str">
            <v>##서아프리카(북)</v>
          </cell>
          <cell r="C25" t="str">
            <v>가능</v>
          </cell>
          <cell r="D25" t="str">
            <v>아르김 부근</v>
          </cell>
          <cell r="E25" t="str">
            <v>잘모키스제비나비</v>
          </cell>
          <cell r="F25" t="str">
            <v>종류:무척추동물</v>
          </cell>
          <cell r="G25">
            <v>70404033</v>
          </cell>
          <cell r="H25">
            <v>292</v>
          </cell>
          <cell r="I25" t="b">
            <v>0</v>
          </cell>
          <cell r="J25" t="str">
            <v>아카쿠스 암각화 유적</v>
          </cell>
          <cell r="K25" t="str">
            <v>종류:사적</v>
          </cell>
          <cell r="L25">
            <v>70410041</v>
          </cell>
          <cell r="M25">
            <v>666</v>
          </cell>
          <cell r="N25" t="b">
            <v>0</v>
          </cell>
          <cell r="O25" t="str">
            <v>사막뿔살무사</v>
          </cell>
          <cell r="P25" t="str">
            <v>종류:파충류</v>
          </cell>
          <cell r="Q25">
            <v>70406050</v>
          </cell>
          <cell r="R25">
            <v>666</v>
          </cell>
          <cell r="S25" t="b">
            <v>0</v>
          </cell>
          <cell r="T25" t="str">
            <v>사하라</v>
          </cell>
          <cell r="U25" t="str">
            <v>종류:지리</v>
          </cell>
          <cell r="V25">
            <v>70413157</v>
          </cell>
          <cell r="W25">
            <v>292</v>
          </cell>
          <cell r="X25" t="b">
            <v>0</v>
          </cell>
          <cell r="Y25" t="str">
            <v>라켓 쏙독새</v>
          </cell>
          <cell r="Z25" t="str">
            <v>종류:조류</v>
          </cell>
          <cell r="AA25">
            <v>70405035</v>
          </cell>
          <cell r="AB25">
            <v>24</v>
          </cell>
          <cell r="AC25" t="b">
            <v>0</v>
          </cell>
          <cell r="AD25" t="str">
            <v>이집트 독수리</v>
          </cell>
          <cell r="AE25" t="str">
            <v>종류:조류</v>
          </cell>
          <cell r="AF25">
            <v>70405076</v>
          </cell>
          <cell r="AG25">
            <v>666</v>
          </cell>
          <cell r="AH25" t="b">
            <v>0</v>
          </cell>
          <cell r="AI25" t="str">
            <v>상아 피리</v>
          </cell>
          <cell r="AJ25" t="str">
            <v>종류:보물</v>
          </cell>
          <cell r="AK25">
            <v>70417089</v>
          </cell>
          <cell r="AL25">
            <v>292</v>
          </cell>
          <cell r="AM25" t="b">
            <v>0</v>
          </cell>
          <cell r="AO25" t="str">
            <v/>
          </cell>
          <cell r="AP25" t="str">
            <v>-</v>
          </cell>
          <cell r="AQ25" t="str">
            <v>-</v>
          </cell>
          <cell r="AR25" t="str">
            <v>-</v>
          </cell>
          <cell r="AT25" t="str">
            <v/>
          </cell>
          <cell r="AU25" t="str">
            <v>-</v>
          </cell>
          <cell r="AV25" t="str">
            <v>-</v>
          </cell>
          <cell r="AW25" t="str">
            <v>-</v>
          </cell>
        </row>
        <row r="26">
          <cell r="B26" t="str">
            <v>##서아프리카</v>
          </cell>
          <cell r="C26" t="str">
            <v>가능</v>
          </cell>
          <cell r="D26" t="str">
            <v>베냉 부근</v>
          </cell>
          <cell r="E26" t="str">
            <v>부두교의 십자가</v>
          </cell>
          <cell r="F26" t="str">
            <v>종류:종교유물</v>
          </cell>
          <cell r="G26">
            <v>70402043</v>
          </cell>
          <cell r="H26">
            <v>95</v>
          </cell>
          <cell r="I26" t="b">
            <v>0</v>
          </cell>
          <cell r="J26" t="str">
            <v>봉고</v>
          </cell>
          <cell r="K26" t="str">
            <v>종류:포유류</v>
          </cell>
          <cell r="L26">
            <v>70407034</v>
          </cell>
          <cell r="M26">
            <v>666</v>
          </cell>
          <cell r="N26" t="b">
            <v>0</v>
          </cell>
          <cell r="O26" t="str">
            <v>벌거숭이뻐드렁니쥐</v>
          </cell>
          <cell r="P26" t="str">
            <v>종류:포유류</v>
          </cell>
          <cell r="Q26">
            <v>70406041</v>
          </cell>
          <cell r="R26">
            <v>292</v>
          </cell>
          <cell r="S26" t="b">
            <v>0</v>
          </cell>
          <cell r="T26" t="str">
            <v>부두교의 제단</v>
          </cell>
          <cell r="U26" t="str">
            <v>종류:종교유물</v>
          </cell>
          <cell r="V26">
            <v>70402044</v>
          </cell>
          <cell r="W26">
            <v>666</v>
          </cell>
          <cell r="X26" t="b">
            <v>0</v>
          </cell>
          <cell r="Y26" t="str">
            <v>스피팅코브라</v>
          </cell>
          <cell r="Z26" t="str">
            <v>종류:파충류</v>
          </cell>
          <cell r="AA26">
            <v>70406060</v>
          </cell>
          <cell r="AB26">
            <v>95</v>
          </cell>
          <cell r="AC26" t="b">
            <v>0</v>
          </cell>
          <cell r="AD26" t="str">
            <v>오니안코폰상</v>
          </cell>
          <cell r="AE26" t="str">
            <v>종류:종교유물</v>
          </cell>
          <cell r="AF26">
            <v>70402097</v>
          </cell>
          <cell r="AG26">
            <v>24</v>
          </cell>
          <cell r="AH26" t="b">
            <v>0</v>
          </cell>
          <cell r="AJ26" t="str">
            <v/>
          </cell>
          <cell r="AK26" t="str">
            <v>-</v>
          </cell>
          <cell r="AL26" t="str">
            <v>-</v>
          </cell>
          <cell r="AM26" t="str">
            <v>-</v>
          </cell>
          <cell r="AO26" t="str">
            <v/>
          </cell>
          <cell r="AP26" t="str">
            <v>-</v>
          </cell>
          <cell r="AQ26" t="str">
            <v>-</v>
          </cell>
          <cell r="AR26" t="str">
            <v>-</v>
          </cell>
          <cell r="AT26" t="str">
            <v/>
          </cell>
          <cell r="AU26" t="str">
            <v>-</v>
          </cell>
          <cell r="AV26" t="str">
            <v>-</v>
          </cell>
          <cell r="AW26" t="str">
            <v>-</v>
          </cell>
        </row>
        <row r="27">
          <cell r="B27" t="str">
            <v>##나이저강</v>
          </cell>
          <cell r="C27" t="str">
            <v>가능</v>
          </cell>
          <cell r="D27" t="str">
            <v>팀북투 부근</v>
          </cell>
          <cell r="E27" t="str">
            <v>호로새</v>
          </cell>
          <cell r="F27" t="str">
            <v>종류:조류</v>
          </cell>
          <cell r="G27">
            <v>70405112</v>
          </cell>
          <cell r="H27">
            <v>666</v>
          </cell>
          <cell r="I27" t="b">
            <v>0</v>
          </cell>
          <cell r="J27" t="str">
            <v>고릴라</v>
          </cell>
          <cell r="K27" t="str">
            <v>종류:포유류</v>
          </cell>
          <cell r="L27">
            <v>70408001</v>
          </cell>
          <cell r="M27">
            <v>95</v>
          </cell>
          <cell r="N27" t="b">
            <v>0</v>
          </cell>
          <cell r="O27" t="str">
            <v>파타스원숭이</v>
          </cell>
          <cell r="P27" t="str">
            <v>종류:포유류</v>
          </cell>
          <cell r="Q27">
            <v>70407093</v>
          </cell>
          <cell r="R27">
            <v>666</v>
          </cell>
          <cell r="S27" t="b">
            <v>0</v>
          </cell>
          <cell r="T27" t="str">
            <v>서발</v>
          </cell>
          <cell r="U27" t="str">
            <v>종류:포유류</v>
          </cell>
          <cell r="V27">
            <v>70407045</v>
          </cell>
          <cell r="W27">
            <v>666</v>
          </cell>
          <cell r="X27" t="b">
            <v>0</v>
          </cell>
          <cell r="Y27" t="str">
            <v>혹멧돼지</v>
          </cell>
          <cell r="Z27" t="str">
            <v>종류:포유류</v>
          </cell>
          <cell r="AA27">
            <v>70407103</v>
          </cell>
          <cell r="AB27">
            <v>292</v>
          </cell>
          <cell r="AC27" t="b">
            <v>0</v>
          </cell>
          <cell r="AD27" t="str">
            <v>애기하마</v>
          </cell>
          <cell r="AE27" t="str">
            <v>종류:포유류</v>
          </cell>
          <cell r="AF27">
            <v>70407056</v>
          </cell>
          <cell r="AG27">
            <v>24</v>
          </cell>
          <cell r="AH27" t="b">
            <v>0</v>
          </cell>
          <cell r="AJ27" t="str">
            <v/>
          </cell>
          <cell r="AK27" t="str">
            <v>-</v>
          </cell>
          <cell r="AL27" t="str">
            <v>-</v>
          </cell>
          <cell r="AM27" t="str">
            <v>-</v>
          </cell>
          <cell r="AO27" t="str">
            <v/>
          </cell>
          <cell r="AP27" t="str">
            <v>-</v>
          </cell>
          <cell r="AQ27" t="str">
            <v>-</v>
          </cell>
          <cell r="AR27" t="str">
            <v>-</v>
          </cell>
          <cell r="AT27" t="str">
            <v/>
          </cell>
          <cell r="AU27" t="str">
            <v>-</v>
          </cell>
          <cell r="AV27" t="str">
            <v>-</v>
          </cell>
          <cell r="AW27" t="str">
            <v>-</v>
          </cell>
        </row>
        <row r="28">
          <cell r="B28" t="str">
            <v>##콩고강</v>
          </cell>
          <cell r="C28" t="str">
            <v>가능</v>
          </cell>
          <cell r="D28" t="str">
            <v>카리비브 부근</v>
          </cell>
          <cell r="E28" t="str">
            <v>얼룩말</v>
          </cell>
          <cell r="F28" t="str">
            <v>종류:포유류</v>
          </cell>
          <cell r="G28">
            <v>70407058</v>
          </cell>
          <cell r="H28">
            <v>95</v>
          </cell>
          <cell r="I28" t="b">
            <v>0</v>
          </cell>
          <cell r="J28" t="str">
            <v>임팔라</v>
          </cell>
          <cell r="K28" t="str">
            <v>종류:포유류</v>
          </cell>
          <cell r="L28">
            <v>70407071</v>
          </cell>
          <cell r="M28">
            <v>292</v>
          </cell>
          <cell r="N28" t="b">
            <v>0</v>
          </cell>
          <cell r="O28" t="str">
            <v>누</v>
          </cell>
          <cell r="P28" t="str">
            <v>종류:포유류</v>
          </cell>
          <cell r="Q28">
            <v>70408008</v>
          </cell>
          <cell r="R28">
            <v>666</v>
          </cell>
          <cell r="S28" t="b">
            <v>0</v>
          </cell>
          <cell r="T28" t="str">
            <v>사자</v>
          </cell>
          <cell r="U28" t="str">
            <v>종류:포유류</v>
          </cell>
          <cell r="V28">
            <v>70408028</v>
          </cell>
          <cell r="W28">
            <v>95</v>
          </cell>
          <cell r="X28" t="b">
            <v>0</v>
          </cell>
          <cell r="Y28" t="str">
            <v>흑백콜로부스</v>
          </cell>
          <cell r="Z28" t="str">
            <v>종류:포유류</v>
          </cell>
          <cell r="AA28">
            <v>70407105</v>
          </cell>
          <cell r="AB28">
            <v>666</v>
          </cell>
          <cell r="AC28" t="b">
            <v>0</v>
          </cell>
          <cell r="AD28" t="str">
            <v>젬베</v>
          </cell>
          <cell r="AE28" t="str">
            <v>종류:보물</v>
          </cell>
          <cell r="AF28">
            <v>70417163</v>
          </cell>
          <cell r="AG28">
            <v>24</v>
          </cell>
          <cell r="AH28" t="b">
            <v>0</v>
          </cell>
          <cell r="AJ28" t="str">
            <v/>
          </cell>
          <cell r="AK28" t="str">
            <v>-</v>
          </cell>
          <cell r="AL28" t="str">
            <v>-</v>
          </cell>
          <cell r="AM28" t="str">
            <v>-</v>
          </cell>
          <cell r="AO28" t="str">
            <v/>
          </cell>
          <cell r="AP28" t="str">
            <v>-</v>
          </cell>
          <cell r="AQ28" t="str">
            <v>-</v>
          </cell>
          <cell r="AR28" t="str">
            <v>-</v>
          </cell>
          <cell r="AT28" t="str">
            <v/>
          </cell>
          <cell r="AU28" t="str">
            <v>-</v>
          </cell>
          <cell r="AV28" t="str">
            <v>-</v>
          </cell>
          <cell r="AW28" t="str">
            <v>-</v>
          </cell>
        </row>
        <row r="29">
          <cell r="B29" t="str">
            <v>##서아프리카(남)</v>
          </cell>
          <cell r="C29" t="str">
            <v>가능</v>
          </cell>
          <cell r="D29" t="str">
            <v>벵겔라 부근</v>
          </cell>
          <cell r="E29" t="str">
            <v>군자란</v>
          </cell>
          <cell r="F29" t="str">
            <v>종류:단자엽</v>
          </cell>
          <cell r="G29">
            <v>70403010</v>
          </cell>
          <cell r="H29">
            <v>666</v>
          </cell>
          <cell r="I29" t="b">
            <v>0</v>
          </cell>
          <cell r="J29" t="str">
            <v>케이프땅다람쥐</v>
          </cell>
          <cell r="K29" t="str">
            <v>종류:포유류</v>
          </cell>
          <cell r="L29">
            <v>70406090</v>
          </cell>
          <cell r="M29">
            <v>666</v>
          </cell>
          <cell r="N29" t="b">
            <v>0</v>
          </cell>
          <cell r="O29" t="str">
            <v>케이프 독수리</v>
          </cell>
          <cell r="P29" t="str">
            <v>종류:조류</v>
          </cell>
          <cell r="Q29">
            <v>70405092</v>
          </cell>
          <cell r="R29">
            <v>95</v>
          </cell>
          <cell r="S29" t="b">
            <v>0</v>
          </cell>
          <cell r="T29" t="str">
            <v>트위펠폰테인</v>
          </cell>
          <cell r="U29" t="str">
            <v>종류:사적</v>
          </cell>
          <cell r="V29">
            <v>70410081</v>
          </cell>
          <cell r="W29">
            <v>292</v>
          </cell>
          <cell r="X29" t="b">
            <v>0</v>
          </cell>
          <cell r="Y29" t="str">
            <v>동부초록맘바</v>
          </cell>
          <cell r="Z29" t="str">
            <v>종류:파충류</v>
          </cell>
          <cell r="AA29">
            <v>70406025</v>
          </cell>
          <cell r="AB29">
            <v>95</v>
          </cell>
          <cell r="AC29" t="b">
            <v>0</v>
          </cell>
          <cell r="AD29" t="str">
            <v>아르마딜로갑옷도마뱀</v>
          </cell>
          <cell r="AE29" t="str">
            <v>종류:파충류</v>
          </cell>
          <cell r="AF29">
            <v>70406063</v>
          </cell>
          <cell r="AG29">
            <v>24</v>
          </cell>
          <cell r="AH29" t="b">
            <v>0</v>
          </cell>
          <cell r="AI29" t="str">
            <v>콰가</v>
          </cell>
          <cell r="AJ29" t="str">
            <v>종류:포유류</v>
          </cell>
          <cell r="AK29">
            <v>70408052</v>
          </cell>
          <cell r="AL29">
            <v>95</v>
          </cell>
          <cell r="AM29" t="b">
            <v>0</v>
          </cell>
          <cell r="AO29" t="str">
            <v/>
          </cell>
          <cell r="AP29" t="str">
            <v>-</v>
          </cell>
          <cell r="AQ29" t="str">
            <v>-</v>
          </cell>
          <cell r="AR29" t="str">
            <v>-</v>
          </cell>
          <cell r="AT29" t="str">
            <v/>
          </cell>
          <cell r="AU29" t="str">
            <v>-</v>
          </cell>
          <cell r="AV29" t="str">
            <v>-</v>
          </cell>
          <cell r="AW29" t="str">
            <v>-</v>
          </cell>
        </row>
        <row r="30">
          <cell r="B30" t="str">
            <v>##동아프리카(남)</v>
          </cell>
          <cell r="C30" t="str">
            <v>가능</v>
          </cell>
          <cell r="D30" t="str">
            <v>나탈 부근</v>
          </cell>
          <cell r="E30" t="str">
            <v>청두루미</v>
          </cell>
          <cell r="F30" t="str">
            <v>종류:조류</v>
          </cell>
          <cell r="G30">
            <v>70405086</v>
          </cell>
          <cell r="H30">
            <v>666</v>
          </cell>
          <cell r="I30" t="b">
            <v>0</v>
          </cell>
          <cell r="J30" t="str">
            <v>땅돼지</v>
          </cell>
          <cell r="K30" t="str">
            <v>종류:포유류</v>
          </cell>
          <cell r="L30">
            <v>70407018</v>
          </cell>
          <cell r="M30">
            <v>666</v>
          </cell>
          <cell r="N30" t="b">
            <v>0</v>
          </cell>
          <cell r="O30" t="str">
            <v>세인트폴리아</v>
          </cell>
          <cell r="P30" t="str">
            <v>종류:쌍자엽</v>
          </cell>
          <cell r="Q30">
            <v>70403070</v>
          </cell>
          <cell r="R30">
            <v>95</v>
          </cell>
          <cell r="S30" t="b">
            <v>0</v>
          </cell>
          <cell r="T30" t="str">
            <v>아프리카발톱개구리</v>
          </cell>
          <cell r="U30" t="str">
            <v>종류:파충류</v>
          </cell>
          <cell r="V30">
            <v>70406065</v>
          </cell>
          <cell r="W30">
            <v>666</v>
          </cell>
          <cell r="X30" t="b">
            <v>0</v>
          </cell>
          <cell r="Y30" t="str">
            <v>미어캣</v>
          </cell>
          <cell r="Z30" t="str">
            <v>종류:포유류</v>
          </cell>
          <cell r="AA30">
            <v>70406036</v>
          </cell>
          <cell r="AB30">
            <v>292</v>
          </cell>
          <cell r="AC30" t="b">
            <v>0</v>
          </cell>
          <cell r="AD30" t="str">
            <v>사막메뚜기</v>
          </cell>
          <cell r="AE30" t="str">
            <v>종류:무척추동물</v>
          </cell>
          <cell r="AF30">
            <v>70404019</v>
          </cell>
          <cell r="AG30">
            <v>95</v>
          </cell>
          <cell r="AH30" t="b">
            <v>0</v>
          </cell>
          <cell r="AI30" t="str">
            <v>냐미냐미상</v>
          </cell>
          <cell r="AJ30" t="str">
            <v>종류:종교유물</v>
          </cell>
          <cell r="AK30">
            <v>70402014</v>
          </cell>
          <cell r="AL30">
            <v>4</v>
          </cell>
          <cell r="AM30" t="b">
            <v>0</v>
          </cell>
          <cell r="AO30" t="str">
            <v/>
          </cell>
          <cell r="AP30" t="str">
            <v>-</v>
          </cell>
          <cell r="AQ30" t="str">
            <v>-</v>
          </cell>
          <cell r="AR30" t="str">
            <v>-</v>
          </cell>
          <cell r="AT30" t="str">
            <v/>
          </cell>
          <cell r="AU30" t="str">
            <v>-</v>
          </cell>
          <cell r="AV30" t="str">
            <v>-</v>
          </cell>
          <cell r="AW30" t="str">
            <v>-</v>
          </cell>
        </row>
        <row r="31">
          <cell r="B31" t="str">
            <v>##짐베지강</v>
          </cell>
          <cell r="C31" t="str">
            <v>가능</v>
          </cell>
          <cell r="D31" t="str">
            <v>소팔라 부근</v>
          </cell>
          <cell r="E31" t="str">
            <v>타조</v>
          </cell>
          <cell r="F31" t="str">
            <v>종류:조류</v>
          </cell>
          <cell r="G31">
            <v>70405101</v>
          </cell>
          <cell r="H31">
            <v>666</v>
          </cell>
          <cell r="I31" t="b">
            <v>0</v>
          </cell>
          <cell r="J31" t="str">
            <v>뱀잡이 수리</v>
          </cell>
          <cell r="K31" t="str">
            <v>종류:조류</v>
          </cell>
          <cell r="L31">
            <v>70405044</v>
          </cell>
          <cell r="M31">
            <v>95</v>
          </cell>
          <cell r="N31" t="b">
            <v>0</v>
          </cell>
          <cell r="O31" t="str">
            <v>극락조화</v>
          </cell>
          <cell r="P31" t="str">
            <v>종류:쌍자엽</v>
          </cell>
          <cell r="Q31">
            <v>70403012</v>
          </cell>
          <cell r="R31">
            <v>95</v>
          </cell>
          <cell r="S31" t="b">
            <v>0</v>
          </cell>
          <cell r="T31" t="str">
            <v>카멜레온</v>
          </cell>
          <cell r="U31" t="str">
            <v>종류:파충류</v>
          </cell>
          <cell r="V31">
            <v>70406087</v>
          </cell>
          <cell r="W31">
            <v>666</v>
          </cell>
          <cell r="X31" t="b">
            <v>0</v>
          </cell>
          <cell r="Y31" t="str">
            <v>아프리카들소</v>
          </cell>
          <cell r="Z31" t="str">
            <v>종류:포유류</v>
          </cell>
          <cell r="AA31">
            <v>70408038</v>
          </cell>
          <cell r="AB31">
            <v>292</v>
          </cell>
          <cell r="AC31" t="b">
            <v>0</v>
          </cell>
          <cell r="AD31" t="str">
            <v>갈라고</v>
          </cell>
          <cell r="AE31" t="str">
            <v>종류:포유류</v>
          </cell>
          <cell r="AF31">
            <v>70406002</v>
          </cell>
          <cell r="AG31">
            <v>4</v>
          </cell>
          <cell r="AH31" t="b">
            <v>0</v>
          </cell>
          <cell r="AI31" t="str">
            <v>노랑목 모란앵무</v>
          </cell>
          <cell r="AJ31" t="str">
            <v>종류:조류</v>
          </cell>
          <cell r="AK31">
            <v>70405025</v>
          </cell>
          <cell r="AL31">
            <v>292</v>
          </cell>
          <cell r="AM31" t="b">
            <v>0</v>
          </cell>
          <cell r="AO31" t="str">
            <v/>
          </cell>
          <cell r="AP31" t="str">
            <v>-</v>
          </cell>
          <cell r="AQ31" t="str">
            <v>-</v>
          </cell>
          <cell r="AR31" t="str">
            <v>-</v>
          </cell>
          <cell r="AT31" t="str">
            <v/>
          </cell>
          <cell r="AU31" t="str">
            <v>-</v>
          </cell>
          <cell r="AV31" t="str">
            <v>-</v>
          </cell>
          <cell r="AW31" t="str">
            <v>-</v>
          </cell>
        </row>
        <row r="32">
          <cell r="B32" t="str">
            <v>##동아프리카(마다)</v>
          </cell>
          <cell r="C32" t="str">
            <v>가능</v>
          </cell>
          <cell r="D32" t="str">
            <v>토아마시나 부근</v>
          </cell>
          <cell r="E32" t="str">
            <v>아이아이</v>
          </cell>
          <cell r="F32" t="str">
            <v>종류:포유류</v>
          </cell>
          <cell r="G32">
            <v>70407054</v>
          </cell>
          <cell r="H32">
            <v>666</v>
          </cell>
          <cell r="I32" t="b">
            <v>0</v>
          </cell>
          <cell r="J32" t="str">
            <v>목도리여우원숭이</v>
          </cell>
          <cell r="K32" t="str">
            <v>종류:포유류</v>
          </cell>
          <cell r="L32">
            <v>70407024</v>
          </cell>
          <cell r="M32">
            <v>666</v>
          </cell>
          <cell r="N32" t="b">
            <v>0</v>
          </cell>
          <cell r="O32" t="str">
            <v>인드리</v>
          </cell>
          <cell r="P32" t="str">
            <v>종류:포유류</v>
          </cell>
          <cell r="Q32">
            <v>70407067</v>
          </cell>
          <cell r="R32">
            <v>95</v>
          </cell>
          <cell r="S32" t="b">
            <v>0</v>
          </cell>
          <cell r="T32" t="str">
            <v>호랑이꼬리여우원숭이</v>
          </cell>
          <cell r="U32" t="str">
            <v>종류:포유류</v>
          </cell>
          <cell r="V32">
            <v>70407101</v>
          </cell>
          <cell r="W32">
            <v>95</v>
          </cell>
          <cell r="X32" t="b">
            <v>0</v>
          </cell>
          <cell r="Y32" t="str">
            <v>검은여우원숭이</v>
          </cell>
          <cell r="Z32" t="str">
            <v>종류:포유류</v>
          </cell>
          <cell r="AA32">
            <v>70407004</v>
          </cell>
          <cell r="AB32">
            <v>292</v>
          </cell>
          <cell r="AC32" t="b">
            <v>0</v>
          </cell>
          <cell r="AD32" t="str">
            <v>에피오르니스</v>
          </cell>
          <cell r="AE32" t="str">
            <v>종류:조류</v>
          </cell>
          <cell r="AF32">
            <v>70405067</v>
          </cell>
          <cell r="AG32">
            <v>4</v>
          </cell>
          <cell r="AH32" t="b">
            <v>0</v>
          </cell>
          <cell r="AJ32" t="str">
            <v/>
          </cell>
          <cell r="AK32" t="str">
            <v>-</v>
          </cell>
          <cell r="AL32" t="str">
            <v>-</v>
          </cell>
          <cell r="AM32" t="str">
            <v>-</v>
          </cell>
          <cell r="AO32" t="str">
            <v/>
          </cell>
          <cell r="AP32" t="str">
            <v>-</v>
          </cell>
          <cell r="AQ32" t="str">
            <v>-</v>
          </cell>
          <cell r="AR32" t="str">
            <v>-</v>
          </cell>
          <cell r="AT32" t="str">
            <v/>
          </cell>
          <cell r="AU32" t="str">
            <v>-</v>
          </cell>
          <cell r="AV32" t="str">
            <v>-</v>
          </cell>
          <cell r="AW32" t="str">
            <v>-</v>
          </cell>
        </row>
        <row r="33">
          <cell r="B33" t="str">
            <v>##동아프리카(북)</v>
          </cell>
          <cell r="C33" t="str">
            <v>가능</v>
          </cell>
          <cell r="D33" t="str">
            <v>마사와 부근</v>
          </cell>
          <cell r="E33" t="str">
            <v>볼 망태 두루미</v>
          </cell>
          <cell r="F33" t="str">
            <v>종류:조류</v>
          </cell>
          <cell r="G33">
            <v>70405045</v>
          </cell>
          <cell r="H33">
            <v>666</v>
          </cell>
          <cell r="I33" t="b">
            <v>0</v>
          </cell>
          <cell r="J33" t="str">
            <v>후투티</v>
          </cell>
          <cell r="K33" t="str">
            <v>종류:조류</v>
          </cell>
          <cell r="L33">
            <v>70405117</v>
          </cell>
          <cell r="M33">
            <v>95</v>
          </cell>
          <cell r="N33" t="b">
            <v>0</v>
          </cell>
          <cell r="O33" t="str">
            <v>뻐끔살무사</v>
          </cell>
          <cell r="P33" t="str">
            <v>종류:파충류</v>
          </cell>
          <cell r="Q33">
            <v>70406046</v>
          </cell>
          <cell r="R33">
            <v>95</v>
          </cell>
          <cell r="S33" t="b">
            <v>0</v>
          </cell>
          <cell r="T33" t="str">
            <v>늪영양</v>
          </cell>
          <cell r="U33" t="str">
            <v>종류:포유류</v>
          </cell>
          <cell r="V33">
            <v>70407014</v>
          </cell>
          <cell r="W33">
            <v>292</v>
          </cell>
          <cell r="X33" t="b">
            <v>0</v>
          </cell>
          <cell r="Y33" t="str">
            <v>호저</v>
          </cell>
          <cell r="Z33" t="str">
            <v>종류:포유류</v>
          </cell>
          <cell r="AA33">
            <v>70407102</v>
          </cell>
          <cell r="AB33">
            <v>666</v>
          </cell>
          <cell r="AC33" t="b">
            <v>0</v>
          </cell>
          <cell r="AD33" t="str">
            <v>코뿔소</v>
          </cell>
          <cell r="AE33" t="str">
            <v>종류:포유류</v>
          </cell>
          <cell r="AF33">
            <v>70408051</v>
          </cell>
          <cell r="AG33">
            <v>95</v>
          </cell>
          <cell r="AH33" t="b">
            <v>0</v>
          </cell>
          <cell r="AI33" t="str">
            <v>페르시아 표범</v>
          </cell>
          <cell r="AJ33" t="str">
            <v>종류:포유류</v>
          </cell>
          <cell r="AK33">
            <v>70408058</v>
          </cell>
          <cell r="AL33">
            <v>24</v>
          </cell>
          <cell r="AM33" t="b">
            <v>0</v>
          </cell>
          <cell r="AO33" t="str">
            <v/>
          </cell>
          <cell r="AP33" t="str">
            <v>-</v>
          </cell>
          <cell r="AQ33" t="str">
            <v>-</v>
          </cell>
          <cell r="AR33" t="str">
            <v>-</v>
          </cell>
          <cell r="AT33" t="str">
            <v/>
          </cell>
          <cell r="AU33" t="str">
            <v>-</v>
          </cell>
          <cell r="AV33" t="str">
            <v>-</v>
          </cell>
          <cell r="AW33" t="str">
            <v>-</v>
          </cell>
        </row>
        <row r="34">
          <cell r="B34" t="str">
            <v>##나일강</v>
          </cell>
          <cell r="C34" t="str">
            <v>가능</v>
          </cell>
          <cell r="D34" t="str">
            <v>알카히라 부근</v>
          </cell>
          <cell r="E34" t="str">
            <v>나일로미터</v>
          </cell>
          <cell r="F34" t="str">
            <v>종류:사적</v>
          </cell>
          <cell r="G34">
            <v>70401016</v>
          </cell>
          <cell r="H34">
            <v>95</v>
          </cell>
          <cell r="I34" t="b">
            <v>0</v>
          </cell>
          <cell r="J34" t="str">
            <v>아누비스 조각상</v>
          </cell>
          <cell r="K34" t="str">
            <v>종류:종교유물</v>
          </cell>
          <cell r="L34">
            <v>70402075</v>
          </cell>
          <cell r="M34">
            <v>24</v>
          </cell>
          <cell r="N34" t="b">
            <v>0</v>
          </cell>
          <cell r="O34" t="str">
            <v>아누케트상</v>
          </cell>
          <cell r="P34" t="str">
            <v>종류:종교유물</v>
          </cell>
          <cell r="Q34">
            <v>70402076</v>
          </cell>
          <cell r="R34">
            <v>666</v>
          </cell>
          <cell r="S34" t="b">
            <v>0</v>
          </cell>
          <cell r="T34" t="str">
            <v>홍학</v>
          </cell>
          <cell r="U34" t="str">
            <v>종류:조류</v>
          </cell>
          <cell r="V34">
            <v>70405116</v>
          </cell>
          <cell r="W34">
            <v>666</v>
          </cell>
          <cell r="X34" t="b">
            <v>0</v>
          </cell>
          <cell r="Y34" t="str">
            <v>페넥여우</v>
          </cell>
          <cell r="Z34" t="str">
            <v>종류:포유류</v>
          </cell>
          <cell r="AA34">
            <v>70407094</v>
          </cell>
          <cell r="AB34">
            <v>95</v>
          </cell>
          <cell r="AC34" t="b">
            <v>0</v>
          </cell>
          <cell r="AD34" t="str">
            <v>푼트국의 부조</v>
          </cell>
          <cell r="AE34" t="str">
            <v>종류:사적</v>
          </cell>
          <cell r="AF34">
            <v>70410091</v>
          </cell>
          <cell r="AG34">
            <v>292</v>
          </cell>
          <cell r="AH34" t="b">
            <v>0</v>
          </cell>
          <cell r="AI34" t="str">
            <v>세라피스상</v>
          </cell>
          <cell r="AJ34" t="str">
            <v>종류:종교유물</v>
          </cell>
          <cell r="AK34">
            <v>70402061</v>
          </cell>
          <cell r="AL34">
            <v>666</v>
          </cell>
          <cell r="AM34" t="b">
            <v>0</v>
          </cell>
          <cell r="AO34" t="str">
            <v/>
          </cell>
          <cell r="AP34" t="str">
            <v>-</v>
          </cell>
          <cell r="AQ34" t="str">
            <v>-</v>
          </cell>
          <cell r="AR34" t="str">
            <v>-</v>
          </cell>
          <cell r="AT34" t="str">
            <v/>
          </cell>
          <cell r="AU34" t="str">
            <v>-</v>
          </cell>
          <cell r="AV34" t="str">
            <v>-</v>
          </cell>
          <cell r="AW34" t="str">
            <v>-</v>
          </cell>
        </row>
        <row r="35">
          <cell r="B35" t="str">
            <v>##조선 동해안</v>
          </cell>
          <cell r="C35" t="str">
            <v>불가능</v>
          </cell>
          <cell r="D35" t="str">
            <v>영일 부근</v>
          </cell>
          <cell r="E35" t="str">
            <v>백양꽃</v>
          </cell>
          <cell r="F35" t="str">
            <v>종류:단자엽</v>
          </cell>
          <cell r="G35">
            <v>70403046</v>
          </cell>
          <cell r="H35">
            <v>95</v>
          </cell>
          <cell r="I35" t="b">
            <v>0</v>
          </cell>
          <cell r="J35" t="str">
            <v>불씨잡변</v>
          </cell>
          <cell r="K35" t="str">
            <v>종류:종교유물</v>
          </cell>
          <cell r="L35">
            <v>70417076</v>
          </cell>
          <cell r="M35">
            <v>292</v>
          </cell>
          <cell r="N35" t="b">
            <v>0</v>
          </cell>
          <cell r="O35" t="str">
            <v>누에나방</v>
          </cell>
          <cell r="P35" t="str">
            <v>종류:무척추동물</v>
          </cell>
          <cell r="Q35">
            <v>70404008</v>
          </cell>
          <cell r="R35">
            <v>292</v>
          </cell>
          <cell r="S35" t="b">
            <v>0</v>
          </cell>
          <cell r="T35" t="str">
            <v>호부</v>
          </cell>
          <cell r="U35" t="str">
            <v>종류:역사유물</v>
          </cell>
          <cell r="V35">
            <v>70401188</v>
          </cell>
          <cell r="W35">
            <v>292</v>
          </cell>
          <cell r="X35" t="b">
            <v>0</v>
          </cell>
          <cell r="Y35" t="str">
            <v>벽사 조각상</v>
          </cell>
          <cell r="Z35" t="str">
            <v>종류:보물</v>
          </cell>
          <cell r="AA35">
            <v>70417072</v>
          </cell>
          <cell r="AB35">
            <v>666</v>
          </cell>
          <cell r="AC35" t="b">
            <v>0</v>
          </cell>
          <cell r="AD35" t="str">
            <v>벚나무</v>
          </cell>
          <cell r="AE35" t="str">
            <v>종류:쌍자엽</v>
          </cell>
          <cell r="AF35">
            <v>70403048</v>
          </cell>
          <cell r="AG35">
            <v>24</v>
          </cell>
          <cell r="AH35" t="b">
            <v>0</v>
          </cell>
          <cell r="AI35" t="str">
            <v>아무르호랑이</v>
          </cell>
          <cell r="AJ35" t="str">
            <v>종류:포유류</v>
          </cell>
          <cell r="AK35">
            <v>70408037</v>
          </cell>
          <cell r="AL35">
            <v>24</v>
          </cell>
          <cell r="AM35" t="b">
            <v>0</v>
          </cell>
          <cell r="AO35" t="str">
            <v/>
          </cell>
          <cell r="AP35" t="str">
            <v>-</v>
          </cell>
          <cell r="AQ35" t="str">
            <v>-</v>
          </cell>
          <cell r="AR35" t="str">
            <v>-</v>
          </cell>
          <cell r="AT35" t="str">
            <v/>
          </cell>
          <cell r="AU35" t="str">
            <v>-</v>
          </cell>
          <cell r="AV35" t="str">
            <v>-</v>
          </cell>
          <cell r="AW35" t="str">
            <v>-</v>
          </cell>
        </row>
        <row r="36">
          <cell r="B36" t="str">
            <v>##조선 서해안</v>
          </cell>
          <cell r="C36" t="str">
            <v>가능</v>
          </cell>
          <cell r="D36" t="str">
            <v>한양 부근</v>
          </cell>
          <cell r="E36" t="str">
            <v>여수장우중문시</v>
          </cell>
          <cell r="F36" t="str">
            <v>종류:역사유물</v>
          </cell>
          <cell r="G36">
            <v>70401103</v>
          </cell>
          <cell r="H36">
            <v>24</v>
          </cell>
          <cell r="I36" t="b">
            <v>0</v>
          </cell>
          <cell r="J36" t="str">
            <v>석굴암 불상</v>
          </cell>
          <cell r="K36" t="str">
            <v>종류:종교유물</v>
          </cell>
          <cell r="L36">
            <v>70402057</v>
          </cell>
          <cell r="M36">
            <v>4</v>
          </cell>
          <cell r="N36" t="b">
            <v>0</v>
          </cell>
          <cell r="O36" t="str">
            <v>대륙 검은지빠귀</v>
          </cell>
          <cell r="P36" t="str">
            <v>종류:조류</v>
          </cell>
          <cell r="Q36">
            <v>70405028</v>
          </cell>
          <cell r="R36">
            <v>292</v>
          </cell>
          <cell r="S36" t="b">
            <v>0</v>
          </cell>
          <cell r="T36" t="str">
            <v>푸른측범잠자리</v>
          </cell>
          <cell r="U36" t="str">
            <v>종류:무척추동물</v>
          </cell>
          <cell r="V36">
            <v>70404044</v>
          </cell>
          <cell r="W36">
            <v>95</v>
          </cell>
          <cell r="X36" t="b">
            <v>0</v>
          </cell>
          <cell r="Y36" t="str">
            <v>오현비파</v>
          </cell>
          <cell r="Z36" t="str">
            <v>종류:보물</v>
          </cell>
          <cell r="AA36">
            <v>70417134</v>
          </cell>
          <cell r="AB36">
            <v>292</v>
          </cell>
          <cell r="AC36" t="b">
            <v>0</v>
          </cell>
          <cell r="AD36" t="str">
            <v>무궁화</v>
          </cell>
          <cell r="AE36" t="str">
            <v>종류:쌍자엽</v>
          </cell>
          <cell r="AF36">
            <v>70403037</v>
          </cell>
          <cell r="AG36">
            <v>24</v>
          </cell>
          <cell r="AH36" t="b">
            <v>0</v>
          </cell>
          <cell r="AJ36" t="str">
            <v/>
          </cell>
          <cell r="AK36" t="str">
            <v>-</v>
          </cell>
          <cell r="AL36" t="str">
            <v>-</v>
          </cell>
          <cell r="AM36" t="str">
            <v>-</v>
          </cell>
          <cell r="AO36" t="str">
            <v/>
          </cell>
          <cell r="AP36" t="str">
            <v>-</v>
          </cell>
          <cell r="AQ36" t="str">
            <v>-</v>
          </cell>
          <cell r="AR36" t="str">
            <v>-</v>
          </cell>
          <cell r="AT36" t="str">
            <v/>
          </cell>
          <cell r="AU36" t="str">
            <v>-</v>
          </cell>
          <cell r="AV36" t="str">
            <v>-</v>
          </cell>
          <cell r="AW36" t="str">
            <v>-</v>
          </cell>
        </row>
        <row r="37">
          <cell r="B37" t="str">
            <v>##조선 제주도</v>
          </cell>
          <cell r="C37" t="str">
            <v>가능</v>
          </cell>
          <cell r="D37" t="str">
            <v>제주 부근</v>
          </cell>
          <cell r="E37" t="str">
            <v>두루미</v>
          </cell>
          <cell r="F37" t="str">
            <v>종류:조류</v>
          </cell>
          <cell r="G37">
            <v>70405032</v>
          </cell>
          <cell r="H37">
            <v>24</v>
          </cell>
          <cell r="I37" t="b">
            <v>0</v>
          </cell>
          <cell r="J37" t="str">
            <v>꿩</v>
          </cell>
          <cell r="K37" t="str">
            <v>종류:조류</v>
          </cell>
          <cell r="L37">
            <v>70405020</v>
          </cell>
          <cell r="M37">
            <v>666</v>
          </cell>
          <cell r="N37" t="b">
            <v>0</v>
          </cell>
          <cell r="O37" t="str">
            <v>단풍나무</v>
          </cell>
          <cell r="P37" t="str">
            <v>종류:쌍자엽</v>
          </cell>
          <cell r="Q37">
            <v>70403020</v>
          </cell>
          <cell r="R37">
            <v>24</v>
          </cell>
          <cell r="S37" t="b">
            <v>0</v>
          </cell>
          <cell r="T37" t="str">
            <v>자두나무</v>
          </cell>
          <cell r="U37" t="str">
            <v>종류:쌍자엽</v>
          </cell>
          <cell r="V37">
            <v>70403112</v>
          </cell>
          <cell r="W37">
            <v>95</v>
          </cell>
          <cell r="X37" t="b">
            <v>0</v>
          </cell>
          <cell r="Y37" t="str">
            <v>긴꼬리홍양진이</v>
          </cell>
          <cell r="Z37" t="str">
            <v>종류:조류</v>
          </cell>
          <cell r="AA37">
            <v>70405018</v>
          </cell>
          <cell r="AB37">
            <v>292</v>
          </cell>
          <cell r="AC37" t="b">
            <v>0</v>
          </cell>
          <cell r="AD37" t="str">
            <v>고사관수도</v>
          </cell>
          <cell r="AE37" t="str">
            <v>종류:미술품</v>
          </cell>
          <cell r="AF37">
            <v>70416003</v>
          </cell>
          <cell r="AG37">
            <v>4</v>
          </cell>
          <cell r="AH37" t="b">
            <v>0</v>
          </cell>
          <cell r="AJ37" t="str">
            <v/>
          </cell>
          <cell r="AK37" t="str">
            <v>-</v>
          </cell>
          <cell r="AL37" t="str">
            <v>-</v>
          </cell>
          <cell r="AM37" t="str">
            <v>-</v>
          </cell>
          <cell r="AO37" t="str">
            <v/>
          </cell>
          <cell r="AP37" t="str">
            <v>-</v>
          </cell>
          <cell r="AQ37" t="str">
            <v>-</v>
          </cell>
          <cell r="AR37" t="str">
            <v>-</v>
          </cell>
          <cell r="AT37" t="str">
            <v/>
          </cell>
          <cell r="AU37" t="str">
            <v>-</v>
          </cell>
          <cell r="AV37" t="str">
            <v>-</v>
          </cell>
          <cell r="AW37" t="str">
            <v>-</v>
          </cell>
        </row>
        <row r="38">
          <cell r="B38" t="str">
            <v>##일본</v>
          </cell>
          <cell r="C38" t="str">
            <v>가능</v>
          </cell>
          <cell r="D38" t="str">
            <v>에도 부근</v>
          </cell>
          <cell r="E38" t="str">
            <v>겐지 이야기 화첩</v>
          </cell>
          <cell r="F38" t="str">
            <v>종류:미술품</v>
          </cell>
          <cell r="G38">
            <v>70416002</v>
          </cell>
          <cell r="H38">
            <v>4</v>
          </cell>
          <cell r="I38" t="b">
            <v>0</v>
          </cell>
          <cell r="J38" t="str">
            <v>현계론</v>
          </cell>
          <cell r="K38" t="str">
            <v>종류:종교유물</v>
          </cell>
          <cell r="L38">
            <v>70402164</v>
          </cell>
          <cell r="M38">
            <v>292</v>
          </cell>
          <cell r="N38" t="b">
            <v>0</v>
          </cell>
          <cell r="O38" t="str">
            <v>일본 토우</v>
          </cell>
          <cell r="P38" t="str">
            <v>종류:역사유물</v>
          </cell>
          <cell r="Q38">
            <v>70401126</v>
          </cell>
          <cell r="R38">
            <v>292</v>
          </cell>
          <cell r="S38" t="b">
            <v>0</v>
          </cell>
          <cell r="T38" t="str">
            <v>꽃사슴</v>
          </cell>
          <cell r="U38" t="str">
            <v>종류:포유류</v>
          </cell>
          <cell r="V38">
            <v>70407010</v>
          </cell>
          <cell r="W38">
            <v>24</v>
          </cell>
          <cell r="X38" t="b">
            <v>0</v>
          </cell>
          <cell r="Y38" t="str">
            <v>일본장수도롱뇽</v>
          </cell>
          <cell r="Z38" t="str">
            <v>종류:파충류</v>
          </cell>
          <cell r="AA38">
            <v>70407068</v>
          </cell>
          <cell r="AB38">
            <v>24</v>
          </cell>
          <cell r="AC38" t="b">
            <v>0</v>
          </cell>
          <cell r="AD38" t="str">
            <v>만엽집</v>
          </cell>
          <cell r="AE38" t="str">
            <v>종류:보물</v>
          </cell>
          <cell r="AF38">
            <v>70417052</v>
          </cell>
          <cell r="AG38">
            <v>292</v>
          </cell>
          <cell r="AH38" t="b">
            <v>0</v>
          </cell>
          <cell r="AI38" t="str">
            <v>나무타기도마뱀</v>
          </cell>
          <cell r="AJ38" t="str">
            <v>종류:파충류</v>
          </cell>
          <cell r="AK38">
            <v>70406013</v>
          </cell>
          <cell r="AL38">
            <v>95</v>
          </cell>
          <cell r="AM38" t="b">
            <v>0</v>
          </cell>
          <cell r="AO38" t="str">
            <v/>
          </cell>
          <cell r="AP38" t="str">
            <v>-</v>
          </cell>
          <cell r="AQ38" t="str">
            <v>-</v>
          </cell>
          <cell r="AR38" t="str">
            <v>-</v>
          </cell>
          <cell r="AT38" t="str">
            <v/>
          </cell>
          <cell r="AU38" t="str">
            <v>-</v>
          </cell>
          <cell r="AV38" t="str">
            <v>-</v>
          </cell>
          <cell r="AW38" t="str">
            <v>-</v>
          </cell>
        </row>
        <row r="39">
          <cell r="B39" t="str">
            <v>##쿠릴 열도</v>
          </cell>
          <cell r="C39" t="str">
            <v>불가능</v>
          </cell>
          <cell r="D39" t="str">
            <v>에조 부근2</v>
          </cell>
          <cell r="E39" t="str">
            <v>저어새</v>
          </cell>
          <cell r="F39" t="str">
            <v>종류:조류</v>
          </cell>
          <cell r="G39">
            <v>70405081</v>
          </cell>
          <cell r="H39">
            <v>4</v>
          </cell>
          <cell r="I39" t="b">
            <v>0</v>
          </cell>
          <cell r="J39" t="str">
            <v>사향제비나비</v>
          </cell>
          <cell r="K39" t="str">
            <v>종류:무척추동물</v>
          </cell>
          <cell r="L39">
            <v>70404022</v>
          </cell>
          <cell r="M39">
            <v>95</v>
          </cell>
          <cell r="N39" t="b">
            <v>0</v>
          </cell>
          <cell r="O39" t="str">
            <v>흰눈썹지빠귀</v>
          </cell>
          <cell r="P39" t="str">
            <v>종류:조류</v>
          </cell>
          <cell r="Q39">
            <v>70405124</v>
          </cell>
          <cell r="R39">
            <v>292</v>
          </cell>
          <cell r="S39" t="b">
            <v>0</v>
          </cell>
          <cell r="T39" t="str">
            <v>풍신첩</v>
          </cell>
          <cell r="U39" t="str">
            <v>종류:보물</v>
          </cell>
          <cell r="V39">
            <v>70417207</v>
          </cell>
          <cell r="W39">
            <v>292</v>
          </cell>
          <cell r="X39" t="b">
            <v>0</v>
          </cell>
          <cell r="Y39" t="str">
            <v>긴꼬리제비나비</v>
          </cell>
          <cell r="Z39" t="str">
            <v>종류:무척추동물</v>
          </cell>
          <cell r="AA39">
            <v>70404004</v>
          </cell>
          <cell r="AB39">
            <v>666</v>
          </cell>
          <cell r="AC39" t="b">
            <v>0</v>
          </cell>
          <cell r="AD39" t="str">
            <v>왕오색나비</v>
          </cell>
          <cell r="AE39" t="str">
            <v>종류:무척추동물</v>
          </cell>
          <cell r="AF39">
            <v>70404030</v>
          </cell>
          <cell r="AG39">
            <v>292</v>
          </cell>
          <cell r="AH39" t="b">
            <v>0</v>
          </cell>
          <cell r="AI39" t="str">
            <v>가지복수초</v>
          </cell>
          <cell r="AJ39" t="str">
            <v>종류:쌍자엽</v>
          </cell>
          <cell r="AK39">
            <v>70403001</v>
          </cell>
          <cell r="AL39">
            <v>24</v>
          </cell>
          <cell r="AM39" t="b">
            <v>0</v>
          </cell>
          <cell r="AO39" t="str">
            <v/>
          </cell>
          <cell r="AP39" t="str">
            <v>-</v>
          </cell>
          <cell r="AQ39" t="str">
            <v>-</v>
          </cell>
          <cell r="AR39" t="str">
            <v>-</v>
          </cell>
          <cell r="AT39" t="str">
            <v/>
          </cell>
          <cell r="AU39" t="str">
            <v>-</v>
          </cell>
          <cell r="AV39" t="str">
            <v>-</v>
          </cell>
          <cell r="AW39" t="str">
            <v>-</v>
          </cell>
        </row>
        <row r="40">
          <cell r="B40" t="str">
            <v>##훗카이도</v>
          </cell>
          <cell r="C40" t="str">
            <v>불가능</v>
          </cell>
          <cell r="D40" t="str">
            <v>에조 부근</v>
          </cell>
          <cell r="E40" t="str">
            <v>흰눈썹 뜸부기</v>
          </cell>
          <cell r="F40" t="str">
            <v>종류:조류</v>
          </cell>
          <cell r="G40">
            <v>70405122</v>
          </cell>
          <cell r="H40">
            <v>95</v>
          </cell>
          <cell r="I40" t="b">
            <v>0</v>
          </cell>
          <cell r="J40" t="str">
            <v>방장기</v>
          </cell>
          <cell r="K40" t="str">
            <v>종류:역사유물</v>
          </cell>
          <cell r="L40">
            <v>70417068</v>
          </cell>
          <cell r="M40">
            <v>292</v>
          </cell>
          <cell r="N40" t="b">
            <v>0</v>
          </cell>
          <cell r="O40" t="str">
            <v>태평기</v>
          </cell>
          <cell r="P40" t="str">
            <v>종류:보물</v>
          </cell>
          <cell r="Q40">
            <v>70417193</v>
          </cell>
          <cell r="R40">
            <v>666</v>
          </cell>
          <cell r="S40" t="b">
            <v>0</v>
          </cell>
          <cell r="T40" t="str">
            <v>사계산수도</v>
          </cell>
          <cell r="U40" t="str">
            <v>종류:미술품</v>
          </cell>
          <cell r="V40">
            <v>70416029</v>
          </cell>
          <cell r="W40">
            <v>24</v>
          </cell>
          <cell r="X40" t="b">
            <v>0</v>
          </cell>
          <cell r="Y40" t="str">
            <v>토로 유적</v>
          </cell>
          <cell r="Z40" t="str">
            <v>종류:사적</v>
          </cell>
          <cell r="AA40">
            <v>70410077</v>
          </cell>
          <cell r="AB40">
            <v>292</v>
          </cell>
          <cell r="AC40" t="b">
            <v>0</v>
          </cell>
          <cell r="AD40" t="str">
            <v>장미계</v>
          </cell>
          <cell r="AE40" t="str">
            <v>종류:조류</v>
          </cell>
          <cell r="AF40">
            <v>70405080</v>
          </cell>
          <cell r="AG40">
            <v>4</v>
          </cell>
          <cell r="AH40" t="b">
            <v>0</v>
          </cell>
          <cell r="AJ40" t="str">
            <v/>
          </cell>
          <cell r="AK40" t="str">
            <v>-</v>
          </cell>
          <cell r="AL40" t="str">
            <v>-</v>
          </cell>
          <cell r="AM40" t="str">
            <v>-</v>
          </cell>
          <cell r="AO40" t="str">
            <v/>
          </cell>
          <cell r="AP40" t="str">
            <v>-</v>
          </cell>
          <cell r="AQ40" t="str">
            <v>-</v>
          </cell>
          <cell r="AR40" t="str">
            <v>-</v>
          </cell>
          <cell r="AT40" t="str">
            <v/>
          </cell>
          <cell r="AU40" t="str">
            <v>-</v>
          </cell>
          <cell r="AV40" t="str">
            <v>-</v>
          </cell>
          <cell r="AW40" t="str">
            <v>-</v>
          </cell>
        </row>
        <row r="41">
          <cell r="B41" t="str">
            <v>##후쿠오카</v>
          </cell>
          <cell r="C41" t="str">
            <v>가능</v>
          </cell>
          <cell r="D41" t="str">
            <v>나가사키 부근</v>
          </cell>
          <cell r="E41" t="str">
            <v>고금 와카집</v>
          </cell>
          <cell r="F41" t="str">
            <v>종류:보물</v>
          </cell>
          <cell r="G41">
            <v>70417006</v>
          </cell>
          <cell r="H41">
            <v>95</v>
          </cell>
          <cell r="I41" t="b">
            <v>0</v>
          </cell>
          <cell r="J41" t="str">
            <v>숲산청개구리</v>
          </cell>
          <cell r="K41" t="str">
            <v>종류:파충류</v>
          </cell>
          <cell r="L41">
            <v>70406058</v>
          </cell>
          <cell r="M41">
            <v>666</v>
          </cell>
          <cell r="N41" t="b">
            <v>0</v>
          </cell>
          <cell r="O41" t="str">
            <v>겨울잠쥐</v>
          </cell>
          <cell r="P41" t="str">
            <v>종류:포유류</v>
          </cell>
          <cell r="Q41">
            <v>70406009</v>
          </cell>
          <cell r="R41">
            <v>292</v>
          </cell>
          <cell r="S41" t="b">
            <v>0</v>
          </cell>
          <cell r="T41" t="str">
            <v>다리우리</v>
          </cell>
          <cell r="U41" t="str">
            <v>종류:역사유물</v>
          </cell>
          <cell r="V41">
            <v>70417027</v>
          </cell>
          <cell r="W41">
            <v>666</v>
          </cell>
          <cell r="X41" t="b">
            <v>0</v>
          </cell>
          <cell r="Y41" t="str">
            <v>아마노하시다테도</v>
          </cell>
          <cell r="Z41" t="str">
            <v>종류:미술품</v>
          </cell>
          <cell r="AA41">
            <v>70416048</v>
          </cell>
          <cell r="AB41">
            <v>4</v>
          </cell>
          <cell r="AC41" t="b">
            <v>0</v>
          </cell>
          <cell r="AD41" t="str">
            <v>도마뱀붙이</v>
          </cell>
          <cell r="AE41" t="str">
            <v>종류:파충류</v>
          </cell>
          <cell r="AF41">
            <v>70406022</v>
          </cell>
          <cell r="AG41">
            <v>24</v>
          </cell>
          <cell r="AH41" t="b">
            <v>0</v>
          </cell>
          <cell r="AJ41" t="str">
            <v/>
          </cell>
          <cell r="AK41" t="str">
            <v>-</v>
          </cell>
          <cell r="AL41" t="str">
            <v>-</v>
          </cell>
          <cell r="AM41" t="str">
            <v>-</v>
          </cell>
          <cell r="AO41" t="str">
            <v/>
          </cell>
          <cell r="AP41" t="str">
            <v>-</v>
          </cell>
          <cell r="AQ41" t="str">
            <v>-</v>
          </cell>
          <cell r="AR41" t="str">
            <v>-</v>
          </cell>
          <cell r="AT41" t="str">
            <v/>
          </cell>
          <cell r="AU41" t="str">
            <v>-</v>
          </cell>
          <cell r="AV41" t="str">
            <v>-</v>
          </cell>
          <cell r="AW41" t="str">
            <v>-</v>
          </cell>
        </row>
        <row r="42">
          <cell r="B42" t="str">
            <v>##중국</v>
          </cell>
          <cell r="C42" t="str">
            <v>가능</v>
          </cell>
          <cell r="D42" t="str">
            <v>항주 부군</v>
          </cell>
          <cell r="E42" t="str">
            <v>원융</v>
          </cell>
          <cell r="F42" t="str">
            <v>종류:역사유물</v>
          </cell>
          <cell r="G42">
            <v>70401113</v>
          </cell>
          <cell r="H42">
            <v>292</v>
          </cell>
          <cell r="I42" t="b">
            <v>0</v>
          </cell>
          <cell r="J42" t="str">
            <v>뽕나무</v>
          </cell>
          <cell r="K42" t="str">
            <v>종류:쌍자엽</v>
          </cell>
          <cell r="L42">
            <v>70403061</v>
          </cell>
          <cell r="M42">
            <v>666</v>
          </cell>
          <cell r="N42" t="b">
            <v>0</v>
          </cell>
          <cell r="O42" t="str">
            <v>차우차우</v>
          </cell>
          <cell r="P42" t="str">
            <v>종류:포유류</v>
          </cell>
          <cell r="Q42">
            <v>70407078</v>
          </cell>
          <cell r="R42">
            <v>95</v>
          </cell>
          <cell r="S42" t="b">
            <v>0</v>
          </cell>
          <cell r="T42" t="str">
            <v>홍백부용도</v>
          </cell>
          <cell r="U42" t="str">
            <v>종류:미술품</v>
          </cell>
          <cell r="V42">
            <v>70416074</v>
          </cell>
          <cell r="W42">
            <v>666</v>
          </cell>
          <cell r="X42" t="b">
            <v>0</v>
          </cell>
          <cell r="Y42" t="str">
            <v>당삼채</v>
          </cell>
          <cell r="Z42" t="str">
            <v>종류:보물</v>
          </cell>
          <cell r="AA42">
            <v>70417030</v>
          </cell>
          <cell r="AB42">
            <v>292</v>
          </cell>
          <cell r="AC42" t="b">
            <v>0</v>
          </cell>
          <cell r="AD42" t="str">
            <v>대왕판다</v>
          </cell>
          <cell r="AE42" t="str">
            <v>종류:포유류</v>
          </cell>
          <cell r="AF42">
            <v>70408012</v>
          </cell>
          <cell r="AG42">
            <v>4</v>
          </cell>
          <cell r="AH42" t="b">
            <v>0</v>
          </cell>
          <cell r="AI42" t="str">
            <v>한서</v>
          </cell>
          <cell r="AJ42" t="str">
            <v>종류:역사유물</v>
          </cell>
          <cell r="AK42">
            <v>70401185</v>
          </cell>
          <cell r="AL42">
            <v>24</v>
          </cell>
          <cell r="AM42" t="b">
            <v>0</v>
          </cell>
          <cell r="AO42" t="str">
            <v/>
          </cell>
          <cell r="AP42" t="str">
            <v>-</v>
          </cell>
          <cell r="AQ42" t="str">
            <v>-</v>
          </cell>
          <cell r="AR42" t="str">
            <v>-</v>
          </cell>
          <cell r="AT42" t="str">
            <v/>
          </cell>
          <cell r="AU42" t="str">
            <v>-</v>
          </cell>
          <cell r="AV42" t="str">
            <v>-</v>
          </cell>
          <cell r="AW42" t="str">
            <v>-</v>
          </cell>
        </row>
        <row r="43">
          <cell r="B43" t="str">
            <v>##중국 남부</v>
          </cell>
          <cell r="C43" t="str">
            <v>가능</v>
          </cell>
          <cell r="D43" t="str">
            <v>마카오 부근</v>
          </cell>
          <cell r="E43" t="str">
            <v>내경도</v>
          </cell>
          <cell r="F43" t="str">
            <v>종류:미술품</v>
          </cell>
          <cell r="G43">
            <v>70416006</v>
          </cell>
          <cell r="H43">
            <v>4</v>
          </cell>
          <cell r="I43" t="b">
            <v>0</v>
          </cell>
          <cell r="J43" t="str">
            <v>운남 참마도</v>
          </cell>
          <cell r="K43" t="str">
            <v>종류:역사유물</v>
          </cell>
          <cell r="L43">
            <v>70417143</v>
          </cell>
          <cell r="M43">
            <v>292</v>
          </cell>
          <cell r="N43" t="b">
            <v>0</v>
          </cell>
          <cell r="O43" t="str">
            <v>마두금</v>
          </cell>
          <cell r="P43" t="str">
            <v>종류:보물</v>
          </cell>
          <cell r="Q43">
            <v>70417049</v>
          </cell>
          <cell r="R43">
            <v>666</v>
          </cell>
          <cell r="S43" t="b">
            <v>0</v>
          </cell>
          <cell r="T43" t="str">
            <v>제왕도</v>
          </cell>
          <cell r="U43" t="str">
            <v>종류:미술품</v>
          </cell>
          <cell r="V43">
            <v>70416060</v>
          </cell>
          <cell r="W43">
            <v>292</v>
          </cell>
          <cell r="X43" t="b">
            <v>0</v>
          </cell>
          <cell r="Y43" t="str">
            <v>첸링</v>
          </cell>
          <cell r="Z43" t="str">
            <v>종류:사적</v>
          </cell>
          <cell r="AA43">
            <v>70410000</v>
          </cell>
          <cell r="AB43">
            <v>292</v>
          </cell>
          <cell r="AC43" t="b">
            <v>0</v>
          </cell>
          <cell r="AD43" t="str">
            <v>생황</v>
          </cell>
          <cell r="AE43" t="str">
            <v>종류:보물</v>
          </cell>
          <cell r="AF43">
            <v>70417090</v>
          </cell>
          <cell r="AG43">
            <v>292</v>
          </cell>
          <cell r="AH43" t="b">
            <v>0</v>
          </cell>
          <cell r="AJ43" t="str">
            <v/>
          </cell>
          <cell r="AK43" t="str">
            <v>-</v>
          </cell>
          <cell r="AL43" t="str">
            <v>-</v>
          </cell>
          <cell r="AM43" t="str">
            <v>-</v>
          </cell>
          <cell r="AO43" t="str">
            <v/>
          </cell>
          <cell r="AP43" t="str">
            <v>-</v>
          </cell>
          <cell r="AQ43" t="str">
            <v>-</v>
          </cell>
          <cell r="AR43" t="str">
            <v>-</v>
          </cell>
          <cell r="AT43" t="str">
            <v/>
          </cell>
          <cell r="AU43" t="str">
            <v>-</v>
          </cell>
          <cell r="AV43" t="str">
            <v>-</v>
          </cell>
          <cell r="AW43" t="str">
            <v>-</v>
          </cell>
        </row>
        <row r="44">
          <cell r="B44" t="str">
            <v>##장강</v>
          </cell>
          <cell r="C44" t="str">
            <v>가능</v>
          </cell>
          <cell r="D44" t="str">
            <v>중경 부근</v>
          </cell>
          <cell r="E44" t="str">
            <v>작</v>
          </cell>
          <cell r="F44" t="str">
            <v>종류:역사유물</v>
          </cell>
          <cell r="G44">
            <v>70401130</v>
          </cell>
          <cell r="H44">
            <v>666</v>
          </cell>
          <cell r="I44" t="b">
            <v>0</v>
          </cell>
          <cell r="J44" t="str">
            <v>양쯔강악어</v>
          </cell>
          <cell r="K44" t="str">
            <v>종류:파충류</v>
          </cell>
          <cell r="L44">
            <v>70408042</v>
          </cell>
          <cell r="M44">
            <v>95</v>
          </cell>
          <cell r="N44" t="b">
            <v>0</v>
          </cell>
          <cell r="O44" t="str">
            <v>추림만학도</v>
          </cell>
          <cell r="P44" t="str">
            <v>종류:미술품</v>
          </cell>
          <cell r="Q44">
            <v>70416067</v>
          </cell>
          <cell r="R44">
            <v>24</v>
          </cell>
          <cell r="S44" t="b">
            <v>0</v>
          </cell>
          <cell r="T44" t="str">
            <v>남해기귀내법전</v>
          </cell>
          <cell r="U44" t="str">
            <v>종류:종교유물</v>
          </cell>
          <cell r="V44">
            <v>70402013</v>
          </cell>
          <cell r="W44">
            <v>292</v>
          </cell>
          <cell r="X44" t="b">
            <v>0</v>
          </cell>
          <cell r="Y44" t="str">
            <v>장한가</v>
          </cell>
          <cell r="Z44" t="str">
            <v>종류:보물</v>
          </cell>
          <cell r="AA44">
            <v>70417161</v>
          </cell>
          <cell r="AB44">
            <v>95</v>
          </cell>
          <cell r="AC44" t="b">
            <v>0</v>
          </cell>
          <cell r="AD44" t="str">
            <v>개미취</v>
          </cell>
          <cell r="AE44" t="str">
            <v>종류:쌍자엽</v>
          </cell>
          <cell r="AF44">
            <v>70403004</v>
          </cell>
          <cell r="AG44">
            <v>4</v>
          </cell>
          <cell r="AH44" t="b">
            <v>0</v>
          </cell>
          <cell r="AJ44" t="str">
            <v/>
          </cell>
          <cell r="AK44" t="str">
            <v>-</v>
          </cell>
          <cell r="AL44" t="str">
            <v>-</v>
          </cell>
          <cell r="AM44" t="str">
            <v>-</v>
          </cell>
          <cell r="AO44" t="str">
            <v/>
          </cell>
          <cell r="AP44" t="str">
            <v>-</v>
          </cell>
          <cell r="AQ44" t="str">
            <v>-</v>
          </cell>
          <cell r="AR44" t="str">
            <v>-</v>
          </cell>
          <cell r="AT44" t="str">
            <v/>
          </cell>
          <cell r="AU44" t="str">
            <v>-</v>
          </cell>
          <cell r="AV44" t="str">
            <v>-</v>
          </cell>
          <cell r="AW44" t="str">
            <v>-</v>
          </cell>
        </row>
        <row r="45">
          <cell r="B45" t="str">
            <v>##황허</v>
          </cell>
          <cell r="C45" t="str">
            <v>가능</v>
          </cell>
          <cell r="D45" t="str">
            <v>북경 부근</v>
          </cell>
          <cell r="E45" t="str">
            <v>경교비</v>
          </cell>
          <cell r="F45" t="str">
            <v>종류:종교유물</v>
          </cell>
          <cell r="G45">
            <v>70402002</v>
          </cell>
          <cell r="H45">
            <v>95</v>
          </cell>
          <cell r="I45" t="b">
            <v>0</v>
          </cell>
          <cell r="J45" t="str">
            <v>살쾡이</v>
          </cell>
          <cell r="K45" t="str">
            <v>종류:포유류</v>
          </cell>
          <cell r="L45">
            <v>70407044</v>
          </cell>
          <cell r="M45">
            <v>292</v>
          </cell>
          <cell r="N45" t="b">
            <v>0</v>
          </cell>
          <cell r="O45" t="str">
            <v>난정서</v>
          </cell>
          <cell r="P45" t="str">
            <v>종류:보물</v>
          </cell>
          <cell r="Q45">
            <v>70417024</v>
          </cell>
          <cell r="R45">
            <v>24</v>
          </cell>
          <cell r="S45" t="b">
            <v>0</v>
          </cell>
          <cell r="T45" t="str">
            <v>보리자나무</v>
          </cell>
          <cell r="U45" t="str">
            <v>종류:쌍자엽</v>
          </cell>
          <cell r="V45">
            <v>70403050</v>
          </cell>
          <cell r="W45">
            <v>4</v>
          </cell>
          <cell r="X45" t="b">
            <v>0</v>
          </cell>
          <cell r="Y45" t="str">
            <v>상사조</v>
          </cell>
          <cell r="Z45" t="str">
            <v>종류:조류</v>
          </cell>
          <cell r="AA45">
            <v>70405055</v>
          </cell>
          <cell r="AB45">
            <v>24</v>
          </cell>
          <cell r="AC45" t="b">
            <v>0</v>
          </cell>
          <cell r="AD45" t="str">
            <v>육임 식반</v>
          </cell>
          <cell r="AE45" t="str">
            <v>종류:보물</v>
          </cell>
          <cell r="AF45">
            <v>70417148</v>
          </cell>
          <cell r="AG45">
            <v>292</v>
          </cell>
          <cell r="AH45" t="b">
            <v>0</v>
          </cell>
          <cell r="AI45" t="str">
            <v>붉은배 딱따구리</v>
          </cell>
          <cell r="AJ45" t="str">
            <v>종류:조류</v>
          </cell>
          <cell r="AK45">
            <v>70405049</v>
          </cell>
          <cell r="AL45">
            <v>292</v>
          </cell>
          <cell r="AM45" t="b">
            <v>0</v>
          </cell>
          <cell r="AO45" t="str">
            <v/>
          </cell>
          <cell r="AP45" t="str">
            <v>-</v>
          </cell>
          <cell r="AQ45" t="str">
            <v>-</v>
          </cell>
          <cell r="AR45" t="str">
            <v>-</v>
          </cell>
          <cell r="AT45" t="str">
            <v/>
          </cell>
          <cell r="AU45" t="str">
            <v>-</v>
          </cell>
          <cell r="AV45" t="str">
            <v>-</v>
          </cell>
          <cell r="AW45" t="str">
            <v>-</v>
          </cell>
        </row>
        <row r="46">
          <cell r="B46" t="str">
            <v>##인도차이나</v>
          </cell>
          <cell r="C46" t="str">
            <v>가능</v>
          </cell>
          <cell r="D46" t="str">
            <v>하노이 부근</v>
          </cell>
          <cell r="E46" t="str">
            <v>아틀라스왕장수풍뎅이</v>
          </cell>
          <cell r="F46" t="str">
            <v>종류:무척추동물</v>
          </cell>
          <cell r="G46">
            <v>70404025</v>
          </cell>
          <cell r="H46">
            <v>666</v>
          </cell>
          <cell r="I46" t="b">
            <v>0</v>
          </cell>
          <cell r="J46" t="str">
            <v>말레이제왕매미</v>
          </cell>
          <cell r="K46" t="str">
            <v>종류:무척추동물</v>
          </cell>
          <cell r="L46">
            <v>70404010</v>
          </cell>
          <cell r="M46">
            <v>292</v>
          </cell>
          <cell r="N46" t="b">
            <v>0</v>
          </cell>
          <cell r="O46" t="str">
            <v>날도마뱀</v>
          </cell>
          <cell r="P46" t="str">
            <v>종류:파충류</v>
          </cell>
          <cell r="Q46">
            <v>70406016</v>
          </cell>
          <cell r="R46">
            <v>292</v>
          </cell>
          <cell r="S46" t="b">
            <v>0</v>
          </cell>
          <cell r="T46" t="str">
            <v>러셀살무사</v>
          </cell>
          <cell r="U46" t="str">
            <v>종류:파충류</v>
          </cell>
          <cell r="V46">
            <v>70406026</v>
          </cell>
          <cell r="W46">
            <v>24</v>
          </cell>
          <cell r="X46" t="b">
            <v>0</v>
          </cell>
          <cell r="Y46" t="str">
            <v>아모르포팔루스 티타눔</v>
          </cell>
          <cell r="Z46" t="str">
            <v>종류:단자엽</v>
          </cell>
          <cell r="AA46">
            <v>70403086</v>
          </cell>
          <cell r="AB46">
            <v>4</v>
          </cell>
          <cell r="AC46" t="b">
            <v>0</v>
          </cell>
          <cell r="AD46" t="str">
            <v>자야바르만 7세의 두상</v>
          </cell>
          <cell r="AE46" t="str">
            <v>종류:역사유물</v>
          </cell>
          <cell r="AF46">
            <v>70417159</v>
          </cell>
          <cell r="AG46">
            <v>95</v>
          </cell>
          <cell r="AH46" t="b">
            <v>0</v>
          </cell>
          <cell r="AJ46" t="str">
            <v/>
          </cell>
          <cell r="AK46" t="str">
            <v>-</v>
          </cell>
          <cell r="AL46" t="str">
            <v>-</v>
          </cell>
          <cell r="AM46" t="str">
            <v>-</v>
          </cell>
          <cell r="AO46" t="str">
            <v/>
          </cell>
          <cell r="AP46" t="str">
            <v>-</v>
          </cell>
          <cell r="AQ46" t="str">
            <v>-</v>
          </cell>
          <cell r="AR46" t="str">
            <v>-</v>
          </cell>
          <cell r="AT46" t="str">
            <v/>
          </cell>
          <cell r="AU46" t="str">
            <v>-</v>
          </cell>
          <cell r="AV46" t="str">
            <v>-</v>
          </cell>
          <cell r="AW46" t="str">
            <v>-</v>
          </cell>
        </row>
        <row r="47">
          <cell r="B47" t="str">
            <v>##파간유적</v>
          </cell>
          <cell r="C47" t="str">
            <v>가능</v>
          </cell>
          <cell r="D47" t="str">
            <v>페구 부근</v>
          </cell>
          <cell r="E47" t="str">
            <v>게아재비</v>
          </cell>
          <cell r="F47" t="str">
            <v>종류:무척추동물</v>
          </cell>
          <cell r="G47">
            <v>70404000</v>
          </cell>
          <cell r="H47">
            <v>666</v>
          </cell>
          <cell r="I47" t="b">
            <v>0</v>
          </cell>
          <cell r="J47" t="str">
            <v>토레니아</v>
          </cell>
          <cell r="K47" t="str">
            <v>종류:쌍자엽</v>
          </cell>
          <cell r="L47">
            <v>70403131</v>
          </cell>
          <cell r="M47">
            <v>666</v>
          </cell>
          <cell r="N47" t="b">
            <v>0</v>
          </cell>
          <cell r="O47" t="str">
            <v>람캄행 대왕의 비문</v>
          </cell>
          <cell r="P47" t="str">
            <v>종류:역사유물</v>
          </cell>
          <cell r="Q47">
            <v>70401029</v>
          </cell>
          <cell r="R47">
            <v>4</v>
          </cell>
          <cell r="S47" t="b">
            <v>0</v>
          </cell>
          <cell r="T47" t="str">
            <v>바이올린딱정벌레</v>
          </cell>
          <cell r="U47" t="str">
            <v>종류:무척추동물</v>
          </cell>
          <cell r="V47">
            <v>70404012</v>
          </cell>
          <cell r="W47">
            <v>95</v>
          </cell>
          <cell r="X47" t="b">
            <v>0</v>
          </cell>
          <cell r="Y47" t="str">
            <v>삼바</v>
          </cell>
          <cell r="Z47" t="str">
            <v>종류:포유류</v>
          </cell>
          <cell r="AA47">
            <v>70408030</v>
          </cell>
          <cell r="AB47">
            <v>24</v>
          </cell>
          <cell r="AC47" t="b">
            <v>0</v>
          </cell>
          <cell r="AD47" t="str">
            <v>안경원숭이</v>
          </cell>
          <cell r="AE47" t="str">
            <v>종류:포유류</v>
          </cell>
          <cell r="AF47">
            <v>70406067</v>
          </cell>
          <cell r="AG47">
            <v>666</v>
          </cell>
          <cell r="AH47" t="b">
            <v>0</v>
          </cell>
          <cell r="AJ47" t="str">
            <v/>
          </cell>
          <cell r="AK47" t="str">
            <v>-</v>
          </cell>
          <cell r="AL47" t="str">
            <v>-</v>
          </cell>
          <cell r="AM47" t="str">
            <v>-</v>
          </cell>
          <cell r="AO47" t="str">
            <v/>
          </cell>
          <cell r="AP47" t="str">
            <v>-</v>
          </cell>
          <cell r="AQ47" t="str">
            <v>-</v>
          </cell>
          <cell r="AR47" t="str">
            <v>-</v>
          </cell>
          <cell r="AT47" t="str">
            <v/>
          </cell>
          <cell r="AU47" t="str">
            <v>-</v>
          </cell>
          <cell r="AV47" t="str">
            <v>-</v>
          </cell>
          <cell r="AW47" t="str">
            <v>-</v>
          </cell>
        </row>
        <row r="48">
          <cell r="B48" t="str">
            <v>##아랍</v>
          </cell>
          <cell r="C48" t="str">
            <v>가능</v>
          </cell>
          <cell r="D48" t="str">
            <v>도파르 부근</v>
          </cell>
          <cell r="E48" t="str">
            <v>에녹서</v>
          </cell>
          <cell r="F48" t="str">
            <v>종류:종교유물</v>
          </cell>
          <cell r="G48">
            <v>70402093</v>
          </cell>
          <cell r="H48">
            <v>666</v>
          </cell>
          <cell r="I48" t="b">
            <v>0</v>
          </cell>
          <cell r="J48" t="str">
            <v>수메르의 전차</v>
          </cell>
          <cell r="K48" t="str">
            <v>종류:역사유물</v>
          </cell>
          <cell r="L48">
            <v>70401075</v>
          </cell>
          <cell r="M48">
            <v>292</v>
          </cell>
          <cell r="N48" t="b">
            <v>0</v>
          </cell>
          <cell r="O48" t="str">
            <v>라가시</v>
          </cell>
          <cell r="P48" t="str">
            <v>종류:사적</v>
          </cell>
          <cell r="Q48">
            <v>70410013</v>
          </cell>
          <cell r="R48">
            <v>292</v>
          </cell>
          <cell r="S48" t="b">
            <v>0</v>
          </cell>
          <cell r="T48" t="str">
            <v>의학 전서</v>
          </cell>
          <cell r="U48" t="str">
            <v>종류:보물</v>
          </cell>
          <cell r="V48">
            <v>70417150</v>
          </cell>
          <cell r="W48">
            <v>95</v>
          </cell>
          <cell r="X48" t="b">
            <v>0</v>
          </cell>
          <cell r="Y48" t="str">
            <v>베히스툰 암각비</v>
          </cell>
          <cell r="Z48" t="str">
            <v>종류:역사유물</v>
          </cell>
          <cell r="AA48">
            <v>70401057</v>
          </cell>
          <cell r="AB48">
            <v>95</v>
          </cell>
          <cell r="AC48" t="b">
            <v>0</v>
          </cell>
          <cell r="AD48" t="str">
            <v>우르남무 법전</v>
          </cell>
          <cell r="AE48" t="str">
            <v>종류:종교유물</v>
          </cell>
          <cell r="AF48">
            <v>70402103</v>
          </cell>
          <cell r="AG48">
            <v>4</v>
          </cell>
          <cell r="AH48" t="b">
            <v>0</v>
          </cell>
          <cell r="AJ48" t="str">
            <v/>
          </cell>
          <cell r="AK48" t="str">
            <v>-</v>
          </cell>
          <cell r="AL48" t="str">
            <v>-</v>
          </cell>
          <cell r="AM48" t="str">
            <v>-</v>
          </cell>
          <cell r="AO48" t="str">
            <v/>
          </cell>
          <cell r="AP48" t="str">
            <v>-</v>
          </cell>
          <cell r="AQ48" t="str">
            <v>-</v>
          </cell>
          <cell r="AR48" t="str">
            <v>-</v>
          </cell>
          <cell r="AT48" t="str">
            <v/>
          </cell>
          <cell r="AU48" t="str">
            <v>-</v>
          </cell>
          <cell r="AV48" t="str">
            <v>-</v>
          </cell>
          <cell r="AW48" t="str">
            <v>-</v>
          </cell>
        </row>
        <row r="49">
          <cell r="B49" t="str">
            <v>##페르시아</v>
          </cell>
          <cell r="C49" t="str">
            <v>가능</v>
          </cell>
          <cell r="D49" t="str">
            <v>하라무즈 부근</v>
          </cell>
          <cell r="E49" t="str">
            <v>초가 잔빌</v>
          </cell>
          <cell r="F49" t="str">
            <v>종류:사적</v>
          </cell>
          <cell r="G49">
            <v>70410059</v>
          </cell>
          <cell r="H49">
            <v>666</v>
          </cell>
          <cell r="I49" t="b">
            <v>0</v>
          </cell>
          <cell r="J49" t="str">
            <v>산투르</v>
          </cell>
          <cell r="K49" t="str">
            <v>종류:보물</v>
          </cell>
          <cell r="L49">
            <v>70417083</v>
          </cell>
          <cell r="M49">
            <v>292</v>
          </cell>
          <cell r="N49" t="b">
            <v>0</v>
          </cell>
          <cell r="O49" t="str">
            <v>카라칼</v>
          </cell>
          <cell r="P49" t="str">
            <v>종류:포유류</v>
          </cell>
          <cell r="Q49">
            <v>70407081</v>
          </cell>
          <cell r="R49">
            <v>95</v>
          </cell>
          <cell r="S49" t="b">
            <v>0</v>
          </cell>
          <cell r="T49" t="str">
            <v>인안나상</v>
          </cell>
          <cell r="U49" t="str">
            <v>종류:종교유물</v>
          </cell>
          <cell r="V49">
            <v>70402113</v>
          </cell>
          <cell r="W49">
            <v>292</v>
          </cell>
          <cell r="X49" t="b">
            <v>0</v>
          </cell>
          <cell r="Y49" t="str">
            <v>루바이야트</v>
          </cell>
          <cell r="Z49" t="str">
            <v>종류:보물</v>
          </cell>
          <cell r="AA49">
            <v>70417044</v>
          </cell>
          <cell r="AB49">
            <v>95</v>
          </cell>
          <cell r="AC49" t="b">
            <v>0</v>
          </cell>
          <cell r="AD49" t="str">
            <v>무캇디마</v>
          </cell>
          <cell r="AE49" t="str">
            <v>종류:역사유물</v>
          </cell>
          <cell r="AF49">
            <v>70417061</v>
          </cell>
          <cell r="AG49">
            <v>4</v>
          </cell>
          <cell r="AH49" t="b">
            <v>0</v>
          </cell>
          <cell r="AJ49" t="str">
            <v/>
          </cell>
          <cell r="AK49" t="str">
            <v>-</v>
          </cell>
          <cell r="AL49" t="str">
            <v>-</v>
          </cell>
          <cell r="AM49" t="str">
            <v>-</v>
          </cell>
          <cell r="AO49" t="str">
            <v/>
          </cell>
          <cell r="AP49" t="str">
            <v>-</v>
          </cell>
          <cell r="AQ49" t="str">
            <v>-</v>
          </cell>
          <cell r="AR49" t="str">
            <v>-</v>
          </cell>
          <cell r="AT49" t="str">
            <v/>
          </cell>
          <cell r="AU49" t="str">
            <v>-</v>
          </cell>
          <cell r="AV49" t="str">
            <v>-</v>
          </cell>
          <cell r="AW49" t="str">
            <v>-</v>
          </cell>
        </row>
        <row r="50">
          <cell r="B50" t="str">
            <v>##인도</v>
          </cell>
          <cell r="C50" t="str">
            <v>가능</v>
          </cell>
          <cell r="D50" t="str">
            <v>고아 부근</v>
          </cell>
          <cell r="E50" t="str">
            <v>인도영양</v>
          </cell>
          <cell r="F50" t="str">
            <v>종류:포유류</v>
          </cell>
          <cell r="G50">
            <v>70407066</v>
          </cell>
          <cell r="H50">
            <v>666</v>
          </cell>
          <cell r="I50" t="b">
            <v>0</v>
          </cell>
          <cell r="J50" t="str">
            <v>불공성취여래</v>
          </cell>
          <cell r="K50" t="str">
            <v>종류:종교유물</v>
          </cell>
          <cell r="L50">
            <v>70402046</v>
          </cell>
          <cell r="M50">
            <v>4</v>
          </cell>
          <cell r="N50" t="b">
            <v>0</v>
          </cell>
          <cell r="O50" t="str">
            <v>유마경</v>
          </cell>
          <cell r="P50" t="str">
            <v>종류:종교유물</v>
          </cell>
          <cell r="Q50">
            <v>70402108</v>
          </cell>
          <cell r="R50">
            <v>292</v>
          </cell>
          <cell r="S50" t="b">
            <v>0</v>
          </cell>
          <cell r="T50" t="str">
            <v>만다라도</v>
          </cell>
          <cell r="U50" t="str">
            <v>종류:종교유물</v>
          </cell>
          <cell r="V50">
            <v>70402032</v>
          </cell>
          <cell r="W50">
            <v>95</v>
          </cell>
          <cell r="X50" t="b">
            <v>0</v>
          </cell>
          <cell r="Y50" t="str">
            <v>칼리의 부조</v>
          </cell>
          <cell r="Z50" t="str">
            <v>종류:종교유물</v>
          </cell>
          <cell r="AA50">
            <v>70402135</v>
          </cell>
          <cell r="AB50">
            <v>292</v>
          </cell>
          <cell r="AC50" t="b">
            <v>0</v>
          </cell>
          <cell r="AD50" t="str">
            <v>아타르바베다</v>
          </cell>
          <cell r="AE50" t="str">
            <v>종류:종교유물</v>
          </cell>
          <cell r="AF50">
            <v>70402086</v>
          </cell>
          <cell r="AG50">
            <v>95</v>
          </cell>
          <cell r="AH50" t="b">
            <v>0</v>
          </cell>
          <cell r="AI50" t="str">
            <v>별거북</v>
          </cell>
          <cell r="AJ50" t="str">
            <v>종류:파충류</v>
          </cell>
          <cell r="AK50">
            <v>70407032</v>
          </cell>
          <cell r="AL50">
            <v>666</v>
          </cell>
          <cell r="AM50" t="b">
            <v>0</v>
          </cell>
          <cell r="AO50" t="str">
            <v/>
          </cell>
          <cell r="AP50" t="str">
            <v>-</v>
          </cell>
          <cell r="AQ50" t="str">
            <v>-</v>
          </cell>
          <cell r="AR50" t="str">
            <v>-</v>
          </cell>
          <cell r="AT50" t="str">
            <v/>
          </cell>
          <cell r="AU50" t="str">
            <v>-</v>
          </cell>
          <cell r="AV50" t="str">
            <v>-</v>
          </cell>
          <cell r="AW50" t="str">
            <v>-</v>
          </cell>
        </row>
        <row r="51">
          <cell r="B51" t="str">
            <v>##인도 동부</v>
          </cell>
          <cell r="C51" t="str">
            <v>가능</v>
          </cell>
          <cell r="D51" t="str">
            <v>마실리파트남 부근</v>
          </cell>
          <cell r="E51" t="str">
            <v>석가모니의 사리함</v>
          </cell>
          <cell r="F51" t="str">
            <v>종류:종교유물</v>
          </cell>
          <cell r="G51">
            <v>70402056</v>
          </cell>
          <cell r="H51">
            <v>4</v>
          </cell>
          <cell r="I51" t="b">
            <v>0</v>
          </cell>
          <cell r="J51" t="str">
            <v>하누만의 부조</v>
          </cell>
          <cell r="K51" t="str">
            <v>종류:종교유물</v>
          </cell>
          <cell r="L51">
            <v>70402155</v>
          </cell>
          <cell r="M51">
            <v>666</v>
          </cell>
          <cell r="N51" t="b">
            <v>0</v>
          </cell>
          <cell r="O51" t="str">
            <v>구름표범</v>
          </cell>
          <cell r="P51" t="str">
            <v>종류:포유류</v>
          </cell>
          <cell r="Q51">
            <v>70407007</v>
          </cell>
          <cell r="R51">
            <v>292</v>
          </cell>
          <cell r="S51" t="b">
            <v>0</v>
          </cell>
          <cell r="T51" t="str">
            <v>중론</v>
          </cell>
          <cell r="U51" t="str">
            <v>종류:종교유물</v>
          </cell>
          <cell r="V51">
            <v>70402121</v>
          </cell>
          <cell r="W51">
            <v>666</v>
          </cell>
          <cell r="X51" t="b">
            <v>0</v>
          </cell>
          <cell r="Y51" t="str">
            <v>황금랑구르</v>
          </cell>
          <cell r="Z51" t="str">
            <v>종류:포유류</v>
          </cell>
          <cell r="AA51">
            <v>70407104</v>
          </cell>
          <cell r="AB51">
            <v>95</v>
          </cell>
          <cell r="AC51" t="b">
            <v>0</v>
          </cell>
          <cell r="AD51" t="str">
            <v>사슴벌레</v>
          </cell>
          <cell r="AE51" t="str">
            <v>종류:무척추동물</v>
          </cell>
          <cell r="AF51">
            <v>70404020</v>
          </cell>
          <cell r="AG51">
            <v>95</v>
          </cell>
          <cell r="AH51" t="b">
            <v>0</v>
          </cell>
          <cell r="AI51" t="str">
            <v>크리슈나상</v>
          </cell>
          <cell r="AJ51" t="str">
            <v>종류:종교유물</v>
          </cell>
          <cell r="AK51">
            <v>70402139</v>
          </cell>
          <cell r="AL51">
            <v>292</v>
          </cell>
          <cell r="AM51" t="b">
            <v>0</v>
          </cell>
          <cell r="AO51" t="str">
            <v/>
          </cell>
          <cell r="AP51" t="str">
            <v>-</v>
          </cell>
          <cell r="AQ51" t="str">
            <v>-</v>
          </cell>
          <cell r="AR51" t="str">
            <v>-</v>
          </cell>
          <cell r="AT51" t="str">
            <v/>
          </cell>
          <cell r="AU51" t="str">
            <v>-</v>
          </cell>
          <cell r="AV51" t="str">
            <v>-</v>
          </cell>
          <cell r="AW51" t="str">
            <v>-</v>
          </cell>
        </row>
        <row r="52">
          <cell r="B52" t="str">
            <v>##동남아군도</v>
          </cell>
          <cell r="C52" t="str">
            <v>가능</v>
          </cell>
          <cell r="D52" t="str">
            <v>브루네이 부근</v>
          </cell>
          <cell r="E52" t="str">
            <v>큰코뿔새</v>
          </cell>
          <cell r="F52" t="str">
            <v>종류:조류</v>
          </cell>
          <cell r="G52">
            <v>70405098</v>
          </cell>
          <cell r="H52">
            <v>95</v>
          </cell>
          <cell r="I52" t="b">
            <v>0</v>
          </cell>
          <cell r="J52" t="str">
            <v>주홍점박이긴앞다리풍뎅이</v>
          </cell>
          <cell r="K52" t="str">
            <v>종류:무척추동물</v>
          </cell>
          <cell r="L52">
            <v>70404037</v>
          </cell>
          <cell r="M52">
            <v>292</v>
          </cell>
          <cell r="N52" t="b">
            <v>0</v>
          </cell>
          <cell r="O52" t="str">
            <v>필석류 화석</v>
          </cell>
          <cell r="P52" t="str">
            <v>종류:화석</v>
          </cell>
          <cell r="Q52">
            <v>70418033</v>
          </cell>
          <cell r="R52">
            <v>292</v>
          </cell>
          <cell r="S52" t="b">
            <v>0</v>
          </cell>
          <cell r="T52" t="str">
            <v>기라파톱사슴벌레</v>
          </cell>
          <cell r="U52" t="str">
            <v>종류:무척추동물</v>
          </cell>
          <cell r="V52">
            <v>70404003</v>
          </cell>
          <cell r="W52">
            <v>24</v>
          </cell>
          <cell r="X52" t="b">
            <v>0</v>
          </cell>
          <cell r="Y52" t="str">
            <v>아스맛족 머리 장식</v>
          </cell>
          <cell r="Z52" t="str">
            <v>종류:보물</v>
          </cell>
          <cell r="AA52">
            <v>70417120</v>
          </cell>
          <cell r="AB52">
            <v>95</v>
          </cell>
          <cell r="AC52" t="b">
            <v>0</v>
          </cell>
          <cell r="AD52" t="str">
            <v>아이리데스</v>
          </cell>
          <cell r="AE52" t="str">
            <v>종류:단자엽</v>
          </cell>
          <cell r="AF52">
            <v>70403089</v>
          </cell>
          <cell r="AG52">
            <v>4</v>
          </cell>
          <cell r="AH52" t="b">
            <v>0</v>
          </cell>
          <cell r="AJ52" t="str">
            <v/>
          </cell>
          <cell r="AK52" t="str">
            <v>-</v>
          </cell>
          <cell r="AL52" t="str">
            <v>-</v>
          </cell>
          <cell r="AM52" t="str">
            <v>-</v>
          </cell>
          <cell r="AO52" t="str">
            <v/>
          </cell>
          <cell r="AP52" t="str">
            <v>-</v>
          </cell>
          <cell r="AQ52" t="str">
            <v>-</v>
          </cell>
          <cell r="AR52" t="str">
            <v>-</v>
          </cell>
          <cell r="AT52" t="str">
            <v/>
          </cell>
          <cell r="AU52" t="str">
            <v>-</v>
          </cell>
          <cell r="AV52" t="str">
            <v>-</v>
          </cell>
          <cell r="AW52" t="str">
            <v>-</v>
          </cell>
        </row>
        <row r="53">
          <cell r="B53" t="str">
            <v>##소순다 열도</v>
          </cell>
          <cell r="C53" t="str">
            <v>가능</v>
          </cell>
          <cell r="D53" t="str">
            <v>수라바야 부근</v>
          </cell>
          <cell r="E53" t="str">
            <v>갈색나무뱀</v>
          </cell>
          <cell r="F53" t="str">
            <v>종류:파충류</v>
          </cell>
          <cell r="G53">
            <v>70406003</v>
          </cell>
          <cell r="H53">
            <v>666</v>
          </cell>
          <cell r="I53" t="b">
            <v>0</v>
          </cell>
          <cell r="J53" t="str">
            <v>오색 청해 앵무</v>
          </cell>
          <cell r="K53" t="str">
            <v>종류:조류</v>
          </cell>
          <cell r="L53">
            <v>70405071</v>
          </cell>
          <cell r="M53">
            <v>292</v>
          </cell>
          <cell r="N53" t="b">
            <v>0</v>
          </cell>
          <cell r="O53" t="str">
            <v>날개구리</v>
          </cell>
          <cell r="P53" t="str">
            <v>종류:파충류</v>
          </cell>
          <cell r="Q53">
            <v>70406015</v>
          </cell>
          <cell r="R53">
            <v>95</v>
          </cell>
          <cell r="S53" t="b">
            <v>0</v>
          </cell>
          <cell r="T53" t="str">
            <v>댕기흰찌르레기</v>
          </cell>
          <cell r="U53" t="str">
            <v>종류:조류</v>
          </cell>
          <cell r="V53">
            <v>70405030</v>
          </cell>
          <cell r="W53">
            <v>24</v>
          </cell>
          <cell r="X53" t="b">
            <v>0</v>
          </cell>
          <cell r="Y53" t="str">
            <v>말레이맥</v>
          </cell>
          <cell r="Z53" t="str">
            <v>종류:포유류</v>
          </cell>
          <cell r="AA53">
            <v>70408014</v>
          </cell>
          <cell r="AB53">
            <v>292</v>
          </cell>
          <cell r="AC53" t="b">
            <v>0</v>
          </cell>
          <cell r="AD53" t="str">
            <v>수달사향고양이</v>
          </cell>
          <cell r="AE53" t="str">
            <v>종류:포유류</v>
          </cell>
          <cell r="AF53">
            <v>70406057</v>
          </cell>
          <cell r="AG53">
            <v>24</v>
          </cell>
          <cell r="AH53" t="b">
            <v>0</v>
          </cell>
          <cell r="AI53" t="str">
            <v>와양 쿨릿</v>
          </cell>
          <cell r="AJ53" t="str">
            <v>종류:보물</v>
          </cell>
          <cell r="AK53">
            <v>70417137</v>
          </cell>
          <cell r="AL53">
            <v>292</v>
          </cell>
          <cell r="AM53" t="b">
            <v>0</v>
          </cell>
          <cell r="AO53" t="str">
            <v/>
          </cell>
          <cell r="AP53" t="str">
            <v>-</v>
          </cell>
          <cell r="AQ53" t="str">
            <v>-</v>
          </cell>
          <cell r="AR53" t="str">
            <v>-</v>
          </cell>
          <cell r="AT53" t="str">
            <v/>
          </cell>
          <cell r="AU53" t="str">
            <v>-</v>
          </cell>
          <cell r="AV53" t="str">
            <v>-</v>
          </cell>
          <cell r="AW53" t="str">
            <v>-</v>
          </cell>
        </row>
        <row r="54">
          <cell r="B54" t="str">
            <v>##보르네오 섬</v>
          </cell>
          <cell r="C54" t="str">
            <v>가능</v>
          </cell>
          <cell r="D54" t="str">
            <v>쿠칭 부근</v>
          </cell>
          <cell r="E54" t="str">
            <v>물소</v>
          </cell>
          <cell r="F54" t="str">
            <v>종류:포유류</v>
          </cell>
          <cell r="G54">
            <v>70408018</v>
          </cell>
          <cell r="H54">
            <v>666</v>
          </cell>
          <cell r="I54" t="b">
            <v>0</v>
          </cell>
          <cell r="J54" t="str">
            <v>코카서스왕장수풍뎅이</v>
          </cell>
          <cell r="K54" t="str">
            <v>종류:무척추동물</v>
          </cell>
          <cell r="L54">
            <v>70404041</v>
          </cell>
          <cell r="M54">
            <v>292</v>
          </cell>
          <cell r="N54" t="b">
            <v>0</v>
          </cell>
          <cell r="O54" t="str">
            <v>느림보곰</v>
          </cell>
          <cell r="P54" t="str">
            <v>종류:포유류</v>
          </cell>
          <cell r="Q54">
            <v>70408009</v>
          </cell>
          <cell r="R54">
            <v>95</v>
          </cell>
          <cell r="S54" t="b">
            <v>0</v>
          </cell>
          <cell r="T54" t="str">
            <v>큰나뭇잎벌레</v>
          </cell>
          <cell r="U54" t="str">
            <v>종류:무척추동물</v>
          </cell>
          <cell r="V54">
            <v>70404042</v>
          </cell>
          <cell r="W54">
            <v>95</v>
          </cell>
          <cell r="X54" t="b">
            <v>0</v>
          </cell>
          <cell r="Y54" t="str">
            <v>오각뿔장수풍뎅이</v>
          </cell>
          <cell r="Z54" t="str">
            <v>종류:무척추동물</v>
          </cell>
          <cell r="AA54">
            <v>70404028</v>
          </cell>
          <cell r="AB54">
            <v>24</v>
          </cell>
          <cell r="AC54" t="b">
            <v>0</v>
          </cell>
          <cell r="AD54" t="str">
            <v>사람얼굴노린재</v>
          </cell>
          <cell r="AE54" t="str">
            <v>종류:무척추동물</v>
          </cell>
          <cell r="AF54">
            <v>70404018</v>
          </cell>
          <cell r="AG54">
            <v>4</v>
          </cell>
          <cell r="AH54" t="b">
            <v>0</v>
          </cell>
          <cell r="AI54" t="str">
            <v>코주부원숭이</v>
          </cell>
          <cell r="AJ54" t="str">
            <v>종류:포유류</v>
          </cell>
          <cell r="AK54">
            <v>70407086</v>
          </cell>
          <cell r="AL54">
            <v>666</v>
          </cell>
          <cell r="AM54" t="b">
            <v>0</v>
          </cell>
          <cell r="AO54" t="str">
            <v/>
          </cell>
          <cell r="AP54" t="str">
            <v>-</v>
          </cell>
          <cell r="AQ54" t="str">
            <v>-</v>
          </cell>
          <cell r="AR54" t="str">
            <v>-</v>
          </cell>
          <cell r="AT54" t="str">
            <v/>
          </cell>
          <cell r="AU54" t="str">
            <v>-</v>
          </cell>
          <cell r="AV54" t="str">
            <v>-</v>
          </cell>
          <cell r="AW54" t="str">
            <v>-</v>
          </cell>
        </row>
        <row r="55">
          <cell r="B55" t="str">
            <v>##대만</v>
          </cell>
          <cell r="C55" t="str">
            <v>가능</v>
          </cell>
          <cell r="D55" t="str">
            <v>타이난 부근</v>
          </cell>
          <cell r="E55" t="str">
            <v>아기사슴</v>
          </cell>
          <cell r="F55" t="str">
            <v>종류:포유류</v>
          </cell>
          <cell r="G55">
            <v>70407050</v>
          </cell>
          <cell r="H55">
            <v>666</v>
          </cell>
          <cell r="I55" t="b">
            <v>0</v>
          </cell>
          <cell r="J55" t="str">
            <v>고사백합</v>
          </cell>
          <cell r="K55" t="str">
            <v>종류:단자엽</v>
          </cell>
          <cell r="L55">
            <v>70403006</v>
          </cell>
          <cell r="M55">
            <v>666</v>
          </cell>
          <cell r="N55" t="b">
            <v>0</v>
          </cell>
          <cell r="O55" t="str">
            <v>뿔남천</v>
          </cell>
          <cell r="P55" t="str">
            <v>종류:쌍자엽</v>
          </cell>
          <cell r="Q55">
            <v>70403062</v>
          </cell>
          <cell r="R55">
            <v>666</v>
          </cell>
          <cell r="S55" t="b">
            <v>0</v>
          </cell>
          <cell r="T55" t="str">
            <v>앵가석</v>
          </cell>
          <cell r="U55" t="str">
            <v>종류:역사유물</v>
          </cell>
          <cell r="V55">
            <v>70401097</v>
          </cell>
          <cell r="W55">
            <v>292</v>
          </cell>
          <cell r="X55" t="b">
            <v>0</v>
          </cell>
          <cell r="Y55" t="str">
            <v>미카도꿩</v>
          </cell>
          <cell r="Z55" t="str">
            <v>종류:조류</v>
          </cell>
          <cell r="AA55">
            <v>70405041</v>
          </cell>
          <cell r="AB55">
            <v>666</v>
          </cell>
          <cell r="AC55" t="b">
            <v>0</v>
          </cell>
          <cell r="AD55" t="str">
            <v>물푸레나무</v>
          </cell>
          <cell r="AE55" t="str">
            <v>종류:쌍자엽</v>
          </cell>
          <cell r="AF55">
            <v>70403039</v>
          </cell>
          <cell r="AG55">
            <v>292</v>
          </cell>
          <cell r="AH55" t="b">
            <v>0</v>
          </cell>
          <cell r="AI55" t="str">
            <v>산계</v>
          </cell>
          <cell r="AJ55" t="str">
            <v>종류:조류</v>
          </cell>
          <cell r="AK55">
            <v>70405054</v>
          </cell>
          <cell r="AL55">
            <v>24</v>
          </cell>
          <cell r="AM55" t="b">
            <v>0</v>
          </cell>
          <cell r="AO55" t="str">
            <v/>
          </cell>
          <cell r="AP55" t="str">
            <v>-</v>
          </cell>
          <cell r="AQ55" t="str">
            <v>-</v>
          </cell>
          <cell r="AR55" t="str">
            <v>-</v>
          </cell>
          <cell r="AT55" t="str">
            <v/>
          </cell>
          <cell r="AU55" t="str">
            <v>-</v>
          </cell>
          <cell r="AV55" t="str">
            <v>-</v>
          </cell>
          <cell r="AW55" t="str">
            <v>-</v>
          </cell>
        </row>
        <row r="56">
          <cell r="B56" t="str">
            <v>##류큐</v>
          </cell>
          <cell r="C56" t="str">
            <v>가능</v>
          </cell>
          <cell r="D56" t="str">
            <v>수이 부근</v>
          </cell>
          <cell r="E56" t="str">
            <v>따오기</v>
          </cell>
          <cell r="F56" t="str">
            <v>종류:조류</v>
          </cell>
          <cell r="G56">
            <v>70405033</v>
          </cell>
          <cell r="H56">
            <v>666</v>
          </cell>
          <cell r="I56" t="b">
            <v>0</v>
          </cell>
          <cell r="J56" t="str">
            <v>목련</v>
          </cell>
          <cell r="K56" t="str">
            <v>종류:쌍자엽</v>
          </cell>
          <cell r="L56">
            <v>70403036</v>
          </cell>
          <cell r="M56">
            <v>292</v>
          </cell>
          <cell r="N56" t="b">
            <v>0</v>
          </cell>
          <cell r="O56" t="str">
            <v>순비기나무</v>
          </cell>
          <cell r="P56" t="str">
            <v>종류:쌍자엽</v>
          </cell>
          <cell r="Q56">
            <v>70403077</v>
          </cell>
          <cell r="R56">
            <v>292</v>
          </cell>
          <cell r="S56" t="b">
            <v>0</v>
          </cell>
          <cell r="T56" t="str">
            <v>저녁매미</v>
          </cell>
          <cell r="U56" t="str">
            <v>종류:무척추동물</v>
          </cell>
          <cell r="V56">
            <v>70404035</v>
          </cell>
          <cell r="W56">
            <v>292</v>
          </cell>
          <cell r="X56" t="b">
            <v>0</v>
          </cell>
          <cell r="Y56" t="str">
            <v>휘파람새</v>
          </cell>
          <cell r="Z56" t="str">
            <v>종류:조류</v>
          </cell>
          <cell r="AA56">
            <v>70405119</v>
          </cell>
          <cell r="AB56">
            <v>24</v>
          </cell>
          <cell r="AC56" t="b">
            <v>0</v>
          </cell>
          <cell r="AD56" t="str">
            <v>청귀뚜라미</v>
          </cell>
          <cell r="AE56" t="str">
            <v>종류:무척추동물</v>
          </cell>
          <cell r="AF56">
            <v>70404038</v>
          </cell>
          <cell r="AG56">
            <v>292</v>
          </cell>
          <cell r="AH56" t="b">
            <v>0</v>
          </cell>
          <cell r="AI56" t="str">
            <v>두루미</v>
          </cell>
          <cell r="AJ56" t="str">
            <v>종류:조류</v>
          </cell>
          <cell r="AK56">
            <v>70405032</v>
          </cell>
          <cell r="AL56">
            <v>24</v>
          </cell>
          <cell r="AM56" t="b">
            <v>0</v>
          </cell>
          <cell r="AO56" t="str">
            <v/>
          </cell>
          <cell r="AP56" t="str">
            <v>-</v>
          </cell>
          <cell r="AQ56" t="str">
            <v>-</v>
          </cell>
          <cell r="AR56" t="str">
            <v>-</v>
          </cell>
          <cell r="AT56" t="str">
            <v/>
          </cell>
          <cell r="AU56" t="str">
            <v>-</v>
          </cell>
          <cell r="AV56" t="str">
            <v>-</v>
          </cell>
          <cell r="AW56" t="str">
            <v>-</v>
          </cell>
        </row>
        <row r="57">
          <cell r="B57" t="str">
            <v>##동동북방</v>
          </cell>
          <cell r="C57" t="str">
            <v>불가능</v>
          </cell>
          <cell r="D57" t="str">
            <v>코르프 부근</v>
          </cell>
          <cell r="E57" t="str">
            <v>페럿</v>
          </cell>
          <cell r="F57" t="str">
            <v>종류:포유류</v>
          </cell>
          <cell r="G57">
            <v>70406097</v>
          </cell>
          <cell r="H57">
            <v>666</v>
          </cell>
          <cell r="I57" t="b">
            <v>0</v>
          </cell>
          <cell r="J57" t="str">
            <v>보르조이</v>
          </cell>
          <cell r="K57" t="str">
            <v>종류:포유류</v>
          </cell>
          <cell r="L57">
            <v>70407033</v>
          </cell>
          <cell r="M57">
            <v>666</v>
          </cell>
          <cell r="N57" t="b">
            <v>0</v>
          </cell>
          <cell r="O57" t="str">
            <v>오목눈이</v>
          </cell>
          <cell r="P57" t="str">
            <v>종류:조류</v>
          </cell>
          <cell r="Q57">
            <v>70405070</v>
          </cell>
          <cell r="R57">
            <v>95</v>
          </cell>
          <cell r="S57" t="b">
            <v>0</v>
          </cell>
          <cell r="T57" t="str">
            <v>원앙사촌</v>
          </cell>
          <cell r="U57" t="str">
            <v>종류:조류</v>
          </cell>
          <cell r="V57">
            <v>70405075</v>
          </cell>
          <cell r="W57">
            <v>95</v>
          </cell>
          <cell r="X57" t="b">
            <v>0</v>
          </cell>
          <cell r="Z57" t="str">
            <v/>
          </cell>
          <cell r="AA57" t="str">
            <v>-</v>
          </cell>
          <cell r="AB57" t="str">
            <v>-</v>
          </cell>
          <cell r="AC57" t="str">
            <v>-</v>
          </cell>
          <cell r="AE57" t="str">
            <v/>
          </cell>
          <cell r="AF57" t="str">
            <v>-</v>
          </cell>
          <cell r="AG57" t="str">
            <v>-</v>
          </cell>
          <cell r="AH57" t="str">
            <v>-</v>
          </cell>
          <cell r="AJ57" t="str">
            <v/>
          </cell>
          <cell r="AK57" t="str">
            <v>-</v>
          </cell>
          <cell r="AL57" t="str">
            <v>-</v>
          </cell>
          <cell r="AM57" t="str">
            <v>-</v>
          </cell>
          <cell r="AO57" t="str">
            <v/>
          </cell>
          <cell r="AP57" t="str">
            <v>-</v>
          </cell>
          <cell r="AQ57" t="str">
            <v>-</v>
          </cell>
          <cell r="AR57" t="str">
            <v>-</v>
          </cell>
          <cell r="AT57" t="str">
            <v/>
          </cell>
          <cell r="AU57" t="str">
            <v>-</v>
          </cell>
          <cell r="AV57" t="str">
            <v>-</v>
          </cell>
          <cell r="AW57" t="str">
            <v>-</v>
          </cell>
        </row>
        <row r="58">
          <cell r="B58" t="str">
            <v>##북아메리카 동북</v>
          </cell>
          <cell r="C58" t="str">
            <v>가능</v>
          </cell>
          <cell r="D58" t="str">
            <v>누탁 부근</v>
          </cell>
          <cell r="E58" t="str">
            <v>신선나비</v>
          </cell>
          <cell r="F58" t="str">
            <v>종류:무척추동물</v>
          </cell>
          <cell r="G58">
            <v>70404023</v>
          </cell>
          <cell r="H58">
            <v>95</v>
          </cell>
          <cell r="I58" t="b">
            <v>0</v>
          </cell>
          <cell r="J58" t="str">
            <v>파랑 어치</v>
          </cell>
          <cell r="K58" t="str">
            <v>종류:조류</v>
          </cell>
          <cell r="L58">
            <v>70405104</v>
          </cell>
          <cell r="M58">
            <v>666</v>
          </cell>
          <cell r="N58" t="b">
            <v>0</v>
          </cell>
          <cell r="O58" t="str">
            <v>코코펠리의 벽화</v>
          </cell>
          <cell r="P58" t="str">
            <v>종류:종교유물</v>
          </cell>
          <cell r="Q58">
            <v>70402137</v>
          </cell>
          <cell r="R58">
            <v>95</v>
          </cell>
          <cell r="S58" t="b">
            <v>0</v>
          </cell>
          <cell r="T58" t="str">
            <v>백송고리</v>
          </cell>
          <cell r="U58" t="str">
            <v>종류:조류</v>
          </cell>
          <cell r="V58">
            <v>70405042</v>
          </cell>
          <cell r="W58">
            <v>24</v>
          </cell>
          <cell r="X58" t="b">
            <v>0</v>
          </cell>
          <cell r="Y58" t="str">
            <v>쿠 스틱</v>
          </cell>
          <cell r="Z58" t="str">
            <v>종류:역사유물</v>
          </cell>
          <cell r="AA58">
            <v>70417187</v>
          </cell>
          <cell r="AB58">
            <v>292</v>
          </cell>
          <cell r="AC58" t="b">
            <v>0</v>
          </cell>
          <cell r="AD58" t="str">
            <v>클로비스 찌르개</v>
          </cell>
          <cell r="AE58" t="str">
            <v>종류:역사유물</v>
          </cell>
          <cell r="AF58">
            <v>70401164</v>
          </cell>
          <cell r="AG58">
            <v>666</v>
          </cell>
          <cell r="AH58" t="b">
            <v>0</v>
          </cell>
          <cell r="AJ58" t="str">
            <v/>
          </cell>
          <cell r="AK58" t="str">
            <v>-</v>
          </cell>
          <cell r="AL58" t="str">
            <v>-</v>
          </cell>
          <cell r="AM58" t="str">
            <v>-</v>
          </cell>
          <cell r="AO58" t="str">
            <v/>
          </cell>
          <cell r="AP58" t="str">
            <v>-</v>
          </cell>
          <cell r="AQ58" t="str">
            <v>-</v>
          </cell>
          <cell r="AR58" t="str">
            <v>-</v>
          </cell>
          <cell r="AT58" t="str">
            <v/>
          </cell>
          <cell r="AU58" t="str">
            <v>-</v>
          </cell>
          <cell r="AV58" t="str">
            <v>-</v>
          </cell>
          <cell r="AW58" t="str">
            <v>-</v>
          </cell>
        </row>
        <row r="59">
          <cell r="B59" t="str">
            <v>##북아메리카 동남</v>
          </cell>
          <cell r="C59" t="str">
            <v>가능</v>
          </cell>
          <cell r="D59" t="str">
            <v>코하셋 부근</v>
          </cell>
          <cell r="E59" t="str">
            <v>가위꼬리딱새</v>
          </cell>
          <cell r="F59" t="str">
            <v>종류:조류</v>
          </cell>
          <cell r="G59">
            <v>70405002</v>
          </cell>
          <cell r="H59">
            <v>666</v>
          </cell>
          <cell r="I59" t="b">
            <v>0</v>
          </cell>
          <cell r="J59" t="str">
            <v>풍금새</v>
          </cell>
          <cell r="K59" t="str">
            <v>종류:조류</v>
          </cell>
          <cell r="L59">
            <v>70405107</v>
          </cell>
          <cell r="M59">
            <v>95</v>
          </cell>
          <cell r="N59" t="b">
            <v>0</v>
          </cell>
          <cell r="O59" t="str">
            <v>흰부리딱따구리</v>
          </cell>
          <cell r="P59" t="str">
            <v>종류:조류</v>
          </cell>
          <cell r="Q59">
            <v>70405126</v>
          </cell>
          <cell r="R59">
            <v>666</v>
          </cell>
          <cell r="S59" t="b">
            <v>0</v>
          </cell>
          <cell r="T59" t="str">
            <v>뉴펀들랜드</v>
          </cell>
          <cell r="U59" t="str">
            <v>종류:포유류</v>
          </cell>
          <cell r="V59">
            <v>70407012</v>
          </cell>
          <cell r="W59">
            <v>292</v>
          </cell>
          <cell r="X59" t="b">
            <v>0</v>
          </cell>
          <cell r="Y59" t="str">
            <v>미국 등나무</v>
          </cell>
          <cell r="Z59" t="str">
            <v>종류:쌍자엽</v>
          </cell>
          <cell r="AA59">
            <v>70403040</v>
          </cell>
          <cell r="AB59">
            <v>95</v>
          </cell>
          <cell r="AC59" t="b">
            <v>0</v>
          </cell>
          <cell r="AD59" t="str">
            <v>뿔퍼핀</v>
          </cell>
          <cell r="AE59" t="str">
            <v>종류:조류</v>
          </cell>
          <cell r="AF59">
            <v>70405052</v>
          </cell>
          <cell r="AG59">
            <v>24</v>
          </cell>
          <cell r="AH59" t="b">
            <v>0</v>
          </cell>
          <cell r="AJ59" t="str">
            <v/>
          </cell>
          <cell r="AK59" t="str">
            <v>-</v>
          </cell>
          <cell r="AL59" t="str">
            <v>-</v>
          </cell>
          <cell r="AM59" t="str">
            <v>-</v>
          </cell>
          <cell r="AO59" t="str">
            <v/>
          </cell>
          <cell r="AP59" t="str">
            <v>-</v>
          </cell>
          <cell r="AQ59" t="str">
            <v>-</v>
          </cell>
          <cell r="AR59" t="str">
            <v>-</v>
          </cell>
          <cell r="AT59" t="str">
            <v/>
          </cell>
          <cell r="AU59" t="str">
            <v>-</v>
          </cell>
          <cell r="AV59" t="str">
            <v>-</v>
          </cell>
          <cell r="AW59" t="str">
            <v>-</v>
          </cell>
        </row>
        <row r="60">
          <cell r="B60" t="str">
            <v>##미시시피강</v>
          </cell>
          <cell r="C60" t="str">
            <v>가능</v>
          </cell>
          <cell r="D60" t="str">
            <v>미시시피강</v>
          </cell>
          <cell r="E60" t="str">
            <v>칠면조</v>
          </cell>
          <cell r="F60" t="str">
            <v>종류:조류</v>
          </cell>
          <cell r="G60">
            <v>70405087</v>
          </cell>
          <cell r="H60">
            <v>666</v>
          </cell>
          <cell r="I60" t="b">
            <v>0</v>
          </cell>
          <cell r="J60" t="str">
            <v>붉은늑대</v>
          </cell>
          <cell r="K60" t="str">
            <v>종류:포유류</v>
          </cell>
          <cell r="L60">
            <v>70407036</v>
          </cell>
          <cell r="M60">
            <v>292</v>
          </cell>
          <cell r="N60" t="b">
            <v>0</v>
          </cell>
          <cell r="O60" t="str">
            <v>페요테</v>
          </cell>
          <cell r="P60" t="str">
            <v>종류:쌍자엽</v>
          </cell>
          <cell r="Q60">
            <v>70403135</v>
          </cell>
          <cell r="R60">
            <v>95</v>
          </cell>
          <cell r="S60" t="b">
            <v>0</v>
          </cell>
          <cell r="T60" t="str">
            <v>아메리카들소</v>
          </cell>
          <cell r="U60" t="str">
            <v>종류:포유류</v>
          </cell>
          <cell r="V60">
            <v>70408034</v>
          </cell>
          <cell r="W60">
            <v>666</v>
          </cell>
          <cell r="X60" t="b">
            <v>0</v>
          </cell>
          <cell r="Y60" t="str">
            <v>프레리도그</v>
          </cell>
          <cell r="Z60" t="str">
            <v>종류:포유류</v>
          </cell>
          <cell r="AA60">
            <v>70406098</v>
          </cell>
          <cell r="AB60">
            <v>95</v>
          </cell>
          <cell r="AC60" t="b">
            <v>0</v>
          </cell>
          <cell r="AD60" t="str">
            <v>아메리카흑곰</v>
          </cell>
          <cell r="AE60" t="str">
            <v>종류:포유류</v>
          </cell>
          <cell r="AF60">
            <v>70408035</v>
          </cell>
          <cell r="AG60">
            <v>24</v>
          </cell>
          <cell r="AH60" t="b">
            <v>0</v>
          </cell>
          <cell r="AJ60" t="str">
            <v/>
          </cell>
          <cell r="AK60" t="str">
            <v>-</v>
          </cell>
          <cell r="AL60" t="str">
            <v>-</v>
          </cell>
          <cell r="AM60" t="str">
            <v>-</v>
          </cell>
          <cell r="AO60" t="str">
            <v/>
          </cell>
          <cell r="AP60" t="str">
            <v>-</v>
          </cell>
          <cell r="AQ60" t="str">
            <v>-</v>
          </cell>
          <cell r="AR60" t="str">
            <v>-</v>
          </cell>
          <cell r="AT60" t="str">
            <v/>
          </cell>
          <cell r="AU60" t="str">
            <v>-</v>
          </cell>
          <cell r="AV60" t="str">
            <v>-</v>
          </cell>
          <cell r="AW60" t="str">
            <v>-</v>
          </cell>
        </row>
        <row r="61">
          <cell r="B61" t="str">
            <v>##북아메리카 서북</v>
          </cell>
          <cell r="C61" t="str">
            <v>불가능</v>
          </cell>
          <cell r="D61" t="str">
            <v>오흘론 부근</v>
          </cell>
          <cell r="E61" t="str">
            <v>서펜트 마운드</v>
          </cell>
          <cell r="F61" t="str">
            <v>종류:사적</v>
          </cell>
          <cell r="G61">
            <v>70410034</v>
          </cell>
          <cell r="H61">
            <v>666</v>
          </cell>
          <cell r="I61" t="b">
            <v>0</v>
          </cell>
          <cell r="J61" t="str">
            <v>카호키아</v>
          </cell>
          <cell r="K61" t="str">
            <v>종류:사적</v>
          </cell>
          <cell r="L61">
            <v>70410066</v>
          </cell>
          <cell r="M61">
            <v>95</v>
          </cell>
          <cell r="N61" t="b">
            <v>0</v>
          </cell>
          <cell r="O61" t="str">
            <v>블루보넷</v>
          </cell>
          <cell r="P61" t="str">
            <v>종류:쌍자엽</v>
          </cell>
          <cell r="Q61">
            <v>70403058</v>
          </cell>
          <cell r="R61">
            <v>24</v>
          </cell>
          <cell r="S61" t="b">
            <v>0</v>
          </cell>
          <cell r="T61" t="str">
            <v>칼미아</v>
          </cell>
          <cell r="U61" t="str">
            <v>종류:쌍자엽</v>
          </cell>
          <cell r="V61">
            <v>70403124</v>
          </cell>
          <cell r="W61">
            <v>95</v>
          </cell>
          <cell r="X61" t="b">
            <v>0</v>
          </cell>
          <cell r="Y61" t="str">
            <v>흰머리독수리</v>
          </cell>
          <cell r="Z61" t="str">
            <v>종류:조류</v>
          </cell>
          <cell r="AA61">
            <v>70405125</v>
          </cell>
          <cell r="AB61">
            <v>24</v>
          </cell>
          <cell r="AC61" t="b">
            <v>0</v>
          </cell>
          <cell r="AD61" t="str">
            <v>솜꼬리토끼</v>
          </cell>
          <cell r="AE61" t="str">
            <v>종류:포유류</v>
          </cell>
          <cell r="AF61">
            <v>70406056</v>
          </cell>
          <cell r="AG61">
            <v>95</v>
          </cell>
          <cell r="AH61" t="b">
            <v>0</v>
          </cell>
          <cell r="AJ61" t="str">
            <v/>
          </cell>
          <cell r="AK61" t="str">
            <v>-</v>
          </cell>
          <cell r="AL61" t="str">
            <v>-</v>
          </cell>
          <cell r="AM61" t="str">
            <v>-</v>
          </cell>
          <cell r="AO61" t="str">
            <v/>
          </cell>
          <cell r="AP61" t="str">
            <v>-</v>
          </cell>
          <cell r="AQ61" t="str">
            <v>-</v>
          </cell>
          <cell r="AR61" t="str">
            <v>-</v>
          </cell>
          <cell r="AT61" t="str">
            <v/>
          </cell>
          <cell r="AU61" t="str">
            <v>-</v>
          </cell>
          <cell r="AV61" t="str">
            <v>-</v>
          </cell>
          <cell r="AW61" t="str">
            <v>-</v>
          </cell>
        </row>
        <row r="62">
          <cell r="B62" t="str">
            <v>##북아메리카 서남</v>
          </cell>
          <cell r="C62" t="str">
            <v>불가능</v>
          </cell>
          <cell r="D62" t="str">
            <v>아카풀코 부근</v>
          </cell>
          <cell r="E62" t="str">
            <v>톨텍의 전사상</v>
          </cell>
          <cell r="F62" t="str">
            <v>종류:역사유물</v>
          </cell>
          <cell r="G62">
            <v>70401168</v>
          </cell>
          <cell r="H62">
            <v>4</v>
          </cell>
          <cell r="I62" t="b">
            <v>0</v>
          </cell>
          <cell r="J62" t="str">
            <v>절벽 궁전</v>
          </cell>
          <cell r="K62" t="str">
            <v>종류:사적</v>
          </cell>
          <cell r="L62">
            <v>70410052</v>
          </cell>
          <cell r="M62">
            <v>292</v>
          </cell>
          <cell r="N62" t="b">
            <v>0</v>
          </cell>
          <cell r="O62" t="str">
            <v>틀라솔테오틀 여신상</v>
          </cell>
          <cell r="P62" t="str">
            <v>종류:종교유물</v>
          </cell>
          <cell r="Q62">
            <v>70417199</v>
          </cell>
          <cell r="R62">
            <v>4</v>
          </cell>
          <cell r="S62" t="b">
            <v>0</v>
          </cell>
          <cell r="T62" t="str">
            <v>썬 대거</v>
          </cell>
          <cell r="U62" t="str">
            <v>종류:사적</v>
          </cell>
          <cell r="V62">
            <v>70410038</v>
          </cell>
          <cell r="W62">
            <v>95</v>
          </cell>
          <cell r="X62" t="b">
            <v>0</v>
          </cell>
          <cell r="Y62" t="str">
            <v>코요테</v>
          </cell>
          <cell r="Z62" t="str">
            <v>종류:포유류</v>
          </cell>
          <cell r="AA62">
            <v>70407085</v>
          </cell>
          <cell r="AB62">
            <v>95</v>
          </cell>
          <cell r="AC62" t="b">
            <v>0</v>
          </cell>
          <cell r="AD62" t="str">
            <v>사탕단풍</v>
          </cell>
          <cell r="AE62" t="str">
            <v>종류:쌍자엽</v>
          </cell>
          <cell r="AF62">
            <v>70403065</v>
          </cell>
          <cell r="AG62">
            <v>24</v>
          </cell>
          <cell r="AH62" t="b">
            <v>0</v>
          </cell>
          <cell r="AJ62" t="str">
            <v/>
          </cell>
          <cell r="AK62" t="str">
            <v>-</v>
          </cell>
          <cell r="AL62" t="str">
            <v>-</v>
          </cell>
          <cell r="AM62" t="str">
            <v>-</v>
          </cell>
          <cell r="AO62" t="str">
            <v/>
          </cell>
          <cell r="AP62" t="str">
            <v>-</v>
          </cell>
          <cell r="AQ62" t="str">
            <v>-</v>
          </cell>
          <cell r="AR62" t="str">
            <v>-</v>
          </cell>
          <cell r="AT62" t="str">
            <v/>
          </cell>
          <cell r="AU62" t="str">
            <v>-</v>
          </cell>
          <cell r="AV62" t="str">
            <v>-</v>
          </cell>
          <cell r="AW62" t="str">
            <v>-</v>
          </cell>
        </row>
        <row r="63">
          <cell r="B63" t="str">
            <v>##남아메리카 동북</v>
          </cell>
          <cell r="C63" t="str">
            <v>가능</v>
          </cell>
          <cell r="D63" t="str">
            <v>카라카스 부근</v>
          </cell>
          <cell r="E63" t="str">
            <v>파차마마상</v>
          </cell>
          <cell r="F63" t="str">
            <v>종류:종교유물</v>
          </cell>
          <cell r="G63">
            <v>70402147</v>
          </cell>
          <cell r="H63">
            <v>666</v>
          </cell>
          <cell r="I63" t="b">
            <v>0</v>
          </cell>
          <cell r="J63" t="str">
            <v>들개</v>
          </cell>
          <cell r="K63" t="str">
            <v>종류:포유류</v>
          </cell>
          <cell r="L63">
            <v>70407017</v>
          </cell>
          <cell r="M63">
            <v>666</v>
          </cell>
          <cell r="N63" t="b">
            <v>0</v>
          </cell>
          <cell r="O63" t="str">
            <v>베고니아</v>
          </cell>
          <cell r="P63" t="str">
            <v>종류:쌍자엽</v>
          </cell>
          <cell r="Q63">
            <v>70403049</v>
          </cell>
          <cell r="R63">
            <v>24</v>
          </cell>
          <cell r="S63" t="b">
            <v>0</v>
          </cell>
          <cell r="T63" t="str">
            <v>마라조섬의 토기</v>
          </cell>
          <cell r="U63" t="str">
            <v>종류:역사유물</v>
          </cell>
          <cell r="V63">
            <v>70401039</v>
          </cell>
          <cell r="W63">
            <v>95</v>
          </cell>
          <cell r="X63" t="b">
            <v>0</v>
          </cell>
          <cell r="Y63" t="str">
            <v>데구</v>
          </cell>
          <cell r="Z63" t="str">
            <v>종류:포유류</v>
          </cell>
          <cell r="AA63">
            <v>70406021</v>
          </cell>
          <cell r="AB63">
            <v>292</v>
          </cell>
          <cell r="AC63" t="b">
            <v>0</v>
          </cell>
          <cell r="AD63" t="str">
            <v>코삐우에</v>
          </cell>
          <cell r="AE63" t="str">
            <v>종류:단자엽</v>
          </cell>
          <cell r="AF63">
            <v>70403126</v>
          </cell>
          <cell r="AG63">
            <v>95</v>
          </cell>
          <cell r="AH63" t="b">
            <v>0</v>
          </cell>
          <cell r="AJ63" t="str">
            <v/>
          </cell>
          <cell r="AK63" t="str">
            <v>-</v>
          </cell>
          <cell r="AL63" t="str">
            <v>-</v>
          </cell>
          <cell r="AM63" t="str">
            <v>-</v>
          </cell>
          <cell r="AO63" t="str">
            <v/>
          </cell>
          <cell r="AP63" t="str">
            <v>-</v>
          </cell>
          <cell r="AQ63" t="str">
            <v>-</v>
          </cell>
          <cell r="AR63" t="str">
            <v>-</v>
          </cell>
          <cell r="AT63" t="str">
            <v/>
          </cell>
          <cell r="AU63" t="str">
            <v>-</v>
          </cell>
          <cell r="AV63" t="str">
            <v>-</v>
          </cell>
          <cell r="AW63" t="str">
            <v>-</v>
          </cell>
        </row>
        <row r="64">
          <cell r="B64" t="str">
            <v>##아마존강 하류</v>
          </cell>
          <cell r="C64" t="str">
            <v>가능</v>
          </cell>
          <cell r="D64" t="str">
            <v>아마존 하류</v>
          </cell>
          <cell r="E64" t="str">
            <v>거꾸로 개구리</v>
          </cell>
          <cell r="F64" t="str">
            <v>종류:파충류</v>
          </cell>
          <cell r="G64">
            <v>70406005</v>
          </cell>
          <cell r="H64">
            <v>24</v>
          </cell>
          <cell r="I64" t="b">
            <v>0</v>
          </cell>
          <cell r="J64" t="str">
            <v>흡혈박쥐</v>
          </cell>
          <cell r="K64" t="str">
            <v>종류:포유류</v>
          </cell>
          <cell r="L64">
            <v>70406103</v>
          </cell>
          <cell r="M64">
            <v>666</v>
          </cell>
          <cell r="N64" t="b">
            <v>0</v>
          </cell>
          <cell r="O64" t="str">
            <v>황제타마린</v>
          </cell>
          <cell r="P64" t="str">
            <v>종류:포유류</v>
          </cell>
          <cell r="Q64">
            <v>70406102</v>
          </cell>
          <cell r="R64">
            <v>666</v>
          </cell>
          <cell r="S64" t="b">
            <v>0</v>
          </cell>
          <cell r="T64" t="str">
            <v>큰수달</v>
          </cell>
          <cell r="U64" t="str">
            <v>종류:포유류</v>
          </cell>
          <cell r="V64">
            <v>70407088</v>
          </cell>
          <cell r="W64">
            <v>292</v>
          </cell>
          <cell r="X64" t="b">
            <v>0</v>
          </cell>
          <cell r="Y64" t="str">
            <v>바실리스크이구아나</v>
          </cell>
          <cell r="Z64" t="str">
            <v>종류:파충류</v>
          </cell>
          <cell r="AA64">
            <v>70406037</v>
          </cell>
          <cell r="AB64">
            <v>95</v>
          </cell>
          <cell r="AC64" t="b">
            <v>0</v>
          </cell>
          <cell r="AD64" t="str">
            <v>이페</v>
          </cell>
          <cell r="AE64" t="str">
            <v>종류:쌍자엽</v>
          </cell>
          <cell r="AF64">
            <v>70403110</v>
          </cell>
          <cell r="AG64">
            <v>95</v>
          </cell>
          <cell r="AH64" t="b">
            <v>0</v>
          </cell>
          <cell r="AI64" t="str">
            <v>타이탄하늘소</v>
          </cell>
          <cell r="AJ64" t="str">
            <v>종류:무척추동물</v>
          </cell>
          <cell r="AK64">
            <v>70404043</v>
          </cell>
          <cell r="AL64">
            <v>4</v>
          </cell>
          <cell r="AM64" t="b">
            <v>0</v>
          </cell>
          <cell r="AO64" t="str">
            <v/>
          </cell>
          <cell r="AP64" t="str">
            <v>-</v>
          </cell>
          <cell r="AQ64" t="str">
            <v>-</v>
          </cell>
          <cell r="AR64" t="str">
            <v>-</v>
          </cell>
          <cell r="AT64" t="str">
            <v/>
          </cell>
          <cell r="AU64" t="str">
            <v>-</v>
          </cell>
          <cell r="AV64" t="str">
            <v>-</v>
          </cell>
          <cell r="AW64" t="str">
            <v>-</v>
          </cell>
        </row>
        <row r="65">
          <cell r="B65" t="str">
            <v>##아마존강 상류</v>
          </cell>
          <cell r="C65" t="str">
            <v>가능</v>
          </cell>
          <cell r="D65" t="str">
            <v>아마존 상류</v>
          </cell>
          <cell r="E65" t="str">
            <v>피그미마모셋</v>
          </cell>
          <cell r="F65" t="str">
            <v>종류:포유류</v>
          </cell>
          <cell r="G65">
            <v>70406099</v>
          </cell>
          <cell r="H65">
            <v>95</v>
          </cell>
          <cell r="I65" t="b">
            <v>0</v>
          </cell>
          <cell r="J65" t="str">
            <v>뿔개구리</v>
          </cell>
          <cell r="K65" t="str">
            <v>종류:파충류</v>
          </cell>
          <cell r="L65">
            <v>70406047</v>
          </cell>
          <cell r="M65">
            <v>666</v>
          </cell>
          <cell r="N65" t="b">
            <v>0</v>
          </cell>
          <cell r="O65" t="str">
            <v>자카란다</v>
          </cell>
          <cell r="P65" t="str">
            <v>종류:쌍자엽</v>
          </cell>
          <cell r="Q65">
            <v>70403115</v>
          </cell>
          <cell r="R65">
            <v>666</v>
          </cell>
          <cell r="S65" t="b">
            <v>0</v>
          </cell>
          <cell r="T65" t="str">
            <v>피파개구리</v>
          </cell>
          <cell r="U65" t="str">
            <v>종류:파충류</v>
          </cell>
          <cell r="V65">
            <v>70406100</v>
          </cell>
          <cell r="W65">
            <v>292</v>
          </cell>
          <cell r="X65" t="b">
            <v>0</v>
          </cell>
          <cell r="Y65" t="str">
            <v>검정카이만</v>
          </cell>
          <cell r="Z65" t="str">
            <v>종류:파충류</v>
          </cell>
          <cell r="AA65">
            <v>70408000</v>
          </cell>
          <cell r="AB65">
            <v>95</v>
          </cell>
          <cell r="AC65" t="b">
            <v>0</v>
          </cell>
          <cell r="AD65" t="str">
            <v>아리엘왕부리</v>
          </cell>
          <cell r="AE65" t="str">
            <v>종류:조류</v>
          </cell>
          <cell r="AF65">
            <v>70405058</v>
          </cell>
          <cell r="AG65">
            <v>24</v>
          </cell>
          <cell r="AH65" t="b">
            <v>0</v>
          </cell>
          <cell r="AJ65" t="str">
            <v/>
          </cell>
          <cell r="AK65" t="str">
            <v>-</v>
          </cell>
          <cell r="AL65" t="str">
            <v>-</v>
          </cell>
          <cell r="AM65" t="str">
            <v>-</v>
          </cell>
          <cell r="AO65" t="str">
            <v/>
          </cell>
          <cell r="AP65" t="str">
            <v>-</v>
          </cell>
          <cell r="AQ65" t="str">
            <v>-</v>
          </cell>
          <cell r="AR65" t="str">
            <v>-</v>
          </cell>
          <cell r="AT65" t="str">
            <v/>
          </cell>
          <cell r="AU65" t="str">
            <v>-</v>
          </cell>
          <cell r="AV65" t="str">
            <v>-</v>
          </cell>
          <cell r="AW65" t="str">
            <v>-</v>
          </cell>
        </row>
        <row r="66">
          <cell r="B66" t="str">
            <v>##남아메리카 동남</v>
          </cell>
          <cell r="C66" t="str">
            <v>가능</v>
          </cell>
          <cell r="D66" t="str">
            <v>바이아 부근</v>
          </cell>
          <cell r="E66" t="str">
            <v>검은머리황새</v>
          </cell>
          <cell r="F66" t="str">
            <v>종류:조류</v>
          </cell>
          <cell r="G66">
            <v>70405008</v>
          </cell>
          <cell r="H66">
            <v>666</v>
          </cell>
          <cell r="I66" t="b">
            <v>0</v>
          </cell>
          <cell r="J66" t="str">
            <v>작은개미핥기</v>
          </cell>
          <cell r="K66" t="str">
            <v>종류:포유류</v>
          </cell>
          <cell r="L66">
            <v>70407074</v>
          </cell>
          <cell r="M66">
            <v>666</v>
          </cell>
          <cell r="N66" t="b">
            <v>0</v>
          </cell>
          <cell r="O66" t="str">
            <v>아사이</v>
          </cell>
          <cell r="P66" t="str">
            <v>종류:단자엽</v>
          </cell>
          <cell r="Q66">
            <v>70403087</v>
          </cell>
          <cell r="R66">
            <v>292</v>
          </cell>
          <cell r="S66" t="b">
            <v>0</v>
          </cell>
          <cell r="T66" t="str">
            <v>아구티</v>
          </cell>
          <cell r="U66" t="str">
            <v>종류:포유류</v>
          </cell>
          <cell r="V66">
            <v>70406062</v>
          </cell>
          <cell r="W66">
            <v>292</v>
          </cell>
          <cell r="X66" t="b">
            <v>0</v>
          </cell>
          <cell r="Y66" t="str">
            <v>다윈코개구리</v>
          </cell>
          <cell r="Z66" t="str">
            <v>종류:파충류</v>
          </cell>
          <cell r="AA66">
            <v>70406018</v>
          </cell>
          <cell r="AB66">
            <v>95</v>
          </cell>
          <cell r="AC66" t="b">
            <v>0</v>
          </cell>
          <cell r="AD66" t="str">
            <v>사자타마린</v>
          </cell>
          <cell r="AE66" t="str">
            <v>종류:포유류</v>
          </cell>
          <cell r="AF66">
            <v>70406051</v>
          </cell>
          <cell r="AG66">
            <v>95</v>
          </cell>
          <cell r="AH66" t="b">
            <v>0</v>
          </cell>
          <cell r="AI66" t="str">
            <v>사이코트리아 엘라타</v>
          </cell>
          <cell r="AJ66" t="str">
            <v>종류:쌍자엽</v>
          </cell>
          <cell r="AK66">
            <v>70403064</v>
          </cell>
          <cell r="AL66">
            <v>4</v>
          </cell>
          <cell r="AM66" t="b">
            <v>0</v>
          </cell>
          <cell r="AO66" t="str">
            <v/>
          </cell>
          <cell r="AP66" t="str">
            <v>-</v>
          </cell>
          <cell r="AQ66" t="str">
            <v>-</v>
          </cell>
          <cell r="AR66" t="str">
            <v>-</v>
          </cell>
          <cell r="AT66" t="str">
            <v/>
          </cell>
          <cell r="AU66" t="str">
            <v>-</v>
          </cell>
          <cell r="AV66" t="str">
            <v>-</v>
          </cell>
          <cell r="AW66" t="str">
            <v>-</v>
          </cell>
        </row>
        <row r="67">
          <cell r="B67" t="str">
            <v>##우루과이강</v>
          </cell>
          <cell r="C67" t="str">
            <v>가능</v>
          </cell>
          <cell r="D67" t="str">
            <v>부에노스아이레스 부근</v>
          </cell>
          <cell r="E67" t="str">
            <v>담황목따오기</v>
          </cell>
          <cell r="F67" t="str">
            <v>종류:조류</v>
          </cell>
          <cell r="G67">
            <v>70405027</v>
          </cell>
          <cell r="H67">
            <v>666</v>
          </cell>
          <cell r="I67" t="b">
            <v>0</v>
          </cell>
          <cell r="J67" t="str">
            <v>봄빌랴</v>
          </cell>
          <cell r="K67" t="str">
            <v>종류:보물</v>
          </cell>
          <cell r="L67">
            <v>70417074</v>
          </cell>
          <cell r="M67">
            <v>666</v>
          </cell>
          <cell r="N67" t="b">
            <v>0</v>
          </cell>
          <cell r="O67" t="str">
            <v>안경카이만</v>
          </cell>
          <cell r="P67" t="str">
            <v>종류:파충류</v>
          </cell>
          <cell r="Q67">
            <v>70408041</v>
          </cell>
          <cell r="R67">
            <v>292</v>
          </cell>
          <cell r="S67" t="b">
            <v>0</v>
          </cell>
          <cell r="T67" t="str">
            <v>붉은다리거북</v>
          </cell>
          <cell r="U67" t="str">
            <v>종류:파충류</v>
          </cell>
          <cell r="V67">
            <v>70406043</v>
          </cell>
          <cell r="W67">
            <v>292</v>
          </cell>
          <cell r="X67" t="b">
            <v>0</v>
          </cell>
          <cell r="Y67" t="str">
            <v>시계꽃</v>
          </cell>
          <cell r="Z67" t="str">
            <v>종류:쌍자엽</v>
          </cell>
          <cell r="AA67">
            <v>70403078</v>
          </cell>
          <cell r="AB67">
            <v>4</v>
          </cell>
          <cell r="AC67" t="b">
            <v>0</v>
          </cell>
          <cell r="AD67" t="str">
            <v>푸른발부비새</v>
          </cell>
          <cell r="AE67" t="str">
            <v>종류:조류</v>
          </cell>
          <cell r="AF67">
            <v>70405106</v>
          </cell>
          <cell r="AG67">
            <v>24</v>
          </cell>
          <cell r="AH67" t="b">
            <v>0</v>
          </cell>
          <cell r="AJ67" t="str">
            <v/>
          </cell>
          <cell r="AK67" t="str">
            <v>-</v>
          </cell>
          <cell r="AL67" t="str">
            <v>-</v>
          </cell>
          <cell r="AM67" t="str">
            <v>-</v>
          </cell>
          <cell r="AO67" t="str">
            <v/>
          </cell>
          <cell r="AP67" t="str">
            <v>-</v>
          </cell>
          <cell r="AQ67" t="str">
            <v>-</v>
          </cell>
          <cell r="AR67" t="str">
            <v>-</v>
          </cell>
          <cell r="AT67" t="str">
            <v/>
          </cell>
          <cell r="AU67" t="str">
            <v>-</v>
          </cell>
          <cell r="AV67" t="str">
            <v>-</v>
          </cell>
          <cell r="AW67" t="str">
            <v>-</v>
          </cell>
        </row>
        <row r="68">
          <cell r="B68" t="str">
            <v>##남아메리카 서북</v>
          </cell>
          <cell r="C68" t="str">
            <v>가능</v>
          </cell>
          <cell r="D68" t="str">
            <v>툼베스 부근</v>
          </cell>
          <cell r="E68" t="str">
            <v>안데스콘돌</v>
          </cell>
          <cell r="F68" t="str">
            <v>종류:조류</v>
          </cell>
          <cell r="G68">
            <v>70405062</v>
          </cell>
          <cell r="H68">
            <v>666</v>
          </cell>
          <cell r="I68" t="b">
            <v>0</v>
          </cell>
          <cell r="J68" t="str">
            <v>흡혈 핀치</v>
          </cell>
          <cell r="K68" t="str">
            <v>종류:조류</v>
          </cell>
          <cell r="L68">
            <v>70405121</v>
          </cell>
          <cell r="M68">
            <v>666</v>
          </cell>
          <cell r="N68" t="b">
            <v>0</v>
          </cell>
          <cell r="O68" t="str">
            <v>잉카의 석벽</v>
          </cell>
          <cell r="P68" t="str">
            <v>종류:사적</v>
          </cell>
          <cell r="Q68">
            <v>70401127</v>
          </cell>
          <cell r="R68">
            <v>292</v>
          </cell>
          <cell r="S68" t="b">
            <v>0</v>
          </cell>
          <cell r="T68" t="str">
            <v>붉은게</v>
          </cell>
          <cell r="U68" t="str">
            <v>종류:무척추동물</v>
          </cell>
          <cell r="V68">
            <v>70409221</v>
          </cell>
          <cell r="W68">
            <v>292</v>
          </cell>
          <cell r="X68" t="b">
            <v>0</v>
          </cell>
          <cell r="Y68" t="str">
            <v>바다이구아나</v>
          </cell>
          <cell r="Z68" t="str">
            <v>종류:파충류</v>
          </cell>
          <cell r="AA68">
            <v>70407027</v>
          </cell>
          <cell r="AB68">
            <v>95</v>
          </cell>
          <cell r="AC68" t="b">
            <v>0</v>
          </cell>
          <cell r="AD68" t="str">
            <v>케나</v>
          </cell>
          <cell r="AE68" t="str">
            <v>종류:보물</v>
          </cell>
          <cell r="AF68">
            <v>70417178</v>
          </cell>
          <cell r="AG68">
            <v>24</v>
          </cell>
          <cell r="AH68" t="b">
            <v>0</v>
          </cell>
          <cell r="AI68" t="str">
            <v>핑크이구아나</v>
          </cell>
          <cell r="AJ68" t="str">
            <v>종류:파충류</v>
          </cell>
          <cell r="AK68">
            <v>70407097</v>
          </cell>
          <cell r="AL68">
            <v>4</v>
          </cell>
          <cell r="AM68" t="b">
            <v>0</v>
          </cell>
          <cell r="AO68" t="str">
            <v/>
          </cell>
          <cell r="AP68" t="str">
            <v>-</v>
          </cell>
          <cell r="AQ68" t="str">
            <v>-</v>
          </cell>
          <cell r="AR68" t="str">
            <v>-</v>
          </cell>
          <cell r="AT68" t="str">
            <v/>
          </cell>
          <cell r="AU68" t="str">
            <v>-</v>
          </cell>
          <cell r="AV68" t="str">
            <v>-</v>
          </cell>
          <cell r="AW68" t="str">
            <v>-</v>
          </cell>
        </row>
        <row r="69">
          <cell r="B69" t="str">
            <v>##남아메리카 서남</v>
          </cell>
          <cell r="C69" t="str">
            <v>가능</v>
          </cell>
          <cell r="D69" t="str">
            <v>발파라이소 부근</v>
          </cell>
          <cell r="E69" t="str">
            <v>칼라파테</v>
          </cell>
          <cell r="F69" t="str">
            <v>종류:쌍자엽</v>
          </cell>
          <cell r="G69">
            <v>70403123</v>
          </cell>
          <cell r="H69">
            <v>666</v>
          </cell>
          <cell r="I69" t="b">
            <v>0</v>
          </cell>
          <cell r="J69" t="str">
            <v>후마나 평원</v>
          </cell>
          <cell r="K69" t="str">
            <v>종류:사적</v>
          </cell>
          <cell r="L69">
            <v>70410097</v>
          </cell>
          <cell r="M69">
            <v>666</v>
          </cell>
          <cell r="N69" t="b">
            <v>0</v>
          </cell>
          <cell r="O69" t="str">
            <v>차스키의 어깨가방</v>
          </cell>
          <cell r="P69" t="str">
            <v>종류:역사유물</v>
          </cell>
          <cell r="Q69">
            <v>70401140</v>
          </cell>
          <cell r="R69">
            <v>292</v>
          </cell>
          <cell r="S69" t="b">
            <v>0</v>
          </cell>
          <cell r="T69" t="str">
            <v>비쿠냐</v>
          </cell>
          <cell r="U69" t="str">
            <v>종류:포유류</v>
          </cell>
          <cell r="V69">
            <v>70408026</v>
          </cell>
          <cell r="W69">
            <v>95</v>
          </cell>
          <cell r="X69" t="b">
            <v>0</v>
          </cell>
          <cell r="Y69" t="str">
            <v>검은 다리 카리아마</v>
          </cell>
          <cell r="Z69" t="str">
            <v>종류:조류</v>
          </cell>
          <cell r="AA69">
            <v>70405006</v>
          </cell>
          <cell r="AB69">
            <v>24</v>
          </cell>
          <cell r="AC69" t="b">
            <v>0</v>
          </cell>
          <cell r="AD69" t="str">
            <v>넵튠왕장수풍뎅이</v>
          </cell>
          <cell r="AE69" t="str">
            <v>종류:무척추동물</v>
          </cell>
          <cell r="AF69">
            <v>70404007</v>
          </cell>
          <cell r="AG69">
            <v>4</v>
          </cell>
          <cell r="AH69" t="b">
            <v>0</v>
          </cell>
          <cell r="AI69" t="str">
            <v>칼부리벌새</v>
          </cell>
          <cell r="AJ69" t="str">
            <v>종류:조류</v>
          </cell>
          <cell r="AK69">
            <v>70405091</v>
          </cell>
          <cell r="AL69">
            <v>292</v>
          </cell>
          <cell r="AM69" t="b">
            <v>0</v>
          </cell>
          <cell r="AO69" t="str">
            <v/>
          </cell>
          <cell r="AP69" t="str">
            <v>-</v>
          </cell>
          <cell r="AQ69" t="str">
            <v>-</v>
          </cell>
          <cell r="AR69" t="str">
            <v>-</v>
          </cell>
          <cell r="AT69" t="str">
            <v/>
          </cell>
          <cell r="AU69" t="str">
            <v>-</v>
          </cell>
          <cell r="AV69" t="str">
            <v>-</v>
          </cell>
          <cell r="AW69" t="str">
            <v>-</v>
          </cell>
        </row>
        <row r="70">
          <cell r="B70" t="str">
            <v>##남아메리카 극남</v>
          </cell>
          <cell r="C70" t="str">
            <v>가능</v>
          </cell>
          <cell r="D70" t="str">
            <v>우수아이아 부근</v>
          </cell>
          <cell r="E70" t="str">
            <v>포투</v>
          </cell>
          <cell r="F70" t="str">
            <v>종류:조류</v>
          </cell>
          <cell r="G70">
            <v>70405105</v>
          </cell>
          <cell r="H70">
            <v>95</v>
          </cell>
          <cell r="I70" t="b">
            <v>0</v>
          </cell>
          <cell r="J70" t="str">
            <v>솔방울 화석</v>
          </cell>
          <cell r="K70" t="str">
            <v>종류:화석</v>
          </cell>
          <cell r="L70">
            <v>70418021</v>
          </cell>
          <cell r="M70">
            <v>666</v>
          </cell>
          <cell r="N70" t="b">
            <v>0</v>
          </cell>
          <cell r="O70" t="str">
            <v>란손상</v>
          </cell>
          <cell r="P70" t="str">
            <v>종류:종교유물</v>
          </cell>
          <cell r="Q70">
            <v>70402026</v>
          </cell>
          <cell r="R70">
            <v>292</v>
          </cell>
          <cell r="S70" t="b">
            <v>0</v>
          </cell>
          <cell r="T70" t="str">
            <v>금 그릇</v>
          </cell>
          <cell r="U70" t="str">
            <v>종류:보물</v>
          </cell>
          <cell r="V70">
            <v>70417018</v>
          </cell>
          <cell r="W70">
            <v>292</v>
          </cell>
          <cell r="X70" t="b">
            <v>0</v>
          </cell>
          <cell r="Y70" t="str">
            <v>관시 파카</v>
          </cell>
          <cell r="Z70" t="str">
            <v>종류:포유류</v>
          </cell>
          <cell r="AA70">
            <v>70406011</v>
          </cell>
          <cell r="AB70">
            <v>24</v>
          </cell>
          <cell r="AC70" t="b">
            <v>0</v>
          </cell>
          <cell r="AD70" t="str">
            <v>칸투아</v>
          </cell>
          <cell r="AE70" t="str">
            <v>종류:쌍자엽</v>
          </cell>
          <cell r="AF70">
            <v>70403122</v>
          </cell>
          <cell r="AG70">
            <v>4</v>
          </cell>
          <cell r="AH70" t="b">
            <v>0</v>
          </cell>
          <cell r="AJ70" t="str">
            <v/>
          </cell>
          <cell r="AK70" t="str">
            <v>-</v>
          </cell>
          <cell r="AL70" t="str">
            <v>-</v>
          </cell>
          <cell r="AM70" t="str">
            <v>-</v>
          </cell>
          <cell r="AO70" t="str">
            <v/>
          </cell>
          <cell r="AP70" t="str">
            <v>-</v>
          </cell>
          <cell r="AQ70" t="str">
            <v>-</v>
          </cell>
          <cell r="AR70" t="str">
            <v>-</v>
          </cell>
          <cell r="AT70" t="str">
            <v/>
          </cell>
          <cell r="AU70" t="str">
            <v>-</v>
          </cell>
          <cell r="AV70" t="str">
            <v>-</v>
          </cell>
          <cell r="AW70" t="str">
            <v>-</v>
          </cell>
        </row>
        <row r="71">
          <cell r="B71" t="str">
            <v>##중앙아메리카(동)</v>
          </cell>
          <cell r="C71" t="str">
            <v>가능</v>
          </cell>
          <cell r="D71" t="str">
            <v>트루히요 부근</v>
          </cell>
          <cell r="E71" t="str">
            <v>카틀레야</v>
          </cell>
          <cell r="F71" t="str">
            <v>종류:단자엽</v>
          </cell>
          <cell r="G71">
            <v>70403121</v>
          </cell>
          <cell r="H71">
            <v>24</v>
          </cell>
          <cell r="I71" t="b">
            <v>0</v>
          </cell>
          <cell r="J71" t="str">
            <v>큰봉관조</v>
          </cell>
          <cell r="K71" t="str">
            <v>종류:조류</v>
          </cell>
          <cell r="L71">
            <v>70405097</v>
          </cell>
          <cell r="M71">
            <v>95</v>
          </cell>
          <cell r="N71" t="b">
            <v>0</v>
          </cell>
          <cell r="O71" t="str">
            <v>캄페체 요새 도시</v>
          </cell>
          <cell r="P71" t="str">
            <v>종류:사적</v>
          </cell>
          <cell r="Q71">
            <v>70410067</v>
          </cell>
          <cell r="R71">
            <v>666</v>
          </cell>
          <cell r="S71" t="b">
            <v>0</v>
          </cell>
          <cell r="T71" t="str">
            <v>시페 토텍 도자기상</v>
          </cell>
          <cell r="U71" t="str">
            <v>종류:종교유물</v>
          </cell>
          <cell r="V71">
            <v>70402070</v>
          </cell>
          <cell r="W71">
            <v>292</v>
          </cell>
          <cell r="X71" t="b">
            <v>0</v>
          </cell>
          <cell r="Y71" t="str">
            <v>주머니쥐</v>
          </cell>
          <cell r="Z71" t="str">
            <v>종류:포유류</v>
          </cell>
          <cell r="AA71">
            <v>70406083</v>
          </cell>
          <cell r="AB71">
            <v>95</v>
          </cell>
          <cell r="AC71" t="b">
            <v>0</v>
          </cell>
          <cell r="AD71" t="str">
            <v>킨카주너구리</v>
          </cell>
          <cell r="AE71" t="str">
            <v>종류:포유류</v>
          </cell>
          <cell r="AF71">
            <v>70406093</v>
          </cell>
          <cell r="AG71">
            <v>666</v>
          </cell>
          <cell r="AH71" t="b">
            <v>0</v>
          </cell>
          <cell r="AI71" t="str">
            <v>악어머리뿔매미</v>
          </cell>
          <cell r="AJ71" t="str">
            <v>종류:무척추동물</v>
          </cell>
          <cell r="AK71">
            <v>70404027</v>
          </cell>
          <cell r="AL71">
            <v>666</v>
          </cell>
          <cell r="AM71" t="b">
            <v>0</v>
          </cell>
          <cell r="AO71" t="str">
            <v/>
          </cell>
          <cell r="AP71" t="str">
            <v>-</v>
          </cell>
          <cell r="AQ71" t="str">
            <v>-</v>
          </cell>
          <cell r="AR71" t="str">
            <v>-</v>
          </cell>
          <cell r="AT71" t="str">
            <v/>
          </cell>
          <cell r="AU71" t="str">
            <v>-</v>
          </cell>
          <cell r="AV71" t="str">
            <v>-</v>
          </cell>
          <cell r="AW71" t="str">
            <v>-</v>
          </cell>
        </row>
        <row r="72">
          <cell r="B72" t="str">
            <v>##카리브</v>
          </cell>
          <cell r="C72" t="str">
            <v>가능</v>
          </cell>
          <cell r="D72" t="str">
            <v>산티아고 부근</v>
          </cell>
          <cell r="E72" t="str">
            <v>안경 올빼미</v>
          </cell>
          <cell r="F72" t="str">
            <v>종류:조류</v>
          </cell>
          <cell r="G72">
            <v>70405061</v>
          </cell>
          <cell r="H72">
            <v>666</v>
          </cell>
          <cell r="I72" t="b">
            <v>0</v>
          </cell>
          <cell r="J72" t="str">
            <v>착상</v>
          </cell>
          <cell r="K72" t="str">
            <v>종류:종교유물</v>
          </cell>
          <cell r="L72">
            <v>70402122</v>
          </cell>
          <cell r="M72">
            <v>666</v>
          </cell>
          <cell r="N72" t="b">
            <v>0</v>
          </cell>
          <cell r="O72" t="str">
            <v>팔렌케의 석관</v>
          </cell>
          <cell r="P72" t="str">
            <v>종류:역사유물</v>
          </cell>
          <cell r="Q72">
            <v>70401177</v>
          </cell>
          <cell r="R72">
            <v>24</v>
          </cell>
          <cell r="S72" t="b">
            <v>0</v>
          </cell>
          <cell r="T72" t="str">
            <v>우이칠로포츠틀리상</v>
          </cell>
          <cell r="U72" t="str">
            <v>종류:종교유물</v>
          </cell>
          <cell r="V72">
            <v>70402105</v>
          </cell>
          <cell r="W72">
            <v>292</v>
          </cell>
          <cell r="X72" t="b">
            <v>0</v>
          </cell>
          <cell r="Y72" t="str">
            <v>아르마딜로</v>
          </cell>
          <cell r="Z72" t="str">
            <v>종류:포유류</v>
          </cell>
          <cell r="AA72">
            <v>70407053</v>
          </cell>
          <cell r="AB72">
            <v>95</v>
          </cell>
          <cell r="AC72" t="b">
            <v>0</v>
          </cell>
          <cell r="AD72" t="str">
            <v>테스카틀리포카상</v>
          </cell>
          <cell r="AE72" t="str">
            <v>종류:종교유물</v>
          </cell>
          <cell r="AF72">
            <v>70402143</v>
          </cell>
          <cell r="AG72">
            <v>95</v>
          </cell>
          <cell r="AH72" t="b">
            <v>0</v>
          </cell>
          <cell r="AJ72" t="str">
            <v/>
          </cell>
          <cell r="AK72" t="str">
            <v>-</v>
          </cell>
          <cell r="AL72" t="str">
            <v>-</v>
          </cell>
          <cell r="AM72" t="str">
            <v>-</v>
          </cell>
          <cell r="AO72" t="str">
            <v/>
          </cell>
          <cell r="AP72" t="str">
            <v>-</v>
          </cell>
          <cell r="AQ72" t="str">
            <v>-</v>
          </cell>
          <cell r="AR72" t="str">
            <v>-</v>
          </cell>
          <cell r="AT72" t="str">
            <v/>
          </cell>
          <cell r="AU72" t="str">
            <v>-</v>
          </cell>
          <cell r="AV72" t="str">
            <v>-</v>
          </cell>
          <cell r="AW72" t="str">
            <v>-</v>
          </cell>
        </row>
        <row r="73">
          <cell r="B73" t="str">
            <v>##오세아니아(동)</v>
          </cell>
          <cell r="C73" t="str">
            <v>불가능</v>
          </cell>
          <cell r="D73" t="str">
            <v>핀자라 부근</v>
          </cell>
          <cell r="E73" t="str">
            <v>에뮤</v>
          </cell>
          <cell r="F73" t="str">
            <v>종류:조류</v>
          </cell>
          <cell r="G73">
            <v>70405066</v>
          </cell>
          <cell r="H73">
            <v>666</v>
          </cell>
          <cell r="I73" t="b">
            <v>0</v>
          </cell>
          <cell r="J73" t="str">
            <v>슬릿 드럼</v>
          </cell>
          <cell r="K73" t="str">
            <v>종류:보물</v>
          </cell>
          <cell r="L73">
            <v>70417107</v>
          </cell>
          <cell r="M73">
            <v>292</v>
          </cell>
          <cell r="N73" t="b">
            <v>0</v>
          </cell>
          <cell r="O73" t="str">
            <v>붉은장미앵무</v>
          </cell>
          <cell r="P73" t="str">
            <v>종류:조류</v>
          </cell>
          <cell r="Q73">
            <v>70405050</v>
          </cell>
          <cell r="R73">
            <v>95</v>
          </cell>
          <cell r="S73" t="b">
            <v>0</v>
          </cell>
          <cell r="T73" t="str">
            <v>카구</v>
          </cell>
          <cell r="U73" t="str">
            <v>종류:조류</v>
          </cell>
          <cell r="V73">
            <v>70405088</v>
          </cell>
          <cell r="W73">
            <v>24</v>
          </cell>
          <cell r="X73" t="b">
            <v>0</v>
          </cell>
          <cell r="Z73" t="str">
            <v/>
          </cell>
          <cell r="AA73" t="str">
            <v>-</v>
          </cell>
          <cell r="AB73" t="str">
            <v>-</v>
          </cell>
          <cell r="AC73" t="str">
            <v>-</v>
          </cell>
          <cell r="AE73" t="str">
            <v/>
          </cell>
          <cell r="AF73" t="str">
            <v>-</v>
          </cell>
          <cell r="AG73" t="str">
            <v>-</v>
          </cell>
          <cell r="AH73" t="str">
            <v>-</v>
          </cell>
          <cell r="AJ73" t="str">
            <v/>
          </cell>
          <cell r="AK73" t="str">
            <v>-</v>
          </cell>
          <cell r="AL73" t="str">
            <v>-</v>
          </cell>
          <cell r="AM73" t="str">
            <v>-</v>
          </cell>
          <cell r="AO73" t="str">
            <v/>
          </cell>
          <cell r="AP73" t="str">
            <v>-</v>
          </cell>
          <cell r="AQ73" t="str">
            <v>-</v>
          </cell>
          <cell r="AR73" t="str">
            <v>-</v>
          </cell>
          <cell r="AT73" t="str">
            <v/>
          </cell>
          <cell r="AU73" t="str">
            <v>-</v>
          </cell>
          <cell r="AV73" t="str">
            <v>-</v>
          </cell>
          <cell r="AW73" t="str">
            <v>-</v>
          </cell>
        </row>
        <row r="74">
          <cell r="B74" t="str">
            <v>##오세아니아(서)</v>
          </cell>
          <cell r="C74" t="str">
            <v>불가능</v>
          </cell>
          <cell r="D74" t="str">
            <v>가리 부근</v>
          </cell>
          <cell r="E74" t="str">
            <v>거문고새</v>
          </cell>
          <cell r="F74" t="str">
            <v>종류:조류</v>
          </cell>
          <cell r="G74">
            <v>70405004</v>
          </cell>
          <cell r="H74">
            <v>666</v>
          </cell>
          <cell r="I74" t="b">
            <v>0</v>
          </cell>
          <cell r="J74" t="str">
            <v>호금조</v>
          </cell>
          <cell r="K74" t="str">
            <v>종류:조류</v>
          </cell>
          <cell r="L74">
            <v>70405111</v>
          </cell>
          <cell r="M74">
            <v>292</v>
          </cell>
          <cell r="N74" t="b">
            <v>0</v>
          </cell>
          <cell r="O74" t="str">
            <v>코알라</v>
          </cell>
          <cell r="P74" t="str">
            <v>종류:포유류</v>
          </cell>
          <cell r="Q74">
            <v>70407084</v>
          </cell>
          <cell r="R74">
            <v>95</v>
          </cell>
          <cell r="S74" t="b">
            <v>0</v>
          </cell>
          <cell r="T74" t="str">
            <v>블루오키드</v>
          </cell>
          <cell r="U74" t="str">
            <v>종류:단자엽</v>
          </cell>
          <cell r="V74">
            <v>70403059</v>
          </cell>
          <cell r="W74">
            <v>24</v>
          </cell>
          <cell r="X74" t="b">
            <v>0</v>
          </cell>
          <cell r="Y74" t="str">
            <v>캥거루</v>
          </cell>
          <cell r="Z74" t="str">
            <v>종류:포유류</v>
          </cell>
          <cell r="AA74">
            <v>70407083</v>
          </cell>
          <cell r="AB74">
            <v>24</v>
          </cell>
          <cell r="AC74" t="b">
            <v>0</v>
          </cell>
          <cell r="AE74" t="str">
            <v/>
          </cell>
          <cell r="AF74" t="str">
            <v>-</v>
          </cell>
          <cell r="AG74" t="str">
            <v>-</v>
          </cell>
          <cell r="AH74" t="str">
            <v>-</v>
          </cell>
          <cell r="AJ74" t="str">
            <v/>
          </cell>
          <cell r="AK74" t="str">
            <v>-</v>
          </cell>
          <cell r="AL74" t="str">
            <v>-</v>
          </cell>
          <cell r="AM74" t="str">
            <v>-</v>
          </cell>
          <cell r="AO74" t="str">
            <v/>
          </cell>
          <cell r="AP74" t="str">
            <v>-</v>
          </cell>
          <cell r="AQ74" t="str">
            <v>-</v>
          </cell>
          <cell r="AR74" t="str">
            <v>-</v>
          </cell>
          <cell r="AT74" t="str">
            <v/>
          </cell>
          <cell r="AU74" t="str">
            <v>-</v>
          </cell>
          <cell r="AV74" t="str">
            <v>-</v>
          </cell>
          <cell r="AW74" t="str">
            <v>-</v>
          </cell>
        </row>
        <row r="75">
          <cell r="B75" t="str">
            <v>##오세아니아(남)</v>
          </cell>
          <cell r="C75" t="str">
            <v>불가능</v>
          </cell>
          <cell r="D75" t="str">
            <v>포트피리 부근</v>
          </cell>
          <cell r="E75" t="str">
            <v>웜뱃</v>
          </cell>
          <cell r="F75" t="str">
            <v>종류:포유류</v>
          </cell>
          <cell r="G75">
            <v>70407064</v>
          </cell>
          <cell r="H75">
            <v>24</v>
          </cell>
          <cell r="I75" t="b">
            <v>0</v>
          </cell>
          <cell r="J75" t="str">
            <v>디저리두</v>
          </cell>
          <cell r="K75" t="str">
            <v>종류:보물</v>
          </cell>
          <cell r="L75">
            <v>70417038</v>
          </cell>
          <cell r="M75">
            <v>95</v>
          </cell>
          <cell r="N75" t="b">
            <v>0</v>
          </cell>
          <cell r="P75" t="str">
            <v/>
          </cell>
          <cell r="Q75" t="str">
            <v>-</v>
          </cell>
          <cell r="R75" t="str">
            <v>-</v>
          </cell>
          <cell r="S75" t="str">
            <v>-</v>
          </cell>
          <cell r="U75" t="str">
            <v/>
          </cell>
          <cell r="V75" t="str">
            <v>-</v>
          </cell>
          <cell r="W75" t="str">
            <v>-</v>
          </cell>
          <cell r="X75" t="str">
            <v>-</v>
          </cell>
          <cell r="Z75" t="str">
            <v/>
          </cell>
          <cell r="AA75" t="str">
            <v>-</v>
          </cell>
          <cell r="AB75" t="str">
            <v>-</v>
          </cell>
          <cell r="AC75" t="str">
            <v>-</v>
          </cell>
          <cell r="AE75" t="str">
            <v/>
          </cell>
          <cell r="AF75" t="str">
            <v>-</v>
          </cell>
          <cell r="AG75" t="str">
            <v>-</v>
          </cell>
          <cell r="AH75" t="str">
            <v>-</v>
          </cell>
          <cell r="AJ75" t="str">
            <v/>
          </cell>
          <cell r="AK75" t="str">
            <v>-</v>
          </cell>
          <cell r="AL75" t="str">
            <v>-</v>
          </cell>
          <cell r="AM75" t="str">
            <v>-</v>
          </cell>
          <cell r="AO75" t="str">
            <v/>
          </cell>
          <cell r="AP75" t="str">
            <v>-</v>
          </cell>
          <cell r="AQ75" t="str">
            <v>-</v>
          </cell>
          <cell r="AR75" t="str">
            <v>-</v>
          </cell>
          <cell r="AT75" t="str">
            <v/>
          </cell>
          <cell r="AU75" t="str">
            <v>-</v>
          </cell>
          <cell r="AV75" t="str">
            <v>-</v>
          </cell>
          <cell r="AW75" t="str">
            <v>-</v>
          </cell>
        </row>
        <row r="76">
          <cell r="B76" t="str">
            <v>##오세아니아(북)</v>
          </cell>
          <cell r="C76" t="str">
            <v>불가능</v>
          </cell>
          <cell r="D76" t="str">
            <v>카카투와 부근</v>
          </cell>
          <cell r="E76" t="str">
            <v>사다새</v>
          </cell>
          <cell r="F76" t="str">
            <v>종류:조류</v>
          </cell>
          <cell r="G76">
            <v>70405053</v>
          </cell>
          <cell r="H76">
            <v>24</v>
          </cell>
          <cell r="I76" t="b">
            <v>0</v>
          </cell>
          <cell r="J76" t="str">
            <v>흑고니</v>
          </cell>
          <cell r="K76" t="str">
            <v>종류:조류</v>
          </cell>
          <cell r="L76">
            <v>70405120</v>
          </cell>
          <cell r="M76">
            <v>292</v>
          </cell>
          <cell r="N76" t="b">
            <v>0</v>
          </cell>
          <cell r="O76" t="str">
            <v>주머니날다람쥐</v>
          </cell>
          <cell r="P76" t="str">
            <v>종류:포유류</v>
          </cell>
          <cell r="Q76">
            <v>70406079</v>
          </cell>
          <cell r="R76">
            <v>95</v>
          </cell>
          <cell r="S76" t="b">
            <v>0</v>
          </cell>
          <cell r="T76" t="str">
            <v>뱅크셔</v>
          </cell>
          <cell r="U76" t="str">
            <v>종류:쌍자엽</v>
          </cell>
          <cell r="V76">
            <v>70403047</v>
          </cell>
          <cell r="W76">
            <v>24</v>
          </cell>
          <cell r="X76" t="b">
            <v>0</v>
          </cell>
          <cell r="Z76" t="str">
            <v/>
          </cell>
          <cell r="AA76" t="str">
            <v>-</v>
          </cell>
          <cell r="AB76" t="str">
            <v>-</v>
          </cell>
          <cell r="AC76" t="str">
            <v>-</v>
          </cell>
          <cell r="AE76" t="str">
            <v/>
          </cell>
          <cell r="AF76" t="str">
            <v>-</v>
          </cell>
          <cell r="AG76" t="str">
            <v>-</v>
          </cell>
          <cell r="AH76" t="str">
            <v>-</v>
          </cell>
          <cell r="AJ76" t="str">
            <v/>
          </cell>
          <cell r="AK76" t="str">
            <v>-</v>
          </cell>
          <cell r="AL76" t="str">
            <v>-</v>
          </cell>
          <cell r="AM76" t="str">
            <v>-</v>
          </cell>
          <cell r="AO76" t="str">
            <v/>
          </cell>
          <cell r="AP76" t="str">
            <v>-</v>
          </cell>
          <cell r="AQ76" t="str">
            <v>-</v>
          </cell>
          <cell r="AR76" t="str">
            <v>-</v>
          </cell>
          <cell r="AT76" t="str">
            <v/>
          </cell>
          <cell r="AU76" t="str">
            <v>-</v>
          </cell>
          <cell r="AV76" t="str">
            <v>-</v>
          </cell>
          <cell r="AW76" t="str">
            <v>-</v>
          </cell>
        </row>
        <row r="77">
          <cell r="B77" t="str">
            <v>##뉴기니</v>
          </cell>
          <cell r="C77" t="str">
            <v>불가능</v>
          </cell>
          <cell r="D77" t="str">
            <v>반다 부근</v>
          </cell>
          <cell r="E77" t="str">
            <v>동고</v>
          </cell>
          <cell r="F77" t="str">
            <v>종류:보물</v>
          </cell>
          <cell r="G77">
            <v>70401023</v>
          </cell>
          <cell r="H77">
            <v>292</v>
          </cell>
          <cell r="I77" t="b">
            <v>0</v>
          </cell>
          <cell r="J77" t="str">
            <v>야자잎검은유황앵무새</v>
          </cell>
          <cell r="K77" t="str">
            <v>종류:조류</v>
          </cell>
          <cell r="L77">
            <v>70405064</v>
          </cell>
          <cell r="M77">
            <v>292</v>
          </cell>
          <cell r="N77" t="b">
            <v>0</v>
          </cell>
          <cell r="O77" t="str">
            <v>용안</v>
          </cell>
          <cell r="P77" t="str">
            <v>종류:쌍자엽</v>
          </cell>
          <cell r="Q77">
            <v>70403104</v>
          </cell>
          <cell r="R77">
            <v>292</v>
          </cell>
          <cell r="S77" t="b">
            <v>0</v>
          </cell>
          <cell r="T77" t="str">
            <v>호접란</v>
          </cell>
          <cell r="U77" t="str">
            <v>종류:단자엽</v>
          </cell>
          <cell r="V77">
            <v>70403141</v>
          </cell>
          <cell r="W77">
            <v>24</v>
          </cell>
          <cell r="X77" t="b">
            <v>0</v>
          </cell>
          <cell r="Y77" t="str">
            <v>뱀목거북</v>
          </cell>
          <cell r="Z77" t="str">
            <v>종류:파충류</v>
          </cell>
          <cell r="AA77">
            <v>70406040</v>
          </cell>
          <cell r="AB77">
            <v>95</v>
          </cell>
          <cell r="AC77" t="b">
            <v>0</v>
          </cell>
          <cell r="AD77" t="str">
            <v>빅토리아왕관비둘기</v>
          </cell>
          <cell r="AE77" t="str">
            <v>종류:조류</v>
          </cell>
          <cell r="AF77">
            <v>70405051</v>
          </cell>
          <cell r="AG77">
            <v>24</v>
          </cell>
          <cell r="AH77" t="b">
            <v>0</v>
          </cell>
          <cell r="AI77" t="str">
            <v>가죽날개원숭이</v>
          </cell>
          <cell r="AJ77" t="str">
            <v>종류:포유류</v>
          </cell>
          <cell r="AK77">
            <v>70406001</v>
          </cell>
          <cell r="AL77">
            <v>24</v>
          </cell>
          <cell r="AM77" t="b">
            <v>0</v>
          </cell>
          <cell r="AO77" t="str">
            <v/>
          </cell>
          <cell r="AP77" t="str">
            <v>-</v>
          </cell>
          <cell r="AQ77" t="str">
            <v>-</v>
          </cell>
          <cell r="AR77" t="str">
            <v>-</v>
          </cell>
          <cell r="AT77" t="str">
            <v/>
          </cell>
          <cell r="AU77" t="str">
            <v>-</v>
          </cell>
          <cell r="AV77" t="str">
            <v>-</v>
          </cell>
          <cell r="AW77" t="str">
            <v>-</v>
          </cell>
        </row>
        <row r="78">
          <cell r="B78" t="str">
            <v>##동뉴기니</v>
          </cell>
          <cell r="C78" t="str">
            <v>불가능</v>
          </cell>
          <cell r="D78" t="str">
            <v>사마라이 부근</v>
          </cell>
          <cell r="E78" t="str">
            <v>주머니줄무늬다람쥐</v>
          </cell>
          <cell r="F78" t="str">
            <v>종류:포유류</v>
          </cell>
          <cell r="G78">
            <v>70406082</v>
          </cell>
          <cell r="H78">
            <v>666</v>
          </cell>
          <cell r="I78" t="b">
            <v>0</v>
          </cell>
          <cell r="J78" t="str">
            <v>홍색가슴오색조</v>
          </cell>
          <cell r="K78" t="str">
            <v>종류:조류</v>
          </cell>
          <cell r="L78">
            <v>70405115</v>
          </cell>
          <cell r="M78">
            <v>24</v>
          </cell>
          <cell r="N78" t="b">
            <v>0</v>
          </cell>
          <cell r="O78" t="str">
            <v>오랑우탄</v>
          </cell>
          <cell r="P78" t="str">
            <v>종류:포유류</v>
          </cell>
          <cell r="Q78">
            <v>70408043</v>
          </cell>
          <cell r="R78">
            <v>95</v>
          </cell>
          <cell r="S78" t="b">
            <v>0</v>
          </cell>
          <cell r="T78" t="str">
            <v>남방 화식조</v>
          </cell>
          <cell r="U78" t="str">
            <v>종류:조류</v>
          </cell>
          <cell r="V78">
            <v>70405022</v>
          </cell>
          <cell r="W78">
            <v>95</v>
          </cell>
          <cell r="X78" t="b">
            <v>0</v>
          </cell>
          <cell r="Y78" t="str">
            <v>웨이스키보라띠제비나비</v>
          </cell>
          <cell r="Z78" t="str">
            <v>종류:무척추동물</v>
          </cell>
          <cell r="AA78">
            <v>70404031</v>
          </cell>
          <cell r="AB78">
            <v>24</v>
          </cell>
          <cell r="AC78" t="b">
            <v>0</v>
          </cell>
          <cell r="AE78" t="str">
            <v/>
          </cell>
          <cell r="AF78" t="str">
            <v>-</v>
          </cell>
          <cell r="AG78" t="str">
            <v>-</v>
          </cell>
          <cell r="AH78" t="str">
            <v>-</v>
          </cell>
          <cell r="AJ78" t="str">
            <v/>
          </cell>
          <cell r="AK78" t="str">
            <v>-</v>
          </cell>
          <cell r="AL78" t="str">
            <v>-</v>
          </cell>
          <cell r="AM78" t="str">
            <v>-</v>
          </cell>
          <cell r="AO78" t="str">
            <v/>
          </cell>
          <cell r="AP78" t="str">
            <v>-</v>
          </cell>
          <cell r="AQ78" t="str">
            <v>-</v>
          </cell>
          <cell r="AR78" t="str">
            <v>-</v>
          </cell>
          <cell r="AT78" t="str">
            <v/>
          </cell>
          <cell r="AU78" t="str">
            <v>-</v>
          </cell>
          <cell r="AV78" t="str">
            <v>-</v>
          </cell>
          <cell r="AW78" t="str">
            <v>-</v>
          </cell>
        </row>
        <row r="79">
          <cell r="B79" t="str">
            <v>##폴리네시아</v>
          </cell>
          <cell r="C79" t="str">
            <v>불가능</v>
          </cell>
          <cell r="D79" t="str">
            <v>수바 부근</v>
          </cell>
          <cell r="E79" t="str">
            <v>왕도마뱀</v>
          </cell>
          <cell r="F79" t="str">
            <v>종류:파충류</v>
          </cell>
          <cell r="G79">
            <v>70408045</v>
          </cell>
          <cell r="H79">
            <v>666</v>
          </cell>
          <cell r="I79" t="b">
            <v>0</v>
          </cell>
          <cell r="J79" t="str">
            <v>가시두더지</v>
          </cell>
          <cell r="K79" t="str">
            <v>종류:포유류</v>
          </cell>
          <cell r="L79">
            <v>70406000</v>
          </cell>
          <cell r="M79">
            <v>292</v>
          </cell>
          <cell r="N79" t="b">
            <v>0</v>
          </cell>
          <cell r="O79" t="str">
            <v>장다리 황새</v>
          </cell>
          <cell r="P79" t="str">
            <v>종류:조류</v>
          </cell>
          <cell r="Q79">
            <v>70405079</v>
          </cell>
          <cell r="R79">
            <v>24</v>
          </cell>
          <cell r="S79" t="b">
            <v>0</v>
          </cell>
          <cell r="T79" t="str">
            <v>타이판</v>
          </cell>
          <cell r="U79" t="str">
            <v>종류:파충류</v>
          </cell>
          <cell r="V79">
            <v>70408056</v>
          </cell>
          <cell r="W79">
            <v>95</v>
          </cell>
          <cell r="X79" t="b">
            <v>0</v>
          </cell>
          <cell r="Z79" t="str">
            <v/>
          </cell>
          <cell r="AA79" t="str">
            <v>-</v>
          </cell>
          <cell r="AB79" t="str">
            <v>-</v>
          </cell>
          <cell r="AC79" t="str">
            <v>-</v>
          </cell>
          <cell r="AE79" t="str">
            <v/>
          </cell>
          <cell r="AF79" t="str">
            <v>-</v>
          </cell>
          <cell r="AG79" t="str">
            <v>-</v>
          </cell>
          <cell r="AH79" t="str">
            <v>-</v>
          </cell>
          <cell r="AJ79" t="str">
            <v/>
          </cell>
          <cell r="AK79" t="str">
            <v>-</v>
          </cell>
          <cell r="AL79" t="str">
            <v>-</v>
          </cell>
          <cell r="AM79" t="str">
            <v>-</v>
          </cell>
          <cell r="AO79" t="str">
            <v/>
          </cell>
          <cell r="AP79" t="str">
            <v>-</v>
          </cell>
          <cell r="AQ79" t="str">
            <v>-</v>
          </cell>
          <cell r="AR79" t="str">
            <v>-</v>
          </cell>
          <cell r="AT79" t="str">
            <v/>
          </cell>
          <cell r="AU79" t="str">
            <v>-</v>
          </cell>
          <cell r="AV79" t="str">
            <v>-</v>
          </cell>
          <cell r="AW79" t="str">
            <v>-</v>
          </cell>
        </row>
        <row r="80">
          <cell r="B80" t="str">
            <v>##뉴질랜드</v>
          </cell>
          <cell r="C80" t="str">
            <v>불가능</v>
          </cell>
          <cell r="D80" t="str">
            <v>왕거누이 부근</v>
          </cell>
          <cell r="E80" t="str">
            <v>포이</v>
          </cell>
          <cell r="F80" t="str">
            <v>종류:보물</v>
          </cell>
          <cell r="G80">
            <v>70417205</v>
          </cell>
          <cell r="H80">
            <v>292</v>
          </cell>
          <cell r="I80" t="b">
            <v>0</v>
          </cell>
          <cell r="J80" t="str">
            <v>난쟁이펭귄</v>
          </cell>
          <cell r="K80" t="str">
            <v>종류:조류</v>
          </cell>
          <cell r="L80">
            <v>70405021</v>
          </cell>
          <cell r="M80">
            <v>24</v>
          </cell>
          <cell r="N80" t="b">
            <v>0</v>
          </cell>
          <cell r="O80" t="str">
            <v>웃는 올빼미</v>
          </cell>
          <cell r="P80" t="str">
            <v>종류:조류</v>
          </cell>
          <cell r="Q80">
            <v>70405074</v>
          </cell>
          <cell r="R80">
            <v>95</v>
          </cell>
          <cell r="S80" t="b">
            <v>0</v>
          </cell>
          <cell r="T80" t="str">
            <v>태즈메이니아데블</v>
          </cell>
          <cell r="U80" t="str">
            <v>종류:포유류</v>
          </cell>
          <cell r="V80">
            <v>70407089</v>
          </cell>
          <cell r="W80">
            <v>95</v>
          </cell>
          <cell r="X80" t="b">
            <v>0</v>
          </cell>
          <cell r="Y80" t="str">
            <v>하스트수리</v>
          </cell>
          <cell r="Z80" t="str">
            <v>종류:조류</v>
          </cell>
          <cell r="AA80">
            <v>70405108</v>
          </cell>
          <cell r="AB80">
            <v>24</v>
          </cell>
          <cell r="AC80" t="b">
            <v>0</v>
          </cell>
          <cell r="AE80" t="str">
            <v/>
          </cell>
          <cell r="AF80" t="str">
            <v>-</v>
          </cell>
          <cell r="AG80" t="str">
            <v>-</v>
          </cell>
          <cell r="AH80" t="str">
            <v>-</v>
          </cell>
          <cell r="AJ80" t="str">
            <v/>
          </cell>
          <cell r="AK80" t="str">
            <v>-</v>
          </cell>
          <cell r="AL80" t="str">
            <v>-</v>
          </cell>
          <cell r="AM80" t="str">
            <v>-</v>
          </cell>
          <cell r="AO80" t="str">
            <v/>
          </cell>
          <cell r="AP80" t="str">
            <v>-</v>
          </cell>
          <cell r="AQ80" t="str">
            <v>-</v>
          </cell>
          <cell r="AR80" t="str">
            <v>-</v>
          </cell>
          <cell r="AT80" t="str">
            <v/>
          </cell>
          <cell r="AU80" t="str">
            <v>-</v>
          </cell>
          <cell r="AV80" t="str">
            <v>-</v>
          </cell>
          <cell r="AW80" t="str">
            <v>-</v>
          </cell>
        </row>
        <row r="81">
          <cell r="B81" t="str">
            <v>##태평양(하와이)</v>
          </cell>
          <cell r="C81" t="str">
            <v>불가능</v>
          </cell>
          <cell r="D81" t="str">
            <v>호놀룰루 부근</v>
          </cell>
          <cell r="E81" t="str">
            <v>울리울리</v>
          </cell>
          <cell r="F81" t="str">
            <v>종류:보물</v>
          </cell>
          <cell r="G81">
            <v>70417144</v>
          </cell>
          <cell r="H81">
            <v>666</v>
          </cell>
          <cell r="I81" t="b">
            <v>0</v>
          </cell>
          <cell r="J81" t="str">
            <v>하와이기러기</v>
          </cell>
          <cell r="K81" t="str">
            <v>종류:조류</v>
          </cell>
          <cell r="L81">
            <v>70405110</v>
          </cell>
          <cell r="M81">
            <v>292</v>
          </cell>
          <cell r="N81" t="b">
            <v>0</v>
          </cell>
          <cell r="O81" t="str">
            <v>펠레상</v>
          </cell>
          <cell r="P81" t="str">
            <v>종류:종교유물</v>
          </cell>
          <cell r="Q81">
            <v>70402150</v>
          </cell>
          <cell r="R81">
            <v>95</v>
          </cell>
          <cell r="S81" t="b">
            <v>0</v>
          </cell>
          <cell r="T81" t="str">
            <v>폴리아후상</v>
          </cell>
          <cell r="U81" t="str">
            <v>종류:종교유물</v>
          </cell>
          <cell r="V81">
            <v>70402152</v>
          </cell>
          <cell r="W81">
            <v>95</v>
          </cell>
          <cell r="X81" t="b">
            <v>0</v>
          </cell>
          <cell r="Y81" t="str">
            <v>카마푸아아상</v>
          </cell>
          <cell r="Z81" t="str">
            <v>종류:종교유물</v>
          </cell>
          <cell r="AA81">
            <v>70402128</v>
          </cell>
          <cell r="AB81">
            <v>24</v>
          </cell>
          <cell r="AC81" t="b">
            <v>0</v>
          </cell>
          <cell r="AD81" t="str">
            <v>빵나무</v>
          </cell>
          <cell r="AE81" t="str">
            <v>종류:쌍자엽</v>
          </cell>
          <cell r="AF81">
            <v>70403060</v>
          </cell>
          <cell r="AG81">
            <v>24</v>
          </cell>
          <cell r="AH81" t="b">
            <v>0</v>
          </cell>
          <cell r="AJ81" t="str">
            <v/>
          </cell>
          <cell r="AK81" t="str">
            <v>-</v>
          </cell>
          <cell r="AL81" t="str">
            <v>-</v>
          </cell>
          <cell r="AM81" t="str">
            <v>-</v>
          </cell>
          <cell r="AO81" t="str">
            <v/>
          </cell>
          <cell r="AP81" t="str">
            <v>-</v>
          </cell>
          <cell r="AQ81" t="str">
            <v>-</v>
          </cell>
          <cell r="AR81" t="str">
            <v>-</v>
          </cell>
          <cell r="AT81" t="str">
            <v/>
          </cell>
          <cell r="AU81" t="str">
            <v>-</v>
          </cell>
          <cell r="AV81" t="str">
            <v>-</v>
          </cell>
          <cell r="AW81" t="str">
            <v>-</v>
          </cell>
        </row>
        <row r="82">
          <cell r="B82" t="str">
            <v>##극지방(북극)</v>
          </cell>
          <cell r="C82" t="str">
            <v>불가능</v>
          </cell>
          <cell r="D82" t="str">
            <v>배로우 부근</v>
          </cell>
          <cell r="E82" t="str">
            <v>검은머리물떼새</v>
          </cell>
          <cell r="F82" t="str">
            <v>종류:조류</v>
          </cell>
          <cell r="G82">
            <v>70405007</v>
          </cell>
          <cell r="H82">
            <v>95</v>
          </cell>
          <cell r="I82" t="b">
            <v>0</v>
          </cell>
          <cell r="J82" t="str">
            <v>이고리 원정기</v>
          </cell>
          <cell r="K82" t="str">
            <v>종류:역사유물</v>
          </cell>
          <cell r="L82">
            <v>70401121</v>
          </cell>
          <cell r="M82">
            <v>95</v>
          </cell>
          <cell r="N82" t="b">
            <v>0</v>
          </cell>
          <cell r="P82" t="str">
            <v/>
          </cell>
          <cell r="Q82" t="str">
            <v>-</v>
          </cell>
          <cell r="R82" t="str">
            <v>-</v>
          </cell>
          <cell r="S82" t="str">
            <v>-</v>
          </cell>
          <cell r="U82" t="str">
            <v/>
          </cell>
          <cell r="V82" t="str">
            <v>-</v>
          </cell>
          <cell r="W82" t="str">
            <v>-</v>
          </cell>
          <cell r="X82" t="str">
            <v>-</v>
          </cell>
          <cell r="Z82" t="str">
            <v/>
          </cell>
          <cell r="AA82" t="str">
            <v>-</v>
          </cell>
          <cell r="AB82" t="str">
            <v>-</v>
          </cell>
          <cell r="AC82" t="str">
            <v>-</v>
          </cell>
          <cell r="AE82" t="str">
            <v/>
          </cell>
          <cell r="AF82" t="str">
            <v>-</v>
          </cell>
          <cell r="AG82" t="str">
            <v>-</v>
          </cell>
          <cell r="AH82" t="str">
            <v>-</v>
          </cell>
          <cell r="AJ82" t="str">
            <v/>
          </cell>
          <cell r="AK82" t="str">
            <v>-</v>
          </cell>
          <cell r="AL82" t="str">
            <v>-</v>
          </cell>
          <cell r="AM82" t="str">
            <v>-</v>
          </cell>
          <cell r="AO82" t="str">
            <v/>
          </cell>
          <cell r="AP82" t="str">
            <v>-</v>
          </cell>
          <cell r="AQ82" t="str">
            <v>-</v>
          </cell>
          <cell r="AR82" t="str">
            <v>-</v>
          </cell>
          <cell r="AT82" t="str">
            <v/>
          </cell>
          <cell r="AU82" t="str">
            <v>-</v>
          </cell>
          <cell r="AV82" t="str">
            <v>-</v>
          </cell>
          <cell r="AW82" t="str">
            <v>-</v>
          </cell>
        </row>
        <row r="83">
          <cell r="B83" t="str">
            <v>##북아메리카(북극)</v>
          </cell>
          <cell r="C83" t="str">
            <v>불가능</v>
          </cell>
          <cell r="D83" t="str">
            <v>이콸룩투티악 부근</v>
          </cell>
          <cell r="E83" t="str">
            <v>흰올빼미</v>
          </cell>
          <cell r="F83" t="str">
            <v>종류:조류</v>
          </cell>
          <cell r="G83">
            <v>70405127</v>
          </cell>
          <cell r="H83">
            <v>24</v>
          </cell>
          <cell r="I83" t="b">
            <v>0</v>
          </cell>
          <cell r="J83" t="str">
            <v>북극이끼장구채</v>
          </cell>
          <cell r="K83" t="str">
            <v>종류:쌍자엽</v>
          </cell>
          <cell r="L83">
            <v>70403054</v>
          </cell>
          <cell r="M83">
            <v>95</v>
          </cell>
          <cell r="N83" t="b">
            <v>0</v>
          </cell>
          <cell r="O83" t="str">
            <v>순록</v>
          </cell>
          <cell r="P83" t="str">
            <v>종류:포유류</v>
          </cell>
          <cell r="Q83">
            <v>70408031</v>
          </cell>
          <cell r="R83">
            <v>95</v>
          </cell>
          <cell r="S83" t="b">
            <v>0</v>
          </cell>
          <cell r="U83" t="str">
            <v/>
          </cell>
          <cell r="V83" t="str">
            <v>-</v>
          </cell>
          <cell r="W83" t="str">
            <v>-</v>
          </cell>
          <cell r="X83" t="str">
            <v>-</v>
          </cell>
          <cell r="Z83" t="str">
            <v/>
          </cell>
          <cell r="AA83" t="str">
            <v>-</v>
          </cell>
          <cell r="AB83" t="str">
            <v>-</v>
          </cell>
          <cell r="AC83" t="str">
            <v>-</v>
          </cell>
          <cell r="AE83" t="str">
            <v/>
          </cell>
          <cell r="AF83" t="str">
            <v>-</v>
          </cell>
          <cell r="AG83" t="str">
            <v>-</v>
          </cell>
          <cell r="AH83" t="str">
            <v>-</v>
          </cell>
          <cell r="AJ83" t="str">
            <v/>
          </cell>
          <cell r="AK83" t="str">
            <v>-</v>
          </cell>
          <cell r="AL83" t="str">
            <v>-</v>
          </cell>
          <cell r="AM83" t="str">
            <v>-</v>
          </cell>
          <cell r="AO83" t="str">
            <v/>
          </cell>
          <cell r="AP83" t="str">
            <v>-</v>
          </cell>
          <cell r="AQ83" t="str">
            <v>-</v>
          </cell>
          <cell r="AR83" t="str">
            <v>-</v>
          </cell>
          <cell r="AT83" t="str">
            <v/>
          </cell>
          <cell r="AU83" t="str">
            <v>-</v>
          </cell>
          <cell r="AV83" t="str">
            <v>-</v>
          </cell>
          <cell r="AW83" t="str">
            <v>-</v>
          </cell>
        </row>
        <row r="84">
          <cell r="B84" t="str">
            <v>##극지방(그린란드)</v>
          </cell>
          <cell r="C84" t="str">
            <v>불가능</v>
          </cell>
          <cell r="D84" t="str">
            <v>카나크 부근</v>
          </cell>
          <cell r="E84" t="str">
            <v>홍방울새</v>
          </cell>
          <cell r="F84" t="str">
            <v>종류:조류</v>
          </cell>
          <cell r="G84">
            <v>70405114</v>
          </cell>
          <cell r="H84">
            <v>4</v>
          </cell>
          <cell r="I84" t="b">
            <v>0</v>
          </cell>
          <cell r="K84" t="str">
            <v/>
          </cell>
          <cell r="L84" t="str">
            <v>-</v>
          </cell>
          <cell r="M84" t="str">
            <v>-</v>
          </cell>
          <cell r="N84" t="str">
            <v>-</v>
          </cell>
          <cell r="P84" t="str">
            <v/>
          </cell>
          <cell r="Q84" t="str">
            <v>-</v>
          </cell>
          <cell r="R84" t="str">
            <v>-</v>
          </cell>
          <cell r="S84" t="str">
            <v>-</v>
          </cell>
          <cell r="U84" t="str">
            <v/>
          </cell>
          <cell r="V84" t="str">
            <v>-</v>
          </cell>
          <cell r="W84" t="str">
            <v>-</v>
          </cell>
          <cell r="X84" t="str">
            <v>-</v>
          </cell>
          <cell r="Z84" t="str">
            <v/>
          </cell>
          <cell r="AA84" t="str">
            <v>-</v>
          </cell>
          <cell r="AB84" t="str">
            <v>-</v>
          </cell>
          <cell r="AC84" t="str">
            <v>-</v>
          </cell>
          <cell r="AE84" t="str">
            <v/>
          </cell>
          <cell r="AF84" t="str">
            <v>-</v>
          </cell>
          <cell r="AG84" t="str">
            <v>-</v>
          </cell>
          <cell r="AH84" t="str">
            <v>-</v>
          </cell>
          <cell r="AJ84" t="str">
            <v/>
          </cell>
          <cell r="AK84" t="str">
            <v>-</v>
          </cell>
          <cell r="AL84" t="str">
            <v>-</v>
          </cell>
          <cell r="AM84" t="str">
            <v>-</v>
          </cell>
          <cell r="AO84" t="str">
            <v/>
          </cell>
          <cell r="AP84" t="str">
            <v>-</v>
          </cell>
          <cell r="AQ84" t="str">
            <v>-</v>
          </cell>
          <cell r="AR84" t="str">
            <v>-</v>
          </cell>
          <cell r="AT84" t="str">
            <v/>
          </cell>
          <cell r="AU84" t="str">
            <v>-</v>
          </cell>
          <cell r="AV84" t="str">
            <v>-</v>
          </cell>
          <cell r="AW84" t="str">
            <v>-</v>
          </cell>
        </row>
        <row r="85">
          <cell r="B85" t="str">
            <v>##극지방(북미북동)</v>
          </cell>
          <cell r="C85" t="str">
            <v>가능</v>
          </cell>
          <cell r="D85" t="str">
            <v>아비앗 부근</v>
          </cell>
          <cell r="E85" t="str">
            <v>북극여우</v>
          </cell>
          <cell r="F85" t="str">
            <v>종류:포유류</v>
          </cell>
          <cell r="G85">
            <v>70407035</v>
          </cell>
          <cell r="H85">
            <v>95</v>
          </cell>
          <cell r="I85" t="b">
            <v>0</v>
          </cell>
          <cell r="J85" t="str">
            <v>꽃산딸나무</v>
          </cell>
          <cell r="K85" t="str">
            <v>종류:쌍자엽</v>
          </cell>
          <cell r="L85">
            <v>70403015</v>
          </cell>
          <cell r="M85">
            <v>24</v>
          </cell>
          <cell r="N85" t="b">
            <v>0</v>
          </cell>
          <cell r="O85" t="str">
            <v>검독수리</v>
          </cell>
          <cell r="P85" t="str">
            <v>종류:조류</v>
          </cell>
          <cell r="Q85">
            <v>70405005</v>
          </cell>
          <cell r="R85">
            <v>95</v>
          </cell>
          <cell r="S85" t="b">
            <v>0</v>
          </cell>
          <cell r="T85" t="str">
            <v>우는토끼</v>
          </cell>
          <cell r="U85" t="str">
            <v>종류:포유류</v>
          </cell>
          <cell r="V85">
            <v>70406070</v>
          </cell>
          <cell r="W85">
            <v>292</v>
          </cell>
          <cell r="X85" t="b">
            <v>0</v>
          </cell>
          <cell r="Y85" t="str">
            <v>회색곰</v>
          </cell>
          <cell r="Z85" t="str">
            <v>종류:포유류</v>
          </cell>
          <cell r="AA85">
            <v>70408062</v>
          </cell>
          <cell r="AB85">
            <v>24</v>
          </cell>
          <cell r="AC85" t="b">
            <v>0</v>
          </cell>
          <cell r="AD85" t="str">
            <v>메이애플</v>
          </cell>
          <cell r="AE85" t="str">
            <v>종류:쌍자엽</v>
          </cell>
          <cell r="AF85">
            <v>70403035</v>
          </cell>
          <cell r="AG85">
            <v>292</v>
          </cell>
          <cell r="AH85" t="b">
            <v>0</v>
          </cell>
          <cell r="AJ85" t="str">
            <v/>
          </cell>
          <cell r="AK85" t="str">
            <v>-</v>
          </cell>
          <cell r="AL85" t="str">
            <v>-</v>
          </cell>
          <cell r="AM85" t="str">
            <v>-</v>
          </cell>
          <cell r="AO85" t="str">
            <v/>
          </cell>
          <cell r="AP85" t="str">
            <v>-</v>
          </cell>
          <cell r="AQ85" t="str">
            <v>-</v>
          </cell>
          <cell r="AR85" t="str">
            <v>-</v>
          </cell>
          <cell r="AT85" t="str">
            <v/>
          </cell>
          <cell r="AU85" t="str">
            <v>-</v>
          </cell>
          <cell r="AV85" t="str">
            <v>-</v>
          </cell>
          <cell r="AW85" t="str">
            <v>-</v>
          </cell>
        </row>
        <row r="86">
          <cell r="B86" t="str">
            <v>##극지방(유라시아극북)</v>
          </cell>
          <cell r="C86" t="str">
            <v>불가능</v>
          </cell>
          <cell r="D86" t="str">
            <v>체르스키 부근</v>
          </cell>
          <cell r="E86" t="str">
            <v>아폴로모시나비</v>
          </cell>
          <cell r="F86" t="str">
            <v>종류:무척추동물</v>
          </cell>
          <cell r="G86">
            <v>70404026</v>
          </cell>
          <cell r="H86">
            <v>24</v>
          </cell>
          <cell r="I86" t="b">
            <v>0</v>
          </cell>
          <cell r="J86" t="str">
            <v>사이가산양</v>
          </cell>
          <cell r="K86" t="str">
            <v>종류:포유류</v>
          </cell>
          <cell r="L86">
            <v>70407040</v>
          </cell>
          <cell r="M86">
            <v>95</v>
          </cell>
          <cell r="N86" t="b">
            <v>0</v>
          </cell>
          <cell r="O86" t="str">
            <v>러시아데스만</v>
          </cell>
          <cell r="P86" t="str">
            <v>종류:포유류</v>
          </cell>
          <cell r="Q86">
            <v>70406027</v>
          </cell>
          <cell r="R86">
            <v>292</v>
          </cell>
          <cell r="S86" t="b">
            <v>0</v>
          </cell>
          <cell r="U86" t="str">
            <v/>
          </cell>
          <cell r="V86" t="str">
            <v>-</v>
          </cell>
          <cell r="W86" t="str">
            <v>-</v>
          </cell>
          <cell r="X86" t="str">
            <v>-</v>
          </cell>
          <cell r="Z86" t="str">
            <v/>
          </cell>
          <cell r="AA86" t="str">
            <v>-</v>
          </cell>
          <cell r="AB86" t="str">
            <v>-</v>
          </cell>
          <cell r="AC86" t="str">
            <v>-</v>
          </cell>
          <cell r="AE86" t="str">
            <v/>
          </cell>
          <cell r="AF86" t="str">
            <v>-</v>
          </cell>
          <cell r="AG86" t="str">
            <v>-</v>
          </cell>
          <cell r="AH86" t="str">
            <v>-</v>
          </cell>
          <cell r="AJ86" t="str">
            <v/>
          </cell>
          <cell r="AK86" t="str">
            <v>-</v>
          </cell>
          <cell r="AL86" t="str">
            <v>-</v>
          </cell>
          <cell r="AM86" t="str">
            <v>-</v>
          </cell>
          <cell r="AO86" t="str">
            <v/>
          </cell>
          <cell r="AP86" t="str">
            <v>-</v>
          </cell>
          <cell r="AQ86" t="str">
            <v>-</v>
          </cell>
          <cell r="AR86" t="str">
            <v>-</v>
          </cell>
          <cell r="AT86" t="str">
            <v/>
          </cell>
          <cell r="AU86" t="str">
            <v>-</v>
          </cell>
          <cell r="AV86" t="str">
            <v>-</v>
          </cell>
          <cell r="AW86" t="str">
            <v>-</v>
          </cell>
        </row>
        <row r="87">
          <cell r="B87" t="str">
            <v>##극지방(남극)</v>
          </cell>
          <cell r="C87" t="str">
            <v>불가능</v>
          </cell>
          <cell r="D87" t="str">
            <v>로스 만 부근</v>
          </cell>
          <cell r="E87" t="str">
            <v>고래 화석</v>
          </cell>
          <cell r="F87" t="str">
            <v>종류:화석</v>
          </cell>
          <cell r="G87">
            <v>70418003</v>
          </cell>
          <cell r="H87">
            <v>24</v>
          </cell>
          <cell r="I87" t="b">
            <v>0</v>
          </cell>
          <cell r="J87" t="str">
            <v>남부바위뛰기펭귄</v>
          </cell>
          <cell r="K87" t="str">
            <v>종류:조류</v>
          </cell>
          <cell r="L87">
            <v>70405023</v>
          </cell>
          <cell r="M87">
            <v>95</v>
          </cell>
          <cell r="N87" t="b">
            <v>0</v>
          </cell>
          <cell r="P87" t="str">
            <v/>
          </cell>
          <cell r="Q87" t="str">
            <v>-</v>
          </cell>
          <cell r="R87" t="str">
            <v>-</v>
          </cell>
          <cell r="S87" t="str">
            <v>-</v>
          </cell>
          <cell r="U87" t="str">
            <v/>
          </cell>
          <cell r="V87" t="str">
            <v>-</v>
          </cell>
          <cell r="W87" t="str">
            <v>-</v>
          </cell>
          <cell r="X87" t="str">
            <v>-</v>
          </cell>
          <cell r="Z87" t="str">
            <v/>
          </cell>
          <cell r="AA87" t="str">
            <v>-</v>
          </cell>
          <cell r="AB87" t="str">
            <v>-</v>
          </cell>
          <cell r="AC87" t="str">
            <v>-</v>
          </cell>
          <cell r="AE87" t="str">
            <v/>
          </cell>
          <cell r="AF87" t="str">
            <v>-</v>
          </cell>
          <cell r="AG87" t="str">
            <v>-</v>
          </cell>
          <cell r="AH87" t="str">
            <v>-</v>
          </cell>
          <cell r="AJ87" t="str">
            <v/>
          </cell>
          <cell r="AK87" t="str">
            <v>-</v>
          </cell>
          <cell r="AL87" t="str">
            <v>-</v>
          </cell>
          <cell r="AM87" t="str">
            <v>-</v>
          </cell>
          <cell r="AO87" t="str">
            <v/>
          </cell>
          <cell r="AP87" t="str">
            <v>-</v>
          </cell>
          <cell r="AQ87" t="str">
            <v>-</v>
          </cell>
          <cell r="AR87" t="str">
            <v>-</v>
          </cell>
          <cell r="AT87" t="str">
            <v/>
          </cell>
          <cell r="AU87" t="str">
            <v>-</v>
          </cell>
          <cell r="AV87" t="str">
            <v>-</v>
          </cell>
          <cell r="AW87" t="str">
            <v>-</v>
          </cell>
        </row>
        <row r="88">
          <cell r="B88" t="str">
            <v>##극지방(남극)2</v>
          </cell>
          <cell r="C88" t="str">
            <v>불가능</v>
          </cell>
          <cell r="D88" t="str">
            <v>남극 대륙</v>
          </cell>
          <cell r="E88" t="str">
            <v>해백합 화석</v>
          </cell>
          <cell r="F88" t="str">
            <v>종류:화석</v>
          </cell>
          <cell r="G88">
            <v>70418034</v>
          </cell>
          <cell r="H88">
            <v>24</v>
          </cell>
          <cell r="I88" t="b">
            <v>0</v>
          </cell>
          <cell r="K88" t="str">
            <v/>
          </cell>
          <cell r="L88" t="str">
            <v>-</v>
          </cell>
          <cell r="M88" t="str">
            <v>-</v>
          </cell>
          <cell r="N88" t="str">
            <v>-</v>
          </cell>
          <cell r="P88" t="str">
            <v/>
          </cell>
          <cell r="Q88" t="str">
            <v>-</v>
          </cell>
          <cell r="R88" t="str">
            <v>-</v>
          </cell>
          <cell r="S88" t="str">
            <v>-</v>
          </cell>
          <cell r="U88" t="str">
            <v/>
          </cell>
          <cell r="V88" t="str">
            <v>-</v>
          </cell>
          <cell r="W88" t="str">
            <v>-</v>
          </cell>
          <cell r="X88" t="str">
            <v>-</v>
          </cell>
          <cell r="Z88" t="str">
            <v/>
          </cell>
          <cell r="AA88" t="str">
            <v>-</v>
          </cell>
          <cell r="AB88" t="str">
            <v>-</v>
          </cell>
          <cell r="AC88" t="str">
            <v>-</v>
          </cell>
          <cell r="AE88" t="str">
            <v/>
          </cell>
          <cell r="AF88" t="str">
            <v>-</v>
          </cell>
          <cell r="AG88" t="str">
            <v>-</v>
          </cell>
          <cell r="AH88" t="str">
            <v>-</v>
          </cell>
          <cell r="AJ88" t="str">
            <v/>
          </cell>
          <cell r="AK88" t="str">
            <v>-</v>
          </cell>
          <cell r="AL88" t="str">
            <v>-</v>
          </cell>
          <cell r="AM88" t="str">
            <v>-</v>
          </cell>
          <cell r="AO88" t="str">
            <v/>
          </cell>
          <cell r="AP88" t="str">
            <v>-</v>
          </cell>
          <cell r="AQ88" t="str">
            <v>-</v>
          </cell>
          <cell r="AR88" t="str">
            <v>-</v>
          </cell>
          <cell r="AT88" t="str">
            <v/>
          </cell>
          <cell r="AU88" t="str">
            <v>-</v>
          </cell>
          <cell r="AV88" t="str">
            <v>-</v>
          </cell>
          <cell r="AW88" t="str">
            <v>-</v>
          </cell>
        </row>
        <row r="89">
          <cell r="B89" t="str">
            <v>##극지방(남극)3</v>
          </cell>
          <cell r="C89" t="str">
            <v>불가능</v>
          </cell>
          <cell r="D89" t="str">
            <v>시들리 산 부근</v>
          </cell>
          <cell r="E89" t="str">
            <v>규화목</v>
          </cell>
          <cell r="F89" t="str">
            <v>종류:화석</v>
          </cell>
          <cell r="G89">
            <v>70418007</v>
          </cell>
          <cell r="H89">
            <v>95</v>
          </cell>
          <cell r="I89" t="b">
            <v>0</v>
          </cell>
          <cell r="K89" t="str">
            <v/>
          </cell>
          <cell r="L89" t="str">
            <v>-</v>
          </cell>
          <cell r="M89" t="str">
            <v>-</v>
          </cell>
          <cell r="N89" t="str">
            <v>-</v>
          </cell>
          <cell r="P89" t="str">
            <v/>
          </cell>
          <cell r="Q89" t="str">
            <v>-</v>
          </cell>
          <cell r="R89" t="str">
            <v>-</v>
          </cell>
          <cell r="S89" t="str">
            <v>-</v>
          </cell>
          <cell r="U89" t="str">
            <v/>
          </cell>
          <cell r="V89" t="str">
            <v>-</v>
          </cell>
          <cell r="W89" t="str">
            <v>-</v>
          </cell>
          <cell r="X89" t="str">
            <v>-</v>
          </cell>
          <cell r="Z89" t="str">
            <v/>
          </cell>
          <cell r="AA89" t="str">
            <v>-</v>
          </cell>
          <cell r="AB89" t="str">
            <v>-</v>
          </cell>
          <cell r="AC89" t="str">
            <v>-</v>
          </cell>
          <cell r="AE89" t="str">
            <v/>
          </cell>
          <cell r="AF89" t="str">
            <v>-</v>
          </cell>
          <cell r="AG89" t="str">
            <v>-</v>
          </cell>
          <cell r="AH89" t="str">
            <v>-</v>
          </cell>
          <cell r="AJ89" t="str">
            <v/>
          </cell>
          <cell r="AK89" t="str">
            <v>-</v>
          </cell>
          <cell r="AL89" t="str">
            <v>-</v>
          </cell>
          <cell r="AM89" t="str">
            <v>-</v>
          </cell>
          <cell r="AO89" t="str">
            <v/>
          </cell>
          <cell r="AP89" t="str">
            <v>-</v>
          </cell>
          <cell r="AQ89" t="str">
            <v>-</v>
          </cell>
          <cell r="AR89" t="str">
            <v>-</v>
          </cell>
          <cell r="AT89" t="str">
            <v/>
          </cell>
          <cell r="AU89" t="str">
            <v>-</v>
          </cell>
          <cell r="AV89" t="str">
            <v>-</v>
          </cell>
          <cell r="AW89" t="str">
            <v>-</v>
          </cell>
        </row>
        <row r="90">
          <cell r="B90" t="str">
            <v>##극지방(남극)4</v>
          </cell>
          <cell r="C90" t="str">
            <v>불가능</v>
          </cell>
          <cell r="D90" t="str">
            <v>남극 반도</v>
          </cell>
          <cell r="E90" t="str">
            <v>남방코끼리물범</v>
          </cell>
          <cell r="F90" t="str">
            <v>종류:포유류</v>
          </cell>
          <cell r="G90">
            <v>70409421</v>
          </cell>
          <cell r="H90">
            <v>24</v>
          </cell>
          <cell r="I90" t="b">
            <v>0</v>
          </cell>
          <cell r="K90" t="str">
            <v/>
          </cell>
          <cell r="L90" t="str">
            <v>-</v>
          </cell>
          <cell r="M90" t="str">
            <v>-</v>
          </cell>
          <cell r="N90" t="str">
            <v>-</v>
          </cell>
          <cell r="P90" t="str">
            <v/>
          </cell>
          <cell r="Q90" t="str">
            <v>-</v>
          </cell>
          <cell r="R90" t="str">
            <v>-</v>
          </cell>
          <cell r="S90" t="str">
            <v>-</v>
          </cell>
          <cell r="U90" t="str">
            <v/>
          </cell>
          <cell r="V90" t="str">
            <v>-</v>
          </cell>
          <cell r="W90" t="str">
            <v>-</v>
          </cell>
          <cell r="X90" t="str">
            <v>-</v>
          </cell>
          <cell r="Z90" t="str">
            <v/>
          </cell>
          <cell r="AA90" t="str">
            <v>-</v>
          </cell>
          <cell r="AB90" t="str">
            <v>-</v>
          </cell>
          <cell r="AC90" t="str">
            <v>-</v>
          </cell>
          <cell r="AE90" t="str">
            <v/>
          </cell>
          <cell r="AF90" t="str">
            <v>-</v>
          </cell>
          <cell r="AG90" t="str">
            <v>-</v>
          </cell>
          <cell r="AH90" t="str">
            <v>-</v>
          </cell>
          <cell r="AJ90" t="str">
            <v/>
          </cell>
          <cell r="AK90" t="str">
            <v>-</v>
          </cell>
          <cell r="AL90" t="str">
            <v>-</v>
          </cell>
          <cell r="AM90" t="str">
            <v>-</v>
          </cell>
          <cell r="AO90" t="str">
            <v/>
          </cell>
          <cell r="AP90" t="str">
            <v>-</v>
          </cell>
          <cell r="AQ90" t="str">
            <v>-</v>
          </cell>
          <cell r="AR90" t="str">
            <v>-</v>
          </cell>
          <cell r="AT90" t="str">
            <v/>
          </cell>
          <cell r="AU90" t="str">
            <v>-</v>
          </cell>
          <cell r="AV90" t="str">
            <v>-</v>
          </cell>
          <cell r="AW90" t="str">
            <v>-</v>
          </cell>
        </row>
        <row r="91">
          <cell r="B91" t="str">
            <v>##중앙아메리카(서)</v>
          </cell>
          <cell r="C91" t="str">
            <v>불가능</v>
          </cell>
          <cell r="D91" t="str">
            <v>과테말라 부근</v>
          </cell>
          <cell r="E91" t="str">
            <v>독수리와 재규어의 부조</v>
          </cell>
          <cell r="F91" t="str">
            <v>종류:종교 건축물</v>
          </cell>
          <cell r="G91">
            <v>70411007</v>
          </cell>
          <cell r="H91">
            <v>666</v>
          </cell>
          <cell r="I91" t="b">
            <v>0</v>
          </cell>
          <cell r="J91" t="str">
            <v>시우코아틀상</v>
          </cell>
          <cell r="K91" t="str">
            <v>종류:종교유물</v>
          </cell>
          <cell r="L91">
            <v>70402069</v>
          </cell>
          <cell r="M91">
            <v>95</v>
          </cell>
          <cell r="N91" t="b">
            <v>0</v>
          </cell>
          <cell r="O91" t="str">
            <v>툴룸</v>
          </cell>
          <cell r="P91" t="str">
            <v>종류:사적</v>
          </cell>
          <cell r="Q91">
            <v>70410079</v>
          </cell>
          <cell r="R91">
            <v>95</v>
          </cell>
          <cell r="S91" t="b">
            <v>0</v>
          </cell>
          <cell r="T91" t="str">
            <v>파칼 왕의 부조</v>
          </cell>
          <cell r="U91" t="str">
            <v>종류:역사유물</v>
          </cell>
          <cell r="V91">
            <v>70401175</v>
          </cell>
          <cell r="W91">
            <v>24</v>
          </cell>
          <cell r="X91" t="b">
            <v>0</v>
          </cell>
          <cell r="Y91" t="str">
            <v>우이칠로포츠틀리상</v>
          </cell>
          <cell r="Z91" t="str">
            <v>종류:종교유물</v>
          </cell>
          <cell r="AA91">
            <v>70402105</v>
          </cell>
          <cell r="AB91">
            <v>292</v>
          </cell>
          <cell r="AC91" t="b">
            <v>0</v>
          </cell>
          <cell r="AD91" t="str">
            <v>세미상</v>
          </cell>
          <cell r="AE91" t="str">
            <v>종류:종교유물</v>
          </cell>
          <cell r="AF91">
            <v>70402062</v>
          </cell>
          <cell r="AG91">
            <v>4</v>
          </cell>
          <cell r="AH91" t="b">
            <v>0</v>
          </cell>
          <cell r="AJ91" t="str">
            <v/>
          </cell>
          <cell r="AK91" t="str">
            <v>-</v>
          </cell>
          <cell r="AL91" t="str">
            <v>-</v>
          </cell>
          <cell r="AM91" t="str">
            <v>-</v>
          </cell>
          <cell r="AO91" t="str">
            <v/>
          </cell>
          <cell r="AP91" t="str">
            <v>-</v>
          </cell>
          <cell r="AQ91" t="str">
            <v>-</v>
          </cell>
          <cell r="AR91" t="str">
            <v>-</v>
          </cell>
          <cell r="AT91" t="str">
            <v/>
          </cell>
          <cell r="AU91" t="str">
            <v>-</v>
          </cell>
          <cell r="AV91" t="str">
            <v>-</v>
          </cell>
          <cell r="AW91" t="str">
            <v>-</v>
          </cell>
        </row>
        <row r="92">
          <cell r="B92" t="str">
            <v>##극지방(그린란드)(남)</v>
          </cell>
          <cell r="C92" t="str">
            <v>가능</v>
          </cell>
          <cell r="D92" t="str">
            <v>카나크 부근</v>
          </cell>
          <cell r="E92" t="str">
            <v>가리비류 화석</v>
          </cell>
          <cell r="F92" t="str">
            <v>종류:화석</v>
          </cell>
          <cell r="G92">
            <v>70418000</v>
          </cell>
          <cell r="H92">
            <v>95</v>
          </cell>
          <cell r="I92" t="b">
            <v>0</v>
          </cell>
          <cell r="J92" t="str">
            <v>그린란드 사람들의 사가</v>
          </cell>
          <cell r="K92" t="str">
            <v>종류:보물</v>
          </cell>
          <cell r="L92">
            <v>70417017</v>
          </cell>
          <cell r="M92">
            <v>292</v>
          </cell>
          <cell r="N92" t="b">
            <v>0</v>
          </cell>
          <cell r="O92" t="str">
            <v>이크티오스테가 화석</v>
          </cell>
          <cell r="P92" t="str">
            <v>종류:화석</v>
          </cell>
          <cell r="Q92">
            <v>70418029</v>
          </cell>
          <cell r="R92">
            <v>95</v>
          </cell>
          <cell r="S92" t="b">
            <v>0</v>
          </cell>
          <cell r="T92" t="str">
            <v>사향소</v>
          </cell>
          <cell r="U92" t="str">
            <v>종류:포유류</v>
          </cell>
          <cell r="V92">
            <v>70408029</v>
          </cell>
          <cell r="W92">
            <v>24</v>
          </cell>
          <cell r="X92" t="b">
            <v>0</v>
          </cell>
          <cell r="Z92" t="str">
            <v/>
          </cell>
          <cell r="AA92" t="str">
            <v>-</v>
          </cell>
          <cell r="AB92" t="str">
            <v>-</v>
          </cell>
          <cell r="AC92" t="str">
            <v>-</v>
          </cell>
          <cell r="AE92" t="str">
            <v/>
          </cell>
          <cell r="AF92" t="str">
            <v>-</v>
          </cell>
          <cell r="AG92" t="str">
            <v>-</v>
          </cell>
          <cell r="AH92" t="str">
            <v>-</v>
          </cell>
          <cell r="AJ92" t="str">
            <v/>
          </cell>
          <cell r="AK92" t="str">
            <v>-</v>
          </cell>
          <cell r="AL92" t="str">
            <v>-</v>
          </cell>
          <cell r="AM92" t="str">
            <v>-</v>
          </cell>
          <cell r="AO92" t="str">
            <v/>
          </cell>
          <cell r="AP92" t="str">
            <v>-</v>
          </cell>
          <cell r="AQ92" t="str">
            <v>-</v>
          </cell>
          <cell r="AR92" t="str">
            <v>-</v>
          </cell>
          <cell r="AT92" t="str">
            <v/>
          </cell>
          <cell r="AU92" t="str">
            <v>-</v>
          </cell>
          <cell r="AV92" t="str">
            <v>-</v>
          </cell>
          <cell r="AW92" t="str">
            <v>-</v>
          </cell>
        </row>
        <row r="93">
          <cell r="B93" t="str">
            <v>##아이슬란드 북부</v>
          </cell>
          <cell r="C93" t="str">
            <v>가능</v>
          </cell>
          <cell r="D93" t="str">
            <v>아이슬란드 북부</v>
          </cell>
          <cell r="G93">
            <v>70418009</v>
          </cell>
          <cell r="I93" t="b">
            <v>0</v>
          </cell>
          <cell r="M93" t="str">
            <v>-</v>
          </cell>
          <cell r="N93" t="str">
            <v>-</v>
          </cell>
          <cell r="P93" t="str">
            <v/>
          </cell>
          <cell r="S93" t="str">
            <v>-</v>
          </cell>
          <cell r="V93" t="str">
            <v>-</v>
          </cell>
          <cell r="X93" t="str">
            <v>-</v>
          </cell>
          <cell r="AB93" t="str">
            <v>-</v>
          </cell>
          <cell r="AC93" t="str">
            <v>-</v>
          </cell>
          <cell r="AH93" t="str">
            <v>-</v>
          </cell>
        </row>
        <row r="94">
          <cell r="B94" t="str">
            <v>##궁수자리</v>
          </cell>
          <cell r="C94" t="str">
            <v>가능</v>
          </cell>
          <cell r="D94" t="str">
            <v>카사블랑카 부근</v>
          </cell>
          <cell r="G94">
            <v>70418020</v>
          </cell>
          <cell r="I94" t="b">
            <v>0</v>
          </cell>
          <cell r="J94" t="str">
            <v>아자와크</v>
          </cell>
          <cell r="M94">
            <v>292</v>
          </cell>
          <cell r="N94" t="b">
            <v>0</v>
          </cell>
          <cell r="P94" t="str">
            <v>종류:보물</v>
          </cell>
          <cell r="S94" t="b">
            <v>0</v>
          </cell>
          <cell r="V94">
            <v>70407073</v>
          </cell>
          <cell r="X94" t="b">
            <v>0</v>
          </cell>
          <cell r="Y94" t="str">
            <v>크눔상</v>
          </cell>
          <cell r="AB94">
            <v>24</v>
          </cell>
          <cell r="AC94" t="b">
            <v>0</v>
          </cell>
          <cell r="AH94" t="b">
            <v>0</v>
          </cell>
        </row>
        <row r="95">
          <cell r="B95" t="str">
            <v>##엘레우시스 신전</v>
          </cell>
          <cell r="C95" t="str">
            <v>가능</v>
          </cell>
          <cell r="D95" t="str">
            <v>아티나 부근</v>
          </cell>
          <cell r="G95">
            <v>70403130</v>
          </cell>
          <cell r="I95" t="b">
            <v>0</v>
          </cell>
          <cell r="J95" t="str">
            <v>수레국화</v>
          </cell>
          <cell r="M95">
            <v>666</v>
          </cell>
          <cell r="N95" t="b">
            <v>0</v>
          </cell>
          <cell r="P95" t="str">
            <v>종류:보물</v>
          </cell>
          <cell r="S95" t="b">
            <v>0</v>
          </cell>
          <cell r="V95">
            <v>70410012</v>
          </cell>
          <cell r="X95" t="b">
            <v>0</v>
          </cell>
          <cell r="Y95" t="str">
            <v>사리사</v>
          </cell>
          <cell r="AB95">
            <v>666</v>
          </cell>
          <cell r="AC95" t="b">
            <v>0</v>
          </cell>
          <cell r="AH95" t="b">
            <v>0</v>
          </cell>
        </row>
        <row r="96">
          <cell r="B96" t="str">
            <v>##넓적부리황새&amp;바오바브나무</v>
          </cell>
          <cell r="C96" t="str">
            <v>가능</v>
          </cell>
          <cell r="D96" t="str">
            <v>벵겔라 부근</v>
          </cell>
          <cell r="G96">
            <v>70403010</v>
          </cell>
          <cell r="I96" t="b">
            <v>0</v>
          </cell>
          <cell r="J96" t="str">
            <v>케이프땅다람쥐</v>
          </cell>
          <cell r="M96">
            <v>666</v>
          </cell>
          <cell r="N96" t="b">
            <v>0</v>
          </cell>
          <cell r="P96" t="str">
            <v>종류:조류</v>
          </cell>
          <cell r="S96" t="b">
            <v>0</v>
          </cell>
          <cell r="V96">
            <v>70410081</v>
          </cell>
          <cell r="X96" t="b">
            <v>0</v>
          </cell>
          <cell r="Y96" t="str">
            <v>동부초록맘바</v>
          </cell>
          <cell r="AB96">
            <v>95</v>
          </cell>
          <cell r="AC96" t="b">
            <v>0</v>
          </cell>
          <cell r="AH96" t="b">
            <v>0</v>
          </cell>
        </row>
        <row r="97">
          <cell r="B97" t="str">
            <v>##히아신스</v>
          </cell>
          <cell r="C97" t="str">
            <v>가능</v>
          </cell>
          <cell r="D97" t="str">
            <v>트라브존 부근</v>
          </cell>
          <cell r="G97">
            <v>70402039</v>
          </cell>
          <cell r="I97" t="b">
            <v>0</v>
          </cell>
          <cell r="J97" t="str">
            <v>붉은토끼풀</v>
          </cell>
          <cell r="M97">
            <v>666</v>
          </cell>
          <cell r="N97" t="b">
            <v>0</v>
          </cell>
          <cell r="P97" t="str">
            <v>종류:보물</v>
          </cell>
          <cell r="S97" t="b">
            <v>0</v>
          </cell>
          <cell r="V97">
            <v>70401195</v>
          </cell>
          <cell r="X97" t="b">
            <v>0</v>
          </cell>
          <cell r="Y97" t="str">
            <v>흑종초</v>
          </cell>
          <cell r="AB97">
            <v>24</v>
          </cell>
          <cell r="AC97" t="b">
            <v>0</v>
          </cell>
          <cell r="AH97" t="b">
            <v>0</v>
          </cell>
        </row>
        <row r="98">
          <cell r="B98" t="str">
            <v>##사자의 서&amp;기자의 대 스핑크스&amp;카르나크 신전</v>
          </cell>
          <cell r="C98" t="str">
            <v>가능</v>
          </cell>
          <cell r="D98" t="str">
            <v>알이스칸다리야 부근</v>
          </cell>
          <cell r="G98">
            <v>70401030</v>
          </cell>
          <cell r="I98" t="b">
            <v>0</v>
          </cell>
          <cell r="J98" t="str">
            <v>바바리양</v>
          </cell>
          <cell r="M98">
            <v>666</v>
          </cell>
          <cell r="N98" t="b">
            <v>0</v>
          </cell>
          <cell r="P98" t="str">
            <v>종류:사적</v>
          </cell>
          <cell r="S98" t="b">
            <v>0</v>
          </cell>
          <cell r="V98">
            <v>70401144</v>
          </cell>
          <cell r="X98" t="b">
            <v>0</v>
          </cell>
          <cell r="Y98" t="str">
            <v>토끼풀</v>
          </cell>
          <cell r="AB98">
            <v>666</v>
          </cell>
          <cell r="AC98" t="b">
            <v>0</v>
          </cell>
          <cell r="AH98" t="b">
            <v>0</v>
          </cell>
        </row>
        <row r="99">
          <cell r="B99" t="str">
            <v>##찬드라굽타 왕의 검</v>
          </cell>
          <cell r="C99" t="str">
            <v>가능</v>
          </cell>
          <cell r="D99" t="str">
            <v>고아 부근</v>
          </cell>
          <cell r="G99">
            <v>70407066</v>
          </cell>
          <cell r="I99" t="b">
            <v>0</v>
          </cell>
          <cell r="J99" t="str">
            <v>불공성취여래</v>
          </cell>
          <cell r="M99">
            <v>4</v>
          </cell>
          <cell r="N99" t="b">
            <v>0</v>
          </cell>
          <cell r="P99" t="str">
            <v>종류:종교유물</v>
          </cell>
          <cell r="S99" t="b">
            <v>0</v>
          </cell>
          <cell r="V99">
            <v>70402032</v>
          </cell>
          <cell r="X99" t="b">
            <v>0</v>
          </cell>
          <cell r="Y99" t="str">
            <v>칼리의 부조</v>
          </cell>
          <cell r="AB99">
            <v>292</v>
          </cell>
          <cell r="AC99" t="b">
            <v>0</v>
          </cell>
          <cell r="AH99" t="b">
            <v>0</v>
          </cell>
        </row>
        <row r="100">
          <cell r="B100" t="str">
            <v>##폼페이의 빵
아추라 동굴</v>
          </cell>
          <cell r="C100" t="str">
            <v>가능</v>
          </cell>
          <cell r="D100" t="str">
            <v>나폴리 부근</v>
          </cell>
          <cell r="G100">
            <v>70410032</v>
          </cell>
          <cell r="I100" t="b">
            <v>0</v>
          </cell>
          <cell r="J100" t="str">
            <v>승리</v>
          </cell>
          <cell r="M100">
            <v>666</v>
          </cell>
          <cell r="N100" t="b">
            <v>0</v>
          </cell>
          <cell r="P100" t="str">
            <v>종류:미술품</v>
          </cell>
          <cell r="S100" t="b">
            <v>0</v>
          </cell>
          <cell r="V100">
            <v>70407100</v>
          </cell>
          <cell r="X100" t="b">
            <v>0</v>
          </cell>
          <cell r="Y100" t="str">
            <v>칼리굴라 황제의 흉상</v>
          </cell>
          <cell r="AB100">
            <v>24</v>
          </cell>
          <cell r="AC100" t="b">
            <v>0</v>
          </cell>
          <cell r="AH100" t="b">
            <v>0</v>
          </cell>
        </row>
        <row r="101">
          <cell r="B101" t="str">
            <v>##비명의 신전</v>
          </cell>
          <cell r="C101" t="str">
            <v>불가능</v>
          </cell>
          <cell r="D101" t="str">
            <v>과테말라 부근</v>
          </cell>
          <cell r="G101">
            <v>70411007</v>
          </cell>
          <cell r="I101" t="b">
            <v>0</v>
          </cell>
          <cell r="J101" t="str">
            <v>시우코아틀상</v>
          </cell>
          <cell r="M101">
            <v>95</v>
          </cell>
          <cell r="N101" t="b">
            <v>0</v>
          </cell>
          <cell r="P101" t="str">
            <v>종류:사적</v>
          </cell>
          <cell r="S101" t="b">
            <v>0</v>
          </cell>
          <cell r="V101">
            <v>70401175</v>
          </cell>
          <cell r="X101" t="b">
            <v>0</v>
          </cell>
          <cell r="Y101" t="str">
            <v>우이칠로포츠틀리상</v>
          </cell>
          <cell r="AB101">
            <v>292</v>
          </cell>
          <cell r="AC101" t="b">
            <v>0</v>
          </cell>
          <cell r="AH101" t="b">
            <v>0</v>
          </cell>
        </row>
        <row r="102">
          <cell r="B102" t="str">
            <v>##유럽 다프네</v>
          </cell>
          <cell r="C102" t="str">
            <v>가능</v>
          </cell>
          <cell r="D102" t="str">
            <v>스톡홀름 부근</v>
          </cell>
          <cell r="G102">
            <v>70417077</v>
          </cell>
          <cell r="I102" t="b">
            <v>0</v>
          </cell>
          <cell r="J102" t="str">
            <v>뇌조</v>
          </cell>
          <cell r="M102">
            <v>95</v>
          </cell>
          <cell r="N102" t="b">
            <v>0</v>
          </cell>
          <cell r="P102" t="str">
            <v>종류:포유류</v>
          </cell>
          <cell r="S102" t="b">
            <v>0</v>
          </cell>
          <cell r="V102">
            <v>70405095</v>
          </cell>
          <cell r="X102" t="b">
            <v>0</v>
          </cell>
          <cell r="Y102" t="str">
            <v>귀부인의 드레스</v>
          </cell>
          <cell r="AB102">
            <v>292</v>
          </cell>
          <cell r="AC102" t="b">
            <v>0</v>
          </cell>
          <cell r="AH102" t="b">
            <v>0</v>
          </cell>
        </row>
        <row r="103">
          <cell r="B103" t="str">
            <v>##하이에나</v>
          </cell>
          <cell r="C103" t="str">
            <v>가능</v>
          </cell>
          <cell r="D103" t="str">
            <v>도파르 부근</v>
          </cell>
          <cell r="G103">
            <v>70402093</v>
          </cell>
          <cell r="I103" t="b">
            <v>0</v>
          </cell>
          <cell r="J103" t="str">
            <v>수메르의 전차</v>
          </cell>
          <cell r="M103">
            <v>292</v>
          </cell>
          <cell r="N103" t="b">
            <v>0</v>
          </cell>
          <cell r="P103" t="str">
            <v>종류:사적</v>
          </cell>
          <cell r="S103" t="b">
            <v>0</v>
          </cell>
          <cell r="V103">
            <v>70417150</v>
          </cell>
          <cell r="X103" t="b">
            <v>0</v>
          </cell>
          <cell r="Y103" t="str">
            <v>베히스툰 암각비</v>
          </cell>
          <cell r="AB103">
            <v>95</v>
          </cell>
          <cell r="AC103" t="b">
            <v>0</v>
          </cell>
          <cell r="AH103" t="b">
            <v>0</v>
          </cell>
        </row>
        <row r="104">
          <cell r="B104" t="str">
            <v>##알렉산더 대왕의 석관</v>
          </cell>
          <cell r="C104" t="str">
            <v>가능</v>
          </cell>
          <cell r="D104" t="str">
            <v>알이스칸다리야 부근</v>
          </cell>
          <cell r="G104">
            <v>70401030</v>
          </cell>
          <cell r="I104" t="b">
            <v>0</v>
          </cell>
          <cell r="J104" t="str">
            <v>바바리양</v>
          </cell>
          <cell r="M104">
            <v>666</v>
          </cell>
          <cell r="N104" t="b">
            <v>0</v>
          </cell>
          <cell r="P104" t="str">
            <v>종류:사적</v>
          </cell>
          <cell r="S104" t="b">
            <v>0</v>
          </cell>
          <cell r="V104">
            <v>70401144</v>
          </cell>
          <cell r="X104" t="b">
            <v>0</v>
          </cell>
          <cell r="Y104" t="str">
            <v>토끼풀</v>
          </cell>
          <cell r="AB104">
            <v>666</v>
          </cell>
          <cell r="AC104" t="b">
            <v>0</v>
          </cell>
          <cell r="AH104" t="b">
            <v>0</v>
          </cell>
        </row>
        <row r="105">
          <cell r="B105" t="str">
            <v>##흡혈귀 전설&amp;케플러의 신성</v>
          </cell>
          <cell r="C105" t="str">
            <v>가능</v>
          </cell>
          <cell r="D105" t="str">
            <v>나폴리 부근</v>
          </cell>
          <cell r="G105">
            <v>70410032</v>
          </cell>
          <cell r="I105" t="b">
            <v>0</v>
          </cell>
          <cell r="J105" t="str">
            <v>승리</v>
          </cell>
          <cell r="M105">
            <v>666</v>
          </cell>
          <cell r="N105" t="b">
            <v>0</v>
          </cell>
          <cell r="P105" t="str">
            <v>종류:미술품</v>
          </cell>
          <cell r="S105" t="b">
            <v>0</v>
          </cell>
          <cell r="V105">
            <v>70407100</v>
          </cell>
          <cell r="X105" t="b">
            <v>0</v>
          </cell>
          <cell r="Y105" t="str">
            <v>칼리굴라 황제의 흉상</v>
          </cell>
          <cell r="AB105">
            <v>24</v>
          </cell>
          <cell r="AC105" t="b">
            <v>0</v>
          </cell>
          <cell r="AH105" t="b">
            <v>0</v>
          </cell>
        </row>
        <row r="106">
          <cell r="B106" t="str">
            <v>##금강산</v>
          </cell>
          <cell r="C106" t="str">
            <v>불가능</v>
          </cell>
          <cell r="D106" t="str">
            <v>한양 부근</v>
          </cell>
          <cell r="G106">
            <v>70401103</v>
          </cell>
          <cell r="I106" t="b">
            <v>0</v>
          </cell>
          <cell r="J106" t="str">
            <v>석굴암 불상</v>
          </cell>
          <cell r="M106">
            <v>4</v>
          </cell>
          <cell r="N106" t="b">
            <v>0</v>
          </cell>
          <cell r="P106" t="str">
            <v>종류:조류</v>
          </cell>
          <cell r="S106" t="b">
            <v>0</v>
          </cell>
          <cell r="V106">
            <v>70404044</v>
          </cell>
          <cell r="X106" t="b">
            <v>0</v>
          </cell>
          <cell r="Y106" t="str">
            <v>오현비파</v>
          </cell>
          <cell r="AB106">
            <v>292</v>
          </cell>
          <cell r="AC106" t="b">
            <v>0</v>
          </cell>
          <cell r="AH106" t="b">
            <v>0</v>
          </cell>
        </row>
        <row r="107">
          <cell r="B107" t="str">
            <v>##작은발톱수달</v>
          </cell>
          <cell r="C107" t="str">
            <v>가능</v>
          </cell>
          <cell r="D107" t="str">
            <v>고아 부근</v>
          </cell>
          <cell r="G107">
            <v>70407066</v>
          </cell>
          <cell r="I107" t="b">
            <v>0</v>
          </cell>
          <cell r="J107" t="str">
            <v>불공성취여래</v>
          </cell>
          <cell r="M107">
            <v>4</v>
          </cell>
          <cell r="N107" t="b">
            <v>0</v>
          </cell>
          <cell r="P107" t="str">
            <v>종류:종교유물</v>
          </cell>
          <cell r="S107" t="b">
            <v>0</v>
          </cell>
          <cell r="V107">
            <v>70402032</v>
          </cell>
          <cell r="X107" t="b">
            <v>0</v>
          </cell>
          <cell r="Y107" t="str">
            <v>칼리의 부조</v>
          </cell>
          <cell r="AB107">
            <v>292</v>
          </cell>
          <cell r="AC107" t="b">
            <v>0</v>
          </cell>
          <cell r="AH107" t="b">
            <v>0</v>
          </cell>
        </row>
        <row r="108">
          <cell r="B108" t="str">
            <v>##월하미인</v>
          </cell>
          <cell r="C108" t="str">
            <v>가능</v>
          </cell>
          <cell r="D108" t="str">
            <v>산티아고 부근</v>
          </cell>
          <cell r="G108">
            <v>70405061</v>
          </cell>
          <cell r="I108" t="b">
            <v>0</v>
          </cell>
          <cell r="J108" t="str">
            <v>착상</v>
          </cell>
          <cell r="M108">
            <v>666</v>
          </cell>
          <cell r="N108" t="b">
            <v>0</v>
          </cell>
          <cell r="P108" t="str">
            <v>종류:역사유물</v>
          </cell>
          <cell r="S108" t="b">
            <v>0</v>
          </cell>
          <cell r="V108">
            <v>70402105</v>
          </cell>
          <cell r="X108" t="b">
            <v>0</v>
          </cell>
          <cell r="Y108" t="str">
            <v>아르마딜로</v>
          </cell>
          <cell r="AB108">
            <v>95</v>
          </cell>
          <cell r="AC108" t="b">
            <v>0</v>
          </cell>
          <cell r="AH108" t="b">
            <v>0</v>
          </cell>
        </row>
        <row r="109">
          <cell r="B109" t="str">
            <v>##광개토대왕릉비</v>
          </cell>
          <cell r="C109" t="str">
            <v>불가능</v>
          </cell>
          <cell r="D109" t="str">
            <v>한양 부근</v>
          </cell>
          <cell r="G109">
            <v>70401103</v>
          </cell>
          <cell r="I109" t="b">
            <v>0</v>
          </cell>
          <cell r="J109" t="str">
            <v>석굴암 불상</v>
          </cell>
          <cell r="M109">
            <v>4</v>
          </cell>
          <cell r="N109" t="b">
            <v>0</v>
          </cell>
          <cell r="P109" t="str">
            <v>종류:조류</v>
          </cell>
          <cell r="S109" t="b">
            <v>0</v>
          </cell>
          <cell r="V109">
            <v>70404044</v>
          </cell>
          <cell r="X109" t="b">
            <v>0</v>
          </cell>
          <cell r="Y109" t="str">
            <v>오현비파</v>
          </cell>
          <cell r="AB109">
            <v>292</v>
          </cell>
          <cell r="AC109" t="b">
            <v>0</v>
          </cell>
          <cell r="AH109" t="b">
            <v>0</v>
          </cell>
        </row>
        <row r="110">
          <cell r="B110" t="str">
            <v>##북극곰</v>
          </cell>
          <cell r="C110" t="str">
            <v>불가능</v>
          </cell>
          <cell r="D110" t="str">
            <v>배로우 부근</v>
          </cell>
          <cell r="G110">
            <v>70405007</v>
          </cell>
          <cell r="I110" t="b">
            <v>0</v>
          </cell>
          <cell r="J110" t="str">
            <v>이고리 원정기</v>
          </cell>
          <cell r="M110">
            <v>95</v>
          </cell>
          <cell r="N110" t="b">
            <v>0</v>
          </cell>
          <cell r="P110" t="str">
            <v>종류:포유류</v>
          </cell>
          <cell r="S110" t="b">
            <v>1</v>
          </cell>
          <cell r="V110" t="str">
            <v>-</v>
          </cell>
          <cell r="X110" t="str">
            <v>-</v>
          </cell>
          <cell r="AB110" t="str">
            <v>-</v>
          </cell>
          <cell r="AC110" t="str">
            <v>-</v>
          </cell>
          <cell r="AH110" t="str">
            <v>-</v>
          </cell>
        </row>
        <row r="111">
          <cell r="B111" t="str">
            <v>##함무라비법전</v>
          </cell>
          <cell r="C111" t="str">
            <v>가능</v>
          </cell>
          <cell r="D111" t="str">
            <v>도파르 부근</v>
          </cell>
          <cell r="G111">
            <v>70402093</v>
          </cell>
          <cell r="I111" t="b">
            <v>0</v>
          </cell>
          <cell r="J111" t="str">
            <v>수메르의 전차</v>
          </cell>
          <cell r="M111">
            <v>292</v>
          </cell>
          <cell r="N111" t="b">
            <v>0</v>
          </cell>
          <cell r="P111" t="str">
            <v>종류:사적</v>
          </cell>
          <cell r="S111" t="b">
            <v>0</v>
          </cell>
          <cell r="V111">
            <v>70417150</v>
          </cell>
          <cell r="X111" t="b">
            <v>0</v>
          </cell>
          <cell r="Y111" t="str">
            <v>베히스툰 암각비</v>
          </cell>
          <cell r="AB111">
            <v>95</v>
          </cell>
          <cell r="AC111" t="b">
            <v>0</v>
          </cell>
          <cell r="AH111" t="b">
            <v>0</v>
          </cell>
        </row>
        <row r="112">
          <cell r="B112" t="str">
            <v>##니벨룽겐의 반지</v>
          </cell>
          <cell r="C112" t="str">
            <v>가능</v>
          </cell>
          <cell r="D112" t="str">
            <v>산티아고 부근</v>
          </cell>
          <cell r="G112">
            <v>70405061</v>
          </cell>
          <cell r="I112" t="b">
            <v>0</v>
          </cell>
          <cell r="J112" t="str">
            <v>착상</v>
          </cell>
          <cell r="M112">
            <v>666</v>
          </cell>
          <cell r="N112" t="b">
            <v>0</v>
          </cell>
          <cell r="P112" t="str">
            <v>종류:역사유물</v>
          </cell>
          <cell r="S112" t="b">
            <v>0</v>
          </cell>
          <cell r="V112">
            <v>70402105</v>
          </cell>
          <cell r="X112" t="b">
            <v>0</v>
          </cell>
          <cell r="Y112" t="str">
            <v>아르마딜로</v>
          </cell>
          <cell r="AB112">
            <v>95</v>
          </cell>
          <cell r="AC112" t="b">
            <v>0</v>
          </cell>
          <cell r="AH112" t="b">
            <v>0</v>
          </cell>
        </row>
        <row r="113">
          <cell r="B113" t="str">
            <v>##핼리 혜성</v>
          </cell>
          <cell r="C113" t="str">
            <v>가능</v>
          </cell>
          <cell r="D113" t="str">
            <v>벵겔라 부근</v>
          </cell>
          <cell r="G113">
            <v>70403010</v>
          </cell>
          <cell r="I113" t="b">
            <v>0</v>
          </cell>
          <cell r="J113" t="str">
            <v>케이프땅다람쥐</v>
          </cell>
          <cell r="M113">
            <v>666</v>
          </cell>
          <cell r="N113" t="b">
            <v>0</v>
          </cell>
          <cell r="P113" t="str">
            <v>종류:조류</v>
          </cell>
          <cell r="S113" t="b">
            <v>0</v>
          </cell>
          <cell r="V113">
            <v>70410081</v>
          </cell>
          <cell r="X113" t="b">
            <v>0</v>
          </cell>
          <cell r="Y113" t="str">
            <v>동부초록맘바</v>
          </cell>
          <cell r="AB113">
            <v>95</v>
          </cell>
          <cell r="AC113" t="b">
            <v>0</v>
          </cell>
          <cell r="AH113" t="b">
            <v>0</v>
          </cell>
        </row>
        <row r="114">
          <cell r="B114" t="str">
            <v>##백호</v>
          </cell>
          <cell r="C114" t="str">
            <v>가능</v>
          </cell>
          <cell r="D114" t="str">
            <v>고아 부근</v>
          </cell>
          <cell r="G114">
            <v>70407066</v>
          </cell>
          <cell r="I114" t="b">
            <v>0</v>
          </cell>
          <cell r="J114" t="str">
            <v>불공성취여래</v>
          </cell>
          <cell r="M114">
            <v>4</v>
          </cell>
          <cell r="N114" t="b">
            <v>0</v>
          </cell>
          <cell r="P114" t="str">
            <v>종류:종교유물</v>
          </cell>
          <cell r="S114" t="b">
            <v>0</v>
          </cell>
          <cell r="V114">
            <v>70402032</v>
          </cell>
          <cell r="X114" t="b">
            <v>0</v>
          </cell>
          <cell r="Y114" t="str">
            <v>칼리의 부조</v>
          </cell>
          <cell r="AB114">
            <v>292</v>
          </cell>
          <cell r="AC114" t="b">
            <v>0</v>
          </cell>
          <cell r="AH114" t="b">
            <v>0</v>
          </cell>
        </row>
        <row r="115">
          <cell r="B115" t="str">
            <v>##히드노라 아프리카나</v>
          </cell>
          <cell r="C115" t="str">
            <v>가능</v>
          </cell>
          <cell r="D115" t="str">
            <v>벵겔라 부근</v>
          </cell>
          <cell r="G115">
            <v>70403010</v>
          </cell>
          <cell r="I115" t="b">
            <v>0</v>
          </cell>
          <cell r="J115" t="str">
            <v>케이프땅다람쥐</v>
          </cell>
          <cell r="M115">
            <v>666</v>
          </cell>
          <cell r="N115" t="b">
            <v>0</v>
          </cell>
          <cell r="P115" t="str">
            <v>종류:조류</v>
          </cell>
          <cell r="S115" t="b">
            <v>0</v>
          </cell>
          <cell r="V115">
            <v>70410081</v>
          </cell>
          <cell r="X115" t="b">
            <v>0</v>
          </cell>
          <cell r="Y115" t="str">
            <v>동부초록맘바</v>
          </cell>
          <cell r="AB115">
            <v>95</v>
          </cell>
          <cell r="AC115" t="b">
            <v>0</v>
          </cell>
          <cell r="AH115" t="b">
            <v>0</v>
          </cell>
        </row>
        <row r="116">
          <cell r="B116" t="str">
            <v>##엑스칼리버</v>
          </cell>
          <cell r="C116" t="str">
            <v>가능</v>
          </cell>
          <cell r="D116" t="str">
            <v>산티아고 부근</v>
          </cell>
          <cell r="G116">
            <v>70405061</v>
          </cell>
          <cell r="I116" t="b">
            <v>0</v>
          </cell>
          <cell r="J116" t="str">
            <v>착상</v>
          </cell>
          <cell r="M116">
            <v>666</v>
          </cell>
          <cell r="N116" t="b">
            <v>0</v>
          </cell>
          <cell r="P116" t="str">
            <v>종류:역사유물</v>
          </cell>
          <cell r="S116" t="b">
            <v>0</v>
          </cell>
          <cell r="V116">
            <v>70402105</v>
          </cell>
          <cell r="X116" t="b">
            <v>0</v>
          </cell>
          <cell r="Y116" t="str">
            <v>아르마딜로</v>
          </cell>
          <cell r="AB116">
            <v>95</v>
          </cell>
          <cell r="AC116" t="b">
            <v>0</v>
          </cell>
          <cell r="AH116" t="b">
            <v>0</v>
          </cell>
        </row>
        <row r="117">
          <cell r="B117" t="str">
            <v>##멀린의 지팡이</v>
          </cell>
          <cell r="C117" t="str">
            <v>가능</v>
          </cell>
          <cell r="D117" t="str">
            <v>런던 부근</v>
          </cell>
          <cell r="G117">
            <v>70410021</v>
          </cell>
          <cell r="I117" t="b">
            <v>0</v>
          </cell>
          <cell r="J117" t="str">
            <v>장궁</v>
          </cell>
          <cell r="M117">
            <v>666</v>
          </cell>
          <cell r="N117" t="b">
            <v>0</v>
          </cell>
          <cell r="P117" t="str">
            <v>종류:쌍자엽</v>
          </cell>
          <cell r="S117" t="b">
            <v>0</v>
          </cell>
          <cell r="V117">
            <v>70417045</v>
          </cell>
          <cell r="X117" t="b">
            <v>0</v>
          </cell>
          <cell r="Y117" t="str">
            <v>소네트집</v>
          </cell>
          <cell r="AB117">
            <v>24</v>
          </cell>
          <cell r="AC117" t="b">
            <v>0</v>
          </cell>
          <cell r="AH117" t="b">
            <v>0</v>
          </cell>
        </row>
        <row r="118">
          <cell r="B118" t="str">
            <v>##하트 스카라베</v>
          </cell>
          <cell r="C118" t="str">
            <v>가능</v>
          </cell>
          <cell r="D118" t="str">
            <v>알카히라 부근</v>
          </cell>
          <cell r="G118">
            <v>70401016</v>
          </cell>
          <cell r="I118" t="b">
            <v>0</v>
          </cell>
          <cell r="J118" t="str">
            <v>아누비스 조각상</v>
          </cell>
          <cell r="M118">
            <v>24</v>
          </cell>
          <cell r="N118" t="b">
            <v>0</v>
          </cell>
          <cell r="P118" t="str">
            <v>종류:종교유물</v>
          </cell>
          <cell r="S118" t="b">
            <v>0</v>
          </cell>
          <cell r="V118">
            <v>70405116</v>
          </cell>
          <cell r="X118" t="b">
            <v>0</v>
          </cell>
          <cell r="Y118" t="str">
            <v>페넥여우</v>
          </cell>
          <cell r="AB118">
            <v>95</v>
          </cell>
          <cell r="AC118" t="b">
            <v>0</v>
          </cell>
          <cell r="AH118" t="b">
            <v>0</v>
          </cell>
        </row>
        <row r="119">
          <cell r="B119" t="str">
            <v>##만리장성</v>
          </cell>
          <cell r="C119" t="str">
            <v>가능</v>
          </cell>
          <cell r="D119" t="str">
            <v>항주 부군</v>
          </cell>
          <cell r="G119">
            <v>70401113</v>
          </cell>
          <cell r="I119" t="b">
            <v>0</v>
          </cell>
          <cell r="J119" t="str">
            <v>뽕나무</v>
          </cell>
          <cell r="M119">
            <v>666</v>
          </cell>
          <cell r="N119" t="b">
            <v>0</v>
          </cell>
          <cell r="P119" t="str">
            <v>종류:포유류</v>
          </cell>
          <cell r="S119" t="b">
            <v>0</v>
          </cell>
          <cell r="V119">
            <v>70416074</v>
          </cell>
          <cell r="X119" t="b">
            <v>0</v>
          </cell>
          <cell r="Y119" t="str">
            <v>당삼채</v>
          </cell>
          <cell r="AB119">
            <v>292</v>
          </cell>
          <cell r="AC119" t="b">
            <v>0</v>
          </cell>
          <cell r="AH119" t="b">
            <v>0</v>
          </cell>
        </row>
        <row r="120">
          <cell r="B120" t="str">
            <v>##템플기사단장의 갑옷</v>
          </cell>
          <cell r="C120" t="str">
            <v>가능</v>
          </cell>
          <cell r="D120" t="str">
            <v>마르세유 부근</v>
          </cell>
          <cell r="G120">
            <v>70403118</v>
          </cell>
          <cell r="I120" t="b">
            <v>0</v>
          </cell>
          <cell r="J120" t="str">
            <v>아칸서스</v>
          </cell>
          <cell r="M120">
            <v>666</v>
          </cell>
          <cell r="N120" t="b">
            <v>0</v>
          </cell>
          <cell r="P120" t="str">
            <v>종류:미술품</v>
          </cell>
          <cell r="S120" t="b">
            <v>0</v>
          </cell>
          <cell r="V120">
            <v>70401009</v>
          </cell>
          <cell r="X120" t="b">
            <v>0</v>
          </cell>
          <cell r="Y120" t="str">
            <v>토끼풀</v>
          </cell>
          <cell r="AB120">
            <v>666</v>
          </cell>
          <cell r="AC120" t="b">
            <v>0</v>
          </cell>
          <cell r="AH120" t="b">
            <v>0</v>
          </cell>
        </row>
        <row r="121">
          <cell r="B121" t="str">
            <v>##양 머리의 스핑크스</v>
          </cell>
          <cell r="C121" t="str">
            <v>가능</v>
          </cell>
          <cell r="D121" t="str">
            <v>알카히라 부근</v>
          </cell>
          <cell r="G121">
            <v>70401016</v>
          </cell>
          <cell r="I121" t="b">
            <v>0</v>
          </cell>
          <cell r="J121" t="str">
            <v>아누비스 조각상</v>
          </cell>
          <cell r="M121">
            <v>24</v>
          </cell>
          <cell r="N121" t="b">
            <v>0</v>
          </cell>
          <cell r="P121" t="str">
            <v>종류:종교유물</v>
          </cell>
          <cell r="S121" t="b">
            <v>0</v>
          </cell>
          <cell r="V121">
            <v>70405116</v>
          </cell>
          <cell r="X121" t="b">
            <v>0</v>
          </cell>
          <cell r="Y121" t="str">
            <v>페넥여우</v>
          </cell>
          <cell r="AB121">
            <v>95</v>
          </cell>
          <cell r="AC121" t="b">
            <v>0</v>
          </cell>
          <cell r="AH121" t="b">
            <v>0</v>
          </cell>
        </row>
        <row r="122">
          <cell r="B122" t="str">
            <v>##아서왕의 성배</v>
          </cell>
          <cell r="C122" t="str">
            <v>가능</v>
          </cell>
          <cell r="D122" t="str">
            <v>카나크 부근</v>
          </cell>
          <cell r="G122">
            <v>70405114</v>
          </cell>
          <cell r="I122" t="b">
            <v>0</v>
          </cell>
          <cell r="J122" t="str">
            <v>아서왕의 성배</v>
          </cell>
          <cell r="M122">
            <v>99999</v>
          </cell>
          <cell r="N122" t="b">
            <v>1</v>
          </cell>
          <cell r="P122" t="str">
            <v/>
          </cell>
          <cell r="S122" t="str">
            <v>-</v>
          </cell>
          <cell r="V122" t="str">
            <v>-</v>
          </cell>
          <cell r="X122" t="str">
            <v>-</v>
          </cell>
          <cell r="AB122" t="str">
            <v>-</v>
          </cell>
          <cell r="AC122" t="str">
            <v>-</v>
          </cell>
          <cell r="AH122" t="str">
            <v>-</v>
          </cell>
        </row>
        <row r="123">
          <cell r="B123" t="str">
            <v>##나스카의 지상화</v>
          </cell>
          <cell r="C123" t="str">
            <v>가능</v>
          </cell>
          <cell r="D123" t="str">
            <v>툼베스 부근</v>
          </cell>
          <cell r="G123">
            <v>70405062</v>
          </cell>
          <cell r="I123" t="b">
            <v>0</v>
          </cell>
          <cell r="J123" t="str">
            <v>흡혈 핀치</v>
          </cell>
          <cell r="M123">
            <v>666</v>
          </cell>
          <cell r="N123" t="b">
            <v>0</v>
          </cell>
          <cell r="P123" t="str">
            <v>종류:사적</v>
          </cell>
          <cell r="S123" t="b">
            <v>0</v>
          </cell>
          <cell r="V123">
            <v>70409221</v>
          </cell>
          <cell r="X123" t="b">
            <v>0</v>
          </cell>
          <cell r="Y123" t="str">
            <v>바다이구아나</v>
          </cell>
          <cell r="AB123">
            <v>95</v>
          </cell>
          <cell r="AC123" t="b">
            <v>0</v>
          </cell>
          <cell r="AH123" t="b">
            <v>0</v>
          </cell>
        </row>
        <row r="124">
          <cell r="B124" t="str">
            <v>##시바상</v>
          </cell>
          <cell r="C124" t="str">
            <v>가능</v>
          </cell>
          <cell r="D124" t="str">
            <v>고아 부근</v>
          </cell>
          <cell r="G124">
            <v>70407066</v>
          </cell>
          <cell r="I124" t="b">
            <v>0</v>
          </cell>
          <cell r="J124" t="str">
            <v>불공성취여래</v>
          </cell>
          <cell r="M124">
            <v>4</v>
          </cell>
          <cell r="N124" t="b">
            <v>0</v>
          </cell>
          <cell r="P124" t="str">
            <v>종류:종교유물</v>
          </cell>
          <cell r="S124" t="b">
            <v>0</v>
          </cell>
          <cell r="V124">
            <v>70402032</v>
          </cell>
          <cell r="X124" t="b">
            <v>0</v>
          </cell>
          <cell r="Y124" t="str">
            <v>칼리의 부조</v>
          </cell>
          <cell r="AB124">
            <v>292</v>
          </cell>
          <cell r="AC124" t="b">
            <v>0</v>
          </cell>
          <cell r="AH124" t="b">
            <v>0</v>
          </cell>
        </row>
        <row r="125">
          <cell r="B125" t="str">
            <v>##천산갑</v>
          </cell>
          <cell r="C125" t="str">
            <v>가능</v>
          </cell>
          <cell r="D125" t="str">
            <v>브루네이 부근</v>
          </cell>
          <cell r="G125">
            <v>70405098</v>
          </cell>
          <cell r="I125" t="b">
            <v>0</v>
          </cell>
          <cell r="J125" t="str">
            <v>주홍점박이긴앞다리풍뎅이</v>
          </cell>
          <cell r="M125">
            <v>292</v>
          </cell>
          <cell r="N125" t="b">
            <v>0</v>
          </cell>
          <cell r="P125" t="str">
            <v>종류:화석</v>
          </cell>
          <cell r="S125" t="b">
            <v>0</v>
          </cell>
          <cell r="V125">
            <v>70404003</v>
          </cell>
          <cell r="X125" t="b">
            <v>0</v>
          </cell>
          <cell r="Y125" t="str">
            <v>아스맛족 머리 장식</v>
          </cell>
          <cell r="AB125">
            <v>95</v>
          </cell>
          <cell r="AC125" t="b">
            <v>0</v>
          </cell>
          <cell r="AH125" t="b">
            <v>0</v>
          </cell>
        </row>
        <row r="126">
          <cell r="B126" t="str">
            <v>##금루옥의</v>
          </cell>
          <cell r="C126" t="str">
            <v>가능</v>
          </cell>
          <cell r="D126" t="str">
            <v>항주 부군</v>
          </cell>
          <cell r="G126">
            <v>70401113</v>
          </cell>
          <cell r="I126" t="b">
            <v>0</v>
          </cell>
          <cell r="J126" t="str">
            <v>뽕나무</v>
          </cell>
          <cell r="M126">
            <v>666</v>
          </cell>
          <cell r="N126" t="b">
            <v>0</v>
          </cell>
          <cell r="P126" t="str">
            <v>종류:포유류</v>
          </cell>
          <cell r="S126" t="b">
            <v>0</v>
          </cell>
          <cell r="V126">
            <v>70416074</v>
          </cell>
          <cell r="X126" t="b">
            <v>0</v>
          </cell>
          <cell r="Y126" t="str">
            <v>당삼채</v>
          </cell>
          <cell r="AB126">
            <v>292</v>
          </cell>
          <cell r="AC126" t="b">
            <v>0</v>
          </cell>
          <cell r="AH126" t="b">
            <v>0</v>
          </cell>
        </row>
        <row r="127">
          <cell r="B127" t="str">
            <v>##오리너구리</v>
          </cell>
          <cell r="C127" t="str">
            <v>불가능</v>
          </cell>
          <cell r="D127" t="str">
            <v>포트피리 부근</v>
          </cell>
          <cell r="G127">
            <v>70407064</v>
          </cell>
          <cell r="I127" t="b">
            <v>0</v>
          </cell>
          <cell r="J127" t="str">
            <v>디저리두</v>
          </cell>
          <cell r="M127">
            <v>95</v>
          </cell>
          <cell r="N127" t="b">
            <v>0</v>
          </cell>
          <cell r="P127" t="str">
            <v>종류:포유류</v>
          </cell>
          <cell r="S127" t="b">
            <v>1</v>
          </cell>
          <cell r="V127" t="str">
            <v>-</v>
          </cell>
          <cell r="X127" t="str">
            <v>-</v>
          </cell>
          <cell r="AB127" t="str">
            <v>-</v>
          </cell>
          <cell r="AC127" t="str">
            <v>-</v>
          </cell>
          <cell r="AH127" t="str">
            <v>-</v>
          </cell>
        </row>
        <row r="128">
          <cell r="B128" t="str">
            <v>##에키네시아</v>
          </cell>
          <cell r="C128" t="str">
            <v>가능</v>
          </cell>
          <cell r="D128" t="str">
            <v>코하셋 부근</v>
          </cell>
          <cell r="G128">
            <v>70405002</v>
          </cell>
          <cell r="I128" t="b">
            <v>0</v>
          </cell>
          <cell r="J128" t="str">
            <v>풍금새</v>
          </cell>
          <cell r="M128">
            <v>95</v>
          </cell>
          <cell r="N128" t="b">
            <v>0</v>
          </cell>
          <cell r="P128" t="str">
            <v>종류:조류</v>
          </cell>
          <cell r="S128" t="b">
            <v>0</v>
          </cell>
          <cell r="V128">
            <v>70407012</v>
          </cell>
          <cell r="X128" t="b">
            <v>0</v>
          </cell>
          <cell r="Y128" t="str">
            <v>미국 등나무</v>
          </cell>
          <cell r="AB128">
            <v>95</v>
          </cell>
          <cell r="AC128" t="b">
            <v>0</v>
          </cell>
          <cell r="AH128" t="b">
            <v>0</v>
          </cell>
        </row>
        <row r="129">
          <cell r="B129" t="str">
            <v>##빅토리아호수</v>
          </cell>
          <cell r="C129" t="str">
            <v>가능</v>
          </cell>
          <cell r="D129" t="str">
            <v>알카히라 부근</v>
          </cell>
          <cell r="G129">
            <v>70401016</v>
          </cell>
          <cell r="I129" t="b">
            <v>0</v>
          </cell>
          <cell r="J129" t="str">
            <v>아누비스 조각상</v>
          </cell>
          <cell r="M129">
            <v>24</v>
          </cell>
          <cell r="N129" t="b">
            <v>0</v>
          </cell>
          <cell r="P129" t="str">
            <v>종류:종교유물</v>
          </cell>
          <cell r="S129" t="b">
            <v>0</v>
          </cell>
          <cell r="V129">
            <v>70405116</v>
          </cell>
          <cell r="X129" t="b">
            <v>0</v>
          </cell>
          <cell r="Y129" t="str">
            <v>페넥여우</v>
          </cell>
          <cell r="AB129">
            <v>95</v>
          </cell>
          <cell r="AC129" t="b">
            <v>0</v>
          </cell>
          <cell r="AH129" t="b">
            <v>0</v>
          </cell>
        </row>
        <row r="130">
          <cell r="B130" t="str">
            <v>##클레로덴드룸</v>
          </cell>
          <cell r="C130" t="str">
            <v>가능</v>
          </cell>
          <cell r="D130" t="str">
            <v>베냉 부근</v>
          </cell>
          <cell r="G130">
            <v>70402043</v>
          </cell>
          <cell r="I130" t="b">
            <v>0</v>
          </cell>
          <cell r="J130" t="str">
            <v>봉고</v>
          </cell>
          <cell r="M130">
            <v>666</v>
          </cell>
          <cell r="N130" t="b">
            <v>0</v>
          </cell>
          <cell r="P130" t="str">
            <v>종류:포유류</v>
          </cell>
          <cell r="S130" t="b">
            <v>0</v>
          </cell>
          <cell r="V130">
            <v>70402044</v>
          </cell>
          <cell r="X130" t="b">
            <v>0</v>
          </cell>
          <cell r="Y130" t="str">
            <v>스피팅코브라</v>
          </cell>
          <cell r="AB130">
            <v>95</v>
          </cell>
          <cell r="AC130" t="b">
            <v>0</v>
          </cell>
          <cell r="AH130" t="b">
            <v>0</v>
          </cell>
        </row>
        <row r="131">
          <cell r="B131" t="str">
            <v>##스칸디나비아 반도</v>
          </cell>
          <cell r="C131" t="str">
            <v>가능</v>
          </cell>
          <cell r="D131" t="str">
            <v>베르겐 부근</v>
          </cell>
          <cell r="G131">
            <v>70401052</v>
          </cell>
          <cell r="I131" t="b">
            <v>0</v>
          </cell>
          <cell r="J131" t="str">
            <v>멧돼지</v>
          </cell>
          <cell r="M131">
            <v>666</v>
          </cell>
          <cell r="N131" t="b">
            <v>0</v>
          </cell>
          <cell r="P131" t="str">
            <v>종류:포유류</v>
          </cell>
          <cell r="S131" t="b">
            <v>0</v>
          </cell>
          <cell r="V131">
            <v>70416008</v>
          </cell>
          <cell r="X131" t="b">
            <v>0</v>
          </cell>
          <cell r="Y131" t="str">
            <v>레밍</v>
          </cell>
          <cell r="AB131">
            <v>666</v>
          </cell>
          <cell r="AC131" t="b">
            <v>0</v>
          </cell>
          <cell r="AH131" t="b">
            <v>0</v>
          </cell>
        </row>
        <row r="132">
          <cell r="B132" t="str">
            <v>##이비사 섬</v>
          </cell>
          <cell r="C132" t="str">
            <v>가능</v>
          </cell>
          <cell r="D132" t="str">
            <v>리스보아 부근</v>
          </cell>
          <cell r="G132">
            <v>70403026</v>
          </cell>
          <cell r="I132" t="b">
            <v>0</v>
          </cell>
          <cell r="J132" t="str">
            <v>클리피스터 성게 화석</v>
          </cell>
          <cell r="M132">
            <v>666</v>
          </cell>
          <cell r="N132" t="b">
            <v>0</v>
          </cell>
          <cell r="P132" t="str">
            <v>종류:종교유물</v>
          </cell>
          <cell r="S132" t="b">
            <v>0</v>
          </cell>
          <cell r="V132">
            <v>70403130</v>
          </cell>
          <cell r="X132" t="b">
            <v>0</v>
          </cell>
          <cell r="Y132" t="str">
            <v>베일을 쓴 여인</v>
          </cell>
          <cell r="AB132">
            <v>666</v>
          </cell>
          <cell r="AC132" t="b">
            <v>0</v>
          </cell>
          <cell r="AH132" t="b">
            <v>0</v>
          </cell>
        </row>
        <row r="133">
          <cell r="B133" t="str">
            <v>##나이저 강</v>
          </cell>
          <cell r="C133" t="str">
            <v>가능</v>
          </cell>
          <cell r="D133" t="str">
            <v>나이저 강</v>
          </cell>
          <cell r="G133">
            <v>70405112</v>
          </cell>
          <cell r="I133" t="b">
            <v>0</v>
          </cell>
          <cell r="J133" t="str">
            <v>고릴라</v>
          </cell>
          <cell r="M133">
            <v>95</v>
          </cell>
          <cell r="N133" t="b">
            <v>0</v>
          </cell>
          <cell r="P133" t="str">
            <v>종류:포유류</v>
          </cell>
          <cell r="S133" t="b">
            <v>0</v>
          </cell>
          <cell r="V133">
            <v>70407045</v>
          </cell>
          <cell r="X133" t="b">
            <v>0</v>
          </cell>
          <cell r="Y133" t="str">
            <v>혹멧돼지</v>
          </cell>
          <cell r="AB133">
            <v>292</v>
          </cell>
          <cell r="AC133" t="b">
            <v>0</v>
          </cell>
          <cell r="AH133" t="b">
            <v>0</v>
          </cell>
        </row>
        <row r="134">
          <cell r="B134" t="str">
            <v>##소순다열도/로리스</v>
          </cell>
          <cell r="C134" t="str">
            <v>가능</v>
          </cell>
          <cell r="D134" t="str">
            <v>브루네이 부근</v>
          </cell>
          <cell r="G134">
            <v>70405098</v>
          </cell>
          <cell r="I134" t="b">
            <v>0</v>
          </cell>
          <cell r="J134" t="str">
            <v>주홍점박이긴앞다리풍뎅이</v>
          </cell>
          <cell r="M134">
            <v>292</v>
          </cell>
          <cell r="N134" t="b">
            <v>0</v>
          </cell>
          <cell r="P134" t="str">
            <v>종류:화석</v>
          </cell>
          <cell r="S134" t="b">
            <v>0</v>
          </cell>
          <cell r="V134">
            <v>70404003</v>
          </cell>
          <cell r="X134" t="b">
            <v>0</v>
          </cell>
          <cell r="Y134" t="str">
            <v>아스맛족 머리 장식</v>
          </cell>
          <cell r="AB134">
            <v>95</v>
          </cell>
          <cell r="AC134" t="b">
            <v>0</v>
          </cell>
          <cell r="AH134" t="b">
            <v>0</v>
          </cell>
        </row>
        <row r="135">
          <cell r="B135" t="str">
            <v>##자바섬</v>
          </cell>
          <cell r="C135" t="str">
            <v>가능</v>
          </cell>
          <cell r="D135" t="str">
            <v>브루네이 부근</v>
          </cell>
          <cell r="G135">
            <v>70405098</v>
          </cell>
          <cell r="I135" t="b">
            <v>0</v>
          </cell>
          <cell r="J135" t="str">
            <v>주홍점박이긴앞다리풍뎅이</v>
          </cell>
          <cell r="M135">
            <v>292</v>
          </cell>
          <cell r="N135" t="b">
            <v>0</v>
          </cell>
          <cell r="P135" t="str">
            <v>종류:화석</v>
          </cell>
          <cell r="S135" t="b">
            <v>0</v>
          </cell>
          <cell r="V135">
            <v>70404003</v>
          </cell>
          <cell r="X135" t="b">
            <v>0</v>
          </cell>
          <cell r="Y135" t="str">
            <v>아스맛족 머리 장식</v>
          </cell>
          <cell r="AB135">
            <v>95</v>
          </cell>
          <cell r="AC135" t="b">
            <v>0</v>
          </cell>
          <cell r="AH135" t="b">
            <v>0</v>
          </cell>
        </row>
        <row r="136">
          <cell r="B136" t="str">
            <v>##티그리스 강</v>
          </cell>
          <cell r="C136" t="str">
            <v>가능</v>
          </cell>
          <cell r="D136" t="str">
            <v>하라무즈 부근</v>
          </cell>
          <cell r="G136">
            <v>70410059</v>
          </cell>
          <cell r="I136" t="b">
            <v>0</v>
          </cell>
          <cell r="J136" t="str">
            <v>산투르</v>
          </cell>
          <cell r="M136">
            <v>292</v>
          </cell>
          <cell r="N136" t="b">
            <v>0</v>
          </cell>
          <cell r="P136" t="str">
            <v>종류:포유류</v>
          </cell>
          <cell r="S136" t="b">
            <v>0</v>
          </cell>
          <cell r="V136">
            <v>70402113</v>
          </cell>
          <cell r="X136" t="b">
            <v>0</v>
          </cell>
          <cell r="Y136" t="str">
            <v>루바이야트</v>
          </cell>
          <cell r="AB136">
            <v>95</v>
          </cell>
          <cell r="AC136" t="b">
            <v>0</v>
          </cell>
          <cell r="AH136" t="b">
            <v>0</v>
          </cell>
        </row>
        <row r="137">
          <cell r="B137" t="str">
            <v>##네스호</v>
          </cell>
          <cell r="C137" t="str">
            <v>가능</v>
          </cell>
          <cell r="D137" t="str">
            <v>런던 부근</v>
          </cell>
          <cell r="G137">
            <v>70410021</v>
          </cell>
          <cell r="I137" t="b">
            <v>0</v>
          </cell>
          <cell r="J137" t="str">
            <v>장궁</v>
          </cell>
          <cell r="M137">
            <v>666</v>
          </cell>
          <cell r="N137" t="b">
            <v>0</v>
          </cell>
          <cell r="P137" t="str">
            <v>종류:쌍자엽</v>
          </cell>
          <cell r="S137" t="b">
            <v>0</v>
          </cell>
          <cell r="V137">
            <v>70417045</v>
          </cell>
          <cell r="X137" t="b">
            <v>0</v>
          </cell>
          <cell r="Y137" t="str">
            <v>소네트집</v>
          </cell>
          <cell r="AB137">
            <v>24</v>
          </cell>
          <cell r="AC137" t="b">
            <v>0</v>
          </cell>
          <cell r="AH137" t="b">
            <v>0</v>
          </cell>
        </row>
        <row r="138">
          <cell r="B138" t="str">
            <v>##카르나크 거석군</v>
          </cell>
          <cell r="C138" t="str">
            <v>가능</v>
          </cell>
          <cell r="D138" t="str">
            <v>낭트 부근</v>
          </cell>
          <cell r="G138">
            <v>70417088</v>
          </cell>
          <cell r="I138" t="b">
            <v>0</v>
          </cell>
          <cell r="J138" t="str">
            <v>아티초크</v>
          </cell>
          <cell r="M138">
            <v>666</v>
          </cell>
          <cell r="N138" t="b">
            <v>0</v>
          </cell>
          <cell r="P138" t="str">
            <v>종류:종교 건축물</v>
          </cell>
          <cell r="S138" t="b">
            <v>0</v>
          </cell>
          <cell r="V138">
            <v>70416024</v>
          </cell>
          <cell r="X138" t="b">
            <v>0</v>
          </cell>
          <cell r="Y138" t="str">
            <v>생 드니의 순교</v>
          </cell>
          <cell r="AB138">
            <v>95</v>
          </cell>
          <cell r="AC138" t="b">
            <v>0</v>
          </cell>
          <cell r="AH138" t="b">
            <v>0</v>
          </cell>
        </row>
        <row r="139">
          <cell r="B139" t="str">
            <v>##바다 민족의 검</v>
          </cell>
          <cell r="C139" t="str">
            <v>가능</v>
          </cell>
          <cell r="D139" t="str">
            <v>트라브존 부근</v>
          </cell>
          <cell r="G139">
            <v>70402039</v>
          </cell>
          <cell r="I139" t="b">
            <v>0</v>
          </cell>
          <cell r="J139" t="str">
            <v>붉은토끼풀</v>
          </cell>
          <cell r="M139">
            <v>666</v>
          </cell>
          <cell r="N139" t="b">
            <v>0</v>
          </cell>
          <cell r="P139" t="str">
            <v>종류:보물</v>
          </cell>
          <cell r="S139" t="b">
            <v>0</v>
          </cell>
          <cell r="V139">
            <v>70401195</v>
          </cell>
          <cell r="X139" t="b">
            <v>0</v>
          </cell>
          <cell r="Y139" t="str">
            <v>흑종초</v>
          </cell>
          <cell r="AB139">
            <v>24</v>
          </cell>
          <cell r="AC139" t="b">
            <v>0</v>
          </cell>
          <cell r="AH139" t="b">
            <v>0</v>
          </cell>
        </row>
        <row r="140">
          <cell r="B140" t="str">
            <v>##델포이 유적</v>
          </cell>
          <cell r="C140" t="str">
            <v>가능</v>
          </cell>
          <cell r="D140" t="str">
            <v>아티나 부근</v>
          </cell>
          <cell r="G140">
            <v>70403130</v>
          </cell>
          <cell r="I140" t="b">
            <v>0</v>
          </cell>
          <cell r="J140" t="str">
            <v>수레국화</v>
          </cell>
          <cell r="M140">
            <v>666</v>
          </cell>
          <cell r="N140" t="b">
            <v>0</v>
          </cell>
          <cell r="P140" t="str">
            <v>종류:보물</v>
          </cell>
          <cell r="S140" t="b">
            <v>0</v>
          </cell>
          <cell r="V140">
            <v>70410012</v>
          </cell>
          <cell r="X140" t="b">
            <v>0</v>
          </cell>
          <cell r="Y140" t="str">
            <v>사리사</v>
          </cell>
          <cell r="AB140">
            <v>666</v>
          </cell>
          <cell r="AC140" t="b">
            <v>0</v>
          </cell>
          <cell r="AH140" t="b">
            <v>0</v>
          </cell>
        </row>
        <row r="141">
          <cell r="B141" t="str">
            <v>##그리스의 불</v>
          </cell>
          <cell r="C141" t="str">
            <v>가능</v>
          </cell>
          <cell r="D141" t="str">
            <v>알이스칸다리야 부근</v>
          </cell>
          <cell r="G141">
            <v>70401030</v>
          </cell>
          <cell r="I141" t="b">
            <v>0</v>
          </cell>
          <cell r="J141" t="str">
            <v>바바리양</v>
          </cell>
          <cell r="M141">
            <v>666</v>
          </cell>
          <cell r="N141" t="b">
            <v>0</v>
          </cell>
          <cell r="P141" t="str">
            <v>종류:사적</v>
          </cell>
          <cell r="S141" t="b">
            <v>0</v>
          </cell>
          <cell r="V141">
            <v>70401144</v>
          </cell>
          <cell r="X141" t="b">
            <v>0</v>
          </cell>
          <cell r="Y141" t="str">
            <v>토끼풀</v>
          </cell>
          <cell r="AB141">
            <v>666</v>
          </cell>
          <cell r="AC141" t="b">
            <v>0</v>
          </cell>
          <cell r="AH141" t="b">
            <v>0</v>
          </cell>
        </row>
        <row r="142">
          <cell r="B142" t="str">
            <v>##아프로디테 조각상/크노소스 궁전</v>
          </cell>
          <cell r="C142" t="str">
            <v>가능</v>
          </cell>
          <cell r="D142" t="str">
            <v>아티나 부근</v>
          </cell>
          <cell r="G142">
            <v>70403130</v>
          </cell>
          <cell r="I142" t="b">
            <v>0</v>
          </cell>
          <cell r="J142" t="str">
            <v>수레국화</v>
          </cell>
          <cell r="M142">
            <v>666</v>
          </cell>
          <cell r="N142" t="b">
            <v>0</v>
          </cell>
          <cell r="P142" t="str">
            <v>종류:보물</v>
          </cell>
          <cell r="S142" t="b">
            <v>0</v>
          </cell>
          <cell r="V142">
            <v>70410012</v>
          </cell>
          <cell r="X142" t="b">
            <v>0</v>
          </cell>
          <cell r="Y142" t="str">
            <v>사리사</v>
          </cell>
          <cell r="AB142">
            <v>666</v>
          </cell>
          <cell r="AC142" t="b">
            <v>0</v>
          </cell>
          <cell r="AH142" t="b">
            <v>0</v>
          </cell>
        </row>
        <row r="143">
          <cell r="B143" t="str">
            <v>##이븐 바투타 여행기</v>
          </cell>
          <cell r="C143" t="str">
            <v>가능</v>
          </cell>
          <cell r="D143" t="str">
            <v>알이스칸다리야 부근</v>
          </cell>
          <cell r="G143">
            <v>70401030</v>
          </cell>
          <cell r="I143" t="b">
            <v>0</v>
          </cell>
          <cell r="J143" t="str">
            <v>바바리양</v>
          </cell>
          <cell r="M143">
            <v>666</v>
          </cell>
          <cell r="N143" t="b">
            <v>0</v>
          </cell>
          <cell r="P143" t="str">
            <v>종류:사적</v>
          </cell>
          <cell r="S143" t="b">
            <v>0</v>
          </cell>
          <cell r="V143">
            <v>70401144</v>
          </cell>
          <cell r="X143" t="b">
            <v>0</v>
          </cell>
          <cell r="Y143" t="str">
            <v>토끼풀</v>
          </cell>
          <cell r="AB143">
            <v>666</v>
          </cell>
          <cell r="AC143" t="b">
            <v>0</v>
          </cell>
          <cell r="AH143" t="b">
            <v>0</v>
          </cell>
        </row>
        <row r="144">
          <cell r="B144" t="str">
            <v>##세이렌의 하프</v>
          </cell>
          <cell r="C144" t="str">
            <v>불가능</v>
          </cell>
          <cell r="D144" t="str">
            <v>카나크 부근</v>
          </cell>
          <cell r="G144">
            <v>70405114</v>
          </cell>
          <cell r="I144" t="b">
            <v>0</v>
          </cell>
          <cell r="J144" t="str">
            <v>세이렌의 하프</v>
          </cell>
          <cell r="M144">
            <v>99999</v>
          </cell>
          <cell r="N144" t="b">
            <v>1</v>
          </cell>
          <cell r="P144" t="str">
            <v/>
          </cell>
          <cell r="S144" t="str">
            <v>-</v>
          </cell>
          <cell r="V144" t="str">
            <v>-</v>
          </cell>
          <cell r="X144" t="str">
            <v>-</v>
          </cell>
          <cell r="AB144" t="str">
            <v>-</v>
          </cell>
          <cell r="AC144" t="str">
            <v>-</v>
          </cell>
          <cell r="AH144" t="str">
            <v>-</v>
          </cell>
        </row>
        <row r="145">
          <cell r="B145" t="str">
            <v>##극락조</v>
          </cell>
          <cell r="C145" t="str">
            <v>불가능</v>
          </cell>
          <cell r="D145" t="str">
            <v>수바 부근</v>
          </cell>
          <cell r="G145">
            <v>70408045</v>
          </cell>
          <cell r="I145" t="b">
            <v>0</v>
          </cell>
          <cell r="J145" t="str">
            <v>가시두더지</v>
          </cell>
          <cell r="M145">
            <v>292</v>
          </cell>
          <cell r="N145" t="b">
            <v>0</v>
          </cell>
          <cell r="P145" t="str">
            <v>종류:조류</v>
          </cell>
          <cell r="S145" t="b">
            <v>0</v>
          </cell>
          <cell r="V145">
            <v>70408056</v>
          </cell>
          <cell r="X145" t="b">
            <v>0</v>
          </cell>
          <cell r="Y145" t="str">
            <v>극락조</v>
          </cell>
          <cell r="AB145">
            <v>99999</v>
          </cell>
          <cell r="AC145" t="b">
            <v>1</v>
          </cell>
          <cell r="AH145" t="str">
            <v>-</v>
          </cell>
        </row>
        <row r="146">
          <cell r="B146" t="str">
            <v>##투탕카멘왕의 황금마스크</v>
          </cell>
          <cell r="C146" t="str">
            <v>가능</v>
          </cell>
          <cell r="D146" t="str">
            <v>알카히라 부근</v>
          </cell>
          <cell r="G146">
            <v>70401016</v>
          </cell>
          <cell r="I146" t="b">
            <v>0</v>
          </cell>
          <cell r="J146" t="str">
            <v>아누비스 조각상</v>
          </cell>
          <cell r="M146">
            <v>24</v>
          </cell>
          <cell r="N146" t="b">
            <v>0</v>
          </cell>
          <cell r="P146" t="str">
            <v>종류:종교유물</v>
          </cell>
          <cell r="S146" t="b">
            <v>0</v>
          </cell>
          <cell r="V146">
            <v>70405116</v>
          </cell>
          <cell r="X146" t="b">
            <v>0</v>
          </cell>
          <cell r="Y146" t="str">
            <v>페넥여우</v>
          </cell>
          <cell r="AB146">
            <v>95</v>
          </cell>
          <cell r="AC146" t="b">
            <v>0</v>
          </cell>
          <cell r="AH146" t="b">
            <v>0</v>
          </cell>
        </row>
        <row r="147">
          <cell r="B147" t="str">
            <v>##성자의 지팡이</v>
          </cell>
          <cell r="C147" t="str">
            <v>가능</v>
          </cell>
          <cell r="D147" t="str">
            <v>하라무즈 부근</v>
          </cell>
          <cell r="G147">
            <v>70410059</v>
          </cell>
          <cell r="I147" t="b">
            <v>0</v>
          </cell>
          <cell r="J147" t="str">
            <v>산투르</v>
          </cell>
          <cell r="M147">
            <v>292</v>
          </cell>
          <cell r="N147" t="b">
            <v>0</v>
          </cell>
          <cell r="P147" t="str">
            <v>종류:포유류</v>
          </cell>
          <cell r="S147" t="b">
            <v>0</v>
          </cell>
          <cell r="V147">
            <v>70402113</v>
          </cell>
          <cell r="X147" t="b">
            <v>0</v>
          </cell>
          <cell r="Y147" t="str">
            <v>루바이야트</v>
          </cell>
          <cell r="AB147">
            <v>95</v>
          </cell>
          <cell r="AC147" t="b">
            <v>0</v>
          </cell>
          <cell r="AH147" t="b">
            <v>0</v>
          </cell>
        </row>
        <row r="148">
          <cell r="B148" t="str">
            <v>##인도양 섬 높은 보상 낮은 확률</v>
          </cell>
          <cell r="C148" t="str">
            <v>가능</v>
          </cell>
          <cell r="D148" t="str">
            <v>남극해 초입</v>
          </cell>
          <cell r="G148">
            <v>70418007</v>
          </cell>
          <cell r="I148" t="b">
            <v>0</v>
          </cell>
          <cell r="J148" t="str">
            <v>낫깃털이끼</v>
          </cell>
          <cell r="M148">
            <v>95</v>
          </cell>
          <cell r="N148" t="b">
            <v>0</v>
          </cell>
          <cell r="P148" t="str">
            <v/>
          </cell>
          <cell r="S148" t="str">
            <v>-</v>
          </cell>
          <cell r="V148" t="str">
            <v>-</v>
          </cell>
          <cell r="X148" t="str">
            <v>-</v>
          </cell>
          <cell r="AB148" t="str">
            <v>-</v>
          </cell>
          <cell r="AC148" t="str">
            <v>-</v>
          </cell>
          <cell r="AH148" t="str">
            <v>-</v>
          </cell>
        </row>
        <row r="149">
          <cell r="B149" t="str">
            <v>##그린란드 북부 높은 보상 낮은 확률</v>
          </cell>
          <cell r="C149" t="str">
            <v>가능</v>
          </cell>
          <cell r="D149" t="str">
            <v>노르웨이해 초입</v>
          </cell>
          <cell r="G149">
            <v>70405114</v>
          </cell>
          <cell r="I149" t="b">
            <v>0</v>
          </cell>
          <cell r="J149" t="str">
            <v>나뭇가지 화석</v>
          </cell>
          <cell r="M149">
            <v>666</v>
          </cell>
          <cell r="N149" t="b">
            <v>0</v>
          </cell>
          <cell r="P149" t="str">
            <v/>
          </cell>
          <cell r="S149" t="str">
            <v>-</v>
          </cell>
          <cell r="V149" t="str">
            <v>-</v>
          </cell>
          <cell r="X149" t="str">
            <v>-</v>
          </cell>
          <cell r="AB149" t="str">
            <v>-</v>
          </cell>
          <cell r="AC149" t="str">
            <v>-</v>
          </cell>
          <cell r="AH149" t="str">
            <v>-</v>
          </cell>
        </row>
        <row r="150">
          <cell r="B150" t="str">
            <v>##태양의 돌</v>
          </cell>
          <cell r="C150" t="str">
            <v>불가능</v>
          </cell>
          <cell r="D150" t="str">
            <v>과테말라 부근</v>
          </cell>
          <cell r="G150">
            <v>70411007</v>
          </cell>
          <cell r="I150" t="b">
            <v>0</v>
          </cell>
          <cell r="J150" t="str">
            <v>시우코아틀상</v>
          </cell>
          <cell r="M150">
            <v>95</v>
          </cell>
          <cell r="N150" t="b">
            <v>0</v>
          </cell>
          <cell r="P150" t="str">
            <v>종류:사적</v>
          </cell>
          <cell r="S150" t="b">
            <v>0</v>
          </cell>
          <cell r="V150">
            <v>70401175</v>
          </cell>
          <cell r="X150" t="b">
            <v>0</v>
          </cell>
          <cell r="Y150" t="str">
            <v>우이칠로포츠틀리상</v>
          </cell>
          <cell r="AB150">
            <v>292</v>
          </cell>
          <cell r="AC150" t="b">
            <v>0</v>
          </cell>
          <cell r="AH150" t="b">
            <v>0</v>
          </cell>
        </row>
      </sheetData>
      <sheetData sheetId="41"/>
      <sheetData sheetId="42"/>
      <sheetData sheetId="43">
        <row r="7">
          <cell r="C7" t="str">
            <v>발견물</v>
          </cell>
        </row>
        <row r="8">
          <cell r="C8" t="str">
            <v>잔점박이물범</v>
          </cell>
        </row>
        <row r="9">
          <cell r="C9" t="str">
            <v>바이킹 소드</v>
          </cell>
        </row>
        <row r="10">
          <cell r="C10" t="str">
            <v>롤로의 투구</v>
          </cell>
        </row>
        <row r="11">
          <cell r="C11" t="str">
            <v>갈란투스</v>
          </cell>
        </row>
        <row r="12">
          <cell r="C12" t="str">
            <v>물총새</v>
          </cell>
        </row>
        <row r="13">
          <cell r="C13" t="str">
            <v>안개꽃</v>
          </cell>
        </row>
        <row r="14">
          <cell r="C14" t="str">
            <v>금사슬나무</v>
          </cell>
        </row>
        <row r="15">
          <cell r="C15" t="str">
            <v>고슴도치</v>
          </cell>
        </row>
        <row r="16">
          <cell r="C16" t="str">
            <v>리디아 화폐</v>
          </cell>
        </row>
        <row r="17">
          <cell r="C17" t="str">
            <v>시리아햄스터</v>
          </cell>
        </row>
        <row r="18">
          <cell r="C18" t="str">
            <v>아라비아오릭스</v>
          </cell>
        </row>
        <row r="19">
          <cell r="C19" t="str">
            <v>리디아 화폐</v>
          </cell>
        </row>
        <row r="20">
          <cell r="C20" t="str">
            <v>도르스테니아 포에티다</v>
          </cell>
        </row>
        <row r="21">
          <cell r="C21" t="str">
            <v>무슈후슈 벽화</v>
          </cell>
        </row>
        <row r="22">
          <cell r="C22" t="str">
            <v>원통인장</v>
          </cell>
        </row>
        <row r="23">
          <cell r="C23" t="str">
            <v>응게워상</v>
          </cell>
        </row>
        <row r="24">
          <cell r="C24" t="str">
            <v>나사뿔영양</v>
          </cell>
        </row>
        <row r="25">
          <cell r="C25" t="str">
            <v>코라</v>
          </cell>
        </row>
        <row r="26">
          <cell r="C26" t="str">
            <v>유익인면수신상</v>
          </cell>
        </row>
        <row r="27">
          <cell r="C27" t="str">
            <v>링크할스</v>
          </cell>
        </row>
        <row r="28">
          <cell r="C28" t="str">
            <v>극락 비두아</v>
          </cell>
        </row>
        <row r="29">
          <cell r="C29" t="str">
            <v>제드 기둥 부적</v>
          </cell>
        </row>
        <row r="30">
          <cell r="C30" t="str">
            <v>단봉낙타</v>
          </cell>
        </row>
        <row r="31">
          <cell r="C31" t="str">
            <v>나일왕도마뱀</v>
          </cell>
        </row>
        <row r="32">
          <cell r="C32" t="str">
            <v>방랑개미</v>
          </cell>
        </row>
        <row r="33">
          <cell r="C33" t="str">
            <v>맨드릴</v>
          </cell>
        </row>
        <row r="34">
          <cell r="C34" t="str">
            <v>침팬지</v>
          </cell>
        </row>
        <row r="35">
          <cell r="C35" t="str">
            <v>라텔</v>
          </cell>
        </row>
        <row r="36">
          <cell r="C36" t="str">
            <v>화염목</v>
          </cell>
        </row>
        <row r="37">
          <cell r="C37" t="str">
            <v>아키</v>
          </cell>
        </row>
        <row r="38">
          <cell r="C38" t="str">
            <v>오뒤두아상</v>
          </cell>
        </row>
        <row r="39">
          <cell r="C39" t="str">
            <v>망토개코원숭이</v>
          </cell>
        </row>
        <row r="40">
          <cell r="C40" t="str">
            <v>올로룬상</v>
          </cell>
        </row>
        <row r="41">
          <cell r="C41" t="str">
            <v>총고니 암각화 유적</v>
          </cell>
        </row>
        <row r="42">
          <cell r="C42" t="str">
            <v>치타</v>
          </cell>
        </row>
        <row r="43">
          <cell r="C43" t="str">
            <v>시어 버터 나무</v>
          </cell>
        </row>
        <row r="44">
          <cell r="C44" t="str">
            <v>열대 수련</v>
          </cell>
        </row>
        <row r="45">
          <cell r="C45" t="str">
            <v>천인조</v>
          </cell>
        </row>
        <row r="46">
          <cell r="C46" t="str">
            <v>설가타</v>
          </cell>
        </row>
        <row r="47">
          <cell r="C47" t="str">
            <v>아프리카 물수리</v>
          </cell>
        </row>
        <row r="48">
          <cell r="C48" t="str">
            <v>사막비개구리</v>
          </cell>
        </row>
        <row r="49">
          <cell r="C49" t="str">
            <v>톰슨가젤</v>
          </cell>
        </row>
        <row r="50">
          <cell r="C50" t="str">
            <v>깡충토끼</v>
          </cell>
        </row>
        <row r="51">
          <cell r="C51" t="str">
            <v>큰갑옷도마뱀</v>
          </cell>
        </row>
        <row r="52">
          <cell r="C52" t="str">
            <v>바위너구리</v>
          </cell>
        </row>
        <row r="53">
          <cell r="C53" t="str">
            <v>봉황목</v>
          </cell>
        </row>
        <row r="54">
          <cell r="C54" t="str">
            <v>카펫 카멜레온</v>
          </cell>
        </row>
        <row r="55">
          <cell r="C55" t="str">
            <v>토마토개구리</v>
          </cell>
        </row>
        <row r="56">
          <cell r="C56" t="str">
            <v>무지개아가마</v>
          </cell>
        </row>
        <row r="57">
          <cell r="C57" t="str">
            <v>관학</v>
          </cell>
        </row>
        <row r="58">
          <cell r="C58" t="str">
            <v>시파카</v>
          </cell>
        </row>
        <row r="59">
          <cell r="C59" t="str">
            <v>매리골드</v>
          </cell>
        </row>
        <row r="60">
          <cell r="C60" t="str">
            <v>발리하</v>
          </cell>
        </row>
        <row r="61">
          <cell r="C61" t="str">
            <v>프로테아</v>
          </cell>
        </row>
        <row r="62">
          <cell r="C62" t="str">
            <v>파인애플</v>
          </cell>
        </row>
        <row r="63">
          <cell r="C63" t="str">
            <v>잉카제비갈매기</v>
          </cell>
        </row>
        <row r="64">
          <cell r="C64" t="str">
            <v>청금강앵무</v>
          </cell>
        </row>
        <row r="65">
          <cell r="C65" t="str">
            <v>카피바라</v>
          </cell>
        </row>
        <row r="66">
          <cell r="C66" t="str">
            <v>브라질너트 나무</v>
          </cell>
        </row>
        <row r="67">
          <cell r="C67" t="str">
            <v>토코투칸</v>
          </cell>
        </row>
        <row r="68">
          <cell r="C68" t="str">
            <v>유리개구리</v>
          </cell>
        </row>
        <row r="69">
          <cell r="C69" t="str">
            <v>뿔매미</v>
          </cell>
        </row>
        <row r="70">
          <cell r="C70" t="str">
            <v>발광방아벌레</v>
          </cell>
        </row>
        <row r="71">
          <cell r="C71" t="str">
            <v>보아</v>
          </cell>
        </row>
        <row r="72">
          <cell r="C72" t="str">
            <v>말레세르비아</v>
          </cell>
        </row>
        <row r="73">
          <cell r="C73" t="str">
            <v>키푸</v>
          </cell>
        </row>
        <row r="74">
          <cell r="C74" t="str">
            <v>마타마타거북</v>
          </cell>
        </row>
        <row r="75">
          <cell r="C75" t="str">
            <v>레아</v>
          </cell>
        </row>
        <row r="76">
          <cell r="C76" t="str">
            <v>뱀눈새</v>
          </cell>
        </row>
        <row r="77">
          <cell r="C77" t="str">
            <v>하야신스마코금강앵무</v>
          </cell>
        </row>
        <row r="78">
          <cell r="C78" t="str">
            <v>거미원숭이</v>
          </cell>
        </row>
        <row r="79">
          <cell r="C79" t="str">
            <v>가면올빼미</v>
          </cell>
        </row>
        <row r="80">
          <cell r="C80" t="str">
            <v>오실롯</v>
          </cell>
        </row>
        <row r="81">
          <cell r="C81" t="str">
            <v>다람쥐원숭이</v>
          </cell>
        </row>
        <row r="82">
          <cell r="C82" t="str">
            <v>총알개미</v>
          </cell>
        </row>
        <row r="83">
          <cell r="C83" t="str">
            <v>알스트로에메리아</v>
          </cell>
        </row>
        <row r="84">
          <cell r="C84" t="str">
            <v>아마릴리스</v>
          </cell>
        </row>
        <row r="85">
          <cell r="C85" t="str">
            <v>군대개미</v>
          </cell>
        </row>
        <row r="86">
          <cell r="C86" t="str">
            <v>갈라파고스이구아나</v>
          </cell>
        </row>
        <row r="87">
          <cell r="C87" t="str">
            <v>갈라파고스용암도마뱀</v>
          </cell>
        </row>
        <row r="88">
          <cell r="C88" t="str">
            <v>갈라파고스땅거북</v>
          </cell>
        </row>
        <row r="89">
          <cell r="C89" t="str">
            <v>테피토쿠라</v>
          </cell>
        </row>
        <row r="90">
          <cell r="C90" t="str">
            <v>마케마케 암각화</v>
          </cell>
        </row>
        <row r="91">
          <cell r="C91" t="str">
            <v>라노 라라쿠</v>
          </cell>
        </row>
        <row r="92">
          <cell r="C92" t="str">
            <v>재규어 전사의 가면</v>
          </cell>
        </row>
        <row r="93">
          <cell r="C93" t="str">
            <v>포인세티아</v>
          </cell>
        </row>
        <row r="94">
          <cell r="C94" t="str">
            <v>페커리</v>
          </cell>
        </row>
        <row r="95">
          <cell r="C95" t="str">
            <v>빨간눈청개구리</v>
          </cell>
        </row>
        <row r="96">
          <cell r="C96" t="str">
            <v>코퀴청개구리</v>
          </cell>
        </row>
        <row r="97">
          <cell r="C97" t="str">
            <v>퓨마</v>
          </cell>
        </row>
        <row r="98">
          <cell r="C98" t="str">
            <v>루드베키아</v>
          </cell>
        </row>
        <row r="99">
          <cell r="C99" t="str">
            <v>제왕얼룩나비</v>
          </cell>
        </row>
        <row r="100">
          <cell r="C100" t="str">
            <v>붉은바다거북</v>
          </cell>
        </row>
        <row r="101">
          <cell r="C101" t="str">
            <v>노새사슴</v>
          </cell>
        </row>
        <row r="102">
          <cell r="C102" t="str">
            <v>큰뿔야생양</v>
          </cell>
        </row>
        <row r="103">
          <cell r="C103" t="str">
            <v>세발가락상자거북</v>
          </cell>
        </row>
        <row r="104">
          <cell r="C104" t="str">
            <v>비버</v>
          </cell>
        </row>
        <row r="105">
          <cell r="C105" t="str">
            <v>홍관조</v>
          </cell>
        </row>
        <row r="106">
          <cell r="C106" t="str">
            <v>캥거루쥐</v>
          </cell>
        </row>
        <row r="107">
          <cell r="C107" t="str">
            <v>마못</v>
          </cell>
        </row>
        <row r="108">
          <cell r="C108" t="str">
            <v>물수리</v>
          </cell>
        </row>
        <row r="109">
          <cell r="C109" t="str">
            <v>아메리카 흰 두루미</v>
          </cell>
        </row>
        <row r="110">
          <cell r="C110" t="str">
            <v>늑대거북</v>
          </cell>
        </row>
        <row r="111">
          <cell r="C111" t="str">
            <v>아메리카밍크</v>
          </cell>
        </row>
        <row r="112">
          <cell r="C112" t="str">
            <v>태산목</v>
          </cell>
        </row>
        <row r="113">
          <cell r="C113" t="str">
            <v>자주달개비</v>
          </cell>
        </row>
        <row r="114">
          <cell r="C114" t="str">
            <v>오르메카의 거대 두상</v>
          </cell>
        </row>
        <row r="115">
          <cell r="C115" t="str">
            <v>플록스</v>
          </cell>
        </row>
        <row r="116">
          <cell r="C116" t="str">
            <v>북극토끼</v>
          </cell>
        </row>
        <row r="117">
          <cell r="C117" t="str">
            <v>곤봉딱정벌레</v>
          </cell>
        </row>
        <row r="118">
          <cell r="C118" t="str">
            <v>진홍 쇠물닭</v>
          </cell>
        </row>
        <row r="119">
          <cell r="C119" t="str">
            <v>흰눈썹붉은배지빠귀</v>
          </cell>
        </row>
        <row r="120">
          <cell r="C120" t="str">
            <v>흰눈썹붉은배지빠귀</v>
          </cell>
        </row>
        <row r="121">
          <cell r="C121" t="str">
            <v>아무르표범</v>
          </cell>
        </row>
        <row r="122">
          <cell r="C122" t="str">
            <v>달래</v>
          </cell>
        </row>
        <row r="123">
          <cell r="C123" t="str">
            <v>마가목</v>
          </cell>
        </row>
        <row r="124">
          <cell r="C124" t="str">
            <v>수수꽃다리</v>
          </cell>
        </row>
        <row r="125">
          <cell r="C125" t="str">
            <v>꼬리명주나비</v>
          </cell>
        </row>
        <row r="126">
          <cell r="C126" t="str">
            <v>돌담무늬나비</v>
          </cell>
        </row>
        <row r="127">
          <cell r="C127" t="str">
            <v>청설모</v>
          </cell>
        </row>
        <row r="128">
          <cell r="C128" t="str">
            <v>야요이 토기</v>
          </cell>
        </row>
        <row r="129">
          <cell r="C129" t="str">
            <v>도라지</v>
          </cell>
        </row>
        <row r="130">
          <cell r="C130" t="str">
            <v>일본원숭이</v>
          </cell>
        </row>
        <row r="131">
          <cell r="C131" t="str">
            <v>구카이의 석장</v>
          </cell>
        </row>
        <row r="132">
          <cell r="C132" t="str">
            <v>일본산양</v>
          </cell>
        </row>
        <row r="133">
          <cell r="C133" t="str">
            <v>야쿠사슴</v>
          </cell>
        </row>
        <row r="134">
          <cell r="C134" t="str">
            <v>이시카와개구리</v>
          </cell>
        </row>
        <row r="135">
          <cell r="C135" t="str">
            <v>노랑제비꽃</v>
          </cell>
        </row>
        <row r="136">
          <cell r="C136" t="str">
            <v>고가츠 인형</v>
          </cell>
        </row>
        <row r="137">
          <cell r="C137" t="str">
            <v>게르</v>
          </cell>
        </row>
        <row r="138">
          <cell r="C138" t="str">
            <v>두루미</v>
          </cell>
        </row>
        <row r="139">
          <cell r="C139" t="str">
            <v>영애 승람</v>
          </cell>
        </row>
        <row r="140">
          <cell r="C140" t="str">
            <v>사불상</v>
          </cell>
        </row>
        <row r="141">
          <cell r="C141" t="str">
            <v>대회향</v>
          </cell>
        </row>
        <row r="142">
          <cell r="C142" t="str">
            <v>고추나물</v>
          </cell>
        </row>
        <row r="143">
          <cell r="C143" t="str">
            <v>다리다 모감주나무</v>
          </cell>
        </row>
        <row r="144">
          <cell r="C144" t="str">
            <v>다리다파랑까치</v>
          </cell>
        </row>
        <row r="145">
          <cell r="C145" t="str">
            <v>보세란</v>
          </cell>
        </row>
        <row r="146">
          <cell r="C146" t="str">
            <v>아소카 석주</v>
          </cell>
        </row>
        <row r="147">
          <cell r="C147" t="str">
            <v>카니슈카 왕의 사리함</v>
          </cell>
        </row>
        <row r="148">
          <cell r="C148" t="str">
            <v>사라스바티 조각상</v>
          </cell>
        </row>
        <row r="149">
          <cell r="C149" t="str">
            <v>대모</v>
          </cell>
        </row>
        <row r="150">
          <cell r="C150" t="str">
            <v>날뱀</v>
          </cell>
        </row>
        <row r="151">
          <cell r="C151" t="str">
            <v>치나라트불상</v>
          </cell>
        </row>
        <row r="152">
          <cell r="C152" t="str">
            <v>담비</v>
          </cell>
        </row>
        <row r="153">
          <cell r="C153" t="str">
            <v>바비루사</v>
          </cell>
        </row>
        <row r="154">
          <cell r="C154" t="str">
            <v>밴팅</v>
          </cell>
        </row>
        <row r="155">
          <cell r="C155" t="str">
            <v>레서판다</v>
          </cell>
        </row>
        <row r="156">
          <cell r="C156" t="str">
            <v>긴팔원숭이</v>
          </cell>
        </row>
        <row r="157">
          <cell r="C157" t="str">
            <v>말레이곰</v>
          </cell>
        </row>
        <row r="158">
          <cell r="C158" t="str">
            <v>어깨걸이극락조</v>
          </cell>
        </row>
        <row r="159">
          <cell r="C159" t="str">
            <v>햇살비단구렁이</v>
          </cell>
        </row>
        <row r="160">
          <cell r="C160" t="str">
            <v>왕넓적사슴벌레</v>
          </cell>
        </row>
        <row r="161">
          <cell r="C161" t="str">
            <v>분홍 앵무</v>
          </cell>
        </row>
        <row r="162">
          <cell r="C162" t="str">
            <v>클랩스틱</v>
          </cell>
        </row>
        <row r="163">
          <cell r="C163" t="str">
            <v>주머니여우</v>
          </cell>
        </row>
        <row r="164">
          <cell r="C164" t="str">
            <v>카카포</v>
          </cell>
        </row>
        <row r="165">
          <cell r="C165" t="str">
            <v>포우나무</v>
          </cell>
        </row>
        <row r="166">
          <cell r="C166" t="str">
            <v>주머니두더지</v>
          </cell>
        </row>
        <row r="167">
          <cell r="C167" t="str">
            <v>키위</v>
          </cell>
        </row>
        <row r="168">
          <cell r="C168" t="str">
            <v>주머니개미핥기</v>
          </cell>
        </row>
        <row r="169">
          <cell r="C169" t="str">
            <v>주머니늑대</v>
          </cell>
        </row>
        <row r="170">
          <cell r="C170" t="str">
            <v>목도리도마뱀</v>
          </cell>
        </row>
        <row r="171">
          <cell r="C171" t="str">
            <v>주머니고양이</v>
          </cell>
        </row>
        <row r="172">
          <cell r="C172" t="str">
            <v>호랑이뱀</v>
          </cell>
        </row>
        <row r="173">
          <cell r="C173" t="str">
            <v>오히아레후아</v>
          </cell>
        </row>
        <row r="174">
          <cell r="C174" t="str">
            <v>하와이섬</v>
          </cell>
        </row>
        <row r="175">
          <cell r="C175" t="str">
            <v>재규어 조각상</v>
          </cell>
        </row>
        <row r="176">
          <cell r="C176" t="str">
            <v>미스테카의 귀걸이</v>
          </cell>
        </row>
        <row r="177">
          <cell r="C177" t="str">
            <v>구아바</v>
          </cell>
        </row>
        <row r="178">
          <cell r="C178" t="str">
            <v>나무늘보</v>
          </cell>
        </row>
        <row r="179">
          <cell r="C179" t="str">
            <v>발사나무</v>
          </cell>
        </row>
        <row r="180">
          <cell r="C180" t="str">
            <v>검은머리카푸친</v>
          </cell>
        </row>
        <row r="181">
          <cell r="C181" t="str">
            <v>남극물개</v>
          </cell>
        </row>
        <row r="182">
          <cell r="C182" t="str">
            <v>남극물개</v>
          </cell>
        </row>
        <row r="183">
          <cell r="C183" t="str">
            <v>말코손바닥사슴</v>
          </cell>
        </row>
        <row r="184">
          <cell r="C184" t="str">
            <v>진홍 쇠물닭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Index"/>
      <sheetName val="StaffRoll"/>
      <sheetName val="DefaultShip"/>
      <sheetName val="DefaultShipBlueprint"/>
      <sheetName val="DefaultPoint"/>
      <sheetName val="DefaultMail"/>
      <sheetName val="DefaultQuest"/>
      <sheetName val="ShipCustomizeData"/>
      <sheetName val="DefaultSailCrest"/>
      <sheetName val="DefaultSailPattern"/>
      <sheetName val="DefaultSailPatternColor"/>
      <sheetName val="DefaultShipBodyFirstColor"/>
      <sheetName val="DefaultShipBodySecondColor"/>
      <sheetName val="DefaultEquipDyeColor"/>
      <sheetName val="PushNotification"/>
      <sheetName val="DeviceLanguageTypes"/>
      <sheetName val="SoundPack"/>
      <sheetName val="CashShopBoxRatio"/>
      <sheetName val="Collection"/>
      <sheetName val="ContributionShop"/>
      <sheetName val="CashShopLimitSale"/>
      <sheetName val="CashShop"/>
      <sheetName val="LoadingPage"/>
      <sheetName val="OceanDoodadAreaSpawner"/>
      <sheetName val="EnterSeaArea"/>
      <sheetName val="OceanDoodad"/>
      <sheetName val="OceanNpcSpawn"/>
      <sheetName val="TradeGoods"/>
      <sheetName val="Trade"/>
      <sheetName val="TradeAreaTileData"/>
      <sheetName val="TaxFreePermit"/>
      <sheetName val="Reputation"/>
      <sheetName val="InvestRankTax"/>
      <sheetName val="Point"/>
      <sheetName val="Nation"/>
      <sheetName val="NationDiplomacy"/>
      <sheetName val="NationRankingEffect"/>
      <sheetName val="CulturalArea"/>
      <sheetName val="Region"/>
      <sheetName val="RegionName"/>
      <sheetName val="OceanZone"/>
      <sheetName val="Climate"/>
      <sheetName val="WeatherTile"/>
      <sheetName val="WeatherTileClimate"/>
      <sheetName val="WorldTile"/>
      <sheetName val="Weather"/>
      <sheetName val="Town"/>
      <sheetName val="Camel"/>
      <sheetName val="FOWOpenContinentTown"/>
      <sheetName val="Reward"/>
      <sheetName val="RewardDropPool"/>
      <sheetName val="RewardFixed"/>
      <sheetName val="QuestPayment"/>
      <sheetName val="TownDevelopExp"/>
      <sheetName val="Emoticon"/>
      <sheetName val="SocialAnimation"/>
      <sheetName val="TownKick"/>
      <sheetName val="AdmissionNpc"/>
      <sheetName val="CompanyExp"/>
      <sheetName val="ShipBuildMasteryExp"/>
      <sheetName val="ShipBuildExp"/>
      <sheetName val="OceanCamera"/>
      <sheetName val="WaveRate"/>
      <sheetName val="CurrentRate"/>
      <sheetName val="WindRate"/>
      <sheetName val="CharacterExp"/>
      <sheetName val="RoyalTitle"/>
      <sheetName val="CompanyJob"/>
      <sheetName val="WorldState"/>
      <sheetName val="WorldNameList"/>
      <sheetName val="CompanyNameList"/>
      <sheetName val="OceanProtection"/>
      <sheetName val="OceanDisaster"/>
      <sheetName val="WorldSkill"/>
      <sheetName val="WorldPassive"/>
      <sheetName val="WorldActiveEffect"/>
      <sheetName val="WorldTrigger"/>
      <sheetName val="WorldPassiveEffect"/>
      <sheetName val="WorldBuff"/>
      <sheetName val="OceanNpcEffect"/>
      <sheetName val="OceanNpcBuff"/>
      <sheetName val="Shop"/>
      <sheetName val="Item"/>
      <sheetName val="SlotExpansion"/>
      <sheetName val="TileToolDefine"/>
      <sheetName val="InvestCompanyRanking"/>
      <sheetName val="DiscoveryRanking"/>
      <sheetName val="Admiral"/>
      <sheetName val="AdmiralGroup"/>
      <sheetName val="Character"/>
      <sheetName val="Mate"/>
      <sheetName val="PubStaff"/>
      <sheetName val="MatePersonality"/>
      <sheetName val="MateAwaken"/>
      <sheetName val="PieceSwap"/>
      <sheetName val="MateManagement"/>
      <sheetName val="Job"/>
      <sheetName val="MateRecruiting"/>
      <sheetName val="MateReRecruiting"/>
      <sheetName val="CEquip"/>
      <sheetName val="Religion"/>
      <sheetName val="BuildingBuff"/>
      <sheetName val="BuildingContentsUnlock"/>
      <sheetName val="BuildingMenu"/>
      <sheetName val="MainMenu"/>
      <sheetName val="ContentsTerms"/>
      <sheetName val="Shield"/>
      <sheetName val="ContentsResetHour"/>
      <sheetName val="Language"/>
      <sheetName val="BankInstallmentSavings"/>
      <sheetName val="Fortune"/>
      <sheetName val="BankInsurance"/>
      <sheetName val="AutoJobPassive"/>
      <sheetName val="AutoMatePassive"/>
      <sheetName val="AutoMatePassiveFixed"/>
      <sheetName val="AutoMateSkill"/>
      <sheetName val="AutoMateOrder"/>
      <sheetName val="BattleDuelSkill"/>
      <sheetName val="BattleSkill"/>
      <sheetName val="BattleDuelEffect"/>
      <sheetName val="BattleBuff"/>
      <sheetName val="BattleTurnBoost"/>
      <sheetName val="BattleActiveEffect"/>
      <sheetName val="BattlePassive"/>
      <sheetName val="BattleUnitTrigger"/>
      <sheetName val="BattlePassiveEffect"/>
      <sheetName val="BattleTod"/>
      <sheetName val="BattleTile"/>
      <sheetName val="BattleMapObject"/>
      <sheetName val="BattleActionRange"/>
      <sheetName val="BattleAoeRange"/>
      <sheetName val="BattleAiPersonality"/>
      <sheetName val="BattleAiWeightList"/>
      <sheetName val="BattleAiMoveWeight"/>
      <sheetName val="BattleAiActionWeight"/>
      <sheetName val="BattleFaction"/>
      <sheetName val="ShipSlot"/>
      <sheetName val="ShipCabinRelation"/>
      <sheetName val="DepartSupply"/>
      <sheetName val="BubbleEvent"/>
      <sheetName val="BattleDirectionShipCost"/>
      <sheetName val="BattleTileShipCost"/>
      <sheetName val="ShipClass"/>
      <sheetName val="ShipyardShop"/>
      <sheetName val="Ship"/>
      <sheetName val="ShipEnchant"/>
      <sheetName val="ShipEnchantStatRatio"/>
      <sheetName val="ShipyardBuild"/>
      <sheetName val="ShipBlueprint"/>
      <sheetName val="SailorDraft"/>
      <sheetName val="AchievementPoint"/>
      <sheetName val="HotTimeBonus"/>
      <sheetName val="Mail"/>
      <sheetName val="LoadageRatio"/>
      <sheetName val="Const"/>
      <sheetName val="SpecialStat"/>
      <sheetName val="StatOperator"/>
      <sheetName val="SystemMessage"/>
      <sheetName val="LinerShip"/>
      <sheetName val="_enum"/>
      <sheetName val="ShipBlueprintLvStat"/>
    </sheetNames>
    <sheetDataSet>
      <sheetData sheetId="0">
        <row r="1">
          <cell r="A1" t="str">
            <v>tableName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id</v>
          </cell>
          <cell r="Y1" t="str">
            <v>eventDependencyId</v>
          </cell>
        </row>
        <row r="2">
          <cell r="Y2" t="str">
            <v>number</v>
          </cell>
        </row>
        <row r="3">
          <cell r="Y3" t="str">
            <v>-</v>
          </cell>
        </row>
        <row r="4">
          <cell r="Y4">
            <v>1</v>
          </cell>
        </row>
        <row r="5">
          <cell r="Y5">
            <v>99999999</v>
          </cell>
        </row>
        <row r="6">
          <cell r="Y6" t="str">
            <v>-</v>
          </cell>
        </row>
        <row r="7">
          <cell r="Y7" t="str">
            <v>"WorldBuff","OceanDisaster","Quest"</v>
          </cell>
        </row>
        <row r="8">
          <cell r="Y8" t="str">
            <v>-</v>
          </cell>
          <cell r="Z8"/>
        </row>
        <row r="9">
          <cell r="Y9" t="str">
            <v>-</v>
          </cell>
          <cell r="Z9"/>
        </row>
        <row r="10">
          <cell r="Y10" t="str">
            <v>-</v>
          </cell>
          <cell r="Z10"/>
        </row>
        <row r="11">
          <cell r="Y11" t="str">
            <v>-</v>
          </cell>
          <cell r="Z11"/>
        </row>
        <row r="12">
          <cell r="Y12" t="str">
            <v>-</v>
          </cell>
          <cell r="Z12"/>
        </row>
        <row r="13">
          <cell r="Y13" t="str">
            <v>-</v>
          </cell>
          <cell r="Z13"/>
        </row>
        <row r="14">
          <cell r="Y14" t="str">
            <v>-</v>
          </cell>
          <cell r="Z14"/>
        </row>
        <row r="15">
          <cell r="Y15" t="str">
            <v>-</v>
          </cell>
          <cell r="Z15"/>
        </row>
        <row r="16">
          <cell r="Y16">
            <v>16100027</v>
          </cell>
          <cell r="Z16"/>
        </row>
        <row r="17">
          <cell r="Y17">
            <v>16100026</v>
          </cell>
          <cell r="Z17"/>
        </row>
        <row r="18">
          <cell r="Y18">
            <v>38015000</v>
          </cell>
          <cell r="Z18"/>
        </row>
        <row r="19">
          <cell r="Y19" t="str">
            <v>-</v>
          </cell>
          <cell r="Z19"/>
        </row>
        <row r="20">
          <cell r="Y20">
            <v>38015002</v>
          </cell>
          <cell r="Z20"/>
        </row>
        <row r="21">
          <cell r="Y21">
            <v>38015003</v>
          </cell>
          <cell r="Z21"/>
        </row>
        <row r="22">
          <cell r="Y22">
            <v>38015004</v>
          </cell>
          <cell r="Z22"/>
        </row>
        <row r="23">
          <cell r="Y23">
            <v>16100008</v>
          </cell>
          <cell r="Z23"/>
        </row>
        <row r="24">
          <cell r="Y24" t="str">
            <v>-</v>
          </cell>
          <cell r="Z24"/>
        </row>
        <row r="25">
          <cell r="Y25">
            <v>38015004</v>
          </cell>
          <cell r="Z25"/>
        </row>
        <row r="26">
          <cell r="Y26" t="str">
            <v>-</v>
          </cell>
          <cell r="Z26"/>
        </row>
        <row r="27">
          <cell r="Y27" t="str">
            <v>-</v>
          </cell>
          <cell r="Z27"/>
        </row>
        <row r="28">
          <cell r="Y28">
            <v>38015000</v>
          </cell>
          <cell r="Z28"/>
        </row>
        <row r="29">
          <cell r="Y29" t="str">
            <v>-</v>
          </cell>
          <cell r="Z29"/>
        </row>
        <row r="30">
          <cell r="Y30" t="str">
            <v>-</v>
          </cell>
          <cell r="Z30" t="str">
            <v>청새치</v>
          </cell>
        </row>
        <row r="31">
          <cell r="Y31" t="str">
            <v>-</v>
          </cell>
          <cell r="Z31"/>
        </row>
        <row r="32">
          <cell r="Y32">
            <v>38020545</v>
          </cell>
          <cell r="Z32"/>
        </row>
        <row r="33">
          <cell r="Y33" t="str">
            <v>-</v>
          </cell>
          <cell r="Z33"/>
        </row>
        <row r="34">
          <cell r="Y34" t="str">
            <v>-</v>
          </cell>
          <cell r="Z34" t="str">
            <v>고깔해파리</v>
          </cell>
        </row>
        <row r="35">
          <cell r="Y35" t="str">
            <v>-</v>
          </cell>
          <cell r="Z35"/>
        </row>
        <row r="36">
          <cell r="Y36" t="str">
            <v>-</v>
          </cell>
          <cell r="Z36"/>
        </row>
        <row r="37">
          <cell r="Y37" t="str">
            <v>-</v>
          </cell>
          <cell r="Z37"/>
        </row>
        <row r="38">
          <cell r="Y38" t="str">
            <v>-</v>
          </cell>
          <cell r="Z38"/>
        </row>
        <row r="39">
          <cell r="Y39" t="str">
            <v>-</v>
          </cell>
          <cell r="Z39"/>
        </row>
        <row r="40">
          <cell r="Y40" t="str">
            <v>-</v>
          </cell>
          <cell r="Z40"/>
        </row>
        <row r="41">
          <cell r="Y41" t="str">
            <v>-</v>
          </cell>
          <cell r="Z41"/>
        </row>
        <row r="42">
          <cell r="Y42" t="str">
            <v>-</v>
          </cell>
          <cell r="Z42"/>
        </row>
        <row r="43">
          <cell r="Y43" t="str">
            <v>-</v>
          </cell>
          <cell r="Z43"/>
        </row>
        <row r="44">
          <cell r="Y44" t="str">
            <v>-</v>
          </cell>
          <cell r="Z44"/>
        </row>
        <row r="45">
          <cell r="Y45" t="str">
            <v>-</v>
          </cell>
          <cell r="Z45"/>
        </row>
        <row r="46">
          <cell r="Y46" t="str">
            <v>-</v>
          </cell>
          <cell r="Z46"/>
        </row>
        <row r="47">
          <cell r="Y47">
            <v>38015001</v>
          </cell>
          <cell r="Z47"/>
        </row>
        <row r="48">
          <cell r="Y48" t="str">
            <v>-</v>
          </cell>
          <cell r="Z48"/>
        </row>
        <row r="49">
          <cell r="Y49">
            <v>38015001</v>
          </cell>
          <cell r="Z49"/>
        </row>
        <row r="50">
          <cell r="Y50" t="str">
            <v>-</v>
          </cell>
          <cell r="Z50" t="str">
            <v>구룡폭포</v>
          </cell>
        </row>
        <row r="51">
          <cell r="Y51" t="str">
            <v>-</v>
          </cell>
          <cell r="Z51" t="str">
            <v>나이아가라폭포</v>
          </cell>
        </row>
        <row r="52">
          <cell r="Y52" t="str">
            <v>-</v>
          </cell>
          <cell r="Z52" t="str">
            <v>빅토리아폭포</v>
          </cell>
        </row>
        <row r="53">
          <cell r="Y53" t="str">
            <v>-</v>
          </cell>
          <cell r="Z53" t="str">
            <v>앙헬폭포</v>
          </cell>
        </row>
        <row r="54">
          <cell r="Y54" t="str">
            <v>-</v>
          </cell>
          <cell r="Z54" t="str">
            <v>엘 리몬의 폭포</v>
          </cell>
        </row>
        <row r="55">
          <cell r="Y55" t="str">
            <v>-</v>
          </cell>
          <cell r="Z55" t="str">
            <v>이구아수폭포</v>
          </cell>
        </row>
        <row r="56">
          <cell r="Y56" t="str">
            <v>-</v>
          </cell>
          <cell r="Z56" t="str">
            <v>청나일폭포</v>
          </cell>
        </row>
        <row r="57">
          <cell r="Y57" t="str">
            <v>-</v>
          </cell>
          <cell r="Z57" t="str">
            <v>카이에테우르폭포</v>
          </cell>
        </row>
        <row r="58">
          <cell r="Y58" t="str">
            <v>-</v>
          </cell>
          <cell r="Z58" t="str">
            <v>호스테일폭포</v>
          </cell>
        </row>
        <row r="59">
          <cell r="Y59" t="str">
            <v>-</v>
          </cell>
          <cell r="Z59" t="str">
            <v>플리트비체 폭포</v>
          </cell>
        </row>
        <row r="60">
          <cell r="Y60" t="str">
            <v>-</v>
          </cell>
          <cell r="Z60" t="str">
            <v>요세미티폭포</v>
          </cell>
        </row>
        <row r="61">
          <cell r="Y61" t="str">
            <v>-</v>
          </cell>
          <cell r="Z61" t="str">
            <v>굴포스 폭포</v>
          </cell>
        </row>
        <row r="62">
          <cell r="Y62" t="str">
            <v>-</v>
          </cell>
          <cell r="Z62" t="str">
            <v>데티포스 폭포</v>
          </cell>
        </row>
        <row r="63">
          <cell r="Y63" t="str">
            <v>-</v>
          </cell>
          <cell r="Z63" t="str">
            <v>서덜랜드폭포</v>
          </cell>
        </row>
        <row r="64">
          <cell r="Y64" t="str">
            <v>-</v>
          </cell>
          <cell r="Z64" t="str">
            <v>딘얀디 폭포</v>
          </cell>
        </row>
        <row r="65">
          <cell r="Y65" t="str">
            <v>-</v>
          </cell>
          <cell r="Z65" t="str">
            <v>고다포스 폭포</v>
          </cell>
        </row>
        <row r="66">
          <cell r="Y66" t="str">
            <v>-</v>
          </cell>
          <cell r="Z66" t="str">
            <v>크레비아 폭포</v>
          </cell>
        </row>
        <row r="67">
          <cell r="Y67" t="str">
            <v>-</v>
          </cell>
          <cell r="Z67" t="str">
            <v>하이포스 폭포</v>
          </cell>
        </row>
        <row r="68">
          <cell r="Y68" t="str">
            <v>-</v>
          </cell>
          <cell r="Z68" t="str">
            <v>벤티스쿠에로 콜간테 폭포</v>
          </cell>
        </row>
        <row r="69">
          <cell r="Y69" t="str">
            <v>-</v>
          </cell>
          <cell r="Z69" t="str">
            <v>팔루스 폭포</v>
          </cell>
        </row>
        <row r="70">
          <cell r="Y70" t="str">
            <v>-</v>
          </cell>
          <cell r="Z70" t="str">
            <v>터재넉 폭포</v>
          </cell>
        </row>
        <row r="71">
          <cell r="Y71" t="str">
            <v>-</v>
          </cell>
          <cell r="Z71" t="str">
            <v>반지옥 폭포</v>
          </cell>
        </row>
        <row r="72">
          <cell r="Y72" t="str">
            <v>-</v>
          </cell>
          <cell r="Z72" t="str">
            <v>바타라 폭포</v>
          </cell>
        </row>
        <row r="73">
          <cell r="Y73" t="str">
            <v>-</v>
          </cell>
          <cell r="Z73" t="str">
            <v>브라운 폭포</v>
          </cell>
        </row>
        <row r="74">
          <cell r="Y74" t="str">
            <v>-</v>
          </cell>
          <cell r="Z74" t="str">
            <v>제임스브루스폭포</v>
          </cell>
        </row>
        <row r="75">
          <cell r="Y75" t="str">
            <v>-</v>
          </cell>
          <cell r="Z75" t="str">
            <v>푸카오쿠폭포</v>
          </cell>
        </row>
        <row r="76">
          <cell r="Y76" t="str">
            <v>-</v>
          </cell>
          <cell r="Z76" t="str">
            <v>스코지폭포</v>
          </cell>
        </row>
        <row r="77">
          <cell r="Y77" t="str">
            <v>-</v>
          </cell>
          <cell r="Z77" t="str">
            <v>빈누폭포</v>
          </cell>
        </row>
        <row r="78">
          <cell r="Y78" t="str">
            <v>-</v>
          </cell>
          <cell r="Z78" t="str">
            <v>윰빌라폭포</v>
          </cell>
        </row>
        <row r="79">
          <cell r="Y79" t="str">
            <v>-</v>
          </cell>
          <cell r="Z79" t="str">
            <v>트레스에르마나스폭포</v>
          </cell>
        </row>
        <row r="80">
          <cell r="Y80" t="str">
            <v>-</v>
          </cell>
          <cell r="Z80" t="str">
            <v>투겔라 폭포</v>
          </cell>
        </row>
        <row r="81">
          <cell r="Y81" t="str">
            <v>-</v>
          </cell>
          <cell r="Z81" t="str">
            <v>정방폭포</v>
          </cell>
        </row>
        <row r="82">
          <cell r="Y82" t="str">
            <v>-</v>
          </cell>
          <cell r="Z82" t="str">
            <v>알라미어 폭포</v>
          </cell>
        </row>
        <row r="83">
          <cell r="Y83" t="str">
            <v>-</v>
          </cell>
          <cell r="Z83" t="str">
            <v>하바수 폭포</v>
          </cell>
        </row>
        <row r="84">
          <cell r="Y84" t="str">
            <v>-</v>
          </cell>
          <cell r="Z84" t="str">
            <v>꽝시 폭포</v>
          </cell>
        </row>
        <row r="85">
          <cell r="Y85" t="str">
            <v>-</v>
          </cell>
          <cell r="Z85" t="str">
            <v>조그 폭포</v>
          </cell>
        </row>
        <row r="86">
          <cell r="Y86" t="str">
            <v>-</v>
          </cell>
          <cell r="Z86" t="str">
            <v>장백폭포</v>
          </cell>
        </row>
        <row r="87">
          <cell r="Y87" t="str">
            <v>-</v>
          </cell>
          <cell r="Z87" t="str">
            <v>나치폭포</v>
          </cell>
        </row>
        <row r="88">
          <cell r="Y88" t="str">
            <v>-</v>
          </cell>
          <cell r="Z88" t="str">
            <v>마로코파 폭포</v>
          </cell>
        </row>
        <row r="89">
          <cell r="Y89" t="str">
            <v>-</v>
          </cell>
          <cell r="Z89" t="str">
            <v>핏츠로이 폭포</v>
          </cell>
        </row>
        <row r="90">
          <cell r="Y90" t="str">
            <v>-</v>
          </cell>
          <cell r="Z90" t="str">
            <v>레인보우 폭포</v>
          </cell>
        </row>
        <row r="91">
          <cell r="Y91" t="str">
            <v>-</v>
          </cell>
          <cell r="Z91" t="str">
            <v>시라이토 폭포</v>
          </cell>
        </row>
        <row r="92">
          <cell r="Y92" t="str">
            <v>-</v>
          </cell>
          <cell r="Z92" t="str">
            <v>말레추냐네 폭포</v>
          </cell>
        </row>
        <row r="93">
          <cell r="Y93" t="str">
            <v>-</v>
          </cell>
          <cell r="Z93" t="str">
            <v>스털링 폭포</v>
          </cell>
        </row>
        <row r="94">
          <cell r="Y94" t="str">
            <v>-</v>
          </cell>
          <cell r="Z94" t="str">
            <v>스코아 폭포</v>
          </cell>
        </row>
        <row r="95">
          <cell r="Y95" t="str">
            <v>-</v>
          </cell>
          <cell r="Z95" t="str">
            <v>스펀 폭포</v>
          </cell>
        </row>
        <row r="96">
          <cell r="Y96" t="str">
            <v>-</v>
          </cell>
          <cell r="Z96" t="str">
            <v>게곤 폭포</v>
          </cell>
        </row>
        <row r="97">
          <cell r="Y97" t="str">
            <v>-</v>
          </cell>
          <cell r="Z97" t="str">
            <v>베수비오산</v>
          </cell>
        </row>
        <row r="98">
          <cell r="Y98" t="str">
            <v>-</v>
          </cell>
          <cell r="Z98" t="str">
            <v>에트나산</v>
          </cell>
        </row>
        <row r="99">
          <cell r="Y99" t="str">
            <v>-</v>
          </cell>
          <cell r="Z99" t="str">
            <v>한라산</v>
          </cell>
        </row>
        <row r="100">
          <cell r="Y100" t="str">
            <v>-</v>
          </cell>
          <cell r="Z100" t="str">
            <v>백두산</v>
          </cell>
        </row>
        <row r="101">
          <cell r="Y101" t="str">
            <v>-</v>
          </cell>
          <cell r="Z101" t="str">
            <v>스메루산</v>
          </cell>
        </row>
        <row r="102">
          <cell r="Y102" t="str">
            <v>-</v>
          </cell>
          <cell r="Z102" t="str">
            <v>마우나 케아</v>
          </cell>
        </row>
        <row r="103">
          <cell r="Y103" t="str">
            <v>-</v>
          </cell>
          <cell r="Z103" t="str">
            <v>다이아몬드 헤드</v>
          </cell>
        </row>
        <row r="104">
          <cell r="Y104" t="str">
            <v>-</v>
          </cell>
          <cell r="Z104" t="str">
            <v>후지산</v>
          </cell>
        </row>
        <row r="105">
          <cell r="Y105" t="str">
            <v>-</v>
          </cell>
          <cell r="Z105" t="str">
            <v>아소산</v>
          </cell>
        </row>
        <row r="106">
          <cell r="Y106" t="str">
            <v>-</v>
          </cell>
          <cell r="Z106" t="str">
            <v>세인트헬렌스산</v>
          </cell>
        </row>
        <row r="107">
          <cell r="Y107" t="str">
            <v>-</v>
          </cell>
          <cell r="Z107" t="str">
            <v>아궁산</v>
          </cell>
        </row>
        <row r="108">
          <cell r="Y108" t="str">
            <v>-</v>
          </cell>
          <cell r="Z108" t="str">
            <v>클리무투산</v>
          </cell>
        </row>
        <row r="109">
          <cell r="Y109" t="str">
            <v>-</v>
          </cell>
          <cell r="Z109" t="str">
            <v>피나투보산</v>
          </cell>
        </row>
        <row r="110">
          <cell r="Y110" t="str">
            <v>-</v>
          </cell>
          <cell r="Z110" t="str">
            <v>마욘산</v>
          </cell>
        </row>
        <row r="111">
          <cell r="Y111" t="str">
            <v>-</v>
          </cell>
          <cell r="Z111" t="str">
            <v>그림스뵈튼산</v>
          </cell>
        </row>
        <row r="112">
          <cell r="Y112" t="str">
            <v>-</v>
          </cell>
          <cell r="Z112" t="str">
            <v>제이타 동굴</v>
          </cell>
        </row>
        <row r="113">
          <cell r="Y113" t="str">
            <v>-</v>
          </cell>
          <cell r="Z113"/>
        </row>
        <row r="114">
          <cell r="Y114" t="str">
            <v>-</v>
          </cell>
          <cell r="Z114" t="str">
            <v>스카프타펠 동굴</v>
          </cell>
        </row>
        <row r="115">
          <cell r="Y115" t="str">
            <v>-</v>
          </cell>
          <cell r="Z115" t="str">
            <v>용암 동굴</v>
          </cell>
        </row>
        <row r="116">
          <cell r="Y116" t="str">
            <v>-</v>
          </cell>
          <cell r="Z116" t="str">
            <v>아비스모 아뉴마스</v>
          </cell>
        </row>
        <row r="117">
          <cell r="Y117" t="str">
            <v>-</v>
          </cell>
          <cell r="Z117" t="str">
            <v>제놀란 동굴</v>
          </cell>
        </row>
        <row r="118">
          <cell r="Y118" t="str">
            <v>-</v>
          </cell>
          <cell r="Z118" t="str">
            <v>좀블랑 동굴</v>
          </cell>
        </row>
        <row r="119">
          <cell r="Y119" t="str">
            <v>-</v>
          </cell>
          <cell r="Z119" t="str">
            <v>산동 동굴</v>
          </cell>
        </row>
        <row r="120">
          <cell r="Y120" t="str">
            <v>-</v>
          </cell>
          <cell r="Z120" t="str">
            <v>애드미럴스 아치</v>
          </cell>
        </row>
        <row r="121">
          <cell r="Y121" t="str">
            <v>-</v>
          </cell>
          <cell r="Z121" t="str">
            <v>담라타쉬 석회동굴</v>
          </cell>
        </row>
        <row r="122">
          <cell r="Y122" t="str">
            <v>-</v>
          </cell>
          <cell r="Z122" t="str">
            <v>핑갈 동굴</v>
          </cell>
        </row>
        <row r="123">
          <cell r="Y123" t="str">
            <v>-</v>
          </cell>
          <cell r="Z123" t="str">
            <v>커시드럴 동굴</v>
          </cell>
        </row>
        <row r="124">
          <cell r="Y124" t="str">
            <v>-</v>
          </cell>
          <cell r="Z124" t="str">
            <v>바다 사자 동굴</v>
          </cell>
        </row>
        <row r="125">
          <cell r="Y125" t="str">
            <v>-</v>
          </cell>
          <cell r="Z125" t="str">
            <v>부안 해식동굴</v>
          </cell>
        </row>
        <row r="126">
          <cell r="Y126" t="str">
            <v>-</v>
          </cell>
          <cell r="Z126" t="str">
            <v>아추라 동굴</v>
          </cell>
        </row>
        <row r="127">
          <cell r="Y127" t="str">
            <v>-</v>
          </cell>
          <cell r="Z127" t="str">
            <v>간몬 해식 동굴</v>
          </cell>
        </row>
        <row r="128">
          <cell r="Y128" t="str">
            <v>-</v>
          </cell>
          <cell r="Z128" t="str">
            <v>해식 동굴</v>
          </cell>
        </row>
        <row r="129">
          <cell r="Y129" t="str">
            <v>-</v>
          </cell>
          <cell r="Z129" t="str">
            <v>갠지스 삼각주</v>
          </cell>
        </row>
        <row r="130">
          <cell r="Y130" t="str">
            <v>-</v>
          </cell>
          <cell r="Z130" t="str">
            <v>나일강 삼각주</v>
          </cell>
        </row>
        <row r="131">
          <cell r="Y131" t="str">
            <v>-</v>
          </cell>
          <cell r="Z131" t="str">
            <v>나이저강 삼각주</v>
          </cell>
        </row>
        <row r="132">
          <cell r="Y132" t="str">
            <v>-</v>
          </cell>
          <cell r="Z132" t="str">
            <v>메콩삼각주</v>
          </cell>
        </row>
        <row r="133">
          <cell r="Y133" t="str">
            <v>-</v>
          </cell>
          <cell r="Z133" t="str">
            <v>아마존강 삼각주</v>
          </cell>
        </row>
        <row r="134">
          <cell r="Y134" t="str">
            <v>-</v>
          </cell>
          <cell r="Z134" t="str">
            <v>미시시피강 삼각주</v>
          </cell>
        </row>
        <row r="135">
          <cell r="Y135" t="str">
            <v>-</v>
          </cell>
          <cell r="Z135" t="str">
            <v>황허 삼각주</v>
          </cell>
        </row>
        <row r="136">
          <cell r="Y136" t="str">
            <v>-</v>
          </cell>
          <cell r="Z136" t="str">
            <v>그레이트 블루홀</v>
          </cell>
        </row>
        <row r="137">
          <cell r="Y137" t="str">
            <v>-</v>
          </cell>
          <cell r="Z137" t="str">
            <v>스란다 블루홀</v>
          </cell>
        </row>
        <row r="138">
          <cell r="Y138" t="str">
            <v>-</v>
          </cell>
          <cell r="Z138" t="str">
            <v>룽둥 블루홀</v>
          </cell>
        </row>
        <row r="139">
          <cell r="Y139" t="str">
            <v>-</v>
          </cell>
          <cell r="Z139" t="str">
            <v>딘즈 블루홀</v>
          </cell>
        </row>
        <row r="140">
          <cell r="Y140" t="str">
            <v>-</v>
          </cell>
          <cell r="Z140"/>
        </row>
        <row r="141">
          <cell r="Y141" t="str">
            <v>-</v>
          </cell>
          <cell r="Z141"/>
        </row>
        <row r="142">
          <cell r="Y142" t="str">
            <v>-</v>
          </cell>
          <cell r="Z142"/>
        </row>
        <row r="143">
          <cell r="Y143" t="str">
            <v>-</v>
          </cell>
          <cell r="Z143"/>
        </row>
        <row r="144">
          <cell r="Y144" t="str">
            <v>-</v>
          </cell>
          <cell r="Z144"/>
        </row>
        <row r="145">
          <cell r="Y145" t="str">
            <v>-</v>
          </cell>
          <cell r="Z145"/>
        </row>
        <row r="146">
          <cell r="Y146" t="str">
            <v>-</v>
          </cell>
          <cell r="Z146"/>
        </row>
        <row r="147">
          <cell r="Y147" t="str">
            <v>-</v>
          </cell>
          <cell r="Z147"/>
        </row>
        <row r="148">
          <cell r="Y148" t="str">
            <v>-</v>
          </cell>
          <cell r="Z148"/>
        </row>
        <row r="149">
          <cell r="Y149" t="str">
            <v>-</v>
          </cell>
          <cell r="Z149"/>
        </row>
        <row r="150">
          <cell r="Y150" t="str">
            <v>-</v>
          </cell>
          <cell r="Z150"/>
        </row>
        <row r="151">
          <cell r="Y151" t="str">
            <v>-</v>
          </cell>
          <cell r="Z151"/>
        </row>
        <row r="152">
          <cell r="Y152" t="str">
            <v>-</v>
          </cell>
          <cell r="Z152"/>
        </row>
        <row r="153">
          <cell r="Y153" t="str">
            <v>-</v>
          </cell>
          <cell r="Z153" t="str">
            <v>핑크 샌드 비치</v>
          </cell>
        </row>
        <row r="154">
          <cell r="Y154" t="str">
            <v>-</v>
          </cell>
          <cell r="Z154" t="str">
            <v>파파콜레아 해변</v>
          </cell>
        </row>
        <row r="155">
          <cell r="Y155" t="str">
            <v>-</v>
          </cell>
          <cell r="Z155" t="str">
            <v>블랙 다이아몬드 비치</v>
          </cell>
        </row>
        <row r="156">
          <cell r="Y156" t="str">
            <v>-</v>
          </cell>
          <cell r="Z156" t="str">
            <v>터키인의 계단</v>
          </cell>
        </row>
        <row r="157">
          <cell r="Y157" t="str">
            <v>-</v>
          </cell>
          <cell r="Z157" t="str">
            <v>라비다 붉은 모래 해변</v>
          </cell>
        </row>
        <row r="158">
          <cell r="Y158" t="str">
            <v>-</v>
          </cell>
          <cell r="Z158" t="str">
            <v>용의 알 해변</v>
          </cell>
        </row>
        <row r="159">
          <cell r="Y159" t="str">
            <v>-</v>
          </cell>
          <cell r="Z159" t="str">
            <v>수중 폭포</v>
          </cell>
        </row>
        <row r="160">
          <cell r="Y160" t="str">
            <v>-</v>
          </cell>
          <cell r="Z160" t="str">
            <v>핑갈의 동굴</v>
          </cell>
        </row>
        <row r="161">
          <cell r="Y161" t="str">
            <v>-</v>
          </cell>
          <cell r="Z161" t="str">
            <v>쿠푸왕의 피라미드</v>
          </cell>
        </row>
        <row r="162">
          <cell r="Y162" t="str">
            <v>-</v>
          </cell>
          <cell r="Z162" t="str">
            <v>대운하</v>
          </cell>
        </row>
        <row r="163">
          <cell r="Y163" t="str">
            <v>-</v>
          </cell>
          <cell r="Z163" t="str">
            <v>만리장성</v>
          </cell>
        </row>
        <row r="164">
          <cell r="Y164" t="str">
            <v>-</v>
          </cell>
          <cell r="Z164" t="str">
            <v>호투 마투아 왕의 모아이</v>
          </cell>
        </row>
        <row r="165">
          <cell r="Y165" t="str">
            <v>-</v>
          </cell>
          <cell r="Z165" t="str">
            <v>이눅슈크</v>
          </cell>
        </row>
        <row r="166">
          <cell r="Y166" t="str">
            <v>-</v>
          </cell>
          <cell r="Z166" t="str">
            <v>하드리아누스의 성벽</v>
          </cell>
        </row>
        <row r="167">
          <cell r="Y167" t="str">
            <v>-</v>
          </cell>
          <cell r="Z167" t="str">
            <v>12사도 바위</v>
          </cell>
        </row>
        <row r="168">
          <cell r="Y168" t="str">
            <v>-</v>
          </cell>
          <cell r="Z168" t="str">
            <v>코끼리 바위</v>
          </cell>
        </row>
        <row r="169">
          <cell r="Y169" t="str">
            <v>-</v>
          </cell>
          <cell r="Z169" t="str">
            <v>무지개</v>
          </cell>
        </row>
        <row r="170">
          <cell r="Y170" t="str">
            <v>-</v>
          </cell>
          <cell r="Z170" t="str">
            <v>무지갯빛 구름</v>
          </cell>
        </row>
        <row r="171">
          <cell r="Y171" t="str">
            <v>-</v>
          </cell>
          <cell r="Z171" t="str">
            <v>블러드문</v>
          </cell>
        </row>
        <row r="172">
          <cell r="Y172" t="str">
            <v>-</v>
          </cell>
          <cell r="Z172" t="str">
            <v>월식</v>
          </cell>
        </row>
        <row r="173">
          <cell r="Y173" t="str">
            <v>-</v>
          </cell>
          <cell r="Z173" t="str">
            <v>일식</v>
          </cell>
        </row>
        <row r="174">
          <cell r="Y174" t="str">
            <v>-</v>
          </cell>
          <cell r="Z174" t="str">
            <v>구멍 구름</v>
          </cell>
        </row>
        <row r="175">
          <cell r="Y175" t="str">
            <v>-</v>
          </cell>
          <cell r="Z175" t="str">
            <v>달무리</v>
          </cell>
        </row>
        <row r="176">
          <cell r="Y176" t="str">
            <v>-</v>
          </cell>
          <cell r="Z176" t="str">
            <v>렌즈구름</v>
          </cell>
        </row>
        <row r="177">
          <cell r="Y177" t="str">
            <v>-</v>
          </cell>
          <cell r="Z177" t="str">
            <v>토네이도</v>
          </cell>
        </row>
        <row r="178">
          <cell r="Y178" t="str">
            <v>-</v>
          </cell>
          <cell r="Z178" t="str">
            <v>양형 번개</v>
          </cell>
        </row>
        <row r="179">
          <cell r="Y179" t="str">
            <v>-</v>
          </cell>
          <cell r="Z179" t="str">
            <v>카타툼보 번개</v>
          </cell>
        </row>
        <row r="180">
          <cell r="Y180" t="str">
            <v>-</v>
          </cell>
          <cell r="Z180" t="str">
            <v>해기둥</v>
          </cell>
        </row>
        <row r="181">
          <cell r="Y181" t="str">
            <v>-</v>
          </cell>
          <cell r="Z181" t="str">
            <v>화구</v>
          </cell>
        </row>
        <row r="182">
          <cell r="Y182" t="str">
            <v>-</v>
          </cell>
          <cell r="Z182" t="str">
            <v>나가 화구</v>
          </cell>
        </row>
        <row r="183">
          <cell r="Y183" t="str">
            <v>-</v>
          </cell>
          <cell r="Z183" t="str">
            <v>모닝글로리</v>
          </cell>
        </row>
        <row r="184">
          <cell r="Y184" t="str">
            <v>-</v>
          </cell>
          <cell r="Z184" t="str">
            <v>소용돌이</v>
          </cell>
        </row>
        <row r="185">
          <cell r="Y185" t="str">
            <v>-</v>
          </cell>
          <cell r="Z185" t="str">
            <v>오로라</v>
          </cell>
        </row>
        <row r="186">
          <cell r="Y186" t="str">
            <v>-</v>
          </cell>
          <cell r="Z186" t="str">
            <v>슈퍼셀</v>
          </cell>
        </row>
        <row r="187">
          <cell r="Y187" t="str">
            <v>-</v>
          </cell>
          <cell r="Z187" t="str">
            <v>나가의 화염구</v>
          </cell>
        </row>
        <row r="188">
          <cell r="Y188" t="str">
            <v>-</v>
          </cell>
          <cell r="Z188" t="str">
            <v>우박</v>
          </cell>
        </row>
        <row r="189">
          <cell r="Y189" t="str">
            <v>-</v>
          </cell>
          <cell r="Z189" t="str">
            <v>황사</v>
          </cell>
        </row>
        <row r="190">
          <cell r="Y190" t="str">
            <v>-</v>
          </cell>
          <cell r="Z190" t="str">
            <v>대혜성</v>
          </cell>
        </row>
        <row r="191">
          <cell r="Y191" t="str">
            <v>-</v>
          </cell>
          <cell r="Z191" t="str">
            <v>북극성</v>
          </cell>
        </row>
        <row r="192">
          <cell r="Y192" t="str">
            <v>-</v>
          </cell>
          <cell r="Z192" t="str">
            <v>케플러의 신성</v>
          </cell>
        </row>
        <row r="193">
          <cell r="Y193" t="str">
            <v>-</v>
          </cell>
          <cell r="Z193" t="str">
            <v>거문고자리 유성군</v>
          </cell>
        </row>
        <row r="194">
          <cell r="Y194" t="str">
            <v>-</v>
          </cell>
          <cell r="Z194" t="str">
            <v>겨울의 대삼각형</v>
          </cell>
        </row>
        <row r="195">
          <cell r="Y195" t="str">
            <v>-</v>
          </cell>
          <cell r="Z195" t="str">
            <v>금성의 영휴</v>
          </cell>
        </row>
        <row r="196">
          <cell r="Y196" t="str">
            <v>-</v>
          </cell>
          <cell r="Z196" t="str">
            <v>물병자리 유성우</v>
          </cell>
        </row>
        <row r="197">
          <cell r="Y197" t="str">
            <v>-</v>
          </cell>
          <cell r="Z197" t="str">
            <v>시리우스</v>
          </cell>
        </row>
        <row r="198">
          <cell r="Y198" t="str">
            <v>-</v>
          </cell>
          <cell r="Z198" t="str">
            <v>여름의 대삼각형</v>
          </cell>
        </row>
        <row r="199">
          <cell r="Y199" t="str">
            <v>-</v>
          </cell>
          <cell r="Z199" t="str">
            <v>오리온자리 유성우</v>
          </cell>
        </row>
        <row r="200">
          <cell r="Y200" t="str">
            <v>-</v>
          </cell>
          <cell r="Z200" t="str">
            <v>태양흑점</v>
          </cell>
        </row>
        <row r="201">
          <cell r="Y201" t="str">
            <v>-</v>
          </cell>
          <cell r="Z201" t="str">
            <v>페르세우스자리 유성군</v>
          </cell>
        </row>
        <row r="202">
          <cell r="Y202" t="str">
            <v>-</v>
          </cell>
          <cell r="Z202" t="str">
            <v>갈릴레이 위성</v>
          </cell>
        </row>
        <row r="203">
          <cell r="Y203" t="str">
            <v>-</v>
          </cell>
          <cell r="Z203" t="str">
            <v>금성</v>
          </cell>
        </row>
        <row r="204">
          <cell r="Y204" t="str">
            <v>-</v>
          </cell>
          <cell r="Z204" t="str">
            <v>목성</v>
          </cell>
        </row>
        <row r="205">
          <cell r="Y205" t="str">
            <v>-</v>
          </cell>
          <cell r="Z205" t="str">
            <v>방패자리의 산개성단</v>
          </cell>
        </row>
        <row r="206">
          <cell r="Y206" t="str">
            <v>-</v>
          </cell>
          <cell r="Z206" t="str">
            <v>수성</v>
          </cell>
        </row>
        <row r="207">
          <cell r="Y207" t="str">
            <v>-</v>
          </cell>
          <cell r="Z207" t="str">
            <v>오리온의 허리띠</v>
          </cell>
        </row>
        <row r="208">
          <cell r="Y208" t="str">
            <v>-</v>
          </cell>
          <cell r="Z208" t="str">
            <v>토성</v>
          </cell>
        </row>
        <row r="209">
          <cell r="Y209" t="str">
            <v>-</v>
          </cell>
          <cell r="Z209" t="str">
            <v>튀코 브라헤의 신성</v>
          </cell>
        </row>
        <row r="210">
          <cell r="Y210" t="str">
            <v>-</v>
          </cell>
          <cell r="Z210" t="str">
            <v>프로키온</v>
          </cell>
        </row>
        <row r="211">
          <cell r="Y211" t="str">
            <v>-</v>
          </cell>
          <cell r="Z211" t="str">
            <v>하다르</v>
          </cell>
        </row>
        <row r="212">
          <cell r="Y212" t="str">
            <v>-</v>
          </cell>
          <cell r="Z212" t="str">
            <v>화성</v>
          </cell>
        </row>
        <row r="213">
          <cell r="Y213" t="str">
            <v>-</v>
          </cell>
          <cell r="Z213" t="str">
            <v>거문고자리</v>
          </cell>
        </row>
        <row r="214">
          <cell r="Y214" t="str">
            <v>-</v>
          </cell>
          <cell r="Z214" t="str">
            <v>게자리</v>
          </cell>
        </row>
        <row r="215">
          <cell r="Y215" t="str">
            <v>-</v>
          </cell>
          <cell r="Z215" t="str">
            <v>고래자리</v>
          </cell>
        </row>
        <row r="216">
          <cell r="Y216" t="str">
            <v>-</v>
          </cell>
          <cell r="Z216" t="str">
            <v>고물자리</v>
          </cell>
        </row>
        <row r="217">
          <cell r="Y217" t="str">
            <v>-</v>
          </cell>
          <cell r="Z217" t="str">
            <v>공작자리</v>
          </cell>
        </row>
        <row r="218">
          <cell r="Y218" t="str">
            <v>-</v>
          </cell>
          <cell r="Z218" t="str">
            <v>궁수자리</v>
          </cell>
        </row>
        <row r="219">
          <cell r="Y219" t="str">
            <v>-</v>
          </cell>
          <cell r="Z219" t="str">
            <v>그물자리</v>
          </cell>
        </row>
        <row r="220">
          <cell r="Y220" t="str">
            <v>-</v>
          </cell>
          <cell r="Z220" t="str">
            <v>까마귀자리</v>
          </cell>
        </row>
        <row r="221">
          <cell r="Y221" t="str">
            <v>-</v>
          </cell>
          <cell r="Z221" t="str">
            <v>날치자리</v>
          </cell>
        </row>
        <row r="222">
          <cell r="Y222" t="str">
            <v>-</v>
          </cell>
          <cell r="Z222" t="str">
            <v>남십자자리</v>
          </cell>
        </row>
        <row r="223">
          <cell r="Y223" t="str">
            <v>-</v>
          </cell>
          <cell r="Z223" t="str">
            <v>남쪽물고기자리</v>
          </cell>
        </row>
        <row r="224">
          <cell r="Y224" t="str">
            <v>-</v>
          </cell>
          <cell r="Z224" t="str">
            <v>남쪽삼각형자리</v>
          </cell>
        </row>
        <row r="225">
          <cell r="Y225" t="str">
            <v>-</v>
          </cell>
          <cell r="Z225" t="str">
            <v>독수리자리</v>
          </cell>
        </row>
        <row r="226">
          <cell r="Y226" t="str">
            <v>-</v>
          </cell>
          <cell r="Z226" t="str">
            <v>돌고래자리</v>
          </cell>
        </row>
        <row r="227">
          <cell r="Y227" t="str">
            <v>-</v>
          </cell>
          <cell r="Z227" t="str">
            <v>돛자리</v>
          </cell>
        </row>
        <row r="228">
          <cell r="Y228" t="str">
            <v>-</v>
          </cell>
          <cell r="Z228" t="str">
            <v>두루미자리</v>
          </cell>
        </row>
        <row r="229">
          <cell r="Y229" t="str">
            <v>-</v>
          </cell>
          <cell r="Z229" t="str">
            <v>마차부자리</v>
          </cell>
        </row>
        <row r="230">
          <cell r="Y230" t="str">
            <v>-</v>
          </cell>
          <cell r="Z230" t="str">
            <v>머리털자리</v>
          </cell>
        </row>
        <row r="231">
          <cell r="Y231" t="str">
            <v>-</v>
          </cell>
          <cell r="Z231" t="str">
            <v>목동자리</v>
          </cell>
        </row>
        <row r="232">
          <cell r="Y232" t="str">
            <v>-</v>
          </cell>
          <cell r="Z232" t="str">
            <v>물고기자리</v>
          </cell>
        </row>
        <row r="233">
          <cell r="Y233" t="str">
            <v>-</v>
          </cell>
          <cell r="Z233" t="str">
            <v>물병자리</v>
          </cell>
        </row>
        <row r="234">
          <cell r="Y234" t="str">
            <v>-</v>
          </cell>
          <cell r="Z234" t="str">
            <v>바다뱀자리</v>
          </cell>
        </row>
        <row r="235">
          <cell r="Y235" t="str">
            <v>-</v>
          </cell>
          <cell r="Z235" t="str">
            <v>방패자리</v>
          </cell>
        </row>
        <row r="236">
          <cell r="Y236" t="str">
            <v>-</v>
          </cell>
          <cell r="Z236" t="str">
            <v>백조자리</v>
          </cell>
        </row>
        <row r="237">
          <cell r="Y237" t="str">
            <v>-</v>
          </cell>
          <cell r="Z237" t="str">
            <v>뱀주인자리</v>
          </cell>
        </row>
        <row r="238">
          <cell r="Y238" t="str">
            <v>-</v>
          </cell>
          <cell r="Z238" t="str">
            <v>봄의 대삼각형</v>
          </cell>
        </row>
        <row r="239">
          <cell r="Y239" t="str">
            <v>-</v>
          </cell>
          <cell r="Z239" t="str">
            <v>북쪽왕관자리</v>
          </cell>
        </row>
        <row r="240">
          <cell r="Y240" t="str">
            <v>-</v>
          </cell>
          <cell r="Z240" t="str">
            <v>사냥개자리</v>
          </cell>
        </row>
        <row r="241">
          <cell r="Y241" t="str">
            <v>-</v>
          </cell>
          <cell r="Z241" t="str">
            <v>사자자리</v>
          </cell>
        </row>
        <row r="242">
          <cell r="Y242" t="str">
            <v>-</v>
          </cell>
          <cell r="Z242" t="str">
            <v>삼각형자리</v>
          </cell>
        </row>
        <row r="243">
          <cell r="Y243" t="str">
            <v>-</v>
          </cell>
          <cell r="Z243" t="str">
            <v>쌍둥이자리</v>
          </cell>
        </row>
        <row r="244">
          <cell r="Y244" t="str">
            <v>-</v>
          </cell>
          <cell r="Z244" t="str">
            <v>안드로메다자리</v>
          </cell>
        </row>
        <row r="245">
          <cell r="Y245" t="str">
            <v>-</v>
          </cell>
          <cell r="Z245" t="str">
            <v>양자리</v>
          </cell>
        </row>
        <row r="246">
          <cell r="Y246" t="str">
            <v>-</v>
          </cell>
          <cell r="Z246" t="str">
            <v>에리다누스자리</v>
          </cell>
        </row>
        <row r="247">
          <cell r="Y247" t="str">
            <v>-</v>
          </cell>
          <cell r="Z247" t="str">
            <v>염소자리</v>
          </cell>
        </row>
        <row r="248">
          <cell r="Y248" t="str">
            <v>-</v>
          </cell>
          <cell r="Z248" t="str">
            <v>오리온자리</v>
          </cell>
        </row>
        <row r="249">
          <cell r="Y249" t="str">
            <v>-</v>
          </cell>
          <cell r="Z249" t="str">
            <v>외뿔소자리</v>
          </cell>
        </row>
        <row r="250">
          <cell r="Y250" t="str">
            <v>-</v>
          </cell>
          <cell r="Z250" t="str">
            <v>용골자리</v>
          </cell>
        </row>
        <row r="251">
          <cell r="Y251" t="str">
            <v>-</v>
          </cell>
          <cell r="Z251" t="str">
            <v>용자리</v>
          </cell>
        </row>
        <row r="252">
          <cell r="Y252" t="str">
            <v>-</v>
          </cell>
          <cell r="Z252" t="str">
            <v>이리자리</v>
          </cell>
        </row>
        <row r="253">
          <cell r="Y253" t="str">
            <v>-</v>
          </cell>
          <cell r="Z253" t="str">
            <v>작은개자리</v>
          </cell>
        </row>
        <row r="254">
          <cell r="Y254" t="str">
            <v>-</v>
          </cell>
          <cell r="Z254" t="str">
            <v>작은곰자리</v>
          </cell>
        </row>
        <row r="255">
          <cell r="Y255" t="str">
            <v>-</v>
          </cell>
          <cell r="Z255" t="str">
            <v>전갈자리</v>
          </cell>
        </row>
        <row r="256">
          <cell r="Y256" t="str">
            <v>-</v>
          </cell>
          <cell r="Z256" t="str">
            <v>처녀자리</v>
          </cell>
        </row>
        <row r="257">
          <cell r="Y257" t="str">
            <v>-</v>
          </cell>
          <cell r="Z257" t="str">
            <v>천칭자리</v>
          </cell>
        </row>
        <row r="258">
          <cell r="Y258" t="str">
            <v>-</v>
          </cell>
          <cell r="Z258" t="str">
            <v>카시오페이아자리</v>
          </cell>
        </row>
        <row r="259">
          <cell r="Y259" t="str">
            <v>-</v>
          </cell>
          <cell r="Z259" t="str">
            <v>컵자리</v>
          </cell>
        </row>
        <row r="260">
          <cell r="Y260" t="str">
            <v>-</v>
          </cell>
          <cell r="Z260" t="str">
            <v>케페우스자리</v>
          </cell>
        </row>
        <row r="261">
          <cell r="Y261" t="str">
            <v>-</v>
          </cell>
          <cell r="Z261" t="str">
            <v>센타우루스자리</v>
          </cell>
        </row>
        <row r="262">
          <cell r="Y262" t="str">
            <v>-</v>
          </cell>
          <cell r="Z262" t="str">
            <v>큰개자리</v>
          </cell>
        </row>
        <row r="263">
          <cell r="Y263" t="str">
            <v>-</v>
          </cell>
          <cell r="Z263" t="str">
            <v>큰곰자리</v>
          </cell>
        </row>
        <row r="264">
          <cell r="Y264" t="str">
            <v>-</v>
          </cell>
          <cell r="Z264" t="str">
            <v>타이탄</v>
          </cell>
        </row>
        <row r="265">
          <cell r="Y265" t="str">
            <v>-</v>
          </cell>
          <cell r="Z265" t="str">
            <v>페가수스자리</v>
          </cell>
        </row>
        <row r="266">
          <cell r="Y266" t="str">
            <v>-</v>
          </cell>
          <cell r="Z266" t="str">
            <v>페르세우스자리</v>
          </cell>
        </row>
        <row r="267">
          <cell r="Y267" t="str">
            <v>-</v>
          </cell>
          <cell r="Z267" t="str">
            <v>헤르쿨레스자리</v>
          </cell>
        </row>
        <row r="268">
          <cell r="Y268" t="str">
            <v>-</v>
          </cell>
          <cell r="Z268" t="str">
            <v>화살자리</v>
          </cell>
        </row>
        <row r="269">
          <cell r="Y269" t="str">
            <v>-</v>
          </cell>
          <cell r="Z269" t="str">
            <v>황소자리</v>
          </cell>
        </row>
        <row r="270">
          <cell r="Y270" t="str">
            <v>-</v>
          </cell>
          <cell r="Z270" t="str">
            <v>겨울의 다이아몬드</v>
          </cell>
        </row>
        <row r="271">
          <cell r="Y271" t="str">
            <v>-</v>
          </cell>
          <cell r="Z271" t="str">
            <v>핼리 혜성</v>
          </cell>
        </row>
        <row r="272">
          <cell r="Y272" t="str">
            <v>-</v>
          </cell>
          <cell r="Z272" t="str">
            <v>카이르완 대 모스크</v>
          </cell>
        </row>
        <row r="273">
          <cell r="Y273" t="str">
            <v>-</v>
          </cell>
          <cell r="Z273" t="str">
            <v>벨렝탑</v>
          </cell>
        </row>
        <row r="274">
          <cell r="Y274" t="str">
            <v>-</v>
          </cell>
          <cell r="Z274" t="str">
            <v>마추픽추</v>
          </cell>
        </row>
        <row r="275">
          <cell r="Y275" t="str">
            <v>-</v>
          </cell>
          <cell r="Z275" t="str">
            <v>우르</v>
          </cell>
        </row>
        <row r="276">
          <cell r="Y276" t="str">
            <v>-</v>
          </cell>
          <cell r="Z276" t="str">
            <v>페르세폴리스</v>
          </cell>
        </row>
        <row r="277">
          <cell r="Y277" t="str">
            <v>-</v>
          </cell>
          <cell r="Z277" t="str">
            <v>말위야 미나렛</v>
          </cell>
        </row>
        <row r="278">
          <cell r="Y278" t="str">
            <v>-</v>
          </cell>
          <cell r="Z278" t="str">
            <v>러산 대불</v>
          </cell>
        </row>
        <row r="279">
          <cell r="Y279" t="str">
            <v>-</v>
          </cell>
          <cell r="Z279" t="str">
            <v>메테오라</v>
          </cell>
        </row>
        <row r="280">
          <cell r="Y280" t="str">
            <v>-</v>
          </cell>
          <cell r="Z280" t="str">
            <v>경복궁</v>
          </cell>
        </row>
        <row r="281">
          <cell r="Y281" t="str">
            <v>-</v>
          </cell>
          <cell r="Z281" t="str">
            <v>보르시파</v>
          </cell>
        </row>
        <row r="282">
          <cell r="Y282" t="str">
            <v>-</v>
          </cell>
          <cell r="Z282" t="str">
            <v>보로부두르</v>
          </cell>
        </row>
        <row r="283">
          <cell r="Y283" t="str">
            <v>-</v>
          </cell>
          <cell r="Z283" t="str">
            <v>자금성</v>
          </cell>
        </row>
        <row r="284">
          <cell r="Y284" t="str">
            <v>-</v>
          </cell>
          <cell r="Z284" t="str">
            <v>천마총</v>
          </cell>
        </row>
        <row r="285">
          <cell r="Y285" t="str">
            <v>-</v>
          </cell>
          <cell r="Z285" t="str">
            <v>올림피아 유적</v>
          </cell>
        </row>
        <row r="286">
          <cell r="Y286" t="str">
            <v>-</v>
          </cell>
          <cell r="Z286" t="str">
            <v>울루루</v>
          </cell>
        </row>
        <row r="287">
          <cell r="Y287" t="str">
            <v>-</v>
          </cell>
          <cell r="Z287" t="str">
            <v>그린샌드 비치</v>
          </cell>
        </row>
        <row r="288">
          <cell r="Y288" t="str">
            <v>-</v>
          </cell>
          <cell r="Z288" t="str">
            <v>푸날루우 블랙샌드 비치</v>
          </cell>
        </row>
        <row r="289">
          <cell r="Y289" t="str">
            <v>-</v>
          </cell>
          <cell r="Z289" t="str">
            <v>앨버트산</v>
          </cell>
        </row>
        <row r="290">
          <cell r="Y290" t="str">
            <v>-</v>
          </cell>
          <cell r="Z290" t="str">
            <v>그린란드 빙상</v>
          </cell>
        </row>
        <row r="291">
          <cell r="Y291" t="str">
            <v>-</v>
          </cell>
          <cell r="Z291" t="str">
            <v>황산</v>
          </cell>
        </row>
        <row r="292">
          <cell r="Y292" t="str">
            <v>-</v>
          </cell>
          <cell r="Z292" t="str">
            <v>밸런스드 락</v>
          </cell>
        </row>
        <row r="293">
          <cell r="Y293" t="str">
            <v>-</v>
          </cell>
          <cell r="Z293" t="str">
            <v>달의 계곡</v>
          </cell>
        </row>
        <row r="294">
          <cell r="Y294" t="str">
            <v>-</v>
          </cell>
          <cell r="Z294" t="str">
            <v>스켈리그 마이클</v>
          </cell>
        </row>
        <row r="295">
          <cell r="Y295" t="str">
            <v>-</v>
          </cell>
          <cell r="Z295" t="str">
            <v>태산</v>
          </cell>
        </row>
        <row r="296">
          <cell r="Y296" t="str">
            <v>-</v>
          </cell>
          <cell r="Z296" t="str">
            <v>왓 프라시산펫</v>
          </cell>
        </row>
        <row r="297">
          <cell r="Y297" t="str">
            <v>-</v>
          </cell>
          <cell r="Z297" t="str">
            <v>슈웨다곤 파고다</v>
          </cell>
        </row>
        <row r="298">
          <cell r="Y298" t="str">
            <v>-</v>
          </cell>
          <cell r="Z298" t="str">
            <v>아즈치성</v>
          </cell>
        </row>
        <row r="299">
          <cell r="Y299" t="str">
            <v>-</v>
          </cell>
          <cell r="Z299" t="str">
            <v>카파도키아 동굴수도원</v>
          </cell>
        </row>
        <row r="300">
          <cell r="Y300" t="str">
            <v>-</v>
          </cell>
          <cell r="Z300" t="str">
            <v>파르테논 신전</v>
          </cell>
        </row>
        <row r="301">
          <cell r="Y301" t="str">
            <v>-</v>
          </cell>
          <cell r="Z301" t="str">
            <v>마니오의 거석</v>
          </cell>
        </row>
        <row r="302">
          <cell r="Y302" t="str">
            <v>-</v>
          </cell>
          <cell r="Z302" t="str">
            <v>누라게</v>
          </cell>
        </row>
        <row r="303">
          <cell r="Y303" t="str">
            <v>-</v>
          </cell>
          <cell r="Z303" t="str">
            <v>알타미라 동굴</v>
          </cell>
        </row>
        <row r="304">
          <cell r="Y304" t="str">
            <v>-</v>
          </cell>
          <cell r="Z304" t="str">
            <v>알다브라 환초</v>
          </cell>
        </row>
        <row r="305">
          <cell r="Y305" t="str">
            <v>-</v>
          </cell>
          <cell r="Z305" t="str">
            <v>악숨 석주군</v>
          </cell>
        </row>
        <row r="306">
          <cell r="Y306" t="str">
            <v>-</v>
          </cell>
          <cell r="Z306" t="str">
            <v>리스타팔렛 폭포</v>
          </cell>
        </row>
        <row r="307">
          <cell r="Y307" t="str">
            <v>-</v>
          </cell>
          <cell r="Z307" t="str">
            <v>테노치티틀란</v>
          </cell>
        </row>
        <row r="308">
          <cell r="Y308" t="str">
            <v>-</v>
          </cell>
          <cell r="Z308" t="str">
            <v>콜로세움</v>
          </cell>
        </row>
        <row r="309">
          <cell r="Y309" t="str">
            <v>-</v>
          </cell>
          <cell r="Z309" t="str">
            <v>보링 포센</v>
          </cell>
        </row>
        <row r="310">
          <cell r="Y310" t="str">
            <v>-</v>
          </cell>
          <cell r="Z310" t="str">
            <v>에러버스 산</v>
          </cell>
        </row>
        <row r="311">
          <cell r="Y311" t="str">
            <v>-</v>
          </cell>
          <cell r="Z311" t="str">
            <v>시들리 산</v>
          </cell>
        </row>
        <row r="312">
          <cell r="Y312" t="str">
            <v>-</v>
          </cell>
          <cell r="Z312" t="str">
            <v>신비한 장벽</v>
          </cell>
        </row>
        <row r="313">
          <cell r="Y313" t="str">
            <v>-</v>
          </cell>
        </row>
        <row r="314">
          <cell r="Y314" t="str">
            <v>-</v>
          </cell>
        </row>
        <row r="315">
          <cell r="Y315" t="str">
            <v>-</v>
          </cell>
        </row>
        <row r="316">
          <cell r="Y316" t="str">
            <v>-</v>
          </cell>
        </row>
        <row r="317">
          <cell r="Y317" t="str">
            <v>-</v>
          </cell>
        </row>
        <row r="318">
          <cell r="Y318" t="str">
            <v>-</v>
          </cell>
        </row>
        <row r="319">
          <cell r="Y319" t="str">
            <v>-</v>
          </cell>
        </row>
        <row r="320">
          <cell r="Y320" t="str">
            <v>-</v>
          </cell>
        </row>
        <row r="321">
          <cell r="Y321" t="str">
            <v>-</v>
          </cell>
        </row>
        <row r="322">
          <cell r="Y322" t="str">
            <v>-</v>
          </cell>
        </row>
        <row r="323">
          <cell r="Y323" t="str">
            <v>-</v>
          </cell>
        </row>
        <row r="324">
          <cell r="Y324" t="str">
            <v>-</v>
          </cell>
        </row>
        <row r="325">
          <cell r="Y325" t="str">
            <v>-</v>
          </cell>
        </row>
        <row r="326">
          <cell r="Y326" t="str">
            <v>-</v>
          </cell>
        </row>
        <row r="327">
          <cell r="Y327" t="str">
            <v>-</v>
          </cell>
        </row>
        <row r="328">
          <cell r="Y328" t="str">
            <v>-</v>
          </cell>
        </row>
        <row r="329">
          <cell r="Y329" t="str">
            <v>-</v>
          </cell>
        </row>
        <row r="330">
          <cell r="Y330" t="str">
            <v>-</v>
          </cell>
        </row>
        <row r="331">
          <cell r="Y331" t="str">
            <v>-</v>
          </cell>
        </row>
        <row r="332">
          <cell r="Y332" t="str">
            <v>-</v>
          </cell>
        </row>
        <row r="333">
          <cell r="Y333" t="str">
            <v>-</v>
          </cell>
        </row>
        <row r="334">
          <cell r="Y334" t="str">
            <v>-</v>
          </cell>
        </row>
        <row r="335">
          <cell r="Y335" t="str">
            <v>-</v>
          </cell>
        </row>
        <row r="336">
          <cell r="Y336" t="str">
            <v>-</v>
          </cell>
        </row>
        <row r="337">
          <cell r="Y337" t="str">
            <v>-</v>
          </cell>
        </row>
        <row r="338">
          <cell r="Y338" t="str">
            <v>-</v>
          </cell>
        </row>
        <row r="339">
          <cell r="Y339"/>
        </row>
      </sheetData>
      <sheetData sheetId="26"/>
      <sheetData sheetId="27">
        <row r="1">
          <cell r="A1" t="str">
            <v>id</v>
          </cell>
        </row>
      </sheetData>
      <sheetData sheetId="28"/>
      <sheetData sheetId="29"/>
      <sheetData sheetId="30"/>
      <sheetData sheetId="31"/>
      <sheetData sheetId="32"/>
      <sheetData sheetId="33">
        <row r="1">
          <cell r="A1" t="str">
            <v>id</v>
          </cell>
        </row>
      </sheetData>
      <sheetData sheetId="34">
        <row r="1">
          <cell r="A1" t="str">
            <v>id</v>
          </cell>
        </row>
      </sheetData>
      <sheetData sheetId="35"/>
      <sheetData sheetId="36"/>
      <sheetData sheetId="37"/>
      <sheetData sheetId="38">
        <row r="1">
          <cell r="A1" t="str">
            <v>id</v>
          </cell>
        </row>
      </sheetData>
      <sheetData sheetId="39"/>
      <sheetData sheetId="40"/>
      <sheetData sheetId="41"/>
      <sheetData sheetId="42"/>
      <sheetData sheetId="43"/>
      <sheetData sheetId="44"/>
      <sheetData sheetId="45">
        <row r="1">
          <cell r="A1" t="str">
            <v>id</v>
          </cell>
        </row>
      </sheetData>
      <sheetData sheetId="46">
        <row r="1">
          <cell r="A1" t="str">
            <v>id</v>
          </cell>
          <cell r="B1" t="str">
            <v>name</v>
          </cell>
        </row>
        <row r="2">
          <cell r="B2" t="str">
            <v>text</v>
          </cell>
        </row>
        <row r="3">
          <cell r="B3">
            <v>1</v>
          </cell>
        </row>
        <row r="4">
          <cell r="B4" t="str">
            <v>-</v>
          </cell>
        </row>
        <row r="5">
          <cell r="B5" t="str">
            <v>-</v>
          </cell>
        </row>
        <row r="6">
          <cell r="B6" t="str">
            <v>-</v>
          </cell>
        </row>
        <row r="7">
          <cell r="B7" t="str">
            <v>-</v>
          </cell>
        </row>
        <row r="8">
          <cell r="B8" t="str">
            <v>리스보아</v>
          </cell>
        </row>
        <row r="9">
          <cell r="B9" t="str">
            <v>세비야</v>
          </cell>
        </row>
        <row r="10">
          <cell r="B10" t="str">
            <v>포르투</v>
          </cell>
        </row>
        <row r="11">
          <cell r="B11" t="str">
            <v>칸디아</v>
          </cell>
        </row>
        <row r="12">
          <cell r="B12" t="str">
            <v>고아</v>
          </cell>
        </row>
        <row r="13">
          <cell r="B13" t="str">
            <v>과테말라</v>
          </cell>
        </row>
        <row r="14">
          <cell r="B14" t="str">
            <v>하갓냐</v>
          </cell>
        </row>
        <row r="15">
          <cell r="B15" t="str">
            <v>사우스사이드</v>
          </cell>
        </row>
        <row r="16">
          <cell r="B16" t="str">
            <v>흐로닝언</v>
          </cell>
        </row>
        <row r="17">
          <cell r="B17" t="str">
            <v>나가사키</v>
          </cell>
        </row>
        <row r="18">
          <cell r="B18" t="str">
            <v>나르비크</v>
          </cell>
        </row>
        <row r="19">
          <cell r="B19" t="str">
            <v>나사우</v>
          </cell>
        </row>
        <row r="20">
          <cell r="B20" t="str">
            <v>나탈</v>
          </cell>
        </row>
        <row r="21">
          <cell r="B21" t="str">
            <v>나폴리</v>
          </cell>
        </row>
        <row r="22">
          <cell r="B22" t="str">
            <v>낭트</v>
          </cell>
        </row>
        <row r="23">
          <cell r="B23" t="str">
            <v>누탁</v>
          </cell>
        </row>
        <row r="24">
          <cell r="B24" t="str">
            <v>레프코샤</v>
          </cell>
        </row>
        <row r="25">
          <cell r="B25" t="str">
            <v>다바오</v>
          </cell>
        </row>
        <row r="26">
          <cell r="B26" t="str">
            <v>호베</v>
          </cell>
        </row>
        <row r="27">
          <cell r="B27" t="str">
            <v>그단스크</v>
          </cell>
        </row>
        <row r="28">
          <cell r="B28" t="str">
            <v>두블린</v>
          </cell>
        </row>
        <row r="29">
          <cell r="B29" t="str">
            <v>도버</v>
          </cell>
        </row>
        <row r="30">
          <cell r="B30" t="str">
            <v>도파르</v>
          </cell>
        </row>
        <row r="31">
          <cell r="B31" t="str">
            <v>두알라</v>
          </cell>
        </row>
        <row r="32">
          <cell r="B32" t="str">
            <v>디우</v>
          </cell>
        </row>
        <row r="33">
          <cell r="B33" t="str">
            <v>딕손</v>
          </cell>
        </row>
        <row r="34">
          <cell r="B34" t="str">
            <v>딜리</v>
          </cell>
        </row>
        <row r="35">
          <cell r="B35" t="str">
            <v>라구사</v>
          </cell>
        </row>
        <row r="36">
          <cell r="B36" t="str">
            <v>라스팔마스</v>
          </cell>
        </row>
        <row r="37">
          <cell r="B37" t="str">
            <v>런던</v>
          </cell>
        </row>
        <row r="38">
          <cell r="B38" t="str">
            <v>롭부리</v>
          </cell>
        </row>
        <row r="39">
          <cell r="B39" t="str">
            <v>소팔라</v>
          </cell>
        </row>
        <row r="40">
          <cell r="B40" t="str">
            <v>덕원</v>
          </cell>
        </row>
        <row r="41">
          <cell r="B41" t="str">
            <v>뤼베크</v>
          </cell>
        </row>
        <row r="42">
          <cell r="B42" t="str">
            <v>리가</v>
          </cell>
        </row>
        <row r="43">
          <cell r="B43" t="str">
            <v>리마</v>
          </cell>
        </row>
        <row r="44">
          <cell r="B44" t="str">
            <v>리우데자네이루</v>
          </cell>
        </row>
        <row r="45">
          <cell r="B45" t="str">
            <v>마닐라</v>
          </cell>
        </row>
        <row r="46">
          <cell r="B46" t="str">
            <v>푼샬</v>
          </cell>
        </row>
        <row r="47">
          <cell r="B47" t="str">
            <v>마라카이보</v>
          </cell>
        </row>
        <row r="48">
          <cell r="B48" t="str">
            <v>포를라마르</v>
          </cell>
        </row>
        <row r="49">
          <cell r="B49" t="str">
            <v>마르세유</v>
          </cell>
        </row>
        <row r="50">
          <cell r="B50" t="str">
            <v>마사와</v>
          </cell>
        </row>
        <row r="51">
          <cell r="B51" t="str">
            <v>마실리파트남</v>
          </cell>
        </row>
        <row r="52">
          <cell r="B52" t="str">
            <v>마카사르</v>
          </cell>
        </row>
        <row r="53">
          <cell r="B53" t="str">
            <v>마카오</v>
          </cell>
        </row>
        <row r="54">
          <cell r="B54" t="str">
            <v>말라가</v>
          </cell>
        </row>
        <row r="55">
          <cell r="B55" t="str">
            <v>믈라카</v>
          </cell>
        </row>
        <row r="56">
          <cell r="B56" t="str">
            <v>카리비브</v>
          </cell>
        </row>
        <row r="57">
          <cell r="B57" t="str">
            <v>메리다</v>
          </cell>
        </row>
        <row r="58">
          <cell r="B58" t="str">
            <v>이카파</v>
          </cell>
        </row>
        <row r="59">
          <cell r="B59" t="str">
            <v>칼리마니</v>
          </cell>
        </row>
        <row r="60">
          <cell r="B60" t="str">
            <v>말린디</v>
          </cell>
        </row>
        <row r="61">
          <cell r="B61" t="str">
            <v>몽펠리에</v>
          </cell>
        </row>
        <row r="62">
          <cell r="B62" t="str">
            <v>마스카트</v>
          </cell>
        </row>
        <row r="63">
          <cell r="B63" t="str">
            <v>바르셀로나</v>
          </cell>
        </row>
        <row r="64">
          <cell r="B64" t="str">
            <v>배서스트</v>
          </cell>
        </row>
        <row r="65">
          <cell r="B65" t="str">
            <v>알바스라</v>
          </cell>
        </row>
        <row r="66">
          <cell r="B66" t="str">
            <v>바이아</v>
          </cell>
        </row>
        <row r="67">
          <cell r="B67" t="str">
            <v>반다</v>
          </cell>
        </row>
        <row r="68">
          <cell r="B68" t="str">
            <v>반자르마신</v>
          </cell>
        </row>
        <row r="69">
          <cell r="B69" t="str">
            <v>발렌시아</v>
          </cell>
        </row>
        <row r="70">
          <cell r="B70" t="str">
            <v>발파라이소</v>
          </cell>
        </row>
        <row r="71">
          <cell r="B71" t="str">
            <v>팡칼피낭</v>
          </cell>
        </row>
        <row r="72">
          <cell r="B72" t="str">
            <v>배로우</v>
          </cell>
        </row>
        <row r="73">
          <cell r="B73" t="str">
            <v>베냉</v>
          </cell>
        </row>
        <row r="74">
          <cell r="B74" t="str">
            <v>베네치아</v>
          </cell>
        </row>
        <row r="75">
          <cell r="B75" t="str">
            <v>베라크루스</v>
          </cell>
        </row>
        <row r="76">
          <cell r="B76" t="str">
            <v>베르겐</v>
          </cell>
        </row>
        <row r="77">
          <cell r="B77" t="str">
            <v>베이루트</v>
          </cell>
        </row>
        <row r="78">
          <cell r="B78" t="str">
            <v>벵가지</v>
          </cell>
        </row>
        <row r="79">
          <cell r="B79" t="str">
            <v>무크디쇼</v>
          </cell>
        </row>
        <row r="80">
          <cell r="B80" t="str">
            <v>보르도</v>
          </cell>
        </row>
        <row r="81">
          <cell r="B81" t="str">
            <v>코하셋</v>
          </cell>
        </row>
        <row r="82">
          <cell r="B82" t="str">
            <v>동래</v>
          </cell>
        </row>
        <row r="83">
          <cell r="B83" t="str">
            <v>부에노스아이레스</v>
          </cell>
        </row>
        <row r="84">
          <cell r="B84" t="str">
            <v>북경</v>
          </cell>
        </row>
        <row r="85">
          <cell r="B85" t="str">
            <v>브레멘</v>
          </cell>
        </row>
        <row r="86">
          <cell r="B86" t="str">
            <v>브루네이</v>
          </cell>
        </row>
        <row r="87">
          <cell r="B87" t="str">
            <v>브리스틀</v>
          </cell>
        </row>
        <row r="88">
          <cell r="B88" t="str">
            <v>비사우</v>
          </cell>
        </row>
        <row r="89">
          <cell r="B89" t="str">
            <v>비스뷔</v>
          </cell>
        </row>
        <row r="90">
          <cell r="B90" t="str">
            <v>사마라이</v>
          </cell>
        </row>
        <row r="91">
          <cell r="B91" t="str">
            <v>사사리</v>
          </cell>
        </row>
        <row r="92">
          <cell r="B92" t="str">
            <v>사카이</v>
          </cell>
        </row>
        <row r="93">
          <cell r="B93" t="str">
            <v>산토도밍고</v>
          </cell>
        </row>
        <row r="94">
          <cell r="B94" t="str">
            <v>산티아고</v>
          </cell>
        </row>
        <row r="95">
          <cell r="B95" t="str">
            <v>산후안</v>
          </cell>
        </row>
        <row r="96">
          <cell r="B96" t="str">
            <v>테살로니키</v>
          </cell>
        </row>
        <row r="97">
          <cell r="B97" t="str">
            <v>상토메</v>
          </cell>
        </row>
        <row r="98">
          <cell r="B98" t="str">
            <v>상트페테르부르크</v>
          </cell>
        </row>
        <row r="99">
          <cell r="B99" t="str">
            <v>오흘론</v>
          </cell>
        </row>
        <row r="100">
          <cell r="B100" t="str">
            <v>바르나</v>
          </cell>
        </row>
        <row r="101">
          <cell r="B101" t="str">
            <v>세우타</v>
          </cell>
        </row>
        <row r="102">
          <cell r="B102" t="str">
            <v>엘미나</v>
          </cell>
        </row>
        <row r="103">
          <cell r="B103" t="str">
            <v>하디보</v>
          </cell>
        </row>
        <row r="104">
          <cell r="B104" t="str">
            <v>모삼비크</v>
          </cell>
        </row>
        <row r="105">
          <cell r="B105" t="str">
            <v>수라바야</v>
          </cell>
        </row>
        <row r="106">
          <cell r="B106" t="str">
            <v>앗수웨이스</v>
          </cell>
        </row>
        <row r="107">
          <cell r="B107" t="str">
            <v>스톡홀름</v>
          </cell>
        </row>
        <row r="108">
          <cell r="B108" t="str">
            <v>시라쿠자</v>
          </cell>
        </row>
        <row r="109">
          <cell r="B109" t="str">
            <v>시라즈</v>
          </cell>
        </row>
        <row r="110">
          <cell r="B110" t="str">
            <v>시에라리온</v>
          </cell>
        </row>
        <row r="111">
          <cell r="B111" t="str">
            <v>코테</v>
          </cell>
        </row>
        <row r="112">
          <cell r="B112" t="str">
            <v>아딘</v>
          </cell>
        </row>
        <row r="113">
          <cell r="B113" t="str">
            <v>아르김</v>
          </cell>
        </row>
        <row r="114">
          <cell r="B114" t="str">
            <v>아르한겔스크</v>
          </cell>
        </row>
        <row r="115">
          <cell r="B115" t="str">
            <v>아비장</v>
          </cell>
        </row>
        <row r="116">
          <cell r="B116" t="str">
            <v>폰타델가다</v>
          </cell>
        </row>
        <row r="117">
          <cell r="B117" t="str">
            <v>아체</v>
          </cell>
        </row>
        <row r="118">
          <cell r="B118" t="str">
            <v>아카풀코</v>
          </cell>
        </row>
        <row r="119">
          <cell r="B119" t="str">
            <v>아티나</v>
          </cell>
        </row>
        <row r="120">
          <cell r="B120" t="str">
            <v>안코나</v>
          </cell>
        </row>
        <row r="121">
          <cell r="B121" t="str">
            <v>타이난</v>
          </cell>
        </row>
        <row r="122">
          <cell r="B122" t="str">
            <v>알이스칸다리야</v>
          </cell>
        </row>
        <row r="123">
          <cell r="B123" t="str">
            <v>알제</v>
          </cell>
        </row>
        <row r="124">
          <cell r="B124" t="str">
            <v>암본</v>
          </cell>
        </row>
        <row r="125">
          <cell r="B125" t="str">
            <v>암스테르담</v>
          </cell>
        </row>
        <row r="126">
          <cell r="B126" t="str">
            <v>안트베르펜</v>
          </cell>
        </row>
        <row r="127">
          <cell r="B127" t="str">
            <v>야파</v>
          </cell>
        </row>
        <row r="128">
          <cell r="B128" t="str">
            <v>어널래스카</v>
          </cell>
        </row>
        <row r="129">
          <cell r="B129" t="str">
            <v>에도</v>
          </cell>
        </row>
        <row r="130">
          <cell r="B130" t="str">
            <v>에든버러</v>
          </cell>
        </row>
        <row r="131">
          <cell r="B131" t="str">
            <v>오데사</v>
          </cell>
        </row>
        <row r="132">
          <cell r="B132" t="str">
            <v>오슬로</v>
          </cell>
        </row>
        <row r="133">
          <cell r="B133" t="str">
            <v>왕거누이</v>
          </cell>
        </row>
        <row r="134">
          <cell r="B134" t="str">
            <v>우수아이아</v>
          </cell>
        </row>
        <row r="135">
          <cell r="B135" t="str">
            <v>연운</v>
          </cell>
        </row>
        <row r="136">
          <cell r="B136" t="str">
            <v>빌렘스타트</v>
          </cell>
        </row>
        <row r="137">
          <cell r="B137" t="str">
            <v>코스탄티니예</v>
          </cell>
        </row>
        <row r="138">
          <cell r="B138" t="str">
            <v>자라</v>
          </cell>
        </row>
        <row r="139">
          <cell r="B139" t="str">
            <v>포트로열</v>
          </cell>
        </row>
        <row r="140">
          <cell r="B140" t="str">
            <v>자야카르타</v>
          </cell>
        </row>
        <row r="141">
          <cell r="B141" t="str">
            <v>만바사</v>
          </cell>
        </row>
        <row r="142">
          <cell r="B142" t="str">
            <v>서안</v>
          </cell>
        </row>
        <row r="143">
          <cell r="B143" t="str">
            <v>제노바</v>
          </cell>
        </row>
        <row r="144">
          <cell r="B144" t="str">
            <v>지다</v>
          </cell>
        </row>
        <row r="145">
          <cell r="B145" t="str">
            <v>중경</v>
          </cell>
        </row>
        <row r="146">
          <cell r="B146" t="str">
            <v>프레이노코르</v>
          </cell>
        </row>
        <row r="147">
          <cell r="B147" t="str">
            <v>천주</v>
          </cell>
        </row>
        <row r="148">
          <cell r="B148" t="str">
            <v>카라카스</v>
          </cell>
        </row>
        <row r="149">
          <cell r="B149" t="str">
            <v>카르타헤나</v>
          </cell>
        </row>
        <row r="150">
          <cell r="B150" t="str">
            <v>잔지바르</v>
          </cell>
        </row>
        <row r="151">
          <cell r="B151" t="str">
            <v>프라이아</v>
          </cell>
        </row>
        <row r="152">
          <cell r="B152" t="str">
            <v>카사블랑카</v>
          </cell>
        </row>
        <row r="153">
          <cell r="B153" t="str">
            <v>카옌</v>
          </cell>
        </row>
        <row r="154">
          <cell r="B154" t="str">
            <v>알카히라</v>
          </cell>
        </row>
        <row r="155">
          <cell r="B155" t="str">
            <v>카카투와</v>
          </cell>
        </row>
        <row r="156">
          <cell r="B156" t="str">
            <v>알비다</v>
          </cell>
        </row>
        <row r="157">
          <cell r="B157" t="str">
            <v>케르치</v>
          </cell>
        </row>
        <row r="158">
          <cell r="B158" t="str">
            <v>칼레</v>
          </cell>
        </row>
        <row r="159">
          <cell r="B159" t="str">
            <v>칼리아리</v>
          </cell>
        </row>
        <row r="160">
          <cell r="B160" t="str">
            <v>칼비</v>
          </cell>
        </row>
        <row r="161">
          <cell r="B161" t="str">
            <v>코지코드</v>
          </cell>
        </row>
        <row r="162">
          <cell r="B162" t="str">
            <v>콜카타</v>
          </cell>
        </row>
        <row r="163">
          <cell r="B163" t="str">
            <v>킬와</v>
          </cell>
        </row>
        <row r="164">
          <cell r="B164" t="str">
            <v>토아마시나</v>
          </cell>
        </row>
        <row r="165">
          <cell r="B165" t="str">
            <v>고치</v>
          </cell>
        </row>
        <row r="166">
          <cell r="B166" t="str">
            <v>코콜라</v>
          </cell>
        </row>
        <row r="167">
          <cell r="B167" t="str">
            <v>쾨벤하운</v>
          </cell>
        </row>
        <row r="168">
          <cell r="B168" t="str">
            <v>코피아포</v>
          </cell>
        </row>
        <row r="169">
          <cell r="B169" t="str">
            <v>가리</v>
          </cell>
        </row>
        <row r="170">
          <cell r="B170" t="str">
            <v>쿠칭</v>
          </cell>
        </row>
        <row r="171">
          <cell r="B171" t="str">
            <v>루안다</v>
          </cell>
        </row>
        <row r="172">
          <cell r="B172" t="str">
            <v>타간로크</v>
          </cell>
        </row>
        <row r="173">
          <cell r="B173" t="str">
            <v>벵겔라</v>
          </cell>
        </row>
        <row r="174">
          <cell r="B174" t="str">
            <v>테르나테</v>
          </cell>
        </row>
        <row r="175">
          <cell r="B175" t="str">
            <v>툼베스</v>
          </cell>
        </row>
        <row r="176">
          <cell r="B176" t="str">
            <v>투니스</v>
          </cell>
        </row>
        <row r="177">
          <cell r="B177" t="str">
            <v>트라브존</v>
          </cell>
        </row>
        <row r="178">
          <cell r="B178" t="str">
            <v>트루히요</v>
          </cell>
        </row>
        <row r="179">
          <cell r="B179" t="str">
            <v>트리에스테</v>
          </cell>
        </row>
        <row r="180">
          <cell r="B180" t="str">
            <v>타라불루스</v>
          </cell>
        </row>
        <row r="181">
          <cell r="B181" t="str">
            <v>카탄가</v>
          </cell>
        </row>
        <row r="182">
          <cell r="B182" t="str">
            <v>팀북투</v>
          </cell>
        </row>
        <row r="183">
          <cell r="B183" t="str">
            <v>파나마</v>
          </cell>
        </row>
        <row r="184">
          <cell r="B184" t="str">
            <v>파루</v>
          </cell>
        </row>
        <row r="185">
          <cell r="B185" t="str">
            <v>안탈리아</v>
          </cell>
        </row>
        <row r="186">
          <cell r="B186" t="str">
            <v>파사이</v>
          </cell>
        </row>
        <row r="187">
          <cell r="B187" t="str">
            <v>팔렘방</v>
          </cell>
        </row>
        <row r="188">
          <cell r="B188" t="str">
            <v>팔마</v>
          </cell>
        </row>
        <row r="189">
          <cell r="B189" t="str">
            <v>페구</v>
          </cell>
        </row>
        <row r="190">
          <cell r="B190" t="str">
            <v>페르남부쿠</v>
          </cell>
        </row>
        <row r="191">
          <cell r="B191" t="str">
            <v>코르프</v>
          </cell>
        </row>
        <row r="192">
          <cell r="B192" t="str">
            <v>포르토벨로</v>
          </cell>
        </row>
        <row r="193">
          <cell r="B193" t="str">
            <v>아비앗</v>
          </cell>
        </row>
        <row r="194">
          <cell r="B194" t="str">
            <v>영일</v>
          </cell>
        </row>
        <row r="195">
          <cell r="B195" t="str">
            <v>판디체리</v>
          </cell>
        </row>
        <row r="196">
          <cell r="B196" t="str">
            <v>플리머스</v>
          </cell>
        </row>
        <row r="197">
          <cell r="B197" t="str">
            <v>피사</v>
          </cell>
        </row>
        <row r="198">
          <cell r="B198" t="str">
            <v>핀자라</v>
          </cell>
        </row>
        <row r="199">
          <cell r="B199" t="str">
            <v>하노이</v>
          </cell>
        </row>
        <row r="200">
          <cell r="B200" t="str">
            <v>아바나</v>
          </cell>
        </row>
        <row r="201">
          <cell r="B201" t="str">
            <v>호놀룰루</v>
          </cell>
        </row>
        <row r="202">
          <cell r="B202" t="str">
            <v>한양</v>
          </cell>
        </row>
        <row r="203">
          <cell r="B203" t="str">
            <v>함부르크</v>
          </cell>
        </row>
        <row r="204">
          <cell r="B204" t="str">
            <v>항주</v>
          </cell>
        </row>
        <row r="205">
          <cell r="B205" t="str">
            <v>덴헬데르</v>
          </cell>
        </row>
        <row r="206">
          <cell r="B206" t="str">
            <v>하라무즈</v>
          </cell>
        </row>
        <row r="207">
          <cell r="B207" t="str">
            <v>호바톤</v>
          </cell>
        </row>
        <row r="208">
          <cell r="B208" t="str">
            <v>홀로</v>
          </cell>
        </row>
        <row r="209">
          <cell r="B209" t="str">
            <v>아투오나</v>
          </cell>
        </row>
        <row r="210">
          <cell r="B210" t="str">
            <v>히혼</v>
          </cell>
        </row>
        <row r="211">
          <cell r="B211" t="str">
            <v>제주</v>
          </cell>
        </row>
        <row r="212">
          <cell r="B212" t="str">
            <v>마히나</v>
          </cell>
        </row>
        <row r="213">
          <cell r="B213" t="str">
            <v>수바</v>
          </cell>
        </row>
        <row r="214">
          <cell r="B214" t="str">
            <v>수이</v>
          </cell>
        </row>
        <row r="215">
          <cell r="B215" t="str">
            <v>바그다드</v>
          </cell>
        </row>
        <row r="216">
          <cell r="B216" t="str">
            <v>레이캬비크</v>
          </cell>
        </row>
        <row r="217">
          <cell r="B217" t="str">
            <v>율도</v>
          </cell>
        </row>
        <row r="218">
          <cell r="B218" t="str">
            <v>보르사이드</v>
          </cell>
        </row>
        <row r="219">
          <cell r="B219" t="str">
            <v>오호츠크</v>
          </cell>
        </row>
        <row r="220">
          <cell r="B220" t="str">
            <v>체르스키</v>
          </cell>
        </row>
        <row r="221">
          <cell r="B221" t="str">
            <v>카나크</v>
          </cell>
        </row>
        <row r="222">
          <cell r="B222" t="str">
            <v>이콸룩투티악</v>
          </cell>
        </row>
        <row r="223">
          <cell r="B223" t="str">
            <v>바르도</v>
          </cell>
        </row>
        <row r="224">
          <cell r="B224" t="str">
            <v>포트피리</v>
          </cell>
        </row>
        <row r="225">
          <cell r="B225" t="str">
            <v>에조</v>
          </cell>
        </row>
        <row r="226">
          <cell r="B226"/>
        </row>
      </sheetData>
      <sheetData sheetId="47"/>
      <sheetData sheetId="48"/>
      <sheetData sheetId="49">
        <row r="1">
          <cell r="A1" t="str">
            <v>id</v>
          </cell>
        </row>
      </sheetData>
      <sheetData sheetId="50"/>
      <sheetData sheetId="51">
        <row r="1">
          <cell r="A1" t="str">
            <v>id</v>
          </cell>
        </row>
      </sheetData>
      <sheetData sheetId="52"/>
      <sheetData sheetId="53"/>
      <sheetData sheetId="54">
        <row r="1">
          <cell r="A1" t="str">
            <v>id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1">
          <cell r="A1" t="str">
            <v>id</v>
          </cell>
        </row>
      </sheetData>
      <sheetData sheetId="67"/>
      <sheetData sheetId="68"/>
      <sheetData sheetId="69"/>
      <sheetData sheetId="70"/>
      <sheetData sheetId="71"/>
      <sheetData sheetId="72">
        <row r="1">
          <cell r="A1" t="str">
            <v>id</v>
          </cell>
        </row>
      </sheetData>
      <sheetData sheetId="73"/>
      <sheetData sheetId="74"/>
      <sheetData sheetId="75"/>
      <sheetData sheetId="76"/>
      <sheetData sheetId="77"/>
      <sheetData sheetId="78">
        <row r="1">
          <cell r="A1" t="str">
            <v>id</v>
          </cell>
        </row>
      </sheetData>
      <sheetData sheetId="79"/>
      <sheetData sheetId="80"/>
      <sheetData sheetId="81"/>
      <sheetData sheetId="82">
        <row r="1">
          <cell r="A1" t="str">
            <v>id</v>
          </cell>
        </row>
      </sheetData>
      <sheetData sheetId="83"/>
      <sheetData sheetId="84"/>
      <sheetData sheetId="85"/>
      <sheetData sheetId="86"/>
      <sheetData sheetId="87">
        <row r="1">
          <cell r="A1" t="str">
            <v>id</v>
          </cell>
        </row>
      </sheetData>
      <sheetData sheetId="88"/>
      <sheetData sheetId="89">
        <row r="1">
          <cell r="A1" t="str">
            <v>id</v>
          </cell>
        </row>
      </sheetData>
      <sheetData sheetId="90">
        <row r="1">
          <cell r="A1" t="str">
            <v>id</v>
          </cell>
        </row>
      </sheetData>
      <sheetData sheetId="91"/>
      <sheetData sheetId="92"/>
      <sheetData sheetId="93"/>
      <sheetData sheetId="94"/>
      <sheetData sheetId="95"/>
      <sheetData sheetId="96">
        <row r="1">
          <cell r="A1" t="str">
            <v>id</v>
          </cell>
        </row>
      </sheetData>
      <sheetData sheetId="97"/>
      <sheetData sheetId="98"/>
      <sheetData sheetId="99">
        <row r="1">
          <cell r="A1" t="str">
            <v>id</v>
          </cell>
        </row>
      </sheetData>
      <sheetData sheetId="100"/>
      <sheetData sheetId="101"/>
      <sheetData sheetId="102"/>
      <sheetData sheetId="103"/>
      <sheetData sheetId="104"/>
      <sheetData sheetId="105">
        <row r="1">
          <cell r="A1" t="str">
            <v>id</v>
          </cell>
        </row>
      </sheetData>
      <sheetData sheetId="106"/>
      <sheetData sheetId="107"/>
      <sheetData sheetId="108">
        <row r="1">
          <cell r="A1" t="str">
            <v>id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>
        <row r="1">
          <cell r="A1" t="str">
            <v>id</v>
          </cell>
        </row>
      </sheetData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>
        <row r="1">
          <cell r="A1" t="str">
            <v>id</v>
          </cell>
        </row>
      </sheetData>
      <sheetData sheetId="156">
        <row r="1">
          <cell r="A1" t="str">
            <v>id</v>
          </cell>
        </row>
      </sheetData>
      <sheetData sheetId="157"/>
      <sheetData sheetId="158"/>
      <sheetData sheetId="159">
        <row r="1">
          <cell r="A1" t="str">
            <v>enumKey</v>
          </cell>
        </row>
      </sheetData>
      <sheetData sheetId="16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바다"/>
      <sheetName val="항구"/>
      <sheetName val="마을"/>
      <sheetName val="육지"/>
      <sheetName val="낚시"/>
      <sheetName val="해양 오브젝트"/>
      <sheetName val="타일 정보 보기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0933A-2358-4CE2-9976-42649A7A2DF2}" name="표1" displayName="표1" ref="B2:O2728" insertRowShift="1" totalsRowShown="0" headerRowDxfId="184" dataDxfId="182" headerRowBorderDxfId="183" tableBorderDxfId="181" totalsRowBorderDxfId="180">
  <autoFilter ref="B2:O2728" xr:uid="{5F20933A-2358-4CE2-9976-42649A7A2DF2}"/>
  <sortState xmlns:xlrd2="http://schemas.microsoft.com/office/spreadsheetml/2017/richdata2" ref="B54:N2636">
    <sortCondition ref="G2:G2706"/>
  </sortState>
  <tableColumns count="14">
    <tableColumn id="1" xr3:uid="{40DC0419-A660-418B-AC58-7FB4353BB0DF}" name="ID" dataDxfId="179">
      <calculatedColumnFormula>[1]Discovery!A9</calculatedColumnFormula>
    </tableColumn>
    <tableColumn id="2" xr3:uid="{5537CB53-3A88-413F-9F50-9F83784174BD}" name="명칭" dataDxfId="178">
      <calculatedColumnFormula>[1]Discovery!B9</calculatedColumnFormula>
    </tableColumn>
    <tableColumn id="3" xr3:uid="{B78B1982-6917-4602-8167-7F12D1D3F286}" name="대분류" dataDxfId="177">
      <calculatedColumnFormula>[1]Discovery!E9</calculatedColumnFormula>
    </tableColumn>
    <tableColumn id="4" xr3:uid="{74F81C11-F583-40EA-B9A7-55E9A4E5B96D}" name="소분류" dataDxfId="176">
      <calculatedColumnFormula>[1]Discovery!C9</calculatedColumnFormula>
    </tableColumn>
    <tableColumn id="5" xr3:uid="{E5766548-4E62-449A-BF94-11825347C84A}" name="등급" dataDxfId="175">
      <calculatedColumnFormula>[1]Discovery!G9</calculatedColumnFormula>
    </tableColumn>
    <tableColumn id="6" xr3:uid="{FDC20B1A-8FB6-4444-9F44-34D30560B16F}" name="문화권" dataDxfId="0">
      <calculatedColumnFormula>IFERROR(VLOOKUP(표1[[#This Row],[명칭]],'문화권 정리'!C:D,2,FALSE),"-")</calculatedColumnFormula>
    </tableColumn>
    <tableColumn id="7" xr3:uid="{59272E8B-3691-4382-BFA5-E4A8554079F5}" name="해양탐색" dataDxfId="174">
      <calculatedColumnFormula>IFERROR(COUNTIF([2]OceanDoodad!$Y:$Y,표1[[#This Row],[명칭]]),"-")</calculatedColumnFormula>
    </tableColumn>
    <tableColumn id="9" xr3:uid="{8E6F0A83-A781-4D7C-A423-CD473C667DE1}" name="육지탐험" dataDxfId="173">
      <calculatedColumnFormula>IFERROR(COUNTIF([1]AdventureDiscoveryGroup!$D$8:$AW$92,표1[[#This Row],[명칭]]),"-")</calculatedColumnFormula>
    </tableColumn>
    <tableColumn id="10" xr3:uid="{7D1B02C4-82B1-4DE0-BB4A-00E2F88B2CE4}" name="낚시" dataDxfId="172">
      <calculatedColumnFormula>IFERROR(COUNTIF([1]FishDiscoveryGroup!$A:$X,표1[[#This Row],[명칭]]),"-")</calculatedColumnFormula>
    </tableColumn>
    <tableColumn id="11" xr3:uid="{CF5D856D-7681-4345-A104-2C85E5CFDC43}" name="항구" dataDxfId="171">
      <calculatedColumnFormula>IFERROR(COUNTIF([2]Town!$B:$B,표1[[#This Row],[명칭]]),"-")</calculatedColumnFormula>
    </tableColumn>
    <tableColumn id="12" xr3:uid="{E1C0F44F-6578-4CCE-A405-36E8FC099BF9}" name="마을" dataDxfId="170">
      <calculatedColumnFormula>IFERROR(COUNTIF([1]Village!$BR:$BR,표1[[#This Row],[명칭]]),"-")</calculatedColumnFormula>
    </tableColumn>
    <tableColumn id="8" xr3:uid="{0B0CC3EC-18CD-4D9D-A0BE-7717A760736E}" name="퀘스트" dataDxfId="169">
      <calculatedColumnFormula>COUNTIF(퀘스트!B:B,표1[[#This Row],[명칭]])</calculatedColumnFormula>
    </tableColumn>
    <tableColumn id="13" xr3:uid="{C6089DD3-EEA0-4081-BD7B-3E6C1262BF62}" name="마을탐험" dataDxfId="168">
      <calculatedColumnFormula>COUNTIF([1]VillageDiscoveryGroup!$C:$C,표1[[#This Row],[명칭]])</calculatedColumnFormula>
    </tableColumn>
    <tableColumn id="14" xr3:uid="{A5F0FB4A-458A-48D6-AC9E-475B9C4F3B6B}" name="사용여부" dataDxfId="167">
      <calculatedColumnFormula>SUM(표1[[#This Row],[해양탐색]:[마을탐험]])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351FB6-294F-49C2-9108-E6C72D21CE03}" name="표2" displayName="표2" ref="B5:G28" insertRowShift="1" totalsRowShown="0" headerRowDxfId="166" dataDxfId="164" headerRowBorderDxfId="165" tableBorderDxfId="163" totalsRowBorderDxfId="162">
  <autoFilter ref="B5:G28" xr:uid="{25351FB6-294F-49C2-9108-E6C72D21CE03}"/>
  <tableColumns count="6">
    <tableColumn id="1" xr3:uid="{63BE9409-53F2-4BA7-B748-A80B69244715}" name="문화권" dataDxfId="161"/>
    <tableColumn id="2" xr3:uid="{A2B836F0-697D-4627-9694-1DE460B74071}" name="마을" dataDxfId="160">
      <calculatedColumnFormula>COUNTIF([1]Village!$C:$C,표2[[#This Row],[문화권]])</calculatedColumnFormula>
    </tableColumn>
    <tableColumn id="3" xr3:uid="{ACED1810-C6B8-4450-B2F6-2789E67F0E3D}" name="육지" dataDxfId="159">
      <calculatedColumnFormula>COUNTIF([1]LandExplore!$C:$C,표2[[#This Row],[문화권]])</calculatedColumnFormula>
    </tableColumn>
    <tableColumn id="4" xr3:uid="{72B7AEF0-7A18-4862-8115-448FB702E863}" name="필요 발견물" dataDxfId="158">
      <calculatedColumnFormula>(표2[[#This Row],[마을]]+표2[[#This Row],[육지]])*$D$3</calculatedColumnFormula>
    </tableColumn>
    <tableColumn id="5" xr3:uid="{815E46EA-D0CD-456A-BBE0-A74636A2A353}" name="전체 발견물" dataDxfId="157">
      <calculatedColumnFormula>COUNTIF(표1[문화권],표2[[#This Row],[문화권]])</calculatedColumnFormula>
    </tableColumn>
    <tableColumn id="6" xr3:uid="{81D431F1-B284-432B-BB37-7B4A44D31AE2}" name="남는 발견물" dataDxfId="156">
      <calculatedColumnFormula>표2[[#This Row],[전체 발견물]]-표2[[#This Row],[필요 발견물]]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22CA9A-FABD-47E6-8135-8D31BAFE4B84}" name="표3" displayName="표3" ref="I5:M17" totalsRowShown="0" headerRowDxfId="155" dataDxfId="153" headerRowBorderDxfId="154" tableBorderDxfId="152" totalsRowBorderDxfId="151">
  <autoFilter ref="I5:M17" xr:uid="{B822CA9A-FABD-47E6-8135-8D31BAFE4B84}"/>
  <tableColumns count="5">
    <tableColumn id="1" xr3:uid="{4A6B959A-4346-43EA-9B27-BB83E14C43EF}" name="레벨 제한" dataDxfId="150"/>
    <tableColumn id="2" xr3:uid="{2DD69F70-C086-4E84-AD49-9186FDF0C4DA}" name="단계" dataDxfId="149"/>
    <tableColumn id="3" xr3:uid="{39F25CE8-23EB-46D6-983F-D791CF5E703D}" name="육지" dataDxfId="148">
      <calculatedColumnFormula>COUNTIF([3]!표1_6[선단 LV],표3[[#This Row],[레벨 제한]])</calculatedColumnFormula>
    </tableColumn>
    <tableColumn id="4" xr3:uid="{C3C7E38B-EE50-46F5-A9E5-ADF75349EE99}" name="마을" dataDxfId="147">
      <calculatedColumnFormula>COUNTIF([3]!표8[선단 LV],표3[[#This Row],[레벨 제한]])</calculatedColumnFormula>
    </tableColumn>
    <tableColumn id="5" xr3:uid="{AE5ED0C7-5AD0-4263-A360-588E21F25EC0}" name="필요 발견물" dataDxfId="146">
      <calculatedColumnFormula>SUM(표3[[#This Row],[육지]:[마을]])*$D$3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539F9C-B148-460D-A67A-C8285C7264DC}" name="표4" displayName="표4" ref="O5:T11" totalsRowShown="0" headerRowDxfId="145" dataDxfId="143" headerRowBorderDxfId="144" tableBorderDxfId="142" totalsRowBorderDxfId="141">
  <autoFilter ref="O5:T11" xr:uid="{55539F9C-B148-460D-A67A-C8285C7264DC}"/>
  <tableColumns count="6">
    <tableColumn id="1" xr3:uid="{77241881-6822-48B8-BFBE-DC846EBF6139}" name="분류" dataDxfId="140"/>
    <tableColumn id="2" xr3:uid="{B99BAD33-DF3F-4B75-ABA7-310D51B5AB18}" name="D" dataDxfId="139">
      <calculatedColumnFormula>COUNTIFS(표1[대분류],표4[[#This Row],[분류]],표1[등급],"D")</calculatedColumnFormula>
    </tableColumn>
    <tableColumn id="3" xr3:uid="{42ED26C1-963C-44B3-AABB-AEE4398C3D5E}" name="C" dataDxfId="138">
      <calculatedColumnFormula>COUNTIFS(표1[대분류],표4[[#This Row],[분류]],표1[등급],"C")</calculatedColumnFormula>
    </tableColumn>
    <tableColumn id="4" xr3:uid="{3EEFF82C-9684-4A71-9BCC-6BCF78C2238C}" name="B" dataDxfId="137">
      <calculatedColumnFormula>COUNTIFS(표1[대분류],표4[[#This Row],[분류]],표1[등급],"B")</calculatedColumnFormula>
    </tableColumn>
    <tableColumn id="5" xr3:uid="{36B76BC5-1C10-428F-B6C7-69A2C1787B5A}" name="A" dataDxfId="136">
      <calculatedColumnFormula>COUNTIFS(표1[대분류],표4[[#This Row],[분류]],표1[등급],"A")</calculatedColumnFormula>
    </tableColumn>
    <tableColumn id="6" xr3:uid="{268EE18C-3B94-4768-9460-C3437E8E884C}" name="S" dataDxfId="135">
      <calculatedColumnFormula>COUNTIFS(표1[대분류],표4[[#This Row],[분류]],표1[등급],"S")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BA9673-D2A9-444C-94E3-8473D3C9CD45}" name="표5" displayName="표5" ref="W5:AB28" totalsRowShown="0" headerRowDxfId="134" dataDxfId="133">
  <autoFilter ref="W5:AB28" xr:uid="{C6BA9673-D2A9-444C-94E3-8473D3C9CD45}"/>
  <tableColumns count="6">
    <tableColumn id="1" xr3:uid="{E203B4A3-F1D5-4351-8C72-F14960E6FDEF}" name="문화권" dataDxfId="132"/>
    <tableColumn id="2" xr3:uid="{B13D0881-01CA-4CC6-AF82-8FE4F75946CF}" name="D" dataDxfId="131">
      <calculatedColumnFormula>COUNTIFS(표1[문화권],표5[[#This Row],[문화권]],표1[등급],표5[[#Headers],[D]])</calculatedColumnFormula>
    </tableColumn>
    <tableColumn id="3" xr3:uid="{5C58E459-AB1F-4A35-AD7B-382989422C9C}" name="C" dataDxfId="130">
      <calculatedColumnFormula>COUNTIFS(표1[문화권],표5[[#This Row],[문화권]],표1[등급],표5[[#Headers],[C]])</calculatedColumnFormula>
    </tableColumn>
    <tableColumn id="4" xr3:uid="{10181920-6DF3-4CDE-8A11-3B5D71F75991}" name="B" dataDxfId="129">
      <calculatedColumnFormula>COUNTIFS(표1[문화권],표5[[#This Row],[문화권]],표1[등급],표5[[#Headers],[B]])</calculatedColumnFormula>
    </tableColumn>
    <tableColumn id="5" xr3:uid="{410B67B0-1DE6-4BBF-8C07-8FBB33AA95B6}" name="A" dataDxfId="128">
      <calculatedColumnFormula>COUNTIFS(표1[문화권],표5[[#This Row],[문화권]],표1[등급],표5[[#Headers],[A]])</calculatedColumnFormula>
    </tableColumn>
    <tableColumn id="6" xr3:uid="{E107064E-D00C-45F4-84E6-5A74968B03D1}" name="S" dataDxfId="127">
      <calculatedColumnFormula>COUNTIFS(표1[문화권],표5[[#This Row],[문화권]],표1[등급],표5[[#Headers],[S]])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E45F3C-AE3D-4F10-BF12-12AA3E0FB250}" name="표6" displayName="표6" ref="AM5:AO23" totalsRowShown="0" headerRowDxfId="126" dataDxfId="125">
  <autoFilter ref="AM5:AO23" xr:uid="{DBE45F3C-AE3D-4F10-BF12-12AA3E0FB250}"/>
  <tableColumns count="3">
    <tableColumn id="1" xr3:uid="{6151BF4C-4D94-4503-945B-40215C3A9BB8}" name="문화권" dataDxfId="124"/>
    <tableColumn id="2" xr3:uid="{EEFE8279-00A0-4554-87A9-324D547413DF}" name="해양 탐색" dataDxfId="123">
      <calculatedColumnFormula>COUNTIFS(표1[해양탐색],1,표1[문화권],표6[[#This Row],[문화권]])</calculatedColumnFormula>
    </tableColumn>
    <tableColumn id="3" xr3:uid="{5BF0969E-EDDF-46FA-B1CC-B0DA98F04EC1}" name="육지 탐험" dataDxfId="122">
      <calculatedColumnFormula>COUNTIFS(표1[육지탐험],"&gt;=1",표1[문화권],표6[[#This Row],[문화권]])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BDCA23F-3448-4F9D-9FAD-EF5CE7906CB9}" name="표13" displayName="표13" ref="B32:C44" insertRowShift="1" totalsRowShown="0" headerRowDxfId="121" dataDxfId="120">
  <autoFilter ref="B32:C44" xr:uid="{8BDCA23F-3448-4F9D-9FAD-EF5CE7906CB9}"/>
  <tableColumns count="2">
    <tableColumn id="1" xr3:uid="{C0CEE42D-F810-49A8-9977-4CCA5B2049E1}" name="단계" dataDxfId="119"/>
    <tableColumn id="2" xr3:uid="{73DE0A7D-338D-439F-84BE-5340434CE9C1}" name="상한등급" dataDxfId="118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4276850-03A0-4C09-93AA-B6A059E48F9D}" name="표11" displayName="표11" ref="B2:H307" insertRowShift="1" totalsRowShown="0" headerRowDxfId="117" dataDxfId="116">
  <autoFilter ref="B2:H307" xr:uid="{94276850-03A0-4C09-93AA-B6A059E48F9D}">
    <filterColumn colId="0">
      <filters>
        <filter val="12사도 바위"/>
        <filter val="간몬 해식 동굴"/>
        <filter val="갈릴레이 위성"/>
        <filter val="갠지스 삼각주"/>
        <filter val="거문고자리"/>
        <filter val="거문고자리 유성군"/>
        <filter val="게곤 폭포"/>
        <filter val="게자리"/>
        <filter val="겨울의 다이아몬드"/>
        <filter val="겨울의 대삼각형"/>
        <filter val="경복궁"/>
        <filter val="고깔해파리"/>
        <filter val="고다포스 폭포"/>
        <filter val="고래자리"/>
        <filter val="고물자리"/>
        <filter val="공작자리"/>
        <filter val="구룡폭포"/>
        <filter val="구멍 구름"/>
        <filter val="굴포스 폭포"/>
        <filter val="궁수자리"/>
        <filter val="그레이트 블루홀"/>
        <filter val="그린란드 빙상"/>
        <filter val="그린샌드 비치"/>
        <filter val="그림스뵈튼산"/>
        <filter val="그물자리"/>
        <filter val="금성"/>
        <filter val="금성의 영휴"/>
        <filter val="까마귀자리"/>
        <filter val="꽝시 폭포"/>
        <filter val="나가 화구"/>
        <filter val="나가의 화염구"/>
        <filter val="나이아가라폭포"/>
        <filter val="나이저강 삼각주"/>
        <filter val="나일강 삼각주"/>
        <filter val="나치폭포"/>
        <filter val="날치자리"/>
        <filter val="남십자자리"/>
        <filter val="남쪽물고기자리"/>
        <filter val="남쪽삼각형자리"/>
        <filter val="녹색 빙산"/>
        <filter val="누라게"/>
        <filter val="다이아몬드 헤드"/>
        <filter val="달무리"/>
        <filter val="달의 계곡"/>
        <filter val="담라타쉬 석회동굴"/>
        <filter val="대운하"/>
        <filter val="대혜성"/>
        <filter val="데티포스 폭포"/>
        <filter val="독수리자리"/>
        <filter val="돌고래자리"/>
        <filter val="돛자리"/>
        <filter val="두루미자리"/>
        <filter val="딘얀디 폭포"/>
        <filter val="딘즈 블루홀"/>
        <filter val="라르센 빙붕"/>
        <filter val="라비다 붉은 모래 해변"/>
        <filter val="러산 대불"/>
        <filter val="레인보우 폭포"/>
        <filter val="렌즈구름"/>
        <filter val="룽둥 블루홀"/>
        <filter val="리스타팔렛 폭포"/>
        <filter val="마니오의 거석"/>
        <filter val="마로코파 폭포"/>
        <filter val="마욘산"/>
        <filter val="마우나 케아"/>
        <filter val="마차부자리"/>
        <filter val="마추픽추"/>
        <filter val="만리장성"/>
        <filter val="말레추냐네 폭포"/>
        <filter val="말위야 미나렛"/>
        <filter val="머리털자리"/>
        <filter val="메콩삼각주"/>
        <filter val="메테오라"/>
        <filter val="모닝글로리"/>
        <filter val="목동자리"/>
        <filter val="목성"/>
        <filter val="무지개"/>
        <filter val="무지갯빛 구름"/>
        <filter val="물고기자리"/>
        <filter val="물병자리"/>
        <filter val="물병자리 유성우"/>
        <filter val="미시시피강 삼각주"/>
        <filter val="바다 사자 동굴"/>
        <filter val="바다뱀자리"/>
        <filter val="바타라 폭포"/>
        <filter val="반지옥 폭포"/>
        <filter val="방패자리"/>
        <filter val="방패자리의 산개성단"/>
        <filter val="백두산"/>
        <filter val="백조자리"/>
        <filter val="밸런스드 락"/>
        <filter val="뱀주인자리"/>
        <filter val="베수비오산"/>
        <filter val="벤티스쿠에로 콜간테 폭포"/>
        <filter val="벨렝탑"/>
        <filter val="보로부두르"/>
        <filter val="보르시파"/>
        <filter val="보링 포센"/>
        <filter val="봄의 대삼각형"/>
        <filter val="부안 해식동굴"/>
        <filter val="북극성"/>
        <filter val="북쪽왕관자리"/>
        <filter val="브라운 폭포"/>
        <filter val="블랙 다이아몬드 비치"/>
        <filter val="블러드 폭포"/>
        <filter val="블러드문"/>
        <filter val="빅토리아폭포"/>
        <filter val="빈누폭포"/>
        <filter val="사냥개자리"/>
        <filter val="사자자리"/>
        <filter val="산동 동굴"/>
        <filter val="삼각형자리"/>
        <filter val="섀클턴 빙붕"/>
        <filter val="서덜랜드폭포"/>
        <filter val="세인트헬렌스산"/>
        <filter val="센타우루스자리"/>
        <filter val="소용돌이"/>
        <filter val="수성"/>
        <filter val="수중 폭포"/>
        <filter val="슈웨다곤 파고다"/>
        <filter val="슈퍼셀"/>
        <filter val="스란다 블루홀"/>
        <filter val="스메루산"/>
        <filter val="스카프타펠 동굴"/>
        <filter val="스켈리그 마이클"/>
        <filter val="스코아 폭포"/>
        <filter val="스코지폭포"/>
        <filter val="스털링 폭포"/>
        <filter val="스펀 폭포"/>
        <filter val="시들리 산"/>
        <filter val="시라이토 폭포"/>
        <filter val="시리우스"/>
        <filter val="신비한 장벽"/>
        <filter val="쌍둥이자리"/>
        <filter val="아궁산"/>
        <filter val="아마존강 삼각주"/>
        <filter val="아비스모 아뉴마스"/>
        <filter val="아소산"/>
        <filter val="아즈치성"/>
        <filter val="아추라 동굴"/>
        <filter val="악숨 석주군"/>
        <filter val="안드로메다자리"/>
        <filter val="알다브라 환초"/>
        <filter val="알라미어 폭포"/>
        <filter val="알타미라 동굴"/>
        <filter val="앙헬폭포"/>
        <filter val="애드미럴스 아치"/>
        <filter val="앨버트산"/>
        <filter val="양자리"/>
        <filter val="양형 번개"/>
        <filter val="에러버스 산"/>
        <filter val="에리다누스자리"/>
        <filter val="에트나산"/>
        <filter val="엘 리몬의 폭포"/>
        <filter val="여름의 대삼각형"/>
        <filter val="염소자리"/>
        <filter val="오로라"/>
        <filter val="오리온의 허리띠"/>
        <filter val="오리온자리"/>
        <filter val="오리온자리 유성우"/>
        <filter val="올림피아 유적"/>
        <filter val="왓 프라시산펫"/>
        <filter val="외뿔소자리"/>
        <filter val="요세미티폭포"/>
        <filter val="용골자리"/>
        <filter val="용암 동굴"/>
        <filter val="용의 알 해변"/>
        <filter val="용자리"/>
        <filter val="우르"/>
        <filter val="우박"/>
        <filter val="울루루"/>
        <filter val="월식"/>
        <filter val="윰빌라폭포"/>
        <filter val="이구아수폭포"/>
        <filter val="이눅슈크"/>
        <filter val="이리자리"/>
        <filter val="일식"/>
        <filter val="자금성"/>
        <filter val="작은개자리"/>
        <filter val="작은곰자리"/>
        <filter val="장백폭포"/>
        <filter val="전갈자리"/>
        <filter val="정방폭포"/>
        <filter val="제놀란 동굴"/>
        <filter val="제이타 동굴"/>
        <filter val="제임스브루스폭포"/>
        <filter val="조그 폭포"/>
        <filter val="좀블랑 동굴"/>
        <filter val="처녀자리"/>
        <filter val="천마총"/>
        <filter val="천칭자리"/>
        <filter val="청나일폭포"/>
        <filter val="청새치"/>
        <filter val="카시오페이아자리"/>
        <filter val="카이르완 대 모스크"/>
        <filter val="카이에테우르폭포"/>
        <filter val="카타툼보 번개"/>
        <filter val="카파도키아 동굴수도원"/>
        <filter val="커시드럴 동굴"/>
        <filter val="컵자리"/>
        <filter val="케페우스자리"/>
        <filter val="케플러의 신성"/>
        <filter val="코끼리 바위"/>
        <filter val="콜로세움"/>
        <filter val="쿠푸왕의 피라미드"/>
        <filter val="크레비아 폭포"/>
        <filter val="큰개자리"/>
        <filter val="큰곰자리"/>
        <filter val="클리무투산"/>
        <filter val="타이탄"/>
        <filter val="태산"/>
        <filter val="태양흑점"/>
        <filter val="터재넉 폭포"/>
        <filter val="터키인의 계단"/>
        <filter val="테노치티틀란"/>
        <filter val="토네이도"/>
        <filter val="토성"/>
        <filter val="투겔라 폭포"/>
        <filter val="튀코 브라헤의 신성"/>
        <filter val="트레스에르마나스폭포"/>
        <filter val="파르테논 신전"/>
        <filter val="파파콜레아 해변"/>
        <filter val="팔루스 폭포"/>
        <filter val="페가수스자리"/>
        <filter val="페르세우스자리"/>
        <filter val="페르세우스자리 유성군"/>
        <filter val="페르세폴리스"/>
        <filter val="푸날루우 블랙샌드 비치"/>
        <filter val="푸카오쿠폭포"/>
        <filter val="프로키온"/>
        <filter val="플리트비체 폭포"/>
        <filter val="피나투보산"/>
        <filter val="핏츠로이 폭포"/>
        <filter val="핑갈 동굴"/>
        <filter val="핑갈의 동굴"/>
        <filter val="핑크 샌드 비치"/>
        <filter val="하다르"/>
        <filter val="하드리아누스의 성벽"/>
        <filter val="하바수 폭포"/>
        <filter val="하이포스 폭포"/>
        <filter val="한라산"/>
        <filter val="해기둥"/>
        <filter val="해식 동굴"/>
        <filter val="핼리 혜성"/>
        <filter val="헤르쿨레스자리"/>
        <filter val="호스테일폭포"/>
        <filter val="호투 마투아 왕의 모아이"/>
        <filter val="화구"/>
        <filter val="화살자리"/>
        <filter val="화성"/>
        <filter val="황사"/>
        <filter val="황산"/>
        <filter val="황소자리"/>
        <filter val="황허 삼각주"/>
        <filter val="후지산"/>
      </filters>
    </filterColumn>
    <filterColumn colId="1">
      <filters>
        <filter val="1"/>
        <filter val="10"/>
        <filter val="2"/>
        <filter val="3"/>
        <filter val="4"/>
        <filter val="5"/>
        <filter val="6"/>
        <filter val="7"/>
        <filter val="8"/>
        <filter val="9"/>
      </filters>
    </filterColumn>
  </autoFilter>
  <tableColumns count="7">
    <tableColumn id="1" xr3:uid="{F6F6D39B-445D-4BC2-B481-74244CCB7373}" name="해양 오브젝트" dataDxfId="115">
      <calculatedColumnFormula>[2]OceanDoodad!Z8</calculatedColumnFormula>
    </tableColumn>
    <tableColumn id="2" xr3:uid="{646B9678-A899-4BBF-9CF2-A9ECBA0FC566}" name="레벨 제한" dataDxfId="114">
      <calculatedColumnFormula>IFERROR(VLOOKUP(표11[[#This Row],[해양 오브젝트]],[3]!표1[[이름]:[선단 LV]],6,FALSE),"-")</calculatedColumnFormula>
    </tableColumn>
    <tableColumn id="3" xr3:uid="{CCB61E16-649A-483C-BCBD-47CBF339502F}" name="위도" dataDxfId="113">
      <calculatedColumnFormula>IFERROR(VLOOKUP(표11[[#This Row],[해양 오브젝트]],[3]!표1[[이름]:[위도]],3,FALSE),"-")</calculatedColumnFormula>
    </tableColumn>
    <tableColumn id="4" xr3:uid="{E3F1FE27-51E4-4A71-AAC1-72E2215067B8}" name="경도" dataDxfId="112">
      <calculatedColumnFormula>IFERROR(VLOOKUP(표11[[#This Row],[해양 오브젝트]],[3]!표1[[이름]:[위도]],2,FALSE),"-")</calculatedColumnFormula>
    </tableColumn>
    <tableColumn id="5" xr3:uid="{6E8FF9FD-4AC9-4A5A-9CDE-C6F94F8EF69E}" name="Contentsterms[][&quot;id&quot;]" dataDxfId="111">
      <calculatedColumnFormula>IFERROR(INDEX([1]Discovery!$AW:$AW,MATCH(표11[[#This Row],[해양 오브젝트]],[1]Discovery!$B:$B,0)),"-")</calculatedColumnFormula>
    </tableColumn>
    <tableColumn id="6" xr3:uid="{E5E9F45C-E5D2-4C35-A014-94BF41816CBC}" name="Contentsterms[][&quot;Target&quot;]" dataDxfId="110">
      <calculatedColumnFormula>IFERROR(INDEX([1]Discovery!$AY:$AY,MATCH(표11[[#This Row],[해양 오브젝트]],[1]Discovery!$B:$B,0)),"-")</calculatedColumnFormula>
    </tableColumn>
    <tableColumn id="7" xr3:uid="{B262E4B8-4C23-47BC-828F-8C88F2E21391}" name="Contentsterms[][&quot;Count&quot;]" dataDxfId="109">
      <calculatedColumnFormula>IFERROR(INDEX([1]Discovery!$BA:$BA,MATCH(표11[[#This Row],[해양 오브젝트]],[1]Discovery!$B:$B,0)),"-")</calculatedColumnFormula>
    </tableColumn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CE599B-02ED-4466-8845-AC701A4C2D7A}" name="표8" displayName="표8" ref="B2:AA136" totalsRowShown="0" headerRowDxfId="108" dataDxfId="107">
  <autoFilter ref="B2:AA136" xr:uid="{F4CE599B-02ED-4466-8845-AC701A4C2D7A}"/>
  <tableColumns count="26">
    <tableColumn id="1" xr3:uid="{6F8820AF-E0D2-4201-8083-80892257AF0F}" name="육지" dataDxfId="106">
      <calculatedColumnFormula>[1]LandExplore!E9</calculatedColumnFormula>
    </tableColumn>
    <tableColumn id="14" xr3:uid="{E220BF76-640D-4992-A3BA-942B5BC91F87}" name="열1" dataDxfId="105">
      <calculatedColumnFormula>INDEX([1]LandExplore!$B:$B,MATCH(표8[[#This Row],[육지]],[1]LandExplore!$E:$E,0))</calculatedColumnFormula>
    </tableColumn>
    <tableColumn id="13" xr3:uid="{A4592847-0675-4195-8BC3-01E7E54E9B88}" name="레벨 제한" dataDxfId="104">
      <calculatedColumnFormula>IFERROR(VLOOKUP(표8[[#This Row],[육지]],[3]!표1_6[[이름]:[선단 LV]],6,FALSE),"-")</calculatedColumnFormula>
    </tableColumn>
    <tableColumn id="2" xr3:uid="{DC0A0D9B-C313-4E25-B1DA-279534B68891}" name="위도" dataDxfId="103">
      <calculatedColumnFormula>IFERROR(VLOOKUP(표8[[#This Row],[육지]],[3]!표1_6[[이름]:[위도]],3,FALSE),"-")</calculatedColumnFormula>
    </tableColumn>
    <tableColumn id="3" xr3:uid="{337D760E-3AE6-4869-9E23-0A097065C6CE}" name="경도" dataDxfId="102">
      <calculatedColumnFormula>IFERROR(VLOOKUP(표8[[#This Row],[육지]],[3]!표1_6[[이름]:[위도]],2,FALSE),"-")</calculatedColumnFormula>
    </tableColumn>
    <tableColumn id="4" xr3:uid="{4730E848-18C3-483C-B175-D2B177963C9D}" name="발견물[0]" dataDxfId="101">
      <calculatedColumnFormula>INDEX([1]AdventureDiscoveryGroup!$D:$D,MATCH(표8[[#This Row],[열1]],[1]AdventureDiscoveryGroup!$B:$B,0))</calculatedColumnFormula>
    </tableColumn>
    <tableColumn id="5" xr3:uid="{BCD8BEB5-4E3E-466A-8780-A4FA5CB51E12}" name="배당[0]" dataDxfId="100">
      <calculatedColumnFormula>IFERROR(INT(1000/POWER(1.5,VLOOKUP(G3,[1]Discovery!$B:$H,7,FALSE)^1.6)),"-")</calculatedColumnFormula>
    </tableColumn>
    <tableColumn id="23" xr3:uid="{2184CCBC-407D-4D39-814E-16C4AC2ADEA6}" name="확률[0]" dataDxfId="99">
      <calculatedColumnFormula>IFERROR(표8[[#This Row],[배당'[0']]]/$AB3,"-")</calculatedColumnFormula>
    </tableColumn>
    <tableColumn id="6" xr3:uid="{CF968EBE-76F1-4841-807C-58E3D2CDCFC7}" name="발견물[1]" dataDxfId="98">
      <calculatedColumnFormula>INDEX([1]AdventureDiscoveryGroup!$I:$I,MATCH(표8[[#This Row],[열1]],[1]AdventureDiscoveryGroup!$B:$B,0))</calculatedColumnFormula>
    </tableColumn>
    <tableColumn id="7" xr3:uid="{4156B885-484A-4191-B0C4-67D5F2EDB2DC}" name="배당[1]" dataDxfId="97">
      <calculatedColumnFormula>IFERROR(INT(1000/POWER(1.5,VLOOKUP(J3,[1]Discovery!$B:$H,7,FALSE)^1.6)),"-")</calculatedColumnFormula>
    </tableColumn>
    <tableColumn id="24" xr3:uid="{D3FA8895-B241-4AB4-9368-A017B8A8F3C6}" name="확률[1]" dataDxfId="96">
      <calculatedColumnFormula>IFERROR(표8[[#This Row],[배당'[1']]]/$AB3,"-")</calculatedColumnFormula>
    </tableColumn>
    <tableColumn id="8" xr3:uid="{FC9F63EE-45B1-4A7A-8621-E6CDB1F64AD7}" name="발견물[2]" dataDxfId="95">
      <calculatedColumnFormula>INDEX([1]AdventureDiscoveryGroup!$N:$N,MATCH(표8[[#This Row],[열1]],[1]AdventureDiscoveryGroup!$B:$B,0))</calculatedColumnFormula>
    </tableColumn>
    <tableColumn id="9" xr3:uid="{4CA59538-22E7-4A59-A65B-43F632A6E7AC}" name="배당[2]" dataDxfId="94">
      <calculatedColumnFormula>IFERROR(INT(1000/POWER(1.5,VLOOKUP(M3,[1]Discovery!$B:$H,7,FALSE)^1.6)),"-")</calculatedColumnFormula>
    </tableColumn>
    <tableColumn id="25" xr3:uid="{5D1DC4F7-8402-4369-92A7-D842D3068BE7}" name="확률[2]" dataDxfId="93">
      <calculatedColumnFormula>IFERROR(표8[[#This Row],[배당'[2']]]/$AB3,"-")</calculatedColumnFormula>
    </tableColumn>
    <tableColumn id="10" xr3:uid="{FEE22D28-F37E-4555-A3F0-95F48A759622}" name="발견물[3]" dataDxfId="92">
      <calculatedColumnFormula>INDEX([1]AdventureDiscoveryGroup!$S:$S,MATCH(표8[[#This Row],[열1]],[1]AdventureDiscoveryGroup!$B:$B,0))</calculatedColumnFormula>
    </tableColumn>
    <tableColumn id="11" xr3:uid="{2DC107E5-3890-4926-B748-00998E2A6820}" name="배당[3]" dataDxfId="91">
      <calculatedColumnFormula>IFERROR(INT(1000/POWER(1.5,VLOOKUP(P3,[1]Discovery!$B:$H,7,FALSE)^1.6)),"-")</calculatedColumnFormula>
    </tableColumn>
    <tableColumn id="26" xr3:uid="{7A0C1E73-C88D-45BE-97EC-AB1E764D8FF7}" name="확률[3]" dataDxfId="90">
      <calculatedColumnFormula>IFERROR(표8[[#This Row],[배당'[3']]]/$AB3,"-")</calculatedColumnFormula>
    </tableColumn>
    <tableColumn id="12" xr3:uid="{C062A715-6A83-4D6A-9F88-A96D3C4F4156}" name="발견물[4]" dataDxfId="89">
      <calculatedColumnFormula>INDEX([1]AdventureDiscoveryGroup!$X:$X,MATCH(표8[[#This Row],[열1]],[1]AdventureDiscoveryGroup!$B:$B,0))</calculatedColumnFormula>
    </tableColumn>
    <tableColumn id="15" xr3:uid="{71EB0B3A-C7F2-4117-9A63-979E70C3CB47}" name="배당[4]" dataDxfId="88">
      <calculatedColumnFormula>IFERROR(INT(1000/POWER(1.5,VLOOKUP(S3,[1]Discovery!$B:$H,7,FALSE)^1.6)),"-")</calculatedColumnFormula>
    </tableColumn>
    <tableColumn id="27" xr3:uid="{5514E3C2-95E1-4830-A946-414FDD9507AA}" name="확률[4]" dataDxfId="87">
      <calculatedColumnFormula>IFERROR(표8[[#This Row],[배당'[4']]]/$AB3,"-")</calculatedColumnFormula>
    </tableColumn>
    <tableColumn id="16" xr3:uid="{6C4602B8-DA2F-40FF-9CEE-589233B9B4DC}" name="발견물[5]" dataDxfId="86">
      <calculatedColumnFormula>INDEX([1]AdventureDiscoveryGroup!$AC:$AC,MATCH(표8[[#This Row],[열1]],[1]AdventureDiscoveryGroup!$B:$B,0))</calculatedColumnFormula>
    </tableColumn>
    <tableColumn id="17" xr3:uid="{ADEE1D2B-A1D5-4353-8895-A524B793A22A}" name="배당[5]" dataDxfId="85">
      <calculatedColumnFormula>IFERROR(INT(1000/POWER(1.5,VLOOKUP(V3,[1]Discovery!$B:$H,7,FALSE)^1.6)),"-")</calculatedColumnFormula>
    </tableColumn>
    <tableColumn id="29" xr3:uid="{96EAEDE8-D2B3-4167-969E-9FDA72F51F45}" name="확률[5]" dataDxfId="84">
      <calculatedColumnFormula>IFERROR(표8[[#This Row],[배당'[5']]]/$AB3,"-")</calculatedColumnFormula>
    </tableColumn>
    <tableColumn id="18" xr3:uid="{1296E2BD-BA44-442B-B259-68C2DA49BFA3}" name="발견물[6]" dataDxfId="83">
      <calculatedColumnFormula>INDEX([1]AdventureDiscoveryGroup!$AH:$AH,MATCH(표8[[#This Row],[열1]],[1]AdventureDiscoveryGroup!$B:$B,0))</calculatedColumnFormula>
    </tableColumn>
    <tableColumn id="19" xr3:uid="{0603C751-61DC-49B3-81D1-F6C3D159DD06}" name="배당[6]" dataDxfId="82">
      <calculatedColumnFormula>IFERROR(INT(1000/POWER(1.5,VLOOKUP(Y3,[1]Discovery!$B:$H,7,FALSE)^1.6)),"-")</calculatedColumnFormula>
    </tableColumn>
    <tableColumn id="30" xr3:uid="{DF275209-69E1-4723-8393-C8A1EE65B33A}" name="배당[7]" dataDxfId="81">
      <calculatedColumnFormula>IFERROR(표8[[#This Row],[배당'[6']]]/$AB3,"-")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9B29A4-BB24-4D82-A0E3-67FD0B2A69FE}" name="표9" displayName="표9" ref="B2:N69" totalsRowShown="0" headerRowDxfId="80" dataDxfId="79">
  <autoFilter ref="B2:N69" xr:uid="{699B29A4-BB24-4D82-A0E3-67FD0B2A69FE}"/>
  <tableColumns count="13">
    <tableColumn id="1" xr3:uid="{0002E8A3-057B-409A-B638-1947783F52F8}" name="마을" dataDxfId="78">
      <calculatedColumnFormula>[1]Village!B9</calculatedColumnFormula>
    </tableColumn>
    <tableColumn id="12" xr3:uid="{E66C742D-9F3C-4E06-9827-A5BE05BB467C}" name="레벨 제한" dataDxfId="77">
      <calculatedColumnFormula>IFERROR(VLOOKUP(표9[[#This Row],[마을]],[3]!표8[[이름]:[선단 LV]],6,FALSE),"-")</calculatedColumnFormula>
    </tableColumn>
    <tableColumn id="2" xr3:uid="{4BFB60D1-2B7A-4140-A756-2520178B6A47}" name="위도" dataDxfId="76">
      <calculatedColumnFormula>IFERROR(VLOOKUP(표9[[#This Row],[마을]],[3]!표8[[이름]:[위도]],3,FALSE),"-")</calculatedColumnFormula>
    </tableColumn>
    <tableColumn id="3" xr3:uid="{82F7B575-206E-4CD4-BD89-C22F4968A714}" name="경도" dataDxfId="75">
      <calculatedColumnFormula>IFERROR(VLOOKUP(표9[[#This Row],[마을]],[3]!표8[[이름]:[위도]],2,FALSE),"-")</calculatedColumnFormula>
    </tableColumn>
    <tableColumn id="4" xr3:uid="{5AEBC08B-4FA6-4C4D-9481-79AD14F7D7FC}" name="발견물[0]" dataDxfId="74">
      <calculatedColumnFormula>IFERROR(INDEX([1]AdventureDiscoveryGroup!$D:$D,MATCH(표9[[#This Row],[마을]],[1]AdventureDiscoveryGroup!$C:$C,)),"-")</calculatedColumnFormula>
    </tableColumn>
    <tableColumn id="5" xr3:uid="{20F3D5AD-E762-40F4-A71D-A9E37644946E}" name="발견물[1]" dataDxfId="73">
      <calculatedColumnFormula>IFERROR(INDEX([1]AdventureDiscoveryGroup!$G:$G,MATCH(표9[[#This Row],[마을]],[1]AdventureDiscoveryGroup!$C:$C,)),"-")</calculatedColumnFormula>
    </tableColumn>
    <tableColumn id="6" xr3:uid="{413CC272-469F-42F9-9D54-EE4E02CC39B2}" name="발견물[2]" dataDxfId="72">
      <calculatedColumnFormula>IFERROR(INDEX([1]AdventureDiscoveryGroup!$J:$J,MATCH(표9[[#This Row],[마을]],[1]AdventureDiscoveryGroup!$C:$C,)),"-")</calculatedColumnFormula>
    </tableColumn>
    <tableColumn id="7" xr3:uid="{8A00FA39-E5A9-4B62-9873-1817E6ABAE00}" name="발견물[3]" dataDxfId="71">
      <calculatedColumnFormula>IFERROR(INDEX([1]AdventureDiscoveryGroup!$M:$M,MATCH(표9[[#This Row],[마을]],[1]AdventureDiscoveryGroup!$C:$C,)),"-")</calculatedColumnFormula>
    </tableColumn>
    <tableColumn id="8" xr3:uid="{831C5814-57CE-4A95-B9FB-4A15F3E46319}" name="발견물[4]" dataDxfId="70">
      <calculatedColumnFormula>IFERROR(INDEX([1]AdventureDiscoveryGroup!$P:$P,MATCH(표9[[#This Row],[마을]],[1]AdventureDiscoveryGroup!$C:$C,)),"-")</calculatedColumnFormula>
    </tableColumn>
    <tableColumn id="9" xr3:uid="{DEEA83B9-8C40-4985-A133-338F2C60A781}" name="발견물[5]" dataDxfId="69">
      <calculatedColumnFormula>IFERROR(INDEX([1]AdventureDiscoveryGroup!$S:$S,MATCH(표9[[#This Row],[마을]],[1]AdventureDiscoveryGroup!$C:$C,)),"-")</calculatedColumnFormula>
    </tableColumn>
    <tableColumn id="10" xr3:uid="{DF0FB34D-F621-45EE-9A91-DF8B9A54F90E}" name="발견물[6]" dataDxfId="68">
      <calculatedColumnFormula>IFERROR(INDEX([1]AdventureDiscoveryGroup!$V:$V,MATCH(표9[[#This Row],[마을]],[1]AdventureDiscoveryGroup!$C:$C,)),"-")</calculatedColumnFormula>
    </tableColumn>
    <tableColumn id="11" xr3:uid="{70EC595F-4A13-4287-97F9-61CFB577B977}" name="발견물[7]" dataDxfId="67">
      <calculatedColumnFormula>IFERROR(INDEX([1]AdventureDiscoveryGroup!$Y:$Y,MATCH(표9[[#This Row],[마을]],[1]AdventureDiscoveryGroup!$C:$C,)),"-")</calculatedColumnFormula>
    </tableColumn>
    <tableColumn id="13" xr3:uid="{3A4FD1BE-A308-41DB-A81F-0DC2A41B96BE}" name="발견물[8]" dataDxfId="66">
      <calculatedColumnFormula>IFERROR(INDEX([1]AdventureDiscoveryGroup!$AB:$AB,MATCH(표9[[#This Row],[마을]],[1]AdventureDiscoveryGroup!$C:$C,)),"-")</calculatedColumnFormula>
    </tableColumn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1FC08E-0CCA-4FF1-BD39-75EDC79E41BF}" name="표7" displayName="표7" ref="B2:Q115" insertRowShift="1" totalsRowShown="0" headerRowDxfId="65" dataDxfId="63" headerRowBorderDxfId="64" tableBorderDxfId="62" totalsRowBorderDxfId="61">
  <autoFilter ref="B2:Q115" xr:uid="{331FC08E-0CCA-4FF1-BD39-75EDC79E41BF}"/>
  <tableColumns count="16">
    <tableColumn id="1" xr3:uid="{1CD4B52D-35A0-4DEC-AB69-13BFC337ACC9}" name="낚시 타일" dataDxfId="60">
      <calculatedColumnFormula>[1]FishOceanTile!B8</calculatedColumnFormula>
    </tableColumn>
    <tableColumn id="10" xr3:uid="{F63AEF8C-5A6D-4C52-BB0B-6DABE75471F8}" name="레벨 제한" dataDxfId="59">
      <calculatedColumnFormula>IFERROR(VLOOKUP(표7[[#This Row],[낚시 타일]],[3]!표1_67[[이름]:[선단 LV]],6,FALSE),"-")</calculatedColumnFormula>
    </tableColumn>
    <tableColumn id="2" xr3:uid="{8296D78A-6593-456A-B3EC-7AF262B1D5FB}" name="위도" dataDxfId="58">
      <calculatedColumnFormula>IFERROR(VLOOKUP(표7[[#This Row],[낚시 타일]],[3]!표1_67[[이름]:[위도]],3,FALSE),"-")</calculatedColumnFormula>
    </tableColumn>
    <tableColumn id="3" xr3:uid="{8CFEE8B9-0F93-4C65-979F-DC11E17D9A4B}" name="경도" dataDxfId="57">
      <calculatedColumnFormula>IFERROR(VLOOKUP(표7[[#This Row],[낚시 타일]],[3]!표1_67[[이름]:[위도]],2,FALSE),"-")</calculatedColumnFormula>
    </tableColumn>
    <tableColumn id="4" xr3:uid="{BD24FD6F-30F0-4601-A9E5-C3C3AAD17CE0}" name="발견물[0]" dataDxfId="56"/>
    <tableColumn id="12" xr3:uid="{902308AD-5085-46AC-AA9F-871C53FE2372}" name="확률[0]" dataDxfId="55">
      <calculatedColumnFormula>IFERROR(ROUNDDOWN(표10[[#This Row],[최종배당'[0']]]/표10[[#This Row],[분모]]*100,0)&amp;"%","-")</calculatedColumnFormula>
    </tableColumn>
    <tableColumn id="5" xr3:uid="{999D6138-DDC1-463D-95A4-6AB6FE34A3C1}" name="발견물[1]" dataDxfId="54"/>
    <tableColumn id="13" xr3:uid="{EF5F828F-D5C0-4DF2-B028-B3A3DB4ED3C3}" name="확률[1]" dataDxfId="53">
      <calculatedColumnFormula>IFERROR(ROUNDDOWN(표10[[#This Row],[최종배당'[1']]]/표10[[#This Row],[분모]]*100,0)&amp;"%","-")</calculatedColumnFormula>
    </tableColumn>
    <tableColumn id="6" xr3:uid="{2899C283-EEA4-467F-9371-6DE3B5E9A916}" name="발견물[2]" dataDxfId="52"/>
    <tableColumn id="14" xr3:uid="{740592DC-1A31-4029-B94D-026518CB1C1F}" name="확률[2]" dataDxfId="51">
      <calculatedColumnFormula>IFERROR(ROUNDDOWN(표10[[#This Row],[최종배당'[2']]]/표10[[#This Row],[분모]]*100,0)&amp;"%","-")</calculatedColumnFormula>
    </tableColumn>
    <tableColumn id="7" xr3:uid="{F6287793-246F-455A-96EC-757BB11133E6}" name="발견물[3]" dataDxfId="50"/>
    <tableColumn id="15" xr3:uid="{E421CB42-77CB-434A-B216-077F7AA8B09C}" name="확률[3]" dataDxfId="49">
      <calculatedColumnFormula>IFERROR(ROUNDDOWN(표10[[#This Row],[최종배당'[3']]]/표10[[#This Row],[분모]]*100,0)&amp;"%","-")</calculatedColumnFormula>
    </tableColumn>
    <tableColumn id="8" xr3:uid="{34F7669B-85D2-4AAE-9EE1-20B67E2BCFC7}" name="발견물[4]" dataDxfId="48"/>
    <tableColumn id="16" xr3:uid="{5610089D-627D-4344-95A7-88C662883FFE}" name="확률[4]" dataDxfId="47">
      <calculatedColumnFormula>IFERROR(ROUNDDOWN(표10[[#This Row],[최종배당'[4']]]/표10[[#This Row],[분모]]*100,0)&amp;"%","-")</calculatedColumnFormula>
    </tableColumn>
    <tableColumn id="9" xr3:uid="{2C51C1CC-0E1D-4817-B03B-D1994AFE1C10}" name="발견물[5]" dataDxfId="46"/>
    <tableColumn id="17" xr3:uid="{D6D6FD5B-CCDE-410C-9A27-16C58DC1BCB7}" name="확률[5]" dataDxfId="45">
      <calculatedColumnFormula>IFERROR(ROUNDDOWN(표10[[#This Row],[최종배당'[5']]]/표10[[#This Row],[분모]]*100,0)&amp;"%","-")</calculatedColumnFormula>
    </tableColumn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C410B73-5ED3-4727-A719-C7125EE5A2C3}" name="표10" displayName="표10" ref="S2:AQ115" totalsRowShown="0" headerRowDxfId="44" dataDxfId="43">
  <autoFilter ref="S2:AQ115" xr:uid="{AC410B73-5ED3-4727-A719-C7125EE5A2C3}"/>
  <tableColumns count="25">
    <tableColumn id="1" xr3:uid="{0DDBC152-8884-4D9D-9F25-9D501DC7BB19}" name="등급[0]" dataDxfId="42">
      <calculatedColumnFormula>IFERROR(VLOOKUP(표7[발견물'[0']],표1[[명칭]:[등급]],4,FALSE),"-")&amp;"급"</calculatedColumnFormula>
    </tableColumn>
    <tableColumn id="2" xr3:uid="{B2B1E7B5-49A9-4C12-9102-A1F40C28B643}" name="등급[1]" dataDxfId="41">
      <calculatedColumnFormula>IFERROR(VLOOKUP(표7[발견물'[1']],표1[[명칭]:[등급]],4,FALSE),"-")&amp;"급"</calculatedColumnFormula>
    </tableColumn>
    <tableColumn id="3" xr3:uid="{4987BC57-64E2-40EF-92AB-E8612CAED614}" name="등급[2]" dataDxfId="40">
      <calculatedColumnFormula>IFERROR(VLOOKUP(표7[발견물'[2']],표1[[명칭]:[등급]],4,FALSE),"-")&amp;"급"</calculatedColumnFormula>
    </tableColumn>
    <tableColumn id="4" xr3:uid="{A346ACF5-8BF8-4367-85E9-7C837888CC88}" name="등급[3]" dataDxfId="39">
      <calculatedColumnFormula>IFERROR(VLOOKUP(표7[발견물'[3']],표1[[명칭]:[등급]],4,FALSE),"-")&amp;"급"</calculatedColumnFormula>
    </tableColumn>
    <tableColumn id="5" xr3:uid="{76CDFE31-A857-4A0D-853D-54D4683183ED}" name="등급[4]" dataDxfId="38">
      <calculatedColumnFormula>IFERROR(VLOOKUP(표7[발견물'[4']],표1[[명칭]:[등급]],4,FALSE),"-")&amp;"급"</calculatedColumnFormula>
    </tableColumn>
    <tableColumn id="6" xr3:uid="{4556D52E-9E7A-4B47-90A0-E6CA9FEE0794}" name="등급[5]" dataDxfId="37">
      <calculatedColumnFormula>IFERROR(VLOOKUP(표7[발견물'[5']],표1[[명칭]:[등급]],4,FALSE),"-")&amp;"급"</calculatedColumnFormula>
    </tableColumn>
    <tableColumn id="9" xr3:uid="{92E28AEA-6616-4FAC-A8CF-75F5BFCCC6E4}" name="배당[0]" dataDxfId="36">
      <calculatedColumnFormula>IFERROR(INDEX([1]FishGrade!$I:$I,MATCH(표10[[#This Row],[등급'[0']]],[1]FishGrade!$B:$B,0)),"-")</calculatedColumnFormula>
    </tableColumn>
    <tableColumn id="10" xr3:uid="{42332004-7AB6-4771-ADEA-2607FDFC0C7C}" name="배당[1]" dataDxfId="35">
      <calculatedColumnFormula>IFERROR(INDEX([1]FishGrade!$I:$I,MATCH(표10[[#This Row],[등급'[1']]],[1]FishGrade!$B:$B,0)),"-")</calculatedColumnFormula>
    </tableColumn>
    <tableColumn id="11" xr3:uid="{AA1C10E0-FC39-4751-8E47-9A448D2CB211}" name="배당[2]" dataDxfId="34">
      <calculatedColumnFormula>IFERROR(INDEX([1]FishGrade!$I:$I,MATCH(표10[[#This Row],[등급'[2']]],[1]FishGrade!$B:$B,0)),"-")</calculatedColumnFormula>
    </tableColumn>
    <tableColumn id="12" xr3:uid="{DC9EADFE-870C-423E-B15F-C2AF32840825}" name="배당[3]" dataDxfId="33">
      <calculatedColumnFormula>IFERROR(INDEX([1]FishGrade!$I:$I,MATCH(표10[[#This Row],[등급'[3']]],[1]FishGrade!$B:$B,0)),"-")</calculatedColumnFormula>
    </tableColumn>
    <tableColumn id="13" xr3:uid="{67634582-E215-4232-B19B-8BED95008AF6}" name="배당[4]" dataDxfId="32">
      <calculatedColumnFormula>IFERROR(INDEX([1]FishGrade!$I:$I,MATCH(표10[[#This Row],[등급'[4']]],[1]FishGrade!$B:$B,0)),"-")</calculatedColumnFormula>
    </tableColumn>
    <tableColumn id="14" xr3:uid="{26E45E27-5053-4086-94E9-8FD39A5551D8}" name="배당[5]" dataDxfId="31">
      <calculatedColumnFormula>IFERROR(INDEX([1]FishGrade!$I:$I,MATCH(표10[[#This Row],[등급'[5']]],[1]FishGrade!$B:$B,0)),"-")</calculatedColumnFormula>
    </tableColumn>
    <tableColumn id="17" xr3:uid="{B0B674A0-FF6D-406D-9C8B-5F7CAA948D99}" name="PROB[0]" dataDxfId="30">
      <calculatedColumnFormula>IF([1]FishDiscoveryGroup!$I$8="-",0,[1]FishDiscoveryGroup!$I$8)</calculatedColumnFormula>
    </tableColumn>
    <tableColumn id="18" xr3:uid="{674101EF-2BA9-474A-9FD0-9F81C640E93D}" name="PROB[1]" dataDxfId="29">
      <calculatedColumnFormula>IF([1]FishDiscoveryGroup!$I$8="-",0,[1]FishDiscoveryGroup!$L$8)</calculatedColumnFormula>
    </tableColumn>
    <tableColumn id="19" xr3:uid="{646CBA13-4A39-4B06-906B-5CA8637AE16F}" name="PROB[2]" dataDxfId="28">
      <calculatedColumnFormula>IF([1]FishDiscoveryGroup!$I$8="-",0,[1]FishDiscoveryGroup!$O$8)</calculatedColumnFormula>
    </tableColumn>
    <tableColumn id="20" xr3:uid="{4AD107EA-4679-4231-B574-348B3ADD8084}" name="PROB[3]" dataDxfId="27">
      <calculatedColumnFormula>IF([1]FishDiscoveryGroup!$I$8="-",0,[1]FishDiscoveryGroup!$R$8)</calculatedColumnFormula>
    </tableColumn>
    <tableColumn id="21" xr3:uid="{1FC10883-9224-4A45-B82B-A6CC7A2C9DE1}" name="PROB[4]" dataDxfId="26">
      <calculatedColumnFormula>IF([1]FishDiscoveryGroup!$I$8="-",0,[1]FishDiscoveryGroup!$U$8)</calculatedColumnFormula>
    </tableColumn>
    <tableColumn id="22" xr3:uid="{5537DF2C-5E14-4F23-B931-7F5A5FD10B06}" name="PROB[5]" dataDxfId="25">
      <calculatedColumnFormula>IF([1]FishDiscoveryGroup!$I$8="-",0,[1]FishDiscoveryGroup!$X$8)</calculatedColumnFormula>
    </tableColumn>
    <tableColumn id="7" xr3:uid="{CCDF22B2-B24A-4C90-8A81-B1C545DE4FFA}" name="최종배당[0]" dataDxfId="24">
      <calculatedColumnFormula>IF(표10[[#This Row],[배당'[0']]]="-",0,표10[[#This Row],[배당'[0']]])+표10[[#This Row],[PROB'[0']]]</calculatedColumnFormula>
    </tableColumn>
    <tableColumn id="8" xr3:uid="{E16544B5-8998-496A-A881-32D3B81BFA85}" name="최종배당[1]" dataDxfId="23">
      <calculatedColumnFormula>IF(표10[[#This Row],[배당'[1']]]="-",0,표10[[#This Row],[배당'[1']]])+표10[[#This Row],[PROB'[1']]]</calculatedColumnFormula>
    </tableColumn>
    <tableColumn id="15" xr3:uid="{8DBD7BD7-324C-4294-BA5E-296295E22166}" name="최종배당[2]" dataDxfId="22">
      <calculatedColumnFormula>IF(표10[[#This Row],[배당'[2']]]="-",0,표10[[#This Row],[배당'[2']]])+표10[[#This Row],[PROB'[2']]]</calculatedColumnFormula>
    </tableColumn>
    <tableColumn id="16" xr3:uid="{8E0494DC-4681-42D9-8CEE-ED5883EAB67D}" name="최종배당[3]" dataDxfId="21">
      <calculatedColumnFormula>IF(표10[[#This Row],[배당'[3']]]="-",0,표10[[#This Row],[배당'[3']]])+표10[[#This Row],[PROB'[3']]]</calculatedColumnFormula>
    </tableColumn>
    <tableColumn id="23" xr3:uid="{BC2B90B6-835F-46FC-B755-2B91178C37F5}" name="최종배당[4]" dataDxfId="20">
      <calculatedColumnFormula>IF(표10[[#This Row],[배당'[4']]]="-",0,표10[[#This Row],[배당'[4']]])+표10[[#This Row],[PROB'[4']]]</calculatedColumnFormula>
    </tableColumn>
    <tableColumn id="24" xr3:uid="{7E2E7020-4BFA-451B-9365-6B1A86D88AE8}" name="최종배당[5]" dataDxfId="19">
      <calculatedColumnFormula>IF(표10[[#This Row],[배당'[5']]]="-",0,표10[[#This Row],[배당'[5']]])+표10[[#This Row],[PROB'[5']]]</calculatedColumnFormula>
    </tableColumn>
    <tableColumn id="25" xr3:uid="{7B6A7FF3-0958-43FA-80E6-223CD174DC8C}" name="분모" dataDxfId="18">
      <calculatedColumnFormula>SUM(표10[[#This Row],[최종배당'[0']]:[최종배당'[5']]])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iki.line.games/pages/viewpage.action?pageId=8959964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5EAB-4126-4411-AC11-63E639DDD39D}">
  <dimension ref="B2:D15"/>
  <sheetViews>
    <sheetView showGridLines="0" workbookViewId="0">
      <selection activeCell="D21" sqref="D21"/>
    </sheetView>
  </sheetViews>
  <sheetFormatPr defaultRowHeight="13.5" x14ac:dyDescent="0.3"/>
  <cols>
    <col min="1" max="2" width="3.75" style="20" customWidth="1"/>
    <col min="3" max="3" width="16.5" style="20" customWidth="1"/>
    <col min="4" max="4" width="51.625" style="20" customWidth="1"/>
    <col min="5" max="16384" width="9" style="20"/>
  </cols>
  <sheetData>
    <row r="2" spans="2:4" ht="20.25" x14ac:dyDescent="0.2">
      <c r="B2" s="26" t="s">
        <v>164</v>
      </c>
      <c r="C2" s="19"/>
      <c r="D2" s="19"/>
    </row>
    <row r="3" spans="2:4" x14ac:dyDescent="0.2">
      <c r="B3" s="18" t="s">
        <v>165</v>
      </c>
      <c r="C3" s="19"/>
      <c r="D3" s="19"/>
    </row>
    <row r="4" spans="2:4" x14ac:dyDescent="0.2">
      <c r="B4" s="19"/>
      <c r="C4" s="19"/>
      <c r="D4" s="19"/>
    </row>
    <row r="5" spans="2:4" ht="15" x14ac:dyDescent="0.25">
      <c r="B5" s="57" t="s">
        <v>212</v>
      </c>
      <c r="C5" s="19"/>
      <c r="D5" s="19"/>
    </row>
    <row r="6" spans="2:4" x14ac:dyDescent="0.2">
      <c r="B6" s="58" t="s">
        <v>166</v>
      </c>
      <c r="C6" s="59"/>
      <c r="D6" s="59"/>
    </row>
    <row r="7" spans="2:4" x14ac:dyDescent="0.2">
      <c r="B7" s="58" t="s">
        <v>167</v>
      </c>
      <c r="C7" s="59"/>
      <c r="D7" s="59"/>
    </row>
    <row r="8" spans="2:4" x14ac:dyDescent="0.2">
      <c r="B8" s="19"/>
      <c r="C8" s="18" t="s">
        <v>220</v>
      </c>
      <c r="D8" s="19"/>
    </row>
    <row r="9" spans="2:4" x14ac:dyDescent="0.2">
      <c r="B9" s="19"/>
      <c r="C9" s="18" t="s">
        <v>221</v>
      </c>
      <c r="D9" s="19"/>
    </row>
    <row r="10" spans="2:4" x14ac:dyDescent="0.2">
      <c r="B10" s="19"/>
      <c r="C10" s="19"/>
      <c r="D10" s="19"/>
    </row>
    <row r="11" spans="2:4" x14ac:dyDescent="0.3">
      <c r="B11" s="25"/>
      <c r="C11" s="18" t="s">
        <v>170</v>
      </c>
    </row>
    <row r="12" spans="2:4" x14ac:dyDescent="0.3">
      <c r="B12" s="60" t="s">
        <v>217</v>
      </c>
      <c r="C12" s="21"/>
    </row>
    <row r="13" spans="2:4" x14ac:dyDescent="0.3">
      <c r="C13" s="21"/>
    </row>
    <row r="14" spans="2:4" x14ac:dyDescent="0.3">
      <c r="B14" s="20" t="s">
        <v>219</v>
      </c>
      <c r="C14" s="21"/>
    </row>
    <row r="15" spans="2:4" x14ac:dyDescent="0.3">
      <c r="B15" s="29" t="s">
        <v>218</v>
      </c>
    </row>
  </sheetData>
  <phoneticPr fontId="1" type="noConversion"/>
  <hyperlinks>
    <hyperlink ref="B15" r:id="rId1" xr:uid="{22A06276-8AAF-44DC-BB6D-361E8ED7F4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9B54-5D04-4EF6-8E65-CF742CACEC73}">
  <dimension ref="B1:O2728"/>
  <sheetViews>
    <sheetView showGridLines="0" tabSelected="1" topLeftCell="A2" workbookViewId="0">
      <selection activeCell="C18" sqref="C18"/>
    </sheetView>
  </sheetViews>
  <sheetFormatPr defaultRowHeight="13.5" x14ac:dyDescent="0.3"/>
  <cols>
    <col min="1" max="1" width="3.75" style="20" customWidth="1"/>
    <col min="2" max="2" width="11.875" style="20" bestFit="1" customWidth="1"/>
    <col min="3" max="3" width="33.125" style="20" bestFit="1" customWidth="1"/>
    <col min="4" max="4" width="9.375" style="20" bestFit="1" customWidth="1"/>
    <col min="5" max="5" width="11.625" style="20" bestFit="1" customWidth="1"/>
    <col min="6" max="6" width="7.5" style="20" bestFit="1" customWidth="1"/>
    <col min="7" max="7" width="13" style="33" bestFit="1" customWidth="1"/>
    <col min="8" max="12" width="3.125" style="33" customWidth="1"/>
    <col min="13" max="15" width="3.125" style="50" customWidth="1"/>
    <col min="16" max="16384" width="9" style="20"/>
  </cols>
  <sheetData>
    <row r="1" spans="2:15" x14ac:dyDescent="0.3">
      <c r="H1" s="75" t="s">
        <v>33</v>
      </c>
      <c r="I1" s="75"/>
      <c r="J1" s="75"/>
      <c r="K1" s="75"/>
      <c r="L1" s="75"/>
      <c r="M1" s="75"/>
      <c r="N1" s="62"/>
      <c r="O1" s="64"/>
    </row>
    <row r="2" spans="2:15" ht="55.5" x14ac:dyDescent="0.3">
      <c r="B2" s="34" t="s">
        <v>1</v>
      </c>
      <c r="C2" s="35" t="s">
        <v>0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7" t="s">
        <v>10</v>
      </c>
      <c r="M2" s="36" t="s">
        <v>32</v>
      </c>
      <c r="N2" s="68" t="s">
        <v>224</v>
      </c>
      <c r="O2" s="68" t="s">
        <v>356</v>
      </c>
    </row>
    <row r="3" spans="2:15" ht="13.5" customHeight="1" x14ac:dyDescent="0.3">
      <c r="B3" s="9">
        <f>[1]Discovery!A9</f>
        <v>70401000</v>
      </c>
      <c r="C3" s="9" t="str">
        <f>[1]Discovery!B9</f>
        <v>가야 철갑옷</v>
      </c>
      <c r="D3" s="9" t="str">
        <f>[1]Discovery!E9</f>
        <v>유물</v>
      </c>
      <c r="E3" s="9" t="str">
        <f>[1]Discovery!C9</f>
        <v>역사유물</v>
      </c>
      <c r="F3" s="9" t="str">
        <f>[1]Discovery!G9</f>
        <v>B</v>
      </c>
      <c r="G3" s="9" t="str">
        <f>IFERROR(VLOOKUP(표1[[#This Row],[명칭]],'문화권 정리'!C:D,2,FALSE),"-")</f>
        <v>동아시아</v>
      </c>
      <c r="H3" s="38" t="str">
        <f>IFERROR(COUNTIF([2]OceanDoodad!$Y:$Y,표1[[#This Row],[명칭]]),"-")</f>
        <v>-</v>
      </c>
      <c r="I3" s="38">
        <f>IFERROR(COUNTIF([1]AdventureDiscoveryGroup!$D$8:$AW$92,표1[[#This Row],[명칭]]),"-")</f>
        <v>0</v>
      </c>
      <c r="J3" s="38">
        <f>IFERROR(COUNTIF([1]FishDiscoveryGroup!$A:$X,표1[[#This Row],[명칭]]),"-")</f>
        <v>0</v>
      </c>
      <c r="K3" s="38" t="str">
        <f>IFERROR(COUNTIF([2]Town!$B:$B,표1[[#This Row],[명칭]]),"-")</f>
        <v>-</v>
      </c>
      <c r="L3" s="38">
        <f>IFERROR(COUNTIF([1]Village!$BR:$BR,표1[[#This Row],[명칭]]),"-")</f>
        <v>0</v>
      </c>
      <c r="M3" s="38">
        <f>COUNTIF(퀘스트!B:B,표1[[#This Row],[명칭]])</f>
        <v>0</v>
      </c>
      <c r="N3" s="66">
        <f>COUNTIF([1]VillageDiscoveryGroup!$C:$C,표1[[#This Row],[명칭]])</f>
        <v>0</v>
      </c>
      <c r="O3" s="66">
        <f>SUM(표1[[#This Row],[해양탐색]:[마을탐험]])</f>
        <v>0</v>
      </c>
    </row>
    <row r="4" spans="2:15" ht="13.5" customHeight="1" x14ac:dyDescent="0.3">
      <c r="B4" s="9">
        <f>[1]Discovery!A10</f>
        <v>70401001</v>
      </c>
      <c r="C4" s="9" t="str">
        <f>[1]Discovery!B10</f>
        <v>가타멜라타 기마상</v>
      </c>
      <c r="D4" s="9" t="str">
        <f>[1]Discovery!E10</f>
        <v>유물</v>
      </c>
      <c r="E4" s="9" t="str">
        <f>[1]Discovery!C10</f>
        <v>역사유물</v>
      </c>
      <c r="F4" s="9" t="str">
        <f>[1]Discovery!G10</f>
        <v>C</v>
      </c>
      <c r="G4" s="9" t="str">
        <f>IFERROR(VLOOKUP(표1[[#This Row],[명칭]],'문화권 정리'!C:D,2,FALSE),"-")</f>
        <v>지중해</v>
      </c>
      <c r="H4" s="38" t="str">
        <f>IFERROR(COUNTIF([2]OceanDoodad!$Y:$Y,표1[[#This Row],[명칭]]),"-")</f>
        <v>-</v>
      </c>
      <c r="I4" s="38">
        <f>IFERROR(COUNTIF([1]AdventureDiscoveryGroup!$D$8:$AW$92,표1[[#This Row],[명칭]]),"-")</f>
        <v>0</v>
      </c>
      <c r="J4" s="38">
        <f>IFERROR(COUNTIF([1]FishDiscoveryGroup!$A:$X,표1[[#This Row],[명칭]]),"-")</f>
        <v>0</v>
      </c>
      <c r="K4" s="38" t="str">
        <f>IFERROR(COUNTIF([2]Town!$B:$B,표1[[#This Row],[명칭]]),"-")</f>
        <v>-</v>
      </c>
      <c r="L4" s="38">
        <f>IFERROR(COUNTIF([1]Village!$BR:$BR,표1[[#This Row],[명칭]]),"-")</f>
        <v>0</v>
      </c>
      <c r="M4" s="38">
        <f>COUNTIF(퀘스트!B:B,표1[[#This Row],[명칭]])</f>
        <v>0</v>
      </c>
      <c r="N4" s="65">
        <f>COUNTIF([1]VillageDiscoveryGroup!$C:$C,표1[[#This Row],[명칭]])</f>
        <v>0</v>
      </c>
      <c r="O4" s="65">
        <f>SUM(표1[[#This Row],[해양탐색]:[마을탐험]])</f>
        <v>0</v>
      </c>
    </row>
    <row r="5" spans="2:15" ht="13.5" customHeight="1" x14ac:dyDescent="0.3">
      <c r="B5" s="9">
        <f>[1]Discovery!A11</f>
        <v>70401002</v>
      </c>
      <c r="C5" s="9" t="str">
        <f>[1]Discovery!B11</f>
        <v>검투사의 투구</v>
      </c>
      <c r="D5" s="9" t="str">
        <f>[1]Discovery!E11</f>
        <v>유물</v>
      </c>
      <c r="E5" s="9" t="str">
        <f>[1]Discovery!C11</f>
        <v>역사유물</v>
      </c>
      <c r="F5" s="9" t="str">
        <f>[1]Discovery!G11</f>
        <v>C</v>
      </c>
      <c r="G5" s="9" t="str">
        <f>IFERROR(VLOOKUP(표1[[#This Row],[명칭]],'문화권 정리'!C:D,2,FALSE),"-")</f>
        <v>지중해</v>
      </c>
      <c r="H5" s="38" t="str">
        <f>IFERROR(COUNTIF([2]OceanDoodad!$Y:$Y,표1[[#This Row],[명칭]]),"-")</f>
        <v>-</v>
      </c>
      <c r="I5" s="38">
        <f>IFERROR(COUNTIF([1]AdventureDiscoveryGroup!$D$8:$AW$92,표1[[#This Row],[명칭]]),"-")</f>
        <v>0</v>
      </c>
      <c r="J5" s="38">
        <f>IFERROR(COUNTIF([1]FishDiscoveryGroup!$A:$X,표1[[#This Row],[명칭]]),"-")</f>
        <v>0</v>
      </c>
      <c r="K5" s="38" t="str">
        <f>IFERROR(COUNTIF([2]Town!$B:$B,표1[[#This Row],[명칭]]),"-")</f>
        <v>-</v>
      </c>
      <c r="L5" s="38">
        <f>IFERROR(COUNTIF([1]Village!$BR:$BR,표1[[#This Row],[명칭]]),"-")</f>
        <v>0</v>
      </c>
      <c r="M5" s="38">
        <f>COUNTIF(퀘스트!B:B,표1[[#This Row],[명칭]])</f>
        <v>0</v>
      </c>
      <c r="N5" s="65">
        <f>COUNTIF([1]VillageDiscoveryGroup!$C:$C,표1[[#This Row],[명칭]])</f>
        <v>0</v>
      </c>
      <c r="O5" s="65">
        <f>SUM(표1[[#This Row],[해양탐색]:[마을탐험]])</f>
        <v>0</v>
      </c>
    </row>
    <row r="6" spans="2:15" ht="13.5" customHeight="1" x14ac:dyDescent="0.3">
      <c r="B6" s="9">
        <f>[1]Discovery!A12</f>
        <v>70401003</v>
      </c>
      <c r="C6" s="9" t="str">
        <f>[1]Discovery!B12</f>
        <v>게르</v>
      </c>
      <c r="D6" s="9" t="str">
        <f>[1]Discovery!E12</f>
        <v>유물</v>
      </c>
      <c r="E6" s="9" t="str">
        <f>[1]Discovery!C12</f>
        <v>역사유물</v>
      </c>
      <c r="F6" s="9" t="str">
        <f>[1]Discovery!G12</f>
        <v>B</v>
      </c>
      <c r="G6" s="9" t="str">
        <f>IFERROR(VLOOKUP(표1[[#This Row],[명칭]],'문화권 정리'!C:D,2,FALSE),"-")</f>
        <v>동아시아</v>
      </c>
      <c r="H6" s="38" t="str">
        <f>IFERROR(COUNTIF([2]OceanDoodad!$Y:$Y,표1[[#This Row],[명칭]]),"-")</f>
        <v>-</v>
      </c>
      <c r="I6" s="38">
        <f>IFERROR(COUNTIF([1]AdventureDiscoveryGroup!$D$8:$AW$92,표1[[#This Row],[명칭]]),"-")</f>
        <v>0</v>
      </c>
      <c r="J6" s="38">
        <f>IFERROR(COUNTIF([1]FishDiscoveryGroup!$A:$X,표1[[#This Row],[명칭]]),"-")</f>
        <v>0</v>
      </c>
      <c r="K6" s="38" t="str">
        <f>IFERROR(COUNTIF([2]Town!$B:$B,표1[[#This Row],[명칭]]),"-")</f>
        <v>-</v>
      </c>
      <c r="L6" s="38">
        <f>IFERROR(COUNTIF([1]Village!$BR:$BR,표1[[#This Row],[명칭]]),"-")</f>
        <v>0</v>
      </c>
      <c r="M6" s="38">
        <f>COUNTIF(퀘스트!B:B,표1[[#This Row],[명칭]])</f>
        <v>0</v>
      </c>
      <c r="N6" s="65">
        <f>COUNTIF([1]VillageDiscoveryGroup!$C:$C,표1[[#This Row],[명칭]])</f>
        <v>1</v>
      </c>
      <c r="O6" s="65">
        <f>SUM(표1[[#This Row],[해양탐색]:[마을탐험]])</f>
        <v>1</v>
      </c>
    </row>
    <row r="7" spans="2:15" ht="13.5" customHeight="1" x14ac:dyDescent="0.3">
      <c r="B7" s="9">
        <f>[1]Discovery!A13</f>
        <v>70401004</v>
      </c>
      <c r="C7" s="9" t="str">
        <f>[1]Discovery!B13</f>
        <v>게클랭의 마상창</v>
      </c>
      <c r="D7" s="9" t="str">
        <f>[1]Discovery!E13</f>
        <v>보물</v>
      </c>
      <c r="E7" s="9" t="str">
        <f>[1]Discovery!C13</f>
        <v>보물</v>
      </c>
      <c r="F7" s="9" t="str">
        <f>[1]Discovery!G13</f>
        <v>A</v>
      </c>
      <c r="G7" s="9" t="str">
        <f>IFERROR(VLOOKUP(표1[[#This Row],[명칭]],'문화권 정리'!C:D,2,FALSE),"-")</f>
        <v>지중해</v>
      </c>
      <c r="H7" s="38" t="str">
        <f>IFERROR(COUNTIF([2]OceanDoodad!$Y:$Y,표1[[#This Row],[명칭]]),"-")</f>
        <v>-</v>
      </c>
      <c r="I7" s="38">
        <f>IFERROR(COUNTIF([1]AdventureDiscoveryGroup!$D$8:$AW$92,표1[[#This Row],[명칭]]),"-")</f>
        <v>0</v>
      </c>
      <c r="J7" s="38">
        <f>IFERROR(COUNTIF([1]FishDiscoveryGroup!$A:$X,표1[[#This Row],[명칭]]),"-")</f>
        <v>0</v>
      </c>
      <c r="K7" s="38" t="str">
        <f>IFERROR(COUNTIF([2]Town!$B:$B,표1[[#This Row],[명칭]]),"-")</f>
        <v>-</v>
      </c>
      <c r="L7" s="38">
        <f>IFERROR(COUNTIF([1]Village!$BR:$BR,표1[[#This Row],[명칭]]),"-")</f>
        <v>0</v>
      </c>
      <c r="M7" s="38">
        <f>COUNTIF(퀘스트!B:B,표1[[#This Row],[명칭]])</f>
        <v>0</v>
      </c>
      <c r="N7" s="65">
        <f>COUNTIF([1]VillageDiscoveryGroup!$C:$C,표1[[#This Row],[명칭]])</f>
        <v>0</v>
      </c>
      <c r="O7" s="65">
        <f>SUM(표1[[#This Row],[해양탐색]:[마을탐험]])</f>
        <v>0</v>
      </c>
    </row>
    <row r="8" spans="2:15" ht="13.5" customHeight="1" x14ac:dyDescent="0.3">
      <c r="B8" s="9">
        <f>[1]Discovery!A14</f>
        <v>70401006</v>
      </c>
      <c r="C8" s="9" t="str">
        <f>[1]Discovery!B14</f>
        <v>골각기</v>
      </c>
      <c r="D8" s="9" t="str">
        <f>[1]Discovery!E14</f>
        <v>유물</v>
      </c>
      <c r="E8" s="9" t="str">
        <f>[1]Discovery!C14</f>
        <v>역사유물</v>
      </c>
      <c r="F8" s="9" t="str">
        <f>[1]Discovery!G14</f>
        <v>D</v>
      </c>
      <c r="G8" s="9" t="str">
        <f>IFERROR(VLOOKUP(표1[[#This Row],[명칭]],'문화권 정리'!C:D,2,FALSE),"-")</f>
        <v>남아시아</v>
      </c>
      <c r="H8" s="38" t="str">
        <f>IFERROR(COUNTIF([2]OceanDoodad!$Y:$Y,표1[[#This Row],[명칭]]),"-")</f>
        <v>-</v>
      </c>
      <c r="I8" s="38">
        <f>IFERROR(COUNTIF([1]AdventureDiscoveryGroup!$D$8:$AW$92,표1[[#This Row],[명칭]]),"-")</f>
        <v>0</v>
      </c>
      <c r="J8" s="38">
        <f>IFERROR(COUNTIF([1]FishDiscoveryGroup!$A:$X,표1[[#This Row],[명칭]]),"-")</f>
        <v>0</v>
      </c>
      <c r="K8" s="38" t="str">
        <f>IFERROR(COUNTIF([2]Town!$B:$B,표1[[#This Row],[명칭]]),"-")</f>
        <v>-</v>
      </c>
      <c r="L8" s="38">
        <f>IFERROR(COUNTIF([1]Village!$BR:$BR,표1[[#This Row],[명칭]]),"-")</f>
        <v>0</v>
      </c>
      <c r="M8" s="38">
        <f>COUNTIF(퀘스트!B:B,표1[[#This Row],[명칭]])</f>
        <v>0</v>
      </c>
      <c r="N8" s="65">
        <f>COUNTIF([1]VillageDiscoveryGroup!$C:$C,표1[[#This Row],[명칭]])</f>
        <v>0</v>
      </c>
      <c r="O8" s="65">
        <f>SUM(표1[[#This Row],[해양탐색]:[마을탐험]])</f>
        <v>0</v>
      </c>
    </row>
    <row r="9" spans="2:15" ht="13.5" customHeight="1" x14ac:dyDescent="0.3">
      <c r="B9" s="9">
        <f>[1]Discovery!A15</f>
        <v>70401007</v>
      </c>
      <c r="C9" s="9" t="str">
        <f>[1]Discovery!B15</f>
        <v>관두의</v>
      </c>
      <c r="D9" s="9" t="str">
        <f>[1]Discovery!E15</f>
        <v>보물</v>
      </c>
      <c r="E9" s="9" t="str">
        <f>[1]Discovery!C15</f>
        <v>보물</v>
      </c>
      <c r="F9" s="9" t="str">
        <f>[1]Discovery!G15</f>
        <v>B</v>
      </c>
      <c r="G9" s="9" t="str">
        <f>IFERROR(VLOOKUP(표1[[#This Row],[명칭]],'문화권 정리'!C:D,2,FALSE),"-")</f>
        <v>남아메리카</v>
      </c>
      <c r="H9" s="38" t="str">
        <f>IFERROR(COUNTIF([2]OceanDoodad!$Y:$Y,표1[[#This Row],[명칭]]),"-")</f>
        <v>-</v>
      </c>
      <c r="I9" s="38">
        <f>IFERROR(COUNTIF([1]AdventureDiscoveryGroup!$D$8:$AW$92,표1[[#This Row],[명칭]]),"-")</f>
        <v>0</v>
      </c>
      <c r="J9" s="38">
        <f>IFERROR(COUNTIF([1]FishDiscoveryGroup!$A:$X,표1[[#This Row],[명칭]]),"-")</f>
        <v>0</v>
      </c>
      <c r="K9" s="38" t="str">
        <f>IFERROR(COUNTIF([2]Town!$B:$B,표1[[#This Row],[명칭]]),"-")</f>
        <v>-</v>
      </c>
      <c r="L9" s="38">
        <f>IFERROR(COUNTIF([1]Village!$BR:$BR,표1[[#This Row],[명칭]]),"-")</f>
        <v>0</v>
      </c>
      <c r="M9" s="38">
        <f>COUNTIF(퀘스트!B:B,표1[[#This Row],[명칭]])</f>
        <v>0</v>
      </c>
      <c r="N9" s="65">
        <f>COUNTIF([1]VillageDiscoveryGroup!$C:$C,표1[[#This Row],[명칭]])</f>
        <v>0</v>
      </c>
      <c r="O9" s="65">
        <f>SUM(표1[[#This Row],[해양탐색]:[마을탐험]])</f>
        <v>0</v>
      </c>
    </row>
    <row r="10" spans="2:15" ht="13.5" customHeight="1" x14ac:dyDescent="0.3">
      <c r="B10" s="9" t="str">
        <f>[1]Discovery!A16</f>
        <v>#70401008</v>
      </c>
      <c r="C10" s="9" t="str">
        <f>[1]Discovery!B16</f>
        <v>구멍 뚫린 두개골</v>
      </c>
      <c r="D10" s="9" t="str">
        <f>[1]Discovery!E16</f>
        <v>유물</v>
      </c>
      <c r="E10" s="9" t="str">
        <f>[1]Discovery!C16</f>
        <v>역사유물</v>
      </c>
      <c r="F10" s="9" t="str">
        <f>[1]Discovery!G16</f>
        <v>C</v>
      </c>
      <c r="G10" s="9" t="str">
        <f>IFERROR(VLOOKUP(표1[[#This Row],[명칭]],'문화권 정리'!C:D,2,FALSE),"-")</f>
        <v>북아메리카</v>
      </c>
      <c r="H10" s="38" t="str">
        <f>IFERROR(COUNTIF([2]OceanDoodad!$Y:$Y,표1[[#This Row],[명칭]]),"-")</f>
        <v>-</v>
      </c>
      <c r="I10" s="38">
        <f>IFERROR(COUNTIF([1]AdventureDiscoveryGroup!$D$8:$AW$92,표1[[#This Row],[명칭]]),"-")</f>
        <v>0</v>
      </c>
      <c r="J10" s="38">
        <f>IFERROR(COUNTIF([1]FishDiscoveryGroup!$A:$X,표1[[#This Row],[명칭]]),"-")</f>
        <v>0</v>
      </c>
      <c r="K10" s="38" t="str">
        <f>IFERROR(COUNTIF([2]Town!$B:$B,표1[[#This Row],[명칭]]),"-")</f>
        <v>-</v>
      </c>
      <c r="L10" s="38">
        <f>IFERROR(COUNTIF([1]Village!$BR:$BR,표1[[#This Row],[명칭]]),"-")</f>
        <v>0</v>
      </c>
      <c r="M10" s="38">
        <f>COUNTIF(퀘스트!B:B,표1[[#This Row],[명칭]])</f>
        <v>0</v>
      </c>
      <c r="N10" s="65">
        <f>COUNTIF([1]VillageDiscoveryGroup!$C:$C,표1[[#This Row],[명칭]])</f>
        <v>0</v>
      </c>
      <c r="O10" s="65">
        <f>SUM(표1[[#This Row],[해양탐색]:[마을탐험]])</f>
        <v>0</v>
      </c>
    </row>
    <row r="11" spans="2:15" ht="13.5" customHeight="1" x14ac:dyDescent="0.3">
      <c r="B11" s="9">
        <f>[1]Discovery!A17</f>
        <v>70401009</v>
      </c>
      <c r="C11" s="9" t="str">
        <f>[1]Discovery!B17</f>
        <v>그리스 문자의 석판</v>
      </c>
      <c r="D11" s="9" t="str">
        <f>[1]Discovery!E17</f>
        <v>유물</v>
      </c>
      <c r="E11" s="9" t="str">
        <f>[1]Discovery!C17</f>
        <v>역사유물</v>
      </c>
      <c r="F11" s="9" t="str">
        <f>[1]Discovery!G17</f>
        <v>D</v>
      </c>
      <c r="G11" s="9" t="str">
        <f>IFERROR(VLOOKUP(표1[[#This Row],[명칭]],'문화권 정리'!C:D,2,FALSE),"-")</f>
        <v>지중해</v>
      </c>
      <c r="H11" s="38" t="str">
        <f>IFERROR(COUNTIF([2]OceanDoodad!$Y:$Y,표1[[#This Row],[명칭]]),"-")</f>
        <v>-</v>
      </c>
      <c r="I11" s="38">
        <f>IFERROR(COUNTIF([1]AdventureDiscoveryGroup!$D$8:$AW$92,표1[[#This Row],[명칭]]),"-")</f>
        <v>1</v>
      </c>
      <c r="J11" s="38">
        <f>IFERROR(COUNTIF([1]FishDiscoveryGroup!$A:$X,표1[[#This Row],[명칭]]),"-")</f>
        <v>0</v>
      </c>
      <c r="K11" s="38" t="str">
        <f>IFERROR(COUNTIF([2]Town!$B:$B,표1[[#This Row],[명칭]]),"-")</f>
        <v>-</v>
      </c>
      <c r="L11" s="38">
        <f>IFERROR(COUNTIF([1]Village!$BR:$BR,표1[[#This Row],[명칭]]),"-")</f>
        <v>0</v>
      </c>
      <c r="M11" s="38">
        <f>COUNTIF(퀘스트!B:B,표1[[#This Row],[명칭]])</f>
        <v>0</v>
      </c>
      <c r="N11" s="65">
        <f>COUNTIF([1]VillageDiscoveryGroup!$C:$C,표1[[#This Row],[명칭]])</f>
        <v>0</v>
      </c>
      <c r="O11" s="65">
        <f>SUM(표1[[#This Row],[해양탐색]:[마을탐험]])</f>
        <v>1</v>
      </c>
    </row>
    <row r="12" spans="2:15" ht="13.5" customHeight="1" x14ac:dyDescent="0.3">
      <c r="B12" s="9">
        <f>[1]Discovery!A18</f>
        <v>70401010</v>
      </c>
      <c r="C12" s="9" t="str">
        <f>[1]Discovery!B18</f>
        <v>그리스의 불</v>
      </c>
      <c r="D12" s="9" t="str">
        <f>[1]Discovery!E18</f>
        <v>유물</v>
      </c>
      <c r="E12" s="9" t="str">
        <f>[1]Discovery!C18</f>
        <v>역사유물</v>
      </c>
      <c r="F12" s="9" t="str">
        <f>[1]Discovery!G18</f>
        <v>B</v>
      </c>
      <c r="G12" s="9" t="str">
        <f>IFERROR(VLOOKUP(표1[[#This Row],[명칭]],'문화권 정리'!C:D,2,FALSE),"-")</f>
        <v>지중해</v>
      </c>
      <c r="H12" s="38" t="str">
        <f>IFERROR(COUNTIF([2]OceanDoodad!$Y:$Y,표1[[#This Row],[명칭]]),"-")</f>
        <v>-</v>
      </c>
      <c r="I12" s="38">
        <f>IFERROR(COUNTIF([1]AdventureDiscoveryGroup!$D$8:$AW$92,표1[[#This Row],[명칭]]),"-")</f>
        <v>0</v>
      </c>
      <c r="J12" s="38">
        <f>IFERROR(COUNTIF([1]FishDiscoveryGroup!$A:$X,표1[[#This Row],[명칭]]),"-")</f>
        <v>0</v>
      </c>
      <c r="K12" s="38" t="str">
        <f>IFERROR(COUNTIF([2]Town!$B:$B,표1[[#This Row],[명칭]]),"-")</f>
        <v>-</v>
      </c>
      <c r="L12" s="38">
        <f>IFERROR(COUNTIF([1]Village!$BR:$BR,표1[[#This Row],[명칭]]),"-")</f>
        <v>0</v>
      </c>
      <c r="M12" s="38">
        <f>COUNTIF(퀘스트!B:B,표1[[#This Row],[명칭]])</f>
        <v>1</v>
      </c>
      <c r="N12" s="65">
        <f>COUNTIF([1]VillageDiscoveryGroup!$C:$C,표1[[#This Row],[명칭]])</f>
        <v>0</v>
      </c>
      <c r="O12" s="65">
        <f>SUM(표1[[#This Row],[해양탐색]:[마을탐험]])</f>
        <v>1</v>
      </c>
    </row>
    <row r="13" spans="2:15" ht="13.5" customHeight="1" x14ac:dyDescent="0.3">
      <c r="B13" s="9">
        <f>[1]Discovery!A19</f>
        <v>70401011</v>
      </c>
      <c r="C13" s="9" t="str">
        <f>[1]Discovery!B19</f>
        <v>금각만의 쇠사슬</v>
      </c>
      <c r="D13" s="9" t="str">
        <f>[1]Discovery!E19</f>
        <v>유물</v>
      </c>
      <c r="E13" s="9" t="str">
        <f>[1]Discovery!C19</f>
        <v>역사유물</v>
      </c>
      <c r="F13" s="9" t="str">
        <f>[1]Discovery!G19</f>
        <v>B</v>
      </c>
      <c r="G13" s="9" t="str">
        <f>IFERROR(VLOOKUP(표1[[#This Row],[명칭]],'문화권 정리'!C:D,2,FALSE),"-")</f>
        <v>지중해</v>
      </c>
      <c r="H13" s="38" t="str">
        <f>IFERROR(COUNTIF([2]OceanDoodad!$Y:$Y,표1[[#This Row],[명칭]]),"-")</f>
        <v>-</v>
      </c>
      <c r="I13" s="38">
        <f>IFERROR(COUNTIF([1]AdventureDiscoveryGroup!$D$8:$AW$92,표1[[#This Row],[명칭]]),"-")</f>
        <v>0</v>
      </c>
      <c r="J13" s="38">
        <f>IFERROR(COUNTIF([1]FishDiscoveryGroup!$A:$X,표1[[#This Row],[명칭]]),"-")</f>
        <v>0</v>
      </c>
      <c r="K13" s="38" t="str">
        <f>IFERROR(COUNTIF([2]Town!$B:$B,표1[[#This Row],[명칭]]),"-")</f>
        <v>-</v>
      </c>
      <c r="L13" s="38">
        <f>IFERROR(COUNTIF([1]Village!$BR:$BR,표1[[#This Row],[명칭]]),"-")</f>
        <v>0</v>
      </c>
      <c r="M13" s="38">
        <f>COUNTIF(퀘스트!B:B,표1[[#This Row],[명칭]])</f>
        <v>1</v>
      </c>
      <c r="N13" s="65">
        <f>COUNTIF([1]VillageDiscoveryGroup!$C:$C,표1[[#This Row],[명칭]])</f>
        <v>0</v>
      </c>
      <c r="O13" s="65">
        <f>SUM(표1[[#This Row],[해양탐색]:[마을탐험]])</f>
        <v>1</v>
      </c>
    </row>
    <row r="14" spans="2:15" ht="13.5" customHeight="1" x14ac:dyDescent="0.3">
      <c r="B14" s="9">
        <f>[1]Discovery!A20</f>
        <v>70401012</v>
      </c>
      <c r="C14" s="9" t="str">
        <f>[1]Discovery!B20</f>
        <v>금루옥의</v>
      </c>
      <c r="D14" s="9" t="str">
        <f>[1]Discovery!E20</f>
        <v>유물</v>
      </c>
      <c r="E14" s="9" t="str">
        <f>[1]Discovery!C20</f>
        <v>역사유물</v>
      </c>
      <c r="F14" s="9" t="str">
        <f>[1]Discovery!G20</f>
        <v>C</v>
      </c>
      <c r="G14" s="9" t="str">
        <f>IFERROR(VLOOKUP(표1[[#This Row],[명칭]],'문화권 정리'!C:D,2,FALSE),"-")</f>
        <v>동아시아</v>
      </c>
      <c r="H14" s="38" t="str">
        <f>IFERROR(COUNTIF([2]OceanDoodad!$Y:$Y,표1[[#This Row],[명칭]]),"-")</f>
        <v>-</v>
      </c>
      <c r="I14" s="38">
        <f>IFERROR(COUNTIF([1]AdventureDiscoveryGroup!$D$8:$AW$92,표1[[#This Row],[명칭]]),"-")</f>
        <v>0</v>
      </c>
      <c r="J14" s="38">
        <f>IFERROR(COUNTIF([1]FishDiscoveryGroup!$A:$X,표1[[#This Row],[명칭]]),"-")</f>
        <v>0</v>
      </c>
      <c r="K14" s="38" t="str">
        <f>IFERROR(COUNTIF([2]Town!$B:$B,표1[[#This Row],[명칭]]),"-")</f>
        <v>-</v>
      </c>
      <c r="L14" s="38">
        <f>IFERROR(COUNTIF([1]Village!$BR:$BR,표1[[#This Row],[명칭]]),"-")</f>
        <v>0</v>
      </c>
      <c r="M14" s="38">
        <f>COUNTIF(퀘스트!B:B,표1[[#This Row],[명칭]])</f>
        <v>1</v>
      </c>
      <c r="N14" s="65">
        <f>COUNTIF([1]VillageDiscoveryGroup!$C:$C,표1[[#This Row],[명칭]])</f>
        <v>0</v>
      </c>
      <c r="O14" s="65">
        <f>SUM(표1[[#This Row],[해양탐색]:[마을탐험]])</f>
        <v>1</v>
      </c>
    </row>
    <row r="15" spans="2:15" ht="13.5" customHeight="1" x14ac:dyDescent="0.3">
      <c r="B15" s="9">
        <f>[1]Discovery!A21</f>
        <v>70401013</v>
      </c>
      <c r="C15" s="9" t="str">
        <f>[1]Discovery!B21</f>
        <v>길가메시의 서사시</v>
      </c>
      <c r="D15" s="9" t="str">
        <f>[1]Discovery!E21</f>
        <v>유물</v>
      </c>
      <c r="E15" s="9" t="str">
        <f>[1]Discovery!C21</f>
        <v>역사유물</v>
      </c>
      <c r="F15" s="9" t="str">
        <f>[1]Discovery!G21</f>
        <v>S</v>
      </c>
      <c r="G15" s="9" t="str">
        <f>IFERROR(VLOOKUP(표1[[#This Row],[명칭]],'문화권 정리'!C:D,2,FALSE),"-")</f>
        <v>서남아시아</v>
      </c>
      <c r="H15" s="38" t="str">
        <f>IFERROR(COUNTIF([2]OceanDoodad!$Y:$Y,표1[[#This Row],[명칭]]),"-")</f>
        <v>-</v>
      </c>
      <c r="I15" s="38">
        <f>IFERROR(COUNTIF([1]AdventureDiscoveryGroup!$D$8:$AW$92,표1[[#This Row],[명칭]]),"-")</f>
        <v>0</v>
      </c>
      <c r="J15" s="38">
        <f>IFERROR(COUNTIF([1]FishDiscoveryGroup!$A:$X,표1[[#This Row],[명칭]]),"-")</f>
        <v>0</v>
      </c>
      <c r="K15" s="38" t="str">
        <f>IFERROR(COUNTIF([2]Town!$B:$B,표1[[#This Row],[명칭]]),"-")</f>
        <v>-</v>
      </c>
      <c r="L15" s="38">
        <f>IFERROR(COUNTIF([1]Village!$BR:$BR,표1[[#This Row],[명칭]]),"-")</f>
        <v>0</v>
      </c>
      <c r="M15" s="38">
        <f>COUNTIF(퀘스트!B:B,표1[[#This Row],[명칭]])</f>
        <v>0</v>
      </c>
      <c r="N15" s="65">
        <f>COUNTIF([1]VillageDiscoveryGroup!$C:$C,표1[[#This Row],[명칭]])</f>
        <v>0</v>
      </c>
      <c r="O15" s="65">
        <f>SUM(표1[[#This Row],[해양탐색]:[마을탐험]])</f>
        <v>0</v>
      </c>
    </row>
    <row r="16" spans="2:15" ht="13.5" customHeight="1" x14ac:dyDescent="0.3">
      <c r="B16" s="9">
        <f>[1]Discovery!A22</f>
        <v>70401014</v>
      </c>
      <c r="C16" s="9" t="str">
        <f>[1]Discovery!B22</f>
        <v>나라티하파테 왕의 비수</v>
      </c>
      <c r="D16" s="9" t="str">
        <f>[1]Discovery!E22</f>
        <v>보물</v>
      </c>
      <c r="E16" s="9" t="str">
        <f>[1]Discovery!C22</f>
        <v>보물</v>
      </c>
      <c r="F16" s="9" t="str">
        <f>[1]Discovery!G22</f>
        <v>S</v>
      </c>
      <c r="G16" s="9" t="str">
        <f>IFERROR(VLOOKUP(표1[[#This Row],[명칭]],'문화권 정리'!C:D,2,FALSE),"-")</f>
        <v>동남아시아</v>
      </c>
      <c r="H16" s="38" t="str">
        <f>IFERROR(COUNTIF([2]OceanDoodad!$Y:$Y,표1[[#This Row],[명칭]]),"-")</f>
        <v>-</v>
      </c>
      <c r="I16" s="38">
        <f>IFERROR(COUNTIF([1]AdventureDiscoveryGroup!$D$8:$AW$92,표1[[#This Row],[명칭]]),"-")</f>
        <v>0</v>
      </c>
      <c r="J16" s="38">
        <f>IFERROR(COUNTIF([1]FishDiscoveryGroup!$A:$X,표1[[#This Row],[명칭]]),"-")</f>
        <v>0</v>
      </c>
      <c r="K16" s="38" t="str">
        <f>IFERROR(COUNTIF([2]Town!$B:$B,표1[[#This Row],[명칭]]),"-")</f>
        <v>-</v>
      </c>
      <c r="L16" s="38">
        <f>IFERROR(COUNTIF([1]Village!$BR:$BR,표1[[#This Row],[명칭]]),"-")</f>
        <v>0</v>
      </c>
      <c r="M16" s="38">
        <f>COUNTIF(퀘스트!B:B,표1[[#This Row],[명칭]])</f>
        <v>0</v>
      </c>
      <c r="N16" s="65">
        <f>COUNTIF([1]VillageDiscoveryGroup!$C:$C,표1[[#This Row],[명칭]])</f>
        <v>0</v>
      </c>
      <c r="O16" s="65">
        <f>SUM(표1[[#This Row],[해양탐색]:[마을탐험]])</f>
        <v>0</v>
      </c>
    </row>
    <row r="17" spans="2:15" ht="13.5" customHeight="1" x14ac:dyDescent="0.3">
      <c r="B17" s="9">
        <f>[1]Discovery!A23</f>
        <v>70401015</v>
      </c>
      <c r="C17" s="9" t="str">
        <f>[1]Discovery!B23</f>
        <v>나르메르 팔레트</v>
      </c>
      <c r="D17" s="9" t="str">
        <f>[1]Discovery!E23</f>
        <v>유물</v>
      </c>
      <c r="E17" s="9" t="str">
        <f>[1]Discovery!C23</f>
        <v>역사유물</v>
      </c>
      <c r="F17" s="9" t="str">
        <f>[1]Discovery!G23</f>
        <v>B</v>
      </c>
      <c r="G17" s="9" t="str">
        <f>IFERROR(VLOOKUP(표1[[#This Row],[명칭]],'문화권 정리'!C:D,2,FALSE),"-")</f>
        <v>북아프리카</v>
      </c>
      <c r="H17" s="38" t="str">
        <f>IFERROR(COUNTIF([2]OceanDoodad!$Y:$Y,표1[[#This Row],[명칭]]),"-")</f>
        <v>-</v>
      </c>
      <c r="I17" s="38">
        <f>IFERROR(COUNTIF([1]AdventureDiscoveryGroup!$D$8:$AW$92,표1[[#This Row],[명칭]]),"-")</f>
        <v>0</v>
      </c>
      <c r="J17" s="38">
        <f>IFERROR(COUNTIF([1]FishDiscoveryGroup!$A:$X,표1[[#This Row],[명칭]]),"-")</f>
        <v>0</v>
      </c>
      <c r="K17" s="38" t="str">
        <f>IFERROR(COUNTIF([2]Town!$B:$B,표1[[#This Row],[명칭]]),"-")</f>
        <v>-</v>
      </c>
      <c r="L17" s="38">
        <f>IFERROR(COUNTIF([1]Village!$BR:$BR,표1[[#This Row],[명칭]]),"-")</f>
        <v>0</v>
      </c>
      <c r="M17" s="38">
        <f>COUNTIF(퀘스트!B:B,표1[[#This Row],[명칭]])</f>
        <v>0</v>
      </c>
      <c r="N17" s="65">
        <f>COUNTIF([1]VillageDiscoveryGroup!$C:$C,표1[[#This Row],[명칭]])</f>
        <v>0</v>
      </c>
      <c r="O17" s="65">
        <f>SUM(표1[[#This Row],[해양탐색]:[마을탐험]])</f>
        <v>0</v>
      </c>
    </row>
    <row r="18" spans="2:15" ht="13.5" customHeight="1" x14ac:dyDescent="0.3">
      <c r="B18" s="9">
        <f>[1]Discovery!A24</f>
        <v>70401016</v>
      </c>
      <c r="C18" s="9" t="str">
        <f>[1]Discovery!B24</f>
        <v>나일로미터</v>
      </c>
      <c r="D18" s="9" t="str">
        <f>[1]Discovery!E24</f>
        <v>건축</v>
      </c>
      <c r="E18" s="9" t="str">
        <f>[1]Discovery!C24</f>
        <v>사적</v>
      </c>
      <c r="F18" s="9" t="str">
        <f>[1]Discovery!G24</f>
        <v>B</v>
      </c>
      <c r="G18" s="9" t="str">
        <f>IFERROR(VLOOKUP(표1[[#This Row],[명칭]],'문화권 정리'!C:D,2,FALSE),"-")</f>
        <v>북아프리카</v>
      </c>
      <c r="H18" s="38" t="str">
        <f>IFERROR(COUNTIF([2]OceanDoodad!$Y:$Y,표1[[#This Row],[명칭]]),"-")</f>
        <v>-</v>
      </c>
      <c r="I18" s="38">
        <f>IFERROR(COUNTIF([1]AdventureDiscoveryGroup!$D$8:$AW$92,표1[[#This Row],[명칭]]),"-")</f>
        <v>1</v>
      </c>
      <c r="J18" s="38">
        <f>IFERROR(COUNTIF([1]FishDiscoveryGroup!$A:$X,표1[[#This Row],[명칭]]),"-")</f>
        <v>0</v>
      </c>
      <c r="K18" s="38" t="str">
        <f>IFERROR(COUNTIF([2]Town!$B:$B,표1[[#This Row],[명칭]]),"-")</f>
        <v>-</v>
      </c>
      <c r="L18" s="38">
        <f>IFERROR(COUNTIF([1]Village!$BR:$BR,표1[[#This Row],[명칭]]),"-")</f>
        <v>0</v>
      </c>
      <c r="M18" s="38">
        <f>COUNTIF(퀘스트!B:B,표1[[#This Row],[명칭]])</f>
        <v>0</v>
      </c>
      <c r="N18" s="65">
        <f>COUNTIF([1]VillageDiscoveryGroup!$C:$C,표1[[#This Row],[명칭]])</f>
        <v>0</v>
      </c>
      <c r="O18" s="65">
        <f>SUM(표1[[#This Row],[해양탐색]:[마을탐험]])</f>
        <v>1</v>
      </c>
    </row>
    <row r="19" spans="2:15" ht="13.5" customHeight="1" x14ac:dyDescent="0.3">
      <c r="B19" s="9">
        <f>[1]Discovery!A25</f>
        <v>70401017</v>
      </c>
      <c r="C19" s="9" t="str">
        <f>[1]Discovery!B25</f>
        <v>네로황제의 대리석상</v>
      </c>
      <c r="D19" s="9" t="str">
        <f>[1]Discovery!E25</f>
        <v>유물</v>
      </c>
      <c r="E19" s="9" t="str">
        <f>[1]Discovery!C25</f>
        <v>역사유물</v>
      </c>
      <c r="F19" s="9" t="str">
        <f>[1]Discovery!G25</f>
        <v>B</v>
      </c>
      <c r="G19" s="9" t="str">
        <f>IFERROR(VLOOKUP(표1[[#This Row],[명칭]],'문화권 정리'!C:D,2,FALSE),"-")</f>
        <v>지중해</v>
      </c>
      <c r="H19" s="38" t="str">
        <f>IFERROR(COUNTIF([2]OceanDoodad!$Y:$Y,표1[[#This Row],[명칭]]),"-")</f>
        <v>-</v>
      </c>
      <c r="I19" s="38">
        <f>IFERROR(COUNTIF([1]AdventureDiscoveryGroup!$D$8:$AW$92,표1[[#This Row],[명칭]]),"-")</f>
        <v>0</v>
      </c>
      <c r="J19" s="38">
        <f>IFERROR(COUNTIF([1]FishDiscoveryGroup!$A:$X,표1[[#This Row],[명칭]]),"-")</f>
        <v>0</v>
      </c>
      <c r="K19" s="38" t="str">
        <f>IFERROR(COUNTIF([2]Town!$B:$B,표1[[#This Row],[명칭]]),"-")</f>
        <v>-</v>
      </c>
      <c r="L19" s="38">
        <f>IFERROR(COUNTIF([1]Village!$BR:$BR,표1[[#This Row],[명칭]]),"-")</f>
        <v>0</v>
      </c>
      <c r="M19" s="38">
        <f>COUNTIF(퀘스트!B:B,표1[[#This Row],[명칭]])</f>
        <v>0</v>
      </c>
      <c r="N19" s="65">
        <f>COUNTIF([1]VillageDiscoveryGroup!$C:$C,표1[[#This Row],[명칭]])</f>
        <v>0</v>
      </c>
      <c r="O19" s="65">
        <f>SUM(표1[[#This Row],[해양탐색]:[마을탐험]])</f>
        <v>0</v>
      </c>
    </row>
    <row r="20" spans="2:15" ht="13.5" customHeight="1" x14ac:dyDescent="0.3">
      <c r="B20" s="9">
        <f>[1]Discovery!A26</f>
        <v>70401018</v>
      </c>
      <c r="C20" s="9" t="str">
        <f>[1]Discovery!B26</f>
        <v>네르바 황제의 동상</v>
      </c>
      <c r="D20" s="9" t="str">
        <f>[1]Discovery!E26</f>
        <v>유물</v>
      </c>
      <c r="E20" s="9" t="str">
        <f>[1]Discovery!C26</f>
        <v>역사유물</v>
      </c>
      <c r="F20" s="9" t="str">
        <f>[1]Discovery!G26</f>
        <v>A</v>
      </c>
      <c r="G20" s="9" t="str">
        <f>IFERROR(VLOOKUP(표1[[#This Row],[명칭]],'문화권 정리'!C:D,2,FALSE),"-")</f>
        <v>지중해</v>
      </c>
      <c r="H20" s="38" t="str">
        <f>IFERROR(COUNTIF([2]OceanDoodad!$Y:$Y,표1[[#This Row],[명칭]]),"-")</f>
        <v>-</v>
      </c>
      <c r="I20" s="38">
        <f>IFERROR(COUNTIF([1]AdventureDiscoveryGroup!$D$8:$AW$92,표1[[#This Row],[명칭]]),"-")</f>
        <v>0</v>
      </c>
      <c r="J20" s="38">
        <f>IFERROR(COUNTIF([1]FishDiscoveryGroup!$A:$X,표1[[#This Row],[명칭]]),"-")</f>
        <v>0</v>
      </c>
      <c r="K20" s="38" t="str">
        <f>IFERROR(COUNTIF([2]Town!$B:$B,표1[[#This Row],[명칭]]),"-")</f>
        <v>-</v>
      </c>
      <c r="L20" s="38">
        <f>IFERROR(COUNTIF([1]Village!$BR:$BR,표1[[#This Row],[명칭]]),"-")</f>
        <v>0</v>
      </c>
      <c r="M20" s="38">
        <f>COUNTIF(퀘스트!B:B,표1[[#This Row],[명칭]])</f>
        <v>0</v>
      </c>
      <c r="N20" s="65">
        <f>COUNTIF([1]VillageDiscoveryGroup!$C:$C,표1[[#This Row],[명칭]])</f>
        <v>0</v>
      </c>
      <c r="O20" s="65">
        <f>SUM(표1[[#This Row],[해양탐색]:[마을탐험]])</f>
        <v>0</v>
      </c>
    </row>
    <row r="21" spans="2:15" ht="13.5" customHeight="1" x14ac:dyDescent="0.3">
      <c r="B21" s="9">
        <f>[1]Discovery!A27</f>
        <v>70401020</v>
      </c>
      <c r="C21" s="9" t="str">
        <f>[1]Discovery!B27</f>
        <v>다리우스 1세의 투구</v>
      </c>
      <c r="D21" s="9" t="str">
        <f>[1]Discovery!E27</f>
        <v>보물</v>
      </c>
      <c r="E21" s="9" t="str">
        <f>[1]Discovery!C27</f>
        <v>보물</v>
      </c>
      <c r="F21" s="9" t="str">
        <f>[1]Discovery!G27</f>
        <v>S</v>
      </c>
      <c r="G21" s="9" t="str">
        <f>IFERROR(VLOOKUP(표1[[#This Row],[명칭]],'문화권 정리'!C:D,2,FALSE),"-")</f>
        <v>서남아시아</v>
      </c>
      <c r="H21" s="38" t="str">
        <f>IFERROR(COUNTIF([2]OceanDoodad!$Y:$Y,표1[[#This Row],[명칭]]),"-")</f>
        <v>-</v>
      </c>
      <c r="I21" s="38">
        <f>IFERROR(COUNTIF([1]AdventureDiscoveryGroup!$D$8:$AW$92,표1[[#This Row],[명칭]]),"-")</f>
        <v>0</v>
      </c>
      <c r="J21" s="38">
        <f>IFERROR(COUNTIF([1]FishDiscoveryGroup!$A:$X,표1[[#This Row],[명칭]]),"-")</f>
        <v>0</v>
      </c>
      <c r="K21" s="38" t="str">
        <f>IFERROR(COUNTIF([2]Town!$B:$B,표1[[#This Row],[명칭]]),"-")</f>
        <v>-</v>
      </c>
      <c r="L21" s="38">
        <f>IFERROR(COUNTIF([1]Village!$BR:$BR,표1[[#This Row],[명칭]]),"-")</f>
        <v>0</v>
      </c>
      <c r="M21" s="38">
        <f>COUNTIF(퀘스트!B:B,표1[[#This Row],[명칭]])</f>
        <v>0</v>
      </c>
      <c r="N21" s="65">
        <f>COUNTIF([1]VillageDiscoveryGroup!$C:$C,표1[[#This Row],[명칭]])</f>
        <v>0</v>
      </c>
      <c r="O21" s="65">
        <f>SUM(표1[[#This Row],[해양탐색]:[마을탐험]])</f>
        <v>0</v>
      </c>
    </row>
    <row r="22" spans="2:15" ht="13.5" customHeight="1" x14ac:dyDescent="0.3">
      <c r="B22" s="9">
        <f>[1]Discovery!A28</f>
        <v>70401021</v>
      </c>
      <c r="C22" s="9" t="str">
        <f>[1]Discovery!B28</f>
        <v>다리우스 3세의 갑옷</v>
      </c>
      <c r="D22" s="9" t="str">
        <f>[1]Discovery!E28</f>
        <v>보물</v>
      </c>
      <c r="E22" s="9" t="str">
        <f>[1]Discovery!C28</f>
        <v>보물</v>
      </c>
      <c r="F22" s="9" t="str">
        <f>[1]Discovery!G28</f>
        <v>A</v>
      </c>
      <c r="G22" s="9" t="str">
        <f>IFERROR(VLOOKUP(표1[[#This Row],[명칭]],'문화권 정리'!C:D,2,FALSE),"-")</f>
        <v>서남아시아</v>
      </c>
      <c r="H22" s="38" t="str">
        <f>IFERROR(COUNTIF([2]OceanDoodad!$Y:$Y,표1[[#This Row],[명칭]]),"-")</f>
        <v>-</v>
      </c>
      <c r="I22" s="38">
        <f>IFERROR(COUNTIF([1]AdventureDiscoveryGroup!$D$8:$AW$92,표1[[#This Row],[명칭]]),"-")</f>
        <v>0</v>
      </c>
      <c r="J22" s="38">
        <f>IFERROR(COUNTIF([1]FishDiscoveryGroup!$A:$X,표1[[#This Row],[명칭]]),"-")</f>
        <v>0</v>
      </c>
      <c r="K22" s="38" t="str">
        <f>IFERROR(COUNTIF([2]Town!$B:$B,표1[[#This Row],[명칭]]),"-")</f>
        <v>-</v>
      </c>
      <c r="L22" s="38">
        <f>IFERROR(COUNTIF([1]Village!$BR:$BR,표1[[#This Row],[명칭]]),"-")</f>
        <v>0</v>
      </c>
      <c r="M22" s="38">
        <f>COUNTIF(퀘스트!B:B,표1[[#This Row],[명칭]])</f>
        <v>0</v>
      </c>
      <c r="N22" s="65">
        <f>COUNTIF([1]VillageDiscoveryGroup!$C:$C,표1[[#This Row],[명칭]])</f>
        <v>0</v>
      </c>
      <c r="O22" s="65">
        <f>SUM(표1[[#This Row],[해양탐색]:[마을탐험]])</f>
        <v>0</v>
      </c>
    </row>
    <row r="23" spans="2:15" ht="13.5" customHeight="1" x14ac:dyDescent="0.3">
      <c r="B23" s="9">
        <f>[1]Discovery!A29</f>
        <v>70401022</v>
      </c>
      <c r="C23" s="9" t="str">
        <f>[1]Discovery!B29</f>
        <v>데메트리오스 1세의 갑옷</v>
      </c>
      <c r="D23" s="9" t="str">
        <f>[1]Discovery!E29</f>
        <v>보물</v>
      </c>
      <c r="E23" s="9" t="str">
        <f>[1]Discovery!C29</f>
        <v>보물</v>
      </c>
      <c r="F23" s="9" t="str">
        <f>[1]Discovery!G29</f>
        <v>A</v>
      </c>
      <c r="G23" s="9" t="str">
        <f>IFERROR(VLOOKUP(표1[[#This Row],[명칭]],'문화권 정리'!C:D,2,FALSE),"-")</f>
        <v>지중해</v>
      </c>
      <c r="H23" s="38" t="str">
        <f>IFERROR(COUNTIF([2]OceanDoodad!$Y:$Y,표1[[#This Row],[명칭]]),"-")</f>
        <v>-</v>
      </c>
      <c r="I23" s="38">
        <f>IFERROR(COUNTIF([1]AdventureDiscoveryGroup!$D$8:$AW$92,표1[[#This Row],[명칭]]),"-")</f>
        <v>0</v>
      </c>
      <c r="J23" s="38">
        <f>IFERROR(COUNTIF([1]FishDiscoveryGroup!$A:$X,표1[[#This Row],[명칭]]),"-")</f>
        <v>0</v>
      </c>
      <c r="K23" s="38" t="str">
        <f>IFERROR(COUNTIF([2]Town!$B:$B,표1[[#This Row],[명칭]]),"-")</f>
        <v>-</v>
      </c>
      <c r="L23" s="38">
        <f>IFERROR(COUNTIF([1]Village!$BR:$BR,표1[[#This Row],[명칭]]),"-")</f>
        <v>0</v>
      </c>
      <c r="M23" s="38">
        <f>COUNTIF(퀘스트!B:B,표1[[#This Row],[명칭]])</f>
        <v>0</v>
      </c>
      <c r="N23" s="65">
        <f>COUNTIF([1]VillageDiscoveryGroup!$C:$C,표1[[#This Row],[명칭]])</f>
        <v>0</v>
      </c>
      <c r="O23" s="65">
        <f>SUM(표1[[#This Row],[해양탐색]:[마을탐험]])</f>
        <v>0</v>
      </c>
    </row>
    <row r="24" spans="2:15" ht="13.5" customHeight="1" x14ac:dyDescent="0.3">
      <c r="B24" s="9">
        <f>[1]Discovery!A30</f>
        <v>70401023</v>
      </c>
      <c r="C24" s="9" t="str">
        <f>[1]Discovery!B30</f>
        <v>동고</v>
      </c>
      <c r="D24" s="9" t="str">
        <f>[1]Discovery!E30</f>
        <v>보물</v>
      </c>
      <c r="E24" s="9" t="str">
        <f>[1]Discovery!C30</f>
        <v>보물</v>
      </c>
      <c r="F24" s="9" t="str">
        <f>[1]Discovery!G30</f>
        <v>C</v>
      </c>
      <c r="G24" s="9" t="str">
        <f>IFERROR(VLOOKUP(표1[[#This Row],[명칭]],'문화권 정리'!C:D,2,FALSE),"-")</f>
        <v>동남아시아</v>
      </c>
      <c r="H24" s="38" t="str">
        <f>IFERROR(COUNTIF([2]OceanDoodad!$Y:$Y,표1[[#This Row],[명칭]]),"-")</f>
        <v>-</v>
      </c>
      <c r="I24" s="38">
        <f>IFERROR(COUNTIF([1]AdventureDiscoveryGroup!$D$8:$AW$92,표1[[#This Row],[명칭]]),"-")</f>
        <v>1</v>
      </c>
      <c r="J24" s="38">
        <f>IFERROR(COUNTIF([1]FishDiscoveryGroup!$A:$X,표1[[#This Row],[명칭]]),"-")</f>
        <v>0</v>
      </c>
      <c r="K24" s="38" t="str">
        <f>IFERROR(COUNTIF([2]Town!$B:$B,표1[[#This Row],[명칭]]),"-")</f>
        <v>-</v>
      </c>
      <c r="L24" s="38">
        <f>IFERROR(COUNTIF([1]Village!$BR:$BR,표1[[#This Row],[명칭]]),"-")</f>
        <v>0</v>
      </c>
      <c r="M24" s="38">
        <f>COUNTIF(퀘스트!B:B,표1[[#This Row],[명칭]])</f>
        <v>0</v>
      </c>
      <c r="N24" s="65">
        <f>COUNTIF([1]VillageDiscoveryGroup!$C:$C,표1[[#This Row],[명칭]])</f>
        <v>0</v>
      </c>
      <c r="O24" s="65">
        <f>SUM(표1[[#This Row],[해양탐색]:[마을탐험]])</f>
        <v>1</v>
      </c>
    </row>
    <row r="25" spans="2:15" ht="13.5" customHeight="1" x14ac:dyDescent="0.3">
      <c r="B25" s="9">
        <f>[1]Discovery!A31</f>
        <v>70401024</v>
      </c>
      <c r="C25" s="9" t="str">
        <f>[1]Discovery!B31</f>
        <v>라발나스왕의 검</v>
      </c>
      <c r="D25" s="9" t="str">
        <f>[1]Discovery!E31</f>
        <v>유물</v>
      </c>
      <c r="E25" s="9" t="str">
        <f>[1]Discovery!C31</f>
        <v>역사유물</v>
      </c>
      <c r="F25" s="9" t="str">
        <f>[1]Discovery!G31</f>
        <v>S</v>
      </c>
      <c r="G25" s="9" t="str">
        <f>IFERROR(VLOOKUP(표1[[#This Row],[명칭]],'문화권 정리'!C:D,2,FALSE),"-")</f>
        <v>지중해</v>
      </c>
      <c r="H25" s="38" t="str">
        <f>IFERROR(COUNTIF([2]OceanDoodad!$Y:$Y,표1[[#This Row],[명칭]]),"-")</f>
        <v>-</v>
      </c>
      <c r="I25" s="38">
        <f>IFERROR(COUNTIF([1]AdventureDiscoveryGroup!$D$8:$AW$92,표1[[#This Row],[명칭]]),"-")</f>
        <v>0</v>
      </c>
      <c r="J25" s="38">
        <f>IFERROR(COUNTIF([1]FishDiscoveryGroup!$A:$X,표1[[#This Row],[명칭]]),"-")</f>
        <v>0</v>
      </c>
      <c r="K25" s="38" t="str">
        <f>IFERROR(COUNTIF([2]Town!$B:$B,표1[[#This Row],[명칭]]),"-")</f>
        <v>-</v>
      </c>
      <c r="L25" s="38">
        <f>IFERROR(COUNTIF([1]Village!$BR:$BR,표1[[#This Row],[명칭]]),"-")</f>
        <v>0</v>
      </c>
      <c r="M25" s="38">
        <f>COUNTIF(퀘스트!B:B,표1[[#This Row],[명칭]])</f>
        <v>0</v>
      </c>
      <c r="N25" s="65">
        <f>COUNTIF([1]VillageDiscoveryGroup!$C:$C,표1[[#This Row],[명칭]])</f>
        <v>0</v>
      </c>
      <c r="O25" s="65">
        <f>SUM(표1[[#This Row],[해양탐색]:[마을탐험]])</f>
        <v>0</v>
      </c>
    </row>
    <row r="26" spans="2:15" ht="13.5" customHeight="1" x14ac:dyDescent="0.3">
      <c r="B26" s="9">
        <f>[1]Discovery!A32</f>
        <v>70401025</v>
      </c>
      <c r="C26" s="9" t="str">
        <f>[1]Discovery!B32</f>
        <v>라브렌체프 사본</v>
      </c>
      <c r="D26" s="9" t="str">
        <f>[1]Discovery!E32</f>
        <v>유물</v>
      </c>
      <c r="E26" s="9" t="str">
        <f>[1]Discovery!C32</f>
        <v>역사유물</v>
      </c>
      <c r="F26" s="9" t="str">
        <f>[1]Discovery!G32</f>
        <v>A</v>
      </c>
      <c r="G26" s="9" t="str">
        <f>IFERROR(VLOOKUP(표1[[#This Row],[명칭]],'문화권 정리'!C:D,2,FALSE),"-")</f>
        <v>유라시아</v>
      </c>
      <c r="H26" s="38" t="str">
        <f>IFERROR(COUNTIF([2]OceanDoodad!$Y:$Y,표1[[#This Row],[명칭]]),"-")</f>
        <v>-</v>
      </c>
      <c r="I26" s="38">
        <f>IFERROR(COUNTIF([1]AdventureDiscoveryGroup!$D$8:$AW$92,표1[[#This Row],[명칭]]),"-")</f>
        <v>0</v>
      </c>
      <c r="J26" s="38">
        <f>IFERROR(COUNTIF([1]FishDiscoveryGroup!$A:$X,표1[[#This Row],[명칭]]),"-")</f>
        <v>0</v>
      </c>
      <c r="K26" s="38" t="str">
        <f>IFERROR(COUNTIF([2]Town!$B:$B,표1[[#This Row],[명칭]]),"-")</f>
        <v>-</v>
      </c>
      <c r="L26" s="38">
        <f>IFERROR(COUNTIF([1]Village!$BR:$BR,표1[[#This Row],[명칭]]),"-")</f>
        <v>0</v>
      </c>
      <c r="M26" s="38">
        <f>COUNTIF(퀘스트!B:B,표1[[#This Row],[명칭]])</f>
        <v>1</v>
      </c>
      <c r="N26" s="65">
        <f>COUNTIF([1]VillageDiscoveryGroup!$C:$C,표1[[#This Row],[명칭]])</f>
        <v>0</v>
      </c>
      <c r="O26" s="65">
        <f>SUM(표1[[#This Row],[해양탐색]:[마을탐험]])</f>
        <v>1</v>
      </c>
    </row>
    <row r="27" spans="2:15" ht="13.5" customHeight="1" x14ac:dyDescent="0.3">
      <c r="B27" s="9">
        <f>[1]Discovery!A33</f>
        <v>70401027</v>
      </c>
      <c r="C27" s="9" t="str">
        <f>[1]Discovery!B33</f>
        <v>람세스 2세의 머리 장식</v>
      </c>
      <c r="D27" s="9" t="str">
        <f>[1]Discovery!E33</f>
        <v>유물</v>
      </c>
      <c r="E27" s="9" t="str">
        <f>[1]Discovery!C33</f>
        <v>역사유물</v>
      </c>
      <c r="F27" s="9" t="str">
        <f>[1]Discovery!G33</f>
        <v>S</v>
      </c>
      <c r="G27" s="9" t="str">
        <f>IFERROR(VLOOKUP(표1[[#This Row],[명칭]],'문화권 정리'!C:D,2,FALSE),"-")</f>
        <v>북아프리카</v>
      </c>
      <c r="H27" s="38" t="str">
        <f>IFERROR(COUNTIF([2]OceanDoodad!$Y:$Y,표1[[#This Row],[명칭]]),"-")</f>
        <v>-</v>
      </c>
      <c r="I27" s="38">
        <f>IFERROR(COUNTIF([1]AdventureDiscoveryGroup!$D$8:$AW$92,표1[[#This Row],[명칭]]),"-")</f>
        <v>0</v>
      </c>
      <c r="J27" s="38">
        <f>IFERROR(COUNTIF([1]FishDiscoveryGroup!$A:$X,표1[[#This Row],[명칭]]),"-")</f>
        <v>0</v>
      </c>
      <c r="K27" s="38" t="str">
        <f>IFERROR(COUNTIF([2]Town!$B:$B,표1[[#This Row],[명칭]]),"-")</f>
        <v>-</v>
      </c>
      <c r="L27" s="38">
        <f>IFERROR(COUNTIF([1]Village!$BR:$BR,표1[[#This Row],[명칭]]),"-")</f>
        <v>0</v>
      </c>
      <c r="M27" s="38">
        <f>COUNTIF(퀘스트!B:B,표1[[#This Row],[명칭]])</f>
        <v>0</v>
      </c>
      <c r="N27" s="65">
        <f>COUNTIF([1]VillageDiscoveryGroup!$C:$C,표1[[#This Row],[명칭]])</f>
        <v>0</v>
      </c>
      <c r="O27" s="65">
        <f>SUM(표1[[#This Row],[해양탐색]:[마을탐험]])</f>
        <v>0</v>
      </c>
    </row>
    <row r="28" spans="2:15" ht="13.5" customHeight="1" x14ac:dyDescent="0.3">
      <c r="B28" s="9">
        <f>[1]Discovery!A34</f>
        <v>70401028</v>
      </c>
      <c r="C28" s="9" t="str">
        <f>[1]Discovery!B34</f>
        <v>람세스 2세의 벽화</v>
      </c>
      <c r="D28" s="9" t="str">
        <f>[1]Discovery!E34</f>
        <v>유물</v>
      </c>
      <c r="E28" s="9" t="str">
        <f>[1]Discovery!C34</f>
        <v>역사유물</v>
      </c>
      <c r="F28" s="9" t="str">
        <f>[1]Discovery!G34</f>
        <v>B</v>
      </c>
      <c r="G28" s="9" t="str">
        <f>IFERROR(VLOOKUP(표1[[#This Row],[명칭]],'문화권 정리'!C:D,2,FALSE),"-")</f>
        <v>북아프리카</v>
      </c>
      <c r="H28" s="38" t="str">
        <f>IFERROR(COUNTIF([2]OceanDoodad!$Y:$Y,표1[[#This Row],[명칭]]),"-")</f>
        <v>-</v>
      </c>
      <c r="I28" s="38">
        <f>IFERROR(COUNTIF([1]AdventureDiscoveryGroup!$D$8:$AW$92,표1[[#This Row],[명칭]]),"-")</f>
        <v>0</v>
      </c>
      <c r="J28" s="38">
        <f>IFERROR(COUNTIF([1]FishDiscoveryGroup!$A:$X,표1[[#This Row],[명칭]]),"-")</f>
        <v>0</v>
      </c>
      <c r="K28" s="38" t="str">
        <f>IFERROR(COUNTIF([2]Town!$B:$B,표1[[#This Row],[명칭]]),"-")</f>
        <v>-</v>
      </c>
      <c r="L28" s="38">
        <f>IFERROR(COUNTIF([1]Village!$BR:$BR,표1[[#This Row],[명칭]]),"-")</f>
        <v>0</v>
      </c>
      <c r="M28" s="38">
        <f>COUNTIF(퀘스트!B:B,표1[[#This Row],[명칭]])</f>
        <v>0</v>
      </c>
      <c r="N28" s="65">
        <f>COUNTIF([1]VillageDiscoveryGroup!$C:$C,표1[[#This Row],[명칭]])</f>
        <v>0</v>
      </c>
      <c r="O28" s="65">
        <f>SUM(표1[[#This Row],[해양탐색]:[마을탐험]])</f>
        <v>0</v>
      </c>
    </row>
    <row r="29" spans="2:15" ht="13.5" customHeight="1" x14ac:dyDescent="0.3">
      <c r="B29" s="9">
        <f>[1]Discovery!A35</f>
        <v>70401029</v>
      </c>
      <c r="C29" s="9" t="str">
        <f>[1]Discovery!B35</f>
        <v>람캄행 대왕의 비문</v>
      </c>
      <c r="D29" s="9" t="str">
        <f>[1]Discovery!E35</f>
        <v>유물</v>
      </c>
      <c r="E29" s="9" t="str">
        <f>[1]Discovery!C35</f>
        <v>역사유물</v>
      </c>
      <c r="F29" s="9" t="str">
        <f>[1]Discovery!G35</f>
        <v>S</v>
      </c>
      <c r="G29" s="9" t="str">
        <f>IFERROR(VLOOKUP(표1[[#This Row],[명칭]],'문화권 정리'!C:D,2,FALSE),"-")</f>
        <v>동남아시아</v>
      </c>
      <c r="H29" s="38" t="str">
        <f>IFERROR(COUNTIF([2]OceanDoodad!$Y:$Y,표1[[#This Row],[명칭]]),"-")</f>
        <v>-</v>
      </c>
      <c r="I29" s="38">
        <f>IFERROR(COUNTIF([1]AdventureDiscoveryGroup!$D$8:$AW$92,표1[[#This Row],[명칭]]),"-")</f>
        <v>1</v>
      </c>
      <c r="J29" s="38">
        <f>IFERROR(COUNTIF([1]FishDiscoveryGroup!$A:$X,표1[[#This Row],[명칭]]),"-")</f>
        <v>0</v>
      </c>
      <c r="K29" s="38" t="str">
        <f>IFERROR(COUNTIF([2]Town!$B:$B,표1[[#This Row],[명칭]]),"-")</f>
        <v>-</v>
      </c>
      <c r="L29" s="38">
        <f>IFERROR(COUNTIF([1]Village!$BR:$BR,표1[[#This Row],[명칭]]),"-")</f>
        <v>0</v>
      </c>
      <c r="M29" s="38">
        <f>COUNTIF(퀘스트!B:B,표1[[#This Row],[명칭]])</f>
        <v>0</v>
      </c>
      <c r="N29" s="65">
        <f>COUNTIF([1]VillageDiscoveryGroup!$C:$C,표1[[#This Row],[명칭]])</f>
        <v>0</v>
      </c>
      <c r="O29" s="65">
        <f>SUM(표1[[#This Row],[해양탐색]:[마을탐험]])</f>
        <v>1</v>
      </c>
    </row>
    <row r="30" spans="2:15" ht="13.5" customHeight="1" x14ac:dyDescent="0.3">
      <c r="B30" s="9">
        <f>[1]Discovery!A36</f>
        <v>70401030</v>
      </c>
      <c r="C30" s="9" t="str">
        <f>[1]Discovery!B36</f>
        <v>렙티스마그나의 비너스상</v>
      </c>
      <c r="D30" s="9" t="str">
        <f>[1]Discovery!E36</f>
        <v>보물</v>
      </c>
      <c r="E30" s="9" t="str">
        <f>[1]Discovery!C36</f>
        <v>미술품</v>
      </c>
      <c r="F30" s="9" t="str">
        <f>[1]Discovery!G36</f>
        <v>C</v>
      </c>
      <c r="G30" s="9" t="str">
        <f>IFERROR(VLOOKUP(표1[[#This Row],[명칭]],'문화권 정리'!C:D,2,FALSE),"-")</f>
        <v>북아프리카</v>
      </c>
      <c r="H30" s="38" t="str">
        <f>IFERROR(COUNTIF([2]OceanDoodad!$Y:$Y,표1[[#This Row],[명칭]]),"-")</f>
        <v>-</v>
      </c>
      <c r="I30" s="38">
        <f>IFERROR(COUNTIF([1]AdventureDiscoveryGroup!$D$8:$AW$92,표1[[#This Row],[명칭]]),"-")</f>
        <v>1</v>
      </c>
      <c r="J30" s="38">
        <f>IFERROR(COUNTIF([1]FishDiscoveryGroup!$A:$X,표1[[#This Row],[명칭]]),"-")</f>
        <v>0</v>
      </c>
      <c r="K30" s="38" t="str">
        <f>IFERROR(COUNTIF([2]Town!$B:$B,표1[[#This Row],[명칭]]),"-")</f>
        <v>-</v>
      </c>
      <c r="L30" s="38">
        <f>IFERROR(COUNTIF([1]Village!$BR:$BR,표1[[#This Row],[명칭]]),"-")</f>
        <v>0</v>
      </c>
      <c r="M30" s="38">
        <f>COUNTIF(퀘스트!B:B,표1[[#This Row],[명칭]])</f>
        <v>0</v>
      </c>
      <c r="N30" s="65">
        <f>COUNTIF([1]VillageDiscoveryGroup!$C:$C,표1[[#This Row],[명칭]])</f>
        <v>0</v>
      </c>
      <c r="O30" s="65">
        <f>SUM(표1[[#This Row],[해양탐색]:[마을탐험]])</f>
        <v>1</v>
      </c>
    </row>
    <row r="31" spans="2:15" ht="13.5" customHeight="1" x14ac:dyDescent="0.3">
      <c r="B31" s="9">
        <f>[1]Discovery!A37</f>
        <v>70401031</v>
      </c>
      <c r="C31" s="9" t="str">
        <f>[1]Discovery!B37</f>
        <v>로마건국사</v>
      </c>
      <c r="D31" s="9" t="str">
        <f>[1]Discovery!E37</f>
        <v>유물</v>
      </c>
      <c r="E31" s="9" t="str">
        <f>[1]Discovery!C37</f>
        <v>역사유물</v>
      </c>
      <c r="F31" s="9" t="str">
        <f>[1]Discovery!G37</f>
        <v>S</v>
      </c>
      <c r="G31" s="9" t="str">
        <f>IFERROR(VLOOKUP(표1[[#This Row],[명칭]],'문화권 정리'!C:D,2,FALSE),"-")</f>
        <v>지중해</v>
      </c>
      <c r="H31" s="38" t="str">
        <f>IFERROR(COUNTIF([2]OceanDoodad!$Y:$Y,표1[[#This Row],[명칭]]),"-")</f>
        <v>-</v>
      </c>
      <c r="I31" s="38">
        <f>IFERROR(COUNTIF([1]AdventureDiscoveryGroup!$D$8:$AW$92,표1[[#This Row],[명칭]]),"-")</f>
        <v>0</v>
      </c>
      <c r="J31" s="38">
        <f>IFERROR(COUNTIF([1]FishDiscoveryGroup!$A:$X,표1[[#This Row],[명칭]]),"-")</f>
        <v>0</v>
      </c>
      <c r="K31" s="38" t="str">
        <f>IFERROR(COUNTIF([2]Town!$B:$B,표1[[#This Row],[명칭]]),"-")</f>
        <v>-</v>
      </c>
      <c r="L31" s="38">
        <f>IFERROR(COUNTIF([1]Village!$BR:$BR,표1[[#This Row],[명칭]]),"-")</f>
        <v>0</v>
      </c>
      <c r="M31" s="38">
        <f>COUNTIF(퀘스트!B:B,표1[[#This Row],[명칭]])</f>
        <v>1</v>
      </c>
      <c r="N31" s="65">
        <f>COUNTIF([1]VillageDiscoveryGroup!$C:$C,표1[[#This Row],[명칭]])</f>
        <v>0</v>
      </c>
      <c r="O31" s="65">
        <f>SUM(표1[[#This Row],[해양탐색]:[마을탐험]])</f>
        <v>1</v>
      </c>
    </row>
    <row r="32" spans="2:15" ht="13.5" customHeight="1" x14ac:dyDescent="0.3">
      <c r="B32" s="9">
        <f>[1]Discovery!A38</f>
        <v>70401032</v>
      </c>
      <c r="C32" s="9" t="str">
        <f>[1]Discovery!B38</f>
        <v>로제타스톤</v>
      </c>
      <c r="D32" s="9" t="str">
        <f>[1]Discovery!E38</f>
        <v>유물</v>
      </c>
      <c r="E32" s="9" t="str">
        <f>[1]Discovery!C38</f>
        <v>역사유물</v>
      </c>
      <c r="F32" s="9" t="str">
        <f>[1]Discovery!G38</f>
        <v>S</v>
      </c>
      <c r="G32" s="9" t="str">
        <f>IFERROR(VLOOKUP(표1[[#This Row],[명칭]],'문화권 정리'!C:D,2,FALSE),"-")</f>
        <v>북아프리카</v>
      </c>
      <c r="H32" s="38" t="str">
        <f>IFERROR(COUNTIF([2]OceanDoodad!$Y:$Y,표1[[#This Row],[명칭]]),"-")</f>
        <v>-</v>
      </c>
      <c r="I32" s="38">
        <f>IFERROR(COUNTIF([1]AdventureDiscoveryGroup!$D$8:$AW$92,표1[[#This Row],[명칭]]),"-")</f>
        <v>0</v>
      </c>
      <c r="J32" s="38">
        <f>IFERROR(COUNTIF([1]FishDiscoveryGroup!$A:$X,표1[[#This Row],[명칭]]),"-")</f>
        <v>0</v>
      </c>
      <c r="K32" s="38" t="str">
        <f>IFERROR(COUNTIF([2]Town!$B:$B,표1[[#This Row],[명칭]]),"-")</f>
        <v>-</v>
      </c>
      <c r="L32" s="38">
        <f>IFERROR(COUNTIF([1]Village!$BR:$BR,표1[[#This Row],[명칭]]),"-")</f>
        <v>0</v>
      </c>
      <c r="M32" s="38">
        <f>COUNTIF(퀘스트!B:B,표1[[#This Row],[명칭]])</f>
        <v>1</v>
      </c>
      <c r="N32" s="65">
        <f>COUNTIF([1]VillageDiscoveryGroup!$C:$C,표1[[#This Row],[명칭]])</f>
        <v>0</v>
      </c>
      <c r="O32" s="65">
        <f>SUM(표1[[#This Row],[해양탐색]:[마을탐험]])</f>
        <v>1</v>
      </c>
    </row>
    <row r="33" spans="2:15" ht="13.5" customHeight="1" x14ac:dyDescent="0.3">
      <c r="B33" s="9">
        <f>[1]Discovery!A39</f>
        <v>70401033</v>
      </c>
      <c r="C33" s="9" t="str">
        <f>[1]Discovery!B39</f>
        <v>롤로의 투구</v>
      </c>
      <c r="D33" s="9" t="str">
        <f>[1]Discovery!E39</f>
        <v>보물</v>
      </c>
      <c r="E33" s="9" t="str">
        <f>[1]Discovery!C39</f>
        <v>보물</v>
      </c>
      <c r="F33" s="9" t="str">
        <f>[1]Discovery!G39</f>
        <v>A</v>
      </c>
      <c r="G33" s="9" t="str">
        <f>IFERROR(VLOOKUP(표1[[#This Row],[명칭]],'문화권 정리'!C:D,2,FALSE),"-")</f>
        <v>북유럽</v>
      </c>
      <c r="H33" s="38" t="str">
        <f>IFERROR(COUNTIF([2]OceanDoodad!$Y:$Y,표1[[#This Row],[명칭]]),"-")</f>
        <v>-</v>
      </c>
      <c r="I33" s="38">
        <f>IFERROR(COUNTIF([1]AdventureDiscoveryGroup!$D$8:$AW$92,표1[[#This Row],[명칭]]),"-")</f>
        <v>0</v>
      </c>
      <c r="J33" s="38">
        <f>IFERROR(COUNTIF([1]FishDiscoveryGroup!$A:$X,표1[[#This Row],[명칭]]),"-")</f>
        <v>0</v>
      </c>
      <c r="K33" s="38" t="str">
        <f>IFERROR(COUNTIF([2]Town!$B:$B,표1[[#This Row],[명칭]]),"-")</f>
        <v>-</v>
      </c>
      <c r="L33" s="38">
        <f>IFERROR(COUNTIF([1]Village!$BR:$BR,표1[[#This Row],[명칭]]),"-")</f>
        <v>0</v>
      </c>
      <c r="M33" s="38">
        <f>COUNTIF(퀘스트!B:B,표1[[#This Row],[명칭]])</f>
        <v>0</v>
      </c>
      <c r="N33" s="65">
        <f>COUNTIF([1]VillageDiscoveryGroup!$C:$C,표1[[#This Row],[명칭]])</f>
        <v>1</v>
      </c>
      <c r="O33" s="65">
        <f>SUM(표1[[#This Row],[해양탐색]:[마을탐험]])</f>
        <v>1</v>
      </c>
    </row>
    <row r="34" spans="2:15" ht="13.5" customHeight="1" x14ac:dyDescent="0.3">
      <c r="B34" s="9">
        <f>[1]Discovery!A40</f>
        <v>70401034</v>
      </c>
      <c r="C34" s="9" t="str">
        <f>[1]Discovery!B40</f>
        <v>롬파이어</v>
      </c>
      <c r="D34" s="9" t="str">
        <f>[1]Discovery!E40</f>
        <v>유물</v>
      </c>
      <c r="E34" s="9" t="str">
        <f>[1]Discovery!C40</f>
        <v>역사유물</v>
      </c>
      <c r="F34" s="9" t="str">
        <f>[1]Discovery!G40</f>
        <v>C</v>
      </c>
      <c r="G34" s="9" t="str">
        <f>IFERROR(VLOOKUP(표1[[#This Row],[명칭]],'문화권 정리'!C:D,2,FALSE),"-")</f>
        <v>지중해</v>
      </c>
      <c r="H34" s="38" t="str">
        <f>IFERROR(COUNTIF([2]OceanDoodad!$Y:$Y,표1[[#This Row],[명칭]]),"-")</f>
        <v>-</v>
      </c>
      <c r="I34" s="38">
        <f>IFERROR(COUNTIF([1]AdventureDiscoveryGroup!$D$8:$AW$92,표1[[#This Row],[명칭]]),"-")</f>
        <v>0</v>
      </c>
      <c r="J34" s="38">
        <f>IFERROR(COUNTIF([1]FishDiscoveryGroup!$A:$X,표1[[#This Row],[명칭]]),"-")</f>
        <v>0</v>
      </c>
      <c r="K34" s="38" t="str">
        <f>IFERROR(COUNTIF([2]Town!$B:$B,표1[[#This Row],[명칭]]),"-")</f>
        <v>-</v>
      </c>
      <c r="L34" s="38">
        <f>IFERROR(COUNTIF([1]Village!$BR:$BR,표1[[#This Row],[명칭]]),"-")</f>
        <v>0</v>
      </c>
      <c r="M34" s="38">
        <f>COUNTIF(퀘스트!B:B,표1[[#This Row],[명칭]])</f>
        <v>0</v>
      </c>
      <c r="N34" s="65">
        <f>COUNTIF([1]VillageDiscoveryGroup!$C:$C,표1[[#This Row],[명칭]])</f>
        <v>0</v>
      </c>
      <c r="O34" s="65">
        <f>SUM(표1[[#This Row],[해양탐색]:[마을탐험]])</f>
        <v>0</v>
      </c>
    </row>
    <row r="35" spans="2:15" ht="13.5" customHeight="1" x14ac:dyDescent="0.3">
      <c r="B35" s="9">
        <f>[1]Discovery!A41</f>
        <v>70401035</v>
      </c>
      <c r="C35" s="9" t="str">
        <f>[1]Discovery!B41</f>
        <v>롱고 롱고</v>
      </c>
      <c r="D35" s="9" t="str">
        <f>[1]Discovery!E41</f>
        <v>유물</v>
      </c>
      <c r="E35" s="9" t="str">
        <f>[1]Discovery!C41</f>
        <v>역사유물</v>
      </c>
      <c r="F35" s="9" t="str">
        <f>[1]Discovery!G41</f>
        <v>S</v>
      </c>
      <c r="G35" s="9" t="str">
        <f>IFERROR(VLOOKUP(표1[[#This Row],[명칭]],'문화권 정리'!C:D,2,FALSE),"-")</f>
        <v>태평양</v>
      </c>
      <c r="H35" s="38" t="str">
        <f>IFERROR(COUNTIF([2]OceanDoodad!$Y:$Y,표1[[#This Row],[명칭]]),"-")</f>
        <v>-</v>
      </c>
      <c r="I35" s="38">
        <f>IFERROR(COUNTIF([1]AdventureDiscoveryGroup!$D$8:$AW$92,표1[[#This Row],[명칭]]),"-")</f>
        <v>0</v>
      </c>
      <c r="J35" s="38">
        <f>IFERROR(COUNTIF([1]FishDiscoveryGroup!$A:$X,표1[[#This Row],[명칭]]),"-")</f>
        <v>0</v>
      </c>
      <c r="K35" s="38" t="str">
        <f>IFERROR(COUNTIF([2]Town!$B:$B,표1[[#This Row],[명칭]]),"-")</f>
        <v>-</v>
      </c>
      <c r="L35" s="38">
        <f>IFERROR(COUNTIF([1]Village!$BR:$BR,표1[[#This Row],[명칭]]),"-")</f>
        <v>0</v>
      </c>
      <c r="M35" s="38">
        <f>COUNTIF(퀘스트!B:B,표1[[#This Row],[명칭]])</f>
        <v>0</v>
      </c>
      <c r="N35" s="65">
        <f>COUNTIF([1]VillageDiscoveryGroup!$C:$C,표1[[#This Row],[명칭]])</f>
        <v>0</v>
      </c>
      <c r="O35" s="65">
        <f>SUM(표1[[#This Row],[해양탐색]:[마을탐험]])</f>
        <v>0</v>
      </c>
    </row>
    <row r="36" spans="2:15" ht="13.5" customHeight="1" x14ac:dyDescent="0.3">
      <c r="B36" s="9">
        <f>[1]Discovery!A42</f>
        <v>70401036</v>
      </c>
      <c r="C36" s="9" t="str">
        <f>[1]Discovery!B42</f>
        <v>룬문자 비석</v>
      </c>
      <c r="D36" s="9" t="str">
        <f>[1]Discovery!E42</f>
        <v>유물</v>
      </c>
      <c r="E36" s="9" t="str">
        <f>[1]Discovery!C42</f>
        <v>역사유물</v>
      </c>
      <c r="F36" s="9" t="str">
        <f>[1]Discovery!G42</f>
        <v>S</v>
      </c>
      <c r="G36" s="9" t="str">
        <f>IFERROR(VLOOKUP(표1[[#This Row],[명칭]],'문화권 정리'!C:D,2,FALSE),"-")</f>
        <v>북유럽</v>
      </c>
      <c r="H36" s="38" t="str">
        <f>IFERROR(COUNTIF([2]OceanDoodad!$Y:$Y,표1[[#This Row],[명칭]]),"-")</f>
        <v>-</v>
      </c>
      <c r="I36" s="38">
        <f>IFERROR(COUNTIF([1]AdventureDiscoveryGroup!$D$8:$AW$92,표1[[#This Row],[명칭]]),"-")</f>
        <v>1</v>
      </c>
      <c r="J36" s="38">
        <f>IFERROR(COUNTIF([1]FishDiscoveryGroup!$A:$X,표1[[#This Row],[명칭]]),"-")</f>
        <v>0</v>
      </c>
      <c r="K36" s="38" t="str">
        <f>IFERROR(COUNTIF([2]Town!$B:$B,표1[[#This Row],[명칭]]),"-")</f>
        <v>-</v>
      </c>
      <c r="L36" s="38">
        <f>IFERROR(COUNTIF([1]Village!$BR:$BR,표1[[#This Row],[명칭]]),"-")</f>
        <v>0</v>
      </c>
      <c r="M36" s="38">
        <f>COUNTIF(퀘스트!B:B,표1[[#This Row],[명칭]])</f>
        <v>0</v>
      </c>
      <c r="N36" s="65">
        <f>COUNTIF([1]VillageDiscoveryGroup!$C:$C,표1[[#This Row],[명칭]])</f>
        <v>0</v>
      </c>
      <c r="O36" s="65">
        <f>SUM(표1[[#This Row],[해양탐색]:[마을탐험]])</f>
        <v>1</v>
      </c>
    </row>
    <row r="37" spans="2:15" ht="13.5" customHeight="1" x14ac:dyDescent="0.3">
      <c r="B37" s="9">
        <f>[1]Discovery!A43</f>
        <v>70401037</v>
      </c>
      <c r="C37" s="9" t="str">
        <f>[1]Discovery!B43</f>
        <v>리디아 화폐</v>
      </c>
      <c r="D37" s="9" t="str">
        <f>[1]Discovery!E43</f>
        <v>유물</v>
      </c>
      <c r="E37" s="9" t="str">
        <f>[1]Discovery!C43</f>
        <v>역사유물</v>
      </c>
      <c r="F37" s="9" t="str">
        <f>[1]Discovery!G43</f>
        <v>B</v>
      </c>
      <c r="G37" s="9" t="str">
        <f>IFERROR(VLOOKUP(표1[[#This Row],[명칭]],'문화권 정리'!C:D,2,FALSE),"-")</f>
        <v>지중해</v>
      </c>
      <c r="H37" s="38" t="str">
        <f>IFERROR(COUNTIF([2]OceanDoodad!$Y:$Y,표1[[#This Row],[명칭]]),"-")</f>
        <v>-</v>
      </c>
      <c r="I37" s="38">
        <f>IFERROR(COUNTIF([1]AdventureDiscoveryGroup!$D$8:$AW$92,표1[[#This Row],[명칭]]),"-")</f>
        <v>0</v>
      </c>
      <c r="J37" s="38">
        <f>IFERROR(COUNTIF([1]FishDiscoveryGroup!$A:$X,표1[[#This Row],[명칭]]),"-")</f>
        <v>0</v>
      </c>
      <c r="K37" s="38" t="str">
        <f>IFERROR(COUNTIF([2]Town!$B:$B,표1[[#This Row],[명칭]]),"-")</f>
        <v>-</v>
      </c>
      <c r="L37" s="38">
        <f>IFERROR(COUNTIF([1]Village!$BR:$BR,표1[[#This Row],[명칭]]),"-")</f>
        <v>0</v>
      </c>
      <c r="M37" s="38">
        <f>COUNTIF(퀘스트!B:B,표1[[#This Row],[명칭]])</f>
        <v>0</v>
      </c>
      <c r="N37" s="65">
        <f>COUNTIF([1]VillageDiscoveryGroup!$C:$C,표1[[#This Row],[명칭]])</f>
        <v>2</v>
      </c>
      <c r="O37" s="65">
        <f>SUM(표1[[#This Row],[해양탐색]:[마을탐험]])</f>
        <v>2</v>
      </c>
    </row>
    <row r="38" spans="2:15" ht="13.5" customHeight="1" x14ac:dyDescent="0.3">
      <c r="B38" s="9">
        <f>[1]Discovery!A44</f>
        <v>70401038</v>
      </c>
      <c r="C38" s="9" t="str">
        <f>[1]Discovery!B44</f>
        <v>마니오의 거석</v>
      </c>
      <c r="D38" s="9" t="str">
        <f>[1]Discovery!E44</f>
        <v>자연</v>
      </c>
      <c r="E38" s="9" t="str">
        <f>[1]Discovery!C44</f>
        <v>지리</v>
      </c>
      <c r="F38" s="9" t="str">
        <f>[1]Discovery!G44</f>
        <v>B</v>
      </c>
      <c r="G38" s="9" t="str">
        <f>IFERROR(VLOOKUP(표1[[#This Row],[명칭]],'문화권 정리'!C:D,2,FALSE),"-")</f>
        <v>지중해</v>
      </c>
      <c r="H38" s="38" t="str">
        <f>IFERROR(COUNTIF([2]OceanDoodad!$Y:$Y,표1[[#This Row],[명칭]]),"-")</f>
        <v>-</v>
      </c>
      <c r="I38" s="38">
        <f>IFERROR(COUNTIF([1]AdventureDiscoveryGroup!$D$8:$AW$92,표1[[#This Row],[명칭]]),"-")</f>
        <v>0</v>
      </c>
      <c r="J38" s="38">
        <f>IFERROR(COUNTIF([1]FishDiscoveryGroup!$A:$X,표1[[#This Row],[명칭]]),"-")</f>
        <v>0</v>
      </c>
      <c r="K38" s="38" t="str">
        <f>IFERROR(COUNTIF([2]Town!$B:$B,표1[[#This Row],[명칭]]),"-")</f>
        <v>-</v>
      </c>
      <c r="L38" s="38">
        <f>IFERROR(COUNTIF([1]Village!$BR:$BR,표1[[#This Row],[명칭]]),"-")</f>
        <v>0</v>
      </c>
      <c r="M38" s="38">
        <f>COUNTIF(퀘스트!B:B,표1[[#This Row],[명칭]])</f>
        <v>0</v>
      </c>
      <c r="N38" s="65">
        <f>COUNTIF([1]VillageDiscoveryGroup!$C:$C,표1[[#This Row],[명칭]])</f>
        <v>0</v>
      </c>
      <c r="O38" s="65">
        <f>SUM(표1[[#This Row],[해양탐색]:[마을탐험]])</f>
        <v>0</v>
      </c>
    </row>
    <row r="39" spans="2:15" ht="13.5" customHeight="1" x14ac:dyDescent="0.3">
      <c r="B39" s="9">
        <f>[1]Discovery!A45</f>
        <v>70401039</v>
      </c>
      <c r="C39" s="9" t="str">
        <f>[1]Discovery!B45</f>
        <v>마라조섬의 토기</v>
      </c>
      <c r="D39" s="9" t="str">
        <f>[1]Discovery!E45</f>
        <v>유물</v>
      </c>
      <c r="E39" s="9" t="str">
        <f>[1]Discovery!C45</f>
        <v>역사유물</v>
      </c>
      <c r="F39" s="9" t="str">
        <f>[1]Discovery!G45</f>
        <v>B</v>
      </c>
      <c r="G39" s="9" t="str">
        <f>IFERROR(VLOOKUP(표1[[#This Row],[명칭]],'문화권 정리'!C:D,2,FALSE),"-")</f>
        <v>남아메리카</v>
      </c>
      <c r="H39" s="38" t="str">
        <f>IFERROR(COUNTIF([2]OceanDoodad!$Y:$Y,표1[[#This Row],[명칭]]),"-")</f>
        <v>-</v>
      </c>
      <c r="I39" s="38">
        <f>IFERROR(COUNTIF([1]AdventureDiscoveryGroup!$D$8:$AW$92,표1[[#This Row],[명칭]]),"-")</f>
        <v>1</v>
      </c>
      <c r="J39" s="38">
        <f>IFERROR(COUNTIF([1]FishDiscoveryGroup!$A:$X,표1[[#This Row],[명칭]]),"-")</f>
        <v>0</v>
      </c>
      <c r="K39" s="38" t="str">
        <f>IFERROR(COUNTIF([2]Town!$B:$B,표1[[#This Row],[명칭]]),"-")</f>
        <v>-</v>
      </c>
      <c r="L39" s="38">
        <f>IFERROR(COUNTIF([1]Village!$BR:$BR,표1[[#This Row],[명칭]]),"-")</f>
        <v>0</v>
      </c>
      <c r="M39" s="38">
        <f>COUNTIF(퀘스트!B:B,표1[[#This Row],[명칭]])</f>
        <v>0</v>
      </c>
      <c r="N39" s="65">
        <f>COUNTIF([1]VillageDiscoveryGroup!$C:$C,표1[[#This Row],[명칭]])</f>
        <v>0</v>
      </c>
      <c r="O39" s="65">
        <f>SUM(표1[[#This Row],[해양탐색]:[마을탐험]])</f>
        <v>1</v>
      </c>
    </row>
    <row r="40" spans="2:15" ht="13.5" customHeight="1" x14ac:dyDescent="0.3">
      <c r="B40" s="9">
        <f>[1]Discovery!A46</f>
        <v>70401042</v>
      </c>
      <c r="C40" s="9" t="str">
        <f>[1]Discovery!B46</f>
        <v>메르엔프타하 비문</v>
      </c>
      <c r="D40" s="9" t="str">
        <f>[1]Discovery!E46</f>
        <v>유물</v>
      </c>
      <c r="E40" s="9" t="str">
        <f>[1]Discovery!C46</f>
        <v>역사유물</v>
      </c>
      <c r="F40" s="9" t="str">
        <f>[1]Discovery!G46</f>
        <v>B</v>
      </c>
      <c r="G40" s="9" t="str">
        <f>IFERROR(VLOOKUP(표1[[#This Row],[명칭]],'문화권 정리'!C:D,2,FALSE),"-")</f>
        <v>북아프리카</v>
      </c>
      <c r="H40" s="38" t="str">
        <f>IFERROR(COUNTIF([2]OceanDoodad!$Y:$Y,표1[[#This Row],[명칭]]),"-")</f>
        <v>-</v>
      </c>
      <c r="I40" s="38">
        <f>IFERROR(COUNTIF([1]AdventureDiscoveryGroup!$D$8:$AW$92,표1[[#This Row],[명칭]]),"-")</f>
        <v>0</v>
      </c>
      <c r="J40" s="38">
        <f>IFERROR(COUNTIF([1]FishDiscoveryGroup!$A:$X,표1[[#This Row],[명칭]]),"-")</f>
        <v>0</v>
      </c>
      <c r="K40" s="38" t="str">
        <f>IFERROR(COUNTIF([2]Town!$B:$B,표1[[#This Row],[명칭]]),"-")</f>
        <v>-</v>
      </c>
      <c r="L40" s="38">
        <f>IFERROR(COUNTIF([1]Village!$BR:$BR,표1[[#This Row],[명칭]]),"-")</f>
        <v>0</v>
      </c>
      <c r="M40" s="38">
        <f>COUNTIF(퀘스트!B:B,표1[[#This Row],[명칭]])</f>
        <v>0</v>
      </c>
      <c r="N40" s="65">
        <f>COUNTIF([1]VillageDiscoveryGroup!$C:$C,표1[[#This Row],[명칭]])</f>
        <v>0</v>
      </c>
      <c r="O40" s="65">
        <f>SUM(표1[[#This Row],[해양탐색]:[마을탐험]])</f>
        <v>0</v>
      </c>
    </row>
    <row r="41" spans="2:15" ht="13.5" customHeight="1" x14ac:dyDescent="0.3">
      <c r="B41" s="9">
        <f>[1]Discovery!A47</f>
        <v>70401043</v>
      </c>
      <c r="C41" s="9" t="str">
        <f>[1]Discovery!B47</f>
        <v>멘카우라왕의 삼신상</v>
      </c>
      <c r="D41" s="9" t="str">
        <f>[1]Discovery!E47</f>
        <v>유물</v>
      </c>
      <c r="E41" s="9" t="str">
        <f>[1]Discovery!C47</f>
        <v>역사유물</v>
      </c>
      <c r="F41" s="9" t="str">
        <f>[1]Discovery!G47</f>
        <v>A</v>
      </c>
      <c r="G41" s="9" t="str">
        <f>IFERROR(VLOOKUP(표1[[#This Row],[명칭]],'문화권 정리'!C:D,2,FALSE),"-")</f>
        <v>북아프리카</v>
      </c>
      <c r="H41" s="38" t="str">
        <f>IFERROR(COUNTIF([2]OceanDoodad!$Y:$Y,표1[[#This Row],[명칭]]),"-")</f>
        <v>-</v>
      </c>
      <c r="I41" s="38">
        <f>IFERROR(COUNTIF([1]AdventureDiscoveryGroup!$D$8:$AW$92,표1[[#This Row],[명칭]]),"-")</f>
        <v>0</v>
      </c>
      <c r="J41" s="38">
        <f>IFERROR(COUNTIF([1]FishDiscoveryGroup!$A:$X,표1[[#This Row],[명칭]]),"-")</f>
        <v>0</v>
      </c>
      <c r="K41" s="38" t="str">
        <f>IFERROR(COUNTIF([2]Town!$B:$B,표1[[#This Row],[명칭]]),"-")</f>
        <v>-</v>
      </c>
      <c r="L41" s="38">
        <f>IFERROR(COUNTIF([1]Village!$BR:$BR,표1[[#This Row],[명칭]]),"-")</f>
        <v>0</v>
      </c>
      <c r="M41" s="38">
        <f>COUNTIF(퀘스트!B:B,표1[[#This Row],[명칭]])</f>
        <v>0</v>
      </c>
      <c r="N41" s="65">
        <f>COUNTIF([1]VillageDiscoveryGroup!$C:$C,표1[[#This Row],[명칭]])</f>
        <v>0</v>
      </c>
      <c r="O41" s="65">
        <f>SUM(표1[[#This Row],[해양탐색]:[마을탐험]])</f>
        <v>0</v>
      </c>
    </row>
    <row r="42" spans="2:15" ht="13.5" customHeight="1" x14ac:dyDescent="0.3">
      <c r="B42" s="9">
        <f>[1]Discovery!A48</f>
        <v>70401044</v>
      </c>
      <c r="C42" s="9" t="str">
        <f>[1]Discovery!B48</f>
        <v>묠니르</v>
      </c>
      <c r="D42" s="9" t="str">
        <f>[1]Discovery!E48</f>
        <v>보물</v>
      </c>
      <c r="E42" s="9" t="str">
        <f>[1]Discovery!C48</f>
        <v>보물</v>
      </c>
      <c r="F42" s="9" t="str">
        <f>[1]Discovery!G48</f>
        <v>S</v>
      </c>
      <c r="G42" s="9" t="str">
        <f>IFERROR(VLOOKUP(표1[[#This Row],[명칭]],'문화권 정리'!C:D,2,FALSE),"-")</f>
        <v>북유럽</v>
      </c>
      <c r="H42" s="38" t="str">
        <f>IFERROR(COUNTIF([2]OceanDoodad!$Y:$Y,표1[[#This Row],[명칭]]),"-")</f>
        <v>-</v>
      </c>
      <c r="I42" s="38">
        <f>IFERROR(COUNTIF([1]AdventureDiscoveryGroup!$D$8:$AW$92,표1[[#This Row],[명칭]]),"-")</f>
        <v>0</v>
      </c>
      <c r="J42" s="38">
        <f>IFERROR(COUNTIF([1]FishDiscoveryGroup!$A:$X,표1[[#This Row],[명칭]]),"-")</f>
        <v>0</v>
      </c>
      <c r="K42" s="38" t="str">
        <f>IFERROR(COUNTIF([2]Town!$B:$B,표1[[#This Row],[명칭]]),"-")</f>
        <v>-</v>
      </c>
      <c r="L42" s="38">
        <f>IFERROR(COUNTIF([1]Village!$BR:$BR,표1[[#This Row],[명칭]]),"-")</f>
        <v>0</v>
      </c>
      <c r="M42" s="38">
        <f>COUNTIF(퀘스트!B:B,표1[[#This Row],[명칭]])</f>
        <v>1</v>
      </c>
      <c r="N42" s="65">
        <f>COUNTIF([1]VillageDiscoveryGroup!$C:$C,표1[[#This Row],[명칭]])</f>
        <v>0</v>
      </c>
      <c r="O42" s="65">
        <f>SUM(표1[[#This Row],[해양탐색]:[마을탐험]])</f>
        <v>1</v>
      </c>
    </row>
    <row r="43" spans="2:15" ht="13.5" customHeight="1" x14ac:dyDescent="0.3">
      <c r="B43" s="9">
        <f>[1]Discovery!A49</f>
        <v>70401045</v>
      </c>
      <c r="C43" s="9" t="str">
        <f>[1]Discovery!B49</f>
        <v>무령왕릉 지석</v>
      </c>
      <c r="D43" s="9" t="str">
        <f>[1]Discovery!E49</f>
        <v>유물</v>
      </c>
      <c r="E43" s="9" t="str">
        <f>[1]Discovery!C49</f>
        <v>역사유물</v>
      </c>
      <c r="F43" s="9" t="str">
        <f>[1]Discovery!G49</f>
        <v>B</v>
      </c>
      <c r="G43" s="9" t="str">
        <f>IFERROR(VLOOKUP(표1[[#This Row],[명칭]],'문화권 정리'!C:D,2,FALSE),"-")</f>
        <v>동아시아</v>
      </c>
      <c r="H43" s="38" t="str">
        <f>IFERROR(COUNTIF([2]OceanDoodad!$Y:$Y,표1[[#This Row],[명칭]]),"-")</f>
        <v>-</v>
      </c>
      <c r="I43" s="38">
        <f>IFERROR(COUNTIF([1]AdventureDiscoveryGroup!$D$8:$AW$92,표1[[#This Row],[명칭]]),"-")</f>
        <v>0</v>
      </c>
      <c r="J43" s="38">
        <f>IFERROR(COUNTIF([1]FishDiscoveryGroup!$A:$X,표1[[#This Row],[명칭]]),"-")</f>
        <v>0</v>
      </c>
      <c r="K43" s="38" t="str">
        <f>IFERROR(COUNTIF([2]Town!$B:$B,표1[[#This Row],[명칭]]),"-")</f>
        <v>-</v>
      </c>
      <c r="L43" s="38">
        <f>IFERROR(COUNTIF([1]Village!$BR:$BR,표1[[#This Row],[명칭]]),"-")</f>
        <v>0</v>
      </c>
      <c r="M43" s="38">
        <f>COUNTIF(퀘스트!B:B,표1[[#This Row],[명칭]])</f>
        <v>0</v>
      </c>
      <c r="N43" s="65">
        <f>COUNTIF([1]VillageDiscoveryGroup!$C:$C,표1[[#This Row],[명칭]])</f>
        <v>0</v>
      </c>
      <c r="O43" s="65">
        <f>SUM(표1[[#This Row],[해양탐색]:[마을탐험]])</f>
        <v>0</v>
      </c>
    </row>
    <row r="44" spans="2:15" ht="13.5" customHeight="1" x14ac:dyDescent="0.3">
      <c r="B44" s="9">
        <f>[1]Discovery!A50</f>
        <v>70401047</v>
      </c>
      <c r="C44" s="9" t="str">
        <f>[1]Discovery!B50</f>
        <v>미라</v>
      </c>
      <c r="D44" s="9" t="str">
        <f>[1]Discovery!E50</f>
        <v>유물</v>
      </c>
      <c r="E44" s="9" t="str">
        <f>[1]Discovery!C50</f>
        <v>역사유물</v>
      </c>
      <c r="F44" s="9" t="str">
        <f>[1]Discovery!G50</f>
        <v>C</v>
      </c>
      <c r="G44" s="9" t="str">
        <f>IFERROR(VLOOKUP(표1[[#This Row],[명칭]],'문화권 정리'!C:D,2,FALSE),"-")</f>
        <v>북아프리카</v>
      </c>
      <c r="H44" s="38" t="str">
        <f>IFERROR(COUNTIF([2]OceanDoodad!$Y:$Y,표1[[#This Row],[명칭]]),"-")</f>
        <v>-</v>
      </c>
      <c r="I44" s="38">
        <f>IFERROR(COUNTIF([1]AdventureDiscoveryGroup!$D$8:$AW$92,표1[[#This Row],[명칭]]),"-")</f>
        <v>0</v>
      </c>
      <c r="J44" s="38">
        <f>IFERROR(COUNTIF([1]FishDiscoveryGroup!$A:$X,표1[[#This Row],[명칭]]),"-")</f>
        <v>0</v>
      </c>
      <c r="K44" s="38" t="str">
        <f>IFERROR(COUNTIF([2]Town!$B:$B,표1[[#This Row],[명칭]]),"-")</f>
        <v>-</v>
      </c>
      <c r="L44" s="38">
        <f>IFERROR(COUNTIF([1]Village!$BR:$BR,표1[[#This Row],[명칭]]),"-")</f>
        <v>0</v>
      </c>
      <c r="M44" s="38">
        <f>COUNTIF(퀘스트!B:B,표1[[#This Row],[명칭]])</f>
        <v>0</v>
      </c>
      <c r="N44" s="65">
        <f>COUNTIF([1]VillageDiscoveryGroup!$C:$C,표1[[#This Row],[명칭]])</f>
        <v>0</v>
      </c>
      <c r="O44" s="65">
        <f>SUM(표1[[#This Row],[해양탐색]:[마을탐험]])</f>
        <v>0</v>
      </c>
    </row>
    <row r="45" spans="2:15" ht="13.5" customHeight="1" x14ac:dyDescent="0.3">
      <c r="B45" s="9">
        <f>[1]Discovery!A51</f>
        <v>70401048</v>
      </c>
      <c r="C45" s="9" t="str">
        <f>[1]Discovery!B51</f>
        <v>바다 민족의 갑옷</v>
      </c>
      <c r="D45" s="9" t="str">
        <f>[1]Discovery!E51</f>
        <v>유물</v>
      </c>
      <c r="E45" s="9" t="str">
        <f>[1]Discovery!C51</f>
        <v>역사유물</v>
      </c>
      <c r="F45" s="9" t="str">
        <f>[1]Discovery!G51</f>
        <v>D</v>
      </c>
      <c r="G45" s="9" t="str">
        <f>IFERROR(VLOOKUP(표1[[#This Row],[명칭]],'문화권 정리'!C:D,2,FALSE),"-")</f>
        <v>지중해</v>
      </c>
      <c r="H45" s="38" t="str">
        <f>IFERROR(COUNTIF([2]OceanDoodad!$Y:$Y,표1[[#This Row],[명칭]]),"-")</f>
        <v>-</v>
      </c>
      <c r="I45" s="38">
        <f>IFERROR(COUNTIF([1]AdventureDiscoveryGroup!$D$8:$AW$92,표1[[#This Row],[명칭]]),"-")</f>
        <v>0</v>
      </c>
      <c r="J45" s="38">
        <f>IFERROR(COUNTIF([1]FishDiscoveryGroup!$A:$X,표1[[#This Row],[명칭]]),"-")</f>
        <v>0</v>
      </c>
      <c r="K45" s="38" t="str">
        <f>IFERROR(COUNTIF([2]Town!$B:$B,표1[[#This Row],[명칭]]),"-")</f>
        <v>-</v>
      </c>
      <c r="L45" s="38">
        <f>IFERROR(COUNTIF([1]Village!$BR:$BR,표1[[#This Row],[명칭]]),"-")</f>
        <v>0</v>
      </c>
      <c r="M45" s="38">
        <f>COUNTIF(퀘스트!B:B,표1[[#This Row],[명칭]])</f>
        <v>0</v>
      </c>
      <c r="N45" s="65">
        <f>COUNTIF([1]VillageDiscoveryGroup!$C:$C,표1[[#This Row],[명칭]])</f>
        <v>0</v>
      </c>
      <c r="O45" s="65">
        <f>SUM(표1[[#This Row],[해양탐색]:[마을탐험]])</f>
        <v>0</v>
      </c>
    </row>
    <row r="46" spans="2:15" ht="13.5" customHeight="1" x14ac:dyDescent="0.3">
      <c r="B46" s="9">
        <f>[1]Discovery!A52</f>
        <v>70401049</v>
      </c>
      <c r="C46" s="9" t="str">
        <f>[1]Discovery!B52</f>
        <v>바다 민족의 검</v>
      </c>
      <c r="D46" s="9" t="str">
        <f>[1]Discovery!E52</f>
        <v>유물</v>
      </c>
      <c r="E46" s="9" t="str">
        <f>[1]Discovery!C52</f>
        <v>역사유물</v>
      </c>
      <c r="F46" s="9" t="str">
        <f>[1]Discovery!G52</f>
        <v>D</v>
      </c>
      <c r="G46" s="9" t="str">
        <f>IFERROR(VLOOKUP(표1[[#This Row],[명칭]],'문화권 정리'!C:D,2,FALSE),"-")</f>
        <v>지중해</v>
      </c>
      <c r="H46" s="38" t="str">
        <f>IFERROR(COUNTIF([2]OceanDoodad!$Y:$Y,표1[[#This Row],[명칭]]),"-")</f>
        <v>-</v>
      </c>
      <c r="I46" s="38">
        <f>IFERROR(COUNTIF([1]AdventureDiscoveryGroup!$D$8:$AW$92,표1[[#This Row],[명칭]]),"-")</f>
        <v>0</v>
      </c>
      <c r="J46" s="38">
        <f>IFERROR(COUNTIF([1]FishDiscoveryGroup!$A:$X,표1[[#This Row],[명칭]]),"-")</f>
        <v>0</v>
      </c>
      <c r="K46" s="38" t="str">
        <f>IFERROR(COUNTIF([2]Town!$B:$B,표1[[#This Row],[명칭]]),"-")</f>
        <v>-</v>
      </c>
      <c r="L46" s="38">
        <f>IFERROR(COUNTIF([1]Village!$BR:$BR,표1[[#This Row],[명칭]]),"-")</f>
        <v>0</v>
      </c>
      <c r="M46" s="38">
        <f>COUNTIF(퀘스트!B:B,표1[[#This Row],[명칭]])</f>
        <v>1</v>
      </c>
      <c r="N46" s="65">
        <f>COUNTIF([1]VillageDiscoveryGroup!$C:$C,표1[[#This Row],[명칭]])</f>
        <v>0</v>
      </c>
      <c r="O46" s="65">
        <f>SUM(표1[[#This Row],[해양탐색]:[마을탐험]])</f>
        <v>1</v>
      </c>
    </row>
    <row r="47" spans="2:15" ht="13.5" customHeight="1" x14ac:dyDescent="0.3">
      <c r="B47" s="9">
        <f>[1]Discovery!A53</f>
        <v>70401050</v>
      </c>
      <c r="C47" s="9" t="str">
        <f>[1]Discovery!B53</f>
        <v>바이바르스의 창</v>
      </c>
      <c r="D47" s="9" t="str">
        <f>[1]Discovery!E53</f>
        <v>보물</v>
      </c>
      <c r="E47" s="9" t="str">
        <f>[1]Discovery!C53</f>
        <v>보물</v>
      </c>
      <c r="F47" s="9" t="str">
        <f>[1]Discovery!G53</f>
        <v>A</v>
      </c>
      <c r="G47" s="9" t="str">
        <f>IFERROR(VLOOKUP(표1[[#This Row],[명칭]],'문화권 정리'!C:D,2,FALSE),"-")</f>
        <v>북아프리카</v>
      </c>
      <c r="H47" s="38" t="str">
        <f>IFERROR(COUNTIF([2]OceanDoodad!$Y:$Y,표1[[#This Row],[명칭]]),"-")</f>
        <v>-</v>
      </c>
      <c r="I47" s="38">
        <f>IFERROR(COUNTIF([1]AdventureDiscoveryGroup!$D$8:$AW$92,표1[[#This Row],[명칭]]),"-")</f>
        <v>0</v>
      </c>
      <c r="J47" s="38">
        <f>IFERROR(COUNTIF([1]FishDiscoveryGroup!$A:$X,표1[[#This Row],[명칭]]),"-")</f>
        <v>0</v>
      </c>
      <c r="K47" s="38" t="str">
        <f>IFERROR(COUNTIF([2]Town!$B:$B,표1[[#This Row],[명칭]]),"-")</f>
        <v>-</v>
      </c>
      <c r="L47" s="38">
        <f>IFERROR(COUNTIF([1]Village!$BR:$BR,표1[[#This Row],[명칭]]),"-")</f>
        <v>0</v>
      </c>
      <c r="M47" s="38">
        <f>COUNTIF(퀘스트!B:B,표1[[#This Row],[명칭]])</f>
        <v>0</v>
      </c>
      <c r="N47" s="65">
        <f>COUNTIF([1]VillageDiscoveryGroup!$C:$C,표1[[#This Row],[명칭]])</f>
        <v>0</v>
      </c>
      <c r="O47" s="65">
        <f>SUM(표1[[#This Row],[해양탐색]:[마을탐험]])</f>
        <v>0</v>
      </c>
    </row>
    <row r="48" spans="2:15" ht="13.5" customHeight="1" x14ac:dyDescent="0.3">
      <c r="B48" s="9">
        <f>[1]Discovery!A54</f>
        <v>70401051</v>
      </c>
      <c r="C48" s="9" t="str">
        <f>[1]Discovery!B54</f>
        <v>바이킹 소드</v>
      </c>
      <c r="D48" s="9" t="str">
        <f>[1]Discovery!E54</f>
        <v>유물</v>
      </c>
      <c r="E48" s="9" t="str">
        <f>[1]Discovery!C54</f>
        <v>역사유물</v>
      </c>
      <c r="F48" s="9" t="str">
        <f>[1]Discovery!G54</f>
        <v>B</v>
      </c>
      <c r="G48" s="9" t="str">
        <f>IFERROR(VLOOKUP(표1[[#This Row],[명칭]],'문화권 정리'!C:D,2,FALSE),"-")</f>
        <v>북유럽</v>
      </c>
      <c r="H48" s="38" t="str">
        <f>IFERROR(COUNTIF([2]OceanDoodad!$Y:$Y,표1[[#This Row],[명칭]]),"-")</f>
        <v>-</v>
      </c>
      <c r="I48" s="38">
        <f>IFERROR(COUNTIF([1]AdventureDiscoveryGroup!$D$8:$AW$92,표1[[#This Row],[명칭]]),"-")</f>
        <v>0</v>
      </c>
      <c r="J48" s="38">
        <f>IFERROR(COUNTIF([1]FishDiscoveryGroup!$A:$X,표1[[#This Row],[명칭]]),"-")</f>
        <v>0</v>
      </c>
      <c r="K48" s="38" t="str">
        <f>IFERROR(COUNTIF([2]Town!$B:$B,표1[[#This Row],[명칭]]),"-")</f>
        <v>-</v>
      </c>
      <c r="L48" s="38">
        <f>IFERROR(COUNTIF([1]Village!$BR:$BR,표1[[#This Row],[명칭]]),"-")</f>
        <v>0</v>
      </c>
      <c r="M48" s="38">
        <f>COUNTIF(퀘스트!B:B,표1[[#This Row],[명칭]])</f>
        <v>0</v>
      </c>
      <c r="N48" s="65">
        <f>COUNTIF([1]VillageDiscoveryGroup!$C:$C,표1[[#This Row],[명칭]])</f>
        <v>1</v>
      </c>
      <c r="O48" s="65">
        <f>SUM(표1[[#This Row],[해양탐색]:[마을탐험]])</f>
        <v>1</v>
      </c>
    </row>
    <row r="49" spans="2:15" ht="13.5" customHeight="1" x14ac:dyDescent="0.3">
      <c r="B49" s="9">
        <f>[1]Discovery!A55</f>
        <v>70401052</v>
      </c>
      <c r="C49" s="9" t="str">
        <f>[1]Discovery!B55</f>
        <v>바이킹의 철 방패</v>
      </c>
      <c r="D49" s="9" t="str">
        <f>[1]Discovery!E55</f>
        <v>유물</v>
      </c>
      <c r="E49" s="9" t="str">
        <f>[1]Discovery!C55</f>
        <v>역사유물</v>
      </c>
      <c r="F49" s="9" t="str">
        <f>[1]Discovery!G55</f>
        <v>D</v>
      </c>
      <c r="G49" s="9" t="str">
        <f>IFERROR(VLOOKUP(표1[[#This Row],[명칭]],'문화권 정리'!C:D,2,FALSE),"-")</f>
        <v>북유럽</v>
      </c>
      <c r="H49" s="38" t="str">
        <f>IFERROR(COUNTIF([2]OceanDoodad!$Y:$Y,표1[[#This Row],[명칭]]),"-")</f>
        <v>-</v>
      </c>
      <c r="I49" s="38">
        <f>IFERROR(COUNTIF([1]AdventureDiscoveryGroup!$D$8:$AW$92,표1[[#This Row],[명칭]]),"-")</f>
        <v>1</v>
      </c>
      <c r="J49" s="38">
        <f>IFERROR(COUNTIF([1]FishDiscoveryGroup!$A:$X,표1[[#This Row],[명칭]]),"-")</f>
        <v>0</v>
      </c>
      <c r="K49" s="38" t="str">
        <f>IFERROR(COUNTIF([2]Town!$B:$B,표1[[#This Row],[명칭]]),"-")</f>
        <v>-</v>
      </c>
      <c r="L49" s="38">
        <f>IFERROR(COUNTIF([1]Village!$BR:$BR,표1[[#This Row],[명칭]]),"-")</f>
        <v>0</v>
      </c>
      <c r="M49" s="38">
        <f>COUNTIF(퀘스트!B:B,표1[[#This Row],[명칭]])</f>
        <v>0</v>
      </c>
      <c r="N49" s="65">
        <f>COUNTIF([1]VillageDiscoveryGroup!$C:$C,표1[[#This Row],[명칭]])</f>
        <v>0</v>
      </c>
      <c r="O49" s="65">
        <f>SUM(표1[[#This Row],[해양탐색]:[마을탐험]])</f>
        <v>1</v>
      </c>
    </row>
    <row r="50" spans="2:15" ht="13.5" customHeight="1" x14ac:dyDescent="0.3">
      <c r="B50" s="9">
        <f>[1]Discovery!A56</f>
        <v>70401054</v>
      </c>
      <c r="C50" s="9" t="str">
        <f>[1]Discovery!B56</f>
        <v>배터시의 방패</v>
      </c>
      <c r="D50" s="9" t="str">
        <f>[1]Discovery!E56</f>
        <v>유물</v>
      </c>
      <c r="E50" s="9" t="str">
        <f>[1]Discovery!C56</f>
        <v>역사유물</v>
      </c>
      <c r="F50" s="9" t="str">
        <f>[1]Discovery!G56</f>
        <v>B</v>
      </c>
      <c r="G50" s="9" t="str">
        <f>IFERROR(VLOOKUP(표1[[#This Row],[명칭]],'문화권 정리'!C:D,2,FALSE),"-")</f>
        <v>브리튼</v>
      </c>
      <c r="H50" s="38" t="str">
        <f>IFERROR(COUNTIF([2]OceanDoodad!$Y:$Y,표1[[#This Row],[명칭]]),"-")</f>
        <v>-</v>
      </c>
      <c r="I50" s="38">
        <f>IFERROR(COUNTIF([1]AdventureDiscoveryGroup!$D$8:$AW$92,표1[[#This Row],[명칭]]),"-")</f>
        <v>0</v>
      </c>
      <c r="J50" s="38">
        <f>IFERROR(COUNTIF([1]FishDiscoveryGroup!$A:$X,표1[[#This Row],[명칭]]),"-")</f>
        <v>0</v>
      </c>
      <c r="K50" s="38" t="str">
        <f>IFERROR(COUNTIF([2]Town!$B:$B,표1[[#This Row],[명칭]]),"-")</f>
        <v>-</v>
      </c>
      <c r="L50" s="38">
        <f>IFERROR(COUNTIF([1]Village!$BR:$BR,표1[[#This Row],[명칭]]),"-")</f>
        <v>0</v>
      </c>
      <c r="M50" s="38">
        <f>COUNTIF(퀘스트!B:B,표1[[#This Row],[명칭]])</f>
        <v>0</v>
      </c>
      <c r="N50" s="65">
        <f>COUNTIF([1]VillageDiscoveryGroup!$C:$C,표1[[#This Row],[명칭]])</f>
        <v>0</v>
      </c>
      <c r="O50" s="65">
        <f>SUM(표1[[#This Row],[해양탐색]:[마을탐험]])</f>
        <v>0</v>
      </c>
    </row>
    <row r="51" spans="2:15" ht="13.5" customHeight="1" x14ac:dyDescent="0.3">
      <c r="B51" s="9">
        <f>[1]Discovery!A57</f>
        <v>70401055</v>
      </c>
      <c r="C51" s="9" t="str">
        <f>[1]Discovery!B57</f>
        <v>백제 금동대향로</v>
      </c>
      <c r="D51" s="9" t="str">
        <f>[1]Discovery!E57</f>
        <v>유물</v>
      </c>
      <c r="E51" s="9" t="str">
        <f>[1]Discovery!C57</f>
        <v>역사유물</v>
      </c>
      <c r="F51" s="9" t="str">
        <f>[1]Discovery!G57</f>
        <v>S</v>
      </c>
      <c r="G51" s="9" t="str">
        <f>IFERROR(VLOOKUP(표1[[#This Row],[명칭]],'문화권 정리'!C:D,2,FALSE),"-")</f>
        <v>동아시아</v>
      </c>
      <c r="H51" s="38" t="str">
        <f>IFERROR(COUNTIF([2]OceanDoodad!$Y:$Y,표1[[#This Row],[명칭]]),"-")</f>
        <v>-</v>
      </c>
      <c r="I51" s="38">
        <f>IFERROR(COUNTIF([1]AdventureDiscoveryGroup!$D$8:$AW$92,표1[[#This Row],[명칭]]),"-")</f>
        <v>0</v>
      </c>
      <c r="J51" s="38">
        <f>IFERROR(COUNTIF([1]FishDiscoveryGroup!$A:$X,표1[[#This Row],[명칭]]),"-")</f>
        <v>0</v>
      </c>
      <c r="K51" s="38" t="str">
        <f>IFERROR(COUNTIF([2]Town!$B:$B,표1[[#This Row],[명칭]]),"-")</f>
        <v>-</v>
      </c>
      <c r="L51" s="38">
        <f>IFERROR(COUNTIF([1]Village!$BR:$BR,표1[[#This Row],[명칭]]),"-")</f>
        <v>0</v>
      </c>
      <c r="M51" s="38">
        <f>COUNTIF(퀘스트!B:B,표1[[#This Row],[명칭]])</f>
        <v>1</v>
      </c>
      <c r="N51" s="65">
        <f>COUNTIF([1]VillageDiscoveryGroup!$C:$C,표1[[#This Row],[명칭]])</f>
        <v>0</v>
      </c>
      <c r="O51" s="65">
        <f>SUM(표1[[#This Row],[해양탐색]:[마을탐험]])</f>
        <v>1</v>
      </c>
    </row>
    <row r="52" spans="2:15" ht="13.5" customHeight="1" x14ac:dyDescent="0.3">
      <c r="B52" s="9">
        <f>[1]Discovery!A58</f>
        <v>70401057</v>
      </c>
      <c r="C52" s="9" t="str">
        <f>[1]Discovery!B58</f>
        <v>베히스툰 암각비</v>
      </c>
      <c r="D52" s="9" t="str">
        <f>[1]Discovery!E58</f>
        <v>유물</v>
      </c>
      <c r="E52" s="9" t="str">
        <f>[1]Discovery!C58</f>
        <v>역사유물</v>
      </c>
      <c r="F52" s="9" t="str">
        <f>[1]Discovery!G58</f>
        <v>B</v>
      </c>
      <c r="G52" s="9" t="str">
        <f>IFERROR(VLOOKUP(표1[[#This Row],[명칭]],'문화권 정리'!C:D,2,FALSE),"-")</f>
        <v>서남아시아</v>
      </c>
      <c r="H52" s="38" t="str">
        <f>IFERROR(COUNTIF([2]OceanDoodad!$Y:$Y,표1[[#This Row],[명칭]]),"-")</f>
        <v>-</v>
      </c>
      <c r="I52" s="38">
        <f>IFERROR(COUNTIF([1]AdventureDiscoveryGroup!$D$8:$AW$92,표1[[#This Row],[명칭]]),"-")</f>
        <v>1</v>
      </c>
      <c r="J52" s="38">
        <f>IFERROR(COUNTIF([1]FishDiscoveryGroup!$A:$X,표1[[#This Row],[명칭]]),"-")</f>
        <v>0</v>
      </c>
      <c r="K52" s="38" t="str">
        <f>IFERROR(COUNTIF([2]Town!$B:$B,표1[[#This Row],[명칭]]),"-")</f>
        <v>-</v>
      </c>
      <c r="L52" s="38">
        <f>IFERROR(COUNTIF([1]Village!$BR:$BR,표1[[#This Row],[명칭]]),"-")</f>
        <v>0</v>
      </c>
      <c r="M52" s="38">
        <f>COUNTIF(퀘스트!B:B,표1[[#This Row],[명칭]])</f>
        <v>0</v>
      </c>
      <c r="N52" s="65">
        <f>COUNTIF([1]VillageDiscoveryGroup!$C:$C,표1[[#This Row],[명칭]])</f>
        <v>0</v>
      </c>
      <c r="O52" s="65">
        <f>SUM(표1[[#This Row],[해양탐색]:[마을탐험]])</f>
        <v>1</v>
      </c>
    </row>
    <row r="53" spans="2:15" ht="13.5" customHeight="1" x14ac:dyDescent="0.3">
      <c r="B53" s="9">
        <f>[1]Discovery!A59</f>
        <v>70401059</v>
      </c>
      <c r="C53" s="9" t="str">
        <f>[1]Discovery!B59</f>
        <v>봉니</v>
      </c>
      <c r="D53" s="9" t="str">
        <f>[1]Discovery!E59</f>
        <v>유물</v>
      </c>
      <c r="E53" s="9" t="str">
        <f>[1]Discovery!C59</f>
        <v>역사유물</v>
      </c>
      <c r="F53" s="9" t="str">
        <f>[1]Discovery!G59</f>
        <v>C</v>
      </c>
      <c r="G53" s="9" t="str">
        <f>IFERROR(VLOOKUP(표1[[#This Row],[명칭]],'문화권 정리'!C:D,2,FALSE),"-")</f>
        <v>동아시아</v>
      </c>
      <c r="H53" s="38" t="str">
        <f>IFERROR(COUNTIF([2]OceanDoodad!$Y:$Y,표1[[#This Row],[명칭]]),"-")</f>
        <v>-</v>
      </c>
      <c r="I53" s="38">
        <f>IFERROR(COUNTIF([1]AdventureDiscoveryGroup!$D$8:$AW$92,표1[[#This Row],[명칭]]),"-")</f>
        <v>0</v>
      </c>
      <c r="J53" s="38">
        <f>IFERROR(COUNTIF([1]FishDiscoveryGroup!$A:$X,표1[[#This Row],[명칭]]),"-")</f>
        <v>0</v>
      </c>
      <c r="K53" s="38" t="str">
        <f>IFERROR(COUNTIF([2]Town!$B:$B,표1[[#This Row],[명칭]]),"-")</f>
        <v>-</v>
      </c>
      <c r="L53" s="38">
        <f>IFERROR(COUNTIF([1]Village!$BR:$BR,표1[[#This Row],[명칭]]),"-")</f>
        <v>0</v>
      </c>
      <c r="M53" s="38">
        <f>COUNTIF(퀘스트!B:B,표1[[#This Row],[명칭]])</f>
        <v>0</v>
      </c>
      <c r="N53" s="65">
        <f>COUNTIF([1]VillageDiscoveryGroup!$C:$C,표1[[#This Row],[명칭]])</f>
        <v>0</v>
      </c>
      <c r="O53" s="65">
        <f>SUM(표1[[#This Row],[해양탐색]:[마을탐험]])</f>
        <v>0</v>
      </c>
    </row>
    <row r="54" spans="2:15" ht="13.5" customHeight="1" x14ac:dyDescent="0.3">
      <c r="B54" s="9">
        <f>[1]Discovery!A60</f>
        <v>70401060</v>
      </c>
      <c r="C54" s="9" t="str">
        <f>[1]Discovery!B60</f>
        <v>비블로스 문자의 비석 조각</v>
      </c>
      <c r="D54" s="9" t="str">
        <f>[1]Discovery!E60</f>
        <v>유물</v>
      </c>
      <c r="E54" s="9" t="str">
        <f>[1]Discovery!C60</f>
        <v>역사유물</v>
      </c>
      <c r="F54" s="9" t="str">
        <f>[1]Discovery!G60</f>
        <v>B</v>
      </c>
      <c r="G54" s="9" t="str">
        <f>IFERROR(VLOOKUP(표1[[#This Row],[명칭]],'문화권 정리'!C:D,2,FALSE),"-")</f>
        <v>서남아시아</v>
      </c>
      <c r="H54" s="38" t="str">
        <f>IFERROR(COUNTIF([2]OceanDoodad!$Y:$Y,표1[[#This Row],[명칭]]),"-")</f>
        <v>-</v>
      </c>
      <c r="I54" s="38">
        <f>IFERROR(COUNTIF([1]AdventureDiscoveryGroup!$D$8:$AW$92,표1[[#This Row],[명칭]]),"-")</f>
        <v>0</v>
      </c>
      <c r="J54" s="38">
        <f>IFERROR(COUNTIF([1]FishDiscoveryGroup!$A:$X,표1[[#This Row],[명칭]]),"-")</f>
        <v>0</v>
      </c>
      <c r="K54" s="38" t="str">
        <f>IFERROR(COUNTIF([2]Town!$B:$B,표1[[#This Row],[명칭]]),"-")</f>
        <v>-</v>
      </c>
      <c r="L54" s="38">
        <f>IFERROR(COUNTIF([1]Village!$BR:$BR,표1[[#This Row],[명칭]]),"-")</f>
        <v>0</v>
      </c>
      <c r="M54" s="38">
        <f>COUNTIF(퀘스트!B:B,표1[[#This Row],[명칭]])</f>
        <v>0</v>
      </c>
      <c r="N54" s="65">
        <f>COUNTIF([1]VillageDiscoveryGroup!$C:$C,표1[[#This Row],[명칭]])</f>
        <v>0</v>
      </c>
      <c r="O54" s="65">
        <f>SUM(표1[[#This Row],[해양탐색]:[마을탐험]])</f>
        <v>0</v>
      </c>
    </row>
    <row r="55" spans="2:15" ht="13.5" customHeight="1" x14ac:dyDescent="0.3">
      <c r="B55" s="9">
        <f>[1]Discovery!A61</f>
        <v>70401064</v>
      </c>
      <c r="C55" s="9" t="str">
        <f>[1]Discovery!B61</f>
        <v>사기</v>
      </c>
      <c r="D55" s="9" t="str">
        <f>[1]Discovery!E61</f>
        <v>유물</v>
      </c>
      <c r="E55" s="9" t="str">
        <f>[1]Discovery!C61</f>
        <v>역사유물</v>
      </c>
      <c r="F55" s="9" t="str">
        <f>[1]Discovery!G61</f>
        <v>S</v>
      </c>
      <c r="G55" s="9" t="str">
        <f>IFERROR(VLOOKUP(표1[[#This Row],[명칭]],'문화권 정리'!C:D,2,FALSE),"-")</f>
        <v>동아시아</v>
      </c>
      <c r="H55" s="38" t="str">
        <f>IFERROR(COUNTIF([2]OceanDoodad!$Y:$Y,표1[[#This Row],[명칭]]),"-")</f>
        <v>-</v>
      </c>
      <c r="I55" s="38">
        <f>IFERROR(COUNTIF([1]AdventureDiscoveryGroup!$D$8:$AW$92,표1[[#This Row],[명칭]]),"-")</f>
        <v>0</v>
      </c>
      <c r="J55" s="38">
        <f>IFERROR(COUNTIF([1]FishDiscoveryGroup!$A:$X,표1[[#This Row],[명칭]]),"-")</f>
        <v>0</v>
      </c>
      <c r="K55" s="38" t="str">
        <f>IFERROR(COUNTIF([2]Town!$B:$B,표1[[#This Row],[명칭]]),"-")</f>
        <v>-</v>
      </c>
      <c r="L55" s="38">
        <f>IFERROR(COUNTIF([1]Village!$BR:$BR,표1[[#This Row],[명칭]]),"-")</f>
        <v>0</v>
      </c>
      <c r="M55" s="38">
        <f>COUNTIF(퀘스트!B:B,표1[[#This Row],[명칭]])</f>
        <v>0</v>
      </c>
      <c r="N55" s="65">
        <f>COUNTIF([1]VillageDiscoveryGroup!$C:$C,표1[[#This Row],[명칭]])</f>
        <v>0</v>
      </c>
      <c r="O55" s="65">
        <f>SUM(표1[[#This Row],[해양탐색]:[마을탐험]])</f>
        <v>0</v>
      </c>
    </row>
    <row r="56" spans="2:15" ht="13.5" customHeight="1" x14ac:dyDescent="0.3">
      <c r="B56" s="9">
        <f>[1]Discovery!A62</f>
        <v>70401065</v>
      </c>
      <c r="C56" s="9" t="str">
        <f>[1]Discovery!B62</f>
        <v>사르코파구스</v>
      </c>
      <c r="D56" s="9" t="str">
        <f>[1]Discovery!E62</f>
        <v>유물</v>
      </c>
      <c r="E56" s="9" t="str">
        <f>[1]Discovery!C62</f>
        <v>역사유물</v>
      </c>
      <c r="F56" s="9" t="str">
        <f>[1]Discovery!G62</f>
        <v>B</v>
      </c>
      <c r="G56" s="9" t="str">
        <f>IFERROR(VLOOKUP(표1[[#This Row],[명칭]],'문화권 정리'!C:D,2,FALSE),"-")</f>
        <v>서남아시아</v>
      </c>
      <c r="H56" s="38" t="str">
        <f>IFERROR(COUNTIF([2]OceanDoodad!$Y:$Y,표1[[#This Row],[명칭]]),"-")</f>
        <v>-</v>
      </c>
      <c r="I56" s="38">
        <f>IFERROR(COUNTIF([1]AdventureDiscoveryGroup!$D$8:$AW$92,표1[[#This Row],[명칭]]),"-")</f>
        <v>0</v>
      </c>
      <c r="J56" s="38">
        <f>IFERROR(COUNTIF([1]FishDiscoveryGroup!$A:$X,표1[[#This Row],[명칭]]),"-")</f>
        <v>0</v>
      </c>
      <c r="K56" s="38" t="str">
        <f>IFERROR(COUNTIF([2]Town!$B:$B,표1[[#This Row],[명칭]]),"-")</f>
        <v>-</v>
      </c>
      <c r="L56" s="38">
        <f>IFERROR(COUNTIF([1]Village!$BR:$BR,표1[[#This Row],[명칭]]),"-")</f>
        <v>0</v>
      </c>
      <c r="M56" s="38">
        <f>COUNTIF(퀘스트!B:B,표1[[#This Row],[명칭]])</f>
        <v>0</v>
      </c>
      <c r="N56" s="65">
        <f>COUNTIF([1]VillageDiscoveryGroup!$C:$C,표1[[#This Row],[명칭]])</f>
        <v>0</v>
      </c>
      <c r="O56" s="65">
        <f>SUM(표1[[#This Row],[해양탐색]:[마을탐험]])</f>
        <v>0</v>
      </c>
    </row>
    <row r="57" spans="2:15" ht="13.5" customHeight="1" x14ac:dyDescent="0.3">
      <c r="B57" s="9">
        <f>[1]Discovery!A63</f>
        <v>70401066</v>
      </c>
      <c r="C57" s="9" t="str">
        <f>[1]Discovery!B63</f>
        <v>사리사</v>
      </c>
      <c r="D57" s="9" t="str">
        <f>[1]Discovery!E63</f>
        <v>유물</v>
      </c>
      <c r="E57" s="9" t="str">
        <f>[1]Discovery!C63</f>
        <v>역사유물</v>
      </c>
      <c r="F57" s="9" t="str">
        <f>[1]Discovery!G63</f>
        <v>D</v>
      </c>
      <c r="G57" s="9" t="str">
        <f>IFERROR(VLOOKUP(표1[[#This Row],[명칭]],'문화권 정리'!C:D,2,FALSE),"-")</f>
        <v>지중해</v>
      </c>
      <c r="H57" s="38" t="str">
        <f>IFERROR(COUNTIF([2]OceanDoodad!$Y:$Y,표1[[#This Row],[명칭]]),"-")</f>
        <v>-</v>
      </c>
      <c r="I57" s="38">
        <f>IFERROR(COUNTIF([1]AdventureDiscoveryGroup!$D$8:$AW$92,표1[[#This Row],[명칭]]),"-")</f>
        <v>1</v>
      </c>
      <c r="J57" s="38">
        <f>IFERROR(COUNTIF([1]FishDiscoveryGroup!$A:$X,표1[[#This Row],[명칭]]),"-")</f>
        <v>0</v>
      </c>
      <c r="K57" s="38" t="str">
        <f>IFERROR(COUNTIF([2]Town!$B:$B,표1[[#This Row],[명칭]]),"-")</f>
        <v>-</v>
      </c>
      <c r="L57" s="38">
        <f>IFERROR(COUNTIF([1]Village!$BR:$BR,표1[[#This Row],[명칭]]),"-")</f>
        <v>0</v>
      </c>
      <c r="M57" s="38">
        <f>COUNTIF(퀘스트!B:B,표1[[#This Row],[명칭]])</f>
        <v>0</v>
      </c>
      <c r="N57" s="65">
        <f>COUNTIF([1]VillageDiscoveryGroup!$C:$C,표1[[#This Row],[명칭]])</f>
        <v>0</v>
      </c>
      <c r="O57" s="65">
        <f>SUM(표1[[#This Row],[해양탐색]:[마을탐험]])</f>
        <v>1</v>
      </c>
    </row>
    <row r="58" spans="2:15" ht="13.5" customHeight="1" x14ac:dyDescent="0.3">
      <c r="B58" s="9">
        <f>[1]Discovery!A64</f>
        <v>70401067</v>
      </c>
      <c r="C58" s="9" t="str">
        <f>[1]Discovery!B64</f>
        <v>사자의 서</v>
      </c>
      <c r="D58" s="9" t="str">
        <f>[1]Discovery!E64</f>
        <v>유물</v>
      </c>
      <c r="E58" s="9" t="str">
        <f>[1]Discovery!C64</f>
        <v>역사유물</v>
      </c>
      <c r="F58" s="9" t="str">
        <f>[1]Discovery!G64</f>
        <v>D</v>
      </c>
      <c r="G58" s="9" t="str">
        <f>IFERROR(VLOOKUP(표1[[#This Row],[명칭]],'문화권 정리'!C:D,2,FALSE),"-")</f>
        <v>북아프리카</v>
      </c>
      <c r="H58" s="38" t="str">
        <f>IFERROR(COUNTIF([2]OceanDoodad!$Y:$Y,표1[[#This Row],[명칭]]),"-")</f>
        <v>-</v>
      </c>
      <c r="I58" s="38">
        <f>IFERROR(COUNTIF([1]AdventureDiscoveryGroup!$D$8:$AW$92,표1[[#This Row],[명칭]]),"-")</f>
        <v>0</v>
      </c>
      <c r="J58" s="38">
        <f>IFERROR(COUNTIF([1]FishDiscoveryGroup!$A:$X,표1[[#This Row],[명칭]]),"-")</f>
        <v>0</v>
      </c>
      <c r="K58" s="38" t="str">
        <f>IFERROR(COUNTIF([2]Town!$B:$B,표1[[#This Row],[명칭]]),"-")</f>
        <v>-</v>
      </c>
      <c r="L58" s="38">
        <f>IFERROR(COUNTIF([1]Village!$BR:$BR,표1[[#This Row],[명칭]]),"-")</f>
        <v>0</v>
      </c>
      <c r="M58" s="38">
        <f>COUNTIF(퀘스트!B:B,표1[[#This Row],[명칭]])</f>
        <v>1</v>
      </c>
      <c r="N58" s="65">
        <f>COUNTIF([1]VillageDiscoveryGroup!$C:$C,표1[[#This Row],[명칭]])</f>
        <v>0</v>
      </c>
      <c r="O58" s="65">
        <f>SUM(표1[[#This Row],[해양탐색]:[마을탐험]])</f>
        <v>1</v>
      </c>
    </row>
    <row r="59" spans="2:15" ht="13.5" customHeight="1" x14ac:dyDescent="0.3">
      <c r="B59" s="9">
        <f>[1]Discovery!A65</f>
        <v>70401068</v>
      </c>
      <c r="C59" s="9" t="str">
        <f>[1]Discovery!B65</f>
        <v>사포의 시집</v>
      </c>
      <c r="D59" s="9" t="str">
        <f>[1]Discovery!E65</f>
        <v>보물</v>
      </c>
      <c r="E59" s="9" t="str">
        <f>[1]Discovery!C65</f>
        <v>보물</v>
      </c>
      <c r="F59" s="9" t="str">
        <f>[1]Discovery!G65</f>
        <v>B</v>
      </c>
      <c r="G59" s="9" t="str">
        <f>IFERROR(VLOOKUP(표1[[#This Row],[명칭]],'문화권 정리'!C:D,2,FALSE),"-")</f>
        <v>지중해</v>
      </c>
      <c r="H59" s="38" t="str">
        <f>IFERROR(COUNTIF([2]OceanDoodad!$Y:$Y,표1[[#This Row],[명칭]]),"-")</f>
        <v>-</v>
      </c>
      <c r="I59" s="38">
        <f>IFERROR(COUNTIF([1]AdventureDiscoveryGroup!$D$8:$AW$92,표1[[#This Row],[명칭]]),"-")</f>
        <v>0</v>
      </c>
      <c r="J59" s="38">
        <f>IFERROR(COUNTIF([1]FishDiscoveryGroup!$A:$X,표1[[#This Row],[명칭]]),"-")</f>
        <v>0</v>
      </c>
      <c r="K59" s="38" t="str">
        <f>IFERROR(COUNTIF([2]Town!$B:$B,표1[[#This Row],[명칭]]),"-")</f>
        <v>-</v>
      </c>
      <c r="L59" s="38">
        <f>IFERROR(COUNTIF([1]Village!$BR:$BR,표1[[#This Row],[명칭]]),"-")</f>
        <v>0</v>
      </c>
      <c r="M59" s="38">
        <f>COUNTIF(퀘스트!B:B,표1[[#This Row],[명칭]])</f>
        <v>0</v>
      </c>
      <c r="N59" s="65">
        <f>COUNTIF([1]VillageDiscoveryGroup!$C:$C,표1[[#This Row],[명칭]])</f>
        <v>0</v>
      </c>
      <c r="O59" s="65">
        <f>SUM(표1[[#This Row],[해양탐색]:[마을탐험]])</f>
        <v>0</v>
      </c>
    </row>
    <row r="60" spans="2:15" ht="13.5" customHeight="1" x14ac:dyDescent="0.3">
      <c r="B60" s="9">
        <f>[1]Discovery!A66</f>
        <v>70401069</v>
      </c>
      <c r="C60" s="9" t="str">
        <f>[1]Discovery!B66</f>
        <v>삼국사기</v>
      </c>
      <c r="D60" s="9" t="str">
        <f>[1]Discovery!E66</f>
        <v>유물</v>
      </c>
      <c r="E60" s="9" t="str">
        <f>[1]Discovery!C66</f>
        <v>역사유물</v>
      </c>
      <c r="F60" s="9" t="str">
        <f>[1]Discovery!G66</f>
        <v>A</v>
      </c>
      <c r="G60" s="9" t="str">
        <f>IFERROR(VLOOKUP(표1[[#This Row],[명칭]],'문화권 정리'!C:D,2,FALSE),"-")</f>
        <v>동아시아</v>
      </c>
      <c r="H60" s="38" t="str">
        <f>IFERROR(COUNTIF([2]OceanDoodad!$Y:$Y,표1[[#This Row],[명칭]]),"-")</f>
        <v>-</v>
      </c>
      <c r="I60" s="38">
        <f>IFERROR(COUNTIF([1]AdventureDiscoveryGroup!$D$8:$AW$92,표1[[#This Row],[명칭]]),"-")</f>
        <v>0</v>
      </c>
      <c r="J60" s="38">
        <f>IFERROR(COUNTIF([1]FishDiscoveryGroup!$A:$X,표1[[#This Row],[명칭]]),"-")</f>
        <v>0</v>
      </c>
      <c r="K60" s="38" t="str">
        <f>IFERROR(COUNTIF([2]Town!$B:$B,표1[[#This Row],[명칭]]),"-")</f>
        <v>-</v>
      </c>
      <c r="L60" s="38">
        <f>IFERROR(COUNTIF([1]Village!$BR:$BR,표1[[#This Row],[명칭]]),"-")</f>
        <v>0</v>
      </c>
      <c r="M60" s="38">
        <f>COUNTIF(퀘스트!B:B,표1[[#This Row],[명칭]])</f>
        <v>1</v>
      </c>
      <c r="N60" s="65">
        <f>COUNTIF([1]VillageDiscoveryGroup!$C:$C,표1[[#This Row],[명칭]])</f>
        <v>0</v>
      </c>
      <c r="O60" s="65">
        <f>SUM(표1[[#This Row],[해양탐색]:[마을탐험]])</f>
        <v>1</v>
      </c>
    </row>
    <row r="61" spans="2:15" ht="13.5" customHeight="1" x14ac:dyDescent="0.3">
      <c r="B61" s="9">
        <f>[1]Discovery!A67</f>
        <v>70401070</v>
      </c>
      <c r="C61" s="9" t="str">
        <f>[1]Discovery!B67</f>
        <v>삼국유사</v>
      </c>
      <c r="D61" s="9" t="str">
        <f>[1]Discovery!E67</f>
        <v>유물</v>
      </c>
      <c r="E61" s="9" t="str">
        <f>[1]Discovery!C67</f>
        <v>역사유물</v>
      </c>
      <c r="F61" s="9" t="str">
        <f>[1]Discovery!G67</f>
        <v>A</v>
      </c>
      <c r="G61" s="9" t="str">
        <f>IFERROR(VLOOKUP(표1[[#This Row],[명칭]],'문화권 정리'!C:D,2,FALSE),"-")</f>
        <v>동아시아</v>
      </c>
      <c r="H61" s="38" t="str">
        <f>IFERROR(COUNTIF([2]OceanDoodad!$Y:$Y,표1[[#This Row],[명칭]]),"-")</f>
        <v>-</v>
      </c>
      <c r="I61" s="38">
        <f>IFERROR(COUNTIF([1]AdventureDiscoveryGroup!$D$8:$AW$92,표1[[#This Row],[명칭]]),"-")</f>
        <v>0</v>
      </c>
      <c r="J61" s="38">
        <f>IFERROR(COUNTIF([1]FishDiscoveryGroup!$A:$X,표1[[#This Row],[명칭]]),"-")</f>
        <v>0</v>
      </c>
      <c r="K61" s="38" t="str">
        <f>IFERROR(COUNTIF([2]Town!$B:$B,표1[[#This Row],[명칭]]),"-")</f>
        <v>-</v>
      </c>
      <c r="L61" s="38">
        <f>IFERROR(COUNTIF([1]Village!$BR:$BR,표1[[#This Row],[명칭]]),"-")</f>
        <v>0</v>
      </c>
      <c r="M61" s="38">
        <f>COUNTIF(퀘스트!B:B,표1[[#This Row],[명칭]])</f>
        <v>1</v>
      </c>
      <c r="N61" s="65">
        <f>COUNTIF([1]VillageDiscoveryGroup!$C:$C,표1[[#This Row],[명칭]])</f>
        <v>0</v>
      </c>
      <c r="O61" s="65">
        <f>SUM(표1[[#This Row],[해양탐색]:[마을탐험]])</f>
        <v>1</v>
      </c>
    </row>
    <row r="62" spans="2:15" ht="13.5" customHeight="1" x14ac:dyDescent="0.3">
      <c r="B62" s="9">
        <f>[1]Discovery!A68</f>
        <v>70401071</v>
      </c>
      <c r="C62" s="9" t="str">
        <f>[1]Discovery!B68</f>
        <v>설형문자점토판</v>
      </c>
      <c r="D62" s="9" t="str">
        <f>[1]Discovery!E68</f>
        <v>유물</v>
      </c>
      <c r="E62" s="9" t="str">
        <f>[1]Discovery!C68</f>
        <v>역사유물</v>
      </c>
      <c r="F62" s="9" t="str">
        <f>[1]Discovery!G68</f>
        <v>B</v>
      </c>
      <c r="G62" s="9" t="str">
        <f>IFERROR(VLOOKUP(표1[[#This Row],[명칭]],'문화권 정리'!C:D,2,FALSE),"-")</f>
        <v>서남아시아</v>
      </c>
      <c r="H62" s="38" t="str">
        <f>IFERROR(COUNTIF([2]OceanDoodad!$Y:$Y,표1[[#This Row],[명칭]]),"-")</f>
        <v>-</v>
      </c>
      <c r="I62" s="38">
        <f>IFERROR(COUNTIF([1]AdventureDiscoveryGroup!$D$8:$AW$92,표1[[#This Row],[명칭]]),"-")</f>
        <v>0</v>
      </c>
      <c r="J62" s="38">
        <f>IFERROR(COUNTIF([1]FishDiscoveryGroup!$A:$X,표1[[#This Row],[명칭]]),"-")</f>
        <v>0</v>
      </c>
      <c r="K62" s="38" t="str">
        <f>IFERROR(COUNTIF([2]Town!$B:$B,표1[[#This Row],[명칭]]),"-")</f>
        <v>-</v>
      </c>
      <c r="L62" s="38">
        <f>IFERROR(COUNTIF([1]Village!$BR:$BR,표1[[#This Row],[명칭]]),"-")</f>
        <v>0</v>
      </c>
      <c r="M62" s="38">
        <f>COUNTIF(퀘스트!B:B,표1[[#This Row],[명칭]])</f>
        <v>0</v>
      </c>
      <c r="N62" s="65">
        <f>COUNTIF([1]VillageDiscoveryGroup!$C:$C,표1[[#This Row],[명칭]])</f>
        <v>0</v>
      </c>
      <c r="O62" s="65">
        <f>SUM(표1[[#This Row],[해양탐색]:[마을탐험]])</f>
        <v>0</v>
      </c>
    </row>
    <row r="63" spans="2:15" ht="13.5" customHeight="1" x14ac:dyDescent="0.3">
      <c r="B63" s="9">
        <f>[1]Discovery!A69</f>
        <v>70401072</v>
      </c>
      <c r="C63" s="9" t="str">
        <f>[1]Discovery!B69</f>
        <v>셀레우코스 1세의 대리석상</v>
      </c>
      <c r="D63" s="9" t="str">
        <f>[1]Discovery!E69</f>
        <v>유물</v>
      </c>
      <c r="E63" s="9" t="str">
        <f>[1]Discovery!C69</f>
        <v>역사유물</v>
      </c>
      <c r="F63" s="9" t="str">
        <f>[1]Discovery!G69</f>
        <v>B</v>
      </c>
      <c r="G63" s="9" t="str">
        <f>IFERROR(VLOOKUP(표1[[#This Row],[명칭]],'문화권 정리'!C:D,2,FALSE),"-")</f>
        <v>서남아시아</v>
      </c>
      <c r="H63" s="38" t="str">
        <f>IFERROR(COUNTIF([2]OceanDoodad!$Y:$Y,표1[[#This Row],[명칭]]),"-")</f>
        <v>-</v>
      </c>
      <c r="I63" s="38">
        <f>IFERROR(COUNTIF([1]AdventureDiscoveryGroup!$D$8:$AW$92,표1[[#This Row],[명칭]]),"-")</f>
        <v>0</v>
      </c>
      <c r="J63" s="38">
        <f>IFERROR(COUNTIF([1]FishDiscoveryGroup!$A:$X,표1[[#This Row],[명칭]]),"-")</f>
        <v>0</v>
      </c>
      <c r="K63" s="38" t="str">
        <f>IFERROR(COUNTIF([2]Town!$B:$B,표1[[#This Row],[명칭]]),"-")</f>
        <v>-</v>
      </c>
      <c r="L63" s="38">
        <f>IFERROR(COUNTIF([1]Village!$BR:$BR,표1[[#This Row],[명칭]]),"-")</f>
        <v>0</v>
      </c>
      <c r="M63" s="38">
        <f>COUNTIF(퀘스트!B:B,표1[[#This Row],[명칭]])</f>
        <v>0</v>
      </c>
      <c r="N63" s="65">
        <f>COUNTIF([1]VillageDiscoveryGroup!$C:$C,표1[[#This Row],[명칭]])</f>
        <v>0</v>
      </c>
      <c r="O63" s="65">
        <f>SUM(표1[[#This Row],[해양탐색]:[마을탐험]])</f>
        <v>0</v>
      </c>
    </row>
    <row r="64" spans="2:15" ht="13.5" customHeight="1" x14ac:dyDescent="0.3">
      <c r="B64" s="9">
        <f>[1]Discovery!A70</f>
        <v>70401073</v>
      </c>
      <c r="C64" s="9" t="str">
        <f>[1]Discovery!B70</f>
        <v>소머리가 달린 여왕의 리라</v>
      </c>
      <c r="D64" s="9" t="str">
        <f>[1]Discovery!E70</f>
        <v>유물</v>
      </c>
      <c r="E64" s="9" t="str">
        <f>[1]Discovery!C70</f>
        <v>역사유물</v>
      </c>
      <c r="F64" s="9" t="str">
        <f>[1]Discovery!G70</f>
        <v>B</v>
      </c>
      <c r="G64" s="9" t="str">
        <f>IFERROR(VLOOKUP(표1[[#This Row],[명칭]],'문화권 정리'!C:D,2,FALSE),"-")</f>
        <v>서남아시아</v>
      </c>
      <c r="H64" s="38" t="str">
        <f>IFERROR(COUNTIF([2]OceanDoodad!$Y:$Y,표1[[#This Row],[명칭]]),"-")</f>
        <v>-</v>
      </c>
      <c r="I64" s="38">
        <f>IFERROR(COUNTIF([1]AdventureDiscoveryGroup!$D$8:$AW$92,표1[[#This Row],[명칭]]),"-")</f>
        <v>0</v>
      </c>
      <c r="J64" s="38">
        <f>IFERROR(COUNTIF([1]FishDiscoveryGroup!$A:$X,표1[[#This Row],[명칭]]),"-")</f>
        <v>0</v>
      </c>
      <c r="K64" s="38" t="str">
        <f>IFERROR(COUNTIF([2]Town!$B:$B,표1[[#This Row],[명칭]]),"-")</f>
        <v>-</v>
      </c>
      <c r="L64" s="38">
        <f>IFERROR(COUNTIF([1]Village!$BR:$BR,표1[[#This Row],[명칭]]),"-")</f>
        <v>0</v>
      </c>
      <c r="M64" s="38">
        <f>COUNTIF(퀘스트!B:B,표1[[#This Row],[명칭]])</f>
        <v>0</v>
      </c>
      <c r="N64" s="65">
        <f>COUNTIF([1]VillageDiscoveryGroup!$C:$C,표1[[#This Row],[명칭]])</f>
        <v>0</v>
      </c>
      <c r="O64" s="65">
        <f>SUM(표1[[#This Row],[해양탐색]:[마을탐험]])</f>
        <v>0</v>
      </c>
    </row>
    <row r="65" spans="2:15" ht="13.5" customHeight="1" x14ac:dyDescent="0.3">
      <c r="B65" s="9">
        <f>[1]Discovery!A71</f>
        <v>70401074</v>
      </c>
      <c r="C65" s="9" t="str">
        <f>[1]Discovery!B71</f>
        <v>소크라테스의 독배</v>
      </c>
      <c r="D65" s="9" t="str">
        <f>[1]Discovery!E71</f>
        <v>보물</v>
      </c>
      <c r="E65" s="9" t="str">
        <f>[1]Discovery!C71</f>
        <v>보물</v>
      </c>
      <c r="F65" s="9" t="str">
        <f>[1]Discovery!G71</f>
        <v>B</v>
      </c>
      <c r="G65" s="9" t="str">
        <f>IFERROR(VLOOKUP(표1[[#This Row],[명칭]],'문화권 정리'!C:D,2,FALSE),"-")</f>
        <v>지중해</v>
      </c>
      <c r="H65" s="38" t="str">
        <f>IFERROR(COUNTIF([2]OceanDoodad!$Y:$Y,표1[[#This Row],[명칭]]),"-")</f>
        <v>-</v>
      </c>
      <c r="I65" s="38">
        <f>IFERROR(COUNTIF([1]AdventureDiscoveryGroup!$D$8:$AW$92,표1[[#This Row],[명칭]]),"-")</f>
        <v>0</v>
      </c>
      <c r="J65" s="38">
        <f>IFERROR(COUNTIF([1]FishDiscoveryGroup!$A:$X,표1[[#This Row],[명칭]]),"-")</f>
        <v>0</v>
      </c>
      <c r="K65" s="38" t="str">
        <f>IFERROR(COUNTIF([2]Town!$B:$B,표1[[#This Row],[명칭]]),"-")</f>
        <v>-</v>
      </c>
      <c r="L65" s="38">
        <f>IFERROR(COUNTIF([1]Village!$BR:$BR,표1[[#This Row],[명칭]]),"-")</f>
        <v>0</v>
      </c>
      <c r="M65" s="38">
        <f>COUNTIF(퀘스트!B:B,표1[[#This Row],[명칭]])</f>
        <v>1</v>
      </c>
      <c r="N65" s="65">
        <f>COUNTIF([1]VillageDiscoveryGroup!$C:$C,표1[[#This Row],[명칭]])</f>
        <v>0</v>
      </c>
      <c r="O65" s="65">
        <f>SUM(표1[[#This Row],[해양탐색]:[마을탐험]])</f>
        <v>1</v>
      </c>
    </row>
    <row r="66" spans="2:15" ht="13.5" customHeight="1" x14ac:dyDescent="0.3">
      <c r="B66" s="9">
        <f>[1]Discovery!A72</f>
        <v>70401075</v>
      </c>
      <c r="C66" s="9" t="str">
        <f>[1]Discovery!B72</f>
        <v>수메르의 전차</v>
      </c>
      <c r="D66" s="9" t="str">
        <f>[1]Discovery!E72</f>
        <v>유물</v>
      </c>
      <c r="E66" s="9" t="str">
        <f>[1]Discovery!C72</f>
        <v>역사유물</v>
      </c>
      <c r="F66" s="9" t="str">
        <f>[1]Discovery!G72</f>
        <v>C</v>
      </c>
      <c r="G66" s="9" t="str">
        <f>IFERROR(VLOOKUP(표1[[#This Row],[명칭]],'문화권 정리'!C:D,2,FALSE),"-")</f>
        <v>서남아시아</v>
      </c>
      <c r="H66" s="38" t="str">
        <f>IFERROR(COUNTIF([2]OceanDoodad!$Y:$Y,표1[[#This Row],[명칭]]),"-")</f>
        <v>-</v>
      </c>
      <c r="I66" s="38">
        <f>IFERROR(COUNTIF([1]AdventureDiscoveryGroup!$D$8:$AW$92,표1[[#This Row],[명칭]]),"-")</f>
        <v>1</v>
      </c>
      <c r="J66" s="38">
        <f>IFERROR(COUNTIF([1]FishDiscoveryGroup!$A:$X,표1[[#This Row],[명칭]]),"-")</f>
        <v>0</v>
      </c>
      <c r="K66" s="38" t="str">
        <f>IFERROR(COUNTIF([2]Town!$B:$B,표1[[#This Row],[명칭]]),"-")</f>
        <v>-</v>
      </c>
      <c r="L66" s="38">
        <f>IFERROR(COUNTIF([1]Village!$BR:$BR,표1[[#This Row],[명칭]]),"-")</f>
        <v>0</v>
      </c>
      <c r="M66" s="38">
        <f>COUNTIF(퀘스트!B:B,표1[[#This Row],[명칭]])</f>
        <v>0</v>
      </c>
      <c r="N66" s="65">
        <f>COUNTIF([1]VillageDiscoveryGroup!$C:$C,표1[[#This Row],[명칭]])</f>
        <v>0</v>
      </c>
      <c r="O66" s="65">
        <f>SUM(표1[[#This Row],[해양탐색]:[마을탐험]])</f>
        <v>1</v>
      </c>
    </row>
    <row r="67" spans="2:15" ht="13.5" customHeight="1" x14ac:dyDescent="0.3">
      <c r="B67" s="9">
        <f>[1]Discovery!A73</f>
        <v>70401076</v>
      </c>
      <c r="C67" s="9" t="str">
        <f>[1]Discovery!B73</f>
        <v>스키피오의 투구</v>
      </c>
      <c r="D67" s="9" t="str">
        <f>[1]Discovery!E73</f>
        <v>보물</v>
      </c>
      <c r="E67" s="9" t="str">
        <f>[1]Discovery!C73</f>
        <v>보물</v>
      </c>
      <c r="F67" s="9" t="str">
        <f>[1]Discovery!G73</f>
        <v>B</v>
      </c>
      <c r="G67" s="9" t="str">
        <f>IFERROR(VLOOKUP(표1[[#This Row],[명칭]],'문화권 정리'!C:D,2,FALSE),"-")</f>
        <v>지중해</v>
      </c>
      <c r="H67" s="38" t="str">
        <f>IFERROR(COUNTIF([2]OceanDoodad!$Y:$Y,표1[[#This Row],[명칭]]),"-")</f>
        <v>-</v>
      </c>
      <c r="I67" s="38">
        <f>IFERROR(COUNTIF([1]AdventureDiscoveryGroup!$D$8:$AW$92,표1[[#This Row],[명칭]]),"-")</f>
        <v>0</v>
      </c>
      <c r="J67" s="38">
        <f>IFERROR(COUNTIF([1]FishDiscoveryGroup!$A:$X,표1[[#This Row],[명칭]]),"-")</f>
        <v>0</v>
      </c>
      <c r="K67" s="38" t="str">
        <f>IFERROR(COUNTIF([2]Town!$B:$B,표1[[#This Row],[명칭]]),"-")</f>
        <v>-</v>
      </c>
      <c r="L67" s="38">
        <f>IFERROR(COUNTIF([1]Village!$BR:$BR,표1[[#This Row],[명칭]]),"-")</f>
        <v>0</v>
      </c>
      <c r="M67" s="38">
        <f>COUNTIF(퀘스트!B:B,표1[[#This Row],[명칭]])</f>
        <v>1</v>
      </c>
      <c r="N67" s="65">
        <f>COUNTIF([1]VillageDiscoveryGroup!$C:$C,표1[[#This Row],[명칭]])</f>
        <v>0</v>
      </c>
      <c r="O67" s="65">
        <f>SUM(표1[[#This Row],[해양탐색]:[마을탐험]])</f>
        <v>1</v>
      </c>
    </row>
    <row r="68" spans="2:15" ht="13.5" customHeight="1" x14ac:dyDescent="0.3">
      <c r="B68" s="9">
        <f>[1]Discovery!A74</f>
        <v>70401077</v>
      </c>
      <c r="C68" s="9" t="str">
        <f>[1]Discovery!B74</f>
        <v>시민관</v>
      </c>
      <c r="D68" s="9" t="str">
        <f>[1]Discovery!E74</f>
        <v>유물</v>
      </c>
      <c r="E68" s="9" t="str">
        <f>[1]Discovery!C74</f>
        <v>역사유물</v>
      </c>
      <c r="F68" s="9" t="str">
        <f>[1]Discovery!G74</f>
        <v>A</v>
      </c>
      <c r="G68" s="9" t="str">
        <f>IFERROR(VLOOKUP(표1[[#This Row],[명칭]],'문화권 정리'!C:D,2,FALSE),"-")</f>
        <v>지중해</v>
      </c>
      <c r="H68" s="38" t="str">
        <f>IFERROR(COUNTIF([2]OceanDoodad!$Y:$Y,표1[[#This Row],[명칭]]),"-")</f>
        <v>-</v>
      </c>
      <c r="I68" s="38">
        <f>IFERROR(COUNTIF([1]AdventureDiscoveryGroup!$D$8:$AW$92,표1[[#This Row],[명칭]]),"-")</f>
        <v>0</v>
      </c>
      <c r="J68" s="38">
        <f>IFERROR(COUNTIF([1]FishDiscoveryGroup!$A:$X,표1[[#This Row],[명칭]]),"-")</f>
        <v>0</v>
      </c>
      <c r="K68" s="38" t="str">
        <f>IFERROR(COUNTIF([2]Town!$B:$B,표1[[#This Row],[명칭]]),"-")</f>
        <v>-</v>
      </c>
      <c r="L68" s="38">
        <f>IFERROR(COUNTIF([1]Village!$BR:$BR,표1[[#This Row],[명칭]]),"-")</f>
        <v>0</v>
      </c>
      <c r="M68" s="38">
        <f>COUNTIF(퀘스트!B:B,표1[[#This Row],[명칭]])</f>
        <v>0</v>
      </c>
      <c r="N68" s="65">
        <f>COUNTIF([1]VillageDiscoveryGroup!$C:$C,표1[[#This Row],[명칭]])</f>
        <v>0</v>
      </c>
      <c r="O68" s="65">
        <f>SUM(표1[[#This Row],[해양탐색]:[마을탐험]])</f>
        <v>0</v>
      </c>
    </row>
    <row r="69" spans="2:15" ht="13.5" customHeight="1" x14ac:dyDescent="0.3">
      <c r="B69" s="9">
        <f>[1]Discovery!A75</f>
        <v>70401078</v>
      </c>
      <c r="C69" s="9" t="str">
        <f>[1]Discovery!B75</f>
        <v>신소부 여왕의 귀걸이</v>
      </c>
      <c r="D69" s="9" t="str">
        <f>[1]Discovery!E75</f>
        <v>유물</v>
      </c>
      <c r="E69" s="9" t="str">
        <f>[1]Discovery!C75</f>
        <v>역사유물</v>
      </c>
      <c r="F69" s="9" t="str">
        <f>[1]Discovery!G75</f>
        <v>B</v>
      </c>
      <c r="G69" s="9" t="str">
        <f>IFERROR(VLOOKUP(표1[[#This Row],[명칭]],'문화권 정리'!C:D,2,FALSE),"-")</f>
        <v>동남아시아</v>
      </c>
      <c r="H69" s="38" t="str">
        <f>IFERROR(COUNTIF([2]OceanDoodad!$Y:$Y,표1[[#This Row],[명칭]]),"-")</f>
        <v>-</v>
      </c>
      <c r="I69" s="38">
        <f>IFERROR(COUNTIF([1]AdventureDiscoveryGroup!$D$8:$AW$92,표1[[#This Row],[명칭]]),"-")</f>
        <v>0</v>
      </c>
      <c r="J69" s="38">
        <f>IFERROR(COUNTIF([1]FishDiscoveryGroup!$A:$X,표1[[#This Row],[명칭]]),"-")</f>
        <v>0</v>
      </c>
      <c r="K69" s="38" t="str">
        <f>IFERROR(COUNTIF([2]Town!$B:$B,표1[[#This Row],[명칭]]),"-")</f>
        <v>-</v>
      </c>
      <c r="L69" s="38">
        <f>IFERROR(COUNTIF([1]Village!$BR:$BR,표1[[#This Row],[명칭]]),"-")</f>
        <v>0</v>
      </c>
      <c r="M69" s="38">
        <f>COUNTIF(퀘스트!B:B,표1[[#This Row],[명칭]])</f>
        <v>0</v>
      </c>
      <c r="N69" s="65">
        <f>COUNTIF([1]VillageDiscoveryGroup!$C:$C,표1[[#This Row],[명칭]])</f>
        <v>0</v>
      </c>
      <c r="O69" s="65">
        <f>SUM(표1[[#This Row],[해양탐색]:[마을탐험]])</f>
        <v>0</v>
      </c>
    </row>
    <row r="70" spans="2:15" ht="13.5" customHeight="1" x14ac:dyDescent="0.3">
      <c r="B70" s="9">
        <f>[1]Discovery!A76</f>
        <v>70401080</v>
      </c>
      <c r="C70" s="9" t="str">
        <f>[1]Discovery!B76</f>
        <v>아가멤논의 황금마스크</v>
      </c>
      <c r="D70" s="9" t="str">
        <f>[1]Discovery!E76</f>
        <v>보물</v>
      </c>
      <c r="E70" s="9" t="str">
        <f>[1]Discovery!C76</f>
        <v>보물</v>
      </c>
      <c r="F70" s="9" t="str">
        <f>[1]Discovery!G76</f>
        <v>A</v>
      </c>
      <c r="G70" s="9" t="str">
        <f>IFERROR(VLOOKUP(표1[[#This Row],[명칭]],'문화권 정리'!C:D,2,FALSE),"-")</f>
        <v>지중해</v>
      </c>
      <c r="H70" s="38" t="str">
        <f>IFERROR(COUNTIF([2]OceanDoodad!$Y:$Y,표1[[#This Row],[명칭]]),"-")</f>
        <v>-</v>
      </c>
      <c r="I70" s="38">
        <f>IFERROR(COUNTIF([1]AdventureDiscoveryGroup!$D$8:$AW$92,표1[[#This Row],[명칭]]),"-")</f>
        <v>0</v>
      </c>
      <c r="J70" s="38">
        <f>IFERROR(COUNTIF([1]FishDiscoveryGroup!$A:$X,표1[[#This Row],[명칭]]),"-")</f>
        <v>0</v>
      </c>
      <c r="K70" s="38" t="str">
        <f>IFERROR(COUNTIF([2]Town!$B:$B,표1[[#This Row],[명칭]]),"-")</f>
        <v>-</v>
      </c>
      <c r="L70" s="38">
        <f>IFERROR(COUNTIF([1]Village!$BR:$BR,표1[[#This Row],[명칭]]),"-")</f>
        <v>0</v>
      </c>
      <c r="M70" s="38">
        <f>COUNTIF(퀘스트!B:B,표1[[#This Row],[명칭]])</f>
        <v>1</v>
      </c>
      <c r="N70" s="65">
        <f>COUNTIF([1]VillageDiscoveryGroup!$C:$C,표1[[#This Row],[명칭]])</f>
        <v>0</v>
      </c>
      <c r="O70" s="65">
        <f>SUM(표1[[#This Row],[해양탐색]:[마을탐험]])</f>
        <v>1</v>
      </c>
    </row>
    <row r="71" spans="2:15" ht="13.5" customHeight="1" x14ac:dyDescent="0.3">
      <c r="B71" s="9">
        <f>[1]Discovery!A77</f>
        <v>70401081</v>
      </c>
      <c r="C71" s="9" t="str">
        <f>[1]Discovery!B77</f>
        <v>아그리피나의 머리 장식</v>
      </c>
      <c r="D71" s="9" t="str">
        <f>[1]Discovery!E77</f>
        <v>보물</v>
      </c>
      <c r="E71" s="9" t="str">
        <f>[1]Discovery!C77</f>
        <v>보물</v>
      </c>
      <c r="F71" s="9" t="str">
        <f>[1]Discovery!G77</f>
        <v>B</v>
      </c>
      <c r="G71" s="9" t="str">
        <f>IFERROR(VLOOKUP(표1[[#This Row],[명칭]],'문화권 정리'!C:D,2,FALSE),"-")</f>
        <v>지중해</v>
      </c>
      <c r="H71" s="38" t="str">
        <f>IFERROR(COUNTIF([2]OceanDoodad!$Y:$Y,표1[[#This Row],[명칭]]),"-")</f>
        <v>-</v>
      </c>
      <c r="I71" s="38">
        <f>IFERROR(COUNTIF([1]AdventureDiscoveryGroup!$D$8:$AW$92,표1[[#This Row],[명칭]]),"-")</f>
        <v>0</v>
      </c>
      <c r="J71" s="38">
        <f>IFERROR(COUNTIF([1]FishDiscoveryGroup!$A:$X,표1[[#This Row],[명칭]]),"-")</f>
        <v>0</v>
      </c>
      <c r="K71" s="38" t="str">
        <f>IFERROR(COUNTIF([2]Town!$B:$B,표1[[#This Row],[명칭]]),"-")</f>
        <v>-</v>
      </c>
      <c r="L71" s="38">
        <f>IFERROR(COUNTIF([1]Village!$BR:$BR,표1[[#This Row],[명칭]]),"-")</f>
        <v>0</v>
      </c>
      <c r="M71" s="38">
        <f>COUNTIF(퀘스트!B:B,표1[[#This Row],[명칭]])</f>
        <v>0</v>
      </c>
      <c r="N71" s="65">
        <f>COUNTIF([1]VillageDiscoveryGroup!$C:$C,표1[[#This Row],[명칭]])</f>
        <v>0</v>
      </c>
      <c r="O71" s="65">
        <f>SUM(표1[[#This Row],[해양탐색]:[마을탐험]])</f>
        <v>0</v>
      </c>
    </row>
    <row r="72" spans="2:15" ht="13.5" customHeight="1" x14ac:dyDescent="0.3">
      <c r="B72" s="9">
        <f>[1]Discovery!A78</f>
        <v>70401082</v>
      </c>
      <c r="C72" s="9" t="str">
        <f>[1]Discovery!B78</f>
        <v>아노야타왕의 검</v>
      </c>
      <c r="D72" s="9" t="str">
        <f>[1]Discovery!E78</f>
        <v>보물</v>
      </c>
      <c r="E72" s="9" t="str">
        <f>[1]Discovery!C78</f>
        <v>보물</v>
      </c>
      <c r="F72" s="9" t="str">
        <f>[1]Discovery!G78</f>
        <v>A</v>
      </c>
      <c r="G72" s="9" t="str">
        <f>IFERROR(VLOOKUP(표1[[#This Row],[명칭]],'문화권 정리'!C:D,2,FALSE),"-")</f>
        <v>동남아시아</v>
      </c>
      <c r="H72" s="38" t="str">
        <f>IFERROR(COUNTIF([2]OceanDoodad!$Y:$Y,표1[[#This Row],[명칭]]),"-")</f>
        <v>-</v>
      </c>
      <c r="I72" s="38">
        <f>IFERROR(COUNTIF([1]AdventureDiscoveryGroup!$D$8:$AW$92,표1[[#This Row],[명칭]]),"-")</f>
        <v>0</v>
      </c>
      <c r="J72" s="38">
        <f>IFERROR(COUNTIF([1]FishDiscoveryGroup!$A:$X,표1[[#This Row],[명칭]]),"-")</f>
        <v>0</v>
      </c>
      <c r="K72" s="38" t="str">
        <f>IFERROR(COUNTIF([2]Town!$B:$B,표1[[#This Row],[명칭]]),"-")</f>
        <v>-</v>
      </c>
      <c r="L72" s="38">
        <f>IFERROR(COUNTIF([1]Village!$BR:$BR,표1[[#This Row],[명칭]]),"-")</f>
        <v>0</v>
      </c>
      <c r="M72" s="38">
        <f>COUNTIF(퀘스트!B:B,표1[[#This Row],[명칭]])</f>
        <v>0</v>
      </c>
      <c r="N72" s="65">
        <f>COUNTIF([1]VillageDiscoveryGroup!$C:$C,표1[[#This Row],[명칭]])</f>
        <v>0</v>
      </c>
      <c r="O72" s="65">
        <f>SUM(표1[[#This Row],[해양탐색]:[마을탐험]])</f>
        <v>0</v>
      </c>
    </row>
    <row r="73" spans="2:15" ht="13.5" customHeight="1" x14ac:dyDescent="0.3">
      <c r="B73" s="9">
        <f>[1]Discovery!A79</f>
        <v>70401083</v>
      </c>
      <c r="C73" s="9" t="str">
        <f>[1]Discovery!B79</f>
        <v>아바스의 검</v>
      </c>
      <c r="D73" s="9" t="str">
        <f>[1]Discovery!E79</f>
        <v>보물</v>
      </c>
      <c r="E73" s="9" t="str">
        <f>[1]Discovery!C79</f>
        <v>보물</v>
      </c>
      <c r="F73" s="9" t="str">
        <f>[1]Discovery!G79</f>
        <v>S</v>
      </c>
      <c r="G73" s="9" t="str">
        <f>IFERROR(VLOOKUP(표1[[#This Row],[명칭]],'문화권 정리'!C:D,2,FALSE),"-")</f>
        <v>서남아시아</v>
      </c>
      <c r="H73" s="38" t="str">
        <f>IFERROR(COUNTIF([2]OceanDoodad!$Y:$Y,표1[[#This Row],[명칭]]),"-")</f>
        <v>-</v>
      </c>
      <c r="I73" s="38">
        <f>IFERROR(COUNTIF([1]AdventureDiscoveryGroup!$D$8:$AW$92,표1[[#This Row],[명칭]]),"-")</f>
        <v>0</v>
      </c>
      <c r="J73" s="38">
        <f>IFERROR(COUNTIF([1]FishDiscoveryGroup!$A:$X,표1[[#This Row],[명칭]]),"-")</f>
        <v>0</v>
      </c>
      <c r="K73" s="38" t="str">
        <f>IFERROR(COUNTIF([2]Town!$B:$B,표1[[#This Row],[명칭]]),"-")</f>
        <v>-</v>
      </c>
      <c r="L73" s="38">
        <f>IFERROR(COUNTIF([1]Village!$BR:$BR,표1[[#This Row],[명칭]]),"-")</f>
        <v>0</v>
      </c>
      <c r="M73" s="38">
        <f>COUNTIF(퀘스트!B:B,표1[[#This Row],[명칭]])</f>
        <v>0</v>
      </c>
      <c r="N73" s="65">
        <f>COUNTIF([1]VillageDiscoveryGroup!$C:$C,표1[[#This Row],[명칭]])</f>
        <v>0</v>
      </c>
      <c r="O73" s="65">
        <f>SUM(표1[[#This Row],[해양탐색]:[마을탐험]])</f>
        <v>0</v>
      </c>
    </row>
    <row r="74" spans="2:15" ht="13.5" customHeight="1" x14ac:dyDescent="0.3">
      <c r="B74" s="9">
        <f>[1]Discovery!A80</f>
        <v>70401084</v>
      </c>
      <c r="C74" s="9" t="str">
        <f>[1]Discovery!B80</f>
        <v>아부심벨 거상</v>
      </c>
      <c r="D74" s="9" t="str">
        <f>[1]Discovery!E80</f>
        <v>유물</v>
      </c>
      <c r="E74" s="9" t="str">
        <f>[1]Discovery!C80</f>
        <v>역사유물</v>
      </c>
      <c r="F74" s="9" t="str">
        <f>[1]Discovery!G80</f>
        <v>B</v>
      </c>
      <c r="G74" s="9" t="str">
        <f>IFERROR(VLOOKUP(표1[[#This Row],[명칭]],'문화권 정리'!C:D,2,FALSE),"-")</f>
        <v>북아프리카</v>
      </c>
      <c r="H74" s="38" t="str">
        <f>IFERROR(COUNTIF([2]OceanDoodad!$Y:$Y,표1[[#This Row],[명칭]]),"-")</f>
        <v>-</v>
      </c>
      <c r="I74" s="38">
        <f>IFERROR(COUNTIF([1]AdventureDiscoveryGroup!$D$8:$AW$92,표1[[#This Row],[명칭]]),"-")</f>
        <v>0</v>
      </c>
      <c r="J74" s="38">
        <f>IFERROR(COUNTIF([1]FishDiscoveryGroup!$A:$X,표1[[#This Row],[명칭]]),"-")</f>
        <v>0</v>
      </c>
      <c r="K74" s="38" t="str">
        <f>IFERROR(COUNTIF([2]Town!$B:$B,표1[[#This Row],[명칭]]),"-")</f>
        <v>-</v>
      </c>
      <c r="L74" s="38">
        <f>IFERROR(COUNTIF([1]Village!$BR:$BR,표1[[#This Row],[명칭]]),"-")</f>
        <v>0</v>
      </c>
      <c r="M74" s="38">
        <f>COUNTIF(퀘스트!B:B,표1[[#This Row],[명칭]])</f>
        <v>0</v>
      </c>
      <c r="N74" s="65">
        <f>COUNTIF([1]VillageDiscoveryGroup!$C:$C,표1[[#This Row],[명칭]])</f>
        <v>0</v>
      </c>
      <c r="O74" s="65">
        <f>SUM(표1[[#This Row],[해양탐색]:[마을탐험]])</f>
        <v>0</v>
      </c>
    </row>
    <row r="75" spans="2:15" ht="13.5" customHeight="1" x14ac:dyDescent="0.3">
      <c r="B75" s="9">
        <f>[1]Discovery!A81</f>
        <v>70401085</v>
      </c>
      <c r="C75" s="9" t="str">
        <f>[1]Discovery!B81</f>
        <v>아우구스투스 대리석상</v>
      </c>
      <c r="D75" s="9" t="str">
        <f>[1]Discovery!E81</f>
        <v>유물</v>
      </c>
      <c r="E75" s="9" t="str">
        <f>[1]Discovery!C81</f>
        <v>역사유물</v>
      </c>
      <c r="F75" s="9" t="str">
        <f>[1]Discovery!G81</f>
        <v>S</v>
      </c>
      <c r="G75" s="9" t="str">
        <f>IFERROR(VLOOKUP(표1[[#This Row],[명칭]],'문화권 정리'!C:D,2,FALSE),"-")</f>
        <v>지중해</v>
      </c>
      <c r="H75" s="38" t="str">
        <f>IFERROR(COUNTIF([2]OceanDoodad!$Y:$Y,표1[[#This Row],[명칭]]),"-")</f>
        <v>-</v>
      </c>
      <c r="I75" s="38">
        <f>IFERROR(COUNTIF([1]AdventureDiscoveryGroup!$D$8:$AW$92,표1[[#This Row],[명칭]]),"-")</f>
        <v>0</v>
      </c>
      <c r="J75" s="38">
        <f>IFERROR(COUNTIF([1]FishDiscoveryGroup!$A:$X,표1[[#This Row],[명칭]]),"-")</f>
        <v>0</v>
      </c>
      <c r="K75" s="38" t="str">
        <f>IFERROR(COUNTIF([2]Town!$B:$B,표1[[#This Row],[명칭]]),"-")</f>
        <v>-</v>
      </c>
      <c r="L75" s="38">
        <f>IFERROR(COUNTIF([1]Village!$BR:$BR,표1[[#This Row],[명칭]]),"-")</f>
        <v>0</v>
      </c>
      <c r="M75" s="38">
        <f>COUNTIF(퀘스트!B:B,표1[[#This Row],[명칭]])</f>
        <v>0</v>
      </c>
      <c r="N75" s="65">
        <f>COUNTIF([1]VillageDiscoveryGroup!$C:$C,표1[[#This Row],[명칭]])</f>
        <v>0</v>
      </c>
      <c r="O75" s="65">
        <f>SUM(표1[[#This Row],[해양탐색]:[마을탐험]])</f>
        <v>0</v>
      </c>
    </row>
    <row r="76" spans="2:15" ht="13.5" customHeight="1" x14ac:dyDescent="0.3">
      <c r="B76" s="9">
        <f>[1]Discovery!A82</f>
        <v>70401086</v>
      </c>
      <c r="C76" s="9" t="str">
        <f>[1]Discovery!B82</f>
        <v>아우렐리아누스의 투구</v>
      </c>
      <c r="D76" s="9" t="str">
        <f>[1]Discovery!E82</f>
        <v>보물</v>
      </c>
      <c r="E76" s="9" t="str">
        <f>[1]Discovery!C82</f>
        <v>보물</v>
      </c>
      <c r="F76" s="9" t="str">
        <f>[1]Discovery!G82</f>
        <v>B</v>
      </c>
      <c r="G76" s="9" t="str">
        <f>IFERROR(VLOOKUP(표1[[#This Row],[명칭]],'문화권 정리'!C:D,2,FALSE),"-")</f>
        <v>지중해</v>
      </c>
      <c r="H76" s="38" t="str">
        <f>IFERROR(COUNTIF([2]OceanDoodad!$Y:$Y,표1[[#This Row],[명칭]]),"-")</f>
        <v>-</v>
      </c>
      <c r="I76" s="38">
        <f>IFERROR(COUNTIF([1]AdventureDiscoveryGroup!$D$8:$AW$92,표1[[#This Row],[명칭]]),"-")</f>
        <v>0</v>
      </c>
      <c r="J76" s="38">
        <f>IFERROR(COUNTIF([1]FishDiscoveryGroup!$A:$X,표1[[#This Row],[명칭]]),"-")</f>
        <v>0</v>
      </c>
      <c r="K76" s="38" t="str">
        <f>IFERROR(COUNTIF([2]Town!$B:$B,표1[[#This Row],[명칭]]),"-")</f>
        <v>-</v>
      </c>
      <c r="L76" s="38">
        <f>IFERROR(COUNTIF([1]Village!$BR:$BR,표1[[#This Row],[명칭]]),"-")</f>
        <v>0</v>
      </c>
      <c r="M76" s="38">
        <f>COUNTIF(퀘스트!B:B,표1[[#This Row],[명칭]])</f>
        <v>0</v>
      </c>
      <c r="N76" s="65">
        <f>COUNTIF([1]VillageDiscoveryGroup!$C:$C,표1[[#This Row],[명칭]])</f>
        <v>0</v>
      </c>
      <c r="O76" s="65">
        <f>SUM(표1[[#This Row],[해양탐색]:[마을탐험]])</f>
        <v>0</v>
      </c>
    </row>
    <row r="77" spans="2:15" ht="13.5" customHeight="1" x14ac:dyDescent="0.3">
      <c r="B77" s="9">
        <f>[1]Discovery!A83</f>
        <v>70401087</v>
      </c>
      <c r="C77" s="9" t="str">
        <f>[1]Discovery!B83</f>
        <v>아우렐리우스 기마상</v>
      </c>
      <c r="D77" s="9" t="str">
        <f>[1]Discovery!E83</f>
        <v>유물</v>
      </c>
      <c r="E77" s="9" t="str">
        <f>[1]Discovery!C83</f>
        <v>역사유물</v>
      </c>
      <c r="F77" s="9" t="str">
        <f>[1]Discovery!G83</f>
        <v>A</v>
      </c>
      <c r="G77" s="9" t="str">
        <f>IFERROR(VLOOKUP(표1[[#This Row],[명칭]],'문화권 정리'!C:D,2,FALSE),"-")</f>
        <v>지중해</v>
      </c>
      <c r="H77" s="38" t="str">
        <f>IFERROR(COUNTIF([2]OceanDoodad!$Y:$Y,표1[[#This Row],[명칭]]),"-")</f>
        <v>-</v>
      </c>
      <c r="I77" s="38">
        <f>IFERROR(COUNTIF([1]AdventureDiscoveryGroup!$D$8:$AW$92,표1[[#This Row],[명칭]]),"-")</f>
        <v>0</v>
      </c>
      <c r="J77" s="38">
        <f>IFERROR(COUNTIF([1]FishDiscoveryGroup!$A:$X,표1[[#This Row],[명칭]]),"-")</f>
        <v>0</v>
      </c>
      <c r="K77" s="38" t="str">
        <f>IFERROR(COUNTIF([2]Town!$B:$B,표1[[#This Row],[명칭]]),"-")</f>
        <v>-</v>
      </c>
      <c r="L77" s="38">
        <f>IFERROR(COUNTIF([1]Village!$BR:$BR,표1[[#This Row],[명칭]]),"-")</f>
        <v>0</v>
      </c>
      <c r="M77" s="38">
        <f>COUNTIF(퀘스트!B:B,표1[[#This Row],[명칭]])</f>
        <v>0</v>
      </c>
      <c r="N77" s="65">
        <f>COUNTIF([1]VillageDiscoveryGroup!$C:$C,표1[[#This Row],[명칭]])</f>
        <v>0</v>
      </c>
      <c r="O77" s="65">
        <f>SUM(표1[[#This Row],[해양탐색]:[마을탐험]])</f>
        <v>0</v>
      </c>
    </row>
    <row r="78" spans="2:15" ht="13.5" customHeight="1" x14ac:dyDescent="0.3">
      <c r="B78" s="9">
        <f>[1]Discovery!A84</f>
        <v>70401089</v>
      </c>
      <c r="C78" s="9" t="str">
        <f>[1]Discovery!B84</f>
        <v>아트라하시스 서사시</v>
      </c>
      <c r="D78" s="9" t="str">
        <f>[1]Discovery!E84</f>
        <v>유물</v>
      </c>
      <c r="E78" s="9" t="str">
        <f>[1]Discovery!C84</f>
        <v>역사유물</v>
      </c>
      <c r="F78" s="9" t="str">
        <f>[1]Discovery!G84</f>
        <v>A</v>
      </c>
      <c r="G78" s="9" t="str">
        <f>IFERROR(VLOOKUP(표1[[#This Row],[명칭]],'문화권 정리'!C:D,2,FALSE),"-")</f>
        <v>서남아시아</v>
      </c>
      <c r="H78" s="38" t="str">
        <f>IFERROR(COUNTIF([2]OceanDoodad!$Y:$Y,표1[[#This Row],[명칭]]),"-")</f>
        <v>-</v>
      </c>
      <c r="I78" s="38">
        <f>IFERROR(COUNTIF([1]AdventureDiscoveryGroup!$D$8:$AW$92,표1[[#This Row],[명칭]]),"-")</f>
        <v>0</v>
      </c>
      <c r="J78" s="38">
        <f>IFERROR(COUNTIF([1]FishDiscoveryGroup!$A:$X,표1[[#This Row],[명칭]]),"-")</f>
        <v>0</v>
      </c>
      <c r="K78" s="38" t="str">
        <f>IFERROR(COUNTIF([2]Town!$B:$B,표1[[#This Row],[명칭]]),"-")</f>
        <v>-</v>
      </c>
      <c r="L78" s="38">
        <f>IFERROR(COUNTIF([1]Village!$BR:$BR,표1[[#This Row],[명칭]]),"-")</f>
        <v>0</v>
      </c>
      <c r="M78" s="38">
        <f>COUNTIF(퀘스트!B:B,표1[[#This Row],[명칭]])</f>
        <v>0</v>
      </c>
      <c r="N78" s="65">
        <f>COUNTIF([1]VillageDiscoveryGroup!$C:$C,표1[[#This Row],[명칭]])</f>
        <v>0</v>
      </c>
      <c r="O78" s="65">
        <f>SUM(표1[[#This Row],[해양탐색]:[마을탐험]])</f>
        <v>0</v>
      </c>
    </row>
    <row r="79" spans="2:15" ht="13.5" customHeight="1" x14ac:dyDescent="0.3">
      <c r="B79" s="9">
        <f>[1]Discovery!A85</f>
        <v>70401091</v>
      </c>
      <c r="C79" s="9" t="str">
        <f>[1]Discovery!B85</f>
        <v>아파다나의 부조</v>
      </c>
      <c r="D79" s="9" t="str">
        <f>[1]Discovery!E85</f>
        <v>유물</v>
      </c>
      <c r="E79" s="9" t="str">
        <f>[1]Discovery!C85</f>
        <v>역사유물</v>
      </c>
      <c r="F79" s="9" t="str">
        <f>[1]Discovery!G85</f>
        <v>B</v>
      </c>
      <c r="G79" s="9" t="str">
        <f>IFERROR(VLOOKUP(표1[[#This Row],[명칭]],'문화권 정리'!C:D,2,FALSE),"-")</f>
        <v>서남아시아</v>
      </c>
      <c r="H79" s="38" t="str">
        <f>IFERROR(COUNTIF([2]OceanDoodad!$Y:$Y,표1[[#This Row],[명칭]]),"-")</f>
        <v>-</v>
      </c>
      <c r="I79" s="38">
        <f>IFERROR(COUNTIF([1]AdventureDiscoveryGroup!$D$8:$AW$92,표1[[#This Row],[명칭]]),"-")</f>
        <v>0</v>
      </c>
      <c r="J79" s="38">
        <f>IFERROR(COUNTIF([1]FishDiscoveryGroup!$A:$X,표1[[#This Row],[명칭]]),"-")</f>
        <v>0</v>
      </c>
      <c r="K79" s="38" t="str">
        <f>IFERROR(COUNTIF([2]Town!$B:$B,표1[[#This Row],[명칭]]),"-")</f>
        <v>-</v>
      </c>
      <c r="L79" s="38">
        <f>IFERROR(COUNTIF([1]Village!$BR:$BR,표1[[#This Row],[명칭]]),"-")</f>
        <v>0</v>
      </c>
      <c r="M79" s="38">
        <f>COUNTIF(퀘스트!B:B,표1[[#This Row],[명칭]])</f>
        <v>0</v>
      </c>
      <c r="N79" s="65">
        <f>COUNTIF([1]VillageDiscoveryGroup!$C:$C,표1[[#This Row],[명칭]])</f>
        <v>0</v>
      </c>
      <c r="O79" s="65">
        <f>SUM(표1[[#This Row],[해양탐색]:[마을탐험]])</f>
        <v>0</v>
      </c>
    </row>
    <row r="80" spans="2:15" ht="13.5" customHeight="1" x14ac:dyDescent="0.3">
      <c r="B80" s="9">
        <f>[1]Discovery!A86</f>
        <v>70401092</v>
      </c>
      <c r="C80" s="9" t="str">
        <f>[1]Discovery!B86</f>
        <v>안토니누스의 왕홀</v>
      </c>
      <c r="D80" s="9" t="str">
        <f>[1]Discovery!E86</f>
        <v>보물</v>
      </c>
      <c r="E80" s="9" t="str">
        <f>[1]Discovery!C86</f>
        <v>보물</v>
      </c>
      <c r="F80" s="9" t="str">
        <f>[1]Discovery!G86</f>
        <v>B</v>
      </c>
      <c r="G80" s="9" t="str">
        <f>IFERROR(VLOOKUP(표1[[#This Row],[명칭]],'문화권 정리'!C:D,2,FALSE),"-")</f>
        <v>지중해</v>
      </c>
      <c r="H80" s="38" t="str">
        <f>IFERROR(COUNTIF([2]OceanDoodad!$Y:$Y,표1[[#This Row],[명칭]]),"-")</f>
        <v>-</v>
      </c>
      <c r="I80" s="38">
        <f>IFERROR(COUNTIF([1]AdventureDiscoveryGroup!$D$8:$AW$92,표1[[#This Row],[명칭]]),"-")</f>
        <v>0</v>
      </c>
      <c r="J80" s="38">
        <f>IFERROR(COUNTIF([1]FishDiscoveryGroup!$A:$X,표1[[#This Row],[명칭]]),"-")</f>
        <v>0</v>
      </c>
      <c r="K80" s="38" t="str">
        <f>IFERROR(COUNTIF([2]Town!$B:$B,표1[[#This Row],[명칭]]),"-")</f>
        <v>-</v>
      </c>
      <c r="L80" s="38">
        <f>IFERROR(COUNTIF([1]Village!$BR:$BR,표1[[#This Row],[명칭]]),"-")</f>
        <v>0</v>
      </c>
      <c r="M80" s="38">
        <f>COUNTIF(퀘스트!B:B,표1[[#This Row],[명칭]])</f>
        <v>1</v>
      </c>
      <c r="N80" s="65">
        <f>COUNTIF([1]VillageDiscoveryGroup!$C:$C,표1[[#This Row],[명칭]])</f>
        <v>0</v>
      </c>
      <c r="O80" s="65">
        <f>SUM(표1[[#This Row],[해양탐색]:[마을탐험]])</f>
        <v>1</v>
      </c>
    </row>
    <row r="81" spans="2:15" ht="13.5" customHeight="1" x14ac:dyDescent="0.3">
      <c r="B81" s="9">
        <f>[1]Discovery!A87</f>
        <v>70401093</v>
      </c>
      <c r="C81" s="9" t="str">
        <f>[1]Discovery!B87</f>
        <v>알렉산더 대왕의 갑옷</v>
      </c>
      <c r="D81" s="9" t="str">
        <f>[1]Discovery!E87</f>
        <v>보물</v>
      </c>
      <c r="E81" s="9" t="str">
        <f>[1]Discovery!C87</f>
        <v>보물</v>
      </c>
      <c r="F81" s="9" t="str">
        <f>[1]Discovery!G87</f>
        <v>A</v>
      </c>
      <c r="G81" s="9" t="str">
        <f>IFERROR(VLOOKUP(표1[[#This Row],[명칭]],'문화권 정리'!C:D,2,FALSE),"-")</f>
        <v>지중해</v>
      </c>
      <c r="H81" s="38" t="str">
        <f>IFERROR(COUNTIF([2]OceanDoodad!$Y:$Y,표1[[#This Row],[명칭]]),"-")</f>
        <v>-</v>
      </c>
      <c r="I81" s="38">
        <f>IFERROR(COUNTIF([1]AdventureDiscoveryGroup!$D$8:$AW$92,표1[[#This Row],[명칭]]),"-")</f>
        <v>0</v>
      </c>
      <c r="J81" s="38">
        <f>IFERROR(COUNTIF([1]FishDiscoveryGroup!$A:$X,표1[[#This Row],[명칭]]),"-")</f>
        <v>0</v>
      </c>
      <c r="K81" s="38" t="str">
        <f>IFERROR(COUNTIF([2]Town!$B:$B,표1[[#This Row],[명칭]]),"-")</f>
        <v>-</v>
      </c>
      <c r="L81" s="38">
        <f>IFERROR(COUNTIF([1]Village!$BR:$BR,표1[[#This Row],[명칭]]),"-")</f>
        <v>0</v>
      </c>
      <c r="M81" s="38">
        <f>COUNTIF(퀘스트!B:B,표1[[#This Row],[명칭]])</f>
        <v>0</v>
      </c>
      <c r="N81" s="65">
        <f>COUNTIF([1]VillageDiscoveryGroup!$C:$C,표1[[#This Row],[명칭]])</f>
        <v>0</v>
      </c>
      <c r="O81" s="65">
        <f>SUM(표1[[#This Row],[해양탐색]:[마을탐험]])</f>
        <v>0</v>
      </c>
    </row>
    <row r="82" spans="2:15" ht="13.5" customHeight="1" x14ac:dyDescent="0.3">
      <c r="B82" s="9">
        <f>[1]Discovery!A88</f>
        <v>70401094</v>
      </c>
      <c r="C82" s="9" t="str">
        <f>[1]Discovery!B88</f>
        <v>알렉산더 대왕의 검</v>
      </c>
      <c r="D82" s="9" t="str">
        <f>[1]Discovery!E88</f>
        <v>보물</v>
      </c>
      <c r="E82" s="9" t="str">
        <f>[1]Discovery!C88</f>
        <v>보물</v>
      </c>
      <c r="F82" s="9" t="str">
        <f>[1]Discovery!G88</f>
        <v>A</v>
      </c>
      <c r="G82" s="9" t="str">
        <f>IFERROR(VLOOKUP(표1[[#This Row],[명칭]],'문화권 정리'!C:D,2,FALSE),"-")</f>
        <v>지중해</v>
      </c>
      <c r="H82" s="38" t="str">
        <f>IFERROR(COUNTIF([2]OceanDoodad!$Y:$Y,표1[[#This Row],[명칭]]),"-")</f>
        <v>-</v>
      </c>
      <c r="I82" s="38">
        <f>IFERROR(COUNTIF([1]AdventureDiscoveryGroup!$D$8:$AW$92,표1[[#This Row],[명칭]]),"-")</f>
        <v>0</v>
      </c>
      <c r="J82" s="38">
        <f>IFERROR(COUNTIF([1]FishDiscoveryGroup!$A:$X,표1[[#This Row],[명칭]]),"-")</f>
        <v>0</v>
      </c>
      <c r="K82" s="38" t="str">
        <f>IFERROR(COUNTIF([2]Town!$B:$B,표1[[#This Row],[명칭]]),"-")</f>
        <v>-</v>
      </c>
      <c r="L82" s="38">
        <f>IFERROR(COUNTIF([1]Village!$BR:$BR,표1[[#This Row],[명칭]]),"-")</f>
        <v>0</v>
      </c>
      <c r="M82" s="38">
        <f>COUNTIF(퀘스트!B:B,표1[[#This Row],[명칭]])</f>
        <v>0</v>
      </c>
      <c r="N82" s="65">
        <f>COUNTIF([1]VillageDiscoveryGroup!$C:$C,표1[[#This Row],[명칭]])</f>
        <v>0</v>
      </c>
      <c r="O82" s="65">
        <f>SUM(표1[[#This Row],[해양탐색]:[마을탐험]])</f>
        <v>0</v>
      </c>
    </row>
    <row r="83" spans="2:15" ht="13.5" customHeight="1" x14ac:dyDescent="0.3">
      <c r="B83" s="9">
        <f>[1]Discovery!A89</f>
        <v>70401095</v>
      </c>
      <c r="C83" s="9" t="str">
        <f>[1]Discovery!B89</f>
        <v>알렉산더 대왕의 석관</v>
      </c>
      <c r="D83" s="9" t="str">
        <f>[1]Discovery!E89</f>
        <v>유물</v>
      </c>
      <c r="E83" s="9" t="str">
        <f>[1]Discovery!C89</f>
        <v>역사유물</v>
      </c>
      <c r="F83" s="9" t="str">
        <f>[1]Discovery!G89</f>
        <v>C</v>
      </c>
      <c r="G83" s="9" t="str">
        <f>IFERROR(VLOOKUP(표1[[#This Row],[명칭]],'문화권 정리'!C:D,2,FALSE),"-")</f>
        <v>지중해</v>
      </c>
      <c r="H83" s="38" t="str">
        <f>IFERROR(COUNTIF([2]OceanDoodad!$Y:$Y,표1[[#This Row],[명칭]]),"-")</f>
        <v>-</v>
      </c>
      <c r="I83" s="38">
        <f>IFERROR(COUNTIF([1]AdventureDiscoveryGroup!$D$8:$AW$92,표1[[#This Row],[명칭]]),"-")</f>
        <v>0</v>
      </c>
      <c r="J83" s="38">
        <f>IFERROR(COUNTIF([1]FishDiscoveryGroup!$A:$X,표1[[#This Row],[명칭]]),"-")</f>
        <v>0</v>
      </c>
      <c r="K83" s="38" t="str">
        <f>IFERROR(COUNTIF([2]Town!$B:$B,표1[[#This Row],[명칭]]),"-")</f>
        <v>-</v>
      </c>
      <c r="L83" s="38">
        <f>IFERROR(COUNTIF([1]Village!$BR:$BR,표1[[#This Row],[명칭]]),"-")</f>
        <v>0</v>
      </c>
      <c r="M83" s="38">
        <f>COUNTIF(퀘스트!B:B,표1[[#This Row],[명칭]])</f>
        <v>1</v>
      </c>
      <c r="N83" s="65">
        <f>COUNTIF([1]VillageDiscoveryGroup!$C:$C,표1[[#This Row],[명칭]])</f>
        <v>0</v>
      </c>
      <c r="O83" s="65">
        <f>SUM(표1[[#This Row],[해양탐색]:[마을탐험]])</f>
        <v>1</v>
      </c>
    </row>
    <row r="84" spans="2:15" ht="13.5" customHeight="1" x14ac:dyDescent="0.3">
      <c r="B84" s="9">
        <f>[1]Discovery!A90</f>
        <v>70401096</v>
      </c>
      <c r="C84" s="9" t="str">
        <f>[1]Discovery!B90</f>
        <v>압형토기</v>
      </c>
      <c r="D84" s="9" t="str">
        <f>[1]Discovery!E90</f>
        <v>유물</v>
      </c>
      <c r="E84" s="9" t="str">
        <f>[1]Discovery!C90</f>
        <v>역사유물</v>
      </c>
      <c r="F84" s="9" t="str">
        <f>[1]Discovery!G90</f>
        <v>D</v>
      </c>
      <c r="G84" s="9" t="str">
        <f>IFERROR(VLOOKUP(표1[[#This Row],[명칭]],'문화권 정리'!C:D,2,FALSE),"-")</f>
        <v>동아시아</v>
      </c>
      <c r="H84" s="38" t="str">
        <f>IFERROR(COUNTIF([2]OceanDoodad!$Y:$Y,표1[[#This Row],[명칭]]),"-")</f>
        <v>-</v>
      </c>
      <c r="I84" s="38">
        <f>IFERROR(COUNTIF([1]AdventureDiscoveryGroup!$D$8:$AW$92,표1[[#This Row],[명칭]]),"-")</f>
        <v>0</v>
      </c>
      <c r="J84" s="38">
        <f>IFERROR(COUNTIF([1]FishDiscoveryGroup!$A:$X,표1[[#This Row],[명칭]]),"-")</f>
        <v>0</v>
      </c>
      <c r="K84" s="38" t="str">
        <f>IFERROR(COUNTIF([2]Town!$B:$B,표1[[#This Row],[명칭]]),"-")</f>
        <v>-</v>
      </c>
      <c r="L84" s="38">
        <f>IFERROR(COUNTIF([1]Village!$BR:$BR,표1[[#This Row],[명칭]]),"-")</f>
        <v>0</v>
      </c>
      <c r="M84" s="38">
        <f>COUNTIF(퀘스트!B:B,표1[[#This Row],[명칭]])</f>
        <v>0</v>
      </c>
      <c r="N84" s="65">
        <f>COUNTIF([1]VillageDiscoveryGroup!$C:$C,표1[[#This Row],[명칭]])</f>
        <v>0</v>
      </c>
      <c r="O84" s="65">
        <f>SUM(표1[[#This Row],[해양탐색]:[마을탐험]])</f>
        <v>0</v>
      </c>
    </row>
    <row r="85" spans="2:15" ht="13.5" customHeight="1" x14ac:dyDescent="0.3">
      <c r="B85" s="9">
        <f>[1]Discovery!A91</f>
        <v>70401097</v>
      </c>
      <c r="C85" s="9" t="str">
        <f>[1]Discovery!B91</f>
        <v>앵가석</v>
      </c>
      <c r="D85" s="9" t="str">
        <f>[1]Discovery!E91</f>
        <v>유물</v>
      </c>
      <c r="E85" s="9" t="str">
        <f>[1]Discovery!C91</f>
        <v>역사유물</v>
      </c>
      <c r="F85" s="9" t="str">
        <f>[1]Discovery!G91</f>
        <v>C</v>
      </c>
      <c r="G85" s="9" t="str">
        <f>IFERROR(VLOOKUP(표1[[#This Row],[명칭]],'문화권 정리'!C:D,2,FALSE),"-")</f>
        <v>동아시아</v>
      </c>
      <c r="H85" s="38" t="str">
        <f>IFERROR(COUNTIF([2]OceanDoodad!$Y:$Y,표1[[#This Row],[명칭]]),"-")</f>
        <v>-</v>
      </c>
      <c r="I85" s="38">
        <f>IFERROR(COUNTIF([1]AdventureDiscoveryGroup!$D$8:$AW$92,표1[[#This Row],[명칭]]),"-")</f>
        <v>1</v>
      </c>
      <c r="J85" s="38">
        <f>IFERROR(COUNTIF([1]FishDiscoveryGroup!$A:$X,표1[[#This Row],[명칭]]),"-")</f>
        <v>0</v>
      </c>
      <c r="K85" s="38" t="str">
        <f>IFERROR(COUNTIF([2]Town!$B:$B,표1[[#This Row],[명칭]]),"-")</f>
        <v>-</v>
      </c>
      <c r="L85" s="38">
        <f>IFERROR(COUNTIF([1]Village!$BR:$BR,표1[[#This Row],[명칭]]),"-")</f>
        <v>0</v>
      </c>
      <c r="M85" s="38">
        <f>COUNTIF(퀘스트!B:B,표1[[#This Row],[명칭]])</f>
        <v>0</v>
      </c>
      <c r="N85" s="65">
        <f>COUNTIF([1]VillageDiscoveryGroup!$C:$C,표1[[#This Row],[명칭]])</f>
        <v>0</v>
      </c>
      <c r="O85" s="65">
        <f>SUM(표1[[#This Row],[해양탐색]:[마을탐험]])</f>
        <v>1</v>
      </c>
    </row>
    <row r="86" spans="2:15" ht="13.5" customHeight="1" x14ac:dyDescent="0.3">
      <c r="B86" s="9">
        <f>[1]Discovery!A92</f>
        <v>70401098</v>
      </c>
      <c r="C86" s="9" t="str">
        <f>[1]Discovery!B92</f>
        <v>야요이 토기</v>
      </c>
      <c r="D86" s="9" t="str">
        <f>[1]Discovery!E92</f>
        <v>유물</v>
      </c>
      <c r="E86" s="9" t="str">
        <f>[1]Discovery!C92</f>
        <v>역사유물</v>
      </c>
      <c r="F86" s="9" t="str">
        <f>[1]Discovery!G92</f>
        <v>D</v>
      </c>
      <c r="G86" s="9" t="str">
        <f>IFERROR(VLOOKUP(표1[[#This Row],[명칭]],'문화권 정리'!C:D,2,FALSE),"-")</f>
        <v>동아시아</v>
      </c>
      <c r="H86" s="38" t="str">
        <f>IFERROR(COUNTIF([2]OceanDoodad!$Y:$Y,표1[[#This Row],[명칭]]),"-")</f>
        <v>-</v>
      </c>
      <c r="I86" s="38">
        <f>IFERROR(COUNTIF([1]AdventureDiscoveryGroup!$D$8:$AW$92,표1[[#This Row],[명칭]]),"-")</f>
        <v>0</v>
      </c>
      <c r="J86" s="38">
        <f>IFERROR(COUNTIF([1]FishDiscoveryGroup!$A:$X,표1[[#This Row],[명칭]]),"-")</f>
        <v>0</v>
      </c>
      <c r="K86" s="38" t="str">
        <f>IFERROR(COUNTIF([2]Town!$B:$B,표1[[#This Row],[명칭]]),"-")</f>
        <v>-</v>
      </c>
      <c r="L86" s="38">
        <f>IFERROR(COUNTIF([1]Village!$BR:$BR,표1[[#This Row],[명칭]]),"-")</f>
        <v>0</v>
      </c>
      <c r="M86" s="38">
        <f>COUNTIF(퀘스트!B:B,표1[[#This Row],[명칭]])</f>
        <v>0</v>
      </c>
      <c r="N86" s="65">
        <f>COUNTIF([1]VillageDiscoveryGroup!$C:$C,표1[[#This Row],[명칭]])</f>
        <v>1</v>
      </c>
      <c r="O86" s="65">
        <f>SUM(표1[[#This Row],[해양탐색]:[마을탐험]])</f>
        <v>1</v>
      </c>
    </row>
    <row r="87" spans="2:15" ht="13.5" customHeight="1" x14ac:dyDescent="0.3">
      <c r="B87" s="9">
        <f>[1]Discovery!A93</f>
        <v>70401099</v>
      </c>
      <c r="C87" s="9" t="str">
        <f>[1]Discovery!B93</f>
        <v>에누마 엘리시</v>
      </c>
      <c r="D87" s="9" t="str">
        <f>[1]Discovery!E93</f>
        <v>유물</v>
      </c>
      <c r="E87" s="9" t="str">
        <f>[1]Discovery!C93</f>
        <v>역사유물</v>
      </c>
      <c r="F87" s="9" t="str">
        <f>[1]Discovery!G93</f>
        <v>A</v>
      </c>
      <c r="G87" s="9" t="str">
        <f>IFERROR(VLOOKUP(표1[[#This Row],[명칭]],'문화권 정리'!C:D,2,FALSE),"-")</f>
        <v>서남아시아</v>
      </c>
      <c r="H87" s="38" t="str">
        <f>IFERROR(COUNTIF([2]OceanDoodad!$Y:$Y,표1[[#This Row],[명칭]]),"-")</f>
        <v>-</v>
      </c>
      <c r="I87" s="38">
        <f>IFERROR(COUNTIF([1]AdventureDiscoveryGroup!$D$8:$AW$92,표1[[#This Row],[명칭]]),"-")</f>
        <v>0</v>
      </c>
      <c r="J87" s="38">
        <f>IFERROR(COUNTIF([1]FishDiscoveryGroup!$A:$X,표1[[#This Row],[명칭]]),"-")</f>
        <v>0</v>
      </c>
      <c r="K87" s="38" t="str">
        <f>IFERROR(COUNTIF([2]Town!$B:$B,표1[[#This Row],[명칭]]),"-")</f>
        <v>-</v>
      </c>
      <c r="L87" s="38">
        <f>IFERROR(COUNTIF([1]Village!$BR:$BR,표1[[#This Row],[명칭]]),"-")</f>
        <v>0</v>
      </c>
      <c r="M87" s="38">
        <f>COUNTIF(퀘스트!B:B,표1[[#This Row],[명칭]])</f>
        <v>0</v>
      </c>
      <c r="N87" s="65">
        <f>COUNTIF([1]VillageDiscoveryGroup!$C:$C,표1[[#This Row],[명칭]])</f>
        <v>0</v>
      </c>
      <c r="O87" s="65">
        <f>SUM(표1[[#This Row],[해양탐색]:[마을탐험]])</f>
        <v>0</v>
      </c>
    </row>
    <row r="88" spans="2:15" ht="13.5" customHeight="1" x14ac:dyDescent="0.3">
      <c r="B88" s="9">
        <f>[1]Discovery!A94</f>
        <v>70401100</v>
      </c>
      <c r="C88" s="9" t="str">
        <f>[1]Discovery!B94</f>
        <v>에비 일의상</v>
      </c>
      <c r="D88" s="9" t="str">
        <f>[1]Discovery!E94</f>
        <v>유물</v>
      </c>
      <c r="E88" s="9" t="str">
        <f>[1]Discovery!C94</f>
        <v>역사유물</v>
      </c>
      <c r="F88" s="9" t="str">
        <f>[1]Discovery!G94</f>
        <v>B</v>
      </c>
      <c r="G88" s="9" t="str">
        <f>IFERROR(VLOOKUP(표1[[#This Row],[명칭]],'문화권 정리'!C:D,2,FALSE),"-")</f>
        <v>서남아시아</v>
      </c>
      <c r="H88" s="38" t="str">
        <f>IFERROR(COUNTIF([2]OceanDoodad!$Y:$Y,표1[[#This Row],[명칭]]),"-")</f>
        <v>-</v>
      </c>
      <c r="I88" s="38">
        <f>IFERROR(COUNTIF([1]AdventureDiscoveryGroup!$D$8:$AW$92,표1[[#This Row],[명칭]]),"-")</f>
        <v>0</v>
      </c>
      <c r="J88" s="38">
        <f>IFERROR(COUNTIF([1]FishDiscoveryGroup!$A:$X,표1[[#This Row],[명칭]]),"-")</f>
        <v>0</v>
      </c>
      <c r="K88" s="38" t="str">
        <f>IFERROR(COUNTIF([2]Town!$B:$B,표1[[#This Row],[명칭]]),"-")</f>
        <v>-</v>
      </c>
      <c r="L88" s="38">
        <f>IFERROR(COUNTIF([1]Village!$BR:$BR,표1[[#This Row],[명칭]]),"-")</f>
        <v>0</v>
      </c>
      <c r="M88" s="38">
        <f>COUNTIF(퀘스트!B:B,표1[[#This Row],[명칭]])</f>
        <v>0</v>
      </c>
      <c r="N88" s="65">
        <f>COUNTIF([1]VillageDiscoveryGroup!$C:$C,표1[[#This Row],[명칭]])</f>
        <v>0</v>
      </c>
      <c r="O88" s="65">
        <f>SUM(표1[[#This Row],[해양탐색]:[마을탐험]])</f>
        <v>0</v>
      </c>
    </row>
    <row r="89" spans="2:15" ht="13.5" customHeight="1" x14ac:dyDescent="0.3">
      <c r="B89" s="9">
        <f>[1]Discovery!A95</f>
        <v>70401101</v>
      </c>
      <c r="C89" s="9" t="str">
        <f>[1]Discovery!B95</f>
        <v>에파미논다스의 갑옷</v>
      </c>
      <c r="D89" s="9" t="str">
        <f>[1]Discovery!E95</f>
        <v>보물</v>
      </c>
      <c r="E89" s="9" t="str">
        <f>[1]Discovery!C95</f>
        <v>보물</v>
      </c>
      <c r="F89" s="9" t="str">
        <f>[1]Discovery!G95</f>
        <v>A</v>
      </c>
      <c r="G89" s="9" t="str">
        <f>IFERROR(VLOOKUP(표1[[#This Row],[명칭]],'문화권 정리'!C:D,2,FALSE),"-")</f>
        <v>지중해</v>
      </c>
      <c r="H89" s="38" t="str">
        <f>IFERROR(COUNTIF([2]OceanDoodad!$Y:$Y,표1[[#This Row],[명칭]]),"-")</f>
        <v>-</v>
      </c>
      <c r="I89" s="38">
        <f>IFERROR(COUNTIF([1]AdventureDiscoveryGroup!$D$8:$AW$92,표1[[#This Row],[명칭]]),"-")</f>
        <v>0</v>
      </c>
      <c r="J89" s="38">
        <f>IFERROR(COUNTIF([1]FishDiscoveryGroup!$A:$X,표1[[#This Row],[명칭]]),"-")</f>
        <v>0</v>
      </c>
      <c r="K89" s="38" t="str">
        <f>IFERROR(COUNTIF([2]Town!$B:$B,표1[[#This Row],[명칭]]),"-")</f>
        <v>-</v>
      </c>
      <c r="L89" s="38">
        <f>IFERROR(COUNTIF([1]Village!$BR:$BR,표1[[#This Row],[명칭]]),"-")</f>
        <v>0</v>
      </c>
      <c r="M89" s="38">
        <f>COUNTIF(퀘스트!B:B,표1[[#This Row],[명칭]])</f>
        <v>0</v>
      </c>
      <c r="N89" s="65">
        <f>COUNTIF([1]VillageDiscoveryGroup!$C:$C,표1[[#This Row],[명칭]])</f>
        <v>0</v>
      </c>
      <c r="O89" s="65">
        <f>SUM(표1[[#This Row],[해양탐색]:[마을탐험]])</f>
        <v>0</v>
      </c>
    </row>
    <row r="90" spans="2:15" ht="13.5" customHeight="1" x14ac:dyDescent="0.3">
      <c r="B90" s="9">
        <f>[1]Discovery!A96</f>
        <v>70401102</v>
      </c>
      <c r="C90" s="9" t="str">
        <f>[1]Discovery!B96</f>
        <v>엑스칼리버</v>
      </c>
      <c r="D90" s="9" t="str">
        <f>[1]Discovery!E96</f>
        <v>보물</v>
      </c>
      <c r="E90" s="9" t="str">
        <f>[1]Discovery!C96</f>
        <v>보물</v>
      </c>
      <c r="F90" s="9" t="str">
        <f>[1]Discovery!G96</f>
        <v>S</v>
      </c>
      <c r="G90" s="9" t="str">
        <f>IFERROR(VLOOKUP(표1[[#This Row],[명칭]],'문화권 정리'!C:D,2,FALSE),"-")</f>
        <v>브리튼</v>
      </c>
      <c r="H90" s="38" t="str">
        <f>IFERROR(COUNTIF([2]OceanDoodad!$Y:$Y,표1[[#This Row],[명칭]]),"-")</f>
        <v>-</v>
      </c>
      <c r="I90" s="38">
        <f>IFERROR(COUNTIF([1]AdventureDiscoveryGroup!$D$8:$AW$92,표1[[#This Row],[명칭]]),"-")</f>
        <v>0</v>
      </c>
      <c r="J90" s="38">
        <f>IFERROR(COUNTIF([1]FishDiscoveryGroup!$A:$X,표1[[#This Row],[명칭]]),"-")</f>
        <v>0</v>
      </c>
      <c r="K90" s="38" t="str">
        <f>IFERROR(COUNTIF([2]Town!$B:$B,표1[[#This Row],[명칭]]),"-")</f>
        <v>-</v>
      </c>
      <c r="L90" s="38">
        <f>IFERROR(COUNTIF([1]Village!$BR:$BR,표1[[#This Row],[명칭]]),"-")</f>
        <v>0</v>
      </c>
      <c r="M90" s="38">
        <f>COUNTIF(퀘스트!B:B,표1[[#This Row],[명칭]])</f>
        <v>1</v>
      </c>
      <c r="N90" s="65">
        <f>COUNTIF([1]VillageDiscoveryGroup!$C:$C,표1[[#This Row],[명칭]])</f>
        <v>0</v>
      </c>
      <c r="O90" s="65">
        <f>SUM(표1[[#This Row],[해양탐색]:[마을탐험]])</f>
        <v>1</v>
      </c>
    </row>
    <row r="91" spans="2:15" ht="13.5" customHeight="1" x14ac:dyDescent="0.3">
      <c r="B91" s="9">
        <f>[1]Discovery!A97</f>
        <v>70401103</v>
      </c>
      <c r="C91" s="9" t="str">
        <f>[1]Discovery!B97</f>
        <v>여수장우중문시</v>
      </c>
      <c r="D91" s="9" t="str">
        <f>[1]Discovery!E97</f>
        <v>유물</v>
      </c>
      <c r="E91" s="9" t="str">
        <f>[1]Discovery!C97</f>
        <v>역사유물</v>
      </c>
      <c r="F91" s="9" t="str">
        <f>[1]Discovery!G97</f>
        <v>A</v>
      </c>
      <c r="G91" s="9" t="str">
        <f>IFERROR(VLOOKUP(표1[[#This Row],[명칭]],'문화권 정리'!C:D,2,FALSE),"-")</f>
        <v>동아시아</v>
      </c>
      <c r="H91" s="38" t="str">
        <f>IFERROR(COUNTIF([2]OceanDoodad!$Y:$Y,표1[[#This Row],[명칭]]),"-")</f>
        <v>-</v>
      </c>
      <c r="I91" s="38">
        <f>IFERROR(COUNTIF([1]AdventureDiscoveryGroup!$D$8:$AW$92,표1[[#This Row],[명칭]]),"-")</f>
        <v>1</v>
      </c>
      <c r="J91" s="38">
        <f>IFERROR(COUNTIF([1]FishDiscoveryGroup!$A:$X,표1[[#This Row],[명칭]]),"-")</f>
        <v>0</v>
      </c>
      <c r="K91" s="38" t="str">
        <f>IFERROR(COUNTIF([2]Town!$B:$B,표1[[#This Row],[명칭]]),"-")</f>
        <v>-</v>
      </c>
      <c r="L91" s="38">
        <f>IFERROR(COUNTIF([1]Village!$BR:$BR,표1[[#This Row],[명칭]]),"-")</f>
        <v>0</v>
      </c>
      <c r="M91" s="38">
        <f>COUNTIF(퀘스트!B:B,표1[[#This Row],[명칭]])</f>
        <v>0</v>
      </c>
      <c r="N91" s="65">
        <f>COUNTIF([1]VillageDiscoveryGroup!$C:$C,표1[[#This Row],[명칭]])</f>
        <v>0</v>
      </c>
      <c r="O91" s="65">
        <f>SUM(표1[[#This Row],[해양탐색]:[마을탐험]])</f>
        <v>1</v>
      </c>
    </row>
    <row r="92" spans="2:15" ht="13.5" customHeight="1" x14ac:dyDescent="0.3">
      <c r="B92" s="9">
        <f>[1]Discovery!A98</f>
        <v>70401104</v>
      </c>
      <c r="C92" s="9" t="str">
        <f>[1]Discovery!B98</f>
        <v>영애 승람</v>
      </c>
      <c r="D92" s="9" t="str">
        <f>[1]Discovery!E98</f>
        <v>유물</v>
      </c>
      <c r="E92" s="9" t="str">
        <f>[1]Discovery!C98</f>
        <v>역사유물</v>
      </c>
      <c r="F92" s="9" t="str">
        <f>[1]Discovery!G98</f>
        <v>S</v>
      </c>
      <c r="G92" s="9" t="str">
        <f>IFERROR(VLOOKUP(표1[[#This Row],[명칭]],'문화권 정리'!C:D,2,FALSE),"-")</f>
        <v>동아시아</v>
      </c>
      <c r="H92" s="38" t="str">
        <f>IFERROR(COUNTIF([2]OceanDoodad!$Y:$Y,표1[[#This Row],[명칭]]),"-")</f>
        <v>-</v>
      </c>
      <c r="I92" s="38">
        <f>IFERROR(COUNTIF([1]AdventureDiscoveryGroup!$D$8:$AW$92,표1[[#This Row],[명칭]]),"-")</f>
        <v>0</v>
      </c>
      <c r="J92" s="38">
        <f>IFERROR(COUNTIF([1]FishDiscoveryGroup!$A:$X,표1[[#This Row],[명칭]]),"-")</f>
        <v>0</v>
      </c>
      <c r="K92" s="38" t="str">
        <f>IFERROR(COUNTIF([2]Town!$B:$B,표1[[#This Row],[명칭]]),"-")</f>
        <v>-</v>
      </c>
      <c r="L92" s="38">
        <f>IFERROR(COUNTIF([1]Village!$BR:$BR,표1[[#This Row],[명칭]]),"-")</f>
        <v>0</v>
      </c>
      <c r="M92" s="38">
        <f>COUNTIF(퀘스트!B:B,표1[[#This Row],[명칭]])</f>
        <v>0</v>
      </c>
      <c r="N92" s="65">
        <f>COUNTIF([1]VillageDiscoveryGroup!$C:$C,표1[[#This Row],[명칭]])</f>
        <v>1</v>
      </c>
      <c r="O92" s="65">
        <f>SUM(표1[[#This Row],[해양탐색]:[마을탐험]])</f>
        <v>1</v>
      </c>
    </row>
    <row r="93" spans="2:15" ht="13.5" customHeight="1" x14ac:dyDescent="0.3">
      <c r="B93" s="9">
        <f>[1]Discovery!A99</f>
        <v>70401105</v>
      </c>
      <c r="C93" s="9" t="str">
        <f>[1]Discovery!B99</f>
        <v>오도아케르의 검</v>
      </c>
      <c r="D93" s="9" t="str">
        <f>[1]Discovery!E99</f>
        <v>보물</v>
      </c>
      <c r="E93" s="9" t="str">
        <f>[1]Discovery!C99</f>
        <v>보물</v>
      </c>
      <c r="F93" s="9" t="str">
        <f>[1]Discovery!G99</f>
        <v>A</v>
      </c>
      <c r="G93" s="9" t="str">
        <f>IFERROR(VLOOKUP(표1[[#This Row],[명칭]],'문화권 정리'!C:D,2,FALSE),"-")</f>
        <v>지중해</v>
      </c>
      <c r="H93" s="38" t="str">
        <f>IFERROR(COUNTIF([2]OceanDoodad!$Y:$Y,표1[[#This Row],[명칭]]),"-")</f>
        <v>-</v>
      </c>
      <c r="I93" s="38">
        <f>IFERROR(COUNTIF([1]AdventureDiscoveryGroup!$D$8:$AW$92,표1[[#This Row],[명칭]]),"-")</f>
        <v>0</v>
      </c>
      <c r="J93" s="38">
        <f>IFERROR(COUNTIF([1]FishDiscoveryGroup!$A:$X,표1[[#This Row],[명칭]]),"-")</f>
        <v>0</v>
      </c>
      <c r="K93" s="38" t="str">
        <f>IFERROR(COUNTIF([2]Town!$B:$B,표1[[#This Row],[명칭]]),"-")</f>
        <v>-</v>
      </c>
      <c r="L93" s="38">
        <f>IFERROR(COUNTIF([1]Village!$BR:$BR,표1[[#This Row],[명칭]]),"-")</f>
        <v>0</v>
      </c>
      <c r="M93" s="38">
        <f>COUNTIF(퀘스트!B:B,표1[[#This Row],[명칭]])</f>
        <v>1</v>
      </c>
      <c r="N93" s="65">
        <f>COUNTIF([1]VillageDiscoveryGroup!$C:$C,표1[[#This Row],[명칭]])</f>
        <v>0</v>
      </c>
      <c r="O93" s="65">
        <f>SUM(표1[[#This Row],[해양탐색]:[마을탐험]])</f>
        <v>1</v>
      </c>
    </row>
    <row r="94" spans="2:15" ht="13.5" customHeight="1" x14ac:dyDescent="0.3">
      <c r="B94" s="9">
        <f>[1]Discovery!A100</f>
        <v>70401106</v>
      </c>
      <c r="C94" s="9" t="str">
        <f>[1]Discovery!B100</f>
        <v>오르메카의 거대 두상</v>
      </c>
      <c r="D94" s="9" t="str">
        <f>[1]Discovery!E100</f>
        <v>유물</v>
      </c>
      <c r="E94" s="9" t="str">
        <f>[1]Discovery!C100</f>
        <v>역사유물</v>
      </c>
      <c r="F94" s="9" t="str">
        <f>[1]Discovery!G100</f>
        <v>A</v>
      </c>
      <c r="G94" s="9" t="str">
        <f>IFERROR(VLOOKUP(표1[[#This Row],[명칭]],'문화권 정리'!C:D,2,FALSE),"-")</f>
        <v>북아메리카</v>
      </c>
      <c r="H94" s="38" t="str">
        <f>IFERROR(COUNTIF([2]OceanDoodad!$Y:$Y,표1[[#This Row],[명칭]]),"-")</f>
        <v>-</v>
      </c>
      <c r="I94" s="38">
        <f>IFERROR(COUNTIF([1]AdventureDiscoveryGroup!$D$8:$AW$92,표1[[#This Row],[명칭]]),"-")</f>
        <v>0</v>
      </c>
      <c r="J94" s="38">
        <f>IFERROR(COUNTIF([1]FishDiscoveryGroup!$A:$X,표1[[#This Row],[명칭]]),"-")</f>
        <v>0</v>
      </c>
      <c r="K94" s="38" t="str">
        <f>IFERROR(COUNTIF([2]Town!$B:$B,표1[[#This Row],[명칭]]),"-")</f>
        <v>-</v>
      </c>
      <c r="L94" s="38">
        <f>IFERROR(COUNTIF([1]Village!$BR:$BR,표1[[#This Row],[명칭]]),"-")</f>
        <v>0</v>
      </c>
      <c r="M94" s="38">
        <f>COUNTIF(퀘스트!B:B,표1[[#This Row],[명칭]])</f>
        <v>0</v>
      </c>
      <c r="N94" s="65">
        <f>COUNTIF([1]VillageDiscoveryGroup!$C:$C,표1[[#This Row],[명칭]])</f>
        <v>1</v>
      </c>
      <c r="O94" s="65">
        <f>SUM(표1[[#This Row],[해양탐색]:[마을탐험]])</f>
        <v>1</v>
      </c>
    </row>
    <row r="95" spans="2:15" ht="13.5" customHeight="1" x14ac:dyDescent="0.3">
      <c r="B95" s="9">
        <f>[1]Discovery!A101</f>
        <v>70401107</v>
      </c>
      <c r="C95" s="9" t="str">
        <f>[1]Discovery!B101</f>
        <v>오벨리스크</v>
      </c>
      <c r="D95" s="9" t="str">
        <f>[1]Discovery!E101</f>
        <v>유물</v>
      </c>
      <c r="E95" s="9" t="str">
        <f>[1]Discovery!C101</f>
        <v>역사유물</v>
      </c>
      <c r="F95" s="9" t="str">
        <f>[1]Discovery!G101</f>
        <v>B</v>
      </c>
      <c r="G95" s="9" t="str">
        <f>IFERROR(VLOOKUP(표1[[#This Row],[명칭]],'문화권 정리'!C:D,2,FALSE),"-")</f>
        <v>북아프리카</v>
      </c>
      <c r="H95" s="38" t="str">
        <f>IFERROR(COUNTIF([2]OceanDoodad!$Y:$Y,표1[[#This Row],[명칭]]),"-")</f>
        <v>-</v>
      </c>
      <c r="I95" s="38">
        <f>IFERROR(COUNTIF([1]AdventureDiscoveryGroup!$D$8:$AW$92,표1[[#This Row],[명칭]]),"-")</f>
        <v>0</v>
      </c>
      <c r="J95" s="38">
        <f>IFERROR(COUNTIF([1]FishDiscoveryGroup!$A:$X,표1[[#This Row],[명칭]]),"-")</f>
        <v>0</v>
      </c>
      <c r="K95" s="38" t="str">
        <f>IFERROR(COUNTIF([2]Town!$B:$B,표1[[#This Row],[명칭]]),"-")</f>
        <v>-</v>
      </c>
      <c r="L95" s="38">
        <f>IFERROR(COUNTIF([1]Village!$BR:$BR,표1[[#This Row],[명칭]]),"-")</f>
        <v>0</v>
      </c>
      <c r="M95" s="38">
        <f>COUNTIF(퀘스트!B:B,표1[[#This Row],[명칭]])</f>
        <v>1</v>
      </c>
      <c r="N95" s="65">
        <f>COUNTIF([1]VillageDiscoveryGroup!$C:$C,표1[[#This Row],[명칭]])</f>
        <v>0</v>
      </c>
      <c r="O95" s="65">
        <f>SUM(표1[[#This Row],[해양탐색]:[마을탐험]])</f>
        <v>1</v>
      </c>
    </row>
    <row r="96" spans="2:15" ht="13.5" customHeight="1" x14ac:dyDescent="0.3">
      <c r="B96" s="9">
        <f>[1]Discovery!A102</f>
        <v>70401108</v>
      </c>
      <c r="C96" s="9" t="str">
        <f>[1]Discovery!B102</f>
        <v>오스트라콘</v>
      </c>
      <c r="D96" s="9" t="str">
        <f>[1]Discovery!E102</f>
        <v>유물</v>
      </c>
      <c r="E96" s="9" t="str">
        <f>[1]Discovery!C102</f>
        <v>역사유물</v>
      </c>
      <c r="F96" s="9" t="str">
        <f>[1]Discovery!G102</f>
        <v>A</v>
      </c>
      <c r="G96" s="9" t="str">
        <f>IFERROR(VLOOKUP(표1[[#This Row],[명칭]],'문화권 정리'!C:D,2,FALSE),"-")</f>
        <v>지중해</v>
      </c>
      <c r="H96" s="38" t="str">
        <f>IFERROR(COUNTIF([2]OceanDoodad!$Y:$Y,표1[[#This Row],[명칭]]),"-")</f>
        <v>-</v>
      </c>
      <c r="I96" s="38">
        <f>IFERROR(COUNTIF([1]AdventureDiscoveryGroup!$D$8:$AW$92,표1[[#This Row],[명칭]]),"-")</f>
        <v>0</v>
      </c>
      <c r="J96" s="38">
        <f>IFERROR(COUNTIF([1]FishDiscoveryGroup!$A:$X,표1[[#This Row],[명칭]]),"-")</f>
        <v>0</v>
      </c>
      <c r="K96" s="38" t="str">
        <f>IFERROR(COUNTIF([2]Town!$B:$B,표1[[#This Row],[명칭]]),"-")</f>
        <v>-</v>
      </c>
      <c r="L96" s="38">
        <f>IFERROR(COUNTIF([1]Village!$BR:$BR,표1[[#This Row],[명칭]]),"-")</f>
        <v>0</v>
      </c>
      <c r="M96" s="38">
        <f>COUNTIF(퀘스트!B:B,표1[[#This Row],[명칭]])</f>
        <v>0</v>
      </c>
      <c r="N96" s="65">
        <f>COUNTIF([1]VillageDiscoveryGroup!$C:$C,표1[[#This Row],[명칭]])</f>
        <v>0</v>
      </c>
      <c r="O96" s="65">
        <f>SUM(표1[[#This Row],[해양탐색]:[마을탐험]])</f>
        <v>0</v>
      </c>
    </row>
    <row r="97" spans="2:15" ht="13.5" customHeight="1" x14ac:dyDescent="0.3">
      <c r="B97" s="9">
        <f>[1]Discovery!A103</f>
        <v>70401110</v>
      </c>
      <c r="C97" s="9" t="str">
        <f>[1]Discovery!B103</f>
        <v>왕들의 무덤</v>
      </c>
      <c r="D97" s="9" t="str">
        <f>[1]Discovery!E103</f>
        <v>건축</v>
      </c>
      <c r="E97" s="9" t="str">
        <f>[1]Discovery!C103</f>
        <v>사적</v>
      </c>
      <c r="F97" s="9" t="str">
        <f>[1]Discovery!G103</f>
        <v>B</v>
      </c>
      <c r="G97" s="9" t="str">
        <f>IFERROR(VLOOKUP(표1[[#This Row],[명칭]],'문화권 정리'!C:D,2,FALSE),"-")</f>
        <v>지중해</v>
      </c>
      <c r="H97" s="38" t="str">
        <f>IFERROR(COUNTIF([2]OceanDoodad!$Y:$Y,표1[[#This Row],[명칭]]),"-")</f>
        <v>-</v>
      </c>
      <c r="I97" s="38">
        <f>IFERROR(COUNTIF([1]AdventureDiscoveryGroup!$D$8:$AW$92,표1[[#This Row],[명칭]]),"-")</f>
        <v>0</v>
      </c>
      <c r="J97" s="38">
        <f>IFERROR(COUNTIF([1]FishDiscoveryGroup!$A:$X,표1[[#This Row],[명칭]]),"-")</f>
        <v>0</v>
      </c>
      <c r="K97" s="38" t="str">
        <f>IFERROR(COUNTIF([2]Town!$B:$B,표1[[#This Row],[명칭]]),"-")</f>
        <v>-</v>
      </c>
      <c r="L97" s="38">
        <f>IFERROR(COUNTIF([1]Village!$BR:$BR,표1[[#This Row],[명칭]]),"-")</f>
        <v>0</v>
      </c>
      <c r="M97" s="38">
        <f>COUNTIF(퀘스트!B:B,표1[[#This Row],[명칭]])</f>
        <v>1</v>
      </c>
      <c r="N97" s="65">
        <f>COUNTIF([1]VillageDiscoveryGroup!$C:$C,표1[[#This Row],[명칭]])</f>
        <v>0</v>
      </c>
      <c r="O97" s="65">
        <f>SUM(표1[[#This Row],[해양탐색]:[마을탐험]])</f>
        <v>1</v>
      </c>
    </row>
    <row r="98" spans="2:15" ht="13.5" customHeight="1" x14ac:dyDescent="0.3">
      <c r="B98" s="9">
        <f>[1]Discovery!A104</f>
        <v>70401111</v>
      </c>
      <c r="C98" s="9" t="str">
        <f>[1]Discovery!B104</f>
        <v>요크</v>
      </c>
      <c r="D98" s="9" t="str">
        <f>[1]Discovery!E104</f>
        <v>유물</v>
      </c>
      <c r="E98" s="9" t="str">
        <f>[1]Discovery!C104</f>
        <v>역사유물</v>
      </c>
      <c r="F98" s="9" t="str">
        <f>[1]Discovery!G104</f>
        <v>B</v>
      </c>
      <c r="G98" s="9" t="str">
        <f>IFERROR(VLOOKUP(표1[[#This Row],[명칭]],'문화권 정리'!C:D,2,FALSE),"-")</f>
        <v>중앙아메리카</v>
      </c>
      <c r="H98" s="38" t="str">
        <f>IFERROR(COUNTIF([2]OceanDoodad!$Y:$Y,표1[[#This Row],[명칭]]),"-")</f>
        <v>-</v>
      </c>
      <c r="I98" s="38">
        <f>IFERROR(COUNTIF([1]AdventureDiscoveryGroup!$D$8:$AW$92,표1[[#This Row],[명칭]]),"-")</f>
        <v>0</v>
      </c>
      <c r="J98" s="38">
        <f>IFERROR(COUNTIF([1]FishDiscoveryGroup!$A:$X,표1[[#This Row],[명칭]]),"-")</f>
        <v>0</v>
      </c>
      <c r="K98" s="38" t="str">
        <f>IFERROR(COUNTIF([2]Town!$B:$B,표1[[#This Row],[명칭]]),"-")</f>
        <v>-</v>
      </c>
      <c r="L98" s="38">
        <f>IFERROR(COUNTIF([1]Village!$BR:$BR,표1[[#This Row],[명칭]]),"-")</f>
        <v>0</v>
      </c>
      <c r="M98" s="38">
        <f>COUNTIF(퀘스트!B:B,표1[[#This Row],[명칭]])</f>
        <v>0</v>
      </c>
      <c r="N98" s="65">
        <f>COUNTIF([1]VillageDiscoveryGroup!$C:$C,표1[[#This Row],[명칭]])</f>
        <v>0</v>
      </c>
      <c r="O98" s="65">
        <f>SUM(표1[[#This Row],[해양탐색]:[마을탐험]])</f>
        <v>0</v>
      </c>
    </row>
    <row r="99" spans="2:15" ht="13.5" customHeight="1" x14ac:dyDescent="0.3">
      <c r="B99" s="9">
        <f>[1]Discovery!A105</f>
        <v>70401112</v>
      </c>
      <c r="C99" s="9" t="str">
        <f>[1]Discovery!B105</f>
        <v>우르의 군기함</v>
      </c>
      <c r="D99" s="9" t="str">
        <f>[1]Discovery!E105</f>
        <v>유물</v>
      </c>
      <c r="E99" s="9" t="str">
        <f>[1]Discovery!C105</f>
        <v>역사유물</v>
      </c>
      <c r="F99" s="9" t="str">
        <f>[1]Discovery!G105</f>
        <v>B</v>
      </c>
      <c r="G99" s="9" t="str">
        <f>IFERROR(VLOOKUP(표1[[#This Row],[명칭]],'문화권 정리'!C:D,2,FALSE),"-")</f>
        <v>서남아시아</v>
      </c>
      <c r="H99" s="38" t="str">
        <f>IFERROR(COUNTIF([2]OceanDoodad!$Y:$Y,표1[[#This Row],[명칭]]),"-")</f>
        <v>-</v>
      </c>
      <c r="I99" s="38">
        <f>IFERROR(COUNTIF([1]AdventureDiscoveryGroup!$D$8:$AW$92,표1[[#This Row],[명칭]]),"-")</f>
        <v>0</v>
      </c>
      <c r="J99" s="38">
        <f>IFERROR(COUNTIF([1]FishDiscoveryGroup!$A:$X,표1[[#This Row],[명칭]]),"-")</f>
        <v>0</v>
      </c>
      <c r="K99" s="38" t="str">
        <f>IFERROR(COUNTIF([2]Town!$B:$B,표1[[#This Row],[명칭]]),"-")</f>
        <v>-</v>
      </c>
      <c r="L99" s="38">
        <f>IFERROR(COUNTIF([1]Village!$BR:$BR,표1[[#This Row],[명칭]]),"-")</f>
        <v>0</v>
      </c>
      <c r="M99" s="38">
        <f>COUNTIF(퀘스트!B:B,표1[[#This Row],[명칭]])</f>
        <v>0</v>
      </c>
      <c r="N99" s="65">
        <f>COUNTIF([1]VillageDiscoveryGroup!$C:$C,표1[[#This Row],[명칭]])</f>
        <v>0</v>
      </c>
      <c r="O99" s="65">
        <f>SUM(표1[[#This Row],[해양탐색]:[마을탐험]])</f>
        <v>0</v>
      </c>
    </row>
    <row r="100" spans="2:15" ht="13.5" customHeight="1" x14ac:dyDescent="0.3">
      <c r="B100" s="9">
        <f>[1]Discovery!A106</f>
        <v>70401113</v>
      </c>
      <c r="C100" s="9" t="str">
        <f>[1]Discovery!B106</f>
        <v>원융</v>
      </c>
      <c r="D100" s="9" t="str">
        <f>[1]Discovery!E106</f>
        <v>유물</v>
      </c>
      <c r="E100" s="9" t="str">
        <f>[1]Discovery!C106</f>
        <v>역사유물</v>
      </c>
      <c r="F100" s="9" t="str">
        <f>[1]Discovery!G106</f>
        <v>C</v>
      </c>
      <c r="G100" s="9" t="str">
        <f>IFERROR(VLOOKUP(표1[[#This Row],[명칭]],'문화권 정리'!C:D,2,FALSE),"-")</f>
        <v>동아시아</v>
      </c>
      <c r="H100" s="38" t="str">
        <f>IFERROR(COUNTIF([2]OceanDoodad!$Y:$Y,표1[[#This Row],[명칭]]),"-")</f>
        <v>-</v>
      </c>
      <c r="I100" s="38">
        <f>IFERROR(COUNTIF([1]AdventureDiscoveryGroup!$D$8:$AW$92,표1[[#This Row],[명칭]]),"-")</f>
        <v>1</v>
      </c>
      <c r="J100" s="38">
        <f>IFERROR(COUNTIF([1]FishDiscoveryGroup!$A:$X,표1[[#This Row],[명칭]]),"-")</f>
        <v>0</v>
      </c>
      <c r="K100" s="38" t="str">
        <f>IFERROR(COUNTIF([2]Town!$B:$B,표1[[#This Row],[명칭]]),"-")</f>
        <v>-</v>
      </c>
      <c r="L100" s="38">
        <f>IFERROR(COUNTIF([1]Village!$BR:$BR,표1[[#This Row],[명칭]]),"-")</f>
        <v>0</v>
      </c>
      <c r="M100" s="38">
        <f>COUNTIF(퀘스트!B:B,표1[[#This Row],[명칭]])</f>
        <v>0</v>
      </c>
      <c r="N100" s="65">
        <f>COUNTIF([1]VillageDiscoveryGroup!$C:$C,표1[[#This Row],[명칭]])</f>
        <v>0</v>
      </c>
      <c r="O100" s="65">
        <f>SUM(표1[[#This Row],[해양탐색]:[마을탐험]])</f>
        <v>1</v>
      </c>
    </row>
    <row r="101" spans="2:15" ht="13.5" customHeight="1" x14ac:dyDescent="0.3">
      <c r="B101" s="9">
        <f>[1]Discovery!A107</f>
        <v>70401114</v>
      </c>
      <c r="C101" s="9" t="str">
        <f>[1]Discovery!B107</f>
        <v>원초연대기</v>
      </c>
      <c r="D101" s="9" t="str">
        <f>[1]Discovery!E107</f>
        <v>유물</v>
      </c>
      <c r="E101" s="9" t="str">
        <f>[1]Discovery!C107</f>
        <v>역사유물</v>
      </c>
      <c r="F101" s="9" t="str">
        <f>[1]Discovery!G107</f>
        <v>S</v>
      </c>
      <c r="G101" s="9" t="str">
        <f>IFERROR(VLOOKUP(표1[[#This Row],[명칭]],'문화권 정리'!C:D,2,FALSE),"-")</f>
        <v>지중해</v>
      </c>
      <c r="H101" s="38" t="str">
        <f>IFERROR(COUNTIF([2]OceanDoodad!$Y:$Y,표1[[#This Row],[명칭]]),"-")</f>
        <v>-</v>
      </c>
      <c r="I101" s="38">
        <f>IFERROR(COUNTIF([1]AdventureDiscoveryGroup!$D$8:$AW$92,표1[[#This Row],[명칭]]),"-")</f>
        <v>0</v>
      </c>
      <c r="J101" s="38">
        <f>IFERROR(COUNTIF([1]FishDiscoveryGroup!$A:$X,표1[[#This Row],[명칭]]),"-")</f>
        <v>0</v>
      </c>
      <c r="K101" s="38" t="str">
        <f>IFERROR(COUNTIF([2]Town!$B:$B,표1[[#This Row],[명칭]]),"-")</f>
        <v>-</v>
      </c>
      <c r="L101" s="38">
        <f>IFERROR(COUNTIF([1]Village!$BR:$BR,표1[[#This Row],[명칭]]),"-")</f>
        <v>0</v>
      </c>
      <c r="M101" s="38">
        <f>COUNTIF(퀘스트!B:B,표1[[#This Row],[명칭]])</f>
        <v>0</v>
      </c>
      <c r="N101" s="65">
        <f>COUNTIF([1]VillageDiscoveryGroup!$C:$C,표1[[#This Row],[명칭]])</f>
        <v>0</v>
      </c>
      <c r="O101" s="65">
        <f>SUM(표1[[#This Row],[해양탐색]:[마을탐험]])</f>
        <v>0</v>
      </c>
    </row>
    <row r="102" spans="2:15" ht="13.5" customHeight="1" x14ac:dyDescent="0.3">
      <c r="B102" s="9">
        <f>[1]Discovery!A108</f>
        <v>70401115</v>
      </c>
      <c r="C102" s="9" t="str">
        <f>[1]Discovery!B108</f>
        <v>원통인장</v>
      </c>
      <c r="D102" s="9" t="str">
        <f>[1]Discovery!E108</f>
        <v>유물</v>
      </c>
      <c r="E102" s="9" t="str">
        <f>[1]Discovery!C108</f>
        <v>역사유물</v>
      </c>
      <c r="F102" s="9" t="str">
        <f>[1]Discovery!G108</f>
        <v>C</v>
      </c>
      <c r="G102" s="9" t="str">
        <f>IFERROR(VLOOKUP(표1[[#This Row],[명칭]],'문화권 정리'!C:D,2,FALSE),"-")</f>
        <v>서남아시아</v>
      </c>
      <c r="H102" s="38" t="str">
        <f>IFERROR(COUNTIF([2]OceanDoodad!$Y:$Y,표1[[#This Row],[명칭]]),"-")</f>
        <v>-</v>
      </c>
      <c r="I102" s="38">
        <f>IFERROR(COUNTIF([1]AdventureDiscoveryGroup!$D$8:$AW$92,표1[[#This Row],[명칭]]),"-")</f>
        <v>0</v>
      </c>
      <c r="J102" s="38">
        <f>IFERROR(COUNTIF([1]FishDiscoveryGroup!$A:$X,표1[[#This Row],[명칭]]),"-")</f>
        <v>0</v>
      </c>
      <c r="K102" s="38" t="str">
        <f>IFERROR(COUNTIF([2]Town!$B:$B,표1[[#This Row],[명칭]]),"-")</f>
        <v>-</v>
      </c>
      <c r="L102" s="38">
        <f>IFERROR(COUNTIF([1]Village!$BR:$BR,표1[[#This Row],[명칭]]),"-")</f>
        <v>0</v>
      </c>
      <c r="M102" s="38">
        <f>COUNTIF(퀘스트!B:B,표1[[#This Row],[명칭]])</f>
        <v>0</v>
      </c>
      <c r="N102" s="65">
        <f>COUNTIF([1]VillageDiscoveryGroup!$C:$C,표1[[#This Row],[명칭]])</f>
        <v>1</v>
      </c>
      <c r="O102" s="65">
        <f>SUM(표1[[#This Row],[해양탐색]:[마을탐험]])</f>
        <v>1</v>
      </c>
    </row>
    <row r="103" spans="2:15" ht="13.5" customHeight="1" x14ac:dyDescent="0.3">
      <c r="B103" s="9">
        <f>[1]Discovery!A109</f>
        <v>70401118</v>
      </c>
      <c r="C103" s="9" t="str">
        <f>[1]Discovery!B109</f>
        <v>유익인면수신상</v>
      </c>
      <c r="D103" s="9" t="str">
        <f>[1]Discovery!E109</f>
        <v>유물</v>
      </c>
      <c r="E103" s="9" t="str">
        <f>[1]Discovery!C109</f>
        <v>역사유물</v>
      </c>
      <c r="F103" s="9" t="str">
        <f>[1]Discovery!G109</f>
        <v>A</v>
      </c>
      <c r="G103" s="9" t="str">
        <f>IFERROR(VLOOKUP(표1[[#This Row],[명칭]],'문화권 정리'!C:D,2,FALSE),"-")</f>
        <v>서남아시아</v>
      </c>
      <c r="H103" s="38" t="str">
        <f>IFERROR(COUNTIF([2]OceanDoodad!$Y:$Y,표1[[#This Row],[명칭]]),"-")</f>
        <v>-</v>
      </c>
      <c r="I103" s="38">
        <f>IFERROR(COUNTIF([1]AdventureDiscoveryGroup!$D$8:$AW$92,표1[[#This Row],[명칭]]),"-")</f>
        <v>0</v>
      </c>
      <c r="J103" s="38">
        <f>IFERROR(COUNTIF([1]FishDiscoveryGroup!$A:$X,표1[[#This Row],[명칭]]),"-")</f>
        <v>0</v>
      </c>
      <c r="K103" s="38" t="str">
        <f>IFERROR(COUNTIF([2]Town!$B:$B,표1[[#This Row],[명칭]]),"-")</f>
        <v>-</v>
      </c>
      <c r="L103" s="38">
        <f>IFERROR(COUNTIF([1]Village!$BR:$BR,표1[[#This Row],[명칭]]),"-")</f>
        <v>0</v>
      </c>
      <c r="M103" s="38">
        <f>COUNTIF(퀘스트!B:B,표1[[#This Row],[명칭]])</f>
        <v>0</v>
      </c>
      <c r="N103" s="65">
        <f>COUNTIF([1]VillageDiscoveryGroup!$C:$C,표1[[#This Row],[명칭]])</f>
        <v>1</v>
      </c>
      <c r="O103" s="65">
        <f>SUM(표1[[#This Row],[해양탐색]:[마을탐험]])</f>
        <v>1</v>
      </c>
    </row>
    <row r="104" spans="2:15" ht="13.5" customHeight="1" x14ac:dyDescent="0.3">
      <c r="B104" s="9">
        <f>[1]Discovery!A110</f>
        <v>70401120</v>
      </c>
      <c r="C104" s="9" t="str">
        <f>[1]Discovery!B110</f>
        <v>은자 피에르의 지팡이</v>
      </c>
      <c r="D104" s="9" t="str">
        <f>[1]Discovery!E110</f>
        <v>보물</v>
      </c>
      <c r="E104" s="9" t="str">
        <f>[1]Discovery!C110</f>
        <v>보물</v>
      </c>
      <c r="F104" s="9" t="str">
        <f>[1]Discovery!G110</f>
        <v>B</v>
      </c>
      <c r="G104" s="9" t="str">
        <f>IFERROR(VLOOKUP(표1[[#This Row],[명칭]],'문화권 정리'!C:D,2,FALSE),"-")</f>
        <v>지중해</v>
      </c>
      <c r="H104" s="38" t="str">
        <f>IFERROR(COUNTIF([2]OceanDoodad!$Y:$Y,표1[[#This Row],[명칭]]),"-")</f>
        <v>-</v>
      </c>
      <c r="I104" s="38">
        <f>IFERROR(COUNTIF([1]AdventureDiscoveryGroup!$D$8:$AW$92,표1[[#This Row],[명칭]]),"-")</f>
        <v>0</v>
      </c>
      <c r="J104" s="38">
        <f>IFERROR(COUNTIF([1]FishDiscoveryGroup!$A:$X,표1[[#This Row],[명칭]]),"-")</f>
        <v>0</v>
      </c>
      <c r="K104" s="38" t="str">
        <f>IFERROR(COUNTIF([2]Town!$B:$B,표1[[#This Row],[명칭]]),"-")</f>
        <v>-</v>
      </c>
      <c r="L104" s="38">
        <f>IFERROR(COUNTIF([1]Village!$BR:$BR,표1[[#This Row],[명칭]]),"-")</f>
        <v>0</v>
      </c>
      <c r="M104" s="38">
        <f>COUNTIF(퀘스트!B:B,표1[[#This Row],[명칭]])</f>
        <v>1</v>
      </c>
      <c r="N104" s="65">
        <f>COUNTIF([1]VillageDiscoveryGroup!$C:$C,표1[[#This Row],[명칭]])</f>
        <v>0</v>
      </c>
      <c r="O104" s="65">
        <f>SUM(표1[[#This Row],[해양탐색]:[마을탐험]])</f>
        <v>1</v>
      </c>
    </row>
    <row r="105" spans="2:15" ht="13.5" customHeight="1" x14ac:dyDescent="0.3">
      <c r="B105" s="9">
        <f>[1]Discovery!A111</f>
        <v>70401121</v>
      </c>
      <c r="C105" s="9" t="str">
        <f>[1]Discovery!B111</f>
        <v>이고리 원정기</v>
      </c>
      <c r="D105" s="9" t="str">
        <f>[1]Discovery!E111</f>
        <v>유물</v>
      </c>
      <c r="E105" s="9" t="str">
        <f>[1]Discovery!C111</f>
        <v>역사유물</v>
      </c>
      <c r="F105" s="9" t="str">
        <f>[1]Discovery!G111</f>
        <v>B</v>
      </c>
      <c r="G105" s="9" t="str">
        <f>IFERROR(VLOOKUP(표1[[#This Row],[명칭]],'문화권 정리'!C:D,2,FALSE),"-")</f>
        <v>유라시아</v>
      </c>
      <c r="H105" s="38" t="str">
        <f>IFERROR(COUNTIF([2]OceanDoodad!$Y:$Y,표1[[#This Row],[명칭]]),"-")</f>
        <v>-</v>
      </c>
      <c r="I105" s="38">
        <f>IFERROR(COUNTIF([1]AdventureDiscoveryGroup!$D$8:$AW$92,표1[[#This Row],[명칭]]),"-")</f>
        <v>1</v>
      </c>
      <c r="J105" s="38">
        <f>IFERROR(COUNTIF([1]FishDiscoveryGroup!$A:$X,표1[[#This Row],[명칭]]),"-")</f>
        <v>0</v>
      </c>
      <c r="K105" s="38" t="str">
        <f>IFERROR(COUNTIF([2]Town!$B:$B,표1[[#This Row],[명칭]]),"-")</f>
        <v>-</v>
      </c>
      <c r="L105" s="38">
        <f>IFERROR(COUNTIF([1]Village!$BR:$BR,표1[[#This Row],[명칭]]),"-")</f>
        <v>0</v>
      </c>
      <c r="M105" s="38">
        <f>COUNTIF(퀘스트!B:B,표1[[#This Row],[명칭]])</f>
        <v>0</v>
      </c>
      <c r="N105" s="65">
        <f>COUNTIF([1]VillageDiscoveryGroup!$C:$C,표1[[#This Row],[명칭]])</f>
        <v>0</v>
      </c>
      <c r="O105" s="65">
        <f>SUM(표1[[#This Row],[해양탐색]:[마을탐험]])</f>
        <v>1</v>
      </c>
    </row>
    <row r="106" spans="2:15" ht="13.5" customHeight="1" x14ac:dyDescent="0.3">
      <c r="B106" s="9">
        <f>[1]Discovery!A112</f>
        <v>70401122</v>
      </c>
      <c r="C106" s="9" t="str">
        <f>[1]Discovery!B112</f>
        <v>이집트 평화교섭 문서</v>
      </c>
      <c r="D106" s="9" t="str">
        <f>[1]Discovery!E112</f>
        <v>유물</v>
      </c>
      <c r="E106" s="9" t="str">
        <f>[1]Discovery!C112</f>
        <v>역사유물</v>
      </c>
      <c r="F106" s="9" t="str">
        <f>[1]Discovery!G112</f>
        <v>D</v>
      </c>
      <c r="G106" s="9" t="str">
        <f>IFERROR(VLOOKUP(표1[[#This Row],[명칭]],'문화권 정리'!C:D,2,FALSE),"-")</f>
        <v>북아프리카</v>
      </c>
      <c r="H106" s="38" t="str">
        <f>IFERROR(COUNTIF([2]OceanDoodad!$Y:$Y,표1[[#This Row],[명칭]]),"-")</f>
        <v>-</v>
      </c>
      <c r="I106" s="38">
        <f>IFERROR(COUNTIF([1]AdventureDiscoveryGroup!$D$8:$AW$92,표1[[#This Row],[명칭]]),"-")</f>
        <v>0</v>
      </c>
      <c r="J106" s="38">
        <f>IFERROR(COUNTIF([1]FishDiscoveryGroup!$A:$X,표1[[#This Row],[명칭]]),"-")</f>
        <v>0</v>
      </c>
      <c r="K106" s="38" t="str">
        <f>IFERROR(COUNTIF([2]Town!$B:$B,표1[[#This Row],[명칭]]),"-")</f>
        <v>-</v>
      </c>
      <c r="L106" s="38">
        <f>IFERROR(COUNTIF([1]Village!$BR:$BR,표1[[#This Row],[명칭]]),"-")</f>
        <v>0</v>
      </c>
      <c r="M106" s="38">
        <f>COUNTIF(퀘스트!B:B,표1[[#This Row],[명칭]])</f>
        <v>0</v>
      </c>
      <c r="N106" s="65">
        <f>COUNTIF([1]VillageDiscoveryGroup!$C:$C,표1[[#This Row],[명칭]])</f>
        <v>0</v>
      </c>
      <c r="O106" s="65">
        <f>SUM(표1[[#This Row],[해양탐색]:[마을탐험]])</f>
        <v>0</v>
      </c>
    </row>
    <row r="107" spans="2:15" ht="13.5" customHeight="1" x14ac:dyDescent="0.3">
      <c r="B107" s="9">
        <f>[1]Discovery!A113</f>
        <v>70401123</v>
      </c>
      <c r="C107" s="9" t="str">
        <f>[1]Discovery!B113</f>
        <v>이집트문자의 석판</v>
      </c>
      <c r="D107" s="9" t="str">
        <f>[1]Discovery!E113</f>
        <v>유물</v>
      </c>
      <c r="E107" s="9" t="str">
        <f>[1]Discovery!C113</f>
        <v>역사유물</v>
      </c>
      <c r="F107" s="9" t="str">
        <f>[1]Discovery!G113</f>
        <v>C</v>
      </c>
      <c r="G107" s="9" t="str">
        <f>IFERROR(VLOOKUP(표1[[#This Row],[명칭]],'문화권 정리'!C:D,2,FALSE),"-")</f>
        <v>북아프리카</v>
      </c>
      <c r="H107" s="38" t="str">
        <f>IFERROR(COUNTIF([2]OceanDoodad!$Y:$Y,표1[[#This Row],[명칭]]),"-")</f>
        <v>-</v>
      </c>
      <c r="I107" s="38">
        <f>IFERROR(COUNTIF([1]AdventureDiscoveryGroup!$D$8:$AW$92,표1[[#This Row],[명칭]]),"-")</f>
        <v>1</v>
      </c>
      <c r="J107" s="38">
        <f>IFERROR(COUNTIF([1]FishDiscoveryGroup!$A:$X,표1[[#This Row],[명칭]]),"-")</f>
        <v>0</v>
      </c>
      <c r="K107" s="38" t="str">
        <f>IFERROR(COUNTIF([2]Town!$B:$B,표1[[#This Row],[명칭]]),"-")</f>
        <v>-</v>
      </c>
      <c r="L107" s="38">
        <f>IFERROR(COUNTIF([1]Village!$BR:$BR,표1[[#This Row],[명칭]]),"-")</f>
        <v>0</v>
      </c>
      <c r="M107" s="38">
        <f>COUNTIF(퀘스트!B:B,표1[[#This Row],[명칭]])</f>
        <v>0</v>
      </c>
      <c r="N107" s="65">
        <f>COUNTIF([1]VillageDiscoveryGroup!$C:$C,표1[[#This Row],[명칭]])</f>
        <v>0</v>
      </c>
      <c r="O107" s="65">
        <f>SUM(표1[[#This Row],[해양탐색]:[마을탐험]])</f>
        <v>1</v>
      </c>
    </row>
    <row r="108" spans="2:15" ht="13.5" customHeight="1" x14ac:dyDescent="0.3">
      <c r="B108" s="9">
        <f>[1]Discovery!A114</f>
        <v>70401124</v>
      </c>
      <c r="C108" s="9" t="str">
        <f>[1]Discovery!B114</f>
        <v>이집트의 벽화</v>
      </c>
      <c r="D108" s="9" t="str">
        <f>[1]Discovery!E114</f>
        <v>유물</v>
      </c>
      <c r="E108" s="9" t="str">
        <f>[1]Discovery!C114</f>
        <v>역사유물</v>
      </c>
      <c r="F108" s="9" t="str">
        <f>[1]Discovery!G114</f>
        <v>D</v>
      </c>
      <c r="G108" s="9" t="str">
        <f>IFERROR(VLOOKUP(표1[[#This Row],[명칭]],'문화권 정리'!C:D,2,FALSE),"-")</f>
        <v>북아프리카</v>
      </c>
      <c r="H108" s="38" t="str">
        <f>IFERROR(COUNTIF([2]OceanDoodad!$Y:$Y,표1[[#This Row],[명칭]]),"-")</f>
        <v>-</v>
      </c>
      <c r="I108" s="38">
        <f>IFERROR(COUNTIF([1]AdventureDiscoveryGroup!$D$8:$AW$92,표1[[#This Row],[명칭]]),"-")</f>
        <v>1</v>
      </c>
      <c r="J108" s="38">
        <f>IFERROR(COUNTIF([1]FishDiscoveryGroup!$A:$X,표1[[#This Row],[명칭]]),"-")</f>
        <v>0</v>
      </c>
      <c r="K108" s="38" t="str">
        <f>IFERROR(COUNTIF([2]Town!$B:$B,표1[[#This Row],[명칭]]),"-")</f>
        <v>-</v>
      </c>
      <c r="L108" s="38">
        <f>IFERROR(COUNTIF([1]Village!$BR:$BR,표1[[#This Row],[명칭]]),"-")</f>
        <v>0</v>
      </c>
      <c r="M108" s="38">
        <f>COUNTIF(퀘스트!B:B,표1[[#This Row],[명칭]])</f>
        <v>0</v>
      </c>
      <c r="N108" s="65">
        <f>COUNTIF([1]VillageDiscoveryGroup!$C:$C,표1[[#This Row],[명칭]])</f>
        <v>0</v>
      </c>
      <c r="O108" s="65">
        <f>SUM(표1[[#This Row],[해양탐색]:[마을탐험]])</f>
        <v>1</v>
      </c>
    </row>
    <row r="109" spans="2:15" ht="13.5" customHeight="1" x14ac:dyDescent="0.3">
      <c r="B109" s="9">
        <f>[1]Discovery!A115</f>
        <v>70401126</v>
      </c>
      <c r="C109" s="9" t="str">
        <f>[1]Discovery!B115</f>
        <v>일본 토우</v>
      </c>
      <c r="D109" s="9" t="str">
        <f>[1]Discovery!E115</f>
        <v>유물</v>
      </c>
      <c r="E109" s="9" t="str">
        <f>[1]Discovery!C115</f>
        <v>역사유물</v>
      </c>
      <c r="F109" s="9" t="str">
        <f>[1]Discovery!G115</f>
        <v>C</v>
      </c>
      <c r="G109" s="9" t="str">
        <f>IFERROR(VLOOKUP(표1[[#This Row],[명칭]],'문화권 정리'!C:D,2,FALSE),"-")</f>
        <v>동아시아</v>
      </c>
      <c r="H109" s="38" t="str">
        <f>IFERROR(COUNTIF([2]OceanDoodad!$Y:$Y,표1[[#This Row],[명칭]]),"-")</f>
        <v>-</v>
      </c>
      <c r="I109" s="38">
        <f>IFERROR(COUNTIF([1]AdventureDiscoveryGroup!$D$8:$AW$92,표1[[#This Row],[명칭]]),"-")</f>
        <v>1</v>
      </c>
      <c r="J109" s="38">
        <f>IFERROR(COUNTIF([1]FishDiscoveryGroup!$A:$X,표1[[#This Row],[명칭]]),"-")</f>
        <v>0</v>
      </c>
      <c r="K109" s="38" t="str">
        <f>IFERROR(COUNTIF([2]Town!$B:$B,표1[[#This Row],[명칭]]),"-")</f>
        <v>-</v>
      </c>
      <c r="L109" s="38">
        <f>IFERROR(COUNTIF([1]Village!$BR:$BR,표1[[#This Row],[명칭]]),"-")</f>
        <v>0</v>
      </c>
      <c r="M109" s="38">
        <f>COUNTIF(퀘스트!B:B,표1[[#This Row],[명칭]])</f>
        <v>0</v>
      </c>
      <c r="N109" s="65">
        <f>COUNTIF([1]VillageDiscoveryGroup!$C:$C,표1[[#This Row],[명칭]])</f>
        <v>0</v>
      </c>
      <c r="O109" s="65">
        <f>SUM(표1[[#This Row],[해양탐색]:[마을탐험]])</f>
        <v>1</v>
      </c>
    </row>
    <row r="110" spans="2:15" ht="13.5" customHeight="1" x14ac:dyDescent="0.3">
      <c r="B110" s="9">
        <f>[1]Discovery!A116</f>
        <v>70401127</v>
      </c>
      <c r="C110" s="9" t="str">
        <f>[1]Discovery!B116</f>
        <v>잉카의 석벽</v>
      </c>
      <c r="D110" s="9" t="str">
        <f>[1]Discovery!E116</f>
        <v>건축</v>
      </c>
      <c r="E110" s="9" t="str">
        <f>[1]Discovery!C116</f>
        <v>사적</v>
      </c>
      <c r="F110" s="9" t="str">
        <f>[1]Discovery!G116</f>
        <v>C</v>
      </c>
      <c r="G110" s="9" t="str">
        <f>IFERROR(VLOOKUP(표1[[#This Row],[명칭]],'문화권 정리'!C:D,2,FALSE),"-")</f>
        <v>남아메리카</v>
      </c>
      <c r="H110" s="38" t="str">
        <f>IFERROR(COUNTIF([2]OceanDoodad!$Y:$Y,표1[[#This Row],[명칭]]),"-")</f>
        <v>-</v>
      </c>
      <c r="I110" s="38">
        <f>IFERROR(COUNTIF([1]AdventureDiscoveryGroup!$D$8:$AW$92,표1[[#This Row],[명칭]]),"-")</f>
        <v>1</v>
      </c>
      <c r="J110" s="38">
        <f>IFERROR(COUNTIF([1]FishDiscoveryGroup!$A:$X,표1[[#This Row],[명칭]]),"-")</f>
        <v>0</v>
      </c>
      <c r="K110" s="38" t="str">
        <f>IFERROR(COUNTIF([2]Town!$B:$B,표1[[#This Row],[명칭]]),"-")</f>
        <v>-</v>
      </c>
      <c r="L110" s="38">
        <f>IFERROR(COUNTIF([1]Village!$BR:$BR,표1[[#This Row],[명칭]]),"-")</f>
        <v>0</v>
      </c>
      <c r="M110" s="38">
        <f>COUNTIF(퀘스트!B:B,표1[[#This Row],[명칭]])</f>
        <v>0</v>
      </c>
      <c r="N110" s="65">
        <f>COUNTIF([1]VillageDiscoveryGroup!$C:$C,표1[[#This Row],[명칭]])</f>
        <v>0</v>
      </c>
      <c r="O110" s="65">
        <f>SUM(표1[[#This Row],[해양탐색]:[마을탐험]])</f>
        <v>1</v>
      </c>
    </row>
    <row r="111" spans="2:15" ht="13.5" customHeight="1" x14ac:dyDescent="0.3">
      <c r="B111" s="9">
        <f>[1]Discovery!A117</f>
        <v>70401129</v>
      </c>
      <c r="C111" s="9" t="str">
        <f>[1]Discovery!B117</f>
        <v>자치통감</v>
      </c>
      <c r="D111" s="9" t="str">
        <f>[1]Discovery!E117</f>
        <v>유물</v>
      </c>
      <c r="E111" s="9" t="str">
        <f>[1]Discovery!C117</f>
        <v>역사유물</v>
      </c>
      <c r="F111" s="9" t="str">
        <f>[1]Discovery!G117</f>
        <v>A</v>
      </c>
      <c r="G111" s="9" t="str">
        <f>IFERROR(VLOOKUP(표1[[#This Row],[명칭]],'문화권 정리'!C:D,2,FALSE),"-")</f>
        <v>동아시아</v>
      </c>
      <c r="H111" s="38" t="str">
        <f>IFERROR(COUNTIF([2]OceanDoodad!$Y:$Y,표1[[#This Row],[명칭]]),"-")</f>
        <v>-</v>
      </c>
      <c r="I111" s="38">
        <f>IFERROR(COUNTIF([1]AdventureDiscoveryGroup!$D$8:$AW$92,표1[[#This Row],[명칭]]),"-")</f>
        <v>0</v>
      </c>
      <c r="J111" s="38">
        <f>IFERROR(COUNTIF([1]FishDiscoveryGroup!$A:$X,표1[[#This Row],[명칭]]),"-")</f>
        <v>0</v>
      </c>
      <c r="K111" s="38" t="str">
        <f>IFERROR(COUNTIF([2]Town!$B:$B,표1[[#This Row],[명칭]]),"-")</f>
        <v>-</v>
      </c>
      <c r="L111" s="38">
        <f>IFERROR(COUNTIF([1]Village!$BR:$BR,표1[[#This Row],[명칭]]),"-")</f>
        <v>0</v>
      </c>
      <c r="M111" s="38">
        <f>COUNTIF(퀘스트!B:B,표1[[#This Row],[명칭]])</f>
        <v>1</v>
      </c>
      <c r="N111" s="65">
        <f>COUNTIF([1]VillageDiscoveryGroup!$C:$C,표1[[#This Row],[명칭]])</f>
        <v>0</v>
      </c>
      <c r="O111" s="65">
        <f>SUM(표1[[#This Row],[해양탐색]:[마을탐험]])</f>
        <v>1</v>
      </c>
    </row>
    <row r="112" spans="2:15" ht="13.5" customHeight="1" x14ac:dyDescent="0.3">
      <c r="B112" s="9">
        <f>[1]Discovery!A118</f>
        <v>70401130</v>
      </c>
      <c r="C112" s="9" t="str">
        <f>[1]Discovery!B118</f>
        <v>작</v>
      </c>
      <c r="D112" s="9" t="str">
        <f>[1]Discovery!E118</f>
        <v>유물</v>
      </c>
      <c r="E112" s="9" t="str">
        <f>[1]Discovery!C118</f>
        <v>역사유물</v>
      </c>
      <c r="F112" s="9" t="str">
        <f>[1]Discovery!G118</f>
        <v>D</v>
      </c>
      <c r="G112" s="9" t="str">
        <f>IFERROR(VLOOKUP(표1[[#This Row],[명칭]],'문화권 정리'!C:D,2,FALSE),"-")</f>
        <v>동아시아</v>
      </c>
      <c r="H112" s="38" t="str">
        <f>IFERROR(COUNTIF([2]OceanDoodad!$Y:$Y,표1[[#This Row],[명칭]]),"-")</f>
        <v>-</v>
      </c>
      <c r="I112" s="38">
        <f>IFERROR(COUNTIF([1]AdventureDiscoveryGroup!$D$8:$AW$92,표1[[#This Row],[명칭]]),"-")</f>
        <v>1</v>
      </c>
      <c r="J112" s="38">
        <f>IFERROR(COUNTIF([1]FishDiscoveryGroup!$A:$X,표1[[#This Row],[명칭]]),"-")</f>
        <v>0</v>
      </c>
      <c r="K112" s="38" t="str">
        <f>IFERROR(COUNTIF([2]Town!$B:$B,표1[[#This Row],[명칭]]),"-")</f>
        <v>-</v>
      </c>
      <c r="L112" s="38">
        <f>IFERROR(COUNTIF([1]Village!$BR:$BR,표1[[#This Row],[명칭]]),"-")</f>
        <v>0</v>
      </c>
      <c r="M112" s="38">
        <f>COUNTIF(퀘스트!B:B,표1[[#This Row],[명칭]])</f>
        <v>0</v>
      </c>
      <c r="N112" s="65">
        <f>COUNTIF([1]VillageDiscoveryGroup!$C:$C,표1[[#This Row],[명칭]])</f>
        <v>0</v>
      </c>
      <c r="O112" s="65">
        <f>SUM(표1[[#This Row],[해양탐색]:[마을탐험]])</f>
        <v>1</v>
      </c>
    </row>
    <row r="113" spans="2:15" ht="13.5" customHeight="1" x14ac:dyDescent="0.3">
      <c r="B113" s="9">
        <f>[1]Discovery!A119</f>
        <v>70401132</v>
      </c>
      <c r="C113" s="9" t="str">
        <f>[1]Discovery!B119</f>
        <v>정도전의 사세구</v>
      </c>
      <c r="D113" s="9" t="str">
        <f>[1]Discovery!E119</f>
        <v>보물</v>
      </c>
      <c r="E113" s="9" t="str">
        <f>[1]Discovery!C119</f>
        <v>보물</v>
      </c>
      <c r="F113" s="9" t="str">
        <f>[1]Discovery!G119</f>
        <v>D</v>
      </c>
      <c r="G113" s="9" t="str">
        <f>IFERROR(VLOOKUP(표1[[#This Row],[명칭]],'문화권 정리'!C:D,2,FALSE),"-")</f>
        <v>동아시아</v>
      </c>
      <c r="H113" s="38" t="str">
        <f>IFERROR(COUNTIF([2]OceanDoodad!$Y:$Y,표1[[#This Row],[명칭]]),"-")</f>
        <v>-</v>
      </c>
      <c r="I113" s="38">
        <f>IFERROR(COUNTIF([1]AdventureDiscoveryGroup!$D$8:$AW$92,표1[[#This Row],[명칭]]),"-")</f>
        <v>0</v>
      </c>
      <c r="J113" s="38">
        <f>IFERROR(COUNTIF([1]FishDiscoveryGroup!$A:$X,표1[[#This Row],[명칭]]),"-")</f>
        <v>0</v>
      </c>
      <c r="K113" s="38" t="str">
        <f>IFERROR(COUNTIF([2]Town!$B:$B,표1[[#This Row],[명칭]]),"-")</f>
        <v>-</v>
      </c>
      <c r="L113" s="38">
        <f>IFERROR(COUNTIF([1]Village!$BR:$BR,표1[[#This Row],[명칭]]),"-")</f>
        <v>0</v>
      </c>
      <c r="M113" s="38">
        <f>COUNTIF(퀘스트!B:B,표1[[#This Row],[명칭]])</f>
        <v>0</v>
      </c>
      <c r="N113" s="65">
        <f>COUNTIF([1]VillageDiscoveryGroup!$C:$C,표1[[#This Row],[명칭]])</f>
        <v>0</v>
      </c>
      <c r="O113" s="65">
        <f>SUM(표1[[#This Row],[해양탐색]:[마을탐험]])</f>
        <v>0</v>
      </c>
    </row>
    <row r="114" spans="2:15" ht="13.5" customHeight="1" x14ac:dyDescent="0.3">
      <c r="B114" s="9">
        <f>[1]Discovery!A120</f>
        <v>70401133</v>
      </c>
      <c r="C114" s="9" t="str">
        <f>[1]Discovery!B120</f>
        <v>정화함대의 나침반</v>
      </c>
      <c r="D114" s="9" t="str">
        <f>[1]Discovery!E120</f>
        <v>보물</v>
      </c>
      <c r="E114" s="9" t="str">
        <f>[1]Discovery!C120</f>
        <v>보물</v>
      </c>
      <c r="F114" s="9" t="str">
        <f>[1]Discovery!G120</f>
        <v>S</v>
      </c>
      <c r="G114" s="9" t="str">
        <f>IFERROR(VLOOKUP(표1[[#This Row],[명칭]],'문화권 정리'!C:D,2,FALSE),"-")</f>
        <v>동아시아</v>
      </c>
      <c r="H114" s="38" t="str">
        <f>IFERROR(COUNTIF([2]OceanDoodad!$Y:$Y,표1[[#This Row],[명칭]]),"-")</f>
        <v>-</v>
      </c>
      <c r="I114" s="38">
        <f>IFERROR(COUNTIF([1]AdventureDiscoveryGroup!$D$8:$AW$92,표1[[#This Row],[명칭]]),"-")</f>
        <v>0</v>
      </c>
      <c r="J114" s="38">
        <f>IFERROR(COUNTIF([1]FishDiscoveryGroup!$A:$X,표1[[#This Row],[명칭]]),"-")</f>
        <v>0</v>
      </c>
      <c r="K114" s="38" t="str">
        <f>IFERROR(COUNTIF([2]Town!$B:$B,표1[[#This Row],[명칭]]),"-")</f>
        <v>-</v>
      </c>
      <c r="L114" s="38">
        <f>IFERROR(COUNTIF([1]Village!$BR:$BR,표1[[#This Row],[명칭]]),"-")</f>
        <v>0</v>
      </c>
      <c r="M114" s="38">
        <f>COUNTIF(퀘스트!B:B,표1[[#This Row],[명칭]])</f>
        <v>1</v>
      </c>
      <c r="N114" s="65">
        <f>COUNTIF([1]VillageDiscoveryGroup!$C:$C,표1[[#This Row],[명칭]])</f>
        <v>0</v>
      </c>
      <c r="O114" s="65">
        <f>SUM(표1[[#This Row],[해양탐색]:[마을탐험]])</f>
        <v>1</v>
      </c>
    </row>
    <row r="115" spans="2:15" ht="13.5" customHeight="1" x14ac:dyDescent="0.3">
      <c r="B115" s="9">
        <f>[1]Discovery!A121</f>
        <v>70401135</v>
      </c>
      <c r="C115" s="9" t="str">
        <f>[1]Discovery!B121</f>
        <v>제갈노</v>
      </c>
      <c r="D115" s="9" t="str">
        <f>[1]Discovery!E121</f>
        <v>유물</v>
      </c>
      <c r="E115" s="9" t="str">
        <f>[1]Discovery!C121</f>
        <v>역사유물</v>
      </c>
      <c r="F115" s="9" t="str">
        <f>[1]Discovery!G121</f>
        <v>A</v>
      </c>
      <c r="G115" s="9" t="str">
        <f>IFERROR(VLOOKUP(표1[[#This Row],[명칭]],'문화권 정리'!C:D,2,FALSE),"-")</f>
        <v>동아시아</v>
      </c>
      <c r="H115" s="38" t="str">
        <f>IFERROR(COUNTIF([2]OceanDoodad!$Y:$Y,표1[[#This Row],[명칭]]),"-")</f>
        <v>-</v>
      </c>
      <c r="I115" s="38">
        <f>IFERROR(COUNTIF([1]AdventureDiscoveryGroup!$D$8:$AW$92,표1[[#This Row],[명칭]]),"-")</f>
        <v>0</v>
      </c>
      <c r="J115" s="38">
        <f>IFERROR(COUNTIF([1]FishDiscoveryGroup!$A:$X,표1[[#This Row],[명칭]]),"-")</f>
        <v>0</v>
      </c>
      <c r="K115" s="38" t="str">
        <f>IFERROR(COUNTIF([2]Town!$B:$B,표1[[#This Row],[명칭]]),"-")</f>
        <v>-</v>
      </c>
      <c r="L115" s="38">
        <f>IFERROR(COUNTIF([1]Village!$BR:$BR,표1[[#This Row],[명칭]]),"-")</f>
        <v>0</v>
      </c>
      <c r="M115" s="38">
        <f>COUNTIF(퀘스트!B:B,표1[[#This Row],[명칭]])</f>
        <v>0</v>
      </c>
      <c r="N115" s="65">
        <f>COUNTIF([1]VillageDiscoveryGroup!$C:$C,표1[[#This Row],[명칭]])</f>
        <v>0</v>
      </c>
      <c r="O115" s="65">
        <f>SUM(표1[[#This Row],[해양탐색]:[마을탐험]])</f>
        <v>0</v>
      </c>
    </row>
    <row r="116" spans="2:15" ht="13.5" customHeight="1" x14ac:dyDescent="0.3">
      <c r="B116" s="9">
        <f>[1]Discovery!A122</f>
        <v>70401136</v>
      </c>
      <c r="C116" s="9" t="str">
        <f>[1]Discovery!B122</f>
        <v>제노비아 여왕의 작은 검</v>
      </c>
      <c r="D116" s="9" t="str">
        <f>[1]Discovery!E122</f>
        <v>보물</v>
      </c>
      <c r="E116" s="9" t="str">
        <f>[1]Discovery!C122</f>
        <v>보물</v>
      </c>
      <c r="F116" s="9" t="str">
        <f>[1]Discovery!G122</f>
        <v>B</v>
      </c>
      <c r="G116" s="9" t="str">
        <f>IFERROR(VLOOKUP(표1[[#This Row],[명칭]],'문화권 정리'!C:D,2,FALSE),"-")</f>
        <v>서남아시아</v>
      </c>
      <c r="H116" s="38" t="str">
        <f>IFERROR(COUNTIF([2]OceanDoodad!$Y:$Y,표1[[#This Row],[명칭]]),"-")</f>
        <v>-</v>
      </c>
      <c r="I116" s="38">
        <f>IFERROR(COUNTIF([1]AdventureDiscoveryGroup!$D$8:$AW$92,표1[[#This Row],[명칭]]),"-")</f>
        <v>0</v>
      </c>
      <c r="J116" s="38">
        <f>IFERROR(COUNTIF([1]FishDiscoveryGroup!$A:$X,표1[[#This Row],[명칭]]),"-")</f>
        <v>0</v>
      </c>
      <c r="K116" s="38" t="str">
        <f>IFERROR(COUNTIF([2]Town!$B:$B,표1[[#This Row],[명칭]]),"-")</f>
        <v>-</v>
      </c>
      <c r="L116" s="38">
        <f>IFERROR(COUNTIF([1]Village!$BR:$BR,표1[[#This Row],[명칭]]),"-")</f>
        <v>0</v>
      </c>
      <c r="M116" s="38">
        <f>COUNTIF(퀘스트!B:B,표1[[#This Row],[명칭]])</f>
        <v>0</v>
      </c>
      <c r="N116" s="65">
        <f>COUNTIF([1]VillageDiscoveryGroup!$C:$C,표1[[#This Row],[명칭]])</f>
        <v>0</v>
      </c>
      <c r="O116" s="65">
        <f>SUM(표1[[#This Row],[해양탐색]:[마을탐험]])</f>
        <v>0</v>
      </c>
    </row>
    <row r="117" spans="2:15" ht="13.5" customHeight="1" x14ac:dyDescent="0.3">
      <c r="B117" s="9" t="str">
        <f>[1]Discovery!A123</f>
        <v>#70401139</v>
      </c>
      <c r="C117" s="9" t="str">
        <f>[1]Discovery!B123</f>
        <v>좌진인의 머리뼈</v>
      </c>
      <c r="D117" s="9" t="str">
        <f>[1]Discovery!E123</f>
        <v>유물</v>
      </c>
      <c r="E117" s="9" t="str">
        <f>[1]Discovery!C123</f>
        <v>역사유물</v>
      </c>
      <c r="F117" s="9" t="str">
        <f>[1]Discovery!G123</f>
        <v>S</v>
      </c>
      <c r="G117" s="9" t="str">
        <f>IFERROR(VLOOKUP(표1[[#This Row],[명칭]],'문화권 정리'!C:D,2,FALSE),"-")</f>
        <v>동아시아</v>
      </c>
      <c r="H117" s="38" t="str">
        <f>IFERROR(COUNTIF([2]OceanDoodad!$Y:$Y,표1[[#This Row],[명칭]]),"-")</f>
        <v>-</v>
      </c>
      <c r="I117" s="38">
        <f>IFERROR(COUNTIF([1]AdventureDiscoveryGroup!$D$8:$AW$92,표1[[#This Row],[명칭]]),"-")</f>
        <v>0</v>
      </c>
      <c r="J117" s="38">
        <f>IFERROR(COUNTIF([1]FishDiscoveryGroup!$A:$X,표1[[#This Row],[명칭]]),"-")</f>
        <v>0</v>
      </c>
      <c r="K117" s="38" t="str">
        <f>IFERROR(COUNTIF([2]Town!$B:$B,표1[[#This Row],[명칭]]),"-")</f>
        <v>-</v>
      </c>
      <c r="L117" s="38">
        <f>IFERROR(COUNTIF([1]Village!$BR:$BR,표1[[#This Row],[명칭]]),"-")</f>
        <v>0</v>
      </c>
      <c r="M117" s="38">
        <f>COUNTIF(퀘스트!B:B,표1[[#This Row],[명칭]])</f>
        <v>0</v>
      </c>
      <c r="N117" s="65">
        <f>COUNTIF([1]VillageDiscoveryGroup!$C:$C,표1[[#This Row],[명칭]])</f>
        <v>0</v>
      </c>
      <c r="O117" s="65">
        <f>SUM(표1[[#This Row],[해양탐색]:[마을탐험]])</f>
        <v>0</v>
      </c>
    </row>
    <row r="118" spans="2:15" ht="13.5" customHeight="1" x14ac:dyDescent="0.3">
      <c r="B118" s="9">
        <f>[1]Discovery!A124</f>
        <v>70401140</v>
      </c>
      <c r="C118" s="9" t="str">
        <f>[1]Discovery!B124</f>
        <v>차스키의 어깨가방</v>
      </c>
      <c r="D118" s="9" t="str">
        <f>[1]Discovery!E124</f>
        <v>유물</v>
      </c>
      <c r="E118" s="9" t="str">
        <f>[1]Discovery!C124</f>
        <v>역사유물</v>
      </c>
      <c r="F118" s="9" t="str">
        <f>[1]Discovery!G124</f>
        <v>C</v>
      </c>
      <c r="G118" s="9" t="str">
        <f>IFERROR(VLOOKUP(표1[[#This Row],[명칭]],'문화권 정리'!C:D,2,FALSE),"-")</f>
        <v>남아메리카</v>
      </c>
      <c r="H118" s="38" t="str">
        <f>IFERROR(COUNTIF([2]OceanDoodad!$Y:$Y,표1[[#This Row],[명칭]]),"-")</f>
        <v>-</v>
      </c>
      <c r="I118" s="38">
        <f>IFERROR(COUNTIF([1]AdventureDiscoveryGroup!$D$8:$AW$92,표1[[#This Row],[명칭]]),"-")</f>
        <v>1</v>
      </c>
      <c r="J118" s="38">
        <f>IFERROR(COUNTIF([1]FishDiscoveryGroup!$A:$X,표1[[#This Row],[명칭]]),"-")</f>
        <v>0</v>
      </c>
      <c r="K118" s="38" t="str">
        <f>IFERROR(COUNTIF([2]Town!$B:$B,표1[[#This Row],[명칭]]),"-")</f>
        <v>-</v>
      </c>
      <c r="L118" s="38">
        <f>IFERROR(COUNTIF([1]Village!$BR:$BR,표1[[#This Row],[명칭]]),"-")</f>
        <v>0</v>
      </c>
      <c r="M118" s="38">
        <f>COUNTIF(퀘스트!B:B,표1[[#This Row],[명칭]])</f>
        <v>0</v>
      </c>
      <c r="N118" s="65">
        <f>COUNTIF([1]VillageDiscoveryGroup!$C:$C,표1[[#This Row],[명칭]])</f>
        <v>0</v>
      </c>
      <c r="O118" s="65">
        <f>SUM(표1[[#This Row],[해양탐색]:[마을탐험]])</f>
        <v>1</v>
      </c>
    </row>
    <row r="119" spans="2:15" ht="13.5" customHeight="1" x14ac:dyDescent="0.3">
      <c r="B119" s="9">
        <f>[1]Discovery!A125</f>
        <v>70401141</v>
      </c>
      <c r="C119" s="9" t="str">
        <f>[1]Discovery!B125</f>
        <v>찬드라굽타 왕의 검</v>
      </c>
      <c r="D119" s="9" t="str">
        <f>[1]Discovery!E125</f>
        <v>보물</v>
      </c>
      <c r="E119" s="9" t="str">
        <f>[1]Discovery!C125</f>
        <v>보물</v>
      </c>
      <c r="F119" s="9" t="str">
        <f>[1]Discovery!G125</f>
        <v>S</v>
      </c>
      <c r="G119" s="9" t="str">
        <f>IFERROR(VLOOKUP(표1[[#This Row],[명칭]],'문화권 정리'!C:D,2,FALSE),"-")</f>
        <v>남아시아</v>
      </c>
      <c r="H119" s="38" t="str">
        <f>IFERROR(COUNTIF([2]OceanDoodad!$Y:$Y,표1[[#This Row],[명칭]]),"-")</f>
        <v>-</v>
      </c>
      <c r="I119" s="38">
        <f>IFERROR(COUNTIF([1]AdventureDiscoveryGroup!$D$8:$AW$92,표1[[#This Row],[명칭]]),"-")</f>
        <v>0</v>
      </c>
      <c r="J119" s="38">
        <f>IFERROR(COUNTIF([1]FishDiscoveryGroup!$A:$X,표1[[#This Row],[명칭]]),"-")</f>
        <v>0</v>
      </c>
      <c r="K119" s="38" t="str">
        <f>IFERROR(COUNTIF([2]Town!$B:$B,표1[[#This Row],[명칭]]),"-")</f>
        <v>-</v>
      </c>
      <c r="L119" s="38">
        <f>IFERROR(COUNTIF([1]Village!$BR:$BR,표1[[#This Row],[명칭]]),"-")</f>
        <v>0</v>
      </c>
      <c r="M119" s="38">
        <f>COUNTIF(퀘스트!B:B,표1[[#This Row],[명칭]])</f>
        <v>1</v>
      </c>
      <c r="N119" s="65">
        <f>COUNTIF([1]VillageDiscoveryGroup!$C:$C,표1[[#This Row],[명칭]])</f>
        <v>0</v>
      </c>
      <c r="O119" s="65">
        <f>SUM(표1[[#This Row],[해양탐색]:[마을탐험]])</f>
        <v>1</v>
      </c>
    </row>
    <row r="120" spans="2:15" ht="13.5" customHeight="1" x14ac:dyDescent="0.3">
      <c r="B120" s="9">
        <f>[1]Discovery!A126</f>
        <v>70401143</v>
      </c>
      <c r="C120" s="9" t="str">
        <f>[1]Discovery!B126</f>
        <v>천마도장니</v>
      </c>
      <c r="D120" s="9" t="str">
        <f>[1]Discovery!E126</f>
        <v>유물</v>
      </c>
      <c r="E120" s="9" t="str">
        <f>[1]Discovery!C126</f>
        <v>역사유물</v>
      </c>
      <c r="F120" s="9" t="str">
        <f>[1]Discovery!G126</f>
        <v>C</v>
      </c>
      <c r="G120" s="9" t="str">
        <f>IFERROR(VLOOKUP(표1[[#This Row],[명칭]],'문화권 정리'!C:D,2,FALSE),"-")</f>
        <v>동아시아</v>
      </c>
      <c r="H120" s="38" t="str">
        <f>IFERROR(COUNTIF([2]OceanDoodad!$Y:$Y,표1[[#This Row],[명칭]]),"-")</f>
        <v>-</v>
      </c>
      <c r="I120" s="38">
        <f>IFERROR(COUNTIF([1]AdventureDiscoveryGroup!$D$8:$AW$92,표1[[#This Row],[명칭]]),"-")</f>
        <v>0</v>
      </c>
      <c r="J120" s="38">
        <f>IFERROR(COUNTIF([1]FishDiscoveryGroup!$A:$X,표1[[#This Row],[명칭]]),"-")</f>
        <v>0</v>
      </c>
      <c r="K120" s="38" t="str">
        <f>IFERROR(COUNTIF([2]Town!$B:$B,표1[[#This Row],[명칭]]),"-")</f>
        <v>-</v>
      </c>
      <c r="L120" s="38">
        <f>IFERROR(COUNTIF([1]Village!$BR:$BR,표1[[#This Row],[명칭]]),"-")</f>
        <v>0</v>
      </c>
      <c r="M120" s="38">
        <f>COUNTIF(퀘스트!B:B,표1[[#This Row],[명칭]])</f>
        <v>0</v>
      </c>
      <c r="N120" s="65">
        <f>COUNTIF([1]VillageDiscoveryGroup!$C:$C,표1[[#This Row],[명칭]])</f>
        <v>0</v>
      </c>
      <c r="O120" s="65">
        <f>SUM(표1[[#This Row],[해양탐색]:[마을탐험]])</f>
        <v>0</v>
      </c>
    </row>
    <row r="121" spans="2:15" ht="13.5" customHeight="1" x14ac:dyDescent="0.3">
      <c r="B121" s="9">
        <f>[1]Discovery!A127</f>
        <v>70401144</v>
      </c>
      <c r="C121" s="9" t="str">
        <f>[1]Discovery!B127</f>
        <v>카노푸스 단지</v>
      </c>
      <c r="D121" s="9" t="str">
        <f>[1]Discovery!E127</f>
        <v>유물</v>
      </c>
      <c r="E121" s="9" t="str">
        <f>[1]Discovery!C127</f>
        <v>역사유물</v>
      </c>
      <c r="F121" s="9" t="str">
        <f>[1]Discovery!G127</f>
        <v>D</v>
      </c>
      <c r="G121" s="9" t="str">
        <f>IFERROR(VLOOKUP(표1[[#This Row],[명칭]],'문화권 정리'!C:D,2,FALSE),"-")</f>
        <v>북아프리카</v>
      </c>
      <c r="H121" s="38" t="str">
        <f>IFERROR(COUNTIF([2]OceanDoodad!$Y:$Y,표1[[#This Row],[명칭]]),"-")</f>
        <v>-</v>
      </c>
      <c r="I121" s="38">
        <f>IFERROR(COUNTIF([1]AdventureDiscoveryGroup!$D$8:$AW$92,표1[[#This Row],[명칭]]),"-")</f>
        <v>1</v>
      </c>
      <c r="J121" s="38">
        <f>IFERROR(COUNTIF([1]FishDiscoveryGroup!$A:$X,표1[[#This Row],[명칭]]),"-")</f>
        <v>0</v>
      </c>
      <c r="K121" s="38" t="str">
        <f>IFERROR(COUNTIF([2]Town!$B:$B,표1[[#This Row],[명칭]]),"-")</f>
        <v>-</v>
      </c>
      <c r="L121" s="38">
        <f>IFERROR(COUNTIF([1]Village!$BR:$BR,표1[[#This Row],[명칭]]),"-")</f>
        <v>0</v>
      </c>
      <c r="M121" s="38">
        <f>COUNTIF(퀘스트!B:B,표1[[#This Row],[명칭]])</f>
        <v>0</v>
      </c>
      <c r="N121" s="65">
        <f>COUNTIF([1]VillageDiscoveryGroup!$C:$C,표1[[#This Row],[명칭]])</f>
        <v>0</v>
      </c>
      <c r="O121" s="65">
        <f>SUM(표1[[#This Row],[해양탐색]:[마을탐험]])</f>
        <v>1</v>
      </c>
    </row>
    <row r="122" spans="2:15" ht="13.5" customHeight="1" x14ac:dyDescent="0.3">
      <c r="B122" s="9">
        <f>[1]Discovery!A128</f>
        <v>70401145</v>
      </c>
      <c r="C122" s="9" t="str">
        <f>[1]Discovery!B128</f>
        <v>카라칼라 황제의 대리석상</v>
      </c>
      <c r="D122" s="9" t="str">
        <f>[1]Discovery!E128</f>
        <v>유물</v>
      </c>
      <c r="E122" s="9" t="str">
        <f>[1]Discovery!C128</f>
        <v>역사유물</v>
      </c>
      <c r="F122" s="9" t="str">
        <f>[1]Discovery!G128</f>
        <v>C</v>
      </c>
      <c r="G122" s="9" t="str">
        <f>IFERROR(VLOOKUP(표1[[#This Row],[명칭]],'문화권 정리'!C:D,2,FALSE),"-")</f>
        <v>지중해</v>
      </c>
      <c r="H122" s="38" t="str">
        <f>IFERROR(COUNTIF([2]OceanDoodad!$Y:$Y,표1[[#This Row],[명칭]]),"-")</f>
        <v>-</v>
      </c>
      <c r="I122" s="38">
        <f>IFERROR(COUNTIF([1]AdventureDiscoveryGroup!$D$8:$AW$92,표1[[#This Row],[명칭]]),"-")</f>
        <v>0</v>
      </c>
      <c r="J122" s="38">
        <f>IFERROR(COUNTIF([1]FishDiscoveryGroup!$A:$X,표1[[#This Row],[명칭]]),"-")</f>
        <v>0</v>
      </c>
      <c r="K122" s="38" t="str">
        <f>IFERROR(COUNTIF([2]Town!$B:$B,표1[[#This Row],[명칭]]),"-")</f>
        <v>-</v>
      </c>
      <c r="L122" s="38">
        <f>IFERROR(COUNTIF([1]Village!$BR:$BR,표1[[#This Row],[명칭]]),"-")</f>
        <v>0</v>
      </c>
      <c r="M122" s="38">
        <f>COUNTIF(퀘스트!B:B,표1[[#This Row],[명칭]])</f>
        <v>0</v>
      </c>
      <c r="N122" s="65">
        <f>COUNTIF([1]VillageDiscoveryGroup!$C:$C,표1[[#This Row],[명칭]])</f>
        <v>0</v>
      </c>
      <c r="O122" s="65">
        <f>SUM(표1[[#This Row],[해양탐색]:[마을탐험]])</f>
        <v>0</v>
      </c>
    </row>
    <row r="123" spans="2:15" ht="13.5" customHeight="1" x14ac:dyDescent="0.3">
      <c r="B123" s="9">
        <f>[1]Discovery!A129</f>
        <v>70401146</v>
      </c>
      <c r="C123" s="9" t="str">
        <f>[1]Discovery!B129</f>
        <v>카르투슈</v>
      </c>
      <c r="D123" s="9" t="str">
        <f>[1]Discovery!E129</f>
        <v>유물</v>
      </c>
      <c r="E123" s="9" t="str">
        <f>[1]Discovery!C129</f>
        <v>역사유물</v>
      </c>
      <c r="F123" s="9" t="str">
        <f>[1]Discovery!G129</f>
        <v>A</v>
      </c>
      <c r="G123" s="9" t="str">
        <f>IFERROR(VLOOKUP(표1[[#This Row],[명칭]],'문화권 정리'!C:D,2,FALSE),"-")</f>
        <v>북아프리카</v>
      </c>
      <c r="H123" s="38" t="str">
        <f>IFERROR(COUNTIF([2]OceanDoodad!$Y:$Y,표1[[#This Row],[명칭]]),"-")</f>
        <v>-</v>
      </c>
      <c r="I123" s="38">
        <f>IFERROR(COUNTIF([1]AdventureDiscoveryGroup!$D$8:$AW$92,표1[[#This Row],[명칭]]),"-")</f>
        <v>0</v>
      </c>
      <c r="J123" s="38">
        <f>IFERROR(COUNTIF([1]FishDiscoveryGroup!$A:$X,표1[[#This Row],[명칭]]),"-")</f>
        <v>0</v>
      </c>
      <c r="K123" s="38" t="str">
        <f>IFERROR(COUNTIF([2]Town!$B:$B,표1[[#This Row],[명칭]]),"-")</f>
        <v>-</v>
      </c>
      <c r="L123" s="38">
        <f>IFERROR(COUNTIF([1]Village!$BR:$BR,표1[[#This Row],[명칭]]),"-")</f>
        <v>0</v>
      </c>
      <c r="M123" s="38">
        <f>COUNTIF(퀘스트!B:B,표1[[#This Row],[명칭]])</f>
        <v>0</v>
      </c>
      <c r="N123" s="65">
        <f>COUNTIF([1]VillageDiscoveryGroup!$C:$C,표1[[#This Row],[명칭]])</f>
        <v>0</v>
      </c>
      <c r="O123" s="65">
        <f>SUM(표1[[#This Row],[해양탐색]:[마을탐험]])</f>
        <v>0</v>
      </c>
    </row>
    <row r="124" spans="2:15" ht="13.5" customHeight="1" x14ac:dyDescent="0.3">
      <c r="B124" s="9">
        <f>[1]Discovery!A130</f>
        <v>70401147</v>
      </c>
      <c r="C124" s="9" t="str">
        <f>[1]Discovery!B130</f>
        <v>카이사르의 갑옷</v>
      </c>
      <c r="D124" s="9" t="str">
        <f>[1]Discovery!E130</f>
        <v>보물</v>
      </c>
      <c r="E124" s="9" t="str">
        <f>[1]Discovery!C130</f>
        <v>보물</v>
      </c>
      <c r="F124" s="9" t="str">
        <f>[1]Discovery!G130</f>
        <v>A</v>
      </c>
      <c r="G124" s="9" t="str">
        <f>IFERROR(VLOOKUP(표1[[#This Row],[명칭]],'문화권 정리'!C:D,2,FALSE),"-")</f>
        <v>지중해</v>
      </c>
      <c r="H124" s="38" t="str">
        <f>IFERROR(COUNTIF([2]OceanDoodad!$Y:$Y,표1[[#This Row],[명칭]]),"-")</f>
        <v>-</v>
      </c>
      <c r="I124" s="38">
        <f>IFERROR(COUNTIF([1]AdventureDiscoveryGroup!$D$8:$AW$92,표1[[#This Row],[명칭]]),"-")</f>
        <v>0</v>
      </c>
      <c r="J124" s="38">
        <f>IFERROR(COUNTIF([1]FishDiscoveryGroup!$A:$X,표1[[#This Row],[명칭]]),"-")</f>
        <v>0</v>
      </c>
      <c r="K124" s="38" t="str">
        <f>IFERROR(COUNTIF([2]Town!$B:$B,표1[[#This Row],[명칭]]),"-")</f>
        <v>-</v>
      </c>
      <c r="L124" s="38">
        <f>IFERROR(COUNTIF([1]Village!$BR:$BR,표1[[#This Row],[명칭]]),"-")</f>
        <v>0</v>
      </c>
      <c r="M124" s="38">
        <f>COUNTIF(퀘스트!B:B,표1[[#This Row],[명칭]])</f>
        <v>0</v>
      </c>
      <c r="N124" s="65">
        <f>COUNTIF([1]VillageDiscoveryGroup!$C:$C,표1[[#This Row],[명칭]])</f>
        <v>0</v>
      </c>
      <c r="O124" s="65">
        <f>SUM(표1[[#This Row],[해양탐색]:[마을탐험]])</f>
        <v>0</v>
      </c>
    </row>
    <row r="125" spans="2:15" ht="13.5" customHeight="1" x14ac:dyDescent="0.3">
      <c r="B125" s="9">
        <f>[1]Discovery!A131</f>
        <v>70401149</v>
      </c>
      <c r="C125" s="9" t="str">
        <f>[1]Discovery!B131</f>
        <v>카이사리온 대리석상</v>
      </c>
      <c r="D125" s="9" t="str">
        <f>[1]Discovery!E131</f>
        <v>유물</v>
      </c>
      <c r="E125" s="9" t="str">
        <f>[1]Discovery!C131</f>
        <v>역사유물</v>
      </c>
      <c r="F125" s="9" t="str">
        <f>[1]Discovery!G131</f>
        <v>B</v>
      </c>
      <c r="G125" s="9" t="str">
        <f>IFERROR(VLOOKUP(표1[[#This Row],[명칭]],'문화권 정리'!C:D,2,FALSE),"-")</f>
        <v>지중해</v>
      </c>
      <c r="H125" s="38" t="str">
        <f>IFERROR(COUNTIF([2]OceanDoodad!$Y:$Y,표1[[#This Row],[명칭]]),"-")</f>
        <v>-</v>
      </c>
      <c r="I125" s="38">
        <f>IFERROR(COUNTIF([1]AdventureDiscoveryGroup!$D$8:$AW$92,표1[[#This Row],[명칭]]),"-")</f>
        <v>0</v>
      </c>
      <c r="J125" s="38">
        <f>IFERROR(COUNTIF([1]FishDiscoveryGroup!$A:$X,표1[[#This Row],[명칭]]),"-")</f>
        <v>0</v>
      </c>
      <c r="K125" s="38" t="str">
        <f>IFERROR(COUNTIF([2]Town!$B:$B,표1[[#This Row],[명칭]]),"-")</f>
        <v>-</v>
      </c>
      <c r="L125" s="38">
        <f>IFERROR(COUNTIF([1]Village!$BR:$BR,표1[[#This Row],[명칭]]),"-")</f>
        <v>0</v>
      </c>
      <c r="M125" s="38">
        <f>COUNTIF(퀘스트!B:B,표1[[#This Row],[명칭]])</f>
        <v>0</v>
      </c>
      <c r="N125" s="65">
        <f>COUNTIF([1]VillageDiscoveryGroup!$C:$C,표1[[#This Row],[명칭]])</f>
        <v>0</v>
      </c>
      <c r="O125" s="65">
        <f>SUM(표1[[#This Row],[해양탐색]:[마을탐험]])</f>
        <v>0</v>
      </c>
    </row>
    <row r="126" spans="2:15" ht="13.5" customHeight="1" x14ac:dyDescent="0.3">
      <c r="B126" s="9">
        <f>[1]Discovery!A132</f>
        <v>70401150</v>
      </c>
      <c r="C126" s="9" t="str">
        <f>[1]Discovery!B132</f>
        <v>칸슐왕의 팔찌</v>
      </c>
      <c r="D126" s="9" t="str">
        <f>[1]Discovery!E132</f>
        <v>보물</v>
      </c>
      <c r="E126" s="9" t="str">
        <f>[1]Discovery!C132</f>
        <v>보물</v>
      </c>
      <c r="F126" s="9" t="str">
        <f>[1]Discovery!G132</f>
        <v>A</v>
      </c>
      <c r="G126" s="9" t="str">
        <f>IFERROR(VLOOKUP(표1[[#This Row],[명칭]],'문화권 정리'!C:D,2,FALSE),"-")</f>
        <v>중앙아메리카</v>
      </c>
      <c r="H126" s="38" t="str">
        <f>IFERROR(COUNTIF([2]OceanDoodad!$Y:$Y,표1[[#This Row],[명칭]]),"-")</f>
        <v>-</v>
      </c>
      <c r="I126" s="38">
        <f>IFERROR(COUNTIF([1]AdventureDiscoveryGroup!$D$8:$AW$92,표1[[#This Row],[명칭]]),"-")</f>
        <v>0</v>
      </c>
      <c r="J126" s="38">
        <f>IFERROR(COUNTIF([1]FishDiscoveryGroup!$A:$X,표1[[#This Row],[명칭]]),"-")</f>
        <v>0</v>
      </c>
      <c r="K126" s="38" t="str">
        <f>IFERROR(COUNTIF([2]Town!$B:$B,표1[[#This Row],[명칭]]),"-")</f>
        <v>-</v>
      </c>
      <c r="L126" s="38">
        <f>IFERROR(COUNTIF([1]Village!$BR:$BR,표1[[#This Row],[명칭]]),"-")</f>
        <v>0</v>
      </c>
      <c r="M126" s="38">
        <f>COUNTIF(퀘스트!B:B,표1[[#This Row],[명칭]])</f>
        <v>0</v>
      </c>
      <c r="N126" s="65">
        <f>COUNTIF([1]VillageDiscoveryGroup!$C:$C,표1[[#This Row],[명칭]])</f>
        <v>0</v>
      </c>
      <c r="O126" s="65">
        <f>SUM(표1[[#This Row],[해양탐색]:[마을탐험]])</f>
        <v>0</v>
      </c>
    </row>
    <row r="127" spans="2:15" ht="13.5" customHeight="1" x14ac:dyDescent="0.3">
      <c r="B127" s="9">
        <f>[1]Discovery!A133</f>
        <v>70401151</v>
      </c>
      <c r="C127" s="9" t="str">
        <f>[1]Discovery!B133</f>
        <v>칼리굴라 황제의 흉상</v>
      </c>
      <c r="D127" s="9" t="str">
        <f>[1]Discovery!E133</f>
        <v>유물</v>
      </c>
      <c r="E127" s="9" t="str">
        <f>[1]Discovery!C133</f>
        <v>역사유물</v>
      </c>
      <c r="F127" s="9" t="str">
        <f>[1]Discovery!G133</f>
        <v>A</v>
      </c>
      <c r="G127" s="9" t="str">
        <f>IFERROR(VLOOKUP(표1[[#This Row],[명칭]],'문화권 정리'!C:D,2,FALSE),"-")</f>
        <v>지중해</v>
      </c>
      <c r="H127" s="38" t="str">
        <f>IFERROR(COUNTIF([2]OceanDoodad!$Y:$Y,표1[[#This Row],[명칭]]),"-")</f>
        <v>-</v>
      </c>
      <c r="I127" s="38">
        <f>IFERROR(COUNTIF([1]AdventureDiscoveryGroup!$D$8:$AW$92,표1[[#This Row],[명칭]]),"-")</f>
        <v>1</v>
      </c>
      <c r="J127" s="38">
        <f>IFERROR(COUNTIF([1]FishDiscoveryGroup!$A:$X,표1[[#This Row],[명칭]]),"-")</f>
        <v>0</v>
      </c>
      <c r="K127" s="38" t="str">
        <f>IFERROR(COUNTIF([2]Town!$B:$B,표1[[#This Row],[명칭]]),"-")</f>
        <v>-</v>
      </c>
      <c r="L127" s="38">
        <f>IFERROR(COUNTIF([1]Village!$BR:$BR,표1[[#This Row],[명칭]]),"-")</f>
        <v>0</v>
      </c>
      <c r="M127" s="38">
        <f>COUNTIF(퀘스트!B:B,표1[[#This Row],[명칭]])</f>
        <v>0</v>
      </c>
      <c r="N127" s="65">
        <f>COUNTIF([1]VillageDiscoveryGroup!$C:$C,표1[[#This Row],[명칭]])</f>
        <v>0</v>
      </c>
      <c r="O127" s="65">
        <f>SUM(표1[[#This Row],[해양탐색]:[마을탐험]])</f>
        <v>1</v>
      </c>
    </row>
    <row r="128" spans="2:15" ht="13.5" customHeight="1" x14ac:dyDescent="0.3">
      <c r="B128" s="9">
        <f>[1]Discovery!A134</f>
        <v>70401153</v>
      </c>
      <c r="C128" s="9" t="str">
        <f>[1]Discovery!B134</f>
        <v>코모두스 황제의 검</v>
      </c>
      <c r="D128" s="9" t="str">
        <f>[1]Discovery!E134</f>
        <v>보물</v>
      </c>
      <c r="E128" s="9" t="str">
        <f>[1]Discovery!C134</f>
        <v>보물</v>
      </c>
      <c r="F128" s="9" t="str">
        <f>[1]Discovery!G134</f>
        <v>B</v>
      </c>
      <c r="G128" s="9" t="str">
        <f>IFERROR(VLOOKUP(표1[[#This Row],[명칭]],'문화권 정리'!C:D,2,FALSE),"-")</f>
        <v>지중해</v>
      </c>
      <c r="H128" s="38" t="str">
        <f>IFERROR(COUNTIF([2]OceanDoodad!$Y:$Y,표1[[#This Row],[명칭]]),"-")</f>
        <v>-</v>
      </c>
      <c r="I128" s="38">
        <f>IFERROR(COUNTIF([1]AdventureDiscoveryGroup!$D$8:$AW$92,표1[[#This Row],[명칭]]),"-")</f>
        <v>0</v>
      </c>
      <c r="J128" s="38">
        <f>IFERROR(COUNTIF([1]FishDiscoveryGroup!$A:$X,표1[[#This Row],[명칭]]),"-")</f>
        <v>0</v>
      </c>
      <c r="K128" s="38" t="str">
        <f>IFERROR(COUNTIF([2]Town!$B:$B,표1[[#This Row],[명칭]]),"-")</f>
        <v>-</v>
      </c>
      <c r="L128" s="38">
        <f>IFERROR(COUNTIF([1]Village!$BR:$BR,표1[[#This Row],[명칭]]),"-")</f>
        <v>0</v>
      </c>
      <c r="M128" s="38">
        <f>COUNTIF(퀘스트!B:B,표1[[#This Row],[명칭]])</f>
        <v>0</v>
      </c>
      <c r="N128" s="65">
        <f>COUNTIF([1]VillageDiscoveryGroup!$C:$C,표1[[#This Row],[명칭]])</f>
        <v>0</v>
      </c>
      <c r="O128" s="65">
        <f>SUM(표1[[#This Row],[해양탐색]:[마을탐험]])</f>
        <v>0</v>
      </c>
    </row>
    <row r="129" spans="2:15" ht="13.5" customHeight="1" x14ac:dyDescent="0.3">
      <c r="B129" s="9">
        <f>[1]Discovery!A135</f>
        <v>70401154</v>
      </c>
      <c r="C129" s="9" t="str">
        <f>[1]Discovery!B135</f>
        <v>쿠빌라이칸의 안장</v>
      </c>
      <c r="D129" s="9" t="str">
        <f>[1]Discovery!E135</f>
        <v>보물</v>
      </c>
      <c r="E129" s="9" t="str">
        <f>[1]Discovery!C135</f>
        <v>보물</v>
      </c>
      <c r="F129" s="9" t="str">
        <f>[1]Discovery!G135</f>
        <v>B</v>
      </c>
      <c r="G129" s="9" t="str">
        <f>IFERROR(VLOOKUP(표1[[#This Row],[명칭]],'문화권 정리'!C:D,2,FALSE),"-")</f>
        <v>동아시아</v>
      </c>
      <c r="H129" s="38" t="str">
        <f>IFERROR(COUNTIF([2]OceanDoodad!$Y:$Y,표1[[#This Row],[명칭]]),"-")</f>
        <v>-</v>
      </c>
      <c r="I129" s="38">
        <f>IFERROR(COUNTIF([1]AdventureDiscoveryGroup!$D$8:$AW$92,표1[[#This Row],[명칭]]),"-")</f>
        <v>0</v>
      </c>
      <c r="J129" s="38">
        <f>IFERROR(COUNTIF([1]FishDiscoveryGroup!$A:$X,표1[[#This Row],[명칭]]),"-")</f>
        <v>0</v>
      </c>
      <c r="K129" s="38" t="str">
        <f>IFERROR(COUNTIF([2]Town!$B:$B,표1[[#This Row],[명칭]]),"-")</f>
        <v>-</v>
      </c>
      <c r="L129" s="38">
        <f>IFERROR(COUNTIF([1]Village!$BR:$BR,표1[[#This Row],[명칭]]),"-")</f>
        <v>0</v>
      </c>
      <c r="M129" s="38">
        <f>COUNTIF(퀘스트!B:B,표1[[#This Row],[명칭]])</f>
        <v>1</v>
      </c>
      <c r="N129" s="65">
        <f>COUNTIF([1]VillageDiscoveryGroup!$C:$C,표1[[#This Row],[명칭]])</f>
        <v>0</v>
      </c>
      <c r="O129" s="65">
        <f>SUM(표1[[#This Row],[해양탐색]:[마을탐험]])</f>
        <v>1</v>
      </c>
    </row>
    <row r="130" spans="2:15" ht="13.5" customHeight="1" x14ac:dyDescent="0.3">
      <c r="B130" s="9">
        <f>[1]Discovery!A136</f>
        <v>70401155</v>
      </c>
      <c r="C130" s="9" t="str">
        <f>[1]Discovery!B136</f>
        <v>쿠페의 목창</v>
      </c>
      <c r="D130" s="9" t="str">
        <f>[1]Discovery!E136</f>
        <v>보물</v>
      </c>
      <c r="E130" s="9" t="str">
        <f>[1]Discovery!C136</f>
        <v>보물</v>
      </c>
      <c r="F130" s="9" t="str">
        <f>[1]Discovery!G136</f>
        <v>S</v>
      </c>
      <c r="G130" s="9" t="str">
        <f>IFERROR(VLOOKUP(표1[[#This Row],[명칭]],'문화권 정리'!C:D,2,FALSE),"-")</f>
        <v>오세아니아</v>
      </c>
      <c r="H130" s="38" t="str">
        <f>IFERROR(COUNTIF([2]OceanDoodad!$Y:$Y,표1[[#This Row],[명칭]]),"-")</f>
        <v>-</v>
      </c>
      <c r="I130" s="38">
        <f>IFERROR(COUNTIF([1]AdventureDiscoveryGroup!$D$8:$AW$92,표1[[#This Row],[명칭]]),"-")</f>
        <v>0</v>
      </c>
      <c r="J130" s="38">
        <f>IFERROR(COUNTIF([1]FishDiscoveryGroup!$A:$X,표1[[#This Row],[명칭]]),"-")</f>
        <v>0</v>
      </c>
      <c r="K130" s="38" t="str">
        <f>IFERROR(COUNTIF([2]Town!$B:$B,표1[[#This Row],[명칭]]),"-")</f>
        <v>-</v>
      </c>
      <c r="L130" s="38">
        <f>IFERROR(COUNTIF([1]Village!$BR:$BR,표1[[#This Row],[명칭]]),"-")</f>
        <v>0</v>
      </c>
      <c r="M130" s="38">
        <f>COUNTIF(퀘스트!B:B,표1[[#This Row],[명칭]])</f>
        <v>0</v>
      </c>
      <c r="N130" s="65">
        <f>COUNTIF([1]VillageDiscoveryGroup!$C:$C,표1[[#This Row],[명칭]])</f>
        <v>0</v>
      </c>
      <c r="O130" s="65">
        <f>SUM(표1[[#This Row],[해양탐색]:[마을탐험]])</f>
        <v>0</v>
      </c>
    </row>
    <row r="131" spans="2:15" ht="13.5" customHeight="1" x14ac:dyDescent="0.3">
      <c r="B131" s="9">
        <f>[1]Discovery!A137</f>
        <v>70401156</v>
      </c>
      <c r="C131" s="9" t="str">
        <f>[1]Discovery!B137</f>
        <v>쿠푸왕의 상아상</v>
      </c>
      <c r="D131" s="9" t="str">
        <f>[1]Discovery!E137</f>
        <v>유물</v>
      </c>
      <c r="E131" s="9" t="str">
        <f>[1]Discovery!C137</f>
        <v>역사유물</v>
      </c>
      <c r="F131" s="9" t="str">
        <f>[1]Discovery!G137</f>
        <v>S</v>
      </c>
      <c r="G131" s="9" t="str">
        <f>IFERROR(VLOOKUP(표1[[#This Row],[명칭]],'문화권 정리'!C:D,2,FALSE),"-")</f>
        <v>북아프리카</v>
      </c>
      <c r="H131" s="38" t="str">
        <f>IFERROR(COUNTIF([2]OceanDoodad!$Y:$Y,표1[[#This Row],[명칭]]),"-")</f>
        <v>-</v>
      </c>
      <c r="I131" s="38">
        <f>IFERROR(COUNTIF([1]AdventureDiscoveryGroup!$D$8:$AW$92,표1[[#This Row],[명칭]]),"-")</f>
        <v>0</v>
      </c>
      <c r="J131" s="38">
        <f>IFERROR(COUNTIF([1]FishDiscoveryGroup!$A:$X,표1[[#This Row],[명칭]]),"-")</f>
        <v>0</v>
      </c>
      <c r="K131" s="38" t="str">
        <f>IFERROR(COUNTIF([2]Town!$B:$B,표1[[#This Row],[명칭]]),"-")</f>
        <v>-</v>
      </c>
      <c r="L131" s="38">
        <f>IFERROR(COUNTIF([1]Village!$BR:$BR,표1[[#This Row],[명칭]]),"-")</f>
        <v>0</v>
      </c>
      <c r="M131" s="38">
        <f>COUNTIF(퀘스트!B:B,표1[[#This Row],[명칭]])</f>
        <v>0</v>
      </c>
      <c r="N131" s="65">
        <f>COUNTIF([1]VillageDiscoveryGroup!$C:$C,표1[[#This Row],[명칭]])</f>
        <v>0</v>
      </c>
      <c r="O131" s="65">
        <f>SUM(표1[[#This Row],[해양탐색]:[마을탐험]])</f>
        <v>0</v>
      </c>
    </row>
    <row r="132" spans="2:15" ht="13.5" customHeight="1" x14ac:dyDescent="0.3">
      <c r="B132" s="9">
        <f>[1]Discovery!A138</f>
        <v>70401157</v>
      </c>
      <c r="C132" s="9" t="str">
        <f>[1]Discovery!B138</f>
        <v>쿠푸왕의 지팡이</v>
      </c>
      <c r="D132" s="9" t="str">
        <f>[1]Discovery!E138</f>
        <v>보물</v>
      </c>
      <c r="E132" s="9" t="str">
        <f>[1]Discovery!C138</f>
        <v>보물</v>
      </c>
      <c r="F132" s="9" t="str">
        <f>[1]Discovery!G138</f>
        <v>B</v>
      </c>
      <c r="G132" s="9" t="str">
        <f>IFERROR(VLOOKUP(표1[[#This Row],[명칭]],'문화권 정리'!C:D,2,FALSE),"-")</f>
        <v>북아프리카</v>
      </c>
      <c r="H132" s="38" t="str">
        <f>IFERROR(COUNTIF([2]OceanDoodad!$Y:$Y,표1[[#This Row],[명칭]]),"-")</f>
        <v>-</v>
      </c>
      <c r="I132" s="38">
        <f>IFERROR(COUNTIF([1]AdventureDiscoveryGroup!$D$8:$AW$92,표1[[#This Row],[명칭]]),"-")</f>
        <v>0</v>
      </c>
      <c r="J132" s="38">
        <f>IFERROR(COUNTIF([1]FishDiscoveryGroup!$A:$X,표1[[#This Row],[명칭]]),"-")</f>
        <v>0</v>
      </c>
      <c r="K132" s="38" t="str">
        <f>IFERROR(COUNTIF([2]Town!$B:$B,표1[[#This Row],[명칭]]),"-")</f>
        <v>-</v>
      </c>
      <c r="L132" s="38">
        <f>IFERROR(COUNTIF([1]Village!$BR:$BR,표1[[#This Row],[명칭]]),"-")</f>
        <v>0</v>
      </c>
      <c r="M132" s="38">
        <f>COUNTIF(퀘스트!B:B,표1[[#This Row],[명칭]])</f>
        <v>1</v>
      </c>
      <c r="N132" s="65">
        <f>COUNTIF([1]VillageDiscoveryGroup!$C:$C,표1[[#This Row],[명칭]])</f>
        <v>0</v>
      </c>
      <c r="O132" s="65">
        <f>SUM(표1[[#This Row],[해양탐색]:[마을탐험]])</f>
        <v>1</v>
      </c>
    </row>
    <row r="133" spans="2:15" ht="13.5" customHeight="1" x14ac:dyDescent="0.3">
      <c r="B133" s="9">
        <f>[1]Discovery!A139</f>
        <v>70401158</v>
      </c>
      <c r="C133" s="9" t="str">
        <f>[1]Discovery!B139</f>
        <v>크레타 문자 점토판</v>
      </c>
      <c r="D133" s="9" t="str">
        <f>[1]Discovery!E139</f>
        <v>유물</v>
      </c>
      <c r="E133" s="9" t="str">
        <f>[1]Discovery!C139</f>
        <v>역사유물</v>
      </c>
      <c r="F133" s="9" t="str">
        <f>[1]Discovery!G139</f>
        <v>S</v>
      </c>
      <c r="G133" s="9" t="str">
        <f>IFERROR(VLOOKUP(표1[[#This Row],[명칭]],'문화권 정리'!C:D,2,FALSE),"-")</f>
        <v>지중해</v>
      </c>
      <c r="H133" s="38" t="str">
        <f>IFERROR(COUNTIF([2]OceanDoodad!$Y:$Y,표1[[#This Row],[명칭]]),"-")</f>
        <v>-</v>
      </c>
      <c r="I133" s="38">
        <f>IFERROR(COUNTIF([1]AdventureDiscoveryGroup!$D$8:$AW$92,표1[[#This Row],[명칭]]),"-")</f>
        <v>0</v>
      </c>
      <c r="J133" s="38">
        <f>IFERROR(COUNTIF([1]FishDiscoveryGroup!$A:$X,표1[[#This Row],[명칭]]),"-")</f>
        <v>0</v>
      </c>
      <c r="K133" s="38" t="str">
        <f>IFERROR(COUNTIF([2]Town!$B:$B,표1[[#This Row],[명칭]]),"-")</f>
        <v>-</v>
      </c>
      <c r="L133" s="38">
        <f>IFERROR(COUNTIF([1]Village!$BR:$BR,표1[[#This Row],[명칭]]),"-")</f>
        <v>0</v>
      </c>
      <c r="M133" s="38">
        <f>COUNTIF(퀘스트!B:B,표1[[#This Row],[명칭]])</f>
        <v>0</v>
      </c>
      <c r="N133" s="65">
        <f>COUNTIF([1]VillageDiscoveryGroup!$C:$C,표1[[#This Row],[명칭]])</f>
        <v>0</v>
      </c>
      <c r="O133" s="65">
        <f>SUM(표1[[#This Row],[해양탐색]:[마을탐험]])</f>
        <v>0</v>
      </c>
    </row>
    <row r="134" spans="2:15" ht="13.5" customHeight="1" x14ac:dyDescent="0.3">
      <c r="B134" s="9">
        <f>[1]Discovery!A140</f>
        <v>70401159</v>
      </c>
      <c r="C134" s="9" t="str">
        <f>[1]Discovery!B140</f>
        <v>크로케아 모르스</v>
      </c>
      <c r="D134" s="9" t="str">
        <f>[1]Discovery!E140</f>
        <v>보물</v>
      </c>
      <c r="E134" s="9" t="str">
        <f>[1]Discovery!C140</f>
        <v>보물</v>
      </c>
      <c r="F134" s="9" t="str">
        <f>[1]Discovery!G140</f>
        <v>S</v>
      </c>
      <c r="G134" s="9" t="str">
        <f>IFERROR(VLOOKUP(표1[[#This Row],[명칭]],'문화권 정리'!C:D,2,FALSE),"-")</f>
        <v>지중해</v>
      </c>
      <c r="H134" s="38" t="str">
        <f>IFERROR(COUNTIF([2]OceanDoodad!$Y:$Y,표1[[#This Row],[명칭]]),"-")</f>
        <v>-</v>
      </c>
      <c r="I134" s="38">
        <f>IFERROR(COUNTIF([1]AdventureDiscoveryGroup!$D$8:$AW$92,표1[[#This Row],[명칭]]),"-")</f>
        <v>0</v>
      </c>
      <c r="J134" s="38">
        <f>IFERROR(COUNTIF([1]FishDiscoveryGroup!$A:$X,표1[[#This Row],[명칭]]),"-")</f>
        <v>0</v>
      </c>
      <c r="K134" s="38" t="str">
        <f>IFERROR(COUNTIF([2]Town!$B:$B,표1[[#This Row],[명칭]]),"-")</f>
        <v>-</v>
      </c>
      <c r="L134" s="38">
        <f>IFERROR(COUNTIF([1]Village!$BR:$BR,표1[[#This Row],[명칭]]),"-")</f>
        <v>0</v>
      </c>
      <c r="M134" s="38">
        <f>COUNTIF(퀘스트!B:B,표1[[#This Row],[명칭]])</f>
        <v>0</v>
      </c>
      <c r="N134" s="65">
        <f>COUNTIF([1]VillageDiscoveryGroup!$C:$C,표1[[#This Row],[명칭]])</f>
        <v>0</v>
      </c>
      <c r="O134" s="65">
        <f>SUM(표1[[#This Row],[해양탐색]:[마을탐험]])</f>
        <v>0</v>
      </c>
    </row>
    <row r="135" spans="2:15" ht="13.5" customHeight="1" x14ac:dyDescent="0.3">
      <c r="B135" s="9">
        <f>[1]Discovery!A141</f>
        <v>70401160</v>
      </c>
      <c r="C135" s="9" t="str">
        <f>[1]Discovery!B141</f>
        <v>크세르크세스 1세의 부조</v>
      </c>
      <c r="D135" s="9" t="str">
        <f>[1]Discovery!E141</f>
        <v>유물</v>
      </c>
      <c r="E135" s="9" t="str">
        <f>[1]Discovery!C141</f>
        <v>역사유물</v>
      </c>
      <c r="F135" s="9" t="str">
        <f>[1]Discovery!G141</f>
        <v>B</v>
      </c>
      <c r="G135" s="9" t="str">
        <f>IFERROR(VLOOKUP(표1[[#This Row],[명칭]],'문화권 정리'!C:D,2,FALSE),"-")</f>
        <v>서남아시아</v>
      </c>
      <c r="H135" s="38" t="str">
        <f>IFERROR(COUNTIF([2]OceanDoodad!$Y:$Y,표1[[#This Row],[명칭]]),"-")</f>
        <v>-</v>
      </c>
      <c r="I135" s="38">
        <f>IFERROR(COUNTIF([1]AdventureDiscoveryGroup!$D$8:$AW$92,표1[[#This Row],[명칭]]),"-")</f>
        <v>0</v>
      </c>
      <c r="J135" s="38">
        <f>IFERROR(COUNTIF([1]FishDiscoveryGroup!$A:$X,표1[[#This Row],[명칭]]),"-")</f>
        <v>0</v>
      </c>
      <c r="K135" s="38" t="str">
        <f>IFERROR(COUNTIF([2]Town!$B:$B,표1[[#This Row],[명칭]]),"-")</f>
        <v>-</v>
      </c>
      <c r="L135" s="38">
        <f>IFERROR(COUNTIF([1]Village!$BR:$BR,표1[[#This Row],[명칭]]),"-")</f>
        <v>0</v>
      </c>
      <c r="M135" s="38">
        <f>COUNTIF(퀘스트!B:B,표1[[#This Row],[명칭]])</f>
        <v>0</v>
      </c>
      <c r="N135" s="65">
        <f>COUNTIF([1]VillageDiscoveryGroup!$C:$C,표1[[#This Row],[명칭]])</f>
        <v>0</v>
      </c>
      <c r="O135" s="65">
        <f>SUM(표1[[#This Row],[해양탐색]:[마을탐험]])</f>
        <v>0</v>
      </c>
    </row>
    <row r="136" spans="2:15" ht="13.5" customHeight="1" x14ac:dyDescent="0.3">
      <c r="B136" s="9">
        <f>[1]Discovery!A142</f>
        <v>70401161</v>
      </c>
      <c r="C136" s="9" t="str">
        <f>[1]Discovery!B142</f>
        <v>클레오파트라상</v>
      </c>
      <c r="D136" s="9" t="str">
        <f>[1]Discovery!E142</f>
        <v>유물</v>
      </c>
      <c r="E136" s="9" t="str">
        <f>[1]Discovery!C142</f>
        <v>역사유물</v>
      </c>
      <c r="F136" s="9" t="str">
        <f>[1]Discovery!G142</f>
        <v>B</v>
      </c>
      <c r="G136" s="9" t="str">
        <f>IFERROR(VLOOKUP(표1[[#This Row],[명칭]],'문화권 정리'!C:D,2,FALSE),"-")</f>
        <v>북아프리카</v>
      </c>
      <c r="H136" s="38" t="str">
        <f>IFERROR(COUNTIF([2]OceanDoodad!$Y:$Y,표1[[#This Row],[명칭]]),"-")</f>
        <v>-</v>
      </c>
      <c r="I136" s="38">
        <f>IFERROR(COUNTIF([1]AdventureDiscoveryGroup!$D$8:$AW$92,표1[[#This Row],[명칭]]),"-")</f>
        <v>0</v>
      </c>
      <c r="J136" s="38">
        <f>IFERROR(COUNTIF([1]FishDiscoveryGroup!$A:$X,표1[[#This Row],[명칭]]),"-")</f>
        <v>0</v>
      </c>
      <c r="K136" s="38" t="str">
        <f>IFERROR(COUNTIF([2]Town!$B:$B,표1[[#This Row],[명칭]]),"-")</f>
        <v>-</v>
      </c>
      <c r="L136" s="38">
        <f>IFERROR(COUNTIF([1]Village!$BR:$BR,표1[[#This Row],[명칭]]),"-")</f>
        <v>0</v>
      </c>
      <c r="M136" s="38">
        <f>COUNTIF(퀘스트!B:B,표1[[#This Row],[명칭]])</f>
        <v>0</v>
      </c>
      <c r="N136" s="65">
        <f>COUNTIF([1]VillageDiscoveryGroup!$C:$C,표1[[#This Row],[명칭]])</f>
        <v>0</v>
      </c>
      <c r="O136" s="65">
        <f>SUM(표1[[#This Row],[해양탐색]:[마을탐험]])</f>
        <v>0</v>
      </c>
    </row>
    <row r="137" spans="2:15" ht="13.5" customHeight="1" x14ac:dyDescent="0.3">
      <c r="B137" s="9">
        <f>[1]Discovery!A143</f>
        <v>70401162</v>
      </c>
      <c r="C137" s="9" t="str">
        <f>[1]Discovery!B143</f>
        <v>클레오파트라의 가슴 장식</v>
      </c>
      <c r="D137" s="9" t="str">
        <f>[1]Discovery!E143</f>
        <v>보물</v>
      </c>
      <c r="E137" s="9" t="str">
        <f>[1]Discovery!C143</f>
        <v>보물</v>
      </c>
      <c r="F137" s="9" t="str">
        <f>[1]Discovery!G143</f>
        <v>A</v>
      </c>
      <c r="G137" s="9" t="str">
        <f>IFERROR(VLOOKUP(표1[[#This Row],[명칭]],'문화권 정리'!C:D,2,FALSE),"-")</f>
        <v>북아프리카</v>
      </c>
      <c r="H137" s="38" t="str">
        <f>IFERROR(COUNTIF([2]OceanDoodad!$Y:$Y,표1[[#This Row],[명칭]]),"-")</f>
        <v>-</v>
      </c>
      <c r="I137" s="38">
        <f>IFERROR(COUNTIF([1]AdventureDiscoveryGroup!$D$8:$AW$92,표1[[#This Row],[명칭]]),"-")</f>
        <v>0</v>
      </c>
      <c r="J137" s="38">
        <f>IFERROR(COUNTIF([1]FishDiscoveryGroup!$A:$X,표1[[#This Row],[명칭]]),"-")</f>
        <v>0</v>
      </c>
      <c r="K137" s="38" t="str">
        <f>IFERROR(COUNTIF([2]Town!$B:$B,표1[[#This Row],[명칭]]),"-")</f>
        <v>-</v>
      </c>
      <c r="L137" s="38">
        <f>IFERROR(COUNTIF([1]Village!$BR:$BR,표1[[#This Row],[명칭]]),"-")</f>
        <v>0</v>
      </c>
      <c r="M137" s="38">
        <f>COUNTIF(퀘스트!B:B,표1[[#This Row],[명칭]])</f>
        <v>0</v>
      </c>
      <c r="N137" s="65">
        <f>COUNTIF([1]VillageDiscoveryGroup!$C:$C,표1[[#This Row],[명칭]])</f>
        <v>0</v>
      </c>
      <c r="O137" s="65">
        <f>SUM(표1[[#This Row],[해양탐색]:[마을탐험]])</f>
        <v>0</v>
      </c>
    </row>
    <row r="138" spans="2:15" ht="13.5" customHeight="1" x14ac:dyDescent="0.3">
      <c r="B138" s="9">
        <f>[1]Discovery!A144</f>
        <v>70401164</v>
      </c>
      <c r="C138" s="9" t="str">
        <f>[1]Discovery!B144</f>
        <v>클로비스 찌르개</v>
      </c>
      <c r="D138" s="9" t="str">
        <f>[1]Discovery!E144</f>
        <v>유물</v>
      </c>
      <c r="E138" s="9" t="str">
        <f>[1]Discovery!C144</f>
        <v>역사유물</v>
      </c>
      <c r="F138" s="9" t="str">
        <f>[1]Discovery!G144</f>
        <v>D</v>
      </c>
      <c r="G138" s="9" t="str">
        <f>IFERROR(VLOOKUP(표1[[#This Row],[명칭]],'문화권 정리'!C:D,2,FALSE),"-")</f>
        <v>북아메리카</v>
      </c>
      <c r="H138" s="38" t="str">
        <f>IFERROR(COUNTIF([2]OceanDoodad!$Y:$Y,표1[[#This Row],[명칭]]),"-")</f>
        <v>-</v>
      </c>
      <c r="I138" s="38">
        <f>IFERROR(COUNTIF([1]AdventureDiscoveryGroup!$D$8:$AW$92,표1[[#This Row],[명칭]]),"-")</f>
        <v>1</v>
      </c>
      <c r="J138" s="38">
        <f>IFERROR(COUNTIF([1]FishDiscoveryGroup!$A:$X,표1[[#This Row],[명칭]]),"-")</f>
        <v>0</v>
      </c>
      <c r="K138" s="38" t="str">
        <f>IFERROR(COUNTIF([2]Town!$B:$B,표1[[#This Row],[명칭]]),"-")</f>
        <v>-</v>
      </c>
      <c r="L138" s="38">
        <f>IFERROR(COUNTIF([1]Village!$BR:$BR,표1[[#This Row],[명칭]]),"-")</f>
        <v>0</v>
      </c>
      <c r="M138" s="38">
        <f>COUNTIF(퀘스트!B:B,표1[[#This Row],[명칭]])</f>
        <v>0</v>
      </c>
      <c r="N138" s="65">
        <f>COUNTIF([1]VillageDiscoveryGroup!$C:$C,표1[[#This Row],[명칭]])</f>
        <v>0</v>
      </c>
      <c r="O138" s="65">
        <f>SUM(표1[[#This Row],[해양탐색]:[마을탐험]])</f>
        <v>1</v>
      </c>
    </row>
    <row r="139" spans="2:15" ht="13.5" customHeight="1" x14ac:dyDescent="0.3">
      <c r="B139" s="9">
        <f>[1]Discovery!A145</f>
        <v>70401166</v>
      </c>
      <c r="C139" s="9" t="str">
        <f>[1]Discovery!B145</f>
        <v>토크</v>
      </c>
      <c r="D139" s="9" t="str">
        <f>[1]Discovery!E145</f>
        <v>유물</v>
      </c>
      <c r="E139" s="9" t="str">
        <f>[1]Discovery!C145</f>
        <v>역사유물</v>
      </c>
      <c r="F139" s="9" t="str">
        <f>[1]Discovery!G145</f>
        <v>C</v>
      </c>
      <c r="G139" s="9" t="str">
        <f>IFERROR(VLOOKUP(표1[[#This Row],[명칭]],'문화권 정리'!C:D,2,FALSE),"-")</f>
        <v>지중해</v>
      </c>
      <c r="H139" s="38" t="str">
        <f>IFERROR(COUNTIF([2]OceanDoodad!$Y:$Y,표1[[#This Row],[명칭]]),"-")</f>
        <v>-</v>
      </c>
      <c r="I139" s="38">
        <f>IFERROR(COUNTIF([1]AdventureDiscoveryGroup!$D$8:$AW$92,표1[[#This Row],[명칭]]),"-")</f>
        <v>0</v>
      </c>
      <c r="J139" s="38">
        <f>IFERROR(COUNTIF([1]FishDiscoveryGroup!$A:$X,표1[[#This Row],[명칭]]),"-")</f>
        <v>0</v>
      </c>
      <c r="K139" s="38" t="str">
        <f>IFERROR(COUNTIF([2]Town!$B:$B,표1[[#This Row],[명칭]]),"-")</f>
        <v>-</v>
      </c>
      <c r="L139" s="38">
        <f>IFERROR(COUNTIF([1]Village!$BR:$BR,표1[[#This Row],[명칭]]),"-")</f>
        <v>0</v>
      </c>
      <c r="M139" s="38">
        <f>COUNTIF(퀘스트!B:B,표1[[#This Row],[명칭]])</f>
        <v>0</v>
      </c>
      <c r="N139" s="65">
        <f>COUNTIF([1]VillageDiscoveryGroup!$C:$C,표1[[#This Row],[명칭]])</f>
        <v>0</v>
      </c>
      <c r="O139" s="65">
        <f>SUM(표1[[#This Row],[해양탐색]:[마을탐험]])</f>
        <v>0</v>
      </c>
    </row>
    <row r="140" spans="2:15" ht="13.5" customHeight="1" x14ac:dyDescent="0.3">
      <c r="B140" s="9">
        <f>[1]Discovery!A146</f>
        <v>70401167</v>
      </c>
      <c r="C140" s="9" t="str">
        <f>[1]Discovery!B146</f>
        <v>토템 폴</v>
      </c>
      <c r="D140" s="9" t="str">
        <f>[1]Discovery!E146</f>
        <v>유물</v>
      </c>
      <c r="E140" s="9" t="str">
        <f>[1]Discovery!C146</f>
        <v>역사유물</v>
      </c>
      <c r="F140" s="9" t="str">
        <f>[1]Discovery!G146</f>
        <v>B</v>
      </c>
      <c r="G140" s="9" t="str">
        <f>IFERROR(VLOOKUP(표1[[#This Row],[명칭]],'문화권 정리'!C:D,2,FALSE),"-")</f>
        <v>북아메리카</v>
      </c>
      <c r="H140" s="38" t="str">
        <f>IFERROR(COUNTIF([2]OceanDoodad!$Y:$Y,표1[[#This Row],[명칭]]),"-")</f>
        <v>-</v>
      </c>
      <c r="I140" s="38">
        <f>IFERROR(COUNTIF([1]AdventureDiscoveryGroup!$D$8:$AW$92,표1[[#This Row],[명칭]]),"-")</f>
        <v>0</v>
      </c>
      <c r="J140" s="38">
        <f>IFERROR(COUNTIF([1]FishDiscoveryGroup!$A:$X,표1[[#This Row],[명칭]]),"-")</f>
        <v>0</v>
      </c>
      <c r="K140" s="38" t="str">
        <f>IFERROR(COUNTIF([2]Town!$B:$B,표1[[#This Row],[명칭]]),"-")</f>
        <v>-</v>
      </c>
      <c r="L140" s="38">
        <f>IFERROR(COUNTIF([1]Village!$BR:$BR,표1[[#This Row],[명칭]]),"-")</f>
        <v>0</v>
      </c>
      <c r="M140" s="38">
        <f>COUNTIF(퀘스트!B:B,표1[[#This Row],[명칭]])</f>
        <v>0</v>
      </c>
      <c r="N140" s="65">
        <f>COUNTIF([1]VillageDiscoveryGroup!$C:$C,표1[[#This Row],[명칭]])</f>
        <v>0</v>
      </c>
      <c r="O140" s="65">
        <f>SUM(표1[[#This Row],[해양탐색]:[마을탐험]])</f>
        <v>0</v>
      </c>
    </row>
    <row r="141" spans="2:15" ht="13.5" customHeight="1" x14ac:dyDescent="0.3">
      <c r="B141" s="9">
        <f>[1]Discovery!A147</f>
        <v>70401168</v>
      </c>
      <c r="C141" s="9" t="str">
        <f>[1]Discovery!B147</f>
        <v>톨텍의 전사상</v>
      </c>
      <c r="D141" s="9" t="str">
        <f>[1]Discovery!E147</f>
        <v>유물</v>
      </c>
      <c r="E141" s="9" t="str">
        <f>[1]Discovery!C147</f>
        <v>역사유물</v>
      </c>
      <c r="F141" s="9" t="str">
        <f>[1]Discovery!G147</f>
        <v>S</v>
      </c>
      <c r="G141" s="9" t="str">
        <f>IFERROR(VLOOKUP(표1[[#This Row],[명칭]],'문화권 정리'!C:D,2,FALSE),"-")</f>
        <v>중앙아메리카</v>
      </c>
      <c r="H141" s="38" t="str">
        <f>IFERROR(COUNTIF([2]OceanDoodad!$Y:$Y,표1[[#This Row],[명칭]]),"-")</f>
        <v>-</v>
      </c>
      <c r="I141" s="38">
        <f>IFERROR(COUNTIF([1]AdventureDiscoveryGroup!$D$8:$AW$92,표1[[#This Row],[명칭]]),"-")</f>
        <v>1</v>
      </c>
      <c r="J141" s="38">
        <f>IFERROR(COUNTIF([1]FishDiscoveryGroup!$A:$X,표1[[#This Row],[명칭]]),"-")</f>
        <v>0</v>
      </c>
      <c r="K141" s="38" t="str">
        <f>IFERROR(COUNTIF([2]Town!$B:$B,표1[[#This Row],[명칭]]),"-")</f>
        <v>-</v>
      </c>
      <c r="L141" s="38">
        <f>IFERROR(COUNTIF([1]Village!$BR:$BR,표1[[#This Row],[명칭]]),"-")</f>
        <v>0</v>
      </c>
      <c r="M141" s="38">
        <f>COUNTIF(퀘스트!B:B,표1[[#This Row],[명칭]])</f>
        <v>0</v>
      </c>
      <c r="N141" s="65">
        <f>COUNTIF([1]VillageDiscoveryGroup!$C:$C,표1[[#This Row],[명칭]])</f>
        <v>0</v>
      </c>
      <c r="O141" s="65">
        <f>SUM(표1[[#This Row],[해양탐색]:[마을탐험]])</f>
        <v>1</v>
      </c>
    </row>
    <row r="142" spans="2:15" ht="13.5" customHeight="1" x14ac:dyDescent="0.3">
      <c r="B142" s="9">
        <f>[1]Discovery!A148</f>
        <v>70401169</v>
      </c>
      <c r="C142" s="9" t="str">
        <f>[1]Discovery!B148</f>
        <v>투그릴베그의 왕관</v>
      </c>
      <c r="D142" s="9" t="str">
        <f>[1]Discovery!E148</f>
        <v>유물</v>
      </c>
      <c r="E142" s="9" t="str">
        <f>[1]Discovery!C148</f>
        <v>역사유물</v>
      </c>
      <c r="F142" s="9" t="str">
        <f>[1]Discovery!G148</f>
        <v>S</v>
      </c>
      <c r="G142" s="9" t="str">
        <f>IFERROR(VLOOKUP(표1[[#This Row],[명칭]],'문화권 정리'!C:D,2,FALSE),"-")</f>
        <v>서남아시아</v>
      </c>
      <c r="H142" s="38" t="str">
        <f>IFERROR(COUNTIF([2]OceanDoodad!$Y:$Y,표1[[#This Row],[명칭]]),"-")</f>
        <v>-</v>
      </c>
      <c r="I142" s="38">
        <f>IFERROR(COUNTIF([1]AdventureDiscoveryGroup!$D$8:$AW$92,표1[[#This Row],[명칭]]),"-")</f>
        <v>0</v>
      </c>
      <c r="J142" s="38">
        <f>IFERROR(COUNTIF([1]FishDiscoveryGroup!$A:$X,표1[[#This Row],[명칭]]),"-")</f>
        <v>0</v>
      </c>
      <c r="K142" s="38" t="str">
        <f>IFERROR(COUNTIF([2]Town!$B:$B,표1[[#This Row],[명칭]]),"-")</f>
        <v>-</v>
      </c>
      <c r="L142" s="38">
        <f>IFERROR(COUNTIF([1]Village!$BR:$BR,표1[[#This Row],[명칭]]),"-")</f>
        <v>0</v>
      </c>
      <c r="M142" s="38">
        <f>COUNTIF(퀘스트!B:B,표1[[#This Row],[명칭]])</f>
        <v>0</v>
      </c>
      <c r="N142" s="65">
        <f>COUNTIF([1]VillageDiscoveryGroup!$C:$C,표1[[#This Row],[명칭]])</f>
        <v>0</v>
      </c>
      <c r="O142" s="65">
        <f>SUM(표1[[#This Row],[해양탐색]:[마을탐험]])</f>
        <v>0</v>
      </c>
    </row>
    <row r="143" spans="2:15" ht="13.5" customHeight="1" x14ac:dyDescent="0.3">
      <c r="B143" s="9">
        <f>[1]Discovery!A149</f>
        <v>70401170</v>
      </c>
      <c r="C143" s="9" t="str">
        <f>[1]Discovery!B149</f>
        <v>투탕카멘왕의 황금마스크</v>
      </c>
      <c r="D143" s="9" t="str">
        <f>[1]Discovery!E149</f>
        <v>보물</v>
      </c>
      <c r="E143" s="9" t="str">
        <f>[1]Discovery!C149</f>
        <v>보물</v>
      </c>
      <c r="F143" s="9" t="str">
        <f>[1]Discovery!G149</f>
        <v>B</v>
      </c>
      <c r="G143" s="9" t="str">
        <f>IFERROR(VLOOKUP(표1[[#This Row],[명칭]],'문화권 정리'!C:D,2,FALSE),"-")</f>
        <v>북아프리카</v>
      </c>
      <c r="H143" s="38" t="str">
        <f>IFERROR(COUNTIF([2]OceanDoodad!$Y:$Y,표1[[#This Row],[명칭]]),"-")</f>
        <v>-</v>
      </c>
      <c r="I143" s="38">
        <f>IFERROR(COUNTIF([1]AdventureDiscoveryGroup!$D$8:$AW$92,표1[[#This Row],[명칭]]),"-")</f>
        <v>0</v>
      </c>
      <c r="J143" s="38">
        <f>IFERROR(COUNTIF([1]FishDiscoveryGroup!$A:$X,표1[[#This Row],[명칭]]),"-")</f>
        <v>0</v>
      </c>
      <c r="K143" s="38" t="str">
        <f>IFERROR(COUNTIF([2]Town!$B:$B,표1[[#This Row],[명칭]]),"-")</f>
        <v>-</v>
      </c>
      <c r="L143" s="38">
        <f>IFERROR(COUNTIF([1]Village!$BR:$BR,표1[[#This Row],[명칭]]),"-")</f>
        <v>0</v>
      </c>
      <c r="M143" s="38">
        <f>COUNTIF(퀘스트!B:B,표1[[#This Row],[명칭]])</f>
        <v>1</v>
      </c>
      <c r="N143" s="65">
        <f>COUNTIF([1]VillageDiscoveryGroup!$C:$C,표1[[#This Row],[명칭]])</f>
        <v>0</v>
      </c>
      <c r="O143" s="65">
        <f>SUM(표1[[#This Row],[해양탐색]:[마을탐험]])</f>
        <v>1</v>
      </c>
    </row>
    <row r="144" spans="2:15" ht="13.5" customHeight="1" x14ac:dyDescent="0.3">
      <c r="B144" s="9">
        <f>[1]Discovery!A150</f>
        <v>70401171</v>
      </c>
      <c r="C144" s="9" t="str">
        <f>[1]Discovery!B150</f>
        <v>투트모세 3세의 연대기</v>
      </c>
      <c r="D144" s="9" t="str">
        <f>[1]Discovery!E150</f>
        <v>유물</v>
      </c>
      <c r="E144" s="9" t="str">
        <f>[1]Discovery!C150</f>
        <v>역사유물</v>
      </c>
      <c r="F144" s="9" t="str">
        <f>[1]Discovery!G150</f>
        <v>A</v>
      </c>
      <c r="G144" s="9" t="str">
        <f>IFERROR(VLOOKUP(표1[[#This Row],[명칭]],'문화권 정리'!C:D,2,FALSE),"-")</f>
        <v>북아프리카</v>
      </c>
      <c r="H144" s="38" t="str">
        <f>IFERROR(COUNTIF([2]OceanDoodad!$Y:$Y,표1[[#This Row],[명칭]]),"-")</f>
        <v>-</v>
      </c>
      <c r="I144" s="38">
        <f>IFERROR(COUNTIF([1]AdventureDiscoveryGroup!$D$8:$AW$92,표1[[#This Row],[명칭]]),"-")</f>
        <v>0</v>
      </c>
      <c r="J144" s="38">
        <f>IFERROR(COUNTIF([1]FishDiscoveryGroup!$A:$X,표1[[#This Row],[명칭]]),"-")</f>
        <v>0</v>
      </c>
      <c r="K144" s="38" t="str">
        <f>IFERROR(COUNTIF([2]Town!$B:$B,표1[[#This Row],[명칭]]),"-")</f>
        <v>-</v>
      </c>
      <c r="L144" s="38">
        <f>IFERROR(COUNTIF([1]Village!$BR:$BR,표1[[#This Row],[명칭]]),"-")</f>
        <v>0</v>
      </c>
      <c r="M144" s="38">
        <f>COUNTIF(퀘스트!B:B,표1[[#This Row],[명칭]])</f>
        <v>0</v>
      </c>
      <c r="N144" s="65">
        <f>COUNTIF([1]VillageDiscoveryGroup!$C:$C,표1[[#This Row],[명칭]])</f>
        <v>0</v>
      </c>
      <c r="O144" s="65">
        <f>SUM(표1[[#This Row],[해양탐색]:[마을탐험]])</f>
        <v>0</v>
      </c>
    </row>
    <row r="145" spans="2:15" ht="13.5" customHeight="1" x14ac:dyDescent="0.3">
      <c r="B145" s="9">
        <f>[1]Discovery!A151</f>
        <v>70401172</v>
      </c>
      <c r="C145" s="9" t="str">
        <f>[1]Discovery!B151</f>
        <v>트라야누스 황제의 부조</v>
      </c>
      <c r="D145" s="9" t="str">
        <f>[1]Discovery!E151</f>
        <v>유물</v>
      </c>
      <c r="E145" s="9" t="str">
        <f>[1]Discovery!C151</f>
        <v>역사유물</v>
      </c>
      <c r="F145" s="9" t="str">
        <f>[1]Discovery!G151</f>
        <v>A</v>
      </c>
      <c r="G145" s="9" t="str">
        <f>IFERROR(VLOOKUP(표1[[#This Row],[명칭]],'문화권 정리'!C:D,2,FALSE),"-")</f>
        <v>지중해</v>
      </c>
      <c r="H145" s="38" t="str">
        <f>IFERROR(COUNTIF([2]OceanDoodad!$Y:$Y,표1[[#This Row],[명칭]]),"-")</f>
        <v>-</v>
      </c>
      <c r="I145" s="38">
        <f>IFERROR(COUNTIF([1]AdventureDiscoveryGroup!$D$8:$AW$92,표1[[#This Row],[명칭]]),"-")</f>
        <v>0</v>
      </c>
      <c r="J145" s="38">
        <f>IFERROR(COUNTIF([1]FishDiscoveryGroup!$A:$X,표1[[#This Row],[명칭]]),"-")</f>
        <v>0</v>
      </c>
      <c r="K145" s="38" t="str">
        <f>IFERROR(COUNTIF([2]Town!$B:$B,표1[[#This Row],[명칭]]),"-")</f>
        <v>-</v>
      </c>
      <c r="L145" s="38">
        <f>IFERROR(COUNTIF([1]Village!$BR:$BR,표1[[#This Row],[명칭]]),"-")</f>
        <v>0</v>
      </c>
      <c r="M145" s="38">
        <f>COUNTIF(퀘스트!B:B,표1[[#This Row],[명칭]])</f>
        <v>0</v>
      </c>
      <c r="N145" s="65">
        <f>COUNTIF([1]VillageDiscoveryGroup!$C:$C,표1[[#This Row],[명칭]])</f>
        <v>0</v>
      </c>
      <c r="O145" s="65">
        <f>SUM(표1[[#This Row],[해양탐색]:[마을탐험]])</f>
        <v>0</v>
      </c>
    </row>
    <row r="146" spans="2:15" ht="13.5" customHeight="1" x14ac:dyDescent="0.3">
      <c r="B146" s="9">
        <f>[1]Discovery!A152</f>
        <v>70401173</v>
      </c>
      <c r="C146" s="9" t="str">
        <f>[1]Discovery!B152</f>
        <v>파스파 문자의 석판</v>
      </c>
      <c r="D146" s="9" t="str">
        <f>[1]Discovery!E152</f>
        <v>유물</v>
      </c>
      <c r="E146" s="9" t="str">
        <f>[1]Discovery!C152</f>
        <v>역사유물</v>
      </c>
      <c r="F146" s="9" t="str">
        <f>[1]Discovery!G152</f>
        <v>B</v>
      </c>
      <c r="G146" s="9" t="str">
        <f>IFERROR(VLOOKUP(표1[[#This Row],[명칭]],'문화권 정리'!C:D,2,FALSE),"-")</f>
        <v>동아시아</v>
      </c>
      <c r="H146" s="38" t="str">
        <f>IFERROR(COUNTIF([2]OceanDoodad!$Y:$Y,표1[[#This Row],[명칭]]),"-")</f>
        <v>-</v>
      </c>
      <c r="I146" s="38">
        <f>IFERROR(COUNTIF([1]AdventureDiscoveryGroup!$D$8:$AW$92,표1[[#This Row],[명칭]]),"-")</f>
        <v>0</v>
      </c>
      <c r="J146" s="38">
        <f>IFERROR(COUNTIF([1]FishDiscoveryGroup!$A:$X,표1[[#This Row],[명칭]]),"-")</f>
        <v>0</v>
      </c>
      <c r="K146" s="38" t="str">
        <f>IFERROR(COUNTIF([2]Town!$B:$B,표1[[#This Row],[명칭]]),"-")</f>
        <v>-</v>
      </c>
      <c r="L146" s="38">
        <f>IFERROR(COUNTIF([1]Village!$BR:$BR,표1[[#This Row],[명칭]]),"-")</f>
        <v>0</v>
      </c>
      <c r="M146" s="38">
        <f>COUNTIF(퀘스트!B:B,표1[[#This Row],[명칭]])</f>
        <v>0</v>
      </c>
      <c r="N146" s="65">
        <f>COUNTIF([1]VillageDiscoveryGroup!$C:$C,표1[[#This Row],[명칭]])</f>
        <v>0</v>
      </c>
      <c r="O146" s="65">
        <f>SUM(표1[[#This Row],[해양탐색]:[마을탐험]])</f>
        <v>0</v>
      </c>
    </row>
    <row r="147" spans="2:15" ht="13.5" customHeight="1" x14ac:dyDescent="0.3">
      <c r="B147" s="9" t="str">
        <f>[1]Discovery!A153</f>
        <v>#70401174</v>
      </c>
      <c r="C147" s="9" t="str">
        <f>[1]Discovery!B153</f>
        <v>파칼 왕의 방패</v>
      </c>
      <c r="D147" s="9" t="str">
        <f>[1]Discovery!E153</f>
        <v>보물</v>
      </c>
      <c r="E147" s="9" t="str">
        <f>[1]Discovery!C153</f>
        <v>보물</v>
      </c>
      <c r="F147" s="9" t="str">
        <f>[1]Discovery!G153</f>
        <v>B</v>
      </c>
      <c r="G147" s="9" t="str">
        <f>IFERROR(VLOOKUP(표1[[#This Row],[명칭]],'문화권 정리'!C:D,2,FALSE),"-")</f>
        <v>중앙아메리카</v>
      </c>
      <c r="H147" s="38" t="str">
        <f>IFERROR(COUNTIF([2]OceanDoodad!$Y:$Y,표1[[#This Row],[명칭]]),"-")</f>
        <v>-</v>
      </c>
      <c r="I147" s="38">
        <f>IFERROR(COUNTIF([1]AdventureDiscoveryGroup!$D$8:$AW$92,표1[[#This Row],[명칭]]),"-")</f>
        <v>0</v>
      </c>
      <c r="J147" s="38">
        <f>IFERROR(COUNTIF([1]FishDiscoveryGroup!$A:$X,표1[[#This Row],[명칭]]),"-")</f>
        <v>0</v>
      </c>
      <c r="K147" s="38" t="str">
        <f>IFERROR(COUNTIF([2]Town!$B:$B,표1[[#This Row],[명칭]]),"-")</f>
        <v>-</v>
      </c>
      <c r="L147" s="38">
        <f>IFERROR(COUNTIF([1]Village!$BR:$BR,표1[[#This Row],[명칭]]),"-")</f>
        <v>0</v>
      </c>
      <c r="M147" s="38">
        <f>COUNTIF(퀘스트!B:B,표1[[#This Row],[명칭]])</f>
        <v>0</v>
      </c>
      <c r="N147" s="65">
        <f>COUNTIF([1]VillageDiscoveryGroup!$C:$C,표1[[#This Row],[명칭]])</f>
        <v>0</v>
      </c>
      <c r="O147" s="65">
        <f>SUM(표1[[#This Row],[해양탐색]:[마을탐험]])</f>
        <v>0</v>
      </c>
    </row>
    <row r="148" spans="2:15" ht="13.5" customHeight="1" x14ac:dyDescent="0.3">
      <c r="B148" s="9">
        <f>[1]Discovery!A154</f>
        <v>70401175</v>
      </c>
      <c r="C148" s="9" t="str">
        <f>[1]Discovery!B154</f>
        <v>파칼 왕의 부조</v>
      </c>
      <c r="D148" s="9" t="str">
        <f>[1]Discovery!E154</f>
        <v>유물</v>
      </c>
      <c r="E148" s="9" t="str">
        <f>[1]Discovery!C154</f>
        <v>역사유물</v>
      </c>
      <c r="F148" s="9" t="str">
        <f>[1]Discovery!G154</f>
        <v>A</v>
      </c>
      <c r="G148" s="9" t="str">
        <f>IFERROR(VLOOKUP(표1[[#This Row],[명칭]],'문화권 정리'!C:D,2,FALSE),"-")</f>
        <v>중앙아메리카</v>
      </c>
      <c r="H148" s="38" t="str">
        <f>IFERROR(COUNTIF([2]OceanDoodad!$Y:$Y,표1[[#This Row],[명칭]]),"-")</f>
        <v>-</v>
      </c>
      <c r="I148" s="38">
        <f>IFERROR(COUNTIF([1]AdventureDiscoveryGroup!$D$8:$AW$92,표1[[#This Row],[명칭]]),"-")</f>
        <v>1</v>
      </c>
      <c r="J148" s="38">
        <f>IFERROR(COUNTIF([1]FishDiscoveryGroup!$A:$X,표1[[#This Row],[명칭]]),"-")</f>
        <v>0</v>
      </c>
      <c r="K148" s="38" t="str">
        <f>IFERROR(COUNTIF([2]Town!$B:$B,표1[[#This Row],[명칭]]),"-")</f>
        <v>-</v>
      </c>
      <c r="L148" s="38">
        <f>IFERROR(COUNTIF([1]Village!$BR:$BR,표1[[#This Row],[명칭]]),"-")</f>
        <v>0</v>
      </c>
      <c r="M148" s="38">
        <f>COUNTIF(퀘스트!B:B,표1[[#This Row],[명칭]])</f>
        <v>0</v>
      </c>
      <c r="N148" s="65">
        <f>COUNTIF([1]VillageDiscoveryGroup!$C:$C,표1[[#This Row],[명칭]])</f>
        <v>0</v>
      </c>
      <c r="O148" s="65">
        <f>SUM(표1[[#This Row],[해양탐색]:[마을탐험]])</f>
        <v>1</v>
      </c>
    </row>
    <row r="149" spans="2:15" ht="13.5" customHeight="1" x14ac:dyDescent="0.3">
      <c r="B149" s="9">
        <f>[1]Discovery!A155</f>
        <v>70401177</v>
      </c>
      <c r="C149" s="9" t="str">
        <f>[1]Discovery!B155</f>
        <v>팔렌케의 석관</v>
      </c>
      <c r="D149" s="9" t="str">
        <f>[1]Discovery!E155</f>
        <v>유물</v>
      </c>
      <c r="E149" s="9" t="str">
        <f>[1]Discovery!C155</f>
        <v>역사유물</v>
      </c>
      <c r="F149" s="9" t="str">
        <f>[1]Discovery!G155</f>
        <v>A</v>
      </c>
      <c r="G149" s="9" t="str">
        <f>IFERROR(VLOOKUP(표1[[#This Row],[명칭]],'문화권 정리'!C:D,2,FALSE),"-")</f>
        <v>중앙아메리카</v>
      </c>
      <c r="H149" s="38" t="str">
        <f>IFERROR(COUNTIF([2]OceanDoodad!$Y:$Y,표1[[#This Row],[명칭]]),"-")</f>
        <v>-</v>
      </c>
      <c r="I149" s="38">
        <f>IFERROR(COUNTIF([1]AdventureDiscoveryGroup!$D$8:$AW$92,표1[[#This Row],[명칭]]),"-")</f>
        <v>1</v>
      </c>
      <c r="J149" s="38">
        <f>IFERROR(COUNTIF([1]FishDiscoveryGroup!$A:$X,표1[[#This Row],[명칭]]),"-")</f>
        <v>0</v>
      </c>
      <c r="K149" s="38" t="str">
        <f>IFERROR(COUNTIF([2]Town!$B:$B,표1[[#This Row],[명칭]]),"-")</f>
        <v>-</v>
      </c>
      <c r="L149" s="38">
        <f>IFERROR(COUNTIF([1]Village!$BR:$BR,표1[[#This Row],[명칭]]),"-")</f>
        <v>0</v>
      </c>
      <c r="M149" s="38">
        <f>COUNTIF(퀘스트!B:B,표1[[#This Row],[명칭]])</f>
        <v>0</v>
      </c>
      <c r="N149" s="65">
        <f>COUNTIF([1]VillageDiscoveryGroup!$C:$C,표1[[#This Row],[명칭]])</f>
        <v>0</v>
      </c>
      <c r="O149" s="65">
        <f>SUM(표1[[#This Row],[해양탐색]:[마을탐험]])</f>
        <v>1</v>
      </c>
    </row>
    <row r="150" spans="2:15" ht="13.5" customHeight="1" x14ac:dyDescent="0.3">
      <c r="B150" s="9">
        <f>[1]Discovery!A156</f>
        <v>70401180</v>
      </c>
      <c r="C150" s="9" t="str">
        <f>[1]Discovery!B156</f>
        <v>프톨레마이오스 1세의 왕홀</v>
      </c>
      <c r="D150" s="9" t="str">
        <f>[1]Discovery!E156</f>
        <v>보물</v>
      </c>
      <c r="E150" s="9" t="str">
        <f>[1]Discovery!C156</f>
        <v>보물</v>
      </c>
      <c r="F150" s="9" t="str">
        <f>[1]Discovery!G156</f>
        <v>B</v>
      </c>
      <c r="G150" s="9" t="str">
        <f>IFERROR(VLOOKUP(표1[[#This Row],[명칭]],'문화권 정리'!C:D,2,FALSE),"-")</f>
        <v>북아프리카</v>
      </c>
      <c r="H150" s="38" t="str">
        <f>IFERROR(COUNTIF([2]OceanDoodad!$Y:$Y,표1[[#This Row],[명칭]]),"-")</f>
        <v>-</v>
      </c>
      <c r="I150" s="38">
        <f>IFERROR(COUNTIF([1]AdventureDiscoveryGroup!$D$8:$AW$92,표1[[#This Row],[명칭]]),"-")</f>
        <v>0</v>
      </c>
      <c r="J150" s="38">
        <f>IFERROR(COUNTIF([1]FishDiscoveryGroup!$A:$X,표1[[#This Row],[명칭]]),"-")</f>
        <v>0</v>
      </c>
      <c r="K150" s="38" t="str">
        <f>IFERROR(COUNTIF([2]Town!$B:$B,표1[[#This Row],[명칭]]),"-")</f>
        <v>-</v>
      </c>
      <c r="L150" s="38">
        <f>IFERROR(COUNTIF([1]Village!$BR:$BR,표1[[#This Row],[명칭]]),"-")</f>
        <v>0</v>
      </c>
      <c r="M150" s="38">
        <f>COUNTIF(퀘스트!B:B,표1[[#This Row],[명칭]])</f>
        <v>0</v>
      </c>
      <c r="N150" s="65">
        <f>COUNTIF([1]VillageDiscoveryGroup!$C:$C,표1[[#This Row],[명칭]])</f>
        <v>0</v>
      </c>
      <c r="O150" s="65">
        <f>SUM(표1[[#This Row],[해양탐색]:[마을탐험]])</f>
        <v>0</v>
      </c>
    </row>
    <row r="151" spans="2:15" ht="13.5" customHeight="1" x14ac:dyDescent="0.3">
      <c r="B151" s="9">
        <f>[1]Discovery!A157</f>
        <v>70401182</v>
      </c>
      <c r="C151" s="9" t="str">
        <f>[1]Discovery!B157</f>
        <v>하트셉수트 여왕 석상</v>
      </c>
      <c r="D151" s="9" t="str">
        <f>[1]Discovery!E157</f>
        <v>유물</v>
      </c>
      <c r="E151" s="9" t="str">
        <f>[1]Discovery!C157</f>
        <v>역사유물</v>
      </c>
      <c r="F151" s="9" t="str">
        <f>[1]Discovery!G157</f>
        <v>B</v>
      </c>
      <c r="G151" s="9" t="str">
        <f>IFERROR(VLOOKUP(표1[[#This Row],[명칭]],'문화권 정리'!C:D,2,FALSE),"-")</f>
        <v>북아프리카</v>
      </c>
      <c r="H151" s="38" t="str">
        <f>IFERROR(COUNTIF([2]OceanDoodad!$Y:$Y,표1[[#This Row],[명칭]]),"-")</f>
        <v>-</v>
      </c>
      <c r="I151" s="38">
        <f>IFERROR(COUNTIF([1]AdventureDiscoveryGroup!$D$8:$AW$92,표1[[#This Row],[명칭]]),"-")</f>
        <v>0</v>
      </c>
      <c r="J151" s="38">
        <f>IFERROR(COUNTIF([1]FishDiscoveryGroup!$A:$X,표1[[#This Row],[명칭]]),"-")</f>
        <v>0</v>
      </c>
      <c r="K151" s="38" t="str">
        <f>IFERROR(COUNTIF([2]Town!$B:$B,표1[[#This Row],[명칭]]),"-")</f>
        <v>-</v>
      </c>
      <c r="L151" s="38">
        <f>IFERROR(COUNTIF([1]Village!$BR:$BR,표1[[#This Row],[명칭]]),"-")</f>
        <v>0</v>
      </c>
      <c r="M151" s="38">
        <f>COUNTIF(퀘스트!B:B,표1[[#This Row],[명칭]])</f>
        <v>0</v>
      </c>
      <c r="N151" s="65">
        <f>COUNTIF([1]VillageDiscoveryGroup!$C:$C,표1[[#This Row],[명칭]])</f>
        <v>0</v>
      </c>
      <c r="O151" s="65">
        <f>SUM(표1[[#This Row],[해양탐색]:[마을탐험]])</f>
        <v>0</v>
      </c>
    </row>
    <row r="152" spans="2:15" ht="13.5" customHeight="1" x14ac:dyDescent="0.3">
      <c r="B152" s="9">
        <f>[1]Discovery!A158</f>
        <v>70401184</v>
      </c>
      <c r="C152" s="9" t="str">
        <f>[1]Discovery!B158</f>
        <v>한니발 대리석상</v>
      </c>
      <c r="D152" s="9" t="str">
        <f>[1]Discovery!E158</f>
        <v>유물</v>
      </c>
      <c r="E152" s="9" t="str">
        <f>[1]Discovery!C158</f>
        <v>역사유물</v>
      </c>
      <c r="F152" s="9" t="str">
        <f>[1]Discovery!G158</f>
        <v>B</v>
      </c>
      <c r="G152" s="9" t="str">
        <f>IFERROR(VLOOKUP(표1[[#This Row],[명칭]],'문화권 정리'!C:D,2,FALSE),"-")</f>
        <v>지중해</v>
      </c>
      <c r="H152" s="38" t="str">
        <f>IFERROR(COUNTIF([2]OceanDoodad!$Y:$Y,표1[[#This Row],[명칭]]),"-")</f>
        <v>-</v>
      </c>
      <c r="I152" s="38">
        <f>IFERROR(COUNTIF([1]AdventureDiscoveryGroup!$D$8:$AW$92,표1[[#This Row],[명칭]]),"-")</f>
        <v>0</v>
      </c>
      <c r="J152" s="38">
        <f>IFERROR(COUNTIF([1]FishDiscoveryGroup!$A:$X,표1[[#This Row],[명칭]]),"-")</f>
        <v>0</v>
      </c>
      <c r="K152" s="38" t="str">
        <f>IFERROR(COUNTIF([2]Town!$B:$B,표1[[#This Row],[명칭]]),"-")</f>
        <v>-</v>
      </c>
      <c r="L152" s="38">
        <f>IFERROR(COUNTIF([1]Village!$BR:$BR,표1[[#This Row],[명칭]]),"-")</f>
        <v>0</v>
      </c>
      <c r="M152" s="38">
        <f>COUNTIF(퀘스트!B:B,표1[[#This Row],[명칭]])</f>
        <v>0</v>
      </c>
      <c r="N152" s="65">
        <f>COUNTIF([1]VillageDiscoveryGroup!$C:$C,표1[[#This Row],[명칭]])</f>
        <v>0</v>
      </c>
      <c r="O152" s="65">
        <f>SUM(표1[[#This Row],[해양탐색]:[마을탐험]])</f>
        <v>0</v>
      </c>
    </row>
    <row r="153" spans="2:15" ht="13.5" customHeight="1" x14ac:dyDescent="0.3">
      <c r="B153" s="9">
        <f>[1]Discovery!A159</f>
        <v>70401185</v>
      </c>
      <c r="C153" s="9" t="str">
        <f>[1]Discovery!B159</f>
        <v>한서</v>
      </c>
      <c r="D153" s="9" t="str">
        <f>[1]Discovery!E159</f>
        <v>유물</v>
      </c>
      <c r="E153" s="9" t="str">
        <f>[1]Discovery!C159</f>
        <v>역사유물</v>
      </c>
      <c r="F153" s="9" t="str">
        <f>[1]Discovery!G159</f>
        <v>A</v>
      </c>
      <c r="G153" s="9" t="str">
        <f>IFERROR(VLOOKUP(표1[[#This Row],[명칭]],'문화권 정리'!C:D,2,FALSE),"-")</f>
        <v>동아시아</v>
      </c>
      <c r="H153" s="38" t="str">
        <f>IFERROR(COUNTIF([2]OceanDoodad!$Y:$Y,표1[[#This Row],[명칭]]),"-")</f>
        <v>-</v>
      </c>
      <c r="I153" s="38">
        <f>IFERROR(COUNTIF([1]AdventureDiscoveryGroup!$D$8:$AW$92,표1[[#This Row],[명칭]]),"-")</f>
        <v>1</v>
      </c>
      <c r="J153" s="38">
        <f>IFERROR(COUNTIF([1]FishDiscoveryGroup!$A:$X,표1[[#This Row],[명칭]]),"-")</f>
        <v>0</v>
      </c>
      <c r="K153" s="38" t="str">
        <f>IFERROR(COUNTIF([2]Town!$B:$B,표1[[#This Row],[명칭]]),"-")</f>
        <v>-</v>
      </c>
      <c r="L153" s="38">
        <f>IFERROR(COUNTIF([1]Village!$BR:$BR,표1[[#This Row],[명칭]]),"-")</f>
        <v>0</v>
      </c>
      <c r="M153" s="38">
        <f>COUNTIF(퀘스트!B:B,표1[[#This Row],[명칭]])</f>
        <v>0</v>
      </c>
      <c r="N153" s="65">
        <f>COUNTIF([1]VillageDiscoveryGroup!$C:$C,표1[[#This Row],[명칭]])</f>
        <v>0</v>
      </c>
      <c r="O153" s="65">
        <f>SUM(표1[[#This Row],[해양탐색]:[마을탐험]])</f>
        <v>1</v>
      </c>
    </row>
    <row r="154" spans="2:15" ht="13.5" customHeight="1" x14ac:dyDescent="0.3">
      <c r="B154" s="9">
        <f>[1]Discovery!A160</f>
        <v>70401186</v>
      </c>
      <c r="C154" s="9" t="str">
        <f>[1]Discovery!B160</f>
        <v>함무라비법전</v>
      </c>
      <c r="D154" s="9" t="str">
        <f>[1]Discovery!E160</f>
        <v>유물</v>
      </c>
      <c r="E154" s="9" t="str">
        <f>[1]Discovery!C160</f>
        <v>역사유물</v>
      </c>
      <c r="F154" s="9" t="str">
        <f>[1]Discovery!G160</f>
        <v>A</v>
      </c>
      <c r="G154" s="9" t="str">
        <f>IFERROR(VLOOKUP(표1[[#This Row],[명칭]],'문화권 정리'!C:D,2,FALSE),"-")</f>
        <v>서남아시아</v>
      </c>
      <c r="H154" s="38" t="str">
        <f>IFERROR(COUNTIF([2]OceanDoodad!$Y:$Y,표1[[#This Row],[명칭]]),"-")</f>
        <v>-</v>
      </c>
      <c r="I154" s="38">
        <f>IFERROR(COUNTIF([1]AdventureDiscoveryGroup!$D$8:$AW$92,표1[[#This Row],[명칭]]),"-")</f>
        <v>0</v>
      </c>
      <c r="J154" s="38">
        <f>IFERROR(COUNTIF([1]FishDiscoveryGroup!$A:$X,표1[[#This Row],[명칭]]),"-")</f>
        <v>0</v>
      </c>
      <c r="K154" s="38" t="str">
        <f>IFERROR(COUNTIF([2]Town!$B:$B,표1[[#This Row],[명칭]]),"-")</f>
        <v>-</v>
      </c>
      <c r="L154" s="38">
        <f>IFERROR(COUNTIF([1]Village!$BR:$BR,표1[[#This Row],[명칭]]),"-")</f>
        <v>0</v>
      </c>
      <c r="M154" s="38">
        <f>COUNTIF(퀘스트!B:B,표1[[#This Row],[명칭]])</f>
        <v>1</v>
      </c>
      <c r="N154" s="65">
        <f>COUNTIF([1]VillageDiscoveryGroup!$C:$C,표1[[#This Row],[명칭]])</f>
        <v>0</v>
      </c>
      <c r="O154" s="65">
        <f>SUM(표1[[#This Row],[해양탐색]:[마을탐험]])</f>
        <v>1</v>
      </c>
    </row>
    <row r="155" spans="2:15" ht="13.5" customHeight="1" x14ac:dyDescent="0.3">
      <c r="B155" s="9">
        <f>[1]Discovery!A161</f>
        <v>70401187</v>
      </c>
      <c r="C155" s="9" t="str">
        <f>[1]Discovery!B161</f>
        <v>헤임스크링글라</v>
      </c>
      <c r="D155" s="9" t="str">
        <f>[1]Discovery!E161</f>
        <v>유물</v>
      </c>
      <c r="E155" s="9" t="str">
        <f>[1]Discovery!C161</f>
        <v>역사유물</v>
      </c>
      <c r="F155" s="9" t="str">
        <f>[1]Discovery!G161</f>
        <v>S</v>
      </c>
      <c r="G155" s="9" t="str">
        <f>IFERROR(VLOOKUP(표1[[#This Row],[명칭]],'문화권 정리'!C:D,2,FALSE),"-")</f>
        <v>북유럽</v>
      </c>
      <c r="H155" s="38" t="str">
        <f>IFERROR(COUNTIF([2]OceanDoodad!$Y:$Y,표1[[#This Row],[명칭]]),"-")</f>
        <v>-</v>
      </c>
      <c r="I155" s="38">
        <f>IFERROR(COUNTIF([1]AdventureDiscoveryGroup!$D$8:$AW$92,표1[[#This Row],[명칭]]),"-")</f>
        <v>1</v>
      </c>
      <c r="J155" s="38">
        <f>IFERROR(COUNTIF([1]FishDiscoveryGroup!$A:$X,표1[[#This Row],[명칭]]),"-")</f>
        <v>0</v>
      </c>
      <c r="K155" s="38" t="str">
        <f>IFERROR(COUNTIF([2]Town!$B:$B,표1[[#This Row],[명칭]]),"-")</f>
        <v>-</v>
      </c>
      <c r="L155" s="38">
        <f>IFERROR(COUNTIF([1]Village!$BR:$BR,표1[[#This Row],[명칭]]),"-")</f>
        <v>0</v>
      </c>
      <c r="M155" s="38">
        <f>COUNTIF(퀘스트!B:B,표1[[#This Row],[명칭]])</f>
        <v>1</v>
      </c>
      <c r="N155" s="65">
        <f>COUNTIF([1]VillageDiscoveryGroup!$C:$C,표1[[#This Row],[명칭]])</f>
        <v>0</v>
      </c>
      <c r="O155" s="65">
        <f>SUM(표1[[#This Row],[해양탐색]:[마을탐험]])</f>
        <v>2</v>
      </c>
    </row>
    <row r="156" spans="2:15" ht="13.5" customHeight="1" x14ac:dyDescent="0.3">
      <c r="B156" s="9">
        <f>[1]Discovery!A162</f>
        <v>70401188</v>
      </c>
      <c r="C156" s="9" t="str">
        <f>[1]Discovery!B162</f>
        <v>호부</v>
      </c>
      <c r="D156" s="9" t="str">
        <f>[1]Discovery!E162</f>
        <v>유물</v>
      </c>
      <c r="E156" s="9" t="str">
        <f>[1]Discovery!C162</f>
        <v>역사유물</v>
      </c>
      <c r="F156" s="9" t="str">
        <f>[1]Discovery!G162</f>
        <v>C</v>
      </c>
      <c r="G156" s="9" t="str">
        <f>IFERROR(VLOOKUP(표1[[#This Row],[명칭]],'문화권 정리'!C:D,2,FALSE),"-")</f>
        <v>동아시아</v>
      </c>
      <c r="H156" s="38" t="str">
        <f>IFERROR(COUNTIF([2]OceanDoodad!$Y:$Y,표1[[#This Row],[명칭]]),"-")</f>
        <v>-</v>
      </c>
      <c r="I156" s="38">
        <f>IFERROR(COUNTIF([1]AdventureDiscoveryGroup!$D$8:$AW$92,표1[[#This Row],[명칭]]),"-")</f>
        <v>1</v>
      </c>
      <c r="J156" s="38">
        <f>IFERROR(COUNTIF([1]FishDiscoveryGroup!$A:$X,표1[[#This Row],[명칭]]),"-")</f>
        <v>0</v>
      </c>
      <c r="K156" s="38" t="str">
        <f>IFERROR(COUNTIF([2]Town!$B:$B,표1[[#This Row],[명칭]]),"-")</f>
        <v>-</v>
      </c>
      <c r="L156" s="38">
        <f>IFERROR(COUNTIF([1]Village!$BR:$BR,표1[[#This Row],[명칭]]),"-")</f>
        <v>0</v>
      </c>
      <c r="M156" s="38">
        <f>COUNTIF(퀘스트!B:B,표1[[#This Row],[명칭]])</f>
        <v>0</v>
      </c>
      <c r="N156" s="65">
        <f>COUNTIF([1]VillageDiscoveryGroup!$C:$C,표1[[#This Row],[명칭]])</f>
        <v>0</v>
      </c>
      <c r="O156" s="65">
        <f>SUM(표1[[#This Row],[해양탐색]:[마을탐험]])</f>
        <v>1</v>
      </c>
    </row>
    <row r="157" spans="2:15" ht="13.5" customHeight="1" x14ac:dyDescent="0.3">
      <c r="B157" s="9">
        <f>[1]Discovery!A163</f>
        <v>70401189</v>
      </c>
      <c r="C157" s="9" t="str">
        <f>[1]Discovery!B163</f>
        <v>혼천의</v>
      </c>
      <c r="D157" s="9" t="str">
        <f>[1]Discovery!E163</f>
        <v>유물</v>
      </c>
      <c r="E157" s="9" t="str">
        <f>[1]Discovery!C163</f>
        <v>역사유물</v>
      </c>
      <c r="F157" s="9" t="str">
        <f>[1]Discovery!G163</f>
        <v>A</v>
      </c>
      <c r="G157" s="9" t="str">
        <f>IFERROR(VLOOKUP(표1[[#This Row],[명칭]],'문화권 정리'!C:D,2,FALSE),"-")</f>
        <v>동아시아</v>
      </c>
      <c r="H157" s="38" t="str">
        <f>IFERROR(COUNTIF([2]OceanDoodad!$Y:$Y,표1[[#This Row],[명칭]]),"-")</f>
        <v>-</v>
      </c>
      <c r="I157" s="38">
        <f>IFERROR(COUNTIF([1]AdventureDiscoveryGroup!$D$8:$AW$92,표1[[#This Row],[명칭]]),"-")</f>
        <v>0</v>
      </c>
      <c r="J157" s="38">
        <f>IFERROR(COUNTIF([1]FishDiscoveryGroup!$A:$X,표1[[#This Row],[명칭]]),"-")</f>
        <v>0</v>
      </c>
      <c r="K157" s="38" t="str">
        <f>IFERROR(COUNTIF([2]Town!$B:$B,표1[[#This Row],[명칭]]),"-")</f>
        <v>-</v>
      </c>
      <c r="L157" s="38">
        <f>IFERROR(COUNTIF([1]Village!$BR:$BR,표1[[#This Row],[명칭]]),"-")</f>
        <v>0</v>
      </c>
      <c r="M157" s="38">
        <f>COUNTIF(퀘스트!B:B,표1[[#This Row],[명칭]])</f>
        <v>0</v>
      </c>
      <c r="N157" s="65">
        <f>COUNTIF([1]VillageDiscoveryGroup!$C:$C,표1[[#This Row],[명칭]])</f>
        <v>0</v>
      </c>
      <c r="O157" s="65">
        <f>SUM(표1[[#This Row],[해양탐색]:[마을탐험]])</f>
        <v>0</v>
      </c>
    </row>
    <row r="158" spans="2:15" ht="13.5" customHeight="1" x14ac:dyDescent="0.3">
      <c r="B158" s="9">
        <f>[1]Discovery!A164</f>
        <v>70401190</v>
      </c>
      <c r="C158" s="9" t="str">
        <f>[1]Discovery!B164</f>
        <v>화랑세기</v>
      </c>
      <c r="D158" s="9" t="str">
        <f>[1]Discovery!E164</f>
        <v>유물</v>
      </c>
      <c r="E158" s="9" t="str">
        <f>[1]Discovery!C164</f>
        <v>역사유물</v>
      </c>
      <c r="F158" s="9" t="str">
        <f>[1]Discovery!G164</f>
        <v>B</v>
      </c>
      <c r="G158" s="9" t="str">
        <f>IFERROR(VLOOKUP(표1[[#This Row],[명칭]],'문화권 정리'!C:D,2,FALSE),"-")</f>
        <v>동아시아</v>
      </c>
      <c r="H158" s="38" t="str">
        <f>IFERROR(COUNTIF([2]OceanDoodad!$Y:$Y,표1[[#This Row],[명칭]]),"-")</f>
        <v>-</v>
      </c>
      <c r="I158" s="38">
        <f>IFERROR(COUNTIF([1]AdventureDiscoveryGroup!$D$8:$AW$92,표1[[#This Row],[명칭]]),"-")</f>
        <v>0</v>
      </c>
      <c r="J158" s="38">
        <f>IFERROR(COUNTIF([1]FishDiscoveryGroup!$A:$X,표1[[#This Row],[명칭]]),"-")</f>
        <v>0</v>
      </c>
      <c r="K158" s="38" t="str">
        <f>IFERROR(COUNTIF([2]Town!$B:$B,표1[[#This Row],[명칭]]),"-")</f>
        <v>-</v>
      </c>
      <c r="L158" s="38">
        <f>IFERROR(COUNTIF([1]Village!$BR:$BR,표1[[#This Row],[명칭]]),"-")</f>
        <v>0</v>
      </c>
      <c r="M158" s="38">
        <f>COUNTIF(퀘스트!B:B,표1[[#This Row],[명칭]])</f>
        <v>0</v>
      </c>
      <c r="N158" s="65">
        <f>COUNTIF([1]VillageDiscoveryGroup!$C:$C,표1[[#This Row],[명칭]])</f>
        <v>0</v>
      </c>
      <c r="O158" s="65">
        <f>SUM(표1[[#This Row],[해양탐색]:[마을탐험]])</f>
        <v>0</v>
      </c>
    </row>
    <row r="159" spans="2:15" ht="13.5" customHeight="1" x14ac:dyDescent="0.3">
      <c r="B159" s="9">
        <f>[1]Discovery!A165</f>
        <v>70401194</v>
      </c>
      <c r="C159" s="9" t="str">
        <f>[1]Discovery!B165</f>
        <v>흡혈귀 전설</v>
      </c>
      <c r="D159" s="9" t="str">
        <f>[1]Discovery!E165</f>
        <v>보물</v>
      </c>
      <c r="E159" s="9" t="str">
        <f>[1]Discovery!C165</f>
        <v>보물</v>
      </c>
      <c r="F159" s="9" t="str">
        <f>[1]Discovery!G165</f>
        <v>C</v>
      </c>
      <c r="G159" s="9" t="str">
        <f>IFERROR(VLOOKUP(표1[[#This Row],[명칭]],'문화권 정리'!C:D,2,FALSE),"-")</f>
        <v>지중해</v>
      </c>
      <c r="H159" s="38" t="str">
        <f>IFERROR(COUNTIF([2]OceanDoodad!$Y:$Y,표1[[#This Row],[명칭]]),"-")</f>
        <v>-</v>
      </c>
      <c r="I159" s="38">
        <f>IFERROR(COUNTIF([1]AdventureDiscoveryGroup!$D$8:$AW$92,표1[[#This Row],[명칭]]),"-")</f>
        <v>0</v>
      </c>
      <c r="J159" s="38">
        <f>IFERROR(COUNTIF([1]FishDiscoveryGroup!$A:$X,표1[[#This Row],[명칭]]),"-")</f>
        <v>0</v>
      </c>
      <c r="K159" s="38" t="str">
        <f>IFERROR(COUNTIF([2]Town!$B:$B,표1[[#This Row],[명칭]]),"-")</f>
        <v>-</v>
      </c>
      <c r="L159" s="38">
        <f>IFERROR(COUNTIF([1]Village!$BR:$BR,표1[[#This Row],[명칭]]),"-")</f>
        <v>0</v>
      </c>
      <c r="M159" s="38">
        <f>COUNTIF(퀘스트!B:B,표1[[#This Row],[명칭]])</f>
        <v>1</v>
      </c>
      <c r="N159" s="65">
        <f>COUNTIF([1]VillageDiscoveryGroup!$C:$C,표1[[#This Row],[명칭]])</f>
        <v>0</v>
      </c>
      <c r="O159" s="65">
        <f>SUM(표1[[#This Row],[해양탐색]:[마을탐험]])</f>
        <v>1</v>
      </c>
    </row>
    <row r="160" spans="2:15" ht="13.5" customHeight="1" x14ac:dyDescent="0.3">
      <c r="B160" s="9">
        <f>[1]Discovery!A166</f>
        <v>70401195</v>
      </c>
      <c r="C160" s="9" t="str">
        <f>[1]Discovery!B166</f>
        <v>히타이트 전차</v>
      </c>
      <c r="D160" s="9" t="str">
        <f>[1]Discovery!E166</f>
        <v>유물</v>
      </c>
      <c r="E160" s="9" t="str">
        <f>[1]Discovery!C166</f>
        <v>역사유물</v>
      </c>
      <c r="F160" s="9" t="str">
        <f>[1]Discovery!G166</f>
        <v>C</v>
      </c>
      <c r="G160" s="9" t="str">
        <f>IFERROR(VLOOKUP(표1[[#This Row],[명칭]],'문화권 정리'!C:D,2,FALSE),"-")</f>
        <v>지중해</v>
      </c>
      <c r="H160" s="38" t="str">
        <f>IFERROR(COUNTIF([2]OceanDoodad!$Y:$Y,표1[[#This Row],[명칭]]),"-")</f>
        <v>-</v>
      </c>
      <c r="I160" s="38">
        <f>IFERROR(COUNTIF([1]AdventureDiscoveryGroup!$D$8:$AW$92,표1[[#This Row],[명칭]]),"-")</f>
        <v>1</v>
      </c>
      <c r="J160" s="38">
        <f>IFERROR(COUNTIF([1]FishDiscoveryGroup!$A:$X,표1[[#This Row],[명칭]]),"-")</f>
        <v>0</v>
      </c>
      <c r="K160" s="38" t="str">
        <f>IFERROR(COUNTIF([2]Town!$B:$B,표1[[#This Row],[명칭]]),"-")</f>
        <v>-</v>
      </c>
      <c r="L160" s="38">
        <f>IFERROR(COUNTIF([1]Village!$BR:$BR,표1[[#This Row],[명칭]]),"-")</f>
        <v>0</v>
      </c>
      <c r="M160" s="38">
        <f>COUNTIF(퀘스트!B:B,표1[[#This Row],[명칭]])</f>
        <v>0</v>
      </c>
      <c r="N160" s="65">
        <f>COUNTIF([1]VillageDiscoveryGroup!$C:$C,표1[[#This Row],[명칭]])</f>
        <v>0</v>
      </c>
      <c r="O160" s="65">
        <f>SUM(표1[[#This Row],[해양탐색]:[마을탐험]])</f>
        <v>1</v>
      </c>
    </row>
    <row r="161" spans="2:15" ht="13.5" customHeight="1" x14ac:dyDescent="0.3">
      <c r="B161" s="9">
        <f>[1]Discovery!A167</f>
        <v>70401196</v>
      </c>
      <c r="C161" s="9" t="str">
        <f>[1]Discovery!B167</f>
        <v>히타이트 조약문</v>
      </c>
      <c r="D161" s="9" t="str">
        <f>[1]Discovery!E167</f>
        <v>유물</v>
      </c>
      <c r="E161" s="9" t="str">
        <f>[1]Discovery!C167</f>
        <v>역사유물</v>
      </c>
      <c r="F161" s="9" t="str">
        <f>[1]Discovery!G167</f>
        <v>A</v>
      </c>
      <c r="G161" s="9" t="str">
        <f>IFERROR(VLOOKUP(표1[[#This Row],[명칭]],'문화권 정리'!C:D,2,FALSE),"-")</f>
        <v>지중해</v>
      </c>
      <c r="H161" s="38" t="str">
        <f>IFERROR(COUNTIF([2]OceanDoodad!$Y:$Y,표1[[#This Row],[명칭]]),"-")</f>
        <v>-</v>
      </c>
      <c r="I161" s="38">
        <f>IFERROR(COUNTIF([1]AdventureDiscoveryGroup!$D$8:$AW$92,표1[[#This Row],[명칭]]),"-")</f>
        <v>1</v>
      </c>
      <c r="J161" s="38">
        <f>IFERROR(COUNTIF([1]FishDiscoveryGroup!$A:$X,표1[[#This Row],[명칭]]),"-")</f>
        <v>0</v>
      </c>
      <c r="K161" s="38" t="str">
        <f>IFERROR(COUNTIF([2]Town!$B:$B,표1[[#This Row],[명칭]]),"-")</f>
        <v>-</v>
      </c>
      <c r="L161" s="38">
        <f>IFERROR(COUNTIF([1]Village!$BR:$BR,표1[[#This Row],[명칭]]),"-")</f>
        <v>0</v>
      </c>
      <c r="M161" s="38">
        <f>COUNTIF(퀘스트!B:B,표1[[#This Row],[명칭]])</f>
        <v>0</v>
      </c>
      <c r="N161" s="65">
        <f>COUNTIF([1]VillageDiscoveryGroup!$C:$C,표1[[#This Row],[명칭]])</f>
        <v>0</v>
      </c>
      <c r="O161" s="65">
        <f>SUM(표1[[#This Row],[해양탐색]:[마을탐험]])</f>
        <v>1</v>
      </c>
    </row>
    <row r="162" spans="2:15" ht="13.5" customHeight="1" x14ac:dyDescent="0.3">
      <c r="B162" s="9">
        <f>[1]Discovery!A168</f>
        <v>70401197</v>
      </c>
      <c r="C162" s="9" t="str">
        <f>[1]Discovery!B168</f>
        <v>히타이트법전</v>
      </c>
      <c r="D162" s="9" t="str">
        <f>[1]Discovery!E168</f>
        <v>유물</v>
      </c>
      <c r="E162" s="9" t="str">
        <f>[1]Discovery!C168</f>
        <v>역사유물</v>
      </c>
      <c r="F162" s="9" t="str">
        <f>[1]Discovery!G168</f>
        <v>B</v>
      </c>
      <c r="G162" s="9" t="str">
        <f>IFERROR(VLOOKUP(표1[[#This Row],[명칭]],'문화권 정리'!C:D,2,FALSE),"-")</f>
        <v>지중해</v>
      </c>
      <c r="H162" s="38" t="str">
        <f>IFERROR(COUNTIF([2]OceanDoodad!$Y:$Y,표1[[#This Row],[명칭]]),"-")</f>
        <v>-</v>
      </c>
      <c r="I162" s="38">
        <f>IFERROR(COUNTIF([1]AdventureDiscoveryGroup!$D$8:$AW$92,표1[[#This Row],[명칭]]),"-")</f>
        <v>0</v>
      </c>
      <c r="J162" s="38">
        <f>IFERROR(COUNTIF([1]FishDiscoveryGroup!$A:$X,표1[[#This Row],[명칭]]),"-")</f>
        <v>0</v>
      </c>
      <c r="K162" s="38" t="str">
        <f>IFERROR(COUNTIF([2]Town!$B:$B,표1[[#This Row],[명칭]]),"-")</f>
        <v>-</v>
      </c>
      <c r="L162" s="38">
        <f>IFERROR(COUNTIF([1]Village!$BR:$BR,표1[[#This Row],[명칭]]),"-")</f>
        <v>0</v>
      </c>
      <c r="M162" s="38">
        <f>COUNTIF(퀘스트!B:B,표1[[#This Row],[명칭]])</f>
        <v>0</v>
      </c>
      <c r="N162" s="65">
        <f>COUNTIF([1]VillageDiscoveryGroup!$C:$C,표1[[#This Row],[명칭]])</f>
        <v>0</v>
      </c>
      <c r="O162" s="65">
        <f>SUM(표1[[#This Row],[해양탐색]:[마을탐험]])</f>
        <v>0</v>
      </c>
    </row>
    <row r="163" spans="2:15" ht="13.5" customHeight="1" x14ac:dyDescent="0.3">
      <c r="B163" s="9">
        <f>[1]Discovery!A169</f>
        <v>70401198</v>
      </c>
      <c r="C163" s="9" t="str">
        <f>[1]Discovery!B169</f>
        <v>히포크라테스 선서</v>
      </c>
      <c r="D163" s="9" t="str">
        <f>[1]Discovery!E169</f>
        <v>유물</v>
      </c>
      <c r="E163" s="9" t="str">
        <f>[1]Discovery!C169</f>
        <v>역사유물</v>
      </c>
      <c r="F163" s="9" t="str">
        <f>[1]Discovery!G169</f>
        <v>S</v>
      </c>
      <c r="G163" s="9" t="str">
        <f>IFERROR(VLOOKUP(표1[[#This Row],[명칭]],'문화권 정리'!C:D,2,FALSE),"-")</f>
        <v>지중해</v>
      </c>
      <c r="H163" s="38" t="str">
        <f>IFERROR(COUNTIF([2]OceanDoodad!$Y:$Y,표1[[#This Row],[명칭]]),"-")</f>
        <v>-</v>
      </c>
      <c r="I163" s="38">
        <f>IFERROR(COUNTIF([1]AdventureDiscoveryGroup!$D$8:$AW$92,표1[[#This Row],[명칭]]),"-")</f>
        <v>0</v>
      </c>
      <c r="J163" s="38">
        <f>IFERROR(COUNTIF([1]FishDiscoveryGroup!$A:$X,표1[[#This Row],[명칭]]),"-")</f>
        <v>0</v>
      </c>
      <c r="K163" s="38" t="str">
        <f>IFERROR(COUNTIF([2]Town!$B:$B,표1[[#This Row],[명칭]]),"-")</f>
        <v>-</v>
      </c>
      <c r="L163" s="38">
        <f>IFERROR(COUNTIF([1]Village!$BR:$BR,표1[[#This Row],[명칭]]),"-")</f>
        <v>0</v>
      </c>
      <c r="M163" s="38">
        <f>COUNTIF(퀘스트!B:B,표1[[#This Row],[명칭]])</f>
        <v>1</v>
      </c>
      <c r="N163" s="65">
        <f>COUNTIF([1]VillageDiscoveryGroup!$C:$C,표1[[#This Row],[명칭]])</f>
        <v>0</v>
      </c>
      <c r="O163" s="65">
        <f>SUM(표1[[#This Row],[해양탐색]:[마을탐험]])</f>
        <v>1</v>
      </c>
    </row>
    <row r="164" spans="2:15" ht="13.5" customHeight="1" x14ac:dyDescent="0.3">
      <c r="B164" s="9">
        <f>[1]Discovery!A170</f>
        <v>70401199</v>
      </c>
      <c r="C164" s="9" t="str">
        <f>[1]Discovery!B170</f>
        <v>힐 스톤</v>
      </c>
      <c r="D164" s="9" t="str">
        <f>[1]Discovery!E170</f>
        <v>유물</v>
      </c>
      <c r="E164" s="9" t="str">
        <f>[1]Discovery!C170</f>
        <v>역사유물</v>
      </c>
      <c r="F164" s="9" t="str">
        <f>[1]Discovery!G170</f>
        <v>A</v>
      </c>
      <c r="G164" s="9" t="str">
        <f>IFERROR(VLOOKUP(표1[[#This Row],[명칭]],'문화권 정리'!C:D,2,FALSE),"-")</f>
        <v>브리튼</v>
      </c>
      <c r="H164" s="38" t="str">
        <f>IFERROR(COUNTIF([2]OceanDoodad!$Y:$Y,표1[[#This Row],[명칭]]),"-")</f>
        <v>-</v>
      </c>
      <c r="I164" s="38">
        <f>IFERROR(COUNTIF([1]AdventureDiscoveryGroup!$D$8:$AW$92,표1[[#This Row],[명칭]]),"-")</f>
        <v>0</v>
      </c>
      <c r="J164" s="38">
        <f>IFERROR(COUNTIF([1]FishDiscoveryGroup!$A:$X,표1[[#This Row],[명칭]]),"-")</f>
        <v>0</v>
      </c>
      <c r="K164" s="38" t="str">
        <f>IFERROR(COUNTIF([2]Town!$B:$B,표1[[#This Row],[명칭]]),"-")</f>
        <v>-</v>
      </c>
      <c r="L164" s="38">
        <f>IFERROR(COUNTIF([1]Village!$BR:$BR,표1[[#This Row],[명칭]]),"-")</f>
        <v>0</v>
      </c>
      <c r="M164" s="38">
        <f>COUNTIF(퀘스트!B:B,표1[[#This Row],[명칭]])</f>
        <v>0</v>
      </c>
      <c r="N164" s="65">
        <f>COUNTIF([1]VillageDiscoveryGroup!$C:$C,표1[[#This Row],[명칭]])</f>
        <v>0</v>
      </c>
      <c r="O164" s="65">
        <f>SUM(표1[[#This Row],[해양탐색]:[마을탐험]])</f>
        <v>0</v>
      </c>
    </row>
    <row r="165" spans="2:15" ht="13.5" customHeight="1" x14ac:dyDescent="0.3">
      <c r="B165" s="9">
        <f>[1]Discovery!A171</f>
        <v>70401200</v>
      </c>
      <c r="C165" s="9" t="str">
        <f>[1]Discovery!B171</f>
        <v>혼일강리역대국도지도</v>
      </c>
      <c r="D165" s="9" t="str">
        <f>[1]Discovery!E171</f>
        <v>유물</v>
      </c>
      <c r="E165" s="9" t="str">
        <f>[1]Discovery!C171</f>
        <v>역사유물</v>
      </c>
      <c r="F165" s="9" t="str">
        <f>[1]Discovery!G171</f>
        <v>S</v>
      </c>
      <c r="G165" s="9" t="str">
        <f>IFERROR(VLOOKUP(표1[[#This Row],[명칭]],'문화권 정리'!C:D,2,FALSE),"-")</f>
        <v>동아시아</v>
      </c>
      <c r="H165" s="38" t="str">
        <f>IFERROR(COUNTIF([2]OceanDoodad!$Y:$Y,표1[[#This Row],[명칭]]),"-")</f>
        <v>-</v>
      </c>
      <c r="I165" s="38">
        <f>IFERROR(COUNTIF([1]AdventureDiscoveryGroup!$D$8:$AW$92,표1[[#This Row],[명칭]]),"-")</f>
        <v>0</v>
      </c>
      <c r="J165" s="38">
        <f>IFERROR(COUNTIF([1]FishDiscoveryGroup!$A:$X,표1[[#This Row],[명칭]]),"-")</f>
        <v>0</v>
      </c>
      <c r="K165" s="38" t="str">
        <f>IFERROR(COUNTIF([2]Town!$B:$B,표1[[#This Row],[명칭]]),"-")</f>
        <v>-</v>
      </c>
      <c r="L165" s="38">
        <f>IFERROR(COUNTIF([1]Village!$BR:$BR,표1[[#This Row],[명칭]]),"-")</f>
        <v>0</v>
      </c>
      <c r="M165" s="38">
        <f>COUNTIF(퀘스트!B:B,표1[[#This Row],[명칭]])</f>
        <v>1</v>
      </c>
      <c r="N165" s="65">
        <f>COUNTIF([1]VillageDiscoveryGroup!$C:$C,표1[[#This Row],[명칭]])</f>
        <v>0</v>
      </c>
      <c r="O165" s="65">
        <f>SUM(표1[[#This Row],[해양탐색]:[마을탐험]])</f>
        <v>1</v>
      </c>
    </row>
    <row r="166" spans="2:15" ht="13.5" customHeight="1" x14ac:dyDescent="0.3">
      <c r="B166" s="9">
        <f>[1]Discovery!A172</f>
        <v>70402000</v>
      </c>
      <c r="C166" s="9" t="str">
        <f>[1]Discovery!B172</f>
        <v>가네샤상</v>
      </c>
      <c r="D166" s="9" t="str">
        <f>[1]Discovery!E172</f>
        <v>유물</v>
      </c>
      <c r="E166" s="9" t="str">
        <f>[1]Discovery!C172</f>
        <v>종교유물</v>
      </c>
      <c r="F166" s="9" t="str">
        <f>[1]Discovery!G172</f>
        <v>B</v>
      </c>
      <c r="G166" s="9" t="str">
        <f>IFERROR(VLOOKUP(표1[[#This Row],[명칭]],'문화권 정리'!C:D,2,FALSE),"-")</f>
        <v>동남아시아</v>
      </c>
      <c r="H166" s="38" t="str">
        <f>IFERROR(COUNTIF([2]OceanDoodad!$Y:$Y,표1[[#This Row],[명칭]]),"-")</f>
        <v>-</v>
      </c>
      <c r="I166" s="38">
        <f>IFERROR(COUNTIF([1]AdventureDiscoveryGroup!$D$8:$AW$92,표1[[#This Row],[명칭]]),"-")</f>
        <v>0</v>
      </c>
      <c r="J166" s="38">
        <f>IFERROR(COUNTIF([1]FishDiscoveryGroup!$A:$X,표1[[#This Row],[명칭]]),"-")</f>
        <v>0</v>
      </c>
      <c r="K166" s="38" t="str">
        <f>IFERROR(COUNTIF([2]Town!$B:$B,표1[[#This Row],[명칭]]),"-")</f>
        <v>-</v>
      </c>
      <c r="L166" s="38">
        <f>IFERROR(COUNTIF([1]Village!$BR:$BR,표1[[#This Row],[명칭]]),"-")</f>
        <v>0</v>
      </c>
      <c r="M166" s="38">
        <f>COUNTIF(퀘스트!B:B,표1[[#This Row],[명칭]])</f>
        <v>1</v>
      </c>
      <c r="N166" s="65">
        <f>COUNTIF([1]VillageDiscoveryGroup!$C:$C,표1[[#This Row],[명칭]])</f>
        <v>0</v>
      </c>
      <c r="O166" s="65">
        <f>SUM(표1[[#This Row],[해양탐색]:[마을탐험]])</f>
        <v>1</v>
      </c>
    </row>
    <row r="167" spans="2:15" ht="13.5" customHeight="1" x14ac:dyDescent="0.3">
      <c r="B167" s="9">
        <f>[1]Discovery!A173</f>
        <v>70402001</v>
      </c>
      <c r="C167" s="9" t="str">
        <f>[1]Discovery!B173</f>
        <v>가루다 조각상</v>
      </c>
      <c r="D167" s="9" t="str">
        <f>[1]Discovery!E173</f>
        <v>유물</v>
      </c>
      <c r="E167" s="9" t="str">
        <f>[1]Discovery!C173</f>
        <v>종교유물</v>
      </c>
      <c r="F167" s="9" t="str">
        <f>[1]Discovery!G173</f>
        <v>B</v>
      </c>
      <c r="G167" s="9" t="str">
        <f>IFERROR(VLOOKUP(표1[[#This Row],[명칭]],'문화권 정리'!C:D,2,FALSE),"-")</f>
        <v>동남아시아</v>
      </c>
      <c r="H167" s="38" t="str">
        <f>IFERROR(COUNTIF([2]OceanDoodad!$Y:$Y,표1[[#This Row],[명칭]]),"-")</f>
        <v>-</v>
      </c>
      <c r="I167" s="38">
        <f>IFERROR(COUNTIF([1]AdventureDiscoveryGroup!$D$8:$AW$92,표1[[#This Row],[명칭]]),"-")</f>
        <v>0</v>
      </c>
      <c r="J167" s="38">
        <f>IFERROR(COUNTIF([1]FishDiscoveryGroup!$A:$X,표1[[#This Row],[명칭]]),"-")</f>
        <v>0</v>
      </c>
      <c r="K167" s="38" t="str">
        <f>IFERROR(COUNTIF([2]Town!$B:$B,표1[[#This Row],[명칭]]),"-")</f>
        <v>-</v>
      </c>
      <c r="L167" s="38">
        <f>IFERROR(COUNTIF([1]Village!$BR:$BR,표1[[#This Row],[명칭]]),"-")</f>
        <v>0</v>
      </c>
      <c r="M167" s="38">
        <f>COUNTIF(퀘스트!B:B,표1[[#This Row],[명칭]])</f>
        <v>1</v>
      </c>
      <c r="N167" s="65">
        <f>COUNTIF([1]VillageDiscoveryGroup!$C:$C,표1[[#This Row],[명칭]])</f>
        <v>0</v>
      </c>
      <c r="O167" s="65">
        <f>SUM(표1[[#This Row],[해양탐색]:[마을탐험]])</f>
        <v>1</v>
      </c>
    </row>
    <row r="168" spans="2:15" ht="13.5" customHeight="1" x14ac:dyDescent="0.3">
      <c r="B168" s="9">
        <f>[1]Discovery!A174</f>
        <v>70402002</v>
      </c>
      <c r="C168" s="9" t="str">
        <f>[1]Discovery!B174</f>
        <v>경교비</v>
      </c>
      <c r="D168" s="9" t="str">
        <f>[1]Discovery!E174</f>
        <v>유물</v>
      </c>
      <c r="E168" s="9" t="str">
        <f>[1]Discovery!C174</f>
        <v>종교유물</v>
      </c>
      <c r="F168" s="9" t="str">
        <f>[1]Discovery!G174</f>
        <v>B</v>
      </c>
      <c r="G168" s="9" t="str">
        <f>IFERROR(VLOOKUP(표1[[#This Row],[명칭]],'문화권 정리'!C:D,2,FALSE),"-")</f>
        <v>동아시아</v>
      </c>
      <c r="H168" s="38" t="str">
        <f>IFERROR(COUNTIF([2]OceanDoodad!$Y:$Y,표1[[#This Row],[명칭]]),"-")</f>
        <v>-</v>
      </c>
      <c r="I168" s="38">
        <f>IFERROR(COUNTIF([1]AdventureDiscoveryGroup!$D$8:$AW$92,표1[[#This Row],[명칭]]),"-")</f>
        <v>1</v>
      </c>
      <c r="J168" s="38">
        <f>IFERROR(COUNTIF([1]FishDiscoveryGroup!$A:$X,표1[[#This Row],[명칭]]),"-")</f>
        <v>0</v>
      </c>
      <c r="K168" s="38" t="str">
        <f>IFERROR(COUNTIF([2]Town!$B:$B,표1[[#This Row],[명칭]]),"-")</f>
        <v>-</v>
      </c>
      <c r="L168" s="38">
        <f>IFERROR(COUNTIF([1]Village!$BR:$BR,표1[[#This Row],[명칭]]),"-")</f>
        <v>0</v>
      </c>
      <c r="M168" s="38">
        <f>COUNTIF(퀘스트!B:B,표1[[#This Row],[명칭]])</f>
        <v>0</v>
      </c>
      <c r="N168" s="65">
        <f>COUNTIF([1]VillageDiscoveryGroup!$C:$C,표1[[#This Row],[명칭]])</f>
        <v>0</v>
      </c>
      <c r="O168" s="65">
        <f>SUM(표1[[#This Row],[해양탐색]:[마을탐험]])</f>
        <v>1</v>
      </c>
    </row>
    <row r="169" spans="2:15" ht="13.5" customHeight="1" x14ac:dyDescent="0.3">
      <c r="B169" s="9">
        <f>[1]Discovery!A175</f>
        <v>70402004</v>
      </c>
      <c r="C169" s="9" t="str">
        <f>[1]Discovery!B175</f>
        <v>골리앗의 검</v>
      </c>
      <c r="D169" s="9" t="str">
        <f>[1]Discovery!E175</f>
        <v>보물</v>
      </c>
      <c r="E169" s="9" t="str">
        <f>[1]Discovery!C175</f>
        <v>보물</v>
      </c>
      <c r="F169" s="9" t="str">
        <f>[1]Discovery!G175</f>
        <v>B</v>
      </c>
      <c r="G169" s="9" t="str">
        <f>IFERROR(VLOOKUP(표1[[#This Row],[명칭]],'문화권 정리'!C:D,2,FALSE),"-")</f>
        <v>서남아시아</v>
      </c>
      <c r="H169" s="38" t="str">
        <f>IFERROR(COUNTIF([2]OceanDoodad!$Y:$Y,표1[[#This Row],[명칭]]),"-")</f>
        <v>-</v>
      </c>
      <c r="I169" s="38">
        <f>IFERROR(COUNTIF([1]AdventureDiscoveryGroup!$D$8:$AW$92,표1[[#This Row],[명칭]]),"-")</f>
        <v>0</v>
      </c>
      <c r="J169" s="38">
        <f>IFERROR(COUNTIF([1]FishDiscoveryGroup!$A:$X,표1[[#This Row],[명칭]]),"-")</f>
        <v>0</v>
      </c>
      <c r="K169" s="38" t="str">
        <f>IFERROR(COUNTIF([2]Town!$B:$B,표1[[#This Row],[명칭]]),"-")</f>
        <v>-</v>
      </c>
      <c r="L169" s="38">
        <f>IFERROR(COUNTIF([1]Village!$BR:$BR,표1[[#This Row],[명칭]]),"-")</f>
        <v>0</v>
      </c>
      <c r="M169" s="38">
        <f>COUNTIF(퀘스트!B:B,표1[[#This Row],[명칭]])</f>
        <v>0</v>
      </c>
      <c r="N169" s="65">
        <f>COUNTIF([1]VillageDiscoveryGroup!$C:$C,표1[[#This Row],[명칭]])</f>
        <v>0</v>
      </c>
      <c r="O169" s="65">
        <f>SUM(표1[[#This Row],[해양탐색]:[마을탐험]])</f>
        <v>0</v>
      </c>
    </row>
    <row r="170" spans="2:15" ht="13.5" customHeight="1" x14ac:dyDescent="0.3">
      <c r="B170" s="9">
        <f>[1]Discovery!A176</f>
        <v>70402005</v>
      </c>
      <c r="C170" s="9" t="str">
        <f>[1]Discovery!B176</f>
        <v>관세음보살상</v>
      </c>
      <c r="D170" s="9" t="str">
        <f>[1]Discovery!E176</f>
        <v>유물</v>
      </c>
      <c r="E170" s="9" t="str">
        <f>[1]Discovery!C176</f>
        <v>종교유물</v>
      </c>
      <c r="F170" s="9" t="str">
        <f>[1]Discovery!G176</f>
        <v>B</v>
      </c>
      <c r="G170" s="9" t="str">
        <f>IFERROR(VLOOKUP(표1[[#This Row],[명칭]],'문화권 정리'!C:D,2,FALSE),"-")</f>
        <v>남아시아</v>
      </c>
      <c r="H170" s="38" t="str">
        <f>IFERROR(COUNTIF([2]OceanDoodad!$Y:$Y,표1[[#This Row],[명칭]]),"-")</f>
        <v>-</v>
      </c>
      <c r="I170" s="38">
        <f>IFERROR(COUNTIF([1]AdventureDiscoveryGroup!$D$8:$AW$92,표1[[#This Row],[명칭]]),"-")</f>
        <v>0</v>
      </c>
      <c r="J170" s="38">
        <f>IFERROR(COUNTIF([1]FishDiscoveryGroup!$A:$X,표1[[#This Row],[명칭]]),"-")</f>
        <v>0</v>
      </c>
      <c r="K170" s="38" t="str">
        <f>IFERROR(COUNTIF([2]Town!$B:$B,표1[[#This Row],[명칭]]),"-")</f>
        <v>-</v>
      </c>
      <c r="L170" s="38">
        <f>IFERROR(COUNTIF([1]Village!$BR:$BR,표1[[#This Row],[명칭]]),"-")</f>
        <v>0</v>
      </c>
      <c r="M170" s="38">
        <f>COUNTIF(퀘스트!B:B,표1[[#This Row],[명칭]])</f>
        <v>0</v>
      </c>
      <c r="N170" s="65">
        <f>COUNTIF([1]VillageDiscoveryGroup!$C:$C,표1[[#This Row],[명칭]])</f>
        <v>0</v>
      </c>
      <c r="O170" s="65">
        <f>SUM(표1[[#This Row],[해양탐색]:[마을탐험]])</f>
        <v>0</v>
      </c>
    </row>
    <row r="171" spans="2:15" ht="13.5" customHeight="1" x14ac:dyDescent="0.3">
      <c r="B171" s="9">
        <f>[1]Discovery!A177</f>
        <v>70402006</v>
      </c>
      <c r="C171" s="9" t="str">
        <f>[1]Discovery!B177</f>
        <v>구카이의 석장</v>
      </c>
      <c r="D171" s="9" t="str">
        <f>[1]Discovery!E177</f>
        <v>보물</v>
      </c>
      <c r="E171" s="9" t="str">
        <f>[1]Discovery!C177</f>
        <v>보물</v>
      </c>
      <c r="F171" s="9" t="str">
        <f>[1]Discovery!G177</f>
        <v>A</v>
      </c>
      <c r="G171" s="9" t="str">
        <f>IFERROR(VLOOKUP(표1[[#This Row],[명칭]],'문화권 정리'!C:D,2,FALSE),"-")</f>
        <v>동아시아</v>
      </c>
      <c r="H171" s="38" t="str">
        <f>IFERROR(COUNTIF([2]OceanDoodad!$Y:$Y,표1[[#This Row],[명칭]]),"-")</f>
        <v>-</v>
      </c>
      <c r="I171" s="38">
        <f>IFERROR(COUNTIF([1]AdventureDiscoveryGroup!$D$8:$AW$92,표1[[#This Row],[명칭]]),"-")</f>
        <v>0</v>
      </c>
      <c r="J171" s="38">
        <f>IFERROR(COUNTIF([1]FishDiscoveryGroup!$A:$X,표1[[#This Row],[명칭]]),"-")</f>
        <v>0</v>
      </c>
      <c r="K171" s="38" t="str">
        <f>IFERROR(COUNTIF([2]Town!$B:$B,표1[[#This Row],[명칭]]),"-")</f>
        <v>-</v>
      </c>
      <c r="L171" s="38">
        <f>IFERROR(COUNTIF([1]Village!$BR:$BR,표1[[#This Row],[명칭]]),"-")</f>
        <v>0</v>
      </c>
      <c r="M171" s="38">
        <f>COUNTIF(퀘스트!B:B,표1[[#This Row],[명칭]])</f>
        <v>0</v>
      </c>
      <c r="N171" s="65">
        <f>COUNTIF([1]VillageDiscoveryGroup!$C:$C,표1[[#This Row],[명칭]])</f>
        <v>1</v>
      </c>
      <c r="O171" s="65">
        <f>SUM(표1[[#This Row],[해양탐색]:[마을탐험]])</f>
        <v>1</v>
      </c>
    </row>
    <row r="172" spans="2:15" ht="13.5" customHeight="1" x14ac:dyDescent="0.3">
      <c r="B172" s="9">
        <f>[1]Discovery!A178</f>
        <v>70402007</v>
      </c>
      <c r="C172" s="9" t="str">
        <f>[1]Discovery!B178</f>
        <v>그리스도의 성의</v>
      </c>
      <c r="D172" s="9" t="str">
        <f>[1]Discovery!E178</f>
        <v>유물</v>
      </c>
      <c r="E172" s="9" t="str">
        <f>[1]Discovery!C178</f>
        <v>종교유물</v>
      </c>
      <c r="F172" s="9" t="str">
        <f>[1]Discovery!G178</f>
        <v>S</v>
      </c>
      <c r="G172" s="9" t="str">
        <f>IFERROR(VLOOKUP(표1[[#This Row],[명칭]],'문화권 정리'!C:D,2,FALSE),"-")</f>
        <v>서남아시아</v>
      </c>
      <c r="H172" s="38" t="str">
        <f>IFERROR(COUNTIF([2]OceanDoodad!$Y:$Y,표1[[#This Row],[명칭]]),"-")</f>
        <v>-</v>
      </c>
      <c r="I172" s="38">
        <f>IFERROR(COUNTIF([1]AdventureDiscoveryGroup!$D$8:$AW$92,표1[[#This Row],[명칭]]),"-")</f>
        <v>0</v>
      </c>
      <c r="J172" s="38">
        <f>IFERROR(COUNTIF([1]FishDiscoveryGroup!$A:$X,표1[[#This Row],[명칭]]),"-")</f>
        <v>0</v>
      </c>
      <c r="K172" s="38" t="str">
        <f>IFERROR(COUNTIF([2]Town!$B:$B,표1[[#This Row],[명칭]]),"-")</f>
        <v>-</v>
      </c>
      <c r="L172" s="38">
        <f>IFERROR(COUNTIF([1]Village!$BR:$BR,표1[[#This Row],[명칭]]),"-")</f>
        <v>0</v>
      </c>
      <c r="M172" s="38">
        <f>COUNTIF(퀘스트!B:B,표1[[#This Row],[명칭]])</f>
        <v>0</v>
      </c>
      <c r="N172" s="65">
        <f>COUNTIF([1]VillageDiscoveryGroup!$C:$C,표1[[#This Row],[명칭]])</f>
        <v>0</v>
      </c>
      <c r="O172" s="65">
        <f>SUM(표1[[#This Row],[해양탐색]:[마을탐험]])</f>
        <v>0</v>
      </c>
    </row>
    <row r="173" spans="2:15" ht="13.5" customHeight="1" x14ac:dyDescent="0.3">
      <c r="B173" s="9">
        <f>[1]Discovery!A179</f>
        <v>70402008</v>
      </c>
      <c r="C173" s="9" t="str">
        <f>[1]Discovery!B179</f>
        <v>금강저</v>
      </c>
      <c r="D173" s="9" t="str">
        <f>[1]Discovery!E179</f>
        <v>유물</v>
      </c>
      <c r="E173" s="9" t="str">
        <f>[1]Discovery!C179</f>
        <v>종교유물</v>
      </c>
      <c r="F173" s="9" t="str">
        <f>[1]Discovery!G179</f>
        <v>A</v>
      </c>
      <c r="G173" s="9" t="str">
        <f>IFERROR(VLOOKUP(표1[[#This Row],[명칭]],'문화권 정리'!C:D,2,FALSE),"-")</f>
        <v>남아시아</v>
      </c>
      <c r="H173" s="38" t="str">
        <f>IFERROR(COUNTIF([2]OceanDoodad!$Y:$Y,표1[[#This Row],[명칭]]),"-")</f>
        <v>-</v>
      </c>
      <c r="I173" s="38">
        <f>IFERROR(COUNTIF([1]AdventureDiscoveryGroup!$D$8:$AW$92,표1[[#This Row],[명칭]]),"-")</f>
        <v>0</v>
      </c>
      <c r="J173" s="38">
        <f>IFERROR(COUNTIF([1]FishDiscoveryGroup!$A:$X,표1[[#This Row],[명칭]]),"-")</f>
        <v>0</v>
      </c>
      <c r="K173" s="38" t="str">
        <f>IFERROR(COUNTIF([2]Town!$B:$B,표1[[#This Row],[명칭]]),"-")</f>
        <v>-</v>
      </c>
      <c r="L173" s="38">
        <f>IFERROR(COUNTIF([1]Village!$BR:$BR,표1[[#This Row],[명칭]]),"-")</f>
        <v>0</v>
      </c>
      <c r="M173" s="38">
        <f>COUNTIF(퀘스트!B:B,표1[[#This Row],[명칭]])</f>
        <v>0</v>
      </c>
      <c r="N173" s="65">
        <f>COUNTIF([1]VillageDiscoveryGroup!$C:$C,표1[[#This Row],[명칭]])</f>
        <v>0</v>
      </c>
      <c r="O173" s="65">
        <f>SUM(표1[[#This Row],[해양탐색]:[마을탐험]])</f>
        <v>0</v>
      </c>
    </row>
    <row r="174" spans="2:15" ht="13.5" customHeight="1" x14ac:dyDescent="0.3">
      <c r="B174" s="9">
        <f>[1]Discovery!A180</f>
        <v>70402009</v>
      </c>
      <c r="C174" s="9" t="str">
        <f>[1]Discovery!B180</f>
        <v>금동관음보살입상</v>
      </c>
      <c r="D174" s="9" t="str">
        <f>[1]Discovery!E180</f>
        <v>유물</v>
      </c>
      <c r="E174" s="9" t="str">
        <f>[1]Discovery!C180</f>
        <v>종교유물</v>
      </c>
      <c r="F174" s="9" t="str">
        <f>[1]Discovery!G180</f>
        <v>A</v>
      </c>
      <c r="G174" s="9" t="str">
        <f>IFERROR(VLOOKUP(표1[[#This Row],[명칭]],'문화권 정리'!C:D,2,FALSE),"-")</f>
        <v>동아시아</v>
      </c>
      <c r="H174" s="38" t="str">
        <f>IFERROR(COUNTIF([2]OceanDoodad!$Y:$Y,표1[[#This Row],[명칭]]),"-")</f>
        <v>-</v>
      </c>
      <c r="I174" s="38">
        <f>IFERROR(COUNTIF([1]AdventureDiscoveryGroup!$D$8:$AW$92,표1[[#This Row],[명칭]]),"-")</f>
        <v>0</v>
      </c>
      <c r="J174" s="38">
        <f>IFERROR(COUNTIF([1]FishDiscoveryGroup!$A:$X,표1[[#This Row],[명칭]]),"-")</f>
        <v>0</v>
      </c>
      <c r="K174" s="38" t="str">
        <f>IFERROR(COUNTIF([2]Town!$B:$B,표1[[#This Row],[명칭]]),"-")</f>
        <v>-</v>
      </c>
      <c r="L174" s="38">
        <f>IFERROR(COUNTIF([1]Village!$BR:$BR,표1[[#This Row],[명칭]]),"-")</f>
        <v>0</v>
      </c>
      <c r="M174" s="38">
        <f>COUNTIF(퀘스트!B:B,표1[[#This Row],[명칭]])</f>
        <v>0</v>
      </c>
      <c r="N174" s="65">
        <f>COUNTIF([1]VillageDiscoveryGroup!$C:$C,표1[[#This Row],[명칭]])</f>
        <v>0</v>
      </c>
      <c r="O174" s="65">
        <f>SUM(표1[[#This Row],[해양탐색]:[마을탐험]])</f>
        <v>0</v>
      </c>
    </row>
    <row r="175" spans="2:15" ht="13.5" customHeight="1" x14ac:dyDescent="0.3">
      <c r="B175" s="9">
        <f>[1]Discovery!A181</f>
        <v>70402011</v>
      </c>
      <c r="C175" s="9" t="str">
        <f>[1]Discovery!B181</f>
        <v>나가 위의 부처</v>
      </c>
      <c r="D175" s="9" t="str">
        <f>[1]Discovery!E181</f>
        <v>유물</v>
      </c>
      <c r="E175" s="9" t="str">
        <f>[1]Discovery!C181</f>
        <v>종교유물</v>
      </c>
      <c r="F175" s="9" t="str">
        <f>[1]Discovery!G181</f>
        <v>A</v>
      </c>
      <c r="G175" s="9" t="str">
        <f>IFERROR(VLOOKUP(표1[[#This Row],[명칭]],'문화권 정리'!C:D,2,FALSE),"-")</f>
        <v>동남아시아</v>
      </c>
      <c r="H175" s="38" t="str">
        <f>IFERROR(COUNTIF([2]OceanDoodad!$Y:$Y,표1[[#This Row],[명칭]]),"-")</f>
        <v>-</v>
      </c>
      <c r="I175" s="38">
        <f>IFERROR(COUNTIF([1]AdventureDiscoveryGroup!$D$8:$AW$92,표1[[#This Row],[명칭]]),"-")</f>
        <v>0</v>
      </c>
      <c r="J175" s="38">
        <f>IFERROR(COUNTIF([1]FishDiscoveryGroup!$A:$X,표1[[#This Row],[명칭]]),"-")</f>
        <v>0</v>
      </c>
      <c r="K175" s="38" t="str">
        <f>IFERROR(COUNTIF([2]Town!$B:$B,표1[[#This Row],[명칭]]),"-")</f>
        <v>-</v>
      </c>
      <c r="L175" s="38">
        <f>IFERROR(COUNTIF([1]Village!$BR:$BR,표1[[#This Row],[명칭]]),"-")</f>
        <v>0</v>
      </c>
      <c r="M175" s="38">
        <f>COUNTIF(퀘스트!B:B,표1[[#This Row],[명칭]])</f>
        <v>0</v>
      </c>
      <c r="N175" s="65">
        <f>COUNTIF([1]VillageDiscoveryGroup!$C:$C,표1[[#This Row],[명칭]])</f>
        <v>0</v>
      </c>
      <c r="O175" s="65">
        <f>SUM(표1[[#This Row],[해양탐색]:[마을탐험]])</f>
        <v>0</v>
      </c>
    </row>
    <row r="176" spans="2:15" ht="13.5" customHeight="1" x14ac:dyDescent="0.3">
      <c r="B176" s="9">
        <f>[1]Discovery!A182</f>
        <v>70402012</v>
      </c>
      <c r="C176" s="9" t="str">
        <f>[1]Discovery!B182</f>
        <v>나라싱하상</v>
      </c>
      <c r="D176" s="9" t="str">
        <f>[1]Discovery!E182</f>
        <v>유물</v>
      </c>
      <c r="E176" s="9" t="str">
        <f>[1]Discovery!C182</f>
        <v>종교유물</v>
      </c>
      <c r="F176" s="9" t="str">
        <f>[1]Discovery!G182</f>
        <v>C</v>
      </c>
      <c r="G176" s="9" t="str">
        <f>IFERROR(VLOOKUP(표1[[#This Row],[명칭]],'문화권 정리'!C:D,2,FALSE),"-")</f>
        <v>동남아시아</v>
      </c>
      <c r="H176" s="38" t="str">
        <f>IFERROR(COUNTIF([2]OceanDoodad!$Y:$Y,표1[[#This Row],[명칭]]),"-")</f>
        <v>-</v>
      </c>
      <c r="I176" s="38">
        <f>IFERROR(COUNTIF([1]AdventureDiscoveryGroup!$D$8:$AW$92,표1[[#This Row],[명칭]]),"-")</f>
        <v>0</v>
      </c>
      <c r="J176" s="38">
        <f>IFERROR(COUNTIF([1]FishDiscoveryGroup!$A:$X,표1[[#This Row],[명칭]]),"-")</f>
        <v>0</v>
      </c>
      <c r="K176" s="38" t="str">
        <f>IFERROR(COUNTIF([2]Town!$B:$B,표1[[#This Row],[명칭]]),"-")</f>
        <v>-</v>
      </c>
      <c r="L176" s="38">
        <f>IFERROR(COUNTIF([1]Village!$BR:$BR,표1[[#This Row],[명칭]]),"-")</f>
        <v>0</v>
      </c>
      <c r="M176" s="38">
        <f>COUNTIF(퀘스트!B:B,표1[[#This Row],[명칭]])</f>
        <v>0</v>
      </c>
      <c r="N176" s="65">
        <f>COUNTIF([1]VillageDiscoveryGroup!$C:$C,표1[[#This Row],[명칭]])</f>
        <v>0</v>
      </c>
      <c r="O176" s="65">
        <f>SUM(표1[[#This Row],[해양탐색]:[마을탐험]])</f>
        <v>0</v>
      </c>
    </row>
    <row r="177" spans="2:15" ht="13.5" customHeight="1" x14ac:dyDescent="0.3">
      <c r="B177" s="9">
        <f>[1]Discovery!A183</f>
        <v>70402013</v>
      </c>
      <c r="C177" s="9" t="str">
        <f>[1]Discovery!B183</f>
        <v>남해기귀내법전</v>
      </c>
      <c r="D177" s="9" t="str">
        <f>[1]Discovery!E183</f>
        <v>유물</v>
      </c>
      <c r="E177" s="9" t="str">
        <f>[1]Discovery!C183</f>
        <v>종교유물</v>
      </c>
      <c r="F177" s="9" t="str">
        <f>[1]Discovery!G183</f>
        <v>C</v>
      </c>
      <c r="G177" s="9" t="str">
        <f>IFERROR(VLOOKUP(표1[[#This Row],[명칭]],'문화권 정리'!C:D,2,FALSE),"-")</f>
        <v>동아시아</v>
      </c>
      <c r="H177" s="38" t="str">
        <f>IFERROR(COUNTIF([2]OceanDoodad!$Y:$Y,표1[[#This Row],[명칭]]),"-")</f>
        <v>-</v>
      </c>
      <c r="I177" s="38">
        <f>IFERROR(COUNTIF([1]AdventureDiscoveryGroup!$D$8:$AW$92,표1[[#This Row],[명칭]]),"-")</f>
        <v>1</v>
      </c>
      <c r="J177" s="38">
        <f>IFERROR(COUNTIF([1]FishDiscoveryGroup!$A:$X,표1[[#This Row],[명칭]]),"-")</f>
        <v>0</v>
      </c>
      <c r="K177" s="38" t="str">
        <f>IFERROR(COUNTIF([2]Town!$B:$B,표1[[#This Row],[명칭]]),"-")</f>
        <v>-</v>
      </c>
      <c r="L177" s="38">
        <f>IFERROR(COUNTIF([1]Village!$BR:$BR,표1[[#This Row],[명칭]]),"-")</f>
        <v>0</v>
      </c>
      <c r="M177" s="38">
        <f>COUNTIF(퀘스트!B:B,표1[[#This Row],[명칭]])</f>
        <v>0</v>
      </c>
      <c r="N177" s="65">
        <f>COUNTIF([1]VillageDiscoveryGroup!$C:$C,표1[[#This Row],[명칭]])</f>
        <v>0</v>
      </c>
      <c r="O177" s="65">
        <f>SUM(표1[[#This Row],[해양탐색]:[마을탐험]])</f>
        <v>1</v>
      </c>
    </row>
    <row r="178" spans="2:15" ht="13.5" customHeight="1" x14ac:dyDescent="0.3">
      <c r="B178" s="9">
        <f>[1]Discovery!A184</f>
        <v>70402014</v>
      </c>
      <c r="C178" s="9" t="str">
        <f>[1]Discovery!B184</f>
        <v>냐미냐미상</v>
      </c>
      <c r="D178" s="9" t="str">
        <f>[1]Discovery!E184</f>
        <v>유물</v>
      </c>
      <c r="E178" s="9" t="str">
        <f>[1]Discovery!C184</f>
        <v>종교유물</v>
      </c>
      <c r="F178" s="9" t="str">
        <f>[1]Discovery!G184</f>
        <v>S</v>
      </c>
      <c r="G178" s="9" t="str">
        <f>IFERROR(VLOOKUP(표1[[#This Row],[명칭]],'문화권 정리'!C:D,2,FALSE),"-")</f>
        <v>동아프리카</v>
      </c>
      <c r="H178" s="38" t="str">
        <f>IFERROR(COUNTIF([2]OceanDoodad!$Y:$Y,표1[[#This Row],[명칭]]),"-")</f>
        <v>-</v>
      </c>
      <c r="I178" s="38">
        <f>IFERROR(COUNTIF([1]AdventureDiscoveryGroup!$D$8:$AW$92,표1[[#This Row],[명칭]]),"-")</f>
        <v>1</v>
      </c>
      <c r="J178" s="38">
        <f>IFERROR(COUNTIF([1]FishDiscoveryGroup!$A:$X,표1[[#This Row],[명칭]]),"-")</f>
        <v>0</v>
      </c>
      <c r="K178" s="38" t="str">
        <f>IFERROR(COUNTIF([2]Town!$B:$B,표1[[#This Row],[명칭]]),"-")</f>
        <v>-</v>
      </c>
      <c r="L178" s="38">
        <f>IFERROR(COUNTIF([1]Village!$BR:$BR,표1[[#This Row],[명칭]]),"-")</f>
        <v>0</v>
      </c>
      <c r="M178" s="38">
        <f>COUNTIF(퀘스트!B:B,표1[[#This Row],[명칭]])</f>
        <v>0</v>
      </c>
      <c r="N178" s="65">
        <f>COUNTIF([1]VillageDiscoveryGroup!$C:$C,표1[[#This Row],[명칭]])</f>
        <v>0</v>
      </c>
      <c r="O178" s="65">
        <f>SUM(표1[[#This Row],[해양탐색]:[마을탐험]])</f>
        <v>1</v>
      </c>
    </row>
    <row r="179" spans="2:15" ht="13.5" customHeight="1" x14ac:dyDescent="0.3">
      <c r="B179" s="9">
        <f>[1]Discovery!A185</f>
        <v>70402015</v>
      </c>
      <c r="C179" s="9" t="str">
        <f>[1]Discovery!B185</f>
        <v>냐우의 가면</v>
      </c>
      <c r="D179" s="9" t="str">
        <f>[1]Discovery!E185</f>
        <v>유물</v>
      </c>
      <c r="E179" s="9" t="str">
        <f>[1]Discovery!C185</f>
        <v>종교유물</v>
      </c>
      <c r="F179" s="9" t="str">
        <f>[1]Discovery!G185</f>
        <v>A</v>
      </c>
      <c r="G179" s="9" t="str">
        <f>IFERROR(VLOOKUP(표1[[#This Row],[명칭]],'문화권 정리'!C:D,2,FALSE),"-")</f>
        <v>동아프리카</v>
      </c>
      <c r="H179" s="38" t="str">
        <f>IFERROR(COUNTIF([2]OceanDoodad!$Y:$Y,표1[[#This Row],[명칭]]),"-")</f>
        <v>-</v>
      </c>
      <c r="I179" s="38">
        <f>IFERROR(COUNTIF([1]AdventureDiscoveryGroup!$D$8:$AW$92,표1[[#This Row],[명칭]]),"-")</f>
        <v>0</v>
      </c>
      <c r="J179" s="38">
        <f>IFERROR(COUNTIF([1]FishDiscoveryGroup!$A:$X,표1[[#This Row],[명칭]]),"-")</f>
        <v>0</v>
      </c>
      <c r="K179" s="38" t="str">
        <f>IFERROR(COUNTIF([2]Town!$B:$B,표1[[#This Row],[명칭]]),"-")</f>
        <v>-</v>
      </c>
      <c r="L179" s="38">
        <f>IFERROR(COUNTIF([1]Village!$BR:$BR,표1[[#This Row],[명칭]]),"-")</f>
        <v>0</v>
      </c>
      <c r="M179" s="38">
        <f>COUNTIF(퀘스트!B:B,표1[[#This Row],[명칭]])</f>
        <v>0</v>
      </c>
      <c r="N179" s="65">
        <f>COUNTIF([1]VillageDiscoveryGroup!$C:$C,표1[[#This Row],[명칭]])</f>
        <v>0</v>
      </c>
      <c r="O179" s="65">
        <f>SUM(표1[[#This Row],[해양탐색]:[마을탐험]])</f>
        <v>0</v>
      </c>
    </row>
    <row r="180" spans="2:15" ht="13.5" customHeight="1" x14ac:dyDescent="0.3">
      <c r="B180" s="9">
        <f>[1]Discovery!A186</f>
        <v>70402016</v>
      </c>
      <c r="C180" s="9" t="str">
        <f>[1]Discovery!B186</f>
        <v>네이트상</v>
      </c>
      <c r="D180" s="9" t="str">
        <f>[1]Discovery!E186</f>
        <v>유물</v>
      </c>
      <c r="E180" s="9" t="str">
        <f>[1]Discovery!C186</f>
        <v>종교유물</v>
      </c>
      <c r="F180" s="9" t="str">
        <f>[1]Discovery!G186</f>
        <v>B</v>
      </c>
      <c r="G180" s="9" t="str">
        <f>IFERROR(VLOOKUP(표1[[#This Row],[명칭]],'문화권 정리'!C:D,2,FALSE),"-")</f>
        <v>북아프리카</v>
      </c>
      <c r="H180" s="38" t="str">
        <f>IFERROR(COUNTIF([2]OceanDoodad!$Y:$Y,표1[[#This Row],[명칭]]),"-")</f>
        <v>-</v>
      </c>
      <c r="I180" s="38">
        <f>IFERROR(COUNTIF([1]AdventureDiscoveryGroup!$D$8:$AW$92,표1[[#This Row],[명칭]]),"-")</f>
        <v>0</v>
      </c>
      <c r="J180" s="38">
        <f>IFERROR(COUNTIF([1]FishDiscoveryGroup!$A:$X,표1[[#This Row],[명칭]]),"-")</f>
        <v>0</v>
      </c>
      <c r="K180" s="38" t="str">
        <f>IFERROR(COUNTIF([2]Town!$B:$B,표1[[#This Row],[명칭]]),"-")</f>
        <v>-</v>
      </c>
      <c r="L180" s="38">
        <f>IFERROR(COUNTIF([1]Village!$BR:$BR,표1[[#This Row],[명칭]]),"-")</f>
        <v>0</v>
      </c>
      <c r="M180" s="38">
        <f>COUNTIF(퀘스트!B:B,표1[[#This Row],[명칭]])</f>
        <v>0</v>
      </c>
      <c r="N180" s="65">
        <f>COUNTIF([1]VillageDiscoveryGroup!$C:$C,표1[[#This Row],[명칭]])</f>
        <v>0</v>
      </c>
      <c r="O180" s="65">
        <f>SUM(표1[[#This Row],[해양탐색]:[마을탐험]])</f>
        <v>0</v>
      </c>
    </row>
    <row r="181" spans="2:15" ht="13.5" customHeight="1" x14ac:dyDescent="0.3">
      <c r="B181" s="9">
        <f>[1]Discovery!A187</f>
        <v>70402017</v>
      </c>
      <c r="C181" s="9" t="str">
        <f>[1]Discovery!B187</f>
        <v>논어</v>
      </c>
      <c r="D181" s="9" t="str">
        <f>[1]Discovery!E187</f>
        <v>유물</v>
      </c>
      <c r="E181" s="9" t="str">
        <f>[1]Discovery!C187</f>
        <v>종교유물</v>
      </c>
      <c r="F181" s="9" t="str">
        <f>[1]Discovery!G187</f>
        <v>S</v>
      </c>
      <c r="G181" s="9" t="str">
        <f>IFERROR(VLOOKUP(표1[[#This Row],[명칭]],'문화권 정리'!C:D,2,FALSE),"-")</f>
        <v>동아시아</v>
      </c>
      <c r="H181" s="38" t="str">
        <f>IFERROR(COUNTIF([2]OceanDoodad!$Y:$Y,표1[[#This Row],[명칭]]),"-")</f>
        <v>-</v>
      </c>
      <c r="I181" s="38">
        <f>IFERROR(COUNTIF([1]AdventureDiscoveryGroup!$D$8:$AW$92,표1[[#This Row],[명칭]]),"-")</f>
        <v>0</v>
      </c>
      <c r="J181" s="38">
        <f>IFERROR(COUNTIF([1]FishDiscoveryGroup!$A:$X,표1[[#This Row],[명칭]]),"-")</f>
        <v>0</v>
      </c>
      <c r="K181" s="38" t="str">
        <f>IFERROR(COUNTIF([2]Town!$B:$B,표1[[#This Row],[명칭]]),"-")</f>
        <v>-</v>
      </c>
      <c r="L181" s="38">
        <f>IFERROR(COUNTIF([1]Village!$BR:$BR,표1[[#This Row],[명칭]]),"-")</f>
        <v>0</v>
      </c>
      <c r="M181" s="38">
        <f>COUNTIF(퀘스트!B:B,표1[[#This Row],[명칭]])</f>
        <v>1</v>
      </c>
      <c r="N181" s="65">
        <f>COUNTIF([1]VillageDiscoveryGroup!$C:$C,표1[[#This Row],[명칭]])</f>
        <v>0</v>
      </c>
      <c r="O181" s="65">
        <f>SUM(표1[[#This Row],[해양탐색]:[마을탐험]])</f>
        <v>1</v>
      </c>
    </row>
    <row r="182" spans="2:15" ht="13.5" customHeight="1" x14ac:dyDescent="0.3">
      <c r="B182" s="9">
        <f>[1]Discovery!A188</f>
        <v>70402018</v>
      </c>
      <c r="C182" s="9" t="str">
        <f>[1]Discovery!B188</f>
        <v>니벨룽겐의 반지</v>
      </c>
      <c r="D182" s="9" t="str">
        <f>[1]Discovery!E188</f>
        <v>보물</v>
      </c>
      <c r="E182" s="9" t="str">
        <f>[1]Discovery!C188</f>
        <v>보물</v>
      </c>
      <c r="F182" s="9" t="str">
        <f>[1]Discovery!G188</f>
        <v>S</v>
      </c>
      <c r="G182" s="9" t="str">
        <f>IFERROR(VLOOKUP(표1[[#This Row],[명칭]],'문화권 정리'!C:D,2,FALSE),"-")</f>
        <v>북유럽</v>
      </c>
      <c r="H182" s="38" t="str">
        <f>IFERROR(COUNTIF([2]OceanDoodad!$Y:$Y,표1[[#This Row],[명칭]]),"-")</f>
        <v>-</v>
      </c>
      <c r="I182" s="38">
        <f>IFERROR(COUNTIF([1]AdventureDiscoveryGroup!$D$8:$AW$92,표1[[#This Row],[명칭]]),"-")</f>
        <v>0</v>
      </c>
      <c r="J182" s="38">
        <f>IFERROR(COUNTIF([1]FishDiscoveryGroup!$A:$X,표1[[#This Row],[명칭]]),"-")</f>
        <v>0</v>
      </c>
      <c r="K182" s="38" t="str">
        <f>IFERROR(COUNTIF([2]Town!$B:$B,표1[[#This Row],[명칭]]),"-")</f>
        <v>-</v>
      </c>
      <c r="L182" s="38">
        <f>IFERROR(COUNTIF([1]Village!$BR:$BR,표1[[#This Row],[명칭]]),"-")</f>
        <v>0</v>
      </c>
      <c r="M182" s="38">
        <f>COUNTIF(퀘스트!B:B,표1[[#This Row],[명칭]])</f>
        <v>1</v>
      </c>
      <c r="N182" s="65">
        <f>COUNTIF([1]VillageDiscoveryGroup!$C:$C,표1[[#This Row],[명칭]])</f>
        <v>0</v>
      </c>
      <c r="O182" s="65">
        <f>SUM(표1[[#This Row],[해양탐색]:[마을탐험]])</f>
        <v>1</v>
      </c>
    </row>
    <row r="183" spans="2:15" ht="13.5" customHeight="1" x14ac:dyDescent="0.3">
      <c r="B183" s="9">
        <f>[1]Discovery!A189</f>
        <v>70402019</v>
      </c>
      <c r="C183" s="9" t="str">
        <f>[1]Discovery!B189</f>
        <v>니아메상</v>
      </c>
      <c r="D183" s="9" t="str">
        <f>[1]Discovery!E189</f>
        <v>유물</v>
      </c>
      <c r="E183" s="9" t="str">
        <f>[1]Discovery!C189</f>
        <v>종교유물</v>
      </c>
      <c r="F183" s="9" t="str">
        <f>[1]Discovery!G189</f>
        <v>S</v>
      </c>
      <c r="G183" s="9" t="str">
        <f>IFERROR(VLOOKUP(표1[[#This Row],[명칭]],'문화권 정리'!C:D,2,FALSE),"-")</f>
        <v>서아프리카</v>
      </c>
      <c r="H183" s="38" t="str">
        <f>IFERROR(COUNTIF([2]OceanDoodad!$Y:$Y,표1[[#This Row],[명칭]]),"-")</f>
        <v>-</v>
      </c>
      <c r="I183" s="38">
        <f>IFERROR(COUNTIF([1]AdventureDiscoveryGroup!$D$8:$AW$92,표1[[#This Row],[명칭]]),"-")</f>
        <v>0</v>
      </c>
      <c r="J183" s="38">
        <f>IFERROR(COUNTIF([1]FishDiscoveryGroup!$A:$X,표1[[#This Row],[명칭]]),"-")</f>
        <v>0</v>
      </c>
      <c r="K183" s="38" t="str">
        <f>IFERROR(COUNTIF([2]Town!$B:$B,표1[[#This Row],[명칭]]),"-")</f>
        <v>-</v>
      </c>
      <c r="L183" s="38">
        <f>IFERROR(COUNTIF([1]Village!$BR:$BR,표1[[#This Row],[명칭]]),"-")</f>
        <v>0</v>
      </c>
      <c r="M183" s="38">
        <f>COUNTIF(퀘스트!B:B,표1[[#This Row],[명칭]])</f>
        <v>0</v>
      </c>
      <c r="N183" s="65">
        <f>COUNTIF([1]VillageDiscoveryGroup!$C:$C,표1[[#This Row],[명칭]])</f>
        <v>0</v>
      </c>
      <c r="O183" s="65">
        <f>SUM(표1[[#This Row],[해양탐색]:[마을탐험]])</f>
        <v>0</v>
      </c>
    </row>
    <row r="184" spans="2:15" ht="13.5" customHeight="1" x14ac:dyDescent="0.3">
      <c r="B184" s="9">
        <f>[1]Discovery!A190</f>
        <v>70402020</v>
      </c>
      <c r="C184" s="9" t="str">
        <f>[1]Discovery!B190</f>
        <v>다니엘서</v>
      </c>
      <c r="D184" s="9" t="str">
        <f>[1]Discovery!E190</f>
        <v>유물</v>
      </c>
      <c r="E184" s="9" t="str">
        <f>[1]Discovery!C190</f>
        <v>종교유물</v>
      </c>
      <c r="F184" s="9" t="str">
        <f>[1]Discovery!G190</f>
        <v>A</v>
      </c>
      <c r="G184" s="9" t="str">
        <f>IFERROR(VLOOKUP(표1[[#This Row],[명칭]],'문화권 정리'!C:D,2,FALSE),"-")</f>
        <v>서남아시아</v>
      </c>
      <c r="H184" s="38" t="str">
        <f>IFERROR(COUNTIF([2]OceanDoodad!$Y:$Y,표1[[#This Row],[명칭]]),"-")</f>
        <v>-</v>
      </c>
      <c r="I184" s="38">
        <f>IFERROR(COUNTIF([1]AdventureDiscoveryGroup!$D$8:$AW$92,표1[[#This Row],[명칭]]),"-")</f>
        <v>0</v>
      </c>
      <c r="J184" s="38">
        <f>IFERROR(COUNTIF([1]FishDiscoveryGroup!$A:$X,표1[[#This Row],[명칭]]),"-")</f>
        <v>0</v>
      </c>
      <c r="K184" s="38" t="str">
        <f>IFERROR(COUNTIF([2]Town!$B:$B,표1[[#This Row],[명칭]]),"-")</f>
        <v>-</v>
      </c>
      <c r="L184" s="38">
        <f>IFERROR(COUNTIF([1]Village!$BR:$BR,표1[[#This Row],[명칭]]),"-")</f>
        <v>0</v>
      </c>
      <c r="M184" s="38">
        <f>COUNTIF(퀘스트!B:B,표1[[#This Row],[명칭]])</f>
        <v>0</v>
      </c>
      <c r="N184" s="65">
        <f>COUNTIF([1]VillageDiscoveryGroup!$C:$C,표1[[#This Row],[명칭]])</f>
        <v>0</v>
      </c>
      <c r="O184" s="65">
        <f>SUM(표1[[#This Row],[해양탐색]:[마을탐험]])</f>
        <v>0</v>
      </c>
    </row>
    <row r="185" spans="2:15" ht="13.5" customHeight="1" x14ac:dyDescent="0.3">
      <c r="B185" s="9">
        <f>[1]Discovery!A191</f>
        <v>70402021</v>
      </c>
      <c r="C185" s="9" t="str">
        <f>[1]Discovery!B191</f>
        <v>다즈보그의 부조</v>
      </c>
      <c r="D185" s="9" t="str">
        <f>[1]Discovery!E191</f>
        <v>유물</v>
      </c>
      <c r="E185" s="9" t="str">
        <f>[1]Discovery!C191</f>
        <v>종교유물</v>
      </c>
      <c r="F185" s="9" t="str">
        <f>[1]Discovery!G191</f>
        <v>B</v>
      </c>
      <c r="G185" s="9" t="str">
        <f>IFERROR(VLOOKUP(표1[[#This Row],[명칭]],'문화권 정리'!C:D,2,FALSE),"-")</f>
        <v>지중해</v>
      </c>
      <c r="H185" s="38" t="str">
        <f>IFERROR(COUNTIF([2]OceanDoodad!$Y:$Y,표1[[#This Row],[명칭]]),"-")</f>
        <v>-</v>
      </c>
      <c r="I185" s="38">
        <f>IFERROR(COUNTIF([1]AdventureDiscoveryGroup!$D$8:$AW$92,표1[[#This Row],[명칭]]),"-")</f>
        <v>1</v>
      </c>
      <c r="J185" s="38">
        <f>IFERROR(COUNTIF([1]FishDiscoveryGroup!$A:$X,표1[[#This Row],[명칭]]),"-")</f>
        <v>0</v>
      </c>
      <c r="K185" s="38" t="str">
        <f>IFERROR(COUNTIF([2]Town!$B:$B,표1[[#This Row],[명칭]]),"-")</f>
        <v>-</v>
      </c>
      <c r="L185" s="38">
        <f>IFERROR(COUNTIF([1]Village!$BR:$BR,표1[[#This Row],[명칭]]),"-")</f>
        <v>0</v>
      </c>
      <c r="M185" s="38">
        <f>COUNTIF(퀘스트!B:B,표1[[#This Row],[명칭]])</f>
        <v>0</v>
      </c>
      <c r="N185" s="65">
        <f>COUNTIF([1]VillageDiscoveryGroup!$C:$C,표1[[#This Row],[명칭]])</f>
        <v>0</v>
      </c>
      <c r="O185" s="65">
        <f>SUM(표1[[#This Row],[해양탐색]:[마을탐험]])</f>
        <v>1</v>
      </c>
    </row>
    <row r="186" spans="2:15" ht="13.5" customHeight="1" x14ac:dyDescent="0.3">
      <c r="B186" s="9">
        <f>[1]Discovery!A192</f>
        <v>70402022</v>
      </c>
      <c r="C186" s="9" t="str">
        <f>[1]Discovery!B192</f>
        <v>도조지의 종</v>
      </c>
      <c r="D186" s="9" t="str">
        <f>[1]Discovery!E192</f>
        <v>유물</v>
      </c>
      <c r="E186" s="9" t="str">
        <f>[1]Discovery!C192</f>
        <v>종교유물</v>
      </c>
      <c r="F186" s="9" t="str">
        <f>[1]Discovery!G192</f>
        <v>A</v>
      </c>
      <c r="G186" s="9" t="str">
        <f>IFERROR(VLOOKUP(표1[[#This Row],[명칭]],'문화권 정리'!C:D,2,FALSE),"-")</f>
        <v>동아시아</v>
      </c>
      <c r="H186" s="38" t="str">
        <f>IFERROR(COUNTIF([2]OceanDoodad!$Y:$Y,표1[[#This Row],[명칭]]),"-")</f>
        <v>-</v>
      </c>
      <c r="I186" s="38">
        <f>IFERROR(COUNTIF([1]AdventureDiscoveryGroup!$D$8:$AW$92,표1[[#This Row],[명칭]]),"-")</f>
        <v>0</v>
      </c>
      <c r="J186" s="38">
        <f>IFERROR(COUNTIF([1]FishDiscoveryGroup!$A:$X,표1[[#This Row],[명칭]]),"-")</f>
        <v>0</v>
      </c>
      <c r="K186" s="38" t="str">
        <f>IFERROR(COUNTIF([2]Town!$B:$B,표1[[#This Row],[명칭]]),"-")</f>
        <v>-</v>
      </c>
      <c r="L186" s="38">
        <f>IFERROR(COUNTIF([1]Village!$BR:$BR,표1[[#This Row],[명칭]]),"-")</f>
        <v>0</v>
      </c>
      <c r="M186" s="38">
        <f>COUNTIF(퀘스트!B:B,표1[[#This Row],[명칭]])</f>
        <v>1</v>
      </c>
      <c r="N186" s="65">
        <f>COUNTIF([1]VillageDiscoveryGroup!$C:$C,표1[[#This Row],[명칭]])</f>
        <v>0</v>
      </c>
      <c r="O186" s="65">
        <f>SUM(표1[[#This Row],[해양탐색]:[마을탐험]])</f>
        <v>1</v>
      </c>
    </row>
    <row r="187" spans="2:15" ht="13.5" customHeight="1" x14ac:dyDescent="0.3">
      <c r="B187" s="9">
        <f>[1]Discovery!A193</f>
        <v>70402023</v>
      </c>
      <c r="C187" s="9" t="str">
        <f>[1]Discovery!B193</f>
        <v>드와라팔라상</v>
      </c>
      <c r="D187" s="9" t="str">
        <f>[1]Discovery!E193</f>
        <v>유물</v>
      </c>
      <c r="E187" s="9" t="str">
        <f>[1]Discovery!C193</f>
        <v>종교유물</v>
      </c>
      <c r="F187" s="9" t="str">
        <f>[1]Discovery!G193</f>
        <v>D</v>
      </c>
      <c r="G187" s="9" t="str">
        <f>IFERROR(VLOOKUP(표1[[#This Row],[명칭]],'문화권 정리'!C:D,2,FALSE),"-")</f>
        <v>동남아시아</v>
      </c>
      <c r="H187" s="38" t="str">
        <f>IFERROR(COUNTIF([2]OceanDoodad!$Y:$Y,표1[[#This Row],[명칭]]),"-")</f>
        <v>-</v>
      </c>
      <c r="I187" s="38">
        <f>IFERROR(COUNTIF([1]AdventureDiscoveryGroup!$D$8:$AW$92,표1[[#This Row],[명칭]]),"-")</f>
        <v>0</v>
      </c>
      <c r="J187" s="38">
        <f>IFERROR(COUNTIF([1]FishDiscoveryGroup!$A:$X,표1[[#This Row],[명칭]]),"-")</f>
        <v>0</v>
      </c>
      <c r="K187" s="38" t="str">
        <f>IFERROR(COUNTIF([2]Town!$B:$B,표1[[#This Row],[명칭]]),"-")</f>
        <v>-</v>
      </c>
      <c r="L187" s="38">
        <f>IFERROR(COUNTIF([1]Village!$BR:$BR,표1[[#This Row],[명칭]]),"-")</f>
        <v>0</v>
      </c>
      <c r="M187" s="38">
        <f>COUNTIF(퀘스트!B:B,표1[[#This Row],[명칭]])</f>
        <v>0</v>
      </c>
      <c r="N187" s="65">
        <f>COUNTIF([1]VillageDiscoveryGroup!$C:$C,표1[[#This Row],[명칭]])</f>
        <v>0</v>
      </c>
      <c r="O187" s="65">
        <f>SUM(표1[[#This Row],[해양탐색]:[마을탐험]])</f>
        <v>0</v>
      </c>
    </row>
    <row r="188" spans="2:15" ht="13.5" customHeight="1" x14ac:dyDescent="0.3">
      <c r="B188" s="9">
        <f>[1]Discovery!A194</f>
        <v>70402024</v>
      </c>
      <c r="C188" s="9" t="str">
        <f>[1]Discovery!B194</f>
        <v>락슈미 조각상</v>
      </c>
      <c r="D188" s="9" t="str">
        <f>[1]Discovery!E194</f>
        <v>유물</v>
      </c>
      <c r="E188" s="9" t="str">
        <f>[1]Discovery!C194</f>
        <v>종교유물</v>
      </c>
      <c r="F188" s="9" t="str">
        <f>[1]Discovery!G194</f>
        <v>C</v>
      </c>
      <c r="G188" s="9" t="str">
        <f>IFERROR(VLOOKUP(표1[[#This Row],[명칭]],'문화권 정리'!C:D,2,FALSE),"-")</f>
        <v>동남아시아</v>
      </c>
      <c r="H188" s="38" t="str">
        <f>IFERROR(COUNTIF([2]OceanDoodad!$Y:$Y,표1[[#This Row],[명칭]]),"-")</f>
        <v>-</v>
      </c>
      <c r="I188" s="38">
        <f>IFERROR(COUNTIF([1]AdventureDiscoveryGroup!$D$8:$AW$92,표1[[#This Row],[명칭]]),"-")</f>
        <v>0</v>
      </c>
      <c r="J188" s="38">
        <f>IFERROR(COUNTIF([1]FishDiscoveryGroup!$A:$X,표1[[#This Row],[명칭]]),"-")</f>
        <v>0</v>
      </c>
      <c r="K188" s="38" t="str">
        <f>IFERROR(COUNTIF([2]Town!$B:$B,표1[[#This Row],[명칭]]),"-")</f>
        <v>-</v>
      </c>
      <c r="L188" s="38">
        <f>IFERROR(COUNTIF([1]Village!$BR:$BR,표1[[#This Row],[명칭]]),"-")</f>
        <v>0</v>
      </c>
      <c r="M188" s="38">
        <f>COUNTIF(퀘스트!B:B,표1[[#This Row],[명칭]])</f>
        <v>0</v>
      </c>
      <c r="N188" s="65">
        <f>COUNTIF([1]VillageDiscoveryGroup!$C:$C,표1[[#This Row],[명칭]])</f>
        <v>0</v>
      </c>
      <c r="O188" s="65">
        <f>SUM(표1[[#This Row],[해양탐색]:[마을탐험]])</f>
        <v>0</v>
      </c>
    </row>
    <row r="189" spans="2:15" ht="13.5" customHeight="1" x14ac:dyDescent="0.3">
      <c r="B189" s="9">
        <f>[1]Discovery!A195</f>
        <v>70402025</v>
      </c>
      <c r="C189" s="9" t="str">
        <f>[1]Discovery!B195</f>
        <v>락슈미의 부조</v>
      </c>
      <c r="D189" s="9" t="str">
        <f>[1]Discovery!E195</f>
        <v>유물</v>
      </c>
      <c r="E189" s="9" t="str">
        <f>[1]Discovery!C195</f>
        <v>종교유물</v>
      </c>
      <c r="F189" s="9" t="str">
        <f>[1]Discovery!G195</f>
        <v>D</v>
      </c>
      <c r="G189" s="9" t="str">
        <f>IFERROR(VLOOKUP(표1[[#This Row],[명칭]],'문화권 정리'!C:D,2,FALSE),"-")</f>
        <v>동남아시아</v>
      </c>
      <c r="H189" s="38" t="str">
        <f>IFERROR(COUNTIF([2]OceanDoodad!$Y:$Y,표1[[#This Row],[명칭]]),"-")</f>
        <v>-</v>
      </c>
      <c r="I189" s="38">
        <f>IFERROR(COUNTIF([1]AdventureDiscoveryGroup!$D$8:$AW$92,표1[[#This Row],[명칭]]),"-")</f>
        <v>0</v>
      </c>
      <c r="J189" s="38">
        <f>IFERROR(COUNTIF([1]FishDiscoveryGroup!$A:$X,표1[[#This Row],[명칭]]),"-")</f>
        <v>0</v>
      </c>
      <c r="K189" s="38" t="str">
        <f>IFERROR(COUNTIF([2]Town!$B:$B,표1[[#This Row],[명칭]]),"-")</f>
        <v>-</v>
      </c>
      <c r="L189" s="38">
        <f>IFERROR(COUNTIF([1]Village!$BR:$BR,표1[[#This Row],[명칭]]),"-")</f>
        <v>0</v>
      </c>
      <c r="M189" s="38">
        <f>COUNTIF(퀘스트!B:B,표1[[#This Row],[명칭]])</f>
        <v>0</v>
      </c>
      <c r="N189" s="65">
        <f>COUNTIF([1]VillageDiscoveryGroup!$C:$C,표1[[#This Row],[명칭]])</f>
        <v>0</v>
      </c>
      <c r="O189" s="65">
        <f>SUM(표1[[#This Row],[해양탐색]:[마을탐험]])</f>
        <v>0</v>
      </c>
    </row>
    <row r="190" spans="2:15" ht="13.5" customHeight="1" x14ac:dyDescent="0.3">
      <c r="B190" s="9">
        <f>[1]Discovery!A196</f>
        <v>70402026</v>
      </c>
      <c r="C190" s="9" t="str">
        <f>[1]Discovery!B196</f>
        <v>란손상</v>
      </c>
      <c r="D190" s="9" t="str">
        <f>[1]Discovery!E196</f>
        <v>유물</v>
      </c>
      <c r="E190" s="9" t="str">
        <f>[1]Discovery!C196</f>
        <v>종교유물</v>
      </c>
      <c r="F190" s="9" t="str">
        <f>[1]Discovery!G196</f>
        <v>C</v>
      </c>
      <c r="G190" s="9" t="str">
        <f>IFERROR(VLOOKUP(표1[[#This Row],[명칭]],'문화권 정리'!C:D,2,FALSE),"-")</f>
        <v>남아메리카</v>
      </c>
      <c r="H190" s="38" t="str">
        <f>IFERROR(COUNTIF([2]OceanDoodad!$Y:$Y,표1[[#This Row],[명칭]]),"-")</f>
        <v>-</v>
      </c>
      <c r="I190" s="38">
        <f>IFERROR(COUNTIF([1]AdventureDiscoveryGroup!$D$8:$AW$92,표1[[#This Row],[명칭]]),"-")</f>
        <v>1</v>
      </c>
      <c r="J190" s="38">
        <f>IFERROR(COUNTIF([1]FishDiscoveryGroup!$A:$X,표1[[#This Row],[명칭]]),"-")</f>
        <v>0</v>
      </c>
      <c r="K190" s="38" t="str">
        <f>IFERROR(COUNTIF([2]Town!$B:$B,표1[[#This Row],[명칭]]),"-")</f>
        <v>-</v>
      </c>
      <c r="L190" s="38">
        <f>IFERROR(COUNTIF([1]Village!$BR:$BR,표1[[#This Row],[명칭]]),"-")</f>
        <v>0</v>
      </c>
      <c r="M190" s="38">
        <f>COUNTIF(퀘스트!B:B,표1[[#This Row],[명칭]])</f>
        <v>0</v>
      </c>
      <c r="N190" s="65">
        <f>COUNTIF([1]VillageDiscoveryGroup!$C:$C,표1[[#This Row],[명칭]])</f>
        <v>0</v>
      </c>
      <c r="O190" s="65">
        <f>SUM(표1[[#This Row],[해양탐색]:[마을탐험]])</f>
        <v>1</v>
      </c>
    </row>
    <row r="191" spans="2:15" ht="13.5" customHeight="1" x14ac:dyDescent="0.3">
      <c r="B191" s="9">
        <f>[1]Discovery!A197</f>
        <v>70402027</v>
      </c>
      <c r="C191" s="9" t="str">
        <f>[1]Discovery!B197</f>
        <v>롱기누스의 창</v>
      </c>
      <c r="D191" s="9" t="str">
        <f>[1]Discovery!E197</f>
        <v>보물</v>
      </c>
      <c r="E191" s="9" t="str">
        <f>[1]Discovery!C197</f>
        <v>보물</v>
      </c>
      <c r="F191" s="9" t="str">
        <f>[1]Discovery!G197</f>
        <v>S</v>
      </c>
      <c r="G191" s="9" t="str">
        <f>IFERROR(VLOOKUP(표1[[#This Row],[명칭]],'문화권 정리'!C:D,2,FALSE),"-")</f>
        <v>서남아시아</v>
      </c>
      <c r="H191" s="38" t="str">
        <f>IFERROR(COUNTIF([2]OceanDoodad!$Y:$Y,표1[[#This Row],[명칭]]),"-")</f>
        <v>-</v>
      </c>
      <c r="I191" s="38">
        <f>IFERROR(COUNTIF([1]AdventureDiscoveryGroup!$D$8:$AW$92,표1[[#This Row],[명칭]]),"-")</f>
        <v>0</v>
      </c>
      <c r="J191" s="38">
        <f>IFERROR(COUNTIF([1]FishDiscoveryGroup!$A:$X,표1[[#This Row],[명칭]]),"-")</f>
        <v>0</v>
      </c>
      <c r="K191" s="38" t="str">
        <f>IFERROR(COUNTIF([2]Town!$B:$B,표1[[#This Row],[명칭]]),"-")</f>
        <v>-</v>
      </c>
      <c r="L191" s="38">
        <f>IFERROR(COUNTIF([1]Village!$BR:$BR,표1[[#This Row],[명칭]]),"-")</f>
        <v>0</v>
      </c>
      <c r="M191" s="38">
        <f>COUNTIF(퀘스트!B:B,표1[[#This Row],[명칭]])</f>
        <v>1</v>
      </c>
      <c r="N191" s="65">
        <f>COUNTIF([1]VillageDiscoveryGroup!$C:$C,표1[[#This Row],[명칭]])</f>
        <v>0</v>
      </c>
      <c r="O191" s="65">
        <f>SUM(표1[[#This Row],[해양탐색]:[마을탐험]])</f>
        <v>1</v>
      </c>
    </row>
    <row r="192" spans="2:15" ht="13.5" customHeight="1" x14ac:dyDescent="0.3">
      <c r="B192" s="9">
        <f>[1]Discovery!A198</f>
        <v>70402028</v>
      </c>
      <c r="C192" s="9" t="str">
        <f>[1]Discovery!B198</f>
        <v>리그베다</v>
      </c>
      <c r="D192" s="9" t="str">
        <f>[1]Discovery!E198</f>
        <v>유물</v>
      </c>
      <c r="E192" s="9" t="str">
        <f>[1]Discovery!C198</f>
        <v>종교유물</v>
      </c>
      <c r="F192" s="9" t="str">
        <f>[1]Discovery!G198</f>
        <v>S</v>
      </c>
      <c r="G192" s="9" t="str">
        <f>IFERROR(VLOOKUP(표1[[#This Row],[명칭]],'문화권 정리'!C:D,2,FALSE),"-")</f>
        <v>동남아시아</v>
      </c>
      <c r="H192" s="38" t="str">
        <f>IFERROR(COUNTIF([2]OceanDoodad!$Y:$Y,표1[[#This Row],[명칭]]),"-")</f>
        <v>-</v>
      </c>
      <c r="I192" s="38">
        <f>IFERROR(COUNTIF([1]AdventureDiscoveryGroup!$D$8:$AW$92,표1[[#This Row],[명칭]]),"-")</f>
        <v>0</v>
      </c>
      <c r="J192" s="38">
        <f>IFERROR(COUNTIF([1]FishDiscoveryGroup!$A:$X,표1[[#This Row],[명칭]]),"-")</f>
        <v>0</v>
      </c>
      <c r="K192" s="38" t="str">
        <f>IFERROR(COUNTIF([2]Town!$B:$B,표1[[#This Row],[명칭]]),"-")</f>
        <v>-</v>
      </c>
      <c r="L192" s="38">
        <f>IFERROR(COUNTIF([1]Village!$BR:$BR,표1[[#This Row],[명칭]]),"-")</f>
        <v>0</v>
      </c>
      <c r="M192" s="38">
        <f>COUNTIF(퀘스트!B:B,표1[[#This Row],[명칭]])</f>
        <v>1</v>
      </c>
      <c r="N192" s="65">
        <f>COUNTIF([1]VillageDiscoveryGroup!$C:$C,표1[[#This Row],[명칭]])</f>
        <v>0</v>
      </c>
      <c r="O192" s="65">
        <f>SUM(표1[[#This Row],[해양탐색]:[마을탐험]])</f>
        <v>1</v>
      </c>
    </row>
    <row r="193" spans="2:15" ht="13.5" customHeight="1" x14ac:dyDescent="0.3">
      <c r="B193" s="9">
        <f>[1]Discovery!A199</f>
        <v>70402029</v>
      </c>
      <c r="C193" s="9" t="str">
        <f>[1]Discovery!B199</f>
        <v>마누법전</v>
      </c>
      <c r="D193" s="9" t="str">
        <f>[1]Discovery!E199</f>
        <v>유물</v>
      </c>
      <c r="E193" s="9" t="str">
        <f>[1]Discovery!C199</f>
        <v>종교유물</v>
      </c>
      <c r="F193" s="9" t="str">
        <f>[1]Discovery!G199</f>
        <v>S</v>
      </c>
      <c r="G193" s="9" t="str">
        <f>IFERROR(VLOOKUP(표1[[#This Row],[명칭]],'문화권 정리'!C:D,2,FALSE),"-")</f>
        <v>동남아시아</v>
      </c>
      <c r="H193" s="38" t="str">
        <f>IFERROR(COUNTIF([2]OceanDoodad!$Y:$Y,표1[[#This Row],[명칭]]),"-")</f>
        <v>-</v>
      </c>
      <c r="I193" s="38">
        <f>IFERROR(COUNTIF([1]AdventureDiscoveryGroup!$D$8:$AW$92,표1[[#This Row],[명칭]]),"-")</f>
        <v>0</v>
      </c>
      <c r="J193" s="38">
        <f>IFERROR(COUNTIF([1]FishDiscoveryGroup!$A:$X,표1[[#This Row],[명칭]]),"-")</f>
        <v>0</v>
      </c>
      <c r="K193" s="38" t="str">
        <f>IFERROR(COUNTIF([2]Town!$B:$B,표1[[#This Row],[명칭]]),"-")</f>
        <v>-</v>
      </c>
      <c r="L193" s="38">
        <f>IFERROR(COUNTIF([1]Village!$BR:$BR,표1[[#This Row],[명칭]]),"-")</f>
        <v>0</v>
      </c>
      <c r="M193" s="38">
        <f>COUNTIF(퀘스트!B:B,표1[[#This Row],[명칭]])</f>
        <v>0</v>
      </c>
      <c r="N193" s="65">
        <f>COUNTIF([1]VillageDiscoveryGroup!$C:$C,표1[[#This Row],[명칭]])</f>
        <v>0</v>
      </c>
      <c r="O193" s="65">
        <f>SUM(표1[[#This Row],[해양탐색]:[마을탐험]])</f>
        <v>0</v>
      </c>
    </row>
    <row r="194" spans="2:15" ht="13.5" customHeight="1" x14ac:dyDescent="0.3">
      <c r="B194" s="9">
        <f>[1]Discovery!A200</f>
        <v>70402030</v>
      </c>
      <c r="C194" s="9" t="str">
        <f>[1]Discovery!B200</f>
        <v>마조상</v>
      </c>
      <c r="D194" s="9" t="str">
        <f>[1]Discovery!E200</f>
        <v>유물</v>
      </c>
      <c r="E194" s="9" t="str">
        <f>[1]Discovery!C200</f>
        <v>종교유물</v>
      </c>
      <c r="F194" s="9" t="str">
        <f>[1]Discovery!G200</f>
        <v>S</v>
      </c>
      <c r="G194" s="9" t="str">
        <f>IFERROR(VLOOKUP(표1[[#This Row],[명칭]],'문화권 정리'!C:D,2,FALSE),"-")</f>
        <v>동아시아</v>
      </c>
      <c r="H194" s="38" t="str">
        <f>IFERROR(COUNTIF([2]OceanDoodad!$Y:$Y,표1[[#This Row],[명칭]]),"-")</f>
        <v>-</v>
      </c>
      <c r="I194" s="38">
        <f>IFERROR(COUNTIF([1]AdventureDiscoveryGroup!$D$8:$AW$92,표1[[#This Row],[명칭]]),"-")</f>
        <v>0</v>
      </c>
      <c r="J194" s="38">
        <f>IFERROR(COUNTIF([1]FishDiscoveryGroup!$A:$X,표1[[#This Row],[명칭]]),"-")</f>
        <v>0</v>
      </c>
      <c r="K194" s="38" t="str">
        <f>IFERROR(COUNTIF([2]Town!$B:$B,표1[[#This Row],[명칭]]),"-")</f>
        <v>-</v>
      </c>
      <c r="L194" s="38">
        <f>IFERROR(COUNTIF([1]Village!$BR:$BR,표1[[#This Row],[명칭]]),"-")</f>
        <v>0</v>
      </c>
      <c r="M194" s="38">
        <f>COUNTIF(퀘스트!B:B,표1[[#This Row],[명칭]])</f>
        <v>0</v>
      </c>
      <c r="N194" s="65">
        <f>COUNTIF([1]VillageDiscoveryGroup!$C:$C,표1[[#This Row],[명칭]])</f>
        <v>0</v>
      </c>
      <c r="O194" s="65">
        <f>SUM(표1[[#This Row],[해양탐색]:[마을탐험]])</f>
        <v>0</v>
      </c>
    </row>
    <row r="195" spans="2:15" ht="13.5" customHeight="1" x14ac:dyDescent="0.3">
      <c r="B195" s="9">
        <f>[1]Discovery!A201</f>
        <v>70402031</v>
      </c>
      <c r="C195" s="9" t="str">
        <f>[1]Discovery!B201</f>
        <v>마케마케 암각화</v>
      </c>
      <c r="D195" s="9" t="str">
        <f>[1]Discovery!E201</f>
        <v>유물</v>
      </c>
      <c r="E195" s="9" t="str">
        <f>[1]Discovery!C201</f>
        <v>종교유물</v>
      </c>
      <c r="F195" s="9" t="str">
        <f>[1]Discovery!G201</f>
        <v>D</v>
      </c>
      <c r="G195" s="9" t="str">
        <f>IFERROR(VLOOKUP(표1[[#This Row],[명칭]],'문화권 정리'!C:D,2,FALSE),"-")</f>
        <v>태평양</v>
      </c>
      <c r="H195" s="38" t="str">
        <f>IFERROR(COUNTIF([2]OceanDoodad!$Y:$Y,표1[[#This Row],[명칭]]),"-")</f>
        <v>-</v>
      </c>
      <c r="I195" s="38">
        <f>IFERROR(COUNTIF([1]AdventureDiscoveryGroup!$D$8:$AW$92,표1[[#This Row],[명칭]]),"-")</f>
        <v>0</v>
      </c>
      <c r="J195" s="38">
        <f>IFERROR(COUNTIF([1]FishDiscoveryGroup!$A:$X,표1[[#This Row],[명칭]]),"-")</f>
        <v>0</v>
      </c>
      <c r="K195" s="38" t="str">
        <f>IFERROR(COUNTIF([2]Town!$B:$B,표1[[#This Row],[명칭]]),"-")</f>
        <v>-</v>
      </c>
      <c r="L195" s="38">
        <f>IFERROR(COUNTIF([1]Village!$BR:$BR,표1[[#This Row],[명칭]]),"-")</f>
        <v>0</v>
      </c>
      <c r="M195" s="38">
        <f>COUNTIF(퀘스트!B:B,표1[[#This Row],[명칭]])</f>
        <v>0</v>
      </c>
      <c r="N195" s="65">
        <f>COUNTIF([1]VillageDiscoveryGroup!$C:$C,표1[[#This Row],[명칭]])</f>
        <v>1</v>
      </c>
      <c r="O195" s="65">
        <f>SUM(표1[[#This Row],[해양탐색]:[마을탐험]])</f>
        <v>1</v>
      </c>
    </row>
    <row r="196" spans="2:15" ht="13.5" customHeight="1" x14ac:dyDescent="0.3">
      <c r="B196" s="9">
        <f>[1]Discovery!A202</f>
        <v>70402032</v>
      </c>
      <c r="C196" s="9" t="str">
        <f>[1]Discovery!B202</f>
        <v>만다라도</v>
      </c>
      <c r="D196" s="9" t="str">
        <f>[1]Discovery!E202</f>
        <v>유물</v>
      </c>
      <c r="E196" s="9" t="str">
        <f>[1]Discovery!C202</f>
        <v>종교유물</v>
      </c>
      <c r="F196" s="9" t="str">
        <f>[1]Discovery!G202</f>
        <v>B</v>
      </c>
      <c r="G196" s="9" t="str">
        <f>IFERROR(VLOOKUP(표1[[#This Row],[명칭]],'문화권 정리'!C:D,2,FALSE),"-")</f>
        <v>남아시아</v>
      </c>
      <c r="H196" s="38" t="str">
        <f>IFERROR(COUNTIF([2]OceanDoodad!$Y:$Y,표1[[#This Row],[명칭]]),"-")</f>
        <v>-</v>
      </c>
      <c r="I196" s="38">
        <f>IFERROR(COUNTIF([1]AdventureDiscoveryGroup!$D$8:$AW$92,표1[[#This Row],[명칭]]),"-")</f>
        <v>1</v>
      </c>
      <c r="J196" s="38">
        <f>IFERROR(COUNTIF([1]FishDiscoveryGroup!$A:$X,표1[[#This Row],[명칭]]),"-")</f>
        <v>0</v>
      </c>
      <c r="K196" s="38" t="str">
        <f>IFERROR(COUNTIF([2]Town!$B:$B,표1[[#This Row],[명칭]]),"-")</f>
        <v>-</v>
      </c>
      <c r="L196" s="38">
        <f>IFERROR(COUNTIF([1]Village!$BR:$BR,표1[[#This Row],[명칭]]),"-")</f>
        <v>0</v>
      </c>
      <c r="M196" s="38">
        <f>COUNTIF(퀘스트!B:B,표1[[#This Row],[명칭]])</f>
        <v>0</v>
      </c>
      <c r="N196" s="65">
        <f>COUNTIF([1]VillageDiscoveryGroup!$C:$C,표1[[#This Row],[명칭]])</f>
        <v>0</v>
      </c>
      <c r="O196" s="65">
        <f>SUM(표1[[#This Row],[해양탐색]:[마을탐험]])</f>
        <v>1</v>
      </c>
    </row>
    <row r="197" spans="2:15" ht="13.5" customHeight="1" x14ac:dyDescent="0.3">
      <c r="B197" s="9">
        <f>[1]Discovery!A203</f>
        <v>70402033</v>
      </c>
      <c r="C197" s="9" t="str">
        <f>[1]Discovery!B203</f>
        <v>무슈후슈 벽화</v>
      </c>
      <c r="D197" s="9" t="str">
        <f>[1]Discovery!E203</f>
        <v>유물</v>
      </c>
      <c r="E197" s="9" t="str">
        <f>[1]Discovery!C203</f>
        <v>종교유물</v>
      </c>
      <c r="F197" s="9" t="str">
        <f>[1]Discovery!G203</f>
        <v>A</v>
      </c>
      <c r="G197" s="9" t="str">
        <f>IFERROR(VLOOKUP(표1[[#This Row],[명칭]],'문화권 정리'!C:D,2,FALSE),"-")</f>
        <v>서남아시아</v>
      </c>
      <c r="H197" s="38" t="str">
        <f>IFERROR(COUNTIF([2]OceanDoodad!$Y:$Y,표1[[#This Row],[명칭]]),"-")</f>
        <v>-</v>
      </c>
      <c r="I197" s="38">
        <f>IFERROR(COUNTIF([1]AdventureDiscoveryGroup!$D$8:$AW$92,표1[[#This Row],[명칭]]),"-")</f>
        <v>0</v>
      </c>
      <c r="J197" s="38">
        <f>IFERROR(COUNTIF([1]FishDiscoveryGroup!$A:$X,표1[[#This Row],[명칭]]),"-")</f>
        <v>0</v>
      </c>
      <c r="K197" s="38" t="str">
        <f>IFERROR(COUNTIF([2]Town!$B:$B,표1[[#This Row],[명칭]]),"-")</f>
        <v>-</v>
      </c>
      <c r="L197" s="38">
        <f>IFERROR(COUNTIF([1]Village!$BR:$BR,표1[[#This Row],[명칭]]),"-")</f>
        <v>0</v>
      </c>
      <c r="M197" s="38">
        <f>COUNTIF(퀘스트!B:B,표1[[#This Row],[명칭]])</f>
        <v>0</v>
      </c>
      <c r="N197" s="65">
        <f>COUNTIF([1]VillageDiscoveryGroup!$C:$C,표1[[#This Row],[명칭]])</f>
        <v>1</v>
      </c>
      <c r="O197" s="65">
        <f>SUM(표1[[#This Row],[해양탐색]:[마을탐험]])</f>
        <v>1</v>
      </c>
    </row>
    <row r="198" spans="2:15" ht="13.5" customHeight="1" x14ac:dyDescent="0.3">
      <c r="B198" s="9">
        <f>[1]Discovery!A204</f>
        <v>70402034</v>
      </c>
      <c r="C198" s="9" t="str">
        <f>[1]Discovery!B204</f>
        <v>믹틀란테쿠틀리의 상</v>
      </c>
      <c r="D198" s="9" t="str">
        <f>[1]Discovery!E204</f>
        <v>유물</v>
      </c>
      <c r="E198" s="9" t="str">
        <f>[1]Discovery!C204</f>
        <v>종교유물</v>
      </c>
      <c r="F198" s="9" t="str">
        <f>[1]Discovery!G204</f>
        <v>B</v>
      </c>
      <c r="G198" s="9" t="str">
        <f>IFERROR(VLOOKUP(표1[[#This Row],[명칭]],'문화권 정리'!C:D,2,FALSE),"-")</f>
        <v>중앙아메리카</v>
      </c>
      <c r="H198" s="38" t="str">
        <f>IFERROR(COUNTIF([2]OceanDoodad!$Y:$Y,표1[[#This Row],[명칭]]),"-")</f>
        <v>-</v>
      </c>
      <c r="I198" s="38">
        <f>IFERROR(COUNTIF([1]AdventureDiscoveryGroup!$D$8:$AW$92,표1[[#This Row],[명칭]]),"-")</f>
        <v>0</v>
      </c>
      <c r="J198" s="38">
        <f>IFERROR(COUNTIF([1]FishDiscoveryGroup!$A:$X,표1[[#This Row],[명칭]]),"-")</f>
        <v>0</v>
      </c>
      <c r="K198" s="38" t="str">
        <f>IFERROR(COUNTIF([2]Town!$B:$B,표1[[#This Row],[명칭]]),"-")</f>
        <v>-</v>
      </c>
      <c r="L198" s="38">
        <f>IFERROR(COUNTIF([1]Village!$BR:$BR,표1[[#This Row],[명칭]]),"-")</f>
        <v>0</v>
      </c>
      <c r="M198" s="38">
        <f>COUNTIF(퀘스트!B:B,표1[[#This Row],[명칭]])</f>
        <v>0</v>
      </c>
      <c r="N198" s="65">
        <f>COUNTIF([1]VillageDiscoveryGroup!$C:$C,표1[[#This Row],[명칭]])</f>
        <v>0</v>
      </c>
      <c r="O198" s="65">
        <f>SUM(표1[[#This Row],[해양탐색]:[마을탐험]])</f>
        <v>0</v>
      </c>
    </row>
    <row r="199" spans="2:15" ht="13.5" customHeight="1" x14ac:dyDescent="0.3">
      <c r="B199" s="9">
        <f>[1]Discovery!A205</f>
        <v>70402035</v>
      </c>
      <c r="C199" s="9" t="str">
        <f>[1]Discovery!B205</f>
        <v>바롱의 가면</v>
      </c>
      <c r="D199" s="9" t="str">
        <f>[1]Discovery!E205</f>
        <v>유물</v>
      </c>
      <c r="E199" s="9" t="str">
        <f>[1]Discovery!C205</f>
        <v>종교유물</v>
      </c>
      <c r="F199" s="9" t="str">
        <f>[1]Discovery!G205</f>
        <v>S</v>
      </c>
      <c r="G199" s="9" t="str">
        <f>IFERROR(VLOOKUP(표1[[#This Row],[명칭]],'문화권 정리'!C:D,2,FALSE),"-")</f>
        <v>동남아시아</v>
      </c>
      <c r="H199" s="38" t="str">
        <f>IFERROR(COUNTIF([2]OceanDoodad!$Y:$Y,표1[[#This Row],[명칭]]),"-")</f>
        <v>-</v>
      </c>
      <c r="I199" s="38">
        <f>IFERROR(COUNTIF([1]AdventureDiscoveryGroup!$D$8:$AW$92,표1[[#This Row],[명칭]]),"-")</f>
        <v>0</v>
      </c>
      <c r="J199" s="38">
        <f>IFERROR(COUNTIF([1]FishDiscoveryGroup!$A:$X,표1[[#This Row],[명칭]]),"-")</f>
        <v>0</v>
      </c>
      <c r="K199" s="38" t="str">
        <f>IFERROR(COUNTIF([2]Town!$B:$B,표1[[#This Row],[명칭]]),"-")</f>
        <v>-</v>
      </c>
      <c r="L199" s="38">
        <f>IFERROR(COUNTIF([1]Village!$BR:$BR,표1[[#This Row],[명칭]]),"-")</f>
        <v>0</v>
      </c>
      <c r="M199" s="38">
        <f>COUNTIF(퀘스트!B:B,표1[[#This Row],[명칭]])</f>
        <v>0</v>
      </c>
      <c r="N199" s="65">
        <f>COUNTIF([1]VillageDiscoveryGroup!$C:$C,표1[[#This Row],[명칭]])</f>
        <v>0</v>
      </c>
      <c r="O199" s="65">
        <f>SUM(표1[[#This Row],[해양탐색]:[마을탐험]])</f>
        <v>0</v>
      </c>
    </row>
    <row r="200" spans="2:15" ht="13.5" customHeight="1" x14ac:dyDescent="0.3">
      <c r="B200" s="9">
        <f>[1]Discovery!A206</f>
        <v>70402036</v>
      </c>
      <c r="C200" s="9" t="str">
        <f>[1]Discovery!B206</f>
        <v>바스테트상</v>
      </c>
      <c r="D200" s="9" t="str">
        <f>[1]Discovery!E206</f>
        <v>유물</v>
      </c>
      <c r="E200" s="9" t="str">
        <f>[1]Discovery!C206</f>
        <v>종교유물</v>
      </c>
      <c r="F200" s="9" t="str">
        <f>[1]Discovery!G206</f>
        <v>C</v>
      </c>
      <c r="G200" s="9" t="str">
        <f>IFERROR(VLOOKUP(표1[[#This Row],[명칭]],'문화권 정리'!C:D,2,FALSE),"-")</f>
        <v>북아프리카</v>
      </c>
      <c r="H200" s="38" t="str">
        <f>IFERROR(COUNTIF([2]OceanDoodad!$Y:$Y,표1[[#This Row],[명칭]]),"-")</f>
        <v>-</v>
      </c>
      <c r="I200" s="38">
        <f>IFERROR(COUNTIF([1]AdventureDiscoveryGroup!$D$8:$AW$92,표1[[#This Row],[명칭]]),"-")</f>
        <v>0</v>
      </c>
      <c r="J200" s="38">
        <f>IFERROR(COUNTIF([1]FishDiscoveryGroup!$A:$X,표1[[#This Row],[명칭]]),"-")</f>
        <v>0</v>
      </c>
      <c r="K200" s="38" t="str">
        <f>IFERROR(COUNTIF([2]Town!$B:$B,표1[[#This Row],[명칭]]),"-")</f>
        <v>-</v>
      </c>
      <c r="L200" s="38">
        <f>IFERROR(COUNTIF([1]Village!$BR:$BR,표1[[#This Row],[명칭]]),"-")</f>
        <v>0</v>
      </c>
      <c r="M200" s="38">
        <f>COUNTIF(퀘스트!B:B,표1[[#This Row],[명칭]])</f>
        <v>0</v>
      </c>
      <c r="N200" s="65">
        <f>COUNTIF([1]VillageDiscoveryGroup!$C:$C,표1[[#This Row],[명칭]])</f>
        <v>0</v>
      </c>
      <c r="O200" s="65">
        <f>SUM(표1[[#This Row],[해양탐색]:[마을탐험]])</f>
        <v>0</v>
      </c>
    </row>
    <row r="201" spans="2:15" ht="13.5" customHeight="1" x14ac:dyDescent="0.3">
      <c r="B201" s="9">
        <f>[1]Discovery!A207</f>
        <v>70402037</v>
      </c>
      <c r="C201" s="9" t="str">
        <f>[1]Discovery!B207</f>
        <v>반야경</v>
      </c>
      <c r="D201" s="9" t="str">
        <f>[1]Discovery!E207</f>
        <v>유물</v>
      </c>
      <c r="E201" s="9" t="str">
        <f>[1]Discovery!C207</f>
        <v>종교유물</v>
      </c>
      <c r="F201" s="9" t="str">
        <f>[1]Discovery!G207</f>
        <v>B</v>
      </c>
      <c r="G201" s="9" t="str">
        <f>IFERROR(VLOOKUP(표1[[#This Row],[명칭]],'문화권 정리'!C:D,2,FALSE),"-")</f>
        <v>동아시아</v>
      </c>
      <c r="H201" s="38" t="str">
        <f>IFERROR(COUNTIF([2]OceanDoodad!$Y:$Y,표1[[#This Row],[명칭]]),"-")</f>
        <v>-</v>
      </c>
      <c r="I201" s="38">
        <f>IFERROR(COUNTIF([1]AdventureDiscoveryGroup!$D$8:$AW$92,표1[[#This Row],[명칭]]),"-")</f>
        <v>0</v>
      </c>
      <c r="J201" s="38">
        <f>IFERROR(COUNTIF([1]FishDiscoveryGroup!$A:$X,표1[[#This Row],[명칭]]),"-")</f>
        <v>0</v>
      </c>
      <c r="K201" s="38" t="str">
        <f>IFERROR(COUNTIF([2]Town!$B:$B,표1[[#This Row],[명칭]]),"-")</f>
        <v>-</v>
      </c>
      <c r="L201" s="38">
        <f>IFERROR(COUNTIF([1]Village!$BR:$BR,표1[[#This Row],[명칭]]),"-")</f>
        <v>0</v>
      </c>
      <c r="M201" s="38">
        <f>COUNTIF(퀘스트!B:B,표1[[#This Row],[명칭]])</f>
        <v>0</v>
      </c>
      <c r="N201" s="65">
        <f>COUNTIF([1]VillageDiscoveryGroup!$C:$C,표1[[#This Row],[명칭]])</f>
        <v>0</v>
      </c>
      <c r="O201" s="65">
        <f>SUM(표1[[#This Row],[해양탐색]:[마을탐험]])</f>
        <v>0</v>
      </c>
    </row>
    <row r="202" spans="2:15" ht="13.5" customHeight="1" x14ac:dyDescent="0.3">
      <c r="B202" s="9">
        <f>[1]Discovery!A208</f>
        <v>70402038</v>
      </c>
      <c r="C202" s="9" t="str">
        <f>[1]Discovery!B208</f>
        <v>백화</v>
      </c>
      <c r="D202" s="9" t="str">
        <f>[1]Discovery!E208</f>
        <v>보물</v>
      </c>
      <c r="E202" s="9" t="str">
        <f>[1]Discovery!C208</f>
        <v>미술품</v>
      </c>
      <c r="F202" s="9" t="str">
        <f>[1]Discovery!G208</f>
        <v>D</v>
      </c>
      <c r="G202" s="9" t="str">
        <f>IFERROR(VLOOKUP(표1[[#This Row],[명칭]],'문화권 정리'!C:D,2,FALSE),"-")</f>
        <v>동아시아</v>
      </c>
      <c r="H202" s="38" t="str">
        <f>IFERROR(COUNTIF([2]OceanDoodad!$Y:$Y,표1[[#This Row],[명칭]]),"-")</f>
        <v>-</v>
      </c>
      <c r="I202" s="38">
        <f>IFERROR(COUNTIF([1]AdventureDiscoveryGroup!$D$8:$AW$92,표1[[#This Row],[명칭]]),"-")</f>
        <v>0</v>
      </c>
      <c r="J202" s="38">
        <f>IFERROR(COUNTIF([1]FishDiscoveryGroup!$A:$X,표1[[#This Row],[명칭]]),"-")</f>
        <v>0</v>
      </c>
      <c r="K202" s="38" t="str">
        <f>IFERROR(COUNTIF([2]Town!$B:$B,표1[[#This Row],[명칭]]),"-")</f>
        <v>-</v>
      </c>
      <c r="L202" s="38">
        <f>IFERROR(COUNTIF([1]Village!$BR:$BR,표1[[#This Row],[명칭]]),"-")</f>
        <v>0</v>
      </c>
      <c r="M202" s="38">
        <f>COUNTIF(퀘스트!B:B,표1[[#This Row],[명칭]])</f>
        <v>0</v>
      </c>
      <c r="N202" s="65">
        <f>COUNTIF([1]VillageDiscoveryGroup!$C:$C,표1[[#This Row],[명칭]])</f>
        <v>0</v>
      </c>
      <c r="O202" s="65">
        <f>SUM(표1[[#This Row],[해양탐색]:[마을탐험]])</f>
        <v>0</v>
      </c>
    </row>
    <row r="203" spans="2:15" ht="13.5" customHeight="1" x14ac:dyDescent="0.3">
      <c r="B203" s="9">
        <f>[1]Discovery!A209</f>
        <v>70402039</v>
      </c>
      <c r="C203" s="9" t="str">
        <f>[1]Discovery!B209</f>
        <v>벨레스의 목상</v>
      </c>
      <c r="D203" s="9" t="str">
        <f>[1]Discovery!E209</f>
        <v>유물</v>
      </c>
      <c r="E203" s="9" t="str">
        <f>[1]Discovery!C209</f>
        <v>종교유물</v>
      </c>
      <c r="F203" s="9" t="str">
        <f>[1]Discovery!G209</f>
        <v>D</v>
      </c>
      <c r="G203" s="9" t="str">
        <f>IFERROR(VLOOKUP(표1[[#This Row],[명칭]],'문화권 정리'!C:D,2,FALSE),"-")</f>
        <v>지중해</v>
      </c>
      <c r="H203" s="38" t="str">
        <f>IFERROR(COUNTIF([2]OceanDoodad!$Y:$Y,표1[[#This Row],[명칭]]),"-")</f>
        <v>-</v>
      </c>
      <c r="I203" s="38">
        <f>IFERROR(COUNTIF([1]AdventureDiscoveryGroup!$D$8:$AW$92,표1[[#This Row],[명칭]]),"-")</f>
        <v>1</v>
      </c>
      <c r="J203" s="38">
        <f>IFERROR(COUNTIF([1]FishDiscoveryGroup!$A:$X,표1[[#This Row],[명칭]]),"-")</f>
        <v>0</v>
      </c>
      <c r="K203" s="38" t="str">
        <f>IFERROR(COUNTIF([2]Town!$B:$B,표1[[#This Row],[명칭]]),"-")</f>
        <v>-</v>
      </c>
      <c r="L203" s="38">
        <f>IFERROR(COUNTIF([1]Village!$BR:$BR,표1[[#This Row],[명칭]]),"-")</f>
        <v>0</v>
      </c>
      <c r="M203" s="38">
        <f>COUNTIF(퀘스트!B:B,표1[[#This Row],[명칭]])</f>
        <v>0</v>
      </c>
      <c r="N203" s="65">
        <f>COUNTIF([1]VillageDiscoveryGroup!$C:$C,표1[[#This Row],[명칭]])</f>
        <v>0</v>
      </c>
      <c r="O203" s="65">
        <f>SUM(표1[[#This Row],[해양탐색]:[마을탐험]])</f>
        <v>1</v>
      </c>
    </row>
    <row r="204" spans="2:15" ht="13.5" customHeight="1" x14ac:dyDescent="0.3">
      <c r="B204" s="9">
        <f>[1]Discovery!A210</f>
        <v>70402040</v>
      </c>
      <c r="C204" s="9" t="str">
        <f>[1]Discovery!B210</f>
        <v>벽하원군상</v>
      </c>
      <c r="D204" s="9" t="str">
        <f>[1]Discovery!E210</f>
        <v>유물</v>
      </c>
      <c r="E204" s="9" t="str">
        <f>[1]Discovery!C210</f>
        <v>종교유물</v>
      </c>
      <c r="F204" s="9" t="str">
        <f>[1]Discovery!G210</f>
        <v>D</v>
      </c>
      <c r="G204" s="9" t="str">
        <f>IFERROR(VLOOKUP(표1[[#This Row],[명칭]],'문화권 정리'!C:D,2,FALSE),"-")</f>
        <v>동아시아</v>
      </c>
      <c r="H204" s="38" t="str">
        <f>IFERROR(COUNTIF([2]OceanDoodad!$Y:$Y,표1[[#This Row],[명칭]]),"-")</f>
        <v>-</v>
      </c>
      <c r="I204" s="38">
        <f>IFERROR(COUNTIF([1]AdventureDiscoveryGroup!$D$8:$AW$92,표1[[#This Row],[명칭]]),"-")</f>
        <v>0</v>
      </c>
      <c r="J204" s="38">
        <f>IFERROR(COUNTIF([1]FishDiscoveryGroup!$A:$X,표1[[#This Row],[명칭]]),"-")</f>
        <v>0</v>
      </c>
      <c r="K204" s="38" t="str">
        <f>IFERROR(COUNTIF([2]Town!$B:$B,표1[[#This Row],[명칭]]),"-")</f>
        <v>-</v>
      </c>
      <c r="L204" s="38">
        <f>IFERROR(COUNTIF([1]Village!$BR:$BR,표1[[#This Row],[명칭]]),"-")</f>
        <v>0</v>
      </c>
      <c r="M204" s="38">
        <f>COUNTIF(퀘스트!B:B,표1[[#This Row],[명칭]])</f>
        <v>0</v>
      </c>
      <c r="N204" s="65">
        <f>COUNTIF([1]VillageDiscoveryGroup!$C:$C,표1[[#This Row],[명칭]])</f>
        <v>0</v>
      </c>
      <c r="O204" s="65">
        <f>SUM(표1[[#This Row],[해양탐색]:[마을탐험]])</f>
        <v>0</v>
      </c>
    </row>
    <row r="205" spans="2:15" ht="13.5" customHeight="1" x14ac:dyDescent="0.3">
      <c r="B205" s="9">
        <f>[1]Discovery!A211</f>
        <v>70402041</v>
      </c>
      <c r="C205" s="9" t="str">
        <f>[1]Discovery!B211</f>
        <v>보리스 글렙의 성상</v>
      </c>
      <c r="D205" s="9" t="str">
        <f>[1]Discovery!E211</f>
        <v>유물</v>
      </c>
      <c r="E205" s="9" t="str">
        <f>[1]Discovery!C211</f>
        <v>종교유물</v>
      </c>
      <c r="F205" s="9" t="str">
        <f>[1]Discovery!G211</f>
        <v>S</v>
      </c>
      <c r="G205" s="9" t="str">
        <f>IFERROR(VLOOKUP(표1[[#This Row],[명칭]],'문화권 정리'!C:D,2,FALSE),"-")</f>
        <v>지중해</v>
      </c>
      <c r="H205" s="38" t="str">
        <f>IFERROR(COUNTIF([2]OceanDoodad!$Y:$Y,표1[[#This Row],[명칭]]),"-")</f>
        <v>-</v>
      </c>
      <c r="I205" s="38">
        <f>IFERROR(COUNTIF([1]AdventureDiscoveryGroup!$D$8:$AW$92,표1[[#This Row],[명칭]]),"-")</f>
        <v>0</v>
      </c>
      <c r="J205" s="38">
        <f>IFERROR(COUNTIF([1]FishDiscoveryGroup!$A:$X,표1[[#This Row],[명칭]]),"-")</f>
        <v>0</v>
      </c>
      <c r="K205" s="38" t="str">
        <f>IFERROR(COUNTIF([2]Town!$B:$B,표1[[#This Row],[명칭]]),"-")</f>
        <v>-</v>
      </c>
      <c r="L205" s="38">
        <f>IFERROR(COUNTIF([1]Village!$BR:$BR,표1[[#This Row],[명칭]]),"-")</f>
        <v>0</v>
      </c>
      <c r="M205" s="38">
        <f>COUNTIF(퀘스트!B:B,표1[[#This Row],[명칭]])</f>
        <v>0</v>
      </c>
      <c r="N205" s="65">
        <f>COUNTIF([1]VillageDiscoveryGroup!$C:$C,표1[[#This Row],[명칭]])</f>
        <v>0</v>
      </c>
      <c r="O205" s="65">
        <f>SUM(표1[[#This Row],[해양탐색]:[마을탐험]])</f>
        <v>0</v>
      </c>
    </row>
    <row r="206" spans="2:15" ht="13.5" customHeight="1" x14ac:dyDescent="0.3">
      <c r="B206" s="9">
        <f>[1]Discovery!A212</f>
        <v>70402042</v>
      </c>
      <c r="C206" s="9" t="str">
        <f>[1]Discovery!B212</f>
        <v>보생불</v>
      </c>
      <c r="D206" s="9" t="str">
        <f>[1]Discovery!E212</f>
        <v>유물</v>
      </c>
      <c r="E206" s="9" t="str">
        <f>[1]Discovery!C212</f>
        <v>종교유물</v>
      </c>
      <c r="F206" s="9" t="str">
        <f>[1]Discovery!G212</f>
        <v>B</v>
      </c>
      <c r="G206" s="9" t="str">
        <f>IFERROR(VLOOKUP(표1[[#This Row],[명칭]],'문화권 정리'!C:D,2,FALSE),"-")</f>
        <v>동아시아</v>
      </c>
      <c r="H206" s="38" t="str">
        <f>IFERROR(COUNTIF([2]OceanDoodad!$Y:$Y,표1[[#This Row],[명칭]]),"-")</f>
        <v>-</v>
      </c>
      <c r="I206" s="38">
        <f>IFERROR(COUNTIF([1]AdventureDiscoveryGroup!$D$8:$AW$92,표1[[#This Row],[명칭]]),"-")</f>
        <v>0</v>
      </c>
      <c r="J206" s="38">
        <f>IFERROR(COUNTIF([1]FishDiscoveryGroup!$A:$X,표1[[#This Row],[명칭]]),"-")</f>
        <v>0</v>
      </c>
      <c r="K206" s="38" t="str">
        <f>IFERROR(COUNTIF([2]Town!$B:$B,표1[[#This Row],[명칭]]),"-")</f>
        <v>-</v>
      </c>
      <c r="L206" s="38">
        <f>IFERROR(COUNTIF([1]Village!$BR:$BR,표1[[#This Row],[명칭]]),"-")</f>
        <v>0</v>
      </c>
      <c r="M206" s="38">
        <f>COUNTIF(퀘스트!B:B,표1[[#This Row],[명칭]])</f>
        <v>0</v>
      </c>
      <c r="N206" s="65">
        <f>COUNTIF([1]VillageDiscoveryGroup!$C:$C,표1[[#This Row],[명칭]])</f>
        <v>0</v>
      </c>
      <c r="O206" s="65">
        <f>SUM(표1[[#This Row],[해양탐색]:[마을탐험]])</f>
        <v>0</v>
      </c>
    </row>
    <row r="207" spans="2:15" ht="13.5" customHeight="1" x14ac:dyDescent="0.3">
      <c r="B207" s="9">
        <f>[1]Discovery!A213</f>
        <v>70402043</v>
      </c>
      <c r="C207" s="9" t="str">
        <f>[1]Discovery!B213</f>
        <v>부두교의 십자가</v>
      </c>
      <c r="D207" s="9" t="str">
        <f>[1]Discovery!E213</f>
        <v>유물</v>
      </c>
      <c r="E207" s="9" t="str">
        <f>[1]Discovery!C213</f>
        <v>종교유물</v>
      </c>
      <c r="F207" s="9" t="str">
        <f>[1]Discovery!G213</f>
        <v>B</v>
      </c>
      <c r="G207" s="9" t="str">
        <f>IFERROR(VLOOKUP(표1[[#This Row],[명칭]],'문화권 정리'!C:D,2,FALSE),"-")</f>
        <v>서아프리카</v>
      </c>
      <c r="H207" s="38" t="str">
        <f>IFERROR(COUNTIF([2]OceanDoodad!$Y:$Y,표1[[#This Row],[명칭]]),"-")</f>
        <v>-</v>
      </c>
      <c r="I207" s="38">
        <f>IFERROR(COUNTIF([1]AdventureDiscoveryGroup!$D$8:$AW$92,표1[[#This Row],[명칭]]),"-")</f>
        <v>1</v>
      </c>
      <c r="J207" s="38">
        <f>IFERROR(COUNTIF([1]FishDiscoveryGroup!$A:$X,표1[[#This Row],[명칭]]),"-")</f>
        <v>0</v>
      </c>
      <c r="K207" s="38" t="str">
        <f>IFERROR(COUNTIF([2]Town!$B:$B,표1[[#This Row],[명칭]]),"-")</f>
        <v>-</v>
      </c>
      <c r="L207" s="38">
        <f>IFERROR(COUNTIF([1]Village!$BR:$BR,표1[[#This Row],[명칭]]),"-")</f>
        <v>0</v>
      </c>
      <c r="M207" s="38">
        <f>COUNTIF(퀘스트!B:B,표1[[#This Row],[명칭]])</f>
        <v>0</v>
      </c>
      <c r="N207" s="65">
        <f>COUNTIF([1]VillageDiscoveryGroup!$C:$C,표1[[#This Row],[명칭]])</f>
        <v>0</v>
      </c>
      <c r="O207" s="65">
        <f>SUM(표1[[#This Row],[해양탐색]:[마을탐험]])</f>
        <v>1</v>
      </c>
    </row>
    <row r="208" spans="2:15" ht="13.5" customHeight="1" x14ac:dyDescent="0.3">
      <c r="B208" s="9">
        <f>[1]Discovery!A214</f>
        <v>70402044</v>
      </c>
      <c r="C208" s="9" t="str">
        <f>[1]Discovery!B214</f>
        <v>부두교의 제단</v>
      </c>
      <c r="D208" s="9" t="str">
        <f>[1]Discovery!E214</f>
        <v>유물</v>
      </c>
      <c r="E208" s="9" t="str">
        <f>[1]Discovery!C214</f>
        <v>종교유물</v>
      </c>
      <c r="F208" s="9" t="str">
        <f>[1]Discovery!G214</f>
        <v>D</v>
      </c>
      <c r="G208" s="9" t="str">
        <f>IFERROR(VLOOKUP(표1[[#This Row],[명칭]],'문화권 정리'!C:D,2,FALSE),"-")</f>
        <v>서아프리카</v>
      </c>
      <c r="H208" s="38" t="str">
        <f>IFERROR(COUNTIF([2]OceanDoodad!$Y:$Y,표1[[#This Row],[명칭]]),"-")</f>
        <v>-</v>
      </c>
      <c r="I208" s="38">
        <f>IFERROR(COUNTIF([1]AdventureDiscoveryGroup!$D$8:$AW$92,표1[[#This Row],[명칭]]),"-")</f>
        <v>1</v>
      </c>
      <c r="J208" s="38">
        <f>IFERROR(COUNTIF([1]FishDiscoveryGroup!$A:$X,표1[[#This Row],[명칭]]),"-")</f>
        <v>0</v>
      </c>
      <c r="K208" s="38" t="str">
        <f>IFERROR(COUNTIF([2]Town!$B:$B,표1[[#This Row],[명칭]]),"-")</f>
        <v>-</v>
      </c>
      <c r="L208" s="38">
        <f>IFERROR(COUNTIF([1]Village!$BR:$BR,표1[[#This Row],[명칭]]),"-")</f>
        <v>0</v>
      </c>
      <c r="M208" s="38">
        <f>COUNTIF(퀘스트!B:B,표1[[#This Row],[명칭]])</f>
        <v>0</v>
      </c>
      <c r="N208" s="65">
        <f>COUNTIF([1]VillageDiscoveryGroup!$C:$C,표1[[#This Row],[명칭]])</f>
        <v>0</v>
      </c>
      <c r="O208" s="65">
        <f>SUM(표1[[#This Row],[해양탐색]:[마을탐험]])</f>
        <v>1</v>
      </c>
    </row>
    <row r="209" spans="2:15" ht="13.5" customHeight="1" x14ac:dyDescent="0.3">
      <c r="B209" s="9">
        <f>[1]Discovery!A215</f>
        <v>70402045</v>
      </c>
      <c r="C209" s="9" t="str">
        <f>[1]Discovery!B215</f>
        <v>분별선악보응경</v>
      </c>
      <c r="D209" s="9" t="str">
        <f>[1]Discovery!E215</f>
        <v>유물</v>
      </c>
      <c r="E209" s="9" t="str">
        <f>[1]Discovery!C215</f>
        <v>종교유물</v>
      </c>
      <c r="F209" s="9" t="str">
        <f>[1]Discovery!G215</f>
        <v>A</v>
      </c>
      <c r="G209" s="9" t="str">
        <f>IFERROR(VLOOKUP(표1[[#This Row],[명칭]],'문화권 정리'!C:D,2,FALSE),"-")</f>
        <v>동아시아</v>
      </c>
      <c r="H209" s="38" t="str">
        <f>IFERROR(COUNTIF([2]OceanDoodad!$Y:$Y,표1[[#This Row],[명칭]]),"-")</f>
        <v>-</v>
      </c>
      <c r="I209" s="38">
        <f>IFERROR(COUNTIF([1]AdventureDiscoveryGroup!$D$8:$AW$92,표1[[#This Row],[명칭]]),"-")</f>
        <v>0</v>
      </c>
      <c r="J209" s="38">
        <f>IFERROR(COUNTIF([1]FishDiscoveryGroup!$A:$X,표1[[#This Row],[명칭]]),"-")</f>
        <v>0</v>
      </c>
      <c r="K209" s="38" t="str">
        <f>IFERROR(COUNTIF([2]Town!$B:$B,표1[[#This Row],[명칭]]),"-")</f>
        <v>-</v>
      </c>
      <c r="L209" s="38">
        <f>IFERROR(COUNTIF([1]Village!$BR:$BR,표1[[#This Row],[명칭]]),"-")</f>
        <v>0</v>
      </c>
      <c r="M209" s="38">
        <f>COUNTIF(퀘스트!B:B,표1[[#This Row],[명칭]])</f>
        <v>0</v>
      </c>
      <c r="N209" s="65">
        <f>COUNTIF([1]VillageDiscoveryGroup!$C:$C,표1[[#This Row],[명칭]])</f>
        <v>0</v>
      </c>
      <c r="O209" s="65">
        <f>SUM(표1[[#This Row],[해양탐색]:[마을탐험]])</f>
        <v>0</v>
      </c>
    </row>
    <row r="210" spans="2:15" ht="13.5" customHeight="1" x14ac:dyDescent="0.3">
      <c r="B210" s="9">
        <f>[1]Discovery!A216</f>
        <v>70402046</v>
      </c>
      <c r="C210" s="9" t="str">
        <f>[1]Discovery!B216</f>
        <v>불공성취여래</v>
      </c>
      <c r="D210" s="9" t="str">
        <f>[1]Discovery!E216</f>
        <v>유물</v>
      </c>
      <c r="E210" s="9" t="str">
        <f>[1]Discovery!C216</f>
        <v>종교유물</v>
      </c>
      <c r="F210" s="9" t="str">
        <f>[1]Discovery!G216</f>
        <v>S</v>
      </c>
      <c r="G210" s="9" t="str">
        <f>IFERROR(VLOOKUP(표1[[#This Row],[명칭]],'문화권 정리'!C:D,2,FALSE),"-")</f>
        <v>남아시아</v>
      </c>
      <c r="H210" s="38" t="str">
        <f>IFERROR(COUNTIF([2]OceanDoodad!$Y:$Y,표1[[#This Row],[명칭]]),"-")</f>
        <v>-</v>
      </c>
      <c r="I210" s="38">
        <f>IFERROR(COUNTIF([1]AdventureDiscoveryGroup!$D$8:$AW$92,표1[[#This Row],[명칭]]),"-")</f>
        <v>1</v>
      </c>
      <c r="J210" s="38">
        <f>IFERROR(COUNTIF([1]FishDiscoveryGroup!$A:$X,표1[[#This Row],[명칭]]),"-")</f>
        <v>0</v>
      </c>
      <c r="K210" s="38" t="str">
        <f>IFERROR(COUNTIF([2]Town!$B:$B,표1[[#This Row],[명칭]]),"-")</f>
        <v>-</v>
      </c>
      <c r="L210" s="38">
        <f>IFERROR(COUNTIF([1]Village!$BR:$BR,표1[[#This Row],[명칭]]),"-")</f>
        <v>0</v>
      </c>
      <c r="M210" s="38">
        <f>COUNTIF(퀘스트!B:B,표1[[#This Row],[명칭]])</f>
        <v>0</v>
      </c>
      <c r="N210" s="65">
        <f>COUNTIF([1]VillageDiscoveryGroup!$C:$C,표1[[#This Row],[명칭]])</f>
        <v>0</v>
      </c>
      <c r="O210" s="65">
        <f>SUM(표1[[#This Row],[해양탐색]:[마을탐험]])</f>
        <v>1</v>
      </c>
    </row>
    <row r="211" spans="2:15" ht="13.5" customHeight="1" x14ac:dyDescent="0.3">
      <c r="B211" s="9">
        <f>[1]Discovery!A217</f>
        <v>70402047</v>
      </c>
      <c r="C211" s="9" t="str">
        <f>[1]Discovery!B217</f>
        <v>브라마상</v>
      </c>
      <c r="D211" s="9" t="str">
        <f>[1]Discovery!E217</f>
        <v>유물</v>
      </c>
      <c r="E211" s="9" t="str">
        <f>[1]Discovery!C217</f>
        <v>종교유물</v>
      </c>
      <c r="F211" s="9" t="str">
        <f>[1]Discovery!G217</f>
        <v>B</v>
      </c>
      <c r="G211" s="9" t="str">
        <f>IFERROR(VLOOKUP(표1[[#This Row],[명칭]],'문화권 정리'!C:D,2,FALSE),"-")</f>
        <v>남아시아</v>
      </c>
      <c r="H211" s="38" t="str">
        <f>IFERROR(COUNTIF([2]OceanDoodad!$Y:$Y,표1[[#This Row],[명칭]]),"-")</f>
        <v>-</v>
      </c>
      <c r="I211" s="38">
        <f>IFERROR(COUNTIF([1]AdventureDiscoveryGroup!$D$8:$AW$92,표1[[#This Row],[명칭]]),"-")</f>
        <v>0</v>
      </c>
      <c r="J211" s="38">
        <f>IFERROR(COUNTIF([1]FishDiscoveryGroup!$A:$X,표1[[#This Row],[명칭]]),"-")</f>
        <v>0</v>
      </c>
      <c r="K211" s="38" t="str">
        <f>IFERROR(COUNTIF([2]Town!$B:$B,표1[[#This Row],[명칭]]),"-")</f>
        <v>-</v>
      </c>
      <c r="L211" s="38">
        <f>IFERROR(COUNTIF([1]Village!$BR:$BR,표1[[#This Row],[명칭]]),"-")</f>
        <v>0</v>
      </c>
      <c r="M211" s="38">
        <f>COUNTIF(퀘스트!B:B,표1[[#This Row],[명칭]])</f>
        <v>0</v>
      </c>
      <c r="N211" s="65">
        <f>COUNTIF([1]VillageDiscoveryGroup!$C:$C,표1[[#This Row],[명칭]])</f>
        <v>0</v>
      </c>
      <c r="O211" s="65">
        <f>SUM(표1[[#This Row],[해양탐색]:[마을탐험]])</f>
        <v>0</v>
      </c>
    </row>
    <row r="212" spans="2:15" ht="13.5" customHeight="1" x14ac:dyDescent="0.3">
      <c r="B212" s="9">
        <f>[1]Discovery!A218</f>
        <v>70402048</v>
      </c>
      <c r="C212" s="9" t="str">
        <f>[1]Discovery!B218</f>
        <v>비라코차의 부조</v>
      </c>
      <c r="D212" s="9" t="str">
        <f>[1]Discovery!E218</f>
        <v>유물</v>
      </c>
      <c r="E212" s="9" t="str">
        <f>[1]Discovery!C218</f>
        <v>종교유물</v>
      </c>
      <c r="F212" s="9" t="str">
        <f>[1]Discovery!G218</f>
        <v>C</v>
      </c>
      <c r="G212" s="9" t="str">
        <f>IFERROR(VLOOKUP(표1[[#This Row],[명칭]],'문화권 정리'!C:D,2,FALSE),"-")</f>
        <v>남아메리카</v>
      </c>
      <c r="H212" s="38" t="str">
        <f>IFERROR(COUNTIF([2]OceanDoodad!$Y:$Y,표1[[#This Row],[명칭]]),"-")</f>
        <v>-</v>
      </c>
      <c r="I212" s="38">
        <f>IFERROR(COUNTIF([1]AdventureDiscoveryGroup!$D$8:$AW$92,표1[[#This Row],[명칭]]),"-")</f>
        <v>0</v>
      </c>
      <c r="J212" s="38">
        <f>IFERROR(COUNTIF([1]FishDiscoveryGroup!$A:$X,표1[[#This Row],[명칭]]),"-")</f>
        <v>0</v>
      </c>
      <c r="K212" s="38" t="str">
        <f>IFERROR(COUNTIF([2]Town!$B:$B,표1[[#This Row],[명칭]]),"-")</f>
        <v>-</v>
      </c>
      <c r="L212" s="38">
        <f>IFERROR(COUNTIF([1]Village!$BR:$BR,표1[[#This Row],[명칭]]),"-")</f>
        <v>0</v>
      </c>
      <c r="M212" s="38">
        <f>COUNTIF(퀘스트!B:B,표1[[#This Row],[명칭]])</f>
        <v>0</v>
      </c>
      <c r="N212" s="65">
        <f>COUNTIF([1]VillageDiscoveryGroup!$C:$C,표1[[#This Row],[명칭]])</f>
        <v>0</v>
      </c>
      <c r="O212" s="65">
        <f>SUM(표1[[#This Row],[해양탐색]:[마을탐험]])</f>
        <v>0</v>
      </c>
    </row>
    <row r="213" spans="2:15" ht="13.5" customHeight="1" x14ac:dyDescent="0.3">
      <c r="B213" s="9">
        <f>[1]Discovery!A219</f>
        <v>70402049</v>
      </c>
      <c r="C213" s="9" t="str">
        <f>[1]Discovery!B219</f>
        <v>비블리오테케</v>
      </c>
      <c r="D213" s="9" t="str">
        <f>[1]Discovery!E219</f>
        <v>유물</v>
      </c>
      <c r="E213" s="9" t="str">
        <f>[1]Discovery!C219</f>
        <v>종교유물</v>
      </c>
      <c r="F213" s="9" t="str">
        <f>[1]Discovery!G219</f>
        <v>B</v>
      </c>
      <c r="G213" s="9" t="str">
        <f>IFERROR(VLOOKUP(표1[[#This Row],[명칭]],'문화권 정리'!C:D,2,FALSE),"-")</f>
        <v>지중해</v>
      </c>
      <c r="H213" s="38" t="str">
        <f>IFERROR(COUNTIF([2]OceanDoodad!$Y:$Y,표1[[#This Row],[명칭]]),"-")</f>
        <v>-</v>
      </c>
      <c r="I213" s="38">
        <f>IFERROR(COUNTIF([1]AdventureDiscoveryGroup!$D$8:$AW$92,표1[[#This Row],[명칭]]),"-")</f>
        <v>0</v>
      </c>
      <c r="J213" s="38">
        <f>IFERROR(COUNTIF([1]FishDiscoveryGroup!$A:$X,표1[[#This Row],[명칭]]),"-")</f>
        <v>0</v>
      </c>
      <c r="K213" s="38" t="str">
        <f>IFERROR(COUNTIF([2]Town!$B:$B,표1[[#This Row],[명칭]]),"-")</f>
        <v>-</v>
      </c>
      <c r="L213" s="38">
        <f>IFERROR(COUNTIF([1]Village!$BR:$BR,표1[[#This Row],[명칭]]),"-")</f>
        <v>0</v>
      </c>
      <c r="M213" s="38">
        <f>COUNTIF(퀘스트!B:B,표1[[#This Row],[명칭]])</f>
        <v>0</v>
      </c>
      <c r="N213" s="65">
        <f>COUNTIF([1]VillageDiscoveryGroup!$C:$C,표1[[#This Row],[명칭]])</f>
        <v>0</v>
      </c>
      <c r="O213" s="65">
        <f>SUM(표1[[#This Row],[해양탐색]:[마을탐험]])</f>
        <v>0</v>
      </c>
    </row>
    <row r="214" spans="2:15" ht="13.5" customHeight="1" x14ac:dyDescent="0.3">
      <c r="B214" s="9">
        <f>[1]Discovery!A220</f>
        <v>70402050</v>
      </c>
      <c r="C214" s="9" t="str">
        <f>[1]Discovery!B220</f>
        <v>비슈누상</v>
      </c>
      <c r="D214" s="9" t="str">
        <f>[1]Discovery!E220</f>
        <v>유물</v>
      </c>
      <c r="E214" s="9" t="str">
        <f>[1]Discovery!C220</f>
        <v>종교유물</v>
      </c>
      <c r="F214" s="9" t="str">
        <f>[1]Discovery!G220</f>
        <v>A</v>
      </c>
      <c r="G214" s="9" t="str">
        <f>IFERROR(VLOOKUP(표1[[#This Row],[명칭]],'문화권 정리'!C:D,2,FALSE),"-")</f>
        <v>남아시아</v>
      </c>
      <c r="H214" s="38" t="str">
        <f>IFERROR(COUNTIF([2]OceanDoodad!$Y:$Y,표1[[#This Row],[명칭]]),"-")</f>
        <v>-</v>
      </c>
      <c r="I214" s="38">
        <f>IFERROR(COUNTIF([1]AdventureDiscoveryGroup!$D$8:$AW$92,표1[[#This Row],[명칭]]),"-")</f>
        <v>0</v>
      </c>
      <c r="J214" s="38">
        <f>IFERROR(COUNTIF([1]FishDiscoveryGroup!$A:$X,표1[[#This Row],[명칭]]),"-")</f>
        <v>0</v>
      </c>
      <c r="K214" s="38" t="str">
        <f>IFERROR(COUNTIF([2]Town!$B:$B,표1[[#This Row],[명칭]]),"-")</f>
        <v>-</v>
      </c>
      <c r="L214" s="38">
        <f>IFERROR(COUNTIF([1]Village!$BR:$BR,표1[[#This Row],[명칭]]),"-")</f>
        <v>0</v>
      </c>
      <c r="M214" s="38">
        <f>COUNTIF(퀘스트!B:B,표1[[#This Row],[명칭]])</f>
        <v>0</v>
      </c>
      <c r="N214" s="65">
        <f>COUNTIF([1]VillageDiscoveryGroup!$C:$C,표1[[#This Row],[명칭]])</f>
        <v>0</v>
      </c>
      <c r="O214" s="65">
        <f>SUM(표1[[#This Row],[해양탐색]:[마을탐험]])</f>
        <v>0</v>
      </c>
    </row>
    <row r="215" spans="2:15" ht="13.5" customHeight="1" x14ac:dyDescent="0.3">
      <c r="B215" s="9">
        <f>[1]Discovery!A221</f>
        <v>70402051</v>
      </c>
      <c r="C215" s="9" t="str">
        <f>[1]Discovery!B221</f>
        <v>사라스바티 조각상</v>
      </c>
      <c r="D215" s="9" t="str">
        <f>[1]Discovery!E221</f>
        <v>유물</v>
      </c>
      <c r="E215" s="9" t="str">
        <f>[1]Discovery!C221</f>
        <v>종교유물</v>
      </c>
      <c r="F215" s="9" t="str">
        <f>[1]Discovery!G221</f>
        <v>C</v>
      </c>
      <c r="G215" s="9" t="str">
        <f>IFERROR(VLOOKUP(표1[[#This Row],[명칭]],'문화권 정리'!C:D,2,FALSE),"-")</f>
        <v>남아시아</v>
      </c>
      <c r="H215" s="38" t="str">
        <f>IFERROR(COUNTIF([2]OceanDoodad!$Y:$Y,표1[[#This Row],[명칭]]),"-")</f>
        <v>-</v>
      </c>
      <c r="I215" s="38">
        <f>IFERROR(COUNTIF([1]AdventureDiscoveryGroup!$D$8:$AW$92,표1[[#This Row],[명칭]]),"-")</f>
        <v>0</v>
      </c>
      <c r="J215" s="38">
        <f>IFERROR(COUNTIF([1]FishDiscoveryGroup!$A:$X,표1[[#This Row],[명칭]]),"-")</f>
        <v>0</v>
      </c>
      <c r="K215" s="38" t="str">
        <f>IFERROR(COUNTIF([2]Town!$B:$B,표1[[#This Row],[명칭]]),"-")</f>
        <v>-</v>
      </c>
      <c r="L215" s="38">
        <f>IFERROR(COUNTIF([1]Village!$BR:$BR,표1[[#This Row],[명칭]]),"-")</f>
        <v>0</v>
      </c>
      <c r="M215" s="38">
        <f>COUNTIF(퀘스트!B:B,표1[[#This Row],[명칭]])</f>
        <v>0</v>
      </c>
      <c r="N215" s="65">
        <f>COUNTIF([1]VillageDiscoveryGroup!$C:$C,표1[[#This Row],[명칭]])</f>
        <v>1</v>
      </c>
      <c r="O215" s="65">
        <f>SUM(표1[[#This Row],[해양탐색]:[마을탐험]])</f>
        <v>1</v>
      </c>
    </row>
    <row r="216" spans="2:15" ht="13.5" customHeight="1" x14ac:dyDescent="0.3">
      <c r="B216" s="9">
        <f>[1]Discovery!A222</f>
        <v>70402052</v>
      </c>
      <c r="C216" s="9" t="str">
        <f>[1]Discovery!B222</f>
        <v>사마베다</v>
      </c>
      <c r="D216" s="9" t="str">
        <f>[1]Discovery!E222</f>
        <v>유물</v>
      </c>
      <c r="E216" s="9" t="str">
        <f>[1]Discovery!C222</f>
        <v>종교유물</v>
      </c>
      <c r="F216" s="9" t="str">
        <f>[1]Discovery!G222</f>
        <v>B</v>
      </c>
      <c r="G216" s="9" t="str">
        <f>IFERROR(VLOOKUP(표1[[#This Row],[명칭]],'문화권 정리'!C:D,2,FALSE),"-")</f>
        <v>남아시아</v>
      </c>
      <c r="H216" s="38" t="str">
        <f>IFERROR(COUNTIF([2]OceanDoodad!$Y:$Y,표1[[#This Row],[명칭]]),"-")</f>
        <v>-</v>
      </c>
      <c r="I216" s="38">
        <f>IFERROR(COUNTIF([1]AdventureDiscoveryGroup!$D$8:$AW$92,표1[[#This Row],[명칭]]),"-")</f>
        <v>0</v>
      </c>
      <c r="J216" s="38">
        <f>IFERROR(COUNTIF([1]FishDiscoveryGroup!$A:$X,표1[[#This Row],[명칭]]),"-")</f>
        <v>0</v>
      </c>
      <c r="K216" s="38" t="str">
        <f>IFERROR(COUNTIF([2]Town!$B:$B,표1[[#This Row],[명칭]]),"-")</f>
        <v>-</v>
      </c>
      <c r="L216" s="38">
        <f>IFERROR(COUNTIF([1]Village!$BR:$BR,표1[[#This Row],[명칭]]),"-")</f>
        <v>0</v>
      </c>
      <c r="M216" s="38">
        <f>COUNTIF(퀘스트!B:B,표1[[#This Row],[명칭]])</f>
        <v>0</v>
      </c>
      <c r="N216" s="65">
        <f>COUNTIF([1]VillageDiscoveryGroup!$C:$C,표1[[#This Row],[명칭]])</f>
        <v>0</v>
      </c>
      <c r="O216" s="65">
        <f>SUM(표1[[#This Row],[해양탐색]:[마을탐험]])</f>
        <v>0</v>
      </c>
    </row>
    <row r="217" spans="2:15" ht="13.5" customHeight="1" x14ac:dyDescent="0.3">
      <c r="B217" s="9">
        <f>[1]Discovery!A223</f>
        <v>70402053</v>
      </c>
      <c r="C217" s="9" t="str">
        <f>[1]Discovery!B223</f>
        <v>사해문서</v>
      </c>
      <c r="D217" s="9" t="str">
        <f>[1]Discovery!E223</f>
        <v>유물</v>
      </c>
      <c r="E217" s="9" t="str">
        <f>[1]Discovery!C223</f>
        <v>종교유물</v>
      </c>
      <c r="F217" s="9" t="str">
        <f>[1]Discovery!G223</f>
        <v>S</v>
      </c>
      <c r="G217" s="9" t="str">
        <f>IFERROR(VLOOKUP(표1[[#This Row],[명칭]],'문화권 정리'!C:D,2,FALSE),"-")</f>
        <v>서남아시아</v>
      </c>
      <c r="H217" s="38" t="str">
        <f>IFERROR(COUNTIF([2]OceanDoodad!$Y:$Y,표1[[#This Row],[명칭]]),"-")</f>
        <v>-</v>
      </c>
      <c r="I217" s="38">
        <f>IFERROR(COUNTIF([1]AdventureDiscoveryGroup!$D$8:$AW$92,표1[[#This Row],[명칭]]),"-")</f>
        <v>0</v>
      </c>
      <c r="J217" s="38">
        <f>IFERROR(COUNTIF([1]FishDiscoveryGroup!$A:$X,표1[[#This Row],[명칭]]),"-")</f>
        <v>0</v>
      </c>
      <c r="K217" s="38" t="str">
        <f>IFERROR(COUNTIF([2]Town!$B:$B,표1[[#This Row],[명칭]]),"-")</f>
        <v>-</v>
      </c>
      <c r="L217" s="38">
        <f>IFERROR(COUNTIF([1]Village!$BR:$BR,표1[[#This Row],[명칭]]),"-")</f>
        <v>0</v>
      </c>
      <c r="M217" s="38">
        <f>COUNTIF(퀘스트!B:B,표1[[#This Row],[명칭]])</f>
        <v>1</v>
      </c>
      <c r="N217" s="65">
        <f>COUNTIF([1]VillageDiscoveryGroup!$C:$C,표1[[#This Row],[명칭]])</f>
        <v>0</v>
      </c>
      <c r="O217" s="65">
        <f>SUM(표1[[#This Row],[해양탐색]:[마을탐험]])</f>
        <v>1</v>
      </c>
    </row>
    <row r="218" spans="2:15" ht="13.5" customHeight="1" x14ac:dyDescent="0.3">
      <c r="B218" s="9">
        <f>[1]Discovery!A224</f>
        <v>70402054</v>
      </c>
      <c r="C218" s="9" t="str">
        <f>[1]Discovery!B224</f>
        <v>상좌부 불교의 불전</v>
      </c>
      <c r="D218" s="9" t="str">
        <f>[1]Discovery!E224</f>
        <v>유물</v>
      </c>
      <c r="E218" s="9" t="str">
        <f>[1]Discovery!C224</f>
        <v>종교유물</v>
      </c>
      <c r="F218" s="9" t="str">
        <f>[1]Discovery!G224</f>
        <v>C</v>
      </c>
      <c r="G218" s="9" t="str">
        <f>IFERROR(VLOOKUP(표1[[#This Row],[명칭]],'문화권 정리'!C:D,2,FALSE),"-")</f>
        <v>남아시아</v>
      </c>
      <c r="H218" s="38" t="str">
        <f>IFERROR(COUNTIF([2]OceanDoodad!$Y:$Y,표1[[#This Row],[명칭]]),"-")</f>
        <v>-</v>
      </c>
      <c r="I218" s="38">
        <f>IFERROR(COUNTIF([1]AdventureDiscoveryGroup!$D$8:$AW$92,표1[[#This Row],[명칭]]),"-")</f>
        <v>0</v>
      </c>
      <c r="J218" s="38">
        <f>IFERROR(COUNTIF([1]FishDiscoveryGroup!$A:$X,표1[[#This Row],[명칭]]),"-")</f>
        <v>0</v>
      </c>
      <c r="K218" s="38" t="str">
        <f>IFERROR(COUNTIF([2]Town!$B:$B,표1[[#This Row],[명칭]]),"-")</f>
        <v>-</v>
      </c>
      <c r="L218" s="38">
        <f>IFERROR(COUNTIF([1]Village!$BR:$BR,표1[[#This Row],[명칭]]),"-")</f>
        <v>0</v>
      </c>
      <c r="M218" s="38">
        <f>COUNTIF(퀘스트!B:B,표1[[#This Row],[명칭]])</f>
        <v>0</v>
      </c>
      <c r="N218" s="65">
        <f>COUNTIF([1]VillageDiscoveryGroup!$C:$C,표1[[#This Row],[명칭]])</f>
        <v>0</v>
      </c>
      <c r="O218" s="65">
        <f>SUM(표1[[#This Row],[해양탐색]:[마을탐험]])</f>
        <v>0</v>
      </c>
    </row>
    <row r="219" spans="2:15" ht="13.5" customHeight="1" x14ac:dyDescent="0.3">
      <c r="B219" s="9">
        <f>[1]Discovery!A225</f>
        <v>70402055</v>
      </c>
      <c r="C219" s="9" t="str">
        <f>[1]Discovery!B225</f>
        <v>석가모니 불상</v>
      </c>
      <c r="D219" s="9" t="str">
        <f>[1]Discovery!E225</f>
        <v>유물</v>
      </c>
      <c r="E219" s="9" t="str">
        <f>[1]Discovery!C225</f>
        <v>종교유물</v>
      </c>
      <c r="F219" s="9" t="str">
        <f>[1]Discovery!G225</f>
        <v>A</v>
      </c>
      <c r="G219" s="9" t="str">
        <f>IFERROR(VLOOKUP(표1[[#This Row],[명칭]],'문화권 정리'!C:D,2,FALSE),"-")</f>
        <v>남아시아</v>
      </c>
      <c r="H219" s="38" t="str">
        <f>IFERROR(COUNTIF([2]OceanDoodad!$Y:$Y,표1[[#This Row],[명칭]]),"-")</f>
        <v>-</v>
      </c>
      <c r="I219" s="38">
        <f>IFERROR(COUNTIF([1]AdventureDiscoveryGroup!$D$8:$AW$92,표1[[#This Row],[명칭]]),"-")</f>
        <v>0</v>
      </c>
      <c r="J219" s="38">
        <f>IFERROR(COUNTIF([1]FishDiscoveryGroup!$A:$X,표1[[#This Row],[명칭]]),"-")</f>
        <v>0</v>
      </c>
      <c r="K219" s="38" t="str">
        <f>IFERROR(COUNTIF([2]Town!$B:$B,표1[[#This Row],[명칭]]),"-")</f>
        <v>-</v>
      </c>
      <c r="L219" s="38">
        <f>IFERROR(COUNTIF([1]Village!$BR:$BR,표1[[#This Row],[명칭]]),"-")</f>
        <v>0</v>
      </c>
      <c r="M219" s="38">
        <f>COUNTIF(퀘스트!B:B,표1[[#This Row],[명칭]])</f>
        <v>0</v>
      </c>
      <c r="N219" s="65">
        <f>COUNTIF([1]VillageDiscoveryGroup!$C:$C,표1[[#This Row],[명칭]])</f>
        <v>0</v>
      </c>
      <c r="O219" s="65">
        <f>SUM(표1[[#This Row],[해양탐색]:[마을탐험]])</f>
        <v>0</v>
      </c>
    </row>
    <row r="220" spans="2:15" ht="13.5" customHeight="1" x14ac:dyDescent="0.3">
      <c r="B220" s="9">
        <f>[1]Discovery!A226</f>
        <v>70402056</v>
      </c>
      <c r="C220" s="9" t="str">
        <f>[1]Discovery!B226</f>
        <v>석가모니의 사리함</v>
      </c>
      <c r="D220" s="9" t="str">
        <f>[1]Discovery!E226</f>
        <v>유물</v>
      </c>
      <c r="E220" s="9" t="str">
        <f>[1]Discovery!C226</f>
        <v>종교유물</v>
      </c>
      <c r="F220" s="9" t="str">
        <f>[1]Discovery!G226</f>
        <v>S</v>
      </c>
      <c r="G220" s="9" t="str">
        <f>IFERROR(VLOOKUP(표1[[#This Row],[명칭]],'문화권 정리'!C:D,2,FALSE),"-")</f>
        <v>남아시아</v>
      </c>
      <c r="H220" s="38" t="str">
        <f>IFERROR(COUNTIF([2]OceanDoodad!$Y:$Y,표1[[#This Row],[명칭]]),"-")</f>
        <v>-</v>
      </c>
      <c r="I220" s="38">
        <f>IFERROR(COUNTIF([1]AdventureDiscoveryGroup!$D$8:$AW$92,표1[[#This Row],[명칭]]),"-")</f>
        <v>1</v>
      </c>
      <c r="J220" s="38">
        <f>IFERROR(COUNTIF([1]FishDiscoveryGroup!$A:$X,표1[[#This Row],[명칭]]),"-")</f>
        <v>0</v>
      </c>
      <c r="K220" s="38" t="str">
        <f>IFERROR(COUNTIF([2]Town!$B:$B,표1[[#This Row],[명칭]]),"-")</f>
        <v>-</v>
      </c>
      <c r="L220" s="38">
        <f>IFERROR(COUNTIF([1]Village!$BR:$BR,표1[[#This Row],[명칭]]),"-")</f>
        <v>0</v>
      </c>
      <c r="M220" s="38">
        <f>COUNTIF(퀘스트!B:B,표1[[#This Row],[명칭]])</f>
        <v>0</v>
      </c>
      <c r="N220" s="65">
        <f>COUNTIF([1]VillageDiscoveryGroup!$C:$C,표1[[#This Row],[명칭]])</f>
        <v>0</v>
      </c>
      <c r="O220" s="65">
        <f>SUM(표1[[#This Row],[해양탐색]:[마을탐험]])</f>
        <v>1</v>
      </c>
    </row>
    <row r="221" spans="2:15" ht="13.5" customHeight="1" x14ac:dyDescent="0.3">
      <c r="B221" s="9">
        <f>[1]Discovery!A227</f>
        <v>70402057</v>
      </c>
      <c r="C221" s="9" t="str">
        <f>[1]Discovery!B227</f>
        <v>석굴암 불상</v>
      </c>
      <c r="D221" s="9" t="str">
        <f>[1]Discovery!E227</f>
        <v>유물</v>
      </c>
      <c r="E221" s="9" t="str">
        <f>[1]Discovery!C227</f>
        <v>종교유물</v>
      </c>
      <c r="F221" s="9" t="str">
        <f>[1]Discovery!G227</f>
        <v>S</v>
      </c>
      <c r="G221" s="9" t="str">
        <f>IFERROR(VLOOKUP(표1[[#This Row],[명칭]],'문화권 정리'!C:D,2,FALSE),"-")</f>
        <v>동아시아</v>
      </c>
      <c r="H221" s="38" t="str">
        <f>IFERROR(COUNTIF([2]OceanDoodad!$Y:$Y,표1[[#This Row],[명칭]]),"-")</f>
        <v>-</v>
      </c>
      <c r="I221" s="38">
        <f>IFERROR(COUNTIF([1]AdventureDiscoveryGroup!$D$8:$AW$92,표1[[#This Row],[명칭]]),"-")</f>
        <v>1</v>
      </c>
      <c r="J221" s="38">
        <f>IFERROR(COUNTIF([1]FishDiscoveryGroup!$A:$X,표1[[#This Row],[명칭]]),"-")</f>
        <v>0</v>
      </c>
      <c r="K221" s="38" t="str">
        <f>IFERROR(COUNTIF([2]Town!$B:$B,표1[[#This Row],[명칭]]),"-")</f>
        <v>-</v>
      </c>
      <c r="L221" s="38">
        <f>IFERROR(COUNTIF([1]Village!$BR:$BR,표1[[#This Row],[명칭]]),"-")</f>
        <v>0</v>
      </c>
      <c r="M221" s="38">
        <f>COUNTIF(퀘스트!B:B,표1[[#This Row],[명칭]])</f>
        <v>0</v>
      </c>
      <c r="N221" s="65">
        <f>COUNTIF([1]VillageDiscoveryGroup!$C:$C,표1[[#This Row],[명칭]])</f>
        <v>0</v>
      </c>
      <c r="O221" s="65">
        <f>SUM(표1[[#This Row],[해양탐색]:[마을탐험]])</f>
        <v>1</v>
      </c>
    </row>
    <row r="222" spans="2:15" ht="13.5" customHeight="1" x14ac:dyDescent="0.3">
      <c r="B222" s="9" t="str">
        <f>[1]Discovery!A228</f>
        <v>#70402059</v>
      </c>
      <c r="C222" s="9" t="str">
        <f>[1]Discovery!B228</f>
        <v>성십자가</v>
      </c>
      <c r="D222" s="9" t="str">
        <f>[1]Discovery!E228</f>
        <v>유물</v>
      </c>
      <c r="E222" s="9" t="str">
        <f>[1]Discovery!C228</f>
        <v>종교유물</v>
      </c>
      <c r="F222" s="9" t="str">
        <f>[1]Discovery!G228</f>
        <v>S</v>
      </c>
      <c r="G222" s="9" t="str">
        <f>IFERROR(VLOOKUP(표1[[#This Row],[명칭]],'문화권 정리'!C:D,2,FALSE),"-")</f>
        <v>서남아시아</v>
      </c>
      <c r="H222" s="38" t="str">
        <f>IFERROR(COUNTIF([2]OceanDoodad!$Y:$Y,표1[[#This Row],[명칭]]),"-")</f>
        <v>-</v>
      </c>
      <c r="I222" s="38">
        <f>IFERROR(COUNTIF([1]AdventureDiscoveryGroup!$D$8:$AW$92,표1[[#This Row],[명칭]]),"-")</f>
        <v>0</v>
      </c>
      <c r="J222" s="38">
        <f>IFERROR(COUNTIF([1]FishDiscoveryGroup!$A:$X,표1[[#This Row],[명칭]]),"-")</f>
        <v>0</v>
      </c>
      <c r="K222" s="38" t="str">
        <f>IFERROR(COUNTIF([2]Town!$B:$B,표1[[#This Row],[명칭]]),"-")</f>
        <v>-</v>
      </c>
      <c r="L222" s="38">
        <f>IFERROR(COUNTIF([1]Village!$BR:$BR,표1[[#This Row],[명칭]]),"-")</f>
        <v>0</v>
      </c>
      <c r="M222" s="38">
        <f>COUNTIF(퀘스트!B:B,표1[[#This Row],[명칭]])</f>
        <v>0</v>
      </c>
      <c r="N222" s="65">
        <f>COUNTIF([1]VillageDiscoveryGroup!$C:$C,표1[[#This Row],[명칭]])</f>
        <v>0</v>
      </c>
      <c r="O222" s="65">
        <f>SUM(표1[[#This Row],[해양탐색]:[마을탐험]])</f>
        <v>0</v>
      </c>
    </row>
    <row r="223" spans="2:15" ht="13.5" customHeight="1" x14ac:dyDescent="0.3">
      <c r="B223" s="9">
        <f>[1]Discovery!A229</f>
        <v>70402060</v>
      </c>
      <c r="C223" s="9" t="str">
        <f>[1]Discovery!B229</f>
        <v>성황신</v>
      </c>
      <c r="D223" s="9" t="str">
        <f>[1]Discovery!E229</f>
        <v>유물</v>
      </c>
      <c r="E223" s="9" t="str">
        <f>[1]Discovery!C229</f>
        <v>종교유물</v>
      </c>
      <c r="F223" s="9" t="str">
        <f>[1]Discovery!G229</f>
        <v>B</v>
      </c>
      <c r="G223" s="9" t="str">
        <f>IFERROR(VLOOKUP(표1[[#This Row],[명칭]],'문화권 정리'!C:D,2,FALSE),"-")</f>
        <v>동아시아</v>
      </c>
      <c r="H223" s="38" t="str">
        <f>IFERROR(COUNTIF([2]OceanDoodad!$Y:$Y,표1[[#This Row],[명칭]]),"-")</f>
        <v>-</v>
      </c>
      <c r="I223" s="38">
        <f>IFERROR(COUNTIF([1]AdventureDiscoveryGroup!$D$8:$AW$92,표1[[#This Row],[명칭]]),"-")</f>
        <v>0</v>
      </c>
      <c r="J223" s="38">
        <f>IFERROR(COUNTIF([1]FishDiscoveryGroup!$A:$X,표1[[#This Row],[명칭]]),"-")</f>
        <v>0</v>
      </c>
      <c r="K223" s="38" t="str">
        <f>IFERROR(COUNTIF([2]Town!$B:$B,표1[[#This Row],[명칭]]),"-")</f>
        <v>-</v>
      </c>
      <c r="L223" s="38">
        <f>IFERROR(COUNTIF([1]Village!$BR:$BR,표1[[#This Row],[명칭]]),"-")</f>
        <v>0</v>
      </c>
      <c r="M223" s="38">
        <f>COUNTIF(퀘스트!B:B,표1[[#This Row],[명칭]])</f>
        <v>0</v>
      </c>
      <c r="N223" s="65">
        <f>COUNTIF([1]VillageDiscoveryGroup!$C:$C,표1[[#This Row],[명칭]])</f>
        <v>0</v>
      </c>
      <c r="O223" s="65">
        <f>SUM(표1[[#This Row],[해양탐색]:[마을탐험]])</f>
        <v>0</v>
      </c>
    </row>
    <row r="224" spans="2:15" ht="13.5" customHeight="1" x14ac:dyDescent="0.3">
      <c r="B224" s="9">
        <f>[1]Discovery!A230</f>
        <v>70402061</v>
      </c>
      <c r="C224" s="9" t="str">
        <f>[1]Discovery!B230</f>
        <v>세라피스상</v>
      </c>
      <c r="D224" s="9" t="str">
        <f>[1]Discovery!E230</f>
        <v>유물</v>
      </c>
      <c r="E224" s="9" t="str">
        <f>[1]Discovery!C230</f>
        <v>종교유물</v>
      </c>
      <c r="F224" s="9" t="str">
        <f>[1]Discovery!G230</f>
        <v>D</v>
      </c>
      <c r="G224" s="9" t="str">
        <f>IFERROR(VLOOKUP(표1[[#This Row],[명칭]],'문화권 정리'!C:D,2,FALSE),"-")</f>
        <v>북아프리카</v>
      </c>
      <c r="H224" s="38" t="str">
        <f>IFERROR(COUNTIF([2]OceanDoodad!$Y:$Y,표1[[#This Row],[명칭]]),"-")</f>
        <v>-</v>
      </c>
      <c r="I224" s="38">
        <f>IFERROR(COUNTIF([1]AdventureDiscoveryGroup!$D$8:$AW$92,표1[[#This Row],[명칭]]),"-")</f>
        <v>1</v>
      </c>
      <c r="J224" s="38">
        <f>IFERROR(COUNTIF([1]FishDiscoveryGroup!$A:$X,표1[[#This Row],[명칭]]),"-")</f>
        <v>0</v>
      </c>
      <c r="K224" s="38" t="str">
        <f>IFERROR(COUNTIF([2]Town!$B:$B,표1[[#This Row],[명칭]]),"-")</f>
        <v>-</v>
      </c>
      <c r="L224" s="38">
        <f>IFERROR(COUNTIF([1]Village!$BR:$BR,표1[[#This Row],[명칭]]),"-")</f>
        <v>0</v>
      </c>
      <c r="M224" s="38">
        <f>COUNTIF(퀘스트!B:B,표1[[#This Row],[명칭]])</f>
        <v>0</v>
      </c>
      <c r="N224" s="65">
        <f>COUNTIF([1]VillageDiscoveryGroup!$C:$C,표1[[#This Row],[명칭]])</f>
        <v>0</v>
      </c>
      <c r="O224" s="65">
        <f>SUM(표1[[#This Row],[해양탐색]:[마을탐험]])</f>
        <v>1</v>
      </c>
    </row>
    <row r="225" spans="2:15" ht="13.5" customHeight="1" x14ac:dyDescent="0.3">
      <c r="B225" s="9">
        <f>[1]Discovery!A231</f>
        <v>70402062</v>
      </c>
      <c r="C225" s="9" t="str">
        <f>[1]Discovery!B231</f>
        <v>세미상</v>
      </c>
      <c r="D225" s="9" t="str">
        <f>[1]Discovery!E231</f>
        <v>유물</v>
      </c>
      <c r="E225" s="9" t="str">
        <f>[1]Discovery!C231</f>
        <v>종교유물</v>
      </c>
      <c r="F225" s="9" t="str">
        <f>[1]Discovery!G231</f>
        <v>S</v>
      </c>
      <c r="G225" s="9" t="str">
        <f>IFERROR(VLOOKUP(표1[[#This Row],[명칭]],'문화권 정리'!C:D,2,FALSE),"-")</f>
        <v>중앙아메리카</v>
      </c>
      <c r="H225" s="38" t="str">
        <f>IFERROR(COUNTIF([2]OceanDoodad!$Y:$Y,표1[[#This Row],[명칭]]),"-")</f>
        <v>-</v>
      </c>
      <c r="I225" s="38">
        <f>IFERROR(COUNTIF([1]AdventureDiscoveryGroup!$D$8:$AW$92,표1[[#This Row],[명칭]]),"-")</f>
        <v>1</v>
      </c>
      <c r="J225" s="38">
        <f>IFERROR(COUNTIF([1]FishDiscoveryGroup!$A:$X,표1[[#This Row],[명칭]]),"-")</f>
        <v>0</v>
      </c>
      <c r="K225" s="38" t="str">
        <f>IFERROR(COUNTIF([2]Town!$B:$B,표1[[#This Row],[명칭]]),"-")</f>
        <v>-</v>
      </c>
      <c r="L225" s="38">
        <f>IFERROR(COUNTIF([1]Village!$BR:$BR,표1[[#This Row],[명칭]]),"-")</f>
        <v>0</v>
      </c>
      <c r="M225" s="38">
        <f>COUNTIF(퀘스트!B:B,표1[[#This Row],[명칭]])</f>
        <v>0</v>
      </c>
      <c r="N225" s="65">
        <f>COUNTIF([1]VillageDiscoveryGroup!$C:$C,표1[[#This Row],[명칭]])</f>
        <v>0</v>
      </c>
      <c r="O225" s="65">
        <f>SUM(표1[[#This Row],[해양탐색]:[마을탐험]])</f>
        <v>1</v>
      </c>
    </row>
    <row r="226" spans="2:15" ht="13.5" customHeight="1" x14ac:dyDescent="0.3">
      <c r="B226" s="9">
        <f>[1]Discovery!A232</f>
        <v>70402063</v>
      </c>
      <c r="C226" s="9" t="str">
        <f>[1]Discovery!B232</f>
        <v>소코상</v>
      </c>
      <c r="D226" s="9" t="str">
        <f>[1]Discovery!E232</f>
        <v>유물</v>
      </c>
      <c r="E226" s="9" t="str">
        <f>[1]Discovery!C232</f>
        <v>종교유물</v>
      </c>
      <c r="F226" s="9" t="str">
        <f>[1]Discovery!G232</f>
        <v>S</v>
      </c>
      <c r="G226" s="9" t="str">
        <f>IFERROR(VLOOKUP(표1[[#This Row],[명칭]],'문화권 정리'!C:D,2,FALSE),"-")</f>
        <v>서아프리카</v>
      </c>
      <c r="H226" s="38" t="str">
        <f>IFERROR(COUNTIF([2]OceanDoodad!$Y:$Y,표1[[#This Row],[명칭]]),"-")</f>
        <v>-</v>
      </c>
      <c r="I226" s="38">
        <f>IFERROR(COUNTIF([1]AdventureDiscoveryGroup!$D$8:$AW$92,표1[[#This Row],[명칭]]),"-")</f>
        <v>0</v>
      </c>
      <c r="J226" s="38">
        <f>IFERROR(COUNTIF([1]FishDiscoveryGroup!$A:$X,표1[[#This Row],[명칭]]),"-")</f>
        <v>0</v>
      </c>
      <c r="K226" s="38" t="str">
        <f>IFERROR(COUNTIF([2]Town!$B:$B,표1[[#This Row],[명칭]]),"-")</f>
        <v>-</v>
      </c>
      <c r="L226" s="38">
        <f>IFERROR(COUNTIF([1]Village!$BR:$BR,표1[[#This Row],[명칭]]),"-")</f>
        <v>0</v>
      </c>
      <c r="M226" s="38">
        <f>COUNTIF(퀘스트!B:B,표1[[#This Row],[명칭]])</f>
        <v>0</v>
      </c>
      <c r="N226" s="65">
        <f>COUNTIF([1]VillageDiscoveryGroup!$C:$C,표1[[#This Row],[명칭]])</f>
        <v>0</v>
      </c>
      <c r="O226" s="65">
        <f>SUM(표1[[#This Row],[해양탐색]:[마을탐험]])</f>
        <v>0</v>
      </c>
    </row>
    <row r="227" spans="2:15" ht="13.5" customHeight="1" x14ac:dyDescent="0.3">
      <c r="B227" s="9">
        <f>[1]Discovery!A233</f>
        <v>70402064</v>
      </c>
      <c r="C227" s="9" t="str">
        <f>[1]Discovery!B233</f>
        <v>솔로몬의 반지</v>
      </c>
      <c r="D227" s="9" t="str">
        <f>[1]Discovery!E233</f>
        <v>보물</v>
      </c>
      <c r="E227" s="9" t="str">
        <f>[1]Discovery!C233</f>
        <v>보물</v>
      </c>
      <c r="F227" s="9" t="str">
        <f>[1]Discovery!G233</f>
        <v>S</v>
      </c>
      <c r="G227" s="9" t="str">
        <f>IFERROR(VLOOKUP(표1[[#This Row],[명칭]],'문화권 정리'!C:D,2,FALSE),"-")</f>
        <v>서남아시아</v>
      </c>
      <c r="H227" s="38" t="str">
        <f>IFERROR(COUNTIF([2]OceanDoodad!$Y:$Y,표1[[#This Row],[명칭]]),"-")</f>
        <v>-</v>
      </c>
      <c r="I227" s="38">
        <f>IFERROR(COUNTIF([1]AdventureDiscoveryGroup!$D$8:$AW$92,표1[[#This Row],[명칭]]),"-")</f>
        <v>0</v>
      </c>
      <c r="J227" s="38">
        <f>IFERROR(COUNTIF([1]FishDiscoveryGroup!$A:$X,표1[[#This Row],[명칭]]),"-")</f>
        <v>0</v>
      </c>
      <c r="K227" s="38" t="str">
        <f>IFERROR(COUNTIF([2]Town!$B:$B,표1[[#This Row],[명칭]]),"-")</f>
        <v>-</v>
      </c>
      <c r="L227" s="38">
        <f>IFERROR(COUNTIF([1]Village!$BR:$BR,표1[[#This Row],[명칭]]),"-")</f>
        <v>0</v>
      </c>
      <c r="M227" s="38">
        <f>COUNTIF(퀘스트!B:B,표1[[#This Row],[명칭]])</f>
        <v>1</v>
      </c>
      <c r="N227" s="65">
        <f>COUNTIF([1]VillageDiscoveryGroup!$C:$C,표1[[#This Row],[명칭]])</f>
        <v>0</v>
      </c>
      <c r="O227" s="65">
        <f>SUM(표1[[#This Row],[해양탐색]:[마을탐험]])</f>
        <v>1</v>
      </c>
    </row>
    <row r="228" spans="2:15" ht="13.5" customHeight="1" x14ac:dyDescent="0.3">
      <c r="B228" s="9">
        <f>[1]Discovery!A234</f>
        <v>70402065</v>
      </c>
      <c r="C228" s="9" t="str">
        <f>[1]Discovery!B234</f>
        <v>수리야상</v>
      </c>
      <c r="D228" s="9" t="str">
        <f>[1]Discovery!E234</f>
        <v>유물</v>
      </c>
      <c r="E228" s="9" t="str">
        <f>[1]Discovery!C234</f>
        <v>종교유물</v>
      </c>
      <c r="F228" s="9" t="str">
        <f>[1]Discovery!G234</f>
        <v>C</v>
      </c>
      <c r="G228" s="9" t="str">
        <f>IFERROR(VLOOKUP(표1[[#This Row],[명칭]],'문화권 정리'!C:D,2,FALSE),"-")</f>
        <v>동남아시아</v>
      </c>
      <c r="H228" s="38" t="str">
        <f>IFERROR(COUNTIF([2]OceanDoodad!$Y:$Y,표1[[#This Row],[명칭]]),"-")</f>
        <v>-</v>
      </c>
      <c r="I228" s="38">
        <f>IFERROR(COUNTIF([1]AdventureDiscoveryGroup!$D$8:$AW$92,표1[[#This Row],[명칭]]),"-")</f>
        <v>0</v>
      </c>
      <c r="J228" s="38">
        <f>IFERROR(COUNTIF([1]FishDiscoveryGroup!$A:$X,표1[[#This Row],[명칭]]),"-")</f>
        <v>0</v>
      </c>
      <c r="K228" s="38" t="str">
        <f>IFERROR(COUNTIF([2]Town!$B:$B,표1[[#This Row],[명칭]]),"-")</f>
        <v>-</v>
      </c>
      <c r="L228" s="38">
        <f>IFERROR(COUNTIF([1]Village!$BR:$BR,표1[[#This Row],[명칭]]),"-")</f>
        <v>0</v>
      </c>
      <c r="M228" s="38">
        <f>COUNTIF(퀘스트!B:B,표1[[#This Row],[명칭]])</f>
        <v>0</v>
      </c>
      <c r="N228" s="65">
        <f>COUNTIF([1]VillageDiscoveryGroup!$C:$C,표1[[#This Row],[명칭]])</f>
        <v>0</v>
      </c>
      <c r="O228" s="65">
        <f>SUM(표1[[#This Row],[해양탐색]:[마을탐험]])</f>
        <v>0</v>
      </c>
    </row>
    <row r="229" spans="2:15" ht="13.5" customHeight="1" x14ac:dyDescent="0.3">
      <c r="B229" s="9">
        <f>[1]Discovery!A235</f>
        <v>70402066</v>
      </c>
      <c r="C229" s="9" t="str">
        <f>[1]Discovery!B235</f>
        <v>수켈루스 신상</v>
      </c>
      <c r="D229" s="9" t="str">
        <f>[1]Discovery!E235</f>
        <v>유물</v>
      </c>
      <c r="E229" s="9" t="str">
        <f>[1]Discovery!C235</f>
        <v>종교유물</v>
      </c>
      <c r="F229" s="9" t="str">
        <f>[1]Discovery!G235</f>
        <v>D</v>
      </c>
      <c r="G229" s="9" t="str">
        <f>IFERROR(VLOOKUP(표1[[#This Row],[명칭]],'문화권 정리'!C:D,2,FALSE),"-")</f>
        <v>북유럽</v>
      </c>
      <c r="H229" s="38" t="str">
        <f>IFERROR(COUNTIF([2]OceanDoodad!$Y:$Y,표1[[#This Row],[명칭]]),"-")</f>
        <v>-</v>
      </c>
      <c r="I229" s="38">
        <f>IFERROR(COUNTIF([1]AdventureDiscoveryGroup!$D$8:$AW$92,표1[[#This Row],[명칭]]),"-")</f>
        <v>1</v>
      </c>
      <c r="J229" s="38">
        <f>IFERROR(COUNTIF([1]FishDiscoveryGroup!$A:$X,표1[[#This Row],[명칭]]),"-")</f>
        <v>0</v>
      </c>
      <c r="K229" s="38" t="str">
        <f>IFERROR(COUNTIF([2]Town!$B:$B,표1[[#This Row],[명칭]]),"-")</f>
        <v>-</v>
      </c>
      <c r="L229" s="38">
        <f>IFERROR(COUNTIF([1]Village!$BR:$BR,표1[[#This Row],[명칭]]),"-")</f>
        <v>0</v>
      </c>
      <c r="M229" s="38">
        <f>COUNTIF(퀘스트!B:B,표1[[#This Row],[명칭]])</f>
        <v>0</v>
      </c>
      <c r="N229" s="65">
        <f>COUNTIF([1]VillageDiscoveryGroup!$C:$C,표1[[#This Row],[명칭]])</f>
        <v>0</v>
      </c>
      <c r="O229" s="65">
        <f>SUM(표1[[#This Row],[해양탐색]:[마을탐험]])</f>
        <v>1</v>
      </c>
    </row>
    <row r="230" spans="2:15" ht="13.5" customHeight="1" x14ac:dyDescent="0.3">
      <c r="B230" s="9">
        <f>[1]Discovery!A236</f>
        <v>70402067</v>
      </c>
      <c r="C230" s="9" t="str">
        <f>[1]Discovery!B236</f>
        <v>스바로그의 부조</v>
      </c>
      <c r="D230" s="9" t="str">
        <f>[1]Discovery!E236</f>
        <v>유물</v>
      </c>
      <c r="E230" s="9" t="str">
        <f>[1]Discovery!C236</f>
        <v>종교유물</v>
      </c>
      <c r="F230" s="9" t="str">
        <f>[1]Discovery!G236</f>
        <v>C</v>
      </c>
      <c r="G230" s="9" t="str">
        <f>IFERROR(VLOOKUP(표1[[#This Row],[명칭]],'문화권 정리'!C:D,2,FALSE),"-")</f>
        <v>지중해</v>
      </c>
      <c r="H230" s="38" t="str">
        <f>IFERROR(COUNTIF([2]OceanDoodad!$Y:$Y,표1[[#This Row],[명칭]]),"-")</f>
        <v>-</v>
      </c>
      <c r="I230" s="38">
        <f>IFERROR(COUNTIF([1]AdventureDiscoveryGroup!$D$8:$AW$92,표1[[#This Row],[명칭]]),"-")</f>
        <v>0</v>
      </c>
      <c r="J230" s="38">
        <f>IFERROR(COUNTIF([1]FishDiscoveryGroup!$A:$X,표1[[#This Row],[명칭]]),"-")</f>
        <v>0</v>
      </c>
      <c r="K230" s="38" t="str">
        <f>IFERROR(COUNTIF([2]Town!$B:$B,표1[[#This Row],[명칭]]),"-")</f>
        <v>-</v>
      </c>
      <c r="L230" s="38">
        <f>IFERROR(COUNTIF([1]Village!$BR:$BR,표1[[#This Row],[명칭]]),"-")</f>
        <v>0</v>
      </c>
      <c r="M230" s="38">
        <f>COUNTIF(퀘스트!B:B,표1[[#This Row],[명칭]])</f>
        <v>0</v>
      </c>
      <c r="N230" s="65">
        <f>COUNTIF([1]VillageDiscoveryGroup!$C:$C,표1[[#This Row],[명칭]])</f>
        <v>0</v>
      </c>
      <c r="O230" s="65">
        <f>SUM(표1[[#This Row],[해양탐색]:[마을탐험]])</f>
        <v>0</v>
      </c>
    </row>
    <row r="231" spans="2:15" ht="13.5" customHeight="1" x14ac:dyDescent="0.3">
      <c r="B231" s="9">
        <f>[1]Discovery!A237</f>
        <v>70402068</v>
      </c>
      <c r="C231" s="9" t="str">
        <f>[1]Discovery!B237</f>
        <v>시바상</v>
      </c>
      <c r="D231" s="9" t="str">
        <f>[1]Discovery!E237</f>
        <v>유물</v>
      </c>
      <c r="E231" s="9" t="str">
        <f>[1]Discovery!C237</f>
        <v>종교유물</v>
      </c>
      <c r="F231" s="9" t="str">
        <f>[1]Discovery!G237</f>
        <v>B</v>
      </c>
      <c r="G231" s="9" t="str">
        <f>IFERROR(VLOOKUP(표1[[#This Row],[명칭]],'문화권 정리'!C:D,2,FALSE),"-")</f>
        <v>남아시아</v>
      </c>
      <c r="H231" s="38" t="str">
        <f>IFERROR(COUNTIF([2]OceanDoodad!$Y:$Y,표1[[#This Row],[명칭]]),"-")</f>
        <v>-</v>
      </c>
      <c r="I231" s="38">
        <f>IFERROR(COUNTIF([1]AdventureDiscoveryGroup!$D$8:$AW$92,표1[[#This Row],[명칭]]),"-")</f>
        <v>0</v>
      </c>
      <c r="J231" s="38">
        <f>IFERROR(COUNTIF([1]FishDiscoveryGroup!$A:$X,표1[[#This Row],[명칭]]),"-")</f>
        <v>0</v>
      </c>
      <c r="K231" s="38" t="str">
        <f>IFERROR(COUNTIF([2]Town!$B:$B,표1[[#This Row],[명칭]]),"-")</f>
        <v>-</v>
      </c>
      <c r="L231" s="38">
        <f>IFERROR(COUNTIF([1]Village!$BR:$BR,표1[[#This Row],[명칭]]),"-")</f>
        <v>0</v>
      </c>
      <c r="M231" s="38">
        <f>COUNTIF(퀘스트!B:B,표1[[#This Row],[명칭]])</f>
        <v>1</v>
      </c>
      <c r="N231" s="65">
        <f>COUNTIF([1]VillageDiscoveryGroup!$C:$C,표1[[#This Row],[명칭]])</f>
        <v>0</v>
      </c>
      <c r="O231" s="65">
        <f>SUM(표1[[#This Row],[해양탐색]:[마을탐험]])</f>
        <v>1</v>
      </c>
    </row>
    <row r="232" spans="2:15" ht="13.5" customHeight="1" x14ac:dyDescent="0.3">
      <c r="B232" s="9">
        <f>[1]Discovery!A238</f>
        <v>70402069</v>
      </c>
      <c r="C232" s="9" t="str">
        <f>[1]Discovery!B238</f>
        <v>시우코아틀상</v>
      </c>
      <c r="D232" s="9" t="str">
        <f>[1]Discovery!E238</f>
        <v>유물</v>
      </c>
      <c r="E232" s="9" t="str">
        <f>[1]Discovery!C238</f>
        <v>종교유물</v>
      </c>
      <c r="F232" s="9" t="str">
        <f>[1]Discovery!G238</f>
        <v>B</v>
      </c>
      <c r="G232" s="9" t="str">
        <f>IFERROR(VLOOKUP(표1[[#This Row],[명칭]],'문화권 정리'!C:D,2,FALSE),"-")</f>
        <v>중앙아메리카</v>
      </c>
      <c r="H232" s="38" t="str">
        <f>IFERROR(COUNTIF([2]OceanDoodad!$Y:$Y,표1[[#This Row],[명칭]]),"-")</f>
        <v>-</v>
      </c>
      <c r="I232" s="38">
        <f>IFERROR(COUNTIF([1]AdventureDiscoveryGroup!$D$8:$AW$92,표1[[#This Row],[명칭]]),"-")</f>
        <v>1</v>
      </c>
      <c r="J232" s="38">
        <f>IFERROR(COUNTIF([1]FishDiscoveryGroup!$A:$X,표1[[#This Row],[명칭]]),"-")</f>
        <v>0</v>
      </c>
      <c r="K232" s="38" t="str">
        <f>IFERROR(COUNTIF([2]Town!$B:$B,표1[[#This Row],[명칭]]),"-")</f>
        <v>-</v>
      </c>
      <c r="L232" s="38">
        <f>IFERROR(COUNTIF([1]Village!$BR:$BR,표1[[#This Row],[명칭]]),"-")</f>
        <v>0</v>
      </c>
      <c r="M232" s="38">
        <f>COUNTIF(퀘스트!B:B,표1[[#This Row],[명칭]])</f>
        <v>0</v>
      </c>
      <c r="N232" s="65">
        <f>COUNTIF([1]VillageDiscoveryGroup!$C:$C,표1[[#This Row],[명칭]])</f>
        <v>0</v>
      </c>
      <c r="O232" s="65">
        <f>SUM(표1[[#This Row],[해양탐색]:[마을탐험]])</f>
        <v>1</v>
      </c>
    </row>
    <row r="233" spans="2:15" ht="13.5" customHeight="1" x14ac:dyDescent="0.3">
      <c r="B233" s="9">
        <f>[1]Discovery!A239</f>
        <v>70402070</v>
      </c>
      <c r="C233" s="9" t="str">
        <f>[1]Discovery!B239</f>
        <v>시페 토텍 도자기상</v>
      </c>
      <c r="D233" s="9" t="str">
        <f>[1]Discovery!E239</f>
        <v>유물</v>
      </c>
      <c r="E233" s="9" t="str">
        <f>[1]Discovery!C239</f>
        <v>종교유물</v>
      </c>
      <c r="F233" s="9" t="str">
        <f>[1]Discovery!G239</f>
        <v>C</v>
      </c>
      <c r="G233" s="9" t="str">
        <f>IFERROR(VLOOKUP(표1[[#This Row],[명칭]],'문화권 정리'!C:D,2,FALSE),"-")</f>
        <v>중앙아메리카</v>
      </c>
      <c r="H233" s="38" t="str">
        <f>IFERROR(COUNTIF([2]OceanDoodad!$Y:$Y,표1[[#This Row],[명칭]]),"-")</f>
        <v>-</v>
      </c>
      <c r="I233" s="38">
        <f>IFERROR(COUNTIF([1]AdventureDiscoveryGroup!$D$8:$AW$92,표1[[#This Row],[명칭]]),"-")</f>
        <v>1</v>
      </c>
      <c r="J233" s="38">
        <f>IFERROR(COUNTIF([1]FishDiscoveryGroup!$A:$X,표1[[#This Row],[명칭]]),"-")</f>
        <v>0</v>
      </c>
      <c r="K233" s="38" t="str">
        <f>IFERROR(COUNTIF([2]Town!$B:$B,표1[[#This Row],[명칭]]),"-")</f>
        <v>-</v>
      </c>
      <c r="L233" s="38">
        <f>IFERROR(COUNTIF([1]Village!$BR:$BR,표1[[#This Row],[명칭]]),"-")</f>
        <v>0</v>
      </c>
      <c r="M233" s="38">
        <f>COUNTIF(퀘스트!B:B,표1[[#This Row],[명칭]])</f>
        <v>0</v>
      </c>
      <c r="N233" s="65">
        <f>COUNTIF([1]VillageDiscoveryGroup!$C:$C,표1[[#This Row],[명칭]])</f>
        <v>0</v>
      </c>
      <c r="O233" s="65">
        <f>SUM(표1[[#This Row],[해양탐색]:[마을탐험]])</f>
        <v>1</v>
      </c>
    </row>
    <row r="234" spans="2:15" ht="13.5" customHeight="1" x14ac:dyDescent="0.3">
      <c r="B234" s="9">
        <f>[1]Discovery!A240</f>
        <v>70402071</v>
      </c>
      <c r="C234" s="9" t="str">
        <f>[1]Discovery!B240</f>
        <v>시페 토텍의 가면</v>
      </c>
      <c r="D234" s="9" t="str">
        <f>[1]Discovery!E240</f>
        <v>유물</v>
      </c>
      <c r="E234" s="9" t="str">
        <f>[1]Discovery!C240</f>
        <v>종교유물</v>
      </c>
      <c r="F234" s="9" t="str">
        <f>[1]Discovery!G240</f>
        <v>A</v>
      </c>
      <c r="G234" s="9" t="str">
        <f>IFERROR(VLOOKUP(표1[[#This Row],[명칭]],'문화권 정리'!C:D,2,FALSE),"-")</f>
        <v>중앙아메리카</v>
      </c>
      <c r="H234" s="38" t="str">
        <f>IFERROR(COUNTIF([2]OceanDoodad!$Y:$Y,표1[[#This Row],[명칭]]),"-")</f>
        <v>-</v>
      </c>
      <c r="I234" s="38">
        <f>IFERROR(COUNTIF([1]AdventureDiscoveryGroup!$D$8:$AW$92,표1[[#This Row],[명칭]]),"-")</f>
        <v>0</v>
      </c>
      <c r="J234" s="38">
        <f>IFERROR(COUNTIF([1]FishDiscoveryGroup!$A:$X,표1[[#This Row],[명칭]]),"-")</f>
        <v>0</v>
      </c>
      <c r="K234" s="38" t="str">
        <f>IFERROR(COUNTIF([2]Town!$B:$B,표1[[#This Row],[명칭]]),"-")</f>
        <v>-</v>
      </c>
      <c r="L234" s="38">
        <f>IFERROR(COUNTIF([1]Village!$BR:$BR,표1[[#This Row],[명칭]]),"-")</f>
        <v>0</v>
      </c>
      <c r="M234" s="38">
        <f>COUNTIF(퀘스트!B:B,표1[[#This Row],[명칭]])</f>
        <v>0</v>
      </c>
      <c r="N234" s="65">
        <f>COUNTIF([1]VillageDiscoveryGroup!$C:$C,표1[[#This Row],[명칭]])</f>
        <v>0</v>
      </c>
      <c r="O234" s="65">
        <f>SUM(표1[[#This Row],[해양탐색]:[마을탐험]])</f>
        <v>0</v>
      </c>
    </row>
    <row r="235" spans="2:15" ht="13.5" customHeight="1" x14ac:dyDescent="0.3">
      <c r="B235" s="9">
        <f>[1]Discovery!A241</f>
        <v>70402072</v>
      </c>
      <c r="C235" s="9" t="str">
        <f>[1]Discovery!B241</f>
        <v>신통기</v>
      </c>
      <c r="D235" s="9" t="str">
        <f>[1]Discovery!E241</f>
        <v>유물</v>
      </c>
      <c r="E235" s="9" t="str">
        <f>[1]Discovery!C241</f>
        <v>종교유물</v>
      </c>
      <c r="F235" s="9" t="str">
        <f>[1]Discovery!G241</f>
        <v>C</v>
      </c>
      <c r="G235" s="9" t="str">
        <f>IFERROR(VLOOKUP(표1[[#This Row],[명칭]],'문화권 정리'!C:D,2,FALSE),"-")</f>
        <v>지중해</v>
      </c>
      <c r="H235" s="38" t="str">
        <f>IFERROR(COUNTIF([2]OceanDoodad!$Y:$Y,표1[[#This Row],[명칭]]),"-")</f>
        <v>-</v>
      </c>
      <c r="I235" s="38">
        <f>IFERROR(COUNTIF([1]AdventureDiscoveryGroup!$D$8:$AW$92,표1[[#This Row],[명칭]]),"-")</f>
        <v>1</v>
      </c>
      <c r="J235" s="38">
        <f>IFERROR(COUNTIF([1]FishDiscoveryGroup!$A:$X,표1[[#This Row],[명칭]]),"-")</f>
        <v>0</v>
      </c>
      <c r="K235" s="38" t="str">
        <f>IFERROR(COUNTIF([2]Town!$B:$B,표1[[#This Row],[명칭]]),"-")</f>
        <v>-</v>
      </c>
      <c r="L235" s="38">
        <f>IFERROR(COUNTIF([1]Village!$BR:$BR,표1[[#This Row],[명칭]]),"-")</f>
        <v>0</v>
      </c>
      <c r="M235" s="38">
        <f>COUNTIF(퀘스트!B:B,표1[[#This Row],[명칭]])</f>
        <v>0</v>
      </c>
      <c r="N235" s="65">
        <f>COUNTIF([1]VillageDiscoveryGroup!$C:$C,표1[[#This Row],[명칭]])</f>
        <v>0</v>
      </c>
      <c r="O235" s="65">
        <f>SUM(표1[[#This Row],[해양탐색]:[마을탐험]])</f>
        <v>1</v>
      </c>
    </row>
    <row r="236" spans="2:15" ht="13.5" customHeight="1" x14ac:dyDescent="0.3">
      <c r="B236" s="9">
        <f>[1]Discovery!A242</f>
        <v>70402073</v>
      </c>
      <c r="C236" s="9" t="str">
        <f>[1]Discovery!B242</f>
        <v>십계</v>
      </c>
      <c r="D236" s="9" t="str">
        <f>[1]Discovery!E242</f>
        <v>유물</v>
      </c>
      <c r="E236" s="9" t="str">
        <f>[1]Discovery!C242</f>
        <v>종교유물</v>
      </c>
      <c r="F236" s="9" t="str">
        <f>[1]Discovery!G242</f>
        <v>S</v>
      </c>
      <c r="G236" s="9" t="str">
        <f>IFERROR(VLOOKUP(표1[[#This Row],[명칭]],'문화권 정리'!C:D,2,FALSE),"-")</f>
        <v>서남아시아</v>
      </c>
      <c r="H236" s="38" t="str">
        <f>IFERROR(COUNTIF([2]OceanDoodad!$Y:$Y,표1[[#This Row],[명칭]]),"-")</f>
        <v>-</v>
      </c>
      <c r="I236" s="38">
        <f>IFERROR(COUNTIF([1]AdventureDiscoveryGroup!$D$8:$AW$92,표1[[#This Row],[명칭]]),"-")</f>
        <v>0</v>
      </c>
      <c r="J236" s="38">
        <f>IFERROR(COUNTIF([1]FishDiscoveryGroup!$A:$X,표1[[#This Row],[명칭]]),"-")</f>
        <v>0</v>
      </c>
      <c r="K236" s="38" t="str">
        <f>IFERROR(COUNTIF([2]Town!$B:$B,표1[[#This Row],[명칭]]),"-")</f>
        <v>-</v>
      </c>
      <c r="L236" s="38">
        <f>IFERROR(COUNTIF([1]Village!$BR:$BR,표1[[#This Row],[명칭]]),"-")</f>
        <v>0</v>
      </c>
      <c r="M236" s="38">
        <f>COUNTIF(퀘스트!B:B,표1[[#This Row],[명칭]])</f>
        <v>1</v>
      </c>
      <c r="N236" s="65">
        <f>COUNTIF([1]VillageDiscoveryGroup!$C:$C,표1[[#This Row],[명칭]])</f>
        <v>0</v>
      </c>
      <c r="O236" s="65">
        <f>SUM(표1[[#This Row],[해양탐색]:[마을탐험]])</f>
        <v>1</v>
      </c>
    </row>
    <row r="237" spans="2:15" ht="13.5" customHeight="1" x14ac:dyDescent="0.3">
      <c r="B237" s="9">
        <f>[1]Discovery!A243</f>
        <v>70402074</v>
      </c>
      <c r="C237" s="9" t="str">
        <f>[1]Discovery!B243</f>
        <v>아그니상</v>
      </c>
      <c r="D237" s="9" t="str">
        <f>[1]Discovery!E243</f>
        <v>유물</v>
      </c>
      <c r="E237" s="9" t="str">
        <f>[1]Discovery!C243</f>
        <v>종교유물</v>
      </c>
      <c r="F237" s="9" t="str">
        <f>[1]Discovery!G243</f>
        <v>C</v>
      </c>
      <c r="G237" s="9" t="str">
        <f>IFERROR(VLOOKUP(표1[[#This Row],[명칭]],'문화권 정리'!C:D,2,FALSE),"-")</f>
        <v>동남아시아</v>
      </c>
      <c r="H237" s="38" t="str">
        <f>IFERROR(COUNTIF([2]OceanDoodad!$Y:$Y,표1[[#This Row],[명칭]]),"-")</f>
        <v>-</v>
      </c>
      <c r="I237" s="38">
        <f>IFERROR(COUNTIF([1]AdventureDiscoveryGroup!$D$8:$AW$92,표1[[#This Row],[명칭]]),"-")</f>
        <v>0</v>
      </c>
      <c r="J237" s="38">
        <f>IFERROR(COUNTIF([1]FishDiscoveryGroup!$A:$X,표1[[#This Row],[명칭]]),"-")</f>
        <v>0</v>
      </c>
      <c r="K237" s="38" t="str">
        <f>IFERROR(COUNTIF([2]Town!$B:$B,표1[[#This Row],[명칭]]),"-")</f>
        <v>-</v>
      </c>
      <c r="L237" s="38">
        <f>IFERROR(COUNTIF([1]Village!$BR:$BR,표1[[#This Row],[명칭]]),"-")</f>
        <v>0</v>
      </c>
      <c r="M237" s="38">
        <f>COUNTIF(퀘스트!B:B,표1[[#This Row],[명칭]])</f>
        <v>0</v>
      </c>
      <c r="N237" s="65">
        <f>COUNTIF([1]VillageDiscoveryGroup!$C:$C,표1[[#This Row],[명칭]])</f>
        <v>0</v>
      </c>
      <c r="O237" s="65">
        <f>SUM(표1[[#This Row],[해양탐색]:[마을탐험]])</f>
        <v>0</v>
      </c>
    </row>
    <row r="238" spans="2:15" ht="13.5" customHeight="1" x14ac:dyDescent="0.3">
      <c r="B238" s="9">
        <f>[1]Discovery!A244</f>
        <v>70402075</v>
      </c>
      <c r="C238" s="9" t="str">
        <f>[1]Discovery!B244</f>
        <v>아누비스 조각상</v>
      </c>
      <c r="D238" s="9" t="str">
        <f>[1]Discovery!E244</f>
        <v>유물</v>
      </c>
      <c r="E238" s="9" t="str">
        <f>[1]Discovery!C244</f>
        <v>종교유물</v>
      </c>
      <c r="F238" s="9" t="str">
        <f>[1]Discovery!G244</f>
        <v>A</v>
      </c>
      <c r="G238" s="9" t="str">
        <f>IFERROR(VLOOKUP(표1[[#This Row],[명칭]],'문화권 정리'!C:D,2,FALSE),"-")</f>
        <v>북아프리카</v>
      </c>
      <c r="H238" s="38" t="str">
        <f>IFERROR(COUNTIF([2]OceanDoodad!$Y:$Y,표1[[#This Row],[명칭]]),"-")</f>
        <v>-</v>
      </c>
      <c r="I238" s="38">
        <f>IFERROR(COUNTIF([1]AdventureDiscoveryGroup!$D$8:$AW$92,표1[[#This Row],[명칭]]),"-")</f>
        <v>1</v>
      </c>
      <c r="J238" s="38">
        <f>IFERROR(COUNTIF([1]FishDiscoveryGroup!$A:$X,표1[[#This Row],[명칭]]),"-")</f>
        <v>0</v>
      </c>
      <c r="K238" s="38" t="str">
        <f>IFERROR(COUNTIF([2]Town!$B:$B,표1[[#This Row],[명칭]]),"-")</f>
        <v>-</v>
      </c>
      <c r="L238" s="38">
        <f>IFERROR(COUNTIF([1]Village!$BR:$BR,표1[[#This Row],[명칭]]),"-")</f>
        <v>0</v>
      </c>
      <c r="M238" s="38">
        <f>COUNTIF(퀘스트!B:B,표1[[#This Row],[명칭]])</f>
        <v>0</v>
      </c>
      <c r="N238" s="65">
        <f>COUNTIF([1]VillageDiscoveryGroup!$C:$C,표1[[#This Row],[명칭]])</f>
        <v>0</v>
      </c>
      <c r="O238" s="65">
        <f>SUM(표1[[#This Row],[해양탐색]:[마을탐험]])</f>
        <v>1</v>
      </c>
    </row>
    <row r="239" spans="2:15" ht="13.5" customHeight="1" x14ac:dyDescent="0.3">
      <c r="B239" s="9">
        <f>[1]Discovery!A245</f>
        <v>70402076</v>
      </c>
      <c r="C239" s="9" t="str">
        <f>[1]Discovery!B245</f>
        <v>아누케트상</v>
      </c>
      <c r="D239" s="9" t="str">
        <f>[1]Discovery!E245</f>
        <v>유물</v>
      </c>
      <c r="E239" s="9" t="str">
        <f>[1]Discovery!C245</f>
        <v>종교유물</v>
      </c>
      <c r="F239" s="9" t="str">
        <f>[1]Discovery!G245</f>
        <v>D</v>
      </c>
      <c r="G239" s="9" t="str">
        <f>IFERROR(VLOOKUP(표1[[#This Row],[명칭]],'문화권 정리'!C:D,2,FALSE),"-")</f>
        <v>북아프리카</v>
      </c>
      <c r="H239" s="38" t="str">
        <f>IFERROR(COUNTIF([2]OceanDoodad!$Y:$Y,표1[[#This Row],[명칭]]),"-")</f>
        <v>-</v>
      </c>
      <c r="I239" s="38">
        <f>IFERROR(COUNTIF([1]AdventureDiscoveryGroup!$D$8:$AW$92,표1[[#This Row],[명칭]]),"-")</f>
        <v>1</v>
      </c>
      <c r="J239" s="38">
        <f>IFERROR(COUNTIF([1]FishDiscoveryGroup!$A:$X,표1[[#This Row],[명칭]]),"-")</f>
        <v>0</v>
      </c>
      <c r="K239" s="38" t="str">
        <f>IFERROR(COUNTIF([2]Town!$B:$B,표1[[#This Row],[명칭]]),"-")</f>
        <v>-</v>
      </c>
      <c r="L239" s="38">
        <f>IFERROR(COUNTIF([1]Village!$BR:$BR,표1[[#This Row],[명칭]]),"-")</f>
        <v>0</v>
      </c>
      <c r="M239" s="38">
        <f>COUNTIF(퀘스트!B:B,표1[[#This Row],[명칭]])</f>
        <v>0</v>
      </c>
      <c r="N239" s="65">
        <f>COUNTIF([1]VillageDiscoveryGroup!$C:$C,표1[[#This Row],[명칭]])</f>
        <v>0</v>
      </c>
      <c r="O239" s="65">
        <f>SUM(표1[[#This Row],[해양탐색]:[마을탐험]])</f>
        <v>1</v>
      </c>
    </row>
    <row r="240" spans="2:15" ht="13.5" customHeight="1" x14ac:dyDescent="0.3">
      <c r="B240" s="9">
        <f>[1]Discovery!A246</f>
        <v>70402077</v>
      </c>
      <c r="C240" s="9" t="str">
        <f>[1]Discovery!B246</f>
        <v>아레스상</v>
      </c>
      <c r="D240" s="9" t="str">
        <f>[1]Discovery!E246</f>
        <v>유물</v>
      </c>
      <c r="E240" s="9" t="str">
        <f>[1]Discovery!C246</f>
        <v>종교유물</v>
      </c>
      <c r="F240" s="9" t="str">
        <f>[1]Discovery!G246</f>
        <v>B</v>
      </c>
      <c r="G240" s="9" t="str">
        <f>IFERROR(VLOOKUP(표1[[#This Row],[명칭]],'문화권 정리'!C:D,2,FALSE),"-")</f>
        <v>지중해</v>
      </c>
      <c r="H240" s="38" t="str">
        <f>IFERROR(COUNTIF([2]OceanDoodad!$Y:$Y,표1[[#This Row],[명칭]]),"-")</f>
        <v>-</v>
      </c>
      <c r="I240" s="38">
        <f>IFERROR(COUNTIF([1]AdventureDiscoveryGroup!$D$8:$AW$92,표1[[#This Row],[명칭]]),"-")</f>
        <v>0</v>
      </c>
      <c r="J240" s="38">
        <f>IFERROR(COUNTIF([1]FishDiscoveryGroup!$A:$X,표1[[#This Row],[명칭]]),"-")</f>
        <v>0</v>
      </c>
      <c r="K240" s="38" t="str">
        <f>IFERROR(COUNTIF([2]Town!$B:$B,표1[[#This Row],[명칭]]),"-")</f>
        <v>-</v>
      </c>
      <c r="L240" s="38">
        <f>IFERROR(COUNTIF([1]Village!$BR:$BR,표1[[#This Row],[명칭]]),"-")</f>
        <v>0</v>
      </c>
      <c r="M240" s="38">
        <f>COUNTIF(퀘스트!B:B,표1[[#This Row],[명칭]])</f>
        <v>0</v>
      </c>
      <c r="N240" s="65">
        <f>COUNTIF([1]VillageDiscoveryGroup!$C:$C,표1[[#This Row],[명칭]])</f>
        <v>0</v>
      </c>
      <c r="O240" s="65">
        <f>SUM(표1[[#This Row],[해양탐색]:[마을탐험]])</f>
        <v>0</v>
      </c>
    </row>
    <row r="241" spans="2:15" ht="13.5" customHeight="1" x14ac:dyDescent="0.3">
      <c r="B241" s="9">
        <f>[1]Discovery!A247</f>
        <v>70402078</v>
      </c>
      <c r="C241" s="9" t="str">
        <f>[1]Discovery!B247</f>
        <v>아르고나우티카</v>
      </c>
      <c r="D241" s="9" t="str">
        <f>[1]Discovery!E247</f>
        <v>유물</v>
      </c>
      <c r="E241" s="9" t="str">
        <f>[1]Discovery!C247</f>
        <v>종교유물</v>
      </c>
      <c r="F241" s="9" t="str">
        <f>[1]Discovery!G247</f>
        <v>S</v>
      </c>
      <c r="G241" s="9" t="str">
        <f>IFERROR(VLOOKUP(표1[[#This Row],[명칭]],'문화권 정리'!C:D,2,FALSE),"-")</f>
        <v>지중해</v>
      </c>
      <c r="H241" s="38" t="str">
        <f>IFERROR(COUNTIF([2]OceanDoodad!$Y:$Y,표1[[#This Row],[명칭]]),"-")</f>
        <v>-</v>
      </c>
      <c r="I241" s="38">
        <f>IFERROR(COUNTIF([1]AdventureDiscoveryGroup!$D$8:$AW$92,표1[[#This Row],[명칭]]),"-")</f>
        <v>0</v>
      </c>
      <c r="J241" s="38">
        <f>IFERROR(COUNTIF([1]FishDiscoveryGroup!$A:$X,표1[[#This Row],[명칭]]),"-")</f>
        <v>0</v>
      </c>
      <c r="K241" s="38" t="str">
        <f>IFERROR(COUNTIF([2]Town!$B:$B,표1[[#This Row],[명칭]]),"-")</f>
        <v>-</v>
      </c>
      <c r="L241" s="38">
        <f>IFERROR(COUNTIF([1]Village!$BR:$BR,표1[[#This Row],[명칭]]),"-")</f>
        <v>0</v>
      </c>
      <c r="M241" s="38">
        <f>COUNTIF(퀘스트!B:B,표1[[#This Row],[명칭]])</f>
        <v>0</v>
      </c>
      <c r="N241" s="65">
        <f>COUNTIF([1]VillageDiscoveryGroup!$C:$C,표1[[#This Row],[명칭]])</f>
        <v>0</v>
      </c>
      <c r="O241" s="65">
        <f>SUM(표1[[#This Row],[해양탐색]:[마을탐험]])</f>
        <v>0</v>
      </c>
    </row>
    <row r="242" spans="2:15" ht="13.5" customHeight="1" x14ac:dyDescent="0.3">
      <c r="B242" s="9">
        <f>[1]Discovery!A248</f>
        <v>70402079</v>
      </c>
      <c r="C242" s="9" t="str">
        <f>[1]Discovery!B248</f>
        <v>아르테미스 조각상</v>
      </c>
      <c r="D242" s="9" t="str">
        <f>[1]Discovery!E248</f>
        <v>유물</v>
      </c>
      <c r="E242" s="9" t="str">
        <f>[1]Discovery!C248</f>
        <v>종교유물</v>
      </c>
      <c r="F242" s="9" t="str">
        <f>[1]Discovery!G248</f>
        <v>B</v>
      </c>
      <c r="G242" s="9" t="str">
        <f>IFERROR(VLOOKUP(표1[[#This Row],[명칭]],'문화권 정리'!C:D,2,FALSE),"-")</f>
        <v>지중해</v>
      </c>
      <c r="H242" s="38" t="str">
        <f>IFERROR(COUNTIF([2]OceanDoodad!$Y:$Y,표1[[#This Row],[명칭]]),"-")</f>
        <v>-</v>
      </c>
      <c r="I242" s="38">
        <f>IFERROR(COUNTIF([1]AdventureDiscoveryGroup!$D$8:$AW$92,표1[[#This Row],[명칭]]),"-")</f>
        <v>0</v>
      </c>
      <c r="J242" s="38">
        <f>IFERROR(COUNTIF([1]FishDiscoveryGroup!$A:$X,표1[[#This Row],[명칭]]),"-")</f>
        <v>0</v>
      </c>
      <c r="K242" s="38" t="str">
        <f>IFERROR(COUNTIF([2]Town!$B:$B,표1[[#This Row],[명칭]]),"-")</f>
        <v>-</v>
      </c>
      <c r="L242" s="38">
        <f>IFERROR(COUNTIF([1]Village!$BR:$BR,표1[[#This Row],[명칭]]),"-")</f>
        <v>0</v>
      </c>
      <c r="M242" s="38">
        <f>COUNTIF(퀘스트!B:B,표1[[#This Row],[명칭]])</f>
        <v>0</v>
      </c>
      <c r="N242" s="65">
        <f>COUNTIF([1]VillageDiscoveryGroup!$C:$C,표1[[#This Row],[명칭]])</f>
        <v>0</v>
      </c>
      <c r="O242" s="65">
        <f>SUM(표1[[#This Row],[해양탐색]:[마을탐험]])</f>
        <v>0</v>
      </c>
    </row>
    <row r="243" spans="2:15" ht="13.5" customHeight="1" x14ac:dyDescent="0.3">
      <c r="B243" s="9">
        <f>[1]Discovery!A249</f>
        <v>70402080</v>
      </c>
      <c r="C243" s="9" t="str">
        <f>[1]Discovery!B249</f>
        <v>아몬상</v>
      </c>
      <c r="D243" s="9" t="str">
        <f>[1]Discovery!E249</f>
        <v>유물</v>
      </c>
      <c r="E243" s="9" t="str">
        <f>[1]Discovery!C249</f>
        <v>종교유물</v>
      </c>
      <c r="F243" s="9" t="str">
        <f>[1]Discovery!G249</f>
        <v>A</v>
      </c>
      <c r="G243" s="9" t="str">
        <f>IFERROR(VLOOKUP(표1[[#This Row],[명칭]],'문화권 정리'!C:D,2,FALSE),"-")</f>
        <v>북아프리카</v>
      </c>
      <c r="H243" s="38" t="str">
        <f>IFERROR(COUNTIF([2]OceanDoodad!$Y:$Y,표1[[#This Row],[명칭]]),"-")</f>
        <v>-</v>
      </c>
      <c r="I243" s="38">
        <f>IFERROR(COUNTIF([1]AdventureDiscoveryGroup!$D$8:$AW$92,표1[[#This Row],[명칭]]),"-")</f>
        <v>0</v>
      </c>
      <c r="J243" s="38">
        <f>IFERROR(COUNTIF([1]FishDiscoveryGroup!$A:$X,표1[[#This Row],[명칭]]),"-")</f>
        <v>0</v>
      </c>
      <c r="K243" s="38" t="str">
        <f>IFERROR(COUNTIF([2]Town!$B:$B,표1[[#This Row],[명칭]]),"-")</f>
        <v>-</v>
      </c>
      <c r="L243" s="38">
        <f>IFERROR(COUNTIF([1]Village!$BR:$BR,표1[[#This Row],[명칭]]),"-")</f>
        <v>0</v>
      </c>
      <c r="M243" s="38">
        <f>COUNTIF(퀘스트!B:B,표1[[#This Row],[명칭]])</f>
        <v>0</v>
      </c>
      <c r="N243" s="65">
        <f>COUNTIF([1]VillageDiscoveryGroup!$C:$C,표1[[#This Row],[명칭]])</f>
        <v>0</v>
      </c>
      <c r="O243" s="65">
        <f>SUM(표1[[#This Row],[해양탐색]:[마을탐험]])</f>
        <v>0</v>
      </c>
    </row>
    <row r="244" spans="2:15" ht="13.5" customHeight="1" x14ac:dyDescent="0.3">
      <c r="B244" s="9">
        <f>[1]Discovery!A250</f>
        <v>70402081</v>
      </c>
      <c r="C244" s="9" t="str">
        <f>[1]Discovery!B250</f>
        <v>아미타불</v>
      </c>
      <c r="D244" s="9" t="str">
        <f>[1]Discovery!E250</f>
        <v>유물</v>
      </c>
      <c r="E244" s="9" t="str">
        <f>[1]Discovery!C250</f>
        <v>종교유물</v>
      </c>
      <c r="F244" s="9" t="str">
        <f>[1]Discovery!G250</f>
        <v>B</v>
      </c>
      <c r="G244" s="9" t="str">
        <f>IFERROR(VLOOKUP(표1[[#This Row],[명칭]],'문화권 정리'!C:D,2,FALSE),"-")</f>
        <v>남아시아</v>
      </c>
      <c r="H244" s="38" t="str">
        <f>IFERROR(COUNTIF([2]OceanDoodad!$Y:$Y,표1[[#This Row],[명칭]]),"-")</f>
        <v>-</v>
      </c>
      <c r="I244" s="38">
        <f>IFERROR(COUNTIF([1]AdventureDiscoveryGroup!$D$8:$AW$92,표1[[#This Row],[명칭]]),"-")</f>
        <v>0</v>
      </c>
      <c r="J244" s="38">
        <f>IFERROR(COUNTIF([1]FishDiscoveryGroup!$A:$X,표1[[#This Row],[명칭]]),"-")</f>
        <v>0</v>
      </c>
      <c r="K244" s="38" t="str">
        <f>IFERROR(COUNTIF([2]Town!$B:$B,표1[[#This Row],[명칭]]),"-")</f>
        <v>-</v>
      </c>
      <c r="L244" s="38">
        <f>IFERROR(COUNTIF([1]Village!$BR:$BR,표1[[#This Row],[명칭]]),"-")</f>
        <v>0</v>
      </c>
      <c r="M244" s="38">
        <f>COUNTIF(퀘스트!B:B,표1[[#This Row],[명칭]])</f>
        <v>0</v>
      </c>
      <c r="N244" s="65">
        <f>COUNTIF([1]VillageDiscoveryGroup!$C:$C,표1[[#This Row],[명칭]])</f>
        <v>0</v>
      </c>
      <c r="O244" s="65">
        <f>SUM(표1[[#This Row],[해양탐색]:[마을탐험]])</f>
        <v>0</v>
      </c>
    </row>
    <row r="245" spans="2:15" ht="13.5" customHeight="1" x14ac:dyDescent="0.3">
      <c r="B245" s="9">
        <f>[1]Discovery!A251</f>
        <v>70402082</v>
      </c>
      <c r="C245" s="9" t="str">
        <f>[1]Discovery!B251</f>
        <v>아베스타</v>
      </c>
      <c r="D245" s="9" t="str">
        <f>[1]Discovery!E251</f>
        <v>유물</v>
      </c>
      <c r="E245" s="9" t="str">
        <f>[1]Discovery!C251</f>
        <v>종교유물</v>
      </c>
      <c r="F245" s="9" t="str">
        <f>[1]Discovery!G251</f>
        <v>A</v>
      </c>
      <c r="G245" s="9" t="str">
        <f>IFERROR(VLOOKUP(표1[[#This Row],[명칭]],'문화권 정리'!C:D,2,FALSE),"-")</f>
        <v>서남아시아</v>
      </c>
      <c r="H245" s="38" t="str">
        <f>IFERROR(COUNTIF([2]OceanDoodad!$Y:$Y,표1[[#This Row],[명칭]]),"-")</f>
        <v>-</v>
      </c>
      <c r="I245" s="38">
        <f>IFERROR(COUNTIF([1]AdventureDiscoveryGroup!$D$8:$AW$92,표1[[#This Row],[명칭]]),"-")</f>
        <v>0</v>
      </c>
      <c r="J245" s="38">
        <f>IFERROR(COUNTIF([1]FishDiscoveryGroup!$A:$X,표1[[#This Row],[명칭]]),"-")</f>
        <v>0</v>
      </c>
      <c r="K245" s="38" t="str">
        <f>IFERROR(COUNTIF([2]Town!$B:$B,표1[[#This Row],[명칭]]),"-")</f>
        <v>-</v>
      </c>
      <c r="L245" s="38">
        <f>IFERROR(COUNTIF([1]Village!$BR:$BR,표1[[#This Row],[명칭]]),"-")</f>
        <v>0</v>
      </c>
      <c r="M245" s="38">
        <f>COUNTIF(퀘스트!B:B,표1[[#This Row],[명칭]])</f>
        <v>1</v>
      </c>
      <c r="N245" s="65">
        <f>COUNTIF([1]VillageDiscoveryGroup!$C:$C,표1[[#This Row],[명칭]])</f>
        <v>0</v>
      </c>
      <c r="O245" s="65">
        <f>SUM(표1[[#This Row],[해양탐색]:[마을탐험]])</f>
        <v>1</v>
      </c>
    </row>
    <row r="246" spans="2:15" ht="13.5" customHeight="1" x14ac:dyDescent="0.3">
      <c r="B246" s="9">
        <f>[1]Discovery!A252</f>
        <v>70402083</v>
      </c>
      <c r="C246" s="9" t="str">
        <f>[1]Discovery!B252</f>
        <v>아소카 석주</v>
      </c>
      <c r="D246" s="9" t="str">
        <f>[1]Discovery!E252</f>
        <v>유물</v>
      </c>
      <c r="E246" s="9" t="str">
        <f>[1]Discovery!C252</f>
        <v>종교유물</v>
      </c>
      <c r="F246" s="9" t="str">
        <f>[1]Discovery!G252</f>
        <v>S</v>
      </c>
      <c r="G246" s="9" t="str">
        <f>IFERROR(VLOOKUP(표1[[#This Row],[명칭]],'문화권 정리'!C:D,2,FALSE),"-")</f>
        <v>남아시아</v>
      </c>
      <c r="H246" s="38" t="str">
        <f>IFERROR(COUNTIF([2]OceanDoodad!$Y:$Y,표1[[#This Row],[명칭]]),"-")</f>
        <v>-</v>
      </c>
      <c r="I246" s="38">
        <f>IFERROR(COUNTIF([1]AdventureDiscoveryGroup!$D$8:$AW$92,표1[[#This Row],[명칭]]),"-")</f>
        <v>0</v>
      </c>
      <c r="J246" s="38">
        <f>IFERROR(COUNTIF([1]FishDiscoveryGroup!$A:$X,표1[[#This Row],[명칭]]),"-")</f>
        <v>0</v>
      </c>
      <c r="K246" s="38" t="str">
        <f>IFERROR(COUNTIF([2]Town!$B:$B,표1[[#This Row],[명칭]]),"-")</f>
        <v>-</v>
      </c>
      <c r="L246" s="38">
        <f>IFERROR(COUNTIF([1]Village!$BR:$BR,표1[[#This Row],[명칭]]),"-")</f>
        <v>0</v>
      </c>
      <c r="M246" s="38">
        <f>COUNTIF(퀘스트!B:B,표1[[#This Row],[명칭]])</f>
        <v>0</v>
      </c>
      <c r="N246" s="65">
        <f>COUNTIF([1]VillageDiscoveryGroup!$C:$C,표1[[#This Row],[명칭]])</f>
        <v>1</v>
      </c>
      <c r="O246" s="65">
        <f>SUM(표1[[#This Row],[해양탐색]:[마을탐험]])</f>
        <v>1</v>
      </c>
    </row>
    <row r="247" spans="2:15" ht="13.5" customHeight="1" x14ac:dyDescent="0.3">
      <c r="B247" s="9">
        <f>[1]Discovery!A253</f>
        <v>70402084</v>
      </c>
      <c r="C247" s="9" t="str">
        <f>[1]Discovery!B253</f>
        <v>아스타르테상</v>
      </c>
      <c r="D247" s="9" t="str">
        <f>[1]Discovery!E253</f>
        <v>유물</v>
      </c>
      <c r="E247" s="9" t="str">
        <f>[1]Discovery!C253</f>
        <v>종교유물</v>
      </c>
      <c r="F247" s="9" t="str">
        <f>[1]Discovery!G253</f>
        <v>B</v>
      </c>
      <c r="G247" s="9" t="str">
        <f>IFERROR(VLOOKUP(표1[[#This Row],[명칭]],'문화권 정리'!C:D,2,FALSE),"-")</f>
        <v>북아프리카</v>
      </c>
      <c r="H247" s="38" t="str">
        <f>IFERROR(COUNTIF([2]OceanDoodad!$Y:$Y,표1[[#This Row],[명칭]]),"-")</f>
        <v>-</v>
      </c>
      <c r="I247" s="38">
        <f>IFERROR(COUNTIF([1]AdventureDiscoveryGroup!$D$8:$AW$92,표1[[#This Row],[명칭]]),"-")</f>
        <v>0</v>
      </c>
      <c r="J247" s="38">
        <f>IFERROR(COUNTIF([1]FishDiscoveryGroup!$A:$X,표1[[#This Row],[명칭]]),"-")</f>
        <v>0</v>
      </c>
      <c r="K247" s="38" t="str">
        <f>IFERROR(COUNTIF([2]Town!$B:$B,표1[[#This Row],[명칭]]),"-")</f>
        <v>-</v>
      </c>
      <c r="L247" s="38">
        <f>IFERROR(COUNTIF([1]Village!$BR:$BR,표1[[#This Row],[명칭]]),"-")</f>
        <v>0</v>
      </c>
      <c r="M247" s="38">
        <f>COUNTIF(퀘스트!B:B,표1[[#This Row],[명칭]])</f>
        <v>0</v>
      </c>
      <c r="N247" s="65">
        <f>COUNTIF([1]VillageDiscoveryGroup!$C:$C,표1[[#This Row],[명칭]])</f>
        <v>0</v>
      </c>
      <c r="O247" s="65">
        <f>SUM(표1[[#This Row],[해양탐색]:[마을탐험]])</f>
        <v>0</v>
      </c>
    </row>
    <row r="248" spans="2:15" ht="13.5" customHeight="1" x14ac:dyDescent="0.3">
      <c r="B248" s="9">
        <f>[1]Discovery!A254</f>
        <v>70402085</v>
      </c>
      <c r="C248" s="9" t="str">
        <f>[1]Discovery!B254</f>
        <v>아촉불</v>
      </c>
      <c r="D248" s="9" t="str">
        <f>[1]Discovery!E254</f>
        <v>유물</v>
      </c>
      <c r="E248" s="9" t="str">
        <f>[1]Discovery!C254</f>
        <v>종교유물</v>
      </c>
      <c r="F248" s="9" t="str">
        <f>[1]Discovery!G254</f>
        <v>B</v>
      </c>
      <c r="G248" s="9" t="str">
        <f>IFERROR(VLOOKUP(표1[[#This Row],[명칭]],'문화권 정리'!C:D,2,FALSE),"-")</f>
        <v>남아시아</v>
      </c>
      <c r="H248" s="38" t="str">
        <f>IFERROR(COUNTIF([2]OceanDoodad!$Y:$Y,표1[[#This Row],[명칭]]),"-")</f>
        <v>-</v>
      </c>
      <c r="I248" s="38">
        <f>IFERROR(COUNTIF([1]AdventureDiscoveryGroup!$D$8:$AW$92,표1[[#This Row],[명칭]]),"-")</f>
        <v>0</v>
      </c>
      <c r="J248" s="38">
        <f>IFERROR(COUNTIF([1]FishDiscoveryGroup!$A:$X,표1[[#This Row],[명칭]]),"-")</f>
        <v>0</v>
      </c>
      <c r="K248" s="38" t="str">
        <f>IFERROR(COUNTIF([2]Town!$B:$B,표1[[#This Row],[명칭]]),"-")</f>
        <v>-</v>
      </c>
      <c r="L248" s="38">
        <f>IFERROR(COUNTIF([1]Village!$BR:$BR,표1[[#This Row],[명칭]]),"-")</f>
        <v>0</v>
      </c>
      <c r="M248" s="38">
        <f>COUNTIF(퀘스트!B:B,표1[[#This Row],[명칭]])</f>
        <v>0</v>
      </c>
      <c r="N248" s="65">
        <f>COUNTIF([1]VillageDiscoveryGroup!$C:$C,표1[[#This Row],[명칭]])</f>
        <v>0</v>
      </c>
      <c r="O248" s="65">
        <f>SUM(표1[[#This Row],[해양탐색]:[마을탐험]])</f>
        <v>0</v>
      </c>
    </row>
    <row r="249" spans="2:15" ht="13.5" customHeight="1" x14ac:dyDescent="0.3">
      <c r="B249" s="9">
        <f>[1]Discovery!A255</f>
        <v>70402086</v>
      </c>
      <c r="C249" s="9" t="str">
        <f>[1]Discovery!B255</f>
        <v>아타르바베다</v>
      </c>
      <c r="D249" s="9" t="str">
        <f>[1]Discovery!E255</f>
        <v>유물</v>
      </c>
      <c r="E249" s="9" t="str">
        <f>[1]Discovery!C255</f>
        <v>종교유물</v>
      </c>
      <c r="F249" s="9" t="str">
        <f>[1]Discovery!G255</f>
        <v>B</v>
      </c>
      <c r="G249" s="9" t="str">
        <f>IFERROR(VLOOKUP(표1[[#This Row],[명칭]],'문화권 정리'!C:D,2,FALSE),"-")</f>
        <v>남아시아</v>
      </c>
      <c r="H249" s="38" t="str">
        <f>IFERROR(COUNTIF([2]OceanDoodad!$Y:$Y,표1[[#This Row],[명칭]]),"-")</f>
        <v>-</v>
      </c>
      <c r="I249" s="38">
        <f>IFERROR(COUNTIF([1]AdventureDiscoveryGroup!$D$8:$AW$92,표1[[#This Row],[명칭]]),"-")</f>
        <v>1</v>
      </c>
      <c r="J249" s="38">
        <f>IFERROR(COUNTIF([1]FishDiscoveryGroup!$A:$X,표1[[#This Row],[명칭]]),"-")</f>
        <v>0</v>
      </c>
      <c r="K249" s="38" t="str">
        <f>IFERROR(COUNTIF([2]Town!$B:$B,표1[[#This Row],[명칭]]),"-")</f>
        <v>-</v>
      </c>
      <c r="L249" s="38">
        <f>IFERROR(COUNTIF([1]Village!$BR:$BR,표1[[#This Row],[명칭]]),"-")</f>
        <v>0</v>
      </c>
      <c r="M249" s="38">
        <f>COUNTIF(퀘스트!B:B,표1[[#This Row],[명칭]])</f>
        <v>0</v>
      </c>
      <c r="N249" s="65">
        <f>COUNTIF([1]VillageDiscoveryGroup!$C:$C,표1[[#This Row],[명칭]])</f>
        <v>0</v>
      </c>
      <c r="O249" s="65">
        <f>SUM(표1[[#This Row],[해양탐색]:[마을탐험]])</f>
        <v>1</v>
      </c>
    </row>
    <row r="250" spans="2:15" ht="13.5" customHeight="1" x14ac:dyDescent="0.3">
      <c r="B250" s="9">
        <f>[1]Discovery!A256</f>
        <v>70402087</v>
      </c>
      <c r="C250" s="9" t="str">
        <f>[1]Discovery!B256</f>
        <v>아테나상</v>
      </c>
      <c r="D250" s="9" t="str">
        <f>[1]Discovery!E256</f>
        <v>유물</v>
      </c>
      <c r="E250" s="9" t="str">
        <f>[1]Discovery!C256</f>
        <v>종교유물</v>
      </c>
      <c r="F250" s="9" t="str">
        <f>[1]Discovery!G256</f>
        <v>C</v>
      </c>
      <c r="G250" s="9" t="str">
        <f>IFERROR(VLOOKUP(표1[[#This Row],[명칭]],'문화권 정리'!C:D,2,FALSE),"-")</f>
        <v>지중해</v>
      </c>
      <c r="H250" s="38" t="str">
        <f>IFERROR(COUNTIF([2]OceanDoodad!$Y:$Y,표1[[#This Row],[명칭]]),"-")</f>
        <v>-</v>
      </c>
      <c r="I250" s="38">
        <f>IFERROR(COUNTIF([1]AdventureDiscoveryGroup!$D$8:$AW$92,표1[[#This Row],[명칭]]),"-")</f>
        <v>0</v>
      </c>
      <c r="J250" s="38">
        <f>IFERROR(COUNTIF([1]FishDiscoveryGroup!$A:$X,표1[[#This Row],[명칭]]),"-")</f>
        <v>0</v>
      </c>
      <c r="K250" s="38" t="str">
        <f>IFERROR(COUNTIF([2]Town!$B:$B,표1[[#This Row],[명칭]]),"-")</f>
        <v>-</v>
      </c>
      <c r="L250" s="38">
        <f>IFERROR(COUNTIF([1]Village!$BR:$BR,표1[[#This Row],[명칭]]),"-")</f>
        <v>0</v>
      </c>
      <c r="M250" s="38">
        <f>COUNTIF(퀘스트!B:B,표1[[#This Row],[명칭]])</f>
        <v>1</v>
      </c>
      <c r="N250" s="65">
        <f>COUNTIF([1]VillageDiscoveryGroup!$C:$C,표1[[#This Row],[명칭]])</f>
        <v>0</v>
      </c>
      <c r="O250" s="65">
        <f>SUM(표1[[#This Row],[해양탐색]:[마을탐험]])</f>
        <v>1</v>
      </c>
    </row>
    <row r="251" spans="2:15" ht="13.5" customHeight="1" x14ac:dyDescent="0.3">
      <c r="B251" s="9">
        <f>[1]Discovery!A257</f>
        <v>70402088</v>
      </c>
      <c r="C251" s="9" t="str">
        <f>[1]Discovery!B257</f>
        <v>아폴론상</v>
      </c>
      <c r="D251" s="9" t="str">
        <f>[1]Discovery!E257</f>
        <v>유물</v>
      </c>
      <c r="E251" s="9" t="str">
        <f>[1]Discovery!C257</f>
        <v>종교유물</v>
      </c>
      <c r="F251" s="9" t="str">
        <f>[1]Discovery!G257</f>
        <v>B</v>
      </c>
      <c r="G251" s="9" t="str">
        <f>IFERROR(VLOOKUP(표1[[#This Row],[명칭]],'문화권 정리'!C:D,2,FALSE),"-")</f>
        <v>지중해</v>
      </c>
      <c r="H251" s="38" t="str">
        <f>IFERROR(COUNTIF([2]OceanDoodad!$Y:$Y,표1[[#This Row],[명칭]]),"-")</f>
        <v>-</v>
      </c>
      <c r="I251" s="38">
        <f>IFERROR(COUNTIF([1]AdventureDiscoveryGroup!$D$8:$AW$92,표1[[#This Row],[명칭]]),"-")</f>
        <v>0</v>
      </c>
      <c r="J251" s="38">
        <f>IFERROR(COUNTIF([1]FishDiscoveryGroup!$A:$X,표1[[#This Row],[명칭]]),"-")</f>
        <v>0</v>
      </c>
      <c r="K251" s="38" t="str">
        <f>IFERROR(COUNTIF([2]Town!$B:$B,표1[[#This Row],[명칭]]),"-")</f>
        <v>-</v>
      </c>
      <c r="L251" s="38">
        <f>IFERROR(COUNTIF([1]Village!$BR:$BR,표1[[#This Row],[명칭]]),"-")</f>
        <v>0</v>
      </c>
      <c r="M251" s="38">
        <f>COUNTIF(퀘스트!B:B,표1[[#This Row],[명칭]])</f>
        <v>1</v>
      </c>
      <c r="N251" s="65">
        <f>COUNTIF([1]VillageDiscoveryGroup!$C:$C,표1[[#This Row],[명칭]])</f>
        <v>0</v>
      </c>
      <c r="O251" s="65">
        <f>SUM(표1[[#This Row],[해양탐색]:[마을탐험]])</f>
        <v>1</v>
      </c>
    </row>
    <row r="252" spans="2:15" ht="13.5" customHeight="1" x14ac:dyDescent="0.3">
      <c r="B252" s="9">
        <f>[1]Discovery!A258</f>
        <v>70402089</v>
      </c>
      <c r="C252" s="9" t="str">
        <f>[1]Discovery!B258</f>
        <v>아프로디테 조각상</v>
      </c>
      <c r="D252" s="9" t="str">
        <f>[1]Discovery!E258</f>
        <v>유물</v>
      </c>
      <c r="E252" s="9" t="str">
        <f>[1]Discovery!C258</f>
        <v>종교유물</v>
      </c>
      <c r="F252" s="9" t="str">
        <f>[1]Discovery!G258</f>
        <v>B</v>
      </c>
      <c r="G252" s="9" t="str">
        <f>IFERROR(VLOOKUP(표1[[#This Row],[명칭]],'문화권 정리'!C:D,2,FALSE),"-")</f>
        <v>지중해</v>
      </c>
      <c r="H252" s="38" t="str">
        <f>IFERROR(COUNTIF([2]OceanDoodad!$Y:$Y,표1[[#This Row],[명칭]]),"-")</f>
        <v>-</v>
      </c>
      <c r="I252" s="38">
        <f>IFERROR(COUNTIF([1]AdventureDiscoveryGroup!$D$8:$AW$92,표1[[#This Row],[명칭]]),"-")</f>
        <v>0</v>
      </c>
      <c r="J252" s="38">
        <f>IFERROR(COUNTIF([1]FishDiscoveryGroup!$A:$X,표1[[#This Row],[명칭]]),"-")</f>
        <v>0</v>
      </c>
      <c r="K252" s="38" t="str">
        <f>IFERROR(COUNTIF([2]Town!$B:$B,표1[[#This Row],[명칭]]),"-")</f>
        <v>-</v>
      </c>
      <c r="L252" s="38">
        <f>IFERROR(COUNTIF([1]Village!$BR:$BR,표1[[#This Row],[명칭]]),"-")</f>
        <v>0</v>
      </c>
      <c r="M252" s="38">
        <f>COUNTIF(퀘스트!B:B,표1[[#This Row],[명칭]])</f>
        <v>1</v>
      </c>
      <c r="N252" s="65">
        <f>COUNTIF([1]VillageDiscoveryGroup!$C:$C,표1[[#This Row],[명칭]])</f>
        <v>0</v>
      </c>
      <c r="O252" s="65">
        <f>SUM(표1[[#This Row],[해양탐색]:[마을탐험]])</f>
        <v>1</v>
      </c>
    </row>
    <row r="253" spans="2:15" ht="13.5" customHeight="1" x14ac:dyDescent="0.3">
      <c r="B253" s="9">
        <f>[1]Discovery!A259</f>
        <v>70402090</v>
      </c>
      <c r="C253" s="9" t="str">
        <f>[1]Discovery!B259</f>
        <v>야주르베다</v>
      </c>
      <c r="D253" s="9" t="str">
        <f>[1]Discovery!E259</f>
        <v>유물</v>
      </c>
      <c r="E253" s="9" t="str">
        <f>[1]Discovery!C259</f>
        <v>종교유물</v>
      </c>
      <c r="F253" s="9" t="str">
        <f>[1]Discovery!G259</f>
        <v>B</v>
      </c>
      <c r="G253" s="9" t="str">
        <f>IFERROR(VLOOKUP(표1[[#This Row],[명칭]],'문화권 정리'!C:D,2,FALSE),"-")</f>
        <v>남아시아</v>
      </c>
      <c r="H253" s="38" t="str">
        <f>IFERROR(COUNTIF([2]OceanDoodad!$Y:$Y,표1[[#This Row],[명칭]]),"-")</f>
        <v>-</v>
      </c>
      <c r="I253" s="38">
        <f>IFERROR(COUNTIF([1]AdventureDiscoveryGroup!$D$8:$AW$92,표1[[#This Row],[명칭]]),"-")</f>
        <v>0</v>
      </c>
      <c r="J253" s="38">
        <f>IFERROR(COUNTIF([1]FishDiscoveryGroup!$A:$X,표1[[#This Row],[명칭]]),"-")</f>
        <v>0</v>
      </c>
      <c r="K253" s="38" t="str">
        <f>IFERROR(COUNTIF([2]Town!$B:$B,표1[[#This Row],[명칭]]),"-")</f>
        <v>-</v>
      </c>
      <c r="L253" s="38">
        <f>IFERROR(COUNTIF([1]Village!$BR:$BR,표1[[#This Row],[명칭]]),"-")</f>
        <v>0</v>
      </c>
      <c r="M253" s="38">
        <f>COUNTIF(퀘스트!B:B,표1[[#This Row],[명칭]])</f>
        <v>0</v>
      </c>
      <c r="N253" s="65">
        <f>COUNTIF([1]VillageDiscoveryGroup!$C:$C,표1[[#This Row],[명칭]])</f>
        <v>0</v>
      </c>
      <c r="O253" s="65">
        <f>SUM(표1[[#This Row],[해양탐색]:[마을탐험]])</f>
        <v>0</v>
      </c>
    </row>
    <row r="254" spans="2:15" ht="13.5" customHeight="1" x14ac:dyDescent="0.3">
      <c r="B254" s="9">
        <f>[1]Discovery!A260</f>
        <v>70402092</v>
      </c>
      <c r="C254" s="9" t="str">
        <f>[1]Discovery!B260</f>
        <v>언약의 궤</v>
      </c>
      <c r="D254" s="9" t="str">
        <f>[1]Discovery!E260</f>
        <v>유물</v>
      </c>
      <c r="E254" s="9" t="str">
        <f>[1]Discovery!C260</f>
        <v>종교유물</v>
      </c>
      <c r="F254" s="9" t="str">
        <f>[1]Discovery!G260</f>
        <v>A</v>
      </c>
      <c r="G254" s="9" t="str">
        <f>IFERROR(VLOOKUP(표1[[#This Row],[명칭]],'문화권 정리'!C:D,2,FALSE),"-")</f>
        <v>서남아시아</v>
      </c>
      <c r="H254" s="38" t="str">
        <f>IFERROR(COUNTIF([2]OceanDoodad!$Y:$Y,표1[[#This Row],[명칭]]),"-")</f>
        <v>-</v>
      </c>
      <c r="I254" s="38">
        <f>IFERROR(COUNTIF([1]AdventureDiscoveryGroup!$D$8:$AW$92,표1[[#This Row],[명칭]]),"-")</f>
        <v>0</v>
      </c>
      <c r="J254" s="38">
        <f>IFERROR(COUNTIF([1]FishDiscoveryGroup!$A:$X,표1[[#This Row],[명칭]]),"-")</f>
        <v>0</v>
      </c>
      <c r="K254" s="38" t="str">
        <f>IFERROR(COUNTIF([2]Town!$B:$B,표1[[#This Row],[명칭]]),"-")</f>
        <v>-</v>
      </c>
      <c r="L254" s="38">
        <f>IFERROR(COUNTIF([1]Village!$BR:$BR,표1[[#This Row],[명칭]]),"-")</f>
        <v>0</v>
      </c>
      <c r="M254" s="38">
        <f>COUNTIF(퀘스트!B:B,표1[[#This Row],[명칭]])</f>
        <v>1</v>
      </c>
      <c r="N254" s="65">
        <f>COUNTIF([1]VillageDiscoveryGroup!$C:$C,표1[[#This Row],[명칭]])</f>
        <v>0</v>
      </c>
      <c r="O254" s="65">
        <f>SUM(표1[[#This Row],[해양탐색]:[마을탐험]])</f>
        <v>1</v>
      </c>
    </row>
    <row r="255" spans="2:15" ht="13.5" customHeight="1" x14ac:dyDescent="0.3">
      <c r="B255" s="9">
        <f>[1]Discovery!A261</f>
        <v>70402093</v>
      </c>
      <c r="C255" s="9" t="str">
        <f>[1]Discovery!B261</f>
        <v>에녹서</v>
      </c>
      <c r="D255" s="9" t="str">
        <f>[1]Discovery!E261</f>
        <v>유물</v>
      </c>
      <c r="E255" s="9" t="str">
        <f>[1]Discovery!C261</f>
        <v>종교유물</v>
      </c>
      <c r="F255" s="9" t="str">
        <f>[1]Discovery!G261</f>
        <v>D</v>
      </c>
      <c r="G255" s="9" t="str">
        <f>IFERROR(VLOOKUP(표1[[#This Row],[명칭]],'문화권 정리'!C:D,2,FALSE),"-")</f>
        <v>서남아시아</v>
      </c>
      <c r="H255" s="38" t="str">
        <f>IFERROR(COUNTIF([2]OceanDoodad!$Y:$Y,표1[[#This Row],[명칭]]),"-")</f>
        <v>-</v>
      </c>
      <c r="I255" s="38">
        <f>IFERROR(COUNTIF([1]AdventureDiscoveryGroup!$D$8:$AW$92,표1[[#This Row],[명칭]]),"-")</f>
        <v>1</v>
      </c>
      <c r="J255" s="38">
        <f>IFERROR(COUNTIF([1]FishDiscoveryGroup!$A:$X,표1[[#This Row],[명칭]]),"-")</f>
        <v>0</v>
      </c>
      <c r="K255" s="38" t="str">
        <f>IFERROR(COUNTIF([2]Town!$B:$B,표1[[#This Row],[명칭]]),"-")</f>
        <v>-</v>
      </c>
      <c r="L255" s="38">
        <f>IFERROR(COUNTIF([1]Village!$BR:$BR,표1[[#This Row],[명칭]]),"-")</f>
        <v>0</v>
      </c>
      <c r="M255" s="38">
        <f>COUNTIF(퀘스트!B:B,표1[[#This Row],[명칭]])</f>
        <v>0</v>
      </c>
      <c r="N255" s="65">
        <f>COUNTIF([1]VillageDiscoveryGroup!$C:$C,표1[[#This Row],[명칭]])</f>
        <v>0</v>
      </c>
      <c r="O255" s="65">
        <f>SUM(표1[[#This Row],[해양탐색]:[마을탐험]])</f>
        <v>1</v>
      </c>
    </row>
    <row r="256" spans="2:15" ht="13.5" customHeight="1" x14ac:dyDescent="0.3">
      <c r="B256" s="9">
        <f>[1]Discovery!A262</f>
        <v>70402094</v>
      </c>
      <c r="C256" s="9" t="str">
        <f>[1]Discovery!B262</f>
        <v>에수상</v>
      </c>
      <c r="D256" s="9" t="str">
        <f>[1]Discovery!E262</f>
        <v>유물</v>
      </c>
      <c r="E256" s="9" t="str">
        <f>[1]Discovery!C262</f>
        <v>종교유물</v>
      </c>
      <c r="F256" s="9" t="str">
        <f>[1]Discovery!G262</f>
        <v>A</v>
      </c>
      <c r="G256" s="9" t="str">
        <f>IFERROR(VLOOKUP(표1[[#This Row],[명칭]],'문화권 정리'!C:D,2,FALSE),"-")</f>
        <v>서남아시아</v>
      </c>
      <c r="H256" s="38" t="str">
        <f>IFERROR(COUNTIF([2]OceanDoodad!$Y:$Y,표1[[#This Row],[명칭]]),"-")</f>
        <v>-</v>
      </c>
      <c r="I256" s="38">
        <f>IFERROR(COUNTIF([1]AdventureDiscoveryGroup!$D$8:$AW$92,표1[[#This Row],[명칭]]),"-")</f>
        <v>0</v>
      </c>
      <c r="J256" s="38">
        <f>IFERROR(COUNTIF([1]FishDiscoveryGroup!$A:$X,표1[[#This Row],[명칭]]),"-")</f>
        <v>0</v>
      </c>
      <c r="K256" s="38" t="str">
        <f>IFERROR(COUNTIF([2]Town!$B:$B,표1[[#This Row],[명칭]]),"-")</f>
        <v>-</v>
      </c>
      <c r="L256" s="38">
        <f>IFERROR(COUNTIF([1]Village!$BR:$BR,표1[[#This Row],[명칭]]),"-")</f>
        <v>0</v>
      </c>
      <c r="M256" s="38">
        <f>COUNTIF(퀘스트!B:B,표1[[#This Row],[명칭]])</f>
        <v>0</v>
      </c>
      <c r="N256" s="65">
        <f>COUNTIF([1]VillageDiscoveryGroup!$C:$C,표1[[#This Row],[명칭]])</f>
        <v>0</v>
      </c>
      <c r="O256" s="65">
        <f>SUM(표1[[#This Row],[해양탐색]:[마을탐험]])</f>
        <v>0</v>
      </c>
    </row>
    <row r="257" spans="2:15" ht="13.5" customHeight="1" x14ac:dyDescent="0.3">
      <c r="B257" s="9">
        <f>[1]Discovery!A263</f>
        <v>70402095</v>
      </c>
      <c r="C257" s="9" t="str">
        <f>[1]Discovery!B263</f>
        <v>에아의 부조</v>
      </c>
      <c r="D257" s="9" t="str">
        <f>[1]Discovery!E263</f>
        <v>유물</v>
      </c>
      <c r="E257" s="9" t="str">
        <f>[1]Discovery!C263</f>
        <v>종교유물</v>
      </c>
      <c r="F257" s="9" t="str">
        <f>[1]Discovery!G263</f>
        <v>A</v>
      </c>
      <c r="G257" s="9" t="str">
        <f>IFERROR(VLOOKUP(표1[[#This Row],[명칭]],'문화권 정리'!C:D,2,FALSE),"-")</f>
        <v>서남아시아</v>
      </c>
      <c r="H257" s="38" t="str">
        <f>IFERROR(COUNTIF([2]OceanDoodad!$Y:$Y,표1[[#This Row],[명칭]]),"-")</f>
        <v>-</v>
      </c>
      <c r="I257" s="38">
        <f>IFERROR(COUNTIF([1]AdventureDiscoveryGroup!$D$8:$AW$92,표1[[#This Row],[명칭]]),"-")</f>
        <v>0</v>
      </c>
      <c r="J257" s="38">
        <f>IFERROR(COUNTIF([1]FishDiscoveryGroup!$A:$X,표1[[#This Row],[명칭]]),"-")</f>
        <v>0</v>
      </c>
      <c r="K257" s="38" t="str">
        <f>IFERROR(COUNTIF([2]Town!$B:$B,표1[[#This Row],[명칭]]),"-")</f>
        <v>-</v>
      </c>
      <c r="L257" s="38">
        <f>IFERROR(COUNTIF([1]Village!$BR:$BR,표1[[#This Row],[명칭]]),"-")</f>
        <v>0</v>
      </c>
      <c r="M257" s="38">
        <f>COUNTIF(퀘스트!B:B,표1[[#This Row],[명칭]])</f>
        <v>0</v>
      </c>
      <c r="N257" s="65">
        <f>COUNTIF([1]VillageDiscoveryGroup!$C:$C,표1[[#This Row],[명칭]])</f>
        <v>0</v>
      </c>
      <c r="O257" s="65">
        <f>SUM(표1[[#This Row],[해양탐색]:[마을탐험]])</f>
        <v>0</v>
      </c>
    </row>
    <row r="258" spans="2:15" ht="13.5" customHeight="1" x14ac:dyDescent="0.3">
      <c r="B258" s="9">
        <f>[1]Discovery!A264</f>
        <v>70402096</v>
      </c>
      <c r="C258" s="9" t="str">
        <f>[1]Discovery!B264</f>
        <v>에티엔의 지팡이</v>
      </c>
      <c r="D258" s="9" t="str">
        <f>[1]Discovery!E264</f>
        <v>보물</v>
      </c>
      <c r="E258" s="9" t="str">
        <f>[1]Discovery!C264</f>
        <v>보물</v>
      </c>
      <c r="F258" s="9" t="str">
        <f>[1]Discovery!G264</f>
        <v>C</v>
      </c>
      <c r="G258" s="9" t="str">
        <f>IFERROR(VLOOKUP(표1[[#This Row],[명칭]],'문화권 정리'!C:D,2,FALSE),"-")</f>
        <v>지중해</v>
      </c>
      <c r="H258" s="38" t="str">
        <f>IFERROR(COUNTIF([2]OceanDoodad!$Y:$Y,표1[[#This Row],[명칭]]),"-")</f>
        <v>-</v>
      </c>
      <c r="I258" s="38">
        <f>IFERROR(COUNTIF([1]AdventureDiscoveryGroup!$D$8:$AW$92,표1[[#This Row],[명칭]]),"-")</f>
        <v>0</v>
      </c>
      <c r="J258" s="38">
        <f>IFERROR(COUNTIF([1]FishDiscoveryGroup!$A:$X,표1[[#This Row],[명칭]]),"-")</f>
        <v>0</v>
      </c>
      <c r="K258" s="38" t="str">
        <f>IFERROR(COUNTIF([2]Town!$B:$B,표1[[#This Row],[명칭]]),"-")</f>
        <v>-</v>
      </c>
      <c r="L258" s="38">
        <f>IFERROR(COUNTIF([1]Village!$BR:$BR,표1[[#This Row],[명칭]]),"-")</f>
        <v>0</v>
      </c>
      <c r="M258" s="38">
        <f>COUNTIF(퀘스트!B:B,표1[[#This Row],[명칭]])</f>
        <v>1</v>
      </c>
      <c r="N258" s="65">
        <f>COUNTIF([1]VillageDiscoveryGroup!$C:$C,표1[[#This Row],[명칭]])</f>
        <v>0</v>
      </c>
      <c r="O258" s="65">
        <f>SUM(표1[[#This Row],[해양탐색]:[마을탐험]])</f>
        <v>1</v>
      </c>
    </row>
    <row r="259" spans="2:15" ht="13.5" customHeight="1" x14ac:dyDescent="0.3">
      <c r="B259" s="9">
        <f>[1]Discovery!A265</f>
        <v>70402097</v>
      </c>
      <c r="C259" s="9" t="str">
        <f>[1]Discovery!B265</f>
        <v>오니안코폰상</v>
      </c>
      <c r="D259" s="9" t="str">
        <f>[1]Discovery!E265</f>
        <v>유물</v>
      </c>
      <c r="E259" s="9" t="str">
        <f>[1]Discovery!C265</f>
        <v>종교유물</v>
      </c>
      <c r="F259" s="9" t="str">
        <f>[1]Discovery!G265</f>
        <v>A</v>
      </c>
      <c r="G259" s="9" t="str">
        <f>IFERROR(VLOOKUP(표1[[#This Row],[명칭]],'문화권 정리'!C:D,2,FALSE),"-")</f>
        <v>서아프리카</v>
      </c>
      <c r="H259" s="38" t="str">
        <f>IFERROR(COUNTIF([2]OceanDoodad!$Y:$Y,표1[[#This Row],[명칭]]),"-")</f>
        <v>-</v>
      </c>
      <c r="I259" s="38">
        <f>IFERROR(COUNTIF([1]AdventureDiscoveryGroup!$D$8:$AW$92,표1[[#This Row],[명칭]]),"-")</f>
        <v>1</v>
      </c>
      <c r="J259" s="38">
        <f>IFERROR(COUNTIF([1]FishDiscoveryGroup!$A:$X,표1[[#This Row],[명칭]]),"-")</f>
        <v>0</v>
      </c>
      <c r="K259" s="38" t="str">
        <f>IFERROR(COUNTIF([2]Town!$B:$B,표1[[#This Row],[명칭]]),"-")</f>
        <v>-</v>
      </c>
      <c r="L259" s="38">
        <f>IFERROR(COUNTIF([1]Village!$BR:$BR,표1[[#This Row],[명칭]]),"-")</f>
        <v>0</v>
      </c>
      <c r="M259" s="38">
        <f>COUNTIF(퀘스트!B:B,표1[[#This Row],[명칭]])</f>
        <v>0</v>
      </c>
      <c r="N259" s="65">
        <f>COUNTIF([1]VillageDiscoveryGroup!$C:$C,표1[[#This Row],[명칭]])</f>
        <v>0</v>
      </c>
      <c r="O259" s="65">
        <f>SUM(표1[[#This Row],[해양탐색]:[마을탐험]])</f>
        <v>1</v>
      </c>
    </row>
    <row r="260" spans="2:15" ht="13.5" customHeight="1" x14ac:dyDescent="0.3">
      <c r="B260" s="9">
        <f>[1]Discovery!A266</f>
        <v>70402098</v>
      </c>
      <c r="C260" s="9" t="str">
        <f>[1]Discovery!B266</f>
        <v>오뒤두아상</v>
      </c>
      <c r="D260" s="9" t="str">
        <f>[1]Discovery!E266</f>
        <v>유물</v>
      </c>
      <c r="E260" s="9" t="str">
        <f>[1]Discovery!C266</f>
        <v>종교유물</v>
      </c>
      <c r="F260" s="9" t="str">
        <f>[1]Discovery!G266</f>
        <v>D</v>
      </c>
      <c r="G260" s="9" t="str">
        <f>IFERROR(VLOOKUP(표1[[#This Row],[명칭]],'문화권 정리'!C:D,2,FALSE),"-")</f>
        <v>서아프리카</v>
      </c>
      <c r="H260" s="38" t="str">
        <f>IFERROR(COUNTIF([2]OceanDoodad!$Y:$Y,표1[[#This Row],[명칭]]),"-")</f>
        <v>-</v>
      </c>
      <c r="I260" s="38">
        <f>IFERROR(COUNTIF([1]AdventureDiscoveryGroup!$D$8:$AW$92,표1[[#This Row],[명칭]]),"-")</f>
        <v>0</v>
      </c>
      <c r="J260" s="38">
        <f>IFERROR(COUNTIF([1]FishDiscoveryGroup!$A:$X,표1[[#This Row],[명칭]]),"-")</f>
        <v>0</v>
      </c>
      <c r="K260" s="38" t="str">
        <f>IFERROR(COUNTIF([2]Town!$B:$B,표1[[#This Row],[명칭]]),"-")</f>
        <v>-</v>
      </c>
      <c r="L260" s="38">
        <f>IFERROR(COUNTIF([1]Village!$BR:$BR,표1[[#This Row],[명칭]]),"-")</f>
        <v>0</v>
      </c>
      <c r="M260" s="38">
        <f>COUNTIF(퀘스트!B:B,표1[[#This Row],[명칭]])</f>
        <v>0</v>
      </c>
      <c r="N260" s="65">
        <f>COUNTIF([1]VillageDiscoveryGroup!$C:$C,표1[[#This Row],[명칭]])</f>
        <v>1</v>
      </c>
      <c r="O260" s="65">
        <f>SUM(표1[[#This Row],[해양탐색]:[마을탐험]])</f>
        <v>1</v>
      </c>
    </row>
    <row r="261" spans="2:15" ht="13.5" customHeight="1" x14ac:dyDescent="0.3">
      <c r="B261" s="9">
        <f>[1]Discovery!A267</f>
        <v>70402099</v>
      </c>
      <c r="C261" s="9" t="str">
        <f>[1]Discovery!B267</f>
        <v>오시리스상</v>
      </c>
      <c r="D261" s="9" t="str">
        <f>[1]Discovery!E267</f>
        <v>유물</v>
      </c>
      <c r="E261" s="9" t="str">
        <f>[1]Discovery!C267</f>
        <v>종교유물</v>
      </c>
      <c r="F261" s="9" t="str">
        <f>[1]Discovery!G267</f>
        <v>S</v>
      </c>
      <c r="G261" s="9" t="str">
        <f>IFERROR(VLOOKUP(표1[[#This Row],[명칭]],'문화권 정리'!C:D,2,FALSE),"-")</f>
        <v>북아프리카</v>
      </c>
      <c r="H261" s="38" t="str">
        <f>IFERROR(COUNTIF([2]OceanDoodad!$Y:$Y,표1[[#This Row],[명칭]]),"-")</f>
        <v>-</v>
      </c>
      <c r="I261" s="38">
        <f>IFERROR(COUNTIF([1]AdventureDiscoveryGroup!$D$8:$AW$92,표1[[#This Row],[명칭]]),"-")</f>
        <v>0</v>
      </c>
      <c r="J261" s="38">
        <f>IFERROR(COUNTIF([1]FishDiscoveryGroup!$A:$X,표1[[#This Row],[명칭]]),"-")</f>
        <v>0</v>
      </c>
      <c r="K261" s="38" t="str">
        <f>IFERROR(COUNTIF([2]Town!$B:$B,표1[[#This Row],[명칭]]),"-")</f>
        <v>-</v>
      </c>
      <c r="L261" s="38">
        <f>IFERROR(COUNTIF([1]Village!$BR:$BR,표1[[#This Row],[명칭]]),"-")</f>
        <v>0</v>
      </c>
      <c r="M261" s="38">
        <f>COUNTIF(퀘스트!B:B,표1[[#This Row],[명칭]])</f>
        <v>0</v>
      </c>
      <c r="N261" s="65">
        <f>COUNTIF([1]VillageDiscoveryGroup!$C:$C,표1[[#This Row],[명칭]])</f>
        <v>0</v>
      </c>
      <c r="O261" s="65">
        <f>SUM(표1[[#This Row],[해양탐색]:[마을탐험]])</f>
        <v>0</v>
      </c>
    </row>
    <row r="262" spans="2:15" ht="13.5" customHeight="1" x14ac:dyDescent="0.3">
      <c r="B262" s="9">
        <f>[1]Discovery!A268</f>
        <v>70402100</v>
      </c>
      <c r="C262" s="9" t="str">
        <f>[1]Discovery!B268</f>
        <v>올로룬상</v>
      </c>
      <c r="D262" s="9" t="str">
        <f>[1]Discovery!E268</f>
        <v>유물</v>
      </c>
      <c r="E262" s="9" t="str">
        <f>[1]Discovery!C268</f>
        <v>종교유물</v>
      </c>
      <c r="F262" s="9" t="str">
        <f>[1]Discovery!G268</f>
        <v>B</v>
      </c>
      <c r="G262" s="9" t="str">
        <f>IFERROR(VLOOKUP(표1[[#This Row],[명칭]],'문화권 정리'!C:D,2,FALSE),"-")</f>
        <v>서아프리카</v>
      </c>
      <c r="H262" s="38" t="str">
        <f>IFERROR(COUNTIF([2]OceanDoodad!$Y:$Y,표1[[#This Row],[명칭]]),"-")</f>
        <v>-</v>
      </c>
      <c r="I262" s="38">
        <f>IFERROR(COUNTIF([1]AdventureDiscoveryGroup!$D$8:$AW$92,표1[[#This Row],[명칭]]),"-")</f>
        <v>0</v>
      </c>
      <c r="J262" s="38">
        <f>IFERROR(COUNTIF([1]FishDiscoveryGroup!$A:$X,표1[[#This Row],[명칭]]),"-")</f>
        <v>0</v>
      </c>
      <c r="K262" s="38" t="str">
        <f>IFERROR(COUNTIF([2]Town!$B:$B,표1[[#This Row],[명칭]]),"-")</f>
        <v>-</v>
      </c>
      <c r="L262" s="38">
        <f>IFERROR(COUNTIF([1]Village!$BR:$BR,표1[[#This Row],[명칭]]),"-")</f>
        <v>0</v>
      </c>
      <c r="M262" s="38">
        <f>COUNTIF(퀘스트!B:B,표1[[#This Row],[명칭]])</f>
        <v>0</v>
      </c>
      <c r="N262" s="65">
        <f>COUNTIF([1]VillageDiscoveryGroup!$C:$C,표1[[#This Row],[명칭]])</f>
        <v>1</v>
      </c>
      <c r="O262" s="65">
        <f>SUM(표1[[#This Row],[해양탐색]:[마을탐험]])</f>
        <v>1</v>
      </c>
    </row>
    <row r="263" spans="2:15" ht="13.5" customHeight="1" x14ac:dyDescent="0.3">
      <c r="B263" s="9">
        <f>[1]Discovery!A269</f>
        <v>70402101</v>
      </c>
      <c r="C263" s="9" t="str">
        <f>[1]Discovery!B269</f>
        <v>옹중석</v>
      </c>
      <c r="D263" s="9" t="str">
        <f>[1]Discovery!E269</f>
        <v>유물</v>
      </c>
      <c r="E263" s="9" t="str">
        <f>[1]Discovery!C269</f>
        <v>종교유물</v>
      </c>
      <c r="F263" s="9" t="str">
        <f>[1]Discovery!G269</f>
        <v>D</v>
      </c>
      <c r="G263" s="9" t="str">
        <f>IFERROR(VLOOKUP(표1[[#This Row],[명칭]],'문화권 정리'!C:D,2,FALSE),"-")</f>
        <v>동아시아</v>
      </c>
      <c r="H263" s="38" t="str">
        <f>IFERROR(COUNTIF([2]OceanDoodad!$Y:$Y,표1[[#This Row],[명칭]]),"-")</f>
        <v>-</v>
      </c>
      <c r="I263" s="38">
        <f>IFERROR(COUNTIF([1]AdventureDiscoveryGroup!$D$8:$AW$92,표1[[#This Row],[명칭]]),"-")</f>
        <v>0</v>
      </c>
      <c r="J263" s="38">
        <f>IFERROR(COUNTIF([1]FishDiscoveryGroup!$A:$X,표1[[#This Row],[명칭]]),"-")</f>
        <v>0</v>
      </c>
      <c r="K263" s="38" t="str">
        <f>IFERROR(COUNTIF([2]Town!$B:$B,표1[[#This Row],[명칭]]),"-")</f>
        <v>-</v>
      </c>
      <c r="L263" s="38">
        <f>IFERROR(COUNTIF([1]Village!$BR:$BR,표1[[#This Row],[명칭]]),"-")</f>
        <v>0</v>
      </c>
      <c r="M263" s="38">
        <f>COUNTIF(퀘스트!B:B,표1[[#This Row],[명칭]])</f>
        <v>0</v>
      </c>
      <c r="N263" s="65">
        <f>COUNTIF([1]VillageDiscoveryGroup!$C:$C,표1[[#This Row],[명칭]])</f>
        <v>0</v>
      </c>
      <c r="O263" s="65">
        <f>SUM(표1[[#This Row],[해양탐색]:[마을탐험]])</f>
        <v>0</v>
      </c>
    </row>
    <row r="264" spans="2:15" ht="13.5" customHeight="1" x14ac:dyDescent="0.3">
      <c r="B264" s="9">
        <f>[1]Discovery!A270</f>
        <v>70402102</v>
      </c>
      <c r="C264" s="9" t="str">
        <f>[1]Discovery!B270</f>
        <v>왓 프라시산펫</v>
      </c>
      <c r="D264" s="9" t="str">
        <f>[1]Discovery!E270</f>
        <v>건축</v>
      </c>
      <c r="E264" s="9" t="str">
        <f>[1]Discovery!C270</f>
        <v>종교 건축물</v>
      </c>
      <c r="F264" s="9" t="str">
        <f>[1]Discovery!G270</f>
        <v>C</v>
      </c>
      <c r="G264" s="9" t="str">
        <f>IFERROR(VLOOKUP(표1[[#This Row],[명칭]],'문화권 정리'!C:D,2,FALSE),"-")</f>
        <v>동남아시아</v>
      </c>
      <c r="H264" s="38" t="str">
        <f>IFERROR(COUNTIF([2]OceanDoodad!$Y:$Y,표1[[#This Row],[명칭]]),"-")</f>
        <v>-</v>
      </c>
      <c r="I264" s="38">
        <f>IFERROR(COUNTIF([1]AdventureDiscoveryGroup!$D$8:$AW$92,표1[[#This Row],[명칭]]),"-")</f>
        <v>0</v>
      </c>
      <c r="J264" s="38">
        <f>IFERROR(COUNTIF([1]FishDiscoveryGroup!$A:$X,표1[[#This Row],[명칭]]),"-")</f>
        <v>0</v>
      </c>
      <c r="K264" s="38" t="str">
        <f>IFERROR(COUNTIF([2]Town!$B:$B,표1[[#This Row],[명칭]]),"-")</f>
        <v>-</v>
      </c>
      <c r="L264" s="38">
        <f>IFERROR(COUNTIF([1]Village!$BR:$BR,표1[[#This Row],[명칭]]),"-")</f>
        <v>0</v>
      </c>
      <c r="M264" s="38">
        <f>COUNTIF(퀘스트!B:B,표1[[#This Row],[명칭]])</f>
        <v>0</v>
      </c>
      <c r="N264" s="65">
        <f>COUNTIF([1]VillageDiscoveryGroup!$C:$C,표1[[#This Row],[명칭]])</f>
        <v>0</v>
      </c>
      <c r="O264" s="65">
        <f>SUM(표1[[#This Row],[해양탐색]:[마을탐험]])</f>
        <v>0</v>
      </c>
    </row>
    <row r="265" spans="2:15" ht="13.5" customHeight="1" x14ac:dyDescent="0.3">
      <c r="B265" s="9">
        <f>[1]Discovery!A271</f>
        <v>70402103</v>
      </c>
      <c r="C265" s="9" t="str">
        <f>[1]Discovery!B271</f>
        <v>우르남무 법전</v>
      </c>
      <c r="D265" s="9" t="str">
        <f>[1]Discovery!E271</f>
        <v>유물</v>
      </c>
      <c r="E265" s="9" t="str">
        <f>[1]Discovery!C271</f>
        <v>종교유물</v>
      </c>
      <c r="F265" s="9" t="str">
        <f>[1]Discovery!G271</f>
        <v>S</v>
      </c>
      <c r="G265" s="9" t="str">
        <f>IFERROR(VLOOKUP(표1[[#This Row],[명칭]],'문화권 정리'!C:D,2,FALSE),"-")</f>
        <v>서남아시아</v>
      </c>
      <c r="H265" s="38" t="str">
        <f>IFERROR(COUNTIF([2]OceanDoodad!$Y:$Y,표1[[#This Row],[명칭]]),"-")</f>
        <v>-</v>
      </c>
      <c r="I265" s="38">
        <f>IFERROR(COUNTIF([1]AdventureDiscoveryGroup!$D$8:$AW$92,표1[[#This Row],[명칭]]),"-")</f>
        <v>1</v>
      </c>
      <c r="J265" s="38">
        <f>IFERROR(COUNTIF([1]FishDiscoveryGroup!$A:$X,표1[[#This Row],[명칭]]),"-")</f>
        <v>0</v>
      </c>
      <c r="K265" s="38" t="str">
        <f>IFERROR(COUNTIF([2]Town!$B:$B,표1[[#This Row],[명칭]]),"-")</f>
        <v>-</v>
      </c>
      <c r="L265" s="38">
        <f>IFERROR(COUNTIF([1]Village!$BR:$BR,표1[[#This Row],[명칭]]),"-")</f>
        <v>0</v>
      </c>
      <c r="M265" s="38">
        <f>COUNTIF(퀘스트!B:B,표1[[#This Row],[명칭]])</f>
        <v>0</v>
      </c>
      <c r="N265" s="65">
        <f>COUNTIF([1]VillageDiscoveryGroup!$C:$C,표1[[#This Row],[명칭]])</f>
        <v>0</v>
      </c>
      <c r="O265" s="65">
        <f>SUM(표1[[#This Row],[해양탐색]:[마을탐험]])</f>
        <v>1</v>
      </c>
    </row>
    <row r="266" spans="2:15" ht="13.5" customHeight="1" x14ac:dyDescent="0.3">
      <c r="B266" s="9">
        <f>[1]Discovery!A272</f>
        <v>70402104</v>
      </c>
      <c r="C266" s="9" t="str">
        <f>[1]Discovery!B272</f>
        <v>우샤스상</v>
      </c>
      <c r="D266" s="9" t="str">
        <f>[1]Discovery!E272</f>
        <v>유물</v>
      </c>
      <c r="E266" s="9" t="str">
        <f>[1]Discovery!C272</f>
        <v>종교유물</v>
      </c>
      <c r="F266" s="9" t="str">
        <f>[1]Discovery!G272</f>
        <v>C</v>
      </c>
      <c r="G266" s="9" t="str">
        <f>IFERROR(VLOOKUP(표1[[#This Row],[명칭]],'문화권 정리'!C:D,2,FALSE),"-")</f>
        <v>남아시아</v>
      </c>
      <c r="H266" s="38" t="str">
        <f>IFERROR(COUNTIF([2]OceanDoodad!$Y:$Y,표1[[#This Row],[명칭]]),"-")</f>
        <v>-</v>
      </c>
      <c r="I266" s="38">
        <f>IFERROR(COUNTIF([1]AdventureDiscoveryGroup!$D$8:$AW$92,표1[[#This Row],[명칭]]),"-")</f>
        <v>0</v>
      </c>
      <c r="J266" s="38">
        <f>IFERROR(COUNTIF([1]FishDiscoveryGroup!$A:$X,표1[[#This Row],[명칭]]),"-")</f>
        <v>0</v>
      </c>
      <c r="K266" s="38" t="str">
        <f>IFERROR(COUNTIF([2]Town!$B:$B,표1[[#This Row],[명칭]]),"-")</f>
        <v>-</v>
      </c>
      <c r="L266" s="38">
        <f>IFERROR(COUNTIF([1]Village!$BR:$BR,표1[[#This Row],[명칭]]),"-")</f>
        <v>0</v>
      </c>
      <c r="M266" s="38">
        <f>COUNTIF(퀘스트!B:B,표1[[#This Row],[명칭]])</f>
        <v>0</v>
      </c>
      <c r="N266" s="65">
        <f>COUNTIF([1]VillageDiscoveryGroup!$C:$C,표1[[#This Row],[명칭]])</f>
        <v>0</v>
      </c>
      <c r="O266" s="65">
        <f>SUM(표1[[#This Row],[해양탐색]:[마을탐험]])</f>
        <v>0</v>
      </c>
    </row>
    <row r="267" spans="2:15" ht="13.5" customHeight="1" x14ac:dyDescent="0.3">
      <c r="B267" s="9">
        <f>[1]Discovery!A273</f>
        <v>70402105</v>
      </c>
      <c r="C267" s="9" t="str">
        <f>[1]Discovery!B273</f>
        <v>우이칠로포츠틀리상</v>
      </c>
      <c r="D267" s="9" t="str">
        <f>[1]Discovery!E273</f>
        <v>유물</v>
      </c>
      <c r="E267" s="9" t="str">
        <f>[1]Discovery!C273</f>
        <v>종교유물</v>
      </c>
      <c r="F267" s="9" t="str">
        <f>[1]Discovery!G273</f>
        <v>C</v>
      </c>
      <c r="G267" s="9" t="str">
        <f>IFERROR(VLOOKUP(표1[[#This Row],[명칭]],'문화권 정리'!C:D,2,FALSE),"-")</f>
        <v>중앙아메리카</v>
      </c>
      <c r="H267" s="38" t="str">
        <f>IFERROR(COUNTIF([2]OceanDoodad!$Y:$Y,표1[[#This Row],[명칭]]),"-")</f>
        <v>-</v>
      </c>
      <c r="I267" s="38">
        <f>IFERROR(COUNTIF([1]AdventureDiscoveryGroup!$D$8:$AW$92,표1[[#This Row],[명칭]]),"-")</f>
        <v>2</v>
      </c>
      <c r="J267" s="38">
        <f>IFERROR(COUNTIF([1]FishDiscoveryGroup!$A:$X,표1[[#This Row],[명칭]]),"-")</f>
        <v>0</v>
      </c>
      <c r="K267" s="38" t="str">
        <f>IFERROR(COUNTIF([2]Town!$B:$B,표1[[#This Row],[명칭]]),"-")</f>
        <v>-</v>
      </c>
      <c r="L267" s="38">
        <f>IFERROR(COUNTIF([1]Village!$BR:$BR,표1[[#This Row],[명칭]]),"-")</f>
        <v>0</v>
      </c>
      <c r="M267" s="38">
        <f>COUNTIF(퀘스트!B:B,표1[[#This Row],[명칭]])</f>
        <v>0</v>
      </c>
      <c r="N267" s="65">
        <f>COUNTIF([1]VillageDiscoveryGroup!$C:$C,표1[[#This Row],[명칭]])</f>
        <v>0</v>
      </c>
      <c r="O267" s="65">
        <f>SUM(표1[[#This Row],[해양탐색]:[마을탐험]])</f>
        <v>2</v>
      </c>
    </row>
    <row r="268" spans="2:15" ht="13.5" customHeight="1" x14ac:dyDescent="0.3">
      <c r="B268" s="9">
        <f>[1]Discovery!A274</f>
        <v>70402106</v>
      </c>
      <c r="C268" s="9" t="str">
        <f>[1]Discovery!B274</f>
        <v>우파니샤드</v>
      </c>
      <c r="D268" s="9" t="str">
        <f>[1]Discovery!E274</f>
        <v>유물</v>
      </c>
      <c r="E268" s="9" t="str">
        <f>[1]Discovery!C274</f>
        <v>종교유물</v>
      </c>
      <c r="F268" s="9" t="str">
        <f>[1]Discovery!G274</f>
        <v>S</v>
      </c>
      <c r="G268" s="9" t="str">
        <f>IFERROR(VLOOKUP(표1[[#This Row],[명칭]],'문화권 정리'!C:D,2,FALSE),"-")</f>
        <v>동남아시아</v>
      </c>
      <c r="H268" s="38" t="str">
        <f>IFERROR(COUNTIF([2]OceanDoodad!$Y:$Y,표1[[#This Row],[명칭]]),"-")</f>
        <v>-</v>
      </c>
      <c r="I268" s="38">
        <f>IFERROR(COUNTIF([1]AdventureDiscoveryGroup!$D$8:$AW$92,표1[[#This Row],[명칭]]),"-")</f>
        <v>0</v>
      </c>
      <c r="J268" s="38">
        <f>IFERROR(COUNTIF([1]FishDiscoveryGroup!$A:$X,표1[[#This Row],[명칭]]),"-")</f>
        <v>0</v>
      </c>
      <c r="K268" s="38" t="str">
        <f>IFERROR(COUNTIF([2]Town!$B:$B,표1[[#This Row],[명칭]]),"-")</f>
        <v>-</v>
      </c>
      <c r="L268" s="38">
        <f>IFERROR(COUNTIF([1]Village!$BR:$BR,표1[[#This Row],[명칭]]),"-")</f>
        <v>0</v>
      </c>
      <c r="M268" s="38">
        <f>COUNTIF(퀘스트!B:B,표1[[#This Row],[명칭]])</f>
        <v>0</v>
      </c>
      <c r="N268" s="65">
        <f>COUNTIF([1]VillageDiscoveryGroup!$C:$C,표1[[#This Row],[명칭]])</f>
        <v>0</v>
      </c>
      <c r="O268" s="65">
        <f>SUM(표1[[#This Row],[해양탐색]:[마을탐험]])</f>
        <v>0</v>
      </c>
    </row>
    <row r="269" spans="2:15" ht="13.5" customHeight="1" x14ac:dyDescent="0.3">
      <c r="B269" s="9">
        <f>[1]Discovery!A275</f>
        <v>70402107</v>
      </c>
      <c r="C269" s="9" t="str">
        <f>[1]Discovery!B275</f>
        <v>운쿨룬쿨루상</v>
      </c>
      <c r="D269" s="9" t="str">
        <f>[1]Discovery!E275</f>
        <v>유물</v>
      </c>
      <c r="E269" s="9" t="str">
        <f>[1]Discovery!C275</f>
        <v>종교유물</v>
      </c>
      <c r="F269" s="9" t="str">
        <f>[1]Discovery!G275</f>
        <v>B</v>
      </c>
      <c r="G269" s="9" t="str">
        <f>IFERROR(VLOOKUP(표1[[#This Row],[명칭]],'문화권 정리'!C:D,2,FALSE),"-")</f>
        <v>남아프리카</v>
      </c>
      <c r="H269" s="38" t="str">
        <f>IFERROR(COUNTIF([2]OceanDoodad!$Y:$Y,표1[[#This Row],[명칭]]),"-")</f>
        <v>-</v>
      </c>
      <c r="I269" s="38">
        <f>IFERROR(COUNTIF([1]AdventureDiscoveryGroup!$D$8:$AW$92,표1[[#This Row],[명칭]]),"-")</f>
        <v>0</v>
      </c>
      <c r="J269" s="38">
        <f>IFERROR(COUNTIF([1]FishDiscoveryGroup!$A:$X,표1[[#This Row],[명칭]]),"-")</f>
        <v>0</v>
      </c>
      <c r="K269" s="38" t="str">
        <f>IFERROR(COUNTIF([2]Town!$B:$B,표1[[#This Row],[명칭]]),"-")</f>
        <v>-</v>
      </c>
      <c r="L269" s="38">
        <f>IFERROR(COUNTIF([1]Village!$BR:$BR,표1[[#This Row],[명칭]]),"-")</f>
        <v>0</v>
      </c>
      <c r="M269" s="38">
        <f>COUNTIF(퀘스트!B:B,표1[[#This Row],[명칭]])</f>
        <v>0</v>
      </c>
      <c r="N269" s="65">
        <f>COUNTIF([1]VillageDiscoveryGroup!$C:$C,표1[[#This Row],[명칭]])</f>
        <v>0</v>
      </c>
      <c r="O269" s="65">
        <f>SUM(표1[[#This Row],[해양탐색]:[마을탐험]])</f>
        <v>0</v>
      </c>
    </row>
    <row r="270" spans="2:15" ht="13.5" customHeight="1" x14ac:dyDescent="0.3">
      <c r="B270" s="9">
        <f>[1]Discovery!A276</f>
        <v>70402108</v>
      </c>
      <c r="C270" s="9" t="str">
        <f>[1]Discovery!B276</f>
        <v>유마경</v>
      </c>
      <c r="D270" s="9" t="str">
        <f>[1]Discovery!E276</f>
        <v>유물</v>
      </c>
      <c r="E270" s="9" t="str">
        <f>[1]Discovery!C276</f>
        <v>종교유물</v>
      </c>
      <c r="F270" s="9" t="str">
        <f>[1]Discovery!G276</f>
        <v>C</v>
      </c>
      <c r="G270" s="9" t="str">
        <f>IFERROR(VLOOKUP(표1[[#This Row],[명칭]],'문화권 정리'!C:D,2,FALSE),"-")</f>
        <v>남아시아</v>
      </c>
      <c r="H270" s="38" t="str">
        <f>IFERROR(COUNTIF([2]OceanDoodad!$Y:$Y,표1[[#This Row],[명칭]]),"-")</f>
        <v>-</v>
      </c>
      <c r="I270" s="38">
        <f>IFERROR(COUNTIF([1]AdventureDiscoveryGroup!$D$8:$AW$92,표1[[#This Row],[명칭]]),"-")</f>
        <v>1</v>
      </c>
      <c r="J270" s="38">
        <f>IFERROR(COUNTIF([1]FishDiscoveryGroup!$A:$X,표1[[#This Row],[명칭]]),"-")</f>
        <v>0</v>
      </c>
      <c r="K270" s="38" t="str">
        <f>IFERROR(COUNTIF([2]Town!$B:$B,표1[[#This Row],[명칭]]),"-")</f>
        <v>-</v>
      </c>
      <c r="L270" s="38">
        <f>IFERROR(COUNTIF([1]Village!$BR:$BR,표1[[#This Row],[명칭]]),"-")</f>
        <v>0</v>
      </c>
      <c r="M270" s="38">
        <f>COUNTIF(퀘스트!B:B,표1[[#This Row],[명칭]])</f>
        <v>0</v>
      </c>
      <c r="N270" s="65">
        <f>COUNTIF([1]VillageDiscoveryGroup!$C:$C,표1[[#This Row],[명칭]])</f>
        <v>0</v>
      </c>
      <c r="O270" s="65">
        <f>SUM(표1[[#This Row],[해양탐색]:[마을탐험]])</f>
        <v>1</v>
      </c>
    </row>
    <row r="271" spans="2:15" ht="13.5" customHeight="1" x14ac:dyDescent="0.3">
      <c r="B271" s="9">
        <f>[1]Discovery!A277</f>
        <v>70402109</v>
      </c>
      <c r="C271" s="9" t="str">
        <f>[1]Discovery!B277</f>
        <v>유스티티아상</v>
      </c>
      <c r="D271" s="9" t="str">
        <f>[1]Discovery!E277</f>
        <v>유물</v>
      </c>
      <c r="E271" s="9" t="str">
        <f>[1]Discovery!C277</f>
        <v>종교유물</v>
      </c>
      <c r="F271" s="9" t="str">
        <f>[1]Discovery!G277</f>
        <v>A</v>
      </c>
      <c r="G271" s="9" t="str">
        <f>IFERROR(VLOOKUP(표1[[#This Row],[명칭]],'문화권 정리'!C:D,2,FALSE),"-")</f>
        <v>지중해</v>
      </c>
      <c r="H271" s="38" t="str">
        <f>IFERROR(COUNTIF([2]OceanDoodad!$Y:$Y,표1[[#This Row],[명칭]]),"-")</f>
        <v>-</v>
      </c>
      <c r="I271" s="38">
        <f>IFERROR(COUNTIF([1]AdventureDiscoveryGroup!$D$8:$AW$92,표1[[#This Row],[명칭]]),"-")</f>
        <v>1</v>
      </c>
      <c r="J271" s="38">
        <f>IFERROR(COUNTIF([1]FishDiscoveryGroup!$A:$X,표1[[#This Row],[명칭]]),"-")</f>
        <v>0</v>
      </c>
      <c r="K271" s="38" t="str">
        <f>IFERROR(COUNTIF([2]Town!$B:$B,표1[[#This Row],[명칭]]),"-")</f>
        <v>-</v>
      </c>
      <c r="L271" s="38">
        <f>IFERROR(COUNTIF([1]Village!$BR:$BR,표1[[#This Row],[명칭]]),"-")</f>
        <v>0</v>
      </c>
      <c r="M271" s="38">
        <f>COUNTIF(퀘스트!B:B,표1[[#This Row],[명칭]])</f>
        <v>0</v>
      </c>
      <c r="N271" s="65">
        <f>COUNTIF([1]VillageDiscoveryGroup!$C:$C,표1[[#This Row],[명칭]])</f>
        <v>0</v>
      </c>
      <c r="O271" s="65">
        <f>SUM(표1[[#This Row],[해양탐색]:[마을탐험]])</f>
        <v>1</v>
      </c>
    </row>
    <row r="272" spans="2:15" ht="13.5" customHeight="1" x14ac:dyDescent="0.3">
      <c r="B272" s="9">
        <f>[1]Discovery!A278</f>
        <v>70402110</v>
      </c>
      <c r="C272" s="9" t="str">
        <f>[1]Discovery!B278</f>
        <v>응게워상</v>
      </c>
      <c r="D272" s="9" t="str">
        <f>[1]Discovery!E278</f>
        <v>유물</v>
      </c>
      <c r="E272" s="9" t="str">
        <f>[1]Discovery!C278</f>
        <v>종교유물</v>
      </c>
      <c r="F272" s="9" t="str">
        <f>[1]Discovery!G278</f>
        <v>B</v>
      </c>
      <c r="G272" s="9" t="str">
        <f>IFERROR(VLOOKUP(표1[[#This Row],[명칭]],'문화권 정리'!C:D,2,FALSE),"-")</f>
        <v>서아프리카</v>
      </c>
      <c r="H272" s="38" t="str">
        <f>IFERROR(COUNTIF([2]OceanDoodad!$Y:$Y,표1[[#This Row],[명칭]]),"-")</f>
        <v>-</v>
      </c>
      <c r="I272" s="38">
        <f>IFERROR(COUNTIF([1]AdventureDiscoveryGroup!$D$8:$AW$92,표1[[#This Row],[명칭]]),"-")</f>
        <v>0</v>
      </c>
      <c r="J272" s="38">
        <f>IFERROR(COUNTIF([1]FishDiscoveryGroup!$A:$X,표1[[#This Row],[명칭]]),"-")</f>
        <v>0</v>
      </c>
      <c r="K272" s="38" t="str">
        <f>IFERROR(COUNTIF([2]Town!$B:$B,표1[[#This Row],[명칭]]),"-")</f>
        <v>-</v>
      </c>
      <c r="L272" s="38">
        <f>IFERROR(COUNTIF([1]Village!$BR:$BR,표1[[#This Row],[명칭]]),"-")</f>
        <v>0</v>
      </c>
      <c r="M272" s="38">
        <f>COUNTIF(퀘스트!B:B,표1[[#This Row],[명칭]])</f>
        <v>0</v>
      </c>
      <c r="N272" s="65">
        <f>COUNTIF([1]VillageDiscoveryGroup!$C:$C,표1[[#This Row],[명칭]])</f>
        <v>1</v>
      </c>
      <c r="O272" s="65">
        <f>SUM(표1[[#This Row],[해양탐색]:[마을탐험]])</f>
        <v>1</v>
      </c>
    </row>
    <row r="273" spans="2:15" ht="13.5" customHeight="1" x14ac:dyDescent="0.3">
      <c r="B273" s="9">
        <f>[1]Discovery!A279</f>
        <v>70402111</v>
      </c>
      <c r="C273" s="9" t="str">
        <f>[1]Discovery!B279</f>
        <v>이시스 조각상</v>
      </c>
      <c r="D273" s="9" t="str">
        <f>[1]Discovery!E279</f>
        <v>유물</v>
      </c>
      <c r="E273" s="9" t="str">
        <f>[1]Discovery!C279</f>
        <v>종교유물</v>
      </c>
      <c r="F273" s="9" t="str">
        <f>[1]Discovery!G279</f>
        <v>A</v>
      </c>
      <c r="G273" s="9" t="str">
        <f>IFERROR(VLOOKUP(표1[[#This Row],[명칭]],'문화권 정리'!C:D,2,FALSE),"-")</f>
        <v>북아프리카</v>
      </c>
      <c r="H273" s="38" t="str">
        <f>IFERROR(COUNTIF([2]OceanDoodad!$Y:$Y,표1[[#This Row],[명칭]]),"-")</f>
        <v>-</v>
      </c>
      <c r="I273" s="38">
        <f>IFERROR(COUNTIF([1]AdventureDiscoveryGroup!$D$8:$AW$92,표1[[#This Row],[명칭]]),"-")</f>
        <v>0</v>
      </c>
      <c r="J273" s="38">
        <f>IFERROR(COUNTIF([1]FishDiscoveryGroup!$A:$X,표1[[#This Row],[명칭]]),"-")</f>
        <v>0</v>
      </c>
      <c r="K273" s="38" t="str">
        <f>IFERROR(COUNTIF([2]Town!$B:$B,표1[[#This Row],[명칭]]),"-")</f>
        <v>-</v>
      </c>
      <c r="L273" s="38">
        <f>IFERROR(COUNTIF([1]Village!$BR:$BR,표1[[#This Row],[명칭]]),"-")</f>
        <v>0</v>
      </c>
      <c r="M273" s="38">
        <f>COUNTIF(퀘스트!B:B,표1[[#This Row],[명칭]])</f>
        <v>0</v>
      </c>
      <c r="N273" s="65">
        <f>COUNTIF([1]VillageDiscoveryGroup!$C:$C,표1[[#This Row],[명칭]])</f>
        <v>0</v>
      </c>
      <c r="O273" s="65">
        <f>SUM(표1[[#This Row],[해양탐색]:[마을탐험]])</f>
        <v>0</v>
      </c>
    </row>
    <row r="274" spans="2:15" ht="13.5" customHeight="1" x14ac:dyDescent="0.3">
      <c r="B274" s="9">
        <f>[1]Discovery!A280</f>
        <v>70402112</v>
      </c>
      <c r="C274" s="9" t="str">
        <f>[1]Discovery!B280</f>
        <v>인드라상</v>
      </c>
      <c r="D274" s="9" t="str">
        <f>[1]Discovery!E280</f>
        <v>유물</v>
      </c>
      <c r="E274" s="9" t="str">
        <f>[1]Discovery!C280</f>
        <v>종교유물</v>
      </c>
      <c r="F274" s="9" t="str">
        <f>[1]Discovery!G280</f>
        <v>B</v>
      </c>
      <c r="G274" s="9" t="str">
        <f>IFERROR(VLOOKUP(표1[[#This Row],[명칭]],'문화권 정리'!C:D,2,FALSE),"-")</f>
        <v>남아시아</v>
      </c>
      <c r="H274" s="38" t="str">
        <f>IFERROR(COUNTIF([2]OceanDoodad!$Y:$Y,표1[[#This Row],[명칭]]),"-")</f>
        <v>-</v>
      </c>
      <c r="I274" s="38">
        <f>IFERROR(COUNTIF([1]AdventureDiscoveryGroup!$D$8:$AW$92,표1[[#This Row],[명칭]]),"-")</f>
        <v>0</v>
      </c>
      <c r="J274" s="38">
        <f>IFERROR(COUNTIF([1]FishDiscoveryGroup!$A:$X,표1[[#This Row],[명칭]]),"-")</f>
        <v>0</v>
      </c>
      <c r="K274" s="38" t="str">
        <f>IFERROR(COUNTIF([2]Town!$B:$B,표1[[#This Row],[명칭]]),"-")</f>
        <v>-</v>
      </c>
      <c r="L274" s="38">
        <f>IFERROR(COUNTIF([1]Village!$BR:$BR,표1[[#This Row],[명칭]]),"-")</f>
        <v>0</v>
      </c>
      <c r="M274" s="38">
        <f>COUNTIF(퀘스트!B:B,표1[[#This Row],[명칭]])</f>
        <v>0</v>
      </c>
      <c r="N274" s="65">
        <f>COUNTIF([1]VillageDiscoveryGroup!$C:$C,표1[[#This Row],[명칭]])</f>
        <v>0</v>
      </c>
      <c r="O274" s="65">
        <f>SUM(표1[[#This Row],[해양탐색]:[마을탐험]])</f>
        <v>0</v>
      </c>
    </row>
    <row r="275" spans="2:15" ht="13.5" customHeight="1" x14ac:dyDescent="0.3">
      <c r="B275" s="9">
        <f>[1]Discovery!A281</f>
        <v>70402113</v>
      </c>
      <c r="C275" s="9" t="str">
        <f>[1]Discovery!B281</f>
        <v>인안나상</v>
      </c>
      <c r="D275" s="9" t="str">
        <f>[1]Discovery!E281</f>
        <v>유물</v>
      </c>
      <c r="E275" s="9" t="str">
        <f>[1]Discovery!C281</f>
        <v>종교유물</v>
      </c>
      <c r="F275" s="9" t="str">
        <f>[1]Discovery!G281</f>
        <v>C</v>
      </c>
      <c r="G275" s="9" t="str">
        <f>IFERROR(VLOOKUP(표1[[#This Row],[명칭]],'문화권 정리'!C:D,2,FALSE),"-")</f>
        <v>서남아시아</v>
      </c>
      <c r="H275" s="38" t="str">
        <f>IFERROR(COUNTIF([2]OceanDoodad!$Y:$Y,표1[[#This Row],[명칭]]),"-")</f>
        <v>-</v>
      </c>
      <c r="I275" s="38">
        <f>IFERROR(COUNTIF([1]AdventureDiscoveryGroup!$D$8:$AW$92,표1[[#This Row],[명칭]]),"-")</f>
        <v>1</v>
      </c>
      <c r="J275" s="38">
        <f>IFERROR(COUNTIF([1]FishDiscoveryGroup!$A:$X,표1[[#This Row],[명칭]]),"-")</f>
        <v>0</v>
      </c>
      <c r="K275" s="38" t="str">
        <f>IFERROR(COUNTIF([2]Town!$B:$B,표1[[#This Row],[명칭]]),"-")</f>
        <v>-</v>
      </c>
      <c r="L275" s="38">
        <f>IFERROR(COUNTIF([1]Village!$BR:$BR,표1[[#This Row],[명칭]]),"-")</f>
        <v>0</v>
      </c>
      <c r="M275" s="38">
        <f>COUNTIF(퀘스트!B:B,표1[[#This Row],[명칭]])</f>
        <v>0</v>
      </c>
      <c r="N275" s="65">
        <f>COUNTIF([1]VillageDiscoveryGroup!$C:$C,표1[[#This Row],[명칭]])</f>
        <v>0</v>
      </c>
      <c r="O275" s="65">
        <f>SUM(표1[[#This Row],[해양탐색]:[마을탐험]])</f>
        <v>1</v>
      </c>
    </row>
    <row r="276" spans="2:15" ht="13.5" customHeight="1" x14ac:dyDescent="0.3">
      <c r="B276" s="9">
        <f>[1]Discovery!A282</f>
        <v>70402114</v>
      </c>
      <c r="C276" s="9" t="str">
        <f>[1]Discovery!B282</f>
        <v>잉카 왕족의 미라</v>
      </c>
      <c r="D276" s="9" t="str">
        <f>[1]Discovery!E282</f>
        <v>유물</v>
      </c>
      <c r="E276" s="9" t="str">
        <f>[1]Discovery!C282</f>
        <v>종교유물</v>
      </c>
      <c r="F276" s="9" t="str">
        <f>[1]Discovery!G282</f>
        <v>S</v>
      </c>
      <c r="G276" s="9" t="str">
        <f>IFERROR(VLOOKUP(표1[[#This Row],[명칭]],'문화권 정리'!C:D,2,FALSE),"-")</f>
        <v>남아메리카</v>
      </c>
      <c r="H276" s="38" t="str">
        <f>IFERROR(COUNTIF([2]OceanDoodad!$Y:$Y,표1[[#This Row],[명칭]]),"-")</f>
        <v>-</v>
      </c>
      <c r="I276" s="38">
        <f>IFERROR(COUNTIF([1]AdventureDiscoveryGroup!$D$8:$AW$92,표1[[#This Row],[명칭]]),"-")</f>
        <v>0</v>
      </c>
      <c r="J276" s="38">
        <f>IFERROR(COUNTIF([1]FishDiscoveryGroup!$A:$X,표1[[#This Row],[명칭]]),"-")</f>
        <v>0</v>
      </c>
      <c r="K276" s="38" t="str">
        <f>IFERROR(COUNTIF([2]Town!$B:$B,표1[[#This Row],[명칭]]),"-")</f>
        <v>-</v>
      </c>
      <c r="L276" s="38">
        <f>IFERROR(COUNTIF([1]Village!$BR:$BR,표1[[#This Row],[명칭]]),"-")</f>
        <v>0</v>
      </c>
      <c r="M276" s="38">
        <f>COUNTIF(퀘스트!B:B,표1[[#This Row],[명칭]])</f>
        <v>0</v>
      </c>
      <c r="N276" s="65">
        <f>COUNTIF([1]VillageDiscoveryGroup!$C:$C,표1[[#This Row],[명칭]])</f>
        <v>0</v>
      </c>
      <c r="O276" s="65">
        <f>SUM(표1[[#This Row],[해양탐색]:[마을탐험]])</f>
        <v>0</v>
      </c>
    </row>
    <row r="277" spans="2:15" ht="13.5" customHeight="1" x14ac:dyDescent="0.3">
      <c r="B277" s="9">
        <f>[1]Discovery!A283</f>
        <v>70402115</v>
      </c>
      <c r="C277" s="9" t="str">
        <f>[1]Discovery!B283</f>
        <v>재규어 전사의 가면</v>
      </c>
      <c r="D277" s="9" t="str">
        <f>[1]Discovery!E283</f>
        <v>유물</v>
      </c>
      <c r="E277" s="9" t="str">
        <f>[1]Discovery!C283</f>
        <v>종교유물</v>
      </c>
      <c r="F277" s="9" t="str">
        <f>[1]Discovery!G283</f>
        <v>B</v>
      </c>
      <c r="G277" s="9" t="str">
        <f>IFERROR(VLOOKUP(표1[[#This Row],[명칭]],'문화권 정리'!C:D,2,FALSE),"-")</f>
        <v>중앙아메리카</v>
      </c>
      <c r="H277" s="38" t="str">
        <f>IFERROR(COUNTIF([2]OceanDoodad!$Y:$Y,표1[[#This Row],[명칭]]),"-")</f>
        <v>-</v>
      </c>
      <c r="I277" s="38">
        <f>IFERROR(COUNTIF([1]AdventureDiscoveryGroup!$D$8:$AW$92,표1[[#This Row],[명칭]]),"-")</f>
        <v>0</v>
      </c>
      <c r="J277" s="38">
        <f>IFERROR(COUNTIF([1]FishDiscoveryGroup!$A:$X,표1[[#This Row],[명칭]]),"-")</f>
        <v>0</v>
      </c>
      <c r="K277" s="38" t="str">
        <f>IFERROR(COUNTIF([2]Town!$B:$B,표1[[#This Row],[명칭]]),"-")</f>
        <v>-</v>
      </c>
      <c r="L277" s="38">
        <f>IFERROR(COUNTIF([1]Village!$BR:$BR,표1[[#This Row],[명칭]]),"-")</f>
        <v>0</v>
      </c>
      <c r="M277" s="38">
        <f>COUNTIF(퀘스트!B:B,표1[[#This Row],[명칭]])</f>
        <v>0</v>
      </c>
      <c r="N277" s="65">
        <f>COUNTIF([1]VillageDiscoveryGroup!$C:$C,표1[[#This Row],[명칭]])</f>
        <v>1</v>
      </c>
      <c r="O277" s="65">
        <f>SUM(표1[[#This Row],[해양탐색]:[마을탐험]])</f>
        <v>1</v>
      </c>
    </row>
    <row r="278" spans="2:15" ht="13.5" customHeight="1" x14ac:dyDescent="0.3">
      <c r="B278" s="9">
        <f>[1]Discovery!A284</f>
        <v>70402116</v>
      </c>
      <c r="C278" s="9" t="str">
        <f>[1]Discovery!B284</f>
        <v>재규어 조각상</v>
      </c>
      <c r="D278" s="9" t="str">
        <f>[1]Discovery!E284</f>
        <v>유물</v>
      </c>
      <c r="E278" s="9" t="str">
        <f>[1]Discovery!C284</f>
        <v>종교유물</v>
      </c>
      <c r="F278" s="9" t="str">
        <f>[1]Discovery!G284</f>
        <v>B</v>
      </c>
      <c r="G278" s="9" t="str">
        <f>IFERROR(VLOOKUP(표1[[#This Row],[명칭]],'문화권 정리'!C:D,2,FALSE),"-")</f>
        <v>중앙아메리카</v>
      </c>
      <c r="H278" s="38" t="str">
        <f>IFERROR(COUNTIF([2]OceanDoodad!$Y:$Y,표1[[#This Row],[명칭]]),"-")</f>
        <v>-</v>
      </c>
      <c r="I278" s="38">
        <f>IFERROR(COUNTIF([1]AdventureDiscoveryGroup!$D$8:$AW$92,표1[[#This Row],[명칭]]),"-")</f>
        <v>0</v>
      </c>
      <c r="J278" s="38">
        <f>IFERROR(COUNTIF([1]FishDiscoveryGroup!$A:$X,표1[[#This Row],[명칭]]),"-")</f>
        <v>0</v>
      </c>
      <c r="K278" s="38" t="str">
        <f>IFERROR(COUNTIF([2]Town!$B:$B,표1[[#This Row],[명칭]]),"-")</f>
        <v>-</v>
      </c>
      <c r="L278" s="38">
        <f>IFERROR(COUNTIF([1]Village!$BR:$BR,표1[[#This Row],[명칭]]),"-")</f>
        <v>0</v>
      </c>
      <c r="M278" s="38">
        <f>COUNTIF(퀘스트!B:B,표1[[#This Row],[명칭]])</f>
        <v>0</v>
      </c>
      <c r="N278" s="65">
        <f>COUNTIF([1]VillageDiscoveryGroup!$C:$C,표1[[#This Row],[명칭]])</f>
        <v>1</v>
      </c>
      <c r="O278" s="65">
        <f>SUM(표1[[#This Row],[해양탐색]:[마을탐험]])</f>
        <v>1</v>
      </c>
    </row>
    <row r="279" spans="2:15" ht="13.5" customHeight="1" x14ac:dyDescent="0.3">
      <c r="B279" s="9">
        <f>[1]Discovery!A285</f>
        <v>70402117</v>
      </c>
      <c r="C279" s="9" t="str">
        <f>[1]Discovery!B285</f>
        <v>제드 기둥 부적</v>
      </c>
      <c r="D279" s="9" t="str">
        <f>[1]Discovery!E285</f>
        <v>유물</v>
      </c>
      <c r="E279" s="9" t="str">
        <f>[1]Discovery!C285</f>
        <v>종교유물</v>
      </c>
      <c r="F279" s="9" t="str">
        <f>[1]Discovery!G285</f>
        <v>C</v>
      </c>
      <c r="G279" s="9" t="str">
        <f>IFERROR(VLOOKUP(표1[[#This Row],[명칭]],'문화권 정리'!C:D,2,FALSE),"-")</f>
        <v>북아프리카</v>
      </c>
      <c r="H279" s="38" t="str">
        <f>IFERROR(COUNTIF([2]OceanDoodad!$Y:$Y,표1[[#This Row],[명칭]]),"-")</f>
        <v>-</v>
      </c>
      <c r="I279" s="38">
        <f>IFERROR(COUNTIF([1]AdventureDiscoveryGroup!$D$8:$AW$92,표1[[#This Row],[명칭]]),"-")</f>
        <v>0</v>
      </c>
      <c r="J279" s="38">
        <f>IFERROR(COUNTIF([1]FishDiscoveryGroup!$A:$X,표1[[#This Row],[명칭]]),"-")</f>
        <v>0</v>
      </c>
      <c r="K279" s="38" t="str">
        <f>IFERROR(COUNTIF([2]Town!$B:$B,표1[[#This Row],[명칭]]),"-")</f>
        <v>-</v>
      </c>
      <c r="L279" s="38">
        <f>IFERROR(COUNTIF([1]Village!$BR:$BR,표1[[#This Row],[명칭]]),"-")</f>
        <v>0</v>
      </c>
      <c r="M279" s="38">
        <f>COUNTIF(퀘스트!B:B,표1[[#This Row],[명칭]])</f>
        <v>0</v>
      </c>
      <c r="N279" s="65">
        <f>COUNTIF([1]VillageDiscoveryGroup!$C:$C,표1[[#This Row],[명칭]])</f>
        <v>1</v>
      </c>
      <c r="O279" s="65">
        <f>SUM(표1[[#This Row],[해양탐색]:[마을탐험]])</f>
        <v>1</v>
      </c>
    </row>
    <row r="280" spans="2:15" ht="13.5" customHeight="1" x14ac:dyDescent="0.3">
      <c r="B280" s="9">
        <f>[1]Discovery!A286</f>
        <v>70402118</v>
      </c>
      <c r="C280" s="9" t="str">
        <f>[1]Discovery!B286</f>
        <v>제우스상</v>
      </c>
      <c r="D280" s="9" t="str">
        <f>[1]Discovery!E286</f>
        <v>유물</v>
      </c>
      <c r="E280" s="9" t="str">
        <f>[1]Discovery!C286</f>
        <v>종교유물</v>
      </c>
      <c r="F280" s="9" t="str">
        <f>[1]Discovery!G286</f>
        <v>A</v>
      </c>
      <c r="G280" s="9" t="str">
        <f>IFERROR(VLOOKUP(표1[[#This Row],[명칭]],'문화권 정리'!C:D,2,FALSE),"-")</f>
        <v>지중해</v>
      </c>
      <c r="H280" s="38" t="str">
        <f>IFERROR(COUNTIF([2]OceanDoodad!$Y:$Y,표1[[#This Row],[명칭]]),"-")</f>
        <v>-</v>
      </c>
      <c r="I280" s="38">
        <f>IFERROR(COUNTIF([1]AdventureDiscoveryGroup!$D$8:$AW$92,표1[[#This Row],[명칭]]),"-")</f>
        <v>0</v>
      </c>
      <c r="J280" s="38">
        <f>IFERROR(COUNTIF([1]FishDiscoveryGroup!$A:$X,표1[[#This Row],[명칭]]),"-")</f>
        <v>0</v>
      </c>
      <c r="K280" s="38" t="str">
        <f>IFERROR(COUNTIF([2]Town!$B:$B,표1[[#This Row],[명칭]]),"-")</f>
        <v>-</v>
      </c>
      <c r="L280" s="38">
        <f>IFERROR(COUNTIF([1]Village!$BR:$BR,표1[[#This Row],[명칭]]),"-")</f>
        <v>0</v>
      </c>
      <c r="M280" s="38">
        <f>COUNTIF(퀘스트!B:B,표1[[#This Row],[명칭]])</f>
        <v>0</v>
      </c>
      <c r="N280" s="65">
        <f>COUNTIF([1]VillageDiscoveryGroup!$C:$C,표1[[#This Row],[명칭]])</f>
        <v>0</v>
      </c>
      <c r="O280" s="65">
        <f>SUM(표1[[#This Row],[해양탐색]:[마을탐험]])</f>
        <v>0</v>
      </c>
    </row>
    <row r="281" spans="2:15" ht="13.5" customHeight="1" x14ac:dyDescent="0.3">
      <c r="B281" s="9">
        <f>[1]Discovery!A287</f>
        <v>70402119</v>
      </c>
      <c r="C281" s="9" t="str">
        <f>[1]Discovery!B287</f>
        <v>젤링 비석</v>
      </c>
      <c r="D281" s="9" t="str">
        <f>[1]Discovery!E287</f>
        <v>유물</v>
      </c>
      <c r="E281" s="9" t="str">
        <f>[1]Discovery!C287</f>
        <v>종교유물</v>
      </c>
      <c r="F281" s="9" t="str">
        <f>[1]Discovery!G287</f>
        <v>C</v>
      </c>
      <c r="G281" s="9" t="str">
        <f>IFERROR(VLOOKUP(표1[[#This Row],[명칭]],'문화권 정리'!C:D,2,FALSE),"-")</f>
        <v>북유럽</v>
      </c>
      <c r="H281" s="38" t="str">
        <f>IFERROR(COUNTIF([2]OceanDoodad!$Y:$Y,표1[[#This Row],[명칭]]),"-")</f>
        <v>-</v>
      </c>
      <c r="I281" s="38">
        <f>IFERROR(COUNTIF([1]AdventureDiscoveryGroup!$D$8:$AW$92,표1[[#This Row],[명칭]]),"-")</f>
        <v>1</v>
      </c>
      <c r="J281" s="38">
        <f>IFERROR(COUNTIF([1]FishDiscoveryGroup!$A:$X,표1[[#This Row],[명칭]]),"-")</f>
        <v>0</v>
      </c>
      <c r="K281" s="38" t="str">
        <f>IFERROR(COUNTIF([2]Town!$B:$B,표1[[#This Row],[명칭]]),"-")</f>
        <v>-</v>
      </c>
      <c r="L281" s="38">
        <f>IFERROR(COUNTIF([1]Village!$BR:$BR,표1[[#This Row],[명칭]]),"-")</f>
        <v>0</v>
      </c>
      <c r="M281" s="38">
        <f>COUNTIF(퀘스트!B:B,표1[[#This Row],[명칭]])</f>
        <v>0</v>
      </c>
      <c r="N281" s="65">
        <f>COUNTIF([1]VillageDiscoveryGroup!$C:$C,표1[[#This Row],[명칭]])</f>
        <v>0</v>
      </c>
      <c r="O281" s="65">
        <f>SUM(표1[[#This Row],[해양탐색]:[마을탐험]])</f>
        <v>1</v>
      </c>
    </row>
    <row r="282" spans="2:15" ht="13.5" customHeight="1" x14ac:dyDescent="0.3">
      <c r="B282" s="9">
        <f>[1]Discovery!A288</f>
        <v>70402120</v>
      </c>
      <c r="C282" s="9" t="str">
        <f>[1]Discovery!B288</f>
        <v>주천석</v>
      </c>
      <c r="D282" s="9" t="str">
        <f>[1]Discovery!E288</f>
        <v>유물</v>
      </c>
      <c r="E282" s="9" t="str">
        <f>[1]Discovery!C288</f>
        <v>종교유물</v>
      </c>
      <c r="F282" s="9" t="str">
        <f>[1]Discovery!G288</f>
        <v>C</v>
      </c>
      <c r="G282" s="9" t="str">
        <f>IFERROR(VLOOKUP(표1[[#This Row],[명칭]],'문화권 정리'!C:D,2,FALSE),"-")</f>
        <v>동아시아</v>
      </c>
      <c r="H282" s="38" t="str">
        <f>IFERROR(COUNTIF([2]OceanDoodad!$Y:$Y,표1[[#This Row],[명칭]]),"-")</f>
        <v>-</v>
      </c>
      <c r="I282" s="38">
        <f>IFERROR(COUNTIF([1]AdventureDiscoveryGroup!$D$8:$AW$92,표1[[#This Row],[명칭]]),"-")</f>
        <v>0</v>
      </c>
      <c r="J282" s="38">
        <f>IFERROR(COUNTIF([1]FishDiscoveryGroup!$A:$X,표1[[#This Row],[명칭]]),"-")</f>
        <v>0</v>
      </c>
      <c r="K282" s="38" t="str">
        <f>IFERROR(COUNTIF([2]Town!$B:$B,표1[[#This Row],[명칭]]),"-")</f>
        <v>-</v>
      </c>
      <c r="L282" s="38">
        <f>IFERROR(COUNTIF([1]Village!$BR:$BR,표1[[#This Row],[명칭]]),"-")</f>
        <v>0</v>
      </c>
      <c r="M282" s="38">
        <f>COUNTIF(퀘스트!B:B,표1[[#This Row],[명칭]])</f>
        <v>0</v>
      </c>
      <c r="N282" s="65">
        <f>COUNTIF([1]VillageDiscoveryGroup!$C:$C,표1[[#This Row],[명칭]])</f>
        <v>0</v>
      </c>
      <c r="O282" s="65">
        <f>SUM(표1[[#This Row],[해양탐색]:[마을탐험]])</f>
        <v>0</v>
      </c>
    </row>
    <row r="283" spans="2:15" ht="13.5" customHeight="1" x14ac:dyDescent="0.3">
      <c r="B283" s="9">
        <f>[1]Discovery!A289</f>
        <v>70402121</v>
      </c>
      <c r="C283" s="9" t="str">
        <f>[1]Discovery!B289</f>
        <v>중론</v>
      </c>
      <c r="D283" s="9" t="str">
        <f>[1]Discovery!E289</f>
        <v>유물</v>
      </c>
      <c r="E283" s="9" t="str">
        <f>[1]Discovery!C289</f>
        <v>종교유물</v>
      </c>
      <c r="F283" s="9" t="str">
        <f>[1]Discovery!G289</f>
        <v>D</v>
      </c>
      <c r="G283" s="9" t="str">
        <f>IFERROR(VLOOKUP(표1[[#This Row],[명칭]],'문화권 정리'!C:D,2,FALSE),"-")</f>
        <v>남아시아</v>
      </c>
      <c r="H283" s="38" t="str">
        <f>IFERROR(COUNTIF([2]OceanDoodad!$Y:$Y,표1[[#This Row],[명칭]]),"-")</f>
        <v>-</v>
      </c>
      <c r="I283" s="38">
        <f>IFERROR(COUNTIF([1]AdventureDiscoveryGroup!$D$8:$AW$92,표1[[#This Row],[명칭]]),"-")</f>
        <v>1</v>
      </c>
      <c r="J283" s="38">
        <f>IFERROR(COUNTIF([1]FishDiscoveryGroup!$A:$X,표1[[#This Row],[명칭]]),"-")</f>
        <v>0</v>
      </c>
      <c r="K283" s="38" t="str">
        <f>IFERROR(COUNTIF([2]Town!$B:$B,표1[[#This Row],[명칭]]),"-")</f>
        <v>-</v>
      </c>
      <c r="L283" s="38">
        <f>IFERROR(COUNTIF([1]Village!$BR:$BR,표1[[#This Row],[명칭]]),"-")</f>
        <v>0</v>
      </c>
      <c r="M283" s="38">
        <f>COUNTIF(퀘스트!B:B,표1[[#This Row],[명칭]])</f>
        <v>0</v>
      </c>
      <c r="N283" s="65">
        <f>COUNTIF([1]VillageDiscoveryGroup!$C:$C,표1[[#This Row],[명칭]])</f>
        <v>0</v>
      </c>
      <c r="O283" s="65">
        <f>SUM(표1[[#This Row],[해양탐색]:[마을탐험]])</f>
        <v>1</v>
      </c>
    </row>
    <row r="284" spans="2:15" ht="13.5" customHeight="1" x14ac:dyDescent="0.3">
      <c r="B284" s="9">
        <f>[1]Discovery!A290</f>
        <v>70402122</v>
      </c>
      <c r="C284" s="9" t="str">
        <f>[1]Discovery!B290</f>
        <v>착상</v>
      </c>
      <c r="D284" s="9" t="str">
        <f>[1]Discovery!E290</f>
        <v>유물</v>
      </c>
      <c r="E284" s="9" t="str">
        <f>[1]Discovery!C290</f>
        <v>종교유물</v>
      </c>
      <c r="F284" s="9" t="str">
        <f>[1]Discovery!G290</f>
        <v>D</v>
      </c>
      <c r="G284" s="9" t="str">
        <f>IFERROR(VLOOKUP(표1[[#This Row],[명칭]],'문화권 정리'!C:D,2,FALSE),"-")</f>
        <v>중앙아메리카</v>
      </c>
      <c r="H284" s="38" t="str">
        <f>IFERROR(COUNTIF([2]OceanDoodad!$Y:$Y,표1[[#This Row],[명칭]]),"-")</f>
        <v>-</v>
      </c>
      <c r="I284" s="38">
        <f>IFERROR(COUNTIF([1]AdventureDiscoveryGroup!$D$8:$AW$92,표1[[#This Row],[명칭]]),"-")</f>
        <v>1</v>
      </c>
      <c r="J284" s="38">
        <f>IFERROR(COUNTIF([1]FishDiscoveryGroup!$A:$X,표1[[#This Row],[명칭]]),"-")</f>
        <v>0</v>
      </c>
      <c r="K284" s="38" t="str">
        <f>IFERROR(COUNTIF([2]Town!$B:$B,표1[[#This Row],[명칭]]),"-")</f>
        <v>-</v>
      </c>
      <c r="L284" s="38">
        <f>IFERROR(COUNTIF([1]Village!$BR:$BR,표1[[#This Row],[명칭]]),"-")</f>
        <v>0</v>
      </c>
      <c r="M284" s="38">
        <f>COUNTIF(퀘스트!B:B,표1[[#This Row],[명칭]])</f>
        <v>0</v>
      </c>
      <c r="N284" s="65">
        <f>COUNTIF([1]VillageDiscoveryGroup!$C:$C,표1[[#This Row],[명칭]])</f>
        <v>0</v>
      </c>
      <c r="O284" s="65">
        <f>SUM(표1[[#This Row],[해양탐색]:[마을탐험]])</f>
        <v>1</v>
      </c>
    </row>
    <row r="285" spans="2:15" ht="13.5" customHeight="1" x14ac:dyDescent="0.3">
      <c r="B285" s="9">
        <f>[1]Discovery!A291</f>
        <v>70402123</v>
      </c>
      <c r="C285" s="9" t="str">
        <f>[1]Discovery!B291</f>
        <v>창세기</v>
      </c>
      <c r="D285" s="9" t="str">
        <f>[1]Discovery!E291</f>
        <v>유물</v>
      </c>
      <c r="E285" s="9" t="str">
        <f>[1]Discovery!C291</f>
        <v>종교유물</v>
      </c>
      <c r="F285" s="9" t="str">
        <f>[1]Discovery!G291</f>
        <v>S</v>
      </c>
      <c r="G285" s="9" t="str">
        <f>IFERROR(VLOOKUP(표1[[#This Row],[명칭]],'문화권 정리'!C:D,2,FALSE),"-")</f>
        <v>서남아시아</v>
      </c>
      <c r="H285" s="38" t="str">
        <f>IFERROR(COUNTIF([2]OceanDoodad!$Y:$Y,표1[[#This Row],[명칭]]),"-")</f>
        <v>-</v>
      </c>
      <c r="I285" s="38">
        <f>IFERROR(COUNTIF([1]AdventureDiscoveryGroup!$D$8:$AW$92,표1[[#This Row],[명칭]]),"-")</f>
        <v>0</v>
      </c>
      <c r="J285" s="38">
        <f>IFERROR(COUNTIF([1]FishDiscoveryGroup!$A:$X,표1[[#This Row],[명칭]]),"-")</f>
        <v>0</v>
      </c>
      <c r="K285" s="38" t="str">
        <f>IFERROR(COUNTIF([2]Town!$B:$B,표1[[#This Row],[명칭]]),"-")</f>
        <v>-</v>
      </c>
      <c r="L285" s="38">
        <f>IFERROR(COUNTIF([1]Village!$BR:$BR,표1[[#This Row],[명칭]]),"-")</f>
        <v>0</v>
      </c>
      <c r="M285" s="38">
        <f>COUNTIF(퀘스트!B:B,표1[[#This Row],[명칭]])</f>
        <v>1</v>
      </c>
      <c r="N285" s="65">
        <f>COUNTIF([1]VillageDiscoveryGroup!$C:$C,표1[[#This Row],[명칭]])</f>
        <v>0</v>
      </c>
      <c r="O285" s="65">
        <f>SUM(표1[[#This Row],[해양탐색]:[마을탐험]])</f>
        <v>1</v>
      </c>
    </row>
    <row r="286" spans="2:15" ht="13.5" customHeight="1" x14ac:dyDescent="0.3">
      <c r="B286" s="9">
        <f>[1]Discovery!A292</f>
        <v>70402124</v>
      </c>
      <c r="C286" s="9" t="str">
        <f>[1]Discovery!B292</f>
        <v>치나라트불상</v>
      </c>
      <c r="D286" s="9" t="str">
        <f>[1]Discovery!E292</f>
        <v>유물</v>
      </c>
      <c r="E286" s="9" t="str">
        <f>[1]Discovery!C292</f>
        <v>종교유물</v>
      </c>
      <c r="F286" s="9" t="str">
        <f>[1]Discovery!G292</f>
        <v>C</v>
      </c>
      <c r="G286" s="9" t="str">
        <f>IFERROR(VLOOKUP(표1[[#This Row],[명칭]],'문화권 정리'!C:D,2,FALSE),"-")</f>
        <v>동남아시아</v>
      </c>
      <c r="H286" s="38" t="str">
        <f>IFERROR(COUNTIF([2]OceanDoodad!$Y:$Y,표1[[#This Row],[명칭]]),"-")</f>
        <v>-</v>
      </c>
      <c r="I286" s="38">
        <f>IFERROR(COUNTIF([1]AdventureDiscoveryGroup!$D$8:$AW$92,표1[[#This Row],[명칭]]),"-")</f>
        <v>0</v>
      </c>
      <c r="J286" s="38">
        <f>IFERROR(COUNTIF([1]FishDiscoveryGroup!$A:$X,표1[[#This Row],[명칭]]),"-")</f>
        <v>0</v>
      </c>
      <c r="K286" s="38" t="str">
        <f>IFERROR(COUNTIF([2]Town!$B:$B,표1[[#This Row],[명칭]]),"-")</f>
        <v>-</v>
      </c>
      <c r="L286" s="38">
        <f>IFERROR(COUNTIF([1]Village!$BR:$BR,표1[[#This Row],[명칭]]),"-")</f>
        <v>0</v>
      </c>
      <c r="M286" s="38">
        <f>COUNTIF(퀘스트!B:B,표1[[#This Row],[명칭]])</f>
        <v>0</v>
      </c>
      <c r="N286" s="65">
        <f>COUNTIF([1]VillageDiscoveryGroup!$C:$C,표1[[#This Row],[명칭]])</f>
        <v>1</v>
      </c>
      <c r="O286" s="65">
        <f>SUM(표1[[#This Row],[해양탐색]:[마을탐험]])</f>
        <v>1</v>
      </c>
    </row>
    <row r="287" spans="2:15" ht="13.5" customHeight="1" x14ac:dyDescent="0.3">
      <c r="B287" s="9">
        <f>[1]Discovery!A293</f>
        <v>70402125</v>
      </c>
      <c r="C287" s="9" t="str">
        <f>[1]Discovery!B293</f>
        <v>칠십인역 성서</v>
      </c>
      <c r="D287" s="9" t="str">
        <f>[1]Discovery!E293</f>
        <v>유물</v>
      </c>
      <c r="E287" s="9" t="str">
        <f>[1]Discovery!C293</f>
        <v>종교유물</v>
      </c>
      <c r="F287" s="9" t="str">
        <f>[1]Discovery!G293</f>
        <v>A</v>
      </c>
      <c r="G287" s="9" t="str">
        <f>IFERROR(VLOOKUP(표1[[#This Row],[명칭]],'문화권 정리'!C:D,2,FALSE),"-")</f>
        <v>지중해</v>
      </c>
      <c r="H287" s="38" t="str">
        <f>IFERROR(COUNTIF([2]OceanDoodad!$Y:$Y,표1[[#This Row],[명칭]]),"-")</f>
        <v>-</v>
      </c>
      <c r="I287" s="38">
        <f>IFERROR(COUNTIF([1]AdventureDiscoveryGroup!$D$8:$AW$92,표1[[#This Row],[명칭]]),"-")</f>
        <v>0</v>
      </c>
      <c r="J287" s="38">
        <f>IFERROR(COUNTIF([1]FishDiscoveryGroup!$A:$X,표1[[#This Row],[명칭]]),"-")</f>
        <v>0</v>
      </c>
      <c r="K287" s="38" t="str">
        <f>IFERROR(COUNTIF([2]Town!$B:$B,표1[[#This Row],[명칭]]),"-")</f>
        <v>-</v>
      </c>
      <c r="L287" s="38">
        <f>IFERROR(COUNTIF([1]Village!$BR:$BR,표1[[#This Row],[명칭]]),"-")</f>
        <v>0</v>
      </c>
      <c r="M287" s="38">
        <f>COUNTIF(퀘스트!B:B,표1[[#This Row],[명칭]])</f>
        <v>0</v>
      </c>
      <c r="N287" s="65">
        <f>COUNTIF([1]VillageDiscoveryGroup!$C:$C,표1[[#This Row],[명칭]])</f>
        <v>0</v>
      </c>
      <c r="O287" s="65">
        <f>SUM(표1[[#This Row],[해양탐색]:[마을탐험]])</f>
        <v>0</v>
      </c>
    </row>
    <row r="288" spans="2:15" ht="13.5" customHeight="1" x14ac:dyDescent="0.3">
      <c r="B288" s="9">
        <f>[1]Discovery!A294</f>
        <v>70402126</v>
      </c>
      <c r="C288" s="9" t="str">
        <f>[1]Discovery!B294</f>
        <v>카날로아상</v>
      </c>
      <c r="D288" s="9" t="str">
        <f>[1]Discovery!E294</f>
        <v>유물</v>
      </c>
      <c r="E288" s="9" t="str">
        <f>[1]Discovery!C294</f>
        <v>종교유물</v>
      </c>
      <c r="F288" s="9" t="str">
        <f>[1]Discovery!G294</f>
        <v>S</v>
      </c>
      <c r="G288" s="9" t="str">
        <f>IFERROR(VLOOKUP(표1[[#This Row],[명칭]],'문화권 정리'!C:D,2,FALSE),"-")</f>
        <v>태평양</v>
      </c>
      <c r="H288" s="38" t="str">
        <f>IFERROR(COUNTIF([2]OceanDoodad!$Y:$Y,표1[[#This Row],[명칭]]),"-")</f>
        <v>-</v>
      </c>
      <c r="I288" s="38">
        <f>IFERROR(COUNTIF([1]AdventureDiscoveryGroup!$D$8:$AW$92,표1[[#This Row],[명칭]]),"-")</f>
        <v>0</v>
      </c>
      <c r="J288" s="38">
        <f>IFERROR(COUNTIF([1]FishDiscoveryGroup!$A:$X,표1[[#This Row],[명칭]]),"-")</f>
        <v>0</v>
      </c>
      <c r="K288" s="38" t="str">
        <f>IFERROR(COUNTIF([2]Town!$B:$B,표1[[#This Row],[명칭]]),"-")</f>
        <v>-</v>
      </c>
      <c r="L288" s="38">
        <f>IFERROR(COUNTIF([1]Village!$BR:$BR,표1[[#This Row],[명칭]]),"-")</f>
        <v>0</v>
      </c>
      <c r="M288" s="38">
        <f>COUNTIF(퀘스트!B:B,표1[[#This Row],[명칭]])</f>
        <v>0</v>
      </c>
      <c r="N288" s="65">
        <f>COUNTIF([1]VillageDiscoveryGroup!$C:$C,표1[[#This Row],[명칭]])</f>
        <v>0</v>
      </c>
      <c r="O288" s="65">
        <f>SUM(표1[[#This Row],[해양탐색]:[마을탐험]])</f>
        <v>0</v>
      </c>
    </row>
    <row r="289" spans="2:15" ht="13.5" customHeight="1" x14ac:dyDescent="0.3">
      <c r="B289" s="9">
        <f>[1]Discovery!A295</f>
        <v>70402127</v>
      </c>
      <c r="C289" s="9" t="str">
        <f>[1]Discovery!B295</f>
        <v>카니슈카 왕의 사리함</v>
      </c>
      <c r="D289" s="9" t="str">
        <f>[1]Discovery!E295</f>
        <v>유물</v>
      </c>
      <c r="E289" s="9" t="str">
        <f>[1]Discovery!C295</f>
        <v>종교유물</v>
      </c>
      <c r="F289" s="9" t="str">
        <f>[1]Discovery!G295</f>
        <v>A</v>
      </c>
      <c r="G289" s="9" t="str">
        <f>IFERROR(VLOOKUP(표1[[#This Row],[명칭]],'문화권 정리'!C:D,2,FALSE),"-")</f>
        <v>남아시아</v>
      </c>
      <c r="H289" s="38" t="str">
        <f>IFERROR(COUNTIF([2]OceanDoodad!$Y:$Y,표1[[#This Row],[명칭]]),"-")</f>
        <v>-</v>
      </c>
      <c r="I289" s="38">
        <f>IFERROR(COUNTIF([1]AdventureDiscoveryGroup!$D$8:$AW$92,표1[[#This Row],[명칭]]),"-")</f>
        <v>0</v>
      </c>
      <c r="J289" s="38">
        <f>IFERROR(COUNTIF([1]FishDiscoveryGroup!$A:$X,표1[[#This Row],[명칭]]),"-")</f>
        <v>0</v>
      </c>
      <c r="K289" s="38" t="str">
        <f>IFERROR(COUNTIF([2]Town!$B:$B,표1[[#This Row],[명칭]]),"-")</f>
        <v>-</v>
      </c>
      <c r="L289" s="38">
        <f>IFERROR(COUNTIF([1]Village!$BR:$BR,표1[[#This Row],[명칭]]),"-")</f>
        <v>0</v>
      </c>
      <c r="M289" s="38">
        <f>COUNTIF(퀘스트!B:B,표1[[#This Row],[명칭]])</f>
        <v>0</v>
      </c>
      <c r="N289" s="65">
        <f>COUNTIF([1]VillageDiscoveryGroup!$C:$C,표1[[#This Row],[명칭]])</f>
        <v>1</v>
      </c>
      <c r="O289" s="65">
        <f>SUM(표1[[#This Row],[해양탐색]:[마을탐험]])</f>
        <v>1</v>
      </c>
    </row>
    <row r="290" spans="2:15" ht="13.5" customHeight="1" x14ac:dyDescent="0.3">
      <c r="B290" s="9">
        <f>[1]Discovery!A296</f>
        <v>70402128</v>
      </c>
      <c r="C290" s="9" t="str">
        <f>[1]Discovery!B296</f>
        <v>카마푸아아상</v>
      </c>
      <c r="D290" s="9" t="str">
        <f>[1]Discovery!E296</f>
        <v>유물</v>
      </c>
      <c r="E290" s="9" t="str">
        <f>[1]Discovery!C296</f>
        <v>종교유물</v>
      </c>
      <c r="F290" s="9" t="str">
        <f>[1]Discovery!G296</f>
        <v>A</v>
      </c>
      <c r="G290" s="9" t="str">
        <f>IFERROR(VLOOKUP(표1[[#This Row],[명칭]],'문화권 정리'!C:D,2,FALSE),"-")</f>
        <v>태평양</v>
      </c>
      <c r="H290" s="38" t="str">
        <f>IFERROR(COUNTIF([2]OceanDoodad!$Y:$Y,표1[[#This Row],[명칭]]),"-")</f>
        <v>-</v>
      </c>
      <c r="I290" s="38">
        <f>IFERROR(COUNTIF([1]AdventureDiscoveryGroup!$D$8:$AW$92,표1[[#This Row],[명칭]]),"-")</f>
        <v>1</v>
      </c>
      <c r="J290" s="38">
        <f>IFERROR(COUNTIF([1]FishDiscoveryGroup!$A:$X,표1[[#This Row],[명칭]]),"-")</f>
        <v>0</v>
      </c>
      <c r="K290" s="38" t="str">
        <f>IFERROR(COUNTIF([2]Town!$B:$B,표1[[#This Row],[명칭]]),"-")</f>
        <v>-</v>
      </c>
      <c r="L290" s="38">
        <f>IFERROR(COUNTIF([1]Village!$BR:$BR,표1[[#This Row],[명칭]]),"-")</f>
        <v>0</v>
      </c>
      <c r="M290" s="38">
        <f>COUNTIF(퀘스트!B:B,표1[[#This Row],[명칭]])</f>
        <v>0</v>
      </c>
      <c r="N290" s="65">
        <f>COUNTIF([1]VillageDiscoveryGroup!$C:$C,표1[[#This Row],[명칭]])</f>
        <v>0</v>
      </c>
      <c r="O290" s="65">
        <f>SUM(표1[[#This Row],[해양탐색]:[마을탐험]])</f>
        <v>1</v>
      </c>
    </row>
    <row r="291" spans="2:15" ht="13.5" customHeight="1" x14ac:dyDescent="0.3">
      <c r="B291" s="9">
        <f>[1]Discovery!A297</f>
        <v>70402129</v>
      </c>
      <c r="C291" s="9" t="str">
        <f>[1]Discovery!B297</f>
        <v>카타콤</v>
      </c>
      <c r="D291" s="9" t="str">
        <f>[1]Discovery!E297</f>
        <v>건축</v>
      </c>
      <c r="E291" s="9" t="str">
        <f>[1]Discovery!C297</f>
        <v>종교 건축물</v>
      </c>
      <c r="F291" s="9" t="str">
        <f>[1]Discovery!G297</f>
        <v>D</v>
      </c>
      <c r="G291" s="9" t="str">
        <f>IFERROR(VLOOKUP(표1[[#This Row],[명칭]],'문화권 정리'!C:D,2,FALSE),"-")</f>
        <v>지중해</v>
      </c>
      <c r="H291" s="38" t="str">
        <f>IFERROR(COUNTIF([2]OceanDoodad!$Y:$Y,표1[[#This Row],[명칭]]),"-")</f>
        <v>-</v>
      </c>
      <c r="I291" s="38">
        <f>IFERROR(COUNTIF([1]AdventureDiscoveryGroup!$D$8:$AW$92,표1[[#This Row],[명칭]]),"-")</f>
        <v>0</v>
      </c>
      <c r="J291" s="38">
        <f>IFERROR(COUNTIF([1]FishDiscoveryGroup!$A:$X,표1[[#This Row],[명칭]]),"-")</f>
        <v>0</v>
      </c>
      <c r="K291" s="38" t="str">
        <f>IFERROR(COUNTIF([2]Town!$B:$B,표1[[#This Row],[명칭]]),"-")</f>
        <v>-</v>
      </c>
      <c r="L291" s="38">
        <f>IFERROR(COUNTIF([1]Village!$BR:$BR,표1[[#This Row],[명칭]]),"-")</f>
        <v>0</v>
      </c>
      <c r="M291" s="38">
        <f>COUNTIF(퀘스트!B:B,표1[[#This Row],[명칭]])</f>
        <v>1</v>
      </c>
      <c r="N291" s="65">
        <f>COUNTIF([1]VillageDiscoveryGroup!$C:$C,표1[[#This Row],[명칭]])</f>
        <v>0</v>
      </c>
      <c r="O291" s="65">
        <f>SUM(표1[[#This Row],[해양탐색]:[마을탐험]])</f>
        <v>1</v>
      </c>
    </row>
    <row r="292" spans="2:15" ht="13.5" customHeight="1" x14ac:dyDescent="0.3">
      <c r="B292" s="9">
        <f>[1]Discovery!A298</f>
        <v>70402130</v>
      </c>
      <c r="C292" s="9" t="str">
        <f>[1]Discovery!B298</f>
        <v>카타콤의 석판</v>
      </c>
      <c r="D292" s="9" t="str">
        <f>[1]Discovery!E298</f>
        <v>유물</v>
      </c>
      <c r="E292" s="9" t="str">
        <f>[1]Discovery!C298</f>
        <v>종교유물</v>
      </c>
      <c r="F292" s="9" t="str">
        <f>[1]Discovery!G298</f>
        <v>C</v>
      </c>
      <c r="G292" s="9" t="str">
        <f>IFERROR(VLOOKUP(표1[[#This Row],[명칭]],'문화권 정리'!C:D,2,FALSE),"-")</f>
        <v>지중해</v>
      </c>
      <c r="H292" s="38" t="str">
        <f>IFERROR(COUNTIF([2]OceanDoodad!$Y:$Y,표1[[#This Row],[명칭]]),"-")</f>
        <v>-</v>
      </c>
      <c r="I292" s="38">
        <f>IFERROR(COUNTIF([1]AdventureDiscoveryGroup!$D$8:$AW$92,표1[[#This Row],[명칭]]),"-")</f>
        <v>0</v>
      </c>
      <c r="J292" s="38">
        <f>IFERROR(COUNTIF([1]FishDiscoveryGroup!$A:$X,표1[[#This Row],[명칭]]),"-")</f>
        <v>0</v>
      </c>
      <c r="K292" s="38" t="str">
        <f>IFERROR(COUNTIF([2]Town!$B:$B,표1[[#This Row],[명칭]]),"-")</f>
        <v>-</v>
      </c>
      <c r="L292" s="38">
        <f>IFERROR(COUNTIF([1]Village!$BR:$BR,표1[[#This Row],[명칭]]),"-")</f>
        <v>0</v>
      </c>
      <c r="M292" s="38">
        <f>COUNTIF(퀘스트!B:B,표1[[#This Row],[명칭]])</f>
        <v>1</v>
      </c>
      <c r="N292" s="65">
        <f>COUNTIF([1]VillageDiscoveryGroup!$C:$C,표1[[#This Row],[명칭]])</f>
        <v>0</v>
      </c>
      <c r="O292" s="65">
        <f>SUM(표1[[#This Row],[해양탐색]:[마을탐험]])</f>
        <v>1</v>
      </c>
    </row>
    <row r="293" spans="2:15" ht="13.5" customHeight="1" x14ac:dyDescent="0.3">
      <c r="B293" s="9">
        <f>[1]Discovery!A299</f>
        <v>70402131</v>
      </c>
      <c r="C293" s="9" t="str">
        <f>[1]Discovery!B299</f>
        <v>카파도키아 벽화</v>
      </c>
      <c r="D293" s="9" t="str">
        <f>[1]Discovery!E299</f>
        <v>유물</v>
      </c>
      <c r="E293" s="9" t="str">
        <f>[1]Discovery!C299</f>
        <v>종교유물</v>
      </c>
      <c r="F293" s="9" t="str">
        <f>[1]Discovery!G299</f>
        <v>A</v>
      </c>
      <c r="G293" s="9" t="str">
        <f>IFERROR(VLOOKUP(표1[[#This Row],[명칭]],'문화권 정리'!C:D,2,FALSE),"-")</f>
        <v>지중해</v>
      </c>
      <c r="H293" s="38" t="str">
        <f>IFERROR(COUNTIF([2]OceanDoodad!$Y:$Y,표1[[#This Row],[명칭]]),"-")</f>
        <v>-</v>
      </c>
      <c r="I293" s="38">
        <f>IFERROR(COUNTIF([1]AdventureDiscoveryGroup!$D$8:$AW$92,표1[[#This Row],[명칭]]),"-")</f>
        <v>0</v>
      </c>
      <c r="J293" s="38">
        <f>IFERROR(COUNTIF([1]FishDiscoveryGroup!$A:$X,표1[[#This Row],[명칭]]),"-")</f>
        <v>0</v>
      </c>
      <c r="K293" s="38" t="str">
        <f>IFERROR(COUNTIF([2]Town!$B:$B,표1[[#This Row],[명칭]]),"-")</f>
        <v>-</v>
      </c>
      <c r="L293" s="38">
        <f>IFERROR(COUNTIF([1]Village!$BR:$BR,표1[[#This Row],[명칭]]),"-")</f>
        <v>0</v>
      </c>
      <c r="M293" s="38">
        <f>COUNTIF(퀘스트!B:B,표1[[#This Row],[명칭]])</f>
        <v>0</v>
      </c>
      <c r="N293" s="65">
        <f>COUNTIF([1]VillageDiscoveryGroup!$C:$C,표1[[#This Row],[명칭]])</f>
        <v>0</v>
      </c>
      <c r="O293" s="65">
        <f>SUM(표1[[#This Row],[해양탐색]:[마을탐험]])</f>
        <v>0</v>
      </c>
    </row>
    <row r="294" spans="2:15" ht="13.5" customHeight="1" x14ac:dyDescent="0.3">
      <c r="B294" s="9">
        <f>[1]Discovery!A300</f>
        <v>70402132</v>
      </c>
      <c r="C294" s="9" t="str">
        <f>[1]Discovery!B300</f>
        <v>타팍 야우리</v>
      </c>
      <c r="D294" s="9" t="str">
        <f>[1]Discovery!E300</f>
        <v>유물</v>
      </c>
      <c r="E294" s="9" t="str">
        <f>[1]Discovery!C300</f>
        <v>종교유물</v>
      </c>
      <c r="F294" s="9" t="str">
        <f>[1]Discovery!G300</f>
        <v>S</v>
      </c>
      <c r="G294" s="9" t="str">
        <f>IFERROR(VLOOKUP(표1[[#This Row],[명칭]],'문화권 정리'!C:D,2,FALSE),"-")</f>
        <v>남아메리카</v>
      </c>
      <c r="H294" s="38" t="str">
        <f>IFERROR(COUNTIF([2]OceanDoodad!$Y:$Y,표1[[#This Row],[명칭]]),"-")</f>
        <v>-</v>
      </c>
      <c r="I294" s="38">
        <f>IFERROR(COUNTIF([1]AdventureDiscoveryGroup!$D$8:$AW$92,표1[[#This Row],[명칭]]),"-")</f>
        <v>0</v>
      </c>
      <c r="J294" s="38">
        <f>IFERROR(COUNTIF([1]FishDiscoveryGroup!$A:$X,표1[[#This Row],[명칭]]),"-")</f>
        <v>0</v>
      </c>
      <c r="K294" s="38" t="str">
        <f>IFERROR(COUNTIF([2]Town!$B:$B,표1[[#This Row],[명칭]]),"-")</f>
        <v>-</v>
      </c>
      <c r="L294" s="38">
        <f>IFERROR(COUNTIF([1]Village!$BR:$BR,표1[[#This Row],[명칭]]),"-")</f>
        <v>0</v>
      </c>
      <c r="M294" s="38">
        <f>COUNTIF(퀘스트!B:B,표1[[#This Row],[명칭]])</f>
        <v>0</v>
      </c>
      <c r="N294" s="65">
        <f>COUNTIF([1]VillageDiscoveryGroup!$C:$C,표1[[#This Row],[명칭]])</f>
        <v>0</v>
      </c>
      <c r="O294" s="65">
        <f>SUM(표1[[#This Row],[해양탐색]:[마을탐험]])</f>
        <v>0</v>
      </c>
    </row>
    <row r="295" spans="2:15" ht="13.5" customHeight="1" x14ac:dyDescent="0.3">
      <c r="B295" s="9">
        <f>[1]Discovery!A301</f>
        <v>70402134</v>
      </c>
      <c r="C295" s="9" t="str">
        <f>[1]Discovery!B301</f>
        <v>칼리상</v>
      </c>
      <c r="D295" s="9" t="str">
        <f>[1]Discovery!E301</f>
        <v>유물</v>
      </c>
      <c r="E295" s="9" t="str">
        <f>[1]Discovery!C301</f>
        <v>종교유물</v>
      </c>
      <c r="F295" s="9" t="str">
        <f>[1]Discovery!G301</f>
        <v>B</v>
      </c>
      <c r="G295" s="9" t="str">
        <f>IFERROR(VLOOKUP(표1[[#This Row],[명칭]],'문화권 정리'!C:D,2,FALSE),"-")</f>
        <v>남아시아</v>
      </c>
      <c r="H295" s="38" t="str">
        <f>IFERROR(COUNTIF([2]OceanDoodad!$Y:$Y,표1[[#This Row],[명칭]]),"-")</f>
        <v>-</v>
      </c>
      <c r="I295" s="38">
        <f>IFERROR(COUNTIF([1]AdventureDiscoveryGroup!$D$8:$AW$92,표1[[#This Row],[명칭]]),"-")</f>
        <v>0</v>
      </c>
      <c r="J295" s="38">
        <f>IFERROR(COUNTIF([1]FishDiscoveryGroup!$A:$X,표1[[#This Row],[명칭]]),"-")</f>
        <v>0</v>
      </c>
      <c r="K295" s="38" t="str">
        <f>IFERROR(COUNTIF([2]Town!$B:$B,표1[[#This Row],[명칭]]),"-")</f>
        <v>-</v>
      </c>
      <c r="L295" s="38">
        <f>IFERROR(COUNTIF([1]Village!$BR:$BR,표1[[#This Row],[명칭]]),"-")</f>
        <v>0</v>
      </c>
      <c r="M295" s="38">
        <f>COUNTIF(퀘스트!B:B,표1[[#This Row],[명칭]])</f>
        <v>0</v>
      </c>
      <c r="N295" s="65">
        <f>COUNTIF([1]VillageDiscoveryGroup!$C:$C,표1[[#This Row],[명칭]])</f>
        <v>0</v>
      </c>
      <c r="O295" s="65">
        <f>SUM(표1[[#This Row],[해양탐색]:[마을탐험]])</f>
        <v>0</v>
      </c>
    </row>
    <row r="296" spans="2:15" ht="13.5" customHeight="1" x14ac:dyDescent="0.3">
      <c r="B296" s="9">
        <f>[1]Discovery!A302</f>
        <v>70402135</v>
      </c>
      <c r="C296" s="9" t="str">
        <f>[1]Discovery!B302</f>
        <v>칼리의 부조</v>
      </c>
      <c r="D296" s="9" t="str">
        <f>[1]Discovery!E302</f>
        <v>유물</v>
      </c>
      <c r="E296" s="9" t="str">
        <f>[1]Discovery!C302</f>
        <v>종교유물</v>
      </c>
      <c r="F296" s="9" t="str">
        <f>[1]Discovery!G302</f>
        <v>C</v>
      </c>
      <c r="G296" s="9" t="str">
        <f>IFERROR(VLOOKUP(표1[[#This Row],[명칭]],'문화권 정리'!C:D,2,FALSE),"-")</f>
        <v>남아시아</v>
      </c>
      <c r="H296" s="38" t="str">
        <f>IFERROR(COUNTIF([2]OceanDoodad!$Y:$Y,표1[[#This Row],[명칭]]),"-")</f>
        <v>-</v>
      </c>
      <c r="I296" s="38">
        <f>IFERROR(COUNTIF([1]AdventureDiscoveryGroup!$D$8:$AW$92,표1[[#This Row],[명칭]]),"-")</f>
        <v>1</v>
      </c>
      <c r="J296" s="38">
        <f>IFERROR(COUNTIF([1]FishDiscoveryGroup!$A:$X,표1[[#This Row],[명칭]]),"-")</f>
        <v>0</v>
      </c>
      <c r="K296" s="38" t="str">
        <f>IFERROR(COUNTIF([2]Town!$B:$B,표1[[#This Row],[명칭]]),"-")</f>
        <v>-</v>
      </c>
      <c r="L296" s="38">
        <f>IFERROR(COUNTIF([1]Village!$BR:$BR,표1[[#This Row],[명칭]]),"-")</f>
        <v>0</v>
      </c>
      <c r="M296" s="38">
        <f>COUNTIF(퀘스트!B:B,표1[[#This Row],[명칭]])</f>
        <v>0</v>
      </c>
      <c r="N296" s="65">
        <f>COUNTIF([1]VillageDiscoveryGroup!$C:$C,표1[[#This Row],[명칭]])</f>
        <v>0</v>
      </c>
      <c r="O296" s="65">
        <f>SUM(표1[[#This Row],[해양탐색]:[마을탐험]])</f>
        <v>1</v>
      </c>
    </row>
    <row r="297" spans="2:15" ht="13.5" customHeight="1" x14ac:dyDescent="0.3">
      <c r="B297" s="9">
        <f>[1]Discovery!A303</f>
        <v>70402136</v>
      </c>
      <c r="C297" s="9" t="str">
        <f>[1]Discovery!B303</f>
        <v>케찰코아틀 조각상</v>
      </c>
      <c r="D297" s="9" t="str">
        <f>[1]Discovery!E303</f>
        <v>유물</v>
      </c>
      <c r="E297" s="9" t="str">
        <f>[1]Discovery!C303</f>
        <v>종교유물</v>
      </c>
      <c r="F297" s="9" t="str">
        <f>[1]Discovery!G303</f>
        <v>A</v>
      </c>
      <c r="G297" s="9" t="str">
        <f>IFERROR(VLOOKUP(표1[[#This Row],[명칭]],'문화권 정리'!C:D,2,FALSE),"-")</f>
        <v>중앙아메리카</v>
      </c>
      <c r="H297" s="38" t="str">
        <f>IFERROR(COUNTIF([2]OceanDoodad!$Y:$Y,표1[[#This Row],[명칭]]),"-")</f>
        <v>-</v>
      </c>
      <c r="I297" s="38">
        <f>IFERROR(COUNTIF([1]AdventureDiscoveryGroup!$D$8:$AW$92,표1[[#This Row],[명칭]]),"-")</f>
        <v>0</v>
      </c>
      <c r="J297" s="38">
        <f>IFERROR(COUNTIF([1]FishDiscoveryGroup!$A:$X,표1[[#This Row],[명칭]]),"-")</f>
        <v>0</v>
      </c>
      <c r="K297" s="38" t="str">
        <f>IFERROR(COUNTIF([2]Town!$B:$B,표1[[#This Row],[명칭]]),"-")</f>
        <v>-</v>
      </c>
      <c r="L297" s="38">
        <f>IFERROR(COUNTIF([1]Village!$BR:$BR,표1[[#This Row],[명칭]]),"-")</f>
        <v>0</v>
      </c>
      <c r="M297" s="38">
        <f>COUNTIF(퀘스트!B:B,표1[[#This Row],[명칭]])</f>
        <v>0</v>
      </c>
      <c r="N297" s="65">
        <f>COUNTIF([1]VillageDiscoveryGroup!$C:$C,표1[[#This Row],[명칭]])</f>
        <v>0</v>
      </c>
      <c r="O297" s="65">
        <f>SUM(표1[[#This Row],[해양탐색]:[마을탐험]])</f>
        <v>0</v>
      </c>
    </row>
    <row r="298" spans="2:15" ht="13.5" customHeight="1" x14ac:dyDescent="0.3">
      <c r="B298" s="9">
        <f>[1]Discovery!A304</f>
        <v>70402137</v>
      </c>
      <c r="C298" s="9" t="str">
        <f>[1]Discovery!B304</f>
        <v>코코펠리의 벽화</v>
      </c>
      <c r="D298" s="9" t="str">
        <f>[1]Discovery!E304</f>
        <v>유물</v>
      </c>
      <c r="E298" s="9" t="str">
        <f>[1]Discovery!C304</f>
        <v>종교유물</v>
      </c>
      <c r="F298" s="9" t="str">
        <f>[1]Discovery!G304</f>
        <v>B</v>
      </c>
      <c r="G298" s="9" t="str">
        <f>IFERROR(VLOOKUP(표1[[#This Row],[명칭]],'문화권 정리'!C:D,2,FALSE),"-")</f>
        <v>북아메리카</v>
      </c>
      <c r="H298" s="38" t="str">
        <f>IFERROR(COUNTIF([2]OceanDoodad!$Y:$Y,표1[[#This Row],[명칭]]),"-")</f>
        <v>-</v>
      </c>
      <c r="I298" s="38">
        <f>IFERROR(COUNTIF([1]AdventureDiscoveryGroup!$D$8:$AW$92,표1[[#This Row],[명칭]]),"-")</f>
        <v>1</v>
      </c>
      <c r="J298" s="38">
        <f>IFERROR(COUNTIF([1]FishDiscoveryGroup!$A:$X,표1[[#This Row],[명칭]]),"-")</f>
        <v>0</v>
      </c>
      <c r="K298" s="38" t="str">
        <f>IFERROR(COUNTIF([2]Town!$B:$B,표1[[#This Row],[명칭]]),"-")</f>
        <v>-</v>
      </c>
      <c r="L298" s="38">
        <f>IFERROR(COUNTIF([1]Village!$BR:$BR,표1[[#This Row],[명칭]]),"-")</f>
        <v>0</v>
      </c>
      <c r="M298" s="38">
        <f>COUNTIF(퀘스트!B:B,표1[[#This Row],[명칭]])</f>
        <v>0</v>
      </c>
      <c r="N298" s="65">
        <f>COUNTIF([1]VillageDiscoveryGroup!$C:$C,표1[[#This Row],[명칭]])</f>
        <v>0</v>
      </c>
      <c r="O298" s="65">
        <f>SUM(표1[[#This Row],[해양탐색]:[마을탐험]])</f>
        <v>1</v>
      </c>
    </row>
    <row r="299" spans="2:15" ht="13.5" customHeight="1" x14ac:dyDescent="0.3">
      <c r="B299" s="9">
        <f>[1]Discovery!A305</f>
        <v>70402138</v>
      </c>
      <c r="C299" s="9" t="str">
        <f>[1]Discovery!B305</f>
        <v>크눔상</v>
      </c>
      <c r="D299" s="9" t="str">
        <f>[1]Discovery!E305</f>
        <v>유물</v>
      </c>
      <c r="E299" s="9" t="str">
        <f>[1]Discovery!C305</f>
        <v>종교유물</v>
      </c>
      <c r="F299" s="9" t="str">
        <f>[1]Discovery!G305</f>
        <v>A</v>
      </c>
      <c r="G299" s="9" t="str">
        <f>IFERROR(VLOOKUP(표1[[#This Row],[명칭]],'문화권 정리'!C:D,2,FALSE),"-")</f>
        <v>북아프리카</v>
      </c>
      <c r="H299" s="38" t="str">
        <f>IFERROR(COUNTIF([2]OceanDoodad!$Y:$Y,표1[[#This Row],[명칭]]),"-")</f>
        <v>-</v>
      </c>
      <c r="I299" s="38">
        <f>IFERROR(COUNTIF([1]AdventureDiscoveryGroup!$D$8:$AW$92,표1[[#This Row],[명칭]]),"-")</f>
        <v>1</v>
      </c>
      <c r="J299" s="38">
        <f>IFERROR(COUNTIF([1]FishDiscoveryGroup!$A:$X,표1[[#This Row],[명칭]]),"-")</f>
        <v>0</v>
      </c>
      <c r="K299" s="38" t="str">
        <f>IFERROR(COUNTIF([2]Town!$B:$B,표1[[#This Row],[명칭]]),"-")</f>
        <v>-</v>
      </c>
      <c r="L299" s="38">
        <f>IFERROR(COUNTIF([1]Village!$BR:$BR,표1[[#This Row],[명칭]]),"-")</f>
        <v>0</v>
      </c>
      <c r="M299" s="38">
        <f>COUNTIF(퀘스트!B:B,표1[[#This Row],[명칭]])</f>
        <v>0</v>
      </c>
      <c r="N299" s="65">
        <f>COUNTIF([1]VillageDiscoveryGroup!$C:$C,표1[[#This Row],[명칭]])</f>
        <v>0</v>
      </c>
      <c r="O299" s="65">
        <f>SUM(표1[[#This Row],[해양탐색]:[마을탐험]])</f>
        <v>1</v>
      </c>
    </row>
    <row r="300" spans="2:15" ht="13.5" customHeight="1" x14ac:dyDescent="0.3">
      <c r="B300" s="9">
        <f>[1]Discovery!A306</f>
        <v>70402139</v>
      </c>
      <c r="C300" s="9" t="str">
        <f>[1]Discovery!B306</f>
        <v>크리슈나상</v>
      </c>
      <c r="D300" s="9" t="str">
        <f>[1]Discovery!E306</f>
        <v>유물</v>
      </c>
      <c r="E300" s="9" t="str">
        <f>[1]Discovery!C306</f>
        <v>종교유물</v>
      </c>
      <c r="F300" s="9" t="str">
        <f>[1]Discovery!G306</f>
        <v>C</v>
      </c>
      <c r="G300" s="9" t="str">
        <f>IFERROR(VLOOKUP(표1[[#This Row],[명칭]],'문화권 정리'!C:D,2,FALSE),"-")</f>
        <v>동남아시아</v>
      </c>
      <c r="H300" s="38" t="str">
        <f>IFERROR(COUNTIF([2]OceanDoodad!$Y:$Y,표1[[#This Row],[명칭]]),"-")</f>
        <v>-</v>
      </c>
      <c r="I300" s="38">
        <f>IFERROR(COUNTIF([1]AdventureDiscoveryGroup!$D$8:$AW$92,표1[[#This Row],[명칭]]),"-")</f>
        <v>1</v>
      </c>
      <c r="J300" s="38">
        <f>IFERROR(COUNTIF([1]FishDiscoveryGroup!$A:$X,표1[[#This Row],[명칭]]),"-")</f>
        <v>0</v>
      </c>
      <c r="K300" s="38" t="str">
        <f>IFERROR(COUNTIF([2]Town!$B:$B,표1[[#This Row],[명칭]]),"-")</f>
        <v>-</v>
      </c>
      <c r="L300" s="38">
        <f>IFERROR(COUNTIF([1]Village!$BR:$BR,표1[[#This Row],[명칭]]),"-")</f>
        <v>0</v>
      </c>
      <c r="M300" s="38">
        <f>COUNTIF(퀘스트!B:B,표1[[#This Row],[명칭]])</f>
        <v>0</v>
      </c>
      <c r="N300" s="65">
        <f>COUNTIF([1]VillageDiscoveryGroup!$C:$C,표1[[#This Row],[명칭]])</f>
        <v>0</v>
      </c>
      <c r="O300" s="65">
        <f>SUM(표1[[#This Row],[해양탐색]:[마을탐험]])</f>
        <v>1</v>
      </c>
    </row>
    <row r="301" spans="2:15" ht="13.5" customHeight="1" x14ac:dyDescent="0.3">
      <c r="B301" s="9">
        <f>[1]Discovery!A307</f>
        <v>70402140</v>
      </c>
      <c r="C301" s="9" t="str">
        <f>[1]Discovery!B307</f>
        <v>태극도설</v>
      </c>
      <c r="D301" s="9" t="str">
        <f>[1]Discovery!E307</f>
        <v>유물</v>
      </c>
      <c r="E301" s="9" t="str">
        <f>[1]Discovery!C307</f>
        <v>종교유물</v>
      </c>
      <c r="F301" s="9" t="str">
        <f>[1]Discovery!G307</f>
        <v>B</v>
      </c>
      <c r="G301" s="9" t="str">
        <f>IFERROR(VLOOKUP(표1[[#This Row],[명칭]],'문화권 정리'!C:D,2,FALSE),"-")</f>
        <v>동아시아</v>
      </c>
      <c r="H301" s="38" t="str">
        <f>IFERROR(COUNTIF([2]OceanDoodad!$Y:$Y,표1[[#This Row],[명칭]]),"-")</f>
        <v>-</v>
      </c>
      <c r="I301" s="38">
        <f>IFERROR(COUNTIF([1]AdventureDiscoveryGroup!$D$8:$AW$92,표1[[#This Row],[명칭]]),"-")</f>
        <v>0</v>
      </c>
      <c r="J301" s="38">
        <f>IFERROR(COUNTIF([1]FishDiscoveryGroup!$A:$X,표1[[#This Row],[명칭]]),"-")</f>
        <v>0</v>
      </c>
      <c r="K301" s="38" t="str">
        <f>IFERROR(COUNTIF([2]Town!$B:$B,표1[[#This Row],[명칭]]),"-")</f>
        <v>-</v>
      </c>
      <c r="L301" s="38">
        <f>IFERROR(COUNTIF([1]Village!$BR:$BR,표1[[#This Row],[명칭]]),"-")</f>
        <v>0</v>
      </c>
      <c r="M301" s="38">
        <f>COUNTIF(퀘스트!B:B,표1[[#This Row],[명칭]])</f>
        <v>0</v>
      </c>
      <c r="N301" s="65">
        <f>COUNTIF([1]VillageDiscoveryGroup!$C:$C,표1[[#This Row],[명칭]])</f>
        <v>0</v>
      </c>
      <c r="O301" s="65">
        <f>SUM(표1[[#This Row],[해양탐색]:[마을탐험]])</f>
        <v>0</v>
      </c>
    </row>
    <row r="302" spans="2:15" ht="13.5" customHeight="1" x14ac:dyDescent="0.3">
      <c r="B302" s="9">
        <f>[1]Discovery!A308</f>
        <v>70402141</v>
      </c>
      <c r="C302" s="9" t="str">
        <f>[1]Discovery!B308</f>
        <v>태양의 배</v>
      </c>
      <c r="D302" s="9" t="str">
        <f>[1]Discovery!E308</f>
        <v>유물</v>
      </c>
      <c r="E302" s="9" t="str">
        <f>[1]Discovery!C308</f>
        <v>종교유물</v>
      </c>
      <c r="F302" s="9" t="str">
        <f>[1]Discovery!G308</f>
        <v>S</v>
      </c>
      <c r="G302" s="9" t="str">
        <f>IFERROR(VLOOKUP(표1[[#This Row],[명칭]],'문화권 정리'!C:D,2,FALSE),"-")</f>
        <v>북아프리카</v>
      </c>
      <c r="H302" s="38" t="str">
        <f>IFERROR(COUNTIF([2]OceanDoodad!$Y:$Y,표1[[#This Row],[명칭]]),"-")</f>
        <v>-</v>
      </c>
      <c r="I302" s="38">
        <f>IFERROR(COUNTIF([1]AdventureDiscoveryGroup!$D$8:$AW$92,표1[[#This Row],[명칭]]),"-")</f>
        <v>0</v>
      </c>
      <c r="J302" s="38">
        <f>IFERROR(COUNTIF([1]FishDiscoveryGroup!$A:$X,표1[[#This Row],[명칭]]),"-")</f>
        <v>0</v>
      </c>
      <c r="K302" s="38" t="str">
        <f>IFERROR(COUNTIF([2]Town!$B:$B,표1[[#This Row],[명칭]]),"-")</f>
        <v>-</v>
      </c>
      <c r="L302" s="38">
        <f>IFERROR(COUNTIF([1]Village!$BR:$BR,표1[[#This Row],[명칭]]),"-")</f>
        <v>0</v>
      </c>
      <c r="M302" s="38">
        <f>COUNTIF(퀘스트!B:B,표1[[#This Row],[명칭]])</f>
        <v>0</v>
      </c>
      <c r="N302" s="65">
        <f>COUNTIF([1]VillageDiscoveryGroup!$C:$C,표1[[#This Row],[명칭]])</f>
        <v>0</v>
      </c>
      <c r="O302" s="65">
        <f>SUM(표1[[#This Row],[해양탐색]:[마을탐험]])</f>
        <v>0</v>
      </c>
    </row>
    <row r="303" spans="2:15" ht="13.5" customHeight="1" x14ac:dyDescent="0.3">
      <c r="B303" s="9">
        <f>[1]Discovery!A309</f>
        <v>70402142</v>
      </c>
      <c r="C303" s="9" t="str">
        <f>[1]Discovery!B309</f>
        <v>태평청령서</v>
      </c>
      <c r="D303" s="9" t="str">
        <f>[1]Discovery!E309</f>
        <v>유물</v>
      </c>
      <c r="E303" s="9" t="str">
        <f>[1]Discovery!C309</f>
        <v>종교유물</v>
      </c>
      <c r="F303" s="9" t="str">
        <f>[1]Discovery!G309</f>
        <v>A</v>
      </c>
      <c r="G303" s="9" t="str">
        <f>IFERROR(VLOOKUP(표1[[#This Row],[명칭]],'문화권 정리'!C:D,2,FALSE),"-")</f>
        <v>동아시아</v>
      </c>
      <c r="H303" s="38" t="str">
        <f>IFERROR(COUNTIF([2]OceanDoodad!$Y:$Y,표1[[#This Row],[명칭]]),"-")</f>
        <v>-</v>
      </c>
      <c r="I303" s="38">
        <f>IFERROR(COUNTIF([1]AdventureDiscoveryGroup!$D$8:$AW$92,표1[[#This Row],[명칭]]),"-")</f>
        <v>0</v>
      </c>
      <c r="J303" s="38">
        <f>IFERROR(COUNTIF([1]FishDiscoveryGroup!$A:$X,표1[[#This Row],[명칭]]),"-")</f>
        <v>0</v>
      </c>
      <c r="K303" s="38" t="str">
        <f>IFERROR(COUNTIF([2]Town!$B:$B,표1[[#This Row],[명칭]]),"-")</f>
        <v>-</v>
      </c>
      <c r="L303" s="38">
        <f>IFERROR(COUNTIF([1]Village!$BR:$BR,표1[[#This Row],[명칭]]),"-")</f>
        <v>0</v>
      </c>
      <c r="M303" s="38">
        <f>COUNTIF(퀘스트!B:B,표1[[#This Row],[명칭]])</f>
        <v>1</v>
      </c>
      <c r="N303" s="65">
        <f>COUNTIF([1]VillageDiscoveryGroup!$C:$C,표1[[#This Row],[명칭]])</f>
        <v>0</v>
      </c>
      <c r="O303" s="65">
        <f>SUM(표1[[#This Row],[해양탐색]:[마을탐험]])</f>
        <v>1</v>
      </c>
    </row>
    <row r="304" spans="2:15" ht="13.5" customHeight="1" x14ac:dyDescent="0.3">
      <c r="B304" s="9">
        <f>[1]Discovery!A310</f>
        <v>70402143</v>
      </c>
      <c r="C304" s="9" t="str">
        <f>[1]Discovery!B310</f>
        <v>테스카틀리포카상</v>
      </c>
      <c r="D304" s="9" t="str">
        <f>[1]Discovery!E310</f>
        <v>유물</v>
      </c>
      <c r="E304" s="9" t="str">
        <f>[1]Discovery!C310</f>
        <v>종교유물</v>
      </c>
      <c r="F304" s="9" t="str">
        <f>[1]Discovery!G310</f>
        <v>B</v>
      </c>
      <c r="G304" s="9" t="str">
        <f>IFERROR(VLOOKUP(표1[[#This Row],[명칭]],'문화권 정리'!C:D,2,FALSE),"-")</f>
        <v>중앙아메리카</v>
      </c>
      <c r="H304" s="38" t="str">
        <f>IFERROR(COUNTIF([2]OceanDoodad!$Y:$Y,표1[[#This Row],[명칭]]),"-")</f>
        <v>-</v>
      </c>
      <c r="I304" s="38">
        <f>IFERROR(COUNTIF([1]AdventureDiscoveryGroup!$D$8:$AW$92,표1[[#This Row],[명칭]]),"-")</f>
        <v>1</v>
      </c>
      <c r="J304" s="38">
        <f>IFERROR(COUNTIF([1]FishDiscoveryGroup!$A:$X,표1[[#This Row],[명칭]]),"-")</f>
        <v>0</v>
      </c>
      <c r="K304" s="38" t="str">
        <f>IFERROR(COUNTIF([2]Town!$B:$B,표1[[#This Row],[명칭]]),"-")</f>
        <v>-</v>
      </c>
      <c r="L304" s="38">
        <f>IFERROR(COUNTIF([1]Village!$BR:$BR,표1[[#This Row],[명칭]]),"-")</f>
        <v>0</v>
      </c>
      <c r="M304" s="38">
        <f>COUNTIF(퀘스트!B:B,표1[[#This Row],[명칭]])</f>
        <v>0</v>
      </c>
      <c r="N304" s="65">
        <f>COUNTIF([1]VillageDiscoveryGroup!$C:$C,표1[[#This Row],[명칭]])</f>
        <v>0</v>
      </c>
      <c r="O304" s="65">
        <f>SUM(표1[[#This Row],[해양탐색]:[마을탐험]])</f>
        <v>1</v>
      </c>
    </row>
    <row r="305" spans="2:15" ht="13.5" customHeight="1" x14ac:dyDescent="0.3">
      <c r="B305" s="9">
        <f>[1]Discovery!A311</f>
        <v>70402144</v>
      </c>
      <c r="C305" s="9" t="str">
        <f>[1]Discovery!B311</f>
        <v>템플기사단장의 갑옷</v>
      </c>
      <c r="D305" s="9" t="str">
        <f>[1]Discovery!E311</f>
        <v>유물</v>
      </c>
      <c r="E305" s="9" t="str">
        <f>[1]Discovery!C311</f>
        <v>종교유물</v>
      </c>
      <c r="F305" s="9" t="str">
        <f>[1]Discovery!G311</f>
        <v>A</v>
      </c>
      <c r="G305" s="9" t="str">
        <f>IFERROR(VLOOKUP(표1[[#This Row],[명칭]],'문화권 정리'!C:D,2,FALSE),"-")</f>
        <v>지중해</v>
      </c>
      <c r="H305" s="38" t="str">
        <f>IFERROR(COUNTIF([2]OceanDoodad!$Y:$Y,표1[[#This Row],[명칭]]),"-")</f>
        <v>-</v>
      </c>
      <c r="I305" s="38">
        <f>IFERROR(COUNTIF([1]AdventureDiscoveryGroup!$D$8:$AW$92,표1[[#This Row],[명칭]]),"-")</f>
        <v>0</v>
      </c>
      <c r="J305" s="38">
        <f>IFERROR(COUNTIF([1]FishDiscoveryGroup!$A:$X,표1[[#This Row],[명칭]]),"-")</f>
        <v>0</v>
      </c>
      <c r="K305" s="38" t="str">
        <f>IFERROR(COUNTIF([2]Town!$B:$B,표1[[#This Row],[명칭]]),"-")</f>
        <v>-</v>
      </c>
      <c r="L305" s="38">
        <f>IFERROR(COUNTIF([1]Village!$BR:$BR,표1[[#This Row],[명칭]]),"-")</f>
        <v>0</v>
      </c>
      <c r="M305" s="38">
        <f>COUNTIF(퀘스트!B:B,표1[[#This Row],[명칭]])</f>
        <v>1</v>
      </c>
      <c r="N305" s="65">
        <f>COUNTIF([1]VillageDiscoveryGroup!$C:$C,표1[[#This Row],[명칭]])</f>
        <v>0</v>
      </c>
      <c r="O305" s="65">
        <f>SUM(표1[[#This Row],[해양탐색]:[마을탐험]])</f>
        <v>1</v>
      </c>
    </row>
    <row r="306" spans="2:15" ht="13.5" customHeight="1" x14ac:dyDescent="0.3">
      <c r="B306" s="9">
        <f>[1]Discovery!A312</f>
        <v>70402145</v>
      </c>
      <c r="C306" s="9" t="str">
        <f>[1]Discovery!B312</f>
        <v>통곡의 벽</v>
      </c>
      <c r="D306" s="9" t="str">
        <f>[1]Discovery!E312</f>
        <v>유물</v>
      </c>
      <c r="E306" s="9" t="str">
        <f>[1]Discovery!C312</f>
        <v>종교유물</v>
      </c>
      <c r="F306" s="9" t="str">
        <f>[1]Discovery!G312</f>
        <v>S</v>
      </c>
      <c r="G306" s="9" t="str">
        <f>IFERROR(VLOOKUP(표1[[#This Row],[명칭]],'문화권 정리'!C:D,2,FALSE),"-")</f>
        <v>서남아시아</v>
      </c>
      <c r="H306" s="38" t="str">
        <f>IFERROR(COUNTIF([2]OceanDoodad!$Y:$Y,표1[[#This Row],[명칭]]),"-")</f>
        <v>-</v>
      </c>
      <c r="I306" s="38">
        <f>IFERROR(COUNTIF([1]AdventureDiscoveryGroup!$D$8:$AW$92,표1[[#This Row],[명칭]]),"-")</f>
        <v>0</v>
      </c>
      <c r="J306" s="38">
        <f>IFERROR(COUNTIF([1]FishDiscoveryGroup!$A:$X,표1[[#This Row],[명칭]]),"-")</f>
        <v>0</v>
      </c>
      <c r="K306" s="38" t="str">
        <f>IFERROR(COUNTIF([2]Town!$B:$B,표1[[#This Row],[명칭]]),"-")</f>
        <v>-</v>
      </c>
      <c r="L306" s="38">
        <f>IFERROR(COUNTIF([1]Village!$BR:$BR,표1[[#This Row],[명칭]]),"-")</f>
        <v>0</v>
      </c>
      <c r="M306" s="38">
        <f>COUNTIF(퀘스트!B:B,표1[[#This Row],[명칭]])</f>
        <v>1</v>
      </c>
      <c r="N306" s="65">
        <f>COUNTIF([1]VillageDiscoveryGroup!$C:$C,표1[[#This Row],[명칭]])</f>
        <v>0</v>
      </c>
      <c r="O306" s="65">
        <f>SUM(표1[[#This Row],[해양탐색]:[마을탐험]])</f>
        <v>1</v>
      </c>
    </row>
    <row r="307" spans="2:15" ht="13.5" customHeight="1" x14ac:dyDescent="0.3">
      <c r="B307" s="9">
        <f>[1]Discovery!A313</f>
        <v>70402146</v>
      </c>
      <c r="C307" s="9" t="str">
        <f>[1]Discovery!B313</f>
        <v>트랄로크상</v>
      </c>
      <c r="D307" s="9" t="str">
        <f>[1]Discovery!E313</f>
        <v>유물</v>
      </c>
      <c r="E307" s="9" t="str">
        <f>[1]Discovery!C313</f>
        <v>종교유물</v>
      </c>
      <c r="F307" s="9" t="str">
        <f>[1]Discovery!G313</f>
        <v>B</v>
      </c>
      <c r="G307" s="9" t="str">
        <f>IFERROR(VLOOKUP(표1[[#This Row],[명칭]],'문화권 정리'!C:D,2,FALSE),"-")</f>
        <v>북아메리카</v>
      </c>
      <c r="H307" s="38" t="str">
        <f>IFERROR(COUNTIF([2]OceanDoodad!$Y:$Y,표1[[#This Row],[명칭]]),"-")</f>
        <v>-</v>
      </c>
      <c r="I307" s="38">
        <f>IFERROR(COUNTIF([1]AdventureDiscoveryGroup!$D$8:$AW$92,표1[[#This Row],[명칭]]),"-")</f>
        <v>0</v>
      </c>
      <c r="J307" s="38">
        <f>IFERROR(COUNTIF([1]FishDiscoveryGroup!$A:$X,표1[[#This Row],[명칭]]),"-")</f>
        <v>0</v>
      </c>
      <c r="K307" s="38" t="str">
        <f>IFERROR(COUNTIF([2]Town!$B:$B,표1[[#This Row],[명칭]]),"-")</f>
        <v>-</v>
      </c>
      <c r="L307" s="38">
        <f>IFERROR(COUNTIF([1]Village!$BR:$BR,표1[[#This Row],[명칭]]),"-")</f>
        <v>0</v>
      </c>
      <c r="M307" s="38">
        <f>COUNTIF(퀘스트!B:B,표1[[#This Row],[명칭]])</f>
        <v>0</v>
      </c>
      <c r="N307" s="65">
        <f>COUNTIF([1]VillageDiscoveryGroup!$C:$C,표1[[#This Row],[명칭]])</f>
        <v>0</v>
      </c>
      <c r="O307" s="65">
        <f>SUM(표1[[#This Row],[해양탐색]:[마을탐험]])</f>
        <v>0</v>
      </c>
    </row>
    <row r="308" spans="2:15" ht="13.5" customHeight="1" x14ac:dyDescent="0.3">
      <c r="B308" s="9">
        <f>[1]Discovery!A314</f>
        <v>70402147</v>
      </c>
      <c r="C308" s="9" t="str">
        <f>[1]Discovery!B314</f>
        <v>파차마마상</v>
      </c>
      <c r="D308" s="9" t="str">
        <f>[1]Discovery!E314</f>
        <v>유물</v>
      </c>
      <c r="E308" s="9" t="str">
        <f>[1]Discovery!C314</f>
        <v>종교유물</v>
      </c>
      <c r="F308" s="9" t="str">
        <f>[1]Discovery!G314</f>
        <v>D</v>
      </c>
      <c r="G308" s="9" t="str">
        <f>IFERROR(VLOOKUP(표1[[#This Row],[명칭]],'문화권 정리'!C:D,2,FALSE),"-")</f>
        <v>남아메리카</v>
      </c>
      <c r="H308" s="38" t="str">
        <f>IFERROR(COUNTIF([2]OceanDoodad!$Y:$Y,표1[[#This Row],[명칭]]),"-")</f>
        <v>-</v>
      </c>
      <c r="I308" s="38">
        <f>IFERROR(COUNTIF([1]AdventureDiscoveryGroup!$D$8:$AW$92,표1[[#This Row],[명칭]]),"-")</f>
        <v>1</v>
      </c>
      <c r="J308" s="38">
        <f>IFERROR(COUNTIF([1]FishDiscoveryGroup!$A:$X,표1[[#This Row],[명칭]]),"-")</f>
        <v>0</v>
      </c>
      <c r="K308" s="38" t="str">
        <f>IFERROR(COUNTIF([2]Town!$B:$B,표1[[#This Row],[명칭]]),"-")</f>
        <v>-</v>
      </c>
      <c r="L308" s="38">
        <f>IFERROR(COUNTIF([1]Village!$BR:$BR,표1[[#This Row],[명칭]]),"-")</f>
        <v>0</v>
      </c>
      <c r="M308" s="38">
        <f>COUNTIF(퀘스트!B:B,표1[[#This Row],[명칭]])</f>
        <v>0</v>
      </c>
      <c r="N308" s="65">
        <f>COUNTIF([1]VillageDiscoveryGroup!$C:$C,표1[[#This Row],[명칭]])</f>
        <v>0</v>
      </c>
      <c r="O308" s="65">
        <f>SUM(표1[[#This Row],[해양탐색]:[마을탐험]])</f>
        <v>1</v>
      </c>
    </row>
    <row r="309" spans="2:15" ht="13.5" customHeight="1" x14ac:dyDescent="0.3">
      <c r="B309" s="9">
        <f>[1]Discovery!A315</f>
        <v>70402148</v>
      </c>
      <c r="C309" s="9" t="str">
        <f>[1]Discovery!B315</f>
        <v>팔만대장경</v>
      </c>
      <c r="D309" s="9" t="str">
        <f>[1]Discovery!E315</f>
        <v>유물</v>
      </c>
      <c r="E309" s="9" t="str">
        <f>[1]Discovery!C315</f>
        <v>종교유물</v>
      </c>
      <c r="F309" s="9" t="str">
        <f>[1]Discovery!G315</f>
        <v>S</v>
      </c>
      <c r="G309" s="9" t="str">
        <f>IFERROR(VLOOKUP(표1[[#This Row],[명칭]],'문화권 정리'!C:D,2,FALSE),"-")</f>
        <v>동아시아</v>
      </c>
      <c r="H309" s="38" t="str">
        <f>IFERROR(COUNTIF([2]OceanDoodad!$Y:$Y,표1[[#This Row],[명칭]]),"-")</f>
        <v>-</v>
      </c>
      <c r="I309" s="38">
        <f>IFERROR(COUNTIF([1]AdventureDiscoveryGroup!$D$8:$AW$92,표1[[#This Row],[명칭]]),"-")</f>
        <v>0</v>
      </c>
      <c r="J309" s="38">
        <f>IFERROR(COUNTIF([1]FishDiscoveryGroup!$A:$X,표1[[#This Row],[명칭]]),"-")</f>
        <v>0</v>
      </c>
      <c r="K309" s="38" t="str">
        <f>IFERROR(COUNTIF([2]Town!$B:$B,표1[[#This Row],[명칭]]),"-")</f>
        <v>-</v>
      </c>
      <c r="L309" s="38">
        <f>IFERROR(COUNTIF([1]Village!$BR:$BR,표1[[#This Row],[명칭]]),"-")</f>
        <v>0</v>
      </c>
      <c r="M309" s="38">
        <f>COUNTIF(퀘스트!B:B,표1[[#This Row],[명칭]])</f>
        <v>0</v>
      </c>
      <c r="N309" s="65">
        <f>COUNTIF([1]VillageDiscoveryGroup!$C:$C,표1[[#This Row],[명칭]])</f>
        <v>0</v>
      </c>
      <c r="O309" s="65">
        <f>SUM(표1[[#This Row],[해양탐색]:[마을탐험]])</f>
        <v>0</v>
      </c>
    </row>
    <row r="310" spans="2:15" ht="13.5" customHeight="1" x14ac:dyDescent="0.3">
      <c r="B310" s="9">
        <f>[1]Discovery!A316</f>
        <v>70402149</v>
      </c>
      <c r="C310" s="9" t="str">
        <f>[1]Discovery!B316</f>
        <v>페룬의 목상</v>
      </c>
      <c r="D310" s="9" t="str">
        <f>[1]Discovery!E316</f>
        <v>유물</v>
      </c>
      <c r="E310" s="9" t="str">
        <f>[1]Discovery!C316</f>
        <v>종교유물</v>
      </c>
      <c r="F310" s="9" t="str">
        <f>[1]Discovery!G316</f>
        <v>B</v>
      </c>
      <c r="G310" s="9" t="str">
        <f>IFERROR(VLOOKUP(표1[[#This Row],[명칭]],'문화권 정리'!C:D,2,FALSE),"-")</f>
        <v>지중해</v>
      </c>
      <c r="H310" s="38" t="str">
        <f>IFERROR(COUNTIF([2]OceanDoodad!$Y:$Y,표1[[#This Row],[명칭]]),"-")</f>
        <v>-</v>
      </c>
      <c r="I310" s="38">
        <f>IFERROR(COUNTIF([1]AdventureDiscoveryGroup!$D$8:$AW$92,표1[[#This Row],[명칭]]),"-")</f>
        <v>1</v>
      </c>
      <c r="J310" s="38">
        <f>IFERROR(COUNTIF([1]FishDiscoveryGroup!$A:$X,표1[[#This Row],[명칭]]),"-")</f>
        <v>0</v>
      </c>
      <c r="K310" s="38" t="str">
        <f>IFERROR(COUNTIF([2]Town!$B:$B,표1[[#This Row],[명칭]]),"-")</f>
        <v>-</v>
      </c>
      <c r="L310" s="38">
        <f>IFERROR(COUNTIF([1]Village!$BR:$BR,표1[[#This Row],[명칭]]),"-")</f>
        <v>0</v>
      </c>
      <c r="M310" s="38">
        <f>COUNTIF(퀘스트!B:B,표1[[#This Row],[명칭]])</f>
        <v>0</v>
      </c>
      <c r="N310" s="65">
        <f>COUNTIF([1]VillageDiscoveryGroup!$C:$C,표1[[#This Row],[명칭]])</f>
        <v>0</v>
      </c>
      <c r="O310" s="65">
        <f>SUM(표1[[#This Row],[해양탐색]:[마을탐험]])</f>
        <v>1</v>
      </c>
    </row>
    <row r="311" spans="2:15" ht="13.5" customHeight="1" x14ac:dyDescent="0.3">
      <c r="B311" s="9">
        <f>[1]Discovery!A317</f>
        <v>70402150</v>
      </c>
      <c r="C311" s="9" t="str">
        <f>[1]Discovery!B317</f>
        <v>펠레상</v>
      </c>
      <c r="D311" s="9" t="str">
        <f>[1]Discovery!E317</f>
        <v>유물</v>
      </c>
      <c r="E311" s="9" t="str">
        <f>[1]Discovery!C317</f>
        <v>종교유물</v>
      </c>
      <c r="F311" s="9" t="str">
        <f>[1]Discovery!G317</f>
        <v>B</v>
      </c>
      <c r="G311" s="9" t="str">
        <f>IFERROR(VLOOKUP(표1[[#This Row],[명칭]],'문화권 정리'!C:D,2,FALSE),"-")</f>
        <v>태평양</v>
      </c>
      <c r="H311" s="38" t="str">
        <f>IFERROR(COUNTIF([2]OceanDoodad!$Y:$Y,표1[[#This Row],[명칭]]),"-")</f>
        <v>-</v>
      </c>
      <c r="I311" s="38">
        <f>IFERROR(COUNTIF([1]AdventureDiscoveryGroup!$D$8:$AW$92,표1[[#This Row],[명칭]]),"-")</f>
        <v>1</v>
      </c>
      <c r="J311" s="38">
        <f>IFERROR(COUNTIF([1]FishDiscoveryGroup!$A:$X,표1[[#This Row],[명칭]]),"-")</f>
        <v>0</v>
      </c>
      <c r="K311" s="38" t="str">
        <f>IFERROR(COUNTIF([2]Town!$B:$B,표1[[#This Row],[명칭]]),"-")</f>
        <v>-</v>
      </c>
      <c r="L311" s="38">
        <f>IFERROR(COUNTIF([1]Village!$BR:$BR,표1[[#This Row],[명칭]]),"-")</f>
        <v>0</v>
      </c>
      <c r="M311" s="38">
        <f>COUNTIF(퀘스트!B:B,표1[[#This Row],[명칭]])</f>
        <v>0</v>
      </c>
      <c r="N311" s="65">
        <f>COUNTIF([1]VillageDiscoveryGroup!$C:$C,표1[[#This Row],[명칭]])</f>
        <v>0</v>
      </c>
      <c r="O311" s="65">
        <f>SUM(표1[[#This Row],[해양탐색]:[마을탐험]])</f>
        <v>1</v>
      </c>
    </row>
    <row r="312" spans="2:15" ht="13.5" customHeight="1" x14ac:dyDescent="0.3">
      <c r="B312" s="9">
        <f>[1]Discovery!A318</f>
        <v>70402151</v>
      </c>
      <c r="C312" s="9" t="str">
        <f>[1]Discovery!B318</f>
        <v>포세이돈 조각상</v>
      </c>
      <c r="D312" s="9" t="str">
        <f>[1]Discovery!E318</f>
        <v>유물</v>
      </c>
      <c r="E312" s="9" t="str">
        <f>[1]Discovery!C318</f>
        <v>종교유물</v>
      </c>
      <c r="F312" s="9" t="str">
        <f>[1]Discovery!G318</f>
        <v>A</v>
      </c>
      <c r="G312" s="9" t="str">
        <f>IFERROR(VLOOKUP(표1[[#This Row],[명칭]],'문화권 정리'!C:D,2,FALSE),"-")</f>
        <v>지중해</v>
      </c>
      <c r="H312" s="38" t="str">
        <f>IFERROR(COUNTIF([2]OceanDoodad!$Y:$Y,표1[[#This Row],[명칭]]),"-")</f>
        <v>-</v>
      </c>
      <c r="I312" s="38">
        <f>IFERROR(COUNTIF([1]AdventureDiscoveryGroup!$D$8:$AW$92,표1[[#This Row],[명칭]]),"-")</f>
        <v>0</v>
      </c>
      <c r="J312" s="38">
        <f>IFERROR(COUNTIF([1]FishDiscoveryGroup!$A:$X,표1[[#This Row],[명칭]]),"-")</f>
        <v>0</v>
      </c>
      <c r="K312" s="38" t="str">
        <f>IFERROR(COUNTIF([2]Town!$B:$B,표1[[#This Row],[명칭]]),"-")</f>
        <v>-</v>
      </c>
      <c r="L312" s="38">
        <f>IFERROR(COUNTIF([1]Village!$BR:$BR,표1[[#This Row],[명칭]]),"-")</f>
        <v>0</v>
      </c>
      <c r="M312" s="38">
        <f>COUNTIF(퀘스트!B:B,표1[[#This Row],[명칭]])</f>
        <v>0</v>
      </c>
      <c r="N312" s="65">
        <f>COUNTIF([1]VillageDiscoveryGroup!$C:$C,표1[[#This Row],[명칭]])</f>
        <v>0</v>
      </c>
      <c r="O312" s="65">
        <f>SUM(표1[[#This Row],[해양탐색]:[마을탐험]])</f>
        <v>0</v>
      </c>
    </row>
    <row r="313" spans="2:15" ht="13.5" customHeight="1" x14ac:dyDescent="0.3">
      <c r="B313" s="9">
        <f>[1]Discovery!A319</f>
        <v>70402152</v>
      </c>
      <c r="C313" s="9" t="str">
        <f>[1]Discovery!B319</f>
        <v>폴리아후상</v>
      </c>
      <c r="D313" s="9" t="str">
        <f>[1]Discovery!E319</f>
        <v>유물</v>
      </c>
      <c r="E313" s="9" t="str">
        <f>[1]Discovery!C319</f>
        <v>종교유물</v>
      </c>
      <c r="F313" s="9" t="str">
        <f>[1]Discovery!G319</f>
        <v>B</v>
      </c>
      <c r="G313" s="9" t="str">
        <f>IFERROR(VLOOKUP(표1[[#This Row],[명칭]],'문화권 정리'!C:D,2,FALSE),"-")</f>
        <v>태평양</v>
      </c>
      <c r="H313" s="38" t="str">
        <f>IFERROR(COUNTIF([2]OceanDoodad!$Y:$Y,표1[[#This Row],[명칭]]),"-")</f>
        <v>-</v>
      </c>
      <c r="I313" s="38">
        <f>IFERROR(COUNTIF([1]AdventureDiscoveryGroup!$D$8:$AW$92,표1[[#This Row],[명칭]]),"-")</f>
        <v>1</v>
      </c>
      <c r="J313" s="38">
        <f>IFERROR(COUNTIF([1]FishDiscoveryGroup!$A:$X,표1[[#This Row],[명칭]]),"-")</f>
        <v>0</v>
      </c>
      <c r="K313" s="38" t="str">
        <f>IFERROR(COUNTIF([2]Town!$B:$B,표1[[#This Row],[명칭]]),"-")</f>
        <v>-</v>
      </c>
      <c r="L313" s="38">
        <f>IFERROR(COUNTIF([1]Village!$BR:$BR,표1[[#This Row],[명칭]]),"-")</f>
        <v>0</v>
      </c>
      <c r="M313" s="38">
        <f>COUNTIF(퀘스트!B:B,표1[[#This Row],[명칭]])</f>
        <v>0</v>
      </c>
      <c r="N313" s="65">
        <f>COUNTIF([1]VillageDiscoveryGroup!$C:$C,표1[[#This Row],[명칭]])</f>
        <v>0</v>
      </c>
      <c r="O313" s="65">
        <f>SUM(표1[[#This Row],[해양탐색]:[마을탐험]])</f>
        <v>1</v>
      </c>
    </row>
    <row r="314" spans="2:15" ht="13.5" customHeight="1" x14ac:dyDescent="0.3">
      <c r="B314" s="9">
        <f>[1]Discovery!A320</f>
        <v>70402153</v>
      </c>
      <c r="C314" s="9" t="str">
        <f>[1]Discovery!B320</f>
        <v>프로메테우스의 사슬</v>
      </c>
      <c r="D314" s="9" t="str">
        <f>[1]Discovery!E320</f>
        <v>유물</v>
      </c>
      <c r="E314" s="9" t="str">
        <f>[1]Discovery!C320</f>
        <v>종교유물</v>
      </c>
      <c r="F314" s="9" t="str">
        <f>[1]Discovery!G320</f>
        <v>A</v>
      </c>
      <c r="G314" s="9" t="str">
        <f>IFERROR(VLOOKUP(표1[[#This Row],[명칭]],'문화권 정리'!C:D,2,FALSE),"-")</f>
        <v>지중해</v>
      </c>
      <c r="H314" s="38" t="str">
        <f>IFERROR(COUNTIF([2]OceanDoodad!$Y:$Y,표1[[#This Row],[명칭]]),"-")</f>
        <v>-</v>
      </c>
      <c r="I314" s="38">
        <f>IFERROR(COUNTIF([1]AdventureDiscoveryGroup!$D$8:$AW$92,표1[[#This Row],[명칭]]),"-")</f>
        <v>0</v>
      </c>
      <c r="J314" s="38">
        <f>IFERROR(COUNTIF([1]FishDiscoveryGroup!$A:$X,표1[[#This Row],[명칭]]),"-")</f>
        <v>0</v>
      </c>
      <c r="K314" s="38" t="str">
        <f>IFERROR(COUNTIF([2]Town!$B:$B,표1[[#This Row],[명칭]]),"-")</f>
        <v>-</v>
      </c>
      <c r="L314" s="38">
        <f>IFERROR(COUNTIF([1]Village!$BR:$BR,표1[[#This Row],[명칭]]),"-")</f>
        <v>0</v>
      </c>
      <c r="M314" s="38">
        <f>COUNTIF(퀘스트!B:B,표1[[#This Row],[명칭]])</f>
        <v>0</v>
      </c>
      <c r="N314" s="65">
        <f>COUNTIF([1]VillageDiscoveryGroup!$C:$C,표1[[#This Row],[명칭]])</f>
        <v>0</v>
      </c>
      <c r="O314" s="65">
        <f>SUM(표1[[#This Row],[해양탐색]:[마을탐험]])</f>
        <v>0</v>
      </c>
    </row>
    <row r="315" spans="2:15" ht="13.5" customHeight="1" x14ac:dyDescent="0.3">
      <c r="B315" s="9">
        <f>[1]Discovery!A321</f>
        <v>70402154</v>
      </c>
      <c r="C315" s="9" t="str">
        <f>[1]Discovery!B321</f>
        <v>하누만상</v>
      </c>
      <c r="D315" s="9" t="str">
        <f>[1]Discovery!E321</f>
        <v>유물</v>
      </c>
      <c r="E315" s="9" t="str">
        <f>[1]Discovery!C321</f>
        <v>종교유물</v>
      </c>
      <c r="F315" s="9" t="str">
        <f>[1]Discovery!G321</f>
        <v>C</v>
      </c>
      <c r="G315" s="9" t="str">
        <f>IFERROR(VLOOKUP(표1[[#This Row],[명칭]],'문화권 정리'!C:D,2,FALSE),"-")</f>
        <v>남아시아</v>
      </c>
      <c r="H315" s="38" t="str">
        <f>IFERROR(COUNTIF([2]OceanDoodad!$Y:$Y,표1[[#This Row],[명칭]]),"-")</f>
        <v>-</v>
      </c>
      <c r="I315" s="38">
        <f>IFERROR(COUNTIF([1]AdventureDiscoveryGroup!$D$8:$AW$92,표1[[#This Row],[명칭]]),"-")</f>
        <v>0</v>
      </c>
      <c r="J315" s="38">
        <f>IFERROR(COUNTIF([1]FishDiscoveryGroup!$A:$X,표1[[#This Row],[명칭]]),"-")</f>
        <v>0</v>
      </c>
      <c r="K315" s="38" t="str">
        <f>IFERROR(COUNTIF([2]Town!$B:$B,표1[[#This Row],[명칭]]),"-")</f>
        <v>-</v>
      </c>
      <c r="L315" s="38">
        <f>IFERROR(COUNTIF([1]Village!$BR:$BR,표1[[#This Row],[명칭]]),"-")</f>
        <v>0</v>
      </c>
      <c r="M315" s="38">
        <f>COUNTIF(퀘스트!B:B,표1[[#This Row],[명칭]])</f>
        <v>0</v>
      </c>
      <c r="N315" s="65">
        <f>COUNTIF([1]VillageDiscoveryGroup!$C:$C,표1[[#This Row],[명칭]])</f>
        <v>0</v>
      </c>
      <c r="O315" s="65">
        <f>SUM(표1[[#This Row],[해양탐색]:[마을탐험]])</f>
        <v>0</v>
      </c>
    </row>
    <row r="316" spans="2:15" ht="13.5" customHeight="1" x14ac:dyDescent="0.3">
      <c r="B316" s="9">
        <f>[1]Discovery!A322</f>
        <v>70402155</v>
      </c>
      <c r="C316" s="9" t="str">
        <f>[1]Discovery!B322</f>
        <v>하누만의 부조</v>
      </c>
      <c r="D316" s="9" t="str">
        <f>[1]Discovery!E322</f>
        <v>유물</v>
      </c>
      <c r="E316" s="9" t="str">
        <f>[1]Discovery!C322</f>
        <v>종교유물</v>
      </c>
      <c r="F316" s="9" t="str">
        <f>[1]Discovery!G322</f>
        <v>D</v>
      </c>
      <c r="G316" s="9" t="str">
        <f>IFERROR(VLOOKUP(표1[[#This Row],[명칭]],'문화권 정리'!C:D,2,FALSE),"-")</f>
        <v>남아시아</v>
      </c>
      <c r="H316" s="38" t="str">
        <f>IFERROR(COUNTIF([2]OceanDoodad!$Y:$Y,표1[[#This Row],[명칭]]),"-")</f>
        <v>-</v>
      </c>
      <c r="I316" s="38">
        <f>IFERROR(COUNTIF([1]AdventureDiscoveryGroup!$D$8:$AW$92,표1[[#This Row],[명칭]]),"-")</f>
        <v>1</v>
      </c>
      <c r="J316" s="38">
        <f>IFERROR(COUNTIF([1]FishDiscoveryGroup!$A:$X,표1[[#This Row],[명칭]]),"-")</f>
        <v>0</v>
      </c>
      <c r="K316" s="38" t="str">
        <f>IFERROR(COUNTIF([2]Town!$B:$B,표1[[#This Row],[명칭]]),"-")</f>
        <v>-</v>
      </c>
      <c r="L316" s="38">
        <f>IFERROR(COUNTIF([1]Village!$BR:$BR,표1[[#This Row],[명칭]]),"-")</f>
        <v>0</v>
      </c>
      <c r="M316" s="38">
        <f>COUNTIF(퀘스트!B:B,표1[[#This Row],[명칭]])</f>
        <v>0</v>
      </c>
      <c r="N316" s="65">
        <f>COUNTIF([1]VillageDiscoveryGroup!$C:$C,표1[[#This Row],[명칭]])</f>
        <v>0</v>
      </c>
      <c r="O316" s="65">
        <f>SUM(표1[[#This Row],[해양탐색]:[마을탐험]])</f>
        <v>1</v>
      </c>
    </row>
    <row r="317" spans="2:15" ht="13.5" customHeight="1" x14ac:dyDescent="0.3">
      <c r="B317" s="9">
        <f>[1]Discovery!A323</f>
        <v>70402156</v>
      </c>
      <c r="C317" s="9" t="str">
        <f>[1]Discovery!B323</f>
        <v>하데스상</v>
      </c>
      <c r="D317" s="9" t="str">
        <f>[1]Discovery!E323</f>
        <v>유물</v>
      </c>
      <c r="E317" s="9" t="str">
        <f>[1]Discovery!C323</f>
        <v>종교유물</v>
      </c>
      <c r="F317" s="9" t="str">
        <f>[1]Discovery!G323</f>
        <v>A</v>
      </c>
      <c r="G317" s="9" t="str">
        <f>IFERROR(VLOOKUP(표1[[#This Row],[명칭]],'문화권 정리'!C:D,2,FALSE),"-")</f>
        <v>지중해</v>
      </c>
      <c r="H317" s="38" t="str">
        <f>IFERROR(COUNTIF([2]OceanDoodad!$Y:$Y,표1[[#This Row],[명칭]]),"-")</f>
        <v>-</v>
      </c>
      <c r="I317" s="38">
        <f>IFERROR(COUNTIF([1]AdventureDiscoveryGroup!$D$8:$AW$92,표1[[#This Row],[명칭]]),"-")</f>
        <v>0</v>
      </c>
      <c r="J317" s="38">
        <f>IFERROR(COUNTIF([1]FishDiscoveryGroup!$A:$X,표1[[#This Row],[명칭]]),"-")</f>
        <v>0</v>
      </c>
      <c r="K317" s="38" t="str">
        <f>IFERROR(COUNTIF([2]Town!$B:$B,표1[[#This Row],[명칭]]),"-")</f>
        <v>-</v>
      </c>
      <c r="L317" s="38">
        <f>IFERROR(COUNTIF([1]Village!$BR:$BR,표1[[#This Row],[명칭]]),"-")</f>
        <v>0</v>
      </c>
      <c r="M317" s="38">
        <f>COUNTIF(퀘스트!B:B,표1[[#This Row],[명칭]])</f>
        <v>0</v>
      </c>
      <c r="N317" s="65">
        <f>COUNTIF([1]VillageDiscoveryGroup!$C:$C,표1[[#This Row],[명칭]])</f>
        <v>0</v>
      </c>
      <c r="O317" s="65">
        <f>SUM(표1[[#This Row],[해양탐색]:[마을탐험]])</f>
        <v>0</v>
      </c>
    </row>
    <row r="318" spans="2:15" ht="13.5" customHeight="1" x14ac:dyDescent="0.3">
      <c r="B318" s="9">
        <f>[1]Discovery!A324</f>
        <v>70402157</v>
      </c>
      <c r="C318" s="9" t="str">
        <f>[1]Discovery!B324</f>
        <v>하토르상</v>
      </c>
      <c r="D318" s="9" t="str">
        <f>[1]Discovery!E324</f>
        <v>유물</v>
      </c>
      <c r="E318" s="9" t="str">
        <f>[1]Discovery!C324</f>
        <v>종교유물</v>
      </c>
      <c r="F318" s="9" t="str">
        <f>[1]Discovery!G324</f>
        <v>A</v>
      </c>
      <c r="G318" s="9" t="str">
        <f>IFERROR(VLOOKUP(표1[[#This Row],[명칭]],'문화권 정리'!C:D,2,FALSE),"-")</f>
        <v>북아프리카</v>
      </c>
      <c r="H318" s="38" t="str">
        <f>IFERROR(COUNTIF([2]OceanDoodad!$Y:$Y,표1[[#This Row],[명칭]]),"-")</f>
        <v>-</v>
      </c>
      <c r="I318" s="38">
        <f>IFERROR(COUNTIF([1]AdventureDiscoveryGroup!$D$8:$AW$92,표1[[#This Row],[명칭]]),"-")</f>
        <v>0</v>
      </c>
      <c r="J318" s="38">
        <f>IFERROR(COUNTIF([1]FishDiscoveryGroup!$A:$X,표1[[#This Row],[명칭]]),"-")</f>
        <v>0</v>
      </c>
      <c r="K318" s="38" t="str">
        <f>IFERROR(COUNTIF([2]Town!$B:$B,표1[[#This Row],[명칭]]),"-")</f>
        <v>-</v>
      </c>
      <c r="L318" s="38">
        <f>IFERROR(COUNTIF([1]Village!$BR:$BR,표1[[#This Row],[명칭]]),"-")</f>
        <v>0</v>
      </c>
      <c r="M318" s="38">
        <f>COUNTIF(퀘스트!B:B,표1[[#This Row],[명칭]])</f>
        <v>0</v>
      </c>
      <c r="N318" s="65">
        <f>COUNTIF([1]VillageDiscoveryGroup!$C:$C,표1[[#This Row],[명칭]])</f>
        <v>0</v>
      </c>
      <c r="O318" s="65">
        <f>SUM(표1[[#This Row],[해양탐색]:[마을탐험]])</f>
        <v>0</v>
      </c>
    </row>
    <row r="319" spans="2:15" ht="13.5" customHeight="1" x14ac:dyDescent="0.3">
      <c r="B319" s="9">
        <f>[1]Discovery!A325</f>
        <v>70402158</v>
      </c>
      <c r="C319" s="9" t="str">
        <f>[1]Discovery!B325</f>
        <v>하트 스카라베</v>
      </c>
      <c r="D319" s="9" t="str">
        <f>[1]Discovery!E325</f>
        <v>유물</v>
      </c>
      <c r="E319" s="9" t="str">
        <f>[1]Discovery!C325</f>
        <v>종교유물</v>
      </c>
      <c r="F319" s="9" t="str">
        <f>[1]Discovery!G325</f>
        <v>S</v>
      </c>
      <c r="G319" s="9" t="str">
        <f>IFERROR(VLOOKUP(표1[[#This Row],[명칭]],'문화권 정리'!C:D,2,FALSE),"-")</f>
        <v>북아프리카</v>
      </c>
      <c r="H319" s="38" t="str">
        <f>IFERROR(COUNTIF([2]OceanDoodad!$Y:$Y,표1[[#This Row],[명칭]]),"-")</f>
        <v>-</v>
      </c>
      <c r="I319" s="38">
        <f>IFERROR(COUNTIF([1]AdventureDiscoveryGroup!$D$8:$AW$92,표1[[#This Row],[명칭]]),"-")</f>
        <v>0</v>
      </c>
      <c r="J319" s="38">
        <f>IFERROR(COUNTIF([1]FishDiscoveryGroup!$A:$X,표1[[#This Row],[명칭]]),"-")</f>
        <v>0</v>
      </c>
      <c r="K319" s="38" t="str">
        <f>IFERROR(COUNTIF([2]Town!$B:$B,표1[[#This Row],[명칭]]),"-")</f>
        <v>-</v>
      </c>
      <c r="L319" s="38">
        <f>IFERROR(COUNTIF([1]Village!$BR:$BR,표1[[#This Row],[명칭]]),"-")</f>
        <v>0</v>
      </c>
      <c r="M319" s="38">
        <f>COUNTIF(퀘스트!B:B,표1[[#This Row],[명칭]])</f>
        <v>1</v>
      </c>
      <c r="N319" s="65">
        <f>COUNTIF([1]VillageDiscoveryGroup!$C:$C,표1[[#This Row],[명칭]])</f>
        <v>0</v>
      </c>
      <c r="O319" s="65">
        <f>SUM(표1[[#This Row],[해양탐색]:[마을탐험]])</f>
        <v>1</v>
      </c>
    </row>
    <row r="320" spans="2:15" ht="13.5" customHeight="1" x14ac:dyDescent="0.3">
      <c r="B320" s="9">
        <f>[1]Discovery!A326</f>
        <v>70402160</v>
      </c>
      <c r="C320" s="9" t="str">
        <f>[1]Discovery!B326</f>
        <v>헤라 조각상</v>
      </c>
      <c r="D320" s="9" t="str">
        <f>[1]Discovery!E326</f>
        <v>유물</v>
      </c>
      <c r="E320" s="9" t="str">
        <f>[1]Discovery!C326</f>
        <v>종교유물</v>
      </c>
      <c r="F320" s="9" t="str">
        <f>[1]Discovery!G326</f>
        <v>B</v>
      </c>
      <c r="G320" s="9" t="str">
        <f>IFERROR(VLOOKUP(표1[[#This Row],[명칭]],'문화권 정리'!C:D,2,FALSE),"-")</f>
        <v>지중해</v>
      </c>
      <c r="H320" s="38" t="str">
        <f>IFERROR(COUNTIF([2]OceanDoodad!$Y:$Y,표1[[#This Row],[명칭]]),"-")</f>
        <v>-</v>
      </c>
      <c r="I320" s="38">
        <f>IFERROR(COUNTIF([1]AdventureDiscoveryGroup!$D$8:$AW$92,표1[[#This Row],[명칭]]),"-")</f>
        <v>0</v>
      </c>
      <c r="J320" s="38">
        <f>IFERROR(COUNTIF([1]FishDiscoveryGroup!$A:$X,표1[[#This Row],[명칭]]),"-")</f>
        <v>0</v>
      </c>
      <c r="K320" s="38" t="str">
        <f>IFERROR(COUNTIF([2]Town!$B:$B,표1[[#This Row],[명칭]]),"-")</f>
        <v>-</v>
      </c>
      <c r="L320" s="38">
        <f>IFERROR(COUNTIF([1]Village!$BR:$BR,표1[[#This Row],[명칭]]),"-")</f>
        <v>0</v>
      </c>
      <c r="M320" s="38">
        <f>COUNTIF(퀘스트!B:B,표1[[#This Row],[명칭]])</f>
        <v>0</v>
      </c>
      <c r="N320" s="65">
        <f>COUNTIF([1]VillageDiscoveryGroup!$C:$C,표1[[#This Row],[명칭]])</f>
        <v>0</v>
      </c>
      <c r="O320" s="65">
        <f>SUM(표1[[#This Row],[해양탐색]:[마을탐험]])</f>
        <v>0</v>
      </c>
    </row>
    <row r="321" spans="2:15" ht="13.5" customHeight="1" x14ac:dyDescent="0.3">
      <c r="B321" s="9">
        <f>[1]Discovery!A327</f>
        <v>70402161</v>
      </c>
      <c r="C321" s="9" t="str">
        <f>[1]Discovery!B327</f>
        <v>헤르메스상</v>
      </c>
      <c r="D321" s="9" t="str">
        <f>[1]Discovery!E327</f>
        <v>유물</v>
      </c>
      <c r="E321" s="9" t="str">
        <f>[1]Discovery!C327</f>
        <v>종교유물</v>
      </c>
      <c r="F321" s="9" t="str">
        <f>[1]Discovery!G327</f>
        <v>C</v>
      </c>
      <c r="G321" s="9" t="str">
        <f>IFERROR(VLOOKUP(표1[[#This Row],[명칭]],'문화권 정리'!C:D,2,FALSE),"-")</f>
        <v>지중해</v>
      </c>
      <c r="H321" s="38" t="str">
        <f>IFERROR(COUNTIF([2]OceanDoodad!$Y:$Y,표1[[#This Row],[명칭]]),"-")</f>
        <v>-</v>
      </c>
      <c r="I321" s="38">
        <f>IFERROR(COUNTIF([1]AdventureDiscoveryGroup!$D$8:$AW$92,표1[[#This Row],[명칭]]),"-")</f>
        <v>0</v>
      </c>
      <c r="J321" s="38">
        <f>IFERROR(COUNTIF([1]FishDiscoveryGroup!$A:$X,표1[[#This Row],[명칭]]),"-")</f>
        <v>0</v>
      </c>
      <c r="K321" s="38" t="str">
        <f>IFERROR(COUNTIF([2]Town!$B:$B,표1[[#This Row],[명칭]]),"-")</f>
        <v>-</v>
      </c>
      <c r="L321" s="38">
        <f>IFERROR(COUNTIF([1]Village!$BR:$BR,표1[[#This Row],[명칭]]),"-")</f>
        <v>0</v>
      </c>
      <c r="M321" s="38">
        <f>COUNTIF(퀘스트!B:B,표1[[#This Row],[명칭]])</f>
        <v>1</v>
      </c>
      <c r="N321" s="65">
        <f>COUNTIF([1]VillageDiscoveryGroup!$C:$C,표1[[#This Row],[명칭]])</f>
        <v>0</v>
      </c>
      <c r="O321" s="65">
        <f>SUM(표1[[#This Row],[해양탐색]:[마을탐험]])</f>
        <v>1</v>
      </c>
    </row>
    <row r="322" spans="2:15" ht="13.5" customHeight="1" x14ac:dyDescent="0.3">
      <c r="B322" s="9">
        <f>[1]Discovery!A328</f>
        <v>70402162</v>
      </c>
      <c r="C322" s="9" t="str">
        <f>[1]Discovery!B328</f>
        <v>헤스티아상</v>
      </c>
      <c r="D322" s="9" t="str">
        <f>[1]Discovery!E328</f>
        <v>유물</v>
      </c>
      <c r="E322" s="9" t="str">
        <f>[1]Discovery!C328</f>
        <v>종교유물</v>
      </c>
      <c r="F322" s="9" t="str">
        <f>[1]Discovery!G328</f>
        <v>C</v>
      </c>
      <c r="G322" s="9" t="str">
        <f>IFERROR(VLOOKUP(표1[[#This Row],[명칭]],'문화권 정리'!C:D,2,FALSE),"-")</f>
        <v>지중해</v>
      </c>
      <c r="H322" s="38" t="str">
        <f>IFERROR(COUNTIF([2]OceanDoodad!$Y:$Y,표1[[#This Row],[명칭]]),"-")</f>
        <v>-</v>
      </c>
      <c r="I322" s="38">
        <f>IFERROR(COUNTIF([1]AdventureDiscoveryGroup!$D$8:$AW$92,표1[[#This Row],[명칭]]),"-")</f>
        <v>0</v>
      </c>
      <c r="J322" s="38">
        <f>IFERROR(COUNTIF([1]FishDiscoveryGroup!$A:$X,표1[[#This Row],[명칭]]),"-")</f>
        <v>0</v>
      </c>
      <c r="K322" s="38" t="str">
        <f>IFERROR(COUNTIF([2]Town!$B:$B,표1[[#This Row],[명칭]]),"-")</f>
        <v>-</v>
      </c>
      <c r="L322" s="38">
        <f>IFERROR(COUNTIF([1]Village!$BR:$BR,표1[[#This Row],[명칭]]),"-")</f>
        <v>0</v>
      </c>
      <c r="M322" s="38">
        <f>COUNTIF(퀘스트!B:B,표1[[#This Row],[명칭]])</f>
        <v>0</v>
      </c>
      <c r="N322" s="65">
        <f>COUNTIF([1]VillageDiscoveryGroup!$C:$C,표1[[#This Row],[명칭]])</f>
        <v>0</v>
      </c>
      <c r="O322" s="65">
        <f>SUM(표1[[#This Row],[해양탐색]:[마을탐험]])</f>
        <v>0</v>
      </c>
    </row>
    <row r="323" spans="2:15" ht="13.5" customHeight="1" x14ac:dyDescent="0.3">
      <c r="B323" s="9">
        <f>[1]Discovery!A329</f>
        <v>70402163</v>
      </c>
      <c r="C323" s="9" t="str">
        <f>[1]Discovery!B329</f>
        <v>헤파이스토스상</v>
      </c>
      <c r="D323" s="9" t="str">
        <f>[1]Discovery!E329</f>
        <v>유물</v>
      </c>
      <c r="E323" s="9" t="str">
        <f>[1]Discovery!C329</f>
        <v>종교유물</v>
      </c>
      <c r="F323" s="9" t="str">
        <f>[1]Discovery!G329</f>
        <v>C</v>
      </c>
      <c r="G323" s="9" t="str">
        <f>IFERROR(VLOOKUP(표1[[#This Row],[명칭]],'문화권 정리'!C:D,2,FALSE),"-")</f>
        <v>지중해</v>
      </c>
      <c r="H323" s="38" t="str">
        <f>IFERROR(COUNTIF([2]OceanDoodad!$Y:$Y,표1[[#This Row],[명칭]]),"-")</f>
        <v>-</v>
      </c>
      <c r="I323" s="38">
        <f>IFERROR(COUNTIF([1]AdventureDiscoveryGroup!$D$8:$AW$92,표1[[#This Row],[명칭]]),"-")</f>
        <v>0</v>
      </c>
      <c r="J323" s="38">
        <f>IFERROR(COUNTIF([1]FishDiscoveryGroup!$A:$X,표1[[#This Row],[명칭]]),"-")</f>
        <v>0</v>
      </c>
      <c r="K323" s="38" t="str">
        <f>IFERROR(COUNTIF([2]Town!$B:$B,표1[[#This Row],[명칭]]),"-")</f>
        <v>-</v>
      </c>
      <c r="L323" s="38">
        <f>IFERROR(COUNTIF([1]Village!$BR:$BR,표1[[#This Row],[명칭]]),"-")</f>
        <v>0</v>
      </c>
      <c r="M323" s="38">
        <f>COUNTIF(퀘스트!B:B,표1[[#This Row],[명칭]])</f>
        <v>0</v>
      </c>
      <c r="N323" s="65">
        <f>COUNTIF([1]VillageDiscoveryGroup!$C:$C,표1[[#This Row],[명칭]])</f>
        <v>0</v>
      </c>
      <c r="O323" s="65">
        <f>SUM(표1[[#This Row],[해양탐색]:[마을탐험]])</f>
        <v>0</v>
      </c>
    </row>
    <row r="324" spans="2:15" ht="13.5" customHeight="1" x14ac:dyDescent="0.3">
      <c r="B324" s="9">
        <f>[1]Discovery!A330</f>
        <v>70402164</v>
      </c>
      <c r="C324" s="9" t="str">
        <f>[1]Discovery!B330</f>
        <v>현계론</v>
      </c>
      <c r="D324" s="9" t="str">
        <f>[1]Discovery!E330</f>
        <v>유물</v>
      </c>
      <c r="E324" s="9" t="str">
        <f>[1]Discovery!C330</f>
        <v>종교유물</v>
      </c>
      <c r="F324" s="9" t="str">
        <f>[1]Discovery!G330</f>
        <v>C</v>
      </c>
      <c r="G324" s="9" t="str">
        <f>IFERROR(VLOOKUP(표1[[#This Row],[명칭]],'문화권 정리'!C:D,2,FALSE),"-")</f>
        <v>동아시아</v>
      </c>
      <c r="H324" s="38" t="str">
        <f>IFERROR(COUNTIF([2]OceanDoodad!$Y:$Y,표1[[#This Row],[명칭]]),"-")</f>
        <v>-</v>
      </c>
      <c r="I324" s="38">
        <f>IFERROR(COUNTIF([1]AdventureDiscoveryGroup!$D$8:$AW$92,표1[[#This Row],[명칭]]),"-")</f>
        <v>1</v>
      </c>
      <c r="J324" s="38">
        <f>IFERROR(COUNTIF([1]FishDiscoveryGroup!$A:$X,표1[[#This Row],[명칭]]),"-")</f>
        <v>0</v>
      </c>
      <c r="K324" s="38" t="str">
        <f>IFERROR(COUNTIF([2]Town!$B:$B,표1[[#This Row],[명칭]]),"-")</f>
        <v>-</v>
      </c>
      <c r="L324" s="38">
        <f>IFERROR(COUNTIF([1]Village!$BR:$BR,표1[[#This Row],[명칭]]),"-")</f>
        <v>0</v>
      </c>
      <c r="M324" s="38">
        <f>COUNTIF(퀘스트!B:B,표1[[#This Row],[명칭]])</f>
        <v>0</v>
      </c>
      <c r="N324" s="65">
        <f>COUNTIF([1]VillageDiscoveryGroup!$C:$C,표1[[#This Row],[명칭]])</f>
        <v>0</v>
      </c>
      <c r="O324" s="65">
        <f>SUM(표1[[#This Row],[해양탐색]:[마을탐험]])</f>
        <v>1</v>
      </c>
    </row>
    <row r="325" spans="2:15" ht="13.5" customHeight="1" x14ac:dyDescent="0.3">
      <c r="B325" s="9">
        <f>[1]Discovery!A331</f>
        <v>70402165</v>
      </c>
      <c r="C325" s="9" t="str">
        <f>[1]Discovery!B331</f>
        <v>호루스상</v>
      </c>
      <c r="D325" s="9" t="str">
        <f>[1]Discovery!E331</f>
        <v>유물</v>
      </c>
      <c r="E325" s="9" t="str">
        <f>[1]Discovery!C331</f>
        <v>종교유물</v>
      </c>
      <c r="F325" s="9" t="str">
        <f>[1]Discovery!G331</f>
        <v>S</v>
      </c>
      <c r="G325" s="9" t="str">
        <f>IFERROR(VLOOKUP(표1[[#This Row],[명칭]],'문화권 정리'!C:D,2,FALSE),"-")</f>
        <v>북아프리카</v>
      </c>
      <c r="H325" s="38" t="str">
        <f>IFERROR(COUNTIF([2]OceanDoodad!$Y:$Y,표1[[#This Row],[명칭]]),"-")</f>
        <v>-</v>
      </c>
      <c r="I325" s="38">
        <f>IFERROR(COUNTIF([1]AdventureDiscoveryGroup!$D$8:$AW$92,표1[[#This Row],[명칭]]),"-")</f>
        <v>0</v>
      </c>
      <c r="J325" s="38">
        <f>IFERROR(COUNTIF([1]FishDiscoveryGroup!$A:$X,표1[[#This Row],[명칭]]),"-")</f>
        <v>0</v>
      </c>
      <c r="K325" s="38" t="str">
        <f>IFERROR(COUNTIF([2]Town!$B:$B,표1[[#This Row],[명칭]]),"-")</f>
        <v>-</v>
      </c>
      <c r="L325" s="38">
        <f>IFERROR(COUNTIF([1]Village!$BR:$BR,표1[[#This Row],[명칭]]),"-")</f>
        <v>0</v>
      </c>
      <c r="M325" s="38">
        <f>COUNTIF(퀘스트!B:B,표1[[#This Row],[명칭]])</f>
        <v>0</v>
      </c>
      <c r="N325" s="65">
        <f>COUNTIF([1]VillageDiscoveryGroup!$C:$C,표1[[#This Row],[명칭]])</f>
        <v>0</v>
      </c>
      <c r="O325" s="65">
        <f>SUM(표1[[#This Row],[해양탐색]:[마을탐험]])</f>
        <v>0</v>
      </c>
    </row>
    <row r="326" spans="2:15" ht="13.5" customHeight="1" x14ac:dyDescent="0.3">
      <c r="B326" s="9">
        <f>[1]Discovery!A332</f>
        <v>70402167</v>
      </c>
      <c r="C326" s="9" t="str">
        <f>[1]Discovery!B332</f>
        <v>화엄경</v>
      </c>
      <c r="D326" s="9" t="str">
        <f>[1]Discovery!E332</f>
        <v>유물</v>
      </c>
      <c r="E326" s="9" t="str">
        <f>[1]Discovery!C332</f>
        <v>종교유물</v>
      </c>
      <c r="F326" s="9" t="str">
        <f>[1]Discovery!G332</f>
        <v>B</v>
      </c>
      <c r="G326" s="9" t="str">
        <f>IFERROR(VLOOKUP(표1[[#This Row],[명칭]],'문화권 정리'!C:D,2,FALSE),"-")</f>
        <v>동아시아</v>
      </c>
      <c r="H326" s="38" t="str">
        <f>IFERROR(COUNTIF([2]OceanDoodad!$Y:$Y,표1[[#This Row],[명칭]]),"-")</f>
        <v>-</v>
      </c>
      <c r="I326" s="38">
        <f>IFERROR(COUNTIF([1]AdventureDiscoveryGroup!$D$8:$AW$92,표1[[#This Row],[명칭]]),"-")</f>
        <v>0</v>
      </c>
      <c r="J326" s="38">
        <f>IFERROR(COUNTIF([1]FishDiscoveryGroup!$A:$X,표1[[#This Row],[명칭]]),"-")</f>
        <v>0</v>
      </c>
      <c r="K326" s="38" t="str">
        <f>IFERROR(COUNTIF([2]Town!$B:$B,표1[[#This Row],[명칭]]),"-")</f>
        <v>-</v>
      </c>
      <c r="L326" s="38">
        <f>IFERROR(COUNTIF([1]Village!$BR:$BR,표1[[#This Row],[명칭]]),"-")</f>
        <v>0</v>
      </c>
      <c r="M326" s="38">
        <f>COUNTIF(퀘스트!B:B,표1[[#This Row],[명칭]])</f>
        <v>0</v>
      </c>
      <c r="N326" s="65">
        <f>COUNTIF([1]VillageDiscoveryGroup!$C:$C,표1[[#This Row],[명칭]])</f>
        <v>0</v>
      </c>
      <c r="O326" s="65">
        <f>SUM(표1[[#This Row],[해양탐색]:[마을탐험]])</f>
        <v>0</v>
      </c>
    </row>
    <row r="327" spans="2:15" ht="13.5" customHeight="1" x14ac:dyDescent="0.3">
      <c r="B327" s="9">
        <f>[1]Discovery!A333</f>
        <v>70403000</v>
      </c>
      <c r="C327" s="9" t="str">
        <f>[1]Discovery!B333</f>
        <v>가시연꽃</v>
      </c>
      <c r="D327" s="9" t="str">
        <f>[1]Discovery!E333</f>
        <v>식물</v>
      </c>
      <c r="E327" s="9" t="str">
        <f>[1]Discovery!C333</f>
        <v>쌍자엽</v>
      </c>
      <c r="F327" s="9" t="str">
        <f>[1]Discovery!G333</f>
        <v>B</v>
      </c>
      <c r="G327" s="9" t="str">
        <f>IFERROR(VLOOKUP(표1[[#This Row],[명칭]],'문화권 정리'!C:D,2,FALSE),"-")</f>
        <v>동아시아</v>
      </c>
      <c r="H327" s="38" t="str">
        <f>IFERROR(COUNTIF([2]OceanDoodad!$Y:$Y,표1[[#This Row],[명칭]]),"-")</f>
        <v>-</v>
      </c>
      <c r="I327" s="38">
        <f>IFERROR(COUNTIF([1]AdventureDiscoveryGroup!$D$8:$AW$92,표1[[#This Row],[명칭]]),"-")</f>
        <v>0</v>
      </c>
      <c r="J327" s="38">
        <f>IFERROR(COUNTIF([1]FishDiscoveryGroup!$A:$X,표1[[#This Row],[명칭]]),"-")</f>
        <v>0</v>
      </c>
      <c r="K327" s="38" t="str">
        <f>IFERROR(COUNTIF([2]Town!$B:$B,표1[[#This Row],[명칭]]),"-")</f>
        <v>-</v>
      </c>
      <c r="L327" s="38">
        <f>IFERROR(COUNTIF([1]Village!$BR:$BR,표1[[#This Row],[명칭]]),"-")</f>
        <v>0</v>
      </c>
      <c r="M327" s="38">
        <f>COUNTIF(퀘스트!B:B,표1[[#This Row],[명칭]])</f>
        <v>0</v>
      </c>
      <c r="N327" s="65">
        <f>COUNTIF([1]VillageDiscoveryGroup!$C:$C,표1[[#This Row],[명칭]])</f>
        <v>0</v>
      </c>
      <c r="O327" s="65">
        <f>SUM(표1[[#This Row],[해양탐색]:[마을탐험]])</f>
        <v>0</v>
      </c>
    </row>
    <row r="328" spans="2:15" ht="13.5" customHeight="1" x14ac:dyDescent="0.3">
      <c r="B328" s="9">
        <f>[1]Discovery!A334</f>
        <v>70403001</v>
      </c>
      <c r="C328" s="9" t="str">
        <f>[1]Discovery!B334</f>
        <v>가지복수초</v>
      </c>
      <c r="D328" s="9" t="str">
        <f>[1]Discovery!E334</f>
        <v>식물</v>
      </c>
      <c r="E328" s="9" t="str">
        <f>[1]Discovery!C334</f>
        <v>쌍자엽</v>
      </c>
      <c r="F328" s="9" t="str">
        <f>[1]Discovery!G334</f>
        <v>A</v>
      </c>
      <c r="G328" s="9" t="str">
        <f>IFERROR(VLOOKUP(표1[[#This Row],[명칭]],'문화권 정리'!C:D,2,FALSE),"-")</f>
        <v>동아시아</v>
      </c>
      <c r="H328" s="38" t="str">
        <f>IFERROR(COUNTIF([2]OceanDoodad!$Y:$Y,표1[[#This Row],[명칭]]),"-")</f>
        <v>-</v>
      </c>
      <c r="I328" s="38">
        <f>IFERROR(COUNTIF([1]AdventureDiscoveryGroup!$D$8:$AW$92,표1[[#This Row],[명칭]]),"-")</f>
        <v>1</v>
      </c>
      <c r="J328" s="38">
        <f>IFERROR(COUNTIF([1]FishDiscoveryGroup!$A:$X,표1[[#This Row],[명칭]]),"-")</f>
        <v>0</v>
      </c>
      <c r="K328" s="38" t="str">
        <f>IFERROR(COUNTIF([2]Town!$B:$B,표1[[#This Row],[명칭]]),"-")</f>
        <v>-</v>
      </c>
      <c r="L328" s="38">
        <f>IFERROR(COUNTIF([1]Village!$BR:$BR,표1[[#This Row],[명칭]]),"-")</f>
        <v>0</v>
      </c>
      <c r="M328" s="38">
        <f>COUNTIF(퀘스트!B:B,표1[[#This Row],[명칭]])</f>
        <v>0</v>
      </c>
      <c r="N328" s="65">
        <f>COUNTIF([1]VillageDiscoveryGroup!$C:$C,표1[[#This Row],[명칭]])</f>
        <v>0</v>
      </c>
      <c r="O328" s="65">
        <f>SUM(표1[[#This Row],[해양탐색]:[마을탐험]])</f>
        <v>1</v>
      </c>
    </row>
    <row r="329" spans="2:15" ht="13.5" customHeight="1" x14ac:dyDescent="0.3">
      <c r="B329" s="9">
        <f>[1]Discovery!A335</f>
        <v>70403002</v>
      </c>
      <c r="C329" s="9" t="str">
        <f>[1]Discovery!B335</f>
        <v>갈란투스</v>
      </c>
      <c r="D329" s="9" t="str">
        <f>[1]Discovery!E335</f>
        <v>식물</v>
      </c>
      <c r="E329" s="9" t="str">
        <f>[1]Discovery!C335</f>
        <v>단자엽</v>
      </c>
      <c r="F329" s="9" t="str">
        <f>[1]Discovery!G335</f>
        <v>C</v>
      </c>
      <c r="G329" s="9" t="str">
        <f>IFERROR(VLOOKUP(표1[[#This Row],[명칭]],'문화권 정리'!C:D,2,FALSE),"-")</f>
        <v>지중해</v>
      </c>
      <c r="H329" s="38" t="str">
        <f>IFERROR(COUNTIF([2]OceanDoodad!$Y:$Y,표1[[#This Row],[명칭]]),"-")</f>
        <v>-</v>
      </c>
      <c r="I329" s="38">
        <f>IFERROR(COUNTIF([1]AdventureDiscoveryGroup!$D$8:$AW$92,표1[[#This Row],[명칭]]),"-")</f>
        <v>0</v>
      </c>
      <c r="J329" s="38">
        <f>IFERROR(COUNTIF([1]FishDiscoveryGroup!$A:$X,표1[[#This Row],[명칭]]),"-")</f>
        <v>0</v>
      </c>
      <c r="K329" s="38" t="str">
        <f>IFERROR(COUNTIF([2]Town!$B:$B,표1[[#This Row],[명칭]]),"-")</f>
        <v>-</v>
      </c>
      <c r="L329" s="38">
        <f>IFERROR(COUNTIF([1]Village!$BR:$BR,표1[[#This Row],[명칭]]),"-")</f>
        <v>0</v>
      </c>
      <c r="M329" s="38">
        <f>COUNTIF(퀘스트!B:B,표1[[#This Row],[명칭]])</f>
        <v>0</v>
      </c>
      <c r="N329" s="65">
        <f>COUNTIF([1]VillageDiscoveryGroup!$C:$C,표1[[#This Row],[명칭]])</f>
        <v>1</v>
      </c>
      <c r="O329" s="65">
        <f>SUM(표1[[#This Row],[해양탐색]:[마을탐험]])</f>
        <v>1</v>
      </c>
    </row>
    <row r="330" spans="2:15" ht="13.5" customHeight="1" x14ac:dyDescent="0.3">
      <c r="B330" s="9">
        <f>[1]Discovery!A336</f>
        <v>70403003</v>
      </c>
      <c r="C330" s="9" t="str">
        <f>[1]Discovery!B336</f>
        <v>개나리</v>
      </c>
      <c r="D330" s="9" t="str">
        <f>[1]Discovery!E336</f>
        <v>식물</v>
      </c>
      <c r="E330" s="9" t="str">
        <f>[1]Discovery!C336</f>
        <v>쌍자엽</v>
      </c>
      <c r="F330" s="9" t="str">
        <f>[1]Discovery!G336</f>
        <v>C</v>
      </c>
      <c r="G330" s="9" t="str">
        <f>IFERROR(VLOOKUP(표1[[#This Row],[명칭]],'문화권 정리'!C:D,2,FALSE),"-")</f>
        <v>동아시아</v>
      </c>
      <c r="H330" s="38" t="str">
        <f>IFERROR(COUNTIF([2]OceanDoodad!$Y:$Y,표1[[#This Row],[명칭]]),"-")</f>
        <v>-</v>
      </c>
      <c r="I330" s="38">
        <f>IFERROR(COUNTIF([1]AdventureDiscoveryGroup!$D$8:$AW$92,표1[[#This Row],[명칭]]),"-")</f>
        <v>0</v>
      </c>
      <c r="J330" s="38">
        <f>IFERROR(COUNTIF([1]FishDiscoveryGroup!$A:$X,표1[[#This Row],[명칭]]),"-")</f>
        <v>0</v>
      </c>
      <c r="K330" s="38" t="str">
        <f>IFERROR(COUNTIF([2]Town!$B:$B,표1[[#This Row],[명칭]]),"-")</f>
        <v>-</v>
      </c>
      <c r="L330" s="38">
        <f>IFERROR(COUNTIF([1]Village!$BR:$BR,표1[[#This Row],[명칭]]),"-")</f>
        <v>0</v>
      </c>
      <c r="M330" s="38">
        <f>COUNTIF(퀘스트!B:B,표1[[#This Row],[명칭]])</f>
        <v>0</v>
      </c>
      <c r="N330" s="65">
        <f>COUNTIF([1]VillageDiscoveryGroup!$C:$C,표1[[#This Row],[명칭]])</f>
        <v>0</v>
      </c>
      <c r="O330" s="65">
        <f>SUM(표1[[#This Row],[해양탐색]:[마을탐험]])</f>
        <v>0</v>
      </c>
    </row>
    <row r="331" spans="2:15" ht="13.5" customHeight="1" x14ac:dyDescent="0.3">
      <c r="B331" s="9">
        <f>[1]Discovery!A337</f>
        <v>70403004</v>
      </c>
      <c r="C331" s="9" t="str">
        <f>[1]Discovery!B337</f>
        <v>개미취</v>
      </c>
      <c r="D331" s="9" t="str">
        <f>[1]Discovery!E337</f>
        <v>식물</v>
      </c>
      <c r="E331" s="9" t="str">
        <f>[1]Discovery!C337</f>
        <v>쌍자엽</v>
      </c>
      <c r="F331" s="9" t="str">
        <f>[1]Discovery!G337</f>
        <v>S</v>
      </c>
      <c r="G331" s="9" t="str">
        <f>IFERROR(VLOOKUP(표1[[#This Row],[명칭]],'문화권 정리'!C:D,2,FALSE),"-")</f>
        <v>동아시아</v>
      </c>
      <c r="H331" s="38" t="str">
        <f>IFERROR(COUNTIF([2]OceanDoodad!$Y:$Y,표1[[#This Row],[명칭]]),"-")</f>
        <v>-</v>
      </c>
      <c r="I331" s="38">
        <f>IFERROR(COUNTIF([1]AdventureDiscoveryGroup!$D$8:$AW$92,표1[[#This Row],[명칭]]),"-")</f>
        <v>1</v>
      </c>
      <c r="J331" s="38">
        <f>IFERROR(COUNTIF([1]FishDiscoveryGroup!$A:$X,표1[[#This Row],[명칭]]),"-")</f>
        <v>0</v>
      </c>
      <c r="K331" s="38" t="str">
        <f>IFERROR(COUNTIF([2]Town!$B:$B,표1[[#This Row],[명칭]]),"-")</f>
        <v>-</v>
      </c>
      <c r="L331" s="38">
        <f>IFERROR(COUNTIF([1]Village!$BR:$BR,표1[[#This Row],[명칭]]),"-")</f>
        <v>0</v>
      </c>
      <c r="M331" s="38">
        <f>COUNTIF(퀘스트!B:B,표1[[#This Row],[명칭]])</f>
        <v>0</v>
      </c>
      <c r="N331" s="65">
        <f>COUNTIF([1]VillageDiscoveryGroup!$C:$C,표1[[#This Row],[명칭]])</f>
        <v>0</v>
      </c>
      <c r="O331" s="65">
        <f>SUM(표1[[#This Row],[해양탐색]:[마을탐험]])</f>
        <v>1</v>
      </c>
    </row>
    <row r="332" spans="2:15" ht="13.5" customHeight="1" x14ac:dyDescent="0.3">
      <c r="B332" s="9">
        <f>[1]Discovery!A338</f>
        <v>70403005</v>
      </c>
      <c r="C332" s="9" t="str">
        <f>[1]Discovery!B338</f>
        <v>개양귀비</v>
      </c>
      <c r="D332" s="9" t="str">
        <f>[1]Discovery!E338</f>
        <v>식물</v>
      </c>
      <c r="E332" s="9" t="str">
        <f>[1]Discovery!C338</f>
        <v>쌍자엽</v>
      </c>
      <c r="F332" s="9" t="str">
        <f>[1]Discovery!G338</f>
        <v>C</v>
      </c>
      <c r="G332" s="9" t="str">
        <f>IFERROR(VLOOKUP(표1[[#This Row],[명칭]],'문화권 정리'!C:D,2,FALSE),"-")</f>
        <v>동아시아</v>
      </c>
      <c r="H332" s="38" t="str">
        <f>IFERROR(COUNTIF([2]OceanDoodad!$Y:$Y,표1[[#This Row],[명칭]]),"-")</f>
        <v>-</v>
      </c>
      <c r="I332" s="38">
        <f>IFERROR(COUNTIF([1]AdventureDiscoveryGroup!$D$8:$AW$92,표1[[#This Row],[명칭]]),"-")</f>
        <v>0</v>
      </c>
      <c r="J332" s="38">
        <f>IFERROR(COUNTIF([1]FishDiscoveryGroup!$A:$X,표1[[#This Row],[명칭]]),"-")</f>
        <v>0</v>
      </c>
      <c r="K332" s="38" t="str">
        <f>IFERROR(COUNTIF([2]Town!$B:$B,표1[[#This Row],[명칭]]),"-")</f>
        <v>-</v>
      </c>
      <c r="L332" s="38">
        <f>IFERROR(COUNTIF([1]Village!$BR:$BR,표1[[#This Row],[명칭]]),"-")</f>
        <v>0</v>
      </c>
      <c r="M332" s="38">
        <f>COUNTIF(퀘스트!B:B,표1[[#This Row],[명칭]])</f>
        <v>0</v>
      </c>
      <c r="N332" s="65">
        <f>COUNTIF([1]VillageDiscoveryGroup!$C:$C,표1[[#This Row],[명칭]])</f>
        <v>0</v>
      </c>
      <c r="O332" s="65">
        <f>SUM(표1[[#This Row],[해양탐색]:[마을탐험]])</f>
        <v>0</v>
      </c>
    </row>
    <row r="333" spans="2:15" ht="13.5" customHeight="1" x14ac:dyDescent="0.3">
      <c r="B333" s="9">
        <f>[1]Discovery!A339</f>
        <v>70403006</v>
      </c>
      <c r="C333" s="9" t="str">
        <f>[1]Discovery!B339</f>
        <v>고사백합</v>
      </c>
      <c r="D333" s="9" t="str">
        <f>[1]Discovery!E339</f>
        <v>식물</v>
      </c>
      <c r="E333" s="9" t="str">
        <f>[1]Discovery!C339</f>
        <v>단자엽</v>
      </c>
      <c r="F333" s="9" t="str">
        <f>[1]Discovery!G339</f>
        <v>D</v>
      </c>
      <c r="G333" s="9" t="str">
        <f>IFERROR(VLOOKUP(표1[[#This Row],[명칭]],'문화권 정리'!C:D,2,FALSE),"-")</f>
        <v>동아시아</v>
      </c>
      <c r="H333" s="38" t="str">
        <f>IFERROR(COUNTIF([2]OceanDoodad!$Y:$Y,표1[[#This Row],[명칭]]),"-")</f>
        <v>-</v>
      </c>
      <c r="I333" s="38">
        <f>IFERROR(COUNTIF([1]AdventureDiscoveryGroup!$D$8:$AW$92,표1[[#This Row],[명칭]]),"-")</f>
        <v>1</v>
      </c>
      <c r="J333" s="38">
        <f>IFERROR(COUNTIF([1]FishDiscoveryGroup!$A:$X,표1[[#This Row],[명칭]]),"-")</f>
        <v>0</v>
      </c>
      <c r="K333" s="38" t="str">
        <f>IFERROR(COUNTIF([2]Town!$B:$B,표1[[#This Row],[명칭]]),"-")</f>
        <v>-</v>
      </c>
      <c r="L333" s="38">
        <f>IFERROR(COUNTIF([1]Village!$BR:$BR,표1[[#This Row],[명칭]]),"-")</f>
        <v>0</v>
      </c>
      <c r="M333" s="38">
        <f>COUNTIF(퀘스트!B:B,표1[[#This Row],[명칭]])</f>
        <v>0</v>
      </c>
      <c r="N333" s="65">
        <f>COUNTIF([1]VillageDiscoveryGroup!$C:$C,표1[[#This Row],[명칭]])</f>
        <v>0</v>
      </c>
      <c r="O333" s="65">
        <f>SUM(표1[[#This Row],[해양탐색]:[마을탐험]])</f>
        <v>1</v>
      </c>
    </row>
    <row r="334" spans="2:15" ht="13.5" customHeight="1" x14ac:dyDescent="0.3">
      <c r="B334" s="9">
        <f>[1]Discovery!A340</f>
        <v>70403007</v>
      </c>
      <c r="C334" s="9" t="str">
        <f>[1]Discovery!B340</f>
        <v>고추나물</v>
      </c>
      <c r="D334" s="9" t="str">
        <f>[1]Discovery!E340</f>
        <v>식물</v>
      </c>
      <c r="E334" s="9" t="str">
        <f>[1]Discovery!C340</f>
        <v>쌍자엽</v>
      </c>
      <c r="F334" s="9" t="str">
        <f>[1]Discovery!G340</f>
        <v>B</v>
      </c>
      <c r="G334" s="9" t="str">
        <f>IFERROR(VLOOKUP(표1[[#This Row],[명칭]],'문화권 정리'!C:D,2,FALSE),"-")</f>
        <v>동아시아</v>
      </c>
      <c r="H334" s="38" t="str">
        <f>IFERROR(COUNTIF([2]OceanDoodad!$Y:$Y,표1[[#This Row],[명칭]]),"-")</f>
        <v>-</v>
      </c>
      <c r="I334" s="38">
        <f>IFERROR(COUNTIF([1]AdventureDiscoveryGroup!$D$8:$AW$92,표1[[#This Row],[명칭]]),"-")</f>
        <v>0</v>
      </c>
      <c r="J334" s="38">
        <f>IFERROR(COUNTIF([1]FishDiscoveryGroup!$A:$X,표1[[#This Row],[명칭]]),"-")</f>
        <v>0</v>
      </c>
      <c r="K334" s="38" t="str">
        <f>IFERROR(COUNTIF([2]Town!$B:$B,표1[[#This Row],[명칭]]),"-")</f>
        <v>-</v>
      </c>
      <c r="L334" s="38">
        <f>IFERROR(COUNTIF([1]Village!$BR:$BR,표1[[#This Row],[명칭]]),"-")</f>
        <v>0</v>
      </c>
      <c r="M334" s="38">
        <f>COUNTIF(퀘스트!B:B,표1[[#This Row],[명칭]])</f>
        <v>0</v>
      </c>
      <c r="N334" s="65">
        <f>COUNTIF([1]VillageDiscoveryGroup!$C:$C,표1[[#This Row],[명칭]])</f>
        <v>1</v>
      </c>
      <c r="O334" s="65">
        <f>SUM(표1[[#This Row],[해양탐색]:[마을탐험]])</f>
        <v>1</v>
      </c>
    </row>
    <row r="335" spans="2:15" ht="13.5" customHeight="1" x14ac:dyDescent="0.3">
      <c r="B335" s="9">
        <f>[1]Discovery!A341</f>
        <v>70403008</v>
      </c>
      <c r="C335" s="9" t="str">
        <f>[1]Discovery!B341</f>
        <v>과라나</v>
      </c>
      <c r="D335" s="9" t="str">
        <f>[1]Discovery!E341</f>
        <v>식물</v>
      </c>
      <c r="E335" s="9" t="str">
        <f>[1]Discovery!C341</f>
        <v>쌍자엽</v>
      </c>
      <c r="F335" s="9" t="str">
        <f>[1]Discovery!G341</f>
        <v>B</v>
      </c>
      <c r="G335" s="9" t="str">
        <f>IFERROR(VLOOKUP(표1[[#This Row],[명칭]],'문화권 정리'!C:D,2,FALSE),"-")</f>
        <v>남아메리카</v>
      </c>
      <c r="H335" s="38" t="str">
        <f>IFERROR(COUNTIF([2]OceanDoodad!$Y:$Y,표1[[#This Row],[명칭]]),"-")</f>
        <v>-</v>
      </c>
      <c r="I335" s="38">
        <f>IFERROR(COUNTIF([1]AdventureDiscoveryGroup!$D$8:$AW$92,표1[[#This Row],[명칭]]),"-")</f>
        <v>0</v>
      </c>
      <c r="J335" s="38">
        <f>IFERROR(COUNTIF([1]FishDiscoveryGroup!$A:$X,표1[[#This Row],[명칭]]),"-")</f>
        <v>0</v>
      </c>
      <c r="K335" s="38" t="str">
        <f>IFERROR(COUNTIF([2]Town!$B:$B,표1[[#This Row],[명칭]]),"-")</f>
        <v>-</v>
      </c>
      <c r="L335" s="38">
        <f>IFERROR(COUNTIF([1]Village!$BR:$BR,표1[[#This Row],[명칭]]),"-")</f>
        <v>0</v>
      </c>
      <c r="M335" s="38">
        <f>COUNTIF(퀘스트!B:B,표1[[#This Row],[명칭]])</f>
        <v>0</v>
      </c>
      <c r="N335" s="65">
        <f>COUNTIF([1]VillageDiscoveryGroup!$C:$C,표1[[#This Row],[명칭]])</f>
        <v>0</v>
      </c>
      <c r="O335" s="65">
        <f>SUM(표1[[#This Row],[해양탐색]:[마을탐험]])</f>
        <v>0</v>
      </c>
    </row>
    <row r="336" spans="2:15" ht="13.5" customHeight="1" x14ac:dyDescent="0.3">
      <c r="B336" s="9">
        <f>[1]Discovery!A342</f>
        <v>70403009</v>
      </c>
      <c r="C336" s="9" t="str">
        <f>[1]Discovery!B342</f>
        <v>구아바</v>
      </c>
      <c r="D336" s="9" t="str">
        <f>[1]Discovery!E342</f>
        <v>식물</v>
      </c>
      <c r="E336" s="9" t="str">
        <f>[1]Discovery!C342</f>
        <v>쌍자엽</v>
      </c>
      <c r="F336" s="9" t="str">
        <f>[1]Discovery!G342</f>
        <v>B</v>
      </c>
      <c r="G336" s="9" t="str">
        <f>IFERROR(VLOOKUP(표1[[#This Row],[명칭]],'문화권 정리'!C:D,2,FALSE),"-")</f>
        <v>중앙아메리카</v>
      </c>
      <c r="H336" s="38" t="str">
        <f>IFERROR(COUNTIF([2]OceanDoodad!$Y:$Y,표1[[#This Row],[명칭]]),"-")</f>
        <v>-</v>
      </c>
      <c r="I336" s="38">
        <f>IFERROR(COUNTIF([1]AdventureDiscoveryGroup!$D$8:$AW$92,표1[[#This Row],[명칭]]),"-")</f>
        <v>0</v>
      </c>
      <c r="J336" s="38">
        <f>IFERROR(COUNTIF([1]FishDiscoveryGroup!$A:$X,표1[[#This Row],[명칭]]),"-")</f>
        <v>0</v>
      </c>
      <c r="K336" s="38" t="str">
        <f>IFERROR(COUNTIF([2]Town!$B:$B,표1[[#This Row],[명칭]]),"-")</f>
        <v>-</v>
      </c>
      <c r="L336" s="38">
        <f>IFERROR(COUNTIF([1]Village!$BR:$BR,표1[[#This Row],[명칭]]),"-")</f>
        <v>0</v>
      </c>
      <c r="M336" s="38">
        <f>COUNTIF(퀘스트!B:B,표1[[#This Row],[명칭]])</f>
        <v>0</v>
      </c>
      <c r="N336" s="65">
        <f>COUNTIF([1]VillageDiscoveryGroup!$C:$C,표1[[#This Row],[명칭]])</f>
        <v>1</v>
      </c>
      <c r="O336" s="65">
        <f>SUM(표1[[#This Row],[해양탐색]:[마을탐험]])</f>
        <v>1</v>
      </c>
    </row>
    <row r="337" spans="2:15" ht="13.5" customHeight="1" x14ac:dyDescent="0.3">
      <c r="B337" s="9">
        <f>[1]Discovery!A343</f>
        <v>70403010</v>
      </c>
      <c r="C337" s="9" t="str">
        <f>[1]Discovery!B343</f>
        <v>군자란</v>
      </c>
      <c r="D337" s="9" t="str">
        <f>[1]Discovery!E343</f>
        <v>식물</v>
      </c>
      <c r="E337" s="9" t="str">
        <f>[1]Discovery!C343</f>
        <v>단자엽</v>
      </c>
      <c r="F337" s="9" t="str">
        <f>[1]Discovery!G343</f>
        <v>D</v>
      </c>
      <c r="G337" s="9" t="str">
        <f>IFERROR(VLOOKUP(표1[[#This Row],[명칭]],'문화권 정리'!C:D,2,FALSE),"-")</f>
        <v>남아프리카</v>
      </c>
      <c r="H337" s="38" t="str">
        <f>IFERROR(COUNTIF([2]OceanDoodad!$Y:$Y,표1[[#This Row],[명칭]]),"-")</f>
        <v>-</v>
      </c>
      <c r="I337" s="38">
        <f>IFERROR(COUNTIF([1]AdventureDiscoveryGroup!$D$8:$AW$92,표1[[#This Row],[명칭]]),"-")</f>
        <v>1</v>
      </c>
      <c r="J337" s="38">
        <f>IFERROR(COUNTIF([1]FishDiscoveryGroup!$A:$X,표1[[#This Row],[명칭]]),"-")</f>
        <v>0</v>
      </c>
      <c r="K337" s="38" t="str">
        <f>IFERROR(COUNTIF([2]Town!$B:$B,표1[[#This Row],[명칭]]),"-")</f>
        <v>-</v>
      </c>
      <c r="L337" s="38">
        <f>IFERROR(COUNTIF([1]Village!$BR:$BR,표1[[#This Row],[명칭]]),"-")</f>
        <v>0</v>
      </c>
      <c r="M337" s="38">
        <f>COUNTIF(퀘스트!B:B,표1[[#This Row],[명칭]])</f>
        <v>0</v>
      </c>
      <c r="N337" s="65">
        <f>COUNTIF([1]VillageDiscoveryGroup!$C:$C,표1[[#This Row],[명칭]])</f>
        <v>0</v>
      </c>
      <c r="O337" s="65">
        <f>SUM(표1[[#This Row],[해양탐색]:[마을탐험]])</f>
        <v>1</v>
      </c>
    </row>
    <row r="338" spans="2:15" ht="13.5" customHeight="1" x14ac:dyDescent="0.3">
      <c r="B338" s="9">
        <f>[1]Discovery!A344</f>
        <v>70403011</v>
      </c>
      <c r="C338" s="9" t="str">
        <f>[1]Discovery!B344</f>
        <v>그레빌레아</v>
      </c>
      <c r="D338" s="9" t="str">
        <f>[1]Discovery!E344</f>
        <v>식물</v>
      </c>
      <c r="E338" s="9" t="str">
        <f>[1]Discovery!C344</f>
        <v>쌍자엽</v>
      </c>
      <c r="F338" s="9" t="str">
        <f>[1]Discovery!G344</f>
        <v>B</v>
      </c>
      <c r="G338" s="9" t="str">
        <f>IFERROR(VLOOKUP(표1[[#This Row],[명칭]],'문화권 정리'!C:D,2,FALSE),"-")</f>
        <v>오세아니아</v>
      </c>
      <c r="H338" s="38" t="str">
        <f>IFERROR(COUNTIF([2]OceanDoodad!$Y:$Y,표1[[#This Row],[명칭]]),"-")</f>
        <v>-</v>
      </c>
      <c r="I338" s="38">
        <f>IFERROR(COUNTIF([1]AdventureDiscoveryGroup!$D$8:$AW$92,표1[[#This Row],[명칭]]),"-")</f>
        <v>0</v>
      </c>
      <c r="J338" s="38">
        <f>IFERROR(COUNTIF([1]FishDiscoveryGroup!$A:$X,표1[[#This Row],[명칭]]),"-")</f>
        <v>0</v>
      </c>
      <c r="K338" s="38" t="str">
        <f>IFERROR(COUNTIF([2]Town!$B:$B,표1[[#This Row],[명칭]]),"-")</f>
        <v>-</v>
      </c>
      <c r="L338" s="38">
        <f>IFERROR(COUNTIF([1]Village!$BR:$BR,표1[[#This Row],[명칭]]),"-")</f>
        <v>0</v>
      </c>
      <c r="M338" s="38">
        <f>COUNTIF(퀘스트!B:B,표1[[#This Row],[명칭]])</f>
        <v>0</v>
      </c>
      <c r="N338" s="65">
        <f>COUNTIF([1]VillageDiscoveryGroup!$C:$C,표1[[#This Row],[명칭]])</f>
        <v>0</v>
      </c>
      <c r="O338" s="65">
        <f>SUM(표1[[#This Row],[해양탐색]:[마을탐험]])</f>
        <v>0</v>
      </c>
    </row>
    <row r="339" spans="2:15" ht="13.5" customHeight="1" x14ac:dyDescent="0.3">
      <c r="B339" s="9">
        <f>[1]Discovery!A345</f>
        <v>70403012</v>
      </c>
      <c r="C339" s="9" t="str">
        <f>[1]Discovery!B345</f>
        <v>극락조화</v>
      </c>
      <c r="D339" s="9" t="str">
        <f>[1]Discovery!E345</f>
        <v>식물</v>
      </c>
      <c r="E339" s="9" t="str">
        <f>[1]Discovery!C345</f>
        <v>쌍자엽</v>
      </c>
      <c r="F339" s="9" t="str">
        <f>[1]Discovery!G345</f>
        <v>B</v>
      </c>
      <c r="G339" s="9" t="str">
        <f>IFERROR(VLOOKUP(표1[[#This Row],[명칭]],'문화권 정리'!C:D,2,FALSE),"-")</f>
        <v>남아프리카</v>
      </c>
      <c r="H339" s="38" t="str">
        <f>IFERROR(COUNTIF([2]OceanDoodad!$Y:$Y,표1[[#This Row],[명칭]]),"-")</f>
        <v>-</v>
      </c>
      <c r="I339" s="38">
        <f>IFERROR(COUNTIF([1]AdventureDiscoveryGroup!$D$8:$AW$92,표1[[#This Row],[명칭]]),"-")</f>
        <v>1</v>
      </c>
      <c r="J339" s="38">
        <f>IFERROR(COUNTIF([1]FishDiscoveryGroup!$A:$X,표1[[#This Row],[명칭]]),"-")</f>
        <v>0</v>
      </c>
      <c r="K339" s="38" t="str">
        <f>IFERROR(COUNTIF([2]Town!$B:$B,표1[[#This Row],[명칭]]),"-")</f>
        <v>-</v>
      </c>
      <c r="L339" s="38">
        <f>IFERROR(COUNTIF([1]Village!$BR:$BR,표1[[#This Row],[명칭]]),"-")</f>
        <v>0</v>
      </c>
      <c r="M339" s="38">
        <f>COUNTIF(퀘스트!B:B,표1[[#This Row],[명칭]])</f>
        <v>0</v>
      </c>
      <c r="N339" s="65">
        <f>COUNTIF([1]VillageDiscoveryGroup!$C:$C,표1[[#This Row],[명칭]])</f>
        <v>0</v>
      </c>
      <c r="O339" s="65">
        <f>SUM(표1[[#This Row],[해양탐색]:[마을탐험]])</f>
        <v>1</v>
      </c>
    </row>
    <row r="340" spans="2:15" ht="13.5" customHeight="1" x14ac:dyDescent="0.3">
      <c r="B340" s="9">
        <f>[1]Discovery!A346</f>
        <v>70403013</v>
      </c>
      <c r="C340" s="9" t="str">
        <f>[1]Discovery!B346</f>
        <v>금강제비꽃</v>
      </c>
      <c r="D340" s="9" t="str">
        <f>[1]Discovery!E346</f>
        <v>식물</v>
      </c>
      <c r="E340" s="9" t="str">
        <f>[1]Discovery!C346</f>
        <v>쌍자엽</v>
      </c>
      <c r="F340" s="9" t="str">
        <f>[1]Discovery!G346</f>
        <v>A</v>
      </c>
      <c r="G340" s="9" t="str">
        <f>IFERROR(VLOOKUP(표1[[#This Row],[명칭]],'문화권 정리'!C:D,2,FALSE),"-")</f>
        <v>동아시아</v>
      </c>
      <c r="H340" s="38" t="str">
        <f>IFERROR(COUNTIF([2]OceanDoodad!$Y:$Y,표1[[#This Row],[명칭]]),"-")</f>
        <v>-</v>
      </c>
      <c r="I340" s="38">
        <f>IFERROR(COUNTIF([1]AdventureDiscoveryGroup!$D$8:$AW$92,표1[[#This Row],[명칭]]),"-")</f>
        <v>0</v>
      </c>
      <c r="J340" s="38">
        <f>IFERROR(COUNTIF([1]FishDiscoveryGroup!$A:$X,표1[[#This Row],[명칭]]),"-")</f>
        <v>0</v>
      </c>
      <c r="K340" s="38" t="str">
        <f>IFERROR(COUNTIF([2]Town!$B:$B,표1[[#This Row],[명칭]]),"-")</f>
        <v>-</v>
      </c>
      <c r="L340" s="38">
        <f>IFERROR(COUNTIF([1]Village!$BR:$BR,표1[[#This Row],[명칭]]),"-")</f>
        <v>0</v>
      </c>
      <c r="M340" s="38">
        <f>COUNTIF(퀘스트!B:B,표1[[#This Row],[명칭]])</f>
        <v>0</v>
      </c>
      <c r="N340" s="65">
        <f>COUNTIF([1]VillageDiscoveryGroup!$C:$C,표1[[#This Row],[명칭]])</f>
        <v>0</v>
      </c>
      <c r="O340" s="65">
        <f>SUM(표1[[#This Row],[해양탐색]:[마을탐험]])</f>
        <v>0</v>
      </c>
    </row>
    <row r="341" spans="2:15" ht="13.5" customHeight="1" x14ac:dyDescent="0.3">
      <c r="B341" s="9">
        <f>[1]Discovery!A347</f>
        <v>70403014</v>
      </c>
      <c r="C341" s="9" t="str">
        <f>[1]Discovery!B347</f>
        <v>금사슬나무</v>
      </c>
      <c r="D341" s="9" t="str">
        <f>[1]Discovery!E347</f>
        <v>식물</v>
      </c>
      <c r="E341" s="9" t="str">
        <f>[1]Discovery!C347</f>
        <v>쌍자엽</v>
      </c>
      <c r="F341" s="9" t="str">
        <f>[1]Discovery!G347</f>
        <v>C</v>
      </c>
      <c r="G341" s="9" t="str">
        <f>IFERROR(VLOOKUP(표1[[#This Row],[명칭]],'문화권 정리'!C:D,2,FALSE),"-")</f>
        <v>지중해</v>
      </c>
      <c r="H341" s="38" t="str">
        <f>IFERROR(COUNTIF([2]OceanDoodad!$Y:$Y,표1[[#This Row],[명칭]]),"-")</f>
        <v>-</v>
      </c>
      <c r="I341" s="38">
        <f>IFERROR(COUNTIF([1]AdventureDiscoveryGroup!$D$8:$AW$92,표1[[#This Row],[명칭]]),"-")</f>
        <v>0</v>
      </c>
      <c r="J341" s="38">
        <f>IFERROR(COUNTIF([1]FishDiscoveryGroup!$A:$X,표1[[#This Row],[명칭]]),"-")</f>
        <v>0</v>
      </c>
      <c r="K341" s="38" t="str">
        <f>IFERROR(COUNTIF([2]Town!$B:$B,표1[[#This Row],[명칭]]),"-")</f>
        <v>-</v>
      </c>
      <c r="L341" s="38">
        <f>IFERROR(COUNTIF([1]Village!$BR:$BR,표1[[#This Row],[명칭]]),"-")</f>
        <v>0</v>
      </c>
      <c r="M341" s="38">
        <f>COUNTIF(퀘스트!B:B,표1[[#This Row],[명칭]])</f>
        <v>0</v>
      </c>
      <c r="N341" s="65">
        <f>COUNTIF([1]VillageDiscoveryGroup!$C:$C,표1[[#This Row],[명칭]])</f>
        <v>1</v>
      </c>
      <c r="O341" s="65">
        <f>SUM(표1[[#This Row],[해양탐색]:[마을탐험]])</f>
        <v>1</v>
      </c>
    </row>
    <row r="342" spans="2:15" ht="13.5" customHeight="1" x14ac:dyDescent="0.3">
      <c r="B342" s="9">
        <f>[1]Discovery!A348</f>
        <v>70403015</v>
      </c>
      <c r="C342" s="9" t="str">
        <f>[1]Discovery!B348</f>
        <v>꽃산딸나무</v>
      </c>
      <c r="D342" s="9" t="str">
        <f>[1]Discovery!E348</f>
        <v>식물</v>
      </c>
      <c r="E342" s="9" t="str">
        <f>[1]Discovery!C348</f>
        <v>쌍자엽</v>
      </c>
      <c r="F342" s="9" t="str">
        <f>[1]Discovery!G348</f>
        <v>A</v>
      </c>
      <c r="G342" s="9" t="str">
        <f>IFERROR(VLOOKUP(표1[[#This Row],[명칭]],'문화권 정리'!C:D,2,FALSE),"-")</f>
        <v>북아메리카</v>
      </c>
      <c r="H342" s="38" t="str">
        <f>IFERROR(COUNTIF([2]OceanDoodad!$Y:$Y,표1[[#This Row],[명칭]]),"-")</f>
        <v>-</v>
      </c>
      <c r="I342" s="38">
        <f>IFERROR(COUNTIF([1]AdventureDiscoveryGroup!$D$8:$AW$92,표1[[#This Row],[명칭]]),"-")</f>
        <v>1</v>
      </c>
      <c r="J342" s="38">
        <f>IFERROR(COUNTIF([1]FishDiscoveryGroup!$A:$X,표1[[#This Row],[명칭]]),"-")</f>
        <v>0</v>
      </c>
      <c r="K342" s="38" t="str">
        <f>IFERROR(COUNTIF([2]Town!$B:$B,표1[[#This Row],[명칭]]),"-")</f>
        <v>-</v>
      </c>
      <c r="L342" s="38">
        <f>IFERROR(COUNTIF([1]Village!$BR:$BR,표1[[#This Row],[명칭]]),"-")</f>
        <v>0</v>
      </c>
      <c r="M342" s="38">
        <f>COUNTIF(퀘스트!B:B,표1[[#This Row],[명칭]])</f>
        <v>0</v>
      </c>
      <c r="N342" s="65">
        <f>COUNTIF([1]VillageDiscoveryGroup!$C:$C,표1[[#This Row],[명칭]])</f>
        <v>0</v>
      </c>
      <c r="O342" s="65">
        <f>SUM(표1[[#This Row],[해양탐색]:[마을탐험]])</f>
        <v>1</v>
      </c>
    </row>
    <row r="343" spans="2:15" ht="13.5" customHeight="1" x14ac:dyDescent="0.3">
      <c r="B343" s="9">
        <f>[1]Discovery!A349</f>
        <v>70403016</v>
      </c>
      <c r="C343" s="9" t="str">
        <f>[1]Discovery!B349</f>
        <v>끈끈이주걱</v>
      </c>
      <c r="D343" s="9" t="str">
        <f>[1]Discovery!E349</f>
        <v>식물</v>
      </c>
      <c r="E343" s="9" t="str">
        <f>[1]Discovery!C349</f>
        <v>쌍자엽</v>
      </c>
      <c r="F343" s="9" t="str">
        <f>[1]Discovery!G349</f>
        <v>A</v>
      </c>
      <c r="G343" s="9" t="str">
        <f>IFERROR(VLOOKUP(표1[[#This Row],[명칭]],'문화권 정리'!C:D,2,FALSE),"-")</f>
        <v>지중해</v>
      </c>
      <c r="H343" s="38" t="str">
        <f>IFERROR(COUNTIF([2]OceanDoodad!$Y:$Y,표1[[#This Row],[명칭]]),"-")</f>
        <v>-</v>
      </c>
      <c r="I343" s="38">
        <f>IFERROR(COUNTIF([1]AdventureDiscoveryGroup!$D$8:$AW$92,표1[[#This Row],[명칭]]),"-")</f>
        <v>0</v>
      </c>
      <c r="J343" s="38">
        <f>IFERROR(COUNTIF([1]FishDiscoveryGroup!$A:$X,표1[[#This Row],[명칭]]),"-")</f>
        <v>0</v>
      </c>
      <c r="K343" s="38" t="str">
        <f>IFERROR(COUNTIF([2]Town!$B:$B,표1[[#This Row],[명칭]]),"-")</f>
        <v>-</v>
      </c>
      <c r="L343" s="38">
        <f>IFERROR(COUNTIF([1]Village!$BR:$BR,표1[[#This Row],[명칭]]),"-")</f>
        <v>0</v>
      </c>
      <c r="M343" s="38">
        <f>COUNTIF(퀘스트!B:B,표1[[#This Row],[명칭]])</f>
        <v>1</v>
      </c>
      <c r="N343" s="65">
        <f>COUNTIF([1]VillageDiscoveryGroup!$C:$C,표1[[#This Row],[명칭]])</f>
        <v>0</v>
      </c>
      <c r="O343" s="65">
        <f>SUM(표1[[#This Row],[해양탐색]:[마을탐험]])</f>
        <v>1</v>
      </c>
    </row>
    <row r="344" spans="2:15" ht="13.5" customHeight="1" x14ac:dyDescent="0.3">
      <c r="B344" s="9">
        <f>[1]Discovery!A350</f>
        <v>70403017</v>
      </c>
      <c r="C344" s="9" t="str">
        <f>[1]Discovery!B350</f>
        <v>네펜테스</v>
      </c>
      <c r="D344" s="9" t="str">
        <f>[1]Discovery!E350</f>
        <v>식물</v>
      </c>
      <c r="E344" s="9" t="str">
        <f>[1]Discovery!C350</f>
        <v>쌍자엽</v>
      </c>
      <c r="F344" s="9" t="str">
        <f>[1]Discovery!G350</f>
        <v>S</v>
      </c>
      <c r="G344" s="9" t="str">
        <f>IFERROR(VLOOKUP(표1[[#This Row],[명칭]],'문화권 정리'!C:D,2,FALSE),"-")</f>
        <v>동남아시아</v>
      </c>
      <c r="H344" s="38" t="str">
        <f>IFERROR(COUNTIF([2]OceanDoodad!$Y:$Y,표1[[#This Row],[명칭]]),"-")</f>
        <v>-</v>
      </c>
      <c r="I344" s="38">
        <f>IFERROR(COUNTIF([1]AdventureDiscoveryGroup!$D$8:$AW$92,표1[[#This Row],[명칭]]),"-")</f>
        <v>0</v>
      </c>
      <c r="J344" s="38">
        <f>IFERROR(COUNTIF([1]FishDiscoveryGroup!$A:$X,표1[[#This Row],[명칭]]),"-")</f>
        <v>0</v>
      </c>
      <c r="K344" s="38" t="str">
        <f>IFERROR(COUNTIF([2]Town!$B:$B,표1[[#This Row],[명칭]]),"-")</f>
        <v>-</v>
      </c>
      <c r="L344" s="38">
        <f>IFERROR(COUNTIF([1]Village!$BR:$BR,표1[[#This Row],[명칭]]),"-")</f>
        <v>0</v>
      </c>
      <c r="M344" s="38">
        <f>COUNTIF(퀘스트!B:B,표1[[#This Row],[명칭]])</f>
        <v>1</v>
      </c>
      <c r="N344" s="65">
        <f>COUNTIF([1]VillageDiscoveryGroup!$C:$C,표1[[#This Row],[명칭]])</f>
        <v>0</v>
      </c>
      <c r="O344" s="65">
        <f>SUM(표1[[#This Row],[해양탐색]:[마을탐험]])</f>
        <v>1</v>
      </c>
    </row>
    <row r="345" spans="2:15" ht="13.5" customHeight="1" x14ac:dyDescent="0.3">
      <c r="B345" s="9">
        <f>[1]Discovery!A351</f>
        <v>70403018</v>
      </c>
      <c r="C345" s="9" t="str">
        <f>[1]Discovery!B351</f>
        <v>노랑제비꽃</v>
      </c>
      <c r="D345" s="9" t="str">
        <f>[1]Discovery!E351</f>
        <v>식물</v>
      </c>
      <c r="E345" s="9" t="str">
        <f>[1]Discovery!C351</f>
        <v>쌍자엽</v>
      </c>
      <c r="F345" s="9" t="str">
        <f>[1]Discovery!G351</f>
        <v>A</v>
      </c>
      <c r="G345" s="9" t="str">
        <f>IFERROR(VLOOKUP(표1[[#This Row],[명칭]],'문화권 정리'!C:D,2,FALSE),"-")</f>
        <v>동아시아</v>
      </c>
      <c r="H345" s="38" t="str">
        <f>IFERROR(COUNTIF([2]OceanDoodad!$Y:$Y,표1[[#This Row],[명칭]]),"-")</f>
        <v>-</v>
      </c>
      <c r="I345" s="38">
        <f>IFERROR(COUNTIF([1]AdventureDiscoveryGroup!$D$8:$AW$92,표1[[#This Row],[명칭]]),"-")</f>
        <v>0</v>
      </c>
      <c r="J345" s="38">
        <f>IFERROR(COUNTIF([1]FishDiscoveryGroup!$A:$X,표1[[#This Row],[명칭]]),"-")</f>
        <v>0</v>
      </c>
      <c r="K345" s="38" t="str">
        <f>IFERROR(COUNTIF([2]Town!$B:$B,표1[[#This Row],[명칭]]),"-")</f>
        <v>-</v>
      </c>
      <c r="L345" s="38">
        <f>IFERROR(COUNTIF([1]Village!$BR:$BR,표1[[#This Row],[명칭]]),"-")</f>
        <v>0</v>
      </c>
      <c r="M345" s="38">
        <f>COUNTIF(퀘스트!B:B,표1[[#This Row],[명칭]])</f>
        <v>0</v>
      </c>
      <c r="N345" s="65">
        <f>COUNTIF([1]VillageDiscoveryGroup!$C:$C,표1[[#This Row],[명칭]])</f>
        <v>1</v>
      </c>
      <c r="O345" s="65">
        <f>SUM(표1[[#This Row],[해양탐색]:[마을탐험]])</f>
        <v>1</v>
      </c>
    </row>
    <row r="346" spans="2:15" ht="13.5" customHeight="1" x14ac:dyDescent="0.3">
      <c r="B346" s="9">
        <f>[1]Discovery!A352</f>
        <v>70403019</v>
      </c>
      <c r="C346" s="9" t="str">
        <f>[1]Discovery!B352</f>
        <v>다마스크 장미</v>
      </c>
      <c r="D346" s="9" t="str">
        <f>[1]Discovery!E352</f>
        <v>식물</v>
      </c>
      <c r="E346" s="9" t="str">
        <f>[1]Discovery!C352</f>
        <v>쌍자엽</v>
      </c>
      <c r="F346" s="9" t="str">
        <f>[1]Discovery!G352</f>
        <v>S</v>
      </c>
      <c r="G346" s="9" t="str">
        <f>IFERROR(VLOOKUP(표1[[#This Row],[명칭]],'문화권 정리'!C:D,2,FALSE),"-")</f>
        <v>지중해</v>
      </c>
      <c r="H346" s="38" t="str">
        <f>IFERROR(COUNTIF([2]OceanDoodad!$Y:$Y,표1[[#This Row],[명칭]]),"-")</f>
        <v>-</v>
      </c>
      <c r="I346" s="38">
        <f>IFERROR(COUNTIF([1]AdventureDiscoveryGroup!$D$8:$AW$92,표1[[#This Row],[명칭]]),"-")</f>
        <v>0</v>
      </c>
      <c r="J346" s="38">
        <f>IFERROR(COUNTIF([1]FishDiscoveryGroup!$A:$X,표1[[#This Row],[명칭]]),"-")</f>
        <v>0</v>
      </c>
      <c r="K346" s="38" t="str">
        <f>IFERROR(COUNTIF([2]Town!$B:$B,표1[[#This Row],[명칭]]),"-")</f>
        <v>-</v>
      </c>
      <c r="L346" s="38">
        <f>IFERROR(COUNTIF([1]Village!$BR:$BR,표1[[#This Row],[명칭]]),"-")</f>
        <v>0</v>
      </c>
      <c r="M346" s="38">
        <f>COUNTIF(퀘스트!B:B,표1[[#This Row],[명칭]])</f>
        <v>0</v>
      </c>
      <c r="N346" s="65">
        <f>COUNTIF([1]VillageDiscoveryGroup!$C:$C,표1[[#This Row],[명칭]])</f>
        <v>0</v>
      </c>
      <c r="O346" s="65">
        <f>SUM(표1[[#This Row],[해양탐색]:[마을탐험]])</f>
        <v>0</v>
      </c>
    </row>
    <row r="347" spans="2:15" ht="13.5" customHeight="1" x14ac:dyDescent="0.3">
      <c r="B347" s="9">
        <f>[1]Discovery!A353</f>
        <v>70403020</v>
      </c>
      <c r="C347" s="9" t="str">
        <f>[1]Discovery!B353</f>
        <v>단풍나무</v>
      </c>
      <c r="D347" s="9" t="str">
        <f>[1]Discovery!E353</f>
        <v>식물</v>
      </c>
      <c r="E347" s="9" t="str">
        <f>[1]Discovery!C353</f>
        <v>쌍자엽</v>
      </c>
      <c r="F347" s="9" t="str">
        <f>[1]Discovery!G353</f>
        <v>A</v>
      </c>
      <c r="G347" s="9" t="str">
        <f>IFERROR(VLOOKUP(표1[[#This Row],[명칭]],'문화권 정리'!C:D,2,FALSE),"-")</f>
        <v>동아시아</v>
      </c>
      <c r="H347" s="38" t="str">
        <f>IFERROR(COUNTIF([2]OceanDoodad!$Y:$Y,표1[[#This Row],[명칭]]),"-")</f>
        <v>-</v>
      </c>
      <c r="I347" s="38">
        <f>IFERROR(COUNTIF([1]AdventureDiscoveryGroup!$D$8:$AW$92,표1[[#This Row],[명칭]]),"-")</f>
        <v>1</v>
      </c>
      <c r="J347" s="38">
        <f>IFERROR(COUNTIF([1]FishDiscoveryGroup!$A:$X,표1[[#This Row],[명칭]]),"-")</f>
        <v>0</v>
      </c>
      <c r="K347" s="38" t="str">
        <f>IFERROR(COUNTIF([2]Town!$B:$B,표1[[#This Row],[명칭]]),"-")</f>
        <v>-</v>
      </c>
      <c r="L347" s="38">
        <f>IFERROR(COUNTIF([1]Village!$BR:$BR,표1[[#This Row],[명칭]]),"-")</f>
        <v>0</v>
      </c>
      <c r="M347" s="38">
        <f>COUNTIF(퀘스트!B:B,표1[[#This Row],[명칭]])</f>
        <v>0</v>
      </c>
      <c r="N347" s="65">
        <f>COUNTIF([1]VillageDiscoveryGroup!$C:$C,표1[[#This Row],[명칭]])</f>
        <v>0</v>
      </c>
      <c r="O347" s="65">
        <f>SUM(표1[[#This Row],[해양탐색]:[마을탐험]])</f>
        <v>1</v>
      </c>
    </row>
    <row r="348" spans="2:15" ht="13.5" customHeight="1" x14ac:dyDescent="0.3">
      <c r="B348" s="9">
        <f>[1]Discovery!A354</f>
        <v>70403021</v>
      </c>
      <c r="C348" s="9" t="str">
        <f>[1]Discovery!B354</f>
        <v>달래</v>
      </c>
      <c r="D348" s="9" t="str">
        <f>[1]Discovery!E354</f>
        <v>식물</v>
      </c>
      <c r="E348" s="9" t="str">
        <f>[1]Discovery!C354</f>
        <v>단자엽</v>
      </c>
      <c r="F348" s="9" t="str">
        <f>[1]Discovery!G354</f>
        <v>C</v>
      </c>
      <c r="G348" s="9" t="str">
        <f>IFERROR(VLOOKUP(표1[[#This Row],[명칭]],'문화권 정리'!C:D,2,FALSE),"-")</f>
        <v>동아시아</v>
      </c>
      <c r="H348" s="38" t="str">
        <f>IFERROR(COUNTIF([2]OceanDoodad!$Y:$Y,표1[[#This Row],[명칭]]),"-")</f>
        <v>-</v>
      </c>
      <c r="I348" s="38">
        <f>IFERROR(COUNTIF([1]AdventureDiscoveryGroup!$D$8:$AW$92,표1[[#This Row],[명칭]]),"-")</f>
        <v>0</v>
      </c>
      <c r="J348" s="38">
        <f>IFERROR(COUNTIF([1]FishDiscoveryGroup!$A:$X,표1[[#This Row],[명칭]]),"-")</f>
        <v>0</v>
      </c>
      <c r="K348" s="38" t="str">
        <f>IFERROR(COUNTIF([2]Town!$B:$B,표1[[#This Row],[명칭]]),"-")</f>
        <v>-</v>
      </c>
      <c r="L348" s="38">
        <f>IFERROR(COUNTIF([1]Village!$BR:$BR,표1[[#This Row],[명칭]]),"-")</f>
        <v>0</v>
      </c>
      <c r="M348" s="38">
        <f>COUNTIF(퀘스트!B:B,표1[[#This Row],[명칭]])</f>
        <v>0</v>
      </c>
      <c r="N348" s="65">
        <f>COUNTIF([1]VillageDiscoveryGroup!$C:$C,표1[[#This Row],[명칭]])</f>
        <v>1</v>
      </c>
      <c r="O348" s="65">
        <f>SUM(표1[[#This Row],[해양탐색]:[마을탐험]])</f>
        <v>1</v>
      </c>
    </row>
    <row r="349" spans="2:15" ht="13.5" customHeight="1" x14ac:dyDescent="0.3">
      <c r="B349" s="9">
        <f>[1]Discovery!A355</f>
        <v>70403022</v>
      </c>
      <c r="C349" s="9" t="str">
        <f>[1]Discovery!B355</f>
        <v>달리아</v>
      </c>
      <c r="D349" s="9" t="str">
        <f>[1]Discovery!E355</f>
        <v>식물</v>
      </c>
      <c r="E349" s="9" t="str">
        <f>[1]Discovery!C355</f>
        <v>쌍자엽</v>
      </c>
      <c r="F349" s="9" t="str">
        <f>[1]Discovery!G355</f>
        <v>A</v>
      </c>
      <c r="G349" s="9" t="str">
        <f>IFERROR(VLOOKUP(표1[[#This Row],[명칭]],'문화권 정리'!C:D,2,FALSE),"-")</f>
        <v>중앙아메리카</v>
      </c>
      <c r="H349" s="38" t="str">
        <f>IFERROR(COUNTIF([2]OceanDoodad!$Y:$Y,표1[[#This Row],[명칭]]),"-")</f>
        <v>-</v>
      </c>
      <c r="I349" s="38">
        <f>IFERROR(COUNTIF([1]AdventureDiscoveryGroup!$D$8:$AW$92,표1[[#This Row],[명칭]]),"-")</f>
        <v>0</v>
      </c>
      <c r="J349" s="38">
        <f>IFERROR(COUNTIF([1]FishDiscoveryGroup!$A:$X,표1[[#This Row],[명칭]]),"-")</f>
        <v>0</v>
      </c>
      <c r="K349" s="38" t="str">
        <f>IFERROR(COUNTIF([2]Town!$B:$B,표1[[#This Row],[명칭]]),"-")</f>
        <v>-</v>
      </c>
      <c r="L349" s="38">
        <f>IFERROR(COUNTIF([1]Village!$BR:$BR,표1[[#This Row],[명칭]]),"-")</f>
        <v>0</v>
      </c>
      <c r="M349" s="38">
        <f>COUNTIF(퀘스트!B:B,표1[[#This Row],[명칭]])</f>
        <v>0</v>
      </c>
      <c r="N349" s="65">
        <f>COUNTIF([1]VillageDiscoveryGroup!$C:$C,표1[[#This Row],[명칭]])</f>
        <v>0</v>
      </c>
      <c r="O349" s="65">
        <f>SUM(표1[[#This Row],[해양탐색]:[마을탐험]])</f>
        <v>0</v>
      </c>
    </row>
    <row r="350" spans="2:15" ht="13.5" customHeight="1" x14ac:dyDescent="0.3">
      <c r="B350" s="9">
        <f>[1]Discovery!A356</f>
        <v>70403023</v>
      </c>
      <c r="C350" s="9" t="str">
        <f>[1]Discovery!B356</f>
        <v>다리다 모감주나무</v>
      </c>
      <c r="D350" s="9" t="str">
        <f>[1]Discovery!E356</f>
        <v>식물</v>
      </c>
      <c r="E350" s="9" t="str">
        <f>[1]Discovery!C356</f>
        <v>쌍자엽</v>
      </c>
      <c r="F350" s="9" t="str">
        <f>[1]Discovery!G356</f>
        <v>B</v>
      </c>
      <c r="G350" s="9" t="str">
        <f>IFERROR(VLOOKUP(표1[[#This Row],[명칭]],'문화권 정리'!C:D,2,FALSE),"-")</f>
        <v>동아시아</v>
      </c>
      <c r="H350" s="38" t="str">
        <f>IFERROR(COUNTIF([2]OceanDoodad!$Y:$Y,표1[[#This Row],[명칭]]),"-")</f>
        <v>-</v>
      </c>
      <c r="I350" s="38">
        <f>IFERROR(COUNTIF([1]AdventureDiscoveryGroup!$D$8:$AW$92,표1[[#This Row],[명칭]]),"-")</f>
        <v>0</v>
      </c>
      <c r="J350" s="38">
        <f>IFERROR(COUNTIF([1]FishDiscoveryGroup!$A:$X,표1[[#This Row],[명칭]]),"-")</f>
        <v>0</v>
      </c>
      <c r="K350" s="38" t="str">
        <f>IFERROR(COUNTIF([2]Town!$B:$B,표1[[#This Row],[명칭]]),"-")</f>
        <v>-</v>
      </c>
      <c r="L350" s="38">
        <f>IFERROR(COUNTIF([1]Village!$BR:$BR,표1[[#This Row],[명칭]]),"-")</f>
        <v>0</v>
      </c>
      <c r="M350" s="38">
        <f>COUNTIF(퀘스트!B:B,표1[[#This Row],[명칭]])</f>
        <v>0</v>
      </c>
      <c r="N350" s="65">
        <f>COUNTIF([1]VillageDiscoveryGroup!$C:$C,표1[[#This Row],[명칭]])</f>
        <v>1</v>
      </c>
      <c r="O350" s="65">
        <f>SUM(표1[[#This Row],[해양탐색]:[마을탐험]])</f>
        <v>1</v>
      </c>
    </row>
    <row r="351" spans="2:15" ht="13.5" customHeight="1" x14ac:dyDescent="0.3">
      <c r="B351" s="9">
        <f>[1]Discovery!A357</f>
        <v>70403025</v>
      </c>
      <c r="C351" s="9" t="str">
        <f>[1]Discovery!B357</f>
        <v>대회향</v>
      </c>
      <c r="D351" s="9" t="str">
        <f>[1]Discovery!E357</f>
        <v>식물</v>
      </c>
      <c r="E351" s="9" t="str">
        <f>[1]Discovery!C357</f>
        <v>쌍자엽</v>
      </c>
      <c r="F351" s="9" t="str">
        <f>[1]Discovery!G357</f>
        <v>B</v>
      </c>
      <c r="G351" s="9" t="str">
        <f>IFERROR(VLOOKUP(표1[[#This Row],[명칭]],'문화권 정리'!C:D,2,FALSE),"-")</f>
        <v>서남아시아</v>
      </c>
      <c r="H351" s="38" t="str">
        <f>IFERROR(COUNTIF([2]OceanDoodad!$Y:$Y,표1[[#This Row],[명칭]]),"-")</f>
        <v>-</v>
      </c>
      <c r="I351" s="38">
        <f>IFERROR(COUNTIF([1]AdventureDiscoveryGroup!$D$8:$AW$92,표1[[#This Row],[명칭]]),"-")</f>
        <v>0</v>
      </c>
      <c r="J351" s="38">
        <f>IFERROR(COUNTIF([1]FishDiscoveryGroup!$A:$X,표1[[#This Row],[명칭]]),"-")</f>
        <v>0</v>
      </c>
      <c r="K351" s="38" t="str">
        <f>IFERROR(COUNTIF([2]Town!$B:$B,표1[[#This Row],[명칭]]),"-")</f>
        <v>-</v>
      </c>
      <c r="L351" s="38">
        <f>IFERROR(COUNTIF([1]Village!$BR:$BR,표1[[#This Row],[명칭]]),"-")</f>
        <v>0</v>
      </c>
      <c r="M351" s="38">
        <f>COUNTIF(퀘스트!B:B,표1[[#This Row],[명칭]])</f>
        <v>0</v>
      </c>
      <c r="N351" s="65">
        <f>COUNTIF([1]VillageDiscoveryGroup!$C:$C,표1[[#This Row],[명칭]])</f>
        <v>1</v>
      </c>
      <c r="O351" s="65">
        <f>SUM(표1[[#This Row],[해양탐색]:[마을탐험]])</f>
        <v>1</v>
      </c>
    </row>
    <row r="352" spans="2:15" ht="13.5" customHeight="1" x14ac:dyDescent="0.3">
      <c r="B352" s="9">
        <f>[1]Discovery!A358</f>
        <v>70403026</v>
      </c>
      <c r="C352" s="9" t="str">
        <f>[1]Discovery!B358</f>
        <v>데이지</v>
      </c>
      <c r="D352" s="9" t="str">
        <f>[1]Discovery!E358</f>
        <v>식물</v>
      </c>
      <c r="E352" s="9" t="str">
        <f>[1]Discovery!C358</f>
        <v>쌍자엽</v>
      </c>
      <c r="F352" s="9" t="str">
        <f>[1]Discovery!G358</f>
        <v>C</v>
      </c>
      <c r="G352" s="9" t="str">
        <f>IFERROR(VLOOKUP(표1[[#This Row],[명칭]],'문화권 정리'!C:D,2,FALSE),"-")</f>
        <v>지중해</v>
      </c>
      <c r="H352" s="38" t="str">
        <f>IFERROR(COUNTIF([2]OceanDoodad!$Y:$Y,표1[[#This Row],[명칭]]),"-")</f>
        <v>-</v>
      </c>
      <c r="I352" s="38">
        <f>IFERROR(COUNTIF([1]AdventureDiscoveryGroup!$D$8:$AW$92,표1[[#This Row],[명칭]]),"-")</f>
        <v>1</v>
      </c>
      <c r="J352" s="38">
        <f>IFERROR(COUNTIF([1]FishDiscoveryGroup!$A:$X,표1[[#This Row],[명칭]]),"-")</f>
        <v>0</v>
      </c>
      <c r="K352" s="38" t="str">
        <f>IFERROR(COUNTIF([2]Town!$B:$B,표1[[#This Row],[명칭]]),"-")</f>
        <v>-</v>
      </c>
      <c r="L352" s="38">
        <f>IFERROR(COUNTIF([1]Village!$BR:$BR,표1[[#This Row],[명칭]]),"-")</f>
        <v>0</v>
      </c>
      <c r="M352" s="38">
        <f>COUNTIF(퀘스트!B:B,표1[[#This Row],[명칭]])</f>
        <v>0</v>
      </c>
      <c r="N352" s="65">
        <f>COUNTIF([1]VillageDiscoveryGroup!$C:$C,표1[[#This Row],[명칭]])</f>
        <v>0</v>
      </c>
      <c r="O352" s="65">
        <f>SUM(표1[[#This Row],[해양탐색]:[마을탐험]])</f>
        <v>1</v>
      </c>
    </row>
    <row r="353" spans="2:15" ht="13.5" customHeight="1" x14ac:dyDescent="0.3">
      <c r="B353" s="9">
        <f>[1]Discovery!A359</f>
        <v>70403027</v>
      </c>
      <c r="C353" s="9" t="str">
        <f>[1]Discovery!B359</f>
        <v>도라지</v>
      </c>
      <c r="D353" s="9" t="str">
        <f>[1]Discovery!E359</f>
        <v>식물</v>
      </c>
      <c r="E353" s="9" t="str">
        <f>[1]Discovery!C359</f>
        <v>쌍자엽</v>
      </c>
      <c r="F353" s="9" t="str">
        <f>[1]Discovery!G359</f>
        <v>B</v>
      </c>
      <c r="G353" s="9" t="str">
        <f>IFERROR(VLOOKUP(표1[[#This Row],[명칭]],'문화권 정리'!C:D,2,FALSE),"-")</f>
        <v>동아시아</v>
      </c>
      <c r="H353" s="38" t="str">
        <f>IFERROR(COUNTIF([2]OceanDoodad!$Y:$Y,표1[[#This Row],[명칭]]),"-")</f>
        <v>-</v>
      </c>
      <c r="I353" s="38">
        <f>IFERROR(COUNTIF([1]AdventureDiscoveryGroup!$D$8:$AW$92,표1[[#This Row],[명칭]]),"-")</f>
        <v>0</v>
      </c>
      <c r="J353" s="38">
        <f>IFERROR(COUNTIF([1]FishDiscoveryGroup!$A:$X,표1[[#This Row],[명칭]]),"-")</f>
        <v>0</v>
      </c>
      <c r="K353" s="38" t="str">
        <f>IFERROR(COUNTIF([2]Town!$B:$B,표1[[#This Row],[명칭]]),"-")</f>
        <v>-</v>
      </c>
      <c r="L353" s="38">
        <f>IFERROR(COUNTIF([1]Village!$BR:$BR,표1[[#This Row],[명칭]]),"-")</f>
        <v>0</v>
      </c>
      <c r="M353" s="38">
        <f>COUNTIF(퀘스트!B:B,표1[[#This Row],[명칭]])</f>
        <v>0</v>
      </c>
      <c r="N353" s="65">
        <f>COUNTIF([1]VillageDiscoveryGroup!$C:$C,표1[[#This Row],[명칭]])</f>
        <v>1</v>
      </c>
      <c r="O353" s="65">
        <f>SUM(표1[[#This Row],[해양탐색]:[마을탐험]])</f>
        <v>1</v>
      </c>
    </row>
    <row r="354" spans="2:15" ht="13.5" customHeight="1" x14ac:dyDescent="0.3">
      <c r="B354" s="9">
        <f>[1]Discovery!A360</f>
        <v>70403028</v>
      </c>
      <c r="C354" s="9" t="str">
        <f>[1]Discovery!B360</f>
        <v>도르스테니아 포에티다</v>
      </c>
      <c r="D354" s="9" t="str">
        <f>[1]Discovery!E360</f>
        <v>식물</v>
      </c>
      <c r="E354" s="9" t="str">
        <f>[1]Discovery!C360</f>
        <v>쌍자엽</v>
      </c>
      <c r="F354" s="9" t="str">
        <f>[1]Discovery!G360</f>
        <v>B</v>
      </c>
      <c r="G354" s="9" t="str">
        <f>IFERROR(VLOOKUP(표1[[#This Row],[명칭]],'문화권 정리'!C:D,2,FALSE),"-")</f>
        <v>서남아시아</v>
      </c>
      <c r="H354" s="38" t="str">
        <f>IFERROR(COUNTIF([2]OceanDoodad!$Y:$Y,표1[[#This Row],[명칭]]),"-")</f>
        <v>-</v>
      </c>
      <c r="I354" s="38">
        <f>IFERROR(COUNTIF([1]AdventureDiscoveryGroup!$D$8:$AW$92,표1[[#This Row],[명칭]]),"-")</f>
        <v>0</v>
      </c>
      <c r="J354" s="38">
        <f>IFERROR(COUNTIF([1]FishDiscoveryGroup!$A:$X,표1[[#This Row],[명칭]]),"-")</f>
        <v>0</v>
      </c>
      <c r="K354" s="38" t="str">
        <f>IFERROR(COUNTIF([2]Town!$B:$B,표1[[#This Row],[명칭]]),"-")</f>
        <v>-</v>
      </c>
      <c r="L354" s="38">
        <f>IFERROR(COUNTIF([1]Village!$BR:$BR,표1[[#This Row],[명칭]]),"-")</f>
        <v>0</v>
      </c>
      <c r="M354" s="38">
        <f>COUNTIF(퀘스트!B:B,표1[[#This Row],[명칭]])</f>
        <v>0</v>
      </c>
      <c r="N354" s="65">
        <f>COUNTIF([1]VillageDiscoveryGroup!$C:$C,표1[[#This Row],[명칭]])</f>
        <v>1</v>
      </c>
      <c r="O354" s="65">
        <f>SUM(표1[[#This Row],[해양탐색]:[마을탐험]])</f>
        <v>1</v>
      </c>
    </row>
    <row r="355" spans="2:15" ht="13.5" customHeight="1" x14ac:dyDescent="0.3">
      <c r="B355" s="9">
        <f>[1]Discovery!A361</f>
        <v>70403029</v>
      </c>
      <c r="C355" s="9" t="str">
        <f>[1]Discovery!B361</f>
        <v>루드베키아</v>
      </c>
      <c r="D355" s="9" t="str">
        <f>[1]Discovery!E361</f>
        <v>식물</v>
      </c>
      <c r="E355" s="9" t="str">
        <f>[1]Discovery!C361</f>
        <v>쌍자엽</v>
      </c>
      <c r="F355" s="9" t="str">
        <f>[1]Discovery!G361</f>
        <v>B</v>
      </c>
      <c r="G355" s="9" t="str">
        <f>IFERROR(VLOOKUP(표1[[#This Row],[명칭]],'문화권 정리'!C:D,2,FALSE),"-")</f>
        <v>북아메리카</v>
      </c>
      <c r="H355" s="38" t="str">
        <f>IFERROR(COUNTIF([2]OceanDoodad!$Y:$Y,표1[[#This Row],[명칭]]),"-")</f>
        <v>-</v>
      </c>
      <c r="I355" s="38">
        <f>IFERROR(COUNTIF([1]AdventureDiscoveryGroup!$D$8:$AW$92,표1[[#This Row],[명칭]]),"-")</f>
        <v>0</v>
      </c>
      <c r="J355" s="38">
        <f>IFERROR(COUNTIF([1]FishDiscoveryGroup!$A:$X,표1[[#This Row],[명칭]]),"-")</f>
        <v>0</v>
      </c>
      <c r="K355" s="38" t="str">
        <f>IFERROR(COUNTIF([2]Town!$B:$B,표1[[#This Row],[명칭]]),"-")</f>
        <v>-</v>
      </c>
      <c r="L355" s="38">
        <f>IFERROR(COUNTIF([1]Village!$BR:$BR,표1[[#This Row],[명칭]]),"-")</f>
        <v>0</v>
      </c>
      <c r="M355" s="38">
        <f>COUNTIF(퀘스트!B:B,표1[[#This Row],[명칭]])</f>
        <v>0</v>
      </c>
      <c r="N355" s="65">
        <f>COUNTIF([1]VillageDiscoveryGroup!$C:$C,표1[[#This Row],[명칭]])</f>
        <v>1</v>
      </c>
      <c r="O355" s="65">
        <f>SUM(표1[[#This Row],[해양탐색]:[마을탐험]])</f>
        <v>1</v>
      </c>
    </row>
    <row r="356" spans="2:15" ht="13.5" customHeight="1" x14ac:dyDescent="0.3">
      <c r="B356" s="9">
        <f>[1]Discovery!A362</f>
        <v>70403030</v>
      </c>
      <c r="C356" s="9" t="str">
        <f>[1]Discovery!B362</f>
        <v>마가목</v>
      </c>
      <c r="D356" s="9" t="str">
        <f>[1]Discovery!E362</f>
        <v>식물</v>
      </c>
      <c r="E356" s="9" t="str">
        <f>[1]Discovery!C362</f>
        <v>쌍자엽</v>
      </c>
      <c r="F356" s="9" t="str">
        <f>[1]Discovery!G362</f>
        <v>A</v>
      </c>
      <c r="G356" s="9" t="str">
        <f>IFERROR(VLOOKUP(표1[[#This Row],[명칭]],'문화권 정리'!C:D,2,FALSE),"-")</f>
        <v>동아시아</v>
      </c>
      <c r="H356" s="38" t="str">
        <f>IFERROR(COUNTIF([2]OceanDoodad!$Y:$Y,표1[[#This Row],[명칭]]),"-")</f>
        <v>-</v>
      </c>
      <c r="I356" s="38">
        <f>IFERROR(COUNTIF([1]AdventureDiscoveryGroup!$D$8:$AW$92,표1[[#This Row],[명칭]]),"-")</f>
        <v>0</v>
      </c>
      <c r="J356" s="38">
        <f>IFERROR(COUNTIF([1]FishDiscoveryGroup!$A:$X,표1[[#This Row],[명칭]]),"-")</f>
        <v>0</v>
      </c>
      <c r="K356" s="38" t="str">
        <f>IFERROR(COUNTIF([2]Town!$B:$B,표1[[#This Row],[명칭]]),"-")</f>
        <v>-</v>
      </c>
      <c r="L356" s="38">
        <f>IFERROR(COUNTIF([1]Village!$BR:$BR,표1[[#This Row],[명칭]]),"-")</f>
        <v>0</v>
      </c>
      <c r="M356" s="38">
        <f>COUNTIF(퀘스트!B:B,표1[[#This Row],[명칭]])</f>
        <v>0</v>
      </c>
      <c r="N356" s="65">
        <f>COUNTIF([1]VillageDiscoveryGroup!$C:$C,표1[[#This Row],[명칭]])</f>
        <v>1</v>
      </c>
      <c r="O356" s="65">
        <f>SUM(표1[[#This Row],[해양탐색]:[마을탐험]])</f>
        <v>1</v>
      </c>
    </row>
    <row r="357" spans="2:15" ht="13.5" customHeight="1" x14ac:dyDescent="0.3">
      <c r="B357" s="9">
        <f>[1]Discovery!A363</f>
        <v>70403032</v>
      </c>
      <c r="C357" s="9" t="str">
        <f>[1]Discovery!B363</f>
        <v>마돈나 백합</v>
      </c>
      <c r="D357" s="9" t="str">
        <f>[1]Discovery!E363</f>
        <v>식물</v>
      </c>
      <c r="E357" s="9" t="str">
        <f>[1]Discovery!C363</f>
        <v>단자엽</v>
      </c>
      <c r="F357" s="9" t="str">
        <f>[1]Discovery!G363</f>
        <v>S</v>
      </c>
      <c r="G357" s="9" t="str">
        <f>IFERROR(VLOOKUP(표1[[#This Row],[명칭]],'문화권 정리'!C:D,2,FALSE),"-")</f>
        <v>지중해</v>
      </c>
      <c r="H357" s="38" t="str">
        <f>IFERROR(COUNTIF([2]OceanDoodad!$Y:$Y,표1[[#This Row],[명칭]]),"-")</f>
        <v>-</v>
      </c>
      <c r="I357" s="38">
        <f>IFERROR(COUNTIF([1]AdventureDiscoveryGroup!$D$8:$AW$92,표1[[#This Row],[명칭]]),"-")</f>
        <v>0</v>
      </c>
      <c r="J357" s="38">
        <f>IFERROR(COUNTIF([1]FishDiscoveryGroup!$A:$X,표1[[#This Row],[명칭]]),"-")</f>
        <v>0</v>
      </c>
      <c r="K357" s="38" t="str">
        <f>IFERROR(COUNTIF([2]Town!$B:$B,표1[[#This Row],[명칭]]),"-")</f>
        <v>-</v>
      </c>
      <c r="L357" s="38">
        <f>IFERROR(COUNTIF([1]Village!$BR:$BR,표1[[#This Row],[명칭]]),"-")</f>
        <v>0</v>
      </c>
      <c r="M357" s="38">
        <f>COUNTIF(퀘스트!B:B,표1[[#This Row],[명칭]])</f>
        <v>0</v>
      </c>
      <c r="N357" s="65">
        <f>COUNTIF([1]VillageDiscoveryGroup!$C:$C,표1[[#This Row],[명칭]])</f>
        <v>0</v>
      </c>
      <c r="O357" s="65">
        <f>SUM(표1[[#This Row],[해양탐색]:[마을탐험]])</f>
        <v>0</v>
      </c>
    </row>
    <row r="358" spans="2:15" ht="13.5" customHeight="1" x14ac:dyDescent="0.3">
      <c r="B358" s="9">
        <f>[1]Discovery!A364</f>
        <v>70403033</v>
      </c>
      <c r="C358" s="9" t="str">
        <f>[1]Discovery!B364</f>
        <v>말레세르비아</v>
      </c>
      <c r="D358" s="9" t="str">
        <f>[1]Discovery!E364</f>
        <v>식물</v>
      </c>
      <c r="E358" s="9" t="str">
        <f>[1]Discovery!C364</f>
        <v>쌍자엽</v>
      </c>
      <c r="F358" s="9" t="str">
        <f>[1]Discovery!G364</f>
        <v>B</v>
      </c>
      <c r="G358" s="9" t="str">
        <f>IFERROR(VLOOKUP(표1[[#This Row],[명칭]],'문화권 정리'!C:D,2,FALSE),"-")</f>
        <v>남아메리카</v>
      </c>
      <c r="H358" s="38" t="str">
        <f>IFERROR(COUNTIF([2]OceanDoodad!$Y:$Y,표1[[#This Row],[명칭]]),"-")</f>
        <v>-</v>
      </c>
      <c r="I358" s="38">
        <f>IFERROR(COUNTIF([1]AdventureDiscoveryGroup!$D$8:$AW$92,표1[[#This Row],[명칭]]),"-")</f>
        <v>0</v>
      </c>
      <c r="J358" s="38">
        <f>IFERROR(COUNTIF([1]FishDiscoveryGroup!$A:$X,표1[[#This Row],[명칭]]),"-")</f>
        <v>0</v>
      </c>
      <c r="K358" s="38" t="str">
        <f>IFERROR(COUNTIF([2]Town!$B:$B,표1[[#This Row],[명칭]]),"-")</f>
        <v>-</v>
      </c>
      <c r="L358" s="38">
        <f>IFERROR(COUNTIF([1]Village!$BR:$BR,표1[[#This Row],[명칭]]),"-")</f>
        <v>0</v>
      </c>
      <c r="M358" s="38">
        <f>COUNTIF(퀘스트!B:B,표1[[#This Row],[명칭]])</f>
        <v>0</v>
      </c>
      <c r="N358" s="65">
        <f>COUNTIF([1]VillageDiscoveryGroup!$C:$C,표1[[#This Row],[명칭]])</f>
        <v>1</v>
      </c>
      <c r="O358" s="65">
        <f>SUM(표1[[#This Row],[해양탐색]:[마을탐험]])</f>
        <v>1</v>
      </c>
    </row>
    <row r="359" spans="2:15" ht="13.5" customHeight="1" x14ac:dyDescent="0.3">
      <c r="B359" s="9">
        <f>[1]Discovery!A365</f>
        <v>70403034</v>
      </c>
      <c r="C359" s="9" t="str">
        <f>[1]Discovery!B365</f>
        <v>매리골드</v>
      </c>
      <c r="D359" s="9" t="str">
        <f>[1]Discovery!E365</f>
        <v>식물</v>
      </c>
      <c r="E359" s="9" t="str">
        <f>[1]Discovery!C365</f>
        <v>쌍자엽</v>
      </c>
      <c r="F359" s="9" t="str">
        <f>[1]Discovery!G365</f>
        <v>B</v>
      </c>
      <c r="G359" s="9" t="str">
        <f>IFERROR(VLOOKUP(표1[[#This Row],[명칭]],'문화권 정리'!C:D,2,FALSE),"-")</f>
        <v>남아메리카</v>
      </c>
      <c r="H359" s="38" t="str">
        <f>IFERROR(COUNTIF([2]OceanDoodad!$Y:$Y,표1[[#This Row],[명칭]]),"-")</f>
        <v>-</v>
      </c>
      <c r="I359" s="38">
        <f>IFERROR(COUNTIF([1]AdventureDiscoveryGroup!$D$8:$AW$92,표1[[#This Row],[명칭]]),"-")</f>
        <v>0</v>
      </c>
      <c r="J359" s="38">
        <f>IFERROR(COUNTIF([1]FishDiscoveryGroup!$A:$X,표1[[#This Row],[명칭]]),"-")</f>
        <v>0</v>
      </c>
      <c r="K359" s="38" t="str">
        <f>IFERROR(COUNTIF([2]Town!$B:$B,표1[[#This Row],[명칭]]),"-")</f>
        <v>-</v>
      </c>
      <c r="L359" s="38">
        <f>IFERROR(COUNTIF([1]Village!$BR:$BR,표1[[#This Row],[명칭]]),"-")</f>
        <v>0</v>
      </c>
      <c r="M359" s="38">
        <f>COUNTIF(퀘스트!B:B,표1[[#This Row],[명칭]])</f>
        <v>0</v>
      </c>
      <c r="N359" s="65">
        <f>COUNTIF([1]VillageDiscoveryGroup!$C:$C,표1[[#This Row],[명칭]])</f>
        <v>1</v>
      </c>
      <c r="O359" s="65">
        <f>SUM(표1[[#This Row],[해양탐색]:[마을탐험]])</f>
        <v>1</v>
      </c>
    </row>
    <row r="360" spans="2:15" ht="13.5" customHeight="1" x14ac:dyDescent="0.3">
      <c r="B360" s="9">
        <f>[1]Discovery!A366</f>
        <v>70403035</v>
      </c>
      <c r="C360" s="9" t="str">
        <f>[1]Discovery!B366</f>
        <v>메이애플</v>
      </c>
      <c r="D360" s="9" t="str">
        <f>[1]Discovery!E366</f>
        <v>식물</v>
      </c>
      <c r="E360" s="9" t="str">
        <f>[1]Discovery!C366</f>
        <v>쌍자엽</v>
      </c>
      <c r="F360" s="9" t="str">
        <f>[1]Discovery!G366</f>
        <v>C</v>
      </c>
      <c r="G360" s="9" t="str">
        <f>IFERROR(VLOOKUP(표1[[#This Row],[명칭]],'문화권 정리'!C:D,2,FALSE),"-")</f>
        <v>북아메리카</v>
      </c>
      <c r="H360" s="38" t="str">
        <f>IFERROR(COUNTIF([2]OceanDoodad!$Y:$Y,표1[[#This Row],[명칭]]),"-")</f>
        <v>-</v>
      </c>
      <c r="I360" s="38">
        <f>IFERROR(COUNTIF([1]AdventureDiscoveryGroup!$D$8:$AW$92,표1[[#This Row],[명칭]]),"-")</f>
        <v>1</v>
      </c>
      <c r="J360" s="38">
        <f>IFERROR(COUNTIF([1]FishDiscoveryGroup!$A:$X,표1[[#This Row],[명칭]]),"-")</f>
        <v>0</v>
      </c>
      <c r="K360" s="38" t="str">
        <f>IFERROR(COUNTIF([2]Town!$B:$B,표1[[#This Row],[명칭]]),"-")</f>
        <v>-</v>
      </c>
      <c r="L360" s="38">
        <f>IFERROR(COUNTIF([1]Village!$BR:$BR,표1[[#This Row],[명칭]]),"-")</f>
        <v>0</v>
      </c>
      <c r="M360" s="38">
        <f>COUNTIF(퀘스트!B:B,표1[[#This Row],[명칭]])</f>
        <v>0</v>
      </c>
      <c r="N360" s="65">
        <f>COUNTIF([1]VillageDiscoveryGroup!$C:$C,표1[[#This Row],[명칭]])</f>
        <v>0</v>
      </c>
      <c r="O360" s="65">
        <f>SUM(표1[[#This Row],[해양탐색]:[마을탐험]])</f>
        <v>1</v>
      </c>
    </row>
    <row r="361" spans="2:15" ht="13.5" customHeight="1" x14ac:dyDescent="0.3">
      <c r="B361" s="9">
        <f>[1]Discovery!A367</f>
        <v>70403036</v>
      </c>
      <c r="C361" s="9" t="str">
        <f>[1]Discovery!B367</f>
        <v>목련</v>
      </c>
      <c r="D361" s="9" t="str">
        <f>[1]Discovery!E367</f>
        <v>식물</v>
      </c>
      <c r="E361" s="9" t="str">
        <f>[1]Discovery!C367</f>
        <v>쌍자엽</v>
      </c>
      <c r="F361" s="9" t="str">
        <f>[1]Discovery!G367</f>
        <v>C</v>
      </c>
      <c r="G361" s="9" t="str">
        <f>IFERROR(VLOOKUP(표1[[#This Row],[명칭]],'문화권 정리'!C:D,2,FALSE),"-")</f>
        <v>동아시아</v>
      </c>
      <c r="H361" s="38" t="str">
        <f>IFERROR(COUNTIF([2]OceanDoodad!$Y:$Y,표1[[#This Row],[명칭]]),"-")</f>
        <v>-</v>
      </c>
      <c r="I361" s="38">
        <f>IFERROR(COUNTIF([1]AdventureDiscoveryGroup!$D$8:$AW$92,표1[[#This Row],[명칭]]),"-")</f>
        <v>1</v>
      </c>
      <c r="J361" s="38">
        <f>IFERROR(COUNTIF([1]FishDiscoveryGroup!$A:$X,표1[[#This Row],[명칭]]),"-")</f>
        <v>0</v>
      </c>
      <c r="K361" s="38" t="str">
        <f>IFERROR(COUNTIF([2]Town!$B:$B,표1[[#This Row],[명칭]]),"-")</f>
        <v>-</v>
      </c>
      <c r="L361" s="38">
        <f>IFERROR(COUNTIF([1]Village!$BR:$BR,표1[[#This Row],[명칭]]),"-")</f>
        <v>0</v>
      </c>
      <c r="M361" s="38">
        <f>COUNTIF(퀘스트!B:B,표1[[#This Row],[명칭]])</f>
        <v>0</v>
      </c>
      <c r="N361" s="65">
        <f>COUNTIF([1]VillageDiscoveryGroup!$C:$C,표1[[#This Row],[명칭]])</f>
        <v>0</v>
      </c>
      <c r="O361" s="65">
        <f>SUM(표1[[#This Row],[해양탐색]:[마을탐험]])</f>
        <v>1</v>
      </c>
    </row>
    <row r="362" spans="2:15" ht="13.5" customHeight="1" x14ac:dyDescent="0.3">
      <c r="B362" s="9">
        <f>[1]Discovery!A368</f>
        <v>70403037</v>
      </c>
      <c r="C362" s="9" t="str">
        <f>[1]Discovery!B368</f>
        <v>무궁화</v>
      </c>
      <c r="D362" s="9" t="str">
        <f>[1]Discovery!E368</f>
        <v>식물</v>
      </c>
      <c r="E362" s="9" t="str">
        <f>[1]Discovery!C368</f>
        <v>쌍자엽</v>
      </c>
      <c r="F362" s="9" t="str">
        <f>[1]Discovery!G368</f>
        <v>A</v>
      </c>
      <c r="G362" s="9" t="str">
        <f>IFERROR(VLOOKUP(표1[[#This Row],[명칭]],'문화권 정리'!C:D,2,FALSE),"-")</f>
        <v>동아시아</v>
      </c>
      <c r="H362" s="38" t="str">
        <f>IFERROR(COUNTIF([2]OceanDoodad!$Y:$Y,표1[[#This Row],[명칭]]),"-")</f>
        <v>-</v>
      </c>
      <c r="I362" s="38">
        <f>IFERROR(COUNTIF([1]AdventureDiscoveryGroup!$D$8:$AW$92,표1[[#This Row],[명칭]]),"-")</f>
        <v>1</v>
      </c>
      <c r="J362" s="38">
        <f>IFERROR(COUNTIF([1]FishDiscoveryGroup!$A:$X,표1[[#This Row],[명칭]]),"-")</f>
        <v>0</v>
      </c>
      <c r="K362" s="38" t="str">
        <f>IFERROR(COUNTIF([2]Town!$B:$B,표1[[#This Row],[명칭]]),"-")</f>
        <v>-</v>
      </c>
      <c r="L362" s="38">
        <f>IFERROR(COUNTIF([1]Village!$BR:$BR,표1[[#This Row],[명칭]]),"-")</f>
        <v>0</v>
      </c>
      <c r="M362" s="38">
        <f>COUNTIF(퀘스트!B:B,표1[[#This Row],[명칭]])</f>
        <v>0</v>
      </c>
      <c r="N362" s="65">
        <f>COUNTIF([1]VillageDiscoveryGroup!$C:$C,표1[[#This Row],[명칭]])</f>
        <v>0</v>
      </c>
      <c r="O362" s="65">
        <f>SUM(표1[[#This Row],[해양탐색]:[마을탐험]])</f>
        <v>1</v>
      </c>
    </row>
    <row r="363" spans="2:15" ht="13.5" customHeight="1" x14ac:dyDescent="0.3">
      <c r="B363" s="9">
        <f>[1]Discovery!A369</f>
        <v>70403038</v>
      </c>
      <c r="C363" s="9" t="str">
        <f>[1]Discovery!B369</f>
        <v>문관과</v>
      </c>
      <c r="D363" s="9" t="str">
        <f>[1]Discovery!E369</f>
        <v>식물</v>
      </c>
      <c r="E363" s="9" t="str">
        <f>[1]Discovery!C369</f>
        <v>쌍자엽</v>
      </c>
      <c r="F363" s="9" t="str">
        <f>[1]Discovery!G369</f>
        <v>B</v>
      </c>
      <c r="G363" s="9" t="str">
        <f>IFERROR(VLOOKUP(표1[[#This Row],[명칭]],'문화권 정리'!C:D,2,FALSE),"-")</f>
        <v>동아시아</v>
      </c>
      <c r="H363" s="38" t="str">
        <f>IFERROR(COUNTIF([2]OceanDoodad!$Y:$Y,표1[[#This Row],[명칭]]),"-")</f>
        <v>-</v>
      </c>
      <c r="I363" s="38">
        <f>IFERROR(COUNTIF([1]AdventureDiscoveryGroup!$D$8:$AW$92,표1[[#This Row],[명칭]]),"-")</f>
        <v>0</v>
      </c>
      <c r="J363" s="38">
        <f>IFERROR(COUNTIF([1]FishDiscoveryGroup!$A:$X,표1[[#This Row],[명칭]]),"-")</f>
        <v>0</v>
      </c>
      <c r="K363" s="38" t="str">
        <f>IFERROR(COUNTIF([2]Town!$B:$B,표1[[#This Row],[명칭]]),"-")</f>
        <v>-</v>
      </c>
      <c r="L363" s="38">
        <f>IFERROR(COUNTIF([1]Village!$BR:$BR,표1[[#This Row],[명칭]]),"-")</f>
        <v>0</v>
      </c>
      <c r="M363" s="38">
        <f>COUNTIF(퀘스트!B:B,표1[[#This Row],[명칭]])</f>
        <v>0</v>
      </c>
      <c r="N363" s="65">
        <f>COUNTIF([1]VillageDiscoveryGroup!$C:$C,표1[[#This Row],[명칭]])</f>
        <v>0</v>
      </c>
      <c r="O363" s="65">
        <f>SUM(표1[[#This Row],[해양탐색]:[마을탐험]])</f>
        <v>0</v>
      </c>
    </row>
    <row r="364" spans="2:15" ht="13.5" customHeight="1" x14ac:dyDescent="0.3">
      <c r="B364" s="9">
        <f>[1]Discovery!A370</f>
        <v>70403039</v>
      </c>
      <c r="C364" s="9" t="str">
        <f>[1]Discovery!B370</f>
        <v>물푸레나무</v>
      </c>
      <c r="D364" s="9" t="str">
        <f>[1]Discovery!E370</f>
        <v>식물</v>
      </c>
      <c r="E364" s="9" t="str">
        <f>[1]Discovery!C370</f>
        <v>쌍자엽</v>
      </c>
      <c r="F364" s="9" t="str">
        <f>[1]Discovery!G370</f>
        <v>C</v>
      </c>
      <c r="G364" s="9" t="str">
        <f>IFERROR(VLOOKUP(표1[[#This Row],[명칭]],'문화권 정리'!C:D,2,FALSE),"-")</f>
        <v>동아시아</v>
      </c>
      <c r="H364" s="38" t="str">
        <f>IFERROR(COUNTIF([2]OceanDoodad!$Y:$Y,표1[[#This Row],[명칭]]),"-")</f>
        <v>-</v>
      </c>
      <c r="I364" s="38">
        <f>IFERROR(COUNTIF([1]AdventureDiscoveryGroup!$D$8:$AW$92,표1[[#This Row],[명칭]]),"-")</f>
        <v>1</v>
      </c>
      <c r="J364" s="38">
        <f>IFERROR(COUNTIF([1]FishDiscoveryGroup!$A:$X,표1[[#This Row],[명칭]]),"-")</f>
        <v>0</v>
      </c>
      <c r="K364" s="38" t="str">
        <f>IFERROR(COUNTIF([2]Town!$B:$B,표1[[#This Row],[명칭]]),"-")</f>
        <v>-</v>
      </c>
      <c r="L364" s="38">
        <f>IFERROR(COUNTIF([1]Village!$BR:$BR,표1[[#This Row],[명칭]]),"-")</f>
        <v>0</v>
      </c>
      <c r="M364" s="38">
        <f>COUNTIF(퀘스트!B:B,표1[[#This Row],[명칭]])</f>
        <v>0</v>
      </c>
      <c r="N364" s="65">
        <f>COUNTIF([1]VillageDiscoveryGroup!$C:$C,표1[[#This Row],[명칭]])</f>
        <v>0</v>
      </c>
      <c r="O364" s="65">
        <f>SUM(표1[[#This Row],[해양탐색]:[마을탐험]])</f>
        <v>1</v>
      </c>
    </row>
    <row r="365" spans="2:15" ht="13.5" customHeight="1" x14ac:dyDescent="0.3">
      <c r="B365" s="9">
        <f>[1]Discovery!A371</f>
        <v>70403040</v>
      </c>
      <c r="C365" s="9" t="str">
        <f>[1]Discovery!B371</f>
        <v>미국 등나무</v>
      </c>
      <c r="D365" s="9" t="str">
        <f>[1]Discovery!E371</f>
        <v>식물</v>
      </c>
      <c r="E365" s="9" t="str">
        <f>[1]Discovery!C371</f>
        <v>쌍자엽</v>
      </c>
      <c r="F365" s="9" t="str">
        <f>[1]Discovery!G371</f>
        <v>B</v>
      </c>
      <c r="G365" s="9" t="str">
        <f>IFERROR(VLOOKUP(표1[[#This Row],[명칭]],'문화권 정리'!C:D,2,FALSE),"-")</f>
        <v>북아메리카</v>
      </c>
      <c r="H365" s="38" t="str">
        <f>IFERROR(COUNTIF([2]OceanDoodad!$Y:$Y,표1[[#This Row],[명칭]]),"-")</f>
        <v>-</v>
      </c>
      <c r="I365" s="38">
        <f>IFERROR(COUNTIF([1]AdventureDiscoveryGroup!$D$8:$AW$92,표1[[#This Row],[명칭]]),"-")</f>
        <v>1</v>
      </c>
      <c r="J365" s="38">
        <f>IFERROR(COUNTIF([1]FishDiscoveryGroup!$A:$X,표1[[#This Row],[명칭]]),"-")</f>
        <v>0</v>
      </c>
      <c r="K365" s="38" t="str">
        <f>IFERROR(COUNTIF([2]Town!$B:$B,표1[[#This Row],[명칭]]),"-")</f>
        <v>-</v>
      </c>
      <c r="L365" s="38">
        <f>IFERROR(COUNTIF([1]Village!$BR:$BR,표1[[#This Row],[명칭]]),"-")</f>
        <v>0</v>
      </c>
      <c r="M365" s="38">
        <f>COUNTIF(퀘스트!B:B,표1[[#This Row],[명칭]])</f>
        <v>0</v>
      </c>
      <c r="N365" s="65">
        <f>COUNTIF([1]VillageDiscoveryGroup!$C:$C,표1[[#This Row],[명칭]])</f>
        <v>0</v>
      </c>
      <c r="O365" s="65">
        <f>SUM(표1[[#This Row],[해양탐색]:[마을탐험]])</f>
        <v>1</v>
      </c>
    </row>
    <row r="366" spans="2:15" ht="13.5" customHeight="1" x14ac:dyDescent="0.3">
      <c r="B366" s="9">
        <f>[1]Discovery!A372</f>
        <v>70403041</v>
      </c>
      <c r="C366" s="9" t="str">
        <f>[1]Discovery!B372</f>
        <v>미국부용</v>
      </c>
      <c r="D366" s="9" t="str">
        <f>[1]Discovery!E372</f>
        <v>식물</v>
      </c>
      <c r="E366" s="9" t="str">
        <f>[1]Discovery!C372</f>
        <v>쌍자엽</v>
      </c>
      <c r="F366" s="9" t="str">
        <f>[1]Discovery!G372</f>
        <v>B</v>
      </c>
      <c r="G366" s="9" t="str">
        <f>IFERROR(VLOOKUP(표1[[#This Row],[명칭]],'문화권 정리'!C:D,2,FALSE),"-")</f>
        <v>북아메리카</v>
      </c>
      <c r="H366" s="38" t="str">
        <f>IFERROR(COUNTIF([2]OceanDoodad!$Y:$Y,표1[[#This Row],[명칭]]),"-")</f>
        <v>-</v>
      </c>
      <c r="I366" s="38">
        <f>IFERROR(COUNTIF([1]AdventureDiscoveryGroup!$D$8:$AW$92,표1[[#This Row],[명칭]]),"-")</f>
        <v>0</v>
      </c>
      <c r="J366" s="38">
        <f>IFERROR(COUNTIF([1]FishDiscoveryGroup!$A:$X,표1[[#This Row],[명칭]]),"-")</f>
        <v>0</v>
      </c>
      <c r="K366" s="38" t="str">
        <f>IFERROR(COUNTIF([2]Town!$B:$B,표1[[#This Row],[명칭]]),"-")</f>
        <v>-</v>
      </c>
      <c r="L366" s="38">
        <f>IFERROR(COUNTIF([1]Village!$BR:$BR,표1[[#This Row],[명칭]]),"-")</f>
        <v>0</v>
      </c>
      <c r="M366" s="38">
        <f>COUNTIF(퀘스트!B:B,표1[[#This Row],[명칭]])</f>
        <v>0</v>
      </c>
      <c r="N366" s="65">
        <f>COUNTIF([1]VillageDiscoveryGroup!$C:$C,표1[[#This Row],[명칭]])</f>
        <v>0</v>
      </c>
      <c r="O366" s="65">
        <f>SUM(표1[[#This Row],[해양탐색]:[마을탐험]])</f>
        <v>0</v>
      </c>
    </row>
    <row r="367" spans="2:15" ht="13.5" customHeight="1" x14ac:dyDescent="0.3">
      <c r="B367" s="9">
        <f>[1]Discovery!A373</f>
        <v>70403042</v>
      </c>
      <c r="C367" s="9" t="str">
        <f>[1]Discovery!B373</f>
        <v>바오바브나무</v>
      </c>
      <c r="D367" s="9" t="str">
        <f>[1]Discovery!E373</f>
        <v>식물</v>
      </c>
      <c r="E367" s="9" t="str">
        <f>[1]Discovery!C373</f>
        <v>쌍자엽</v>
      </c>
      <c r="F367" s="9" t="str">
        <f>[1]Discovery!G373</f>
        <v>A</v>
      </c>
      <c r="G367" s="9" t="str">
        <f>IFERROR(VLOOKUP(표1[[#This Row],[명칭]],'문화권 정리'!C:D,2,FALSE),"-")</f>
        <v>서아프리카</v>
      </c>
      <c r="H367" s="38" t="str">
        <f>IFERROR(COUNTIF([2]OceanDoodad!$Y:$Y,표1[[#This Row],[명칭]]),"-")</f>
        <v>-</v>
      </c>
      <c r="I367" s="38">
        <f>IFERROR(COUNTIF([1]AdventureDiscoveryGroup!$D$8:$AW$92,표1[[#This Row],[명칭]]),"-")</f>
        <v>0</v>
      </c>
      <c r="J367" s="38">
        <f>IFERROR(COUNTIF([1]FishDiscoveryGroup!$A:$X,표1[[#This Row],[명칭]]),"-")</f>
        <v>0</v>
      </c>
      <c r="K367" s="38" t="str">
        <f>IFERROR(COUNTIF([2]Town!$B:$B,표1[[#This Row],[명칭]]),"-")</f>
        <v>-</v>
      </c>
      <c r="L367" s="38">
        <f>IFERROR(COUNTIF([1]Village!$BR:$BR,표1[[#This Row],[명칭]]),"-")</f>
        <v>0</v>
      </c>
      <c r="M367" s="38">
        <f>COUNTIF(퀘스트!B:B,표1[[#This Row],[명칭]])</f>
        <v>1</v>
      </c>
      <c r="N367" s="65">
        <f>COUNTIF([1]VillageDiscoveryGroup!$C:$C,표1[[#This Row],[명칭]])</f>
        <v>0</v>
      </c>
      <c r="O367" s="65">
        <f>SUM(표1[[#This Row],[해양탐색]:[마을탐험]])</f>
        <v>1</v>
      </c>
    </row>
    <row r="368" spans="2:15" ht="13.5" customHeight="1" x14ac:dyDescent="0.3">
      <c r="B368" s="9" t="str">
        <f>[1]Discovery!A374</f>
        <v>#70403043</v>
      </c>
      <c r="C368" s="9" t="str">
        <f>[1]Discovery!B374</f>
        <v>박쥐란</v>
      </c>
      <c r="D368" s="9" t="str">
        <f>[1]Discovery!E374</f>
        <v>식물</v>
      </c>
      <c r="E368" s="9" t="str">
        <f>[1]Discovery!C374</f>
        <v>없음</v>
      </c>
      <c r="F368" s="9" t="str">
        <f>[1]Discovery!G374</f>
        <v>D</v>
      </c>
      <c r="G368" s="9" t="str">
        <f>IFERROR(VLOOKUP(표1[[#This Row],[명칭]],'문화권 정리'!C:D,2,FALSE),"-")</f>
        <v>오세아니아</v>
      </c>
      <c r="H368" s="38" t="str">
        <f>IFERROR(COUNTIF([2]OceanDoodad!$Y:$Y,표1[[#This Row],[명칭]]),"-")</f>
        <v>-</v>
      </c>
      <c r="I368" s="38">
        <f>IFERROR(COUNTIF([1]AdventureDiscoveryGroup!$D$8:$AW$92,표1[[#This Row],[명칭]]),"-")</f>
        <v>0</v>
      </c>
      <c r="J368" s="38">
        <f>IFERROR(COUNTIF([1]FishDiscoveryGroup!$A:$X,표1[[#This Row],[명칭]]),"-")</f>
        <v>0</v>
      </c>
      <c r="K368" s="38" t="str">
        <f>IFERROR(COUNTIF([2]Town!$B:$B,표1[[#This Row],[명칭]]),"-")</f>
        <v>-</v>
      </c>
      <c r="L368" s="38">
        <f>IFERROR(COUNTIF([1]Village!$BR:$BR,표1[[#This Row],[명칭]]),"-")</f>
        <v>0</v>
      </c>
      <c r="M368" s="38">
        <f>COUNTIF(퀘스트!B:B,표1[[#This Row],[명칭]])</f>
        <v>0</v>
      </c>
      <c r="N368" s="65">
        <f>COUNTIF([1]VillageDiscoveryGroup!$C:$C,표1[[#This Row],[명칭]])</f>
        <v>0</v>
      </c>
      <c r="O368" s="65">
        <f>SUM(표1[[#This Row],[해양탐색]:[마을탐험]])</f>
        <v>0</v>
      </c>
    </row>
    <row r="369" spans="2:15" ht="13.5" customHeight="1" x14ac:dyDescent="0.3">
      <c r="B369" s="9">
        <f>[1]Discovery!A375</f>
        <v>70403044</v>
      </c>
      <c r="C369" s="9" t="str">
        <f>[1]Discovery!B375</f>
        <v>발사나무</v>
      </c>
      <c r="D369" s="9" t="str">
        <f>[1]Discovery!E375</f>
        <v>식물</v>
      </c>
      <c r="E369" s="9" t="str">
        <f>[1]Discovery!C375</f>
        <v>쌍자엽</v>
      </c>
      <c r="F369" s="9" t="str">
        <f>[1]Discovery!G375</f>
        <v>B</v>
      </c>
      <c r="G369" s="9" t="str">
        <f>IFERROR(VLOOKUP(표1[[#This Row],[명칭]],'문화권 정리'!C:D,2,FALSE),"-")</f>
        <v>남아메리카</v>
      </c>
      <c r="H369" s="38" t="str">
        <f>IFERROR(COUNTIF([2]OceanDoodad!$Y:$Y,표1[[#This Row],[명칭]]),"-")</f>
        <v>-</v>
      </c>
      <c r="I369" s="38">
        <f>IFERROR(COUNTIF([1]AdventureDiscoveryGroup!$D$8:$AW$92,표1[[#This Row],[명칭]]),"-")</f>
        <v>0</v>
      </c>
      <c r="J369" s="38">
        <f>IFERROR(COUNTIF([1]FishDiscoveryGroup!$A:$X,표1[[#This Row],[명칭]]),"-")</f>
        <v>0</v>
      </c>
      <c r="K369" s="38" t="str">
        <f>IFERROR(COUNTIF([2]Town!$B:$B,표1[[#This Row],[명칭]]),"-")</f>
        <v>-</v>
      </c>
      <c r="L369" s="38">
        <f>IFERROR(COUNTIF([1]Village!$BR:$BR,표1[[#This Row],[명칭]]),"-")</f>
        <v>0</v>
      </c>
      <c r="M369" s="38">
        <f>COUNTIF(퀘스트!B:B,표1[[#This Row],[명칭]])</f>
        <v>0</v>
      </c>
      <c r="N369" s="65">
        <f>COUNTIF([1]VillageDiscoveryGroup!$C:$C,표1[[#This Row],[명칭]])</f>
        <v>1</v>
      </c>
      <c r="O369" s="65">
        <f>SUM(표1[[#This Row],[해양탐색]:[마을탐험]])</f>
        <v>1</v>
      </c>
    </row>
    <row r="370" spans="2:15" ht="13.5" customHeight="1" x14ac:dyDescent="0.3">
      <c r="B370" s="9" t="str">
        <f>[1]Discovery!A376</f>
        <v>#70403045</v>
      </c>
      <c r="C370" s="9" t="str">
        <f>[1]Discovery!B376</f>
        <v>방크스소나무</v>
      </c>
      <c r="D370" s="9" t="str">
        <f>[1]Discovery!E376</f>
        <v>식물</v>
      </c>
      <c r="E370" s="9" t="str">
        <f>[1]Discovery!C376</f>
        <v>없음</v>
      </c>
      <c r="F370" s="9" t="str">
        <f>[1]Discovery!G376</f>
        <v>D</v>
      </c>
      <c r="G370" s="9" t="str">
        <f>IFERROR(VLOOKUP(표1[[#This Row],[명칭]],'문화권 정리'!C:D,2,FALSE),"-")</f>
        <v>북아메리카</v>
      </c>
      <c r="H370" s="38" t="str">
        <f>IFERROR(COUNTIF([2]OceanDoodad!$Y:$Y,표1[[#This Row],[명칭]]),"-")</f>
        <v>-</v>
      </c>
      <c r="I370" s="38">
        <f>IFERROR(COUNTIF([1]AdventureDiscoveryGroup!$D$8:$AW$92,표1[[#This Row],[명칭]]),"-")</f>
        <v>0</v>
      </c>
      <c r="J370" s="38">
        <f>IFERROR(COUNTIF([1]FishDiscoveryGroup!$A:$X,표1[[#This Row],[명칭]]),"-")</f>
        <v>0</v>
      </c>
      <c r="K370" s="38" t="str">
        <f>IFERROR(COUNTIF([2]Town!$B:$B,표1[[#This Row],[명칭]]),"-")</f>
        <v>-</v>
      </c>
      <c r="L370" s="38">
        <f>IFERROR(COUNTIF([1]Village!$BR:$BR,표1[[#This Row],[명칭]]),"-")</f>
        <v>0</v>
      </c>
      <c r="M370" s="38">
        <f>COUNTIF(퀘스트!B:B,표1[[#This Row],[명칭]])</f>
        <v>0</v>
      </c>
      <c r="N370" s="65">
        <f>COUNTIF([1]VillageDiscoveryGroup!$C:$C,표1[[#This Row],[명칭]])</f>
        <v>0</v>
      </c>
      <c r="O370" s="65">
        <f>SUM(표1[[#This Row],[해양탐색]:[마을탐험]])</f>
        <v>0</v>
      </c>
    </row>
    <row r="371" spans="2:15" ht="13.5" customHeight="1" x14ac:dyDescent="0.3">
      <c r="B371" s="9">
        <f>[1]Discovery!A377</f>
        <v>70403046</v>
      </c>
      <c r="C371" s="9" t="str">
        <f>[1]Discovery!B377</f>
        <v>백양꽃</v>
      </c>
      <c r="D371" s="9" t="str">
        <f>[1]Discovery!E377</f>
        <v>식물</v>
      </c>
      <c r="E371" s="9" t="str">
        <f>[1]Discovery!C377</f>
        <v>단자엽</v>
      </c>
      <c r="F371" s="9" t="str">
        <f>[1]Discovery!G377</f>
        <v>B</v>
      </c>
      <c r="G371" s="9" t="str">
        <f>IFERROR(VLOOKUP(표1[[#This Row],[명칭]],'문화권 정리'!C:D,2,FALSE),"-")</f>
        <v>동아시아</v>
      </c>
      <c r="H371" s="38" t="str">
        <f>IFERROR(COUNTIF([2]OceanDoodad!$Y:$Y,표1[[#This Row],[명칭]]),"-")</f>
        <v>-</v>
      </c>
      <c r="I371" s="38">
        <f>IFERROR(COUNTIF([1]AdventureDiscoveryGroup!$D$8:$AW$92,표1[[#This Row],[명칭]]),"-")</f>
        <v>1</v>
      </c>
      <c r="J371" s="38">
        <f>IFERROR(COUNTIF([1]FishDiscoveryGroup!$A:$X,표1[[#This Row],[명칭]]),"-")</f>
        <v>0</v>
      </c>
      <c r="K371" s="38" t="str">
        <f>IFERROR(COUNTIF([2]Town!$B:$B,표1[[#This Row],[명칭]]),"-")</f>
        <v>-</v>
      </c>
      <c r="L371" s="38">
        <f>IFERROR(COUNTIF([1]Village!$BR:$BR,표1[[#This Row],[명칭]]),"-")</f>
        <v>0</v>
      </c>
      <c r="M371" s="38">
        <f>COUNTIF(퀘스트!B:B,표1[[#This Row],[명칭]])</f>
        <v>0</v>
      </c>
      <c r="N371" s="65">
        <f>COUNTIF([1]VillageDiscoveryGroup!$C:$C,표1[[#This Row],[명칭]])</f>
        <v>0</v>
      </c>
      <c r="O371" s="65">
        <f>SUM(표1[[#This Row],[해양탐색]:[마을탐험]])</f>
        <v>1</v>
      </c>
    </row>
    <row r="372" spans="2:15" ht="13.5" customHeight="1" x14ac:dyDescent="0.3">
      <c r="B372" s="9">
        <f>[1]Discovery!A378</f>
        <v>70403047</v>
      </c>
      <c r="C372" s="9" t="str">
        <f>[1]Discovery!B378</f>
        <v>뱅크셔</v>
      </c>
      <c r="D372" s="9" t="str">
        <f>[1]Discovery!E378</f>
        <v>식물</v>
      </c>
      <c r="E372" s="9" t="str">
        <f>[1]Discovery!C378</f>
        <v>쌍자엽</v>
      </c>
      <c r="F372" s="9" t="str">
        <f>[1]Discovery!G378</f>
        <v>A</v>
      </c>
      <c r="G372" s="9" t="str">
        <f>IFERROR(VLOOKUP(표1[[#This Row],[명칭]],'문화권 정리'!C:D,2,FALSE),"-")</f>
        <v>오세아니아</v>
      </c>
      <c r="H372" s="38" t="str">
        <f>IFERROR(COUNTIF([2]OceanDoodad!$Y:$Y,표1[[#This Row],[명칭]]),"-")</f>
        <v>-</v>
      </c>
      <c r="I372" s="38">
        <f>IFERROR(COUNTIF([1]AdventureDiscoveryGroup!$D$8:$AW$92,표1[[#This Row],[명칭]]),"-")</f>
        <v>1</v>
      </c>
      <c r="J372" s="38">
        <f>IFERROR(COUNTIF([1]FishDiscoveryGroup!$A:$X,표1[[#This Row],[명칭]]),"-")</f>
        <v>0</v>
      </c>
      <c r="K372" s="38" t="str">
        <f>IFERROR(COUNTIF([2]Town!$B:$B,표1[[#This Row],[명칭]]),"-")</f>
        <v>-</v>
      </c>
      <c r="L372" s="38">
        <f>IFERROR(COUNTIF([1]Village!$BR:$BR,표1[[#This Row],[명칭]]),"-")</f>
        <v>0</v>
      </c>
      <c r="M372" s="38">
        <f>COUNTIF(퀘스트!B:B,표1[[#This Row],[명칭]])</f>
        <v>0</v>
      </c>
      <c r="N372" s="65">
        <f>COUNTIF([1]VillageDiscoveryGroup!$C:$C,표1[[#This Row],[명칭]])</f>
        <v>0</v>
      </c>
      <c r="O372" s="65">
        <f>SUM(표1[[#This Row],[해양탐색]:[마을탐험]])</f>
        <v>1</v>
      </c>
    </row>
    <row r="373" spans="2:15" ht="13.5" customHeight="1" x14ac:dyDescent="0.3">
      <c r="B373" s="9">
        <f>[1]Discovery!A379</f>
        <v>70403048</v>
      </c>
      <c r="C373" s="9" t="str">
        <f>[1]Discovery!B379</f>
        <v>벚나무</v>
      </c>
      <c r="D373" s="9" t="str">
        <f>[1]Discovery!E379</f>
        <v>식물</v>
      </c>
      <c r="E373" s="9" t="str">
        <f>[1]Discovery!C379</f>
        <v>쌍자엽</v>
      </c>
      <c r="F373" s="9" t="str">
        <f>[1]Discovery!G379</f>
        <v>A</v>
      </c>
      <c r="G373" s="9" t="str">
        <f>IFERROR(VLOOKUP(표1[[#This Row],[명칭]],'문화권 정리'!C:D,2,FALSE),"-")</f>
        <v>지중해</v>
      </c>
      <c r="H373" s="38" t="str">
        <f>IFERROR(COUNTIF([2]OceanDoodad!$Y:$Y,표1[[#This Row],[명칭]]),"-")</f>
        <v>-</v>
      </c>
      <c r="I373" s="38">
        <f>IFERROR(COUNTIF([1]AdventureDiscoveryGroup!$D$8:$AW$92,표1[[#This Row],[명칭]]),"-")</f>
        <v>1</v>
      </c>
      <c r="J373" s="38">
        <f>IFERROR(COUNTIF([1]FishDiscoveryGroup!$A:$X,표1[[#This Row],[명칭]]),"-")</f>
        <v>0</v>
      </c>
      <c r="K373" s="38" t="str">
        <f>IFERROR(COUNTIF([2]Town!$B:$B,표1[[#This Row],[명칭]]),"-")</f>
        <v>-</v>
      </c>
      <c r="L373" s="38">
        <f>IFERROR(COUNTIF([1]Village!$BR:$BR,표1[[#This Row],[명칭]]),"-")</f>
        <v>0</v>
      </c>
      <c r="M373" s="38">
        <f>COUNTIF(퀘스트!B:B,표1[[#This Row],[명칭]])</f>
        <v>0</v>
      </c>
      <c r="N373" s="65">
        <f>COUNTIF([1]VillageDiscoveryGroup!$C:$C,표1[[#This Row],[명칭]])</f>
        <v>0</v>
      </c>
      <c r="O373" s="65">
        <f>SUM(표1[[#This Row],[해양탐색]:[마을탐험]])</f>
        <v>1</v>
      </c>
    </row>
    <row r="374" spans="2:15" ht="13.5" customHeight="1" x14ac:dyDescent="0.3">
      <c r="B374" s="9">
        <f>[1]Discovery!A380</f>
        <v>70403049</v>
      </c>
      <c r="C374" s="9" t="str">
        <f>[1]Discovery!B380</f>
        <v>베고니아</v>
      </c>
      <c r="D374" s="9" t="str">
        <f>[1]Discovery!E380</f>
        <v>식물</v>
      </c>
      <c r="E374" s="9" t="str">
        <f>[1]Discovery!C380</f>
        <v>쌍자엽</v>
      </c>
      <c r="F374" s="9" t="str">
        <f>[1]Discovery!G380</f>
        <v>A</v>
      </c>
      <c r="G374" s="9" t="str">
        <f>IFERROR(VLOOKUP(표1[[#This Row],[명칭]],'문화권 정리'!C:D,2,FALSE),"-")</f>
        <v>남아메리카</v>
      </c>
      <c r="H374" s="38" t="str">
        <f>IFERROR(COUNTIF([2]OceanDoodad!$Y:$Y,표1[[#This Row],[명칭]]),"-")</f>
        <v>-</v>
      </c>
      <c r="I374" s="38">
        <f>IFERROR(COUNTIF([1]AdventureDiscoveryGroup!$D$8:$AW$92,표1[[#This Row],[명칭]]),"-")</f>
        <v>1</v>
      </c>
      <c r="J374" s="38">
        <f>IFERROR(COUNTIF([1]FishDiscoveryGroup!$A:$X,표1[[#This Row],[명칭]]),"-")</f>
        <v>0</v>
      </c>
      <c r="K374" s="38" t="str">
        <f>IFERROR(COUNTIF([2]Town!$B:$B,표1[[#This Row],[명칭]]),"-")</f>
        <v>-</v>
      </c>
      <c r="L374" s="38">
        <f>IFERROR(COUNTIF([1]Village!$BR:$BR,표1[[#This Row],[명칭]]),"-")</f>
        <v>0</v>
      </c>
      <c r="M374" s="38">
        <f>COUNTIF(퀘스트!B:B,표1[[#This Row],[명칭]])</f>
        <v>0</v>
      </c>
      <c r="N374" s="65">
        <f>COUNTIF([1]VillageDiscoveryGroup!$C:$C,표1[[#This Row],[명칭]])</f>
        <v>0</v>
      </c>
      <c r="O374" s="65">
        <f>SUM(표1[[#This Row],[해양탐색]:[마을탐험]])</f>
        <v>1</v>
      </c>
    </row>
    <row r="375" spans="2:15" ht="13.5" customHeight="1" x14ac:dyDescent="0.3">
      <c r="B375" s="9">
        <f>[1]Discovery!A381</f>
        <v>70403050</v>
      </c>
      <c r="C375" s="9" t="str">
        <f>[1]Discovery!B381</f>
        <v>보리자나무</v>
      </c>
      <c r="D375" s="9" t="str">
        <f>[1]Discovery!E381</f>
        <v>식물</v>
      </c>
      <c r="E375" s="9" t="str">
        <f>[1]Discovery!C381</f>
        <v>쌍자엽</v>
      </c>
      <c r="F375" s="9" t="str">
        <f>[1]Discovery!G381</f>
        <v>S</v>
      </c>
      <c r="G375" s="9" t="str">
        <f>IFERROR(VLOOKUP(표1[[#This Row],[명칭]],'문화권 정리'!C:D,2,FALSE),"-")</f>
        <v>동아시아</v>
      </c>
      <c r="H375" s="38" t="str">
        <f>IFERROR(COUNTIF([2]OceanDoodad!$Y:$Y,표1[[#This Row],[명칭]]),"-")</f>
        <v>-</v>
      </c>
      <c r="I375" s="38">
        <f>IFERROR(COUNTIF([1]AdventureDiscoveryGroup!$D$8:$AW$92,표1[[#This Row],[명칭]]),"-")</f>
        <v>1</v>
      </c>
      <c r="J375" s="38">
        <f>IFERROR(COUNTIF([1]FishDiscoveryGroup!$A:$X,표1[[#This Row],[명칭]]),"-")</f>
        <v>0</v>
      </c>
      <c r="K375" s="38" t="str">
        <f>IFERROR(COUNTIF([2]Town!$B:$B,표1[[#This Row],[명칭]]),"-")</f>
        <v>-</v>
      </c>
      <c r="L375" s="38">
        <f>IFERROR(COUNTIF([1]Village!$BR:$BR,표1[[#This Row],[명칭]]),"-")</f>
        <v>0</v>
      </c>
      <c r="M375" s="38">
        <f>COUNTIF(퀘스트!B:B,표1[[#This Row],[명칭]])</f>
        <v>0</v>
      </c>
      <c r="N375" s="65">
        <f>COUNTIF([1]VillageDiscoveryGroup!$C:$C,표1[[#This Row],[명칭]])</f>
        <v>0</v>
      </c>
      <c r="O375" s="65">
        <f>SUM(표1[[#This Row],[해양탐색]:[마을탐험]])</f>
        <v>1</v>
      </c>
    </row>
    <row r="376" spans="2:15" ht="13.5" customHeight="1" x14ac:dyDescent="0.3">
      <c r="B376" s="9">
        <f>[1]Discovery!A382</f>
        <v>70403051</v>
      </c>
      <c r="C376" s="9" t="str">
        <f>[1]Discovery!B382</f>
        <v>보세란</v>
      </c>
      <c r="D376" s="9" t="str">
        <f>[1]Discovery!E382</f>
        <v>식물</v>
      </c>
      <c r="E376" s="9" t="str">
        <f>[1]Discovery!C382</f>
        <v>단자엽</v>
      </c>
      <c r="F376" s="9" t="str">
        <f>[1]Discovery!G382</f>
        <v>A</v>
      </c>
      <c r="G376" s="9" t="str">
        <f>IFERROR(VLOOKUP(표1[[#This Row],[명칭]],'문화권 정리'!C:D,2,FALSE),"-")</f>
        <v>동아시아</v>
      </c>
      <c r="H376" s="38" t="str">
        <f>IFERROR(COUNTIF([2]OceanDoodad!$Y:$Y,표1[[#This Row],[명칭]]),"-")</f>
        <v>-</v>
      </c>
      <c r="I376" s="38">
        <f>IFERROR(COUNTIF([1]AdventureDiscoveryGroup!$D$8:$AW$92,표1[[#This Row],[명칭]]),"-")</f>
        <v>0</v>
      </c>
      <c r="J376" s="38">
        <f>IFERROR(COUNTIF([1]FishDiscoveryGroup!$A:$X,표1[[#This Row],[명칭]]),"-")</f>
        <v>0</v>
      </c>
      <c r="K376" s="38" t="str">
        <f>IFERROR(COUNTIF([2]Town!$B:$B,표1[[#This Row],[명칭]]),"-")</f>
        <v>-</v>
      </c>
      <c r="L376" s="38">
        <f>IFERROR(COUNTIF([1]Village!$BR:$BR,표1[[#This Row],[명칭]]),"-")</f>
        <v>0</v>
      </c>
      <c r="M376" s="38">
        <f>COUNTIF(퀘스트!B:B,표1[[#This Row],[명칭]])</f>
        <v>0</v>
      </c>
      <c r="N376" s="65">
        <f>COUNTIF([1]VillageDiscoveryGroup!$C:$C,표1[[#This Row],[명칭]])</f>
        <v>1</v>
      </c>
      <c r="O376" s="65">
        <f>SUM(표1[[#This Row],[해양탐색]:[마을탐험]])</f>
        <v>1</v>
      </c>
    </row>
    <row r="377" spans="2:15" ht="13.5" customHeight="1" x14ac:dyDescent="0.3">
      <c r="B377" s="9">
        <f>[1]Discovery!A383</f>
        <v>70403052</v>
      </c>
      <c r="C377" s="9" t="str">
        <f>[1]Discovery!B383</f>
        <v>봉황목</v>
      </c>
      <c r="D377" s="9" t="str">
        <f>[1]Discovery!E383</f>
        <v>식물</v>
      </c>
      <c r="E377" s="9" t="str">
        <f>[1]Discovery!C383</f>
        <v>쌍자엽</v>
      </c>
      <c r="F377" s="9" t="str">
        <f>[1]Discovery!G383</f>
        <v>A</v>
      </c>
      <c r="G377" s="9" t="str">
        <f>IFERROR(VLOOKUP(표1[[#This Row],[명칭]],'문화권 정리'!C:D,2,FALSE),"-")</f>
        <v>남아시아</v>
      </c>
      <c r="H377" s="38" t="str">
        <f>IFERROR(COUNTIF([2]OceanDoodad!$Y:$Y,표1[[#This Row],[명칭]]),"-")</f>
        <v>-</v>
      </c>
      <c r="I377" s="38">
        <f>IFERROR(COUNTIF([1]AdventureDiscoveryGroup!$D$8:$AW$92,표1[[#This Row],[명칭]]),"-")</f>
        <v>0</v>
      </c>
      <c r="J377" s="38">
        <f>IFERROR(COUNTIF([1]FishDiscoveryGroup!$A:$X,표1[[#This Row],[명칭]]),"-")</f>
        <v>0</v>
      </c>
      <c r="K377" s="38" t="str">
        <f>IFERROR(COUNTIF([2]Town!$B:$B,표1[[#This Row],[명칭]]),"-")</f>
        <v>-</v>
      </c>
      <c r="L377" s="38">
        <f>IFERROR(COUNTIF([1]Village!$BR:$BR,표1[[#This Row],[명칭]]),"-")</f>
        <v>0</v>
      </c>
      <c r="M377" s="38">
        <f>COUNTIF(퀘스트!B:B,표1[[#This Row],[명칭]])</f>
        <v>0</v>
      </c>
      <c r="N377" s="65">
        <f>COUNTIF([1]VillageDiscoveryGroup!$C:$C,표1[[#This Row],[명칭]])</f>
        <v>1</v>
      </c>
      <c r="O377" s="65">
        <f>SUM(표1[[#This Row],[해양탐색]:[마을탐험]])</f>
        <v>1</v>
      </c>
    </row>
    <row r="378" spans="2:15" ht="13.5" customHeight="1" x14ac:dyDescent="0.3">
      <c r="B378" s="9">
        <f>[1]Discovery!A384</f>
        <v>70403053</v>
      </c>
      <c r="C378" s="9" t="str">
        <f>[1]Discovery!B384</f>
        <v>부들레야</v>
      </c>
      <c r="D378" s="9" t="str">
        <f>[1]Discovery!E384</f>
        <v>식물</v>
      </c>
      <c r="E378" s="9" t="str">
        <f>[1]Discovery!C384</f>
        <v>쌍자엽</v>
      </c>
      <c r="F378" s="9" t="str">
        <f>[1]Discovery!G384</f>
        <v>D</v>
      </c>
      <c r="G378" s="9" t="str">
        <f>IFERROR(VLOOKUP(표1[[#This Row],[명칭]],'문화권 정리'!C:D,2,FALSE),"-")</f>
        <v>동아시아</v>
      </c>
      <c r="H378" s="38" t="str">
        <f>IFERROR(COUNTIF([2]OceanDoodad!$Y:$Y,표1[[#This Row],[명칭]]),"-")</f>
        <v>-</v>
      </c>
      <c r="I378" s="38">
        <f>IFERROR(COUNTIF([1]AdventureDiscoveryGroup!$D$8:$AW$92,표1[[#This Row],[명칭]]),"-")</f>
        <v>0</v>
      </c>
      <c r="J378" s="38">
        <f>IFERROR(COUNTIF([1]FishDiscoveryGroup!$A:$X,표1[[#This Row],[명칭]]),"-")</f>
        <v>0</v>
      </c>
      <c r="K378" s="38" t="str">
        <f>IFERROR(COUNTIF([2]Town!$B:$B,표1[[#This Row],[명칭]]),"-")</f>
        <v>-</v>
      </c>
      <c r="L378" s="38">
        <f>IFERROR(COUNTIF([1]Village!$BR:$BR,표1[[#This Row],[명칭]]),"-")</f>
        <v>0</v>
      </c>
      <c r="M378" s="38">
        <f>COUNTIF(퀘스트!B:B,표1[[#This Row],[명칭]])</f>
        <v>0</v>
      </c>
      <c r="N378" s="65">
        <f>COUNTIF([1]VillageDiscoveryGroup!$C:$C,표1[[#This Row],[명칭]])</f>
        <v>0</v>
      </c>
      <c r="O378" s="65">
        <f>SUM(표1[[#This Row],[해양탐색]:[마을탐험]])</f>
        <v>0</v>
      </c>
    </row>
    <row r="379" spans="2:15" ht="13.5" customHeight="1" x14ac:dyDescent="0.3">
      <c r="B379" s="9">
        <f>[1]Discovery!A385</f>
        <v>70403054</v>
      </c>
      <c r="C379" s="9" t="str">
        <f>[1]Discovery!B385</f>
        <v>북극이끼장구채</v>
      </c>
      <c r="D379" s="9" t="str">
        <f>[1]Discovery!E385</f>
        <v>식물</v>
      </c>
      <c r="E379" s="9" t="str">
        <f>[1]Discovery!C385</f>
        <v>쌍자엽</v>
      </c>
      <c r="F379" s="9" t="str">
        <f>[1]Discovery!G385</f>
        <v>B</v>
      </c>
      <c r="G379" s="9" t="str">
        <f>IFERROR(VLOOKUP(표1[[#This Row],[명칭]],'문화권 정리'!C:D,2,FALSE),"-")</f>
        <v>극지방</v>
      </c>
      <c r="H379" s="38" t="str">
        <f>IFERROR(COUNTIF([2]OceanDoodad!$Y:$Y,표1[[#This Row],[명칭]]),"-")</f>
        <v>-</v>
      </c>
      <c r="I379" s="38">
        <f>IFERROR(COUNTIF([1]AdventureDiscoveryGroup!$D$8:$AW$92,표1[[#This Row],[명칭]]),"-")</f>
        <v>1</v>
      </c>
      <c r="J379" s="38">
        <f>IFERROR(COUNTIF([1]FishDiscoveryGroup!$A:$X,표1[[#This Row],[명칭]]),"-")</f>
        <v>0</v>
      </c>
      <c r="K379" s="38" t="str">
        <f>IFERROR(COUNTIF([2]Town!$B:$B,표1[[#This Row],[명칭]]),"-")</f>
        <v>-</v>
      </c>
      <c r="L379" s="38">
        <f>IFERROR(COUNTIF([1]Village!$BR:$BR,표1[[#This Row],[명칭]]),"-")</f>
        <v>0</v>
      </c>
      <c r="M379" s="38">
        <f>COUNTIF(퀘스트!B:B,표1[[#This Row],[명칭]])</f>
        <v>0</v>
      </c>
      <c r="N379" s="65">
        <f>COUNTIF([1]VillageDiscoveryGroup!$C:$C,표1[[#This Row],[명칭]])</f>
        <v>0</v>
      </c>
      <c r="O379" s="65">
        <f>SUM(표1[[#This Row],[해양탐색]:[마을탐험]])</f>
        <v>1</v>
      </c>
    </row>
    <row r="380" spans="2:15" ht="13.5" customHeight="1" x14ac:dyDescent="0.3">
      <c r="B380" s="9" t="str">
        <f>[1]Discovery!A386</f>
        <v>#70403055</v>
      </c>
      <c r="C380" s="9" t="str">
        <f>[1]Discovery!B386</f>
        <v>붉은사슴뿔버섯</v>
      </c>
      <c r="D380" s="9" t="str">
        <f>[1]Discovery!E386</f>
        <v>식물</v>
      </c>
      <c r="E380" s="9" t="str">
        <f>[1]Discovery!C386</f>
        <v>없음</v>
      </c>
      <c r="F380" s="9" t="str">
        <f>[1]Discovery!G386</f>
        <v>B</v>
      </c>
      <c r="G380" s="9" t="str">
        <f>IFERROR(VLOOKUP(표1[[#This Row],[명칭]],'문화권 정리'!C:D,2,FALSE),"-")</f>
        <v>동아시아</v>
      </c>
      <c r="H380" s="38" t="str">
        <f>IFERROR(COUNTIF([2]OceanDoodad!$Y:$Y,표1[[#This Row],[명칭]]),"-")</f>
        <v>-</v>
      </c>
      <c r="I380" s="38">
        <f>IFERROR(COUNTIF([1]AdventureDiscoveryGroup!$D$8:$AW$92,표1[[#This Row],[명칭]]),"-")</f>
        <v>0</v>
      </c>
      <c r="J380" s="38">
        <f>IFERROR(COUNTIF([1]FishDiscoveryGroup!$A:$X,표1[[#This Row],[명칭]]),"-")</f>
        <v>0</v>
      </c>
      <c r="K380" s="38" t="str">
        <f>IFERROR(COUNTIF([2]Town!$B:$B,표1[[#This Row],[명칭]]),"-")</f>
        <v>-</v>
      </c>
      <c r="L380" s="38">
        <f>IFERROR(COUNTIF([1]Village!$BR:$BR,표1[[#This Row],[명칭]]),"-")</f>
        <v>0</v>
      </c>
      <c r="M380" s="38">
        <f>COUNTIF(퀘스트!B:B,표1[[#This Row],[명칭]])</f>
        <v>0</v>
      </c>
      <c r="N380" s="65">
        <f>COUNTIF([1]VillageDiscoveryGroup!$C:$C,표1[[#This Row],[명칭]])</f>
        <v>0</v>
      </c>
      <c r="O380" s="65">
        <f>SUM(표1[[#This Row],[해양탐색]:[마을탐험]])</f>
        <v>0</v>
      </c>
    </row>
    <row r="381" spans="2:15" ht="13.5" customHeight="1" x14ac:dyDescent="0.3">
      <c r="B381" s="9">
        <f>[1]Discovery!A387</f>
        <v>70403056</v>
      </c>
      <c r="C381" s="9" t="str">
        <f>[1]Discovery!B387</f>
        <v>붉은토끼풀</v>
      </c>
      <c r="D381" s="9" t="str">
        <f>[1]Discovery!E387</f>
        <v>식물</v>
      </c>
      <c r="E381" s="9" t="str">
        <f>[1]Discovery!C387</f>
        <v>쌍자엽</v>
      </c>
      <c r="F381" s="9" t="str">
        <f>[1]Discovery!G387</f>
        <v>D</v>
      </c>
      <c r="G381" s="9" t="str">
        <f>IFERROR(VLOOKUP(표1[[#This Row],[명칭]],'문화권 정리'!C:D,2,FALSE),"-")</f>
        <v>지중해</v>
      </c>
      <c r="H381" s="38" t="str">
        <f>IFERROR(COUNTIF([2]OceanDoodad!$Y:$Y,표1[[#This Row],[명칭]]),"-")</f>
        <v>-</v>
      </c>
      <c r="I381" s="38">
        <f>IFERROR(COUNTIF([1]AdventureDiscoveryGroup!$D$8:$AW$92,표1[[#This Row],[명칭]]),"-")</f>
        <v>1</v>
      </c>
      <c r="J381" s="38">
        <f>IFERROR(COUNTIF([1]FishDiscoveryGroup!$A:$X,표1[[#This Row],[명칭]]),"-")</f>
        <v>0</v>
      </c>
      <c r="K381" s="38" t="str">
        <f>IFERROR(COUNTIF([2]Town!$B:$B,표1[[#This Row],[명칭]]),"-")</f>
        <v>-</v>
      </c>
      <c r="L381" s="38">
        <f>IFERROR(COUNTIF([1]Village!$BR:$BR,표1[[#This Row],[명칭]]),"-")</f>
        <v>0</v>
      </c>
      <c r="M381" s="38">
        <f>COUNTIF(퀘스트!B:B,표1[[#This Row],[명칭]])</f>
        <v>0</v>
      </c>
      <c r="N381" s="65">
        <f>COUNTIF([1]VillageDiscoveryGroup!$C:$C,표1[[#This Row],[명칭]])</f>
        <v>0</v>
      </c>
      <c r="O381" s="65">
        <f>SUM(표1[[#This Row],[해양탐색]:[마을탐험]])</f>
        <v>1</v>
      </c>
    </row>
    <row r="382" spans="2:15" ht="13.5" customHeight="1" x14ac:dyDescent="0.3">
      <c r="B382" s="9">
        <f>[1]Discovery!A388</f>
        <v>70403057</v>
      </c>
      <c r="C382" s="9" t="str">
        <f>[1]Discovery!B388</f>
        <v>브라질너트 나무</v>
      </c>
      <c r="D382" s="9" t="str">
        <f>[1]Discovery!E388</f>
        <v>식물</v>
      </c>
      <c r="E382" s="9" t="str">
        <f>[1]Discovery!C388</f>
        <v>쌍자엽</v>
      </c>
      <c r="F382" s="9" t="str">
        <f>[1]Discovery!G388</f>
        <v>C</v>
      </c>
      <c r="G382" s="9" t="str">
        <f>IFERROR(VLOOKUP(표1[[#This Row],[명칭]],'문화권 정리'!C:D,2,FALSE),"-")</f>
        <v>남아메리카</v>
      </c>
      <c r="H382" s="38" t="str">
        <f>IFERROR(COUNTIF([2]OceanDoodad!$Y:$Y,표1[[#This Row],[명칭]]),"-")</f>
        <v>-</v>
      </c>
      <c r="I382" s="38">
        <f>IFERROR(COUNTIF([1]AdventureDiscoveryGroup!$D$8:$AW$92,표1[[#This Row],[명칭]]),"-")</f>
        <v>0</v>
      </c>
      <c r="J382" s="38">
        <f>IFERROR(COUNTIF([1]FishDiscoveryGroup!$A:$X,표1[[#This Row],[명칭]]),"-")</f>
        <v>0</v>
      </c>
      <c r="K382" s="38" t="str">
        <f>IFERROR(COUNTIF([2]Town!$B:$B,표1[[#This Row],[명칭]]),"-")</f>
        <v>-</v>
      </c>
      <c r="L382" s="38">
        <f>IFERROR(COUNTIF([1]Village!$BR:$BR,표1[[#This Row],[명칭]]),"-")</f>
        <v>0</v>
      </c>
      <c r="M382" s="38">
        <f>COUNTIF(퀘스트!B:B,표1[[#This Row],[명칭]])</f>
        <v>0</v>
      </c>
      <c r="N382" s="65">
        <f>COUNTIF([1]VillageDiscoveryGroup!$C:$C,표1[[#This Row],[명칭]])</f>
        <v>1</v>
      </c>
      <c r="O382" s="65">
        <f>SUM(표1[[#This Row],[해양탐색]:[마을탐험]])</f>
        <v>1</v>
      </c>
    </row>
    <row r="383" spans="2:15" ht="13.5" customHeight="1" x14ac:dyDescent="0.3">
      <c r="B383" s="9">
        <f>[1]Discovery!A389</f>
        <v>70403058</v>
      </c>
      <c r="C383" s="9" t="str">
        <f>[1]Discovery!B389</f>
        <v>블루보넷</v>
      </c>
      <c r="D383" s="9" t="str">
        <f>[1]Discovery!E389</f>
        <v>식물</v>
      </c>
      <c r="E383" s="9" t="str">
        <f>[1]Discovery!C389</f>
        <v>쌍자엽</v>
      </c>
      <c r="F383" s="9" t="str">
        <f>[1]Discovery!G389</f>
        <v>A</v>
      </c>
      <c r="G383" s="9" t="str">
        <f>IFERROR(VLOOKUP(표1[[#This Row],[명칭]],'문화권 정리'!C:D,2,FALSE),"-")</f>
        <v>북아메리카</v>
      </c>
      <c r="H383" s="38" t="str">
        <f>IFERROR(COUNTIF([2]OceanDoodad!$Y:$Y,표1[[#This Row],[명칭]]),"-")</f>
        <v>-</v>
      </c>
      <c r="I383" s="38">
        <f>IFERROR(COUNTIF([1]AdventureDiscoveryGroup!$D$8:$AW$92,표1[[#This Row],[명칭]]),"-")</f>
        <v>1</v>
      </c>
      <c r="J383" s="38">
        <f>IFERROR(COUNTIF([1]FishDiscoveryGroup!$A:$X,표1[[#This Row],[명칭]]),"-")</f>
        <v>0</v>
      </c>
      <c r="K383" s="38" t="str">
        <f>IFERROR(COUNTIF([2]Town!$B:$B,표1[[#This Row],[명칭]]),"-")</f>
        <v>-</v>
      </c>
      <c r="L383" s="38">
        <f>IFERROR(COUNTIF([1]Village!$BR:$BR,표1[[#This Row],[명칭]]),"-")</f>
        <v>0</v>
      </c>
      <c r="M383" s="38">
        <f>COUNTIF(퀘스트!B:B,표1[[#This Row],[명칭]])</f>
        <v>0</v>
      </c>
      <c r="N383" s="65">
        <f>COUNTIF([1]VillageDiscoveryGroup!$C:$C,표1[[#This Row],[명칭]])</f>
        <v>0</v>
      </c>
      <c r="O383" s="65">
        <f>SUM(표1[[#This Row],[해양탐색]:[마을탐험]])</f>
        <v>1</v>
      </c>
    </row>
    <row r="384" spans="2:15" ht="13.5" customHeight="1" x14ac:dyDescent="0.3">
      <c r="B384" s="9">
        <f>[1]Discovery!A390</f>
        <v>70403059</v>
      </c>
      <c r="C384" s="9" t="str">
        <f>[1]Discovery!B390</f>
        <v>블루오키드</v>
      </c>
      <c r="D384" s="9" t="str">
        <f>[1]Discovery!E390</f>
        <v>식물</v>
      </c>
      <c r="E384" s="9" t="str">
        <f>[1]Discovery!C390</f>
        <v>단자엽</v>
      </c>
      <c r="F384" s="9" t="str">
        <f>[1]Discovery!G390</f>
        <v>A</v>
      </c>
      <c r="G384" s="9" t="str">
        <f>IFERROR(VLOOKUP(표1[[#This Row],[명칭]],'문화권 정리'!C:D,2,FALSE),"-")</f>
        <v>오세아니아</v>
      </c>
      <c r="H384" s="38" t="str">
        <f>IFERROR(COUNTIF([2]OceanDoodad!$Y:$Y,표1[[#This Row],[명칭]]),"-")</f>
        <v>-</v>
      </c>
      <c r="I384" s="38">
        <f>IFERROR(COUNTIF([1]AdventureDiscoveryGroup!$D$8:$AW$92,표1[[#This Row],[명칭]]),"-")</f>
        <v>1</v>
      </c>
      <c r="J384" s="38">
        <f>IFERROR(COUNTIF([1]FishDiscoveryGroup!$A:$X,표1[[#This Row],[명칭]]),"-")</f>
        <v>0</v>
      </c>
      <c r="K384" s="38" t="str">
        <f>IFERROR(COUNTIF([2]Town!$B:$B,표1[[#This Row],[명칭]]),"-")</f>
        <v>-</v>
      </c>
      <c r="L384" s="38">
        <f>IFERROR(COUNTIF([1]Village!$BR:$BR,표1[[#This Row],[명칭]]),"-")</f>
        <v>0</v>
      </c>
      <c r="M384" s="38">
        <f>COUNTIF(퀘스트!B:B,표1[[#This Row],[명칭]])</f>
        <v>0</v>
      </c>
      <c r="N384" s="65">
        <f>COUNTIF([1]VillageDiscoveryGroup!$C:$C,표1[[#This Row],[명칭]])</f>
        <v>0</v>
      </c>
      <c r="O384" s="65">
        <f>SUM(표1[[#This Row],[해양탐색]:[마을탐험]])</f>
        <v>1</v>
      </c>
    </row>
    <row r="385" spans="2:15" ht="13.5" customHeight="1" x14ac:dyDescent="0.3">
      <c r="B385" s="9">
        <f>[1]Discovery!A391</f>
        <v>70403060</v>
      </c>
      <c r="C385" s="9" t="str">
        <f>[1]Discovery!B391</f>
        <v>빵나무</v>
      </c>
      <c r="D385" s="9" t="str">
        <f>[1]Discovery!E391</f>
        <v>식물</v>
      </c>
      <c r="E385" s="9" t="str">
        <f>[1]Discovery!C391</f>
        <v>쌍자엽</v>
      </c>
      <c r="F385" s="9" t="str">
        <f>[1]Discovery!G391</f>
        <v>A</v>
      </c>
      <c r="G385" s="9" t="str">
        <f>IFERROR(VLOOKUP(표1[[#This Row],[명칭]],'문화권 정리'!C:D,2,FALSE),"-")</f>
        <v>태평양</v>
      </c>
      <c r="H385" s="38" t="str">
        <f>IFERROR(COUNTIF([2]OceanDoodad!$Y:$Y,표1[[#This Row],[명칭]]),"-")</f>
        <v>-</v>
      </c>
      <c r="I385" s="38">
        <f>IFERROR(COUNTIF([1]AdventureDiscoveryGroup!$D$8:$AW$92,표1[[#This Row],[명칭]]),"-")</f>
        <v>1</v>
      </c>
      <c r="J385" s="38">
        <f>IFERROR(COUNTIF([1]FishDiscoveryGroup!$A:$X,표1[[#This Row],[명칭]]),"-")</f>
        <v>0</v>
      </c>
      <c r="K385" s="38" t="str">
        <f>IFERROR(COUNTIF([2]Town!$B:$B,표1[[#This Row],[명칭]]),"-")</f>
        <v>-</v>
      </c>
      <c r="L385" s="38">
        <f>IFERROR(COUNTIF([1]Village!$BR:$BR,표1[[#This Row],[명칭]]),"-")</f>
        <v>0</v>
      </c>
      <c r="M385" s="38">
        <f>COUNTIF(퀘스트!B:B,표1[[#This Row],[명칭]])</f>
        <v>0</v>
      </c>
      <c r="N385" s="65">
        <f>COUNTIF([1]VillageDiscoveryGroup!$C:$C,표1[[#This Row],[명칭]])</f>
        <v>0</v>
      </c>
      <c r="O385" s="65">
        <f>SUM(표1[[#This Row],[해양탐색]:[마을탐험]])</f>
        <v>1</v>
      </c>
    </row>
    <row r="386" spans="2:15" ht="13.5" customHeight="1" x14ac:dyDescent="0.3">
      <c r="B386" s="9">
        <f>[1]Discovery!A392</f>
        <v>70403061</v>
      </c>
      <c r="C386" s="9" t="str">
        <f>[1]Discovery!B392</f>
        <v>뽕나무</v>
      </c>
      <c r="D386" s="9" t="str">
        <f>[1]Discovery!E392</f>
        <v>식물</v>
      </c>
      <c r="E386" s="9" t="str">
        <f>[1]Discovery!C392</f>
        <v>쌍자엽</v>
      </c>
      <c r="F386" s="9" t="str">
        <f>[1]Discovery!G392</f>
        <v>D</v>
      </c>
      <c r="G386" s="9" t="str">
        <f>IFERROR(VLOOKUP(표1[[#This Row],[명칭]],'문화권 정리'!C:D,2,FALSE),"-")</f>
        <v>동아시아</v>
      </c>
      <c r="H386" s="38" t="str">
        <f>IFERROR(COUNTIF([2]OceanDoodad!$Y:$Y,표1[[#This Row],[명칭]]),"-")</f>
        <v>-</v>
      </c>
      <c r="I386" s="38">
        <f>IFERROR(COUNTIF([1]AdventureDiscoveryGroup!$D$8:$AW$92,표1[[#This Row],[명칭]]),"-")</f>
        <v>1</v>
      </c>
      <c r="J386" s="38">
        <f>IFERROR(COUNTIF([1]FishDiscoveryGroup!$A:$X,표1[[#This Row],[명칭]]),"-")</f>
        <v>0</v>
      </c>
      <c r="K386" s="38" t="str">
        <f>IFERROR(COUNTIF([2]Town!$B:$B,표1[[#This Row],[명칭]]),"-")</f>
        <v>-</v>
      </c>
      <c r="L386" s="38">
        <f>IFERROR(COUNTIF([1]Village!$BR:$BR,표1[[#This Row],[명칭]]),"-")</f>
        <v>0</v>
      </c>
      <c r="M386" s="38">
        <f>COUNTIF(퀘스트!B:B,표1[[#This Row],[명칭]])</f>
        <v>0</v>
      </c>
      <c r="N386" s="65">
        <f>COUNTIF([1]VillageDiscoveryGroup!$C:$C,표1[[#This Row],[명칭]])</f>
        <v>0</v>
      </c>
      <c r="O386" s="65">
        <f>SUM(표1[[#This Row],[해양탐색]:[마을탐험]])</f>
        <v>1</v>
      </c>
    </row>
    <row r="387" spans="2:15" ht="13.5" customHeight="1" x14ac:dyDescent="0.3">
      <c r="B387" s="9">
        <f>[1]Discovery!A393</f>
        <v>70403062</v>
      </c>
      <c r="C387" s="9" t="str">
        <f>[1]Discovery!B393</f>
        <v>뿔남천</v>
      </c>
      <c r="D387" s="9" t="str">
        <f>[1]Discovery!E393</f>
        <v>식물</v>
      </c>
      <c r="E387" s="9" t="str">
        <f>[1]Discovery!C393</f>
        <v>쌍자엽</v>
      </c>
      <c r="F387" s="9" t="str">
        <f>[1]Discovery!G393</f>
        <v>D</v>
      </c>
      <c r="G387" s="9" t="str">
        <f>IFERROR(VLOOKUP(표1[[#This Row],[명칭]],'문화권 정리'!C:D,2,FALSE),"-")</f>
        <v>동아시아</v>
      </c>
      <c r="H387" s="38" t="str">
        <f>IFERROR(COUNTIF([2]OceanDoodad!$Y:$Y,표1[[#This Row],[명칭]]),"-")</f>
        <v>-</v>
      </c>
      <c r="I387" s="38">
        <f>IFERROR(COUNTIF([1]AdventureDiscoveryGroup!$D$8:$AW$92,표1[[#This Row],[명칭]]),"-")</f>
        <v>1</v>
      </c>
      <c r="J387" s="38">
        <f>IFERROR(COUNTIF([1]FishDiscoveryGroup!$A:$X,표1[[#This Row],[명칭]]),"-")</f>
        <v>0</v>
      </c>
      <c r="K387" s="38" t="str">
        <f>IFERROR(COUNTIF([2]Town!$B:$B,표1[[#This Row],[명칭]]),"-")</f>
        <v>-</v>
      </c>
      <c r="L387" s="38">
        <f>IFERROR(COUNTIF([1]Village!$BR:$BR,표1[[#This Row],[명칭]]),"-")</f>
        <v>0</v>
      </c>
      <c r="M387" s="38">
        <f>COUNTIF(퀘스트!B:B,표1[[#This Row],[명칭]])</f>
        <v>0</v>
      </c>
      <c r="N387" s="65">
        <f>COUNTIF([1]VillageDiscoveryGroup!$C:$C,표1[[#This Row],[명칭]])</f>
        <v>0</v>
      </c>
      <c r="O387" s="65">
        <f>SUM(표1[[#This Row],[해양탐색]:[마을탐험]])</f>
        <v>1</v>
      </c>
    </row>
    <row r="388" spans="2:15" ht="13.5" customHeight="1" x14ac:dyDescent="0.3">
      <c r="B388" s="9">
        <f>[1]Discovery!A394</f>
        <v>70403063</v>
      </c>
      <c r="C388" s="9" t="str">
        <f>[1]Discovery!B394</f>
        <v>사라세니아</v>
      </c>
      <c r="D388" s="9" t="str">
        <f>[1]Discovery!E394</f>
        <v>식물</v>
      </c>
      <c r="E388" s="9" t="str">
        <f>[1]Discovery!C394</f>
        <v>쌍자엽</v>
      </c>
      <c r="F388" s="9" t="str">
        <f>[1]Discovery!G394</f>
        <v>A</v>
      </c>
      <c r="G388" s="9" t="str">
        <f>IFERROR(VLOOKUP(표1[[#This Row],[명칭]],'문화권 정리'!C:D,2,FALSE),"-")</f>
        <v>중앙아메리카</v>
      </c>
      <c r="H388" s="38" t="str">
        <f>IFERROR(COUNTIF([2]OceanDoodad!$Y:$Y,표1[[#This Row],[명칭]]),"-")</f>
        <v>-</v>
      </c>
      <c r="I388" s="38">
        <f>IFERROR(COUNTIF([1]AdventureDiscoveryGroup!$D$8:$AW$92,표1[[#This Row],[명칭]]),"-")</f>
        <v>0</v>
      </c>
      <c r="J388" s="38">
        <f>IFERROR(COUNTIF([1]FishDiscoveryGroup!$A:$X,표1[[#This Row],[명칭]]),"-")</f>
        <v>0</v>
      </c>
      <c r="K388" s="38" t="str">
        <f>IFERROR(COUNTIF([2]Town!$B:$B,표1[[#This Row],[명칭]]),"-")</f>
        <v>-</v>
      </c>
      <c r="L388" s="38">
        <f>IFERROR(COUNTIF([1]Village!$BR:$BR,표1[[#This Row],[명칭]]),"-")</f>
        <v>0</v>
      </c>
      <c r="M388" s="38">
        <f>COUNTIF(퀘스트!B:B,표1[[#This Row],[명칭]])</f>
        <v>0</v>
      </c>
      <c r="N388" s="65">
        <f>COUNTIF([1]VillageDiscoveryGroup!$C:$C,표1[[#This Row],[명칭]])</f>
        <v>0</v>
      </c>
      <c r="O388" s="65">
        <f>SUM(표1[[#This Row],[해양탐색]:[마을탐험]])</f>
        <v>0</v>
      </c>
    </row>
    <row r="389" spans="2:15" ht="13.5" customHeight="1" x14ac:dyDescent="0.3">
      <c r="B389" s="9">
        <f>[1]Discovery!A395</f>
        <v>70403064</v>
      </c>
      <c r="C389" s="9" t="str">
        <f>[1]Discovery!B395</f>
        <v>사이코트리아 엘라타</v>
      </c>
      <c r="D389" s="9" t="str">
        <f>[1]Discovery!E395</f>
        <v>식물</v>
      </c>
      <c r="E389" s="9" t="str">
        <f>[1]Discovery!C395</f>
        <v>쌍자엽</v>
      </c>
      <c r="F389" s="9" t="str">
        <f>[1]Discovery!G395</f>
        <v>S</v>
      </c>
      <c r="G389" s="9" t="str">
        <f>IFERROR(VLOOKUP(표1[[#This Row],[명칭]],'문화권 정리'!C:D,2,FALSE),"-")</f>
        <v>남아메리카</v>
      </c>
      <c r="H389" s="38" t="str">
        <f>IFERROR(COUNTIF([2]OceanDoodad!$Y:$Y,표1[[#This Row],[명칭]]),"-")</f>
        <v>-</v>
      </c>
      <c r="I389" s="38">
        <f>IFERROR(COUNTIF([1]AdventureDiscoveryGroup!$D$8:$AW$92,표1[[#This Row],[명칭]]),"-")</f>
        <v>1</v>
      </c>
      <c r="J389" s="38">
        <f>IFERROR(COUNTIF([1]FishDiscoveryGroup!$A:$X,표1[[#This Row],[명칭]]),"-")</f>
        <v>0</v>
      </c>
      <c r="K389" s="38" t="str">
        <f>IFERROR(COUNTIF([2]Town!$B:$B,표1[[#This Row],[명칭]]),"-")</f>
        <v>-</v>
      </c>
      <c r="L389" s="38">
        <f>IFERROR(COUNTIF([1]Village!$BR:$BR,표1[[#This Row],[명칭]]),"-")</f>
        <v>0</v>
      </c>
      <c r="M389" s="38">
        <f>COUNTIF(퀘스트!B:B,표1[[#This Row],[명칭]])</f>
        <v>0</v>
      </c>
      <c r="N389" s="65">
        <f>COUNTIF([1]VillageDiscoveryGroup!$C:$C,표1[[#This Row],[명칭]])</f>
        <v>0</v>
      </c>
      <c r="O389" s="65">
        <f>SUM(표1[[#This Row],[해양탐색]:[마을탐험]])</f>
        <v>1</v>
      </c>
    </row>
    <row r="390" spans="2:15" ht="13.5" customHeight="1" x14ac:dyDescent="0.3">
      <c r="B390" s="9">
        <f>[1]Discovery!A396</f>
        <v>70403065</v>
      </c>
      <c r="C390" s="9" t="str">
        <f>[1]Discovery!B396</f>
        <v>사탕단풍</v>
      </c>
      <c r="D390" s="9" t="str">
        <f>[1]Discovery!E396</f>
        <v>식물</v>
      </c>
      <c r="E390" s="9" t="str">
        <f>[1]Discovery!C396</f>
        <v>쌍자엽</v>
      </c>
      <c r="F390" s="9" t="str">
        <f>[1]Discovery!G396</f>
        <v>A</v>
      </c>
      <c r="G390" s="9" t="str">
        <f>IFERROR(VLOOKUP(표1[[#This Row],[명칭]],'문화권 정리'!C:D,2,FALSE),"-")</f>
        <v>북아메리카</v>
      </c>
      <c r="H390" s="38" t="str">
        <f>IFERROR(COUNTIF([2]OceanDoodad!$Y:$Y,표1[[#This Row],[명칭]]),"-")</f>
        <v>-</v>
      </c>
      <c r="I390" s="38">
        <f>IFERROR(COUNTIF([1]AdventureDiscoveryGroup!$D$8:$AW$92,표1[[#This Row],[명칭]]),"-")</f>
        <v>1</v>
      </c>
      <c r="J390" s="38">
        <f>IFERROR(COUNTIF([1]FishDiscoveryGroup!$A:$X,표1[[#This Row],[명칭]]),"-")</f>
        <v>0</v>
      </c>
      <c r="K390" s="38" t="str">
        <f>IFERROR(COUNTIF([2]Town!$B:$B,표1[[#This Row],[명칭]]),"-")</f>
        <v>-</v>
      </c>
      <c r="L390" s="38">
        <f>IFERROR(COUNTIF([1]Village!$BR:$BR,표1[[#This Row],[명칭]]),"-")</f>
        <v>0</v>
      </c>
      <c r="M390" s="38">
        <f>COUNTIF(퀘스트!B:B,표1[[#This Row],[명칭]])</f>
        <v>0</v>
      </c>
      <c r="N390" s="65">
        <f>COUNTIF([1]VillageDiscoveryGroup!$C:$C,표1[[#This Row],[명칭]])</f>
        <v>0</v>
      </c>
      <c r="O390" s="65">
        <f>SUM(표1[[#This Row],[해양탐색]:[마을탐험]])</f>
        <v>1</v>
      </c>
    </row>
    <row r="391" spans="2:15" ht="13.5" customHeight="1" x14ac:dyDescent="0.3">
      <c r="B391" s="9">
        <f>[1]Discovery!A397</f>
        <v>70403066</v>
      </c>
      <c r="C391" s="9" t="str">
        <f>[1]Discovery!B397</f>
        <v>산사나무</v>
      </c>
      <c r="D391" s="9" t="str">
        <f>[1]Discovery!E397</f>
        <v>식물</v>
      </c>
      <c r="E391" s="9" t="str">
        <f>[1]Discovery!C397</f>
        <v>쌍자엽</v>
      </c>
      <c r="F391" s="9" t="str">
        <f>[1]Discovery!G397</f>
        <v>C</v>
      </c>
      <c r="G391" s="9" t="str">
        <f>IFERROR(VLOOKUP(표1[[#This Row],[명칭]],'문화권 정리'!C:D,2,FALSE),"-")</f>
        <v>동아시아</v>
      </c>
      <c r="H391" s="38" t="str">
        <f>IFERROR(COUNTIF([2]OceanDoodad!$Y:$Y,표1[[#This Row],[명칭]]),"-")</f>
        <v>-</v>
      </c>
      <c r="I391" s="38">
        <f>IFERROR(COUNTIF([1]AdventureDiscoveryGroup!$D$8:$AW$92,표1[[#This Row],[명칭]]),"-")</f>
        <v>0</v>
      </c>
      <c r="J391" s="38">
        <f>IFERROR(COUNTIF([1]FishDiscoveryGroup!$A:$X,표1[[#This Row],[명칭]]),"-")</f>
        <v>0</v>
      </c>
      <c r="K391" s="38" t="str">
        <f>IFERROR(COUNTIF([2]Town!$B:$B,표1[[#This Row],[명칭]]),"-")</f>
        <v>-</v>
      </c>
      <c r="L391" s="38">
        <f>IFERROR(COUNTIF([1]Village!$BR:$BR,표1[[#This Row],[명칭]]),"-")</f>
        <v>0</v>
      </c>
      <c r="M391" s="38">
        <f>COUNTIF(퀘스트!B:B,표1[[#This Row],[명칭]])</f>
        <v>0</v>
      </c>
      <c r="N391" s="65">
        <f>COUNTIF([1]VillageDiscoveryGroup!$C:$C,표1[[#This Row],[명칭]])</f>
        <v>0</v>
      </c>
      <c r="O391" s="65">
        <f>SUM(표1[[#This Row],[해양탐색]:[마을탐험]])</f>
        <v>0</v>
      </c>
    </row>
    <row r="392" spans="2:15" ht="13.5" customHeight="1" x14ac:dyDescent="0.3">
      <c r="B392" s="9">
        <f>[1]Discovery!A398</f>
        <v>70403068</v>
      </c>
      <c r="C392" s="9" t="str">
        <f>[1]Discovery!B398</f>
        <v>석산</v>
      </c>
      <c r="D392" s="9" t="str">
        <f>[1]Discovery!E398</f>
        <v>식물</v>
      </c>
      <c r="E392" s="9" t="str">
        <f>[1]Discovery!C398</f>
        <v>단자엽</v>
      </c>
      <c r="F392" s="9" t="str">
        <f>[1]Discovery!G398</f>
        <v>B</v>
      </c>
      <c r="G392" s="9" t="str">
        <f>IFERROR(VLOOKUP(표1[[#This Row],[명칭]],'문화권 정리'!C:D,2,FALSE),"-")</f>
        <v>동아시아</v>
      </c>
      <c r="H392" s="38" t="str">
        <f>IFERROR(COUNTIF([2]OceanDoodad!$Y:$Y,표1[[#This Row],[명칭]]),"-")</f>
        <v>-</v>
      </c>
      <c r="I392" s="38">
        <f>IFERROR(COUNTIF([1]AdventureDiscoveryGroup!$D$8:$AW$92,표1[[#This Row],[명칭]]),"-")</f>
        <v>0</v>
      </c>
      <c r="J392" s="38">
        <f>IFERROR(COUNTIF([1]FishDiscoveryGroup!$A:$X,표1[[#This Row],[명칭]]),"-")</f>
        <v>0</v>
      </c>
      <c r="K392" s="38" t="str">
        <f>IFERROR(COUNTIF([2]Town!$B:$B,표1[[#This Row],[명칭]]),"-")</f>
        <v>-</v>
      </c>
      <c r="L392" s="38">
        <f>IFERROR(COUNTIF([1]Village!$BR:$BR,표1[[#This Row],[명칭]]),"-")</f>
        <v>0</v>
      </c>
      <c r="M392" s="38">
        <f>COUNTIF(퀘스트!B:B,표1[[#This Row],[명칭]])</f>
        <v>0</v>
      </c>
      <c r="N392" s="65">
        <f>COUNTIF([1]VillageDiscoveryGroup!$C:$C,표1[[#This Row],[명칭]])</f>
        <v>0</v>
      </c>
      <c r="O392" s="65">
        <f>SUM(표1[[#This Row],[해양탐색]:[마을탐험]])</f>
        <v>0</v>
      </c>
    </row>
    <row r="393" spans="2:15" ht="13.5" customHeight="1" x14ac:dyDescent="0.3">
      <c r="B393" s="9">
        <f>[1]Discovery!A399</f>
        <v>70403070</v>
      </c>
      <c r="C393" s="9" t="str">
        <f>[1]Discovery!B399</f>
        <v>세인트폴리아</v>
      </c>
      <c r="D393" s="9" t="str">
        <f>[1]Discovery!E399</f>
        <v>식물</v>
      </c>
      <c r="E393" s="9" t="str">
        <f>[1]Discovery!C399</f>
        <v>쌍자엽</v>
      </c>
      <c r="F393" s="9" t="str">
        <f>[1]Discovery!G399</f>
        <v>B</v>
      </c>
      <c r="G393" s="9" t="str">
        <f>IFERROR(VLOOKUP(표1[[#This Row],[명칭]],'문화권 정리'!C:D,2,FALSE),"-")</f>
        <v>동아프리카</v>
      </c>
      <c r="H393" s="38" t="str">
        <f>IFERROR(COUNTIF([2]OceanDoodad!$Y:$Y,표1[[#This Row],[명칭]]),"-")</f>
        <v>-</v>
      </c>
      <c r="I393" s="38">
        <f>IFERROR(COUNTIF([1]AdventureDiscoveryGroup!$D$8:$AW$92,표1[[#This Row],[명칭]]),"-")</f>
        <v>1</v>
      </c>
      <c r="J393" s="38">
        <f>IFERROR(COUNTIF([1]FishDiscoveryGroup!$A:$X,표1[[#This Row],[명칭]]),"-")</f>
        <v>0</v>
      </c>
      <c r="K393" s="38" t="str">
        <f>IFERROR(COUNTIF([2]Town!$B:$B,표1[[#This Row],[명칭]]),"-")</f>
        <v>-</v>
      </c>
      <c r="L393" s="38">
        <f>IFERROR(COUNTIF([1]Village!$BR:$BR,표1[[#This Row],[명칭]]),"-")</f>
        <v>0</v>
      </c>
      <c r="M393" s="38">
        <f>COUNTIF(퀘스트!B:B,표1[[#This Row],[명칭]])</f>
        <v>0</v>
      </c>
      <c r="N393" s="65">
        <f>COUNTIF([1]VillageDiscoveryGroup!$C:$C,표1[[#This Row],[명칭]])</f>
        <v>0</v>
      </c>
      <c r="O393" s="65">
        <f>SUM(표1[[#This Row],[해양탐색]:[마을탐험]])</f>
        <v>1</v>
      </c>
    </row>
    <row r="394" spans="2:15" ht="13.5" customHeight="1" x14ac:dyDescent="0.3">
      <c r="B394" s="9" t="str">
        <f>[1]Discovery!A400</f>
        <v>#70403071</v>
      </c>
      <c r="C394" s="9" t="str">
        <f>[1]Discovery!B400</f>
        <v>세쿼이아</v>
      </c>
      <c r="D394" s="9" t="str">
        <f>[1]Discovery!E400</f>
        <v>식물</v>
      </c>
      <c r="E394" s="9" t="str">
        <f>[1]Discovery!C400</f>
        <v>없음</v>
      </c>
      <c r="F394" s="9" t="str">
        <f>[1]Discovery!G400</f>
        <v>B</v>
      </c>
      <c r="G394" s="9" t="str">
        <f>IFERROR(VLOOKUP(표1[[#This Row],[명칭]],'문화권 정리'!C:D,2,FALSE),"-")</f>
        <v>북아메리카</v>
      </c>
      <c r="H394" s="38" t="str">
        <f>IFERROR(COUNTIF([2]OceanDoodad!$Y:$Y,표1[[#This Row],[명칭]]),"-")</f>
        <v>-</v>
      </c>
      <c r="I394" s="38">
        <f>IFERROR(COUNTIF([1]AdventureDiscoveryGroup!$D$8:$AW$92,표1[[#This Row],[명칭]]),"-")</f>
        <v>0</v>
      </c>
      <c r="J394" s="38">
        <f>IFERROR(COUNTIF([1]FishDiscoveryGroup!$A:$X,표1[[#This Row],[명칭]]),"-")</f>
        <v>0</v>
      </c>
      <c r="K394" s="38" t="str">
        <f>IFERROR(COUNTIF([2]Town!$B:$B,표1[[#This Row],[명칭]]),"-")</f>
        <v>-</v>
      </c>
      <c r="L394" s="38">
        <f>IFERROR(COUNTIF([1]Village!$BR:$BR,표1[[#This Row],[명칭]]),"-")</f>
        <v>0</v>
      </c>
      <c r="M394" s="38">
        <f>COUNTIF(퀘스트!B:B,표1[[#This Row],[명칭]])</f>
        <v>0</v>
      </c>
      <c r="N394" s="65">
        <f>COUNTIF([1]VillageDiscoveryGroup!$C:$C,표1[[#This Row],[명칭]])</f>
        <v>0</v>
      </c>
      <c r="O394" s="65">
        <f>SUM(표1[[#This Row],[해양탐색]:[마을탐험]])</f>
        <v>0</v>
      </c>
    </row>
    <row r="395" spans="2:15" ht="13.5" customHeight="1" x14ac:dyDescent="0.3">
      <c r="B395" s="9">
        <f>[1]Discovery!A401</f>
        <v>70403072</v>
      </c>
      <c r="C395" s="9" t="str">
        <f>[1]Discovery!B401</f>
        <v>수국</v>
      </c>
      <c r="D395" s="9" t="str">
        <f>[1]Discovery!E401</f>
        <v>식물</v>
      </c>
      <c r="E395" s="9" t="str">
        <f>[1]Discovery!C401</f>
        <v>쌍자엽</v>
      </c>
      <c r="F395" s="9" t="str">
        <f>[1]Discovery!G401</f>
        <v>B</v>
      </c>
      <c r="G395" s="9" t="str">
        <f>IFERROR(VLOOKUP(표1[[#This Row],[명칭]],'문화권 정리'!C:D,2,FALSE),"-")</f>
        <v>동아시아</v>
      </c>
      <c r="H395" s="38" t="str">
        <f>IFERROR(COUNTIF([2]OceanDoodad!$Y:$Y,표1[[#This Row],[명칭]]),"-")</f>
        <v>-</v>
      </c>
      <c r="I395" s="38">
        <f>IFERROR(COUNTIF([1]AdventureDiscoveryGroup!$D$8:$AW$92,표1[[#This Row],[명칭]]),"-")</f>
        <v>0</v>
      </c>
      <c r="J395" s="38">
        <f>IFERROR(COUNTIF([1]FishDiscoveryGroup!$A:$X,표1[[#This Row],[명칭]]),"-")</f>
        <v>0</v>
      </c>
      <c r="K395" s="38" t="str">
        <f>IFERROR(COUNTIF([2]Town!$B:$B,표1[[#This Row],[명칭]]),"-")</f>
        <v>-</v>
      </c>
      <c r="L395" s="38">
        <f>IFERROR(COUNTIF([1]Village!$BR:$BR,표1[[#This Row],[명칭]]),"-")</f>
        <v>0</v>
      </c>
      <c r="M395" s="38">
        <f>COUNTIF(퀘스트!B:B,표1[[#This Row],[명칭]])</f>
        <v>0</v>
      </c>
      <c r="N395" s="65">
        <f>COUNTIF([1]VillageDiscoveryGroup!$C:$C,표1[[#This Row],[명칭]])</f>
        <v>0</v>
      </c>
      <c r="O395" s="65">
        <f>SUM(표1[[#This Row],[해양탐색]:[마을탐험]])</f>
        <v>0</v>
      </c>
    </row>
    <row r="396" spans="2:15" ht="13.5" customHeight="1" x14ac:dyDescent="0.3">
      <c r="B396" s="9">
        <f>[1]Discovery!A402</f>
        <v>70403073</v>
      </c>
      <c r="C396" s="9" t="str">
        <f>[1]Discovery!B402</f>
        <v>수레국화</v>
      </c>
      <c r="D396" s="9" t="str">
        <f>[1]Discovery!E402</f>
        <v>식물</v>
      </c>
      <c r="E396" s="9" t="str">
        <f>[1]Discovery!C402</f>
        <v>쌍자엽</v>
      </c>
      <c r="F396" s="9" t="str">
        <f>[1]Discovery!G402</f>
        <v>D</v>
      </c>
      <c r="G396" s="9" t="str">
        <f>IFERROR(VLOOKUP(표1[[#This Row],[명칭]],'문화권 정리'!C:D,2,FALSE),"-")</f>
        <v>지중해</v>
      </c>
      <c r="H396" s="38" t="str">
        <f>IFERROR(COUNTIF([2]OceanDoodad!$Y:$Y,표1[[#This Row],[명칭]]),"-")</f>
        <v>-</v>
      </c>
      <c r="I396" s="38">
        <f>IFERROR(COUNTIF([1]AdventureDiscoveryGroup!$D$8:$AW$92,표1[[#This Row],[명칭]]),"-")</f>
        <v>1</v>
      </c>
      <c r="J396" s="38">
        <f>IFERROR(COUNTIF([1]FishDiscoveryGroup!$A:$X,표1[[#This Row],[명칭]]),"-")</f>
        <v>0</v>
      </c>
      <c r="K396" s="38" t="str">
        <f>IFERROR(COUNTIF([2]Town!$B:$B,표1[[#This Row],[명칭]]),"-")</f>
        <v>-</v>
      </c>
      <c r="L396" s="38">
        <f>IFERROR(COUNTIF([1]Village!$BR:$BR,표1[[#This Row],[명칭]]),"-")</f>
        <v>0</v>
      </c>
      <c r="M396" s="38">
        <f>COUNTIF(퀘스트!B:B,표1[[#This Row],[명칭]])</f>
        <v>0</v>
      </c>
      <c r="N396" s="65">
        <f>COUNTIF([1]VillageDiscoveryGroup!$C:$C,표1[[#This Row],[명칭]])</f>
        <v>0</v>
      </c>
      <c r="O396" s="65">
        <f>SUM(표1[[#This Row],[해양탐색]:[마을탐험]])</f>
        <v>1</v>
      </c>
    </row>
    <row r="397" spans="2:15" ht="13.5" customHeight="1" x14ac:dyDescent="0.3">
      <c r="B397" s="9">
        <f>[1]Discovery!A403</f>
        <v>70403074</v>
      </c>
      <c r="C397" s="9" t="str">
        <f>[1]Discovery!B403</f>
        <v>수련</v>
      </c>
      <c r="D397" s="9" t="str">
        <f>[1]Discovery!E403</f>
        <v>식물</v>
      </c>
      <c r="E397" s="9" t="str">
        <f>[1]Discovery!C403</f>
        <v>쌍자엽</v>
      </c>
      <c r="F397" s="9" t="str">
        <f>[1]Discovery!G403</f>
        <v>A</v>
      </c>
      <c r="G397" s="9" t="str">
        <f>IFERROR(VLOOKUP(표1[[#This Row],[명칭]],'문화권 정리'!C:D,2,FALSE),"-")</f>
        <v>남아시아</v>
      </c>
      <c r="H397" s="38" t="str">
        <f>IFERROR(COUNTIF([2]OceanDoodad!$Y:$Y,표1[[#This Row],[명칭]]),"-")</f>
        <v>-</v>
      </c>
      <c r="I397" s="38">
        <f>IFERROR(COUNTIF([1]AdventureDiscoveryGroup!$D$8:$AW$92,표1[[#This Row],[명칭]]),"-")</f>
        <v>0</v>
      </c>
      <c r="J397" s="38">
        <f>IFERROR(COUNTIF([1]FishDiscoveryGroup!$A:$X,표1[[#This Row],[명칭]]),"-")</f>
        <v>0</v>
      </c>
      <c r="K397" s="38" t="str">
        <f>IFERROR(COUNTIF([2]Town!$B:$B,표1[[#This Row],[명칭]]),"-")</f>
        <v>-</v>
      </c>
      <c r="L397" s="38">
        <f>IFERROR(COUNTIF([1]Village!$BR:$BR,표1[[#This Row],[명칭]]),"-")</f>
        <v>0</v>
      </c>
      <c r="M397" s="38">
        <f>COUNTIF(퀘스트!B:B,표1[[#This Row],[명칭]])</f>
        <v>0</v>
      </c>
      <c r="N397" s="65">
        <f>COUNTIF([1]VillageDiscoveryGroup!$C:$C,표1[[#This Row],[명칭]])</f>
        <v>0</v>
      </c>
      <c r="O397" s="65">
        <f>SUM(표1[[#This Row],[해양탐색]:[마을탐험]])</f>
        <v>0</v>
      </c>
    </row>
    <row r="398" spans="2:15" ht="13.5" customHeight="1" x14ac:dyDescent="0.3">
      <c r="B398" s="9">
        <f>[1]Discovery!A404</f>
        <v>70403076</v>
      </c>
      <c r="C398" s="9" t="str">
        <f>[1]Discovery!B404</f>
        <v>수수꽃다리</v>
      </c>
      <c r="D398" s="9" t="str">
        <f>[1]Discovery!E404</f>
        <v>식물</v>
      </c>
      <c r="E398" s="9" t="str">
        <f>[1]Discovery!C404</f>
        <v>쌍자엽</v>
      </c>
      <c r="F398" s="9" t="str">
        <f>[1]Discovery!G404</f>
        <v>B</v>
      </c>
      <c r="G398" s="9" t="str">
        <f>IFERROR(VLOOKUP(표1[[#This Row],[명칭]],'문화권 정리'!C:D,2,FALSE),"-")</f>
        <v>동아시아</v>
      </c>
      <c r="H398" s="38" t="str">
        <f>IFERROR(COUNTIF([2]OceanDoodad!$Y:$Y,표1[[#This Row],[명칭]]),"-")</f>
        <v>-</v>
      </c>
      <c r="I398" s="38">
        <f>IFERROR(COUNTIF([1]AdventureDiscoveryGroup!$D$8:$AW$92,표1[[#This Row],[명칭]]),"-")</f>
        <v>0</v>
      </c>
      <c r="J398" s="38">
        <f>IFERROR(COUNTIF([1]FishDiscoveryGroup!$A:$X,표1[[#This Row],[명칭]]),"-")</f>
        <v>0</v>
      </c>
      <c r="K398" s="38" t="str">
        <f>IFERROR(COUNTIF([2]Town!$B:$B,표1[[#This Row],[명칭]]),"-")</f>
        <v>-</v>
      </c>
      <c r="L398" s="38">
        <f>IFERROR(COUNTIF([1]Village!$BR:$BR,표1[[#This Row],[명칭]]),"-")</f>
        <v>0</v>
      </c>
      <c r="M398" s="38">
        <f>COUNTIF(퀘스트!B:B,표1[[#This Row],[명칭]])</f>
        <v>0</v>
      </c>
      <c r="N398" s="65">
        <f>COUNTIF([1]VillageDiscoveryGroup!$C:$C,표1[[#This Row],[명칭]])</f>
        <v>1</v>
      </c>
      <c r="O398" s="65">
        <f>SUM(표1[[#This Row],[해양탐색]:[마을탐험]])</f>
        <v>1</v>
      </c>
    </row>
    <row r="399" spans="2:15" ht="13.5" customHeight="1" x14ac:dyDescent="0.3">
      <c r="B399" s="9">
        <f>[1]Discovery!A405</f>
        <v>70403077</v>
      </c>
      <c r="C399" s="9" t="str">
        <f>[1]Discovery!B405</f>
        <v>순비기나무</v>
      </c>
      <c r="D399" s="9" t="str">
        <f>[1]Discovery!E405</f>
        <v>식물</v>
      </c>
      <c r="E399" s="9" t="str">
        <f>[1]Discovery!C405</f>
        <v>쌍자엽</v>
      </c>
      <c r="F399" s="9" t="str">
        <f>[1]Discovery!G405</f>
        <v>C</v>
      </c>
      <c r="G399" s="9" t="str">
        <f>IFERROR(VLOOKUP(표1[[#This Row],[명칭]],'문화권 정리'!C:D,2,FALSE),"-")</f>
        <v>동아시아</v>
      </c>
      <c r="H399" s="38" t="str">
        <f>IFERROR(COUNTIF([2]OceanDoodad!$Y:$Y,표1[[#This Row],[명칭]]),"-")</f>
        <v>-</v>
      </c>
      <c r="I399" s="38">
        <f>IFERROR(COUNTIF([1]AdventureDiscoveryGroup!$D$8:$AW$92,표1[[#This Row],[명칭]]),"-")</f>
        <v>1</v>
      </c>
      <c r="J399" s="38">
        <f>IFERROR(COUNTIF([1]FishDiscoveryGroup!$A:$X,표1[[#This Row],[명칭]]),"-")</f>
        <v>0</v>
      </c>
      <c r="K399" s="38" t="str">
        <f>IFERROR(COUNTIF([2]Town!$B:$B,표1[[#This Row],[명칭]]),"-")</f>
        <v>-</v>
      </c>
      <c r="L399" s="38">
        <f>IFERROR(COUNTIF([1]Village!$BR:$BR,표1[[#This Row],[명칭]]),"-")</f>
        <v>0</v>
      </c>
      <c r="M399" s="38">
        <f>COUNTIF(퀘스트!B:B,표1[[#This Row],[명칭]])</f>
        <v>0</v>
      </c>
      <c r="N399" s="65">
        <f>COUNTIF([1]VillageDiscoveryGroup!$C:$C,표1[[#This Row],[명칭]])</f>
        <v>0</v>
      </c>
      <c r="O399" s="65">
        <f>SUM(표1[[#This Row],[해양탐색]:[마을탐험]])</f>
        <v>1</v>
      </c>
    </row>
    <row r="400" spans="2:15" ht="13.5" customHeight="1" x14ac:dyDescent="0.3">
      <c r="B400" s="9">
        <f>[1]Discovery!A406</f>
        <v>70403078</v>
      </c>
      <c r="C400" s="9" t="str">
        <f>[1]Discovery!B406</f>
        <v>시계꽃</v>
      </c>
      <c r="D400" s="9" t="str">
        <f>[1]Discovery!E406</f>
        <v>식물</v>
      </c>
      <c r="E400" s="9" t="str">
        <f>[1]Discovery!C406</f>
        <v>쌍자엽</v>
      </c>
      <c r="F400" s="9" t="str">
        <f>[1]Discovery!G406</f>
        <v>S</v>
      </c>
      <c r="G400" s="9" t="str">
        <f>IFERROR(VLOOKUP(표1[[#This Row],[명칭]],'문화권 정리'!C:D,2,FALSE),"-")</f>
        <v>남아메리카</v>
      </c>
      <c r="H400" s="38" t="str">
        <f>IFERROR(COUNTIF([2]OceanDoodad!$Y:$Y,표1[[#This Row],[명칭]]),"-")</f>
        <v>-</v>
      </c>
      <c r="I400" s="38">
        <f>IFERROR(COUNTIF([1]AdventureDiscoveryGroup!$D$8:$AW$92,표1[[#This Row],[명칭]]),"-")</f>
        <v>1</v>
      </c>
      <c r="J400" s="38">
        <f>IFERROR(COUNTIF([1]FishDiscoveryGroup!$A:$X,표1[[#This Row],[명칭]]),"-")</f>
        <v>0</v>
      </c>
      <c r="K400" s="38" t="str">
        <f>IFERROR(COUNTIF([2]Town!$B:$B,표1[[#This Row],[명칭]]),"-")</f>
        <v>-</v>
      </c>
      <c r="L400" s="38">
        <f>IFERROR(COUNTIF([1]Village!$BR:$BR,표1[[#This Row],[명칭]]),"-")</f>
        <v>0</v>
      </c>
      <c r="M400" s="38">
        <f>COUNTIF(퀘스트!B:B,표1[[#This Row],[명칭]])</f>
        <v>0</v>
      </c>
      <c r="N400" s="65">
        <f>COUNTIF([1]VillageDiscoveryGroup!$C:$C,표1[[#This Row],[명칭]])</f>
        <v>0</v>
      </c>
      <c r="O400" s="65">
        <f>SUM(표1[[#This Row],[해양탐색]:[마을탐험]])</f>
        <v>1</v>
      </c>
    </row>
    <row r="401" spans="2:15" ht="13.5" customHeight="1" x14ac:dyDescent="0.3">
      <c r="B401" s="9">
        <f>[1]Discovery!A407</f>
        <v>70403079</v>
      </c>
      <c r="C401" s="9" t="str">
        <f>[1]Discovery!B407</f>
        <v>시어 버터 나무</v>
      </c>
      <c r="D401" s="9" t="str">
        <f>[1]Discovery!E407</f>
        <v>식물</v>
      </c>
      <c r="E401" s="9" t="str">
        <f>[1]Discovery!C407</f>
        <v>쌍자엽</v>
      </c>
      <c r="F401" s="9" t="str">
        <f>[1]Discovery!G407</f>
        <v>A</v>
      </c>
      <c r="G401" s="9" t="str">
        <f>IFERROR(VLOOKUP(표1[[#This Row],[명칭]],'문화권 정리'!C:D,2,FALSE),"-")</f>
        <v>서아프리카</v>
      </c>
      <c r="H401" s="38" t="str">
        <f>IFERROR(COUNTIF([2]OceanDoodad!$Y:$Y,표1[[#This Row],[명칭]]),"-")</f>
        <v>-</v>
      </c>
      <c r="I401" s="38">
        <f>IFERROR(COUNTIF([1]AdventureDiscoveryGroup!$D$8:$AW$92,표1[[#This Row],[명칭]]),"-")</f>
        <v>0</v>
      </c>
      <c r="J401" s="38">
        <f>IFERROR(COUNTIF([1]FishDiscoveryGroup!$A:$X,표1[[#This Row],[명칭]]),"-")</f>
        <v>0</v>
      </c>
      <c r="K401" s="38" t="str">
        <f>IFERROR(COUNTIF([2]Town!$B:$B,표1[[#This Row],[명칭]]),"-")</f>
        <v>-</v>
      </c>
      <c r="L401" s="38">
        <f>IFERROR(COUNTIF([1]Village!$BR:$BR,표1[[#This Row],[명칭]]),"-")</f>
        <v>0</v>
      </c>
      <c r="M401" s="38">
        <f>COUNTIF(퀘스트!B:B,표1[[#This Row],[명칭]])</f>
        <v>0</v>
      </c>
      <c r="N401" s="65">
        <f>COUNTIF([1]VillageDiscoveryGroup!$C:$C,표1[[#This Row],[명칭]])</f>
        <v>1</v>
      </c>
      <c r="O401" s="65">
        <f>SUM(표1[[#This Row],[해양탐색]:[마을탐험]])</f>
        <v>1</v>
      </c>
    </row>
    <row r="402" spans="2:15" ht="13.5" customHeight="1" x14ac:dyDescent="0.3">
      <c r="B402" s="9">
        <f>[1]Discovery!A408</f>
        <v>70403080</v>
      </c>
      <c r="C402" s="9" t="str">
        <f>[1]Discovery!B408</f>
        <v>시클라멘</v>
      </c>
      <c r="D402" s="9" t="str">
        <f>[1]Discovery!E408</f>
        <v>식물</v>
      </c>
      <c r="E402" s="9" t="str">
        <f>[1]Discovery!C408</f>
        <v>쌍자엽</v>
      </c>
      <c r="F402" s="9" t="str">
        <f>[1]Discovery!G408</f>
        <v>A</v>
      </c>
      <c r="G402" s="9" t="str">
        <f>IFERROR(VLOOKUP(표1[[#This Row],[명칭]],'문화권 정리'!C:D,2,FALSE),"-")</f>
        <v>지중해</v>
      </c>
      <c r="H402" s="38" t="str">
        <f>IFERROR(COUNTIF([2]OceanDoodad!$Y:$Y,표1[[#This Row],[명칭]]),"-")</f>
        <v>-</v>
      </c>
      <c r="I402" s="38">
        <f>IFERROR(COUNTIF([1]AdventureDiscoveryGroup!$D$8:$AW$92,표1[[#This Row],[명칭]]),"-")</f>
        <v>1</v>
      </c>
      <c r="J402" s="38">
        <f>IFERROR(COUNTIF([1]FishDiscoveryGroup!$A:$X,표1[[#This Row],[명칭]]),"-")</f>
        <v>0</v>
      </c>
      <c r="K402" s="38" t="str">
        <f>IFERROR(COUNTIF([2]Town!$B:$B,표1[[#This Row],[명칭]]),"-")</f>
        <v>-</v>
      </c>
      <c r="L402" s="38">
        <f>IFERROR(COUNTIF([1]Village!$BR:$BR,표1[[#This Row],[명칭]]),"-")</f>
        <v>0</v>
      </c>
      <c r="M402" s="38">
        <f>COUNTIF(퀘스트!B:B,표1[[#This Row],[명칭]])</f>
        <v>0</v>
      </c>
      <c r="N402" s="65">
        <f>COUNTIF([1]VillageDiscoveryGroup!$C:$C,표1[[#This Row],[명칭]])</f>
        <v>0</v>
      </c>
      <c r="O402" s="65">
        <f>SUM(표1[[#This Row],[해양탐색]:[마을탐험]])</f>
        <v>1</v>
      </c>
    </row>
    <row r="403" spans="2:15" ht="13.5" customHeight="1" x14ac:dyDescent="0.3">
      <c r="B403" s="9">
        <f>[1]Discovery!A409</f>
        <v>70403081</v>
      </c>
      <c r="C403" s="9" t="str">
        <f>[1]Discovery!B409</f>
        <v>심비디움</v>
      </c>
      <c r="D403" s="9" t="str">
        <f>[1]Discovery!E409</f>
        <v>식물</v>
      </c>
      <c r="E403" s="9" t="str">
        <f>[1]Discovery!C409</f>
        <v>단자엽</v>
      </c>
      <c r="F403" s="9" t="str">
        <f>[1]Discovery!G409</f>
        <v>C</v>
      </c>
      <c r="G403" s="9" t="str">
        <f>IFERROR(VLOOKUP(표1[[#This Row],[명칭]],'문화권 정리'!C:D,2,FALSE),"-")</f>
        <v>동남아시아</v>
      </c>
      <c r="H403" s="38" t="str">
        <f>IFERROR(COUNTIF([2]OceanDoodad!$Y:$Y,표1[[#This Row],[명칭]]),"-")</f>
        <v>-</v>
      </c>
      <c r="I403" s="38">
        <f>IFERROR(COUNTIF([1]AdventureDiscoveryGroup!$D$8:$AW$92,표1[[#This Row],[명칭]]),"-")</f>
        <v>0</v>
      </c>
      <c r="J403" s="38">
        <f>IFERROR(COUNTIF([1]FishDiscoveryGroup!$A:$X,표1[[#This Row],[명칭]]),"-")</f>
        <v>0</v>
      </c>
      <c r="K403" s="38" t="str">
        <f>IFERROR(COUNTIF([2]Town!$B:$B,표1[[#This Row],[명칭]]),"-")</f>
        <v>-</v>
      </c>
      <c r="L403" s="38">
        <f>IFERROR(COUNTIF([1]Village!$BR:$BR,표1[[#This Row],[명칭]]),"-")</f>
        <v>0</v>
      </c>
      <c r="M403" s="38">
        <f>COUNTIF(퀘스트!B:B,표1[[#This Row],[명칭]])</f>
        <v>0</v>
      </c>
      <c r="N403" s="65">
        <f>COUNTIF([1]VillageDiscoveryGroup!$C:$C,표1[[#This Row],[명칭]])</f>
        <v>0</v>
      </c>
      <c r="O403" s="65">
        <f>SUM(표1[[#This Row],[해양탐색]:[마을탐험]])</f>
        <v>0</v>
      </c>
    </row>
    <row r="404" spans="2:15" ht="13.5" customHeight="1" x14ac:dyDescent="0.3">
      <c r="B404" s="9">
        <f>[1]Discovery!A410</f>
        <v>70403082</v>
      </c>
      <c r="C404" s="9" t="str">
        <f>[1]Discovery!B410</f>
        <v>쐐기풀</v>
      </c>
      <c r="D404" s="9" t="str">
        <f>[1]Discovery!E410</f>
        <v>식물</v>
      </c>
      <c r="E404" s="9" t="str">
        <f>[1]Discovery!C410</f>
        <v>쌍자엽</v>
      </c>
      <c r="F404" s="9" t="str">
        <f>[1]Discovery!G410</f>
        <v>C</v>
      </c>
      <c r="G404" s="9" t="str">
        <f>IFERROR(VLOOKUP(표1[[#This Row],[명칭]],'문화권 정리'!C:D,2,FALSE),"-")</f>
        <v>동아시아</v>
      </c>
      <c r="H404" s="38" t="str">
        <f>IFERROR(COUNTIF([2]OceanDoodad!$Y:$Y,표1[[#This Row],[명칭]]),"-")</f>
        <v>-</v>
      </c>
      <c r="I404" s="38">
        <f>IFERROR(COUNTIF([1]AdventureDiscoveryGroup!$D$8:$AW$92,표1[[#This Row],[명칭]]),"-")</f>
        <v>0</v>
      </c>
      <c r="J404" s="38">
        <f>IFERROR(COUNTIF([1]FishDiscoveryGroup!$A:$X,표1[[#This Row],[명칭]]),"-")</f>
        <v>0</v>
      </c>
      <c r="K404" s="38" t="str">
        <f>IFERROR(COUNTIF([2]Town!$B:$B,표1[[#This Row],[명칭]]),"-")</f>
        <v>-</v>
      </c>
      <c r="L404" s="38">
        <f>IFERROR(COUNTIF([1]Village!$BR:$BR,표1[[#This Row],[명칭]]),"-")</f>
        <v>0</v>
      </c>
      <c r="M404" s="38">
        <f>COUNTIF(퀘스트!B:B,표1[[#This Row],[명칭]])</f>
        <v>1</v>
      </c>
      <c r="N404" s="65">
        <f>COUNTIF([1]VillageDiscoveryGroup!$C:$C,표1[[#This Row],[명칭]])</f>
        <v>0</v>
      </c>
      <c r="O404" s="65">
        <f>SUM(표1[[#This Row],[해양탐색]:[마을탐험]])</f>
        <v>1</v>
      </c>
    </row>
    <row r="405" spans="2:15" ht="13.5" customHeight="1" x14ac:dyDescent="0.3">
      <c r="B405" s="9">
        <f>[1]Discovery!A411</f>
        <v>70403083</v>
      </c>
      <c r="C405" s="9" t="str">
        <f>[1]Discovery!B411</f>
        <v>파인애플</v>
      </c>
      <c r="D405" s="9" t="str">
        <f>[1]Discovery!E411</f>
        <v>식물</v>
      </c>
      <c r="E405" s="9" t="str">
        <f>[1]Discovery!C411</f>
        <v>단자엽</v>
      </c>
      <c r="F405" s="9" t="str">
        <f>[1]Discovery!G411</f>
        <v>B</v>
      </c>
      <c r="G405" s="9" t="str">
        <f>IFERROR(VLOOKUP(표1[[#This Row],[명칭]],'문화권 정리'!C:D,2,FALSE),"-")</f>
        <v>남아메리카</v>
      </c>
      <c r="H405" s="38" t="str">
        <f>IFERROR(COUNTIF([2]OceanDoodad!$Y:$Y,표1[[#This Row],[명칭]]),"-")</f>
        <v>-</v>
      </c>
      <c r="I405" s="38">
        <f>IFERROR(COUNTIF([1]AdventureDiscoveryGroup!$D$8:$AW$92,표1[[#This Row],[명칭]]),"-")</f>
        <v>0</v>
      </c>
      <c r="J405" s="38">
        <f>IFERROR(COUNTIF([1]FishDiscoveryGroup!$A:$X,표1[[#This Row],[명칭]]),"-")</f>
        <v>0</v>
      </c>
      <c r="K405" s="38" t="str">
        <f>IFERROR(COUNTIF([2]Town!$B:$B,표1[[#This Row],[명칭]]),"-")</f>
        <v>-</v>
      </c>
      <c r="L405" s="38">
        <f>IFERROR(COUNTIF([1]Village!$BR:$BR,표1[[#This Row],[명칭]]),"-")</f>
        <v>0</v>
      </c>
      <c r="M405" s="38">
        <f>COUNTIF(퀘스트!B:B,표1[[#This Row],[명칭]])</f>
        <v>0</v>
      </c>
      <c r="N405" s="65">
        <f>COUNTIF([1]VillageDiscoveryGroup!$C:$C,표1[[#This Row],[명칭]])</f>
        <v>1</v>
      </c>
      <c r="O405" s="65">
        <f>SUM(표1[[#This Row],[해양탐색]:[마을탐험]])</f>
        <v>1</v>
      </c>
    </row>
    <row r="406" spans="2:15" ht="13.5" customHeight="1" x14ac:dyDescent="0.3">
      <c r="B406" s="9">
        <f>[1]Discovery!A412</f>
        <v>70403084</v>
      </c>
      <c r="C406" s="9" t="str">
        <f>[1]Discovery!B412</f>
        <v>아네모네</v>
      </c>
      <c r="D406" s="9" t="str">
        <f>[1]Discovery!E412</f>
        <v>식물</v>
      </c>
      <c r="E406" s="9" t="str">
        <f>[1]Discovery!C412</f>
        <v>쌍자엽</v>
      </c>
      <c r="F406" s="9" t="str">
        <f>[1]Discovery!G412</f>
        <v>A</v>
      </c>
      <c r="G406" s="9" t="str">
        <f>IFERROR(VLOOKUP(표1[[#This Row],[명칭]],'문화권 정리'!C:D,2,FALSE),"-")</f>
        <v>지중해</v>
      </c>
      <c r="H406" s="38" t="str">
        <f>IFERROR(COUNTIF([2]OceanDoodad!$Y:$Y,표1[[#This Row],[명칭]]),"-")</f>
        <v>-</v>
      </c>
      <c r="I406" s="38">
        <f>IFERROR(COUNTIF([1]AdventureDiscoveryGroup!$D$8:$AW$92,표1[[#This Row],[명칭]]),"-")</f>
        <v>0</v>
      </c>
      <c r="J406" s="38">
        <f>IFERROR(COUNTIF([1]FishDiscoveryGroup!$A:$X,표1[[#This Row],[명칭]]),"-")</f>
        <v>0</v>
      </c>
      <c r="K406" s="38" t="str">
        <f>IFERROR(COUNTIF([2]Town!$B:$B,표1[[#This Row],[명칭]]),"-")</f>
        <v>-</v>
      </c>
      <c r="L406" s="38">
        <f>IFERROR(COUNTIF([1]Village!$BR:$BR,표1[[#This Row],[명칭]]),"-")</f>
        <v>0</v>
      </c>
      <c r="M406" s="38">
        <f>COUNTIF(퀘스트!B:B,표1[[#This Row],[명칭]])</f>
        <v>1</v>
      </c>
      <c r="N406" s="65">
        <f>COUNTIF([1]VillageDiscoveryGroup!$C:$C,표1[[#This Row],[명칭]])</f>
        <v>0</v>
      </c>
      <c r="O406" s="65">
        <f>SUM(표1[[#This Row],[해양탐색]:[마을탐험]])</f>
        <v>1</v>
      </c>
    </row>
    <row r="407" spans="2:15" ht="13.5" customHeight="1" x14ac:dyDescent="0.3">
      <c r="B407" s="9">
        <f>[1]Discovery!A413</f>
        <v>70403085</v>
      </c>
      <c r="C407" s="9" t="str">
        <f>[1]Discovery!B413</f>
        <v>아마릴리스</v>
      </c>
      <c r="D407" s="9" t="str">
        <f>[1]Discovery!E413</f>
        <v>식물</v>
      </c>
      <c r="E407" s="9" t="str">
        <f>[1]Discovery!C413</f>
        <v>단자엽</v>
      </c>
      <c r="F407" s="9" t="str">
        <f>[1]Discovery!G413</f>
        <v>A</v>
      </c>
      <c r="G407" s="9" t="str">
        <f>IFERROR(VLOOKUP(표1[[#This Row],[명칭]],'문화권 정리'!C:D,2,FALSE),"-")</f>
        <v>남아메리카</v>
      </c>
      <c r="H407" s="38" t="str">
        <f>IFERROR(COUNTIF([2]OceanDoodad!$Y:$Y,표1[[#This Row],[명칭]]),"-")</f>
        <v>-</v>
      </c>
      <c r="I407" s="38">
        <f>IFERROR(COUNTIF([1]AdventureDiscoveryGroup!$D$8:$AW$92,표1[[#This Row],[명칭]]),"-")</f>
        <v>0</v>
      </c>
      <c r="J407" s="38">
        <f>IFERROR(COUNTIF([1]FishDiscoveryGroup!$A:$X,표1[[#This Row],[명칭]]),"-")</f>
        <v>0</v>
      </c>
      <c r="K407" s="38" t="str">
        <f>IFERROR(COUNTIF([2]Town!$B:$B,표1[[#This Row],[명칭]]),"-")</f>
        <v>-</v>
      </c>
      <c r="L407" s="38">
        <f>IFERROR(COUNTIF([1]Village!$BR:$BR,표1[[#This Row],[명칭]]),"-")</f>
        <v>0</v>
      </c>
      <c r="M407" s="38">
        <f>COUNTIF(퀘스트!B:B,표1[[#This Row],[명칭]])</f>
        <v>0</v>
      </c>
      <c r="N407" s="65">
        <f>COUNTIF([1]VillageDiscoveryGroup!$C:$C,표1[[#This Row],[명칭]])</f>
        <v>1</v>
      </c>
      <c r="O407" s="65">
        <f>SUM(표1[[#This Row],[해양탐색]:[마을탐험]])</f>
        <v>1</v>
      </c>
    </row>
    <row r="408" spans="2:15" ht="13.5" customHeight="1" x14ac:dyDescent="0.3">
      <c r="B408" s="9">
        <f>[1]Discovery!A414</f>
        <v>70403086</v>
      </c>
      <c r="C408" s="9" t="str">
        <f>[1]Discovery!B414</f>
        <v>아모르포팔루스 티타눔</v>
      </c>
      <c r="D408" s="9" t="str">
        <f>[1]Discovery!E414</f>
        <v>식물</v>
      </c>
      <c r="E408" s="9" t="str">
        <f>[1]Discovery!C414</f>
        <v>단자엽</v>
      </c>
      <c r="F408" s="9" t="str">
        <f>[1]Discovery!G414</f>
        <v>S</v>
      </c>
      <c r="G408" s="9" t="str">
        <f>IFERROR(VLOOKUP(표1[[#This Row],[명칭]],'문화권 정리'!C:D,2,FALSE),"-")</f>
        <v>동남아시아</v>
      </c>
      <c r="H408" s="38" t="str">
        <f>IFERROR(COUNTIF([2]OceanDoodad!$Y:$Y,표1[[#This Row],[명칭]]),"-")</f>
        <v>-</v>
      </c>
      <c r="I408" s="38">
        <f>IFERROR(COUNTIF([1]AdventureDiscoveryGroup!$D$8:$AW$92,표1[[#This Row],[명칭]]),"-")</f>
        <v>1</v>
      </c>
      <c r="J408" s="38">
        <f>IFERROR(COUNTIF([1]FishDiscoveryGroup!$A:$X,표1[[#This Row],[명칭]]),"-")</f>
        <v>0</v>
      </c>
      <c r="K408" s="38" t="str">
        <f>IFERROR(COUNTIF([2]Town!$B:$B,표1[[#This Row],[명칭]]),"-")</f>
        <v>-</v>
      </c>
      <c r="L408" s="38">
        <f>IFERROR(COUNTIF([1]Village!$BR:$BR,표1[[#This Row],[명칭]]),"-")</f>
        <v>0</v>
      </c>
      <c r="M408" s="38">
        <f>COUNTIF(퀘스트!B:B,표1[[#This Row],[명칭]])</f>
        <v>0</v>
      </c>
      <c r="N408" s="65">
        <f>COUNTIF([1]VillageDiscoveryGroup!$C:$C,표1[[#This Row],[명칭]])</f>
        <v>0</v>
      </c>
      <c r="O408" s="65">
        <f>SUM(표1[[#This Row],[해양탐색]:[마을탐험]])</f>
        <v>1</v>
      </c>
    </row>
    <row r="409" spans="2:15" ht="13.5" customHeight="1" x14ac:dyDescent="0.3">
      <c r="B409" s="9">
        <f>[1]Discovery!A415</f>
        <v>70403087</v>
      </c>
      <c r="C409" s="9" t="str">
        <f>[1]Discovery!B415</f>
        <v>아사이</v>
      </c>
      <c r="D409" s="9" t="str">
        <f>[1]Discovery!E415</f>
        <v>식물</v>
      </c>
      <c r="E409" s="9" t="str">
        <f>[1]Discovery!C415</f>
        <v>단자엽</v>
      </c>
      <c r="F409" s="9" t="str">
        <f>[1]Discovery!G415</f>
        <v>C</v>
      </c>
      <c r="G409" s="9" t="str">
        <f>IFERROR(VLOOKUP(표1[[#This Row],[명칭]],'문화권 정리'!C:D,2,FALSE),"-")</f>
        <v>남아메리카</v>
      </c>
      <c r="H409" s="38" t="str">
        <f>IFERROR(COUNTIF([2]OceanDoodad!$Y:$Y,표1[[#This Row],[명칭]]),"-")</f>
        <v>-</v>
      </c>
      <c r="I409" s="38">
        <f>IFERROR(COUNTIF([1]AdventureDiscoveryGroup!$D$8:$AW$92,표1[[#This Row],[명칭]]),"-")</f>
        <v>1</v>
      </c>
      <c r="J409" s="38">
        <f>IFERROR(COUNTIF([1]FishDiscoveryGroup!$A:$X,표1[[#This Row],[명칭]]),"-")</f>
        <v>0</v>
      </c>
      <c r="K409" s="38" t="str">
        <f>IFERROR(COUNTIF([2]Town!$B:$B,표1[[#This Row],[명칭]]),"-")</f>
        <v>-</v>
      </c>
      <c r="L409" s="38">
        <f>IFERROR(COUNTIF([1]Village!$BR:$BR,표1[[#This Row],[명칭]]),"-")</f>
        <v>0</v>
      </c>
      <c r="M409" s="38">
        <f>COUNTIF(퀘스트!B:B,표1[[#This Row],[명칭]])</f>
        <v>0</v>
      </c>
      <c r="N409" s="65">
        <f>COUNTIF([1]VillageDiscoveryGroup!$C:$C,표1[[#This Row],[명칭]])</f>
        <v>0</v>
      </c>
      <c r="O409" s="65">
        <f>SUM(표1[[#This Row],[해양탐색]:[마을탐험]])</f>
        <v>1</v>
      </c>
    </row>
    <row r="410" spans="2:15" ht="13.5" customHeight="1" x14ac:dyDescent="0.3">
      <c r="B410" s="9">
        <f>[1]Discovery!A416</f>
        <v>70403088</v>
      </c>
      <c r="C410" s="9" t="str">
        <f>[1]Discovery!B416</f>
        <v>아스테리스커스</v>
      </c>
      <c r="D410" s="9" t="str">
        <f>[1]Discovery!E416</f>
        <v>식물</v>
      </c>
      <c r="E410" s="9" t="str">
        <f>[1]Discovery!C416</f>
        <v>쌍자엽</v>
      </c>
      <c r="F410" s="9" t="str">
        <f>[1]Discovery!G416</f>
        <v>D</v>
      </c>
      <c r="G410" s="9" t="str">
        <f>IFERROR(VLOOKUP(표1[[#This Row],[명칭]],'문화권 정리'!C:D,2,FALSE),"-")</f>
        <v>지중해</v>
      </c>
      <c r="H410" s="38" t="str">
        <f>IFERROR(COUNTIF([2]OceanDoodad!$Y:$Y,표1[[#This Row],[명칭]]),"-")</f>
        <v>-</v>
      </c>
      <c r="I410" s="38">
        <f>IFERROR(COUNTIF([1]AdventureDiscoveryGroup!$D$8:$AW$92,표1[[#This Row],[명칭]]),"-")</f>
        <v>1</v>
      </c>
      <c r="J410" s="38">
        <f>IFERROR(COUNTIF([1]FishDiscoveryGroup!$A:$X,표1[[#This Row],[명칭]]),"-")</f>
        <v>0</v>
      </c>
      <c r="K410" s="38" t="str">
        <f>IFERROR(COUNTIF([2]Town!$B:$B,표1[[#This Row],[명칭]]),"-")</f>
        <v>-</v>
      </c>
      <c r="L410" s="38">
        <f>IFERROR(COUNTIF([1]Village!$BR:$BR,표1[[#This Row],[명칭]]),"-")</f>
        <v>0</v>
      </c>
      <c r="M410" s="38">
        <f>COUNTIF(퀘스트!B:B,표1[[#This Row],[명칭]])</f>
        <v>0</v>
      </c>
      <c r="N410" s="65">
        <f>COUNTIF([1]VillageDiscoveryGroup!$C:$C,표1[[#This Row],[명칭]])</f>
        <v>0</v>
      </c>
      <c r="O410" s="65">
        <f>SUM(표1[[#This Row],[해양탐색]:[마을탐험]])</f>
        <v>1</v>
      </c>
    </row>
    <row r="411" spans="2:15" ht="13.5" customHeight="1" x14ac:dyDescent="0.3">
      <c r="B411" s="9">
        <f>[1]Discovery!A417</f>
        <v>70403089</v>
      </c>
      <c r="C411" s="9" t="str">
        <f>[1]Discovery!B417</f>
        <v>아이리데스</v>
      </c>
      <c r="D411" s="9" t="str">
        <f>[1]Discovery!E417</f>
        <v>식물</v>
      </c>
      <c r="E411" s="9" t="str">
        <f>[1]Discovery!C417</f>
        <v>단자엽</v>
      </c>
      <c r="F411" s="9" t="str">
        <f>[1]Discovery!G417</f>
        <v>S</v>
      </c>
      <c r="G411" s="9" t="str">
        <f>IFERROR(VLOOKUP(표1[[#This Row],[명칭]],'문화권 정리'!C:D,2,FALSE),"-")</f>
        <v>동남아시아</v>
      </c>
      <c r="H411" s="38" t="str">
        <f>IFERROR(COUNTIF([2]OceanDoodad!$Y:$Y,표1[[#This Row],[명칭]]),"-")</f>
        <v>-</v>
      </c>
      <c r="I411" s="38">
        <f>IFERROR(COUNTIF([1]AdventureDiscoveryGroup!$D$8:$AW$92,표1[[#This Row],[명칭]]),"-")</f>
        <v>1</v>
      </c>
      <c r="J411" s="38">
        <f>IFERROR(COUNTIF([1]FishDiscoveryGroup!$A:$X,표1[[#This Row],[명칭]]),"-")</f>
        <v>0</v>
      </c>
      <c r="K411" s="38" t="str">
        <f>IFERROR(COUNTIF([2]Town!$B:$B,표1[[#This Row],[명칭]]),"-")</f>
        <v>-</v>
      </c>
      <c r="L411" s="38">
        <f>IFERROR(COUNTIF([1]Village!$BR:$BR,표1[[#This Row],[명칭]]),"-")</f>
        <v>0</v>
      </c>
      <c r="M411" s="38">
        <f>COUNTIF(퀘스트!B:B,표1[[#This Row],[명칭]])</f>
        <v>0</v>
      </c>
      <c r="N411" s="65">
        <f>COUNTIF([1]VillageDiscoveryGroup!$C:$C,표1[[#This Row],[명칭]])</f>
        <v>0</v>
      </c>
      <c r="O411" s="65">
        <f>SUM(표1[[#This Row],[해양탐색]:[마을탐험]])</f>
        <v>1</v>
      </c>
    </row>
    <row r="412" spans="2:15" ht="13.5" customHeight="1" x14ac:dyDescent="0.3">
      <c r="B412" s="9">
        <f>[1]Discovery!A418</f>
        <v>70403090</v>
      </c>
      <c r="C412" s="9" t="str">
        <f>[1]Discovery!B418</f>
        <v>아칸서스</v>
      </c>
      <c r="D412" s="9" t="str">
        <f>[1]Discovery!E418</f>
        <v>식물</v>
      </c>
      <c r="E412" s="9" t="str">
        <f>[1]Discovery!C418</f>
        <v>쌍자엽</v>
      </c>
      <c r="F412" s="9" t="str">
        <f>[1]Discovery!G418</f>
        <v>D</v>
      </c>
      <c r="G412" s="9" t="str">
        <f>IFERROR(VLOOKUP(표1[[#This Row],[명칭]],'문화권 정리'!C:D,2,FALSE),"-")</f>
        <v>지중해</v>
      </c>
      <c r="H412" s="38" t="str">
        <f>IFERROR(COUNTIF([2]OceanDoodad!$Y:$Y,표1[[#This Row],[명칭]]),"-")</f>
        <v>-</v>
      </c>
      <c r="I412" s="38">
        <f>IFERROR(COUNTIF([1]AdventureDiscoveryGroup!$D$8:$AW$92,표1[[#This Row],[명칭]]),"-")</f>
        <v>1</v>
      </c>
      <c r="J412" s="38">
        <f>IFERROR(COUNTIF([1]FishDiscoveryGroup!$A:$X,표1[[#This Row],[명칭]]),"-")</f>
        <v>0</v>
      </c>
      <c r="K412" s="38" t="str">
        <f>IFERROR(COUNTIF([2]Town!$B:$B,표1[[#This Row],[명칭]]),"-")</f>
        <v>-</v>
      </c>
      <c r="L412" s="38">
        <f>IFERROR(COUNTIF([1]Village!$BR:$BR,표1[[#This Row],[명칭]]),"-")</f>
        <v>0</v>
      </c>
      <c r="M412" s="38">
        <f>COUNTIF(퀘스트!B:B,표1[[#This Row],[명칭]])</f>
        <v>0</v>
      </c>
      <c r="N412" s="65">
        <f>COUNTIF([1]VillageDiscoveryGroup!$C:$C,표1[[#This Row],[명칭]])</f>
        <v>0</v>
      </c>
      <c r="O412" s="65">
        <f>SUM(표1[[#This Row],[해양탐색]:[마을탐험]])</f>
        <v>1</v>
      </c>
    </row>
    <row r="413" spans="2:15" ht="13.5" customHeight="1" x14ac:dyDescent="0.3">
      <c r="B413" s="9">
        <f>[1]Discovery!A419</f>
        <v>70403091</v>
      </c>
      <c r="C413" s="9" t="str">
        <f>[1]Discovery!B419</f>
        <v>아키</v>
      </c>
      <c r="D413" s="9" t="str">
        <f>[1]Discovery!E419</f>
        <v>식물</v>
      </c>
      <c r="E413" s="9" t="str">
        <f>[1]Discovery!C419</f>
        <v>쌍자엽</v>
      </c>
      <c r="F413" s="9" t="str">
        <f>[1]Discovery!G419</f>
        <v>D</v>
      </c>
      <c r="G413" s="9" t="str">
        <f>IFERROR(VLOOKUP(표1[[#This Row],[명칭]],'문화권 정리'!C:D,2,FALSE),"-")</f>
        <v>서아프리카</v>
      </c>
      <c r="H413" s="38" t="str">
        <f>IFERROR(COUNTIF([2]OceanDoodad!$Y:$Y,표1[[#This Row],[명칭]]),"-")</f>
        <v>-</v>
      </c>
      <c r="I413" s="38">
        <f>IFERROR(COUNTIF([1]AdventureDiscoveryGroup!$D$8:$AW$92,표1[[#This Row],[명칭]]),"-")</f>
        <v>0</v>
      </c>
      <c r="J413" s="38">
        <f>IFERROR(COUNTIF([1]FishDiscoveryGroup!$A:$X,표1[[#This Row],[명칭]]),"-")</f>
        <v>0</v>
      </c>
      <c r="K413" s="38" t="str">
        <f>IFERROR(COUNTIF([2]Town!$B:$B,표1[[#This Row],[명칭]]),"-")</f>
        <v>-</v>
      </c>
      <c r="L413" s="38">
        <f>IFERROR(COUNTIF([1]Village!$BR:$BR,표1[[#This Row],[명칭]]),"-")</f>
        <v>0</v>
      </c>
      <c r="M413" s="38">
        <f>COUNTIF(퀘스트!B:B,표1[[#This Row],[명칭]])</f>
        <v>0</v>
      </c>
      <c r="N413" s="65">
        <f>COUNTIF([1]VillageDiscoveryGroup!$C:$C,표1[[#This Row],[명칭]])</f>
        <v>1</v>
      </c>
      <c r="O413" s="65">
        <f>SUM(표1[[#This Row],[해양탐색]:[마을탐험]])</f>
        <v>1</v>
      </c>
    </row>
    <row r="414" spans="2:15" ht="13.5" customHeight="1" x14ac:dyDescent="0.3">
      <c r="B414" s="9">
        <f>[1]Discovery!A420</f>
        <v>70403092</v>
      </c>
      <c r="C414" s="9" t="str">
        <f>[1]Discovery!B420</f>
        <v>아티초크</v>
      </c>
      <c r="D414" s="9" t="str">
        <f>[1]Discovery!E420</f>
        <v>식물</v>
      </c>
      <c r="E414" s="9" t="str">
        <f>[1]Discovery!C420</f>
        <v>쌍자엽</v>
      </c>
      <c r="F414" s="9" t="str">
        <f>[1]Discovery!G420</f>
        <v>D</v>
      </c>
      <c r="G414" s="9" t="str">
        <f>IFERROR(VLOOKUP(표1[[#This Row],[명칭]],'문화권 정리'!C:D,2,FALSE),"-")</f>
        <v>지중해</v>
      </c>
      <c r="H414" s="38" t="str">
        <f>IFERROR(COUNTIF([2]OceanDoodad!$Y:$Y,표1[[#This Row],[명칭]]),"-")</f>
        <v>-</v>
      </c>
      <c r="I414" s="38">
        <f>IFERROR(COUNTIF([1]AdventureDiscoveryGroup!$D$8:$AW$92,표1[[#This Row],[명칭]]),"-")</f>
        <v>1</v>
      </c>
      <c r="J414" s="38">
        <f>IFERROR(COUNTIF([1]FishDiscoveryGroup!$A:$X,표1[[#This Row],[명칭]]),"-")</f>
        <v>0</v>
      </c>
      <c r="K414" s="38" t="str">
        <f>IFERROR(COUNTIF([2]Town!$B:$B,표1[[#This Row],[명칭]]),"-")</f>
        <v>-</v>
      </c>
      <c r="L414" s="38">
        <f>IFERROR(COUNTIF([1]Village!$BR:$BR,표1[[#This Row],[명칭]]),"-")</f>
        <v>0</v>
      </c>
      <c r="M414" s="38">
        <f>COUNTIF(퀘스트!B:B,표1[[#This Row],[명칭]])</f>
        <v>0</v>
      </c>
      <c r="N414" s="65">
        <f>COUNTIF([1]VillageDiscoveryGroup!$C:$C,표1[[#This Row],[명칭]])</f>
        <v>0</v>
      </c>
      <c r="O414" s="65">
        <f>SUM(표1[[#This Row],[해양탐색]:[마을탐험]])</f>
        <v>1</v>
      </c>
    </row>
    <row r="415" spans="2:15" ht="13.5" customHeight="1" x14ac:dyDescent="0.3">
      <c r="B415" s="9">
        <f>[1]Discovery!A421</f>
        <v>70403093</v>
      </c>
      <c r="C415" s="9" t="str">
        <f>[1]Discovery!B421</f>
        <v>안개꽃</v>
      </c>
      <c r="D415" s="9" t="str">
        <f>[1]Discovery!E421</f>
        <v>식물</v>
      </c>
      <c r="E415" s="9" t="str">
        <f>[1]Discovery!C421</f>
        <v>쌍자엽</v>
      </c>
      <c r="F415" s="9" t="str">
        <f>[1]Discovery!G421</f>
        <v>C</v>
      </c>
      <c r="G415" s="9" t="str">
        <f>IFERROR(VLOOKUP(표1[[#This Row],[명칭]],'문화권 정리'!C:D,2,FALSE),"-")</f>
        <v>지중해</v>
      </c>
      <c r="H415" s="38" t="str">
        <f>IFERROR(COUNTIF([2]OceanDoodad!$Y:$Y,표1[[#This Row],[명칭]]),"-")</f>
        <v>-</v>
      </c>
      <c r="I415" s="38">
        <f>IFERROR(COUNTIF([1]AdventureDiscoveryGroup!$D$8:$AW$92,표1[[#This Row],[명칭]]),"-")</f>
        <v>0</v>
      </c>
      <c r="J415" s="38">
        <f>IFERROR(COUNTIF([1]FishDiscoveryGroup!$A:$X,표1[[#This Row],[명칭]]),"-")</f>
        <v>0</v>
      </c>
      <c r="K415" s="38" t="str">
        <f>IFERROR(COUNTIF([2]Town!$B:$B,표1[[#This Row],[명칭]]),"-")</f>
        <v>-</v>
      </c>
      <c r="L415" s="38">
        <f>IFERROR(COUNTIF([1]Village!$BR:$BR,표1[[#This Row],[명칭]]),"-")</f>
        <v>0</v>
      </c>
      <c r="M415" s="38">
        <f>COUNTIF(퀘스트!B:B,표1[[#This Row],[명칭]])</f>
        <v>0</v>
      </c>
      <c r="N415" s="65">
        <f>COUNTIF([1]VillageDiscoveryGroup!$C:$C,표1[[#This Row],[명칭]])</f>
        <v>1</v>
      </c>
      <c r="O415" s="65">
        <f>SUM(표1[[#This Row],[해양탐색]:[마을탐험]])</f>
        <v>1</v>
      </c>
    </row>
    <row r="416" spans="2:15" ht="13.5" customHeight="1" x14ac:dyDescent="0.3">
      <c r="B416" s="9">
        <f>[1]Discovery!A422</f>
        <v>70403094</v>
      </c>
      <c r="C416" s="9" t="str">
        <f>[1]Discovery!B422</f>
        <v>알스트로에메리아</v>
      </c>
      <c r="D416" s="9" t="str">
        <f>[1]Discovery!E422</f>
        <v>식물</v>
      </c>
      <c r="E416" s="9" t="str">
        <f>[1]Discovery!C422</f>
        <v>단자엽</v>
      </c>
      <c r="F416" s="9" t="str">
        <f>[1]Discovery!G422</f>
        <v>C</v>
      </c>
      <c r="G416" s="9" t="str">
        <f>IFERROR(VLOOKUP(표1[[#This Row],[명칭]],'문화권 정리'!C:D,2,FALSE),"-")</f>
        <v>남아메리카</v>
      </c>
      <c r="H416" s="38" t="str">
        <f>IFERROR(COUNTIF([2]OceanDoodad!$Y:$Y,표1[[#This Row],[명칭]]),"-")</f>
        <v>-</v>
      </c>
      <c r="I416" s="38">
        <f>IFERROR(COUNTIF([1]AdventureDiscoveryGroup!$D$8:$AW$92,표1[[#This Row],[명칭]]),"-")</f>
        <v>0</v>
      </c>
      <c r="J416" s="38">
        <f>IFERROR(COUNTIF([1]FishDiscoveryGroup!$A:$X,표1[[#This Row],[명칭]]),"-")</f>
        <v>0</v>
      </c>
      <c r="K416" s="38" t="str">
        <f>IFERROR(COUNTIF([2]Town!$B:$B,표1[[#This Row],[명칭]]),"-")</f>
        <v>-</v>
      </c>
      <c r="L416" s="38">
        <f>IFERROR(COUNTIF([1]Village!$BR:$BR,표1[[#This Row],[명칭]]),"-")</f>
        <v>0</v>
      </c>
      <c r="M416" s="38">
        <f>COUNTIF(퀘스트!B:B,표1[[#This Row],[명칭]])</f>
        <v>0</v>
      </c>
      <c r="N416" s="65">
        <f>COUNTIF([1]VillageDiscoveryGroup!$C:$C,표1[[#This Row],[명칭]])</f>
        <v>1</v>
      </c>
      <c r="O416" s="65">
        <f>SUM(표1[[#This Row],[해양탐색]:[마을탐험]])</f>
        <v>1</v>
      </c>
    </row>
    <row r="417" spans="2:15" ht="13.5" customHeight="1" x14ac:dyDescent="0.3">
      <c r="B417" s="9">
        <f>[1]Discovery!A423</f>
        <v>70403095</v>
      </c>
      <c r="C417" s="9" t="str">
        <f>[1]Discovery!B423</f>
        <v>애옥자</v>
      </c>
      <c r="D417" s="9" t="str">
        <f>[1]Discovery!E423</f>
        <v>식물</v>
      </c>
      <c r="E417" s="9" t="str">
        <f>[1]Discovery!C423</f>
        <v>쌍자엽</v>
      </c>
      <c r="F417" s="9" t="str">
        <f>[1]Discovery!G423</f>
        <v>A</v>
      </c>
      <c r="G417" s="9" t="str">
        <f>IFERROR(VLOOKUP(표1[[#This Row],[명칭]],'문화권 정리'!C:D,2,FALSE),"-")</f>
        <v>동아시아</v>
      </c>
      <c r="H417" s="38" t="str">
        <f>IFERROR(COUNTIF([2]OceanDoodad!$Y:$Y,표1[[#This Row],[명칭]]),"-")</f>
        <v>-</v>
      </c>
      <c r="I417" s="38">
        <f>IFERROR(COUNTIF([1]AdventureDiscoveryGroup!$D$8:$AW$92,표1[[#This Row],[명칭]]),"-")</f>
        <v>0</v>
      </c>
      <c r="J417" s="38">
        <f>IFERROR(COUNTIF([1]FishDiscoveryGroup!$A:$X,표1[[#This Row],[명칭]]),"-")</f>
        <v>0</v>
      </c>
      <c r="K417" s="38" t="str">
        <f>IFERROR(COUNTIF([2]Town!$B:$B,표1[[#This Row],[명칭]]),"-")</f>
        <v>-</v>
      </c>
      <c r="L417" s="38">
        <f>IFERROR(COUNTIF([1]Village!$BR:$BR,표1[[#This Row],[명칭]]),"-")</f>
        <v>0</v>
      </c>
      <c r="M417" s="38">
        <f>COUNTIF(퀘스트!B:B,표1[[#This Row],[명칭]])</f>
        <v>0</v>
      </c>
      <c r="N417" s="65">
        <f>COUNTIF([1]VillageDiscoveryGroup!$C:$C,표1[[#This Row],[명칭]])</f>
        <v>0</v>
      </c>
      <c r="O417" s="65">
        <f>SUM(표1[[#This Row],[해양탐색]:[마을탐험]])</f>
        <v>0</v>
      </c>
    </row>
    <row r="418" spans="2:15" ht="13.5" customHeight="1" x14ac:dyDescent="0.3">
      <c r="B418" s="9">
        <f>[1]Discovery!A424</f>
        <v>70403096</v>
      </c>
      <c r="C418" s="9" t="str">
        <f>[1]Discovery!B424</f>
        <v>에델바이스</v>
      </c>
      <c r="D418" s="9" t="str">
        <f>[1]Discovery!E424</f>
        <v>식물</v>
      </c>
      <c r="E418" s="9" t="str">
        <f>[1]Discovery!C424</f>
        <v>쌍자엽</v>
      </c>
      <c r="F418" s="9" t="str">
        <f>[1]Discovery!G424</f>
        <v>S</v>
      </c>
      <c r="G418" s="9" t="str">
        <f>IFERROR(VLOOKUP(표1[[#This Row],[명칭]],'문화권 정리'!C:D,2,FALSE),"-")</f>
        <v>지중해</v>
      </c>
      <c r="H418" s="38" t="str">
        <f>IFERROR(COUNTIF([2]OceanDoodad!$Y:$Y,표1[[#This Row],[명칭]]),"-")</f>
        <v>-</v>
      </c>
      <c r="I418" s="38">
        <f>IFERROR(COUNTIF([1]AdventureDiscoveryGroup!$D$8:$AW$92,표1[[#This Row],[명칭]]),"-")</f>
        <v>0</v>
      </c>
      <c r="J418" s="38">
        <f>IFERROR(COUNTIF([1]FishDiscoveryGroup!$A:$X,표1[[#This Row],[명칭]]),"-")</f>
        <v>0</v>
      </c>
      <c r="K418" s="38" t="str">
        <f>IFERROR(COUNTIF([2]Town!$B:$B,표1[[#This Row],[명칭]]),"-")</f>
        <v>-</v>
      </c>
      <c r="L418" s="38">
        <f>IFERROR(COUNTIF([1]Village!$BR:$BR,표1[[#This Row],[명칭]]),"-")</f>
        <v>0</v>
      </c>
      <c r="M418" s="38">
        <f>COUNTIF(퀘스트!B:B,표1[[#This Row],[명칭]])</f>
        <v>1</v>
      </c>
      <c r="N418" s="65">
        <f>COUNTIF([1]VillageDiscoveryGroup!$C:$C,표1[[#This Row],[명칭]])</f>
        <v>0</v>
      </c>
      <c r="O418" s="65">
        <f>SUM(표1[[#This Row],[해양탐색]:[마을탐험]])</f>
        <v>1</v>
      </c>
    </row>
    <row r="419" spans="2:15" ht="13.5" customHeight="1" x14ac:dyDescent="0.3">
      <c r="B419" s="9">
        <f>[1]Discovery!A425</f>
        <v>70403097</v>
      </c>
      <c r="C419" s="9" t="str">
        <f>[1]Discovery!B425</f>
        <v>에키네시아</v>
      </c>
      <c r="D419" s="9" t="str">
        <f>[1]Discovery!E425</f>
        <v>식물</v>
      </c>
      <c r="E419" s="9" t="str">
        <f>[1]Discovery!C425</f>
        <v>쌍자엽</v>
      </c>
      <c r="F419" s="9" t="str">
        <f>[1]Discovery!G425</f>
        <v>B</v>
      </c>
      <c r="G419" s="9" t="str">
        <f>IFERROR(VLOOKUP(표1[[#This Row],[명칭]],'문화권 정리'!C:D,2,FALSE),"-")</f>
        <v>북아메리카</v>
      </c>
      <c r="H419" s="38" t="str">
        <f>IFERROR(COUNTIF([2]OceanDoodad!$Y:$Y,표1[[#This Row],[명칭]]),"-")</f>
        <v>-</v>
      </c>
      <c r="I419" s="38">
        <f>IFERROR(COUNTIF([1]AdventureDiscoveryGroup!$D$8:$AW$92,표1[[#This Row],[명칭]]),"-")</f>
        <v>0</v>
      </c>
      <c r="J419" s="38">
        <f>IFERROR(COUNTIF([1]FishDiscoveryGroup!$A:$X,표1[[#This Row],[명칭]]),"-")</f>
        <v>0</v>
      </c>
      <c r="K419" s="38" t="str">
        <f>IFERROR(COUNTIF([2]Town!$B:$B,표1[[#This Row],[명칭]]),"-")</f>
        <v>-</v>
      </c>
      <c r="L419" s="38">
        <f>IFERROR(COUNTIF([1]Village!$BR:$BR,표1[[#This Row],[명칭]]),"-")</f>
        <v>0</v>
      </c>
      <c r="M419" s="38">
        <f>COUNTIF(퀘스트!B:B,표1[[#This Row],[명칭]])</f>
        <v>1</v>
      </c>
      <c r="N419" s="65">
        <f>COUNTIF([1]VillageDiscoveryGroup!$C:$C,표1[[#This Row],[명칭]])</f>
        <v>0</v>
      </c>
      <c r="O419" s="65">
        <f>SUM(표1[[#This Row],[해양탐색]:[마을탐험]])</f>
        <v>1</v>
      </c>
    </row>
    <row r="420" spans="2:15" ht="13.5" customHeight="1" x14ac:dyDescent="0.3">
      <c r="B420" s="9">
        <f>[1]Discovery!A426</f>
        <v>70403098</v>
      </c>
      <c r="C420" s="9" t="str">
        <f>[1]Discovery!B426</f>
        <v>연꽃</v>
      </c>
      <c r="D420" s="9" t="str">
        <f>[1]Discovery!E426</f>
        <v>식물</v>
      </c>
      <c r="E420" s="9" t="str">
        <f>[1]Discovery!C426</f>
        <v>쌍자엽</v>
      </c>
      <c r="F420" s="9" t="str">
        <f>[1]Discovery!G426</f>
        <v>A</v>
      </c>
      <c r="G420" s="9" t="str">
        <f>IFERROR(VLOOKUP(표1[[#This Row],[명칭]],'문화권 정리'!C:D,2,FALSE),"-")</f>
        <v>남아시아</v>
      </c>
      <c r="H420" s="38" t="str">
        <f>IFERROR(COUNTIF([2]OceanDoodad!$Y:$Y,표1[[#This Row],[명칭]]),"-")</f>
        <v>-</v>
      </c>
      <c r="I420" s="38">
        <f>IFERROR(COUNTIF([1]AdventureDiscoveryGroup!$D$8:$AW$92,표1[[#This Row],[명칭]]),"-")</f>
        <v>0</v>
      </c>
      <c r="J420" s="38">
        <f>IFERROR(COUNTIF([1]FishDiscoveryGroup!$A:$X,표1[[#This Row],[명칭]]),"-")</f>
        <v>0</v>
      </c>
      <c r="K420" s="38" t="str">
        <f>IFERROR(COUNTIF([2]Town!$B:$B,표1[[#This Row],[명칭]]),"-")</f>
        <v>-</v>
      </c>
      <c r="L420" s="38">
        <f>IFERROR(COUNTIF([1]Village!$BR:$BR,표1[[#This Row],[명칭]]),"-")</f>
        <v>0</v>
      </c>
      <c r="M420" s="38">
        <f>COUNTIF(퀘스트!B:B,표1[[#This Row],[명칭]])</f>
        <v>0</v>
      </c>
      <c r="N420" s="65">
        <f>COUNTIF([1]VillageDiscoveryGroup!$C:$C,표1[[#This Row],[명칭]])</f>
        <v>0</v>
      </c>
      <c r="O420" s="65">
        <f>SUM(표1[[#This Row],[해양탐색]:[마을탐험]])</f>
        <v>0</v>
      </c>
    </row>
    <row r="421" spans="2:15" ht="13.5" customHeight="1" x14ac:dyDescent="0.3">
      <c r="B421" s="9">
        <f>[1]Discovery!A427</f>
        <v>70403099</v>
      </c>
      <c r="C421" s="9" t="str">
        <f>[1]Discovery!B427</f>
        <v>열대 수련</v>
      </c>
      <c r="D421" s="9" t="str">
        <f>[1]Discovery!E427</f>
        <v>식물</v>
      </c>
      <c r="E421" s="9" t="str">
        <f>[1]Discovery!C427</f>
        <v>쌍자엽</v>
      </c>
      <c r="F421" s="9" t="str">
        <f>[1]Discovery!G427</f>
        <v>C</v>
      </c>
      <c r="G421" s="9" t="str">
        <f>IFERROR(VLOOKUP(표1[[#This Row],[명칭]],'문화권 정리'!C:D,2,FALSE),"-")</f>
        <v>북아프리카</v>
      </c>
      <c r="H421" s="38" t="str">
        <f>IFERROR(COUNTIF([2]OceanDoodad!$Y:$Y,표1[[#This Row],[명칭]]),"-")</f>
        <v>-</v>
      </c>
      <c r="I421" s="38">
        <f>IFERROR(COUNTIF([1]AdventureDiscoveryGroup!$D$8:$AW$92,표1[[#This Row],[명칭]]),"-")</f>
        <v>0</v>
      </c>
      <c r="J421" s="38">
        <f>IFERROR(COUNTIF([1]FishDiscoveryGroup!$A:$X,표1[[#This Row],[명칭]]),"-")</f>
        <v>0</v>
      </c>
      <c r="K421" s="38" t="str">
        <f>IFERROR(COUNTIF([2]Town!$B:$B,표1[[#This Row],[명칭]]),"-")</f>
        <v>-</v>
      </c>
      <c r="L421" s="38">
        <f>IFERROR(COUNTIF([1]Village!$BR:$BR,표1[[#This Row],[명칭]]),"-")</f>
        <v>0</v>
      </c>
      <c r="M421" s="38">
        <f>COUNTIF(퀘스트!B:B,표1[[#This Row],[명칭]])</f>
        <v>0</v>
      </c>
      <c r="N421" s="65">
        <f>COUNTIF([1]VillageDiscoveryGroup!$C:$C,표1[[#This Row],[명칭]])</f>
        <v>1</v>
      </c>
      <c r="O421" s="65">
        <f>SUM(표1[[#This Row],[해양탐색]:[마을탐험]])</f>
        <v>1</v>
      </c>
    </row>
    <row r="422" spans="2:15" ht="13.5" customHeight="1" x14ac:dyDescent="0.3">
      <c r="B422" s="9">
        <f>[1]Discovery!A428</f>
        <v>70403100</v>
      </c>
      <c r="C422" s="9" t="str">
        <f>[1]Discovery!B428</f>
        <v>예르바 마테</v>
      </c>
      <c r="D422" s="9" t="str">
        <f>[1]Discovery!E428</f>
        <v>식물</v>
      </c>
      <c r="E422" s="9" t="str">
        <f>[1]Discovery!C428</f>
        <v>쌍자엽</v>
      </c>
      <c r="F422" s="9" t="str">
        <f>[1]Discovery!G428</f>
        <v>C</v>
      </c>
      <c r="G422" s="9" t="str">
        <f>IFERROR(VLOOKUP(표1[[#This Row],[명칭]],'문화권 정리'!C:D,2,FALSE),"-")</f>
        <v>남아메리카</v>
      </c>
      <c r="H422" s="38" t="str">
        <f>IFERROR(COUNTIF([2]OceanDoodad!$Y:$Y,표1[[#This Row],[명칭]]),"-")</f>
        <v>-</v>
      </c>
      <c r="I422" s="38">
        <f>IFERROR(COUNTIF([1]AdventureDiscoveryGroup!$D$8:$AW$92,표1[[#This Row],[명칭]]),"-")</f>
        <v>0</v>
      </c>
      <c r="J422" s="38">
        <f>IFERROR(COUNTIF([1]FishDiscoveryGroup!$A:$X,표1[[#This Row],[명칭]]),"-")</f>
        <v>0</v>
      </c>
      <c r="K422" s="38" t="str">
        <f>IFERROR(COUNTIF([2]Town!$B:$B,표1[[#This Row],[명칭]]),"-")</f>
        <v>-</v>
      </c>
      <c r="L422" s="38">
        <f>IFERROR(COUNTIF([1]Village!$BR:$BR,표1[[#This Row],[명칭]]),"-")</f>
        <v>0</v>
      </c>
      <c r="M422" s="38">
        <f>COUNTIF(퀘스트!B:B,표1[[#This Row],[명칭]])</f>
        <v>0</v>
      </c>
      <c r="N422" s="65">
        <f>COUNTIF([1]VillageDiscoveryGroup!$C:$C,표1[[#This Row],[명칭]])</f>
        <v>0</v>
      </c>
      <c r="O422" s="65">
        <f>SUM(표1[[#This Row],[해양탐색]:[마을탐험]])</f>
        <v>0</v>
      </c>
    </row>
    <row r="423" spans="2:15" ht="13.5" customHeight="1" x14ac:dyDescent="0.3">
      <c r="B423" s="9">
        <f>[1]Discovery!A429</f>
        <v>70403101</v>
      </c>
      <c r="C423" s="9" t="str">
        <f>[1]Discovery!B429</f>
        <v>오히아레후아</v>
      </c>
      <c r="D423" s="9" t="str">
        <f>[1]Discovery!E429</f>
        <v>식물</v>
      </c>
      <c r="E423" s="9" t="str">
        <f>[1]Discovery!C429</f>
        <v>쌍자엽</v>
      </c>
      <c r="F423" s="9" t="str">
        <f>[1]Discovery!G429</f>
        <v>B</v>
      </c>
      <c r="G423" s="9" t="str">
        <f>IFERROR(VLOOKUP(표1[[#This Row],[명칭]],'문화권 정리'!C:D,2,FALSE),"-")</f>
        <v>태평양</v>
      </c>
      <c r="H423" s="38" t="str">
        <f>IFERROR(COUNTIF([2]OceanDoodad!$Y:$Y,표1[[#This Row],[명칭]]),"-")</f>
        <v>-</v>
      </c>
      <c r="I423" s="38">
        <f>IFERROR(COUNTIF([1]AdventureDiscoveryGroup!$D$8:$AW$92,표1[[#This Row],[명칭]]),"-")</f>
        <v>0</v>
      </c>
      <c r="J423" s="38">
        <f>IFERROR(COUNTIF([1]FishDiscoveryGroup!$A:$X,표1[[#This Row],[명칭]]),"-")</f>
        <v>0</v>
      </c>
      <c r="K423" s="38" t="str">
        <f>IFERROR(COUNTIF([2]Town!$B:$B,표1[[#This Row],[명칭]]),"-")</f>
        <v>-</v>
      </c>
      <c r="L423" s="38">
        <f>IFERROR(COUNTIF([1]Village!$BR:$BR,표1[[#This Row],[명칭]]),"-")</f>
        <v>0</v>
      </c>
      <c r="M423" s="38">
        <f>COUNTIF(퀘스트!B:B,표1[[#This Row],[명칭]])</f>
        <v>0</v>
      </c>
      <c r="N423" s="65">
        <f>COUNTIF([1]VillageDiscoveryGroup!$C:$C,표1[[#This Row],[명칭]])</f>
        <v>1</v>
      </c>
      <c r="O423" s="65">
        <f>SUM(표1[[#This Row],[해양탐색]:[마을탐험]])</f>
        <v>1</v>
      </c>
    </row>
    <row r="424" spans="2:15" ht="13.5" customHeight="1" x14ac:dyDescent="0.3">
      <c r="B424" s="9">
        <f>[1]Discovery!A430</f>
        <v>70403102</v>
      </c>
      <c r="C424" s="9" t="str">
        <f>[1]Discovery!B430</f>
        <v>와틀</v>
      </c>
      <c r="D424" s="9" t="str">
        <f>[1]Discovery!E430</f>
        <v>식물</v>
      </c>
      <c r="E424" s="9" t="str">
        <f>[1]Discovery!C430</f>
        <v>쌍자엽</v>
      </c>
      <c r="F424" s="9" t="str">
        <f>[1]Discovery!G430</f>
        <v>C</v>
      </c>
      <c r="G424" s="9" t="str">
        <f>IFERROR(VLOOKUP(표1[[#This Row],[명칭]],'문화권 정리'!C:D,2,FALSE),"-")</f>
        <v>오세아니아</v>
      </c>
      <c r="H424" s="38" t="str">
        <f>IFERROR(COUNTIF([2]OceanDoodad!$Y:$Y,표1[[#This Row],[명칭]]),"-")</f>
        <v>-</v>
      </c>
      <c r="I424" s="38">
        <f>IFERROR(COUNTIF([1]AdventureDiscoveryGroup!$D$8:$AW$92,표1[[#This Row],[명칭]]),"-")</f>
        <v>0</v>
      </c>
      <c r="J424" s="38">
        <f>IFERROR(COUNTIF([1]FishDiscoveryGroup!$A:$X,표1[[#This Row],[명칭]]),"-")</f>
        <v>0</v>
      </c>
      <c r="K424" s="38" t="str">
        <f>IFERROR(COUNTIF([2]Town!$B:$B,표1[[#This Row],[명칭]]),"-")</f>
        <v>-</v>
      </c>
      <c r="L424" s="38">
        <f>IFERROR(COUNTIF([1]Village!$BR:$BR,표1[[#This Row],[명칭]]),"-")</f>
        <v>0</v>
      </c>
      <c r="M424" s="38">
        <f>COUNTIF(퀘스트!B:B,표1[[#This Row],[명칭]])</f>
        <v>0</v>
      </c>
      <c r="N424" s="65">
        <f>COUNTIF([1]VillageDiscoveryGroup!$C:$C,표1[[#This Row],[명칭]])</f>
        <v>0</v>
      </c>
      <c r="O424" s="65">
        <f>SUM(표1[[#This Row],[해양탐색]:[마을탐험]])</f>
        <v>0</v>
      </c>
    </row>
    <row r="425" spans="2:15" ht="13.5" customHeight="1" x14ac:dyDescent="0.3">
      <c r="B425" s="9">
        <f>[1]Discovery!A431</f>
        <v>70403103</v>
      </c>
      <c r="C425" s="9" t="str">
        <f>[1]Discovery!B431</f>
        <v>용설란</v>
      </c>
      <c r="D425" s="9" t="str">
        <f>[1]Discovery!E431</f>
        <v>식물</v>
      </c>
      <c r="E425" s="9" t="str">
        <f>[1]Discovery!C431</f>
        <v>단자엽</v>
      </c>
      <c r="F425" s="9" t="str">
        <f>[1]Discovery!G431</f>
        <v>B</v>
      </c>
      <c r="G425" s="9" t="str">
        <f>IFERROR(VLOOKUP(표1[[#This Row],[명칭]],'문화권 정리'!C:D,2,FALSE),"-")</f>
        <v>중앙아메리카</v>
      </c>
      <c r="H425" s="38" t="str">
        <f>IFERROR(COUNTIF([2]OceanDoodad!$Y:$Y,표1[[#This Row],[명칭]]),"-")</f>
        <v>-</v>
      </c>
      <c r="I425" s="38">
        <f>IFERROR(COUNTIF([1]AdventureDiscoveryGroup!$D$8:$AW$92,표1[[#This Row],[명칭]]),"-")</f>
        <v>0</v>
      </c>
      <c r="J425" s="38">
        <f>IFERROR(COUNTIF([1]FishDiscoveryGroup!$A:$X,표1[[#This Row],[명칭]]),"-")</f>
        <v>0</v>
      </c>
      <c r="K425" s="38" t="str">
        <f>IFERROR(COUNTIF([2]Town!$B:$B,표1[[#This Row],[명칭]]),"-")</f>
        <v>-</v>
      </c>
      <c r="L425" s="38">
        <f>IFERROR(COUNTIF([1]Village!$BR:$BR,표1[[#This Row],[명칭]]),"-")</f>
        <v>0</v>
      </c>
      <c r="M425" s="38">
        <f>COUNTIF(퀘스트!B:B,표1[[#This Row],[명칭]])</f>
        <v>1</v>
      </c>
      <c r="N425" s="65">
        <f>COUNTIF([1]VillageDiscoveryGroup!$C:$C,표1[[#This Row],[명칭]])</f>
        <v>0</v>
      </c>
      <c r="O425" s="65">
        <f>SUM(표1[[#This Row],[해양탐색]:[마을탐험]])</f>
        <v>1</v>
      </c>
    </row>
    <row r="426" spans="2:15" ht="13.5" customHeight="1" x14ac:dyDescent="0.3">
      <c r="B426" s="9">
        <f>[1]Discovery!A432</f>
        <v>70403104</v>
      </c>
      <c r="C426" s="9" t="str">
        <f>[1]Discovery!B432</f>
        <v>용안</v>
      </c>
      <c r="D426" s="9" t="str">
        <f>[1]Discovery!E432</f>
        <v>식물</v>
      </c>
      <c r="E426" s="9" t="str">
        <f>[1]Discovery!C432</f>
        <v>쌍자엽</v>
      </c>
      <c r="F426" s="9" t="str">
        <f>[1]Discovery!G432</f>
        <v>C</v>
      </c>
      <c r="G426" s="9" t="str">
        <f>IFERROR(VLOOKUP(표1[[#This Row],[명칭]],'문화권 정리'!C:D,2,FALSE),"-")</f>
        <v>동아시아</v>
      </c>
      <c r="H426" s="38" t="str">
        <f>IFERROR(COUNTIF([2]OceanDoodad!$Y:$Y,표1[[#This Row],[명칭]]),"-")</f>
        <v>-</v>
      </c>
      <c r="I426" s="38">
        <f>IFERROR(COUNTIF([1]AdventureDiscoveryGroup!$D$8:$AW$92,표1[[#This Row],[명칭]]),"-")</f>
        <v>1</v>
      </c>
      <c r="J426" s="38">
        <f>IFERROR(COUNTIF([1]FishDiscoveryGroup!$A:$X,표1[[#This Row],[명칭]]),"-")</f>
        <v>0</v>
      </c>
      <c r="K426" s="38" t="str">
        <f>IFERROR(COUNTIF([2]Town!$B:$B,표1[[#This Row],[명칭]]),"-")</f>
        <v>-</v>
      </c>
      <c r="L426" s="38">
        <f>IFERROR(COUNTIF([1]Village!$BR:$BR,표1[[#This Row],[명칭]]),"-")</f>
        <v>0</v>
      </c>
      <c r="M426" s="38">
        <f>COUNTIF(퀘스트!B:B,표1[[#This Row],[명칭]])</f>
        <v>0</v>
      </c>
      <c r="N426" s="65">
        <f>COUNTIF([1]VillageDiscoveryGroup!$C:$C,표1[[#This Row],[명칭]])</f>
        <v>0</v>
      </c>
      <c r="O426" s="65">
        <f>SUM(표1[[#This Row],[해양탐색]:[마을탐험]])</f>
        <v>1</v>
      </c>
    </row>
    <row r="427" spans="2:15" ht="13.5" customHeight="1" x14ac:dyDescent="0.3">
      <c r="B427" s="9">
        <f>[1]Discovery!A433</f>
        <v>70403105</v>
      </c>
      <c r="C427" s="9" t="str">
        <f>[1]Discovery!B433</f>
        <v>운남앵초</v>
      </c>
      <c r="D427" s="9" t="str">
        <f>[1]Discovery!E433</f>
        <v>식물</v>
      </c>
      <c r="E427" s="9" t="str">
        <f>[1]Discovery!C433</f>
        <v>쌍자엽</v>
      </c>
      <c r="F427" s="9" t="str">
        <f>[1]Discovery!G433</f>
        <v>B</v>
      </c>
      <c r="G427" s="9" t="str">
        <f>IFERROR(VLOOKUP(표1[[#This Row],[명칭]],'문화권 정리'!C:D,2,FALSE),"-")</f>
        <v>동아시아</v>
      </c>
      <c r="H427" s="38" t="str">
        <f>IFERROR(COUNTIF([2]OceanDoodad!$Y:$Y,표1[[#This Row],[명칭]]),"-")</f>
        <v>-</v>
      </c>
      <c r="I427" s="38">
        <f>IFERROR(COUNTIF([1]AdventureDiscoveryGroup!$D$8:$AW$92,표1[[#This Row],[명칭]]),"-")</f>
        <v>0</v>
      </c>
      <c r="J427" s="38">
        <f>IFERROR(COUNTIF([1]FishDiscoveryGroup!$A:$X,표1[[#This Row],[명칭]]),"-")</f>
        <v>0</v>
      </c>
      <c r="K427" s="38" t="str">
        <f>IFERROR(COUNTIF([2]Town!$B:$B,표1[[#This Row],[명칭]]),"-")</f>
        <v>-</v>
      </c>
      <c r="L427" s="38">
        <f>IFERROR(COUNTIF([1]Village!$BR:$BR,표1[[#This Row],[명칭]]),"-")</f>
        <v>0</v>
      </c>
      <c r="M427" s="38">
        <f>COUNTIF(퀘스트!B:B,표1[[#This Row],[명칭]])</f>
        <v>0</v>
      </c>
      <c r="N427" s="65">
        <f>COUNTIF([1]VillageDiscoveryGroup!$C:$C,표1[[#This Row],[명칭]])</f>
        <v>0</v>
      </c>
      <c r="O427" s="65">
        <f>SUM(표1[[#This Row],[해양탐색]:[마을탐험]])</f>
        <v>0</v>
      </c>
    </row>
    <row r="428" spans="2:15" ht="13.5" customHeight="1" x14ac:dyDescent="0.3">
      <c r="B428" s="9">
        <f>[1]Discovery!A434</f>
        <v>70403106</v>
      </c>
      <c r="C428" s="9" t="str">
        <f>[1]Discovery!B434</f>
        <v>월계수</v>
      </c>
      <c r="D428" s="9" t="str">
        <f>[1]Discovery!E434</f>
        <v>식물</v>
      </c>
      <c r="E428" s="9" t="str">
        <f>[1]Discovery!C434</f>
        <v>쌍자엽</v>
      </c>
      <c r="F428" s="9" t="str">
        <f>[1]Discovery!G434</f>
        <v>S</v>
      </c>
      <c r="G428" s="9" t="str">
        <f>IFERROR(VLOOKUP(표1[[#This Row],[명칭]],'문화권 정리'!C:D,2,FALSE),"-")</f>
        <v>지중해</v>
      </c>
      <c r="H428" s="38" t="str">
        <f>IFERROR(COUNTIF([2]OceanDoodad!$Y:$Y,표1[[#This Row],[명칭]]),"-")</f>
        <v>-</v>
      </c>
      <c r="I428" s="38">
        <f>IFERROR(COUNTIF([1]AdventureDiscoveryGroup!$D$8:$AW$92,표1[[#This Row],[명칭]]),"-")</f>
        <v>0</v>
      </c>
      <c r="J428" s="38">
        <f>IFERROR(COUNTIF([1]FishDiscoveryGroup!$A:$X,표1[[#This Row],[명칭]]),"-")</f>
        <v>0</v>
      </c>
      <c r="K428" s="38" t="str">
        <f>IFERROR(COUNTIF([2]Town!$B:$B,표1[[#This Row],[명칭]]),"-")</f>
        <v>-</v>
      </c>
      <c r="L428" s="38">
        <f>IFERROR(COUNTIF([1]Village!$BR:$BR,표1[[#This Row],[명칭]]),"-")</f>
        <v>0</v>
      </c>
      <c r="M428" s="38">
        <f>COUNTIF(퀘스트!B:B,표1[[#This Row],[명칭]])</f>
        <v>0</v>
      </c>
      <c r="N428" s="65">
        <f>COUNTIF([1]VillageDiscoveryGroup!$C:$C,표1[[#This Row],[명칭]])</f>
        <v>0</v>
      </c>
      <c r="O428" s="65">
        <f>SUM(표1[[#This Row],[해양탐색]:[마을탐험]])</f>
        <v>0</v>
      </c>
    </row>
    <row r="429" spans="2:15" ht="13.5" customHeight="1" x14ac:dyDescent="0.3">
      <c r="B429" s="9">
        <f>[1]Discovery!A435</f>
        <v>70403107</v>
      </c>
      <c r="C429" s="9" t="str">
        <f>[1]Discovery!B435</f>
        <v>월하미인</v>
      </c>
      <c r="D429" s="9" t="str">
        <f>[1]Discovery!E435</f>
        <v>식물</v>
      </c>
      <c r="E429" s="9" t="str">
        <f>[1]Discovery!C435</f>
        <v>쌍자엽</v>
      </c>
      <c r="F429" s="9" t="str">
        <f>[1]Discovery!G435</f>
        <v>B</v>
      </c>
      <c r="G429" s="9" t="str">
        <f>IFERROR(VLOOKUP(표1[[#This Row],[명칭]],'문화권 정리'!C:D,2,FALSE),"-")</f>
        <v>동남아시아</v>
      </c>
      <c r="H429" s="38" t="str">
        <f>IFERROR(COUNTIF([2]OceanDoodad!$Y:$Y,표1[[#This Row],[명칭]]),"-")</f>
        <v>-</v>
      </c>
      <c r="I429" s="38">
        <f>IFERROR(COUNTIF([1]AdventureDiscoveryGroup!$D$8:$AW$92,표1[[#This Row],[명칭]]),"-")</f>
        <v>0</v>
      </c>
      <c r="J429" s="38">
        <f>IFERROR(COUNTIF([1]FishDiscoveryGroup!$A:$X,표1[[#This Row],[명칭]]),"-")</f>
        <v>0</v>
      </c>
      <c r="K429" s="38" t="str">
        <f>IFERROR(COUNTIF([2]Town!$B:$B,표1[[#This Row],[명칭]]),"-")</f>
        <v>-</v>
      </c>
      <c r="L429" s="38">
        <f>IFERROR(COUNTIF([1]Village!$BR:$BR,표1[[#This Row],[명칭]]),"-")</f>
        <v>0</v>
      </c>
      <c r="M429" s="38">
        <f>COUNTIF(퀘스트!B:B,표1[[#This Row],[명칭]])</f>
        <v>1</v>
      </c>
      <c r="N429" s="65">
        <f>COUNTIF([1]VillageDiscoveryGroup!$C:$C,표1[[#This Row],[명칭]])</f>
        <v>0</v>
      </c>
      <c r="O429" s="65">
        <f>SUM(표1[[#This Row],[해양탐색]:[마을탐험]])</f>
        <v>1</v>
      </c>
    </row>
    <row r="430" spans="2:15" ht="13.5" customHeight="1" x14ac:dyDescent="0.3">
      <c r="B430" s="9" t="str">
        <f>[1]Discovery!A436</f>
        <v>#70403108</v>
      </c>
      <c r="C430" s="9" t="str">
        <f>[1]Discovery!B436</f>
        <v>웰위치아</v>
      </c>
      <c r="D430" s="9" t="str">
        <f>[1]Discovery!E436</f>
        <v>식물</v>
      </c>
      <c r="E430" s="9" t="str">
        <f>[1]Discovery!C436</f>
        <v>없음</v>
      </c>
      <c r="F430" s="9" t="str">
        <f>[1]Discovery!G436</f>
        <v>A</v>
      </c>
      <c r="G430" s="9" t="str">
        <f>IFERROR(VLOOKUP(표1[[#This Row],[명칭]],'문화권 정리'!C:D,2,FALSE),"-")</f>
        <v>서아프리카</v>
      </c>
      <c r="H430" s="38" t="str">
        <f>IFERROR(COUNTIF([2]OceanDoodad!$Y:$Y,표1[[#This Row],[명칭]]),"-")</f>
        <v>-</v>
      </c>
      <c r="I430" s="38">
        <f>IFERROR(COUNTIF([1]AdventureDiscoveryGroup!$D$8:$AW$92,표1[[#This Row],[명칭]]),"-")</f>
        <v>0</v>
      </c>
      <c r="J430" s="38">
        <f>IFERROR(COUNTIF([1]FishDiscoveryGroup!$A:$X,표1[[#This Row],[명칭]]),"-")</f>
        <v>0</v>
      </c>
      <c r="K430" s="38" t="str">
        <f>IFERROR(COUNTIF([2]Town!$B:$B,표1[[#This Row],[명칭]]),"-")</f>
        <v>-</v>
      </c>
      <c r="L430" s="38">
        <f>IFERROR(COUNTIF([1]Village!$BR:$BR,표1[[#This Row],[명칭]]),"-")</f>
        <v>0</v>
      </c>
      <c r="M430" s="38">
        <f>COUNTIF(퀘스트!B:B,표1[[#This Row],[명칭]])</f>
        <v>0</v>
      </c>
      <c r="N430" s="65">
        <f>COUNTIF([1]VillageDiscoveryGroup!$C:$C,표1[[#This Row],[명칭]])</f>
        <v>0</v>
      </c>
      <c r="O430" s="65">
        <f>SUM(표1[[#This Row],[해양탐색]:[마을탐험]])</f>
        <v>0</v>
      </c>
    </row>
    <row r="431" spans="2:15" ht="13.5" customHeight="1" x14ac:dyDescent="0.3">
      <c r="B431" s="9">
        <f>[1]Discovery!A437</f>
        <v>70403109</v>
      </c>
      <c r="C431" s="9" t="str">
        <f>[1]Discovery!B437</f>
        <v>유럽 다프네</v>
      </c>
      <c r="D431" s="9" t="str">
        <f>[1]Discovery!E437</f>
        <v>식물</v>
      </c>
      <c r="E431" s="9" t="str">
        <f>[1]Discovery!C437</f>
        <v>쌍자엽</v>
      </c>
      <c r="F431" s="9" t="str">
        <f>[1]Discovery!G437</f>
        <v>C</v>
      </c>
      <c r="G431" s="9" t="str">
        <f>IFERROR(VLOOKUP(표1[[#This Row],[명칭]],'문화권 정리'!C:D,2,FALSE),"-")</f>
        <v>북유럽</v>
      </c>
      <c r="H431" s="38" t="str">
        <f>IFERROR(COUNTIF([2]OceanDoodad!$Y:$Y,표1[[#This Row],[명칭]]),"-")</f>
        <v>-</v>
      </c>
      <c r="I431" s="38">
        <f>IFERROR(COUNTIF([1]AdventureDiscoveryGroup!$D$8:$AW$92,표1[[#This Row],[명칭]]),"-")</f>
        <v>0</v>
      </c>
      <c r="J431" s="38">
        <f>IFERROR(COUNTIF([1]FishDiscoveryGroup!$A:$X,표1[[#This Row],[명칭]]),"-")</f>
        <v>0</v>
      </c>
      <c r="K431" s="38" t="str">
        <f>IFERROR(COUNTIF([2]Town!$B:$B,표1[[#This Row],[명칭]]),"-")</f>
        <v>-</v>
      </c>
      <c r="L431" s="38">
        <f>IFERROR(COUNTIF([1]Village!$BR:$BR,표1[[#This Row],[명칭]]),"-")</f>
        <v>0</v>
      </c>
      <c r="M431" s="38">
        <f>COUNTIF(퀘스트!B:B,표1[[#This Row],[명칭]])</f>
        <v>1</v>
      </c>
      <c r="N431" s="65">
        <f>COUNTIF([1]VillageDiscoveryGroup!$C:$C,표1[[#This Row],[명칭]])</f>
        <v>0</v>
      </c>
      <c r="O431" s="65">
        <f>SUM(표1[[#This Row],[해양탐색]:[마을탐험]])</f>
        <v>1</v>
      </c>
    </row>
    <row r="432" spans="2:15" ht="13.5" customHeight="1" x14ac:dyDescent="0.3">
      <c r="B432" s="9">
        <f>[1]Discovery!A438</f>
        <v>70403110</v>
      </c>
      <c r="C432" s="9" t="str">
        <f>[1]Discovery!B438</f>
        <v>이페</v>
      </c>
      <c r="D432" s="9" t="str">
        <f>[1]Discovery!E438</f>
        <v>식물</v>
      </c>
      <c r="E432" s="9" t="str">
        <f>[1]Discovery!C438</f>
        <v>쌍자엽</v>
      </c>
      <c r="F432" s="9" t="str">
        <f>[1]Discovery!G438</f>
        <v>B</v>
      </c>
      <c r="G432" s="9" t="str">
        <f>IFERROR(VLOOKUP(표1[[#This Row],[명칭]],'문화권 정리'!C:D,2,FALSE),"-")</f>
        <v>남아메리카</v>
      </c>
      <c r="H432" s="38" t="str">
        <f>IFERROR(COUNTIF([2]OceanDoodad!$Y:$Y,표1[[#This Row],[명칭]]),"-")</f>
        <v>-</v>
      </c>
      <c r="I432" s="38">
        <f>IFERROR(COUNTIF([1]AdventureDiscoveryGroup!$D$8:$AW$92,표1[[#This Row],[명칭]]),"-")</f>
        <v>1</v>
      </c>
      <c r="J432" s="38">
        <f>IFERROR(COUNTIF([1]FishDiscoveryGroup!$A:$X,표1[[#This Row],[명칭]]),"-")</f>
        <v>0</v>
      </c>
      <c r="K432" s="38" t="str">
        <f>IFERROR(COUNTIF([2]Town!$B:$B,표1[[#This Row],[명칭]]),"-")</f>
        <v>-</v>
      </c>
      <c r="L432" s="38">
        <f>IFERROR(COUNTIF([1]Village!$BR:$BR,표1[[#This Row],[명칭]]),"-")</f>
        <v>0</v>
      </c>
      <c r="M432" s="38">
        <f>COUNTIF(퀘스트!B:B,표1[[#This Row],[명칭]])</f>
        <v>0</v>
      </c>
      <c r="N432" s="65">
        <f>COUNTIF([1]VillageDiscoveryGroup!$C:$C,표1[[#This Row],[명칭]])</f>
        <v>0</v>
      </c>
      <c r="O432" s="65">
        <f>SUM(표1[[#This Row],[해양탐색]:[마을탐험]])</f>
        <v>1</v>
      </c>
    </row>
    <row r="433" spans="2:15" ht="13.5" customHeight="1" x14ac:dyDescent="0.3">
      <c r="B433" s="9">
        <f>[1]Discovery!A439</f>
        <v>70403111</v>
      </c>
      <c r="C433" s="9" t="str">
        <f>[1]Discovery!B439</f>
        <v>일본 붓꽃</v>
      </c>
      <c r="D433" s="9" t="str">
        <f>[1]Discovery!E439</f>
        <v>식물</v>
      </c>
      <c r="E433" s="9" t="str">
        <f>[1]Discovery!C439</f>
        <v>단자엽</v>
      </c>
      <c r="F433" s="9" t="str">
        <f>[1]Discovery!G439</f>
        <v>B</v>
      </c>
      <c r="G433" s="9" t="str">
        <f>IFERROR(VLOOKUP(표1[[#This Row],[명칭]],'문화권 정리'!C:D,2,FALSE),"-")</f>
        <v>동아시아</v>
      </c>
      <c r="H433" s="38" t="str">
        <f>IFERROR(COUNTIF([2]OceanDoodad!$Y:$Y,표1[[#This Row],[명칭]]),"-")</f>
        <v>-</v>
      </c>
      <c r="I433" s="38">
        <f>IFERROR(COUNTIF([1]AdventureDiscoveryGroup!$D$8:$AW$92,표1[[#This Row],[명칭]]),"-")</f>
        <v>0</v>
      </c>
      <c r="J433" s="38">
        <f>IFERROR(COUNTIF([1]FishDiscoveryGroup!$A:$X,표1[[#This Row],[명칭]]),"-")</f>
        <v>0</v>
      </c>
      <c r="K433" s="38" t="str">
        <f>IFERROR(COUNTIF([2]Town!$B:$B,표1[[#This Row],[명칭]]),"-")</f>
        <v>-</v>
      </c>
      <c r="L433" s="38">
        <f>IFERROR(COUNTIF([1]Village!$BR:$BR,표1[[#This Row],[명칭]]),"-")</f>
        <v>0</v>
      </c>
      <c r="M433" s="38">
        <f>COUNTIF(퀘스트!B:B,표1[[#This Row],[명칭]])</f>
        <v>0</v>
      </c>
      <c r="N433" s="65">
        <f>COUNTIF([1]VillageDiscoveryGroup!$C:$C,표1[[#This Row],[명칭]])</f>
        <v>0</v>
      </c>
      <c r="O433" s="65">
        <f>SUM(표1[[#This Row],[해양탐색]:[마을탐험]])</f>
        <v>0</v>
      </c>
    </row>
    <row r="434" spans="2:15" ht="13.5" customHeight="1" x14ac:dyDescent="0.3">
      <c r="B434" s="9">
        <f>[1]Discovery!A440</f>
        <v>70403112</v>
      </c>
      <c r="C434" s="9" t="str">
        <f>[1]Discovery!B440</f>
        <v>자두나무</v>
      </c>
      <c r="D434" s="9" t="str">
        <f>[1]Discovery!E440</f>
        <v>식물</v>
      </c>
      <c r="E434" s="9" t="str">
        <f>[1]Discovery!C440</f>
        <v>쌍자엽</v>
      </c>
      <c r="F434" s="9" t="str">
        <f>[1]Discovery!G440</f>
        <v>B</v>
      </c>
      <c r="G434" s="9" t="str">
        <f>IFERROR(VLOOKUP(표1[[#This Row],[명칭]],'문화권 정리'!C:D,2,FALSE),"-")</f>
        <v>동아시아</v>
      </c>
      <c r="H434" s="38" t="str">
        <f>IFERROR(COUNTIF([2]OceanDoodad!$Y:$Y,표1[[#This Row],[명칭]]),"-")</f>
        <v>-</v>
      </c>
      <c r="I434" s="38">
        <f>IFERROR(COUNTIF([1]AdventureDiscoveryGroup!$D$8:$AW$92,표1[[#This Row],[명칭]]),"-")</f>
        <v>1</v>
      </c>
      <c r="J434" s="38">
        <f>IFERROR(COUNTIF([1]FishDiscoveryGroup!$A:$X,표1[[#This Row],[명칭]]),"-")</f>
        <v>0</v>
      </c>
      <c r="K434" s="38" t="str">
        <f>IFERROR(COUNTIF([2]Town!$B:$B,표1[[#This Row],[명칭]]),"-")</f>
        <v>-</v>
      </c>
      <c r="L434" s="38">
        <f>IFERROR(COUNTIF([1]Village!$BR:$BR,표1[[#This Row],[명칭]]),"-")</f>
        <v>0</v>
      </c>
      <c r="M434" s="38">
        <f>COUNTIF(퀘스트!B:B,표1[[#This Row],[명칭]])</f>
        <v>0</v>
      </c>
      <c r="N434" s="65">
        <f>COUNTIF([1]VillageDiscoveryGroup!$C:$C,표1[[#This Row],[명칭]])</f>
        <v>0</v>
      </c>
      <c r="O434" s="65">
        <f>SUM(표1[[#This Row],[해양탐색]:[마을탐험]])</f>
        <v>1</v>
      </c>
    </row>
    <row r="435" spans="2:15" ht="13.5" customHeight="1" x14ac:dyDescent="0.3">
      <c r="B435" s="9">
        <f>[1]Discovery!A441</f>
        <v>70403113</v>
      </c>
      <c r="C435" s="9" t="str">
        <f>[1]Discovery!B441</f>
        <v>자작나무</v>
      </c>
      <c r="D435" s="9" t="str">
        <f>[1]Discovery!E441</f>
        <v>식물</v>
      </c>
      <c r="E435" s="9" t="str">
        <f>[1]Discovery!C441</f>
        <v>쌍자엽</v>
      </c>
      <c r="F435" s="9" t="str">
        <f>[1]Discovery!G441</f>
        <v>B</v>
      </c>
      <c r="G435" s="9" t="str">
        <f>IFERROR(VLOOKUP(표1[[#This Row],[명칭]],'문화권 정리'!C:D,2,FALSE),"-")</f>
        <v>북유럽</v>
      </c>
      <c r="H435" s="38" t="str">
        <f>IFERROR(COUNTIF([2]OceanDoodad!$Y:$Y,표1[[#This Row],[명칭]]),"-")</f>
        <v>-</v>
      </c>
      <c r="I435" s="38">
        <f>IFERROR(COUNTIF([1]AdventureDiscoveryGroup!$D$8:$AW$92,표1[[#This Row],[명칭]]),"-")</f>
        <v>1</v>
      </c>
      <c r="J435" s="38">
        <f>IFERROR(COUNTIF([1]FishDiscoveryGroup!$A:$X,표1[[#This Row],[명칭]]),"-")</f>
        <v>0</v>
      </c>
      <c r="K435" s="38" t="str">
        <f>IFERROR(COUNTIF([2]Town!$B:$B,표1[[#This Row],[명칭]]),"-")</f>
        <v>-</v>
      </c>
      <c r="L435" s="38">
        <f>IFERROR(COUNTIF([1]Village!$BR:$BR,표1[[#This Row],[명칭]]),"-")</f>
        <v>0</v>
      </c>
      <c r="M435" s="38">
        <f>COUNTIF(퀘스트!B:B,표1[[#This Row],[명칭]])</f>
        <v>0</v>
      </c>
      <c r="N435" s="65">
        <f>COUNTIF([1]VillageDiscoveryGroup!$C:$C,표1[[#This Row],[명칭]])</f>
        <v>0</v>
      </c>
      <c r="O435" s="65">
        <f>SUM(표1[[#This Row],[해양탐색]:[마을탐험]])</f>
        <v>1</v>
      </c>
    </row>
    <row r="436" spans="2:15" ht="13.5" customHeight="1" x14ac:dyDescent="0.3">
      <c r="B436" s="9">
        <f>[1]Discovery!A442</f>
        <v>70403114</v>
      </c>
      <c r="C436" s="9" t="str">
        <f>[1]Discovery!B442</f>
        <v>자주달개비</v>
      </c>
      <c r="D436" s="9" t="str">
        <f>[1]Discovery!E442</f>
        <v>식물</v>
      </c>
      <c r="E436" s="9" t="str">
        <f>[1]Discovery!C442</f>
        <v>단자엽</v>
      </c>
      <c r="F436" s="9" t="str">
        <f>[1]Discovery!G442</f>
        <v>A</v>
      </c>
      <c r="G436" s="9" t="str">
        <f>IFERROR(VLOOKUP(표1[[#This Row],[명칭]],'문화권 정리'!C:D,2,FALSE),"-")</f>
        <v>북아메리카</v>
      </c>
      <c r="H436" s="38" t="str">
        <f>IFERROR(COUNTIF([2]OceanDoodad!$Y:$Y,표1[[#This Row],[명칭]]),"-")</f>
        <v>-</v>
      </c>
      <c r="I436" s="38">
        <f>IFERROR(COUNTIF([1]AdventureDiscoveryGroup!$D$8:$AW$92,표1[[#This Row],[명칭]]),"-")</f>
        <v>0</v>
      </c>
      <c r="J436" s="38">
        <f>IFERROR(COUNTIF([1]FishDiscoveryGroup!$A:$X,표1[[#This Row],[명칭]]),"-")</f>
        <v>0</v>
      </c>
      <c r="K436" s="38" t="str">
        <f>IFERROR(COUNTIF([2]Town!$B:$B,표1[[#This Row],[명칭]]),"-")</f>
        <v>-</v>
      </c>
      <c r="L436" s="38">
        <f>IFERROR(COUNTIF([1]Village!$BR:$BR,표1[[#This Row],[명칭]]),"-")</f>
        <v>0</v>
      </c>
      <c r="M436" s="38">
        <f>COUNTIF(퀘스트!B:B,표1[[#This Row],[명칭]])</f>
        <v>0</v>
      </c>
      <c r="N436" s="65">
        <f>COUNTIF([1]VillageDiscoveryGroup!$C:$C,표1[[#This Row],[명칭]])</f>
        <v>1</v>
      </c>
      <c r="O436" s="65">
        <f>SUM(표1[[#This Row],[해양탐색]:[마을탐험]])</f>
        <v>1</v>
      </c>
    </row>
    <row r="437" spans="2:15" ht="13.5" customHeight="1" x14ac:dyDescent="0.3">
      <c r="B437" s="9">
        <f>[1]Discovery!A443</f>
        <v>70403115</v>
      </c>
      <c r="C437" s="9" t="str">
        <f>[1]Discovery!B443</f>
        <v>자카란다</v>
      </c>
      <c r="D437" s="9" t="str">
        <f>[1]Discovery!E443</f>
        <v>식물</v>
      </c>
      <c r="E437" s="9" t="str">
        <f>[1]Discovery!C443</f>
        <v>쌍자엽</v>
      </c>
      <c r="F437" s="9" t="str">
        <f>[1]Discovery!G443</f>
        <v>D</v>
      </c>
      <c r="G437" s="9" t="str">
        <f>IFERROR(VLOOKUP(표1[[#This Row],[명칭]],'문화권 정리'!C:D,2,FALSE),"-")</f>
        <v>남아메리카</v>
      </c>
      <c r="H437" s="38" t="str">
        <f>IFERROR(COUNTIF([2]OceanDoodad!$Y:$Y,표1[[#This Row],[명칭]]),"-")</f>
        <v>-</v>
      </c>
      <c r="I437" s="38">
        <f>IFERROR(COUNTIF([1]AdventureDiscoveryGroup!$D$8:$AW$92,표1[[#This Row],[명칭]]),"-")</f>
        <v>1</v>
      </c>
      <c r="J437" s="38">
        <f>IFERROR(COUNTIF([1]FishDiscoveryGroup!$A:$X,표1[[#This Row],[명칭]]),"-")</f>
        <v>0</v>
      </c>
      <c r="K437" s="38" t="str">
        <f>IFERROR(COUNTIF([2]Town!$B:$B,표1[[#This Row],[명칭]]),"-")</f>
        <v>-</v>
      </c>
      <c r="L437" s="38">
        <f>IFERROR(COUNTIF([1]Village!$BR:$BR,표1[[#This Row],[명칭]]),"-")</f>
        <v>0</v>
      </c>
      <c r="M437" s="38">
        <f>COUNTIF(퀘스트!B:B,표1[[#This Row],[명칭]])</f>
        <v>0</v>
      </c>
      <c r="N437" s="65">
        <f>COUNTIF([1]VillageDiscoveryGroup!$C:$C,표1[[#This Row],[명칭]])</f>
        <v>0</v>
      </c>
      <c r="O437" s="65">
        <f>SUM(표1[[#This Row],[해양탐색]:[마을탐험]])</f>
        <v>1</v>
      </c>
    </row>
    <row r="438" spans="2:15" ht="13.5" customHeight="1" x14ac:dyDescent="0.3">
      <c r="B438" s="9" t="str">
        <f>[1]Discovery!A444</f>
        <v>#70403116</v>
      </c>
      <c r="C438" s="9" t="str">
        <f>[1]Discovery!B444</f>
        <v>정이품송</v>
      </c>
      <c r="D438" s="9" t="str">
        <f>[1]Discovery!E444</f>
        <v>식물</v>
      </c>
      <c r="E438" s="9" t="str">
        <f>[1]Discovery!C444</f>
        <v>없음</v>
      </c>
      <c r="F438" s="9" t="str">
        <f>[1]Discovery!G444</f>
        <v>A</v>
      </c>
      <c r="G438" s="9" t="str">
        <f>IFERROR(VLOOKUP(표1[[#This Row],[명칭]],'문화권 정리'!C:D,2,FALSE),"-")</f>
        <v>동아시아</v>
      </c>
      <c r="H438" s="38" t="str">
        <f>IFERROR(COUNTIF([2]OceanDoodad!$Y:$Y,표1[[#This Row],[명칭]]),"-")</f>
        <v>-</v>
      </c>
      <c r="I438" s="38">
        <f>IFERROR(COUNTIF([1]AdventureDiscoveryGroup!$D$8:$AW$92,표1[[#This Row],[명칭]]),"-")</f>
        <v>0</v>
      </c>
      <c r="J438" s="38">
        <f>IFERROR(COUNTIF([1]FishDiscoveryGroup!$A:$X,표1[[#This Row],[명칭]]),"-")</f>
        <v>0</v>
      </c>
      <c r="K438" s="38" t="str">
        <f>IFERROR(COUNTIF([2]Town!$B:$B,표1[[#This Row],[명칭]]),"-")</f>
        <v>-</v>
      </c>
      <c r="L438" s="38">
        <f>IFERROR(COUNTIF([1]Village!$BR:$BR,표1[[#This Row],[명칭]]),"-")</f>
        <v>0</v>
      </c>
      <c r="M438" s="38">
        <f>COUNTIF(퀘스트!B:B,표1[[#This Row],[명칭]])</f>
        <v>0</v>
      </c>
      <c r="N438" s="65">
        <f>COUNTIF([1]VillageDiscoveryGroup!$C:$C,표1[[#This Row],[명칭]])</f>
        <v>0</v>
      </c>
      <c r="O438" s="65">
        <f>SUM(표1[[#This Row],[해양탐색]:[마을탐험]])</f>
        <v>0</v>
      </c>
    </row>
    <row r="439" spans="2:15" ht="13.5" customHeight="1" x14ac:dyDescent="0.3">
      <c r="B439" s="9" t="str">
        <f>[1]Discovery!A445</f>
        <v>#70403117</v>
      </c>
      <c r="C439" s="9" t="str">
        <f>[1]Discovery!B445</f>
        <v>조몬 삼나무</v>
      </c>
      <c r="D439" s="9" t="str">
        <f>[1]Discovery!E445</f>
        <v>식물</v>
      </c>
      <c r="E439" s="9" t="str">
        <f>[1]Discovery!C445</f>
        <v>없음</v>
      </c>
      <c r="F439" s="9" t="str">
        <f>[1]Discovery!G445</f>
        <v>B</v>
      </c>
      <c r="G439" s="9" t="str">
        <f>IFERROR(VLOOKUP(표1[[#This Row],[명칭]],'문화권 정리'!C:D,2,FALSE),"-")</f>
        <v>동아시아</v>
      </c>
      <c r="H439" s="38" t="str">
        <f>IFERROR(COUNTIF([2]OceanDoodad!$Y:$Y,표1[[#This Row],[명칭]]),"-")</f>
        <v>-</v>
      </c>
      <c r="I439" s="38">
        <f>IFERROR(COUNTIF([1]AdventureDiscoveryGroup!$D$8:$AW$92,표1[[#This Row],[명칭]]),"-")</f>
        <v>0</v>
      </c>
      <c r="J439" s="38">
        <f>IFERROR(COUNTIF([1]FishDiscoveryGroup!$A:$X,표1[[#This Row],[명칭]]),"-")</f>
        <v>0</v>
      </c>
      <c r="K439" s="38" t="str">
        <f>IFERROR(COUNTIF([2]Town!$B:$B,표1[[#This Row],[명칭]]),"-")</f>
        <v>-</v>
      </c>
      <c r="L439" s="38">
        <f>IFERROR(COUNTIF([1]Village!$BR:$BR,표1[[#This Row],[명칭]]),"-")</f>
        <v>0</v>
      </c>
      <c r="M439" s="38">
        <f>COUNTIF(퀘스트!B:B,표1[[#This Row],[명칭]])</f>
        <v>0</v>
      </c>
      <c r="N439" s="65">
        <f>COUNTIF([1]VillageDiscoveryGroup!$C:$C,표1[[#This Row],[명칭]])</f>
        <v>0</v>
      </c>
      <c r="O439" s="65">
        <f>SUM(표1[[#This Row],[해양탐색]:[마을탐험]])</f>
        <v>0</v>
      </c>
    </row>
    <row r="440" spans="2:15" ht="13.5" customHeight="1" x14ac:dyDescent="0.3">
      <c r="B440" s="9">
        <f>[1]Discovery!A446</f>
        <v>70403118</v>
      </c>
      <c r="C440" s="9" t="str">
        <f>[1]Discovery!B446</f>
        <v>쥐엄나무</v>
      </c>
      <c r="D440" s="9" t="str">
        <f>[1]Discovery!E446</f>
        <v>식물</v>
      </c>
      <c r="E440" s="9" t="str">
        <f>[1]Discovery!C446</f>
        <v>쌍자엽</v>
      </c>
      <c r="F440" s="9" t="str">
        <f>[1]Discovery!G446</f>
        <v>C</v>
      </c>
      <c r="G440" s="9" t="str">
        <f>IFERROR(VLOOKUP(표1[[#This Row],[명칭]],'문화권 정리'!C:D,2,FALSE),"-")</f>
        <v>지중해</v>
      </c>
      <c r="H440" s="38" t="str">
        <f>IFERROR(COUNTIF([2]OceanDoodad!$Y:$Y,표1[[#This Row],[명칭]]),"-")</f>
        <v>-</v>
      </c>
      <c r="I440" s="38">
        <f>IFERROR(COUNTIF([1]AdventureDiscoveryGroup!$D$8:$AW$92,표1[[#This Row],[명칭]]),"-")</f>
        <v>1</v>
      </c>
      <c r="J440" s="38">
        <f>IFERROR(COUNTIF([1]FishDiscoveryGroup!$A:$X,표1[[#This Row],[명칭]]),"-")</f>
        <v>0</v>
      </c>
      <c r="K440" s="38" t="str">
        <f>IFERROR(COUNTIF([2]Town!$B:$B,표1[[#This Row],[명칭]]),"-")</f>
        <v>-</v>
      </c>
      <c r="L440" s="38">
        <f>IFERROR(COUNTIF([1]Village!$BR:$BR,표1[[#This Row],[명칭]]),"-")</f>
        <v>0</v>
      </c>
      <c r="M440" s="38">
        <f>COUNTIF(퀘스트!B:B,표1[[#This Row],[명칭]])</f>
        <v>0</v>
      </c>
      <c r="N440" s="65">
        <f>COUNTIF([1]VillageDiscoveryGroup!$C:$C,표1[[#This Row],[명칭]])</f>
        <v>0</v>
      </c>
      <c r="O440" s="65">
        <f>SUM(표1[[#This Row],[해양탐색]:[마을탐험]])</f>
        <v>1</v>
      </c>
    </row>
    <row r="441" spans="2:15" ht="13.5" customHeight="1" x14ac:dyDescent="0.3">
      <c r="B441" s="9">
        <f>[1]Discovery!A447</f>
        <v>70403119</v>
      </c>
      <c r="C441" s="9" t="str">
        <f>[1]Discovery!B447</f>
        <v>추파추파</v>
      </c>
      <c r="D441" s="9" t="str">
        <f>[1]Discovery!E447</f>
        <v>식물</v>
      </c>
      <c r="E441" s="9" t="str">
        <f>[1]Discovery!C447</f>
        <v>쌍자엽</v>
      </c>
      <c r="F441" s="9" t="str">
        <f>[1]Discovery!G447</f>
        <v>C</v>
      </c>
      <c r="G441" s="9" t="str">
        <f>IFERROR(VLOOKUP(표1[[#This Row],[명칭]],'문화권 정리'!C:D,2,FALSE),"-")</f>
        <v>남아메리카</v>
      </c>
      <c r="H441" s="38" t="str">
        <f>IFERROR(COUNTIF([2]OceanDoodad!$Y:$Y,표1[[#This Row],[명칭]]),"-")</f>
        <v>-</v>
      </c>
      <c r="I441" s="38">
        <f>IFERROR(COUNTIF([1]AdventureDiscoveryGroup!$D$8:$AW$92,표1[[#This Row],[명칭]]),"-")</f>
        <v>0</v>
      </c>
      <c r="J441" s="38">
        <f>IFERROR(COUNTIF([1]FishDiscoveryGroup!$A:$X,표1[[#This Row],[명칭]]),"-")</f>
        <v>0</v>
      </c>
      <c r="K441" s="38" t="str">
        <f>IFERROR(COUNTIF([2]Town!$B:$B,표1[[#This Row],[명칭]]),"-")</f>
        <v>-</v>
      </c>
      <c r="L441" s="38">
        <f>IFERROR(COUNTIF([1]Village!$BR:$BR,표1[[#This Row],[명칭]]),"-")</f>
        <v>0</v>
      </c>
      <c r="M441" s="38">
        <f>COUNTIF(퀘스트!B:B,표1[[#This Row],[명칭]])</f>
        <v>0</v>
      </c>
      <c r="N441" s="65">
        <f>COUNTIF([1]VillageDiscoveryGroup!$C:$C,표1[[#This Row],[명칭]])</f>
        <v>0</v>
      </c>
      <c r="O441" s="65">
        <f>SUM(표1[[#This Row],[해양탐색]:[마을탐험]])</f>
        <v>0</v>
      </c>
    </row>
    <row r="442" spans="2:15" ht="13.5" customHeight="1" x14ac:dyDescent="0.3">
      <c r="B442" s="9">
        <f>[1]Discovery!A448</f>
        <v>70403120</v>
      </c>
      <c r="C442" s="9" t="str">
        <f>[1]Discovery!B448</f>
        <v>카네이션</v>
      </c>
      <c r="D442" s="9" t="str">
        <f>[1]Discovery!E448</f>
        <v>식물</v>
      </c>
      <c r="E442" s="9" t="str">
        <f>[1]Discovery!C448</f>
        <v>쌍자엽</v>
      </c>
      <c r="F442" s="9" t="str">
        <f>[1]Discovery!G448</f>
        <v>D</v>
      </c>
      <c r="G442" s="9" t="str">
        <f>IFERROR(VLOOKUP(표1[[#This Row],[명칭]],'문화권 정리'!C:D,2,FALSE),"-")</f>
        <v>지중해</v>
      </c>
      <c r="H442" s="38" t="str">
        <f>IFERROR(COUNTIF([2]OceanDoodad!$Y:$Y,표1[[#This Row],[명칭]]),"-")</f>
        <v>-</v>
      </c>
      <c r="I442" s="38">
        <f>IFERROR(COUNTIF([1]AdventureDiscoveryGroup!$D$8:$AW$92,표1[[#This Row],[명칭]]),"-")</f>
        <v>1</v>
      </c>
      <c r="J442" s="38">
        <f>IFERROR(COUNTIF([1]FishDiscoveryGroup!$A:$X,표1[[#This Row],[명칭]]),"-")</f>
        <v>0</v>
      </c>
      <c r="K442" s="38" t="str">
        <f>IFERROR(COUNTIF([2]Town!$B:$B,표1[[#This Row],[명칭]]),"-")</f>
        <v>-</v>
      </c>
      <c r="L442" s="38">
        <f>IFERROR(COUNTIF([1]Village!$BR:$BR,표1[[#This Row],[명칭]]),"-")</f>
        <v>0</v>
      </c>
      <c r="M442" s="38">
        <f>COUNTIF(퀘스트!B:B,표1[[#This Row],[명칭]])</f>
        <v>0</v>
      </c>
      <c r="N442" s="65">
        <f>COUNTIF([1]VillageDiscoveryGroup!$C:$C,표1[[#This Row],[명칭]])</f>
        <v>0</v>
      </c>
      <c r="O442" s="65">
        <f>SUM(표1[[#This Row],[해양탐색]:[마을탐험]])</f>
        <v>1</v>
      </c>
    </row>
    <row r="443" spans="2:15" ht="13.5" customHeight="1" x14ac:dyDescent="0.3">
      <c r="B443" s="9">
        <f>[1]Discovery!A449</f>
        <v>70403121</v>
      </c>
      <c r="C443" s="9" t="str">
        <f>[1]Discovery!B449</f>
        <v>카틀레야</v>
      </c>
      <c r="D443" s="9" t="str">
        <f>[1]Discovery!E449</f>
        <v>식물</v>
      </c>
      <c r="E443" s="9" t="str">
        <f>[1]Discovery!C449</f>
        <v>단자엽</v>
      </c>
      <c r="F443" s="9" t="str">
        <f>[1]Discovery!G449</f>
        <v>A</v>
      </c>
      <c r="G443" s="9" t="str">
        <f>IFERROR(VLOOKUP(표1[[#This Row],[명칭]],'문화권 정리'!C:D,2,FALSE),"-")</f>
        <v>중앙아메리카</v>
      </c>
      <c r="H443" s="38" t="str">
        <f>IFERROR(COUNTIF([2]OceanDoodad!$Y:$Y,표1[[#This Row],[명칭]]),"-")</f>
        <v>-</v>
      </c>
      <c r="I443" s="38">
        <f>IFERROR(COUNTIF([1]AdventureDiscoveryGroup!$D$8:$AW$92,표1[[#This Row],[명칭]]),"-")</f>
        <v>1</v>
      </c>
      <c r="J443" s="38">
        <f>IFERROR(COUNTIF([1]FishDiscoveryGroup!$A:$X,표1[[#This Row],[명칭]]),"-")</f>
        <v>0</v>
      </c>
      <c r="K443" s="38" t="str">
        <f>IFERROR(COUNTIF([2]Town!$B:$B,표1[[#This Row],[명칭]]),"-")</f>
        <v>-</v>
      </c>
      <c r="L443" s="38">
        <f>IFERROR(COUNTIF([1]Village!$BR:$BR,표1[[#This Row],[명칭]]),"-")</f>
        <v>0</v>
      </c>
      <c r="M443" s="38">
        <f>COUNTIF(퀘스트!B:B,표1[[#This Row],[명칭]])</f>
        <v>0</v>
      </c>
      <c r="N443" s="65">
        <f>COUNTIF([1]VillageDiscoveryGroup!$C:$C,표1[[#This Row],[명칭]])</f>
        <v>0</v>
      </c>
      <c r="O443" s="65">
        <f>SUM(표1[[#This Row],[해양탐색]:[마을탐험]])</f>
        <v>1</v>
      </c>
    </row>
    <row r="444" spans="2:15" ht="13.5" customHeight="1" x14ac:dyDescent="0.3">
      <c r="B444" s="9">
        <f>[1]Discovery!A450</f>
        <v>70403122</v>
      </c>
      <c r="C444" s="9" t="str">
        <f>[1]Discovery!B450</f>
        <v>칸투아</v>
      </c>
      <c r="D444" s="9" t="str">
        <f>[1]Discovery!E450</f>
        <v>식물</v>
      </c>
      <c r="E444" s="9" t="str">
        <f>[1]Discovery!C450</f>
        <v>쌍자엽</v>
      </c>
      <c r="F444" s="9" t="str">
        <f>[1]Discovery!G450</f>
        <v>S</v>
      </c>
      <c r="G444" s="9" t="str">
        <f>IFERROR(VLOOKUP(표1[[#This Row],[명칭]],'문화권 정리'!C:D,2,FALSE),"-")</f>
        <v>남아메리카</v>
      </c>
      <c r="H444" s="38" t="str">
        <f>IFERROR(COUNTIF([2]OceanDoodad!$Y:$Y,표1[[#This Row],[명칭]]),"-")</f>
        <v>-</v>
      </c>
      <c r="I444" s="38">
        <f>IFERROR(COUNTIF([1]AdventureDiscoveryGroup!$D$8:$AW$92,표1[[#This Row],[명칭]]),"-")</f>
        <v>1</v>
      </c>
      <c r="J444" s="38">
        <f>IFERROR(COUNTIF([1]FishDiscoveryGroup!$A:$X,표1[[#This Row],[명칭]]),"-")</f>
        <v>0</v>
      </c>
      <c r="K444" s="38" t="str">
        <f>IFERROR(COUNTIF([2]Town!$B:$B,표1[[#This Row],[명칭]]),"-")</f>
        <v>-</v>
      </c>
      <c r="L444" s="38">
        <f>IFERROR(COUNTIF([1]Village!$BR:$BR,표1[[#This Row],[명칭]]),"-")</f>
        <v>0</v>
      </c>
      <c r="M444" s="38">
        <f>COUNTIF(퀘스트!B:B,표1[[#This Row],[명칭]])</f>
        <v>0</v>
      </c>
      <c r="N444" s="65">
        <f>COUNTIF([1]VillageDiscoveryGroup!$C:$C,표1[[#This Row],[명칭]])</f>
        <v>0</v>
      </c>
      <c r="O444" s="65">
        <f>SUM(표1[[#This Row],[해양탐색]:[마을탐험]])</f>
        <v>1</v>
      </c>
    </row>
    <row r="445" spans="2:15" ht="13.5" customHeight="1" x14ac:dyDescent="0.3">
      <c r="B445" s="9">
        <f>[1]Discovery!A451</f>
        <v>70403123</v>
      </c>
      <c r="C445" s="9" t="str">
        <f>[1]Discovery!B451</f>
        <v>칼라파테</v>
      </c>
      <c r="D445" s="9" t="str">
        <f>[1]Discovery!E451</f>
        <v>식물</v>
      </c>
      <c r="E445" s="9" t="str">
        <f>[1]Discovery!C451</f>
        <v>쌍자엽</v>
      </c>
      <c r="F445" s="9" t="str">
        <f>[1]Discovery!G451</f>
        <v>D</v>
      </c>
      <c r="G445" s="9" t="str">
        <f>IFERROR(VLOOKUP(표1[[#This Row],[명칭]],'문화권 정리'!C:D,2,FALSE),"-")</f>
        <v>남아메리카</v>
      </c>
      <c r="H445" s="38" t="str">
        <f>IFERROR(COUNTIF([2]OceanDoodad!$Y:$Y,표1[[#This Row],[명칭]]),"-")</f>
        <v>-</v>
      </c>
      <c r="I445" s="38">
        <f>IFERROR(COUNTIF([1]AdventureDiscoveryGroup!$D$8:$AW$92,표1[[#This Row],[명칭]]),"-")</f>
        <v>1</v>
      </c>
      <c r="J445" s="38">
        <f>IFERROR(COUNTIF([1]FishDiscoveryGroup!$A:$X,표1[[#This Row],[명칭]]),"-")</f>
        <v>0</v>
      </c>
      <c r="K445" s="38" t="str">
        <f>IFERROR(COUNTIF([2]Town!$B:$B,표1[[#This Row],[명칭]]),"-")</f>
        <v>-</v>
      </c>
      <c r="L445" s="38">
        <f>IFERROR(COUNTIF([1]Village!$BR:$BR,표1[[#This Row],[명칭]]),"-")</f>
        <v>0</v>
      </c>
      <c r="M445" s="38">
        <f>COUNTIF(퀘스트!B:B,표1[[#This Row],[명칭]])</f>
        <v>0</v>
      </c>
      <c r="N445" s="65">
        <f>COUNTIF([1]VillageDiscoveryGroup!$C:$C,표1[[#This Row],[명칭]])</f>
        <v>0</v>
      </c>
      <c r="O445" s="65">
        <f>SUM(표1[[#This Row],[해양탐색]:[마을탐험]])</f>
        <v>1</v>
      </c>
    </row>
    <row r="446" spans="2:15" ht="13.5" customHeight="1" x14ac:dyDescent="0.3">
      <c r="B446" s="9">
        <f>[1]Discovery!A452</f>
        <v>70403124</v>
      </c>
      <c r="C446" s="9" t="str">
        <f>[1]Discovery!B452</f>
        <v>칼미아</v>
      </c>
      <c r="D446" s="9" t="str">
        <f>[1]Discovery!E452</f>
        <v>식물</v>
      </c>
      <c r="E446" s="9" t="str">
        <f>[1]Discovery!C452</f>
        <v>쌍자엽</v>
      </c>
      <c r="F446" s="9" t="str">
        <f>[1]Discovery!G452</f>
        <v>B</v>
      </c>
      <c r="G446" s="9" t="str">
        <f>IFERROR(VLOOKUP(표1[[#This Row],[명칭]],'문화권 정리'!C:D,2,FALSE),"-")</f>
        <v>북아메리카</v>
      </c>
      <c r="H446" s="38" t="str">
        <f>IFERROR(COUNTIF([2]OceanDoodad!$Y:$Y,표1[[#This Row],[명칭]]),"-")</f>
        <v>-</v>
      </c>
      <c r="I446" s="38">
        <f>IFERROR(COUNTIF([1]AdventureDiscoveryGroup!$D$8:$AW$92,표1[[#This Row],[명칭]]),"-")</f>
        <v>1</v>
      </c>
      <c r="J446" s="38">
        <f>IFERROR(COUNTIF([1]FishDiscoveryGroup!$A:$X,표1[[#This Row],[명칭]]),"-")</f>
        <v>0</v>
      </c>
      <c r="K446" s="38" t="str">
        <f>IFERROR(COUNTIF([2]Town!$B:$B,표1[[#This Row],[명칭]]),"-")</f>
        <v>-</v>
      </c>
      <c r="L446" s="38">
        <f>IFERROR(COUNTIF([1]Village!$BR:$BR,표1[[#This Row],[명칭]]),"-")</f>
        <v>0</v>
      </c>
      <c r="M446" s="38">
        <f>COUNTIF(퀘스트!B:B,표1[[#This Row],[명칭]])</f>
        <v>0</v>
      </c>
      <c r="N446" s="65">
        <f>COUNTIF([1]VillageDiscoveryGroup!$C:$C,표1[[#This Row],[명칭]])</f>
        <v>0</v>
      </c>
      <c r="O446" s="65">
        <f>SUM(표1[[#This Row],[해양탐색]:[마을탐험]])</f>
        <v>1</v>
      </c>
    </row>
    <row r="447" spans="2:15" ht="13.5" customHeight="1" x14ac:dyDescent="0.3">
      <c r="B447" s="9">
        <f>[1]Discovery!A453</f>
        <v>70403125</v>
      </c>
      <c r="C447" s="9" t="str">
        <f>[1]Discovery!B453</f>
        <v>칼세올라리아</v>
      </c>
      <c r="D447" s="9" t="str">
        <f>[1]Discovery!E453</f>
        <v>식물</v>
      </c>
      <c r="E447" s="9" t="str">
        <f>[1]Discovery!C453</f>
        <v>쌍자엽</v>
      </c>
      <c r="F447" s="9" t="str">
        <f>[1]Discovery!G453</f>
        <v>A</v>
      </c>
      <c r="G447" s="9" t="str">
        <f>IFERROR(VLOOKUP(표1[[#This Row],[명칭]],'문화권 정리'!C:D,2,FALSE),"-")</f>
        <v>중앙아메리카</v>
      </c>
      <c r="H447" s="38" t="str">
        <f>IFERROR(COUNTIF([2]OceanDoodad!$Y:$Y,표1[[#This Row],[명칭]]),"-")</f>
        <v>-</v>
      </c>
      <c r="I447" s="38">
        <f>IFERROR(COUNTIF([1]AdventureDiscoveryGroup!$D$8:$AW$92,표1[[#This Row],[명칭]]),"-")</f>
        <v>0</v>
      </c>
      <c r="J447" s="38">
        <f>IFERROR(COUNTIF([1]FishDiscoveryGroup!$A:$X,표1[[#This Row],[명칭]]),"-")</f>
        <v>0</v>
      </c>
      <c r="K447" s="38" t="str">
        <f>IFERROR(COUNTIF([2]Town!$B:$B,표1[[#This Row],[명칭]]),"-")</f>
        <v>-</v>
      </c>
      <c r="L447" s="38">
        <f>IFERROR(COUNTIF([1]Village!$BR:$BR,표1[[#This Row],[명칭]]),"-")</f>
        <v>0</v>
      </c>
      <c r="M447" s="38">
        <f>COUNTIF(퀘스트!B:B,표1[[#This Row],[명칭]])</f>
        <v>0</v>
      </c>
      <c r="N447" s="65">
        <f>COUNTIF([1]VillageDiscoveryGroup!$C:$C,표1[[#This Row],[명칭]])</f>
        <v>0</v>
      </c>
      <c r="O447" s="65">
        <f>SUM(표1[[#This Row],[해양탐색]:[마을탐험]])</f>
        <v>0</v>
      </c>
    </row>
    <row r="448" spans="2:15" ht="13.5" customHeight="1" x14ac:dyDescent="0.3">
      <c r="B448" s="9">
        <f>[1]Discovery!A454</f>
        <v>70403126</v>
      </c>
      <c r="C448" s="9" t="str">
        <f>[1]Discovery!B454</f>
        <v>코삐우에</v>
      </c>
      <c r="D448" s="9" t="str">
        <f>[1]Discovery!E454</f>
        <v>식물</v>
      </c>
      <c r="E448" s="9" t="str">
        <f>[1]Discovery!C454</f>
        <v>단자엽</v>
      </c>
      <c r="F448" s="9" t="str">
        <f>[1]Discovery!G454</f>
        <v>B</v>
      </c>
      <c r="G448" s="9" t="str">
        <f>IFERROR(VLOOKUP(표1[[#This Row],[명칭]],'문화권 정리'!C:D,2,FALSE),"-")</f>
        <v>남아메리카</v>
      </c>
      <c r="H448" s="38" t="str">
        <f>IFERROR(COUNTIF([2]OceanDoodad!$Y:$Y,표1[[#This Row],[명칭]]),"-")</f>
        <v>-</v>
      </c>
      <c r="I448" s="38">
        <f>IFERROR(COUNTIF([1]AdventureDiscoveryGroup!$D$8:$AW$92,표1[[#This Row],[명칭]]),"-")</f>
        <v>1</v>
      </c>
      <c r="J448" s="38">
        <f>IFERROR(COUNTIF([1]FishDiscoveryGroup!$A:$X,표1[[#This Row],[명칭]]),"-")</f>
        <v>0</v>
      </c>
      <c r="K448" s="38" t="str">
        <f>IFERROR(COUNTIF([2]Town!$B:$B,표1[[#This Row],[명칭]]),"-")</f>
        <v>-</v>
      </c>
      <c r="L448" s="38">
        <f>IFERROR(COUNTIF([1]Village!$BR:$BR,표1[[#This Row],[명칭]]),"-")</f>
        <v>0</v>
      </c>
      <c r="M448" s="38">
        <f>COUNTIF(퀘스트!B:B,표1[[#This Row],[명칭]])</f>
        <v>0</v>
      </c>
      <c r="N448" s="65">
        <f>COUNTIF([1]VillageDiscoveryGroup!$C:$C,표1[[#This Row],[명칭]])</f>
        <v>0</v>
      </c>
      <c r="O448" s="65">
        <f>SUM(표1[[#This Row],[해양탐색]:[마을탐험]])</f>
        <v>1</v>
      </c>
    </row>
    <row r="449" spans="2:15" ht="13.5" customHeight="1" x14ac:dyDescent="0.3">
      <c r="B449" s="9">
        <f>[1]Discovery!A455</f>
        <v>70403127</v>
      </c>
      <c r="C449" s="9" t="str">
        <f>[1]Discovery!B455</f>
        <v>큰가시연꽃</v>
      </c>
      <c r="D449" s="9" t="str">
        <f>[1]Discovery!E455</f>
        <v>식물</v>
      </c>
      <c r="E449" s="9" t="str">
        <f>[1]Discovery!C455</f>
        <v>쌍자엽</v>
      </c>
      <c r="F449" s="9" t="str">
        <f>[1]Discovery!G455</f>
        <v>A</v>
      </c>
      <c r="G449" s="9" t="str">
        <f>IFERROR(VLOOKUP(표1[[#This Row],[명칭]],'문화권 정리'!C:D,2,FALSE),"-")</f>
        <v>남아메리카</v>
      </c>
      <c r="H449" s="38" t="str">
        <f>IFERROR(COUNTIF([2]OceanDoodad!$Y:$Y,표1[[#This Row],[명칭]]),"-")</f>
        <v>-</v>
      </c>
      <c r="I449" s="38">
        <f>IFERROR(COUNTIF([1]AdventureDiscoveryGroup!$D$8:$AW$92,표1[[#This Row],[명칭]]),"-")</f>
        <v>0</v>
      </c>
      <c r="J449" s="38">
        <f>IFERROR(COUNTIF([1]FishDiscoveryGroup!$A:$X,표1[[#This Row],[명칭]]),"-")</f>
        <v>0</v>
      </c>
      <c r="K449" s="38" t="str">
        <f>IFERROR(COUNTIF([2]Town!$B:$B,표1[[#This Row],[명칭]]),"-")</f>
        <v>-</v>
      </c>
      <c r="L449" s="38">
        <f>IFERROR(COUNTIF([1]Village!$BR:$BR,표1[[#This Row],[명칭]]),"-")</f>
        <v>0</v>
      </c>
      <c r="M449" s="38">
        <f>COUNTIF(퀘스트!B:B,표1[[#This Row],[명칭]])</f>
        <v>0</v>
      </c>
      <c r="N449" s="65">
        <f>COUNTIF([1]VillageDiscoveryGroup!$C:$C,표1[[#This Row],[명칭]])</f>
        <v>0</v>
      </c>
      <c r="O449" s="65">
        <f>SUM(표1[[#This Row],[해양탐색]:[마을탐험]])</f>
        <v>0</v>
      </c>
    </row>
    <row r="450" spans="2:15" ht="13.5" customHeight="1" x14ac:dyDescent="0.3">
      <c r="B450" s="9">
        <f>[1]Discovery!A456</f>
        <v>70403128</v>
      </c>
      <c r="C450" s="9" t="str">
        <f>[1]Discovery!B456</f>
        <v>클레로덴드룸</v>
      </c>
      <c r="D450" s="9" t="str">
        <f>[1]Discovery!E456</f>
        <v>식물</v>
      </c>
      <c r="E450" s="9" t="str">
        <f>[1]Discovery!C456</f>
        <v>쌍자엽</v>
      </c>
      <c r="F450" s="9" t="str">
        <f>[1]Discovery!G456</f>
        <v>B</v>
      </c>
      <c r="G450" s="9" t="str">
        <f>IFERROR(VLOOKUP(표1[[#This Row],[명칭]],'문화권 정리'!C:D,2,FALSE),"-")</f>
        <v>동아프리카</v>
      </c>
      <c r="H450" s="38" t="str">
        <f>IFERROR(COUNTIF([2]OceanDoodad!$Y:$Y,표1[[#This Row],[명칭]]),"-")</f>
        <v>-</v>
      </c>
      <c r="I450" s="38">
        <f>IFERROR(COUNTIF([1]AdventureDiscoveryGroup!$D$8:$AW$92,표1[[#This Row],[명칭]]),"-")</f>
        <v>0</v>
      </c>
      <c r="J450" s="38">
        <f>IFERROR(COUNTIF([1]FishDiscoveryGroup!$A:$X,표1[[#This Row],[명칭]]),"-")</f>
        <v>0</v>
      </c>
      <c r="K450" s="38" t="str">
        <f>IFERROR(COUNTIF([2]Town!$B:$B,표1[[#This Row],[명칭]]),"-")</f>
        <v>-</v>
      </c>
      <c r="L450" s="38">
        <f>IFERROR(COUNTIF([1]Village!$BR:$BR,표1[[#This Row],[명칭]]),"-")</f>
        <v>0</v>
      </c>
      <c r="M450" s="38">
        <f>COUNTIF(퀘스트!B:B,표1[[#This Row],[명칭]])</f>
        <v>1</v>
      </c>
      <c r="N450" s="65">
        <f>COUNTIF([1]VillageDiscoveryGroup!$C:$C,표1[[#This Row],[명칭]])</f>
        <v>0</v>
      </c>
      <c r="O450" s="65">
        <f>SUM(표1[[#This Row],[해양탐색]:[마을탐험]])</f>
        <v>1</v>
      </c>
    </row>
    <row r="451" spans="2:15" ht="13.5" customHeight="1" x14ac:dyDescent="0.3">
      <c r="B451" s="9">
        <f>[1]Discovery!A457</f>
        <v>70403129</v>
      </c>
      <c r="C451" s="9" t="str">
        <f>[1]Discovery!B457</f>
        <v>태산목</v>
      </c>
      <c r="D451" s="9" t="str">
        <f>[1]Discovery!E457</f>
        <v>식물</v>
      </c>
      <c r="E451" s="9" t="str">
        <f>[1]Discovery!C457</f>
        <v>쌍자엽</v>
      </c>
      <c r="F451" s="9" t="str">
        <f>[1]Discovery!G457</f>
        <v>C</v>
      </c>
      <c r="G451" s="9" t="str">
        <f>IFERROR(VLOOKUP(표1[[#This Row],[명칭]],'문화권 정리'!C:D,2,FALSE),"-")</f>
        <v>북아메리카</v>
      </c>
      <c r="H451" s="38" t="str">
        <f>IFERROR(COUNTIF([2]OceanDoodad!$Y:$Y,표1[[#This Row],[명칭]]),"-")</f>
        <v>-</v>
      </c>
      <c r="I451" s="38">
        <f>IFERROR(COUNTIF([1]AdventureDiscoveryGroup!$D$8:$AW$92,표1[[#This Row],[명칭]]),"-")</f>
        <v>0</v>
      </c>
      <c r="J451" s="38">
        <f>IFERROR(COUNTIF([1]FishDiscoveryGroup!$A:$X,표1[[#This Row],[명칭]]),"-")</f>
        <v>0</v>
      </c>
      <c r="K451" s="38" t="str">
        <f>IFERROR(COUNTIF([2]Town!$B:$B,표1[[#This Row],[명칭]]),"-")</f>
        <v>-</v>
      </c>
      <c r="L451" s="38">
        <f>IFERROR(COUNTIF([1]Village!$BR:$BR,표1[[#This Row],[명칭]]),"-")</f>
        <v>0</v>
      </c>
      <c r="M451" s="38">
        <f>COUNTIF(퀘스트!B:B,표1[[#This Row],[명칭]])</f>
        <v>0</v>
      </c>
      <c r="N451" s="65">
        <f>COUNTIF([1]VillageDiscoveryGroup!$C:$C,표1[[#This Row],[명칭]])</f>
        <v>1</v>
      </c>
      <c r="O451" s="65">
        <f>SUM(표1[[#This Row],[해양탐색]:[마을탐험]])</f>
        <v>1</v>
      </c>
    </row>
    <row r="452" spans="2:15" ht="13.5" customHeight="1" x14ac:dyDescent="0.3">
      <c r="B452" s="9">
        <f>[1]Discovery!A458</f>
        <v>70403130</v>
      </c>
      <c r="C452" s="9" t="str">
        <f>[1]Discovery!B458</f>
        <v>토끼풀</v>
      </c>
      <c r="D452" s="9" t="str">
        <f>[1]Discovery!E458</f>
        <v>식물</v>
      </c>
      <c r="E452" s="9" t="str">
        <f>[1]Discovery!C458</f>
        <v>쌍자엽</v>
      </c>
      <c r="F452" s="9" t="str">
        <f>[1]Discovery!G458</f>
        <v>D</v>
      </c>
      <c r="G452" s="9" t="str">
        <f>IFERROR(VLOOKUP(표1[[#This Row],[명칭]],'문화권 정리'!C:D,2,FALSE),"-")</f>
        <v>브리튼</v>
      </c>
      <c r="H452" s="38" t="str">
        <f>IFERROR(COUNTIF([2]OceanDoodad!$Y:$Y,표1[[#This Row],[명칭]]),"-")</f>
        <v>-</v>
      </c>
      <c r="I452" s="38">
        <f>IFERROR(COUNTIF([1]AdventureDiscoveryGroup!$D$8:$AW$92,표1[[#This Row],[명칭]]),"-")</f>
        <v>14</v>
      </c>
      <c r="J452" s="38">
        <f>IFERROR(COUNTIF([1]FishDiscoveryGroup!$A:$X,표1[[#This Row],[명칭]]),"-")</f>
        <v>0</v>
      </c>
      <c r="K452" s="38" t="str">
        <f>IFERROR(COUNTIF([2]Town!$B:$B,표1[[#This Row],[명칭]]),"-")</f>
        <v>-</v>
      </c>
      <c r="L452" s="38">
        <f>IFERROR(COUNTIF([1]Village!$BR:$BR,표1[[#This Row],[명칭]]),"-")</f>
        <v>0</v>
      </c>
      <c r="M452" s="38">
        <f>COUNTIF(퀘스트!B:B,표1[[#This Row],[명칭]])</f>
        <v>0</v>
      </c>
      <c r="N452" s="65">
        <f>COUNTIF([1]VillageDiscoveryGroup!$C:$C,표1[[#This Row],[명칭]])</f>
        <v>0</v>
      </c>
      <c r="O452" s="65">
        <f>SUM(표1[[#This Row],[해양탐색]:[마을탐험]])</f>
        <v>14</v>
      </c>
    </row>
    <row r="453" spans="2:15" ht="13.5" customHeight="1" x14ac:dyDescent="0.3">
      <c r="B453" s="9">
        <f>[1]Discovery!A459</f>
        <v>70403131</v>
      </c>
      <c r="C453" s="9" t="str">
        <f>[1]Discovery!B459</f>
        <v>토레니아</v>
      </c>
      <c r="D453" s="9" t="str">
        <f>[1]Discovery!E459</f>
        <v>식물</v>
      </c>
      <c r="E453" s="9" t="str">
        <f>[1]Discovery!C459</f>
        <v>쌍자엽</v>
      </c>
      <c r="F453" s="9" t="str">
        <f>[1]Discovery!G459</f>
        <v>D</v>
      </c>
      <c r="G453" s="9" t="str">
        <f>IFERROR(VLOOKUP(표1[[#This Row],[명칭]],'문화권 정리'!C:D,2,FALSE),"-")</f>
        <v>동남아시아</v>
      </c>
      <c r="H453" s="38" t="str">
        <f>IFERROR(COUNTIF([2]OceanDoodad!$Y:$Y,표1[[#This Row],[명칭]]),"-")</f>
        <v>-</v>
      </c>
      <c r="I453" s="38">
        <f>IFERROR(COUNTIF([1]AdventureDiscoveryGroup!$D$8:$AW$92,표1[[#This Row],[명칭]]),"-")</f>
        <v>1</v>
      </c>
      <c r="J453" s="38">
        <f>IFERROR(COUNTIF([1]FishDiscoveryGroup!$A:$X,표1[[#This Row],[명칭]]),"-")</f>
        <v>0</v>
      </c>
      <c r="K453" s="38" t="str">
        <f>IFERROR(COUNTIF([2]Town!$B:$B,표1[[#This Row],[명칭]]),"-")</f>
        <v>-</v>
      </c>
      <c r="L453" s="38">
        <f>IFERROR(COUNTIF([1]Village!$BR:$BR,표1[[#This Row],[명칭]]),"-")</f>
        <v>0</v>
      </c>
      <c r="M453" s="38">
        <f>COUNTIF(퀘스트!B:B,표1[[#This Row],[명칭]])</f>
        <v>0</v>
      </c>
      <c r="N453" s="65">
        <f>COUNTIF([1]VillageDiscoveryGroup!$C:$C,표1[[#This Row],[명칭]])</f>
        <v>0</v>
      </c>
      <c r="O453" s="65">
        <f>SUM(표1[[#This Row],[해양탐색]:[마을탐험]])</f>
        <v>1</v>
      </c>
    </row>
    <row r="454" spans="2:15" ht="13.5" customHeight="1" x14ac:dyDescent="0.3">
      <c r="B454" s="9">
        <f>[1]Discovery!A460</f>
        <v>70403132</v>
      </c>
      <c r="C454" s="9" t="str">
        <f>[1]Discovery!B460</f>
        <v>튤립</v>
      </c>
      <c r="D454" s="9" t="str">
        <f>[1]Discovery!E460</f>
        <v>식물</v>
      </c>
      <c r="E454" s="9" t="str">
        <f>[1]Discovery!C460</f>
        <v>단자엽</v>
      </c>
      <c r="F454" s="9" t="str">
        <f>[1]Discovery!G460</f>
        <v>D</v>
      </c>
      <c r="G454" s="9" t="str">
        <f>IFERROR(VLOOKUP(표1[[#This Row],[명칭]],'문화권 정리'!C:D,2,FALSE),"-")</f>
        <v>지중해</v>
      </c>
      <c r="H454" s="38" t="str">
        <f>IFERROR(COUNTIF([2]OceanDoodad!$Y:$Y,표1[[#This Row],[명칭]]),"-")</f>
        <v>-</v>
      </c>
      <c r="I454" s="38">
        <f>IFERROR(COUNTIF([1]AdventureDiscoveryGroup!$D$8:$AW$92,표1[[#This Row],[명칭]]),"-")</f>
        <v>1</v>
      </c>
      <c r="J454" s="38">
        <f>IFERROR(COUNTIF([1]FishDiscoveryGroup!$A:$X,표1[[#This Row],[명칭]]),"-")</f>
        <v>0</v>
      </c>
      <c r="K454" s="38" t="str">
        <f>IFERROR(COUNTIF([2]Town!$B:$B,표1[[#This Row],[명칭]]),"-")</f>
        <v>-</v>
      </c>
      <c r="L454" s="38">
        <f>IFERROR(COUNTIF([1]Village!$BR:$BR,표1[[#This Row],[명칭]]),"-")</f>
        <v>0</v>
      </c>
      <c r="M454" s="38">
        <f>COUNTIF(퀘스트!B:B,표1[[#This Row],[명칭]])</f>
        <v>0</v>
      </c>
      <c r="N454" s="65">
        <f>COUNTIF([1]VillageDiscoveryGroup!$C:$C,표1[[#This Row],[명칭]])</f>
        <v>0</v>
      </c>
      <c r="O454" s="65">
        <f>SUM(표1[[#This Row],[해양탐색]:[마을탐험]])</f>
        <v>1</v>
      </c>
    </row>
    <row r="455" spans="2:15" ht="13.5" customHeight="1" x14ac:dyDescent="0.3">
      <c r="B455" s="9">
        <f>[1]Discovery!A461</f>
        <v>70403133</v>
      </c>
      <c r="C455" s="9" t="str">
        <f>[1]Discovery!B461</f>
        <v>틸란드시아</v>
      </c>
      <c r="D455" s="9" t="str">
        <f>[1]Discovery!E461</f>
        <v>식물</v>
      </c>
      <c r="E455" s="9" t="str">
        <f>[1]Discovery!C461</f>
        <v>단자엽</v>
      </c>
      <c r="F455" s="9" t="str">
        <f>[1]Discovery!G461</f>
        <v>A</v>
      </c>
      <c r="G455" s="9" t="str">
        <f>IFERROR(VLOOKUP(표1[[#This Row],[명칭]],'문화권 정리'!C:D,2,FALSE),"-")</f>
        <v>북아메리카</v>
      </c>
      <c r="H455" s="38" t="str">
        <f>IFERROR(COUNTIF([2]OceanDoodad!$Y:$Y,표1[[#This Row],[명칭]]),"-")</f>
        <v>-</v>
      </c>
      <c r="I455" s="38">
        <f>IFERROR(COUNTIF([1]AdventureDiscoveryGroup!$D$8:$AW$92,표1[[#This Row],[명칭]]),"-")</f>
        <v>0</v>
      </c>
      <c r="J455" s="38">
        <f>IFERROR(COUNTIF([1]FishDiscoveryGroup!$A:$X,표1[[#This Row],[명칭]]),"-")</f>
        <v>0</v>
      </c>
      <c r="K455" s="38" t="str">
        <f>IFERROR(COUNTIF([2]Town!$B:$B,표1[[#This Row],[명칭]]),"-")</f>
        <v>-</v>
      </c>
      <c r="L455" s="38">
        <f>IFERROR(COUNTIF([1]Village!$BR:$BR,표1[[#This Row],[명칭]]),"-")</f>
        <v>0</v>
      </c>
      <c r="M455" s="38">
        <f>COUNTIF(퀘스트!B:B,표1[[#This Row],[명칭]])</f>
        <v>0</v>
      </c>
      <c r="N455" s="65">
        <f>COUNTIF([1]VillageDiscoveryGroup!$C:$C,표1[[#This Row],[명칭]])</f>
        <v>0</v>
      </c>
      <c r="O455" s="65">
        <f>SUM(표1[[#This Row],[해양탐색]:[마을탐험]])</f>
        <v>0</v>
      </c>
    </row>
    <row r="456" spans="2:15" ht="13.5" customHeight="1" x14ac:dyDescent="0.3">
      <c r="B456" s="9">
        <f>[1]Discovery!A462</f>
        <v>70403134</v>
      </c>
      <c r="C456" s="9" t="str">
        <f>[1]Discovery!B462</f>
        <v>파리지옥</v>
      </c>
      <c r="D456" s="9" t="str">
        <f>[1]Discovery!E462</f>
        <v>식물</v>
      </c>
      <c r="E456" s="9" t="str">
        <f>[1]Discovery!C462</f>
        <v>쌍자엽</v>
      </c>
      <c r="F456" s="9" t="str">
        <f>[1]Discovery!G462</f>
        <v>B</v>
      </c>
      <c r="G456" s="9" t="str">
        <f>IFERROR(VLOOKUP(표1[[#This Row],[명칭]],'문화권 정리'!C:D,2,FALSE),"-")</f>
        <v>북아메리카</v>
      </c>
      <c r="H456" s="38" t="str">
        <f>IFERROR(COUNTIF([2]OceanDoodad!$Y:$Y,표1[[#This Row],[명칭]]),"-")</f>
        <v>-</v>
      </c>
      <c r="I456" s="38">
        <f>IFERROR(COUNTIF([1]AdventureDiscoveryGroup!$D$8:$AW$92,표1[[#This Row],[명칭]]),"-")</f>
        <v>0</v>
      </c>
      <c r="J456" s="38">
        <f>IFERROR(COUNTIF([1]FishDiscoveryGroup!$A:$X,표1[[#This Row],[명칭]]),"-")</f>
        <v>0</v>
      </c>
      <c r="K456" s="38" t="str">
        <f>IFERROR(COUNTIF([2]Town!$B:$B,표1[[#This Row],[명칭]]),"-")</f>
        <v>-</v>
      </c>
      <c r="L456" s="38">
        <f>IFERROR(COUNTIF([1]Village!$BR:$BR,표1[[#This Row],[명칭]]),"-")</f>
        <v>0</v>
      </c>
      <c r="M456" s="38">
        <f>COUNTIF(퀘스트!B:B,표1[[#This Row],[명칭]])</f>
        <v>0</v>
      </c>
      <c r="N456" s="65">
        <f>COUNTIF([1]VillageDiscoveryGroup!$C:$C,표1[[#This Row],[명칭]])</f>
        <v>0</v>
      </c>
      <c r="O456" s="65">
        <f>SUM(표1[[#This Row],[해양탐색]:[마을탐험]])</f>
        <v>0</v>
      </c>
    </row>
    <row r="457" spans="2:15" ht="13.5" customHeight="1" x14ac:dyDescent="0.3">
      <c r="B457" s="9">
        <f>[1]Discovery!A463</f>
        <v>70403135</v>
      </c>
      <c r="C457" s="9" t="str">
        <f>[1]Discovery!B463</f>
        <v>페요테</v>
      </c>
      <c r="D457" s="9" t="str">
        <f>[1]Discovery!E463</f>
        <v>식물</v>
      </c>
      <c r="E457" s="9" t="str">
        <f>[1]Discovery!C463</f>
        <v>쌍자엽</v>
      </c>
      <c r="F457" s="9" t="str">
        <f>[1]Discovery!G463</f>
        <v>B</v>
      </c>
      <c r="G457" s="9" t="str">
        <f>IFERROR(VLOOKUP(표1[[#This Row],[명칭]],'문화권 정리'!C:D,2,FALSE),"-")</f>
        <v>북아메리카</v>
      </c>
      <c r="H457" s="38" t="str">
        <f>IFERROR(COUNTIF([2]OceanDoodad!$Y:$Y,표1[[#This Row],[명칭]]),"-")</f>
        <v>-</v>
      </c>
      <c r="I457" s="38">
        <f>IFERROR(COUNTIF([1]AdventureDiscoveryGroup!$D$8:$AW$92,표1[[#This Row],[명칭]]),"-")</f>
        <v>1</v>
      </c>
      <c r="J457" s="38">
        <f>IFERROR(COUNTIF([1]FishDiscoveryGroup!$A:$X,표1[[#This Row],[명칭]]),"-")</f>
        <v>0</v>
      </c>
      <c r="K457" s="38" t="str">
        <f>IFERROR(COUNTIF([2]Town!$B:$B,표1[[#This Row],[명칭]]),"-")</f>
        <v>-</v>
      </c>
      <c r="L457" s="38">
        <f>IFERROR(COUNTIF([1]Village!$BR:$BR,표1[[#This Row],[명칭]]),"-")</f>
        <v>0</v>
      </c>
      <c r="M457" s="38">
        <f>COUNTIF(퀘스트!B:B,표1[[#This Row],[명칭]])</f>
        <v>0</v>
      </c>
      <c r="N457" s="65">
        <f>COUNTIF([1]VillageDiscoveryGroup!$C:$C,표1[[#This Row],[명칭]])</f>
        <v>0</v>
      </c>
      <c r="O457" s="65">
        <f>SUM(표1[[#This Row],[해양탐색]:[마을탐험]])</f>
        <v>1</v>
      </c>
    </row>
    <row r="458" spans="2:15" ht="13.5" customHeight="1" x14ac:dyDescent="0.3">
      <c r="B458" s="9" t="str">
        <f>[1]Discovery!A464</f>
        <v>#70403136</v>
      </c>
      <c r="C458" s="9" t="str">
        <f>[1]Discovery!B464</f>
        <v>편백</v>
      </c>
      <c r="D458" s="9" t="str">
        <f>[1]Discovery!E464</f>
        <v>식물</v>
      </c>
      <c r="E458" s="9" t="str">
        <f>[1]Discovery!C464</f>
        <v>없음</v>
      </c>
      <c r="F458" s="9" t="str">
        <f>[1]Discovery!G464</f>
        <v>C</v>
      </c>
      <c r="G458" s="9" t="str">
        <f>IFERROR(VLOOKUP(표1[[#This Row],[명칭]],'문화권 정리'!C:D,2,FALSE),"-")</f>
        <v>동아시아</v>
      </c>
      <c r="H458" s="38" t="str">
        <f>IFERROR(COUNTIF([2]OceanDoodad!$Y:$Y,표1[[#This Row],[명칭]]),"-")</f>
        <v>-</v>
      </c>
      <c r="I458" s="38">
        <f>IFERROR(COUNTIF([1]AdventureDiscoveryGroup!$D$8:$AW$92,표1[[#This Row],[명칭]]),"-")</f>
        <v>0</v>
      </c>
      <c r="J458" s="38">
        <f>IFERROR(COUNTIF([1]FishDiscoveryGroup!$A:$X,표1[[#This Row],[명칭]]),"-")</f>
        <v>0</v>
      </c>
      <c r="K458" s="38" t="str">
        <f>IFERROR(COUNTIF([2]Town!$B:$B,표1[[#This Row],[명칭]]),"-")</f>
        <v>-</v>
      </c>
      <c r="L458" s="38">
        <f>IFERROR(COUNTIF([1]Village!$BR:$BR,표1[[#This Row],[명칭]]),"-")</f>
        <v>0</v>
      </c>
      <c r="M458" s="38">
        <f>COUNTIF(퀘스트!B:B,표1[[#This Row],[명칭]])</f>
        <v>0</v>
      </c>
      <c r="N458" s="65">
        <f>COUNTIF([1]VillageDiscoveryGroup!$C:$C,표1[[#This Row],[명칭]])</f>
        <v>0</v>
      </c>
      <c r="O458" s="65">
        <f>SUM(표1[[#This Row],[해양탐색]:[마을탐험]])</f>
        <v>0</v>
      </c>
    </row>
    <row r="459" spans="2:15" ht="13.5" customHeight="1" x14ac:dyDescent="0.3">
      <c r="B459" s="9">
        <f>[1]Discovery!A465</f>
        <v>70403137</v>
      </c>
      <c r="C459" s="9" t="str">
        <f>[1]Discovery!B465</f>
        <v>포인세티아</v>
      </c>
      <c r="D459" s="9" t="str">
        <f>[1]Discovery!E465</f>
        <v>식물</v>
      </c>
      <c r="E459" s="9" t="str">
        <f>[1]Discovery!C465</f>
        <v>쌍자엽</v>
      </c>
      <c r="F459" s="9" t="str">
        <f>[1]Discovery!G465</f>
        <v>C</v>
      </c>
      <c r="G459" s="9" t="str">
        <f>IFERROR(VLOOKUP(표1[[#This Row],[명칭]],'문화권 정리'!C:D,2,FALSE),"-")</f>
        <v>중앙아메리카</v>
      </c>
      <c r="H459" s="38" t="str">
        <f>IFERROR(COUNTIF([2]OceanDoodad!$Y:$Y,표1[[#This Row],[명칭]]),"-")</f>
        <v>-</v>
      </c>
      <c r="I459" s="38">
        <f>IFERROR(COUNTIF([1]AdventureDiscoveryGroup!$D$8:$AW$92,표1[[#This Row],[명칭]]),"-")</f>
        <v>0</v>
      </c>
      <c r="J459" s="38">
        <f>IFERROR(COUNTIF([1]FishDiscoveryGroup!$A:$X,표1[[#This Row],[명칭]]),"-")</f>
        <v>0</v>
      </c>
      <c r="K459" s="38" t="str">
        <f>IFERROR(COUNTIF([2]Town!$B:$B,표1[[#This Row],[명칭]]),"-")</f>
        <v>-</v>
      </c>
      <c r="L459" s="38">
        <f>IFERROR(COUNTIF([1]Village!$BR:$BR,표1[[#This Row],[명칭]]),"-")</f>
        <v>0</v>
      </c>
      <c r="M459" s="38">
        <f>COUNTIF(퀘스트!B:B,표1[[#This Row],[명칭]])</f>
        <v>0</v>
      </c>
      <c r="N459" s="65">
        <f>COUNTIF([1]VillageDiscoveryGroup!$C:$C,표1[[#This Row],[명칭]])</f>
        <v>1</v>
      </c>
      <c r="O459" s="65">
        <f>SUM(표1[[#This Row],[해양탐색]:[마을탐험]])</f>
        <v>1</v>
      </c>
    </row>
    <row r="460" spans="2:15" ht="13.5" customHeight="1" x14ac:dyDescent="0.3">
      <c r="B460" s="9">
        <f>[1]Discovery!A466</f>
        <v>70403138</v>
      </c>
      <c r="C460" s="9" t="str">
        <f>[1]Discovery!B466</f>
        <v>프로테아</v>
      </c>
      <c r="D460" s="9" t="str">
        <f>[1]Discovery!E466</f>
        <v>식물</v>
      </c>
      <c r="E460" s="9" t="str">
        <f>[1]Discovery!C466</f>
        <v>쌍자엽</v>
      </c>
      <c r="F460" s="9" t="str">
        <f>[1]Discovery!G466</f>
        <v>A</v>
      </c>
      <c r="G460" s="9" t="str">
        <f>IFERROR(VLOOKUP(표1[[#This Row],[명칭]],'문화권 정리'!C:D,2,FALSE),"-")</f>
        <v>남아프리카</v>
      </c>
      <c r="H460" s="38" t="str">
        <f>IFERROR(COUNTIF([2]OceanDoodad!$Y:$Y,표1[[#This Row],[명칭]]),"-")</f>
        <v>-</v>
      </c>
      <c r="I460" s="38">
        <f>IFERROR(COUNTIF([1]AdventureDiscoveryGroup!$D$8:$AW$92,표1[[#This Row],[명칭]]),"-")</f>
        <v>0</v>
      </c>
      <c r="J460" s="38">
        <f>IFERROR(COUNTIF([1]FishDiscoveryGroup!$A:$X,표1[[#This Row],[명칭]]),"-")</f>
        <v>0</v>
      </c>
      <c r="K460" s="38" t="str">
        <f>IFERROR(COUNTIF([2]Town!$B:$B,표1[[#This Row],[명칭]]),"-")</f>
        <v>-</v>
      </c>
      <c r="L460" s="38">
        <f>IFERROR(COUNTIF([1]Village!$BR:$BR,표1[[#This Row],[명칭]]),"-")</f>
        <v>0</v>
      </c>
      <c r="M460" s="38">
        <f>COUNTIF(퀘스트!B:B,표1[[#This Row],[명칭]])</f>
        <v>0</v>
      </c>
      <c r="N460" s="65">
        <f>COUNTIF([1]VillageDiscoveryGroup!$C:$C,표1[[#This Row],[명칭]])</f>
        <v>1</v>
      </c>
      <c r="O460" s="65">
        <f>SUM(표1[[#This Row],[해양탐색]:[마을탐험]])</f>
        <v>1</v>
      </c>
    </row>
    <row r="461" spans="2:15" ht="13.5" customHeight="1" x14ac:dyDescent="0.3">
      <c r="B461" s="9">
        <f>[1]Discovery!A467</f>
        <v>70403139</v>
      </c>
      <c r="C461" s="9" t="str">
        <f>[1]Discovery!B467</f>
        <v>플록스</v>
      </c>
      <c r="D461" s="9" t="str">
        <f>[1]Discovery!E467</f>
        <v>식물</v>
      </c>
      <c r="E461" s="9" t="str">
        <f>[1]Discovery!C467</f>
        <v>쌍자엽</v>
      </c>
      <c r="F461" s="9" t="str">
        <f>[1]Discovery!G467</f>
        <v>C</v>
      </c>
      <c r="G461" s="9" t="str">
        <f>IFERROR(VLOOKUP(표1[[#This Row],[명칭]],'문화권 정리'!C:D,2,FALSE),"-")</f>
        <v>북아메리카</v>
      </c>
      <c r="H461" s="38" t="str">
        <f>IFERROR(COUNTIF([2]OceanDoodad!$Y:$Y,표1[[#This Row],[명칭]]),"-")</f>
        <v>-</v>
      </c>
      <c r="I461" s="38">
        <f>IFERROR(COUNTIF([1]AdventureDiscoveryGroup!$D$8:$AW$92,표1[[#This Row],[명칭]]),"-")</f>
        <v>0</v>
      </c>
      <c r="J461" s="38">
        <f>IFERROR(COUNTIF([1]FishDiscoveryGroup!$A:$X,표1[[#This Row],[명칭]]),"-")</f>
        <v>0</v>
      </c>
      <c r="K461" s="38" t="str">
        <f>IFERROR(COUNTIF([2]Town!$B:$B,표1[[#This Row],[명칭]]),"-")</f>
        <v>-</v>
      </c>
      <c r="L461" s="38">
        <f>IFERROR(COUNTIF([1]Village!$BR:$BR,표1[[#This Row],[명칭]]),"-")</f>
        <v>0</v>
      </c>
      <c r="M461" s="38">
        <f>COUNTIF(퀘스트!B:B,표1[[#This Row],[명칭]])</f>
        <v>0</v>
      </c>
      <c r="N461" s="65">
        <f>COUNTIF([1]VillageDiscoveryGroup!$C:$C,표1[[#This Row],[명칭]])</f>
        <v>1</v>
      </c>
      <c r="O461" s="65">
        <f>SUM(표1[[#This Row],[해양탐색]:[마을탐험]])</f>
        <v>1</v>
      </c>
    </row>
    <row r="462" spans="2:15" ht="13.5" customHeight="1" x14ac:dyDescent="0.3">
      <c r="B462" s="9">
        <f>[1]Discovery!A468</f>
        <v>70403140</v>
      </c>
      <c r="C462" s="9" t="str">
        <f>[1]Discovery!B468</f>
        <v>함박꽃나무</v>
      </c>
      <c r="D462" s="9" t="str">
        <f>[1]Discovery!E468</f>
        <v>식물</v>
      </c>
      <c r="E462" s="9" t="str">
        <f>[1]Discovery!C468</f>
        <v>쌍자엽</v>
      </c>
      <c r="F462" s="9" t="str">
        <f>[1]Discovery!G468</f>
        <v>B</v>
      </c>
      <c r="G462" s="9" t="str">
        <f>IFERROR(VLOOKUP(표1[[#This Row],[명칭]],'문화권 정리'!C:D,2,FALSE),"-")</f>
        <v>동아시아</v>
      </c>
      <c r="H462" s="38" t="str">
        <f>IFERROR(COUNTIF([2]OceanDoodad!$Y:$Y,표1[[#This Row],[명칭]]),"-")</f>
        <v>-</v>
      </c>
      <c r="I462" s="38">
        <f>IFERROR(COUNTIF([1]AdventureDiscoveryGroup!$D$8:$AW$92,표1[[#This Row],[명칭]]),"-")</f>
        <v>0</v>
      </c>
      <c r="J462" s="38">
        <f>IFERROR(COUNTIF([1]FishDiscoveryGroup!$A:$X,표1[[#This Row],[명칭]]),"-")</f>
        <v>0</v>
      </c>
      <c r="K462" s="38" t="str">
        <f>IFERROR(COUNTIF([2]Town!$B:$B,표1[[#This Row],[명칭]]),"-")</f>
        <v>-</v>
      </c>
      <c r="L462" s="38">
        <f>IFERROR(COUNTIF([1]Village!$BR:$BR,표1[[#This Row],[명칭]]),"-")</f>
        <v>0</v>
      </c>
      <c r="M462" s="38">
        <f>COUNTIF(퀘스트!B:B,표1[[#This Row],[명칭]])</f>
        <v>0</v>
      </c>
      <c r="N462" s="65">
        <f>COUNTIF([1]VillageDiscoveryGroup!$C:$C,표1[[#This Row],[명칭]])</f>
        <v>0</v>
      </c>
      <c r="O462" s="65">
        <f>SUM(표1[[#This Row],[해양탐색]:[마을탐험]])</f>
        <v>0</v>
      </c>
    </row>
    <row r="463" spans="2:15" ht="13.5" customHeight="1" x14ac:dyDescent="0.3">
      <c r="B463" s="9">
        <f>[1]Discovery!A469</f>
        <v>70403141</v>
      </c>
      <c r="C463" s="9" t="str">
        <f>[1]Discovery!B469</f>
        <v>호접란</v>
      </c>
      <c r="D463" s="9" t="str">
        <f>[1]Discovery!E469</f>
        <v>식물</v>
      </c>
      <c r="E463" s="9" t="str">
        <f>[1]Discovery!C469</f>
        <v>단자엽</v>
      </c>
      <c r="F463" s="9" t="str">
        <f>[1]Discovery!G469</f>
        <v>A</v>
      </c>
      <c r="G463" s="9" t="str">
        <f>IFERROR(VLOOKUP(표1[[#This Row],[명칭]],'문화권 정리'!C:D,2,FALSE),"-")</f>
        <v>동남아시아</v>
      </c>
      <c r="H463" s="38" t="str">
        <f>IFERROR(COUNTIF([2]OceanDoodad!$Y:$Y,표1[[#This Row],[명칭]]),"-")</f>
        <v>-</v>
      </c>
      <c r="I463" s="38">
        <f>IFERROR(COUNTIF([1]AdventureDiscoveryGroup!$D$8:$AW$92,표1[[#This Row],[명칭]]),"-")</f>
        <v>1</v>
      </c>
      <c r="J463" s="38">
        <f>IFERROR(COUNTIF([1]FishDiscoveryGroup!$A:$X,표1[[#This Row],[명칭]]),"-")</f>
        <v>0</v>
      </c>
      <c r="K463" s="38" t="str">
        <f>IFERROR(COUNTIF([2]Town!$B:$B,표1[[#This Row],[명칭]]),"-")</f>
        <v>-</v>
      </c>
      <c r="L463" s="38">
        <f>IFERROR(COUNTIF([1]Village!$BR:$BR,표1[[#This Row],[명칭]]),"-")</f>
        <v>0</v>
      </c>
      <c r="M463" s="38">
        <f>COUNTIF(퀘스트!B:B,표1[[#This Row],[명칭]])</f>
        <v>0</v>
      </c>
      <c r="N463" s="65">
        <f>COUNTIF([1]VillageDiscoveryGroup!$C:$C,표1[[#This Row],[명칭]])</f>
        <v>0</v>
      </c>
      <c r="O463" s="65">
        <f>SUM(표1[[#This Row],[해양탐색]:[마을탐험]])</f>
        <v>1</v>
      </c>
    </row>
    <row r="464" spans="2:15" ht="13.5" customHeight="1" x14ac:dyDescent="0.3">
      <c r="B464" s="9" t="str">
        <f>[1]Discovery!A470</f>
        <v>#70403142</v>
      </c>
      <c r="C464" s="9" t="str">
        <f>[1]Discovery!B470</f>
        <v>화경버섯</v>
      </c>
      <c r="D464" s="9" t="str">
        <f>[1]Discovery!E470</f>
        <v>식물</v>
      </c>
      <c r="E464" s="9" t="str">
        <f>[1]Discovery!C470</f>
        <v>없음</v>
      </c>
      <c r="F464" s="9" t="str">
        <f>[1]Discovery!G470</f>
        <v>B</v>
      </c>
      <c r="G464" s="9" t="str">
        <f>IFERROR(VLOOKUP(표1[[#This Row],[명칭]],'문화권 정리'!C:D,2,FALSE),"-")</f>
        <v>동아시아</v>
      </c>
      <c r="H464" s="38" t="str">
        <f>IFERROR(COUNTIF([2]OceanDoodad!$Y:$Y,표1[[#This Row],[명칭]]),"-")</f>
        <v>-</v>
      </c>
      <c r="I464" s="38">
        <f>IFERROR(COUNTIF([1]AdventureDiscoveryGroup!$D$8:$AW$92,표1[[#This Row],[명칭]]),"-")</f>
        <v>0</v>
      </c>
      <c r="J464" s="38">
        <f>IFERROR(COUNTIF([1]FishDiscoveryGroup!$A:$X,표1[[#This Row],[명칭]]),"-")</f>
        <v>0</v>
      </c>
      <c r="K464" s="38" t="str">
        <f>IFERROR(COUNTIF([2]Town!$B:$B,표1[[#This Row],[명칭]]),"-")</f>
        <v>-</v>
      </c>
      <c r="L464" s="38">
        <f>IFERROR(COUNTIF([1]Village!$BR:$BR,표1[[#This Row],[명칭]]),"-")</f>
        <v>0</v>
      </c>
      <c r="M464" s="38">
        <f>COUNTIF(퀘스트!B:B,표1[[#This Row],[명칭]])</f>
        <v>0</v>
      </c>
      <c r="N464" s="65">
        <f>COUNTIF([1]VillageDiscoveryGroup!$C:$C,표1[[#This Row],[명칭]])</f>
        <v>0</v>
      </c>
      <c r="O464" s="65">
        <f>SUM(표1[[#This Row],[해양탐색]:[마을탐험]])</f>
        <v>0</v>
      </c>
    </row>
    <row r="465" spans="2:15" ht="13.5" customHeight="1" x14ac:dyDescent="0.3">
      <c r="B465" s="9">
        <f>[1]Discovery!A471</f>
        <v>70403143</v>
      </c>
      <c r="C465" s="9" t="str">
        <f>[1]Discovery!B471</f>
        <v>화염목</v>
      </c>
      <c r="D465" s="9" t="str">
        <f>[1]Discovery!E471</f>
        <v>식물</v>
      </c>
      <c r="E465" s="9" t="str">
        <f>[1]Discovery!C471</f>
        <v>쌍자엽</v>
      </c>
      <c r="F465" s="9" t="str">
        <f>[1]Discovery!G471</f>
        <v>C</v>
      </c>
      <c r="G465" s="9" t="str">
        <f>IFERROR(VLOOKUP(표1[[#This Row],[명칭]],'문화권 정리'!C:D,2,FALSE),"-")</f>
        <v>서아프리카</v>
      </c>
      <c r="H465" s="38" t="str">
        <f>IFERROR(COUNTIF([2]OceanDoodad!$Y:$Y,표1[[#This Row],[명칭]]),"-")</f>
        <v>-</v>
      </c>
      <c r="I465" s="38">
        <f>IFERROR(COUNTIF([1]AdventureDiscoveryGroup!$D$8:$AW$92,표1[[#This Row],[명칭]]),"-")</f>
        <v>0</v>
      </c>
      <c r="J465" s="38">
        <f>IFERROR(COUNTIF([1]FishDiscoveryGroup!$A:$X,표1[[#This Row],[명칭]]),"-")</f>
        <v>0</v>
      </c>
      <c r="K465" s="38" t="str">
        <f>IFERROR(COUNTIF([2]Town!$B:$B,표1[[#This Row],[명칭]]),"-")</f>
        <v>-</v>
      </c>
      <c r="L465" s="38">
        <f>IFERROR(COUNTIF([1]Village!$BR:$BR,표1[[#This Row],[명칭]]),"-")</f>
        <v>0</v>
      </c>
      <c r="M465" s="38">
        <f>COUNTIF(퀘스트!B:B,표1[[#This Row],[명칭]])</f>
        <v>0</v>
      </c>
      <c r="N465" s="65">
        <f>COUNTIF([1]VillageDiscoveryGroup!$C:$C,표1[[#This Row],[명칭]])</f>
        <v>1</v>
      </c>
      <c r="O465" s="65">
        <f>SUM(표1[[#This Row],[해양탐색]:[마을탐험]])</f>
        <v>1</v>
      </c>
    </row>
    <row r="466" spans="2:15" ht="13.5" customHeight="1" x14ac:dyDescent="0.3">
      <c r="B466" s="9">
        <f>[1]Discovery!A472</f>
        <v>70403144</v>
      </c>
      <c r="C466" s="9" t="str">
        <f>[1]Discovery!B472</f>
        <v>회화나무</v>
      </c>
      <c r="D466" s="9" t="str">
        <f>[1]Discovery!E472</f>
        <v>식물</v>
      </c>
      <c r="E466" s="9" t="str">
        <f>[1]Discovery!C472</f>
        <v>쌍자엽</v>
      </c>
      <c r="F466" s="9" t="str">
        <f>[1]Discovery!G472</f>
        <v>B</v>
      </c>
      <c r="G466" s="9" t="str">
        <f>IFERROR(VLOOKUP(표1[[#This Row],[명칭]],'문화권 정리'!C:D,2,FALSE),"-")</f>
        <v>동아시아</v>
      </c>
      <c r="H466" s="38" t="str">
        <f>IFERROR(COUNTIF([2]OceanDoodad!$Y:$Y,표1[[#This Row],[명칭]]),"-")</f>
        <v>-</v>
      </c>
      <c r="I466" s="38">
        <f>IFERROR(COUNTIF([1]AdventureDiscoveryGroup!$D$8:$AW$92,표1[[#This Row],[명칭]]),"-")</f>
        <v>0</v>
      </c>
      <c r="J466" s="38">
        <f>IFERROR(COUNTIF([1]FishDiscoveryGroup!$A:$X,표1[[#This Row],[명칭]]),"-")</f>
        <v>0</v>
      </c>
      <c r="K466" s="38" t="str">
        <f>IFERROR(COUNTIF([2]Town!$B:$B,표1[[#This Row],[명칭]]),"-")</f>
        <v>-</v>
      </c>
      <c r="L466" s="38">
        <f>IFERROR(COUNTIF([1]Village!$BR:$BR,표1[[#This Row],[명칭]]),"-")</f>
        <v>0</v>
      </c>
      <c r="M466" s="38">
        <f>COUNTIF(퀘스트!B:B,표1[[#This Row],[명칭]])</f>
        <v>0</v>
      </c>
      <c r="N466" s="65">
        <f>COUNTIF([1]VillageDiscoveryGroup!$C:$C,표1[[#This Row],[명칭]])</f>
        <v>0</v>
      </c>
      <c r="O466" s="65">
        <f>SUM(표1[[#This Row],[해양탐색]:[마을탐험]])</f>
        <v>0</v>
      </c>
    </row>
    <row r="467" spans="2:15" ht="13.5" customHeight="1" x14ac:dyDescent="0.3">
      <c r="B467" s="9">
        <f>[1]Discovery!A473</f>
        <v>70403145</v>
      </c>
      <c r="C467" s="9" t="str">
        <f>[1]Discovery!B473</f>
        <v>흑종초</v>
      </c>
      <c r="D467" s="9" t="str">
        <f>[1]Discovery!E473</f>
        <v>식물</v>
      </c>
      <c r="E467" s="9" t="str">
        <f>[1]Discovery!C473</f>
        <v>쌍자엽</v>
      </c>
      <c r="F467" s="9" t="str">
        <f>[1]Discovery!G473</f>
        <v>A</v>
      </c>
      <c r="G467" s="9" t="str">
        <f>IFERROR(VLOOKUP(표1[[#This Row],[명칭]],'문화권 정리'!C:D,2,FALSE),"-")</f>
        <v>지중해</v>
      </c>
      <c r="H467" s="38" t="str">
        <f>IFERROR(COUNTIF([2]OceanDoodad!$Y:$Y,표1[[#This Row],[명칭]]),"-")</f>
        <v>-</v>
      </c>
      <c r="I467" s="38">
        <f>IFERROR(COUNTIF([1]AdventureDiscoveryGroup!$D$8:$AW$92,표1[[#This Row],[명칭]]),"-")</f>
        <v>1</v>
      </c>
      <c r="J467" s="38">
        <f>IFERROR(COUNTIF([1]FishDiscoveryGroup!$A:$X,표1[[#This Row],[명칭]]),"-")</f>
        <v>0</v>
      </c>
      <c r="K467" s="38" t="str">
        <f>IFERROR(COUNTIF([2]Town!$B:$B,표1[[#This Row],[명칭]]),"-")</f>
        <v>-</v>
      </c>
      <c r="L467" s="38">
        <f>IFERROR(COUNTIF([1]Village!$BR:$BR,표1[[#This Row],[명칭]]),"-")</f>
        <v>0</v>
      </c>
      <c r="M467" s="38">
        <f>COUNTIF(퀘스트!B:B,표1[[#This Row],[명칭]])</f>
        <v>0</v>
      </c>
      <c r="N467" s="65">
        <f>COUNTIF([1]VillageDiscoveryGroup!$C:$C,표1[[#This Row],[명칭]])</f>
        <v>0</v>
      </c>
      <c r="O467" s="65">
        <f>SUM(표1[[#This Row],[해양탐색]:[마을탐험]])</f>
        <v>1</v>
      </c>
    </row>
    <row r="468" spans="2:15" ht="13.5" customHeight="1" x14ac:dyDescent="0.3">
      <c r="B468" s="9">
        <f>[1]Discovery!A474</f>
        <v>70403146</v>
      </c>
      <c r="C468" s="9" t="str">
        <f>[1]Discovery!B474</f>
        <v>히드노라 아프리카나</v>
      </c>
      <c r="D468" s="9" t="str">
        <f>[1]Discovery!E474</f>
        <v>식물</v>
      </c>
      <c r="E468" s="9" t="str">
        <f>[1]Discovery!C474</f>
        <v>쌍자엽</v>
      </c>
      <c r="F468" s="9" t="str">
        <f>[1]Discovery!G474</f>
        <v>S</v>
      </c>
      <c r="G468" s="9" t="str">
        <f>IFERROR(VLOOKUP(표1[[#This Row],[명칭]],'문화권 정리'!C:D,2,FALSE),"-")</f>
        <v>남아프리카</v>
      </c>
      <c r="H468" s="38" t="str">
        <f>IFERROR(COUNTIF([2]OceanDoodad!$Y:$Y,표1[[#This Row],[명칭]]),"-")</f>
        <v>-</v>
      </c>
      <c r="I468" s="38">
        <f>IFERROR(COUNTIF([1]AdventureDiscoveryGroup!$D$8:$AW$92,표1[[#This Row],[명칭]]),"-")</f>
        <v>0</v>
      </c>
      <c r="J468" s="38">
        <f>IFERROR(COUNTIF([1]FishDiscoveryGroup!$A:$X,표1[[#This Row],[명칭]]),"-")</f>
        <v>0</v>
      </c>
      <c r="K468" s="38" t="str">
        <f>IFERROR(COUNTIF([2]Town!$B:$B,표1[[#This Row],[명칭]]),"-")</f>
        <v>-</v>
      </c>
      <c r="L468" s="38">
        <f>IFERROR(COUNTIF([1]Village!$BR:$BR,표1[[#This Row],[명칭]]),"-")</f>
        <v>0</v>
      </c>
      <c r="M468" s="38">
        <f>COUNTIF(퀘스트!B:B,표1[[#This Row],[명칭]])</f>
        <v>1</v>
      </c>
      <c r="N468" s="65">
        <f>COUNTIF([1]VillageDiscoveryGroup!$C:$C,표1[[#This Row],[명칭]])</f>
        <v>0</v>
      </c>
      <c r="O468" s="65">
        <f>SUM(표1[[#This Row],[해양탐색]:[마을탐험]])</f>
        <v>1</v>
      </c>
    </row>
    <row r="469" spans="2:15" ht="13.5" customHeight="1" x14ac:dyDescent="0.3">
      <c r="B469" s="9">
        <f>[1]Discovery!A475</f>
        <v>70403147</v>
      </c>
      <c r="C469" s="9" t="str">
        <f>[1]Discovery!B475</f>
        <v>히아신스</v>
      </c>
      <c r="D469" s="9" t="str">
        <f>[1]Discovery!E475</f>
        <v>식물</v>
      </c>
      <c r="E469" s="9" t="str">
        <f>[1]Discovery!C475</f>
        <v>단자엽</v>
      </c>
      <c r="F469" s="9" t="str">
        <f>[1]Discovery!G475</f>
        <v>D</v>
      </c>
      <c r="G469" s="9" t="str">
        <f>IFERROR(VLOOKUP(표1[[#This Row],[명칭]],'문화권 정리'!C:D,2,FALSE),"-")</f>
        <v>지중해</v>
      </c>
      <c r="H469" s="38" t="str">
        <f>IFERROR(COUNTIF([2]OceanDoodad!$Y:$Y,표1[[#This Row],[명칭]]),"-")</f>
        <v>-</v>
      </c>
      <c r="I469" s="38">
        <f>IFERROR(COUNTIF([1]AdventureDiscoveryGroup!$D$8:$AW$92,표1[[#This Row],[명칭]]),"-")</f>
        <v>0</v>
      </c>
      <c r="J469" s="38">
        <f>IFERROR(COUNTIF([1]FishDiscoveryGroup!$A:$X,표1[[#This Row],[명칭]]),"-")</f>
        <v>0</v>
      </c>
      <c r="K469" s="38" t="str">
        <f>IFERROR(COUNTIF([2]Town!$B:$B,표1[[#This Row],[명칭]]),"-")</f>
        <v>-</v>
      </c>
      <c r="L469" s="38">
        <f>IFERROR(COUNTIF([1]Village!$BR:$BR,표1[[#This Row],[명칭]]),"-")</f>
        <v>0</v>
      </c>
      <c r="M469" s="38">
        <f>COUNTIF(퀘스트!B:B,표1[[#This Row],[명칭]])</f>
        <v>1</v>
      </c>
      <c r="N469" s="65">
        <f>COUNTIF([1]VillageDiscoveryGroup!$C:$C,표1[[#This Row],[명칭]])</f>
        <v>0</v>
      </c>
      <c r="O469" s="65">
        <f>SUM(표1[[#This Row],[해양탐색]:[마을탐험]])</f>
        <v>1</v>
      </c>
    </row>
    <row r="470" spans="2:15" ht="13.5" customHeight="1" x14ac:dyDescent="0.3">
      <c r="B470" s="9">
        <f>[1]Discovery!A476</f>
        <v>70403148</v>
      </c>
      <c r="C470" s="9" t="str">
        <f>[1]Discovery!B476</f>
        <v>남극좀새풀</v>
      </c>
      <c r="D470" s="9" t="str">
        <f>[1]Discovery!E476</f>
        <v>식물</v>
      </c>
      <c r="E470" s="9" t="str">
        <f>[1]Discovery!C476</f>
        <v>단자엽</v>
      </c>
      <c r="F470" s="9" t="str">
        <f>[1]Discovery!G476</f>
        <v>B</v>
      </c>
      <c r="G470" s="9" t="str">
        <f>IFERROR(VLOOKUP(표1[[#This Row],[명칭]],'문화권 정리'!C:D,2,FALSE),"-")</f>
        <v>극지방</v>
      </c>
      <c r="H470" s="38" t="str">
        <f>IFERROR(COUNTIF([2]OceanDoodad!$Y:$Y,표1[[#This Row],[명칭]]),"-")</f>
        <v>-</v>
      </c>
      <c r="I470" s="38">
        <f>IFERROR(COUNTIF([1]AdventureDiscoveryGroup!$D$8:$AW$92,표1[[#This Row],[명칭]]),"-")</f>
        <v>0</v>
      </c>
      <c r="J470" s="38">
        <f>IFERROR(COUNTIF([1]FishDiscoveryGroup!$A:$X,표1[[#This Row],[명칭]]),"-")</f>
        <v>0</v>
      </c>
      <c r="K470" s="38" t="str">
        <f>IFERROR(COUNTIF([2]Town!$B:$B,표1[[#This Row],[명칭]]),"-")</f>
        <v>-</v>
      </c>
      <c r="L470" s="38">
        <f>IFERROR(COUNTIF([1]Village!$BR:$BR,표1[[#This Row],[명칭]]),"-")</f>
        <v>0</v>
      </c>
      <c r="M470" s="38">
        <f>COUNTIF(퀘스트!B:B,표1[[#This Row],[명칭]])</f>
        <v>0</v>
      </c>
      <c r="N470" s="65">
        <f>COUNTIF([1]VillageDiscoveryGroup!$C:$C,표1[[#This Row],[명칭]])</f>
        <v>0</v>
      </c>
      <c r="O470" s="65">
        <f>SUM(표1[[#This Row],[해양탐색]:[마을탐험]])</f>
        <v>0</v>
      </c>
    </row>
    <row r="471" spans="2:15" ht="13.5" customHeight="1" x14ac:dyDescent="0.3">
      <c r="B471" s="9">
        <f>[1]Discovery!A477</f>
        <v>70403149</v>
      </c>
      <c r="C471" s="9" t="str">
        <f>[1]Discovery!B477</f>
        <v>산솔이끼</v>
      </c>
      <c r="D471" s="9" t="str">
        <f>[1]Discovery!E477</f>
        <v>식물</v>
      </c>
      <c r="E471" s="9" t="str">
        <f>[1]Discovery!C477</f>
        <v>단자엽</v>
      </c>
      <c r="F471" s="9" t="str">
        <f>[1]Discovery!G477</f>
        <v>C</v>
      </c>
      <c r="G471" s="9" t="str">
        <f>IFERROR(VLOOKUP(표1[[#This Row],[명칭]],'문화권 정리'!C:D,2,FALSE),"-")</f>
        <v>극지방</v>
      </c>
      <c r="H471" s="38" t="str">
        <f>IFERROR(COUNTIF([2]OceanDoodad!$Y:$Y,표1[[#This Row],[명칭]]),"-")</f>
        <v>-</v>
      </c>
      <c r="I471" s="38">
        <f>IFERROR(COUNTIF([1]AdventureDiscoveryGroup!$D$8:$AW$92,표1[[#This Row],[명칭]]),"-")</f>
        <v>0</v>
      </c>
      <c r="J471" s="38">
        <f>IFERROR(COUNTIF([1]FishDiscoveryGroup!$A:$X,표1[[#This Row],[명칭]]),"-")</f>
        <v>0</v>
      </c>
      <c r="K471" s="38" t="str">
        <f>IFERROR(COUNTIF([2]Town!$B:$B,표1[[#This Row],[명칭]]),"-")</f>
        <v>-</v>
      </c>
      <c r="L471" s="38">
        <f>IFERROR(COUNTIF([1]Village!$BR:$BR,표1[[#This Row],[명칭]]),"-")</f>
        <v>0</v>
      </c>
      <c r="M471" s="38">
        <f>COUNTIF(퀘스트!B:B,표1[[#This Row],[명칭]])</f>
        <v>0</v>
      </c>
      <c r="N471" s="65">
        <f>COUNTIF([1]VillageDiscoveryGroup!$C:$C,표1[[#This Row],[명칭]])</f>
        <v>0</v>
      </c>
      <c r="O471" s="65">
        <f>SUM(표1[[#This Row],[해양탐색]:[마을탐험]])</f>
        <v>0</v>
      </c>
    </row>
    <row r="472" spans="2:15" ht="13.5" customHeight="1" x14ac:dyDescent="0.3">
      <c r="B472" s="9">
        <f>[1]Discovery!A478</f>
        <v>70403150</v>
      </c>
      <c r="C472" s="9" t="str">
        <f>[1]Discovery!B478</f>
        <v>침솔이끼</v>
      </c>
      <c r="D472" s="9" t="str">
        <f>[1]Discovery!E478</f>
        <v>식물</v>
      </c>
      <c r="E472" s="9" t="str">
        <f>[1]Discovery!C478</f>
        <v>단자엽</v>
      </c>
      <c r="F472" s="9" t="str">
        <f>[1]Discovery!G478</f>
        <v>C</v>
      </c>
      <c r="G472" s="9" t="str">
        <f>IFERROR(VLOOKUP(표1[[#This Row],[명칭]],'문화권 정리'!C:D,2,FALSE),"-")</f>
        <v>극지방</v>
      </c>
      <c r="H472" s="38" t="str">
        <f>IFERROR(COUNTIF([2]OceanDoodad!$Y:$Y,표1[[#This Row],[명칭]]),"-")</f>
        <v>-</v>
      </c>
      <c r="I472" s="38">
        <f>IFERROR(COUNTIF([1]AdventureDiscoveryGroup!$D$8:$AW$92,표1[[#This Row],[명칭]]),"-")</f>
        <v>0</v>
      </c>
      <c r="J472" s="38">
        <f>IFERROR(COUNTIF([1]FishDiscoveryGroup!$A:$X,표1[[#This Row],[명칭]]),"-")</f>
        <v>0</v>
      </c>
      <c r="K472" s="38" t="str">
        <f>IFERROR(COUNTIF([2]Town!$B:$B,표1[[#This Row],[명칭]]),"-")</f>
        <v>-</v>
      </c>
      <c r="L472" s="38">
        <f>IFERROR(COUNTIF([1]Village!$BR:$BR,표1[[#This Row],[명칭]]),"-")</f>
        <v>0</v>
      </c>
      <c r="M472" s="38">
        <f>COUNTIF(퀘스트!B:B,표1[[#This Row],[명칭]])</f>
        <v>0</v>
      </c>
      <c r="N472" s="65">
        <f>COUNTIF([1]VillageDiscoveryGroup!$C:$C,표1[[#This Row],[명칭]])</f>
        <v>0</v>
      </c>
      <c r="O472" s="65">
        <f>SUM(표1[[#This Row],[해양탐색]:[마을탐험]])</f>
        <v>0</v>
      </c>
    </row>
    <row r="473" spans="2:15" ht="13.5" customHeight="1" x14ac:dyDescent="0.3">
      <c r="B473" s="9">
        <f>[1]Discovery!A479</f>
        <v>70403151</v>
      </c>
      <c r="C473" s="9" t="str">
        <f>[1]Discovery!B479</f>
        <v>작은검정이끼</v>
      </c>
      <c r="D473" s="9" t="str">
        <f>[1]Discovery!E479</f>
        <v>식물</v>
      </c>
      <c r="E473" s="9" t="str">
        <f>[1]Discovery!C479</f>
        <v>단자엽</v>
      </c>
      <c r="F473" s="9" t="str">
        <f>[1]Discovery!G479</f>
        <v>C</v>
      </c>
      <c r="G473" s="9" t="str">
        <f>IFERROR(VLOOKUP(표1[[#This Row],[명칭]],'문화권 정리'!C:D,2,FALSE),"-")</f>
        <v>극지방</v>
      </c>
      <c r="H473" s="38" t="str">
        <f>IFERROR(COUNTIF([2]OceanDoodad!$Y:$Y,표1[[#This Row],[명칭]]),"-")</f>
        <v>-</v>
      </c>
      <c r="I473" s="38">
        <f>IFERROR(COUNTIF([1]AdventureDiscoveryGroup!$D$8:$AW$92,표1[[#This Row],[명칭]]),"-")</f>
        <v>0</v>
      </c>
      <c r="J473" s="38">
        <f>IFERROR(COUNTIF([1]FishDiscoveryGroup!$A:$X,표1[[#This Row],[명칭]]),"-")</f>
        <v>0</v>
      </c>
      <c r="K473" s="38" t="str">
        <f>IFERROR(COUNTIF([2]Town!$B:$B,표1[[#This Row],[명칭]]),"-")</f>
        <v>-</v>
      </c>
      <c r="L473" s="38">
        <f>IFERROR(COUNTIF([1]Village!$BR:$BR,표1[[#This Row],[명칭]]),"-")</f>
        <v>0</v>
      </c>
      <c r="M473" s="38">
        <f>COUNTIF(퀘스트!B:B,표1[[#This Row],[명칭]])</f>
        <v>0</v>
      </c>
      <c r="N473" s="65">
        <f>COUNTIF([1]VillageDiscoveryGroup!$C:$C,표1[[#This Row],[명칭]])</f>
        <v>0</v>
      </c>
      <c r="O473" s="65">
        <f>SUM(표1[[#This Row],[해양탐색]:[마을탐험]])</f>
        <v>0</v>
      </c>
    </row>
    <row r="474" spans="2:15" ht="13.5" customHeight="1" x14ac:dyDescent="0.3">
      <c r="B474" s="9">
        <f>[1]Discovery!A480</f>
        <v>70403152</v>
      </c>
      <c r="C474" s="9" t="str">
        <f>[1]Discovery!B480</f>
        <v>낫깃털이끼</v>
      </c>
      <c r="D474" s="9" t="str">
        <f>[1]Discovery!E480</f>
        <v>식물</v>
      </c>
      <c r="E474" s="9" t="str">
        <f>[1]Discovery!C480</f>
        <v>단자엽</v>
      </c>
      <c r="F474" s="9" t="str">
        <f>[1]Discovery!G480</f>
        <v>B</v>
      </c>
      <c r="G474" s="9" t="str">
        <f>IFERROR(VLOOKUP(표1[[#This Row],[명칭]],'문화권 정리'!C:D,2,FALSE),"-")</f>
        <v>극지방</v>
      </c>
      <c r="H474" s="38" t="str">
        <f>IFERROR(COUNTIF([2]OceanDoodad!$Y:$Y,표1[[#This Row],[명칭]]),"-")</f>
        <v>-</v>
      </c>
      <c r="I474" s="38">
        <f>IFERROR(COUNTIF([1]AdventureDiscoveryGroup!$D$8:$AW$92,표1[[#This Row],[명칭]]),"-")</f>
        <v>0</v>
      </c>
      <c r="J474" s="38">
        <f>IFERROR(COUNTIF([1]FishDiscoveryGroup!$A:$X,표1[[#This Row],[명칭]]),"-")</f>
        <v>0</v>
      </c>
      <c r="K474" s="38" t="str">
        <f>IFERROR(COUNTIF([2]Town!$B:$B,표1[[#This Row],[명칭]]),"-")</f>
        <v>-</v>
      </c>
      <c r="L474" s="38">
        <f>IFERROR(COUNTIF([1]Village!$BR:$BR,표1[[#This Row],[명칭]]),"-")</f>
        <v>0</v>
      </c>
      <c r="M474" s="38">
        <f>COUNTIF(퀘스트!B:B,표1[[#This Row],[명칭]])</f>
        <v>0</v>
      </c>
      <c r="N474" s="65">
        <f>COUNTIF([1]VillageDiscoveryGroup!$C:$C,표1[[#This Row],[명칭]])</f>
        <v>0</v>
      </c>
      <c r="O474" s="65">
        <f>SUM(표1[[#This Row],[해양탐색]:[마을탐험]])</f>
        <v>0</v>
      </c>
    </row>
    <row r="475" spans="2:15" ht="13.5" customHeight="1" x14ac:dyDescent="0.3">
      <c r="B475" s="9">
        <f>[1]Discovery!A481</f>
        <v>70403153</v>
      </c>
      <c r="C475" s="9" t="str">
        <f>[1]Discovery!B481</f>
        <v>남극구슬이끼</v>
      </c>
      <c r="D475" s="9" t="str">
        <f>[1]Discovery!E481</f>
        <v>식물</v>
      </c>
      <c r="E475" s="9" t="str">
        <f>[1]Discovery!C481</f>
        <v>단자엽</v>
      </c>
      <c r="F475" s="9" t="str">
        <f>[1]Discovery!G481</f>
        <v>C</v>
      </c>
      <c r="G475" s="9" t="str">
        <f>IFERROR(VLOOKUP(표1[[#This Row],[명칭]],'문화권 정리'!C:D,2,FALSE),"-")</f>
        <v>극지방</v>
      </c>
      <c r="H475" s="38" t="str">
        <f>IFERROR(COUNTIF([2]OceanDoodad!$Y:$Y,표1[[#This Row],[명칭]]),"-")</f>
        <v>-</v>
      </c>
      <c r="I475" s="38">
        <f>IFERROR(COUNTIF([1]AdventureDiscoveryGroup!$D$8:$AW$92,표1[[#This Row],[명칭]]),"-")</f>
        <v>0</v>
      </c>
      <c r="J475" s="38">
        <f>IFERROR(COUNTIF([1]FishDiscoveryGroup!$A:$X,표1[[#This Row],[명칭]]),"-")</f>
        <v>0</v>
      </c>
      <c r="K475" s="38" t="str">
        <f>IFERROR(COUNTIF([2]Town!$B:$B,표1[[#This Row],[명칭]]),"-")</f>
        <v>-</v>
      </c>
      <c r="L475" s="38">
        <f>IFERROR(COUNTIF([1]Village!$BR:$BR,표1[[#This Row],[명칭]]),"-")</f>
        <v>0</v>
      </c>
      <c r="M475" s="38">
        <f>COUNTIF(퀘스트!B:B,표1[[#This Row],[명칭]])</f>
        <v>0</v>
      </c>
      <c r="N475" s="65">
        <f>COUNTIF([1]VillageDiscoveryGroup!$C:$C,표1[[#This Row],[명칭]])</f>
        <v>0</v>
      </c>
      <c r="O475" s="65">
        <f>SUM(표1[[#This Row],[해양탐색]:[마을탐험]])</f>
        <v>0</v>
      </c>
    </row>
    <row r="476" spans="2:15" ht="13.5" customHeight="1" x14ac:dyDescent="0.3">
      <c r="B476" s="9">
        <f>[1]Discovery!A482</f>
        <v>70403154</v>
      </c>
      <c r="C476" s="9" t="str">
        <f>[1]Discovery!B482</f>
        <v>남극선이끼</v>
      </c>
      <c r="D476" s="9" t="str">
        <f>[1]Discovery!E482</f>
        <v>식물</v>
      </c>
      <c r="E476" s="9" t="str">
        <f>[1]Discovery!C482</f>
        <v>단자엽</v>
      </c>
      <c r="F476" s="9" t="str">
        <f>[1]Discovery!G482</f>
        <v>B</v>
      </c>
      <c r="G476" s="9" t="str">
        <f>IFERROR(VLOOKUP(표1[[#This Row],[명칭]],'문화권 정리'!C:D,2,FALSE),"-")</f>
        <v>극지방</v>
      </c>
      <c r="H476" s="38" t="str">
        <f>IFERROR(COUNTIF([2]OceanDoodad!$Y:$Y,표1[[#This Row],[명칭]]),"-")</f>
        <v>-</v>
      </c>
      <c r="I476" s="38">
        <f>IFERROR(COUNTIF([1]AdventureDiscoveryGroup!$D$8:$AW$92,표1[[#This Row],[명칭]]),"-")</f>
        <v>0</v>
      </c>
      <c r="J476" s="38">
        <f>IFERROR(COUNTIF([1]FishDiscoveryGroup!$A:$X,표1[[#This Row],[명칭]]),"-")</f>
        <v>0</v>
      </c>
      <c r="K476" s="38" t="str">
        <f>IFERROR(COUNTIF([2]Town!$B:$B,표1[[#This Row],[명칭]]),"-")</f>
        <v>-</v>
      </c>
      <c r="L476" s="38">
        <f>IFERROR(COUNTIF([1]Village!$BR:$BR,표1[[#This Row],[명칭]]),"-")</f>
        <v>0</v>
      </c>
      <c r="M476" s="38">
        <f>COUNTIF(퀘스트!B:B,표1[[#This Row],[명칭]])</f>
        <v>0</v>
      </c>
      <c r="N476" s="65">
        <f>COUNTIF([1]VillageDiscoveryGroup!$C:$C,표1[[#This Row],[명칭]])</f>
        <v>0</v>
      </c>
      <c r="O476" s="65">
        <f>SUM(표1[[#This Row],[해양탐색]:[마을탐험]])</f>
        <v>0</v>
      </c>
    </row>
    <row r="477" spans="2:15" ht="13.5" customHeight="1" x14ac:dyDescent="0.3">
      <c r="B477" s="9">
        <f>[1]Discovery!A483</f>
        <v>70404000</v>
      </c>
      <c r="C477" s="9" t="str">
        <f>[1]Discovery!B483</f>
        <v>게아재비</v>
      </c>
      <c r="D477" s="9" t="str">
        <f>[1]Discovery!E483</f>
        <v>동물</v>
      </c>
      <c r="E477" s="9" t="str">
        <f>[1]Discovery!C483</f>
        <v>무척추동물</v>
      </c>
      <c r="F477" s="9" t="str">
        <f>[1]Discovery!G483</f>
        <v>D</v>
      </c>
      <c r="G477" s="9" t="str">
        <f>IFERROR(VLOOKUP(표1[[#This Row],[명칭]],'문화권 정리'!C:D,2,FALSE),"-")</f>
        <v>동남아시아</v>
      </c>
      <c r="H477" s="38" t="str">
        <f>IFERROR(COUNTIF([2]OceanDoodad!$Y:$Y,표1[[#This Row],[명칭]]),"-")</f>
        <v>-</v>
      </c>
      <c r="I477" s="38">
        <f>IFERROR(COUNTIF([1]AdventureDiscoveryGroup!$D$8:$AW$92,표1[[#This Row],[명칭]]),"-")</f>
        <v>1</v>
      </c>
      <c r="J477" s="38">
        <f>IFERROR(COUNTIF([1]FishDiscoveryGroup!$A:$X,표1[[#This Row],[명칭]]),"-")</f>
        <v>0</v>
      </c>
      <c r="K477" s="38" t="str">
        <f>IFERROR(COUNTIF([2]Town!$B:$B,표1[[#This Row],[명칭]]),"-")</f>
        <v>-</v>
      </c>
      <c r="L477" s="38">
        <f>IFERROR(COUNTIF([1]Village!$BR:$BR,표1[[#This Row],[명칭]]),"-")</f>
        <v>0</v>
      </c>
      <c r="M477" s="38">
        <f>COUNTIF(퀘스트!B:B,표1[[#This Row],[명칭]])</f>
        <v>0</v>
      </c>
      <c r="N477" s="65">
        <f>COUNTIF([1]VillageDiscoveryGroup!$C:$C,표1[[#This Row],[명칭]])</f>
        <v>0</v>
      </c>
      <c r="O477" s="65">
        <f>SUM(표1[[#This Row],[해양탐색]:[마을탐험]])</f>
        <v>1</v>
      </c>
    </row>
    <row r="478" spans="2:15" ht="13.5" customHeight="1" x14ac:dyDescent="0.3">
      <c r="B478" s="9">
        <f>[1]Discovery!A484</f>
        <v>70404001</v>
      </c>
      <c r="C478" s="9" t="str">
        <f>[1]Discovery!B484</f>
        <v>곤봉딱정벌레</v>
      </c>
      <c r="D478" s="9" t="str">
        <f>[1]Discovery!E484</f>
        <v>동물</v>
      </c>
      <c r="E478" s="9" t="str">
        <f>[1]Discovery!C484</f>
        <v>무척추동물</v>
      </c>
      <c r="F478" s="9" t="str">
        <f>[1]Discovery!G484</f>
        <v>B</v>
      </c>
      <c r="G478" s="9" t="str">
        <f>IFERROR(VLOOKUP(표1[[#This Row],[명칭]],'문화권 정리'!C:D,2,FALSE),"-")</f>
        <v>유라시아</v>
      </c>
      <c r="H478" s="38" t="str">
        <f>IFERROR(COUNTIF([2]OceanDoodad!$Y:$Y,표1[[#This Row],[명칭]]),"-")</f>
        <v>-</v>
      </c>
      <c r="I478" s="38">
        <f>IFERROR(COUNTIF([1]AdventureDiscoveryGroup!$D$8:$AW$92,표1[[#This Row],[명칭]]),"-")</f>
        <v>0</v>
      </c>
      <c r="J478" s="38">
        <f>IFERROR(COUNTIF([1]FishDiscoveryGroup!$A:$X,표1[[#This Row],[명칭]]),"-")</f>
        <v>0</v>
      </c>
      <c r="K478" s="38" t="str">
        <f>IFERROR(COUNTIF([2]Town!$B:$B,표1[[#This Row],[명칭]]),"-")</f>
        <v>-</v>
      </c>
      <c r="L478" s="38">
        <f>IFERROR(COUNTIF([1]Village!$BR:$BR,표1[[#This Row],[명칭]]),"-")</f>
        <v>0</v>
      </c>
      <c r="M478" s="38">
        <f>COUNTIF(퀘스트!B:B,표1[[#This Row],[명칭]])</f>
        <v>0</v>
      </c>
      <c r="N478" s="65">
        <f>COUNTIF([1]VillageDiscoveryGroup!$C:$C,표1[[#This Row],[명칭]])</f>
        <v>1</v>
      </c>
      <c r="O478" s="65">
        <f>SUM(표1[[#This Row],[해양탐색]:[마을탐험]])</f>
        <v>1</v>
      </c>
    </row>
    <row r="479" spans="2:15" ht="13.5" customHeight="1" x14ac:dyDescent="0.3">
      <c r="B479" s="9">
        <f>[1]Discovery!A485</f>
        <v>70404002</v>
      </c>
      <c r="C479" s="9" t="str">
        <f>[1]Discovery!B485</f>
        <v>군대개미</v>
      </c>
      <c r="D479" s="9" t="str">
        <f>[1]Discovery!E485</f>
        <v>동물</v>
      </c>
      <c r="E479" s="9" t="str">
        <f>[1]Discovery!C485</f>
        <v>무척추동물</v>
      </c>
      <c r="F479" s="9" t="str">
        <f>[1]Discovery!G485</f>
        <v>B</v>
      </c>
      <c r="G479" s="9" t="str">
        <f>IFERROR(VLOOKUP(표1[[#This Row],[명칭]],'문화권 정리'!C:D,2,FALSE),"-")</f>
        <v>남아메리카</v>
      </c>
      <c r="H479" s="38" t="str">
        <f>IFERROR(COUNTIF([2]OceanDoodad!$Y:$Y,표1[[#This Row],[명칭]]),"-")</f>
        <v>-</v>
      </c>
      <c r="I479" s="38">
        <f>IFERROR(COUNTIF([1]AdventureDiscoveryGroup!$D$8:$AW$92,표1[[#This Row],[명칭]]),"-")</f>
        <v>0</v>
      </c>
      <c r="J479" s="38">
        <f>IFERROR(COUNTIF([1]FishDiscoveryGroup!$A:$X,표1[[#This Row],[명칭]]),"-")</f>
        <v>0</v>
      </c>
      <c r="K479" s="38" t="str">
        <f>IFERROR(COUNTIF([2]Town!$B:$B,표1[[#This Row],[명칭]]),"-")</f>
        <v>-</v>
      </c>
      <c r="L479" s="38">
        <f>IFERROR(COUNTIF([1]Village!$BR:$BR,표1[[#This Row],[명칭]]),"-")</f>
        <v>0</v>
      </c>
      <c r="M479" s="38">
        <f>COUNTIF(퀘스트!B:B,표1[[#This Row],[명칭]])</f>
        <v>0</v>
      </c>
      <c r="N479" s="65">
        <f>COUNTIF([1]VillageDiscoveryGroup!$C:$C,표1[[#This Row],[명칭]])</f>
        <v>1</v>
      </c>
      <c r="O479" s="65">
        <f>SUM(표1[[#This Row],[해양탐색]:[마을탐험]])</f>
        <v>1</v>
      </c>
    </row>
    <row r="480" spans="2:15" ht="13.5" customHeight="1" x14ac:dyDescent="0.3">
      <c r="B480" s="9">
        <f>[1]Discovery!A486</f>
        <v>70404003</v>
      </c>
      <c r="C480" s="9" t="str">
        <f>[1]Discovery!B486</f>
        <v>기라파톱사슴벌레</v>
      </c>
      <c r="D480" s="9" t="str">
        <f>[1]Discovery!E486</f>
        <v>동물</v>
      </c>
      <c r="E480" s="9" t="str">
        <f>[1]Discovery!C486</f>
        <v>무척추동물</v>
      </c>
      <c r="F480" s="9" t="str">
        <f>[1]Discovery!G486</f>
        <v>A</v>
      </c>
      <c r="G480" s="9" t="str">
        <f>IFERROR(VLOOKUP(표1[[#This Row],[명칭]],'문화권 정리'!C:D,2,FALSE),"-")</f>
        <v>동남아시아</v>
      </c>
      <c r="H480" s="38" t="str">
        <f>IFERROR(COUNTIF([2]OceanDoodad!$Y:$Y,표1[[#This Row],[명칭]]),"-")</f>
        <v>-</v>
      </c>
      <c r="I480" s="38">
        <f>IFERROR(COUNTIF([1]AdventureDiscoveryGroup!$D$8:$AW$92,표1[[#This Row],[명칭]]),"-")</f>
        <v>1</v>
      </c>
      <c r="J480" s="38">
        <f>IFERROR(COUNTIF([1]FishDiscoveryGroup!$A:$X,표1[[#This Row],[명칭]]),"-")</f>
        <v>0</v>
      </c>
      <c r="K480" s="38" t="str">
        <f>IFERROR(COUNTIF([2]Town!$B:$B,표1[[#This Row],[명칭]]),"-")</f>
        <v>-</v>
      </c>
      <c r="L480" s="38">
        <f>IFERROR(COUNTIF([1]Village!$BR:$BR,표1[[#This Row],[명칭]]),"-")</f>
        <v>0</v>
      </c>
      <c r="M480" s="38">
        <f>COUNTIF(퀘스트!B:B,표1[[#This Row],[명칭]])</f>
        <v>0</v>
      </c>
      <c r="N480" s="65">
        <f>COUNTIF([1]VillageDiscoveryGroup!$C:$C,표1[[#This Row],[명칭]])</f>
        <v>0</v>
      </c>
      <c r="O480" s="65">
        <f>SUM(표1[[#This Row],[해양탐색]:[마을탐험]])</f>
        <v>1</v>
      </c>
    </row>
    <row r="481" spans="2:15" ht="13.5" customHeight="1" x14ac:dyDescent="0.3">
      <c r="B481" s="9">
        <f>[1]Discovery!A487</f>
        <v>70404004</v>
      </c>
      <c r="C481" s="9" t="str">
        <f>[1]Discovery!B487</f>
        <v>긴꼬리제비나비</v>
      </c>
      <c r="D481" s="9" t="str">
        <f>[1]Discovery!E487</f>
        <v>동물</v>
      </c>
      <c r="E481" s="9" t="str">
        <f>[1]Discovery!C487</f>
        <v>무척추동물</v>
      </c>
      <c r="F481" s="9" t="str">
        <f>[1]Discovery!G487</f>
        <v>D</v>
      </c>
      <c r="G481" s="9" t="str">
        <f>IFERROR(VLOOKUP(표1[[#This Row],[명칭]],'문화권 정리'!C:D,2,FALSE),"-")</f>
        <v>동아시아</v>
      </c>
      <c r="H481" s="38" t="str">
        <f>IFERROR(COUNTIF([2]OceanDoodad!$Y:$Y,표1[[#This Row],[명칭]]),"-")</f>
        <v>-</v>
      </c>
      <c r="I481" s="38">
        <f>IFERROR(COUNTIF([1]AdventureDiscoveryGroup!$D$8:$AW$92,표1[[#This Row],[명칭]]),"-")</f>
        <v>1</v>
      </c>
      <c r="J481" s="38">
        <f>IFERROR(COUNTIF([1]FishDiscoveryGroup!$A:$X,표1[[#This Row],[명칭]]),"-")</f>
        <v>0</v>
      </c>
      <c r="K481" s="38" t="str">
        <f>IFERROR(COUNTIF([2]Town!$B:$B,표1[[#This Row],[명칭]]),"-")</f>
        <v>-</v>
      </c>
      <c r="L481" s="38">
        <f>IFERROR(COUNTIF([1]Village!$BR:$BR,표1[[#This Row],[명칭]]),"-")</f>
        <v>0</v>
      </c>
      <c r="M481" s="38">
        <f>COUNTIF(퀘스트!B:B,표1[[#This Row],[명칭]])</f>
        <v>0</v>
      </c>
      <c r="N481" s="65">
        <f>COUNTIF([1]VillageDiscoveryGroup!$C:$C,표1[[#This Row],[명칭]])</f>
        <v>0</v>
      </c>
      <c r="O481" s="65">
        <f>SUM(표1[[#This Row],[해양탐색]:[마을탐험]])</f>
        <v>1</v>
      </c>
    </row>
    <row r="482" spans="2:15" ht="13.5" customHeight="1" x14ac:dyDescent="0.3">
      <c r="B482" s="9">
        <f>[1]Discovery!A488</f>
        <v>70404005</v>
      </c>
      <c r="C482" s="9" t="str">
        <f>[1]Discovery!B488</f>
        <v>꼬리명주나비</v>
      </c>
      <c r="D482" s="9" t="str">
        <f>[1]Discovery!E488</f>
        <v>동물</v>
      </c>
      <c r="E482" s="9" t="str">
        <f>[1]Discovery!C488</f>
        <v>무척추동물</v>
      </c>
      <c r="F482" s="9" t="str">
        <f>[1]Discovery!G488</f>
        <v>D</v>
      </c>
      <c r="G482" s="9" t="str">
        <f>IFERROR(VLOOKUP(표1[[#This Row],[명칭]],'문화권 정리'!C:D,2,FALSE),"-")</f>
        <v>동아시아</v>
      </c>
      <c r="H482" s="38" t="str">
        <f>IFERROR(COUNTIF([2]OceanDoodad!$Y:$Y,표1[[#This Row],[명칭]]),"-")</f>
        <v>-</v>
      </c>
      <c r="I482" s="38">
        <f>IFERROR(COUNTIF([1]AdventureDiscoveryGroup!$D$8:$AW$92,표1[[#This Row],[명칭]]),"-")</f>
        <v>0</v>
      </c>
      <c r="J482" s="38">
        <f>IFERROR(COUNTIF([1]FishDiscoveryGroup!$A:$X,표1[[#This Row],[명칭]]),"-")</f>
        <v>0</v>
      </c>
      <c r="K482" s="38" t="str">
        <f>IFERROR(COUNTIF([2]Town!$B:$B,표1[[#This Row],[명칭]]),"-")</f>
        <v>-</v>
      </c>
      <c r="L482" s="38">
        <f>IFERROR(COUNTIF([1]Village!$BR:$BR,표1[[#This Row],[명칭]]),"-")</f>
        <v>0</v>
      </c>
      <c r="M482" s="38">
        <f>COUNTIF(퀘스트!B:B,표1[[#This Row],[명칭]])</f>
        <v>0</v>
      </c>
      <c r="N482" s="65">
        <f>COUNTIF([1]VillageDiscoveryGroup!$C:$C,표1[[#This Row],[명칭]])</f>
        <v>1</v>
      </c>
      <c r="O482" s="65">
        <f>SUM(표1[[#This Row],[해양탐색]:[마을탐험]])</f>
        <v>1</v>
      </c>
    </row>
    <row r="483" spans="2:15" ht="13.5" customHeight="1" x14ac:dyDescent="0.3">
      <c r="B483" s="9">
        <f>[1]Discovery!A489</f>
        <v>70404006</v>
      </c>
      <c r="C483" s="9" t="str">
        <f>[1]Discovery!B489</f>
        <v>남방제비나비</v>
      </c>
      <c r="D483" s="9" t="str">
        <f>[1]Discovery!E489</f>
        <v>동물</v>
      </c>
      <c r="E483" s="9" t="str">
        <f>[1]Discovery!C489</f>
        <v>무척추동물</v>
      </c>
      <c r="F483" s="9" t="str">
        <f>[1]Discovery!G489</f>
        <v>B</v>
      </c>
      <c r="G483" s="9" t="str">
        <f>IFERROR(VLOOKUP(표1[[#This Row],[명칭]],'문화권 정리'!C:D,2,FALSE),"-")</f>
        <v>동아시아</v>
      </c>
      <c r="H483" s="38" t="str">
        <f>IFERROR(COUNTIF([2]OceanDoodad!$Y:$Y,표1[[#This Row],[명칭]]),"-")</f>
        <v>-</v>
      </c>
      <c r="I483" s="38">
        <f>IFERROR(COUNTIF([1]AdventureDiscoveryGroup!$D$8:$AW$92,표1[[#This Row],[명칭]]),"-")</f>
        <v>0</v>
      </c>
      <c r="J483" s="38">
        <f>IFERROR(COUNTIF([1]FishDiscoveryGroup!$A:$X,표1[[#This Row],[명칭]]),"-")</f>
        <v>0</v>
      </c>
      <c r="K483" s="38" t="str">
        <f>IFERROR(COUNTIF([2]Town!$B:$B,표1[[#This Row],[명칭]]),"-")</f>
        <v>-</v>
      </c>
      <c r="L483" s="38">
        <f>IFERROR(COUNTIF([1]Village!$BR:$BR,표1[[#This Row],[명칭]]),"-")</f>
        <v>0</v>
      </c>
      <c r="M483" s="38">
        <f>COUNTIF(퀘스트!B:B,표1[[#This Row],[명칭]])</f>
        <v>0</v>
      </c>
      <c r="N483" s="65">
        <f>COUNTIF([1]VillageDiscoveryGroup!$C:$C,표1[[#This Row],[명칭]])</f>
        <v>0</v>
      </c>
      <c r="O483" s="65">
        <f>SUM(표1[[#This Row],[해양탐색]:[마을탐험]])</f>
        <v>0</v>
      </c>
    </row>
    <row r="484" spans="2:15" ht="13.5" customHeight="1" x14ac:dyDescent="0.3">
      <c r="B484" s="9">
        <f>[1]Discovery!A490</f>
        <v>70404007</v>
      </c>
      <c r="C484" s="9" t="str">
        <f>[1]Discovery!B490</f>
        <v>넵튠왕장수풍뎅이</v>
      </c>
      <c r="D484" s="9" t="str">
        <f>[1]Discovery!E490</f>
        <v>동물</v>
      </c>
      <c r="E484" s="9" t="str">
        <f>[1]Discovery!C490</f>
        <v>무척추동물</v>
      </c>
      <c r="F484" s="9" t="str">
        <f>[1]Discovery!G490</f>
        <v>S</v>
      </c>
      <c r="G484" s="9" t="str">
        <f>IFERROR(VLOOKUP(표1[[#This Row],[명칭]],'문화권 정리'!C:D,2,FALSE),"-")</f>
        <v>남아메리카</v>
      </c>
      <c r="H484" s="38" t="str">
        <f>IFERROR(COUNTIF([2]OceanDoodad!$Y:$Y,표1[[#This Row],[명칭]]),"-")</f>
        <v>-</v>
      </c>
      <c r="I484" s="38">
        <f>IFERROR(COUNTIF([1]AdventureDiscoveryGroup!$D$8:$AW$92,표1[[#This Row],[명칭]]),"-")</f>
        <v>1</v>
      </c>
      <c r="J484" s="38">
        <f>IFERROR(COUNTIF([1]FishDiscoveryGroup!$A:$X,표1[[#This Row],[명칭]]),"-")</f>
        <v>0</v>
      </c>
      <c r="K484" s="38" t="str">
        <f>IFERROR(COUNTIF([2]Town!$B:$B,표1[[#This Row],[명칭]]),"-")</f>
        <v>-</v>
      </c>
      <c r="L484" s="38">
        <f>IFERROR(COUNTIF([1]Village!$BR:$BR,표1[[#This Row],[명칭]]),"-")</f>
        <v>0</v>
      </c>
      <c r="M484" s="38">
        <f>COUNTIF(퀘스트!B:B,표1[[#This Row],[명칭]])</f>
        <v>0</v>
      </c>
      <c r="N484" s="65">
        <f>COUNTIF([1]VillageDiscoveryGroup!$C:$C,표1[[#This Row],[명칭]])</f>
        <v>0</v>
      </c>
      <c r="O484" s="65">
        <f>SUM(표1[[#This Row],[해양탐색]:[마을탐험]])</f>
        <v>1</v>
      </c>
    </row>
    <row r="485" spans="2:15" ht="13.5" customHeight="1" x14ac:dyDescent="0.3">
      <c r="B485" s="9">
        <f>[1]Discovery!A491</f>
        <v>70404008</v>
      </c>
      <c r="C485" s="9" t="str">
        <f>[1]Discovery!B491</f>
        <v>누에나방</v>
      </c>
      <c r="D485" s="9" t="str">
        <f>[1]Discovery!E491</f>
        <v>동물</v>
      </c>
      <c r="E485" s="9" t="str">
        <f>[1]Discovery!C491</f>
        <v>무척추동물</v>
      </c>
      <c r="F485" s="9" t="str">
        <f>[1]Discovery!G491</f>
        <v>C</v>
      </c>
      <c r="G485" s="9" t="str">
        <f>IFERROR(VLOOKUP(표1[[#This Row],[명칭]],'문화권 정리'!C:D,2,FALSE),"-")</f>
        <v>동아시아</v>
      </c>
      <c r="H485" s="38" t="str">
        <f>IFERROR(COUNTIF([2]OceanDoodad!$Y:$Y,표1[[#This Row],[명칭]]),"-")</f>
        <v>-</v>
      </c>
      <c r="I485" s="38">
        <f>IFERROR(COUNTIF([1]AdventureDiscoveryGroup!$D$8:$AW$92,표1[[#This Row],[명칭]]),"-")</f>
        <v>1</v>
      </c>
      <c r="J485" s="38">
        <f>IFERROR(COUNTIF([1]FishDiscoveryGroup!$A:$X,표1[[#This Row],[명칭]]),"-")</f>
        <v>0</v>
      </c>
      <c r="K485" s="38" t="str">
        <f>IFERROR(COUNTIF([2]Town!$B:$B,표1[[#This Row],[명칭]]),"-")</f>
        <v>-</v>
      </c>
      <c r="L485" s="38">
        <f>IFERROR(COUNTIF([1]Village!$BR:$BR,표1[[#This Row],[명칭]]),"-")</f>
        <v>0</v>
      </c>
      <c r="M485" s="38">
        <f>COUNTIF(퀘스트!B:B,표1[[#This Row],[명칭]])</f>
        <v>0</v>
      </c>
      <c r="N485" s="65">
        <f>COUNTIF([1]VillageDiscoveryGroup!$C:$C,표1[[#This Row],[명칭]])</f>
        <v>0</v>
      </c>
      <c r="O485" s="65">
        <f>SUM(표1[[#This Row],[해양탐색]:[마을탐험]])</f>
        <v>1</v>
      </c>
    </row>
    <row r="486" spans="2:15" ht="13.5" customHeight="1" x14ac:dyDescent="0.3">
      <c r="B486" s="9">
        <f>[1]Discovery!A492</f>
        <v>70404009</v>
      </c>
      <c r="C486" s="9" t="str">
        <f>[1]Discovery!B492</f>
        <v>돌담무늬나비</v>
      </c>
      <c r="D486" s="9" t="str">
        <f>[1]Discovery!E492</f>
        <v>동물</v>
      </c>
      <c r="E486" s="9" t="str">
        <f>[1]Discovery!C492</f>
        <v>무척추동물</v>
      </c>
      <c r="F486" s="9" t="str">
        <f>[1]Discovery!G492</f>
        <v>A</v>
      </c>
      <c r="G486" s="9" t="str">
        <f>IFERROR(VLOOKUP(표1[[#This Row],[명칭]],'문화권 정리'!C:D,2,FALSE),"-")</f>
        <v>동아시아</v>
      </c>
      <c r="H486" s="38" t="str">
        <f>IFERROR(COUNTIF([2]OceanDoodad!$Y:$Y,표1[[#This Row],[명칭]]),"-")</f>
        <v>-</v>
      </c>
      <c r="I486" s="38">
        <f>IFERROR(COUNTIF([1]AdventureDiscoveryGroup!$D$8:$AW$92,표1[[#This Row],[명칭]]),"-")</f>
        <v>0</v>
      </c>
      <c r="J486" s="38">
        <f>IFERROR(COUNTIF([1]FishDiscoveryGroup!$A:$X,표1[[#This Row],[명칭]]),"-")</f>
        <v>0</v>
      </c>
      <c r="K486" s="38" t="str">
        <f>IFERROR(COUNTIF([2]Town!$B:$B,표1[[#This Row],[명칭]]),"-")</f>
        <v>-</v>
      </c>
      <c r="L486" s="38">
        <f>IFERROR(COUNTIF([1]Village!$BR:$BR,표1[[#This Row],[명칭]]),"-")</f>
        <v>0</v>
      </c>
      <c r="M486" s="38">
        <f>COUNTIF(퀘스트!B:B,표1[[#This Row],[명칭]])</f>
        <v>0</v>
      </c>
      <c r="N486" s="65">
        <f>COUNTIF([1]VillageDiscoveryGroup!$C:$C,표1[[#This Row],[명칭]])</f>
        <v>1</v>
      </c>
      <c r="O486" s="65">
        <f>SUM(표1[[#This Row],[해양탐색]:[마을탐험]])</f>
        <v>1</v>
      </c>
    </row>
    <row r="487" spans="2:15" ht="13.5" customHeight="1" x14ac:dyDescent="0.3">
      <c r="B487" s="9">
        <f>[1]Discovery!A493</f>
        <v>70404010</v>
      </c>
      <c r="C487" s="9" t="str">
        <f>[1]Discovery!B493</f>
        <v>말레이제왕매미</v>
      </c>
      <c r="D487" s="9" t="str">
        <f>[1]Discovery!E493</f>
        <v>동물</v>
      </c>
      <c r="E487" s="9" t="str">
        <f>[1]Discovery!C493</f>
        <v>무척추동물</v>
      </c>
      <c r="F487" s="9" t="str">
        <f>[1]Discovery!G493</f>
        <v>C</v>
      </c>
      <c r="G487" s="9" t="str">
        <f>IFERROR(VLOOKUP(표1[[#This Row],[명칭]],'문화권 정리'!C:D,2,FALSE),"-")</f>
        <v>동남아시아</v>
      </c>
      <c r="H487" s="38" t="str">
        <f>IFERROR(COUNTIF([2]OceanDoodad!$Y:$Y,표1[[#This Row],[명칭]]),"-")</f>
        <v>-</v>
      </c>
      <c r="I487" s="38">
        <f>IFERROR(COUNTIF([1]AdventureDiscoveryGroup!$D$8:$AW$92,표1[[#This Row],[명칭]]),"-")</f>
        <v>1</v>
      </c>
      <c r="J487" s="38">
        <f>IFERROR(COUNTIF([1]FishDiscoveryGroup!$A:$X,표1[[#This Row],[명칭]]),"-")</f>
        <v>0</v>
      </c>
      <c r="K487" s="38" t="str">
        <f>IFERROR(COUNTIF([2]Town!$B:$B,표1[[#This Row],[명칭]]),"-")</f>
        <v>-</v>
      </c>
      <c r="L487" s="38">
        <f>IFERROR(COUNTIF([1]Village!$BR:$BR,표1[[#This Row],[명칭]]),"-")</f>
        <v>0</v>
      </c>
      <c r="M487" s="38">
        <f>COUNTIF(퀘스트!B:B,표1[[#This Row],[명칭]])</f>
        <v>0</v>
      </c>
      <c r="N487" s="65">
        <f>COUNTIF([1]VillageDiscoveryGroup!$C:$C,표1[[#This Row],[명칭]])</f>
        <v>0</v>
      </c>
      <c r="O487" s="65">
        <f>SUM(표1[[#This Row],[해양탐색]:[마을탐험]])</f>
        <v>1</v>
      </c>
    </row>
    <row r="488" spans="2:15" ht="13.5" customHeight="1" x14ac:dyDescent="0.3">
      <c r="B488" s="9">
        <f>[1]Discovery!A494</f>
        <v>70404011</v>
      </c>
      <c r="C488" s="9" t="str">
        <f>[1]Discovery!B494</f>
        <v>모자주홍하늘소</v>
      </c>
      <c r="D488" s="9" t="str">
        <f>[1]Discovery!E494</f>
        <v>동물</v>
      </c>
      <c r="E488" s="9" t="str">
        <f>[1]Discovery!C494</f>
        <v>무척추동물</v>
      </c>
      <c r="F488" s="9" t="str">
        <f>[1]Discovery!G494</f>
        <v>B</v>
      </c>
      <c r="G488" s="9" t="str">
        <f>IFERROR(VLOOKUP(표1[[#This Row],[명칭]],'문화권 정리'!C:D,2,FALSE),"-")</f>
        <v>동아시아</v>
      </c>
      <c r="H488" s="38" t="str">
        <f>IFERROR(COUNTIF([2]OceanDoodad!$Y:$Y,표1[[#This Row],[명칭]]),"-")</f>
        <v>-</v>
      </c>
      <c r="I488" s="38">
        <f>IFERROR(COUNTIF([1]AdventureDiscoveryGroup!$D$8:$AW$92,표1[[#This Row],[명칭]]),"-")</f>
        <v>0</v>
      </c>
      <c r="J488" s="38">
        <f>IFERROR(COUNTIF([1]FishDiscoveryGroup!$A:$X,표1[[#This Row],[명칭]]),"-")</f>
        <v>0</v>
      </c>
      <c r="K488" s="38" t="str">
        <f>IFERROR(COUNTIF([2]Town!$B:$B,표1[[#This Row],[명칭]]),"-")</f>
        <v>-</v>
      </c>
      <c r="L488" s="38">
        <f>IFERROR(COUNTIF([1]Village!$BR:$BR,표1[[#This Row],[명칭]]),"-")</f>
        <v>0</v>
      </c>
      <c r="M488" s="38">
        <f>COUNTIF(퀘스트!B:B,표1[[#This Row],[명칭]])</f>
        <v>0</v>
      </c>
      <c r="N488" s="65">
        <f>COUNTIF([1]VillageDiscoveryGroup!$C:$C,표1[[#This Row],[명칭]])</f>
        <v>0</v>
      </c>
      <c r="O488" s="65">
        <f>SUM(표1[[#This Row],[해양탐색]:[마을탐험]])</f>
        <v>0</v>
      </c>
    </row>
    <row r="489" spans="2:15" ht="13.5" customHeight="1" x14ac:dyDescent="0.3">
      <c r="B489" s="9">
        <f>[1]Discovery!A495</f>
        <v>70404012</v>
      </c>
      <c r="C489" s="9" t="str">
        <f>[1]Discovery!B495</f>
        <v>바이올린딱정벌레</v>
      </c>
      <c r="D489" s="9" t="str">
        <f>[1]Discovery!E495</f>
        <v>동물</v>
      </c>
      <c r="E489" s="9" t="str">
        <f>[1]Discovery!C495</f>
        <v>무척추동물</v>
      </c>
      <c r="F489" s="9" t="str">
        <f>[1]Discovery!G495</f>
        <v>B</v>
      </c>
      <c r="G489" s="9" t="str">
        <f>IFERROR(VLOOKUP(표1[[#This Row],[명칭]],'문화권 정리'!C:D,2,FALSE),"-")</f>
        <v>동남아시아</v>
      </c>
      <c r="H489" s="38" t="str">
        <f>IFERROR(COUNTIF([2]OceanDoodad!$Y:$Y,표1[[#This Row],[명칭]]),"-")</f>
        <v>-</v>
      </c>
      <c r="I489" s="38">
        <f>IFERROR(COUNTIF([1]AdventureDiscoveryGroup!$D$8:$AW$92,표1[[#This Row],[명칭]]),"-")</f>
        <v>1</v>
      </c>
      <c r="J489" s="38">
        <f>IFERROR(COUNTIF([1]FishDiscoveryGroup!$A:$X,표1[[#This Row],[명칭]]),"-")</f>
        <v>0</v>
      </c>
      <c r="K489" s="38" t="str">
        <f>IFERROR(COUNTIF([2]Town!$B:$B,표1[[#This Row],[명칭]]),"-")</f>
        <v>-</v>
      </c>
      <c r="L489" s="38">
        <f>IFERROR(COUNTIF([1]Village!$BR:$BR,표1[[#This Row],[명칭]]),"-")</f>
        <v>0</v>
      </c>
      <c r="M489" s="38">
        <f>COUNTIF(퀘스트!B:B,표1[[#This Row],[명칭]])</f>
        <v>0</v>
      </c>
      <c r="N489" s="65">
        <f>COUNTIF([1]VillageDiscoveryGroup!$C:$C,표1[[#This Row],[명칭]])</f>
        <v>0</v>
      </c>
      <c r="O489" s="65">
        <f>SUM(표1[[#This Row],[해양탐색]:[마을탐험]])</f>
        <v>1</v>
      </c>
    </row>
    <row r="490" spans="2:15" ht="13.5" customHeight="1" x14ac:dyDescent="0.3">
      <c r="B490" s="9">
        <f>[1]Discovery!A496</f>
        <v>70404013</v>
      </c>
      <c r="C490" s="9" t="str">
        <f>[1]Discovery!B496</f>
        <v>반딧불이</v>
      </c>
      <c r="D490" s="9" t="str">
        <f>[1]Discovery!E496</f>
        <v>동물</v>
      </c>
      <c r="E490" s="9" t="str">
        <f>[1]Discovery!C496</f>
        <v>무척추동물</v>
      </c>
      <c r="F490" s="9" t="str">
        <f>[1]Discovery!G496</f>
        <v>B</v>
      </c>
      <c r="G490" s="9" t="str">
        <f>IFERROR(VLOOKUP(표1[[#This Row],[명칭]],'문화권 정리'!C:D,2,FALSE),"-")</f>
        <v>동아시아</v>
      </c>
      <c r="H490" s="38" t="str">
        <f>IFERROR(COUNTIF([2]OceanDoodad!$Y:$Y,표1[[#This Row],[명칭]]),"-")</f>
        <v>-</v>
      </c>
      <c r="I490" s="38">
        <f>IFERROR(COUNTIF([1]AdventureDiscoveryGroup!$D$8:$AW$92,표1[[#This Row],[명칭]]),"-")</f>
        <v>0</v>
      </c>
      <c r="J490" s="38">
        <f>IFERROR(COUNTIF([1]FishDiscoveryGroup!$A:$X,표1[[#This Row],[명칭]]),"-")</f>
        <v>0</v>
      </c>
      <c r="K490" s="38" t="str">
        <f>IFERROR(COUNTIF([2]Town!$B:$B,표1[[#This Row],[명칭]]),"-")</f>
        <v>-</v>
      </c>
      <c r="L490" s="38">
        <f>IFERROR(COUNTIF([1]Village!$BR:$BR,표1[[#This Row],[명칭]]),"-")</f>
        <v>0</v>
      </c>
      <c r="M490" s="38">
        <f>COUNTIF(퀘스트!B:B,표1[[#This Row],[명칭]])</f>
        <v>0</v>
      </c>
      <c r="N490" s="65">
        <f>COUNTIF([1]VillageDiscoveryGroup!$C:$C,표1[[#This Row],[명칭]])</f>
        <v>0</v>
      </c>
      <c r="O490" s="65">
        <f>SUM(표1[[#This Row],[해양탐색]:[마을탐험]])</f>
        <v>0</v>
      </c>
    </row>
    <row r="491" spans="2:15" ht="13.5" customHeight="1" x14ac:dyDescent="0.3">
      <c r="B491" s="9">
        <f>[1]Discovery!A497</f>
        <v>70404014</v>
      </c>
      <c r="C491" s="9" t="str">
        <f>[1]Discovery!B497</f>
        <v>발광방아벌레</v>
      </c>
      <c r="D491" s="9" t="str">
        <f>[1]Discovery!E497</f>
        <v>동물</v>
      </c>
      <c r="E491" s="9" t="str">
        <f>[1]Discovery!C497</f>
        <v>무척추동물</v>
      </c>
      <c r="F491" s="9" t="str">
        <f>[1]Discovery!G497</f>
        <v>C</v>
      </c>
      <c r="G491" s="9" t="str">
        <f>IFERROR(VLOOKUP(표1[[#This Row],[명칭]],'문화권 정리'!C:D,2,FALSE),"-")</f>
        <v>남아메리카</v>
      </c>
      <c r="H491" s="38" t="str">
        <f>IFERROR(COUNTIF([2]OceanDoodad!$Y:$Y,표1[[#This Row],[명칭]]),"-")</f>
        <v>-</v>
      </c>
      <c r="I491" s="38">
        <f>IFERROR(COUNTIF([1]AdventureDiscoveryGroup!$D$8:$AW$92,표1[[#This Row],[명칭]]),"-")</f>
        <v>0</v>
      </c>
      <c r="J491" s="38">
        <f>IFERROR(COUNTIF([1]FishDiscoveryGroup!$A:$X,표1[[#This Row],[명칭]]),"-")</f>
        <v>0</v>
      </c>
      <c r="K491" s="38" t="str">
        <f>IFERROR(COUNTIF([2]Town!$B:$B,표1[[#This Row],[명칭]]),"-")</f>
        <v>-</v>
      </c>
      <c r="L491" s="38">
        <f>IFERROR(COUNTIF([1]Village!$BR:$BR,표1[[#This Row],[명칭]]),"-")</f>
        <v>0</v>
      </c>
      <c r="M491" s="38">
        <f>COUNTIF(퀘스트!B:B,표1[[#This Row],[명칭]])</f>
        <v>0</v>
      </c>
      <c r="N491" s="65">
        <f>COUNTIF([1]VillageDiscoveryGroup!$C:$C,표1[[#This Row],[명칭]])</f>
        <v>1</v>
      </c>
      <c r="O491" s="65">
        <f>SUM(표1[[#This Row],[해양탐색]:[마을탐험]])</f>
        <v>1</v>
      </c>
    </row>
    <row r="492" spans="2:15" ht="13.5" customHeight="1" x14ac:dyDescent="0.3">
      <c r="B492" s="9">
        <f>[1]Discovery!A498</f>
        <v>70404015</v>
      </c>
      <c r="C492" s="9" t="str">
        <f>[1]Discovery!B498</f>
        <v>방랑개미</v>
      </c>
      <c r="D492" s="9" t="str">
        <f>[1]Discovery!E498</f>
        <v>동물</v>
      </c>
      <c r="E492" s="9" t="str">
        <f>[1]Discovery!C498</f>
        <v>무척추동물</v>
      </c>
      <c r="F492" s="9" t="str">
        <f>[1]Discovery!G498</f>
        <v>A</v>
      </c>
      <c r="G492" s="9" t="str">
        <f>IFERROR(VLOOKUP(표1[[#This Row],[명칭]],'문화권 정리'!C:D,2,FALSE),"-")</f>
        <v>서아프리카</v>
      </c>
      <c r="H492" s="38" t="str">
        <f>IFERROR(COUNTIF([2]OceanDoodad!$Y:$Y,표1[[#This Row],[명칭]]),"-")</f>
        <v>-</v>
      </c>
      <c r="I492" s="38">
        <f>IFERROR(COUNTIF([1]AdventureDiscoveryGroup!$D$8:$AW$92,표1[[#This Row],[명칭]]),"-")</f>
        <v>0</v>
      </c>
      <c r="J492" s="38">
        <f>IFERROR(COUNTIF([1]FishDiscoveryGroup!$A:$X,표1[[#This Row],[명칭]]),"-")</f>
        <v>0</v>
      </c>
      <c r="K492" s="38" t="str">
        <f>IFERROR(COUNTIF([2]Town!$B:$B,표1[[#This Row],[명칭]]),"-")</f>
        <v>-</v>
      </c>
      <c r="L492" s="38">
        <f>IFERROR(COUNTIF([1]Village!$BR:$BR,표1[[#This Row],[명칭]]),"-")</f>
        <v>0</v>
      </c>
      <c r="M492" s="38">
        <f>COUNTIF(퀘스트!B:B,표1[[#This Row],[명칭]])</f>
        <v>0</v>
      </c>
      <c r="N492" s="65">
        <f>COUNTIF([1]VillageDiscoveryGroup!$C:$C,표1[[#This Row],[명칭]])</f>
        <v>1</v>
      </c>
      <c r="O492" s="65">
        <f>SUM(표1[[#This Row],[해양탐색]:[마을탐험]])</f>
        <v>1</v>
      </c>
    </row>
    <row r="493" spans="2:15" ht="13.5" customHeight="1" x14ac:dyDescent="0.3">
      <c r="B493" s="9">
        <f>[1]Discovery!A499</f>
        <v>70404016</v>
      </c>
      <c r="C493" s="9" t="str">
        <f>[1]Discovery!B499</f>
        <v>뱀눈나비</v>
      </c>
      <c r="D493" s="9" t="str">
        <f>[1]Discovery!E499</f>
        <v>동물</v>
      </c>
      <c r="E493" s="9" t="str">
        <f>[1]Discovery!C499</f>
        <v>무척추동물</v>
      </c>
      <c r="F493" s="9" t="str">
        <f>[1]Discovery!G499</f>
        <v>B</v>
      </c>
      <c r="G493" s="9" t="str">
        <f>IFERROR(VLOOKUP(표1[[#This Row],[명칭]],'문화권 정리'!C:D,2,FALSE),"-")</f>
        <v>유라시아</v>
      </c>
      <c r="H493" s="38" t="str">
        <f>IFERROR(COUNTIF([2]OceanDoodad!$Y:$Y,표1[[#This Row],[명칭]]),"-")</f>
        <v>-</v>
      </c>
      <c r="I493" s="38">
        <f>IFERROR(COUNTIF([1]AdventureDiscoveryGroup!$D$8:$AW$92,표1[[#This Row],[명칭]]),"-")</f>
        <v>1</v>
      </c>
      <c r="J493" s="38">
        <f>IFERROR(COUNTIF([1]FishDiscoveryGroup!$A:$X,표1[[#This Row],[명칭]]),"-")</f>
        <v>0</v>
      </c>
      <c r="K493" s="38" t="str">
        <f>IFERROR(COUNTIF([2]Town!$B:$B,표1[[#This Row],[명칭]]),"-")</f>
        <v>-</v>
      </c>
      <c r="L493" s="38">
        <f>IFERROR(COUNTIF([1]Village!$BR:$BR,표1[[#This Row],[명칭]]),"-")</f>
        <v>0</v>
      </c>
      <c r="M493" s="38">
        <f>COUNTIF(퀘스트!B:B,표1[[#This Row],[명칭]])</f>
        <v>0</v>
      </c>
      <c r="N493" s="65">
        <f>COUNTIF([1]VillageDiscoveryGroup!$C:$C,표1[[#This Row],[명칭]])</f>
        <v>0</v>
      </c>
      <c r="O493" s="65">
        <f>SUM(표1[[#This Row],[해양탐색]:[마을탐험]])</f>
        <v>1</v>
      </c>
    </row>
    <row r="494" spans="2:15" ht="13.5" customHeight="1" x14ac:dyDescent="0.3">
      <c r="B494" s="9">
        <f>[1]Discovery!A500</f>
        <v>70404017</v>
      </c>
      <c r="C494" s="9" t="str">
        <f>[1]Discovery!B500</f>
        <v>뿔매미</v>
      </c>
      <c r="D494" s="9" t="str">
        <f>[1]Discovery!E500</f>
        <v>동물</v>
      </c>
      <c r="E494" s="9" t="str">
        <f>[1]Discovery!C500</f>
        <v>무척추동물</v>
      </c>
      <c r="F494" s="9" t="str">
        <f>[1]Discovery!G500</f>
        <v>B</v>
      </c>
      <c r="G494" s="9" t="str">
        <f>IFERROR(VLOOKUP(표1[[#This Row],[명칭]],'문화권 정리'!C:D,2,FALSE),"-")</f>
        <v>남아메리카</v>
      </c>
      <c r="H494" s="38" t="str">
        <f>IFERROR(COUNTIF([2]OceanDoodad!$Y:$Y,표1[[#This Row],[명칭]]),"-")</f>
        <v>-</v>
      </c>
      <c r="I494" s="38">
        <f>IFERROR(COUNTIF([1]AdventureDiscoveryGroup!$D$8:$AW$92,표1[[#This Row],[명칭]]),"-")</f>
        <v>0</v>
      </c>
      <c r="J494" s="38">
        <f>IFERROR(COUNTIF([1]FishDiscoveryGroup!$A:$X,표1[[#This Row],[명칭]]),"-")</f>
        <v>0</v>
      </c>
      <c r="K494" s="38" t="str">
        <f>IFERROR(COUNTIF([2]Town!$B:$B,표1[[#This Row],[명칭]]),"-")</f>
        <v>-</v>
      </c>
      <c r="L494" s="38">
        <f>IFERROR(COUNTIF([1]Village!$BR:$BR,표1[[#This Row],[명칭]]),"-")</f>
        <v>0</v>
      </c>
      <c r="M494" s="38">
        <f>COUNTIF(퀘스트!B:B,표1[[#This Row],[명칭]])</f>
        <v>0</v>
      </c>
      <c r="N494" s="65">
        <f>COUNTIF([1]VillageDiscoveryGroup!$C:$C,표1[[#This Row],[명칭]])</f>
        <v>1</v>
      </c>
      <c r="O494" s="65">
        <f>SUM(표1[[#This Row],[해양탐색]:[마을탐험]])</f>
        <v>1</v>
      </c>
    </row>
    <row r="495" spans="2:15" ht="13.5" customHeight="1" x14ac:dyDescent="0.3">
      <c r="B495" s="9">
        <f>[1]Discovery!A501</f>
        <v>70404018</v>
      </c>
      <c r="C495" s="9" t="str">
        <f>[1]Discovery!B501</f>
        <v>사람얼굴노린재</v>
      </c>
      <c r="D495" s="9" t="str">
        <f>[1]Discovery!E501</f>
        <v>동물</v>
      </c>
      <c r="E495" s="9" t="str">
        <f>[1]Discovery!C501</f>
        <v>무척추동물</v>
      </c>
      <c r="F495" s="9" t="str">
        <f>[1]Discovery!G501</f>
        <v>S</v>
      </c>
      <c r="G495" s="9" t="str">
        <f>IFERROR(VLOOKUP(표1[[#This Row],[명칭]],'문화권 정리'!C:D,2,FALSE),"-")</f>
        <v>동남아시아</v>
      </c>
      <c r="H495" s="38" t="str">
        <f>IFERROR(COUNTIF([2]OceanDoodad!$Y:$Y,표1[[#This Row],[명칭]]),"-")</f>
        <v>-</v>
      </c>
      <c r="I495" s="38">
        <f>IFERROR(COUNTIF([1]AdventureDiscoveryGroup!$D$8:$AW$92,표1[[#This Row],[명칭]]),"-")</f>
        <v>1</v>
      </c>
      <c r="J495" s="38">
        <f>IFERROR(COUNTIF([1]FishDiscoveryGroup!$A:$X,표1[[#This Row],[명칭]]),"-")</f>
        <v>0</v>
      </c>
      <c r="K495" s="38" t="str">
        <f>IFERROR(COUNTIF([2]Town!$B:$B,표1[[#This Row],[명칭]]),"-")</f>
        <v>-</v>
      </c>
      <c r="L495" s="38">
        <f>IFERROR(COUNTIF([1]Village!$BR:$BR,표1[[#This Row],[명칭]]),"-")</f>
        <v>0</v>
      </c>
      <c r="M495" s="38">
        <f>COUNTIF(퀘스트!B:B,표1[[#This Row],[명칭]])</f>
        <v>0</v>
      </c>
      <c r="N495" s="65">
        <f>COUNTIF([1]VillageDiscoveryGroup!$C:$C,표1[[#This Row],[명칭]])</f>
        <v>0</v>
      </c>
      <c r="O495" s="65">
        <f>SUM(표1[[#This Row],[해양탐색]:[마을탐험]])</f>
        <v>1</v>
      </c>
    </row>
    <row r="496" spans="2:15" ht="13.5" customHeight="1" x14ac:dyDescent="0.3">
      <c r="B496" s="9">
        <f>[1]Discovery!A502</f>
        <v>70404019</v>
      </c>
      <c r="C496" s="9" t="str">
        <f>[1]Discovery!B502</f>
        <v>사막메뚜기</v>
      </c>
      <c r="D496" s="9" t="str">
        <f>[1]Discovery!E502</f>
        <v>동물</v>
      </c>
      <c r="E496" s="9" t="str">
        <f>[1]Discovery!C502</f>
        <v>무척추동물</v>
      </c>
      <c r="F496" s="9" t="str">
        <f>[1]Discovery!G502</f>
        <v>B</v>
      </c>
      <c r="G496" s="9" t="str">
        <f>IFERROR(VLOOKUP(표1[[#This Row],[명칭]],'문화권 정리'!C:D,2,FALSE),"-")</f>
        <v>동아프리카</v>
      </c>
      <c r="H496" s="38" t="str">
        <f>IFERROR(COUNTIF([2]OceanDoodad!$Y:$Y,표1[[#This Row],[명칭]]),"-")</f>
        <v>-</v>
      </c>
      <c r="I496" s="38">
        <f>IFERROR(COUNTIF([1]AdventureDiscoveryGroup!$D$8:$AW$92,표1[[#This Row],[명칭]]),"-")</f>
        <v>1</v>
      </c>
      <c r="J496" s="38">
        <f>IFERROR(COUNTIF([1]FishDiscoveryGroup!$A:$X,표1[[#This Row],[명칭]]),"-")</f>
        <v>0</v>
      </c>
      <c r="K496" s="38" t="str">
        <f>IFERROR(COUNTIF([2]Town!$B:$B,표1[[#This Row],[명칭]]),"-")</f>
        <v>-</v>
      </c>
      <c r="L496" s="38">
        <f>IFERROR(COUNTIF([1]Village!$BR:$BR,표1[[#This Row],[명칭]]),"-")</f>
        <v>0</v>
      </c>
      <c r="M496" s="38">
        <f>COUNTIF(퀘스트!B:B,표1[[#This Row],[명칭]])</f>
        <v>0</v>
      </c>
      <c r="N496" s="65">
        <f>COUNTIF([1]VillageDiscoveryGroup!$C:$C,표1[[#This Row],[명칭]])</f>
        <v>0</v>
      </c>
      <c r="O496" s="65">
        <f>SUM(표1[[#This Row],[해양탐색]:[마을탐험]])</f>
        <v>1</v>
      </c>
    </row>
    <row r="497" spans="2:15" ht="13.5" customHeight="1" x14ac:dyDescent="0.3">
      <c r="B497" s="9">
        <f>[1]Discovery!A503</f>
        <v>70404020</v>
      </c>
      <c r="C497" s="9" t="str">
        <f>[1]Discovery!B503</f>
        <v>사슴벌레</v>
      </c>
      <c r="D497" s="9" t="str">
        <f>[1]Discovery!E503</f>
        <v>동물</v>
      </c>
      <c r="E497" s="9" t="str">
        <f>[1]Discovery!C503</f>
        <v>무척추동물</v>
      </c>
      <c r="F497" s="9" t="str">
        <f>[1]Discovery!G503</f>
        <v>B</v>
      </c>
      <c r="G497" s="9" t="str">
        <f>IFERROR(VLOOKUP(표1[[#This Row],[명칭]],'문화권 정리'!C:D,2,FALSE),"-")</f>
        <v>남아시아</v>
      </c>
      <c r="H497" s="38" t="str">
        <f>IFERROR(COUNTIF([2]OceanDoodad!$Y:$Y,표1[[#This Row],[명칭]]),"-")</f>
        <v>-</v>
      </c>
      <c r="I497" s="38">
        <f>IFERROR(COUNTIF([1]AdventureDiscoveryGroup!$D$8:$AW$92,표1[[#This Row],[명칭]]),"-")</f>
        <v>1</v>
      </c>
      <c r="J497" s="38">
        <f>IFERROR(COUNTIF([1]FishDiscoveryGroup!$A:$X,표1[[#This Row],[명칭]]),"-")</f>
        <v>0</v>
      </c>
      <c r="K497" s="38" t="str">
        <f>IFERROR(COUNTIF([2]Town!$B:$B,표1[[#This Row],[명칭]]),"-")</f>
        <v>-</v>
      </c>
      <c r="L497" s="38">
        <f>IFERROR(COUNTIF([1]Village!$BR:$BR,표1[[#This Row],[명칭]]),"-")</f>
        <v>0</v>
      </c>
      <c r="M497" s="38">
        <f>COUNTIF(퀘스트!B:B,표1[[#This Row],[명칭]])</f>
        <v>0</v>
      </c>
      <c r="N497" s="65">
        <f>COUNTIF([1]VillageDiscoveryGroup!$C:$C,표1[[#This Row],[명칭]])</f>
        <v>0</v>
      </c>
      <c r="O497" s="65">
        <f>SUM(표1[[#This Row],[해양탐색]:[마을탐험]])</f>
        <v>1</v>
      </c>
    </row>
    <row r="498" spans="2:15" ht="13.5" customHeight="1" x14ac:dyDescent="0.3">
      <c r="B498" s="9">
        <f>[1]Discovery!A504</f>
        <v>70404021</v>
      </c>
      <c r="C498" s="9" t="str">
        <f>[1]Discovery!B504</f>
        <v>사하라사막개미</v>
      </c>
      <c r="D498" s="9" t="str">
        <f>[1]Discovery!E504</f>
        <v>동물</v>
      </c>
      <c r="E498" s="9" t="str">
        <f>[1]Discovery!C504</f>
        <v>무척추동물</v>
      </c>
      <c r="F498" s="9" t="str">
        <f>[1]Discovery!G504</f>
        <v>S</v>
      </c>
      <c r="G498" s="9" t="str">
        <f>IFERROR(VLOOKUP(표1[[#This Row],[명칭]],'문화권 정리'!C:D,2,FALSE),"-")</f>
        <v>동아프리카</v>
      </c>
      <c r="H498" s="38" t="str">
        <f>IFERROR(COUNTIF([2]OceanDoodad!$Y:$Y,표1[[#This Row],[명칭]]),"-")</f>
        <v>-</v>
      </c>
      <c r="I498" s="38">
        <f>IFERROR(COUNTIF([1]AdventureDiscoveryGroup!$D$8:$AW$92,표1[[#This Row],[명칭]]),"-")</f>
        <v>0</v>
      </c>
      <c r="J498" s="38">
        <f>IFERROR(COUNTIF([1]FishDiscoveryGroup!$A:$X,표1[[#This Row],[명칭]]),"-")</f>
        <v>0</v>
      </c>
      <c r="K498" s="38" t="str">
        <f>IFERROR(COUNTIF([2]Town!$B:$B,표1[[#This Row],[명칭]]),"-")</f>
        <v>-</v>
      </c>
      <c r="L498" s="38">
        <f>IFERROR(COUNTIF([1]Village!$BR:$BR,표1[[#This Row],[명칭]]),"-")</f>
        <v>0</v>
      </c>
      <c r="M498" s="38">
        <f>COUNTIF(퀘스트!B:B,표1[[#This Row],[명칭]])</f>
        <v>0</v>
      </c>
      <c r="N498" s="65">
        <f>COUNTIF([1]VillageDiscoveryGroup!$C:$C,표1[[#This Row],[명칭]])</f>
        <v>0</v>
      </c>
      <c r="O498" s="65">
        <f>SUM(표1[[#This Row],[해양탐색]:[마을탐험]])</f>
        <v>0</v>
      </c>
    </row>
    <row r="499" spans="2:15" ht="13.5" customHeight="1" x14ac:dyDescent="0.3">
      <c r="B499" s="9">
        <f>[1]Discovery!A505</f>
        <v>70404022</v>
      </c>
      <c r="C499" s="9" t="str">
        <f>[1]Discovery!B505</f>
        <v>사향제비나비</v>
      </c>
      <c r="D499" s="9" t="str">
        <f>[1]Discovery!E505</f>
        <v>동물</v>
      </c>
      <c r="E499" s="9" t="str">
        <f>[1]Discovery!C505</f>
        <v>무척추동물</v>
      </c>
      <c r="F499" s="9" t="str">
        <f>[1]Discovery!G505</f>
        <v>B</v>
      </c>
      <c r="G499" s="9" t="str">
        <f>IFERROR(VLOOKUP(표1[[#This Row],[명칭]],'문화권 정리'!C:D,2,FALSE),"-")</f>
        <v>동아시아</v>
      </c>
      <c r="H499" s="38" t="str">
        <f>IFERROR(COUNTIF([2]OceanDoodad!$Y:$Y,표1[[#This Row],[명칭]]),"-")</f>
        <v>-</v>
      </c>
      <c r="I499" s="38">
        <f>IFERROR(COUNTIF([1]AdventureDiscoveryGroup!$D$8:$AW$92,표1[[#This Row],[명칭]]),"-")</f>
        <v>1</v>
      </c>
      <c r="J499" s="38">
        <f>IFERROR(COUNTIF([1]FishDiscoveryGroup!$A:$X,표1[[#This Row],[명칭]]),"-")</f>
        <v>0</v>
      </c>
      <c r="K499" s="38" t="str">
        <f>IFERROR(COUNTIF([2]Town!$B:$B,표1[[#This Row],[명칭]]),"-")</f>
        <v>-</v>
      </c>
      <c r="L499" s="38">
        <f>IFERROR(COUNTIF([1]Village!$BR:$BR,표1[[#This Row],[명칭]]),"-")</f>
        <v>0</v>
      </c>
      <c r="M499" s="38">
        <f>COUNTIF(퀘스트!B:B,표1[[#This Row],[명칭]])</f>
        <v>0</v>
      </c>
      <c r="N499" s="65">
        <f>COUNTIF([1]VillageDiscoveryGroup!$C:$C,표1[[#This Row],[명칭]])</f>
        <v>0</v>
      </c>
      <c r="O499" s="65">
        <f>SUM(표1[[#This Row],[해양탐색]:[마을탐험]])</f>
        <v>1</v>
      </c>
    </row>
    <row r="500" spans="2:15" ht="13.5" customHeight="1" x14ac:dyDescent="0.3">
      <c r="B500" s="9">
        <f>[1]Discovery!A506</f>
        <v>70404023</v>
      </c>
      <c r="C500" s="9" t="str">
        <f>[1]Discovery!B506</f>
        <v>신선나비</v>
      </c>
      <c r="D500" s="9" t="str">
        <f>[1]Discovery!E506</f>
        <v>동물</v>
      </c>
      <c r="E500" s="9" t="str">
        <f>[1]Discovery!C506</f>
        <v>무척추동물</v>
      </c>
      <c r="F500" s="9" t="str">
        <f>[1]Discovery!G506</f>
        <v>B</v>
      </c>
      <c r="G500" s="9" t="str">
        <f>IFERROR(VLOOKUP(표1[[#This Row],[명칭]],'문화권 정리'!C:D,2,FALSE),"-")</f>
        <v>북아메리카</v>
      </c>
      <c r="H500" s="38" t="str">
        <f>IFERROR(COUNTIF([2]OceanDoodad!$Y:$Y,표1[[#This Row],[명칭]]),"-")</f>
        <v>-</v>
      </c>
      <c r="I500" s="38">
        <f>IFERROR(COUNTIF([1]AdventureDiscoveryGroup!$D$8:$AW$92,표1[[#This Row],[명칭]]),"-")</f>
        <v>1</v>
      </c>
      <c r="J500" s="38">
        <f>IFERROR(COUNTIF([1]FishDiscoveryGroup!$A:$X,표1[[#This Row],[명칭]]),"-")</f>
        <v>0</v>
      </c>
      <c r="K500" s="38" t="str">
        <f>IFERROR(COUNTIF([2]Town!$B:$B,표1[[#This Row],[명칭]]),"-")</f>
        <v>-</v>
      </c>
      <c r="L500" s="38">
        <f>IFERROR(COUNTIF([1]Village!$BR:$BR,표1[[#This Row],[명칭]]),"-")</f>
        <v>0</v>
      </c>
      <c r="M500" s="38">
        <f>COUNTIF(퀘스트!B:B,표1[[#This Row],[명칭]])</f>
        <v>0</v>
      </c>
      <c r="N500" s="65">
        <f>COUNTIF([1]VillageDiscoveryGroup!$C:$C,표1[[#This Row],[명칭]])</f>
        <v>0</v>
      </c>
      <c r="O500" s="65">
        <f>SUM(표1[[#This Row],[해양탐색]:[마을탐험]])</f>
        <v>1</v>
      </c>
    </row>
    <row r="501" spans="2:15" ht="13.5" customHeight="1" x14ac:dyDescent="0.3">
      <c r="B501" s="9">
        <f>[1]Discovery!A507</f>
        <v>70404024</v>
      </c>
      <c r="C501" s="9" t="str">
        <f>[1]Discovery!B507</f>
        <v>아틀라스대왕산누에나방</v>
      </c>
      <c r="D501" s="9" t="str">
        <f>[1]Discovery!E507</f>
        <v>동물</v>
      </c>
      <c r="E501" s="9" t="str">
        <f>[1]Discovery!C507</f>
        <v>무척추동물</v>
      </c>
      <c r="F501" s="9" t="str">
        <f>[1]Discovery!G507</f>
        <v>D</v>
      </c>
      <c r="G501" s="9" t="str">
        <f>IFERROR(VLOOKUP(표1[[#This Row],[명칭]],'문화권 정리'!C:D,2,FALSE),"-")</f>
        <v>동아시아</v>
      </c>
      <c r="H501" s="38" t="str">
        <f>IFERROR(COUNTIF([2]OceanDoodad!$Y:$Y,표1[[#This Row],[명칭]]),"-")</f>
        <v>-</v>
      </c>
      <c r="I501" s="38">
        <f>IFERROR(COUNTIF([1]AdventureDiscoveryGroup!$D$8:$AW$92,표1[[#This Row],[명칭]]),"-")</f>
        <v>0</v>
      </c>
      <c r="J501" s="38">
        <f>IFERROR(COUNTIF([1]FishDiscoveryGroup!$A:$X,표1[[#This Row],[명칭]]),"-")</f>
        <v>0</v>
      </c>
      <c r="K501" s="38" t="str">
        <f>IFERROR(COUNTIF([2]Town!$B:$B,표1[[#This Row],[명칭]]),"-")</f>
        <v>-</v>
      </c>
      <c r="L501" s="38">
        <f>IFERROR(COUNTIF([1]Village!$BR:$BR,표1[[#This Row],[명칭]]),"-")</f>
        <v>0</v>
      </c>
      <c r="M501" s="38">
        <f>COUNTIF(퀘스트!B:B,표1[[#This Row],[명칭]])</f>
        <v>0</v>
      </c>
      <c r="N501" s="65">
        <f>COUNTIF([1]VillageDiscoveryGroup!$C:$C,표1[[#This Row],[명칭]])</f>
        <v>0</v>
      </c>
      <c r="O501" s="65">
        <f>SUM(표1[[#This Row],[해양탐색]:[마을탐험]])</f>
        <v>0</v>
      </c>
    </row>
    <row r="502" spans="2:15" ht="13.5" customHeight="1" x14ac:dyDescent="0.3">
      <c r="B502" s="9">
        <f>[1]Discovery!A508</f>
        <v>70404025</v>
      </c>
      <c r="C502" s="9" t="str">
        <f>[1]Discovery!B508</f>
        <v>아틀라스왕장수풍뎅이</v>
      </c>
      <c r="D502" s="9" t="str">
        <f>[1]Discovery!E508</f>
        <v>동물</v>
      </c>
      <c r="E502" s="9" t="str">
        <f>[1]Discovery!C508</f>
        <v>무척추동물</v>
      </c>
      <c r="F502" s="9" t="str">
        <f>[1]Discovery!G508</f>
        <v>D</v>
      </c>
      <c r="G502" s="9" t="str">
        <f>IFERROR(VLOOKUP(표1[[#This Row],[명칭]],'문화권 정리'!C:D,2,FALSE),"-")</f>
        <v>동남아시아</v>
      </c>
      <c r="H502" s="38" t="str">
        <f>IFERROR(COUNTIF([2]OceanDoodad!$Y:$Y,표1[[#This Row],[명칭]]),"-")</f>
        <v>-</v>
      </c>
      <c r="I502" s="38">
        <f>IFERROR(COUNTIF([1]AdventureDiscoveryGroup!$D$8:$AW$92,표1[[#This Row],[명칭]]),"-")</f>
        <v>1</v>
      </c>
      <c r="J502" s="38">
        <f>IFERROR(COUNTIF([1]FishDiscoveryGroup!$A:$X,표1[[#This Row],[명칭]]),"-")</f>
        <v>0</v>
      </c>
      <c r="K502" s="38" t="str">
        <f>IFERROR(COUNTIF([2]Town!$B:$B,표1[[#This Row],[명칭]]),"-")</f>
        <v>-</v>
      </c>
      <c r="L502" s="38">
        <f>IFERROR(COUNTIF([1]Village!$BR:$BR,표1[[#This Row],[명칭]]),"-")</f>
        <v>0</v>
      </c>
      <c r="M502" s="38">
        <f>COUNTIF(퀘스트!B:B,표1[[#This Row],[명칭]])</f>
        <v>0</v>
      </c>
      <c r="N502" s="65">
        <f>COUNTIF([1]VillageDiscoveryGroup!$C:$C,표1[[#This Row],[명칭]])</f>
        <v>0</v>
      </c>
      <c r="O502" s="65">
        <f>SUM(표1[[#This Row],[해양탐색]:[마을탐험]])</f>
        <v>1</v>
      </c>
    </row>
    <row r="503" spans="2:15" ht="13.5" customHeight="1" x14ac:dyDescent="0.3">
      <c r="B503" s="9">
        <f>[1]Discovery!A509</f>
        <v>70404026</v>
      </c>
      <c r="C503" s="9" t="str">
        <f>[1]Discovery!B509</f>
        <v>아폴로모시나비</v>
      </c>
      <c r="D503" s="9" t="str">
        <f>[1]Discovery!E509</f>
        <v>동물</v>
      </c>
      <c r="E503" s="9" t="str">
        <f>[1]Discovery!C509</f>
        <v>무척추동물</v>
      </c>
      <c r="F503" s="9" t="str">
        <f>[1]Discovery!G509</f>
        <v>A</v>
      </c>
      <c r="G503" s="9" t="str">
        <f>IFERROR(VLOOKUP(표1[[#This Row],[명칭]],'문화권 정리'!C:D,2,FALSE),"-")</f>
        <v>극지방</v>
      </c>
      <c r="H503" s="38" t="str">
        <f>IFERROR(COUNTIF([2]OceanDoodad!$Y:$Y,표1[[#This Row],[명칭]]),"-")</f>
        <v>-</v>
      </c>
      <c r="I503" s="38">
        <f>IFERROR(COUNTIF([1]AdventureDiscoveryGroup!$D$8:$AW$92,표1[[#This Row],[명칭]]),"-")</f>
        <v>1</v>
      </c>
      <c r="J503" s="38">
        <f>IFERROR(COUNTIF([1]FishDiscoveryGroup!$A:$X,표1[[#This Row],[명칭]]),"-")</f>
        <v>0</v>
      </c>
      <c r="K503" s="38" t="str">
        <f>IFERROR(COUNTIF([2]Town!$B:$B,표1[[#This Row],[명칭]]),"-")</f>
        <v>-</v>
      </c>
      <c r="L503" s="38">
        <f>IFERROR(COUNTIF([1]Village!$BR:$BR,표1[[#This Row],[명칭]]),"-")</f>
        <v>0</v>
      </c>
      <c r="M503" s="38">
        <f>COUNTIF(퀘스트!B:B,표1[[#This Row],[명칭]])</f>
        <v>0</v>
      </c>
      <c r="N503" s="65">
        <f>COUNTIF([1]VillageDiscoveryGroup!$C:$C,표1[[#This Row],[명칭]])</f>
        <v>0</v>
      </c>
      <c r="O503" s="65">
        <f>SUM(표1[[#This Row],[해양탐색]:[마을탐험]])</f>
        <v>1</v>
      </c>
    </row>
    <row r="504" spans="2:15" ht="13.5" customHeight="1" x14ac:dyDescent="0.3">
      <c r="B504" s="9">
        <f>[1]Discovery!A510</f>
        <v>70404027</v>
      </c>
      <c r="C504" s="9" t="str">
        <f>[1]Discovery!B510</f>
        <v>악어머리뿔매미</v>
      </c>
      <c r="D504" s="9" t="str">
        <f>[1]Discovery!E510</f>
        <v>동물</v>
      </c>
      <c r="E504" s="9" t="str">
        <f>[1]Discovery!C510</f>
        <v>무척추동물</v>
      </c>
      <c r="F504" s="9" t="str">
        <f>[1]Discovery!G510</f>
        <v>D</v>
      </c>
      <c r="G504" s="9" t="str">
        <f>IFERROR(VLOOKUP(표1[[#This Row],[명칭]],'문화권 정리'!C:D,2,FALSE),"-")</f>
        <v>남아메리카</v>
      </c>
      <c r="H504" s="38" t="str">
        <f>IFERROR(COUNTIF([2]OceanDoodad!$Y:$Y,표1[[#This Row],[명칭]]),"-")</f>
        <v>-</v>
      </c>
      <c r="I504" s="38">
        <f>IFERROR(COUNTIF([1]AdventureDiscoveryGroup!$D$8:$AW$92,표1[[#This Row],[명칭]]),"-")</f>
        <v>1</v>
      </c>
      <c r="J504" s="38">
        <f>IFERROR(COUNTIF([1]FishDiscoveryGroup!$A:$X,표1[[#This Row],[명칭]]),"-")</f>
        <v>0</v>
      </c>
      <c r="K504" s="38" t="str">
        <f>IFERROR(COUNTIF([2]Town!$B:$B,표1[[#This Row],[명칭]]),"-")</f>
        <v>-</v>
      </c>
      <c r="L504" s="38">
        <f>IFERROR(COUNTIF([1]Village!$BR:$BR,표1[[#This Row],[명칭]]),"-")</f>
        <v>0</v>
      </c>
      <c r="M504" s="38">
        <f>COUNTIF(퀘스트!B:B,표1[[#This Row],[명칭]])</f>
        <v>0</v>
      </c>
      <c r="N504" s="65">
        <f>COUNTIF([1]VillageDiscoveryGroup!$C:$C,표1[[#This Row],[명칭]])</f>
        <v>0</v>
      </c>
      <c r="O504" s="65">
        <f>SUM(표1[[#This Row],[해양탐색]:[마을탐험]])</f>
        <v>1</v>
      </c>
    </row>
    <row r="505" spans="2:15" ht="13.5" customHeight="1" x14ac:dyDescent="0.3">
      <c r="B505" s="9">
        <f>[1]Discovery!A511</f>
        <v>70404028</v>
      </c>
      <c r="C505" s="9" t="str">
        <f>[1]Discovery!B511</f>
        <v>오각뿔장수풍뎅이</v>
      </c>
      <c r="D505" s="9" t="str">
        <f>[1]Discovery!E511</f>
        <v>동물</v>
      </c>
      <c r="E505" s="9" t="str">
        <f>[1]Discovery!C511</f>
        <v>무척추동물</v>
      </c>
      <c r="F505" s="9" t="str">
        <f>[1]Discovery!G511</f>
        <v>A</v>
      </c>
      <c r="G505" s="9" t="str">
        <f>IFERROR(VLOOKUP(표1[[#This Row],[명칭]],'문화권 정리'!C:D,2,FALSE),"-")</f>
        <v>동남아시아</v>
      </c>
      <c r="H505" s="38" t="str">
        <f>IFERROR(COUNTIF([2]OceanDoodad!$Y:$Y,표1[[#This Row],[명칭]]),"-")</f>
        <v>-</v>
      </c>
      <c r="I505" s="38">
        <f>IFERROR(COUNTIF([1]AdventureDiscoveryGroup!$D$8:$AW$92,표1[[#This Row],[명칭]]),"-")</f>
        <v>1</v>
      </c>
      <c r="J505" s="38">
        <f>IFERROR(COUNTIF([1]FishDiscoveryGroup!$A:$X,표1[[#This Row],[명칭]]),"-")</f>
        <v>0</v>
      </c>
      <c r="K505" s="38" t="str">
        <f>IFERROR(COUNTIF([2]Town!$B:$B,표1[[#This Row],[명칭]]),"-")</f>
        <v>-</v>
      </c>
      <c r="L505" s="38">
        <f>IFERROR(COUNTIF([1]Village!$BR:$BR,표1[[#This Row],[명칭]]),"-")</f>
        <v>0</v>
      </c>
      <c r="M505" s="38">
        <f>COUNTIF(퀘스트!B:B,표1[[#This Row],[명칭]])</f>
        <v>0</v>
      </c>
      <c r="N505" s="65">
        <f>COUNTIF([1]VillageDiscoveryGroup!$C:$C,표1[[#This Row],[명칭]])</f>
        <v>0</v>
      </c>
      <c r="O505" s="65">
        <f>SUM(표1[[#This Row],[해양탐색]:[마을탐험]])</f>
        <v>1</v>
      </c>
    </row>
    <row r="506" spans="2:15" ht="13.5" customHeight="1" x14ac:dyDescent="0.3">
      <c r="B506" s="9">
        <f>[1]Discovery!A512</f>
        <v>70404029</v>
      </c>
      <c r="C506" s="9" t="str">
        <f>[1]Discovery!B512</f>
        <v>왕넓적사슴벌레</v>
      </c>
      <c r="D506" s="9" t="str">
        <f>[1]Discovery!E512</f>
        <v>동물</v>
      </c>
      <c r="E506" s="9" t="str">
        <f>[1]Discovery!C512</f>
        <v>무척추동물</v>
      </c>
      <c r="F506" s="9" t="str">
        <f>[1]Discovery!G512</f>
        <v>A</v>
      </c>
      <c r="G506" s="9" t="str">
        <f>IFERROR(VLOOKUP(표1[[#This Row],[명칭]],'문화권 정리'!C:D,2,FALSE),"-")</f>
        <v>동남아시아</v>
      </c>
      <c r="H506" s="38" t="str">
        <f>IFERROR(COUNTIF([2]OceanDoodad!$Y:$Y,표1[[#This Row],[명칭]]),"-")</f>
        <v>-</v>
      </c>
      <c r="I506" s="38">
        <f>IFERROR(COUNTIF([1]AdventureDiscoveryGroup!$D$8:$AW$92,표1[[#This Row],[명칭]]),"-")</f>
        <v>0</v>
      </c>
      <c r="J506" s="38">
        <f>IFERROR(COUNTIF([1]FishDiscoveryGroup!$A:$X,표1[[#This Row],[명칭]]),"-")</f>
        <v>0</v>
      </c>
      <c r="K506" s="38" t="str">
        <f>IFERROR(COUNTIF([2]Town!$B:$B,표1[[#This Row],[명칭]]),"-")</f>
        <v>-</v>
      </c>
      <c r="L506" s="38">
        <f>IFERROR(COUNTIF([1]Village!$BR:$BR,표1[[#This Row],[명칭]]),"-")</f>
        <v>0</v>
      </c>
      <c r="M506" s="38">
        <f>COUNTIF(퀘스트!B:B,표1[[#This Row],[명칭]])</f>
        <v>0</v>
      </c>
      <c r="N506" s="65">
        <f>COUNTIF([1]VillageDiscoveryGroup!$C:$C,표1[[#This Row],[명칭]])</f>
        <v>1</v>
      </c>
      <c r="O506" s="65">
        <f>SUM(표1[[#This Row],[해양탐색]:[마을탐험]])</f>
        <v>1</v>
      </c>
    </row>
    <row r="507" spans="2:15" ht="13.5" customHeight="1" x14ac:dyDescent="0.3">
      <c r="B507" s="9">
        <f>[1]Discovery!A513</f>
        <v>70404030</v>
      </c>
      <c r="C507" s="9" t="str">
        <f>[1]Discovery!B513</f>
        <v>왕오색나비</v>
      </c>
      <c r="D507" s="9" t="str">
        <f>[1]Discovery!E513</f>
        <v>동물</v>
      </c>
      <c r="E507" s="9" t="str">
        <f>[1]Discovery!C513</f>
        <v>무척추동물</v>
      </c>
      <c r="F507" s="9" t="str">
        <f>[1]Discovery!G513</f>
        <v>C</v>
      </c>
      <c r="G507" s="9" t="str">
        <f>IFERROR(VLOOKUP(표1[[#This Row],[명칭]],'문화권 정리'!C:D,2,FALSE),"-")</f>
        <v>동아시아</v>
      </c>
      <c r="H507" s="38" t="str">
        <f>IFERROR(COUNTIF([2]OceanDoodad!$Y:$Y,표1[[#This Row],[명칭]]),"-")</f>
        <v>-</v>
      </c>
      <c r="I507" s="38">
        <f>IFERROR(COUNTIF([1]AdventureDiscoveryGroup!$D$8:$AW$92,표1[[#This Row],[명칭]]),"-")</f>
        <v>1</v>
      </c>
      <c r="J507" s="38">
        <f>IFERROR(COUNTIF([1]FishDiscoveryGroup!$A:$X,표1[[#This Row],[명칭]]),"-")</f>
        <v>0</v>
      </c>
      <c r="K507" s="38" t="str">
        <f>IFERROR(COUNTIF([2]Town!$B:$B,표1[[#This Row],[명칭]]),"-")</f>
        <v>-</v>
      </c>
      <c r="L507" s="38">
        <f>IFERROR(COUNTIF([1]Village!$BR:$BR,표1[[#This Row],[명칭]]),"-")</f>
        <v>0</v>
      </c>
      <c r="M507" s="38">
        <f>COUNTIF(퀘스트!B:B,표1[[#This Row],[명칭]])</f>
        <v>0</v>
      </c>
      <c r="N507" s="65">
        <f>COUNTIF([1]VillageDiscoveryGroup!$C:$C,표1[[#This Row],[명칭]])</f>
        <v>0</v>
      </c>
      <c r="O507" s="65">
        <f>SUM(표1[[#This Row],[해양탐색]:[마을탐험]])</f>
        <v>1</v>
      </c>
    </row>
    <row r="508" spans="2:15" ht="13.5" customHeight="1" x14ac:dyDescent="0.3">
      <c r="B508" s="9">
        <f>[1]Discovery!A514</f>
        <v>70404031</v>
      </c>
      <c r="C508" s="9" t="str">
        <f>[1]Discovery!B514</f>
        <v>웨이스키보라띠제비나비</v>
      </c>
      <c r="D508" s="9" t="str">
        <f>[1]Discovery!E514</f>
        <v>동물</v>
      </c>
      <c r="E508" s="9" t="str">
        <f>[1]Discovery!C514</f>
        <v>무척추동물</v>
      </c>
      <c r="F508" s="9" t="str">
        <f>[1]Discovery!G514</f>
        <v>A</v>
      </c>
      <c r="G508" s="9" t="str">
        <f>IFERROR(VLOOKUP(표1[[#This Row],[명칭]],'문화권 정리'!C:D,2,FALSE),"-")</f>
        <v>동남아시아</v>
      </c>
      <c r="H508" s="38" t="str">
        <f>IFERROR(COUNTIF([2]OceanDoodad!$Y:$Y,표1[[#This Row],[명칭]]),"-")</f>
        <v>-</v>
      </c>
      <c r="I508" s="38">
        <f>IFERROR(COUNTIF([1]AdventureDiscoveryGroup!$D$8:$AW$92,표1[[#This Row],[명칭]]),"-")</f>
        <v>1</v>
      </c>
      <c r="J508" s="38">
        <f>IFERROR(COUNTIF([1]FishDiscoveryGroup!$A:$X,표1[[#This Row],[명칭]]),"-")</f>
        <v>0</v>
      </c>
      <c r="K508" s="38" t="str">
        <f>IFERROR(COUNTIF([2]Town!$B:$B,표1[[#This Row],[명칭]]),"-")</f>
        <v>-</v>
      </c>
      <c r="L508" s="38">
        <f>IFERROR(COUNTIF([1]Village!$BR:$BR,표1[[#This Row],[명칭]]),"-")</f>
        <v>0</v>
      </c>
      <c r="M508" s="38">
        <f>COUNTIF(퀘스트!B:B,표1[[#This Row],[명칭]])</f>
        <v>0</v>
      </c>
      <c r="N508" s="65">
        <f>COUNTIF([1]VillageDiscoveryGroup!$C:$C,표1[[#This Row],[명칭]])</f>
        <v>0</v>
      </c>
      <c r="O508" s="65">
        <f>SUM(표1[[#This Row],[해양탐색]:[마을탐험]])</f>
        <v>1</v>
      </c>
    </row>
    <row r="509" spans="2:15" ht="13.5" customHeight="1" x14ac:dyDescent="0.3">
      <c r="B509" s="9">
        <f>[1]Discovery!A515</f>
        <v>70404032</v>
      </c>
      <c r="C509" s="9" t="str">
        <f>[1]Discovery!B515</f>
        <v>유리창나비</v>
      </c>
      <c r="D509" s="9" t="str">
        <f>[1]Discovery!E515</f>
        <v>동물</v>
      </c>
      <c r="E509" s="9" t="str">
        <f>[1]Discovery!C515</f>
        <v>무척추동물</v>
      </c>
      <c r="F509" s="9" t="str">
        <f>[1]Discovery!G515</f>
        <v>C</v>
      </c>
      <c r="G509" s="9" t="str">
        <f>IFERROR(VLOOKUP(표1[[#This Row],[명칭]],'문화권 정리'!C:D,2,FALSE),"-")</f>
        <v>동아시아</v>
      </c>
      <c r="H509" s="38" t="str">
        <f>IFERROR(COUNTIF([2]OceanDoodad!$Y:$Y,표1[[#This Row],[명칭]]),"-")</f>
        <v>-</v>
      </c>
      <c r="I509" s="38">
        <f>IFERROR(COUNTIF([1]AdventureDiscoveryGroup!$D$8:$AW$92,표1[[#This Row],[명칭]]),"-")</f>
        <v>0</v>
      </c>
      <c r="J509" s="38">
        <f>IFERROR(COUNTIF([1]FishDiscoveryGroup!$A:$X,표1[[#This Row],[명칭]]),"-")</f>
        <v>0</v>
      </c>
      <c r="K509" s="38" t="str">
        <f>IFERROR(COUNTIF([2]Town!$B:$B,표1[[#This Row],[명칭]]),"-")</f>
        <v>-</v>
      </c>
      <c r="L509" s="38">
        <f>IFERROR(COUNTIF([1]Village!$BR:$BR,표1[[#This Row],[명칭]]),"-")</f>
        <v>0</v>
      </c>
      <c r="M509" s="38">
        <f>COUNTIF(퀘스트!B:B,표1[[#This Row],[명칭]])</f>
        <v>0</v>
      </c>
      <c r="N509" s="65">
        <f>COUNTIF([1]VillageDiscoveryGroup!$C:$C,표1[[#This Row],[명칭]])</f>
        <v>0</v>
      </c>
      <c r="O509" s="65">
        <f>SUM(표1[[#This Row],[해양탐색]:[마을탐험]])</f>
        <v>0</v>
      </c>
    </row>
    <row r="510" spans="2:15" ht="13.5" customHeight="1" x14ac:dyDescent="0.3">
      <c r="B510" s="9">
        <f>[1]Discovery!A516</f>
        <v>70404033</v>
      </c>
      <c r="C510" s="9" t="str">
        <f>[1]Discovery!B516</f>
        <v>잘모키스제비나비</v>
      </c>
      <c r="D510" s="9" t="str">
        <f>[1]Discovery!E516</f>
        <v>동물</v>
      </c>
      <c r="E510" s="9" t="str">
        <f>[1]Discovery!C516</f>
        <v>무척추동물</v>
      </c>
      <c r="F510" s="9" t="str">
        <f>[1]Discovery!G516</f>
        <v>C</v>
      </c>
      <c r="G510" s="9" t="str">
        <f>IFERROR(VLOOKUP(표1[[#This Row],[명칭]],'문화권 정리'!C:D,2,FALSE),"-")</f>
        <v>서아프리카</v>
      </c>
      <c r="H510" s="38" t="str">
        <f>IFERROR(COUNTIF([2]OceanDoodad!$Y:$Y,표1[[#This Row],[명칭]]),"-")</f>
        <v>-</v>
      </c>
      <c r="I510" s="38">
        <f>IFERROR(COUNTIF([1]AdventureDiscoveryGroup!$D$8:$AW$92,표1[[#This Row],[명칭]]),"-")</f>
        <v>1</v>
      </c>
      <c r="J510" s="38">
        <f>IFERROR(COUNTIF([1]FishDiscoveryGroup!$A:$X,표1[[#This Row],[명칭]]),"-")</f>
        <v>0</v>
      </c>
      <c r="K510" s="38" t="str">
        <f>IFERROR(COUNTIF([2]Town!$B:$B,표1[[#This Row],[명칭]]),"-")</f>
        <v>-</v>
      </c>
      <c r="L510" s="38">
        <f>IFERROR(COUNTIF([1]Village!$BR:$BR,표1[[#This Row],[명칭]]),"-")</f>
        <v>0</v>
      </c>
      <c r="M510" s="38">
        <f>COUNTIF(퀘스트!B:B,표1[[#This Row],[명칭]])</f>
        <v>0</v>
      </c>
      <c r="N510" s="65">
        <f>COUNTIF([1]VillageDiscoveryGroup!$C:$C,표1[[#This Row],[명칭]])</f>
        <v>0</v>
      </c>
      <c r="O510" s="65">
        <f>SUM(표1[[#This Row],[해양탐색]:[마을탐험]])</f>
        <v>1</v>
      </c>
    </row>
    <row r="511" spans="2:15" ht="13.5" customHeight="1" x14ac:dyDescent="0.3">
      <c r="B511" s="9">
        <f>[1]Discovery!A517</f>
        <v>70404034</v>
      </c>
      <c r="C511" s="9" t="str">
        <f>[1]Discovery!B517</f>
        <v>장수하늘소</v>
      </c>
      <c r="D511" s="9" t="str">
        <f>[1]Discovery!E517</f>
        <v>동물</v>
      </c>
      <c r="E511" s="9" t="str">
        <f>[1]Discovery!C517</f>
        <v>무척추동물</v>
      </c>
      <c r="F511" s="9" t="str">
        <f>[1]Discovery!G517</f>
        <v>A</v>
      </c>
      <c r="G511" s="9" t="str">
        <f>IFERROR(VLOOKUP(표1[[#This Row],[명칭]],'문화권 정리'!C:D,2,FALSE),"-")</f>
        <v>동아시아</v>
      </c>
      <c r="H511" s="38" t="str">
        <f>IFERROR(COUNTIF([2]OceanDoodad!$Y:$Y,표1[[#This Row],[명칭]]),"-")</f>
        <v>-</v>
      </c>
      <c r="I511" s="38">
        <f>IFERROR(COUNTIF([1]AdventureDiscoveryGroup!$D$8:$AW$92,표1[[#This Row],[명칭]]),"-")</f>
        <v>0</v>
      </c>
      <c r="J511" s="38">
        <f>IFERROR(COUNTIF([1]FishDiscoveryGroup!$A:$X,표1[[#This Row],[명칭]]),"-")</f>
        <v>0</v>
      </c>
      <c r="K511" s="38" t="str">
        <f>IFERROR(COUNTIF([2]Town!$B:$B,표1[[#This Row],[명칭]]),"-")</f>
        <v>-</v>
      </c>
      <c r="L511" s="38">
        <f>IFERROR(COUNTIF([1]Village!$BR:$BR,표1[[#This Row],[명칭]]),"-")</f>
        <v>0</v>
      </c>
      <c r="M511" s="38">
        <f>COUNTIF(퀘스트!B:B,표1[[#This Row],[명칭]])</f>
        <v>0</v>
      </c>
      <c r="N511" s="65">
        <f>COUNTIF([1]VillageDiscoveryGroup!$C:$C,표1[[#This Row],[명칭]])</f>
        <v>0</v>
      </c>
      <c r="O511" s="65">
        <f>SUM(표1[[#This Row],[해양탐색]:[마을탐험]])</f>
        <v>0</v>
      </c>
    </row>
    <row r="512" spans="2:15" ht="13.5" customHeight="1" x14ac:dyDescent="0.3">
      <c r="B512" s="9">
        <f>[1]Discovery!A518</f>
        <v>70404035</v>
      </c>
      <c r="C512" s="9" t="str">
        <f>[1]Discovery!B518</f>
        <v>저녁매미</v>
      </c>
      <c r="D512" s="9" t="str">
        <f>[1]Discovery!E518</f>
        <v>동물</v>
      </c>
      <c r="E512" s="9" t="str">
        <f>[1]Discovery!C518</f>
        <v>무척추동물</v>
      </c>
      <c r="F512" s="9" t="str">
        <f>[1]Discovery!G518</f>
        <v>C</v>
      </c>
      <c r="G512" s="9" t="str">
        <f>IFERROR(VLOOKUP(표1[[#This Row],[명칭]],'문화권 정리'!C:D,2,FALSE),"-")</f>
        <v>동아시아</v>
      </c>
      <c r="H512" s="38" t="str">
        <f>IFERROR(COUNTIF([2]OceanDoodad!$Y:$Y,표1[[#This Row],[명칭]]),"-")</f>
        <v>-</v>
      </c>
      <c r="I512" s="38">
        <f>IFERROR(COUNTIF([1]AdventureDiscoveryGroup!$D$8:$AW$92,표1[[#This Row],[명칭]]),"-")</f>
        <v>1</v>
      </c>
      <c r="J512" s="38">
        <f>IFERROR(COUNTIF([1]FishDiscoveryGroup!$A:$X,표1[[#This Row],[명칭]]),"-")</f>
        <v>0</v>
      </c>
      <c r="K512" s="38" t="str">
        <f>IFERROR(COUNTIF([2]Town!$B:$B,표1[[#This Row],[명칭]]),"-")</f>
        <v>-</v>
      </c>
      <c r="L512" s="38">
        <f>IFERROR(COUNTIF([1]Village!$BR:$BR,표1[[#This Row],[명칭]]),"-")</f>
        <v>0</v>
      </c>
      <c r="M512" s="38">
        <f>COUNTIF(퀘스트!B:B,표1[[#This Row],[명칭]])</f>
        <v>0</v>
      </c>
      <c r="N512" s="65">
        <f>COUNTIF([1]VillageDiscoveryGroup!$C:$C,표1[[#This Row],[명칭]])</f>
        <v>0</v>
      </c>
      <c r="O512" s="65">
        <f>SUM(표1[[#This Row],[해양탐색]:[마을탐험]])</f>
        <v>1</v>
      </c>
    </row>
    <row r="513" spans="2:15" ht="13.5" customHeight="1" x14ac:dyDescent="0.3">
      <c r="B513" s="9">
        <f>[1]Discovery!A519</f>
        <v>70404036</v>
      </c>
      <c r="C513" s="9" t="str">
        <f>[1]Discovery!B519</f>
        <v>제왕얼룩나비</v>
      </c>
      <c r="D513" s="9" t="str">
        <f>[1]Discovery!E519</f>
        <v>동물</v>
      </c>
      <c r="E513" s="9" t="str">
        <f>[1]Discovery!C519</f>
        <v>무척추동물</v>
      </c>
      <c r="F513" s="9" t="str">
        <f>[1]Discovery!G519</f>
        <v>B</v>
      </c>
      <c r="G513" s="9" t="str">
        <f>IFERROR(VLOOKUP(표1[[#This Row],[명칭]],'문화권 정리'!C:D,2,FALSE),"-")</f>
        <v>북아메리카</v>
      </c>
      <c r="H513" s="38" t="str">
        <f>IFERROR(COUNTIF([2]OceanDoodad!$Y:$Y,표1[[#This Row],[명칭]]),"-")</f>
        <v>-</v>
      </c>
      <c r="I513" s="38">
        <f>IFERROR(COUNTIF([1]AdventureDiscoveryGroup!$D$8:$AW$92,표1[[#This Row],[명칭]]),"-")</f>
        <v>0</v>
      </c>
      <c r="J513" s="38">
        <f>IFERROR(COUNTIF([1]FishDiscoveryGroup!$A:$X,표1[[#This Row],[명칭]]),"-")</f>
        <v>0</v>
      </c>
      <c r="K513" s="38" t="str">
        <f>IFERROR(COUNTIF([2]Town!$B:$B,표1[[#This Row],[명칭]]),"-")</f>
        <v>-</v>
      </c>
      <c r="L513" s="38">
        <f>IFERROR(COUNTIF([1]Village!$BR:$BR,표1[[#This Row],[명칭]]),"-")</f>
        <v>0</v>
      </c>
      <c r="M513" s="38">
        <f>COUNTIF(퀘스트!B:B,표1[[#This Row],[명칭]])</f>
        <v>0</v>
      </c>
      <c r="N513" s="65">
        <f>COUNTIF([1]VillageDiscoveryGroup!$C:$C,표1[[#This Row],[명칭]])</f>
        <v>1</v>
      </c>
      <c r="O513" s="65">
        <f>SUM(표1[[#This Row],[해양탐색]:[마을탐험]])</f>
        <v>1</v>
      </c>
    </row>
    <row r="514" spans="2:15" ht="13.5" customHeight="1" x14ac:dyDescent="0.3">
      <c r="B514" s="9">
        <f>[1]Discovery!A520</f>
        <v>70404037</v>
      </c>
      <c r="C514" s="9" t="str">
        <f>[1]Discovery!B520</f>
        <v>주홍점박이긴앞다리풍뎅이</v>
      </c>
      <c r="D514" s="9" t="str">
        <f>[1]Discovery!E520</f>
        <v>동물</v>
      </c>
      <c r="E514" s="9" t="str">
        <f>[1]Discovery!C520</f>
        <v>무척추동물</v>
      </c>
      <c r="F514" s="9" t="str">
        <f>[1]Discovery!G520</f>
        <v>C</v>
      </c>
      <c r="G514" s="9" t="str">
        <f>IFERROR(VLOOKUP(표1[[#This Row],[명칭]],'문화권 정리'!C:D,2,FALSE),"-")</f>
        <v>동남아시아</v>
      </c>
      <c r="H514" s="38" t="str">
        <f>IFERROR(COUNTIF([2]OceanDoodad!$Y:$Y,표1[[#This Row],[명칭]]),"-")</f>
        <v>-</v>
      </c>
      <c r="I514" s="38">
        <f>IFERROR(COUNTIF([1]AdventureDiscoveryGroup!$D$8:$AW$92,표1[[#This Row],[명칭]]),"-")</f>
        <v>1</v>
      </c>
      <c r="J514" s="38">
        <f>IFERROR(COUNTIF([1]FishDiscoveryGroup!$A:$X,표1[[#This Row],[명칭]]),"-")</f>
        <v>0</v>
      </c>
      <c r="K514" s="38" t="str">
        <f>IFERROR(COUNTIF([2]Town!$B:$B,표1[[#This Row],[명칭]]),"-")</f>
        <v>-</v>
      </c>
      <c r="L514" s="38">
        <f>IFERROR(COUNTIF([1]Village!$BR:$BR,표1[[#This Row],[명칭]]),"-")</f>
        <v>0</v>
      </c>
      <c r="M514" s="38">
        <f>COUNTIF(퀘스트!B:B,표1[[#This Row],[명칭]])</f>
        <v>0</v>
      </c>
      <c r="N514" s="65">
        <f>COUNTIF([1]VillageDiscoveryGroup!$C:$C,표1[[#This Row],[명칭]])</f>
        <v>0</v>
      </c>
      <c r="O514" s="65">
        <f>SUM(표1[[#This Row],[해양탐색]:[마을탐험]])</f>
        <v>1</v>
      </c>
    </row>
    <row r="515" spans="2:15" ht="13.5" customHeight="1" x14ac:dyDescent="0.3">
      <c r="B515" s="9">
        <f>[1]Discovery!A521</f>
        <v>70404038</v>
      </c>
      <c r="C515" s="9" t="str">
        <f>[1]Discovery!B521</f>
        <v>청귀뚜라미</v>
      </c>
      <c r="D515" s="9" t="str">
        <f>[1]Discovery!E521</f>
        <v>동물</v>
      </c>
      <c r="E515" s="9" t="str">
        <f>[1]Discovery!C521</f>
        <v>무척추동물</v>
      </c>
      <c r="F515" s="9" t="str">
        <f>[1]Discovery!G521</f>
        <v>C</v>
      </c>
      <c r="G515" s="9" t="str">
        <f>IFERROR(VLOOKUP(표1[[#This Row],[명칭]],'문화권 정리'!C:D,2,FALSE),"-")</f>
        <v>동아시아</v>
      </c>
      <c r="H515" s="38" t="str">
        <f>IFERROR(COUNTIF([2]OceanDoodad!$Y:$Y,표1[[#This Row],[명칭]]),"-")</f>
        <v>-</v>
      </c>
      <c r="I515" s="38">
        <f>IFERROR(COUNTIF([1]AdventureDiscoveryGroup!$D$8:$AW$92,표1[[#This Row],[명칭]]),"-")</f>
        <v>1</v>
      </c>
      <c r="J515" s="38">
        <f>IFERROR(COUNTIF([1]FishDiscoveryGroup!$A:$X,표1[[#This Row],[명칭]]),"-")</f>
        <v>0</v>
      </c>
      <c r="K515" s="38" t="str">
        <f>IFERROR(COUNTIF([2]Town!$B:$B,표1[[#This Row],[명칭]]),"-")</f>
        <v>-</v>
      </c>
      <c r="L515" s="38">
        <f>IFERROR(COUNTIF([1]Village!$BR:$BR,표1[[#This Row],[명칭]]),"-")</f>
        <v>0</v>
      </c>
      <c r="M515" s="38">
        <f>COUNTIF(퀘스트!B:B,표1[[#This Row],[명칭]])</f>
        <v>0</v>
      </c>
      <c r="N515" s="65">
        <f>COUNTIF([1]VillageDiscoveryGroup!$C:$C,표1[[#This Row],[명칭]])</f>
        <v>0</v>
      </c>
      <c r="O515" s="65">
        <f>SUM(표1[[#This Row],[해양탐색]:[마을탐험]])</f>
        <v>1</v>
      </c>
    </row>
    <row r="516" spans="2:15" ht="13.5" customHeight="1" x14ac:dyDescent="0.3">
      <c r="B516" s="9">
        <f>[1]Discovery!A522</f>
        <v>70404039</v>
      </c>
      <c r="C516" s="9" t="str">
        <f>[1]Discovery!B522</f>
        <v>총알개미</v>
      </c>
      <c r="D516" s="9" t="str">
        <f>[1]Discovery!E522</f>
        <v>동물</v>
      </c>
      <c r="E516" s="9" t="str">
        <f>[1]Discovery!C522</f>
        <v>무척추동물</v>
      </c>
      <c r="F516" s="9" t="str">
        <f>[1]Discovery!G522</f>
        <v>B</v>
      </c>
      <c r="G516" s="9" t="str">
        <f>IFERROR(VLOOKUP(표1[[#This Row],[명칭]],'문화권 정리'!C:D,2,FALSE),"-")</f>
        <v>남아메리카</v>
      </c>
      <c r="H516" s="38" t="str">
        <f>IFERROR(COUNTIF([2]OceanDoodad!$Y:$Y,표1[[#This Row],[명칭]]),"-")</f>
        <v>-</v>
      </c>
      <c r="I516" s="38">
        <f>IFERROR(COUNTIF([1]AdventureDiscoveryGroup!$D$8:$AW$92,표1[[#This Row],[명칭]]),"-")</f>
        <v>0</v>
      </c>
      <c r="J516" s="38">
        <f>IFERROR(COUNTIF([1]FishDiscoveryGroup!$A:$X,표1[[#This Row],[명칭]]),"-")</f>
        <v>0</v>
      </c>
      <c r="K516" s="38" t="str">
        <f>IFERROR(COUNTIF([2]Town!$B:$B,표1[[#This Row],[명칭]]),"-")</f>
        <v>-</v>
      </c>
      <c r="L516" s="38">
        <f>IFERROR(COUNTIF([1]Village!$BR:$BR,표1[[#This Row],[명칭]]),"-")</f>
        <v>0</v>
      </c>
      <c r="M516" s="38">
        <f>COUNTIF(퀘스트!B:B,표1[[#This Row],[명칭]])</f>
        <v>0</v>
      </c>
      <c r="N516" s="65">
        <f>COUNTIF([1]VillageDiscoveryGroup!$C:$C,표1[[#This Row],[명칭]])</f>
        <v>1</v>
      </c>
      <c r="O516" s="65">
        <f>SUM(표1[[#This Row],[해양탐색]:[마을탐험]])</f>
        <v>1</v>
      </c>
    </row>
    <row r="517" spans="2:15" ht="13.5" customHeight="1" x14ac:dyDescent="0.3">
      <c r="B517" s="9">
        <f>[1]Discovery!A523</f>
        <v>70404040</v>
      </c>
      <c r="C517" s="9" t="str">
        <f>[1]Discovery!B523</f>
        <v>침노린재</v>
      </c>
      <c r="D517" s="9" t="str">
        <f>[1]Discovery!E523</f>
        <v>동물</v>
      </c>
      <c r="E517" s="9" t="str">
        <f>[1]Discovery!C523</f>
        <v>무척추동물</v>
      </c>
      <c r="F517" s="9" t="str">
        <f>[1]Discovery!G523</f>
        <v>B</v>
      </c>
      <c r="G517" s="9" t="str">
        <f>IFERROR(VLOOKUP(표1[[#This Row],[명칭]],'문화권 정리'!C:D,2,FALSE),"-")</f>
        <v>동아시아</v>
      </c>
      <c r="H517" s="38" t="str">
        <f>IFERROR(COUNTIF([2]OceanDoodad!$Y:$Y,표1[[#This Row],[명칭]]),"-")</f>
        <v>-</v>
      </c>
      <c r="I517" s="38">
        <f>IFERROR(COUNTIF([1]AdventureDiscoveryGroup!$D$8:$AW$92,표1[[#This Row],[명칭]]),"-")</f>
        <v>0</v>
      </c>
      <c r="J517" s="38">
        <f>IFERROR(COUNTIF([1]FishDiscoveryGroup!$A:$X,표1[[#This Row],[명칭]]),"-")</f>
        <v>0</v>
      </c>
      <c r="K517" s="38" t="str">
        <f>IFERROR(COUNTIF([2]Town!$B:$B,표1[[#This Row],[명칭]]),"-")</f>
        <v>-</v>
      </c>
      <c r="L517" s="38">
        <f>IFERROR(COUNTIF([1]Village!$BR:$BR,표1[[#This Row],[명칭]]),"-")</f>
        <v>0</v>
      </c>
      <c r="M517" s="38">
        <f>COUNTIF(퀘스트!B:B,표1[[#This Row],[명칭]])</f>
        <v>0</v>
      </c>
      <c r="N517" s="65">
        <f>COUNTIF([1]VillageDiscoveryGroup!$C:$C,표1[[#This Row],[명칭]])</f>
        <v>0</v>
      </c>
      <c r="O517" s="65">
        <f>SUM(표1[[#This Row],[해양탐색]:[마을탐험]])</f>
        <v>0</v>
      </c>
    </row>
    <row r="518" spans="2:15" ht="13.5" customHeight="1" x14ac:dyDescent="0.3">
      <c r="B518" s="9">
        <f>[1]Discovery!A524</f>
        <v>70404041</v>
      </c>
      <c r="C518" s="9" t="str">
        <f>[1]Discovery!B524</f>
        <v>코카서스왕장수풍뎅이</v>
      </c>
      <c r="D518" s="9" t="str">
        <f>[1]Discovery!E524</f>
        <v>동물</v>
      </c>
      <c r="E518" s="9" t="str">
        <f>[1]Discovery!C524</f>
        <v>무척추동물</v>
      </c>
      <c r="F518" s="9" t="str">
        <f>[1]Discovery!G524</f>
        <v>C</v>
      </c>
      <c r="G518" s="9" t="str">
        <f>IFERROR(VLOOKUP(표1[[#This Row],[명칭]],'문화권 정리'!C:D,2,FALSE),"-")</f>
        <v>동남아시아</v>
      </c>
      <c r="H518" s="38" t="str">
        <f>IFERROR(COUNTIF([2]OceanDoodad!$Y:$Y,표1[[#This Row],[명칭]]),"-")</f>
        <v>-</v>
      </c>
      <c r="I518" s="38">
        <f>IFERROR(COUNTIF([1]AdventureDiscoveryGroup!$D$8:$AW$92,표1[[#This Row],[명칭]]),"-")</f>
        <v>1</v>
      </c>
      <c r="J518" s="38">
        <f>IFERROR(COUNTIF([1]FishDiscoveryGroup!$A:$X,표1[[#This Row],[명칭]]),"-")</f>
        <v>0</v>
      </c>
      <c r="K518" s="38" t="str">
        <f>IFERROR(COUNTIF([2]Town!$B:$B,표1[[#This Row],[명칭]]),"-")</f>
        <v>-</v>
      </c>
      <c r="L518" s="38">
        <f>IFERROR(COUNTIF([1]Village!$BR:$BR,표1[[#This Row],[명칭]]),"-")</f>
        <v>0</v>
      </c>
      <c r="M518" s="38">
        <f>COUNTIF(퀘스트!B:B,표1[[#This Row],[명칭]])</f>
        <v>0</v>
      </c>
      <c r="N518" s="65">
        <f>COUNTIF([1]VillageDiscoveryGroup!$C:$C,표1[[#This Row],[명칭]])</f>
        <v>0</v>
      </c>
      <c r="O518" s="65">
        <f>SUM(표1[[#This Row],[해양탐색]:[마을탐험]])</f>
        <v>1</v>
      </c>
    </row>
    <row r="519" spans="2:15" ht="13.5" customHeight="1" x14ac:dyDescent="0.3">
      <c r="B519" s="9">
        <f>[1]Discovery!A525</f>
        <v>70404042</v>
      </c>
      <c r="C519" s="9" t="str">
        <f>[1]Discovery!B525</f>
        <v>큰나뭇잎벌레</v>
      </c>
      <c r="D519" s="9" t="str">
        <f>[1]Discovery!E525</f>
        <v>동물</v>
      </c>
      <c r="E519" s="9" t="str">
        <f>[1]Discovery!C525</f>
        <v>무척추동물</v>
      </c>
      <c r="F519" s="9" t="str">
        <f>[1]Discovery!G525</f>
        <v>B</v>
      </c>
      <c r="G519" s="9" t="str">
        <f>IFERROR(VLOOKUP(표1[[#This Row],[명칭]],'문화권 정리'!C:D,2,FALSE),"-")</f>
        <v>동남아시아</v>
      </c>
      <c r="H519" s="38" t="str">
        <f>IFERROR(COUNTIF([2]OceanDoodad!$Y:$Y,표1[[#This Row],[명칭]]),"-")</f>
        <v>-</v>
      </c>
      <c r="I519" s="38">
        <f>IFERROR(COUNTIF([1]AdventureDiscoveryGroup!$D$8:$AW$92,표1[[#This Row],[명칭]]),"-")</f>
        <v>1</v>
      </c>
      <c r="J519" s="38">
        <f>IFERROR(COUNTIF([1]FishDiscoveryGroup!$A:$X,표1[[#This Row],[명칭]]),"-")</f>
        <v>0</v>
      </c>
      <c r="K519" s="38" t="str">
        <f>IFERROR(COUNTIF([2]Town!$B:$B,표1[[#This Row],[명칭]]),"-")</f>
        <v>-</v>
      </c>
      <c r="L519" s="38">
        <f>IFERROR(COUNTIF([1]Village!$BR:$BR,표1[[#This Row],[명칭]]),"-")</f>
        <v>0</v>
      </c>
      <c r="M519" s="38">
        <f>COUNTIF(퀘스트!B:B,표1[[#This Row],[명칭]])</f>
        <v>0</v>
      </c>
      <c r="N519" s="65">
        <f>COUNTIF([1]VillageDiscoveryGroup!$C:$C,표1[[#This Row],[명칭]])</f>
        <v>0</v>
      </c>
      <c r="O519" s="65">
        <f>SUM(표1[[#This Row],[해양탐색]:[마을탐험]])</f>
        <v>1</v>
      </c>
    </row>
    <row r="520" spans="2:15" ht="13.5" customHeight="1" x14ac:dyDescent="0.3">
      <c r="B520" s="9">
        <f>[1]Discovery!A526</f>
        <v>70404043</v>
      </c>
      <c r="C520" s="9" t="str">
        <f>[1]Discovery!B526</f>
        <v>타이탄하늘소</v>
      </c>
      <c r="D520" s="9" t="str">
        <f>[1]Discovery!E526</f>
        <v>동물</v>
      </c>
      <c r="E520" s="9" t="str">
        <f>[1]Discovery!C526</f>
        <v>무척추동물</v>
      </c>
      <c r="F520" s="9" t="str">
        <f>[1]Discovery!G526</f>
        <v>S</v>
      </c>
      <c r="G520" s="9" t="str">
        <f>IFERROR(VLOOKUP(표1[[#This Row],[명칭]],'문화권 정리'!C:D,2,FALSE),"-")</f>
        <v>남아메리카</v>
      </c>
      <c r="H520" s="38" t="str">
        <f>IFERROR(COUNTIF([2]OceanDoodad!$Y:$Y,표1[[#This Row],[명칭]]),"-")</f>
        <v>-</v>
      </c>
      <c r="I520" s="38">
        <f>IFERROR(COUNTIF([1]AdventureDiscoveryGroup!$D$8:$AW$92,표1[[#This Row],[명칭]]),"-")</f>
        <v>1</v>
      </c>
      <c r="J520" s="38">
        <f>IFERROR(COUNTIF([1]FishDiscoveryGroup!$A:$X,표1[[#This Row],[명칭]]),"-")</f>
        <v>0</v>
      </c>
      <c r="K520" s="38" t="str">
        <f>IFERROR(COUNTIF([2]Town!$B:$B,표1[[#This Row],[명칭]]),"-")</f>
        <v>-</v>
      </c>
      <c r="L520" s="38">
        <f>IFERROR(COUNTIF([1]Village!$BR:$BR,표1[[#This Row],[명칭]]),"-")</f>
        <v>0</v>
      </c>
      <c r="M520" s="38">
        <f>COUNTIF(퀘스트!B:B,표1[[#This Row],[명칭]])</f>
        <v>0</v>
      </c>
      <c r="N520" s="65">
        <f>COUNTIF([1]VillageDiscoveryGroup!$C:$C,표1[[#This Row],[명칭]])</f>
        <v>0</v>
      </c>
      <c r="O520" s="65">
        <f>SUM(표1[[#This Row],[해양탐색]:[마을탐험]])</f>
        <v>1</v>
      </c>
    </row>
    <row r="521" spans="2:15" ht="13.5" customHeight="1" x14ac:dyDescent="0.3">
      <c r="B521" s="9">
        <f>[1]Discovery!A527</f>
        <v>70404044</v>
      </c>
      <c r="C521" s="9" t="str">
        <f>[1]Discovery!B527</f>
        <v>푸른측범잠자리</v>
      </c>
      <c r="D521" s="9" t="str">
        <f>[1]Discovery!E527</f>
        <v>동물</v>
      </c>
      <c r="E521" s="9" t="str">
        <f>[1]Discovery!C527</f>
        <v>무척추동물</v>
      </c>
      <c r="F521" s="9" t="str">
        <f>[1]Discovery!G527</f>
        <v>B</v>
      </c>
      <c r="G521" s="9" t="str">
        <f>IFERROR(VLOOKUP(표1[[#This Row],[명칭]],'문화권 정리'!C:D,2,FALSE),"-")</f>
        <v>동아시아</v>
      </c>
      <c r="H521" s="38" t="str">
        <f>IFERROR(COUNTIF([2]OceanDoodad!$Y:$Y,표1[[#This Row],[명칭]]),"-")</f>
        <v>-</v>
      </c>
      <c r="I521" s="38">
        <f>IFERROR(COUNTIF([1]AdventureDiscoveryGroup!$D$8:$AW$92,표1[[#This Row],[명칭]]),"-")</f>
        <v>1</v>
      </c>
      <c r="J521" s="38">
        <f>IFERROR(COUNTIF([1]FishDiscoveryGroup!$A:$X,표1[[#This Row],[명칭]]),"-")</f>
        <v>0</v>
      </c>
      <c r="K521" s="38" t="str">
        <f>IFERROR(COUNTIF([2]Town!$B:$B,표1[[#This Row],[명칭]]),"-")</f>
        <v>-</v>
      </c>
      <c r="L521" s="38">
        <f>IFERROR(COUNTIF([1]Village!$BR:$BR,표1[[#This Row],[명칭]]),"-")</f>
        <v>0</v>
      </c>
      <c r="M521" s="38">
        <f>COUNTIF(퀘스트!B:B,표1[[#This Row],[명칭]])</f>
        <v>0</v>
      </c>
      <c r="N521" s="65">
        <f>COUNTIF([1]VillageDiscoveryGroup!$C:$C,표1[[#This Row],[명칭]])</f>
        <v>0</v>
      </c>
      <c r="O521" s="65">
        <f>SUM(표1[[#This Row],[해양탐색]:[마을탐험]])</f>
        <v>1</v>
      </c>
    </row>
    <row r="522" spans="2:15" ht="13.5" customHeight="1" x14ac:dyDescent="0.3">
      <c r="B522" s="9">
        <f>[1]Discovery!A528</f>
        <v>70404045</v>
      </c>
      <c r="C522" s="9" t="str">
        <f>[1]Discovery!B528</f>
        <v>헤라클레스왕장수풍뎅이</v>
      </c>
      <c r="D522" s="9" t="str">
        <f>[1]Discovery!E528</f>
        <v>동물</v>
      </c>
      <c r="E522" s="9" t="str">
        <f>[1]Discovery!C528</f>
        <v>무척추동물</v>
      </c>
      <c r="F522" s="9" t="str">
        <f>[1]Discovery!G528</f>
        <v>A</v>
      </c>
      <c r="G522" s="9" t="str">
        <f>IFERROR(VLOOKUP(표1[[#This Row],[명칭]],'문화권 정리'!C:D,2,FALSE),"-")</f>
        <v>중앙아메리카</v>
      </c>
      <c r="H522" s="38" t="str">
        <f>IFERROR(COUNTIF([2]OceanDoodad!$Y:$Y,표1[[#This Row],[명칭]]),"-")</f>
        <v>-</v>
      </c>
      <c r="I522" s="38">
        <f>IFERROR(COUNTIF([1]AdventureDiscoveryGroup!$D$8:$AW$92,표1[[#This Row],[명칭]]),"-")</f>
        <v>0</v>
      </c>
      <c r="J522" s="38">
        <f>IFERROR(COUNTIF([1]FishDiscoveryGroup!$A:$X,표1[[#This Row],[명칭]]),"-")</f>
        <v>0</v>
      </c>
      <c r="K522" s="38" t="str">
        <f>IFERROR(COUNTIF([2]Town!$B:$B,표1[[#This Row],[명칭]]),"-")</f>
        <v>-</v>
      </c>
      <c r="L522" s="38">
        <f>IFERROR(COUNTIF([1]Village!$BR:$BR,표1[[#This Row],[명칭]]),"-")</f>
        <v>0</v>
      </c>
      <c r="M522" s="38">
        <f>COUNTIF(퀘스트!B:B,표1[[#This Row],[명칭]])</f>
        <v>0</v>
      </c>
      <c r="N522" s="65">
        <f>COUNTIF([1]VillageDiscoveryGroup!$C:$C,표1[[#This Row],[명칭]])</f>
        <v>0</v>
      </c>
      <c r="O522" s="65">
        <f>SUM(표1[[#This Row],[해양탐색]:[마을탐험]])</f>
        <v>0</v>
      </c>
    </row>
    <row r="523" spans="2:15" ht="13.5" customHeight="1" x14ac:dyDescent="0.3">
      <c r="B523" s="9">
        <f>[1]Discovery!A529</f>
        <v>70405000</v>
      </c>
      <c r="C523" s="9" t="str">
        <f>[1]Discovery!B529</f>
        <v>가면올빼미</v>
      </c>
      <c r="D523" s="9" t="str">
        <f>[1]Discovery!E529</f>
        <v>동물</v>
      </c>
      <c r="E523" s="9" t="str">
        <f>[1]Discovery!C529</f>
        <v>조류</v>
      </c>
      <c r="F523" s="9" t="str">
        <f>[1]Discovery!G529</f>
        <v>C</v>
      </c>
      <c r="G523" s="9" t="str">
        <f>IFERROR(VLOOKUP(표1[[#This Row],[명칭]],'문화권 정리'!C:D,2,FALSE),"-")</f>
        <v>남아메리카</v>
      </c>
      <c r="H523" s="38" t="str">
        <f>IFERROR(COUNTIF([2]OceanDoodad!$Y:$Y,표1[[#This Row],[명칭]]),"-")</f>
        <v>-</v>
      </c>
      <c r="I523" s="38">
        <f>IFERROR(COUNTIF([1]AdventureDiscoveryGroup!$D$8:$AW$92,표1[[#This Row],[명칭]]),"-")</f>
        <v>0</v>
      </c>
      <c r="J523" s="38">
        <f>IFERROR(COUNTIF([1]FishDiscoveryGroup!$A:$X,표1[[#This Row],[명칭]]),"-")</f>
        <v>0</v>
      </c>
      <c r="K523" s="38" t="str">
        <f>IFERROR(COUNTIF([2]Town!$B:$B,표1[[#This Row],[명칭]]),"-")</f>
        <v>-</v>
      </c>
      <c r="L523" s="38">
        <f>IFERROR(COUNTIF([1]Village!$BR:$BR,표1[[#This Row],[명칭]]),"-")</f>
        <v>0</v>
      </c>
      <c r="M523" s="38">
        <f>COUNTIF(퀘스트!B:B,표1[[#This Row],[명칭]])</f>
        <v>0</v>
      </c>
      <c r="N523" s="65">
        <f>COUNTIF([1]VillageDiscoveryGroup!$C:$C,표1[[#This Row],[명칭]])</f>
        <v>1</v>
      </c>
      <c r="O523" s="65">
        <f>SUM(표1[[#This Row],[해양탐색]:[마을탐험]])</f>
        <v>1</v>
      </c>
    </row>
    <row r="524" spans="2:15" ht="13.5" customHeight="1" x14ac:dyDescent="0.3">
      <c r="B524" s="9">
        <f>[1]Discovery!A530</f>
        <v>70405001</v>
      </c>
      <c r="C524" s="9" t="str">
        <f>[1]Discovery!B530</f>
        <v>가시올빼미</v>
      </c>
      <c r="D524" s="9" t="str">
        <f>[1]Discovery!E530</f>
        <v>동물</v>
      </c>
      <c r="E524" s="9" t="str">
        <f>[1]Discovery!C530</f>
        <v>조류</v>
      </c>
      <c r="F524" s="9" t="str">
        <f>[1]Discovery!G530</f>
        <v>A</v>
      </c>
      <c r="G524" s="9" t="str">
        <f>IFERROR(VLOOKUP(표1[[#This Row],[명칭]],'문화권 정리'!C:D,2,FALSE),"-")</f>
        <v>남아메리카</v>
      </c>
      <c r="H524" s="38" t="str">
        <f>IFERROR(COUNTIF([2]OceanDoodad!$Y:$Y,표1[[#This Row],[명칭]]),"-")</f>
        <v>-</v>
      </c>
      <c r="I524" s="38">
        <f>IFERROR(COUNTIF([1]AdventureDiscoveryGroup!$D$8:$AW$92,표1[[#This Row],[명칭]]),"-")</f>
        <v>0</v>
      </c>
      <c r="J524" s="38">
        <f>IFERROR(COUNTIF([1]FishDiscoveryGroup!$A:$X,표1[[#This Row],[명칭]]),"-")</f>
        <v>0</v>
      </c>
      <c r="K524" s="38" t="str">
        <f>IFERROR(COUNTIF([2]Town!$B:$B,표1[[#This Row],[명칭]]),"-")</f>
        <v>-</v>
      </c>
      <c r="L524" s="38">
        <f>IFERROR(COUNTIF([1]Village!$BR:$BR,표1[[#This Row],[명칭]]),"-")</f>
        <v>0</v>
      </c>
      <c r="M524" s="38">
        <f>COUNTIF(퀘스트!B:B,표1[[#This Row],[명칭]])</f>
        <v>0</v>
      </c>
      <c r="N524" s="65">
        <f>COUNTIF([1]VillageDiscoveryGroup!$C:$C,표1[[#This Row],[명칭]])</f>
        <v>0</v>
      </c>
      <c r="O524" s="65">
        <f>SUM(표1[[#This Row],[해양탐색]:[마을탐험]])</f>
        <v>0</v>
      </c>
    </row>
    <row r="525" spans="2:15" ht="13.5" customHeight="1" x14ac:dyDescent="0.3">
      <c r="B525" s="9">
        <f>[1]Discovery!A531</f>
        <v>70405002</v>
      </c>
      <c r="C525" s="9" t="str">
        <f>[1]Discovery!B531</f>
        <v>가위꼬리딱새</v>
      </c>
      <c r="D525" s="9" t="str">
        <f>[1]Discovery!E531</f>
        <v>동물</v>
      </c>
      <c r="E525" s="9" t="str">
        <f>[1]Discovery!C531</f>
        <v>조류</v>
      </c>
      <c r="F525" s="9" t="str">
        <f>[1]Discovery!G531</f>
        <v>D</v>
      </c>
      <c r="G525" s="9" t="str">
        <f>IFERROR(VLOOKUP(표1[[#This Row],[명칭]],'문화권 정리'!C:D,2,FALSE),"-")</f>
        <v>북아메리카</v>
      </c>
      <c r="H525" s="38" t="str">
        <f>IFERROR(COUNTIF([2]OceanDoodad!$Y:$Y,표1[[#This Row],[명칭]]),"-")</f>
        <v>-</v>
      </c>
      <c r="I525" s="38">
        <f>IFERROR(COUNTIF([1]AdventureDiscoveryGroup!$D$8:$AW$92,표1[[#This Row],[명칭]]),"-")</f>
        <v>1</v>
      </c>
      <c r="J525" s="38">
        <f>IFERROR(COUNTIF([1]FishDiscoveryGroup!$A:$X,표1[[#This Row],[명칭]]),"-")</f>
        <v>0</v>
      </c>
      <c r="K525" s="38" t="str">
        <f>IFERROR(COUNTIF([2]Town!$B:$B,표1[[#This Row],[명칭]]),"-")</f>
        <v>-</v>
      </c>
      <c r="L525" s="38">
        <f>IFERROR(COUNTIF([1]Village!$BR:$BR,표1[[#This Row],[명칭]]),"-")</f>
        <v>0</v>
      </c>
      <c r="M525" s="38">
        <f>COUNTIF(퀘스트!B:B,표1[[#This Row],[명칭]])</f>
        <v>0</v>
      </c>
      <c r="N525" s="65">
        <f>COUNTIF([1]VillageDiscoveryGroup!$C:$C,표1[[#This Row],[명칭]])</f>
        <v>0</v>
      </c>
      <c r="O525" s="65">
        <f>SUM(표1[[#This Row],[해양탐색]:[마을탐험]])</f>
        <v>1</v>
      </c>
    </row>
    <row r="526" spans="2:15" ht="13.5" customHeight="1" x14ac:dyDescent="0.3">
      <c r="B526" s="9">
        <f>[1]Discovery!A532</f>
        <v>70405003</v>
      </c>
      <c r="C526" s="9" t="str">
        <f>[1]Discovery!B532</f>
        <v>갈라파고스 펭귄</v>
      </c>
      <c r="D526" s="9" t="str">
        <f>[1]Discovery!E532</f>
        <v>동물</v>
      </c>
      <c r="E526" s="9" t="str">
        <f>[1]Discovery!C532</f>
        <v>조류</v>
      </c>
      <c r="F526" s="9" t="str">
        <f>[1]Discovery!G532</f>
        <v>A</v>
      </c>
      <c r="G526" s="9" t="str">
        <f>IFERROR(VLOOKUP(표1[[#This Row],[명칭]],'문화권 정리'!C:D,2,FALSE),"-")</f>
        <v>남아메리카</v>
      </c>
      <c r="H526" s="38" t="str">
        <f>IFERROR(COUNTIF([2]OceanDoodad!$Y:$Y,표1[[#This Row],[명칭]]),"-")</f>
        <v>-</v>
      </c>
      <c r="I526" s="38">
        <f>IFERROR(COUNTIF([1]AdventureDiscoveryGroup!$D$8:$AW$92,표1[[#This Row],[명칭]]),"-")</f>
        <v>0</v>
      </c>
      <c r="J526" s="38">
        <f>IFERROR(COUNTIF([1]FishDiscoveryGroup!$A:$X,표1[[#This Row],[명칭]]),"-")</f>
        <v>0</v>
      </c>
      <c r="K526" s="38" t="str">
        <f>IFERROR(COUNTIF([2]Town!$B:$B,표1[[#This Row],[명칭]]),"-")</f>
        <v>-</v>
      </c>
      <c r="L526" s="38">
        <f>IFERROR(COUNTIF([1]Village!$BR:$BR,표1[[#This Row],[명칭]]),"-")</f>
        <v>0</v>
      </c>
      <c r="M526" s="38">
        <f>COUNTIF(퀘스트!B:B,표1[[#This Row],[명칭]])</f>
        <v>0</v>
      </c>
      <c r="N526" s="65">
        <f>COUNTIF([1]VillageDiscoveryGroup!$C:$C,표1[[#This Row],[명칭]])</f>
        <v>0</v>
      </c>
      <c r="O526" s="65">
        <f>SUM(표1[[#This Row],[해양탐색]:[마을탐험]])</f>
        <v>0</v>
      </c>
    </row>
    <row r="527" spans="2:15" ht="13.5" customHeight="1" x14ac:dyDescent="0.3">
      <c r="B527" s="9">
        <f>[1]Discovery!A533</f>
        <v>70405004</v>
      </c>
      <c r="C527" s="9" t="str">
        <f>[1]Discovery!B533</f>
        <v>거문고새</v>
      </c>
      <c r="D527" s="9" t="str">
        <f>[1]Discovery!E533</f>
        <v>동물</v>
      </c>
      <c r="E527" s="9" t="str">
        <f>[1]Discovery!C533</f>
        <v>조류</v>
      </c>
      <c r="F527" s="9" t="str">
        <f>[1]Discovery!G533</f>
        <v>D</v>
      </c>
      <c r="G527" s="9" t="str">
        <f>IFERROR(VLOOKUP(표1[[#This Row],[명칭]],'문화권 정리'!C:D,2,FALSE),"-")</f>
        <v>오세아니아</v>
      </c>
      <c r="H527" s="38" t="str">
        <f>IFERROR(COUNTIF([2]OceanDoodad!$Y:$Y,표1[[#This Row],[명칭]]),"-")</f>
        <v>-</v>
      </c>
      <c r="I527" s="38">
        <f>IFERROR(COUNTIF([1]AdventureDiscoveryGroup!$D$8:$AW$92,표1[[#This Row],[명칭]]),"-")</f>
        <v>1</v>
      </c>
      <c r="J527" s="38">
        <f>IFERROR(COUNTIF([1]FishDiscoveryGroup!$A:$X,표1[[#This Row],[명칭]]),"-")</f>
        <v>0</v>
      </c>
      <c r="K527" s="38" t="str">
        <f>IFERROR(COUNTIF([2]Town!$B:$B,표1[[#This Row],[명칭]]),"-")</f>
        <v>-</v>
      </c>
      <c r="L527" s="38">
        <f>IFERROR(COUNTIF([1]Village!$BR:$BR,표1[[#This Row],[명칭]]),"-")</f>
        <v>0</v>
      </c>
      <c r="M527" s="38">
        <f>COUNTIF(퀘스트!B:B,표1[[#This Row],[명칭]])</f>
        <v>0</v>
      </c>
      <c r="N527" s="65">
        <f>COUNTIF([1]VillageDiscoveryGroup!$C:$C,표1[[#This Row],[명칭]])</f>
        <v>0</v>
      </c>
      <c r="O527" s="65">
        <f>SUM(표1[[#This Row],[해양탐색]:[마을탐험]])</f>
        <v>1</v>
      </c>
    </row>
    <row r="528" spans="2:15" ht="13.5" customHeight="1" x14ac:dyDescent="0.3">
      <c r="B528" s="9">
        <f>[1]Discovery!A534</f>
        <v>70405005</v>
      </c>
      <c r="C528" s="9" t="str">
        <f>[1]Discovery!B534</f>
        <v>검독수리</v>
      </c>
      <c r="D528" s="9" t="str">
        <f>[1]Discovery!E534</f>
        <v>동물</v>
      </c>
      <c r="E528" s="9" t="str">
        <f>[1]Discovery!C534</f>
        <v>조류</v>
      </c>
      <c r="F528" s="9" t="str">
        <f>[1]Discovery!G534</f>
        <v>B</v>
      </c>
      <c r="G528" s="9" t="str">
        <f>IFERROR(VLOOKUP(표1[[#This Row],[명칭]],'문화권 정리'!C:D,2,FALSE),"-")</f>
        <v>북아메리카</v>
      </c>
      <c r="H528" s="38" t="str">
        <f>IFERROR(COUNTIF([2]OceanDoodad!$Y:$Y,표1[[#This Row],[명칭]]),"-")</f>
        <v>-</v>
      </c>
      <c r="I528" s="38">
        <f>IFERROR(COUNTIF([1]AdventureDiscoveryGroup!$D$8:$AW$92,표1[[#This Row],[명칭]]),"-")</f>
        <v>1</v>
      </c>
      <c r="J528" s="38">
        <f>IFERROR(COUNTIF([1]FishDiscoveryGroup!$A:$X,표1[[#This Row],[명칭]]),"-")</f>
        <v>0</v>
      </c>
      <c r="K528" s="38" t="str">
        <f>IFERROR(COUNTIF([2]Town!$B:$B,표1[[#This Row],[명칭]]),"-")</f>
        <v>-</v>
      </c>
      <c r="L528" s="38">
        <f>IFERROR(COUNTIF([1]Village!$BR:$BR,표1[[#This Row],[명칭]]),"-")</f>
        <v>0</v>
      </c>
      <c r="M528" s="38">
        <f>COUNTIF(퀘스트!B:B,표1[[#This Row],[명칭]])</f>
        <v>0</v>
      </c>
      <c r="N528" s="65">
        <f>COUNTIF([1]VillageDiscoveryGroup!$C:$C,표1[[#This Row],[명칭]])</f>
        <v>0</v>
      </c>
      <c r="O528" s="65">
        <f>SUM(표1[[#This Row],[해양탐색]:[마을탐험]])</f>
        <v>1</v>
      </c>
    </row>
    <row r="529" spans="2:15" ht="13.5" customHeight="1" x14ac:dyDescent="0.3">
      <c r="B529" s="9">
        <f>[1]Discovery!A535</f>
        <v>70405006</v>
      </c>
      <c r="C529" s="9" t="str">
        <f>[1]Discovery!B535</f>
        <v>검은 다리 카리아마</v>
      </c>
      <c r="D529" s="9" t="str">
        <f>[1]Discovery!E535</f>
        <v>동물</v>
      </c>
      <c r="E529" s="9" t="str">
        <f>[1]Discovery!C535</f>
        <v>조류</v>
      </c>
      <c r="F529" s="9" t="str">
        <f>[1]Discovery!G535</f>
        <v>A</v>
      </c>
      <c r="G529" s="9" t="str">
        <f>IFERROR(VLOOKUP(표1[[#This Row],[명칭]],'문화권 정리'!C:D,2,FALSE),"-")</f>
        <v>남아메리카</v>
      </c>
      <c r="H529" s="38" t="str">
        <f>IFERROR(COUNTIF([2]OceanDoodad!$Y:$Y,표1[[#This Row],[명칭]]),"-")</f>
        <v>-</v>
      </c>
      <c r="I529" s="38">
        <f>IFERROR(COUNTIF([1]AdventureDiscoveryGroup!$D$8:$AW$92,표1[[#This Row],[명칭]]),"-")</f>
        <v>1</v>
      </c>
      <c r="J529" s="38">
        <f>IFERROR(COUNTIF([1]FishDiscoveryGroup!$A:$X,표1[[#This Row],[명칭]]),"-")</f>
        <v>0</v>
      </c>
      <c r="K529" s="38" t="str">
        <f>IFERROR(COUNTIF([2]Town!$B:$B,표1[[#This Row],[명칭]]),"-")</f>
        <v>-</v>
      </c>
      <c r="L529" s="38">
        <f>IFERROR(COUNTIF([1]Village!$BR:$BR,표1[[#This Row],[명칭]]),"-")</f>
        <v>0</v>
      </c>
      <c r="M529" s="38">
        <f>COUNTIF(퀘스트!B:B,표1[[#This Row],[명칭]])</f>
        <v>0</v>
      </c>
      <c r="N529" s="65">
        <f>COUNTIF([1]VillageDiscoveryGroup!$C:$C,표1[[#This Row],[명칭]])</f>
        <v>0</v>
      </c>
      <c r="O529" s="65">
        <f>SUM(표1[[#This Row],[해양탐색]:[마을탐험]])</f>
        <v>1</v>
      </c>
    </row>
    <row r="530" spans="2:15" ht="13.5" customHeight="1" x14ac:dyDescent="0.3">
      <c r="B530" s="9">
        <f>[1]Discovery!A536</f>
        <v>70405007</v>
      </c>
      <c r="C530" s="9" t="str">
        <f>[1]Discovery!B536</f>
        <v>검은머리물떼새</v>
      </c>
      <c r="D530" s="9" t="str">
        <f>[1]Discovery!E536</f>
        <v>동물</v>
      </c>
      <c r="E530" s="9" t="str">
        <f>[1]Discovery!C536</f>
        <v>조류</v>
      </c>
      <c r="F530" s="9" t="str">
        <f>[1]Discovery!G536</f>
        <v>B</v>
      </c>
      <c r="G530" s="9" t="str">
        <f>IFERROR(VLOOKUP(표1[[#This Row],[명칭]],'문화권 정리'!C:D,2,FALSE),"-")</f>
        <v>유라시아</v>
      </c>
      <c r="H530" s="38" t="str">
        <f>IFERROR(COUNTIF([2]OceanDoodad!$Y:$Y,표1[[#This Row],[명칭]]),"-")</f>
        <v>-</v>
      </c>
      <c r="I530" s="38">
        <f>IFERROR(COUNTIF([1]AdventureDiscoveryGroup!$D$8:$AW$92,표1[[#This Row],[명칭]]),"-")</f>
        <v>1</v>
      </c>
      <c r="J530" s="38">
        <f>IFERROR(COUNTIF([1]FishDiscoveryGroup!$A:$X,표1[[#This Row],[명칭]]),"-")</f>
        <v>0</v>
      </c>
      <c r="K530" s="38" t="str">
        <f>IFERROR(COUNTIF([2]Town!$B:$B,표1[[#This Row],[명칭]]),"-")</f>
        <v>-</v>
      </c>
      <c r="L530" s="38">
        <f>IFERROR(COUNTIF([1]Village!$BR:$BR,표1[[#This Row],[명칭]]),"-")</f>
        <v>0</v>
      </c>
      <c r="M530" s="38">
        <f>COUNTIF(퀘스트!B:B,표1[[#This Row],[명칭]])</f>
        <v>0</v>
      </c>
      <c r="N530" s="65">
        <f>COUNTIF([1]VillageDiscoveryGroup!$C:$C,표1[[#This Row],[명칭]])</f>
        <v>0</v>
      </c>
      <c r="O530" s="65">
        <f>SUM(표1[[#This Row],[해양탐색]:[마을탐험]])</f>
        <v>1</v>
      </c>
    </row>
    <row r="531" spans="2:15" ht="13.5" customHeight="1" x14ac:dyDescent="0.3">
      <c r="B531" s="9">
        <f>[1]Discovery!A537</f>
        <v>70405008</v>
      </c>
      <c r="C531" s="9" t="str">
        <f>[1]Discovery!B537</f>
        <v>검은머리황새</v>
      </c>
      <c r="D531" s="9" t="str">
        <f>[1]Discovery!E537</f>
        <v>동물</v>
      </c>
      <c r="E531" s="9" t="str">
        <f>[1]Discovery!C537</f>
        <v>조류</v>
      </c>
      <c r="F531" s="9" t="str">
        <f>[1]Discovery!G537</f>
        <v>D</v>
      </c>
      <c r="G531" s="9" t="str">
        <f>IFERROR(VLOOKUP(표1[[#This Row],[명칭]],'문화권 정리'!C:D,2,FALSE),"-")</f>
        <v>남아메리카</v>
      </c>
      <c r="H531" s="38" t="str">
        <f>IFERROR(COUNTIF([2]OceanDoodad!$Y:$Y,표1[[#This Row],[명칭]]),"-")</f>
        <v>-</v>
      </c>
      <c r="I531" s="38">
        <f>IFERROR(COUNTIF([1]AdventureDiscoveryGroup!$D$8:$AW$92,표1[[#This Row],[명칭]]),"-")</f>
        <v>1</v>
      </c>
      <c r="J531" s="38">
        <f>IFERROR(COUNTIF([1]FishDiscoveryGroup!$A:$X,표1[[#This Row],[명칭]]),"-")</f>
        <v>0</v>
      </c>
      <c r="K531" s="38" t="str">
        <f>IFERROR(COUNTIF([2]Town!$B:$B,표1[[#This Row],[명칭]]),"-")</f>
        <v>-</v>
      </c>
      <c r="L531" s="38">
        <f>IFERROR(COUNTIF([1]Village!$BR:$BR,표1[[#This Row],[명칭]]),"-")</f>
        <v>0</v>
      </c>
      <c r="M531" s="38">
        <f>COUNTIF(퀘스트!B:B,표1[[#This Row],[명칭]])</f>
        <v>0</v>
      </c>
      <c r="N531" s="65">
        <f>COUNTIF([1]VillageDiscoveryGroup!$C:$C,표1[[#This Row],[명칭]])</f>
        <v>0</v>
      </c>
      <c r="O531" s="65">
        <f>SUM(표1[[#This Row],[해양탐색]:[마을탐험]])</f>
        <v>1</v>
      </c>
    </row>
    <row r="532" spans="2:15" ht="13.5" customHeight="1" x14ac:dyDescent="0.3">
      <c r="B532" s="9">
        <f>[1]Discovery!A538</f>
        <v>70405009</v>
      </c>
      <c r="C532" s="9" t="str">
        <f>[1]Discovery!B538</f>
        <v>검은바람까마귀</v>
      </c>
      <c r="D532" s="9" t="str">
        <f>[1]Discovery!E538</f>
        <v>동물</v>
      </c>
      <c r="E532" s="9" t="str">
        <f>[1]Discovery!C538</f>
        <v>조류</v>
      </c>
      <c r="F532" s="9" t="str">
        <f>[1]Discovery!G538</f>
        <v>B</v>
      </c>
      <c r="G532" s="9" t="str">
        <f>IFERROR(VLOOKUP(표1[[#This Row],[명칭]],'문화권 정리'!C:D,2,FALSE),"-")</f>
        <v>남아시아</v>
      </c>
      <c r="H532" s="38" t="str">
        <f>IFERROR(COUNTIF([2]OceanDoodad!$Y:$Y,표1[[#This Row],[명칭]]),"-")</f>
        <v>-</v>
      </c>
      <c r="I532" s="38">
        <f>IFERROR(COUNTIF([1]AdventureDiscoveryGroup!$D$8:$AW$92,표1[[#This Row],[명칭]]),"-")</f>
        <v>0</v>
      </c>
      <c r="J532" s="38">
        <f>IFERROR(COUNTIF([1]FishDiscoveryGroup!$A:$X,표1[[#This Row],[명칭]]),"-")</f>
        <v>0</v>
      </c>
      <c r="K532" s="38" t="str">
        <f>IFERROR(COUNTIF([2]Town!$B:$B,표1[[#This Row],[명칭]]),"-")</f>
        <v>-</v>
      </c>
      <c r="L532" s="38">
        <f>IFERROR(COUNTIF([1]Village!$BR:$BR,표1[[#This Row],[명칭]]),"-")</f>
        <v>0</v>
      </c>
      <c r="M532" s="38">
        <f>COUNTIF(퀘스트!B:B,표1[[#This Row],[명칭]])</f>
        <v>0</v>
      </c>
      <c r="N532" s="65">
        <f>COUNTIF([1]VillageDiscoveryGroup!$C:$C,표1[[#This Row],[명칭]])</f>
        <v>0</v>
      </c>
      <c r="O532" s="65">
        <f>SUM(표1[[#This Row],[해양탐색]:[마을탐험]])</f>
        <v>0</v>
      </c>
    </row>
    <row r="533" spans="2:15" ht="13.5" customHeight="1" x14ac:dyDescent="0.3">
      <c r="B533" s="9">
        <f>[1]Discovery!A539</f>
        <v>70405010</v>
      </c>
      <c r="C533" s="9" t="str">
        <f>[1]Discovery!B539</f>
        <v>고니</v>
      </c>
      <c r="D533" s="9" t="str">
        <f>[1]Discovery!E539</f>
        <v>동물</v>
      </c>
      <c r="E533" s="9" t="str">
        <f>[1]Discovery!C539</f>
        <v>조류</v>
      </c>
      <c r="F533" s="9" t="str">
        <f>[1]Discovery!G539</f>
        <v>C</v>
      </c>
      <c r="G533" s="9" t="str">
        <f>IFERROR(VLOOKUP(표1[[#This Row],[명칭]],'문화권 정리'!C:D,2,FALSE),"-")</f>
        <v>유라시아</v>
      </c>
      <c r="H533" s="38" t="str">
        <f>IFERROR(COUNTIF([2]OceanDoodad!$Y:$Y,표1[[#This Row],[명칭]]),"-")</f>
        <v>-</v>
      </c>
      <c r="I533" s="38">
        <f>IFERROR(COUNTIF([1]AdventureDiscoveryGroup!$D$8:$AW$92,표1[[#This Row],[명칭]]),"-")</f>
        <v>0</v>
      </c>
      <c r="J533" s="38">
        <f>IFERROR(COUNTIF([1]FishDiscoveryGroup!$A:$X,표1[[#This Row],[명칭]]),"-")</f>
        <v>0</v>
      </c>
      <c r="K533" s="38" t="str">
        <f>IFERROR(COUNTIF([2]Town!$B:$B,표1[[#This Row],[명칭]]),"-")</f>
        <v>-</v>
      </c>
      <c r="L533" s="38">
        <f>IFERROR(COUNTIF([1]Village!$BR:$BR,표1[[#This Row],[명칭]]),"-")</f>
        <v>0</v>
      </c>
      <c r="M533" s="38">
        <f>COUNTIF(퀘스트!B:B,표1[[#This Row],[명칭]])</f>
        <v>1</v>
      </c>
      <c r="N533" s="65">
        <f>COUNTIF([1]VillageDiscoveryGroup!$C:$C,표1[[#This Row],[명칭]])</f>
        <v>0</v>
      </c>
      <c r="O533" s="65">
        <f>SUM(표1[[#This Row],[해양탐색]:[마을탐험]])</f>
        <v>1</v>
      </c>
    </row>
    <row r="534" spans="2:15" ht="13.5" customHeight="1" x14ac:dyDescent="0.3">
      <c r="B534" s="9">
        <f>[1]Discovery!A540</f>
        <v>70405011</v>
      </c>
      <c r="C534" s="9" t="str">
        <f>[1]Discovery!B540</f>
        <v>공작</v>
      </c>
      <c r="D534" s="9" t="str">
        <f>[1]Discovery!E540</f>
        <v>동물</v>
      </c>
      <c r="E534" s="9" t="str">
        <f>[1]Discovery!C540</f>
        <v>조류</v>
      </c>
      <c r="F534" s="9" t="str">
        <f>[1]Discovery!G540</f>
        <v>A</v>
      </c>
      <c r="G534" s="9" t="str">
        <f>IFERROR(VLOOKUP(표1[[#This Row],[명칭]],'문화권 정리'!C:D,2,FALSE),"-")</f>
        <v>남아시아</v>
      </c>
      <c r="H534" s="38" t="str">
        <f>IFERROR(COUNTIF([2]OceanDoodad!$Y:$Y,표1[[#This Row],[명칭]]),"-")</f>
        <v>-</v>
      </c>
      <c r="I534" s="38">
        <f>IFERROR(COUNTIF([1]AdventureDiscoveryGroup!$D$8:$AW$92,표1[[#This Row],[명칭]]),"-")</f>
        <v>0</v>
      </c>
      <c r="J534" s="38">
        <f>IFERROR(COUNTIF([1]FishDiscoveryGroup!$A:$X,표1[[#This Row],[명칭]]),"-")</f>
        <v>0</v>
      </c>
      <c r="K534" s="38" t="str">
        <f>IFERROR(COUNTIF([2]Town!$B:$B,표1[[#This Row],[명칭]]),"-")</f>
        <v>-</v>
      </c>
      <c r="L534" s="38">
        <f>IFERROR(COUNTIF([1]Village!$BR:$BR,표1[[#This Row],[명칭]]),"-")</f>
        <v>0</v>
      </c>
      <c r="M534" s="38">
        <f>COUNTIF(퀘스트!B:B,표1[[#This Row],[명칭]])</f>
        <v>0</v>
      </c>
      <c r="N534" s="65">
        <f>COUNTIF([1]VillageDiscoveryGroup!$C:$C,표1[[#This Row],[명칭]])</f>
        <v>0</v>
      </c>
      <c r="O534" s="65">
        <f>SUM(표1[[#This Row],[해양탐색]:[마을탐험]])</f>
        <v>0</v>
      </c>
    </row>
    <row r="535" spans="2:15" ht="13.5" customHeight="1" x14ac:dyDescent="0.3">
      <c r="B535" s="9">
        <f>[1]Discovery!A541</f>
        <v>70405012</v>
      </c>
      <c r="C535" s="9" t="str">
        <f>[1]Discovery!B541</f>
        <v>관학</v>
      </c>
      <c r="D535" s="9" t="str">
        <f>[1]Discovery!E541</f>
        <v>동물</v>
      </c>
      <c r="E535" s="9" t="str">
        <f>[1]Discovery!C541</f>
        <v>조류</v>
      </c>
      <c r="F535" s="9" t="str">
        <f>[1]Discovery!G541</f>
        <v>B</v>
      </c>
      <c r="G535" s="9" t="str">
        <f>IFERROR(VLOOKUP(표1[[#This Row],[명칭]],'문화권 정리'!C:D,2,FALSE),"-")</f>
        <v>동아프리카</v>
      </c>
      <c r="H535" s="38" t="str">
        <f>IFERROR(COUNTIF([2]OceanDoodad!$Y:$Y,표1[[#This Row],[명칭]]),"-")</f>
        <v>-</v>
      </c>
      <c r="I535" s="38">
        <f>IFERROR(COUNTIF([1]AdventureDiscoveryGroup!$D$8:$AW$92,표1[[#This Row],[명칭]]),"-")</f>
        <v>0</v>
      </c>
      <c r="J535" s="38">
        <f>IFERROR(COUNTIF([1]FishDiscoveryGroup!$A:$X,표1[[#This Row],[명칭]]),"-")</f>
        <v>0</v>
      </c>
      <c r="K535" s="38" t="str">
        <f>IFERROR(COUNTIF([2]Town!$B:$B,표1[[#This Row],[명칭]]),"-")</f>
        <v>-</v>
      </c>
      <c r="L535" s="38">
        <f>IFERROR(COUNTIF([1]Village!$BR:$BR,표1[[#This Row],[명칭]]),"-")</f>
        <v>0</v>
      </c>
      <c r="M535" s="38">
        <f>COUNTIF(퀘스트!B:B,표1[[#This Row],[명칭]])</f>
        <v>0</v>
      </c>
      <c r="N535" s="65">
        <f>COUNTIF([1]VillageDiscoveryGroup!$C:$C,표1[[#This Row],[명칭]])</f>
        <v>1</v>
      </c>
      <c r="O535" s="65">
        <f>SUM(표1[[#This Row],[해양탐색]:[마을탐험]])</f>
        <v>1</v>
      </c>
    </row>
    <row r="536" spans="2:15" ht="13.5" customHeight="1" x14ac:dyDescent="0.3">
      <c r="B536" s="9">
        <f>[1]Discovery!A542</f>
        <v>70405013</v>
      </c>
      <c r="C536" s="9" t="str">
        <f>[1]Discovery!B542</f>
        <v>괭이갈매기</v>
      </c>
      <c r="D536" s="9" t="str">
        <f>[1]Discovery!E542</f>
        <v>동물</v>
      </c>
      <c r="E536" s="9" t="str">
        <f>[1]Discovery!C542</f>
        <v>조류</v>
      </c>
      <c r="F536" s="9" t="str">
        <f>[1]Discovery!G542</f>
        <v>D</v>
      </c>
      <c r="G536" s="9" t="str">
        <f>IFERROR(VLOOKUP(표1[[#This Row],[명칭]],'문화권 정리'!C:D,2,FALSE),"-")</f>
        <v>동아시아</v>
      </c>
      <c r="H536" s="38" t="str">
        <f>IFERROR(COUNTIF([2]OceanDoodad!$Y:$Y,표1[[#This Row],[명칭]]),"-")</f>
        <v>-</v>
      </c>
      <c r="I536" s="38">
        <f>IFERROR(COUNTIF([1]AdventureDiscoveryGroup!$D$8:$AW$92,표1[[#This Row],[명칭]]),"-")</f>
        <v>0</v>
      </c>
      <c r="J536" s="38">
        <f>IFERROR(COUNTIF([1]FishDiscoveryGroup!$A:$X,표1[[#This Row],[명칭]]),"-")</f>
        <v>0</v>
      </c>
      <c r="K536" s="38" t="str">
        <f>IFERROR(COUNTIF([2]Town!$B:$B,표1[[#This Row],[명칭]]),"-")</f>
        <v>-</v>
      </c>
      <c r="L536" s="38">
        <f>IFERROR(COUNTIF([1]Village!$BR:$BR,표1[[#This Row],[명칭]]),"-")</f>
        <v>0</v>
      </c>
      <c r="M536" s="38">
        <f>COUNTIF(퀘스트!B:B,표1[[#This Row],[명칭]])</f>
        <v>0</v>
      </c>
      <c r="N536" s="65">
        <f>COUNTIF([1]VillageDiscoveryGroup!$C:$C,표1[[#This Row],[명칭]])</f>
        <v>0</v>
      </c>
      <c r="O536" s="65">
        <f>SUM(표1[[#This Row],[해양탐색]:[마을탐험]])</f>
        <v>0</v>
      </c>
    </row>
    <row r="537" spans="2:15" ht="13.5" customHeight="1" x14ac:dyDescent="0.3">
      <c r="B537" s="9">
        <f>[1]Discovery!A543</f>
        <v>70405014</v>
      </c>
      <c r="C537" s="9" t="str">
        <f>[1]Discovery!B543</f>
        <v>극락 비두아</v>
      </c>
      <c r="D537" s="9" t="str">
        <f>[1]Discovery!E543</f>
        <v>동물</v>
      </c>
      <c r="E537" s="9" t="str">
        <f>[1]Discovery!C543</f>
        <v>조류</v>
      </c>
      <c r="F537" s="9" t="str">
        <f>[1]Discovery!G543</f>
        <v>C</v>
      </c>
      <c r="G537" s="9" t="str">
        <f>IFERROR(VLOOKUP(표1[[#This Row],[명칭]],'문화권 정리'!C:D,2,FALSE),"-")</f>
        <v>동아프리카</v>
      </c>
      <c r="H537" s="38" t="str">
        <f>IFERROR(COUNTIF([2]OceanDoodad!$Y:$Y,표1[[#This Row],[명칭]]),"-")</f>
        <v>-</v>
      </c>
      <c r="I537" s="38">
        <f>IFERROR(COUNTIF([1]AdventureDiscoveryGroup!$D$8:$AW$92,표1[[#This Row],[명칭]]),"-")</f>
        <v>0</v>
      </c>
      <c r="J537" s="38">
        <f>IFERROR(COUNTIF([1]FishDiscoveryGroup!$A:$X,표1[[#This Row],[명칭]]),"-")</f>
        <v>0</v>
      </c>
      <c r="K537" s="38" t="str">
        <f>IFERROR(COUNTIF([2]Town!$B:$B,표1[[#This Row],[명칭]]),"-")</f>
        <v>-</v>
      </c>
      <c r="L537" s="38">
        <f>IFERROR(COUNTIF([1]Village!$BR:$BR,표1[[#This Row],[명칭]]),"-")</f>
        <v>0</v>
      </c>
      <c r="M537" s="38">
        <f>COUNTIF(퀘스트!B:B,표1[[#This Row],[명칭]])</f>
        <v>0</v>
      </c>
      <c r="N537" s="65">
        <f>COUNTIF([1]VillageDiscoveryGroup!$C:$C,표1[[#This Row],[명칭]])</f>
        <v>1</v>
      </c>
      <c r="O537" s="65">
        <f>SUM(표1[[#This Row],[해양탐색]:[마을탐험]])</f>
        <v>1</v>
      </c>
    </row>
    <row r="538" spans="2:15" ht="13.5" customHeight="1" x14ac:dyDescent="0.3">
      <c r="B538" s="9">
        <f>[1]Discovery!A544</f>
        <v>70405015</v>
      </c>
      <c r="C538" s="9" t="str">
        <f>[1]Discovery!B544</f>
        <v>극락조</v>
      </c>
      <c r="D538" s="9" t="str">
        <f>[1]Discovery!E544</f>
        <v>동물</v>
      </c>
      <c r="E538" s="9" t="str">
        <f>[1]Discovery!C544</f>
        <v>조류</v>
      </c>
      <c r="F538" s="9" t="str">
        <f>[1]Discovery!G544</f>
        <v>B</v>
      </c>
      <c r="G538" s="9" t="str">
        <f>IFERROR(VLOOKUP(표1[[#This Row],[명칭]],'문화권 정리'!C:D,2,FALSE),"-")</f>
        <v>동남아시아</v>
      </c>
      <c r="H538" s="38" t="str">
        <f>IFERROR(COUNTIF([2]OceanDoodad!$Y:$Y,표1[[#This Row],[명칭]]),"-")</f>
        <v>-</v>
      </c>
      <c r="I538" s="38">
        <f>IFERROR(COUNTIF([1]AdventureDiscoveryGroup!$D$8:$AW$92,표1[[#This Row],[명칭]]),"-")</f>
        <v>0</v>
      </c>
      <c r="J538" s="38">
        <f>IFERROR(COUNTIF([1]FishDiscoveryGroup!$A:$X,표1[[#This Row],[명칭]]),"-")</f>
        <v>0</v>
      </c>
      <c r="K538" s="38" t="str">
        <f>IFERROR(COUNTIF([2]Town!$B:$B,표1[[#This Row],[명칭]]),"-")</f>
        <v>-</v>
      </c>
      <c r="L538" s="38">
        <f>IFERROR(COUNTIF([1]Village!$BR:$BR,표1[[#This Row],[명칭]]),"-")</f>
        <v>0</v>
      </c>
      <c r="M538" s="38">
        <f>COUNTIF(퀘스트!B:B,표1[[#This Row],[명칭]])</f>
        <v>1</v>
      </c>
      <c r="N538" s="65">
        <f>COUNTIF([1]VillageDiscoveryGroup!$C:$C,표1[[#This Row],[명칭]])</f>
        <v>0</v>
      </c>
      <c r="O538" s="65">
        <f>SUM(표1[[#This Row],[해양탐색]:[마을탐험]])</f>
        <v>1</v>
      </c>
    </row>
    <row r="539" spans="2:15" ht="13.5" customHeight="1" x14ac:dyDescent="0.3">
      <c r="B539" s="9">
        <f>[1]Discovery!A545</f>
        <v>70405016</v>
      </c>
      <c r="C539" s="9" t="str">
        <f>[1]Discovery!B545</f>
        <v>금강앵무</v>
      </c>
      <c r="D539" s="9" t="str">
        <f>[1]Discovery!E545</f>
        <v>동물</v>
      </c>
      <c r="E539" s="9" t="str">
        <f>[1]Discovery!C545</f>
        <v>조류</v>
      </c>
      <c r="F539" s="9" t="str">
        <f>[1]Discovery!G545</f>
        <v>B</v>
      </c>
      <c r="G539" s="9" t="str">
        <f>IFERROR(VLOOKUP(표1[[#This Row],[명칭]],'문화권 정리'!C:D,2,FALSE),"-")</f>
        <v>중앙아메리카</v>
      </c>
      <c r="H539" s="38" t="str">
        <f>IFERROR(COUNTIF([2]OceanDoodad!$Y:$Y,표1[[#This Row],[명칭]]),"-")</f>
        <v>-</v>
      </c>
      <c r="I539" s="38">
        <f>IFERROR(COUNTIF([1]AdventureDiscoveryGroup!$D$8:$AW$92,표1[[#This Row],[명칭]]),"-")</f>
        <v>0</v>
      </c>
      <c r="J539" s="38">
        <f>IFERROR(COUNTIF([1]FishDiscoveryGroup!$A:$X,표1[[#This Row],[명칭]]),"-")</f>
        <v>0</v>
      </c>
      <c r="K539" s="38" t="str">
        <f>IFERROR(COUNTIF([2]Town!$B:$B,표1[[#This Row],[명칭]]),"-")</f>
        <v>-</v>
      </c>
      <c r="L539" s="38">
        <f>IFERROR(COUNTIF([1]Village!$BR:$BR,표1[[#This Row],[명칭]]),"-")</f>
        <v>0</v>
      </c>
      <c r="M539" s="38">
        <f>COUNTIF(퀘스트!B:B,표1[[#This Row],[명칭]])</f>
        <v>0</v>
      </c>
      <c r="N539" s="65">
        <f>COUNTIF([1]VillageDiscoveryGroup!$C:$C,표1[[#This Row],[명칭]])</f>
        <v>0</v>
      </c>
      <c r="O539" s="65">
        <f>SUM(표1[[#This Row],[해양탐색]:[마을탐험]])</f>
        <v>0</v>
      </c>
    </row>
    <row r="540" spans="2:15" ht="13.5" customHeight="1" x14ac:dyDescent="0.3">
      <c r="B540" s="9">
        <f>[1]Discovery!A546</f>
        <v>70405017</v>
      </c>
      <c r="C540" s="9" t="str">
        <f>[1]Discovery!B546</f>
        <v>금계</v>
      </c>
      <c r="D540" s="9" t="str">
        <f>[1]Discovery!E546</f>
        <v>동물</v>
      </c>
      <c r="E540" s="9" t="str">
        <f>[1]Discovery!C546</f>
        <v>조류</v>
      </c>
      <c r="F540" s="9" t="str">
        <f>[1]Discovery!G546</f>
        <v>C</v>
      </c>
      <c r="G540" s="9" t="str">
        <f>IFERROR(VLOOKUP(표1[[#This Row],[명칭]],'문화권 정리'!C:D,2,FALSE),"-")</f>
        <v>동아시아</v>
      </c>
      <c r="H540" s="38" t="str">
        <f>IFERROR(COUNTIF([2]OceanDoodad!$Y:$Y,표1[[#This Row],[명칭]]),"-")</f>
        <v>-</v>
      </c>
      <c r="I540" s="38">
        <f>IFERROR(COUNTIF([1]AdventureDiscoveryGroup!$D$8:$AW$92,표1[[#This Row],[명칭]]),"-")</f>
        <v>0</v>
      </c>
      <c r="J540" s="38">
        <f>IFERROR(COUNTIF([1]FishDiscoveryGroup!$A:$X,표1[[#This Row],[명칭]]),"-")</f>
        <v>0</v>
      </c>
      <c r="K540" s="38" t="str">
        <f>IFERROR(COUNTIF([2]Town!$B:$B,표1[[#This Row],[명칭]]),"-")</f>
        <v>-</v>
      </c>
      <c r="L540" s="38">
        <f>IFERROR(COUNTIF([1]Village!$BR:$BR,표1[[#This Row],[명칭]]),"-")</f>
        <v>0</v>
      </c>
      <c r="M540" s="38">
        <f>COUNTIF(퀘스트!B:B,표1[[#This Row],[명칭]])</f>
        <v>0</v>
      </c>
      <c r="N540" s="65">
        <f>COUNTIF([1]VillageDiscoveryGroup!$C:$C,표1[[#This Row],[명칭]])</f>
        <v>0</v>
      </c>
      <c r="O540" s="65">
        <f>SUM(표1[[#This Row],[해양탐색]:[마을탐험]])</f>
        <v>0</v>
      </c>
    </row>
    <row r="541" spans="2:15" ht="13.5" customHeight="1" x14ac:dyDescent="0.3">
      <c r="B541" s="9">
        <f>[1]Discovery!A547</f>
        <v>70405018</v>
      </c>
      <c r="C541" s="9" t="str">
        <f>[1]Discovery!B547</f>
        <v>긴꼬리홍양진이</v>
      </c>
      <c r="D541" s="9" t="str">
        <f>[1]Discovery!E547</f>
        <v>동물</v>
      </c>
      <c r="E541" s="9" t="str">
        <f>[1]Discovery!C547</f>
        <v>조류</v>
      </c>
      <c r="F541" s="9" t="str">
        <f>[1]Discovery!G547</f>
        <v>C</v>
      </c>
      <c r="G541" s="9" t="str">
        <f>IFERROR(VLOOKUP(표1[[#This Row],[명칭]],'문화권 정리'!C:D,2,FALSE),"-")</f>
        <v>동아시아</v>
      </c>
      <c r="H541" s="38" t="str">
        <f>IFERROR(COUNTIF([2]OceanDoodad!$Y:$Y,표1[[#This Row],[명칭]]),"-")</f>
        <v>-</v>
      </c>
      <c r="I541" s="38">
        <f>IFERROR(COUNTIF([1]AdventureDiscoveryGroup!$D$8:$AW$92,표1[[#This Row],[명칭]]),"-")</f>
        <v>1</v>
      </c>
      <c r="J541" s="38">
        <f>IFERROR(COUNTIF([1]FishDiscoveryGroup!$A:$X,표1[[#This Row],[명칭]]),"-")</f>
        <v>0</v>
      </c>
      <c r="K541" s="38" t="str">
        <f>IFERROR(COUNTIF([2]Town!$B:$B,표1[[#This Row],[명칭]]),"-")</f>
        <v>-</v>
      </c>
      <c r="L541" s="38">
        <f>IFERROR(COUNTIF([1]Village!$BR:$BR,표1[[#This Row],[명칭]]),"-")</f>
        <v>0</v>
      </c>
      <c r="M541" s="38">
        <f>COUNTIF(퀘스트!B:B,표1[[#This Row],[명칭]])</f>
        <v>0</v>
      </c>
      <c r="N541" s="65">
        <f>COUNTIF([1]VillageDiscoveryGroup!$C:$C,표1[[#This Row],[명칭]])</f>
        <v>0</v>
      </c>
      <c r="O541" s="65">
        <f>SUM(표1[[#This Row],[해양탐색]:[마을탐험]])</f>
        <v>1</v>
      </c>
    </row>
    <row r="542" spans="2:15" ht="13.5" customHeight="1" x14ac:dyDescent="0.3">
      <c r="B542" s="9">
        <f>[1]Discovery!A548</f>
        <v>70405019</v>
      </c>
      <c r="C542" s="9" t="str">
        <f>[1]Discovery!B548</f>
        <v>까치</v>
      </c>
      <c r="D542" s="9" t="str">
        <f>[1]Discovery!E548</f>
        <v>동물</v>
      </c>
      <c r="E542" s="9" t="str">
        <f>[1]Discovery!C548</f>
        <v>조류</v>
      </c>
      <c r="F542" s="9" t="str">
        <f>[1]Discovery!G548</f>
        <v>D</v>
      </c>
      <c r="G542" s="9" t="str">
        <f>IFERROR(VLOOKUP(표1[[#This Row],[명칭]],'문화권 정리'!C:D,2,FALSE),"-")</f>
        <v>동아시아</v>
      </c>
      <c r="H542" s="38" t="str">
        <f>IFERROR(COUNTIF([2]OceanDoodad!$Y:$Y,표1[[#This Row],[명칭]]),"-")</f>
        <v>-</v>
      </c>
      <c r="I542" s="38">
        <f>IFERROR(COUNTIF([1]AdventureDiscoveryGroup!$D$8:$AW$92,표1[[#This Row],[명칭]]),"-")</f>
        <v>0</v>
      </c>
      <c r="J542" s="38">
        <f>IFERROR(COUNTIF([1]FishDiscoveryGroup!$A:$X,표1[[#This Row],[명칭]]),"-")</f>
        <v>0</v>
      </c>
      <c r="K542" s="38" t="str">
        <f>IFERROR(COUNTIF([2]Town!$B:$B,표1[[#This Row],[명칭]]),"-")</f>
        <v>-</v>
      </c>
      <c r="L542" s="38">
        <f>IFERROR(COUNTIF([1]Village!$BR:$BR,표1[[#This Row],[명칭]]),"-")</f>
        <v>0</v>
      </c>
      <c r="M542" s="38">
        <f>COUNTIF(퀘스트!B:B,표1[[#This Row],[명칭]])</f>
        <v>1</v>
      </c>
      <c r="N542" s="65">
        <f>COUNTIF([1]VillageDiscoveryGroup!$C:$C,표1[[#This Row],[명칭]])</f>
        <v>0</v>
      </c>
      <c r="O542" s="65">
        <f>SUM(표1[[#This Row],[해양탐색]:[마을탐험]])</f>
        <v>1</v>
      </c>
    </row>
    <row r="543" spans="2:15" ht="13.5" customHeight="1" x14ac:dyDescent="0.3">
      <c r="B543" s="9">
        <f>[1]Discovery!A549</f>
        <v>70405020</v>
      </c>
      <c r="C543" s="9" t="str">
        <f>[1]Discovery!B549</f>
        <v>꿩</v>
      </c>
      <c r="D543" s="9" t="str">
        <f>[1]Discovery!E549</f>
        <v>동물</v>
      </c>
      <c r="E543" s="9" t="str">
        <f>[1]Discovery!C549</f>
        <v>조류</v>
      </c>
      <c r="F543" s="9" t="str">
        <f>[1]Discovery!G549</f>
        <v>D</v>
      </c>
      <c r="G543" s="9" t="str">
        <f>IFERROR(VLOOKUP(표1[[#This Row],[명칭]],'문화권 정리'!C:D,2,FALSE),"-")</f>
        <v>동아시아</v>
      </c>
      <c r="H543" s="38" t="str">
        <f>IFERROR(COUNTIF([2]OceanDoodad!$Y:$Y,표1[[#This Row],[명칭]]),"-")</f>
        <v>-</v>
      </c>
      <c r="I543" s="38">
        <f>IFERROR(COUNTIF([1]AdventureDiscoveryGroup!$D$8:$AW$92,표1[[#This Row],[명칭]]),"-")</f>
        <v>1</v>
      </c>
      <c r="J543" s="38">
        <f>IFERROR(COUNTIF([1]FishDiscoveryGroup!$A:$X,표1[[#This Row],[명칭]]),"-")</f>
        <v>0</v>
      </c>
      <c r="K543" s="38" t="str">
        <f>IFERROR(COUNTIF([2]Town!$B:$B,표1[[#This Row],[명칭]]),"-")</f>
        <v>-</v>
      </c>
      <c r="L543" s="38">
        <f>IFERROR(COUNTIF([1]Village!$BR:$BR,표1[[#This Row],[명칭]]),"-")</f>
        <v>0</v>
      </c>
      <c r="M543" s="38">
        <f>COUNTIF(퀘스트!B:B,표1[[#This Row],[명칭]])</f>
        <v>0</v>
      </c>
      <c r="N543" s="65">
        <f>COUNTIF([1]VillageDiscoveryGroup!$C:$C,표1[[#This Row],[명칭]])</f>
        <v>0</v>
      </c>
      <c r="O543" s="65">
        <f>SUM(표1[[#This Row],[해양탐색]:[마을탐험]])</f>
        <v>1</v>
      </c>
    </row>
    <row r="544" spans="2:15" ht="13.5" customHeight="1" x14ac:dyDescent="0.3">
      <c r="B544" s="9">
        <f>[1]Discovery!A550</f>
        <v>70405021</v>
      </c>
      <c r="C544" s="9" t="str">
        <f>[1]Discovery!B550</f>
        <v>난쟁이펭귄</v>
      </c>
      <c r="D544" s="9" t="str">
        <f>[1]Discovery!E550</f>
        <v>동물</v>
      </c>
      <c r="E544" s="9" t="str">
        <f>[1]Discovery!C550</f>
        <v>조류</v>
      </c>
      <c r="F544" s="9" t="str">
        <f>[1]Discovery!G550</f>
        <v>A</v>
      </c>
      <c r="G544" s="9" t="str">
        <f>IFERROR(VLOOKUP(표1[[#This Row],[명칭]],'문화권 정리'!C:D,2,FALSE),"-")</f>
        <v>오세아니아</v>
      </c>
      <c r="H544" s="38" t="str">
        <f>IFERROR(COUNTIF([2]OceanDoodad!$Y:$Y,표1[[#This Row],[명칭]]),"-")</f>
        <v>-</v>
      </c>
      <c r="I544" s="38">
        <f>IFERROR(COUNTIF([1]AdventureDiscoveryGroup!$D$8:$AW$92,표1[[#This Row],[명칭]]),"-")</f>
        <v>1</v>
      </c>
      <c r="J544" s="38">
        <f>IFERROR(COUNTIF([1]FishDiscoveryGroup!$A:$X,표1[[#This Row],[명칭]]),"-")</f>
        <v>0</v>
      </c>
      <c r="K544" s="38" t="str">
        <f>IFERROR(COUNTIF([2]Town!$B:$B,표1[[#This Row],[명칭]]),"-")</f>
        <v>-</v>
      </c>
      <c r="L544" s="38">
        <f>IFERROR(COUNTIF([1]Village!$BR:$BR,표1[[#This Row],[명칭]]),"-")</f>
        <v>0</v>
      </c>
      <c r="M544" s="38">
        <f>COUNTIF(퀘스트!B:B,표1[[#This Row],[명칭]])</f>
        <v>0</v>
      </c>
      <c r="N544" s="65">
        <f>COUNTIF([1]VillageDiscoveryGroup!$C:$C,표1[[#This Row],[명칭]])</f>
        <v>0</v>
      </c>
      <c r="O544" s="65">
        <f>SUM(표1[[#This Row],[해양탐색]:[마을탐험]])</f>
        <v>1</v>
      </c>
    </row>
    <row r="545" spans="2:15" ht="13.5" customHeight="1" x14ac:dyDescent="0.3">
      <c r="B545" s="9">
        <f>[1]Discovery!A551</f>
        <v>70405022</v>
      </c>
      <c r="C545" s="9" t="str">
        <f>[1]Discovery!B551</f>
        <v>남방 화식조</v>
      </c>
      <c r="D545" s="9" t="str">
        <f>[1]Discovery!E551</f>
        <v>동물</v>
      </c>
      <c r="E545" s="9" t="str">
        <f>[1]Discovery!C551</f>
        <v>조류</v>
      </c>
      <c r="F545" s="9" t="str">
        <f>[1]Discovery!G551</f>
        <v>B</v>
      </c>
      <c r="G545" s="9" t="str">
        <f>IFERROR(VLOOKUP(표1[[#This Row],[명칭]],'문화권 정리'!C:D,2,FALSE),"-")</f>
        <v>동남아시아</v>
      </c>
      <c r="H545" s="38" t="str">
        <f>IFERROR(COUNTIF([2]OceanDoodad!$Y:$Y,표1[[#This Row],[명칭]]),"-")</f>
        <v>-</v>
      </c>
      <c r="I545" s="38">
        <f>IFERROR(COUNTIF([1]AdventureDiscoveryGroup!$D$8:$AW$92,표1[[#This Row],[명칭]]),"-")</f>
        <v>1</v>
      </c>
      <c r="J545" s="38">
        <f>IFERROR(COUNTIF([1]FishDiscoveryGroup!$A:$X,표1[[#This Row],[명칭]]),"-")</f>
        <v>0</v>
      </c>
      <c r="K545" s="38" t="str">
        <f>IFERROR(COUNTIF([2]Town!$B:$B,표1[[#This Row],[명칭]]),"-")</f>
        <v>-</v>
      </c>
      <c r="L545" s="38">
        <f>IFERROR(COUNTIF([1]Village!$BR:$BR,표1[[#This Row],[명칭]]),"-")</f>
        <v>0</v>
      </c>
      <c r="M545" s="38">
        <f>COUNTIF(퀘스트!B:B,표1[[#This Row],[명칭]])</f>
        <v>0</v>
      </c>
      <c r="N545" s="65">
        <f>COUNTIF([1]VillageDiscoveryGroup!$C:$C,표1[[#This Row],[명칭]])</f>
        <v>0</v>
      </c>
      <c r="O545" s="65">
        <f>SUM(표1[[#This Row],[해양탐색]:[마을탐험]])</f>
        <v>1</v>
      </c>
    </row>
    <row r="546" spans="2:15" ht="13.5" customHeight="1" x14ac:dyDescent="0.3">
      <c r="B546" s="9">
        <f>[1]Discovery!A552</f>
        <v>70405023</v>
      </c>
      <c r="C546" s="9" t="str">
        <f>[1]Discovery!B552</f>
        <v>남부바위뛰기펭귄</v>
      </c>
      <c r="D546" s="9" t="str">
        <f>[1]Discovery!E552</f>
        <v>동물</v>
      </c>
      <c r="E546" s="9" t="str">
        <f>[1]Discovery!C552</f>
        <v>조류</v>
      </c>
      <c r="F546" s="9" t="str">
        <f>[1]Discovery!G552</f>
        <v>B</v>
      </c>
      <c r="G546" s="9" t="str">
        <f>IFERROR(VLOOKUP(표1[[#This Row],[명칭]],'문화권 정리'!C:D,2,FALSE),"-")</f>
        <v>극지방</v>
      </c>
      <c r="H546" s="38" t="str">
        <f>IFERROR(COUNTIF([2]OceanDoodad!$Y:$Y,표1[[#This Row],[명칭]]),"-")</f>
        <v>-</v>
      </c>
      <c r="I546" s="38">
        <f>IFERROR(COUNTIF([1]AdventureDiscoveryGroup!$D$8:$AW$92,표1[[#This Row],[명칭]]),"-")</f>
        <v>1</v>
      </c>
      <c r="J546" s="38">
        <f>IFERROR(COUNTIF([1]FishDiscoveryGroup!$A:$X,표1[[#This Row],[명칭]]),"-")</f>
        <v>0</v>
      </c>
      <c r="K546" s="38" t="str">
        <f>IFERROR(COUNTIF([2]Town!$B:$B,표1[[#This Row],[명칭]]),"-")</f>
        <v>-</v>
      </c>
      <c r="L546" s="38">
        <f>IFERROR(COUNTIF([1]Village!$BR:$BR,표1[[#This Row],[명칭]]),"-")</f>
        <v>0</v>
      </c>
      <c r="M546" s="38">
        <f>COUNTIF(퀘스트!B:B,표1[[#This Row],[명칭]])</f>
        <v>0</v>
      </c>
      <c r="N546" s="65">
        <f>COUNTIF([1]VillageDiscoveryGroup!$C:$C,표1[[#This Row],[명칭]])</f>
        <v>0</v>
      </c>
      <c r="O546" s="65">
        <f>SUM(표1[[#This Row],[해양탐색]:[마을탐험]])</f>
        <v>1</v>
      </c>
    </row>
    <row r="547" spans="2:15" ht="13.5" customHeight="1" x14ac:dyDescent="0.3">
      <c r="B547" s="9">
        <f>[1]Discovery!A553</f>
        <v>70405024</v>
      </c>
      <c r="C547" s="9" t="str">
        <f>[1]Discovery!B553</f>
        <v>넓적부리황새</v>
      </c>
      <c r="D547" s="9" t="str">
        <f>[1]Discovery!E553</f>
        <v>동물</v>
      </c>
      <c r="E547" s="9" t="str">
        <f>[1]Discovery!C553</f>
        <v>조류</v>
      </c>
      <c r="F547" s="9" t="str">
        <f>[1]Discovery!G553</f>
        <v>D</v>
      </c>
      <c r="G547" s="9" t="str">
        <f>IFERROR(VLOOKUP(표1[[#This Row],[명칭]],'문화권 정리'!C:D,2,FALSE),"-")</f>
        <v>남아프리카</v>
      </c>
      <c r="H547" s="38" t="str">
        <f>IFERROR(COUNTIF([2]OceanDoodad!$Y:$Y,표1[[#This Row],[명칭]]),"-")</f>
        <v>-</v>
      </c>
      <c r="I547" s="38">
        <f>IFERROR(COUNTIF([1]AdventureDiscoveryGroup!$D$8:$AW$92,표1[[#This Row],[명칭]]),"-")</f>
        <v>0</v>
      </c>
      <c r="J547" s="38">
        <f>IFERROR(COUNTIF([1]FishDiscoveryGroup!$A:$X,표1[[#This Row],[명칭]]),"-")</f>
        <v>0</v>
      </c>
      <c r="K547" s="38" t="str">
        <f>IFERROR(COUNTIF([2]Town!$B:$B,표1[[#This Row],[명칭]]),"-")</f>
        <v>-</v>
      </c>
      <c r="L547" s="38">
        <f>IFERROR(COUNTIF([1]Village!$BR:$BR,표1[[#This Row],[명칭]]),"-")</f>
        <v>0</v>
      </c>
      <c r="M547" s="38">
        <f>COUNTIF(퀘스트!B:B,표1[[#This Row],[명칭]])</f>
        <v>1</v>
      </c>
      <c r="N547" s="65">
        <f>COUNTIF([1]VillageDiscoveryGroup!$C:$C,표1[[#This Row],[명칭]])</f>
        <v>0</v>
      </c>
      <c r="O547" s="65">
        <f>SUM(표1[[#This Row],[해양탐색]:[마을탐험]])</f>
        <v>1</v>
      </c>
    </row>
    <row r="548" spans="2:15" ht="13.5" customHeight="1" x14ac:dyDescent="0.3">
      <c r="B548" s="9">
        <f>[1]Discovery!A554</f>
        <v>70405025</v>
      </c>
      <c r="C548" s="9" t="str">
        <f>[1]Discovery!B554</f>
        <v>노랑목 모란앵무</v>
      </c>
      <c r="D548" s="9" t="str">
        <f>[1]Discovery!E554</f>
        <v>동물</v>
      </c>
      <c r="E548" s="9" t="str">
        <f>[1]Discovery!C554</f>
        <v>조류</v>
      </c>
      <c r="F548" s="9" t="str">
        <f>[1]Discovery!G554</f>
        <v>C</v>
      </c>
      <c r="G548" s="9" t="str">
        <f>IFERROR(VLOOKUP(표1[[#This Row],[명칭]],'문화권 정리'!C:D,2,FALSE),"-")</f>
        <v>동아프리카</v>
      </c>
      <c r="H548" s="38" t="str">
        <f>IFERROR(COUNTIF([2]OceanDoodad!$Y:$Y,표1[[#This Row],[명칭]]),"-")</f>
        <v>-</v>
      </c>
      <c r="I548" s="38">
        <f>IFERROR(COUNTIF([1]AdventureDiscoveryGroup!$D$8:$AW$92,표1[[#This Row],[명칭]]),"-")</f>
        <v>1</v>
      </c>
      <c r="J548" s="38">
        <f>IFERROR(COUNTIF([1]FishDiscoveryGroup!$A:$X,표1[[#This Row],[명칭]]),"-")</f>
        <v>0</v>
      </c>
      <c r="K548" s="38" t="str">
        <f>IFERROR(COUNTIF([2]Town!$B:$B,표1[[#This Row],[명칭]]),"-")</f>
        <v>-</v>
      </c>
      <c r="L548" s="38">
        <f>IFERROR(COUNTIF([1]Village!$BR:$BR,표1[[#This Row],[명칭]]),"-")</f>
        <v>0</v>
      </c>
      <c r="M548" s="38">
        <f>COUNTIF(퀘스트!B:B,표1[[#This Row],[명칭]])</f>
        <v>0</v>
      </c>
      <c r="N548" s="65">
        <f>COUNTIF([1]VillageDiscoveryGroup!$C:$C,표1[[#This Row],[명칭]])</f>
        <v>0</v>
      </c>
      <c r="O548" s="65">
        <f>SUM(표1[[#This Row],[해양탐색]:[마을탐험]])</f>
        <v>1</v>
      </c>
    </row>
    <row r="549" spans="2:15" ht="13.5" customHeight="1" x14ac:dyDescent="0.3">
      <c r="B549" s="9">
        <f>[1]Discovery!A555</f>
        <v>70405026</v>
      </c>
      <c r="C549" s="9" t="str">
        <f>[1]Discovery!B555</f>
        <v>뇌조</v>
      </c>
      <c r="D549" s="9" t="str">
        <f>[1]Discovery!E555</f>
        <v>동물</v>
      </c>
      <c r="E549" s="9" t="str">
        <f>[1]Discovery!C555</f>
        <v>조류</v>
      </c>
      <c r="F549" s="9" t="str">
        <f>[1]Discovery!G555</f>
        <v>B</v>
      </c>
      <c r="G549" s="9" t="str">
        <f>IFERROR(VLOOKUP(표1[[#This Row],[명칭]],'문화권 정리'!C:D,2,FALSE),"-")</f>
        <v>북유럽</v>
      </c>
      <c r="H549" s="38" t="str">
        <f>IFERROR(COUNTIF([2]OceanDoodad!$Y:$Y,표1[[#This Row],[명칭]]),"-")</f>
        <v>-</v>
      </c>
      <c r="I549" s="38">
        <f>IFERROR(COUNTIF([1]AdventureDiscoveryGroup!$D$8:$AW$92,표1[[#This Row],[명칭]]),"-")</f>
        <v>1</v>
      </c>
      <c r="J549" s="38">
        <f>IFERROR(COUNTIF([1]FishDiscoveryGroup!$A:$X,표1[[#This Row],[명칭]]),"-")</f>
        <v>0</v>
      </c>
      <c r="K549" s="38" t="str">
        <f>IFERROR(COUNTIF([2]Town!$B:$B,표1[[#This Row],[명칭]]),"-")</f>
        <v>-</v>
      </c>
      <c r="L549" s="38">
        <f>IFERROR(COUNTIF([1]Village!$BR:$BR,표1[[#This Row],[명칭]]),"-")</f>
        <v>0</v>
      </c>
      <c r="M549" s="38">
        <f>COUNTIF(퀘스트!B:B,표1[[#This Row],[명칭]])</f>
        <v>0</v>
      </c>
      <c r="N549" s="65">
        <f>COUNTIF([1]VillageDiscoveryGroup!$C:$C,표1[[#This Row],[명칭]])</f>
        <v>0</v>
      </c>
      <c r="O549" s="65">
        <f>SUM(표1[[#This Row],[해양탐색]:[마을탐험]])</f>
        <v>1</v>
      </c>
    </row>
    <row r="550" spans="2:15" ht="13.5" customHeight="1" x14ac:dyDescent="0.3">
      <c r="B550" s="9">
        <f>[1]Discovery!A556</f>
        <v>70405027</v>
      </c>
      <c r="C550" s="9" t="str">
        <f>[1]Discovery!B556</f>
        <v>담황목따오기</v>
      </c>
      <c r="D550" s="9" t="str">
        <f>[1]Discovery!E556</f>
        <v>동물</v>
      </c>
      <c r="E550" s="9" t="str">
        <f>[1]Discovery!C556</f>
        <v>조류</v>
      </c>
      <c r="F550" s="9" t="str">
        <f>[1]Discovery!G556</f>
        <v>D</v>
      </c>
      <c r="G550" s="9" t="str">
        <f>IFERROR(VLOOKUP(표1[[#This Row],[명칭]],'문화권 정리'!C:D,2,FALSE),"-")</f>
        <v>남아메리카</v>
      </c>
      <c r="H550" s="38" t="str">
        <f>IFERROR(COUNTIF([2]OceanDoodad!$Y:$Y,표1[[#This Row],[명칭]]),"-")</f>
        <v>-</v>
      </c>
      <c r="I550" s="38">
        <f>IFERROR(COUNTIF([1]AdventureDiscoveryGroup!$D$8:$AW$92,표1[[#This Row],[명칭]]),"-")</f>
        <v>1</v>
      </c>
      <c r="J550" s="38">
        <f>IFERROR(COUNTIF([1]FishDiscoveryGroup!$A:$X,표1[[#This Row],[명칭]]),"-")</f>
        <v>0</v>
      </c>
      <c r="K550" s="38" t="str">
        <f>IFERROR(COUNTIF([2]Town!$B:$B,표1[[#This Row],[명칭]]),"-")</f>
        <v>-</v>
      </c>
      <c r="L550" s="38">
        <f>IFERROR(COUNTIF([1]Village!$BR:$BR,표1[[#This Row],[명칭]]),"-")</f>
        <v>0</v>
      </c>
      <c r="M550" s="38">
        <f>COUNTIF(퀘스트!B:B,표1[[#This Row],[명칭]])</f>
        <v>0</v>
      </c>
      <c r="N550" s="65">
        <f>COUNTIF([1]VillageDiscoveryGroup!$C:$C,표1[[#This Row],[명칭]])</f>
        <v>0</v>
      </c>
      <c r="O550" s="65">
        <f>SUM(표1[[#This Row],[해양탐색]:[마을탐험]])</f>
        <v>1</v>
      </c>
    </row>
    <row r="551" spans="2:15" ht="13.5" customHeight="1" x14ac:dyDescent="0.3">
      <c r="B551" s="9">
        <f>[1]Discovery!A557</f>
        <v>70405028</v>
      </c>
      <c r="C551" s="9" t="str">
        <f>[1]Discovery!B557</f>
        <v>대륙 검은지빠귀</v>
      </c>
      <c r="D551" s="9" t="str">
        <f>[1]Discovery!E557</f>
        <v>동물</v>
      </c>
      <c r="E551" s="9" t="str">
        <f>[1]Discovery!C557</f>
        <v>조류</v>
      </c>
      <c r="F551" s="9" t="str">
        <f>[1]Discovery!G557</f>
        <v>C</v>
      </c>
      <c r="G551" s="9" t="str">
        <f>IFERROR(VLOOKUP(표1[[#This Row],[명칭]],'문화권 정리'!C:D,2,FALSE),"-")</f>
        <v>동아시아</v>
      </c>
      <c r="H551" s="38" t="str">
        <f>IFERROR(COUNTIF([2]OceanDoodad!$Y:$Y,표1[[#This Row],[명칭]]),"-")</f>
        <v>-</v>
      </c>
      <c r="I551" s="38">
        <f>IFERROR(COUNTIF([1]AdventureDiscoveryGroup!$D$8:$AW$92,표1[[#This Row],[명칭]]),"-")</f>
        <v>1</v>
      </c>
      <c r="J551" s="38">
        <f>IFERROR(COUNTIF([1]FishDiscoveryGroup!$A:$X,표1[[#This Row],[명칭]]),"-")</f>
        <v>0</v>
      </c>
      <c r="K551" s="38" t="str">
        <f>IFERROR(COUNTIF([2]Town!$B:$B,표1[[#This Row],[명칭]]),"-")</f>
        <v>-</v>
      </c>
      <c r="L551" s="38">
        <f>IFERROR(COUNTIF([1]Village!$BR:$BR,표1[[#This Row],[명칭]]),"-")</f>
        <v>0</v>
      </c>
      <c r="M551" s="38">
        <f>COUNTIF(퀘스트!B:B,표1[[#This Row],[명칭]])</f>
        <v>0</v>
      </c>
      <c r="N551" s="65">
        <f>COUNTIF([1]VillageDiscoveryGroup!$C:$C,표1[[#This Row],[명칭]])</f>
        <v>0</v>
      </c>
      <c r="O551" s="65">
        <f>SUM(표1[[#This Row],[해양탐색]:[마을탐험]])</f>
        <v>1</v>
      </c>
    </row>
    <row r="552" spans="2:15" ht="13.5" customHeight="1" x14ac:dyDescent="0.3">
      <c r="B552" s="9">
        <f>[1]Discovery!A558</f>
        <v>70405029</v>
      </c>
      <c r="C552" s="9" t="str">
        <f>[1]Discovery!B558</f>
        <v>다리다파랑까치</v>
      </c>
      <c r="D552" s="9" t="str">
        <f>[1]Discovery!E558</f>
        <v>동물</v>
      </c>
      <c r="E552" s="9" t="str">
        <f>[1]Discovery!C558</f>
        <v>조류</v>
      </c>
      <c r="F552" s="9" t="str">
        <f>[1]Discovery!G558</f>
        <v>C</v>
      </c>
      <c r="G552" s="9" t="str">
        <f>IFERROR(VLOOKUP(표1[[#This Row],[명칭]],'문화권 정리'!C:D,2,FALSE),"-")</f>
        <v>동아시아</v>
      </c>
      <c r="H552" s="38" t="str">
        <f>IFERROR(COUNTIF([2]OceanDoodad!$Y:$Y,표1[[#This Row],[명칭]]),"-")</f>
        <v>-</v>
      </c>
      <c r="I552" s="38">
        <f>IFERROR(COUNTIF([1]AdventureDiscoveryGroup!$D$8:$AW$92,표1[[#This Row],[명칭]]),"-")</f>
        <v>0</v>
      </c>
      <c r="J552" s="38">
        <f>IFERROR(COUNTIF([1]FishDiscoveryGroup!$A:$X,표1[[#This Row],[명칭]]),"-")</f>
        <v>0</v>
      </c>
      <c r="K552" s="38" t="str">
        <f>IFERROR(COUNTIF([2]Town!$B:$B,표1[[#This Row],[명칭]]),"-")</f>
        <v>-</v>
      </c>
      <c r="L552" s="38">
        <f>IFERROR(COUNTIF([1]Village!$BR:$BR,표1[[#This Row],[명칭]]),"-")</f>
        <v>0</v>
      </c>
      <c r="M552" s="38">
        <f>COUNTIF(퀘스트!B:B,표1[[#This Row],[명칭]])</f>
        <v>0</v>
      </c>
      <c r="N552" s="65">
        <f>COUNTIF([1]VillageDiscoveryGroup!$C:$C,표1[[#This Row],[명칭]])</f>
        <v>1</v>
      </c>
      <c r="O552" s="65">
        <f>SUM(표1[[#This Row],[해양탐색]:[마을탐험]])</f>
        <v>1</v>
      </c>
    </row>
    <row r="553" spans="2:15" ht="13.5" customHeight="1" x14ac:dyDescent="0.3">
      <c r="B553" s="9">
        <f>[1]Discovery!A559</f>
        <v>70405030</v>
      </c>
      <c r="C553" s="9" t="str">
        <f>[1]Discovery!B559</f>
        <v>댕기흰찌르레기</v>
      </c>
      <c r="D553" s="9" t="str">
        <f>[1]Discovery!E559</f>
        <v>동물</v>
      </c>
      <c r="E553" s="9" t="str">
        <f>[1]Discovery!C559</f>
        <v>조류</v>
      </c>
      <c r="F553" s="9" t="str">
        <f>[1]Discovery!G559</f>
        <v>A</v>
      </c>
      <c r="G553" s="9" t="str">
        <f>IFERROR(VLOOKUP(표1[[#This Row],[명칭]],'문화권 정리'!C:D,2,FALSE),"-")</f>
        <v>동남아시아</v>
      </c>
      <c r="H553" s="38" t="str">
        <f>IFERROR(COUNTIF([2]OceanDoodad!$Y:$Y,표1[[#This Row],[명칭]]),"-")</f>
        <v>-</v>
      </c>
      <c r="I553" s="38">
        <f>IFERROR(COUNTIF([1]AdventureDiscoveryGroup!$D$8:$AW$92,표1[[#This Row],[명칭]]),"-")</f>
        <v>1</v>
      </c>
      <c r="J553" s="38">
        <f>IFERROR(COUNTIF([1]FishDiscoveryGroup!$A:$X,표1[[#This Row],[명칭]]),"-")</f>
        <v>0</v>
      </c>
      <c r="K553" s="38" t="str">
        <f>IFERROR(COUNTIF([2]Town!$B:$B,표1[[#This Row],[명칭]]),"-")</f>
        <v>-</v>
      </c>
      <c r="L553" s="38">
        <f>IFERROR(COUNTIF([1]Village!$BR:$BR,표1[[#This Row],[명칭]]),"-")</f>
        <v>0</v>
      </c>
      <c r="M553" s="38">
        <f>COUNTIF(퀘스트!B:B,표1[[#This Row],[명칭]])</f>
        <v>0</v>
      </c>
      <c r="N553" s="65">
        <f>COUNTIF([1]VillageDiscoveryGroup!$C:$C,표1[[#This Row],[명칭]])</f>
        <v>0</v>
      </c>
      <c r="O553" s="65">
        <f>SUM(표1[[#This Row],[해양탐색]:[마을탐험]])</f>
        <v>1</v>
      </c>
    </row>
    <row r="554" spans="2:15" ht="13.5" customHeight="1" x14ac:dyDescent="0.3">
      <c r="B554" s="9">
        <f>[1]Discovery!A560</f>
        <v>70405031</v>
      </c>
      <c r="C554" s="9" t="str">
        <f>[1]Discovery!B560</f>
        <v>도도</v>
      </c>
      <c r="D554" s="9" t="str">
        <f>[1]Discovery!E560</f>
        <v>동물</v>
      </c>
      <c r="E554" s="9" t="str">
        <f>[1]Discovery!C560</f>
        <v>조류</v>
      </c>
      <c r="F554" s="9" t="str">
        <f>[1]Discovery!G560</f>
        <v>A</v>
      </c>
      <c r="G554" s="9" t="str">
        <f>IFERROR(VLOOKUP(표1[[#This Row],[명칭]],'문화권 정리'!C:D,2,FALSE),"-")</f>
        <v>동아프리카</v>
      </c>
      <c r="H554" s="38" t="str">
        <f>IFERROR(COUNTIF([2]OceanDoodad!$Y:$Y,표1[[#This Row],[명칭]]),"-")</f>
        <v>-</v>
      </c>
      <c r="I554" s="38">
        <f>IFERROR(COUNTIF([1]AdventureDiscoveryGroup!$D$8:$AW$92,표1[[#This Row],[명칭]]),"-")</f>
        <v>0</v>
      </c>
      <c r="J554" s="38">
        <f>IFERROR(COUNTIF([1]FishDiscoveryGroup!$A:$X,표1[[#This Row],[명칭]]),"-")</f>
        <v>0</v>
      </c>
      <c r="K554" s="38" t="str">
        <f>IFERROR(COUNTIF([2]Town!$B:$B,표1[[#This Row],[명칭]]),"-")</f>
        <v>-</v>
      </c>
      <c r="L554" s="38">
        <f>IFERROR(COUNTIF([1]Village!$BR:$BR,표1[[#This Row],[명칭]]),"-")</f>
        <v>0</v>
      </c>
      <c r="M554" s="38">
        <f>COUNTIF(퀘스트!B:B,표1[[#This Row],[명칭]])</f>
        <v>1</v>
      </c>
      <c r="N554" s="65">
        <f>COUNTIF([1]VillageDiscoveryGroup!$C:$C,표1[[#This Row],[명칭]])</f>
        <v>0</v>
      </c>
      <c r="O554" s="65">
        <f>SUM(표1[[#This Row],[해양탐색]:[마을탐험]])</f>
        <v>1</v>
      </c>
    </row>
    <row r="555" spans="2:15" ht="13.5" customHeight="1" x14ac:dyDescent="0.3">
      <c r="B555" s="9">
        <f>[1]Discovery!A561</f>
        <v>70405032</v>
      </c>
      <c r="C555" s="9" t="str">
        <f>[1]Discovery!B561</f>
        <v>두루미</v>
      </c>
      <c r="D555" s="9" t="str">
        <f>[1]Discovery!E561</f>
        <v>동물</v>
      </c>
      <c r="E555" s="9" t="str">
        <f>[1]Discovery!C561</f>
        <v>조류</v>
      </c>
      <c r="F555" s="9" t="str">
        <f>[1]Discovery!G561</f>
        <v>A</v>
      </c>
      <c r="G555" s="9" t="str">
        <f>IFERROR(VLOOKUP(표1[[#This Row],[명칭]],'문화권 정리'!C:D,2,FALSE),"-")</f>
        <v>동아시아</v>
      </c>
      <c r="H555" s="38" t="str">
        <f>IFERROR(COUNTIF([2]OceanDoodad!$Y:$Y,표1[[#This Row],[명칭]]),"-")</f>
        <v>-</v>
      </c>
      <c r="I555" s="38">
        <f>IFERROR(COUNTIF([1]AdventureDiscoveryGroup!$D$8:$AW$92,표1[[#This Row],[명칭]]),"-")</f>
        <v>2</v>
      </c>
      <c r="J555" s="38">
        <f>IFERROR(COUNTIF([1]FishDiscoveryGroup!$A:$X,표1[[#This Row],[명칭]]),"-")</f>
        <v>0</v>
      </c>
      <c r="K555" s="38" t="str">
        <f>IFERROR(COUNTIF([2]Town!$B:$B,표1[[#This Row],[명칭]]),"-")</f>
        <v>-</v>
      </c>
      <c r="L555" s="38">
        <f>IFERROR(COUNTIF([1]Village!$BR:$BR,표1[[#This Row],[명칭]]),"-")</f>
        <v>0</v>
      </c>
      <c r="M555" s="38">
        <f>COUNTIF(퀘스트!B:B,표1[[#This Row],[명칭]])</f>
        <v>0</v>
      </c>
      <c r="N555" s="65">
        <f>COUNTIF([1]VillageDiscoveryGroup!$C:$C,표1[[#This Row],[명칭]])</f>
        <v>1</v>
      </c>
      <c r="O555" s="65">
        <f>SUM(표1[[#This Row],[해양탐색]:[마을탐험]])</f>
        <v>3</v>
      </c>
    </row>
    <row r="556" spans="2:15" ht="13.5" customHeight="1" x14ac:dyDescent="0.3">
      <c r="B556" s="9">
        <f>[1]Discovery!A562</f>
        <v>70405033</v>
      </c>
      <c r="C556" s="9" t="str">
        <f>[1]Discovery!B562</f>
        <v>따오기</v>
      </c>
      <c r="D556" s="9" t="str">
        <f>[1]Discovery!E562</f>
        <v>동물</v>
      </c>
      <c r="E556" s="9" t="str">
        <f>[1]Discovery!C562</f>
        <v>조류</v>
      </c>
      <c r="F556" s="9" t="str">
        <f>[1]Discovery!G562</f>
        <v>D</v>
      </c>
      <c r="G556" s="9" t="str">
        <f>IFERROR(VLOOKUP(표1[[#This Row],[명칭]],'문화권 정리'!C:D,2,FALSE),"-")</f>
        <v>동아시아</v>
      </c>
      <c r="H556" s="38" t="str">
        <f>IFERROR(COUNTIF([2]OceanDoodad!$Y:$Y,표1[[#This Row],[명칭]]),"-")</f>
        <v>-</v>
      </c>
      <c r="I556" s="38">
        <f>IFERROR(COUNTIF([1]AdventureDiscoveryGroup!$D$8:$AW$92,표1[[#This Row],[명칭]]),"-")</f>
        <v>1</v>
      </c>
      <c r="J556" s="38">
        <f>IFERROR(COUNTIF([1]FishDiscoveryGroup!$A:$X,표1[[#This Row],[명칭]]),"-")</f>
        <v>0</v>
      </c>
      <c r="K556" s="38" t="str">
        <f>IFERROR(COUNTIF([2]Town!$B:$B,표1[[#This Row],[명칭]]),"-")</f>
        <v>-</v>
      </c>
      <c r="L556" s="38">
        <f>IFERROR(COUNTIF([1]Village!$BR:$BR,표1[[#This Row],[명칭]]),"-")</f>
        <v>0</v>
      </c>
      <c r="M556" s="38">
        <f>COUNTIF(퀘스트!B:B,표1[[#This Row],[명칭]])</f>
        <v>0</v>
      </c>
      <c r="N556" s="65">
        <f>COUNTIF([1]VillageDiscoveryGroup!$C:$C,표1[[#This Row],[명칭]])</f>
        <v>0</v>
      </c>
      <c r="O556" s="65">
        <f>SUM(표1[[#This Row],[해양탐색]:[마을탐험]])</f>
        <v>1</v>
      </c>
    </row>
    <row r="557" spans="2:15" ht="13.5" customHeight="1" x14ac:dyDescent="0.3">
      <c r="B557" s="9">
        <f>[1]Discovery!A563</f>
        <v>70405034</v>
      </c>
      <c r="C557" s="9" t="str">
        <f>[1]Discovery!B563</f>
        <v>라켓 벌새</v>
      </c>
      <c r="D557" s="9" t="str">
        <f>[1]Discovery!E563</f>
        <v>동물</v>
      </c>
      <c r="E557" s="9" t="str">
        <f>[1]Discovery!C563</f>
        <v>조류</v>
      </c>
      <c r="F557" s="9" t="str">
        <f>[1]Discovery!G563</f>
        <v>S</v>
      </c>
      <c r="G557" s="9" t="str">
        <f>IFERROR(VLOOKUP(표1[[#This Row],[명칭]],'문화권 정리'!C:D,2,FALSE),"-")</f>
        <v>남아메리카</v>
      </c>
      <c r="H557" s="38" t="str">
        <f>IFERROR(COUNTIF([2]OceanDoodad!$Y:$Y,표1[[#This Row],[명칭]]),"-")</f>
        <v>-</v>
      </c>
      <c r="I557" s="38">
        <f>IFERROR(COUNTIF([1]AdventureDiscoveryGroup!$D$8:$AW$92,표1[[#This Row],[명칭]]),"-")</f>
        <v>0</v>
      </c>
      <c r="J557" s="38">
        <f>IFERROR(COUNTIF([1]FishDiscoveryGroup!$A:$X,표1[[#This Row],[명칭]]),"-")</f>
        <v>0</v>
      </c>
      <c r="K557" s="38" t="str">
        <f>IFERROR(COUNTIF([2]Town!$B:$B,표1[[#This Row],[명칭]]),"-")</f>
        <v>-</v>
      </c>
      <c r="L557" s="38">
        <f>IFERROR(COUNTIF([1]Village!$BR:$BR,표1[[#This Row],[명칭]]),"-")</f>
        <v>0</v>
      </c>
      <c r="M557" s="38">
        <f>COUNTIF(퀘스트!B:B,표1[[#This Row],[명칭]])</f>
        <v>0</v>
      </c>
      <c r="N557" s="65">
        <f>COUNTIF([1]VillageDiscoveryGroup!$C:$C,표1[[#This Row],[명칭]])</f>
        <v>0</v>
      </c>
      <c r="O557" s="65">
        <f>SUM(표1[[#This Row],[해양탐색]:[마을탐험]])</f>
        <v>0</v>
      </c>
    </row>
    <row r="558" spans="2:15" ht="13.5" customHeight="1" x14ac:dyDescent="0.3">
      <c r="B558" s="9">
        <f>[1]Discovery!A564</f>
        <v>70405035</v>
      </c>
      <c r="C558" s="9" t="str">
        <f>[1]Discovery!B564</f>
        <v>라켓 쏙독새</v>
      </c>
      <c r="D558" s="9" t="str">
        <f>[1]Discovery!E564</f>
        <v>동물</v>
      </c>
      <c r="E558" s="9" t="str">
        <f>[1]Discovery!C564</f>
        <v>조류</v>
      </c>
      <c r="F558" s="9" t="str">
        <f>[1]Discovery!G564</f>
        <v>A</v>
      </c>
      <c r="G558" s="9" t="str">
        <f>IFERROR(VLOOKUP(표1[[#This Row],[명칭]],'문화권 정리'!C:D,2,FALSE),"-")</f>
        <v>서아프리카</v>
      </c>
      <c r="H558" s="38" t="str">
        <f>IFERROR(COUNTIF([2]OceanDoodad!$Y:$Y,표1[[#This Row],[명칭]]),"-")</f>
        <v>-</v>
      </c>
      <c r="I558" s="38">
        <f>IFERROR(COUNTIF([1]AdventureDiscoveryGroup!$D$8:$AW$92,표1[[#This Row],[명칭]]),"-")</f>
        <v>1</v>
      </c>
      <c r="J558" s="38">
        <f>IFERROR(COUNTIF([1]FishDiscoveryGroup!$A:$X,표1[[#This Row],[명칭]]),"-")</f>
        <v>0</v>
      </c>
      <c r="K558" s="38" t="str">
        <f>IFERROR(COUNTIF([2]Town!$B:$B,표1[[#This Row],[명칭]]),"-")</f>
        <v>-</v>
      </c>
      <c r="L558" s="38">
        <f>IFERROR(COUNTIF([1]Village!$BR:$BR,표1[[#This Row],[명칭]]),"-")</f>
        <v>0</v>
      </c>
      <c r="M558" s="38">
        <f>COUNTIF(퀘스트!B:B,표1[[#This Row],[명칭]])</f>
        <v>0</v>
      </c>
      <c r="N558" s="65">
        <f>COUNTIF([1]VillageDiscoveryGroup!$C:$C,표1[[#This Row],[명칭]])</f>
        <v>0</v>
      </c>
      <c r="O558" s="65">
        <f>SUM(표1[[#This Row],[해양탐색]:[마을탐험]])</f>
        <v>1</v>
      </c>
    </row>
    <row r="559" spans="2:15" ht="13.5" customHeight="1" x14ac:dyDescent="0.3">
      <c r="B559" s="9">
        <f>[1]Discovery!A565</f>
        <v>70405036</v>
      </c>
      <c r="C559" s="9" t="str">
        <f>[1]Discovery!B565</f>
        <v>레아</v>
      </c>
      <c r="D559" s="9" t="str">
        <f>[1]Discovery!E565</f>
        <v>동물</v>
      </c>
      <c r="E559" s="9" t="str">
        <f>[1]Discovery!C565</f>
        <v>조류</v>
      </c>
      <c r="F559" s="9" t="str">
        <f>[1]Discovery!G565</f>
        <v>C</v>
      </c>
      <c r="G559" s="9" t="str">
        <f>IFERROR(VLOOKUP(표1[[#This Row],[명칭]],'문화권 정리'!C:D,2,FALSE),"-")</f>
        <v>남아메리카</v>
      </c>
      <c r="H559" s="38" t="str">
        <f>IFERROR(COUNTIF([2]OceanDoodad!$Y:$Y,표1[[#This Row],[명칭]]),"-")</f>
        <v>-</v>
      </c>
      <c r="I559" s="38">
        <f>IFERROR(COUNTIF([1]AdventureDiscoveryGroup!$D$8:$AW$92,표1[[#This Row],[명칭]]),"-")</f>
        <v>0</v>
      </c>
      <c r="J559" s="38">
        <f>IFERROR(COUNTIF([1]FishDiscoveryGroup!$A:$X,표1[[#This Row],[명칭]]),"-")</f>
        <v>0</v>
      </c>
      <c r="K559" s="38" t="str">
        <f>IFERROR(COUNTIF([2]Town!$B:$B,표1[[#This Row],[명칭]]),"-")</f>
        <v>-</v>
      </c>
      <c r="L559" s="38">
        <f>IFERROR(COUNTIF([1]Village!$BR:$BR,표1[[#This Row],[명칭]]),"-")</f>
        <v>0</v>
      </c>
      <c r="M559" s="38">
        <f>COUNTIF(퀘스트!B:B,표1[[#This Row],[명칭]])</f>
        <v>0</v>
      </c>
      <c r="N559" s="65">
        <f>COUNTIF([1]VillageDiscoveryGroup!$C:$C,표1[[#This Row],[명칭]])</f>
        <v>1</v>
      </c>
      <c r="O559" s="65">
        <f>SUM(표1[[#This Row],[해양탐색]:[마을탐험]])</f>
        <v>1</v>
      </c>
    </row>
    <row r="560" spans="2:15" ht="13.5" customHeight="1" x14ac:dyDescent="0.3">
      <c r="B560" s="9">
        <f>[1]Discovery!A566</f>
        <v>70405037</v>
      </c>
      <c r="C560" s="9" t="str">
        <f>[1]Discovery!B566</f>
        <v>마카로니펭귄</v>
      </c>
      <c r="D560" s="9" t="str">
        <f>[1]Discovery!E566</f>
        <v>동물</v>
      </c>
      <c r="E560" s="9" t="str">
        <f>[1]Discovery!C566</f>
        <v>조류</v>
      </c>
      <c r="F560" s="9" t="str">
        <f>[1]Discovery!G566</f>
        <v>C</v>
      </c>
      <c r="G560" s="9" t="str">
        <f>IFERROR(VLOOKUP(표1[[#This Row],[명칭]],'문화권 정리'!C:D,2,FALSE),"-")</f>
        <v>남아메리카</v>
      </c>
      <c r="H560" s="38" t="str">
        <f>IFERROR(COUNTIF([2]OceanDoodad!$Y:$Y,표1[[#This Row],[명칭]]),"-")</f>
        <v>-</v>
      </c>
      <c r="I560" s="38">
        <f>IFERROR(COUNTIF([1]AdventureDiscoveryGroup!$D$8:$AW$92,표1[[#This Row],[명칭]]),"-")</f>
        <v>0</v>
      </c>
      <c r="J560" s="38">
        <f>IFERROR(COUNTIF([1]FishDiscoveryGroup!$A:$X,표1[[#This Row],[명칭]]),"-")</f>
        <v>0</v>
      </c>
      <c r="K560" s="38" t="str">
        <f>IFERROR(COUNTIF([2]Town!$B:$B,표1[[#This Row],[명칭]]),"-")</f>
        <v>-</v>
      </c>
      <c r="L560" s="38">
        <f>IFERROR(COUNTIF([1]Village!$BR:$BR,표1[[#This Row],[명칭]]),"-")</f>
        <v>0</v>
      </c>
      <c r="M560" s="38">
        <f>COUNTIF(퀘스트!B:B,표1[[#This Row],[명칭]])</f>
        <v>0</v>
      </c>
      <c r="N560" s="65">
        <f>COUNTIF([1]VillageDiscoveryGroup!$C:$C,표1[[#This Row],[명칭]])</f>
        <v>0</v>
      </c>
      <c r="O560" s="65">
        <f>SUM(표1[[#This Row],[해양탐색]:[마을탐험]])</f>
        <v>0</v>
      </c>
    </row>
    <row r="561" spans="2:15" ht="13.5" customHeight="1" x14ac:dyDescent="0.3">
      <c r="B561" s="9">
        <f>[1]Discovery!A567</f>
        <v>70405038</v>
      </c>
      <c r="C561" s="9" t="str">
        <f>[1]Discovery!B567</f>
        <v>모아</v>
      </c>
      <c r="D561" s="9" t="str">
        <f>[1]Discovery!E567</f>
        <v>동물</v>
      </c>
      <c r="E561" s="9" t="str">
        <f>[1]Discovery!C567</f>
        <v>조류</v>
      </c>
      <c r="F561" s="9" t="str">
        <f>[1]Discovery!G567</f>
        <v>S</v>
      </c>
      <c r="G561" s="9" t="str">
        <f>IFERROR(VLOOKUP(표1[[#This Row],[명칭]],'문화권 정리'!C:D,2,FALSE),"-")</f>
        <v>오세아니아</v>
      </c>
      <c r="H561" s="38" t="str">
        <f>IFERROR(COUNTIF([2]OceanDoodad!$Y:$Y,표1[[#This Row],[명칭]]),"-")</f>
        <v>-</v>
      </c>
      <c r="I561" s="38">
        <f>IFERROR(COUNTIF([1]AdventureDiscoveryGroup!$D$8:$AW$92,표1[[#This Row],[명칭]]),"-")</f>
        <v>0</v>
      </c>
      <c r="J561" s="38">
        <f>IFERROR(COUNTIF([1]FishDiscoveryGroup!$A:$X,표1[[#This Row],[명칭]]),"-")</f>
        <v>0</v>
      </c>
      <c r="K561" s="38" t="str">
        <f>IFERROR(COUNTIF([2]Town!$B:$B,표1[[#This Row],[명칭]]),"-")</f>
        <v>-</v>
      </c>
      <c r="L561" s="38">
        <f>IFERROR(COUNTIF([1]Village!$BR:$BR,표1[[#This Row],[명칭]]),"-")</f>
        <v>0</v>
      </c>
      <c r="M561" s="38">
        <f>COUNTIF(퀘스트!B:B,표1[[#This Row],[명칭]])</f>
        <v>0</v>
      </c>
      <c r="N561" s="65">
        <f>COUNTIF([1]VillageDiscoveryGroup!$C:$C,표1[[#This Row],[명칭]])</f>
        <v>0</v>
      </c>
      <c r="O561" s="65">
        <f>SUM(표1[[#This Row],[해양탐색]:[마을탐험]])</f>
        <v>0</v>
      </c>
    </row>
    <row r="562" spans="2:15" ht="13.5" customHeight="1" x14ac:dyDescent="0.3">
      <c r="B562" s="9">
        <f>[1]Discovery!A568</f>
        <v>70405039</v>
      </c>
      <c r="C562" s="9" t="str">
        <f>[1]Discovery!B568</f>
        <v>물수리</v>
      </c>
      <c r="D562" s="9" t="str">
        <f>[1]Discovery!E568</f>
        <v>동물</v>
      </c>
      <c r="E562" s="9" t="str">
        <f>[1]Discovery!C568</f>
        <v>조류</v>
      </c>
      <c r="F562" s="9" t="str">
        <f>[1]Discovery!G568</f>
        <v>C</v>
      </c>
      <c r="G562" s="9" t="str">
        <f>IFERROR(VLOOKUP(표1[[#This Row],[명칭]],'문화권 정리'!C:D,2,FALSE),"-")</f>
        <v>북아메리카</v>
      </c>
      <c r="H562" s="38" t="str">
        <f>IFERROR(COUNTIF([2]OceanDoodad!$Y:$Y,표1[[#This Row],[명칭]]),"-")</f>
        <v>-</v>
      </c>
      <c r="I562" s="38">
        <f>IFERROR(COUNTIF([1]AdventureDiscoveryGroup!$D$8:$AW$92,표1[[#This Row],[명칭]]),"-")</f>
        <v>0</v>
      </c>
      <c r="J562" s="38">
        <f>IFERROR(COUNTIF([1]FishDiscoveryGroup!$A:$X,표1[[#This Row],[명칭]]),"-")</f>
        <v>0</v>
      </c>
      <c r="K562" s="38" t="str">
        <f>IFERROR(COUNTIF([2]Town!$B:$B,표1[[#This Row],[명칭]]),"-")</f>
        <v>-</v>
      </c>
      <c r="L562" s="38">
        <f>IFERROR(COUNTIF([1]Village!$BR:$BR,표1[[#This Row],[명칭]]),"-")</f>
        <v>0</v>
      </c>
      <c r="M562" s="38">
        <f>COUNTIF(퀘스트!B:B,표1[[#This Row],[명칭]])</f>
        <v>0</v>
      </c>
      <c r="N562" s="65">
        <f>COUNTIF([1]VillageDiscoveryGroup!$C:$C,표1[[#This Row],[명칭]])</f>
        <v>1</v>
      </c>
      <c r="O562" s="65">
        <f>SUM(표1[[#This Row],[해양탐색]:[마을탐험]])</f>
        <v>1</v>
      </c>
    </row>
    <row r="563" spans="2:15" ht="13.5" customHeight="1" x14ac:dyDescent="0.3">
      <c r="B563" s="9">
        <f>[1]Discovery!A569</f>
        <v>70405040</v>
      </c>
      <c r="C563" s="9" t="str">
        <f>[1]Discovery!B569</f>
        <v>물총새</v>
      </c>
      <c r="D563" s="9" t="str">
        <f>[1]Discovery!E569</f>
        <v>동물</v>
      </c>
      <c r="E563" s="9" t="str">
        <f>[1]Discovery!C569</f>
        <v>조류</v>
      </c>
      <c r="F563" s="9" t="str">
        <f>[1]Discovery!G569</f>
        <v>B</v>
      </c>
      <c r="G563" s="9" t="str">
        <f>IFERROR(VLOOKUP(표1[[#This Row],[명칭]],'문화권 정리'!C:D,2,FALSE),"-")</f>
        <v>지중해</v>
      </c>
      <c r="H563" s="38" t="str">
        <f>IFERROR(COUNTIF([2]OceanDoodad!$Y:$Y,표1[[#This Row],[명칭]]),"-")</f>
        <v>-</v>
      </c>
      <c r="I563" s="38">
        <f>IFERROR(COUNTIF([1]AdventureDiscoveryGroup!$D$8:$AW$92,표1[[#This Row],[명칭]]),"-")</f>
        <v>0</v>
      </c>
      <c r="J563" s="38">
        <f>IFERROR(COUNTIF([1]FishDiscoveryGroup!$A:$X,표1[[#This Row],[명칭]]),"-")</f>
        <v>0</v>
      </c>
      <c r="K563" s="38" t="str">
        <f>IFERROR(COUNTIF([2]Town!$B:$B,표1[[#This Row],[명칭]]),"-")</f>
        <v>-</v>
      </c>
      <c r="L563" s="38">
        <f>IFERROR(COUNTIF([1]Village!$BR:$BR,표1[[#This Row],[명칭]]),"-")</f>
        <v>0</v>
      </c>
      <c r="M563" s="38">
        <f>COUNTIF(퀘스트!B:B,표1[[#This Row],[명칭]])</f>
        <v>0</v>
      </c>
      <c r="N563" s="65">
        <f>COUNTIF([1]VillageDiscoveryGroup!$C:$C,표1[[#This Row],[명칭]])</f>
        <v>1</v>
      </c>
      <c r="O563" s="65">
        <f>SUM(표1[[#This Row],[해양탐색]:[마을탐험]])</f>
        <v>1</v>
      </c>
    </row>
    <row r="564" spans="2:15" ht="13.5" customHeight="1" x14ac:dyDescent="0.3">
      <c r="B564" s="9">
        <f>[1]Discovery!A570</f>
        <v>70405041</v>
      </c>
      <c r="C564" s="9" t="str">
        <f>[1]Discovery!B570</f>
        <v>미카도꿩</v>
      </c>
      <c r="D564" s="9" t="str">
        <f>[1]Discovery!E570</f>
        <v>동물</v>
      </c>
      <c r="E564" s="9" t="str">
        <f>[1]Discovery!C570</f>
        <v>조류</v>
      </c>
      <c r="F564" s="9" t="str">
        <f>[1]Discovery!G570</f>
        <v>D</v>
      </c>
      <c r="G564" s="9" t="str">
        <f>IFERROR(VLOOKUP(표1[[#This Row],[명칭]],'문화권 정리'!C:D,2,FALSE),"-")</f>
        <v>동아시아</v>
      </c>
      <c r="H564" s="38" t="str">
        <f>IFERROR(COUNTIF([2]OceanDoodad!$Y:$Y,표1[[#This Row],[명칭]]),"-")</f>
        <v>-</v>
      </c>
      <c r="I564" s="38">
        <f>IFERROR(COUNTIF([1]AdventureDiscoveryGroup!$D$8:$AW$92,표1[[#This Row],[명칭]]),"-")</f>
        <v>1</v>
      </c>
      <c r="J564" s="38">
        <f>IFERROR(COUNTIF([1]FishDiscoveryGroup!$A:$X,표1[[#This Row],[명칭]]),"-")</f>
        <v>0</v>
      </c>
      <c r="K564" s="38" t="str">
        <f>IFERROR(COUNTIF([2]Town!$B:$B,표1[[#This Row],[명칭]]),"-")</f>
        <v>-</v>
      </c>
      <c r="L564" s="38">
        <f>IFERROR(COUNTIF([1]Village!$BR:$BR,표1[[#This Row],[명칭]]),"-")</f>
        <v>0</v>
      </c>
      <c r="M564" s="38">
        <f>COUNTIF(퀘스트!B:B,표1[[#This Row],[명칭]])</f>
        <v>0</v>
      </c>
      <c r="N564" s="65">
        <f>COUNTIF([1]VillageDiscoveryGroup!$C:$C,표1[[#This Row],[명칭]])</f>
        <v>0</v>
      </c>
      <c r="O564" s="65">
        <f>SUM(표1[[#This Row],[해양탐색]:[마을탐험]])</f>
        <v>1</v>
      </c>
    </row>
    <row r="565" spans="2:15" ht="13.5" customHeight="1" x14ac:dyDescent="0.3">
      <c r="B565" s="9">
        <f>[1]Discovery!A571</f>
        <v>70405042</v>
      </c>
      <c r="C565" s="9" t="str">
        <f>[1]Discovery!B571</f>
        <v>백송고리</v>
      </c>
      <c r="D565" s="9" t="str">
        <f>[1]Discovery!E571</f>
        <v>동물</v>
      </c>
      <c r="E565" s="9" t="str">
        <f>[1]Discovery!C571</f>
        <v>조류</v>
      </c>
      <c r="F565" s="9" t="str">
        <f>[1]Discovery!G571</f>
        <v>A</v>
      </c>
      <c r="G565" s="9" t="str">
        <f>IFERROR(VLOOKUP(표1[[#This Row],[명칭]],'문화권 정리'!C:D,2,FALSE),"-")</f>
        <v>북아메리카</v>
      </c>
      <c r="H565" s="38" t="str">
        <f>IFERROR(COUNTIF([2]OceanDoodad!$Y:$Y,표1[[#This Row],[명칭]]),"-")</f>
        <v>-</v>
      </c>
      <c r="I565" s="38">
        <f>IFERROR(COUNTIF([1]AdventureDiscoveryGroup!$D$8:$AW$92,표1[[#This Row],[명칭]]),"-")</f>
        <v>1</v>
      </c>
      <c r="J565" s="38">
        <f>IFERROR(COUNTIF([1]FishDiscoveryGroup!$A:$X,표1[[#This Row],[명칭]]),"-")</f>
        <v>0</v>
      </c>
      <c r="K565" s="38" t="str">
        <f>IFERROR(COUNTIF([2]Town!$B:$B,표1[[#This Row],[명칭]]),"-")</f>
        <v>-</v>
      </c>
      <c r="L565" s="38">
        <f>IFERROR(COUNTIF([1]Village!$BR:$BR,표1[[#This Row],[명칭]]),"-")</f>
        <v>0</v>
      </c>
      <c r="M565" s="38">
        <f>COUNTIF(퀘스트!B:B,표1[[#This Row],[명칭]])</f>
        <v>0</v>
      </c>
      <c r="N565" s="65">
        <f>COUNTIF([1]VillageDiscoveryGroup!$C:$C,표1[[#This Row],[명칭]])</f>
        <v>0</v>
      </c>
      <c r="O565" s="65">
        <f>SUM(표1[[#This Row],[해양탐색]:[마을탐험]])</f>
        <v>1</v>
      </c>
    </row>
    <row r="566" spans="2:15" ht="13.5" customHeight="1" x14ac:dyDescent="0.3">
      <c r="B566" s="9">
        <f>[1]Discovery!A572</f>
        <v>70405043</v>
      </c>
      <c r="C566" s="9" t="str">
        <f>[1]Discovery!B572</f>
        <v>뱀눈새</v>
      </c>
      <c r="D566" s="9" t="str">
        <f>[1]Discovery!E572</f>
        <v>동물</v>
      </c>
      <c r="E566" s="9" t="str">
        <f>[1]Discovery!C572</f>
        <v>조류</v>
      </c>
      <c r="F566" s="9" t="str">
        <f>[1]Discovery!G572</f>
        <v>A</v>
      </c>
      <c r="G566" s="9" t="str">
        <f>IFERROR(VLOOKUP(표1[[#This Row],[명칭]],'문화권 정리'!C:D,2,FALSE),"-")</f>
        <v>남아메리카</v>
      </c>
      <c r="H566" s="38" t="str">
        <f>IFERROR(COUNTIF([2]OceanDoodad!$Y:$Y,표1[[#This Row],[명칭]]),"-")</f>
        <v>-</v>
      </c>
      <c r="I566" s="38">
        <f>IFERROR(COUNTIF([1]AdventureDiscoveryGroup!$D$8:$AW$92,표1[[#This Row],[명칭]]),"-")</f>
        <v>0</v>
      </c>
      <c r="J566" s="38">
        <f>IFERROR(COUNTIF([1]FishDiscoveryGroup!$A:$X,표1[[#This Row],[명칭]]),"-")</f>
        <v>0</v>
      </c>
      <c r="K566" s="38" t="str">
        <f>IFERROR(COUNTIF([2]Town!$B:$B,표1[[#This Row],[명칭]]),"-")</f>
        <v>-</v>
      </c>
      <c r="L566" s="38">
        <f>IFERROR(COUNTIF([1]Village!$BR:$BR,표1[[#This Row],[명칭]]),"-")</f>
        <v>0</v>
      </c>
      <c r="M566" s="38">
        <f>COUNTIF(퀘스트!B:B,표1[[#This Row],[명칭]])</f>
        <v>0</v>
      </c>
      <c r="N566" s="65">
        <f>COUNTIF([1]VillageDiscoveryGroup!$C:$C,표1[[#This Row],[명칭]])</f>
        <v>1</v>
      </c>
      <c r="O566" s="65">
        <f>SUM(표1[[#This Row],[해양탐색]:[마을탐험]])</f>
        <v>1</v>
      </c>
    </row>
    <row r="567" spans="2:15" ht="13.5" customHeight="1" x14ac:dyDescent="0.3">
      <c r="B567" s="9">
        <f>[1]Discovery!A573</f>
        <v>70405044</v>
      </c>
      <c r="C567" s="9" t="str">
        <f>[1]Discovery!B573</f>
        <v>뱀잡이 수리</v>
      </c>
      <c r="D567" s="9" t="str">
        <f>[1]Discovery!E573</f>
        <v>동물</v>
      </c>
      <c r="E567" s="9" t="str">
        <f>[1]Discovery!C573</f>
        <v>조류</v>
      </c>
      <c r="F567" s="9" t="str">
        <f>[1]Discovery!G573</f>
        <v>B</v>
      </c>
      <c r="G567" s="9" t="str">
        <f>IFERROR(VLOOKUP(표1[[#This Row],[명칭]],'문화권 정리'!C:D,2,FALSE),"-")</f>
        <v>남아프리카</v>
      </c>
      <c r="H567" s="38" t="str">
        <f>IFERROR(COUNTIF([2]OceanDoodad!$Y:$Y,표1[[#This Row],[명칭]]),"-")</f>
        <v>-</v>
      </c>
      <c r="I567" s="38">
        <f>IFERROR(COUNTIF([1]AdventureDiscoveryGroup!$D$8:$AW$92,표1[[#This Row],[명칭]]),"-")</f>
        <v>1</v>
      </c>
      <c r="J567" s="38">
        <f>IFERROR(COUNTIF([1]FishDiscoveryGroup!$A:$X,표1[[#This Row],[명칭]]),"-")</f>
        <v>0</v>
      </c>
      <c r="K567" s="38" t="str">
        <f>IFERROR(COUNTIF([2]Town!$B:$B,표1[[#This Row],[명칭]]),"-")</f>
        <v>-</v>
      </c>
      <c r="L567" s="38">
        <f>IFERROR(COUNTIF([1]Village!$BR:$BR,표1[[#This Row],[명칭]]),"-")</f>
        <v>0</v>
      </c>
      <c r="M567" s="38">
        <f>COUNTIF(퀘스트!B:B,표1[[#This Row],[명칭]])</f>
        <v>0</v>
      </c>
      <c r="N567" s="65">
        <f>COUNTIF([1]VillageDiscoveryGroup!$C:$C,표1[[#This Row],[명칭]])</f>
        <v>0</v>
      </c>
      <c r="O567" s="65">
        <f>SUM(표1[[#This Row],[해양탐색]:[마을탐험]])</f>
        <v>1</v>
      </c>
    </row>
    <row r="568" spans="2:15" ht="13.5" customHeight="1" x14ac:dyDescent="0.3">
      <c r="B568" s="9">
        <f>[1]Discovery!A574</f>
        <v>70405045</v>
      </c>
      <c r="C568" s="9" t="str">
        <f>[1]Discovery!B574</f>
        <v>볼 망태 두루미</v>
      </c>
      <c r="D568" s="9" t="str">
        <f>[1]Discovery!E574</f>
        <v>동물</v>
      </c>
      <c r="E568" s="9" t="str">
        <f>[1]Discovery!C574</f>
        <v>조류</v>
      </c>
      <c r="F568" s="9" t="str">
        <f>[1]Discovery!G574</f>
        <v>D</v>
      </c>
      <c r="G568" s="9" t="str">
        <f>IFERROR(VLOOKUP(표1[[#This Row],[명칭]],'문화권 정리'!C:D,2,FALSE),"-")</f>
        <v>동아프리카</v>
      </c>
      <c r="H568" s="38" t="str">
        <f>IFERROR(COUNTIF([2]OceanDoodad!$Y:$Y,표1[[#This Row],[명칭]]),"-")</f>
        <v>-</v>
      </c>
      <c r="I568" s="38">
        <f>IFERROR(COUNTIF([1]AdventureDiscoveryGroup!$D$8:$AW$92,표1[[#This Row],[명칭]]),"-")</f>
        <v>1</v>
      </c>
      <c r="J568" s="38">
        <f>IFERROR(COUNTIF([1]FishDiscoveryGroup!$A:$X,표1[[#This Row],[명칭]]),"-")</f>
        <v>0</v>
      </c>
      <c r="K568" s="38" t="str">
        <f>IFERROR(COUNTIF([2]Town!$B:$B,표1[[#This Row],[명칭]]),"-")</f>
        <v>-</v>
      </c>
      <c r="L568" s="38">
        <f>IFERROR(COUNTIF([1]Village!$BR:$BR,표1[[#This Row],[명칭]]),"-")</f>
        <v>0</v>
      </c>
      <c r="M568" s="38">
        <f>COUNTIF(퀘스트!B:B,표1[[#This Row],[명칭]])</f>
        <v>0</v>
      </c>
      <c r="N568" s="65">
        <f>COUNTIF([1]VillageDiscoveryGroup!$C:$C,표1[[#This Row],[명칭]])</f>
        <v>0</v>
      </c>
      <c r="O568" s="65">
        <f>SUM(표1[[#This Row],[해양탐색]:[마을탐험]])</f>
        <v>1</v>
      </c>
    </row>
    <row r="569" spans="2:15" ht="13.5" customHeight="1" x14ac:dyDescent="0.3">
      <c r="B569" s="9">
        <f>[1]Discovery!A575</f>
        <v>70405046</v>
      </c>
      <c r="C569" s="9" t="str">
        <f>[1]Discovery!B575</f>
        <v>부채머리수리</v>
      </c>
      <c r="D569" s="9" t="str">
        <f>[1]Discovery!E575</f>
        <v>동물</v>
      </c>
      <c r="E569" s="9" t="str">
        <f>[1]Discovery!C575</f>
        <v>조류</v>
      </c>
      <c r="F569" s="9" t="str">
        <f>[1]Discovery!G575</f>
        <v>C</v>
      </c>
      <c r="G569" s="9" t="str">
        <f>IFERROR(VLOOKUP(표1[[#This Row],[명칭]],'문화권 정리'!C:D,2,FALSE),"-")</f>
        <v>남아메리카</v>
      </c>
      <c r="H569" s="38" t="str">
        <f>IFERROR(COUNTIF([2]OceanDoodad!$Y:$Y,표1[[#This Row],[명칭]]),"-")</f>
        <v>-</v>
      </c>
      <c r="I569" s="38">
        <f>IFERROR(COUNTIF([1]AdventureDiscoveryGroup!$D$8:$AW$92,표1[[#This Row],[명칭]]),"-")</f>
        <v>0</v>
      </c>
      <c r="J569" s="38">
        <f>IFERROR(COUNTIF([1]FishDiscoveryGroup!$A:$X,표1[[#This Row],[명칭]]),"-")</f>
        <v>0</v>
      </c>
      <c r="K569" s="38" t="str">
        <f>IFERROR(COUNTIF([2]Town!$B:$B,표1[[#This Row],[명칭]]),"-")</f>
        <v>-</v>
      </c>
      <c r="L569" s="38">
        <f>IFERROR(COUNTIF([1]Village!$BR:$BR,표1[[#This Row],[명칭]]),"-")</f>
        <v>0</v>
      </c>
      <c r="M569" s="38">
        <f>COUNTIF(퀘스트!B:B,표1[[#This Row],[명칭]])</f>
        <v>0</v>
      </c>
      <c r="N569" s="65">
        <f>COUNTIF([1]VillageDiscoveryGroup!$C:$C,표1[[#This Row],[명칭]])</f>
        <v>0</v>
      </c>
      <c r="O569" s="65">
        <f>SUM(표1[[#This Row],[해양탐색]:[마을탐험]])</f>
        <v>0</v>
      </c>
    </row>
    <row r="570" spans="2:15" ht="13.5" customHeight="1" x14ac:dyDescent="0.3">
      <c r="B570" s="9">
        <f>[1]Discovery!A576</f>
        <v>70405047</v>
      </c>
      <c r="C570" s="9" t="str">
        <f>[1]Discovery!B576</f>
        <v>분홍 앵무</v>
      </c>
      <c r="D570" s="9" t="str">
        <f>[1]Discovery!E576</f>
        <v>동물</v>
      </c>
      <c r="E570" s="9" t="str">
        <f>[1]Discovery!C576</f>
        <v>조류</v>
      </c>
      <c r="F570" s="9" t="str">
        <f>[1]Discovery!G576</f>
        <v>D</v>
      </c>
      <c r="G570" s="9" t="str">
        <f>IFERROR(VLOOKUP(표1[[#This Row],[명칭]],'문화권 정리'!C:D,2,FALSE),"-")</f>
        <v>오세아니아</v>
      </c>
      <c r="H570" s="38" t="str">
        <f>IFERROR(COUNTIF([2]OceanDoodad!$Y:$Y,표1[[#This Row],[명칭]]),"-")</f>
        <v>-</v>
      </c>
      <c r="I570" s="38">
        <f>IFERROR(COUNTIF([1]AdventureDiscoveryGroup!$D$8:$AW$92,표1[[#This Row],[명칭]]),"-")</f>
        <v>0</v>
      </c>
      <c r="J570" s="38">
        <f>IFERROR(COUNTIF([1]FishDiscoveryGroup!$A:$X,표1[[#This Row],[명칭]]),"-")</f>
        <v>0</v>
      </c>
      <c r="K570" s="38" t="str">
        <f>IFERROR(COUNTIF([2]Town!$B:$B,표1[[#This Row],[명칭]]),"-")</f>
        <v>-</v>
      </c>
      <c r="L570" s="38">
        <f>IFERROR(COUNTIF([1]Village!$BR:$BR,표1[[#This Row],[명칭]]),"-")</f>
        <v>0</v>
      </c>
      <c r="M570" s="38">
        <f>COUNTIF(퀘스트!B:B,표1[[#This Row],[명칭]])</f>
        <v>0</v>
      </c>
      <c r="N570" s="65">
        <f>COUNTIF([1]VillageDiscoveryGroup!$C:$C,표1[[#This Row],[명칭]])</f>
        <v>1</v>
      </c>
      <c r="O570" s="65">
        <f>SUM(표1[[#This Row],[해양탐색]:[마을탐험]])</f>
        <v>1</v>
      </c>
    </row>
    <row r="571" spans="2:15" ht="13.5" customHeight="1" x14ac:dyDescent="0.3">
      <c r="B571" s="9">
        <f>[1]Discovery!A577</f>
        <v>70405048</v>
      </c>
      <c r="C571" s="9" t="str">
        <f>[1]Discovery!B577</f>
        <v>붉은 솔개</v>
      </c>
      <c r="D571" s="9" t="str">
        <f>[1]Discovery!E577</f>
        <v>동물</v>
      </c>
      <c r="E571" s="9" t="str">
        <f>[1]Discovery!C577</f>
        <v>조류</v>
      </c>
      <c r="F571" s="9" t="str">
        <f>[1]Discovery!G577</f>
        <v>A</v>
      </c>
      <c r="G571" s="9" t="str">
        <f>IFERROR(VLOOKUP(표1[[#This Row],[명칭]],'문화권 정리'!C:D,2,FALSE),"-")</f>
        <v>지중해</v>
      </c>
      <c r="H571" s="38" t="str">
        <f>IFERROR(COUNTIF([2]OceanDoodad!$Y:$Y,표1[[#This Row],[명칭]]),"-")</f>
        <v>-</v>
      </c>
      <c r="I571" s="38">
        <f>IFERROR(COUNTIF([1]AdventureDiscoveryGroup!$D$8:$AW$92,표1[[#This Row],[명칭]]),"-")</f>
        <v>0</v>
      </c>
      <c r="J571" s="38">
        <f>IFERROR(COUNTIF([1]FishDiscoveryGroup!$A:$X,표1[[#This Row],[명칭]]),"-")</f>
        <v>0</v>
      </c>
      <c r="K571" s="38" t="str">
        <f>IFERROR(COUNTIF([2]Town!$B:$B,표1[[#This Row],[명칭]]),"-")</f>
        <v>-</v>
      </c>
      <c r="L571" s="38">
        <f>IFERROR(COUNTIF([1]Village!$BR:$BR,표1[[#This Row],[명칭]]),"-")</f>
        <v>0</v>
      </c>
      <c r="M571" s="38">
        <f>COUNTIF(퀘스트!B:B,표1[[#This Row],[명칭]])</f>
        <v>0</v>
      </c>
      <c r="N571" s="65">
        <f>COUNTIF([1]VillageDiscoveryGroup!$C:$C,표1[[#This Row],[명칭]])</f>
        <v>0</v>
      </c>
      <c r="O571" s="65">
        <f>SUM(표1[[#This Row],[해양탐색]:[마을탐험]])</f>
        <v>0</v>
      </c>
    </row>
    <row r="572" spans="2:15" ht="13.5" customHeight="1" x14ac:dyDescent="0.3">
      <c r="B572" s="9">
        <f>[1]Discovery!A578</f>
        <v>70405049</v>
      </c>
      <c r="C572" s="9" t="str">
        <f>[1]Discovery!B578</f>
        <v>붉은배 딱따구리</v>
      </c>
      <c r="D572" s="9" t="str">
        <f>[1]Discovery!E578</f>
        <v>동물</v>
      </c>
      <c r="E572" s="9" t="str">
        <f>[1]Discovery!C578</f>
        <v>조류</v>
      </c>
      <c r="F572" s="9" t="str">
        <f>[1]Discovery!G578</f>
        <v>C</v>
      </c>
      <c r="G572" s="9" t="str">
        <f>IFERROR(VLOOKUP(표1[[#This Row],[명칭]],'문화권 정리'!C:D,2,FALSE),"-")</f>
        <v>북아메리카</v>
      </c>
      <c r="H572" s="38" t="str">
        <f>IFERROR(COUNTIF([2]OceanDoodad!$Y:$Y,표1[[#This Row],[명칭]]),"-")</f>
        <v>-</v>
      </c>
      <c r="I572" s="38">
        <f>IFERROR(COUNTIF([1]AdventureDiscoveryGroup!$D$8:$AW$92,표1[[#This Row],[명칭]]),"-")</f>
        <v>1</v>
      </c>
      <c r="J572" s="38">
        <f>IFERROR(COUNTIF([1]FishDiscoveryGroup!$A:$X,표1[[#This Row],[명칭]]),"-")</f>
        <v>0</v>
      </c>
      <c r="K572" s="38" t="str">
        <f>IFERROR(COUNTIF([2]Town!$B:$B,표1[[#This Row],[명칭]]),"-")</f>
        <v>-</v>
      </c>
      <c r="L572" s="38">
        <f>IFERROR(COUNTIF([1]Village!$BR:$BR,표1[[#This Row],[명칭]]),"-")</f>
        <v>0</v>
      </c>
      <c r="M572" s="38">
        <f>COUNTIF(퀘스트!B:B,표1[[#This Row],[명칭]])</f>
        <v>0</v>
      </c>
      <c r="N572" s="65">
        <f>COUNTIF([1]VillageDiscoveryGroup!$C:$C,표1[[#This Row],[명칭]])</f>
        <v>0</v>
      </c>
      <c r="O572" s="65">
        <f>SUM(표1[[#This Row],[해양탐색]:[마을탐험]])</f>
        <v>1</v>
      </c>
    </row>
    <row r="573" spans="2:15" ht="13.5" customHeight="1" x14ac:dyDescent="0.3">
      <c r="B573" s="9">
        <f>[1]Discovery!A579</f>
        <v>70405050</v>
      </c>
      <c r="C573" s="9" t="str">
        <f>[1]Discovery!B579</f>
        <v>붉은장미앵무</v>
      </c>
      <c r="D573" s="9" t="str">
        <f>[1]Discovery!E579</f>
        <v>동물</v>
      </c>
      <c r="E573" s="9" t="str">
        <f>[1]Discovery!C579</f>
        <v>조류</v>
      </c>
      <c r="F573" s="9" t="str">
        <f>[1]Discovery!G579</f>
        <v>B</v>
      </c>
      <c r="G573" s="9" t="str">
        <f>IFERROR(VLOOKUP(표1[[#This Row],[명칭]],'문화권 정리'!C:D,2,FALSE),"-")</f>
        <v>오세아니아</v>
      </c>
      <c r="H573" s="38" t="str">
        <f>IFERROR(COUNTIF([2]OceanDoodad!$Y:$Y,표1[[#This Row],[명칭]]),"-")</f>
        <v>-</v>
      </c>
      <c r="I573" s="38">
        <f>IFERROR(COUNTIF([1]AdventureDiscoveryGroup!$D$8:$AW$92,표1[[#This Row],[명칭]]),"-")</f>
        <v>1</v>
      </c>
      <c r="J573" s="38">
        <f>IFERROR(COUNTIF([1]FishDiscoveryGroup!$A:$X,표1[[#This Row],[명칭]]),"-")</f>
        <v>0</v>
      </c>
      <c r="K573" s="38" t="str">
        <f>IFERROR(COUNTIF([2]Town!$B:$B,표1[[#This Row],[명칭]]),"-")</f>
        <v>-</v>
      </c>
      <c r="L573" s="38">
        <f>IFERROR(COUNTIF([1]Village!$BR:$BR,표1[[#This Row],[명칭]]),"-")</f>
        <v>0</v>
      </c>
      <c r="M573" s="38">
        <f>COUNTIF(퀘스트!B:B,표1[[#This Row],[명칭]])</f>
        <v>0</v>
      </c>
      <c r="N573" s="65">
        <f>COUNTIF([1]VillageDiscoveryGroup!$C:$C,표1[[#This Row],[명칭]])</f>
        <v>0</v>
      </c>
      <c r="O573" s="65">
        <f>SUM(표1[[#This Row],[해양탐색]:[마을탐험]])</f>
        <v>1</v>
      </c>
    </row>
    <row r="574" spans="2:15" ht="13.5" customHeight="1" x14ac:dyDescent="0.3">
      <c r="B574" s="9">
        <f>[1]Discovery!A580</f>
        <v>70405051</v>
      </c>
      <c r="C574" s="9" t="str">
        <f>[1]Discovery!B580</f>
        <v>빅토리아왕관비둘기</v>
      </c>
      <c r="D574" s="9" t="str">
        <f>[1]Discovery!E580</f>
        <v>동물</v>
      </c>
      <c r="E574" s="9" t="str">
        <f>[1]Discovery!C580</f>
        <v>조류</v>
      </c>
      <c r="F574" s="9" t="str">
        <f>[1]Discovery!G580</f>
        <v>A</v>
      </c>
      <c r="G574" s="9" t="str">
        <f>IFERROR(VLOOKUP(표1[[#This Row],[명칭]],'문화권 정리'!C:D,2,FALSE),"-")</f>
        <v>동남아시아</v>
      </c>
      <c r="H574" s="38" t="str">
        <f>IFERROR(COUNTIF([2]OceanDoodad!$Y:$Y,표1[[#This Row],[명칭]]),"-")</f>
        <v>-</v>
      </c>
      <c r="I574" s="38">
        <f>IFERROR(COUNTIF([1]AdventureDiscoveryGroup!$D$8:$AW$92,표1[[#This Row],[명칭]]),"-")</f>
        <v>1</v>
      </c>
      <c r="J574" s="38">
        <f>IFERROR(COUNTIF([1]FishDiscoveryGroup!$A:$X,표1[[#This Row],[명칭]]),"-")</f>
        <v>0</v>
      </c>
      <c r="K574" s="38" t="str">
        <f>IFERROR(COUNTIF([2]Town!$B:$B,표1[[#This Row],[명칭]]),"-")</f>
        <v>-</v>
      </c>
      <c r="L574" s="38">
        <f>IFERROR(COUNTIF([1]Village!$BR:$BR,표1[[#This Row],[명칭]]),"-")</f>
        <v>0</v>
      </c>
      <c r="M574" s="38">
        <f>COUNTIF(퀘스트!B:B,표1[[#This Row],[명칭]])</f>
        <v>0</v>
      </c>
      <c r="N574" s="65">
        <f>COUNTIF([1]VillageDiscoveryGroup!$C:$C,표1[[#This Row],[명칭]])</f>
        <v>0</v>
      </c>
      <c r="O574" s="65">
        <f>SUM(표1[[#This Row],[해양탐색]:[마을탐험]])</f>
        <v>1</v>
      </c>
    </row>
    <row r="575" spans="2:15" ht="13.5" customHeight="1" x14ac:dyDescent="0.3">
      <c r="B575" s="9">
        <f>[1]Discovery!A581</f>
        <v>70405052</v>
      </c>
      <c r="C575" s="9" t="str">
        <f>[1]Discovery!B581</f>
        <v>뿔퍼핀</v>
      </c>
      <c r="D575" s="9" t="str">
        <f>[1]Discovery!E581</f>
        <v>동물</v>
      </c>
      <c r="E575" s="9" t="str">
        <f>[1]Discovery!C581</f>
        <v>조류</v>
      </c>
      <c r="F575" s="9" t="str">
        <f>[1]Discovery!G581</f>
        <v>A</v>
      </c>
      <c r="G575" s="9" t="str">
        <f>IFERROR(VLOOKUP(표1[[#This Row],[명칭]],'문화권 정리'!C:D,2,FALSE),"-")</f>
        <v>북아메리카</v>
      </c>
      <c r="H575" s="38" t="str">
        <f>IFERROR(COUNTIF([2]OceanDoodad!$Y:$Y,표1[[#This Row],[명칭]]),"-")</f>
        <v>-</v>
      </c>
      <c r="I575" s="38">
        <f>IFERROR(COUNTIF([1]AdventureDiscoveryGroup!$D$8:$AW$92,표1[[#This Row],[명칭]]),"-")</f>
        <v>1</v>
      </c>
      <c r="J575" s="38">
        <f>IFERROR(COUNTIF([1]FishDiscoveryGroup!$A:$X,표1[[#This Row],[명칭]]),"-")</f>
        <v>0</v>
      </c>
      <c r="K575" s="38" t="str">
        <f>IFERROR(COUNTIF([2]Town!$B:$B,표1[[#This Row],[명칭]]),"-")</f>
        <v>-</v>
      </c>
      <c r="L575" s="38">
        <f>IFERROR(COUNTIF([1]Village!$BR:$BR,표1[[#This Row],[명칭]]),"-")</f>
        <v>0</v>
      </c>
      <c r="M575" s="38">
        <f>COUNTIF(퀘스트!B:B,표1[[#This Row],[명칭]])</f>
        <v>0</v>
      </c>
      <c r="N575" s="65">
        <f>COUNTIF([1]VillageDiscoveryGroup!$C:$C,표1[[#This Row],[명칭]])</f>
        <v>0</v>
      </c>
      <c r="O575" s="65">
        <f>SUM(표1[[#This Row],[해양탐색]:[마을탐험]])</f>
        <v>1</v>
      </c>
    </row>
    <row r="576" spans="2:15" ht="13.5" customHeight="1" x14ac:dyDescent="0.3">
      <c r="B576" s="9">
        <f>[1]Discovery!A582</f>
        <v>70405053</v>
      </c>
      <c r="C576" s="9" t="str">
        <f>[1]Discovery!B582</f>
        <v>사다새</v>
      </c>
      <c r="D576" s="9" t="str">
        <f>[1]Discovery!E582</f>
        <v>동물</v>
      </c>
      <c r="E576" s="9" t="str">
        <f>[1]Discovery!C582</f>
        <v>조류</v>
      </c>
      <c r="F576" s="9" t="str">
        <f>[1]Discovery!G582</f>
        <v>A</v>
      </c>
      <c r="G576" s="9" t="str">
        <f>IFERROR(VLOOKUP(표1[[#This Row],[명칭]],'문화권 정리'!C:D,2,FALSE),"-")</f>
        <v>오세아니아</v>
      </c>
      <c r="H576" s="38" t="str">
        <f>IFERROR(COUNTIF([2]OceanDoodad!$Y:$Y,표1[[#This Row],[명칭]]),"-")</f>
        <v>-</v>
      </c>
      <c r="I576" s="38">
        <f>IFERROR(COUNTIF([1]AdventureDiscoveryGroup!$D$8:$AW$92,표1[[#This Row],[명칭]]),"-")</f>
        <v>1</v>
      </c>
      <c r="J576" s="38">
        <f>IFERROR(COUNTIF([1]FishDiscoveryGroup!$A:$X,표1[[#This Row],[명칭]]),"-")</f>
        <v>0</v>
      </c>
      <c r="K576" s="38" t="str">
        <f>IFERROR(COUNTIF([2]Town!$B:$B,표1[[#This Row],[명칭]]),"-")</f>
        <v>-</v>
      </c>
      <c r="L576" s="38">
        <f>IFERROR(COUNTIF([1]Village!$BR:$BR,표1[[#This Row],[명칭]]),"-")</f>
        <v>0</v>
      </c>
      <c r="M576" s="38">
        <f>COUNTIF(퀘스트!B:B,표1[[#This Row],[명칭]])</f>
        <v>0</v>
      </c>
      <c r="N576" s="65">
        <f>COUNTIF([1]VillageDiscoveryGroup!$C:$C,표1[[#This Row],[명칭]])</f>
        <v>0</v>
      </c>
      <c r="O576" s="65">
        <f>SUM(표1[[#This Row],[해양탐색]:[마을탐험]])</f>
        <v>1</v>
      </c>
    </row>
    <row r="577" spans="2:15" ht="13.5" customHeight="1" x14ac:dyDescent="0.3">
      <c r="B577" s="9">
        <f>[1]Discovery!A583</f>
        <v>70405054</v>
      </c>
      <c r="C577" s="9" t="str">
        <f>[1]Discovery!B583</f>
        <v>산계</v>
      </c>
      <c r="D577" s="9" t="str">
        <f>[1]Discovery!E583</f>
        <v>동물</v>
      </c>
      <c r="E577" s="9" t="str">
        <f>[1]Discovery!C583</f>
        <v>조류</v>
      </c>
      <c r="F577" s="9" t="str">
        <f>[1]Discovery!G583</f>
        <v>A</v>
      </c>
      <c r="G577" s="9" t="str">
        <f>IFERROR(VLOOKUP(표1[[#This Row],[명칭]],'문화권 정리'!C:D,2,FALSE),"-")</f>
        <v>동아시아</v>
      </c>
      <c r="H577" s="38" t="str">
        <f>IFERROR(COUNTIF([2]OceanDoodad!$Y:$Y,표1[[#This Row],[명칭]]),"-")</f>
        <v>-</v>
      </c>
      <c r="I577" s="38">
        <f>IFERROR(COUNTIF([1]AdventureDiscoveryGroup!$D$8:$AW$92,표1[[#This Row],[명칭]]),"-")</f>
        <v>1</v>
      </c>
      <c r="J577" s="38">
        <f>IFERROR(COUNTIF([1]FishDiscoveryGroup!$A:$X,표1[[#This Row],[명칭]]),"-")</f>
        <v>0</v>
      </c>
      <c r="K577" s="38" t="str">
        <f>IFERROR(COUNTIF([2]Town!$B:$B,표1[[#This Row],[명칭]]),"-")</f>
        <v>-</v>
      </c>
      <c r="L577" s="38">
        <f>IFERROR(COUNTIF([1]Village!$BR:$BR,표1[[#This Row],[명칭]]),"-")</f>
        <v>0</v>
      </c>
      <c r="M577" s="38">
        <f>COUNTIF(퀘스트!B:B,표1[[#This Row],[명칭]])</f>
        <v>0</v>
      </c>
      <c r="N577" s="65">
        <f>COUNTIF([1]VillageDiscoveryGroup!$C:$C,표1[[#This Row],[명칭]])</f>
        <v>0</v>
      </c>
      <c r="O577" s="65">
        <f>SUM(표1[[#This Row],[해양탐색]:[마을탐험]])</f>
        <v>1</v>
      </c>
    </row>
    <row r="578" spans="2:15" ht="13.5" customHeight="1" x14ac:dyDescent="0.3">
      <c r="B578" s="9">
        <f>[1]Discovery!A584</f>
        <v>70405055</v>
      </c>
      <c r="C578" s="9" t="str">
        <f>[1]Discovery!B584</f>
        <v>상사조</v>
      </c>
      <c r="D578" s="9" t="str">
        <f>[1]Discovery!E584</f>
        <v>동물</v>
      </c>
      <c r="E578" s="9" t="str">
        <f>[1]Discovery!C584</f>
        <v>조류</v>
      </c>
      <c r="F578" s="9" t="str">
        <f>[1]Discovery!G584</f>
        <v>A</v>
      </c>
      <c r="G578" s="9" t="str">
        <f>IFERROR(VLOOKUP(표1[[#This Row],[명칭]],'문화권 정리'!C:D,2,FALSE),"-")</f>
        <v>동아시아</v>
      </c>
      <c r="H578" s="38" t="str">
        <f>IFERROR(COUNTIF([2]OceanDoodad!$Y:$Y,표1[[#This Row],[명칭]]),"-")</f>
        <v>-</v>
      </c>
      <c r="I578" s="38">
        <f>IFERROR(COUNTIF([1]AdventureDiscoveryGroup!$D$8:$AW$92,표1[[#This Row],[명칭]]),"-")</f>
        <v>1</v>
      </c>
      <c r="J578" s="38">
        <f>IFERROR(COUNTIF([1]FishDiscoveryGroup!$A:$X,표1[[#This Row],[명칭]]),"-")</f>
        <v>0</v>
      </c>
      <c r="K578" s="38" t="str">
        <f>IFERROR(COUNTIF([2]Town!$B:$B,표1[[#This Row],[명칭]]),"-")</f>
        <v>-</v>
      </c>
      <c r="L578" s="38">
        <f>IFERROR(COUNTIF([1]Village!$BR:$BR,표1[[#This Row],[명칭]]),"-")</f>
        <v>0</v>
      </c>
      <c r="M578" s="38">
        <f>COUNTIF(퀘스트!B:B,표1[[#This Row],[명칭]])</f>
        <v>0</v>
      </c>
      <c r="N578" s="65">
        <f>COUNTIF([1]VillageDiscoveryGroup!$C:$C,표1[[#This Row],[명칭]])</f>
        <v>0</v>
      </c>
      <c r="O578" s="65">
        <f>SUM(표1[[#This Row],[해양탐색]:[마을탐험]])</f>
        <v>1</v>
      </c>
    </row>
    <row r="579" spans="2:15" ht="13.5" customHeight="1" x14ac:dyDescent="0.3">
      <c r="B579" s="9">
        <f>[1]Discovery!A585</f>
        <v>70405056</v>
      </c>
      <c r="C579" s="9" t="str">
        <f>[1]Discovery!B585</f>
        <v>솔부엉이</v>
      </c>
      <c r="D579" s="9" t="str">
        <f>[1]Discovery!E585</f>
        <v>동물</v>
      </c>
      <c r="E579" s="9" t="str">
        <f>[1]Discovery!C585</f>
        <v>조류</v>
      </c>
      <c r="F579" s="9" t="str">
        <f>[1]Discovery!G585</f>
        <v>C</v>
      </c>
      <c r="G579" s="9" t="str">
        <f>IFERROR(VLOOKUP(표1[[#This Row],[명칭]],'문화권 정리'!C:D,2,FALSE),"-")</f>
        <v>동아시아</v>
      </c>
      <c r="H579" s="38" t="str">
        <f>IFERROR(COUNTIF([2]OceanDoodad!$Y:$Y,표1[[#This Row],[명칭]]),"-")</f>
        <v>-</v>
      </c>
      <c r="I579" s="38">
        <f>IFERROR(COUNTIF([1]AdventureDiscoveryGroup!$D$8:$AW$92,표1[[#This Row],[명칭]]),"-")</f>
        <v>0</v>
      </c>
      <c r="J579" s="38">
        <f>IFERROR(COUNTIF([1]FishDiscoveryGroup!$A:$X,표1[[#This Row],[명칭]]),"-")</f>
        <v>0</v>
      </c>
      <c r="K579" s="38" t="str">
        <f>IFERROR(COUNTIF([2]Town!$B:$B,표1[[#This Row],[명칭]]),"-")</f>
        <v>-</v>
      </c>
      <c r="L579" s="38">
        <f>IFERROR(COUNTIF([1]Village!$BR:$BR,표1[[#This Row],[명칭]]),"-")</f>
        <v>0</v>
      </c>
      <c r="M579" s="38">
        <f>COUNTIF(퀘스트!B:B,표1[[#This Row],[명칭]])</f>
        <v>0</v>
      </c>
      <c r="N579" s="65">
        <f>COUNTIF([1]VillageDiscoveryGroup!$C:$C,표1[[#This Row],[명칭]])</f>
        <v>0</v>
      </c>
      <c r="O579" s="65">
        <f>SUM(표1[[#This Row],[해양탐색]:[마을탐험]])</f>
        <v>0</v>
      </c>
    </row>
    <row r="580" spans="2:15" ht="13.5" customHeight="1" x14ac:dyDescent="0.3">
      <c r="B580" s="9">
        <f>[1]Discovery!A586</f>
        <v>70405057</v>
      </c>
      <c r="C580" s="9" t="str">
        <f>[1]Discovery!B586</f>
        <v>쇠물닭</v>
      </c>
      <c r="D580" s="9" t="str">
        <f>[1]Discovery!E586</f>
        <v>동물</v>
      </c>
      <c r="E580" s="9" t="str">
        <f>[1]Discovery!C586</f>
        <v>조류</v>
      </c>
      <c r="F580" s="9" t="str">
        <f>[1]Discovery!G586</f>
        <v>S</v>
      </c>
      <c r="G580" s="9" t="str">
        <f>IFERROR(VLOOKUP(표1[[#This Row],[명칭]],'문화권 정리'!C:D,2,FALSE),"-")</f>
        <v>태평양</v>
      </c>
      <c r="H580" s="38" t="str">
        <f>IFERROR(COUNTIF([2]OceanDoodad!$Y:$Y,표1[[#This Row],[명칭]]),"-")</f>
        <v>-</v>
      </c>
      <c r="I580" s="38">
        <f>IFERROR(COUNTIF([1]AdventureDiscoveryGroup!$D$8:$AW$92,표1[[#This Row],[명칭]]),"-")</f>
        <v>0</v>
      </c>
      <c r="J580" s="38">
        <f>IFERROR(COUNTIF([1]FishDiscoveryGroup!$A:$X,표1[[#This Row],[명칭]]),"-")</f>
        <v>0</v>
      </c>
      <c r="K580" s="38" t="str">
        <f>IFERROR(COUNTIF([2]Town!$B:$B,표1[[#This Row],[명칭]]),"-")</f>
        <v>-</v>
      </c>
      <c r="L580" s="38">
        <f>IFERROR(COUNTIF([1]Village!$BR:$BR,표1[[#This Row],[명칭]]),"-")</f>
        <v>0</v>
      </c>
      <c r="M580" s="38">
        <f>COUNTIF(퀘스트!B:B,표1[[#This Row],[명칭]])</f>
        <v>0</v>
      </c>
      <c r="N580" s="65">
        <f>COUNTIF([1]VillageDiscoveryGroup!$C:$C,표1[[#This Row],[명칭]])</f>
        <v>0</v>
      </c>
      <c r="O580" s="65">
        <f>SUM(표1[[#This Row],[해양탐색]:[마을탐험]])</f>
        <v>0</v>
      </c>
    </row>
    <row r="581" spans="2:15" ht="13.5" customHeight="1" x14ac:dyDescent="0.3">
      <c r="B581" s="9">
        <f>[1]Discovery!A587</f>
        <v>70405058</v>
      </c>
      <c r="C581" s="9" t="str">
        <f>[1]Discovery!B587</f>
        <v>아리엘왕부리</v>
      </c>
      <c r="D581" s="9" t="str">
        <f>[1]Discovery!E587</f>
        <v>동물</v>
      </c>
      <c r="E581" s="9" t="str">
        <f>[1]Discovery!C587</f>
        <v>조류</v>
      </c>
      <c r="F581" s="9" t="str">
        <f>[1]Discovery!G587</f>
        <v>A</v>
      </c>
      <c r="G581" s="9" t="str">
        <f>IFERROR(VLOOKUP(표1[[#This Row],[명칭]],'문화권 정리'!C:D,2,FALSE),"-")</f>
        <v>남아메리카</v>
      </c>
      <c r="H581" s="38" t="str">
        <f>IFERROR(COUNTIF([2]OceanDoodad!$Y:$Y,표1[[#This Row],[명칭]]),"-")</f>
        <v>-</v>
      </c>
      <c r="I581" s="38">
        <f>IFERROR(COUNTIF([1]AdventureDiscoveryGroup!$D$8:$AW$92,표1[[#This Row],[명칭]]),"-")</f>
        <v>1</v>
      </c>
      <c r="J581" s="38">
        <f>IFERROR(COUNTIF([1]FishDiscoveryGroup!$A:$X,표1[[#This Row],[명칭]]),"-")</f>
        <v>0</v>
      </c>
      <c r="K581" s="38" t="str">
        <f>IFERROR(COUNTIF([2]Town!$B:$B,표1[[#This Row],[명칭]]),"-")</f>
        <v>-</v>
      </c>
      <c r="L581" s="38">
        <f>IFERROR(COUNTIF([1]Village!$BR:$BR,표1[[#This Row],[명칭]]),"-")</f>
        <v>0</v>
      </c>
      <c r="M581" s="38">
        <f>COUNTIF(퀘스트!B:B,표1[[#This Row],[명칭]])</f>
        <v>0</v>
      </c>
      <c r="N581" s="65">
        <f>COUNTIF([1]VillageDiscoveryGroup!$C:$C,표1[[#This Row],[명칭]])</f>
        <v>0</v>
      </c>
      <c r="O581" s="65">
        <f>SUM(표1[[#This Row],[해양탐색]:[마을탐험]])</f>
        <v>1</v>
      </c>
    </row>
    <row r="582" spans="2:15" ht="13.5" customHeight="1" x14ac:dyDescent="0.3">
      <c r="B582" s="9">
        <f>[1]Discovery!A588</f>
        <v>70405059</v>
      </c>
      <c r="C582" s="9" t="str">
        <f>[1]Discovery!B588</f>
        <v>아메리카 흰 두루미</v>
      </c>
      <c r="D582" s="9" t="str">
        <f>[1]Discovery!E588</f>
        <v>동물</v>
      </c>
      <c r="E582" s="9" t="str">
        <f>[1]Discovery!C588</f>
        <v>조류</v>
      </c>
      <c r="F582" s="9" t="str">
        <f>[1]Discovery!G588</f>
        <v>A</v>
      </c>
      <c r="G582" s="9" t="str">
        <f>IFERROR(VLOOKUP(표1[[#This Row],[명칭]],'문화권 정리'!C:D,2,FALSE),"-")</f>
        <v>북아메리카</v>
      </c>
      <c r="H582" s="38" t="str">
        <f>IFERROR(COUNTIF([2]OceanDoodad!$Y:$Y,표1[[#This Row],[명칭]]),"-")</f>
        <v>-</v>
      </c>
      <c r="I582" s="38">
        <f>IFERROR(COUNTIF([1]AdventureDiscoveryGroup!$D$8:$AW$92,표1[[#This Row],[명칭]]),"-")</f>
        <v>0</v>
      </c>
      <c r="J582" s="38">
        <f>IFERROR(COUNTIF([1]FishDiscoveryGroup!$A:$X,표1[[#This Row],[명칭]]),"-")</f>
        <v>0</v>
      </c>
      <c r="K582" s="38" t="str">
        <f>IFERROR(COUNTIF([2]Town!$B:$B,표1[[#This Row],[명칭]]),"-")</f>
        <v>-</v>
      </c>
      <c r="L582" s="38">
        <f>IFERROR(COUNTIF([1]Village!$BR:$BR,표1[[#This Row],[명칭]]),"-")</f>
        <v>0</v>
      </c>
      <c r="M582" s="38">
        <f>COUNTIF(퀘스트!B:B,표1[[#This Row],[명칭]])</f>
        <v>0</v>
      </c>
      <c r="N582" s="65">
        <f>COUNTIF([1]VillageDiscoveryGroup!$C:$C,표1[[#This Row],[명칭]])</f>
        <v>1</v>
      </c>
      <c r="O582" s="65">
        <f>SUM(표1[[#This Row],[해양탐색]:[마을탐험]])</f>
        <v>1</v>
      </c>
    </row>
    <row r="583" spans="2:15" ht="13.5" customHeight="1" x14ac:dyDescent="0.3">
      <c r="B583" s="9">
        <f>[1]Discovery!A589</f>
        <v>70405060</v>
      </c>
      <c r="C583" s="9" t="str">
        <f>[1]Discovery!B589</f>
        <v>아프리카 물수리</v>
      </c>
      <c r="D583" s="9" t="str">
        <f>[1]Discovery!E589</f>
        <v>동물</v>
      </c>
      <c r="E583" s="9" t="str">
        <f>[1]Discovery!C589</f>
        <v>조류</v>
      </c>
      <c r="F583" s="9" t="str">
        <f>[1]Discovery!G589</f>
        <v>B</v>
      </c>
      <c r="G583" s="9" t="str">
        <f>IFERROR(VLOOKUP(표1[[#This Row],[명칭]],'문화권 정리'!C:D,2,FALSE),"-")</f>
        <v>남아프리카</v>
      </c>
      <c r="H583" s="38" t="str">
        <f>IFERROR(COUNTIF([2]OceanDoodad!$Y:$Y,표1[[#This Row],[명칭]]),"-")</f>
        <v>-</v>
      </c>
      <c r="I583" s="38">
        <f>IFERROR(COUNTIF([1]AdventureDiscoveryGroup!$D$8:$AW$92,표1[[#This Row],[명칭]]),"-")</f>
        <v>0</v>
      </c>
      <c r="J583" s="38">
        <f>IFERROR(COUNTIF([1]FishDiscoveryGroup!$A:$X,표1[[#This Row],[명칭]]),"-")</f>
        <v>0</v>
      </c>
      <c r="K583" s="38" t="str">
        <f>IFERROR(COUNTIF([2]Town!$B:$B,표1[[#This Row],[명칭]]),"-")</f>
        <v>-</v>
      </c>
      <c r="L583" s="38">
        <f>IFERROR(COUNTIF([1]Village!$BR:$BR,표1[[#This Row],[명칭]]),"-")</f>
        <v>0</v>
      </c>
      <c r="M583" s="38">
        <f>COUNTIF(퀘스트!B:B,표1[[#This Row],[명칭]])</f>
        <v>0</v>
      </c>
      <c r="N583" s="65">
        <f>COUNTIF([1]VillageDiscoveryGroup!$C:$C,표1[[#This Row],[명칭]])</f>
        <v>1</v>
      </c>
      <c r="O583" s="65">
        <f>SUM(표1[[#This Row],[해양탐색]:[마을탐험]])</f>
        <v>1</v>
      </c>
    </row>
    <row r="584" spans="2:15" ht="13.5" customHeight="1" x14ac:dyDescent="0.3">
      <c r="B584" s="9">
        <f>[1]Discovery!A590</f>
        <v>70405061</v>
      </c>
      <c r="C584" s="9" t="str">
        <f>[1]Discovery!B590</f>
        <v>안경 올빼미</v>
      </c>
      <c r="D584" s="9" t="str">
        <f>[1]Discovery!E590</f>
        <v>동물</v>
      </c>
      <c r="E584" s="9" t="str">
        <f>[1]Discovery!C590</f>
        <v>조류</v>
      </c>
      <c r="F584" s="9" t="str">
        <f>[1]Discovery!G590</f>
        <v>D</v>
      </c>
      <c r="G584" s="9" t="str">
        <f>IFERROR(VLOOKUP(표1[[#This Row],[명칭]],'문화권 정리'!C:D,2,FALSE),"-")</f>
        <v>중앙아메리카</v>
      </c>
      <c r="H584" s="38" t="str">
        <f>IFERROR(COUNTIF([2]OceanDoodad!$Y:$Y,표1[[#This Row],[명칭]]),"-")</f>
        <v>-</v>
      </c>
      <c r="I584" s="38">
        <f>IFERROR(COUNTIF([1]AdventureDiscoveryGroup!$D$8:$AW$92,표1[[#This Row],[명칭]]),"-")</f>
        <v>1</v>
      </c>
      <c r="J584" s="38">
        <f>IFERROR(COUNTIF([1]FishDiscoveryGroup!$A:$X,표1[[#This Row],[명칭]]),"-")</f>
        <v>0</v>
      </c>
      <c r="K584" s="38" t="str">
        <f>IFERROR(COUNTIF([2]Town!$B:$B,표1[[#This Row],[명칭]]),"-")</f>
        <v>-</v>
      </c>
      <c r="L584" s="38">
        <f>IFERROR(COUNTIF([1]Village!$BR:$BR,표1[[#This Row],[명칭]]),"-")</f>
        <v>0</v>
      </c>
      <c r="M584" s="38">
        <f>COUNTIF(퀘스트!B:B,표1[[#This Row],[명칭]])</f>
        <v>0</v>
      </c>
      <c r="N584" s="65">
        <f>COUNTIF([1]VillageDiscoveryGroup!$C:$C,표1[[#This Row],[명칭]])</f>
        <v>0</v>
      </c>
      <c r="O584" s="65">
        <f>SUM(표1[[#This Row],[해양탐색]:[마을탐험]])</f>
        <v>1</v>
      </c>
    </row>
    <row r="585" spans="2:15" ht="13.5" customHeight="1" x14ac:dyDescent="0.3">
      <c r="B585" s="9">
        <f>[1]Discovery!A591</f>
        <v>70405062</v>
      </c>
      <c r="C585" s="9" t="str">
        <f>[1]Discovery!B591</f>
        <v>안데스콘돌</v>
      </c>
      <c r="D585" s="9" t="str">
        <f>[1]Discovery!E591</f>
        <v>동물</v>
      </c>
      <c r="E585" s="9" t="str">
        <f>[1]Discovery!C591</f>
        <v>조류</v>
      </c>
      <c r="F585" s="9" t="str">
        <f>[1]Discovery!G591</f>
        <v>D</v>
      </c>
      <c r="G585" s="9" t="str">
        <f>IFERROR(VLOOKUP(표1[[#This Row],[명칭]],'문화권 정리'!C:D,2,FALSE),"-")</f>
        <v>남아메리카</v>
      </c>
      <c r="H585" s="38" t="str">
        <f>IFERROR(COUNTIF([2]OceanDoodad!$Y:$Y,표1[[#This Row],[명칭]]),"-")</f>
        <v>-</v>
      </c>
      <c r="I585" s="38">
        <f>IFERROR(COUNTIF([1]AdventureDiscoveryGroup!$D$8:$AW$92,표1[[#This Row],[명칭]]),"-")</f>
        <v>1</v>
      </c>
      <c r="J585" s="38">
        <f>IFERROR(COUNTIF([1]FishDiscoveryGroup!$A:$X,표1[[#This Row],[명칭]]),"-")</f>
        <v>0</v>
      </c>
      <c r="K585" s="38" t="str">
        <f>IFERROR(COUNTIF([2]Town!$B:$B,표1[[#This Row],[명칭]]),"-")</f>
        <v>-</v>
      </c>
      <c r="L585" s="38">
        <f>IFERROR(COUNTIF([1]Village!$BR:$BR,표1[[#This Row],[명칭]]),"-")</f>
        <v>0</v>
      </c>
      <c r="M585" s="38">
        <f>COUNTIF(퀘스트!B:B,표1[[#This Row],[명칭]])</f>
        <v>0</v>
      </c>
      <c r="N585" s="65">
        <f>COUNTIF([1]VillageDiscoveryGroup!$C:$C,표1[[#This Row],[명칭]])</f>
        <v>0</v>
      </c>
      <c r="O585" s="65">
        <f>SUM(표1[[#This Row],[해양탐색]:[마을탐험]])</f>
        <v>1</v>
      </c>
    </row>
    <row r="586" spans="2:15" ht="13.5" customHeight="1" x14ac:dyDescent="0.3">
      <c r="B586" s="9">
        <f>[1]Discovery!A592</f>
        <v>70405063</v>
      </c>
      <c r="C586" s="9" t="str">
        <f>[1]Discovery!B592</f>
        <v>알락할미새</v>
      </c>
      <c r="D586" s="9" t="str">
        <f>[1]Discovery!E592</f>
        <v>동물</v>
      </c>
      <c r="E586" s="9" t="str">
        <f>[1]Discovery!C592</f>
        <v>조류</v>
      </c>
      <c r="F586" s="9" t="str">
        <f>[1]Discovery!G592</f>
        <v>D</v>
      </c>
      <c r="G586" s="9" t="str">
        <f>IFERROR(VLOOKUP(표1[[#This Row],[명칭]],'문화권 정리'!C:D,2,FALSE),"-")</f>
        <v>동아시아</v>
      </c>
      <c r="H586" s="38" t="str">
        <f>IFERROR(COUNTIF([2]OceanDoodad!$Y:$Y,표1[[#This Row],[명칭]]),"-")</f>
        <v>-</v>
      </c>
      <c r="I586" s="38">
        <f>IFERROR(COUNTIF([1]AdventureDiscoveryGroup!$D$8:$AW$92,표1[[#This Row],[명칭]]),"-")</f>
        <v>0</v>
      </c>
      <c r="J586" s="38">
        <f>IFERROR(COUNTIF([1]FishDiscoveryGroup!$A:$X,표1[[#This Row],[명칭]]),"-")</f>
        <v>0</v>
      </c>
      <c r="K586" s="38" t="str">
        <f>IFERROR(COUNTIF([2]Town!$B:$B,표1[[#This Row],[명칭]]),"-")</f>
        <v>-</v>
      </c>
      <c r="L586" s="38">
        <f>IFERROR(COUNTIF([1]Village!$BR:$BR,표1[[#This Row],[명칭]]),"-")</f>
        <v>0</v>
      </c>
      <c r="M586" s="38">
        <f>COUNTIF(퀘스트!B:B,표1[[#This Row],[명칭]])</f>
        <v>0</v>
      </c>
      <c r="N586" s="65">
        <f>COUNTIF([1]VillageDiscoveryGroup!$C:$C,표1[[#This Row],[명칭]])</f>
        <v>0</v>
      </c>
      <c r="O586" s="65">
        <f>SUM(표1[[#This Row],[해양탐색]:[마을탐험]])</f>
        <v>0</v>
      </c>
    </row>
    <row r="587" spans="2:15" ht="13.5" customHeight="1" x14ac:dyDescent="0.3">
      <c r="B587" s="9">
        <f>[1]Discovery!A593</f>
        <v>70405064</v>
      </c>
      <c r="C587" s="9" t="str">
        <f>[1]Discovery!B593</f>
        <v>야자잎검은유황앵무새</v>
      </c>
      <c r="D587" s="9" t="str">
        <f>[1]Discovery!E593</f>
        <v>동물</v>
      </c>
      <c r="E587" s="9" t="str">
        <f>[1]Discovery!C593</f>
        <v>조류</v>
      </c>
      <c r="F587" s="9" t="str">
        <f>[1]Discovery!G593</f>
        <v>C</v>
      </c>
      <c r="G587" s="9" t="str">
        <f>IFERROR(VLOOKUP(표1[[#This Row],[명칭]],'문화권 정리'!C:D,2,FALSE),"-")</f>
        <v>동남아시아</v>
      </c>
      <c r="H587" s="38" t="str">
        <f>IFERROR(COUNTIF([2]OceanDoodad!$Y:$Y,표1[[#This Row],[명칭]]),"-")</f>
        <v>-</v>
      </c>
      <c r="I587" s="38">
        <f>IFERROR(COUNTIF([1]AdventureDiscoveryGroup!$D$8:$AW$92,표1[[#This Row],[명칭]]),"-")</f>
        <v>1</v>
      </c>
      <c r="J587" s="38">
        <f>IFERROR(COUNTIF([1]FishDiscoveryGroup!$A:$X,표1[[#This Row],[명칭]]),"-")</f>
        <v>0</v>
      </c>
      <c r="K587" s="38" t="str">
        <f>IFERROR(COUNTIF([2]Town!$B:$B,표1[[#This Row],[명칭]]),"-")</f>
        <v>-</v>
      </c>
      <c r="L587" s="38">
        <f>IFERROR(COUNTIF([1]Village!$BR:$BR,표1[[#This Row],[명칭]]),"-")</f>
        <v>0</v>
      </c>
      <c r="M587" s="38">
        <f>COUNTIF(퀘스트!B:B,표1[[#This Row],[명칭]])</f>
        <v>0</v>
      </c>
      <c r="N587" s="65">
        <f>COUNTIF([1]VillageDiscoveryGroup!$C:$C,표1[[#This Row],[명칭]])</f>
        <v>0</v>
      </c>
      <c r="O587" s="65">
        <f>SUM(표1[[#This Row],[해양탐색]:[마을탐험]])</f>
        <v>1</v>
      </c>
    </row>
    <row r="588" spans="2:15" ht="13.5" customHeight="1" x14ac:dyDescent="0.3">
      <c r="B588" s="9">
        <f>[1]Discovery!A594</f>
        <v>70405065</v>
      </c>
      <c r="C588" s="9" t="str">
        <f>[1]Discovery!B594</f>
        <v>어깨걸이극락조</v>
      </c>
      <c r="D588" s="9" t="str">
        <f>[1]Discovery!E594</f>
        <v>동물</v>
      </c>
      <c r="E588" s="9" t="str">
        <f>[1]Discovery!C594</f>
        <v>조류</v>
      </c>
      <c r="F588" s="9" t="str">
        <f>[1]Discovery!G594</f>
        <v>B</v>
      </c>
      <c r="G588" s="9" t="str">
        <f>IFERROR(VLOOKUP(표1[[#This Row],[명칭]],'문화권 정리'!C:D,2,FALSE),"-")</f>
        <v>동남아시아</v>
      </c>
      <c r="H588" s="38" t="str">
        <f>IFERROR(COUNTIF([2]OceanDoodad!$Y:$Y,표1[[#This Row],[명칭]]),"-")</f>
        <v>-</v>
      </c>
      <c r="I588" s="38">
        <f>IFERROR(COUNTIF([1]AdventureDiscoveryGroup!$D$8:$AW$92,표1[[#This Row],[명칭]]),"-")</f>
        <v>0</v>
      </c>
      <c r="J588" s="38">
        <f>IFERROR(COUNTIF([1]FishDiscoveryGroup!$A:$X,표1[[#This Row],[명칭]]),"-")</f>
        <v>0</v>
      </c>
      <c r="K588" s="38" t="str">
        <f>IFERROR(COUNTIF([2]Town!$B:$B,표1[[#This Row],[명칭]]),"-")</f>
        <v>-</v>
      </c>
      <c r="L588" s="38">
        <f>IFERROR(COUNTIF([1]Village!$BR:$BR,표1[[#This Row],[명칭]]),"-")</f>
        <v>0</v>
      </c>
      <c r="M588" s="38">
        <f>COUNTIF(퀘스트!B:B,표1[[#This Row],[명칭]])</f>
        <v>0</v>
      </c>
      <c r="N588" s="65">
        <f>COUNTIF([1]VillageDiscoveryGroup!$C:$C,표1[[#This Row],[명칭]])</f>
        <v>1</v>
      </c>
      <c r="O588" s="65">
        <f>SUM(표1[[#This Row],[해양탐색]:[마을탐험]])</f>
        <v>1</v>
      </c>
    </row>
    <row r="589" spans="2:15" ht="13.5" customHeight="1" x14ac:dyDescent="0.3">
      <c r="B589" s="9">
        <f>[1]Discovery!A595</f>
        <v>70405066</v>
      </c>
      <c r="C589" s="9" t="str">
        <f>[1]Discovery!B595</f>
        <v>에뮤</v>
      </c>
      <c r="D589" s="9" t="str">
        <f>[1]Discovery!E595</f>
        <v>동물</v>
      </c>
      <c r="E589" s="9" t="str">
        <f>[1]Discovery!C595</f>
        <v>조류</v>
      </c>
      <c r="F589" s="9" t="str">
        <f>[1]Discovery!G595</f>
        <v>D</v>
      </c>
      <c r="G589" s="9" t="str">
        <f>IFERROR(VLOOKUP(표1[[#This Row],[명칭]],'문화권 정리'!C:D,2,FALSE),"-")</f>
        <v>오세아니아</v>
      </c>
      <c r="H589" s="38" t="str">
        <f>IFERROR(COUNTIF([2]OceanDoodad!$Y:$Y,표1[[#This Row],[명칭]]),"-")</f>
        <v>-</v>
      </c>
      <c r="I589" s="38">
        <f>IFERROR(COUNTIF([1]AdventureDiscoveryGroup!$D$8:$AW$92,표1[[#This Row],[명칭]]),"-")</f>
        <v>1</v>
      </c>
      <c r="J589" s="38">
        <f>IFERROR(COUNTIF([1]FishDiscoveryGroup!$A:$X,표1[[#This Row],[명칭]]),"-")</f>
        <v>0</v>
      </c>
      <c r="K589" s="38" t="str">
        <f>IFERROR(COUNTIF([2]Town!$B:$B,표1[[#This Row],[명칭]]),"-")</f>
        <v>-</v>
      </c>
      <c r="L589" s="38">
        <f>IFERROR(COUNTIF([1]Village!$BR:$BR,표1[[#This Row],[명칭]]),"-")</f>
        <v>0</v>
      </c>
      <c r="M589" s="38">
        <f>COUNTIF(퀘스트!B:B,표1[[#This Row],[명칭]])</f>
        <v>0</v>
      </c>
      <c r="N589" s="65">
        <f>COUNTIF([1]VillageDiscoveryGroup!$C:$C,표1[[#This Row],[명칭]])</f>
        <v>0</v>
      </c>
      <c r="O589" s="65">
        <f>SUM(표1[[#This Row],[해양탐색]:[마을탐험]])</f>
        <v>1</v>
      </c>
    </row>
    <row r="590" spans="2:15" ht="13.5" customHeight="1" x14ac:dyDescent="0.3">
      <c r="B590" s="9">
        <f>[1]Discovery!A596</f>
        <v>70405067</v>
      </c>
      <c r="C590" s="9" t="str">
        <f>[1]Discovery!B596</f>
        <v>에피오르니스</v>
      </c>
      <c r="D590" s="9" t="str">
        <f>[1]Discovery!E596</f>
        <v>동물</v>
      </c>
      <c r="E590" s="9" t="str">
        <f>[1]Discovery!C596</f>
        <v>조류</v>
      </c>
      <c r="F590" s="9" t="str">
        <f>[1]Discovery!G596</f>
        <v>S</v>
      </c>
      <c r="G590" s="9" t="str">
        <f>IFERROR(VLOOKUP(표1[[#This Row],[명칭]],'문화권 정리'!C:D,2,FALSE),"-")</f>
        <v>동아프리카</v>
      </c>
      <c r="H590" s="38" t="str">
        <f>IFERROR(COUNTIF([2]OceanDoodad!$Y:$Y,표1[[#This Row],[명칭]]),"-")</f>
        <v>-</v>
      </c>
      <c r="I590" s="38">
        <f>IFERROR(COUNTIF([1]AdventureDiscoveryGroup!$D$8:$AW$92,표1[[#This Row],[명칭]]),"-")</f>
        <v>1</v>
      </c>
      <c r="J590" s="38">
        <f>IFERROR(COUNTIF([1]FishDiscoveryGroup!$A:$X,표1[[#This Row],[명칭]]),"-")</f>
        <v>0</v>
      </c>
      <c r="K590" s="38" t="str">
        <f>IFERROR(COUNTIF([2]Town!$B:$B,표1[[#This Row],[명칭]]),"-")</f>
        <v>-</v>
      </c>
      <c r="L590" s="38">
        <f>IFERROR(COUNTIF([1]Village!$BR:$BR,표1[[#This Row],[명칭]]),"-")</f>
        <v>0</v>
      </c>
      <c r="M590" s="38">
        <f>COUNTIF(퀘스트!B:B,표1[[#This Row],[명칭]])</f>
        <v>0</v>
      </c>
      <c r="N590" s="65">
        <f>COUNTIF([1]VillageDiscoveryGroup!$C:$C,표1[[#This Row],[명칭]])</f>
        <v>0</v>
      </c>
      <c r="O590" s="65">
        <f>SUM(표1[[#This Row],[해양탐색]:[마을탐험]])</f>
        <v>1</v>
      </c>
    </row>
    <row r="591" spans="2:15" ht="13.5" customHeight="1" x14ac:dyDescent="0.3">
      <c r="B591" s="9">
        <f>[1]Discovery!A597</f>
        <v>70405068</v>
      </c>
      <c r="C591" s="9" t="str">
        <f>[1]Discovery!B597</f>
        <v>엘레오노라매</v>
      </c>
      <c r="D591" s="9" t="str">
        <f>[1]Discovery!E597</f>
        <v>동물</v>
      </c>
      <c r="E591" s="9" t="str">
        <f>[1]Discovery!C597</f>
        <v>조류</v>
      </c>
      <c r="F591" s="9" t="str">
        <f>[1]Discovery!G597</f>
        <v>B</v>
      </c>
      <c r="G591" s="9" t="str">
        <f>IFERROR(VLOOKUP(표1[[#This Row],[명칭]],'문화권 정리'!C:D,2,FALSE),"-")</f>
        <v>지중해</v>
      </c>
      <c r="H591" s="38" t="str">
        <f>IFERROR(COUNTIF([2]OceanDoodad!$Y:$Y,표1[[#This Row],[명칭]]),"-")</f>
        <v>-</v>
      </c>
      <c r="I591" s="38">
        <f>IFERROR(COUNTIF([1]AdventureDiscoveryGroup!$D$8:$AW$92,표1[[#This Row],[명칭]]),"-")</f>
        <v>0</v>
      </c>
      <c r="J591" s="38">
        <f>IFERROR(COUNTIF([1]FishDiscoveryGroup!$A:$X,표1[[#This Row],[명칭]]),"-")</f>
        <v>0</v>
      </c>
      <c r="K591" s="38" t="str">
        <f>IFERROR(COUNTIF([2]Town!$B:$B,표1[[#This Row],[명칭]]),"-")</f>
        <v>-</v>
      </c>
      <c r="L591" s="38">
        <f>IFERROR(COUNTIF([1]Village!$BR:$BR,표1[[#This Row],[명칭]]),"-")</f>
        <v>0</v>
      </c>
      <c r="M591" s="38">
        <f>COUNTIF(퀘스트!B:B,표1[[#This Row],[명칭]])</f>
        <v>0</v>
      </c>
      <c r="N591" s="65">
        <f>COUNTIF([1]VillageDiscoveryGroup!$C:$C,표1[[#This Row],[명칭]])</f>
        <v>0</v>
      </c>
      <c r="O591" s="65">
        <f>SUM(표1[[#This Row],[해양탐색]:[마을탐험]])</f>
        <v>0</v>
      </c>
    </row>
    <row r="592" spans="2:15" ht="13.5" customHeight="1" x14ac:dyDescent="0.3">
      <c r="B592" s="9">
        <f>[1]Discovery!A598</f>
        <v>70405069</v>
      </c>
      <c r="C592" s="9" t="str">
        <f>[1]Discovery!B598</f>
        <v>여행비둘기</v>
      </c>
      <c r="D592" s="9" t="str">
        <f>[1]Discovery!E598</f>
        <v>동물</v>
      </c>
      <c r="E592" s="9" t="str">
        <f>[1]Discovery!C598</f>
        <v>조류</v>
      </c>
      <c r="F592" s="9" t="str">
        <f>[1]Discovery!G598</f>
        <v>C</v>
      </c>
      <c r="G592" s="9" t="str">
        <f>IFERROR(VLOOKUP(표1[[#This Row],[명칭]],'문화권 정리'!C:D,2,FALSE),"-")</f>
        <v>북아메리카</v>
      </c>
      <c r="H592" s="38" t="str">
        <f>IFERROR(COUNTIF([2]OceanDoodad!$Y:$Y,표1[[#This Row],[명칭]]),"-")</f>
        <v>-</v>
      </c>
      <c r="I592" s="38">
        <f>IFERROR(COUNTIF([1]AdventureDiscoveryGroup!$D$8:$AW$92,표1[[#This Row],[명칭]]),"-")</f>
        <v>0</v>
      </c>
      <c r="J592" s="38">
        <f>IFERROR(COUNTIF([1]FishDiscoveryGroup!$A:$X,표1[[#This Row],[명칭]]),"-")</f>
        <v>0</v>
      </c>
      <c r="K592" s="38" t="str">
        <f>IFERROR(COUNTIF([2]Town!$B:$B,표1[[#This Row],[명칭]]),"-")</f>
        <v>-</v>
      </c>
      <c r="L592" s="38">
        <f>IFERROR(COUNTIF([1]Village!$BR:$BR,표1[[#This Row],[명칭]]),"-")</f>
        <v>0</v>
      </c>
      <c r="M592" s="38">
        <f>COUNTIF(퀘스트!B:B,표1[[#This Row],[명칭]])</f>
        <v>1</v>
      </c>
      <c r="N592" s="65">
        <f>COUNTIF([1]VillageDiscoveryGroup!$C:$C,표1[[#This Row],[명칭]])</f>
        <v>0</v>
      </c>
      <c r="O592" s="65">
        <f>SUM(표1[[#This Row],[해양탐색]:[마을탐험]])</f>
        <v>1</v>
      </c>
    </row>
    <row r="593" spans="2:15" ht="13.5" customHeight="1" x14ac:dyDescent="0.3">
      <c r="B593" s="9">
        <f>[1]Discovery!A599</f>
        <v>70405070</v>
      </c>
      <c r="C593" s="9" t="str">
        <f>[1]Discovery!B599</f>
        <v>오목눈이</v>
      </c>
      <c r="D593" s="9" t="str">
        <f>[1]Discovery!E599</f>
        <v>동물</v>
      </c>
      <c r="E593" s="9" t="str">
        <f>[1]Discovery!C599</f>
        <v>조류</v>
      </c>
      <c r="F593" s="9" t="str">
        <f>[1]Discovery!G599</f>
        <v>B</v>
      </c>
      <c r="G593" s="9" t="str">
        <f>IFERROR(VLOOKUP(표1[[#This Row],[명칭]],'문화권 정리'!C:D,2,FALSE),"-")</f>
        <v>동아시아</v>
      </c>
      <c r="H593" s="38" t="str">
        <f>IFERROR(COUNTIF([2]OceanDoodad!$Y:$Y,표1[[#This Row],[명칭]]),"-")</f>
        <v>-</v>
      </c>
      <c r="I593" s="38">
        <f>IFERROR(COUNTIF([1]AdventureDiscoveryGroup!$D$8:$AW$92,표1[[#This Row],[명칭]]),"-")</f>
        <v>1</v>
      </c>
      <c r="J593" s="38">
        <f>IFERROR(COUNTIF([1]FishDiscoveryGroup!$A:$X,표1[[#This Row],[명칭]]),"-")</f>
        <v>0</v>
      </c>
      <c r="K593" s="38" t="str">
        <f>IFERROR(COUNTIF([2]Town!$B:$B,표1[[#This Row],[명칭]]),"-")</f>
        <v>-</v>
      </c>
      <c r="L593" s="38">
        <f>IFERROR(COUNTIF([1]Village!$BR:$BR,표1[[#This Row],[명칭]]),"-")</f>
        <v>0</v>
      </c>
      <c r="M593" s="38">
        <f>COUNTIF(퀘스트!B:B,표1[[#This Row],[명칭]])</f>
        <v>0</v>
      </c>
      <c r="N593" s="65">
        <f>COUNTIF([1]VillageDiscoveryGroup!$C:$C,표1[[#This Row],[명칭]])</f>
        <v>0</v>
      </c>
      <c r="O593" s="65">
        <f>SUM(표1[[#This Row],[해양탐색]:[마을탐험]])</f>
        <v>1</v>
      </c>
    </row>
    <row r="594" spans="2:15" ht="13.5" customHeight="1" x14ac:dyDescent="0.3">
      <c r="B594" s="9">
        <f>[1]Discovery!A600</f>
        <v>70405071</v>
      </c>
      <c r="C594" s="9" t="str">
        <f>[1]Discovery!B600</f>
        <v>오색 청해 앵무</v>
      </c>
      <c r="D594" s="9" t="str">
        <f>[1]Discovery!E600</f>
        <v>동물</v>
      </c>
      <c r="E594" s="9" t="str">
        <f>[1]Discovery!C600</f>
        <v>조류</v>
      </c>
      <c r="F594" s="9" t="str">
        <f>[1]Discovery!G600</f>
        <v>C</v>
      </c>
      <c r="G594" s="9" t="str">
        <f>IFERROR(VLOOKUP(표1[[#This Row],[명칭]],'문화권 정리'!C:D,2,FALSE),"-")</f>
        <v>동남아시아</v>
      </c>
      <c r="H594" s="38" t="str">
        <f>IFERROR(COUNTIF([2]OceanDoodad!$Y:$Y,표1[[#This Row],[명칭]]),"-")</f>
        <v>-</v>
      </c>
      <c r="I594" s="38">
        <f>IFERROR(COUNTIF([1]AdventureDiscoveryGroup!$D$8:$AW$92,표1[[#This Row],[명칭]]),"-")</f>
        <v>1</v>
      </c>
      <c r="J594" s="38">
        <f>IFERROR(COUNTIF([1]FishDiscoveryGroup!$A:$X,표1[[#This Row],[명칭]]),"-")</f>
        <v>0</v>
      </c>
      <c r="K594" s="38" t="str">
        <f>IFERROR(COUNTIF([2]Town!$B:$B,표1[[#This Row],[명칭]]),"-")</f>
        <v>-</v>
      </c>
      <c r="L594" s="38">
        <f>IFERROR(COUNTIF([1]Village!$BR:$BR,표1[[#This Row],[명칭]]),"-")</f>
        <v>0</v>
      </c>
      <c r="M594" s="38">
        <f>COUNTIF(퀘스트!B:B,표1[[#This Row],[명칭]])</f>
        <v>0</v>
      </c>
      <c r="N594" s="65">
        <f>COUNTIF([1]VillageDiscoveryGroup!$C:$C,표1[[#This Row],[명칭]])</f>
        <v>0</v>
      </c>
      <c r="O594" s="65">
        <f>SUM(표1[[#This Row],[해양탐색]:[마을탐험]])</f>
        <v>1</v>
      </c>
    </row>
    <row r="595" spans="2:15" ht="13.5" customHeight="1" x14ac:dyDescent="0.3">
      <c r="B595" s="9">
        <f>[1]Discovery!A601</f>
        <v>70405072</v>
      </c>
      <c r="C595" s="9" t="str">
        <f>[1]Discovery!B601</f>
        <v>왕관앵무</v>
      </c>
      <c r="D595" s="9" t="str">
        <f>[1]Discovery!E601</f>
        <v>동물</v>
      </c>
      <c r="E595" s="9" t="str">
        <f>[1]Discovery!C601</f>
        <v>조류</v>
      </c>
      <c r="F595" s="9" t="str">
        <f>[1]Discovery!G601</f>
        <v>A</v>
      </c>
      <c r="G595" s="9" t="str">
        <f>IFERROR(VLOOKUP(표1[[#This Row],[명칭]],'문화권 정리'!C:D,2,FALSE),"-")</f>
        <v>오세아니아</v>
      </c>
      <c r="H595" s="38" t="str">
        <f>IFERROR(COUNTIF([2]OceanDoodad!$Y:$Y,표1[[#This Row],[명칭]]),"-")</f>
        <v>-</v>
      </c>
      <c r="I595" s="38">
        <f>IFERROR(COUNTIF([1]AdventureDiscoveryGroup!$D$8:$AW$92,표1[[#This Row],[명칭]]),"-")</f>
        <v>0</v>
      </c>
      <c r="J595" s="38">
        <f>IFERROR(COUNTIF([1]FishDiscoveryGroup!$A:$X,표1[[#This Row],[명칭]]),"-")</f>
        <v>0</v>
      </c>
      <c r="K595" s="38" t="str">
        <f>IFERROR(COUNTIF([2]Town!$B:$B,표1[[#This Row],[명칭]]),"-")</f>
        <v>-</v>
      </c>
      <c r="L595" s="38">
        <f>IFERROR(COUNTIF([1]Village!$BR:$BR,표1[[#This Row],[명칭]]),"-")</f>
        <v>0</v>
      </c>
      <c r="M595" s="38">
        <f>COUNTIF(퀘스트!B:B,표1[[#This Row],[명칭]])</f>
        <v>0</v>
      </c>
      <c r="N595" s="65">
        <f>COUNTIF([1]VillageDiscoveryGroup!$C:$C,표1[[#This Row],[명칭]])</f>
        <v>0</v>
      </c>
      <c r="O595" s="65">
        <f>SUM(표1[[#This Row],[해양탐색]:[마을탐험]])</f>
        <v>0</v>
      </c>
    </row>
    <row r="596" spans="2:15" ht="13.5" customHeight="1" x14ac:dyDescent="0.3">
      <c r="B596" s="9">
        <f>[1]Discovery!A602</f>
        <v>70405073</v>
      </c>
      <c r="C596" s="9" t="str">
        <f>[1]Discovery!B602</f>
        <v>왕펭귄</v>
      </c>
      <c r="D596" s="9" t="str">
        <f>[1]Discovery!E602</f>
        <v>동물</v>
      </c>
      <c r="E596" s="9" t="str">
        <f>[1]Discovery!C602</f>
        <v>조류</v>
      </c>
      <c r="F596" s="9" t="str">
        <f>[1]Discovery!G602</f>
        <v>A</v>
      </c>
      <c r="G596" s="9" t="str">
        <f>IFERROR(VLOOKUP(표1[[#This Row],[명칭]],'문화권 정리'!C:D,2,FALSE),"-")</f>
        <v>남아메리카</v>
      </c>
      <c r="H596" s="38" t="str">
        <f>IFERROR(COUNTIF([2]OceanDoodad!$Y:$Y,표1[[#This Row],[명칭]]),"-")</f>
        <v>-</v>
      </c>
      <c r="I596" s="38">
        <f>IFERROR(COUNTIF([1]AdventureDiscoveryGroup!$D$8:$AW$92,표1[[#This Row],[명칭]]),"-")</f>
        <v>0</v>
      </c>
      <c r="J596" s="38">
        <f>IFERROR(COUNTIF([1]FishDiscoveryGroup!$A:$X,표1[[#This Row],[명칭]]),"-")</f>
        <v>0</v>
      </c>
      <c r="K596" s="38" t="str">
        <f>IFERROR(COUNTIF([2]Town!$B:$B,표1[[#This Row],[명칭]]),"-")</f>
        <v>-</v>
      </c>
      <c r="L596" s="38">
        <f>IFERROR(COUNTIF([1]Village!$BR:$BR,표1[[#This Row],[명칭]]),"-")</f>
        <v>0</v>
      </c>
      <c r="M596" s="38">
        <f>COUNTIF(퀘스트!B:B,표1[[#This Row],[명칭]])</f>
        <v>0</v>
      </c>
      <c r="N596" s="65">
        <f>COUNTIF([1]VillageDiscoveryGroup!$C:$C,표1[[#This Row],[명칭]])</f>
        <v>0</v>
      </c>
      <c r="O596" s="65">
        <f>SUM(표1[[#This Row],[해양탐색]:[마을탐험]])</f>
        <v>0</v>
      </c>
    </row>
    <row r="597" spans="2:15" ht="13.5" customHeight="1" x14ac:dyDescent="0.3">
      <c r="B597" s="9">
        <f>[1]Discovery!A603</f>
        <v>70405074</v>
      </c>
      <c r="C597" s="9" t="str">
        <f>[1]Discovery!B603</f>
        <v>웃는 올빼미</v>
      </c>
      <c r="D597" s="9" t="str">
        <f>[1]Discovery!E603</f>
        <v>동물</v>
      </c>
      <c r="E597" s="9" t="str">
        <f>[1]Discovery!C603</f>
        <v>조류</v>
      </c>
      <c r="F597" s="9" t="str">
        <f>[1]Discovery!G603</f>
        <v>B</v>
      </c>
      <c r="G597" s="9" t="str">
        <f>IFERROR(VLOOKUP(표1[[#This Row],[명칭]],'문화권 정리'!C:D,2,FALSE),"-")</f>
        <v>오세아니아</v>
      </c>
      <c r="H597" s="38" t="str">
        <f>IFERROR(COUNTIF([2]OceanDoodad!$Y:$Y,표1[[#This Row],[명칭]]),"-")</f>
        <v>-</v>
      </c>
      <c r="I597" s="38">
        <f>IFERROR(COUNTIF([1]AdventureDiscoveryGroup!$D$8:$AW$92,표1[[#This Row],[명칭]]),"-")</f>
        <v>1</v>
      </c>
      <c r="J597" s="38">
        <f>IFERROR(COUNTIF([1]FishDiscoveryGroup!$A:$X,표1[[#This Row],[명칭]]),"-")</f>
        <v>0</v>
      </c>
      <c r="K597" s="38" t="str">
        <f>IFERROR(COUNTIF([2]Town!$B:$B,표1[[#This Row],[명칭]]),"-")</f>
        <v>-</v>
      </c>
      <c r="L597" s="38">
        <f>IFERROR(COUNTIF([1]Village!$BR:$BR,표1[[#This Row],[명칭]]),"-")</f>
        <v>0</v>
      </c>
      <c r="M597" s="38">
        <f>COUNTIF(퀘스트!B:B,표1[[#This Row],[명칭]])</f>
        <v>0</v>
      </c>
      <c r="N597" s="65">
        <f>COUNTIF([1]VillageDiscoveryGroup!$C:$C,표1[[#This Row],[명칭]])</f>
        <v>0</v>
      </c>
      <c r="O597" s="65">
        <f>SUM(표1[[#This Row],[해양탐색]:[마을탐험]])</f>
        <v>1</v>
      </c>
    </row>
    <row r="598" spans="2:15" ht="13.5" customHeight="1" x14ac:dyDescent="0.3">
      <c r="B598" s="9">
        <f>[1]Discovery!A604</f>
        <v>70405075</v>
      </c>
      <c r="C598" s="9" t="str">
        <f>[1]Discovery!B604</f>
        <v>원앙사촌</v>
      </c>
      <c r="D598" s="9" t="str">
        <f>[1]Discovery!E604</f>
        <v>동물</v>
      </c>
      <c r="E598" s="9" t="str">
        <f>[1]Discovery!C604</f>
        <v>조류</v>
      </c>
      <c r="F598" s="9" t="str">
        <f>[1]Discovery!G604</f>
        <v>B</v>
      </c>
      <c r="G598" s="9" t="str">
        <f>IFERROR(VLOOKUP(표1[[#This Row],[명칭]],'문화권 정리'!C:D,2,FALSE),"-")</f>
        <v>동아시아</v>
      </c>
      <c r="H598" s="38" t="str">
        <f>IFERROR(COUNTIF([2]OceanDoodad!$Y:$Y,표1[[#This Row],[명칭]]),"-")</f>
        <v>-</v>
      </c>
      <c r="I598" s="38">
        <f>IFERROR(COUNTIF([1]AdventureDiscoveryGroup!$D$8:$AW$92,표1[[#This Row],[명칭]]),"-")</f>
        <v>1</v>
      </c>
      <c r="J598" s="38">
        <f>IFERROR(COUNTIF([1]FishDiscoveryGroup!$A:$X,표1[[#This Row],[명칭]]),"-")</f>
        <v>0</v>
      </c>
      <c r="K598" s="38" t="str">
        <f>IFERROR(COUNTIF([2]Town!$B:$B,표1[[#This Row],[명칭]]),"-")</f>
        <v>-</v>
      </c>
      <c r="L598" s="38">
        <f>IFERROR(COUNTIF([1]Village!$BR:$BR,표1[[#This Row],[명칭]]),"-")</f>
        <v>0</v>
      </c>
      <c r="M598" s="38">
        <f>COUNTIF(퀘스트!B:B,표1[[#This Row],[명칭]])</f>
        <v>0</v>
      </c>
      <c r="N598" s="65">
        <f>COUNTIF([1]VillageDiscoveryGroup!$C:$C,표1[[#This Row],[명칭]])</f>
        <v>0</v>
      </c>
      <c r="O598" s="65">
        <f>SUM(표1[[#This Row],[해양탐색]:[마을탐험]])</f>
        <v>1</v>
      </c>
    </row>
    <row r="599" spans="2:15" ht="13.5" customHeight="1" x14ac:dyDescent="0.3">
      <c r="B599" s="9">
        <f>[1]Discovery!A605</f>
        <v>70405076</v>
      </c>
      <c r="C599" s="9" t="str">
        <f>[1]Discovery!B605</f>
        <v>이집트 독수리</v>
      </c>
      <c r="D599" s="9" t="str">
        <f>[1]Discovery!E605</f>
        <v>동물</v>
      </c>
      <c r="E599" s="9" t="str">
        <f>[1]Discovery!C605</f>
        <v>조류</v>
      </c>
      <c r="F599" s="9" t="str">
        <f>[1]Discovery!G605</f>
        <v>D</v>
      </c>
      <c r="G599" s="9" t="str">
        <f>IFERROR(VLOOKUP(표1[[#This Row],[명칭]],'문화권 정리'!C:D,2,FALSE),"-")</f>
        <v>북아프리카</v>
      </c>
      <c r="H599" s="38" t="str">
        <f>IFERROR(COUNTIF([2]OceanDoodad!$Y:$Y,표1[[#This Row],[명칭]]),"-")</f>
        <v>-</v>
      </c>
      <c r="I599" s="38">
        <f>IFERROR(COUNTIF([1]AdventureDiscoveryGroup!$D$8:$AW$92,표1[[#This Row],[명칭]]),"-")</f>
        <v>1</v>
      </c>
      <c r="J599" s="38">
        <f>IFERROR(COUNTIF([1]FishDiscoveryGroup!$A:$X,표1[[#This Row],[명칭]]),"-")</f>
        <v>0</v>
      </c>
      <c r="K599" s="38" t="str">
        <f>IFERROR(COUNTIF([2]Town!$B:$B,표1[[#This Row],[명칭]]),"-")</f>
        <v>-</v>
      </c>
      <c r="L599" s="38">
        <f>IFERROR(COUNTIF([1]Village!$BR:$BR,표1[[#This Row],[명칭]]),"-")</f>
        <v>0</v>
      </c>
      <c r="M599" s="38">
        <f>COUNTIF(퀘스트!B:B,표1[[#This Row],[명칭]])</f>
        <v>0</v>
      </c>
      <c r="N599" s="65">
        <f>COUNTIF([1]VillageDiscoveryGroup!$C:$C,표1[[#This Row],[명칭]])</f>
        <v>0</v>
      </c>
      <c r="O599" s="65">
        <f>SUM(표1[[#This Row],[해양탐색]:[마을탐험]])</f>
        <v>1</v>
      </c>
    </row>
    <row r="600" spans="2:15" ht="13.5" customHeight="1" x14ac:dyDescent="0.3">
      <c r="B600" s="9">
        <f>[1]Discovery!A606</f>
        <v>70405077</v>
      </c>
      <c r="C600" s="9" t="str">
        <f>[1]Discovery!B606</f>
        <v>잉카제비갈매기</v>
      </c>
      <c r="D600" s="9" t="str">
        <f>[1]Discovery!E606</f>
        <v>동물</v>
      </c>
      <c r="E600" s="9" t="str">
        <f>[1]Discovery!C606</f>
        <v>조류</v>
      </c>
      <c r="F600" s="9" t="str">
        <f>[1]Discovery!G606</f>
        <v>S</v>
      </c>
      <c r="G600" s="9" t="str">
        <f>IFERROR(VLOOKUP(표1[[#This Row],[명칭]],'문화권 정리'!C:D,2,FALSE),"-")</f>
        <v>남아메리카</v>
      </c>
      <c r="H600" s="38" t="str">
        <f>IFERROR(COUNTIF([2]OceanDoodad!$Y:$Y,표1[[#This Row],[명칭]]),"-")</f>
        <v>-</v>
      </c>
      <c r="I600" s="38">
        <f>IFERROR(COUNTIF([1]AdventureDiscoveryGroup!$D$8:$AW$92,표1[[#This Row],[명칭]]),"-")</f>
        <v>0</v>
      </c>
      <c r="J600" s="38">
        <f>IFERROR(COUNTIF([1]FishDiscoveryGroup!$A:$X,표1[[#This Row],[명칭]]),"-")</f>
        <v>0</v>
      </c>
      <c r="K600" s="38" t="str">
        <f>IFERROR(COUNTIF([2]Town!$B:$B,표1[[#This Row],[명칭]]),"-")</f>
        <v>-</v>
      </c>
      <c r="L600" s="38">
        <f>IFERROR(COUNTIF([1]Village!$BR:$BR,표1[[#This Row],[명칭]]),"-")</f>
        <v>0</v>
      </c>
      <c r="M600" s="38">
        <f>COUNTIF(퀘스트!B:B,표1[[#This Row],[명칭]])</f>
        <v>0</v>
      </c>
      <c r="N600" s="65">
        <f>COUNTIF([1]VillageDiscoveryGroup!$C:$C,표1[[#This Row],[명칭]])</f>
        <v>1</v>
      </c>
      <c r="O600" s="65">
        <f>SUM(표1[[#This Row],[해양탐색]:[마을탐험]])</f>
        <v>1</v>
      </c>
    </row>
    <row r="601" spans="2:15" ht="13.5" customHeight="1" x14ac:dyDescent="0.3">
      <c r="B601" s="9">
        <f>[1]Discovery!A607</f>
        <v>70405078</v>
      </c>
      <c r="C601" s="9" t="str">
        <f>[1]Discovery!B607</f>
        <v>자카스펭귄</v>
      </c>
      <c r="D601" s="9" t="str">
        <f>[1]Discovery!E607</f>
        <v>동물</v>
      </c>
      <c r="E601" s="9" t="str">
        <f>[1]Discovery!C607</f>
        <v>조류</v>
      </c>
      <c r="F601" s="9" t="str">
        <f>[1]Discovery!G607</f>
        <v>S</v>
      </c>
      <c r="G601" s="9" t="str">
        <f>IFERROR(VLOOKUP(표1[[#This Row],[명칭]],'문화권 정리'!C:D,2,FALSE),"-")</f>
        <v>남아프리카</v>
      </c>
      <c r="H601" s="38" t="str">
        <f>IFERROR(COUNTIF([2]OceanDoodad!$Y:$Y,표1[[#This Row],[명칭]]),"-")</f>
        <v>-</v>
      </c>
      <c r="I601" s="38">
        <f>IFERROR(COUNTIF([1]AdventureDiscoveryGroup!$D$8:$AW$92,표1[[#This Row],[명칭]]),"-")</f>
        <v>0</v>
      </c>
      <c r="J601" s="38">
        <f>IFERROR(COUNTIF([1]FishDiscoveryGroup!$A:$X,표1[[#This Row],[명칭]]),"-")</f>
        <v>0</v>
      </c>
      <c r="K601" s="38" t="str">
        <f>IFERROR(COUNTIF([2]Town!$B:$B,표1[[#This Row],[명칭]]),"-")</f>
        <v>-</v>
      </c>
      <c r="L601" s="38">
        <f>IFERROR(COUNTIF([1]Village!$BR:$BR,표1[[#This Row],[명칭]]),"-")</f>
        <v>0</v>
      </c>
      <c r="M601" s="38">
        <f>COUNTIF(퀘스트!B:B,표1[[#This Row],[명칭]])</f>
        <v>0</v>
      </c>
      <c r="N601" s="65">
        <f>COUNTIF([1]VillageDiscoveryGroup!$C:$C,표1[[#This Row],[명칭]])</f>
        <v>0</v>
      </c>
      <c r="O601" s="65">
        <f>SUM(표1[[#This Row],[해양탐색]:[마을탐험]])</f>
        <v>0</v>
      </c>
    </row>
    <row r="602" spans="2:15" ht="13.5" customHeight="1" x14ac:dyDescent="0.3">
      <c r="B602" s="9">
        <f>[1]Discovery!A608</f>
        <v>70405079</v>
      </c>
      <c r="C602" s="9" t="str">
        <f>[1]Discovery!B608</f>
        <v>장다리 황새</v>
      </c>
      <c r="D602" s="9" t="str">
        <f>[1]Discovery!E608</f>
        <v>동물</v>
      </c>
      <c r="E602" s="9" t="str">
        <f>[1]Discovery!C608</f>
        <v>조류</v>
      </c>
      <c r="F602" s="9" t="str">
        <f>[1]Discovery!G608</f>
        <v>A</v>
      </c>
      <c r="G602" s="9" t="str">
        <f>IFERROR(VLOOKUP(표1[[#This Row],[명칭]],'문화권 정리'!C:D,2,FALSE),"-")</f>
        <v>오세아니아</v>
      </c>
      <c r="H602" s="38" t="str">
        <f>IFERROR(COUNTIF([2]OceanDoodad!$Y:$Y,표1[[#This Row],[명칭]]),"-")</f>
        <v>-</v>
      </c>
      <c r="I602" s="38">
        <f>IFERROR(COUNTIF([1]AdventureDiscoveryGroup!$D$8:$AW$92,표1[[#This Row],[명칭]]),"-")</f>
        <v>1</v>
      </c>
      <c r="J602" s="38">
        <f>IFERROR(COUNTIF([1]FishDiscoveryGroup!$A:$X,표1[[#This Row],[명칭]]),"-")</f>
        <v>0</v>
      </c>
      <c r="K602" s="38" t="str">
        <f>IFERROR(COUNTIF([2]Town!$B:$B,표1[[#This Row],[명칭]]),"-")</f>
        <v>-</v>
      </c>
      <c r="L602" s="38">
        <f>IFERROR(COUNTIF([1]Village!$BR:$BR,표1[[#This Row],[명칭]]),"-")</f>
        <v>0</v>
      </c>
      <c r="M602" s="38">
        <f>COUNTIF(퀘스트!B:B,표1[[#This Row],[명칭]])</f>
        <v>0</v>
      </c>
      <c r="N602" s="65">
        <f>COUNTIF([1]VillageDiscoveryGroup!$C:$C,표1[[#This Row],[명칭]])</f>
        <v>0</v>
      </c>
      <c r="O602" s="65">
        <f>SUM(표1[[#This Row],[해양탐색]:[마을탐험]])</f>
        <v>1</v>
      </c>
    </row>
    <row r="603" spans="2:15" ht="13.5" customHeight="1" x14ac:dyDescent="0.3">
      <c r="B603" s="9">
        <f>[1]Discovery!A609</f>
        <v>70405080</v>
      </c>
      <c r="C603" s="9" t="str">
        <f>[1]Discovery!B609</f>
        <v>장미계</v>
      </c>
      <c r="D603" s="9" t="str">
        <f>[1]Discovery!E609</f>
        <v>동물</v>
      </c>
      <c r="E603" s="9" t="str">
        <f>[1]Discovery!C609</f>
        <v>조류</v>
      </c>
      <c r="F603" s="9" t="str">
        <f>[1]Discovery!G609</f>
        <v>S</v>
      </c>
      <c r="G603" s="9" t="str">
        <f>IFERROR(VLOOKUP(표1[[#This Row],[명칭]],'문화권 정리'!C:D,2,FALSE),"-")</f>
        <v>동아시아</v>
      </c>
      <c r="H603" s="38" t="str">
        <f>IFERROR(COUNTIF([2]OceanDoodad!$Y:$Y,표1[[#This Row],[명칭]]),"-")</f>
        <v>-</v>
      </c>
      <c r="I603" s="38">
        <f>IFERROR(COUNTIF([1]AdventureDiscoveryGroup!$D$8:$AW$92,표1[[#This Row],[명칭]]),"-")</f>
        <v>1</v>
      </c>
      <c r="J603" s="38">
        <f>IFERROR(COUNTIF([1]FishDiscoveryGroup!$A:$X,표1[[#This Row],[명칭]]),"-")</f>
        <v>0</v>
      </c>
      <c r="K603" s="38" t="str">
        <f>IFERROR(COUNTIF([2]Town!$B:$B,표1[[#This Row],[명칭]]),"-")</f>
        <v>-</v>
      </c>
      <c r="L603" s="38">
        <f>IFERROR(COUNTIF([1]Village!$BR:$BR,표1[[#This Row],[명칭]]),"-")</f>
        <v>0</v>
      </c>
      <c r="M603" s="38">
        <f>COUNTIF(퀘스트!B:B,표1[[#This Row],[명칭]])</f>
        <v>0</v>
      </c>
      <c r="N603" s="65">
        <f>COUNTIF([1]VillageDiscoveryGroup!$C:$C,표1[[#This Row],[명칭]])</f>
        <v>0</v>
      </c>
      <c r="O603" s="65">
        <f>SUM(표1[[#This Row],[해양탐색]:[마을탐험]])</f>
        <v>1</v>
      </c>
    </row>
    <row r="604" spans="2:15" ht="13.5" customHeight="1" x14ac:dyDescent="0.3">
      <c r="B604" s="9">
        <f>[1]Discovery!A610</f>
        <v>70405081</v>
      </c>
      <c r="C604" s="9" t="str">
        <f>[1]Discovery!B610</f>
        <v>저어새</v>
      </c>
      <c r="D604" s="9" t="str">
        <f>[1]Discovery!E610</f>
        <v>동물</v>
      </c>
      <c r="E604" s="9" t="str">
        <f>[1]Discovery!C610</f>
        <v>조류</v>
      </c>
      <c r="F604" s="9" t="str">
        <f>[1]Discovery!G610</f>
        <v>S</v>
      </c>
      <c r="G604" s="9" t="str">
        <f>IFERROR(VLOOKUP(표1[[#This Row],[명칭]],'문화권 정리'!C:D,2,FALSE),"-")</f>
        <v>동아시아</v>
      </c>
      <c r="H604" s="38" t="str">
        <f>IFERROR(COUNTIF([2]OceanDoodad!$Y:$Y,표1[[#This Row],[명칭]]),"-")</f>
        <v>-</v>
      </c>
      <c r="I604" s="38">
        <f>IFERROR(COUNTIF([1]AdventureDiscoveryGroup!$D$8:$AW$92,표1[[#This Row],[명칭]]),"-")</f>
        <v>1</v>
      </c>
      <c r="J604" s="38">
        <f>IFERROR(COUNTIF([1]FishDiscoveryGroup!$A:$X,표1[[#This Row],[명칭]]),"-")</f>
        <v>0</v>
      </c>
      <c r="K604" s="38" t="str">
        <f>IFERROR(COUNTIF([2]Town!$B:$B,표1[[#This Row],[명칭]]),"-")</f>
        <v>-</v>
      </c>
      <c r="L604" s="38">
        <f>IFERROR(COUNTIF([1]Village!$BR:$BR,표1[[#This Row],[명칭]]),"-")</f>
        <v>0</v>
      </c>
      <c r="M604" s="38">
        <f>COUNTIF(퀘스트!B:B,표1[[#This Row],[명칭]])</f>
        <v>0</v>
      </c>
      <c r="N604" s="65">
        <f>COUNTIF([1]VillageDiscoveryGroup!$C:$C,표1[[#This Row],[명칭]])</f>
        <v>0</v>
      </c>
      <c r="O604" s="65">
        <f>SUM(표1[[#This Row],[해양탐색]:[마을탐험]])</f>
        <v>1</v>
      </c>
    </row>
    <row r="605" spans="2:15" ht="13.5" customHeight="1" x14ac:dyDescent="0.3">
      <c r="B605" s="9">
        <f>[1]Discovery!A611</f>
        <v>70405082</v>
      </c>
      <c r="C605" s="9" t="str">
        <f>[1]Discovery!B611</f>
        <v>진홍 쇠물닭</v>
      </c>
      <c r="D605" s="9" t="str">
        <f>[1]Discovery!E611</f>
        <v>동물</v>
      </c>
      <c r="E605" s="9" t="str">
        <f>[1]Discovery!C611</f>
        <v>조류</v>
      </c>
      <c r="F605" s="9" t="str">
        <f>[1]Discovery!G611</f>
        <v>B</v>
      </c>
      <c r="G605" s="9" t="str">
        <f>IFERROR(VLOOKUP(표1[[#This Row],[명칭]],'문화권 정리'!C:D,2,FALSE),"-")</f>
        <v>유라시아</v>
      </c>
      <c r="H605" s="38" t="str">
        <f>IFERROR(COUNTIF([2]OceanDoodad!$Y:$Y,표1[[#This Row],[명칭]]),"-")</f>
        <v>-</v>
      </c>
      <c r="I605" s="38">
        <f>IFERROR(COUNTIF([1]AdventureDiscoveryGroup!$D$8:$AW$92,표1[[#This Row],[명칭]]),"-")</f>
        <v>0</v>
      </c>
      <c r="J605" s="38">
        <f>IFERROR(COUNTIF([1]FishDiscoveryGroup!$A:$X,표1[[#This Row],[명칭]]),"-")</f>
        <v>0</v>
      </c>
      <c r="K605" s="38" t="str">
        <f>IFERROR(COUNTIF([2]Town!$B:$B,표1[[#This Row],[명칭]]),"-")</f>
        <v>-</v>
      </c>
      <c r="L605" s="38">
        <f>IFERROR(COUNTIF([1]Village!$BR:$BR,표1[[#This Row],[명칭]]),"-")</f>
        <v>0</v>
      </c>
      <c r="M605" s="38">
        <f>COUNTIF(퀘스트!B:B,표1[[#This Row],[명칭]])</f>
        <v>0</v>
      </c>
      <c r="N605" s="65">
        <f>COUNTIF([1]VillageDiscoveryGroup!$C:$C,표1[[#This Row],[명칭]])</f>
        <v>2</v>
      </c>
      <c r="O605" s="65">
        <f>SUM(표1[[#This Row],[해양탐색]:[마을탐험]])</f>
        <v>2</v>
      </c>
    </row>
    <row r="606" spans="2:15" ht="13.5" customHeight="1" x14ac:dyDescent="0.3">
      <c r="B606" s="9">
        <f>[1]Discovery!A612</f>
        <v>70405083</v>
      </c>
      <c r="C606" s="9" t="str">
        <f>[1]Discovery!B612</f>
        <v>진홍 저어새</v>
      </c>
      <c r="D606" s="9" t="str">
        <f>[1]Discovery!E612</f>
        <v>동물</v>
      </c>
      <c r="E606" s="9" t="str">
        <f>[1]Discovery!C612</f>
        <v>조류</v>
      </c>
      <c r="F606" s="9" t="str">
        <f>[1]Discovery!G612</f>
        <v>B</v>
      </c>
      <c r="G606" s="9" t="str">
        <f>IFERROR(VLOOKUP(표1[[#This Row],[명칭]],'문화권 정리'!C:D,2,FALSE),"-")</f>
        <v>북아메리카</v>
      </c>
      <c r="H606" s="38" t="str">
        <f>IFERROR(COUNTIF([2]OceanDoodad!$Y:$Y,표1[[#This Row],[명칭]]),"-")</f>
        <v>-</v>
      </c>
      <c r="I606" s="38">
        <f>IFERROR(COUNTIF([1]AdventureDiscoveryGroup!$D$8:$AW$92,표1[[#This Row],[명칭]]),"-")</f>
        <v>0</v>
      </c>
      <c r="J606" s="38">
        <f>IFERROR(COUNTIF([1]FishDiscoveryGroup!$A:$X,표1[[#This Row],[명칭]]),"-")</f>
        <v>0</v>
      </c>
      <c r="K606" s="38" t="str">
        <f>IFERROR(COUNTIF([2]Town!$B:$B,표1[[#This Row],[명칭]]),"-")</f>
        <v>-</v>
      </c>
      <c r="L606" s="38">
        <f>IFERROR(COUNTIF([1]Village!$BR:$BR,표1[[#This Row],[명칭]]),"-")</f>
        <v>0</v>
      </c>
      <c r="M606" s="38">
        <f>COUNTIF(퀘스트!B:B,표1[[#This Row],[명칭]])</f>
        <v>0</v>
      </c>
      <c r="N606" s="65">
        <f>COUNTIF([1]VillageDiscoveryGroup!$C:$C,표1[[#This Row],[명칭]])</f>
        <v>0</v>
      </c>
      <c r="O606" s="65">
        <f>SUM(표1[[#This Row],[해양탐색]:[마을탐험]])</f>
        <v>0</v>
      </c>
    </row>
    <row r="607" spans="2:15" ht="13.5" customHeight="1" x14ac:dyDescent="0.3">
      <c r="B607" s="9">
        <f>[1]Discovery!A613</f>
        <v>70405084</v>
      </c>
      <c r="C607" s="9" t="str">
        <f>[1]Discovery!B613</f>
        <v>천인조</v>
      </c>
      <c r="D607" s="9" t="str">
        <f>[1]Discovery!E613</f>
        <v>동물</v>
      </c>
      <c r="E607" s="9" t="str">
        <f>[1]Discovery!C613</f>
        <v>조류</v>
      </c>
      <c r="F607" s="9" t="str">
        <f>[1]Discovery!G613</f>
        <v>B</v>
      </c>
      <c r="G607" s="9" t="str">
        <f>IFERROR(VLOOKUP(표1[[#This Row],[명칭]],'문화권 정리'!C:D,2,FALSE),"-")</f>
        <v>서아프리카</v>
      </c>
      <c r="H607" s="38" t="str">
        <f>IFERROR(COUNTIF([2]OceanDoodad!$Y:$Y,표1[[#This Row],[명칭]]),"-")</f>
        <v>-</v>
      </c>
      <c r="I607" s="38">
        <f>IFERROR(COUNTIF([1]AdventureDiscoveryGroup!$D$8:$AW$92,표1[[#This Row],[명칭]]),"-")</f>
        <v>0</v>
      </c>
      <c r="J607" s="38">
        <f>IFERROR(COUNTIF([1]FishDiscoveryGroup!$A:$X,표1[[#This Row],[명칭]]),"-")</f>
        <v>0</v>
      </c>
      <c r="K607" s="38" t="str">
        <f>IFERROR(COUNTIF([2]Town!$B:$B,표1[[#This Row],[명칭]]),"-")</f>
        <v>-</v>
      </c>
      <c r="L607" s="38">
        <f>IFERROR(COUNTIF([1]Village!$BR:$BR,표1[[#This Row],[명칭]]),"-")</f>
        <v>0</v>
      </c>
      <c r="M607" s="38">
        <f>COUNTIF(퀘스트!B:B,표1[[#This Row],[명칭]])</f>
        <v>0</v>
      </c>
      <c r="N607" s="65">
        <f>COUNTIF([1]VillageDiscoveryGroup!$C:$C,표1[[#This Row],[명칭]])</f>
        <v>1</v>
      </c>
      <c r="O607" s="65">
        <f>SUM(표1[[#This Row],[해양탐색]:[마을탐험]])</f>
        <v>1</v>
      </c>
    </row>
    <row r="608" spans="2:15" ht="13.5" customHeight="1" x14ac:dyDescent="0.3">
      <c r="B608" s="9">
        <f>[1]Discovery!A614</f>
        <v>70405085</v>
      </c>
      <c r="C608" s="9" t="str">
        <f>[1]Discovery!B614</f>
        <v>청금강앵무</v>
      </c>
      <c r="D608" s="9" t="str">
        <f>[1]Discovery!E614</f>
        <v>동물</v>
      </c>
      <c r="E608" s="9" t="str">
        <f>[1]Discovery!C614</f>
        <v>조류</v>
      </c>
      <c r="F608" s="9" t="str">
        <f>[1]Discovery!G614</f>
        <v>A</v>
      </c>
      <c r="G608" s="9" t="str">
        <f>IFERROR(VLOOKUP(표1[[#This Row],[명칭]],'문화권 정리'!C:D,2,FALSE),"-")</f>
        <v>남아메리카</v>
      </c>
      <c r="H608" s="38" t="str">
        <f>IFERROR(COUNTIF([2]OceanDoodad!$Y:$Y,표1[[#This Row],[명칭]]),"-")</f>
        <v>-</v>
      </c>
      <c r="I608" s="38">
        <f>IFERROR(COUNTIF([1]AdventureDiscoveryGroup!$D$8:$AW$92,표1[[#This Row],[명칭]]),"-")</f>
        <v>0</v>
      </c>
      <c r="J608" s="38">
        <f>IFERROR(COUNTIF([1]FishDiscoveryGroup!$A:$X,표1[[#This Row],[명칭]]),"-")</f>
        <v>0</v>
      </c>
      <c r="K608" s="38" t="str">
        <f>IFERROR(COUNTIF([2]Town!$B:$B,표1[[#This Row],[명칭]]),"-")</f>
        <v>-</v>
      </c>
      <c r="L608" s="38">
        <f>IFERROR(COUNTIF([1]Village!$BR:$BR,표1[[#This Row],[명칭]]),"-")</f>
        <v>0</v>
      </c>
      <c r="M608" s="38">
        <f>COUNTIF(퀘스트!B:B,표1[[#This Row],[명칭]])</f>
        <v>0</v>
      </c>
      <c r="N608" s="65">
        <f>COUNTIF([1]VillageDiscoveryGroup!$C:$C,표1[[#This Row],[명칭]])</f>
        <v>1</v>
      </c>
      <c r="O608" s="65">
        <f>SUM(표1[[#This Row],[해양탐색]:[마을탐험]])</f>
        <v>1</v>
      </c>
    </row>
    <row r="609" spans="2:15" ht="13.5" customHeight="1" x14ac:dyDescent="0.3">
      <c r="B609" s="9">
        <f>[1]Discovery!A615</f>
        <v>70405086</v>
      </c>
      <c r="C609" s="9" t="str">
        <f>[1]Discovery!B615</f>
        <v>청두루미</v>
      </c>
      <c r="D609" s="9" t="str">
        <f>[1]Discovery!E615</f>
        <v>동물</v>
      </c>
      <c r="E609" s="9" t="str">
        <f>[1]Discovery!C615</f>
        <v>조류</v>
      </c>
      <c r="F609" s="9" t="str">
        <f>[1]Discovery!G615</f>
        <v>D</v>
      </c>
      <c r="G609" s="9" t="str">
        <f>IFERROR(VLOOKUP(표1[[#This Row],[명칭]],'문화권 정리'!C:D,2,FALSE),"-")</f>
        <v>남아프리카</v>
      </c>
      <c r="H609" s="38" t="str">
        <f>IFERROR(COUNTIF([2]OceanDoodad!$Y:$Y,표1[[#This Row],[명칭]]),"-")</f>
        <v>-</v>
      </c>
      <c r="I609" s="38">
        <f>IFERROR(COUNTIF([1]AdventureDiscoveryGroup!$D$8:$AW$92,표1[[#This Row],[명칭]]),"-")</f>
        <v>1</v>
      </c>
      <c r="J609" s="38">
        <f>IFERROR(COUNTIF([1]FishDiscoveryGroup!$A:$X,표1[[#This Row],[명칭]]),"-")</f>
        <v>0</v>
      </c>
      <c r="K609" s="38" t="str">
        <f>IFERROR(COUNTIF([2]Town!$B:$B,표1[[#This Row],[명칭]]),"-")</f>
        <v>-</v>
      </c>
      <c r="L609" s="38">
        <f>IFERROR(COUNTIF([1]Village!$BR:$BR,표1[[#This Row],[명칭]]),"-")</f>
        <v>0</v>
      </c>
      <c r="M609" s="38">
        <f>COUNTIF(퀘스트!B:B,표1[[#This Row],[명칭]])</f>
        <v>0</v>
      </c>
      <c r="N609" s="65">
        <f>COUNTIF([1]VillageDiscoveryGroup!$C:$C,표1[[#This Row],[명칭]])</f>
        <v>0</v>
      </c>
      <c r="O609" s="65">
        <f>SUM(표1[[#This Row],[해양탐색]:[마을탐험]])</f>
        <v>1</v>
      </c>
    </row>
    <row r="610" spans="2:15" ht="13.5" customHeight="1" x14ac:dyDescent="0.3">
      <c r="B610" s="9">
        <f>[1]Discovery!A616</f>
        <v>70405087</v>
      </c>
      <c r="C610" s="9" t="str">
        <f>[1]Discovery!B616</f>
        <v>칠면조</v>
      </c>
      <c r="D610" s="9" t="str">
        <f>[1]Discovery!E616</f>
        <v>동물</v>
      </c>
      <c r="E610" s="9" t="str">
        <f>[1]Discovery!C616</f>
        <v>조류</v>
      </c>
      <c r="F610" s="9" t="str">
        <f>[1]Discovery!G616</f>
        <v>D</v>
      </c>
      <c r="G610" s="9" t="str">
        <f>IFERROR(VLOOKUP(표1[[#This Row],[명칭]],'문화권 정리'!C:D,2,FALSE),"-")</f>
        <v>북아메리카</v>
      </c>
      <c r="H610" s="38" t="str">
        <f>IFERROR(COUNTIF([2]OceanDoodad!$Y:$Y,표1[[#This Row],[명칭]]),"-")</f>
        <v>-</v>
      </c>
      <c r="I610" s="38">
        <f>IFERROR(COUNTIF([1]AdventureDiscoveryGroup!$D$8:$AW$92,표1[[#This Row],[명칭]]),"-")</f>
        <v>1</v>
      </c>
      <c r="J610" s="38">
        <f>IFERROR(COUNTIF([1]FishDiscoveryGroup!$A:$X,표1[[#This Row],[명칭]]),"-")</f>
        <v>0</v>
      </c>
      <c r="K610" s="38" t="str">
        <f>IFERROR(COUNTIF([2]Town!$B:$B,표1[[#This Row],[명칭]]),"-")</f>
        <v>-</v>
      </c>
      <c r="L610" s="38">
        <f>IFERROR(COUNTIF([1]Village!$BR:$BR,표1[[#This Row],[명칭]]),"-")</f>
        <v>0</v>
      </c>
      <c r="M610" s="38">
        <f>COUNTIF(퀘스트!B:B,표1[[#This Row],[명칭]])</f>
        <v>0</v>
      </c>
      <c r="N610" s="65">
        <f>COUNTIF([1]VillageDiscoveryGroup!$C:$C,표1[[#This Row],[명칭]])</f>
        <v>0</v>
      </c>
      <c r="O610" s="65">
        <f>SUM(표1[[#This Row],[해양탐색]:[마을탐험]])</f>
        <v>1</v>
      </c>
    </row>
    <row r="611" spans="2:15" ht="13.5" customHeight="1" x14ac:dyDescent="0.3">
      <c r="B611" s="9">
        <f>[1]Discovery!A617</f>
        <v>70405088</v>
      </c>
      <c r="C611" s="9" t="str">
        <f>[1]Discovery!B617</f>
        <v>카구</v>
      </c>
      <c r="D611" s="9" t="str">
        <f>[1]Discovery!E617</f>
        <v>동물</v>
      </c>
      <c r="E611" s="9" t="str">
        <f>[1]Discovery!C617</f>
        <v>조류</v>
      </c>
      <c r="F611" s="9" t="str">
        <f>[1]Discovery!G617</f>
        <v>A</v>
      </c>
      <c r="G611" s="9" t="str">
        <f>IFERROR(VLOOKUP(표1[[#This Row],[명칭]],'문화권 정리'!C:D,2,FALSE),"-")</f>
        <v>오세아니아</v>
      </c>
      <c r="H611" s="38" t="str">
        <f>IFERROR(COUNTIF([2]OceanDoodad!$Y:$Y,표1[[#This Row],[명칭]]),"-")</f>
        <v>-</v>
      </c>
      <c r="I611" s="38">
        <f>IFERROR(COUNTIF([1]AdventureDiscoveryGroup!$D$8:$AW$92,표1[[#This Row],[명칭]]),"-")</f>
        <v>1</v>
      </c>
      <c r="J611" s="38">
        <f>IFERROR(COUNTIF([1]FishDiscoveryGroup!$A:$X,표1[[#This Row],[명칭]]),"-")</f>
        <v>0</v>
      </c>
      <c r="K611" s="38" t="str">
        <f>IFERROR(COUNTIF([2]Town!$B:$B,표1[[#This Row],[명칭]]),"-")</f>
        <v>-</v>
      </c>
      <c r="L611" s="38">
        <f>IFERROR(COUNTIF([1]Village!$BR:$BR,표1[[#This Row],[명칭]]),"-")</f>
        <v>0</v>
      </c>
      <c r="M611" s="38">
        <f>COUNTIF(퀘스트!B:B,표1[[#This Row],[명칭]])</f>
        <v>0</v>
      </c>
      <c r="N611" s="65">
        <f>COUNTIF([1]VillageDiscoveryGroup!$C:$C,표1[[#This Row],[명칭]])</f>
        <v>0</v>
      </c>
      <c r="O611" s="65">
        <f>SUM(표1[[#This Row],[해양탐색]:[마을탐험]])</f>
        <v>1</v>
      </c>
    </row>
    <row r="612" spans="2:15" ht="13.5" customHeight="1" x14ac:dyDescent="0.3">
      <c r="B612" s="9">
        <f>[1]Discovery!A618</f>
        <v>70405089</v>
      </c>
      <c r="C612" s="9" t="str">
        <f>[1]Discovery!B618</f>
        <v>카라카라</v>
      </c>
      <c r="D612" s="9" t="str">
        <f>[1]Discovery!E618</f>
        <v>동물</v>
      </c>
      <c r="E612" s="9" t="str">
        <f>[1]Discovery!C618</f>
        <v>조류</v>
      </c>
      <c r="F612" s="9" t="str">
        <f>[1]Discovery!G618</f>
        <v>A</v>
      </c>
      <c r="G612" s="9" t="str">
        <f>IFERROR(VLOOKUP(표1[[#This Row],[명칭]],'문화권 정리'!C:D,2,FALSE),"-")</f>
        <v>남아메리카</v>
      </c>
      <c r="H612" s="38" t="str">
        <f>IFERROR(COUNTIF([2]OceanDoodad!$Y:$Y,표1[[#This Row],[명칭]]),"-")</f>
        <v>-</v>
      </c>
      <c r="I612" s="38">
        <f>IFERROR(COUNTIF([1]AdventureDiscoveryGroup!$D$8:$AW$92,표1[[#This Row],[명칭]]),"-")</f>
        <v>0</v>
      </c>
      <c r="J612" s="38">
        <f>IFERROR(COUNTIF([1]FishDiscoveryGroup!$A:$X,표1[[#This Row],[명칭]]),"-")</f>
        <v>0</v>
      </c>
      <c r="K612" s="38" t="str">
        <f>IFERROR(COUNTIF([2]Town!$B:$B,표1[[#This Row],[명칭]]),"-")</f>
        <v>-</v>
      </c>
      <c r="L612" s="38">
        <f>IFERROR(COUNTIF([1]Village!$BR:$BR,표1[[#This Row],[명칭]]),"-")</f>
        <v>0</v>
      </c>
      <c r="M612" s="38">
        <f>COUNTIF(퀘스트!B:B,표1[[#This Row],[명칭]])</f>
        <v>0</v>
      </c>
      <c r="N612" s="65">
        <f>COUNTIF([1]VillageDiscoveryGroup!$C:$C,표1[[#This Row],[명칭]])</f>
        <v>0</v>
      </c>
      <c r="O612" s="65">
        <f>SUM(표1[[#This Row],[해양탐색]:[마을탐험]])</f>
        <v>0</v>
      </c>
    </row>
    <row r="613" spans="2:15" ht="13.5" customHeight="1" x14ac:dyDescent="0.3">
      <c r="B613" s="9">
        <f>[1]Discovery!A619</f>
        <v>70405090</v>
      </c>
      <c r="C613" s="9" t="str">
        <f>[1]Discovery!B619</f>
        <v>카카포</v>
      </c>
      <c r="D613" s="9" t="str">
        <f>[1]Discovery!E619</f>
        <v>동물</v>
      </c>
      <c r="E613" s="9" t="str">
        <f>[1]Discovery!C619</f>
        <v>조류</v>
      </c>
      <c r="F613" s="9" t="str">
        <f>[1]Discovery!G619</f>
        <v>C</v>
      </c>
      <c r="G613" s="9" t="str">
        <f>IFERROR(VLOOKUP(표1[[#This Row],[명칭]],'문화권 정리'!C:D,2,FALSE),"-")</f>
        <v>오세아니아</v>
      </c>
      <c r="H613" s="38" t="str">
        <f>IFERROR(COUNTIF([2]OceanDoodad!$Y:$Y,표1[[#This Row],[명칭]]),"-")</f>
        <v>-</v>
      </c>
      <c r="I613" s="38">
        <f>IFERROR(COUNTIF([1]AdventureDiscoveryGroup!$D$8:$AW$92,표1[[#This Row],[명칭]]),"-")</f>
        <v>0</v>
      </c>
      <c r="J613" s="38">
        <f>IFERROR(COUNTIF([1]FishDiscoveryGroup!$A:$X,표1[[#This Row],[명칭]]),"-")</f>
        <v>0</v>
      </c>
      <c r="K613" s="38" t="str">
        <f>IFERROR(COUNTIF([2]Town!$B:$B,표1[[#This Row],[명칭]]),"-")</f>
        <v>-</v>
      </c>
      <c r="L613" s="38">
        <f>IFERROR(COUNTIF([1]Village!$BR:$BR,표1[[#This Row],[명칭]]),"-")</f>
        <v>0</v>
      </c>
      <c r="M613" s="38">
        <f>COUNTIF(퀘스트!B:B,표1[[#This Row],[명칭]])</f>
        <v>0</v>
      </c>
      <c r="N613" s="65">
        <f>COUNTIF([1]VillageDiscoveryGroup!$C:$C,표1[[#This Row],[명칭]])</f>
        <v>1</v>
      </c>
      <c r="O613" s="65">
        <f>SUM(표1[[#This Row],[해양탐색]:[마을탐험]])</f>
        <v>1</v>
      </c>
    </row>
    <row r="614" spans="2:15" ht="13.5" customHeight="1" x14ac:dyDescent="0.3">
      <c r="B614" s="9">
        <f>[1]Discovery!A620</f>
        <v>70405091</v>
      </c>
      <c r="C614" s="9" t="str">
        <f>[1]Discovery!B620</f>
        <v>칼부리벌새</v>
      </c>
      <c r="D614" s="9" t="str">
        <f>[1]Discovery!E620</f>
        <v>동물</v>
      </c>
      <c r="E614" s="9" t="str">
        <f>[1]Discovery!C620</f>
        <v>조류</v>
      </c>
      <c r="F614" s="9" t="str">
        <f>[1]Discovery!G620</f>
        <v>C</v>
      </c>
      <c r="G614" s="9" t="str">
        <f>IFERROR(VLOOKUP(표1[[#This Row],[명칭]],'문화권 정리'!C:D,2,FALSE),"-")</f>
        <v>남아메리카</v>
      </c>
      <c r="H614" s="38" t="str">
        <f>IFERROR(COUNTIF([2]OceanDoodad!$Y:$Y,표1[[#This Row],[명칭]]),"-")</f>
        <v>-</v>
      </c>
      <c r="I614" s="38">
        <f>IFERROR(COUNTIF([1]AdventureDiscoveryGroup!$D$8:$AW$92,표1[[#This Row],[명칭]]),"-")</f>
        <v>1</v>
      </c>
      <c r="J614" s="38">
        <f>IFERROR(COUNTIF([1]FishDiscoveryGroup!$A:$X,표1[[#This Row],[명칭]]),"-")</f>
        <v>0</v>
      </c>
      <c r="K614" s="38" t="str">
        <f>IFERROR(COUNTIF([2]Town!$B:$B,표1[[#This Row],[명칭]]),"-")</f>
        <v>-</v>
      </c>
      <c r="L614" s="38">
        <f>IFERROR(COUNTIF([1]Village!$BR:$BR,표1[[#This Row],[명칭]]),"-")</f>
        <v>0</v>
      </c>
      <c r="M614" s="38">
        <f>COUNTIF(퀘스트!B:B,표1[[#This Row],[명칭]])</f>
        <v>0</v>
      </c>
      <c r="N614" s="65">
        <f>COUNTIF([1]VillageDiscoveryGroup!$C:$C,표1[[#This Row],[명칭]])</f>
        <v>0</v>
      </c>
      <c r="O614" s="65">
        <f>SUM(표1[[#This Row],[해양탐색]:[마을탐험]])</f>
        <v>1</v>
      </c>
    </row>
    <row r="615" spans="2:15" ht="13.5" customHeight="1" x14ac:dyDescent="0.3">
      <c r="B615" s="9">
        <f>[1]Discovery!A621</f>
        <v>70405092</v>
      </c>
      <c r="C615" s="9" t="str">
        <f>[1]Discovery!B621</f>
        <v>케이프 독수리</v>
      </c>
      <c r="D615" s="9" t="str">
        <f>[1]Discovery!E621</f>
        <v>동물</v>
      </c>
      <c r="E615" s="9" t="str">
        <f>[1]Discovery!C621</f>
        <v>조류</v>
      </c>
      <c r="F615" s="9" t="str">
        <f>[1]Discovery!G621</f>
        <v>B</v>
      </c>
      <c r="G615" s="9" t="str">
        <f>IFERROR(VLOOKUP(표1[[#This Row],[명칭]],'문화권 정리'!C:D,2,FALSE),"-")</f>
        <v>남아프리카</v>
      </c>
      <c r="H615" s="38" t="str">
        <f>IFERROR(COUNTIF([2]OceanDoodad!$Y:$Y,표1[[#This Row],[명칭]]),"-")</f>
        <v>-</v>
      </c>
      <c r="I615" s="38">
        <f>IFERROR(COUNTIF([1]AdventureDiscoveryGroup!$D$8:$AW$92,표1[[#This Row],[명칭]]),"-")</f>
        <v>1</v>
      </c>
      <c r="J615" s="38">
        <f>IFERROR(COUNTIF([1]FishDiscoveryGroup!$A:$X,표1[[#This Row],[명칭]]),"-")</f>
        <v>0</v>
      </c>
      <c r="K615" s="38" t="str">
        <f>IFERROR(COUNTIF([2]Town!$B:$B,표1[[#This Row],[명칭]]),"-")</f>
        <v>-</v>
      </c>
      <c r="L615" s="38">
        <f>IFERROR(COUNTIF([1]Village!$BR:$BR,표1[[#This Row],[명칭]]),"-")</f>
        <v>0</v>
      </c>
      <c r="M615" s="38">
        <f>COUNTIF(퀘스트!B:B,표1[[#This Row],[명칭]])</f>
        <v>0</v>
      </c>
      <c r="N615" s="65">
        <f>COUNTIF([1]VillageDiscoveryGroup!$C:$C,표1[[#This Row],[명칭]])</f>
        <v>0</v>
      </c>
      <c r="O615" s="65">
        <f>SUM(표1[[#This Row],[해양탐색]:[마을탐험]])</f>
        <v>1</v>
      </c>
    </row>
    <row r="616" spans="2:15" ht="13.5" customHeight="1" x14ac:dyDescent="0.3">
      <c r="B616" s="9">
        <f>[1]Discovery!A622</f>
        <v>70405093</v>
      </c>
      <c r="C616" s="9" t="str">
        <f>[1]Discovery!B622</f>
        <v>케찰</v>
      </c>
      <c r="D616" s="9" t="str">
        <f>[1]Discovery!E622</f>
        <v>동물</v>
      </c>
      <c r="E616" s="9" t="str">
        <f>[1]Discovery!C622</f>
        <v>조류</v>
      </c>
      <c r="F616" s="9" t="str">
        <f>[1]Discovery!G622</f>
        <v>B</v>
      </c>
      <c r="G616" s="9" t="str">
        <f>IFERROR(VLOOKUP(표1[[#This Row],[명칭]],'문화권 정리'!C:D,2,FALSE),"-")</f>
        <v>중앙아메리카</v>
      </c>
      <c r="H616" s="38" t="str">
        <f>IFERROR(COUNTIF([2]OceanDoodad!$Y:$Y,표1[[#This Row],[명칭]]),"-")</f>
        <v>-</v>
      </c>
      <c r="I616" s="38">
        <f>IFERROR(COUNTIF([1]AdventureDiscoveryGroup!$D$8:$AW$92,표1[[#This Row],[명칭]]),"-")</f>
        <v>0</v>
      </c>
      <c r="J616" s="38">
        <f>IFERROR(COUNTIF([1]FishDiscoveryGroup!$A:$X,표1[[#This Row],[명칭]]),"-")</f>
        <v>0</v>
      </c>
      <c r="K616" s="38" t="str">
        <f>IFERROR(COUNTIF([2]Town!$B:$B,표1[[#This Row],[명칭]]),"-")</f>
        <v>-</v>
      </c>
      <c r="L616" s="38">
        <f>IFERROR(COUNTIF([1]Village!$BR:$BR,표1[[#This Row],[명칭]]),"-")</f>
        <v>0</v>
      </c>
      <c r="M616" s="38">
        <f>COUNTIF(퀘스트!B:B,표1[[#This Row],[명칭]])</f>
        <v>0</v>
      </c>
      <c r="N616" s="65">
        <f>COUNTIF([1]VillageDiscoveryGroup!$C:$C,표1[[#This Row],[명칭]])</f>
        <v>0</v>
      </c>
      <c r="O616" s="65">
        <f>SUM(표1[[#This Row],[해양탐색]:[마을탐험]])</f>
        <v>0</v>
      </c>
    </row>
    <row r="617" spans="2:15" ht="13.5" customHeight="1" x14ac:dyDescent="0.3">
      <c r="B617" s="9">
        <f>[1]Discovery!A623</f>
        <v>70405094</v>
      </c>
      <c r="C617" s="9" t="str">
        <f>[1]Discovery!B623</f>
        <v>크낙새</v>
      </c>
      <c r="D617" s="9" t="str">
        <f>[1]Discovery!E623</f>
        <v>동물</v>
      </c>
      <c r="E617" s="9" t="str">
        <f>[1]Discovery!C623</f>
        <v>조류</v>
      </c>
      <c r="F617" s="9" t="str">
        <f>[1]Discovery!G623</f>
        <v>B</v>
      </c>
      <c r="G617" s="9" t="str">
        <f>IFERROR(VLOOKUP(표1[[#This Row],[명칭]],'문화권 정리'!C:D,2,FALSE),"-")</f>
        <v>동아시아</v>
      </c>
      <c r="H617" s="38" t="str">
        <f>IFERROR(COUNTIF([2]OceanDoodad!$Y:$Y,표1[[#This Row],[명칭]]),"-")</f>
        <v>-</v>
      </c>
      <c r="I617" s="38">
        <f>IFERROR(COUNTIF([1]AdventureDiscoveryGroup!$D$8:$AW$92,표1[[#This Row],[명칭]]),"-")</f>
        <v>0</v>
      </c>
      <c r="J617" s="38">
        <f>IFERROR(COUNTIF([1]FishDiscoveryGroup!$A:$X,표1[[#This Row],[명칭]]),"-")</f>
        <v>0</v>
      </c>
      <c r="K617" s="38" t="str">
        <f>IFERROR(COUNTIF([2]Town!$B:$B,표1[[#This Row],[명칭]]),"-")</f>
        <v>-</v>
      </c>
      <c r="L617" s="38">
        <f>IFERROR(COUNTIF([1]Village!$BR:$BR,표1[[#This Row],[명칭]]),"-")</f>
        <v>0</v>
      </c>
      <c r="M617" s="38">
        <f>COUNTIF(퀘스트!B:B,표1[[#This Row],[명칭]])</f>
        <v>0</v>
      </c>
      <c r="N617" s="65">
        <f>COUNTIF([1]VillageDiscoveryGroup!$C:$C,표1[[#This Row],[명칭]])</f>
        <v>0</v>
      </c>
      <c r="O617" s="65">
        <f>SUM(표1[[#This Row],[해양탐색]:[마을탐험]])</f>
        <v>0</v>
      </c>
    </row>
    <row r="618" spans="2:15" ht="13.5" customHeight="1" x14ac:dyDescent="0.3">
      <c r="B618" s="9">
        <f>[1]Discovery!A624</f>
        <v>70405095</v>
      </c>
      <c r="C618" s="9" t="str">
        <f>[1]Discovery!B624</f>
        <v>큰바다쇠오리</v>
      </c>
      <c r="D618" s="9" t="str">
        <f>[1]Discovery!E624</f>
        <v>동물</v>
      </c>
      <c r="E618" s="9" t="str">
        <f>[1]Discovery!C624</f>
        <v>조류</v>
      </c>
      <c r="F618" s="9" t="str">
        <f>[1]Discovery!G624</f>
        <v>A</v>
      </c>
      <c r="G618" s="9" t="str">
        <f>IFERROR(VLOOKUP(표1[[#This Row],[명칭]],'문화권 정리'!C:D,2,FALSE),"-")</f>
        <v>북유럽</v>
      </c>
      <c r="H618" s="38" t="str">
        <f>IFERROR(COUNTIF([2]OceanDoodad!$Y:$Y,표1[[#This Row],[명칭]]),"-")</f>
        <v>-</v>
      </c>
      <c r="I618" s="38">
        <f>IFERROR(COUNTIF([1]AdventureDiscoveryGroup!$D$8:$AW$92,표1[[#This Row],[명칭]]),"-")</f>
        <v>1</v>
      </c>
      <c r="J618" s="38">
        <f>IFERROR(COUNTIF([1]FishDiscoveryGroup!$A:$X,표1[[#This Row],[명칭]]),"-")</f>
        <v>0</v>
      </c>
      <c r="K618" s="38" t="str">
        <f>IFERROR(COUNTIF([2]Town!$B:$B,표1[[#This Row],[명칭]]),"-")</f>
        <v>-</v>
      </c>
      <c r="L618" s="38">
        <f>IFERROR(COUNTIF([1]Village!$BR:$BR,표1[[#This Row],[명칭]]),"-")</f>
        <v>0</v>
      </c>
      <c r="M618" s="38">
        <f>COUNTIF(퀘스트!B:B,표1[[#This Row],[명칭]])</f>
        <v>0</v>
      </c>
      <c r="N618" s="65">
        <f>COUNTIF([1]VillageDiscoveryGroup!$C:$C,표1[[#This Row],[명칭]])</f>
        <v>0</v>
      </c>
      <c r="O618" s="65">
        <f>SUM(표1[[#This Row],[해양탐색]:[마을탐험]])</f>
        <v>1</v>
      </c>
    </row>
    <row r="619" spans="2:15" ht="13.5" customHeight="1" x14ac:dyDescent="0.3">
      <c r="B619" s="9">
        <f>[1]Discovery!A625</f>
        <v>70405097</v>
      </c>
      <c r="C619" s="9" t="str">
        <f>[1]Discovery!B625</f>
        <v>큰봉관조</v>
      </c>
      <c r="D619" s="9" t="str">
        <f>[1]Discovery!E625</f>
        <v>동물</v>
      </c>
      <c r="E619" s="9" t="str">
        <f>[1]Discovery!C625</f>
        <v>조류</v>
      </c>
      <c r="F619" s="9" t="str">
        <f>[1]Discovery!G625</f>
        <v>B</v>
      </c>
      <c r="G619" s="9" t="str">
        <f>IFERROR(VLOOKUP(표1[[#This Row],[명칭]],'문화권 정리'!C:D,2,FALSE),"-")</f>
        <v>중앙아메리카</v>
      </c>
      <c r="H619" s="38" t="str">
        <f>IFERROR(COUNTIF([2]OceanDoodad!$Y:$Y,표1[[#This Row],[명칭]]),"-")</f>
        <v>-</v>
      </c>
      <c r="I619" s="38">
        <f>IFERROR(COUNTIF([1]AdventureDiscoveryGroup!$D$8:$AW$92,표1[[#This Row],[명칭]]),"-")</f>
        <v>1</v>
      </c>
      <c r="J619" s="38">
        <f>IFERROR(COUNTIF([1]FishDiscoveryGroup!$A:$X,표1[[#This Row],[명칭]]),"-")</f>
        <v>0</v>
      </c>
      <c r="K619" s="38" t="str">
        <f>IFERROR(COUNTIF([2]Town!$B:$B,표1[[#This Row],[명칭]]),"-")</f>
        <v>-</v>
      </c>
      <c r="L619" s="38">
        <f>IFERROR(COUNTIF([1]Village!$BR:$BR,표1[[#This Row],[명칭]]),"-")</f>
        <v>0</v>
      </c>
      <c r="M619" s="38">
        <f>COUNTIF(퀘스트!B:B,표1[[#This Row],[명칭]])</f>
        <v>0</v>
      </c>
      <c r="N619" s="65">
        <f>COUNTIF([1]VillageDiscoveryGroup!$C:$C,표1[[#This Row],[명칭]])</f>
        <v>0</v>
      </c>
      <c r="O619" s="65">
        <f>SUM(표1[[#This Row],[해양탐색]:[마을탐험]])</f>
        <v>1</v>
      </c>
    </row>
    <row r="620" spans="2:15" ht="13.5" customHeight="1" x14ac:dyDescent="0.3">
      <c r="B620" s="9">
        <f>[1]Discovery!A626</f>
        <v>70405098</v>
      </c>
      <c r="C620" s="9" t="str">
        <f>[1]Discovery!B626</f>
        <v>큰코뿔새</v>
      </c>
      <c r="D620" s="9" t="str">
        <f>[1]Discovery!E626</f>
        <v>동물</v>
      </c>
      <c r="E620" s="9" t="str">
        <f>[1]Discovery!C626</f>
        <v>조류</v>
      </c>
      <c r="F620" s="9" t="str">
        <f>[1]Discovery!G626</f>
        <v>B</v>
      </c>
      <c r="G620" s="9" t="str">
        <f>IFERROR(VLOOKUP(표1[[#This Row],[명칭]],'문화권 정리'!C:D,2,FALSE),"-")</f>
        <v>동남아시아</v>
      </c>
      <c r="H620" s="38" t="str">
        <f>IFERROR(COUNTIF([2]OceanDoodad!$Y:$Y,표1[[#This Row],[명칭]]),"-")</f>
        <v>-</v>
      </c>
      <c r="I620" s="38">
        <f>IFERROR(COUNTIF([1]AdventureDiscoveryGroup!$D$8:$AW$92,표1[[#This Row],[명칭]]),"-")</f>
        <v>1</v>
      </c>
      <c r="J620" s="38">
        <f>IFERROR(COUNTIF([1]FishDiscoveryGroup!$A:$X,표1[[#This Row],[명칭]]),"-")</f>
        <v>0</v>
      </c>
      <c r="K620" s="38" t="str">
        <f>IFERROR(COUNTIF([2]Town!$B:$B,표1[[#This Row],[명칭]]),"-")</f>
        <v>-</v>
      </c>
      <c r="L620" s="38">
        <f>IFERROR(COUNTIF([1]Village!$BR:$BR,표1[[#This Row],[명칭]]),"-")</f>
        <v>0</v>
      </c>
      <c r="M620" s="38">
        <f>COUNTIF(퀘스트!B:B,표1[[#This Row],[명칭]])</f>
        <v>0</v>
      </c>
      <c r="N620" s="65">
        <f>COUNTIF([1]VillageDiscoveryGroup!$C:$C,표1[[#This Row],[명칭]])</f>
        <v>0</v>
      </c>
      <c r="O620" s="65">
        <f>SUM(표1[[#This Row],[해양탐색]:[마을탐험]])</f>
        <v>1</v>
      </c>
    </row>
    <row r="621" spans="2:15" ht="13.5" customHeight="1" x14ac:dyDescent="0.3">
      <c r="B621" s="9">
        <f>[1]Discovery!A627</f>
        <v>70405099</v>
      </c>
      <c r="C621" s="9" t="str">
        <f>[1]Discovery!B627</f>
        <v>큰유황앵무</v>
      </c>
      <c r="D621" s="9" t="str">
        <f>[1]Discovery!E627</f>
        <v>동물</v>
      </c>
      <c r="E621" s="9" t="str">
        <f>[1]Discovery!C627</f>
        <v>조류</v>
      </c>
      <c r="F621" s="9" t="str">
        <f>[1]Discovery!G627</f>
        <v>S</v>
      </c>
      <c r="G621" s="9" t="str">
        <f>IFERROR(VLOOKUP(표1[[#This Row],[명칭]],'문화권 정리'!C:D,2,FALSE),"-")</f>
        <v>오세아니아</v>
      </c>
      <c r="H621" s="38" t="str">
        <f>IFERROR(COUNTIF([2]OceanDoodad!$Y:$Y,표1[[#This Row],[명칭]]),"-")</f>
        <v>-</v>
      </c>
      <c r="I621" s="38">
        <f>IFERROR(COUNTIF([1]AdventureDiscoveryGroup!$D$8:$AW$92,표1[[#This Row],[명칭]]),"-")</f>
        <v>0</v>
      </c>
      <c r="J621" s="38">
        <f>IFERROR(COUNTIF([1]FishDiscoveryGroup!$A:$X,표1[[#This Row],[명칭]]),"-")</f>
        <v>0</v>
      </c>
      <c r="K621" s="38" t="str">
        <f>IFERROR(COUNTIF([2]Town!$B:$B,표1[[#This Row],[명칭]]),"-")</f>
        <v>-</v>
      </c>
      <c r="L621" s="38">
        <f>IFERROR(COUNTIF([1]Village!$BR:$BR,표1[[#This Row],[명칭]]),"-")</f>
        <v>0</v>
      </c>
      <c r="M621" s="38">
        <f>COUNTIF(퀘스트!B:B,표1[[#This Row],[명칭]])</f>
        <v>0</v>
      </c>
      <c r="N621" s="65">
        <f>COUNTIF([1]VillageDiscoveryGroup!$C:$C,표1[[#This Row],[명칭]])</f>
        <v>0</v>
      </c>
      <c r="O621" s="65">
        <f>SUM(표1[[#This Row],[해양탐색]:[마을탐험]])</f>
        <v>0</v>
      </c>
    </row>
    <row r="622" spans="2:15" ht="13.5" customHeight="1" x14ac:dyDescent="0.3">
      <c r="B622" s="9">
        <f>[1]Discovery!A628</f>
        <v>70405100</v>
      </c>
      <c r="C622" s="9" t="str">
        <f>[1]Discovery!B628</f>
        <v>키위</v>
      </c>
      <c r="D622" s="9" t="str">
        <f>[1]Discovery!E628</f>
        <v>동물</v>
      </c>
      <c r="E622" s="9" t="str">
        <f>[1]Discovery!C628</f>
        <v>조류</v>
      </c>
      <c r="F622" s="9" t="str">
        <f>[1]Discovery!G628</f>
        <v>D</v>
      </c>
      <c r="G622" s="9" t="str">
        <f>IFERROR(VLOOKUP(표1[[#This Row],[명칭]],'문화권 정리'!C:D,2,FALSE),"-")</f>
        <v>오세아니아</v>
      </c>
      <c r="H622" s="38" t="str">
        <f>IFERROR(COUNTIF([2]OceanDoodad!$Y:$Y,표1[[#This Row],[명칭]]),"-")</f>
        <v>-</v>
      </c>
      <c r="I622" s="38">
        <f>IFERROR(COUNTIF([1]AdventureDiscoveryGroup!$D$8:$AW$92,표1[[#This Row],[명칭]]),"-")</f>
        <v>0</v>
      </c>
      <c r="J622" s="38">
        <f>IFERROR(COUNTIF([1]FishDiscoveryGroup!$A:$X,표1[[#This Row],[명칭]]),"-")</f>
        <v>0</v>
      </c>
      <c r="K622" s="38" t="str">
        <f>IFERROR(COUNTIF([2]Town!$B:$B,표1[[#This Row],[명칭]]),"-")</f>
        <v>-</v>
      </c>
      <c r="L622" s="38">
        <f>IFERROR(COUNTIF([1]Village!$BR:$BR,표1[[#This Row],[명칭]]),"-")</f>
        <v>0</v>
      </c>
      <c r="M622" s="38">
        <f>COUNTIF(퀘스트!B:B,표1[[#This Row],[명칭]])</f>
        <v>0</v>
      </c>
      <c r="N622" s="65">
        <f>COUNTIF([1]VillageDiscoveryGroup!$C:$C,표1[[#This Row],[명칭]])</f>
        <v>1</v>
      </c>
      <c r="O622" s="65">
        <f>SUM(표1[[#This Row],[해양탐색]:[마을탐험]])</f>
        <v>1</v>
      </c>
    </row>
    <row r="623" spans="2:15" ht="13.5" customHeight="1" x14ac:dyDescent="0.3">
      <c r="B623" s="9">
        <f>[1]Discovery!A629</f>
        <v>70405101</v>
      </c>
      <c r="C623" s="9" t="str">
        <f>[1]Discovery!B629</f>
        <v>타조</v>
      </c>
      <c r="D623" s="9" t="str">
        <f>[1]Discovery!E629</f>
        <v>동물</v>
      </c>
      <c r="E623" s="9" t="str">
        <f>[1]Discovery!C629</f>
        <v>조류</v>
      </c>
      <c r="F623" s="9" t="str">
        <f>[1]Discovery!G629</f>
        <v>D</v>
      </c>
      <c r="G623" s="9" t="str">
        <f>IFERROR(VLOOKUP(표1[[#This Row],[명칭]],'문화권 정리'!C:D,2,FALSE),"-")</f>
        <v>남아프리카</v>
      </c>
      <c r="H623" s="38" t="str">
        <f>IFERROR(COUNTIF([2]OceanDoodad!$Y:$Y,표1[[#This Row],[명칭]]),"-")</f>
        <v>-</v>
      </c>
      <c r="I623" s="38">
        <f>IFERROR(COUNTIF([1]AdventureDiscoveryGroup!$D$8:$AW$92,표1[[#This Row],[명칭]]),"-")</f>
        <v>1</v>
      </c>
      <c r="J623" s="38">
        <f>IFERROR(COUNTIF([1]FishDiscoveryGroup!$A:$X,표1[[#This Row],[명칭]]),"-")</f>
        <v>0</v>
      </c>
      <c r="K623" s="38" t="str">
        <f>IFERROR(COUNTIF([2]Town!$B:$B,표1[[#This Row],[명칭]]),"-")</f>
        <v>-</v>
      </c>
      <c r="L623" s="38">
        <f>IFERROR(COUNTIF([1]Village!$BR:$BR,표1[[#This Row],[명칭]]),"-")</f>
        <v>0</v>
      </c>
      <c r="M623" s="38">
        <f>COUNTIF(퀘스트!B:B,표1[[#This Row],[명칭]])</f>
        <v>0</v>
      </c>
      <c r="N623" s="65">
        <f>COUNTIF([1]VillageDiscoveryGroup!$C:$C,표1[[#This Row],[명칭]])</f>
        <v>0</v>
      </c>
      <c r="O623" s="65">
        <f>SUM(표1[[#This Row],[해양탐색]:[마을탐험]])</f>
        <v>1</v>
      </c>
    </row>
    <row r="624" spans="2:15" ht="13.5" customHeight="1" x14ac:dyDescent="0.3">
      <c r="B624" s="9">
        <f>[1]Discovery!A630</f>
        <v>70405102</v>
      </c>
      <c r="C624" s="9" t="str">
        <f>[1]Discovery!B630</f>
        <v>토코투칸</v>
      </c>
      <c r="D624" s="9" t="str">
        <f>[1]Discovery!E630</f>
        <v>동물</v>
      </c>
      <c r="E624" s="9" t="str">
        <f>[1]Discovery!C630</f>
        <v>조류</v>
      </c>
      <c r="F624" s="9" t="str">
        <f>[1]Discovery!G630</f>
        <v>S</v>
      </c>
      <c r="G624" s="9" t="str">
        <f>IFERROR(VLOOKUP(표1[[#This Row],[명칭]],'문화권 정리'!C:D,2,FALSE),"-")</f>
        <v>남아메리카</v>
      </c>
      <c r="H624" s="38" t="str">
        <f>IFERROR(COUNTIF([2]OceanDoodad!$Y:$Y,표1[[#This Row],[명칭]]),"-")</f>
        <v>-</v>
      </c>
      <c r="I624" s="38">
        <f>IFERROR(COUNTIF([1]AdventureDiscoveryGroup!$D$8:$AW$92,표1[[#This Row],[명칭]]),"-")</f>
        <v>0</v>
      </c>
      <c r="J624" s="38">
        <f>IFERROR(COUNTIF([1]FishDiscoveryGroup!$A:$X,표1[[#This Row],[명칭]]),"-")</f>
        <v>0</v>
      </c>
      <c r="K624" s="38" t="str">
        <f>IFERROR(COUNTIF([2]Town!$B:$B,표1[[#This Row],[명칭]]),"-")</f>
        <v>-</v>
      </c>
      <c r="L624" s="38">
        <f>IFERROR(COUNTIF([1]Village!$BR:$BR,표1[[#This Row],[명칭]]),"-")</f>
        <v>0</v>
      </c>
      <c r="M624" s="38">
        <f>COUNTIF(퀘스트!B:B,표1[[#This Row],[명칭]])</f>
        <v>0</v>
      </c>
      <c r="N624" s="65">
        <f>COUNTIF([1]VillageDiscoveryGroup!$C:$C,표1[[#This Row],[명칭]])</f>
        <v>1</v>
      </c>
      <c r="O624" s="65">
        <f>SUM(표1[[#This Row],[해양탐색]:[마을탐험]])</f>
        <v>1</v>
      </c>
    </row>
    <row r="625" spans="2:15" ht="13.5" customHeight="1" x14ac:dyDescent="0.3">
      <c r="B625" s="9">
        <f>[1]Discovery!A631</f>
        <v>70405103</v>
      </c>
      <c r="C625" s="9" t="str">
        <f>[1]Discovery!B631</f>
        <v>토파즈벌새</v>
      </c>
      <c r="D625" s="9" t="str">
        <f>[1]Discovery!E631</f>
        <v>동물</v>
      </c>
      <c r="E625" s="9" t="str">
        <f>[1]Discovery!C631</f>
        <v>조류</v>
      </c>
      <c r="F625" s="9" t="str">
        <f>[1]Discovery!G631</f>
        <v>A</v>
      </c>
      <c r="G625" s="9" t="str">
        <f>IFERROR(VLOOKUP(표1[[#This Row],[명칭]],'문화권 정리'!C:D,2,FALSE),"-")</f>
        <v>남아메리카</v>
      </c>
      <c r="H625" s="38" t="str">
        <f>IFERROR(COUNTIF([2]OceanDoodad!$Y:$Y,표1[[#This Row],[명칭]]),"-")</f>
        <v>-</v>
      </c>
      <c r="I625" s="38">
        <f>IFERROR(COUNTIF([1]AdventureDiscoveryGroup!$D$8:$AW$92,표1[[#This Row],[명칭]]),"-")</f>
        <v>0</v>
      </c>
      <c r="J625" s="38">
        <f>IFERROR(COUNTIF([1]FishDiscoveryGroup!$A:$X,표1[[#This Row],[명칭]]),"-")</f>
        <v>0</v>
      </c>
      <c r="K625" s="38" t="str">
        <f>IFERROR(COUNTIF([2]Town!$B:$B,표1[[#This Row],[명칭]]),"-")</f>
        <v>-</v>
      </c>
      <c r="L625" s="38">
        <f>IFERROR(COUNTIF([1]Village!$BR:$BR,표1[[#This Row],[명칭]]),"-")</f>
        <v>0</v>
      </c>
      <c r="M625" s="38">
        <f>COUNTIF(퀘스트!B:B,표1[[#This Row],[명칭]])</f>
        <v>0</v>
      </c>
      <c r="N625" s="65">
        <f>COUNTIF([1]VillageDiscoveryGroup!$C:$C,표1[[#This Row],[명칭]])</f>
        <v>0</v>
      </c>
      <c r="O625" s="65">
        <f>SUM(표1[[#This Row],[해양탐색]:[마을탐험]])</f>
        <v>0</v>
      </c>
    </row>
    <row r="626" spans="2:15" ht="13.5" customHeight="1" x14ac:dyDescent="0.3">
      <c r="B626" s="9">
        <f>[1]Discovery!A632</f>
        <v>70405104</v>
      </c>
      <c r="C626" s="9" t="str">
        <f>[1]Discovery!B632</f>
        <v>파랑 어치</v>
      </c>
      <c r="D626" s="9" t="str">
        <f>[1]Discovery!E632</f>
        <v>동물</v>
      </c>
      <c r="E626" s="9" t="str">
        <f>[1]Discovery!C632</f>
        <v>조류</v>
      </c>
      <c r="F626" s="9" t="str">
        <f>[1]Discovery!G632</f>
        <v>D</v>
      </c>
      <c r="G626" s="9" t="str">
        <f>IFERROR(VLOOKUP(표1[[#This Row],[명칭]],'문화권 정리'!C:D,2,FALSE),"-")</f>
        <v>북아메리카</v>
      </c>
      <c r="H626" s="38" t="str">
        <f>IFERROR(COUNTIF([2]OceanDoodad!$Y:$Y,표1[[#This Row],[명칭]]),"-")</f>
        <v>-</v>
      </c>
      <c r="I626" s="38">
        <f>IFERROR(COUNTIF([1]AdventureDiscoveryGroup!$D$8:$AW$92,표1[[#This Row],[명칭]]),"-")</f>
        <v>1</v>
      </c>
      <c r="J626" s="38">
        <f>IFERROR(COUNTIF([1]FishDiscoveryGroup!$A:$X,표1[[#This Row],[명칭]]),"-")</f>
        <v>0</v>
      </c>
      <c r="K626" s="38" t="str">
        <f>IFERROR(COUNTIF([2]Town!$B:$B,표1[[#This Row],[명칭]]),"-")</f>
        <v>-</v>
      </c>
      <c r="L626" s="38">
        <f>IFERROR(COUNTIF([1]Village!$BR:$BR,표1[[#This Row],[명칭]]),"-")</f>
        <v>0</v>
      </c>
      <c r="M626" s="38">
        <f>COUNTIF(퀘스트!B:B,표1[[#This Row],[명칭]])</f>
        <v>0</v>
      </c>
      <c r="N626" s="65">
        <f>COUNTIF([1]VillageDiscoveryGroup!$C:$C,표1[[#This Row],[명칭]])</f>
        <v>0</v>
      </c>
      <c r="O626" s="65">
        <f>SUM(표1[[#This Row],[해양탐색]:[마을탐험]])</f>
        <v>1</v>
      </c>
    </row>
    <row r="627" spans="2:15" ht="13.5" customHeight="1" x14ac:dyDescent="0.3">
      <c r="B627" s="9">
        <f>[1]Discovery!A633</f>
        <v>70405105</v>
      </c>
      <c r="C627" s="9" t="str">
        <f>[1]Discovery!B633</f>
        <v>포투</v>
      </c>
      <c r="D627" s="9" t="str">
        <f>[1]Discovery!E633</f>
        <v>동물</v>
      </c>
      <c r="E627" s="9" t="str">
        <f>[1]Discovery!C633</f>
        <v>조류</v>
      </c>
      <c r="F627" s="9" t="str">
        <f>[1]Discovery!G633</f>
        <v>B</v>
      </c>
      <c r="G627" s="9" t="str">
        <f>IFERROR(VLOOKUP(표1[[#This Row],[명칭]],'문화권 정리'!C:D,2,FALSE),"-")</f>
        <v>남아메리카</v>
      </c>
      <c r="H627" s="38" t="str">
        <f>IFERROR(COUNTIF([2]OceanDoodad!$Y:$Y,표1[[#This Row],[명칭]]),"-")</f>
        <v>-</v>
      </c>
      <c r="I627" s="38">
        <f>IFERROR(COUNTIF([1]AdventureDiscoveryGroup!$D$8:$AW$92,표1[[#This Row],[명칭]]),"-")</f>
        <v>1</v>
      </c>
      <c r="J627" s="38">
        <f>IFERROR(COUNTIF([1]FishDiscoveryGroup!$A:$X,표1[[#This Row],[명칭]]),"-")</f>
        <v>0</v>
      </c>
      <c r="K627" s="38" t="str">
        <f>IFERROR(COUNTIF([2]Town!$B:$B,표1[[#This Row],[명칭]]),"-")</f>
        <v>-</v>
      </c>
      <c r="L627" s="38">
        <f>IFERROR(COUNTIF([1]Village!$BR:$BR,표1[[#This Row],[명칭]]),"-")</f>
        <v>0</v>
      </c>
      <c r="M627" s="38">
        <f>COUNTIF(퀘스트!B:B,표1[[#This Row],[명칭]])</f>
        <v>0</v>
      </c>
      <c r="N627" s="65">
        <f>COUNTIF([1]VillageDiscoveryGroup!$C:$C,표1[[#This Row],[명칭]])</f>
        <v>0</v>
      </c>
      <c r="O627" s="65">
        <f>SUM(표1[[#This Row],[해양탐색]:[마을탐험]])</f>
        <v>1</v>
      </c>
    </row>
    <row r="628" spans="2:15" ht="13.5" customHeight="1" x14ac:dyDescent="0.3">
      <c r="B628" s="9">
        <f>[1]Discovery!A634</f>
        <v>70405106</v>
      </c>
      <c r="C628" s="9" t="str">
        <f>[1]Discovery!B634</f>
        <v>푸른발부비새</v>
      </c>
      <c r="D628" s="9" t="str">
        <f>[1]Discovery!E634</f>
        <v>동물</v>
      </c>
      <c r="E628" s="9" t="str">
        <f>[1]Discovery!C634</f>
        <v>조류</v>
      </c>
      <c r="F628" s="9" t="str">
        <f>[1]Discovery!G634</f>
        <v>A</v>
      </c>
      <c r="G628" s="9" t="str">
        <f>IFERROR(VLOOKUP(표1[[#This Row],[명칭]],'문화권 정리'!C:D,2,FALSE),"-")</f>
        <v>남아메리카</v>
      </c>
      <c r="H628" s="38" t="str">
        <f>IFERROR(COUNTIF([2]OceanDoodad!$Y:$Y,표1[[#This Row],[명칭]]),"-")</f>
        <v>-</v>
      </c>
      <c r="I628" s="38">
        <f>IFERROR(COUNTIF([1]AdventureDiscoveryGroup!$D$8:$AW$92,표1[[#This Row],[명칭]]),"-")</f>
        <v>1</v>
      </c>
      <c r="J628" s="38">
        <f>IFERROR(COUNTIF([1]FishDiscoveryGroup!$A:$X,표1[[#This Row],[명칭]]),"-")</f>
        <v>0</v>
      </c>
      <c r="K628" s="38" t="str">
        <f>IFERROR(COUNTIF([2]Town!$B:$B,표1[[#This Row],[명칭]]),"-")</f>
        <v>-</v>
      </c>
      <c r="L628" s="38">
        <f>IFERROR(COUNTIF([1]Village!$BR:$BR,표1[[#This Row],[명칭]]),"-")</f>
        <v>0</v>
      </c>
      <c r="M628" s="38">
        <f>COUNTIF(퀘스트!B:B,표1[[#This Row],[명칭]])</f>
        <v>0</v>
      </c>
      <c r="N628" s="65">
        <f>COUNTIF([1]VillageDiscoveryGroup!$C:$C,표1[[#This Row],[명칭]])</f>
        <v>0</v>
      </c>
      <c r="O628" s="65">
        <f>SUM(표1[[#This Row],[해양탐색]:[마을탐험]])</f>
        <v>1</v>
      </c>
    </row>
    <row r="629" spans="2:15" ht="13.5" customHeight="1" x14ac:dyDescent="0.3">
      <c r="B629" s="9">
        <f>[1]Discovery!A635</f>
        <v>70405107</v>
      </c>
      <c r="C629" s="9" t="str">
        <f>[1]Discovery!B635</f>
        <v>풍금새</v>
      </c>
      <c r="D629" s="9" t="str">
        <f>[1]Discovery!E635</f>
        <v>동물</v>
      </c>
      <c r="E629" s="9" t="str">
        <f>[1]Discovery!C635</f>
        <v>조류</v>
      </c>
      <c r="F629" s="9" t="str">
        <f>[1]Discovery!G635</f>
        <v>B</v>
      </c>
      <c r="G629" s="9" t="str">
        <f>IFERROR(VLOOKUP(표1[[#This Row],[명칭]],'문화권 정리'!C:D,2,FALSE),"-")</f>
        <v>북아메리카</v>
      </c>
      <c r="H629" s="38" t="str">
        <f>IFERROR(COUNTIF([2]OceanDoodad!$Y:$Y,표1[[#This Row],[명칭]]),"-")</f>
        <v>-</v>
      </c>
      <c r="I629" s="38">
        <f>IFERROR(COUNTIF([1]AdventureDiscoveryGroup!$D$8:$AW$92,표1[[#This Row],[명칭]]),"-")</f>
        <v>1</v>
      </c>
      <c r="J629" s="38">
        <f>IFERROR(COUNTIF([1]FishDiscoveryGroup!$A:$X,표1[[#This Row],[명칭]]),"-")</f>
        <v>0</v>
      </c>
      <c r="K629" s="38" t="str">
        <f>IFERROR(COUNTIF([2]Town!$B:$B,표1[[#This Row],[명칭]]),"-")</f>
        <v>-</v>
      </c>
      <c r="L629" s="38">
        <f>IFERROR(COUNTIF([1]Village!$BR:$BR,표1[[#This Row],[명칭]]),"-")</f>
        <v>0</v>
      </c>
      <c r="M629" s="38">
        <f>COUNTIF(퀘스트!B:B,표1[[#This Row],[명칭]])</f>
        <v>0</v>
      </c>
      <c r="N629" s="65">
        <f>COUNTIF([1]VillageDiscoveryGroup!$C:$C,표1[[#This Row],[명칭]])</f>
        <v>0</v>
      </c>
      <c r="O629" s="65">
        <f>SUM(표1[[#This Row],[해양탐색]:[마을탐험]])</f>
        <v>1</v>
      </c>
    </row>
    <row r="630" spans="2:15" ht="13.5" customHeight="1" x14ac:dyDescent="0.3">
      <c r="B630" s="9">
        <f>[1]Discovery!A636</f>
        <v>70405108</v>
      </c>
      <c r="C630" s="9" t="str">
        <f>[1]Discovery!B636</f>
        <v>하스트수리</v>
      </c>
      <c r="D630" s="9" t="str">
        <f>[1]Discovery!E636</f>
        <v>동물</v>
      </c>
      <c r="E630" s="9" t="str">
        <f>[1]Discovery!C636</f>
        <v>조류</v>
      </c>
      <c r="F630" s="9" t="str">
        <f>[1]Discovery!G636</f>
        <v>A</v>
      </c>
      <c r="G630" s="9" t="str">
        <f>IFERROR(VLOOKUP(표1[[#This Row],[명칭]],'문화권 정리'!C:D,2,FALSE),"-")</f>
        <v>오세아니아</v>
      </c>
      <c r="H630" s="38" t="str">
        <f>IFERROR(COUNTIF([2]OceanDoodad!$Y:$Y,표1[[#This Row],[명칭]]),"-")</f>
        <v>-</v>
      </c>
      <c r="I630" s="38">
        <f>IFERROR(COUNTIF([1]AdventureDiscoveryGroup!$D$8:$AW$92,표1[[#This Row],[명칭]]),"-")</f>
        <v>1</v>
      </c>
      <c r="J630" s="38">
        <f>IFERROR(COUNTIF([1]FishDiscoveryGroup!$A:$X,표1[[#This Row],[명칭]]),"-")</f>
        <v>0</v>
      </c>
      <c r="K630" s="38" t="str">
        <f>IFERROR(COUNTIF([2]Town!$B:$B,표1[[#This Row],[명칭]]),"-")</f>
        <v>-</v>
      </c>
      <c r="L630" s="38">
        <f>IFERROR(COUNTIF([1]Village!$BR:$BR,표1[[#This Row],[명칭]]),"-")</f>
        <v>0</v>
      </c>
      <c r="M630" s="38">
        <f>COUNTIF(퀘스트!B:B,표1[[#This Row],[명칭]])</f>
        <v>0</v>
      </c>
      <c r="N630" s="65">
        <f>COUNTIF([1]VillageDiscoveryGroup!$C:$C,표1[[#This Row],[명칭]])</f>
        <v>0</v>
      </c>
      <c r="O630" s="65">
        <f>SUM(표1[[#This Row],[해양탐색]:[마을탐험]])</f>
        <v>1</v>
      </c>
    </row>
    <row r="631" spans="2:15" ht="13.5" customHeight="1" x14ac:dyDescent="0.3">
      <c r="B631" s="9">
        <f>[1]Discovery!A637</f>
        <v>70405109</v>
      </c>
      <c r="C631" s="9" t="str">
        <f>[1]Discovery!B637</f>
        <v>하야신스마코금강앵무</v>
      </c>
      <c r="D631" s="9" t="str">
        <f>[1]Discovery!E637</f>
        <v>동물</v>
      </c>
      <c r="E631" s="9" t="str">
        <f>[1]Discovery!C637</f>
        <v>조류</v>
      </c>
      <c r="F631" s="9" t="str">
        <f>[1]Discovery!G637</f>
        <v>A</v>
      </c>
      <c r="G631" s="9" t="str">
        <f>IFERROR(VLOOKUP(표1[[#This Row],[명칭]],'문화권 정리'!C:D,2,FALSE),"-")</f>
        <v>남아메리카</v>
      </c>
      <c r="H631" s="38" t="str">
        <f>IFERROR(COUNTIF([2]OceanDoodad!$Y:$Y,표1[[#This Row],[명칭]]),"-")</f>
        <v>-</v>
      </c>
      <c r="I631" s="38">
        <f>IFERROR(COUNTIF([1]AdventureDiscoveryGroup!$D$8:$AW$92,표1[[#This Row],[명칭]]),"-")</f>
        <v>0</v>
      </c>
      <c r="J631" s="38">
        <f>IFERROR(COUNTIF([1]FishDiscoveryGroup!$A:$X,표1[[#This Row],[명칭]]),"-")</f>
        <v>0</v>
      </c>
      <c r="K631" s="38" t="str">
        <f>IFERROR(COUNTIF([2]Town!$B:$B,표1[[#This Row],[명칭]]),"-")</f>
        <v>-</v>
      </c>
      <c r="L631" s="38">
        <f>IFERROR(COUNTIF([1]Village!$BR:$BR,표1[[#This Row],[명칭]]),"-")</f>
        <v>0</v>
      </c>
      <c r="M631" s="38">
        <f>COUNTIF(퀘스트!B:B,표1[[#This Row],[명칭]])</f>
        <v>0</v>
      </c>
      <c r="N631" s="65">
        <f>COUNTIF([1]VillageDiscoveryGroup!$C:$C,표1[[#This Row],[명칭]])</f>
        <v>1</v>
      </c>
      <c r="O631" s="65">
        <f>SUM(표1[[#This Row],[해양탐색]:[마을탐험]])</f>
        <v>1</v>
      </c>
    </row>
    <row r="632" spans="2:15" ht="13.5" customHeight="1" x14ac:dyDescent="0.3">
      <c r="B632" s="9">
        <f>[1]Discovery!A638</f>
        <v>70405110</v>
      </c>
      <c r="C632" s="9" t="str">
        <f>[1]Discovery!B638</f>
        <v>하와이기러기</v>
      </c>
      <c r="D632" s="9" t="str">
        <f>[1]Discovery!E638</f>
        <v>동물</v>
      </c>
      <c r="E632" s="9" t="str">
        <f>[1]Discovery!C638</f>
        <v>조류</v>
      </c>
      <c r="F632" s="9" t="str">
        <f>[1]Discovery!G638</f>
        <v>C</v>
      </c>
      <c r="G632" s="9" t="str">
        <f>IFERROR(VLOOKUP(표1[[#This Row],[명칭]],'문화권 정리'!C:D,2,FALSE),"-")</f>
        <v>태평양</v>
      </c>
      <c r="H632" s="38" t="str">
        <f>IFERROR(COUNTIF([2]OceanDoodad!$Y:$Y,표1[[#This Row],[명칭]]),"-")</f>
        <v>-</v>
      </c>
      <c r="I632" s="38">
        <f>IFERROR(COUNTIF([1]AdventureDiscoveryGroup!$D$8:$AW$92,표1[[#This Row],[명칭]]),"-")</f>
        <v>1</v>
      </c>
      <c r="J632" s="38">
        <f>IFERROR(COUNTIF([1]FishDiscoveryGroup!$A:$X,표1[[#This Row],[명칭]]),"-")</f>
        <v>0</v>
      </c>
      <c r="K632" s="38" t="str">
        <f>IFERROR(COUNTIF([2]Town!$B:$B,표1[[#This Row],[명칭]]),"-")</f>
        <v>-</v>
      </c>
      <c r="L632" s="38">
        <f>IFERROR(COUNTIF([1]Village!$BR:$BR,표1[[#This Row],[명칭]]),"-")</f>
        <v>0</v>
      </c>
      <c r="M632" s="38">
        <f>COUNTIF(퀘스트!B:B,표1[[#This Row],[명칭]])</f>
        <v>0</v>
      </c>
      <c r="N632" s="65">
        <f>COUNTIF([1]VillageDiscoveryGroup!$C:$C,표1[[#This Row],[명칭]])</f>
        <v>0</v>
      </c>
      <c r="O632" s="65">
        <f>SUM(표1[[#This Row],[해양탐색]:[마을탐험]])</f>
        <v>1</v>
      </c>
    </row>
    <row r="633" spans="2:15" ht="13.5" customHeight="1" x14ac:dyDescent="0.3">
      <c r="B633" s="9">
        <f>[1]Discovery!A639</f>
        <v>70405111</v>
      </c>
      <c r="C633" s="9" t="str">
        <f>[1]Discovery!B639</f>
        <v>호금조</v>
      </c>
      <c r="D633" s="9" t="str">
        <f>[1]Discovery!E639</f>
        <v>동물</v>
      </c>
      <c r="E633" s="9" t="str">
        <f>[1]Discovery!C639</f>
        <v>조류</v>
      </c>
      <c r="F633" s="9" t="str">
        <f>[1]Discovery!G639</f>
        <v>C</v>
      </c>
      <c r="G633" s="9" t="str">
        <f>IFERROR(VLOOKUP(표1[[#This Row],[명칭]],'문화권 정리'!C:D,2,FALSE),"-")</f>
        <v>오세아니아</v>
      </c>
      <c r="H633" s="38" t="str">
        <f>IFERROR(COUNTIF([2]OceanDoodad!$Y:$Y,표1[[#This Row],[명칭]]),"-")</f>
        <v>-</v>
      </c>
      <c r="I633" s="38">
        <f>IFERROR(COUNTIF([1]AdventureDiscoveryGroup!$D$8:$AW$92,표1[[#This Row],[명칭]]),"-")</f>
        <v>1</v>
      </c>
      <c r="J633" s="38">
        <f>IFERROR(COUNTIF([1]FishDiscoveryGroup!$A:$X,표1[[#This Row],[명칭]]),"-")</f>
        <v>0</v>
      </c>
      <c r="K633" s="38" t="str">
        <f>IFERROR(COUNTIF([2]Town!$B:$B,표1[[#This Row],[명칭]]),"-")</f>
        <v>-</v>
      </c>
      <c r="L633" s="38">
        <f>IFERROR(COUNTIF([1]Village!$BR:$BR,표1[[#This Row],[명칭]]),"-")</f>
        <v>0</v>
      </c>
      <c r="M633" s="38">
        <f>COUNTIF(퀘스트!B:B,표1[[#This Row],[명칭]])</f>
        <v>0</v>
      </c>
      <c r="N633" s="65">
        <f>COUNTIF([1]VillageDiscoveryGroup!$C:$C,표1[[#This Row],[명칭]])</f>
        <v>0</v>
      </c>
      <c r="O633" s="65">
        <f>SUM(표1[[#This Row],[해양탐색]:[마을탐험]])</f>
        <v>1</v>
      </c>
    </row>
    <row r="634" spans="2:15" ht="13.5" customHeight="1" x14ac:dyDescent="0.3">
      <c r="B634" s="9">
        <f>[1]Discovery!A640</f>
        <v>70405112</v>
      </c>
      <c r="C634" s="9" t="str">
        <f>[1]Discovery!B640</f>
        <v>호로새</v>
      </c>
      <c r="D634" s="9" t="str">
        <f>[1]Discovery!E640</f>
        <v>동물</v>
      </c>
      <c r="E634" s="9" t="str">
        <f>[1]Discovery!C640</f>
        <v>조류</v>
      </c>
      <c r="F634" s="9" t="str">
        <f>[1]Discovery!G640</f>
        <v>D</v>
      </c>
      <c r="G634" s="9" t="str">
        <f>IFERROR(VLOOKUP(표1[[#This Row],[명칭]],'문화권 정리'!C:D,2,FALSE),"-")</f>
        <v>서아프리카</v>
      </c>
      <c r="H634" s="38" t="str">
        <f>IFERROR(COUNTIF([2]OceanDoodad!$Y:$Y,표1[[#This Row],[명칭]]),"-")</f>
        <v>-</v>
      </c>
      <c r="I634" s="38">
        <f>IFERROR(COUNTIF([1]AdventureDiscoveryGroup!$D$8:$AW$92,표1[[#This Row],[명칭]]),"-")</f>
        <v>1</v>
      </c>
      <c r="J634" s="38">
        <f>IFERROR(COUNTIF([1]FishDiscoveryGroup!$A:$X,표1[[#This Row],[명칭]]),"-")</f>
        <v>0</v>
      </c>
      <c r="K634" s="38" t="str">
        <f>IFERROR(COUNTIF([2]Town!$B:$B,표1[[#This Row],[명칭]]),"-")</f>
        <v>-</v>
      </c>
      <c r="L634" s="38">
        <f>IFERROR(COUNTIF([1]Village!$BR:$BR,표1[[#This Row],[명칭]]),"-")</f>
        <v>0</v>
      </c>
      <c r="M634" s="38">
        <f>COUNTIF(퀘스트!B:B,표1[[#This Row],[명칭]])</f>
        <v>0</v>
      </c>
      <c r="N634" s="65">
        <f>COUNTIF([1]VillageDiscoveryGroup!$C:$C,표1[[#This Row],[명칭]])</f>
        <v>0</v>
      </c>
      <c r="O634" s="65">
        <f>SUM(표1[[#This Row],[해양탐색]:[마을탐험]])</f>
        <v>1</v>
      </c>
    </row>
    <row r="635" spans="2:15" ht="13.5" customHeight="1" x14ac:dyDescent="0.3">
      <c r="B635" s="9">
        <f>[1]Discovery!A641</f>
        <v>70405113</v>
      </c>
      <c r="C635" s="9" t="str">
        <f>[1]Discovery!B641</f>
        <v>홍관조</v>
      </c>
      <c r="D635" s="9" t="str">
        <f>[1]Discovery!E641</f>
        <v>동물</v>
      </c>
      <c r="E635" s="9" t="str">
        <f>[1]Discovery!C641</f>
        <v>조류</v>
      </c>
      <c r="F635" s="9" t="str">
        <f>[1]Discovery!G641</f>
        <v>A</v>
      </c>
      <c r="G635" s="9" t="str">
        <f>IFERROR(VLOOKUP(표1[[#This Row],[명칭]],'문화권 정리'!C:D,2,FALSE),"-")</f>
        <v>남아메리카</v>
      </c>
      <c r="H635" s="38" t="str">
        <f>IFERROR(COUNTIF([2]OceanDoodad!$Y:$Y,표1[[#This Row],[명칭]]),"-")</f>
        <v>-</v>
      </c>
      <c r="I635" s="38">
        <f>IFERROR(COUNTIF([1]AdventureDiscoveryGroup!$D$8:$AW$92,표1[[#This Row],[명칭]]),"-")</f>
        <v>0</v>
      </c>
      <c r="J635" s="38">
        <f>IFERROR(COUNTIF([1]FishDiscoveryGroup!$A:$X,표1[[#This Row],[명칭]]),"-")</f>
        <v>0</v>
      </c>
      <c r="K635" s="38" t="str">
        <f>IFERROR(COUNTIF([2]Town!$B:$B,표1[[#This Row],[명칭]]),"-")</f>
        <v>-</v>
      </c>
      <c r="L635" s="38">
        <f>IFERROR(COUNTIF([1]Village!$BR:$BR,표1[[#This Row],[명칭]]),"-")</f>
        <v>0</v>
      </c>
      <c r="M635" s="38">
        <f>COUNTIF(퀘스트!B:B,표1[[#This Row],[명칭]])</f>
        <v>0</v>
      </c>
      <c r="N635" s="65">
        <f>COUNTIF([1]VillageDiscoveryGroup!$C:$C,표1[[#This Row],[명칭]])</f>
        <v>1</v>
      </c>
      <c r="O635" s="65">
        <f>SUM(표1[[#This Row],[해양탐색]:[마을탐험]])</f>
        <v>1</v>
      </c>
    </row>
    <row r="636" spans="2:15" ht="13.5" customHeight="1" x14ac:dyDescent="0.3">
      <c r="B636" s="9">
        <f>[1]Discovery!A642</f>
        <v>70405114</v>
      </c>
      <c r="C636" s="9" t="str">
        <f>[1]Discovery!B642</f>
        <v>홍방울새</v>
      </c>
      <c r="D636" s="9" t="str">
        <f>[1]Discovery!E642</f>
        <v>동물</v>
      </c>
      <c r="E636" s="9" t="str">
        <f>[1]Discovery!C642</f>
        <v>조류</v>
      </c>
      <c r="F636" s="9" t="str">
        <f>[1]Discovery!G642</f>
        <v>S</v>
      </c>
      <c r="G636" s="9" t="str">
        <f>IFERROR(VLOOKUP(표1[[#This Row],[명칭]],'문화권 정리'!C:D,2,FALSE),"-")</f>
        <v>극지방</v>
      </c>
      <c r="H636" s="38" t="str">
        <f>IFERROR(COUNTIF([2]OceanDoodad!$Y:$Y,표1[[#This Row],[명칭]]),"-")</f>
        <v>-</v>
      </c>
      <c r="I636" s="38">
        <f>IFERROR(COUNTIF([1]AdventureDiscoveryGroup!$D$8:$AW$92,표1[[#This Row],[명칭]]),"-")</f>
        <v>1</v>
      </c>
      <c r="J636" s="38">
        <f>IFERROR(COUNTIF([1]FishDiscoveryGroup!$A:$X,표1[[#This Row],[명칭]]),"-")</f>
        <v>0</v>
      </c>
      <c r="K636" s="38" t="str">
        <f>IFERROR(COUNTIF([2]Town!$B:$B,표1[[#This Row],[명칭]]),"-")</f>
        <v>-</v>
      </c>
      <c r="L636" s="38">
        <f>IFERROR(COUNTIF([1]Village!$BR:$BR,표1[[#This Row],[명칭]]),"-")</f>
        <v>0</v>
      </c>
      <c r="M636" s="38">
        <f>COUNTIF(퀘스트!B:B,표1[[#This Row],[명칭]])</f>
        <v>0</v>
      </c>
      <c r="N636" s="65">
        <f>COUNTIF([1]VillageDiscoveryGroup!$C:$C,표1[[#This Row],[명칭]])</f>
        <v>0</v>
      </c>
      <c r="O636" s="65">
        <f>SUM(표1[[#This Row],[해양탐색]:[마을탐험]])</f>
        <v>1</v>
      </c>
    </row>
    <row r="637" spans="2:15" ht="13.5" customHeight="1" x14ac:dyDescent="0.3">
      <c r="B637" s="9">
        <f>[1]Discovery!A643</f>
        <v>70405115</v>
      </c>
      <c r="C637" s="9" t="str">
        <f>[1]Discovery!B643</f>
        <v>홍색가슴오색조</v>
      </c>
      <c r="D637" s="9" t="str">
        <f>[1]Discovery!E643</f>
        <v>동물</v>
      </c>
      <c r="E637" s="9" t="str">
        <f>[1]Discovery!C643</f>
        <v>조류</v>
      </c>
      <c r="F637" s="9" t="str">
        <f>[1]Discovery!G643</f>
        <v>A</v>
      </c>
      <c r="G637" s="9" t="str">
        <f>IFERROR(VLOOKUP(표1[[#This Row],[명칭]],'문화권 정리'!C:D,2,FALSE),"-")</f>
        <v>동남아시아</v>
      </c>
      <c r="H637" s="38" t="str">
        <f>IFERROR(COUNTIF([2]OceanDoodad!$Y:$Y,표1[[#This Row],[명칭]]),"-")</f>
        <v>-</v>
      </c>
      <c r="I637" s="38">
        <f>IFERROR(COUNTIF([1]AdventureDiscoveryGroup!$D$8:$AW$92,표1[[#This Row],[명칭]]),"-")</f>
        <v>1</v>
      </c>
      <c r="J637" s="38">
        <f>IFERROR(COUNTIF([1]FishDiscoveryGroup!$A:$X,표1[[#This Row],[명칭]]),"-")</f>
        <v>0</v>
      </c>
      <c r="K637" s="38" t="str">
        <f>IFERROR(COUNTIF([2]Town!$B:$B,표1[[#This Row],[명칭]]),"-")</f>
        <v>-</v>
      </c>
      <c r="L637" s="38">
        <f>IFERROR(COUNTIF([1]Village!$BR:$BR,표1[[#This Row],[명칭]]),"-")</f>
        <v>0</v>
      </c>
      <c r="M637" s="38">
        <f>COUNTIF(퀘스트!B:B,표1[[#This Row],[명칭]])</f>
        <v>0</v>
      </c>
      <c r="N637" s="65">
        <f>COUNTIF([1]VillageDiscoveryGroup!$C:$C,표1[[#This Row],[명칭]])</f>
        <v>0</v>
      </c>
      <c r="O637" s="65">
        <f>SUM(표1[[#This Row],[해양탐색]:[마을탐험]])</f>
        <v>1</v>
      </c>
    </row>
    <row r="638" spans="2:15" ht="13.5" customHeight="1" x14ac:dyDescent="0.3">
      <c r="B638" s="9">
        <f>[1]Discovery!A644</f>
        <v>70405116</v>
      </c>
      <c r="C638" s="9" t="str">
        <f>[1]Discovery!B644</f>
        <v>홍학</v>
      </c>
      <c r="D638" s="9" t="str">
        <f>[1]Discovery!E644</f>
        <v>동물</v>
      </c>
      <c r="E638" s="9" t="str">
        <f>[1]Discovery!C644</f>
        <v>조류</v>
      </c>
      <c r="F638" s="9" t="str">
        <f>[1]Discovery!G644</f>
        <v>D</v>
      </c>
      <c r="G638" s="9" t="str">
        <f>IFERROR(VLOOKUP(표1[[#This Row],[명칭]],'문화권 정리'!C:D,2,FALSE),"-")</f>
        <v>북아프리카</v>
      </c>
      <c r="H638" s="38" t="str">
        <f>IFERROR(COUNTIF([2]OceanDoodad!$Y:$Y,표1[[#This Row],[명칭]]),"-")</f>
        <v>-</v>
      </c>
      <c r="I638" s="38">
        <f>IFERROR(COUNTIF([1]AdventureDiscoveryGroup!$D$8:$AW$92,표1[[#This Row],[명칭]]),"-")</f>
        <v>1</v>
      </c>
      <c r="J638" s="38">
        <f>IFERROR(COUNTIF([1]FishDiscoveryGroup!$A:$X,표1[[#This Row],[명칭]]),"-")</f>
        <v>0</v>
      </c>
      <c r="K638" s="38" t="str">
        <f>IFERROR(COUNTIF([2]Town!$B:$B,표1[[#This Row],[명칭]]),"-")</f>
        <v>-</v>
      </c>
      <c r="L638" s="38">
        <f>IFERROR(COUNTIF([1]Village!$BR:$BR,표1[[#This Row],[명칭]]),"-")</f>
        <v>0</v>
      </c>
      <c r="M638" s="38">
        <f>COUNTIF(퀘스트!B:B,표1[[#This Row],[명칭]])</f>
        <v>0</v>
      </c>
      <c r="N638" s="65">
        <f>COUNTIF([1]VillageDiscoveryGroup!$C:$C,표1[[#This Row],[명칭]])</f>
        <v>0</v>
      </c>
      <c r="O638" s="65">
        <f>SUM(표1[[#This Row],[해양탐색]:[마을탐험]])</f>
        <v>1</v>
      </c>
    </row>
    <row r="639" spans="2:15" ht="13.5" customHeight="1" x14ac:dyDescent="0.3">
      <c r="B639" s="9">
        <f>[1]Discovery!A645</f>
        <v>70405117</v>
      </c>
      <c r="C639" s="9" t="str">
        <f>[1]Discovery!B645</f>
        <v>후투티</v>
      </c>
      <c r="D639" s="9" t="str">
        <f>[1]Discovery!E645</f>
        <v>동물</v>
      </c>
      <c r="E639" s="9" t="str">
        <f>[1]Discovery!C645</f>
        <v>조류</v>
      </c>
      <c r="F639" s="9" t="str">
        <f>[1]Discovery!G645</f>
        <v>B</v>
      </c>
      <c r="G639" s="9" t="str">
        <f>IFERROR(VLOOKUP(표1[[#This Row],[명칭]],'문화권 정리'!C:D,2,FALSE),"-")</f>
        <v>남아프리카</v>
      </c>
      <c r="H639" s="38" t="str">
        <f>IFERROR(COUNTIF([2]OceanDoodad!$Y:$Y,표1[[#This Row],[명칭]]),"-")</f>
        <v>-</v>
      </c>
      <c r="I639" s="38">
        <f>IFERROR(COUNTIF([1]AdventureDiscoveryGroup!$D$8:$AW$92,표1[[#This Row],[명칭]]),"-")</f>
        <v>1</v>
      </c>
      <c r="J639" s="38">
        <f>IFERROR(COUNTIF([1]FishDiscoveryGroup!$A:$X,표1[[#This Row],[명칭]]),"-")</f>
        <v>0</v>
      </c>
      <c r="K639" s="38" t="str">
        <f>IFERROR(COUNTIF([2]Town!$B:$B,표1[[#This Row],[명칭]]),"-")</f>
        <v>-</v>
      </c>
      <c r="L639" s="38">
        <f>IFERROR(COUNTIF([1]Village!$BR:$BR,표1[[#This Row],[명칭]]),"-")</f>
        <v>0</v>
      </c>
      <c r="M639" s="38">
        <f>COUNTIF(퀘스트!B:B,표1[[#This Row],[명칭]])</f>
        <v>0</v>
      </c>
      <c r="N639" s="65">
        <f>COUNTIF([1]VillageDiscoveryGroup!$C:$C,표1[[#This Row],[명칭]])</f>
        <v>0</v>
      </c>
      <c r="O639" s="65">
        <f>SUM(표1[[#This Row],[해양탐색]:[마을탐험]])</f>
        <v>1</v>
      </c>
    </row>
    <row r="640" spans="2:15" ht="13.5" customHeight="1" x14ac:dyDescent="0.3">
      <c r="B640" s="9">
        <f>[1]Discovery!A646</f>
        <v>70405118</v>
      </c>
      <c r="C640" s="9" t="str">
        <f>[1]Discovery!B646</f>
        <v>훔볼트 펭귄</v>
      </c>
      <c r="D640" s="9" t="str">
        <f>[1]Discovery!E646</f>
        <v>동물</v>
      </c>
      <c r="E640" s="9" t="str">
        <f>[1]Discovery!C646</f>
        <v>조류</v>
      </c>
      <c r="F640" s="9" t="str">
        <f>[1]Discovery!G646</f>
        <v>B</v>
      </c>
      <c r="G640" s="9" t="str">
        <f>IFERROR(VLOOKUP(표1[[#This Row],[명칭]],'문화권 정리'!C:D,2,FALSE),"-")</f>
        <v>남아메리카</v>
      </c>
      <c r="H640" s="38" t="str">
        <f>IFERROR(COUNTIF([2]OceanDoodad!$Y:$Y,표1[[#This Row],[명칭]]),"-")</f>
        <v>-</v>
      </c>
      <c r="I640" s="38">
        <f>IFERROR(COUNTIF([1]AdventureDiscoveryGroup!$D$8:$AW$92,표1[[#This Row],[명칭]]),"-")</f>
        <v>0</v>
      </c>
      <c r="J640" s="38">
        <f>IFERROR(COUNTIF([1]FishDiscoveryGroup!$A:$X,표1[[#This Row],[명칭]]),"-")</f>
        <v>0</v>
      </c>
      <c r="K640" s="38" t="str">
        <f>IFERROR(COUNTIF([2]Town!$B:$B,표1[[#This Row],[명칭]]),"-")</f>
        <v>-</v>
      </c>
      <c r="L640" s="38">
        <f>IFERROR(COUNTIF([1]Village!$BR:$BR,표1[[#This Row],[명칭]]),"-")</f>
        <v>0</v>
      </c>
      <c r="M640" s="38">
        <f>COUNTIF(퀘스트!B:B,표1[[#This Row],[명칭]])</f>
        <v>0</v>
      </c>
      <c r="N640" s="65">
        <f>COUNTIF([1]VillageDiscoveryGroup!$C:$C,표1[[#This Row],[명칭]])</f>
        <v>0</v>
      </c>
      <c r="O640" s="65">
        <f>SUM(표1[[#This Row],[해양탐색]:[마을탐험]])</f>
        <v>0</v>
      </c>
    </row>
    <row r="641" spans="2:15" ht="13.5" customHeight="1" x14ac:dyDescent="0.3">
      <c r="B641" s="9">
        <f>[1]Discovery!A647</f>
        <v>70405119</v>
      </c>
      <c r="C641" s="9" t="str">
        <f>[1]Discovery!B647</f>
        <v>휘파람새</v>
      </c>
      <c r="D641" s="9" t="str">
        <f>[1]Discovery!E647</f>
        <v>동물</v>
      </c>
      <c r="E641" s="9" t="str">
        <f>[1]Discovery!C647</f>
        <v>조류</v>
      </c>
      <c r="F641" s="9" t="str">
        <f>[1]Discovery!G647</f>
        <v>A</v>
      </c>
      <c r="G641" s="9" t="str">
        <f>IFERROR(VLOOKUP(표1[[#This Row],[명칭]],'문화권 정리'!C:D,2,FALSE),"-")</f>
        <v>동아시아</v>
      </c>
      <c r="H641" s="38" t="str">
        <f>IFERROR(COUNTIF([2]OceanDoodad!$Y:$Y,표1[[#This Row],[명칭]]),"-")</f>
        <v>-</v>
      </c>
      <c r="I641" s="38">
        <f>IFERROR(COUNTIF([1]AdventureDiscoveryGroup!$D$8:$AW$92,표1[[#This Row],[명칭]]),"-")</f>
        <v>1</v>
      </c>
      <c r="J641" s="38">
        <f>IFERROR(COUNTIF([1]FishDiscoveryGroup!$A:$X,표1[[#This Row],[명칭]]),"-")</f>
        <v>0</v>
      </c>
      <c r="K641" s="38" t="str">
        <f>IFERROR(COUNTIF([2]Town!$B:$B,표1[[#This Row],[명칭]]),"-")</f>
        <v>-</v>
      </c>
      <c r="L641" s="38">
        <f>IFERROR(COUNTIF([1]Village!$BR:$BR,표1[[#This Row],[명칭]]),"-")</f>
        <v>0</v>
      </c>
      <c r="M641" s="38">
        <f>COUNTIF(퀘스트!B:B,표1[[#This Row],[명칭]])</f>
        <v>0</v>
      </c>
      <c r="N641" s="65">
        <f>COUNTIF([1]VillageDiscoveryGroup!$C:$C,표1[[#This Row],[명칭]])</f>
        <v>0</v>
      </c>
      <c r="O641" s="65">
        <f>SUM(표1[[#This Row],[해양탐색]:[마을탐험]])</f>
        <v>1</v>
      </c>
    </row>
    <row r="642" spans="2:15" ht="13.5" customHeight="1" x14ac:dyDescent="0.3">
      <c r="B642" s="9">
        <f>[1]Discovery!A648</f>
        <v>70405120</v>
      </c>
      <c r="C642" s="9" t="str">
        <f>[1]Discovery!B648</f>
        <v>흑고니</v>
      </c>
      <c r="D642" s="9" t="str">
        <f>[1]Discovery!E648</f>
        <v>동물</v>
      </c>
      <c r="E642" s="9" t="str">
        <f>[1]Discovery!C648</f>
        <v>조류</v>
      </c>
      <c r="F642" s="9" t="str">
        <f>[1]Discovery!G648</f>
        <v>C</v>
      </c>
      <c r="G642" s="9" t="str">
        <f>IFERROR(VLOOKUP(표1[[#This Row],[명칭]],'문화권 정리'!C:D,2,FALSE),"-")</f>
        <v>오세아니아</v>
      </c>
      <c r="H642" s="38" t="str">
        <f>IFERROR(COUNTIF([2]OceanDoodad!$Y:$Y,표1[[#This Row],[명칭]]),"-")</f>
        <v>-</v>
      </c>
      <c r="I642" s="38">
        <f>IFERROR(COUNTIF([1]AdventureDiscoveryGroup!$D$8:$AW$92,표1[[#This Row],[명칭]]),"-")</f>
        <v>1</v>
      </c>
      <c r="J642" s="38">
        <f>IFERROR(COUNTIF([1]FishDiscoveryGroup!$A:$X,표1[[#This Row],[명칭]]),"-")</f>
        <v>0</v>
      </c>
      <c r="K642" s="38" t="str">
        <f>IFERROR(COUNTIF([2]Town!$B:$B,표1[[#This Row],[명칭]]),"-")</f>
        <v>-</v>
      </c>
      <c r="L642" s="38">
        <f>IFERROR(COUNTIF([1]Village!$BR:$BR,표1[[#This Row],[명칭]]),"-")</f>
        <v>0</v>
      </c>
      <c r="M642" s="38">
        <f>COUNTIF(퀘스트!B:B,표1[[#This Row],[명칭]])</f>
        <v>0</v>
      </c>
      <c r="N642" s="65">
        <f>COUNTIF([1]VillageDiscoveryGroup!$C:$C,표1[[#This Row],[명칭]])</f>
        <v>0</v>
      </c>
      <c r="O642" s="65">
        <f>SUM(표1[[#This Row],[해양탐색]:[마을탐험]])</f>
        <v>1</v>
      </c>
    </row>
    <row r="643" spans="2:15" ht="13.5" customHeight="1" x14ac:dyDescent="0.3">
      <c r="B643" s="9">
        <f>[1]Discovery!A649</f>
        <v>70405121</v>
      </c>
      <c r="C643" s="9" t="str">
        <f>[1]Discovery!B649</f>
        <v>흡혈 핀치</v>
      </c>
      <c r="D643" s="9" t="str">
        <f>[1]Discovery!E649</f>
        <v>동물</v>
      </c>
      <c r="E643" s="9" t="str">
        <f>[1]Discovery!C649</f>
        <v>조류</v>
      </c>
      <c r="F643" s="9" t="str">
        <f>[1]Discovery!G649</f>
        <v>D</v>
      </c>
      <c r="G643" s="9" t="str">
        <f>IFERROR(VLOOKUP(표1[[#This Row],[명칭]],'문화권 정리'!C:D,2,FALSE),"-")</f>
        <v>남아메리카</v>
      </c>
      <c r="H643" s="38" t="str">
        <f>IFERROR(COUNTIF([2]OceanDoodad!$Y:$Y,표1[[#This Row],[명칭]]),"-")</f>
        <v>-</v>
      </c>
      <c r="I643" s="38">
        <f>IFERROR(COUNTIF([1]AdventureDiscoveryGroup!$D$8:$AW$92,표1[[#This Row],[명칭]]),"-")</f>
        <v>1</v>
      </c>
      <c r="J643" s="38">
        <f>IFERROR(COUNTIF([1]FishDiscoveryGroup!$A:$X,표1[[#This Row],[명칭]]),"-")</f>
        <v>0</v>
      </c>
      <c r="K643" s="38" t="str">
        <f>IFERROR(COUNTIF([2]Town!$B:$B,표1[[#This Row],[명칭]]),"-")</f>
        <v>-</v>
      </c>
      <c r="L643" s="38">
        <f>IFERROR(COUNTIF([1]Village!$BR:$BR,표1[[#This Row],[명칭]]),"-")</f>
        <v>0</v>
      </c>
      <c r="M643" s="38">
        <f>COUNTIF(퀘스트!B:B,표1[[#This Row],[명칭]])</f>
        <v>0</v>
      </c>
      <c r="N643" s="65">
        <f>COUNTIF([1]VillageDiscoveryGroup!$C:$C,표1[[#This Row],[명칭]])</f>
        <v>0</v>
      </c>
      <c r="O643" s="65">
        <f>SUM(표1[[#This Row],[해양탐색]:[마을탐험]])</f>
        <v>1</v>
      </c>
    </row>
    <row r="644" spans="2:15" ht="13.5" customHeight="1" x14ac:dyDescent="0.3">
      <c r="B644" s="9">
        <f>[1]Discovery!A650</f>
        <v>70405122</v>
      </c>
      <c r="C644" s="9" t="str">
        <f>[1]Discovery!B650</f>
        <v>흰눈썹 뜸부기</v>
      </c>
      <c r="D644" s="9" t="str">
        <f>[1]Discovery!E650</f>
        <v>동물</v>
      </c>
      <c r="E644" s="9" t="str">
        <f>[1]Discovery!C650</f>
        <v>조류</v>
      </c>
      <c r="F644" s="9" t="str">
        <f>[1]Discovery!G650</f>
        <v>B</v>
      </c>
      <c r="G644" s="9" t="str">
        <f>IFERROR(VLOOKUP(표1[[#This Row],[명칭]],'문화권 정리'!C:D,2,FALSE),"-")</f>
        <v>동아시아</v>
      </c>
      <c r="H644" s="38" t="str">
        <f>IFERROR(COUNTIF([2]OceanDoodad!$Y:$Y,표1[[#This Row],[명칭]]),"-")</f>
        <v>-</v>
      </c>
      <c r="I644" s="38">
        <f>IFERROR(COUNTIF([1]AdventureDiscoveryGroup!$D$8:$AW$92,표1[[#This Row],[명칭]]),"-")</f>
        <v>1</v>
      </c>
      <c r="J644" s="38">
        <f>IFERROR(COUNTIF([1]FishDiscoveryGroup!$A:$X,표1[[#This Row],[명칭]]),"-")</f>
        <v>0</v>
      </c>
      <c r="K644" s="38" t="str">
        <f>IFERROR(COUNTIF([2]Town!$B:$B,표1[[#This Row],[명칭]]),"-")</f>
        <v>-</v>
      </c>
      <c r="L644" s="38">
        <f>IFERROR(COUNTIF([1]Village!$BR:$BR,표1[[#This Row],[명칭]]),"-")</f>
        <v>0</v>
      </c>
      <c r="M644" s="38">
        <f>COUNTIF(퀘스트!B:B,표1[[#This Row],[명칭]])</f>
        <v>0</v>
      </c>
      <c r="N644" s="65">
        <f>COUNTIF([1]VillageDiscoveryGroup!$C:$C,표1[[#This Row],[명칭]])</f>
        <v>0</v>
      </c>
      <c r="O644" s="65">
        <f>SUM(표1[[#This Row],[해양탐색]:[마을탐험]])</f>
        <v>1</v>
      </c>
    </row>
    <row r="645" spans="2:15" ht="13.5" customHeight="1" x14ac:dyDescent="0.3">
      <c r="B645" s="9">
        <f>[1]Discovery!A651</f>
        <v>70405123</v>
      </c>
      <c r="C645" s="9" t="str">
        <f>[1]Discovery!B651</f>
        <v>흰눈썹붉은배지빠귀</v>
      </c>
      <c r="D645" s="9" t="str">
        <f>[1]Discovery!E651</f>
        <v>동물</v>
      </c>
      <c r="E645" s="9" t="str">
        <f>[1]Discovery!C651</f>
        <v>조류</v>
      </c>
      <c r="F645" s="9" t="str">
        <f>[1]Discovery!G651</f>
        <v>B</v>
      </c>
      <c r="G645" s="9" t="str">
        <f>IFERROR(VLOOKUP(표1[[#This Row],[명칭]],'문화권 정리'!C:D,2,FALSE),"-")</f>
        <v>유라시아</v>
      </c>
      <c r="H645" s="38" t="str">
        <f>IFERROR(COUNTIF([2]OceanDoodad!$Y:$Y,표1[[#This Row],[명칭]]),"-")</f>
        <v>-</v>
      </c>
      <c r="I645" s="38">
        <f>IFERROR(COUNTIF([1]AdventureDiscoveryGroup!$D$8:$AW$92,표1[[#This Row],[명칭]]),"-")</f>
        <v>0</v>
      </c>
      <c r="J645" s="38">
        <f>IFERROR(COUNTIF([1]FishDiscoveryGroup!$A:$X,표1[[#This Row],[명칭]]),"-")</f>
        <v>0</v>
      </c>
      <c r="K645" s="38" t="str">
        <f>IFERROR(COUNTIF([2]Town!$B:$B,표1[[#This Row],[명칭]]),"-")</f>
        <v>-</v>
      </c>
      <c r="L645" s="38">
        <f>IFERROR(COUNTIF([1]Village!$BR:$BR,표1[[#This Row],[명칭]]),"-")</f>
        <v>0</v>
      </c>
      <c r="M645" s="38">
        <f>COUNTIF(퀘스트!B:B,표1[[#This Row],[명칭]])</f>
        <v>0</v>
      </c>
      <c r="N645" s="65">
        <f>COUNTIF([1]VillageDiscoveryGroup!$C:$C,표1[[#This Row],[명칭]])</f>
        <v>2</v>
      </c>
      <c r="O645" s="65">
        <f>SUM(표1[[#This Row],[해양탐색]:[마을탐험]])</f>
        <v>2</v>
      </c>
    </row>
    <row r="646" spans="2:15" ht="13.5" customHeight="1" x14ac:dyDescent="0.3">
      <c r="B646" s="9">
        <f>[1]Discovery!A652</f>
        <v>70405124</v>
      </c>
      <c r="C646" s="9" t="str">
        <f>[1]Discovery!B652</f>
        <v>흰눈썹지빠귀</v>
      </c>
      <c r="D646" s="9" t="str">
        <f>[1]Discovery!E652</f>
        <v>동물</v>
      </c>
      <c r="E646" s="9" t="str">
        <f>[1]Discovery!C652</f>
        <v>조류</v>
      </c>
      <c r="F646" s="9" t="str">
        <f>[1]Discovery!G652</f>
        <v>C</v>
      </c>
      <c r="G646" s="9" t="str">
        <f>IFERROR(VLOOKUP(표1[[#This Row],[명칭]],'문화권 정리'!C:D,2,FALSE),"-")</f>
        <v>동아시아</v>
      </c>
      <c r="H646" s="38" t="str">
        <f>IFERROR(COUNTIF([2]OceanDoodad!$Y:$Y,표1[[#This Row],[명칭]]),"-")</f>
        <v>-</v>
      </c>
      <c r="I646" s="38">
        <f>IFERROR(COUNTIF([1]AdventureDiscoveryGroup!$D$8:$AW$92,표1[[#This Row],[명칭]]),"-")</f>
        <v>1</v>
      </c>
      <c r="J646" s="38">
        <f>IFERROR(COUNTIF([1]FishDiscoveryGroup!$A:$X,표1[[#This Row],[명칭]]),"-")</f>
        <v>0</v>
      </c>
      <c r="K646" s="38" t="str">
        <f>IFERROR(COUNTIF([2]Town!$B:$B,표1[[#This Row],[명칭]]),"-")</f>
        <v>-</v>
      </c>
      <c r="L646" s="38">
        <f>IFERROR(COUNTIF([1]Village!$BR:$BR,표1[[#This Row],[명칭]]),"-")</f>
        <v>0</v>
      </c>
      <c r="M646" s="38">
        <f>COUNTIF(퀘스트!B:B,표1[[#This Row],[명칭]])</f>
        <v>0</v>
      </c>
      <c r="N646" s="65">
        <f>COUNTIF([1]VillageDiscoveryGroup!$C:$C,표1[[#This Row],[명칭]])</f>
        <v>0</v>
      </c>
      <c r="O646" s="65">
        <f>SUM(표1[[#This Row],[해양탐색]:[마을탐험]])</f>
        <v>1</v>
      </c>
    </row>
    <row r="647" spans="2:15" ht="13.5" customHeight="1" x14ac:dyDescent="0.3">
      <c r="B647" s="9">
        <f>[1]Discovery!A653</f>
        <v>70405125</v>
      </c>
      <c r="C647" s="9" t="str">
        <f>[1]Discovery!B653</f>
        <v>흰머리독수리</v>
      </c>
      <c r="D647" s="9" t="str">
        <f>[1]Discovery!E653</f>
        <v>동물</v>
      </c>
      <c r="E647" s="9" t="str">
        <f>[1]Discovery!C653</f>
        <v>조류</v>
      </c>
      <c r="F647" s="9" t="str">
        <f>[1]Discovery!G653</f>
        <v>A</v>
      </c>
      <c r="G647" s="9" t="str">
        <f>IFERROR(VLOOKUP(표1[[#This Row],[명칭]],'문화권 정리'!C:D,2,FALSE),"-")</f>
        <v>북아메리카</v>
      </c>
      <c r="H647" s="38" t="str">
        <f>IFERROR(COUNTIF([2]OceanDoodad!$Y:$Y,표1[[#This Row],[명칭]]),"-")</f>
        <v>-</v>
      </c>
      <c r="I647" s="38">
        <f>IFERROR(COUNTIF([1]AdventureDiscoveryGroup!$D$8:$AW$92,표1[[#This Row],[명칭]]),"-")</f>
        <v>1</v>
      </c>
      <c r="J647" s="38">
        <f>IFERROR(COUNTIF([1]FishDiscoveryGroup!$A:$X,표1[[#This Row],[명칭]]),"-")</f>
        <v>0</v>
      </c>
      <c r="K647" s="38" t="str">
        <f>IFERROR(COUNTIF([2]Town!$B:$B,표1[[#This Row],[명칭]]),"-")</f>
        <v>-</v>
      </c>
      <c r="L647" s="38">
        <f>IFERROR(COUNTIF([1]Village!$BR:$BR,표1[[#This Row],[명칭]]),"-")</f>
        <v>0</v>
      </c>
      <c r="M647" s="38">
        <f>COUNTIF(퀘스트!B:B,표1[[#This Row],[명칭]])</f>
        <v>0</v>
      </c>
      <c r="N647" s="65">
        <f>COUNTIF([1]VillageDiscoveryGroup!$C:$C,표1[[#This Row],[명칭]])</f>
        <v>0</v>
      </c>
      <c r="O647" s="65">
        <f>SUM(표1[[#This Row],[해양탐색]:[마을탐험]])</f>
        <v>1</v>
      </c>
    </row>
    <row r="648" spans="2:15" ht="13.5" customHeight="1" x14ac:dyDescent="0.3">
      <c r="B648" s="9">
        <f>[1]Discovery!A654</f>
        <v>70405126</v>
      </c>
      <c r="C648" s="9" t="str">
        <f>[1]Discovery!B654</f>
        <v>흰부리딱따구리</v>
      </c>
      <c r="D648" s="9" t="str">
        <f>[1]Discovery!E654</f>
        <v>동물</v>
      </c>
      <c r="E648" s="9" t="str">
        <f>[1]Discovery!C654</f>
        <v>조류</v>
      </c>
      <c r="F648" s="9" t="str">
        <f>[1]Discovery!G654</f>
        <v>D</v>
      </c>
      <c r="G648" s="9" t="str">
        <f>IFERROR(VLOOKUP(표1[[#This Row],[명칭]],'문화권 정리'!C:D,2,FALSE),"-")</f>
        <v>북아메리카</v>
      </c>
      <c r="H648" s="38" t="str">
        <f>IFERROR(COUNTIF([2]OceanDoodad!$Y:$Y,표1[[#This Row],[명칭]]),"-")</f>
        <v>-</v>
      </c>
      <c r="I648" s="38">
        <f>IFERROR(COUNTIF([1]AdventureDiscoveryGroup!$D$8:$AW$92,표1[[#This Row],[명칭]]),"-")</f>
        <v>1</v>
      </c>
      <c r="J648" s="38">
        <f>IFERROR(COUNTIF([1]FishDiscoveryGroup!$A:$X,표1[[#This Row],[명칭]]),"-")</f>
        <v>0</v>
      </c>
      <c r="K648" s="38" t="str">
        <f>IFERROR(COUNTIF([2]Town!$B:$B,표1[[#This Row],[명칭]]),"-")</f>
        <v>-</v>
      </c>
      <c r="L648" s="38">
        <f>IFERROR(COUNTIF([1]Village!$BR:$BR,표1[[#This Row],[명칭]]),"-")</f>
        <v>0</v>
      </c>
      <c r="M648" s="38">
        <f>COUNTIF(퀘스트!B:B,표1[[#This Row],[명칭]])</f>
        <v>0</v>
      </c>
      <c r="N648" s="65">
        <f>COUNTIF([1]VillageDiscoveryGroup!$C:$C,표1[[#This Row],[명칭]])</f>
        <v>0</v>
      </c>
      <c r="O648" s="65">
        <f>SUM(표1[[#This Row],[해양탐색]:[마을탐험]])</f>
        <v>1</v>
      </c>
    </row>
    <row r="649" spans="2:15" ht="13.5" customHeight="1" x14ac:dyDescent="0.3">
      <c r="B649" s="9">
        <f>[1]Discovery!A655</f>
        <v>70405127</v>
      </c>
      <c r="C649" s="9" t="str">
        <f>[1]Discovery!B655</f>
        <v>흰올빼미</v>
      </c>
      <c r="D649" s="9" t="str">
        <f>[1]Discovery!E655</f>
        <v>동물</v>
      </c>
      <c r="E649" s="9" t="str">
        <f>[1]Discovery!C655</f>
        <v>조류</v>
      </c>
      <c r="F649" s="9" t="str">
        <f>[1]Discovery!G655</f>
        <v>A</v>
      </c>
      <c r="G649" s="9" t="str">
        <f>IFERROR(VLOOKUP(표1[[#This Row],[명칭]],'문화권 정리'!C:D,2,FALSE),"-")</f>
        <v>극지방</v>
      </c>
      <c r="H649" s="38" t="str">
        <f>IFERROR(COUNTIF([2]OceanDoodad!$Y:$Y,표1[[#This Row],[명칭]]),"-")</f>
        <v>-</v>
      </c>
      <c r="I649" s="38">
        <f>IFERROR(COUNTIF([1]AdventureDiscoveryGroup!$D$8:$AW$92,표1[[#This Row],[명칭]]),"-")</f>
        <v>1</v>
      </c>
      <c r="J649" s="38">
        <f>IFERROR(COUNTIF([1]FishDiscoveryGroup!$A:$X,표1[[#This Row],[명칭]]),"-")</f>
        <v>0</v>
      </c>
      <c r="K649" s="38" t="str">
        <f>IFERROR(COUNTIF([2]Town!$B:$B,표1[[#This Row],[명칭]]),"-")</f>
        <v>-</v>
      </c>
      <c r="L649" s="38">
        <f>IFERROR(COUNTIF([1]Village!$BR:$BR,표1[[#This Row],[명칭]]),"-")</f>
        <v>0</v>
      </c>
      <c r="M649" s="38">
        <f>COUNTIF(퀘스트!B:B,표1[[#This Row],[명칭]])</f>
        <v>0</v>
      </c>
      <c r="N649" s="65">
        <f>COUNTIF([1]VillageDiscoveryGroup!$C:$C,표1[[#This Row],[명칭]])</f>
        <v>0</v>
      </c>
      <c r="O649" s="65">
        <f>SUM(표1[[#This Row],[해양탐색]:[마을탐험]])</f>
        <v>1</v>
      </c>
    </row>
    <row r="650" spans="2:15" ht="13.5" customHeight="1" x14ac:dyDescent="0.3">
      <c r="B650" s="9">
        <f>[1]Discovery!A656</f>
        <v>70406000</v>
      </c>
      <c r="C650" s="9" t="str">
        <f>[1]Discovery!B656</f>
        <v>가시두더지</v>
      </c>
      <c r="D650" s="9" t="str">
        <f>[1]Discovery!E656</f>
        <v>동물</v>
      </c>
      <c r="E650" s="9" t="str">
        <f>[1]Discovery!C656</f>
        <v>포유류</v>
      </c>
      <c r="F650" s="9" t="str">
        <f>[1]Discovery!G656</f>
        <v>C</v>
      </c>
      <c r="G650" s="9" t="str">
        <f>IFERROR(VLOOKUP(표1[[#This Row],[명칭]],'문화권 정리'!C:D,2,FALSE),"-")</f>
        <v>오세아니아</v>
      </c>
      <c r="H650" s="38" t="str">
        <f>IFERROR(COUNTIF([2]OceanDoodad!$Y:$Y,표1[[#This Row],[명칭]]),"-")</f>
        <v>-</v>
      </c>
      <c r="I650" s="38">
        <f>IFERROR(COUNTIF([1]AdventureDiscoveryGroup!$D$8:$AW$92,표1[[#This Row],[명칭]]),"-")</f>
        <v>1</v>
      </c>
      <c r="J650" s="38">
        <f>IFERROR(COUNTIF([1]FishDiscoveryGroup!$A:$X,표1[[#This Row],[명칭]]),"-")</f>
        <v>0</v>
      </c>
      <c r="K650" s="38" t="str">
        <f>IFERROR(COUNTIF([2]Town!$B:$B,표1[[#This Row],[명칭]]),"-")</f>
        <v>-</v>
      </c>
      <c r="L650" s="38">
        <f>IFERROR(COUNTIF([1]Village!$BR:$BR,표1[[#This Row],[명칭]]),"-")</f>
        <v>0</v>
      </c>
      <c r="M650" s="38">
        <f>COUNTIF(퀘스트!B:B,표1[[#This Row],[명칭]])</f>
        <v>0</v>
      </c>
      <c r="N650" s="65">
        <f>COUNTIF([1]VillageDiscoveryGroup!$C:$C,표1[[#This Row],[명칭]])</f>
        <v>0</v>
      </c>
      <c r="O650" s="65">
        <f>SUM(표1[[#This Row],[해양탐색]:[마을탐험]])</f>
        <v>1</v>
      </c>
    </row>
    <row r="651" spans="2:15" ht="13.5" customHeight="1" x14ac:dyDescent="0.3">
      <c r="B651" s="9">
        <f>[1]Discovery!A657</f>
        <v>70406001</v>
      </c>
      <c r="C651" s="9" t="str">
        <f>[1]Discovery!B657</f>
        <v>가죽날개원숭이</v>
      </c>
      <c r="D651" s="9" t="str">
        <f>[1]Discovery!E657</f>
        <v>동물</v>
      </c>
      <c r="E651" s="9" t="str">
        <f>[1]Discovery!C657</f>
        <v>포유류</v>
      </c>
      <c r="F651" s="9" t="str">
        <f>[1]Discovery!G657</f>
        <v>A</v>
      </c>
      <c r="G651" s="9" t="str">
        <f>IFERROR(VLOOKUP(표1[[#This Row],[명칭]],'문화권 정리'!C:D,2,FALSE),"-")</f>
        <v>동남아시아</v>
      </c>
      <c r="H651" s="38" t="str">
        <f>IFERROR(COUNTIF([2]OceanDoodad!$Y:$Y,표1[[#This Row],[명칭]]),"-")</f>
        <v>-</v>
      </c>
      <c r="I651" s="38">
        <f>IFERROR(COUNTIF([1]AdventureDiscoveryGroup!$D$8:$AW$92,표1[[#This Row],[명칭]]),"-")</f>
        <v>1</v>
      </c>
      <c r="J651" s="38">
        <f>IFERROR(COUNTIF([1]FishDiscoveryGroup!$A:$X,표1[[#This Row],[명칭]]),"-")</f>
        <v>0</v>
      </c>
      <c r="K651" s="38" t="str">
        <f>IFERROR(COUNTIF([2]Town!$B:$B,표1[[#This Row],[명칭]]),"-")</f>
        <v>-</v>
      </c>
      <c r="L651" s="38">
        <f>IFERROR(COUNTIF([1]Village!$BR:$BR,표1[[#This Row],[명칭]]),"-")</f>
        <v>0</v>
      </c>
      <c r="M651" s="38">
        <f>COUNTIF(퀘스트!B:B,표1[[#This Row],[명칭]])</f>
        <v>0</v>
      </c>
      <c r="N651" s="65">
        <f>COUNTIF([1]VillageDiscoveryGroup!$C:$C,표1[[#This Row],[명칭]])</f>
        <v>0</v>
      </c>
      <c r="O651" s="65">
        <f>SUM(표1[[#This Row],[해양탐색]:[마을탐험]])</f>
        <v>1</v>
      </c>
    </row>
    <row r="652" spans="2:15" ht="13.5" customHeight="1" x14ac:dyDescent="0.3">
      <c r="B652" s="9">
        <f>[1]Discovery!A658</f>
        <v>70406002</v>
      </c>
      <c r="C652" s="9" t="str">
        <f>[1]Discovery!B658</f>
        <v>갈라고</v>
      </c>
      <c r="D652" s="9" t="str">
        <f>[1]Discovery!E658</f>
        <v>동물</v>
      </c>
      <c r="E652" s="9" t="str">
        <f>[1]Discovery!C658</f>
        <v>포유류</v>
      </c>
      <c r="F652" s="9" t="str">
        <f>[1]Discovery!G658</f>
        <v>S</v>
      </c>
      <c r="G652" s="9" t="str">
        <f>IFERROR(VLOOKUP(표1[[#This Row],[명칭]],'문화권 정리'!C:D,2,FALSE),"-")</f>
        <v>남아프리카</v>
      </c>
      <c r="H652" s="38" t="str">
        <f>IFERROR(COUNTIF([2]OceanDoodad!$Y:$Y,표1[[#This Row],[명칭]]),"-")</f>
        <v>-</v>
      </c>
      <c r="I652" s="38">
        <f>IFERROR(COUNTIF([1]AdventureDiscoveryGroup!$D$8:$AW$92,표1[[#This Row],[명칭]]),"-")</f>
        <v>1</v>
      </c>
      <c r="J652" s="38">
        <f>IFERROR(COUNTIF([1]FishDiscoveryGroup!$A:$X,표1[[#This Row],[명칭]]),"-")</f>
        <v>0</v>
      </c>
      <c r="K652" s="38" t="str">
        <f>IFERROR(COUNTIF([2]Town!$B:$B,표1[[#This Row],[명칭]]),"-")</f>
        <v>-</v>
      </c>
      <c r="L652" s="38">
        <f>IFERROR(COUNTIF([1]Village!$BR:$BR,표1[[#This Row],[명칭]]),"-")</f>
        <v>0</v>
      </c>
      <c r="M652" s="38">
        <f>COUNTIF(퀘스트!B:B,표1[[#This Row],[명칭]])</f>
        <v>0</v>
      </c>
      <c r="N652" s="65">
        <f>COUNTIF([1]VillageDiscoveryGroup!$C:$C,표1[[#This Row],[명칭]])</f>
        <v>0</v>
      </c>
      <c r="O652" s="65">
        <f>SUM(표1[[#This Row],[해양탐색]:[마을탐험]])</f>
        <v>1</v>
      </c>
    </row>
    <row r="653" spans="2:15" ht="13.5" customHeight="1" x14ac:dyDescent="0.3">
      <c r="B653" s="9">
        <f>[1]Discovery!A659</f>
        <v>70406003</v>
      </c>
      <c r="C653" s="9" t="str">
        <f>[1]Discovery!B659</f>
        <v>갈색나무뱀</v>
      </c>
      <c r="D653" s="9" t="str">
        <f>[1]Discovery!E659</f>
        <v>동물</v>
      </c>
      <c r="E653" s="9" t="str">
        <f>[1]Discovery!C659</f>
        <v>파충류</v>
      </c>
      <c r="F653" s="9" t="str">
        <f>[1]Discovery!G659</f>
        <v>D</v>
      </c>
      <c r="G653" s="9" t="str">
        <f>IFERROR(VLOOKUP(표1[[#This Row],[명칭]],'문화권 정리'!C:D,2,FALSE),"-")</f>
        <v>동남아시아</v>
      </c>
      <c r="H653" s="38" t="str">
        <f>IFERROR(COUNTIF([2]OceanDoodad!$Y:$Y,표1[[#This Row],[명칭]]),"-")</f>
        <v>-</v>
      </c>
      <c r="I653" s="38">
        <f>IFERROR(COUNTIF([1]AdventureDiscoveryGroup!$D$8:$AW$92,표1[[#This Row],[명칭]]),"-")</f>
        <v>1</v>
      </c>
      <c r="J653" s="38">
        <f>IFERROR(COUNTIF([1]FishDiscoveryGroup!$A:$X,표1[[#This Row],[명칭]]),"-")</f>
        <v>0</v>
      </c>
      <c r="K653" s="38" t="str">
        <f>IFERROR(COUNTIF([2]Town!$B:$B,표1[[#This Row],[명칭]]),"-")</f>
        <v>-</v>
      </c>
      <c r="L653" s="38">
        <f>IFERROR(COUNTIF([1]Village!$BR:$BR,표1[[#This Row],[명칭]]),"-")</f>
        <v>0</v>
      </c>
      <c r="M653" s="38">
        <f>COUNTIF(퀘스트!B:B,표1[[#This Row],[명칭]])</f>
        <v>0</v>
      </c>
      <c r="N653" s="65">
        <f>COUNTIF([1]VillageDiscoveryGroup!$C:$C,표1[[#This Row],[명칭]])</f>
        <v>0</v>
      </c>
      <c r="O653" s="65">
        <f>SUM(표1[[#This Row],[해양탐색]:[마을탐험]])</f>
        <v>1</v>
      </c>
    </row>
    <row r="654" spans="2:15" ht="13.5" customHeight="1" x14ac:dyDescent="0.3">
      <c r="B654" s="9">
        <f>[1]Discovery!A660</f>
        <v>70406004</v>
      </c>
      <c r="C654" s="9" t="str">
        <f>[1]Discovery!B660</f>
        <v>갈색은둔거미</v>
      </c>
      <c r="D654" s="9" t="str">
        <f>[1]Discovery!E660</f>
        <v>동물</v>
      </c>
      <c r="E654" s="9" t="str">
        <f>[1]Discovery!C660</f>
        <v>무척추동물</v>
      </c>
      <c r="F654" s="9" t="str">
        <f>[1]Discovery!G660</f>
        <v>A</v>
      </c>
      <c r="G654" s="9" t="str">
        <f>IFERROR(VLOOKUP(표1[[#This Row],[명칭]],'문화권 정리'!C:D,2,FALSE),"-")</f>
        <v>북아메리카</v>
      </c>
      <c r="H654" s="38" t="str">
        <f>IFERROR(COUNTIF([2]OceanDoodad!$Y:$Y,표1[[#This Row],[명칭]]),"-")</f>
        <v>-</v>
      </c>
      <c r="I654" s="38">
        <f>IFERROR(COUNTIF([1]AdventureDiscoveryGroup!$D$8:$AW$92,표1[[#This Row],[명칭]]),"-")</f>
        <v>0</v>
      </c>
      <c r="J654" s="38">
        <f>IFERROR(COUNTIF([1]FishDiscoveryGroup!$A:$X,표1[[#This Row],[명칭]]),"-")</f>
        <v>0</v>
      </c>
      <c r="K654" s="38" t="str">
        <f>IFERROR(COUNTIF([2]Town!$B:$B,표1[[#This Row],[명칭]]),"-")</f>
        <v>-</v>
      </c>
      <c r="L654" s="38">
        <f>IFERROR(COUNTIF([1]Village!$BR:$BR,표1[[#This Row],[명칭]]),"-")</f>
        <v>0</v>
      </c>
      <c r="M654" s="38">
        <f>COUNTIF(퀘스트!B:B,표1[[#This Row],[명칭]])</f>
        <v>0</v>
      </c>
      <c r="N654" s="65">
        <f>COUNTIF([1]VillageDiscoveryGroup!$C:$C,표1[[#This Row],[명칭]])</f>
        <v>0</v>
      </c>
      <c r="O654" s="65">
        <f>SUM(표1[[#This Row],[해양탐색]:[마을탐험]])</f>
        <v>0</v>
      </c>
    </row>
    <row r="655" spans="2:15" ht="13.5" customHeight="1" x14ac:dyDescent="0.3">
      <c r="B655" s="9">
        <f>[1]Discovery!A661</f>
        <v>70406005</v>
      </c>
      <c r="C655" s="9" t="str">
        <f>[1]Discovery!B661</f>
        <v>거꾸로 개구리</v>
      </c>
      <c r="D655" s="9" t="str">
        <f>[1]Discovery!E661</f>
        <v>동물</v>
      </c>
      <c r="E655" s="9" t="str">
        <f>[1]Discovery!C661</f>
        <v>파충류</v>
      </c>
      <c r="F655" s="9" t="str">
        <f>[1]Discovery!G661</f>
        <v>A</v>
      </c>
      <c r="G655" s="9" t="str">
        <f>IFERROR(VLOOKUP(표1[[#This Row],[명칭]],'문화권 정리'!C:D,2,FALSE),"-")</f>
        <v>남아메리카</v>
      </c>
      <c r="H655" s="38" t="str">
        <f>IFERROR(COUNTIF([2]OceanDoodad!$Y:$Y,표1[[#This Row],[명칭]]),"-")</f>
        <v>-</v>
      </c>
      <c r="I655" s="38">
        <f>IFERROR(COUNTIF([1]AdventureDiscoveryGroup!$D$8:$AW$92,표1[[#This Row],[명칭]]),"-")</f>
        <v>1</v>
      </c>
      <c r="J655" s="38">
        <f>IFERROR(COUNTIF([1]FishDiscoveryGroup!$A:$X,표1[[#This Row],[명칭]]),"-")</f>
        <v>0</v>
      </c>
      <c r="K655" s="38" t="str">
        <f>IFERROR(COUNTIF([2]Town!$B:$B,표1[[#This Row],[명칭]]),"-")</f>
        <v>-</v>
      </c>
      <c r="L655" s="38">
        <f>IFERROR(COUNTIF([1]Village!$BR:$BR,표1[[#This Row],[명칭]]),"-")</f>
        <v>0</v>
      </c>
      <c r="M655" s="38">
        <f>COUNTIF(퀘스트!B:B,표1[[#This Row],[명칭]])</f>
        <v>0</v>
      </c>
      <c r="N655" s="65">
        <f>COUNTIF([1]VillageDiscoveryGroup!$C:$C,표1[[#This Row],[명칭]])</f>
        <v>0</v>
      </c>
      <c r="O655" s="65">
        <f>SUM(표1[[#This Row],[해양탐색]:[마을탐험]])</f>
        <v>1</v>
      </c>
    </row>
    <row r="656" spans="2:15" ht="13.5" customHeight="1" x14ac:dyDescent="0.3">
      <c r="B656" s="9">
        <f>[1]Discovery!A662</f>
        <v>70406006</v>
      </c>
      <c r="C656" s="9" t="str">
        <f>[1]Discovery!B662</f>
        <v>검은담비</v>
      </c>
      <c r="D656" s="9" t="str">
        <f>[1]Discovery!E662</f>
        <v>동물</v>
      </c>
      <c r="E656" s="9" t="str">
        <f>[1]Discovery!C662</f>
        <v>포유류</v>
      </c>
      <c r="F656" s="9" t="str">
        <f>[1]Discovery!G662</f>
        <v>S</v>
      </c>
      <c r="G656" s="9" t="str">
        <f>IFERROR(VLOOKUP(표1[[#This Row],[명칭]],'문화권 정리'!C:D,2,FALSE),"-")</f>
        <v>유라시아</v>
      </c>
      <c r="H656" s="38" t="str">
        <f>IFERROR(COUNTIF([2]OceanDoodad!$Y:$Y,표1[[#This Row],[명칭]]),"-")</f>
        <v>-</v>
      </c>
      <c r="I656" s="38">
        <f>IFERROR(COUNTIF([1]AdventureDiscoveryGroup!$D$8:$AW$92,표1[[#This Row],[명칭]]),"-")</f>
        <v>1</v>
      </c>
      <c r="J656" s="38">
        <f>IFERROR(COUNTIF([1]FishDiscoveryGroup!$A:$X,표1[[#This Row],[명칭]]),"-")</f>
        <v>0</v>
      </c>
      <c r="K656" s="38" t="str">
        <f>IFERROR(COUNTIF([2]Town!$B:$B,표1[[#This Row],[명칭]]),"-")</f>
        <v>-</v>
      </c>
      <c r="L656" s="38">
        <f>IFERROR(COUNTIF([1]Village!$BR:$BR,표1[[#This Row],[명칭]]),"-")</f>
        <v>0</v>
      </c>
      <c r="M656" s="38">
        <f>COUNTIF(퀘스트!B:B,표1[[#This Row],[명칭]])</f>
        <v>0</v>
      </c>
      <c r="N656" s="65">
        <f>COUNTIF([1]VillageDiscoveryGroup!$C:$C,표1[[#This Row],[명칭]])</f>
        <v>0</v>
      </c>
      <c r="O656" s="65">
        <f>SUM(표1[[#This Row],[해양탐색]:[마을탐험]])</f>
        <v>1</v>
      </c>
    </row>
    <row r="657" spans="2:15" ht="13.5" customHeight="1" x14ac:dyDescent="0.3">
      <c r="B657" s="9">
        <f>[1]Discovery!A663</f>
        <v>70406007</v>
      </c>
      <c r="C657" s="9" t="str">
        <f>[1]Discovery!B663</f>
        <v>검은맘바</v>
      </c>
      <c r="D657" s="9" t="str">
        <f>[1]Discovery!E663</f>
        <v>동물</v>
      </c>
      <c r="E657" s="9" t="str">
        <f>[1]Discovery!C663</f>
        <v>파충류</v>
      </c>
      <c r="F657" s="9" t="str">
        <f>[1]Discovery!G663</f>
        <v>S</v>
      </c>
      <c r="G657" s="9" t="str">
        <f>IFERROR(VLOOKUP(표1[[#This Row],[명칭]],'문화권 정리'!C:D,2,FALSE),"-")</f>
        <v>서아프리카</v>
      </c>
      <c r="H657" s="38" t="str">
        <f>IFERROR(COUNTIF([2]OceanDoodad!$Y:$Y,표1[[#This Row],[명칭]]),"-")</f>
        <v>-</v>
      </c>
      <c r="I657" s="38">
        <f>IFERROR(COUNTIF([1]AdventureDiscoveryGroup!$D$8:$AW$92,표1[[#This Row],[명칭]]),"-")</f>
        <v>0</v>
      </c>
      <c r="J657" s="38">
        <f>IFERROR(COUNTIF([1]FishDiscoveryGroup!$A:$X,표1[[#This Row],[명칭]]),"-")</f>
        <v>0</v>
      </c>
      <c r="K657" s="38" t="str">
        <f>IFERROR(COUNTIF([2]Town!$B:$B,표1[[#This Row],[명칭]]),"-")</f>
        <v>-</v>
      </c>
      <c r="L657" s="38">
        <f>IFERROR(COUNTIF([1]Village!$BR:$BR,표1[[#This Row],[명칭]]),"-")</f>
        <v>0</v>
      </c>
      <c r="M657" s="38">
        <f>COUNTIF(퀘스트!B:B,표1[[#This Row],[명칭]])</f>
        <v>0</v>
      </c>
      <c r="N657" s="65">
        <f>COUNTIF([1]VillageDiscoveryGroup!$C:$C,표1[[#This Row],[명칭]])</f>
        <v>0</v>
      </c>
      <c r="O657" s="65">
        <f>SUM(표1[[#This Row],[해양탐색]:[마을탐험]])</f>
        <v>0</v>
      </c>
    </row>
    <row r="658" spans="2:15" ht="13.5" customHeight="1" x14ac:dyDescent="0.3">
      <c r="B658" s="9">
        <f>[1]Discovery!A664</f>
        <v>70406008</v>
      </c>
      <c r="C658" s="9" t="str">
        <f>[1]Discovery!B664</f>
        <v>검은발고양이</v>
      </c>
      <c r="D658" s="9" t="str">
        <f>[1]Discovery!E664</f>
        <v>동물</v>
      </c>
      <c r="E658" s="9" t="str">
        <f>[1]Discovery!C664</f>
        <v>포유류</v>
      </c>
      <c r="F658" s="9" t="str">
        <f>[1]Discovery!G664</f>
        <v>B</v>
      </c>
      <c r="G658" s="9" t="str">
        <f>IFERROR(VLOOKUP(표1[[#This Row],[명칭]],'문화권 정리'!C:D,2,FALSE),"-")</f>
        <v>남아프리카</v>
      </c>
      <c r="H658" s="38" t="str">
        <f>IFERROR(COUNTIF([2]OceanDoodad!$Y:$Y,표1[[#This Row],[명칭]]),"-")</f>
        <v>-</v>
      </c>
      <c r="I658" s="38">
        <f>IFERROR(COUNTIF([1]AdventureDiscoveryGroup!$D$8:$AW$92,표1[[#This Row],[명칭]]),"-")</f>
        <v>0</v>
      </c>
      <c r="J658" s="38">
        <f>IFERROR(COUNTIF([1]FishDiscoveryGroup!$A:$X,표1[[#This Row],[명칭]]),"-")</f>
        <v>0</v>
      </c>
      <c r="K658" s="38" t="str">
        <f>IFERROR(COUNTIF([2]Town!$B:$B,표1[[#This Row],[명칭]]),"-")</f>
        <v>-</v>
      </c>
      <c r="L658" s="38">
        <f>IFERROR(COUNTIF([1]Village!$BR:$BR,표1[[#This Row],[명칭]]),"-")</f>
        <v>0</v>
      </c>
      <c r="M658" s="38">
        <f>COUNTIF(퀘스트!B:B,표1[[#This Row],[명칭]])</f>
        <v>0</v>
      </c>
      <c r="N658" s="65">
        <f>COUNTIF([1]VillageDiscoveryGroup!$C:$C,표1[[#This Row],[명칭]])</f>
        <v>0</v>
      </c>
      <c r="O658" s="65">
        <f>SUM(표1[[#This Row],[해양탐색]:[마을탐험]])</f>
        <v>0</v>
      </c>
    </row>
    <row r="659" spans="2:15" ht="13.5" customHeight="1" x14ac:dyDescent="0.3">
      <c r="B659" s="9">
        <f>[1]Discovery!A665</f>
        <v>70406009</v>
      </c>
      <c r="C659" s="9" t="str">
        <f>[1]Discovery!B665</f>
        <v>겨울잠쥐</v>
      </c>
      <c r="D659" s="9" t="str">
        <f>[1]Discovery!E665</f>
        <v>동물</v>
      </c>
      <c r="E659" s="9" t="str">
        <f>[1]Discovery!C665</f>
        <v>포유류</v>
      </c>
      <c r="F659" s="9" t="str">
        <f>[1]Discovery!G665</f>
        <v>C</v>
      </c>
      <c r="G659" s="9" t="str">
        <f>IFERROR(VLOOKUP(표1[[#This Row],[명칭]],'문화권 정리'!C:D,2,FALSE),"-")</f>
        <v>동아시아</v>
      </c>
      <c r="H659" s="38" t="str">
        <f>IFERROR(COUNTIF([2]OceanDoodad!$Y:$Y,표1[[#This Row],[명칭]]),"-")</f>
        <v>-</v>
      </c>
      <c r="I659" s="38">
        <f>IFERROR(COUNTIF([1]AdventureDiscoveryGroup!$D$8:$AW$92,표1[[#This Row],[명칭]]),"-")</f>
        <v>1</v>
      </c>
      <c r="J659" s="38">
        <f>IFERROR(COUNTIF([1]FishDiscoveryGroup!$A:$X,표1[[#This Row],[명칭]]),"-")</f>
        <v>0</v>
      </c>
      <c r="K659" s="38" t="str">
        <f>IFERROR(COUNTIF([2]Town!$B:$B,표1[[#This Row],[명칭]]),"-")</f>
        <v>-</v>
      </c>
      <c r="L659" s="38">
        <f>IFERROR(COUNTIF([1]Village!$BR:$BR,표1[[#This Row],[명칭]]),"-")</f>
        <v>0</v>
      </c>
      <c r="M659" s="38">
        <f>COUNTIF(퀘스트!B:B,표1[[#This Row],[명칭]])</f>
        <v>0</v>
      </c>
      <c r="N659" s="65">
        <f>COUNTIF([1]VillageDiscoveryGroup!$C:$C,표1[[#This Row],[명칭]])</f>
        <v>0</v>
      </c>
      <c r="O659" s="65">
        <f>SUM(표1[[#This Row],[해양탐색]:[마을탐험]])</f>
        <v>1</v>
      </c>
    </row>
    <row r="660" spans="2:15" ht="13.5" customHeight="1" x14ac:dyDescent="0.3">
      <c r="B660" s="9">
        <f>[1]Discovery!A666</f>
        <v>70406010</v>
      </c>
      <c r="C660" s="9" t="str">
        <f>[1]Discovery!B666</f>
        <v>고슴도치</v>
      </c>
      <c r="D660" s="9" t="str">
        <f>[1]Discovery!E666</f>
        <v>동물</v>
      </c>
      <c r="E660" s="9" t="str">
        <f>[1]Discovery!C666</f>
        <v>포유류</v>
      </c>
      <c r="F660" s="9" t="str">
        <f>[1]Discovery!G666</f>
        <v>D</v>
      </c>
      <c r="G660" s="9" t="str">
        <f>IFERROR(VLOOKUP(표1[[#This Row],[명칭]],'문화권 정리'!C:D,2,FALSE),"-")</f>
        <v>지중해</v>
      </c>
      <c r="H660" s="38" t="str">
        <f>IFERROR(COUNTIF([2]OceanDoodad!$Y:$Y,표1[[#This Row],[명칭]]),"-")</f>
        <v>-</v>
      </c>
      <c r="I660" s="38">
        <f>IFERROR(COUNTIF([1]AdventureDiscoveryGroup!$D$8:$AW$92,표1[[#This Row],[명칭]]),"-")</f>
        <v>0</v>
      </c>
      <c r="J660" s="38">
        <f>IFERROR(COUNTIF([1]FishDiscoveryGroup!$A:$X,표1[[#This Row],[명칭]]),"-")</f>
        <v>0</v>
      </c>
      <c r="K660" s="38" t="str">
        <f>IFERROR(COUNTIF([2]Town!$B:$B,표1[[#This Row],[명칭]]),"-")</f>
        <v>-</v>
      </c>
      <c r="L660" s="38">
        <f>IFERROR(COUNTIF([1]Village!$BR:$BR,표1[[#This Row],[명칭]]),"-")</f>
        <v>0</v>
      </c>
      <c r="M660" s="38">
        <f>COUNTIF(퀘스트!B:B,표1[[#This Row],[명칭]])</f>
        <v>0</v>
      </c>
      <c r="N660" s="65">
        <f>COUNTIF([1]VillageDiscoveryGroup!$C:$C,표1[[#This Row],[명칭]])</f>
        <v>1</v>
      </c>
      <c r="O660" s="65">
        <f>SUM(표1[[#This Row],[해양탐색]:[마을탐험]])</f>
        <v>1</v>
      </c>
    </row>
    <row r="661" spans="2:15" ht="13.5" customHeight="1" x14ac:dyDescent="0.3">
      <c r="B661" s="9">
        <f>[1]Discovery!A667</f>
        <v>70406011</v>
      </c>
      <c r="C661" s="9" t="str">
        <f>[1]Discovery!B667</f>
        <v>관시 파카</v>
      </c>
      <c r="D661" s="9" t="str">
        <f>[1]Discovery!E667</f>
        <v>동물</v>
      </c>
      <c r="E661" s="9" t="str">
        <f>[1]Discovery!C667</f>
        <v>포유류</v>
      </c>
      <c r="F661" s="9" t="str">
        <f>[1]Discovery!G667</f>
        <v>A</v>
      </c>
      <c r="G661" s="9" t="str">
        <f>IFERROR(VLOOKUP(표1[[#This Row],[명칭]],'문화권 정리'!C:D,2,FALSE),"-")</f>
        <v>남아메리카</v>
      </c>
      <c r="H661" s="38" t="str">
        <f>IFERROR(COUNTIF([2]OceanDoodad!$Y:$Y,표1[[#This Row],[명칭]]),"-")</f>
        <v>-</v>
      </c>
      <c r="I661" s="38">
        <f>IFERROR(COUNTIF([1]AdventureDiscoveryGroup!$D$8:$AW$92,표1[[#This Row],[명칭]]),"-")</f>
        <v>1</v>
      </c>
      <c r="J661" s="38">
        <f>IFERROR(COUNTIF([1]FishDiscoveryGroup!$A:$X,표1[[#This Row],[명칭]]),"-")</f>
        <v>0</v>
      </c>
      <c r="K661" s="38" t="str">
        <f>IFERROR(COUNTIF([2]Town!$B:$B,표1[[#This Row],[명칭]]),"-")</f>
        <v>-</v>
      </c>
      <c r="L661" s="38">
        <f>IFERROR(COUNTIF([1]Village!$BR:$BR,표1[[#This Row],[명칭]]),"-")</f>
        <v>0</v>
      </c>
      <c r="M661" s="38">
        <f>COUNTIF(퀘스트!B:B,표1[[#This Row],[명칭]])</f>
        <v>0</v>
      </c>
      <c r="N661" s="65">
        <f>COUNTIF([1]VillageDiscoveryGroup!$C:$C,표1[[#This Row],[명칭]])</f>
        <v>0</v>
      </c>
      <c r="O661" s="65">
        <f>SUM(표1[[#This Row],[해양탐색]:[마을탐험]])</f>
        <v>1</v>
      </c>
    </row>
    <row r="662" spans="2:15" ht="13.5" customHeight="1" x14ac:dyDescent="0.3">
      <c r="B662" s="9">
        <f>[1]Discovery!A668</f>
        <v>70406012</v>
      </c>
      <c r="C662" s="9" t="str">
        <f>[1]Discovery!B668</f>
        <v>깡충토끼</v>
      </c>
      <c r="D662" s="9" t="str">
        <f>[1]Discovery!E668</f>
        <v>동물</v>
      </c>
      <c r="E662" s="9" t="str">
        <f>[1]Discovery!C668</f>
        <v>포유류</v>
      </c>
      <c r="F662" s="9" t="str">
        <f>[1]Discovery!G668</f>
        <v>C</v>
      </c>
      <c r="G662" s="9" t="str">
        <f>IFERROR(VLOOKUP(표1[[#This Row],[명칭]],'문화권 정리'!C:D,2,FALSE),"-")</f>
        <v>서아프리카</v>
      </c>
      <c r="H662" s="38" t="str">
        <f>IFERROR(COUNTIF([2]OceanDoodad!$Y:$Y,표1[[#This Row],[명칭]]),"-")</f>
        <v>-</v>
      </c>
      <c r="I662" s="38">
        <f>IFERROR(COUNTIF([1]AdventureDiscoveryGroup!$D$8:$AW$92,표1[[#This Row],[명칭]]),"-")</f>
        <v>0</v>
      </c>
      <c r="J662" s="38">
        <f>IFERROR(COUNTIF([1]FishDiscoveryGroup!$A:$X,표1[[#This Row],[명칭]]),"-")</f>
        <v>0</v>
      </c>
      <c r="K662" s="38" t="str">
        <f>IFERROR(COUNTIF([2]Town!$B:$B,표1[[#This Row],[명칭]]),"-")</f>
        <v>-</v>
      </c>
      <c r="L662" s="38">
        <f>IFERROR(COUNTIF([1]Village!$BR:$BR,표1[[#This Row],[명칭]]),"-")</f>
        <v>0</v>
      </c>
      <c r="M662" s="38">
        <f>COUNTIF(퀘스트!B:B,표1[[#This Row],[명칭]])</f>
        <v>0</v>
      </c>
      <c r="N662" s="65">
        <f>COUNTIF([1]VillageDiscoveryGroup!$C:$C,표1[[#This Row],[명칭]])</f>
        <v>1</v>
      </c>
      <c r="O662" s="65">
        <f>SUM(표1[[#This Row],[해양탐색]:[마을탐험]])</f>
        <v>1</v>
      </c>
    </row>
    <row r="663" spans="2:15" ht="13.5" customHeight="1" x14ac:dyDescent="0.3">
      <c r="B663" s="9">
        <f>[1]Discovery!A669</f>
        <v>70406013</v>
      </c>
      <c r="C663" s="9" t="str">
        <f>[1]Discovery!B669</f>
        <v>나무타기도마뱀</v>
      </c>
      <c r="D663" s="9" t="str">
        <f>[1]Discovery!E669</f>
        <v>동물</v>
      </c>
      <c r="E663" s="9" t="str">
        <f>[1]Discovery!C669</f>
        <v>파충류</v>
      </c>
      <c r="F663" s="9" t="str">
        <f>[1]Discovery!G669</f>
        <v>B</v>
      </c>
      <c r="G663" s="9" t="str">
        <f>IFERROR(VLOOKUP(표1[[#This Row],[명칭]],'문화권 정리'!C:D,2,FALSE),"-")</f>
        <v>동아시아</v>
      </c>
      <c r="H663" s="38" t="str">
        <f>IFERROR(COUNTIF([2]OceanDoodad!$Y:$Y,표1[[#This Row],[명칭]]),"-")</f>
        <v>-</v>
      </c>
      <c r="I663" s="38">
        <f>IFERROR(COUNTIF([1]AdventureDiscoveryGroup!$D$8:$AW$92,표1[[#This Row],[명칭]]),"-")</f>
        <v>1</v>
      </c>
      <c r="J663" s="38">
        <f>IFERROR(COUNTIF([1]FishDiscoveryGroup!$A:$X,표1[[#This Row],[명칭]]),"-")</f>
        <v>0</v>
      </c>
      <c r="K663" s="38" t="str">
        <f>IFERROR(COUNTIF([2]Town!$B:$B,표1[[#This Row],[명칭]]),"-")</f>
        <v>-</v>
      </c>
      <c r="L663" s="38">
        <f>IFERROR(COUNTIF([1]Village!$BR:$BR,표1[[#This Row],[명칭]]),"-")</f>
        <v>0</v>
      </c>
      <c r="M663" s="38">
        <f>COUNTIF(퀘스트!B:B,표1[[#This Row],[명칭]])</f>
        <v>0</v>
      </c>
      <c r="N663" s="65">
        <f>COUNTIF([1]VillageDiscoveryGroup!$C:$C,표1[[#This Row],[명칭]])</f>
        <v>0</v>
      </c>
      <c r="O663" s="65">
        <f>SUM(표1[[#This Row],[해양탐색]:[마을탐험]])</f>
        <v>1</v>
      </c>
    </row>
    <row r="664" spans="2:15" ht="13.5" customHeight="1" x14ac:dyDescent="0.3">
      <c r="B664" s="9">
        <f>[1]Discovery!A670</f>
        <v>70406014</v>
      </c>
      <c r="C664" s="9" t="str">
        <f>[1]Discovery!B670</f>
        <v>낙타거미</v>
      </c>
      <c r="D664" s="9" t="str">
        <f>[1]Discovery!E670</f>
        <v>동물</v>
      </c>
      <c r="E664" s="9" t="str">
        <f>[1]Discovery!C670</f>
        <v>무척추동물</v>
      </c>
      <c r="F664" s="9" t="str">
        <f>[1]Discovery!G670</f>
        <v>A</v>
      </c>
      <c r="G664" s="9" t="str">
        <f>IFERROR(VLOOKUP(표1[[#This Row],[명칭]],'문화권 정리'!C:D,2,FALSE),"-")</f>
        <v>북아프리카</v>
      </c>
      <c r="H664" s="38" t="str">
        <f>IFERROR(COUNTIF([2]OceanDoodad!$Y:$Y,표1[[#This Row],[명칭]]),"-")</f>
        <v>-</v>
      </c>
      <c r="I664" s="38">
        <f>IFERROR(COUNTIF([1]AdventureDiscoveryGroup!$D$8:$AW$92,표1[[#This Row],[명칭]]),"-")</f>
        <v>1</v>
      </c>
      <c r="J664" s="38">
        <f>IFERROR(COUNTIF([1]FishDiscoveryGroup!$A:$X,표1[[#This Row],[명칭]]),"-")</f>
        <v>0</v>
      </c>
      <c r="K664" s="38" t="str">
        <f>IFERROR(COUNTIF([2]Town!$B:$B,표1[[#This Row],[명칭]]),"-")</f>
        <v>-</v>
      </c>
      <c r="L664" s="38">
        <f>IFERROR(COUNTIF([1]Village!$BR:$BR,표1[[#This Row],[명칭]]),"-")</f>
        <v>0</v>
      </c>
      <c r="M664" s="38">
        <f>COUNTIF(퀘스트!B:B,표1[[#This Row],[명칭]])</f>
        <v>0</v>
      </c>
      <c r="N664" s="65">
        <f>COUNTIF([1]VillageDiscoveryGroup!$C:$C,표1[[#This Row],[명칭]])</f>
        <v>0</v>
      </c>
      <c r="O664" s="65">
        <f>SUM(표1[[#This Row],[해양탐색]:[마을탐험]])</f>
        <v>1</v>
      </c>
    </row>
    <row r="665" spans="2:15" ht="13.5" customHeight="1" x14ac:dyDescent="0.3">
      <c r="B665" s="9">
        <f>[1]Discovery!A671</f>
        <v>70406015</v>
      </c>
      <c r="C665" s="9" t="str">
        <f>[1]Discovery!B671</f>
        <v>날개구리</v>
      </c>
      <c r="D665" s="9" t="str">
        <f>[1]Discovery!E671</f>
        <v>동물</v>
      </c>
      <c r="E665" s="9" t="str">
        <f>[1]Discovery!C671</f>
        <v>파충류</v>
      </c>
      <c r="F665" s="9" t="str">
        <f>[1]Discovery!G671</f>
        <v>B</v>
      </c>
      <c r="G665" s="9" t="str">
        <f>IFERROR(VLOOKUP(표1[[#This Row],[명칭]],'문화권 정리'!C:D,2,FALSE),"-")</f>
        <v>동남아시아</v>
      </c>
      <c r="H665" s="38" t="str">
        <f>IFERROR(COUNTIF([2]OceanDoodad!$Y:$Y,표1[[#This Row],[명칭]]),"-")</f>
        <v>-</v>
      </c>
      <c r="I665" s="38">
        <f>IFERROR(COUNTIF([1]AdventureDiscoveryGroup!$D$8:$AW$92,표1[[#This Row],[명칭]]),"-")</f>
        <v>1</v>
      </c>
      <c r="J665" s="38">
        <f>IFERROR(COUNTIF([1]FishDiscoveryGroup!$A:$X,표1[[#This Row],[명칭]]),"-")</f>
        <v>0</v>
      </c>
      <c r="K665" s="38" t="str">
        <f>IFERROR(COUNTIF([2]Town!$B:$B,표1[[#This Row],[명칭]]),"-")</f>
        <v>-</v>
      </c>
      <c r="L665" s="38">
        <f>IFERROR(COUNTIF([1]Village!$BR:$BR,표1[[#This Row],[명칭]]),"-")</f>
        <v>0</v>
      </c>
      <c r="M665" s="38">
        <f>COUNTIF(퀘스트!B:B,표1[[#This Row],[명칭]])</f>
        <v>0</v>
      </c>
      <c r="N665" s="65">
        <f>COUNTIF([1]VillageDiscoveryGroup!$C:$C,표1[[#This Row],[명칭]])</f>
        <v>0</v>
      </c>
      <c r="O665" s="65">
        <f>SUM(표1[[#This Row],[해양탐색]:[마을탐험]])</f>
        <v>1</v>
      </c>
    </row>
    <row r="666" spans="2:15" ht="13.5" customHeight="1" x14ac:dyDescent="0.3">
      <c r="B666" s="9">
        <f>[1]Discovery!A672</f>
        <v>70406016</v>
      </c>
      <c r="C666" s="9" t="str">
        <f>[1]Discovery!B672</f>
        <v>날도마뱀</v>
      </c>
      <c r="D666" s="9" t="str">
        <f>[1]Discovery!E672</f>
        <v>동물</v>
      </c>
      <c r="E666" s="9" t="str">
        <f>[1]Discovery!C672</f>
        <v>파충류</v>
      </c>
      <c r="F666" s="9" t="str">
        <f>[1]Discovery!G672</f>
        <v>C</v>
      </c>
      <c r="G666" s="9" t="str">
        <f>IFERROR(VLOOKUP(표1[[#This Row],[명칭]],'문화권 정리'!C:D,2,FALSE),"-")</f>
        <v>동남아시아</v>
      </c>
      <c r="H666" s="38" t="str">
        <f>IFERROR(COUNTIF([2]OceanDoodad!$Y:$Y,표1[[#This Row],[명칭]]),"-")</f>
        <v>-</v>
      </c>
      <c r="I666" s="38">
        <f>IFERROR(COUNTIF([1]AdventureDiscoveryGroup!$D$8:$AW$92,표1[[#This Row],[명칭]]),"-")</f>
        <v>1</v>
      </c>
      <c r="J666" s="38">
        <f>IFERROR(COUNTIF([1]FishDiscoveryGroup!$A:$X,표1[[#This Row],[명칭]]),"-")</f>
        <v>0</v>
      </c>
      <c r="K666" s="38" t="str">
        <f>IFERROR(COUNTIF([2]Town!$B:$B,표1[[#This Row],[명칭]]),"-")</f>
        <v>-</v>
      </c>
      <c r="L666" s="38">
        <f>IFERROR(COUNTIF([1]Village!$BR:$BR,표1[[#This Row],[명칭]]),"-")</f>
        <v>0</v>
      </c>
      <c r="M666" s="38">
        <f>COUNTIF(퀘스트!B:B,표1[[#This Row],[명칭]])</f>
        <v>0</v>
      </c>
      <c r="N666" s="65">
        <f>COUNTIF([1]VillageDiscoveryGroup!$C:$C,표1[[#This Row],[명칭]])</f>
        <v>0</v>
      </c>
      <c r="O666" s="65">
        <f>SUM(표1[[#This Row],[해양탐색]:[마을탐험]])</f>
        <v>1</v>
      </c>
    </row>
    <row r="667" spans="2:15" ht="13.5" customHeight="1" x14ac:dyDescent="0.3">
      <c r="B667" s="9">
        <f>[1]Discovery!A673</f>
        <v>70406017</v>
      </c>
      <c r="C667" s="9" t="str">
        <f>[1]Discovery!B673</f>
        <v>날뱀</v>
      </c>
      <c r="D667" s="9" t="str">
        <f>[1]Discovery!E673</f>
        <v>동물</v>
      </c>
      <c r="E667" s="9" t="str">
        <f>[1]Discovery!C673</f>
        <v>파충류</v>
      </c>
      <c r="F667" s="9" t="str">
        <f>[1]Discovery!G673</f>
        <v>A</v>
      </c>
      <c r="G667" s="9" t="str">
        <f>IFERROR(VLOOKUP(표1[[#This Row],[명칭]],'문화권 정리'!C:D,2,FALSE),"-")</f>
        <v>동남아시아</v>
      </c>
      <c r="H667" s="38" t="str">
        <f>IFERROR(COUNTIF([2]OceanDoodad!$Y:$Y,표1[[#This Row],[명칭]]),"-")</f>
        <v>-</v>
      </c>
      <c r="I667" s="38">
        <f>IFERROR(COUNTIF([1]AdventureDiscoveryGroup!$D$8:$AW$92,표1[[#This Row],[명칭]]),"-")</f>
        <v>0</v>
      </c>
      <c r="J667" s="38">
        <f>IFERROR(COUNTIF([1]FishDiscoveryGroup!$A:$X,표1[[#This Row],[명칭]]),"-")</f>
        <v>0</v>
      </c>
      <c r="K667" s="38" t="str">
        <f>IFERROR(COUNTIF([2]Town!$B:$B,표1[[#This Row],[명칭]]),"-")</f>
        <v>-</v>
      </c>
      <c r="L667" s="38">
        <f>IFERROR(COUNTIF([1]Village!$BR:$BR,표1[[#This Row],[명칭]]),"-")</f>
        <v>0</v>
      </c>
      <c r="M667" s="38">
        <f>COUNTIF(퀘스트!B:B,표1[[#This Row],[명칭]])</f>
        <v>0</v>
      </c>
      <c r="N667" s="65">
        <f>COUNTIF([1]VillageDiscoveryGroup!$C:$C,표1[[#This Row],[명칭]])</f>
        <v>1</v>
      </c>
      <c r="O667" s="65">
        <f>SUM(표1[[#This Row],[해양탐색]:[마을탐험]])</f>
        <v>1</v>
      </c>
    </row>
    <row r="668" spans="2:15" ht="13.5" customHeight="1" x14ac:dyDescent="0.3">
      <c r="B668" s="9">
        <f>[1]Discovery!A674</f>
        <v>70406018</v>
      </c>
      <c r="C668" s="9" t="str">
        <f>[1]Discovery!B674</f>
        <v>다윈코개구리</v>
      </c>
      <c r="D668" s="9" t="str">
        <f>[1]Discovery!E674</f>
        <v>동물</v>
      </c>
      <c r="E668" s="9" t="str">
        <f>[1]Discovery!C674</f>
        <v>파충류</v>
      </c>
      <c r="F668" s="9" t="str">
        <f>[1]Discovery!G674</f>
        <v>B</v>
      </c>
      <c r="G668" s="9" t="str">
        <f>IFERROR(VLOOKUP(표1[[#This Row],[명칭]],'문화권 정리'!C:D,2,FALSE),"-")</f>
        <v>남아메리카</v>
      </c>
      <c r="H668" s="38" t="str">
        <f>IFERROR(COUNTIF([2]OceanDoodad!$Y:$Y,표1[[#This Row],[명칭]]),"-")</f>
        <v>-</v>
      </c>
      <c r="I668" s="38">
        <f>IFERROR(COUNTIF([1]AdventureDiscoveryGroup!$D$8:$AW$92,표1[[#This Row],[명칭]]),"-")</f>
        <v>1</v>
      </c>
      <c r="J668" s="38">
        <f>IFERROR(COUNTIF([1]FishDiscoveryGroup!$A:$X,표1[[#This Row],[명칭]]),"-")</f>
        <v>0</v>
      </c>
      <c r="K668" s="38" t="str">
        <f>IFERROR(COUNTIF([2]Town!$B:$B,표1[[#This Row],[명칭]]),"-")</f>
        <v>-</v>
      </c>
      <c r="L668" s="38">
        <f>IFERROR(COUNTIF([1]Village!$BR:$BR,표1[[#This Row],[명칭]]),"-")</f>
        <v>0</v>
      </c>
      <c r="M668" s="38">
        <f>COUNTIF(퀘스트!B:B,표1[[#This Row],[명칭]])</f>
        <v>0</v>
      </c>
      <c r="N668" s="65">
        <f>COUNTIF([1]VillageDiscoveryGroup!$C:$C,표1[[#This Row],[명칭]])</f>
        <v>0</v>
      </c>
      <c r="O668" s="65">
        <f>SUM(표1[[#This Row],[해양탐색]:[마을탐험]])</f>
        <v>1</v>
      </c>
    </row>
    <row r="669" spans="2:15" ht="13.5" customHeight="1" x14ac:dyDescent="0.3">
      <c r="B669" s="9">
        <f>[1]Discovery!A675</f>
        <v>70406019</v>
      </c>
      <c r="C669" s="9" t="str">
        <f>[1]Discovery!B675</f>
        <v>담비</v>
      </c>
      <c r="D669" s="9" t="str">
        <f>[1]Discovery!E675</f>
        <v>동물</v>
      </c>
      <c r="E669" s="9" t="str">
        <f>[1]Discovery!C675</f>
        <v>포유류</v>
      </c>
      <c r="F669" s="9" t="str">
        <f>[1]Discovery!G675</f>
        <v>B</v>
      </c>
      <c r="G669" s="9" t="str">
        <f>IFERROR(VLOOKUP(표1[[#This Row],[명칭]],'문화권 정리'!C:D,2,FALSE),"-")</f>
        <v>동남아시아</v>
      </c>
      <c r="H669" s="38" t="str">
        <f>IFERROR(COUNTIF([2]OceanDoodad!$Y:$Y,표1[[#This Row],[명칭]]),"-")</f>
        <v>-</v>
      </c>
      <c r="I669" s="38">
        <f>IFERROR(COUNTIF([1]AdventureDiscoveryGroup!$D$8:$AW$92,표1[[#This Row],[명칭]]),"-")</f>
        <v>0</v>
      </c>
      <c r="J669" s="38">
        <f>IFERROR(COUNTIF([1]FishDiscoveryGroup!$A:$X,표1[[#This Row],[명칭]]),"-")</f>
        <v>0</v>
      </c>
      <c r="K669" s="38" t="str">
        <f>IFERROR(COUNTIF([2]Town!$B:$B,표1[[#This Row],[명칭]]),"-")</f>
        <v>-</v>
      </c>
      <c r="L669" s="38">
        <f>IFERROR(COUNTIF([1]Village!$BR:$BR,표1[[#This Row],[명칭]]),"-")</f>
        <v>0</v>
      </c>
      <c r="M669" s="38">
        <f>COUNTIF(퀘스트!B:B,표1[[#This Row],[명칭]])</f>
        <v>0</v>
      </c>
      <c r="N669" s="65">
        <f>COUNTIF([1]VillageDiscoveryGroup!$C:$C,표1[[#This Row],[명칭]])</f>
        <v>1</v>
      </c>
      <c r="O669" s="65">
        <f>SUM(표1[[#This Row],[해양탐색]:[마을탐험]])</f>
        <v>1</v>
      </c>
    </row>
    <row r="670" spans="2:15" ht="13.5" customHeight="1" x14ac:dyDescent="0.3">
      <c r="B670" s="9">
        <f>[1]Discovery!A676</f>
        <v>70406020</v>
      </c>
      <c r="C670" s="9" t="str">
        <f>[1]Discovery!B676</f>
        <v>대모</v>
      </c>
      <c r="D670" s="9" t="str">
        <f>[1]Discovery!E676</f>
        <v>동물</v>
      </c>
      <c r="E670" s="9" t="str">
        <f>[1]Discovery!C676</f>
        <v>파충류</v>
      </c>
      <c r="F670" s="9" t="str">
        <f>[1]Discovery!G676</f>
        <v>S</v>
      </c>
      <c r="G670" s="9" t="str">
        <f>IFERROR(VLOOKUP(표1[[#This Row],[명칭]],'문화권 정리'!C:D,2,FALSE),"-")</f>
        <v>동남아시아</v>
      </c>
      <c r="H670" s="38" t="str">
        <f>IFERROR(COUNTIF([2]OceanDoodad!$Y:$Y,표1[[#This Row],[명칭]]),"-")</f>
        <v>-</v>
      </c>
      <c r="I670" s="38">
        <f>IFERROR(COUNTIF([1]AdventureDiscoveryGroup!$D$8:$AW$92,표1[[#This Row],[명칭]]),"-")</f>
        <v>0</v>
      </c>
      <c r="J670" s="38">
        <f>IFERROR(COUNTIF([1]FishDiscoveryGroup!$A:$X,표1[[#This Row],[명칭]]),"-")</f>
        <v>0</v>
      </c>
      <c r="K670" s="38" t="str">
        <f>IFERROR(COUNTIF([2]Town!$B:$B,표1[[#This Row],[명칭]]),"-")</f>
        <v>-</v>
      </c>
      <c r="L670" s="38">
        <f>IFERROR(COUNTIF([1]Village!$BR:$BR,표1[[#This Row],[명칭]]),"-")</f>
        <v>0</v>
      </c>
      <c r="M670" s="38">
        <f>COUNTIF(퀘스트!B:B,표1[[#This Row],[명칭]])</f>
        <v>0</v>
      </c>
      <c r="N670" s="65">
        <f>COUNTIF([1]VillageDiscoveryGroup!$C:$C,표1[[#This Row],[명칭]])</f>
        <v>1</v>
      </c>
      <c r="O670" s="65">
        <f>SUM(표1[[#This Row],[해양탐색]:[마을탐험]])</f>
        <v>1</v>
      </c>
    </row>
    <row r="671" spans="2:15" ht="13.5" customHeight="1" x14ac:dyDescent="0.3">
      <c r="B671" s="9">
        <f>[1]Discovery!A677</f>
        <v>70406021</v>
      </c>
      <c r="C671" s="9" t="str">
        <f>[1]Discovery!B677</f>
        <v>데구</v>
      </c>
      <c r="D671" s="9" t="str">
        <f>[1]Discovery!E677</f>
        <v>동물</v>
      </c>
      <c r="E671" s="9" t="str">
        <f>[1]Discovery!C677</f>
        <v>포유류</v>
      </c>
      <c r="F671" s="9" t="str">
        <f>[1]Discovery!G677</f>
        <v>C</v>
      </c>
      <c r="G671" s="9" t="str">
        <f>IFERROR(VLOOKUP(표1[[#This Row],[명칭]],'문화권 정리'!C:D,2,FALSE),"-")</f>
        <v>남아메리카</v>
      </c>
      <c r="H671" s="38" t="str">
        <f>IFERROR(COUNTIF([2]OceanDoodad!$Y:$Y,표1[[#This Row],[명칭]]),"-")</f>
        <v>-</v>
      </c>
      <c r="I671" s="38">
        <f>IFERROR(COUNTIF([1]AdventureDiscoveryGroup!$D$8:$AW$92,표1[[#This Row],[명칭]]),"-")</f>
        <v>1</v>
      </c>
      <c r="J671" s="38">
        <f>IFERROR(COUNTIF([1]FishDiscoveryGroup!$A:$X,표1[[#This Row],[명칭]]),"-")</f>
        <v>0</v>
      </c>
      <c r="K671" s="38" t="str">
        <f>IFERROR(COUNTIF([2]Town!$B:$B,표1[[#This Row],[명칭]]),"-")</f>
        <v>-</v>
      </c>
      <c r="L671" s="38">
        <f>IFERROR(COUNTIF([1]Village!$BR:$BR,표1[[#This Row],[명칭]]),"-")</f>
        <v>0</v>
      </c>
      <c r="M671" s="38">
        <f>COUNTIF(퀘스트!B:B,표1[[#This Row],[명칭]])</f>
        <v>0</v>
      </c>
      <c r="N671" s="65">
        <f>COUNTIF([1]VillageDiscoveryGroup!$C:$C,표1[[#This Row],[명칭]])</f>
        <v>0</v>
      </c>
      <c r="O671" s="65">
        <f>SUM(표1[[#This Row],[해양탐색]:[마을탐험]])</f>
        <v>1</v>
      </c>
    </row>
    <row r="672" spans="2:15" ht="13.5" customHeight="1" x14ac:dyDescent="0.3">
      <c r="B672" s="9">
        <f>[1]Discovery!A678</f>
        <v>70406022</v>
      </c>
      <c r="C672" s="9" t="str">
        <f>[1]Discovery!B678</f>
        <v>도마뱀붙이</v>
      </c>
      <c r="D672" s="9" t="str">
        <f>[1]Discovery!E678</f>
        <v>동물</v>
      </c>
      <c r="E672" s="9" t="str">
        <f>[1]Discovery!C678</f>
        <v>파충류</v>
      </c>
      <c r="F672" s="9" t="str">
        <f>[1]Discovery!G678</f>
        <v>A</v>
      </c>
      <c r="G672" s="9" t="str">
        <f>IFERROR(VLOOKUP(표1[[#This Row],[명칭]],'문화권 정리'!C:D,2,FALSE),"-")</f>
        <v>동아시아</v>
      </c>
      <c r="H672" s="38" t="str">
        <f>IFERROR(COUNTIF([2]OceanDoodad!$Y:$Y,표1[[#This Row],[명칭]]),"-")</f>
        <v>-</v>
      </c>
      <c r="I672" s="38">
        <f>IFERROR(COUNTIF([1]AdventureDiscoveryGroup!$D$8:$AW$92,표1[[#This Row],[명칭]]),"-")</f>
        <v>1</v>
      </c>
      <c r="J672" s="38">
        <f>IFERROR(COUNTIF([1]FishDiscoveryGroup!$A:$X,표1[[#This Row],[명칭]]),"-")</f>
        <v>0</v>
      </c>
      <c r="K672" s="38" t="str">
        <f>IFERROR(COUNTIF([2]Town!$B:$B,표1[[#This Row],[명칭]]),"-")</f>
        <v>-</v>
      </c>
      <c r="L672" s="38">
        <f>IFERROR(COUNTIF([1]Village!$BR:$BR,표1[[#This Row],[명칭]]),"-")</f>
        <v>0</v>
      </c>
      <c r="M672" s="38">
        <f>COUNTIF(퀘스트!B:B,표1[[#This Row],[명칭]])</f>
        <v>0</v>
      </c>
      <c r="N672" s="65">
        <f>COUNTIF([1]VillageDiscoveryGroup!$C:$C,표1[[#This Row],[명칭]])</f>
        <v>0</v>
      </c>
      <c r="O672" s="65">
        <f>SUM(표1[[#This Row],[해양탐색]:[마을탐험]])</f>
        <v>1</v>
      </c>
    </row>
    <row r="673" spans="2:15" ht="13.5" customHeight="1" x14ac:dyDescent="0.3">
      <c r="B673" s="9">
        <f>[1]Discovery!A679</f>
        <v>70406023</v>
      </c>
      <c r="C673" s="9" t="str">
        <f>[1]Discovery!B679</f>
        <v>독도마뱀</v>
      </c>
      <c r="D673" s="9" t="str">
        <f>[1]Discovery!E679</f>
        <v>동물</v>
      </c>
      <c r="E673" s="9" t="str">
        <f>[1]Discovery!C679</f>
        <v>파충류</v>
      </c>
      <c r="F673" s="9" t="str">
        <f>[1]Discovery!G679</f>
        <v>B</v>
      </c>
      <c r="G673" s="9" t="str">
        <f>IFERROR(VLOOKUP(표1[[#This Row],[명칭]],'문화권 정리'!C:D,2,FALSE),"-")</f>
        <v>북아메리카</v>
      </c>
      <c r="H673" s="38" t="str">
        <f>IFERROR(COUNTIF([2]OceanDoodad!$Y:$Y,표1[[#This Row],[명칭]]),"-")</f>
        <v>-</v>
      </c>
      <c r="I673" s="38">
        <f>IFERROR(COUNTIF([1]AdventureDiscoveryGroup!$D$8:$AW$92,표1[[#This Row],[명칭]]),"-")</f>
        <v>0</v>
      </c>
      <c r="J673" s="38">
        <f>IFERROR(COUNTIF([1]FishDiscoveryGroup!$A:$X,표1[[#This Row],[명칭]]),"-")</f>
        <v>0</v>
      </c>
      <c r="K673" s="38" t="str">
        <f>IFERROR(COUNTIF([2]Town!$B:$B,표1[[#This Row],[명칭]]),"-")</f>
        <v>-</v>
      </c>
      <c r="L673" s="38">
        <f>IFERROR(COUNTIF([1]Village!$BR:$BR,표1[[#This Row],[명칭]]),"-")</f>
        <v>0</v>
      </c>
      <c r="M673" s="38">
        <f>COUNTIF(퀘스트!B:B,표1[[#This Row],[명칭]])</f>
        <v>0</v>
      </c>
      <c r="N673" s="65">
        <f>COUNTIF([1]VillageDiscoveryGroup!$C:$C,표1[[#This Row],[명칭]])</f>
        <v>0</v>
      </c>
      <c r="O673" s="65">
        <f>SUM(표1[[#This Row],[해양탐색]:[마을탐험]])</f>
        <v>0</v>
      </c>
    </row>
    <row r="674" spans="2:15" ht="13.5" customHeight="1" x14ac:dyDescent="0.3">
      <c r="B674" s="9">
        <f>[1]Discovery!A680</f>
        <v>70406024</v>
      </c>
      <c r="C674" s="9" t="str">
        <f>[1]Discovery!B680</f>
        <v>독화살개구리</v>
      </c>
      <c r="D674" s="9" t="str">
        <f>[1]Discovery!E680</f>
        <v>동물</v>
      </c>
      <c r="E674" s="9" t="str">
        <f>[1]Discovery!C680</f>
        <v>파충류</v>
      </c>
      <c r="F674" s="9" t="str">
        <f>[1]Discovery!G680</f>
        <v>A</v>
      </c>
      <c r="G674" s="9" t="str">
        <f>IFERROR(VLOOKUP(표1[[#This Row],[명칭]],'문화권 정리'!C:D,2,FALSE),"-")</f>
        <v>남아메리카</v>
      </c>
      <c r="H674" s="38" t="str">
        <f>IFERROR(COUNTIF([2]OceanDoodad!$Y:$Y,표1[[#This Row],[명칭]]),"-")</f>
        <v>-</v>
      </c>
      <c r="I674" s="38">
        <f>IFERROR(COUNTIF([1]AdventureDiscoveryGroup!$D$8:$AW$92,표1[[#This Row],[명칭]]),"-")</f>
        <v>0</v>
      </c>
      <c r="J674" s="38">
        <f>IFERROR(COUNTIF([1]FishDiscoveryGroup!$A:$X,표1[[#This Row],[명칭]]),"-")</f>
        <v>0</v>
      </c>
      <c r="K674" s="38" t="str">
        <f>IFERROR(COUNTIF([2]Town!$B:$B,표1[[#This Row],[명칭]]),"-")</f>
        <v>-</v>
      </c>
      <c r="L674" s="38">
        <f>IFERROR(COUNTIF([1]Village!$BR:$BR,표1[[#This Row],[명칭]]),"-")</f>
        <v>0</v>
      </c>
      <c r="M674" s="38">
        <f>COUNTIF(퀘스트!B:B,표1[[#This Row],[명칭]])</f>
        <v>0</v>
      </c>
      <c r="N674" s="65">
        <f>COUNTIF([1]VillageDiscoveryGroup!$C:$C,표1[[#This Row],[명칭]])</f>
        <v>0</v>
      </c>
      <c r="O674" s="65">
        <f>SUM(표1[[#This Row],[해양탐색]:[마을탐험]])</f>
        <v>0</v>
      </c>
    </row>
    <row r="675" spans="2:15" ht="13.5" customHeight="1" x14ac:dyDescent="0.3">
      <c r="B675" s="9">
        <f>[1]Discovery!A681</f>
        <v>70406025</v>
      </c>
      <c r="C675" s="9" t="str">
        <f>[1]Discovery!B681</f>
        <v>동부초록맘바</v>
      </c>
      <c r="D675" s="9" t="str">
        <f>[1]Discovery!E681</f>
        <v>동물</v>
      </c>
      <c r="E675" s="9" t="str">
        <f>[1]Discovery!C681</f>
        <v>파충류</v>
      </c>
      <c r="F675" s="9" t="str">
        <f>[1]Discovery!G681</f>
        <v>B</v>
      </c>
      <c r="G675" s="9" t="str">
        <f>IFERROR(VLOOKUP(표1[[#This Row],[명칭]],'문화권 정리'!C:D,2,FALSE),"-")</f>
        <v>동아프리카</v>
      </c>
      <c r="H675" s="38" t="str">
        <f>IFERROR(COUNTIF([2]OceanDoodad!$Y:$Y,표1[[#This Row],[명칭]]),"-")</f>
        <v>-</v>
      </c>
      <c r="I675" s="38">
        <f>IFERROR(COUNTIF([1]AdventureDiscoveryGroup!$D$8:$AW$92,표1[[#This Row],[명칭]]),"-")</f>
        <v>1</v>
      </c>
      <c r="J675" s="38">
        <f>IFERROR(COUNTIF([1]FishDiscoveryGroup!$A:$X,표1[[#This Row],[명칭]]),"-")</f>
        <v>0</v>
      </c>
      <c r="K675" s="38" t="str">
        <f>IFERROR(COUNTIF([2]Town!$B:$B,표1[[#This Row],[명칭]]),"-")</f>
        <v>-</v>
      </c>
      <c r="L675" s="38">
        <f>IFERROR(COUNTIF([1]Village!$BR:$BR,표1[[#This Row],[명칭]]),"-")</f>
        <v>0</v>
      </c>
      <c r="M675" s="38">
        <f>COUNTIF(퀘스트!B:B,표1[[#This Row],[명칭]])</f>
        <v>0</v>
      </c>
      <c r="N675" s="65">
        <f>COUNTIF([1]VillageDiscoveryGroup!$C:$C,표1[[#This Row],[명칭]])</f>
        <v>0</v>
      </c>
      <c r="O675" s="65">
        <f>SUM(표1[[#This Row],[해양탐색]:[마을탐험]])</f>
        <v>1</v>
      </c>
    </row>
    <row r="676" spans="2:15" ht="13.5" customHeight="1" x14ac:dyDescent="0.3">
      <c r="B676" s="9">
        <f>[1]Discovery!A682</f>
        <v>70406026</v>
      </c>
      <c r="C676" s="9" t="str">
        <f>[1]Discovery!B682</f>
        <v>러셀살무사</v>
      </c>
      <c r="D676" s="9" t="str">
        <f>[1]Discovery!E682</f>
        <v>동물</v>
      </c>
      <c r="E676" s="9" t="str">
        <f>[1]Discovery!C682</f>
        <v>파충류</v>
      </c>
      <c r="F676" s="9" t="str">
        <f>[1]Discovery!G682</f>
        <v>A</v>
      </c>
      <c r="G676" s="9" t="str">
        <f>IFERROR(VLOOKUP(표1[[#This Row],[명칭]],'문화권 정리'!C:D,2,FALSE),"-")</f>
        <v>동남아시아</v>
      </c>
      <c r="H676" s="38" t="str">
        <f>IFERROR(COUNTIF([2]OceanDoodad!$Y:$Y,표1[[#This Row],[명칭]]),"-")</f>
        <v>-</v>
      </c>
      <c r="I676" s="38">
        <f>IFERROR(COUNTIF([1]AdventureDiscoveryGroup!$D$8:$AW$92,표1[[#This Row],[명칭]]),"-")</f>
        <v>1</v>
      </c>
      <c r="J676" s="38">
        <f>IFERROR(COUNTIF([1]FishDiscoveryGroup!$A:$X,표1[[#This Row],[명칭]]),"-")</f>
        <v>0</v>
      </c>
      <c r="K676" s="38" t="str">
        <f>IFERROR(COUNTIF([2]Town!$B:$B,표1[[#This Row],[명칭]]),"-")</f>
        <v>-</v>
      </c>
      <c r="L676" s="38">
        <f>IFERROR(COUNTIF([1]Village!$BR:$BR,표1[[#This Row],[명칭]]),"-")</f>
        <v>0</v>
      </c>
      <c r="M676" s="38">
        <f>COUNTIF(퀘스트!B:B,표1[[#This Row],[명칭]])</f>
        <v>0</v>
      </c>
      <c r="N676" s="65">
        <f>COUNTIF([1]VillageDiscoveryGroup!$C:$C,표1[[#This Row],[명칭]])</f>
        <v>0</v>
      </c>
      <c r="O676" s="65">
        <f>SUM(표1[[#This Row],[해양탐색]:[마을탐험]])</f>
        <v>1</v>
      </c>
    </row>
    <row r="677" spans="2:15" ht="13.5" customHeight="1" x14ac:dyDescent="0.3">
      <c r="B677" s="9">
        <f>[1]Discovery!A683</f>
        <v>70406027</v>
      </c>
      <c r="C677" s="9" t="str">
        <f>[1]Discovery!B683</f>
        <v>러시아데스만</v>
      </c>
      <c r="D677" s="9" t="str">
        <f>[1]Discovery!E683</f>
        <v>동물</v>
      </c>
      <c r="E677" s="9" t="str">
        <f>[1]Discovery!C683</f>
        <v>포유류</v>
      </c>
      <c r="F677" s="9" t="str">
        <f>[1]Discovery!G683</f>
        <v>C</v>
      </c>
      <c r="G677" s="9" t="str">
        <f>IFERROR(VLOOKUP(표1[[#This Row],[명칭]],'문화권 정리'!C:D,2,FALSE),"-")</f>
        <v>유라시아</v>
      </c>
      <c r="H677" s="38" t="str">
        <f>IFERROR(COUNTIF([2]OceanDoodad!$Y:$Y,표1[[#This Row],[명칭]]),"-")</f>
        <v>-</v>
      </c>
      <c r="I677" s="38">
        <f>IFERROR(COUNTIF([1]AdventureDiscoveryGroup!$D$8:$AW$92,표1[[#This Row],[명칭]]),"-")</f>
        <v>1</v>
      </c>
      <c r="J677" s="38">
        <f>IFERROR(COUNTIF([1]FishDiscoveryGroup!$A:$X,표1[[#This Row],[명칭]]),"-")</f>
        <v>0</v>
      </c>
      <c r="K677" s="38" t="str">
        <f>IFERROR(COUNTIF([2]Town!$B:$B,표1[[#This Row],[명칭]]),"-")</f>
        <v>-</v>
      </c>
      <c r="L677" s="38">
        <f>IFERROR(COUNTIF([1]Village!$BR:$BR,표1[[#This Row],[명칭]]),"-")</f>
        <v>0</v>
      </c>
      <c r="M677" s="38">
        <f>COUNTIF(퀘스트!B:B,표1[[#This Row],[명칭]])</f>
        <v>0</v>
      </c>
      <c r="N677" s="65">
        <f>COUNTIF([1]VillageDiscoveryGroup!$C:$C,표1[[#This Row],[명칭]])</f>
        <v>0</v>
      </c>
      <c r="O677" s="65">
        <f>SUM(표1[[#This Row],[해양탐색]:[마을탐험]])</f>
        <v>1</v>
      </c>
    </row>
    <row r="678" spans="2:15" ht="13.5" customHeight="1" x14ac:dyDescent="0.3">
      <c r="B678" s="9">
        <f>[1]Discovery!A684</f>
        <v>70406028</v>
      </c>
      <c r="C678" s="9" t="str">
        <f>[1]Discovery!B684</f>
        <v>레밍</v>
      </c>
      <c r="D678" s="9" t="str">
        <f>[1]Discovery!E684</f>
        <v>동물</v>
      </c>
      <c r="E678" s="9" t="str">
        <f>[1]Discovery!C684</f>
        <v>포유류</v>
      </c>
      <c r="F678" s="9" t="str">
        <f>[1]Discovery!G684</f>
        <v>D</v>
      </c>
      <c r="G678" s="9" t="str">
        <f>IFERROR(VLOOKUP(표1[[#This Row],[명칭]],'문화권 정리'!C:D,2,FALSE),"-")</f>
        <v>북유럽</v>
      </c>
      <c r="H678" s="38" t="str">
        <f>IFERROR(COUNTIF([2]OceanDoodad!$Y:$Y,표1[[#This Row],[명칭]]),"-")</f>
        <v>-</v>
      </c>
      <c r="I678" s="38">
        <f>IFERROR(COUNTIF([1]AdventureDiscoveryGroup!$D$8:$AW$92,표1[[#This Row],[명칭]]),"-")</f>
        <v>1</v>
      </c>
      <c r="J678" s="38">
        <f>IFERROR(COUNTIF([1]FishDiscoveryGroup!$A:$X,표1[[#This Row],[명칭]]),"-")</f>
        <v>0</v>
      </c>
      <c r="K678" s="38" t="str">
        <f>IFERROR(COUNTIF([2]Town!$B:$B,표1[[#This Row],[명칭]]),"-")</f>
        <v>-</v>
      </c>
      <c r="L678" s="38">
        <f>IFERROR(COUNTIF([1]Village!$BR:$BR,표1[[#This Row],[명칭]]),"-")</f>
        <v>0</v>
      </c>
      <c r="M678" s="38">
        <f>COUNTIF(퀘스트!B:B,표1[[#This Row],[명칭]])</f>
        <v>0</v>
      </c>
      <c r="N678" s="65">
        <f>COUNTIF([1]VillageDiscoveryGroup!$C:$C,표1[[#This Row],[명칭]])</f>
        <v>0</v>
      </c>
      <c r="O678" s="65">
        <f>SUM(표1[[#This Row],[해양탐색]:[마을탐험]])</f>
        <v>1</v>
      </c>
    </row>
    <row r="679" spans="2:15" ht="13.5" customHeight="1" x14ac:dyDescent="0.3">
      <c r="B679" s="9">
        <f>[1]Discovery!A685</f>
        <v>70406029</v>
      </c>
      <c r="C679" s="9" t="str">
        <f>[1]Discovery!B685</f>
        <v>레서 사이렌</v>
      </c>
      <c r="D679" s="9" t="str">
        <f>[1]Discovery!E685</f>
        <v>동물</v>
      </c>
      <c r="E679" s="9" t="str">
        <f>[1]Discovery!C685</f>
        <v>파충류</v>
      </c>
      <c r="F679" s="9" t="str">
        <f>[1]Discovery!G685</f>
        <v>A</v>
      </c>
      <c r="G679" s="9" t="str">
        <f>IFERROR(VLOOKUP(표1[[#This Row],[명칭]],'문화권 정리'!C:D,2,FALSE),"-")</f>
        <v>중앙아메리카</v>
      </c>
      <c r="H679" s="38" t="str">
        <f>IFERROR(COUNTIF([2]OceanDoodad!$Y:$Y,표1[[#This Row],[명칭]]),"-")</f>
        <v>-</v>
      </c>
      <c r="I679" s="38">
        <f>IFERROR(COUNTIF([1]AdventureDiscoveryGroup!$D$8:$AW$92,표1[[#This Row],[명칭]]),"-")</f>
        <v>0</v>
      </c>
      <c r="J679" s="38">
        <f>IFERROR(COUNTIF([1]FishDiscoveryGroup!$A:$X,표1[[#This Row],[명칭]]),"-")</f>
        <v>0</v>
      </c>
      <c r="K679" s="38" t="str">
        <f>IFERROR(COUNTIF([2]Town!$B:$B,표1[[#This Row],[명칭]]),"-")</f>
        <v>-</v>
      </c>
      <c r="L679" s="38">
        <f>IFERROR(COUNTIF([1]Village!$BR:$BR,표1[[#This Row],[명칭]]),"-")</f>
        <v>0</v>
      </c>
      <c r="M679" s="38">
        <f>COUNTIF(퀘스트!B:B,표1[[#This Row],[명칭]])</f>
        <v>0</v>
      </c>
      <c r="N679" s="65">
        <f>COUNTIF([1]VillageDiscoveryGroup!$C:$C,표1[[#This Row],[명칭]])</f>
        <v>0</v>
      </c>
      <c r="O679" s="65">
        <f>SUM(표1[[#This Row],[해양탐색]:[마을탐험]])</f>
        <v>0</v>
      </c>
    </row>
    <row r="680" spans="2:15" ht="13.5" customHeight="1" x14ac:dyDescent="0.3">
      <c r="B680" s="9">
        <f>[1]Discovery!A686</f>
        <v>70406030</v>
      </c>
      <c r="C680" s="9" t="str">
        <f>[1]Discovery!B686</f>
        <v>로리스</v>
      </c>
      <c r="D680" s="9" t="str">
        <f>[1]Discovery!E686</f>
        <v>동물</v>
      </c>
      <c r="E680" s="9" t="str">
        <f>[1]Discovery!C686</f>
        <v>포유류</v>
      </c>
      <c r="F680" s="9" t="str">
        <f>[1]Discovery!G686</f>
        <v>B</v>
      </c>
      <c r="G680" s="9" t="str">
        <f>IFERROR(VLOOKUP(표1[[#This Row],[명칭]],'문화권 정리'!C:D,2,FALSE),"-")</f>
        <v>동남아시아</v>
      </c>
      <c r="H680" s="38" t="str">
        <f>IFERROR(COUNTIF([2]OceanDoodad!$Y:$Y,표1[[#This Row],[명칭]]),"-")</f>
        <v>-</v>
      </c>
      <c r="I680" s="38">
        <f>IFERROR(COUNTIF([1]AdventureDiscoveryGroup!$D$8:$AW$92,표1[[#This Row],[명칭]]),"-")</f>
        <v>0</v>
      </c>
      <c r="J680" s="38">
        <f>IFERROR(COUNTIF([1]FishDiscoveryGroup!$A:$X,표1[[#This Row],[명칭]]),"-")</f>
        <v>0</v>
      </c>
      <c r="K680" s="38" t="str">
        <f>IFERROR(COUNTIF([2]Town!$B:$B,표1[[#This Row],[명칭]]),"-")</f>
        <v>-</v>
      </c>
      <c r="L680" s="38">
        <f>IFERROR(COUNTIF([1]Village!$BR:$BR,표1[[#This Row],[명칭]]),"-")</f>
        <v>0</v>
      </c>
      <c r="M680" s="38">
        <f>COUNTIF(퀘스트!B:B,표1[[#This Row],[명칭]])</f>
        <v>1</v>
      </c>
      <c r="N680" s="65">
        <f>COUNTIF([1]VillageDiscoveryGroup!$C:$C,표1[[#This Row],[명칭]])</f>
        <v>0</v>
      </c>
      <c r="O680" s="65">
        <f>SUM(표1[[#This Row],[해양탐색]:[마을탐험]])</f>
        <v>1</v>
      </c>
    </row>
    <row r="681" spans="2:15" ht="13.5" customHeight="1" x14ac:dyDescent="0.3">
      <c r="B681" s="9">
        <f>[1]Discovery!A687</f>
        <v>70406031</v>
      </c>
      <c r="C681" s="9" t="str">
        <f>[1]Discovery!B687</f>
        <v>링크할스</v>
      </c>
      <c r="D681" s="9" t="str">
        <f>[1]Discovery!E687</f>
        <v>동물</v>
      </c>
      <c r="E681" s="9" t="str">
        <f>[1]Discovery!C687</f>
        <v>파충류</v>
      </c>
      <c r="F681" s="9" t="str">
        <f>[1]Discovery!G687</f>
        <v>B</v>
      </c>
      <c r="G681" s="9" t="str">
        <f>IFERROR(VLOOKUP(표1[[#This Row],[명칭]],'문화권 정리'!C:D,2,FALSE),"-")</f>
        <v>동아프리카</v>
      </c>
      <c r="H681" s="38" t="str">
        <f>IFERROR(COUNTIF([2]OceanDoodad!$Y:$Y,표1[[#This Row],[명칭]]),"-")</f>
        <v>-</v>
      </c>
      <c r="I681" s="38">
        <f>IFERROR(COUNTIF([1]AdventureDiscoveryGroup!$D$8:$AW$92,표1[[#This Row],[명칭]]),"-")</f>
        <v>0</v>
      </c>
      <c r="J681" s="38">
        <f>IFERROR(COUNTIF([1]FishDiscoveryGroup!$A:$X,표1[[#This Row],[명칭]]),"-")</f>
        <v>0</v>
      </c>
      <c r="K681" s="38" t="str">
        <f>IFERROR(COUNTIF([2]Town!$B:$B,표1[[#This Row],[명칭]]),"-")</f>
        <v>-</v>
      </c>
      <c r="L681" s="38">
        <f>IFERROR(COUNTIF([1]Village!$BR:$BR,표1[[#This Row],[명칭]]),"-")</f>
        <v>0</v>
      </c>
      <c r="M681" s="38">
        <f>COUNTIF(퀘스트!B:B,표1[[#This Row],[명칭]])</f>
        <v>0</v>
      </c>
      <c r="N681" s="65">
        <f>COUNTIF([1]VillageDiscoveryGroup!$C:$C,표1[[#This Row],[명칭]])</f>
        <v>1</v>
      </c>
      <c r="O681" s="65">
        <f>SUM(표1[[#This Row],[해양탐색]:[마을탐험]])</f>
        <v>1</v>
      </c>
    </row>
    <row r="682" spans="2:15" ht="13.5" customHeight="1" x14ac:dyDescent="0.3">
      <c r="B682" s="9">
        <f>[1]Discovery!A688</f>
        <v>70406032</v>
      </c>
      <c r="C682" s="9" t="str">
        <f>[1]Discovery!B688</f>
        <v>마못</v>
      </c>
      <c r="D682" s="9" t="str">
        <f>[1]Discovery!E688</f>
        <v>동물</v>
      </c>
      <c r="E682" s="9" t="str">
        <f>[1]Discovery!C688</f>
        <v>포유류</v>
      </c>
      <c r="F682" s="9" t="str">
        <f>[1]Discovery!G688</f>
        <v>B</v>
      </c>
      <c r="G682" s="9" t="str">
        <f>IFERROR(VLOOKUP(표1[[#This Row],[명칭]],'문화권 정리'!C:D,2,FALSE),"-")</f>
        <v>북아메리카</v>
      </c>
      <c r="H682" s="38" t="str">
        <f>IFERROR(COUNTIF([2]OceanDoodad!$Y:$Y,표1[[#This Row],[명칭]]),"-")</f>
        <v>-</v>
      </c>
      <c r="I682" s="38">
        <f>IFERROR(COUNTIF([1]AdventureDiscoveryGroup!$D$8:$AW$92,표1[[#This Row],[명칭]]),"-")</f>
        <v>0</v>
      </c>
      <c r="J682" s="38">
        <f>IFERROR(COUNTIF([1]FishDiscoveryGroup!$A:$X,표1[[#This Row],[명칭]]),"-")</f>
        <v>0</v>
      </c>
      <c r="K682" s="38" t="str">
        <f>IFERROR(COUNTIF([2]Town!$B:$B,표1[[#This Row],[명칭]]),"-")</f>
        <v>-</v>
      </c>
      <c r="L682" s="38">
        <f>IFERROR(COUNTIF([1]Village!$BR:$BR,표1[[#This Row],[명칭]]),"-")</f>
        <v>0</v>
      </c>
      <c r="M682" s="38">
        <f>COUNTIF(퀘스트!B:B,표1[[#This Row],[명칭]])</f>
        <v>0</v>
      </c>
      <c r="N682" s="65">
        <f>COUNTIF([1]VillageDiscoveryGroup!$C:$C,표1[[#This Row],[명칭]])</f>
        <v>1</v>
      </c>
      <c r="O682" s="65">
        <f>SUM(표1[[#This Row],[해양탐색]:[마을탐험]])</f>
        <v>1</v>
      </c>
    </row>
    <row r="683" spans="2:15" ht="13.5" customHeight="1" x14ac:dyDescent="0.3">
      <c r="B683" s="9">
        <f>[1]Discovery!A689</f>
        <v>70406033</v>
      </c>
      <c r="C683" s="9" t="str">
        <f>[1]Discovery!B689</f>
        <v>마타마타거북</v>
      </c>
      <c r="D683" s="9" t="str">
        <f>[1]Discovery!E689</f>
        <v>동물</v>
      </c>
      <c r="E683" s="9" t="str">
        <f>[1]Discovery!C689</f>
        <v>파충류</v>
      </c>
      <c r="F683" s="9" t="str">
        <f>[1]Discovery!G689</f>
        <v>B</v>
      </c>
      <c r="G683" s="9" t="str">
        <f>IFERROR(VLOOKUP(표1[[#This Row],[명칭]],'문화권 정리'!C:D,2,FALSE),"-")</f>
        <v>남아메리카</v>
      </c>
      <c r="H683" s="38" t="str">
        <f>IFERROR(COUNTIF([2]OceanDoodad!$Y:$Y,표1[[#This Row],[명칭]]),"-")</f>
        <v>-</v>
      </c>
      <c r="I683" s="38">
        <f>IFERROR(COUNTIF([1]AdventureDiscoveryGroup!$D$8:$AW$92,표1[[#This Row],[명칭]]),"-")</f>
        <v>0</v>
      </c>
      <c r="J683" s="38">
        <f>IFERROR(COUNTIF([1]FishDiscoveryGroup!$A:$X,표1[[#This Row],[명칭]]),"-")</f>
        <v>0</v>
      </c>
      <c r="K683" s="38" t="str">
        <f>IFERROR(COUNTIF([2]Town!$B:$B,표1[[#This Row],[명칭]]),"-")</f>
        <v>-</v>
      </c>
      <c r="L683" s="38">
        <f>IFERROR(COUNTIF([1]Village!$BR:$BR,표1[[#This Row],[명칭]]),"-")</f>
        <v>0</v>
      </c>
      <c r="M683" s="38">
        <f>COUNTIF(퀘스트!B:B,표1[[#This Row],[명칭]])</f>
        <v>0</v>
      </c>
      <c r="N683" s="65">
        <f>COUNTIF([1]VillageDiscoveryGroup!$C:$C,표1[[#This Row],[명칭]])</f>
        <v>1</v>
      </c>
      <c r="O683" s="65">
        <f>SUM(표1[[#This Row],[해양탐색]:[마을탐험]])</f>
        <v>1</v>
      </c>
    </row>
    <row r="684" spans="2:15" ht="13.5" customHeight="1" x14ac:dyDescent="0.3">
      <c r="B684" s="9">
        <f>[1]Discovery!A690</f>
        <v>70406034</v>
      </c>
      <c r="C684" s="9" t="str">
        <f>[1]Discovery!B690</f>
        <v>목도리도마뱀</v>
      </c>
      <c r="D684" s="9" t="str">
        <f>[1]Discovery!E690</f>
        <v>동물</v>
      </c>
      <c r="E684" s="9" t="str">
        <f>[1]Discovery!C690</f>
        <v>파충류</v>
      </c>
      <c r="F684" s="9" t="str">
        <f>[1]Discovery!G690</f>
        <v>D</v>
      </c>
      <c r="G684" s="9" t="str">
        <f>IFERROR(VLOOKUP(표1[[#This Row],[명칭]],'문화권 정리'!C:D,2,FALSE),"-")</f>
        <v>오세아니아</v>
      </c>
      <c r="H684" s="38" t="str">
        <f>IFERROR(COUNTIF([2]OceanDoodad!$Y:$Y,표1[[#This Row],[명칭]]),"-")</f>
        <v>-</v>
      </c>
      <c r="I684" s="38">
        <f>IFERROR(COUNTIF([1]AdventureDiscoveryGroup!$D$8:$AW$92,표1[[#This Row],[명칭]]),"-")</f>
        <v>0</v>
      </c>
      <c r="J684" s="38">
        <f>IFERROR(COUNTIF([1]FishDiscoveryGroup!$A:$X,표1[[#This Row],[명칭]]),"-")</f>
        <v>0</v>
      </c>
      <c r="K684" s="38" t="str">
        <f>IFERROR(COUNTIF([2]Town!$B:$B,표1[[#This Row],[명칭]]),"-")</f>
        <v>-</v>
      </c>
      <c r="L684" s="38">
        <f>IFERROR(COUNTIF([1]Village!$BR:$BR,표1[[#This Row],[명칭]]),"-")</f>
        <v>0</v>
      </c>
      <c r="M684" s="38">
        <f>COUNTIF(퀘스트!B:B,표1[[#This Row],[명칭]])</f>
        <v>0</v>
      </c>
      <c r="N684" s="65">
        <f>COUNTIF([1]VillageDiscoveryGroup!$C:$C,표1[[#This Row],[명칭]])</f>
        <v>1</v>
      </c>
      <c r="O684" s="65">
        <f>SUM(표1[[#This Row],[해양탐색]:[마을탐험]])</f>
        <v>1</v>
      </c>
    </row>
    <row r="685" spans="2:15" ht="13.5" customHeight="1" x14ac:dyDescent="0.3">
      <c r="B685" s="9">
        <f>[1]Discovery!A691</f>
        <v>70406035</v>
      </c>
      <c r="C685" s="9" t="str">
        <f>[1]Discovery!B691</f>
        <v>무지개아가마</v>
      </c>
      <c r="D685" s="9" t="str">
        <f>[1]Discovery!E691</f>
        <v>동물</v>
      </c>
      <c r="E685" s="9" t="str">
        <f>[1]Discovery!C691</f>
        <v>파충류</v>
      </c>
      <c r="F685" s="9" t="str">
        <f>[1]Discovery!G691</f>
        <v>A</v>
      </c>
      <c r="G685" s="9" t="str">
        <f>IFERROR(VLOOKUP(표1[[#This Row],[명칭]],'문화권 정리'!C:D,2,FALSE),"-")</f>
        <v>동아프리카</v>
      </c>
      <c r="H685" s="38" t="str">
        <f>IFERROR(COUNTIF([2]OceanDoodad!$Y:$Y,표1[[#This Row],[명칭]]),"-")</f>
        <v>-</v>
      </c>
      <c r="I685" s="38">
        <f>IFERROR(COUNTIF([1]AdventureDiscoveryGroup!$D$8:$AW$92,표1[[#This Row],[명칭]]),"-")</f>
        <v>0</v>
      </c>
      <c r="J685" s="38">
        <f>IFERROR(COUNTIF([1]FishDiscoveryGroup!$A:$X,표1[[#This Row],[명칭]]),"-")</f>
        <v>0</v>
      </c>
      <c r="K685" s="38" t="str">
        <f>IFERROR(COUNTIF([2]Town!$B:$B,표1[[#This Row],[명칭]]),"-")</f>
        <v>-</v>
      </c>
      <c r="L685" s="38">
        <f>IFERROR(COUNTIF([1]Village!$BR:$BR,표1[[#This Row],[명칭]]),"-")</f>
        <v>0</v>
      </c>
      <c r="M685" s="38">
        <f>COUNTIF(퀘스트!B:B,표1[[#This Row],[명칭]])</f>
        <v>0</v>
      </c>
      <c r="N685" s="65">
        <f>COUNTIF([1]VillageDiscoveryGroup!$C:$C,표1[[#This Row],[명칭]])</f>
        <v>1</v>
      </c>
      <c r="O685" s="65">
        <f>SUM(표1[[#This Row],[해양탐색]:[마을탐험]])</f>
        <v>1</v>
      </c>
    </row>
    <row r="686" spans="2:15" ht="13.5" customHeight="1" x14ac:dyDescent="0.3">
      <c r="B686" s="9">
        <f>[1]Discovery!A692</f>
        <v>70406036</v>
      </c>
      <c r="C686" s="9" t="str">
        <f>[1]Discovery!B692</f>
        <v>미어캣</v>
      </c>
      <c r="D686" s="9" t="str">
        <f>[1]Discovery!E692</f>
        <v>동물</v>
      </c>
      <c r="E686" s="9" t="str">
        <f>[1]Discovery!C692</f>
        <v>포유류</v>
      </c>
      <c r="F686" s="9" t="str">
        <f>[1]Discovery!G692</f>
        <v>C</v>
      </c>
      <c r="G686" s="9" t="str">
        <f>IFERROR(VLOOKUP(표1[[#This Row],[명칭]],'문화권 정리'!C:D,2,FALSE),"-")</f>
        <v>남아프리카</v>
      </c>
      <c r="H686" s="38" t="str">
        <f>IFERROR(COUNTIF([2]OceanDoodad!$Y:$Y,표1[[#This Row],[명칭]]),"-")</f>
        <v>-</v>
      </c>
      <c r="I686" s="38">
        <f>IFERROR(COUNTIF([1]AdventureDiscoveryGroup!$D$8:$AW$92,표1[[#This Row],[명칭]]),"-")</f>
        <v>1</v>
      </c>
      <c r="J686" s="38">
        <f>IFERROR(COUNTIF([1]FishDiscoveryGroup!$A:$X,표1[[#This Row],[명칭]]),"-")</f>
        <v>0</v>
      </c>
      <c r="K686" s="38" t="str">
        <f>IFERROR(COUNTIF([2]Town!$B:$B,표1[[#This Row],[명칭]]),"-")</f>
        <v>-</v>
      </c>
      <c r="L686" s="38">
        <f>IFERROR(COUNTIF([1]Village!$BR:$BR,표1[[#This Row],[명칭]]),"-")</f>
        <v>0</v>
      </c>
      <c r="M686" s="38">
        <f>COUNTIF(퀘스트!B:B,표1[[#This Row],[명칭]])</f>
        <v>0</v>
      </c>
      <c r="N686" s="65">
        <f>COUNTIF([1]VillageDiscoveryGroup!$C:$C,표1[[#This Row],[명칭]])</f>
        <v>0</v>
      </c>
      <c r="O686" s="65">
        <f>SUM(표1[[#This Row],[해양탐색]:[마을탐험]])</f>
        <v>1</v>
      </c>
    </row>
    <row r="687" spans="2:15" ht="13.5" customHeight="1" x14ac:dyDescent="0.3">
      <c r="B687" s="9">
        <f>[1]Discovery!A693</f>
        <v>70406037</v>
      </c>
      <c r="C687" s="9" t="str">
        <f>[1]Discovery!B693</f>
        <v>바실리스크이구아나</v>
      </c>
      <c r="D687" s="9" t="str">
        <f>[1]Discovery!E693</f>
        <v>동물</v>
      </c>
      <c r="E687" s="9" t="str">
        <f>[1]Discovery!C693</f>
        <v>파충류</v>
      </c>
      <c r="F687" s="9" t="str">
        <f>[1]Discovery!G693</f>
        <v>B</v>
      </c>
      <c r="G687" s="9" t="str">
        <f>IFERROR(VLOOKUP(표1[[#This Row],[명칭]],'문화권 정리'!C:D,2,FALSE),"-")</f>
        <v>남아메리카</v>
      </c>
      <c r="H687" s="38" t="str">
        <f>IFERROR(COUNTIF([2]OceanDoodad!$Y:$Y,표1[[#This Row],[명칭]]),"-")</f>
        <v>-</v>
      </c>
      <c r="I687" s="38">
        <f>IFERROR(COUNTIF([1]AdventureDiscoveryGroup!$D$8:$AW$92,표1[[#This Row],[명칭]]),"-")</f>
        <v>1</v>
      </c>
      <c r="J687" s="38">
        <f>IFERROR(COUNTIF([1]FishDiscoveryGroup!$A:$X,표1[[#This Row],[명칭]]),"-")</f>
        <v>0</v>
      </c>
      <c r="K687" s="38" t="str">
        <f>IFERROR(COUNTIF([2]Town!$B:$B,표1[[#This Row],[명칭]]),"-")</f>
        <v>-</v>
      </c>
      <c r="L687" s="38">
        <f>IFERROR(COUNTIF([1]Village!$BR:$BR,표1[[#This Row],[명칭]]),"-")</f>
        <v>0</v>
      </c>
      <c r="M687" s="38">
        <f>COUNTIF(퀘스트!B:B,표1[[#This Row],[명칭]])</f>
        <v>0</v>
      </c>
      <c r="N687" s="65">
        <f>COUNTIF([1]VillageDiscoveryGroup!$C:$C,표1[[#This Row],[명칭]])</f>
        <v>0</v>
      </c>
      <c r="O687" s="65">
        <f>SUM(표1[[#This Row],[해양탐색]:[마을탐험]])</f>
        <v>1</v>
      </c>
    </row>
    <row r="688" spans="2:15" ht="13.5" customHeight="1" x14ac:dyDescent="0.3">
      <c r="B688" s="9">
        <f>[1]Discovery!A694</f>
        <v>70406038</v>
      </c>
      <c r="C688" s="9" t="str">
        <f>[1]Discovery!B694</f>
        <v>바위너구리</v>
      </c>
      <c r="D688" s="9" t="str">
        <f>[1]Discovery!E694</f>
        <v>동물</v>
      </c>
      <c r="E688" s="9" t="str">
        <f>[1]Discovery!C694</f>
        <v>포유류</v>
      </c>
      <c r="F688" s="9" t="str">
        <f>[1]Discovery!G694</f>
        <v>B</v>
      </c>
      <c r="G688" s="9" t="str">
        <f>IFERROR(VLOOKUP(표1[[#This Row],[명칭]],'문화권 정리'!C:D,2,FALSE),"-")</f>
        <v>남아프리카</v>
      </c>
      <c r="H688" s="38" t="str">
        <f>IFERROR(COUNTIF([2]OceanDoodad!$Y:$Y,표1[[#This Row],[명칭]]),"-")</f>
        <v>-</v>
      </c>
      <c r="I688" s="38">
        <f>IFERROR(COUNTIF([1]AdventureDiscoveryGroup!$D$8:$AW$92,표1[[#This Row],[명칭]]),"-")</f>
        <v>0</v>
      </c>
      <c r="J688" s="38">
        <f>IFERROR(COUNTIF([1]FishDiscoveryGroup!$A:$X,표1[[#This Row],[명칭]]),"-")</f>
        <v>0</v>
      </c>
      <c r="K688" s="38" t="str">
        <f>IFERROR(COUNTIF([2]Town!$B:$B,표1[[#This Row],[명칭]]),"-")</f>
        <v>-</v>
      </c>
      <c r="L688" s="38">
        <f>IFERROR(COUNTIF([1]Village!$BR:$BR,표1[[#This Row],[명칭]]),"-")</f>
        <v>0</v>
      </c>
      <c r="M688" s="38">
        <f>COUNTIF(퀘스트!B:B,표1[[#This Row],[명칭]])</f>
        <v>0</v>
      </c>
      <c r="N688" s="65">
        <f>COUNTIF([1]VillageDiscoveryGroup!$C:$C,표1[[#This Row],[명칭]])</f>
        <v>1</v>
      </c>
      <c r="O688" s="65">
        <f>SUM(표1[[#This Row],[해양탐색]:[마을탐험]])</f>
        <v>1</v>
      </c>
    </row>
    <row r="689" spans="2:15" ht="13.5" customHeight="1" x14ac:dyDescent="0.3">
      <c r="B689" s="9">
        <f>[1]Discovery!A695</f>
        <v>70406039</v>
      </c>
      <c r="C689" s="9" t="str">
        <f>[1]Discovery!B695</f>
        <v>반디쿠트</v>
      </c>
      <c r="D689" s="9" t="str">
        <f>[1]Discovery!E695</f>
        <v>동물</v>
      </c>
      <c r="E689" s="9" t="str">
        <f>[1]Discovery!C695</f>
        <v>포유류</v>
      </c>
      <c r="F689" s="9" t="str">
        <f>[1]Discovery!G695</f>
        <v>D</v>
      </c>
      <c r="G689" s="9" t="str">
        <f>IFERROR(VLOOKUP(표1[[#This Row],[명칭]],'문화권 정리'!C:D,2,FALSE),"-")</f>
        <v>오세아니아</v>
      </c>
      <c r="H689" s="38" t="str">
        <f>IFERROR(COUNTIF([2]OceanDoodad!$Y:$Y,표1[[#This Row],[명칭]]),"-")</f>
        <v>-</v>
      </c>
      <c r="I689" s="38">
        <f>IFERROR(COUNTIF([1]AdventureDiscoveryGroup!$D$8:$AW$92,표1[[#This Row],[명칭]]),"-")</f>
        <v>0</v>
      </c>
      <c r="J689" s="38">
        <f>IFERROR(COUNTIF([1]FishDiscoveryGroup!$A:$X,표1[[#This Row],[명칭]]),"-")</f>
        <v>0</v>
      </c>
      <c r="K689" s="38" t="str">
        <f>IFERROR(COUNTIF([2]Town!$B:$B,표1[[#This Row],[명칭]]),"-")</f>
        <v>-</v>
      </c>
      <c r="L689" s="38">
        <f>IFERROR(COUNTIF([1]Village!$BR:$BR,표1[[#This Row],[명칭]]),"-")</f>
        <v>0</v>
      </c>
      <c r="M689" s="38">
        <f>COUNTIF(퀘스트!B:B,표1[[#This Row],[명칭]])</f>
        <v>0</v>
      </c>
      <c r="N689" s="65">
        <f>COUNTIF([1]VillageDiscoveryGroup!$C:$C,표1[[#This Row],[명칭]])</f>
        <v>0</v>
      </c>
      <c r="O689" s="65">
        <f>SUM(표1[[#This Row],[해양탐색]:[마을탐험]])</f>
        <v>0</v>
      </c>
    </row>
    <row r="690" spans="2:15" ht="13.5" customHeight="1" x14ac:dyDescent="0.3">
      <c r="B690" s="9">
        <f>[1]Discovery!A696</f>
        <v>70406040</v>
      </c>
      <c r="C690" s="9" t="str">
        <f>[1]Discovery!B696</f>
        <v>뱀목거북</v>
      </c>
      <c r="D690" s="9" t="str">
        <f>[1]Discovery!E696</f>
        <v>동물</v>
      </c>
      <c r="E690" s="9" t="str">
        <f>[1]Discovery!C696</f>
        <v>파충류</v>
      </c>
      <c r="F690" s="9" t="str">
        <f>[1]Discovery!G696</f>
        <v>B</v>
      </c>
      <c r="G690" s="9" t="str">
        <f>IFERROR(VLOOKUP(표1[[#This Row],[명칭]],'문화권 정리'!C:D,2,FALSE),"-")</f>
        <v>동남아시아</v>
      </c>
      <c r="H690" s="38" t="str">
        <f>IFERROR(COUNTIF([2]OceanDoodad!$Y:$Y,표1[[#This Row],[명칭]]),"-")</f>
        <v>-</v>
      </c>
      <c r="I690" s="38">
        <f>IFERROR(COUNTIF([1]AdventureDiscoveryGroup!$D$8:$AW$92,표1[[#This Row],[명칭]]),"-")</f>
        <v>1</v>
      </c>
      <c r="J690" s="38">
        <f>IFERROR(COUNTIF([1]FishDiscoveryGroup!$A:$X,표1[[#This Row],[명칭]]),"-")</f>
        <v>0</v>
      </c>
      <c r="K690" s="38" t="str">
        <f>IFERROR(COUNTIF([2]Town!$B:$B,표1[[#This Row],[명칭]]),"-")</f>
        <v>-</v>
      </c>
      <c r="L690" s="38">
        <f>IFERROR(COUNTIF([1]Village!$BR:$BR,표1[[#This Row],[명칭]]),"-")</f>
        <v>0</v>
      </c>
      <c r="M690" s="38">
        <f>COUNTIF(퀘스트!B:B,표1[[#This Row],[명칭]])</f>
        <v>0</v>
      </c>
      <c r="N690" s="65">
        <f>COUNTIF([1]VillageDiscoveryGroup!$C:$C,표1[[#This Row],[명칭]])</f>
        <v>0</v>
      </c>
      <c r="O690" s="65">
        <f>SUM(표1[[#This Row],[해양탐색]:[마을탐험]])</f>
        <v>1</v>
      </c>
    </row>
    <row r="691" spans="2:15" ht="13.5" customHeight="1" x14ac:dyDescent="0.3">
      <c r="B691" s="9">
        <f>[1]Discovery!A697</f>
        <v>70406041</v>
      </c>
      <c r="C691" s="9" t="str">
        <f>[1]Discovery!B697</f>
        <v>벌거숭이뻐드렁니쥐</v>
      </c>
      <c r="D691" s="9" t="str">
        <f>[1]Discovery!E697</f>
        <v>동물</v>
      </c>
      <c r="E691" s="9" t="str">
        <f>[1]Discovery!C697</f>
        <v>포유류</v>
      </c>
      <c r="F691" s="9" t="str">
        <f>[1]Discovery!G697</f>
        <v>C</v>
      </c>
      <c r="G691" s="9" t="str">
        <f>IFERROR(VLOOKUP(표1[[#This Row],[명칭]],'문화권 정리'!C:D,2,FALSE),"-")</f>
        <v>동아프리카</v>
      </c>
      <c r="H691" s="38" t="str">
        <f>IFERROR(COUNTIF([2]OceanDoodad!$Y:$Y,표1[[#This Row],[명칭]]),"-")</f>
        <v>-</v>
      </c>
      <c r="I691" s="38">
        <f>IFERROR(COUNTIF([1]AdventureDiscoveryGroup!$D$8:$AW$92,표1[[#This Row],[명칭]]),"-")</f>
        <v>1</v>
      </c>
      <c r="J691" s="38">
        <f>IFERROR(COUNTIF([1]FishDiscoveryGroup!$A:$X,표1[[#This Row],[명칭]]),"-")</f>
        <v>0</v>
      </c>
      <c r="K691" s="38" t="str">
        <f>IFERROR(COUNTIF([2]Town!$B:$B,표1[[#This Row],[명칭]]),"-")</f>
        <v>-</v>
      </c>
      <c r="L691" s="38">
        <f>IFERROR(COUNTIF([1]Village!$BR:$BR,표1[[#This Row],[명칭]]),"-")</f>
        <v>0</v>
      </c>
      <c r="M691" s="38">
        <f>COUNTIF(퀘스트!B:B,표1[[#This Row],[명칭]])</f>
        <v>0</v>
      </c>
      <c r="N691" s="65">
        <f>COUNTIF([1]VillageDiscoveryGroup!$C:$C,표1[[#This Row],[명칭]])</f>
        <v>0</v>
      </c>
      <c r="O691" s="65">
        <f>SUM(표1[[#This Row],[해양탐색]:[마을탐험]])</f>
        <v>1</v>
      </c>
    </row>
    <row r="692" spans="2:15" ht="13.5" customHeight="1" x14ac:dyDescent="0.3">
      <c r="B692" s="9">
        <f>[1]Discovery!A698</f>
        <v>70406042</v>
      </c>
      <c r="C692" s="9" t="str">
        <f>[1]Discovery!B698</f>
        <v>불도그박쥐</v>
      </c>
      <c r="D692" s="9" t="str">
        <f>[1]Discovery!E698</f>
        <v>동물</v>
      </c>
      <c r="E692" s="9" t="str">
        <f>[1]Discovery!C698</f>
        <v>포유류</v>
      </c>
      <c r="F692" s="9" t="str">
        <f>[1]Discovery!G698</f>
        <v>A</v>
      </c>
      <c r="G692" s="9" t="str">
        <f>IFERROR(VLOOKUP(표1[[#This Row],[명칭]],'문화권 정리'!C:D,2,FALSE),"-")</f>
        <v>남아메리카</v>
      </c>
      <c r="H692" s="38" t="str">
        <f>IFERROR(COUNTIF([2]OceanDoodad!$Y:$Y,표1[[#This Row],[명칭]]),"-")</f>
        <v>-</v>
      </c>
      <c r="I692" s="38">
        <f>IFERROR(COUNTIF([1]AdventureDiscoveryGroup!$D$8:$AW$92,표1[[#This Row],[명칭]]),"-")</f>
        <v>0</v>
      </c>
      <c r="J692" s="38">
        <f>IFERROR(COUNTIF([1]FishDiscoveryGroup!$A:$X,표1[[#This Row],[명칭]]),"-")</f>
        <v>0</v>
      </c>
      <c r="K692" s="38" t="str">
        <f>IFERROR(COUNTIF([2]Town!$B:$B,표1[[#This Row],[명칭]]),"-")</f>
        <v>-</v>
      </c>
      <c r="L692" s="38">
        <f>IFERROR(COUNTIF([1]Village!$BR:$BR,표1[[#This Row],[명칭]]),"-")</f>
        <v>0</v>
      </c>
      <c r="M692" s="38">
        <f>COUNTIF(퀘스트!B:B,표1[[#This Row],[명칭]])</f>
        <v>0</v>
      </c>
      <c r="N692" s="65">
        <f>COUNTIF([1]VillageDiscoveryGroup!$C:$C,표1[[#This Row],[명칭]])</f>
        <v>0</v>
      </c>
      <c r="O692" s="65">
        <f>SUM(표1[[#This Row],[해양탐색]:[마을탐험]])</f>
        <v>0</v>
      </c>
    </row>
    <row r="693" spans="2:15" ht="13.5" customHeight="1" x14ac:dyDescent="0.3">
      <c r="B693" s="9">
        <f>[1]Discovery!A699</f>
        <v>70406043</v>
      </c>
      <c r="C693" s="9" t="str">
        <f>[1]Discovery!B699</f>
        <v>붉은다리거북</v>
      </c>
      <c r="D693" s="9" t="str">
        <f>[1]Discovery!E699</f>
        <v>동물</v>
      </c>
      <c r="E693" s="9" t="str">
        <f>[1]Discovery!C699</f>
        <v>파충류</v>
      </c>
      <c r="F693" s="9" t="str">
        <f>[1]Discovery!G699</f>
        <v>C</v>
      </c>
      <c r="G693" s="9" t="str">
        <f>IFERROR(VLOOKUP(표1[[#This Row],[명칭]],'문화권 정리'!C:D,2,FALSE),"-")</f>
        <v>남아메리카</v>
      </c>
      <c r="H693" s="38" t="str">
        <f>IFERROR(COUNTIF([2]OceanDoodad!$Y:$Y,표1[[#This Row],[명칭]]),"-")</f>
        <v>-</v>
      </c>
      <c r="I693" s="38">
        <f>IFERROR(COUNTIF([1]AdventureDiscoveryGroup!$D$8:$AW$92,표1[[#This Row],[명칭]]),"-")</f>
        <v>1</v>
      </c>
      <c r="J693" s="38">
        <f>IFERROR(COUNTIF([1]FishDiscoveryGroup!$A:$X,표1[[#This Row],[명칭]]),"-")</f>
        <v>0</v>
      </c>
      <c r="K693" s="38" t="str">
        <f>IFERROR(COUNTIF([2]Town!$B:$B,표1[[#This Row],[명칭]]),"-")</f>
        <v>-</v>
      </c>
      <c r="L693" s="38">
        <f>IFERROR(COUNTIF([1]Village!$BR:$BR,표1[[#This Row],[명칭]]),"-")</f>
        <v>0</v>
      </c>
      <c r="M693" s="38">
        <f>COUNTIF(퀘스트!B:B,표1[[#This Row],[명칭]])</f>
        <v>0</v>
      </c>
      <c r="N693" s="65">
        <f>COUNTIF([1]VillageDiscoveryGroup!$C:$C,표1[[#This Row],[명칭]])</f>
        <v>0</v>
      </c>
      <c r="O693" s="65">
        <f>SUM(표1[[#This Row],[해양탐색]:[마을탐험]])</f>
        <v>1</v>
      </c>
    </row>
    <row r="694" spans="2:15" ht="13.5" customHeight="1" x14ac:dyDescent="0.3">
      <c r="B694" s="9">
        <f>[1]Discovery!A700</f>
        <v>70406044</v>
      </c>
      <c r="C694" s="9" t="str">
        <f>[1]Discovery!B700</f>
        <v>붉은박쥐</v>
      </c>
      <c r="D694" s="9" t="str">
        <f>[1]Discovery!E700</f>
        <v>동물</v>
      </c>
      <c r="E694" s="9" t="str">
        <f>[1]Discovery!C700</f>
        <v>포유류</v>
      </c>
      <c r="F694" s="9" t="str">
        <f>[1]Discovery!G700</f>
        <v>C</v>
      </c>
      <c r="G694" s="9" t="str">
        <f>IFERROR(VLOOKUP(표1[[#This Row],[명칭]],'문화권 정리'!C:D,2,FALSE),"-")</f>
        <v>동아시아</v>
      </c>
      <c r="H694" s="38" t="str">
        <f>IFERROR(COUNTIF([2]OceanDoodad!$Y:$Y,표1[[#This Row],[명칭]]),"-")</f>
        <v>-</v>
      </c>
      <c r="I694" s="38">
        <f>IFERROR(COUNTIF([1]AdventureDiscoveryGroup!$D$8:$AW$92,표1[[#This Row],[명칭]]),"-")</f>
        <v>0</v>
      </c>
      <c r="J694" s="38">
        <f>IFERROR(COUNTIF([1]FishDiscoveryGroup!$A:$X,표1[[#This Row],[명칭]]),"-")</f>
        <v>0</v>
      </c>
      <c r="K694" s="38" t="str">
        <f>IFERROR(COUNTIF([2]Town!$B:$B,표1[[#This Row],[명칭]]),"-")</f>
        <v>-</v>
      </c>
      <c r="L694" s="38">
        <f>IFERROR(COUNTIF([1]Village!$BR:$BR,표1[[#This Row],[명칭]]),"-")</f>
        <v>0</v>
      </c>
      <c r="M694" s="38">
        <f>COUNTIF(퀘스트!B:B,표1[[#This Row],[명칭]])</f>
        <v>0</v>
      </c>
      <c r="N694" s="65">
        <f>COUNTIF([1]VillageDiscoveryGroup!$C:$C,표1[[#This Row],[명칭]])</f>
        <v>0</v>
      </c>
      <c r="O694" s="65">
        <f>SUM(표1[[#This Row],[해양탐색]:[마을탐험]])</f>
        <v>0</v>
      </c>
    </row>
    <row r="695" spans="2:15" ht="13.5" customHeight="1" x14ac:dyDescent="0.3">
      <c r="B695" s="9">
        <f>[1]Discovery!A701</f>
        <v>70406045</v>
      </c>
      <c r="C695" s="9" t="str">
        <f>[1]Discovery!B701</f>
        <v>빨간눈청개구리</v>
      </c>
      <c r="D695" s="9" t="str">
        <f>[1]Discovery!E701</f>
        <v>동물</v>
      </c>
      <c r="E695" s="9" t="str">
        <f>[1]Discovery!C701</f>
        <v>파충류</v>
      </c>
      <c r="F695" s="9" t="str">
        <f>[1]Discovery!G701</f>
        <v>C</v>
      </c>
      <c r="G695" s="9" t="str">
        <f>IFERROR(VLOOKUP(표1[[#This Row],[명칭]],'문화권 정리'!C:D,2,FALSE),"-")</f>
        <v>중앙아메리카</v>
      </c>
      <c r="H695" s="38" t="str">
        <f>IFERROR(COUNTIF([2]OceanDoodad!$Y:$Y,표1[[#This Row],[명칭]]),"-")</f>
        <v>-</v>
      </c>
      <c r="I695" s="38">
        <f>IFERROR(COUNTIF([1]AdventureDiscoveryGroup!$D$8:$AW$92,표1[[#This Row],[명칭]]),"-")</f>
        <v>0</v>
      </c>
      <c r="J695" s="38">
        <f>IFERROR(COUNTIF([1]FishDiscoveryGroup!$A:$X,표1[[#This Row],[명칭]]),"-")</f>
        <v>0</v>
      </c>
      <c r="K695" s="38" t="str">
        <f>IFERROR(COUNTIF([2]Town!$B:$B,표1[[#This Row],[명칭]]),"-")</f>
        <v>-</v>
      </c>
      <c r="L695" s="38">
        <f>IFERROR(COUNTIF([1]Village!$BR:$BR,표1[[#This Row],[명칭]]),"-")</f>
        <v>0</v>
      </c>
      <c r="M695" s="38">
        <f>COUNTIF(퀘스트!B:B,표1[[#This Row],[명칭]])</f>
        <v>0</v>
      </c>
      <c r="N695" s="65">
        <f>COUNTIF([1]VillageDiscoveryGroup!$C:$C,표1[[#This Row],[명칭]])</f>
        <v>1</v>
      </c>
      <c r="O695" s="65">
        <f>SUM(표1[[#This Row],[해양탐색]:[마을탐험]])</f>
        <v>1</v>
      </c>
    </row>
    <row r="696" spans="2:15" ht="13.5" customHeight="1" x14ac:dyDescent="0.3">
      <c r="B696" s="9">
        <f>[1]Discovery!A702</f>
        <v>70406046</v>
      </c>
      <c r="C696" s="9" t="str">
        <f>[1]Discovery!B702</f>
        <v>뻐끔살무사</v>
      </c>
      <c r="D696" s="9" t="str">
        <f>[1]Discovery!E702</f>
        <v>동물</v>
      </c>
      <c r="E696" s="9" t="str">
        <f>[1]Discovery!C702</f>
        <v>파충류</v>
      </c>
      <c r="F696" s="9" t="str">
        <f>[1]Discovery!G702</f>
        <v>B</v>
      </c>
      <c r="G696" s="9" t="str">
        <f>IFERROR(VLOOKUP(표1[[#This Row],[명칭]],'문화권 정리'!C:D,2,FALSE),"-")</f>
        <v>남아프리카</v>
      </c>
      <c r="H696" s="38" t="str">
        <f>IFERROR(COUNTIF([2]OceanDoodad!$Y:$Y,표1[[#This Row],[명칭]]),"-")</f>
        <v>-</v>
      </c>
      <c r="I696" s="38">
        <f>IFERROR(COUNTIF([1]AdventureDiscoveryGroup!$D$8:$AW$92,표1[[#This Row],[명칭]]),"-")</f>
        <v>1</v>
      </c>
      <c r="J696" s="38">
        <f>IFERROR(COUNTIF([1]FishDiscoveryGroup!$A:$X,표1[[#This Row],[명칭]]),"-")</f>
        <v>0</v>
      </c>
      <c r="K696" s="38" t="str">
        <f>IFERROR(COUNTIF([2]Town!$B:$B,표1[[#This Row],[명칭]]),"-")</f>
        <v>-</v>
      </c>
      <c r="L696" s="38">
        <f>IFERROR(COUNTIF([1]Village!$BR:$BR,표1[[#This Row],[명칭]]),"-")</f>
        <v>0</v>
      </c>
      <c r="M696" s="38">
        <f>COUNTIF(퀘스트!B:B,표1[[#This Row],[명칭]])</f>
        <v>0</v>
      </c>
      <c r="N696" s="65">
        <f>COUNTIF([1]VillageDiscoveryGroup!$C:$C,표1[[#This Row],[명칭]])</f>
        <v>0</v>
      </c>
      <c r="O696" s="65">
        <f>SUM(표1[[#This Row],[해양탐색]:[마을탐험]])</f>
        <v>1</v>
      </c>
    </row>
    <row r="697" spans="2:15" ht="13.5" customHeight="1" x14ac:dyDescent="0.3">
      <c r="B697" s="9">
        <f>[1]Discovery!A703</f>
        <v>70406047</v>
      </c>
      <c r="C697" s="9" t="str">
        <f>[1]Discovery!B703</f>
        <v>뿔개구리</v>
      </c>
      <c r="D697" s="9" t="str">
        <f>[1]Discovery!E703</f>
        <v>동물</v>
      </c>
      <c r="E697" s="9" t="str">
        <f>[1]Discovery!C703</f>
        <v>파충류</v>
      </c>
      <c r="F697" s="9" t="str">
        <f>[1]Discovery!G703</f>
        <v>D</v>
      </c>
      <c r="G697" s="9" t="str">
        <f>IFERROR(VLOOKUP(표1[[#This Row],[명칭]],'문화권 정리'!C:D,2,FALSE),"-")</f>
        <v>남아메리카</v>
      </c>
      <c r="H697" s="38" t="str">
        <f>IFERROR(COUNTIF([2]OceanDoodad!$Y:$Y,표1[[#This Row],[명칭]]),"-")</f>
        <v>-</v>
      </c>
      <c r="I697" s="38">
        <f>IFERROR(COUNTIF([1]AdventureDiscoveryGroup!$D$8:$AW$92,표1[[#This Row],[명칭]]),"-")</f>
        <v>1</v>
      </c>
      <c r="J697" s="38">
        <f>IFERROR(COUNTIF([1]FishDiscoveryGroup!$A:$X,표1[[#This Row],[명칭]]),"-")</f>
        <v>0</v>
      </c>
      <c r="K697" s="38" t="str">
        <f>IFERROR(COUNTIF([2]Town!$B:$B,표1[[#This Row],[명칭]]),"-")</f>
        <v>-</v>
      </c>
      <c r="L697" s="38">
        <f>IFERROR(COUNTIF([1]Village!$BR:$BR,표1[[#This Row],[명칭]]),"-")</f>
        <v>0</v>
      </c>
      <c r="M697" s="38">
        <f>COUNTIF(퀘스트!B:B,표1[[#This Row],[명칭]])</f>
        <v>0</v>
      </c>
      <c r="N697" s="65">
        <f>COUNTIF([1]VillageDiscoveryGroup!$C:$C,표1[[#This Row],[명칭]])</f>
        <v>0</v>
      </c>
      <c r="O697" s="65">
        <f>SUM(표1[[#This Row],[해양탐색]:[마을탐험]])</f>
        <v>1</v>
      </c>
    </row>
    <row r="698" spans="2:15" ht="13.5" customHeight="1" x14ac:dyDescent="0.3">
      <c r="B698" s="9">
        <f>[1]Discovery!A704</f>
        <v>70406048</v>
      </c>
      <c r="C698" s="9" t="str">
        <f>[1]Discovery!B704</f>
        <v>사막가시도마뱀</v>
      </c>
      <c r="D698" s="9" t="str">
        <f>[1]Discovery!E704</f>
        <v>동물</v>
      </c>
      <c r="E698" s="9" t="str">
        <f>[1]Discovery!C704</f>
        <v>파충류</v>
      </c>
      <c r="F698" s="9" t="str">
        <f>[1]Discovery!G704</f>
        <v>S</v>
      </c>
      <c r="G698" s="9" t="str">
        <f>IFERROR(VLOOKUP(표1[[#This Row],[명칭]],'문화권 정리'!C:D,2,FALSE),"-")</f>
        <v>오세아니아</v>
      </c>
      <c r="H698" s="38" t="str">
        <f>IFERROR(COUNTIF([2]OceanDoodad!$Y:$Y,표1[[#This Row],[명칭]]),"-")</f>
        <v>-</v>
      </c>
      <c r="I698" s="38">
        <f>IFERROR(COUNTIF([1]AdventureDiscoveryGroup!$D$8:$AW$92,표1[[#This Row],[명칭]]),"-")</f>
        <v>0</v>
      </c>
      <c r="J698" s="38">
        <f>IFERROR(COUNTIF([1]FishDiscoveryGroup!$A:$X,표1[[#This Row],[명칭]]),"-")</f>
        <v>0</v>
      </c>
      <c r="K698" s="38" t="str">
        <f>IFERROR(COUNTIF([2]Town!$B:$B,표1[[#This Row],[명칭]]),"-")</f>
        <v>-</v>
      </c>
      <c r="L698" s="38">
        <f>IFERROR(COUNTIF([1]Village!$BR:$BR,표1[[#This Row],[명칭]]),"-")</f>
        <v>0</v>
      </c>
      <c r="M698" s="38">
        <f>COUNTIF(퀘스트!B:B,표1[[#This Row],[명칭]])</f>
        <v>0</v>
      </c>
      <c r="N698" s="65">
        <f>COUNTIF([1]VillageDiscoveryGroup!$C:$C,표1[[#This Row],[명칭]])</f>
        <v>0</v>
      </c>
      <c r="O698" s="65">
        <f>SUM(표1[[#This Row],[해양탐색]:[마을탐험]])</f>
        <v>0</v>
      </c>
    </row>
    <row r="699" spans="2:15" ht="13.5" customHeight="1" x14ac:dyDescent="0.3">
      <c r="B699" s="9">
        <f>[1]Discovery!A705</f>
        <v>70406049</v>
      </c>
      <c r="C699" s="9" t="str">
        <f>[1]Discovery!B705</f>
        <v>사막비개구리</v>
      </c>
      <c r="D699" s="9" t="str">
        <f>[1]Discovery!E705</f>
        <v>동물</v>
      </c>
      <c r="E699" s="9" t="str">
        <f>[1]Discovery!C705</f>
        <v>파충류</v>
      </c>
      <c r="F699" s="9" t="str">
        <f>[1]Discovery!G705</f>
        <v>C</v>
      </c>
      <c r="G699" s="9" t="str">
        <f>IFERROR(VLOOKUP(표1[[#This Row],[명칭]],'문화권 정리'!C:D,2,FALSE),"-")</f>
        <v>남아프리카</v>
      </c>
      <c r="H699" s="38" t="str">
        <f>IFERROR(COUNTIF([2]OceanDoodad!$Y:$Y,표1[[#This Row],[명칭]]),"-")</f>
        <v>-</v>
      </c>
      <c r="I699" s="38">
        <f>IFERROR(COUNTIF([1]AdventureDiscoveryGroup!$D$8:$AW$92,표1[[#This Row],[명칭]]),"-")</f>
        <v>0</v>
      </c>
      <c r="J699" s="38">
        <f>IFERROR(COUNTIF([1]FishDiscoveryGroup!$A:$X,표1[[#This Row],[명칭]]),"-")</f>
        <v>0</v>
      </c>
      <c r="K699" s="38" t="str">
        <f>IFERROR(COUNTIF([2]Town!$B:$B,표1[[#This Row],[명칭]]),"-")</f>
        <v>-</v>
      </c>
      <c r="L699" s="38">
        <f>IFERROR(COUNTIF([1]Village!$BR:$BR,표1[[#This Row],[명칭]]),"-")</f>
        <v>0</v>
      </c>
      <c r="M699" s="38">
        <f>COUNTIF(퀘스트!B:B,표1[[#This Row],[명칭]])</f>
        <v>0</v>
      </c>
      <c r="N699" s="65">
        <f>COUNTIF([1]VillageDiscoveryGroup!$C:$C,표1[[#This Row],[명칭]])</f>
        <v>1</v>
      </c>
      <c r="O699" s="65">
        <f>SUM(표1[[#This Row],[해양탐색]:[마을탐험]])</f>
        <v>1</v>
      </c>
    </row>
    <row r="700" spans="2:15" ht="13.5" customHeight="1" x14ac:dyDescent="0.3">
      <c r="B700" s="9">
        <f>[1]Discovery!A706</f>
        <v>70406050</v>
      </c>
      <c r="C700" s="9" t="str">
        <f>[1]Discovery!B706</f>
        <v>사막뿔살무사</v>
      </c>
      <c r="D700" s="9" t="str">
        <f>[1]Discovery!E706</f>
        <v>동물</v>
      </c>
      <c r="E700" s="9" t="str">
        <f>[1]Discovery!C706</f>
        <v>파충류</v>
      </c>
      <c r="F700" s="9" t="str">
        <f>[1]Discovery!G706</f>
        <v>D</v>
      </c>
      <c r="G700" s="9" t="str">
        <f>IFERROR(VLOOKUP(표1[[#This Row],[명칭]],'문화권 정리'!C:D,2,FALSE),"-")</f>
        <v>동아프리카</v>
      </c>
      <c r="H700" s="38" t="str">
        <f>IFERROR(COUNTIF([2]OceanDoodad!$Y:$Y,표1[[#This Row],[명칭]]),"-")</f>
        <v>-</v>
      </c>
      <c r="I700" s="38">
        <f>IFERROR(COUNTIF([1]AdventureDiscoveryGroup!$D$8:$AW$92,표1[[#This Row],[명칭]]),"-")</f>
        <v>1</v>
      </c>
      <c r="J700" s="38">
        <f>IFERROR(COUNTIF([1]FishDiscoveryGroup!$A:$X,표1[[#This Row],[명칭]]),"-")</f>
        <v>0</v>
      </c>
      <c r="K700" s="38" t="str">
        <f>IFERROR(COUNTIF([2]Town!$B:$B,표1[[#This Row],[명칭]]),"-")</f>
        <v>-</v>
      </c>
      <c r="L700" s="38">
        <f>IFERROR(COUNTIF([1]Village!$BR:$BR,표1[[#This Row],[명칭]]),"-")</f>
        <v>0</v>
      </c>
      <c r="M700" s="38">
        <f>COUNTIF(퀘스트!B:B,표1[[#This Row],[명칭]])</f>
        <v>0</v>
      </c>
      <c r="N700" s="65">
        <f>COUNTIF([1]VillageDiscoveryGroup!$C:$C,표1[[#This Row],[명칭]])</f>
        <v>0</v>
      </c>
      <c r="O700" s="65">
        <f>SUM(표1[[#This Row],[해양탐색]:[마을탐험]])</f>
        <v>1</v>
      </c>
    </row>
    <row r="701" spans="2:15" ht="13.5" customHeight="1" x14ac:dyDescent="0.3">
      <c r="B701" s="9">
        <f>[1]Discovery!A707</f>
        <v>70406051</v>
      </c>
      <c r="C701" s="9" t="str">
        <f>[1]Discovery!B707</f>
        <v>사자타마린</v>
      </c>
      <c r="D701" s="9" t="str">
        <f>[1]Discovery!E707</f>
        <v>동물</v>
      </c>
      <c r="E701" s="9" t="str">
        <f>[1]Discovery!C707</f>
        <v>포유류</v>
      </c>
      <c r="F701" s="9" t="str">
        <f>[1]Discovery!G707</f>
        <v>B</v>
      </c>
      <c r="G701" s="9" t="str">
        <f>IFERROR(VLOOKUP(표1[[#This Row],[명칭]],'문화권 정리'!C:D,2,FALSE),"-")</f>
        <v>남아메리카</v>
      </c>
      <c r="H701" s="38" t="str">
        <f>IFERROR(COUNTIF([2]OceanDoodad!$Y:$Y,표1[[#This Row],[명칭]]),"-")</f>
        <v>-</v>
      </c>
      <c r="I701" s="38">
        <f>IFERROR(COUNTIF([1]AdventureDiscoveryGroup!$D$8:$AW$92,표1[[#This Row],[명칭]]),"-")</f>
        <v>1</v>
      </c>
      <c r="J701" s="38">
        <f>IFERROR(COUNTIF([1]FishDiscoveryGroup!$A:$X,표1[[#This Row],[명칭]]),"-")</f>
        <v>0</v>
      </c>
      <c r="K701" s="38" t="str">
        <f>IFERROR(COUNTIF([2]Town!$B:$B,표1[[#This Row],[명칭]]),"-")</f>
        <v>-</v>
      </c>
      <c r="L701" s="38">
        <f>IFERROR(COUNTIF([1]Village!$BR:$BR,표1[[#This Row],[명칭]]),"-")</f>
        <v>0</v>
      </c>
      <c r="M701" s="38">
        <f>COUNTIF(퀘스트!B:B,표1[[#This Row],[명칭]])</f>
        <v>0</v>
      </c>
      <c r="N701" s="65">
        <f>COUNTIF([1]VillageDiscoveryGroup!$C:$C,표1[[#This Row],[명칭]])</f>
        <v>0</v>
      </c>
      <c r="O701" s="65">
        <f>SUM(표1[[#This Row],[해양탐색]:[마을탐험]])</f>
        <v>1</v>
      </c>
    </row>
    <row r="702" spans="2:15" ht="13.5" customHeight="1" x14ac:dyDescent="0.3">
      <c r="B702" s="9">
        <f>[1]Discovery!A708</f>
        <v>70406052</v>
      </c>
      <c r="C702" s="9" t="str">
        <f>[1]Discovery!B708</f>
        <v>사향쥐</v>
      </c>
      <c r="D702" s="9" t="str">
        <f>[1]Discovery!E708</f>
        <v>동물</v>
      </c>
      <c r="E702" s="9" t="str">
        <f>[1]Discovery!C708</f>
        <v>포유류</v>
      </c>
      <c r="F702" s="9" t="str">
        <f>[1]Discovery!G708</f>
        <v>C</v>
      </c>
      <c r="G702" s="9" t="str">
        <f>IFERROR(VLOOKUP(표1[[#This Row],[명칭]],'문화권 정리'!C:D,2,FALSE),"-")</f>
        <v>동아시아</v>
      </c>
      <c r="H702" s="38" t="str">
        <f>IFERROR(COUNTIF([2]OceanDoodad!$Y:$Y,표1[[#This Row],[명칭]]),"-")</f>
        <v>-</v>
      </c>
      <c r="I702" s="38">
        <f>IFERROR(COUNTIF([1]AdventureDiscoveryGroup!$D$8:$AW$92,표1[[#This Row],[명칭]]),"-")</f>
        <v>0</v>
      </c>
      <c r="J702" s="38">
        <f>IFERROR(COUNTIF([1]FishDiscoveryGroup!$A:$X,표1[[#This Row],[명칭]]),"-")</f>
        <v>0</v>
      </c>
      <c r="K702" s="38" t="str">
        <f>IFERROR(COUNTIF([2]Town!$B:$B,표1[[#This Row],[명칭]]),"-")</f>
        <v>-</v>
      </c>
      <c r="L702" s="38">
        <f>IFERROR(COUNTIF([1]Village!$BR:$BR,표1[[#This Row],[명칭]]),"-")</f>
        <v>0</v>
      </c>
      <c r="M702" s="38">
        <f>COUNTIF(퀘스트!B:B,표1[[#This Row],[명칭]])</f>
        <v>0</v>
      </c>
      <c r="N702" s="65">
        <f>COUNTIF([1]VillageDiscoveryGroup!$C:$C,표1[[#This Row],[명칭]])</f>
        <v>0</v>
      </c>
      <c r="O702" s="65">
        <f>SUM(표1[[#This Row],[해양탐색]:[마을탐험]])</f>
        <v>0</v>
      </c>
    </row>
    <row r="703" spans="2:15" ht="13.5" customHeight="1" x14ac:dyDescent="0.3">
      <c r="B703" s="9">
        <f>[1]Discovery!A709</f>
        <v>70406053</v>
      </c>
      <c r="C703" s="9" t="str">
        <f>[1]Discovery!B709</f>
        <v>샐러맨더</v>
      </c>
      <c r="D703" s="9" t="str">
        <f>[1]Discovery!E709</f>
        <v>동물</v>
      </c>
      <c r="E703" s="9" t="str">
        <f>[1]Discovery!C709</f>
        <v>파충류</v>
      </c>
      <c r="F703" s="9" t="str">
        <f>[1]Discovery!G709</f>
        <v>S</v>
      </c>
      <c r="G703" s="9" t="str">
        <f>IFERROR(VLOOKUP(표1[[#This Row],[명칭]],'문화권 정리'!C:D,2,FALSE),"-")</f>
        <v>지중해</v>
      </c>
      <c r="H703" s="38" t="str">
        <f>IFERROR(COUNTIF([2]OceanDoodad!$Y:$Y,표1[[#This Row],[명칭]]),"-")</f>
        <v>-</v>
      </c>
      <c r="I703" s="38">
        <f>IFERROR(COUNTIF([1]AdventureDiscoveryGroup!$D$8:$AW$92,표1[[#This Row],[명칭]]),"-")</f>
        <v>0</v>
      </c>
      <c r="J703" s="38">
        <f>IFERROR(COUNTIF([1]FishDiscoveryGroup!$A:$X,표1[[#This Row],[명칭]]),"-")</f>
        <v>0</v>
      </c>
      <c r="K703" s="38" t="str">
        <f>IFERROR(COUNTIF([2]Town!$B:$B,표1[[#This Row],[명칭]]),"-")</f>
        <v>-</v>
      </c>
      <c r="L703" s="38">
        <f>IFERROR(COUNTIF([1]Village!$BR:$BR,표1[[#This Row],[명칭]]),"-")</f>
        <v>0</v>
      </c>
      <c r="M703" s="38">
        <f>COUNTIF(퀘스트!B:B,표1[[#This Row],[명칭]])</f>
        <v>0</v>
      </c>
      <c r="N703" s="65">
        <f>COUNTIF([1]VillageDiscoveryGroup!$C:$C,표1[[#This Row],[명칭]])</f>
        <v>0</v>
      </c>
      <c r="O703" s="65">
        <f>SUM(표1[[#This Row],[해양탐색]:[마을탐험]])</f>
        <v>0</v>
      </c>
    </row>
    <row r="704" spans="2:15" ht="13.5" customHeight="1" x14ac:dyDescent="0.3">
      <c r="B704" s="9">
        <f>[1]Discovery!A710</f>
        <v>70406054</v>
      </c>
      <c r="C704" s="9" t="str">
        <f>[1]Discovery!B710</f>
        <v>세발가락상자거북</v>
      </c>
      <c r="D704" s="9" t="str">
        <f>[1]Discovery!E710</f>
        <v>동물</v>
      </c>
      <c r="E704" s="9" t="str">
        <f>[1]Discovery!C710</f>
        <v>파충류</v>
      </c>
      <c r="F704" s="9" t="str">
        <f>[1]Discovery!G710</f>
        <v>C</v>
      </c>
      <c r="G704" s="9" t="str">
        <f>IFERROR(VLOOKUP(표1[[#This Row],[명칭]],'문화권 정리'!C:D,2,FALSE),"-")</f>
        <v>북아메리카</v>
      </c>
      <c r="H704" s="38" t="str">
        <f>IFERROR(COUNTIF([2]OceanDoodad!$Y:$Y,표1[[#This Row],[명칭]]),"-")</f>
        <v>-</v>
      </c>
      <c r="I704" s="38">
        <f>IFERROR(COUNTIF([1]AdventureDiscoveryGroup!$D$8:$AW$92,표1[[#This Row],[명칭]]),"-")</f>
        <v>0</v>
      </c>
      <c r="J704" s="38">
        <f>IFERROR(COUNTIF([1]FishDiscoveryGroup!$A:$X,표1[[#This Row],[명칭]]),"-")</f>
        <v>0</v>
      </c>
      <c r="K704" s="38" t="str">
        <f>IFERROR(COUNTIF([2]Town!$B:$B,표1[[#This Row],[명칭]]),"-")</f>
        <v>-</v>
      </c>
      <c r="L704" s="38">
        <f>IFERROR(COUNTIF([1]Village!$BR:$BR,표1[[#This Row],[명칭]]),"-")</f>
        <v>0</v>
      </c>
      <c r="M704" s="38">
        <f>COUNTIF(퀘스트!B:B,표1[[#This Row],[명칭]])</f>
        <v>0</v>
      </c>
      <c r="N704" s="65">
        <f>COUNTIF([1]VillageDiscoveryGroup!$C:$C,표1[[#This Row],[명칭]])</f>
        <v>1</v>
      </c>
      <c r="O704" s="65">
        <f>SUM(표1[[#This Row],[해양탐색]:[마을탐험]])</f>
        <v>1</v>
      </c>
    </row>
    <row r="705" spans="2:15" ht="13.5" customHeight="1" x14ac:dyDescent="0.3">
      <c r="B705" s="9">
        <f>[1]Discovery!A711</f>
        <v>70406055</v>
      </c>
      <c r="C705" s="9" t="str">
        <f>[1]Discovery!B711</f>
        <v>솔레노돈</v>
      </c>
      <c r="D705" s="9" t="str">
        <f>[1]Discovery!E711</f>
        <v>동물</v>
      </c>
      <c r="E705" s="9" t="str">
        <f>[1]Discovery!C711</f>
        <v>포유류</v>
      </c>
      <c r="F705" s="9" t="str">
        <f>[1]Discovery!G711</f>
        <v>B</v>
      </c>
      <c r="G705" s="9" t="str">
        <f>IFERROR(VLOOKUP(표1[[#This Row],[명칭]],'문화권 정리'!C:D,2,FALSE),"-")</f>
        <v>중앙아메리카</v>
      </c>
      <c r="H705" s="38" t="str">
        <f>IFERROR(COUNTIF([2]OceanDoodad!$Y:$Y,표1[[#This Row],[명칭]]),"-")</f>
        <v>-</v>
      </c>
      <c r="I705" s="38">
        <f>IFERROR(COUNTIF([1]AdventureDiscoveryGroup!$D$8:$AW$92,표1[[#This Row],[명칭]]),"-")</f>
        <v>0</v>
      </c>
      <c r="J705" s="38">
        <f>IFERROR(COUNTIF([1]FishDiscoveryGroup!$A:$X,표1[[#This Row],[명칭]]),"-")</f>
        <v>0</v>
      </c>
      <c r="K705" s="38" t="str">
        <f>IFERROR(COUNTIF([2]Town!$B:$B,표1[[#This Row],[명칭]]),"-")</f>
        <v>-</v>
      </c>
      <c r="L705" s="38">
        <f>IFERROR(COUNTIF([1]Village!$BR:$BR,표1[[#This Row],[명칭]]),"-")</f>
        <v>0</v>
      </c>
      <c r="M705" s="38">
        <f>COUNTIF(퀘스트!B:B,표1[[#This Row],[명칭]])</f>
        <v>0</v>
      </c>
      <c r="N705" s="65">
        <f>COUNTIF([1]VillageDiscoveryGroup!$C:$C,표1[[#This Row],[명칭]])</f>
        <v>0</v>
      </c>
      <c r="O705" s="65">
        <f>SUM(표1[[#This Row],[해양탐색]:[마을탐험]])</f>
        <v>0</v>
      </c>
    </row>
    <row r="706" spans="2:15" ht="13.5" customHeight="1" x14ac:dyDescent="0.3">
      <c r="B706" s="9">
        <f>[1]Discovery!A712</f>
        <v>70406056</v>
      </c>
      <c r="C706" s="9" t="str">
        <f>[1]Discovery!B712</f>
        <v>솜꼬리토끼</v>
      </c>
      <c r="D706" s="9" t="str">
        <f>[1]Discovery!E712</f>
        <v>동물</v>
      </c>
      <c r="E706" s="9" t="str">
        <f>[1]Discovery!C712</f>
        <v>포유류</v>
      </c>
      <c r="F706" s="9" t="str">
        <f>[1]Discovery!G712</f>
        <v>B</v>
      </c>
      <c r="G706" s="9" t="str">
        <f>IFERROR(VLOOKUP(표1[[#This Row],[명칭]],'문화권 정리'!C:D,2,FALSE),"-")</f>
        <v>북아메리카</v>
      </c>
      <c r="H706" s="38" t="str">
        <f>IFERROR(COUNTIF([2]OceanDoodad!$Y:$Y,표1[[#This Row],[명칭]]),"-")</f>
        <v>-</v>
      </c>
      <c r="I706" s="38">
        <f>IFERROR(COUNTIF([1]AdventureDiscoveryGroup!$D$8:$AW$92,표1[[#This Row],[명칭]]),"-")</f>
        <v>1</v>
      </c>
      <c r="J706" s="38">
        <f>IFERROR(COUNTIF([1]FishDiscoveryGroup!$A:$X,표1[[#This Row],[명칭]]),"-")</f>
        <v>0</v>
      </c>
      <c r="K706" s="38" t="str">
        <f>IFERROR(COUNTIF([2]Town!$B:$B,표1[[#This Row],[명칭]]),"-")</f>
        <v>-</v>
      </c>
      <c r="L706" s="38">
        <f>IFERROR(COUNTIF([1]Village!$BR:$BR,표1[[#This Row],[명칭]]),"-")</f>
        <v>0</v>
      </c>
      <c r="M706" s="38">
        <f>COUNTIF(퀘스트!B:B,표1[[#This Row],[명칭]])</f>
        <v>0</v>
      </c>
      <c r="N706" s="65">
        <f>COUNTIF([1]VillageDiscoveryGroup!$C:$C,표1[[#This Row],[명칭]])</f>
        <v>0</v>
      </c>
      <c r="O706" s="65">
        <f>SUM(표1[[#This Row],[해양탐색]:[마을탐험]])</f>
        <v>1</v>
      </c>
    </row>
    <row r="707" spans="2:15" ht="13.5" customHeight="1" x14ac:dyDescent="0.3">
      <c r="B707" s="9">
        <f>[1]Discovery!A713</f>
        <v>70406057</v>
      </c>
      <c r="C707" s="9" t="str">
        <f>[1]Discovery!B713</f>
        <v>수달사향고양이</v>
      </c>
      <c r="D707" s="9" t="str">
        <f>[1]Discovery!E713</f>
        <v>동물</v>
      </c>
      <c r="E707" s="9" t="str">
        <f>[1]Discovery!C713</f>
        <v>포유류</v>
      </c>
      <c r="F707" s="9" t="str">
        <f>[1]Discovery!G713</f>
        <v>A</v>
      </c>
      <c r="G707" s="9" t="str">
        <f>IFERROR(VLOOKUP(표1[[#This Row],[명칭]],'문화권 정리'!C:D,2,FALSE),"-")</f>
        <v>동남아시아</v>
      </c>
      <c r="H707" s="38" t="str">
        <f>IFERROR(COUNTIF([2]OceanDoodad!$Y:$Y,표1[[#This Row],[명칭]]),"-")</f>
        <v>-</v>
      </c>
      <c r="I707" s="38">
        <f>IFERROR(COUNTIF([1]AdventureDiscoveryGroup!$D$8:$AW$92,표1[[#This Row],[명칭]]),"-")</f>
        <v>1</v>
      </c>
      <c r="J707" s="38">
        <f>IFERROR(COUNTIF([1]FishDiscoveryGroup!$A:$X,표1[[#This Row],[명칭]]),"-")</f>
        <v>0</v>
      </c>
      <c r="K707" s="38" t="str">
        <f>IFERROR(COUNTIF([2]Town!$B:$B,표1[[#This Row],[명칭]]),"-")</f>
        <v>-</v>
      </c>
      <c r="L707" s="38">
        <f>IFERROR(COUNTIF([1]Village!$BR:$BR,표1[[#This Row],[명칭]]),"-")</f>
        <v>0</v>
      </c>
      <c r="M707" s="38">
        <f>COUNTIF(퀘스트!B:B,표1[[#This Row],[명칭]])</f>
        <v>0</v>
      </c>
      <c r="N707" s="65">
        <f>COUNTIF([1]VillageDiscoveryGroup!$C:$C,표1[[#This Row],[명칭]])</f>
        <v>0</v>
      </c>
      <c r="O707" s="65">
        <f>SUM(표1[[#This Row],[해양탐색]:[마을탐험]])</f>
        <v>1</v>
      </c>
    </row>
    <row r="708" spans="2:15" ht="13.5" customHeight="1" x14ac:dyDescent="0.3">
      <c r="B708" s="9">
        <f>[1]Discovery!A714</f>
        <v>70406058</v>
      </c>
      <c r="C708" s="9" t="str">
        <f>[1]Discovery!B714</f>
        <v>숲산청개구리</v>
      </c>
      <c r="D708" s="9" t="str">
        <f>[1]Discovery!E714</f>
        <v>동물</v>
      </c>
      <c r="E708" s="9" t="str">
        <f>[1]Discovery!C714</f>
        <v>파충류</v>
      </c>
      <c r="F708" s="9" t="str">
        <f>[1]Discovery!G714</f>
        <v>D</v>
      </c>
      <c r="G708" s="9" t="str">
        <f>IFERROR(VLOOKUP(표1[[#This Row],[명칭]],'문화권 정리'!C:D,2,FALSE),"-")</f>
        <v>동아시아</v>
      </c>
      <c r="H708" s="38" t="str">
        <f>IFERROR(COUNTIF([2]OceanDoodad!$Y:$Y,표1[[#This Row],[명칭]]),"-")</f>
        <v>-</v>
      </c>
      <c r="I708" s="38">
        <f>IFERROR(COUNTIF([1]AdventureDiscoveryGroup!$D$8:$AW$92,표1[[#This Row],[명칭]]),"-")</f>
        <v>1</v>
      </c>
      <c r="J708" s="38">
        <f>IFERROR(COUNTIF([1]FishDiscoveryGroup!$A:$X,표1[[#This Row],[명칭]]),"-")</f>
        <v>0</v>
      </c>
      <c r="K708" s="38" t="str">
        <f>IFERROR(COUNTIF([2]Town!$B:$B,표1[[#This Row],[명칭]]),"-")</f>
        <v>-</v>
      </c>
      <c r="L708" s="38">
        <f>IFERROR(COUNTIF([1]Village!$BR:$BR,표1[[#This Row],[명칭]]),"-")</f>
        <v>0</v>
      </c>
      <c r="M708" s="38">
        <f>COUNTIF(퀘스트!B:B,표1[[#This Row],[명칭]])</f>
        <v>0</v>
      </c>
      <c r="N708" s="65">
        <f>COUNTIF([1]VillageDiscoveryGroup!$C:$C,표1[[#This Row],[명칭]])</f>
        <v>0</v>
      </c>
      <c r="O708" s="65">
        <f>SUM(표1[[#This Row],[해양탐색]:[마을탐험]])</f>
        <v>1</v>
      </c>
    </row>
    <row r="709" spans="2:15" ht="13.5" customHeight="1" x14ac:dyDescent="0.3">
      <c r="B709" s="9">
        <f>[1]Discovery!A715</f>
        <v>70406059</v>
      </c>
      <c r="C709" s="9" t="str">
        <f>[1]Discovery!B715</f>
        <v>유대하늘다람쥐</v>
      </c>
      <c r="D709" s="9" t="str">
        <f>[1]Discovery!E715</f>
        <v>동물</v>
      </c>
      <c r="E709" s="9" t="str">
        <f>[1]Discovery!C715</f>
        <v>포유류</v>
      </c>
      <c r="F709" s="9" t="str">
        <f>[1]Discovery!G715</f>
        <v>B</v>
      </c>
      <c r="G709" s="9" t="str">
        <f>IFERROR(VLOOKUP(표1[[#This Row],[명칭]],'문화권 정리'!C:D,2,FALSE),"-")</f>
        <v>오세아니아</v>
      </c>
      <c r="H709" s="38" t="str">
        <f>IFERROR(COUNTIF([2]OceanDoodad!$Y:$Y,표1[[#This Row],[명칭]]),"-")</f>
        <v>-</v>
      </c>
      <c r="I709" s="38">
        <f>IFERROR(COUNTIF([1]AdventureDiscoveryGroup!$D$8:$AW$92,표1[[#This Row],[명칭]]),"-")</f>
        <v>0</v>
      </c>
      <c r="J709" s="38">
        <f>IFERROR(COUNTIF([1]FishDiscoveryGroup!$A:$X,표1[[#This Row],[명칭]]),"-")</f>
        <v>0</v>
      </c>
      <c r="K709" s="38" t="str">
        <f>IFERROR(COUNTIF([2]Town!$B:$B,표1[[#This Row],[명칭]]),"-")</f>
        <v>-</v>
      </c>
      <c r="L709" s="38">
        <f>IFERROR(COUNTIF([1]Village!$BR:$BR,표1[[#This Row],[명칭]]),"-")</f>
        <v>0</v>
      </c>
      <c r="M709" s="38">
        <f>COUNTIF(퀘스트!B:B,표1[[#This Row],[명칭]])</f>
        <v>0</v>
      </c>
      <c r="N709" s="65">
        <f>COUNTIF([1]VillageDiscoveryGroup!$C:$C,표1[[#This Row],[명칭]])</f>
        <v>0</v>
      </c>
      <c r="O709" s="65">
        <f>SUM(표1[[#This Row],[해양탐색]:[마을탐험]])</f>
        <v>0</v>
      </c>
    </row>
    <row r="710" spans="2:15" ht="13.5" customHeight="1" x14ac:dyDescent="0.3">
      <c r="B710" s="9">
        <f>[1]Discovery!A716</f>
        <v>70406060</v>
      </c>
      <c r="C710" s="9" t="str">
        <f>[1]Discovery!B716</f>
        <v>스피팅코브라</v>
      </c>
      <c r="D710" s="9" t="str">
        <f>[1]Discovery!E716</f>
        <v>동물</v>
      </c>
      <c r="E710" s="9" t="str">
        <f>[1]Discovery!C716</f>
        <v>파충류</v>
      </c>
      <c r="F710" s="9" t="str">
        <f>[1]Discovery!G716</f>
        <v>B</v>
      </c>
      <c r="G710" s="9" t="str">
        <f>IFERROR(VLOOKUP(표1[[#This Row],[명칭]],'문화권 정리'!C:D,2,FALSE),"-")</f>
        <v>서아프리카</v>
      </c>
      <c r="H710" s="38" t="str">
        <f>IFERROR(COUNTIF([2]OceanDoodad!$Y:$Y,표1[[#This Row],[명칭]]),"-")</f>
        <v>-</v>
      </c>
      <c r="I710" s="38">
        <f>IFERROR(COUNTIF([1]AdventureDiscoveryGroup!$D$8:$AW$92,표1[[#This Row],[명칭]]),"-")</f>
        <v>1</v>
      </c>
      <c r="J710" s="38">
        <f>IFERROR(COUNTIF([1]FishDiscoveryGroup!$A:$X,표1[[#This Row],[명칭]]),"-")</f>
        <v>0</v>
      </c>
      <c r="K710" s="38" t="str">
        <f>IFERROR(COUNTIF([2]Town!$B:$B,표1[[#This Row],[명칭]]),"-")</f>
        <v>-</v>
      </c>
      <c r="L710" s="38">
        <f>IFERROR(COUNTIF([1]Village!$BR:$BR,표1[[#This Row],[명칭]]),"-")</f>
        <v>0</v>
      </c>
      <c r="M710" s="38">
        <f>COUNTIF(퀘스트!B:B,표1[[#This Row],[명칭]])</f>
        <v>0</v>
      </c>
      <c r="N710" s="65">
        <f>COUNTIF([1]VillageDiscoveryGroup!$C:$C,표1[[#This Row],[명칭]])</f>
        <v>0</v>
      </c>
      <c r="O710" s="65">
        <f>SUM(표1[[#This Row],[해양탐색]:[마을탐험]])</f>
        <v>1</v>
      </c>
    </row>
    <row r="711" spans="2:15" ht="13.5" customHeight="1" x14ac:dyDescent="0.3">
      <c r="B711" s="9">
        <f>[1]Discovery!A717</f>
        <v>70406061</v>
      </c>
      <c r="C711" s="9" t="str">
        <f>[1]Discovery!B717</f>
        <v>시리아햄스터</v>
      </c>
      <c r="D711" s="9" t="str">
        <f>[1]Discovery!E717</f>
        <v>동물</v>
      </c>
      <c r="E711" s="9" t="str">
        <f>[1]Discovery!C717</f>
        <v>포유류</v>
      </c>
      <c r="F711" s="9" t="str">
        <f>[1]Discovery!G717</f>
        <v>C</v>
      </c>
      <c r="G711" s="9" t="str">
        <f>IFERROR(VLOOKUP(표1[[#This Row],[명칭]],'문화권 정리'!C:D,2,FALSE),"-")</f>
        <v>지중해</v>
      </c>
      <c r="H711" s="38" t="str">
        <f>IFERROR(COUNTIF([2]OceanDoodad!$Y:$Y,표1[[#This Row],[명칭]]),"-")</f>
        <v>-</v>
      </c>
      <c r="I711" s="38">
        <f>IFERROR(COUNTIF([1]AdventureDiscoveryGroup!$D$8:$AW$92,표1[[#This Row],[명칭]]),"-")</f>
        <v>0</v>
      </c>
      <c r="J711" s="38">
        <f>IFERROR(COUNTIF([1]FishDiscoveryGroup!$A:$X,표1[[#This Row],[명칭]]),"-")</f>
        <v>0</v>
      </c>
      <c r="K711" s="38" t="str">
        <f>IFERROR(COUNTIF([2]Town!$B:$B,표1[[#This Row],[명칭]]),"-")</f>
        <v>-</v>
      </c>
      <c r="L711" s="38">
        <f>IFERROR(COUNTIF([1]Village!$BR:$BR,표1[[#This Row],[명칭]]),"-")</f>
        <v>0</v>
      </c>
      <c r="M711" s="38">
        <f>COUNTIF(퀘스트!B:B,표1[[#This Row],[명칭]])</f>
        <v>0</v>
      </c>
      <c r="N711" s="65">
        <f>COUNTIF([1]VillageDiscoveryGroup!$C:$C,표1[[#This Row],[명칭]])</f>
        <v>1</v>
      </c>
      <c r="O711" s="65">
        <f>SUM(표1[[#This Row],[해양탐색]:[마을탐험]])</f>
        <v>1</v>
      </c>
    </row>
    <row r="712" spans="2:15" ht="13.5" customHeight="1" x14ac:dyDescent="0.3">
      <c r="B712" s="9">
        <f>[1]Discovery!A718</f>
        <v>70406062</v>
      </c>
      <c r="C712" s="9" t="str">
        <f>[1]Discovery!B718</f>
        <v>아구티</v>
      </c>
      <c r="D712" s="9" t="str">
        <f>[1]Discovery!E718</f>
        <v>동물</v>
      </c>
      <c r="E712" s="9" t="str">
        <f>[1]Discovery!C718</f>
        <v>포유류</v>
      </c>
      <c r="F712" s="9" t="str">
        <f>[1]Discovery!G718</f>
        <v>C</v>
      </c>
      <c r="G712" s="9" t="str">
        <f>IFERROR(VLOOKUP(표1[[#This Row],[명칭]],'문화권 정리'!C:D,2,FALSE),"-")</f>
        <v>남아메리카</v>
      </c>
      <c r="H712" s="38" t="str">
        <f>IFERROR(COUNTIF([2]OceanDoodad!$Y:$Y,표1[[#This Row],[명칭]]),"-")</f>
        <v>-</v>
      </c>
      <c r="I712" s="38">
        <f>IFERROR(COUNTIF([1]AdventureDiscoveryGroup!$D$8:$AW$92,표1[[#This Row],[명칭]]),"-")</f>
        <v>1</v>
      </c>
      <c r="J712" s="38">
        <f>IFERROR(COUNTIF([1]FishDiscoveryGroup!$A:$X,표1[[#This Row],[명칭]]),"-")</f>
        <v>0</v>
      </c>
      <c r="K712" s="38" t="str">
        <f>IFERROR(COUNTIF([2]Town!$B:$B,표1[[#This Row],[명칭]]),"-")</f>
        <v>-</v>
      </c>
      <c r="L712" s="38">
        <f>IFERROR(COUNTIF([1]Village!$BR:$BR,표1[[#This Row],[명칭]]),"-")</f>
        <v>0</v>
      </c>
      <c r="M712" s="38">
        <f>COUNTIF(퀘스트!B:B,표1[[#This Row],[명칭]])</f>
        <v>0</v>
      </c>
      <c r="N712" s="65">
        <f>COUNTIF([1]VillageDiscoveryGroup!$C:$C,표1[[#This Row],[명칭]])</f>
        <v>0</v>
      </c>
      <c r="O712" s="65">
        <f>SUM(표1[[#This Row],[해양탐색]:[마을탐험]])</f>
        <v>1</v>
      </c>
    </row>
    <row r="713" spans="2:15" ht="13.5" customHeight="1" x14ac:dyDescent="0.3">
      <c r="B713" s="9">
        <f>[1]Discovery!A719</f>
        <v>70406063</v>
      </c>
      <c r="C713" s="9" t="str">
        <f>[1]Discovery!B719</f>
        <v>아르마딜로갑옷도마뱀</v>
      </c>
      <c r="D713" s="9" t="str">
        <f>[1]Discovery!E719</f>
        <v>동물</v>
      </c>
      <c r="E713" s="9" t="str">
        <f>[1]Discovery!C719</f>
        <v>파충류</v>
      </c>
      <c r="F713" s="9" t="str">
        <f>[1]Discovery!G719</f>
        <v>A</v>
      </c>
      <c r="G713" s="9" t="str">
        <f>IFERROR(VLOOKUP(표1[[#This Row],[명칭]],'문화권 정리'!C:D,2,FALSE),"-")</f>
        <v>남아프리카</v>
      </c>
      <c r="H713" s="38" t="str">
        <f>IFERROR(COUNTIF([2]OceanDoodad!$Y:$Y,표1[[#This Row],[명칭]]),"-")</f>
        <v>-</v>
      </c>
      <c r="I713" s="38">
        <f>IFERROR(COUNTIF([1]AdventureDiscoveryGroup!$D$8:$AW$92,표1[[#This Row],[명칭]]),"-")</f>
        <v>1</v>
      </c>
      <c r="J713" s="38">
        <f>IFERROR(COUNTIF([1]FishDiscoveryGroup!$A:$X,표1[[#This Row],[명칭]]),"-")</f>
        <v>0</v>
      </c>
      <c r="K713" s="38" t="str">
        <f>IFERROR(COUNTIF([2]Town!$B:$B,표1[[#This Row],[명칭]]),"-")</f>
        <v>-</v>
      </c>
      <c r="L713" s="38">
        <f>IFERROR(COUNTIF([1]Village!$BR:$BR,표1[[#This Row],[명칭]]),"-")</f>
        <v>0</v>
      </c>
      <c r="M713" s="38">
        <f>COUNTIF(퀘스트!B:B,표1[[#This Row],[명칭]])</f>
        <v>0</v>
      </c>
      <c r="N713" s="65">
        <f>COUNTIF([1]VillageDiscoveryGroup!$C:$C,표1[[#This Row],[명칭]])</f>
        <v>0</v>
      </c>
      <c r="O713" s="65">
        <f>SUM(표1[[#This Row],[해양탐색]:[마을탐험]])</f>
        <v>1</v>
      </c>
    </row>
    <row r="714" spans="2:15" ht="13.5" customHeight="1" x14ac:dyDescent="0.3">
      <c r="B714" s="9">
        <f>[1]Discovery!A720</f>
        <v>70406064</v>
      </c>
      <c r="C714" s="9" t="str">
        <f>[1]Discovery!B720</f>
        <v>아메리카밍크</v>
      </c>
      <c r="D714" s="9" t="str">
        <f>[1]Discovery!E720</f>
        <v>동물</v>
      </c>
      <c r="E714" s="9" t="str">
        <f>[1]Discovery!C720</f>
        <v>포유류</v>
      </c>
      <c r="F714" s="9" t="str">
        <f>[1]Discovery!G720</f>
        <v>B</v>
      </c>
      <c r="G714" s="9" t="str">
        <f>IFERROR(VLOOKUP(표1[[#This Row],[명칭]],'문화권 정리'!C:D,2,FALSE),"-")</f>
        <v>북아메리카</v>
      </c>
      <c r="H714" s="38" t="str">
        <f>IFERROR(COUNTIF([2]OceanDoodad!$Y:$Y,표1[[#This Row],[명칭]]),"-")</f>
        <v>-</v>
      </c>
      <c r="I714" s="38">
        <f>IFERROR(COUNTIF([1]AdventureDiscoveryGroup!$D$8:$AW$92,표1[[#This Row],[명칭]]),"-")</f>
        <v>0</v>
      </c>
      <c r="J714" s="38">
        <f>IFERROR(COUNTIF([1]FishDiscoveryGroup!$A:$X,표1[[#This Row],[명칭]]),"-")</f>
        <v>0</v>
      </c>
      <c r="K714" s="38" t="str">
        <f>IFERROR(COUNTIF([2]Town!$B:$B,표1[[#This Row],[명칭]]),"-")</f>
        <v>-</v>
      </c>
      <c r="L714" s="38">
        <f>IFERROR(COUNTIF([1]Village!$BR:$BR,표1[[#This Row],[명칭]]),"-")</f>
        <v>0</v>
      </c>
      <c r="M714" s="38">
        <f>COUNTIF(퀘스트!B:B,표1[[#This Row],[명칭]])</f>
        <v>0</v>
      </c>
      <c r="N714" s="65">
        <f>COUNTIF([1]VillageDiscoveryGroup!$C:$C,표1[[#This Row],[명칭]])</f>
        <v>1</v>
      </c>
      <c r="O714" s="65">
        <f>SUM(표1[[#This Row],[해양탐색]:[마을탐험]])</f>
        <v>1</v>
      </c>
    </row>
    <row r="715" spans="2:15" ht="13.5" customHeight="1" x14ac:dyDescent="0.3">
      <c r="B715" s="9">
        <f>[1]Discovery!A721</f>
        <v>70406065</v>
      </c>
      <c r="C715" s="9" t="str">
        <f>[1]Discovery!B721</f>
        <v>아프리카발톱개구리</v>
      </c>
      <c r="D715" s="9" t="str">
        <f>[1]Discovery!E721</f>
        <v>동물</v>
      </c>
      <c r="E715" s="9" t="str">
        <f>[1]Discovery!C721</f>
        <v>파충류</v>
      </c>
      <c r="F715" s="9" t="str">
        <f>[1]Discovery!G721</f>
        <v>D</v>
      </c>
      <c r="G715" s="9" t="str">
        <f>IFERROR(VLOOKUP(표1[[#This Row],[명칭]],'문화권 정리'!C:D,2,FALSE),"-")</f>
        <v>남아프리카</v>
      </c>
      <c r="H715" s="38" t="str">
        <f>IFERROR(COUNTIF([2]OceanDoodad!$Y:$Y,표1[[#This Row],[명칭]]),"-")</f>
        <v>-</v>
      </c>
      <c r="I715" s="38">
        <f>IFERROR(COUNTIF([1]AdventureDiscoveryGroup!$D$8:$AW$92,표1[[#This Row],[명칭]]),"-")</f>
        <v>1</v>
      </c>
      <c r="J715" s="38">
        <f>IFERROR(COUNTIF([1]FishDiscoveryGroup!$A:$X,표1[[#This Row],[명칭]]),"-")</f>
        <v>0</v>
      </c>
      <c r="K715" s="38" t="str">
        <f>IFERROR(COUNTIF([2]Town!$B:$B,표1[[#This Row],[명칭]]),"-")</f>
        <v>-</v>
      </c>
      <c r="L715" s="38">
        <f>IFERROR(COUNTIF([1]Village!$BR:$BR,표1[[#This Row],[명칭]]),"-")</f>
        <v>0</v>
      </c>
      <c r="M715" s="38">
        <f>COUNTIF(퀘스트!B:B,표1[[#This Row],[명칭]])</f>
        <v>0</v>
      </c>
      <c r="N715" s="65">
        <f>COUNTIF([1]VillageDiscoveryGroup!$C:$C,표1[[#This Row],[명칭]])</f>
        <v>0</v>
      </c>
      <c r="O715" s="65">
        <f>SUM(표1[[#This Row],[해양탐색]:[마을탐험]])</f>
        <v>1</v>
      </c>
    </row>
    <row r="716" spans="2:15" ht="13.5" customHeight="1" x14ac:dyDescent="0.3">
      <c r="B716" s="9">
        <f>[1]Discovery!A722</f>
        <v>70406066</v>
      </c>
      <c r="C716" s="9" t="str">
        <f>[1]Discovery!B722</f>
        <v>아홀로틀</v>
      </c>
      <c r="D716" s="9" t="str">
        <f>[1]Discovery!E722</f>
        <v>동물</v>
      </c>
      <c r="E716" s="9" t="str">
        <f>[1]Discovery!C722</f>
        <v>파충류</v>
      </c>
      <c r="F716" s="9" t="str">
        <f>[1]Discovery!G722</f>
        <v>A</v>
      </c>
      <c r="G716" s="9" t="str">
        <f>IFERROR(VLOOKUP(표1[[#This Row],[명칭]],'문화권 정리'!C:D,2,FALSE),"-")</f>
        <v>중앙아메리카</v>
      </c>
      <c r="H716" s="38" t="str">
        <f>IFERROR(COUNTIF([2]OceanDoodad!$Y:$Y,표1[[#This Row],[명칭]]),"-")</f>
        <v>-</v>
      </c>
      <c r="I716" s="38">
        <f>IFERROR(COUNTIF([1]AdventureDiscoveryGroup!$D$8:$AW$92,표1[[#This Row],[명칭]]),"-")</f>
        <v>0</v>
      </c>
      <c r="J716" s="38">
        <f>IFERROR(COUNTIF([1]FishDiscoveryGroup!$A:$X,표1[[#This Row],[명칭]]),"-")</f>
        <v>0</v>
      </c>
      <c r="K716" s="38" t="str">
        <f>IFERROR(COUNTIF([2]Town!$B:$B,표1[[#This Row],[명칭]]),"-")</f>
        <v>-</v>
      </c>
      <c r="L716" s="38">
        <f>IFERROR(COUNTIF([1]Village!$BR:$BR,표1[[#This Row],[명칭]]),"-")</f>
        <v>0</v>
      </c>
      <c r="M716" s="38">
        <f>COUNTIF(퀘스트!B:B,표1[[#This Row],[명칭]])</f>
        <v>0</v>
      </c>
      <c r="N716" s="65">
        <f>COUNTIF([1]VillageDiscoveryGroup!$C:$C,표1[[#This Row],[명칭]])</f>
        <v>0</v>
      </c>
      <c r="O716" s="65">
        <f>SUM(표1[[#This Row],[해양탐색]:[마을탐험]])</f>
        <v>0</v>
      </c>
    </row>
    <row r="717" spans="2:15" ht="13.5" customHeight="1" x14ac:dyDescent="0.3">
      <c r="B717" s="9">
        <f>[1]Discovery!A723</f>
        <v>70406067</v>
      </c>
      <c r="C717" s="9" t="str">
        <f>[1]Discovery!B723</f>
        <v>안경원숭이</v>
      </c>
      <c r="D717" s="9" t="str">
        <f>[1]Discovery!E723</f>
        <v>동물</v>
      </c>
      <c r="E717" s="9" t="str">
        <f>[1]Discovery!C723</f>
        <v>포유류</v>
      </c>
      <c r="F717" s="9" t="str">
        <f>[1]Discovery!G723</f>
        <v>D</v>
      </c>
      <c r="G717" s="9" t="str">
        <f>IFERROR(VLOOKUP(표1[[#This Row],[명칭]],'문화권 정리'!C:D,2,FALSE),"-")</f>
        <v>동남아시아</v>
      </c>
      <c r="H717" s="38" t="str">
        <f>IFERROR(COUNTIF([2]OceanDoodad!$Y:$Y,표1[[#This Row],[명칭]]),"-")</f>
        <v>-</v>
      </c>
      <c r="I717" s="38">
        <f>IFERROR(COUNTIF([1]AdventureDiscoveryGroup!$D$8:$AW$92,표1[[#This Row],[명칭]]),"-")</f>
        <v>1</v>
      </c>
      <c r="J717" s="38">
        <f>IFERROR(COUNTIF([1]FishDiscoveryGroup!$A:$X,표1[[#This Row],[명칭]]),"-")</f>
        <v>0</v>
      </c>
      <c r="K717" s="38" t="str">
        <f>IFERROR(COUNTIF([2]Town!$B:$B,표1[[#This Row],[명칭]]),"-")</f>
        <v>-</v>
      </c>
      <c r="L717" s="38">
        <f>IFERROR(COUNTIF([1]Village!$BR:$BR,표1[[#This Row],[명칭]]),"-")</f>
        <v>0</v>
      </c>
      <c r="M717" s="38">
        <f>COUNTIF(퀘스트!B:B,표1[[#This Row],[명칭]])</f>
        <v>0</v>
      </c>
      <c r="N717" s="65">
        <f>COUNTIF([1]VillageDiscoveryGroup!$C:$C,표1[[#This Row],[명칭]])</f>
        <v>0</v>
      </c>
      <c r="O717" s="65">
        <f>SUM(표1[[#This Row],[해양탐색]:[마을탐험]])</f>
        <v>1</v>
      </c>
    </row>
    <row r="718" spans="2:15" ht="13.5" customHeight="1" x14ac:dyDescent="0.3">
      <c r="B718" s="9">
        <f>[1]Discovery!A724</f>
        <v>70406068</v>
      </c>
      <c r="C718" s="9" t="str">
        <f>[1]Discovery!B724</f>
        <v>암보이나상자거북</v>
      </c>
      <c r="D718" s="9" t="str">
        <f>[1]Discovery!E724</f>
        <v>동물</v>
      </c>
      <c r="E718" s="9" t="str">
        <f>[1]Discovery!C724</f>
        <v>파충류</v>
      </c>
      <c r="F718" s="9" t="str">
        <f>[1]Discovery!G724</f>
        <v>D</v>
      </c>
      <c r="G718" s="9" t="str">
        <f>IFERROR(VLOOKUP(표1[[#This Row],[명칭]],'문화권 정리'!C:D,2,FALSE),"-")</f>
        <v>동아시아</v>
      </c>
      <c r="H718" s="38" t="str">
        <f>IFERROR(COUNTIF([2]OceanDoodad!$Y:$Y,표1[[#This Row],[명칭]]),"-")</f>
        <v>-</v>
      </c>
      <c r="I718" s="38">
        <f>IFERROR(COUNTIF([1]AdventureDiscoveryGroup!$D$8:$AW$92,표1[[#This Row],[명칭]]),"-")</f>
        <v>0</v>
      </c>
      <c r="J718" s="38">
        <f>IFERROR(COUNTIF([1]FishDiscoveryGroup!$A:$X,표1[[#This Row],[명칭]]),"-")</f>
        <v>0</v>
      </c>
      <c r="K718" s="38" t="str">
        <f>IFERROR(COUNTIF([2]Town!$B:$B,표1[[#This Row],[명칭]]),"-")</f>
        <v>-</v>
      </c>
      <c r="L718" s="38">
        <f>IFERROR(COUNTIF([1]Village!$BR:$BR,표1[[#This Row],[명칭]]),"-")</f>
        <v>0</v>
      </c>
      <c r="M718" s="38">
        <f>COUNTIF(퀘스트!B:B,표1[[#This Row],[명칭]])</f>
        <v>0</v>
      </c>
      <c r="N718" s="65">
        <f>COUNTIF([1]VillageDiscoveryGroup!$C:$C,표1[[#This Row],[명칭]])</f>
        <v>0</v>
      </c>
      <c r="O718" s="65">
        <f>SUM(표1[[#This Row],[해양탐색]:[마을탐험]])</f>
        <v>0</v>
      </c>
    </row>
    <row r="719" spans="2:15" ht="13.5" customHeight="1" x14ac:dyDescent="0.3">
      <c r="B719" s="9">
        <f>[1]Discovery!A725</f>
        <v>70406069</v>
      </c>
      <c r="C719" s="9" t="str">
        <f>[1]Discovery!B725</f>
        <v>갈라파고스용암도마뱀</v>
      </c>
      <c r="D719" s="9" t="str">
        <f>[1]Discovery!E725</f>
        <v>동물</v>
      </c>
      <c r="E719" s="9" t="str">
        <f>[1]Discovery!C725</f>
        <v>파충류</v>
      </c>
      <c r="F719" s="9" t="str">
        <f>[1]Discovery!G725</f>
        <v>A</v>
      </c>
      <c r="G719" s="9" t="str">
        <f>IFERROR(VLOOKUP(표1[[#This Row],[명칭]],'문화권 정리'!C:D,2,FALSE),"-")</f>
        <v>남아메리카</v>
      </c>
      <c r="H719" s="38" t="str">
        <f>IFERROR(COUNTIF([2]OceanDoodad!$Y:$Y,표1[[#This Row],[명칭]]),"-")</f>
        <v>-</v>
      </c>
      <c r="I719" s="38">
        <f>IFERROR(COUNTIF([1]AdventureDiscoveryGroup!$D$8:$AW$92,표1[[#This Row],[명칭]]),"-")</f>
        <v>0</v>
      </c>
      <c r="J719" s="38">
        <f>IFERROR(COUNTIF([1]FishDiscoveryGroup!$A:$X,표1[[#This Row],[명칭]]),"-")</f>
        <v>0</v>
      </c>
      <c r="K719" s="38" t="str">
        <f>IFERROR(COUNTIF([2]Town!$B:$B,표1[[#This Row],[명칭]]),"-")</f>
        <v>-</v>
      </c>
      <c r="L719" s="38">
        <f>IFERROR(COUNTIF([1]Village!$BR:$BR,표1[[#This Row],[명칭]]),"-")</f>
        <v>0</v>
      </c>
      <c r="M719" s="38">
        <f>COUNTIF(퀘스트!B:B,표1[[#This Row],[명칭]])</f>
        <v>0</v>
      </c>
      <c r="N719" s="65">
        <f>COUNTIF([1]VillageDiscoveryGroup!$C:$C,표1[[#This Row],[명칭]])</f>
        <v>1</v>
      </c>
      <c r="O719" s="65">
        <f>SUM(표1[[#This Row],[해양탐색]:[마을탐험]])</f>
        <v>1</v>
      </c>
    </row>
    <row r="720" spans="2:15" ht="13.5" customHeight="1" x14ac:dyDescent="0.3">
      <c r="B720" s="9">
        <f>[1]Discovery!A726</f>
        <v>70406070</v>
      </c>
      <c r="C720" s="9" t="str">
        <f>[1]Discovery!B726</f>
        <v>우는토끼</v>
      </c>
      <c r="D720" s="9" t="str">
        <f>[1]Discovery!E726</f>
        <v>동물</v>
      </c>
      <c r="E720" s="9" t="str">
        <f>[1]Discovery!C726</f>
        <v>포유류</v>
      </c>
      <c r="F720" s="9" t="str">
        <f>[1]Discovery!G726</f>
        <v>C</v>
      </c>
      <c r="G720" s="9" t="str">
        <f>IFERROR(VLOOKUP(표1[[#This Row],[명칭]],'문화권 정리'!C:D,2,FALSE),"-")</f>
        <v>북아메리카</v>
      </c>
      <c r="H720" s="38" t="str">
        <f>IFERROR(COUNTIF([2]OceanDoodad!$Y:$Y,표1[[#This Row],[명칭]]),"-")</f>
        <v>-</v>
      </c>
      <c r="I720" s="38">
        <f>IFERROR(COUNTIF([1]AdventureDiscoveryGroup!$D$8:$AW$92,표1[[#This Row],[명칭]]),"-")</f>
        <v>1</v>
      </c>
      <c r="J720" s="38">
        <f>IFERROR(COUNTIF([1]FishDiscoveryGroup!$A:$X,표1[[#This Row],[명칭]]),"-")</f>
        <v>0</v>
      </c>
      <c r="K720" s="38" t="str">
        <f>IFERROR(COUNTIF([2]Town!$B:$B,표1[[#This Row],[명칭]]),"-")</f>
        <v>-</v>
      </c>
      <c r="L720" s="38">
        <f>IFERROR(COUNTIF([1]Village!$BR:$BR,표1[[#This Row],[명칭]]),"-")</f>
        <v>0</v>
      </c>
      <c r="M720" s="38">
        <f>COUNTIF(퀘스트!B:B,표1[[#This Row],[명칭]])</f>
        <v>0</v>
      </c>
      <c r="N720" s="65">
        <f>COUNTIF([1]VillageDiscoveryGroup!$C:$C,표1[[#This Row],[명칭]])</f>
        <v>0</v>
      </c>
      <c r="O720" s="65">
        <f>SUM(표1[[#This Row],[해양탐색]:[마을탐험]])</f>
        <v>1</v>
      </c>
    </row>
    <row r="721" spans="2:15" ht="13.5" customHeight="1" x14ac:dyDescent="0.3">
      <c r="B721" s="9">
        <f>[1]Discovery!A727</f>
        <v>70406071</v>
      </c>
      <c r="C721" s="9" t="str">
        <f>[1]Discovery!B727</f>
        <v>유럽땅다람쥐</v>
      </c>
      <c r="D721" s="9" t="str">
        <f>[1]Discovery!E727</f>
        <v>동물</v>
      </c>
      <c r="E721" s="9" t="str">
        <f>[1]Discovery!C727</f>
        <v>포유류</v>
      </c>
      <c r="F721" s="9" t="str">
        <f>[1]Discovery!G727</f>
        <v>D</v>
      </c>
      <c r="G721" s="9" t="str">
        <f>IFERROR(VLOOKUP(표1[[#This Row],[명칭]],'문화권 정리'!C:D,2,FALSE),"-")</f>
        <v>지중해</v>
      </c>
      <c r="H721" s="38" t="str">
        <f>IFERROR(COUNTIF([2]OceanDoodad!$Y:$Y,표1[[#This Row],[명칭]]),"-")</f>
        <v>-</v>
      </c>
      <c r="I721" s="38">
        <f>IFERROR(COUNTIF([1]AdventureDiscoveryGroup!$D$8:$AW$92,표1[[#This Row],[명칭]]),"-")</f>
        <v>1</v>
      </c>
      <c r="J721" s="38">
        <f>IFERROR(COUNTIF([1]FishDiscoveryGroup!$A:$X,표1[[#This Row],[명칭]]),"-")</f>
        <v>0</v>
      </c>
      <c r="K721" s="38" t="str">
        <f>IFERROR(COUNTIF([2]Town!$B:$B,표1[[#This Row],[명칭]]),"-")</f>
        <v>-</v>
      </c>
      <c r="L721" s="38">
        <f>IFERROR(COUNTIF([1]Village!$BR:$BR,표1[[#This Row],[명칭]]),"-")</f>
        <v>0</v>
      </c>
      <c r="M721" s="38">
        <f>COUNTIF(퀘스트!B:B,표1[[#This Row],[명칭]])</f>
        <v>0</v>
      </c>
      <c r="N721" s="65">
        <f>COUNTIF([1]VillageDiscoveryGroup!$C:$C,표1[[#This Row],[명칭]])</f>
        <v>0</v>
      </c>
      <c r="O721" s="65">
        <f>SUM(표1[[#This Row],[해양탐색]:[마을탐험]])</f>
        <v>1</v>
      </c>
    </row>
    <row r="722" spans="2:15" ht="13.5" customHeight="1" x14ac:dyDescent="0.3">
      <c r="B722" s="9">
        <f>[1]Discovery!A728</f>
        <v>70406072</v>
      </c>
      <c r="C722" s="9" t="str">
        <f>[1]Discovery!B728</f>
        <v>유럽밍크</v>
      </c>
      <c r="D722" s="9" t="str">
        <f>[1]Discovery!E728</f>
        <v>동물</v>
      </c>
      <c r="E722" s="9" t="str">
        <f>[1]Discovery!C728</f>
        <v>포유류</v>
      </c>
      <c r="F722" s="9" t="str">
        <f>[1]Discovery!G728</f>
        <v>S</v>
      </c>
      <c r="G722" s="9" t="str">
        <f>IFERROR(VLOOKUP(표1[[#This Row],[명칭]],'문화권 정리'!C:D,2,FALSE),"-")</f>
        <v>북유럽</v>
      </c>
      <c r="H722" s="38" t="str">
        <f>IFERROR(COUNTIF([2]OceanDoodad!$Y:$Y,표1[[#This Row],[명칭]]),"-")</f>
        <v>-</v>
      </c>
      <c r="I722" s="38">
        <f>IFERROR(COUNTIF([1]AdventureDiscoveryGroup!$D$8:$AW$92,표1[[#This Row],[명칭]]),"-")</f>
        <v>0</v>
      </c>
      <c r="J722" s="51">
        <f>IFERROR(COUNTIF([1]FishDiscoveryGroup!$A:$X,표1[[#This Row],[명칭]]),"-")</f>
        <v>0</v>
      </c>
      <c r="K722" s="38" t="str">
        <f>IFERROR(COUNTIF([2]Town!$B:$B,표1[[#This Row],[명칭]]),"-")</f>
        <v>-</v>
      </c>
      <c r="L722" s="38">
        <f>IFERROR(COUNTIF([1]Village!$BR:$BR,표1[[#This Row],[명칭]]),"-")</f>
        <v>0</v>
      </c>
      <c r="M722" s="38">
        <f>COUNTIF(퀘스트!B:B,표1[[#This Row],[명칭]])</f>
        <v>0</v>
      </c>
      <c r="N722" s="65">
        <f>COUNTIF([1]VillageDiscoveryGroup!$C:$C,표1[[#This Row],[명칭]])</f>
        <v>0</v>
      </c>
      <c r="O722" s="65">
        <f>SUM(표1[[#This Row],[해양탐색]:[마을탐험]])</f>
        <v>0</v>
      </c>
    </row>
    <row r="723" spans="2:15" ht="13.5" customHeight="1" x14ac:dyDescent="0.3">
      <c r="B723" s="9">
        <f>[1]Discovery!A729</f>
        <v>70406073</v>
      </c>
      <c r="C723" s="9" t="str">
        <f>[1]Discovery!B729</f>
        <v>유리개구리</v>
      </c>
      <c r="D723" s="9" t="str">
        <f>[1]Discovery!E729</f>
        <v>동물</v>
      </c>
      <c r="E723" s="9" t="str">
        <f>[1]Discovery!C729</f>
        <v>파충류</v>
      </c>
      <c r="F723" s="9" t="str">
        <f>[1]Discovery!G729</f>
        <v>A</v>
      </c>
      <c r="G723" s="9" t="str">
        <f>IFERROR(VLOOKUP(표1[[#This Row],[명칭]],'문화권 정리'!C:D,2,FALSE),"-")</f>
        <v>남아메리카</v>
      </c>
      <c r="H723" s="38" t="str">
        <f>IFERROR(COUNTIF([2]OceanDoodad!$Y:$Y,표1[[#This Row],[명칭]]),"-")</f>
        <v>-</v>
      </c>
      <c r="I723" s="38">
        <f>IFERROR(COUNTIF([1]AdventureDiscoveryGroup!$D$8:$AW$92,표1[[#This Row],[명칭]]),"-")</f>
        <v>0</v>
      </c>
      <c r="J723" s="38">
        <f>IFERROR(COUNTIF([1]FishDiscoveryGroup!$A:$X,표1[[#This Row],[명칭]]),"-")</f>
        <v>0</v>
      </c>
      <c r="K723" s="38" t="str">
        <f>IFERROR(COUNTIF([2]Town!$B:$B,표1[[#This Row],[명칭]]),"-")</f>
        <v>-</v>
      </c>
      <c r="L723" s="38">
        <f>IFERROR(COUNTIF([1]Village!$BR:$BR,표1[[#This Row],[명칭]]),"-")</f>
        <v>0</v>
      </c>
      <c r="M723" s="38">
        <f>COUNTIF(퀘스트!B:B,표1[[#This Row],[명칭]])</f>
        <v>0</v>
      </c>
      <c r="N723" s="65">
        <f>COUNTIF([1]VillageDiscoveryGroup!$C:$C,표1[[#This Row],[명칭]])</f>
        <v>1</v>
      </c>
      <c r="O723" s="65">
        <f>SUM(표1[[#This Row],[해양탐색]:[마을탐험]])</f>
        <v>1</v>
      </c>
    </row>
    <row r="724" spans="2:15" ht="13.5" customHeight="1" x14ac:dyDescent="0.3">
      <c r="B724" s="9">
        <f>[1]Discovery!A730</f>
        <v>70406074</v>
      </c>
      <c r="C724" s="9" t="str">
        <f>[1]Discovery!B730</f>
        <v>이시카와개구리</v>
      </c>
      <c r="D724" s="9" t="str">
        <f>[1]Discovery!E730</f>
        <v>동물</v>
      </c>
      <c r="E724" s="9" t="str">
        <f>[1]Discovery!C730</f>
        <v>파충류</v>
      </c>
      <c r="F724" s="9" t="str">
        <f>[1]Discovery!G730</f>
        <v>B</v>
      </c>
      <c r="G724" s="9" t="str">
        <f>IFERROR(VLOOKUP(표1[[#This Row],[명칭]],'문화권 정리'!C:D,2,FALSE),"-")</f>
        <v>동아시아</v>
      </c>
      <c r="H724" s="38" t="str">
        <f>IFERROR(COUNTIF([2]OceanDoodad!$Y:$Y,표1[[#This Row],[명칭]]),"-")</f>
        <v>-</v>
      </c>
      <c r="I724" s="38">
        <f>IFERROR(COUNTIF([1]AdventureDiscoveryGroup!$D$8:$AW$92,표1[[#This Row],[명칭]]),"-")</f>
        <v>0</v>
      </c>
      <c r="J724" s="38">
        <f>IFERROR(COUNTIF([1]FishDiscoveryGroup!$A:$X,표1[[#This Row],[명칭]]),"-")</f>
        <v>0</v>
      </c>
      <c r="K724" s="38" t="str">
        <f>IFERROR(COUNTIF([2]Town!$B:$B,표1[[#This Row],[명칭]]),"-")</f>
        <v>-</v>
      </c>
      <c r="L724" s="38">
        <f>IFERROR(COUNTIF([1]Village!$BR:$BR,표1[[#This Row],[명칭]]),"-")</f>
        <v>0</v>
      </c>
      <c r="M724" s="38">
        <f>COUNTIF(퀘스트!B:B,표1[[#This Row],[명칭]])</f>
        <v>0</v>
      </c>
      <c r="N724" s="65">
        <f>COUNTIF([1]VillageDiscoveryGroup!$C:$C,표1[[#This Row],[명칭]])</f>
        <v>1</v>
      </c>
      <c r="O724" s="65">
        <f>SUM(표1[[#This Row],[해양탐색]:[마을탐험]])</f>
        <v>1</v>
      </c>
    </row>
    <row r="725" spans="2:15" ht="13.5" customHeight="1" x14ac:dyDescent="0.3">
      <c r="B725" s="9">
        <f>[1]Discovery!A731</f>
        <v>70406075</v>
      </c>
      <c r="C725" s="9" t="str">
        <f>[1]Discovery!B731</f>
        <v>일리우는토끼</v>
      </c>
      <c r="D725" s="9" t="str">
        <f>[1]Discovery!E731</f>
        <v>동물</v>
      </c>
      <c r="E725" s="9" t="str">
        <f>[1]Discovery!C731</f>
        <v>포유류</v>
      </c>
      <c r="F725" s="9" t="str">
        <f>[1]Discovery!G731</f>
        <v>B</v>
      </c>
      <c r="G725" s="9" t="str">
        <f>IFERROR(VLOOKUP(표1[[#This Row],[명칭]],'문화권 정리'!C:D,2,FALSE),"-")</f>
        <v>동아시아</v>
      </c>
      <c r="H725" s="38" t="str">
        <f>IFERROR(COUNTIF([2]OceanDoodad!$Y:$Y,표1[[#This Row],[명칭]]),"-")</f>
        <v>-</v>
      </c>
      <c r="I725" s="38">
        <f>IFERROR(COUNTIF([1]AdventureDiscoveryGroup!$D$8:$AW$92,표1[[#This Row],[명칭]]),"-")</f>
        <v>0</v>
      </c>
      <c r="J725" s="38">
        <f>IFERROR(COUNTIF([1]FishDiscoveryGroup!$A:$X,표1[[#This Row],[명칭]]),"-")</f>
        <v>0</v>
      </c>
      <c r="K725" s="38" t="str">
        <f>IFERROR(COUNTIF([2]Town!$B:$B,표1[[#This Row],[명칭]]),"-")</f>
        <v>-</v>
      </c>
      <c r="L725" s="38">
        <f>IFERROR(COUNTIF([1]Village!$BR:$BR,표1[[#This Row],[명칭]]),"-")</f>
        <v>0</v>
      </c>
      <c r="M725" s="38">
        <f>COUNTIF(퀘스트!B:B,표1[[#This Row],[명칭]])</f>
        <v>0</v>
      </c>
      <c r="N725" s="65">
        <f>COUNTIF([1]VillageDiscoveryGroup!$C:$C,표1[[#This Row],[명칭]])</f>
        <v>0</v>
      </c>
      <c r="O725" s="65">
        <f>SUM(표1[[#This Row],[해양탐색]:[마을탐험]])</f>
        <v>0</v>
      </c>
    </row>
    <row r="726" spans="2:15" ht="13.5" customHeight="1" x14ac:dyDescent="0.3">
      <c r="B726" s="9">
        <f>[1]Discovery!A732</f>
        <v>70406076</v>
      </c>
      <c r="C726" s="9" t="str">
        <f>[1]Discovery!B732</f>
        <v>작은발톱수달</v>
      </c>
      <c r="D726" s="9" t="str">
        <f>[1]Discovery!E732</f>
        <v>동물</v>
      </c>
      <c r="E726" s="9" t="str">
        <f>[1]Discovery!C732</f>
        <v>포유류</v>
      </c>
      <c r="F726" s="9" t="str">
        <f>[1]Discovery!G732</f>
        <v>B</v>
      </c>
      <c r="G726" s="9" t="str">
        <f>IFERROR(VLOOKUP(표1[[#This Row],[명칭]],'문화권 정리'!C:D,2,FALSE),"-")</f>
        <v>동남아시아</v>
      </c>
      <c r="H726" s="38" t="str">
        <f>IFERROR(COUNTIF([2]OceanDoodad!$Y:$Y,표1[[#This Row],[명칭]]),"-")</f>
        <v>-</v>
      </c>
      <c r="I726" s="38">
        <f>IFERROR(COUNTIF([1]AdventureDiscoveryGroup!$D$8:$AW$92,표1[[#This Row],[명칭]]),"-")</f>
        <v>0</v>
      </c>
      <c r="J726" s="38">
        <f>IFERROR(COUNTIF([1]FishDiscoveryGroup!$A:$X,표1[[#This Row],[명칭]]),"-")</f>
        <v>0</v>
      </c>
      <c r="K726" s="38" t="str">
        <f>IFERROR(COUNTIF([2]Town!$B:$B,표1[[#This Row],[명칭]]),"-")</f>
        <v>-</v>
      </c>
      <c r="L726" s="38">
        <f>IFERROR(COUNTIF([1]Village!$BR:$BR,표1[[#This Row],[명칭]]),"-")</f>
        <v>0</v>
      </c>
      <c r="M726" s="38">
        <f>COUNTIF(퀘스트!B:B,표1[[#This Row],[명칭]])</f>
        <v>1</v>
      </c>
      <c r="N726" s="65">
        <f>COUNTIF([1]VillageDiscoveryGroup!$C:$C,표1[[#This Row],[명칭]])</f>
        <v>0</v>
      </c>
      <c r="O726" s="65">
        <f>SUM(표1[[#This Row],[해양탐색]:[마을탐험]])</f>
        <v>1</v>
      </c>
    </row>
    <row r="727" spans="2:15" ht="13.5" customHeight="1" x14ac:dyDescent="0.3">
      <c r="B727" s="9">
        <f>[1]Discovery!A733</f>
        <v>70406077</v>
      </c>
      <c r="C727" s="9" t="str">
        <f>[1]Discovery!B733</f>
        <v>주머니개미핥기</v>
      </c>
      <c r="D727" s="9" t="str">
        <f>[1]Discovery!E733</f>
        <v>동물</v>
      </c>
      <c r="E727" s="9" t="str">
        <f>[1]Discovery!C733</f>
        <v>포유류</v>
      </c>
      <c r="F727" s="9" t="str">
        <f>[1]Discovery!G733</f>
        <v>C</v>
      </c>
      <c r="G727" s="9" t="str">
        <f>IFERROR(VLOOKUP(표1[[#This Row],[명칭]],'문화권 정리'!C:D,2,FALSE),"-")</f>
        <v>오세아니아</v>
      </c>
      <c r="H727" s="38" t="str">
        <f>IFERROR(COUNTIF([2]OceanDoodad!$Y:$Y,표1[[#This Row],[명칭]]),"-")</f>
        <v>-</v>
      </c>
      <c r="I727" s="38">
        <f>IFERROR(COUNTIF([1]AdventureDiscoveryGroup!$D$8:$AW$92,표1[[#This Row],[명칭]]),"-")</f>
        <v>0</v>
      </c>
      <c r="J727" s="38">
        <f>IFERROR(COUNTIF([1]FishDiscoveryGroup!$A:$X,표1[[#This Row],[명칭]]),"-")</f>
        <v>0</v>
      </c>
      <c r="K727" s="38" t="str">
        <f>IFERROR(COUNTIF([2]Town!$B:$B,표1[[#This Row],[명칭]]),"-")</f>
        <v>-</v>
      </c>
      <c r="L727" s="38">
        <f>IFERROR(COUNTIF([1]Village!$BR:$BR,표1[[#This Row],[명칭]]),"-")</f>
        <v>0</v>
      </c>
      <c r="M727" s="38">
        <f>COUNTIF(퀘스트!B:B,표1[[#This Row],[명칭]])</f>
        <v>0</v>
      </c>
      <c r="N727" s="65">
        <f>COUNTIF([1]VillageDiscoveryGroup!$C:$C,표1[[#This Row],[명칭]])</f>
        <v>1</v>
      </c>
      <c r="O727" s="65">
        <f>SUM(표1[[#This Row],[해양탐색]:[마을탐험]])</f>
        <v>1</v>
      </c>
    </row>
    <row r="728" spans="2:15" ht="13.5" customHeight="1" x14ac:dyDescent="0.3">
      <c r="B728" s="9">
        <f>[1]Discovery!A734</f>
        <v>70406078</v>
      </c>
      <c r="C728" s="9" t="str">
        <f>[1]Discovery!B734</f>
        <v>주머니고양이</v>
      </c>
      <c r="D728" s="9" t="str">
        <f>[1]Discovery!E734</f>
        <v>동물</v>
      </c>
      <c r="E728" s="9" t="str">
        <f>[1]Discovery!C734</f>
        <v>포유류</v>
      </c>
      <c r="F728" s="9" t="str">
        <f>[1]Discovery!G734</f>
        <v>D</v>
      </c>
      <c r="G728" s="9" t="str">
        <f>IFERROR(VLOOKUP(표1[[#This Row],[명칭]],'문화권 정리'!C:D,2,FALSE),"-")</f>
        <v>오세아니아</v>
      </c>
      <c r="H728" s="38" t="str">
        <f>IFERROR(COUNTIF([2]OceanDoodad!$Y:$Y,표1[[#This Row],[명칭]]),"-")</f>
        <v>-</v>
      </c>
      <c r="I728" s="38">
        <f>IFERROR(COUNTIF([1]AdventureDiscoveryGroup!$D$8:$AW$92,표1[[#This Row],[명칭]]),"-")</f>
        <v>0</v>
      </c>
      <c r="J728" s="38">
        <f>IFERROR(COUNTIF([1]FishDiscoveryGroup!$A:$X,표1[[#This Row],[명칭]]),"-")</f>
        <v>0</v>
      </c>
      <c r="K728" s="38" t="str">
        <f>IFERROR(COUNTIF([2]Town!$B:$B,표1[[#This Row],[명칭]]),"-")</f>
        <v>-</v>
      </c>
      <c r="L728" s="38">
        <f>IFERROR(COUNTIF([1]Village!$BR:$BR,표1[[#This Row],[명칭]]),"-")</f>
        <v>0</v>
      </c>
      <c r="M728" s="38">
        <f>COUNTIF(퀘스트!B:B,표1[[#This Row],[명칭]])</f>
        <v>0</v>
      </c>
      <c r="N728" s="65">
        <f>COUNTIF([1]VillageDiscoveryGroup!$C:$C,표1[[#This Row],[명칭]])</f>
        <v>1</v>
      </c>
      <c r="O728" s="65">
        <f>SUM(표1[[#This Row],[해양탐색]:[마을탐험]])</f>
        <v>1</v>
      </c>
    </row>
    <row r="729" spans="2:15" ht="13.5" customHeight="1" x14ac:dyDescent="0.3">
      <c r="B729" s="9">
        <f>[1]Discovery!A735</f>
        <v>70406079</v>
      </c>
      <c r="C729" s="9" t="str">
        <f>[1]Discovery!B735</f>
        <v>주머니날다람쥐</v>
      </c>
      <c r="D729" s="9" t="str">
        <f>[1]Discovery!E735</f>
        <v>동물</v>
      </c>
      <c r="E729" s="9" t="str">
        <f>[1]Discovery!C735</f>
        <v>포유류</v>
      </c>
      <c r="F729" s="9" t="str">
        <f>[1]Discovery!G735</f>
        <v>B</v>
      </c>
      <c r="G729" s="9" t="str">
        <f>IFERROR(VLOOKUP(표1[[#This Row],[명칭]],'문화권 정리'!C:D,2,FALSE),"-")</f>
        <v>오세아니아</v>
      </c>
      <c r="H729" s="38" t="str">
        <f>IFERROR(COUNTIF([2]OceanDoodad!$Y:$Y,표1[[#This Row],[명칭]]),"-")</f>
        <v>-</v>
      </c>
      <c r="I729" s="38">
        <f>IFERROR(COUNTIF([1]AdventureDiscoveryGroup!$D$8:$AW$92,표1[[#This Row],[명칭]]),"-")</f>
        <v>1</v>
      </c>
      <c r="J729" s="38">
        <f>IFERROR(COUNTIF([1]FishDiscoveryGroup!$A:$X,표1[[#This Row],[명칭]]),"-")</f>
        <v>0</v>
      </c>
      <c r="K729" s="38" t="str">
        <f>IFERROR(COUNTIF([2]Town!$B:$B,표1[[#This Row],[명칭]]),"-")</f>
        <v>-</v>
      </c>
      <c r="L729" s="38">
        <f>IFERROR(COUNTIF([1]Village!$BR:$BR,표1[[#This Row],[명칭]]),"-")</f>
        <v>0</v>
      </c>
      <c r="M729" s="38">
        <f>COUNTIF(퀘스트!B:B,표1[[#This Row],[명칭]])</f>
        <v>0</v>
      </c>
      <c r="N729" s="65">
        <f>COUNTIF([1]VillageDiscoveryGroup!$C:$C,표1[[#This Row],[명칭]])</f>
        <v>0</v>
      </c>
      <c r="O729" s="65">
        <f>SUM(표1[[#This Row],[해양탐색]:[마을탐험]])</f>
        <v>1</v>
      </c>
    </row>
    <row r="730" spans="2:15" ht="13.5" customHeight="1" x14ac:dyDescent="0.3">
      <c r="B730" s="9">
        <f>[1]Discovery!A736</f>
        <v>70406080</v>
      </c>
      <c r="C730" s="9" t="str">
        <f>[1]Discovery!B736</f>
        <v>주머니두더지</v>
      </c>
      <c r="D730" s="9" t="str">
        <f>[1]Discovery!E736</f>
        <v>동물</v>
      </c>
      <c r="E730" s="9" t="str">
        <f>[1]Discovery!C736</f>
        <v>포유류</v>
      </c>
      <c r="F730" s="9" t="str">
        <f>[1]Discovery!G736</f>
        <v>D</v>
      </c>
      <c r="G730" s="9" t="str">
        <f>IFERROR(VLOOKUP(표1[[#This Row],[명칭]],'문화권 정리'!C:D,2,FALSE),"-")</f>
        <v>오세아니아</v>
      </c>
      <c r="H730" s="38" t="str">
        <f>IFERROR(COUNTIF([2]OceanDoodad!$Y:$Y,표1[[#This Row],[명칭]]),"-")</f>
        <v>-</v>
      </c>
      <c r="I730" s="38">
        <f>IFERROR(COUNTIF([1]AdventureDiscoveryGroup!$D$8:$AW$92,표1[[#This Row],[명칭]]),"-")</f>
        <v>0</v>
      </c>
      <c r="J730" s="38">
        <f>IFERROR(COUNTIF([1]FishDiscoveryGroup!$A:$X,표1[[#This Row],[명칭]]),"-")</f>
        <v>0</v>
      </c>
      <c r="K730" s="38" t="str">
        <f>IFERROR(COUNTIF([2]Town!$B:$B,표1[[#This Row],[명칭]]),"-")</f>
        <v>-</v>
      </c>
      <c r="L730" s="38">
        <f>IFERROR(COUNTIF([1]Village!$BR:$BR,표1[[#This Row],[명칭]]),"-")</f>
        <v>0</v>
      </c>
      <c r="M730" s="38">
        <f>COUNTIF(퀘스트!B:B,표1[[#This Row],[명칭]])</f>
        <v>0</v>
      </c>
      <c r="N730" s="65">
        <f>COUNTIF([1]VillageDiscoveryGroup!$C:$C,표1[[#This Row],[명칭]])</f>
        <v>1</v>
      </c>
      <c r="O730" s="65">
        <f>SUM(표1[[#This Row],[해양탐색]:[마을탐험]])</f>
        <v>1</v>
      </c>
    </row>
    <row r="731" spans="2:15" ht="13.5" customHeight="1" x14ac:dyDescent="0.3">
      <c r="B731" s="9">
        <f>[1]Discovery!A737</f>
        <v>70406081</v>
      </c>
      <c r="C731" s="9" t="str">
        <f>[1]Discovery!B737</f>
        <v>주머니여우</v>
      </c>
      <c r="D731" s="9" t="str">
        <f>[1]Discovery!E737</f>
        <v>동물</v>
      </c>
      <c r="E731" s="9" t="str">
        <f>[1]Discovery!C737</f>
        <v>포유류</v>
      </c>
      <c r="F731" s="9" t="str">
        <f>[1]Discovery!G737</f>
        <v>D</v>
      </c>
      <c r="G731" s="9" t="str">
        <f>IFERROR(VLOOKUP(표1[[#This Row],[명칭]],'문화권 정리'!C:D,2,FALSE),"-")</f>
        <v>오세아니아</v>
      </c>
      <c r="H731" s="38" t="str">
        <f>IFERROR(COUNTIF([2]OceanDoodad!$Y:$Y,표1[[#This Row],[명칭]]),"-")</f>
        <v>-</v>
      </c>
      <c r="I731" s="38">
        <f>IFERROR(COUNTIF([1]AdventureDiscoveryGroup!$D$8:$AW$92,표1[[#This Row],[명칭]]),"-")</f>
        <v>0</v>
      </c>
      <c r="J731" s="38">
        <f>IFERROR(COUNTIF([1]FishDiscoveryGroup!$A:$X,표1[[#This Row],[명칭]]),"-")</f>
        <v>0</v>
      </c>
      <c r="K731" s="38" t="str">
        <f>IFERROR(COUNTIF([2]Town!$B:$B,표1[[#This Row],[명칭]]),"-")</f>
        <v>-</v>
      </c>
      <c r="L731" s="38">
        <f>IFERROR(COUNTIF([1]Village!$BR:$BR,표1[[#This Row],[명칭]]),"-")</f>
        <v>0</v>
      </c>
      <c r="M731" s="38">
        <f>COUNTIF(퀘스트!B:B,표1[[#This Row],[명칭]])</f>
        <v>0</v>
      </c>
      <c r="N731" s="65">
        <f>COUNTIF([1]VillageDiscoveryGroup!$C:$C,표1[[#This Row],[명칭]])</f>
        <v>1</v>
      </c>
      <c r="O731" s="65">
        <f>SUM(표1[[#This Row],[해양탐색]:[마을탐험]])</f>
        <v>1</v>
      </c>
    </row>
    <row r="732" spans="2:15" ht="13.5" customHeight="1" x14ac:dyDescent="0.3">
      <c r="B732" s="9">
        <f>[1]Discovery!A738</f>
        <v>70406082</v>
      </c>
      <c r="C732" s="9" t="str">
        <f>[1]Discovery!B738</f>
        <v>주머니줄무늬다람쥐</v>
      </c>
      <c r="D732" s="9" t="str">
        <f>[1]Discovery!E738</f>
        <v>동물</v>
      </c>
      <c r="E732" s="9" t="str">
        <f>[1]Discovery!C738</f>
        <v>포유류</v>
      </c>
      <c r="F732" s="9" t="str">
        <f>[1]Discovery!G738</f>
        <v>D</v>
      </c>
      <c r="G732" s="9" t="str">
        <f>IFERROR(VLOOKUP(표1[[#This Row],[명칭]],'문화권 정리'!C:D,2,FALSE),"-")</f>
        <v>동남아시아</v>
      </c>
      <c r="H732" s="38" t="str">
        <f>IFERROR(COUNTIF([2]OceanDoodad!$Y:$Y,표1[[#This Row],[명칭]]),"-")</f>
        <v>-</v>
      </c>
      <c r="I732" s="38">
        <f>IFERROR(COUNTIF([1]AdventureDiscoveryGroup!$D$8:$AW$92,표1[[#This Row],[명칭]]),"-")</f>
        <v>1</v>
      </c>
      <c r="J732" s="38">
        <f>IFERROR(COUNTIF([1]FishDiscoveryGroup!$A:$X,표1[[#This Row],[명칭]]),"-")</f>
        <v>0</v>
      </c>
      <c r="K732" s="38" t="str">
        <f>IFERROR(COUNTIF([2]Town!$B:$B,표1[[#This Row],[명칭]]),"-")</f>
        <v>-</v>
      </c>
      <c r="L732" s="38">
        <f>IFERROR(COUNTIF([1]Village!$BR:$BR,표1[[#This Row],[명칭]]),"-")</f>
        <v>0</v>
      </c>
      <c r="M732" s="38">
        <f>COUNTIF(퀘스트!B:B,표1[[#This Row],[명칭]])</f>
        <v>0</v>
      </c>
      <c r="N732" s="65">
        <f>COUNTIF([1]VillageDiscoveryGroup!$C:$C,표1[[#This Row],[명칭]])</f>
        <v>0</v>
      </c>
      <c r="O732" s="65">
        <f>SUM(표1[[#This Row],[해양탐색]:[마을탐험]])</f>
        <v>1</v>
      </c>
    </row>
    <row r="733" spans="2:15" ht="13.5" customHeight="1" x14ac:dyDescent="0.3">
      <c r="B733" s="9">
        <f>[1]Discovery!A739</f>
        <v>70406083</v>
      </c>
      <c r="C733" s="9" t="str">
        <f>[1]Discovery!B739</f>
        <v>주머니쥐</v>
      </c>
      <c r="D733" s="9" t="str">
        <f>[1]Discovery!E739</f>
        <v>동물</v>
      </c>
      <c r="E733" s="9" t="str">
        <f>[1]Discovery!C739</f>
        <v>포유류</v>
      </c>
      <c r="F733" s="9" t="str">
        <f>[1]Discovery!G739</f>
        <v>B</v>
      </c>
      <c r="G733" s="9" t="str">
        <f>IFERROR(VLOOKUP(표1[[#This Row],[명칭]],'문화권 정리'!C:D,2,FALSE),"-")</f>
        <v>중앙아메리카</v>
      </c>
      <c r="H733" s="38" t="str">
        <f>IFERROR(COUNTIF([2]OceanDoodad!$Y:$Y,표1[[#This Row],[명칭]]),"-")</f>
        <v>-</v>
      </c>
      <c r="I733" s="38">
        <f>IFERROR(COUNTIF([1]AdventureDiscoveryGroup!$D$8:$AW$92,표1[[#This Row],[명칭]]),"-")</f>
        <v>1</v>
      </c>
      <c r="J733" s="38">
        <f>IFERROR(COUNTIF([1]FishDiscoveryGroup!$A:$X,표1[[#This Row],[명칭]]),"-")</f>
        <v>0</v>
      </c>
      <c r="K733" s="38" t="str">
        <f>IFERROR(COUNTIF([2]Town!$B:$B,표1[[#This Row],[명칭]]),"-")</f>
        <v>-</v>
      </c>
      <c r="L733" s="38">
        <f>IFERROR(COUNTIF([1]Village!$BR:$BR,표1[[#This Row],[명칭]]),"-")</f>
        <v>0</v>
      </c>
      <c r="M733" s="38">
        <f>COUNTIF(퀘스트!B:B,표1[[#This Row],[명칭]])</f>
        <v>0</v>
      </c>
      <c r="N733" s="65">
        <f>COUNTIF([1]VillageDiscoveryGroup!$C:$C,표1[[#This Row],[명칭]])</f>
        <v>0</v>
      </c>
      <c r="O733" s="65">
        <f>SUM(표1[[#This Row],[해양탐색]:[마을탐험]])</f>
        <v>1</v>
      </c>
    </row>
    <row r="734" spans="2:15" ht="13.5" customHeight="1" x14ac:dyDescent="0.3">
      <c r="B734" s="9">
        <f>[1]Discovery!A740</f>
        <v>70406084</v>
      </c>
      <c r="C734" s="9" t="str">
        <f>[1]Discovery!B740</f>
        <v>청설모</v>
      </c>
      <c r="D734" s="9" t="str">
        <f>[1]Discovery!E740</f>
        <v>동물</v>
      </c>
      <c r="E734" s="9" t="str">
        <f>[1]Discovery!C740</f>
        <v>포유류</v>
      </c>
      <c r="F734" s="9" t="str">
        <f>[1]Discovery!G740</f>
        <v>D</v>
      </c>
      <c r="G734" s="9" t="str">
        <f>IFERROR(VLOOKUP(표1[[#This Row],[명칭]],'문화권 정리'!C:D,2,FALSE),"-")</f>
        <v>동아시아</v>
      </c>
      <c r="H734" s="38" t="str">
        <f>IFERROR(COUNTIF([2]OceanDoodad!$Y:$Y,표1[[#This Row],[명칭]]),"-")</f>
        <v>-</v>
      </c>
      <c r="I734" s="38">
        <f>IFERROR(COUNTIF([1]AdventureDiscoveryGroup!$D$8:$AW$92,표1[[#This Row],[명칭]]),"-")</f>
        <v>0</v>
      </c>
      <c r="J734" s="38">
        <f>IFERROR(COUNTIF([1]FishDiscoveryGroup!$A:$X,표1[[#This Row],[명칭]]),"-")</f>
        <v>0</v>
      </c>
      <c r="K734" s="38" t="str">
        <f>IFERROR(COUNTIF([2]Town!$B:$B,표1[[#This Row],[명칭]]),"-")</f>
        <v>-</v>
      </c>
      <c r="L734" s="38">
        <f>IFERROR(COUNTIF([1]Village!$BR:$BR,표1[[#This Row],[명칭]]),"-")</f>
        <v>0</v>
      </c>
      <c r="M734" s="38">
        <f>COUNTIF(퀘스트!B:B,표1[[#This Row],[명칭]])</f>
        <v>0</v>
      </c>
      <c r="N734" s="65">
        <f>COUNTIF([1]VillageDiscoveryGroup!$C:$C,표1[[#This Row],[명칭]])</f>
        <v>1</v>
      </c>
      <c r="O734" s="65">
        <f>SUM(표1[[#This Row],[해양탐색]:[마을탐험]])</f>
        <v>1</v>
      </c>
    </row>
    <row r="735" spans="2:15" ht="13.5" customHeight="1" x14ac:dyDescent="0.3">
      <c r="B735" s="9">
        <f>[1]Discovery!A741</f>
        <v>70406085</v>
      </c>
      <c r="C735" s="9" t="str">
        <f>[1]Discovery!B741</f>
        <v>친칠라</v>
      </c>
      <c r="D735" s="9" t="str">
        <f>[1]Discovery!E741</f>
        <v>동물</v>
      </c>
      <c r="E735" s="9" t="str">
        <f>[1]Discovery!C741</f>
        <v>포유류</v>
      </c>
      <c r="F735" s="9" t="str">
        <f>[1]Discovery!G741</f>
        <v>A</v>
      </c>
      <c r="G735" s="9" t="str">
        <f>IFERROR(VLOOKUP(표1[[#This Row],[명칭]],'문화권 정리'!C:D,2,FALSE),"-")</f>
        <v>남아메리카</v>
      </c>
      <c r="H735" s="38" t="str">
        <f>IFERROR(COUNTIF([2]OceanDoodad!$Y:$Y,표1[[#This Row],[명칭]]),"-")</f>
        <v>-</v>
      </c>
      <c r="I735" s="38">
        <f>IFERROR(COUNTIF([1]AdventureDiscoveryGroup!$D$8:$AW$92,표1[[#This Row],[명칭]]),"-")</f>
        <v>0</v>
      </c>
      <c r="J735" s="38">
        <f>IFERROR(COUNTIF([1]FishDiscoveryGroup!$A:$X,표1[[#This Row],[명칭]]),"-")</f>
        <v>0</v>
      </c>
      <c r="K735" s="38" t="str">
        <f>IFERROR(COUNTIF([2]Town!$B:$B,표1[[#This Row],[명칭]]),"-")</f>
        <v>-</v>
      </c>
      <c r="L735" s="38">
        <f>IFERROR(COUNTIF([1]Village!$BR:$BR,표1[[#This Row],[명칭]]),"-")</f>
        <v>0</v>
      </c>
      <c r="M735" s="38">
        <f>COUNTIF(퀘스트!B:B,표1[[#This Row],[명칭]])</f>
        <v>0</v>
      </c>
      <c r="N735" s="65">
        <f>COUNTIF([1]VillageDiscoveryGroup!$C:$C,표1[[#This Row],[명칭]])</f>
        <v>0</v>
      </c>
      <c r="O735" s="65">
        <f>SUM(표1[[#This Row],[해양탐색]:[마을탐험]])</f>
        <v>0</v>
      </c>
    </row>
    <row r="736" spans="2:15" ht="13.5" customHeight="1" x14ac:dyDescent="0.3">
      <c r="B736" s="9">
        <f>[1]Discovery!A742</f>
        <v>70406086</v>
      </c>
      <c r="C736" s="9" t="str">
        <f>[1]Discovery!B742</f>
        <v>칠리안로즈헤어</v>
      </c>
      <c r="D736" s="9" t="str">
        <f>[1]Discovery!E742</f>
        <v>동물</v>
      </c>
      <c r="E736" s="9" t="str">
        <f>[1]Discovery!C742</f>
        <v>무척추동물</v>
      </c>
      <c r="F736" s="9" t="str">
        <f>[1]Discovery!G742</f>
        <v>A</v>
      </c>
      <c r="G736" s="9" t="str">
        <f>IFERROR(VLOOKUP(표1[[#This Row],[명칭]],'문화권 정리'!C:D,2,FALSE),"-")</f>
        <v>남아메리카</v>
      </c>
      <c r="H736" s="38" t="str">
        <f>IFERROR(COUNTIF([2]OceanDoodad!$Y:$Y,표1[[#This Row],[명칭]]),"-")</f>
        <v>-</v>
      </c>
      <c r="I736" s="38">
        <f>IFERROR(COUNTIF([1]AdventureDiscoveryGroup!$D$8:$AW$92,표1[[#This Row],[명칭]]),"-")</f>
        <v>0</v>
      </c>
      <c r="J736" s="38">
        <f>IFERROR(COUNTIF([1]FishDiscoveryGroup!$A:$X,표1[[#This Row],[명칭]]),"-")</f>
        <v>0</v>
      </c>
      <c r="K736" s="38" t="str">
        <f>IFERROR(COUNTIF([2]Town!$B:$B,표1[[#This Row],[명칭]]),"-")</f>
        <v>-</v>
      </c>
      <c r="L736" s="38">
        <f>IFERROR(COUNTIF([1]Village!$BR:$BR,표1[[#This Row],[명칭]]),"-")</f>
        <v>0</v>
      </c>
      <c r="M736" s="38">
        <f>COUNTIF(퀘스트!B:B,표1[[#This Row],[명칭]])</f>
        <v>0</v>
      </c>
      <c r="N736" s="65">
        <f>COUNTIF([1]VillageDiscoveryGroup!$C:$C,표1[[#This Row],[명칭]])</f>
        <v>0</v>
      </c>
      <c r="O736" s="65">
        <f>SUM(표1[[#This Row],[해양탐색]:[마을탐험]])</f>
        <v>0</v>
      </c>
    </row>
    <row r="737" spans="2:15" ht="13.5" customHeight="1" x14ac:dyDescent="0.3">
      <c r="B737" s="9">
        <f>[1]Discovery!A743</f>
        <v>70406087</v>
      </c>
      <c r="C737" s="9" t="str">
        <f>[1]Discovery!B743</f>
        <v>카멜레온</v>
      </c>
      <c r="D737" s="9" t="str">
        <f>[1]Discovery!E743</f>
        <v>동물</v>
      </c>
      <c r="E737" s="9" t="str">
        <f>[1]Discovery!C743</f>
        <v>파충류</v>
      </c>
      <c r="F737" s="9" t="str">
        <f>[1]Discovery!G743</f>
        <v>D</v>
      </c>
      <c r="G737" s="9" t="str">
        <f>IFERROR(VLOOKUP(표1[[#This Row],[명칭]],'문화권 정리'!C:D,2,FALSE),"-")</f>
        <v>남아프리카</v>
      </c>
      <c r="H737" s="38" t="str">
        <f>IFERROR(COUNTIF([2]OceanDoodad!$Y:$Y,표1[[#This Row],[명칭]]),"-")</f>
        <v>-</v>
      </c>
      <c r="I737" s="38">
        <f>IFERROR(COUNTIF([1]AdventureDiscoveryGroup!$D$8:$AW$92,표1[[#This Row],[명칭]]),"-")</f>
        <v>1</v>
      </c>
      <c r="J737" s="38">
        <f>IFERROR(COUNTIF([1]FishDiscoveryGroup!$A:$X,표1[[#This Row],[명칭]]),"-")</f>
        <v>0</v>
      </c>
      <c r="K737" s="38" t="str">
        <f>IFERROR(COUNTIF([2]Town!$B:$B,표1[[#This Row],[명칭]]),"-")</f>
        <v>-</v>
      </c>
      <c r="L737" s="38">
        <f>IFERROR(COUNTIF([1]Village!$BR:$BR,표1[[#This Row],[명칭]]),"-")</f>
        <v>0</v>
      </c>
      <c r="M737" s="38">
        <f>COUNTIF(퀘스트!B:B,표1[[#This Row],[명칭]])</f>
        <v>0</v>
      </c>
      <c r="N737" s="65">
        <f>COUNTIF([1]VillageDiscoveryGroup!$C:$C,표1[[#This Row],[명칭]])</f>
        <v>0</v>
      </c>
      <c r="O737" s="65">
        <f>SUM(표1[[#This Row],[해양탐색]:[마을탐험]])</f>
        <v>1</v>
      </c>
    </row>
    <row r="738" spans="2:15" ht="13.5" customHeight="1" x14ac:dyDescent="0.3">
      <c r="B738" s="9">
        <f>[1]Discovery!A744</f>
        <v>70406088</v>
      </c>
      <c r="C738" s="9" t="str">
        <f>[1]Discovery!B744</f>
        <v>카펫 카멜레온</v>
      </c>
      <c r="D738" s="9" t="str">
        <f>[1]Discovery!E744</f>
        <v>동물</v>
      </c>
      <c r="E738" s="9" t="str">
        <f>[1]Discovery!C744</f>
        <v>파충류</v>
      </c>
      <c r="F738" s="9" t="str">
        <f>[1]Discovery!G744</f>
        <v>B</v>
      </c>
      <c r="G738" s="9" t="str">
        <f>IFERROR(VLOOKUP(표1[[#This Row],[명칭]],'문화권 정리'!C:D,2,FALSE),"-")</f>
        <v>서아프리카</v>
      </c>
      <c r="H738" s="38" t="str">
        <f>IFERROR(COUNTIF([2]OceanDoodad!$Y:$Y,표1[[#This Row],[명칭]]),"-")</f>
        <v>-</v>
      </c>
      <c r="I738" s="38">
        <f>IFERROR(COUNTIF([1]AdventureDiscoveryGroup!$D$8:$AW$92,표1[[#This Row],[명칭]]),"-")</f>
        <v>0</v>
      </c>
      <c r="J738" s="38">
        <f>IFERROR(COUNTIF([1]FishDiscoveryGroup!$A:$X,표1[[#This Row],[명칭]]),"-")</f>
        <v>0</v>
      </c>
      <c r="K738" s="38" t="str">
        <f>IFERROR(COUNTIF([2]Town!$B:$B,표1[[#This Row],[명칭]]),"-")</f>
        <v>-</v>
      </c>
      <c r="L738" s="38">
        <f>IFERROR(COUNTIF([1]Village!$BR:$BR,표1[[#This Row],[명칭]]),"-")</f>
        <v>0</v>
      </c>
      <c r="M738" s="38">
        <f>COUNTIF(퀘스트!B:B,표1[[#This Row],[명칭]])</f>
        <v>0</v>
      </c>
      <c r="N738" s="65">
        <f>COUNTIF([1]VillageDiscoveryGroup!$C:$C,표1[[#This Row],[명칭]])</f>
        <v>1</v>
      </c>
      <c r="O738" s="65">
        <f>SUM(표1[[#This Row],[해양탐색]:[마을탐험]])</f>
        <v>1</v>
      </c>
    </row>
    <row r="739" spans="2:15" ht="13.5" customHeight="1" x14ac:dyDescent="0.3">
      <c r="B739" s="9">
        <f>[1]Discovery!A745</f>
        <v>70406089</v>
      </c>
      <c r="C739" s="9" t="str">
        <f>[1]Discovery!B745</f>
        <v>캥거루쥐</v>
      </c>
      <c r="D739" s="9" t="str">
        <f>[1]Discovery!E745</f>
        <v>동물</v>
      </c>
      <c r="E739" s="9" t="str">
        <f>[1]Discovery!C745</f>
        <v>포유류</v>
      </c>
      <c r="F739" s="9" t="str">
        <f>[1]Discovery!G745</f>
        <v>C</v>
      </c>
      <c r="G739" s="9" t="str">
        <f>IFERROR(VLOOKUP(표1[[#This Row],[명칭]],'문화권 정리'!C:D,2,FALSE),"-")</f>
        <v>북아메리카</v>
      </c>
      <c r="H739" s="38" t="str">
        <f>IFERROR(COUNTIF([2]OceanDoodad!$Y:$Y,표1[[#This Row],[명칭]]),"-")</f>
        <v>-</v>
      </c>
      <c r="I739" s="38">
        <f>IFERROR(COUNTIF([1]AdventureDiscoveryGroup!$D$8:$AW$92,표1[[#This Row],[명칭]]),"-")</f>
        <v>0</v>
      </c>
      <c r="J739" s="38">
        <f>IFERROR(COUNTIF([1]FishDiscoveryGroup!$A:$X,표1[[#This Row],[명칭]]),"-")</f>
        <v>0</v>
      </c>
      <c r="K739" s="38" t="str">
        <f>IFERROR(COUNTIF([2]Town!$B:$B,표1[[#This Row],[명칭]]),"-")</f>
        <v>-</v>
      </c>
      <c r="L739" s="38">
        <f>IFERROR(COUNTIF([1]Village!$BR:$BR,표1[[#This Row],[명칭]]),"-")</f>
        <v>0</v>
      </c>
      <c r="M739" s="38">
        <f>COUNTIF(퀘스트!B:B,표1[[#This Row],[명칭]])</f>
        <v>0</v>
      </c>
      <c r="N739" s="65">
        <f>COUNTIF([1]VillageDiscoveryGroup!$C:$C,표1[[#This Row],[명칭]])</f>
        <v>1</v>
      </c>
      <c r="O739" s="65">
        <f>SUM(표1[[#This Row],[해양탐색]:[마을탐험]])</f>
        <v>1</v>
      </c>
    </row>
    <row r="740" spans="2:15" ht="13.5" customHeight="1" x14ac:dyDescent="0.3">
      <c r="B740" s="9">
        <f>[1]Discovery!A746</f>
        <v>70406090</v>
      </c>
      <c r="C740" s="9" t="str">
        <f>[1]Discovery!B746</f>
        <v>케이프땅다람쥐</v>
      </c>
      <c r="D740" s="9" t="str">
        <f>[1]Discovery!E746</f>
        <v>동물</v>
      </c>
      <c r="E740" s="9" t="str">
        <f>[1]Discovery!C746</f>
        <v>포유류</v>
      </c>
      <c r="F740" s="9" t="str">
        <f>[1]Discovery!G746</f>
        <v>D</v>
      </c>
      <c r="G740" s="9" t="str">
        <f>IFERROR(VLOOKUP(표1[[#This Row],[명칭]],'문화권 정리'!C:D,2,FALSE),"-")</f>
        <v>남아프리카</v>
      </c>
      <c r="H740" s="38" t="str">
        <f>IFERROR(COUNTIF([2]OceanDoodad!$Y:$Y,표1[[#This Row],[명칭]]),"-")</f>
        <v>-</v>
      </c>
      <c r="I740" s="38">
        <f>IFERROR(COUNTIF([1]AdventureDiscoveryGroup!$D$8:$AW$92,표1[[#This Row],[명칭]]),"-")</f>
        <v>1</v>
      </c>
      <c r="J740" s="38">
        <f>IFERROR(COUNTIF([1]FishDiscoveryGroup!$A:$X,표1[[#This Row],[명칭]]),"-")</f>
        <v>0</v>
      </c>
      <c r="K740" s="38" t="str">
        <f>IFERROR(COUNTIF([2]Town!$B:$B,표1[[#This Row],[명칭]]),"-")</f>
        <v>-</v>
      </c>
      <c r="L740" s="38">
        <f>IFERROR(COUNTIF([1]Village!$BR:$BR,표1[[#This Row],[명칭]]),"-")</f>
        <v>0</v>
      </c>
      <c r="M740" s="38">
        <f>COUNTIF(퀘스트!B:B,표1[[#This Row],[명칭]])</f>
        <v>0</v>
      </c>
      <c r="N740" s="65">
        <f>COUNTIF([1]VillageDiscoveryGroup!$C:$C,표1[[#This Row],[명칭]])</f>
        <v>0</v>
      </c>
      <c r="O740" s="65">
        <f>SUM(표1[[#This Row],[해양탐색]:[마을탐험]])</f>
        <v>1</v>
      </c>
    </row>
    <row r="741" spans="2:15" ht="13.5" customHeight="1" x14ac:dyDescent="0.3">
      <c r="B741" s="9">
        <f>[1]Discovery!A747</f>
        <v>70406091</v>
      </c>
      <c r="C741" s="9" t="str">
        <f>[1]Discovery!B747</f>
        <v>코브라</v>
      </c>
      <c r="D741" s="9" t="str">
        <f>[1]Discovery!E747</f>
        <v>동물</v>
      </c>
      <c r="E741" s="9" t="str">
        <f>[1]Discovery!C747</f>
        <v>파충류</v>
      </c>
      <c r="F741" s="9" t="str">
        <f>[1]Discovery!G747</f>
        <v>B</v>
      </c>
      <c r="G741" s="9" t="str">
        <f>IFERROR(VLOOKUP(표1[[#This Row],[명칭]],'문화권 정리'!C:D,2,FALSE),"-")</f>
        <v>남아시아</v>
      </c>
      <c r="H741" s="38" t="str">
        <f>IFERROR(COUNTIF([2]OceanDoodad!$Y:$Y,표1[[#This Row],[명칭]]),"-")</f>
        <v>-</v>
      </c>
      <c r="I741" s="38">
        <f>IFERROR(COUNTIF([1]AdventureDiscoveryGroup!$D$8:$AW$92,표1[[#This Row],[명칭]]),"-")</f>
        <v>0</v>
      </c>
      <c r="J741" s="38">
        <f>IFERROR(COUNTIF([1]FishDiscoveryGroup!$A:$X,표1[[#This Row],[명칭]]),"-")</f>
        <v>0</v>
      </c>
      <c r="K741" s="38" t="str">
        <f>IFERROR(COUNTIF([2]Town!$B:$B,표1[[#This Row],[명칭]]),"-")</f>
        <v>-</v>
      </c>
      <c r="L741" s="38">
        <f>IFERROR(COUNTIF([1]Village!$BR:$BR,표1[[#This Row],[명칭]]),"-")</f>
        <v>0</v>
      </c>
      <c r="M741" s="38">
        <f>COUNTIF(퀘스트!B:B,표1[[#This Row],[명칭]])</f>
        <v>0</v>
      </c>
      <c r="N741" s="65">
        <f>COUNTIF([1]VillageDiscoveryGroup!$C:$C,표1[[#This Row],[명칭]])</f>
        <v>0</v>
      </c>
      <c r="O741" s="65">
        <f>SUM(표1[[#This Row],[해양탐색]:[마을탐험]])</f>
        <v>0</v>
      </c>
    </row>
    <row r="742" spans="2:15" ht="13.5" customHeight="1" x14ac:dyDescent="0.3">
      <c r="B742" s="9">
        <f>[1]Discovery!A748</f>
        <v>70406092</v>
      </c>
      <c r="C742" s="9" t="str">
        <f>[1]Discovery!B748</f>
        <v>코퀴청개구리</v>
      </c>
      <c r="D742" s="9" t="str">
        <f>[1]Discovery!E748</f>
        <v>동물</v>
      </c>
      <c r="E742" s="9" t="str">
        <f>[1]Discovery!C748</f>
        <v>파충류</v>
      </c>
      <c r="F742" s="9" t="str">
        <f>[1]Discovery!G748</f>
        <v>B</v>
      </c>
      <c r="G742" s="9" t="str">
        <f>IFERROR(VLOOKUP(표1[[#This Row],[명칭]],'문화권 정리'!C:D,2,FALSE),"-")</f>
        <v>중앙아메리카</v>
      </c>
      <c r="H742" s="38" t="str">
        <f>IFERROR(COUNTIF([2]OceanDoodad!$Y:$Y,표1[[#This Row],[명칭]]),"-")</f>
        <v>-</v>
      </c>
      <c r="I742" s="38">
        <f>IFERROR(COUNTIF([1]AdventureDiscoveryGroup!$D$8:$AW$92,표1[[#This Row],[명칭]]),"-")</f>
        <v>0</v>
      </c>
      <c r="J742" s="38">
        <f>IFERROR(COUNTIF([1]FishDiscoveryGroup!$A:$X,표1[[#This Row],[명칭]]),"-")</f>
        <v>0</v>
      </c>
      <c r="K742" s="38" t="str">
        <f>IFERROR(COUNTIF([2]Town!$B:$B,표1[[#This Row],[명칭]]),"-")</f>
        <v>-</v>
      </c>
      <c r="L742" s="38">
        <f>IFERROR(COUNTIF([1]Village!$BR:$BR,표1[[#This Row],[명칭]]),"-")</f>
        <v>0</v>
      </c>
      <c r="M742" s="38">
        <f>COUNTIF(퀘스트!B:B,표1[[#This Row],[명칭]])</f>
        <v>0</v>
      </c>
      <c r="N742" s="65">
        <f>COUNTIF([1]VillageDiscoveryGroup!$C:$C,표1[[#This Row],[명칭]])</f>
        <v>1</v>
      </c>
      <c r="O742" s="65">
        <f>SUM(표1[[#This Row],[해양탐색]:[마을탐험]])</f>
        <v>1</v>
      </c>
    </row>
    <row r="743" spans="2:15" ht="13.5" customHeight="1" x14ac:dyDescent="0.3">
      <c r="B743" s="9">
        <f>[1]Discovery!A749</f>
        <v>70406093</v>
      </c>
      <c r="C743" s="9" t="str">
        <f>[1]Discovery!B749</f>
        <v>킨카주너구리</v>
      </c>
      <c r="D743" s="9" t="str">
        <f>[1]Discovery!E749</f>
        <v>동물</v>
      </c>
      <c r="E743" s="9" t="str">
        <f>[1]Discovery!C749</f>
        <v>포유류</v>
      </c>
      <c r="F743" s="9" t="str">
        <f>[1]Discovery!G749</f>
        <v>D</v>
      </c>
      <c r="G743" s="9" t="str">
        <f>IFERROR(VLOOKUP(표1[[#This Row],[명칭]],'문화권 정리'!C:D,2,FALSE),"-")</f>
        <v>남아메리카</v>
      </c>
      <c r="H743" s="38" t="str">
        <f>IFERROR(COUNTIF([2]OceanDoodad!$Y:$Y,표1[[#This Row],[명칭]]),"-")</f>
        <v>-</v>
      </c>
      <c r="I743" s="38">
        <f>IFERROR(COUNTIF([1]AdventureDiscoveryGroup!$D$8:$AW$92,표1[[#This Row],[명칭]]),"-")</f>
        <v>1</v>
      </c>
      <c r="J743" s="38">
        <f>IFERROR(COUNTIF([1]FishDiscoveryGroup!$A:$X,표1[[#This Row],[명칭]]),"-")</f>
        <v>0</v>
      </c>
      <c r="K743" s="38" t="str">
        <f>IFERROR(COUNTIF([2]Town!$B:$B,표1[[#This Row],[명칭]]),"-")</f>
        <v>-</v>
      </c>
      <c r="L743" s="38">
        <f>IFERROR(COUNTIF([1]Village!$BR:$BR,표1[[#This Row],[명칭]]),"-")</f>
        <v>0</v>
      </c>
      <c r="M743" s="38">
        <f>COUNTIF(퀘스트!B:B,표1[[#This Row],[명칭]])</f>
        <v>0</v>
      </c>
      <c r="N743" s="65">
        <f>COUNTIF([1]VillageDiscoveryGroup!$C:$C,표1[[#This Row],[명칭]])</f>
        <v>0</v>
      </c>
      <c r="O743" s="65">
        <f>SUM(표1[[#This Row],[해양탐색]:[마을탐험]])</f>
        <v>1</v>
      </c>
    </row>
    <row r="744" spans="2:15" ht="13.5" customHeight="1" x14ac:dyDescent="0.3">
      <c r="B744" s="9">
        <f>[1]Discovery!A750</f>
        <v>70406094</v>
      </c>
      <c r="C744" s="9" t="str">
        <f>[1]Discovery!B750</f>
        <v>타란툴라</v>
      </c>
      <c r="D744" s="9" t="str">
        <f>[1]Discovery!E750</f>
        <v>동물</v>
      </c>
      <c r="E744" s="9" t="str">
        <f>[1]Discovery!C750</f>
        <v>무척추동물</v>
      </c>
      <c r="F744" s="9" t="str">
        <f>[1]Discovery!G750</f>
        <v>A</v>
      </c>
      <c r="G744" s="9" t="str">
        <f>IFERROR(VLOOKUP(표1[[#This Row],[명칭]],'문화권 정리'!C:D,2,FALSE),"-")</f>
        <v>중앙아메리카</v>
      </c>
      <c r="H744" s="38" t="str">
        <f>IFERROR(COUNTIF([2]OceanDoodad!$Y:$Y,표1[[#This Row],[명칭]]),"-")</f>
        <v>-</v>
      </c>
      <c r="I744" s="38">
        <f>IFERROR(COUNTIF([1]AdventureDiscoveryGroup!$D$8:$AW$92,표1[[#This Row],[명칭]]),"-")</f>
        <v>0</v>
      </c>
      <c r="J744" s="38">
        <f>IFERROR(COUNTIF([1]FishDiscoveryGroup!$A:$X,표1[[#This Row],[명칭]]),"-")</f>
        <v>0</v>
      </c>
      <c r="K744" s="38" t="str">
        <f>IFERROR(COUNTIF([2]Town!$B:$B,표1[[#This Row],[명칭]]),"-")</f>
        <v>-</v>
      </c>
      <c r="L744" s="38">
        <f>IFERROR(COUNTIF([1]Village!$BR:$BR,표1[[#This Row],[명칭]]),"-")</f>
        <v>0</v>
      </c>
      <c r="M744" s="38">
        <f>COUNTIF(퀘스트!B:B,표1[[#This Row],[명칭]])</f>
        <v>0</v>
      </c>
      <c r="N744" s="65">
        <f>COUNTIF([1]VillageDiscoveryGroup!$C:$C,표1[[#This Row],[명칭]])</f>
        <v>0</v>
      </c>
      <c r="O744" s="65">
        <f>SUM(표1[[#This Row],[해양탐색]:[마을탐험]])</f>
        <v>0</v>
      </c>
    </row>
    <row r="745" spans="2:15" ht="13.5" customHeight="1" x14ac:dyDescent="0.3">
      <c r="B745" s="9">
        <f>[1]Discovery!A751</f>
        <v>70406095</v>
      </c>
      <c r="C745" s="9" t="str">
        <f>[1]Discovery!B751</f>
        <v>토마토개구리</v>
      </c>
      <c r="D745" s="9" t="str">
        <f>[1]Discovery!E751</f>
        <v>동물</v>
      </c>
      <c r="E745" s="9" t="str">
        <f>[1]Discovery!C751</f>
        <v>파충류</v>
      </c>
      <c r="F745" s="9" t="str">
        <f>[1]Discovery!G751</f>
        <v>C</v>
      </c>
      <c r="G745" s="9" t="str">
        <f>IFERROR(VLOOKUP(표1[[#This Row],[명칭]],'문화권 정리'!C:D,2,FALSE),"-")</f>
        <v>동아프리카</v>
      </c>
      <c r="H745" s="38" t="str">
        <f>IFERROR(COUNTIF([2]OceanDoodad!$Y:$Y,표1[[#This Row],[명칭]]),"-")</f>
        <v>-</v>
      </c>
      <c r="I745" s="38">
        <f>IFERROR(COUNTIF([1]AdventureDiscoveryGroup!$D$8:$AW$92,표1[[#This Row],[명칭]]),"-")</f>
        <v>0</v>
      </c>
      <c r="J745" s="38">
        <f>IFERROR(COUNTIF([1]FishDiscoveryGroup!$A:$X,표1[[#This Row],[명칭]]),"-")</f>
        <v>0</v>
      </c>
      <c r="K745" s="38" t="str">
        <f>IFERROR(COUNTIF([2]Town!$B:$B,표1[[#This Row],[명칭]]),"-")</f>
        <v>-</v>
      </c>
      <c r="L745" s="38">
        <f>IFERROR(COUNTIF([1]Village!$BR:$BR,표1[[#This Row],[명칭]]),"-")</f>
        <v>0</v>
      </c>
      <c r="M745" s="38">
        <f>COUNTIF(퀘스트!B:B,표1[[#This Row],[명칭]])</f>
        <v>0</v>
      </c>
      <c r="N745" s="65">
        <f>COUNTIF([1]VillageDiscoveryGroup!$C:$C,표1[[#This Row],[명칭]])</f>
        <v>1</v>
      </c>
      <c r="O745" s="65">
        <f>SUM(표1[[#This Row],[해양탐색]:[마을탐험]])</f>
        <v>1</v>
      </c>
    </row>
    <row r="746" spans="2:15" ht="13.5" customHeight="1" x14ac:dyDescent="0.3">
      <c r="B746" s="9">
        <f>[1]Discovery!A752</f>
        <v>70406096</v>
      </c>
      <c r="C746" s="9" t="str">
        <f>[1]Discovery!B752</f>
        <v>팔라스다람쥐</v>
      </c>
      <c r="D746" s="9" t="str">
        <f>[1]Discovery!E752</f>
        <v>동물</v>
      </c>
      <c r="E746" s="9" t="str">
        <f>[1]Discovery!C752</f>
        <v>포유류</v>
      </c>
      <c r="F746" s="9" t="str">
        <f>[1]Discovery!G752</f>
        <v>B</v>
      </c>
      <c r="G746" s="9" t="str">
        <f>IFERROR(VLOOKUP(표1[[#This Row],[명칭]],'문화권 정리'!C:D,2,FALSE),"-")</f>
        <v>동아시아</v>
      </c>
      <c r="H746" s="38" t="str">
        <f>IFERROR(COUNTIF([2]OceanDoodad!$Y:$Y,표1[[#This Row],[명칭]]),"-")</f>
        <v>-</v>
      </c>
      <c r="I746" s="38">
        <f>IFERROR(COUNTIF([1]AdventureDiscoveryGroup!$D$8:$AW$92,표1[[#This Row],[명칭]]),"-")</f>
        <v>0</v>
      </c>
      <c r="J746" s="38">
        <f>IFERROR(COUNTIF([1]FishDiscoveryGroup!$A:$X,표1[[#This Row],[명칭]]),"-")</f>
        <v>0</v>
      </c>
      <c r="K746" s="38" t="str">
        <f>IFERROR(COUNTIF([2]Town!$B:$B,표1[[#This Row],[명칭]]),"-")</f>
        <v>-</v>
      </c>
      <c r="L746" s="38">
        <f>IFERROR(COUNTIF([1]Village!$BR:$BR,표1[[#This Row],[명칭]]),"-")</f>
        <v>0</v>
      </c>
      <c r="M746" s="38">
        <f>COUNTIF(퀘스트!B:B,표1[[#This Row],[명칭]])</f>
        <v>0</v>
      </c>
      <c r="N746" s="65">
        <f>COUNTIF([1]VillageDiscoveryGroup!$C:$C,표1[[#This Row],[명칭]])</f>
        <v>0</v>
      </c>
      <c r="O746" s="65">
        <f>SUM(표1[[#This Row],[해양탐색]:[마을탐험]])</f>
        <v>0</v>
      </c>
    </row>
    <row r="747" spans="2:15" ht="13.5" customHeight="1" x14ac:dyDescent="0.3">
      <c r="B747" s="9">
        <f>[1]Discovery!A753</f>
        <v>70406097</v>
      </c>
      <c r="C747" s="9" t="str">
        <f>[1]Discovery!B753</f>
        <v>페럿</v>
      </c>
      <c r="D747" s="9" t="str">
        <f>[1]Discovery!E753</f>
        <v>동물</v>
      </c>
      <c r="E747" s="9" t="str">
        <f>[1]Discovery!C753</f>
        <v>포유류</v>
      </c>
      <c r="F747" s="9" t="str">
        <f>[1]Discovery!G753</f>
        <v>D</v>
      </c>
      <c r="G747" s="9" t="str">
        <f>IFERROR(VLOOKUP(표1[[#This Row],[명칭]],'문화권 정리'!C:D,2,FALSE),"-")</f>
        <v>유라시아</v>
      </c>
      <c r="H747" s="38" t="str">
        <f>IFERROR(COUNTIF([2]OceanDoodad!$Y:$Y,표1[[#This Row],[명칭]]),"-")</f>
        <v>-</v>
      </c>
      <c r="I747" s="38">
        <f>IFERROR(COUNTIF([1]AdventureDiscoveryGroup!$D$8:$AW$92,표1[[#This Row],[명칭]]),"-")</f>
        <v>1</v>
      </c>
      <c r="J747" s="38">
        <f>IFERROR(COUNTIF([1]FishDiscoveryGroup!$A:$X,표1[[#This Row],[명칭]]),"-")</f>
        <v>0</v>
      </c>
      <c r="K747" s="38" t="str">
        <f>IFERROR(COUNTIF([2]Town!$B:$B,표1[[#This Row],[명칭]]),"-")</f>
        <v>-</v>
      </c>
      <c r="L747" s="38">
        <f>IFERROR(COUNTIF([1]Village!$BR:$BR,표1[[#This Row],[명칭]]),"-")</f>
        <v>0</v>
      </c>
      <c r="M747" s="38">
        <f>COUNTIF(퀘스트!B:B,표1[[#This Row],[명칭]])</f>
        <v>0</v>
      </c>
      <c r="N747" s="65">
        <f>COUNTIF([1]VillageDiscoveryGroup!$C:$C,표1[[#This Row],[명칭]])</f>
        <v>0</v>
      </c>
      <c r="O747" s="65">
        <f>SUM(표1[[#This Row],[해양탐색]:[마을탐험]])</f>
        <v>1</v>
      </c>
    </row>
    <row r="748" spans="2:15" ht="13.5" customHeight="1" x14ac:dyDescent="0.3">
      <c r="B748" s="9">
        <f>[1]Discovery!A754</f>
        <v>70406098</v>
      </c>
      <c r="C748" s="9" t="str">
        <f>[1]Discovery!B754</f>
        <v>프레리도그</v>
      </c>
      <c r="D748" s="9" t="str">
        <f>[1]Discovery!E754</f>
        <v>동물</v>
      </c>
      <c r="E748" s="9" t="str">
        <f>[1]Discovery!C754</f>
        <v>포유류</v>
      </c>
      <c r="F748" s="9" t="str">
        <f>[1]Discovery!G754</f>
        <v>B</v>
      </c>
      <c r="G748" s="9" t="str">
        <f>IFERROR(VLOOKUP(표1[[#This Row],[명칭]],'문화권 정리'!C:D,2,FALSE),"-")</f>
        <v>북아메리카</v>
      </c>
      <c r="H748" s="38" t="str">
        <f>IFERROR(COUNTIF([2]OceanDoodad!$Y:$Y,표1[[#This Row],[명칭]]),"-")</f>
        <v>-</v>
      </c>
      <c r="I748" s="38">
        <f>IFERROR(COUNTIF([1]AdventureDiscoveryGroup!$D$8:$AW$92,표1[[#This Row],[명칭]]),"-")</f>
        <v>1</v>
      </c>
      <c r="J748" s="38">
        <f>IFERROR(COUNTIF([1]FishDiscoveryGroup!$A:$X,표1[[#This Row],[명칭]]),"-")</f>
        <v>0</v>
      </c>
      <c r="K748" s="38" t="str">
        <f>IFERROR(COUNTIF([2]Town!$B:$B,표1[[#This Row],[명칭]]),"-")</f>
        <v>-</v>
      </c>
      <c r="L748" s="38">
        <f>IFERROR(COUNTIF([1]Village!$BR:$BR,표1[[#This Row],[명칭]]),"-")</f>
        <v>0</v>
      </c>
      <c r="M748" s="38">
        <f>COUNTIF(퀘스트!B:B,표1[[#This Row],[명칭]])</f>
        <v>0</v>
      </c>
      <c r="N748" s="65">
        <f>COUNTIF([1]VillageDiscoveryGroup!$C:$C,표1[[#This Row],[명칭]])</f>
        <v>0</v>
      </c>
      <c r="O748" s="65">
        <f>SUM(표1[[#This Row],[해양탐색]:[마을탐험]])</f>
        <v>1</v>
      </c>
    </row>
    <row r="749" spans="2:15" ht="13.5" customHeight="1" x14ac:dyDescent="0.3">
      <c r="B749" s="9">
        <f>[1]Discovery!A755</f>
        <v>70406099</v>
      </c>
      <c r="C749" s="9" t="str">
        <f>[1]Discovery!B755</f>
        <v>피그미마모셋</v>
      </c>
      <c r="D749" s="9" t="str">
        <f>[1]Discovery!E755</f>
        <v>동물</v>
      </c>
      <c r="E749" s="9" t="str">
        <f>[1]Discovery!C755</f>
        <v>포유류</v>
      </c>
      <c r="F749" s="9" t="str">
        <f>[1]Discovery!G755</f>
        <v>B</v>
      </c>
      <c r="G749" s="9" t="str">
        <f>IFERROR(VLOOKUP(표1[[#This Row],[명칭]],'문화권 정리'!C:D,2,FALSE),"-")</f>
        <v>남아메리카</v>
      </c>
      <c r="H749" s="38" t="str">
        <f>IFERROR(COUNTIF([2]OceanDoodad!$Y:$Y,표1[[#This Row],[명칭]]),"-")</f>
        <v>-</v>
      </c>
      <c r="I749" s="38">
        <f>IFERROR(COUNTIF([1]AdventureDiscoveryGroup!$D$8:$AW$92,표1[[#This Row],[명칭]]),"-")</f>
        <v>1</v>
      </c>
      <c r="J749" s="38">
        <f>IFERROR(COUNTIF([1]FishDiscoveryGroup!$A:$X,표1[[#This Row],[명칭]]),"-")</f>
        <v>0</v>
      </c>
      <c r="K749" s="38" t="str">
        <f>IFERROR(COUNTIF([2]Town!$B:$B,표1[[#This Row],[명칭]]),"-")</f>
        <v>-</v>
      </c>
      <c r="L749" s="38">
        <f>IFERROR(COUNTIF([1]Village!$BR:$BR,표1[[#This Row],[명칭]]),"-")</f>
        <v>0</v>
      </c>
      <c r="M749" s="38">
        <f>COUNTIF(퀘스트!B:B,표1[[#This Row],[명칭]])</f>
        <v>0</v>
      </c>
      <c r="N749" s="65">
        <f>COUNTIF([1]VillageDiscoveryGroup!$C:$C,표1[[#This Row],[명칭]])</f>
        <v>0</v>
      </c>
      <c r="O749" s="65">
        <f>SUM(표1[[#This Row],[해양탐색]:[마을탐험]])</f>
        <v>1</v>
      </c>
    </row>
    <row r="750" spans="2:15" ht="13.5" customHeight="1" x14ac:dyDescent="0.3">
      <c r="B750" s="9">
        <f>[1]Discovery!A756</f>
        <v>70406100</v>
      </c>
      <c r="C750" s="9" t="str">
        <f>[1]Discovery!B756</f>
        <v>피파개구리</v>
      </c>
      <c r="D750" s="9" t="str">
        <f>[1]Discovery!E756</f>
        <v>동물</v>
      </c>
      <c r="E750" s="9" t="str">
        <f>[1]Discovery!C756</f>
        <v>파충류</v>
      </c>
      <c r="F750" s="9" t="str">
        <f>[1]Discovery!G756</f>
        <v>C</v>
      </c>
      <c r="G750" s="9" t="str">
        <f>IFERROR(VLOOKUP(표1[[#This Row],[명칭]],'문화권 정리'!C:D,2,FALSE),"-")</f>
        <v>남아메리카</v>
      </c>
      <c r="H750" s="38" t="str">
        <f>IFERROR(COUNTIF([2]OceanDoodad!$Y:$Y,표1[[#This Row],[명칭]]),"-")</f>
        <v>-</v>
      </c>
      <c r="I750" s="38">
        <f>IFERROR(COUNTIF([1]AdventureDiscoveryGroup!$D$8:$AW$92,표1[[#This Row],[명칭]]),"-")</f>
        <v>1</v>
      </c>
      <c r="J750" s="38">
        <f>IFERROR(COUNTIF([1]FishDiscoveryGroup!$A:$X,표1[[#This Row],[명칭]]),"-")</f>
        <v>0</v>
      </c>
      <c r="K750" s="38" t="str">
        <f>IFERROR(COUNTIF([2]Town!$B:$B,표1[[#This Row],[명칭]]),"-")</f>
        <v>-</v>
      </c>
      <c r="L750" s="38">
        <f>IFERROR(COUNTIF([1]Village!$BR:$BR,표1[[#This Row],[명칭]]),"-")</f>
        <v>0</v>
      </c>
      <c r="M750" s="38">
        <f>COUNTIF(퀘스트!B:B,표1[[#This Row],[명칭]])</f>
        <v>0</v>
      </c>
      <c r="N750" s="65">
        <f>COUNTIF([1]VillageDiscoveryGroup!$C:$C,표1[[#This Row],[명칭]])</f>
        <v>0</v>
      </c>
      <c r="O750" s="65">
        <f>SUM(표1[[#This Row],[해양탐색]:[마을탐험]])</f>
        <v>1</v>
      </c>
    </row>
    <row r="751" spans="2:15" ht="13.5" customHeight="1" x14ac:dyDescent="0.3">
      <c r="B751" s="9">
        <f>[1]Discovery!A757</f>
        <v>70406101</v>
      </c>
      <c r="C751" s="9" t="str">
        <f>[1]Discovery!B757</f>
        <v>황금개구리</v>
      </c>
      <c r="D751" s="9" t="str">
        <f>[1]Discovery!E757</f>
        <v>동물</v>
      </c>
      <c r="E751" s="9" t="str">
        <f>[1]Discovery!C757</f>
        <v>파충류</v>
      </c>
      <c r="F751" s="9" t="str">
        <f>[1]Discovery!G757</f>
        <v>B</v>
      </c>
      <c r="G751" s="9" t="str">
        <f>IFERROR(VLOOKUP(표1[[#This Row],[명칭]],'문화권 정리'!C:D,2,FALSE),"-")</f>
        <v>동아시아</v>
      </c>
      <c r="H751" s="38" t="str">
        <f>IFERROR(COUNTIF([2]OceanDoodad!$Y:$Y,표1[[#This Row],[명칭]]),"-")</f>
        <v>-</v>
      </c>
      <c r="I751" s="38">
        <f>IFERROR(COUNTIF([1]AdventureDiscoveryGroup!$D$8:$AW$92,표1[[#This Row],[명칭]]),"-")</f>
        <v>0</v>
      </c>
      <c r="J751" s="38">
        <f>IFERROR(COUNTIF([1]FishDiscoveryGroup!$A:$X,표1[[#This Row],[명칭]]),"-")</f>
        <v>0</v>
      </c>
      <c r="K751" s="38" t="str">
        <f>IFERROR(COUNTIF([2]Town!$B:$B,표1[[#This Row],[명칭]]),"-")</f>
        <v>-</v>
      </c>
      <c r="L751" s="38">
        <f>IFERROR(COUNTIF([1]Village!$BR:$BR,표1[[#This Row],[명칭]]),"-")</f>
        <v>0</v>
      </c>
      <c r="M751" s="38">
        <f>COUNTIF(퀘스트!B:B,표1[[#This Row],[명칭]])</f>
        <v>0</v>
      </c>
      <c r="N751" s="65">
        <f>COUNTIF([1]VillageDiscoveryGroup!$C:$C,표1[[#This Row],[명칭]])</f>
        <v>0</v>
      </c>
      <c r="O751" s="65">
        <f>SUM(표1[[#This Row],[해양탐색]:[마을탐험]])</f>
        <v>0</v>
      </c>
    </row>
    <row r="752" spans="2:15" ht="13.5" customHeight="1" x14ac:dyDescent="0.3">
      <c r="B752" s="9">
        <f>[1]Discovery!A758</f>
        <v>70406102</v>
      </c>
      <c r="C752" s="9" t="str">
        <f>[1]Discovery!B758</f>
        <v>황제타마린</v>
      </c>
      <c r="D752" s="9" t="str">
        <f>[1]Discovery!E758</f>
        <v>동물</v>
      </c>
      <c r="E752" s="9" t="str">
        <f>[1]Discovery!C758</f>
        <v>포유류</v>
      </c>
      <c r="F752" s="9" t="str">
        <f>[1]Discovery!G758</f>
        <v>D</v>
      </c>
      <c r="G752" s="9" t="str">
        <f>IFERROR(VLOOKUP(표1[[#This Row],[명칭]],'문화권 정리'!C:D,2,FALSE),"-")</f>
        <v>남아메리카</v>
      </c>
      <c r="H752" s="38" t="str">
        <f>IFERROR(COUNTIF([2]OceanDoodad!$Y:$Y,표1[[#This Row],[명칭]]),"-")</f>
        <v>-</v>
      </c>
      <c r="I752" s="38">
        <f>IFERROR(COUNTIF([1]AdventureDiscoveryGroup!$D$8:$AW$92,표1[[#This Row],[명칭]]),"-")</f>
        <v>1</v>
      </c>
      <c r="J752" s="38">
        <f>IFERROR(COUNTIF([1]FishDiscoveryGroup!$A:$X,표1[[#This Row],[명칭]]),"-")</f>
        <v>0</v>
      </c>
      <c r="K752" s="38" t="str">
        <f>IFERROR(COUNTIF([2]Town!$B:$B,표1[[#This Row],[명칭]]),"-")</f>
        <v>-</v>
      </c>
      <c r="L752" s="38">
        <f>IFERROR(COUNTIF([1]Village!$BR:$BR,표1[[#This Row],[명칭]]),"-")</f>
        <v>0</v>
      </c>
      <c r="M752" s="38">
        <f>COUNTIF(퀘스트!B:B,표1[[#This Row],[명칭]])</f>
        <v>0</v>
      </c>
      <c r="N752" s="65">
        <f>COUNTIF([1]VillageDiscoveryGroup!$C:$C,표1[[#This Row],[명칭]])</f>
        <v>0</v>
      </c>
      <c r="O752" s="65">
        <f>SUM(표1[[#This Row],[해양탐색]:[마을탐험]])</f>
        <v>1</v>
      </c>
    </row>
    <row r="753" spans="2:15" ht="13.5" customHeight="1" x14ac:dyDescent="0.3">
      <c r="B753" s="9">
        <f>[1]Discovery!A759</f>
        <v>70406103</v>
      </c>
      <c r="C753" s="9" t="str">
        <f>[1]Discovery!B759</f>
        <v>흡혈박쥐</v>
      </c>
      <c r="D753" s="9" t="str">
        <f>[1]Discovery!E759</f>
        <v>동물</v>
      </c>
      <c r="E753" s="9" t="str">
        <f>[1]Discovery!C759</f>
        <v>포유류</v>
      </c>
      <c r="F753" s="9" t="str">
        <f>[1]Discovery!G759</f>
        <v>D</v>
      </c>
      <c r="G753" s="9" t="str">
        <f>IFERROR(VLOOKUP(표1[[#This Row],[명칭]],'문화권 정리'!C:D,2,FALSE),"-")</f>
        <v>남아메리카</v>
      </c>
      <c r="H753" s="38" t="str">
        <f>IFERROR(COUNTIF([2]OceanDoodad!$Y:$Y,표1[[#This Row],[명칭]]),"-")</f>
        <v>-</v>
      </c>
      <c r="I753" s="38">
        <f>IFERROR(COUNTIF([1]AdventureDiscoveryGroup!$D$8:$AW$92,표1[[#This Row],[명칭]]),"-")</f>
        <v>1</v>
      </c>
      <c r="J753" s="38">
        <f>IFERROR(COUNTIF([1]FishDiscoveryGroup!$A:$X,표1[[#This Row],[명칭]]),"-")</f>
        <v>0</v>
      </c>
      <c r="K753" s="38" t="str">
        <f>IFERROR(COUNTIF([2]Town!$B:$B,표1[[#This Row],[명칭]]),"-")</f>
        <v>-</v>
      </c>
      <c r="L753" s="38">
        <f>IFERROR(COUNTIF([1]Village!$BR:$BR,표1[[#This Row],[명칭]]),"-")</f>
        <v>0</v>
      </c>
      <c r="M753" s="38">
        <f>COUNTIF(퀘스트!B:B,표1[[#This Row],[명칭]])</f>
        <v>0</v>
      </c>
      <c r="N753" s="65">
        <f>COUNTIF([1]VillageDiscoveryGroup!$C:$C,표1[[#This Row],[명칭]])</f>
        <v>0</v>
      </c>
      <c r="O753" s="65">
        <f>SUM(표1[[#This Row],[해양탐색]:[마을탐험]])</f>
        <v>1</v>
      </c>
    </row>
    <row r="754" spans="2:15" ht="13.5" customHeight="1" x14ac:dyDescent="0.3">
      <c r="B754" s="9">
        <f>[1]Discovery!A760</f>
        <v>70407000</v>
      </c>
      <c r="C754" s="9" t="str">
        <f>[1]Discovery!B760</f>
        <v>갈라파고스땅거북</v>
      </c>
      <c r="D754" s="9" t="str">
        <f>[1]Discovery!E760</f>
        <v>동물</v>
      </c>
      <c r="E754" s="9" t="str">
        <f>[1]Discovery!C760</f>
        <v>파충류</v>
      </c>
      <c r="F754" s="9" t="str">
        <f>[1]Discovery!G760</f>
        <v>B</v>
      </c>
      <c r="G754" s="9" t="str">
        <f>IFERROR(VLOOKUP(표1[[#This Row],[명칭]],'문화권 정리'!C:D,2,FALSE),"-")</f>
        <v>남아메리카</v>
      </c>
      <c r="H754" s="38" t="str">
        <f>IFERROR(COUNTIF([2]OceanDoodad!$Y:$Y,표1[[#This Row],[명칭]]),"-")</f>
        <v>-</v>
      </c>
      <c r="I754" s="38">
        <f>IFERROR(COUNTIF([1]AdventureDiscoveryGroup!$D$8:$AW$92,표1[[#This Row],[명칭]]),"-")</f>
        <v>0</v>
      </c>
      <c r="J754" s="38">
        <f>IFERROR(COUNTIF([1]FishDiscoveryGroup!$A:$X,표1[[#This Row],[명칭]]),"-")</f>
        <v>0</v>
      </c>
      <c r="K754" s="38" t="str">
        <f>IFERROR(COUNTIF([2]Town!$B:$B,표1[[#This Row],[명칭]]),"-")</f>
        <v>-</v>
      </c>
      <c r="L754" s="38">
        <f>IFERROR(COUNTIF([1]Village!$BR:$BR,표1[[#This Row],[명칭]]),"-")</f>
        <v>0</v>
      </c>
      <c r="M754" s="38">
        <f>COUNTIF(퀘스트!B:B,표1[[#This Row],[명칭]])</f>
        <v>0</v>
      </c>
      <c r="N754" s="65">
        <f>COUNTIF([1]VillageDiscoveryGroup!$C:$C,표1[[#This Row],[명칭]])</f>
        <v>1</v>
      </c>
      <c r="O754" s="65">
        <f>SUM(표1[[#This Row],[해양탐색]:[마을탐험]])</f>
        <v>1</v>
      </c>
    </row>
    <row r="755" spans="2:15" ht="13.5" customHeight="1" x14ac:dyDescent="0.3">
      <c r="B755" s="9">
        <f>[1]Discovery!A761</f>
        <v>70407001</v>
      </c>
      <c r="C755" s="9" t="str">
        <f>[1]Discovery!B761</f>
        <v>갈라파고스이구아나</v>
      </c>
      <c r="D755" s="9" t="str">
        <f>[1]Discovery!E761</f>
        <v>동물</v>
      </c>
      <c r="E755" s="9" t="str">
        <f>[1]Discovery!C761</f>
        <v>파충류</v>
      </c>
      <c r="F755" s="9" t="str">
        <f>[1]Discovery!G761</f>
        <v>C</v>
      </c>
      <c r="G755" s="9" t="str">
        <f>IFERROR(VLOOKUP(표1[[#This Row],[명칭]],'문화권 정리'!C:D,2,FALSE),"-")</f>
        <v>남아메리카</v>
      </c>
      <c r="H755" s="38" t="str">
        <f>IFERROR(COUNTIF([2]OceanDoodad!$Y:$Y,표1[[#This Row],[명칭]]),"-")</f>
        <v>-</v>
      </c>
      <c r="I755" s="38">
        <f>IFERROR(COUNTIF([1]AdventureDiscoveryGroup!$D$8:$AW$92,표1[[#This Row],[명칭]]),"-")</f>
        <v>0</v>
      </c>
      <c r="J755" s="38">
        <f>IFERROR(COUNTIF([1]FishDiscoveryGroup!$A:$X,표1[[#This Row],[명칭]]),"-")</f>
        <v>0</v>
      </c>
      <c r="K755" s="38" t="str">
        <f>IFERROR(COUNTIF([2]Town!$B:$B,표1[[#This Row],[명칭]]),"-")</f>
        <v>-</v>
      </c>
      <c r="L755" s="38">
        <f>IFERROR(COUNTIF([1]Village!$BR:$BR,표1[[#This Row],[명칭]]),"-")</f>
        <v>0</v>
      </c>
      <c r="M755" s="38">
        <f>COUNTIF(퀘스트!B:B,표1[[#This Row],[명칭]])</f>
        <v>0</v>
      </c>
      <c r="N755" s="65">
        <f>COUNTIF([1]VillageDiscoveryGroup!$C:$C,표1[[#This Row],[명칭]])</f>
        <v>1</v>
      </c>
      <c r="O755" s="65">
        <f>SUM(표1[[#This Row],[해양탐색]:[마을탐험]])</f>
        <v>1</v>
      </c>
    </row>
    <row r="756" spans="2:15" ht="13.5" customHeight="1" x14ac:dyDescent="0.3">
      <c r="B756" s="9">
        <f>[1]Discovery!A762</f>
        <v>70407002</v>
      </c>
      <c r="C756" s="9" t="str">
        <f>[1]Discovery!B762</f>
        <v>거미원숭이</v>
      </c>
      <c r="D756" s="9" t="str">
        <f>[1]Discovery!E762</f>
        <v>동물</v>
      </c>
      <c r="E756" s="9" t="str">
        <f>[1]Discovery!C762</f>
        <v>포유류</v>
      </c>
      <c r="F756" s="9" t="str">
        <f>[1]Discovery!G762</f>
        <v>B</v>
      </c>
      <c r="G756" s="9" t="str">
        <f>IFERROR(VLOOKUP(표1[[#This Row],[명칭]],'문화권 정리'!C:D,2,FALSE),"-")</f>
        <v>남아메리카</v>
      </c>
      <c r="H756" s="38" t="str">
        <f>IFERROR(COUNTIF([2]OceanDoodad!$Y:$Y,표1[[#This Row],[명칭]]),"-")</f>
        <v>-</v>
      </c>
      <c r="I756" s="38">
        <f>IFERROR(COUNTIF([1]AdventureDiscoveryGroup!$D$8:$AW$92,표1[[#This Row],[명칭]]),"-")</f>
        <v>0</v>
      </c>
      <c r="J756" s="38">
        <f>IFERROR(COUNTIF([1]FishDiscoveryGroup!$A:$X,표1[[#This Row],[명칭]]),"-")</f>
        <v>0</v>
      </c>
      <c r="K756" s="38" t="str">
        <f>IFERROR(COUNTIF([2]Town!$B:$B,표1[[#This Row],[명칭]]),"-")</f>
        <v>-</v>
      </c>
      <c r="L756" s="38">
        <f>IFERROR(COUNTIF([1]Village!$BR:$BR,표1[[#This Row],[명칭]]),"-")</f>
        <v>0</v>
      </c>
      <c r="M756" s="38">
        <f>COUNTIF(퀘스트!B:B,표1[[#This Row],[명칭]])</f>
        <v>0</v>
      </c>
      <c r="N756" s="65">
        <f>COUNTIF([1]VillageDiscoveryGroup!$C:$C,표1[[#This Row],[명칭]])</f>
        <v>1</v>
      </c>
      <c r="O756" s="65">
        <f>SUM(표1[[#This Row],[해양탐색]:[마을탐험]])</f>
        <v>1</v>
      </c>
    </row>
    <row r="757" spans="2:15" ht="13.5" customHeight="1" x14ac:dyDescent="0.3">
      <c r="B757" s="9">
        <f>[1]Discovery!A763</f>
        <v>70407003</v>
      </c>
      <c r="C757" s="9" t="str">
        <f>[1]Discovery!B763</f>
        <v>검은머리카푸친</v>
      </c>
      <c r="D757" s="9" t="str">
        <f>[1]Discovery!E763</f>
        <v>동물</v>
      </c>
      <c r="E757" s="9" t="str">
        <f>[1]Discovery!C763</f>
        <v>포유류</v>
      </c>
      <c r="F757" s="9" t="str">
        <f>[1]Discovery!G763</f>
        <v>B</v>
      </c>
      <c r="G757" s="9" t="str">
        <f>IFERROR(VLOOKUP(표1[[#This Row],[명칭]],'문화권 정리'!C:D,2,FALSE),"-")</f>
        <v>남아메리카</v>
      </c>
      <c r="H757" s="38" t="str">
        <f>IFERROR(COUNTIF([2]OceanDoodad!$Y:$Y,표1[[#This Row],[명칭]]),"-")</f>
        <v>-</v>
      </c>
      <c r="I757" s="38">
        <f>IFERROR(COUNTIF([1]AdventureDiscoveryGroup!$D$8:$AW$92,표1[[#This Row],[명칭]]),"-")</f>
        <v>0</v>
      </c>
      <c r="J757" s="38">
        <f>IFERROR(COUNTIF([1]FishDiscoveryGroup!$A:$X,표1[[#This Row],[명칭]]),"-")</f>
        <v>0</v>
      </c>
      <c r="K757" s="38" t="str">
        <f>IFERROR(COUNTIF([2]Town!$B:$B,표1[[#This Row],[명칭]]),"-")</f>
        <v>-</v>
      </c>
      <c r="L757" s="38">
        <f>IFERROR(COUNTIF([1]Village!$BR:$BR,표1[[#This Row],[명칭]]),"-")</f>
        <v>0</v>
      </c>
      <c r="M757" s="38">
        <f>COUNTIF(퀘스트!B:B,표1[[#This Row],[명칭]])</f>
        <v>0</v>
      </c>
      <c r="N757" s="65">
        <f>COUNTIF([1]VillageDiscoveryGroup!$C:$C,표1[[#This Row],[명칭]])</f>
        <v>1</v>
      </c>
      <c r="O757" s="65">
        <f>SUM(표1[[#This Row],[해양탐색]:[마을탐험]])</f>
        <v>1</v>
      </c>
    </row>
    <row r="758" spans="2:15" ht="13.5" customHeight="1" x14ac:dyDescent="0.3">
      <c r="B758" s="9">
        <f>[1]Discovery!A764</f>
        <v>70407004</v>
      </c>
      <c r="C758" s="9" t="str">
        <f>[1]Discovery!B764</f>
        <v>검은여우원숭이</v>
      </c>
      <c r="D758" s="9" t="str">
        <f>[1]Discovery!E764</f>
        <v>동물</v>
      </c>
      <c r="E758" s="9" t="str">
        <f>[1]Discovery!C764</f>
        <v>포유류</v>
      </c>
      <c r="F758" s="9" t="str">
        <f>[1]Discovery!G764</f>
        <v>C</v>
      </c>
      <c r="G758" s="9" t="str">
        <f>IFERROR(VLOOKUP(표1[[#This Row],[명칭]],'문화권 정리'!C:D,2,FALSE),"-")</f>
        <v>동아프리카</v>
      </c>
      <c r="H758" s="38" t="str">
        <f>IFERROR(COUNTIF([2]OceanDoodad!$Y:$Y,표1[[#This Row],[명칭]]),"-")</f>
        <v>-</v>
      </c>
      <c r="I758" s="38">
        <f>IFERROR(COUNTIF([1]AdventureDiscoveryGroup!$D$8:$AW$92,표1[[#This Row],[명칭]]),"-")</f>
        <v>1</v>
      </c>
      <c r="J758" s="38">
        <f>IFERROR(COUNTIF([1]FishDiscoveryGroup!$A:$X,표1[[#This Row],[명칭]]),"-")</f>
        <v>0</v>
      </c>
      <c r="K758" s="38" t="str">
        <f>IFERROR(COUNTIF([2]Town!$B:$B,표1[[#This Row],[명칭]]),"-")</f>
        <v>-</v>
      </c>
      <c r="L758" s="38">
        <f>IFERROR(COUNTIF([1]Village!$BR:$BR,표1[[#This Row],[명칭]]),"-")</f>
        <v>0</v>
      </c>
      <c r="M758" s="38">
        <f>COUNTIF(퀘스트!B:B,표1[[#This Row],[명칭]])</f>
        <v>0</v>
      </c>
      <c r="N758" s="65">
        <f>COUNTIF([1]VillageDiscoveryGroup!$C:$C,표1[[#This Row],[명칭]])</f>
        <v>0</v>
      </c>
      <c r="O758" s="65">
        <f>SUM(표1[[#This Row],[해양탐색]:[마을탐험]])</f>
        <v>1</v>
      </c>
    </row>
    <row r="759" spans="2:15" ht="13.5" customHeight="1" x14ac:dyDescent="0.3">
      <c r="B759" s="9">
        <f>[1]Discovery!A765</f>
        <v>70407005</v>
      </c>
      <c r="C759" s="9" t="str">
        <f>[1]Discovery!B765</f>
        <v>고라니</v>
      </c>
      <c r="D759" s="9" t="str">
        <f>[1]Discovery!E765</f>
        <v>동물</v>
      </c>
      <c r="E759" s="9" t="str">
        <f>[1]Discovery!C765</f>
        <v>포유류</v>
      </c>
      <c r="F759" s="9" t="str">
        <f>[1]Discovery!G765</f>
        <v>C</v>
      </c>
      <c r="G759" s="9" t="str">
        <f>IFERROR(VLOOKUP(표1[[#This Row],[명칭]],'문화권 정리'!C:D,2,FALSE),"-")</f>
        <v>동아시아</v>
      </c>
      <c r="H759" s="38" t="str">
        <f>IFERROR(COUNTIF([2]OceanDoodad!$Y:$Y,표1[[#This Row],[명칭]]),"-")</f>
        <v>-</v>
      </c>
      <c r="I759" s="38">
        <f>IFERROR(COUNTIF([1]AdventureDiscoveryGroup!$D$8:$AW$92,표1[[#This Row],[명칭]]),"-")</f>
        <v>0</v>
      </c>
      <c r="J759" s="38">
        <f>IFERROR(COUNTIF([1]FishDiscoveryGroup!$A:$X,표1[[#This Row],[명칭]]),"-")</f>
        <v>0</v>
      </c>
      <c r="K759" s="38" t="str">
        <f>IFERROR(COUNTIF([2]Town!$B:$B,표1[[#This Row],[명칭]]),"-")</f>
        <v>-</v>
      </c>
      <c r="L759" s="38">
        <f>IFERROR(COUNTIF([1]Village!$BR:$BR,표1[[#This Row],[명칭]]),"-")</f>
        <v>0</v>
      </c>
      <c r="M759" s="38">
        <f>COUNTIF(퀘스트!B:B,표1[[#This Row],[명칭]])</f>
        <v>0</v>
      </c>
      <c r="N759" s="65">
        <f>COUNTIF([1]VillageDiscoveryGroup!$C:$C,표1[[#This Row],[명칭]])</f>
        <v>0</v>
      </c>
      <c r="O759" s="65">
        <f>SUM(표1[[#This Row],[해양탐색]:[마을탐험]])</f>
        <v>0</v>
      </c>
    </row>
    <row r="760" spans="2:15" ht="13.5" customHeight="1" x14ac:dyDescent="0.3">
      <c r="B760" s="9">
        <f>[1]Discovery!A766</f>
        <v>70407006</v>
      </c>
      <c r="C760" s="9" t="str">
        <f>[1]Discovery!B766</f>
        <v>고리무늬물범</v>
      </c>
      <c r="D760" s="9" t="str">
        <f>[1]Discovery!E766</f>
        <v>동물</v>
      </c>
      <c r="E760" s="9" t="str">
        <f>[1]Discovery!C766</f>
        <v>포유류</v>
      </c>
      <c r="F760" s="9" t="str">
        <f>[1]Discovery!G766</f>
        <v>A</v>
      </c>
      <c r="G760" s="9" t="str">
        <f>IFERROR(VLOOKUP(표1[[#This Row],[명칭]],'문화권 정리'!C:D,2,FALSE),"-")</f>
        <v>북유럽</v>
      </c>
      <c r="H760" s="38" t="str">
        <f>IFERROR(COUNTIF([2]OceanDoodad!$Y:$Y,표1[[#This Row],[명칭]]),"-")</f>
        <v>-</v>
      </c>
      <c r="I760" s="38">
        <f>IFERROR(COUNTIF([1]AdventureDiscoveryGroup!$D$8:$AW$92,표1[[#This Row],[명칭]]),"-")</f>
        <v>1</v>
      </c>
      <c r="J760" s="38">
        <f>IFERROR(COUNTIF([1]FishDiscoveryGroup!$A:$X,표1[[#This Row],[명칭]]),"-")</f>
        <v>0</v>
      </c>
      <c r="K760" s="38" t="str">
        <f>IFERROR(COUNTIF([2]Town!$B:$B,표1[[#This Row],[명칭]]),"-")</f>
        <v>-</v>
      </c>
      <c r="L760" s="38">
        <f>IFERROR(COUNTIF([1]Village!$BR:$BR,표1[[#This Row],[명칭]]),"-")</f>
        <v>0</v>
      </c>
      <c r="M760" s="38">
        <f>COUNTIF(퀘스트!B:B,표1[[#This Row],[명칭]])</f>
        <v>0</v>
      </c>
      <c r="N760" s="65">
        <f>COUNTIF([1]VillageDiscoveryGroup!$C:$C,표1[[#This Row],[명칭]])</f>
        <v>0</v>
      </c>
      <c r="O760" s="65">
        <f>SUM(표1[[#This Row],[해양탐색]:[마을탐험]])</f>
        <v>1</v>
      </c>
    </row>
    <row r="761" spans="2:15" ht="13.5" customHeight="1" x14ac:dyDescent="0.3">
      <c r="B761" s="9">
        <f>[1]Discovery!A767</f>
        <v>70407007</v>
      </c>
      <c r="C761" s="9" t="str">
        <f>[1]Discovery!B767</f>
        <v>구름표범</v>
      </c>
      <c r="D761" s="9" t="str">
        <f>[1]Discovery!E767</f>
        <v>동물</v>
      </c>
      <c r="E761" s="9" t="str">
        <f>[1]Discovery!C767</f>
        <v>포유류</v>
      </c>
      <c r="F761" s="9" t="str">
        <f>[1]Discovery!G767</f>
        <v>C</v>
      </c>
      <c r="G761" s="9" t="str">
        <f>IFERROR(VLOOKUP(표1[[#This Row],[명칭]],'문화권 정리'!C:D,2,FALSE),"-")</f>
        <v>남아시아</v>
      </c>
      <c r="H761" s="38" t="str">
        <f>IFERROR(COUNTIF([2]OceanDoodad!$Y:$Y,표1[[#This Row],[명칭]]),"-")</f>
        <v>-</v>
      </c>
      <c r="I761" s="38">
        <f>IFERROR(COUNTIF([1]AdventureDiscoveryGroup!$D$8:$AW$92,표1[[#This Row],[명칭]]),"-")</f>
        <v>1</v>
      </c>
      <c r="J761" s="38">
        <f>IFERROR(COUNTIF([1]FishDiscoveryGroup!$A:$X,표1[[#This Row],[명칭]]),"-")</f>
        <v>0</v>
      </c>
      <c r="K761" s="38" t="str">
        <f>IFERROR(COUNTIF([2]Town!$B:$B,표1[[#This Row],[명칭]]),"-")</f>
        <v>-</v>
      </c>
      <c r="L761" s="38">
        <f>IFERROR(COUNTIF([1]Village!$BR:$BR,표1[[#This Row],[명칭]]),"-")</f>
        <v>0</v>
      </c>
      <c r="M761" s="38">
        <f>COUNTIF(퀘스트!B:B,표1[[#This Row],[명칭]])</f>
        <v>0</v>
      </c>
      <c r="N761" s="65">
        <f>COUNTIF([1]VillageDiscoveryGroup!$C:$C,표1[[#This Row],[명칭]])</f>
        <v>0</v>
      </c>
      <c r="O761" s="65">
        <f>SUM(표1[[#This Row],[해양탐색]:[마을탐험]])</f>
        <v>1</v>
      </c>
    </row>
    <row r="762" spans="2:15" ht="13.5" customHeight="1" x14ac:dyDescent="0.3">
      <c r="B762" s="9">
        <f>[1]Discovery!A768</f>
        <v>70407008</v>
      </c>
      <c r="C762" s="9" t="str">
        <f>[1]Discovery!B768</f>
        <v>그리스거북</v>
      </c>
      <c r="D762" s="9" t="str">
        <f>[1]Discovery!E768</f>
        <v>동물</v>
      </c>
      <c r="E762" s="9" t="str">
        <f>[1]Discovery!C768</f>
        <v>파충류</v>
      </c>
      <c r="F762" s="9" t="str">
        <f>[1]Discovery!G768</f>
        <v>S</v>
      </c>
      <c r="G762" s="9" t="str">
        <f>IFERROR(VLOOKUP(표1[[#This Row],[명칭]],'문화권 정리'!C:D,2,FALSE),"-")</f>
        <v>북아프리카</v>
      </c>
      <c r="H762" s="38" t="str">
        <f>IFERROR(COUNTIF([2]OceanDoodad!$Y:$Y,표1[[#This Row],[명칭]]),"-")</f>
        <v>-</v>
      </c>
      <c r="I762" s="38">
        <f>IFERROR(COUNTIF([1]AdventureDiscoveryGroup!$D$8:$AW$92,표1[[#This Row],[명칭]]),"-")</f>
        <v>0</v>
      </c>
      <c r="J762" s="38">
        <f>IFERROR(COUNTIF([1]FishDiscoveryGroup!$A:$X,표1[[#This Row],[명칭]]),"-")</f>
        <v>0</v>
      </c>
      <c r="K762" s="38" t="str">
        <f>IFERROR(COUNTIF([2]Town!$B:$B,표1[[#This Row],[명칭]]),"-")</f>
        <v>-</v>
      </c>
      <c r="L762" s="38">
        <f>IFERROR(COUNTIF([1]Village!$BR:$BR,표1[[#This Row],[명칭]]),"-")</f>
        <v>0</v>
      </c>
      <c r="M762" s="38">
        <f>COUNTIF(퀘스트!B:B,표1[[#This Row],[명칭]])</f>
        <v>0</v>
      </c>
      <c r="N762" s="65">
        <f>COUNTIF([1]VillageDiscoveryGroup!$C:$C,표1[[#This Row],[명칭]])</f>
        <v>0</v>
      </c>
      <c r="O762" s="65">
        <f>SUM(표1[[#This Row],[해양탐색]:[마을탐험]])</f>
        <v>0</v>
      </c>
    </row>
    <row r="763" spans="2:15" ht="13.5" customHeight="1" x14ac:dyDescent="0.3">
      <c r="B763" s="9">
        <f>[1]Discovery!A769</f>
        <v>70407009</v>
      </c>
      <c r="C763" s="9" t="str">
        <f>[1]Discovery!B769</f>
        <v>긴팔원숭이</v>
      </c>
      <c r="D763" s="9" t="str">
        <f>[1]Discovery!E769</f>
        <v>동물</v>
      </c>
      <c r="E763" s="9" t="str">
        <f>[1]Discovery!C769</f>
        <v>포유류</v>
      </c>
      <c r="F763" s="9" t="str">
        <f>[1]Discovery!G769</f>
        <v>C</v>
      </c>
      <c r="G763" s="9" t="str">
        <f>IFERROR(VLOOKUP(표1[[#This Row],[명칭]],'문화권 정리'!C:D,2,FALSE),"-")</f>
        <v>남아시아</v>
      </c>
      <c r="H763" s="38" t="str">
        <f>IFERROR(COUNTIF([2]OceanDoodad!$Y:$Y,표1[[#This Row],[명칭]]),"-")</f>
        <v>-</v>
      </c>
      <c r="I763" s="38">
        <f>IFERROR(COUNTIF([1]AdventureDiscoveryGroup!$D$8:$AW$92,표1[[#This Row],[명칭]]),"-")</f>
        <v>0</v>
      </c>
      <c r="J763" s="38">
        <f>IFERROR(COUNTIF([1]FishDiscoveryGroup!$A:$X,표1[[#This Row],[명칭]]),"-")</f>
        <v>0</v>
      </c>
      <c r="K763" s="38" t="str">
        <f>IFERROR(COUNTIF([2]Town!$B:$B,표1[[#This Row],[명칭]]),"-")</f>
        <v>-</v>
      </c>
      <c r="L763" s="38">
        <f>IFERROR(COUNTIF([1]Village!$BR:$BR,표1[[#This Row],[명칭]]),"-")</f>
        <v>0</v>
      </c>
      <c r="M763" s="38">
        <f>COUNTIF(퀘스트!B:B,표1[[#This Row],[명칭]])</f>
        <v>0</v>
      </c>
      <c r="N763" s="65">
        <f>COUNTIF([1]VillageDiscoveryGroup!$C:$C,표1[[#This Row],[명칭]])</f>
        <v>1</v>
      </c>
      <c r="O763" s="65">
        <f>SUM(표1[[#This Row],[해양탐색]:[마을탐험]])</f>
        <v>1</v>
      </c>
    </row>
    <row r="764" spans="2:15" ht="13.5" customHeight="1" x14ac:dyDescent="0.3">
      <c r="B764" s="9">
        <f>[1]Discovery!A770</f>
        <v>70407010</v>
      </c>
      <c r="C764" s="9" t="str">
        <f>[1]Discovery!B770</f>
        <v>꽃사슴</v>
      </c>
      <c r="D764" s="9" t="str">
        <f>[1]Discovery!E770</f>
        <v>동물</v>
      </c>
      <c r="E764" s="9" t="str">
        <f>[1]Discovery!C770</f>
        <v>포유류</v>
      </c>
      <c r="F764" s="9" t="str">
        <f>[1]Discovery!G770</f>
        <v>A</v>
      </c>
      <c r="G764" s="9" t="str">
        <f>IFERROR(VLOOKUP(표1[[#This Row],[명칭]],'문화권 정리'!C:D,2,FALSE),"-")</f>
        <v>동아시아</v>
      </c>
      <c r="H764" s="38" t="str">
        <f>IFERROR(COUNTIF([2]OceanDoodad!$Y:$Y,표1[[#This Row],[명칭]]),"-")</f>
        <v>-</v>
      </c>
      <c r="I764" s="38">
        <f>IFERROR(COUNTIF([1]AdventureDiscoveryGroup!$D$8:$AW$92,표1[[#This Row],[명칭]]),"-")</f>
        <v>1</v>
      </c>
      <c r="J764" s="38">
        <f>IFERROR(COUNTIF([1]FishDiscoveryGroup!$A:$X,표1[[#This Row],[명칭]]),"-")</f>
        <v>0</v>
      </c>
      <c r="K764" s="38" t="str">
        <f>IFERROR(COUNTIF([2]Town!$B:$B,표1[[#This Row],[명칭]]),"-")</f>
        <v>-</v>
      </c>
      <c r="L764" s="38">
        <f>IFERROR(COUNTIF([1]Village!$BR:$BR,표1[[#This Row],[명칭]]),"-")</f>
        <v>0</v>
      </c>
      <c r="M764" s="38">
        <f>COUNTIF(퀘스트!B:B,표1[[#This Row],[명칭]])</f>
        <v>0</v>
      </c>
      <c r="N764" s="65">
        <f>COUNTIF([1]VillageDiscoveryGroup!$C:$C,표1[[#This Row],[명칭]])</f>
        <v>0</v>
      </c>
      <c r="O764" s="65">
        <f>SUM(표1[[#This Row],[해양탐색]:[마을탐험]])</f>
        <v>1</v>
      </c>
    </row>
    <row r="765" spans="2:15" ht="13.5" customHeight="1" x14ac:dyDescent="0.3">
      <c r="B765" s="9">
        <f>[1]Discovery!A771</f>
        <v>70407011</v>
      </c>
      <c r="C765" s="9" t="str">
        <f>[1]Discovery!B771</f>
        <v>나무늘보</v>
      </c>
      <c r="D765" s="9" t="str">
        <f>[1]Discovery!E771</f>
        <v>동물</v>
      </c>
      <c r="E765" s="9" t="str">
        <f>[1]Discovery!C771</f>
        <v>포유류</v>
      </c>
      <c r="F765" s="9" t="str">
        <f>[1]Discovery!G771</f>
        <v>C</v>
      </c>
      <c r="G765" s="9" t="str">
        <f>IFERROR(VLOOKUP(표1[[#This Row],[명칭]],'문화권 정리'!C:D,2,FALSE),"-")</f>
        <v>남아메리카</v>
      </c>
      <c r="H765" s="38" t="str">
        <f>IFERROR(COUNTIF([2]OceanDoodad!$Y:$Y,표1[[#This Row],[명칭]]),"-")</f>
        <v>-</v>
      </c>
      <c r="I765" s="38">
        <f>IFERROR(COUNTIF([1]AdventureDiscoveryGroup!$D$8:$AW$92,표1[[#This Row],[명칭]]),"-")</f>
        <v>0</v>
      </c>
      <c r="J765" s="38">
        <f>IFERROR(COUNTIF([1]FishDiscoveryGroup!$A:$X,표1[[#This Row],[명칭]]),"-")</f>
        <v>0</v>
      </c>
      <c r="K765" s="38" t="str">
        <f>IFERROR(COUNTIF([2]Town!$B:$B,표1[[#This Row],[명칭]]),"-")</f>
        <v>-</v>
      </c>
      <c r="L765" s="38">
        <f>IFERROR(COUNTIF([1]Village!$BR:$BR,표1[[#This Row],[명칭]]),"-")</f>
        <v>0</v>
      </c>
      <c r="M765" s="38">
        <f>COUNTIF(퀘스트!B:B,표1[[#This Row],[명칭]])</f>
        <v>0</v>
      </c>
      <c r="N765" s="65">
        <f>COUNTIF([1]VillageDiscoveryGroup!$C:$C,표1[[#This Row],[명칭]])</f>
        <v>1</v>
      </c>
      <c r="O765" s="65">
        <f>SUM(표1[[#This Row],[해양탐색]:[마을탐험]])</f>
        <v>1</v>
      </c>
    </row>
    <row r="766" spans="2:15" ht="13.5" customHeight="1" x14ac:dyDescent="0.3">
      <c r="B766" s="9">
        <f>[1]Discovery!A772</f>
        <v>70407012</v>
      </c>
      <c r="C766" s="9" t="str">
        <f>[1]Discovery!B772</f>
        <v>뉴펀들랜드</v>
      </c>
      <c r="D766" s="9" t="str">
        <f>[1]Discovery!E772</f>
        <v>동물</v>
      </c>
      <c r="E766" s="9" t="str">
        <f>[1]Discovery!C772</f>
        <v>포유류</v>
      </c>
      <c r="F766" s="9" t="str">
        <f>[1]Discovery!G772</f>
        <v>C</v>
      </c>
      <c r="G766" s="9" t="str">
        <f>IFERROR(VLOOKUP(표1[[#This Row],[명칭]],'문화권 정리'!C:D,2,FALSE),"-")</f>
        <v>북아메리카</v>
      </c>
      <c r="H766" s="38" t="str">
        <f>IFERROR(COUNTIF([2]OceanDoodad!$Y:$Y,표1[[#This Row],[명칭]]),"-")</f>
        <v>-</v>
      </c>
      <c r="I766" s="38">
        <f>IFERROR(COUNTIF([1]AdventureDiscoveryGroup!$D$8:$AW$92,표1[[#This Row],[명칭]]),"-")</f>
        <v>1</v>
      </c>
      <c r="J766" s="38">
        <f>IFERROR(COUNTIF([1]FishDiscoveryGroup!$A:$X,표1[[#This Row],[명칭]]),"-")</f>
        <v>0</v>
      </c>
      <c r="K766" s="38" t="str">
        <f>IFERROR(COUNTIF([2]Town!$B:$B,표1[[#This Row],[명칭]]),"-")</f>
        <v>-</v>
      </c>
      <c r="L766" s="38">
        <f>IFERROR(COUNTIF([1]Village!$BR:$BR,표1[[#This Row],[명칭]]),"-")</f>
        <v>0</v>
      </c>
      <c r="M766" s="38">
        <f>COUNTIF(퀘스트!B:B,표1[[#This Row],[명칭]])</f>
        <v>0</v>
      </c>
      <c r="N766" s="65">
        <f>COUNTIF([1]VillageDiscoveryGroup!$C:$C,표1[[#This Row],[명칭]])</f>
        <v>0</v>
      </c>
      <c r="O766" s="65">
        <f>SUM(표1[[#This Row],[해양탐색]:[마을탐험]])</f>
        <v>1</v>
      </c>
    </row>
    <row r="767" spans="2:15" ht="13.5" customHeight="1" x14ac:dyDescent="0.3">
      <c r="B767" s="9">
        <f>[1]Discovery!A773</f>
        <v>70407013</v>
      </c>
      <c r="C767" s="9" t="str">
        <f>[1]Discovery!B773</f>
        <v>늑대거북</v>
      </c>
      <c r="D767" s="9" t="str">
        <f>[1]Discovery!E773</f>
        <v>동물</v>
      </c>
      <c r="E767" s="9" t="str">
        <f>[1]Discovery!C773</f>
        <v>파충류</v>
      </c>
      <c r="F767" s="9" t="str">
        <f>[1]Discovery!G773</f>
        <v>A</v>
      </c>
      <c r="G767" s="9" t="str">
        <f>IFERROR(VLOOKUP(표1[[#This Row],[명칭]],'문화권 정리'!C:D,2,FALSE),"-")</f>
        <v>북아메리카</v>
      </c>
      <c r="H767" s="38" t="str">
        <f>IFERROR(COUNTIF([2]OceanDoodad!$Y:$Y,표1[[#This Row],[명칭]]),"-")</f>
        <v>-</v>
      </c>
      <c r="I767" s="38">
        <f>IFERROR(COUNTIF([1]AdventureDiscoveryGroup!$D$8:$AW$92,표1[[#This Row],[명칭]]),"-")</f>
        <v>0</v>
      </c>
      <c r="J767" s="38">
        <f>IFERROR(COUNTIF([1]FishDiscoveryGroup!$A:$X,표1[[#This Row],[명칭]]),"-")</f>
        <v>0</v>
      </c>
      <c r="K767" s="38" t="str">
        <f>IFERROR(COUNTIF([2]Town!$B:$B,표1[[#This Row],[명칭]]),"-")</f>
        <v>-</v>
      </c>
      <c r="L767" s="38">
        <f>IFERROR(COUNTIF([1]Village!$BR:$BR,표1[[#This Row],[명칭]]),"-")</f>
        <v>0</v>
      </c>
      <c r="M767" s="38">
        <f>COUNTIF(퀘스트!B:B,표1[[#This Row],[명칭]])</f>
        <v>0</v>
      </c>
      <c r="N767" s="65">
        <f>COUNTIF([1]VillageDiscoveryGroup!$C:$C,표1[[#This Row],[명칭]])</f>
        <v>1</v>
      </c>
      <c r="O767" s="65">
        <f>SUM(표1[[#This Row],[해양탐색]:[마을탐험]])</f>
        <v>1</v>
      </c>
    </row>
    <row r="768" spans="2:15" ht="13.5" customHeight="1" x14ac:dyDescent="0.3">
      <c r="B768" s="9">
        <f>[1]Discovery!A774</f>
        <v>70407014</v>
      </c>
      <c r="C768" s="9" t="str">
        <f>[1]Discovery!B774</f>
        <v>늪영양</v>
      </c>
      <c r="D768" s="9" t="str">
        <f>[1]Discovery!E774</f>
        <v>동물</v>
      </c>
      <c r="E768" s="9" t="str">
        <f>[1]Discovery!C774</f>
        <v>포유류</v>
      </c>
      <c r="F768" s="9" t="str">
        <f>[1]Discovery!G774</f>
        <v>C</v>
      </c>
      <c r="G768" s="9" t="str">
        <f>IFERROR(VLOOKUP(표1[[#This Row],[명칭]],'문화권 정리'!C:D,2,FALSE),"-")</f>
        <v>서아프리카</v>
      </c>
      <c r="H768" s="38" t="str">
        <f>IFERROR(COUNTIF([2]OceanDoodad!$Y:$Y,표1[[#This Row],[명칭]]),"-")</f>
        <v>-</v>
      </c>
      <c r="I768" s="38">
        <f>IFERROR(COUNTIF([1]AdventureDiscoveryGroup!$D$8:$AW$92,표1[[#This Row],[명칭]]),"-")</f>
        <v>1</v>
      </c>
      <c r="J768" s="38">
        <f>IFERROR(COUNTIF([1]FishDiscoveryGroup!$A:$X,표1[[#This Row],[명칭]]),"-")</f>
        <v>0</v>
      </c>
      <c r="K768" s="38" t="str">
        <f>IFERROR(COUNTIF([2]Town!$B:$B,표1[[#This Row],[명칭]]),"-")</f>
        <v>-</v>
      </c>
      <c r="L768" s="38">
        <f>IFERROR(COUNTIF([1]Village!$BR:$BR,표1[[#This Row],[명칭]]),"-")</f>
        <v>0</v>
      </c>
      <c r="M768" s="38">
        <f>COUNTIF(퀘스트!B:B,표1[[#This Row],[명칭]])</f>
        <v>0</v>
      </c>
      <c r="N768" s="65">
        <f>COUNTIF([1]VillageDiscoveryGroup!$C:$C,표1[[#This Row],[명칭]])</f>
        <v>0</v>
      </c>
      <c r="O768" s="65">
        <f>SUM(표1[[#This Row],[해양탐색]:[마을탐험]])</f>
        <v>1</v>
      </c>
    </row>
    <row r="769" spans="2:15" ht="13.5" customHeight="1" x14ac:dyDescent="0.3">
      <c r="B769" s="9">
        <f>[1]Discovery!A775</f>
        <v>70407015</v>
      </c>
      <c r="C769" s="9" t="str">
        <f>[1]Discovery!B775</f>
        <v>다람쥐원숭이</v>
      </c>
      <c r="D769" s="9" t="str">
        <f>[1]Discovery!E775</f>
        <v>동물</v>
      </c>
      <c r="E769" s="9" t="str">
        <f>[1]Discovery!C775</f>
        <v>포유류</v>
      </c>
      <c r="F769" s="9" t="str">
        <f>[1]Discovery!G775</f>
        <v>C</v>
      </c>
      <c r="G769" s="9" t="str">
        <f>IFERROR(VLOOKUP(표1[[#This Row],[명칭]],'문화권 정리'!C:D,2,FALSE),"-")</f>
        <v>남아메리카</v>
      </c>
      <c r="H769" s="38" t="str">
        <f>IFERROR(COUNTIF([2]OceanDoodad!$Y:$Y,표1[[#This Row],[명칭]]),"-")</f>
        <v>-</v>
      </c>
      <c r="I769" s="38">
        <f>IFERROR(COUNTIF([1]AdventureDiscoveryGroup!$D$8:$AW$92,표1[[#This Row],[명칭]]),"-")</f>
        <v>0</v>
      </c>
      <c r="J769" s="38">
        <f>IFERROR(COUNTIF([1]FishDiscoveryGroup!$A:$X,표1[[#This Row],[명칭]]),"-")</f>
        <v>0</v>
      </c>
      <c r="K769" s="38" t="str">
        <f>IFERROR(COUNTIF([2]Town!$B:$B,표1[[#This Row],[명칭]]),"-")</f>
        <v>-</v>
      </c>
      <c r="L769" s="38">
        <f>IFERROR(COUNTIF([1]Village!$BR:$BR,표1[[#This Row],[명칭]]),"-")</f>
        <v>0</v>
      </c>
      <c r="M769" s="38">
        <f>COUNTIF(퀘스트!B:B,표1[[#This Row],[명칭]])</f>
        <v>0</v>
      </c>
      <c r="N769" s="65">
        <f>COUNTIF([1]VillageDiscoveryGroup!$C:$C,표1[[#This Row],[명칭]])</f>
        <v>1</v>
      </c>
      <c r="O769" s="65">
        <f>SUM(표1[[#This Row],[해양탐색]:[마을탐험]])</f>
        <v>1</v>
      </c>
    </row>
    <row r="770" spans="2:15" ht="13.5" customHeight="1" x14ac:dyDescent="0.3">
      <c r="B770" s="9">
        <f>[1]Discovery!A776</f>
        <v>70407016</v>
      </c>
      <c r="C770" s="9" t="str">
        <f>[1]Discovery!B776</f>
        <v>포르모사바위마카크</v>
      </c>
      <c r="D770" s="9" t="str">
        <f>[1]Discovery!E776</f>
        <v>동물</v>
      </c>
      <c r="E770" s="9" t="str">
        <f>[1]Discovery!C776</f>
        <v>포유류</v>
      </c>
      <c r="F770" s="9" t="str">
        <f>[1]Discovery!G776</f>
        <v>B</v>
      </c>
      <c r="G770" s="9" t="str">
        <f>IFERROR(VLOOKUP(표1[[#This Row],[명칭]],'문화권 정리'!C:D,2,FALSE),"-")</f>
        <v>동아시아</v>
      </c>
      <c r="H770" s="38" t="str">
        <f>IFERROR(COUNTIF([2]OceanDoodad!$Y:$Y,표1[[#This Row],[명칭]]),"-")</f>
        <v>-</v>
      </c>
      <c r="I770" s="38">
        <f>IFERROR(COUNTIF([1]AdventureDiscoveryGroup!$D$8:$AW$92,표1[[#This Row],[명칭]]),"-")</f>
        <v>0</v>
      </c>
      <c r="J770" s="38">
        <f>IFERROR(COUNTIF([1]FishDiscoveryGroup!$A:$X,표1[[#This Row],[명칭]]),"-")</f>
        <v>0</v>
      </c>
      <c r="K770" s="38" t="str">
        <f>IFERROR(COUNTIF([2]Town!$B:$B,표1[[#This Row],[명칭]]),"-")</f>
        <v>-</v>
      </c>
      <c r="L770" s="38">
        <f>IFERROR(COUNTIF([1]Village!$BR:$BR,표1[[#This Row],[명칭]]),"-")</f>
        <v>0</v>
      </c>
      <c r="M770" s="38">
        <f>COUNTIF(퀘스트!B:B,표1[[#This Row],[명칭]])</f>
        <v>0</v>
      </c>
      <c r="N770" s="65">
        <f>COUNTIF([1]VillageDiscoveryGroup!$C:$C,표1[[#This Row],[명칭]])</f>
        <v>0</v>
      </c>
      <c r="O770" s="65">
        <f>SUM(표1[[#This Row],[해양탐색]:[마을탐험]])</f>
        <v>0</v>
      </c>
    </row>
    <row r="771" spans="2:15" ht="13.5" customHeight="1" x14ac:dyDescent="0.3">
      <c r="B771" s="9">
        <f>[1]Discovery!A777</f>
        <v>70407017</v>
      </c>
      <c r="C771" s="9" t="str">
        <f>[1]Discovery!B777</f>
        <v>들개</v>
      </c>
      <c r="D771" s="9" t="str">
        <f>[1]Discovery!E777</f>
        <v>동물</v>
      </c>
      <c r="E771" s="9" t="str">
        <f>[1]Discovery!C777</f>
        <v>포유류</v>
      </c>
      <c r="F771" s="9" t="str">
        <f>[1]Discovery!G777</f>
        <v>D</v>
      </c>
      <c r="G771" s="9" t="str">
        <f>IFERROR(VLOOKUP(표1[[#This Row],[명칭]],'문화권 정리'!C:D,2,FALSE),"-")</f>
        <v>남아메리카</v>
      </c>
      <c r="H771" s="38" t="str">
        <f>IFERROR(COUNTIF([2]OceanDoodad!$Y:$Y,표1[[#This Row],[명칭]]),"-")</f>
        <v>-</v>
      </c>
      <c r="I771" s="38">
        <f>IFERROR(COUNTIF([1]AdventureDiscoveryGroup!$D$8:$AW$92,표1[[#This Row],[명칭]]),"-")</f>
        <v>1</v>
      </c>
      <c r="J771" s="38">
        <f>IFERROR(COUNTIF([1]FishDiscoveryGroup!$A:$X,표1[[#This Row],[명칭]]),"-")</f>
        <v>0</v>
      </c>
      <c r="K771" s="38" t="str">
        <f>IFERROR(COUNTIF([2]Town!$B:$B,표1[[#This Row],[명칭]]),"-")</f>
        <v>-</v>
      </c>
      <c r="L771" s="38">
        <f>IFERROR(COUNTIF([1]Village!$BR:$BR,표1[[#This Row],[명칭]]),"-")</f>
        <v>0</v>
      </c>
      <c r="M771" s="38">
        <f>COUNTIF(퀘스트!B:B,표1[[#This Row],[명칭]])</f>
        <v>0</v>
      </c>
      <c r="N771" s="65">
        <f>COUNTIF([1]VillageDiscoveryGroup!$C:$C,표1[[#This Row],[명칭]])</f>
        <v>0</v>
      </c>
      <c r="O771" s="65">
        <f>SUM(표1[[#This Row],[해양탐색]:[마을탐험]])</f>
        <v>1</v>
      </c>
    </row>
    <row r="772" spans="2:15" ht="13.5" customHeight="1" x14ac:dyDescent="0.3">
      <c r="B772" s="9">
        <f>[1]Discovery!A778</f>
        <v>70407018</v>
      </c>
      <c r="C772" s="9" t="str">
        <f>[1]Discovery!B778</f>
        <v>땅돼지</v>
      </c>
      <c r="D772" s="9" t="str">
        <f>[1]Discovery!E778</f>
        <v>동물</v>
      </c>
      <c r="E772" s="9" t="str">
        <f>[1]Discovery!C778</f>
        <v>포유류</v>
      </c>
      <c r="F772" s="9" t="str">
        <f>[1]Discovery!G778</f>
        <v>D</v>
      </c>
      <c r="G772" s="9" t="str">
        <f>IFERROR(VLOOKUP(표1[[#This Row],[명칭]],'문화권 정리'!C:D,2,FALSE),"-")</f>
        <v>남아프리카</v>
      </c>
      <c r="H772" s="38" t="str">
        <f>IFERROR(COUNTIF([2]OceanDoodad!$Y:$Y,표1[[#This Row],[명칭]]),"-")</f>
        <v>-</v>
      </c>
      <c r="I772" s="38">
        <f>IFERROR(COUNTIF([1]AdventureDiscoveryGroup!$D$8:$AW$92,표1[[#This Row],[명칭]]),"-")</f>
        <v>1</v>
      </c>
      <c r="J772" s="38">
        <f>IFERROR(COUNTIF([1]FishDiscoveryGroup!$A:$X,표1[[#This Row],[명칭]]),"-")</f>
        <v>0</v>
      </c>
      <c r="K772" s="38" t="str">
        <f>IFERROR(COUNTIF([2]Town!$B:$B,표1[[#This Row],[명칭]]),"-")</f>
        <v>-</v>
      </c>
      <c r="L772" s="38">
        <f>IFERROR(COUNTIF([1]Village!$BR:$BR,표1[[#This Row],[명칭]]),"-")</f>
        <v>0</v>
      </c>
      <c r="M772" s="38">
        <f>COUNTIF(퀘스트!B:B,표1[[#This Row],[명칭]])</f>
        <v>0</v>
      </c>
      <c r="N772" s="65">
        <f>COUNTIF([1]VillageDiscoveryGroup!$C:$C,표1[[#This Row],[명칭]])</f>
        <v>0</v>
      </c>
      <c r="O772" s="65">
        <f>SUM(표1[[#This Row],[해양탐색]:[마을탐험]])</f>
        <v>1</v>
      </c>
    </row>
    <row r="773" spans="2:15" ht="13.5" customHeight="1" x14ac:dyDescent="0.3">
      <c r="B773" s="9">
        <f>[1]Discovery!A779</f>
        <v>70407019</v>
      </c>
      <c r="C773" s="9" t="str">
        <f>[1]Discovery!B779</f>
        <v>라텔</v>
      </c>
      <c r="D773" s="9" t="str">
        <f>[1]Discovery!E779</f>
        <v>동물</v>
      </c>
      <c r="E773" s="9" t="str">
        <f>[1]Discovery!C779</f>
        <v>포유류</v>
      </c>
      <c r="F773" s="9" t="str">
        <f>[1]Discovery!G779</f>
        <v>B</v>
      </c>
      <c r="G773" s="9" t="str">
        <f>IFERROR(VLOOKUP(표1[[#This Row],[명칭]],'문화권 정리'!C:D,2,FALSE),"-")</f>
        <v>서아프리카</v>
      </c>
      <c r="H773" s="38" t="str">
        <f>IFERROR(COUNTIF([2]OceanDoodad!$Y:$Y,표1[[#This Row],[명칭]]),"-")</f>
        <v>-</v>
      </c>
      <c r="I773" s="38">
        <f>IFERROR(COUNTIF([1]AdventureDiscoveryGroup!$D$8:$AW$92,표1[[#This Row],[명칭]]),"-")</f>
        <v>0</v>
      </c>
      <c r="J773" s="38">
        <f>IFERROR(COUNTIF([1]FishDiscoveryGroup!$A:$X,표1[[#This Row],[명칭]]),"-")</f>
        <v>0</v>
      </c>
      <c r="K773" s="38" t="str">
        <f>IFERROR(COUNTIF([2]Town!$B:$B,표1[[#This Row],[명칭]]),"-")</f>
        <v>-</v>
      </c>
      <c r="L773" s="38">
        <f>IFERROR(COUNTIF([1]Village!$BR:$BR,표1[[#This Row],[명칭]]),"-")</f>
        <v>0</v>
      </c>
      <c r="M773" s="38">
        <f>COUNTIF(퀘스트!B:B,표1[[#This Row],[명칭]])</f>
        <v>0</v>
      </c>
      <c r="N773" s="65">
        <f>COUNTIF([1]VillageDiscoveryGroup!$C:$C,표1[[#This Row],[명칭]])</f>
        <v>1</v>
      </c>
      <c r="O773" s="65">
        <f>SUM(표1[[#This Row],[해양탐색]:[마을탐험]])</f>
        <v>1</v>
      </c>
    </row>
    <row r="774" spans="2:15" ht="13.5" customHeight="1" x14ac:dyDescent="0.3">
      <c r="B774" s="9">
        <f>[1]Discovery!A780</f>
        <v>70407020</v>
      </c>
      <c r="C774" s="9" t="str">
        <f>[1]Discovery!B780</f>
        <v>레서판다</v>
      </c>
      <c r="D774" s="9" t="str">
        <f>[1]Discovery!E780</f>
        <v>동물</v>
      </c>
      <c r="E774" s="9" t="str">
        <f>[1]Discovery!C780</f>
        <v>포유류</v>
      </c>
      <c r="F774" s="9" t="str">
        <f>[1]Discovery!G780</f>
        <v>A</v>
      </c>
      <c r="G774" s="9" t="str">
        <f>IFERROR(VLOOKUP(표1[[#This Row],[명칭]],'문화권 정리'!C:D,2,FALSE),"-")</f>
        <v>동남아시아</v>
      </c>
      <c r="H774" s="38" t="str">
        <f>IFERROR(COUNTIF([2]OceanDoodad!$Y:$Y,표1[[#This Row],[명칭]]),"-")</f>
        <v>-</v>
      </c>
      <c r="I774" s="38">
        <f>IFERROR(COUNTIF([1]AdventureDiscoveryGroup!$D$8:$AW$92,표1[[#This Row],[명칭]]),"-")</f>
        <v>0</v>
      </c>
      <c r="J774" s="38">
        <f>IFERROR(COUNTIF([1]FishDiscoveryGroup!$A:$X,표1[[#This Row],[명칭]]),"-")</f>
        <v>0</v>
      </c>
      <c r="K774" s="38" t="str">
        <f>IFERROR(COUNTIF([2]Town!$B:$B,표1[[#This Row],[명칭]]),"-")</f>
        <v>-</v>
      </c>
      <c r="L774" s="38">
        <f>IFERROR(COUNTIF([1]Village!$BR:$BR,표1[[#This Row],[명칭]]),"-")</f>
        <v>0</v>
      </c>
      <c r="M774" s="38">
        <f>COUNTIF(퀘스트!B:B,표1[[#This Row],[명칭]])</f>
        <v>0</v>
      </c>
      <c r="N774" s="65">
        <f>COUNTIF([1]VillageDiscoveryGroup!$C:$C,표1[[#This Row],[명칭]])</f>
        <v>1</v>
      </c>
      <c r="O774" s="65">
        <f>SUM(표1[[#This Row],[해양탐색]:[마을탐험]])</f>
        <v>1</v>
      </c>
    </row>
    <row r="775" spans="2:15" ht="13.5" customHeight="1" x14ac:dyDescent="0.3">
      <c r="B775" s="9">
        <f>[1]Discovery!A781</f>
        <v>70407021</v>
      </c>
      <c r="C775" s="9" t="str">
        <f>[1]Discovery!B781</f>
        <v>리카온</v>
      </c>
      <c r="D775" s="9" t="str">
        <f>[1]Discovery!E781</f>
        <v>동물</v>
      </c>
      <c r="E775" s="9" t="str">
        <f>[1]Discovery!C781</f>
        <v>포유류</v>
      </c>
      <c r="F775" s="9" t="str">
        <f>[1]Discovery!G781</f>
        <v>A</v>
      </c>
      <c r="G775" s="9" t="str">
        <f>IFERROR(VLOOKUP(표1[[#This Row],[명칭]],'문화권 정리'!C:D,2,FALSE),"-")</f>
        <v>서아프리카</v>
      </c>
      <c r="H775" s="38" t="str">
        <f>IFERROR(COUNTIF([2]OceanDoodad!$Y:$Y,표1[[#This Row],[명칭]]),"-")</f>
        <v>-</v>
      </c>
      <c r="I775" s="38">
        <f>IFERROR(COUNTIF([1]AdventureDiscoveryGroup!$D$8:$AW$92,표1[[#This Row],[명칭]]),"-")</f>
        <v>0</v>
      </c>
      <c r="J775" s="38">
        <f>IFERROR(COUNTIF([1]FishDiscoveryGroup!$A:$X,표1[[#This Row],[명칭]]),"-")</f>
        <v>0</v>
      </c>
      <c r="K775" s="38" t="str">
        <f>IFERROR(COUNTIF([2]Town!$B:$B,표1[[#This Row],[명칭]]),"-")</f>
        <v>-</v>
      </c>
      <c r="L775" s="38">
        <f>IFERROR(COUNTIF([1]Village!$BR:$BR,표1[[#This Row],[명칭]]),"-")</f>
        <v>0</v>
      </c>
      <c r="M775" s="38">
        <f>COUNTIF(퀘스트!B:B,표1[[#This Row],[명칭]])</f>
        <v>0</v>
      </c>
      <c r="N775" s="65">
        <f>COUNTIF([1]VillageDiscoveryGroup!$C:$C,표1[[#This Row],[명칭]])</f>
        <v>0</v>
      </c>
      <c r="O775" s="65">
        <f>SUM(표1[[#This Row],[해양탐색]:[마을탐험]])</f>
        <v>0</v>
      </c>
    </row>
    <row r="776" spans="2:15" ht="13.5" customHeight="1" x14ac:dyDescent="0.3">
      <c r="B776" s="9">
        <f>[1]Discovery!A782</f>
        <v>70407022</v>
      </c>
      <c r="C776" s="9" t="str">
        <f>[1]Discovery!B782</f>
        <v>망토개코원숭이</v>
      </c>
      <c r="D776" s="9" t="str">
        <f>[1]Discovery!E782</f>
        <v>동물</v>
      </c>
      <c r="E776" s="9" t="str">
        <f>[1]Discovery!C782</f>
        <v>포유류</v>
      </c>
      <c r="F776" s="9" t="str">
        <f>[1]Discovery!G782</f>
        <v>C</v>
      </c>
      <c r="G776" s="9" t="str">
        <f>IFERROR(VLOOKUP(표1[[#This Row],[명칭]],'문화권 정리'!C:D,2,FALSE),"-")</f>
        <v>북아프리카</v>
      </c>
      <c r="H776" s="38" t="str">
        <f>IFERROR(COUNTIF([2]OceanDoodad!$Y:$Y,표1[[#This Row],[명칭]]),"-")</f>
        <v>-</v>
      </c>
      <c r="I776" s="38">
        <f>IFERROR(COUNTIF([1]AdventureDiscoveryGroup!$D$8:$AW$92,표1[[#This Row],[명칭]]),"-")</f>
        <v>0</v>
      </c>
      <c r="J776" s="38">
        <f>IFERROR(COUNTIF([1]FishDiscoveryGroup!$A:$X,표1[[#This Row],[명칭]]),"-")</f>
        <v>0</v>
      </c>
      <c r="K776" s="38" t="str">
        <f>IFERROR(COUNTIF([2]Town!$B:$B,표1[[#This Row],[명칭]]),"-")</f>
        <v>-</v>
      </c>
      <c r="L776" s="38">
        <f>IFERROR(COUNTIF([1]Village!$BR:$BR,표1[[#This Row],[명칭]]),"-")</f>
        <v>0</v>
      </c>
      <c r="M776" s="38">
        <f>COUNTIF(퀘스트!B:B,표1[[#This Row],[명칭]])</f>
        <v>0</v>
      </c>
      <c r="N776" s="65">
        <f>COUNTIF([1]VillageDiscoveryGroup!$C:$C,표1[[#This Row],[명칭]])</f>
        <v>1</v>
      </c>
      <c r="O776" s="65">
        <f>SUM(표1[[#This Row],[해양탐색]:[마을탐험]])</f>
        <v>1</v>
      </c>
    </row>
    <row r="777" spans="2:15" ht="13.5" customHeight="1" x14ac:dyDescent="0.3">
      <c r="B777" s="9">
        <f>[1]Discovery!A783</f>
        <v>70407023</v>
      </c>
      <c r="C777" s="9" t="str">
        <f>[1]Discovery!B783</f>
        <v>맨드릴</v>
      </c>
      <c r="D777" s="9" t="str">
        <f>[1]Discovery!E783</f>
        <v>동물</v>
      </c>
      <c r="E777" s="9" t="str">
        <f>[1]Discovery!C783</f>
        <v>포유류</v>
      </c>
      <c r="F777" s="9" t="str">
        <f>[1]Discovery!G783</f>
        <v>B</v>
      </c>
      <c r="G777" s="9" t="str">
        <f>IFERROR(VLOOKUP(표1[[#This Row],[명칭]],'문화권 정리'!C:D,2,FALSE),"-")</f>
        <v>서아프리카</v>
      </c>
      <c r="H777" s="38" t="str">
        <f>IFERROR(COUNTIF([2]OceanDoodad!$Y:$Y,표1[[#This Row],[명칭]]),"-")</f>
        <v>-</v>
      </c>
      <c r="I777" s="38">
        <f>IFERROR(COUNTIF([1]AdventureDiscoveryGroup!$D$8:$AW$92,표1[[#This Row],[명칭]]),"-")</f>
        <v>0</v>
      </c>
      <c r="J777" s="38">
        <f>IFERROR(COUNTIF([1]FishDiscoveryGroup!$A:$X,표1[[#This Row],[명칭]]),"-")</f>
        <v>0</v>
      </c>
      <c r="K777" s="38" t="str">
        <f>IFERROR(COUNTIF([2]Town!$B:$B,표1[[#This Row],[명칭]]),"-")</f>
        <v>-</v>
      </c>
      <c r="L777" s="38">
        <f>IFERROR(COUNTIF([1]Village!$BR:$BR,표1[[#This Row],[명칭]]),"-")</f>
        <v>0</v>
      </c>
      <c r="M777" s="38">
        <f>COUNTIF(퀘스트!B:B,표1[[#This Row],[명칭]])</f>
        <v>0</v>
      </c>
      <c r="N777" s="65">
        <f>COUNTIF([1]VillageDiscoveryGroup!$C:$C,표1[[#This Row],[명칭]])</f>
        <v>1</v>
      </c>
      <c r="O777" s="65">
        <f>SUM(표1[[#This Row],[해양탐색]:[마을탐험]])</f>
        <v>1</v>
      </c>
    </row>
    <row r="778" spans="2:15" ht="13.5" customHeight="1" x14ac:dyDescent="0.3">
      <c r="B778" s="9">
        <f>[1]Discovery!A784</f>
        <v>70407024</v>
      </c>
      <c r="C778" s="9" t="str">
        <f>[1]Discovery!B784</f>
        <v>목도리여우원숭이</v>
      </c>
      <c r="D778" s="9" t="str">
        <f>[1]Discovery!E784</f>
        <v>동물</v>
      </c>
      <c r="E778" s="9" t="str">
        <f>[1]Discovery!C784</f>
        <v>포유류</v>
      </c>
      <c r="F778" s="9" t="str">
        <f>[1]Discovery!G784</f>
        <v>D</v>
      </c>
      <c r="G778" s="9" t="str">
        <f>IFERROR(VLOOKUP(표1[[#This Row],[명칭]],'문화권 정리'!C:D,2,FALSE),"-")</f>
        <v>동아프리카</v>
      </c>
      <c r="H778" s="38" t="str">
        <f>IFERROR(COUNTIF([2]OceanDoodad!$Y:$Y,표1[[#This Row],[명칭]]),"-")</f>
        <v>-</v>
      </c>
      <c r="I778" s="38">
        <f>IFERROR(COUNTIF([1]AdventureDiscoveryGroup!$D$8:$AW$92,표1[[#This Row],[명칭]]),"-")</f>
        <v>1</v>
      </c>
      <c r="J778" s="38">
        <f>IFERROR(COUNTIF([1]FishDiscoveryGroup!$A:$X,표1[[#This Row],[명칭]]),"-")</f>
        <v>0</v>
      </c>
      <c r="K778" s="38" t="str">
        <f>IFERROR(COUNTIF([2]Town!$B:$B,표1[[#This Row],[명칭]]),"-")</f>
        <v>-</v>
      </c>
      <c r="L778" s="38">
        <f>IFERROR(COUNTIF([1]Village!$BR:$BR,표1[[#This Row],[명칭]]),"-")</f>
        <v>0</v>
      </c>
      <c r="M778" s="38">
        <f>COUNTIF(퀘스트!B:B,표1[[#This Row],[명칭]])</f>
        <v>0</v>
      </c>
      <c r="N778" s="65">
        <f>COUNTIF([1]VillageDiscoveryGroup!$C:$C,표1[[#This Row],[명칭]])</f>
        <v>0</v>
      </c>
      <c r="O778" s="65">
        <f>SUM(표1[[#This Row],[해양탐색]:[마을탐험]])</f>
        <v>1</v>
      </c>
    </row>
    <row r="779" spans="2:15" ht="13.5" customHeight="1" x14ac:dyDescent="0.3">
      <c r="B779" s="9">
        <f>[1]Discovery!A785</f>
        <v>70407025</v>
      </c>
      <c r="C779" s="9" t="str">
        <f>[1]Discovery!B785</f>
        <v>무플롱</v>
      </c>
      <c r="D779" s="9" t="str">
        <f>[1]Discovery!E785</f>
        <v>동물</v>
      </c>
      <c r="E779" s="9" t="str">
        <f>[1]Discovery!C785</f>
        <v>포유류</v>
      </c>
      <c r="F779" s="9" t="str">
        <f>[1]Discovery!G785</f>
        <v>A</v>
      </c>
      <c r="G779" s="9" t="str">
        <f>IFERROR(VLOOKUP(표1[[#This Row],[명칭]],'문화권 정리'!C:D,2,FALSE),"-")</f>
        <v>지중해</v>
      </c>
      <c r="H779" s="38" t="str">
        <f>IFERROR(COUNTIF([2]OceanDoodad!$Y:$Y,표1[[#This Row],[명칭]]),"-")</f>
        <v>-</v>
      </c>
      <c r="I779" s="38">
        <f>IFERROR(COUNTIF([1]AdventureDiscoveryGroup!$D$8:$AW$92,표1[[#This Row],[명칭]]),"-")</f>
        <v>0</v>
      </c>
      <c r="J779" s="38">
        <f>IFERROR(COUNTIF([1]FishDiscoveryGroup!$A:$X,표1[[#This Row],[명칭]]),"-")</f>
        <v>0</v>
      </c>
      <c r="K779" s="38" t="str">
        <f>IFERROR(COUNTIF([2]Town!$B:$B,표1[[#This Row],[명칭]]),"-")</f>
        <v>-</v>
      </c>
      <c r="L779" s="38">
        <f>IFERROR(COUNTIF([1]Village!$BR:$BR,표1[[#This Row],[명칭]]),"-")</f>
        <v>0</v>
      </c>
      <c r="M779" s="38">
        <f>COUNTIF(퀘스트!B:B,표1[[#This Row],[명칭]])</f>
        <v>0</v>
      </c>
      <c r="N779" s="65">
        <f>COUNTIF([1]VillageDiscoveryGroup!$C:$C,표1[[#This Row],[명칭]])</f>
        <v>0</v>
      </c>
      <c r="O779" s="65">
        <f>SUM(표1[[#This Row],[해양탐색]:[마을탐험]])</f>
        <v>0</v>
      </c>
    </row>
    <row r="780" spans="2:15" ht="13.5" customHeight="1" x14ac:dyDescent="0.3">
      <c r="B780" s="9">
        <f>[1]Discovery!A786</f>
        <v>70407026</v>
      </c>
      <c r="C780" s="9" t="str">
        <f>[1]Discovery!B786</f>
        <v>물개</v>
      </c>
      <c r="D780" s="9" t="str">
        <f>[1]Discovery!E786</f>
        <v>동물</v>
      </c>
      <c r="E780" s="9" t="str">
        <f>[1]Discovery!C786</f>
        <v>포유류</v>
      </c>
      <c r="F780" s="9" t="str">
        <f>[1]Discovery!G786</f>
        <v>C</v>
      </c>
      <c r="G780" s="9" t="str">
        <f>IFERROR(VLOOKUP(표1[[#This Row],[명칭]],'문화권 정리'!C:D,2,FALSE),"-")</f>
        <v>남아메리카</v>
      </c>
      <c r="H780" s="38" t="str">
        <f>IFERROR(COUNTIF([2]OceanDoodad!$Y:$Y,표1[[#This Row],[명칭]]),"-")</f>
        <v>-</v>
      </c>
      <c r="I780" s="38">
        <f>IFERROR(COUNTIF([1]AdventureDiscoveryGroup!$D$8:$AW$92,표1[[#This Row],[명칭]]),"-")</f>
        <v>0</v>
      </c>
      <c r="J780" s="38">
        <f>IFERROR(COUNTIF([1]FishDiscoveryGroup!$A:$X,표1[[#This Row],[명칭]]),"-")</f>
        <v>0</v>
      </c>
      <c r="K780" s="38" t="str">
        <f>IFERROR(COUNTIF([2]Town!$B:$B,표1[[#This Row],[명칭]]),"-")</f>
        <v>-</v>
      </c>
      <c r="L780" s="38">
        <f>IFERROR(COUNTIF([1]Village!$BR:$BR,표1[[#This Row],[명칭]]),"-")</f>
        <v>0</v>
      </c>
      <c r="M780" s="38">
        <f>COUNTIF(퀘스트!B:B,표1[[#This Row],[명칭]])</f>
        <v>0</v>
      </c>
      <c r="N780" s="65">
        <f>COUNTIF([1]VillageDiscoveryGroup!$C:$C,표1[[#This Row],[명칭]])</f>
        <v>0</v>
      </c>
      <c r="O780" s="65">
        <f>SUM(표1[[#This Row],[해양탐색]:[마을탐험]])</f>
        <v>0</v>
      </c>
    </row>
    <row r="781" spans="2:15" ht="13.5" customHeight="1" x14ac:dyDescent="0.3">
      <c r="B781" s="9">
        <f>[1]Discovery!A787</f>
        <v>70407027</v>
      </c>
      <c r="C781" s="9" t="str">
        <f>[1]Discovery!B787</f>
        <v>바다이구아나</v>
      </c>
      <c r="D781" s="9" t="str">
        <f>[1]Discovery!E787</f>
        <v>동물</v>
      </c>
      <c r="E781" s="9" t="str">
        <f>[1]Discovery!C787</f>
        <v>파충류</v>
      </c>
      <c r="F781" s="9" t="str">
        <f>[1]Discovery!G787</f>
        <v>B</v>
      </c>
      <c r="G781" s="9" t="str">
        <f>IFERROR(VLOOKUP(표1[[#This Row],[명칭]],'문화권 정리'!C:D,2,FALSE),"-")</f>
        <v>남아메리카</v>
      </c>
      <c r="H781" s="38" t="str">
        <f>IFERROR(COUNTIF([2]OceanDoodad!$Y:$Y,표1[[#This Row],[명칭]]),"-")</f>
        <v>-</v>
      </c>
      <c r="I781" s="38">
        <f>IFERROR(COUNTIF([1]AdventureDiscoveryGroup!$D$8:$AW$92,표1[[#This Row],[명칭]]),"-")</f>
        <v>1</v>
      </c>
      <c r="J781" s="38">
        <f>IFERROR(COUNTIF([1]FishDiscoveryGroup!$A:$X,표1[[#This Row],[명칭]]),"-")</f>
        <v>0</v>
      </c>
      <c r="K781" s="38" t="str">
        <f>IFERROR(COUNTIF([2]Town!$B:$B,표1[[#This Row],[명칭]]),"-")</f>
        <v>-</v>
      </c>
      <c r="L781" s="38">
        <f>IFERROR(COUNTIF([1]Village!$BR:$BR,표1[[#This Row],[명칭]]),"-")</f>
        <v>0</v>
      </c>
      <c r="M781" s="38">
        <f>COUNTIF(퀘스트!B:B,표1[[#This Row],[명칭]])</f>
        <v>0</v>
      </c>
      <c r="N781" s="65">
        <f>COUNTIF([1]VillageDiscoveryGroup!$C:$C,표1[[#This Row],[명칭]])</f>
        <v>0</v>
      </c>
      <c r="O781" s="65">
        <f>SUM(표1[[#This Row],[해양탐색]:[마을탐험]])</f>
        <v>1</v>
      </c>
    </row>
    <row r="782" spans="2:15" ht="13.5" customHeight="1" x14ac:dyDescent="0.3">
      <c r="B782" s="9">
        <f>[1]Discovery!A788</f>
        <v>70407028</v>
      </c>
      <c r="C782" s="9" t="str">
        <f>[1]Discovery!B788</f>
        <v>바다코끼리</v>
      </c>
      <c r="D782" s="9" t="str">
        <f>[1]Discovery!E788</f>
        <v>동물</v>
      </c>
      <c r="E782" s="9" t="str">
        <f>[1]Discovery!C788</f>
        <v>포유류</v>
      </c>
      <c r="F782" s="9" t="str">
        <f>[1]Discovery!G788</f>
        <v>A</v>
      </c>
      <c r="G782" s="9" t="str">
        <f>IFERROR(VLOOKUP(표1[[#This Row],[명칭]],'문화권 정리'!C:D,2,FALSE),"-")</f>
        <v>유라시아</v>
      </c>
      <c r="H782" s="38" t="str">
        <f>IFERROR(COUNTIF([2]OceanDoodad!$Y:$Y,표1[[#This Row],[명칭]]),"-")</f>
        <v>-</v>
      </c>
      <c r="I782" s="38">
        <f>IFERROR(COUNTIF([1]AdventureDiscoveryGroup!$D$8:$AW$92,표1[[#This Row],[명칭]]),"-")</f>
        <v>0</v>
      </c>
      <c r="J782" s="38">
        <f>IFERROR(COUNTIF([1]FishDiscoveryGroup!$A:$X,표1[[#This Row],[명칭]]),"-")</f>
        <v>0</v>
      </c>
      <c r="K782" s="38" t="str">
        <f>IFERROR(COUNTIF([2]Town!$B:$B,표1[[#This Row],[명칭]]),"-")</f>
        <v>-</v>
      </c>
      <c r="L782" s="38">
        <f>IFERROR(COUNTIF([1]Village!$BR:$BR,표1[[#This Row],[명칭]]),"-")</f>
        <v>0</v>
      </c>
      <c r="M782" s="38">
        <f>COUNTIF(퀘스트!B:B,표1[[#This Row],[명칭]])</f>
        <v>1</v>
      </c>
      <c r="N782" s="65">
        <f>COUNTIF([1]VillageDiscoveryGroup!$C:$C,표1[[#This Row],[명칭]])</f>
        <v>0</v>
      </c>
      <c r="O782" s="65">
        <f>SUM(표1[[#This Row],[해양탐색]:[마을탐험]])</f>
        <v>1</v>
      </c>
    </row>
    <row r="783" spans="2:15" ht="13.5" customHeight="1" x14ac:dyDescent="0.3">
      <c r="B783" s="9">
        <f>[1]Discovery!A789</f>
        <v>70407029</v>
      </c>
      <c r="C783" s="9" t="str">
        <f>[1]Discovery!B789</f>
        <v>바다표범</v>
      </c>
      <c r="D783" s="9" t="str">
        <f>[1]Discovery!E789</f>
        <v>동물</v>
      </c>
      <c r="E783" s="9" t="str">
        <f>[1]Discovery!C789</f>
        <v>포유류</v>
      </c>
      <c r="F783" s="9" t="str">
        <f>[1]Discovery!G789</f>
        <v>C</v>
      </c>
      <c r="G783" s="9" t="str">
        <f>IFERROR(VLOOKUP(표1[[#This Row],[명칭]],'문화권 정리'!C:D,2,FALSE),"-")</f>
        <v>태평양</v>
      </c>
      <c r="H783" s="38" t="str">
        <f>IFERROR(COUNTIF([2]OceanDoodad!$Y:$Y,표1[[#This Row],[명칭]]),"-")</f>
        <v>-</v>
      </c>
      <c r="I783" s="38">
        <f>IFERROR(COUNTIF([1]AdventureDiscoveryGroup!$D$8:$AW$92,표1[[#This Row],[명칭]]),"-")</f>
        <v>0</v>
      </c>
      <c r="J783" s="38">
        <f>IFERROR(COUNTIF([1]FishDiscoveryGroup!$A:$X,표1[[#This Row],[명칭]]),"-")</f>
        <v>0</v>
      </c>
      <c r="K783" s="38" t="str">
        <f>IFERROR(COUNTIF([2]Town!$B:$B,표1[[#This Row],[명칭]]),"-")</f>
        <v>-</v>
      </c>
      <c r="L783" s="38">
        <f>IFERROR(COUNTIF([1]Village!$BR:$BR,표1[[#This Row],[명칭]]),"-")</f>
        <v>0</v>
      </c>
      <c r="M783" s="38">
        <f>COUNTIF(퀘스트!B:B,표1[[#This Row],[명칭]])</f>
        <v>0</v>
      </c>
      <c r="N783" s="65">
        <f>COUNTIF([1]VillageDiscoveryGroup!$C:$C,표1[[#This Row],[명칭]])</f>
        <v>0</v>
      </c>
      <c r="O783" s="65">
        <f>SUM(표1[[#This Row],[해양탐색]:[마을탐험]])</f>
        <v>0</v>
      </c>
    </row>
    <row r="784" spans="2:15" ht="13.5" customHeight="1" x14ac:dyDescent="0.3">
      <c r="B784" s="9">
        <f>[1]Discovery!A790</f>
        <v>70407030</v>
      </c>
      <c r="C784" s="9" t="str">
        <f>[1]Discovery!B790</f>
        <v>바바리양</v>
      </c>
      <c r="D784" s="9" t="str">
        <f>[1]Discovery!E790</f>
        <v>동물</v>
      </c>
      <c r="E784" s="9" t="str">
        <f>[1]Discovery!C790</f>
        <v>포유류</v>
      </c>
      <c r="F784" s="9" t="str">
        <f>[1]Discovery!G790</f>
        <v>D</v>
      </c>
      <c r="G784" s="9" t="str">
        <f>IFERROR(VLOOKUP(표1[[#This Row],[명칭]],'문화권 정리'!C:D,2,FALSE),"-")</f>
        <v>북아프리카</v>
      </c>
      <c r="H784" s="38" t="str">
        <f>IFERROR(COUNTIF([2]OceanDoodad!$Y:$Y,표1[[#This Row],[명칭]]),"-")</f>
        <v>-</v>
      </c>
      <c r="I784" s="38">
        <f>IFERROR(COUNTIF([1]AdventureDiscoveryGroup!$D$8:$AW$92,표1[[#This Row],[명칭]]),"-")</f>
        <v>1</v>
      </c>
      <c r="J784" s="38">
        <f>IFERROR(COUNTIF([1]FishDiscoveryGroup!$A:$X,표1[[#This Row],[명칭]]),"-")</f>
        <v>0</v>
      </c>
      <c r="K784" s="38" t="str">
        <f>IFERROR(COUNTIF([2]Town!$B:$B,표1[[#This Row],[명칭]]),"-")</f>
        <v>-</v>
      </c>
      <c r="L784" s="38">
        <f>IFERROR(COUNTIF([1]Village!$BR:$BR,표1[[#This Row],[명칭]]),"-")</f>
        <v>0</v>
      </c>
      <c r="M784" s="38">
        <f>COUNTIF(퀘스트!B:B,표1[[#This Row],[명칭]])</f>
        <v>0</v>
      </c>
      <c r="N784" s="65">
        <f>COUNTIF([1]VillageDiscoveryGroup!$C:$C,표1[[#This Row],[명칭]])</f>
        <v>0</v>
      </c>
      <c r="O784" s="65">
        <f>SUM(표1[[#This Row],[해양탐색]:[마을탐험]])</f>
        <v>1</v>
      </c>
    </row>
    <row r="785" spans="2:15" ht="13.5" customHeight="1" x14ac:dyDescent="0.3">
      <c r="B785" s="9">
        <f>[1]Discovery!A791</f>
        <v>70407031</v>
      </c>
      <c r="C785" s="9" t="str">
        <f>[1]Discovery!B791</f>
        <v>바비루사</v>
      </c>
      <c r="D785" s="9" t="str">
        <f>[1]Discovery!E791</f>
        <v>동물</v>
      </c>
      <c r="E785" s="9" t="str">
        <f>[1]Discovery!C791</f>
        <v>포유류</v>
      </c>
      <c r="F785" s="9" t="str">
        <f>[1]Discovery!G791</f>
        <v>B</v>
      </c>
      <c r="G785" s="9" t="str">
        <f>IFERROR(VLOOKUP(표1[[#This Row],[명칭]],'문화권 정리'!C:D,2,FALSE),"-")</f>
        <v>동남아시아</v>
      </c>
      <c r="H785" s="38" t="str">
        <f>IFERROR(COUNTIF([2]OceanDoodad!$Y:$Y,표1[[#This Row],[명칭]]),"-")</f>
        <v>-</v>
      </c>
      <c r="I785" s="38">
        <f>IFERROR(COUNTIF([1]AdventureDiscoveryGroup!$D$8:$AW$92,표1[[#This Row],[명칭]]),"-")</f>
        <v>0</v>
      </c>
      <c r="J785" s="38">
        <f>IFERROR(COUNTIF([1]FishDiscoveryGroup!$A:$X,표1[[#This Row],[명칭]]),"-")</f>
        <v>0</v>
      </c>
      <c r="K785" s="38" t="str">
        <f>IFERROR(COUNTIF([2]Town!$B:$B,표1[[#This Row],[명칭]]),"-")</f>
        <v>-</v>
      </c>
      <c r="L785" s="38">
        <f>IFERROR(COUNTIF([1]Village!$BR:$BR,표1[[#This Row],[명칭]]),"-")</f>
        <v>0</v>
      </c>
      <c r="M785" s="38">
        <f>COUNTIF(퀘스트!B:B,표1[[#This Row],[명칭]])</f>
        <v>0</v>
      </c>
      <c r="N785" s="65">
        <f>COUNTIF([1]VillageDiscoveryGroup!$C:$C,표1[[#This Row],[명칭]])</f>
        <v>1</v>
      </c>
      <c r="O785" s="65">
        <f>SUM(표1[[#This Row],[해양탐색]:[마을탐험]])</f>
        <v>1</v>
      </c>
    </row>
    <row r="786" spans="2:15" ht="13.5" customHeight="1" x14ac:dyDescent="0.3">
      <c r="B786" s="9">
        <f>[1]Discovery!A792</f>
        <v>70407032</v>
      </c>
      <c r="C786" s="9" t="str">
        <f>[1]Discovery!B792</f>
        <v>별거북</v>
      </c>
      <c r="D786" s="9" t="str">
        <f>[1]Discovery!E792</f>
        <v>동물</v>
      </c>
      <c r="E786" s="9" t="str">
        <f>[1]Discovery!C792</f>
        <v>파충류</v>
      </c>
      <c r="F786" s="9" t="str">
        <f>[1]Discovery!G792</f>
        <v>D</v>
      </c>
      <c r="G786" s="9" t="str">
        <f>IFERROR(VLOOKUP(표1[[#This Row],[명칭]],'문화권 정리'!C:D,2,FALSE),"-")</f>
        <v>남아시아</v>
      </c>
      <c r="H786" s="38" t="str">
        <f>IFERROR(COUNTIF([2]OceanDoodad!$Y:$Y,표1[[#This Row],[명칭]]),"-")</f>
        <v>-</v>
      </c>
      <c r="I786" s="38">
        <f>IFERROR(COUNTIF([1]AdventureDiscoveryGroup!$D$8:$AW$92,표1[[#This Row],[명칭]]),"-")</f>
        <v>1</v>
      </c>
      <c r="J786" s="38">
        <f>IFERROR(COUNTIF([1]FishDiscoveryGroup!$A:$X,표1[[#This Row],[명칭]]),"-")</f>
        <v>0</v>
      </c>
      <c r="K786" s="38" t="str">
        <f>IFERROR(COUNTIF([2]Town!$B:$B,표1[[#This Row],[명칭]]),"-")</f>
        <v>-</v>
      </c>
      <c r="L786" s="38">
        <f>IFERROR(COUNTIF([1]Village!$BR:$BR,표1[[#This Row],[명칭]]),"-")</f>
        <v>0</v>
      </c>
      <c r="M786" s="38">
        <f>COUNTIF(퀘스트!B:B,표1[[#This Row],[명칭]])</f>
        <v>0</v>
      </c>
      <c r="N786" s="65">
        <f>COUNTIF([1]VillageDiscoveryGroup!$C:$C,표1[[#This Row],[명칭]])</f>
        <v>0</v>
      </c>
      <c r="O786" s="65">
        <f>SUM(표1[[#This Row],[해양탐색]:[마을탐험]])</f>
        <v>1</v>
      </c>
    </row>
    <row r="787" spans="2:15" ht="13.5" customHeight="1" x14ac:dyDescent="0.3">
      <c r="B787" s="9">
        <f>[1]Discovery!A793</f>
        <v>70407033</v>
      </c>
      <c r="C787" s="9" t="str">
        <f>[1]Discovery!B793</f>
        <v>보르조이</v>
      </c>
      <c r="D787" s="9" t="str">
        <f>[1]Discovery!E793</f>
        <v>동물</v>
      </c>
      <c r="E787" s="9" t="str">
        <f>[1]Discovery!C793</f>
        <v>포유류</v>
      </c>
      <c r="F787" s="9" t="str">
        <f>[1]Discovery!G793</f>
        <v>D</v>
      </c>
      <c r="G787" s="9" t="str">
        <f>IFERROR(VLOOKUP(표1[[#This Row],[명칭]],'문화권 정리'!C:D,2,FALSE),"-")</f>
        <v>유라시아</v>
      </c>
      <c r="H787" s="38" t="str">
        <f>IFERROR(COUNTIF([2]OceanDoodad!$Y:$Y,표1[[#This Row],[명칭]]),"-")</f>
        <v>-</v>
      </c>
      <c r="I787" s="38">
        <f>IFERROR(COUNTIF([1]AdventureDiscoveryGroup!$D$8:$AW$92,표1[[#This Row],[명칭]]),"-")</f>
        <v>1</v>
      </c>
      <c r="J787" s="38">
        <f>IFERROR(COUNTIF([1]FishDiscoveryGroup!$A:$X,표1[[#This Row],[명칭]]),"-")</f>
        <v>0</v>
      </c>
      <c r="K787" s="38" t="str">
        <f>IFERROR(COUNTIF([2]Town!$B:$B,표1[[#This Row],[명칭]]),"-")</f>
        <v>-</v>
      </c>
      <c r="L787" s="38">
        <f>IFERROR(COUNTIF([1]Village!$BR:$BR,표1[[#This Row],[명칭]]),"-")</f>
        <v>0</v>
      </c>
      <c r="M787" s="38">
        <f>COUNTIF(퀘스트!B:B,표1[[#This Row],[명칭]])</f>
        <v>0</v>
      </c>
      <c r="N787" s="65">
        <f>COUNTIF([1]VillageDiscoveryGroup!$C:$C,표1[[#This Row],[명칭]])</f>
        <v>0</v>
      </c>
      <c r="O787" s="65">
        <f>SUM(표1[[#This Row],[해양탐색]:[마을탐험]])</f>
        <v>1</v>
      </c>
    </row>
    <row r="788" spans="2:15" ht="13.5" customHeight="1" x14ac:dyDescent="0.3">
      <c r="B788" s="9">
        <f>[1]Discovery!A794</f>
        <v>70407034</v>
      </c>
      <c r="C788" s="9" t="str">
        <f>[1]Discovery!B794</f>
        <v>봉고</v>
      </c>
      <c r="D788" s="9" t="str">
        <f>[1]Discovery!E794</f>
        <v>동물</v>
      </c>
      <c r="E788" s="9" t="str">
        <f>[1]Discovery!C794</f>
        <v>포유류</v>
      </c>
      <c r="F788" s="9" t="str">
        <f>[1]Discovery!G794</f>
        <v>D</v>
      </c>
      <c r="G788" s="9" t="str">
        <f>IFERROR(VLOOKUP(표1[[#This Row],[명칭]],'문화권 정리'!C:D,2,FALSE),"-")</f>
        <v>동아프리카</v>
      </c>
      <c r="H788" s="38" t="str">
        <f>IFERROR(COUNTIF([2]OceanDoodad!$Y:$Y,표1[[#This Row],[명칭]]),"-")</f>
        <v>-</v>
      </c>
      <c r="I788" s="38">
        <f>IFERROR(COUNTIF([1]AdventureDiscoveryGroup!$D$8:$AW$92,표1[[#This Row],[명칭]]),"-")</f>
        <v>1</v>
      </c>
      <c r="J788" s="38">
        <f>IFERROR(COUNTIF([1]FishDiscoveryGroup!$A:$X,표1[[#This Row],[명칭]]),"-")</f>
        <v>0</v>
      </c>
      <c r="K788" s="38" t="str">
        <f>IFERROR(COUNTIF([2]Town!$B:$B,표1[[#This Row],[명칭]]),"-")</f>
        <v>-</v>
      </c>
      <c r="L788" s="38">
        <f>IFERROR(COUNTIF([1]Village!$BR:$BR,표1[[#This Row],[명칭]]),"-")</f>
        <v>0</v>
      </c>
      <c r="M788" s="38">
        <f>COUNTIF(퀘스트!B:B,표1[[#This Row],[명칭]])</f>
        <v>0</v>
      </c>
      <c r="N788" s="65">
        <f>COUNTIF([1]VillageDiscoveryGroup!$C:$C,표1[[#This Row],[명칭]])</f>
        <v>0</v>
      </c>
      <c r="O788" s="65">
        <f>SUM(표1[[#This Row],[해양탐색]:[마을탐험]])</f>
        <v>1</v>
      </c>
    </row>
    <row r="789" spans="2:15" ht="13.5" customHeight="1" x14ac:dyDescent="0.3">
      <c r="B789" s="9">
        <f>[1]Discovery!A795</f>
        <v>70407035</v>
      </c>
      <c r="C789" s="9" t="str">
        <f>[1]Discovery!B795</f>
        <v>북극여우</v>
      </c>
      <c r="D789" s="9" t="str">
        <f>[1]Discovery!E795</f>
        <v>동물</v>
      </c>
      <c r="E789" s="9" t="str">
        <f>[1]Discovery!C795</f>
        <v>포유류</v>
      </c>
      <c r="F789" s="9" t="str">
        <f>[1]Discovery!G795</f>
        <v>B</v>
      </c>
      <c r="G789" s="9" t="str">
        <f>IFERROR(VLOOKUP(표1[[#This Row],[명칭]],'문화권 정리'!C:D,2,FALSE),"-")</f>
        <v>유라시아</v>
      </c>
      <c r="H789" s="38" t="str">
        <f>IFERROR(COUNTIF([2]OceanDoodad!$Y:$Y,표1[[#This Row],[명칭]]),"-")</f>
        <v>-</v>
      </c>
      <c r="I789" s="38">
        <f>IFERROR(COUNTIF([1]AdventureDiscoveryGroup!$D$8:$AW$92,표1[[#This Row],[명칭]]),"-")</f>
        <v>1</v>
      </c>
      <c r="J789" s="38">
        <f>IFERROR(COUNTIF([1]FishDiscoveryGroup!$A:$X,표1[[#This Row],[명칭]]),"-")</f>
        <v>0</v>
      </c>
      <c r="K789" s="38" t="str">
        <f>IFERROR(COUNTIF([2]Town!$B:$B,표1[[#This Row],[명칭]]),"-")</f>
        <v>-</v>
      </c>
      <c r="L789" s="38">
        <f>IFERROR(COUNTIF([1]Village!$BR:$BR,표1[[#This Row],[명칭]]),"-")</f>
        <v>0</v>
      </c>
      <c r="M789" s="38">
        <f>COUNTIF(퀘스트!B:B,표1[[#This Row],[명칭]])</f>
        <v>0</v>
      </c>
      <c r="N789" s="65">
        <f>COUNTIF([1]VillageDiscoveryGroup!$C:$C,표1[[#This Row],[명칭]])</f>
        <v>0</v>
      </c>
      <c r="O789" s="65">
        <f>SUM(표1[[#This Row],[해양탐색]:[마을탐험]])</f>
        <v>1</v>
      </c>
    </row>
    <row r="790" spans="2:15" ht="13.5" customHeight="1" x14ac:dyDescent="0.3">
      <c r="B790" s="9">
        <f>[1]Discovery!A796</f>
        <v>70407036</v>
      </c>
      <c r="C790" s="9" t="str">
        <f>[1]Discovery!B796</f>
        <v>붉은늑대</v>
      </c>
      <c r="D790" s="9" t="str">
        <f>[1]Discovery!E796</f>
        <v>동물</v>
      </c>
      <c r="E790" s="9" t="str">
        <f>[1]Discovery!C796</f>
        <v>포유류</v>
      </c>
      <c r="F790" s="9" t="str">
        <f>[1]Discovery!G796</f>
        <v>C</v>
      </c>
      <c r="G790" s="9" t="str">
        <f>IFERROR(VLOOKUP(표1[[#This Row],[명칭]],'문화권 정리'!C:D,2,FALSE),"-")</f>
        <v>북아메리카</v>
      </c>
      <c r="H790" s="38" t="str">
        <f>IFERROR(COUNTIF([2]OceanDoodad!$Y:$Y,표1[[#This Row],[명칭]]),"-")</f>
        <v>-</v>
      </c>
      <c r="I790" s="38">
        <f>IFERROR(COUNTIF([1]AdventureDiscoveryGroup!$D$8:$AW$92,표1[[#This Row],[명칭]]),"-")</f>
        <v>1</v>
      </c>
      <c r="J790" s="38">
        <f>IFERROR(COUNTIF([1]FishDiscoveryGroup!$A:$X,표1[[#This Row],[명칭]]),"-")</f>
        <v>0</v>
      </c>
      <c r="K790" s="38" t="str">
        <f>IFERROR(COUNTIF([2]Town!$B:$B,표1[[#This Row],[명칭]]),"-")</f>
        <v>-</v>
      </c>
      <c r="L790" s="38">
        <f>IFERROR(COUNTIF([1]Village!$BR:$BR,표1[[#This Row],[명칭]]),"-")</f>
        <v>0</v>
      </c>
      <c r="M790" s="38">
        <f>COUNTIF(퀘스트!B:B,표1[[#This Row],[명칭]])</f>
        <v>0</v>
      </c>
      <c r="N790" s="65">
        <f>COUNTIF([1]VillageDiscoveryGroup!$C:$C,표1[[#This Row],[명칭]])</f>
        <v>0</v>
      </c>
      <c r="O790" s="65">
        <f>SUM(표1[[#This Row],[해양탐색]:[마을탐험]])</f>
        <v>1</v>
      </c>
    </row>
    <row r="791" spans="2:15" ht="13.5" customHeight="1" x14ac:dyDescent="0.3">
      <c r="B791" s="9">
        <f>[1]Discovery!A797</f>
        <v>70407037</v>
      </c>
      <c r="C791" s="9" t="str">
        <f>[1]Discovery!B797</f>
        <v>붉은바다거북</v>
      </c>
      <c r="D791" s="9" t="str">
        <f>[1]Discovery!E797</f>
        <v>동물</v>
      </c>
      <c r="E791" s="9" t="str">
        <f>[1]Discovery!C797</f>
        <v>파충류</v>
      </c>
      <c r="F791" s="9" t="str">
        <f>[1]Discovery!G797</f>
        <v>C</v>
      </c>
      <c r="G791" s="9" t="str">
        <f>IFERROR(VLOOKUP(표1[[#This Row],[명칭]],'문화권 정리'!C:D,2,FALSE),"-")</f>
        <v>북아메리카</v>
      </c>
      <c r="H791" s="38" t="str">
        <f>IFERROR(COUNTIF([2]OceanDoodad!$Y:$Y,표1[[#This Row],[명칭]]),"-")</f>
        <v>-</v>
      </c>
      <c r="I791" s="38">
        <f>IFERROR(COUNTIF([1]AdventureDiscoveryGroup!$D$8:$AW$92,표1[[#This Row],[명칭]]),"-")</f>
        <v>0</v>
      </c>
      <c r="J791" s="38">
        <f>IFERROR(COUNTIF([1]FishDiscoveryGroup!$A:$X,표1[[#This Row],[명칭]]),"-")</f>
        <v>0</v>
      </c>
      <c r="K791" s="38" t="str">
        <f>IFERROR(COUNTIF([2]Town!$B:$B,표1[[#This Row],[명칭]]),"-")</f>
        <v>-</v>
      </c>
      <c r="L791" s="38">
        <f>IFERROR(COUNTIF([1]Village!$BR:$BR,표1[[#This Row],[명칭]]),"-")</f>
        <v>0</v>
      </c>
      <c r="M791" s="38">
        <f>COUNTIF(퀘스트!B:B,표1[[#This Row],[명칭]])</f>
        <v>0</v>
      </c>
      <c r="N791" s="65">
        <f>COUNTIF([1]VillageDiscoveryGroup!$C:$C,표1[[#This Row],[명칭]])</f>
        <v>1</v>
      </c>
      <c r="O791" s="65">
        <f>SUM(표1[[#This Row],[해양탐색]:[마을탐험]])</f>
        <v>1</v>
      </c>
    </row>
    <row r="792" spans="2:15" ht="13.5" customHeight="1" x14ac:dyDescent="0.3">
      <c r="B792" s="9">
        <f>[1]Discovery!A798</f>
        <v>70407038</v>
      </c>
      <c r="C792" s="9" t="str">
        <f>[1]Discovery!B798</f>
        <v>붉은사슴</v>
      </c>
      <c r="D792" s="9" t="str">
        <f>[1]Discovery!E798</f>
        <v>동물</v>
      </c>
      <c r="E792" s="9" t="str">
        <f>[1]Discovery!C798</f>
        <v>포유류</v>
      </c>
      <c r="F792" s="9" t="str">
        <f>[1]Discovery!G798</f>
        <v>D</v>
      </c>
      <c r="G792" s="9" t="str">
        <f>IFERROR(VLOOKUP(표1[[#This Row],[명칭]],'문화권 정리'!C:D,2,FALSE),"-")</f>
        <v>브리튼</v>
      </c>
      <c r="H792" s="38" t="str">
        <f>IFERROR(COUNTIF([2]OceanDoodad!$Y:$Y,표1[[#This Row],[명칭]]),"-")</f>
        <v>-</v>
      </c>
      <c r="I792" s="38">
        <f>IFERROR(COUNTIF([1]AdventureDiscoveryGroup!$D$8:$AW$92,표1[[#This Row],[명칭]]),"-")</f>
        <v>1</v>
      </c>
      <c r="J792" s="38">
        <f>IFERROR(COUNTIF([1]FishDiscoveryGroup!$A:$X,표1[[#This Row],[명칭]]),"-")</f>
        <v>0</v>
      </c>
      <c r="K792" s="38" t="str">
        <f>IFERROR(COUNTIF([2]Town!$B:$B,표1[[#This Row],[명칭]]),"-")</f>
        <v>-</v>
      </c>
      <c r="L792" s="38">
        <f>IFERROR(COUNTIF([1]Village!$BR:$BR,표1[[#This Row],[명칭]]),"-")</f>
        <v>0</v>
      </c>
      <c r="M792" s="38">
        <f>COUNTIF(퀘스트!B:B,표1[[#This Row],[명칭]])</f>
        <v>0</v>
      </c>
      <c r="N792" s="65">
        <f>COUNTIF([1]VillageDiscoveryGroup!$C:$C,표1[[#This Row],[명칭]])</f>
        <v>0</v>
      </c>
      <c r="O792" s="65">
        <f>SUM(표1[[#This Row],[해양탐색]:[마을탐험]])</f>
        <v>1</v>
      </c>
    </row>
    <row r="793" spans="2:15" ht="13.5" customHeight="1" x14ac:dyDescent="0.3">
      <c r="B793" s="9">
        <f>[1]Discovery!A799</f>
        <v>70407039</v>
      </c>
      <c r="C793" s="9" t="str">
        <f>[1]Discovery!B799</f>
        <v>비버</v>
      </c>
      <c r="D793" s="9" t="str">
        <f>[1]Discovery!E799</f>
        <v>동물</v>
      </c>
      <c r="E793" s="9" t="str">
        <f>[1]Discovery!C799</f>
        <v>포유류</v>
      </c>
      <c r="F793" s="9" t="str">
        <f>[1]Discovery!G799</f>
        <v>B</v>
      </c>
      <c r="G793" s="9" t="str">
        <f>IFERROR(VLOOKUP(표1[[#This Row],[명칭]],'문화권 정리'!C:D,2,FALSE),"-")</f>
        <v>북아메리카</v>
      </c>
      <c r="H793" s="38" t="str">
        <f>IFERROR(COUNTIF([2]OceanDoodad!$Y:$Y,표1[[#This Row],[명칭]]),"-")</f>
        <v>-</v>
      </c>
      <c r="I793" s="38">
        <f>IFERROR(COUNTIF([1]AdventureDiscoveryGroup!$D$8:$AW$92,표1[[#This Row],[명칭]]),"-")</f>
        <v>0</v>
      </c>
      <c r="J793" s="38">
        <f>IFERROR(COUNTIF([1]FishDiscoveryGroup!$A:$X,표1[[#This Row],[명칭]]),"-")</f>
        <v>0</v>
      </c>
      <c r="K793" s="38" t="str">
        <f>IFERROR(COUNTIF([2]Town!$B:$B,표1[[#This Row],[명칭]]),"-")</f>
        <v>-</v>
      </c>
      <c r="L793" s="38">
        <f>IFERROR(COUNTIF([1]Village!$BR:$BR,표1[[#This Row],[명칭]]),"-")</f>
        <v>0</v>
      </c>
      <c r="M793" s="38">
        <f>COUNTIF(퀘스트!B:B,표1[[#This Row],[명칭]])</f>
        <v>0</v>
      </c>
      <c r="N793" s="65">
        <f>COUNTIF([1]VillageDiscoveryGroup!$C:$C,표1[[#This Row],[명칭]])</f>
        <v>1</v>
      </c>
      <c r="O793" s="65">
        <f>SUM(표1[[#This Row],[해양탐색]:[마을탐험]])</f>
        <v>1</v>
      </c>
    </row>
    <row r="794" spans="2:15" ht="13.5" customHeight="1" x14ac:dyDescent="0.3">
      <c r="B794" s="9">
        <f>[1]Discovery!A800</f>
        <v>70407040</v>
      </c>
      <c r="C794" s="9" t="str">
        <f>[1]Discovery!B800</f>
        <v>사이가산양</v>
      </c>
      <c r="D794" s="9" t="str">
        <f>[1]Discovery!E800</f>
        <v>동물</v>
      </c>
      <c r="E794" s="9" t="str">
        <f>[1]Discovery!C800</f>
        <v>포유류</v>
      </c>
      <c r="F794" s="9" t="str">
        <f>[1]Discovery!G800</f>
        <v>B</v>
      </c>
      <c r="G794" s="9" t="str">
        <f>IFERROR(VLOOKUP(표1[[#This Row],[명칭]],'문화권 정리'!C:D,2,FALSE),"-")</f>
        <v>유라시아</v>
      </c>
      <c r="H794" s="38" t="str">
        <f>IFERROR(COUNTIF([2]OceanDoodad!$Y:$Y,표1[[#This Row],[명칭]]),"-")</f>
        <v>-</v>
      </c>
      <c r="I794" s="38">
        <f>IFERROR(COUNTIF([1]AdventureDiscoveryGroup!$D$8:$AW$92,표1[[#This Row],[명칭]]),"-")</f>
        <v>1</v>
      </c>
      <c r="J794" s="38">
        <f>IFERROR(COUNTIF([1]FishDiscoveryGroup!$A:$X,표1[[#This Row],[명칭]]),"-")</f>
        <v>0</v>
      </c>
      <c r="K794" s="38" t="str">
        <f>IFERROR(COUNTIF([2]Town!$B:$B,표1[[#This Row],[명칭]]),"-")</f>
        <v>-</v>
      </c>
      <c r="L794" s="38">
        <f>IFERROR(COUNTIF([1]Village!$BR:$BR,표1[[#This Row],[명칭]]),"-")</f>
        <v>0</v>
      </c>
      <c r="M794" s="38">
        <f>COUNTIF(퀘스트!B:B,표1[[#This Row],[명칭]])</f>
        <v>0</v>
      </c>
      <c r="N794" s="65">
        <f>COUNTIF([1]VillageDiscoveryGroup!$C:$C,표1[[#This Row],[명칭]])</f>
        <v>0</v>
      </c>
      <c r="O794" s="65">
        <f>SUM(표1[[#This Row],[해양탐색]:[마을탐험]])</f>
        <v>1</v>
      </c>
    </row>
    <row r="795" spans="2:15" ht="13.5" customHeight="1" x14ac:dyDescent="0.3">
      <c r="B795" s="9">
        <f>[1]Discovery!A801</f>
        <v>70407041</v>
      </c>
      <c r="C795" s="9" t="str">
        <f>[1]Discovery!B801</f>
        <v>사향고양이</v>
      </c>
      <c r="D795" s="9" t="str">
        <f>[1]Discovery!E801</f>
        <v>동물</v>
      </c>
      <c r="E795" s="9" t="str">
        <f>[1]Discovery!C801</f>
        <v>포유류</v>
      </c>
      <c r="F795" s="9" t="str">
        <f>[1]Discovery!G801</f>
        <v>S</v>
      </c>
      <c r="G795" s="9" t="str">
        <f>IFERROR(VLOOKUP(표1[[#This Row],[명칭]],'문화권 정리'!C:D,2,FALSE),"-")</f>
        <v>서남아시아</v>
      </c>
      <c r="H795" s="38" t="str">
        <f>IFERROR(COUNTIF([2]OceanDoodad!$Y:$Y,표1[[#This Row],[명칭]]),"-")</f>
        <v>-</v>
      </c>
      <c r="I795" s="38">
        <f>IFERROR(COUNTIF([1]AdventureDiscoveryGroup!$D$8:$AW$92,표1[[#This Row],[명칭]]),"-")</f>
        <v>0</v>
      </c>
      <c r="J795" s="38">
        <f>IFERROR(COUNTIF([1]FishDiscoveryGroup!$A:$X,표1[[#This Row],[명칭]]),"-")</f>
        <v>0</v>
      </c>
      <c r="K795" s="38" t="str">
        <f>IFERROR(COUNTIF([2]Town!$B:$B,표1[[#This Row],[명칭]]),"-")</f>
        <v>-</v>
      </c>
      <c r="L795" s="38">
        <f>IFERROR(COUNTIF([1]Village!$BR:$BR,표1[[#This Row],[명칭]]),"-")</f>
        <v>0</v>
      </c>
      <c r="M795" s="38">
        <f>COUNTIF(퀘스트!B:B,표1[[#This Row],[명칭]])</f>
        <v>1</v>
      </c>
      <c r="N795" s="65">
        <f>COUNTIF([1]VillageDiscoveryGroup!$C:$C,표1[[#This Row],[명칭]])</f>
        <v>0</v>
      </c>
      <c r="O795" s="65">
        <f>SUM(표1[[#This Row],[해양탐색]:[마을탐험]])</f>
        <v>1</v>
      </c>
    </row>
    <row r="796" spans="2:15" ht="13.5" customHeight="1" x14ac:dyDescent="0.3">
      <c r="B796" s="9">
        <f>[1]Discovery!A802</f>
        <v>70407042</v>
      </c>
      <c r="C796" s="9" t="str">
        <f>[1]Discovery!B802</f>
        <v>사향노루</v>
      </c>
      <c r="D796" s="9" t="str">
        <f>[1]Discovery!E802</f>
        <v>동물</v>
      </c>
      <c r="E796" s="9" t="str">
        <f>[1]Discovery!C802</f>
        <v>포유류</v>
      </c>
      <c r="F796" s="9" t="str">
        <f>[1]Discovery!G802</f>
        <v>C</v>
      </c>
      <c r="G796" s="9" t="str">
        <f>IFERROR(VLOOKUP(표1[[#This Row],[명칭]],'문화권 정리'!C:D,2,FALSE),"-")</f>
        <v>북아메리카</v>
      </c>
      <c r="H796" s="38" t="str">
        <f>IFERROR(COUNTIF([2]OceanDoodad!$Y:$Y,표1[[#This Row],[명칭]]),"-")</f>
        <v>-</v>
      </c>
      <c r="I796" s="38">
        <f>IFERROR(COUNTIF([1]AdventureDiscoveryGroup!$D$8:$AW$92,표1[[#This Row],[명칭]]),"-")</f>
        <v>0</v>
      </c>
      <c r="J796" s="38">
        <f>IFERROR(COUNTIF([1]FishDiscoveryGroup!$A:$X,표1[[#This Row],[명칭]]),"-")</f>
        <v>0</v>
      </c>
      <c r="K796" s="38" t="str">
        <f>IFERROR(COUNTIF([2]Town!$B:$B,표1[[#This Row],[명칭]]),"-")</f>
        <v>-</v>
      </c>
      <c r="L796" s="38">
        <f>IFERROR(COUNTIF([1]Village!$BR:$BR,표1[[#This Row],[명칭]]),"-")</f>
        <v>0</v>
      </c>
      <c r="M796" s="38">
        <f>COUNTIF(퀘스트!B:B,표1[[#This Row],[명칭]])</f>
        <v>0</v>
      </c>
      <c r="N796" s="65">
        <f>COUNTIF([1]VillageDiscoveryGroup!$C:$C,표1[[#This Row],[명칭]])</f>
        <v>0</v>
      </c>
      <c r="O796" s="65">
        <f>SUM(표1[[#This Row],[해양탐색]:[마을탐험]])</f>
        <v>0</v>
      </c>
    </row>
    <row r="797" spans="2:15" ht="13.5" customHeight="1" x14ac:dyDescent="0.3">
      <c r="B797" s="9">
        <f>[1]Discovery!A803</f>
        <v>70407043</v>
      </c>
      <c r="C797" s="9" t="str">
        <f>[1]Discovery!B803</f>
        <v>살무사</v>
      </c>
      <c r="D797" s="9" t="str">
        <f>[1]Discovery!E803</f>
        <v>동물</v>
      </c>
      <c r="E797" s="9" t="str">
        <f>[1]Discovery!C803</f>
        <v>파충류</v>
      </c>
      <c r="F797" s="9" t="str">
        <f>[1]Discovery!G803</f>
        <v>C</v>
      </c>
      <c r="G797" s="9" t="str">
        <f>IFERROR(VLOOKUP(표1[[#This Row],[명칭]],'문화권 정리'!C:D,2,FALSE),"-")</f>
        <v>동아시아</v>
      </c>
      <c r="H797" s="38" t="str">
        <f>IFERROR(COUNTIF([2]OceanDoodad!$Y:$Y,표1[[#This Row],[명칭]]),"-")</f>
        <v>-</v>
      </c>
      <c r="I797" s="38">
        <f>IFERROR(COUNTIF([1]AdventureDiscoveryGroup!$D$8:$AW$92,표1[[#This Row],[명칭]]),"-")</f>
        <v>0</v>
      </c>
      <c r="J797" s="38">
        <f>IFERROR(COUNTIF([1]FishDiscoveryGroup!$A:$X,표1[[#This Row],[명칭]]),"-")</f>
        <v>0</v>
      </c>
      <c r="K797" s="38" t="str">
        <f>IFERROR(COUNTIF([2]Town!$B:$B,표1[[#This Row],[명칭]]),"-")</f>
        <v>-</v>
      </c>
      <c r="L797" s="38">
        <f>IFERROR(COUNTIF([1]Village!$BR:$BR,표1[[#This Row],[명칭]]),"-")</f>
        <v>0</v>
      </c>
      <c r="M797" s="38">
        <f>COUNTIF(퀘스트!B:B,표1[[#This Row],[명칭]])</f>
        <v>0</v>
      </c>
      <c r="N797" s="65">
        <f>COUNTIF([1]VillageDiscoveryGroup!$C:$C,표1[[#This Row],[명칭]])</f>
        <v>0</v>
      </c>
      <c r="O797" s="65">
        <f>SUM(표1[[#This Row],[해양탐색]:[마을탐험]])</f>
        <v>0</v>
      </c>
    </row>
    <row r="798" spans="2:15" ht="13.5" customHeight="1" x14ac:dyDescent="0.3">
      <c r="B798" s="9">
        <f>[1]Discovery!A804</f>
        <v>70407044</v>
      </c>
      <c r="C798" s="9" t="str">
        <f>[1]Discovery!B804</f>
        <v>살쾡이</v>
      </c>
      <c r="D798" s="9" t="str">
        <f>[1]Discovery!E804</f>
        <v>동물</v>
      </c>
      <c r="E798" s="9" t="str">
        <f>[1]Discovery!C804</f>
        <v>포유류</v>
      </c>
      <c r="F798" s="9" t="str">
        <f>[1]Discovery!G804</f>
        <v>C</v>
      </c>
      <c r="G798" s="9" t="str">
        <f>IFERROR(VLOOKUP(표1[[#This Row],[명칭]],'문화권 정리'!C:D,2,FALSE),"-")</f>
        <v>동아시아</v>
      </c>
      <c r="H798" s="38" t="str">
        <f>IFERROR(COUNTIF([2]OceanDoodad!$Y:$Y,표1[[#This Row],[명칭]]),"-")</f>
        <v>-</v>
      </c>
      <c r="I798" s="38">
        <f>IFERROR(COUNTIF([1]AdventureDiscoveryGroup!$D$8:$AW$92,표1[[#This Row],[명칭]]),"-")</f>
        <v>1</v>
      </c>
      <c r="J798" s="38">
        <f>IFERROR(COUNTIF([1]FishDiscoveryGroup!$A:$X,표1[[#This Row],[명칭]]),"-")</f>
        <v>0</v>
      </c>
      <c r="K798" s="38" t="str">
        <f>IFERROR(COUNTIF([2]Town!$B:$B,표1[[#This Row],[명칭]]),"-")</f>
        <v>-</v>
      </c>
      <c r="L798" s="38">
        <f>IFERROR(COUNTIF([1]Village!$BR:$BR,표1[[#This Row],[명칭]]),"-")</f>
        <v>0</v>
      </c>
      <c r="M798" s="38">
        <f>COUNTIF(퀘스트!B:B,표1[[#This Row],[명칭]])</f>
        <v>0</v>
      </c>
      <c r="N798" s="65">
        <f>COUNTIF([1]VillageDiscoveryGroup!$C:$C,표1[[#This Row],[명칭]])</f>
        <v>0</v>
      </c>
      <c r="O798" s="65">
        <f>SUM(표1[[#This Row],[해양탐색]:[마을탐험]])</f>
        <v>1</v>
      </c>
    </row>
    <row r="799" spans="2:15" ht="13.5" customHeight="1" x14ac:dyDescent="0.3">
      <c r="B799" s="9">
        <f>[1]Discovery!A805</f>
        <v>70407045</v>
      </c>
      <c r="C799" s="9" t="str">
        <f>[1]Discovery!B805</f>
        <v>서발</v>
      </c>
      <c r="D799" s="9" t="str">
        <f>[1]Discovery!E805</f>
        <v>동물</v>
      </c>
      <c r="E799" s="9" t="str">
        <f>[1]Discovery!C805</f>
        <v>포유류</v>
      </c>
      <c r="F799" s="9" t="str">
        <f>[1]Discovery!G805</f>
        <v>D</v>
      </c>
      <c r="G799" s="9" t="str">
        <f>IFERROR(VLOOKUP(표1[[#This Row],[명칭]],'문화권 정리'!C:D,2,FALSE),"-")</f>
        <v>서아프리카</v>
      </c>
      <c r="H799" s="38" t="str">
        <f>IFERROR(COUNTIF([2]OceanDoodad!$Y:$Y,표1[[#This Row],[명칭]]),"-")</f>
        <v>-</v>
      </c>
      <c r="I799" s="38">
        <f>IFERROR(COUNTIF([1]AdventureDiscoveryGroup!$D$8:$AW$92,표1[[#This Row],[명칭]]),"-")</f>
        <v>1</v>
      </c>
      <c r="J799" s="38">
        <f>IFERROR(COUNTIF([1]FishDiscoveryGroup!$A:$X,표1[[#This Row],[명칭]]),"-")</f>
        <v>0</v>
      </c>
      <c r="K799" s="38" t="str">
        <f>IFERROR(COUNTIF([2]Town!$B:$B,표1[[#This Row],[명칭]]),"-")</f>
        <v>-</v>
      </c>
      <c r="L799" s="38">
        <f>IFERROR(COUNTIF([1]Village!$BR:$BR,표1[[#This Row],[명칭]]),"-")</f>
        <v>0</v>
      </c>
      <c r="M799" s="38">
        <f>COUNTIF(퀘스트!B:B,표1[[#This Row],[명칭]])</f>
        <v>0</v>
      </c>
      <c r="N799" s="65">
        <f>COUNTIF([1]VillageDiscoveryGroup!$C:$C,표1[[#This Row],[명칭]])</f>
        <v>0</v>
      </c>
      <c r="O799" s="65">
        <f>SUM(표1[[#This Row],[해양탐색]:[마을탐험]])</f>
        <v>1</v>
      </c>
    </row>
    <row r="800" spans="2:15" ht="13.5" customHeight="1" x14ac:dyDescent="0.3">
      <c r="B800" s="9">
        <f>[1]Discovery!A806</f>
        <v>70407046</v>
      </c>
      <c r="C800" s="9" t="str">
        <f>[1]Discovery!B806</f>
        <v>설가타</v>
      </c>
      <c r="D800" s="9" t="str">
        <f>[1]Discovery!E806</f>
        <v>동물</v>
      </c>
      <c r="E800" s="9" t="str">
        <f>[1]Discovery!C806</f>
        <v>파충류</v>
      </c>
      <c r="F800" s="9" t="str">
        <f>[1]Discovery!G806</f>
        <v>A</v>
      </c>
      <c r="G800" s="9" t="str">
        <f>IFERROR(VLOOKUP(표1[[#This Row],[명칭]],'문화권 정리'!C:D,2,FALSE),"-")</f>
        <v>지중해</v>
      </c>
      <c r="H800" s="38" t="str">
        <f>IFERROR(COUNTIF([2]OceanDoodad!$Y:$Y,표1[[#This Row],[명칭]]),"-")</f>
        <v>-</v>
      </c>
      <c r="I800" s="38">
        <f>IFERROR(COUNTIF([1]AdventureDiscoveryGroup!$D$8:$AW$92,표1[[#This Row],[명칭]]),"-")</f>
        <v>0</v>
      </c>
      <c r="J800" s="38">
        <f>IFERROR(COUNTIF([1]FishDiscoveryGroup!$A:$X,표1[[#This Row],[명칭]]),"-")</f>
        <v>0</v>
      </c>
      <c r="K800" s="38" t="str">
        <f>IFERROR(COUNTIF([2]Town!$B:$B,표1[[#This Row],[명칭]]),"-")</f>
        <v>-</v>
      </c>
      <c r="L800" s="38">
        <f>IFERROR(COUNTIF([1]Village!$BR:$BR,표1[[#This Row],[명칭]]),"-")</f>
        <v>0</v>
      </c>
      <c r="M800" s="38">
        <f>COUNTIF(퀘스트!B:B,표1[[#This Row],[명칭]])</f>
        <v>0</v>
      </c>
      <c r="N800" s="65">
        <f>COUNTIF([1]VillageDiscoveryGroup!$C:$C,표1[[#This Row],[명칭]])</f>
        <v>1</v>
      </c>
      <c r="O800" s="65">
        <f>SUM(표1[[#This Row],[해양탐색]:[마을탐험]])</f>
        <v>1</v>
      </c>
    </row>
    <row r="801" spans="2:15" ht="13.5" customHeight="1" x14ac:dyDescent="0.3">
      <c r="B801" s="9">
        <f>[1]Discovery!A807</f>
        <v>70407047</v>
      </c>
      <c r="C801" s="9" t="str">
        <f>[1]Discovery!B807</f>
        <v>스라소니</v>
      </c>
      <c r="D801" s="9" t="str">
        <f>[1]Discovery!E807</f>
        <v>동물</v>
      </c>
      <c r="E801" s="9" t="str">
        <f>[1]Discovery!C807</f>
        <v>포유류</v>
      </c>
      <c r="F801" s="9" t="str">
        <f>[1]Discovery!G807</f>
        <v>A</v>
      </c>
      <c r="G801" s="9" t="str">
        <f>IFERROR(VLOOKUP(표1[[#This Row],[명칭]],'문화권 정리'!C:D,2,FALSE),"-")</f>
        <v>북유럽</v>
      </c>
      <c r="H801" s="38" t="str">
        <f>IFERROR(COUNTIF([2]OceanDoodad!$Y:$Y,표1[[#This Row],[명칭]]),"-")</f>
        <v>-</v>
      </c>
      <c r="I801" s="38">
        <f>IFERROR(COUNTIF([1]AdventureDiscoveryGroup!$D$8:$AW$92,표1[[#This Row],[명칭]]),"-")</f>
        <v>1</v>
      </c>
      <c r="J801" s="38">
        <f>IFERROR(COUNTIF([1]FishDiscoveryGroup!$A:$X,표1[[#This Row],[명칭]]),"-")</f>
        <v>0</v>
      </c>
      <c r="K801" s="38" t="str">
        <f>IFERROR(COUNTIF([2]Town!$B:$B,표1[[#This Row],[명칭]]),"-")</f>
        <v>-</v>
      </c>
      <c r="L801" s="38">
        <f>IFERROR(COUNTIF([1]Village!$BR:$BR,표1[[#This Row],[명칭]]),"-")</f>
        <v>0</v>
      </c>
      <c r="M801" s="38">
        <f>COUNTIF(퀘스트!B:B,표1[[#This Row],[명칭]])</f>
        <v>0</v>
      </c>
      <c r="N801" s="65">
        <f>COUNTIF([1]VillageDiscoveryGroup!$C:$C,표1[[#This Row],[명칭]])</f>
        <v>0</v>
      </c>
      <c r="O801" s="65">
        <f>SUM(표1[[#This Row],[해양탐색]:[마을탐험]])</f>
        <v>1</v>
      </c>
    </row>
    <row r="802" spans="2:15" ht="13.5" customHeight="1" x14ac:dyDescent="0.3">
      <c r="B802" s="9">
        <f>[1]Discovery!A808</f>
        <v>70407048</v>
      </c>
      <c r="C802" s="9" t="str">
        <f>[1]Discovery!B808</f>
        <v>시베리안 허스키</v>
      </c>
      <c r="D802" s="9" t="str">
        <f>[1]Discovery!E808</f>
        <v>동물</v>
      </c>
      <c r="E802" s="9" t="str">
        <f>[1]Discovery!C808</f>
        <v>포유류</v>
      </c>
      <c r="F802" s="9" t="str">
        <f>[1]Discovery!G808</f>
        <v>B</v>
      </c>
      <c r="G802" s="9" t="str">
        <f>IFERROR(VLOOKUP(표1[[#This Row],[명칭]],'문화권 정리'!C:D,2,FALSE),"-")</f>
        <v>유라시아</v>
      </c>
      <c r="H802" s="38" t="str">
        <f>IFERROR(COUNTIF([2]OceanDoodad!$Y:$Y,표1[[#This Row],[명칭]]),"-")</f>
        <v>-</v>
      </c>
      <c r="I802" s="38">
        <f>IFERROR(COUNTIF([1]AdventureDiscoveryGroup!$D$8:$AW$92,표1[[#This Row],[명칭]]),"-")</f>
        <v>0</v>
      </c>
      <c r="J802" s="38">
        <f>IFERROR(COUNTIF([1]FishDiscoveryGroup!$A:$X,표1[[#This Row],[명칭]]),"-")</f>
        <v>0</v>
      </c>
      <c r="K802" s="38" t="str">
        <f>IFERROR(COUNTIF([2]Town!$B:$B,표1[[#This Row],[명칭]]),"-")</f>
        <v>-</v>
      </c>
      <c r="L802" s="38">
        <f>IFERROR(COUNTIF([1]Village!$BR:$BR,표1[[#This Row],[명칭]]),"-")</f>
        <v>0</v>
      </c>
      <c r="M802" s="38">
        <f>COUNTIF(퀘스트!B:B,표1[[#This Row],[명칭]])</f>
        <v>1</v>
      </c>
      <c r="N802" s="65">
        <f>COUNTIF([1]VillageDiscoveryGroup!$C:$C,표1[[#This Row],[명칭]])</f>
        <v>0</v>
      </c>
      <c r="O802" s="65">
        <f>SUM(표1[[#This Row],[해양탐색]:[마을탐험]])</f>
        <v>1</v>
      </c>
    </row>
    <row r="803" spans="2:15" ht="13.5" customHeight="1" x14ac:dyDescent="0.3">
      <c r="B803" s="9">
        <f>[1]Discovery!A809</f>
        <v>70407049</v>
      </c>
      <c r="C803" s="9" t="str">
        <f>[1]Discovery!B809</f>
        <v>시파카</v>
      </c>
      <c r="D803" s="9" t="str">
        <f>[1]Discovery!E809</f>
        <v>동물</v>
      </c>
      <c r="E803" s="9" t="str">
        <f>[1]Discovery!C809</f>
        <v>포유류</v>
      </c>
      <c r="F803" s="9" t="str">
        <f>[1]Discovery!G809</f>
        <v>A</v>
      </c>
      <c r="G803" s="9" t="str">
        <f>IFERROR(VLOOKUP(표1[[#This Row],[명칭]],'문화권 정리'!C:D,2,FALSE),"-")</f>
        <v>동아프리카</v>
      </c>
      <c r="H803" s="38" t="str">
        <f>IFERROR(COUNTIF([2]OceanDoodad!$Y:$Y,표1[[#This Row],[명칭]]),"-")</f>
        <v>-</v>
      </c>
      <c r="I803" s="38">
        <f>IFERROR(COUNTIF([1]AdventureDiscoveryGroup!$D$8:$AW$92,표1[[#This Row],[명칭]]),"-")</f>
        <v>0</v>
      </c>
      <c r="J803" s="38">
        <f>IFERROR(COUNTIF([1]FishDiscoveryGroup!$A:$X,표1[[#This Row],[명칭]]),"-")</f>
        <v>0</v>
      </c>
      <c r="K803" s="38" t="str">
        <f>IFERROR(COUNTIF([2]Town!$B:$B,표1[[#This Row],[명칭]]),"-")</f>
        <v>-</v>
      </c>
      <c r="L803" s="38">
        <f>IFERROR(COUNTIF([1]Village!$BR:$BR,표1[[#This Row],[명칭]]),"-")</f>
        <v>0</v>
      </c>
      <c r="M803" s="38">
        <f>COUNTIF(퀘스트!B:B,표1[[#This Row],[명칭]])</f>
        <v>0</v>
      </c>
      <c r="N803" s="65">
        <f>COUNTIF([1]VillageDiscoveryGroup!$C:$C,표1[[#This Row],[명칭]])</f>
        <v>1</v>
      </c>
      <c r="O803" s="65">
        <f>SUM(표1[[#This Row],[해양탐색]:[마을탐험]])</f>
        <v>1</v>
      </c>
    </row>
    <row r="804" spans="2:15" ht="13.5" customHeight="1" x14ac:dyDescent="0.3">
      <c r="B804" s="9">
        <f>[1]Discovery!A810</f>
        <v>70407050</v>
      </c>
      <c r="C804" s="9" t="str">
        <f>[1]Discovery!B810</f>
        <v>아기사슴</v>
      </c>
      <c r="D804" s="9" t="str">
        <f>[1]Discovery!E810</f>
        <v>동물</v>
      </c>
      <c r="E804" s="9" t="str">
        <f>[1]Discovery!C810</f>
        <v>포유류</v>
      </c>
      <c r="F804" s="9" t="str">
        <f>[1]Discovery!G810</f>
        <v>D</v>
      </c>
      <c r="G804" s="9" t="str">
        <f>IFERROR(VLOOKUP(표1[[#This Row],[명칭]],'문화권 정리'!C:D,2,FALSE),"-")</f>
        <v>동아시아</v>
      </c>
      <c r="H804" s="38" t="str">
        <f>IFERROR(COUNTIF([2]OceanDoodad!$Y:$Y,표1[[#This Row],[명칭]]),"-")</f>
        <v>-</v>
      </c>
      <c r="I804" s="38">
        <f>IFERROR(COUNTIF([1]AdventureDiscoveryGroup!$D$8:$AW$92,표1[[#This Row],[명칭]]),"-")</f>
        <v>1</v>
      </c>
      <c r="J804" s="38">
        <f>IFERROR(COUNTIF([1]FishDiscoveryGroup!$A:$X,표1[[#This Row],[명칭]]),"-")</f>
        <v>0</v>
      </c>
      <c r="K804" s="38" t="str">
        <f>IFERROR(COUNTIF([2]Town!$B:$B,표1[[#This Row],[명칭]]),"-")</f>
        <v>-</v>
      </c>
      <c r="L804" s="38">
        <f>IFERROR(COUNTIF([1]Village!$BR:$BR,표1[[#This Row],[명칭]]),"-")</f>
        <v>0</v>
      </c>
      <c r="M804" s="38">
        <f>COUNTIF(퀘스트!B:B,표1[[#This Row],[명칭]])</f>
        <v>0</v>
      </c>
      <c r="N804" s="65">
        <f>COUNTIF([1]VillageDiscoveryGroup!$C:$C,표1[[#This Row],[명칭]])</f>
        <v>0</v>
      </c>
      <c r="O804" s="65">
        <f>SUM(표1[[#This Row],[해양탐색]:[마을탐험]])</f>
        <v>1</v>
      </c>
    </row>
    <row r="805" spans="2:15" ht="13.5" customHeight="1" x14ac:dyDescent="0.3">
      <c r="B805" s="9">
        <f>[1]Discovery!A811</f>
        <v>70407051</v>
      </c>
      <c r="C805" s="9" t="str">
        <f>[1]Discovery!B811</f>
        <v>아라비아오릭스</v>
      </c>
      <c r="D805" s="9" t="str">
        <f>[1]Discovery!E811</f>
        <v>동물</v>
      </c>
      <c r="E805" s="9" t="str">
        <f>[1]Discovery!C811</f>
        <v>포유류</v>
      </c>
      <c r="F805" s="9" t="str">
        <f>[1]Discovery!G811</f>
        <v>B</v>
      </c>
      <c r="G805" s="9" t="str">
        <f>IFERROR(VLOOKUP(표1[[#This Row],[명칭]],'문화권 정리'!C:D,2,FALSE),"-")</f>
        <v>서남아시아</v>
      </c>
      <c r="H805" s="38" t="str">
        <f>IFERROR(COUNTIF([2]OceanDoodad!$Y:$Y,표1[[#This Row],[명칭]]),"-")</f>
        <v>-</v>
      </c>
      <c r="I805" s="38">
        <f>IFERROR(COUNTIF([1]AdventureDiscoveryGroup!$D$8:$AW$92,표1[[#This Row],[명칭]]),"-")</f>
        <v>0</v>
      </c>
      <c r="J805" s="38">
        <f>IFERROR(COUNTIF([1]FishDiscoveryGroup!$A:$X,표1[[#This Row],[명칭]]),"-")</f>
        <v>0</v>
      </c>
      <c r="K805" s="38" t="str">
        <f>IFERROR(COUNTIF([2]Town!$B:$B,표1[[#This Row],[명칭]]),"-")</f>
        <v>-</v>
      </c>
      <c r="L805" s="38">
        <f>IFERROR(COUNTIF([1]Village!$BR:$BR,표1[[#This Row],[명칭]]),"-")</f>
        <v>0</v>
      </c>
      <c r="M805" s="38">
        <f>COUNTIF(퀘스트!B:B,표1[[#This Row],[명칭]])</f>
        <v>0</v>
      </c>
      <c r="N805" s="65">
        <f>COUNTIF([1]VillageDiscoveryGroup!$C:$C,표1[[#This Row],[명칭]])</f>
        <v>1</v>
      </c>
      <c r="O805" s="65">
        <f>SUM(표1[[#This Row],[해양탐색]:[마을탐험]])</f>
        <v>1</v>
      </c>
    </row>
    <row r="806" spans="2:15" ht="13.5" customHeight="1" x14ac:dyDescent="0.3">
      <c r="B806" s="9">
        <f>[1]Discovery!A812</f>
        <v>70407052</v>
      </c>
      <c r="C806" s="9" t="str">
        <f>[1]Discovery!B812</f>
        <v>아르갈리</v>
      </c>
      <c r="D806" s="9" t="str">
        <f>[1]Discovery!E812</f>
        <v>동물</v>
      </c>
      <c r="E806" s="9" t="str">
        <f>[1]Discovery!C812</f>
        <v>포유류</v>
      </c>
      <c r="F806" s="9" t="str">
        <f>[1]Discovery!G812</f>
        <v>B</v>
      </c>
      <c r="G806" s="9" t="str">
        <f>IFERROR(VLOOKUP(표1[[#This Row],[명칭]],'문화권 정리'!C:D,2,FALSE),"-")</f>
        <v>동아시아</v>
      </c>
      <c r="H806" s="38" t="str">
        <f>IFERROR(COUNTIF([2]OceanDoodad!$Y:$Y,표1[[#This Row],[명칭]]),"-")</f>
        <v>-</v>
      </c>
      <c r="I806" s="38">
        <f>IFERROR(COUNTIF([1]AdventureDiscoveryGroup!$D$8:$AW$92,표1[[#This Row],[명칭]]),"-")</f>
        <v>0</v>
      </c>
      <c r="J806" s="38">
        <f>IFERROR(COUNTIF([1]FishDiscoveryGroup!$A:$X,표1[[#This Row],[명칭]]),"-")</f>
        <v>0</v>
      </c>
      <c r="K806" s="38" t="str">
        <f>IFERROR(COUNTIF([2]Town!$B:$B,표1[[#This Row],[명칭]]),"-")</f>
        <v>-</v>
      </c>
      <c r="L806" s="38">
        <f>IFERROR(COUNTIF([1]Village!$BR:$BR,표1[[#This Row],[명칭]]),"-")</f>
        <v>0</v>
      </c>
      <c r="M806" s="38">
        <f>COUNTIF(퀘스트!B:B,표1[[#This Row],[명칭]])</f>
        <v>0</v>
      </c>
      <c r="N806" s="65">
        <f>COUNTIF([1]VillageDiscoveryGroup!$C:$C,표1[[#This Row],[명칭]])</f>
        <v>0</v>
      </c>
      <c r="O806" s="65">
        <f>SUM(표1[[#This Row],[해양탐색]:[마을탐험]])</f>
        <v>0</v>
      </c>
    </row>
    <row r="807" spans="2:15" ht="13.5" customHeight="1" x14ac:dyDescent="0.3">
      <c r="B807" s="9">
        <f>[1]Discovery!A813</f>
        <v>70407053</v>
      </c>
      <c r="C807" s="9" t="str">
        <f>[1]Discovery!B813</f>
        <v>아르마딜로</v>
      </c>
      <c r="D807" s="9" t="str">
        <f>[1]Discovery!E813</f>
        <v>동물</v>
      </c>
      <c r="E807" s="9" t="str">
        <f>[1]Discovery!C813</f>
        <v>포유류</v>
      </c>
      <c r="F807" s="9" t="str">
        <f>[1]Discovery!G813</f>
        <v>B</v>
      </c>
      <c r="G807" s="9" t="str">
        <f>IFERROR(VLOOKUP(표1[[#This Row],[명칭]],'문화권 정리'!C:D,2,FALSE),"-")</f>
        <v>중앙아메리카</v>
      </c>
      <c r="H807" s="38" t="str">
        <f>IFERROR(COUNTIF([2]OceanDoodad!$Y:$Y,표1[[#This Row],[명칭]]),"-")</f>
        <v>-</v>
      </c>
      <c r="I807" s="38">
        <f>IFERROR(COUNTIF([1]AdventureDiscoveryGroup!$D$8:$AW$92,표1[[#This Row],[명칭]]),"-")</f>
        <v>1</v>
      </c>
      <c r="J807" s="38">
        <f>IFERROR(COUNTIF([1]FishDiscoveryGroup!$A:$X,표1[[#This Row],[명칭]]),"-")</f>
        <v>0</v>
      </c>
      <c r="K807" s="38" t="str">
        <f>IFERROR(COUNTIF([2]Town!$B:$B,표1[[#This Row],[명칭]]),"-")</f>
        <v>-</v>
      </c>
      <c r="L807" s="38">
        <f>IFERROR(COUNTIF([1]Village!$BR:$BR,표1[[#This Row],[명칭]]),"-")</f>
        <v>0</v>
      </c>
      <c r="M807" s="38">
        <f>COUNTIF(퀘스트!B:B,표1[[#This Row],[명칭]])</f>
        <v>0</v>
      </c>
      <c r="N807" s="65">
        <f>COUNTIF([1]VillageDiscoveryGroup!$C:$C,표1[[#This Row],[명칭]])</f>
        <v>0</v>
      </c>
      <c r="O807" s="65">
        <f>SUM(표1[[#This Row],[해양탐색]:[마을탐험]])</f>
        <v>1</v>
      </c>
    </row>
    <row r="808" spans="2:15" ht="13.5" customHeight="1" x14ac:dyDescent="0.3">
      <c r="B808" s="9">
        <f>[1]Discovery!A814</f>
        <v>70407054</v>
      </c>
      <c r="C808" s="9" t="str">
        <f>[1]Discovery!B814</f>
        <v>아이아이</v>
      </c>
      <c r="D808" s="9" t="str">
        <f>[1]Discovery!E814</f>
        <v>동물</v>
      </c>
      <c r="E808" s="9" t="str">
        <f>[1]Discovery!C814</f>
        <v>포유류</v>
      </c>
      <c r="F808" s="9" t="str">
        <f>[1]Discovery!G814</f>
        <v>D</v>
      </c>
      <c r="G808" s="9" t="str">
        <f>IFERROR(VLOOKUP(표1[[#This Row],[명칭]],'문화권 정리'!C:D,2,FALSE),"-")</f>
        <v>서아프리카</v>
      </c>
      <c r="H808" s="38" t="str">
        <f>IFERROR(COUNTIF([2]OceanDoodad!$Y:$Y,표1[[#This Row],[명칭]]),"-")</f>
        <v>-</v>
      </c>
      <c r="I808" s="38">
        <f>IFERROR(COUNTIF([1]AdventureDiscoveryGroup!$D$8:$AW$92,표1[[#This Row],[명칭]]),"-")</f>
        <v>1</v>
      </c>
      <c r="J808" s="38">
        <f>IFERROR(COUNTIF([1]FishDiscoveryGroup!$A:$X,표1[[#This Row],[명칭]]),"-")</f>
        <v>0</v>
      </c>
      <c r="K808" s="38" t="str">
        <f>IFERROR(COUNTIF([2]Town!$B:$B,표1[[#This Row],[명칭]]),"-")</f>
        <v>-</v>
      </c>
      <c r="L808" s="38">
        <f>IFERROR(COUNTIF([1]Village!$BR:$BR,표1[[#This Row],[명칭]]),"-")</f>
        <v>0</v>
      </c>
      <c r="M808" s="38">
        <f>COUNTIF(퀘스트!B:B,표1[[#This Row],[명칭]])</f>
        <v>0</v>
      </c>
      <c r="N808" s="65">
        <f>COUNTIF([1]VillageDiscoveryGroup!$C:$C,표1[[#This Row],[명칭]])</f>
        <v>0</v>
      </c>
      <c r="O808" s="65">
        <f>SUM(표1[[#This Row],[해양탐색]:[마을탐험]])</f>
        <v>1</v>
      </c>
    </row>
    <row r="809" spans="2:15" ht="13.5" customHeight="1" x14ac:dyDescent="0.3">
      <c r="B809" s="9">
        <f>[1]Discovery!A815</f>
        <v>70407055</v>
      </c>
      <c r="C809" s="9" t="str">
        <f>[1]Discovery!B815</f>
        <v>아자와크</v>
      </c>
      <c r="D809" s="9" t="str">
        <f>[1]Discovery!E815</f>
        <v>동물</v>
      </c>
      <c r="E809" s="9" t="str">
        <f>[1]Discovery!C815</f>
        <v>포유류</v>
      </c>
      <c r="F809" s="9" t="str">
        <f>[1]Discovery!G815</f>
        <v>C</v>
      </c>
      <c r="G809" s="9" t="str">
        <f>IFERROR(VLOOKUP(표1[[#This Row],[명칭]],'문화권 정리'!C:D,2,FALSE),"-")</f>
        <v>북아프리카</v>
      </c>
      <c r="H809" s="38" t="str">
        <f>IFERROR(COUNTIF([2]OceanDoodad!$Y:$Y,표1[[#This Row],[명칭]]),"-")</f>
        <v>-</v>
      </c>
      <c r="I809" s="38">
        <f>IFERROR(COUNTIF([1]AdventureDiscoveryGroup!$D$8:$AW$92,표1[[#This Row],[명칭]]),"-")</f>
        <v>1</v>
      </c>
      <c r="J809" s="38">
        <f>IFERROR(COUNTIF([1]FishDiscoveryGroup!$A:$X,표1[[#This Row],[명칭]]),"-")</f>
        <v>0</v>
      </c>
      <c r="K809" s="38" t="str">
        <f>IFERROR(COUNTIF([2]Town!$B:$B,표1[[#This Row],[명칭]]),"-")</f>
        <v>-</v>
      </c>
      <c r="L809" s="38">
        <f>IFERROR(COUNTIF([1]Village!$BR:$BR,표1[[#This Row],[명칭]]),"-")</f>
        <v>0</v>
      </c>
      <c r="M809" s="38">
        <f>COUNTIF(퀘스트!B:B,표1[[#This Row],[명칭]])</f>
        <v>0</v>
      </c>
      <c r="N809" s="65">
        <f>COUNTIF([1]VillageDiscoveryGroup!$C:$C,표1[[#This Row],[명칭]])</f>
        <v>0</v>
      </c>
      <c r="O809" s="65">
        <f>SUM(표1[[#This Row],[해양탐색]:[마을탐험]])</f>
        <v>1</v>
      </c>
    </row>
    <row r="810" spans="2:15" ht="13.5" customHeight="1" x14ac:dyDescent="0.3">
      <c r="B810" s="9">
        <f>[1]Discovery!A816</f>
        <v>70407056</v>
      </c>
      <c r="C810" s="9" t="str">
        <f>[1]Discovery!B816</f>
        <v>애기하마</v>
      </c>
      <c r="D810" s="9" t="str">
        <f>[1]Discovery!E816</f>
        <v>동물</v>
      </c>
      <c r="E810" s="9" t="str">
        <f>[1]Discovery!C816</f>
        <v>포유류</v>
      </c>
      <c r="F810" s="9" t="str">
        <f>[1]Discovery!G816</f>
        <v>A</v>
      </c>
      <c r="G810" s="9" t="str">
        <f>IFERROR(VLOOKUP(표1[[#This Row],[명칭]],'문화권 정리'!C:D,2,FALSE),"-")</f>
        <v>서아프리카</v>
      </c>
      <c r="H810" s="38" t="str">
        <f>IFERROR(COUNTIF([2]OceanDoodad!$Y:$Y,표1[[#This Row],[명칭]]),"-")</f>
        <v>-</v>
      </c>
      <c r="I810" s="38">
        <f>IFERROR(COUNTIF([1]AdventureDiscoveryGroup!$D$8:$AW$92,표1[[#This Row],[명칭]]),"-")</f>
        <v>1</v>
      </c>
      <c r="J810" s="38">
        <f>IFERROR(COUNTIF([1]FishDiscoveryGroup!$A:$X,표1[[#This Row],[명칭]]),"-")</f>
        <v>0</v>
      </c>
      <c r="K810" s="38" t="str">
        <f>IFERROR(COUNTIF([2]Town!$B:$B,표1[[#This Row],[명칭]]),"-")</f>
        <v>-</v>
      </c>
      <c r="L810" s="38">
        <f>IFERROR(COUNTIF([1]Village!$BR:$BR,표1[[#This Row],[명칭]]),"-")</f>
        <v>0</v>
      </c>
      <c r="M810" s="38">
        <f>COUNTIF(퀘스트!B:B,표1[[#This Row],[명칭]])</f>
        <v>0</v>
      </c>
      <c r="N810" s="65">
        <f>COUNTIF([1]VillageDiscoveryGroup!$C:$C,표1[[#This Row],[명칭]])</f>
        <v>0</v>
      </c>
      <c r="O810" s="65">
        <f>SUM(표1[[#This Row],[해양탐색]:[마을탐험]])</f>
        <v>1</v>
      </c>
    </row>
    <row r="811" spans="2:15" ht="13.5" customHeight="1" x14ac:dyDescent="0.3">
      <c r="B811" s="9">
        <f>[1]Discovery!A817</f>
        <v>70407057</v>
      </c>
      <c r="C811" s="9" t="str">
        <f>[1]Discovery!B817</f>
        <v>야쿠사슴</v>
      </c>
      <c r="D811" s="9" t="str">
        <f>[1]Discovery!E817</f>
        <v>동물</v>
      </c>
      <c r="E811" s="9" t="str">
        <f>[1]Discovery!C817</f>
        <v>포유류</v>
      </c>
      <c r="F811" s="9" t="str">
        <f>[1]Discovery!G817</f>
        <v>B</v>
      </c>
      <c r="G811" s="9" t="str">
        <f>IFERROR(VLOOKUP(표1[[#This Row],[명칭]],'문화권 정리'!C:D,2,FALSE),"-")</f>
        <v>동아시아</v>
      </c>
      <c r="H811" s="38" t="str">
        <f>IFERROR(COUNTIF([2]OceanDoodad!$Y:$Y,표1[[#This Row],[명칭]]),"-")</f>
        <v>-</v>
      </c>
      <c r="I811" s="38">
        <f>IFERROR(COUNTIF([1]AdventureDiscoveryGroup!$D$8:$AW$92,표1[[#This Row],[명칭]]),"-")</f>
        <v>0</v>
      </c>
      <c r="J811" s="38">
        <f>IFERROR(COUNTIF([1]FishDiscoveryGroup!$A:$X,표1[[#This Row],[명칭]]),"-")</f>
        <v>0</v>
      </c>
      <c r="K811" s="38" t="str">
        <f>IFERROR(COUNTIF([2]Town!$B:$B,표1[[#This Row],[명칭]]),"-")</f>
        <v>-</v>
      </c>
      <c r="L811" s="38">
        <f>IFERROR(COUNTIF([1]Village!$BR:$BR,표1[[#This Row],[명칭]]),"-")</f>
        <v>0</v>
      </c>
      <c r="M811" s="38">
        <f>COUNTIF(퀘스트!B:B,표1[[#This Row],[명칭]])</f>
        <v>0</v>
      </c>
      <c r="N811" s="65">
        <f>COUNTIF([1]VillageDiscoveryGroup!$C:$C,표1[[#This Row],[명칭]])</f>
        <v>1</v>
      </c>
      <c r="O811" s="65">
        <f>SUM(표1[[#This Row],[해양탐색]:[마을탐험]])</f>
        <v>1</v>
      </c>
    </row>
    <row r="812" spans="2:15" ht="13.5" customHeight="1" x14ac:dyDescent="0.3">
      <c r="B812" s="9">
        <f>[1]Discovery!A818</f>
        <v>70407058</v>
      </c>
      <c r="C812" s="9" t="str">
        <f>[1]Discovery!B818</f>
        <v>얼룩말</v>
      </c>
      <c r="D812" s="9" t="str">
        <f>[1]Discovery!E818</f>
        <v>동물</v>
      </c>
      <c r="E812" s="9" t="str">
        <f>[1]Discovery!C818</f>
        <v>포유류</v>
      </c>
      <c r="F812" s="9" t="str">
        <f>[1]Discovery!G818</f>
        <v>B</v>
      </c>
      <c r="G812" s="9" t="str">
        <f>IFERROR(VLOOKUP(표1[[#This Row],[명칭]],'문화권 정리'!C:D,2,FALSE),"-")</f>
        <v>남아프리카</v>
      </c>
      <c r="H812" s="38" t="str">
        <f>IFERROR(COUNTIF([2]OceanDoodad!$Y:$Y,표1[[#This Row],[명칭]]),"-")</f>
        <v>-</v>
      </c>
      <c r="I812" s="38">
        <f>IFERROR(COUNTIF([1]AdventureDiscoveryGroup!$D$8:$AW$92,표1[[#This Row],[명칭]]),"-")</f>
        <v>1</v>
      </c>
      <c r="J812" s="38">
        <f>IFERROR(COUNTIF([1]FishDiscoveryGroup!$A:$X,표1[[#This Row],[명칭]]),"-")</f>
        <v>0</v>
      </c>
      <c r="K812" s="38" t="str">
        <f>IFERROR(COUNTIF([2]Town!$B:$B,표1[[#This Row],[명칭]]),"-")</f>
        <v>-</v>
      </c>
      <c r="L812" s="38">
        <f>IFERROR(COUNTIF([1]Village!$BR:$BR,표1[[#This Row],[명칭]]),"-")</f>
        <v>0</v>
      </c>
      <c r="M812" s="38">
        <f>COUNTIF(퀘스트!B:B,표1[[#This Row],[명칭]])</f>
        <v>0</v>
      </c>
      <c r="N812" s="65">
        <f>COUNTIF([1]VillageDiscoveryGroup!$C:$C,표1[[#This Row],[명칭]])</f>
        <v>0</v>
      </c>
      <c r="O812" s="65">
        <f>SUM(표1[[#This Row],[해양탐색]:[마을탐험]])</f>
        <v>1</v>
      </c>
    </row>
    <row r="813" spans="2:15" ht="13.5" customHeight="1" x14ac:dyDescent="0.3">
      <c r="B813" s="9">
        <f>[1]Discovery!A819</f>
        <v>70407059</v>
      </c>
      <c r="C813" s="9" t="str">
        <f>[1]Discovery!B819</f>
        <v>오리너구리</v>
      </c>
      <c r="D813" s="9" t="str">
        <f>[1]Discovery!E819</f>
        <v>동물</v>
      </c>
      <c r="E813" s="9" t="str">
        <f>[1]Discovery!C819</f>
        <v>포유류</v>
      </c>
      <c r="F813" s="9" t="str">
        <f>[1]Discovery!G819</f>
        <v>A</v>
      </c>
      <c r="G813" s="9" t="str">
        <f>IFERROR(VLOOKUP(표1[[#This Row],[명칭]],'문화권 정리'!C:D,2,FALSE),"-")</f>
        <v>오세아니아</v>
      </c>
      <c r="H813" s="38" t="str">
        <f>IFERROR(COUNTIF([2]OceanDoodad!$Y:$Y,표1[[#This Row],[명칭]]),"-")</f>
        <v>-</v>
      </c>
      <c r="I813" s="38">
        <f>IFERROR(COUNTIF([1]AdventureDiscoveryGroup!$D$8:$AW$92,표1[[#This Row],[명칭]]),"-")</f>
        <v>0</v>
      </c>
      <c r="J813" s="38">
        <f>IFERROR(COUNTIF([1]FishDiscoveryGroup!$A:$X,표1[[#This Row],[명칭]]),"-")</f>
        <v>0</v>
      </c>
      <c r="K813" s="38" t="str">
        <f>IFERROR(COUNTIF([2]Town!$B:$B,표1[[#This Row],[명칭]]),"-")</f>
        <v>-</v>
      </c>
      <c r="L813" s="38">
        <f>IFERROR(COUNTIF([1]Village!$BR:$BR,표1[[#This Row],[명칭]]),"-")</f>
        <v>0</v>
      </c>
      <c r="M813" s="38">
        <f>COUNTIF(퀘스트!B:B,표1[[#This Row],[명칭]])</f>
        <v>1</v>
      </c>
      <c r="N813" s="65">
        <f>COUNTIF([1]VillageDiscoveryGroup!$C:$C,표1[[#This Row],[명칭]])</f>
        <v>0</v>
      </c>
      <c r="O813" s="65">
        <f>SUM(표1[[#This Row],[해양탐색]:[마을탐험]])</f>
        <v>1</v>
      </c>
    </row>
    <row r="814" spans="2:15" ht="13.5" customHeight="1" x14ac:dyDescent="0.3">
      <c r="B814" s="9">
        <f>[1]Discovery!A820</f>
        <v>70407060</v>
      </c>
      <c r="C814" s="9" t="str">
        <f>[1]Discovery!B820</f>
        <v>오소리</v>
      </c>
      <c r="D814" s="9" t="str">
        <f>[1]Discovery!E820</f>
        <v>동물</v>
      </c>
      <c r="E814" s="9" t="str">
        <f>[1]Discovery!C820</f>
        <v>포유류</v>
      </c>
      <c r="F814" s="9" t="str">
        <f>[1]Discovery!G820</f>
        <v>D</v>
      </c>
      <c r="G814" s="9" t="str">
        <f>IFERROR(VLOOKUP(표1[[#This Row],[명칭]],'문화권 정리'!C:D,2,FALSE),"-")</f>
        <v>지중해</v>
      </c>
      <c r="H814" s="38" t="str">
        <f>IFERROR(COUNTIF([2]OceanDoodad!$Y:$Y,표1[[#This Row],[명칭]]),"-")</f>
        <v>-</v>
      </c>
      <c r="I814" s="38">
        <f>IFERROR(COUNTIF([1]AdventureDiscoveryGroup!$D$8:$AW$92,표1[[#This Row],[명칭]]),"-")</f>
        <v>1</v>
      </c>
      <c r="J814" s="38">
        <f>IFERROR(COUNTIF([1]FishDiscoveryGroup!$A:$X,표1[[#This Row],[명칭]]),"-")</f>
        <v>0</v>
      </c>
      <c r="K814" s="38" t="str">
        <f>IFERROR(COUNTIF([2]Town!$B:$B,표1[[#This Row],[명칭]]),"-")</f>
        <v>-</v>
      </c>
      <c r="L814" s="38">
        <f>IFERROR(COUNTIF([1]Village!$BR:$BR,표1[[#This Row],[명칭]]),"-")</f>
        <v>0</v>
      </c>
      <c r="M814" s="38">
        <f>COUNTIF(퀘스트!B:B,표1[[#This Row],[명칭]])</f>
        <v>0</v>
      </c>
      <c r="N814" s="65">
        <f>COUNTIF([1]VillageDiscoveryGroup!$C:$C,표1[[#This Row],[명칭]])</f>
        <v>0</v>
      </c>
      <c r="O814" s="65">
        <f>SUM(표1[[#This Row],[해양탐색]:[마을탐험]])</f>
        <v>1</v>
      </c>
    </row>
    <row r="815" spans="2:15" ht="13.5" customHeight="1" x14ac:dyDescent="0.3">
      <c r="B815" s="9">
        <f>[1]Discovery!A821</f>
        <v>70407061</v>
      </c>
      <c r="C815" s="9" t="str">
        <f>[1]Discovery!B821</f>
        <v>오실롯</v>
      </c>
      <c r="D815" s="9" t="str">
        <f>[1]Discovery!E821</f>
        <v>동물</v>
      </c>
      <c r="E815" s="9" t="str">
        <f>[1]Discovery!C821</f>
        <v>포유류</v>
      </c>
      <c r="F815" s="9" t="str">
        <f>[1]Discovery!G821</f>
        <v>A</v>
      </c>
      <c r="G815" s="9" t="str">
        <f>IFERROR(VLOOKUP(표1[[#This Row],[명칭]],'문화권 정리'!C:D,2,FALSE),"-")</f>
        <v>남아메리카</v>
      </c>
      <c r="H815" s="38" t="str">
        <f>IFERROR(COUNTIF([2]OceanDoodad!$Y:$Y,표1[[#This Row],[명칭]]),"-")</f>
        <v>-</v>
      </c>
      <c r="I815" s="38">
        <f>IFERROR(COUNTIF([1]AdventureDiscoveryGroup!$D$8:$AW$92,표1[[#This Row],[명칭]]),"-")</f>
        <v>0</v>
      </c>
      <c r="J815" s="38">
        <f>IFERROR(COUNTIF([1]FishDiscoveryGroup!$A:$X,표1[[#This Row],[명칭]]),"-")</f>
        <v>0</v>
      </c>
      <c r="K815" s="38" t="str">
        <f>IFERROR(COUNTIF([2]Town!$B:$B,표1[[#This Row],[명칭]]),"-")</f>
        <v>-</v>
      </c>
      <c r="L815" s="38">
        <f>IFERROR(COUNTIF([1]Village!$BR:$BR,표1[[#This Row],[명칭]]),"-")</f>
        <v>0</v>
      </c>
      <c r="M815" s="38">
        <f>COUNTIF(퀘스트!B:B,표1[[#This Row],[명칭]])</f>
        <v>0</v>
      </c>
      <c r="N815" s="65">
        <f>COUNTIF([1]VillageDiscoveryGroup!$C:$C,표1[[#This Row],[명칭]])</f>
        <v>1</v>
      </c>
      <c r="O815" s="65">
        <f>SUM(표1[[#This Row],[해양탐색]:[마을탐험]])</f>
        <v>1</v>
      </c>
    </row>
    <row r="816" spans="2:15" ht="13.5" customHeight="1" x14ac:dyDescent="0.3">
      <c r="B816" s="9">
        <f>[1]Discovery!A822</f>
        <v>70407062</v>
      </c>
      <c r="C816" s="9" t="str">
        <f>[1]Discovery!B822</f>
        <v>왕아르마딜로</v>
      </c>
      <c r="D816" s="9" t="str">
        <f>[1]Discovery!E822</f>
        <v>동물</v>
      </c>
      <c r="E816" s="9" t="str">
        <f>[1]Discovery!C822</f>
        <v>포유류</v>
      </c>
      <c r="F816" s="9" t="str">
        <f>[1]Discovery!G822</f>
        <v>A</v>
      </c>
      <c r="G816" s="9" t="str">
        <f>IFERROR(VLOOKUP(표1[[#This Row],[명칭]],'문화권 정리'!C:D,2,FALSE),"-")</f>
        <v>남아메리카</v>
      </c>
      <c r="H816" s="38" t="str">
        <f>IFERROR(COUNTIF([2]OceanDoodad!$Y:$Y,표1[[#This Row],[명칭]]),"-")</f>
        <v>-</v>
      </c>
      <c r="I816" s="38">
        <f>IFERROR(COUNTIF([1]AdventureDiscoveryGroup!$D$8:$AW$92,표1[[#This Row],[명칭]]),"-")</f>
        <v>0</v>
      </c>
      <c r="J816" s="38">
        <f>IFERROR(COUNTIF([1]FishDiscoveryGroup!$A:$X,표1[[#This Row],[명칭]]),"-")</f>
        <v>0</v>
      </c>
      <c r="K816" s="38" t="str">
        <f>IFERROR(COUNTIF([2]Town!$B:$B,표1[[#This Row],[명칭]]),"-")</f>
        <v>-</v>
      </c>
      <c r="L816" s="38">
        <f>IFERROR(COUNTIF([1]Village!$BR:$BR,표1[[#This Row],[명칭]]),"-")</f>
        <v>0</v>
      </c>
      <c r="M816" s="38">
        <f>COUNTIF(퀘스트!B:B,표1[[#This Row],[명칭]])</f>
        <v>0</v>
      </c>
      <c r="N816" s="65">
        <f>COUNTIF([1]VillageDiscoveryGroup!$C:$C,표1[[#This Row],[명칭]])</f>
        <v>0</v>
      </c>
      <c r="O816" s="65">
        <f>SUM(표1[[#This Row],[해양탐색]:[마을탐험]])</f>
        <v>0</v>
      </c>
    </row>
    <row r="817" spans="2:15" ht="13.5" customHeight="1" x14ac:dyDescent="0.3">
      <c r="B817" s="9">
        <f>[1]Discovery!A823</f>
        <v>70407063</v>
      </c>
      <c r="C817" s="9" t="str">
        <f>[1]Discovery!B823</f>
        <v>울버린</v>
      </c>
      <c r="D817" s="9" t="str">
        <f>[1]Discovery!E823</f>
        <v>동물</v>
      </c>
      <c r="E817" s="9" t="str">
        <f>[1]Discovery!C823</f>
        <v>포유류</v>
      </c>
      <c r="F817" s="9" t="str">
        <f>[1]Discovery!G823</f>
        <v>B</v>
      </c>
      <c r="G817" s="9" t="str">
        <f>IFERROR(VLOOKUP(표1[[#This Row],[명칭]],'문화권 정리'!C:D,2,FALSE),"-")</f>
        <v>북유럽</v>
      </c>
      <c r="H817" s="38" t="str">
        <f>IFERROR(COUNTIF([2]OceanDoodad!$Y:$Y,표1[[#This Row],[명칭]]),"-")</f>
        <v>-</v>
      </c>
      <c r="I817" s="38">
        <f>IFERROR(COUNTIF([1]AdventureDiscoveryGroup!$D$8:$AW$92,표1[[#This Row],[명칭]]),"-")</f>
        <v>0</v>
      </c>
      <c r="J817" s="38">
        <f>IFERROR(COUNTIF([1]FishDiscoveryGroup!$A:$X,표1[[#This Row],[명칭]]),"-")</f>
        <v>0</v>
      </c>
      <c r="K817" s="38" t="str">
        <f>IFERROR(COUNTIF([2]Town!$B:$B,표1[[#This Row],[명칭]]),"-")</f>
        <v>-</v>
      </c>
      <c r="L817" s="38">
        <f>IFERROR(COUNTIF([1]Village!$BR:$BR,표1[[#This Row],[명칭]]),"-")</f>
        <v>0</v>
      </c>
      <c r="M817" s="38">
        <f>COUNTIF(퀘스트!B:B,표1[[#This Row],[명칭]])</f>
        <v>1</v>
      </c>
      <c r="N817" s="65">
        <f>COUNTIF([1]VillageDiscoveryGroup!$C:$C,표1[[#This Row],[명칭]])</f>
        <v>0</v>
      </c>
      <c r="O817" s="65">
        <f>SUM(표1[[#This Row],[해양탐색]:[마을탐험]])</f>
        <v>1</v>
      </c>
    </row>
    <row r="818" spans="2:15" ht="13.5" customHeight="1" x14ac:dyDescent="0.3">
      <c r="B818" s="9">
        <f>[1]Discovery!A824</f>
        <v>70407064</v>
      </c>
      <c r="C818" s="9" t="str">
        <f>[1]Discovery!B824</f>
        <v>웜뱃</v>
      </c>
      <c r="D818" s="9" t="str">
        <f>[1]Discovery!E824</f>
        <v>동물</v>
      </c>
      <c r="E818" s="9" t="str">
        <f>[1]Discovery!C824</f>
        <v>포유류</v>
      </c>
      <c r="F818" s="9" t="str">
        <f>[1]Discovery!G824</f>
        <v>A</v>
      </c>
      <c r="G818" s="9" t="str">
        <f>IFERROR(VLOOKUP(표1[[#This Row],[명칭]],'문화권 정리'!C:D,2,FALSE),"-")</f>
        <v>오세아니아</v>
      </c>
      <c r="H818" s="38" t="str">
        <f>IFERROR(COUNTIF([2]OceanDoodad!$Y:$Y,표1[[#This Row],[명칭]]),"-")</f>
        <v>-</v>
      </c>
      <c r="I818" s="38">
        <f>IFERROR(COUNTIF([1]AdventureDiscoveryGroup!$D$8:$AW$92,표1[[#This Row],[명칭]]),"-")</f>
        <v>1</v>
      </c>
      <c r="J818" s="38">
        <f>IFERROR(COUNTIF([1]FishDiscoveryGroup!$A:$X,표1[[#This Row],[명칭]]),"-")</f>
        <v>0</v>
      </c>
      <c r="K818" s="38" t="str">
        <f>IFERROR(COUNTIF([2]Town!$B:$B,표1[[#This Row],[명칭]]),"-")</f>
        <v>-</v>
      </c>
      <c r="L818" s="38">
        <f>IFERROR(COUNTIF([1]Village!$BR:$BR,표1[[#This Row],[명칭]]),"-")</f>
        <v>0</v>
      </c>
      <c r="M818" s="38">
        <f>COUNTIF(퀘스트!B:B,표1[[#This Row],[명칭]])</f>
        <v>0</v>
      </c>
      <c r="N818" s="65">
        <f>COUNTIF([1]VillageDiscoveryGroup!$C:$C,표1[[#This Row],[명칭]])</f>
        <v>0</v>
      </c>
      <c r="O818" s="65">
        <f>SUM(표1[[#This Row],[해양탐색]:[마을탐험]])</f>
        <v>1</v>
      </c>
    </row>
    <row r="819" spans="2:15" ht="13.5" customHeight="1" x14ac:dyDescent="0.3">
      <c r="B819" s="9">
        <f>[1]Discovery!A825</f>
        <v>70407065</v>
      </c>
      <c r="C819" s="9" t="str">
        <f>[1]Discovery!B825</f>
        <v>인도몽구스</v>
      </c>
      <c r="D819" s="9" t="str">
        <f>[1]Discovery!E825</f>
        <v>동물</v>
      </c>
      <c r="E819" s="9" t="str">
        <f>[1]Discovery!C825</f>
        <v>포유류</v>
      </c>
      <c r="F819" s="9" t="str">
        <f>[1]Discovery!G825</f>
        <v>A</v>
      </c>
      <c r="G819" s="9" t="str">
        <f>IFERROR(VLOOKUP(표1[[#This Row],[명칭]],'문화권 정리'!C:D,2,FALSE),"-")</f>
        <v>남아시아</v>
      </c>
      <c r="H819" s="38" t="str">
        <f>IFERROR(COUNTIF([2]OceanDoodad!$Y:$Y,표1[[#This Row],[명칭]]),"-")</f>
        <v>-</v>
      </c>
      <c r="I819" s="38">
        <f>IFERROR(COUNTIF([1]AdventureDiscoveryGroup!$D$8:$AW$92,표1[[#This Row],[명칭]]),"-")</f>
        <v>0</v>
      </c>
      <c r="J819" s="38">
        <f>IFERROR(COUNTIF([1]FishDiscoveryGroup!$A:$X,표1[[#This Row],[명칭]]),"-")</f>
        <v>0</v>
      </c>
      <c r="K819" s="38" t="str">
        <f>IFERROR(COUNTIF([2]Town!$B:$B,표1[[#This Row],[명칭]]),"-")</f>
        <v>-</v>
      </c>
      <c r="L819" s="38">
        <f>IFERROR(COUNTIF([1]Village!$BR:$BR,표1[[#This Row],[명칭]]),"-")</f>
        <v>0</v>
      </c>
      <c r="M819" s="38">
        <f>COUNTIF(퀘스트!B:B,표1[[#This Row],[명칭]])</f>
        <v>0</v>
      </c>
      <c r="N819" s="65">
        <f>COUNTIF([1]VillageDiscoveryGroup!$C:$C,표1[[#This Row],[명칭]])</f>
        <v>0</v>
      </c>
      <c r="O819" s="65">
        <f>SUM(표1[[#This Row],[해양탐색]:[마을탐험]])</f>
        <v>0</v>
      </c>
    </row>
    <row r="820" spans="2:15" ht="13.5" customHeight="1" x14ac:dyDescent="0.3">
      <c r="B820" s="9">
        <f>[1]Discovery!A826</f>
        <v>70407066</v>
      </c>
      <c r="C820" s="9" t="str">
        <f>[1]Discovery!B826</f>
        <v>인도영양</v>
      </c>
      <c r="D820" s="9" t="str">
        <f>[1]Discovery!E826</f>
        <v>동물</v>
      </c>
      <c r="E820" s="9" t="str">
        <f>[1]Discovery!C826</f>
        <v>포유류</v>
      </c>
      <c r="F820" s="9" t="str">
        <f>[1]Discovery!G826</f>
        <v>D</v>
      </c>
      <c r="G820" s="9" t="str">
        <f>IFERROR(VLOOKUP(표1[[#This Row],[명칭]],'문화권 정리'!C:D,2,FALSE),"-")</f>
        <v>남아시아</v>
      </c>
      <c r="H820" s="38" t="str">
        <f>IFERROR(COUNTIF([2]OceanDoodad!$Y:$Y,표1[[#This Row],[명칭]]),"-")</f>
        <v>-</v>
      </c>
      <c r="I820" s="38">
        <f>IFERROR(COUNTIF([1]AdventureDiscoveryGroup!$D$8:$AW$92,표1[[#This Row],[명칭]]),"-")</f>
        <v>1</v>
      </c>
      <c r="J820" s="38">
        <f>IFERROR(COUNTIF([1]FishDiscoveryGroup!$A:$X,표1[[#This Row],[명칭]]),"-")</f>
        <v>0</v>
      </c>
      <c r="K820" s="38" t="str">
        <f>IFERROR(COUNTIF([2]Town!$B:$B,표1[[#This Row],[명칭]]),"-")</f>
        <v>-</v>
      </c>
      <c r="L820" s="38">
        <f>IFERROR(COUNTIF([1]Village!$BR:$BR,표1[[#This Row],[명칭]]),"-")</f>
        <v>0</v>
      </c>
      <c r="M820" s="38">
        <f>COUNTIF(퀘스트!B:B,표1[[#This Row],[명칭]])</f>
        <v>0</v>
      </c>
      <c r="N820" s="65">
        <f>COUNTIF([1]VillageDiscoveryGroup!$C:$C,표1[[#This Row],[명칭]])</f>
        <v>0</v>
      </c>
      <c r="O820" s="65">
        <f>SUM(표1[[#This Row],[해양탐색]:[마을탐험]])</f>
        <v>1</v>
      </c>
    </row>
    <row r="821" spans="2:15" ht="13.5" customHeight="1" x14ac:dyDescent="0.3">
      <c r="B821" s="9">
        <f>[1]Discovery!A827</f>
        <v>70407067</v>
      </c>
      <c r="C821" s="9" t="str">
        <f>[1]Discovery!B827</f>
        <v>인드리</v>
      </c>
      <c r="D821" s="9" t="str">
        <f>[1]Discovery!E827</f>
        <v>동물</v>
      </c>
      <c r="E821" s="9" t="str">
        <f>[1]Discovery!C827</f>
        <v>포유류</v>
      </c>
      <c r="F821" s="9" t="str">
        <f>[1]Discovery!G827</f>
        <v>B</v>
      </c>
      <c r="G821" s="9" t="str">
        <f>IFERROR(VLOOKUP(표1[[#This Row],[명칭]],'문화권 정리'!C:D,2,FALSE),"-")</f>
        <v>동아프리카</v>
      </c>
      <c r="H821" s="38" t="str">
        <f>IFERROR(COUNTIF([2]OceanDoodad!$Y:$Y,표1[[#This Row],[명칭]]),"-")</f>
        <v>-</v>
      </c>
      <c r="I821" s="38">
        <f>IFERROR(COUNTIF([1]AdventureDiscoveryGroup!$D$8:$AW$92,표1[[#This Row],[명칭]]),"-")</f>
        <v>1</v>
      </c>
      <c r="J821" s="38">
        <f>IFERROR(COUNTIF([1]FishDiscoveryGroup!$A:$X,표1[[#This Row],[명칭]]),"-")</f>
        <v>0</v>
      </c>
      <c r="K821" s="38" t="str">
        <f>IFERROR(COUNTIF([2]Town!$B:$B,표1[[#This Row],[명칭]]),"-")</f>
        <v>-</v>
      </c>
      <c r="L821" s="38">
        <f>IFERROR(COUNTIF([1]Village!$BR:$BR,표1[[#This Row],[명칭]]),"-")</f>
        <v>0</v>
      </c>
      <c r="M821" s="38">
        <f>COUNTIF(퀘스트!B:B,표1[[#This Row],[명칭]])</f>
        <v>0</v>
      </c>
      <c r="N821" s="65">
        <f>COUNTIF([1]VillageDiscoveryGroup!$C:$C,표1[[#This Row],[명칭]])</f>
        <v>0</v>
      </c>
      <c r="O821" s="65">
        <f>SUM(표1[[#This Row],[해양탐색]:[마을탐험]])</f>
        <v>1</v>
      </c>
    </row>
    <row r="822" spans="2:15" ht="13.5" customHeight="1" x14ac:dyDescent="0.3">
      <c r="B822" s="9">
        <f>[1]Discovery!A828</f>
        <v>70407068</v>
      </c>
      <c r="C822" s="9" t="str">
        <f>[1]Discovery!B828</f>
        <v>일본장수도롱뇽</v>
      </c>
      <c r="D822" s="9" t="str">
        <f>[1]Discovery!E828</f>
        <v>동물</v>
      </c>
      <c r="E822" s="9" t="str">
        <f>[1]Discovery!C828</f>
        <v>파충류</v>
      </c>
      <c r="F822" s="9" t="str">
        <f>[1]Discovery!G828</f>
        <v>A</v>
      </c>
      <c r="G822" s="9" t="str">
        <f>IFERROR(VLOOKUP(표1[[#This Row],[명칭]],'문화권 정리'!C:D,2,FALSE),"-")</f>
        <v>동아시아</v>
      </c>
      <c r="H822" s="38" t="str">
        <f>IFERROR(COUNTIF([2]OceanDoodad!$Y:$Y,표1[[#This Row],[명칭]]),"-")</f>
        <v>-</v>
      </c>
      <c r="I822" s="38">
        <f>IFERROR(COUNTIF([1]AdventureDiscoveryGroup!$D$8:$AW$92,표1[[#This Row],[명칭]]),"-")</f>
        <v>1</v>
      </c>
      <c r="J822" s="38">
        <f>IFERROR(COUNTIF([1]FishDiscoveryGroup!$A:$X,표1[[#This Row],[명칭]]),"-")</f>
        <v>0</v>
      </c>
      <c r="K822" s="38" t="str">
        <f>IFERROR(COUNTIF([2]Town!$B:$B,표1[[#This Row],[명칭]]),"-")</f>
        <v>-</v>
      </c>
      <c r="L822" s="38">
        <f>IFERROR(COUNTIF([1]Village!$BR:$BR,표1[[#This Row],[명칭]]),"-")</f>
        <v>0</v>
      </c>
      <c r="M822" s="38">
        <f>COUNTIF(퀘스트!B:B,표1[[#This Row],[명칭]])</f>
        <v>0</v>
      </c>
      <c r="N822" s="65">
        <f>COUNTIF([1]VillageDiscoveryGroup!$C:$C,표1[[#This Row],[명칭]])</f>
        <v>0</v>
      </c>
      <c r="O822" s="65">
        <f>SUM(표1[[#This Row],[해양탐색]:[마을탐험]])</f>
        <v>1</v>
      </c>
    </row>
    <row r="823" spans="2:15" ht="13.5" customHeight="1" x14ac:dyDescent="0.3">
      <c r="B823" s="9">
        <f>[1]Discovery!A829</f>
        <v>70407069</v>
      </c>
      <c r="C823" s="9" t="str">
        <f>[1]Discovery!B829</f>
        <v>일본산양</v>
      </c>
      <c r="D823" s="9" t="str">
        <f>[1]Discovery!E829</f>
        <v>동물</v>
      </c>
      <c r="E823" s="9" t="str">
        <f>[1]Discovery!C829</f>
        <v>포유류</v>
      </c>
      <c r="F823" s="9" t="str">
        <f>[1]Discovery!G829</f>
        <v>C</v>
      </c>
      <c r="G823" s="9" t="str">
        <f>IFERROR(VLOOKUP(표1[[#This Row],[명칭]],'문화권 정리'!C:D,2,FALSE),"-")</f>
        <v>동아시아</v>
      </c>
      <c r="H823" s="38" t="str">
        <f>IFERROR(COUNTIF([2]OceanDoodad!$Y:$Y,표1[[#This Row],[명칭]]),"-")</f>
        <v>-</v>
      </c>
      <c r="I823" s="38">
        <f>IFERROR(COUNTIF([1]AdventureDiscoveryGroup!$D$8:$AW$92,표1[[#This Row],[명칭]]),"-")</f>
        <v>0</v>
      </c>
      <c r="J823" s="38">
        <f>IFERROR(COUNTIF([1]FishDiscoveryGroup!$A:$X,표1[[#This Row],[명칭]]),"-")</f>
        <v>0</v>
      </c>
      <c r="K823" s="38" t="str">
        <f>IFERROR(COUNTIF([2]Town!$B:$B,표1[[#This Row],[명칭]]),"-")</f>
        <v>-</v>
      </c>
      <c r="L823" s="38">
        <f>IFERROR(COUNTIF([1]Village!$BR:$BR,표1[[#This Row],[명칭]]),"-")</f>
        <v>0</v>
      </c>
      <c r="M823" s="38">
        <f>COUNTIF(퀘스트!B:B,표1[[#This Row],[명칭]])</f>
        <v>0</v>
      </c>
      <c r="N823" s="65">
        <f>COUNTIF([1]VillageDiscoveryGroup!$C:$C,표1[[#This Row],[명칭]])</f>
        <v>1</v>
      </c>
      <c r="O823" s="65">
        <f>SUM(표1[[#This Row],[해양탐색]:[마을탐험]])</f>
        <v>1</v>
      </c>
    </row>
    <row r="824" spans="2:15" ht="13.5" customHeight="1" x14ac:dyDescent="0.3">
      <c r="B824" s="9">
        <f>[1]Discovery!A830</f>
        <v>70407070</v>
      </c>
      <c r="C824" s="9" t="str">
        <f>[1]Discovery!B830</f>
        <v>일본원숭이</v>
      </c>
      <c r="D824" s="9" t="str">
        <f>[1]Discovery!E830</f>
        <v>동물</v>
      </c>
      <c r="E824" s="9" t="str">
        <f>[1]Discovery!C830</f>
        <v>포유류</v>
      </c>
      <c r="F824" s="9" t="str">
        <f>[1]Discovery!G830</f>
        <v>D</v>
      </c>
      <c r="G824" s="9" t="str">
        <f>IFERROR(VLOOKUP(표1[[#This Row],[명칭]],'문화권 정리'!C:D,2,FALSE),"-")</f>
        <v>동아시아</v>
      </c>
      <c r="H824" s="38" t="str">
        <f>IFERROR(COUNTIF([2]OceanDoodad!$Y:$Y,표1[[#This Row],[명칭]]),"-")</f>
        <v>-</v>
      </c>
      <c r="I824" s="38">
        <f>IFERROR(COUNTIF([1]AdventureDiscoveryGroup!$D$8:$AW$92,표1[[#This Row],[명칭]]),"-")</f>
        <v>0</v>
      </c>
      <c r="J824" s="38">
        <f>IFERROR(COUNTIF([1]FishDiscoveryGroup!$A:$X,표1[[#This Row],[명칭]]),"-")</f>
        <v>0</v>
      </c>
      <c r="K824" s="38" t="str">
        <f>IFERROR(COUNTIF([2]Town!$B:$B,표1[[#This Row],[명칭]]),"-")</f>
        <v>-</v>
      </c>
      <c r="L824" s="38">
        <f>IFERROR(COUNTIF([1]Village!$BR:$BR,표1[[#This Row],[명칭]]),"-")</f>
        <v>0</v>
      </c>
      <c r="M824" s="38">
        <f>COUNTIF(퀘스트!B:B,표1[[#This Row],[명칭]])</f>
        <v>0</v>
      </c>
      <c r="N824" s="65">
        <f>COUNTIF([1]VillageDiscoveryGroup!$C:$C,표1[[#This Row],[명칭]])</f>
        <v>1</v>
      </c>
      <c r="O824" s="65">
        <f>SUM(표1[[#This Row],[해양탐색]:[마을탐험]])</f>
        <v>1</v>
      </c>
    </row>
    <row r="825" spans="2:15" ht="13.5" customHeight="1" x14ac:dyDescent="0.3">
      <c r="B825" s="9">
        <f>[1]Discovery!A831</f>
        <v>70407071</v>
      </c>
      <c r="C825" s="9" t="str">
        <f>[1]Discovery!B831</f>
        <v>임팔라</v>
      </c>
      <c r="D825" s="9" t="str">
        <f>[1]Discovery!E831</f>
        <v>동물</v>
      </c>
      <c r="E825" s="9" t="str">
        <f>[1]Discovery!C831</f>
        <v>포유류</v>
      </c>
      <c r="F825" s="9" t="str">
        <f>[1]Discovery!G831</f>
        <v>C</v>
      </c>
      <c r="G825" s="9" t="str">
        <f>IFERROR(VLOOKUP(표1[[#This Row],[명칭]],'문화권 정리'!C:D,2,FALSE),"-")</f>
        <v>남아프리카</v>
      </c>
      <c r="H825" s="38" t="str">
        <f>IFERROR(COUNTIF([2]OceanDoodad!$Y:$Y,표1[[#This Row],[명칭]]),"-")</f>
        <v>-</v>
      </c>
      <c r="I825" s="38">
        <f>IFERROR(COUNTIF([1]AdventureDiscoveryGroup!$D$8:$AW$92,표1[[#This Row],[명칭]]),"-")</f>
        <v>1</v>
      </c>
      <c r="J825" s="38">
        <f>IFERROR(COUNTIF([1]FishDiscoveryGroup!$A:$X,표1[[#This Row],[명칭]]),"-")</f>
        <v>0</v>
      </c>
      <c r="K825" s="38" t="str">
        <f>IFERROR(COUNTIF([2]Town!$B:$B,표1[[#This Row],[명칭]]),"-")</f>
        <v>-</v>
      </c>
      <c r="L825" s="38">
        <f>IFERROR(COUNTIF([1]Village!$BR:$BR,표1[[#This Row],[명칭]]),"-")</f>
        <v>0</v>
      </c>
      <c r="M825" s="38">
        <f>COUNTIF(퀘스트!B:B,표1[[#This Row],[명칭]])</f>
        <v>0</v>
      </c>
      <c r="N825" s="65">
        <f>COUNTIF([1]VillageDiscoveryGroup!$C:$C,표1[[#This Row],[명칭]])</f>
        <v>0</v>
      </c>
      <c r="O825" s="65">
        <f>SUM(표1[[#This Row],[해양탐색]:[마을탐험]])</f>
        <v>1</v>
      </c>
    </row>
    <row r="826" spans="2:15" ht="13.5" customHeight="1" x14ac:dyDescent="0.3">
      <c r="B826" s="9">
        <f>[1]Discovery!A832</f>
        <v>70407072</v>
      </c>
      <c r="C826" s="9" t="str">
        <f>[1]Discovery!B832</f>
        <v>잎원숭이</v>
      </c>
      <c r="D826" s="9" t="str">
        <f>[1]Discovery!E832</f>
        <v>동물</v>
      </c>
      <c r="E826" s="9" t="str">
        <f>[1]Discovery!C832</f>
        <v>포유류</v>
      </c>
      <c r="F826" s="9" t="str">
        <f>[1]Discovery!G832</f>
        <v>B</v>
      </c>
      <c r="G826" s="9" t="str">
        <f>IFERROR(VLOOKUP(표1[[#This Row],[명칭]],'문화권 정리'!C:D,2,FALSE),"-")</f>
        <v>남아시아</v>
      </c>
      <c r="H826" s="38" t="str">
        <f>IFERROR(COUNTIF([2]OceanDoodad!$Y:$Y,표1[[#This Row],[명칭]]),"-")</f>
        <v>-</v>
      </c>
      <c r="I826" s="38">
        <f>IFERROR(COUNTIF([1]AdventureDiscoveryGroup!$D$8:$AW$92,표1[[#This Row],[명칭]]),"-")</f>
        <v>0</v>
      </c>
      <c r="J826" s="38">
        <f>IFERROR(COUNTIF([1]FishDiscoveryGroup!$A:$X,표1[[#This Row],[명칭]]),"-")</f>
        <v>0</v>
      </c>
      <c r="K826" s="38" t="str">
        <f>IFERROR(COUNTIF([2]Town!$B:$B,표1[[#This Row],[명칭]]),"-")</f>
        <v>-</v>
      </c>
      <c r="L826" s="38">
        <f>IFERROR(COUNTIF([1]Village!$BR:$BR,표1[[#This Row],[명칭]]),"-")</f>
        <v>0</v>
      </c>
      <c r="M826" s="38">
        <f>COUNTIF(퀘스트!B:B,표1[[#This Row],[명칭]])</f>
        <v>0</v>
      </c>
      <c r="N826" s="65">
        <f>COUNTIF([1]VillageDiscoveryGroup!$C:$C,표1[[#This Row],[명칭]])</f>
        <v>0</v>
      </c>
      <c r="O826" s="65">
        <f>SUM(표1[[#This Row],[해양탐색]:[마을탐험]])</f>
        <v>0</v>
      </c>
    </row>
    <row r="827" spans="2:15" ht="13.5" customHeight="1" x14ac:dyDescent="0.3">
      <c r="B827" s="9">
        <f>[1]Discovery!A833</f>
        <v>70407073</v>
      </c>
      <c r="C827" s="9" t="str">
        <f>[1]Discovery!B833</f>
        <v>자칼</v>
      </c>
      <c r="D827" s="9" t="str">
        <f>[1]Discovery!E833</f>
        <v>동물</v>
      </c>
      <c r="E827" s="9" t="str">
        <f>[1]Discovery!C833</f>
        <v>포유류</v>
      </c>
      <c r="F827" s="9" t="str">
        <f>[1]Discovery!G833</f>
        <v>D</v>
      </c>
      <c r="G827" s="9" t="str">
        <f>IFERROR(VLOOKUP(표1[[#This Row],[명칭]],'문화권 정리'!C:D,2,FALSE),"-")</f>
        <v>동아프리카</v>
      </c>
      <c r="H827" s="38" t="str">
        <f>IFERROR(COUNTIF([2]OceanDoodad!$Y:$Y,표1[[#This Row],[명칭]]),"-")</f>
        <v>-</v>
      </c>
      <c r="I827" s="38">
        <f>IFERROR(COUNTIF([1]AdventureDiscoveryGroup!$D$8:$AW$92,표1[[#This Row],[명칭]]),"-")</f>
        <v>1</v>
      </c>
      <c r="J827" s="38">
        <f>IFERROR(COUNTIF([1]FishDiscoveryGroup!$A:$X,표1[[#This Row],[명칭]]),"-")</f>
        <v>0</v>
      </c>
      <c r="K827" s="38" t="str">
        <f>IFERROR(COUNTIF([2]Town!$B:$B,표1[[#This Row],[명칭]]),"-")</f>
        <v>-</v>
      </c>
      <c r="L827" s="38">
        <f>IFERROR(COUNTIF([1]Village!$BR:$BR,표1[[#This Row],[명칭]]),"-")</f>
        <v>0</v>
      </c>
      <c r="M827" s="38">
        <f>COUNTIF(퀘스트!B:B,표1[[#This Row],[명칭]])</f>
        <v>0</v>
      </c>
      <c r="N827" s="65">
        <f>COUNTIF([1]VillageDiscoveryGroup!$C:$C,표1[[#This Row],[명칭]])</f>
        <v>0</v>
      </c>
      <c r="O827" s="65">
        <f>SUM(표1[[#This Row],[해양탐색]:[마을탐험]])</f>
        <v>1</v>
      </c>
    </row>
    <row r="828" spans="2:15" ht="13.5" customHeight="1" x14ac:dyDescent="0.3">
      <c r="B828" s="9">
        <f>[1]Discovery!A834</f>
        <v>70407074</v>
      </c>
      <c r="C828" s="9" t="str">
        <f>[1]Discovery!B834</f>
        <v>작은개미핥기</v>
      </c>
      <c r="D828" s="9" t="str">
        <f>[1]Discovery!E834</f>
        <v>동물</v>
      </c>
      <c r="E828" s="9" t="str">
        <f>[1]Discovery!C834</f>
        <v>포유류</v>
      </c>
      <c r="F828" s="9" t="str">
        <f>[1]Discovery!G834</f>
        <v>D</v>
      </c>
      <c r="G828" s="9" t="str">
        <f>IFERROR(VLOOKUP(표1[[#This Row],[명칭]],'문화권 정리'!C:D,2,FALSE),"-")</f>
        <v>남아메리카</v>
      </c>
      <c r="H828" s="38" t="str">
        <f>IFERROR(COUNTIF([2]OceanDoodad!$Y:$Y,표1[[#This Row],[명칭]]),"-")</f>
        <v>-</v>
      </c>
      <c r="I828" s="38">
        <f>IFERROR(COUNTIF([1]AdventureDiscoveryGroup!$D$8:$AW$92,표1[[#This Row],[명칭]]),"-")</f>
        <v>1</v>
      </c>
      <c r="J828" s="38">
        <f>IFERROR(COUNTIF([1]FishDiscoveryGroup!$A:$X,표1[[#This Row],[명칭]]),"-")</f>
        <v>0</v>
      </c>
      <c r="K828" s="38" t="str">
        <f>IFERROR(COUNTIF([2]Town!$B:$B,표1[[#This Row],[명칭]]),"-")</f>
        <v>-</v>
      </c>
      <c r="L828" s="38">
        <f>IFERROR(COUNTIF([1]Village!$BR:$BR,표1[[#This Row],[명칭]]),"-")</f>
        <v>0</v>
      </c>
      <c r="M828" s="38">
        <f>COUNTIF(퀘스트!B:B,표1[[#This Row],[명칭]])</f>
        <v>0</v>
      </c>
      <c r="N828" s="65">
        <f>COUNTIF([1]VillageDiscoveryGroup!$C:$C,표1[[#This Row],[명칭]])</f>
        <v>0</v>
      </c>
      <c r="O828" s="65">
        <f>SUM(표1[[#This Row],[해양탐색]:[마을탐험]])</f>
        <v>1</v>
      </c>
    </row>
    <row r="829" spans="2:15" ht="13.5" customHeight="1" x14ac:dyDescent="0.3">
      <c r="B829" s="9">
        <f>[1]Discovery!A835</f>
        <v>70407075</v>
      </c>
      <c r="C829" s="9" t="str">
        <f>[1]Discovery!B835</f>
        <v>잔점박이물범</v>
      </c>
      <c r="D829" s="9" t="str">
        <f>[1]Discovery!E835</f>
        <v>동물</v>
      </c>
      <c r="E829" s="9" t="str">
        <f>[1]Discovery!C835</f>
        <v>포유류</v>
      </c>
      <c r="F829" s="9" t="str">
        <f>[1]Discovery!G835</f>
        <v>C</v>
      </c>
      <c r="G829" s="9" t="str">
        <f>IFERROR(VLOOKUP(표1[[#This Row],[명칭]],'문화권 정리'!C:D,2,FALSE),"-")</f>
        <v>북유럽</v>
      </c>
      <c r="H829" s="38" t="str">
        <f>IFERROR(COUNTIF([2]OceanDoodad!$Y:$Y,표1[[#This Row],[명칭]]),"-")</f>
        <v>-</v>
      </c>
      <c r="I829" s="38">
        <f>IFERROR(COUNTIF([1]AdventureDiscoveryGroup!$D$8:$AW$92,표1[[#This Row],[명칭]]),"-")</f>
        <v>0</v>
      </c>
      <c r="J829" s="38">
        <f>IFERROR(COUNTIF([1]FishDiscoveryGroup!$A:$X,표1[[#This Row],[명칭]]),"-")</f>
        <v>0</v>
      </c>
      <c r="K829" s="38" t="str">
        <f>IFERROR(COUNTIF([2]Town!$B:$B,표1[[#This Row],[명칭]]),"-")</f>
        <v>-</v>
      </c>
      <c r="L829" s="38">
        <f>IFERROR(COUNTIF([1]Village!$BR:$BR,표1[[#This Row],[명칭]]),"-")</f>
        <v>0</v>
      </c>
      <c r="M829" s="38">
        <f>COUNTIF(퀘스트!B:B,표1[[#This Row],[명칭]])</f>
        <v>0</v>
      </c>
      <c r="N829" s="65">
        <f>COUNTIF([1]VillageDiscoveryGroup!$C:$C,표1[[#This Row],[명칭]])</f>
        <v>1</v>
      </c>
      <c r="O829" s="65">
        <f>SUM(표1[[#This Row],[해양탐색]:[마을탐험]])</f>
        <v>1</v>
      </c>
    </row>
    <row r="830" spans="2:15" ht="13.5" customHeight="1" x14ac:dyDescent="0.3">
      <c r="B830" s="9">
        <f>[1]Discovery!A836</f>
        <v>70407076</v>
      </c>
      <c r="C830" s="9" t="str">
        <f>[1]Discovery!B836</f>
        <v>주머니늑대</v>
      </c>
      <c r="D830" s="9" t="str">
        <f>[1]Discovery!E836</f>
        <v>동물</v>
      </c>
      <c r="E830" s="9" t="str">
        <f>[1]Discovery!C836</f>
        <v>포유류</v>
      </c>
      <c r="F830" s="9" t="str">
        <f>[1]Discovery!G836</f>
        <v>D</v>
      </c>
      <c r="G830" s="9" t="str">
        <f>IFERROR(VLOOKUP(표1[[#This Row],[명칭]],'문화권 정리'!C:D,2,FALSE),"-")</f>
        <v>오세아니아</v>
      </c>
      <c r="H830" s="38" t="str">
        <f>IFERROR(COUNTIF([2]OceanDoodad!$Y:$Y,표1[[#This Row],[명칭]]),"-")</f>
        <v>-</v>
      </c>
      <c r="I830" s="38">
        <f>IFERROR(COUNTIF([1]AdventureDiscoveryGroup!$D$8:$AW$92,표1[[#This Row],[명칭]]),"-")</f>
        <v>0</v>
      </c>
      <c r="J830" s="38">
        <f>IFERROR(COUNTIF([1]FishDiscoveryGroup!$A:$X,표1[[#This Row],[명칭]]),"-")</f>
        <v>0</v>
      </c>
      <c r="K830" s="38" t="str">
        <f>IFERROR(COUNTIF([2]Town!$B:$B,표1[[#This Row],[명칭]]),"-")</f>
        <v>-</v>
      </c>
      <c r="L830" s="38">
        <f>IFERROR(COUNTIF([1]Village!$BR:$BR,표1[[#This Row],[명칭]]),"-")</f>
        <v>0</v>
      </c>
      <c r="M830" s="38">
        <f>COUNTIF(퀘스트!B:B,표1[[#This Row],[명칭]])</f>
        <v>0</v>
      </c>
      <c r="N830" s="65">
        <f>COUNTIF([1]VillageDiscoveryGroup!$C:$C,표1[[#This Row],[명칭]])</f>
        <v>1</v>
      </c>
      <c r="O830" s="65">
        <f>SUM(표1[[#This Row],[해양탐색]:[마을탐험]])</f>
        <v>1</v>
      </c>
    </row>
    <row r="831" spans="2:15" ht="13.5" customHeight="1" x14ac:dyDescent="0.3">
      <c r="B831" s="9">
        <f>[1]Discovery!A837</f>
        <v>70407077</v>
      </c>
      <c r="C831" s="9" t="str">
        <f>[1]Discovery!B837</f>
        <v>진돗개</v>
      </c>
      <c r="D831" s="9" t="str">
        <f>[1]Discovery!E837</f>
        <v>동물</v>
      </c>
      <c r="E831" s="9" t="str">
        <f>[1]Discovery!C837</f>
        <v>포유류</v>
      </c>
      <c r="F831" s="9" t="str">
        <f>[1]Discovery!G837</f>
        <v>A</v>
      </c>
      <c r="G831" s="9" t="str">
        <f>IFERROR(VLOOKUP(표1[[#This Row],[명칭]],'문화권 정리'!C:D,2,FALSE),"-")</f>
        <v>동아시아</v>
      </c>
      <c r="H831" s="38" t="str">
        <f>IFERROR(COUNTIF([2]OceanDoodad!$Y:$Y,표1[[#This Row],[명칭]]),"-")</f>
        <v>-</v>
      </c>
      <c r="I831" s="38">
        <f>IFERROR(COUNTIF([1]AdventureDiscoveryGroup!$D$8:$AW$92,표1[[#This Row],[명칭]]),"-")</f>
        <v>0</v>
      </c>
      <c r="J831" s="38">
        <f>IFERROR(COUNTIF([1]FishDiscoveryGroup!$A:$X,표1[[#This Row],[명칭]]),"-")</f>
        <v>0</v>
      </c>
      <c r="K831" s="38" t="str">
        <f>IFERROR(COUNTIF([2]Town!$B:$B,표1[[#This Row],[명칭]]),"-")</f>
        <v>-</v>
      </c>
      <c r="L831" s="38">
        <f>IFERROR(COUNTIF([1]Village!$BR:$BR,표1[[#This Row],[명칭]]),"-")</f>
        <v>0</v>
      </c>
      <c r="M831" s="38">
        <f>COUNTIF(퀘스트!B:B,표1[[#This Row],[명칭]])</f>
        <v>1</v>
      </c>
      <c r="N831" s="65">
        <f>COUNTIF([1]VillageDiscoveryGroup!$C:$C,표1[[#This Row],[명칭]])</f>
        <v>0</v>
      </c>
      <c r="O831" s="65">
        <f>SUM(표1[[#This Row],[해양탐색]:[마을탐험]])</f>
        <v>1</v>
      </c>
    </row>
    <row r="832" spans="2:15" ht="13.5" customHeight="1" x14ac:dyDescent="0.3">
      <c r="B832" s="9">
        <f>[1]Discovery!A838</f>
        <v>70407078</v>
      </c>
      <c r="C832" s="9" t="str">
        <f>[1]Discovery!B838</f>
        <v>차우차우</v>
      </c>
      <c r="D832" s="9" t="str">
        <f>[1]Discovery!E838</f>
        <v>동물</v>
      </c>
      <c r="E832" s="9" t="str">
        <f>[1]Discovery!C838</f>
        <v>포유류</v>
      </c>
      <c r="F832" s="9" t="str">
        <f>[1]Discovery!G838</f>
        <v>B</v>
      </c>
      <c r="G832" s="9" t="str">
        <f>IFERROR(VLOOKUP(표1[[#This Row],[명칭]],'문화권 정리'!C:D,2,FALSE),"-")</f>
        <v>동아시아</v>
      </c>
      <c r="H832" s="38" t="str">
        <f>IFERROR(COUNTIF([2]OceanDoodad!$Y:$Y,표1[[#This Row],[명칭]]),"-")</f>
        <v>-</v>
      </c>
      <c r="I832" s="38">
        <f>IFERROR(COUNTIF([1]AdventureDiscoveryGroup!$D$8:$AW$92,표1[[#This Row],[명칭]]),"-")</f>
        <v>1</v>
      </c>
      <c r="J832" s="38">
        <f>IFERROR(COUNTIF([1]FishDiscoveryGroup!$A:$X,표1[[#This Row],[명칭]]),"-")</f>
        <v>0</v>
      </c>
      <c r="K832" s="38" t="str">
        <f>IFERROR(COUNTIF([2]Town!$B:$B,표1[[#This Row],[명칭]]),"-")</f>
        <v>-</v>
      </c>
      <c r="L832" s="38">
        <f>IFERROR(COUNTIF([1]Village!$BR:$BR,표1[[#This Row],[명칭]]),"-")</f>
        <v>0</v>
      </c>
      <c r="M832" s="38">
        <f>COUNTIF(퀘스트!B:B,표1[[#This Row],[명칭]])</f>
        <v>0</v>
      </c>
      <c r="N832" s="65">
        <f>COUNTIF([1]VillageDiscoveryGroup!$C:$C,표1[[#This Row],[명칭]])</f>
        <v>0</v>
      </c>
      <c r="O832" s="65">
        <f>SUM(표1[[#This Row],[해양탐색]:[마을탐험]])</f>
        <v>1</v>
      </c>
    </row>
    <row r="833" spans="2:15" ht="13.5" customHeight="1" x14ac:dyDescent="0.3">
      <c r="B833" s="9">
        <f>[1]Discovery!A839</f>
        <v>70407079</v>
      </c>
      <c r="C833" s="9" t="str">
        <f>[1]Discovery!B839</f>
        <v>천산갑</v>
      </c>
      <c r="D833" s="9" t="str">
        <f>[1]Discovery!E839</f>
        <v>동물</v>
      </c>
      <c r="E833" s="9" t="str">
        <f>[1]Discovery!C839</f>
        <v>포유류</v>
      </c>
      <c r="F833" s="9" t="str">
        <f>[1]Discovery!G839</f>
        <v>B</v>
      </c>
      <c r="G833" s="9" t="str">
        <f>IFERROR(VLOOKUP(표1[[#This Row],[명칭]],'문화권 정리'!C:D,2,FALSE),"-")</f>
        <v>동남아시아</v>
      </c>
      <c r="H833" s="38" t="str">
        <f>IFERROR(COUNTIF([2]OceanDoodad!$Y:$Y,표1[[#This Row],[명칭]]),"-")</f>
        <v>-</v>
      </c>
      <c r="I833" s="38">
        <f>IFERROR(COUNTIF([1]AdventureDiscoveryGroup!$D$8:$AW$92,표1[[#This Row],[명칭]]),"-")</f>
        <v>0</v>
      </c>
      <c r="J833" s="38">
        <f>IFERROR(COUNTIF([1]FishDiscoveryGroup!$A:$X,표1[[#This Row],[명칭]]),"-")</f>
        <v>0</v>
      </c>
      <c r="K833" s="38" t="str">
        <f>IFERROR(COUNTIF([2]Town!$B:$B,표1[[#This Row],[명칭]]),"-")</f>
        <v>-</v>
      </c>
      <c r="L833" s="38">
        <f>IFERROR(COUNTIF([1]Village!$BR:$BR,표1[[#This Row],[명칭]]),"-")</f>
        <v>0</v>
      </c>
      <c r="M833" s="38">
        <f>COUNTIF(퀘스트!B:B,표1[[#This Row],[명칭]])</f>
        <v>1</v>
      </c>
      <c r="N833" s="65">
        <f>COUNTIF([1]VillageDiscoveryGroup!$C:$C,표1[[#This Row],[명칭]])</f>
        <v>0</v>
      </c>
      <c r="O833" s="65">
        <f>SUM(표1[[#This Row],[해양탐색]:[마을탐험]])</f>
        <v>1</v>
      </c>
    </row>
    <row r="834" spans="2:15" ht="13.5" customHeight="1" x14ac:dyDescent="0.3">
      <c r="B834" s="9">
        <f>[1]Discovery!A840</f>
        <v>70407080</v>
      </c>
      <c r="C834" s="9" t="str">
        <f>[1]Discovery!B840</f>
        <v>침팬지</v>
      </c>
      <c r="D834" s="9" t="str">
        <f>[1]Discovery!E840</f>
        <v>동물</v>
      </c>
      <c r="E834" s="9" t="str">
        <f>[1]Discovery!C840</f>
        <v>포유류</v>
      </c>
      <c r="F834" s="9" t="str">
        <f>[1]Discovery!G840</f>
        <v>C</v>
      </c>
      <c r="G834" s="9" t="str">
        <f>IFERROR(VLOOKUP(표1[[#This Row],[명칭]],'문화권 정리'!C:D,2,FALSE),"-")</f>
        <v>서아프리카</v>
      </c>
      <c r="H834" s="38" t="str">
        <f>IFERROR(COUNTIF([2]OceanDoodad!$Y:$Y,표1[[#This Row],[명칭]]),"-")</f>
        <v>-</v>
      </c>
      <c r="I834" s="38">
        <f>IFERROR(COUNTIF([1]AdventureDiscoveryGroup!$D$8:$AW$92,표1[[#This Row],[명칭]]),"-")</f>
        <v>0</v>
      </c>
      <c r="J834" s="38">
        <f>IFERROR(COUNTIF([1]FishDiscoveryGroup!$A:$X,표1[[#This Row],[명칭]]),"-")</f>
        <v>0</v>
      </c>
      <c r="K834" s="38" t="str">
        <f>IFERROR(COUNTIF([2]Town!$B:$B,표1[[#This Row],[명칭]]),"-")</f>
        <v>-</v>
      </c>
      <c r="L834" s="38">
        <f>IFERROR(COUNTIF([1]Village!$BR:$BR,표1[[#This Row],[명칭]]),"-")</f>
        <v>0</v>
      </c>
      <c r="M834" s="38">
        <f>COUNTIF(퀘스트!B:B,표1[[#This Row],[명칭]])</f>
        <v>0</v>
      </c>
      <c r="N834" s="65">
        <f>COUNTIF([1]VillageDiscoveryGroup!$C:$C,표1[[#This Row],[명칭]])</f>
        <v>1</v>
      </c>
      <c r="O834" s="65">
        <f>SUM(표1[[#This Row],[해양탐색]:[마을탐험]])</f>
        <v>1</v>
      </c>
    </row>
    <row r="835" spans="2:15" ht="13.5" customHeight="1" x14ac:dyDescent="0.3">
      <c r="B835" s="9">
        <f>[1]Discovery!A841</f>
        <v>70407081</v>
      </c>
      <c r="C835" s="9" t="str">
        <f>[1]Discovery!B841</f>
        <v>카라칼</v>
      </c>
      <c r="D835" s="9" t="str">
        <f>[1]Discovery!E841</f>
        <v>동물</v>
      </c>
      <c r="E835" s="9" t="str">
        <f>[1]Discovery!C841</f>
        <v>포유류</v>
      </c>
      <c r="F835" s="9" t="str">
        <f>[1]Discovery!G841</f>
        <v>B</v>
      </c>
      <c r="G835" s="9" t="str">
        <f>IFERROR(VLOOKUP(표1[[#This Row],[명칭]],'문화권 정리'!C:D,2,FALSE),"-")</f>
        <v>서남아시아</v>
      </c>
      <c r="H835" s="38" t="str">
        <f>IFERROR(COUNTIF([2]OceanDoodad!$Y:$Y,표1[[#This Row],[명칭]]),"-")</f>
        <v>-</v>
      </c>
      <c r="I835" s="38">
        <f>IFERROR(COUNTIF([1]AdventureDiscoveryGroup!$D$8:$AW$92,표1[[#This Row],[명칭]]),"-")</f>
        <v>1</v>
      </c>
      <c r="J835" s="38">
        <f>IFERROR(COUNTIF([1]FishDiscoveryGroup!$A:$X,표1[[#This Row],[명칭]]),"-")</f>
        <v>0</v>
      </c>
      <c r="K835" s="38" t="str">
        <f>IFERROR(COUNTIF([2]Town!$B:$B,표1[[#This Row],[명칭]]),"-")</f>
        <v>-</v>
      </c>
      <c r="L835" s="38">
        <f>IFERROR(COUNTIF([1]Village!$BR:$BR,표1[[#This Row],[명칭]]),"-")</f>
        <v>0</v>
      </c>
      <c r="M835" s="38">
        <f>COUNTIF(퀘스트!B:B,표1[[#This Row],[명칭]])</f>
        <v>0</v>
      </c>
      <c r="N835" s="65">
        <f>COUNTIF([1]VillageDiscoveryGroup!$C:$C,표1[[#This Row],[명칭]])</f>
        <v>0</v>
      </c>
      <c r="O835" s="65">
        <f>SUM(표1[[#This Row],[해양탐색]:[마을탐험]])</f>
        <v>1</v>
      </c>
    </row>
    <row r="836" spans="2:15" ht="13.5" customHeight="1" x14ac:dyDescent="0.3">
      <c r="B836" s="9">
        <f>[1]Discovery!A842</f>
        <v>70407082</v>
      </c>
      <c r="C836" s="9" t="str">
        <f>[1]Discovery!B842</f>
        <v>카피바라</v>
      </c>
      <c r="D836" s="9" t="str">
        <f>[1]Discovery!E842</f>
        <v>동물</v>
      </c>
      <c r="E836" s="9" t="str">
        <f>[1]Discovery!C842</f>
        <v>포유류</v>
      </c>
      <c r="F836" s="9" t="str">
        <f>[1]Discovery!G842</f>
        <v>B</v>
      </c>
      <c r="G836" s="9" t="str">
        <f>IFERROR(VLOOKUP(표1[[#This Row],[명칭]],'문화권 정리'!C:D,2,FALSE),"-")</f>
        <v>남아메리카</v>
      </c>
      <c r="H836" s="38" t="str">
        <f>IFERROR(COUNTIF([2]OceanDoodad!$Y:$Y,표1[[#This Row],[명칭]]),"-")</f>
        <v>-</v>
      </c>
      <c r="I836" s="38">
        <f>IFERROR(COUNTIF([1]AdventureDiscoveryGroup!$D$8:$AW$92,표1[[#This Row],[명칭]]),"-")</f>
        <v>0</v>
      </c>
      <c r="J836" s="38">
        <f>IFERROR(COUNTIF([1]FishDiscoveryGroup!$A:$X,표1[[#This Row],[명칭]]),"-")</f>
        <v>0</v>
      </c>
      <c r="K836" s="38" t="str">
        <f>IFERROR(COUNTIF([2]Town!$B:$B,표1[[#This Row],[명칭]]),"-")</f>
        <v>-</v>
      </c>
      <c r="L836" s="38">
        <f>IFERROR(COUNTIF([1]Village!$BR:$BR,표1[[#This Row],[명칭]]),"-")</f>
        <v>0</v>
      </c>
      <c r="M836" s="38">
        <f>COUNTIF(퀘스트!B:B,표1[[#This Row],[명칭]])</f>
        <v>0</v>
      </c>
      <c r="N836" s="65">
        <f>COUNTIF([1]VillageDiscoveryGroup!$C:$C,표1[[#This Row],[명칭]])</f>
        <v>1</v>
      </c>
      <c r="O836" s="65">
        <f>SUM(표1[[#This Row],[해양탐색]:[마을탐험]])</f>
        <v>1</v>
      </c>
    </row>
    <row r="837" spans="2:15" ht="13.5" customHeight="1" x14ac:dyDescent="0.3">
      <c r="B837" s="9">
        <f>[1]Discovery!A843</f>
        <v>70407083</v>
      </c>
      <c r="C837" s="9" t="str">
        <f>[1]Discovery!B843</f>
        <v>캥거루</v>
      </c>
      <c r="D837" s="9" t="str">
        <f>[1]Discovery!E843</f>
        <v>동물</v>
      </c>
      <c r="E837" s="9" t="str">
        <f>[1]Discovery!C843</f>
        <v>포유류</v>
      </c>
      <c r="F837" s="9" t="str">
        <f>[1]Discovery!G843</f>
        <v>A</v>
      </c>
      <c r="G837" s="9" t="str">
        <f>IFERROR(VLOOKUP(표1[[#This Row],[명칭]],'문화권 정리'!C:D,2,FALSE),"-")</f>
        <v>오세아니아</v>
      </c>
      <c r="H837" s="38" t="str">
        <f>IFERROR(COUNTIF([2]OceanDoodad!$Y:$Y,표1[[#This Row],[명칭]]),"-")</f>
        <v>-</v>
      </c>
      <c r="I837" s="38">
        <f>IFERROR(COUNTIF([1]AdventureDiscoveryGroup!$D$8:$AW$92,표1[[#This Row],[명칭]]),"-")</f>
        <v>1</v>
      </c>
      <c r="J837" s="38">
        <f>IFERROR(COUNTIF([1]FishDiscoveryGroup!$A:$X,표1[[#This Row],[명칭]]),"-")</f>
        <v>0</v>
      </c>
      <c r="K837" s="38" t="str">
        <f>IFERROR(COUNTIF([2]Town!$B:$B,표1[[#This Row],[명칭]]),"-")</f>
        <v>-</v>
      </c>
      <c r="L837" s="38">
        <f>IFERROR(COUNTIF([1]Village!$BR:$BR,표1[[#This Row],[명칭]]),"-")</f>
        <v>0</v>
      </c>
      <c r="M837" s="38">
        <f>COUNTIF(퀘스트!B:B,표1[[#This Row],[명칭]])</f>
        <v>0</v>
      </c>
      <c r="N837" s="65">
        <f>COUNTIF([1]VillageDiscoveryGroup!$C:$C,표1[[#This Row],[명칭]])</f>
        <v>0</v>
      </c>
      <c r="O837" s="65">
        <f>SUM(표1[[#This Row],[해양탐색]:[마을탐험]])</f>
        <v>1</v>
      </c>
    </row>
    <row r="838" spans="2:15" ht="13.5" customHeight="1" x14ac:dyDescent="0.3">
      <c r="B838" s="9">
        <f>[1]Discovery!A844</f>
        <v>70407084</v>
      </c>
      <c r="C838" s="9" t="str">
        <f>[1]Discovery!B844</f>
        <v>코알라</v>
      </c>
      <c r="D838" s="9" t="str">
        <f>[1]Discovery!E844</f>
        <v>동물</v>
      </c>
      <c r="E838" s="9" t="str">
        <f>[1]Discovery!C844</f>
        <v>포유류</v>
      </c>
      <c r="F838" s="9" t="str">
        <f>[1]Discovery!G844</f>
        <v>B</v>
      </c>
      <c r="G838" s="9" t="str">
        <f>IFERROR(VLOOKUP(표1[[#This Row],[명칭]],'문화권 정리'!C:D,2,FALSE),"-")</f>
        <v>오세아니아</v>
      </c>
      <c r="H838" s="38" t="str">
        <f>IFERROR(COUNTIF([2]OceanDoodad!$Y:$Y,표1[[#This Row],[명칭]]),"-")</f>
        <v>-</v>
      </c>
      <c r="I838" s="38">
        <f>IFERROR(COUNTIF([1]AdventureDiscoveryGroup!$D$8:$AW$92,표1[[#This Row],[명칭]]),"-")</f>
        <v>1</v>
      </c>
      <c r="J838" s="38">
        <f>IFERROR(COUNTIF([1]FishDiscoveryGroup!$A:$X,표1[[#This Row],[명칭]]),"-")</f>
        <v>0</v>
      </c>
      <c r="K838" s="38" t="str">
        <f>IFERROR(COUNTIF([2]Town!$B:$B,표1[[#This Row],[명칭]]),"-")</f>
        <v>-</v>
      </c>
      <c r="L838" s="38">
        <f>IFERROR(COUNTIF([1]Village!$BR:$BR,표1[[#This Row],[명칭]]),"-")</f>
        <v>0</v>
      </c>
      <c r="M838" s="38">
        <f>COUNTIF(퀘스트!B:B,표1[[#This Row],[명칭]])</f>
        <v>0</v>
      </c>
      <c r="N838" s="65">
        <f>COUNTIF([1]VillageDiscoveryGroup!$C:$C,표1[[#This Row],[명칭]])</f>
        <v>0</v>
      </c>
      <c r="O838" s="65">
        <f>SUM(표1[[#This Row],[해양탐색]:[마을탐험]])</f>
        <v>1</v>
      </c>
    </row>
    <row r="839" spans="2:15" ht="13.5" customHeight="1" x14ac:dyDescent="0.3">
      <c r="B839" s="9">
        <f>[1]Discovery!A845</f>
        <v>70407085</v>
      </c>
      <c r="C839" s="9" t="str">
        <f>[1]Discovery!B845</f>
        <v>코요테</v>
      </c>
      <c r="D839" s="9" t="str">
        <f>[1]Discovery!E845</f>
        <v>동물</v>
      </c>
      <c r="E839" s="9" t="str">
        <f>[1]Discovery!C845</f>
        <v>포유류</v>
      </c>
      <c r="F839" s="9" t="str">
        <f>[1]Discovery!G845</f>
        <v>B</v>
      </c>
      <c r="G839" s="9" t="str">
        <f>IFERROR(VLOOKUP(표1[[#This Row],[명칭]],'문화권 정리'!C:D,2,FALSE),"-")</f>
        <v>북아메리카</v>
      </c>
      <c r="H839" s="38" t="str">
        <f>IFERROR(COUNTIF([2]OceanDoodad!$Y:$Y,표1[[#This Row],[명칭]]),"-")</f>
        <v>-</v>
      </c>
      <c r="I839" s="38">
        <f>IFERROR(COUNTIF([1]AdventureDiscoveryGroup!$D$8:$AW$92,표1[[#This Row],[명칭]]),"-")</f>
        <v>1</v>
      </c>
      <c r="J839" s="38">
        <f>IFERROR(COUNTIF([1]FishDiscoveryGroup!$A:$X,표1[[#This Row],[명칭]]),"-")</f>
        <v>0</v>
      </c>
      <c r="K839" s="38" t="str">
        <f>IFERROR(COUNTIF([2]Town!$B:$B,표1[[#This Row],[명칭]]),"-")</f>
        <v>-</v>
      </c>
      <c r="L839" s="38">
        <f>IFERROR(COUNTIF([1]Village!$BR:$BR,표1[[#This Row],[명칭]]),"-")</f>
        <v>0</v>
      </c>
      <c r="M839" s="38">
        <f>COUNTIF(퀘스트!B:B,표1[[#This Row],[명칭]])</f>
        <v>0</v>
      </c>
      <c r="N839" s="65">
        <f>COUNTIF([1]VillageDiscoveryGroup!$C:$C,표1[[#This Row],[명칭]])</f>
        <v>0</v>
      </c>
      <c r="O839" s="65">
        <f>SUM(표1[[#This Row],[해양탐색]:[마을탐험]])</f>
        <v>1</v>
      </c>
    </row>
    <row r="840" spans="2:15" ht="13.5" customHeight="1" x14ac:dyDescent="0.3">
      <c r="B840" s="9">
        <f>[1]Discovery!A846</f>
        <v>70407086</v>
      </c>
      <c r="C840" s="9" t="str">
        <f>[1]Discovery!B846</f>
        <v>코주부원숭이</v>
      </c>
      <c r="D840" s="9" t="str">
        <f>[1]Discovery!E846</f>
        <v>동물</v>
      </c>
      <c r="E840" s="9" t="str">
        <f>[1]Discovery!C846</f>
        <v>포유류</v>
      </c>
      <c r="F840" s="9" t="str">
        <f>[1]Discovery!G846</f>
        <v>D</v>
      </c>
      <c r="G840" s="9" t="str">
        <f>IFERROR(VLOOKUP(표1[[#This Row],[명칭]],'문화권 정리'!C:D,2,FALSE),"-")</f>
        <v>동남아시아</v>
      </c>
      <c r="H840" s="38" t="str">
        <f>IFERROR(COUNTIF([2]OceanDoodad!$Y:$Y,표1[[#This Row],[명칭]]),"-")</f>
        <v>-</v>
      </c>
      <c r="I840" s="38">
        <f>IFERROR(COUNTIF([1]AdventureDiscoveryGroup!$D$8:$AW$92,표1[[#This Row],[명칭]]),"-")</f>
        <v>1</v>
      </c>
      <c r="J840" s="38">
        <f>IFERROR(COUNTIF([1]FishDiscoveryGroup!$A:$X,표1[[#This Row],[명칭]]),"-")</f>
        <v>0</v>
      </c>
      <c r="K840" s="38" t="str">
        <f>IFERROR(COUNTIF([2]Town!$B:$B,표1[[#This Row],[명칭]]),"-")</f>
        <v>-</v>
      </c>
      <c r="L840" s="38">
        <f>IFERROR(COUNTIF([1]Village!$BR:$BR,표1[[#This Row],[명칭]]),"-")</f>
        <v>0</v>
      </c>
      <c r="M840" s="38">
        <f>COUNTIF(퀘스트!B:B,표1[[#This Row],[명칭]])</f>
        <v>0</v>
      </c>
      <c r="N840" s="65">
        <f>COUNTIF([1]VillageDiscoveryGroup!$C:$C,표1[[#This Row],[명칭]])</f>
        <v>0</v>
      </c>
      <c r="O840" s="65">
        <f>SUM(표1[[#This Row],[해양탐색]:[마을탐험]])</f>
        <v>1</v>
      </c>
    </row>
    <row r="841" spans="2:15" ht="13.5" customHeight="1" x14ac:dyDescent="0.3">
      <c r="B841" s="9">
        <f>[1]Discovery!A847</f>
        <v>70407087</v>
      </c>
      <c r="C841" s="9" t="str">
        <f>[1]Discovery!B847</f>
        <v>큰갑옷도마뱀</v>
      </c>
      <c r="D841" s="9" t="str">
        <f>[1]Discovery!E847</f>
        <v>동물</v>
      </c>
      <c r="E841" s="9" t="str">
        <f>[1]Discovery!C847</f>
        <v>파충류</v>
      </c>
      <c r="F841" s="9" t="str">
        <f>[1]Discovery!G847</f>
        <v>A</v>
      </c>
      <c r="G841" s="9" t="str">
        <f>IFERROR(VLOOKUP(표1[[#This Row],[명칭]],'문화권 정리'!C:D,2,FALSE),"-")</f>
        <v>남아프리카</v>
      </c>
      <c r="H841" s="38" t="str">
        <f>IFERROR(COUNTIF([2]OceanDoodad!$Y:$Y,표1[[#This Row],[명칭]]),"-")</f>
        <v>-</v>
      </c>
      <c r="I841" s="38">
        <f>IFERROR(COUNTIF([1]AdventureDiscoveryGroup!$D$8:$AW$92,표1[[#This Row],[명칭]]),"-")</f>
        <v>0</v>
      </c>
      <c r="J841" s="38">
        <f>IFERROR(COUNTIF([1]FishDiscoveryGroup!$A:$X,표1[[#This Row],[명칭]]),"-")</f>
        <v>0</v>
      </c>
      <c r="K841" s="38" t="str">
        <f>IFERROR(COUNTIF([2]Town!$B:$B,표1[[#This Row],[명칭]]),"-")</f>
        <v>-</v>
      </c>
      <c r="L841" s="38">
        <f>IFERROR(COUNTIF([1]Village!$BR:$BR,표1[[#This Row],[명칭]]),"-")</f>
        <v>0</v>
      </c>
      <c r="M841" s="38">
        <f>COUNTIF(퀘스트!B:B,표1[[#This Row],[명칭]])</f>
        <v>0</v>
      </c>
      <c r="N841" s="65">
        <f>COUNTIF([1]VillageDiscoveryGroup!$C:$C,표1[[#This Row],[명칭]])</f>
        <v>1</v>
      </c>
      <c r="O841" s="65">
        <f>SUM(표1[[#This Row],[해양탐색]:[마을탐험]])</f>
        <v>1</v>
      </c>
    </row>
    <row r="842" spans="2:15" ht="13.5" customHeight="1" x14ac:dyDescent="0.3">
      <c r="B842" s="9">
        <f>[1]Discovery!A848</f>
        <v>70407088</v>
      </c>
      <c r="C842" s="9" t="str">
        <f>[1]Discovery!B848</f>
        <v>큰수달</v>
      </c>
      <c r="D842" s="9" t="str">
        <f>[1]Discovery!E848</f>
        <v>동물</v>
      </c>
      <c r="E842" s="9" t="str">
        <f>[1]Discovery!C848</f>
        <v>포유류</v>
      </c>
      <c r="F842" s="9" t="str">
        <f>[1]Discovery!G848</f>
        <v>C</v>
      </c>
      <c r="G842" s="9" t="str">
        <f>IFERROR(VLOOKUP(표1[[#This Row],[명칭]],'문화권 정리'!C:D,2,FALSE),"-")</f>
        <v>남아메리카</v>
      </c>
      <c r="H842" s="38" t="str">
        <f>IFERROR(COUNTIF([2]OceanDoodad!$Y:$Y,표1[[#This Row],[명칭]]),"-")</f>
        <v>-</v>
      </c>
      <c r="I842" s="38">
        <f>IFERROR(COUNTIF([1]AdventureDiscoveryGroup!$D$8:$AW$92,표1[[#This Row],[명칭]]),"-")</f>
        <v>1</v>
      </c>
      <c r="J842" s="38">
        <f>IFERROR(COUNTIF([1]FishDiscoveryGroup!$A:$X,표1[[#This Row],[명칭]]),"-")</f>
        <v>0</v>
      </c>
      <c r="K842" s="38" t="str">
        <f>IFERROR(COUNTIF([2]Town!$B:$B,표1[[#This Row],[명칭]]),"-")</f>
        <v>-</v>
      </c>
      <c r="L842" s="38">
        <f>IFERROR(COUNTIF([1]Village!$BR:$BR,표1[[#This Row],[명칭]]),"-")</f>
        <v>0</v>
      </c>
      <c r="M842" s="38">
        <f>COUNTIF(퀘스트!B:B,표1[[#This Row],[명칭]])</f>
        <v>0</v>
      </c>
      <c r="N842" s="65">
        <f>COUNTIF([1]VillageDiscoveryGroup!$C:$C,표1[[#This Row],[명칭]])</f>
        <v>0</v>
      </c>
      <c r="O842" s="65">
        <f>SUM(표1[[#This Row],[해양탐색]:[마을탐험]])</f>
        <v>1</v>
      </c>
    </row>
    <row r="843" spans="2:15" ht="13.5" customHeight="1" x14ac:dyDescent="0.3">
      <c r="B843" s="9">
        <f>[1]Discovery!A849</f>
        <v>70407089</v>
      </c>
      <c r="C843" s="9" t="str">
        <f>[1]Discovery!B849</f>
        <v>태즈메이니아데블</v>
      </c>
      <c r="D843" s="9" t="str">
        <f>[1]Discovery!E849</f>
        <v>동물</v>
      </c>
      <c r="E843" s="9" t="str">
        <f>[1]Discovery!C849</f>
        <v>포유류</v>
      </c>
      <c r="F843" s="9" t="str">
        <f>[1]Discovery!G849</f>
        <v>B</v>
      </c>
      <c r="G843" s="9" t="str">
        <f>IFERROR(VLOOKUP(표1[[#This Row],[명칭]],'문화권 정리'!C:D,2,FALSE),"-")</f>
        <v>오세아니아</v>
      </c>
      <c r="H843" s="38" t="str">
        <f>IFERROR(COUNTIF([2]OceanDoodad!$Y:$Y,표1[[#This Row],[명칭]]),"-")</f>
        <v>-</v>
      </c>
      <c r="I843" s="38">
        <f>IFERROR(COUNTIF([1]AdventureDiscoveryGroup!$D$8:$AW$92,표1[[#This Row],[명칭]]),"-")</f>
        <v>1</v>
      </c>
      <c r="J843" s="38">
        <f>IFERROR(COUNTIF([1]FishDiscoveryGroup!$A:$X,표1[[#This Row],[명칭]]),"-")</f>
        <v>0</v>
      </c>
      <c r="K843" s="38" t="str">
        <f>IFERROR(COUNTIF([2]Town!$B:$B,표1[[#This Row],[명칭]]),"-")</f>
        <v>-</v>
      </c>
      <c r="L843" s="38">
        <f>IFERROR(COUNTIF([1]Village!$BR:$BR,표1[[#This Row],[명칭]]),"-")</f>
        <v>0</v>
      </c>
      <c r="M843" s="38">
        <f>COUNTIF(퀘스트!B:B,표1[[#This Row],[명칭]])</f>
        <v>0</v>
      </c>
      <c r="N843" s="65">
        <f>COUNTIF([1]VillageDiscoveryGroup!$C:$C,표1[[#This Row],[명칭]])</f>
        <v>0</v>
      </c>
      <c r="O843" s="65">
        <f>SUM(표1[[#This Row],[해양탐색]:[마을탐험]])</f>
        <v>1</v>
      </c>
    </row>
    <row r="844" spans="2:15" ht="13.5" customHeight="1" x14ac:dyDescent="0.3">
      <c r="B844" s="9">
        <f>[1]Discovery!A850</f>
        <v>70407090</v>
      </c>
      <c r="C844" s="9" t="str">
        <f>[1]Discovery!B850</f>
        <v>톰슨가젤</v>
      </c>
      <c r="D844" s="9" t="str">
        <f>[1]Discovery!E850</f>
        <v>동물</v>
      </c>
      <c r="E844" s="9" t="str">
        <f>[1]Discovery!C850</f>
        <v>포유류</v>
      </c>
      <c r="F844" s="9" t="str">
        <f>[1]Discovery!G850</f>
        <v>A</v>
      </c>
      <c r="G844" s="9" t="str">
        <f>IFERROR(VLOOKUP(표1[[#This Row],[명칭]],'문화권 정리'!C:D,2,FALSE),"-")</f>
        <v>남아프리카</v>
      </c>
      <c r="H844" s="38" t="str">
        <f>IFERROR(COUNTIF([2]OceanDoodad!$Y:$Y,표1[[#This Row],[명칭]]),"-")</f>
        <v>-</v>
      </c>
      <c r="I844" s="38">
        <f>IFERROR(COUNTIF([1]AdventureDiscoveryGroup!$D$8:$AW$92,표1[[#This Row],[명칭]]),"-")</f>
        <v>0</v>
      </c>
      <c r="J844" s="38">
        <f>IFERROR(COUNTIF([1]FishDiscoveryGroup!$A:$X,표1[[#This Row],[명칭]]),"-")</f>
        <v>0</v>
      </c>
      <c r="K844" s="38" t="str">
        <f>IFERROR(COUNTIF([2]Town!$B:$B,표1[[#This Row],[명칭]]),"-")</f>
        <v>-</v>
      </c>
      <c r="L844" s="38">
        <f>IFERROR(COUNTIF([1]Village!$BR:$BR,표1[[#This Row],[명칭]]),"-")</f>
        <v>0</v>
      </c>
      <c r="M844" s="38">
        <f>COUNTIF(퀘스트!B:B,표1[[#This Row],[명칭]])</f>
        <v>0</v>
      </c>
      <c r="N844" s="65">
        <f>COUNTIF([1]VillageDiscoveryGroup!$C:$C,표1[[#This Row],[명칭]])</f>
        <v>1</v>
      </c>
      <c r="O844" s="65">
        <f>SUM(표1[[#This Row],[해양탐색]:[마을탐험]])</f>
        <v>1</v>
      </c>
    </row>
    <row r="845" spans="2:15" ht="13.5" customHeight="1" x14ac:dyDescent="0.3">
      <c r="B845" s="9">
        <f>[1]Discovery!A851</f>
        <v>70407091</v>
      </c>
      <c r="C845" s="9" t="str">
        <f>[1]Discovery!B851</f>
        <v>파란영양</v>
      </c>
      <c r="D845" s="9" t="str">
        <f>[1]Discovery!E851</f>
        <v>동물</v>
      </c>
      <c r="E845" s="9" t="str">
        <f>[1]Discovery!C851</f>
        <v>포유류</v>
      </c>
      <c r="F845" s="9" t="str">
        <f>[1]Discovery!G851</f>
        <v>A</v>
      </c>
      <c r="G845" s="9" t="str">
        <f>IFERROR(VLOOKUP(표1[[#This Row],[명칭]],'문화권 정리'!C:D,2,FALSE),"-")</f>
        <v>남아프리카</v>
      </c>
      <c r="H845" s="38" t="str">
        <f>IFERROR(COUNTIF([2]OceanDoodad!$Y:$Y,표1[[#This Row],[명칭]]),"-")</f>
        <v>-</v>
      </c>
      <c r="I845" s="38">
        <f>IFERROR(COUNTIF([1]AdventureDiscoveryGroup!$D$8:$AW$92,표1[[#This Row],[명칭]]),"-")</f>
        <v>0</v>
      </c>
      <c r="J845" s="38">
        <f>IFERROR(COUNTIF([1]FishDiscoveryGroup!$A:$X,표1[[#This Row],[명칭]]),"-")</f>
        <v>0</v>
      </c>
      <c r="K845" s="38" t="str">
        <f>IFERROR(COUNTIF([2]Town!$B:$B,표1[[#This Row],[명칭]]),"-")</f>
        <v>-</v>
      </c>
      <c r="L845" s="38">
        <f>IFERROR(COUNTIF([1]Village!$BR:$BR,표1[[#This Row],[명칭]]),"-")</f>
        <v>0</v>
      </c>
      <c r="M845" s="38">
        <f>COUNTIF(퀘스트!B:B,표1[[#This Row],[명칭]])</f>
        <v>0</v>
      </c>
      <c r="N845" s="65">
        <f>COUNTIF([1]VillageDiscoveryGroup!$C:$C,표1[[#This Row],[명칭]])</f>
        <v>0</v>
      </c>
      <c r="O845" s="65">
        <f>SUM(표1[[#This Row],[해양탐색]:[마을탐험]])</f>
        <v>0</v>
      </c>
    </row>
    <row r="846" spans="2:15" ht="13.5" customHeight="1" x14ac:dyDescent="0.3">
      <c r="B846" s="9">
        <f>[1]Discovery!A852</f>
        <v>70407092</v>
      </c>
      <c r="C846" s="9" t="str">
        <f>[1]Discovery!B852</f>
        <v>파르마숲왈라비</v>
      </c>
      <c r="D846" s="9" t="str">
        <f>[1]Discovery!E852</f>
        <v>동물</v>
      </c>
      <c r="E846" s="9" t="str">
        <f>[1]Discovery!C852</f>
        <v>포유류</v>
      </c>
      <c r="F846" s="9" t="str">
        <f>[1]Discovery!G852</f>
        <v>S</v>
      </c>
      <c r="G846" s="9" t="str">
        <f>IFERROR(VLOOKUP(표1[[#This Row],[명칭]],'문화권 정리'!C:D,2,FALSE),"-")</f>
        <v>오세아니아</v>
      </c>
      <c r="H846" s="38" t="str">
        <f>IFERROR(COUNTIF([2]OceanDoodad!$Y:$Y,표1[[#This Row],[명칭]]),"-")</f>
        <v>-</v>
      </c>
      <c r="I846" s="38">
        <f>IFERROR(COUNTIF([1]AdventureDiscoveryGroup!$D$8:$AW$92,표1[[#This Row],[명칭]]),"-")</f>
        <v>0</v>
      </c>
      <c r="J846" s="38">
        <f>IFERROR(COUNTIF([1]FishDiscoveryGroup!$A:$X,표1[[#This Row],[명칭]]),"-")</f>
        <v>0</v>
      </c>
      <c r="K846" s="38" t="str">
        <f>IFERROR(COUNTIF([2]Town!$B:$B,표1[[#This Row],[명칭]]),"-")</f>
        <v>-</v>
      </c>
      <c r="L846" s="38">
        <f>IFERROR(COUNTIF([1]Village!$BR:$BR,표1[[#This Row],[명칭]]),"-")</f>
        <v>0</v>
      </c>
      <c r="M846" s="38">
        <f>COUNTIF(퀘스트!B:B,표1[[#This Row],[명칭]])</f>
        <v>0</v>
      </c>
      <c r="N846" s="65">
        <f>COUNTIF([1]VillageDiscoveryGroup!$C:$C,표1[[#This Row],[명칭]])</f>
        <v>0</v>
      </c>
      <c r="O846" s="65">
        <f>SUM(표1[[#This Row],[해양탐색]:[마을탐험]])</f>
        <v>0</v>
      </c>
    </row>
    <row r="847" spans="2:15" ht="13.5" customHeight="1" x14ac:dyDescent="0.3">
      <c r="B847" s="9">
        <f>[1]Discovery!A853</f>
        <v>70407093</v>
      </c>
      <c r="C847" s="9" t="str">
        <f>[1]Discovery!B853</f>
        <v>파타스원숭이</v>
      </c>
      <c r="D847" s="9" t="str">
        <f>[1]Discovery!E853</f>
        <v>동물</v>
      </c>
      <c r="E847" s="9" t="str">
        <f>[1]Discovery!C853</f>
        <v>포유류</v>
      </c>
      <c r="F847" s="9" t="str">
        <f>[1]Discovery!G853</f>
        <v>D</v>
      </c>
      <c r="G847" s="9" t="str">
        <f>IFERROR(VLOOKUP(표1[[#This Row],[명칭]],'문화권 정리'!C:D,2,FALSE),"-")</f>
        <v>서아프리카</v>
      </c>
      <c r="H847" s="38" t="str">
        <f>IFERROR(COUNTIF([2]OceanDoodad!$Y:$Y,표1[[#This Row],[명칭]]),"-")</f>
        <v>-</v>
      </c>
      <c r="I847" s="38">
        <f>IFERROR(COUNTIF([1]AdventureDiscoveryGroup!$D$8:$AW$92,표1[[#This Row],[명칭]]),"-")</f>
        <v>1</v>
      </c>
      <c r="J847" s="38">
        <f>IFERROR(COUNTIF([1]FishDiscoveryGroup!$A:$X,표1[[#This Row],[명칭]]),"-")</f>
        <v>0</v>
      </c>
      <c r="K847" s="38" t="str">
        <f>IFERROR(COUNTIF([2]Town!$B:$B,표1[[#This Row],[명칭]]),"-")</f>
        <v>-</v>
      </c>
      <c r="L847" s="38">
        <f>IFERROR(COUNTIF([1]Village!$BR:$BR,표1[[#This Row],[명칭]]),"-")</f>
        <v>0</v>
      </c>
      <c r="M847" s="38">
        <f>COUNTIF(퀘스트!B:B,표1[[#This Row],[명칭]])</f>
        <v>0</v>
      </c>
      <c r="N847" s="65">
        <f>COUNTIF([1]VillageDiscoveryGroup!$C:$C,표1[[#This Row],[명칭]])</f>
        <v>0</v>
      </c>
      <c r="O847" s="65">
        <f>SUM(표1[[#This Row],[해양탐색]:[마을탐험]])</f>
        <v>1</v>
      </c>
    </row>
    <row r="848" spans="2:15" ht="13.5" customHeight="1" x14ac:dyDescent="0.3">
      <c r="B848" s="9">
        <f>[1]Discovery!A854</f>
        <v>70407094</v>
      </c>
      <c r="C848" s="9" t="str">
        <f>[1]Discovery!B854</f>
        <v>페넥여우</v>
      </c>
      <c r="D848" s="9" t="str">
        <f>[1]Discovery!E854</f>
        <v>동물</v>
      </c>
      <c r="E848" s="9" t="str">
        <f>[1]Discovery!C854</f>
        <v>포유류</v>
      </c>
      <c r="F848" s="9" t="str">
        <f>[1]Discovery!G854</f>
        <v>B</v>
      </c>
      <c r="G848" s="9" t="str">
        <f>IFERROR(VLOOKUP(표1[[#This Row],[명칭]],'문화권 정리'!C:D,2,FALSE),"-")</f>
        <v>북아프리카</v>
      </c>
      <c r="H848" s="38" t="str">
        <f>IFERROR(COUNTIF([2]OceanDoodad!$Y:$Y,표1[[#This Row],[명칭]]),"-")</f>
        <v>-</v>
      </c>
      <c r="I848" s="38">
        <f>IFERROR(COUNTIF([1]AdventureDiscoveryGroup!$D$8:$AW$92,표1[[#This Row],[명칭]]),"-")</f>
        <v>1</v>
      </c>
      <c r="J848" s="38">
        <f>IFERROR(COUNTIF([1]FishDiscoveryGroup!$A:$X,표1[[#This Row],[명칭]]),"-")</f>
        <v>0</v>
      </c>
      <c r="K848" s="38" t="str">
        <f>IFERROR(COUNTIF([2]Town!$B:$B,표1[[#This Row],[명칭]]),"-")</f>
        <v>-</v>
      </c>
      <c r="L848" s="38">
        <f>IFERROR(COUNTIF([1]Village!$BR:$BR,표1[[#This Row],[명칭]]),"-")</f>
        <v>0</v>
      </c>
      <c r="M848" s="38">
        <f>COUNTIF(퀘스트!B:B,표1[[#This Row],[명칭]])</f>
        <v>0</v>
      </c>
      <c r="N848" s="65">
        <f>COUNTIF([1]VillageDiscoveryGroup!$C:$C,표1[[#This Row],[명칭]])</f>
        <v>0</v>
      </c>
      <c r="O848" s="65">
        <f>SUM(표1[[#This Row],[해양탐색]:[마을탐험]])</f>
        <v>1</v>
      </c>
    </row>
    <row r="849" spans="2:15" ht="13.5" customHeight="1" x14ac:dyDescent="0.3">
      <c r="B849" s="9">
        <f>[1]Discovery!A855</f>
        <v>70407095</v>
      </c>
      <c r="C849" s="9" t="str">
        <f>[1]Discovery!B855</f>
        <v>페커리</v>
      </c>
      <c r="D849" s="9" t="str">
        <f>[1]Discovery!E855</f>
        <v>동물</v>
      </c>
      <c r="E849" s="9" t="str">
        <f>[1]Discovery!C855</f>
        <v>포유류</v>
      </c>
      <c r="F849" s="9" t="str">
        <f>[1]Discovery!G855</f>
        <v>B</v>
      </c>
      <c r="G849" s="9" t="str">
        <f>IFERROR(VLOOKUP(표1[[#This Row],[명칭]],'문화권 정리'!C:D,2,FALSE),"-")</f>
        <v>중앙아메리카</v>
      </c>
      <c r="H849" s="38" t="str">
        <f>IFERROR(COUNTIF([2]OceanDoodad!$Y:$Y,표1[[#This Row],[명칭]]),"-")</f>
        <v>-</v>
      </c>
      <c r="I849" s="38">
        <f>IFERROR(COUNTIF([1]AdventureDiscoveryGroup!$D$8:$AW$92,표1[[#This Row],[명칭]]),"-")</f>
        <v>0</v>
      </c>
      <c r="J849" s="38">
        <f>IFERROR(COUNTIF([1]FishDiscoveryGroup!$A:$X,표1[[#This Row],[명칭]]),"-")</f>
        <v>0</v>
      </c>
      <c r="K849" s="38" t="str">
        <f>IFERROR(COUNTIF([2]Town!$B:$B,표1[[#This Row],[명칭]]),"-")</f>
        <v>-</v>
      </c>
      <c r="L849" s="38">
        <f>IFERROR(COUNTIF([1]Village!$BR:$BR,표1[[#This Row],[명칭]]),"-")</f>
        <v>0</v>
      </c>
      <c r="M849" s="38">
        <f>COUNTIF(퀘스트!B:B,표1[[#This Row],[명칭]])</f>
        <v>0</v>
      </c>
      <c r="N849" s="65">
        <f>COUNTIF([1]VillageDiscoveryGroup!$C:$C,표1[[#This Row],[명칭]])</f>
        <v>1</v>
      </c>
      <c r="O849" s="65">
        <f>SUM(표1[[#This Row],[해양탐색]:[마을탐험]])</f>
        <v>1</v>
      </c>
    </row>
    <row r="850" spans="2:15" ht="13.5" customHeight="1" x14ac:dyDescent="0.3">
      <c r="B850" s="9">
        <f>[1]Discovery!A856</f>
        <v>70407096</v>
      </c>
      <c r="C850" s="9" t="str">
        <f>[1]Discovery!B856</f>
        <v>포사</v>
      </c>
      <c r="D850" s="9" t="str">
        <f>[1]Discovery!E856</f>
        <v>동물</v>
      </c>
      <c r="E850" s="9" t="str">
        <f>[1]Discovery!C856</f>
        <v>포유류</v>
      </c>
      <c r="F850" s="9" t="str">
        <f>[1]Discovery!G856</f>
        <v>A</v>
      </c>
      <c r="G850" s="9" t="str">
        <f>IFERROR(VLOOKUP(표1[[#This Row],[명칭]],'문화권 정리'!C:D,2,FALSE),"-")</f>
        <v>동아프리카</v>
      </c>
      <c r="H850" s="38" t="str">
        <f>IFERROR(COUNTIF([2]OceanDoodad!$Y:$Y,표1[[#This Row],[명칭]]),"-")</f>
        <v>-</v>
      </c>
      <c r="I850" s="38">
        <f>IFERROR(COUNTIF([1]AdventureDiscoveryGroup!$D$8:$AW$92,표1[[#This Row],[명칭]]),"-")</f>
        <v>0</v>
      </c>
      <c r="J850" s="38">
        <f>IFERROR(COUNTIF([1]FishDiscoveryGroup!$A:$X,표1[[#This Row],[명칭]]),"-")</f>
        <v>0</v>
      </c>
      <c r="K850" s="38" t="str">
        <f>IFERROR(COUNTIF([2]Town!$B:$B,표1[[#This Row],[명칭]]),"-")</f>
        <v>-</v>
      </c>
      <c r="L850" s="38">
        <f>IFERROR(COUNTIF([1]Village!$BR:$BR,표1[[#This Row],[명칭]]),"-")</f>
        <v>0</v>
      </c>
      <c r="M850" s="38">
        <f>COUNTIF(퀘스트!B:B,표1[[#This Row],[명칭]])</f>
        <v>0</v>
      </c>
      <c r="N850" s="65">
        <f>COUNTIF([1]VillageDiscoveryGroup!$C:$C,표1[[#This Row],[명칭]])</f>
        <v>0</v>
      </c>
      <c r="O850" s="65">
        <f>SUM(표1[[#This Row],[해양탐색]:[마을탐험]])</f>
        <v>0</v>
      </c>
    </row>
    <row r="851" spans="2:15" ht="13.5" customHeight="1" x14ac:dyDescent="0.3">
      <c r="B851" s="9">
        <f>[1]Discovery!A857</f>
        <v>70407097</v>
      </c>
      <c r="C851" s="9" t="str">
        <f>[1]Discovery!B857</f>
        <v>핑크이구아나</v>
      </c>
      <c r="D851" s="9" t="str">
        <f>[1]Discovery!E857</f>
        <v>동물</v>
      </c>
      <c r="E851" s="9" t="str">
        <f>[1]Discovery!C857</f>
        <v>파충류</v>
      </c>
      <c r="F851" s="9" t="str">
        <f>[1]Discovery!G857</f>
        <v>S</v>
      </c>
      <c r="G851" s="9" t="str">
        <f>IFERROR(VLOOKUP(표1[[#This Row],[명칭]],'문화권 정리'!C:D,2,FALSE),"-")</f>
        <v>남아메리카</v>
      </c>
      <c r="H851" s="38" t="str">
        <f>IFERROR(COUNTIF([2]OceanDoodad!$Y:$Y,표1[[#This Row],[명칭]]),"-")</f>
        <v>-</v>
      </c>
      <c r="I851" s="38">
        <f>IFERROR(COUNTIF([1]AdventureDiscoveryGroup!$D$8:$AW$92,표1[[#This Row],[명칭]]),"-")</f>
        <v>1</v>
      </c>
      <c r="J851" s="38">
        <f>IFERROR(COUNTIF([1]FishDiscoveryGroup!$A:$X,표1[[#This Row],[명칭]]),"-")</f>
        <v>0</v>
      </c>
      <c r="K851" s="38" t="str">
        <f>IFERROR(COUNTIF([2]Town!$B:$B,표1[[#This Row],[명칭]]),"-")</f>
        <v>-</v>
      </c>
      <c r="L851" s="38">
        <f>IFERROR(COUNTIF([1]Village!$BR:$BR,표1[[#This Row],[명칭]]),"-")</f>
        <v>0</v>
      </c>
      <c r="M851" s="38">
        <f>COUNTIF(퀘스트!B:B,표1[[#This Row],[명칭]])</f>
        <v>0</v>
      </c>
      <c r="N851" s="65">
        <f>COUNTIF([1]VillageDiscoveryGroup!$C:$C,표1[[#This Row],[명칭]])</f>
        <v>0</v>
      </c>
      <c r="O851" s="65">
        <f>SUM(표1[[#This Row],[해양탐색]:[마을탐험]])</f>
        <v>1</v>
      </c>
    </row>
    <row r="852" spans="2:15" ht="13.5" customHeight="1" x14ac:dyDescent="0.3">
      <c r="B852" s="9">
        <f>[1]Discovery!A858</f>
        <v>70407098</v>
      </c>
      <c r="C852" s="9" t="str">
        <f>[1]Discovery!B858</f>
        <v>하이에나</v>
      </c>
      <c r="D852" s="9" t="str">
        <f>[1]Discovery!E858</f>
        <v>동물</v>
      </c>
      <c r="E852" s="9" t="str">
        <f>[1]Discovery!C858</f>
        <v>포유류</v>
      </c>
      <c r="F852" s="9" t="str">
        <f>[1]Discovery!G858</f>
        <v>C</v>
      </c>
      <c r="G852" s="9" t="str">
        <f>IFERROR(VLOOKUP(표1[[#This Row],[명칭]],'문화권 정리'!C:D,2,FALSE),"-")</f>
        <v>남아프리카</v>
      </c>
      <c r="H852" s="38" t="str">
        <f>IFERROR(COUNTIF([2]OceanDoodad!$Y:$Y,표1[[#This Row],[명칭]]),"-")</f>
        <v>-</v>
      </c>
      <c r="I852" s="38">
        <f>IFERROR(COUNTIF([1]AdventureDiscoveryGroup!$D$8:$AW$92,표1[[#This Row],[명칭]]),"-")</f>
        <v>0</v>
      </c>
      <c r="J852" s="38">
        <f>IFERROR(COUNTIF([1]FishDiscoveryGroup!$A:$X,표1[[#This Row],[명칭]]),"-")</f>
        <v>0</v>
      </c>
      <c r="K852" s="38" t="str">
        <f>IFERROR(COUNTIF([2]Town!$B:$B,표1[[#This Row],[명칭]]),"-")</f>
        <v>-</v>
      </c>
      <c r="L852" s="38">
        <f>IFERROR(COUNTIF([1]Village!$BR:$BR,표1[[#This Row],[명칭]]),"-")</f>
        <v>0</v>
      </c>
      <c r="M852" s="38">
        <f>COUNTIF(퀘스트!B:B,표1[[#This Row],[명칭]])</f>
        <v>1</v>
      </c>
      <c r="N852" s="65">
        <f>COUNTIF([1]VillageDiscoveryGroup!$C:$C,표1[[#This Row],[명칭]])</f>
        <v>0</v>
      </c>
      <c r="O852" s="65">
        <f>SUM(표1[[#This Row],[해양탐색]:[마을탐험]])</f>
        <v>1</v>
      </c>
    </row>
    <row r="853" spans="2:15" ht="13.5" customHeight="1" x14ac:dyDescent="0.3">
      <c r="B853" s="9">
        <f>[1]Discovery!A859</f>
        <v>70407099</v>
      </c>
      <c r="C853" s="9" t="str">
        <f>[1]Discovery!B859</f>
        <v>햇살비단구렁이</v>
      </c>
      <c r="D853" s="9" t="str">
        <f>[1]Discovery!E859</f>
        <v>동물</v>
      </c>
      <c r="E853" s="9" t="str">
        <f>[1]Discovery!C859</f>
        <v>파충류</v>
      </c>
      <c r="F853" s="9" t="str">
        <f>[1]Discovery!G859</f>
        <v>C</v>
      </c>
      <c r="G853" s="9" t="str">
        <f>IFERROR(VLOOKUP(표1[[#This Row],[명칭]],'문화권 정리'!C:D,2,FALSE),"-")</f>
        <v>동남아시아</v>
      </c>
      <c r="H853" s="38" t="str">
        <f>IFERROR(COUNTIF([2]OceanDoodad!$Y:$Y,표1[[#This Row],[명칭]]),"-")</f>
        <v>-</v>
      </c>
      <c r="I853" s="38">
        <f>IFERROR(COUNTIF([1]AdventureDiscoveryGroup!$D$8:$AW$92,표1[[#This Row],[명칭]]),"-")</f>
        <v>0</v>
      </c>
      <c r="J853" s="38">
        <f>IFERROR(COUNTIF([1]FishDiscoveryGroup!$A:$X,표1[[#This Row],[명칭]]),"-")</f>
        <v>0</v>
      </c>
      <c r="K853" s="38" t="str">
        <f>IFERROR(COUNTIF([2]Town!$B:$B,표1[[#This Row],[명칭]]),"-")</f>
        <v>-</v>
      </c>
      <c r="L853" s="38">
        <f>IFERROR(COUNTIF([1]Village!$BR:$BR,표1[[#This Row],[명칭]]),"-")</f>
        <v>0</v>
      </c>
      <c r="M853" s="38">
        <f>COUNTIF(퀘스트!B:B,표1[[#This Row],[명칭]])</f>
        <v>0</v>
      </c>
      <c r="N853" s="65">
        <f>COUNTIF([1]VillageDiscoveryGroup!$C:$C,표1[[#This Row],[명칭]])</f>
        <v>1</v>
      </c>
      <c r="O853" s="65">
        <f>SUM(표1[[#This Row],[해양탐색]:[마을탐험]])</f>
        <v>1</v>
      </c>
    </row>
    <row r="854" spans="2:15" ht="13.5" customHeight="1" x14ac:dyDescent="0.3">
      <c r="B854" s="9">
        <f>[1]Discovery!A860</f>
        <v>70407100</v>
      </c>
      <c r="C854" s="9" t="str">
        <f>[1]Discovery!B860</f>
        <v>헤르만육지거북</v>
      </c>
      <c r="D854" s="9" t="str">
        <f>[1]Discovery!E860</f>
        <v>동물</v>
      </c>
      <c r="E854" s="9" t="str">
        <f>[1]Discovery!C860</f>
        <v>파충류</v>
      </c>
      <c r="F854" s="9" t="str">
        <f>[1]Discovery!G860</f>
        <v>C</v>
      </c>
      <c r="G854" s="9" t="str">
        <f>IFERROR(VLOOKUP(표1[[#This Row],[명칭]],'문화권 정리'!C:D,2,FALSE),"-")</f>
        <v>지중해</v>
      </c>
      <c r="H854" s="38" t="str">
        <f>IFERROR(COUNTIF([2]OceanDoodad!$Y:$Y,표1[[#This Row],[명칭]]),"-")</f>
        <v>-</v>
      </c>
      <c r="I854" s="38">
        <f>IFERROR(COUNTIF([1]AdventureDiscoveryGroup!$D$8:$AW$92,표1[[#This Row],[명칭]]),"-")</f>
        <v>1</v>
      </c>
      <c r="J854" s="38">
        <f>IFERROR(COUNTIF([1]FishDiscoveryGroup!$A:$X,표1[[#This Row],[명칭]]),"-")</f>
        <v>0</v>
      </c>
      <c r="K854" s="38" t="str">
        <f>IFERROR(COUNTIF([2]Town!$B:$B,표1[[#This Row],[명칭]]),"-")</f>
        <v>-</v>
      </c>
      <c r="L854" s="38">
        <f>IFERROR(COUNTIF([1]Village!$BR:$BR,표1[[#This Row],[명칭]]),"-")</f>
        <v>0</v>
      </c>
      <c r="M854" s="38">
        <f>COUNTIF(퀘스트!B:B,표1[[#This Row],[명칭]])</f>
        <v>0</v>
      </c>
      <c r="N854" s="65">
        <f>COUNTIF([1]VillageDiscoveryGroup!$C:$C,표1[[#This Row],[명칭]])</f>
        <v>0</v>
      </c>
      <c r="O854" s="65">
        <f>SUM(표1[[#This Row],[해양탐색]:[마을탐험]])</f>
        <v>1</v>
      </c>
    </row>
    <row r="855" spans="2:15" ht="13.5" customHeight="1" x14ac:dyDescent="0.3">
      <c r="B855" s="9">
        <f>[1]Discovery!A861</f>
        <v>70407101</v>
      </c>
      <c r="C855" s="9" t="str">
        <f>[1]Discovery!B861</f>
        <v>호랑이꼬리여우원숭이</v>
      </c>
      <c r="D855" s="9" t="str">
        <f>[1]Discovery!E861</f>
        <v>동물</v>
      </c>
      <c r="E855" s="9" t="str">
        <f>[1]Discovery!C861</f>
        <v>포유류</v>
      </c>
      <c r="F855" s="9" t="str">
        <f>[1]Discovery!G861</f>
        <v>B</v>
      </c>
      <c r="G855" s="9" t="str">
        <f>IFERROR(VLOOKUP(표1[[#This Row],[명칭]],'문화권 정리'!C:D,2,FALSE),"-")</f>
        <v>동아프리카</v>
      </c>
      <c r="H855" s="38" t="str">
        <f>IFERROR(COUNTIF([2]OceanDoodad!$Y:$Y,표1[[#This Row],[명칭]]),"-")</f>
        <v>-</v>
      </c>
      <c r="I855" s="38">
        <f>IFERROR(COUNTIF([1]AdventureDiscoveryGroup!$D$8:$AW$92,표1[[#This Row],[명칭]]),"-")</f>
        <v>1</v>
      </c>
      <c r="J855" s="38">
        <f>IFERROR(COUNTIF([1]FishDiscoveryGroup!$A:$X,표1[[#This Row],[명칭]]),"-")</f>
        <v>0</v>
      </c>
      <c r="K855" s="38" t="str">
        <f>IFERROR(COUNTIF([2]Town!$B:$B,표1[[#This Row],[명칭]]),"-")</f>
        <v>-</v>
      </c>
      <c r="L855" s="38">
        <f>IFERROR(COUNTIF([1]Village!$BR:$BR,표1[[#This Row],[명칭]]),"-")</f>
        <v>0</v>
      </c>
      <c r="M855" s="38">
        <f>COUNTIF(퀘스트!B:B,표1[[#This Row],[명칭]])</f>
        <v>0</v>
      </c>
      <c r="N855" s="65">
        <f>COUNTIF([1]VillageDiscoveryGroup!$C:$C,표1[[#This Row],[명칭]])</f>
        <v>0</v>
      </c>
      <c r="O855" s="65">
        <f>SUM(표1[[#This Row],[해양탐색]:[마을탐험]])</f>
        <v>1</v>
      </c>
    </row>
    <row r="856" spans="2:15" ht="13.5" customHeight="1" x14ac:dyDescent="0.3">
      <c r="B856" s="9">
        <f>[1]Discovery!A862</f>
        <v>70407102</v>
      </c>
      <c r="C856" s="9" t="str">
        <f>[1]Discovery!B862</f>
        <v>호저</v>
      </c>
      <c r="D856" s="9" t="str">
        <f>[1]Discovery!E862</f>
        <v>동물</v>
      </c>
      <c r="E856" s="9" t="str">
        <f>[1]Discovery!C862</f>
        <v>포유류</v>
      </c>
      <c r="F856" s="9" t="str">
        <f>[1]Discovery!G862</f>
        <v>D</v>
      </c>
      <c r="G856" s="9" t="str">
        <f>IFERROR(VLOOKUP(표1[[#This Row],[명칭]],'문화권 정리'!C:D,2,FALSE),"-")</f>
        <v>북아프리카</v>
      </c>
      <c r="H856" s="38" t="str">
        <f>IFERROR(COUNTIF([2]OceanDoodad!$Y:$Y,표1[[#This Row],[명칭]]),"-")</f>
        <v>-</v>
      </c>
      <c r="I856" s="38">
        <f>IFERROR(COUNTIF([1]AdventureDiscoveryGroup!$D$8:$AW$92,표1[[#This Row],[명칭]]),"-")</f>
        <v>1</v>
      </c>
      <c r="J856" s="38">
        <f>IFERROR(COUNTIF([1]FishDiscoveryGroup!$A:$X,표1[[#This Row],[명칭]]),"-")</f>
        <v>0</v>
      </c>
      <c r="K856" s="38" t="str">
        <f>IFERROR(COUNTIF([2]Town!$B:$B,표1[[#This Row],[명칭]]),"-")</f>
        <v>-</v>
      </c>
      <c r="L856" s="38">
        <f>IFERROR(COUNTIF([1]Village!$BR:$BR,표1[[#This Row],[명칭]]),"-")</f>
        <v>0</v>
      </c>
      <c r="M856" s="38">
        <f>COUNTIF(퀘스트!B:B,표1[[#This Row],[명칭]])</f>
        <v>0</v>
      </c>
      <c r="N856" s="65">
        <f>COUNTIF([1]VillageDiscoveryGroup!$C:$C,표1[[#This Row],[명칭]])</f>
        <v>0</v>
      </c>
      <c r="O856" s="65">
        <f>SUM(표1[[#This Row],[해양탐색]:[마을탐험]])</f>
        <v>1</v>
      </c>
    </row>
    <row r="857" spans="2:15" ht="13.5" customHeight="1" x14ac:dyDescent="0.3">
      <c r="B857" s="9">
        <f>[1]Discovery!A863</f>
        <v>70407103</v>
      </c>
      <c r="C857" s="9" t="str">
        <f>[1]Discovery!B863</f>
        <v>혹멧돼지</v>
      </c>
      <c r="D857" s="9" t="str">
        <f>[1]Discovery!E863</f>
        <v>동물</v>
      </c>
      <c r="E857" s="9" t="str">
        <f>[1]Discovery!C863</f>
        <v>포유류</v>
      </c>
      <c r="F857" s="9" t="str">
        <f>[1]Discovery!G863</f>
        <v>C</v>
      </c>
      <c r="G857" s="9" t="str">
        <f>IFERROR(VLOOKUP(표1[[#This Row],[명칭]],'문화권 정리'!C:D,2,FALSE),"-")</f>
        <v>서아프리카</v>
      </c>
      <c r="H857" s="38" t="str">
        <f>IFERROR(COUNTIF([2]OceanDoodad!$Y:$Y,표1[[#This Row],[명칭]]),"-")</f>
        <v>-</v>
      </c>
      <c r="I857" s="38">
        <f>IFERROR(COUNTIF([1]AdventureDiscoveryGroup!$D$8:$AW$92,표1[[#This Row],[명칭]]),"-")</f>
        <v>1</v>
      </c>
      <c r="J857" s="38">
        <f>IFERROR(COUNTIF([1]FishDiscoveryGroup!$A:$X,표1[[#This Row],[명칭]]),"-")</f>
        <v>0</v>
      </c>
      <c r="K857" s="38" t="str">
        <f>IFERROR(COUNTIF([2]Town!$B:$B,표1[[#This Row],[명칭]]),"-")</f>
        <v>-</v>
      </c>
      <c r="L857" s="38">
        <f>IFERROR(COUNTIF([1]Village!$BR:$BR,표1[[#This Row],[명칭]]),"-")</f>
        <v>0</v>
      </c>
      <c r="M857" s="38">
        <f>COUNTIF(퀘스트!B:B,표1[[#This Row],[명칭]])</f>
        <v>0</v>
      </c>
      <c r="N857" s="65">
        <f>COUNTIF([1]VillageDiscoveryGroup!$C:$C,표1[[#This Row],[명칭]])</f>
        <v>0</v>
      </c>
      <c r="O857" s="65">
        <f>SUM(표1[[#This Row],[해양탐색]:[마을탐험]])</f>
        <v>1</v>
      </c>
    </row>
    <row r="858" spans="2:15" ht="13.5" customHeight="1" x14ac:dyDescent="0.3">
      <c r="B858" s="9">
        <f>[1]Discovery!A864</f>
        <v>70407104</v>
      </c>
      <c r="C858" s="9" t="str">
        <f>[1]Discovery!B864</f>
        <v>황금랑구르</v>
      </c>
      <c r="D858" s="9" t="str">
        <f>[1]Discovery!E864</f>
        <v>동물</v>
      </c>
      <c r="E858" s="9" t="str">
        <f>[1]Discovery!C864</f>
        <v>포유류</v>
      </c>
      <c r="F858" s="9" t="str">
        <f>[1]Discovery!G864</f>
        <v>B</v>
      </c>
      <c r="G858" s="9" t="str">
        <f>IFERROR(VLOOKUP(표1[[#This Row],[명칭]],'문화권 정리'!C:D,2,FALSE),"-")</f>
        <v>남아시아</v>
      </c>
      <c r="H858" s="38" t="str">
        <f>IFERROR(COUNTIF([2]OceanDoodad!$Y:$Y,표1[[#This Row],[명칭]]),"-")</f>
        <v>-</v>
      </c>
      <c r="I858" s="38">
        <f>IFERROR(COUNTIF([1]AdventureDiscoveryGroup!$D$8:$AW$92,표1[[#This Row],[명칭]]),"-")</f>
        <v>1</v>
      </c>
      <c r="J858" s="38">
        <f>IFERROR(COUNTIF([1]FishDiscoveryGroup!$A:$X,표1[[#This Row],[명칭]]),"-")</f>
        <v>0</v>
      </c>
      <c r="K858" s="38" t="str">
        <f>IFERROR(COUNTIF([2]Town!$B:$B,표1[[#This Row],[명칭]]),"-")</f>
        <v>-</v>
      </c>
      <c r="L858" s="38">
        <f>IFERROR(COUNTIF([1]Village!$BR:$BR,표1[[#This Row],[명칭]]),"-")</f>
        <v>0</v>
      </c>
      <c r="M858" s="38">
        <f>COUNTIF(퀘스트!B:B,표1[[#This Row],[명칭]])</f>
        <v>0</v>
      </c>
      <c r="N858" s="65">
        <f>COUNTIF([1]VillageDiscoveryGroup!$C:$C,표1[[#This Row],[명칭]])</f>
        <v>0</v>
      </c>
      <c r="O858" s="65">
        <f>SUM(표1[[#This Row],[해양탐색]:[마을탐험]])</f>
        <v>1</v>
      </c>
    </row>
    <row r="859" spans="2:15" ht="13.5" customHeight="1" x14ac:dyDescent="0.3">
      <c r="B859" s="9">
        <f>[1]Discovery!A865</f>
        <v>70407105</v>
      </c>
      <c r="C859" s="9" t="str">
        <f>[1]Discovery!B865</f>
        <v>흑백콜로부스</v>
      </c>
      <c r="D859" s="9" t="str">
        <f>[1]Discovery!E865</f>
        <v>동물</v>
      </c>
      <c r="E859" s="9" t="str">
        <f>[1]Discovery!C865</f>
        <v>포유류</v>
      </c>
      <c r="F859" s="9" t="str">
        <f>[1]Discovery!G865</f>
        <v>D</v>
      </c>
      <c r="G859" s="9" t="str">
        <f>IFERROR(VLOOKUP(표1[[#This Row],[명칭]],'문화권 정리'!C:D,2,FALSE),"-")</f>
        <v>동아프리카</v>
      </c>
      <c r="H859" s="38" t="str">
        <f>IFERROR(COUNTIF([2]OceanDoodad!$Y:$Y,표1[[#This Row],[명칭]]),"-")</f>
        <v>-</v>
      </c>
      <c r="I859" s="38">
        <f>IFERROR(COUNTIF([1]AdventureDiscoveryGroup!$D$8:$AW$92,표1[[#This Row],[명칭]]),"-")</f>
        <v>1</v>
      </c>
      <c r="J859" s="38">
        <f>IFERROR(COUNTIF([1]FishDiscoveryGroup!$A:$X,표1[[#This Row],[명칭]]),"-")</f>
        <v>0</v>
      </c>
      <c r="K859" s="38" t="str">
        <f>IFERROR(COUNTIF([2]Town!$B:$B,표1[[#This Row],[명칭]]),"-")</f>
        <v>-</v>
      </c>
      <c r="L859" s="38">
        <f>IFERROR(COUNTIF([1]Village!$BR:$BR,표1[[#This Row],[명칭]]),"-")</f>
        <v>0</v>
      </c>
      <c r="M859" s="38">
        <f>COUNTIF(퀘스트!B:B,표1[[#This Row],[명칭]])</f>
        <v>0</v>
      </c>
      <c r="N859" s="65">
        <f>COUNTIF([1]VillageDiscoveryGroup!$C:$C,표1[[#This Row],[명칭]])</f>
        <v>0</v>
      </c>
      <c r="O859" s="65">
        <f>SUM(표1[[#This Row],[해양탐색]:[마을탐험]])</f>
        <v>1</v>
      </c>
    </row>
    <row r="860" spans="2:15" ht="13.5" customHeight="1" x14ac:dyDescent="0.3">
      <c r="B860" s="9">
        <f>[1]Discovery!A866</f>
        <v>70408000</v>
      </c>
      <c r="C860" s="9" t="str">
        <f>[1]Discovery!B866</f>
        <v>검정카이만</v>
      </c>
      <c r="D860" s="9" t="str">
        <f>[1]Discovery!E866</f>
        <v>동물</v>
      </c>
      <c r="E860" s="9" t="str">
        <f>[1]Discovery!C866</f>
        <v>파충류</v>
      </c>
      <c r="F860" s="9" t="str">
        <f>[1]Discovery!G866</f>
        <v>B</v>
      </c>
      <c r="G860" s="9" t="str">
        <f>IFERROR(VLOOKUP(표1[[#This Row],[명칭]],'문화권 정리'!C:D,2,FALSE),"-")</f>
        <v>남아메리카</v>
      </c>
      <c r="H860" s="38" t="str">
        <f>IFERROR(COUNTIF([2]OceanDoodad!$Y:$Y,표1[[#This Row],[명칭]]),"-")</f>
        <v>-</v>
      </c>
      <c r="I860" s="38">
        <f>IFERROR(COUNTIF([1]AdventureDiscoveryGroup!$D$8:$AW$92,표1[[#This Row],[명칭]]),"-")</f>
        <v>1</v>
      </c>
      <c r="J860" s="38">
        <f>IFERROR(COUNTIF([1]FishDiscoveryGroup!$A:$X,표1[[#This Row],[명칭]]),"-")</f>
        <v>0</v>
      </c>
      <c r="K860" s="38" t="str">
        <f>IFERROR(COUNTIF([2]Town!$B:$B,표1[[#This Row],[명칭]]),"-")</f>
        <v>-</v>
      </c>
      <c r="L860" s="38">
        <f>IFERROR(COUNTIF([1]Village!$BR:$BR,표1[[#This Row],[명칭]]),"-")</f>
        <v>0</v>
      </c>
      <c r="M860" s="38">
        <f>COUNTIF(퀘스트!B:B,표1[[#This Row],[명칭]])</f>
        <v>0</v>
      </c>
      <c r="N860" s="65">
        <f>COUNTIF([1]VillageDiscoveryGroup!$C:$C,표1[[#This Row],[명칭]])</f>
        <v>0</v>
      </c>
      <c r="O860" s="65">
        <f>SUM(표1[[#This Row],[해양탐색]:[마을탐험]])</f>
        <v>1</v>
      </c>
    </row>
    <row r="861" spans="2:15" ht="13.5" customHeight="1" x14ac:dyDescent="0.3">
      <c r="B861" s="9">
        <f>[1]Discovery!A867</f>
        <v>70408001</v>
      </c>
      <c r="C861" s="9" t="str">
        <f>[1]Discovery!B867</f>
        <v>고릴라</v>
      </c>
      <c r="D861" s="9" t="str">
        <f>[1]Discovery!E867</f>
        <v>동물</v>
      </c>
      <c r="E861" s="9" t="str">
        <f>[1]Discovery!C867</f>
        <v>포유류</v>
      </c>
      <c r="F861" s="9" t="str">
        <f>[1]Discovery!G867</f>
        <v>B</v>
      </c>
      <c r="G861" s="9" t="str">
        <f>IFERROR(VLOOKUP(표1[[#This Row],[명칭]],'문화권 정리'!C:D,2,FALSE),"-")</f>
        <v>서아프리카</v>
      </c>
      <c r="H861" s="38" t="str">
        <f>IFERROR(COUNTIF([2]OceanDoodad!$Y:$Y,표1[[#This Row],[명칭]]),"-")</f>
        <v>-</v>
      </c>
      <c r="I861" s="38">
        <f>IFERROR(COUNTIF([1]AdventureDiscoveryGroup!$D$8:$AW$92,표1[[#This Row],[명칭]]),"-")</f>
        <v>1</v>
      </c>
      <c r="J861" s="38">
        <f>IFERROR(COUNTIF([1]FishDiscoveryGroup!$A:$X,표1[[#This Row],[명칭]]),"-")</f>
        <v>0</v>
      </c>
      <c r="K861" s="38" t="str">
        <f>IFERROR(COUNTIF([2]Town!$B:$B,표1[[#This Row],[명칭]]),"-")</f>
        <v>-</v>
      </c>
      <c r="L861" s="38">
        <f>IFERROR(COUNTIF([1]Village!$BR:$BR,표1[[#This Row],[명칭]]),"-")</f>
        <v>0</v>
      </c>
      <c r="M861" s="38">
        <f>COUNTIF(퀘스트!B:B,표1[[#This Row],[명칭]])</f>
        <v>0</v>
      </c>
      <c r="N861" s="65">
        <f>COUNTIF([1]VillageDiscoveryGroup!$C:$C,표1[[#This Row],[명칭]])</f>
        <v>0</v>
      </c>
      <c r="O861" s="65">
        <f>SUM(표1[[#This Row],[해양탐색]:[마을탐험]])</f>
        <v>1</v>
      </c>
    </row>
    <row r="862" spans="2:15" ht="13.5" customHeight="1" x14ac:dyDescent="0.3">
      <c r="B862" s="9">
        <f>[1]Discovery!A868</f>
        <v>70408002</v>
      </c>
      <c r="C862" s="9" t="str">
        <f>[1]Discovery!B868</f>
        <v>과나코</v>
      </c>
      <c r="D862" s="9" t="str">
        <f>[1]Discovery!E868</f>
        <v>동물</v>
      </c>
      <c r="E862" s="9" t="str">
        <f>[1]Discovery!C868</f>
        <v>포유류</v>
      </c>
      <c r="F862" s="9" t="str">
        <f>[1]Discovery!G868</f>
        <v>A</v>
      </c>
      <c r="G862" s="9" t="str">
        <f>IFERROR(VLOOKUP(표1[[#This Row],[명칭]],'문화권 정리'!C:D,2,FALSE),"-")</f>
        <v>남아메리카</v>
      </c>
      <c r="H862" s="38" t="str">
        <f>IFERROR(COUNTIF([2]OceanDoodad!$Y:$Y,표1[[#This Row],[명칭]]),"-")</f>
        <v>-</v>
      </c>
      <c r="I862" s="38">
        <f>IFERROR(COUNTIF([1]AdventureDiscoveryGroup!$D$8:$AW$92,표1[[#This Row],[명칭]]),"-")</f>
        <v>0</v>
      </c>
      <c r="J862" s="38">
        <f>IFERROR(COUNTIF([1]FishDiscoveryGroup!$A:$X,표1[[#This Row],[명칭]]),"-")</f>
        <v>0</v>
      </c>
      <c r="K862" s="38" t="str">
        <f>IFERROR(COUNTIF([2]Town!$B:$B,표1[[#This Row],[명칭]]),"-")</f>
        <v>-</v>
      </c>
      <c r="L862" s="38">
        <f>IFERROR(COUNTIF([1]Village!$BR:$BR,표1[[#This Row],[명칭]]),"-")</f>
        <v>0</v>
      </c>
      <c r="M862" s="38">
        <f>COUNTIF(퀘스트!B:B,표1[[#This Row],[명칭]])</f>
        <v>0</v>
      </c>
      <c r="N862" s="65">
        <f>COUNTIF([1]VillageDiscoveryGroup!$C:$C,표1[[#This Row],[명칭]])</f>
        <v>0</v>
      </c>
      <c r="O862" s="65">
        <f>SUM(표1[[#This Row],[해양탐색]:[마을탐험]])</f>
        <v>0</v>
      </c>
    </row>
    <row r="863" spans="2:15" ht="13.5" customHeight="1" x14ac:dyDescent="0.3">
      <c r="B863" s="9">
        <f>[1]Discovery!A869</f>
        <v>70408003</v>
      </c>
      <c r="C863" s="9" t="str">
        <f>[1]Discovery!B869</f>
        <v>기린</v>
      </c>
      <c r="D863" s="9" t="str">
        <f>[1]Discovery!E869</f>
        <v>동물</v>
      </c>
      <c r="E863" s="9" t="str">
        <f>[1]Discovery!C869</f>
        <v>포유류</v>
      </c>
      <c r="F863" s="9" t="str">
        <f>[1]Discovery!G869</f>
        <v>A</v>
      </c>
      <c r="G863" s="9" t="str">
        <f>IFERROR(VLOOKUP(표1[[#This Row],[명칭]],'문화권 정리'!C:D,2,FALSE),"-")</f>
        <v>서아프리카</v>
      </c>
      <c r="H863" s="38" t="str">
        <f>IFERROR(COUNTIF([2]OceanDoodad!$Y:$Y,표1[[#This Row],[명칭]]),"-")</f>
        <v>-</v>
      </c>
      <c r="I863" s="38">
        <f>IFERROR(COUNTIF([1]AdventureDiscoveryGroup!$D$8:$AW$92,표1[[#This Row],[명칭]]),"-")</f>
        <v>0</v>
      </c>
      <c r="J863" s="38">
        <f>IFERROR(COUNTIF([1]FishDiscoveryGroup!$A:$X,표1[[#This Row],[명칭]]),"-")</f>
        <v>0</v>
      </c>
      <c r="K863" s="38" t="str">
        <f>IFERROR(COUNTIF([2]Town!$B:$B,표1[[#This Row],[명칭]]),"-")</f>
        <v>-</v>
      </c>
      <c r="L863" s="38">
        <f>IFERROR(COUNTIF([1]Village!$BR:$BR,표1[[#This Row],[명칭]]),"-")</f>
        <v>0</v>
      </c>
      <c r="M863" s="38">
        <f>COUNTIF(퀘스트!B:B,표1[[#This Row],[명칭]])</f>
        <v>0</v>
      </c>
      <c r="N863" s="65">
        <f>COUNTIF([1]VillageDiscoveryGroup!$C:$C,표1[[#This Row],[명칭]])</f>
        <v>0</v>
      </c>
      <c r="O863" s="65">
        <f>SUM(표1[[#This Row],[해양탐색]:[마을탐험]])</f>
        <v>0</v>
      </c>
    </row>
    <row r="864" spans="2:15" ht="13.5" customHeight="1" x14ac:dyDescent="0.3">
      <c r="B864" s="9">
        <f>[1]Discovery!A870</f>
        <v>70408004</v>
      </c>
      <c r="C864" s="9" t="str">
        <f>[1]Discovery!B870</f>
        <v>나사뿔영양</v>
      </c>
      <c r="D864" s="9" t="str">
        <f>[1]Discovery!E870</f>
        <v>동물</v>
      </c>
      <c r="E864" s="9" t="str">
        <f>[1]Discovery!C870</f>
        <v>포유류</v>
      </c>
      <c r="F864" s="9" t="str">
        <f>[1]Discovery!G870</f>
        <v>C</v>
      </c>
      <c r="G864" s="9" t="str">
        <f>IFERROR(VLOOKUP(표1[[#This Row],[명칭]],'문화권 정리'!C:D,2,FALSE),"-")</f>
        <v>동아프리카</v>
      </c>
      <c r="H864" s="38" t="str">
        <f>IFERROR(COUNTIF([2]OceanDoodad!$Y:$Y,표1[[#This Row],[명칭]]),"-")</f>
        <v>-</v>
      </c>
      <c r="I864" s="38">
        <f>IFERROR(COUNTIF([1]AdventureDiscoveryGroup!$D$8:$AW$92,표1[[#This Row],[명칭]]),"-")</f>
        <v>0</v>
      </c>
      <c r="J864" s="38">
        <f>IFERROR(COUNTIF([1]FishDiscoveryGroup!$A:$X,표1[[#This Row],[명칭]]),"-")</f>
        <v>0</v>
      </c>
      <c r="K864" s="38" t="str">
        <f>IFERROR(COUNTIF([2]Town!$B:$B,표1[[#This Row],[명칭]]),"-")</f>
        <v>-</v>
      </c>
      <c r="L864" s="38">
        <f>IFERROR(COUNTIF([1]Village!$BR:$BR,표1[[#This Row],[명칭]]),"-")</f>
        <v>0</v>
      </c>
      <c r="M864" s="38">
        <f>COUNTIF(퀘스트!B:B,표1[[#This Row],[명칭]])</f>
        <v>0</v>
      </c>
      <c r="N864" s="65">
        <f>COUNTIF([1]VillageDiscoveryGroup!$C:$C,표1[[#This Row],[명칭]])</f>
        <v>1</v>
      </c>
      <c r="O864" s="65">
        <f>SUM(표1[[#This Row],[해양탐색]:[마을탐험]])</f>
        <v>1</v>
      </c>
    </row>
    <row r="865" spans="2:15" ht="13.5" customHeight="1" x14ac:dyDescent="0.3">
      <c r="B865" s="9">
        <f>[1]Discovery!A871</f>
        <v>70408005</v>
      </c>
      <c r="C865" s="9" t="str">
        <f>[1]Discovery!B871</f>
        <v>나일악어</v>
      </c>
      <c r="D865" s="9" t="str">
        <f>[1]Discovery!E871</f>
        <v>동물</v>
      </c>
      <c r="E865" s="9" t="str">
        <f>[1]Discovery!C871</f>
        <v>파충류</v>
      </c>
      <c r="F865" s="9" t="str">
        <f>[1]Discovery!G871</f>
        <v>S</v>
      </c>
      <c r="G865" s="9" t="str">
        <f>IFERROR(VLOOKUP(표1[[#This Row],[명칭]],'문화권 정리'!C:D,2,FALSE),"-")</f>
        <v>북아프리카</v>
      </c>
      <c r="H865" s="38" t="str">
        <f>IFERROR(COUNTIF([2]OceanDoodad!$Y:$Y,표1[[#This Row],[명칭]]),"-")</f>
        <v>-</v>
      </c>
      <c r="I865" s="38">
        <f>IFERROR(COUNTIF([1]AdventureDiscoveryGroup!$D$8:$AW$92,표1[[#This Row],[명칭]]),"-")</f>
        <v>0</v>
      </c>
      <c r="J865" s="38">
        <f>IFERROR(COUNTIF([1]FishDiscoveryGroup!$A:$X,표1[[#This Row],[명칭]]),"-")</f>
        <v>0</v>
      </c>
      <c r="K865" s="38" t="str">
        <f>IFERROR(COUNTIF([2]Town!$B:$B,표1[[#This Row],[명칭]]),"-")</f>
        <v>-</v>
      </c>
      <c r="L865" s="38">
        <f>IFERROR(COUNTIF([1]Village!$BR:$BR,표1[[#This Row],[명칭]]),"-")</f>
        <v>0</v>
      </c>
      <c r="M865" s="38">
        <f>COUNTIF(퀘스트!B:B,표1[[#This Row],[명칭]])</f>
        <v>0</v>
      </c>
      <c r="N865" s="65">
        <f>COUNTIF([1]VillageDiscoveryGroup!$C:$C,표1[[#This Row],[명칭]])</f>
        <v>0</v>
      </c>
      <c r="O865" s="65">
        <f>SUM(표1[[#This Row],[해양탐색]:[마을탐험]])</f>
        <v>0</v>
      </c>
    </row>
    <row r="866" spans="2:15" ht="13.5" customHeight="1" x14ac:dyDescent="0.3">
      <c r="B866" s="9">
        <f>[1]Discovery!A872</f>
        <v>70408006</v>
      </c>
      <c r="C866" s="9" t="str">
        <f>[1]Discovery!B872</f>
        <v>나일왕도마뱀</v>
      </c>
      <c r="D866" s="9" t="str">
        <f>[1]Discovery!E872</f>
        <v>동물</v>
      </c>
      <c r="E866" s="9" t="str">
        <f>[1]Discovery!C872</f>
        <v>파충류</v>
      </c>
      <c r="F866" s="9" t="str">
        <f>[1]Discovery!G872</f>
        <v>A</v>
      </c>
      <c r="G866" s="9" t="str">
        <f>IFERROR(VLOOKUP(표1[[#This Row],[명칭]],'문화권 정리'!C:D,2,FALSE),"-")</f>
        <v>북아프리카</v>
      </c>
      <c r="H866" s="38" t="str">
        <f>IFERROR(COUNTIF([2]OceanDoodad!$Y:$Y,표1[[#This Row],[명칭]]),"-")</f>
        <v>-</v>
      </c>
      <c r="I866" s="38">
        <f>IFERROR(COUNTIF([1]AdventureDiscoveryGroup!$D$8:$AW$92,표1[[#This Row],[명칭]]),"-")</f>
        <v>0</v>
      </c>
      <c r="J866" s="38">
        <f>IFERROR(COUNTIF([1]FishDiscoveryGroup!$A:$X,표1[[#This Row],[명칭]]),"-")</f>
        <v>0</v>
      </c>
      <c r="K866" s="38" t="str">
        <f>IFERROR(COUNTIF([2]Town!$B:$B,표1[[#This Row],[명칭]]),"-")</f>
        <v>-</v>
      </c>
      <c r="L866" s="38">
        <f>IFERROR(COUNTIF([1]Village!$BR:$BR,표1[[#This Row],[명칭]]),"-")</f>
        <v>0</v>
      </c>
      <c r="M866" s="38">
        <f>COUNTIF(퀘스트!B:B,표1[[#This Row],[명칭]])</f>
        <v>0</v>
      </c>
      <c r="N866" s="65">
        <f>COUNTIF([1]VillageDiscoveryGroup!$C:$C,표1[[#This Row],[명칭]])</f>
        <v>1</v>
      </c>
      <c r="O866" s="65">
        <f>SUM(표1[[#This Row],[해양탐색]:[마을탐험]])</f>
        <v>1</v>
      </c>
    </row>
    <row r="867" spans="2:15" ht="13.5" customHeight="1" x14ac:dyDescent="0.3">
      <c r="B867" s="9">
        <f>[1]Discovery!A873</f>
        <v>70408007</v>
      </c>
      <c r="C867" s="9" t="str">
        <f>[1]Discovery!B873</f>
        <v>노새사슴</v>
      </c>
      <c r="D867" s="9" t="str">
        <f>[1]Discovery!E873</f>
        <v>동물</v>
      </c>
      <c r="E867" s="9" t="str">
        <f>[1]Discovery!C873</f>
        <v>포유류</v>
      </c>
      <c r="F867" s="9" t="str">
        <f>[1]Discovery!G873</f>
        <v>D</v>
      </c>
      <c r="G867" s="9" t="str">
        <f>IFERROR(VLOOKUP(표1[[#This Row],[명칭]],'문화권 정리'!C:D,2,FALSE),"-")</f>
        <v>북아메리카</v>
      </c>
      <c r="H867" s="38" t="str">
        <f>IFERROR(COUNTIF([2]OceanDoodad!$Y:$Y,표1[[#This Row],[명칭]]),"-")</f>
        <v>-</v>
      </c>
      <c r="I867" s="38">
        <f>IFERROR(COUNTIF([1]AdventureDiscoveryGroup!$D$8:$AW$92,표1[[#This Row],[명칭]]),"-")</f>
        <v>0</v>
      </c>
      <c r="J867" s="38">
        <f>IFERROR(COUNTIF([1]FishDiscoveryGroup!$A:$X,표1[[#This Row],[명칭]]),"-")</f>
        <v>0</v>
      </c>
      <c r="K867" s="38" t="str">
        <f>IFERROR(COUNTIF([2]Town!$B:$B,표1[[#This Row],[명칭]]),"-")</f>
        <v>-</v>
      </c>
      <c r="L867" s="38">
        <f>IFERROR(COUNTIF([1]Village!$BR:$BR,표1[[#This Row],[명칭]]),"-")</f>
        <v>0</v>
      </c>
      <c r="M867" s="38">
        <f>COUNTIF(퀘스트!B:B,표1[[#This Row],[명칭]])</f>
        <v>0</v>
      </c>
      <c r="N867" s="65">
        <f>COUNTIF([1]VillageDiscoveryGroup!$C:$C,표1[[#This Row],[명칭]])</f>
        <v>1</v>
      </c>
      <c r="O867" s="65">
        <f>SUM(표1[[#This Row],[해양탐색]:[마을탐험]])</f>
        <v>1</v>
      </c>
    </row>
    <row r="868" spans="2:15" ht="13.5" customHeight="1" x14ac:dyDescent="0.3">
      <c r="B868" s="9">
        <f>[1]Discovery!A874</f>
        <v>70408008</v>
      </c>
      <c r="C868" s="9" t="str">
        <f>[1]Discovery!B874</f>
        <v>누</v>
      </c>
      <c r="D868" s="9" t="str">
        <f>[1]Discovery!E874</f>
        <v>동물</v>
      </c>
      <c r="E868" s="9" t="str">
        <f>[1]Discovery!C874</f>
        <v>포유류</v>
      </c>
      <c r="F868" s="9" t="str">
        <f>[1]Discovery!G874</f>
        <v>D</v>
      </c>
      <c r="G868" s="9" t="str">
        <f>IFERROR(VLOOKUP(표1[[#This Row],[명칭]],'문화권 정리'!C:D,2,FALSE),"-")</f>
        <v>남아프리카</v>
      </c>
      <c r="H868" s="38" t="str">
        <f>IFERROR(COUNTIF([2]OceanDoodad!$Y:$Y,표1[[#This Row],[명칭]]),"-")</f>
        <v>-</v>
      </c>
      <c r="I868" s="38">
        <f>IFERROR(COUNTIF([1]AdventureDiscoveryGroup!$D$8:$AW$92,표1[[#This Row],[명칭]]),"-")</f>
        <v>1</v>
      </c>
      <c r="J868" s="38">
        <f>IFERROR(COUNTIF([1]FishDiscoveryGroup!$A:$X,표1[[#This Row],[명칭]]),"-")</f>
        <v>0</v>
      </c>
      <c r="K868" s="38" t="str">
        <f>IFERROR(COUNTIF([2]Town!$B:$B,표1[[#This Row],[명칭]]),"-")</f>
        <v>-</v>
      </c>
      <c r="L868" s="38">
        <f>IFERROR(COUNTIF([1]Village!$BR:$BR,표1[[#This Row],[명칭]]),"-")</f>
        <v>0</v>
      </c>
      <c r="M868" s="38">
        <f>COUNTIF(퀘스트!B:B,표1[[#This Row],[명칭]])</f>
        <v>0</v>
      </c>
      <c r="N868" s="65">
        <f>COUNTIF([1]VillageDiscoveryGroup!$C:$C,표1[[#This Row],[명칭]])</f>
        <v>0</v>
      </c>
      <c r="O868" s="65">
        <f>SUM(표1[[#This Row],[해양탐색]:[마을탐험]])</f>
        <v>1</v>
      </c>
    </row>
    <row r="869" spans="2:15" ht="13.5" customHeight="1" x14ac:dyDescent="0.3">
      <c r="B869" s="9">
        <f>[1]Discovery!A875</f>
        <v>70408009</v>
      </c>
      <c r="C869" s="9" t="str">
        <f>[1]Discovery!B875</f>
        <v>느림보곰</v>
      </c>
      <c r="D869" s="9" t="str">
        <f>[1]Discovery!E875</f>
        <v>동물</v>
      </c>
      <c r="E869" s="9" t="str">
        <f>[1]Discovery!C875</f>
        <v>포유류</v>
      </c>
      <c r="F869" s="9" t="str">
        <f>[1]Discovery!G875</f>
        <v>B</v>
      </c>
      <c r="G869" s="9" t="str">
        <f>IFERROR(VLOOKUP(표1[[#This Row],[명칭]],'문화권 정리'!C:D,2,FALSE),"-")</f>
        <v>동남아시아</v>
      </c>
      <c r="H869" s="38" t="str">
        <f>IFERROR(COUNTIF([2]OceanDoodad!$Y:$Y,표1[[#This Row],[명칭]]),"-")</f>
        <v>-</v>
      </c>
      <c r="I869" s="38">
        <f>IFERROR(COUNTIF([1]AdventureDiscoveryGroup!$D$8:$AW$92,표1[[#This Row],[명칭]]),"-")</f>
        <v>1</v>
      </c>
      <c r="J869" s="38">
        <f>IFERROR(COUNTIF([1]FishDiscoveryGroup!$A:$X,표1[[#This Row],[명칭]]),"-")</f>
        <v>0</v>
      </c>
      <c r="K869" s="38" t="str">
        <f>IFERROR(COUNTIF([2]Town!$B:$B,표1[[#This Row],[명칭]]),"-")</f>
        <v>-</v>
      </c>
      <c r="L869" s="38">
        <f>IFERROR(COUNTIF([1]Village!$BR:$BR,표1[[#This Row],[명칭]]),"-")</f>
        <v>0</v>
      </c>
      <c r="M869" s="38">
        <f>COUNTIF(퀘스트!B:B,표1[[#This Row],[명칭]])</f>
        <v>0</v>
      </c>
      <c r="N869" s="65">
        <f>COUNTIF([1]VillageDiscoveryGroup!$C:$C,표1[[#This Row],[명칭]])</f>
        <v>0</v>
      </c>
      <c r="O869" s="65">
        <f>SUM(표1[[#This Row],[해양탐색]:[마을탐험]])</f>
        <v>1</v>
      </c>
    </row>
    <row r="870" spans="2:15" ht="13.5" customHeight="1" x14ac:dyDescent="0.3">
      <c r="B870" s="9">
        <f>[1]Discovery!A876</f>
        <v>70408010</v>
      </c>
      <c r="C870" s="9" t="str">
        <f>[1]Discovery!B876</f>
        <v>늪사슴</v>
      </c>
      <c r="D870" s="9" t="str">
        <f>[1]Discovery!E876</f>
        <v>동물</v>
      </c>
      <c r="E870" s="9" t="str">
        <f>[1]Discovery!C876</f>
        <v>포유류</v>
      </c>
      <c r="F870" s="9" t="str">
        <f>[1]Discovery!G876</f>
        <v>A</v>
      </c>
      <c r="G870" s="9" t="str">
        <f>IFERROR(VLOOKUP(표1[[#This Row],[명칭]],'문화권 정리'!C:D,2,FALSE),"-")</f>
        <v>남아메리카</v>
      </c>
      <c r="H870" s="38" t="str">
        <f>IFERROR(COUNTIF([2]OceanDoodad!$Y:$Y,표1[[#This Row],[명칭]]),"-")</f>
        <v>-</v>
      </c>
      <c r="I870" s="38">
        <f>IFERROR(COUNTIF([1]AdventureDiscoveryGroup!$D$8:$AW$92,표1[[#This Row],[명칭]]),"-")</f>
        <v>0</v>
      </c>
      <c r="J870" s="38">
        <f>IFERROR(COUNTIF([1]FishDiscoveryGroup!$A:$X,표1[[#This Row],[명칭]]),"-")</f>
        <v>0</v>
      </c>
      <c r="K870" s="38" t="str">
        <f>IFERROR(COUNTIF([2]Town!$B:$B,표1[[#This Row],[명칭]]),"-")</f>
        <v>-</v>
      </c>
      <c r="L870" s="38">
        <f>IFERROR(COUNTIF([1]Village!$BR:$BR,표1[[#This Row],[명칭]]),"-")</f>
        <v>0</v>
      </c>
      <c r="M870" s="38">
        <f>COUNTIF(퀘스트!B:B,표1[[#This Row],[명칭]])</f>
        <v>0</v>
      </c>
      <c r="N870" s="65">
        <f>COUNTIF([1]VillageDiscoveryGroup!$C:$C,표1[[#This Row],[명칭]])</f>
        <v>0</v>
      </c>
      <c r="O870" s="65">
        <f>SUM(표1[[#This Row],[해양탐색]:[마을탐험]])</f>
        <v>0</v>
      </c>
    </row>
    <row r="871" spans="2:15" ht="13.5" customHeight="1" x14ac:dyDescent="0.3">
      <c r="B871" s="9">
        <f>[1]Discovery!A877</f>
        <v>70408011</v>
      </c>
      <c r="C871" s="9" t="str">
        <f>[1]Discovery!B877</f>
        <v>단봉낙타</v>
      </c>
      <c r="D871" s="9" t="str">
        <f>[1]Discovery!E877</f>
        <v>동물</v>
      </c>
      <c r="E871" s="9" t="str">
        <f>[1]Discovery!C877</f>
        <v>포유류</v>
      </c>
      <c r="F871" s="9" t="str">
        <f>[1]Discovery!G877</f>
        <v>B</v>
      </c>
      <c r="G871" s="9" t="str">
        <f>IFERROR(VLOOKUP(표1[[#This Row],[명칭]],'문화권 정리'!C:D,2,FALSE),"-")</f>
        <v>북아프리카</v>
      </c>
      <c r="H871" s="38" t="str">
        <f>IFERROR(COUNTIF([2]OceanDoodad!$Y:$Y,표1[[#This Row],[명칭]]),"-")</f>
        <v>-</v>
      </c>
      <c r="I871" s="38">
        <f>IFERROR(COUNTIF([1]AdventureDiscoveryGroup!$D$8:$AW$92,표1[[#This Row],[명칭]]),"-")</f>
        <v>0</v>
      </c>
      <c r="J871" s="38">
        <f>IFERROR(COUNTIF([1]FishDiscoveryGroup!$A:$X,표1[[#This Row],[명칭]]),"-")</f>
        <v>0</v>
      </c>
      <c r="K871" s="38" t="str">
        <f>IFERROR(COUNTIF([2]Town!$B:$B,표1[[#This Row],[명칭]]),"-")</f>
        <v>-</v>
      </c>
      <c r="L871" s="38">
        <f>IFERROR(COUNTIF([1]Village!$BR:$BR,표1[[#This Row],[명칭]]),"-")</f>
        <v>0</v>
      </c>
      <c r="M871" s="38">
        <f>COUNTIF(퀘스트!B:B,표1[[#This Row],[명칭]])</f>
        <v>0</v>
      </c>
      <c r="N871" s="65">
        <f>COUNTIF([1]VillageDiscoveryGroup!$C:$C,표1[[#This Row],[명칭]])</f>
        <v>1</v>
      </c>
      <c r="O871" s="65">
        <f>SUM(표1[[#This Row],[해양탐색]:[마을탐험]])</f>
        <v>1</v>
      </c>
    </row>
    <row r="872" spans="2:15" ht="13.5" customHeight="1" x14ac:dyDescent="0.3">
      <c r="B872" s="9">
        <f>[1]Discovery!A878</f>
        <v>70408012</v>
      </c>
      <c r="C872" s="9" t="str">
        <f>[1]Discovery!B878</f>
        <v>대왕판다</v>
      </c>
      <c r="D872" s="9" t="str">
        <f>[1]Discovery!E878</f>
        <v>동물</v>
      </c>
      <c r="E872" s="9" t="str">
        <f>[1]Discovery!C878</f>
        <v>포유류</v>
      </c>
      <c r="F872" s="9" t="str">
        <f>[1]Discovery!G878</f>
        <v>S</v>
      </c>
      <c r="G872" s="9" t="str">
        <f>IFERROR(VLOOKUP(표1[[#This Row],[명칭]],'문화권 정리'!C:D,2,FALSE),"-")</f>
        <v>동아시아</v>
      </c>
      <c r="H872" s="38" t="str">
        <f>IFERROR(COUNTIF([2]OceanDoodad!$Y:$Y,표1[[#This Row],[명칭]]),"-")</f>
        <v>-</v>
      </c>
      <c r="I872" s="38">
        <f>IFERROR(COUNTIF([1]AdventureDiscoveryGroup!$D$8:$AW$92,표1[[#This Row],[명칭]]),"-")</f>
        <v>1</v>
      </c>
      <c r="J872" s="38">
        <f>IFERROR(COUNTIF([1]FishDiscoveryGroup!$A:$X,표1[[#This Row],[명칭]]),"-")</f>
        <v>0</v>
      </c>
      <c r="K872" s="38" t="str">
        <f>IFERROR(COUNTIF([2]Town!$B:$B,표1[[#This Row],[명칭]]),"-")</f>
        <v>-</v>
      </c>
      <c r="L872" s="38">
        <f>IFERROR(COUNTIF([1]Village!$BR:$BR,표1[[#This Row],[명칭]]),"-")</f>
        <v>0</v>
      </c>
      <c r="M872" s="38">
        <f>COUNTIF(퀘스트!B:B,표1[[#This Row],[명칭]])</f>
        <v>0</v>
      </c>
      <c r="N872" s="65">
        <f>COUNTIF([1]VillageDiscoveryGroup!$C:$C,표1[[#This Row],[명칭]])</f>
        <v>0</v>
      </c>
      <c r="O872" s="65">
        <f>SUM(표1[[#This Row],[해양탐색]:[마을탐험]])</f>
        <v>1</v>
      </c>
    </row>
    <row r="873" spans="2:15" ht="13.5" customHeight="1" x14ac:dyDescent="0.3">
      <c r="B873" s="9">
        <f>[1]Discovery!A879</f>
        <v>70408013</v>
      </c>
      <c r="C873" s="9" t="str">
        <f>[1]Discovery!B879</f>
        <v>말레이곰</v>
      </c>
      <c r="D873" s="9" t="str">
        <f>[1]Discovery!E879</f>
        <v>동물</v>
      </c>
      <c r="E873" s="9" t="str">
        <f>[1]Discovery!C879</f>
        <v>포유류</v>
      </c>
      <c r="F873" s="9" t="str">
        <f>[1]Discovery!G879</f>
        <v>B</v>
      </c>
      <c r="G873" s="9" t="str">
        <f>IFERROR(VLOOKUP(표1[[#This Row],[명칭]],'문화권 정리'!C:D,2,FALSE),"-")</f>
        <v>동남아시아</v>
      </c>
      <c r="H873" s="38" t="str">
        <f>IFERROR(COUNTIF([2]OceanDoodad!$Y:$Y,표1[[#This Row],[명칭]]),"-")</f>
        <v>-</v>
      </c>
      <c r="I873" s="38">
        <f>IFERROR(COUNTIF([1]AdventureDiscoveryGroup!$D$8:$AW$92,표1[[#This Row],[명칭]]),"-")</f>
        <v>0</v>
      </c>
      <c r="J873" s="38">
        <f>IFERROR(COUNTIF([1]FishDiscoveryGroup!$A:$X,표1[[#This Row],[명칭]]),"-")</f>
        <v>0</v>
      </c>
      <c r="K873" s="38" t="str">
        <f>IFERROR(COUNTIF([2]Town!$B:$B,표1[[#This Row],[명칭]]),"-")</f>
        <v>-</v>
      </c>
      <c r="L873" s="38">
        <f>IFERROR(COUNTIF([1]Village!$BR:$BR,표1[[#This Row],[명칭]]),"-")</f>
        <v>0</v>
      </c>
      <c r="M873" s="38">
        <f>COUNTIF(퀘스트!B:B,표1[[#This Row],[명칭]])</f>
        <v>0</v>
      </c>
      <c r="N873" s="65">
        <f>COUNTIF([1]VillageDiscoveryGroup!$C:$C,표1[[#This Row],[명칭]])</f>
        <v>1</v>
      </c>
      <c r="O873" s="65">
        <f>SUM(표1[[#This Row],[해양탐색]:[마을탐험]])</f>
        <v>1</v>
      </c>
    </row>
    <row r="874" spans="2:15" ht="13.5" customHeight="1" x14ac:dyDescent="0.3">
      <c r="B874" s="9">
        <f>[1]Discovery!A880</f>
        <v>70408014</v>
      </c>
      <c r="C874" s="9" t="str">
        <f>[1]Discovery!B880</f>
        <v>말레이맥</v>
      </c>
      <c r="D874" s="9" t="str">
        <f>[1]Discovery!E880</f>
        <v>동물</v>
      </c>
      <c r="E874" s="9" t="str">
        <f>[1]Discovery!C880</f>
        <v>포유류</v>
      </c>
      <c r="F874" s="9" t="str">
        <f>[1]Discovery!G880</f>
        <v>C</v>
      </c>
      <c r="G874" s="9" t="str">
        <f>IFERROR(VLOOKUP(표1[[#This Row],[명칭]],'문화권 정리'!C:D,2,FALSE),"-")</f>
        <v>동남아시아</v>
      </c>
      <c r="H874" s="38" t="str">
        <f>IFERROR(COUNTIF([2]OceanDoodad!$Y:$Y,표1[[#This Row],[명칭]]),"-")</f>
        <v>-</v>
      </c>
      <c r="I874" s="38">
        <f>IFERROR(COUNTIF([1]AdventureDiscoveryGroup!$D$8:$AW$92,표1[[#This Row],[명칭]]),"-")</f>
        <v>1</v>
      </c>
      <c r="J874" s="38">
        <f>IFERROR(COUNTIF([1]FishDiscoveryGroup!$A:$X,표1[[#This Row],[명칭]]),"-")</f>
        <v>0</v>
      </c>
      <c r="K874" s="38" t="str">
        <f>IFERROR(COUNTIF([2]Town!$B:$B,표1[[#This Row],[명칭]]),"-")</f>
        <v>-</v>
      </c>
      <c r="L874" s="38">
        <f>IFERROR(COUNTIF([1]Village!$BR:$BR,표1[[#This Row],[명칭]]),"-")</f>
        <v>0</v>
      </c>
      <c r="M874" s="38">
        <f>COUNTIF(퀘스트!B:B,표1[[#This Row],[명칭]])</f>
        <v>0</v>
      </c>
      <c r="N874" s="65">
        <f>COUNTIF([1]VillageDiscoveryGroup!$C:$C,표1[[#This Row],[명칭]])</f>
        <v>0</v>
      </c>
      <c r="O874" s="65">
        <f>SUM(표1[[#This Row],[해양탐색]:[마을탐험]])</f>
        <v>1</v>
      </c>
    </row>
    <row r="875" spans="2:15" ht="13.5" customHeight="1" x14ac:dyDescent="0.3">
      <c r="B875" s="9">
        <f>[1]Discovery!A881</f>
        <v>70408015</v>
      </c>
      <c r="C875" s="9" t="str">
        <f>[1]Discovery!B881</f>
        <v>말코손바닥사슴</v>
      </c>
      <c r="D875" s="9" t="str">
        <f>[1]Discovery!E881</f>
        <v>동물</v>
      </c>
      <c r="E875" s="9" t="str">
        <f>[1]Discovery!C881</f>
        <v>포유류</v>
      </c>
      <c r="F875" s="9" t="str">
        <f>[1]Discovery!G881</f>
        <v>B</v>
      </c>
      <c r="G875" s="9" t="str">
        <f>IFERROR(VLOOKUP(표1[[#This Row],[명칭]],'문화권 정리'!C:D,2,FALSE),"-")</f>
        <v>북유럽</v>
      </c>
      <c r="H875" s="38" t="str">
        <f>IFERROR(COUNTIF([2]OceanDoodad!$Y:$Y,표1[[#This Row],[명칭]]),"-")</f>
        <v>-</v>
      </c>
      <c r="I875" s="38">
        <f>IFERROR(COUNTIF([1]AdventureDiscoveryGroup!$D$8:$AW$92,표1[[#This Row],[명칭]]),"-")</f>
        <v>0</v>
      </c>
      <c r="J875" s="38">
        <f>IFERROR(COUNTIF([1]FishDiscoveryGroup!$A:$X,표1[[#This Row],[명칭]]),"-")</f>
        <v>0</v>
      </c>
      <c r="K875" s="38" t="str">
        <f>IFERROR(COUNTIF([2]Town!$B:$B,표1[[#This Row],[명칭]]),"-")</f>
        <v>-</v>
      </c>
      <c r="L875" s="38">
        <f>IFERROR(COUNTIF([1]Village!$BR:$BR,표1[[#This Row],[명칭]]),"-")</f>
        <v>0</v>
      </c>
      <c r="M875" s="38">
        <f>COUNTIF(퀘스트!B:B,표1[[#This Row],[명칭]])</f>
        <v>0</v>
      </c>
      <c r="N875" s="65">
        <f>COUNTIF([1]VillageDiscoveryGroup!$C:$C,표1[[#This Row],[명칭]])</f>
        <v>1</v>
      </c>
      <c r="O875" s="65">
        <f>SUM(표1[[#This Row],[해양탐색]:[마을탐험]])</f>
        <v>1</v>
      </c>
    </row>
    <row r="876" spans="2:15" ht="13.5" customHeight="1" x14ac:dyDescent="0.3">
      <c r="B876" s="9">
        <f>[1]Discovery!A882</f>
        <v>70408016</v>
      </c>
      <c r="C876" s="9" t="str">
        <f>[1]Discovery!B882</f>
        <v>멧돼지</v>
      </c>
      <c r="D876" s="9" t="str">
        <f>[1]Discovery!E882</f>
        <v>동물</v>
      </c>
      <c r="E876" s="9" t="str">
        <f>[1]Discovery!C882</f>
        <v>포유류</v>
      </c>
      <c r="F876" s="9" t="str">
        <f>[1]Discovery!G882</f>
        <v>D</v>
      </c>
      <c r="G876" s="9" t="str">
        <f>IFERROR(VLOOKUP(표1[[#This Row],[명칭]],'문화권 정리'!C:D,2,FALSE),"-")</f>
        <v>북유럽</v>
      </c>
      <c r="H876" s="38" t="str">
        <f>IFERROR(COUNTIF([2]OceanDoodad!$Y:$Y,표1[[#This Row],[명칭]]),"-")</f>
        <v>-</v>
      </c>
      <c r="I876" s="38">
        <f>IFERROR(COUNTIF([1]AdventureDiscoveryGroup!$D$8:$AW$92,표1[[#This Row],[명칭]]),"-")</f>
        <v>1</v>
      </c>
      <c r="J876" s="38">
        <f>IFERROR(COUNTIF([1]FishDiscoveryGroup!$A:$X,표1[[#This Row],[명칭]]),"-")</f>
        <v>0</v>
      </c>
      <c r="K876" s="38" t="str">
        <f>IFERROR(COUNTIF([2]Town!$B:$B,표1[[#This Row],[명칭]]),"-")</f>
        <v>-</v>
      </c>
      <c r="L876" s="38">
        <f>IFERROR(COUNTIF([1]Village!$BR:$BR,표1[[#This Row],[명칭]]),"-")</f>
        <v>0</v>
      </c>
      <c r="M876" s="38">
        <f>COUNTIF(퀘스트!B:B,표1[[#This Row],[명칭]])</f>
        <v>0</v>
      </c>
      <c r="N876" s="65">
        <f>COUNTIF([1]VillageDiscoveryGroup!$C:$C,표1[[#This Row],[명칭]])</f>
        <v>0</v>
      </c>
      <c r="O876" s="65">
        <f>SUM(표1[[#This Row],[해양탐색]:[마을탐험]])</f>
        <v>1</v>
      </c>
    </row>
    <row r="877" spans="2:15" ht="13.5" customHeight="1" x14ac:dyDescent="0.3">
      <c r="B877" s="9">
        <f>[1]Discovery!A883</f>
        <v>70408018</v>
      </c>
      <c r="C877" s="9" t="str">
        <f>[1]Discovery!B883</f>
        <v>물소</v>
      </c>
      <c r="D877" s="9" t="str">
        <f>[1]Discovery!E883</f>
        <v>동물</v>
      </c>
      <c r="E877" s="9" t="str">
        <f>[1]Discovery!C883</f>
        <v>포유류</v>
      </c>
      <c r="F877" s="9" t="str">
        <f>[1]Discovery!G883</f>
        <v>D</v>
      </c>
      <c r="G877" s="9" t="str">
        <f>IFERROR(VLOOKUP(표1[[#This Row],[명칭]],'문화권 정리'!C:D,2,FALSE),"-")</f>
        <v>동남아시아</v>
      </c>
      <c r="H877" s="38" t="str">
        <f>IFERROR(COUNTIF([2]OceanDoodad!$Y:$Y,표1[[#This Row],[명칭]]),"-")</f>
        <v>-</v>
      </c>
      <c r="I877" s="38">
        <f>IFERROR(COUNTIF([1]AdventureDiscoveryGroup!$D$8:$AW$92,표1[[#This Row],[명칭]]),"-")</f>
        <v>1</v>
      </c>
      <c r="J877" s="38">
        <f>IFERROR(COUNTIF([1]FishDiscoveryGroup!$A:$X,표1[[#This Row],[명칭]]),"-")</f>
        <v>0</v>
      </c>
      <c r="K877" s="38" t="str">
        <f>IFERROR(COUNTIF([2]Town!$B:$B,표1[[#This Row],[명칭]]),"-")</f>
        <v>-</v>
      </c>
      <c r="L877" s="38">
        <f>IFERROR(COUNTIF([1]Village!$BR:$BR,표1[[#This Row],[명칭]]),"-")</f>
        <v>0</v>
      </c>
      <c r="M877" s="38">
        <f>COUNTIF(퀘스트!B:B,표1[[#This Row],[명칭]])</f>
        <v>0</v>
      </c>
      <c r="N877" s="65">
        <f>COUNTIF([1]VillageDiscoveryGroup!$C:$C,표1[[#This Row],[명칭]])</f>
        <v>0</v>
      </c>
      <c r="O877" s="65">
        <f>SUM(표1[[#This Row],[해양탐색]:[마을탐험]])</f>
        <v>1</v>
      </c>
    </row>
    <row r="878" spans="2:15" ht="13.5" customHeight="1" x14ac:dyDescent="0.3">
      <c r="B878" s="9">
        <f>[1]Discovery!A884</f>
        <v>70408019</v>
      </c>
      <c r="C878" s="9" t="str">
        <f>[1]Discovery!B884</f>
        <v>백호</v>
      </c>
      <c r="D878" s="9" t="str">
        <f>[1]Discovery!E884</f>
        <v>동물</v>
      </c>
      <c r="E878" s="9" t="str">
        <f>[1]Discovery!C884</f>
        <v>포유류</v>
      </c>
      <c r="F878" s="9" t="str">
        <f>[1]Discovery!G884</f>
        <v>S</v>
      </c>
      <c r="G878" s="9" t="str">
        <f>IFERROR(VLOOKUP(표1[[#This Row],[명칭]],'문화권 정리'!C:D,2,FALSE),"-")</f>
        <v>동남아시아</v>
      </c>
      <c r="H878" s="38" t="str">
        <f>IFERROR(COUNTIF([2]OceanDoodad!$Y:$Y,표1[[#This Row],[명칭]]),"-")</f>
        <v>-</v>
      </c>
      <c r="I878" s="38">
        <f>IFERROR(COUNTIF([1]AdventureDiscoveryGroup!$D$8:$AW$92,표1[[#This Row],[명칭]]),"-")</f>
        <v>0</v>
      </c>
      <c r="J878" s="38">
        <f>IFERROR(COUNTIF([1]FishDiscoveryGroup!$A:$X,표1[[#This Row],[명칭]]),"-")</f>
        <v>0</v>
      </c>
      <c r="K878" s="38" t="str">
        <f>IFERROR(COUNTIF([2]Town!$B:$B,표1[[#This Row],[명칭]]),"-")</f>
        <v>-</v>
      </c>
      <c r="L878" s="38">
        <f>IFERROR(COUNTIF([1]Village!$BR:$BR,표1[[#This Row],[명칭]]),"-")</f>
        <v>0</v>
      </c>
      <c r="M878" s="38">
        <f>COUNTIF(퀘스트!B:B,표1[[#This Row],[명칭]])</f>
        <v>1</v>
      </c>
      <c r="N878" s="65">
        <f>COUNTIF([1]VillageDiscoveryGroup!$C:$C,표1[[#This Row],[명칭]])</f>
        <v>0</v>
      </c>
      <c r="O878" s="65">
        <f>SUM(표1[[#This Row],[해양탐색]:[마을탐험]])</f>
        <v>1</v>
      </c>
    </row>
    <row r="879" spans="2:15" ht="13.5" customHeight="1" x14ac:dyDescent="0.3">
      <c r="B879" s="9">
        <f>[1]Discovery!A885</f>
        <v>70408020</v>
      </c>
      <c r="C879" s="9" t="str">
        <f>[1]Discovery!B885</f>
        <v>밴팅</v>
      </c>
      <c r="D879" s="9" t="str">
        <f>[1]Discovery!E885</f>
        <v>동물</v>
      </c>
      <c r="E879" s="9" t="str">
        <f>[1]Discovery!C885</f>
        <v>포유류</v>
      </c>
      <c r="F879" s="9" t="str">
        <f>[1]Discovery!G885</f>
        <v>A</v>
      </c>
      <c r="G879" s="9" t="str">
        <f>IFERROR(VLOOKUP(표1[[#This Row],[명칭]],'문화권 정리'!C:D,2,FALSE),"-")</f>
        <v>동남아시아</v>
      </c>
      <c r="H879" s="38" t="str">
        <f>IFERROR(COUNTIF([2]OceanDoodad!$Y:$Y,표1[[#This Row],[명칭]]),"-")</f>
        <v>-</v>
      </c>
      <c r="I879" s="38">
        <f>IFERROR(COUNTIF([1]AdventureDiscoveryGroup!$D$8:$AW$92,표1[[#This Row],[명칭]]),"-")</f>
        <v>0</v>
      </c>
      <c r="J879" s="38">
        <f>IFERROR(COUNTIF([1]FishDiscoveryGroup!$A:$X,표1[[#This Row],[명칭]]),"-")</f>
        <v>0</v>
      </c>
      <c r="K879" s="38" t="str">
        <f>IFERROR(COUNTIF([2]Town!$B:$B,표1[[#This Row],[명칭]]),"-")</f>
        <v>-</v>
      </c>
      <c r="L879" s="38">
        <f>IFERROR(COUNTIF([1]Village!$BR:$BR,표1[[#This Row],[명칭]]),"-")</f>
        <v>0</v>
      </c>
      <c r="M879" s="38">
        <f>COUNTIF(퀘스트!B:B,표1[[#This Row],[명칭]])</f>
        <v>0</v>
      </c>
      <c r="N879" s="65">
        <f>COUNTIF([1]VillageDiscoveryGroup!$C:$C,표1[[#This Row],[명칭]])</f>
        <v>1</v>
      </c>
      <c r="O879" s="65">
        <f>SUM(표1[[#This Row],[해양탐색]:[마을탐험]])</f>
        <v>1</v>
      </c>
    </row>
    <row r="880" spans="2:15" ht="13.5" customHeight="1" x14ac:dyDescent="0.3">
      <c r="B880" s="9">
        <f>[1]Discovery!A886</f>
        <v>70408021</v>
      </c>
      <c r="C880" s="9" t="str">
        <f>[1]Discovery!B886</f>
        <v>베어드맥</v>
      </c>
      <c r="D880" s="9" t="str">
        <f>[1]Discovery!E886</f>
        <v>동물</v>
      </c>
      <c r="E880" s="9" t="str">
        <f>[1]Discovery!C886</f>
        <v>포유류</v>
      </c>
      <c r="F880" s="9" t="str">
        <f>[1]Discovery!G886</f>
        <v>A</v>
      </c>
      <c r="G880" s="9" t="str">
        <f>IFERROR(VLOOKUP(표1[[#This Row],[명칭]],'문화권 정리'!C:D,2,FALSE),"-")</f>
        <v>남아메리카</v>
      </c>
      <c r="H880" s="38" t="str">
        <f>IFERROR(COUNTIF([2]OceanDoodad!$Y:$Y,표1[[#This Row],[명칭]]),"-")</f>
        <v>-</v>
      </c>
      <c r="I880" s="38">
        <f>IFERROR(COUNTIF([1]AdventureDiscoveryGroup!$D$8:$AW$92,표1[[#This Row],[명칭]]),"-")</f>
        <v>0</v>
      </c>
      <c r="J880" s="38">
        <f>IFERROR(COUNTIF([1]FishDiscoveryGroup!$A:$X,표1[[#This Row],[명칭]]),"-")</f>
        <v>0</v>
      </c>
      <c r="K880" s="38" t="str">
        <f>IFERROR(COUNTIF([2]Town!$B:$B,표1[[#This Row],[명칭]]),"-")</f>
        <v>-</v>
      </c>
      <c r="L880" s="38">
        <f>IFERROR(COUNTIF([1]Village!$BR:$BR,표1[[#This Row],[명칭]]),"-")</f>
        <v>0</v>
      </c>
      <c r="M880" s="38">
        <f>COUNTIF(퀘스트!B:B,표1[[#This Row],[명칭]])</f>
        <v>0</v>
      </c>
      <c r="N880" s="65">
        <f>COUNTIF([1]VillageDiscoveryGroup!$C:$C,표1[[#This Row],[명칭]])</f>
        <v>0</v>
      </c>
      <c r="O880" s="65">
        <f>SUM(표1[[#This Row],[해양탐색]:[마을탐험]])</f>
        <v>0</v>
      </c>
    </row>
    <row r="881" spans="2:15" ht="13.5" customHeight="1" x14ac:dyDescent="0.3">
      <c r="B881" s="9">
        <f>[1]Discovery!A887</f>
        <v>70408022</v>
      </c>
      <c r="C881" s="9" t="str">
        <f>[1]Discovery!B887</f>
        <v>보아</v>
      </c>
      <c r="D881" s="9" t="str">
        <f>[1]Discovery!E887</f>
        <v>동물</v>
      </c>
      <c r="E881" s="9" t="str">
        <f>[1]Discovery!C887</f>
        <v>파충류</v>
      </c>
      <c r="F881" s="9" t="str">
        <f>[1]Discovery!G887</f>
        <v>A</v>
      </c>
      <c r="G881" s="9" t="str">
        <f>IFERROR(VLOOKUP(표1[[#This Row],[명칭]],'문화권 정리'!C:D,2,FALSE),"-")</f>
        <v>남아메리카</v>
      </c>
      <c r="H881" s="38" t="str">
        <f>IFERROR(COUNTIF([2]OceanDoodad!$Y:$Y,표1[[#This Row],[명칭]]),"-")</f>
        <v>-</v>
      </c>
      <c r="I881" s="38">
        <f>IFERROR(COUNTIF([1]AdventureDiscoveryGroup!$D$8:$AW$92,표1[[#This Row],[명칭]]),"-")</f>
        <v>0</v>
      </c>
      <c r="J881" s="38">
        <f>IFERROR(COUNTIF([1]FishDiscoveryGroup!$A:$X,표1[[#This Row],[명칭]]),"-")</f>
        <v>0</v>
      </c>
      <c r="K881" s="38" t="str">
        <f>IFERROR(COUNTIF([2]Town!$B:$B,표1[[#This Row],[명칭]]),"-")</f>
        <v>-</v>
      </c>
      <c r="L881" s="38">
        <f>IFERROR(COUNTIF([1]Village!$BR:$BR,표1[[#This Row],[명칭]]),"-")</f>
        <v>0</v>
      </c>
      <c r="M881" s="38">
        <f>COUNTIF(퀘스트!B:B,표1[[#This Row],[명칭]])</f>
        <v>0</v>
      </c>
      <c r="N881" s="65">
        <f>COUNTIF([1]VillageDiscoveryGroup!$C:$C,표1[[#This Row],[명칭]])</f>
        <v>1</v>
      </c>
      <c r="O881" s="65">
        <f>SUM(표1[[#This Row],[해양탐색]:[마을탐험]])</f>
        <v>1</v>
      </c>
    </row>
    <row r="882" spans="2:15" ht="13.5" customHeight="1" x14ac:dyDescent="0.3">
      <c r="B882" s="9">
        <f>[1]Discovery!A888</f>
        <v>70408023</v>
      </c>
      <c r="C882" s="9" t="str">
        <f>[1]Discovery!B888</f>
        <v>북극곰</v>
      </c>
      <c r="D882" s="9" t="str">
        <f>[1]Discovery!E888</f>
        <v>동물</v>
      </c>
      <c r="E882" s="9" t="str">
        <f>[1]Discovery!C888</f>
        <v>포유류</v>
      </c>
      <c r="F882" s="9" t="str">
        <f>[1]Discovery!G888</f>
        <v>A</v>
      </c>
      <c r="G882" s="9" t="str">
        <f>IFERROR(VLOOKUP(표1[[#This Row],[명칭]],'문화권 정리'!C:D,2,FALSE),"-")</f>
        <v>유라시아</v>
      </c>
      <c r="H882" s="38" t="str">
        <f>IFERROR(COUNTIF([2]OceanDoodad!$Y:$Y,표1[[#This Row],[명칭]]),"-")</f>
        <v>-</v>
      </c>
      <c r="I882" s="38">
        <f>IFERROR(COUNTIF([1]AdventureDiscoveryGroup!$D$8:$AW$92,표1[[#This Row],[명칭]]),"-")</f>
        <v>0</v>
      </c>
      <c r="J882" s="38">
        <f>IFERROR(COUNTIF([1]FishDiscoveryGroup!$A:$X,표1[[#This Row],[명칭]]),"-")</f>
        <v>0</v>
      </c>
      <c r="K882" s="38" t="str">
        <f>IFERROR(COUNTIF([2]Town!$B:$B,표1[[#This Row],[명칭]]),"-")</f>
        <v>-</v>
      </c>
      <c r="L882" s="38">
        <f>IFERROR(COUNTIF([1]Village!$BR:$BR,표1[[#This Row],[명칭]]),"-")</f>
        <v>0</v>
      </c>
      <c r="M882" s="38">
        <f>COUNTIF(퀘스트!B:B,표1[[#This Row],[명칭]])</f>
        <v>1</v>
      </c>
      <c r="N882" s="65">
        <f>COUNTIF([1]VillageDiscoveryGroup!$C:$C,표1[[#This Row],[명칭]])</f>
        <v>0</v>
      </c>
      <c r="O882" s="65">
        <f>SUM(표1[[#This Row],[해양탐색]:[마을탐험]])</f>
        <v>1</v>
      </c>
    </row>
    <row r="883" spans="2:15" ht="13.5" customHeight="1" x14ac:dyDescent="0.3">
      <c r="B883" s="9">
        <f>[1]Discovery!A889</f>
        <v>70408024</v>
      </c>
      <c r="C883" s="9" t="str">
        <f>[1]Discovery!B889</f>
        <v>불곰</v>
      </c>
      <c r="D883" s="9" t="str">
        <f>[1]Discovery!E889</f>
        <v>동물</v>
      </c>
      <c r="E883" s="9" t="str">
        <f>[1]Discovery!C889</f>
        <v>포유류</v>
      </c>
      <c r="F883" s="9" t="str">
        <f>[1]Discovery!G889</f>
        <v>A</v>
      </c>
      <c r="G883" s="9" t="str">
        <f>IFERROR(VLOOKUP(표1[[#This Row],[명칭]],'문화권 정리'!C:D,2,FALSE),"-")</f>
        <v>지중해</v>
      </c>
      <c r="H883" s="38" t="str">
        <f>IFERROR(COUNTIF([2]OceanDoodad!$Y:$Y,표1[[#This Row],[명칭]]),"-")</f>
        <v>-</v>
      </c>
      <c r="I883" s="38">
        <f>IFERROR(COUNTIF([1]AdventureDiscoveryGroup!$D$8:$AW$92,표1[[#This Row],[명칭]]),"-")</f>
        <v>0</v>
      </c>
      <c r="J883" s="38">
        <f>IFERROR(COUNTIF([1]FishDiscoveryGroup!$A:$X,표1[[#This Row],[명칭]]),"-")</f>
        <v>0</v>
      </c>
      <c r="K883" s="38" t="str">
        <f>IFERROR(COUNTIF([2]Town!$B:$B,표1[[#This Row],[명칭]]),"-")</f>
        <v>-</v>
      </c>
      <c r="L883" s="38">
        <f>IFERROR(COUNTIF([1]Village!$BR:$BR,표1[[#This Row],[명칭]]),"-")</f>
        <v>0</v>
      </c>
      <c r="M883" s="38">
        <f>COUNTIF(퀘스트!B:B,표1[[#This Row],[명칭]])</f>
        <v>0</v>
      </c>
      <c r="N883" s="65">
        <f>COUNTIF([1]VillageDiscoveryGroup!$C:$C,표1[[#This Row],[명칭]])</f>
        <v>0</v>
      </c>
      <c r="O883" s="65">
        <f>SUM(표1[[#This Row],[해양탐색]:[마을탐험]])</f>
        <v>0</v>
      </c>
    </row>
    <row r="884" spans="2:15" ht="13.5" customHeight="1" x14ac:dyDescent="0.3">
      <c r="B884" s="9">
        <f>[1]Discovery!A890</f>
        <v>70408025</v>
      </c>
      <c r="C884" s="9" t="str">
        <f>[1]Discovery!B890</f>
        <v>비단구렁이</v>
      </c>
      <c r="D884" s="9" t="str">
        <f>[1]Discovery!E890</f>
        <v>동물</v>
      </c>
      <c r="E884" s="9" t="str">
        <f>[1]Discovery!C890</f>
        <v>파충류</v>
      </c>
      <c r="F884" s="9" t="str">
        <f>[1]Discovery!G890</f>
        <v>B</v>
      </c>
      <c r="G884" s="9" t="str">
        <f>IFERROR(VLOOKUP(표1[[#This Row],[명칭]],'문화권 정리'!C:D,2,FALSE),"-")</f>
        <v>남아시아</v>
      </c>
      <c r="H884" s="38" t="str">
        <f>IFERROR(COUNTIF([2]OceanDoodad!$Y:$Y,표1[[#This Row],[명칭]]),"-")</f>
        <v>-</v>
      </c>
      <c r="I884" s="38">
        <f>IFERROR(COUNTIF([1]AdventureDiscoveryGroup!$D$8:$AW$92,표1[[#This Row],[명칭]]),"-")</f>
        <v>0</v>
      </c>
      <c r="J884" s="38">
        <f>IFERROR(COUNTIF([1]FishDiscoveryGroup!$A:$X,표1[[#This Row],[명칭]]),"-")</f>
        <v>0</v>
      </c>
      <c r="K884" s="38" t="str">
        <f>IFERROR(COUNTIF([2]Town!$B:$B,표1[[#This Row],[명칭]]),"-")</f>
        <v>-</v>
      </c>
      <c r="L884" s="38">
        <f>IFERROR(COUNTIF([1]Village!$BR:$BR,표1[[#This Row],[명칭]]),"-")</f>
        <v>0</v>
      </c>
      <c r="M884" s="38">
        <f>COUNTIF(퀘스트!B:B,표1[[#This Row],[명칭]])</f>
        <v>0</v>
      </c>
      <c r="N884" s="65">
        <f>COUNTIF([1]VillageDiscoveryGroup!$C:$C,표1[[#This Row],[명칭]])</f>
        <v>0</v>
      </c>
      <c r="O884" s="65">
        <f>SUM(표1[[#This Row],[해양탐색]:[마을탐험]])</f>
        <v>0</v>
      </c>
    </row>
    <row r="885" spans="2:15" ht="13.5" customHeight="1" x14ac:dyDescent="0.3">
      <c r="B885" s="9">
        <f>[1]Discovery!A891</f>
        <v>70408026</v>
      </c>
      <c r="C885" s="9" t="str">
        <f>[1]Discovery!B891</f>
        <v>비쿠냐</v>
      </c>
      <c r="D885" s="9" t="str">
        <f>[1]Discovery!E891</f>
        <v>동물</v>
      </c>
      <c r="E885" s="9" t="str">
        <f>[1]Discovery!C891</f>
        <v>포유류</v>
      </c>
      <c r="F885" s="9" t="str">
        <f>[1]Discovery!G891</f>
        <v>B</v>
      </c>
      <c r="G885" s="9" t="str">
        <f>IFERROR(VLOOKUP(표1[[#This Row],[명칭]],'문화권 정리'!C:D,2,FALSE),"-")</f>
        <v>남아메리카</v>
      </c>
      <c r="H885" s="38" t="str">
        <f>IFERROR(COUNTIF([2]OceanDoodad!$Y:$Y,표1[[#This Row],[명칭]]),"-")</f>
        <v>-</v>
      </c>
      <c r="I885" s="38">
        <f>IFERROR(COUNTIF([1]AdventureDiscoveryGroup!$D$8:$AW$92,표1[[#This Row],[명칭]]),"-")</f>
        <v>1</v>
      </c>
      <c r="J885" s="38">
        <f>IFERROR(COUNTIF([1]FishDiscoveryGroup!$A:$X,표1[[#This Row],[명칭]]),"-")</f>
        <v>0</v>
      </c>
      <c r="K885" s="38" t="str">
        <f>IFERROR(COUNTIF([2]Town!$B:$B,표1[[#This Row],[명칭]]),"-")</f>
        <v>-</v>
      </c>
      <c r="L885" s="38">
        <f>IFERROR(COUNTIF([1]Village!$BR:$BR,표1[[#This Row],[명칭]]),"-")</f>
        <v>0</v>
      </c>
      <c r="M885" s="38">
        <f>COUNTIF(퀘스트!B:B,표1[[#This Row],[명칭]])</f>
        <v>0</v>
      </c>
      <c r="N885" s="65">
        <f>COUNTIF([1]VillageDiscoveryGroup!$C:$C,표1[[#This Row],[명칭]])</f>
        <v>0</v>
      </c>
      <c r="O885" s="65">
        <f>SUM(표1[[#This Row],[해양탐색]:[마을탐험]])</f>
        <v>1</v>
      </c>
    </row>
    <row r="886" spans="2:15" ht="13.5" customHeight="1" x14ac:dyDescent="0.3">
      <c r="B886" s="9">
        <f>[1]Discovery!A892</f>
        <v>70408027</v>
      </c>
      <c r="C886" s="9" t="str">
        <f>[1]Discovery!B892</f>
        <v>사불상</v>
      </c>
      <c r="D886" s="9" t="str">
        <f>[1]Discovery!E892</f>
        <v>동물</v>
      </c>
      <c r="E886" s="9" t="str">
        <f>[1]Discovery!C892</f>
        <v>포유류</v>
      </c>
      <c r="F886" s="9" t="str">
        <f>[1]Discovery!G892</f>
        <v>S</v>
      </c>
      <c r="G886" s="9" t="str">
        <f>IFERROR(VLOOKUP(표1[[#This Row],[명칭]],'문화권 정리'!C:D,2,FALSE),"-")</f>
        <v>동아시아</v>
      </c>
      <c r="H886" s="38" t="str">
        <f>IFERROR(COUNTIF([2]OceanDoodad!$Y:$Y,표1[[#This Row],[명칭]]),"-")</f>
        <v>-</v>
      </c>
      <c r="I886" s="38">
        <f>IFERROR(COUNTIF([1]AdventureDiscoveryGroup!$D$8:$AW$92,표1[[#This Row],[명칭]]),"-")</f>
        <v>0</v>
      </c>
      <c r="J886" s="38">
        <f>IFERROR(COUNTIF([1]FishDiscoveryGroup!$A:$X,표1[[#This Row],[명칭]]),"-")</f>
        <v>0</v>
      </c>
      <c r="K886" s="38" t="str">
        <f>IFERROR(COUNTIF([2]Town!$B:$B,표1[[#This Row],[명칭]]),"-")</f>
        <v>-</v>
      </c>
      <c r="L886" s="38">
        <f>IFERROR(COUNTIF([1]Village!$BR:$BR,표1[[#This Row],[명칭]]),"-")</f>
        <v>0</v>
      </c>
      <c r="M886" s="38">
        <f>COUNTIF(퀘스트!B:B,표1[[#This Row],[명칭]])</f>
        <v>0</v>
      </c>
      <c r="N886" s="65">
        <f>COUNTIF([1]VillageDiscoveryGroup!$C:$C,표1[[#This Row],[명칭]])</f>
        <v>1</v>
      </c>
      <c r="O886" s="65">
        <f>SUM(표1[[#This Row],[해양탐색]:[마을탐험]])</f>
        <v>1</v>
      </c>
    </row>
    <row r="887" spans="2:15" ht="13.5" customHeight="1" x14ac:dyDescent="0.3">
      <c r="B887" s="9">
        <f>[1]Discovery!A893</f>
        <v>70408028</v>
      </c>
      <c r="C887" s="9" t="str">
        <f>[1]Discovery!B893</f>
        <v>사자</v>
      </c>
      <c r="D887" s="9" t="str">
        <f>[1]Discovery!E893</f>
        <v>동물</v>
      </c>
      <c r="E887" s="9" t="str">
        <f>[1]Discovery!C893</f>
        <v>포유류</v>
      </c>
      <c r="F887" s="9" t="str">
        <f>[1]Discovery!G893</f>
        <v>B</v>
      </c>
      <c r="G887" s="9" t="str">
        <f>IFERROR(VLOOKUP(표1[[#This Row],[명칭]],'문화권 정리'!C:D,2,FALSE),"-")</f>
        <v>남아프리카</v>
      </c>
      <c r="H887" s="38" t="str">
        <f>IFERROR(COUNTIF([2]OceanDoodad!$Y:$Y,표1[[#This Row],[명칭]]),"-")</f>
        <v>-</v>
      </c>
      <c r="I887" s="38">
        <f>IFERROR(COUNTIF([1]AdventureDiscoveryGroup!$D$8:$AW$92,표1[[#This Row],[명칭]]),"-")</f>
        <v>1</v>
      </c>
      <c r="J887" s="38">
        <f>IFERROR(COUNTIF([1]FishDiscoveryGroup!$A:$X,표1[[#This Row],[명칭]]),"-")</f>
        <v>0</v>
      </c>
      <c r="K887" s="38" t="str">
        <f>IFERROR(COUNTIF([2]Town!$B:$B,표1[[#This Row],[명칭]]),"-")</f>
        <v>-</v>
      </c>
      <c r="L887" s="38">
        <f>IFERROR(COUNTIF([1]Village!$BR:$BR,표1[[#This Row],[명칭]]),"-")</f>
        <v>0</v>
      </c>
      <c r="M887" s="38">
        <f>COUNTIF(퀘스트!B:B,표1[[#This Row],[명칭]])</f>
        <v>0</v>
      </c>
      <c r="N887" s="65">
        <f>COUNTIF([1]VillageDiscoveryGroup!$C:$C,표1[[#This Row],[명칭]])</f>
        <v>0</v>
      </c>
      <c r="O887" s="65">
        <f>SUM(표1[[#This Row],[해양탐색]:[마을탐험]])</f>
        <v>1</v>
      </c>
    </row>
    <row r="888" spans="2:15" ht="13.5" customHeight="1" x14ac:dyDescent="0.3">
      <c r="B888" s="9">
        <f>[1]Discovery!A894</f>
        <v>70408029</v>
      </c>
      <c r="C888" s="9" t="str">
        <f>[1]Discovery!B894</f>
        <v>사향소</v>
      </c>
      <c r="D888" s="9" t="str">
        <f>[1]Discovery!E894</f>
        <v>동물</v>
      </c>
      <c r="E888" s="9" t="str">
        <f>[1]Discovery!C894</f>
        <v>포유류</v>
      </c>
      <c r="F888" s="9" t="str">
        <f>[1]Discovery!G894</f>
        <v>A</v>
      </c>
      <c r="G888" s="9" t="str">
        <f>IFERROR(VLOOKUP(표1[[#This Row],[명칭]],'문화권 정리'!C:D,2,FALSE),"-")</f>
        <v>극지방</v>
      </c>
      <c r="H888" s="38" t="str">
        <f>IFERROR(COUNTIF([2]OceanDoodad!$Y:$Y,표1[[#This Row],[명칭]]),"-")</f>
        <v>-</v>
      </c>
      <c r="I888" s="38">
        <f>IFERROR(COUNTIF([1]AdventureDiscoveryGroup!$D$8:$AW$92,표1[[#This Row],[명칭]]),"-")</f>
        <v>1</v>
      </c>
      <c r="J888" s="38">
        <f>IFERROR(COUNTIF([1]FishDiscoveryGroup!$A:$X,표1[[#This Row],[명칭]]),"-")</f>
        <v>0</v>
      </c>
      <c r="K888" s="38" t="str">
        <f>IFERROR(COUNTIF([2]Town!$B:$B,표1[[#This Row],[명칭]]),"-")</f>
        <v>-</v>
      </c>
      <c r="L888" s="38">
        <f>IFERROR(COUNTIF([1]Village!$BR:$BR,표1[[#This Row],[명칭]]),"-")</f>
        <v>0</v>
      </c>
      <c r="M888" s="38">
        <f>COUNTIF(퀘스트!B:B,표1[[#This Row],[명칭]])</f>
        <v>0</v>
      </c>
      <c r="N888" s="65">
        <f>COUNTIF([1]VillageDiscoveryGroup!$C:$C,표1[[#This Row],[명칭]])</f>
        <v>0</v>
      </c>
      <c r="O888" s="65">
        <f>SUM(표1[[#This Row],[해양탐색]:[마을탐험]])</f>
        <v>1</v>
      </c>
    </row>
    <row r="889" spans="2:15" ht="13.5" customHeight="1" x14ac:dyDescent="0.3">
      <c r="B889" s="9">
        <f>[1]Discovery!A895</f>
        <v>70408030</v>
      </c>
      <c r="C889" s="9" t="str">
        <f>[1]Discovery!B895</f>
        <v>삼바</v>
      </c>
      <c r="D889" s="9" t="str">
        <f>[1]Discovery!E895</f>
        <v>동물</v>
      </c>
      <c r="E889" s="9" t="str">
        <f>[1]Discovery!C895</f>
        <v>포유류</v>
      </c>
      <c r="F889" s="9" t="str">
        <f>[1]Discovery!G895</f>
        <v>A</v>
      </c>
      <c r="G889" s="9" t="str">
        <f>IFERROR(VLOOKUP(표1[[#This Row],[명칭]],'문화권 정리'!C:D,2,FALSE),"-")</f>
        <v>동남아시아</v>
      </c>
      <c r="H889" s="38" t="str">
        <f>IFERROR(COUNTIF([2]OceanDoodad!$Y:$Y,표1[[#This Row],[명칭]]),"-")</f>
        <v>-</v>
      </c>
      <c r="I889" s="38">
        <f>IFERROR(COUNTIF([1]AdventureDiscoveryGroup!$D$8:$AW$92,표1[[#This Row],[명칭]]),"-")</f>
        <v>1</v>
      </c>
      <c r="J889" s="38">
        <f>IFERROR(COUNTIF([1]FishDiscoveryGroup!$A:$X,표1[[#This Row],[명칭]]),"-")</f>
        <v>0</v>
      </c>
      <c r="K889" s="38" t="str">
        <f>IFERROR(COUNTIF([2]Town!$B:$B,표1[[#This Row],[명칭]]),"-")</f>
        <v>-</v>
      </c>
      <c r="L889" s="38">
        <f>IFERROR(COUNTIF([1]Village!$BR:$BR,표1[[#This Row],[명칭]]),"-")</f>
        <v>0</v>
      </c>
      <c r="M889" s="38">
        <f>COUNTIF(퀘스트!B:B,표1[[#This Row],[명칭]])</f>
        <v>0</v>
      </c>
      <c r="N889" s="65">
        <f>COUNTIF([1]VillageDiscoveryGroup!$C:$C,표1[[#This Row],[명칭]])</f>
        <v>0</v>
      </c>
      <c r="O889" s="65">
        <f>SUM(표1[[#This Row],[해양탐색]:[마을탐험]])</f>
        <v>1</v>
      </c>
    </row>
    <row r="890" spans="2:15" ht="13.5" customHeight="1" x14ac:dyDescent="0.3">
      <c r="B890" s="9">
        <f>[1]Discovery!A896</f>
        <v>70408031</v>
      </c>
      <c r="C890" s="9" t="str">
        <f>[1]Discovery!B896</f>
        <v>순록</v>
      </c>
      <c r="D890" s="9" t="str">
        <f>[1]Discovery!E896</f>
        <v>동물</v>
      </c>
      <c r="E890" s="9" t="str">
        <f>[1]Discovery!C896</f>
        <v>포유류</v>
      </c>
      <c r="F890" s="9" t="str">
        <f>[1]Discovery!G896</f>
        <v>B</v>
      </c>
      <c r="G890" s="9" t="str">
        <f>IFERROR(VLOOKUP(표1[[#This Row],[명칭]],'문화권 정리'!C:D,2,FALSE),"-")</f>
        <v>남아메리카</v>
      </c>
      <c r="H890" s="38" t="str">
        <f>IFERROR(COUNTIF([2]OceanDoodad!$Y:$Y,표1[[#This Row],[명칭]]),"-")</f>
        <v>-</v>
      </c>
      <c r="I890" s="38">
        <f>IFERROR(COUNTIF([1]AdventureDiscoveryGroup!$D$8:$AW$92,표1[[#This Row],[명칭]]),"-")</f>
        <v>1</v>
      </c>
      <c r="J890" s="38">
        <f>IFERROR(COUNTIF([1]FishDiscoveryGroup!$A:$X,표1[[#This Row],[명칭]]),"-")</f>
        <v>0</v>
      </c>
      <c r="K890" s="38" t="str">
        <f>IFERROR(COUNTIF([2]Town!$B:$B,표1[[#This Row],[명칭]]),"-")</f>
        <v>-</v>
      </c>
      <c r="L890" s="38">
        <f>IFERROR(COUNTIF([1]Village!$BR:$BR,표1[[#This Row],[명칭]]),"-")</f>
        <v>0</v>
      </c>
      <c r="M890" s="38">
        <f>COUNTIF(퀘스트!B:B,표1[[#This Row],[명칭]])</f>
        <v>0</v>
      </c>
      <c r="N890" s="65">
        <f>COUNTIF([1]VillageDiscoveryGroup!$C:$C,표1[[#This Row],[명칭]])</f>
        <v>0</v>
      </c>
      <c r="O890" s="65">
        <f>SUM(표1[[#This Row],[해양탐색]:[마을탐험]])</f>
        <v>1</v>
      </c>
    </row>
    <row r="891" spans="2:15" ht="13.5" customHeight="1" x14ac:dyDescent="0.3">
      <c r="B891" s="9">
        <f>[1]Discovery!A897</f>
        <v>70408032</v>
      </c>
      <c r="C891" s="9" t="str">
        <f>[1]Discovery!B897</f>
        <v>쌍봉낙타</v>
      </c>
      <c r="D891" s="9" t="str">
        <f>[1]Discovery!E897</f>
        <v>동물</v>
      </c>
      <c r="E891" s="9" t="str">
        <f>[1]Discovery!C897</f>
        <v>포유류</v>
      </c>
      <c r="F891" s="9" t="str">
        <f>[1]Discovery!G897</f>
        <v>B</v>
      </c>
      <c r="G891" s="9" t="str">
        <f>IFERROR(VLOOKUP(표1[[#This Row],[명칭]],'문화권 정리'!C:D,2,FALSE),"-")</f>
        <v>북아메리카</v>
      </c>
      <c r="H891" s="38" t="str">
        <f>IFERROR(COUNTIF([2]OceanDoodad!$Y:$Y,표1[[#This Row],[명칭]]),"-")</f>
        <v>-</v>
      </c>
      <c r="I891" s="38">
        <f>IFERROR(COUNTIF([1]AdventureDiscoveryGroup!$D$8:$AW$92,표1[[#This Row],[명칭]]),"-")</f>
        <v>0</v>
      </c>
      <c r="J891" s="38">
        <f>IFERROR(COUNTIF([1]FishDiscoveryGroup!$A:$X,표1[[#This Row],[명칭]]),"-")</f>
        <v>0</v>
      </c>
      <c r="K891" s="38" t="str">
        <f>IFERROR(COUNTIF([2]Town!$B:$B,표1[[#This Row],[명칭]]),"-")</f>
        <v>-</v>
      </c>
      <c r="L891" s="38">
        <f>IFERROR(COUNTIF([1]Village!$BR:$BR,표1[[#This Row],[명칭]]),"-")</f>
        <v>0</v>
      </c>
      <c r="M891" s="38">
        <f>COUNTIF(퀘스트!B:B,표1[[#This Row],[명칭]])</f>
        <v>0</v>
      </c>
      <c r="N891" s="65">
        <f>COUNTIF([1]VillageDiscoveryGroup!$C:$C,표1[[#This Row],[명칭]])</f>
        <v>0</v>
      </c>
      <c r="O891" s="65">
        <f>SUM(표1[[#This Row],[해양탐색]:[마을탐험]])</f>
        <v>0</v>
      </c>
    </row>
    <row r="892" spans="2:15" ht="13.5" customHeight="1" x14ac:dyDescent="0.3">
      <c r="B892" s="9">
        <f>[1]Discovery!A898</f>
        <v>70408033</v>
      </c>
      <c r="C892" s="9" t="str">
        <f>[1]Discovery!B898</f>
        <v>아나콘다</v>
      </c>
      <c r="D892" s="9" t="str">
        <f>[1]Discovery!E898</f>
        <v>동물</v>
      </c>
      <c r="E892" s="9" t="str">
        <f>[1]Discovery!C898</f>
        <v>파충류</v>
      </c>
      <c r="F892" s="9" t="str">
        <f>[1]Discovery!G898</f>
        <v>A</v>
      </c>
      <c r="G892" s="9" t="str">
        <f>IFERROR(VLOOKUP(표1[[#This Row],[명칭]],'문화권 정리'!C:D,2,FALSE),"-")</f>
        <v>북아메리카</v>
      </c>
      <c r="H892" s="38" t="str">
        <f>IFERROR(COUNTIF([2]OceanDoodad!$Y:$Y,표1[[#This Row],[명칭]]),"-")</f>
        <v>-</v>
      </c>
      <c r="I892" s="38">
        <f>IFERROR(COUNTIF([1]AdventureDiscoveryGroup!$D$8:$AW$92,표1[[#This Row],[명칭]]),"-")</f>
        <v>0</v>
      </c>
      <c r="J892" s="38">
        <f>IFERROR(COUNTIF([1]FishDiscoveryGroup!$A:$X,표1[[#This Row],[명칭]]),"-")</f>
        <v>0</v>
      </c>
      <c r="K892" s="38" t="str">
        <f>IFERROR(COUNTIF([2]Town!$B:$B,표1[[#This Row],[명칭]]),"-")</f>
        <v>-</v>
      </c>
      <c r="L892" s="38">
        <f>IFERROR(COUNTIF([1]Village!$BR:$BR,표1[[#This Row],[명칭]]),"-")</f>
        <v>0</v>
      </c>
      <c r="M892" s="38">
        <f>COUNTIF(퀘스트!B:B,표1[[#This Row],[명칭]])</f>
        <v>0</v>
      </c>
      <c r="N892" s="65">
        <f>COUNTIF([1]VillageDiscoveryGroup!$C:$C,표1[[#This Row],[명칭]])</f>
        <v>0</v>
      </c>
      <c r="O892" s="65">
        <f>SUM(표1[[#This Row],[해양탐색]:[마을탐험]])</f>
        <v>0</v>
      </c>
    </row>
    <row r="893" spans="2:15" ht="13.5" customHeight="1" x14ac:dyDescent="0.3">
      <c r="B893" s="9">
        <f>[1]Discovery!A899</f>
        <v>70408034</v>
      </c>
      <c r="C893" s="9" t="str">
        <f>[1]Discovery!B899</f>
        <v>아메리카들소</v>
      </c>
      <c r="D893" s="9" t="str">
        <f>[1]Discovery!E899</f>
        <v>동물</v>
      </c>
      <c r="E893" s="9" t="str">
        <f>[1]Discovery!C899</f>
        <v>포유류</v>
      </c>
      <c r="F893" s="9" t="str">
        <f>[1]Discovery!G899</f>
        <v>D</v>
      </c>
      <c r="G893" s="9" t="str">
        <f>IFERROR(VLOOKUP(표1[[#This Row],[명칭]],'문화권 정리'!C:D,2,FALSE),"-")</f>
        <v>북아메리카</v>
      </c>
      <c r="H893" s="38" t="str">
        <f>IFERROR(COUNTIF([2]OceanDoodad!$Y:$Y,표1[[#This Row],[명칭]]),"-")</f>
        <v>-</v>
      </c>
      <c r="I893" s="38">
        <f>IFERROR(COUNTIF([1]AdventureDiscoveryGroup!$D$8:$AW$92,표1[[#This Row],[명칭]]),"-")</f>
        <v>1</v>
      </c>
      <c r="J893" s="38">
        <f>IFERROR(COUNTIF([1]FishDiscoveryGroup!$A:$X,표1[[#This Row],[명칭]]),"-")</f>
        <v>0</v>
      </c>
      <c r="K893" s="38" t="str">
        <f>IFERROR(COUNTIF([2]Town!$B:$B,표1[[#This Row],[명칭]]),"-")</f>
        <v>-</v>
      </c>
      <c r="L893" s="38">
        <f>IFERROR(COUNTIF([1]Village!$BR:$BR,표1[[#This Row],[명칭]]),"-")</f>
        <v>0</v>
      </c>
      <c r="M893" s="38">
        <f>COUNTIF(퀘스트!B:B,표1[[#This Row],[명칭]])</f>
        <v>0</v>
      </c>
      <c r="N893" s="65">
        <f>COUNTIF([1]VillageDiscoveryGroup!$C:$C,표1[[#This Row],[명칭]])</f>
        <v>0</v>
      </c>
      <c r="O893" s="65">
        <f>SUM(표1[[#This Row],[해양탐색]:[마을탐험]])</f>
        <v>1</v>
      </c>
    </row>
    <row r="894" spans="2:15" ht="13.5" customHeight="1" x14ac:dyDescent="0.3">
      <c r="B894" s="9">
        <f>[1]Discovery!A900</f>
        <v>70408035</v>
      </c>
      <c r="C894" s="9" t="str">
        <f>[1]Discovery!B900</f>
        <v>아메리카흑곰</v>
      </c>
      <c r="D894" s="9" t="str">
        <f>[1]Discovery!E900</f>
        <v>동물</v>
      </c>
      <c r="E894" s="9" t="str">
        <f>[1]Discovery!C900</f>
        <v>포유류</v>
      </c>
      <c r="F894" s="9" t="str">
        <f>[1]Discovery!G900</f>
        <v>A</v>
      </c>
      <c r="G894" s="9" t="str">
        <f>IFERROR(VLOOKUP(표1[[#This Row],[명칭]],'문화권 정리'!C:D,2,FALSE),"-")</f>
        <v>북아메리카</v>
      </c>
      <c r="H894" s="38" t="str">
        <f>IFERROR(COUNTIF([2]OceanDoodad!$Y:$Y,표1[[#This Row],[명칭]]),"-")</f>
        <v>-</v>
      </c>
      <c r="I894" s="38">
        <f>IFERROR(COUNTIF([1]AdventureDiscoveryGroup!$D$8:$AW$92,표1[[#This Row],[명칭]]),"-")</f>
        <v>1</v>
      </c>
      <c r="J894" s="38">
        <f>IFERROR(COUNTIF([1]FishDiscoveryGroup!$A:$X,표1[[#This Row],[명칭]]),"-")</f>
        <v>0</v>
      </c>
      <c r="K894" s="38" t="str">
        <f>IFERROR(COUNTIF([2]Town!$B:$B,표1[[#This Row],[명칭]]),"-")</f>
        <v>-</v>
      </c>
      <c r="L894" s="38">
        <f>IFERROR(COUNTIF([1]Village!$BR:$BR,표1[[#This Row],[명칭]]),"-")</f>
        <v>0</v>
      </c>
      <c r="M894" s="38">
        <f>COUNTIF(퀘스트!B:B,표1[[#This Row],[명칭]])</f>
        <v>0</v>
      </c>
      <c r="N894" s="65">
        <f>COUNTIF([1]VillageDiscoveryGroup!$C:$C,표1[[#This Row],[명칭]])</f>
        <v>0</v>
      </c>
      <c r="O894" s="65">
        <f>SUM(표1[[#This Row],[해양탐색]:[마을탐험]])</f>
        <v>1</v>
      </c>
    </row>
    <row r="895" spans="2:15" ht="13.5" customHeight="1" x14ac:dyDescent="0.3">
      <c r="B895" s="9">
        <f>[1]Discovery!A901</f>
        <v>70408036</v>
      </c>
      <c r="C895" s="9" t="str">
        <f>[1]Discovery!B901</f>
        <v>아무르표범</v>
      </c>
      <c r="D895" s="9" t="str">
        <f>[1]Discovery!E901</f>
        <v>동물</v>
      </c>
      <c r="E895" s="9" t="str">
        <f>[1]Discovery!C901</f>
        <v>포유류</v>
      </c>
      <c r="F895" s="9" t="str">
        <f>[1]Discovery!G901</f>
        <v>A</v>
      </c>
      <c r="G895" s="9" t="str">
        <f>IFERROR(VLOOKUP(표1[[#This Row],[명칭]],'문화권 정리'!C:D,2,FALSE),"-")</f>
        <v>유라시아</v>
      </c>
      <c r="H895" s="38" t="str">
        <f>IFERROR(COUNTIF([2]OceanDoodad!$Y:$Y,표1[[#This Row],[명칭]]),"-")</f>
        <v>-</v>
      </c>
      <c r="I895" s="38">
        <f>IFERROR(COUNTIF([1]AdventureDiscoveryGroup!$D$8:$AW$92,표1[[#This Row],[명칭]]),"-")</f>
        <v>0</v>
      </c>
      <c r="J895" s="38">
        <f>IFERROR(COUNTIF([1]FishDiscoveryGroup!$A:$X,표1[[#This Row],[명칭]]),"-")</f>
        <v>0</v>
      </c>
      <c r="K895" s="38" t="str">
        <f>IFERROR(COUNTIF([2]Town!$B:$B,표1[[#This Row],[명칭]]),"-")</f>
        <v>-</v>
      </c>
      <c r="L895" s="38">
        <f>IFERROR(COUNTIF([1]Village!$BR:$BR,표1[[#This Row],[명칭]]),"-")</f>
        <v>0</v>
      </c>
      <c r="M895" s="38">
        <f>COUNTIF(퀘스트!B:B,표1[[#This Row],[명칭]])</f>
        <v>0</v>
      </c>
      <c r="N895" s="65">
        <f>COUNTIF([1]VillageDiscoveryGroup!$C:$C,표1[[#This Row],[명칭]])</f>
        <v>1</v>
      </c>
      <c r="O895" s="65">
        <f>SUM(표1[[#This Row],[해양탐색]:[마을탐험]])</f>
        <v>1</v>
      </c>
    </row>
    <row r="896" spans="2:15" ht="13.5" customHeight="1" x14ac:dyDescent="0.3">
      <c r="B896" s="9">
        <f>[1]Discovery!A902</f>
        <v>70408037</v>
      </c>
      <c r="C896" s="9" t="str">
        <f>[1]Discovery!B902</f>
        <v>아무르호랑이</v>
      </c>
      <c r="D896" s="9" t="str">
        <f>[1]Discovery!E902</f>
        <v>동물</v>
      </c>
      <c r="E896" s="9" t="str">
        <f>[1]Discovery!C902</f>
        <v>포유류</v>
      </c>
      <c r="F896" s="9" t="str">
        <f>[1]Discovery!G902</f>
        <v>A</v>
      </c>
      <c r="G896" s="9" t="str">
        <f>IFERROR(VLOOKUP(표1[[#This Row],[명칭]],'문화권 정리'!C:D,2,FALSE),"-")</f>
        <v>유라시아</v>
      </c>
      <c r="H896" s="38" t="str">
        <f>IFERROR(COUNTIF([2]OceanDoodad!$Y:$Y,표1[[#This Row],[명칭]]),"-")</f>
        <v>-</v>
      </c>
      <c r="I896" s="38">
        <f>IFERROR(COUNTIF([1]AdventureDiscoveryGroup!$D$8:$AW$92,표1[[#This Row],[명칭]]),"-")</f>
        <v>1</v>
      </c>
      <c r="J896" s="38">
        <f>IFERROR(COUNTIF([1]FishDiscoveryGroup!$A:$X,표1[[#This Row],[명칭]]),"-")</f>
        <v>0</v>
      </c>
      <c r="K896" s="38" t="str">
        <f>IFERROR(COUNTIF([2]Town!$B:$B,표1[[#This Row],[명칭]]),"-")</f>
        <v>-</v>
      </c>
      <c r="L896" s="38">
        <f>IFERROR(COUNTIF([1]Village!$BR:$BR,표1[[#This Row],[명칭]]),"-")</f>
        <v>0</v>
      </c>
      <c r="M896" s="38">
        <f>COUNTIF(퀘스트!B:B,표1[[#This Row],[명칭]])</f>
        <v>0</v>
      </c>
      <c r="N896" s="65">
        <f>COUNTIF([1]VillageDiscoveryGroup!$C:$C,표1[[#This Row],[명칭]])</f>
        <v>0</v>
      </c>
      <c r="O896" s="65">
        <f>SUM(표1[[#This Row],[해양탐색]:[마을탐험]])</f>
        <v>1</v>
      </c>
    </row>
    <row r="897" spans="2:15" ht="13.5" customHeight="1" x14ac:dyDescent="0.3">
      <c r="B897" s="9">
        <f>[1]Discovery!A903</f>
        <v>70408038</v>
      </c>
      <c r="C897" s="9" t="str">
        <f>[1]Discovery!B903</f>
        <v>아프리카들소</v>
      </c>
      <c r="D897" s="9" t="str">
        <f>[1]Discovery!E903</f>
        <v>동물</v>
      </c>
      <c r="E897" s="9" t="str">
        <f>[1]Discovery!C903</f>
        <v>포유류</v>
      </c>
      <c r="F897" s="9" t="str">
        <f>[1]Discovery!G903</f>
        <v>C</v>
      </c>
      <c r="G897" s="9" t="str">
        <f>IFERROR(VLOOKUP(표1[[#This Row],[명칭]],'문화권 정리'!C:D,2,FALSE),"-")</f>
        <v>남아프리카</v>
      </c>
      <c r="H897" s="38" t="str">
        <f>IFERROR(COUNTIF([2]OceanDoodad!$Y:$Y,표1[[#This Row],[명칭]]),"-")</f>
        <v>-</v>
      </c>
      <c r="I897" s="38">
        <f>IFERROR(COUNTIF([1]AdventureDiscoveryGroup!$D$8:$AW$92,표1[[#This Row],[명칭]]),"-")</f>
        <v>1</v>
      </c>
      <c r="J897" s="38">
        <f>IFERROR(COUNTIF([1]FishDiscoveryGroup!$A:$X,표1[[#This Row],[명칭]]),"-")</f>
        <v>0</v>
      </c>
      <c r="K897" s="38" t="str">
        <f>IFERROR(COUNTIF([2]Town!$B:$B,표1[[#This Row],[명칭]]),"-")</f>
        <v>-</v>
      </c>
      <c r="L897" s="38">
        <f>IFERROR(COUNTIF([1]Village!$BR:$BR,표1[[#This Row],[명칭]]),"-")</f>
        <v>0</v>
      </c>
      <c r="M897" s="38">
        <f>COUNTIF(퀘스트!B:B,표1[[#This Row],[명칭]])</f>
        <v>0</v>
      </c>
      <c r="N897" s="65">
        <f>COUNTIF([1]VillageDiscoveryGroup!$C:$C,표1[[#This Row],[명칭]])</f>
        <v>0</v>
      </c>
      <c r="O897" s="65">
        <f>SUM(표1[[#This Row],[해양탐색]:[마을탐험]])</f>
        <v>1</v>
      </c>
    </row>
    <row r="898" spans="2:15" ht="13.5" customHeight="1" x14ac:dyDescent="0.3">
      <c r="B898" s="9">
        <f>[1]Discovery!A904</f>
        <v>70408039</v>
      </c>
      <c r="C898" s="9" t="str">
        <f>[1]Discovery!B904</f>
        <v>아프리카코끼리</v>
      </c>
      <c r="D898" s="9" t="str">
        <f>[1]Discovery!E904</f>
        <v>동물</v>
      </c>
      <c r="E898" s="9" t="str">
        <f>[1]Discovery!C904</f>
        <v>포유류</v>
      </c>
      <c r="F898" s="9" t="str">
        <f>[1]Discovery!G904</f>
        <v>S</v>
      </c>
      <c r="G898" s="9" t="str">
        <f>IFERROR(VLOOKUP(표1[[#This Row],[명칭]],'문화권 정리'!C:D,2,FALSE),"-")</f>
        <v>서아프리카</v>
      </c>
      <c r="H898" s="38" t="str">
        <f>IFERROR(COUNTIF([2]OceanDoodad!$Y:$Y,표1[[#This Row],[명칭]]),"-")</f>
        <v>-</v>
      </c>
      <c r="I898" s="38">
        <f>IFERROR(COUNTIF([1]AdventureDiscoveryGroup!$D$8:$AW$92,표1[[#This Row],[명칭]]),"-")</f>
        <v>0</v>
      </c>
      <c r="J898" s="38">
        <f>IFERROR(COUNTIF([1]FishDiscoveryGroup!$A:$X,표1[[#This Row],[명칭]]),"-")</f>
        <v>0</v>
      </c>
      <c r="K898" s="38" t="str">
        <f>IFERROR(COUNTIF([2]Town!$B:$B,표1[[#This Row],[명칭]]),"-")</f>
        <v>-</v>
      </c>
      <c r="L898" s="38">
        <f>IFERROR(COUNTIF([1]Village!$BR:$BR,표1[[#This Row],[명칭]]),"-")</f>
        <v>0</v>
      </c>
      <c r="M898" s="38">
        <f>COUNTIF(퀘스트!B:B,표1[[#This Row],[명칭]])</f>
        <v>0</v>
      </c>
      <c r="N898" s="65">
        <f>COUNTIF([1]VillageDiscoveryGroup!$C:$C,표1[[#This Row],[명칭]])</f>
        <v>0</v>
      </c>
      <c r="O898" s="65">
        <f>SUM(표1[[#This Row],[해양탐색]:[마을탐험]])</f>
        <v>0</v>
      </c>
    </row>
    <row r="899" spans="2:15" ht="13.5" customHeight="1" x14ac:dyDescent="0.3">
      <c r="B899" s="9">
        <f>[1]Discovery!A905</f>
        <v>70408040</v>
      </c>
      <c r="C899" s="9" t="str">
        <f>[1]Discovery!B905</f>
        <v>안경곰</v>
      </c>
      <c r="D899" s="9" t="str">
        <f>[1]Discovery!E905</f>
        <v>동물</v>
      </c>
      <c r="E899" s="9" t="str">
        <f>[1]Discovery!C905</f>
        <v>포유류</v>
      </c>
      <c r="F899" s="9" t="str">
        <f>[1]Discovery!G905</f>
        <v>D</v>
      </c>
      <c r="G899" s="9" t="str">
        <f>IFERROR(VLOOKUP(표1[[#This Row],[명칭]],'문화권 정리'!C:D,2,FALSE),"-")</f>
        <v>남아메리카</v>
      </c>
      <c r="H899" s="38" t="str">
        <f>IFERROR(COUNTIF([2]OceanDoodad!$Y:$Y,표1[[#This Row],[명칭]]),"-")</f>
        <v>-</v>
      </c>
      <c r="I899" s="38">
        <f>IFERROR(COUNTIF([1]AdventureDiscoveryGroup!$D$8:$AW$92,표1[[#This Row],[명칭]]),"-")</f>
        <v>0</v>
      </c>
      <c r="J899" s="38">
        <f>IFERROR(COUNTIF([1]FishDiscoveryGroup!$A:$X,표1[[#This Row],[명칭]]),"-")</f>
        <v>0</v>
      </c>
      <c r="K899" s="38" t="str">
        <f>IFERROR(COUNTIF([2]Town!$B:$B,표1[[#This Row],[명칭]]),"-")</f>
        <v>-</v>
      </c>
      <c r="L899" s="38">
        <f>IFERROR(COUNTIF([1]Village!$BR:$BR,표1[[#This Row],[명칭]]),"-")</f>
        <v>0</v>
      </c>
      <c r="M899" s="38">
        <f>COUNTIF(퀘스트!B:B,표1[[#This Row],[명칭]])</f>
        <v>0</v>
      </c>
      <c r="N899" s="65">
        <f>COUNTIF([1]VillageDiscoveryGroup!$C:$C,표1[[#This Row],[명칭]])</f>
        <v>0</v>
      </c>
      <c r="O899" s="65">
        <f>SUM(표1[[#This Row],[해양탐색]:[마을탐험]])</f>
        <v>0</v>
      </c>
    </row>
    <row r="900" spans="2:15" ht="13.5" customHeight="1" x14ac:dyDescent="0.3">
      <c r="B900" s="9">
        <f>[1]Discovery!A906</f>
        <v>70408041</v>
      </c>
      <c r="C900" s="9" t="str">
        <f>[1]Discovery!B906</f>
        <v>안경카이만</v>
      </c>
      <c r="D900" s="9" t="str">
        <f>[1]Discovery!E906</f>
        <v>동물</v>
      </c>
      <c r="E900" s="9" t="str">
        <f>[1]Discovery!C906</f>
        <v>파충류</v>
      </c>
      <c r="F900" s="9" t="str">
        <f>[1]Discovery!G906</f>
        <v>C</v>
      </c>
      <c r="G900" s="9" t="str">
        <f>IFERROR(VLOOKUP(표1[[#This Row],[명칭]],'문화권 정리'!C:D,2,FALSE),"-")</f>
        <v>남아메리카</v>
      </c>
      <c r="H900" s="38" t="str">
        <f>IFERROR(COUNTIF([2]OceanDoodad!$Y:$Y,표1[[#This Row],[명칭]]),"-")</f>
        <v>-</v>
      </c>
      <c r="I900" s="38">
        <f>IFERROR(COUNTIF([1]AdventureDiscoveryGroup!$D$8:$AW$92,표1[[#This Row],[명칭]]),"-")</f>
        <v>1</v>
      </c>
      <c r="J900" s="38">
        <f>IFERROR(COUNTIF([1]FishDiscoveryGroup!$A:$X,표1[[#This Row],[명칭]]),"-")</f>
        <v>0</v>
      </c>
      <c r="K900" s="38" t="str">
        <f>IFERROR(COUNTIF([2]Town!$B:$B,표1[[#This Row],[명칭]]),"-")</f>
        <v>-</v>
      </c>
      <c r="L900" s="38">
        <f>IFERROR(COUNTIF([1]Village!$BR:$BR,표1[[#This Row],[명칭]]),"-")</f>
        <v>0</v>
      </c>
      <c r="M900" s="38">
        <f>COUNTIF(퀘스트!B:B,표1[[#This Row],[명칭]])</f>
        <v>0</v>
      </c>
      <c r="N900" s="65">
        <f>COUNTIF([1]VillageDiscoveryGroup!$C:$C,표1[[#This Row],[명칭]])</f>
        <v>0</v>
      </c>
      <c r="O900" s="65">
        <f>SUM(표1[[#This Row],[해양탐색]:[마을탐험]])</f>
        <v>1</v>
      </c>
    </row>
    <row r="901" spans="2:15" ht="13.5" customHeight="1" x14ac:dyDescent="0.3">
      <c r="B901" s="9">
        <f>[1]Discovery!A907</f>
        <v>70408042</v>
      </c>
      <c r="C901" s="9" t="str">
        <f>[1]Discovery!B907</f>
        <v>양쯔강악어</v>
      </c>
      <c r="D901" s="9" t="str">
        <f>[1]Discovery!E907</f>
        <v>동물</v>
      </c>
      <c r="E901" s="9" t="str">
        <f>[1]Discovery!C907</f>
        <v>파충류</v>
      </c>
      <c r="F901" s="9" t="str">
        <f>[1]Discovery!G907</f>
        <v>B</v>
      </c>
      <c r="G901" s="9" t="str">
        <f>IFERROR(VLOOKUP(표1[[#This Row],[명칭]],'문화권 정리'!C:D,2,FALSE),"-")</f>
        <v>동아시아</v>
      </c>
      <c r="H901" s="38" t="str">
        <f>IFERROR(COUNTIF([2]OceanDoodad!$Y:$Y,표1[[#This Row],[명칭]]),"-")</f>
        <v>-</v>
      </c>
      <c r="I901" s="38">
        <f>IFERROR(COUNTIF([1]AdventureDiscoveryGroup!$D$8:$AW$92,표1[[#This Row],[명칭]]),"-")</f>
        <v>1</v>
      </c>
      <c r="J901" s="38">
        <f>IFERROR(COUNTIF([1]FishDiscoveryGroup!$A:$X,표1[[#This Row],[명칭]]),"-")</f>
        <v>0</v>
      </c>
      <c r="K901" s="38" t="str">
        <f>IFERROR(COUNTIF([2]Town!$B:$B,표1[[#This Row],[명칭]]),"-")</f>
        <v>-</v>
      </c>
      <c r="L901" s="38">
        <f>IFERROR(COUNTIF([1]Village!$BR:$BR,표1[[#This Row],[명칭]]),"-")</f>
        <v>0</v>
      </c>
      <c r="M901" s="38">
        <f>COUNTIF(퀘스트!B:B,표1[[#This Row],[명칭]])</f>
        <v>0</v>
      </c>
      <c r="N901" s="65">
        <f>COUNTIF([1]VillageDiscoveryGroup!$C:$C,표1[[#This Row],[명칭]])</f>
        <v>0</v>
      </c>
      <c r="O901" s="65">
        <f>SUM(표1[[#This Row],[해양탐색]:[마을탐험]])</f>
        <v>1</v>
      </c>
    </row>
    <row r="902" spans="2:15" ht="13.5" customHeight="1" x14ac:dyDescent="0.3">
      <c r="B902" s="9">
        <f>[1]Discovery!A908</f>
        <v>70408043</v>
      </c>
      <c r="C902" s="9" t="str">
        <f>[1]Discovery!B908</f>
        <v>오랑우탄</v>
      </c>
      <c r="D902" s="9" t="str">
        <f>[1]Discovery!E908</f>
        <v>동물</v>
      </c>
      <c r="E902" s="9" t="str">
        <f>[1]Discovery!C908</f>
        <v>포유류</v>
      </c>
      <c r="F902" s="9" t="str">
        <f>[1]Discovery!G908</f>
        <v>B</v>
      </c>
      <c r="G902" s="9" t="str">
        <f>IFERROR(VLOOKUP(표1[[#This Row],[명칭]],'문화권 정리'!C:D,2,FALSE),"-")</f>
        <v>동남아시아</v>
      </c>
      <c r="H902" s="38" t="str">
        <f>IFERROR(COUNTIF([2]OceanDoodad!$Y:$Y,표1[[#This Row],[명칭]]),"-")</f>
        <v>-</v>
      </c>
      <c r="I902" s="38">
        <f>IFERROR(COUNTIF([1]AdventureDiscoveryGroup!$D$8:$AW$92,표1[[#This Row],[명칭]]),"-")</f>
        <v>1</v>
      </c>
      <c r="J902" s="38">
        <f>IFERROR(COUNTIF([1]FishDiscoveryGroup!$A:$X,표1[[#This Row],[명칭]]),"-")</f>
        <v>0</v>
      </c>
      <c r="K902" s="38" t="str">
        <f>IFERROR(COUNTIF([2]Town!$B:$B,표1[[#This Row],[명칭]]),"-")</f>
        <v>-</v>
      </c>
      <c r="L902" s="38">
        <f>IFERROR(COUNTIF([1]Village!$BR:$BR,표1[[#This Row],[명칭]]),"-")</f>
        <v>0</v>
      </c>
      <c r="M902" s="38">
        <f>COUNTIF(퀘스트!B:B,표1[[#This Row],[명칭]])</f>
        <v>0</v>
      </c>
      <c r="N902" s="65">
        <f>COUNTIF([1]VillageDiscoveryGroup!$C:$C,표1[[#This Row],[명칭]])</f>
        <v>0</v>
      </c>
      <c r="O902" s="65">
        <f>SUM(표1[[#This Row],[해양탐색]:[마을탐험]])</f>
        <v>1</v>
      </c>
    </row>
    <row r="903" spans="2:15" ht="13.5" customHeight="1" x14ac:dyDescent="0.3">
      <c r="B903" s="9">
        <f>[1]Discovery!A909</f>
        <v>70408044</v>
      </c>
      <c r="C903" s="9" t="str">
        <f>[1]Discovery!B909</f>
        <v>오록스</v>
      </c>
      <c r="D903" s="9" t="str">
        <f>[1]Discovery!E909</f>
        <v>동물</v>
      </c>
      <c r="E903" s="9" t="str">
        <f>[1]Discovery!C909</f>
        <v>포유류</v>
      </c>
      <c r="F903" s="9" t="str">
        <f>[1]Discovery!G909</f>
        <v>C</v>
      </c>
      <c r="G903" s="9" t="str">
        <f>IFERROR(VLOOKUP(표1[[#This Row],[명칭]],'문화권 정리'!C:D,2,FALSE),"-")</f>
        <v>북유럽</v>
      </c>
      <c r="H903" s="38" t="str">
        <f>IFERROR(COUNTIF([2]OceanDoodad!$Y:$Y,표1[[#This Row],[명칭]]),"-")</f>
        <v>-</v>
      </c>
      <c r="I903" s="38">
        <f>IFERROR(COUNTIF([1]AdventureDiscoveryGroup!$D$8:$AW$92,표1[[#This Row],[명칭]]),"-")</f>
        <v>1</v>
      </c>
      <c r="J903" s="38">
        <f>IFERROR(COUNTIF([1]FishDiscoveryGroup!$A:$X,표1[[#This Row],[명칭]]),"-")</f>
        <v>0</v>
      </c>
      <c r="K903" s="38" t="str">
        <f>IFERROR(COUNTIF([2]Town!$B:$B,표1[[#This Row],[명칭]]),"-")</f>
        <v>-</v>
      </c>
      <c r="L903" s="38">
        <f>IFERROR(COUNTIF([1]Village!$BR:$BR,표1[[#This Row],[명칭]]),"-")</f>
        <v>0</v>
      </c>
      <c r="M903" s="38">
        <f>COUNTIF(퀘스트!B:B,표1[[#This Row],[명칭]])</f>
        <v>0</v>
      </c>
      <c r="N903" s="65">
        <f>COUNTIF([1]VillageDiscoveryGroup!$C:$C,표1[[#This Row],[명칭]])</f>
        <v>0</v>
      </c>
      <c r="O903" s="65">
        <f>SUM(표1[[#This Row],[해양탐색]:[마을탐험]])</f>
        <v>1</v>
      </c>
    </row>
    <row r="904" spans="2:15" ht="13.5" customHeight="1" x14ac:dyDescent="0.3">
      <c r="B904" s="9">
        <f>[1]Discovery!A910</f>
        <v>70408045</v>
      </c>
      <c r="C904" s="9" t="str">
        <f>[1]Discovery!B910</f>
        <v>왕도마뱀</v>
      </c>
      <c r="D904" s="9" t="str">
        <f>[1]Discovery!E910</f>
        <v>동물</v>
      </c>
      <c r="E904" s="9" t="str">
        <f>[1]Discovery!C910</f>
        <v>파충류</v>
      </c>
      <c r="F904" s="9" t="str">
        <f>[1]Discovery!G910</f>
        <v>D</v>
      </c>
      <c r="G904" s="9" t="str">
        <f>IFERROR(VLOOKUP(표1[[#This Row],[명칭]],'문화권 정리'!C:D,2,FALSE),"-")</f>
        <v>오세아니아</v>
      </c>
      <c r="H904" s="38" t="str">
        <f>IFERROR(COUNTIF([2]OceanDoodad!$Y:$Y,표1[[#This Row],[명칭]]),"-")</f>
        <v>-</v>
      </c>
      <c r="I904" s="38">
        <f>IFERROR(COUNTIF([1]AdventureDiscoveryGroup!$D$8:$AW$92,표1[[#This Row],[명칭]]),"-")</f>
        <v>1</v>
      </c>
      <c r="J904" s="38">
        <f>IFERROR(COUNTIF([1]FishDiscoveryGroup!$A:$X,표1[[#This Row],[명칭]]),"-")</f>
        <v>0</v>
      </c>
      <c r="K904" s="38" t="str">
        <f>IFERROR(COUNTIF([2]Town!$B:$B,표1[[#This Row],[명칭]]),"-")</f>
        <v>-</v>
      </c>
      <c r="L904" s="38">
        <f>IFERROR(COUNTIF([1]Village!$BR:$BR,표1[[#This Row],[명칭]]),"-")</f>
        <v>0</v>
      </c>
      <c r="M904" s="38">
        <f>COUNTIF(퀘스트!B:B,표1[[#This Row],[명칭]])</f>
        <v>0</v>
      </c>
      <c r="N904" s="65">
        <f>COUNTIF([1]VillageDiscoveryGroup!$C:$C,표1[[#This Row],[명칭]])</f>
        <v>0</v>
      </c>
      <c r="O904" s="65">
        <f>SUM(표1[[#This Row],[해양탐색]:[마을탐험]])</f>
        <v>1</v>
      </c>
    </row>
    <row r="905" spans="2:15" ht="13.5" customHeight="1" x14ac:dyDescent="0.3">
      <c r="B905" s="9">
        <f>[1]Discovery!A911</f>
        <v>70408046</v>
      </c>
      <c r="C905" s="9" t="str">
        <f>[1]Discovery!B911</f>
        <v>유럽 들소</v>
      </c>
      <c r="D905" s="9" t="str">
        <f>[1]Discovery!E911</f>
        <v>동물</v>
      </c>
      <c r="E905" s="9" t="str">
        <f>[1]Discovery!C911</f>
        <v>포유류</v>
      </c>
      <c r="F905" s="9" t="str">
        <f>[1]Discovery!G911</f>
        <v>D</v>
      </c>
      <c r="G905" s="9" t="str">
        <f>IFERROR(VLOOKUP(표1[[#This Row],[명칭]],'문화권 정리'!C:D,2,FALSE),"-")</f>
        <v>북유럽</v>
      </c>
      <c r="H905" s="38" t="str">
        <f>IFERROR(COUNTIF([2]OceanDoodad!$Y:$Y,표1[[#This Row],[명칭]]),"-")</f>
        <v>-</v>
      </c>
      <c r="I905" s="38">
        <f>IFERROR(COUNTIF([1]AdventureDiscoveryGroup!$D$8:$AW$92,표1[[#This Row],[명칭]]),"-")</f>
        <v>1</v>
      </c>
      <c r="J905" s="38">
        <f>IFERROR(COUNTIF([1]FishDiscoveryGroup!$A:$X,표1[[#This Row],[명칭]]),"-")</f>
        <v>0</v>
      </c>
      <c r="K905" s="38" t="str">
        <f>IFERROR(COUNTIF([2]Town!$B:$B,표1[[#This Row],[명칭]]),"-")</f>
        <v>-</v>
      </c>
      <c r="L905" s="38">
        <f>IFERROR(COUNTIF([1]Village!$BR:$BR,표1[[#This Row],[명칭]]),"-")</f>
        <v>0</v>
      </c>
      <c r="M905" s="38">
        <f>COUNTIF(퀘스트!B:B,표1[[#This Row],[명칭]])</f>
        <v>0</v>
      </c>
      <c r="N905" s="65">
        <f>COUNTIF([1]VillageDiscoveryGroup!$C:$C,표1[[#This Row],[명칭]])</f>
        <v>0</v>
      </c>
      <c r="O905" s="65">
        <f>SUM(표1[[#This Row],[해양탐색]:[마을탐험]])</f>
        <v>1</v>
      </c>
    </row>
    <row r="906" spans="2:15" ht="13.5" customHeight="1" x14ac:dyDescent="0.3">
      <c r="B906" s="9">
        <f>[1]Discovery!A912</f>
        <v>70408047</v>
      </c>
      <c r="C906" s="9" t="str">
        <f>[1]Discovery!B912</f>
        <v>인도가비알</v>
      </c>
      <c r="D906" s="9" t="str">
        <f>[1]Discovery!E912</f>
        <v>동물</v>
      </c>
      <c r="E906" s="9" t="str">
        <f>[1]Discovery!C912</f>
        <v>파충류</v>
      </c>
      <c r="F906" s="9" t="str">
        <f>[1]Discovery!G912</f>
        <v>D</v>
      </c>
      <c r="G906" s="9" t="str">
        <f>IFERROR(VLOOKUP(표1[[#This Row],[명칭]],'문화권 정리'!C:D,2,FALSE),"-")</f>
        <v>남아시아</v>
      </c>
      <c r="H906" s="38" t="str">
        <f>IFERROR(COUNTIF([2]OceanDoodad!$Y:$Y,표1[[#This Row],[명칭]]),"-")</f>
        <v>-</v>
      </c>
      <c r="I906" s="38">
        <f>IFERROR(COUNTIF([1]AdventureDiscoveryGroup!$D$8:$AW$92,표1[[#This Row],[명칭]]),"-")</f>
        <v>0</v>
      </c>
      <c r="J906" s="38">
        <f>IFERROR(COUNTIF([1]FishDiscoveryGroup!$A:$X,표1[[#This Row],[명칭]]),"-")</f>
        <v>0</v>
      </c>
      <c r="K906" s="38" t="str">
        <f>IFERROR(COUNTIF([2]Town!$B:$B,표1[[#This Row],[명칭]]),"-")</f>
        <v>-</v>
      </c>
      <c r="L906" s="38">
        <f>IFERROR(COUNTIF([1]Village!$BR:$BR,표1[[#This Row],[명칭]]),"-")</f>
        <v>0</v>
      </c>
      <c r="M906" s="38">
        <f>COUNTIF(퀘스트!B:B,표1[[#This Row],[명칭]])</f>
        <v>0</v>
      </c>
      <c r="N906" s="65">
        <f>COUNTIF([1]VillageDiscoveryGroup!$C:$C,표1[[#This Row],[명칭]])</f>
        <v>0</v>
      </c>
      <c r="O906" s="65">
        <f>SUM(표1[[#This Row],[해양탐색]:[마을탐험]])</f>
        <v>0</v>
      </c>
    </row>
    <row r="907" spans="2:15" ht="13.5" customHeight="1" x14ac:dyDescent="0.3">
      <c r="B907" s="9">
        <f>[1]Discovery!A913</f>
        <v>70408048</v>
      </c>
      <c r="C907" s="9" t="str">
        <f>[1]Discovery!B913</f>
        <v>인도코끼리</v>
      </c>
      <c r="D907" s="9" t="str">
        <f>[1]Discovery!E913</f>
        <v>동물</v>
      </c>
      <c r="E907" s="9" t="str">
        <f>[1]Discovery!C913</f>
        <v>포유류</v>
      </c>
      <c r="F907" s="9" t="str">
        <f>[1]Discovery!G913</f>
        <v>A</v>
      </c>
      <c r="G907" s="9" t="str">
        <f>IFERROR(VLOOKUP(표1[[#This Row],[명칭]],'문화권 정리'!C:D,2,FALSE),"-")</f>
        <v>남아시아</v>
      </c>
      <c r="H907" s="38" t="str">
        <f>IFERROR(COUNTIF([2]OceanDoodad!$Y:$Y,표1[[#This Row],[명칭]]),"-")</f>
        <v>-</v>
      </c>
      <c r="I907" s="38">
        <f>IFERROR(COUNTIF([1]AdventureDiscoveryGroup!$D$8:$AW$92,표1[[#This Row],[명칭]]),"-")</f>
        <v>0</v>
      </c>
      <c r="J907" s="38">
        <f>IFERROR(COUNTIF([1]FishDiscoveryGroup!$A:$X,표1[[#This Row],[명칭]]),"-")</f>
        <v>0</v>
      </c>
      <c r="K907" s="38" t="str">
        <f>IFERROR(COUNTIF([2]Town!$B:$B,표1[[#This Row],[명칭]]),"-")</f>
        <v>-</v>
      </c>
      <c r="L907" s="38">
        <f>IFERROR(COUNTIF([1]Village!$BR:$BR,표1[[#This Row],[명칭]]),"-")</f>
        <v>0</v>
      </c>
      <c r="M907" s="38">
        <f>COUNTIF(퀘스트!B:B,표1[[#This Row],[명칭]])</f>
        <v>0</v>
      </c>
      <c r="N907" s="65">
        <f>COUNTIF([1]VillageDiscoveryGroup!$C:$C,표1[[#This Row],[명칭]])</f>
        <v>0</v>
      </c>
      <c r="O907" s="65">
        <f>SUM(표1[[#This Row],[해양탐색]:[마을탐험]])</f>
        <v>0</v>
      </c>
    </row>
    <row r="908" spans="2:15" ht="13.5" customHeight="1" x14ac:dyDescent="0.3">
      <c r="B908" s="9">
        <f>[1]Discovery!A914</f>
        <v>70408049</v>
      </c>
      <c r="C908" s="9" t="str">
        <f>[1]Discovery!B914</f>
        <v>치타</v>
      </c>
      <c r="D908" s="9" t="str">
        <f>[1]Discovery!E914</f>
        <v>동물</v>
      </c>
      <c r="E908" s="9" t="str">
        <f>[1]Discovery!C914</f>
        <v>포유류</v>
      </c>
      <c r="F908" s="9" t="str">
        <f>[1]Discovery!G914</f>
        <v>B</v>
      </c>
      <c r="G908" s="9" t="str">
        <f>IFERROR(VLOOKUP(표1[[#This Row],[명칭]],'문화권 정리'!C:D,2,FALSE),"-")</f>
        <v>남아프리카</v>
      </c>
      <c r="H908" s="38" t="str">
        <f>IFERROR(COUNTIF([2]OceanDoodad!$Y:$Y,표1[[#This Row],[명칭]]),"-")</f>
        <v>-</v>
      </c>
      <c r="I908" s="38">
        <f>IFERROR(COUNTIF([1]AdventureDiscoveryGroup!$D$8:$AW$92,표1[[#This Row],[명칭]]),"-")</f>
        <v>0</v>
      </c>
      <c r="J908" s="38">
        <f>IFERROR(COUNTIF([1]FishDiscoveryGroup!$A:$X,표1[[#This Row],[명칭]]),"-")</f>
        <v>0</v>
      </c>
      <c r="K908" s="38" t="str">
        <f>IFERROR(COUNTIF([2]Town!$B:$B,표1[[#This Row],[명칭]]),"-")</f>
        <v>-</v>
      </c>
      <c r="L908" s="38">
        <f>IFERROR(COUNTIF([1]Village!$BR:$BR,표1[[#This Row],[명칭]]),"-")</f>
        <v>0</v>
      </c>
      <c r="M908" s="38">
        <f>COUNTIF(퀘스트!B:B,표1[[#This Row],[명칭]])</f>
        <v>0</v>
      </c>
      <c r="N908" s="65">
        <f>COUNTIF([1]VillageDiscoveryGroup!$C:$C,표1[[#This Row],[명칭]])</f>
        <v>1</v>
      </c>
      <c r="O908" s="65">
        <f>SUM(표1[[#This Row],[해양탐색]:[마을탐험]])</f>
        <v>1</v>
      </c>
    </row>
    <row r="909" spans="2:15" ht="13.5" customHeight="1" x14ac:dyDescent="0.3">
      <c r="B909" s="9">
        <f>[1]Discovery!A915</f>
        <v>70408050</v>
      </c>
      <c r="C909" s="9" t="str">
        <f>[1]Discovery!B915</f>
        <v>코모도왕도마뱀</v>
      </c>
      <c r="D909" s="9" t="str">
        <f>[1]Discovery!E915</f>
        <v>동물</v>
      </c>
      <c r="E909" s="9" t="str">
        <f>[1]Discovery!C915</f>
        <v>파충류</v>
      </c>
      <c r="F909" s="9" t="str">
        <f>[1]Discovery!G915</f>
        <v>A</v>
      </c>
      <c r="G909" s="9" t="str">
        <f>IFERROR(VLOOKUP(표1[[#This Row],[명칭]],'문화권 정리'!C:D,2,FALSE),"-")</f>
        <v>동남아시아</v>
      </c>
      <c r="H909" s="38" t="str">
        <f>IFERROR(COUNTIF([2]OceanDoodad!$Y:$Y,표1[[#This Row],[명칭]]),"-")</f>
        <v>-</v>
      </c>
      <c r="I909" s="38">
        <f>IFERROR(COUNTIF([1]AdventureDiscoveryGroup!$D$8:$AW$92,표1[[#This Row],[명칭]]),"-")</f>
        <v>0</v>
      </c>
      <c r="J909" s="38">
        <f>IFERROR(COUNTIF([1]FishDiscoveryGroup!$A:$X,표1[[#This Row],[명칭]]),"-")</f>
        <v>0</v>
      </c>
      <c r="K909" s="38" t="str">
        <f>IFERROR(COUNTIF([2]Town!$B:$B,표1[[#This Row],[명칭]]),"-")</f>
        <v>-</v>
      </c>
      <c r="L909" s="38">
        <f>IFERROR(COUNTIF([1]Village!$BR:$BR,표1[[#This Row],[명칭]]),"-")</f>
        <v>0</v>
      </c>
      <c r="M909" s="38">
        <f>COUNTIF(퀘스트!B:B,표1[[#This Row],[명칭]])</f>
        <v>0</v>
      </c>
      <c r="N909" s="65">
        <f>COUNTIF([1]VillageDiscoveryGroup!$C:$C,표1[[#This Row],[명칭]])</f>
        <v>0</v>
      </c>
      <c r="O909" s="65">
        <f>SUM(표1[[#This Row],[해양탐색]:[마을탐험]])</f>
        <v>0</v>
      </c>
    </row>
    <row r="910" spans="2:15" ht="13.5" customHeight="1" x14ac:dyDescent="0.3">
      <c r="B910" s="9">
        <f>[1]Discovery!A916</f>
        <v>70408051</v>
      </c>
      <c r="C910" s="9" t="str">
        <f>[1]Discovery!B916</f>
        <v>코뿔소</v>
      </c>
      <c r="D910" s="9" t="str">
        <f>[1]Discovery!E916</f>
        <v>동물</v>
      </c>
      <c r="E910" s="9" t="str">
        <f>[1]Discovery!C916</f>
        <v>포유류</v>
      </c>
      <c r="F910" s="9" t="str">
        <f>[1]Discovery!G916</f>
        <v>B</v>
      </c>
      <c r="G910" s="9" t="str">
        <f>IFERROR(VLOOKUP(표1[[#This Row],[명칭]],'문화권 정리'!C:D,2,FALSE),"-")</f>
        <v>남아프리카</v>
      </c>
      <c r="H910" s="38" t="str">
        <f>IFERROR(COUNTIF([2]OceanDoodad!$Y:$Y,표1[[#This Row],[명칭]]),"-")</f>
        <v>-</v>
      </c>
      <c r="I910" s="38">
        <f>IFERROR(COUNTIF([1]AdventureDiscoveryGroup!$D$8:$AW$92,표1[[#This Row],[명칭]]),"-")</f>
        <v>1</v>
      </c>
      <c r="J910" s="38">
        <f>IFERROR(COUNTIF([1]FishDiscoveryGroup!$A:$X,표1[[#This Row],[명칭]]),"-")</f>
        <v>0</v>
      </c>
      <c r="K910" s="38" t="str">
        <f>IFERROR(COUNTIF([2]Town!$B:$B,표1[[#This Row],[명칭]]),"-")</f>
        <v>-</v>
      </c>
      <c r="L910" s="38">
        <f>IFERROR(COUNTIF([1]Village!$BR:$BR,표1[[#This Row],[명칭]]),"-")</f>
        <v>0</v>
      </c>
      <c r="M910" s="38">
        <f>COUNTIF(퀘스트!B:B,표1[[#This Row],[명칭]])</f>
        <v>0</v>
      </c>
      <c r="N910" s="65">
        <f>COUNTIF([1]VillageDiscoveryGroup!$C:$C,표1[[#This Row],[명칭]])</f>
        <v>0</v>
      </c>
      <c r="O910" s="65">
        <f>SUM(표1[[#This Row],[해양탐색]:[마을탐험]])</f>
        <v>1</v>
      </c>
    </row>
    <row r="911" spans="2:15" ht="13.5" customHeight="1" x14ac:dyDescent="0.3">
      <c r="B911" s="9">
        <f>[1]Discovery!A917</f>
        <v>70408052</v>
      </c>
      <c r="C911" s="9" t="str">
        <f>[1]Discovery!B917</f>
        <v>콰가</v>
      </c>
      <c r="D911" s="9" t="str">
        <f>[1]Discovery!E917</f>
        <v>동물</v>
      </c>
      <c r="E911" s="9" t="str">
        <f>[1]Discovery!C917</f>
        <v>포유류</v>
      </c>
      <c r="F911" s="9" t="str">
        <f>[1]Discovery!G917</f>
        <v>B</v>
      </c>
      <c r="G911" s="9" t="str">
        <f>IFERROR(VLOOKUP(표1[[#This Row],[명칭]],'문화권 정리'!C:D,2,FALSE),"-")</f>
        <v>남아프리카</v>
      </c>
      <c r="H911" s="38" t="str">
        <f>IFERROR(COUNTIF([2]OceanDoodad!$Y:$Y,표1[[#This Row],[명칭]]),"-")</f>
        <v>-</v>
      </c>
      <c r="I911" s="38">
        <f>IFERROR(COUNTIF([1]AdventureDiscoveryGroup!$D$8:$AW$92,표1[[#This Row],[명칭]]),"-")</f>
        <v>1</v>
      </c>
      <c r="J911" s="38">
        <f>IFERROR(COUNTIF([1]FishDiscoveryGroup!$A:$X,표1[[#This Row],[명칭]]),"-")</f>
        <v>0</v>
      </c>
      <c r="K911" s="38" t="str">
        <f>IFERROR(COUNTIF([2]Town!$B:$B,표1[[#This Row],[명칭]]),"-")</f>
        <v>-</v>
      </c>
      <c r="L911" s="38">
        <f>IFERROR(COUNTIF([1]Village!$BR:$BR,표1[[#This Row],[명칭]]),"-")</f>
        <v>0</v>
      </c>
      <c r="M911" s="38">
        <f>COUNTIF(퀘스트!B:B,표1[[#This Row],[명칭]])</f>
        <v>0</v>
      </c>
      <c r="N911" s="65">
        <f>COUNTIF([1]VillageDiscoveryGroup!$C:$C,표1[[#This Row],[명칭]])</f>
        <v>0</v>
      </c>
      <c r="O911" s="65">
        <f>SUM(표1[[#This Row],[해양탐색]:[마을탐험]])</f>
        <v>1</v>
      </c>
    </row>
    <row r="912" spans="2:15" ht="13.5" customHeight="1" x14ac:dyDescent="0.3">
      <c r="B912" s="9">
        <f>[1]Discovery!A918</f>
        <v>70408053</v>
      </c>
      <c r="C912" s="9" t="str">
        <f>[1]Discovery!B918</f>
        <v>큰개미핥기</v>
      </c>
      <c r="D912" s="9" t="str">
        <f>[1]Discovery!E918</f>
        <v>동물</v>
      </c>
      <c r="E912" s="9" t="str">
        <f>[1]Discovery!C918</f>
        <v>포유류</v>
      </c>
      <c r="F912" s="9" t="str">
        <f>[1]Discovery!G918</f>
        <v>B</v>
      </c>
      <c r="G912" s="9" t="str">
        <f>IFERROR(VLOOKUP(표1[[#This Row],[명칭]],'문화권 정리'!C:D,2,FALSE),"-")</f>
        <v>남아메리카</v>
      </c>
      <c r="H912" s="38" t="str">
        <f>IFERROR(COUNTIF([2]OceanDoodad!$Y:$Y,표1[[#This Row],[명칭]]),"-")</f>
        <v>-</v>
      </c>
      <c r="I912" s="38">
        <f>IFERROR(COUNTIF([1]AdventureDiscoveryGroup!$D$8:$AW$92,표1[[#This Row],[명칭]]),"-")</f>
        <v>0</v>
      </c>
      <c r="J912" s="38">
        <f>IFERROR(COUNTIF([1]FishDiscoveryGroup!$A:$X,표1[[#This Row],[명칭]]),"-")</f>
        <v>0</v>
      </c>
      <c r="K912" s="38" t="str">
        <f>IFERROR(COUNTIF([2]Town!$B:$B,표1[[#This Row],[명칭]]),"-")</f>
        <v>-</v>
      </c>
      <c r="L912" s="38">
        <f>IFERROR(COUNTIF([1]Village!$BR:$BR,표1[[#This Row],[명칭]]),"-")</f>
        <v>0</v>
      </c>
      <c r="M912" s="38">
        <f>COUNTIF(퀘스트!B:B,표1[[#This Row],[명칭]])</f>
        <v>1</v>
      </c>
      <c r="N912" s="65">
        <f>COUNTIF([1]VillageDiscoveryGroup!$C:$C,표1[[#This Row],[명칭]])</f>
        <v>0</v>
      </c>
      <c r="O912" s="65">
        <f>SUM(표1[[#This Row],[해양탐색]:[마을탐험]])</f>
        <v>1</v>
      </c>
    </row>
    <row r="913" spans="2:15" ht="13.5" customHeight="1" x14ac:dyDescent="0.3">
      <c r="B913" s="9">
        <f>[1]Discovery!A919</f>
        <v>70408054</v>
      </c>
      <c r="C913" s="9" t="str">
        <f>[1]Discovery!B919</f>
        <v>큰뿔야생양</v>
      </c>
      <c r="D913" s="9" t="str">
        <f>[1]Discovery!E919</f>
        <v>동물</v>
      </c>
      <c r="E913" s="9" t="str">
        <f>[1]Discovery!C919</f>
        <v>포유류</v>
      </c>
      <c r="F913" s="9" t="str">
        <f>[1]Discovery!G919</f>
        <v>B</v>
      </c>
      <c r="G913" s="9" t="str">
        <f>IFERROR(VLOOKUP(표1[[#This Row],[명칭]],'문화권 정리'!C:D,2,FALSE),"-")</f>
        <v>북아메리카</v>
      </c>
      <c r="H913" s="38" t="str">
        <f>IFERROR(COUNTIF([2]OceanDoodad!$Y:$Y,표1[[#This Row],[명칭]]),"-")</f>
        <v>-</v>
      </c>
      <c r="I913" s="38">
        <f>IFERROR(COUNTIF([1]AdventureDiscoveryGroup!$D$8:$AW$92,표1[[#This Row],[명칭]]),"-")</f>
        <v>0</v>
      </c>
      <c r="J913" s="38">
        <f>IFERROR(COUNTIF([1]FishDiscoveryGroup!$A:$X,표1[[#This Row],[명칭]]),"-")</f>
        <v>0</v>
      </c>
      <c r="K913" s="38" t="str">
        <f>IFERROR(COUNTIF([2]Town!$B:$B,표1[[#This Row],[명칭]]),"-")</f>
        <v>-</v>
      </c>
      <c r="L913" s="38">
        <f>IFERROR(COUNTIF([1]Village!$BR:$BR,표1[[#This Row],[명칭]]),"-")</f>
        <v>0</v>
      </c>
      <c r="M913" s="38">
        <f>COUNTIF(퀘스트!B:B,표1[[#This Row],[명칭]])</f>
        <v>0</v>
      </c>
      <c r="N913" s="65">
        <f>COUNTIF([1]VillageDiscoveryGroup!$C:$C,표1[[#This Row],[명칭]])</f>
        <v>1</v>
      </c>
      <c r="O913" s="65">
        <f>SUM(표1[[#This Row],[해양탐색]:[마을탐험]])</f>
        <v>1</v>
      </c>
    </row>
    <row r="914" spans="2:15" ht="13.5" customHeight="1" x14ac:dyDescent="0.3">
      <c r="B914" s="9">
        <f>[1]Discovery!A920</f>
        <v>70408055</v>
      </c>
      <c r="C914" s="9" t="str">
        <f>[1]Discovery!B920</f>
        <v>킹코브라</v>
      </c>
      <c r="D914" s="9" t="str">
        <f>[1]Discovery!E920</f>
        <v>동물</v>
      </c>
      <c r="E914" s="9" t="str">
        <f>[1]Discovery!C920</f>
        <v>파충류</v>
      </c>
      <c r="F914" s="9" t="str">
        <f>[1]Discovery!G920</f>
        <v>C</v>
      </c>
      <c r="G914" s="9" t="str">
        <f>IFERROR(VLOOKUP(표1[[#This Row],[명칭]],'문화권 정리'!C:D,2,FALSE),"-")</f>
        <v>동남아시아</v>
      </c>
      <c r="H914" s="38" t="str">
        <f>IFERROR(COUNTIF([2]OceanDoodad!$Y:$Y,표1[[#This Row],[명칭]]),"-")</f>
        <v>-</v>
      </c>
      <c r="I914" s="38">
        <f>IFERROR(COUNTIF([1]AdventureDiscoveryGroup!$D$8:$AW$92,표1[[#This Row],[명칭]]),"-")</f>
        <v>0</v>
      </c>
      <c r="J914" s="38">
        <f>IFERROR(COUNTIF([1]FishDiscoveryGroup!$A:$X,표1[[#This Row],[명칭]]),"-")</f>
        <v>0</v>
      </c>
      <c r="K914" s="38" t="str">
        <f>IFERROR(COUNTIF([2]Town!$B:$B,표1[[#This Row],[명칭]]),"-")</f>
        <v>-</v>
      </c>
      <c r="L914" s="38">
        <f>IFERROR(COUNTIF([1]Village!$BR:$BR,표1[[#This Row],[명칭]]),"-")</f>
        <v>0</v>
      </c>
      <c r="M914" s="38">
        <f>COUNTIF(퀘스트!B:B,표1[[#This Row],[명칭]])</f>
        <v>1</v>
      </c>
      <c r="N914" s="65">
        <f>COUNTIF([1]VillageDiscoveryGroup!$C:$C,표1[[#This Row],[명칭]])</f>
        <v>0</v>
      </c>
      <c r="O914" s="65">
        <f>SUM(표1[[#This Row],[해양탐색]:[마을탐험]])</f>
        <v>1</v>
      </c>
    </row>
    <row r="915" spans="2:15" ht="13.5" customHeight="1" x14ac:dyDescent="0.3">
      <c r="B915" s="9">
        <f>[1]Discovery!A921</f>
        <v>70408056</v>
      </c>
      <c r="C915" s="9" t="str">
        <f>[1]Discovery!B921</f>
        <v>타이판</v>
      </c>
      <c r="D915" s="9" t="str">
        <f>[1]Discovery!E921</f>
        <v>동물</v>
      </c>
      <c r="E915" s="9" t="str">
        <f>[1]Discovery!C921</f>
        <v>파충류</v>
      </c>
      <c r="F915" s="9" t="str">
        <f>[1]Discovery!G921</f>
        <v>B</v>
      </c>
      <c r="G915" s="9" t="str">
        <f>IFERROR(VLOOKUP(표1[[#This Row],[명칭]],'문화권 정리'!C:D,2,FALSE),"-")</f>
        <v>오세아니아</v>
      </c>
      <c r="H915" s="38" t="str">
        <f>IFERROR(COUNTIF([2]OceanDoodad!$Y:$Y,표1[[#This Row],[명칭]]),"-")</f>
        <v>-</v>
      </c>
      <c r="I915" s="38">
        <f>IFERROR(COUNTIF([1]AdventureDiscoveryGroup!$D$8:$AW$92,표1[[#This Row],[명칭]]),"-")</f>
        <v>1</v>
      </c>
      <c r="J915" s="38">
        <f>IFERROR(COUNTIF([1]FishDiscoveryGroup!$A:$X,표1[[#This Row],[명칭]]),"-")</f>
        <v>0</v>
      </c>
      <c r="K915" s="38" t="str">
        <f>IFERROR(COUNTIF([2]Town!$B:$B,표1[[#This Row],[명칭]]),"-")</f>
        <v>-</v>
      </c>
      <c r="L915" s="38">
        <f>IFERROR(COUNTIF([1]Village!$BR:$BR,표1[[#This Row],[명칭]]),"-")</f>
        <v>0</v>
      </c>
      <c r="M915" s="38">
        <f>COUNTIF(퀘스트!B:B,표1[[#This Row],[명칭]])</f>
        <v>0</v>
      </c>
      <c r="N915" s="65">
        <f>COUNTIF([1]VillageDiscoveryGroup!$C:$C,표1[[#This Row],[명칭]])</f>
        <v>0</v>
      </c>
      <c r="O915" s="65">
        <f>SUM(표1[[#This Row],[해양탐색]:[마을탐험]])</f>
        <v>1</v>
      </c>
    </row>
    <row r="916" spans="2:15" ht="13.5" customHeight="1" x14ac:dyDescent="0.3">
      <c r="B916" s="9">
        <f>[1]Discovery!A922</f>
        <v>70408057</v>
      </c>
      <c r="C916" s="9" t="str">
        <f>[1]Discovery!B922</f>
        <v>타킨</v>
      </c>
      <c r="D916" s="9" t="str">
        <f>[1]Discovery!E922</f>
        <v>동물</v>
      </c>
      <c r="E916" s="9" t="str">
        <f>[1]Discovery!C922</f>
        <v>포유류</v>
      </c>
      <c r="F916" s="9" t="str">
        <f>[1]Discovery!G922</f>
        <v>C</v>
      </c>
      <c r="G916" s="9" t="str">
        <f>IFERROR(VLOOKUP(표1[[#This Row],[명칭]],'문화권 정리'!C:D,2,FALSE),"-")</f>
        <v>동아시아</v>
      </c>
      <c r="H916" s="38" t="str">
        <f>IFERROR(COUNTIF([2]OceanDoodad!$Y:$Y,표1[[#This Row],[명칭]]),"-")</f>
        <v>-</v>
      </c>
      <c r="I916" s="38">
        <f>IFERROR(COUNTIF([1]AdventureDiscoveryGroup!$D$8:$AW$92,표1[[#This Row],[명칭]]),"-")</f>
        <v>0</v>
      </c>
      <c r="J916" s="38">
        <f>IFERROR(COUNTIF([1]FishDiscoveryGroup!$A:$X,표1[[#This Row],[명칭]]),"-")</f>
        <v>0</v>
      </c>
      <c r="K916" s="38" t="str">
        <f>IFERROR(COUNTIF([2]Town!$B:$B,표1[[#This Row],[명칭]]),"-")</f>
        <v>-</v>
      </c>
      <c r="L916" s="38">
        <f>IFERROR(COUNTIF([1]Village!$BR:$BR,표1[[#This Row],[명칭]]),"-")</f>
        <v>0</v>
      </c>
      <c r="M916" s="38">
        <f>COUNTIF(퀘스트!B:B,표1[[#This Row],[명칭]])</f>
        <v>0</v>
      </c>
      <c r="N916" s="65">
        <f>COUNTIF([1]VillageDiscoveryGroup!$C:$C,표1[[#This Row],[명칭]])</f>
        <v>0</v>
      </c>
      <c r="O916" s="65">
        <f>SUM(표1[[#This Row],[해양탐색]:[마을탐험]])</f>
        <v>0</v>
      </c>
    </row>
    <row r="917" spans="2:15" ht="13.5" customHeight="1" x14ac:dyDescent="0.3">
      <c r="B917" s="9">
        <f>[1]Discovery!A923</f>
        <v>70408058</v>
      </c>
      <c r="C917" s="9" t="str">
        <f>[1]Discovery!B923</f>
        <v>페르시아 표범</v>
      </c>
      <c r="D917" s="9" t="str">
        <f>[1]Discovery!E923</f>
        <v>동물</v>
      </c>
      <c r="E917" s="9" t="str">
        <f>[1]Discovery!C923</f>
        <v>포유류</v>
      </c>
      <c r="F917" s="9" t="str">
        <f>[1]Discovery!G923</f>
        <v>A</v>
      </c>
      <c r="G917" s="9" t="str">
        <f>IFERROR(VLOOKUP(표1[[#This Row],[명칭]],'문화권 정리'!C:D,2,FALSE),"-")</f>
        <v>서남아시아</v>
      </c>
      <c r="H917" s="38" t="str">
        <f>IFERROR(COUNTIF([2]OceanDoodad!$Y:$Y,표1[[#This Row],[명칭]]),"-")</f>
        <v>-</v>
      </c>
      <c r="I917" s="38">
        <f>IFERROR(COUNTIF([1]AdventureDiscoveryGroup!$D$8:$AW$92,표1[[#This Row],[명칭]]),"-")</f>
        <v>1</v>
      </c>
      <c r="J917" s="38">
        <f>IFERROR(COUNTIF([1]FishDiscoveryGroup!$A:$X,표1[[#This Row],[명칭]]),"-")</f>
        <v>0</v>
      </c>
      <c r="K917" s="38" t="str">
        <f>IFERROR(COUNTIF([2]Town!$B:$B,표1[[#This Row],[명칭]]),"-")</f>
        <v>-</v>
      </c>
      <c r="L917" s="38">
        <f>IFERROR(COUNTIF([1]Village!$BR:$BR,표1[[#This Row],[명칭]]),"-")</f>
        <v>0</v>
      </c>
      <c r="M917" s="38">
        <f>COUNTIF(퀘스트!B:B,표1[[#This Row],[명칭]])</f>
        <v>0</v>
      </c>
      <c r="N917" s="65">
        <f>COUNTIF([1]VillageDiscoveryGroup!$C:$C,표1[[#This Row],[명칭]])</f>
        <v>0</v>
      </c>
      <c r="O917" s="65">
        <f>SUM(표1[[#This Row],[해양탐색]:[마을탐험]])</f>
        <v>1</v>
      </c>
    </row>
    <row r="918" spans="2:15" ht="13.5" customHeight="1" x14ac:dyDescent="0.3">
      <c r="B918" s="9">
        <f>[1]Discovery!A924</f>
        <v>70408059</v>
      </c>
      <c r="C918" s="9" t="str">
        <f>[1]Discovery!B924</f>
        <v>퓨마</v>
      </c>
      <c r="D918" s="9" t="str">
        <f>[1]Discovery!E924</f>
        <v>동물</v>
      </c>
      <c r="E918" s="9" t="str">
        <f>[1]Discovery!C924</f>
        <v>포유류</v>
      </c>
      <c r="F918" s="9" t="str">
        <f>[1]Discovery!G924</f>
        <v>A</v>
      </c>
      <c r="G918" s="9" t="str">
        <f>IFERROR(VLOOKUP(표1[[#This Row],[명칭]],'문화권 정리'!C:D,2,FALSE),"-")</f>
        <v>중앙아메리카</v>
      </c>
      <c r="H918" s="38" t="str">
        <f>IFERROR(COUNTIF([2]OceanDoodad!$Y:$Y,표1[[#This Row],[명칭]]),"-")</f>
        <v>-</v>
      </c>
      <c r="I918" s="38">
        <f>IFERROR(COUNTIF([1]AdventureDiscoveryGroup!$D$8:$AW$92,표1[[#This Row],[명칭]]),"-")</f>
        <v>0</v>
      </c>
      <c r="J918" s="38">
        <f>IFERROR(COUNTIF([1]FishDiscoveryGroup!$A:$X,표1[[#This Row],[명칭]]),"-")</f>
        <v>0</v>
      </c>
      <c r="K918" s="38" t="str">
        <f>IFERROR(COUNTIF([2]Town!$B:$B,표1[[#This Row],[명칭]]),"-")</f>
        <v>-</v>
      </c>
      <c r="L918" s="38">
        <f>IFERROR(COUNTIF([1]Village!$BR:$BR,표1[[#This Row],[명칭]]),"-")</f>
        <v>0</v>
      </c>
      <c r="M918" s="38">
        <f>COUNTIF(퀘스트!B:B,표1[[#This Row],[명칭]])</f>
        <v>0</v>
      </c>
      <c r="N918" s="65">
        <f>COUNTIF([1]VillageDiscoveryGroup!$C:$C,표1[[#This Row],[명칭]])</f>
        <v>1</v>
      </c>
      <c r="O918" s="65">
        <f>SUM(표1[[#This Row],[해양탐색]:[마을탐험]])</f>
        <v>1</v>
      </c>
    </row>
    <row r="919" spans="2:15" ht="13.5" customHeight="1" x14ac:dyDescent="0.3">
      <c r="B919" s="9">
        <f>[1]Discovery!A925</f>
        <v>70408060</v>
      </c>
      <c r="C919" s="9" t="str">
        <f>[1]Discovery!B925</f>
        <v>하마</v>
      </c>
      <c r="D919" s="9" t="str">
        <f>[1]Discovery!E925</f>
        <v>동물</v>
      </c>
      <c r="E919" s="9" t="str">
        <f>[1]Discovery!C925</f>
        <v>포유류</v>
      </c>
      <c r="F919" s="9" t="str">
        <f>[1]Discovery!G925</f>
        <v>B</v>
      </c>
      <c r="G919" s="9" t="str">
        <f>IFERROR(VLOOKUP(표1[[#This Row],[명칭]],'문화권 정리'!C:D,2,FALSE),"-")</f>
        <v>남아프리카</v>
      </c>
      <c r="H919" s="38" t="str">
        <f>IFERROR(COUNTIF([2]OceanDoodad!$Y:$Y,표1[[#This Row],[명칭]]),"-")</f>
        <v>-</v>
      </c>
      <c r="I919" s="38">
        <f>IFERROR(COUNTIF([1]AdventureDiscoveryGroup!$D$8:$AW$92,표1[[#This Row],[명칭]]),"-")</f>
        <v>0</v>
      </c>
      <c r="J919" s="38">
        <f>IFERROR(COUNTIF([1]FishDiscoveryGroup!$A:$X,표1[[#This Row],[명칭]]),"-")</f>
        <v>0</v>
      </c>
      <c r="K919" s="38" t="str">
        <f>IFERROR(COUNTIF([2]Town!$B:$B,표1[[#This Row],[명칭]]),"-")</f>
        <v>-</v>
      </c>
      <c r="L919" s="38">
        <f>IFERROR(COUNTIF([1]Village!$BR:$BR,표1[[#This Row],[명칭]]),"-")</f>
        <v>0</v>
      </c>
      <c r="M919" s="38">
        <f>COUNTIF(퀘스트!B:B,표1[[#This Row],[명칭]])</f>
        <v>1</v>
      </c>
      <c r="N919" s="65">
        <f>COUNTIF([1]VillageDiscoveryGroup!$C:$C,표1[[#This Row],[명칭]])</f>
        <v>0</v>
      </c>
      <c r="O919" s="65">
        <f>SUM(표1[[#This Row],[해양탐색]:[마을탐험]])</f>
        <v>1</v>
      </c>
    </row>
    <row r="920" spans="2:15" ht="13.5" customHeight="1" x14ac:dyDescent="0.3">
      <c r="B920" s="9">
        <f>[1]Discovery!A926</f>
        <v>70408061</v>
      </c>
      <c r="C920" s="9" t="str">
        <f>[1]Discovery!B926</f>
        <v>호랑이뱀</v>
      </c>
      <c r="D920" s="9" t="str">
        <f>[1]Discovery!E926</f>
        <v>동물</v>
      </c>
      <c r="E920" s="9" t="str">
        <f>[1]Discovery!C926</f>
        <v>파충류</v>
      </c>
      <c r="F920" s="9" t="str">
        <f>[1]Discovery!G926</f>
        <v>D</v>
      </c>
      <c r="G920" s="9" t="str">
        <f>IFERROR(VLOOKUP(표1[[#This Row],[명칭]],'문화권 정리'!C:D,2,FALSE),"-")</f>
        <v>오세아니아</v>
      </c>
      <c r="H920" s="38" t="str">
        <f>IFERROR(COUNTIF([2]OceanDoodad!$Y:$Y,표1[[#This Row],[명칭]]),"-")</f>
        <v>-</v>
      </c>
      <c r="I920" s="38">
        <f>IFERROR(COUNTIF([1]AdventureDiscoveryGroup!$D$8:$AW$92,표1[[#This Row],[명칭]]),"-")</f>
        <v>0</v>
      </c>
      <c r="J920" s="38">
        <f>IFERROR(COUNTIF([1]FishDiscoveryGroup!$A:$X,표1[[#This Row],[명칭]]),"-")</f>
        <v>0</v>
      </c>
      <c r="K920" s="38" t="str">
        <f>IFERROR(COUNTIF([2]Town!$B:$B,표1[[#This Row],[명칭]]),"-")</f>
        <v>-</v>
      </c>
      <c r="L920" s="38">
        <f>IFERROR(COUNTIF([1]Village!$BR:$BR,표1[[#This Row],[명칭]]),"-")</f>
        <v>0</v>
      </c>
      <c r="M920" s="38">
        <f>COUNTIF(퀘스트!B:B,표1[[#This Row],[명칭]])</f>
        <v>0</v>
      </c>
      <c r="N920" s="65">
        <f>COUNTIF([1]VillageDiscoveryGroup!$C:$C,표1[[#This Row],[명칭]])</f>
        <v>1</v>
      </c>
      <c r="O920" s="65">
        <f>SUM(표1[[#This Row],[해양탐색]:[마을탐험]])</f>
        <v>1</v>
      </c>
    </row>
    <row r="921" spans="2:15" ht="13.5" customHeight="1" x14ac:dyDescent="0.3">
      <c r="B921" s="9">
        <f>[1]Discovery!A927</f>
        <v>70408062</v>
      </c>
      <c r="C921" s="9" t="str">
        <f>[1]Discovery!B927</f>
        <v>회색곰</v>
      </c>
      <c r="D921" s="9" t="str">
        <f>[1]Discovery!E927</f>
        <v>동물</v>
      </c>
      <c r="E921" s="9" t="str">
        <f>[1]Discovery!C927</f>
        <v>포유류</v>
      </c>
      <c r="F921" s="9" t="str">
        <f>[1]Discovery!G927</f>
        <v>A</v>
      </c>
      <c r="G921" s="9" t="str">
        <f>IFERROR(VLOOKUP(표1[[#This Row],[명칭]],'문화권 정리'!C:D,2,FALSE),"-")</f>
        <v>북아메리카</v>
      </c>
      <c r="H921" s="38" t="str">
        <f>IFERROR(COUNTIF([2]OceanDoodad!$Y:$Y,표1[[#This Row],[명칭]]),"-")</f>
        <v>-</v>
      </c>
      <c r="I921" s="38">
        <f>IFERROR(COUNTIF([1]AdventureDiscoveryGroup!$D$8:$AW$92,표1[[#This Row],[명칭]]),"-")</f>
        <v>1</v>
      </c>
      <c r="J921" s="38">
        <f>IFERROR(COUNTIF([1]FishDiscoveryGroup!$A:$X,표1[[#This Row],[명칭]]),"-")</f>
        <v>0</v>
      </c>
      <c r="K921" s="38" t="str">
        <f>IFERROR(COUNTIF([2]Town!$B:$B,표1[[#This Row],[명칭]]),"-")</f>
        <v>-</v>
      </c>
      <c r="L921" s="38">
        <f>IFERROR(COUNTIF([1]Village!$BR:$BR,표1[[#This Row],[명칭]]),"-")</f>
        <v>0</v>
      </c>
      <c r="M921" s="38">
        <f>COUNTIF(퀘스트!B:B,표1[[#This Row],[명칭]])</f>
        <v>0</v>
      </c>
      <c r="N921" s="65">
        <f>COUNTIF([1]VillageDiscoveryGroup!$C:$C,표1[[#This Row],[명칭]])</f>
        <v>0</v>
      </c>
      <c r="O921" s="65">
        <f>SUM(표1[[#This Row],[해양탐색]:[마을탐험]])</f>
        <v>1</v>
      </c>
    </row>
    <row r="922" spans="2:15" ht="13.5" customHeight="1" x14ac:dyDescent="0.3">
      <c r="B922" s="9">
        <f>[1]Discovery!A928</f>
        <v>70408063</v>
      </c>
      <c r="C922" s="9" t="str">
        <f>[1]Discovery!B928</f>
        <v>흑표범</v>
      </c>
      <c r="D922" s="9" t="str">
        <f>[1]Discovery!E928</f>
        <v>동물</v>
      </c>
      <c r="E922" s="9" t="str">
        <f>[1]Discovery!C928</f>
        <v>포유류</v>
      </c>
      <c r="F922" s="9" t="str">
        <f>[1]Discovery!G928</f>
        <v>S</v>
      </c>
      <c r="G922" s="9" t="str">
        <f>IFERROR(VLOOKUP(표1[[#This Row],[명칭]],'문화권 정리'!C:D,2,FALSE),"-")</f>
        <v>남아시아</v>
      </c>
      <c r="H922" s="38" t="str">
        <f>IFERROR(COUNTIF([2]OceanDoodad!$Y:$Y,표1[[#This Row],[명칭]]),"-")</f>
        <v>-</v>
      </c>
      <c r="I922" s="38">
        <f>IFERROR(COUNTIF([1]AdventureDiscoveryGroup!$D$8:$AW$92,표1[[#This Row],[명칭]]),"-")</f>
        <v>0</v>
      </c>
      <c r="J922" s="38">
        <f>IFERROR(COUNTIF([1]FishDiscoveryGroup!$A:$X,표1[[#This Row],[명칭]]),"-")</f>
        <v>0</v>
      </c>
      <c r="K922" s="38" t="str">
        <f>IFERROR(COUNTIF([2]Town!$B:$B,표1[[#This Row],[명칭]]),"-")</f>
        <v>-</v>
      </c>
      <c r="L922" s="38">
        <f>IFERROR(COUNTIF([1]Village!$BR:$BR,표1[[#This Row],[명칭]]),"-")</f>
        <v>0</v>
      </c>
      <c r="M922" s="38">
        <f>COUNTIF(퀘스트!B:B,표1[[#This Row],[명칭]])</f>
        <v>1</v>
      </c>
      <c r="N922" s="65">
        <f>COUNTIF([1]VillageDiscoveryGroup!$C:$C,표1[[#This Row],[명칭]])</f>
        <v>0</v>
      </c>
      <c r="O922" s="65">
        <f>SUM(표1[[#This Row],[해양탐색]:[마을탐험]])</f>
        <v>1</v>
      </c>
    </row>
    <row r="923" spans="2:15" ht="13.5" customHeight="1" x14ac:dyDescent="0.3">
      <c r="B923" s="9">
        <f>[1]Discovery!A929</f>
        <v>70409000</v>
      </c>
      <c r="C923" s="9" t="str">
        <f>[1]Discovery!B929</f>
        <v>가라지</v>
      </c>
      <c r="D923" s="9" t="str">
        <f>[1]Discovery!E929</f>
        <v>동물</v>
      </c>
      <c r="E923" s="9" t="str">
        <f>[1]Discovery!C929</f>
        <v>어류</v>
      </c>
      <c r="F923" s="9" t="str">
        <f>[1]Discovery!G929</f>
        <v>B</v>
      </c>
      <c r="G923" s="9" t="str">
        <f>IFERROR(VLOOKUP(표1[[#This Row],[명칭]],'문화권 정리'!C:D,2,FALSE),"-")</f>
        <v>어류</v>
      </c>
      <c r="H923" s="38" t="str">
        <f>IFERROR(COUNTIF([2]OceanDoodad!$Y:$Y,표1[[#This Row],[명칭]]),"-")</f>
        <v>-</v>
      </c>
      <c r="I923" s="38">
        <f>IFERROR(COUNTIF([1]AdventureDiscoveryGroup!$D$8:$AW$92,표1[[#This Row],[명칭]]),"-")</f>
        <v>0</v>
      </c>
      <c r="J923" s="38">
        <f>IFERROR(COUNTIF([1]FishDiscoveryGroup!$A:$X,표1[[#This Row],[명칭]]),"-")</f>
        <v>4</v>
      </c>
      <c r="K923" s="38" t="str">
        <f>IFERROR(COUNTIF([2]Town!$B:$B,표1[[#This Row],[명칭]]),"-")</f>
        <v>-</v>
      </c>
      <c r="L923" s="38">
        <f>IFERROR(COUNTIF([1]Village!$BR:$BR,표1[[#This Row],[명칭]]),"-")</f>
        <v>0</v>
      </c>
      <c r="M923" s="38">
        <f>COUNTIF(퀘스트!B:B,표1[[#This Row],[명칭]])</f>
        <v>0</v>
      </c>
      <c r="N923" s="65">
        <f>COUNTIF([1]VillageDiscoveryGroup!$C:$C,표1[[#This Row],[명칭]])</f>
        <v>0</v>
      </c>
      <c r="O923" s="65">
        <f>SUM(표1[[#This Row],[해양탐색]:[마을탐험]])</f>
        <v>4</v>
      </c>
    </row>
    <row r="924" spans="2:15" ht="13.5" customHeight="1" x14ac:dyDescent="0.3">
      <c r="B924" s="9">
        <f>[1]Discovery!A930</f>
        <v>70409001</v>
      </c>
      <c r="C924" s="9" t="str">
        <f>[1]Discovery!B930</f>
        <v>가물치</v>
      </c>
      <c r="D924" s="9" t="str">
        <f>[1]Discovery!E930</f>
        <v>동물</v>
      </c>
      <c r="E924" s="9" t="str">
        <f>[1]Discovery!C930</f>
        <v>어류</v>
      </c>
      <c r="F924" s="9" t="str">
        <f>[1]Discovery!G930</f>
        <v>B</v>
      </c>
      <c r="G924" s="9" t="str">
        <f>IFERROR(VLOOKUP(표1[[#This Row],[명칭]],'문화권 정리'!C:D,2,FALSE),"-")</f>
        <v>어류</v>
      </c>
      <c r="H924" s="38" t="str">
        <f>IFERROR(COUNTIF([2]OceanDoodad!$Y:$Y,표1[[#This Row],[명칭]]),"-")</f>
        <v>-</v>
      </c>
      <c r="I924" s="38">
        <f>IFERROR(COUNTIF([1]AdventureDiscoveryGroup!$D$8:$AW$92,표1[[#This Row],[명칭]]),"-")</f>
        <v>0</v>
      </c>
      <c r="J924" s="38">
        <f>IFERROR(COUNTIF([1]FishDiscoveryGroup!$A:$X,표1[[#This Row],[명칭]]),"-")</f>
        <v>0</v>
      </c>
      <c r="K924" s="38" t="str">
        <f>IFERROR(COUNTIF([2]Town!$B:$B,표1[[#This Row],[명칭]]),"-")</f>
        <v>-</v>
      </c>
      <c r="L924" s="38">
        <f>IFERROR(COUNTIF([1]Village!$BR:$BR,표1[[#This Row],[명칭]]),"-")</f>
        <v>0</v>
      </c>
      <c r="M924" s="38">
        <f>COUNTIF(퀘스트!B:B,표1[[#This Row],[명칭]])</f>
        <v>1</v>
      </c>
      <c r="N924" s="65">
        <f>COUNTIF([1]VillageDiscoveryGroup!$C:$C,표1[[#This Row],[명칭]])</f>
        <v>0</v>
      </c>
      <c r="O924" s="65">
        <f>SUM(표1[[#This Row],[해양탐색]:[마을탐험]])</f>
        <v>1</v>
      </c>
    </row>
    <row r="925" spans="2:15" ht="13.5" customHeight="1" x14ac:dyDescent="0.3">
      <c r="B925" s="9">
        <f>[1]Discovery!A931</f>
        <v>70409002</v>
      </c>
      <c r="C925" s="9" t="str">
        <f>[1]Discovery!B931</f>
        <v>가숭어</v>
      </c>
      <c r="D925" s="9" t="str">
        <f>[1]Discovery!E931</f>
        <v>동물</v>
      </c>
      <c r="E925" s="9" t="str">
        <f>[1]Discovery!C931</f>
        <v>어류</v>
      </c>
      <c r="F925" s="9" t="str">
        <f>[1]Discovery!G931</f>
        <v>B</v>
      </c>
      <c r="G925" s="9" t="str">
        <f>IFERROR(VLOOKUP(표1[[#This Row],[명칭]],'문화권 정리'!C:D,2,FALSE),"-")</f>
        <v>어류</v>
      </c>
      <c r="H925" s="38" t="str">
        <f>IFERROR(COUNTIF([2]OceanDoodad!$Y:$Y,표1[[#This Row],[명칭]]),"-")</f>
        <v>-</v>
      </c>
      <c r="I925" s="38">
        <f>IFERROR(COUNTIF([1]AdventureDiscoveryGroup!$D$8:$AW$92,표1[[#This Row],[명칭]]),"-")</f>
        <v>0</v>
      </c>
      <c r="J925" s="38">
        <f>IFERROR(COUNTIF([1]FishDiscoveryGroup!$A:$X,표1[[#This Row],[명칭]]),"-")</f>
        <v>4</v>
      </c>
      <c r="K925" s="38" t="str">
        <f>IFERROR(COUNTIF([2]Town!$B:$B,표1[[#This Row],[명칭]]),"-")</f>
        <v>-</v>
      </c>
      <c r="L925" s="38">
        <f>IFERROR(COUNTIF([1]Village!$BR:$BR,표1[[#This Row],[명칭]]),"-")</f>
        <v>0</v>
      </c>
      <c r="M925" s="38">
        <f>COUNTIF(퀘스트!B:B,표1[[#This Row],[명칭]])</f>
        <v>0</v>
      </c>
      <c r="N925" s="65">
        <f>COUNTIF([1]VillageDiscoveryGroup!$C:$C,표1[[#This Row],[명칭]])</f>
        <v>0</v>
      </c>
      <c r="O925" s="65">
        <f>SUM(표1[[#This Row],[해양탐색]:[마을탐험]])</f>
        <v>4</v>
      </c>
    </row>
    <row r="926" spans="2:15" ht="13.5" customHeight="1" x14ac:dyDescent="0.3">
      <c r="B926" s="9">
        <f>[1]Discovery!A932</f>
        <v>70409003</v>
      </c>
      <c r="C926" s="9" t="str">
        <f>[1]Discovery!B932</f>
        <v>가시나비고기</v>
      </c>
      <c r="D926" s="9" t="str">
        <f>[1]Discovery!E932</f>
        <v>동물</v>
      </c>
      <c r="E926" s="9" t="str">
        <f>[1]Discovery!C932</f>
        <v>어류</v>
      </c>
      <c r="F926" s="9" t="str">
        <f>[1]Discovery!G932</f>
        <v>A</v>
      </c>
      <c r="G926" s="9" t="str">
        <f>IFERROR(VLOOKUP(표1[[#This Row],[명칭]],'문화권 정리'!C:D,2,FALSE),"-")</f>
        <v>어류</v>
      </c>
      <c r="H926" s="38" t="str">
        <f>IFERROR(COUNTIF([2]OceanDoodad!$Y:$Y,표1[[#This Row],[명칭]]),"-")</f>
        <v>-</v>
      </c>
      <c r="I926" s="38">
        <f>IFERROR(COUNTIF([1]AdventureDiscoveryGroup!$D$8:$AW$92,표1[[#This Row],[명칭]]),"-")</f>
        <v>0</v>
      </c>
      <c r="J926" s="38">
        <f>IFERROR(COUNTIF([1]FishDiscoveryGroup!$A:$X,표1[[#This Row],[명칭]]),"-")</f>
        <v>4</v>
      </c>
      <c r="K926" s="38" t="str">
        <f>IFERROR(COUNTIF([2]Town!$B:$B,표1[[#This Row],[명칭]]),"-")</f>
        <v>-</v>
      </c>
      <c r="L926" s="38">
        <f>IFERROR(COUNTIF([1]Village!$BR:$BR,표1[[#This Row],[명칭]]),"-")</f>
        <v>0</v>
      </c>
      <c r="M926" s="38">
        <f>COUNTIF(퀘스트!B:B,표1[[#This Row],[명칭]])</f>
        <v>0</v>
      </c>
      <c r="N926" s="65">
        <f>COUNTIF([1]VillageDiscoveryGroup!$C:$C,표1[[#This Row],[명칭]])</f>
        <v>0</v>
      </c>
      <c r="O926" s="65">
        <f>SUM(표1[[#This Row],[해양탐색]:[마을탐험]])</f>
        <v>4</v>
      </c>
    </row>
    <row r="927" spans="2:15" ht="13.5" customHeight="1" x14ac:dyDescent="0.3">
      <c r="B927" s="9">
        <f>[1]Discovery!A933</f>
        <v>70409004</v>
      </c>
      <c r="C927" s="9" t="str">
        <f>[1]Discovery!B933</f>
        <v>가시복</v>
      </c>
      <c r="D927" s="9" t="str">
        <f>[1]Discovery!E933</f>
        <v>동물</v>
      </c>
      <c r="E927" s="9" t="str">
        <f>[1]Discovery!C933</f>
        <v>어류</v>
      </c>
      <c r="F927" s="9" t="str">
        <f>[1]Discovery!G933</f>
        <v>B</v>
      </c>
      <c r="G927" s="9" t="str">
        <f>IFERROR(VLOOKUP(표1[[#This Row],[명칭]],'문화권 정리'!C:D,2,FALSE),"-")</f>
        <v>어류</v>
      </c>
      <c r="H927" s="38" t="str">
        <f>IFERROR(COUNTIF([2]OceanDoodad!$Y:$Y,표1[[#This Row],[명칭]]),"-")</f>
        <v>-</v>
      </c>
      <c r="I927" s="38">
        <f>IFERROR(COUNTIF([1]AdventureDiscoveryGroup!$D$8:$AW$92,표1[[#This Row],[명칭]]),"-")</f>
        <v>0</v>
      </c>
      <c r="J927" s="38">
        <f>IFERROR(COUNTIF([1]FishDiscoveryGroup!$A:$X,표1[[#This Row],[명칭]]),"-")</f>
        <v>4</v>
      </c>
      <c r="K927" s="38" t="str">
        <f>IFERROR(COUNTIF([2]Town!$B:$B,표1[[#This Row],[명칭]]),"-")</f>
        <v>-</v>
      </c>
      <c r="L927" s="38">
        <f>IFERROR(COUNTIF([1]Village!$BR:$BR,표1[[#This Row],[명칭]]),"-")</f>
        <v>0</v>
      </c>
      <c r="M927" s="38">
        <f>COUNTIF(퀘스트!B:B,표1[[#This Row],[명칭]])</f>
        <v>0</v>
      </c>
      <c r="N927" s="65">
        <f>COUNTIF([1]VillageDiscoveryGroup!$C:$C,표1[[#This Row],[명칭]])</f>
        <v>0</v>
      </c>
      <c r="O927" s="65">
        <f>SUM(표1[[#This Row],[해양탐색]:[마을탐험]])</f>
        <v>4</v>
      </c>
    </row>
    <row r="928" spans="2:15" ht="13.5" customHeight="1" x14ac:dyDescent="0.3">
      <c r="B928" s="9">
        <f>[1]Discovery!A934</f>
        <v>70409005</v>
      </c>
      <c r="C928" s="9" t="str">
        <f>[1]Discovery!B934</f>
        <v>가시쥐치</v>
      </c>
      <c r="D928" s="9" t="str">
        <f>[1]Discovery!E934</f>
        <v>동물</v>
      </c>
      <c r="E928" s="9" t="str">
        <f>[1]Discovery!C934</f>
        <v>어류</v>
      </c>
      <c r="F928" s="9" t="str">
        <f>[1]Discovery!G934</f>
        <v>B</v>
      </c>
      <c r="G928" s="9" t="str">
        <f>IFERROR(VLOOKUP(표1[[#This Row],[명칭]],'문화권 정리'!C:D,2,FALSE),"-")</f>
        <v>어류</v>
      </c>
      <c r="H928" s="38" t="str">
        <f>IFERROR(COUNTIF([2]OceanDoodad!$Y:$Y,표1[[#This Row],[명칭]]),"-")</f>
        <v>-</v>
      </c>
      <c r="I928" s="38">
        <f>IFERROR(COUNTIF([1]AdventureDiscoveryGroup!$D$8:$AW$92,표1[[#This Row],[명칭]]),"-")</f>
        <v>0</v>
      </c>
      <c r="J928" s="38">
        <f>IFERROR(COUNTIF([1]FishDiscoveryGroup!$A:$X,표1[[#This Row],[명칭]]),"-")</f>
        <v>4</v>
      </c>
      <c r="K928" s="38" t="str">
        <f>IFERROR(COUNTIF([2]Town!$B:$B,표1[[#This Row],[명칭]]),"-")</f>
        <v>-</v>
      </c>
      <c r="L928" s="38">
        <f>IFERROR(COUNTIF([1]Village!$BR:$BR,표1[[#This Row],[명칭]]),"-")</f>
        <v>0</v>
      </c>
      <c r="M928" s="38">
        <f>COUNTIF(퀘스트!B:B,표1[[#This Row],[명칭]])</f>
        <v>0</v>
      </c>
      <c r="N928" s="65">
        <f>COUNTIF([1]VillageDiscoveryGroup!$C:$C,표1[[#This Row],[명칭]])</f>
        <v>0</v>
      </c>
      <c r="O928" s="65">
        <f>SUM(표1[[#This Row],[해양탐색]:[마을탐험]])</f>
        <v>4</v>
      </c>
    </row>
    <row r="929" spans="2:15" ht="13.5" customHeight="1" x14ac:dyDescent="0.3">
      <c r="B929" s="9">
        <f>[1]Discovery!A935</f>
        <v>70409006</v>
      </c>
      <c r="C929" s="9" t="str">
        <f>[1]Discovery!B935</f>
        <v>가시해마</v>
      </c>
      <c r="D929" s="9" t="str">
        <f>[1]Discovery!E935</f>
        <v>동물</v>
      </c>
      <c r="E929" s="9" t="str">
        <f>[1]Discovery!C935</f>
        <v>어류</v>
      </c>
      <c r="F929" s="9" t="str">
        <f>[1]Discovery!G935</f>
        <v>C</v>
      </c>
      <c r="G929" s="9" t="str">
        <f>IFERROR(VLOOKUP(표1[[#This Row],[명칭]],'문화권 정리'!C:D,2,FALSE),"-")</f>
        <v>어류</v>
      </c>
      <c r="H929" s="38" t="str">
        <f>IFERROR(COUNTIF([2]OceanDoodad!$Y:$Y,표1[[#This Row],[명칭]]),"-")</f>
        <v>-</v>
      </c>
      <c r="I929" s="38">
        <f>IFERROR(COUNTIF([1]AdventureDiscoveryGroup!$D$8:$AW$92,표1[[#This Row],[명칭]]),"-")</f>
        <v>0</v>
      </c>
      <c r="J929" s="38">
        <f>IFERROR(COUNTIF([1]FishDiscoveryGroup!$A:$X,표1[[#This Row],[명칭]]),"-")</f>
        <v>4</v>
      </c>
      <c r="K929" s="38" t="str">
        <f>IFERROR(COUNTIF([2]Town!$B:$B,표1[[#This Row],[명칭]]),"-")</f>
        <v>-</v>
      </c>
      <c r="L929" s="38">
        <f>IFERROR(COUNTIF([1]Village!$BR:$BR,표1[[#This Row],[명칭]]),"-")</f>
        <v>0</v>
      </c>
      <c r="M929" s="38">
        <f>COUNTIF(퀘스트!B:B,표1[[#This Row],[명칭]])</f>
        <v>0</v>
      </c>
      <c r="N929" s="65">
        <f>COUNTIF([1]VillageDiscoveryGroup!$C:$C,표1[[#This Row],[명칭]])</f>
        <v>0</v>
      </c>
      <c r="O929" s="65">
        <f>SUM(표1[[#This Row],[해양탐색]:[마을탐험]])</f>
        <v>4</v>
      </c>
    </row>
    <row r="930" spans="2:15" ht="13.5" customHeight="1" x14ac:dyDescent="0.3">
      <c r="B930" s="9">
        <f>[1]Discovery!A936</f>
        <v>70409007</v>
      </c>
      <c r="C930" s="9" t="str">
        <f>[1]Discovery!B936</f>
        <v>각시가자미</v>
      </c>
      <c r="D930" s="9" t="str">
        <f>[1]Discovery!E936</f>
        <v>동물</v>
      </c>
      <c r="E930" s="9" t="str">
        <f>[1]Discovery!C936</f>
        <v>어류</v>
      </c>
      <c r="F930" s="9" t="str">
        <f>[1]Discovery!G936</f>
        <v>D</v>
      </c>
      <c r="G930" s="9" t="str">
        <f>IFERROR(VLOOKUP(표1[[#This Row],[명칭]],'문화권 정리'!C:D,2,FALSE),"-")</f>
        <v>어류</v>
      </c>
      <c r="H930" s="38" t="str">
        <f>IFERROR(COUNTIF([2]OceanDoodad!$Y:$Y,표1[[#This Row],[명칭]]),"-")</f>
        <v>-</v>
      </c>
      <c r="I930" s="38">
        <f>IFERROR(COUNTIF([1]AdventureDiscoveryGroup!$D$8:$AW$92,표1[[#This Row],[명칭]]),"-")</f>
        <v>0</v>
      </c>
      <c r="J930" s="38">
        <f>IFERROR(COUNTIF([1]FishDiscoveryGroup!$A:$X,표1[[#This Row],[명칭]]),"-")</f>
        <v>1</v>
      </c>
      <c r="K930" s="38" t="str">
        <f>IFERROR(COUNTIF([2]Town!$B:$B,표1[[#This Row],[명칭]]),"-")</f>
        <v>-</v>
      </c>
      <c r="L930" s="38">
        <f>IFERROR(COUNTIF([1]Village!$BR:$BR,표1[[#This Row],[명칭]]),"-")</f>
        <v>0</v>
      </c>
      <c r="M930" s="38">
        <f>COUNTIF(퀘스트!B:B,표1[[#This Row],[명칭]])</f>
        <v>0</v>
      </c>
      <c r="N930" s="65">
        <f>COUNTIF([1]VillageDiscoveryGroup!$C:$C,표1[[#This Row],[명칭]])</f>
        <v>0</v>
      </c>
      <c r="O930" s="65">
        <f>SUM(표1[[#This Row],[해양탐색]:[마을탐험]])</f>
        <v>1</v>
      </c>
    </row>
    <row r="931" spans="2:15" ht="13.5" customHeight="1" x14ac:dyDescent="0.3">
      <c r="B931" s="9">
        <f>[1]Discovery!A937</f>
        <v>70409008</v>
      </c>
      <c r="C931" s="9" t="str">
        <f>[1]Discovery!B937</f>
        <v>각시돔</v>
      </c>
      <c r="D931" s="9" t="str">
        <f>[1]Discovery!E937</f>
        <v>동물</v>
      </c>
      <c r="E931" s="9" t="str">
        <f>[1]Discovery!C937</f>
        <v>어류</v>
      </c>
      <c r="F931" s="9" t="str">
        <f>[1]Discovery!G937</f>
        <v>C</v>
      </c>
      <c r="G931" s="9" t="str">
        <f>IFERROR(VLOOKUP(표1[[#This Row],[명칭]],'문화권 정리'!C:D,2,FALSE),"-")</f>
        <v>어류</v>
      </c>
      <c r="H931" s="38" t="str">
        <f>IFERROR(COUNTIF([2]OceanDoodad!$Y:$Y,표1[[#This Row],[명칭]]),"-")</f>
        <v>-</v>
      </c>
      <c r="I931" s="38">
        <f>IFERROR(COUNTIF([1]AdventureDiscoveryGroup!$D$8:$AW$92,표1[[#This Row],[명칭]]),"-")</f>
        <v>0</v>
      </c>
      <c r="J931" s="38">
        <f>IFERROR(COUNTIF([1]FishDiscoveryGroup!$A:$X,표1[[#This Row],[명칭]]),"-")</f>
        <v>8</v>
      </c>
      <c r="K931" s="38" t="str">
        <f>IFERROR(COUNTIF([2]Town!$B:$B,표1[[#This Row],[명칭]]),"-")</f>
        <v>-</v>
      </c>
      <c r="L931" s="38">
        <f>IFERROR(COUNTIF([1]Village!$BR:$BR,표1[[#This Row],[명칭]]),"-")</f>
        <v>0</v>
      </c>
      <c r="M931" s="38">
        <f>COUNTIF(퀘스트!B:B,표1[[#This Row],[명칭]])</f>
        <v>0</v>
      </c>
      <c r="N931" s="65">
        <f>COUNTIF([1]VillageDiscoveryGroup!$C:$C,표1[[#This Row],[명칭]])</f>
        <v>0</v>
      </c>
      <c r="O931" s="65">
        <f>SUM(표1[[#This Row],[해양탐색]:[마을탐험]])</f>
        <v>8</v>
      </c>
    </row>
    <row r="932" spans="2:15" ht="13.5" customHeight="1" x14ac:dyDescent="0.3">
      <c r="B932" s="9">
        <f>[1]Discovery!A938</f>
        <v>70409009</v>
      </c>
      <c r="C932" s="9" t="str">
        <f>[1]Discovery!B938</f>
        <v>갈고등어</v>
      </c>
      <c r="D932" s="9" t="str">
        <f>[1]Discovery!E938</f>
        <v>동물</v>
      </c>
      <c r="E932" s="9" t="str">
        <f>[1]Discovery!C938</f>
        <v>어류</v>
      </c>
      <c r="F932" s="9" t="str">
        <f>[1]Discovery!G938</f>
        <v>A</v>
      </c>
      <c r="G932" s="9" t="str">
        <f>IFERROR(VLOOKUP(표1[[#This Row],[명칭]],'문화권 정리'!C:D,2,FALSE),"-")</f>
        <v>어류</v>
      </c>
      <c r="H932" s="38" t="str">
        <f>IFERROR(COUNTIF([2]OceanDoodad!$Y:$Y,표1[[#This Row],[명칭]]),"-")</f>
        <v>-</v>
      </c>
      <c r="I932" s="38">
        <f>IFERROR(COUNTIF([1]AdventureDiscoveryGroup!$D$8:$AW$92,표1[[#This Row],[명칭]]),"-")</f>
        <v>0</v>
      </c>
      <c r="J932" s="38">
        <f>IFERROR(COUNTIF([1]FishDiscoveryGroup!$A:$X,표1[[#This Row],[명칭]]),"-")</f>
        <v>4</v>
      </c>
      <c r="K932" s="38" t="str">
        <f>IFERROR(COUNTIF([2]Town!$B:$B,표1[[#This Row],[명칭]]),"-")</f>
        <v>-</v>
      </c>
      <c r="L932" s="38">
        <f>IFERROR(COUNTIF([1]Village!$BR:$BR,표1[[#This Row],[명칭]]),"-")</f>
        <v>0</v>
      </c>
      <c r="M932" s="38">
        <f>COUNTIF(퀘스트!B:B,표1[[#This Row],[명칭]])</f>
        <v>0</v>
      </c>
      <c r="N932" s="65">
        <f>COUNTIF([1]VillageDiscoveryGroup!$C:$C,표1[[#This Row],[명칭]])</f>
        <v>0</v>
      </c>
      <c r="O932" s="65">
        <f>SUM(표1[[#This Row],[해양탐색]:[마을탐험]])</f>
        <v>4</v>
      </c>
    </row>
    <row r="933" spans="2:15" ht="13.5" customHeight="1" x14ac:dyDescent="0.3">
      <c r="B933" s="9">
        <f>[1]Discovery!A939</f>
        <v>70409010</v>
      </c>
      <c r="C933" s="9" t="str">
        <f>[1]Discovery!B939</f>
        <v>갈돔</v>
      </c>
      <c r="D933" s="9" t="str">
        <f>[1]Discovery!E939</f>
        <v>동물</v>
      </c>
      <c r="E933" s="9" t="str">
        <f>[1]Discovery!C939</f>
        <v>어류</v>
      </c>
      <c r="F933" s="9" t="str">
        <f>[1]Discovery!G939</f>
        <v>S</v>
      </c>
      <c r="G933" s="9" t="str">
        <f>IFERROR(VLOOKUP(표1[[#This Row],[명칭]],'문화권 정리'!C:D,2,FALSE),"-")</f>
        <v>어류</v>
      </c>
      <c r="H933" s="38" t="str">
        <f>IFERROR(COUNTIF([2]OceanDoodad!$Y:$Y,표1[[#This Row],[명칭]]),"-")</f>
        <v>-</v>
      </c>
      <c r="I933" s="38">
        <f>IFERROR(COUNTIF([1]AdventureDiscoveryGroup!$D$8:$AW$92,표1[[#This Row],[명칭]]),"-")</f>
        <v>0</v>
      </c>
      <c r="J933" s="38">
        <f>IFERROR(COUNTIF([1]FishDiscoveryGroup!$A:$X,표1[[#This Row],[명칭]]),"-")</f>
        <v>0</v>
      </c>
      <c r="K933" s="38" t="str">
        <f>IFERROR(COUNTIF([2]Town!$B:$B,표1[[#This Row],[명칭]]),"-")</f>
        <v>-</v>
      </c>
      <c r="L933" s="38">
        <f>IFERROR(COUNTIF([1]Village!$BR:$BR,표1[[#This Row],[명칭]]),"-")</f>
        <v>0</v>
      </c>
      <c r="M933" s="38">
        <f>COUNTIF(퀘스트!B:B,표1[[#This Row],[명칭]])</f>
        <v>0</v>
      </c>
      <c r="N933" s="65">
        <f>COUNTIF([1]VillageDiscoveryGroup!$C:$C,표1[[#This Row],[명칭]])</f>
        <v>0</v>
      </c>
      <c r="O933" s="65">
        <f>SUM(표1[[#This Row],[해양탐색]:[마을탐험]])</f>
        <v>0</v>
      </c>
    </row>
    <row r="934" spans="2:15" ht="13.5" customHeight="1" x14ac:dyDescent="0.3">
      <c r="B934" s="9">
        <f>[1]Discovery!A940</f>
        <v>70409011</v>
      </c>
      <c r="C934" s="9" t="str">
        <f>[1]Discovery!B940</f>
        <v>갈전갱이</v>
      </c>
      <c r="D934" s="9" t="str">
        <f>[1]Discovery!E940</f>
        <v>동물</v>
      </c>
      <c r="E934" s="9" t="str">
        <f>[1]Discovery!C940</f>
        <v>어류</v>
      </c>
      <c r="F934" s="9" t="str">
        <f>[1]Discovery!G940</f>
        <v>C</v>
      </c>
      <c r="G934" s="9" t="str">
        <f>IFERROR(VLOOKUP(표1[[#This Row],[명칭]],'문화권 정리'!C:D,2,FALSE),"-")</f>
        <v>어류</v>
      </c>
      <c r="H934" s="38" t="str">
        <f>IFERROR(COUNTIF([2]OceanDoodad!$Y:$Y,표1[[#This Row],[명칭]]),"-")</f>
        <v>-</v>
      </c>
      <c r="I934" s="38">
        <f>IFERROR(COUNTIF([1]AdventureDiscoveryGroup!$D$8:$AW$92,표1[[#This Row],[명칭]]),"-")</f>
        <v>0</v>
      </c>
      <c r="J934" s="38">
        <f>IFERROR(COUNTIF([1]FishDiscoveryGroup!$A:$X,표1[[#This Row],[명칭]]),"-")</f>
        <v>0</v>
      </c>
      <c r="K934" s="38" t="str">
        <f>IFERROR(COUNTIF([2]Town!$B:$B,표1[[#This Row],[명칭]]),"-")</f>
        <v>-</v>
      </c>
      <c r="L934" s="38">
        <f>IFERROR(COUNTIF([1]Village!$BR:$BR,표1[[#This Row],[명칭]]),"-")</f>
        <v>0</v>
      </c>
      <c r="M934" s="38">
        <f>COUNTIF(퀘스트!B:B,표1[[#This Row],[명칭]])</f>
        <v>0</v>
      </c>
      <c r="N934" s="65">
        <f>COUNTIF([1]VillageDiscoveryGroup!$C:$C,표1[[#This Row],[명칭]])</f>
        <v>0</v>
      </c>
      <c r="O934" s="65">
        <f>SUM(표1[[#This Row],[해양탐색]:[마을탐험]])</f>
        <v>0</v>
      </c>
    </row>
    <row r="935" spans="2:15" ht="13.5" customHeight="1" x14ac:dyDescent="0.3">
      <c r="B935" s="9">
        <f>[1]Discovery!A941</f>
        <v>70409012</v>
      </c>
      <c r="C935" s="9" t="str">
        <f>[1]Discovery!B941</f>
        <v>갈창갯장어</v>
      </c>
      <c r="D935" s="9" t="str">
        <f>[1]Discovery!E941</f>
        <v>동물</v>
      </c>
      <c r="E935" s="9" t="str">
        <f>[1]Discovery!C941</f>
        <v>어류</v>
      </c>
      <c r="F935" s="9" t="str">
        <f>[1]Discovery!G941</f>
        <v>A</v>
      </c>
      <c r="G935" s="9" t="str">
        <f>IFERROR(VLOOKUP(표1[[#This Row],[명칭]],'문화권 정리'!C:D,2,FALSE),"-")</f>
        <v>어류</v>
      </c>
      <c r="H935" s="38" t="str">
        <f>IFERROR(COUNTIF([2]OceanDoodad!$Y:$Y,표1[[#This Row],[명칭]]),"-")</f>
        <v>-</v>
      </c>
      <c r="I935" s="38">
        <f>IFERROR(COUNTIF([1]AdventureDiscoveryGroup!$D$8:$AW$92,표1[[#This Row],[명칭]]),"-")</f>
        <v>0</v>
      </c>
      <c r="J935" s="38">
        <f>IFERROR(COUNTIF([1]FishDiscoveryGroup!$A:$X,표1[[#This Row],[명칭]]),"-")</f>
        <v>0</v>
      </c>
      <c r="K935" s="38" t="str">
        <f>IFERROR(COUNTIF([2]Town!$B:$B,표1[[#This Row],[명칭]]),"-")</f>
        <v>-</v>
      </c>
      <c r="L935" s="38">
        <f>IFERROR(COUNTIF([1]Village!$BR:$BR,표1[[#This Row],[명칭]]),"-")</f>
        <v>0</v>
      </c>
      <c r="M935" s="38">
        <f>COUNTIF(퀘스트!B:B,표1[[#This Row],[명칭]])</f>
        <v>0</v>
      </c>
      <c r="N935" s="65">
        <f>COUNTIF([1]VillageDiscoveryGroup!$C:$C,표1[[#This Row],[명칭]])</f>
        <v>0</v>
      </c>
      <c r="O935" s="65">
        <f>SUM(표1[[#This Row],[해양탐색]:[마을탐험]])</f>
        <v>0</v>
      </c>
    </row>
    <row r="936" spans="2:15" ht="13.5" customHeight="1" x14ac:dyDescent="0.3">
      <c r="B936" s="9">
        <f>[1]Discovery!A942</f>
        <v>70409013</v>
      </c>
      <c r="C936" s="9" t="str">
        <f>[1]Discovery!B942</f>
        <v>갈치</v>
      </c>
      <c r="D936" s="9" t="str">
        <f>[1]Discovery!E942</f>
        <v>동물</v>
      </c>
      <c r="E936" s="9" t="str">
        <f>[1]Discovery!C942</f>
        <v>어류</v>
      </c>
      <c r="F936" s="9" t="str">
        <f>[1]Discovery!G942</f>
        <v>A</v>
      </c>
      <c r="G936" s="9" t="str">
        <f>IFERROR(VLOOKUP(표1[[#This Row],[명칭]],'문화권 정리'!C:D,2,FALSE),"-")</f>
        <v>어류</v>
      </c>
      <c r="H936" s="38" t="str">
        <f>IFERROR(COUNTIF([2]OceanDoodad!$Y:$Y,표1[[#This Row],[명칭]]),"-")</f>
        <v>-</v>
      </c>
      <c r="I936" s="38">
        <f>IFERROR(COUNTIF([1]AdventureDiscoveryGroup!$D$8:$AW$92,표1[[#This Row],[명칭]]),"-")</f>
        <v>0</v>
      </c>
      <c r="J936" s="38">
        <f>IFERROR(COUNTIF([1]FishDiscoveryGroup!$A:$X,표1[[#This Row],[명칭]]),"-")</f>
        <v>0</v>
      </c>
      <c r="K936" s="38" t="str">
        <f>IFERROR(COUNTIF([2]Town!$B:$B,표1[[#This Row],[명칭]]),"-")</f>
        <v>-</v>
      </c>
      <c r="L936" s="38">
        <f>IFERROR(COUNTIF([1]Village!$BR:$BR,표1[[#This Row],[명칭]]),"-")</f>
        <v>0</v>
      </c>
      <c r="M936" s="38">
        <f>COUNTIF(퀘스트!B:B,표1[[#This Row],[명칭]])</f>
        <v>0</v>
      </c>
      <c r="N936" s="65">
        <f>COUNTIF([1]VillageDiscoveryGroup!$C:$C,표1[[#This Row],[명칭]])</f>
        <v>0</v>
      </c>
      <c r="O936" s="65">
        <f>SUM(표1[[#This Row],[해양탐색]:[마을탐험]])</f>
        <v>0</v>
      </c>
    </row>
    <row r="937" spans="2:15" ht="13.5" customHeight="1" x14ac:dyDescent="0.3">
      <c r="B937" s="9">
        <f>[1]Discovery!A943</f>
        <v>70409014</v>
      </c>
      <c r="C937" s="9" t="str">
        <f>[1]Discovery!B943</f>
        <v>감성돔</v>
      </c>
      <c r="D937" s="9" t="str">
        <f>[1]Discovery!E943</f>
        <v>동물</v>
      </c>
      <c r="E937" s="9" t="str">
        <f>[1]Discovery!C943</f>
        <v>어류</v>
      </c>
      <c r="F937" s="9" t="str">
        <f>[1]Discovery!G943</f>
        <v>S</v>
      </c>
      <c r="G937" s="9" t="str">
        <f>IFERROR(VLOOKUP(표1[[#This Row],[명칭]],'문화권 정리'!C:D,2,FALSE),"-")</f>
        <v>어류</v>
      </c>
      <c r="H937" s="38" t="str">
        <f>IFERROR(COUNTIF([2]OceanDoodad!$Y:$Y,표1[[#This Row],[명칭]]),"-")</f>
        <v>-</v>
      </c>
      <c r="I937" s="38">
        <f>IFERROR(COUNTIF([1]AdventureDiscoveryGroup!$D$8:$AW$92,표1[[#This Row],[명칭]]),"-")</f>
        <v>0</v>
      </c>
      <c r="J937" s="38">
        <f>IFERROR(COUNTIF([1]FishDiscoveryGroup!$A:$X,표1[[#This Row],[명칭]]),"-")</f>
        <v>0</v>
      </c>
      <c r="K937" s="38" t="str">
        <f>IFERROR(COUNTIF([2]Town!$B:$B,표1[[#This Row],[명칭]]),"-")</f>
        <v>-</v>
      </c>
      <c r="L937" s="38">
        <f>IFERROR(COUNTIF([1]Village!$BR:$BR,표1[[#This Row],[명칭]]),"-")</f>
        <v>0</v>
      </c>
      <c r="M937" s="38">
        <f>COUNTIF(퀘스트!B:B,표1[[#This Row],[명칭]])</f>
        <v>0</v>
      </c>
      <c r="N937" s="65">
        <f>COUNTIF([1]VillageDiscoveryGroup!$C:$C,표1[[#This Row],[명칭]])</f>
        <v>0</v>
      </c>
      <c r="O937" s="65">
        <f>SUM(표1[[#This Row],[해양탐색]:[마을탐험]])</f>
        <v>0</v>
      </c>
    </row>
    <row r="938" spans="2:15" ht="13.5" customHeight="1" x14ac:dyDescent="0.3">
      <c r="B938" s="9">
        <f>[1]Discovery!A944</f>
        <v>70409015</v>
      </c>
      <c r="C938" s="9" t="str">
        <f>[1]Discovery!B944</f>
        <v>갑오징어</v>
      </c>
      <c r="D938" s="9" t="str">
        <f>[1]Discovery!E944</f>
        <v>동물</v>
      </c>
      <c r="E938" s="9" t="str">
        <f>[1]Discovery!C944</f>
        <v>무척추동물</v>
      </c>
      <c r="F938" s="9" t="str">
        <f>[1]Discovery!G944</f>
        <v>A</v>
      </c>
      <c r="G938" s="9" t="str">
        <f>IFERROR(VLOOKUP(표1[[#This Row],[명칭]],'문화권 정리'!C:D,2,FALSE),"-")</f>
        <v>어류</v>
      </c>
      <c r="H938" s="38" t="str">
        <f>IFERROR(COUNTIF([2]OceanDoodad!$Y:$Y,표1[[#This Row],[명칭]]),"-")</f>
        <v>-</v>
      </c>
      <c r="I938" s="38">
        <f>IFERROR(COUNTIF([1]AdventureDiscoveryGroup!$D$8:$AW$92,표1[[#This Row],[명칭]]),"-")</f>
        <v>0</v>
      </c>
      <c r="J938" s="38">
        <f>IFERROR(COUNTIF([1]FishDiscoveryGroup!$A:$X,표1[[#This Row],[명칭]]),"-")</f>
        <v>8</v>
      </c>
      <c r="K938" s="38" t="str">
        <f>IFERROR(COUNTIF([2]Town!$B:$B,표1[[#This Row],[명칭]]),"-")</f>
        <v>-</v>
      </c>
      <c r="L938" s="38">
        <f>IFERROR(COUNTIF([1]Village!$BR:$BR,표1[[#This Row],[명칭]]),"-")</f>
        <v>0</v>
      </c>
      <c r="M938" s="38">
        <f>COUNTIF(퀘스트!B:B,표1[[#This Row],[명칭]])</f>
        <v>0</v>
      </c>
      <c r="N938" s="65">
        <f>COUNTIF([1]VillageDiscoveryGroup!$C:$C,표1[[#This Row],[명칭]])</f>
        <v>0</v>
      </c>
      <c r="O938" s="65">
        <f>SUM(표1[[#This Row],[해양탐색]:[마을탐험]])</f>
        <v>8</v>
      </c>
    </row>
    <row r="939" spans="2:15" ht="13.5" customHeight="1" x14ac:dyDescent="0.3">
      <c r="B939" s="9">
        <f>[1]Discovery!A945</f>
        <v>70409016</v>
      </c>
      <c r="C939" s="9" t="str">
        <f>[1]Discovery!B945</f>
        <v>갑옷메기</v>
      </c>
      <c r="D939" s="9" t="str">
        <f>[1]Discovery!E945</f>
        <v>동물</v>
      </c>
      <c r="E939" s="9" t="str">
        <f>[1]Discovery!C945</f>
        <v>어류</v>
      </c>
      <c r="F939" s="9" t="str">
        <f>[1]Discovery!G945</f>
        <v>C</v>
      </c>
      <c r="G939" s="9" t="str">
        <f>IFERROR(VLOOKUP(표1[[#This Row],[명칭]],'문화권 정리'!C:D,2,FALSE),"-")</f>
        <v>어류</v>
      </c>
      <c r="H939" s="38" t="str">
        <f>IFERROR(COUNTIF([2]OceanDoodad!$Y:$Y,표1[[#This Row],[명칭]]),"-")</f>
        <v>-</v>
      </c>
      <c r="I939" s="38">
        <f>IFERROR(COUNTIF([1]AdventureDiscoveryGroup!$D$8:$AW$92,표1[[#This Row],[명칭]]),"-")</f>
        <v>0</v>
      </c>
      <c r="J939" s="38">
        <f>IFERROR(COUNTIF([1]FishDiscoveryGroup!$A:$X,표1[[#This Row],[명칭]]),"-")</f>
        <v>4</v>
      </c>
      <c r="K939" s="38" t="str">
        <f>IFERROR(COUNTIF([2]Town!$B:$B,표1[[#This Row],[명칭]]),"-")</f>
        <v>-</v>
      </c>
      <c r="L939" s="38">
        <f>IFERROR(COUNTIF([1]Village!$BR:$BR,표1[[#This Row],[명칭]]),"-")</f>
        <v>0</v>
      </c>
      <c r="M939" s="38">
        <f>COUNTIF(퀘스트!B:B,표1[[#This Row],[명칭]])</f>
        <v>0</v>
      </c>
      <c r="N939" s="65">
        <f>COUNTIF([1]VillageDiscoveryGroup!$C:$C,표1[[#This Row],[명칭]])</f>
        <v>0</v>
      </c>
      <c r="O939" s="65">
        <f>SUM(표1[[#This Row],[해양탐색]:[마을탐험]])</f>
        <v>4</v>
      </c>
    </row>
    <row r="940" spans="2:15" ht="13.5" customHeight="1" x14ac:dyDescent="0.3">
      <c r="B940" s="9">
        <f>[1]Discovery!A946</f>
        <v>70409017</v>
      </c>
      <c r="C940" s="9" t="str">
        <f>[1]Discovery!B946</f>
        <v>강남상어</v>
      </c>
      <c r="D940" s="9" t="str">
        <f>[1]Discovery!E946</f>
        <v>동물</v>
      </c>
      <c r="E940" s="9" t="str">
        <f>[1]Discovery!C946</f>
        <v>어류</v>
      </c>
      <c r="F940" s="9" t="str">
        <f>[1]Discovery!G946</f>
        <v>S</v>
      </c>
      <c r="G940" s="9" t="str">
        <f>IFERROR(VLOOKUP(표1[[#This Row],[명칭]],'문화권 정리'!C:D,2,FALSE),"-")</f>
        <v>어류</v>
      </c>
      <c r="H940" s="38" t="str">
        <f>IFERROR(COUNTIF([2]OceanDoodad!$Y:$Y,표1[[#This Row],[명칭]]),"-")</f>
        <v>-</v>
      </c>
      <c r="I940" s="38">
        <f>IFERROR(COUNTIF([1]AdventureDiscoveryGroup!$D$8:$AW$92,표1[[#This Row],[명칭]]),"-")</f>
        <v>0</v>
      </c>
      <c r="J940" s="38">
        <f>IFERROR(COUNTIF([1]FishDiscoveryGroup!$A:$X,표1[[#This Row],[명칭]]),"-")</f>
        <v>1</v>
      </c>
      <c r="K940" s="38" t="str">
        <f>IFERROR(COUNTIF([2]Town!$B:$B,표1[[#This Row],[명칭]]),"-")</f>
        <v>-</v>
      </c>
      <c r="L940" s="38">
        <f>IFERROR(COUNTIF([1]Village!$BR:$BR,표1[[#This Row],[명칭]]),"-")</f>
        <v>0</v>
      </c>
      <c r="M940" s="38">
        <f>COUNTIF(퀘스트!B:B,표1[[#This Row],[명칭]])</f>
        <v>0</v>
      </c>
      <c r="N940" s="65">
        <f>COUNTIF([1]VillageDiscoveryGroup!$C:$C,표1[[#This Row],[명칭]])</f>
        <v>0</v>
      </c>
      <c r="O940" s="65">
        <f>SUM(표1[[#This Row],[해양탐색]:[마을탐험]])</f>
        <v>1</v>
      </c>
    </row>
    <row r="941" spans="2:15" ht="13.5" customHeight="1" x14ac:dyDescent="0.3">
      <c r="B941" s="9">
        <f>[1]Discovery!A947</f>
        <v>70409018</v>
      </c>
      <c r="C941" s="9" t="str">
        <f>[1]Discovery!B947</f>
        <v>강도다리</v>
      </c>
      <c r="D941" s="9" t="str">
        <f>[1]Discovery!E947</f>
        <v>동물</v>
      </c>
      <c r="E941" s="9" t="str">
        <f>[1]Discovery!C947</f>
        <v>어류</v>
      </c>
      <c r="F941" s="9" t="str">
        <f>[1]Discovery!G947</f>
        <v>A</v>
      </c>
      <c r="G941" s="9" t="str">
        <f>IFERROR(VLOOKUP(표1[[#This Row],[명칭]],'문화권 정리'!C:D,2,FALSE),"-")</f>
        <v>어류</v>
      </c>
      <c r="H941" s="38" t="str">
        <f>IFERROR(COUNTIF([2]OceanDoodad!$Y:$Y,표1[[#This Row],[명칭]]),"-")</f>
        <v>-</v>
      </c>
      <c r="I941" s="38">
        <f>IFERROR(COUNTIF([1]AdventureDiscoveryGroup!$D$8:$AW$92,표1[[#This Row],[명칭]]),"-")</f>
        <v>0</v>
      </c>
      <c r="J941" s="38">
        <f>IFERROR(COUNTIF([1]FishDiscoveryGroup!$A:$X,표1[[#This Row],[명칭]]),"-")</f>
        <v>8</v>
      </c>
      <c r="K941" s="38" t="str">
        <f>IFERROR(COUNTIF([2]Town!$B:$B,표1[[#This Row],[명칭]]),"-")</f>
        <v>-</v>
      </c>
      <c r="L941" s="38">
        <f>IFERROR(COUNTIF([1]Village!$BR:$BR,표1[[#This Row],[명칭]]),"-")</f>
        <v>0</v>
      </c>
      <c r="M941" s="38">
        <f>COUNTIF(퀘스트!B:B,표1[[#This Row],[명칭]])</f>
        <v>0</v>
      </c>
      <c r="N941" s="65">
        <f>COUNTIF([1]VillageDiscoveryGroup!$C:$C,표1[[#This Row],[명칭]])</f>
        <v>0</v>
      </c>
      <c r="O941" s="65">
        <f>SUM(표1[[#This Row],[해양탐색]:[마을탐험]])</f>
        <v>8</v>
      </c>
    </row>
    <row r="942" spans="2:15" ht="13.5" customHeight="1" x14ac:dyDescent="0.3">
      <c r="B942" s="9">
        <f>[1]Discovery!A948</f>
        <v>70409019</v>
      </c>
      <c r="C942" s="9" t="str">
        <f>[1]Discovery!B948</f>
        <v>개복치</v>
      </c>
      <c r="D942" s="9" t="str">
        <f>[1]Discovery!E948</f>
        <v>동물</v>
      </c>
      <c r="E942" s="9" t="str">
        <f>[1]Discovery!C948</f>
        <v>어류</v>
      </c>
      <c r="F942" s="9" t="str">
        <f>[1]Discovery!G948</f>
        <v>S</v>
      </c>
      <c r="G942" s="9" t="str">
        <f>IFERROR(VLOOKUP(표1[[#This Row],[명칭]],'문화권 정리'!C:D,2,FALSE),"-")</f>
        <v>어류</v>
      </c>
      <c r="H942" s="38" t="str">
        <f>IFERROR(COUNTIF([2]OceanDoodad!$Y:$Y,표1[[#This Row],[명칭]]),"-")</f>
        <v>-</v>
      </c>
      <c r="I942" s="38">
        <f>IFERROR(COUNTIF([1]AdventureDiscoveryGroup!$D$8:$AW$92,표1[[#This Row],[명칭]]),"-")</f>
        <v>0</v>
      </c>
      <c r="J942" s="38">
        <f>IFERROR(COUNTIF([1]FishDiscoveryGroup!$A:$X,표1[[#This Row],[명칭]]),"-")</f>
        <v>0</v>
      </c>
      <c r="K942" s="38" t="str">
        <f>IFERROR(COUNTIF([2]Town!$B:$B,표1[[#This Row],[명칭]]),"-")</f>
        <v>-</v>
      </c>
      <c r="L942" s="38">
        <f>IFERROR(COUNTIF([1]Village!$BR:$BR,표1[[#This Row],[명칭]]),"-")</f>
        <v>0</v>
      </c>
      <c r="M942" s="38">
        <f>COUNTIF(퀘스트!B:B,표1[[#This Row],[명칭]])</f>
        <v>1</v>
      </c>
      <c r="N942" s="65">
        <f>COUNTIF([1]VillageDiscoveryGroup!$C:$C,표1[[#This Row],[명칭]])</f>
        <v>0</v>
      </c>
      <c r="O942" s="65">
        <f>SUM(표1[[#This Row],[해양탐색]:[마을탐험]])</f>
        <v>1</v>
      </c>
    </row>
    <row r="943" spans="2:15" ht="13.5" customHeight="1" x14ac:dyDescent="0.3">
      <c r="B943" s="9">
        <f>[1]Discovery!A949</f>
        <v>70409020</v>
      </c>
      <c r="C943" s="9" t="str">
        <f>[1]Discovery!B949</f>
        <v>개상어</v>
      </c>
      <c r="D943" s="9" t="str">
        <f>[1]Discovery!E949</f>
        <v>동물</v>
      </c>
      <c r="E943" s="9" t="str">
        <f>[1]Discovery!C949</f>
        <v>어류</v>
      </c>
      <c r="F943" s="9" t="str">
        <f>[1]Discovery!G949</f>
        <v>S</v>
      </c>
      <c r="G943" s="9" t="str">
        <f>IFERROR(VLOOKUP(표1[[#This Row],[명칭]],'문화권 정리'!C:D,2,FALSE),"-")</f>
        <v>어류</v>
      </c>
      <c r="H943" s="38" t="str">
        <f>IFERROR(COUNTIF([2]OceanDoodad!$Y:$Y,표1[[#This Row],[명칭]]),"-")</f>
        <v>-</v>
      </c>
      <c r="I943" s="38">
        <f>IFERROR(COUNTIF([1]AdventureDiscoveryGroup!$D$8:$AW$92,표1[[#This Row],[명칭]]),"-")</f>
        <v>0</v>
      </c>
      <c r="J943" s="38">
        <f>IFERROR(COUNTIF([1]FishDiscoveryGroup!$A:$X,표1[[#This Row],[명칭]]),"-")</f>
        <v>4</v>
      </c>
      <c r="K943" s="38" t="str">
        <f>IFERROR(COUNTIF([2]Town!$B:$B,표1[[#This Row],[명칭]]),"-")</f>
        <v>-</v>
      </c>
      <c r="L943" s="38">
        <f>IFERROR(COUNTIF([1]Village!$BR:$BR,표1[[#This Row],[명칭]]),"-")</f>
        <v>0</v>
      </c>
      <c r="M943" s="38">
        <f>COUNTIF(퀘스트!B:B,표1[[#This Row],[명칭]])</f>
        <v>0</v>
      </c>
      <c r="N943" s="65">
        <f>COUNTIF([1]VillageDiscoveryGroup!$C:$C,표1[[#This Row],[명칭]])</f>
        <v>0</v>
      </c>
      <c r="O943" s="65">
        <f>SUM(표1[[#This Row],[해양탐색]:[마을탐험]])</f>
        <v>4</v>
      </c>
    </row>
    <row r="944" spans="2:15" ht="13.5" customHeight="1" x14ac:dyDescent="0.3">
      <c r="B944" s="9">
        <f>[1]Discovery!A950</f>
        <v>70409021</v>
      </c>
      <c r="C944" s="9" t="str">
        <f>[1]Discovery!B950</f>
        <v>객주리</v>
      </c>
      <c r="D944" s="9" t="str">
        <f>[1]Discovery!E950</f>
        <v>동물</v>
      </c>
      <c r="E944" s="9" t="str">
        <f>[1]Discovery!C950</f>
        <v>어류</v>
      </c>
      <c r="F944" s="9" t="str">
        <f>[1]Discovery!G950</f>
        <v>B</v>
      </c>
      <c r="G944" s="9" t="str">
        <f>IFERROR(VLOOKUP(표1[[#This Row],[명칭]],'문화권 정리'!C:D,2,FALSE),"-")</f>
        <v>어류</v>
      </c>
      <c r="H944" s="38" t="str">
        <f>IFERROR(COUNTIF([2]OceanDoodad!$Y:$Y,표1[[#This Row],[명칭]]),"-")</f>
        <v>-</v>
      </c>
      <c r="I944" s="38">
        <f>IFERROR(COUNTIF([1]AdventureDiscoveryGroup!$D$8:$AW$92,표1[[#This Row],[명칭]]),"-")</f>
        <v>0</v>
      </c>
      <c r="J944" s="38">
        <f>IFERROR(COUNTIF([1]FishDiscoveryGroup!$A:$X,표1[[#This Row],[명칭]]),"-")</f>
        <v>4</v>
      </c>
      <c r="K944" s="38" t="str">
        <f>IFERROR(COUNTIF([2]Town!$B:$B,표1[[#This Row],[명칭]]),"-")</f>
        <v>-</v>
      </c>
      <c r="L944" s="38">
        <f>IFERROR(COUNTIF([1]Village!$BR:$BR,표1[[#This Row],[명칭]]),"-")</f>
        <v>0</v>
      </c>
      <c r="M944" s="38">
        <f>COUNTIF(퀘스트!B:B,표1[[#This Row],[명칭]])</f>
        <v>0</v>
      </c>
      <c r="N944" s="65">
        <f>COUNTIF([1]VillageDiscoveryGroup!$C:$C,표1[[#This Row],[명칭]])</f>
        <v>0</v>
      </c>
      <c r="O944" s="65">
        <f>SUM(표1[[#This Row],[해양탐색]:[마을탐험]])</f>
        <v>4</v>
      </c>
    </row>
    <row r="945" spans="2:15" ht="13.5" customHeight="1" x14ac:dyDescent="0.3">
      <c r="B945" s="9">
        <f>[1]Discovery!A951</f>
        <v>70409022</v>
      </c>
      <c r="C945" s="9" t="str">
        <f>[1]Discovery!B951</f>
        <v>갯농어</v>
      </c>
      <c r="D945" s="9" t="str">
        <f>[1]Discovery!E951</f>
        <v>동물</v>
      </c>
      <c r="E945" s="9" t="str">
        <f>[1]Discovery!C951</f>
        <v>어류</v>
      </c>
      <c r="F945" s="9" t="str">
        <f>[1]Discovery!G951</f>
        <v>B</v>
      </c>
      <c r="G945" s="9" t="str">
        <f>IFERROR(VLOOKUP(표1[[#This Row],[명칭]],'문화권 정리'!C:D,2,FALSE),"-")</f>
        <v>어류</v>
      </c>
      <c r="H945" s="38" t="str">
        <f>IFERROR(COUNTIF([2]OceanDoodad!$Y:$Y,표1[[#This Row],[명칭]]),"-")</f>
        <v>-</v>
      </c>
      <c r="I945" s="38">
        <f>IFERROR(COUNTIF([1]AdventureDiscoveryGroup!$D$8:$AW$92,표1[[#This Row],[명칭]]),"-")</f>
        <v>0</v>
      </c>
      <c r="J945" s="38">
        <f>IFERROR(COUNTIF([1]FishDiscoveryGroup!$A:$X,표1[[#This Row],[명칭]]),"-")</f>
        <v>4</v>
      </c>
      <c r="K945" s="38" t="str">
        <f>IFERROR(COUNTIF([2]Town!$B:$B,표1[[#This Row],[명칭]]),"-")</f>
        <v>-</v>
      </c>
      <c r="L945" s="38">
        <f>IFERROR(COUNTIF([1]Village!$BR:$BR,표1[[#This Row],[명칭]]),"-")</f>
        <v>0</v>
      </c>
      <c r="M945" s="38">
        <f>COUNTIF(퀘스트!B:B,표1[[#This Row],[명칭]])</f>
        <v>0</v>
      </c>
      <c r="N945" s="65">
        <f>COUNTIF([1]VillageDiscoveryGroup!$C:$C,표1[[#This Row],[명칭]])</f>
        <v>0</v>
      </c>
      <c r="O945" s="65">
        <f>SUM(표1[[#This Row],[해양탐색]:[마을탐험]])</f>
        <v>4</v>
      </c>
    </row>
    <row r="946" spans="2:15" ht="13.5" customHeight="1" x14ac:dyDescent="0.3">
      <c r="B946" s="9">
        <f>[1]Discovery!A952</f>
        <v>70409023</v>
      </c>
      <c r="C946" s="9" t="str">
        <f>[1]Discovery!B952</f>
        <v>갯장어</v>
      </c>
      <c r="D946" s="9" t="str">
        <f>[1]Discovery!E952</f>
        <v>동물</v>
      </c>
      <c r="E946" s="9" t="str">
        <f>[1]Discovery!C952</f>
        <v>어류</v>
      </c>
      <c r="F946" s="9" t="str">
        <f>[1]Discovery!G952</f>
        <v>B</v>
      </c>
      <c r="G946" s="9" t="str">
        <f>IFERROR(VLOOKUP(표1[[#This Row],[명칭]],'문화권 정리'!C:D,2,FALSE),"-")</f>
        <v>어류</v>
      </c>
      <c r="H946" s="38" t="str">
        <f>IFERROR(COUNTIF([2]OceanDoodad!$Y:$Y,표1[[#This Row],[명칭]]),"-")</f>
        <v>-</v>
      </c>
      <c r="I946" s="38">
        <f>IFERROR(COUNTIF([1]AdventureDiscoveryGroup!$D$8:$AW$92,표1[[#This Row],[명칭]]),"-")</f>
        <v>0</v>
      </c>
      <c r="J946" s="38">
        <f>IFERROR(COUNTIF([1]FishDiscoveryGroup!$A:$X,표1[[#This Row],[명칭]]),"-")</f>
        <v>0</v>
      </c>
      <c r="K946" s="38" t="str">
        <f>IFERROR(COUNTIF([2]Town!$B:$B,표1[[#This Row],[명칭]]),"-")</f>
        <v>-</v>
      </c>
      <c r="L946" s="38">
        <f>IFERROR(COUNTIF([1]Village!$BR:$BR,표1[[#This Row],[명칭]]),"-")</f>
        <v>0</v>
      </c>
      <c r="M946" s="38">
        <f>COUNTIF(퀘스트!B:B,표1[[#This Row],[명칭]])</f>
        <v>0</v>
      </c>
      <c r="N946" s="65">
        <f>COUNTIF([1]VillageDiscoveryGroup!$C:$C,표1[[#This Row],[명칭]])</f>
        <v>0</v>
      </c>
      <c r="O946" s="65">
        <f>SUM(표1[[#This Row],[해양탐색]:[마을탐험]])</f>
        <v>0</v>
      </c>
    </row>
    <row r="947" spans="2:15" ht="13.5" customHeight="1" x14ac:dyDescent="0.3">
      <c r="B947" s="9">
        <f>[1]Discovery!A953</f>
        <v>70409024</v>
      </c>
      <c r="C947" s="9" t="str">
        <f>[1]Discovery!B953</f>
        <v>거북복</v>
      </c>
      <c r="D947" s="9" t="str">
        <f>[1]Discovery!E953</f>
        <v>동물</v>
      </c>
      <c r="E947" s="9" t="str">
        <f>[1]Discovery!C953</f>
        <v>어류</v>
      </c>
      <c r="F947" s="9" t="str">
        <f>[1]Discovery!G953</f>
        <v>B</v>
      </c>
      <c r="G947" s="9" t="str">
        <f>IFERROR(VLOOKUP(표1[[#This Row],[명칭]],'문화권 정리'!C:D,2,FALSE),"-")</f>
        <v>어류</v>
      </c>
      <c r="H947" s="38" t="str">
        <f>IFERROR(COUNTIF([2]OceanDoodad!$Y:$Y,표1[[#This Row],[명칭]]),"-")</f>
        <v>-</v>
      </c>
      <c r="I947" s="38">
        <f>IFERROR(COUNTIF([1]AdventureDiscoveryGroup!$D$8:$AW$92,표1[[#This Row],[명칭]]),"-")</f>
        <v>0</v>
      </c>
      <c r="J947" s="38">
        <f>IFERROR(COUNTIF([1]FishDiscoveryGroup!$A:$X,표1[[#This Row],[명칭]]),"-")</f>
        <v>4</v>
      </c>
      <c r="K947" s="38" t="str">
        <f>IFERROR(COUNTIF([2]Town!$B:$B,표1[[#This Row],[명칭]]),"-")</f>
        <v>-</v>
      </c>
      <c r="L947" s="38">
        <f>IFERROR(COUNTIF([1]Village!$BR:$BR,표1[[#This Row],[명칭]]),"-")</f>
        <v>0</v>
      </c>
      <c r="M947" s="38">
        <f>COUNTIF(퀘스트!B:B,표1[[#This Row],[명칭]])</f>
        <v>0</v>
      </c>
      <c r="N947" s="65">
        <f>COUNTIF([1]VillageDiscoveryGroup!$C:$C,표1[[#This Row],[명칭]])</f>
        <v>0</v>
      </c>
      <c r="O947" s="65">
        <f>SUM(표1[[#This Row],[해양탐색]:[마을탐험]])</f>
        <v>4</v>
      </c>
    </row>
    <row r="948" spans="2:15" ht="13.5" customHeight="1" x14ac:dyDescent="0.3">
      <c r="B948" s="9">
        <f>[1]Discovery!A954</f>
        <v>70409025</v>
      </c>
      <c r="C948" s="9" t="str">
        <f>[1]Discovery!B954</f>
        <v>검은꼬리상어</v>
      </c>
      <c r="D948" s="9" t="str">
        <f>[1]Discovery!E954</f>
        <v>동물</v>
      </c>
      <c r="E948" s="9" t="str">
        <f>[1]Discovery!C954</f>
        <v>어류</v>
      </c>
      <c r="F948" s="9" t="str">
        <f>[1]Discovery!G954</f>
        <v>S</v>
      </c>
      <c r="G948" s="9" t="str">
        <f>IFERROR(VLOOKUP(표1[[#This Row],[명칭]],'문화권 정리'!C:D,2,FALSE),"-")</f>
        <v>어류</v>
      </c>
      <c r="H948" s="38" t="str">
        <f>IFERROR(COUNTIF([2]OceanDoodad!$Y:$Y,표1[[#This Row],[명칭]]),"-")</f>
        <v>-</v>
      </c>
      <c r="I948" s="38">
        <f>IFERROR(COUNTIF([1]AdventureDiscoveryGroup!$D$8:$AW$92,표1[[#This Row],[명칭]]),"-")</f>
        <v>0</v>
      </c>
      <c r="J948" s="38">
        <f>IFERROR(COUNTIF([1]FishDiscoveryGroup!$A:$X,표1[[#This Row],[명칭]]),"-")</f>
        <v>0</v>
      </c>
      <c r="K948" s="38" t="str">
        <f>IFERROR(COUNTIF([2]Town!$B:$B,표1[[#This Row],[명칭]]),"-")</f>
        <v>-</v>
      </c>
      <c r="L948" s="38">
        <f>IFERROR(COUNTIF([1]Village!$BR:$BR,표1[[#This Row],[명칭]]),"-")</f>
        <v>0</v>
      </c>
      <c r="M948" s="38">
        <f>COUNTIF(퀘스트!B:B,표1[[#This Row],[명칭]])</f>
        <v>0</v>
      </c>
      <c r="N948" s="65">
        <f>COUNTIF([1]VillageDiscoveryGroup!$C:$C,표1[[#This Row],[명칭]])</f>
        <v>0</v>
      </c>
      <c r="O948" s="65">
        <f>SUM(표1[[#This Row],[해양탐색]:[마을탐험]])</f>
        <v>0</v>
      </c>
    </row>
    <row r="949" spans="2:15" ht="13.5" customHeight="1" x14ac:dyDescent="0.3">
      <c r="B949" s="9">
        <f>[1]Discovery!A955</f>
        <v>70409026</v>
      </c>
      <c r="C949" s="9" t="str">
        <f>[1]Discovery!B955</f>
        <v>검은점곰치</v>
      </c>
      <c r="D949" s="9" t="str">
        <f>[1]Discovery!E955</f>
        <v>동물</v>
      </c>
      <c r="E949" s="9" t="str">
        <f>[1]Discovery!C955</f>
        <v>어류</v>
      </c>
      <c r="F949" s="9" t="str">
        <f>[1]Discovery!G955</f>
        <v>B</v>
      </c>
      <c r="G949" s="9" t="str">
        <f>IFERROR(VLOOKUP(표1[[#This Row],[명칭]],'문화권 정리'!C:D,2,FALSE),"-")</f>
        <v>어류</v>
      </c>
      <c r="H949" s="38" t="str">
        <f>IFERROR(COUNTIF([2]OceanDoodad!$Y:$Y,표1[[#This Row],[명칭]]),"-")</f>
        <v>-</v>
      </c>
      <c r="I949" s="38">
        <f>IFERROR(COUNTIF([1]AdventureDiscoveryGroup!$D$8:$AW$92,표1[[#This Row],[명칭]]),"-")</f>
        <v>0</v>
      </c>
      <c r="J949" s="38">
        <f>IFERROR(COUNTIF([1]FishDiscoveryGroup!$A:$X,표1[[#This Row],[명칭]]),"-")</f>
        <v>4</v>
      </c>
      <c r="K949" s="38" t="str">
        <f>IFERROR(COUNTIF([2]Town!$B:$B,표1[[#This Row],[명칭]]),"-")</f>
        <v>-</v>
      </c>
      <c r="L949" s="38">
        <f>IFERROR(COUNTIF([1]Village!$BR:$BR,표1[[#This Row],[명칭]]),"-")</f>
        <v>0</v>
      </c>
      <c r="M949" s="38">
        <f>COUNTIF(퀘스트!B:B,표1[[#This Row],[명칭]])</f>
        <v>0</v>
      </c>
      <c r="N949" s="65">
        <f>COUNTIF([1]VillageDiscoveryGroup!$C:$C,표1[[#This Row],[명칭]])</f>
        <v>0</v>
      </c>
      <c r="O949" s="65">
        <f>SUM(표1[[#This Row],[해양탐색]:[마을탐험]])</f>
        <v>4</v>
      </c>
    </row>
    <row r="950" spans="2:15" ht="13.5" customHeight="1" x14ac:dyDescent="0.3">
      <c r="B950" s="9">
        <f>[1]Discovery!A956</f>
        <v>70409027</v>
      </c>
      <c r="C950" s="9" t="str">
        <f>[1]Discovery!B956</f>
        <v>검은줄꼬리돔</v>
      </c>
      <c r="D950" s="9" t="str">
        <f>[1]Discovery!E956</f>
        <v>동물</v>
      </c>
      <c r="E950" s="9" t="str">
        <f>[1]Discovery!C956</f>
        <v>어류</v>
      </c>
      <c r="F950" s="9" t="str">
        <f>[1]Discovery!G956</f>
        <v>A</v>
      </c>
      <c r="G950" s="9" t="str">
        <f>IFERROR(VLOOKUP(표1[[#This Row],[명칭]],'문화권 정리'!C:D,2,FALSE),"-")</f>
        <v>어류</v>
      </c>
      <c r="H950" s="38" t="str">
        <f>IFERROR(COUNTIF([2]OceanDoodad!$Y:$Y,표1[[#This Row],[명칭]]),"-")</f>
        <v>-</v>
      </c>
      <c r="I950" s="38">
        <f>IFERROR(COUNTIF([1]AdventureDiscoveryGroup!$D$8:$AW$92,표1[[#This Row],[명칭]]),"-")</f>
        <v>0</v>
      </c>
      <c r="J950" s="38">
        <f>IFERROR(COUNTIF([1]FishDiscoveryGroup!$A:$X,표1[[#This Row],[명칭]]),"-")</f>
        <v>4</v>
      </c>
      <c r="K950" s="38" t="str">
        <f>IFERROR(COUNTIF([2]Town!$B:$B,표1[[#This Row],[명칭]]),"-")</f>
        <v>-</v>
      </c>
      <c r="L950" s="38">
        <f>IFERROR(COUNTIF([1]Village!$BR:$BR,표1[[#This Row],[명칭]]),"-")</f>
        <v>0</v>
      </c>
      <c r="M950" s="38">
        <f>COUNTIF(퀘스트!B:B,표1[[#This Row],[명칭]])</f>
        <v>0</v>
      </c>
      <c r="N950" s="65">
        <f>COUNTIF([1]VillageDiscoveryGroup!$C:$C,표1[[#This Row],[명칭]])</f>
        <v>0</v>
      </c>
      <c r="O950" s="65">
        <f>SUM(표1[[#This Row],[해양탐색]:[마을탐험]])</f>
        <v>4</v>
      </c>
    </row>
    <row r="951" spans="2:15" ht="13.5" customHeight="1" x14ac:dyDescent="0.3">
      <c r="B951" s="9">
        <f>[1]Discovery!A957</f>
        <v>70409028</v>
      </c>
      <c r="C951" s="9" t="str">
        <f>[1]Discovery!B957</f>
        <v>게레치</v>
      </c>
      <c r="D951" s="9" t="str">
        <f>[1]Discovery!E957</f>
        <v>동물</v>
      </c>
      <c r="E951" s="9" t="str">
        <f>[1]Discovery!C957</f>
        <v>어류</v>
      </c>
      <c r="F951" s="9" t="str">
        <f>[1]Discovery!G957</f>
        <v>B</v>
      </c>
      <c r="G951" s="9" t="str">
        <f>IFERROR(VLOOKUP(표1[[#This Row],[명칭]],'문화권 정리'!C:D,2,FALSE),"-")</f>
        <v>어류</v>
      </c>
      <c r="H951" s="38" t="str">
        <f>IFERROR(COUNTIF([2]OceanDoodad!$Y:$Y,표1[[#This Row],[명칭]]),"-")</f>
        <v>-</v>
      </c>
      <c r="I951" s="38">
        <f>IFERROR(COUNTIF([1]AdventureDiscoveryGroup!$D$8:$AW$92,표1[[#This Row],[명칭]]),"-")</f>
        <v>0</v>
      </c>
      <c r="J951" s="38">
        <f>IFERROR(COUNTIF([1]FishDiscoveryGroup!$A:$X,표1[[#This Row],[명칭]]),"-")</f>
        <v>4</v>
      </c>
      <c r="K951" s="38" t="str">
        <f>IFERROR(COUNTIF([2]Town!$B:$B,표1[[#This Row],[명칭]]),"-")</f>
        <v>-</v>
      </c>
      <c r="L951" s="38">
        <f>IFERROR(COUNTIF([1]Village!$BR:$BR,표1[[#This Row],[명칭]]),"-")</f>
        <v>0</v>
      </c>
      <c r="M951" s="38">
        <f>COUNTIF(퀘스트!B:B,표1[[#This Row],[명칭]])</f>
        <v>0</v>
      </c>
      <c r="N951" s="65">
        <f>COUNTIF([1]VillageDiscoveryGroup!$C:$C,표1[[#This Row],[명칭]])</f>
        <v>0</v>
      </c>
      <c r="O951" s="65">
        <f>SUM(표1[[#This Row],[해양탐색]:[마을탐험]])</f>
        <v>4</v>
      </c>
    </row>
    <row r="952" spans="2:15" ht="13.5" customHeight="1" x14ac:dyDescent="0.3">
      <c r="B952" s="9">
        <f>[1]Discovery!A958</f>
        <v>70409029</v>
      </c>
      <c r="C952" s="9" t="str">
        <f>[1]Discovery!B958</f>
        <v>게르치</v>
      </c>
      <c r="D952" s="9" t="str">
        <f>[1]Discovery!E958</f>
        <v>동물</v>
      </c>
      <c r="E952" s="9" t="str">
        <f>[1]Discovery!C958</f>
        <v>어류</v>
      </c>
      <c r="F952" s="9" t="str">
        <f>[1]Discovery!G958</f>
        <v>C</v>
      </c>
      <c r="G952" s="9" t="str">
        <f>IFERROR(VLOOKUP(표1[[#This Row],[명칭]],'문화권 정리'!C:D,2,FALSE),"-")</f>
        <v>어류</v>
      </c>
      <c r="H952" s="38" t="str">
        <f>IFERROR(COUNTIF([2]OceanDoodad!$Y:$Y,표1[[#This Row],[명칭]]),"-")</f>
        <v>-</v>
      </c>
      <c r="I952" s="38">
        <f>IFERROR(COUNTIF([1]AdventureDiscoveryGroup!$D$8:$AW$92,표1[[#This Row],[명칭]]),"-")</f>
        <v>0</v>
      </c>
      <c r="J952" s="38">
        <f>IFERROR(COUNTIF([1]FishDiscoveryGroup!$A:$X,표1[[#This Row],[명칭]]),"-")</f>
        <v>4</v>
      </c>
      <c r="K952" s="38" t="str">
        <f>IFERROR(COUNTIF([2]Town!$B:$B,표1[[#This Row],[명칭]]),"-")</f>
        <v>-</v>
      </c>
      <c r="L952" s="38">
        <f>IFERROR(COUNTIF([1]Village!$BR:$BR,표1[[#This Row],[명칭]]),"-")</f>
        <v>0</v>
      </c>
      <c r="M952" s="38">
        <f>COUNTIF(퀘스트!B:B,표1[[#This Row],[명칭]])</f>
        <v>0</v>
      </c>
      <c r="N952" s="65">
        <f>COUNTIF([1]VillageDiscoveryGroup!$C:$C,표1[[#This Row],[명칭]])</f>
        <v>0</v>
      </c>
      <c r="O952" s="65">
        <f>SUM(표1[[#This Row],[해양탐색]:[마을탐험]])</f>
        <v>4</v>
      </c>
    </row>
    <row r="953" spans="2:15" ht="13.5" customHeight="1" x14ac:dyDescent="0.3">
      <c r="B953" s="9">
        <f>[1]Discovery!A959</f>
        <v>70409030</v>
      </c>
      <c r="C953" s="9" t="str">
        <f>[1]Discovery!B959</f>
        <v>고깔해파리</v>
      </c>
      <c r="D953" s="9" t="str">
        <f>[1]Discovery!E959</f>
        <v>동물</v>
      </c>
      <c r="E953" s="9" t="str">
        <f>[1]Discovery!C959</f>
        <v>무척추동물</v>
      </c>
      <c r="F953" s="9" t="str">
        <f>[1]Discovery!G959</f>
        <v>B</v>
      </c>
      <c r="G953" s="9" t="str">
        <f>IFERROR(VLOOKUP(표1[[#This Row],[명칭]],'문화권 정리'!C:D,2,FALSE),"-")</f>
        <v>어류</v>
      </c>
      <c r="H953" s="38" t="str">
        <f>IFERROR(COUNTIF([2]OceanDoodad!$Y:$Y,표1[[#This Row],[명칭]]),"-")</f>
        <v>-</v>
      </c>
      <c r="I953" s="38">
        <f>IFERROR(COUNTIF([1]AdventureDiscoveryGroup!$D$8:$AW$92,표1[[#This Row],[명칭]]),"-")</f>
        <v>0</v>
      </c>
      <c r="J953" s="38">
        <f>IFERROR(COUNTIF([1]FishDiscoveryGroup!$A:$X,표1[[#This Row],[명칭]]),"-")</f>
        <v>4</v>
      </c>
      <c r="K953" s="38" t="str">
        <f>IFERROR(COUNTIF([2]Town!$B:$B,표1[[#This Row],[명칭]]),"-")</f>
        <v>-</v>
      </c>
      <c r="L953" s="38">
        <f>IFERROR(COUNTIF([1]Village!$BR:$BR,표1[[#This Row],[명칭]]),"-")</f>
        <v>0</v>
      </c>
      <c r="M953" s="38">
        <f>COUNTIF(퀘스트!B:B,표1[[#This Row],[명칭]])</f>
        <v>0</v>
      </c>
      <c r="N953" s="65">
        <f>COUNTIF([1]VillageDiscoveryGroup!$C:$C,표1[[#This Row],[명칭]])</f>
        <v>0</v>
      </c>
      <c r="O953" s="65">
        <f>SUM(표1[[#This Row],[해양탐색]:[마을탐험]])</f>
        <v>4</v>
      </c>
    </row>
    <row r="954" spans="2:15" ht="13.5" customHeight="1" x14ac:dyDescent="0.3">
      <c r="B954" s="9">
        <f>[1]Discovery!A960</f>
        <v>70409031</v>
      </c>
      <c r="C954" s="9" t="str">
        <f>[1]Discovery!B960</f>
        <v>고등어</v>
      </c>
      <c r="D954" s="9" t="str">
        <f>[1]Discovery!E960</f>
        <v>동물</v>
      </c>
      <c r="E954" s="9" t="str">
        <f>[1]Discovery!C960</f>
        <v>어류</v>
      </c>
      <c r="F954" s="9" t="str">
        <f>[1]Discovery!G960</f>
        <v>C</v>
      </c>
      <c r="G954" s="9" t="str">
        <f>IFERROR(VLOOKUP(표1[[#This Row],[명칭]],'문화권 정리'!C:D,2,FALSE),"-")</f>
        <v>어류</v>
      </c>
      <c r="H954" s="38" t="str">
        <f>IFERROR(COUNTIF([2]OceanDoodad!$Y:$Y,표1[[#This Row],[명칭]]),"-")</f>
        <v>-</v>
      </c>
      <c r="I954" s="38">
        <f>IFERROR(COUNTIF([1]AdventureDiscoveryGroup!$D$8:$AW$92,표1[[#This Row],[명칭]]),"-")</f>
        <v>0</v>
      </c>
      <c r="J954" s="38">
        <f>IFERROR(COUNTIF([1]FishDiscoveryGroup!$A:$X,표1[[#This Row],[명칭]]),"-")</f>
        <v>3</v>
      </c>
      <c r="K954" s="38" t="str">
        <f>IFERROR(COUNTIF([2]Town!$B:$B,표1[[#This Row],[명칭]]),"-")</f>
        <v>-</v>
      </c>
      <c r="L954" s="38">
        <f>IFERROR(COUNTIF([1]Village!$BR:$BR,표1[[#This Row],[명칭]]),"-")</f>
        <v>0</v>
      </c>
      <c r="M954" s="38">
        <f>COUNTIF(퀘스트!B:B,표1[[#This Row],[명칭]])</f>
        <v>0</v>
      </c>
      <c r="N954" s="65">
        <f>COUNTIF([1]VillageDiscoveryGroup!$C:$C,표1[[#This Row],[명칭]])</f>
        <v>0</v>
      </c>
      <c r="O954" s="65">
        <f>SUM(표1[[#This Row],[해양탐색]:[마을탐험]])</f>
        <v>3</v>
      </c>
    </row>
    <row r="955" spans="2:15" ht="13.5" customHeight="1" x14ac:dyDescent="0.3">
      <c r="B955" s="9">
        <f>[1]Discovery!A961</f>
        <v>70409032</v>
      </c>
      <c r="C955" s="9" t="str">
        <f>[1]Discovery!B961</f>
        <v>고래상어</v>
      </c>
      <c r="D955" s="9" t="str">
        <f>[1]Discovery!E961</f>
        <v>동물</v>
      </c>
      <c r="E955" s="9" t="str">
        <f>[1]Discovery!C961</f>
        <v>어류</v>
      </c>
      <c r="F955" s="9" t="str">
        <f>[1]Discovery!G961</f>
        <v>S</v>
      </c>
      <c r="G955" s="9" t="str">
        <f>IFERROR(VLOOKUP(표1[[#This Row],[명칭]],'문화권 정리'!C:D,2,FALSE),"-")</f>
        <v>어류</v>
      </c>
      <c r="H955" s="38" t="str">
        <f>IFERROR(COUNTIF([2]OceanDoodad!$Y:$Y,표1[[#This Row],[명칭]]),"-")</f>
        <v>-</v>
      </c>
      <c r="I955" s="38">
        <f>IFERROR(COUNTIF([1]AdventureDiscoveryGroup!$D$8:$AW$92,표1[[#This Row],[명칭]]),"-")</f>
        <v>0</v>
      </c>
      <c r="J955" s="38">
        <f>IFERROR(COUNTIF([1]FishDiscoveryGroup!$A:$X,표1[[#This Row],[명칭]]),"-")</f>
        <v>4</v>
      </c>
      <c r="K955" s="38" t="str">
        <f>IFERROR(COUNTIF([2]Town!$B:$B,표1[[#This Row],[명칭]]),"-")</f>
        <v>-</v>
      </c>
      <c r="L955" s="38">
        <f>IFERROR(COUNTIF([1]Village!$BR:$BR,표1[[#This Row],[명칭]]),"-")</f>
        <v>0</v>
      </c>
      <c r="M955" s="38">
        <f>COUNTIF(퀘스트!B:B,표1[[#This Row],[명칭]])</f>
        <v>0</v>
      </c>
      <c r="N955" s="65">
        <f>COUNTIF([1]VillageDiscoveryGroup!$C:$C,표1[[#This Row],[명칭]])</f>
        <v>0</v>
      </c>
      <c r="O955" s="65">
        <f>SUM(표1[[#This Row],[해양탐색]:[마을탐험]])</f>
        <v>4</v>
      </c>
    </row>
    <row r="956" spans="2:15" ht="13.5" customHeight="1" x14ac:dyDescent="0.3">
      <c r="B956" s="9">
        <f>[1]Discovery!A962</f>
        <v>70409033</v>
      </c>
      <c r="C956" s="9" t="str">
        <f>[1]Discovery!B962</f>
        <v>고무꺽정이</v>
      </c>
      <c r="D956" s="9" t="str">
        <f>[1]Discovery!E962</f>
        <v>동물</v>
      </c>
      <c r="E956" s="9" t="str">
        <f>[1]Discovery!C962</f>
        <v>어류</v>
      </c>
      <c r="F956" s="9" t="str">
        <f>[1]Discovery!G962</f>
        <v>A</v>
      </c>
      <c r="G956" s="9" t="str">
        <f>IFERROR(VLOOKUP(표1[[#This Row],[명칭]],'문화권 정리'!C:D,2,FALSE),"-")</f>
        <v>어류</v>
      </c>
      <c r="H956" s="38" t="str">
        <f>IFERROR(COUNTIF([2]OceanDoodad!$Y:$Y,표1[[#This Row],[명칭]]),"-")</f>
        <v>-</v>
      </c>
      <c r="I956" s="38">
        <f>IFERROR(COUNTIF([1]AdventureDiscoveryGroup!$D$8:$AW$92,표1[[#This Row],[명칭]]),"-")</f>
        <v>0</v>
      </c>
      <c r="J956" s="38">
        <f>IFERROR(COUNTIF([1]FishDiscoveryGroup!$A:$X,표1[[#This Row],[명칭]]),"-")</f>
        <v>0</v>
      </c>
      <c r="K956" s="38" t="str">
        <f>IFERROR(COUNTIF([2]Town!$B:$B,표1[[#This Row],[명칭]]),"-")</f>
        <v>-</v>
      </c>
      <c r="L956" s="38">
        <f>IFERROR(COUNTIF([1]Village!$BR:$BR,표1[[#This Row],[명칭]]),"-")</f>
        <v>0</v>
      </c>
      <c r="M956" s="38">
        <f>COUNTIF(퀘스트!B:B,표1[[#This Row],[명칭]])</f>
        <v>0</v>
      </c>
      <c r="N956" s="65">
        <f>COUNTIF([1]VillageDiscoveryGroup!$C:$C,표1[[#This Row],[명칭]])</f>
        <v>0</v>
      </c>
      <c r="O956" s="65">
        <f>SUM(표1[[#This Row],[해양탐색]:[마을탐험]])</f>
        <v>0</v>
      </c>
    </row>
    <row r="957" spans="2:15" ht="13.5" customHeight="1" x14ac:dyDescent="0.3">
      <c r="B957" s="9">
        <f>[1]Discovery!A963</f>
        <v>70409034</v>
      </c>
      <c r="C957" s="9" t="str">
        <f>[1]Discovery!B963</f>
        <v>고베둥글넙치</v>
      </c>
      <c r="D957" s="9" t="str">
        <f>[1]Discovery!E963</f>
        <v>동물</v>
      </c>
      <c r="E957" s="9" t="str">
        <f>[1]Discovery!C963</f>
        <v>어류</v>
      </c>
      <c r="F957" s="9" t="str">
        <f>[1]Discovery!G963</f>
        <v>B</v>
      </c>
      <c r="G957" s="9" t="str">
        <f>IFERROR(VLOOKUP(표1[[#This Row],[명칭]],'문화권 정리'!C:D,2,FALSE),"-")</f>
        <v>어류</v>
      </c>
      <c r="H957" s="38" t="str">
        <f>IFERROR(COUNTIF([2]OceanDoodad!$Y:$Y,표1[[#This Row],[명칭]]),"-")</f>
        <v>-</v>
      </c>
      <c r="I957" s="38">
        <f>IFERROR(COUNTIF([1]AdventureDiscoveryGroup!$D$8:$AW$92,표1[[#This Row],[명칭]]),"-")</f>
        <v>0</v>
      </c>
      <c r="J957" s="38">
        <f>IFERROR(COUNTIF([1]FishDiscoveryGroup!$A:$X,표1[[#This Row],[명칭]]),"-")</f>
        <v>4</v>
      </c>
      <c r="K957" s="38" t="str">
        <f>IFERROR(COUNTIF([2]Town!$B:$B,표1[[#This Row],[명칭]]),"-")</f>
        <v>-</v>
      </c>
      <c r="L957" s="38">
        <f>IFERROR(COUNTIF([1]Village!$BR:$BR,표1[[#This Row],[명칭]]),"-")</f>
        <v>0</v>
      </c>
      <c r="M957" s="38">
        <f>COUNTIF(퀘스트!B:B,표1[[#This Row],[명칭]])</f>
        <v>0</v>
      </c>
      <c r="N957" s="65">
        <f>COUNTIF([1]VillageDiscoveryGroup!$C:$C,표1[[#This Row],[명칭]])</f>
        <v>0</v>
      </c>
      <c r="O957" s="65">
        <f>SUM(표1[[#This Row],[해양탐색]:[마을탐험]])</f>
        <v>4</v>
      </c>
    </row>
    <row r="958" spans="2:15" ht="13.5" customHeight="1" x14ac:dyDescent="0.3">
      <c r="B958" s="9">
        <f>[1]Discovery!A964</f>
        <v>70409035</v>
      </c>
      <c r="C958" s="9" t="str">
        <f>[1]Discovery!B964</f>
        <v>곰치</v>
      </c>
      <c r="D958" s="9" t="str">
        <f>[1]Discovery!E964</f>
        <v>동물</v>
      </c>
      <c r="E958" s="9" t="str">
        <f>[1]Discovery!C964</f>
        <v>어류</v>
      </c>
      <c r="F958" s="9" t="str">
        <f>[1]Discovery!G964</f>
        <v>B</v>
      </c>
      <c r="G958" s="9" t="str">
        <f>IFERROR(VLOOKUP(표1[[#This Row],[명칭]],'문화권 정리'!C:D,2,FALSE),"-")</f>
        <v>어류</v>
      </c>
      <c r="H958" s="38" t="str">
        <f>IFERROR(COUNTIF([2]OceanDoodad!$Y:$Y,표1[[#This Row],[명칭]]),"-")</f>
        <v>-</v>
      </c>
      <c r="I958" s="38">
        <f>IFERROR(COUNTIF([1]AdventureDiscoveryGroup!$D$8:$AW$92,표1[[#This Row],[명칭]]),"-")</f>
        <v>0</v>
      </c>
      <c r="J958" s="38">
        <f>IFERROR(COUNTIF([1]FishDiscoveryGroup!$A:$X,표1[[#This Row],[명칭]]),"-")</f>
        <v>0</v>
      </c>
      <c r="K958" s="38" t="str">
        <f>IFERROR(COUNTIF([2]Town!$B:$B,표1[[#This Row],[명칭]]),"-")</f>
        <v>-</v>
      </c>
      <c r="L958" s="38">
        <f>IFERROR(COUNTIF([1]Village!$BR:$BR,표1[[#This Row],[명칭]]),"-")</f>
        <v>0</v>
      </c>
      <c r="M958" s="38">
        <f>COUNTIF(퀘스트!B:B,표1[[#This Row],[명칭]])</f>
        <v>0</v>
      </c>
      <c r="N958" s="65">
        <f>COUNTIF([1]VillageDiscoveryGroup!$C:$C,표1[[#This Row],[명칭]])</f>
        <v>0</v>
      </c>
      <c r="O958" s="65">
        <f>SUM(표1[[#This Row],[해양탐색]:[마을탐험]])</f>
        <v>0</v>
      </c>
    </row>
    <row r="959" spans="2:15" ht="13.5" customHeight="1" x14ac:dyDescent="0.3">
      <c r="B959" s="9">
        <f>[1]Discovery!A965</f>
        <v>70409036</v>
      </c>
      <c r="C959" s="9" t="str">
        <f>[1]Discovery!B965</f>
        <v>곱상어</v>
      </c>
      <c r="D959" s="9" t="str">
        <f>[1]Discovery!E965</f>
        <v>동물</v>
      </c>
      <c r="E959" s="9" t="str">
        <f>[1]Discovery!C965</f>
        <v>어류</v>
      </c>
      <c r="F959" s="9" t="str">
        <f>[1]Discovery!G965</f>
        <v>C</v>
      </c>
      <c r="G959" s="9" t="str">
        <f>IFERROR(VLOOKUP(표1[[#This Row],[명칭]],'문화권 정리'!C:D,2,FALSE),"-")</f>
        <v>어류</v>
      </c>
      <c r="H959" s="38" t="str">
        <f>IFERROR(COUNTIF([2]OceanDoodad!$Y:$Y,표1[[#This Row],[명칭]]),"-")</f>
        <v>-</v>
      </c>
      <c r="I959" s="38">
        <f>IFERROR(COUNTIF([1]AdventureDiscoveryGroup!$D$8:$AW$92,표1[[#This Row],[명칭]]),"-")</f>
        <v>0</v>
      </c>
      <c r="J959" s="38">
        <f>IFERROR(COUNTIF([1]FishDiscoveryGroup!$A:$X,표1[[#This Row],[명칭]]),"-")</f>
        <v>4</v>
      </c>
      <c r="K959" s="38" t="str">
        <f>IFERROR(COUNTIF([2]Town!$B:$B,표1[[#This Row],[명칭]]),"-")</f>
        <v>-</v>
      </c>
      <c r="L959" s="38">
        <f>IFERROR(COUNTIF([1]Village!$BR:$BR,표1[[#This Row],[명칭]]),"-")</f>
        <v>0</v>
      </c>
      <c r="M959" s="38">
        <f>COUNTIF(퀘스트!B:B,표1[[#This Row],[명칭]])</f>
        <v>0</v>
      </c>
      <c r="N959" s="65">
        <f>COUNTIF([1]VillageDiscoveryGroup!$C:$C,표1[[#This Row],[명칭]])</f>
        <v>0</v>
      </c>
      <c r="O959" s="65">
        <f>SUM(표1[[#This Row],[해양탐색]:[마을탐험]])</f>
        <v>4</v>
      </c>
    </row>
    <row r="960" spans="2:15" ht="13.5" customHeight="1" x14ac:dyDescent="0.3">
      <c r="B960" s="9">
        <f>[1]Discovery!A966</f>
        <v>70409037</v>
      </c>
      <c r="C960" s="9" t="str">
        <f>[1]Discovery!B966</f>
        <v>궁제기서대</v>
      </c>
      <c r="D960" s="9" t="str">
        <f>[1]Discovery!E966</f>
        <v>동물</v>
      </c>
      <c r="E960" s="9" t="str">
        <f>[1]Discovery!C966</f>
        <v>어류</v>
      </c>
      <c r="F960" s="9" t="str">
        <f>[1]Discovery!G966</f>
        <v>A</v>
      </c>
      <c r="G960" s="9" t="str">
        <f>IFERROR(VLOOKUP(표1[[#This Row],[명칭]],'문화권 정리'!C:D,2,FALSE),"-")</f>
        <v>어류</v>
      </c>
      <c r="H960" s="38" t="str">
        <f>IFERROR(COUNTIF([2]OceanDoodad!$Y:$Y,표1[[#This Row],[명칭]]),"-")</f>
        <v>-</v>
      </c>
      <c r="I960" s="38">
        <f>IFERROR(COUNTIF([1]AdventureDiscoveryGroup!$D$8:$AW$92,표1[[#This Row],[명칭]]),"-")</f>
        <v>0</v>
      </c>
      <c r="J960" s="38">
        <f>IFERROR(COUNTIF([1]FishDiscoveryGroup!$A:$X,표1[[#This Row],[명칭]]),"-")</f>
        <v>4</v>
      </c>
      <c r="K960" s="38" t="str">
        <f>IFERROR(COUNTIF([2]Town!$B:$B,표1[[#This Row],[명칭]]),"-")</f>
        <v>-</v>
      </c>
      <c r="L960" s="38">
        <f>IFERROR(COUNTIF([1]Village!$BR:$BR,표1[[#This Row],[명칭]]),"-")</f>
        <v>0</v>
      </c>
      <c r="M960" s="38">
        <f>COUNTIF(퀘스트!B:B,표1[[#This Row],[명칭]])</f>
        <v>0</v>
      </c>
      <c r="N960" s="65">
        <f>COUNTIF([1]VillageDiscoveryGroup!$C:$C,표1[[#This Row],[명칭]])</f>
        <v>0</v>
      </c>
      <c r="O960" s="65">
        <f>SUM(표1[[#This Row],[해양탐색]:[마을탐험]])</f>
        <v>4</v>
      </c>
    </row>
    <row r="961" spans="2:15" ht="13.5" customHeight="1" x14ac:dyDescent="0.3">
      <c r="B961" s="9">
        <f>[1]Discovery!A967</f>
        <v>70409038</v>
      </c>
      <c r="C961" s="9" t="str">
        <f>[1]Discovery!B967</f>
        <v>귀상어</v>
      </c>
      <c r="D961" s="9" t="str">
        <f>[1]Discovery!E967</f>
        <v>동물</v>
      </c>
      <c r="E961" s="9" t="str">
        <f>[1]Discovery!C967</f>
        <v>어류</v>
      </c>
      <c r="F961" s="9" t="str">
        <f>[1]Discovery!G967</f>
        <v>S</v>
      </c>
      <c r="G961" s="9" t="str">
        <f>IFERROR(VLOOKUP(표1[[#This Row],[명칭]],'문화권 정리'!C:D,2,FALSE),"-")</f>
        <v>어류</v>
      </c>
      <c r="H961" s="38" t="str">
        <f>IFERROR(COUNTIF([2]OceanDoodad!$Y:$Y,표1[[#This Row],[명칭]]),"-")</f>
        <v>-</v>
      </c>
      <c r="I961" s="38">
        <f>IFERROR(COUNTIF([1]AdventureDiscoveryGroup!$D$8:$AW$92,표1[[#This Row],[명칭]]),"-")</f>
        <v>0</v>
      </c>
      <c r="J961" s="38">
        <f>IFERROR(COUNTIF([1]FishDiscoveryGroup!$A:$X,표1[[#This Row],[명칭]]),"-")</f>
        <v>4</v>
      </c>
      <c r="K961" s="38" t="str">
        <f>IFERROR(COUNTIF([2]Town!$B:$B,표1[[#This Row],[명칭]]),"-")</f>
        <v>-</v>
      </c>
      <c r="L961" s="38">
        <f>IFERROR(COUNTIF([1]Village!$BR:$BR,표1[[#This Row],[명칭]]),"-")</f>
        <v>0</v>
      </c>
      <c r="M961" s="38">
        <f>COUNTIF(퀘스트!B:B,표1[[#This Row],[명칭]])</f>
        <v>0</v>
      </c>
      <c r="N961" s="65">
        <f>COUNTIF([1]VillageDiscoveryGroup!$C:$C,표1[[#This Row],[명칭]])</f>
        <v>0</v>
      </c>
      <c r="O961" s="65">
        <f>SUM(표1[[#This Row],[해양탐색]:[마을탐험]])</f>
        <v>4</v>
      </c>
    </row>
    <row r="962" spans="2:15" ht="13.5" customHeight="1" x14ac:dyDescent="0.3">
      <c r="B962" s="9">
        <f>[1]Discovery!A968</f>
        <v>70409039</v>
      </c>
      <c r="C962" s="9" t="str">
        <f>[1]Discovery!B968</f>
        <v>귀신고래</v>
      </c>
      <c r="D962" s="9" t="str">
        <f>[1]Discovery!E968</f>
        <v>동물</v>
      </c>
      <c r="E962" s="9" t="str">
        <f>[1]Discovery!C968</f>
        <v>포유류</v>
      </c>
      <c r="F962" s="9" t="str">
        <f>[1]Discovery!G968</f>
        <v>S</v>
      </c>
      <c r="G962" s="9" t="str">
        <f>IFERROR(VLOOKUP(표1[[#This Row],[명칭]],'문화권 정리'!C:D,2,FALSE),"-")</f>
        <v>어류</v>
      </c>
      <c r="H962" s="38" t="str">
        <f>IFERROR(COUNTIF([2]OceanDoodad!$Y:$Y,표1[[#This Row],[명칭]]),"-")</f>
        <v>-</v>
      </c>
      <c r="I962" s="38">
        <f>IFERROR(COUNTIF([1]AdventureDiscoveryGroup!$D$8:$AW$92,표1[[#This Row],[명칭]]),"-")</f>
        <v>0</v>
      </c>
      <c r="J962" s="38">
        <f>IFERROR(COUNTIF([1]FishDiscoveryGroup!$A:$X,표1[[#This Row],[명칭]]),"-")</f>
        <v>4</v>
      </c>
      <c r="K962" s="38" t="str">
        <f>IFERROR(COUNTIF([2]Town!$B:$B,표1[[#This Row],[명칭]]),"-")</f>
        <v>-</v>
      </c>
      <c r="L962" s="38">
        <f>IFERROR(COUNTIF([1]Village!$BR:$BR,표1[[#This Row],[명칭]]),"-")</f>
        <v>0</v>
      </c>
      <c r="M962" s="38">
        <f>COUNTIF(퀘스트!B:B,표1[[#This Row],[명칭]])</f>
        <v>0</v>
      </c>
      <c r="N962" s="65">
        <f>COUNTIF([1]VillageDiscoveryGroup!$C:$C,표1[[#This Row],[명칭]])</f>
        <v>0</v>
      </c>
      <c r="O962" s="65">
        <f>SUM(표1[[#This Row],[해양탐색]:[마을탐험]])</f>
        <v>4</v>
      </c>
    </row>
    <row r="963" spans="2:15" ht="13.5" customHeight="1" x14ac:dyDescent="0.3">
      <c r="B963" s="9">
        <f>[1]Discovery!A969</f>
        <v>70409040</v>
      </c>
      <c r="C963" s="9" t="str">
        <f>[1]Discovery!B969</f>
        <v>그린란드상어</v>
      </c>
      <c r="D963" s="9" t="str">
        <f>[1]Discovery!E969</f>
        <v>동물</v>
      </c>
      <c r="E963" s="9" t="str">
        <f>[1]Discovery!C969</f>
        <v>어류</v>
      </c>
      <c r="F963" s="9" t="str">
        <f>[1]Discovery!G969</f>
        <v>S</v>
      </c>
      <c r="G963" s="9" t="str">
        <f>IFERROR(VLOOKUP(표1[[#This Row],[명칭]],'문화권 정리'!C:D,2,FALSE),"-")</f>
        <v>어류</v>
      </c>
      <c r="H963" s="38" t="str">
        <f>IFERROR(COUNTIF([2]OceanDoodad!$Y:$Y,표1[[#This Row],[명칭]]),"-")</f>
        <v>-</v>
      </c>
      <c r="I963" s="38">
        <f>IFERROR(COUNTIF([1]AdventureDiscoveryGroup!$D$8:$AW$92,표1[[#This Row],[명칭]]),"-")</f>
        <v>0</v>
      </c>
      <c r="J963" s="38">
        <f>IFERROR(COUNTIF([1]FishDiscoveryGroup!$A:$X,표1[[#This Row],[명칭]]),"-")</f>
        <v>4</v>
      </c>
      <c r="K963" s="38" t="str">
        <f>IFERROR(COUNTIF([2]Town!$B:$B,표1[[#This Row],[명칭]]),"-")</f>
        <v>-</v>
      </c>
      <c r="L963" s="38">
        <f>IFERROR(COUNTIF([1]Village!$BR:$BR,표1[[#This Row],[명칭]]),"-")</f>
        <v>0</v>
      </c>
      <c r="M963" s="38">
        <f>COUNTIF(퀘스트!B:B,표1[[#This Row],[명칭]])</f>
        <v>0</v>
      </c>
      <c r="N963" s="65">
        <f>COUNTIF([1]VillageDiscoveryGroup!$C:$C,표1[[#This Row],[명칭]])</f>
        <v>0</v>
      </c>
      <c r="O963" s="65">
        <f>SUM(표1[[#This Row],[해양탐색]:[마을탐험]])</f>
        <v>4</v>
      </c>
    </row>
    <row r="964" spans="2:15" ht="13.5" customHeight="1" x14ac:dyDescent="0.3">
      <c r="B964" s="9">
        <f>[1]Discovery!A970</f>
        <v>70409041</v>
      </c>
      <c r="C964" s="9" t="str">
        <f>[1]Discovery!B970</f>
        <v>그물코쥐치</v>
      </c>
      <c r="D964" s="9" t="str">
        <f>[1]Discovery!E970</f>
        <v>동물</v>
      </c>
      <c r="E964" s="9" t="str">
        <f>[1]Discovery!C970</f>
        <v>어류</v>
      </c>
      <c r="F964" s="9" t="str">
        <f>[1]Discovery!G970</f>
        <v>B</v>
      </c>
      <c r="G964" s="9" t="str">
        <f>IFERROR(VLOOKUP(표1[[#This Row],[명칭]],'문화권 정리'!C:D,2,FALSE),"-")</f>
        <v>어류</v>
      </c>
      <c r="H964" s="38" t="str">
        <f>IFERROR(COUNTIF([2]OceanDoodad!$Y:$Y,표1[[#This Row],[명칭]]),"-")</f>
        <v>-</v>
      </c>
      <c r="I964" s="38">
        <f>IFERROR(COUNTIF([1]AdventureDiscoveryGroup!$D$8:$AW$92,표1[[#This Row],[명칭]]),"-")</f>
        <v>0</v>
      </c>
      <c r="J964" s="38">
        <f>IFERROR(COUNTIF([1]FishDiscoveryGroup!$A:$X,표1[[#This Row],[명칭]]),"-")</f>
        <v>4</v>
      </c>
      <c r="K964" s="38" t="str">
        <f>IFERROR(COUNTIF([2]Town!$B:$B,표1[[#This Row],[명칭]]),"-")</f>
        <v>-</v>
      </c>
      <c r="L964" s="38">
        <f>IFERROR(COUNTIF([1]Village!$BR:$BR,표1[[#This Row],[명칭]]),"-")</f>
        <v>0</v>
      </c>
      <c r="M964" s="38">
        <f>COUNTIF(퀘스트!B:B,표1[[#This Row],[명칭]])</f>
        <v>0</v>
      </c>
      <c r="N964" s="65">
        <f>COUNTIF([1]VillageDiscoveryGroup!$C:$C,표1[[#This Row],[명칭]])</f>
        <v>0</v>
      </c>
      <c r="O964" s="65">
        <f>SUM(표1[[#This Row],[해양탐색]:[마을탐험]])</f>
        <v>4</v>
      </c>
    </row>
    <row r="965" spans="2:15" ht="13.5" customHeight="1" x14ac:dyDescent="0.3">
      <c r="B965" s="9">
        <f>[1]Discovery!A971</f>
        <v>70409042</v>
      </c>
      <c r="C965" s="9" t="str">
        <f>[1]Discovery!B971</f>
        <v>금줄촉수</v>
      </c>
      <c r="D965" s="9" t="str">
        <f>[1]Discovery!E971</f>
        <v>동물</v>
      </c>
      <c r="E965" s="9" t="str">
        <f>[1]Discovery!C971</f>
        <v>어류</v>
      </c>
      <c r="F965" s="9" t="str">
        <f>[1]Discovery!G971</f>
        <v>A</v>
      </c>
      <c r="G965" s="9" t="str">
        <f>IFERROR(VLOOKUP(표1[[#This Row],[명칭]],'문화권 정리'!C:D,2,FALSE),"-")</f>
        <v>어류</v>
      </c>
      <c r="H965" s="38" t="str">
        <f>IFERROR(COUNTIF([2]OceanDoodad!$Y:$Y,표1[[#This Row],[명칭]]),"-")</f>
        <v>-</v>
      </c>
      <c r="I965" s="38">
        <f>IFERROR(COUNTIF([1]AdventureDiscoveryGroup!$D$8:$AW$92,표1[[#This Row],[명칭]]),"-")</f>
        <v>0</v>
      </c>
      <c r="J965" s="38">
        <f>IFERROR(COUNTIF([1]FishDiscoveryGroup!$A:$X,표1[[#This Row],[명칭]]),"-")</f>
        <v>4</v>
      </c>
      <c r="K965" s="38" t="str">
        <f>IFERROR(COUNTIF([2]Town!$B:$B,표1[[#This Row],[명칭]]),"-")</f>
        <v>-</v>
      </c>
      <c r="L965" s="38">
        <f>IFERROR(COUNTIF([1]Village!$BR:$BR,표1[[#This Row],[명칭]]),"-")</f>
        <v>0</v>
      </c>
      <c r="M965" s="38">
        <f>COUNTIF(퀘스트!B:B,표1[[#This Row],[명칭]])</f>
        <v>0</v>
      </c>
      <c r="N965" s="65">
        <f>COUNTIF([1]VillageDiscoveryGroup!$C:$C,표1[[#This Row],[명칭]])</f>
        <v>0</v>
      </c>
      <c r="O965" s="65">
        <f>SUM(표1[[#This Row],[해양탐색]:[마을탐험]])</f>
        <v>4</v>
      </c>
    </row>
    <row r="966" spans="2:15" ht="13.5" customHeight="1" x14ac:dyDescent="0.3">
      <c r="B966" s="9">
        <f>[1]Discovery!A972</f>
        <v>70409043</v>
      </c>
      <c r="C966" s="9" t="str">
        <f>[1]Discovery!B972</f>
        <v>긴가라지</v>
      </c>
      <c r="D966" s="9" t="str">
        <f>[1]Discovery!E972</f>
        <v>동물</v>
      </c>
      <c r="E966" s="9" t="str">
        <f>[1]Discovery!C972</f>
        <v>어류</v>
      </c>
      <c r="F966" s="9" t="str">
        <f>[1]Discovery!G972</f>
        <v>C</v>
      </c>
      <c r="G966" s="9" t="str">
        <f>IFERROR(VLOOKUP(표1[[#This Row],[명칭]],'문화권 정리'!C:D,2,FALSE),"-")</f>
        <v>어류</v>
      </c>
      <c r="H966" s="38" t="str">
        <f>IFERROR(COUNTIF([2]OceanDoodad!$Y:$Y,표1[[#This Row],[명칭]]),"-")</f>
        <v>-</v>
      </c>
      <c r="I966" s="38">
        <f>IFERROR(COUNTIF([1]AdventureDiscoveryGroup!$D$8:$AW$92,표1[[#This Row],[명칭]]),"-")</f>
        <v>0</v>
      </c>
      <c r="J966" s="38">
        <f>IFERROR(COUNTIF([1]FishDiscoveryGroup!$A:$X,표1[[#This Row],[명칭]]),"-")</f>
        <v>4</v>
      </c>
      <c r="K966" s="38" t="str">
        <f>IFERROR(COUNTIF([2]Town!$B:$B,표1[[#This Row],[명칭]]),"-")</f>
        <v>-</v>
      </c>
      <c r="L966" s="38">
        <f>IFERROR(COUNTIF([1]Village!$BR:$BR,표1[[#This Row],[명칭]]),"-")</f>
        <v>0</v>
      </c>
      <c r="M966" s="38">
        <f>COUNTIF(퀘스트!B:B,표1[[#This Row],[명칭]])</f>
        <v>0</v>
      </c>
      <c r="N966" s="65">
        <f>COUNTIF([1]VillageDiscoveryGroup!$C:$C,표1[[#This Row],[명칭]])</f>
        <v>0</v>
      </c>
      <c r="O966" s="65">
        <f>SUM(표1[[#This Row],[해양탐색]:[마을탐험]])</f>
        <v>4</v>
      </c>
    </row>
    <row r="967" spans="2:15" ht="13.5" customHeight="1" x14ac:dyDescent="0.3">
      <c r="B967" s="9">
        <f>[1]Discovery!A973</f>
        <v>70409044</v>
      </c>
      <c r="C967" s="9" t="str">
        <f>[1]Discovery!B973</f>
        <v>긴코줄고기</v>
      </c>
      <c r="D967" s="9" t="str">
        <f>[1]Discovery!E973</f>
        <v>동물</v>
      </c>
      <c r="E967" s="9" t="str">
        <f>[1]Discovery!C973</f>
        <v>어류</v>
      </c>
      <c r="F967" s="9" t="str">
        <f>[1]Discovery!G973</f>
        <v>B</v>
      </c>
      <c r="G967" s="9" t="str">
        <f>IFERROR(VLOOKUP(표1[[#This Row],[명칭]],'문화권 정리'!C:D,2,FALSE),"-")</f>
        <v>어류</v>
      </c>
      <c r="H967" s="38" t="str">
        <f>IFERROR(COUNTIF([2]OceanDoodad!$Y:$Y,표1[[#This Row],[명칭]]),"-")</f>
        <v>-</v>
      </c>
      <c r="I967" s="38">
        <f>IFERROR(COUNTIF([1]AdventureDiscoveryGroup!$D$8:$AW$92,표1[[#This Row],[명칭]]),"-")</f>
        <v>0</v>
      </c>
      <c r="J967" s="38">
        <f>IFERROR(COUNTIF([1]FishDiscoveryGroup!$A:$X,표1[[#This Row],[명칭]]),"-")</f>
        <v>4</v>
      </c>
      <c r="K967" s="38" t="str">
        <f>IFERROR(COUNTIF([2]Town!$B:$B,표1[[#This Row],[명칭]]),"-")</f>
        <v>-</v>
      </c>
      <c r="L967" s="38">
        <f>IFERROR(COUNTIF([1]Village!$BR:$BR,표1[[#This Row],[명칭]]),"-")</f>
        <v>0</v>
      </c>
      <c r="M967" s="38">
        <f>COUNTIF(퀘스트!B:B,표1[[#This Row],[명칭]])</f>
        <v>0</v>
      </c>
      <c r="N967" s="65">
        <f>COUNTIF([1]VillageDiscoveryGroup!$C:$C,표1[[#This Row],[명칭]])</f>
        <v>0</v>
      </c>
      <c r="O967" s="65">
        <f>SUM(표1[[#This Row],[해양탐색]:[마을탐험]])</f>
        <v>4</v>
      </c>
    </row>
    <row r="968" spans="2:15" ht="13.5" customHeight="1" x14ac:dyDescent="0.3">
      <c r="B968" s="9">
        <f>[1]Discovery!A974</f>
        <v>70409045</v>
      </c>
      <c r="C968" s="9" t="str">
        <f>[1]Discovery!B974</f>
        <v>깃비늘치</v>
      </c>
      <c r="D968" s="9" t="str">
        <f>[1]Discovery!E974</f>
        <v>동물</v>
      </c>
      <c r="E968" s="9" t="str">
        <f>[1]Discovery!C974</f>
        <v>어류</v>
      </c>
      <c r="F968" s="9" t="str">
        <f>[1]Discovery!G974</f>
        <v>A</v>
      </c>
      <c r="G968" s="9" t="str">
        <f>IFERROR(VLOOKUP(표1[[#This Row],[명칭]],'문화권 정리'!C:D,2,FALSE),"-")</f>
        <v>어류</v>
      </c>
      <c r="H968" s="38" t="str">
        <f>IFERROR(COUNTIF([2]OceanDoodad!$Y:$Y,표1[[#This Row],[명칭]]),"-")</f>
        <v>-</v>
      </c>
      <c r="I968" s="38">
        <f>IFERROR(COUNTIF([1]AdventureDiscoveryGroup!$D$8:$AW$92,표1[[#This Row],[명칭]]),"-")</f>
        <v>0</v>
      </c>
      <c r="J968" s="38">
        <f>IFERROR(COUNTIF([1]FishDiscoveryGroup!$A:$X,표1[[#This Row],[명칭]]),"-")</f>
        <v>4</v>
      </c>
      <c r="K968" s="38" t="str">
        <f>IFERROR(COUNTIF([2]Town!$B:$B,표1[[#This Row],[명칭]]),"-")</f>
        <v>-</v>
      </c>
      <c r="L968" s="38">
        <f>IFERROR(COUNTIF([1]Village!$BR:$BR,표1[[#This Row],[명칭]]),"-")</f>
        <v>0</v>
      </c>
      <c r="M968" s="38">
        <f>COUNTIF(퀘스트!B:B,표1[[#This Row],[명칭]])</f>
        <v>0</v>
      </c>
      <c r="N968" s="65">
        <f>COUNTIF([1]VillageDiscoveryGroup!$C:$C,표1[[#This Row],[명칭]])</f>
        <v>0</v>
      </c>
      <c r="O968" s="65">
        <f>SUM(표1[[#This Row],[해양탐색]:[마을탐험]])</f>
        <v>4</v>
      </c>
    </row>
    <row r="969" spans="2:15" ht="13.5" customHeight="1" x14ac:dyDescent="0.3">
      <c r="B969" s="9">
        <f>[1]Discovery!A975</f>
        <v>70409046</v>
      </c>
      <c r="C969" s="9" t="str">
        <f>[1]Discovery!B975</f>
        <v>까나리</v>
      </c>
      <c r="D969" s="9" t="str">
        <f>[1]Discovery!E975</f>
        <v>동물</v>
      </c>
      <c r="E969" s="9" t="str">
        <f>[1]Discovery!C975</f>
        <v>어류</v>
      </c>
      <c r="F969" s="9" t="str">
        <f>[1]Discovery!G975</f>
        <v>B</v>
      </c>
      <c r="G969" s="9" t="str">
        <f>IFERROR(VLOOKUP(표1[[#This Row],[명칭]],'문화권 정리'!C:D,2,FALSE),"-")</f>
        <v>어류</v>
      </c>
      <c r="H969" s="38" t="str">
        <f>IFERROR(COUNTIF([2]OceanDoodad!$Y:$Y,표1[[#This Row],[명칭]]),"-")</f>
        <v>-</v>
      </c>
      <c r="I969" s="38">
        <f>IFERROR(COUNTIF([1]AdventureDiscoveryGroup!$D$8:$AW$92,표1[[#This Row],[명칭]]),"-")</f>
        <v>0</v>
      </c>
      <c r="J969" s="38">
        <f>IFERROR(COUNTIF([1]FishDiscoveryGroup!$A:$X,표1[[#This Row],[명칭]]),"-")</f>
        <v>0</v>
      </c>
      <c r="K969" s="38" t="str">
        <f>IFERROR(COUNTIF([2]Town!$B:$B,표1[[#This Row],[명칭]]),"-")</f>
        <v>-</v>
      </c>
      <c r="L969" s="38">
        <f>IFERROR(COUNTIF([1]Village!$BR:$BR,표1[[#This Row],[명칭]]),"-")</f>
        <v>0</v>
      </c>
      <c r="M969" s="38">
        <f>COUNTIF(퀘스트!B:B,표1[[#This Row],[명칭]])</f>
        <v>1</v>
      </c>
      <c r="N969" s="65">
        <f>COUNTIF([1]VillageDiscoveryGroup!$C:$C,표1[[#This Row],[명칭]])</f>
        <v>0</v>
      </c>
      <c r="O969" s="65">
        <f>SUM(표1[[#This Row],[해양탐색]:[마을탐험]])</f>
        <v>1</v>
      </c>
    </row>
    <row r="970" spans="2:15" ht="13.5" customHeight="1" x14ac:dyDescent="0.3">
      <c r="B970" s="9">
        <f>[1]Discovery!A976</f>
        <v>70409047</v>
      </c>
      <c r="C970" s="9" t="str">
        <f>[1]Discovery!B976</f>
        <v>까지가자미</v>
      </c>
      <c r="D970" s="9" t="str">
        <f>[1]Discovery!E976</f>
        <v>동물</v>
      </c>
      <c r="E970" s="9" t="str">
        <f>[1]Discovery!C976</f>
        <v>어류</v>
      </c>
      <c r="F970" s="9" t="str">
        <f>[1]Discovery!G976</f>
        <v>B</v>
      </c>
      <c r="G970" s="9" t="str">
        <f>IFERROR(VLOOKUP(표1[[#This Row],[명칭]],'문화권 정리'!C:D,2,FALSE),"-")</f>
        <v>어류</v>
      </c>
      <c r="H970" s="38" t="str">
        <f>IFERROR(COUNTIF([2]OceanDoodad!$Y:$Y,표1[[#This Row],[명칭]]),"-")</f>
        <v>-</v>
      </c>
      <c r="I970" s="38">
        <f>IFERROR(COUNTIF([1]AdventureDiscoveryGroup!$D$8:$AW$92,표1[[#This Row],[명칭]]),"-")</f>
        <v>0</v>
      </c>
      <c r="J970" s="38">
        <f>IFERROR(COUNTIF([1]FishDiscoveryGroup!$A:$X,표1[[#This Row],[명칭]]),"-")</f>
        <v>4</v>
      </c>
      <c r="K970" s="38" t="str">
        <f>IFERROR(COUNTIF([2]Town!$B:$B,표1[[#This Row],[명칭]]),"-")</f>
        <v>-</v>
      </c>
      <c r="L970" s="38">
        <f>IFERROR(COUNTIF([1]Village!$BR:$BR,표1[[#This Row],[명칭]]),"-")</f>
        <v>0</v>
      </c>
      <c r="M970" s="38">
        <f>COUNTIF(퀘스트!B:B,표1[[#This Row],[명칭]])</f>
        <v>0</v>
      </c>
      <c r="N970" s="65">
        <f>COUNTIF([1]VillageDiscoveryGroup!$C:$C,표1[[#This Row],[명칭]])</f>
        <v>0</v>
      </c>
      <c r="O970" s="65">
        <f>SUM(표1[[#This Row],[해양탐색]:[마을탐험]])</f>
        <v>4</v>
      </c>
    </row>
    <row r="971" spans="2:15" ht="13.5" customHeight="1" x14ac:dyDescent="0.3">
      <c r="B971" s="9">
        <f>[1]Discovery!A977</f>
        <v>70409048</v>
      </c>
      <c r="C971" s="9" t="str">
        <f>[1]Discovery!B977</f>
        <v>까지양태</v>
      </c>
      <c r="D971" s="9" t="str">
        <f>[1]Discovery!E977</f>
        <v>동물</v>
      </c>
      <c r="E971" s="9" t="str">
        <f>[1]Discovery!C977</f>
        <v>어류</v>
      </c>
      <c r="F971" s="9" t="str">
        <f>[1]Discovery!G977</f>
        <v>B</v>
      </c>
      <c r="G971" s="9" t="str">
        <f>IFERROR(VLOOKUP(표1[[#This Row],[명칭]],'문화권 정리'!C:D,2,FALSE),"-")</f>
        <v>어류</v>
      </c>
      <c r="H971" s="38" t="str">
        <f>IFERROR(COUNTIF([2]OceanDoodad!$Y:$Y,표1[[#This Row],[명칭]]),"-")</f>
        <v>-</v>
      </c>
      <c r="I971" s="38">
        <f>IFERROR(COUNTIF([1]AdventureDiscoveryGroup!$D$8:$AW$92,표1[[#This Row],[명칭]]),"-")</f>
        <v>0</v>
      </c>
      <c r="J971" s="38">
        <f>IFERROR(COUNTIF([1]FishDiscoveryGroup!$A:$X,표1[[#This Row],[명칭]]),"-")</f>
        <v>4</v>
      </c>
      <c r="K971" s="38" t="str">
        <f>IFERROR(COUNTIF([2]Town!$B:$B,표1[[#This Row],[명칭]]),"-")</f>
        <v>-</v>
      </c>
      <c r="L971" s="38">
        <f>IFERROR(COUNTIF([1]Village!$BR:$BR,표1[[#This Row],[명칭]]),"-")</f>
        <v>0</v>
      </c>
      <c r="M971" s="38">
        <f>COUNTIF(퀘스트!B:B,표1[[#This Row],[명칭]])</f>
        <v>0</v>
      </c>
      <c r="N971" s="65">
        <f>COUNTIF([1]VillageDiscoveryGroup!$C:$C,표1[[#This Row],[명칭]])</f>
        <v>0</v>
      </c>
      <c r="O971" s="65">
        <f>SUM(표1[[#This Row],[해양탐색]:[마을탐험]])</f>
        <v>4</v>
      </c>
    </row>
    <row r="972" spans="2:15" ht="13.5" customHeight="1" x14ac:dyDescent="0.3">
      <c r="B972" s="9">
        <f>[1]Discovery!A978</f>
        <v>70409049</v>
      </c>
      <c r="C972" s="9" t="str">
        <f>[1]Discovery!B978</f>
        <v>까치돔</v>
      </c>
      <c r="D972" s="9" t="str">
        <f>[1]Discovery!E978</f>
        <v>동물</v>
      </c>
      <c r="E972" s="9" t="str">
        <f>[1]Discovery!C978</f>
        <v>어류</v>
      </c>
      <c r="F972" s="9" t="str">
        <f>[1]Discovery!G978</f>
        <v>B</v>
      </c>
      <c r="G972" s="9" t="str">
        <f>IFERROR(VLOOKUP(표1[[#This Row],[명칭]],'문화권 정리'!C:D,2,FALSE),"-")</f>
        <v>어류</v>
      </c>
      <c r="H972" s="38" t="str">
        <f>IFERROR(COUNTIF([2]OceanDoodad!$Y:$Y,표1[[#This Row],[명칭]]),"-")</f>
        <v>-</v>
      </c>
      <c r="I972" s="38">
        <f>IFERROR(COUNTIF([1]AdventureDiscoveryGroup!$D$8:$AW$92,표1[[#This Row],[명칭]]),"-")</f>
        <v>0</v>
      </c>
      <c r="J972" s="38">
        <f>IFERROR(COUNTIF([1]FishDiscoveryGroup!$A:$X,표1[[#This Row],[명칭]]),"-")</f>
        <v>0</v>
      </c>
      <c r="K972" s="38" t="str">
        <f>IFERROR(COUNTIF([2]Town!$B:$B,표1[[#This Row],[명칭]]),"-")</f>
        <v>-</v>
      </c>
      <c r="L972" s="38">
        <f>IFERROR(COUNTIF([1]Village!$BR:$BR,표1[[#This Row],[명칭]]),"-")</f>
        <v>0</v>
      </c>
      <c r="M972" s="38">
        <f>COUNTIF(퀘스트!B:B,표1[[#This Row],[명칭]])</f>
        <v>0</v>
      </c>
      <c r="N972" s="65">
        <f>COUNTIF([1]VillageDiscoveryGroup!$C:$C,표1[[#This Row],[명칭]])</f>
        <v>0</v>
      </c>
      <c r="O972" s="65">
        <f>SUM(표1[[#This Row],[해양탐색]:[마을탐험]])</f>
        <v>0</v>
      </c>
    </row>
    <row r="973" spans="2:15" ht="13.5" customHeight="1" x14ac:dyDescent="0.3">
      <c r="B973" s="9">
        <f>[1]Discovery!A979</f>
        <v>70409050</v>
      </c>
      <c r="C973" s="9" t="str">
        <f>[1]Discovery!B979</f>
        <v>까치상어</v>
      </c>
      <c r="D973" s="9" t="str">
        <f>[1]Discovery!E979</f>
        <v>동물</v>
      </c>
      <c r="E973" s="9" t="str">
        <f>[1]Discovery!C979</f>
        <v>어류</v>
      </c>
      <c r="F973" s="9" t="str">
        <f>[1]Discovery!G979</f>
        <v>B</v>
      </c>
      <c r="G973" s="9" t="str">
        <f>IFERROR(VLOOKUP(표1[[#This Row],[명칭]],'문화권 정리'!C:D,2,FALSE),"-")</f>
        <v>어류</v>
      </c>
      <c r="H973" s="38" t="str">
        <f>IFERROR(COUNTIF([2]OceanDoodad!$Y:$Y,표1[[#This Row],[명칭]]),"-")</f>
        <v>-</v>
      </c>
      <c r="I973" s="38">
        <f>IFERROR(COUNTIF([1]AdventureDiscoveryGroup!$D$8:$AW$92,표1[[#This Row],[명칭]]),"-")</f>
        <v>0</v>
      </c>
      <c r="J973" s="38">
        <f>IFERROR(COUNTIF([1]FishDiscoveryGroup!$A:$X,표1[[#This Row],[명칭]]),"-")</f>
        <v>4</v>
      </c>
      <c r="K973" s="38" t="str">
        <f>IFERROR(COUNTIF([2]Town!$B:$B,표1[[#This Row],[명칭]]),"-")</f>
        <v>-</v>
      </c>
      <c r="L973" s="38">
        <f>IFERROR(COUNTIF([1]Village!$BR:$BR,표1[[#This Row],[명칭]]),"-")</f>
        <v>0</v>
      </c>
      <c r="M973" s="38">
        <f>COUNTIF(퀘스트!B:B,표1[[#This Row],[명칭]])</f>
        <v>0</v>
      </c>
      <c r="N973" s="65">
        <f>COUNTIF([1]VillageDiscoveryGroup!$C:$C,표1[[#This Row],[명칭]])</f>
        <v>0</v>
      </c>
      <c r="O973" s="65">
        <f>SUM(표1[[#This Row],[해양탐색]:[마을탐험]])</f>
        <v>4</v>
      </c>
    </row>
    <row r="974" spans="2:15" ht="13.5" customHeight="1" x14ac:dyDescent="0.3">
      <c r="B974" s="9">
        <f>[1]Discovery!A980</f>
        <v>70409051</v>
      </c>
      <c r="C974" s="9" t="str">
        <f>[1]Discovery!B980</f>
        <v>까치횟대</v>
      </c>
      <c r="D974" s="9" t="str">
        <f>[1]Discovery!E980</f>
        <v>동물</v>
      </c>
      <c r="E974" s="9" t="str">
        <f>[1]Discovery!C980</f>
        <v>어류</v>
      </c>
      <c r="F974" s="9" t="str">
        <f>[1]Discovery!G980</f>
        <v>A</v>
      </c>
      <c r="G974" s="9" t="str">
        <f>IFERROR(VLOOKUP(표1[[#This Row],[명칭]],'문화권 정리'!C:D,2,FALSE),"-")</f>
        <v>어류</v>
      </c>
      <c r="H974" s="38" t="str">
        <f>IFERROR(COUNTIF([2]OceanDoodad!$Y:$Y,표1[[#This Row],[명칭]]),"-")</f>
        <v>-</v>
      </c>
      <c r="I974" s="38">
        <f>IFERROR(COUNTIF([1]AdventureDiscoveryGroup!$D$8:$AW$92,표1[[#This Row],[명칭]]),"-")</f>
        <v>0</v>
      </c>
      <c r="J974" s="38">
        <f>IFERROR(COUNTIF([1]FishDiscoveryGroup!$A:$X,표1[[#This Row],[명칭]]),"-")</f>
        <v>4</v>
      </c>
      <c r="K974" s="38" t="str">
        <f>IFERROR(COUNTIF([2]Town!$B:$B,표1[[#This Row],[명칭]]),"-")</f>
        <v>-</v>
      </c>
      <c r="L974" s="38">
        <f>IFERROR(COUNTIF([1]Village!$BR:$BR,표1[[#This Row],[명칭]]),"-")</f>
        <v>0</v>
      </c>
      <c r="M974" s="38">
        <f>COUNTIF(퀘스트!B:B,표1[[#This Row],[명칭]])</f>
        <v>0</v>
      </c>
      <c r="N974" s="65">
        <f>COUNTIF([1]VillageDiscoveryGroup!$C:$C,표1[[#This Row],[명칭]])</f>
        <v>0</v>
      </c>
      <c r="O974" s="65">
        <f>SUM(표1[[#This Row],[해양탐색]:[마을탐험]])</f>
        <v>4</v>
      </c>
    </row>
    <row r="975" spans="2:15" ht="13.5" customHeight="1" x14ac:dyDescent="0.3">
      <c r="B975" s="9">
        <f>[1]Discovery!A981</f>
        <v>70409052</v>
      </c>
      <c r="C975" s="9" t="str">
        <f>[1]Discovery!B981</f>
        <v>꺼끌복</v>
      </c>
      <c r="D975" s="9" t="str">
        <f>[1]Discovery!E981</f>
        <v>동물</v>
      </c>
      <c r="E975" s="9" t="str">
        <f>[1]Discovery!C981</f>
        <v>어류</v>
      </c>
      <c r="F975" s="9" t="str">
        <f>[1]Discovery!G981</f>
        <v>S</v>
      </c>
      <c r="G975" s="9" t="str">
        <f>IFERROR(VLOOKUP(표1[[#This Row],[명칭]],'문화권 정리'!C:D,2,FALSE),"-")</f>
        <v>어류</v>
      </c>
      <c r="H975" s="38" t="str">
        <f>IFERROR(COUNTIF([2]OceanDoodad!$Y:$Y,표1[[#This Row],[명칭]]),"-")</f>
        <v>-</v>
      </c>
      <c r="I975" s="38">
        <f>IFERROR(COUNTIF([1]AdventureDiscoveryGroup!$D$8:$AW$92,표1[[#This Row],[명칭]]),"-")</f>
        <v>0</v>
      </c>
      <c r="J975" s="38">
        <f>IFERROR(COUNTIF([1]FishDiscoveryGroup!$A:$X,표1[[#This Row],[명칭]]),"-")</f>
        <v>4</v>
      </c>
      <c r="K975" s="38" t="str">
        <f>IFERROR(COUNTIF([2]Town!$B:$B,표1[[#This Row],[명칭]]),"-")</f>
        <v>-</v>
      </c>
      <c r="L975" s="38">
        <f>IFERROR(COUNTIF([1]Village!$BR:$BR,표1[[#This Row],[명칭]]),"-")</f>
        <v>0</v>
      </c>
      <c r="M975" s="38">
        <f>COUNTIF(퀘스트!B:B,표1[[#This Row],[명칭]])</f>
        <v>0</v>
      </c>
      <c r="N975" s="65">
        <f>COUNTIF([1]VillageDiscoveryGroup!$C:$C,표1[[#This Row],[명칭]])</f>
        <v>0</v>
      </c>
      <c r="O975" s="65">
        <f>SUM(표1[[#This Row],[해양탐색]:[마을탐험]])</f>
        <v>4</v>
      </c>
    </row>
    <row r="976" spans="2:15" ht="13.5" customHeight="1" x14ac:dyDescent="0.3">
      <c r="B976" s="9">
        <f>[1]Discovery!A982</f>
        <v>70409053</v>
      </c>
      <c r="C976" s="9" t="str">
        <f>[1]Discovery!B982</f>
        <v>꼬리기름상어</v>
      </c>
      <c r="D976" s="9" t="str">
        <f>[1]Discovery!E982</f>
        <v>동물</v>
      </c>
      <c r="E976" s="9" t="str">
        <f>[1]Discovery!C982</f>
        <v>어류</v>
      </c>
      <c r="F976" s="9" t="str">
        <f>[1]Discovery!G982</f>
        <v>A</v>
      </c>
      <c r="G976" s="9" t="str">
        <f>IFERROR(VLOOKUP(표1[[#This Row],[명칭]],'문화권 정리'!C:D,2,FALSE),"-")</f>
        <v>어류</v>
      </c>
      <c r="H976" s="38" t="str">
        <f>IFERROR(COUNTIF([2]OceanDoodad!$Y:$Y,표1[[#This Row],[명칭]]),"-")</f>
        <v>-</v>
      </c>
      <c r="I976" s="38">
        <f>IFERROR(COUNTIF([1]AdventureDiscoveryGroup!$D$8:$AW$92,표1[[#This Row],[명칭]]),"-")</f>
        <v>0</v>
      </c>
      <c r="J976" s="38">
        <f>IFERROR(COUNTIF([1]FishDiscoveryGroup!$A:$X,표1[[#This Row],[명칭]]),"-")</f>
        <v>0</v>
      </c>
      <c r="K976" s="38" t="str">
        <f>IFERROR(COUNTIF([2]Town!$B:$B,표1[[#This Row],[명칭]]),"-")</f>
        <v>-</v>
      </c>
      <c r="L976" s="38">
        <f>IFERROR(COUNTIF([1]Village!$BR:$BR,표1[[#This Row],[명칭]]),"-")</f>
        <v>0</v>
      </c>
      <c r="M976" s="38">
        <f>COUNTIF(퀘스트!B:B,표1[[#This Row],[명칭]])</f>
        <v>0</v>
      </c>
      <c r="N976" s="65">
        <f>COUNTIF([1]VillageDiscoveryGroup!$C:$C,표1[[#This Row],[명칭]])</f>
        <v>0</v>
      </c>
      <c r="O976" s="65">
        <f>SUM(표1[[#This Row],[해양탐색]:[마을탐험]])</f>
        <v>0</v>
      </c>
    </row>
    <row r="977" spans="2:15" ht="13.5" customHeight="1" x14ac:dyDescent="0.3">
      <c r="B977" s="9">
        <f>[1]Discovery!A983</f>
        <v>70409054</v>
      </c>
      <c r="C977" s="9" t="str">
        <f>[1]Discovery!B983</f>
        <v>꼬치삼치</v>
      </c>
      <c r="D977" s="9" t="str">
        <f>[1]Discovery!E983</f>
        <v>동물</v>
      </c>
      <c r="E977" s="9" t="str">
        <f>[1]Discovery!C983</f>
        <v>어류</v>
      </c>
      <c r="F977" s="9" t="str">
        <f>[1]Discovery!G983</f>
        <v>S</v>
      </c>
      <c r="G977" s="9" t="str">
        <f>IFERROR(VLOOKUP(표1[[#This Row],[명칭]],'문화권 정리'!C:D,2,FALSE),"-")</f>
        <v>어류</v>
      </c>
      <c r="H977" s="38" t="str">
        <f>IFERROR(COUNTIF([2]OceanDoodad!$Y:$Y,표1[[#This Row],[명칭]]),"-")</f>
        <v>-</v>
      </c>
      <c r="I977" s="38">
        <f>IFERROR(COUNTIF([1]AdventureDiscoveryGroup!$D$8:$AW$92,표1[[#This Row],[명칭]]),"-")</f>
        <v>0</v>
      </c>
      <c r="J977" s="38">
        <f>IFERROR(COUNTIF([1]FishDiscoveryGroup!$A:$X,표1[[#This Row],[명칭]]),"-")</f>
        <v>4</v>
      </c>
      <c r="K977" s="38" t="str">
        <f>IFERROR(COUNTIF([2]Town!$B:$B,표1[[#This Row],[명칭]]),"-")</f>
        <v>-</v>
      </c>
      <c r="L977" s="38">
        <f>IFERROR(COUNTIF([1]Village!$BR:$BR,표1[[#This Row],[명칭]]),"-")</f>
        <v>0</v>
      </c>
      <c r="M977" s="38">
        <f>COUNTIF(퀘스트!B:B,표1[[#This Row],[명칭]])</f>
        <v>0</v>
      </c>
      <c r="N977" s="65">
        <f>COUNTIF([1]VillageDiscoveryGroup!$C:$C,표1[[#This Row],[명칭]])</f>
        <v>0</v>
      </c>
      <c r="O977" s="65">
        <f>SUM(표1[[#This Row],[해양탐색]:[마을탐험]])</f>
        <v>4</v>
      </c>
    </row>
    <row r="978" spans="2:15" ht="13.5" customHeight="1" x14ac:dyDescent="0.3">
      <c r="B978" s="9">
        <f>[1]Discovery!A984</f>
        <v>70409055</v>
      </c>
      <c r="C978" s="9" t="str">
        <f>[1]Discovery!B984</f>
        <v>꼭갈치</v>
      </c>
      <c r="D978" s="9" t="str">
        <f>[1]Discovery!E984</f>
        <v>동물</v>
      </c>
      <c r="E978" s="9" t="str">
        <f>[1]Discovery!C984</f>
        <v>어류</v>
      </c>
      <c r="F978" s="9" t="str">
        <f>[1]Discovery!G984</f>
        <v>S</v>
      </c>
      <c r="G978" s="9" t="str">
        <f>IFERROR(VLOOKUP(표1[[#This Row],[명칭]],'문화권 정리'!C:D,2,FALSE),"-")</f>
        <v>어류</v>
      </c>
      <c r="H978" s="38" t="str">
        <f>IFERROR(COUNTIF([2]OceanDoodad!$Y:$Y,표1[[#This Row],[명칭]]),"-")</f>
        <v>-</v>
      </c>
      <c r="I978" s="38">
        <f>IFERROR(COUNTIF([1]AdventureDiscoveryGroup!$D$8:$AW$92,표1[[#This Row],[명칭]]),"-")</f>
        <v>0</v>
      </c>
      <c r="J978" s="38">
        <f>IFERROR(COUNTIF([1]FishDiscoveryGroup!$A:$X,표1[[#This Row],[명칭]]),"-")</f>
        <v>0</v>
      </c>
      <c r="K978" s="38" t="str">
        <f>IFERROR(COUNTIF([2]Town!$B:$B,표1[[#This Row],[명칭]]),"-")</f>
        <v>-</v>
      </c>
      <c r="L978" s="38">
        <f>IFERROR(COUNTIF([1]Village!$BR:$BR,표1[[#This Row],[명칭]]),"-")</f>
        <v>0</v>
      </c>
      <c r="M978" s="38">
        <f>COUNTIF(퀘스트!B:B,표1[[#This Row],[명칭]])</f>
        <v>0</v>
      </c>
      <c r="N978" s="65">
        <f>COUNTIF([1]VillageDiscoveryGroup!$C:$C,표1[[#This Row],[명칭]])</f>
        <v>0</v>
      </c>
      <c r="O978" s="65">
        <f>SUM(표1[[#This Row],[해양탐색]:[마을탐험]])</f>
        <v>0</v>
      </c>
    </row>
    <row r="979" spans="2:15" ht="13.5" customHeight="1" x14ac:dyDescent="0.3">
      <c r="B979" s="9">
        <f>[1]Discovery!A985</f>
        <v>70409056</v>
      </c>
      <c r="C979" s="9" t="str">
        <f>[1]Discovery!B985</f>
        <v>꽁치</v>
      </c>
      <c r="D979" s="9" t="str">
        <f>[1]Discovery!E985</f>
        <v>동물</v>
      </c>
      <c r="E979" s="9" t="str">
        <f>[1]Discovery!C985</f>
        <v>어류</v>
      </c>
      <c r="F979" s="9" t="str">
        <f>[1]Discovery!G985</f>
        <v>B</v>
      </c>
      <c r="G979" s="9" t="str">
        <f>IFERROR(VLOOKUP(표1[[#This Row],[명칭]],'문화권 정리'!C:D,2,FALSE),"-")</f>
        <v>어류</v>
      </c>
      <c r="H979" s="38" t="str">
        <f>IFERROR(COUNTIF([2]OceanDoodad!$Y:$Y,표1[[#This Row],[명칭]]),"-")</f>
        <v>-</v>
      </c>
      <c r="I979" s="38">
        <f>IFERROR(COUNTIF([1]AdventureDiscoveryGroup!$D$8:$AW$92,표1[[#This Row],[명칭]]),"-")</f>
        <v>0</v>
      </c>
      <c r="J979" s="38">
        <f>IFERROR(COUNTIF([1]FishDiscoveryGroup!$A:$X,표1[[#This Row],[명칭]]),"-")</f>
        <v>4</v>
      </c>
      <c r="K979" s="38" t="str">
        <f>IFERROR(COUNTIF([2]Town!$B:$B,표1[[#This Row],[명칭]]),"-")</f>
        <v>-</v>
      </c>
      <c r="L979" s="38">
        <f>IFERROR(COUNTIF([1]Village!$BR:$BR,표1[[#This Row],[명칭]]),"-")</f>
        <v>0</v>
      </c>
      <c r="M979" s="38">
        <f>COUNTIF(퀘스트!B:B,표1[[#This Row],[명칭]])</f>
        <v>0</v>
      </c>
      <c r="N979" s="65">
        <f>COUNTIF([1]VillageDiscoveryGroup!$C:$C,표1[[#This Row],[명칭]])</f>
        <v>0</v>
      </c>
      <c r="O979" s="65">
        <f>SUM(표1[[#This Row],[해양탐색]:[마을탐험]])</f>
        <v>4</v>
      </c>
    </row>
    <row r="980" spans="2:15" ht="13.5" customHeight="1" x14ac:dyDescent="0.3">
      <c r="B980" s="9">
        <f>[1]Discovery!A986</f>
        <v>70409057</v>
      </c>
      <c r="C980" s="9" t="str">
        <f>[1]Discovery!B986</f>
        <v>꽁치아재비</v>
      </c>
      <c r="D980" s="9" t="str">
        <f>[1]Discovery!E986</f>
        <v>동물</v>
      </c>
      <c r="E980" s="9" t="str">
        <f>[1]Discovery!C986</f>
        <v>어류</v>
      </c>
      <c r="F980" s="9" t="str">
        <f>[1]Discovery!G986</f>
        <v>B</v>
      </c>
      <c r="G980" s="9" t="str">
        <f>IFERROR(VLOOKUP(표1[[#This Row],[명칭]],'문화권 정리'!C:D,2,FALSE),"-")</f>
        <v>어류</v>
      </c>
      <c r="H980" s="38" t="str">
        <f>IFERROR(COUNTIF([2]OceanDoodad!$Y:$Y,표1[[#This Row],[명칭]]),"-")</f>
        <v>-</v>
      </c>
      <c r="I980" s="38">
        <f>IFERROR(COUNTIF([1]AdventureDiscoveryGroup!$D$8:$AW$92,표1[[#This Row],[명칭]]),"-")</f>
        <v>0</v>
      </c>
      <c r="J980" s="38">
        <f>IFERROR(COUNTIF([1]FishDiscoveryGroup!$A:$X,표1[[#This Row],[명칭]]),"-")</f>
        <v>4</v>
      </c>
      <c r="K980" s="38" t="str">
        <f>IFERROR(COUNTIF([2]Town!$B:$B,표1[[#This Row],[명칭]]),"-")</f>
        <v>-</v>
      </c>
      <c r="L980" s="38">
        <f>IFERROR(COUNTIF([1]Village!$BR:$BR,표1[[#This Row],[명칭]]),"-")</f>
        <v>0</v>
      </c>
      <c r="M980" s="38">
        <f>COUNTIF(퀘스트!B:B,표1[[#This Row],[명칭]])</f>
        <v>0</v>
      </c>
      <c r="N980" s="65">
        <f>COUNTIF([1]VillageDiscoveryGroup!$C:$C,표1[[#This Row],[명칭]])</f>
        <v>0</v>
      </c>
      <c r="O980" s="65">
        <f>SUM(표1[[#This Row],[해양탐색]:[마을탐험]])</f>
        <v>4</v>
      </c>
    </row>
    <row r="981" spans="2:15" ht="13.5" customHeight="1" x14ac:dyDescent="0.3">
      <c r="B981" s="9">
        <f>[1]Discovery!A987</f>
        <v>70409058</v>
      </c>
      <c r="C981" s="9" t="str">
        <f>[1]Discovery!B987</f>
        <v>꽃동멸</v>
      </c>
      <c r="D981" s="9" t="str">
        <f>[1]Discovery!E987</f>
        <v>동물</v>
      </c>
      <c r="E981" s="9" t="str">
        <f>[1]Discovery!C987</f>
        <v>어류</v>
      </c>
      <c r="F981" s="9" t="str">
        <f>[1]Discovery!G987</f>
        <v>A</v>
      </c>
      <c r="G981" s="9" t="str">
        <f>IFERROR(VLOOKUP(표1[[#This Row],[명칭]],'문화권 정리'!C:D,2,FALSE),"-")</f>
        <v>어류</v>
      </c>
      <c r="H981" s="38" t="str">
        <f>IFERROR(COUNTIF([2]OceanDoodad!$Y:$Y,표1[[#This Row],[명칭]]),"-")</f>
        <v>-</v>
      </c>
      <c r="I981" s="38">
        <f>IFERROR(COUNTIF([1]AdventureDiscoveryGroup!$D$8:$AW$92,표1[[#This Row],[명칭]]),"-")</f>
        <v>0</v>
      </c>
      <c r="J981" s="38">
        <f>IFERROR(COUNTIF([1]FishDiscoveryGroup!$A:$X,표1[[#This Row],[명칭]]),"-")</f>
        <v>0</v>
      </c>
      <c r="K981" s="38" t="str">
        <f>IFERROR(COUNTIF([2]Town!$B:$B,표1[[#This Row],[명칭]]),"-")</f>
        <v>-</v>
      </c>
      <c r="L981" s="38">
        <f>IFERROR(COUNTIF([1]Village!$BR:$BR,표1[[#This Row],[명칭]]),"-")</f>
        <v>0</v>
      </c>
      <c r="M981" s="38">
        <f>COUNTIF(퀘스트!B:B,표1[[#This Row],[명칭]])</f>
        <v>0</v>
      </c>
      <c r="N981" s="65">
        <f>COUNTIF([1]VillageDiscoveryGroup!$C:$C,표1[[#This Row],[명칭]])</f>
        <v>0</v>
      </c>
      <c r="O981" s="65">
        <f>SUM(표1[[#This Row],[해양탐색]:[마을탐험]])</f>
        <v>0</v>
      </c>
    </row>
    <row r="982" spans="2:15" ht="13.5" customHeight="1" x14ac:dyDescent="0.3">
      <c r="B982" s="9">
        <f>[1]Discovery!A988</f>
        <v>70409059</v>
      </c>
      <c r="C982" s="9" t="str">
        <f>[1]Discovery!B988</f>
        <v>꾀붕장어</v>
      </c>
      <c r="D982" s="9" t="str">
        <f>[1]Discovery!E988</f>
        <v>동물</v>
      </c>
      <c r="E982" s="9" t="str">
        <f>[1]Discovery!C988</f>
        <v>어류</v>
      </c>
      <c r="F982" s="9" t="str">
        <f>[1]Discovery!G988</f>
        <v>B</v>
      </c>
      <c r="G982" s="9" t="str">
        <f>IFERROR(VLOOKUP(표1[[#This Row],[명칭]],'문화권 정리'!C:D,2,FALSE),"-")</f>
        <v>어류</v>
      </c>
      <c r="H982" s="38" t="str">
        <f>IFERROR(COUNTIF([2]OceanDoodad!$Y:$Y,표1[[#This Row],[명칭]]),"-")</f>
        <v>-</v>
      </c>
      <c r="I982" s="38">
        <f>IFERROR(COUNTIF([1]AdventureDiscoveryGroup!$D$8:$AW$92,표1[[#This Row],[명칭]]),"-")</f>
        <v>0</v>
      </c>
      <c r="J982" s="38">
        <f>IFERROR(COUNTIF([1]FishDiscoveryGroup!$A:$X,표1[[#This Row],[명칭]]),"-")</f>
        <v>4</v>
      </c>
      <c r="K982" s="38" t="str">
        <f>IFERROR(COUNTIF([2]Town!$B:$B,표1[[#This Row],[명칭]]),"-")</f>
        <v>-</v>
      </c>
      <c r="L982" s="38">
        <f>IFERROR(COUNTIF([1]Village!$BR:$BR,표1[[#This Row],[명칭]]),"-")</f>
        <v>0</v>
      </c>
      <c r="M982" s="38">
        <f>COUNTIF(퀘스트!B:B,표1[[#This Row],[명칭]])</f>
        <v>0</v>
      </c>
      <c r="N982" s="65">
        <f>COUNTIF([1]VillageDiscoveryGroup!$C:$C,표1[[#This Row],[명칭]])</f>
        <v>0</v>
      </c>
      <c r="O982" s="65">
        <f>SUM(표1[[#This Row],[해양탐색]:[마을탐험]])</f>
        <v>4</v>
      </c>
    </row>
    <row r="983" spans="2:15" ht="13.5" customHeight="1" x14ac:dyDescent="0.3">
      <c r="B983" s="9">
        <f>[1]Discovery!A989</f>
        <v>70409060</v>
      </c>
      <c r="C983" s="9" t="str">
        <f>[1]Discovery!B989</f>
        <v>나망곰치</v>
      </c>
      <c r="D983" s="9" t="str">
        <f>[1]Discovery!E989</f>
        <v>동물</v>
      </c>
      <c r="E983" s="9" t="str">
        <f>[1]Discovery!C989</f>
        <v>어류</v>
      </c>
      <c r="F983" s="9" t="str">
        <f>[1]Discovery!G989</f>
        <v>B</v>
      </c>
      <c r="G983" s="9" t="str">
        <f>IFERROR(VLOOKUP(표1[[#This Row],[명칭]],'문화권 정리'!C:D,2,FALSE),"-")</f>
        <v>어류</v>
      </c>
      <c r="H983" s="38" t="str">
        <f>IFERROR(COUNTIF([2]OceanDoodad!$Y:$Y,표1[[#This Row],[명칭]]),"-")</f>
        <v>-</v>
      </c>
      <c r="I983" s="38">
        <f>IFERROR(COUNTIF([1]AdventureDiscoveryGroup!$D$8:$AW$92,표1[[#This Row],[명칭]]),"-")</f>
        <v>0</v>
      </c>
      <c r="J983" s="38">
        <f>IFERROR(COUNTIF([1]FishDiscoveryGroup!$A:$X,표1[[#This Row],[명칭]]),"-")</f>
        <v>4</v>
      </c>
      <c r="K983" s="38" t="str">
        <f>IFERROR(COUNTIF([2]Town!$B:$B,표1[[#This Row],[명칭]]),"-")</f>
        <v>-</v>
      </c>
      <c r="L983" s="38">
        <f>IFERROR(COUNTIF([1]Village!$BR:$BR,표1[[#This Row],[명칭]]),"-")</f>
        <v>0</v>
      </c>
      <c r="M983" s="38">
        <f>COUNTIF(퀘스트!B:B,표1[[#This Row],[명칭]])</f>
        <v>0</v>
      </c>
      <c r="N983" s="65">
        <f>COUNTIF([1]VillageDiscoveryGroup!$C:$C,표1[[#This Row],[명칭]])</f>
        <v>0</v>
      </c>
      <c r="O983" s="65">
        <f>SUM(표1[[#This Row],[해양탐색]:[마을탐험]])</f>
        <v>4</v>
      </c>
    </row>
    <row r="984" spans="2:15" ht="13.5" customHeight="1" x14ac:dyDescent="0.3">
      <c r="B984" s="9">
        <f>[1]Discovery!A990</f>
        <v>70409061</v>
      </c>
      <c r="C984" s="9" t="str">
        <f>[1]Discovery!B990</f>
        <v>나비가오리</v>
      </c>
      <c r="D984" s="9" t="str">
        <f>[1]Discovery!E990</f>
        <v>동물</v>
      </c>
      <c r="E984" s="9" t="str">
        <f>[1]Discovery!C990</f>
        <v>어류</v>
      </c>
      <c r="F984" s="9" t="str">
        <f>[1]Discovery!G990</f>
        <v>A</v>
      </c>
      <c r="G984" s="9" t="str">
        <f>IFERROR(VLOOKUP(표1[[#This Row],[명칭]],'문화권 정리'!C:D,2,FALSE),"-")</f>
        <v>어류</v>
      </c>
      <c r="H984" s="38" t="str">
        <f>IFERROR(COUNTIF([2]OceanDoodad!$Y:$Y,표1[[#This Row],[명칭]]),"-")</f>
        <v>-</v>
      </c>
      <c r="I984" s="38">
        <f>IFERROR(COUNTIF([1]AdventureDiscoveryGroup!$D$8:$AW$92,표1[[#This Row],[명칭]]),"-")</f>
        <v>0</v>
      </c>
      <c r="J984" s="38">
        <f>IFERROR(COUNTIF([1]FishDiscoveryGroup!$A:$X,표1[[#This Row],[명칭]]),"-")</f>
        <v>4</v>
      </c>
      <c r="K984" s="38" t="str">
        <f>IFERROR(COUNTIF([2]Town!$B:$B,표1[[#This Row],[명칭]]),"-")</f>
        <v>-</v>
      </c>
      <c r="L984" s="38">
        <f>IFERROR(COUNTIF([1]Village!$BR:$BR,표1[[#This Row],[명칭]]),"-")</f>
        <v>0</v>
      </c>
      <c r="M984" s="38">
        <f>COUNTIF(퀘스트!B:B,표1[[#This Row],[명칭]])</f>
        <v>0</v>
      </c>
      <c r="N984" s="65">
        <f>COUNTIF([1]VillageDiscoveryGroup!$C:$C,표1[[#This Row],[명칭]])</f>
        <v>0</v>
      </c>
      <c r="O984" s="65">
        <f>SUM(표1[[#This Row],[해양탐색]:[마을탐험]])</f>
        <v>4</v>
      </c>
    </row>
    <row r="985" spans="2:15" ht="13.5" customHeight="1" x14ac:dyDescent="0.3">
      <c r="B985" s="9">
        <f>[1]Discovery!A991</f>
        <v>70409062</v>
      </c>
      <c r="C985" s="9" t="str">
        <f>[1]Discovery!B991</f>
        <v>나사조개</v>
      </c>
      <c r="D985" s="9" t="str">
        <f>[1]Discovery!E991</f>
        <v>동물</v>
      </c>
      <c r="E985" s="9" t="str">
        <f>[1]Discovery!C991</f>
        <v>무척추동물</v>
      </c>
      <c r="F985" s="9" t="str">
        <f>[1]Discovery!G991</f>
        <v>B</v>
      </c>
      <c r="G985" s="9" t="str">
        <f>IFERROR(VLOOKUP(표1[[#This Row],[명칭]],'문화권 정리'!C:D,2,FALSE),"-")</f>
        <v>어류</v>
      </c>
      <c r="H985" s="38" t="str">
        <f>IFERROR(COUNTIF([2]OceanDoodad!$Y:$Y,표1[[#This Row],[명칭]]),"-")</f>
        <v>-</v>
      </c>
      <c r="I985" s="38">
        <f>IFERROR(COUNTIF([1]AdventureDiscoveryGroup!$D$8:$AW$92,표1[[#This Row],[명칭]]),"-")</f>
        <v>0</v>
      </c>
      <c r="J985" s="38">
        <f>IFERROR(COUNTIF([1]FishDiscoveryGroup!$A:$X,표1[[#This Row],[명칭]]),"-")</f>
        <v>4</v>
      </c>
      <c r="K985" s="38" t="str">
        <f>IFERROR(COUNTIF([2]Town!$B:$B,표1[[#This Row],[명칭]]),"-")</f>
        <v>-</v>
      </c>
      <c r="L985" s="38">
        <f>IFERROR(COUNTIF([1]Village!$BR:$BR,표1[[#This Row],[명칭]]),"-")</f>
        <v>0</v>
      </c>
      <c r="M985" s="38">
        <f>COUNTIF(퀘스트!B:B,표1[[#This Row],[명칭]])</f>
        <v>0</v>
      </c>
      <c r="N985" s="65">
        <f>COUNTIF([1]VillageDiscoveryGroup!$C:$C,표1[[#This Row],[명칭]])</f>
        <v>0</v>
      </c>
      <c r="O985" s="65">
        <f>SUM(표1[[#This Row],[해양탐색]:[마을탐험]])</f>
        <v>4</v>
      </c>
    </row>
    <row r="986" spans="2:15" ht="13.5" customHeight="1" x14ac:dyDescent="0.3">
      <c r="B986" s="9">
        <f>[1]Discovery!A992</f>
        <v>70409063</v>
      </c>
      <c r="C986" s="9" t="str">
        <f>[1]Discovery!B992</f>
        <v>나일아로와나</v>
      </c>
      <c r="D986" s="9" t="str">
        <f>[1]Discovery!E992</f>
        <v>동물</v>
      </c>
      <c r="E986" s="9" t="str">
        <f>[1]Discovery!C992</f>
        <v>어류</v>
      </c>
      <c r="F986" s="9" t="str">
        <f>[1]Discovery!G992</f>
        <v>B</v>
      </c>
      <c r="G986" s="9" t="str">
        <f>IFERROR(VLOOKUP(표1[[#This Row],[명칭]],'문화권 정리'!C:D,2,FALSE),"-")</f>
        <v>어류</v>
      </c>
      <c r="H986" s="38" t="str">
        <f>IFERROR(COUNTIF([2]OceanDoodad!$Y:$Y,표1[[#This Row],[명칭]]),"-")</f>
        <v>-</v>
      </c>
      <c r="I986" s="38">
        <f>IFERROR(COUNTIF([1]AdventureDiscoveryGroup!$D$8:$AW$92,표1[[#This Row],[명칭]]),"-")</f>
        <v>0</v>
      </c>
      <c r="J986" s="38">
        <f>IFERROR(COUNTIF([1]FishDiscoveryGroup!$A:$X,표1[[#This Row],[명칭]]),"-")</f>
        <v>4</v>
      </c>
      <c r="K986" s="38" t="str">
        <f>IFERROR(COUNTIF([2]Town!$B:$B,표1[[#This Row],[명칭]]),"-")</f>
        <v>-</v>
      </c>
      <c r="L986" s="38">
        <f>IFERROR(COUNTIF([1]Village!$BR:$BR,표1[[#This Row],[명칭]]),"-")</f>
        <v>0</v>
      </c>
      <c r="M986" s="38">
        <f>COUNTIF(퀘스트!B:B,표1[[#This Row],[명칭]])</f>
        <v>0</v>
      </c>
      <c r="N986" s="65">
        <f>COUNTIF([1]VillageDiscoveryGroup!$C:$C,표1[[#This Row],[명칭]])</f>
        <v>0</v>
      </c>
      <c r="O986" s="65">
        <f>SUM(표1[[#This Row],[해양탐색]:[마을탐험]])</f>
        <v>4</v>
      </c>
    </row>
    <row r="987" spans="2:15" ht="13.5" customHeight="1" x14ac:dyDescent="0.3">
      <c r="B987" s="9">
        <f>[1]Discovery!A993</f>
        <v>70409064</v>
      </c>
      <c r="C987" s="9" t="str">
        <f>[1]Discovery!B993</f>
        <v>나일퍼치</v>
      </c>
      <c r="D987" s="9" t="str">
        <f>[1]Discovery!E993</f>
        <v>동물</v>
      </c>
      <c r="E987" s="9" t="str">
        <f>[1]Discovery!C993</f>
        <v>어류</v>
      </c>
      <c r="F987" s="9" t="str">
        <f>[1]Discovery!G993</f>
        <v>A</v>
      </c>
      <c r="G987" s="9" t="str">
        <f>IFERROR(VLOOKUP(표1[[#This Row],[명칭]],'문화권 정리'!C:D,2,FALSE),"-")</f>
        <v>어류</v>
      </c>
      <c r="H987" s="38" t="str">
        <f>IFERROR(COUNTIF([2]OceanDoodad!$Y:$Y,표1[[#This Row],[명칭]]),"-")</f>
        <v>-</v>
      </c>
      <c r="I987" s="38">
        <f>IFERROR(COUNTIF([1]AdventureDiscoveryGroup!$D$8:$AW$92,표1[[#This Row],[명칭]]),"-")</f>
        <v>0</v>
      </c>
      <c r="J987" s="38">
        <f>IFERROR(COUNTIF([1]FishDiscoveryGroup!$A:$X,표1[[#This Row],[명칭]]),"-")</f>
        <v>4</v>
      </c>
      <c r="K987" s="38" t="str">
        <f>IFERROR(COUNTIF([2]Town!$B:$B,표1[[#This Row],[명칭]]),"-")</f>
        <v>-</v>
      </c>
      <c r="L987" s="38">
        <f>IFERROR(COUNTIF([1]Village!$BR:$BR,표1[[#This Row],[명칭]]),"-")</f>
        <v>0</v>
      </c>
      <c r="M987" s="38">
        <f>COUNTIF(퀘스트!B:B,표1[[#This Row],[명칭]])</f>
        <v>0</v>
      </c>
      <c r="N987" s="65">
        <f>COUNTIF([1]VillageDiscoveryGroup!$C:$C,표1[[#This Row],[명칭]])</f>
        <v>0</v>
      </c>
      <c r="O987" s="65">
        <f>SUM(표1[[#This Row],[해양탐색]:[마을탐험]])</f>
        <v>4</v>
      </c>
    </row>
    <row r="988" spans="2:15" ht="13.5" customHeight="1" x14ac:dyDescent="0.3">
      <c r="B988" s="9">
        <f>[1]Discovery!A994</f>
        <v>70409065</v>
      </c>
      <c r="C988" s="9" t="str">
        <f>[1]Discovery!B994</f>
        <v>날개다랑어</v>
      </c>
      <c r="D988" s="9" t="str">
        <f>[1]Discovery!E994</f>
        <v>동물</v>
      </c>
      <c r="E988" s="9" t="str">
        <f>[1]Discovery!C994</f>
        <v>어류</v>
      </c>
      <c r="F988" s="9" t="str">
        <f>[1]Discovery!G994</f>
        <v>A</v>
      </c>
      <c r="G988" s="9" t="str">
        <f>IFERROR(VLOOKUP(표1[[#This Row],[명칭]],'문화권 정리'!C:D,2,FALSE),"-")</f>
        <v>어류</v>
      </c>
      <c r="H988" s="38" t="str">
        <f>IFERROR(COUNTIF([2]OceanDoodad!$Y:$Y,표1[[#This Row],[명칭]]),"-")</f>
        <v>-</v>
      </c>
      <c r="I988" s="38">
        <f>IFERROR(COUNTIF([1]AdventureDiscoveryGroup!$D$8:$AW$92,표1[[#This Row],[명칭]]),"-")</f>
        <v>0</v>
      </c>
      <c r="J988" s="38">
        <f>IFERROR(COUNTIF([1]FishDiscoveryGroup!$A:$X,표1[[#This Row],[명칭]]),"-")</f>
        <v>4</v>
      </c>
      <c r="K988" s="38" t="str">
        <f>IFERROR(COUNTIF([2]Town!$B:$B,표1[[#This Row],[명칭]]),"-")</f>
        <v>-</v>
      </c>
      <c r="L988" s="38">
        <f>IFERROR(COUNTIF([1]Village!$BR:$BR,표1[[#This Row],[명칭]]),"-")</f>
        <v>0</v>
      </c>
      <c r="M988" s="38">
        <f>COUNTIF(퀘스트!B:B,표1[[#This Row],[명칭]])</f>
        <v>0</v>
      </c>
      <c r="N988" s="65">
        <f>COUNTIF([1]VillageDiscoveryGroup!$C:$C,표1[[#This Row],[명칭]])</f>
        <v>0</v>
      </c>
      <c r="O988" s="65">
        <f>SUM(표1[[#This Row],[해양탐색]:[마을탐험]])</f>
        <v>4</v>
      </c>
    </row>
    <row r="989" spans="2:15" ht="13.5" customHeight="1" x14ac:dyDescent="0.3">
      <c r="B989" s="9">
        <f>[1]Discovery!A995</f>
        <v>70409066</v>
      </c>
      <c r="C989" s="9" t="str">
        <f>[1]Discovery!B995</f>
        <v>날개쥐치</v>
      </c>
      <c r="D989" s="9" t="str">
        <f>[1]Discovery!E995</f>
        <v>동물</v>
      </c>
      <c r="E989" s="9" t="str">
        <f>[1]Discovery!C995</f>
        <v>어류</v>
      </c>
      <c r="F989" s="9" t="str">
        <f>[1]Discovery!G995</f>
        <v>B</v>
      </c>
      <c r="G989" s="9" t="str">
        <f>IFERROR(VLOOKUP(표1[[#This Row],[명칭]],'문화권 정리'!C:D,2,FALSE),"-")</f>
        <v>어류</v>
      </c>
      <c r="H989" s="38" t="str">
        <f>IFERROR(COUNTIF([2]OceanDoodad!$Y:$Y,표1[[#This Row],[명칭]]),"-")</f>
        <v>-</v>
      </c>
      <c r="I989" s="38">
        <f>IFERROR(COUNTIF([1]AdventureDiscoveryGroup!$D$8:$AW$92,표1[[#This Row],[명칭]]),"-")</f>
        <v>0</v>
      </c>
      <c r="J989" s="38">
        <f>IFERROR(COUNTIF([1]FishDiscoveryGroup!$A:$X,표1[[#This Row],[명칭]]),"-")</f>
        <v>4</v>
      </c>
      <c r="K989" s="38" t="str">
        <f>IFERROR(COUNTIF([2]Town!$B:$B,표1[[#This Row],[명칭]]),"-")</f>
        <v>-</v>
      </c>
      <c r="L989" s="38">
        <f>IFERROR(COUNTIF([1]Village!$BR:$BR,표1[[#This Row],[명칭]]),"-")</f>
        <v>0</v>
      </c>
      <c r="M989" s="38">
        <f>COUNTIF(퀘스트!B:B,표1[[#This Row],[명칭]])</f>
        <v>0</v>
      </c>
      <c r="N989" s="65">
        <f>COUNTIF([1]VillageDiscoveryGroup!$C:$C,표1[[#This Row],[명칭]])</f>
        <v>0</v>
      </c>
      <c r="O989" s="65">
        <f>SUM(표1[[#This Row],[해양탐색]:[마을탐험]])</f>
        <v>4</v>
      </c>
    </row>
    <row r="990" spans="2:15" ht="13.5" customHeight="1" x14ac:dyDescent="0.3">
      <c r="B990" s="9">
        <f>[1]Discovery!A996</f>
        <v>70409067</v>
      </c>
      <c r="C990" s="9" t="str">
        <f>[1]Discovery!B996</f>
        <v>날개횟대</v>
      </c>
      <c r="D990" s="9" t="str">
        <f>[1]Discovery!E996</f>
        <v>동물</v>
      </c>
      <c r="E990" s="9" t="str">
        <f>[1]Discovery!C996</f>
        <v>어류</v>
      </c>
      <c r="F990" s="9" t="str">
        <f>[1]Discovery!G996</f>
        <v>B</v>
      </c>
      <c r="G990" s="9" t="str">
        <f>IFERROR(VLOOKUP(표1[[#This Row],[명칭]],'문화권 정리'!C:D,2,FALSE),"-")</f>
        <v>어류</v>
      </c>
      <c r="H990" s="38" t="str">
        <f>IFERROR(COUNTIF([2]OceanDoodad!$Y:$Y,표1[[#This Row],[명칭]]),"-")</f>
        <v>-</v>
      </c>
      <c r="I990" s="38">
        <f>IFERROR(COUNTIF([1]AdventureDiscoveryGroup!$D$8:$AW$92,표1[[#This Row],[명칭]]),"-")</f>
        <v>0</v>
      </c>
      <c r="J990" s="38">
        <f>IFERROR(COUNTIF([1]FishDiscoveryGroup!$A:$X,표1[[#This Row],[명칭]]),"-")</f>
        <v>0</v>
      </c>
      <c r="K990" s="38" t="str">
        <f>IFERROR(COUNTIF([2]Town!$B:$B,표1[[#This Row],[명칭]]),"-")</f>
        <v>-</v>
      </c>
      <c r="L990" s="38">
        <f>IFERROR(COUNTIF([1]Village!$BR:$BR,표1[[#This Row],[명칭]]),"-")</f>
        <v>0</v>
      </c>
      <c r="M990" s="38">
        <f>COUNTIF(퀘스트!B:B,표1[[#This Row],[명칭]])</f>
        <v>0</v>
      </c>
      <c r="N990" s="65">
        <f>COUNTIF([1]VillageDiscoveryGroup!$C:$C,표1[[#This Row],[명칭]])</f>
        <v>0</v>
      </c>
      <c r="O990" s="65">
        <f>SUM(표1[[#This Row],[해양탐색]:[마을탐험]])</f>
        <v>0</v>
      </c>
    </row>
    <row r="991" spans="2:15" ht="13.5" customHeight="1" x14ac:dyDescent="0.3">
      <c r="B991" s="9">
        <f>[1]Discovery!A997</f>
        <v>70409068</v>
      </c>
      <c r="C991" s="9" t="str">
        <f>[1]Discovery!B997</f>
        <v>날새기</v>
      </c>
      <c r="D991" s="9" t="str">
        <f>[1]Discovery!E997</f>
        <v>동물</v>
      </c>
      <c r="E991" s="9" t="str">
        <f>[1]Discovery!C997</f>
        <v>어류</v>
      </c>
      <c r="F991" s="9" t="str">
        <f>[1]Discovery!G997</f>
        <v>B</v>
      </c>
      <c r="G991" s="9" t="str">
        <f>IFERROR(VLOOKUP(표1[[#This Row],[명칭]],'문화권 정리'!C:D,2,FALSE),"-")</f>
        <v>어류</v>
      </c>
      <c r="H991" s="38" t="str">
        <f>IFERROR(COUNTIF([2]OceanDoodad!$Y:$Y,표1[[#This Row],[명칭]]),"-")</f>
        <v>-</v>
      </c>
      <c r="I991" s="38">
        <f>IFERROR(COUNTIF([1]AdventureDiscoveryGroup!$D$8:$AW$92,표1[[#This Row],[명칭]]),"-")</f>
        <v>0</v>
      </c>
      <c r="J991" s="38">
        <f>IFERROR(COUNTIF([1]FishDiscoveryGroup!$A:$X,표1[[#This Row],[명칭]]),"-")</f>
        <v>4</v>
      </c>
      <c r="K991" s="38" t="str">
        <f>IFERROR(COUNTIF([2]Town!$B:$B,표1[[#This Row],[명칭]]),"-")</f>
        <v>-</v>
      </c>
      <c r="L991" s="38">
        <f>IFERROR(COUNTIF([1]Village!$BR:$BR,표1[[#This Row],[명칭]]),"-")</f>
        <v>0</v>
      </c>
      <c r="M991" s="38">
        <f>COUNTIF(퀘스트!B:B,표1[[#This Row],[명칭]])</f>
        <v>0</v>
      </c>
      <c r="N991" s="65">
        <f>COUNTIF([1]VillageDiscoveryGroup!$C:$C,표1[[#This Row],[명칭]])</f>
        <v>0</v>
      </c>
      <c r="O991" s="65">
        <f>SUM(표1[[#This Row],[해양탐색]:[마을탐험]])</f>
        <v>4</v>
      </c>
    </row>
    <row r="992" spans="2:15" ht="13.5" customHeight="1" x14ac:dyDescent="0.3">
      <c r="B992" s="9">
        <f>[1]Discovery!A998</f>
        <v>70409069</v>
      </c>
      <c r="C992" s="9" t="str">
        <f>[1]Discovery!B998</f>
        <v>날치</v>
      </c>
      <c r="D992" s="9" t="str">
        <f>[1]Discovery!E998</f>
        <v>동물</v>
      </c>
      <c r="E992" s="9" t="str">
        <f>[1]Discovery!C998</f>
        <v>어류</v>
      </c>
      <c r="F992" s="9" t="str">
        <f>[1]Discovery!G998</f>
        <v>C</v>
      </c>
      <c r="G992" s="9" t="str">
        <f>IFERROR(VLOOKUP(표1[[#This Row],[명칭]],'문화권 정리'!C:D,2,FALSE),"-")</f>
        <v>어류</v>
      </c>
      <c r="H992" s="38" t="str">
        <f>IFERROR(COUNTIF([2]OceanDoodad!$Y:$Y,표1[[#This Row],[명칭]]),"-")</f>
        <v>-</v>
      </c>
      <c r="I992" s="38">
        <f>IFERROR(COUNTIF([1]AdventureDiscoveryGroup!$D$8:$AW$92,표1[[#This Row],[명칭]]),"-")</f>
        <v>0</v>
      </c>
      <c r="J992" s="38">
        <f>IFERROR(COUNTIF([1]FishDiscoveryGroup!$A:$X,표1[[#This Row],[명칭]]),"-")</f>
        <v>4</v>
      </c>
      <c r="K992" s="38" t="str">
        <f>IFERROR(COUNTIF([2]Town!$B:$B,표1[[#This Row],[명칭]]),"-")</f>
        <v>-</v>
      </c>
      <c r="L992" s="38">
        <f>IFERROR(COUNTIF([1]Village!$BR:$BR,표1[[#This Row],[명칭]]),"-")</f>
        <v>0</v>
      </c>
      <c r="M992" s="38">
        <f>COUNTIF(퀘스트!B:B,표1[[#This Row],[명칭]])</f>
        <v>0</v>
      </c>
      <c r="N992" s="65">
        <f>COUNTIF([1]VillageDiscoveryGroup!$C:$C,표1[[#This Row],[명칭]])</f>
        <v>0</v>
      </c>
      <c r="O992" s="65">
        <f>SUM(표1[[#This Row],[해양탐색]:[마을탐험]])</f>
        <v>4</v>
      </c>
    </row>
    <row r="993" spans="2:15" ht="13.5" customHeight="1" x14ac:dyDescent="0.3">
      <c r="B993" s="9">
        <f>[1]Discovery!A999</f>
        <v>70409070</v>
      </c>
      <c r="C993" s="9" t="str">
        <f>[1]Discovery!B999</f>
        <v>낫잿방어</v>
      </c>
      <c r="D993" s="9" t="str">
        <f>[1]Discovery!E999</f>
        <v>동물</v>
      </c>
      <c r="E993" s="9" t="str">
        <f>[1]Discovery!C999</f>
        <v>어류</v>
      </c>
      <c r="F993" s="9" t="str">
        <f>[1]Discovery!G999</f>
        <v>B</v>
      </c>
      <c r="G993" s="9" t="str">
        <f>IFERROR(VLOOKUP(표1[[#This Row],[명칭]],'문화권 정리'!C:D,2,FALSE),"-")</f>
        <v>어류</v>
      </c>
      <c r="H993" s="38" t="str">
        <f>IFERROR(COUNTIF([2]OceanDoodad!$Y:$Y,표1[[#This Row],[명칭]]),"-")</f>
        <v>-</v>
      </c>
      <c r="I993" s="38">
        <f>IFERROR(COUNTIF([1]AdventureDiscoveryGroup!$D$8:$AW$92,표1[[#This Row],[명칭]]),"-")</f>
        <v>0</v>
      </c>
      <c r="J993" s="38">
        <f>IFERROR(COUNTIF([1]FishDiscoveryGroup!$A:$X,표1[[#This Row],[명칭]]),"-")</f>
        <v>4</v>
      </c>
      <c r="K993" s="38" t="str">
        <f>IFERROR(COUNTIF([2]Town!$B:$B,표1[[#This Row],[명칭]]),"-")</f>
        <v>-</v>
      </c>
      <c r="L993" s="38">
        <f>IFERROR(COUNTIF([1]Village!$BR:$BR,표1[[#This Row],[명칭]]),"-")</f>
        <v>0</v>
      </c>
      <c r="M993" s="38">
        <f>COUNTIF(퀘스트!B:B,표1[[#This Row],[명칭]])</f>
        <v>0</v>
      </c>
      <c r="N993" s="65">
        <f>COUNTIF([1]VillageDiscoveryGroup!$C:$C,표1[[#This Row],[명칭]])</f>
        <v>0</v>
      </c>
      <c r="O993" s="65">
        <f>SUM(표1[[#This Row],[해양탐색]:[마을탐험]])</f>
        <v>4</v>
      </c>
    </row>
    <row r="994" spans="2:15" ht="13.5" customHeight="1" x14ac:dyDescent="0.3">
      <c r="B994" s="9">
        <f>[1]Discovery!A1000</f>
        <v>70409071</v>
      </c>
      <c r="C994" s="9" t="str">
        <f>[1]Discovery!B1000</f>
        <v>넓은주둥이상어</v>
      </c>
      <c r="D994" s="9" t="str">
        <f>[1]Discovery!E1000</f>
        <v>동물</v>
      </c>
      <c r="E994" s="9" t="str">
        <f>[1]Discovery!C1000</f>
        <v>어류</v>
      </c>
      <c r="F994" s="9" t="str">
        <f>[1]Discovery!G1000</f>
        <v>B</v>
      </c>
      <c r="G994" s="9" t="str">
        <f>IFERROR(VLOOKUP(표1[[#This Row],[명칭]],'문화권 정리'!C:D,2,FALSE),"-")</f>
        <v>어류</v>
      </c>
      <c r="H994" s="38" t="str">
        <f>IFERROR(COUNTIF([2]OceanDoodad!$Y:$Y,표1[[#This Row],[명칭]]),"-")</f>
        <v>-</v>
      </c>
      <c r="I994" s="38">
        <f>IFERROR(COUNTIF([1]AdventureDiscoveryGroup!$D$8:$AW$92,표1[[#This Row],[명칭]]),"-")</f>
        <v>0</v>
      </c>
      <c r="J994" s="38">
        <f>IFERROR(COUNTIF([1]FishDiscoveryGroup!$A:$X,표1[[#This Row],[명칭]]),"-")</f>
        <v>5</v>
      </c>
      <c r="K994" s="38" t="str">
        <f>IFERROR(COUNTIF([2]Town!$B:$B,표1[[#This Row],[명칭]]),"-")</f>
        <v>-</v>
      </c>
      <c r="L994" s="38">
        <f>IFERROR(COUNTIF([1]Village!$BR:$BR,표1[[#This Row],[명칭]]),"-")</f>
        <v>0</v>
      </c>
      <c r="M994" s="38">
        <f>COUNTIF(퀘스트!B:B,표1[[#This Row],[명칭]])</f>
        <v>0</v>
      </c>
      <c r="N994" s="65">
        <f>COUNTIF([1]VillageDiscoveryGroup!$C:$C,표1[[#This Row],[명칭]])</f>
        <v>0</v>
      </c>
      <c r="O994" s="65">
        <f>SUM(표1[[#This Row],[해양탐색]:[마을탐험]])</f>
        <v>5</v>
      </c>
    </row>
    <row r="995" spans="2:15" ht="13.5" customHeight="1" x14ac:dyDescent="0.3">
      <c r="B995" s="9">
        <f>[1]Discovery!A1001</f>
        <v>70409072</v>
      </c>
      <c r="C995" s="9" t="str">
        <f>[1]Discovery!B1001</f>
        <v>넙치</v>
      </c>
      <c r="D995" s="9" t="str">
        <f>[1]Discovery!E1001</f>
        <v>동물</v>
      </c>
      <c r="E995" s="9" t="str">
        <f>[1]Discovery!C1001</f>
        <v>어류</v>
      </c>
      <c r="F995" s="9" t="str">
        <f>[1]Discovery!G1001</f>
        <v>C</v>
      </c>
      <c r="G995" s="9" t="str">
        <f>IFERROR(VLOOKUP(표1[[#This Row],[명칭]],'문화권 정리'!C:D,2,FALSE),"-")</f>
        <v>어류</v>
      </c>
      <c r="H995" s="38" t="str">
        <f>IFERROR(COUNTIF([2]OceanDoodad!$Y:$Y,표1[[#This Row],[명칭]]),"-")</f>
        <v>-</v>
      </c>
      <c r="I995" s="38">
        <f>IFERROR(COUNTIF([1]AdventureDiscoveryGroup!$D$8:$AW$92,표1[[#This Row],[명칭]]),"-")</f>
        <v>0</v>
      </c>
      <c r="J995" s="38">
        <f>IFERROR(COUNTIF([1]FishDiscoveryGroup!$A:$X,표1[[#This Row],[명칭]]),"-")</f>
        <v>4</v>
      </c>
      <c r="K995" s="38" t="str">
        <f>IFERROR(COUNTIF([2]Town!$B:$B,표1[[#This Row],[명칭]]),"-")</f>
        <v>-</v>
      </c>
      <c r="L995" s="38">
        <f>IFERROR(COUNTIF([1]Village!$BR:$BR,표1[[#This Row],[명칭]]),"-")</f>
        <v>0</v>
      </c>
      <c r="M995" s="38">
        <f>COUNTIF(퀘스트!B:B,표1[[#This Row],[명칭]])</f>
        <v>0</v>
      </c>
      <c r="N995" s="65">
        <f>COUNTIF([1]VillageDiscoveryGroup!$C:$C,표1[[#This Row],[명칭]])</f>
        <v>0</v>
      </c>
      <c r="O995" s="65">
        <f>SUM(표1[[#This Row],[해양탐색]:[마을탐험]])</f>
        <v>4</v>
      </c>
    </row>
    <row r="996" spans="2:15" ht="13.5" customHeight="1" x14ac:dyDescent="0.3">
      <c r="B996" s="9">
        <f>[1]Discovery!A1002</f>
        <v>70409073</v>
      </c>
      <c r="C996" s="9" t="str">
        <f>[1]Discovery!B1002</f>
        <v>네눈박이송사리</v>
      </c>
      <c r="D996" s="9" t="str">
        <f>[1]Discovery!E1002</f>
        <v>동물</v>
      </c>
      <c r="E996" s="9" t="str">
        <f>[1]Discovery!C1002</f>
        <v>어류</v>
      </c>
      <c r="F996" s="9" t="str">
        <f>[1]Discovery!G1002</f>
        <v>C</v>
      </c>
      <c r="G996" s="9" t="str">
        <f>IFERROR(VLOOKUP(표1[[#This Row],[명칭]],'문화권 정리'!C:D,2,FALSE),"-")</f>
        <v>어류</v>
      </c>
      <c r="H996" s="38" t="str">
        <f>IFERROR(COUNTIF([2]OceanDoodad!$Y:$Y,표1[[#This Row],[명칭]]),"-")</f>
        <v>-</v>
      </c>
      <c r="I996" s="38">
        <f>IFERROR(COUNTIF([1]AdventureDiscoveryGroup!$D$8:$AW$92,표1[[#This Row],[명칭]]),"-")</f>
        <v>0</v>
      </c>
      <c r="J996" s="38">
        <f>IFERROR(COUNTIF([1]FishDiscoveryGroup!$A:$X,표1[[#This Row],[명칭]]),"-")</f>
        <v>4</v>
      </c>
      <c r="K996" s="38" t="str">
        <f>IFERROR(COUNTIF([2]Town!$B:$B,표1[[#This Row],[명칭]]),"-")</f>
        <v>-</v>
      </c>
      <c r="L996" s="38">
        <f>IFERROR(COUNTIF([1]Village!$BR:$BR,표1[[#This Row],[명칭]]),"-")</f>
        <v>0</v>
      </c>
      <c r="M996" s="38">
        <f>COUNTIF(퀘스트!B:B,표1[[#This Row],[명칭]])</f>
        <v>0</v>
      </c>
      <c r="N996" s="65">
        <f>COUNTIF([1]VillageDiscoveryGroup!$C:$C,표1[[#This Row],[명칭]])</f>
        <v>0</v>
      </c>
      <c r="O996" s="65">
        <f>SUM(표1[[#This Row],[해양탐색]:[마을탐험]])</f>
        <v>4</v>
      </c>
    </row>
    <row r="997" spans="2:15" ht="13.5" customHeight="1" x14ac:dyDescent="0.3">
      <c r="B997" s="9">
        <f>[1]Discovery!A1003</f>
        <v>70409074</v>
      </c>
      <c r="C997" s="9" t="str">
        <f>[1]Discovery!B1003</f>
        <v>네동가리</v>
      </c>
      <c r="D997" s="9" t="str">
        <f>[1]Discovery!E1003</f>
        <v>동물</v>
      </c>
      <c r="E997" s="9" t="str">
        <f>[1]Discovery!C1003</f>
        <v>어류</v>
      </c>
      <c r="F997" s="9" t="str">
        <f>[1]Discovery!G1003</f>
        <v>B</v>
      </c>
      <c r="G997" s="9" t="str">
        <f>IFERROR(VLOOKUP(표1[[#This Row],[명칭]],'문화권 정리'!C:D,2,FALSE),"-")</f>
        <v>어류</v>
      </c>
      <c r="H997" s="38" t="str">
        <f>IFERROR(COUNTIF([2]OceanDoodad!$Y:$Y,표1[[#This Row],[명칭]]),"-")</f>
        <v>-</v>
      </c>
      <c r="I997" s="38">
        <f>IFERROR(COUNTIF([1]AdventureDiscoveryGroup!$D$8:$AW$92,표1[[#This Row],[명칭]]),"-")</f>
        <v>0</v>
      </c>
      <c r="J997" s="38">
        <f>IFERROR(COUNTIF([1]FishDiscoveryGroup!$A:$X,표1[[#This Row],[명칭]]),"-")</f>
        <v>4</v>
      </c>
      <c r="K997" s="38" t="str">
        <f>IFERROR(COUNTIF([2]Town!$B:$B,표1[[#This Row],[명칭]]),"-")</f>
        <v>-</v>
      </c>
      <c r="L997" s="38">
        <f>IFERROR(COUNTIF([1]Village!$BR:$BR,표1[[#This Row],[명칭]]),"-")</f>
        <v>0</v>
      </c>
      <c r="M997" s="38">
        <f>COUNTIF(퀘스트!B:B,표1[[#This Row],[명칭]])</f>
        <v>0</v>
      </c>
      <c r="N997" s="65">
        <f>COUNTIF([1]VillageDiscoveryGroup!$C:$C,표1[[#This Row],[명칭]])</f>
        <v>0</v>
      </c>
      <c r="O997" s="65">
        <f>SUM(표1[[#This Row],[해양탐색]:[마을탐험]])</f>
        <v>4</v>
      </c>
    </row>
    <row r="998" spans="2:15" ht="13.5" customHeight="1" x14ac:dyDescent="0.3">
      <c r="B998" s="9">
        <f>[1]Discovery!A1004</f>
        <v>70409075</v>
      </c>
      <c r="C998" s="9" t="str">
        <f>[1]Discovery!B1004</f>
        <v>네줄고기</v>
      </c>
      <c r="D998" s="9" t="str">
        <f>[1]Discovery!E1004</f>
        <v>동물</v>
      </c>
      <c r="E998" s="9" t="str">
        <f>[1]Discovery!C1004</f>
        <v>어류</v>
      </c>
      <c r="F998" s="9" t="str">
        <f>[1]Discovery!G1004</f>
        <v>B</v>
      </c>
      <c r="G998" s="9" t="str">
        <f>IFERROR(VLOOKUP(표1[[#This Row],[명칭]],'문화권 정리'!C:D,2,FALSE),"-")</f>
        <v>어류</v>
      </c>
      <c r="H998" s="38" t="str">
        <f>IFERROR(COUNTIF([2]OceanDoodad!$Y:$Y,표1[[#This Row],[명칭]]),"-")</f>
        <v>-</v>
      </c>
      <c r="I998" s="38">
        <f>IFERROR(COUNTIF([1]AdventureDiscoveryGroup!$D$8:$AW$92,표1[[#This Row],[명칭]]),"-")</f>
        <v>0</v>
      </c>
      <c r="J998" s="38">
        <f>IFERROR(COUNTIF([1]FishDiscoveryGroup!$A:$X,표1[[#This Row],[명칭]]),"-")</f>
        <v>4</v>
      </c>
      <c r="K998" s="38" t="str">
        <f>IFERROR(COUNTIF([2]Town!$B:$B,표1[[#This Row],[명칭]]),"-")</f>
        <v>-</v>
      </c>
      <c r="L998" s="38">
        <f>IFERROR(COUNTIF([1]Village!$BR:$BR,표1[[#This Row],[명칭]]),"-")</f>
        <v>0</v>
      </c>
      <c r="M998" s="38">
        <f>COUNTIF(퀘스트!B:B,표1[[#This Row],[명칭]])</f>
        <v>0</v>
      </c>
      <c r="N998" s="65">
        <f>COUNTIF([1]VillageDiscoveryGroup!$C:$C,표1[[#This Row],[명칭]])</f>
        <v>0</v>
      </c>
      <c r="O998" s="65">
        <f>SUM(표1[[#This Row],[해양탐색]:[마을탐험]])</f>
        <v>4</v>
      </c>
    </row>
    <row r="999" spans="2:15" ht="13.5" customHeight="1" x14ac:dyDescent="0.3">
      <c r="B999" s="9">
        <f>[1]Discovery!A1005</f>
        <v>70409076</v>
      </c>
      <c r="C999" s="9" t="str">
        <f>[1]Discovery!B1005</f>
        <v>네줄벤자리</v>
      </c>
      <c r="D999" s="9" t="str">
        <f>[1]Discovery!E1005</f>
        <v>동물</v>
      </c>
      <c r="E999" s="9" t="str">
        <f>[1]Discovery!C1005</f>
        <v>어류</v>
      </c>
      <c r="F999" s="9" t="str">
        <f>[1]Discovery!G1005</f>
        <v>B</v>
      </c>
      <c r="G999" s="9" t="str">
        <f>IFERROR(VLOOKUP(표1[[#This Row],[명칭]],'문화권 정리'!C:D,2,FALSE),"-")</f>
        <v>어류</v>
      </c>
      <c r="H999" s="38" t="str">
        <f>IFERROR(COUNTIF([2]OceanDoodad!$Y:$Y,표1[[#This Row],[명칭]]),"-")</f>
        <v>-</v>
      </c>
      <c r="I999" s="38">
        <f>IFERROR(COUNTIF([1]AdventureDiscoveryGroup!$D$8:$AW$92,표1[[#This Row],[명칭]]),"-")</f>
        <v>0</v>
      </c>
      <c r="J999" s="38">
        <f>IFERROR(COUNTIF([1]FishDiscoveryGroup!$A:$X,표1[[#This Row],[명칭]]),"-")</f>
        <v>4</v>
      </c>
      <c r="K999" s="38" t="str">
        <f>IFERROR(COUNTIF([2]Town!$B:$B,표1[[#This Row],[명칭]]),"-")</f>
        <v>-</v>
      </c>
      <c r="L999" s="38">
        <f>IFERROR(COUNTIF([1]Village!$BR:$BR,표1[[#This Row],[명칭]]),"-")</f>
        <v>0</v>
      </c>
      <c r="M999" s="38">
        <f>COUNTIF(퀘스트!B:B,표1[[#This Row],[명칭]])</f>
        <v>0</v>
      </c>
      <c r="N999" s="65">
        <f>COUNTIF([1]VillageDiscoveryGroup!$C:$C,표1[[#This Row],[명칭]])</f>
        <v>0</v>
      </c>
      <c r="O999" s="65">
        <f>SUM(표1[[#This Row],[해양탐색]:[마을탐험]])</f>
        <v>4</v>
      </c>
    </row>
    <row r="1000" spans="2:15" ht="13.5" customHeight="1" x14ac:dyDescent="0.3">
      <c r="B1000" s="9">
        <f>[1]Discovery!A1006</f>
        <v>70409077</v>
      </c>
      <c r="C1000" s="9" t="str">
        <f>[1]Discovery!B1006</f>
        <v>노랑가오리</v>
      </c>
      <c r="D1000" s="9" t="str">
        <f>[1]Discovery!E1006</f>
        <v>동물</v>
      </c>
      <c r="E1000" s="9" t="str">
        <f>[1]Discovery!C1006</f>
        <v>어류</v>
      </c>
      <c r="F1000" s="9" t="str">
        <f>[1]Discovery!G1006</f>
        <v>D</v>
      </c>
      <c r="G1000" s="9" t="str">
        <f>IFERROR(VLOOKUP(표1[[#This Row],[명칭]],'문화권 정리'!C:D,2,FALSE),"-")</f>
        <v>어류</v>
      </c>
      <c r="H1000" s="38" t="str">
        <f>IFERROR(COUNTIF([2]OceanDoodad!$Y:$Y,표1[[#This Row],[명칭]]),"-")</f>
        <v>-</v>
      </c>
      <c r="I1000" s="38">
        <f>IFERROR(COUNTIF([1]AdventureDiscoveryGroup!$D$8:$AW$92,표1[[#This Row],[명칭]]),"-")</f>
        <v>0</v>
      </c>
      <c r="J1000" s="38">
        <f>IFERROR(COUNTIF([1]FishDiscoveryGroup!$A:$X,표1[[#This Row],[명칭]]),"-")</f>
        <v>0</v>
      </c>
      <c r="K1000" s="38" t="str">
        <f>IFERROR(COUNTIF([2]Town!$B:$B,표1[[#This Row],[명칭]]),"-")</f>
        <v>-</v>
      </c>
      <c r="L1000" s="38">
        <f>IFERROR(COUNTIF([1]Village!$BR:$BR,표1[[#This Row],[명칭]]),"-")</f>
        <v>0</v>
      </c>
      <c r="M1000" s="38">
        <f>COUNTIF(퀘스트!B:B,표1[[#This Row],[명칭]])</f>
        <v>0</v>
      </c>
      <c r="N1000" s="65">
        <f>COUNTIF([1]VillageDiscoveryGroup!$C:$C,표1[[#This Row],[명칭]])</f>
        <v>0</v>
      </c>
      <c r="O1000" s="65">
        <f>SUM(표1[[#This Row],[해양탐색]:[마을탐험]])</f>
        <v>0</v>
      </c>
    </row>
    <row r="1001" spans="2:15" ht="13.5" customHeight="1" x14ac:dyDescent="0.3">
      <c r="B1001" s="9">
        <f>[1]Discovery!A1007</f>
        <v>70409078</v>
      </c>
      <c r="C1001" s="9" t="str">
        <f>[1]Discovery!B1007</f>
        <v>노랑거북복</v>
      </c>
      <c r="D1001" s="9" t="str">
        <f>[1]Discovery!E1007</f>
        <v>동물</v>
      </c>
      <c r="E1001" s="9" t="str">
        <f>[1]Discovery!C1007</f>
        <v>어류</v>
      </c>
      <c r="F1001" s="9" t="str">
        <f>[1]Discovery!G1007</f>
        <v>B</v>
      </c>
      <c r="G1001" s="9" t="str">
        <f>IFERROR(VLOOKUP(표1[[#This Row],[명칭]],'문화권 정리'!C:D,2,FALSE),"-")</f>
        <v>어류</v>
      </c>
      <c r="H1001" s="38" t="str">
        <f>IFERROR(COUNTIF([2]OceanDoodad!$Y:$Y,표1[[#This Row],[명칭]]),"-")</f>
        <v>-</v>
      </c>
      <c r="I1001" s="38">
        <f>IFERROR(COUNTIF([1]AdventureDiscoveryGroup!$D$8:$AW$92,표1[[#This Row],[명칭]]),"-")</f>
        <v>0</v>
      </c>
      <c r="J1001" s="38">
        <f>IFERROR(COUNTIF([1]FishDiscoveryGroup!$A:$X,표1[[#This Row],[명칭]]),"-")</f>
        <v>0</v>
      </c>
      <c r="K1001" s="38" t="str">
        <f>IFERROR(COUNTIF([2]Town!$B:$B,표1[[#This Row],[명칭]]),"-")</f>
        <v>-</v>
      </c>
      <c r="L1001" s="38">
        <f>IFERROR(COUNTIF([1]Village!$BR:$BR,표1[[#This Row],[명칭]]),"-")</f>
        <v>0</v>
      </c>
      <c r="M1001" s="38">
        <f>COUNTIF(퀘스트!B:B,표1[[#This Row],[명칭]])</f>
        <v>0</v>
      </c>
      <c r="N1001" s="65">
        <f>COUNTIF([1]VillageDiscoveryGroup!$C:$C,표1[[#This Row],[명칭]])</f>
        <v>0</v>
      </c>
      <c r="O1001" s="65">
        <f>SUM(표1[[#This Row],[해양탐색]:[마을탐험]])</f>
        <v>0</v>
      </c>
    </row>
    <row r="1002" spans="2:15" ht="13.5" customHeight="1" x14ac:dyDescent="0.3">
      <c r="B1002" s="9">
        <f>[1]Discovery!A1008</f>
        <v>70409079</v>
      </c>
      <c r="C1002" s="9" t="str">
        <f>[1]Discovery!B1008</f>
        <v>노랑자리돔</v>
      </c>
      <c r="D1002" s="9" t="str">
        <f>[1]Discovery!E1008</f>
        <v>동물</v>
      </c>
      <c r="E1002" s="9" t="str">
        <f>[1]Discovery!C1008</f>
        <v>어류</v>
      </c>
      <c r="F1002" s="9" t="str">
        <f>[1]Discovery!G1008</f>
        <v>A</v>
      </c>
      <c r="G1002" s="9" t="str">
        <f>IFERROR(VLOOKUP(표1[[#This Row],[명칭]],'문화권 정리'!C:D,2,FALSE),"-")</f>
        <v>어류</v>
      </c>
      <c r="H1002" s="38" t="str">
        <f>IFERROR(COUNTIF([2]OceanDoodad!$Y:$Y,표1[[#This Row],[명칭]]),"-")</f>
        <v>-</v>
      </c>
      <c r="I1002" s="38">
        <f>IFERROR(COUNTIF([1]AdventureDiscoveryGroup!$D$8:$AW$92,표1[[#This Row],[명칭]]),"-")</f>
        <v>0</v>
      </c>
      <c r="J1002" s="38">
        <f>IFERROR(COUNTIF([1]FishDiscoveryGroup!$A:$X,표1[[#This Row],[명칭]]),"-")</f>
        <v>4</v>
      </c>
      <c r="K1002" s="38" t="str">
        <f>IFERROR(COUNTIF([2]Town!$B:$B,표1[[#This Row],[명칭]]),"-")</f>
        <v>-</v>
      </c>
      <c r="L1002" s="38">
        <f>IFERROR(COUNTIF([1]Village!$BR:$BR,표1[[#This Row],[명칭]]),"-")</f>
        <v>0</v>
      </c>
      <c r="M1002" s="38">
        <f>COUNTIF(퀘스트!B:B,표1[[#This Row],[명칭]])</f>
        <v>0</v>
      </c>
      <c r="N1002" s="65">
        <f>COUNTIF([1]VillageDiscoveryGroup!$C:$C,표1[[#This Row],[명칭]])</f>
        <v>0</v>
      </c>
      <c r="O1002" s="65">
        <f>SUM(표1[[#This Row],[해양탐색]:[마을탐험]])</f>
        <v>4</v>
      </c>
    </row>
    <row r="1003" spans="2:15" ht="13.5" customHeight="1" x14ac:dyDescent="0.3">
      <c r="B1003" s="9">
        <f>[1]Discovery!A1009</f>
        <v>70409080</v>
      </c>
      <c r="C1003" s="9" t="str">
        <f>[1]Discovery!B1009</f>
        <v>노랑점무늬유전갱이</v>
      </c>
      <c r="D1003" s="9" t="str">
        <f>[1]Discovery!E1009</f>
        <v>동물</v>
      </c>
      <c r="E1003" s="9" t="str">
        <f>[1]Discovery!C1009</f>
        <v>어류</v>
      </c>
      <c r="F1003" s="9" t="str">
        <f>[1]Discovery!G1009</f>
        <v>B</v>
      </c>
      <c r="G1003" s="9" t="str">
        <f>IFERROR(VLOOKUP(표1[[#This Row],[명칭]],'문화권 정리'!C:D,2,FALSE),"-")</f>
        <v>어류</v>
      </c>
      <c r="H1003" s="38" t="str">
        <f>IFERROR(COUNTIF([2]OceanDoodad!$Y:$Y,표1[[#This Row],[명칭]]),"-")</f>
        <v>-</v>
      </c>
      <c r="I1003" s="38">
        <f>IFERROR(COUNTIF([1]AdventureDiscoveryGroup!$D$8:$AW$92,표1[[#This Row],[명칭]]),"-")</f>
        <v>0</v>
      </c>
      <c r="J1003" s="38">
        <f>IFERROR(COUNTIF([1]FishDiscoveryGroup!$A:$X,표1[[#This Row],[명칭]]),"-")</f>
        <v>0</v>
      </c>
      <c r="K1003" s="38" t="str">
        <f>IFERROR(COUNTIF([2]Town!$B:$B,표1[[#This Row],[명칭]]),"-")</f>
        <v>-</v>
      </c>
      <c r="L1003" s="38">
        <f>IFERROR(COUNTIF([1]Village!$BR:$BR,표1[[#This Row],[명칭]]),"-")</f>
        <v>0</v>
      </c>
      <c r="M1003" s="38">
        <f>COUNTIF(퀘스트!B:B,표1[[#This Row],[명칭]])</f>
        <v>0</v>
      </c>
      <c r="N1003" s="65">
        <f>COUNTIF([1]VillageDiscoveryGroup!$C:$C,표1[[#This Row],[명칭]])</f>
        <v>0</v>
      </c>
      <c r="O1003" s="65">
        <f>SUM(표1[[#This Row],[해양탐색]:[마을탐험]])</f>
        <v>0</v>
      </c>
    </row>
    <row r="1004" spans="2:15" ht="13.5" customHeight="1" x14ac:dyDescent="0.3">
      <c r="B1004" s="9">
        <f>[1]Discovery!A1010</f>
        <v>70409081</v>
      </c>
      <c r="C1004" s="9" t="str">
        <f>[1]Discovery!B1010</f>
        <v>노랑줄돔</v>
      </c>
      <c r="D1004" s="9" t="str">
        <f>[1]Discovery!E1010</f>
        <v>동물</v>
      </c>
      <c r="E1004" s="9" t="str">
        <f>[1]Discovery!C1010</f>
        <v>어류</v>
      </c>
      <c r="F1004" s="9" t="str">
        <f>[1]Discovery!G1010</f>
        <v>B</v>
      </c>
      <c r="G1004" s="9" t="str">
        <f>IFERROR(VLOOKUP(표1[[#This Row],[명칭]],'문화권 정리'!C:D,2,FALSE),"-")</f>
        <v>어류</v>
      </c>
      <c r="H1004" s="38" t="str">
        <f>IFERROR(COUNTIF([2]OceanDoodad!$Y:$Y,표1[[#This Row],[명칭]]),"-")</f>
        <v>-</v>
      </c>
      <c r="I1004" s="38">
        <f>IFERROR(COUNTIF([1]AdventureDiscoveryGroup!$D$8:$AW$92,표1[[#This Row],[명칭]]),"-")</f>
        <v>0</v>
      </c>
      <c r="J1004" s="38">
        <f>IFERROR(COUNTIF([1]FishDiscoveryGroup!$A:$X,표1[[#This Row],[명칭]]),"-")</f>
        <v>0</v>
      </c>
      <c r="K1004" s="38" t="str">
        <f>IFERROR(COUNTIF([2]Town!$B:$B,표1[[#This Row],[명칭]]),"-")</f>
        <v>-</v>
      </c>
      <c r="L1004" s="38">
        <f>IFERROR(COUNTIF([1]Village!$BR:$BR,표1[[#This Row],[명칭]]),"-")</f>
        <v>0</v>
      </c>
      <c r="M1004" s="38">
        <f>COUNTIF(퀘스트!B:B,표1[[#This Row],[명칭]])</f>
        <v>0</v>
      </c>
      <c r="N1004" s="65">
        <f>COUNTIF([1]VillageDiscoveryGroup!$C:$C,표1[[#This Row],[명칭]])</f>
        <v>0</v>
      </c>
      <c r="O1004" s="65">
        <f>SUM(표1[[#This Row],[해양탐색]:[마을탐험]])</f>
        <v>0</v>
      </c>
    </row>
    <row r="1005" spans="2:15" ht="13.5" customHeight="1" x14ac:dyDescent="0.3">
      <c r="B1005" s="9">
        <f>[1]Discovery!A1011</f>
        <v>70409082</v>
      </c>
      <c r="C1005" s="9" t="str">
        <f>[1]Discovery!B1011</f>
        <v>노랑촉수</v>
      </c>
      <c r="D1005" s="9" t="str">
        <f>[1]Discovery!E1011</f>
        <v>동물</v>
      </c>
      <c r="E1005" s="9" t="str">
        <f>[1]Discovery!C1011</f>
        <v>어류</v>
      </c>
      <c r="F1005" s="9" t="str">
        <f>[1]Discovery!G1011</f>
        <v>B</v>
      </c>
      <c r="G1005" s="9" t="str">
        <f>IFERROR(VLOOKUP(표1[[#This Row],[명칭]],'문화권 정리'!C:D,2,FALSE),"-")</f>
        <v>어류</v>
      </c>
      <c r="H1005" s="38" t="str">
        <f>IFERROR(COUNTIF([2]OceanDoodad!$Y:$Y,표1[[#This Row],[명칭]]),"-")</f>
        <v>-</v>
      </c>
      <c r="I1005" s="38">
        <f>IFERROR(COUNTIF([1]AdventureDiscoveryGroup!$D$8:$AW$92,표1[[#This Row],[명칭]]),"-")</f>
        <v>0</v>
      </c>
      <c r="J1005" s="38">
        <f>IFERROR(COUNTIF([1]FishDiscoveryGroup!$A:$X,표1[[#This Row],[명칭]]),"-")</f>
        <v>4</v>
      </c>
      <c r="K1005" s="38" t="str">
        <f>IFERROR(COUNTIF([2]Town!$B:$B,표1[[#This Row],[명칭]]),"-")</f>
        <v>-</v>
      </c>
      <c r="L1005" s="38">
        <f>IFERROR(COUNTIF([1]Village!$BR:$BR,표1[[#This Row],[명칭]]),"-")</f>
        <v>0</v>
      </c>
      <c r="M1005" s="38">
        <f>COUNTIF(퀘스트!B:B,표1[[#This Row],[명칭]])</f>
        <v>0</v>
      </c>
      <c r="N1005" s="65">
        <f>COUNTIF([1]VillageDiscoveryGroup!$C:$C,표1[[#This Row],[명칭]])</f>
        <v>0</v>
      </c>
      <c r="O1005" s="65">
        <f>SUM(표1[[#This Row],[해양탐색]:[마을탐험]])</f>
        <v>4</v>
      </c>
    </row>
    <row r="1006" spans="2:15" ht="13.5" customHeight="1" x14ac:dyDescent="0.3">
      <c r="B1006" s="9">
        <f>[1]Discovery!A1012</f>
        <v>70409083</v>
      </c>
      <c r="C1006" s="9" t="str">
        <f>[1]Discovery!B1012</f>
        <v>녹새치</v>
      </c>
      <c r="D1006" s="9" t="str">
        <f>[1]Discovery!E1012</f>
        <v>동물</v>
      </c>
      <c r="E1006" s="9" t="str">
        <f>[1]Discovery!C1012</f>
        <v>어류</v>
      </c>
      <c r="F1006" s="9" t="str">
        <f>[1]Discovery!G1012</f>
        <v>S</v>
      </c>
      <c r="G1006" s="9" t="str">
        <f>IFERROR(VLOOKUP(표1[[#This Row],[명칭]],'문화권 정리'!C:D,2,FALSE),"-")</f>
        <v>어류</v>
      </c>
      <c r="H1006" s="38" t="str">
        <f>IFERROR(COUNTIF([2]OceanDoodad!$Y:$Y,표1[[#This Row],[명칭]]),"-")</f>
        <v>-</v>
      </c>
      <c r="I1006" s="38">
        <f>IFERROR(COUNTIF([1]AdventureDiscoveryGroup!$D$8:$AW$92,표1[[#This Row],[명칭]]),"-")</f>
        <v>0</v>
      </c>
      <c r="J1006" s="38">
        <f>IFERROR(COUNTIF([1]FishDiscoveryGroup!$A:$X,표1[[#This Row],[명칭]]),"-")</f>
        <v>1</v>
      </c>
      <c r="K1006" s="38" t="str">
        <f>IFERROR(COUNTIF([2]Town!$B:$B,표1[[#This Row],[명칭]]),"-")</f>
        <v>-</v>
      </c>
      <c r="L1006" s="38">
        <f>IFERROR(COUNTIF([1]Village!$BR:$BR,표1[[#This Row],[명칭]]),"-")</f>
        <v>0</v>
      </c>
      <c r="M1006" s="38">
        <f>COUNTIF(퀘스트!B:B,표1[[#This Row],[명칭]])</f>
        <v>1</v>
      </c>
      <c r="N1006" s="65">
        <f>COUNTIF([1]VillageDiscoveryGroup!$C:$C,표1[[#This Row],[명칭]])</f>
        <v>0</v>
      </c>
      <c r="O1006" s="65">
        <f>SUM(표1[[#This Row],[해양탐색]:[마을탐험]])</f>
        <v>2</v>
      </c>
    </row>
    <row r="1007" spans="2:15" ht="13.5" customHeight="1" x14ac:dyDescent="0.3">
      <c r="B1007" s="9">
        <f>[1]Discovery!A1013</f>
        <v>70409084</v>
      </c>
      <c r="C1007" s="9" t="str">
        <f>[1]Discovery!B1013</f>
        <v>녹색물결놀래기</v>
      </c>
      <c r="D1007" s="9" t="str">
        <f>[1]Discovery!E1013</f>
        <v>동물</v>
      </c>
      <c r="E1007" s="9" t="str">
        <f>[1]Discovery!C1013</f>
        <v>어류</v>
      </c>
      <c r="F1007" s="9" t="str">
        <f>[1]Discovery!G1013</f>
        <v>A</v>
      </c>
      <c r="G1007" s="9" t="str">
        <f>IFERROR(VLOOKUP(표1[[#This Row],[명칭]],'문화권 정리'!C:D,2,FALSE),"-")</f>
        <v>어류</v>
      </c>
      <c r="H1007" s="38" t="str">
        <f>IFERROR(COUNTIF([2]OceanDoodad!$Y:$Y,표1[[#This Row],[명칭]]),"-")</f>
        <v>-</v>
      </c>
      <c r="I1007" s="38">
        <f>IFERROR(COUNTIF([1]AdventureDiscoveryGroup!$D$8:$AW$92,표1[[#This Row],[명칭]]),"-")</f>
        <v>0</v>
      </c>
      <c r="J1007" s="38">
        <f>IFERROR(COUNTIF([1]FishDiscoveryGroup!$A:$X,표1[[#This Row],[명칭]]),"-")</f>
        <v>4</v>
      </c>
      <c r="K1007" s="38" t="str">
        <f>IFERROR(COUNTIF([2]Town!$B:$B,표1[[#This Row],[명칭]]),"-")</f>
        <v>-</v>
      </c>
      <c r="L1007" s="38">
        <f>IFERROR(COUNTIF([1]Village!$BR:$BR,표1[[#This Row],[명칭]]),"-")</f>
        <v>0</v>
      </c>
      <c r="M1007" s="38">
        <f>COUNTIF(퀘스트!B:B,표1[[#This Row],[명칭]])</f>
        <v>0</v>
      </c>
      <c r="N1007" s="65">
        <f>COUNTIF([1]VillageDiscoveryGroup!$C:$C,표1[[#This Row],[명칭]])</f>
        <v>0</v>
      </c>
      <c r="O1007" s="65">
        <f>SUM(표1[[#This Row],[해양탐색]:[마을탐험]])</f>
        <v>4</v>
      </c>
    </row>
    <row r="1008" spans="2:15" ht="13.5" customHeight="1" x14ac:dyDescent="0.3">
      <c r="B1008" s="9">
        <f>[1]Discovery!A1014</f>
        <v>70409085</v>
      </c>
      <c r="C1008" s="9" t="str">
        <f>[1]Discovery!B1014</f>
        <v>녹줄돔</v>
      </c>
      <c r="D1008" s="9" t="str">
        <f>[1]Discovery!E1014</f>
        <v>동물</v>
      </c>
      <c r="E1008" s="9" t="str">
        <f>[1]Discovery!C1014</f>
        <v>어류</v>
      </c>
      <c r="F1008" s="9" t="str">
        <f>[1]Discovery!G1014</f>
        <v>D</v>
      </c>
      <c r="G1008" s="9" t="str">
        <f>IFERROR(VLOOKUP(표1[[#This Row],[명칭]],'문화권 정리'!C:D,2,FALSE),"-")</f>
        <v>어류</v>
      </c>
      <c r="H1008" s="38" t="str">
        <f>IFERROR(COUNTIF([2]OceanDoodad!$Y:$Y,표1[[#This Row],[명칭]]),"-")</f>
        <v>-</v>
      </c>
      <c r="I1008" s="38">
        <f>IFERROR(COUNTIF([1]AdventureDiscoveryGroup!$D$8:$AW$92,표1[[#This Row],[명칭]]),"-")</f>
        <v>0</v>
      </c>
      <c r="J1008" s="38">
        <f>IFERROR(COUNTIF([1]FishDiscoveryGroup!$A:$X,표1[[#This Row],[명칭]]),"-")</f>
        <v>0</v>
      </c>
      <c r="K1008" s="38" t="str">
        <f>IFERROR(COUNTIF([2]Town!$B:$B,표1[[#This Row],[명칭]]),"-")</f>
        <v>-</v>
      </c>
      <c r="L1008" s="38">
        <f>IFERROR(COUNTIF([1]Village!$BR:$BR,표1[[#This Row],[명칭]]),"-")</f>
        <v>0</v>
      </c>
      <c r="M1008" s="38">
        <f>COUNTIF(퀘스트!B:B,표1[[#This Row],[명칭]])</f>
        <v>0</v>
      </c>
      <c r="N1008" s="65">
        <f>COUNTIF([1]VillageDiscoveryGroup!$C:$C,표1[[#This Row],[명칭]])</f>
        <v>0</v>
      </c>
      <c r="O1008" s="65">
        <f>SUM(표1[[#This Row],[해양탐색]:[마을탐험]])</f>
        <v>0</v>
      </c>
    </row>
    <row r="1009" spans="2:15" ht="13.5" customHeight="1" x14ac:dyDescent="0.3">
      <c r="B1009" s="9">
        <f>[1]Discovery!A1015</f>
        <v>70409086</v>
      </c>
      <c r="C1009" s="9" t="str">
        <f>[1]Discovery!B1015</f>
        <v>놀락감펭</v>
      </c>
      <c r="D1009" s="9" t="str">
        <f>[1]Discovery!E1015</f>
        <v>동물</v>
      </c>
      <c r="E1009" s="9" t="str">
        <f>[1]Discovery!C1015</f>
        <v>어류</v>
      </c>
      <c r="F1009" s="9" t="str">
        <f>[1]Discovery!G1015</f>
        <v>A</v>
      </c>
      <c r="G1009" s="9" t="str">
        <f>IFERROR(VLOOKUP(표1[[#This Row],[명칭]],'문화권 정리'!C:D,2,FALSE),"-")</f>
        <v>어류</v>
      </c>
      <c r="H1009" s="38" t="str">
        <f>IFERROR(COUNTIF([2]OceanDoodad!$Y:$Y,표1[[#This Row],[명칭]]),"-")</f>
        <v>-</v>
      </c>
      <c r="I1009" s="38">
        <f>IFERROR(COUNTIF([1]AdventureDiscoveryGroup!$D$8:$AW$92,표1[[#This Row],[명칭]]),"-")</f>
        <v>0</v>
      </c>
      <c r="J1009" s="38">
        <f>IFERROR(COUNTIF([1]FishDiscoveryGroup!$A:$X,표1[[#This Row],[명칭]]),"-")</f>
        <v>4</v>
      </c>
      <c r="K1009" s="38" t="str">
        <f>IFERROR(COUNTIF([2]Town!$B:$B,표1[[#This Row],[명칭]]),"-")</f>
        <v>-</v>
      </c>
      <c r="L1009" s="38">
        <f>IFERROR(COUNTIF([1]Village!$BR:$BR,표1[[#This Row],[명칭]]),"-")</f>
        <v>0</v>
      </c>
      <c r="M1009" s="38">
        <f>COUNTIF(퀘스트!B:B,표1[[#This Row],[명칭]])</f>
        <v>0</v>
      </c>
      <c r="N1009" s="65">
        <f>COUNTIF([1]VillageDiscoveryGroup!$C:$C,표1[[#This Row],[명칭]])</f>
        <v>0</v>
      </c>
      <c r="O1009" s="65">
        <f>SUM(표1[[#This Row],[해양탐색]:[마을탐험]])</f>
        <v>4</v>
      </c>
    </row>
    <row r="1010" spans="2:15" ht="13.5" customHeight="1" x14ac:dyDescent="0.3">
      <c r="B1010" s="9">
        <f>[1]Discovery!A1016</f>
        <v>70409087</v>
      </c>
      <c r="C1010" s="9" t="str">
        <f>[1]Discovery!B1016</f>
        <v>놀락민태</v>
      </c>
      <c r="D1010" s="9" t="str">
        <f>[1]Discovery!E1016</f>
        <v>동물</v>
      </c>
      <c r="E1010" s="9" t="str">
        <f>[1]Discovery!C1016</f>
        <v>어류</v>
      </c>
      <c r="F1010" s="9" t="str">
        <f>[1]Discovery!G1016</f>
        <v>C</v>
      </c>
      <c r="G1010" s="9" t="str">
        <f>IFERROR(VLOOKUP(표1[[#This Row],[명칭]],'문화권 정리'!C:D,2,FALSE),"-")</f>
        <v>어류</v>
      </c>
      <c r="H1010" s="38" t="str">
        <f>IFERROR(COUNTIF([2]OceanDoodad!$Y:$Y,표1[[#This Row],[명칭]]),"-")</f>
        <v>-</v>
      </c>
      <c r="I1010" s="38">
        <f>IFERROR(COUNTIF([1]AdventureDiscoveryGroup!$D$8:$AW$92,표1[[#This Row],[명칭]]),"-")</f>
        <v>0</v>
      </c>
      <c r="J1010" s="38">
        <f>IFERROR(COUNTIF([1]FishDiscoveryGroup!$A:$X,표1[[#This Row],[명칭]]),"-")</f>
        <v>4</v>
      </c>
      <c r="K1010" s="38" t="str">
        <f>IFERROR(COUNTIF([2]Town!$B:$B,표1[[#This Row],[명칭]]),"-")</f>
        <v>-</v>
      </c>
      <c r="L1010" s="38">
        <f>IFERROR(COUNTIF([1]Village!$BR:$BR,표1[[#This Row],[명칭]]),"-")</f>
        <v>0</v>
      </c>
      <c r="M1010" s="38">
        <f>COUNTIF(퀘스트!B:B,표1[[#This Row],[명칭]])</f>
        <v>0</v>
      </c>
      <c r="N1010" s="65">
        <f>COUNTIF([1]VillageDiscoveryGroup!$C:$C,표1[[#This Row],[명칭]])</f>
        <v>0</v>
      </c>
      <c r="O1010" s="65">
        <f>SUM(표1[[#This Row],[해양탐색]:[마을탐험]])</f>
        <v>4</v>
      </c>
    </row>
    <row r="1011" spans="2:15" ht="13.5" customHeight="1" x14ac:dyDescent="0.3">
      <c r="B1011" s="9">
        <f>[1]Discovery!A1017</f>
        <v>70409088</v>
      </c>
      <c r="C1011" s="9" t="str">
        <f>[1]Discovery!B1017</f>
        <v>농어</v>
      </c>
      <c r="D1011" s="9" t="str">
        <f>[1]Discovery!E1017</f>
        <v>동물</v>
      </c>
      <c r="E1011" s="9" t="str">
        <f>[1]Discovery!C1017</f>
        <v>어류</v>
      </c>
      <c r="F1011" s="9" t="str">
        <f>[1]Discovery!G1017</f>
        <v>C</v>
      </c>
      <c r="G1011" s="9" t="str">
        <f>IFERROR(VLOOKUP(표1[[#This Row],[명칭]],'문화권 정리'!C:D,2,FALSE),"-")</f>
        <v>어류</v>
      </c>
      <c r="H1011" s="38" t="str">
        <f>IFERROR(COUNTIF([2]OceanDoodad!$Y:$Y,표1[[#This Row],[명칭]]),"-")</f>
        <v>-</v>
      </c>
      <c r="I1011" s="38">
        <f>IFERROR(COUNTIF([1]AdventureDiscoveryGroup!$D$8:$AW$92,표1[[#This Row],[명칭]]),"-")</f>
        <v>0</v>
      </c>
      <c r="J1011" s="38">
        <f>IFERROR(COUNTIF([1]FishDiscoveryGroup!$A:$X,표1[[#This Row],[명칭]]),"-")</f>
        <v>4</v>
      </c>
      <c r="K1011" s="38" t="str">
        <f>IFERROR(COUNTIF([2]Town!$B:$B,표1[[#This Row],[명칭]]),"-")</f>
        <v>-</v>
      </c>
      <c r="L1011" s="38">
        <f>IFERROR(COUNTIF([1]Village!$BR:$BR,표1[[#This Row],[명칭]]),"-")</f>
        <v>0</v>
      </c>
      <c r="M1011" s="38">
        <f>COUNTIF(퀘스트!B:B,표1[[#This Row],[명칭]])</f>
        <v>0</v>
      </c>
      <c r="N1011" s="65">
        <f>COUNTIF([1]VillageDiscoveryGroup!$C:$C,표1[[#This Row],[명칭]])</f>
        <v>0</v>
      </c>
      <c r="O1011" s="65">
        <f>SUM(표1[[#This Row],[해양탐색]:[마을탐험]])</f>
        <v>4</v>
      </c>
    </row>
    <row r="1012" spans="2:15" ht="13.5" customHeight="1" x14ac:dyDescent="0.3">
      <c r="B1012" s="9">
        <f>[1]Discovery!A1018</f>
        <v>70409089</v>
      </c>
      <c r="C1012" s="9" t="str">
        <f>[1]Discovery!B1018</f>
        <v>눈다랑어</v>
      </c>
      <c r="D1012" s="9" t="str">
        <f>[1]Discovery!E1018</f>
        <v>동물</v>
      </c>
      <c r="E1012" s="9" t="str">
        <f>[1]Discovery!C1018</f>
        <v>어류</v>
      </c>
      <c r="F1012" s="9" t="str">
        <f>[1]Discovery!G1018</f>
        <v>B</v>
      </c>
      <c r="G1012" s="9" t="str">
        <f>IFERROR(VLOOKUP(표1[[#This Row],[명칭]],'문화권 정리'!C:D,2,FALSE),"-")</f>
        <v>어류</v>
      </c>
      <c r="H1012" s="38" t="str">
        <f>IFERROR(COUNTIF([2]OceanDoodad!$Y:$Y,표1[[#This Row],[명칭]]),"-")</f>
        <v>-</v>
      </c>
      <c r="I1012" s="38">
        <f>IFERROR(COUNTIF([1]AdventureDiscoveryGroup!$D$8:$AW$92,표1[[#This Row],[명칭]]),"-")</f>
        <v>0</v>
      </c>
      <c r="J1012" s="38">
        <f>IFERROR(COUNTIF([1]FishDiscoveryGroup!$A:$X,표1[[#This Row],[명칭]]),"-")</f>
        <v>4</v>
      </c>
      <c r="K1012" s="38" t="str">
        <f>IFERROR(COUNTIF([2]Town!$B:$B,표1[[#This Row],[명칭]]),"-")</f>
        <v>-</v>
      </c>
      <c r="L1012" s="38">
        <f>IFERROR(COUNTIF([1]Village!$BR:$BR,표1[[#This Row],[명칭]]),"-")</f>
        <v>0</v>
      </c>
      <c r="M1012" s="38">
        <f>COUNTIF(퀘스트!B:B,표1[[#This Row],[명칭]])</f>
        <v>0</v>
      </c>
      <c r="N1012" s="65">
        <f>COUNTIF([1]VillageDiscoveryGroup!$C:$C,표1[[#This Row],[명칭]])</f>
        <v>0</v>
      </c>
      <c r="O1012" s="65">
        <f>SUM(표1[[#This Row],[해양탐색]:[마을탐험]])</f>
        <v>4</v>
      </c>
    </row>
    <row r="1013" spans="2:15" ht="13.5" customHeight="1" x14ac:dyDescent="0.3">
      <c r="B1013" s="9">
        <f>[1]Discovery!A1019</f>
        <v>70409090</v>
      </c>
      <c r="C1013" s="9" t="str">
        <f>[1]Discovery!B1019</f>
        <v>눈볼대</v>
      </c>
      <c r="D1013" s="9" t="str">
        <f>[1]Discovery!E1019</f>
        <v>동물</v>
      </c>
      <c r="E1013" s="9" t="str">
        <f>[1]Discovery!C1019</f>
        <v>어류</v>
      </c>
      <c r="F1013" s="9" t="str">
        <f>[1]Discovery!G1019</f>
        <v>S</v>
      </c>
      <c r="G1013" s="9" t="str">
        <f>IFERROR(VLOOKUP(표1[[#This Row],[명칭]],'문화권 정리'!C:D,2,FALSE),"-")</f>
        <v>어류</v>
      </c>
      <c r="H1013" s="38" t="str">
        <f>IFERROR(COUNTIF([2]OceanDoodad!$Y:$Y,표1[[#This Row],[명칭]]),"-")</f>
        <v>-</v>
      </c>
      <c r="I1013" s="38">
        <f>IFERROR(COUNTIF([1]AdventureDiscoveryGroup!$D$8:$AW$92,표1[[#This Row],[명칭]]),"-")</f>
        <v>0</v>
      </c>
      <c r="J1013" s="38">
        <f>IFERROR(COUNTIF([1]FishDiscoveryGroup!$A:$X,표1[[#This Row],[명칭]]),"-")</f>
        <v>4</v>
      </c>
      <c r="K1013" s="38" t="str">
        <f>IFERROR(COUNTIF([2]Town!$B:$B,표1[[#This Row],[명칭]]),"-")</f>
        <v>-</v>
      </c>
      <c r="L1013" s="38">
        <f>IFERROR(COUNTIF([1]Village!$BR:$BR,표1[[#This Row],[명칭]]),"-")</f>
        <v>0</v>
      </c>
      <c r="M1013" s="38">
        <f>COUNTIF(퀘스트!B:B,표1[[#This Row],[명칭]])</f>
        <v>0</v>
      </c>
      <c r="N1013" s="65">
        <f>COUNTIF([1]VillageDiscoveryGroup!$C:$C,표1[[#This Row],[명칭]])</f>
        <v>0</v>
      </c>
      <c r="O1013" s="65">
        <f>SUM(표1[[#This Row],[해양탐색]:[마을탐험]])</f>
        <v>4</v>
      </c>
    </row>
    <row r="1014" spans="2:15" ht="13.5" customHeight="1" x14ac:dyDescent="0.3">
      <c r="B1014" s="9">
        <f>[1]Discovery!A1020</f>
        <v>70409091</v>
      </c>
      <c r="C1014" s="9" t="str">
        <f>[1]Discovery!B1020</f>
        <v>눈불개복</v>
      </c>
      <c r="D1014" s="9" t="str">
        <f>[1]Discovery!E1020</f>
        <v>동물</v>
      </c>
      <c r="E1014" s="9" t="str">
        <f>[1]Discovery!C1020</f>
        <v>어류</v>
      </c>
      <c r="F1014" s="9" t="str">
        <f>[1]Discovery!G1020</f>
        <v>B</v>
      </c>
      <c r="G1014" s="9" t="str">
        <f>IFERROR(VLOOKUP(표1[[#This Row],[명칭]],'문화권 정리'!C:D,2,FALSE),"-")</f>
        <v>어류</v>
      </c>
      <c r="H1014" s="38" t="str">
        <f>IFERROR(COUNTIF([2]OceanDoodad!$Y:$Y,표1[[#This Row],[명칭]]),"-")</f>
        <v>-</v>
      </c>
      <c r="I1014" s="38">
        <f>IFERROR(COUNTIF([1]AdventureDiscoveryGroup!$D$8:$AW$92,표1[[#This Row],[명칭]]),"-")</f>
        <v>0</v>
      </c>
      <c r="J1014" s="38">
        <f>IFERROR(COUNTIF([1]FishDiscoveryGroup!$A:$X,표1[[#This Row],[명칭]]),"-")</f>
        <v>4</v>
      </c>
      <c r="K1014" s="38" t="str">
        <f>IFERROR(COUNTIF([2]Town!$B:$B,표1[[#This Row],[명칭]]),"-")</f>
        <v>-</v>
      </c>
      <c r="L1014" s="38">
        <f>IFERROR(COUNTIF([1]Village!$BR:$BR,표1[[#This Row],[명칭]]),"-")</f>
        <v>0</v>
      </c>
      <c r="M1014" s="38">
        <f>COUNTIF(퀘스트!B:B,표1[[#This Row],[명칭]])</f>
        <v>0</v>
      </c>
      <c r="N1014" s="65">
        <f>COUNTIF([1]VillageDiscoveryGroup!$C:$C,표1[[#This Row],[명칭]])</f>
        <v>0</v>
      </c>
      <c r="O1014" s="65">
        <f>SUM(표1[[#This Row],[해양탐색]:[마을탐험]])</f>
        <v>4</v>
      </c>
    </row>
    <row r="1015" spans="2:15" ht="13.5" customHeight="1" x14ac:dyDescent="0.3">
      <c r="B1015" s="9">
        <f>[1]Discovery!A1021</f>
        <v>70409092</v>
      </c>
      <c r="C1015" s="9" t="str">
        <f>[1]Discovery!B1021</f>
        <v>눈양태</v>
      </c>
      <c r="D1015" s="9" t="str">
        <f>[1]Discovery!E1021</f>
        <v>동물</v>
      </c>
      <c r="E1015" s="9" t="str">
        <f>[1]Discovery!C1021</f>
        <v>어류</v>
      </c>
      <c r="F1015" s="9" t="str">
        <f>[1]Discovery!G1021</f>
        <v>A</v>
      </c>
      <c r="G1015" s="9" t="str">
        <f>IFERROR(VLOOKUP(표1[[#This Row],[명칭]],'문화권 정리'!C:D,2,FALSE),"-")</f>
        <v>어류</v>
      </c>
      <c r="H1015" s="38" t="str">
        <f>IFERROR(COUNTIF([2]OceanDoodad!$Y:$Y,표1[[#This Row],[명칭]]),"-")</f>
        <v>-</v>
      </c>
      <c r="I1015" s="38">
        <f>IFERROR(COUNTIF([1]AdventureDiscoveryGroup!$D$8:$AW$92,표1[[#This Row],[명칭]]),"-")</f>
        <v>0</v>
      </c>
      <c r="J1015" s="38">
        <f>IFERROR(COUNTIF([1]FishDiscoveryGroup!$A:$X,표1[[#This Row],[명칭]]),"-")</f>
        <v>4</v>
      </c>
      <c r="K1015" s="38" t="str">
        <f>IFERROR(COUNTIF([2]Town!$B:$B,표1[[#This Row],[명칭]]),"-")</f>
        <v>-</v>
      </c>
      <c r="L1015" s="38">
        <f>IFERROR(COUNTIF([1]Village!$BR:$BR,표1[[#This Row],[명칭]]),"-")</f>
        <v>0</v>
      </c>
      <c r="M1015" s="38">
        <f>COUNTIF(퀘스트!B:B,표1[[#This Row],[명칭]])</f>
        <v>0</v>
      </c>
      <c r="N1015" s="65">
        <f>COUNTIF([1]VillageDiscoveryGroup!$C:$C,표1[[#This Row],[명칭]])</f>
        <v>0</v>
      </c>
      <c r="O1015" s="65">
        <f>SUM(표1[[#This Row],[해양탐색]:[마을탐험]])</f>
        <v>4</v>
      </c>
    </row>
    <row r="1016" spans="2:15" ht="13.5" customHeight="1" x14ac:dyDescent="0.3">
      <c r="B1016" s="9">
        <f>[1]Discovery!A1022</f>
        <v>70409093</v>
      </c>
      <c r="C1016" s="9" t="str">
        <f>[1]Discovery!B1022</f>
        <v>눈퉁군평선</v>
      </c>
      <c r="D1016" s="9" t="str">
        <f>[1]Discovery!E1022</f>
        <v>동물</v>
      </c>
      <c r="E1016" s="9" t="str">
        <f>[1]Discovery!C1022</f>
        <v>어류</v>
      </c>
      <c r="F1016" s="9" t="str">
        <f>[1]Discovery!G1022</f>
        <v>A</v>
      </c>
      <c r="G1016" s="9" t="str">
        <f>IFERROR(VLOOKUP(표1[[#This Row],[명칭]],'문화권 정리'!C:D,2,FALSE),"-")</f>
        <v>어류</v>
      </c>
      <c r="H1016" s="38" t="str">
        <f>IFERROR(COUNTIF([2]OceanDoodad!$Y:$Y,표1[[#This Row],[명칭]]),"-")</f>
        <v>-</v>
      </c>
      <c r="I1016" s="38">
        <f>IFERROR(COUNTIF([1]AdventureDiscoveryGroup!$D$8:$AW$92,표1[[#This Row],[명칭]]),"-")</f>
        <v>0</v>
      </c>
      <c r="J1016" s="38">
        <f>IFERROR(COUNTIF([1]FishDiscoveryGroup!$A:$X,표1[[#This Row],[명칭]]),"-")</f>
        <v>4</v>
      </c>
      <c r="K1016" s="38" t="str">
        <f>IFERROR(COUNTIF([2]Town!$B:$B,표1[[#This Row],[명칭]]),"-")</f>
        <v>-</v>
      </c>
      <c r="L1016" s="38">
        <f>IFERROR(COUNTIF([1]Village!$BR:$BR,표1[[#This Row],[명칭]]),"-")</f>
        <v>0</v>
      </c>
      <c r="M1016" s="38">
        <f>COUNTIF(퀘스트!B:B,표1[[#This Row],[명칭]])</f>
        <v>0</v>
      </c>
      <c r="N1016" s="65">
        <f>COUNTIF([1]VillageDiscoveryGroup!$C:$C,표1[[#This Row],[명칭]])</f>
        <v>0</v>
      </c>
      <c r="O1016" s="65">
        <f>SUM(표1[[#This Row],[해양탐색]:[마을탐험]])</f>
        <v>4</v>
      </c>
    </row>
    <row r="1017" spans="2:15" ht="13.5" customHeight="1" x14ac:dyDescent="0.3">
      <c r="B1017" s="9">
        <f>[1]Discovery!A1023</f>
        <v>70409094</v>
      </c>
      <c r="C1017" s="9" t="str">
        <f>[1]Discovery!B1023</f>
        <v>눈퉁멸</v>
      </c>
      <c r="D1017" s="9" t="str">
        <f>[1]Discovery!E1023</f>
        <v>동물</v>
      </c>
      <c r="E1017" s="9" t="str">
        <f>[1]Discovery!C1023</f>
        <v>어류</v>
      </c>
      <c r="F1017" s="9" t="str">
        <f>[1]Discovery!G1023</f>
        <v>B</v>
      </c>
      <c r="G1017" s="9" t="str">
        <f>IFERROR(VLOOKUP(표1[[#This Row],[명칭]],'문화권 정리'!C:D,2,FALSE),"-")</f>
        <v>어류</v>
      </c>
      <c r="H1017" s="38" t="str">
        <f>IFERROR(COUNTIF([2]OceanDoodad!$Y:$Y,표1[[#This Row],[명칭]]),"-")</f>
        <v>-</v>
      </c>
      <c r="I1017" s="38">
        <f>IFERROR(COUNTIF([1]AdventureDiscoveryGroup!$D$8:$AW$92,표1[[#This Row],[명칭]]),"-")</f>
        <v>0</v>
      </c>
      <c r="J1017" s="38">
        <f>IFERROR(COUNTIF([1]FishDiscoveryGroup!$A:$X,표1[[#This Row],[명칭]]),"-")</f>
        <v>4</v>
      </c>
      <c r="K1017" s="38" t="str">
        <f>IFERROR(COUNTIF([2]Town!$B:$B,표1[[#This Row],[명칭]]),"-")</f>
        <v>-</v>
      </c>
      <c r="L1017" s="38">
        <f>IFERROR(COUNTIF([1]Village!$BR:$BR,표1[[#This Row],[명칭]]),"-")</f>
        <v>0</v>
      </c>
      <c r="M1017" s="38">
        <f>COUNTIF(퀘스트!B:B,표1[[#This Row],[명칭]])</f>
        <v>0</v>
      </c>
      <c r="N1017" s="65">
        <f>COUNTIF([1]VillageDiscoveryGroup!$C:$C,표1[[#This Row],[명칭]])</f>
        <v>0</v>
      </c>
      <c r="O1017" s="65">
        <f>SUM(표1[[#This Row],[해양탐색]:[마을탐험]])</f>
        <v>4</v>
      </c>
    </row>
    <row r="1018" spans="2:15" ht="13.5" customHeight="1" x14ac:dyDescent="0.3">
      <c r="B1018" s="9">
        <f>[1]Discovery!A1024</f>
        <v>70409095</v>
      </c>
      <c r="C1018" s="9" t="str">
        <f>[1]Discovery!B1024</f>
        <v>다금바리</v>
      </c>
      <c r="D1018" s="9" t="str">
        <f>[1]Discovery!E1024</f>
        <v>동물</v>
      </c>
      <c r="E1018" s="9" t="str">
        <f>[1]Discovery!C1024</f>
        <v>어류</v>
      </c>
      <c r="F1018" s="9" t="str">
        <f>[1]Discovery!G1024</f>
        <v>S</v>
      </c>
      <c r="G1018" s="9" t="str">
        <f>IFERROR(VLOOKUP(표1[[#This Row],[명칭]],'문화권 정리'!C:D,2,FALSE),"-")</f>
        <v>어류</v>
      </c>
      <c r="H1018" s="38" t="str">
        <f>IFERROR(COUNTIF([2]OceanDoodad!$Y:$Y,표1[[#This Row],[명칭]]),"-")</f>
        <v>-</v>
      </c>
      <c r="I1018" s="38">
        <f>IFERROR(COUNTIF([1]AdventureDiscoveryGroup!$D$8:$AW$92,표1[[#This Row],[명칭]]),"-")</f>
        <v>0</v>
      </c>
      <c r="J1018" s="38">
        <f>IFERROR(COUNTIF([1]FishDiscoveryGroup!$A:$X,표1[[#This Row],[명칭]]),"-")</f>
        <v>4</v>
      </c>
      <c r="K1018" s="38" t="str">
        <f>IFERROR(COUNTIF([2]Town!$B:$B,표1[[#This Row],[명칭]]),"-")</f>
        <v>-</v>
      </c>
      <c r="L1018" s="38">
        <f>IFERROR(COUNTIF([1]Village!$BR:$BR,표1[[#This Row],[명칭]]),"-")</f>
        <v>0</v>
      </c>
      <c r="M1018" s="38">
        <f>COUNTIF(퀘스트!B:B,표1[[#This Row],[명칭]])</f>
        <v>0</v>
      </c>
      <c r="N1018" s="65">
        <f>COUNTIF([1]VillageDiscoveryGroup!$C:$C,표1[[#This Row],[명칭]])</f>
        <v>0</v>
      </c>
      <c r="O1018" s="65">
        <f>SUM(표1[[#This Row],[해양탐색]:[마을탐험]])</f>
        <v>4</v>
      </c>
    </row>
    <row r="1019" spans="2:15" ht="13.5" customHeight="1" x14ac:dyDescent="0.3">
      <c r="B1019" s="9">
        <f>[1]Discovery!A1025</f>
        <v>70409096</v>
      </c>
      <c r="C1019" s="9" t="str">
        <f>[1]Discovery!B1025</f>
        <v>단기임연수어</v>
      </c>
      <c r="D1019" s="9" t="str">
        <f>[1]Discovery!E1025</f>
        <v>동물</v>
      </c>
      <c r="E1019" s="9" t="str">
        <f>[1]Discovery!C1025</f>
        <v>어류</v>
      </c>
      <c r="F1019" s="9" t="str">
        <f>[1]Discovery!G1025</f>
        <v>B</v>
      </c>
      <c r="G1019" s="9" t="str">
        <f>IFERROR(VLOOKUP(표1[[#This Row],[명칭]],'문화권 정리'!C:D,2,FALSE),"-")</f>
        <v>어류</v>
      </c>
      <c r="H1019" s="38" t="str">
        <f>IFERROR(COUNTIF([2]OceanDoodad!$Y:$Y,표1[[#This Row],[명칭]]),"-")</f>
        <v>-</v>
      </c>
      <c r="I1019" s="38">
        <f>IFERROR(COUNTIF([1]AdventureDiscoveryGroup!$D$8:$AW$92,표1[[#This Row],[명칭]]),"-")</f>
        <v>0</v>
      </c>
      <c r="J1019" s="38">
        <f>IFERROR(COUNTIF([1]FishDiscoveryGroup!$A:$X,표1[[#This Row],[명칭]]),"-")</f>
        <v>4</v>
      </c>
      <c r="K1019" s="38" t="str">
        <f>IFERROR(COUNTIF([2]Town!$B:$B,표1[[#This Row],[명칭]]),"-")</f>
        <v>-</v>
      </c>
      <c r="L1019" s="38">
        <f>IFERROR(COUNTIF([1]Village!$BR:$BR,표1[[#This Row],[명칭]]),"-")</f>
        <v>0</v>
      </c>
      <c r="M1019" s="38">
        <f>COUNTIF(퀘스트!B:B,표1[[#This Row],[명칭]])</f>
        <v>0</v>
      </c>
      <c r="N1019" s="65">
        <f>COUNTIF([1]VillageDiscoveryGroup!$C:$C,표1[[#This Row],[명칭]])</f>
        <v>0</v>
      </c>
      <c r="O1019" s="65">
        <f>SUM(표1[[#This Row],[해양탐색]:[마을탐험]])</f>
        <v>4</v>
      </c>
    </row>
    <row r="1020" spans="2:15" ht="13.5" customHeight="1" x14ac:dyDescent="0.3">
      <c r="B1020" s="9">
        <f>[1]Discovery!A1026</f>
        <v>70409097</v>
      </c>
      <c r="C1020" s="9" t="str">
        <f>[1]Discovery!B1026</f>
        <v>달고기</v>
      </c>
      <c r="D1020" s="9" t="str">
        <f>[1]Discovery!E1026</f>
        <v>동물</v>
      </c>
      <c r="E1020" s="9" t="str">
        <f>[1]Discovery!C1026</f>
        <v>어류</v>
      </c>
      <c r="F1020" s="9" t="str">
        <f>[1]Discovery!G1026</f>
        <v>S</v>
      </c>
      <c r="G1020" s="9" t="str">
        <f>IFERROR(VLOOKUP(표1[[#This Row],[명칭]],'문화권 정리'!C:D,2,FALSE),"-")</f>
        <v>어류</v>
      </c>
      <c r="H1020" s="38" t="str">
        <f>IFERROR(COUNTIF([2]OceanDoodad!$Y:$Y,표1[[#This Row],[명칭]]),"-")</f>
        <v>-</v>
      </c>
      <c r="I1020" s="38">
        <f>IFERROR(COUNTIF([1]AdventureDiscoveryGroup!$D$8:$AW$92,표1[[#This Row],[명칭]]),"-")</f>
        <v>0</v>
      </c>
      <c r="J1020" s="38">
        <f>IFERROR(COUNTIF([1]FishDiscoveryGroup!$A:$X,표1[[#This Row],[명칭]]),"-")</f>
        <v>4</v>
      </c>
      <c r="K1020" s="38" t="str">
        <f>IFERROR(COUNTIF([2]Town!$B:$B,표1[[#This Row],[명칭]]),"-")</f>
        <v>-</v>
      </c>
      <c r="L1020" s="38">
        <f>IFERROR(COUNTIF([1]Village!$BR:$BR,표1[[#This Row],[명칭]]),"-")</f>
        <v>0</v>
      </c>
      <c r="M1020" s="38">
        <f>COUNTIF(퀘스트!B:B,표1[[#This Row],[명칭]])</f>
        <v>0</v>
      </c>
      <c r="N1020" s="65">
        <f>COUNTIF([1]VillageDiscoveryGroup!$C:$C,표1[[#This Row],[명칭]])</f>
        <v>0</v>
      </c>
      <c r="O1020" s="65">
        <f>SUM(표1[[#This Row],[해양탐색]:[마을탐험]])</f>
        <v>4</v>
      </c>
    </row>
    <row r="1021" spans="2:15" ht="13.5" customHeight="1" x14ac:dyDescent="0.3">
      <c r="B1021" s="9">
        <f>[1]Discovery!A1027</f>
        <v>70409098</v>
      </c>
      <c r="C1021" s="9" t="str">
        <f>[1]Discovery!B1027</f>
        <v>당멸치</v>
      </c>
      <c r="D1021" s="9" t="str">
        <f>[1]Discovery!E1027</f>
        <v>동물</v>
      </c>
      <c r="E1021" s="9" t="str">
        <f>[1]Discovery!C1027</f>
        <v>어류</v>
      </c>
      <c r="F1021" s="9" t="str">
        <f>[1]Discovery!G1027</f>
        <v>B</v>
      </c>
      <c r="G1021" s="9" t="str">
        <f>IFERROR(VLOOKUP(표1[[#This Row],[명칭]],'문화권 정리'!C:D,2,FALSE),"-")</f>
        <v>어류</v>
      </c>
      <c r="H1021" s="38" t="str">
        <f>IFERROR(COUNTIF([2]OceanDoodad!$Y:$Y,표1[[#This Row],[명칭]]),"-")</f>
        <v>-</v>
      </c>
      <c r="I1021" s="38">
        <f>IFERROR(COUNTIF([1]AdventureDiscoveryGroup!$D$8:$AW$92,표1[[#This Row],[명칭]]),"-")</f>
        <v>0</v>
      </c>
      <c r="J1021" s="38">
        <f>IFERROR(COUNTIF([1]FishDiscoveryGroup!$A:$X,표1[[#This Row],[명칭]]),"-")</f>
        <v>0</v>
      </c>
      <c r="K1021" s="38" t="str">
        <f>IFERROR(COUNTIF([2]Town!$B:$B,표1[[#This Row],[명칭]]),"-")</f>
        <v>-</v>
      </c>
      <c r="L1021" s="38">
        <f>IFERROR(COUNTIF([1]Village!$BR:$BR,표1[[#This Row],[명칭]]),"-")</f>
        <v>0</v>
      </c>
      <c r="M1021" s="38">
        <f>COUNTIF(퀘스트!B:B,표1[[#This Row],[명칭]])</f>
        <v>0</v>
      </c>
      <c r="N1021" s="65">
        <f>COUNTIF([1]VillageDiscoveryGroup!$C:$C,표1[[#This Row],[명칭]])</f>
        <v>0</v>
      </c>
      <c r="O1021" s="65">
        <f>SUM(표1[[#This Row],[해양탐색]:[마을탐험]])</f>
        <v>0</v>
      </c>
    </row>
    <row r="1022" spans="2:15" ht="13.5" customHeight="1" x14ac:dyDescent="0.3">
      <c r="B1022" s="9">
        <f>[1]Discovery!A1028</f>
        <v>70409099</v>
      </c>
      <c r="C1022" s="9" t="str">
        <f>[1]Discovery!B1028</f>
        <v>대구</v>
      </c>
      <c r="D1022" s="9" t="str">
        <f>[1]Discovery!E1028</f>
        <v>동물</v>
      </c>
      <c r="E1022" s="9" t="str">
        <f>[1]Discovery!C1028</f>
        <v>어류</v>
      </c>
      <c r="F1022" s="9" t="str">
        <f>[1]Discovery!G1028</f>
        <v>B</v>
      </c>
      <c r="G1022" s="9" t="str">
        <f>IFERROR(VLOOKUP(표1[[#This Row],[명칭]],'문화권 정리'!C:D,2,FALSE),"-")</f>
        <v>어류</v>
      </c>
      <c r="H1022" s="38" t="str">
        <f>IFERROR(COUNTIF([2]OceanDoodad!$Y:$Y,표1[[#This Row],[명칭]]),"-")</f>
        <v>-</v>
      </c>
      <c r="I1022" s="38">
        <f>IFERROR(COUNTIF([1]AdventureDiscoveryGroup!$D$8:$AW$92,표1[[#This Row],[명칭]]),"-")</f>
        <v>0</v>
      </c>
      <c r="J1022" s="38">
        <f>IFERROR(COUNTIF([1]FishDiscoveryGroup!$A:$X,표1[[#This Row],[명칭]]),"-")</f>
        <v>4</v>
      </c>
      <c r="K1022" s="38" t="str">
        <f>IFERROR(COUNTIF([2]Town!$B:$B,표1[[#This Row],[명칭]]),"-")</f>
        <v>-</v>
      </c>
      <c r="L1022" s="38">
        <f>IFERROR(COUNTIF([1]Village!$BR:$BR,표1[[#This Row],[명칭]]),"-")</f>
        <v>0</v>
      </c>
      <c r="M1022" s="38">
        <f>COUNTIF(퀘스트!B:B,표1[[#This Row],[명칭]])</f>
        <v>0</v>
      </c>
      <c r="N1022" s="65">
        <f>COUNTIF([1]VillageDiscoveryGroup!$C:$C,표1[[#This Row],[명칭]])</f>
        <v>0</v>
      </c>
      <c r="O1022" s="65">
        <f>SUM(표1[[#This Row],[해양탐색]:[마을탐험]])</f>
        <v>4</v>
      </c>
    </row>
    <row r="1023" spans="2:15" ht="13.5" customHeight="1" x14ac:dyDescent="0.3">
      <c r="B1023" s="9">
        <f>[1]Discovery!A1029</f>
        <v>70409100</v>
      </c>
      <c r="C1023" s="9" t="str">
        <f>[1]Discovery!B1029</f>
        <v>대빨판이</v>
      </c>
      <c r="D1023" s="9" t="str">
        <f>[1]Discovery!E1029</f>
        <v>동물</v>
      </c>
      <c r="E1023" s="9" t="str">
        <f>[1]Discovery!C1029</f>
        <v>어류</v>
      </c>
      <c r="F1023" s="9" t="str">
        <f>[1]Discovery!G1029</f>
        <v>C</v>
      </c>
      <c r="G1023" s="9" t="str">
        <f>IFERROR(VLOOKUP(표1[[#This Row],[명칭]],'문화권 정리'!C:D,2,FALSE),"-")</f>
        <v>어류</v>
      </c>
      <c r="H1023" s="38" t="str">
        <f>IFERROR(COUNTIF([2]OceanDoodad!$Y:$Y,표1[[#This Row],[명칭]]),"-")</f>
        <v>-</v>
      </c>
      <c r="I1023" s="38">
        <f>IFERROR(COUNTIF([1]AdventureDiscoveryGroup!$D$8:$AW$92,표1[[#This Row],[명칭]]),"-")</f>
        <v>0</v>
      </c>
      <c r="J1023" s="38">
        <f>IFERROR(COUNTIF([1]FishDiscoveryGroup!$A:$X,표1[[#This Row],[명칭]]),"-")</f>
        <v>4</v>
      </c>
      <c r="K1023" s="38" t="str">
        <f>IFERROR(COUNTIF([2]Town!$B:$B,표1[[#This Row],[명칭]]),"-")</f>
        <v>-</v>
      </c>
      <c r="L1023" s="38">
        <f>IFERROR(COUNTIF([1]Village!$BR:$BR,표1[[#This Row],[명칭]]),"-")</f>
        <v>0</v>
      </c>
      <c r="M1023" s="38">
        <f>COUNTIF(퀘스트!B:B,표1[[#This Row],[명칭]])</f>
        <v>0</v>
      </c>
      <c r="N1023" s="65">
        <f>COUNTIF([1]VillageDiscoveryGroup!$C:$C,표1[[#This Row],[명칭]])</f>
        <v>0</v>
      </c>
      <c r="O1023" s="65">
        <f>SUM(표1[[#This Row],[해양탐색]:[마을탐험]])</f>
        <v>4</v>
      </c>
    </row>
    <row r="1024" spans="2:15" ht="13.5" customHeight="1" x14ac:dyDescent="0.3">
      <c r="B1024" s="9">
        <f>[1]Discovery!A1030</f>
        <v>70409101</v>
      </c>
      <c r="C1024" s="9" t="str">
        <f>[1]Discovery!B1030</f>
        <v>대왕오징어</v>
      </c>
      <c r="D1024" s="9" t="str">
        <f>[1]Discovery!E1030</f>
        <v>동물</v>
      </c>
      <c r="E1024" s="9" t="str">
        <f>[1]Discovery!C1030</f>
        <v>무척추동물</v>
      </c>
      <c r="F1024" s="9" t="str">
        <f>[1]Discovery!G1030</f>
        <v>S</v>
      </c>
      <c r="G1024" s="9" t="str">
        <f>IFERROR(VLOOKUP(표1[[#This Row],[명칭]],'문화권 정리'!C:D,2,FALSE),"-")</f>
        <v>어류</v>
      </c>
      <c r="H1024" s="38" t="str">
        <f>IFERROR(COUNTIF([2]OceanDoodad!$Y:$Y,표1[[#This Row],[명칭]]),"-")</f>
        <v>-</v>
      </c>
      <c r="I1024" s="38">
        <f>IFERROR(COUNTIF([1]AdventureDiscoveryGroup!$D$8:$AW$92,표1[[#This Row],[명칭]]),"-")</f>
        <v>0</v>
      </c>
      <c r="J1024" s="38">
        <f>IFERROR(COUNTIF([1]FishDiscoveryGroup!$A:$X,표1[[#This Row],[명칭]]),"-")</f>
        <v>1</v>
      </c>
      <c r="K1024" s="38" t="str">
        <f>IFERROR(COUNTIF([2]Town!$B:$B,표1[[#This Row],[명칭]]),"-")</f>
        <v>-</v>
      </c>
      <c r="L1024" s="38">
        <f>IFERROR(COUNTIF([1]Village!$BR:$BR,표1[[#This Row],[명칭]]),"-")</f>
        <v>0</v>
      </c>
      <c r="M1024" s="38">
        <f>COUNTIF(퀘스트!B:B,표1[[#This Row],[명칭]])</f>
        <v>1</v>
      </c>
      <c r="N1024" s="65">
        <f>COUNTIF([1]VillageDiscoveryGroup!$C:$C,표1[[#This Row],[명칭]])</f>
        <v>0</v>
      </c>
      <c r="O1024" s="65">
        <f>SUM(표1[[#This Row],[해양탐색]:[마을탐험]])</f>
        <v>2</v>
      </c>
    </row>
    <row r="1025" spans="2:15" ht="13.5" customHeight="1" x14ac:dyDescent="0.3">
      <c r="B1025" s="9">
        <f>[1]Discovery!A1031</f>
        <v>70409102</v>
      </c>
      <c r="C1025" s="9" t="str">
        <f>[1]Discovery!B1031</f>
        <v>대전어</v>
      </c>
      <c r="D1025" s="9" t="str">
        <f>[1]Discovery!E1031</f>
        <v>동물</v>
      </c>
      <c r="E1025" s="9" t="str">
        <f>[1]Discovery!C1031</f>
        <v>어류</v>
      </c>
      <c r="F1025" s="9" t="str">
        <f>[1]Discovery!G1031</f>
        <v>B</v>
      </c>
      <c r="G1025" s="9" t="str">
        <f>IFERROR(VLOOKUP(표1[[#This Row],[명칭]],'문화권 정리'!C:D,2,FALSE),"-")</f>
        <v>어류</v>
      </c>
      <c r="H1025" s="38" t="str">
        <f>IFERROR(COUNTIF([2]OceanDoodad!$Y:$Y,표1[[#This Row],[명칭]]),"-")</f>
        <v>-</v>
      </c>
      <c r="I1025" s="38">
        <f>IFERROR(COUNTIF([1]AdventureDiscoveryGroup!$D$8:$AW$92,표1[[#This Row],[명칭]]),"-")</f>
        <v>0</v>
      </c>
      <c r="J1025" s="38">
        <f>IFERROR(COUNTIF([1]FishDiscoveryGroup!$A:$X,표1[[#This Row],[명칭]]),"-")</f>
        <v>4</v>
      </c>
      <c r="K1025" s="38" t="str">
        <f>IFERROR(COUNTIF([2]Town!$B:$B,표1[[#This Row],[명칭]]),"-")</f>
        <v>-</v>
      </c>
      <c r="L1025" s="38">
        <f>IFERROR(COUNTIF([1]Village!$BR:$BR,표1[[#This Row],[명칭]]),"-")</f>
        <v>0</v>
      </c>
      <c r="M1025" s="38">
        <f>COUNTIF(퀘스트!B:B,표1[[#This Row],[명칭]])</f>
        <v>0</v>
      </c>
      <c r="N1025" s="65">
        <f>COUNTIF([1]VillageDiscoveryGroup!$C:$C,표1[[#This Row],[명칭]])</f>
        <v>0</v>
      </c>
      <c r="O1025" s="65">
        <f>SUM(표1[[#This Row],[해양탐색]:[마을탐험]])</f>
        <v>4</v>
      </c>
    </row>
    <row r="1026" spans="2:15" ht="13.5" customHeight="1" x14ac:dyDescent="0.3">
      <c r="B1026" s="9">
        <f>[1]Discovery!A1032</f>
        <v>70409103</v>
      </c>
      <c r="C1026" s="9" t="str">
        <f>[1]Discovery!B1032</f>
        <v>대주둥치</v>
      </c>
      <c r="D1026" s="9" t="str">
        <f>[1]Discovery!E1032</f>
        <v>동물</v>
      </c>
      <c r="E1026" s="9" t="str">
        <f>[1]Discovery!C1032</f>
        <v>어류</v>
      </c>
      <c r="F1026" s="9" t="str">
        <f>[1]Discovery!G1032</f>
        <v>B</v>
      </c>
      <c r="G1026" s="9" t="str">
        <f>IFERROR(VLOOKUP(표1[[#This Row],[명칭]],'문화권 정리'!C:D,2,FALSE),"-")</f>
        <v>어류</v>
      </c>
      <c r="H1026" s="38" t="str">
        <f>IFERROR(COUNTIF([2]OceanDoodad!$Y:$Y,표1[[#This Row],[명칭]]),"-")</f>
        <v>-</v>
      </c>
      <c r="I1026" s="38">
        <f>IFERROR(COUNTIF([1]AdventureDiscoveryGroup!$D$8:$AW$92,표1[[#This Row],[명칭]]),"-")</f>
        <v>0</v>
      </c>
      <c r="J1026" s="38">
        <f>IFERROR(COUNTIF([1]FishDiscoveryGroup!$A:$X,표1[[#This Row],[명칭]]),"-")</f>
        <v>4</v>
      </c>
      <c r="K1026" s="38" t="str">
        <f>IFERROR(COUNTIF([2]Town!$B:$B,표1[[#This Row],[명칭]]),"-")</f>
        <v>-</v>
      </c>
      <c r="L1026" s="38">
        <f>IFERROR(COUNTIF([1]Village!$BR:$BR,표1[[#This Row],[명칭]]),"-")</f>
        <v>0</v>
      </c>
      <c r="M1026" s="38">
        <f>COUNTIF(퀘스트!B:B,표1[[#This Row],[명칭]])</f>
        <v>0</v>
      </c>
      <c r="N1026" s="65">
        <f>COUNTIF([1]VillageDiscoveryGroup!$C:$C,표1[[#This Row],[명칭]])</f>
        <v>0</v>
      </c>
      <c r="O1026" s="65">
        <f>SUM(표1[[#This Row],[해양탐색]:[마을탐험]])</f>
        <v>4</v>
      </c>
    </row>
    <row r="1027" spans="2:15" ht="13.5" customHeight="1" x14ac:dyDescent="0.3">
      <c r="B1027" s="9">
        <f>[1]Discovery!A1033</f>
        <v>70409104</v>
      </c>
      <c r="C1027" s="9" t="str">
        <f>[1]Discovery!B1033</f>
        <v>도다리</v>
      </c>
      <c r="D1027" s="9" t="str">
        <f>[1]Discovery!E1033</f>
        <v>동물</v>
      </c>
      <c r="E1027" s="9" t="str">
        <f>[1]Discovery!C1033</f>
        <v>어류</v>
      </c>
      <c r="F1027" s="9" t="str">
        <f>[1]Discovery!G1033</f>
        <v>B</v>
      </c>
      <c r="G1027" s="9" t="str">
        <f>IFERROR(VLOOKUP(표1[[#This Row],[명칭]],'문화권 정리'!C:D,2,FALSE),"-")</f>
        <v>어류</v>
      </c>
      <c r="H1027" s="38" t="str">
        <f>IFERROR(COUNTIF([2]OceanDoodad!$Y:$Y,표1[[#This Row],[명칭]]),"-")</f>
        <v>-</v>
      </c>
      <c r="I1027" s="38">
        <f>IFERROR(COUNTIF([1]AdventureDiscoveryGroup!$D$8:$AW$92,표1[[#This Row],[명칭]]),"-")</f>
        <v>0</v>
      </c>
      <c r="J1027" s="38">
        <f>IFERROR(COUNTIF([1]FishDiscoveryGroup!$A:$X,표1[[#This Row],[명칭]]),"-")</f>
        <v>0</v>
      </c>
      <c r="K1027" s="38" t="str">
        <f>IFERROR(COUNTIF([2]Town!$B:$B,표1[[#This Row],[명칭]]),"-")</f>
        <v>-</v>
      </c>
      <c r="L1027" s="38">
        <f>IFERROR(COUNTIF([1]Village!$BR:$BR,표1[[#This Row],[명칭]]),"-")</f>
        <v>0</v>
      </c>
      <c r="M1027" s="38">
        <f>COUNTIF(퀘스트!B:B,표1[[#This Row],[명칭]])</f>
        <v>0</v>
      </c>
      <c r="N1027" s="65">
        <f>COUNTIF([1]VillageDiscoveryGroup!$C:$C,표1[[#This Row],[명칭]])</f>
        <v>0</v>
      </c>
      <c r="O1027" s="65">
        <f>SUM(표1[[#This Row],[해양탐색]:[마을탐험]])</f>
        <v>0</v>
      </c>
    </row>
    <row r="1028" spans="2:15" ht="13.5" customHeight="1" x14ac:dyDescent="0.3">
      <c r="B1028" s="9">
        <f>[1]Discovery!A1034</f>
        <v>70409105</v>
      </c>
      <c r="C1028" s="9" t="str">
        <f>[1]Discovery!B1034</f>
        <v>도도바리</v>
      </c>
      <c r="D1028" s="9" t="str">
        <f>[1]Discovery!E1034</f>
        <v>동물</v>
      </c>
      <c r="E1028" s="9" t="str">
        <f>[1]Discovery!C1034</f>
        <v>어류</v>
      </c>
      <c r="F1028" s="9" t="str">
        <f>[1]Discovery!G1034</f>
        <v>A</v>
      </c>
      <c r="G1028" s="9" t="str">
        <f>IFERROR(VLOOKUP(표1[[#This Row],[명칭]],'문화권 정리'!C:D,2,FALSE),"-")</f>
        <v>어류</v>
      </c>
      <c r="H1028" s="38" t="str">
        <f>IFERROR(COUNTIF([2]OceanDoodad!$Y:$Y,표1[[#This Row],[명칭]]),"-")</f>
        <v>-</v>
      </c>
      <c r="I1028" s="38">
        <f>IFERROR(COUNTIF([1]AdventureDiscoveryGroup!$D$8:$AW$92,표1[[#This Row],[명칭]]),"-")</f>
        <v>0</v>
      </c>
      <c r="J1028" s="38">
        <f>IFERROR(COUNTIF([1]FishDiscoveryGroup!$A:$X,표1[[#This Row],[명칭]]),"-")</f>
        <v>4</v>
      </c>
      <c r="K1028" s="38" t="str">
        <f>IFERROR(COUNTIF([2]Town!$B:$B,표1[[#This Row],[명칭]]),"-")</f>
        <v>-</v>
      </c>
      <c r="L1028" s="38">
        <f>IFERROR(COUNTIF([1]Village!$BR:$BR,표1[[#This Row],[명칭]]),"-")</f>
        <v>0</v>
      </c>
      <c r="M1028" s="38">
        <f>COUNTIF(퀘스트!B:B,표1[[#This Row],[명칭]])</f>
        <v>0</v>
      </c>
      <c r="N1028" s="65">
        <f>COUNTIF([1]VillageDiscoveryGroup!$C:$C,표1[[#This Row],[명칭]])</f>
        <v>0</v>
      </c>
      <c r="O1028" s="65">
        <f>SUM(표1[[#This Row],[해양탐색]:[마을탐험]])</f>
        <v>4</v>
      </c>
    </row>
    <row r="1029" spans="2:15" ht="13.5" customHeight="1" x14ac:dyDescent="0.3">
      <c r="B1029" s="9">
        <f>[1]Discovery!A1035</f>
        <v>70409106</v>
      </c>
      <c r="C1029" s="9" t="str">
        <f>[1]Discovery!B1035</f>
        <v>도라도</v>
      </c>
      <c r="D1029" s="9" t="str">
        <f>[1]Discovery!E1035</f>
        <v>동물</v>
      </c>
      <c r="E1029" s="9" t="str">
        <f>[1]Discovery!C1035</f>
        <v>어류</v>
      </c>
      <c r="F1029" s="9" t="str">
        <f>[1]Discovery!G1035</f>
        <v>A</v>
      </c>
      <c r="G1029" s="9" t="str">
        <f>IFERROR(VLOOKUP(표1[[#This Row],[명칭]],'문화권 정리'!C:D,2,FALSE),"-")</f>
        <v>어류</v>
      </c>
      <c r="H1029" s="38" t="str">
        <f>IFERROR(COUNTIF([2]OceanDoodad!$Y:$Y,표1[[#This Row],[명칭]]),"-")</f>
        <v>-</v>
      </c>
      <c r="I1029" s="38">
        <f>IFERROR(COUNTIF([1]AdventureDiscoveryGroup!$D$8:$AW$92,표1[[#This Row],[명칭]]),"-")</f>
        <v>0</v>
      </c>
      <c r="J1029" s="38">
        <f>IFERROR(COUNTIF([1]FishDiscoveryGroup!$A:$X,표1[[#This Row],[명칭]]),"-")</f>
        <v>4</v>
      </c>
      <c r="K1029" s="38" t="str">
        <f>IFERROR(COUNTIF([2]Town!$B:$B,표1[[#This Row],[명칭]]),"-")</f>
        <v>-</v>
      </c>
      <c r="L1029" s="38">
        <f>IFERROR(COUNTIF([1]Village!$BR:$BR,표1[[#This Row],[명칭]]),"-")</f>
        <v>0</v>
      </c>
      <c r="M1029" s="38">
        <f>COUNTIF(퀘스트!B:B,표1[[#This Row],[명칭]])</f>
        <v>0</v>
      </c>
      <c r="N1029" s="65">
        <f>COUNTIF([1]VillageDiscoveryGroup!$C:$C,표1[[#This Row],[명칭]])</f>
        <v>0</v>
      </c>
      <c r="O1029" s="65">
        <f>SUM(표1[[#This Row],[해양탐색]:[마을탐험]])</f>
        <v>4</v>
      </c>
    </row>
    <row r="1030" spans="2:15" ht="13.5" customHeight="1" x14ac:dyDescent="0.3">
      <c r="B1030" s="9">
        <f>[1]Discovery!A1036</f>
        <v>70409107</v>
      </c>
      <c r="C1030" s="9" t="str">
        <f>[1]Discovery!B1036</f>
        <v>도루묵</v>
      </c>
      <c r="D1030" s="9" t="str">
        <f>[1]Discovery!E1036</f>
        <v>동물</v>
      </c>
      <c r="E1030" s="9" t="str">
        <f>[1]Discovery!C1036</f>
        <v>어류</v>
      </c>
      <c r="F1030" s="9" t="str">
        <f>[1]Discovery!G1036</f>
        <v>B</v>
      </c>
      <c r="G1030" s="9" t="str">
        <f>IFERROR(VLOOKUP(표1[[#This Row],[명칭]],'문화권 정리'!C:D,2,FALSE),"-")</f>
        <v>어류</v>
      </c>
      <c r="H1030" s="38" t="str">
        <f>IFERROR(COUNTIF([2]OceanDoodad!$Y:$Y,표1[[#This Row],[명칭]]),"-")</f>
        <v>-</v>
      </c>
      <c r="I1030" s="38">
        <f>IFERROR(COUNTIF([1]AdventureDiscoveryGroup!$D$8:$AW$92,표1[[#This Row],[명칭]]),"-")</f>
        <v>0</v>
      </c>
      <c r="J1030" s="38">
        <f>IFERROR(COUNTIF([1]FishDiscoveryGroup!$A:$X,표1[[#This Row],[명칭]]),"-")</f>
        <v>4</v>
      </c>
      <c r="K1030" s="38" t="str">
        <f>IFERROR(COUNTIF([2]Town!$B:$B,표1[[#This Row],[명칭]]),"-")</f>
        <v>-</v>
      </c>
      <c r="L1030" s="38">
        <f>IFERROR(COUNTIF([1]Village!$BR:$BR,표1[[#This Row],[명칭]]),"-")</f>
        <v>0</v>
      </c>
      <c r="M1030" s="38">
        <f>COUNTIF(퀘스트!B:B,표1[[#This Row],[명칭]])</f>
        <v>0</v>
      </c>
      <c r="N1030" s="65">
        <f>COUNTIF([1]VillageDiscoveryGroup!$C:$C,표1[[#This Row],[명칭]])</f>
        <v>0</v>
      </c>
      <c r="O1030" s="65">
        <f>SUM(표1[[#This Row],[해양탐색]:[마을탐험]])</f>
        <v>4</v>
      </c>
    </row>
    <row r="1031" spans="2:15" ht="13.5" customHeight="1" x14ac:dyDescent="0.3">
      <c r="B1031" s="9">
        <f>[1]Discovery!A1037</f>
        <v>70409108</v>
      </c>
      <c r="C1031" s="9" t="str">
        <f>[1]Discovery!B1037</f>
        <v>도화돔</v>
      </c>
      <c r="D1031" s="9" t="str">
        <f>[1]Discovery!E1037</f>
        <v>동물</v>
      </c>
      <c r="E1031" s="9" t="str">
        <f>[1]Discovery!C1037</f>
        <v>어류</v>
      </c>
      <c r="F1031" s="9" t="str">
        <f>[1]Discovery!G1037</f>
        <v>A</v>
      </c>
      <c r="G1031" s="9" t="str">
        <f>IFERROR(VLOOKUP(표1[[#This Row],[명칭]],'문화권 정리'!C:D,2,FALSE),"-")</f>
        <v>어류</v>
      </c>
      <c r="H1031" s="38" t="str">
        <f>IFERROR(COUNTIF([2]OceanDoodad!$Y:$Y,표1[[#This Row],[명칭]]),"-")</f>
        <v>-</v>
      </c>
      <c r="I1031" s="38">
        <f>IFERROR(COUNTIF([1]AdventureDiscoveryGroup!$D$8:$AW$92,표1[[#This Row],[명칭]]),"-")</f>
        <v>0</v>
      </c>
      <c r="J1031" s="38">
        <f>IFERROR(COUNTIF([1]FishDiscoveryGroup!$A:$X,표1[[#This Row],[명칭]]),"-")</f>
        <v>4</v>
      </c>
      <c r="K1031" s="38" t="str">
        <f>IFERROR(COUNTIF([2]Town!$B:$B,표1[[#This Row],[명칭]]),"-")</f>
        <v>-</v>
      </c>
      <c r="L1031" s="38">
        <f>IFERROR(COUNTIF([1]Village!$BR:$BR,표1[[#This Row],[명칭]]),"-")</f>
        <v>0</v>
      </c>
      <c r="M1031" s="38">
        <f>COUNTIF(퀘스트!B:B,표1[[#This Row],[명칭]])</f>
        <v>0</v>
      </c>
      <c r="N1031" s="65">
        <f>COUNTIF([1]VillageDiscoveryGroup!$C:$C,표1[[#This Row],[명칭]])</f>
        <v>0</v>
      </c>
      <c r="O1031" s="65">
        <f>SUM(표1[[#This Row],[해양탐색]:[마을탐험]])</f>
        <v>4</v>
      </c>
    </row>
    <row r="1032" spans="2:15" ht="13.5" customHeight="1" x14ac:dyDescent="0.3">
      <c r="B1032" s="9">
        <f>[1]Discovery!A1038</f>
        <v>70409109</v>
      </c>
      <c r="C1032" s="9" t="str">
        <f>[1]Discovery!B1038</f>
        <v>도화새우</v>
      </c>
      <c r="D1032" s="9" t="str">
        <f>[1]Discovery!E1038</f>
        <v>동물</v>
      </c>
      <c r="E1032" s="9" t="str">
        <f>[1]Discovery!C1038</f>
        <v>무척추동물</v>
      </c>
      <c r="F1032" s="9" t="str">
        <f>[1]Discovery!G1038</f>
        <v>S</v>
      </c>
      <c r="G1032" s="9" t="str">
        <f>IFERROR(VLOOKUP(표1[[#This Row],[명칭]],'문화권 정리'!C:D,2,FALSE),"-")</f>
        <v>어류</v>
      </c>
      <c r="H1032" s="38" t="str">
        <f>IFERROR(COUNTIF([2]OceanDoodad!$Y:$Y,표1[[#This Row],[명칭]]),"-")</f>
        <v>-</v>
      </c>
      <c r="I1032" s="38">
        <f>IFERROR(COUNTIF([1]AdventureDiscoveryGroup!$D$8:$AW$92,표1[[#This Row],[명칭]]),"-")</f>
        <v>0</v>
      </c>
      <c r="J1032" s="38">
        <f>IFERROR(COUNTIF([1]FishDiscoveryGroup!$A:$X,표1[[#This Row],[명칭]]),"-")</f>
        <v>0</v>
      </c>
      <c r="K1032" s="38" t="str">
        <f>IFERROR(COUNTIF([2]Town!$B:$B,표1[[#This Row],[명칭]]),"-")</f>
        <v>-</v>
      </c>
      <c r="L1032" s="38">
        <f>IFERROR(COUNTIF([1]Village!$BR:$BR,표1[[#This Row],[명칭]]),"-")</f>
        <v>0</v>
      </c>
      <c r="M1032" s="38">
        <f>COUNTIF(퀘스트!B:B,표1[[#This Row],[명칭]])</f>
        <v>0</v>
      </c>
      <c r="N1032" s="65">
        <f>COUNTIF([1]VillageDiscoveryGroup!$C:$C,표1[[#This Row],[명칭]])</f>
        <v>0</v>
      </c>
      <c r="O1032" s="65">
        <f>SUM(표1[[#This Row],[해양탐색]:[마을탐험]])</f>
        <v>0</v>
      </c>
    </row>
    <row r="1033" spans="2:15" ht="13.5" customHeight="1" x14ac:dyDescent="0.3">
      <c r="B1033" s="9">
        <f>[1]Discovery!A1039</f>
        <v>70409110</v>
      </c>
      <c r="C1033" s="9" t="str">
        <f>[1]Discovery!B1039</f>
        <v>독가시치</v>
      </c>
      <c r="D1033" s="9" t="str">
        <f>[1]Discovery!E1039</f>
        <v>동물</v>
      </c>
      <c r="E1033" s="9" t="str">
        <f>[1]Discovery!C1039</f>
        <v>어류</v>
      </c>
      <c r="F1033" s="9" t="str">
        <f>[1]Discovery!G1039</f>
        <v>A</v>
      </c>
      <c r="G1033" s="9" t="str">
        <f>IFERROR(VLOOKUP(표1[[#This Row],[명칭]],'문화권 정리'!C:D,2,FALSE),"-")</f>
        <v>어류</v>
      </c>
      <c r="H1033" s="38" t="str">
        <f>IFERROR(COUNTIF([2]OceanDoodad!$Y:$Y,표1[[#This Row],[명칭]]),"-")</f>
        <v>-</v>
      </c>
      <c r="I1033" s="38">
        <f>IFERROR(COUNTIF([1]AdventureDiscoveryGroup!$D$8:$AW$92,표1[[#This Row],[명칭]]),"-")</f>
        <v>0</v>
      </c>
      <c r="J1033" s="38">
        <f>IFERROR(COUNTIF([1]FishDiscoveryGroup!$A:$X,표1[[#This Row],[명칭]]),"-")</f>
        <v>4</v>
      </c>
      <c r="K1033" s="38" t="str">
        <f>IFERROR(COUNTIF([2]Town!$B:$B,표1[[#This Row],[명칭]]),"-")</f>
        <v>-</v>
      </c>
      <c r="L1033" s="38">
        <f>IFERROR(COUNTIF([1]Village!$BR:$BR,표1[[#This Row],[명칭]]),"-")</f>
        <v>0</v>
      </c>
      <c r="M1033" s="38">
        <f>COUNTIF(퀘스트!B:B,표1[[#This Row],[명칭]])</f>
        <v>0</v>
      </c>
      <c r="N1033" s="65">
        <f>COUNTIF([1]VillageDiscoveryGroup!$C:$C,표1[[#This Row],[명칭]])</f>
        <v>0</v>
      </c>
      <c r="O1033" s="65">
        <f>SUM(표1[[#This Row],[해양탐색]:[마을탐험]])</f>
        <v>4</v>
      </c>
    </row>
    <row r="1034" spans="2:15" ht="13.5" customHeight="1" x14ac:dyDescent="0.3">
      <c r="B1034" s="9">
        <f>[1]Discovery!A1040</f>
        <v>70409112</v>
      </c>
      <c r="C1034" s="9" t="str">
        <f>[1]Discovery!B1040</f>
        <v>돌돔</v>
      </c>
      <c r="D1034" s="9" t="str">
        <f>[1]Discovery!E1040</f>
        <v>동물</v>
      </c>
      <c r="E1034" s="9" t="str">
        <f>[1]Discovery!C1040</f>
        <v>어류</v>
      </c>
      <c r="F1034" s="9" t="str">
        <f>[1]Discovery!G1040</f>
        <v>S</v>
      </c>
      <c r="G1034" s="9" t="str">
        <f>IFERROR(VLOOKUP(표1[[#This Row],[명칭]],'문화권 정리'!C:D,2,FALSE),"-")</f>
        <v>어류</v>
      </c>
      <c r="H1034" s="38" t="str">
        <f>IFERROR(COUNTIF([2]OceanDoodad!$Y:$Y,표1[[#This Row],[명칭]]),"-")</f>
        <v>-</v>
      </c>
      <c r="I1034" s="38">
        <f>IFERROR(COUNTIF([1]AdventureDiscoveryGroup!$D$8:$AW$92,표1[[#This Row],[명칭]]),"-")</f>
        <v>0</v>
      </c>
      <c r="J1034" s="38">
        <f>IFERROR(COUNTIF([1]FishDiscoveryGroup!$A:$X,표1[[#This Row],[명칭]]),"-")</f>
        <v>0</v>
      </c>
      <c r="K1034" s="38" t="str">
        <f>IFERROR(COUNTIF([2]Town!$B:$B,표1[[#This Row],[명칭]]),"-")</f>
        <v>-</v>
      </c>
      <c r="L1034" s="38">
        <f>IFERROR(COUNTIF([1]Village!$BR:$BR,표1[[#This Row],[명칭]]),"-")</f>
        <v>0</v>
      </c>
      <c r="M1034" s="38">
        <f>COUNTIF(퀘스트!B:B,표1[[#This Row],[명칭]])</f>
        <v>1</v>
      </c>
      <c r="N1034" s="65">
        <f>COUNTIF([1]VillageDiscoveryGroup!$C:$C,표1[[#This Row],[명칭]])</f>
        <v>0</v>
      </c>
      <c r="O1034" s="65">
        <f>SUM(표1[[#This Row],[해양탐색]:[마을탐험]])</f>
        <v>1</v>
      </c>
    </row>
    <row r="1035" spans="2:15" ht="13.5" customHeight="1" x14ac:dyDescent="0.3">
      <c r="B1035" s="9">
        <f>[1]Discovery!A1041</f>
        <v>70409113</v>
      </c>
      <c r="C1035" s="9" t="str">
        <f>[1]Discovery!B1041</f>
        <v>돌묵상어</v>
      </c>
      <c r="D1035" s="9" t="str">
        <f>[1]Discovery!E1041</f>
        <v>동물</v>
      </c>
      <c r="E1035" s="9" t="str">
        <f>[1]Discovery!C1041</f>
        <v>어류</v>
      </c>
      <c r="F1035" s="9" t="str">
        <f>[1]Discovery!G1041</f>
        <v>A</v>
      </c>
      <c r="G1035" s="9" t="str">
        <f>IFERROR(VLOOKUP(표1[[#This Row],[명칭]],'문화권 정리'!C:D,2,FALSE),"-")</f>
        <v>어류</v>
      </c>
      <c r="H1035" s="38" t="str">
        <f>IFERROR(COUNTIF([2]OceanDoodad!$Y:$Y,표1[[#This Row],[명칭]]),"-")</f>
        <v>-</v>
      </c>
      <c r="I1035" s="38">
        <f>IFERROR(COUNTIF([1]AdventureDiscoveryGroup!$D$8:$AW$92,표1[[#This Row],[명칭]]),"-")</f>
        <v>0</v>
      </c>
      <c r="J1035" s="38">
        <f>IFERROR(COUNTIF([1]FishDiscoveryGroup!$A:$X,표1[[#This Row],[명칭]]),"-")</f>
        <v>4</v>
      </c>
      <c r="K1035" s="38" t="str">
        <f>IFERROR(COUNTIF([2]Town!$B:$B,표1[[#This Row],[명칭]]),"-")</f>
        <v>-</v>
      </c>
      <c r="L1035" s="38">
        <f>IFERROR(COUNTIF([1]Village!$BR:$BR,표1[[#This Row],[명칭]]),"-")</f>
        <v>0</v>
      </c>
      <c r="M1035" s="38">
        <f>COUNTIF(퀘스트!B:B,표1[[#This Row],[명칭]])</f>
        <v>0</v>
      </c>
      <c r="N1035" s="65">
        <f>COUNTIF([1]VillageDiscoveryGroup!$C:$C,표1[[#This Row],[명칭]])</f>
        <v>0</v>
      </c>
      <c r="O1035" s="65">
        <f>SUM(표1[[#This Row],[해양탐색]:[마을탐험]])</f>
        <v>4</v>
      </c>
    </row>
    <row r="1036" spans="2:15" ht="13.5" customHeight="1" x14ac:dyDescent="0.3">
      <c r="B1036" s="9">
        <f>[1]Discovery!A1042</f>
        <v>70409114</v>
      </c>
      <c r="C1036" s="9" t="str">
        <f>[1]Discovery!B1042</f>
        <v>돔발상어</v>
      </c>
      <c r="D1036" s="9" t="str">
        <f>[1]Discovery!E1042</f>
        <v>동물</v>
      </c>
      <c r="E1036" s="9" t="str">
        <f>[1]Discovery!C1042</f>
        <v>어류</v>
      </c>
      <c r="F1036" s="9" t="str">
        <f>[1]Discovery!G1042</f>
        <v>S</v>
      </c>
      <c r="G1036" s="9" t="str">
        <f>IFERROR(VLOOKUP(표1[[#This Row],[명칭]],'문화권 정리'!C:D,2,FALSE),"-")</f>
        <v>어류</v>
      </c>
      <c r="H1036" s="38" t="str">
        <f>IFERROR(COUNTIF([2]OceanDoodad!$Y:$Y,표1[[#This Row],[명칭]]),"-")</f>
        <v>-</v>
      </c>
      <c r="I1036" s="38">
        <f>IFERROR(COUNTIF([1]AdventureDiscoveryGroup!$D$8:$AW$92,표1[[#This Row],[명칭]]),"-")</f>
        <v>0</v>
      </c>
      <c r="J1036" s="38">
        <f>IFERROR(COUNTIF([1]FishDiscoveryGroup!$A:$X,표1[[#This Row],[명칭]]),"-")</f>
        <v>4</v>
      </c>
      <c r="K1036" s="38" t="str">
        <f>IFERROR(COUNTIF([2]Town!$B:$B,표1[[#This Row],[명칭]]),"-")</f>
        <v>-</v>
      </c>
      <c r="L1036" s="38">
        <f>IFERROR(COUNTIF([1]Village!$BR:$BR,표1[[#This Row],[명칭]]),"-")</f>
        <v>0</v>
      </c>
      <c r="M1036" s="38">
        <f>COUNTIF(퀘스트!B:B,표1[[#This Row],[명칭]])</f>
        <v>0</v>
      </c>
      <c r="N1036" s="65">
        <f>COUNTIF([1]VillageDiscoveryGroup!$C:$C,표1[[#This Row],[명칭]])</f>
        <v>0</v>
      </c>
      <c r="O1036" s="65">
        <f>SUM(표1[[#This Row],[해양탐색]:[마을탐험]])</f>
        <v>4</v>
      </c>
    </row>
    <row r="1037" spans="2:15" ht="13.5" customHeight="1" x14ac:dyDescent="0.3">
      <c r="B1037" s="9">
        <f>[1]Discovery!A1043</f>
        <v>70409115</v>
      </c>
      <c r="C1037" s="9" t="str">
        <f>[1]Discovery!B1043</f>
        <v>동갈방어</v>
      </c>
      <c r="D1037" s="9" t="str">
        <f>[1]Discovery!E1043</f>
        <v>동물</v>
      </c>
      <c r="E1037" s="9" t="str">
        <f>[1]Discovery!C1043</f>
        <v>어류</v>
      </c>
      <c r="F1037" s="9" t="str">
        <f>[1]Discovery!G1043</f>
        <v>A</v>
      </c>
      <c r="G1037" s="9" t="str">
        <f>IFERROR(VLOOKUP(표1[[#This Row],[명칭]],'문화권 정리'!C:D,2,FALSE),"-")</f>
        <v>어류</v>
      </c>
      <c r="H1037" s="38" t="str">
        <f>IFERROR(COUNTIF([2]OceanDoodad!$Y:$Y,표1[[#This Row],[명칭]]),"-")</f>
        <v>-</v>
      </c>
      <c r="I1037" s="38">
        <f>IFERROR(COUNTIF([1]AdventureDiscoveryGroup!$D$8:$AW$92,표1[[#This Row],[명칭]]),"-")</f>
        <v>0</v>
      </c>
      <c r="J1037" s="38">
        <f>IFERROR(COUNTIF([1]FishDiscoveryGroup!$A:$X,표1[[#This Row],[명칭]]),"-")</f>
        <v>4</v>
      </c>
      <c r="K1037" s="38" t="str">
        <f>IFERROR(COUNTIF([2]Town!$B:$B,표1[[#This Row],[명칭]]),"-")</f>
        <v>-</v>
      </c>
      <c r="L1037" s="38">
        <f>IFERROR(COUNTIF([1]Village!$BR:$BR,표1[[#This Row],[명칭]]),"-")</f>
        <v>0</v>
      </c>
      <c r="M1037" s="38">
        <f>COUNTIF(퀘스트!B:B,표1[[#This Row],[명칭]])</f>
        <v>0</v>
      </c>
      <c r="N1037" s="65">
        <f>COUNTIF([1]VillageDiscoveryGroup!$C:$C,표1[[#This Row],[명칭]])</f>
        <v>0</v>
      </c>
      <c r="O1037" s="65">
        <f>SUM(표1[[#This Row],[해양탐색]:[마을탐험]])</f>
        <v>4</v>
      </c>
    </row>
    <row r="1038" spans="2:15" ht="13.5" customHeight="1" x14ac:dyDescent="0.3">
      <c r="B1038" s="9">
        <f>[1]Discovery!A1044</f>
        <v>70409116</v>
      </c>
      <c r="C1038" s="9" t="str">
        <f>[1]Discovery!B1044</f>
        <v>동갈양태</v>
      </c>
      <c r="D1038" s="9" t="str">
        <f>[1]Discovery!E1044</f>
        <v>동물</v>
      </c>
      <c r="E1038" s="9" t="str">
        <f>[1]Discovery!C1044</f>
        <v>어류</v>
      </c>
      <c r="F1038" s="9" t="str">
        <f>[1]Discovery!G1044</f>
        <v>B</v>
      </c>
      <c r="G1038" s="9" t="str">
        <f>IFERROR(VLOOKUP(표1[[#This Row],[명칭]],'문화권 정리'!C:D,2,FALSE),"-")</f>
        <v>어류</v>
      </c>
      <c r="H1038" s="38" t="str">
        <f>IFERROR(COUNTIF([2]OceanDoodad!$Y:$Y,표1[[#This Row],[명칭]]),"-")</f>
        <v>-</v>
      </c>
      <c r="I1038" s="38">
        <f>IFERROR(COUNTIF([1]AdventureDiscoveryGroup!$D$8:$AW$92,표1[[#This Row],[명칭]]),"-")</f>
        <v>0</v>
      </c>
      <c r="J1038" s="38">
        <f>IFERROR(COUNTIF([1]FishDiscoveryGroup!$A:$X,표1[[#This Row],[명칭]]),"-")</f>
        <v>4</v>
      </c>
      <c r="K1038" s="38" t="str">
        <f>IFERROR(COUNTIF([2]Town!$B:$B,표1[[#This Row],[명칭]]),"-")</f>
        <v>-</v>
      </c>
      <c r="L1038" s="38">
        <f>IFERROR(COUNTIF([1]Village!$BR:$BR,표1[[#This Row],[명칭]]),"-")</f>
        <v>0</v>
      </c>
      <c r="M1038" s="38">
        <f>COUNTIF(퀘스트!B:B,표1[[#This Row],[명칭]])</f>
        <v>0</v>
      </c>
      <c r="N1038" s="65">
        <f>COUNTIF([1]VillageDiscoveryGroup!$C:$C,표1[[#This Row],[명칭]])</f>
        <v>0</v>
      </c>
      <c r="O1038" s="65">
        <f>SUM(표1[[#This Row],[해양탐색]:[마을탐험]])</f>
        <v>4</v>
      </c>
    </row>
    <row r="1039" spans="2:15" ht="13.5" customHeight="1" x14ac:dyDescent="0.3">
      <c r="B1039" s="9">
        <f>[1]Discovery!A1045</f>
        <v>70409117</v>
      </c>
      <c r="C1039" s="9" t="str">
        <f>[1]Discovery!B1045</f>
        <v>동갈자돔</v>
      </c>
      <c r="D1039" s="9" t="str">
        <f>[1]Discovery!E1045</f>
        <v>동물</v>
      </c>
      <c r="E1039" s="9" t="str">
        <f>[1]Discovery!C1045</f>
        <v>어류</v>
      </c>
      <c r="F1039" s="9" t="str">
        <f>[1]Discovery!G1045</f>
        <v>B</v>
      </c>
      <c r="G1039" s="9" t="str">
        <f>IFERROR(VLOOKUP(표1[[#This Row],[명칭]],'문화권 정리'!C:D,2,FALSE),"-")</f>
        <v>어류</v>
      </c>
      <c r="H1039" s="38" t="str">
        <f>IFERROR(COUNTIF([2]OceanDoodad!$Y:$Y,표1[[#This Row],[명칭]]),"-")</f>
        <v>-</v>
      </c>
      <c r="I1039" s="38">
        <f>IFERROR(COUNTIF([1]AdventureDiscoveryGroup!$D$8:$AW$92,표1[[#This Row],[명칭]]),"-")</f>
        <v>0</v>
      </c>
      <c r="J1039" s="38">
        <f>IFERROR(COUNTIF([1]FishDiscoveryGroup!$A:$X,표1[[#This Row],[명칭]]),"-")</f>
        <v>4</v>
      </c>
      <c r="K1039" s="38" t="str">
        <f>IFERROR(COUNTIF([2]Town!$B:$B,표1[[#This Row],[명칭]]),"-")</f>
        <v>-</v>
      </c>
      <c r="L1039" s="38">
        <f>IFERROR(COUNTIF([1]Village!$BR:$BR,표1[[#This Row],[명칭]]),"-")</f>
        <v>0</v>
      </c>
      <c r="M1039" s="38">
        <f>COUNTIF(퀘스트!B:B,표1[[#This Row],[명칭]])</f>
        <v>0</v>
      </c>
      <c r="N1039" s="65">
        <f>COUNTIF([1]VillageDiscoveryGroup!$C:$C,표1[[#This Row],[명칭]])</f>
        <v>0</v>
      </c>
      <c r="O1039" s="65">
        <f>SUM(표1[[#This Row],[해양탐색]:[마을탐험]])</f>
        <v>4</v>
      </c>
    </row>
    <row r="1040" spans="2:15" ht="13.5" customHeight="1" x14ac:dyDescent="0.3">
      <c r="B1040" s="9">
        <f>[1]Discovery!A1046</f>
        <v>70409118</v>
      </c>
      <c r="C1040" s="9" t="str">
        <f>[1]Discovery!B1046</f>
        <v>동갈퉁돔</v>
      </c>
      <c r="D1040" s="9" t="str">
        <f>[1]Discovery!E1046</f>
        <v>동물</v>
      </c>
      <c r="E1040" s="9" t="str">
        <f>[1]Discovery!C1046</f>
        <v>어류</v>
      </c>
      <c r="F1040" s="9" t="str">
        <f>[1]Discovery!G1046</f>
        <v>B</v>
      </c>
      <c r="G1040" s="9" t="str">
        <f>IFERROR(VLOOKUP(표1[[#This Row],[명칭]],'문화권 정리'!C:D,2,FALSE),"-")</f>
        <v>어류</v>
      </c>
      <c r="H1040" s="38" t="str">
        <f>IFERROR(COUNTIF([2]OceanDoodad!$Y:$Y,표1[[#This Row],[명칭]]),"-")</f>
        <v>-</v>
      </c>
      <c r="I1040" s="38">
        <f>IFERROR(COUNTIF([1]AdventureDiscoveryGroup!$D$8:$AW$92,표1[[#This Row],[명칭]]),"-")</f>
        <v>0</v>
      </c>
      <c r="J1040" s="38">
        <f>IFERROR(COUNTIF([1]FishDiscoveryGroup!$A:$X,표1[[#This Row],[명칭]]),"-")</f>
        <v>0</v>
      </c>
      <c r="K1040" s="38" t="str">
        <f>IFERROR(COUNTIF([2]Town!$B:$B,표1[[#This Row],[명칭]]),"-")</f>
        <v>-</v>
      </c>
      <c r="L1040" s="38">
        <f>IFERROR(COUNTIF([1]Village!$BR:$BR,표1[[#This Row],[명칭]]),"-")</f>
        <v>0</v>
      </c>
      <c r="M1040" s="38">
        <f>COUNTIF(퀘스트!B:B,표1[[#This Row],[명칭]])</f>
        <v>0</v>
      </c>
      <c r="N1040" s="65">
        <f>COUNTIF([1]VillageDiscoveryGroup!$C:$C,표1[[#This Row],[명칭]])</f>
        <v>0</v>
      </c>
      <c r="O1040" s="65">
        <f>SUM(표1[[#This Row],[해양탐색]:[마을탐험]])</f>
        <v>0</v>
      </c>
    </row>
    <row r="1041" spans="2:15" ht="13.5" customHeight="1" x14ac:dyDescent="0.3">
      <c r="B1041" s="9">
        <f>[1]Discovery!A1047</f>
        <v>70409119</v>
      </c>
      <c r="C1041" s="9" t="str">
        <f>[1]Discovery!B1047</f>
        <v>동강연치</v>
      </c>
      <c r="D1041" s="9" t="str">
        <f>[1]Discovery!E1047</f>
        <v>동물</v>
      </c>
      <c r="E1041" s="9" t="str">
        <f>[1]Discovery!C1047</f>
        <v>어류</v>
      </c>
      <c r="F1041" s="9" t="str">
        <f>[1]Discovery!G1047</f>
        <v>B</v>
      </c>
      <c r="G1041" s="9" t="str">
        <f>IFERROR(VLOOKUP(표1[[#This Row],[명칭]],'문화권 정리'!C:D,2,FALSE),"-")</f>
        <v>어류</v>
      </c>
      <c r="H1041" s="38" t="str">
        <f>IFERROR(COUNTIF([2]OceanDoodad!$Y:$Y,표1[[#This Row],[명칭]]),"-")</f>
        <v>-</v>
      </c>
      <c r="I1041" s="38">
        <f>IFERROR(COUNTIF([1]AdventureDiscoveryGroup!$D$8:$AW$92,표1[[#This Row],[명칭]]),"-")</f>
        <v>0</v>
      </c>
      <c r="J1041" s="38">
        <f>IFERROR(COUNTIF([1]FishDiscoveryGroup!$A:$X,표1[[#This Row],[명칭]]),"-")</f>
        <v>4</v>
      </c>
      <c r="K1041" s="38" t="str">
        <f>IFERROR(COUNTIF([2]Town!$B:$B,표1[[#This Row],[명칭]]),"-")</f>
        <v>-</v>
      </c>
      <c r="L1041" s="38">
        <f>IFERROR(COUNTIF([1]Village!$BR:$BR,표1[[#This Row],[명칭]]),"-")</f>
        <v>0</v>
      </c>
      <c r="M1041" s="38">
        <f>COUNTIF(퀘스트!B:B,표1[[#This Row],[명칭]])</f>
        <v>0</v>
      </c>
      <c r="N1041" s="65">
        <f>COUNTIF([1]VillageDiscoveryGroup!$C:$C,표1[[#This Row],[명칭]])</f>
        <v>0</v>
      </c>
      <c r="O1041" s="65">
        <f>SUM(표1[[#This Row],[해양탐색]:[마을탐험]])</f>
        <v>4</v>
      </c>
    </row>
    <row r="1042" spans="2:15" ht="13.5" customHeight="1" x14ac:dyDescent="0.3">
      <c r="B1042" s="9">
        <f>[1]Discovery!A1048</f>
        <v>70409120</v>
      </c>
      <c r="C1042" s="9" t="str">
        <f>[1]Discovery!B1048</f>
        <v>동동갈치</v>
      </c>
      <c r="D1042" s="9" t="str">
        <f>[1]Discovery!E1048</f>
        <v>동물</v>
      </c>
      <c r="E1042" s="9" t="str">
        <f>[1]Discovery!C1048</f>
        <v>어류</v>
      </c>
      <c r="F1042" s="9" t="str">
        <f>[1]Discovery!G1048</f>
        <v>C</v>
      </c>
      <c r="G1042" s="9" t="str">
        <f>IFERROR(VLOOKUP(표1[[#This Row],[명칭]],'문화권 정리'!C:D,2,FALSE),"-")</f>
        <v>어류</v>
      </c>
      <c r="H1042" s="38" t="str">
        <f>IFERROR(COUNTIF([2]OceanDoodad!$Y:$Y,표1[[#This Row],[명칭]]),"-")</f>
        <v>-</v>
      </c>
      <c r="I1042" s="38">
        <f>IFERROR(COUNTIF([1]AdventureDiscoveryGroup!$D$8:$AW$92,표1[[#This Row],[명칭]]),"-")</f>
        <v>0</v>
      </c>
      <c r="J1042" s="38">
        <f>IFERROR(COUNTIF([1]FishDiscoveryGroup!$A:$X,표1[[#This Row],[명칭]]),"-")</f>
        <v>8</v>
      </c>
      <c r="K1042" s="38" t="str">
        <f>IFERROR(COUNTIF([2]Town!$B:$B,표1[[#This Row],[명칭]]),"-")</f>
        <v>-</v>
      </c>
      <c r="L1042" s="38">
        <f>IFERROR(COUNTIF([1]Village!$BR:$BR,표1[[#This Row],[명칭]]),"-")</f>
        <v>0</v>
      </c>
      <c r="M1042" s="38">
        <f>COUNTIF(퀘스트!B:B,표1[[#This Row],[명칭]])</f>
        <v>0</v>
      </c>
      <c r="N1042" s="65">
        <f>COUNTIF([1]VillageDiscoveryGroup!$C:$C,표1[[#This Row],[명칭]])</f>
        <v>0</v>
      </c>
      <c r="O1042" s="65">
        <f>SUM(표1[[#This Row],[해양탐색]:[마을탐험]])</f>
        <v>8</v>
      </c>
    </row>
    <row r="1043" spans="2:15" ht="13.5" customHeight="1" x14ac:dyDescent="0.3">
      <c r="B1043" s="9">
        <f>[1]Discovery!A1049</f>
        <v>70409121</v>
      </c>
      <c r="C1043" s="9" t="str">
        <f>[1]Discovery!B1049</f>
        <v>동서대</v>
      </c>
      <c r="D1043" s="9" t="str">
        <f>[1]Discovery!E1049</f>
        <v>동물</v>
      </c>
      <c r="E1043" s="9" t="str">
        <f>[1]Discovery!C1049</f>
        <v>어류</v>
      </c>
      <c r="F1043" s="9" t="str">
        <f>[1]Discovery!G1049</f>
        <v>B</v>
      </c>
      <c r="G1043" s="9" t="str">
        <f>IFERROR(VLOOKUP(표1[[#This Row],[명칭]],'문화권 정리'!C:D,2,FALSE),"-")</f>
        <v>어류</v>
      </c>
      <c r="H1043" s="38" t="str">
        <f>IFERROR(COUNTIF([2]OceanDoodad!$Y:$Y,표1[[#This Row],[명칭]]),"-")</f>
        <v>-</v>
      </c>
      <c r="I1043" s="38">
        <f>IFERROR(COUNTIF([1]AdventureDiscoveryGroup!$D$8:$AW$92,표1[[#This Row],[명칭]]),"-")</f>
        <v>0</v>
      </c>
      <c r="J1043" s="38">
        <f>IFERROR(COUNTIF([1]FishDiscoveryGroup!$A:$X,표1[[#This Row],[명칭]]),"-")</f>
        <v>4</v>
      </c>
      <c r="K1043" s="38" t="str">
        <f>IFERROR(COUNTIF([2]Town!$B:$B,표1[[#This Row],[명칭]]),"-")</f>
        <v>-</v>
      </c>
      <c r="L1043" s="38">
        <f>IFERROR(COUNTIF([1]Village!$BR:$BR,표1[[#This Row],[명칭]]),"-")</f>
        <v>0</v>
      </c>
      <c r="M1043" s="38">
        <f>COUNTIF(퀘스트!B:B,표1[[#This Row],[명칭]])</f>
        <v>0</v>
      </c>
      <c r="N1043" s="65">
        <f>COUNTIF([1]VillageDiscoveryGroup!$C:$C,표1[[#This Row],[명칭]])</f>
        <v>0</v>
      </c>
      <c r="O1043" s="65">
        <f>SUM(표1[[#This Row],[해양탐색]:[마을탐험]])</f>
        <v>4</v>
      </c>
    </row>
    <row r="1044" spans="2:15" ht="13.5" customHeight="1" x14ac:dyDescent="0.3">
      <c r="B1044" s="9">
        <f>[1]Discovery!A1050</f>
        <v>70409122</v>
      </c>
      <c r="C1044" s="9" t="str">
        <f>[1]Discovery!B1050</f>
        <v>동수구리</v>
      </c>
      <c r="D1044" s="9" t="str">
        <f>[1]Discovery!E1050</f>
        <v>동물</v>
      </c>
      <c r="E1044" s="9" t="str">
        <f>[1]Discovery!C1050</f>
        <v>어류</v>
      </c>
      <c r="F1044" s="9" t="str">
        <f>[1]Discovery!G1050</f>
        <v>S</v>
      </c>
      <c r="G1044" s="9" t="str">
        <f>IFERROR(VLOOKUP(표1[[#This Row],[명칭]],'문화권 정리'!C:D,2,FALSE),"-")</f>
        <v>어류</v>
      </c>
      <c r="H1044" s="38" t="str">
        <f>IFERROR(COUNTIF([2]OceanDoodad!$Y:$Y,표1[[#This Row],[명칭]]),"-")</f>
        <v>-</v>
      </c>
      <c r="I1044" s="38">
        <f>IFERROR(COUNTIF([1]AdventureDiscoveryGroup!$D$8:$AW$92,표1[[#This Row],[명칭]]),"-")</f>
        <v>0</v>
      </c>
      <c r="J1044" s="38">
        <f>IFERROR(COUNTIF([1]FishDiscoveryGroup!$A:$X,표1[[#This Row],[명칭]]),"-")</f>
        <v>4</v>
      </c>
      <c r="K1044" s="38" t="str">
        <f>IFERROR(COUNTIF([2]Town!$B:$B,표1[[#This Row],[명칭]]),"-")</f>
        <v>-</v>
      </c>
      <c r="L1044" s="38">
        <f>IFERROR(COUNTIF([1]Village!$BR:$BR,표1[[#This Row],[명칭]]),"-")</f>
        <v>0</v>
      </c>
      <c r="M1044" s="38">
        <f>COUNTIF(퀘스트!B:B,표1[[#This Row],[명칭]])</f>
        <v>0</v>
      </c>
      <c r="N1044" s="65">
        <f>COUNTIF([1]VillageDiscoveryGroup!$C:$C,표1[[#This Row],[명칭]])</f>
        <v>0</v>
      </c>
      <c r="O1044" s="65">
        <f>SUM(표1[[#This Row],[해양탐색]:[마을탐험]])</f>
        <v>4</v>
      </c>
    </row>
    <row r="1045" spans="2:15" ht="13.5" customHeight="1" x14ac:dyDescent="0.3">
      <c r="B1045" s="9">
        <f>[1]Discovery!A1051</f>
        <v>70409123</v>
      </c>
      <c r="C1045" s="9" t="str">
        <f>[1]Discovery!B1051</f>
        <v>돛대돔</v>
      </c>
      <c r="D1045" s="9" t="str">
        <f>[1]Discovery!E1051</f>
        <v>동물</v>
      </c>
      <c r="E1045" s="9" t="str">
        <f>[1]Discovery!C1051</f>
        <v>어류</v>
      </c>
      <c r="F1045" s="9" t="str">
        <f>[1]Discovery!G1051</f>
        <v>B</v>
      </c>
      <c r="G1045" s="9" t="str">
        <f>IFERROR(VLOOKUP(표1[[#This Row],[명칭]],'문화권 정리'!C:D,2,FALSE),"-")</f>
        <v>어류</v>
      </c>
      <c r="H1045" s="38" t="str">
        <f>IFERROR(COUNTIF([2]OceanDoodad!$Y:$Y,표1[[#This Row],[명칭]]),"-")</f>
        <v>-</v>
      </c>
      <c r="I1045" s="38">
        <f>IFERROR(COUNTIF([1]AdventureDiscoveryGroup!$D$8:$AW$92,표1[[#This Row],[명칭]]),"-")</f>
        <v>0</v>
      </c>
      <c r="J1045" s="38">
        <f>IFERROR(COUNTIF([1]FishDiscoveryGroup!$A:$X,표1[[#This Row],[명칭]]),"-")</f>
        <v>4</v>
      </c>
      <c r="K1045" s="38" t="str">
        <f>IFERROR(COUNTIF([2]Town!$B:$B,표1[[#This Row],[명칭]]),"-")</f>
        <v>-</v>
      </c>
      <c r="L1045" s="38">
        <f>IFERROR(COUNTIF([1]Village!$BR:$BR,표1[[#This Row],[명칭]]),"-")</f>
        <v>0</v>
      </c>
      <c r="M1045" s="38">
        <f>COUNTIF(퀘스트!B:B,표1[[#This Row],[명칭]])</f>
        <v>0</v>
      </c>
      <c r="N1045" s="65">
        <f>COUNTIF([1]VillageDiscoveryGroup!$C:$C,표1[[#This Row],[명칭]])</f>
        <v>0</v>
      </c>
      <c r="O1045" s="65">
        <f>SUM(표1[[#This Row],[해양탐색]:[마을탐험]])</f>
        <v>4</v>
      </c>
    </row>
    <row r="1046" spans="2:15" ht="13.5" customHeight="1" x14ac:dyDescent="0.3">
      <c r="B1046" s="9">
        <f>[1]Discovery!A1052</f>
        <v>70409124</v>
      </c>
      <c r="C1046" s="9" t="str">
        <f>[1]Discovery!B1052</f>
        <v>돛새치</v>
      </c>
      <c r="D1046" s="9" t="str">
        <f>[1]Discovery!E1052</f>
        <v>동물</v>
      </c>
      <c r="E1046" s="9" t="str">
        <f>[1]Discovery!C1052</f>
        <v>어류</v>
      </c>
      <c r="F1046" s="9" t="str">
        <f>[1]Discovery!G1052</f>
        <v>B</v>
      </c>
      <c r="G1046" s="9" t="str">
        <f>IFERROR(VLOOKUP(표1[[#This Row],[명칭]],'문화권 정리'!C:D,2,FALSE),"-")</f>
        <v>어류</v>
      </c>
      <c r="H1046" s="38" t="str">
        <f>IFERROR(COUNTIF([2]OceanDoodad!$Y:$Y,표1[[#This Row],[명칭]]),"-")</f>
        <v>-</v>
      </c>
      <c r="I1046" s="38">
        <f>IFERROR(COUNTIF([1]AdventureDiscoveryGroup!$D$8:$AW$92,표1[[#This Row],[명칭]]),"-")</f>
        <v>0</v>
      </c>
      <c r="J1046" s="38">
        <f>IFERROR(COUNTIF([1]FishDiscoveryGroup!$A:$X,표1[[#This Row],[명칭]]),"-")</f>
        <v>12</v>
      </c>
      <c r="K1046" s="38" t="str">
        <f>IFERROR(COUNTIF([2]Town!$B:$B,표1[[#This Row],[명칭]]),"-")</f>
        <v>-</v>
      </c>
      <c r="L1046" s="38">
        <f>IFERROR(COUNTIF([1]Village!$BR:$BR,표1[[#This Row],[명칭]]),"-")</f>
        <v>0</v>
      </c>
      <c r="M1046" s="38">
        <f>COUNTIF(퀘스트!B:B,표1[[#This Row],[명칭]])</f>
        <v>0</v>
      </c>
      <c r="N1046" s="65">
        <f>COUNTIF([1]VillageDiscoveryGroup!$C:$C,표1[[#This Row],[명칭]])</f>
        <v>0</v>
      </c>
      <c r="O1046" s="65">
        <f>SUM(표1[[#This Row],[해양탐색]:[마을탐험]])</f>
        <v>12</v>
      </c>
    </row>
    <row r="1047" spans="2:15" ht="13.5" customHeight="1" x14ac:dyDescent="0.3">
      <c r="B1047" s="9">
        <f>[1]Discovery!A1053</f>
        <v>70409125</v>
      </c>
      <c r="C1047" s="9" t="str">
        <f>[1]Discovery!B1053</f>
        <v>두건망둑</v>
      </c>
      <c r="D1047" s="9" t="str">
        <f>[1]Discovery!E1053</f>
        <v>동물</v>
      </c>
      <c r="E1047" s="9" t="str">
        <f>[1]Discovery!C1053</f>
        <v>어류</v>
      </c>
      <c r="F1047" s="9" t="str">
        <f>[1]Discovery!G1053</f>
        <v>C</v>
      </c>
      <c r="G1047" s="9" t="str">
        <f>IFERROR(VLOOKUP(표1[[#This Row],[명칭]],'문화권 정리'!C:D,2,FALSE),"-")</f>
        <v>어류</v>
      </c>
      <c r="H1047" s="38" t="str">
        <f>IFERROR(COUNTIF([2]OceanDoodad!$Y:$Y,표1[[#This Row],[명칭]]),"-")</f>
        <v>-</v>
      </c>
      <c r="I1047" s="38">
        <f>IFERROR(COUNTIF([1]AdventureDiscoveryGroup!$D$8:$AW$92,표1[[#This Row],[명칭]]),"-")</f>
        <v>0</v>
      </c>
      <c r="J1047" s="38">
        <f>IFERROR(COUNTIF([1]FishDiscoveryGroup!$A:$X,표1[[#This Row],[명칭]]),"-")</f>
        <v>4</v>
      </c>
      <c r="K1047" s="38" t="str">
        <f>IFERROR(COUNTIF([2]Town!$B:$B,표1[[#This Row],[명칭]]),"-")</f>
        <v>-</v>
      </c>
      <c r="L1047" s="38">
        <f>IFERROR(COUNTIF([1]Village!$BR:$BR,표1[[#This Row],[명칭]]),"-")</f>
        <v>0</v>
      </c>
      <c r="M1047" s="38">
        <f>COUNTIF(퀘스트!B:B,표1[[#This Row],[명칭]])</f>
        <v>0</v>
      </c>
      <c r="N1047" s="65">
        <f>COUNTIF([1]VillageDiscoveryGroup!$C:$C,표1[[#This Row],[명칭]])</f>
        <v>0</v>
      </c>
      <c r="O1047" s="65">
        <f>SUM(표1[[#This Row],[해양탐색]:[마을탐험]])</f>
        <v>4</v>
      </c>
    </row>
    <row r="1048" spans="2:15" ht="13.5" customHeight="1" x14ac:dyDescent="0.3">
      <c r="B1048" s="9">
        <f>[1]Discovery!A1054</f>
        <v>70409126</v>
      </c>
      <c r="C1048" s="9" t="str">
        <f>[1]Discovery!B1054</f>
        <v>두동가리돔</v>
      </c>
      <c r="D1048" s="9" t="str">
        <f>[1]Discovery!E1054</f>
        <v>동물</v>
      </c>
      <c r="E1048" s="9" t="str">
        <f>[1]Discovery!C1054</f>
        <v>어류</v>
      </c>
      <c r="F1048" s="9" t="str">
        <f>[1]Discovery!G1054</f>
        <v>C</v>
      </c>
      <c r="G1048" s="9" t="str">
        <f>IFERROR(VLOOKUP(표1[[#This Row],[명칭]],'문화권 정리'!C:D,2,FALSE),"-")</f>
        <v>어류</v>
      </c>
      <c r="H1048" s="38" t="str">
        <f>IFERROR(COUNTIF([2]OceanDoodad!$Y:$Y,표1[[#This Row],[명칭]]),"-")</f>
        <v>-</v>
      </c>
      <c r="I1048" s="38">
        <f>IFERROR(COUNTIF([1]AdventureDiscoveryGroup!$D$8:$AW$92,표1[[#This Row],[명칭]]),"-")</f>
        <v>0</v>
      </c>
      <c r="J1048" s="38">
        <f>IFERROR(COUNTIF([1]FishDiscoveryGroup!$A:$X,표1[[#This Row],[명칭]]),"-")</f>
        <v>4</v>
      </c>
      <c r="K1048" s="38" t="str">
        <f>IFERROR(COUNTIF([2]Town!$B:$B,표1[[#This Row],[명칭]]),"-")</f>
        <v>-</v>
      </c>
      <c r="L1048" s="38">
        <f>IFERROR(COUNTIF([1]Village!$BR:$BR,표1[[#This Row],[명칭]]),"-")</f>
        <v>0</v>
      </c>
      <c r="M1048" s="38">
        <f>COUNTIF(퀘스트!B:B,표1[[#This Row],[명칭]])</f>
        <v>0</v>
      </c>
      <c r="N1048" s="65">
        <f>COUNTIF([1]VillageDiscoveryGroup!$C:$C,표1[[#This Row],[명칭]])</f>
        <v>0</v>
      </c>
      <c r="O1048" s="65">
        <f>SUM(표1[[#This Row],[해양탐색]:[마을탐험]])</f>
        <v>4</v>
      </c>
    </row>
    <row r="1049" spans="2:15" ht="13.5" customHeight="1" x14ac:dyDescent="0.3">
      <c r="B1049" s="9">
        <f>[1]Discovery!A1055</f>
        <v>70409127</v>
      </c>
      <c r="C1049" s="9" t="str">
        <f>[1]Discovery!B1055</f>
        <v>두줄망둑</v>
      </c>
      <c r="D1049" s="9" t="str">
        <f>[1]Discovery!E1055</f>
        <v>동물</v>
      </c>
      <c r="E1049" s="9" t="str">
        <f>[1]Discovery!C1055</f>
        <v>어류</v>
      </c>
      <c r="F1049" s="9" t="str">
        <f>[1]Discovery!G1055</f>
        <v>B</v>
      </c>
      <c r="G1049" s="9" t="str">
        <f>IFERROR(VLOOKUP(표1[[#This Row],[명칭]],'문화권 정리'!C:D,2,FALSE),"-")</f>
        <v>어류</v>
      </c>
      <c r="H1049" s="38" t="str">
        <f>IFERROR(COUNTIF([2]OceanDoodad!$Y:$Y,표1[[#This Row],[명칭]]),"-")</f>
        <v>-</v>
      </c>
      <c r="I1049" s="38">
        <f>IFERROR(COUNTIF([1]AdventureDiscoveryGroup!$D$8:$AW$92,표1[[#This Row],[명칭]]),"-")</f>
        <v>0</v>
      </c>
      <c r="J1049" s="38">
        <f>IFERROR(COUNTIF([1]FishDiscoveryGroup!$A:$X,표1[[#This Row],[명칭]]),"-")</f>
        <v>4</v>
      </c>
      <c r="K1049" s="38" t="str">
        <f>IFERROR(COUNTIF([2]Town!$B:$B,표1[[#This Row],[명칭]]),"-")</f>
        <v>-</v>
      </c>
      <c r="L1049" s="38">
        <f>IFERROR(COUNTIF([1]Village!$BR:$BR,표1[[#This Row],[명칭]]),"-")</f>
        <v>0</v>
      </c>
      <c r="M1049" s="38">
        <f>COUNTIF(퀘스트!B:B,표1[[#This Row],[명칭]])</f>
        <v>0</v>
      </c>
      <c r="N1049" s="65">
        <f>COUNTIF([1]VillageDiscoveryGroup!$C:$C,표1[[#This Row],[명칭]])</f>
        <v>0</v>
      </c>
      <c r="O1049" s="65">
        <f>SUM(표1[[#This Row],[해양탐색]:[마을탐험]])</f>
        <v>4</v>
      </c>
    </row>
    <row r="1050" spans="2:15" ht="13.5" customHeight="1" x14ac:dyDescent="0.3">
      <c r="B1050" s="9">
        <f>[1]Discovery!A1056</f>
        <v>70409128</v>
      </c>
      <c r="C1050" s="9" t="str">
        <f>[1]Discovery!B1056</f>
        <v>두줄베도라치</v>
      </c>
      <c r="D1050" s="9" t="str">
        <f>[1]Discovery!E1056</f>
        <v>동물</v>
      </c>
      <c r="E1050" s="9" t="str">
        <f>[1]Discovery!C1056</f>
        <v>어류</v>
      </c>
      <c r="F1050" s="9" t="str">
        <f>[1]Discovery!G1056</f>
        <v>C</v>
      </c>
      <c r="G1050" s="9" t="str">
        <f>IFERROR(VLOOKUP(표1[[#This Row],[명칭]],'문화권 정리'!C:D,2,FALSE),"-")</f>
        <v>어류</v>
      </c>
      <c r="H1050" s="38" t="str">
        <f>IFERROR(COUNTIF([2]OceanDoodad!$Y:$Y,표1[[#This Row],[명칭]]),"-")</f>
        <v>-</v>
      </c>
      <c r="I1050" s="38">
        <f>IFERROR(COUNTIF([1]AdventureDiscoveryGroup!$D$8:$AW$92,표1[[#This Row],[명칭]]),"-")</f>
        <v>0</v>
      </c>
      <c r="J1050" s="38">
        <f>IFERROR(COUNTIF([1]FishDiscoveryGroup!$A:$X,표1[[#This Row],[명칭]]),"-")</f>
        <v>4</v>
      </c>
      <c r="K1050" s="38" t="str">
        <f>IFERROR(COUNTIF([2]Town!$B:$B,표1[[#This Row],[명칭]]),"-")</f>
        <v>-</v>
      </c>
      <c r="L1050" s="38">
        <f>IFERROR(COUNTIF([1]Village!$BR:$BR,표1[[#This Row],[명칭]]),"-")</f>
        <v>0</v>
      </c>
      <c r="M1050" s="38">
        <f>COUNTIF(퀘스트!B:B,표1[[#This Row],[명칭]])</f>
        <v>0</v>
      </c>
      <c r="N1050" s="65">
        <f>COUNTIF([1]VillageDiscoveryGroup!$C:$C,표1[[#This Row],[명칭]])</f>
        <v>0</v>
      </c>
      <c r="O1050" s="65">
        <f>SUM(표1[[#This Row],[해양탐색]:[마을탐험]])</f>
        <v>4</v>
      </c>
    </row>
    <row r="1051" spans="2:15" ht="13.5" customHeight="1" x14ac:dyDescent="0.3">
      <c r="B1051" s="9">
        <f>[1]Discovery!A1057</f>
        <v>70409129</v>
      </c>
      <c r="C1051" s="9" t="str">
        <f>[1]Discovery!B1057</f>
        <v>두줄벤자리</v>
      </c>
      <c r="D1051" s="9" t="str">
        <f>[1]Discovery!E1057</f>
        <v>동물</v>
      </c>
      <c r="E1051" s="9" t="str">
        <f>[1]Discovery!C1057</f>
        <v>어류</v>
      </c>
      <c r="F1051" s="9" t="str">
        <f>[1]Discovery!G1057</f>
        <v>A</v>
      </c>
      <c r="G1051" s="9" t="str">
        <f>IFERROR(VLOOKUP(표1[[#This Row],[명칭]],'문화권 정리'!C:D,2,FALSE),"-")</f>
        <v>어류</v>
      </c>
      <c r="H1051" s="38" t="str">
        <f>IFERROR(COUNTIF([2]OceanDoodad!$Y:$Y,표1[[#This Row],[명칭]]),"-")</f>
        <v>-</v>
      </c>
      <c r="I1051" s="38">
        <f>IFERROR(COUNTIF([1]AdventureDiscoveryGroup!$D$8:$AW$92,표1[[#This Row],[명칭]]),"-")</f>
        <v>0</v>
      </c>
      <c r="J1051" s="38">
        <f>IFERROR(COUNTIF([1]FishDiscoveryGroup!$A:$X,표1[[#This Row],[명칭]]),"-")</f>
        <v>4</v>
      </c>
      <c r="K1051" s="38" t="str">
        <f>IFERROR(COUNTIF([2]Town!$B:$B,표1[[#This Row],[명칭]]),"-")</f>
        <v>-</v>
      </c>
      <c r="L1051" s="38">
        <f>IFERROR(COUNTIF([1]Village!$BR:$BR,표1[[#This Row],[명칭]]),"-")</f>
        <v>0</v>
      </c>
      <c r="M1051" s="38">
        <f>COUNTIF(퀘스트!B:B,표1[[#This Row],[명칭]])</f>
        <v>0</v>
      </c>
      <c r="N1051" s="65">
        <f>COUNTIF([1]VillageDiscoveryGroup!$C:$C,표1[[#This Row],[명칭]])</f>
        <v>0</v>
      </c>
      <c r="O1051" s="65">
        <f>SUM(표1[[#This Row],[해양탐색]:[마을탐험]])</f>
        <v>4</v>
      </c>
    </row>
    <row r="1052" spans="2:15" ht="13.5" customHeight="1" x14ac:dyDescent="0.3">
      <c r="B1052" s="9">
        <f>[1]Discovery!A1058</f>
        <v>70409130</v>
      </c>
      <c r="C1052" s="9" t="str">
        <f>[1]Discovery!B1058</f>
        <v>두툽상어</v>
      </c>
      <c r="D1052" s="9" t="str">
        <f>[1]Discovery!E1058</f>
        <v>동물</v>
      </c>
      <c r="E1052" s="9" t="str">
        <f>[1]Discovery!C1058</f>
        <v>어류</v>
      </c>
      <c r="F1052" s="9" t="str">
        <f>[1]Discovery!G1058</f>
        <v>C</v>
      </c>
      <c r="G1052" s="9" t="str">
        <f>IFERROR(VLOOKUP(표1[[#This Row],[명칭]],'문화권 정리'!C:D,2,FALSE),"-")</f>
        <v>어류</v>
      </c>
      <c r="H1052" s="38" t="str">
        <f>IFERROR(COUNTIF([2]OceanDoodad!$Y:$Y,표1[[#This Row],[명칭]]),"-")</f>
        <v>-</v>
      </c>
      <c r="I1052" s="38">
        <f>IFERROR(COUNTIF([1]AdventureDiscoveryGroup!$D$8:$AW$92,표1[[#This Row],[명칭]]),"-")</f>
        <v>0</v>
      </c>
      <c r="J1052" s="38">
        <f>IFERROR(COUNTIF([1]FishDiscoveryGroup!$A:$X,표1[[#This Row],[명칭]]),"-")</f>
        <v>4</v>
      </c>
      <c r="K1052" s="38" t="str">
        <f>IFERROR(COUNTIF([2]Town!$B:$B,표1[[#This Row],[명칭]]),"-")</f>
        <v>-</v>
      </c>
      <c r="L1052" s="38">
        <f>IFERROR(COUNTIF([1]Village!$BR:$BR,표1[[#This Row],[명칭]]),"-")</f>
        <v>0</v>
      </c>
      <c r="M1052" s="38">
        <f>COUNTIF(퀘스트!B:B,표1[[#This Row],[명칭]])</f>
        <v>0</v>
      </c>
      <c r="N1052" s="65">
        <f>COUNTIF([1]VillageDiscoveryGroup!$C:$C,표1[[#This Row],[명칭]])</f>
        <v>0</v>
      </c>
      <c r="O1052" s="65">
        <f>SUM(표1[[#This Row],[해양탐색]:[마을탐험]])</f>
        <v>4</v>
      </c>
    </row>
    <row r="1053" spans="2:15" ht="13.5" customHeight="1" x14ac:dyDescent="0.3">
      <c r="B1053" s="9">
        <f>[1]Discovery!A1059</f>
        <v>70409131</v>
      </c>
      <c r="C1053" s="9" t="str">
        <f>[1]Discovery!B1059</f>
        <v>둥글돔</v>
      </c>
      <c r="D1053" s="9" t="str">
        <f>[1]Discovery!E1059</f>
        <v>동물</v>
      </c>
      <c r="E1053" s="9" t="str">
        <f>[1]Discovery!C1059</f>
        <v>어류</v>
      </c>
      <c r="F1053" s="9" t="str">
        <f>[1]Discovery!G1059</f>
        <v>C</v>
      </c>
      <c r="G1053" s="9" t="str">
        <f>IFERROR(VLOOKUP(표1[[#This Row],[명칭]],'문화권 정리'!C:D,2,FALSE),"-")</f>
        <v>어류</v>
      </c>
      <c r="H1053" s="38" t="str">
        <f>IFERROR(COUNTIF([2]OceanDoodad!$Y:$Y,표1[[#This Row],[명칭]]),"-")</f>
        <v>-</v>
      </c>
      <c r="I1053" s="38">
        <f>IFERROR(COUNTIF([1]AdventureDiscoveryGroup!$D$8:$AW$92,표1[[#This Row],[명칭]]),"-")</f>
        <v>0</v>
      </c>
      <c r="J1053" s="38">
        <f>IFERROR(COUNTIF([1]FishDiscoveryGroup!$A:$X,표1[[#This Row],[명칭]]),"-")</f>
        <v>4</v>
      </c>
      <c r="K1053" s="38" t="str">
        <f>IFERROR(COUNTIF([2]Town!$B:$B,표1[[#This Row],[명칭]]),"-")</f>
        <v>-</v>
      </c>
      <c r="L1053" s="38">
        <f>IFERROR(COUNTIF([1]Village!$BR:$BR,표1[[#This Row],[명칭]]),"-")</f>
        <v>0</v>
      </c>
      <c r="M1053" s="38">
        <f>COUNTIF(퀘스트!B:B,표1[[#This Row],[명칭]])</f>
        <v>0</v>
      </c>
      <c r="N1053" s="65">
        <f>COUNTIF([1]VillageDiscoveryGroup!$C:$C,표1[[#This Row],[명칭]])</f>
        <v>0</v>
      </c>
      <c r="O1053" s="65">
        <f>SUM(표1[[#This Row],[해양탐색]:[마을탐험]])</f>
        <v>4</v>
      </c>
    </row>
    <row r="1054" spans="2:15" ht="13.5" customHeight="1" x14ac:dyDescent="0.3">
      <c r="B1054" s="9">
        <f>[1]Discovery!A1060</f>
        <v>70409132</v>
      </c>
      <c r="C1054" s="9" t="str">
        <f>[1]Discovery!B1060</f>
        <v>듀공</v>
      </c>
      <c r="D1054" s="9" t="str">
        <f>[1]Discovery!E1060</f>
        <v>동물</v>
      </c>
      <c r="E1054" s="9" t="str">
        <f>[1]Discovery!C1060</f>
        <v>포유류</v>
      </c>
      <c r="F1054" s="9" t="str">
        <f>[1]Discovery!G1060</f>
        <v>S</v>
      </c>
      <c r="G1054" s="9" t="str">
        <f>IFERROR(VLOOKUP(표1[[#This Row],[명칭]],'문화권 정리'!C:D,2,FALSE),"-")</f>
        <v>어류</v>
      </c>
      <c r="H1054" s="38" t="str">
        <f>IFERROR(COUNTIF([2]OceanDoodad!$Y:$Y,표1[[#This Row],[명칭]]),"-")</f>
        <v>-</v>
      </c>
      <c r="I1054" s="38">
        <f>IFERROR(COUNTIF([1]AdventureDiscoveryGroup!$D$8:$AW$92,표1[[#This Row],[명칭]]),"-")</f>
        <v>0</v>
      </c>
      <c r="J1054" s="38">
        <f>IFERROR(COUNTIF([1]FishDiscoveryGroup!$A:$X,표1[[#This Row],[명칭]]),"-")</f>
        <v>4</v>
      </c>
      <c r="K1054" s="38" t="str">
        <f>IFERROR(COUNTIF([2]Town!$B:$B,표1[[#This Row],[명칭]]),"-")</f>
        <v>-</v>
      </c>
      <c r="L1054" s="38">
        <f>IFERROR(COUNTIF([1]Village!$BR:$BR,표1[[#This Row],[명칭]]),"-")</f>
        <v>0</v>
      </c>
      <c r="M1054" s="38">
        <f>COUNTIF(퀘스트!B:B,표1[[#This Row],[명칭]])</f>
        <v>0</v>
      </c>
      <c r="N1054" s="65">
        <f>COUNTIF([1]VillageDiscoveryGroup!$C:$C,표1[[#This Row],[명칭]])</f>
        <v>0</v>
      </c>
      <c r="O1054" s="65">
        <f>SUM(표1[[#This Row],[해양탐색]:[마을탐험]])</f>
        <v>4</v>
      </c>
    </row>
    <row r="1055" spans="2:15" ht="13.5" customHeight="1" x14ac:dyDescent="0.3">
      <c r="B1055" s="9">
        <f>[1]Discovery!A1061</f>
        <v>70409133</v>
      </c>
      <c r="C1055" s="9" t="str">
        <f>[1]Discovery!B1061</f>
        <v>등가시치</v>
      </c>
      <c r="D1055" s="9" t="str">
        <f>[1]Discovery!E1061</f>
        <v>동물</v>
      </c>
      <c r="E1055" s="9" t="str">
        <f>[1]Discovery!C1061</f>
        <v>어류</v>
      </c>
      <c r="F1055" s="9" t="str">
        <f>[1]Discovery!G1061</f>
        <v>C</v>
      </c>
      <c r="G1055" s="9" t="str">
        <f>IFERROR(VLOOKUP(표1[[#This Row],[명칭]],'문화권 정리'!C:D,2,FALSE),"-")</f>
        <v>어류</v>
      </c>
      <c r="H1055" s="38" t="str">
        <f>IFERROR(COUNTIF([2]OceanDoodad!$Y:$Y,표1[[#This Row],[명칭]]),"-")</f>
        <v>-</v>
      </c>
      <c r="I1055" s="38">
        <f>IFERROR(COUNTIF([1]AdventureDiscoveryGroup!$D$8:$AW$92,표1[[#This Row],[명칭]]),"-")</f>
        <v>0</v>
      </c>
      <c r="J1055" s="38">
        <f>IFERROR(COUNTIF([1]FishDiscoveryGroup!$A:$X,표1[[#This Row],[명칭]]),"-")</f>
        <v>4</v>
      </c>
      <c r="K1055" s="38" t="str">
        <f>IFERROR(COUNTIF([2]Town!$B:$B,표1[[#This Row],[명칭]]),"-")</f>
        <v>-</v>
      </c>
      <c r="L1055" s="38">
        <f>IFERROR(COUNTIF([1]Village!$BR:$BR,표1[[#This Row],[명칭]]),"-")</f>
        <v>0</v>
      </c>
      <c r="M1055" s="38">
        <f>COUNTIF(퀘스트!B:B,표1[[#This Row],[명칭]])</f>
        <v>0</v>
      </c>
      <c r="N1055" s="65">
        <f>COUNTIF([1]VillageDiscoveryGroup!$C:$C,표1[[#This Row],[명칭]])</f>
        <v>0</v>
      </c>
      <c r="O1055" s="65">
        <f>SUM(표1[[#This Row],[해양탐색]:[마을탐험]])</f>
        <v>4</v>
      </c>
    </row>
    <row r="1056" spans="2:15" ht="13.5" customHeight="1" x14ac:dyDescent="0.3">
      <c r="B1056" s="9">
        <f>[1]Discovery!A1062</f>
        <v>70409134</v>
      </c>
      <c r="C1056" s="9" t="str">
        <f>[1]Discovery!B1062</f>
        <v>룰나비고기</v>
      </c>
      <c r="D1056" s="9" t="str">
        <f>[1]Discovery!E1062</f>
        <v>동물</v>
      </c>
      <c r="E1056" s="9" t="str">
        <f>[1]Discovery!C1062</f>
        <v>어류</v>
      </c>
      <c r="F1056" s="9" t="str">
        <f>[1]Discovery!G1062</f>
        <v>C</v>
      </c>
      <c r="G1056" s="9" t="str">
        <f>IFERROR(VLOOKUP(표1[[#This Row],[명칭]],'문화권 정리'!C:D,2,FALSE),"-")</f>
        <v>어류</v>
      </c>
      <c r="H1056" s="38" t="str">
        <f>IFERROR(COUNTIF([2]OceanDoodad!$Y:$Y,표1[[#This Row],[명칭]]),"-")</f>
        <v>-</v>
      </c>
      <c r="I1056" s="38">
        <f>IFERROR(COUNTIF([1]AdventureDiscoveryGroup!$D$8:$AW$92,표1[[#This Row],[명칭]]),"-")</f>
        <v>0</v>
      </c>
      <c r="J1056" s="38">
        <f>IFERROR(COUNTIF([1]FishDiscoveryGroup!$A:$X,표1[[#This Row],[명칭]]),"-")</f>
        <v>0</v>
      </c>
      <c r="K1056" s="38" t="str">
        <f>IFERROR(COUNTIF([2]Town!$B:$B,표1[[#This Row],[명칭]]),"-")</f>
        <v>-</v>
      </c>
      <c r="L1056" s="38">
        <f>IFERROR(COUNTIF([1]Village!$BR:$BR,표1[[#This Row],[명칭]]),"-")</f>
        <v>0</v>
      </c>
      <c r="M1056" s="38">
        <f>COUNTIF(퀘스트!B:B,표1[[#This Row],[명칭]])</f>
        <v>0</v>
      </c>
      <c r="N1056" s="65">
        <f>COUNTIF([1]VillageDiscoveryGroup!$C:$C,표1[[#This Row],[명칭]])</f>
        <v>0</v>
      </c>
      <c r="O1056" s="65">
        <f>SUM(표1[[#This Row],[해양탐색]:[마을탐험]])</f>
        <v>0</v>
      </c>
    </row>
    <row r="1057" spans="2:15" ht="13.5" customHeight="1" x14ac:dyDescent="0.3">
      <c r="B1057" s="9">
        <f>[1]Discovery!A1063</f>
        <v>70409135</v>
      </c>
      <c r="C1057" s="9" t="str">
        <f>[1]Discovery!B1063</f>
        <v>만새기</v>
      </c>
      <c r="D1057" s="9" t="str">
        <f>[1]Discovery!E1063</f>
        <v>동물</v>
      </c>
      <c r="E1057" s="9" t="str">
        <f>[1]Discovery!C1063</f>
        <v>어류</v>
      </c>
      <c r="F1057" s="9" t="str">
        <f>[1]Discovery!G1063</f>
        <v>C</v>
      </c>
      <c r="G1057" s="9" t="str">
        <f>IFERROR(VLOOKUP(표1[[#This Row],[명칭]],'문화권 정리'!C:D,2,FALSE),"-")</f>
        <v>어류</v>
      </c>
      <c r="H1057" s="38" t="str">
        <f>IFERROR(COUNTIF([2]OceanDoodad!$Y:$Y,표1[[#This Row],[명칭]]),"-")</f>
        <v>-</v>
      </c>
      <c r="I1057" s="38">
        <f>IFERROR(COUNTIF([1]AdventureDiscoveryGroup!$D$8:$AW$92,표1[[#This Row],[명칭]]),"-")</f>
        <v>0</v>
      </c>
      <c r="J1057" s="38">
        <f>IFERROR(COUNTIF([1]FishDiscoveryGroup!$A:$X,표1[[#This Row],[명칭]]),"-")</f>
        <v>12</v>
      </c>
      <c r="K1057" s="38" t="str">
        <f>IFERROR(COUNTIF([2]Town!$B:$B,표1[[#This Row],[명칭]]),"-")</f>
        <v>-</v>
      </c>
      <c r="L1057" s="38">
        <f>IFERROR(COUNTIF([1]Village!$BR:$BR,표1[[#This Row],[명칭]]),"-")</f>
        <v>0</v>
      </c>
      <c r="M1057" s="38">
        <f>COUNTIF(퀘스트!B:B,표1[[#This Row],[명칭]])</f>
        <v>0</v>
      </c>
      <c r="N1057" s="65">
        <f>COUNTIF([1]VillageDiscoveryGroup!$C:$C,표1[[#This Row],[명칭]])</f>
        <v>0</v>
      </c>
      <c r="O1057" s="65">
        <f>SUM(표1[[#This Row],[해양탐색]:[마을탐험]])</f>
        <v>12</v>
      </c>
    </row>
    <row r="1058" spans="2:15" ht="13.5" customHeight="1" x14ac:dyDescent="0.3">
      <c r="B1058" s="9">
        <f>[1]Discovery!A1064</f>
        <v>70409136</v>
      </c>
      <c r="C1058" s="9" t="str">
        <f>[1]Discovery!B1064</f>
        <v>말뚝망둥어</v>
      </c>
      <c r="D1058" s="9" t="str">
        <f>[1]Discovery!E1064</f>
        <v>동물</v>
      </c>
      <c r="E1058" s="9" t="str">
        <f>[1]Discovery!C1064</f>
        <v>어류</v>
      </c>
      <c r="F1058" s="9" t="str">
        <f>[1]Discovery!G1064</f>
        <v>B</v>
      </c>
      <c r="G1058" s="9" t="str">
        <f>IFERROR(VLOOKUP(표1[[#This Row],[명칭]],'문화권 정리'!C:D,2,FALSE),"-")</f>
        <v>어류</v>
      </c>
      <c r="H1058" s="38" t="str">
        <f>IFERROR(COUNTIF([2]OceanDoodad!$Y:$Y,표1[[#This Row],[명칭]]),"-")</f>
        <v>-</v>
      </c>
      <c r="I1058" s="38">
        <f>IFERROR(COUNTIF([1]AdventureDiscoveryGroup!$D$8:$AW$92,표1[[#This Row],[명칭]]),"-")</f>
        <v>0</v>
      </c>
      <c r="J1058" s="38">
        <f>IFERROR(COUNTIF([1]FishDiscoveryGroup!$A:$X,표1[[#This Row],[명칭]]),"-")</f>
        <v>0</v>
      </c>
      <c r="K1058" s="38" t="str">
        <f>IFERROR(COUNTIF([2]Town!$B:$B,표1[[#This Row],[명칭]]),"-")</f>
        <v>-</v>
      </c>
      <c r="L1058" s="38">
        <f>IFERROR(COUNTIF([1]Village!$BR:$BR,표1[[#This Row],[명칭]]),"-")</f>
        <v>0</v>
      </c>
      <c r="M1058" s="38">
        <f>COUNTIF(퀘스트!B:B,표1[[#This Row],[명칭]])</f>
        <v>0</v>
      </c>
      <c r="N1058" s="65">
        <f>COUNTIF([1]VillageDiscoveryGroup!$C:$C,표1[[#This Row],[명칭]])</f>
        <v>0</v>
      </c>
      <c r="O1058" s="65">
        <f>SUM(표1[[#This Row],[해양탐색]:[마을탐험]])</f>
        <v>0</v>
      </c>
    </row>
    <row r="1059" spans="2:15" ht="13.5" customHeight="1" x14ac:dyDescent="0.3">
      <c r="B1059" s="9">
        <f>[1]Discovery!A1065</f>
        <v>70409137</v>
      </c>
      <c r="C1059" s="9" t="str">
        <f>[1]Discovery!B1065</f>
        <v>말쥐치</v>
      </c>
      <c r="D1059" s="9" t="str">
        <f>[1]Discovery!E1065</f>
        <v>동물</v>
      </c>
      <c r="E1059" s="9" t="str">
        <f>[1]Discovery!C1065</f>
        <v>어류</v>
      </c>
      <c r="F1059" s="9" t="str">
        <f>[1]Discovery!G1065</f>
        <v>B</v>
      </c>
      <c r="G1059" s="9" t="str">
        <f>IFERROR(VLOOKUP(표1[[#This Row],[명칭]],'문화권 정리'!C:D,2,FALSE),"-")</f>
        <v>어류</v>
      </c>
      <c r="H1059" s="38" t="str">
        <f>IFERROR(COUNTIF([2]OceanDoodad!$Y:$Y,표1[[#This Row],[명칭]]),"-")</f>
        <v>-</v>
      </c>
      <c r="I1059" s="38">
        <f>IFERROR(COUNTIF([1]AdventureDiscoveryGroup!$D$8:$AW$92,표1[[#This Row],[명칭]]),"-")</f>
        <v>0</v>
      </c>
      <c r="J1059" s="38">
        <f>IFERROR(COUNTIF([1]FishDiscoveryGroup!$A:$X,표1[[#This Row],[명칭]]),"-")</f>
        <v>0</v>
      </c>
      <c r="K1059" s="38" t="str">
        <f>IFERROR(COUNTIF([2]Town!$B:$B,표1[[#This Row],[명칭]]),"-")</f>
        <v>-</v>
      </c>
      <c r="L1059" s="38">
        <f>IFERROR(COUNTIF([1]Village!$BR:$BR,표1[[#This Row],[명칭]]),"-")</f>
        <v>0</v>
      </c>
      <c r="M1059" s="38">
        <f>COUNTIF(퀘스트!B:B,표1[[#This Row],[명칭]])</f>
        <v>0</v>
      </c>
      <c r="N1059" s="65">
        <f>COUNTIF([1]VillageDiscoveryGroup!$C:$C,표1[[#This Row],[명칭]])</f>
        <v>0</v>
      </c>
      <c r="O1059" s="65">
        <f>SUM(표1[[#This Row],[해양탐색]:[마을탐험]])</f>
        <v>0</v>
      </c>
    </row>
    <row r="1060" spans="2:15" ht="13.5" customHeight="1" x14ac:dyDescent="0.3">
      <c r="B1060" s="9">
        <f>[1]Discovery!A1066</f>
        <v>70409138</v>
      </c>
      <c r="C1060" s="9" t="str">
        <f>[1]Discovery!B1066</f>
        <v>망치고등어</v>
      </c>
      <c r="D1060" s="9" t="str">
        <f>[1]Discovery!E1066</f>
        <v>동물</v>
      </c>
      <c r="E1060" s="9" t="str">
        <f>[1]Discovery!C1066</f>
        <v>어류</v>
      </c>
      <c r="F1060" s="9" t="str">
        <f>[1]Discovery!G1066</f>
        <v>C</v>
      </c>
      <c r="G1060" s="9" t="str">
        <f>IFERROR(VLOOKUP(표1[[#This Row],[명칭]],'문화권 정리'!C:D,2,FALSE),"-")</f>
        <v>어류</v>
      </c>
      <c r="H1060" s="38" t="str">
        <f>IFERROR(COUNTIF([2]OceanDoodad!$Y:$Y,표1[[#This Row],[명칭]]),"-")</f>
        <v>-</v>
      </c>
      <c r="I1060" s="38">
        <f>IFERROR(COUNTIF([1]AdventureDiscoveryGroup!$D$8:$AW$92,표1[[#This Row],[명칭]]),"-")</f>
        <v>0</v>
      </c>
      <c r="J1060" s="38">
        <f>IFERROR(COUNTIF([1]FishDiscoveryGroup!$A:$X,표1[[#This Row],[명칭]]),"-")</f>
        <v>4</v>
      </c>
      <c r="K1060" s="38" t="str">
        <f>IFERROR(COUNTIF([2]Town!$B:$B,표1[[#This Row],[명칭]]),"-")</f>
        <v>-</v>
      </c>
      <c r="L1060" s="38">
        <f>IFERROR(COUNTIF([1]Village!$BR:$BR,표1[[#This Row],[명칭]]),"-")</f>
        <v>0</v>
      </c>
      <c r="M1060" s="38">
        <f>COUNTIF(퀘스트!B:B,표1[[#This Row],[명칭]])</f>
        <v>0</v>
      </c>
      <c r="N1060" s="65">
        <f>COUNTIF([1]VillageDiscoveryGroup!$C:$C,표1[[#This Row],[명칭]])</f>
        <v>0</v>
      </c>
      <c r="O1060" s="65">
        <f>SUM(표1[[#This Row],[해양탐색]:[마을탐험]])</f>
        <v>4</v>
      </c>
    </row>
    <row r="1061" spans="2:15" ht="13.5" customHeight="1" x14ac:dyDescent="0.3">
      <c r="B1061" s="9">
        <f>[1]Discovery!A1067</f>
        <v>70409139</v>
      </c>
      <c r="C1061" s="9" t="str">
        <f>[1]Discovery!B1067</f>
        <v>망치고래</v>
      </c>
      <c r="D1061" s="9" t="str">
        <f>[1]Discovery!E1067</f>
        <v>동물</v>
      </c>
      <c r="E1061" s="9" t="str">
        <f>[1]Discovery!C1067</f>
        <v>포유류</v>
      </c>
      <c r="F1061" s="9" t="str">
        <f>[1]Discovery!G1067</f>
        <v>S</v>
      </c>
      <c r="G1061" s="9" t="str">
        <f>IFERROR(VLOOKUP(표1[[#This Row],[명칭]],'문화권 정리'!C:D,2,FALSE),"-")</f>
        <v>어류</v>
      </c>
      <c r="H1061" s="38" t="str">
        <f>IFERROR(COUNTIF([2]OceanDoodad!$Y:$Y,표1[[#This Row],[명칭]]),"-")</f>
        <v>-</v>
      </c>
      <c r="I1061" s="38">
        <f>IFERROR(COUNTIF([1]AdventureDiscoveryGroup!$D$8:$AW$92,표1[[#This Row],[명칭]]),"-")</f>
        <v>0</v>
      </c>
      <c r="J1061" s="38">
        <f>IFERROR(COUNTIF([1]FishDiscoveryGroup!$A:$X,표1[[#This Row],[명칭]]),"-")</f>
        <v>4</v>
      </c>
      <c r="K1061" s="38" t="str">
        <f>IFERROR(COUNTIF([2]Town!$B:$B,표1[[#This Row],[명칭]]),"-")</f>
        <v>-</v>
      </c>
      <c r="L1061" s="38">
        <f>IFERROR(COUNTIF([1]Village!$BR:$BR,표1[[#This Row],[명칭]]),"-")</f>
        <v>0</v>
      </c>
      <c r="M1061" s="38">
        <f>COUNTIF(퀘스트!B:B,표1[[#This Row],[명칭]])</f>
        <v>0</v>
      </c>
      <c r="N1061" s="65">
        <f>COUNTIF([1]VillageDiscoveryGroup!$C:$C,표1[[#This Row],[명칭]])</f>
        <v>0</v>
      </c>
      <c r="O1061" s="65">
        <f>SUM(표1[[#This Row],[해양탐색]:[마을탐험]])</f>
        <v>4</v>
      </c>
    </row>
    <row r="1062" spans="2:15" ht="13.5" customHeight="1" x14ac:dyDescent="0.3">
      <c r="B1062" s="9">
        <f>[1]Discovery!A1068</f>
        <v>70409140</v>
      </c>
      <c r="C1062" s="9" t="str">
        <f>[1]Discovery!B1068</f>
        <v>매끈이송편게</v>
      </c>
      <c r="D1062" s="9" t="str">
        <f>[1]Discovery!E1068</f>
        <v>동물</v>
      </c>
      <c r="E1062" s="9" t="str">
        <f>[1]Discovery!C1068</f>
        <v>무척추동물</v>
      </c>
      <c r="F1062" s="9" t="str">
        <f>[1]Discovery!G1068</f>
        <v>A</v>
      </c>
      <c r="G1062" s="9" t="str">
        <f>IFERROR(VLOOKUP(표1[[#This Row],[명칭]],'문화권 정리'!C:D,2,FALSE),"-")</f>
        <v>어류</v>
      </c>
      <c r="H1062" s="38" t="str">
        <f>IFERROR(COUNTIF([2]OceanDoodad!$Y:$Y,표1[[#This Row],[명칭]]),"-")</f>
        <v>-</v>
      </c>
      <c r="I1062" s="38">
        <f>IFERROR(COUNTIF([1]AdventureDiscoveryGroup!$D$8:$AW$92,표1[[#This Row],[명칭]]),"-")</f>
        <v>0</v>
      </c>
      <c r="J1062" s="38">
        <f>IFERROR(COUNTIF([1]FishDiscoveryGroup!$A:$X,표1[[#This Row],[명칭]]),"-")</f>
        <v>4</v>
      </c>
      <c r="K1062" s="38" t="str">
        <f>IFERROR(COUNTIF([2]Town!$B:$B,표1[[#This Row],[명칭]]),"-")</f>
        <v>-</v>
      </c>
      <c r="L1062" s="38">
        <f>IFERROR(COUNTIF([1]Village!$BR:$BR,표1[[#This Row],[명칭]]),"-")</f>
        <v>0</v>
      </c>
      <c r="M1062" s="38">
        <f>COUNTIF(퀘스트!B:B,표1[[#This Row],[명칭]])</f>
        <v>0</v>
      </c>
      <c r="N1062" s="65">
        <f>COUNTIF([1]VillageDiscoveryGroup!$C:$C,표1[[#This Row],[명칭]])</f>
        <v>0</v>
      </c>
      <c r="O1062" s="65">
        <f>SUM(표1[[#This Row],[해양탐색]:[마을탐험]])</f>
        <v>4</v>
      </c>
    </row>
    <row r="1063" spans="2:15" ht="13.5" customHeight="1" x14ac:dyDescent="0.3">
      <c r="B1063" s="9">
        <f>[1]Discovery!A1069</f>
        <v>70409141</v>
      </c>
      <c r="C1063" s="9" t="str">
        <f>[1]Discovery!B1069</f>
        <v>매날치</v>
      </c>
      <c r="D1063" s="9" t="str">
        <f>[1]Discovery!E1069</f>
        <v>동물</v>
      </c>
      <c r="E1063" s="9" t="str">
        <f>[1]Discovery!C1069</f>
        <v>어류</v>
      </c>
      <c r="F1063" s="9" t="str">
        <f>[1]Discovery!G1069</f>
        <v>C</v>
      </c>
      <c r="G1063" s="9" t="str">
        <f>IFERROR(VLOOKUP(표1[[#This Row],[명칭]],'문화권 정리'!C:D,2,FALSE),"-")</f>
        <v>어류</v>
      </c>
      <c r="H1063" s="38" t="str">
        <f>IFERROR(COUNTIF([2]OceanDoodad!$Y:$Y,표1[[#This Row],[명칭]]),"-")</f>
        <v>-</v>
      </c>
      <c r="I1063" s="38">
        <f>IFERROR(COUNTIF([1]AdventureDiscoveryGroup!$D$8:$AW$92,표1[[#This Row],[명칭]]),"-")</f>
        <v>0</v>
      </c>
      <c r="J1063" s="38">
        <f>IFERROR(COUNTIF([1]FishDiscoveryGroup!$A:$X,표1[[#This Row],[명칭]]),"-")</f>
        <v>8</v>
      </c>
      <c r="K1063" s="38" t="str">
        <f>IFERROR(COUNTIF([2]Town!$B:$B,표1[[#This Row],[명칭]]),"-")</f>
        <v>-</v>
      </c>
      <c r="L1063" s="38">
        <f>IFERROR(COUNTIF([1]Village!$BR:$BR,표1[[#This Row],[명칭]]),"-")</f>
        <v>0</v>
      </c>
      <c r="M1063" s="38">
        <f>COUNTIF(퀘스트!B:B,표1[[#This Row],[명칭]])</f>
        <v>0</v>
      </c>
      <c r="N1063" s="65">
        <f>COUNTIF([1]VillageDiscoveryGroup!$C:$C,표1[[#This Row],[명칭]])</f>
        <v>0</v>
      </c>
      <c r="O1063" s="65">
        <f>SUM(표1[[#This Row],[해양탐색]:[마을탐험]])</f>
        <v>8</v>
      </c>
    </row>
    <row r="1064" spans="2:15" ht="13.5" customHeight="1" x14ac:dyDescent="0.3">
      <c r="B1064" s="9">
        <f>[1]Discovery!A1070</f>
        <v>70409142</v>
      </c>
      <c r="C1064" s="9" t="str">
        <f>[1]Discovery!B1070</f>
        <v>매너티</v>
      </c>
      <c r="D1064" s="9" t="str">
        <f>[1]Discovery!E1070</f>
        <v>동물</v>
      </c>
      <c r="E1064" s="9" t="str">
        <f>[1]Discovery!C1070</f>
        <v>포유류</v>
      </c>
      <c r="F1064" s="9" t="str">
        <f>[1]Discovery!G1070</f>
        <v>S</v>
      </c>
      <c r="G1064" s="9" t="str">
        <f>IFERROR(VLOOKUP(표1[[#This Row],[명칭]],'문화권 정리'!C:D,2,FALSE),"-")</f>
        <v>어류</v>
      </c>
      <c r="H1064" s="38" t="str">
        <f>IFERROR(COUNTIF([2]OceanDoodad!$Y:$Y,표1[[#This Row],[명칭]]),"-")</f>
        <v>-</v>
      </c>
      <c r="I1064" s="38">
        <f>IFERROR(COUNTIF([1]AdventureDiscoveryGroup!$D$8:$AW$92,표1[[#This Row],[명칭]]),"-")</f>
        <v>0</v>
      </c>
      <c r="J1064" s="38">
        <f>IFERROR(COUNTIF([1]FishDiscoveryGroup!$A:$X,표1[[#This Row],[명칭]]),"-")</f>
        <v>4</v>
      </c>
      <c r="K1064" s="38" t="str">
        <f>IFERROR(COUNTIF([2]Town!$B:$B,표1[[#This Row],[명칭]]),"-")</f>
        <v>-</v>
      </c>
      <c r="L1064" s="38">
        <f>IFERROR(COUNTIF([1]Village!$BR:$BR,표1[[#This Row],[명칭]]),"-")</f>
        <v>0</v>
      </c>
      <c r="M1064" s="38">
        <f>COUNTIF(퀘스트!B:B,표1[[#This Row],[명칭]])</f>
        <v>0</v>
      </c>
      <c r="N1064" s="65">
        <f>COUNTIF([1]VillageDiscoveryGroup!$C:$C,표1[[#This Row],[명칭]])</f>
        <v>0</v>
      </c>
      <c r="O1064" s="65">
        <f>SUM(표1[[#This Row],[해양탐색]:[마을탐험]])</f>
        <v>4</v>
      </c>
    </row>
    <row r="1065" spans="2:15" ht="13.5" customHeight="1" x14ac:dyDescent="0.3">
      <c r="B1065" s="9">
        <f>[1]Discovery!A1071</f>
        <v>70409143</v>
      </c>
      <c r="C1065" s="9" t="str">
        <f>[1]Discovery!B1071</f>
        <v>매지방어</v>
      </c>
      <c r="D1065" s="9" t="str">
        <f>[1]Discovery!E1071</f>
        <v>동물</v>
      </c>
      <c r="E1065" s="9" t="str">
        <f>[1]Discovery!C1071</f>
        <v>어류</v>
      </c>
      <c r="F1065" s="9" t="str">
        <f>[1]Discovery!G1071</f>
        <v>C</v>
      </c>
      <c r="G1065" s="9" t="str">
        <f>IFERROR(VLOOKUP(표1[[#This Row],[명칭]],'문화권 정리'!C:D,2,FALSE),"-")</f>
        <v>어류</v>
      </c>
      <c r="H1065" s="38" t="str">
        <f>IFERROR(COUNTIF([2]OceanDoodad!$Y:$Y,표1[[#This Row],[명칭]]),"-")</f>
        <v>-</v>
      </c>
      <c r="I1065" s="38">
        <f>IFERROR(COUNTIF([1]AdventureDiscoveryGroup!$D$8:$AW$92,표1[[#This Row],[명칭]]),"-")</f>
        <v>0</v>
      </c>
      <c r="J1065" s="38">
        <f>IFERROR(COUNTIF([1]FishDiscoveryGroup!$A:$X,표1[[#This Row],[명칭]]),"-")</f>
        <v>0</v>
      </c>
      <c r="K1065" s="38" t="str">
        <f>IFERROR(COUNTIF([2]Town!$B:$B,표1[[#This Row],[명칭]]),"-")</f>
        <v>-</v>
      </c>
      <c r="L1065" s="38">
        <f>IFERROR(COUNTIF([1]Village!$BR:$BR,표1[[#This Row],[명칭]]),"-")</f>
        <v>0</v>
      </c>
      <c r="M1065" s="38">
        <f>COUNTIF(퀘스트!B:B,표1[[#This Row],[명칭]])</f>
        <v>0</v>
      </c>
      <c r="N1065" s="65">
        <f>COUNTIF([1]VillageDiscoveryGroup!$C:$C,표1[[#This Row],[명칭]])</f>
        <v>0</v>
      </c>
      <c r="O1065" s="65">
        <f>SUM(표1[[#This Row],[해양탐색]:[마을탐험]])</f>
        <v>0</v>
      </c>
    </row>
    <row r="1066" spans="2:15" ht="13.5" customHeight="1" x14ac:dyDescent="0.3">
      <c r="B1066" s="9">
        <f>[1]Discovery!A1072</f>
        <v>70409144</v>
      </c>
      <c r="C1066" s="9" t="str">
        <f>[1]Discovery!B1072</f>
        <v>매퉁이</v>
      </c>
      <c r="D1066" s="9" t="str">
        <f>[1]Discovery!E1072</f>
        <v>동물</v>
      </c>
      <c r="E1066" s="9" t="str">
        <f>[1]Discovery!C1072</f>
        <v>어류</v>
      </c>
      <c r="F1066" s="9" t="str">
        <f>[1]Discovery!G1072</f>
        <v>B</v>
      </c>
      <c r="G1066" s="9" t="str">
        <f>IFERROR(VLOOKUP(표1[[#This Row],[명칭]],'문화권 정리'!C:D,2,FALSE),"-")</f>
        <v>어류</v>
      </c>
      <c r="H1066" s="38" t="str">
        <f>IFERROR(COUNTIF([2]OceanDoodad!$Y:$Y,표1[[#This Row],[명칭]]),"-")</f>
        <v>-</v>
      </c>
      <c r="I1066" s="38">
        <f>IFERROR(COUNTIF([1]AdventureDiscoveryGroup!$D$8:$AW$92,표1[[#This Row],[명칭]]),"-")</f>
        <v>0</v>
      </c>
      <c r="J1066" s="38">
        <f>IFERROR(COUNTIF([1]FishDiscoveryGroup!$A:$X,표1[[#This Row],[명칭]]),"-")</f>
        <v>4</v>
      </c>
      <c r="K1066" s="38" t="str">
        <f>IFERROR(COUNTIF([2]Town!$B:$B,표1[[#This Row],[명칭]]),"-")</f>
        <v>-</v>
      </c>
      <c r="L1066" s="38">
        <f>IFERROR(COUNTIF([1]Village!$BR:$BR,표1[[#This Row],[명칭]]),"-")</f>
        <v>0</v>
      </c>
      <c r="M1066" s="38">
        <f>COUNTIF(퀘스트!B:B,표1[[#This Row],[명칭]])</f>
        <v>0</v>
      </c>
      <c r="N1066" s="65">
        <f>COUNTIF([1]VillageDiscoveryGroup!$C:$C,표1[[#This Row],[명칭]])</f>
        <v>0</v>
      </c>
      <c r="O1066" s="65">
        <f>SUM(표1[[#This Row],[해양탐색]:[마을탐험]])</f>
        <v>4</v>
      </c>
    </row>
    <row r="1067" spans="2:15" ht="13.5" customHeight="1" x14ac:dyDescent="0.3">
      <c r="B1067" s="9">
        <f>[1]Discovery!A1073</f>
        <v>70409145</v>
      </c>
      <c r="C1067" s="9" t="str">
        <f>[1]Discovery!B1073</f>
        <v>먹붕장어</v>
      </c>
      <c r="D1067" s="9" t="str">
        <f>[1]Discovery!E1073</f>
        <v>동물</v>
      </c>
      <c r="E1067" s="9" t="str">
        <f>[1]Discovery!C1073</f>
        <v>어류</v>
      </c>
      <c r="F1067" s="9" t="str">
        <f>[1]Discovery!G1073</f>
        <v>B</v>
      </c>
      <c r="G1067" s="9" t="str">
        <f>IFERROR(VLOOKUP(표1[[#This Row],[명칭]],'문화권 정리'!C:D,2,FALSE),"-")</f>
        <v>어류</v>
      </c>
      <c r="H1067" s="38" t="str">
        <f>IFERROR(COUNTIF([2]OceanDoodad!$Y:$Y,표1[[#This Row],[명칭]]),"-")</f>
        <v>-</v>
      </c>
      <c r="I1067" s="38">
        <f>IFERROR(COUNTIF([1]AdventureDiscoveryGroup!$D$8:$AW$92,표1[[#This Row],[명칭]]),"-")</f>
        <v>0</v>
      </c>
      <c r="J1067" s="38">
        <f>IFERROR(COUNTIF([1]FishDiscoveryGroup!$A:$X,표1[[#This Row],[명칭]]),"-")</f>
        <v>4</v>
      </c>
      <c r="K1067" s="38" t="str">
        <f>IFERROR(COUNTIF([2]Town!$B:$B,표1[[#This Row],[명칭]]),"-")</f>
        <v>-</v>
      </c>
      <c r="L1067" s="38">
        <f>IFERROR(COUNTIF([1]Village!$BR:$BR,표1[[#This Row],[명칭]]),"-")</f>
        <v>0</v>
      </c>
      <c r="M1067" s="38">
        <f>COUNTIF(퀘스트!B:B,표1[[#This Row],[명칭]])</f>
        <v>0</v>
      </c>
      <c r="N1067" s="65">
        <f>COUNTIF([1]VillageDiscoveryGroup!$C:$C,표1[[#This Row],[명칭]])</f>
        <v>0</v>
      </c>
      <c r="O1067" s="65">
        <f>SUM(표1[[#This Row],[해양탐색]:[마을탐험]])</f>
        <v>4</v>
      </c>
    </row>
    <row r="1068" spans="2:15" ht="13.5" customHeight="1" x14ac:dyDescent="0.3">
      <c r="B1068" s="9">
        <f>[1]Discovery!A1074</f>
        <v>70409146</v>
      </c>
      <c r="C1068" s="9" t="str">
        <f>[1]Discovery!B1074</f>
        <v>먹얼게비늘</v>
      </c>
      <c r="D1068" s="9" t="str">
        <f>[1]Discovery!E1074</f>
        <v>동물</v>
      </c>
      <c r="E1068" s="9" t="str">
        <f>[1]Discovery!C1074</f>
        <v>어류</v>
      </c>
      <c r="F1068" s="9" t="str">
        <f>[1]Discovery!G1074</f>
        <v>S</v>
      </c>
      <c r="G1068" s="9" t="str">
        <f>IFERROR(VLOOKUP(표1[[#This Row],[명칭]],'문화권 정리'!C:D,2,FALSE),"-")</f>
        <v>어류</v>
      </c>
      <c r="H1068" s="38" t="str">
        <f>IFERROR(COUNTIF([2]OceanDoodad!$Y:$Y,표1[[#This Row],[명칭]]),"-")</f>
        <v>-</v>
      </c>
      <c r="I1068" s="38">
        <f>IFERROR(COUNTIF([1]AdventureDiscoveryGroup!$D$8:$AW$92,표1[[#This Row],[명칭]]),"-")</f>
        <v>0</v>
      </c>
      <c r="J1068" s="38">
        <f>IFERROR(COUNTIF([1]FishDiscoveryGroup!$A:$X,표1[[#This Row],[명칭]]),"-")</f>
        <v>0</v>
      </c>
      <c r="K1068" s="38" t="str">
        <f>IFERROR(COUNTIF([2]Town!$B:$B,표1[[#This Row],[명칭]]),"-")</f>
        <v>-</v>
      </c>
      <c r="L1068" s="38">
        <f>IFERROR(COUNTIF([1]Village!$BR:$BR,표1[[#This Row],[명칭]]),"-")</f>
        <v>0</v>
      </c>
      <c r="M1068" s="38">
        <f>COUNTIF(퀘스트!B:B,표1[[#This Row],[명칭]])</f>
        <v>0</v>
      </c>
      <c r="N1068" s="65">
        <f>COUNTIF([1]VillageDiscoveryGroup!$C:$C,표1[[#This Row],[명칭]])</f>
        <v>0</v>
      </c>
      <c r="O1068" s="65">
        <f>SUM(표1[[#This Row],[해양탐색]:[마을탐험]])</f>
        <v>0</v>
      </c>
    </row>
    <row r="1069" spans="2:15" ht="13.5" customHeight="1" x14ac:dyDescent="0.3">
      <c r="B1069" s="9">
        <f>[1]Discovery!A1075</f>
        <v>70409147</v>
      </c>
      <c r="C1069" s="9" t="str">
        <f>[1]Discovery!B1075</f>
        <v>먹장어</v>
      </c>
      <c r="D1069" s="9" t="str">
        <f>[1]Discovery!E1075</f>
        <v>동물</v>
      </c>
      <c r="E1069" s="9" t="str">
        <f>[1]Discovery!C1075</f>
        <v>어류</v>
      </c>
      <c r="F1069" s="9" t="str">
        <f>[1]Discovery!G1075</f>
        <v>C</v>
      </c>
      <c r="G1069" s="9" t="str">
        <f>IFERROR(VLOOKUP(표1[[#This Row],[명칭]],'문화권 정리'!C:D,2,FALSE),"-")</f>
        <v>어류</v>
      </c>
      <c r="H1069" s="38" t="str">
        <f>IFERROR(COUNTIF([2]OceanDoodad!$Y:$Y,표1[[#This Row],[명칭]]),"-")</f>
        <v>-</v>
      </c>
      <c r="I1069" s="38">
        <f>IFERROR(COUNTIF([1]AdventureDiscoveryGroup!$D$8:$AW$92,표1[[#This Row],[명칭]]),"-")</f>
        <v>0</v>
      </c>
      <c r="J1069" s="38">
        <f>IFERROR(COUNTIF([1]FishDiscoveryGroup!$A:$X,표1[[#This Row],[명칭]]),"-")</f>
        <v>0</v>
      </c>
      <c r="K1069" s="38" t="str">
        <f>IFERROR(COUNTIF([2]Town!$B:$B,표1[[#This Row],[명칭]]),"-")</f>
        <v>-</v>
      </c>
      <c r="L1069" s="38">
        <f>IFERROR(COUNTIF([1]Village!$BR:$BR,표1[[#This Row],[명칭]]),"-")</f>
        <v>0</v>
      </c>
      <c r="M1069" s="38">
        <f>COUNTIF(퀘스트!B:B,표1[[#This Row],[명칭]])</f>
        <v>0</v>
      </c>
      <c r="N1069" s="65">
        <f>COUNTIF([1]VillageDiscoveryGroup!$C:$C,표1[[#This Row],[명칭]])</f>
        <v>0</v>
      </c>
      <c r="O1069" s="65">
        <f>SUM(표1[[#This Row],[해양탐색]:[마을탐험]])</f>
        <v>0</v>
      </c>
    </row>
    <row r="1070" spans="2:15" ht="13.5" customHeight="1" x14ac:dyDescent="0.3">
      <c r="B1070" s="9">
        <f>[1]Discovery!A1076</f>
        <v>70409148</v>
      </c>
      <c r="C1070" s="9" t="str">
        <f>[1]Discovery!B1076</f>
        <v>먹줄촉수</v>
      </c>
      <c r="D1070" s="9" t="str">
        <f>[1]Discovery!E1076</f>
        <v>동물</v>
      </c>
      <c r="E1070" s="9" t="str">
        <f>[1]Discovery!C1076</f>
        <v>어류</v>
      </c>
      <c r="F1070" s="9" t="str">
        <f>[1]Discovery!G1076</f>
        <v>B</v>
      </c>
      <c r="G1070" s="9" t="str">
        <f>IFERROR(VLOOKUP(표1[[#This Row],[명칭]],'문화권 정리'!C:D,2,FALSE),"-")</f>
        <v>어류</v>
      </c>
      <c r="H1070" s="38" t="str">
        <f>IFERROR(COUNTIF([2]OceanDoodad!$Y:$Y,표1[[#This Row],[명칭]]),"-")</f>
        <v>-</v>
      </c>
      <c r="I1070" s="38">
        <f>IFERROR(COUNTIF([1]AdventureDiscoveryGroup!$D$8:$AW$92,표1[[#This Row],[명칭]]),"-")</f>
        <v>0</v>
      </c>
      <c r="J1070" s="38">
        <f>IFERROR(COUNTIF([1]FishDiscoveryGroup!$A:$X,표1[[#This Row],[명칭]]),"-")</f>
        <v>0</v>
      </c>
      <c r="K1070" s="38" t="str">
        <f>IFERROR(COUNTIF([2]Town!$B:$B,표1[[#This Row],[명칭]]),"-")</f>
        <v>-</v>
      </c>
      <c r="L1070" s="38">
        <f>IFERROR(COUNTIF([1]Village!$BR:$BR,표1[[#This Row],[명칭]]),"-")</f>
        <v>0</v>
      </c>
      <c r="M1070" s="38">
        <f>COUNTIF(퀘스트!B:B,표1[[#This Row],[명칭]])</f>
        <v>0</v>
      </c>
      <c r="N1070" s="65">
        <f>COUNTIF([1]VillageDiscoveryGroup!$C:$C,표1[[#This Row],[명칭]])</f>
        <v>0</v>
      </c>
      <c r="O1070" s="65">
        <f>SUM(표1[[#This Row],[해양탐색]:[마을탐험]])</f>
        <v>0</v>
      </c>
    </row>
    <row r="1071" spans="2:15" ht="13.5" customHeight="1" x14ac:dyDescent="0.3">
      <c r="B1071" s="9">
        <f>[1]Discovery!A1077</f>
        <v>70409149</v>
      </c>
      <c r="C1071" s="9" t="str">
        <f>[1]Discovery!B1077</f>
        <v>먹테얼게비늘</v>
      </c>
      <c r="D1071" s="9" t="str">
        <f>[1]Discovery!E1077</f>
        <v>동물</v>
      </c>
      <c r="E1071" s="9" t="str">
        <f>[1]Discovery!C1077</f>
        <v>어류</v>
      </c>
      <c r="F1071" s="9" t="str">
        <f>[1]Discovery!G1077</f>
        <v>B</v>
      </c>
      <c r="G1071" s="9" t="str">
        <f>IFERROR(VLOOKUP(표1[[#This Row],[명칭]],'문화권 정리'!C:D,2,FALSE),"-")</f>
        <v>어류</v>
      </c>
      <c r="H1071" s="38" t="str">
        <f>IFERROR(COUNTIF([2]OceanDoodad!$Y:$Y,표1[[#This Row],[명칭]]),"-")</f>
        <v>-</v>
      </c>
      <c r="I1071" s="38">
        <f>IFERROR(COUNTIF([1]AdventureDiscoveryGroup!$D$8:$AW$92,표1[[#This Row],[명칭]]),"-")</f>
        <v>0</v>
      </c>
      <c r="J1071" s="38">
        <f>IFERROR(COUNTIF([1]FishDiscoveryGroup!$A:$X,표1[[#This Row],[명칭]]),"-")</f>
        <v>4</v>
      </c>
      <c r="K1071" s="38" t="str">
        <f>IFERROR(COUNTIF([2]Town!$B:$B,표1[[#This Row],[명칭]]),"-")</f>
        <v>-</v>
      </c>
      <c r="L1071" s="38">
        <f>IFERROR(COUNTIF([1]Village!$BR:$BR,표1[[#This Row],[명칭]]),"-")</f>
        <v>0</v>
      </c>
      <c r="M1071" s="38">
        <f>COUNTIF(퀘스트!B:B,표1[[#This Row],[명칭]])</f>
        <v>0</v>
      </c>
      <c r="N1071" s="65">
        <f>COUNTIF([1]VillageDiscoveryGroup!$C:$C,표1[[#This Row],[명칭]])</f>
        <v>0</v>
      </c>
      <c r="O1071" s="65">
        <f>SUM(표1[[#This Row],[해양탐색]:[마을탐험]])</f>
        <v>4</v>
      </c>
    </row>
    <row r="1072" spans="2:15" ht="13.5" customHeight="1" x14ac:dyDescent="0.3">
      <c r="B1072" s="9">
        <f>[1]Discovery!A1078</f>
        <v>70409150</v>
      </c>
      <c r="C1072" s="9" t="str">
        <f>[1]Discovery!B1078</f>
        <v>멸치</v>
      </c>
      <c r="D1072" s="9" t="str">
        <f>[1]Discovery!E1078</f>
        <v>동물</v>
      </c>
      <c r="E1072" s="9" t="str">
        <f>[1]Discovery!C1078</f>
        <v>어류</v>
      </c>
      <c r="F1072" s="9" t="str">
        <f>[1]Discovery!G1078</f>
        <v>D</v>
      </c>
      <c r="G1072" s="9" t="str">
        <f>IFERROR(VLOOKUP(표1[[#This Row],[명칭]],'문화권 정리'!C:D,2,FALSE),"-")</f>
        <v>어류</v>
      </c>
      <c r="H1072" s="38" t="str">
        <f>IFERROR(COUNTIF([2]OceanDoodad!$Y:$Y,표1[[#This Row],[명칭]]),"-")</f>
        <v>-</v>
      </c>
      <c r="I1072" s="38">
        <f>IFERROR(COUNTIF([1]AdventureDiscoveryGroup!$D$8:$AW$92,표1[[#This Row],[명칭]]),"-")</f>
        <v>0</v>
      </c>
      <c r="J1072" s="38">
        <f>IFERROR(COUNTIF([1]FishDiscoveryGroup!$A:$X,표1[[#This Row],[명칭]]),"-")</f>
        <v>8</v>
      </c>
      <c r="K1072" s="38" t="str">
        <f>IFERROR(COUNTIF([2]Town!$B:$B,표1[[#This Row],[명칭]]),"-")</f>
        <v>-</v>
      </c>
      <c r="L1072" s="38">
        <f>IFERROR(COUNTIF([1]Village!$BR:$BR,표1[[#This Row],[명칭]]),"-")</f>
        <v>0</v>
      </c>
      <c r="M1072" s="38">
        <f>COUNTIF(퀘스트!B:B,표1[[#This Row],[명칭]])</f>
        <v>0</v>
      </c>
      <c r="N1072" s="65">
        <f>COUNTIF([1]VillageDiscoveryGroup!$C:$C,표1[[#This Row],[명칭]])</f>
        <v>0</v>
      </c>
      <c r="O1072" s="65">
        <f>SUM(표1[[#This Row],[해양탐색]:[마을탐험]])</f>
        <v>8</v>
      </c>
    </row>
    <row r="1073" spans="2:15" ht="13.5" customHeight="1" x14ac:dyDescent="0.3">
      <c r="B1073" s="9">
        <f>[1]Discovery!A1079</f>
        <v>70409151</v>
      </c>
      <c r="C1073" s="9" t="str">
        <f>[1]Discovery!B1079</f>
        <v>명태</v>
      </c>
      <c r="D1073" s="9" t="str">
        <f>[1]Discovery!E1079</f>
        <v>동물</v>
      </c>
      <c r="E1073" s="9" t="str">
        <f>[1]Discovery!C1079</f>
        <v>어류</v>
      </c>
      <c r="F1073" s="9" t="str">
        <f>[1]Discovery!G1079</f>
        <v>B</v>
      </c>
      <c r="G1073" s="9" t="str">
        <f>IFERROR(VLOOKUP(표1[[#This Row],[명칭]],'문화권 정리'!C:D,2,FALSE),"-")</f>
        <v>어류</v>
      </c>
      <c r="H1073" s="38" t="str">
        <f>IFERROR(COUNTIF([2]OceanDoodad!$Y:$Y,표1[[#This Row],[명칭]]),"-")</f>
        <v>-</v>
      </c>
      <c r="I1073" s="38">
        <f>IFERROR(COUNTIF([1]AdventureDiscoveryGroup!$D$8:$AW$92,표1[[#This Row],[명칭]]),"-")</f>
        <v>0</v>
      </c>
      <c r="J1073" s="38">
        <f>IFERROR(COUNTIF([1]FishDiscoveryGroup!$A:$X,표1[[#This Row],[명칭]]),"-")</f>
        <v>1</v>
      </c>
      <c r="K1073" s="38" t="str">
        <f>IFERROR(COUNTIF([2]Town!$B:$B,표1[[#This Row],[명칭]]),"-")</f>
        <v>-</v>
      </c>
      <c r="L1073" s="38">
        <f>IFERROR(COUNTIF([1]Village!$BR:$BR,표1[[#This Row],[명칭]]),"-")</f>
        <v>0</v>
      </c>
      <c r="M1073" s="38">
        <f>COUNTIF(퀘스트!B:B,표1[[#This Row],[명칭]])</f>
        <v>0</v>
      </c>
      <c r="N1073" s="65">
        <f>COUNTIF([1]VillageDiscoveryGroup!$C:$C,표1[[#This Row],[명칭]])</f>
        <v>0</v>
      </c>
      <c r="O1073" s="65">
        <f>SUM(표1[[#This Row],[해양탐색]:[마을탐험]])</f>
        <v>1</v>
      </c>
    </row>
    <row r="1074" spans="2:15" ht="13.5" customHeight="1" x14ac:dyDescent="0.3">
      <c r="B1074" s="9">
        <f>[1]Discovery!A1080</f>
        <v>70409152</v>
      </c>
      <c r="C1074" s="9" t="str">
        <f>[1]Discovery!B1080</f>
        <v>모조리상어</v>
      </c>
      <c r="D1074" s="9" t="str">
        <f>[1]Discovery!E1080</f>
        <v>동물</v>
      </c>
      <c r="E1074" s="9" t="str">
        <f>[1]Discovery!C1080</f>
        <v>어류</v>
      </c>
      <c r="F1074" s="9" t="str">
        <f>[1]Discovery!G1080</f>
        <v>S</v>
      </c>
      <c r="G1074" s="9" t="str">
        <f>IFERROR(VLOOKUP(표1[[#This Row],[명칭]],'문화권 정리'!C:D,2,FALSE),"-")</f>
        <v>어류</v>
      </c>
      <c r="H1074" s="38" t="str">
        <f>IFERROR(COUNTIF([2]OceanDoodad!$Y:$Y,표1[[#This Row],[명칭]]),"-")</f>
        <v>-</v>
      </c>
      <c r="I1074" s="38">
        <f>IFERROR(COUNTIF([1]AdventureDiscoveryGroup!$D$8:$AW$92,표1[[#This Row],[명칭]]),"-")</f>
        <v>0</v>
      </c>
      <c r="J1074" s="38">
        <f>IFERROR(COUNTIF([1]FishDiscoveryGroup!$A:$X,표1[[#This Row],[명칭]]),"-")</f>
        <v>1</v>
      </c>
      <c r="K1074" s="38" t="str">
        <f>IFERROR(COUNTIF([2]Town!$B:$B,표1[[#This Row],[명칭]]),"-")</f>
        <v>-</v>
      </c>
      <c r="L1074" s="38">
        <f>IFERROR(COUNTIF([1]Village!$BR:$BR,표1[[#This Row],[명칭]]),"-")</f>
        <v>0</v>
      </c>
      <c r="M1074" s="38">
        <f>COUNTIF(퀘스트!B:B,표1[[#This Row],[명칭]])</f>
        <v>0</v>
      </c>
      <c r="N1074" s="65">
        <f>COUNTIF([1]VillageDiscoveryGroup!$C:$C,표1[[#This Row],[명칭]])</f>
        <v>0</v>
      </c>
      <c r="O1074" s="65">
        <f>SUM(표1[[#This Row],[해양탐색]:[마을탐험]])</f>
        <v>1</v>
      </c>
    </row>
    <row r="1075" spans="2:15" ht="13.5" customHeight="1" x14ac:dyDescent="0.3">
      <c r="B1075" s="9">
        <f>[1]Discovery!A1081</f>
        <v>70409153</v>
      </c>
      <c r="C1075" s="9" t="str">
        <f>[1]Discovery!B1081</f>
        <v>모토로담수가오리</v>
      </c>
      <c r="D1075" s="9" t="str">
        <f>[1]Discovery!E1081</f>
        <v>동물</v>
      </c>
      <c r="E1075" s="9" t="str">
        <f>[1]Discovery!C1081</f>
        <v>어류</v>
      </c>
      <c r="F1075" s="9" t="str">
        <f>[1]Discovery!G1081</f>
        <v>A</v>
      </c>
      <c r="G1075" s="9" t="str">
        <f>IFERROR(VLOOKUP(표1[[#This Row],[명칭]],'문화권 정리'!C:D,2,FALSE),"-")</f>
        <v>어류</v>
      </c>
      <c r="H1075" s="38" t="str">
        <f>IFERROR(COUNTIF([2]OceanDoodad!$Y:$Y,표1[[#This Row],[명칭]]),"-")</f>
        <v>-</v>
      </c>
      <c r="I1075" s="38">
        <f>IFERROR(COUNTIF([1]AdventureDiscoveryGroup!$D$8:$AW$92,표1[[#This Row],[명칭]]),"-")</f>
        <v>0</v>
      </c>
      <c r="J1075" s="38">
        <f>IFERROR(COUNTIF([1]FishDiscoveryGroup!$A:$X,표1[[#This Row],[명칭]]),"-")</f>
        <v>0</v>
      </c>
      <c r="K1075" s="38" t="str">
        <f>IFERROR(COUNTIF([2]Town!$B:$B,표1[[#This Row],[명칭]]),"-")</f>
        <v>-</v>
      </c>
      <c r="L1075" s="38">
        <f>IFERROR(COUNTIF([1]Village!$BR:$BR,표1[[#This Row],[명칭]]),"-")</f>
        <v>0</v>
      </c>
      <c r="M1075" s="38">
        <f>COUNTIF(퀘스트!B:B,표1[[#This Row],[명칭]])</f>
        <v>0</v>
      </c>
      <c r="N1075" s="65">
        <f>COUNTIF([1]VillageDiscoveryGroup!$C:$C,표1[[#This Row],[명칭]])</f>
        <v>0</v>
      </c>
      <c r="O1075" s="65">
        <f>SUM(표1[[#This Row],[해양탐색]:[마을탐험]])</f>
        <v>0</v>
      </c>
    </row>
    <row r="1076" spans="2:15" ht="13.5" customHeight="1" x14ac:dyDescent="0.3">
      <c r="B1076" s="9">
        <f>[1]Discovery!A1082</f>
        <v>70409154</v>
      </c>
      <c r="C1076" s="9" t="str">
        <f>[1]Discovery!B1082</f>
        <v>몽치다래</v>
      </c>
      <c r="D1076" s="9" t="str">
        <f>[1]Discovery!E1082</f>
        <v>동물</v>
      </c>
      <c r="E1076" s="9" t="str">
        <f>[1]Discovery!C1082</f>
        <v>어류</v>
      </c>
      <c r="F1076" s="9" t="str">
        <f>[1]Discovery!G1082</f>
        <v>C</v>
      </c>
      <c r="G1076" s="9" t="str">
        <f>IFERROR(VLOOKUP(표1[[#This Row],[명칭]],'문화권 정리'!C:D,2,FALSE),"-")</f>
        <v>어류</v>
      </c>
      <c r="H1076" s="38" t="str">
        <f>IFERROR(COUNTIF([2]OceanDoodad!$Y:$Y,표1[[#This Row],[명칭]]),"-")</f>
        <v>-</v>
      </c>
      <c r="I1076" s="38">
        <f>IFERROR(COUNTIF([1]AdventureDiscoveryGroup!$D$8:$AW$92,표1[[#This Row],[명칭]]),"-")</f>
        <v>0</v>
      </c>
      <c r="J1076" s="38">
        <f>IFERROR(COUNTIF([1]FishDiscoveryGroup!$A:$X,표1[[#This Row],[명칭]]),"-")</f>
        <v>0</v>
      </c>
      <c r="K1076" s="38" t="str">
        <f>IFERROR(COUNTIF([2]Town!$B:$B,표1[[#This Row],[명칭]]),"-")</f>
        <v>-</v>
      </c>
      <c r="L1076" s="38">
        <f>IFERROR(COUNTIF([1]Village!$BR:$BR,표1[[#This Row],[명칭]]),"-")</f>
        <v>0</v>
      </c>
      <c r="M1076" s="38">
        <f>COUNTIF(퀘스트!B:B,표1[[#This Row],[명칭]])</f>
        <v>0</v>
      </c>
      <c r="N1076" s="65">
        <f>COUNTIF([1]VillageDiscoveryGroup!$C:$C,표1[[#This Row],[명칭]])</f>
        <v>0</v>
      </c>
      <c r="O1076" s="65">
        <f>SUM(표1[[#This Row],[해양탐색]:[마을탐험]])</f>
        <v>0</v>
      </c>
    </row>
    <row r="1077" spans="2:15" ht="13.5" customHeight="1" x14ac:dyDescent="0.3">
      <c r="B1077" s="9">
        <f>[1]Discovery!A1083</f>
        <v>70409155</v>
      </c>
      <c r="C1077" s="9" t="str">
        <f>[1]Discovery!B1083</f>
        <v>무늬가시돔</v>
      </c>
      <c r="D1077" s="9" t="str">
        <f>[1]Discovery!E1083</f>
        <v>동물</v>
      </c>
      <c r="E1077" s="9" t="str">
        <f>[1]Discovery!C1083</f>
        <v>어류</v>
      </c>
      <c r="F1077" s="9" t="str">
        <f>[1]Discovery!G1083</f>
        <v>B</v>
      </c>
      <c r="G1077" s="9" t="str">
        <f>IFERROR(VLOOKUP(표1[[#This Row],[명칭]],'문화권 정리'!C:D,2,FALSE),"-")</f>
        <v>어류</v>
      </c>
      <c r="H1077" s="38" t="str">
        <f>IFERROR(COUNTIF([2]OceanDoodad!$Y:$Y,표1[[#This Row],[명칭]]),"-")</f>
        <v>-</v>
      </c>
      <c r="I1077" s="38">
        <f>IFERROR(COUNTIF([1]AdventureDiscoveryGroup!$D$8:$AW$92,표1[[#This Row],[명칭]]),"-")</f>
        <v>0</v>
      </c>
      <c r="J1077" s="38">
        <f>IFERROR(COUNTIF([1]FishDiscoveryGroup!$A:$X,표1[[#This Row],[명칭]]),"-")</f>
        <v>0</v>
      </c>
      <c r="K1077" s="38" t="str">
        <f>IFERROR(COUNTIF([2]Town!$B:$B,표1[[#This Row],[명칭]]),"-")</f>
        <v>-</v>
      </c>
      <c r="L1077" s="38">
        <f>IFERROR(COUNTIF([1]Village!$BR:$BR,표1[[#This Row],[명칭]]),"-")</f>
        <v>0</v>
      </c>
      <c r="M1077" s="38">
        <f>COUNTIF(퀘스트!B:B,표1[[#This Row],[명칭]])</f>
        <v>0</v>
      </c>
      <c r="N1077" s="65">
        <f>COUNTIF([1]VillageDiscoveryGroup!$C:$C,표1[[#This Row],[명칭]])</f>
        <v>0</v>
      </c>
      <c r="O1077" s="65">
        <f>SUM(표1[[#This Row],[해양탐색]:[마을탐험]])</f>
        <v>0</v>
      </c>
    </row>
    <row r="1078" spans="2:15" ht="13.5" customHeight="1" x14ac:dyDescent="0.3">
      <c r="B1078" s="9">
        <f>[1]Discovery!A1084</f>
        <v>70409156</v>
      </c>
      <c r="C1078" s="9" t="str">
        <f>[1]Discovery!B1084</f>
        <v>무늬갈돔</v>
      </c>
      <c r="D1078" s="9" t="str">
        <f>[1]Discovery!E1084</f>
        <v>동물</v>
      </c>
      <c r="E1078" s="9" t="str">
        <f>[1]Discovery!C1084</f>
        <v>어류</v>
      </c>
      <c r="F1078" s="9" t="str">
        <f>[1]Discovery!G1084</f>
        <v>B</v>
      </c>
      <c r="G1078" s="9" t="str">
        <f>IFERROR(VLOOKUP(표1[[#This Row],[명칭]],'문화권 정리'!C:D,2,FALSE),"-")</f>
        <v>어류</v>
      </c>
      <c r="H1078" s="38" t="str">
        <f>IFERROR(COUNTIF([2]OceanDoodad!$Y:$Y,표1[[#This Row],[명칭]]),"-")</f>
        <v>-</v>
      </c>
      <c r="I1078" s="38">
        <f>IFERROR(COUNTIF([1]AdventureDiscoveryGroup!$D$8:$AW$92,표1[[#This Row],[명칭]]),"-")</f>
        <v>0</v>
      </c>
      <c r="J1078" s="38">
        <f>IFERROR(COUNTIF([1]FishDiscoveryGroup!$A:$X,표1[[#This Row],[명칭]]),"-")</f>
        <v>4</v>
      </c>
      <c r="K1078" s="38" t="str">
        <f>IFERROR(COUNTIF([2]Town!$B:$B,표1[[#This Row],[명칭]]),"-")</f>
        <v>-</v>
      </c>
      <c r="L1078" s="38">
        <f>IFERROR(COUNTIF([1]Village!$BR:$BR,표1[[#This Row],[명칭]]),"-")</f>
        <v>0</v>
      </c>
      <c r="M1078" s="38">
        <f>COUNTIF(퀘스트!B:B,표1[[#This Row],[명칭]])</f>
        <v>0</v>
      </c>
      <c r="N1078" s="65">
        <f>COUNTIF([1]VillageDiscoveryGroup!$C:$C,표1[[#This Row],[명칭]])</f>
        <v>0</v>
      </c>
      <c r="O1078" s="65">
        <f>SUM(표1[[#This Row],[해양탐색]:[마을탐험]])</f>
        <v>4</v>
      </c>
    </row>
    <row r="1079" spans="2:15" ht="13.5" customHeight="1" x14ac:dyDescent="0.3">
      <c r="B1079" s="9">
        <f>[1]Discovery!A1085</f>
        <v>70409157</v>
      </c>
      <c r="C1079" s="9" t="str">
        <f>[1]Discovery!B1085</f>
        <v>무늬깜정이</v>
      </c>
      <c r="D1079" s="9" t="str">
        <f>[1]Discovery!E1085</f>
        <v>동물</v>
      </c>
      <c r="E1079" s="9" t="str">
        <f>[1]Discovery!C1085</f>
        <v>어류</v>
      </c>
      <c r="F1079" s="9" t="str">
        <f>[1]Discovery!G1085</f>
        <v>C</v>
      </c>
      <c r="G1079" s="9" t="str">
        <f>IFERROR(VLOOKUP(표1[[#This Row],[명칭]],'문화권 정리'!C:D,2,FALSE),"-")</f>
        <v>어류</v>
      </c>
      <c r="H1079" s="38" t="str">
        <f>IFERROR(COUNTIF([2]OceanDoodad!$Y:$Y,표1[[#This Row],[명칭]]),"-")</f>
        <v>-</v>
      </c>
      <c r="I1079" s="38">
        <f>IFERROR(COUNTIF([1]AdventureDiscoveryGroup!$D$8:$AW$92,표1[[#This Row],[명칭]]),"-")</f>
        <v>0</v>
      </c>
      <c r="J1079" s="38">
        <f>IFERROR(COUNTIF([1]FishDiscoveryGroup!$A:$X,표1[[#This Row],[명칭]]),"-")</f>
        <v>8</v>
      </c>
      <c r="K1079" s="38" t="str">
        <f>IFERROR(COUNTIF([2]Town!$B:$B,표1[[#This Row],[명칭]]),"-")</f>
        <v>-</v>
      </c>
      <c r="L1079" s="38">
        <f>IFERROR(COUNTIF([1]Village!$BR:$BR,표1[[#This Row],[명칭]]),"-")</f>
        <v>0</v>
      </c>
      <c r="M1079" s="38">
        <f>COUNTIF(퀘스트!B:B,표1[[#This Row],[명칭]])</f>
        <v>0</v>
      </c>
      <c r="N1079" s="65">
        <f>COUNTIF([1]VillageDiscoveryGroup!$C:$C,표1[[#This Row],[명칭]])</f>
        <v>0</v>
      </c>
      <c r="O1079" s="65">
        <f>SUM(표1[[#This Row],[해양탐색]:[마을탐험]])</f>
        <v>8</v>
      </c>
    </row>
    <row r="1080" spans="2:15" ht="13.5" customHeight="1" x14ac:dyDescent="0.3">
      <c r="B1080" s="9">
        <f>[1]Discovery!A1086</f>
        <v>70409158</v>
      </c>
      <c r="C1080" s="9" t="str">
        <f>[1]Discovery!B1086</f>
        <v>무늬바리</v>
      </c>
      <c r="D1080" s="9" t="str">
        <f>[1]Discovery!E1086</f>
        <v>동물</v>
      </c>
      <c r="E1080" s="9" t="str">
        <f>[1]Discovery!C1086</f>
        <v>어류</v>
      </c>
      <c r="F1080" s="9" t="str">
        <f>[1]Discovery!G1086</f>
        <v>C</v>
      </c>
      <c r="G1080" s="9" t="str">
        <f>IFERROR(VLOOKUP(표1[[#This Row],[명칭]],'문화권 정리'!C:D,2,FALSE),"-")</f>
        <v>어류</v>
      </c>
      <c r="H1080" s="38" t="str">
        <f>IFERROR(COUNTIF([2]OceanDoodad!$Y:$Y,표1[[#This Row],[명칭]]),"-")</f>
        <v>-</v>
      </c>
      <c r="I1080" s="38">
        <f>IFERROR(COUNTIF([1]AdventureDiscoveryGroup!$D$8:$AW$92,표1[[#This Row],[명칭]]),"-")</f>
        <v>0</v>
      </c>
      <c r="J1080" s="38">
        <f>IFERROR(COUNTIF([1]FishDiscoveryGroup!$A:$X,표1[[#This Row],[명칭]]),"-")</f>
        <v>0</v>
      </c>
      <c r="K1080" s="38" t="str">
        <f>IFERROR(COUNTIF([2]Town!$B:$B,표1[[#This Row],[명칭]]),"-")</f>
        <v>-</v>
      </c>
      <c r="L1080" s="38">
        <f>IFERROR(COUNTIF([1]Village!$BR:$BR,표1[[#This Row],[명칭]]),"-")</f>
        <v>0</v>
      </c>
      <c r="M1080" s="38">
        <f>COUNTIF(퀘스트!B:B,표1[[#This Row],[명칭]])</f>
        <v>0</v>
      </c>
      <c r="N1080" s="65">
        <f>COUNTIF([1]VillageDiscoveryGroup!$C:$C,표1[[#This Row],[명칭]])</f>
        <v>0</v>
      </c>
      <c r="O1080" s="65">
        <f>SUM(표1[[#This Row],[해양탐색]:[마을탐험]])</f>
        <v>0</v>
      </c>
    </row>
    <row r="1081" spans="2:15" ht="13.5" customHeight="1" x14ac:dyDescent="0.3">
      <c r="B1081" s="9">
        <f>[1]Discovery!A1087</f>
        <v>70409159</v>
      </c>
      <c r="C1081" s="9" t="str">
        <f>[1]Discovery!B1087</f>
        <v>무늬쥐치</v>
      </c>
      <c r="D1081" s="9" t="str">
        <f>[1]Discovery!E1087</f>
        <v>동물</v>
      </c>
      <c r="E1081" s="9" t="str">
        <f>[1]Discovery!C1087</f>
        <v>어류</v>
      </c>
      <c r="F1081" s="9" t="str">
        <f>[1]Discovery!G1087</f>
        <v>C</v>
      </c>
      <c r="G1081" s="9" t="str">
        <f>IFERROR(VLOOKUP(표1[[#This Row],[명칭]],'문화권 정리'!C:D,2,FALSE),"-")</f>
        <v>어류</v>
      </c>
      <c r="H1081" s="38" t="str">
        <f>IFERROR(COUNTIF([2]OceanDoodad!$Y:$Y,표1[[#This Row],[명칭]]),"-")</f>
        <v>-</v>
      </c>
      <c r="I1081" s="38">
        <f>IFERROR(COUNTIF([1]AdventureDiscoveryGroup!$D$8:$AW$92,표1[[#This Row],[명칭]]),"-")</f>
        <v>0</v>
      </c>
      <c r="J1081" s="38">
        <f>IFERROR(COUNTIF([1]FishDiscoveryGroup!$A:$X,표1[[#This Row],[명칭]]),"-")</f>
        <v>4</v>
      </c>
      <c r="K1081" s="38" t="str">
        <f>IFERROR(COUNTIF([2]Town!$B:$B,표1[[#This Row],[명칭]]),"-")</f>
        <v>-</v>
      </c>
      <c r="L1081" s="38">
        <f>IFERROR(COUNTIF([1]Village!$BR:$BR,표1[[#This Row],[명칭]]),"-")</f>
        <v>0</v>
      </c>
      <c r="M1081" s="38">
        <f>COUNTIF(퀘스트!B:B,표1[[#This Row],[명칭]])</f>
        <v>0</v>
      </c>
      <c r="N1081" s="65">
        <f>COUNTIF([1]VillageDiscoveryGroup!$C:$C,표1[[#This Row],[명칭]])</f>
        <v>0</v>
      </c>
      <c r="O1081" s="65">
        <f>SUM(표1[[#This Row],[해양탐색]:[마을탐험]])</f>
        <v>4</v>
      </c>
    </row>
    <row r="1082" spans="2:15" ht="13.5" customHeight="1" x14ac:dyDescent="0.3">
      <c r="B1082" s="9">
        <f>[1]Discovery!A1088</f>
        <v>70409160</v>
      </c>
      <c r="C1082" s="9" t="str">
        <f>[1]Discovery!B1088</f>
        <v>무늬퉁돔</v>
      </c>
      <c r="D1082" s="9" t="str">
        <f>[1]Discovery!E1088</f>
        <v>동물</v>
      </c>
      <c r="E1082" s="9" t="str">
        <f>[1]Discovery!C1088</f>
        <v>어류</v>
      </c>
      <c r="F1082" s="9" t="str">
        <f>[1]Discovery!G1088</f>
        <v>C</v>
      </c>
      <c r="G1082" s="9" t="str">
        <f>IFERROR(VLOOKUP(표1[[#This Row],[명칭]],'문화권 정리'!C:D,2,FALSE),"-")</f>
        <v>어류</v>
      </c>
      <c r="H1082" s="38" t="str">
        <f>IFERROR(COUNTIF([2]OceanDoodad!$Y:$Y,표1[[#This Row],[명칭]]),"-")</f>
        <v>-</v>
      </c>
      <c r="I1082" s="38">
        <f>IFERROR(COUNTIF([1]AdventureDiscoveryGroup!$D$8:$AW$92,표1[[#This Row],[명칭]]),"-")</f>
        <v>0</v>
      </c>
      <c r="J1082" s="38">
        <f>IFERROR(COUNTIF([1]FishDiscoveryGroup!$A:$X,표1[[#This Row],[명칭]]),"-")</f>
        <v>4</v>
      </c>
      <c r="K1082" s="38" t="str">
        <f>IFERROR(COUNTIF([2]Town!$B:$B,표1[[#This Row],[명칭]]),"-")</f>
        <v>-</v>
      </c>
      <c r="L1082" s="38">
        <f>IFERROR(COUNTIF([1]Village!$BR:$BR,표1[[#This Row],[명칭]]),"-")</f>
        <v>0</v>
      </c>
      <c r="M1082" s="38">
        <f>COUNTIF(퀘스트!B:B,표1[[#This Row],[명칭]])</f>
        <v>0</v>
      </c>
      <c r="N1082" s="65">
        <f>COUNTIF([1]VillageDiscoveryGroup!$C:$C,표1[[#This Row],[명칭]])</f>
        <v>0</v>
      </c>
      <c r="O1082" s="65">
        <f>SUM(표1[[#This Row],[해양탐색]:[마을탐험]])</f>
        <v>4</v>
      </c>
    </row>
    <row r="1083" spans="2:15" ht="13.5" customHeight="1" x14ac:dyDescent="0.3">
      <c r="B1083" s="9">
        <f>[1]Discovery!A1089</f>
        <v>70409161</v>
      </c>
      <c r="C1083" s="9" t="str">
        <f>[1]Discovery!B1089</f>
        <v>무지개송어</v>
      </c>
      <c r="D1083" s="9" t="str">
        <f>[1]Discovery!E1089</f>
        <v>동물</v>
      </c>
      <c r="E1083" s="9" t="str">
        <f>[1]Discovery!C1089</f>
        <v>어류</v>
      </c>
      <c r="F1083" s="9" t="str">
        <f>[1]Discovery!G1089</f>
        <v>C</v>
      </c>
      <c r="G1083" s="9" t="str">
        <f>IFERROR(VLOOKUP(표1[[#This Row],[명칭]],'문화권 정리'!C:D,2,FALSE),"-")</f>
        <v>어류</v>
      </c>
      <c r="H1083" s="38" t="str">
        <f>IFERROR(COUNTIF([2]OceanDoodad!$Y:$Y,표1[[#This Row],[명칭]]),"-")</f>
        <v>-</v>
      </c>
      <c r="I1083" s="38">
        <f>IFERROR(COUNTIF([1]AdventureDiscoveryGroup!$D$8:$AW$92,표1[[#This Row],[명칭]]),"-")</f>
        <v>0</v>
      </c>
      <c r="J1083" s="38">
        <f>IFERROR(COUNTIF([1]FishDiscoveryGroup!$A:$X,표1[[#This Row],[명칭]]),"-")</f>
        <v>4</v>
      </c>
      <c r="K1083" s="38" t="str">
        <f>IFERROR(COUNTIF([2]Town!$B:$B,표1[[#This Row],[명칭]]),"-")</f>
        <v>-</v>
      </c>
      <c r="L1083" s="38">
        <f>IFERROR(COUNTIF([1]Village!$BR:$BR,표1[[#This Row],[명칭]]),"-")</f>
        <v>0</v>
      </c>
      <c r="M1083" s="38">
        <f>COUNTIF(퀘스트!B:B,표1[[#This Row],[명칭]])</f>
        <v>0</v>
      </c>
      <c r="N1083" s="65">
        <f>COUNTIF([1]VillageDiscoveryGroup!$C:$C,표1[[#This Row],[명칭]])</f>
        <v>0</v>
      </c>
      <c r="O1083" s="65">
        <f>SUM(표1[[#This Row],[해양탐색]:[마을탐험]])</f>
        <v>4</v>
      </c>
    </row>
    <row r="1084" spans="2:15" ht="13.5" customHeight="1" x14ac:dyDescent="0.3">
      <c r="B1084" s="9">
        <f>[1]Discovery!A1090</f>
        <v>70409162</v>
      </c>
      <c r="C1084" s="9" t="str">
        <f>[1]Discovery!B1090</f>
        <v>무태상어</v>
      </c>
      <c r="D1084" s="9" t="str">
        <f>[1]Discovery!E1090</f>
        <v>동물</v>
      </c>
      <c r="E1084" s="9" t="str">
        <f>[1]Discovery!C1090</f>
        <v>어류</v>
      </c>
      <c r="F1084" s="9" t="str">
        <f>[1]Discovery!G1090</f>
        <v>S</v>
      </c>
      <c r="G1084" s="9" t="str">
        <f>IFERROR(VLOOKUP(표1[[#This Row],[명칭]],'문화권 정리'!C:D,2,FALSE),"-")</f>
        <v>어류</v>
      </c>
      <c r="H1084" s="38" t="str">
        <f>IFERROR(COUNTIF([2]OceanDoodad!$Y:$Y,표1[[#This Row],[명칭]]),"-")</f>
        <v>-</v>
      </c>
      <c r="I1084" s="38">
        <f>IFERROR(COUNTIF([1]AdventureDiscoveryGroup!$D$8:$AW$92,표1[[#This Row],[명칭]]),"-")</f>
        <v>0</v>
      </c>
      <c r="J1084" s="38">
        <f>IFERROR(COUNTIF([1]FishDiscoveryGroup!$A:$X,표1[[#This Row],[명칭]]),"-")</f>
        <v>0</v>
      </c>
      <c r="K1084" s="38" t="str">
        <f>IFERROR(COUNTIF([2]Town!$B:$B,표1[[#This Row],[명칭]]),"-")</f>
        <v>-</v>
      </c>
      <c r="L1084" s="38">
        <f>IFERROR(COUNTIF([1]Village!$BR:$BR,표1[[#This Row],[명칭]]),"-")</f>
        <v>0</v>
      </c>
      <c r="M1084" s="38">
        <f>COUNTIF(퀘스트!B:B,표1[[#This Row],[명칭]])</f>
        <v>0</v>
      </c>
      <c r="N1084" s="65">
        <f>COUNTIF([1]VillageDiscoveryGroup!$C:$C,표1[[#This Row],[명칭]])</f>
        <v>0</v>
      </c>
      <c r="O1084" s="65">
        <f>SUM(표1[[#This Row],[해양탐색]:[마을탐험]])</f>
        <v>0</v>
      </c>
    </row>
    <row r="1085" spans="2:15" ht="13.5" customHeight="1" x14ac:dyDescent="0.3">
      <c r="B1085" s="9">
        <f>[1]Discovery!A1091</f>
        <v>70409163</v>
      </c>
      <c r="C1085" s="9" t="str">
        <f>[1]Discovery!B1091</f>
        <v>문절망둑</v>
      </c>
      <c r="D1085" s="9" t="str">
        <f>[1]Discovery!E1091</f>
        <v>동물</v>
      </c>
      <c r="E1085" s="9" t="str">
        <f>[1]Discovery!C1091</f>
        <v>어류</v>
      </c>
      <c r="F1085" s="9" t="str">
        <f>[1]Discovery!G1091</f>
        <v>B</v>
      </c>
      <c r="G1085" s="9" t="str">
        <f>IFERROR(VLOOKUP(표1[[#This Row],[명칭]],'문화권 정리'!C:D,2,FALSE),"-")</f>
        <v>어류</v>
      </c>
      <c r="H1085" s="38" t="str">
        <f>IFERROR(COUNTIF([2]OceanDoodad!$Y:$Y,표1[[#This Row],[명칭]]),"-")</f>
        <v>-</v>
      </c>
      <c r="I1085" s="38">
        <f>IFERROR(COUNTIF([1]AdventureDiscoveryGroup!$D$8:$AW$92,표1[[#This Row],[명칭]]),"-")</f>
        <v>0</v>
      </c>
      <c r="J1085" s="38">
        <f>IFERROR(COUNTIF([1]FishDiscoveryGroup!$A:$X,표1[[#This Row],[명칭]]),"-")</f>
        <v>0</v>
      </c>
      <c r="K1085" s="38" t="str">
        <f>IFERROR(COUNTIF([2]Town!$B:$B,표1[[#This Row],[명칭]]),"-")</f>
        <v>-</v>
      </c>
      <c r="L1085" s="38">
        <f>IFERROR(COUNTIF([1]Village!$BR:$BR,표1[[#This Row],[명칭]]),"-")</f>
        <v>0</v>
      </c>
      <c r="M1085" s="38">
        <f>COUNTIF(퀘스트!B:B,표1[[#This Row],[명칭]])</f>
        <v>0</v>
      </c>
      <c r="N1085" s="65">
        <f>COUNTIF([1]VillageDiscoveryGroup!$C:$C,표1[[#This Row],[명칭]])</f>
        <v>0</v>
      </c>
      <c r="O1085" s="65">
        <f>SUM(표1[[#This Row],[해양탐색]:[마을탐험]])</f>
        <v>0</v>
      </c>
    </row>
    <row r="1086" spans="2:15" ht="13.5" customHeight="1" x14ac:dyDescent="0.3">
      <c r="B1086" s="9">
        <f>[1]Discovery!A1092</f>
        <v>70409164</v>
      </c>
      <c r="C1086" s="9" t="str">
        <f>[1]Discovery!B1092</f>
        <v>물가자미</v>
      </c>
      <c r="D1086" s="9" t="str">
        <f>[1]Discovery!E1092</f>
        <v>동물</v>
      </c>
      <c r="E1086" s="9" t="str">
        <f>[1]Discovery!C1092</f>
        <v>어류</v>
      </c>
      <c r="F1086" s="9" t="str">
        <f>[1]Discovery!G1092</f>
        <v>B</v>
      </c>
      <c r="G1086" s="9" t="str">
        <f>IFERROR(VLOOKUP(표1[[#This Row],[명칭]],'문화권 정리'!C:D,2,FALSE),"-")</f>
        <v>어류</v>
      </c>
      <c r="H1086" s="38" t="str">
        <f>IFERROR(COUNTIF([2]OceanDoodad!$Y:$Y,표1[[#This Row],[명칭]]),"-")</f>
        <v>-</v>
      </c>
      <c r="I1086" s="38">
        <f>IFERROR(COUNTIF([1]AdventureDiscoveryGroup!$D$8:$AW$92,표1[[#This Row],[명칭]]),"-")</f>
        <v>0</v>
      </c>
      <c r="J1086" s="38">
        <f>IFERROR(COUNTIF([1]FishDiscoveryGroup!$A:$X,표1[[#This Row],[명칭]]),"-")</f>
        <v>0</v>
      </c>
      <c r="K1086" s="38" t="str">
        <f>IFERROR(COUNTIF([2]Town!$B:$B,표1[[#This Row],[명칭]]),"-")</f>
        <v>-</v>
      </c>
      <c r="L1086" s="38">
        <f>IFERROR(COUNTIF([1]Village!$BR:$BR,표1[[#This Row],[명칭]]),"-")</f>
        <v>0</v>
      </c>
      <c r="M1086" s="38">
        <f>COUNTIF(퀘스트!B:B,표1[[#This Row],[명칭]])</f>
        <v>0</v>
      </c>
      <c r="N1086" s="65">
        <f>COUNTIF([1]VillageDiscoveryGroup!$C:$C,표1[[#This Row],[명칭]])</f>
        <v>0</v>
      </c>
      <c r="O1086" s="65">
        <f>SUM(표1[[#This Row],[해양탐색]:[마을탐험]])</f>
        <v>0</v>
      </c>
    </row>
    <row r="1087" spans="2:15" ht="13.5" customHeight="1" x14ac:dyDescent="0.3">
      <c r="B1087" s="9">
        <f>[1]Discovery!A1093</f>
        <v>70409165</v>
      </c>
      <c r="C1087" s="9" t="str">
        <f>[1]Discovery!B1093</f>
        <v>물각쥐치</v>
      </c>
      <c r="D1087" s="9" t="str">
        <f>[1]Discovery!E1093</f>
        <v>동물</v>
      </c>
      <c r="E1087" s="9" t="str">
        <f>[1]Discovery!C1093</f>
        <v>어류</v>
      </c>
      <c r="F1087" s="9" t="str">
        <f>[1]Discovery!G1093</f>
        <v>C</v>
      </c>
      <c r="G1087" s="9" t="str">
        <f>IFERROR(VLOOKUP(표1[[#This Row],[명칭]],'문화권 정리'!C:D,2,FALSE),"-")</f>
        <v>어류</v>
      </c>
      <c r="H1087" s="38" t="str">
        <f>IFERROR(COUNTIF([2]OceanDoodad!$Y:$Y,표1[[#This Row],[명칭]]),"-")</f>
        <v>-</v>
      </c>
      <c r="I1087" s="38">
        <f>IFERROR(COUNTIF([1]AdventureDiscoveryGroup!$D$8:$AW$92,표1[[#This Row],[명칭]]),"-")</f>
        <v>0</v>
      </c>
      <c r="J1087" s="38">
        <f>IFERROR(COUNTIF([1]FishDiscoveryGroup!$A:$X,표1[[#This Row],[명칭]]),"-")</f>
        <v>4</v>
      </c>
      <c r="K1087" s="38" t="str">
        <f>IFERROR(COUNTIF([2]Town!$B:$B,표1[[#This Row],[명칭]]),"-")</f>
        <v>-</v>
      </c>
      <c r="L1087" s="38">
        <f>IFERROR(COUNTIF([1]Village!$BR:$BR,표1[[#This Row],[명칭]]),"-")</f>
        <v>0</v>
      </c>
      <c r="M1087" s="38">
        <f>COUNTIF(퀘스트!B:B,표1[[#This Row],[명칭]])</f>
        <v>0</v>
      </c>
      <c r="N1087" s="65">
        <f>COUNTIF([1]VillageDiscoveryGroup!$C:$C,표1[[#This Row],[명칭]])</f>
        <v>0</v>
      </c>
      <c r="O1087" s="65">
        <f>SUM(표1[[#This Row],[해양탐색]:[마을탐험]])</f>
        <v>4</v>
      </c>
    </row>
    <row r="1088" spans="2:15" ht="13.5" customHeight="1" x14ac:dyDescent="0.3">
      <c r="B1088" s="9">
        <f>[1]Discovery!A1094</f>
        <v>70409166</v>
      </c>
      <c r="C1088" s="9" t="str">
        <f>[1]Discovery!B1094</f>
        <v>물개복치</v>
      </c>
      <c r="D1088" s="9" t="str">
        <f>[1]Discovery!E1094</f>
        <v>동물</v>
      </c>
      <c r="E1088" s="9" t="str">
        <f>[1]Discovery!C1094</f>
        <v>어류</v>
      </c>
      <c r="F1088" s="9" t="str">
        <f>[1]Discovery!G1094</f>
        <v>C</v>
      </c>
      <c r="G1088" s="9" t="str">
        <f>IFERROR(VLOOKUP(표1[[#This Row],[명칭]],'문화권 정리'!C:D,2,FALSE),"-")</f>
        <v>어류</v>
      </c>
      <c r="H1088" s="38" t="str">
        <f>IFERROR(COUNTIF([2]OceanDoodad!$Y:$Y,표1[[#This Row],[명칭]]),"-")</f>
        <v>-</v>
      </c>
      <c r="I1088" s="38">
        <f>IFERROR(COUNTIF([1]AdventureDiscoveryGroup!$D$8:$AW$92,표1[[#This Row],[명칭]]),"-")</f>
        <v>0</v>
      </c>
      <c r="J1088" s="38">
        <f>IFERROR(COUNTIF([1]FishDiscoveryGroup!$A:$X,표1[[#This Row],[명칭]]),"-")</f>
        <v>4</v>
      </c>
      <c r="K1088" s="38" t="str">
        <f>IFERROR(COUNTIF([2]Town!$B:$B,표1[[#This Row],[명칭]]),"-")</f>
        <v>-</v>
      </c>
      <c r="L1088" s="38">
        <f>IFERROR(COUNTIF([1]Village!$BR:$BR,표1[[#This Row],[명칭]]),"-")</f>
        <v>0</v>
      </c>
      <c r="M1088" s="38">
        <f>COUNTIF(퀘스트!B:B,표1[[#This Row],[명칭]])</f>
        <v>0</v>
      </c>
      <c r="N1088" s="65">
        <f>COUNTIF([1]VillageDiscoveryGroup!$C:$C,표1[[#This Row],[명칭]])</f>
        <v>0</v>
      </c>
      <c r="O1088" s="65">
        <f>SUM(표1[[#This Row],[해양탐색]:[마을탐험]])</f>
        <v>4</v>
      </c>
    </row>
    <row r="1089" spans="2:15" ht="13.5" customHeight="1" x14ac:dyDescent="0.3">
      <c r="B1089" s="9">
        <f>[1]Discovery!A1095</f>
        <v>70409167</v>
      </c>
      <c r="C1089" s="9" t="str">
        <f>[1]Discovery!B1095</f>
        <v>물수배기</v>
      </c>
      <c r="D1089" s="9" t="str">
        <f>[1]Discovery!E1095</f>
        <v>동물</v>
      </c>
      <c r="E1089" s="9" t="str">
        <f>[1]Discovery!C1095</f>
        <v>어류</v>
      </c>
      <c r="F1089" s="9" t="str">
        <f>[1]Discovery!G1095</f>
        <v>B</v>
      </c>
      <c r="G1089" s="9" t="str">
        <f>IFERROR(VLOOKUP(표1[[#This Row],[명칭]],'문화권 정리'!C:D,2,FALSE),"-")</f>
        <v>어류</v>
      </c>
      <c r="H1089" s="38" t="str">
        <f>IFERROR(COUNTIF([2]OceanDoodad!$Y:$Y,표1[[#This Row],[명칭]]),"-")</f>
        <v>-</v>
      </c>
      <c r="I1089" s="38">
        <f>IFERROR(COUNTIF([1]AdventureDiscoveryGroup!$D$8:$AW$92,표1[[#This Row],[명칭]]),"-")</f>
        <v>0</v>
      </c>
      <c r="J1089" s="38">
        <f>IFERROR(COUNTIF([1]FishDiscoveryGroup!$A:$X,표1[[#This Row],[명칭]]),"-")</f>
        <v>4</v>
      </c>
      <c r="K1089" s="38" t="str">
        <f>IFERROR(COUNTIF([2]Town!$B:$B,표1[[#This Row],[명칭]]),"-")</f>
        <v>-</v>
      </c>
      <c r="L1089" s="38">
        <f>IFERROR(COUNTIF([1]Village!$BR:$BR,표1[[#This Row],[명칭]]),"-")</f>
        <v>0</v>
      </c>
      <c r="M1089" s="38">
        <f>COUNTIF(퀘스트!B:B,표1[[#This Row],[명칭]])</f>
        <v>0</v>
      </c>
      <c r="N1089" s="65">
        <f>COUNTIF([1]VillageDiscoveryGroup!$C:$C,표1[[#This Row],[명칭]])</f>
        <v>0</v>
      </c>
      <c r="O1089" s="65">
        <f>SUM(표1[[#This Row],[해양탐색]:[마을탐험]])</f>
        <v>4</v>
      </c>
    </row>
    <row r="1090" spans="2:15" ht="13.5" customHeight="1" x14ac:dyDescent="0.3">
      <c r="B1090" s="9">
        <f>[1]Discovery!A1096</f>
        <v>70409168</v>
      </c>
      <c r="C1090" s="9" t="str">
        <f>[1]Discovery!B1096</f>
        <v>물천구</v>
      </c>
      <c r="D1090" s="9" t="str">
        <f>[1]Discovery!E1096</f>
        <v>동물</v>
      </c>
      <c r="E1090" s="9" t="str">
        <f>[1]Discovery!C1096</f>
        <v>어류</v>
      </c>
      <c r="F1090" s="9" t="str">
        <f>[1]Discovery!G1096</f>
        <v>A</v>
      </c>
      <c r="G1090" s="9" t="str">
        <f>IFERROR(VLOOKUP(표1[[#This Row],[명칭]],'문화권 정리'!C:D,2,FALSE),"-")</f>
        <v>어류</v>
      </c>
      <c r="H1090" s="38" t="str">
        <f>IFERROR(COUNTIF([2]OceanDoodad!$Y:$Y,표1[[#This Row],[명칭]]),"-")</f>
        <v>-</v>
      </c>
      <c r="I1090" s="38">
        <f>IFERROR(COUNTIF([1]AdventureDiscoveryGroup!$D$8:$AW$92,표1[[#This Row],[명칭]]),"-")</f>
        <v>0</v>
      </c>
      <c r="J1090" s="38">
        <f>IFERROR(COUNTIF([1]FishDiscoveryGroup!$A:$X,표1[[#This Row],[명칭]]),"-")</f>
        <v>4</v>
      </c>
      <c r="K1090" s="38" t="str">
        <f>IFERROR(COUNTIF([2]Town!$B:$B,표1[[#This Row],[명칭]]),"-")</f>
        <v>-</v>
      </c>
      <c r="L1090" s="38">
        <f>IFERROR(COUNTIF([1]Village!$BR:$BR,표1[[#This Row],[명칭]]),"-")</f>
        <v>0</v>
      </c>
      <c r="M1090" s="38">
        <f>COUNTIF(퀘스트!B:B,표1[[#This Row],[명칭]])</f>
        <v>0</v>
      </c>
      <c r="N1090" s="65">
        <f>COUNTIF([1]VillageDiscoveryGroup!$C:$C,표1[[#This Row],[명칭]])</f>
        <v>0</v>
      </c>
      <c r="O1090" s="65">
        <f>SUM(표1[[#This Row],[해양탐색]:[마을탐험]])</f>
        <v>4</v>
      </c>
    </row>
    <row r="1091" spans="2:15" ht="13.5" customHeight="1" x14ac:dyDescent="0.3">
      <c r="B1091" s="9">
        <f>[1]Discovery!A1097</f>
        <v>70409169</v>
      </c>
      <c r="C1091" s="9" t="str">
        <f>[1]Discovery!B1097</f>
        <v>물퉁돔</v>
      </c>
      <c r="D1091" s="9" t="str">
        <f>[1]Discovery!E1097</f>
        <v>동물</v>
      </c>
      <c r="E1091" s="9" t="str">
        <f>[1]Discovery!C1097</f>
        <v>어류</v>
      </c>
      <c r="F1091" s="9" t="str">
        <f>[1]Discovery!G1097</f>
        <v>B</v>
      </c>
      <c r="G1091" s="9" t="str">
        <f>IFERROR(VLOOKUP(표1[[#This Row],[명칭]],'문화권 정리'!C:D,2,FALSE),"-")</f>
        <v>어류</v>
      </c>
      <c r="H1091" s="38" t="str">
        <f>IFERROR(COUNTIF([2]OceanDoodad!$Y:$Y,표1[[#This Row],[명칭]]),"-")</f>
        <v>-</v>
      </c>
      <c r="I1091" s="38">
        <f>IFERROR(COUNTIF([1]AdventureDiscoveryGroup!$D$8:$AW$92,표1[[#This Row],[명칭]]),"-")</f>
        <v>0</v>
      </c>
      <c r="J1091" s="38">
        <f>IFERROR(COUNTIF([1]FishDiscoveryGroup!$A:$X,표1[[#This Row],[명칭]]),"-")</f>
        <v>4</v>
      </c>
      <c r="K1091" s="38" t="str">
        <f>IFERROR(COUNTIF([2]Town!$B:$B,표1[[#This Row],[명칭]]),"-")</f>
        <v>-</v>
      </c>
      <c r="L1091" s="38">
        <f>IFERROR(COUNTIF([1]Village!$BR:$BR,표1[[#This Row],[명칭]]),"-")</f>
        <v>0</v>
      </c>
      <c r="M1091" s="38">
        <f>COUNTIF(퀘스트!B:B,표1[[#This Row],[명칭]])</f>
        <v>0</v>
      </c>
      <c r="N1091" s="65">
        <f>COUNTIF([1]VillageDiscoveryGroup!$C:$C,표1[[#This Row],[명칭]])</f>
        <v>0</v>
      </c>
      <c r="O1091" s="65">
        <f>SUM(표1[[#This Row],[해양탐색]:[마을탐험]])</f>
        <v>4</v>
      </c>
    </row>
    <row r="1092" spans="2:15" ht="13.5" customHeight="1" x14ac:dyDescent="0.3">
      <c r="B1092" s="9">
        <f>[1]Discovery!A1098</f>
        <v>70409170</v>
      </c>
      <c r="C1092" s="9" t="str">
        <f>[1]Discovery!B1098</f>
        <v>민무늬백합</v>
      </c>
      <c r="D1092" s="9" t="str">
        <f>[1]Discovery!E1098</f>
        <v>동물</v>
      </c>
      <c r="E1092" s="9" t="str">
        <f>[1]Discovery!C1098</f>
        <v>무척추동물</v>
      </c>
      <c r="F1092" s="9" t="str">
        <f>[1]Discovery!G1098</f>
        <v>C</v>
      </c>
      <c r="G1092" s="9" t="str">
        <f>IFERROR(VLOOKUP(표1[[#This Row],[명칭]],'문화권 정리'!C:D,2,FALSE),"-")</f>
        <v>어류</v>
      </c>
      <c r="H1092" s="38" t="str">
        <f>IFERROR(COUNTIF([2]OceanDoodad!$Y:$Y,표1[[#This Row],[명칭]]),"-")</f>
        <v>-</v>
      </c>
      <c r="I1092" s="38">
        <f>IFERROR(COUNTIF([1]AdventureDiscoveryGroup!$D$8:$AW$92,표1[[#This Row],[명칭]]),"-")</f>
        <v>0</v>
      </c>
      <c r="J1092" s="38">
        <f>IFERROR(COUNTIF([1]FishDiscoveryGroup!$A:$X,표1[[#This Row],[명칭]]),"-")</f>
        <v>4</v>
      </c>
      <c r="K1092" s="38" t="str">
        <f>IFERROR(COUNTIF([2]Town!$B:$B,표1[[#This Row],[명칭]]),"-")</f>
        <v>-</v>
      </c>
      <c r="L1092" s="38">
        <f>IFERROR(COUNTIF([1]Village!$BR:$BR,표1[[#This Row],[명칭]]),"-")</f>
        <v>0</v>
      </c>
      <c r="M1092" s="38">
        <f>COUNTIF(퀘스트!B:B,표1[[#This Row],[명칭]])</f>
        <v>0</v>
      </c>
      <c r="N1092" s="65">
        <f>COUNTIF([1]VillageDiscoveryGroup!$C:$C,표1[[#This Row],[명칭]])</f>
        <v>0</v>
      </c>
      <c r="O1092" s="65">
        <f>SUM(표1[[#This Row],[해양탐색]:[마을탐험]])</f>
        <v>4</v>
      </c>
    </row>
    <row r="1093" spans="2:15" ht="13.5" customHeight="1" x14ac:dyDescent="0.3">
      <c r="B1093" s="9">
        <f>[1]Discovery!A1099</f>
        <v>70409171</v>
      </c>
      <c r="C1093" s="9" t="str">
        <f>[1]Discovery!B1099</f>
        <v>민물꼬치고기</v>
      </c>
      <c r="D1093" s="9" t="str">
        <f>[1]Discovery!E1099</f>
        <v>동물</v>
      </c>
      <c r="E1093" s="9" t="str">
        <f>[1]Discovery!C1099</f>
        <v>어류</v>
      </c>
      <c r="F1093" s="9" t="str">
        <f>[1]Discovery!G1099</f>
        <v>B</v>
      </c>
      <c r="G1093" s="9" t="str">
        <f>IFERROR(VLOOKUP(표1[[#This Row],[명칭]],'문화권 정리'!C:D,2,FALSE),"-")</f>
        <v>어류</v>
      </c>
      <c r="H1093" s="38" t="str">
        <f>IFERROR(COUNTIF([2]OceanDoodad!$Y:$Y,표1[[#This Row],[명칭]]),"-")</f>
        <v>-</v>
      </c>
      <c r="I1093" s="38">
        <f>IFERROR(COUNTIF([1]AdventureDiscoveryGroup!$D$8:$AW$92,표1[[#This Row],[명칭]]),"-")</f>
        <v>0</v>
      </c>
      <c r="J1093" s="38">
        <f>IFERROR(COUNTIF([1]FishDiscoveryGroup!$A:$X,표1[[#This Row],[명칭]]),"-")</f>
        <v>4</v>
      </c>
      <c r="K1093" s="38" t="str">
        <f>IFERROR(COUNTIF([2]Town!$B:$B,표1[[#This Row],[명칭]]),"-")</f>
        <v>-</v>
      </c>
      <c r="L1093" s="38">
        <f>IFERROR(COUNTIF([1]Village!$BR:$BR,표1[[#This Row],[명칭]]),"-")</f>
        <v>0</v>
      </c>
      <c r="M1093" s="38">
        <f>COUNTIF(퀘스트!B:B,표1[[#This Row],[명칭]])</f>
        <v>0</v>
      </c>
      <c r="N1093" s="65">
        <f>COUNTIF([1]VillageDiscoveryGroup!$C:$C,표1[[#This Row],[명칭]])</f>
        <v>0</v>
      </c>
      <c r="O1093" s="65">
        <f>SUM(표1[[#This Row],[해양탐색]:[마을탐험]])</f>
        <v>4</v>
      </c>
    </row>
    <row r="1094" spans="2:15" ht="13.5" customHeight="1" x14ac:dyDescent="0.3">
      <c r="B1094" s="9">
        <f>[1]Discovery!A1100</f>
        <v>70409172</v>
      </c>
      <c r="C1094" s="9" t="str">
        <f>[1]Discovery!B1100</f>
        <v>민밀복</v>
      </c>
      <c r="D1094" s="9" t="str">
        <f>[1]Discovery!E1100</f>
        <v>동물</v>
      </c>
      <c r="E1094" s="9" t="str">
        <f>[1]Discovery!C1100</f>
        <v>어류</v>
      </c>
      <c r="F1094" s="9" t="str">
        <f>[1]Discovery!G1100</f>
        <v>C</v>
      </c>
      <c r="G1094" s="9" t="str">
        <f>IFERROR(VLOOKUP(표1[[#This Row],[명칭]],'문화권 정리'!C:D,2,FALSE),"-")</f>
        <v>어류</v>
      </c>
      <c r="H1094" s="38" t="str">
        <f>IFERROR(COUNTIF([2]OceanDoodad!$Y:$Y,표1[[#This Row],[명칭]]),"-")</f>
        <v>-</v>
      </c>
      <c r="I1094" s="38">
        <f>IFERROR(COUNTIF([1]AdventureDiscoveryGroup!$D$8:$AW$92,표1[[#This Row],[명칭]]),"-")</f>
        <v>0</v>
      </c>
      <c r="J1094" s="38">
        <f>IFERROR(COUNTIF([1]FishDiscoveryGroup!$A:$X,표1[[#This Row],[명칭]]),"-")</f>
        <v>4</v>
      </c>
      <c r="K1094" s="38" t="str">
        <f>IFERROR(COUNTIF([2]Town!$B:$B,표1[[#This Row],[명칭]]),"-")</f>
        <v>-</v>
      </c>
      <c r="L1094" s="38">
        <f>IFERROR(COUNTIF([1]Village!$BR:$BR,표1[[#This Row],[명칭]]),"-")</f>
        <v>0</v>
      </c>
      <c r="M1094" s="38">
        <f>COUNTIF(퀘스트!B:B,표1[[#This Row],[명칭]])</f>
        <v>0</v>
      </c>
      <c r="N1094" s="65">
        <f>COUNTIF([1]VillageDiscoveryGroup!$C:$C,표1[[#This Row],[명칭]])</f>
        <v>0</v>
      </c>
      <c r="O1094" s="65">
        <f>SUM(표1[[#This Row],[해양탐색]:[마을탐험]])</f>
        <v>4</v>
      </c>
    </row>
    <row r="1095" spans="2:15" ht="13.5" customHeight="1" x14ac:dyDescent="0.3">
      <c r="B1095" s="9">
        <f>[1]Discovery!A1101</f>
        <v>70409173</v>
      </c>
      <c r="C1095" s="9" t="str">
        <f>[1]Discovery!B1101</f>
        <v>민어</v>
      </c>
      <c r="D1095" s="9" t="str">
        <f>[1]Discovery!E1101</f>
        <v>동물</v>
      </c>
      <c r="E1095" s="9" t="str">
        <f>[1]Discovery!C1101</f>
        <v>어류</v>
      </c>
      <c r="F1095" s="9" t="str">
        <f>[1]Discovery!G1101</f>
        <v>C</v>
      </c>
      <c r="G1095" s="9" t="str">
        <f>IFERROR(VLOOKUP(표1[[#This Row],[명칭]],'문화권 정리'!C:D,2,FALSE),"-")</f>
        <v>어류</v>
      </c>
      <c r="H1095" s="38" t="str">
        <f>IFERROR(COUNTIF([2]OceanDoodad!$Y:$Y,표1[[#This Row],[명칭]]),"-")</f>
        <v>-</v>
      </c>
      <c r="I1095" s="38">
        <f>IFERROR(COUNTIF([1]AdventureDiscoveryGroup!$D$8:$AW$92,표1[[#This Row],[명칭]]),"-")</f>
        <v>0</v>
      </c>
      <c r="J1095" s="38">
        <f>IFERROR(COUNTIF([1]FishDiscoveryGroup!$A:$X,표1[[#This Row],[명칭]]),"-")</f>
        <v>0</v>
      </c>
      <c r="K1095" s="38" t="str">
        <f>IFERROR(COUNTIF([2]Town!$B:$B,표1[[#This Row],[명칭]]),"-")</f>
        <v>-</v>
      </c>
      <c r="L1095" s="38">
        <f>IFERROR(COUNTIF([1]Village!$BR:$BR,표1[[#This Row],[명칭]]),"-")</f>
        <v>0</v>
      </c>
      <c r="M1095" s="38">
        <f>COUNTIF(퀘스트!B:B,표1[[#This Row],[명칭]])</f>
        <v>0</v>
      </c>
      <c r="N1095" s="65">
        <f>COUNTIF([1]VillageDiscoveryGroup!$C:$C,표1[[#This Row],[명칭]])</f>
        <v>0</v>
      </c>
      <c r="O1095" s="65">
        <f>SUM(표1[[#This Row],[해양탐색]:[마을탐험]])</f>
        <v>0</v>
      </c>
    </row>
    <row r="1096" spans="2:15" ht="13.5" customHeight="1" x14ac:dyDescent="0.3">
      <c r="B1096" s="9">
        <f>[1]Discovery!A1102</f>
        <v>70409174</v>
      </c>
      <c r="C1096" s="9" t="str">
        <f>[1]Discovery!B1102</f>
        <v>민전갱이</v>
      </c>
      <c r="D1096" s="9" t="str">
        <f>[1]Discovery!E1102</f>
        <v>동물</v>
      </c>
      <c r="E1096" s="9" t="str">
        <f>[1]Discovery!C1102</f>
        <v>어류</v>
      </c>
      <c r="F1096" s="9" t="str">
        <f>[1]Discovery!G1102</f>
        <v>C</v>
      </c>
      <c r="G1096" s="9" t="str">
        <f>IFERROR(VLOOKUP(표1[[#This Row],[명칭]],'문화권 정리'!C:D,2,FALSE),"-")</f>
        <v>어류</v>
      </c>
      <c r="H1096" s="38" t="str">
        <f>IFERROR(COUNTIF([2]OceanDoodad!$Y:$Y,표1[[#This Row],[명칭]]),"-")</f>
        <v>-</v>
      </c>
      <c r="I1096" s="38">
        <f>IFERROR(COUNTIF([1]AdventureDiscoveryGroup!$D$8:$AW$92,표1[[#This Row],[명칭]]),"-")</f>
        <v>0</v>
      </c>
      <c r="J1096" s="38">
        <f>IFERROR(COUNTIF([1]FishDiscoveryGroup!$A:$X,표1[[#This Row],[명칭]]),"-")</f>
        <v>0</v>
      </c>
      <c r="K1096" s="38" t="str">
        <f>IFERROR(COUNTIF([2]Town!$B:$B,표1[[#This Row],[명칭]]),"-")</f>
        <v>-</v>
      </c>
      <c r="L1096" s="38">
        <f>IFERROR(COUNTIF([1]Village!$BR:$BR,표1[[#This Row],[명칭]]),"-")</f>
        <v>0</v>
      </c>
      <c r="M1096" s="38">
        <f>COUNTIF(퀘스트!B:B,표1[[#This Row],[명칭]])</f>
        <v>0</v>
      </c>
      <c r="N1096" s="65">
        <f>COUNTIF([1]VillageDiscoveryGroup!$C:$C,표1[[#This Row],[명칭]])</f>
        <v>0</v>
      </c>
      <c r="O1096" s="65">
        <f>SUM(표1[[#This Row],[해양탐색]:[마을탐험]])</f>
        <v>0</v>
      </c>
    </row>
    <row r="1097" spans="2:15" ht="13.5" customHeight="1" x14ac:dyDescent="0.3">
      <c r="B1097" s="9">
        <f>[1]Discovery!A1103</f>
        <v>70409175</v>
      </c>
      <c r="C1097" s="9" t="str">
        <f>[1]Discovery!B1103</f>
        <v>밀복</v>
      </c>
      <c r="D1097" s="9" t="str">
        <f>[1]Discovery!E1103</f>
        <v>동물</v>
      </c>
      <c r="E1097" s="9" t="str">
        <f>[1]Discovery!C1103</f>
        <v>어류</v>
      </c>
      <c r="F1097" s="9" t="str">
        <f>[1]Discovery!G1103</f>
        <v>C</v>
      </c>
      <c r="G1097" s="9" t="str">
        <f>IFERROR(VLOOKUP(표1[[#This Row],[명칭]],'문화권 정리'!C:D,2,FALSE),"-")</f>
        <v>어류</v>
      </c>
      <c r="H1097" s="38" t="str">
        <f>IFERROR(COUNTIF([2]OceanDoodad!$Y:$Y,표1[[#This Row],[명칭]]),"-")</f>
        <v>-</v>
      </c>
      <c r="I1097" s="38">
        <f>IFERROR(COUNTIF([1]AdventureDiscoveryGroup!$D$8:$AW$92,표1[[#This Row],[명칭]]),"-")</f>
        <v>0</v>
      </c>
      <c r="J1097" s="38">
        <f>IFERROR(COUNTIF([1]FishDiscoveryGroup!$A:$X,표1[[#This Row],[명칭]]),"-")</f>
        <v>8</v>
      </c>
      <c r="K1097" s="38" t="str">
        <f>IFERROR(COUNTIF([2]Town!$B:$B,표1[[#This Row],[명칭]]),"-")</f>
        <v>-</v>
      </c>
      <c r="L1097" s="38">
        <f>IFERROR(COUNTIF([1]Village!$BR:$BR,표1[[#This Row],[명칭]]),"-")</f>
        <v>0</v>
      </c>
      <c r="M1097" s="38">
        <f>COUNTIF(퀘스트!B:B,표1[[#This Row],[명칭]])</f>
        <v>0</v>
      </c>
      <c r="N1097" s="65">
        <f>COUNTIF([1]VillageDiscoveryGroup!$C:$C,표1[[#This Row],[명칭]])</f>
        <v>0</v>
      </c>
      <c r="O1097" s="65">
        <f>SUM(표1[[#This Row],[해양탐색]:[마을탐험]])</f>
        <v>8</v>
      </c>
    </row>
    <row r="1098" spans="2:15" ht="13.5" customHeight="1" x14ac:dyDescent="0.3">
      <c r="B1098" s="9">
        <f>[1]Discovery!A1104</f>
        <v>70409176</v>
      </c>
      <c r="C1098" s="9" t="str">
        <f>[1]Discovery!B1104</f>
        <v>밍크고래</v>
      </c>
      <c r="D1098" s="9" t="str">
        <f>[1]Discovery!E1104</f>
        <v>동물</v>
      </c>
      <c r="E1098" s="9" t="str">
        <f>[1]Discovery!C1104</f>
        <v>포유류</v>
      </c>
      <c r="F1098" s="9" t="str">
        <f>[1]Discovery!G1104</f>
        <v>S</v>
      </c>
      <c r="G1098" s="9" t="str">
        <f>IFERROR(VLOOKUP(표1[[#This Row],[명칭]],'문화권 정리'!C:D,2,FALSE),"-")</f>
        <v>어류</v>
      </c>
      <c r="H1098" s="38" t="str">
        <f>IFERROR(COUNTIF([2]OceanDoodad!$Y:$Y,표1[[#This Row],[명칭]]),"-")</f>
        <v>-</v>
      </c>
      <c r="I1098" s="38">
        <f>IFERROR(COUNTIF([1]AdventureDiscoveryGroup!$D$8:$AW$92,표1[[#This Row],[명칭]]),"-")</f>
        <v>0</v>
      </c>
      <c r="J1098" s="38">
        <f>IFERROR(COUNTIF([1]FishDiscoveryGroup!$A:$X,표1[[#This Row],[명칭]]),"-")</f>
        <v>4</v>
      </c>
      <c r="K1098" s="38" t="str">
        <f>IFERROR(COUNTIF([2]Town!$B:$B,표1[[#This Row],[명칭]]),"-")</f>
        <v>-</v>
      </c>
      <c r="L1098" s="38">
        <f>IFERROR(COUNTIF([1]Village!$BR:$BR,표1[[#This Row],[명칭]]),"-")</f>
        <v>0</v>
      </c>
      <c r="M1098" s="38">
        <f>COUNTIF(퀘스트!B:B,표1[[#This Row],[명칭]])</f>
        <v>0</v>
      </c>
      <c r="N1098" s="65">
        <f>COUNTIF([1]VillageDiscoveryGroup!$C:$C,표1[[#This Row],[명칭]])</f>
        <v>0</v>
      </c>
      <c r="O1098" s="65">
        <f>SUM(표1[[#This Row],[해양탐색]:[마을탐험]])</f>
        <v>4</v>
      </c>
    </row>
    <row r="1099" spans="2:15" ht="13.5" customHeight="1" x14ac:dyDescent="0.3">
      <c r="B1099" s="9">
        <f>[1]Discovery!A1105</f>
        <v>70409177</v>
      </c>
      <c r="C1099" s="9" t="str">
        <f>[1]Discovery!B1105</f>
        <v>밑성대</v>
      </c>
      <c r="D1099" s="9" t="str">
        <f>[1]Discovery!E1105</f>
        <v>동물</v>
      </c>
      <c r="E1099" s="9" t="str">
        <f>[1]Discovery!C1105</f>
        <v>어류</v>
      </c>
      <c r="F1099" s="9" t="str">
        <f>[1]Discovery!G1105</f>
        <v>S</v>
      </c>
      <c r="G1099" s="9" t="str">
        <f>IFERROR(VLOOKUP(표1[[#This Row],[명칭]],'문화권 정리'!C:D,2,FALSE),"-")</f>
        <v>어류</v>
      </c>
      <c r="H1099" s="38" t="str">
        <f>IFERROR(COUNTIF([2]OceanDoodad!$Y:$Y,표1[[#This Row],[명칭]]),"-")</f>
        <v>-</v>
      </c>
      <c r="I1099" s="38">
        <f>IFERROR(COUNTIF([1]AdventureDiscoveryGroup!$D$8:$AW$92,표1[[#This Row],[명칭]]),"-")</f>
        <v>0</v>
      </c>
      <c r="J1099" s="38">
        <f>IFERROR(COUNTIF([1]FishDiscoveryGroup!$A:$X,표1[[#This Row],[명칭]]),"-")</f>
        <v>4</v>
      </c>
      <c r="K1099" s="38" t="str">
        <f>IFERROR(COUNTIF([2]Town!$B:$B,표1[[#This Row],[명칭]]),"-")</f>
        <v>-</v>
      </c>
      <c r="L1099" s="38">
        <f>IFERROR(COUNTIF([1]Village!$BR:$BR,표1[[#This Row],[명칭]]),"-")</f>
        <v>0</v>
      </c>
      <c r="M1099" s="38">
        <f>COUNTIF(퀘스트!B:B,표1[[#This Row],[명칭]])</f>
        <v>0</v>
      </c>
      <c r="N1099" s="65">
        <f>COUNTIF([1]VillageDiscoveryGroup!$C:$C,표1[[#This Row],[명칭]])</f>
        <v>0</v>
      </c>
      <c r="O1099" s="65">
        <f>SUM(표1[[#This Row],[해양탐색]:[마을탐험]])</f>
        <v>4</v>
      </c>
    </row>
    <row r="1100" spans="2:15" ht="13.5" customHeight="1" x14ac:dyDescent="0.3">
      <c r="B1100" s="9">
        <f>[1]Discovery!A1106</f>
        <v>70409178</v>
      </c>
      <c r="C1100" s="9" t="str">
        <f>[1]Discovery!B1106</f>
        <v>바다나리</v>
      </c>
      <c r="D1100" s="9" t="str">
        <f>[1]Discovery!E1106</f>
        <v>동물</v>
      </c>
      <c r="E1100" s="9" t="str">
        <f>[1]Discovery!C1106</f>
        <v>무척추동물</v>
      </c>
      <c r="F1100" s="9" t="str">
        <f>[1]Discovery!G1106</f>
        <v>D</v>
      </c>
      <c r="G1100" s="9" t="str">
        <f>IFERROR(VLOOKUP(표1[[#This Row],[명칭]],'문화권 정리'!C:D,2,FALSE),"-")</f>
        <v>어류</v>
      </c>
      <c r="H1100" s="38" t="str">
        <f>IFERROR(COUNTIF([2]OceanDoodad!$Y:$Y,표1[[#This Row],[명칭]]),"-")</f>
        <v>-</v>
      </c>
      <c r="I1100" s="38">
        <f>IFERROR(COUNTIF([1]AdventureDiscoveryGroup!$D$8:$AW$92,표1[[#This Row],[명칭]]),"-")</f>
        <v>0</v>
      </c>
      <c r="J1100" s="38">
        <f>IFERROR(COUNTIF([1]FishDiscoveryGroup!$A:$X,표1[[#This Row],[명칭]]),"-")</f>
        <v>4</v>
      </c>
      <c r="K1100" s="38" t="str">
        <f>IFERROR(COUNTIF([2]Town!$B:$B,표1[[#This Row],[명칭]]),"-")</f>
        <v>-</v>
      </c>
      <c r="L1100" s="38">
        <f>IFERROR(COUNTIF([1]Village!$BR:$BR,표1[[#This Row],[명칭]]),"-")</f>
        <v>0</v>
      </c>
      <c r="M1100" s="38">
        <f>COUNTIF(퀘스트!B:B,표1[[#This Row],[명칭]])</f>
        <v>0</v>
      </c>
      <c r="N1100" s="65">
        <f>COUNTIF([1]VillageDiscoveryGroup!$C:$C,표1[[#This Row],[명칭]])</f>
        <v>0</v>
      </c>
      <c r="O1100" s="65">
        <f>SUM(표1[[#This Row],[해양탐색]:[마을탐험]])</f>
        <v>4</v>
      </c>
    </row>
    <row r="1101" spans="2:15" ht="13.5" customHeight="1" x14ac:dyDescent="0.3">
      <c r="B1101" s="9">
        <f>[1]Discovery!A1107</f>
        <v>70409179</v>
      </c>
      <c r="C1101" s="9" t="str">
        <f>[1]Discovery!B1107</f>
        <v>바다동자개</v>
      </c>
      <c r="D1101" s="9" t="str">
        <f>[1]Discovery!E1107</f>
        <v>동물</v>
      </c>
      <c r="E1101" s="9" t="str">
        <f>[1]Discovery!C1107</f>
        <v>어류</v>
      </c>
      <c r="F1101" s="9" t="str">
        <f>[1]Discovery!G1107</f>
        <v>S</v>
      </c>
      <c r="G1101" s="9" t="str">
        <f>IFERROR(VLOOKUP(표1[[#This Row],[명칭]],'문화권 정리'!C:D,2,FALSE),"-")</f>
        <v>어류</v>
      </c>
      <c r="H1101" s="38" t="str">
        <f>IFERROR(COUNTIF([2]OceanDoodad!$Y:$Y,표1[[#This Row],[명칭]]),"-")</f>
        <v>-</v>
      </c>
      <c r="I1101" s="38">
        <f>IFERROR(COUNTIF([1]AdventureDiscoveryGroup!$D$8:$AW$92,표1[[#This Row],[명칭]]),"-")</f>
        <v>0</v>
      </c>
      <c r="J1101" s="38">
        <f>IFERROR(COUNTIF([1]FishDiscoveryGroup!$A:$X,표1[[#This Row],[명칭]]),"-")</f>
        <v>0</v>
      </c>
      <c r="K1101" s="38" t="str">
        <f>IFERROR(COUNTIF([2]Town!$B:$B,표1[[#This Row],[명칭]]),"-")</f>
        <v>-</v>
      </c>
      <c r="L1101" s="38">
        <f>IFERROR(COUNTIF([1]Village!$BR:$BR,표1[[#This Row],[명칭]]),"-")</f>
        <v>0</v>
      </c>
      <c r="M1101" s="38">
        <f>COUNTIF(퀘스트!B:B,표1[[#This Row],[명칭]])</f>
        <v>0</v>
      </c>
      <c r="N1101" s="65">
        <f>COUNTIF([1]VillageDiscoveryGroup!$C:$C,표1[[#This Row],[명칭]])</f>
        <v>0</v>
      </c>
      <c r="O1101" s="65">
        <f>SUM(표1[[#This Row],[해양탐색]:[마을탐험]])</f>
        <v>0</v>
      </c>
    </row>
    <row r="1102" spans="2:15" ht="13.5" customHeight="1" x14ac:dyDescent="0.3">
      <c r="B1102" s="9">
        <f>[1]Discovery!A1108</f>
        <v>70409180</v>
      </c>
      <c r="C1102" s="9" t="str">
        <f>[1]Discovery!B1108</f>
        <v>바다뱀</v>
      </c>
      <c r="D1102" s="9" t="str">
        <f>[1]Discovery!E1108</f>
        <v>동물</v>
      </c>
      <c r="E1102" s="9" t="str">
        <f>[1]Discovery!C1108</f>
        <v>어류</v>
      </c>
      <c r="F1102" s="9" t="str">
        <f>[1]Discovery!G1108</f>
        <v>A</v>
      </c>
      <c r="G1102" s="9" t="str">
        <f>IFERROR(VLOOKUP(표1[[#This Row],[명칭]],'문화권 정리'!C:D,2,FALSE),"-")</f>
        <v>어류</v>
      </c>
      <c r="H1102" s="38" t="str">
        <f>IFERROR(COUNTIF([2]OceanDoodad!$Y:$Y,표1[[#This Row],[명칭]]),"-")</f>
        <v>-</v>
      </c>
      <c r="I1102" s="38">
        <f>IFERROR(COUNTIF([1]AdventureDiscoveryGroup!$D$8:$AW$92,표1[[#This Row],[명칭]]),"-")</f>
        <v>0</v>
      </c>
      <c r="J1102" s="38">
        <f>IFERROR(COUNTIF([1]FishDiscoveryGroup!$A:$X,표1[[#This Row],[명칭]]),"-")</f>
        <v>8</v>
      </c>
      <c r="K1102" s="38" t="str">
        <f>IFERROR(COUNTIF([2]Town!$B:$B,표1[[#This Row],[명칭]]),"-")</f>
        <v>-</v>
      </c>
      <c r="L1102" s="38">
        <f>IFERROR(COUNTIF([1]Village!$BR:$BR,표1[[#This Row],[명칭]]),"-")</f>
        <v>0</v>
      </c>
      <c r="M1102" s="38">
        <f>COUNTIF(퀘스트!B:B,표1[[#This Row],[명칭]])</f>
        <v>0</v>
      </c>
      <c r="N1102" s="65">
        <f>COUNTIF([1]VillageDiscoveryGroup!$C:$C,표1[[#This Row],[명칭]])</f>
        <v>0</v>
      </c>
      <c r="O1102" s="65">
        <f>SUM(표1[[#This Row],[해양탐색]:[마을탐험]])</f>
        <v>8</v>
      </c>
    </row>
    <row r="1103" spans="2:15" ht="13.5" customHeight="1" x14ac:dyDescent="0.3">
      <c r="B1103" s="9">
        <f>[1]Discovery!A1109</f>
        <v>70409181</v>
      </c>
      <c r="C1103" s="9" t="str">
        <f>[1]Discovery!B1109</f>
        <v>바다빙어</v>
      </c>
      <c r="D1103" s="9" t="str">
        <f>[1]Discovery!E1109</f>
        <v>동물</v>
      </c>
      <c r="E1103" s="9" t="str">
        <f>[1]Discovery!C1109</f>
        <v>어류</v>
      </c>
      <c r="F1103" s="9" t="str">
        <f>[1]Discovery!G1109</f>
        <v>B</v>
      </c>
      <c r="G1103" s="9" t="str">
        <f>IFERROR(VLOOKUP(표1[[#This Row],[명칭]],'문화권 정리'!C:D,2,FALSE),"-")</f>
        <v>어류</v>
      </c>
      <c r="H1103" s="38" t="str">
        <f>IFERROR(COUNTIF([2]OceanDoodad!$Y:$Y,표1[[#This Row],[명칭]]),"-")</f>
        <v>-</v>
      </c>
      <c r="I1103" s="38">
        <f>IFERROR(COUNTIF([1]AdventureDiscoveryGroup!$D$8:$AW$92,표1[[#This Row],[명칭]]),"-")</f>
        <v>0</v>
      </c>
      <c r="J1103" s="38">
        <f>IFERROR(COUNTIF([1]FishDiscoveryGroup!$A:$X,표1[[#This Row],[명칭]]),"-")</f>
        <v>8</v>
      </c>
      <c r="K1103" s="38" t="str">
        <f>IFERROR(COUNTIF([2]Town!$B:$B,표1[[#This Row],[명칭]]),"-")</f>
        <v>-</v>
      </c>
      <c r="L1103" s="38">
        <f>IFERROR(COUNTIF([1]Village!$BR:$BR,표1[[#This Row],[명칭]]),"-")</f>
        <v>0</v>
      </c>
      <c r="M1103" s="38">
        <f>COUNTIF(퀘스트!B:B,표1[[#This Row],[명칭]])</f>
        <v>0</v>
      </c>
      <c r="N1103" s="65">
        <f>COUNTIF([1]VillageDiscoveryGroup!$C:$C,표1[[#This Row],[명칭]])</f>
        <v>0</v>
      </c>
      <c r="O1103" s="65">
        <f>SUM(표1[[#This Row],[해양탐색]:[마을탐험]])</f>
        <v>8</v>
      </c>
    </row>
    <row r="1104" spans="2:15" ht="13.5" customHeight="1" x14ac:dyDescent="0.3">
      <c r="B1104" s="9">
        <f>[1]Discovery!A1110</f>
        <v>70409182</v>
      </c>
      <c r="C1104" s="9" t="str">
        <f>[1]Discovery!B1110</f>
        <v>바닥가오리</v>
      </c>
      <c r="D1104" s="9" t="str">
        <f>[1]Discovery!E1110</f>
        <v>동물</v>
      </c>
      <c r="E1104" s="9" t="str">
        <f>[1]Discovery!C1110</f>
        <v>어류</v>
      </c>
      <c r="F1104" s="9" t="str">
        <f>[1]Discovery!G1110</f>
        <v>C</v>
      </c>
      <c r="G1104" s="9" t="str">
        <f>IFERROR(VLOOKUP(표1[[#This Row],[명칭]],'문화권 정리'!C:D,2,FALSE),"-")</f>
        <v>어류</v>
      </c>
      <c r="H1104" s="38" t="str">
        <f>IFERROR(COUNTIF([2]OceanDoodad!$Y:$Y,표1[[#This Row],[명칭]]),"-")</f>
        <v>-</v>
      </c>
      <c r="I1104" s="38">
        <f>IFERROR(COUNTIF([1]AdventureDiscoveryGroup!$D$8:$AW$92,표1[[#This Row],[명칭]]),"-")</f>
        <v>0</v>
      </c>
      <c r="J1104" s="38">
        <f>IFERROR(COUNTIF([1]FishDiscoveryGroup!$A:$X,표1[[#This Row],[명칭]]),"-")</f>
        <v>4</v>
      </c>
      <c r="K1104" s="38" t="str">
        <f>IFERROR(COUNTIF([2]Town!$B:$B,표1[[#This Row],[명칭]]),"-")</f>
        <v>-</v>
      </c>
      <c r="L1104" s="38">
        <f>IFERROR(COUNTIF([1]Village!$BR:$BR,표1[[#This Row],[명칭]]),"-")</f>
        <v>0</v>
      </c>
      <c r="M1104" s="38">
        <f>COUNTIF(퀘스트!B:B,표1[[#This Row],[명칭]])</f>
        <v>0</v>
      </c>
      <c r="N1104" s="65">
        <f>COUNTIF([1]VillageDiscoveryGroup!$C:$C,표1[[#This Row],[명칭]])</f>
        <v>0</v>
      </c>
      <c r="O1104" s="65">
        <f>SUM(표1[[#This Row],[해양탐색]:[마을탐험]])</f>
        <v>4</v>
      </c>
    </row>
    <row r="1105" spans="2:15" ht="13.5" customHeight="1" x14ac:dyDescent="0.3">
      <c r="B1105" s="9">
        <f>[1]Discovery!A1111</f>
        <v>70409183</v>
      </c>
      <c r="C1105" s="9" t="str">
        <f>[1]Discovery!B1111</f>
        <v>반딧불게르치</v>
      </c>
      <c r="D1105" s="9" t="str">
        <f>[1]Discovery!E1111</f>
        <v>동물</v>
      </c>
      <c r="E1105" s="9" t="str">
        <f>[1]Discovery!C1111</f>
        <v>어류</v>
      </c>
      <c r="F1105" s="9" t="str">
        <f>[1]Discovery!G1111</f>
        <v>B</v>
      </c>
      <c r="G1105" s="9" t="str">
        <f>IFERROR(VLOOKUP(표1[[#This Row],[명칭]],'문화권 정리'!C:D,2,FALSE),"-")</f>
        <v>어류</v>
      </c>
      <c r="H1105" s="38" t="str">
        <f>IFERROR(COUNTIF([2]OceanDoodad!$Y:$Y,표1[[#This Row],[명칭]]),"-")</f>
        <v>-</v>
      </c>
      <c r="I1105" s="38">
        <f>IFERROR(COUNTIF([1]AdventureDiscoveryGroup!$D$8:$AW$92,표1[[#This Row],[명칭]]),"-")</f>
        <v>0</v>
      </c>
      <c r="J1105" s="38">
        <f>IFERROR(COUNTIF([1]FishDiscoveryGroup!$A:$X,표1[[#This Row],[명칭]]),"-")</f>
        <v>4</v>
      </c>
      <c r="K1105" s="38" t="str">
        <f>IFERROR(COUNTIF([2]Town!$B:$B,표1[[#This Row],[명칭]]),"-")</f>
        <v>-</v>
      </c>
      <c r="L1105" s="38">
        <f>IFERROR(COUNTIF([1]Village!$BR:$BR,표1[[#This Row],[명칭]]),"-")</f>
        <v>0</v>
      </c>
      <c r="M1105" s="38">
        <f>COUNTIF(퀘스트!B:B,표1[[#This Row],[명칭]])</f>
        <v>0</v>
      </c>
      <c r="N1105" s="65">
        <f>COUNTIF([1]VillageDiscoveryGroup!$C:$C,표1[[#This Row],[명칭]])</f>
        <v>0</v>
      </c>
      <c r="O1105" s="65">
        <f>SUM(표1[[#This Row],[해양탐색]:[마을탐험]])</f>
        <v>4</v>
      </c>
    </row>
    <row r="1106" spans="2:15" ht="13.5" customHeight="1" x14ac:dyDescent="0.3">
      <c r="B1106" s="9">
        <f>[1]Discovery!A1112</f>
        <v>70409184</v>
      </c>
      <c r="C1106" s="9" t="str">
        <f>[1]Discovery!B1112</f>
        <v>반지</v>
      </c>
      <c r="D1106" s="9" t="str">
        <f>[1]Discovery!E1112</f>
        <v>동물</v>
      </c>
      <c r="E1106" s="9" t="str">
        <f>[1]Discovery!C1112</f>
        <v>어류</v>
      </c>
      <c r="F1106" s="9" t="str">
        <f>[1]Discovery!G1112</f>
        <v>C</v>
      </c>
      <c r="G1106" s="9" t="str">
        <f>IFERROR(VLOOKUP(표1[[#This Row],[명칭]],'문화권 정리'!C:D,2,FALSE),"-")</f>
        <v>어류</v>
      </c>
      <c r="H1106" s="38" t="str">
        <f>IFERROR(COUNTIF([2]OceanDoodad!$Y:$Y,표1[[#This Row],[명칭]]),"-")</f>
        <v>-</v>
      </c>
      <c r="I1106" s="38">
        <f>IFERROR(COUNTIF([1]AdventureDiscoveryGroup!$D$8:$AW$92,표1[[#This Row],[명칭]]),"-")</f>
        <v>0</v>
      </c>
      <c r="J1106" s="38">
        <f>IFERROR(COUNTIF([1]FishDiscoveryGroup!$A:$X,표1[[#This Row],[명칭]]),"-")</f>
        <v>4</v>
      </c>
      <c r="K1106" s="38" t="str">
        <f>IFERROR(COUNTIF([2]Town!$B:$B,표1[[#This Row],[명칭]]),"-")</f>
        <v>-</v>
      </c>
      <c r="L1106" s="38">
        <f>IFERROR(COUNTIF([1]Village!$BR:$BR,표1[[#This Row],[명칭]]),"-")</f>
        <v>0</v>
      </c>
      <c r="M1106" s="38">
        <f>COUNTIF(퀘스트!B:B,표1[[#This Row],[명칭]])</f>
        <v>0</v>
      </c>
      <c r="N1106" s="65">
        <f>COUNTIF([1]VillageDiscoveryGroup!$C:$C,표1[[#This Row],[명칭]])</f>
        <v>0</v>
      </c>
      <c r="O1106" s="65">
        <f>SUM(표1[[#This Row],[해양탐색]:[마을탐험]])</f>
        <v>4</v>
      </c>
    </row>
    <row r="1107" spans="2:15" ht="13.5" customHeight="1" x14ac:dyDescent="0.3">
      <c r="B1107" s="9">
        <f>[1]Discovery!A1113</f>
        <v>70409185</v>
      </c>
      <c r="C1107" s="9" t="str">
        <f>[1]Discovery!B1113</f>
        <v>방어</v>
      </c>
      <c r="D1107" s="9" t="str">
        <f>[1]Discovery!E1113</f>
        <v>동물</v>
      </c>
      <c r="E1107" s="9" t="str">
        <f>[1]Discovery!C1113</f>
        <v>어류</v>
      </c>
      <c r="F1107" s="9" t="str">
        <f>[1]Discovery!G1113</f>
        <v>C</v>
      </c>
      <c r="G1107" s="9" t="str">
        <f>IFERROR(VLOOKUP(표1[[#This Row],[명칭]],'문화권 정리'!C:D,2,FALSE),"-")</f>
        <v>어류</v>
      </c>
      <c r="H1107" s="38" t="str">
        <f>IFERROR(COUNTIF([2]OceanDoodad!$Y:$Y,표1[[#This Row],[명칭]]),"-")</f>
        <v>-</v>
      </c>
      <c r="I1107" s="38">
        <f>IFERROR(COUNTIF([1]AdventureDiscoveryGroup!$D$8:$AW$92,표1[[#This Row],[명칭]]),"-")</f>
        <v>0</v>
      </c>
      <c r="J1107" s="38">
        <f>IFERROR(COUNTIF([1]FishDiscoveryGroup!$A:$X,표1[[#This Row],[명칭]]),"-")</f>
        <v>0</v>
      </c>
      <c r="K1107" s="38" t="str">
        <f>IFERROR(COUNTIF([2]Town!$B:$B,표1[[#This Row],[명칭]]),"-")</f>
        <v>-</v>
      </c>
      <c r="L1107" s="38">
        <f>IFERROR(COUNTIF([1]Village!$BR:$BR,표1[[#This Row],[명칭]]),"-")</f>
        <v>0</v>
      </c>
      <c r="M1107" s="38">
        <f>COUNTIF(퀘스트!B:B,표1[[#This Row],[명칭]])</f>
        <v>0</v>
      </c>
      <c r="N1107" s="65">
        <f>COUNTIF([1]VillageDiscoveryGroup!$C:$C,표1[[#This Row],[명칭]])</f>
        <v>0</v>
      </c>
      <c r="O1107" s="65">
        <f>SUM(표1[[#This Row],[해양탐색]:[마을탐험]])</f>
        <v>0</v>
      </c>
    </row>
    <row r="1108" spans="2:15" ht="13.5" customHeight="1" x14ac:dyDescent="0.3">
      <c r="B1108" s="9">
        <f>[1]Discovery!A1114</f>
        <v>70409186</v>
      </c>
      <c r="C1108" s="9" t="str">
        <f>[1]Discovery!B1114</f>
        <v>배불뚝치</v>
      </c>
      <c r="D1108" s="9" t="str">
        <f>[1]Discovery!E1114</f>
        <v>동물</v>
      </c>
      <c r="E1108" s="9" t="str">
        <f>[1]Discovery!C1114</f>
        <v>어류</v>
      </c>
      <c r="F1108" s="9" t="str">
        <f>[1]Discovery!G1114</f>
        <v>C</v>
      </c>
      <c r="G1108" s="9" t="str">
        <f>IFERROR(VLOOKUP(표1[[#This Row],[명칭]],'문화권 정리'!C:D,2,FALSE),"-")</f>
        <v>어류</v>
      </c>
      <c r="H1108" s="38" t="str">
        <f>IFERROR(COUNTIF([2]OceanDoodad!$Y:$Y,표1[[#This Row],[명칭]]),"-")</f>
        <v>-</v>
      </c>
      <c r="I1108" s="38">
        <f>IFERROR(COUNTIF([1]AdventureDiscoveryGroup!$D$8:$AW$92,표1[[#This Row],[명칭]]),"-")</f>
        <v>0</v>
      </c>
      <c r="J1108" s="38">
        <f>IFERROR(COUNTIF([1]FishDiscoveryGroup!$A:$X,표1[[#This Row],[명칭]]),"-")</f>
        <v>4</v>
      </c>
      <c r="K1108" s="38" t="str">
        <f>IFERROR(COUNTIF([2]Town!$B:$B,표1[[#This Row],[명칭]]),"-")</f>
        <v>-</v>
      </c>
      <c r="L1108" s="38">
        <f>IFERROR(COUNTIF([1]Village!$BR:$BR,표1[[#This Row],[명칭]]),"-")</f>
        <v>0</v>
      </c>
      <c r="M1108" s="38">
        <f>COUNTIF(퀘스트!B:B,표1[[#This Row],[명칭]])</f>
        <v>0</v>
      </c>
      <c r="N1108" s="65">
        <f>COUNTIF([1]VillageDiscoveryGroup!$C:$C,표1[[#This Row],[명칭]])</f>
        <v>0</v>
      </c>
      <c r="O1108" s="65">
        <f>SUM(표1[[#This Row],[해양탐색]:[마을탐험]])</f>
        <v>4</v>
      </c>
    </row>
    <row r="1109" spans="2:15" ht="13.5" customHeight="1" x14ac:dyDescent="0.3">
      <c r="B1109" s="9">
        <f>[1]Discovery!A1115</f>
        <v>70409187</v>
      </c>
      <c r="C1109" s="9" t="str">
        <f>[1]Discovery!B1115</f>
        <v>배주름쥐치</v>
      </c>
      <c r="D1109" s="9" t="str">
        <f>[1]Discovery!E1115</f>
        <v>동물</v>
      </c>
      <c r="E1109" s="9" t="str">
        <f>[1]Discovery!C1115</f>
        <v>어류</v>
      </c>
      <c r="F1109" s="9" t="str">
        <f>[1]Discovery!G1115</f>
        <v>B</v>
      </c>
      <c r="G1109" s="9" t="str">
        <f>IFERROR(VLOOKUP(표1[[#This Row],[명칭]],'문화권 정리'!C:D,2,FALSE),"-")</f>
        <v>어류</v>
      </c>
      <c r="H1109" s="38" t="str">
        <f>IFERROR(COUNTIF([2]OceanDoodad!$Y:$Y,표1[[#This Row],[명칭]]),"-")</f>
        <v>-</v>
      </c>
      <c r="I1109" s="38">
        <f>IFERROR(COUNTIF([1]AdventureDiscoveryGroup!$D$8:$AW$92,표1[[#This Row],[명칭]]),"-")</f>
        <v>0</v>
      </c>
      <c r="J1109" s="38">
        <f>IFERROR(COUNTIF([1]FishDiscoveryGroup!$A:$X,표1[[#This Row],[명칭]]),"-")</f>
        <v>0</v>
      </c>
      <c r="K1109" s="38" t="str">
        <f>IFERROR(COUNTIF([2]Town!$B:$B,표1[[#This Row],[명칭]]),"-")</f>
        <v>-</v>
      </c>
      <c r="L1109" s="38">
        <f>IFERROR(COUNTIF([1]Village!$BR:$BR,표1[[#This Row],[명칭]]),"-")</f>
        <v>0</v>
      </c>
      <c r="M1109" s="38">
        <f>COUNTIF(퀘스트!B:B,표1[[#This Row],[명칭]])</f>
        <v>0</v>
      </c>
      <c r="N1109" s="65">
        <f>COUNTIF([1]VillageDiscoveryGroup!$C:$C,표1[[#This Row],[명칭]])</f>
        <v>0</v>
      </c>
      <c r="O1109" s="65">
        <f>SUM(표1[[#This Row],[해양탐색]:[마을탐험]])</f>
        <v>0</v>
      </c>
    </row>
    <row r="1110" spans="2:15" ht="13.5" customHeight="1" x14ac:dyDescent="0.3">
      <c r="B1110" s="9">
        <f>[1]Discovery!A1116</f>
        <v>70409188</v>
      </c>
      <c r="C1110" s="9" t="str">
        <f>[1]Discovery!B1116</f>
        <v>백다랑어</v>
      </c>
      <c r="D1110" s="9" t="str">
        <f>[1]Discovery!E1116</f>
        <v>동물</v>
      </c>
      <c r="E1110" s="9" t="str">
        <f>[1]Discovery!C1116</f>
        <v>어류</v>
      </c>
      <c r="F1110" s="9" t="str">
        <f>[1]Discovery!G1116</f>
        <v>A</v>
      </c>
      <c r="G1110" s="9" t="str">
        <f>IFERROR(VLOOKUP(표1[[#This Row],[명칭]],'문화권 정리'!C:D,2,FALSE),"-")</f>
        <v>어류</v>
      </c>
      <c r="H1110" s="38" t="str">
        <f>IFERROR(COUNTIF([2]OceanDoodad!$Y:$Y,표1[[#This Row],[명칭]]),"-")</f>
        <v>-</v>
      </c>
      <c r="I1110" s="38">
        <f>IFERROR(COUNTIF([1]AdventureDiscoveryGroup!$D$8:$AW$92,표1[[#This Row],[명칭]]),"-")</f>
        <v>0</v>
      </c>
      <c r="J1110" s="38">
        <f>IFERROR(COUNTIF([1]FishDiscoveryGroup!$A:$X,표1[[#This Row],[명칭]]),"-")</f>
        <v>4</v>
      </c>
      <c r="K1110" s="38" t="str">
        <f>IFERROR(COUNTIF([2]Town!$B:$B,표1[[#This Row],[명칭]]),"-")</f>
        <v>-</v>
      </c>
      <c r="L1110" s="38">
        <f>IFERROR(COUNTIF([1]Village!$BR:$BR,표1[[#This Row],[명칭]]),"-")</f>
        <v>0</v>
      </c>
      <c r="M1110" s="38">
        <f>COUNTIF(퀘스트!B:B,표1[[#This Row],[명칭]])</f>
        <v>0</v>
      </c>
      <c r="N1110" s="65">
        <f>COUNTIF([1]VillageDiscoveryGroup!$C:$C,표1[[#This Row],[명칭]])</f>
        <v>0</v>
      </c>
      <c r="O1110" s="65">
        <f>SUM(표1[[#This Row],[해양탐색]:[마을탐험]])</f>
        <v>4</v>
      </c>
    </row>
    <row r="1111" spans="2:15" ht="13.5" customHeight="1" x14ac:dyDescent="0.3">
      <c r="B1111" s="9">
        <f>[1]Discovery!A1117</f>
        <v>70409189</v>
      </c>
      <c r="C1111" s="9" t="str">
        <f>[1]Discovery!B1117</f>
        <v>백미돔</v>
      </c>
      <c r="D1111" s="9" t="str">
        <f>[1]Discovery!E1117</f>
        <v>동물</v>
      </c>
      <c r="E1111" s="9" t="str">
        <f>[1]Discovery!C1117</f>
        <v>어류</v>
      </c>
      <c r="F1111" s="9" t="str">
        <f>[1]Discovery!G1117</f>
        <v>A</v>
      </c>
      <c r="G1111" s="9" t="str">
        <f>IFERROR(VLOOKUP(표1[[#This Row],[명칭]],'문화권 정리'!C:D,2,FALSE),"-")</f>
        <v>어류</v>
      </c>
      <c r="H1111" s="38" t="str">
        <f>IFERROR(COUNTIF([2]OceanDoodad!$Y:$Y,표1[[#This Row],[명칭]]),"-")</f>
        <v>-</v>
      </c>
      <c r="I1111" s="38">
        <f>IFERROR(COUNTIF([1]AdventureDiscoveryGroup!$D$8:$AW$92,표1[[#This Row],[명칭]]),"-")</f>
        <v>0</v>
      </c>
      <c r="J1111" s="38">
        <f>IFERROR(COUNTIF([1]FishDiscoveryGroup!$A:$X,표1[[#This Row],[명칭]]),"-")</f>
        <v>4</v>
      </c>
      <c r="K1111" s="38" t="str">
        <f>IFERROR(COUNTIF([2]Town!$B:$B,표1[[#This Row],[명칭]]),"-")</f>
        <v>-</v>
      </c>
      <c r="L1111" s="38">
        <f>IFERROR(COUNTIF([1]Village!$BR:$BR,표1[[#This Row],[명칭]]),"-")</f>
        <v>0</v>
      </c>
      <c r="M1111" s="38">
        <f>COUNTIF(퀘스트!B:B,표1[[#This Row],[명칭]])</f>
        <v>0</v>
      </c>
      <c r="N1111" s="65">
        <f>COUNTIF([1]VillageDiscoveryGroup!$C:$C,표1[[#This Row],[명칭]])</f>
        <v>0</v>
      </c>
      <c r="O1111" s="65">
        <f>SUM(표1[[#This Row],[해양탐색]:[마을탐험]])</f>
        <v>4</v>
      </c>
    </row>
    <row r="1112" spans="2:15" ht="13.5" customHeight="1" x14ac:dyDescent="0.3">
      <c r="B1112" s="9">
        <f>[1]Discovery!A1118</f>
        <v>70409190</v>
      </c>
      <c r="C1112" s="9" t="str">
        <f>[1]Discovery!B1118</f>
        <v>백상아리</v>
      </c>
      <c r="D1112" s="9" t="str">
        <f>[1]Discovery!E1118</f>
        <v>동물</v>
      </c>
      <c r="E1112" s="9" t="str">
        <f>[1]Discovery!C1118</f>
        <v>어류</v>
      </c>
      <c r="F1112" s="9" t="str">
        <f>[1]Discovery!G1118</f>
        <v>S</v>
      </c>
      <c r="G1112" s="9" t="str">
        <f>IFERROR(VLOOKUP(표1[[#This Row],[명칭]],'문화권 정리'!C:D,2,FALSE),"-")</f>
        <v>어류</v>
      </c>
      <c r="H1112" s="38" t="str">
        <f>IFERROR(COUNTIF([2]OceanDoodad!$Y:$Y,표1[[#This Row],[명칭]]),"-")</f>
        <v>-</v>
      </c>
      <c r="I1112" s="38">
        <f>IFERROR(COUNTIF([1]AdventureDiscoveryGroup!$D$8:$AW$92,표1[[#This Row],[명칭]]),"-")</f>
        <v>0</v>
      </c>
      <c r="J1112" s="38">
        <f>IFERROR(COUNTIF([1]FishDiscoveryGroup!$A:$X,표1[[#This Row],[명칭]]),"-")</f>
        <v>1</v>
      </c>
      <c r="K1112" s="38" t="str">
        <f>IFERROR(COUNTIF([2]Town!$B:$B,표1[[#This Row],[명칭]]),"-")</f>
        <v>-</v>
      </c>
      <c r="L1112" s="38">
        <f>IFERROR(COUNTIF([1]Village!$BR:$BR,표1[[#This Row],[명칭]]),"-")</f>
        <v>0</v>
      </c>
      <c r="M1112" s="38">
        <f>COUNTIF(퀘스트!B:B,표1[[#This Row],[명칭]])</f>
        <v>0</v>
      </c>
      <c r="N1112" s="65">
        <f>COUNTIF([1]VillageDiscoveryGroup!$C:$C,표1[[#This Row],[명칭]])</f>
        <v>0</v>
      </c>
      <c r="O1112" s="65">
        <f>SUM(표1[[#This Row],[해양탐색]:[마을탐험]])</f>
        <v>1</v>
      </c>
    </row>
    <row r="1113" spans="2:15" ht="13.5" customHeight="1" x14ac:dyDescent="0.3">
      <c r="B1113" s="9">
        <f>[1]Discovery!A1119</f>
        <v>70409191</v>
      </c>
      <c r="C1113" s="9" t="str">
        <f>[1]Discovery!B1119</f>
        <v>뱀상어</v>
      </c>
      <c r="D1113" s="9" t="str">
        <f>[1]Discovery!E1119</f>
        <v>동물</v>
      </c>
      <c r="E1113" s="9" t="str">
        <f>[1]Discovery!C1119</f>
        <v>어류</v>
      </c>
      <c r="F1113" s="9" t="str">
        <f>[1]Discovery!G1119</f>
        <v>S</v>
      </c>
      <c r="G1113" s="9" t="str">
        <f>IFERROR(VLOOKUP(표1[[#This Row],[명칭]],'문화권 정리'!C:D,2,FALSE),"-")</f>
        <v>어류</v>
      </c>
      <c r="H1113" s="38" t="str">
        <f>IFERROR(COUNTIF([2]OceanDoodad!$Y:$Y,표1[[#This Row],[명칭]]),"-")</f>
        <v>-</v>
      </c>
      <c r="I1113" s="38">
        <f>IFERROR(COUNTIF([1]AdventureDiscoveryGroup!$D$8:$AW$92,표1[[#This Row],[명칭]]),"-")</f>
        <v>0</v>
      </c>
      <c r="J1113" s="38">
        <f>IFERROR(COUNTIF([1]FishDiscoveryGroup!$A:$X,표1[[#This Row],[명칭]]),"-")</f>
        <v>4</v>
      </c>
      <c r="K1113" s="38" t="str">
        <f>IFERROR(COUNTIF([2]Town!$B:$B,표1[[#This Row],[명칭]]),"-")</f>
        <v>-</v>
      </c>
      <c r="L1113" s="38">
        <f>IFERROR(COUNTIF([1]Village!$BR:$BR,표1[[#This Row],[명칭]]),"-")</f>
        <v>0</v>
      </c>
      <c r="M1113" s="38">
        <f>COUNTIF(퀘스트!B:B,표1[[#This Row],[명칭]])</f>
        <v>0</v>
      </c>
      <c r="N1113" s="65">
        <f>COUNTIF([1]VillageDiscoveryGroup!$C:$C,표1[[#This Row],[명칭]])</f>
        <v>0</v>
      </c>
      <c r="O1113" s="65">
        <f>SUM(표1[[#This Row],[해양탐색]:[마을탐험]])</f>
        <v>4</v>
      </c>
    </row>
    <row r="1114" spans="2:15" ht="13.5" customHeight="1" x14ac:dyDescent="0.3">
      <c r="B1114" s="9">
        <f>[1]Discovery!A1120</f>
        <v>70409192</v>
      </c>
      <c r="C1114" s="9" t="str">
        <f>[1]Discovery!B1120</f>
        <v>뱀장어</v>
      </c>
      <c r="D1114" s="9" t="str">
        <f>[1]Discovery!E1120</f>
        <v>동물</v>
      </c>
      <c r="E1114" s="9" t="str">
        <f>[1]Discovery!C1120</f>
        <v>어류</v>
      </c>
      <c r="F1114" s="9" t="str">
        <f>[1]Discovery!G1120</f>
        <v>A</v>
      </c>
      <c r="G1114" s="9" t="str">
        <f>IFERROR(VLOOKUP(표1[[#This Row],[명칭]],'문화권 정리'!C:D,2,FALSE),"-")</f>
        <v>어류</v>
      </c>
      <c r="H1114" s="38" t="str">
        <f>IFERROR(COUNTIF([2]OceanDoodad!$Y:$Y,표1[[#This Row],[명칭]]),"-")</f>
        <v>-</v>
      </c>
      <c r="I1114" s="38">
        <f>IFERROR(COUNTIF([1]AdventureDiscoveryGroup!$D$8:$AW$92,표1[[#This Row],[명칭]]),"-")</f>
        <v>0</v>
      </c>
      <c r="J1114" s="38">
        <f>IFERROR(COUNTIF([1]FishDiscoveryGroup!$A:$X,표1[[#This Row],[명칭]]),"-")</f>
        <v>4</v>
      </c>
      <c r="K1114" s="38" t="str">
        <f>IFERROR(COUNTIF([2]Town!$B:$B,표1[[#This Row],[명칭]]),"-")</f>
        <v>-</v>
      </c>
      <c r="L1114" s="38">
        <f>IFERROR(COUNTIF([1]Village!$BR:$BR,표1[[#This Row],[명칭]]),"-")</f>
        <v>0</v>
      </c>
      <c r="M1114" s="38">
        <f>COUNTIF(퀘스트!B:B,표1[[#This Row],[명칭]])</f>
        <v>0</v>
      </c>
      <c r="N1114" s="65">
        <f>COUNTIF([1]VillageDiscoveryGroup!$C:$C,표1[[#This Row],[명칭]])</f>
        <v>0</v>
      </c>
      <c r="O1114" s="65">
        <f>SUM(표1[[#This Row],[해양탐색]:[마을탐험]])</f>
        <v>4</v>
      </c>
    </row>
    <row r="1115" spans="2:15" ht="13.5" customHeight="1" x14ac:dyDescent="0.3">
      <c r="B1115" s="9">
        <f>[1]Discovery!A1121</f>
        <v>70409193</v>
      </c>
      <c r="C1115" s="9" t="str">
        <f>[1]Discovery!B1121</f>
        <v>뱅어</v>
      </c>
      <c r="D1115" s="9" t="str">
        <f>[1]Discovery!E1121</f>
        <v>동물</v>
      </c>
      <c r="E1115" s="9" t="str">
        <f>[1]Discovery!C1121</f>
        <v>어류</v>
      </c>
      <c r="F1115" s="9" t="str">
        <f>[1]Discovery!G1121</f>
        <v>B</v>
      </c>
      <c r="G1115" s="9" t="str">
        <f>IFERROR(VLOOKUP(표1[[#This Row],[명칭]],'문화권 정리'!C:D,2,FALSE),"-")</f>
        <v>어류</v>
      </c>
      <c r="H1115" s="38" t="str">
        <f>IFERROR(COUNTIF([2]OceanDoodad!$Y:$Y,표1[[#This Row],[명칭]]),"-")</f>
        <v>-</v>
      </c>
      <c r="I1115" s="38">
        <f>IFERROR(COUNTIF([1]AdventureDiscoveryGroup!$D$8:$AW$92,표1[[#This Row],[명칭]]),"-")</f>
        <v>0</v>
      </c>
      <c r="J1115" s="38">
        <f>IFERROR(COUNTIF([1]FishDiscoveryGroup!$A:$X,표1[[#This Row],[명칭]]),"-")</f>
        <v>0</v>
      </c>
      <c r="K1115" s="38" t="str">
        <f>IFERROR(COUNTIF([2]Town!$B:$B,표1[[#This Row],[명칭]]),"-")</f>
        <v>-</v>
      </c>
      <c r="L1115" s="38">
        <f>IFERROR(COUNTIF([1]Village!$BR:$BR,표1[[#This Row],[명칭]]),"-")</f>
        <v>0</v>
      </c>
      <c r="M1115" s="38">
        <f>COUNTIF(퀘스트!B:B,표1[[#This Row],[명칭]])</f>
        <v>0</v>
      </c>
      <c r="N1115" s="65">
        <f>COUNTIF([1]VillageDiscoveryGroup!$C:$C,표1[[#This Row],[명칭]])</f>
        <v>0</v>
      </c>
      <c r="O1115" s="65">
        <f>SUM(표1[[#This Row],[해양탐색]:[마을탐험]])</f>
        <v>0</v>
      </c>
    </row>
    <row r="1116" spans="2:15" ht="13.5" customHeight="1" x14ac:dyDescent="0.3">
      <c r="B1116" s="9">
        <f>[1]Discovery!A1122</f>
        <v>70409194</v>
      </c>
      <c r="C1116" s="9" t="str">
        <f>[1]Discovery!B1122</f>
        <v>벌감펭</v>
      </c>
      <c r="D1116" s="9" t="str">
        <f>[1]Discovery!E1122</f>
        <v>동물</v>
      </c>
      <c r="E1116" s="9" t="str">
        <f>[1]Discovery!C1122</f>
        <v>어류</v>
      </c>
      <c r="F1116" s="9" t="str">
        <f>[1]Discovery!G1122</f>
        <v>C</v>
      </c>
      <c r="G1116" s="9" t="str">
        <f>IFERROR(VLOOKUP(표1[[#This Row],[명칭]],'문화권 정리'!C:D,2,FALSE),"-")</f>
        <v>어류</v>
      </c>
      <c r="H1116" s="38" t="str">
        <f>IFERROR(COUNTIF([2]OceanDoodad!$Y:$Y,표1[[#This Row],[명칭]]),"-")</f>
        <v>-</v>
      </c>
      <c r="I1116" s="38">
        <f>IFERROR(COUNTIF([1]AdventureDiscoveryGroup!$D$8:$AW$92,표1[[#This Row],[명칭]]),"-")</f>
        <v>0</v>
      </c>
      <c r="J1116" s="38">
        <f>IFERROR(COUNTIF([1]FishDiscoveryGroup!$A:$X,표1[[#This Row],[명칭]]),"-")</f>
        <v>4</v>
      </c>
      <c r="K1116" s="38" t="str">
        <f>IFERROR(COUNTIF([2]Town!$B:$B,표1[[#This Row],[명칭]]),"-")</f>
        <v>-</v>
      </c>
      <c r="L1116" s="38">
        <f>IFERROR(COUNTIF([1]Village!$BR:$BR,표1[[#This Row],[명칭]]),"-")</f>
        <v>0</v>
      </c>
      <c r="M1116" s="38">
        <f>COUNTIF(퀘스트!B:B,표1[[#This Row],[명칭]])</f>
        <v>0</v>
      </c>
      <c r="N1116" s="65">
        <f>COUNTIF([1]VillageDiscoveryGroup!$C:$C,표1[[#This Row],[명칭]])</f>
        <v>0</v>
      </c>
      <c r="O1116" s="65">
        <f>SUM(표1[[#This Row],[해양탐색]:[마을탐험]])</f>
        <v>4</v>
      </c>
    </row>
    <row r="1117" spans="2:15" ht="13.5" customHeight="1" x14ac:dyDescent="0.3">
      <c r="B1117" s="9">
        <f>[1]Discovery!A1123</f>
        <v>70409195</v>
      </c>
      <c r="C1117" s="9" t="str">
        <f>[1]Discovery!B1123</f>
        <v>범고래</v>
      </c>
      <c r="D1117" s="9" t="str">
        <f>[1]Discovery!E1123</f>
        <v>동물</v>
      </c>
      <c r="E1117" s="9" t="str">
        <f>[1]Discovery!C1123</f>
        <v>포유류</v>
      </c>
      <c r="F1117" s="9" t="str">
        <f>[1]Discovery!G1123</f>
        <v>A</v>
      </c>
      <c r="G1117" s="9" t="str">
        <f>IFERROR(VLOOKUP(표1[[#This Row],[명칭]],'문화권 정리'!C:D,2,FALSE),"-")</f>
        <v>어류</v>
      </c>
      <c r="H1117" s="38" t="str">
        <f>IFERROR(COUNTIF([2]OceanDoodad!$Y:$Y,표1[[#This Row],[명칭]]),"-")</f>
        <v>-</v>
      </c>
      <c r="I1117" s="38">
        <f>IFERROR(COUNTIF([1]AdventureDiscoveryGroup!$D$8:$AW$92,표1[[#This Row],[명칭]]),"-")</f>
        <v>0</v>
      </c>
      <c r="J1117" s="38">
        <f>IFERROR(COUNTIF([1]FishDiscoveryGroup!$A:$X,표1[[#This Row],[명칭]]),"-")</f>
        <v>4</v>
      </c>
      <c r="K1117" s="38" t="str">
        <f>IFERROR(COUNTIF([2]Town!$B:$B,표1[[#This Row],[명칭]]),"-")</f>
        <v>-</v>
      </c>
      <c r="L1117" s="38">
        <f>IFERROR(COUNTIF([1]Village!$BR:$BR,표1[[#This Row],[명칭]]),"-")</f>
        <v>0</v>
      </c>
      <c r="M1117" s="38">
        <f>COUNTIF(퀘스트!B:B,표1[[#This Row],[명칭]])</f>
        <v>0</v>
      </c>
      <c r="N1117" s="65">
        <f>COUNTIF([1]VillageDiscoveryGroup!$C:$C,표1[[#This Row],[명칭]])</f>
        <v>0</v>
      </c>
      <c r="O1117" s="65">
        <f>SUM(표1[[#This Row],[해양탐색]:[마을탐험]])</f>
        <v>4</v>
      </c>
    </row>
    <row r="1118" spans="2:15" ht="13.5" customHeight="1" x14ac:dyDescent="0.3">
      <c r="B1118" s="9">
        <f>[1]Discovery!A1124</f>
        <v>70409196</v>
      </c>
      <c r="C1118" s="9" t="str">
        <f>[1]Discovery!B1124</f>
        <v>범돔</v>
      </c>
      <c r="D1118" s="9" t="str">
        <f>[1]Discovery!E1124</f>
        <v>동물</v>
      </c>
      <c r="E1118" s="9" t="str">
        <f>[1]Discovery!C1124</f>
        <v>어류</v>
      </c>
      <c r="F1118" s="9" t="str">
        <f>[1]Discovery!G1124</f>
        <v>B</v>
      </c>
      <c r="G1118" s="9" t="str">
        <f>IFERROR(VLOOKUP(표1[[#This Row],[명칭]],'문화권 정리'!C:D,2,FALSE),"-")</f>
        <v>어류</v>
      </c>
      <c r="H1118" s="38" t="str">
        <f>IFERROR(COUNTIF([2]OceanDoodad!$Y:$Y,표1[[#This Row],[명칭]]),"-")</f>
        <v>-</v>
      </c>
      <c r="I1118" s="38">
        <f>IFERROR(COUNTIF([1]AdventureDiscoveryGroup!$D$8:$AW$92,표1[[#This Row],[명칭]]),"-")</f>
        <v>0</v>
      </c>
      <c r="J1118" s="38">
        <f>IFERROR(COUNTIF([1]FishDiscoveryGroup!$A:$X,표1[[#This Row],[명칭]]),"-")</f>
        <v>4</v>
      </c>
      <c r="K1118" s="38" t="str">
        <f>IFERROR(COUNTIF([2]Town!$B:$B,표1[[#This Row],[명칭]]),"-")</f>
        <v>-</v>
      </c>
      <c r="L1118" s="38">
        <f>IFERROR(COUNTIF([1]Village!$BR:$BR,표1[[#This Row],[명칭]]),"-")</f>
        <v>0</v>
      </c>
      <c r="M1118" s="38">
        <f>COUNTIF(퀘스트!B:B,표1[[#This Row],[명칭]])</f>
        <v>0</v>
      </c>
      <c r="N1118" s="65">
        <f>COUNTIF([1]VillageDiscoveryGroup!$C:$C,표1[[#This Row],[명칭]])</f>
        <v>0</v>
      </c>
      <c r="O1118" s="65">
        <f>SUM(표1[[#This Row],[해양탐색]:[마을탐험]])</f>
        <v>4</v>
      </c>
    </row>
    <row r="1119" spans="2:15" ht="13.5" customHeight="1" x14ac:dyDescent="0.3">
      <c r="B1119" s="9">
        <f>[1]Discovery!A1125</f>
        <v>70409197</v>
      </c>
      <c r="C1119" s="9" t="str">
        <f>[1]Discovery!B1125</f>
        <v>베링늑대고기</v>
      </c>
      <c r="D1119" s="9" t="str">
        <f>[1]Discovery!E1125</f>
        <v>동물</v>
      </c>
      <c r="E1119" s="9" t="str">
        <f>[1]Discovery!C1125</f>
        <v>어류</v>
      </c>
      <c r="F1119" s="9" t="str">
        <f>[1]Discovery!G1125</f>
        <v>B</v>
      </c>
      <c r="G1119" s="9" t="str">
        <f>IFERROR(VLOOKUP(표1[[#This Row],[명칭]],'문화권 정리'!C:D,2,FALSE),"-")</f>
        <v>어류</v>
      </c>
      <c r="H1119" s="38" t="str">
        <f>IFERROR(COUNTIF([2]OceanDoodad!$Y:$Y,표1[[#This Row],[명칭]]),"-")</f>
        <v>-</v>
      </c>
      <c r="I1119" s="38">
        <f>IFERROR(COUNTIF([1]AdventureDiscoveryGroup!$D$8:$AW$92,표1[[#This Row],[명칭]]),"-")</f>
        <v>0</v>
      </c>
      <c r="J1119" s="38">
        <f>IFERROR(COUNTIF([1]FishDiscoveryGroup!$A:$X,표1[[#This Row],[명칭]]),"-")</f>
        <v>4</v>
      </c>
      <c r="K1119" s="38" t="str">
        <f>IFERROR(COUNTIF([2]Town!$B:$B,표1[[#This Row],[명칭]]),"-")</f>
        <v>-</v>
      </c>
      <c r="L1119" s="38">
        <f>IFERROR(COUNTIF([1]Village!$BR:$BR,표1[[#This Row],[명칭]]),"-")</f>
        <v>0</v>
      </c>
      <c r="M1119" s="38">
        <f>COUNTIF(퀘스트!B:B,표1[[#This Row],[명칭]])</f>
        <v>0</v>
      </c>
      <c r="N1119" s="65">
        <f>COUNTIF([1]VillageDiscoveryGroup!$C:$C,표1[[#This Row],[명칭]])</f>
        <v>0</v>
      </c>
      <c r="O1119" s="65">
        <f>SUM(표1[[#This Row],[해양탐색]:[마을탐험]])</f>
        <v>4</v>
      </c>
    </row>
    <row r="1120" spans="2:15" ht="13.5" customHeight="1" x14ac:dyDescent="0.3">
      <c r="B1120" s="9">
        <f>[1]Discovery!A1126</f>
        <v>70409198</v>
      </c>
      <c r="C1120" s="9" t="str">
        <f>[1]Discovery!B1126</f>
        <v>벵에돔</v>
      </c>
      <c r="D1120" s="9" t="str">
        <f>[1]Discovery!E1126</f>
        <v>동물</v>
      </c>
      <c r="E1120" s="9" t="str">
        <f>[1]Discovery!C1126</f>
        <v>어류</v>
      </c>
      <c r="F1120" s="9" t="str">
        <f>[1]Discovery!G1126</f>
        <v>C</v>
      </c>
      <c r="G1120" s="9" t="str">
        <f>IFERROR(VLOOKUP(표1[[#This Row],[명칭]],'문화권 정리'!C:D,2,FALSE),"-")</f>
        <v>어류</v>
      </c>
      <c r="H1120" s="38" t="str">
        <f>IFERROR(COUNTIF([2]OceanDoodad!$Y:$Y,표1[[#This Row],[명칭]]),"-")</f>
        <v>-</v>
      </c>
      <c r="I1120" s="38">
        <f>IFERROR(COUNTIF([1]AdventureDiscoveryGroup!$D$8:$AW$92,표1[[#This Row],[명칭]]),"-")</f>
        <v>0</v>
      </c>
      <c r="J1120" s="38">
        <f>IFERROR(COUNTIF([1]FishDiscoveryGroup!$A:$X,표1[[#This Row],[명칭]]),"-")</f>
        <v>0</v>
      </c>
      <c r="K1120" s="38" t="str">
        <f>IFERROR(COUNTIF([2]Town!$B:$B,표1[[#This Row],[명칭]]),"-")</f>
        <v>-</v>
      </c>
      <c r="L1120" s="38">
        <f>IFERROR(COUNTIF([1]Village!$BR:$BR,표1[[#This Row],[명칭]]),"-")</f>
        <v>0</v>
      </c>
      <c r="M1120" s="38">
        <f>COUNTIF(퀘스트!B:B,표1[[#This Row],[명칭]])</f>
        <v>0</v>
      </c>
      <c r="N1120" s="65">
        <f>COUNTIF([1]VillageDiscoveryGroup!$C:$C,표1[[#This Row],[명칭]])</f>
        <v>0</v>
      </c>
      <c r="O1120" s="65">
        <f>SUM(표1[[#This Row],[해양탐색]:[마을탐험]])</f>
        <v>0</v>
      </c>
    </row>
    <row r="1121" spans="2:15" ht="13.5" customHeight="1" x14ac:dyDescent="0.3">
      <c r="B1121" s="9">
        <f>[1]Discovery!A1127</f>
        <v>70409199</v>
      </c>
      <c r="C1121" s="9" t="str">
        <f>[1]Discovery!B1127</f>
        <v>별목탁가자미</v>
      </c>
      <c r="D1121" s="9" t="str">
        <f>[1]Discovery!E1127</f>
        <v>동물</v>
      </c>
      <c r="E1121" s="9" t="str">
        <f>[1]Discovery!C1127</f>
        <v>어류</v>
      </c>
      <c r="F1121" s="9" t="str">
        <f>[1]Discovery!G1127</f>
        <v>C</v>
      </c>
      <c r="G1121" s="9" t="str">
        <f>IFERROR(VLOOKUP(표1[[#This Row],[명칭]],'문화권 정리'!C:D,2,FALSE),"-")</f>
        <v>어류</v>
      </c>
      <c r="H1121" s="38" t="str">
        <f>IFERROR(COUNTIF([2]OceanDoodad!$Y:$Y,표1[[#This Row],[명칭]]),"-")</f>
        <v>-</v>
      </c>
      <c r="I1121" s="38">
        <f>IFERROR(COUNTIF([1]AdventureDiscoveryGroup!$D$8:$AW$92,표1[[#This Row],[명칭]]),"-")</f>
        <v>0</v>
      </c>
      <c r="J1121" s="38">
        <f>IFERROR(COUNTIF([1]FishDiscoveryGroup!$A:$X,표1[[#This Row],[명칭]]),"-")</f>
        <v>4</v>
      </c>
      <c r="K1121" s="38" t="str">
        <f>IFERROR(COUNTIF([2]Town!$B:$B,표1[[#This Row],[명칭]]),"-")</f>
        <v>-</v>
      </c>
      <c r="L1121" s="38">
        <f>IFERROR(COUNTIF([1]Village!$BR:$BR,표1[[#This Row],[명칭]]),"-")</f>
        <v>0</v>
      </c>
      <c r="M1121" s="38">
        <f>COUNTIF(퀘스트!B:B,표1[[#This Row],[명칭]])</f>
        <v>0</v>
      </c>
      <c r="N1121" s="65">
        <f>COUNTIF([1]VillageDiscoveryGroup!$C:$C,표1[[#This Row],[명칭]])</f>
        <v>0</v>
      </c>
      <c r="O1121" s="65">
        <f>SUM(표1[[#This Row],[해양탐색]:[마을탐험]])</f>
        <v>4</v>
      </c>
    </row>
    <row r="1122" spans="2:15" ht="13.5" customHeight="1" x14ac:dyDescent="0.3">
      <c r="B1122" s="9">
        <f>[1]Discovery!A1128</f>
        <v>70409200</v>
      </c>
      <c r="C1122" s="9" t="str">
        <f>[1]Discovery!B1128</f>
        <v>별보리멸</v>
      </c>
      <c r="D1122" s="9" t="str">
        <f>[1]Discovery!E1128</f>
        <v>동물</v>
      </c>
      <c r="E1122" s="9" t="str">
        <f>[1]Discovery!C1128</f>
        <v>어류</v>
      </c>
      <c r="F1122" s="9" t="str">
        <f>[1]Discovery!G1128</f>
        <v>C</v>
      </c>
      <c r="G1122" s="9" t="str">
        <f>IFERROR(VLOOKUP(표1[[#This Row],[명칭]],'문화권 정리'!C:D,2,FALSE),"-")</f>
        <v>어류</v>
      </c>
      <c r="H1122" s="38" t="str">
        <f>IFERROR(COUNTIF([2]OceanDoodad!$Y:$Y,표1[[#This Row],[명칭]]),"-")</f>
        <v>-</v>
      </c>
      <c r="I1122" s="38">
        <f>IFERROR(COUNTIF([1]AdventureDiscoveryGroup!$D$8:$AW$92,표1[[#This Row],[명칭]]),"-")</f>
        <v>0</v>
      </c>
      <c r="J1122" s="38">
        <f>IFERROR(COUNTIF([1]FishDiscoveryGroup!$A:$X,표1[[#This Row],[명칭]]),"-")</f>
        <v>4</v>
      </c>
      <c r="K1122" s="38" t="str">
        <f>IFERROR(COUNTIF([2]Town!$B:$B,표1[[#This Row],[명칭]]),"-")</f>
        <v>-</v>
      </c>
      <c r="L1122" s="38">
        <f>IFERROR(COUNTIF([1]Village!$BR:$BR,표1[[#This Row],[명칭]]),"-")</f>
        <v>0</v>
      </c>
      <c r="M1122" s="38">
        <f>COUNTIF(퀘스트!B:B,표1[[#This Row],[명칭]])</f>
        <v>0</v>
      </c>
      <c r="N1122" s="65">
        <f>COUNTIF([1]VillageDiscoveryGroup!$C:$C,표1[[#This Row],[명칭]])</f>
        <v>0</v>
      </c>
      <c r="O1122" s="65">
        <f>SUM(표1[[#This Row],[해양탐색]:[마을탐험]])</f>
        <v>4</v>
      </c>
    </row>
    <row r="1123" spans="2:15" ht="13.5" customHeight="1" x14ac:dyDescent="0.3">
      <c r="B1123" s="9">
        <f>[1]Discovery!A1129</f>
        <v>70409201</v>
      </c>
      <c r="C1123" s="9" t="str">
        <f>[1]Discovery!B1129</f>
        <v>별복</v>
      </c>
      <c r="D1123" s="9" t="str">
        <f>[1]Discovery!E1129</f>
        <v>동물</v>
      </c>
      <c r="E1123" s="9" t="str">
        <f>[1]Discovery!C1129</f>
        <v>어류</v>
      </c>
      <c r="F1123" s="9" t="str">
        <f>[1]Discovery!G1129</f>
        <v>C</v>
      </c>
      <c r="G1123" s="9" t="str">
        <f>IFERROR(VLOOKUP(표1[[#This Row],[명칭]],'문화권 정리'!C:D,2,FALSE),"-")</f>
        <v>어류</v>
      </c>
      <c r="H1123" s="38" t="str">
        <f>IFERROR(COUNTIF([2]OceanDoodad!$Y:$Y,표1[[#This Row],[명칭]]),"-")</f>
        <v>-</v>
      </c>
      <c r="I1123" s="38">
        <f>IFERROR(COUNTIF([1]AdventureDiscoveryGroup!$D$8:$AW$92,표1[[#This Row],[명칭]]),"-")</f>
        <v>0</v>
      </c>
      <c r="J1123" s="38">
        <f>IFERROR(COUNTIF([1]FishDiscoveryGroup!$A:$X,표1[[#This Row],[명칭]]),"-")</f>
        <v>8</v>
      </c>
      <c r="K1123" s="38" t="str">
        <f>IFERROR(COUNTIF([2]Town!$B:$B,표1[[#This Row],[명칭]]),"-")</f>
        <v>-</v>
      </c>
      <c r="L1123" s="38">
        <f>IFERROR(COUNTIF([1]Village!$BR:$BR,표1[[#This Row],[명칭]]),"-")</f>
        <v>0</v>
      </c>
      <c r="M1123" s="38">
        <f>COUNTIF(퀘스트!B:B,표1[[#This Row],[명칭]])</f>
        <v>0</v>
      </c>
      <c r="N1123" s="65">
        <f>COUNTIF([1]VillageDiscoveryGroup!$C:$C,표1[[#This Row],[명칭]])</f>
        <v>0</v>
      </c>
      <c r="O1123" s="65">
        <f>SUM(표1[[#This Row],[해양탐색]:[마을탐험]])</f>
        <v>8</v>
      </c>
    </row>
    <row r="1124" spans="2:15" ht="13.5" customHeight="1" x14ac:dyDescent="0.3">
      <c r="B1124" s="9">
        <f>[1]Discovery!A1130</f>
        <v>70409202</v>
      </c>
      <c r="C1124" s="9" t="str">
        <f>[1]Discovery!B1130</f>
        <v>별상어</v>
      </c>
      <c r="D1124" s="9" t="str">
        <f>[1]Discovery!E1130</f>
        <v>동물</v>
      </c>
      <c r="E1124" s="9" t="str">
        <f>[1]Discovery!C1130</f>
        <v>어류</v>
      </c>
      <c r="F1124" s="9" t="str">
        <f>[1]Discovery!G1130</f>
        <v>A</v>
      </c>
      <c r="G1124" s="9" t="str">
        <f>IFERROR(VLOOKUP(표1[[#This Row],[명칭]],'문화권 정리'!C:D,2,FALSE),"-")</f>
        <v>어류</v>
      </c>
      <c r="H1124" s="38" t="str">
        <f>IFERROR(COUNTIF([2]OceanDoodad!$Y:$Y,표1[[#This Row],[명칭]]),"-")</f>
        <v>-</v>
      </c>
      <c r="I1124" s="38">
        <f>IFERROR(COUNTIF([1]AdventureDiscoveryGroup!$D$8:$AW$92,표1[[#This Row],[명칭]]),"-")</f>
        <v>0</v>
      </c>
      <c r="J1124" s="38">
        <f>IFERROR(COUNTIF([1]FishDiscoveryGroup!$A:$X,표1[[#This Row],[명칭]]),"-")</f>
        <v>8</v>
      </c>
      <c r="K1124" s="38" t="str">
        <f>IFERROR(COUNTIF([2]Town!$B:$B,표1[[#This Row],[명칭]]),"-")</f>
        <v>-</v>
      </c>
      <c r="L1124" s="38">
        <f>IFERROR(COUNTIF([1]Village!$BR:$BR,표1[[#This Row],[명칭]]),"-")</f>
        <v>0</v>
      </c>
      <c r="M1124" s="38">
        <f>COUNTIF(퀘스트!B:B,표1[[#This Row],[명칭]])</f>
        <v>0</v>
      </c>
      <c r="N1124" s="65">
        <f>COUNTIF([1]VillageDiscoveryGroup!$C:$C,표1[[#This Row],[명칭]])</f>
        <v>0</v>
      </c>
      <c r="O1124" s="65">
        <f>SUM(표1[[#This Row],[해양탐색]:[마을탐험]])</f>
        <v>8</v>
      </c>
    </row>
    <row r="1125" spans="2:15" ht="13.5" customHeight="1" x14ac:dyDescent="0.3">
      <c r="B1125" s="9">
        <f>[1]Discovery!A1131</f>
        <v>70409203</v>
      </c>
      <c r="C1125" s="9" t="str">
        <f>[1]Discovery!B1131</f>
        <v>별쭉지성대</v>
      </c>
      <c r="D1125" s="9" t="str">
        <f>[1]Discovery!E1131</f>
        <v>동물</v>
      </c>
      <c r="E1125" s="9" t="str">
        <f>[1]Discovery!C1131</f>
        <v>어류</v>
      </c>
      <c r="F1125" s="9" t="str">
        <f>[1]Discovery!G1131</f>
        <v>C</v>
      </c>
      <c r="G1125" s="9" t="str">
        <f>IFERROR(VLOOKUP(표1[[#This Row],[명칭]],'문화권 정리'!C:D,2,FALSE),"-")</f>
        <v>어류</v>
      </c>
      <c r="H1125" s="38" t="str">
        <f>IFERROR(COUNTIF([2]OceanDoodad!$Y:$Y,표1[[#This Row],[명칭]]),"-")</f>
        <v>-</v>
      </c>
      <c r="I1125" s="38">
        <f>IFERROR(COUNTIF([1]AdventureDiscoveryGroup!$D$8:$AW$92,표1[[#This Row],[명칭]]),"-")</f>
        <v>0</v>
      </c>
      <c r="J1125" s="38">
        <f>IFERROR(COUNTIF([1]FishDiscoveryGroup!$A:$X,표1[[#This Row],[명칭]]),"-")</f>
        <v>4</v>
      </c>
      <c r="K1125" s="38" t="str">
        <f>IFERROR(COUNTIF([2]Town!$B:$B,표1[[#This Row],[명칭]]),"-")</f>
        <v>-</v>
      </c>
      <c r="L1125" s="38">
        <f>IFERROR(COUNTIF([1]Village!$BR:$BR,표1[[#This Row],[명칭]]),"-")</f>
        <v>0</v>
      </c>
      <c r="M1125" s="38">
        <f>COUNTIF(퀘스트!B:B,표1[[#This Row],[명칭]])</f>
        <v>0</v>
      </c>
      <c r="N1125" s="65">
        <f>COUNTIF([1]VillageDiscoveryGroup!$C:$C,표1[[#This Row],[명칭]])</f>
        <v>0</v>
      </c>
      <c r="O1125" s="65">
        <f>SUM(표1[[#This Row],[해양탐색]:[마을탐험]])</f>
        <v>4</v>
      </c>
    </row>
    <row r="1126" spans="2:15" ht="13.5" customHeight="1" x14ac:dyDescent="0.3">
      <c r="B1126" s="9">
        <f>[1]Discovery!A1132</f>
        <v>70409204</v>
      </c>
      <c r="C1126" s="9" t="str">
        <f>[1]Discovery!B1132</f>
        <v>병어</v>
      </c>
      <c r="D1126" s="9" t="str">
        <f>[1]Discovery!E1132</f>
        <v>동물</v>
      </c>
      <c r="E1126" s="9" t="str">
        <f>[1]Discovery!C1132</f>
        <v>어류</v>
      </c>
      <c r="F1126" s="9" t="str">
        <f>[1]Discovery!G1132</f>
        <v>B</v>
      </c>
      <c r="G1126" s="9" t="str">
        <f>IFERROR(VLOOKUP(표1[[#This Row],[명칭]],'문화권 정리'!C:D,2,FALSE),"-")</f>
        <v>어류</v>
      </c>
      <c r="H1126" s="38" t="str">
        <f>IFERROR(COUNTIF([2]OceanDoodad!$Y:$Y,표1[[#This Row],[명칭]]),"-")</f>
        <v>-</v>
      </c>
      <c r="I1126" s="38">
        <f>IFERROR(COUNTIF([1]AdventureDiscoveryGroup!$D$8:$AW$92,표1[[#This Row],[명칭]]),"-")</f>
        <v>0</v>
      </c>
      <c r="J1126" s="38">
        <f>IFERROR(COUNTIF([1]FishDiscoveryGroup!$A:$X,표1[[#This Row],[명칭]]),"-")</f>
        <v>4</v>
      </c>
      <c r="K1126" s="38" t="str">
        <f>IFERROR(COUNTIF([2]Town!$B:$B,표1[[#This Row],[명칭]]),"-")</f>
        <v>-</v>
      </c>
      <c r="L1126" s="38">
        <f>IFERROR(COUNTIF([1]Village!$BR:$BR,표1[[#This Row],[명칭]]),"-")</f>
        <v>0</v>
      </c>
      <c r="M1126" s="38">
        <f>COUNTIF(퀘스트!B:B,표1[[#This Row],[명칭]])</f>
        <v>0</v>
      </c>
      <c r="N1126" s="65">
        <f>COUNTIF([1]VillageDiscoveryGroup!$C:$C,표1[[#This Row],[명칭]])</f>
        <v>0</v>
      </c>
      <c r="O1126" s="65">
        <f>SUM(표1[[#This Row],[해양탐색]:[마을탐험]])</f>
        <v>4</v>
      </c>
    </row>
    <row r="1127" spans="2:15" ht="13.5" customHeight="1" x14ac:dyDescent="0.3">
      <c r="B1127" s="9">
        <f>[1]Discovery!A1133</f>
        <v>70409205</v>
      </c>
      <c r="C1127" s="9" t="str">
        <f>[1]Discovery!B1133</f>
        <v>병치돔</v>
      </c>
      <c r="D1127" s="9" t="str">
        <f>[1]Discovery!E1133</f>
        <v>동물</v>
      </c>
      <c r="E1127" s="9" t="str">
        <f>[1]Discovery!C1133</f>
        <v>어류</v>
      </c>
      <c r="F1127" s="9" t="str">
        <f>[1]Discovery!G1133</f>
        <v>D</v>
      </c>
      <c r="G1127" s="9" t="str">
        <f>IFERROR(VLOOKUP(표1[[#This Row],[명칭]],'문화권 정리'!C:D,2,FALSE),"-")</f>
        <v>어류</v>
      </c>
      <c r="H1127" s="38" t="str">
        <f>IFERROR(COUNTIF([2]OceanDoodad!$Y:$Y,표1[[#This Row],[명칭]]),"-")</f>
        <v>-</v>
      </c>
      <c r="I1127" s="38">
        <f>IFERROR(COUNTIF([1]AdventureDiscoveryGroup!$D$8:$AW$92,표1[[#This Row],[명칭]]),"-")</f>
        <v>0</v>
      </c>
      <c r="J1127" s="38">
        <f>IFERROR(COUNTIF([1]FishDiscoveryGroup!$A:$X,표1[[#This Row],[명칭]]),"-")</f>
        <v>12</v>
      </c>
      <c r="K1127" s="38" t="str">
        <f>IFERROR(COUNTIF([2]Town!$B:$B,표1[[#This Row],[명칭]]),"-")</f>
        <v>-</v>
      </c>
      <c r="L1127" s="38">
        <f>IFERROR(COUNTIF([1]Village!$BR:$BR,표1[[#This Row],[명칭]]),"-")</f>
        <v>0</v>
      </c>
      <c r="M1127" s="38">
        <f>COUNTIF(퀘스트!B:B,표1[[#This Row],[명칭]])</f>
        <v>0</v>
      </c>
      <c r="N1127" s="65">
        <f>COUNTIF([1]VillageDiscoveryGroup!$C:$C,표1[[#This Row],[명칭]])</f>
        <v>0</v>
      </c>
      <c r="O1127" s="65">
        <f>SUM(표1[[#This Row],[해양탐색]:[마을탐험]])</f>
        <v>12</v>
      </c>
    </row>
    <row r="1128" spans="2:15" ht="13.5" customHeight="1" x14ac:dyDescent="0.3">
      <c r="B1128" s="9">
        <f>[1]Discovery!A1134</f>
        <v>70409206</v>
      </c>
      <c r="C1128" s="9" t="str">
        <f>[1]Discovery!B1134</f>
        <v>병치매가리</v>
      </c>
      <c r="D1128" s="9" t="str">
        <f>[1]Discovery!E1134</f>
        <v>동물</v>
      </c>
      <c r="E1128" s="9" t="str">
        <f>[1]Discovery!C1134</f>
        <v>어류</v>
      </c>
      <c r="F1128" s="9" t="str">
        <f>[1]Discovery!G1134</f>
        <v>C</v>
      </c>
      <c r="G1128" s="9" t="str">
        <f>IFERROR(VLOOKUP(표1[[#This Row],[명칭]],'문화권 정리'!C:D,2,FALSE),"-")</f>
        <v>어류</v>
      </c>
      <c r="H1128" s="38" t="str">
        <f>IFERROR(COUNTIF([2]OceanDoodad!$Y:$Y,표1[[#This Row],[명칭]]),"-")</f>
        <v>-</v>
      </c>
      <c r="I1128" s="38">
        <f>IFERROR(COUNTIF([1]AdventureDiscoveryGroup!$D$8:$AW$92,표1[[#This Row],[명칭]]),"-")</f>
        <v>0</v>
      </c>
      <c r="J1128" s="38">
        <f>IFERROR(COUNTIF([1]FishDiscoveryGroup!$A:$X,표1[[#This Row],[명칭]]),"-")</f>
        <v>5</v>
      </c>
      <c r="K1128" s="38" t="str">
        <f>IFERROR(COUNTIF([2]Town!$B:$B,표1[[#This Row],[명칭]]),"-")</f>
        <v>-</v>
      </c>
      <c r="L1128" s="38">
        <f>IFERROR(COUNTIF([1]Village!$BR:$BR,표1[[#This Row],[명칭]]),"-")</f>
        <v>0</v>
      </c>
      <c r="M1128" s="38">
        <f>COUNTIF(퀘스트!B:B,표1[[#This Row],[명칭]])</f>
        <v>0</v>
      </c>
      <c r="N1128" s="65">
        <f>COUNTIF([1]VillageDiscoveryGroup!$C:$C,표1[[#This Row],[명칭]])</f>
        <v>0</v>
      </c>
      <c r="O1128" s="65">
        <f>SUM(표1[[#This Row],[해양탐색]:[마을탐험]])</f>
        <v>5</v>
      </c>
    </row>
    <row r="1129" spans="2:15" ht="13.5" customHeight="1" x14ac:dyDescent="0.3">
      <c r="B1129" s="9">
        <f>[1]Discovery!A1135</f>
        <v>70409207</v>
      </c>
      <c r="C1129" s="9" t="str">
        <f>[1]Discovery!B1135</f>
        <v>보라기름눈돔</v>
      </c>
      <c r="D1129" s="9" t="str">
        <f>[1]Discovery!E1135</f>
        <v>동물</v>
      </c>
      <c r="E1129" s="9" t="str">
        <f>[1]Discovery!C1135</f>
        <v>어류</v>
      </c>
      <c r="F1129" s="9" t="str">
        <f>[1]Discovery!G1135</f>
        <v>B</v>
      </c>
      <c r="G1129" s="9" t="str">
        <f>IFERROR(VLOOKUP(표1[[#This Row],[명칭]],'문화권 정리'!C:D,2,FALSE),"-")</f>
        <v>어류</v>
      </c>
      <c r="H1129" s="38" t="str">
        <f>IFERROR(COUNTIF([2]OceanDoodad!$Y:$Y,표1[[#This Row],[명칭]]),"-")</f>
        <v>-</v>
      </c>
      <c r="I1129" s="38">
        <f>IFERROR(COUNTIF([1]AdventureDiscoveryGroup!$D$8:$AW$92,표1[[#This Row],[명칭]]),"-")</f>
        <v>0</v>
      </c>
      <c r="J1129" s="38">
        <f>IFERROR(COUNTIF([1]FishDiscoveryGroup!$A:$X,표1[[#This Row],[명칭]]),"-")</f>
        <v>4</v>
      </c>
      <c r="K1129" s="38" t="str">
        <f>IFERROR(COUNTIF([2]Town!$B:$B,표1[[#This Row],[명칭]]),"-")</f>
        <v>-</v>
      </c>
      <c r="L1129" s="38">
        <f>IFERROR(COUNTIF([1]Village!$BR:$BR,표1[[#This Row],[명칭]]),"-")</f>
        <v>0</v>
      </c>
      <c r="M1129" s="38">
        <f>COUNTIF(퀘스트!B:B,표1[[#This Row],[명칭]])</f>
        <v>0</v>
      </c>
      <c r="N1129" s="65">
        <f>COUNTIF([1]VillageDiscoveryGroup!$C:$C,표1[[#This Row],[명칭]])</f>
        <v>0</v>
      </c>
      <c r="O1129" s="65">
        <f>SUM(표1[[#This Row],[해양탐색]:[마을탐험]])</f>
        <v>4</v>
      </c>
    </row>
    <row r="1130" spans="2:15" ht="13.5" customHeight="1" x14ac:dyDescent="0.3">
      <c r="B1130" s="9">
        <f>[1]Discovery!A1136</f>
        <v>70409208</v>
      </c>
      <c r="C1130" s="9" t="str">
        <f>[1]Discovery!B1136</f>
        <v>보리멸</v>
      </c>
      <c r="D1130" s="9" t="str">
        <f>[1]Discovery!E1136</f>
        <v>동물</v>
      </c>
      <c r="E1130" s="9" t="str">
        <f>[1]Discovery!C1136</f>
        <v>어류</v>
      </c>
      <c r="F1130" s="9" t="str">
        <f>[1]Discovery!G1136</f>
        <v>D</v>
      </c>
      <c r="G1130" s="9" t="str">
        <f>IFERROR(VLOOKUP(표1[[#This Row],[명칭]],'문화권 정리'!C:D,2,FALSE),"-")</f>
        <v>어류</v>
      </c>
      <c r="H1130" s="38" t="str">
        <f>IFERROR(COUNTIF([2]OceanDoodad!$Y:$Y,표1[[#This Row],[명칭]]),"-")</f>
        <v>-</v>
      </c>
      <c r="I1130" s="38">
        <f>IFERROR(COUNTIF([1]AdventureDiscoveryGroup!$D$8:$AW$92,표1[[#This Row],[명칭]]),"-")</f>
        <v>0</v>
      </c>
      <c r="J1130" s="38">
        <f>IFERROR(COUNTIF([1]FishDiscoveryGroup!$A:$X,표1[[#This Row],[명칭]]),"-")</f>
        <v>1</v>
      </c>
      <c r="K1130" s="38" t="str">
        <f>IFERROR(COUNTIF([2]Town!$B:$B,표1[[#This Row],[명칭]]),"-")</f>
        <v>-</v>
      </c>
      <c r="L1130" s="38">
        <f>IFERROR(COUNTIF([1]Village!$BR:$BR,표1[[#This Row],[명칭]]),"-")</f>
        <v>0</v>
      </c>
      <c r="M1130" s="38">
        <f>COUNTIF(퀘스트!B:B,표1[[#This Row],[명칭]])</f>
        <v>0</v>
      </c>
      <c r="N1130" s="65">
        <f>COUNTIF([1]VillageDiscoveryGroup!$C:$C,표1[[#This Row],[명칭]])</f>
        <v>0</v>
      </c>
      <c r="O1130" s="65">
        <f>SUM(표1[[#This Row],[해양탐색]:[마을탐험]])</f>
        <v>1</v>
      </c>
    </row>
    <row r="1131" spans="2:15" ht="13.5" customHeight="1" x14ac:dyDescent="0.3">
      <c r="B1131" s="9">
        <f>[1]Discovery!A1137</f>
        <v>70409210</v>
      </c>
      <c r="C1131" s="9" t="str">
        <f>[1]Discovery!B1137</f>
        <v>복상어</v>
      </c>
      <c r="D1131" s="9" t="str">
        <f>[1]Discovery!E1137</f>
        <v>동물</v>
      </c>
      <c r="E1131" s="9" t="str">
        <f>[1]Discovery!C1137</f>
        <v>어류</v>
      </c>
      <c r="F1131" s="9" t="str">
        <f>[1]Discovery!G1137</f>
        <v>S</v>
      </c>
      <c r="G1131" s="9" t="str">
        <f>IFERROR(VLOOKUP(표1[[#This Row],[명칭]],'문화권 정리'!C:D,2,FALSE),"-")</f>
        <v>어류</v>
      </c>
      <c r="H1131" s="38" t="str">
        <f>IFERROR(COUNTIF([2]OceanDoodad!$Y:$Y,표1[[#This Row],[명칭]]),"-")</f>
        <v>-</v>
      </c>
      <c r="I1131" s="38">
        <f>IFERROR(COUNTIF([1]AdventureDiscoveryGroup!$D$8:$AW$92,표1[[#This Row],[명칭]]),"-")</f>
        <v>0</v>
      </c>
      <c r="J1131" s="38">
        <f>IFERROR(COUNTIF([1]FishDiscoveryGroup!$A:$X,표1[[#This Row],[명칭]]),"-")</f>
        <v>4</v>
      </c>
      <c r="K1131" s="38" t="str">
        <f>IFERROR(COUNTIF([2]Town!$B:$B,표1[[#This Row],[명칭]]),"-")</f>
        <v>-</v>
      </c>
      <c r="L1131" s="38">
        <f>IFERROR(COUNTIF([1]Village!$BR:$BR,표1[[#This Row],[명칭]]),"-")</f>
        <v>0</v>
      </c>
      <c r="M1131" s="38">
        <f>COUNTIF(퀘스트!B:B,표1[[#This Row],[명칭]])</f>
        <v>0</v>
      </c>
      <c r="N1131" s="65">
        <f>COUNTIF([1]VillageDiscoveryGroup!$C:$C,표1[[#This Row],[명칭]])</f>
        <v>0</v>
      </c>
      <c r="O1131" s="65">
        <f>SUM(표1[[#This Row],[해양탐색]:[마을탐험]])</f>
        <v>4</v>
      </c>
    </row>
    <row r="1132" spans="2:15" ht="13.5" customHeight="1" x14ac:dyDescent="0.3">
      <c r="B1132" s="9">
        <f>[1]Discovery!A1138</f>
        <v>70409211</v>
      </c>
      <c r="C1132" s="9" t="str">
        <f>[1]Discovery!B1138</f>
        <v>복해마</v>
      </c>
      <c r="D1132" s="9" t="str">
        <f>[1]Discovery!E1138</f>
        <v>동물</v>
      </c>
      <c r="E1132" s="9" t="str">
        <f>[1]Discovery!C1138</f>
        <v>어류</v>
      </c>
      <c r="F1132" s="9" t="str">
        <f>[1]Discovery!G1138</f>
        <v>B</v>
      </c>
      <c r="G1132" s="9" t="str">
        <f>IFERROR(VLOOKUP(표1[[#This Row],[명칭]],'문화권 정리'!C:D,2,FALSE),"-")</f>
        <v>어류</v>
      </c>
      <c r="H1132" s="38" t="str">
        <f>IFERROR(COUNTIF([2]OceanDoodad!$Y:$Y,표1[[#This Row],[명칭]]),"-")</f>
        <v>-</v>
      </c>
      <c r="I1132" s="38">
        <f>IFERROR(COUNTIF([1]AdventureDiscoveryGroup!$D$8:$AW$92,표1[[#This Row],[명칭]]),"-")</f>
        <v>0</v>
      </c>
      <c r="J1132" s="38">
        <f>IFERROR(COUNTIF([1]FishDiscoveryGroup!$A:$X,표1[[#This Row],[명칭]]),"-")</f>
        <v>0</v>
      </c>
      <c r="K1132" s="38" t="str">
        <f>IFERROR(COUNTIF([2]Town!$B:$B,표1[[#This Row],[명칭]]),"-")</f>
        <v>-</v>
      </c>
      <c r="L1132" s="38">
        <f>IFERROR(COUNTIF([1]Village!$BR:$BR,표1[[#This Row],[명칭]]),"-")</f>
        <v>0</v>
      </c>
      <c r="M1132" s="38">
        <f>COUNTIF(퀘스트!B:B,표1[[#This Row],[명칭]])</f>
        <v>0</v>
      </c>
      <c r="N1132" s="65">
        <f>COUNTIF([1]VillageDiscoveryGroup!$C:$C,표1[[#This Row],[명칭]])</f>
        <v>0</v>
      </c>
      <c r="O1132" s="65">
        <f>SUM(표1[[#This Row],[해양탐색]:[마을탐험]])</f>
        <v>0</v>
      </c>
    </row>
    <row r="1133" spans="2:15" ht="13.5" customHeight="1" x14ac:dyDescent="0.3">
      <c r="B1133" s="9">
        <f>[1]Discovery!A1139</f>
        <v>70409212</v>
      </c>
      <c r="C1133" s="9" t="str">
        <f>[1]Discovery!B1139</f>
        <v>봉오리양태</v>
      </c>
      <c r="D1133" s="9" t="str">
        <f>[1]Discovery!E1139</f>
        <v>동물</v>
      </c>
      <c r="E1133" s="9" t="str">
        <f>[1]Discovery!C1139</f>
        <v>어류</v>
      </c>
      <c r="F1133" s="9" t="str">
        <f>[1]Discovery!G1139</f>
        <v>C</v>
      </c>
      <c r="G1133" s="9" t="str">
        <f>IFERROR(VLOOKUP(표1[[#This Row],[명칭]],'문화권 정리'!C:D,2,FALSE),"-")</f>
        <v>어류</v>
      </c>
      <c r="H1133" s="38" t="str">
        <f>IFERROR(COUNTIF([2]OceanDoodad!$Y:$Y,표1[[#This Row],[명칭]]),"-")</f>
        <v>-</v>
      </c>
      <c r="I1133" s="38">
        <f>IFERROR(COUNTIF([1]AdventureDiscoveryGroup!$D$8:$AW$92,표1[[#This Row],[명칭]]),"-")</f>
        <v>0</v>
      </c>
      <c r="J1133" s="38">
        <f>IFERROR(COUNTIF([1]FishDiscoveryGroup!$A:$X,표1[[#This Row],[명칭]]),"-")</f>
        <v>4</v>
      </c>
      <c r="K1133" s="38" t="str">
        <f>IFERROR(COUNTIF([2]Town!$B:$B,표1[[#This Row],[명칭]]),"-")</f>
        <v>-</v>
      </c>
      <c r="L1133" s="38">
        <f>IFERROR(COUNTIF([1]Village!$BR:$BR,표1[[#This Row],[명칭]]),"-")</f>
        <v>0</v>
      </c>
      <c r="M1133" s="38">
        <f>COUNTIF(퀘스트!B:B,표1[[#This Row],[명칭]])</f>
        <v>0</v>
      </c>
      <c r="N1133" s="65">
        <f>COUNTIF([1]VillageDiscoveryGroup!$C:$C,표1[[#This Row],[명칭]])</f>
        <v>0</v>
      </c>
      <c r="O1133" s="65">
        <f>SUM(표1[[#This Row],[해양탐색]:[마을탐험]])</f>
        <v>4</v>
      </c>
    </row>
    <row r="1134" spans="2:15" ht="13.5" customHeight="1" x14ac:dyDescent="0.3">
      <c r="B1134" s="9">
        <f>[1]Discovery!A1140</f>
        <v>70409213</v>
      </c>
      <c r="C1134" s="9" t="str">
        <f>[1]Discovery!B1140</f>
        <v>부나</v>
      </c>
      <c r="D1134" s="9" t="str">
        <f>[1]Discovery!E1140</f>
        <v>동물</v>
      </c>
      <c r="E1134" s="9" t="str">
        <f>[1]Discovery!C1140</f>
        <v>어류</v>
      </c>
      <c r="F1134" s="9" t="str">
        <f>[1]Discovery!G1140</f>
        <v>A</v>
      </c>
      <c r="G1134" s="9" t="str">
        <f>IFERROR(VLOOKUP(표1[[#This Row],[명칭]],'문화권 정리'!C:D,2,FALSE),"-")</f>
        <v>어류</v>
      </c>
      <c r="H1134" s="38" t="str">
        <f>IFERROR(COUNTIF([2]OceanDoodad!$Y:$Y,표1[[#This Row],[명칭]]),"-")</f>
        <v>-</v>
      </c>
      <c r="I1134" s="38">
        <f>IFERROR(COUNTIF([1]AdventureDiscoveryGroup!$D$8:$AW$92,표1[[#This Row],[명칭]]),"-")</f>
        <v>0</v>
      </c>
      <c r="J1134" s="38">
        <f>IFERROR(COUNTIF([1]FishDiscoveryGroup!$A:$X,표1[[#This Row],[명칭]]),"-")</f>
        <v>0</v>
      </c>
      <c r="K1134" s="38" t="str">
        <f>IFERROR(COUNTIF([2]Town!$B:$B,표1[[#This Row],[명칭]]),"-")</f>
        <v>-</v>
      </c>
      <c r="L1134" s="38">
        <f>IFERROR(COUNTIF([1]Village!$BR:$BR,표1[[#This Row],[명칭]]),"-")</f>
        <v>0</v>
      </c>
      <c r="M1134" s="38">
        <f>COUNTIF(퀘스트!B:B,표1[[#This Row],[명칭]])</f>
        <v>0</v>
      </c>
      <c r="N1134" s="65">
        <f>COUNTIF([1]VillageDiscoveryGroup!$C:$C,표1[[#This Row],[명칭]])</f>
        <v>0</v>
      </c>
      <c r="O1134" s="65">
        <f>SUM(표1[[#This Row],[해양탐색]:[마을탐험]])</f>
        <v>0</v>
      </c>
    </row>
    <row r="1135" spans="2:15" ht="13.5" customHeight="1" x14ac:dyDescent="0.3">
      <c r="B1135" s="9">
        <f>[1]Discovery!A1141</f>
        <v>70409214</v>
      </c>
      <c r="C1135" s="9" t="str">
        <f>[1]Discovery!B1141</f>
        <v>부시리</v>
      </c>
      <c r="D1135" s="9" t="str">
        <f>[1]Discovery!E1141</f>
        <v>동물</v>
      </c>
      <c r="E1135" s="9" t="str">
        <f>[1]Discovery!C1141</f>
        <v>어류</v>
      </c>
      <c r="F1135" s="9" t="str">
        <f>[1]Discovery!G1141</f>
        <v>A</v>
      </c>
      <c r="G1135" s="9" t="str">
        <f>IFERROR(VLOOKUP(표1[[#This Row],[명칭]],'문화권 정리'!C:D,2,FALSE),"-")</f>
        <v>어류</v>
      </c>
      <c r="H1135" s="38" t="str">
        <f>IFERROR(COUNTIF([2]OceanDoodad!$Y:$Y,표1[[#This Row],[명칭]]),"-")</f>
        <v>-</v>
      </c>
      <c r="I1135" s="38">
        <f>IFERROR(COUNTIF([1]AdventureDiscoveryGroup!$D$8:$AW$92,표1[[#This Row],[명칭]]),"-")</f>
        <v>0</v>
      </c>
      <c r="J1135" s="38">
        <f>IFERROR(COUNTIF([1]FishDiscoveryGroup!$A:$X,표1[[#This Row],[명칭]]),"-")</f>
        <v>0</v>
      </c>
      <c r="K1135" s="38" t="str">
        <f>IFERROR(COUNTIF([2]Town!$B:$B,표1[[#This Row],[명칭]]),"-")</f>
        <v>-</v>
      </c>
      <c r="L1135" s="38">
        <f>IFERROR(COUNTIF([1]Village!$BR:$BR,표1[[#This Row],[명칭]]),"-")</f>
        <v>0</v>
      </c>
      <c r="M1135" s="38">
        <f>COUNTIF(퀘스트!B:B,표1[[#This Row],[명칭]])</f>
        <v>0</v>
      </c>
      <c r="N1135" s="65">
        <f>COUNTIF([1]VillageDiscoveryGroup!$C:$C,표1[[#This Row],[명칭]])</f>
        <v>0</v>
      </c>
      <c r="O1135" s="65">
        <f>SUM(표1[[#This Row],[해양탐색]:[마을탐험]])</f>
        <v>0</v>
      </c>
    </row>
    <row r="1136" spans="2:15" ht="13.5" customHeight="1" x14ac:dyDescent="0.3">
      <c r="B1136" s="9">
        <f>[1]Discovery!A1142</f>
        <v>70409215</v>
      </c>
      <c r="C1136" s="9" t="str">
        <f>[1]Discovery!B1142</f>
        <v>북극고래</v>
      </c>
      <c r="D1136" s="9" t="str">
        <f>[1]Discovery!E1142</f>
        <v>동물</v>
      </c>
      <c r="E1136" s="9" t="str">
        <f>[1]Discovery!C1142</f>
        <v>포유류</v>
      </c>
      <c r="F1136" s="9" t="str">
        <f>[1]Discovery!G1142</f>
        <v>S</v>
      </c>
      <c r="G1136" s="9" t="str">
        <f>IFERROR(VLOOKUP(표1[[#This Row],[명칭]],'문화권 정리'!C:D,2,FALSE),"-")</f>
        <v>어류</v>
      </c>
      <c r="H1136" s="38" t="str">
        <f>IFERROR(COUNTIF([2]OceanDoodad!$Y:$Y,표1[[#This Row],[명칭]]),"-")</f>
        <v>-</v>
      </c>
      <c r="I1136" s="38">
        <f>IFERROR(COUNTIF([1]AdventureDiscoveryGroup!$D$8:$AW$92,표1[[#This Row],[명칭]]),"-")</f>
        <v>0</v>
      </c>
      <c r="J1136" s="38">
        <f>IFERROR(COUNTIF([1]FishDiscoveryGroup!$A:$X,표1[[#This Row],[명칭]]),"-")</f>
        <v>4</v>
      </c>
      <c r="K1136" s="38" t="str">
        <f>IFERROR(COUNTIF([2]Town!$B:$B,표1[[#This Row],[명칭]]),"-")</f>
        <v>-</v>
      </c>
      <c r="L1136" s="38">
        <f>IFERROR(COUNTIF([1]Village!$BR:$BR,표1[[#This Row],[명칭]]),"-")</f>
        <v>0</v>
      </c>
      <c r="M1136" s="38">
        <f>COUNTIF(퀘스트!B:B,표1[[#This Row],[명칭]])</f>
        <v>0</v>
      </c>
      <c r="N1136" s="65">
        <f>COUNTIF([1]VillageDiscoveryGroup!$C:$C,표1[[#This Row],[명칭]])</f>
        <v>0</v>
      </c>
      <c r="O1136" s="65">
        <f>SUM(표1[[#This Row],[해양탐색]:[마을탐험]])</f>
        <v>4</v>
      </c>
    </row>
    <row r="1137" spans="2:15" ht="13.5" customHeight="1" x14ac:dyDescent="0.3">
      <c r="B1137" s="9">
        <f>[1]Discovery!A1143</f>
        <v>70409216</v>
      </c>
      <c r="C1137" s="9" t="str">
        <f>[1]Discovery!B1143</f>
        <v>분장어</v>
      </c>
      <c r="D1137" s="9" t="str">
        <f>[1]Discovery!E1143</f>
        <v>동물</v>
      </c>
      <c r="E1137" s="9" t="str">
        <f>[1]Discovery!C1143</f>
        <v>어류</v>
      </c>
      <c r="F1137" s="9" t="str">
        <f>[1]Discovery!G1143</f>
        <v>C</v>
      </c>
      <c r="G1137" s="9" t="str">
        <f>IFERROR(VLOOKUP(표1[[#This Row],[명칭]],'문화권 정리'!C:D,2,FALSE),"-")</f>
        <v>어류</v>
      </c>
      <c r="H1137" s="38" t="str">
        <f>IFERROR(COUNTIF([2]OceanDoodad!$Y:$Y,표1[[#This Row],[명칭]]),"-")</f>
        <v>-</v>
      </c>
      <c r="I1137" s="38">
        <f>IFERROR(COUNTIF([1]AdventureDiscoveryGroup!$D$8:$AW$92,표1[[#This Row],[명칭]]),"-")</f>
        <v>0</v>
      </c>
      <c r="J1137" s="38">
        <f>IFERROR(COUNTIF([1]FishDiscoveryGroup!$A:$X,표1[[#This Row],[명칭]]),"-")</f>
        <v>4</v>
      </c>
      <c r="K1137" s="38" t="str">
        <f>IFERROR(COUNTIF([2]Town!$B:$B,표1[[#This Row],[명칭]]),"-")</f>
        <v>-</v>
      </c>
      <c r="L1137" s="38">
        <f>IFERROR(COUNTIF([1]Village!$BR:$BR,표1[[#This Row],[명칭]]),"-")</f>
        <v>0</v>
      </c>
      <c r="M1137" s="38">
        <f>COUNTIF(퀘스트!B:B,표1[[#This Row],[명칭]])</f>
        <v>0</v>
      </c>
      <c r="N1137" s="65">
        <f>COUNTIF([1]VillageDiscoveryGroup!$C:$C,표1[[#This Row],[명칭]])</f>
        <v>0</v>
      </c>
      <c r="O1137" s="65">
        <f>SUM(표1[[#This Row],[해양탐색]:[마을탐험]])</f>
        <v>4</v>
      </c>
    </row>
    <row r="1138" spans="2:15" ht="13.5" customHeight="1" x14ac:dyDescent="0.3">
      <c r="B1138" s="9">
        <f>[1]Discovery!A1144</f>
        <v>70409217</v>
      </c>
      <c r="C1138" s="9" t="str">
        <f>[1]Discovery!B1144</f>
        <v>불뚝복</v>
      </c>
      <c r="D1138" s="9" t="str">
        <f>[1]Discovery!E1144</f>
        <v>동물</v>
      </c>
      <c r="E1138" s="9" t="str">
        <f>[1]Discovery!C1144</f>
        <v>어류</v>
      </c>
      <c r="F1138" s="9" t="str">
        <f>[1]Discovery!G1144</f>
        <v>D</v>
      </c>
      <c r="G1138" s="9" t="str">
        <f>IFERROR(VLOOKUP(표1[[#This Row],[명칭]],'문화권 정리'!C:D,2,FALSE),"-")</f>
        <v>어류</v>
      </c>
      <c r="H1138" s="38" t="str">
        <f>IFERROR(COUNTIF([2]OceanDoodad!$Y:$Y,표1[[#This Row],[명칭]]),"-")</f>
        <v>-</v>
      </c>
      <c r="I1138" s="38">
        <f>IFERROR(COUNTIF([1]AdventureDiscoveryGroup!$D$8:$AW$92,표1[[#This Row],[명칭]]),"-")</f>
        <v>0</v>
      </c>
      <c r="J1138" s="38">
        <f>IFERROR(COUNTIF([1]FishDiscoveryGroup!$A:$X,표1[[#This Row],[명칭]]),"-")</f>
        <v>4</v>
      </c>
      <c r="K1138" s="38" t="str">
        <f>IFERROR(COUNTIF([2]Town!$B:$B,표1[[#This Row],[명칭]]),"-")</f>
        <v>-</v>
      </c>
      <c r="L1138" s="38">
        <f>IFERROR(COUNTIF([1]Village!$BR:$BR,표1[[#This Row],[명칭]]),"-")</f>
        <v>0</v>
      </c>
      <c r="M1138" s="38">
        <f>COUNTIF(퀘스트!B:B,표1[[#This Row],[명칭]])</f>
        <v>0</v>
      </c>
      <c r="N1138" s="65">
        <f>COUNTIF([1]VillageDiscoveryGroup!$C:$C,표1[[#This Row],[명칭]])</f>
        <v>0</v>
      </c>
      <c r="O1138" s="65">
        <f>SUM(표1[[#This Row],[해양탐색]:[마을탐험]])</f>
        <v>4</v>
      </c>
    </row>
    <row r="1139" spans="2:15" ht="13.5" customHeight="1" x14ac:dyDescent="0.3">
      <c r="B1139" s="9">
        <f>[1]Discovery!A1145</f>
        <v>70409218</v>
      </c>
      <c r="C1139" s="9" t="str">
        <f>[1]Discovery!B1145</f>
        <v>불룩복</v>
      </c>
      <c r="D1139" s="9" t="str">
        <f>[1]Discovery!E1145</f>
        <v>동물</v>
      </c>
      <c r="E1139" s="9" t="str">
        <f>[1]Discovery!C1145</f>
        <v>어류</v>
      </c>
      <c r="F1139" s="9" t="str">
        <f>[1]Discovery!G1145</f>
        <v>B</v>
      </c>
      <c r="G1139" s="9" t="str">
        <f>IFERROR(VLOOKUP(표1[[#This Row],[명칭]],'문화권 정리'!C:D,2,FALSE),"-")</f>
        <v>어류</v>
      </c>
      <c r="H1139" s="38" t="str">
        <f>IFERROR(COUNTIF([2]OceanDoodad!$Y:$Y,표1[[#This Row],[명칭]]),"-")</f>
        <v>-</v>
      </c>
      <c r="I1139" s="38">
        <f>IFERROR(COUNTIF([1]AdventureDiscoveryGroup!$D$8:$AW$92,표1[[#This Row],[명칭]]),"-")</f>
        <v>0</v>
      </c>
      <c r="J1139" s="38">
        <f>IFERROR(COUNTIF([1]FishDiscoveryGroup!$A:$X,표1[[#This Row],[명칭]]),"-")</f>
        <v>0</v>
      </c>
      <c r="K1139" s="38" t="str">
        <f>IFERROR(COUNTIF([2]Town!$B:$B,표1[[#This Row],[명칭]]),"-")</f>
        <v>-</v>
      </c>
      <c r="L1139" s="38">
        <f>IFERROR(COUNTIF([1]Village!$BR:$BR,표1[[#This Row],[명칭]]),"-")</f>
        <v>0</v>
      </c>
      <c r="M1139" s="38">
        <f>COUNTIF(퀘스트!B:B,표1[[#This Row],[명칭]])</f>
        <v>0</v>
      </c>
      <c r="N1139" s="65">
        <f>COUNTIF([1]VillageDiscoveryGroup!$C:$C,표1[[#This Row],[명칭]])</f>
        <v>0</v>
      </c>
      <c r="O1139" s="65">
        <f>SUM(표1[[#This Row],[해양탐색]:[마을탐험]])</f>
        <v>0</v>
      </c>
    </row>
    <row r="1140" spans="2:15" ht="13.5" customHeight="1" x14ac:dyDescent="0.3">
      <c r="B1140" s="9">
        <f>[1]Discovery!A1146</f>
        <v>70409219</v>
      </c>
      <c r="C1140" s="9" t="str">
        <f>[1]Discovery!B1146</f>
        <v>붉돔</v>
      </c>
      <c r="D1140" s="9" t="str">
        <f>[1]Discovery!E1146</f>
        <v>동물</v>
      </c>
      <c r="E1140" s="9" t="str">
        <f>[1]Discovery!C1146</f>
        <v>어류</v>
      </c>
      <c r="F1140" s="9" t="str">
        <f>[1]Discovery!G1146</f>
        <v>A</v>
      </c>
      <c r="G1140" s="9" t="str">
        <f>IFERROR(VLOOKUP(표1[[#This Row],[명칭]],'문화권 정리'!C:D,2,FALSE),"-")</f>
        <v>어류</v>
      </c>
      <c r="H1140" s="38" t="str">
        <f>IFERROR(COUNTIF([2]OceanDoodad!$Y:$Y,표1[[#This Row],[명칭]]),"-")</f>
        <v>-</v>
      </c>
      <c r="I1140" s="38">
        <f>IFERROR(COUNTIF([1]AdventureDiscoveryGroup!$D$8:$AW$92,표1[[#This Row],[명칭]]),"-")</f>
        <v>0</v>
      </c>
      <c r="J1140" s="38">
        <f>IFERROR(COUNTIF([1]FishDiscoveryGroup!$A:$X,표1[[#This Row],[명칭]]),"-")</f>
        <v>0</v>
      </c>
      <c r="K1140" s="38" t="str">
        <f>IFERROR(COUNTIF([2]Town!$B:$B,표1[[#This Row],[명칭]]),"-")</f>
        <v>-</v>
      </c>
      <c r="L1140" s="38">
        <f>IFERROR(COUNTIF([1]Village!$BR:$BR,표1[[#This Row],[명칭]]),"-")</f>
        <v>0</v>
      </c>
      <c r="M1140" s="38">
        <f>COUNTIF(퀘스트!B:B,표1[[#This Row],[명칭]])</f>
        <v>0</v>
      </c>
      <c r="N1140" s="65">
        <f>COUNTIF([1]VillageDiscoveryGroup!$C:$C,표1[[#This Row],[명칭]])</f>
        <v>0</v>
      </c>
      <c r="O1140" s="65">
        <f>SUM(표1[[#This Row],[해양탐색]:[마을탐험]])</f>
        <v>0</v>
      </c>
    </row>
    <row r="1141" spans="2:15" ht="13.5" customHeight="1" x14ac:dyDescent="0.3">
      <c r="B1141" s="9">
        <f>[1]Discovery!A1147</f>
        <v>70409220</v>
      </c>
      <c r="C1141" s="9" t="str">
        <f>[1]Discovery!B1147</f>
        <v>붉벤자리</v>
      </c>
      <c r="D1141" s="9" t="str">
        <f>[1]Discovery!E1147</f>
        <v>동물</v>
      </c>
      <c r="E1141" s="9" t="str">
        <f>[1]Discovery!C1147</f>
        <v>어류</v>
      </c>
      <c r="F1141" s="9" t="str">
        <f>[1]Discovery!G1147</f>
        <v>C</v>
      </c>
      <c r="G1141" s="9" t="str">
        <f>IFERROR(VLOOKUP(표1[[#This Row],[명칭]],'문화권 정리'!C:D,2,FALSE),"-")</f>
        <v>어류</v>
      </c>
      <c r="H1141" s="38" t="str">
        <f>IFERROR(COUNTIF([2]OceanDoodad!$Y:$Y,표1[[#This Row],[명칭]]),"-")</f>
        <v>-</v>
      </c>
      <c r="I1141" s="38">
        <f>IFERROR(COUNTIF([1]AdventureDiscoveryGroup!$D$8:$AW$92,표1[[#This Row],[명칭]]),"-")</f>
        <v>0</v>
      </c>
      <c r="J1141" s="38">
        <f>IFERROR(COUNTIF([1]FishDiscoveryGroup!$A:$X,표1[[#This Row],[명칭]]),"-")</f>
        <v>4</v>
      </c>
      <c r="K1141" s="38" t="str">
        <f>IFERROR(COUNTIF([2]Town!$B:$B,표1[[#This Row],[명칭]]),"-")</f>
        <v>-</v>
      </c>
      <c r="L1141" s="38">
        <f>IFERROR(COUNTIF([1]Village!$BR:$BR,표1[[#This Row],[명칭]]),"-")</f>
        <v>0</v>
      </c>
      <c r="M1141" s="38">
        <f>COUNTIF(퀘스트!B:B,표1[[#This Row],[명칭]])</f>
        <v>0</v>
      </c>
      <c r="N1141" s="65">
        <f>COUNTIF([1]VillageDiscoveryGroup!$C:$C,표1[[#This Row],[명칭]])</f>
        <v>0</v>
      </c>
      <c r="O1141" s="65">
        <f>SUM(표1[[#This Row],[해양탐색]:[마을탐험]])</f>
        <v>4</v>
      </c>
    </row>
    <row r="1142" spans="2:15" ht="13.5" customHeight="1" x14ac:dyDescent="0.3">
      <c r="B1142" s="9">
        <f>[1]Discovery!A1148</f>
        <v>70409221</v>
      </c>
      <c r="C1142" s="9" t="str">
        <f>[1]Discovery!B1148</f>
        <v>붉은게</v>
      </c>
      <c r="D1142" s="9" t="str">
        <f>[1]Discovery!E1148</f>
        <v>동물</v>
      </c>
      <c r="E1142" s="9" t="str">
        <f>[1]Discovery!C1148</f>
        <v>무척추동물</v>
      </c>
      <c r="F1142" s="9" t="str">
        <f>[1]Discovery!G1148</f>
        <v>C</v>
      </c>
      <c r="G1142" s="9" t="str">
        <f>IFERROR(VLOOKUP(표1[[#This Row],[명칭]],'문화권 정리'!C:D,2,FALSE),"-")</f>
        <v>어류</v>
      </c>
      <c r="H1142" s="38" t="str">
        <f>IFERROR(COUNTIF([2]OceanDoodad!$Y:$Y,표1[[#This Row],[명칭]]),"-")</f>
        <v>-</v>
      </c>
      <c r="I1142" s="38">
        <f>IFERROR(COUNTIF([1]AdventureDiscoveryGroup!$D$8:$AW$92,표1[[#This Row],[명칭]]),"-")</f>
        <v>1</v>
      </c>
      <c r="J1142" s="38">
        <f>IFERROR(COUNTIF([1]FishDiscoveryGroup!$A:$X,표1[[#This Row],[명칭]]),"-")</f>
        <v>0</v>
      </c>
      <c r="K1142" s="38" t="str">
        <f>IFERROR(COUNTIF([2]Town!$B:$B,표1[[#This Row],[명칭]]),"-")</f>
        <v>-</v>
      </c>
      <c r="L1142" s="38">
        <f>IFERROR(COUNTIF([1]Village!$BR:$BR,표1[[#This Row],[명칭]]),"-")</f>
        <v>0</v>
      </c>
      <c r="M1142" s="38">
        <f>COUNTIF(퀘스트!B:B,표1[[#This Row],[명칭]])</f>
        <v>0</v>
      </c>
      <c r="N1142" s="65">
        <f>COUNTIF([1]VillageDiscoveryGroup!$C:$C,표1[[#This Row],[명칭]])</f>
        <v>0</v>
      </c>
      <c r="O1142" s="65">
        <f>SUM(표1[[#This Row],[해양탐색]:[마을탐험]])</f>
        <v>1</v>
      </c>
    </row>
    <row r="1143" spans="2:15" ht="13.5" customHeight="1" x14ac:dyDescent="0.3">
      <c r="B1143" s="9">
        <f>[1]Discovery!A1149</f>
        <v>70409222</v>
      </c>
      <c r="C1143" s="9" t="str">
        <f>[1]Discovery!B1149</f>
        <v>붉은메기</v>
      </c>
      <c r="D1143" s="9" t="str">
        <f>[1]Discovery!E1149</f>
        <v>동물</v>
      </c>
      <c r="E1143" s="9" t="str">
        <f>[1]Discovery!C1149</f>
        <v>어류</v>
      </c>
      <c r="F1143" s="9" t="str">
        <f>[1]Discovery!G1149</f>
        <v>A</v>
      </c>
      <c r="G1143" s="9" t="str">
        <f>IFERROR(VLOOKUP(표1[[#This Row],[명칭]],'문화권 정리'!C:D,2,FALSE),"-")</f>
        <v>어류</v>
      </c>
      <c r="H1143" s="38" t="str">
        <f>IFERROR(COUNTIF([2]OceanDoodad!$Y:$Y,표1[[#This Row],[명칭]]),"-")</f>
        <v>-</v>
      </c>
      <c r="I1143" s="38">
        <f>IFERROR(COUNTIF([1]AdventureDiscoveryGroup!$D$8:$AW$92,표1[[#This Row],[명칭]]),"-")</f>
        <v>0</v>
      </c>
      <c r="J1143" s="38">
        <f>IFERROR(COUNTIF([1]FishDiscoveryGroup!$A:$X,표1[[#This Row],[명칭]]),"-")</f>
        <v>0</v>
      </c>
      <c r="K1143" s="38" t="str">
        <f>IFERROR(COUNTIF([2]Town!$B:$B,표1[[#This Row],[명칭]]),"-")</f>
        <v>-</v>
      </c>
      <c r="L1143" s="38">
        <f>IFERROR(COUNTIF([1]Village!$BR:$BR,표1[[#This Row],[명칭]]),"-")</f>
        <v>0</v>
      </c>
      <c r="M1143" s="38">
        <f>COUNTIF(퀘스트!B:B,표1[[#This Row],[명칭]])</f>
        <v>0</v>
      </c>
      <c r="N1143" s="65">
        <f>COUNTIF([1]VillageDiscoveryGroup!$C:$C,표1[[#This Row],[명칭]])</f>
        <v>0</v>
      </c>
      <c r="O1143" s="65">
        <f>SUM(표1[[#This Row],[해양탐색]:[마을탐험]])</f>
        <v>0</v>
      </c>
    </row>
    <row r="1144" spans="2:15" ht="13.5" customHeight="1" x14ac:dyDescent="0.3">
      <c r="B1144" s="9">
        <f>[1]Discovery!A1150</f>
        <v>70409223</v>
      </c>
      <c r="C1144" s="9" t="str">
        <f>[1]Discovery!B1150</f>
        <v>붉은배파쿠</v>
      </c>
      <c r="D1144" s="9" t="str">
        <f>[1]Discovery!E1150</f>
        <v>동물</v>
      </c>
      <c r="E1144" s="9" t="str">
        <f>[1]Discovery!C1150</f>
        <v>어류</v>
      </c>
      <c r="F1144" s="9" t="str">
        <f>[1]Discovery!G1150</f>
        <v>B</v>
      </c>
      <c r="G1144" s="9" t="str">
        <f>IFERROR(VLOOKUP(표1[[#This Row],[명칭]],'문화권 정리'!C:D,2,FALSE),"-")</f>
        <v>어류</v>
      </c>
      <c r="H1144" s="38" t="str">
        <f>IFERROR(COUNTIF([2]OceanDoodad!$Y:$Y,표1[[#This Row],[명칭]]),"-")</f>
        <v>-</v>
      </c>
      <c r="I1144" s="38">
        <f>IFERROR(COUNTIF([1]AdventureDiscoveryGroup!$D$8:$AW$92,표1[[#This Row],[명칭]]),"-")</f>
        <v>0</v>
      </c>
      <c r="J1144" s="38">
        <f>IFERROR(COUNTIF([1]FishDiscoveryGroup!$A:$X,표1[[#This Row],[명칭]]),"-")</f>
        <v>4</v>
      </c>
      <c r="K1144" s="38" t="str">
        <f>IFERROR(COUNTIF([2]Town!$B:$B,표1[[#This Row],[명칭]]),"-")</f>
        <v>-</v>
      </c>
      <c r="L1144" s="38">
        <f>IFERROR(COUNTIF([1]Village!$BR:$BR,표1[[#This Row],[명칭]]),"-")</f>
        <v>0</v>
      </c>
      <c r="M1144" s="38">
        <f>COUNTIF(퀘스트!B:B,표1[[#This Row],[명칭]])</f>
        <v>0</v>
      </c>
      <c r="N1144" s="65">
        <f>COUNTIF([1]VillageDiscoveryGroup!$C:$C,표1[[#This Row],[명칭]])</f>
        <v>0</v>
      </c>
      <c r="O1144" s="65">
        <f>SUM(표1[[#This Row],[해양탐색]:[마을탐험]])</f>
        <v>4</v>
      </c>
    </row>
    <row r="1145" spans="2:15" ht="13.5" customHeight="1" x14ac:dyDescent="0.3">
      <c r="B1145" s="9">
        <f>[1]Discovery!A1151</f>
        <v>70409224</v>
      </c>
      <c r="C1145" s="9" t="str">
        <f>[1]Discovery!B1151</f>
        <v>붉은입술부치</v>
      </c>
      <c r="D1145" s="9" t="str">
        <f>[1]Discovery!E1151</f>
        <v>동물</v>
      </c>
      <c r="E1145" s="9" t="str">
        <f>[1]Discovery!C1151</f>
        <v>어류</v>
      </c>
      <c r="F1145" s="9" t="str">
        <f>[1]Discovery!G1151</f>
        <v>D</v>
      </c>
      <c r="G1145" s="9" t="str">
        <f>IFERROR(VLOOKUP(표1[[#This Row],[명칭]],'문화권 정리'!C:D,2,FALSE),"-")</f>
        <v>어류</v>
      </c>
      <c r="H1145" s="38" t="str">
        <f>IFERROR(COUNTIF([2]OceanDoodad!$Y:$Y,표1[[#This Row],[명칭]]),"-")</f>
        <v>-</v>
      </c>
      <c r="I1145" s="38">
        <f>IFERROR(COUNTIF([1]AdventureDiscoveryGroup!$D$8:$AW$92,표1[[#This Row],[명칭]]),"-")</f>
        <v>0</v>
      </c>
      <c r="J1145" s="38">
        <f>IFERROR(COUNTIF([1]FishDiscoveryGroup!$A:$X,표1[[#This Row],[명칭]]),"-")</f>
        <v>4</v>
      </c>
      <c r="K1145" s="38" t="str">
        <f>IFERROR(COUNTIF([2]Town!$B:$B,표1[[#This Row],[명칭]]),"-")</f>
        <v>-</v>
      </c>
      <c r="L1145" s="38">
        <f>IFERROR(COUNTIF([1]Village!$BR:$BR,표1[[#This Row],[명칭]]),"-")</f>
        <v>0</v>
      </c>
      <c r="M1145" s="38">
        <f>COUNTIF(퀘스트!B:B,표1[[#This Row],[명칭]])</f>
        <v>0</v>
      </c>
      <c r="N1145" s="65">
        <f>COUNTIF([1]VillageDiscoveryGroup!$C:$C,표1[[#This Row],[명칭]])</f>
        <v>0</v>
      </c>
      <c r="O1145" s="65">
        <f>SUM(표1[[#This Row],[해양탐색]:[마을탐험]])</f>
        <v>4</v>
      </c>
    </row>
    <row r="1146" spans="2:15" ht="13.5" customHeight="1" x14ac:dyDescent="0.3">
      <c r="B1146" s="9">
        <f>[1]Discovery!A1152</f>
        <v>70409225</v>
      </c>
      <c r="C1146" s="9" t="str">
        <f>[1]Discovery!B1152</f>
        <v>붉평치</v>
      </c>
      <c r="D1146" s="9" t="str">
        <f>[1]Discovery!E1152</f>
        <v>동물</v>
      </c>
      <c r="E1146" s="9" t="str">
        <f>[1]Discovery!C1152</f>
        <v>어류</v>
      </c>
      <c r="F1146" s="9" t="str">
        <f>[1]Discovery!G1152</f>
        <v>C</v>
      </c>
      <c r="G1146" s="9" t="str">
        <f>IFERROR(VLOOKUP(표1[[#This Row],[명칭]],'문화권 정리'!C:D,2,FALSE),"-")</f>
        <v>어류</v>
      </c>
      <c r="H1146" s="38" t="str">
        <f>IFERROR(COUNTIF([2]OceanDoodad!$Y:$Y,표1[[#This Row],[명칭]]),"-")</f>
        <v>-</v>
      </c>
      <c r="I1146" s="38">
        <f>IFERROR(COUNTIF([1]AdventureDiscoveryGroup!$D$8:$AW$92,표1[[#This Row],[명칭]]),"-")</f>
        <v>0</v>
      </c>
      <c r="J1146" s="38">
        <f>IFERROR(COUNTIF([1]FishDiscoveryGroup!$A:$X,표1[[#This Row],[명칭]]),"-")</f>
        <v>0</v>
      </c>
      <c r="K1146" s="38" t="str">
        <f>IFERROR(COUNTIF([2]Town!$B:$B,표1[[#This Row],[명칭]]),"-")</f>
        <v>-</v>
      </c>
      <c r="L1146" s="38">
        <f>IFERROR(COUNTIF([1]Village!$BR:$BR,표1[[#This Row],[명칭]]),"-")</f>
        <v>0</v>
      </c>
      <c r="M1146" s="38">
        <f>COUNTIF(퀘스트!B:B,표1[[#This Row],[명칭]])</f>
        <v>0</v>
      </c>
      <c r="N1146" s="65">
        <f>COUNTIF([1]VillageDiscoveryGroup!$C:$C,표1[[#This Row],[명칭]])</f>
        <v>0</v>
      </c>
      <c r="O1146" s="65">
        <f>SUM(표1[[#This Row],[해양탐색]:[마을탐험]])</f>
        <v>0</v>
      </c>
    </row>
    <row r="1147" spans="2:15" ht="13.5" customHeight="1" x14ac:dyDescent="0.3">
      <c r="B1147" s="9">
        <f>[1]Discovery!A1153</f>
        <v>70409226</v>
      </c>
      <c r="C1147" s="9" t="str">
        <f>[1]Discovery!B1153</f>
        <v>붕장어</v>
      </c>
      <c r="D1147" s="9" t="str">
        <f>[1]Discovery!E1153</f>
        <v>동물</v>
      </c>
      <c r="E1147" s="9" t="str">
        <f>[1]Discovery!C1153</f>
        <v>어류</v>
      </c>
      <c r="F1147" s="9" t="str">
        <f>[1]Discovery!G1153</f>
        <v>A</v>
      </c>
      <c r="G1147" s="9" t="str">
        <f>IFERROR(VLOOKUP(표1[[#This Row],[명칭]],'문화권 정리'!C:D,2,FALSE),"-")</f>
        <v>어류</v>
      </c>
      <c r="H1147" s="38" t="str">
        <f>IFERROR(COUNTIF([2]OceanDoodad!$Y:$Y,표1[[#This Row],[명칭]]),"-")</f>
        <v>-</v>
      </c>
      <c r="I1147" s="38">
        <f>IFERROR(COUNTIF([1]AdventureDiscoveryGroup!$D$8:$AW$92,표1[[#This Row],[명칭]]),"-")</f>
        <v>0</v>
      </c>
      <c r="J1147" s="38">
        <f>IFERROR(COUNTIF([1]FishDiscoveryGroup!$A:$X,표1[[#This Row],[명칭]]),"-")</f>
        <v>4</v>
      </c>
      <c r="K1147" s="38" t="str">
        <f>IFERROR(COUNTIF([2]Town!$B:$B,표1[[#This Row],[명칭]]),"-")</f>
        <v>-</v>
      </c>
      <c r="L1147" s="38">
        <f>IFERROR(COUNTIF([1]Village!$BR:$BR,표1[[#This Row],[명칭]]),"-")</f>
        <v>0</v>
      </c>
      <c r="M1147" s="38">
        <f>COUNTIF(퀘스트!B:B,표1[[#This Row],[명칭]])</f>
        <v>0</v>
      </c>
      <c r="N1147" s="65">
        <f>COUNTIF([1]VillageDiscoveryGroup!$C:$C,표1[[#This Row],[명칭]])</f>
        <v>0</v>
      </c>
      <c r="O1147" s="65">
        <f>SUM(표1[[#This Row],[해양탐색]:[마을탐험]])</f>
        <v>4</v>
      </c>
    </row>
    <row r="1148" spans="2:15" ht="13.5" customHeight="1" x14ac:dyDescent="0.3">
      <c r="B1148" s="9">
        <f>[1]Discovery!A1154</f>
        <v>70409227</v>
      </c>
      <c r="C1148" s="9" t="str">
        <f>[1]Discovery!B1154</f>
        <v>블랙아로와나</v>
      </c>
      <c r="D1148" s="9" t="str">
        <f>[1]Discovery!E1154</f>
        <v>동물</v>
      </c>
      <c r="E1148" s="9" t="str">
        <f>[1]Discovery!C1154</f>
        <v>어류</v>
      </c>
      <c r="F1148" s="9" t="str">
        <f>[1]Discovery!G1154</f>
        <v>B</v>
      </c>
      <c r="G1148" s="9" t="str">
        <f>IFERROR(VLOOKUP(표1[[#This Row],[명칭]],'문화권 정리'!C:D,2,FALSE),"-")</f>
        <v>어류</v>
      </c>
      <c r="H1148" s="38" t="str">
        <f>IFERROR(COUNTIF([2]OceanDoodad!$Y:$Y,표1[[#This Row],[명칭]]),"-")</f>
        <v>-</v>
      </c>
      <c r="I1148" s="38">
        <f>IFERROR(COUNTIF([1]AdventureDiscoveryGroup!$D$8:$AW$92,표1[[#This Row],[명칭]]),"-")</f>
        <v>0</v>
      </c>
      <c r="J1148" s="38">
        <f>IFERROR(COUNTIF([1]FishDiscoveryGroup!$A:$X,표1[[#This Row],[명칭]]),"-")</f>
        <v>4</v>
      </c>
      <c r="K1148" s="38" t="str">
        <f>IFERROR(COUNTIF([2]Town!$B:$B,표1[[#This Row],[명칭]]),"-")</f>
        <v>-</v>
      </c>
      <c r="L1148" s="38">
        <f>IFERROR(COUNTIF([1]Village!$BR:$BR,표1[[#This Row],[명칭]]),"-")</f>
        <v>0</v>
      </c>
      <c r="M1148" s="38">
        <f>COUNTIF(퀘스트!B:B,표1[[#This Row],[명칭]])</f>
        <v>0</v>
      </c>
      <c r="N1148" s="65">
        <f>COUNTIF([1]VillageDiscoveryGroup!$C:$C,표1[[#This Row],[명칭]])</f>
        <v>0</v>
      </c>
      <c r="O1148" s="65">
        <f>SUM(표1[[#This Row],[해양탐색]:[마을탐험]])</f>
        <v>4</v>
      </c>
    </row>
    <row r="1149" spans="2:15" ht="13.5" customHeight="1" x14ac:dyDescent="0.3">
      <c r="B1149" s="9">
        <f>[1]Discovery!A1155</f>
        <v>70409228</v>
      </c>
      <c r="C1149" s="9" t="str">
        <f>[1]Discovery!B1155</f>
        <v>비막치어</v>
      </c>
      <c r="D1149" s="9" t="str">
        <f>[1]Discovery!E1155</f>
        <v>동물</v>
      </c>
      <c r="E1149" s="9" t="str">
        <f>[1]Discovery!C1155</f>
        <v>어류</v>
      </c>
      <c r="F1149" s="9" t="str">
        <f>[1]Discovery!G1155</f>
        <v>B</v>
      </c>
      <c r="G1149" s="9" t="str">
        <f>IFERROR(VLOOKUP(표1[[#This Row],[명칭]],'문화권 정리'!C:D,2,FALSE),"-")</f>
        <v>어류</v>
      </c>
      <c r="H1149" s="38" t="str">
        <f>IFERROR(COUNTIF([2]OceanDoodad!$Y:$Y,표1[[#This Row],[명칭]]),"-")</f>
        <v>-</v>
      </c>
      <c r="I1149" s="38">
        <f>IFERROR(COUNTIF([1]AdventureDiscoveryGroup!$D$8:$AW$92,표1[[#This Row],[명칭]]),"-")</f>
        <v>0</v>
      </c>
      <c r="J1149" s="38">
        <f>IFERROR(COUNTIF([1]FishDiscoveryGroup!$A:$X,표1[[#This Row],[명칭]]),"-")</f>
        <v>4</v>
      </c>
      <c r="K1149" s="38" t="str">
        <f>IFERROR(COUNTIF([2]Town!$B:$B,표1[[#This Row],[명칭]]),"-")</f>
        <v>-</v>
      </c>
      <c r="L1149" s="38">
        <f>IFERROR(COUNTIF([1]Village!$BR:$BR,표1[[#This Row],[명칭]]),"-")</f>
        <v>0</v>
      </c>
      <c r="M1149" s="38">
        <f>COUNTIF(퀘스트!B:B,표1[[#This Row],[명칭]])</f>
        <v>0</v>
      </c>
      <c r="N1149" s="65">
        <f>COUNTIF([1]VillageDiscoveryGroup!$C:$C,표1[[#This Row],[명칭]])</f>
        <v>0</v>
      </c>
      <c r="O1149" s="65">
        <f>SUM(표1[[#This Row],[해양탐색]:[마을탐험]])</f>
        <v>4</v>
      </c>
    </row>
    <row r="1150" spans="2:15" ht="13.5" customHeight="1" x14ac:dyDescent="0.3">
      <c r="B1150" s="9">
        <f>[1]Discovery!A1156</f>
        <v>70409229</v>
      </c>
      <c r="C1150" s="9" t="str">
        <f>[1]Discovery!B1156</f>
        <v>빨간씬벵이</v>
      </c>
      <c r="D1150" s="9" t="str">
        <f>[1]Discovery!E1156</f>
        <v>동물</v>
      </c>
      <c r="E1150" s="9" t="str">
        <f>[1]Discovery!C1156</f>
        <v>어류</v>
      </c>
      <c r="F1150" s="9" t="str">
        <f>[1]Discovery!G1156</f>
        <v>D</v>
      </c>
      <c r="G1150" s="9" t="str">
        <f>IFERROR(VLOOKUP(표1[[#This Row],[명칭]],'문화권 정리'!C:D,2,FALSE),"-")</f>
        <v>어류</v>
      </c>
      <c r="H1150" s="38" t="str">
        <f>IFERROR(COUNTIF([2]OceanDoodad!$Y:$Y,표1[[#This Row],[명칭]]),"-")</f>
        <v>-</v>
      </c>
      <c r="I1150" s="38">
        <f>IFERROR(COUNTIF([1]AdventureDiscoveryGroup!$D$8:$AW$92,표1[[#This Row],[명칭]]),"-")</f>
        <v>0</v>
      </c>
      <c r="J1150" s="38">
        <f>IFERROR(COUNTIF([1]FishDiscoveryGroup!$A:$X,표1[[#This Row],[명칭]]),"-")</f>
        <v>0</v>
      </c>
      <c r="K1150" s="38" t="str">
        <f>IFERROR(COUNTIF([2]Town!$B:$B,표1[[#This Row],[명칭]]),"-")</f>
        <v>-</v>
      </c>
      <c r="L1150" s="38">
        <f>IFERROR(COUNTIF([1]Village!$BR:$BR,표1[[#This Row],[명칭]]),"-")</f>
        <v>0</v>
      </c>
      <c r="M1150" s="38">
        <f>COUNTIF(퀘스트!B:B,표1[[#This Row],[명칭]])</f>
        <v>0</v>
      </c>
      <c r="N1150" s="65">
        <f>COUNTIF([1]VillageDiscoveryGroup!$C:$C,표1[[#This Row],[명칭]])</f>
        <v>0</v>
      </c>
      <c r="O1150" s="65">
        <f>SUM(표1[[#This Row],[해양탐색]:[마을탐험]])</f>
        <v>0</v>
      </c>
    </row>
    <row r="1151" spans="2:15" ht="13.5" customHeight="1" x14ac:dyDescent="0.3">
      <c r="B1151" s="9">
        <f>[1]Discovery!A1157</f>
        <v>70409230</v>
      </c>
      <c r="C1151" s="9" t="str">
        <f>[1]Discovery!B1157</f>
        <v>빨간양태</v>
      </c>
      <c r="D1151" s="9" t="str">
        <f>[1]Discovery!E1157</f>
        <v>동물</v>
      </c>
      <c r="E1151" s="9" t="str">
        <f>[1]Discovery!C1157</f>
        <v>어류</v>
      </c>
      <c r="F1151" s="9" t="str">
        <f>[1]Discovery!G1157</f>
        <v>D</v>
      </c>
      <c r="G1151" s="9" t="str">
        <f>IFERROR(VLOOKUP(표1[[#This Row],[명칭]],'문화권 정리'!C:D,2,FALSE),"-")</f>
        <v>어류</v>
      </c>
      <c r="H1151" s="38" t="str">
        <f>IFERROR(COUNTIF([2]OceanDoodad!$Y:$Y,표1[[#This Row],[명칭]]),"-")</f>
        <v>-</v>
      </c>
      <c r="I1151" s="38">
        <f>IFERROR(COUNTIF([1]AdventureDiscoveryGroup!$D$8:$AW$92,표1[[#This Row],[명칭]]),"-")</f>
        <v>0</v>
      </c>
      <c r="J1151" s="38">
        <f>IFERROR(COUNTIF([1]FishDiscoveryGroup!$A:$X,표1[[#This Row],[명칭]]),"-")</f>
        <v>8</v>
      </c>
      <c r="K1151" s="38" t="str">
        <f>IFERROR(COUNTIF([2]Town!$B:$B,표1[[#This Row],[명칭]]),"-")</f>
        <v>-</v>
      </c>
      <c r="L1151" s="38">
        <f>IFERROR(COUNTIF([1]Village!$BR:$BR,표1[[#This Row],[명칭]]),"-")</f>
        <v>0</v>
      </c>
      <c r="M1151" s="38">
        <f>COUNTIF(퀘스트!B:B,표1[[#This Row],[명칭]])</f>
        <v>0</v>
      </c>
      <c r="N1151" s="65">
        <f>COUNTIF([1]VillageDiscoveryGroup!$C:$C,표1[[#This Row],[명칭]])</f>
        <v>0</v>
      </c>
      <c r="O1151" s="65">
        <f>SUM(표1[[#This Row],[해양탐색]:[마을탐험]])</f>
        <v>8</v>
      </c>
    </row>
    <row r="1152" spans="2:15" ht="13.5" customHeight="1" x14ac:dyDescent="0.3">
      <c r="B1152" s="9">
        <f>[1]Discovery!A1158</f>
        <v>70409231</v>
      </c>
      <c r="C1152" s="9" t="str">
        <f>[1]Discovery!B1158</f>
        <v>빨강부치</v>
      </c>
      <c r="D1152" s="9" t="str">
        <f>[1]Discovery!E1158</f>
        <v>동물</v>
      </c>
      <c r="E1152" s="9" t="str">
        <f>[1]Discovery!C1158</f>
        <v>어류</v>
      </c>
      <c r="F1152" s="9" t="str">
        <f>[1]Discovery!G1158</f>
        <v>C</v>
      </c>
      <c r="G1152" s="9" t="str">
        <f>IFERROR(VLOOKUP(표1[[#This Row],[명칭]],'문화권 정리'!C:D,2,FALSE),"-")</f>
        <v>어류</v>
      </c>
      <c r="H1152" s="38" t="str">
        <f>IFERROR(COUNTIF([2]OceanDoodad!$Y:$Y,표1[[#This Row],[명칭]]),"-")</f>
        <v>-</v>
      </c>
      <c r="I1152" s="38">
        <f>IFERROR(COUNTIF([1]AdventureDiscoveryGroup!$D$8:$AW$92,표1[[#This Row],[명칭]]),"-")</f>
        <v>0</v>
      </c>
      <c r="J1152" s="38">
        <f>IFERROR(COUNTIF([1]FishDiscoveryGroup!$A:$X,표1[[#This Row],[명칭]]),"-")</f>
        <v>4</v>
      </c>
      <c r="K1152" s="38" t="str">
        <f>IFERROR(COUNTIF([2]Town!$B:$B,표1[[#This Row],[명칭]]),"-")</f>
        <v>-</v>
      </c>
      <c r="L1152" s="38">
        <f>IFERROR(COUNTIF([1]Village!$BR:$BR,표1[[#This Row],[명칭]]),"-")</f>
        <v>0</v>
      </c>
      <c r="M1152" s="38">
        <f>COUNTIF(퀘스트!B:B,표1[[#This Row],[명칭]])</f>
        <v>0</v>
      </c>
      <c r="N1152" s="65">
        <f>COUNTIF([1]VillageDiscoveryGroup!$C:$C,표1[[#This Row],[명칭]])</f>
        <v>0</v>
      </c>
      <c r="O1152" s="65">
        <f>SUM(표1[[#This Row],[해양탐색]:[마을탐험]])</f>
        <v>4</v>
      </c>
    </row>
    <row r="1153" spans="2:15" ht="13.5" customHeight="1" x14ac:dyDescent="0.3">
      <c r="B1153" s="9">
        <f>[1]Discovery!A1159</f>
        <v>70409232</v>
      </c>
      <c r="C1153" s="9" t="str">
        <f>[1]Discovery!B1159</f>
        <v>빨판매가리</v>
      </c>
      <c r="D1153" s="9" t="str">
        <f>[1]Discovery!E1159</f>
        <v>동물</v>
      </c>
      <c r="E1153" s="9" t="str">
        <f>[1]Discovery!C1159</f>
        <v>어류</v>
      </c>
      <c r="F1153" s="9" t="str">
        <f>[1]Discovery!G1159</f>
        <v>C</v>
      </c>
      <c r="G1153" s="9" t="str">
        <f>IFERROR(VLOOKUP(표1[[#This Row],[명칭]],'문화권 정리'!C:D,2,FALSE),"-")</f>
        <v>어류</v>
      </c>
      <c r="H1153" s="38" t="str">
        <f>IFERROR(COUNTIF([2]OceanDoodad!$Y:$Y,표1[[#This Row],[명칭]]),"-")</f>
        <v>-</v>
      </c>
      <c r="I1153" s="38">
        <f>IFERROR(COUNTIF([1]AdventureDiscoveryGroup!$D$8:$AW$92,표1[[#This Row],[명칭]]),"-")</f>
        <v>0</v>
      </c>
      <c r="J1153" s="38">
        <f>IFERROR(COUNTIF([1]FishDiscoveryGroup!$A:$X,표1[[#This Row],[명칭]]),"-")</f>
        <v>4</v>
      </c>
      <c r="K1153" s="38" t="str">
        <f>IFERROR(COUNTIF([2]Town!$B:$B,표1[[#This Row],[명칭]]),"-")</f>
        <v>-</v>
      </c>
      <c r="L1153" s="38">
        <f>IFERROR(COUNTIF([1]Village!$BR:$BR,표1[[#This Row],[명칭]]),"-")</f>
        <v>0</v>
      </c>
      <c r="M1153" s="38">
        <f>COUNTIF(퀘스트!B:B,표1[[#This Row],[명칭]])</f>
        <v>0</v>
      </c>
      <c r="N1153" s="65">
        <f>COUNTIF([1]VillageDiscoveryGroup!$C:$C,표1[[#This Row],[명칭]])</f>
        <v>0</v>
      </c>
      <c r="O1153" s="65">
        <f>SUM(표1[[#This Row],[해양탐색]:[마을탐험]])</f>
        <v>4</v>
      </c>
    </row>
    <row r="1154" spans="2:15" ht="13.5" customHeight="1" x14ac:dyDescent="0.3">
      <c r="B1154" s="9">
        <f>[1]Discovery!A1160</f>
        <v>70409233</v>
      </c>
      <c r="C1154" s="9" t="str">
        <f>[1]Discovery!B1160</f>
        <v>빨판상어</v>
      </c>
      <c r="D1154" s="9" t="str">
        <f>[1]Discovery!E1160</f>
        <v>동물</v>
      </c>
      <c r="E1154" s="9" t="str">
        <f>[1]Discovery!C1160</f>
        <v>어류</v>
      </c>
      <c r="F1154" s="9" t="str">
        <f>[1]Discovery!G1160</f>
        <v>C</v>
      </c>
      <c r="G1154" s="9" t="str">
        <f>IFERROR(VLOOKUP(표1[[#This Row],[명칭]],'문화권 정리'!C:D,2,FALSE),"-")</f>
        <v>어류</v>
      </c>
      <c r="H1154" s="38" t="str">
        <f>IFERROR(COUNTIF([2]OceanDoodad!$Y:$Y,표1[[#This Row],[명칭]]),"-")</f>
        <v>-</v>
      </c>
      <c r="I1154" s="38">
        <f>IFERROR(COUNTIF([1]AdventureDiscoveryGroup!$D$8:$AW$92,표1[[#This Row],[명칭]]),"-")</f>
        <v>0</v>
      </c>
      <c r="J1154" s="38">
        <f>IFERROR(COUNTIF([1]FishDiscoveryGroup!$A:$X,표1[[#This Row],[명칭]]),"-")</f>
        <v>8</v>
      </c>
      <c r="K1154" s="38" t="str">
        <f>IFERROR(COUNTIF([2]Town!$B:$B,표1[[#This Row],[명칭]]),"-")</f>
        <v>-</v>
      </c>
      <c r="L1154" s="38">
        <f>IFERROR(COUNTIF([1]Village!$BR:$BR,표1[[#This Row],[명칭]]),"-")</f>
        <v>0</v>
      </c>
      <c r="M1154" s="38">
        <f>COUNTIF(퀘스트!B:B,표1[[#This Row],[명칭]])</f>
        <v>0</v>
      </c>
      <c r="N1154" s="65">
        <f>COUNTIF([1]VillageDiscoveryGroup!$C:$C,표1[[#This Row],[명칭]])</f>
        <v>0</v>
      </c>
      <c r="O1154" s="65">
        <f>SUM(표1[[#This Row],[해양탐색]:[마을탐험]])</f>
        <v>8</v>
      </c>
    </row>
    <row r="1155" spans="2:15" ht="13.5" customHeight="1" x14ac:dyDescent="0.3">
      <c r="B1155" s="9">
        <f>[1]Discovery!A1161</f>
        <v>70409234</v>
      </c>
      <c r="C1155" s="9" t="str">
        <f>[1]Discovery!B1161</f>
        <v>뿔돔</v>
      </c>
      <c r="D1155" s="9" t="str">
        <f>[1]Discovery!E1161</f>
        <v>동물</v>
      </c>
      <c r="E1155" s="9" t="str">
        <f>[1]Discovery!C1161</f>
        <v>어류</v>
      </c>
      <c r="F1155" s="9" t="str">
        <f>[1]Discovery!G1161</f>
        <v>A</v>
      </c>
      <c r="G1155" s="9" t="str">
        <f>IFERROR(VLOOKUP(표1[[#This Row],[명칭]],'문화권 정리'!C:D,2,FALSE),"-")</f>
        <v>어류</v>
      </c>
      <c r="H1155" s="38" t="str">
        <f>IFERROR(COUNTIF([2]OceanDoodad!$Y:$Y,표1[[#This Row],[명칭]]),"-")</f>
        <v>-</v>
      </c>
      <c r="I1155" s="38">
        <f>IFERROR(COUNTIF([1]AdventureDiscoveryGroup!$D$8:$AW$92,표1[[#This Row],[명칭]]),"-")</f>
        <v>0</v>
      </c>
      <c r="J1155" s="38">
        <f>IFERROR(COUNTIF([1]FishDiscoveryGroup!$A:$X,표1[[#This Row],[명칭]]),"-")</f>
        <v>0</v>
      </c>
      <c r="K1155" s="38" t="str">
        <f>IFERROR(COUNTIF([2]Town!$B:$B,표1[[#This Row],[명칭]]),"-")</f>
        <v>-</v>
      </c>
      <c r="L1155" s="38">
        <f>IFERROR(COUNTIF([1]Village!$BR:$BR,표1[[#This Row],[명칭]]),"-")</f>
        <v>0</v>
      </c>
      <c r="M1155" s="38">
        <f>COUNTIF(퀘스트!B:B,표1[[#This Row],[명칭]])</f>
        <v>0</v>
      </c>
      <c r="N1155" s="65">
        <f>COUNTIF([1]VillageDiscoveryGroup!$C:$C,표1[[#This Row],[명칭]])</f>
        <v>0</v>
      </c>
      <c r="O1155" s="65">
        <f>SUM(표1[[#This Row],[해양탐색]:[마을탐험]])</f>
        <v>0</v>
      </c>
    </row>
    <row r="1156" spans="2:15" ht="13.5" customHeight="1" x14ac:dyDescent="0.3">
      <c r="B1156" s="9">
        <f>[1]Discovery!A1162</f>
        <v>70409235</v>
      </c>
      <c r="C1156" s="9" t="str">
        <f>[1]Discovery!B1162</f>
        <v>뿔복</v>
      </c>
      <c r="D1156" s="9" t="str">
        <f>[1]Discovery!E1162</f>
        <v>동물</v>
      </c>
      <c r="E1156" s="9" t="str">
        <f>[1]Discovery!C1162</f>
        <v>어류</v>
      </c>
      <c r="F1156" s="9" t="str">
        <f>[1]Discovery!G1162</f>
        <v>C</v>
      </c>
      <c r="G1156" s="9" t="str">
        <f>IFERROR(VLOOKUP(표1[[#This Row],[명칭]],'문화권 정리'!C:D,2,FALSE),"-")</f>
        <v>어류</v>
      </c>
      <c r="H1156" s="38" t="str">
        <f>IFERROR(COUNTIF([2]OceanDoodad!$Y:$Y,표1[[#This Row],[명칭]]),"-")</f>
        <v>-</v>
      </c>
      <c r="I1156" s="38">
        <f>IFERROR(COUNTIF([1]AdventureDiscoveryGroup!$D$8:$AW$92,표1[[#This Row],[명칭]]),"-")</f>
        <v>0</v>
      </c>
      <c r="J1156" s="38">
        <f>IFERROR(COUNTIF([1]FishDiscoveryGroup!$A:$X,표1[[#This Row],[명칭]]),"-")</f>
        <v>4</v>
      </c>
      <c r="K1156" s="38" t="str">
        <f>IFERROR(COUNTIF([2]Town!$B:$B,표1[[#This Row],[명칭]]),"-")</f>
        <v>-</v>
      </c>
      <c r="L1156" s="38">
        <f>IFERROR(COUNTIF([1]Village!$BR:$BR,표1[[#This Row],[명칭]]),"-")</f>
        <v>0</v>
      </c>
      <c r="M1156" s="38">
        <f>COUNTIF(퀘스트!B:B,표1[[#This Row],[명칭]])</f>
        <v>0</v>
      </c>
      <c r="N1156" s="65">
        <f>COUNTIF([1]VillageDiscoveryGroup!$C:$C,표1[[#This Row],[명칭]])</f>
        <v>0</v>
      </c>
      <c r="O1156" s="65">
        <f>SUM(표1[[#This Row],[해양탐색]:[마을탐험]])</f>
        <v>4</v>
      </c>
    </row>
    <row r="1157" spans="2:15" ht="13.5" customHeight="1" x14ac:dyDescent="0.3">
      <c r="B1157" s="9">
        <f>[1]Discovery!A1163</f>
        <v>70409236</v>
      </c>
      <c r="C1157" s="9" t="str">
        <f>[1]Discovery!B1163</f>
        <v>뿔서대</v>
      </c>
      <c r="D1157" s="9" t="str">
        <f>[1]Discovery!E1163</f>
        <v>동물</v>
      </c>
      <c r="E1157" s="9" t="str">
        <f>[1]Discovery!C1163</f>
        <v>어류</v>
      </c>
      <c r="F1157" s="9" t="str">
        <f>[1]Discovery!G1163</f>
        <v>B</v>
      </c>
      <c r="G1157" s="9" t="str">
        <f>IFERROR(VLOOKUP(표1[[#This Row],[명칭]],'문화권 정리'!C:D,2,FALSE),"-")</f>
        <v>어류</v>
      </c>
      <c r="H1157" s="38" t="str">
        <f>IFERROR(COUNTIF([2]OceanDoodad!$Y:$Y,표1[[#This Row],[명칭]]),"-")</f>
        <v>-</v>
      </c>
      <c r="I1157" s="38">
        <f>IFERROR(COUNTIF([1]AdventureDiscoveryGroup!$D$8:$AW$92,표1[[#This Row],[명칭]]),"-")</f>
        <v>0</v>
      </c>
      <c r="J1157" s="38">
        <f>IFERROR(COUNTIF([1]FishDiscoveryGroup!$A:$X,표1[[#This Row],[명칭]]),"-")</f>
        <v>4</v>
      </c>
      <c r="K1157" s="38" t="str">
        <f>IFERROR(COUNTIF([2]Town!$B:$B,표1[[#This Row],[명칭]]),"-")</f>
        <v>-</v>
      </c>
      <c r="L1157" s="38">
        <f>IFERROR(COUNTIF([1]Village!$BR:$BR,표1[[#This Row],[명칭]]),"-")</f>
        <v>0</v>
      </c>
      <c r="M1157" s="38">
        <f>COUNTIF(퀘스트!B:B,표1[[#This Row],[명칭]])</f>
        <v>0</v>
      </c>
      <c r="N1157" s="65">
        <f>COUNTIF([1]VillageDiscoveryGroup!$C:$C,표1[[#This Row],[명칭]])</f>
        <v>0</v>
      </c>
      <c r="O1157" s="65">
        <f>SUM(표1[[#This Row],[해양탐색]:[마을탐험]])</f>
        <v>4</v>
      </c>
    </row>
    <row r="1158" spans="2:15" ht="13.5" customHeight="1" x14ac:dyDescent="0.3">
      <c r="B1158" s="9">
        <f>[1]Discovery!A1164</f>
        <v>70409237</v>
      </c>
      <c r="C1158" s="9" t="str">
        <f>[1]Discovery!B1164</f>
        <v>뿔횟대</v>
      </c>
      <c r="D1158" s="9" t="str">
        <f>[1]Discovery!E1164</f>
        <v>동물</v>
      </c>
      <c r="E1158" s="9" t="str">
        <f>[1]Discovery!C1164</f>
        <v>어류</v>
      </c>
      <c r="F1158" s="9" t="str">
        <f>[1]Discovery!G1164</f>
        <v>C</v>
      </c>
      <c r="G1158" s="9" t="str">
        <f>IFERROR(VLOOKUP(표1[[#This Row],[명칭]],'문화권 정리'!C:D,2,FALSE),"-")</f>
        <v>어류</v>
      </c>
      <c r="H1158" s="38" t="str">
        <f>IFERROR(COUNTIF([2]OceanDoodad!$Y:$Y,표1[[#This Row],[명칭]]),"-")</f>
        <v>-</v>
      </c>
      <c r="I1158" s="38">
        <f>IFERROR(COUNTIF([1]AdventureDiscoveryGroup!$D$8:$AW$92,표1[[#This Row],[명칭]]),"-")</f>
        <v>0</v>
      </c>
      <c r="J1158" s="38">
        <f>IFERROR(COUNTIF([1]FishDiscoveryGroup!$A:$X,표1[[#This Row],[명칭]]),"-")</f>
        <v>8</v>
      </c>
      <c r="K1158" s="38" t="str">
        <f>IFERROR(COUNTIF([2]Town!$B:$B,표1[[#This Row],[명칭]]),"-")</f>
        <v>-</v>
      </c>
      <c r="L1158" s="38">
        <f>IFERROR(COUNTIF([1]Village!$BR:$BR,표1[[#This Row],[명칭]]),"-")</f>
        <v>0</v>
      </c>
      <c r="M1158" s="38">
        <f>COUNTIF(퀘스트!B:B,표1[[#This Row],[명칭]])</f>
        <v>0</v>
      </c>
      <c r="N1158" s="65">
        <f>COUNTIF([1]VillageDiscoveryGroup!$C:$C,표1[[#This Row],[명칭]])</f>
        <v>0</v>
      </c>
      <c r="O1158" s="65">
        <f>SUM(표1[[#This Row],[해양탐색]:[마을탐험]])</f>
        <v>8</v>
      </c>
    </row>
    <row r="1159" spans="2:15" ht="13.5" customHeight="1" x14ac:dyDescent="0.3">
      <c r="B1159" s="9">
        <f>[1]Discovery!A1165</f>
        <v>70409238</v>
      </c>
      <c r="C1159" s="9" t="str">
        <f>[1]Discovery!B1165</f>
        <v>사랑놀래기</v>
      </c>
      <c r="D1159" s="9" t="str">
        <f>[1]Discovery!E1165</f>
        <v>동물</v>
      </c>
      <c r="E1159" s="9" t="str">
        <f>[1]Discovery!C1165</f>
        <v>어류</v>
      </c>
      <c r="F1159" s="9" t="str">
        <f>[1]Discovery!G1165</f>
        <v>D</v>
      </c>
      <c r="G1159" s="9" t="str">
        <f>IFERROR(VLOOKUP(표1[[#This Row],[명칭]],'문화권 정리'!C:D,2,FALSE),"-")</f>
        <v>어류</v>
      </c>
      <c r="H1159" s="38" t="str">
        <f>IFERROR(COUNTIF([2]OceanDoodad!$Y:$Y,표1[[#This Row],[명칭]]),"-")</f>
        <v>-</v>
      </c>
      <c r="I1159" s="38">
        <f>IFERROR(COUNTIF([1]AdventureDiscoveryGroup!$D$8:$AW$92,표1[[#This Row],[명칭]]),"-")</f>
        <v>0</v>
      </c>
      <c r="J1159" s="38">
        <f>IFERROR(COUNTIF([1]FishDiscoveryGroup!$A:$X,표1[[#This Row],[명칭]]),"-")</f>
        <v>4</v>
      </c>
      <c r="K1159" s="38" t="str">
        <f>IFERROR(COUNTIF([2]Town!$B:$B,표1[[#This Row],[명칭]]),"-")</f>
        <v>-</v>
      </c>
      <c r="L1159" s="38">
        <f>IFERROR(COUNTIF([1]Village!$BR:$BR,표1[[#This Row],[명칭]]),"-")</f>
        <v>0</v>
      </c>
      <c r="M1159" s="38">
        <f>COUNTIF(퀘스트!B:B,표1[[#This Row],[명칭]])</f>
        <v>0</v>
      </c>
      <c r="N1159" s="65">
        <f>COUNTIF([1]VillageDiscoveryGroup!$C:$C,표1[[#This Row],[명칭]])</f>
        <v>0</v>
      </c>
      <c r="O1159" s="65">
        <f>SUM(표1[[#This Row],[해양탐색]:[마을탐험]])</f>
        <v>4</v>
      </c>
    </row>
    <row r="1160" spans="2:15" ht="13.5" customHeight="1" x14ac:dyDescent="0.3">
      <c r="B1160" s="9">
        <f>[1]Discovery!A1166</f>
        <v>70409240</v>
      </c>
      <c r="C1160" s="9" t="str">
        <f>[1]Discovery!B1166</f>
        <v>산호해마</v>
      </c>
      <c r="D1160" s="9" t="str">
        <f>[1]Discovery!E1166</f>
        <v>동물</v>
      </c>
      <c r="E1160" s="9" t="str">
        <f>[1]Discovery!C1166</f>
        <v>어류</v>
      </c>
      <c r="F1160" s="9" t="str">
        <f>[1]Discovery!G1166</f>
        <v>A</v>
      </c>
      <c r="G1160" s="9" t="str">
        <f>IFERROR(VLOOKUP(표1[[#This Row],[명칭]],'문화권 정리'!C:D,2,FALSE),"-")</f>
        <v>어류</v>
      </c>
      <c r="H1160" s="38" t="str">
        <f>IFERROR(COUNTIF([2]OceanDoodad!$Y:$Y,표1[[#This Row],[명칭]]),"-")</f>
        <v>-</v>
      </c>
      <c r="I1160" s="38">
        <f>IFERROR(COUNTIF([1]AdventureDiscoveryGroup!$D$8:$AW$92,표1[[#This Row],[명칭]]),"-")</f>
        <v>0</v>
      </c>
      <c r="J1160" s="38">
        <f>IFERROR(COUNTIF([1]FishDiscoveryGroup!$A:$X,표1[[#This Row],[명칭]]),"-")</f>
        <v>0</v>
      </c>
      <c r="K1160" s="38" t="str">
        <f>IFERROR(COUNTIF([2]Town!$B:$B,표1[[#This Row],[명칭]]),"-")</f>
        <v>-</v>
      </c>
      <c r="L1160" s="38">
        <f>IFERROR(COUNTIF([1]Village!$BR:$BR,표1[[#This Row],[명칭]]),"-")</f>
        <v>0</v>
      </c>
      <c r="M1160" s="38">
        <f>COUNTIF(퀘스트!B:B,표1[[#This Row],[명칭]])</f>
        <v>0</v>
      </c>
      <c r="N1160" s="65">
        <f>COUNTIF([1]VillageDiscoveryGroup!$C:$C,표1[[#This Row],[명칭]])</f>
        <v>0</v>
      </c>
      <c r="O1160" s="65">
        <f>SUM(표1[[#This Row],[해양탐색]:[마을탐험]])</f>
        <v>0</v>
      </c>
    </row>
    <row r="1161" spans="2:15" ht="13.5" customHeight="1" x14ac:dyDescent="0.3">
      <c r="B1161" s="9">
        <f>[1]Discovery!A1167</f>
        <v>70409241</v>
      </c>
      <c r="C1161" s="9" t="str">
        <f>[1]Discovery!B1167</f>
        <v>살벤자리</v>
      </c>
      <c r="D1161" s="9" t="str">
        <f>[1]Discovery!E1167</f>
        <v>동물</v>
      </c>
      <c r="E1161" s="9" t="str">
        <f>[1]Discovery!C1167</f>
        <v>어류</v>
      </c>
      <c r="F1161" s="9" t="str">
        <f>[1]Discovery!G1167</f>
        <v>B</v>
      </c>
      <c r="G1161" s="9" t="str">
        <f>IFERROR(VLOOKUP(표1[[#This Row],[명칭]],'문화권 정리'!C:D,2,FALSE),"-")</f>
        <v>어류</v>
      </c>
      <c r="H1161" s="38" t="str">
        <f>IFERROR(COUNTIF([2]OceanDoodad!$Y:$Y,표1[[#This Row],[명칭]]),"-")</f>
        <v>-</v>
      </c>
      <c r="I1161" s="38">
        <f>IFERROR(COUNTIF([1]AdventureDiscoveryGroup!$D$8:$AW$92,표1[[#This Row],[명칭]]),"-")</f>
        <v>0</v>
      </c>
      <c r="J1161" s="38">
        <f>IFERROR(COUNTIF([1]FishDiscoveryGroup!$A:$X,표1[[#This Row],[명칭]]),"-")</f>
        <v>0</v>
      </c>
      <c r="K1161" s="38" t="str">
        <f>IFERROR(COUNTIF([2]Town!$B:$B,표1[[#This Row],[명칭]]),"-")</f>
        <v>-</v>
      </c>
      <c r="L1161" s="38">
        <f>IFERROR(COUNTIF([1]Village!$BR:$BR,표1[[#This Row],[명칭]]),"-")</f>
        <v>0</v>
      </c>
      <c r="M1161" s="38">
        <f>COUNTIF(퀘스트!B:B,표1[[#This Row],[명칭]])</f>
        <v>0</v>
      </c>
      <c r="N1161" s="65">
        <f>COUNTIF([1]VillageDiscoveryGroup!$C:$C,표1[[#This Row],[명칭]])</f>
        <v>0</v>
      </c>
      <c r="O1161" s="65">
        <f>SUM(표1[[#This Row],[해양탐색]:[마을탐험]])</f>
        <v>0</v>
      </c>
    </row>
    <row r="1162" spans="2:15" ht="13.5" customHeight="1" x14ac:dyDescent="0.3">
      <c r="B1162" s="9">
        <f>[1]Discovery!A1168</f>
        <v>70409242</v>
      </c>
      <c r="C1162" s="9" t="str">
        <f>[1]Discovery!B1168</f>
        <v>살살치</v>
      </c>
      <c r="D1162" s="9" t="str">
        <f>[1]Discovery!E1168</f>
        <v>동물</v>
      </c>
      <c r="E1162" s="9" t="str">
        <f>[1]Discovery!C1168</f>
        <v>어류</v>
      </c>
      <c r="F1162" s="9" t="str">
        <f>[1]Discovery!G1168</f>
        <v>C</v>
      </c>
      <c r="G1162" s="9" t="str">
        <f>IFERROR(VLOOKUP(표1[[#This Row],[명칭]],'문화권 정리'!C:D,2,FALSE),"-")</f>
        <v>어류</v>
      </c>
      <c r="H1162" s="38" t="str">
        <f>IFERROR(COUNTIF([2]OceanDoodad!$Y:$Y,표1[[#This Row],[명칭]]),"-")</f>
        <v>-</v>
      </c>
      <c r="I1162" s="38">
        <f>IFERROR(COUNTIF([1]AdventureDiscoveryGroup!$D$8:$AW$92,표1[[#This Row],[명칭]]),"-")</f>
        <v>0</v>
      </c>
      <c r="J1162" s="38">
        <f>IFERROR(COUNTIF([1]FishDiscoveryGroup!$A:$X,표1[[#This Row],[명칭]]),"-")</f>
        <v>4</v>
      </c>
      <c r="K1162" s="38" t="str">
        <f>IFERROR(COUNTIF([2]Town!$B:$B,표1[[#This Row],[명칭]]),"-")</f>
        <v>-</v>
      </c>
      <c r="L1162" s="38">
        <f>IFERROR(COUNTIF([1]Village!$BR:$BR,표1[[#This Row],[명칭]]),"-")</f>
        <v>0</v>
      </c>
      <c r="M1162" s="38">
        <f>COUNTIF(퀘스트!B:B,표1[[#This Row],[명칭]])</f>
        <v>0</v>
      </c>
      <c r="N1162" s="65">
        <f>COUNTIF([1]VillageDiscoveryGroup!$C:$C,표1[[#This Row],[명칭]])</f>
        <v>0</v>
      </c>
      <c r="O1162" s="65">
        <f>SUM(표1[[#This Row],[해양탐색]:[마을탐험]])</f>
        <v>4</v>
      </c>
    </row>
    <row r="1163" spans="2:15" ht="13.5" customHeight="1" x14ac:dyDescent="0.3">
      <c r="B1163" s="9">
        <f>[1]Discovery!A1169</f>
        <v>70409243</v>
      </c>
      <c r="C1163" s="9" t="str">
        <f>[1]Discovery!B1169</f>
        <v>삼치</v>
      </c>
      <c r="D1163" s="9" t="str">
        <f>[1]Discovery!E1169</f>
        <v>동물</v>
      </c>
      <c r="E1163" s="9" t="str">
        <f>[1]Discovery!C1169</f>
        <v>어류</v>
      </c>
      <c r="F1163" s="9" t="str">
        <f>[1]Discovery!G1169</f>
        <v>C</v>
      </c>
      <c r="G1163" s="9" t="str">
        <f>IFERROR(VLOOKUP(표1[[#This Row],[명칭]],'문화권 정리'!C:D,2,FALSE),"-")</f>
        <v>어류</v>
      </c>
      <c r="H1163" s="38" t="str">
        <f>IFERROR(COUNTIF([2]OceanDoodad!$Y:$Y,표1[[#This Row],[명칭]]),"-")</f>
        <v>-</v>
      </c>
      <c r="I1163" s="38">
        <f>IFERROR(COUNTIF([1]AdventureDiscoveryGroup!$D$8:$AW$92,표1[[#This Row],[명칭]]),"-")</f>
        <v>0</v>
      </c>
      <c r="J1163" s="38">
        <f>IFERROR(COUNTIF([1]FishDiscoveryGroup!$A:$X,표1[[#This Row],[명칭]]),"-")</f>
        <v>0</v>
      </c>
      <c r="K1163" s="38" t="str">
        <f>IFERROR(COUNTIF([2]Town!$B:$B,표1[[#This Row],[명칭]]),"-")</f>
        <v>-</v>
      </c>
      <c r="L1163" s="38">
        <f>IFERROR(COUNTIF([1]Village!$BR:$BR,표1[[#This Row],[명칭]]),"-")</f>
        <v>0</v>
      </c>
      <c r="M1163" s="38">
        <f>COUNTIF(퀘스트!B:B,표1[[#This Row],[명칭]])</f>
        <v>0</v>
      </c>
      <c r="N1163" s="65">
        <f>COUNTIF([1]VillageDiscoveryGroup!$C:$C,표1[[#This Row],[명칭]])</f>
        <v>0</v>
      </c>
      <c r="O1163" s="65">
        <f>SUM(표1[[#This Row],[해양탐색]:[마을탐험]])</f>
        <v>0</v>
      </c>
    </row>
    <row r="1164" spans="2:15" ht="13.5" customHeight="1" x14ac:dyDescent="0.3">
      <c r="B1164" s="9">
        <f>[1]Discovery!A1170</f>
        <v>70409244</v>
      </c>
      <c r="C1164" s="9" t="str">
        <f>[1]Discovery!B1170</f>
        <v>삿징이상어</v>
      </c>
      <c r="D1164" s="9" t="str">
        <f>[1]Discovery!E1170</f>
        <v>동물</v>
      </c>
      <c r="E1164" s="9" t="str">
        <f>[1]Discovery!C1170</f>
        <v>어류</v>
      </c>
      <c r="F1164" s="9" t="str">
        <f>[1]Discovery!G1170</f>
        <v>C</v>
      </c>
      <c r="G1164" s="9" t="str">
        <f>IFERROR(VLOOKUP(표1[[#This Row],[명칭]],'문화권 정리'!C:D,2,FALSE),"-")</f>
        <v>어류</v>
      </c>
      <c r="H1164" s="38" t="str">
        <f>IFERROR(COUNTIF([2]OceanDoodad!$Y:$Y,표1[[#This Row],[명칭]]),"-")</f>
        <v>-</v>
      </c>
      <c r="I1164" s="38">
        <f>IFERROR(COUNTIF([1]AdventureDiscoveryGroup!$D$8:$AW$92,표1[[#This Row],[명칭]]),"-")</f>
        <v>0</v>
      </c>
      <c r="J1164" s="38">
        <f>IFERROR(COUNTIF([1]FishDiscoveryGroup!$A:$X,표1[[#This Row],[명칭]]),"-")</f>
        <v>4</v>
      </c>
      <c r="K1164" s="38" t="str">
        <f>IFERROR(COUNTIF([2]Town!$B:$B,표1[[#This Row],[명칭]]),"-")</f>
        <v>-</v>
      </c>
      <c r="L1164" s="38">
        <f>IFERROR(COUNTIF([1]Village!$BR:$BR,표1[[#This Row],[명칭]]),"-")</f>
        <v>0</v>
      </c>
      <c r="M1164" s="38">
        <f>COUNTIF(퀘스트!B:B,표1[[#This Row],[명칭]])</f>
        <v>0</v>
      </c>
      <c r="N1164" s="65">
        <f>COUNTIF([1]VillageDiscoveryGroup!$C:$C,표1[[#This Row],[명칭]])</f>
        <v>0</v>
      </c>
      <c r="O1164" s="65">
        <f>SUM(표1[[#This Row],[해양탐색]:[마을탐험]])</f>
        <v>4</v>
      </c>
    </row>
    <row r="1165" spans="2:15" ht="13.5" customHeight="1" x14ac:dyDescent="0.3">
      <c r="B1165" s="9">
        <f>[1]Discovery!A1171</f>
        <v>70409245</v>
      </c>
      <c r="C1165" s="9" t="str">
        <f>[1]Discovery!B1171</f>
        <v>상괭이</v>
      </c>
      <c r="D1165" s="9" t="str">
        <f>[1]Discovery!E1171</f>
        <v>동물</v>
      </c>
      <c r="E1165" s="9" t="str">
        <f>[1]Discovery!C1171</f>
        <v>포유류</v>
      </c>
      <c r="F1165" s="9" t="str">
        <f>[1]Discovery!G1171</f>
        <v>A</v>
      </c>
      <c r="G1165" s="9" t="str">
        <f>IFERROR(VLOOKUP(표1[[#This Row],[명칭]],'문화권 정리'!C:D,2,FALSE),"-")</f>
        <v>어류</v>
      </c>
      <c r="H1165" s="38" t="str">
        <f>IFERROR(COUNTIF([2]OceanDoodad!$Y:$Y,표1[[#This Row],[명칭]]),"-")</f>
        <v>-</v>
      </c>
      <c r="I1165" s="38">
        <f>IFERROR(COUNTIF([1]AdventureDiscoveryGroup!$D$8:$AW$92,표1[[#This Row],[명칭]]),"-")</f>
        <v>0</v>
      </c>
      <c r="J1165" s="38">
        <f>IFERROR(COUNTIF([1]FishDiscoveryGroup!$A:$X,표1[[#This Row],[명칭]]),"-")</f>
        <v>4</v>
      </c>
      <c r="K1165" s="38" t="str">
        <f>IFERROR(COUNTIF([2]Town!$B:$B,표1[[#This Row],[명칭]]),"-")</f>
        <v>-</v>
      </c>
      <c r="L1165" s="38">
        <f>IFERROR(COUNTIF([1]Village!$BR:$BR,표1[[#This Row],[명칭]]),"-")</f>
        <v>0</v>
      </c>
      <c r="M1165" s="38">
        <f>COUNTIF(퀘스트!B:B,표1[[#This Row],[명칭]])</f>
        <v>0</v>
      </c>
      <c r="N1165" s="65">
        <f>COUNTIF([1]VillageDiscoveryGroup!$C:$C,표1[[#This Row],[명칭]])</f>
        <v>0</v>
      </c>
      <c r="O1165" s="65">
        <f>SUM(표1[[#This Row],[해양탐색]:[마을탐험]])</f>
        <v>4</v>
      </c>
    </row>
    <row r="1166" spans="2:15" ht="13.5" customHeight="1" x14ac:dyDescent="0.3">
      <c r="B1166" s="9">
        <f>[1]Discovery!A1172</f>
        <v>70409246</v>
      </c>
      <c r="C1166" s="9" t="str">
        <f>[1]Discovery!B1172</f>
        <v>상날치</v>
      </c>
      <c r="D1166" s="9" t="str">
        <f>[1]Discovery!E1172</f>
        <v>동물</v>
      </c>
      <c r="E1166" s="9" t="str">
        <f>[1]Discovery!C1172</f>
        <v>어류</v>
      </c>
      <c r="F1166" s="9" t="str">
        <f>[1]Discovery!G1172</f>
        <v>D</v>
      </c>
      <c r="G1166" s="9" t="str">
        <f>IFERROR(VLOOKUP(표1[[#This Row],[명칭]],'문화권 정리'!C:D,2,FALSE),"-")</f>
        <v>어류</v>
      </c>
      <c r="H1166" s="38" t="str">
        <f>IFERROR(COUNTIF([2]OceanDoodad!$Y:$Y,표1[[#This Row],[명칭]]),"-")</f>
        <v>-</v>
      </c>
      <c r="I1166" s="38">
        <f>IFERROR(COUNTIF([1]AdventureDiscoveryGroup!$D$8:$AW$92,표1[[#This Row],[명칭]]),"-")</f>
        <v>0</v>
      </c>
      <c r="J1166" s="38">
        <f>IFERROR(COUNTIF([1]FishDiscoveryGroup!$A:$X,표1[[#This Row],[명칭]]),"-")</f>
        <v>4</v>
      </c>
      <c r="K1166" s="38" t="str">
        <f>IFERROR(COUNTIF([2]Town!$B:$B,표1[[#This Row],[명칭]]),"-")</f>
        <v>-</v>
      </c>
      <c r="L1166" s="38">
        <f>IFERROR(COUNTIF([1]Village!$BR:$BR,표1[[#This Row],[명칭]]),"-")</f>
        <v>0</v>
      </c>
      <c r="M1166" s="38">
        <f>COUNTIF(퀘스트!B:B,표1[[#This Row],[명칭]])</f>
        <v>0</v>
      </c>
      <c r="N1166" s="65">
        <f>COUNTIF([1]VillageDiscoveryGroup!$C:$C,표1[[#This Row],[명칭]])</f>
        <v>0</v>
      </c>
      <c r="O1166" s="65">
        <f>SUM(표1[[#This Row],[해양탐색]:[마을탐험]])</f>
        <v>4</v>
      </c>
    </row>
    <row r="1167" spans="2:15" ht="13.5" customHeight="1" x14ac:dyDescent="0.3">
      <c r="B1167" s="9">
        <f>[1]Discovery!A1173</f>
        <v>70409247</v>
      </c>
      <c r="C1167" s="9" t="str">
        <f>[1]Discovery!B1173</f>
        <v>새가라지</v>
      </c>
      <c r="D1167" s="9" t="str">
        <f>[1]Discovery!E1173</f>
        <v>동물</v>
      </c>
      <c r="E1167" s="9" t="str">
        <f>[1]Discovery!C1173</f>
        <v>어류</v>
      </c>
      <c r="F1167" s="9" t="str">
        <f>[1]Discovery!G1173</f>
        <v>D</v>
      </c>
      <c r="G1167" s="9" t="str">
        <f>IFERROR(VLOOKUP(표1[[#This Row],[명칭]],'문화권 정리'!C:D,2,FALSE),"-")</f>
        <v>어류</v>
      </c>
      <c r="H1167" s="38" t="str">
        <f>IFERROR(COUNTIF([2]OceanDoodad!$Y:$Y,표1[[#This Row],[명칭]]),"-")</f>
        <v>-</v>
      </c>
      <c r="I1167" s="38">
        <f>IFERROR(COUNTIF([1]AdventureDiscoveryGroup!$D$8:$AW$92,표1[[#This Row],[명칭]]),"-")</f>
        <v>0</v>
      </c>
      <c r="J1167" s="38">
        <f>IFERROR(COUNTIF([1]FishDiscoveryGroup!$A:$X,표1[[#This Row],[명칭]]),"-")</f>
        <v>4</v>
      </c>
      <c r="K1167" s="38" t="str">
        <f>IFERROR(COUNTIF([2]Town!$B:$B,표1[[#This Row],[명칭]]),"-")</f>
        <v>-</v>
      </c>
      <c r="L1167" s="38">
        <f>IFERROR(COUNTIF([1]Village!$BR:$BR,표1[[#This Row],[명칭]]),"-")</f>
        <v>0</v>
      </c>
      <c r="M1167" s="38">
        <f>COUNTIF(퀘스트!B:B,표1[[#This Row],[명칭]])</f>
        <v>0</v>
      </c>
      <c r="N1167" s="65">
        <f>COUNTIF([1]VillageDiscoveryGroup!$C:$C,표1[[#This Row],[명칭]])</f>
        <v>0</v>
      </c>
      <c r="O1167" s="65">
        <f>SUM(표1[[#This Row],[해양탐색]:[마을탐험]])</f>
        <v>4</v>
      </c>
    </row>
    <row r="1168" spans="2:15" ht="13.5" customHeight="1" x14ac:dyDescent="0.3">
      <c r="B1168" s="9">
        <f>[1]Discovery!A1174</f>
        <v>70409248</v>
      </c>
      <c r="C1168" s="9" t="str">
        <f>[1]Discovery!B1174</f>
        <v>새날치</v>
      </c>
      <c r="D1168" s="9" t="str">
        <f>[1]Discovery!E1174</f>
        <v>동물</v>
      </c>
      <c r="E1168" s="9" t="str">
        <f>[1]Discovery!C1174</f>
        <v>어류</v>
      </c>
      <c r="F1168" s="9" t="str">
        <f>[1]Discovery!G1174</f>
        <v>D</v>
      </c>
      <c r="G1168" s="9" t="str">
        <f>IFERROR(VLOOKUP(표1[[#This Row],[명칭]],'문화권 정리'!C:D,2,FALSE),"-")</f>
        <v>어류</v>
      </c>
      <c r="H1168" s="38" t="str">
        <f>IFERROR(COUNTIF([2]OceanDoodad!$Y:$Y,표1[[#This Row],[명칭]]),"-")</f>
        <v>-</v>
      </c>
      <c r="I1168" s="38">
        <f>IFERROR(COUNTIF([1]AdventureDiscoveryGroup!$D$8:$AW$92,표1[[#This Row],[명칭]]),"-")</f>
        <v>0</v>
      </c>
      <c r="J1168" s="38">
        <f>IFERROR(COUNTIF([1]FishDiscoveryGroup!$A:$X,표1[[#This Row],[명칭]]),"-")</f>
        <v>4</v>
      </c>
      <c r="K1168" s="38" t="str">
        <f>IFERROR(COUNTIF([2]Town!$B:$B,표1[[#This Row],[명칭]]),"-")</f>
        <v>-</v>
      </c>
      <c r="L1168" s="38">
        <f>IFERROR(COUNTIF([1]Village!$BR:$BR,표1[[#This Row],[명칭]]),"-")</f>
        <v>0</v>
      </c>
      <c r="M1168" s="38">
        <f>COUNTIF(퀘스트!B:B,표1[[#This Row],[명칭]])</f>
        <v>0</v>
      </c>
      <c r="N1168" s="65">
        <f>COUNTIF([1]VillageDiscoveryGroup!$C:$C,표1[[#This Row],[명칭]])</f>
        <v>0</v>
      </c>
      <c r="O1168" s="65">
        <f>SUM(표1[[#This Row],[해양탐색]:[마을탐험]])</f>
        <v>4</v>
      </c>
    </row>
    <row r="1169" spans="2:15" ht="13.5" customHeight="1" x14ac:dyDescent="0.3">
      <c r="B1169" s="9">
        <f>[1]Discovery!A1175</f>
        <v>70409249</v>
      </c>
      <c r="C1169" s="9" t="str">
        <f>[1]Discovery!B1175</f>
        <v>새눈치</v>
      </c>
      <c r="D1169" s="9" t="str">
        <f>[1]Discovery!E1175</f>
        <v>동물</v>
      </c>
      <c r="E1169" s="9" t="str">
        <f>[1]Discovery!C1175</f>
        <v>어류</v>
      </c>
      <c r="F1169" s="9" t="str">
        <f>[1]Discovery!G1175</f>
        <v>D</v>
      </c>
      <c r="G1169" s="9" t="str">
        <f>IFERROR(VLOOKUP(표1[[#This Row],[명칭]],'문화권 정리'!C:D,2,FALSE),"-")</f>
        <v>어류</v>
      </c>
      <c r="H1169" s="38" t="str">
        <f>IFERROR(COUNTIF([2]OceanDoodad!$Y:$Y,표1[[#This Row],[명칭]]),"-")</f>
        <v>-</v>
      </c>
      <c r="I1169" s="38">
        <f>IFERROR(COUNTIF([1]AdventureDiscoveryGroup!$D$8:$AW$92,표1[[#This Row],[명칭]]),"-")</f>
        <v>0</v>
      </c>
      <c r="J1169" s="38">
        <f>IFERROR(COUNTIF([1]FishDiscoveryGroup!$A:$X,표1[[#This Row],[명칭]]),"-")</f>
        <v>4</v>
      </c>
      <c r="K1169" s="38" t="str">
        <f>IFERROR(COUNTIF([2]Town!$B:$B,표1[[#This Row],[명칭]]),"-")</f>
        <v>-</v>
      </c>
      <c r="L1169" s="38">
        <f>IFERROR(COUNTIF([1]Village!$BR:$BR,표1[[#This Row],[명칭]]),"-")</f>
        <v>0</v>
      </c>
      <c r="M1169" s="38">
        <f>COUNTIF(퀘스트!B:B,표1[[#This Row],[명칭]])</f>
        <v>0</v>
      </c>
      <c r="N1169" s="65">
        <f>COUNTIF([1]VillageDiscoveryGroup!$C:$C,표1[[#This Row],[명칭]])</f>
        <v>0</v>
      </c>
      <c r="O1169" s="65">
        <f>SUM(표1[[#This Row],[해양탐색]:[마을탐험]])</f>
        <v>4</v>
      </c>
    </row>
    <row r="1170" spans="2:15" ht="13.5" customHeight="1" x14ac:dyDescent="0.3">
      <c r="B1170" s="9">
        <f>[1]Discovery!A1176</f>
        <v>70409250</v>
      </c>
      <c r="C1170" s="9" t="str">
        <f>[1]Discovery!B1176</f>
        <v>새다래</v>
      </c>
      <c r="D1170" s="9" t="str">
        <f>[1]Discovery!E1176</f>
        <v>동물</v>
      </c>
      <c r="E1170" s="9" t="str">
        <f>[1]Discovery!C1176</f>
        <v>어류</v>
      </c>
      <c r="F1170" s="9" t="str">
        <f>[1]Discovery!G1176</f>
        <v>D</v>
      </c>
      <c r="G1170" s="9" t="str">
        <f>IFERROR(VLOOKUP(표1[[#This Row],[명칭]],'문화권 정리'!C:D,2,FALSE),"-")</f>
        <v>어류</v>
      </c>
      <c r="H1170" s="38" t="str">
        <f>IFERROR(COUNTIF([2]OceanDoodad!$Y:$Y,표1[[#This Row],[명칭]]),"-")</f>
        <v>-</v>
      </c>
      <c r="I1170" s="38">
        <f>IFERROR(COUNTIF([1]AdventureDiscoveryGroup!$D$8:$AW$92,표1[[#This Row],[명칭]]),"-")</f>
        <v>0</v>
      </c>
      <c r="J1170" s="38">
        <f>IFERROR(COUNTIF([1]FishDiscoveryGroup!$A:$X,표1[[#This Row],[명칭]]),"-")</f>
        <v>0</v>
      </c>
      <c r="K1170" s="38" t="str">
        <f>IFERROR(COUNTIF([2]Town!$B:$B,표1[[#This Row],[명칭]]),"-")</f>
        <v>-</v>
      </c>
      <c r="L1170" s="38">
        <f>IFERROR(COUNTIF([1]Village!$BR:$BR,표1[[#This Row],[명칭]]),"-")</f>
        <v>0</v>
      </c>
      <c r="M1170" s="38">
        <f>COUNTIF(퀘스트!B:B,표1[[#This Row],[명칭]])</f>
        <v>0</v>
      </c>
      <c r="N1170" s="65">
        <f>COUNTIF([1]VillageDiscoveryGroup!$C:$C,표1[[#This Row],[명칭]])</f>
        <v>0</v>
      </c>
      <c r="O1170" s="65">
        <f>SUM(표1[[#This Row],[해양탐색]:[마을탐험]])</f>
        <v>0</v>
      </c>
    </row>
    <row r="1171" spans="2:15" ht="13.5" customHeight="1" x14ac:dyDescent="0.3">
      <c r="B1171" s="9">
        <f>[1]Discovery!A1177</f>
        <v>70409251</v>
      </c>
      <c r="C1171" s="9" t="str">
        <f>[1]Discovery!B1177</f>
        <v>색줄멸</v>
      </c>
      <c r="D1171" s="9" t="str">
        <f>[1]Discovery!E1177</f>
        <v>동물</v>
      </c>
      <c r="E1171" s="9" t="str">
        <f>[1]Discovery!C1177</f>
        <v>어류</v>
      </c>
      <c r="F1171" s="9" t="str">
        <f>[1]Discovery!G1177</f>
        <v>D</v>
      </c>
      <c r="G1171" s="9" t="str">
        <f>IFERROR(VLOOKUP(표1[[#This Row],[명칭]],'문화권 정리'!C:D,2,FALSE),"-")</f>
        <v>어류</v>
      </c>
      <c r="H1171" s="38" t="str">
        <f>IFERROR(COUNTIF([2]OceanDoodad!$Y:$Y,표1[[#This Row],[명칭]]),"-")</f>
        <v>-</v>
      </c>
      <c r="I1171" s="38">
        <f>IFERROR(COUNTIF([1]AdventureDiscoveryGroup!$D$8:$AW$92,표1[[#This Row],[명칭]]),"-")</f>
        <v>0</v>
      </c>
      <c r="J1171" s="38">
        <f>IFERROR(COUNTIF([1]FishDiscoveryGroup!$A:$X,표1[[#This Row],[명칭]]),"-")</f>
        <v>4</v>
      </c>
      <c r="K1171" s="38" t="str">
        <f>IFERROR(COUNTIF([2]Town!$B:$B,표1[[#This Row],[명칭]]),"-")</f>
        <v>-</v>
      </c>
      <c r="L1171" s="38">
        <f>IFERROR(COUNTIF([1]Village!$BR:$BR,표1[[#This Row],[명칭]]),"-")</f>
        <v>0</v>
      </c>
      <c r="M1171" s="38">
        <f>COUNTIF(퀘스트!B:B,표1[[#This Row],[명칭]])</f>
        <v>0</v>
      </c>
      <c r="N1171" s="65">
        <f>COUNTIF([1]VillageDiscoveryGroup!$C:$C,표1[[#This Row],[명칭]])</f>
        <v>0</v>
      </c>
      <c r="O1171" s="65">
        <f>SUM(표1[[#This Row],[해양탐색]:[마을탐험]])</f>
        <v>4</v>
      </c>
    </row>
    <row r="1172" spans="2:15" ht="13.5" customHeight="1" x14ac:dyDescent="0.3">
      <c r="B1172" s="9">
        <f>[1]Discovery!A1178</f>
        <v>70409252</v>
      </c>
      <c r="C1172" s="9" t="str">
        <f>[1]Discovery!B1178</f>
        <v>샛비늘치</v>
      </c>
      <c r="D1172" s="9" t="str">
        <f>[1]Discovery!E1178</f>
        <v>동물</v>
      </c>
      <c r="E1172" s="9" t="str">
        <f>[1]Discovery!C1178</f>
        <v>어류</v>
      </c>
      <c r="F1172" s="9" t="str">
        <f>[1]Discovery!G1178</f>
        <v>C</v>
      </c>
      <c r="G1172" s="9" t="str">
        <f>IFERROR(VLOOKUP(표1[[#This Row],[명칭]],'문화권 정리'!C:D,2,FALSE),"-")</f>
        <v>어류</v>
      </c>
      <c r="H1172" s="38" t="str">
        <f>IFERROR(COUNTIF([2]OceanDoodad!$Y:$Y,표1[[#This Row],[명칭]]),"-")</f>
        <v>-</v>
      </c>
      <c r="I1172" s="38">
        <f>IFERROR(COUNTIF([1]AdventureDiscoveryGroup!$D$8:$AW$92,표1[[#This Row],[명칭]]),"-")</f>
        <v>0</v>
      </c>
      <c r="J1172" s="38">
        <f>IFERROR(COUNTIF([1]FishDiscoveryGroup!$A:$X,표1[[#This Row],[명칭]]),"-")</f>
        <v>4</v>
      </c>
      <c r="K1172" s="38" t="str">
        <f>IFERROR(COUNTIF([2]Town!$B:$B,표1[[#This Row],[명칭]]),"-")</f>
        <v>-</v>
      </c>
      <c r="L1172" s="38">
        <f>IFERROR(COUNTIF([1]Village!$BR:$BR,표1[[#This Row],[명칭]]),"-")</f>
        <v>0</v>
      </c>
      <c r="M1172" s="38">
        <f>COUNTIF(퀘스트!B:B,표1[[#This Row],[명칭]])</f>
        <v>0</v>
      </c>
      <c r="N1172" s="65">
        <f>COUNTIF([1]VillageDiscoveryGroup!$C:$C,표1[[#This Row],[명칭]])</f>
        <v>0</v>
      </c>
      <c r="O1172" s="65">
        <f>SUM(표1[[#This Row],[해양탐색]:[마을탐험]])</f>
        <v>4</v>
      </c>
    </row>
    <row r="1173" spans="2:15" ht="13.5" customHeight="1" x14ac:dyDescent="0.3">
      <c r="B1173" s="9">
        <f>[1]Discovery!A1179</f>
        <v>70409253</v>
      </c>
      <c r="C1173" s="9" t="str">
        <f>[1]Discovery!B1179</f>
        <v>선홍치</v>
      </c>
      <c r="D1173" s="9" t="str">
        <f>[1]Discovery!E1179</f>
        <v>동물</v>
      </c>
      <c r="E1173" s="9" t="str">
        <f>[1]Discovery!C1179</f>
        <v>어류</v>
      </c>
      <c r="F1173" s="9" t="str">
        <f>[1]Discovery!G1179</f>
        <v>B</v>
      </c>
      <c r="G1173" s="9" t="str">
        <f>IFERROR(VLOOKUP(표1[[#This Row],[명칭]],'문화권 정리'!C:D,2,FALSE),"-")</f>
        <v>어류</v>
      </c>
      <c r="H1173" s="38" t="str">
        <f>IFERROR(COUNTIF([2]OceanDoodad!$Y:$Y,표1[[#This Row],[명칭]]),"-")</f>
        <v>-</v>
      </c>
      <c r="I1173" s="38">
        <f>IFERROR(COUNTIF([1]AdventureDiscoveryGroup!$D$8:$AW$92,표1[[#This Row],[명칭]]),"-")</f>
        <v>0</v>
      </c>
      <c r="J1173" s="38">
        <f>IFERROR(COUNTIF([1]FishDiscoveryGroup!$A:$X,표1[[#This Row],[명칭]]),"-")</f>
        <v>4</v>
      </c>
      <c r="K1173" s="38" t="str">
        <f>IFERROR(COUNTIF([2]Town!$B:$B,표1[[#This Row],[명칭]]),"-")</f>
        <v>-</v>
      </c>
      <c r="L1173" s="38">
        <f>IFERROR(COUNTIF([1]Village!$BR:$BR,표1[[#This Row],[명칭]]),"-")</f>
        <v>0</v>
      </c>
      <c r="M1173" s="38">
        <f>COUNTIF(퀘스트!B:B,표1[[#This Row],[명칭]])</f>
        <v>0</v>
      </c>
      <c r="N1173" s="65">
        <f>COUNTIF([1]VillageDiscoveryGroup!$C:$C,표1[[#This Row],[명칭]])</f>
        <v>0</v>
      </c>
      <c r="O1173" s="65">
        <f>SUM(표1[[#This Row],[해양탐색]:[마을탐험]])</f>
        <v>4</v>
      </c>
    </row>
    <row r="1174" spans="2:15" ht="13.5" customHeight="1" x14ac:dyDescent="0.3">
      <c r="B1174" s="9">
        <f>[1]Discovery!A1180</f>
        <v>70409254</v>
      </c>
      <c r="C1174" s="9" t="str">
        <f>[1]Discovery!B1180</f>
        <v>세동가리돔</v>
      </c>
      <c r="D1174" s="9" t="str">
        <f>[1]Discovery!E1180</f>
        <v>동물</v>
      </c>
      <c r="E1174" s="9" t="str">
        <f>[1]Discovery!C1180</f>
        <v>어류</v>
      </c>
      <c r="F1174" s="9" t="str">
        <f>[1]Discovery!G1180</f>
        <v>B</v>
      </c>
      <c r="G1174" s="9" t="str">
        <f>IFERROR(VLOOKUP(표1[[#This Row],[명칭]],'문화권 정리'!C:D,2,FALSE),"-")</f>
        <v>어류</v>
      </c>
      <c r="H1174" s="38" t="str">
        <f>IFERROR(COUNTIF([2]OceanDoodad!$Y:$Y,표1[[#This Row],[명칭]]),"-")</f>
        <v>-</v>
      </c>
      <c r="I1174" s="38">
        <f>IFERROR(COUNTIF([1]AdventureDiscoveryGroup!$D$8:$AW$92,표1[[#This Row],[명칭]]),"-")</f>
        <v>0</v>
      </c>
      <c r="J1174" s="38">
        <f>IFERROR(COUNTIF([1]FishDiscoveryGroup!$A:$X,표1[[#This Row],[명칭]]),"-")</f>
        <v>4</v>
      </c>
      <c r="K1174" s="38" t="str">
        <f>IFERROR(COUNTIF([2]Town!$B:$B,표1[[#This Row],[명칭]]),"-")</f>
        <v>-</v>
      </c>
      <c r="L1174" s="38">
        <f>IFERROR(COUNTIF([1]Village!$BR:$BR,표1[[#This Row],[명칭]]),"-")</f>
        <v>0</v>
      </c>
      <c r="M1174" s="38">
        <f>COUNTIF(퀘스트!B:B,표1[[#This Row],[명칭]])</f>
        <v>0</v>
      </c>
      <c r="N1174" s="65">
        <f>COUNTIF([1]VillageDiscoveryGroup!$C:$C,표1[[#This Row],[명칭]])</f>
        <v>0</v>
      </c>
      <c r="O1174" s="65">
        <f>SUM(표1[[#This Row],[해양탐색]:[마을탐험]])</f>
        <v>4</v>
      </c>
    </row>
    <row r="1175" spans="2:15" ht="13.5" customHeight="1" x14ac:dyDescent="0.3">
      <c r="B1175" s="9">
        <f>[1]Discovery!A1181</f>
        <v>70409255</v>
      </c>
      <c r="C1175" s="9" t="str">
        <f>[1]Discovery!B1181</f>
        <v>소라고둥</v>
      </c>
      <c r="D1175" s="9" t="str">
        <f>[1]Discovery!E1181</f>
        <v>동물</v>
      </c>
      <c r="E1175" s="9" t="str">
        <f>[1]Discovery!C1181</f>
        <v>무척추동물</v>
      </c>
      <c r="F1175" s="9" t="str">
        <f>[1]Discovery!G1181</f>
        <v>C</v>
      </c>
      <c r="G1175" s="9" t="str">
        <f>IFERROR(VLOOKUP(표1[[#This Row],[명칭]],'문화권 정리'!C:D,2,FALSE),"-")</f>
        <v>어류</v>
      </c>
      <c r="H1175" s="38" t="str">
        <f>IFERROR(COUNTIF([2]OceanDoodad!$Y:$Y,표1[[#This Row],[명칭]]),"-")</f>
        <v>-</v>
      </c>
      <c r="I1175" s="38">
        <f>IFERROR(COUNTIF([1]AdventureDiscoveryGroup!$D$8:$AW$92,표1[[#This Row],[명칭]]),"-")</f>
        <v>0</v>
      </c>
      <c r="J1175" s="38">
        <f>IFERROR(COUNTIF([1]FishDiscoveryGroup!$A:$X,표1[[#This Row],[명칭]]),"-")</f>
        <v>0</v>
      </c>
      <c r="K1175" s="38" t="str">
        <f>IFERROR(COUNTIF([2]Town!$B:$B,표1[[#This Row],[명칭]]),"-")</f>
        <v>-</v>
      </c>
      <c r="L1175" s="38">
        <f>IFERROR(COUNTIF([1]Village!$BR:$BR,표1[[#This Row],[명칭]]),"-")</f>
        <v>0</v>
      </c>
      <c r="M1175" s="38">
        <f>COUNTIF(퀘스트!B:B,표1[[#This Row],[명칭]])</f>
        <v>0</v>
      </c>
      <c r="N1175" s="65">
        <f>COUNTIF([1]VillageDiscoveryGroup!$C:$C,표1[[#This Row],[명칭]])</f>
        <v>0</v>
      </c>
      <c r="O1175" s="65">
        <f>SUM(표1[[#This Row],[해양탐색]:[마을탐험]])</f>
        <v>0</v>
      </c>
    </row>
    <row r="1176" spans="2:15" ht="13.5" customHeight="1" x14ac:dyDescent="0.3">
      <c r="B1176" s="9">
        <f>[1]Discovery!A1182</f>
        <v>70409256</v>
      </c>
      <c r="C1176" s="9" t="str">
        <f>[1]Discovery!B1182</f>
        <v>송어</v>
      </c>
      <c r="D1176" s="9" t="str">
        <f>[1]Discovery!E1182</f>
        <v>동물</v>
      </c>
      <c r="E1176" s="9" t="str">
        <f>[1]Discovery!C1182</f>
        <v>어류</v>
      </c>
      <c r="F1176" s="9" t="str">
        <f>[1]Discovery!G1182</f>
        <v>D</v>
      </c>
      <c r="G1176" s="9" t="str">
        <f>IFERROR(VLOOKUP(표1[[#This Row],[명칭]],'문화권 정리'!C:D,2,FALSE),"-")</f>
        <v>어류</v>
      </c>
      <c r="H1176" s="38" t="str">
        <f>IFERROR(COUNTIF([2]OceanDoodad!$Y:$Y,표1[[#This Row],[명칭]]),"-")</f>
        <v>-</v>
      </c>
      <c r="I1176" s="38">
        <f>IFERROR(COUNTIF([1]AdventureDiscoveryGroup!$D$8:$AW$92,표1[[#This Row],[명칭]]),"-")</f>
        <v>0</v>
      </c>
      <c r="J1176" s="38">
        <f>IFERROR(COUNTIF([1]FishDiscoveryGroup!$A:$X,표1[[#This Row],[명칭]]),"-")</f>
        <v>4</v>
      </c>
      <c r="K1176" s="38" t="str">
        <f>IFERROR(COUNTIF([2]Town!$B:$B,표1[[#This Row],[명칭]]),"-")</f>
        <v>-</v>
      </c>
      <c r="L1176" s="38">
        <f>IFERROR(COUNTIF([1]Village!$BR:$BR,표1[[#This Row],[명칭]]),"-")</f>
        <v>0</v>
      </c>
      <c r="M1176" s="38">
        <f>COUNTIF(퀘스트!B:B,표1[[#This Row],[명칭]])</f>
        <v>0</v>
      </c>
      <c r="N1176" s="65">
        <f>COUNTIF([1]VillageDiscoveryGroup!$C:$C,표1[[#This Row],[명칭]])</f>
        <v>0</v>
      </c>
      <c r="O1176" s="65">
        <f>SUM(표1[[#This Row],[해양탐색]:[마을탐험]])</f>
        <v>4</v>
      </c>
    </row>
    <row r="1177" spans="2:15" ht="13.5" customHeight="1" x14ac:dyDescent="0.3">
      <c r="B1177" s="9">
        <f>[1]Discovery!A1183</f>
        <v>70409257</v>
      </c>
      <c r="C1177" s="9" t="str">
        <f>[1]Discovery!B1183</f>
        <v>수염상어</v>
      </c>
      <c r="D1177" s="9" t="str">
        <f>[1]Discovery!E1183</f>
        <v>동물</v>
      </c>
      <c r="E1177" s="9" t="str">
        <f>[1]Discovery!C1183</f>
        <v>어류</v>
      </c>
      <c r="F1177" s="9" t="str">
        <f>[1]Discovery!G1183</f>
        <v>S</v>
      </c>
      <c r="G1177" s="9" t="str">
        <f>IFERROR(VLOOKUP(표1[[#This Row],[명칭]],'문화권 정리'!C:D,2,FALSE),"-")</f>
        <v>어류</v>
      </c>
      <c r="H1177" s="38" t="str">
        <f>IFERROR(COUNTIF([2]OceanDoodad!$Y:$Y,표1[[#This Row],[명칭]]),"-")</f>
        <v>-</v>
      </c>
      <c r="I1177" s="38">
        <f>IFERROR(COUNTIF([1]AdventureDiscoveryGroup!$D$8:$AW$92,표1[[#This Row],[명칭]]),"-")</f>
        <v>0</v>
      </c>
      <c r="J1177" s="38">
        <f>IFERROR(COUNTIF([1]FishDiscoveryGroup!$A:$X,표1[[#This Row],[명칭]]),"-")</f>
        <v>4</v>
      </c>
      <c r="K1177" s="38" t="str">
        <f>IFERROR(COUNTIF([2]Town!$B:$B,표1[[#This Row],[명칭]]),"-")</f>
        <v>-</v>
      </c>
      <c r="L1177" s="38">
        <f>IFERROR(COUNTIF([1]Village!$BR:$BR,표1[[#This Row],[명칭]]),"-")</f>
        <v>0</v>
      </c>
      <c r="M1177" s="38">
        <f>COUNTIF(퀘스트!B:B,표1[[#This Row],[명칭]])</f>
        <v>0</v>
      </c>
      <c r="N1177" s="65">
        <f>COUNTIF([1]VillageDiscoveryGroup!$C:$C,표1[[#This Row],[명칭]])</f>
        <v>0</v>
      </c>
      <c r="O1177" s="65">
        <f>SUM(표1[[#This Row],[해양탐색]:[마을탐험]])</f>
        <v>4</v>
      </c>
    </row>
    <row r="1178" spans="2:15" ht="13.5" customHeight="1" x14ac:dyDescent="0.3">
      <c r="B1178" s="9">
        <f>[1]Discovery!A1184</f>
        <v>70409258</v>
      </c>
      <c r="C1178" s="9" t="str">
        <f>[1]Discovery!B1184</f>
        <v>술전갱이</v>
      </c>
      <c r="D1178" s="9" t="str">
        <f>[1]Discovery!E1184</f>
        <v>동물</v>
      </c>
      <c r="E1178" s="9" t="str">
        <f>[1]Discovery!C1184</f>
        <v>어류</v>
      </c>
      <c r="F1178" s="9" t="str">
        <f>[1]Discovery!G1184</f>
        <v>S</v>
      </c>
      <c r="G1178" s="9" t="str">
        <f>IFERROR(VLOOKUP(표1[[#This Row],[명칭]],'문화권 정리'!C:D,2,FALSE),"-")</f>
        <v>어류</v>
      </c>
      <c r="H1178" s="38" t="str">
        <f>IFERROR(COUNTIF([2]OceanDoodad!$Y:$Y,표1[[#This Row],[명칭]]),"-")</f>
        <v>-</v>
      </c>
      <c r="I1178" s="38">
        <f>IFERROR(COUNTIF([1]AdventureDiscoveryGroup!$D$8:$AW$92,표1[[#This Row],[명칭]]),"-")</f>
        <v>0</v>
      </c>
      <c r="J1178" s="38">
        <f>IFERROR(COUNTIF([1]FishDiscoveryGroup!$A:$X,표1[[#This Row],[명칭]]),"-")</f>
        <v>0</v>
      </c>
      <c r="K1178" s="38" t="str">
        <f>IFERROR(COUNTIF([2]Town!$B:$B,표1[[#This Row],[명칭]]),"-")</f>
        <v>-</v>
      </c>
      <c r="L1178" s="38">
        <f>IFERROR(COUNTIF([1]Village!$BR:$BR,표1[[#This Row],[명칭]]),"-")</f>
        <v>0</v>
      </c>
      <c r="M1178" s="38">
        <f>COUNTIF(퀘스트!B:B,표1[[#This Row],[명칭]])</f>
        <v>0</v>
      </c>
      <c r="N1178" s="65">
        <f>COUNTIF([1]VillageDiscoveryGroup!$C:$C,표1[[#This Row],[명칭]])</f>
        <v>0</v>
      </c>
      <c r="O1178" s="65">
        <f>SUM(표1[[#This Row],[해양탐색]:[마을탐험]])</f>
        <v>0</v>
      </c>
    </row>
    <row r="1179" spans="2:15" ht="13.5" customHeight="1" x14ac:dyDescent="0.3">
      <c r="B1179" s="9">
        <f>[1]Discovery!A1185</f>
        <v>70409259</v>
      </c>
      <c r="C1179" s="9" t="str">
        <f>[1]Discovery!B1185</f>
        <v>숭어</v>
      </c>
      <c r="D1179" s="9" t="str">
        <f>[1]Discovery!E1185</f>
        <v>동물</v>
      </c>
      <c r="E1179" s="9" t="str">
        <f>[1]Discovery!C1185</f>
        <v>어류</v>
      </c>
      <c r="F1179" s="9" t="str">
        <f>[1]Discovery!G1185</f>
        <v>D</v>
      </c>
      <c r="G1179" s="9" t="str">
        <f>IFERROR(VLOOKUP(표1[[#This Row],[명칭]],'문화권 정리'!C:D,2,FALSE),"-")</f>
        <v>어류</v>
      </c>
      <c r="H1179" s="38" t="str">
        <f>IFERROR(COUNTIF([2]OceanDoodad!$Y:$Y,표1[[#This Row],[명칭]]),"-")</f>
        <v>-</v>
      </c>
      <c r="I1179" s="38">
        <f>IFERROR(COUNTIF([1]AdventureDiscoveryGroup!$D$8:$AW$92,표1[[#This Row],[명칭]]),"-")</f>
        <v>0</v>
      </c>
      <c r="J1179" s="38">
        <f>IFERROR(COUNTIF([1]FishDiscoveryGroup!$A:$X,표1[[#This Row],[명칭]]),"-")</f>
        <v>4</v>
      </c>
      <c r="K1179" s="38" t="str">
        <f>IFERROR(COUNTIF([2]Town!$B:$B,표1[[#This Row],[명칭]]),"-")</f>
        <v>-</v>
      </c>
      <c r="L1179" s="38">
        <f>IFERROR(COUNTIF([1]Village!$BR:$BR,표1[[#This Row],[명칭]]),"-")</f>
        <v>0</v>
      </c>
      <c r="M1179" s="38">
        <f>COUNTIF(퀘스트!B:B,표1[[#This Row],[명칭]])</f>
        <v>0</v>
      </c>
      <c r="N1179" s="65">
        <f>COUNTIF([1]VillageDiscoveryGroup!$C:$C,표1[[#This Row],[명칭]])</f>
        <v>0</v>
      </c>
      <c r="O1179" s="65">
        <f>SUM(표1[[#This Row],[해양탐색]:[마을탐험]])</f>
        <v>4</v>
      </c>
    </row>
    <row r="1180" spans="2:15" ht="13.5" customHeight="1" x14ac:dyDescent="0.3">
      <c r="B1180" s="9">
        <f>[1]Discovery!A1186</f>
        <v>70409260</v>
      </c>
      <c r="C1180" s="9" t="str">
        <f>[1]Discovery!B1186</f>
        <v>쉬리</v>
      </c>
      <c r="D1180" s="9" t="str">
        <f>[1]Discovery!E1186</f>
        <v>동물</v>
      </c>
      <c r="E1180" s="9" t="str">
        <f>[1]Discovery!C1186</f>
        <v>어류</v>
      </c>
      <c r="F1180" s="9" t="str">
        <f>[1]Discovery!G1186</f>
        <v>D</v>
      </c>
      <c r="G1180" s="9" t="str">
        <f>IFERROR(VLOOKUP(표1[[#This Row],[명칭]],'문화권 정리'!C:D,2,FALSE),"-")</f>
        <v>어류</v>
      </c>
      <c r="H1180" s="38" t="str">
        <f>IFERROR(COUNTIF([2]OceanDoodad!$Y:$Y,표1[[#This Row],[명칭]]),"-")</f>
        <v>-</v>
      </c>
      <c r="I1180" s="38">
        <f>IFERROR(COUNTIF([1]AdventureDiscoveryGroup!$D$8:$AW$92,표1[[#This Row],[명칭]]),"-")</f>
        <v>0</v>
      </c>
      <c r="J1180" s="38">
        <f>IFERROR(COUNTIF([1]FishDiscoveryGroup!$A:$X,표1[[#This Row],[명칭]]),"-")</f>
        <v>0</v>
      </c>
      <c r="K1180" s="38" t="str">
        <f>IFERROR(COUNTIF([2]Town!$B:$B,표1[[#This Row],[명칭]]),"-")</f>
        <v>-</v>
      </c>
      <c r="L1180" s="38">
        <f>IFERROR(COUNTIF([1]Village!$BR:$BR,표1[[#This Row],[명칭]]),"-")</f>
        <v>0</v>
      </c>
      <c r="M1180" s="38">
        <f>COUNTIF(퀘스트!B:B,표1[[#This Row],[명칭]])</f>
        <v>0</v>
      </c>
      <c r="N1180" s="65">
        <f>COUNTIF([1]VillageDiscoveryGroup!$C:$C,표1[[#This Row],[명칭]])</f>
        <v>0</v>
      </c>
      <c r="O1180" s="65">
        <f>SUM(표1[[#This Row],[해양탐색]:[마을탐험]])</f>
        <v>0</v>
      </c>
    </row>
    <row r="1181" spans="2:15" ht="13.5" customHeight="1" x14ac:dyDescent="0.3">
      <c r="B1181" s="9">
        <f>[1]Discovery!A1187</f>
        <v>70409261</v>
      </c>
      <c r="C1181" s="9" t="str">
        <f>[1]Discovery!B1187</f>
        <v>스쿼럴피쉬</v>
      </c>
      <c r="D1181" s="9" t="str">
        <f>[1]Discovery!E1187</f>
        <v>동물</v>
      </c>
      <c r="E1181" s="9" t="str">
        <f>[1]Discovery!C1187</f>
        <v>어류</v>
      </c>
      <c r="F1181" s="9" t="str">
        <f>[1]Discovery!G1187</f>
        <v>S</v>
      </c>
      <c r="G1181" s="9" t="str">
        <f>IFERROR(VLOOKUP(표1[[#This Row],[명칭]],'문화권 정리'!C:D,2,FALSE),"-")</f>
        <v>어류</v>
      </c>
      <c r="H1181" s="38" t="str">
        <f>IFERROR(COUNTIF([2]OceanDoodad!$Y:$Y,표1[[#This Row],[명칭]]),"-")</f>
        <v>-</v>
      </c>
      <c r="I1181" s="38">
        <f>IFERROR(COUNTIF([1]AdventureDiscoveryGroup!$D$8:$AW$92,표1[[#This Row],[명칭]]),"-")</f>
        <v>0</v>
      </c>
      <c r="J1181" s="38">
        <f>IFERROR(COUNTIF([1]FishDiscoveryGroup!$A:$X,표1[[#This Row],[명칭]]),"-")</f>
        <v>1</v>
      </c>
      <c r="K1181" s="38" t="str">
        <f>IFERROR(COUNTIF([2]Town!$B:$B,표1[[#This Row],[명칭]]),"-")</f>
        <v>-</v>
      </c>
      <c r="L1181" s="38">
        <f>IFERROR(COUNTIF([1]Village!$BR:$BR,표1[[#This Row],[명칭]]),"-")</f>
        <v>0</v>
      </c>
      <c r="M1181" s="38">
        <f>COUNTIF(퀘스트!B:B,표1[[#This Row],[명칭]])</f>
        <v>0</v>
      </c>
      <c r="N1181" s="65">
        <f>COUNTIF([1]VillageDiscoveryGroup!$C:$C,표1[[#This Row],[명칭]])</f>
        <v>0</v>
      </c>
      <c r="O1181" s="65">
        <f>SUM(표1[[#This Row],[해양탐색]:[마을탐험]])</f>
        <v>1</v>
      </c>
    </row>
    <row r="1182" spans="2:15" ht="13.5" customHeight="1" x14ac:dyDescent="0.3">
      <c r="B1182" s="9">
        <f>[1]Discovery!A1188</f>
        <v>70409262</v>
      </c>
      <c r="C1182" s="9" t="str">
        <f>[1]Discovery!B1188</f>
        <v>스텔러바다소</v>
      </c>
      <c r="D1182" s="9" t="str">
        <f>[1]Discovery!E1188</f>
        <v>동물</v>
      </c>
      <c r="E1182" s="9" t="str">
        <f>[1]Discovery!C1188</f>
        <v>포유류</v>
      </c>
      <c r="F1182" s="9" t="str">
        <f>[1]Discovery!G1188</f>
        <v>B</v>
      </c>
      <c r="G1182" s="9" t="str">
        <f>IFERROR(VLOOKUP(표1[[#This Row],[명칭]],'문화권 정리'!C:D,2,FALSE),"-")</f>
        <v>어류</v>
      </c>
      <c r="H1182" s="38" t="str">
        <f>IFERROR(COUNTIF([2]OceanDoodad!$Y:$Y,표1[[#This Row],[명칭]]),"-")</f>
        <v>-</v>
      </c>
      <c r="I1182" s="38">
        <f>IFERROR(COUNTIF([1]AdventureDiscoveryGroup!$D$8:$AW$92,표1[[#This Row],[명칭]]),"-")</f>
        <v>0</v>
      </c>
      <c r="J1182" s="38">
        <f>IFERROR(COUNTIF([1]FishDiscoveryGroup!$A:$X,표1[[#This Row],[명칭]]),"-")</f>
        <v>8</v>
      </c>
      <c r="K1182" s="38" t="str">
        <f>IFERROR(COUNTIF([2]Town!$B:$B,표1[[#This Row],[명칭]]),"-")</f>
        <v>-</v>
      </c>
      <c r="L1182" s="38">
        <f>IFERROR(COUNTIF([1]Village!$BR:$BR,표1[[#This Row],[명칭]]),"-")</f>
        <v>0</v>
      </c>
      <c r="M1182" s="38">
        <f>COUNTIF(퀘스트!B:B,표1[[#This Row],[명칭]])</f>
        <v>0</v>
      </c>
      <c r="N1182" s="65">
        <f>COUNTIF([1]VillageDiscoveryGroup!$C:$C,표1[[#This Row],[명칭]])</f>
        <v>0</v>
      </c>
      <c r="O1182" s="65">
        <f>SUM(표1[[#This Row],[해양탐색]:[마을탐험]])</f>
        <v>8</v>
      </c>
    </row>
    <row r="1183" spans="2:15" ht="13.5" customHeight="1" x14ac:dyDescent="0.3">
      <c r="B1183" s="9">
        <f>[1]Discovery!A1189</f>
        <v>70409263</v>
      </c>
      <c r="C1183" s="9" t="str">
        <f>[1]Discovery!B1189</f>
        <v>실러캔스</v>
      </c>
      <c r="D1183" s="9" t="str">
        <f>[1]Discovery!E1189</f>
        <v>동물</v>
      </c>
      <c r="E1183" s="9" t="str">
        <f>[1]Discovery!C1189</f>
        <v>어류</v>
      </c>
      <c r="F1183" s="9" t="str">
        <f>[1]Discovery!G1189</f>
        <v>S</v>
      </c>
      <c r="G1183" s="9" t="str">
        <f>IFERROR(VLOOKUP(표1[[#This Row],[명칭]],'문화권 정리'!C:D,2,FALSE),"-")</f>
        <v>어류</v>
      </c>
      <c r="H1183" s="38" t="str">
        <f>IFERROR(COUNTIF([2]OceanDoodad!$Y:$Y,표1[[#This Row],[명칭]]),"-")</f>
        <v>-</v>
      </c>
      <c r="I1183" s="38">
        <f>IFERROR(COUNTIF([1]AdventureDiscoveryGroup!$D$8:$AW$92,표1[[#This Row],[명칭]]),"-")</f>
        <v>0</v>
      </c>
      <c r="J1183" s="38">
        <f>IFERROR(COUNTIF([1]FishDiscoveryGroup!$A:$X,표1[[#This Row],[명칭]]),"-")</f>
        <v>1</v>
      </c>
      <c r="K1183" s="38" t="str">
        <f>IFERROR(COUNTIF([2]Town!$B:$B,표1[[#This Row],[명칭]]),"-")</f>
        <v>-</v>
      </c>
      <c r="L1183" s="38">
        <f>IFERROR(COUNTIF([1]Village!$BR:$BR,표1[[#This Row],[명칭]]),"-")</f>
        <v>0</v>
      </c>
      <c r="M1183" s="38">
        <f>COUNTIF(퀘스트!B:B,표1[[#This Row],[명칭]])</f>
        <v>1</v>
      </c>
      <c r="N1183" s="65">
        <f>COUNTIF([1]VillageDiscoveryGroup!$C:$C,표1[[#This Row],[명칭]])</f>
        <v>0</v>
      </c>
      <c r="O1183" s="65">
        <f>SUM(표1[[#This Row],[해양탐색]:[마을탐험]])</f>
        <v>2</v>
      </c>
    </row>
    <row r="1184" spans="2:15" ht="13.5" customHeight="1" x14ac:dyDescent="0.3">
      <c r="B1184" s="9">
        <f>[1]Discovery!A1190</f>
        <v>70409264</v>
      </c>
      <c r="C1184" s="9" t="str">
        <f>[1]Discovery!B1190</f>
        <v>실망둑</v>
      </c>
      <c r="D1184" s="9" t="str">
        <f>[1]Discovery!E1190</f>
        <v>동물</v>
      </c>
      <c r="E1184" s="9" t="str">
        <f>[1]Discovery!C1190</f>
        <v>어류</v>
      </c>
      <c r="F1184" s="9" t="str">
        <f>[1]Discovery!G1190</f>
        <v>C</v>
      </c>
      <c r="G1184" s="9" t="str">
        <f>IFERROR(VLOOKUP(표1[[#This Row],[명칭]],'문화권 정리'!C:D,2,FALSE),"-")</f>
        <v>어류</v>
      </c>
      <c r="H1184" s="38" t="str">
        <f>IFERROR(COUNTIF([2]OceanDoodad!$Y:$Y,표1[[#This Row],[명칭]]),"-")</f>
        <v>-</v>
      </c>
      <c r="I1184" s="38">
        <f>IFERROR(COUNTIF([1]AdventureDiscoveryGroup!$D$8:$AW$92,표1[[#This Row],[명칭]]),"-")</f>
        <v>0</v>
      </c>
      <c r="J1184" s="38">
        <f>IFERROR(COUNTIF([1]FishDiscoveryGroup!$A:$X,표1[[#This Row],[명칭]]),"-")</f>
        <v>8</v>
      </c>
      <c r="K1184" s="38" t="str">
        <f>IFERROR(COUNTIF([2]Town!$B:$B,표1[[#This Row],[명칭]]),"-")</f>
        <v>-</v>
      </c>
      <c r="L1184" s="38">
        <f>IFERROR(COUNTIF([1]Village!$BR:$BR,표1[[#This Row],[명칭]]),"-")</f>
        <v>0</v>
      </c>
      <c r="M1184" s="38">
        <f>COUNTIF(퀘스트!B:B,표1[[#This Row],[명칭]])</f>
        <v>0</v>
      </c>
      <c r="N1184" s="65">
        <f>COUNTIF([1]VillageDiscoveryGroup!$C:$C,표1[[#This Row],[명칭]])</f>
        <v>0</v>
      </c>
      <c r="O1184" s="65">
        <f>SUM(표1[[#This Row],[해양탐색]:[마을탐험]])</f>
        <v>8</v>
      </c>
    </row>
    <row r="1185" spans="2:15" ht="13.5" customHeight="1" x14ac:dyDescent="0.3">
      <c r="B1185" s="9">
        <f>[1]Discovery!A1191</f>
        <v>70409265</v>
      </c>
      <c r="C1185" s="9" t="str">
        <f>[1]Discovery!B1191</f>
        <v>실붉돔</v>
      </c>
      <c r="D1185" s="9" t="str">
        <f>[1]Discovery!E1191</f>
        <v>동물</v>
      </c>
      <c r="E1185" s="9" t="str">
        <f>[1]Discovery!C1191</f>
        <v>어류</v>
      </c>
      <c r="F1185" s="9" t="str">
        <f>[1]Discovery!G1191</f>
        <v>D</v>
      </c>
      <c r="G1185" s="9" t="str">
        <f>IFERROR(VLOOKUP(표1[[#This Row],[명칭]],'문화권 정리'!C:D,2,FALSE),"-")</f>
        <v>어류</v>
      </c>
      <c r="H1185" s="38" t="str">
        <f>IFERROR(COUNTIF([2]OceanDoodad!$Y:$Y,표1[[#This Row],[명칭]]),"-")</f>
        <v>-</v>
      </c>
      <c r="I1185" s="38">
        <f>IFERROR(COUNTIF([1]AdventureDiscoveryGroup!$D$8:$AW$92,표1[[#This Row],[명칭]]),"-")</f>
        <v>0</v>
      </c>
      <c r="J1185" s="38">
        <f>IFERROR(COUNTIF([1]FishDiscoveryGroup!$A:$X,표1[[#This Row],[명칭]]),"-")</f>
        <v>4</v>
      </c>
      <c r="K1185" s="38" t="str">
        <f>IFERROR(COUNTIF([2]Town!$B:$B,표1[[#This Row],[명칭]]),"-")</f>
        <v>-</v>
      </c>
      <c r="L1185" s="38">
        <f>IFERROR(COUNTIF([1]Village!$BR:$BR,표1[[#This Row],[명칭]]),"-")</f>
        <v>0</v>
      </c>
      <c r="M1185" s="38">
        <f>COUNTIF(퀘스트!B:B,표1[[#This Row],[명칭]])</f>
        <v>0</v>
      </c>
      <c r="N1185" s="65">
        <f>COUNTIF([1]VillageDiscoveryGroup!$C:$C,표1[[#This Row],[명칭]])</f>
        <v>0</v>
      </c>
      <c r="O1185" s="65">
        <f>SUM(표1[[#This Row],[해양탐색]:[마을탐험]])</f>
        <v>4</v>
      </c>
    </row>
    <row r="1186" spans="2:15" ht="13.5" customHeight="1" x14ac:dyDescent="0.3">
      <c r="B1186" s="9">
        <f>[1]Discovery!A1192</f>
        <v>70409266</v>
      </c>
      <c r="C1186" s="9" t="str">
        <f>[1]Discovery!B1192</f>
        <v>실전갱이</v>
      </c>
      <c r="D1186" s="9" t="str">
        <f>[1]Discovery!E1192</f>
        <v>동물</v>
      </c>
      <c r="E1186" s="9" t="str">
        <f>[1]Discovery!C1192</f>
        <v>어류</v>
      </c>
      <c r="F1186" s="9" t="str">
        <f>[1]Discovery!G1192</f>
        <v>D</v>
      </c>
      <c r="G1186" s="9" t="str">
        <f>IFERROR(VLOOKUP(표1[[#This Row],[명칭]],'문화권 정리'!C:D,2,FALSE),"-")</f>
        <v>어류</v>
      </c>
      <c r="H1186" s="38" t="str">
        <f>IFERROR(COUNTIF([2]OceanDoodad!$Y:$Y,표1[[#This Row],[명칭]]),"-")</f>
        <v>-</v>
      </c>
      <c r="I1186" s="38">
        <f>IFERROR(COUNTIF([1]AdventureDiscoveryGroup!$D$8:$AW$92,표1[[#This Row],[명칭]]),"-")</f>
        <v>0</v>
      </c>
      <c r="J1186" s="38">
        <f>IFERROR(COUNTIF([1]FishDiscoveryGroup!$A:$X,표1[[#This Row],[명칭]]),"-")</f>
        <v>0</v>
      </c>
      <c r="K1186" s="38" t="str">
        <f>IFERROR(COUNTIF([2]Town!$B:$B,표1[[#This Row],[명칭]]),"-")</f>
        <v>-</v>
      </c>
      <c r="L1186" s="38">
        <f>IFERROR(COUNTIF([1]Village!$BR:$BR,표1[[#This Row],[명칭]]),"-")</f>
        <v>0</v>
      </c>
      <c r="M1186" s="38">
        <f>COUNTIF(퀘스트!B:B,표1[[#This Row],[명칭]])</f>
        <v>0</v>
      </c>
      <c r="N1186" s="65">
        <f>COUNTIF([1]VillageDiscoveryGroup!$C:$C,표1[[#This Row],[명칭]])</f>
        <v>0</v>
      </c>
      <c r="O1186" s="65">
        <f>SUM(표1[[#This Row],[해양탐색]:[마을탐험]])</f>
        <v>0</v>
      </c>
    </row>
    <row r="1187" spans="2:15" ht="13.5" customHeight="1" x14ac:dyDescent="0.3">
      <c r="B1187" s="9">
        <f>[1]Discovery!A1193</f>
        <v>70409267</v>
      </c>
      <c r="C1187" s="9" t="str">
        <f>[1]Discovery!B1193</f>
        <v>쏠배감펭</v>
      </c>
      <c r="D1187" s="9" t="str">
        <f>[1]Discovery!E1193</f>
        <v>동물</v>
      </c>
      <c r="E1187" s="9" t="str">
        <f>[1]Discovery!C1193</f>
        <v>어류</v>
      </c>
      <c r="F1187" s="9" t="str">
        <f>[1]Discovery!G1193</f>
        <v>A</v>
      </c>
      <c r="G1187" s="9" t="str">
        <f>IFERROR(VLOOKUP(표1[[#This Row],[명칭]],'문화권 정리'!C:D,2,FALSE),"-")</f>
        <v>어류</v>
      </c>
      <c r="H1187" s="38" t="str">
        <f>IFERROR(COUNTIF([2]OceanDoodad!$Y:$Y,표1[[#This Row],[명칭]]),"-")</f>
        <v>-</v>
      </c>
      <c r="I1187" s="38">
        <f>IFERROR(COUNTIF([1]AdventureDiscoveryGroup!$D$8:$AW$92,표1[[#This Row],[명칭]]),"-")</f>
        <v>0</v>
      </c>
      <c r="J1187" s="38">
        <f>IFERROR(COUNTIF([1]FishDiscoveryGroup!$A:$X,표1[[#This Row],[명칭]]),"-")</f>
        <v>4</v>
      </c>
      <c r="K1187" s="38" t="str">
        <f>IFERROR(COUNTIF([2]Town!$B:$B,표1[[#This Row],[명칭]]),"-")</f>
        <v>-</v>
      </c>
      <c r="L1187" s="38">
        <f>IFERROR(COUNTIF([1]Village!$BR:$BR,표1[[#This Row],[명칭]]),"-")</f>
        <v>0</v>
      </c>
      <c r="M1187" s="38">
        <f>COUNTIF(퀘스트!B:B,표1[[#This Row],[명칭]])</f>
        <v>0</v>
      </c>
      <c r="N1187" s="65">
        <f>COUNTIF([1]VillageDiscoveryGroup!$C:$C,표1[[#This Row],[명칭]])</f>
        <v>0</v>
      </c>
      <c r="O1187" s="65">
        <f>SUM(표1[[#This Row],[해양탐색]:[마을탐험]])</f>
        <v>4</v>
      </c>
    </row>
    <row r="1188" spans="2:15" ht="13.5" customHeight="1" x14ac:dyDescent="0.3">
      <c r="B1188" s="9">
        <f>[1]Discovery!A1194</f>
        <v>70409268</v>
      </c>
      <c r="C1188" s="9" t="str">
        <f>[1]Discovery!B1194</f>
        <v>쏠종개</v>
      </c>
      <c r="D1188" s="9" t="str">
        <f>[1]Discovery!E1194</f>
        <v>동물</v>
      </c>
      <c r="E1188" s="9" t="str">
        <f>[1]Discovery!C1194</f>
        <v>어류</v>
      </c>
      <c r="F1188" s="9" t="str">
        <f>[1]Discovery!G1194</f>
        <v>C</v>
      </c>
      <c r="G1188" s="9" t="str">
        <f>IFERROR(VLOOKUP(표1[[#This Row],[명칭]],'문화권 정리'!C:D,2,FALSE),"-")</f>
        <v>어류</v>
      </c>
      <c r="H1188" s="38" t="str">
        <f>IFERROR(COUNTIF([2]OceanDoodad!$Y:$Y,표1[[#This Row],[명칭]]),"-")</f>
        <v>-</v>
      </c>
      <c r="I1188" s="38">
        <f>IFERROR(COUNTIF([1]AdventureDiscoveryGroup!$D$8:$AW$92,표1[[#This Row],[명칭]]),"-")</f>
        <v>0</v>
      </c>
      <c r="J1188" s="38">
        <f>IFERROR(COUNTIF([1]FishDiscoveryGroup!$A:$X,표1[[#This Row],[명칭]]),"-")</f>
        <v>0</v>
      </c>
      <c r="K1188" s="38" t="str">
        <f>IFERROR(COUNTIF([2]Town!$B:$B,표1[[#This Row],[명칭]]),"-")</f>
        <v>-</v>
      </c>
      <c r="L1188" s="38">
        <f>IFERROR(COUNTIF([1]Village!$BR:$BR,표1[[#This Row],[명칭]]),"-")</f>
        <v>0</v>
      </c>
      <c r="M1188" s="38">
        <f>COUNTIF(퀘스트!B:B,표1[[#This Row],[명칭]])</f>
        <v>0</v>
      </c>
      <c r="N1188" s="65">
        <f>COUNTIF([1]VillageDiscoveryGroup!$C:$C,표1[[#This Row],[명칭]])</f>
        <v>0</v>
      </c>
      <c r="O1188" s="65">
        <f>SUM(표1[[#This Row],[해양탐색]:[마을탐험]])</f>
        <v>0</v>
      </c>
    </row>
    <row r="1189" spans="2:15" ht="13.5" customHeight="1" x14ac:dyDescent="0.3">
      <c r="B1189" s="9">
        <f>[1]Discovery!A1195</f>
        <v>70409270</v>
      </c>
      <c r="C1189" s="9" t="str">
        <f>[1]Discovery!B1195</f>
        <v>쑥감펭</v>
      </c>
      <c r="D1189" s="9" t="str">
        <f>[1]Discovery!E1195</f>
        <v>동물</v>
      </c>
      <c r="E1189" s="9" t="str">
        <f>[1]Discovery!C1195</f>
        <v>어류</v>
      </c>
      <c r="F1189" s="9" t="str">
        <f>[1]Discovery!G1195</f>
        <v>S</v>
      </c>
      <c r="G1189" s="9" t="str">
        <f>IFERROR(VLOOKUP(표1[[#This Row],[명칭]],'문화권 정리'!C:D,2,FALSE),"-")</f>
        <v>어류</v>
      </c>
      <c r="H1189" s="38" t="str">
        <f>IFERROR(COUNTIF([2]OceanDoodad!$Y:$Y,표1[[#This Row],[명칭]]),"-")</f>
        <v>-</v>
      </c>
      <c r="I1189" s="38">
        <f>IFERROR(COUNTIF([1]AdventureDiscoveryGroup!$D$8:$AW$92,표1[[#This Row],[명칭]]),"-")</f>
        <v>0</v>
      </c>
      <c r="J1189" s="38">
        <f>IFERROR(COUNTIF([1]FishDiscoveryGroup!$A:$X,표1[[#This Row],[명칭]]),"-")</f>
        <v>4</v>
      </c>
      <c r="K1189" s="38" t="str">
        <f>IFERROR(COUNTIF([2]Town!$B:$B,표1[[#This Row],[명칭]]),"-")</f>
        <v>-</v>
      </c>
      <c r="L1189" s="38">
        <f>IFERROR(COUNTIF([1]Village!$BR:$BR,표1[[#This Row],[명칭]]),"-")</f>
        <v>0</v>
      </c>
      <c r="M1189" s="38">
        <f>COUNTIF(퀘스트!B:B,표1[[#This Row],[명칭]])</f>
        <v>0</v>
      </c>
      <c r="N1189" s="65">
        <f>COUNTIF([1]VillageDiscoveryGroup!$C:$C,표1[[#This Row],[명칭]])</f>
        <v>0</v>
      </c>
      <c r="O1189" s="65">
        <f>SUM(표1[[#This Row],[해양탐색]:[마을탐험]])</f>
        <v>4</v>
      </c>
    </row>
    <row r="1190" spans="2:15" ht="13.5" customHeight="1" x14ac:dyDescent="0.3">
      <c r="B1190" s="9">
        <f>[1]Discovery!A1196</f>
        <v>70409271</v>
      </c>
      <c r="C1190" s="9" t="str">
        <f>[1]Discovery!B1196</f>
        <v>아구상어</v>
      </c>
      <c r="D1190" s="9" t="str">
        <f>[1]Discovery!E1196</f>
        <v>동물</v>
      </c>
      <c r="E1190" s="9" t="str">
        <f>[1]Discovery!C1196</f>
        <v>어류</v>
      </c>
      <c r="F1190" s="9" t="str">
        <f>[1]Discovery!G1196</f>
        <v>D</v>
      </c>
      <c r="G1190" s="9" t="str">
        <f>IFERROR(VLOOKUP(표1[[#This Row],[명칭]],'문화권 정리'!C:D,2,FALSE),"-")</f>
        <v>어류</v>
      </c>
      <c r="H1190" s="38" t="str">
        <f>IFERROR(COUNTIF([2]OceanDoodad!$Y:$Y,표1[[#This Row],[명칭]]),"-")</f>
        <v>-</v>
      </c>
      <c r="I1190" s="38">
        <f>IFERROR(COUNTIF([1]AdventureDiscoveryGroup!$D$8:$AW$92,표1[[#This Row],[명칭]]),"-")</f>
        <v>0</v>
      </c>
      <c r="J1190" s="38">
        <f>IFERROR(COUNTIF([1]FishDiscoveryGroup!$A:$X,표1[[#This Row],[명칭]]),"-")</f>
        <v>4</v>
      </c>
      <c r="K1190" s="38" t="str">
        <f>IFERROR(COUNTIF([2]Town!$B:$B,표1[[#This Row],[명칭]]),"-")</f>
        <v>-</v>
      </c>
      <c r="L1190" s="38">
        <f>IFERROR(COUNTIF([1]Village!$BR:$BR,표1[[#This Row],[명칭]]),"-")</f>
        <v>0</v>
      </c>
      <c r="M1190" s="38">
        <f>COUNTIF(퀘스트!B:B,표1[[#This Row],[명칭]])</f>
        <v>0</v>
      </c>
      <c r="N1190" s="65">
        <f>COUNTIF([1]VillageDiscoveryGroup!$C:$C,표1[[#This Row],[명칭]])</f>
        <v>0</v>
      </c>
      <c r="O1190" s="65">
        <f>SUM(표1[[#This Row],[해양탐색]:[마을탐험]])</f>
        <v>4</v>
      </c>
    </row>
    <row r="1191" spans="2:15" ht="13.5" customHeight="1" x14ac:dyDescent="0.3">
      <c r="B1191" s="9">
        <f>[1]Discovery!A1197</f>
        <v>70409272</v>
      </c>
      <c r="C1191" s="9" t="str">
        <f>[1]Discovery!B1197</f>
        <v>아귀</v>
      </c>
      <c r="D1191" s="9" t="str">
        <f>[1]Discovery!E1197</f>
        <v>동물</v>
      </c>
      <c r="E1191" s="9" t="str">
        <f>[1]Discovery!C1197</f>
        <v>어류</v>
      </c>
      <c r="F1191" s="9" t="str">
        <f>[1]Discovery!G1197</f>
        <v>C</v>
      </c>
      <c r="G1191" s="9" t="str">
        <f>IFERROR(VLOOKUP(표1[[#This Row],[명칭]],'문화권 정리'!C:D,2,FALSE),"-")</f>
        <v>어류</v>
      </c>
      <c r="H1191" s="38" t="str">
        <f>IFERROR(COUNTIF([2]OceanDoodad!$Y:$Y,표1[[#This Row],[명칭]]),"-")</f>
        <v>-</v>
      </c>
      <c r="I1191" s="38">
        <f>IFERROR(COUNTIF([1]AdventureDiscoveryGroup!$D$8:$AW$92,표1[[#This Row],[명칭]]),"-")</f>
        <v>0</v>
      </c>
      <c r="J1191" s="38">
        <f>IFERROR(COUNTIF([1]FishDiscoveryGroup!$A:$X,표1[[#This Row],[명칭]]),"-")</f>
        <v>4</v>
      </c>
      <c r="K1191" s="38" t="str">
        <f>IFERROR(COUNTIF([2]Town!$B:$B,표1[[#This Row],[명칭]]),"-")</f>
        <v>-</v>
      </c>
      <c r="L1191" s="38">
        <f>IFERROR(COUNTIF([1]Village!$BR:$BR,표1[[#This Row],[명칭]]),"-")</f>
        <v>0</v>
      </c>
      <c r="M1191" s="38">
        <f>COUNTIF(퀘스트!B:B,표1[[#This Row],[명칭]])</f>
        <v>0</v>
      </c>
      <c r="N1191" s="65">
        <f>COUNTIF([1]VillageDiscoveryGroup!$C:$C,표1[[#This Row],[명칭]])</f>
        <v>0</v>
      </c>
      <c r="O1191" s="65">
        <f>SUM(표1[[#This Row],[해양탐색]:[마을탐험]])</f>
        <v>4</v>
      </c>
    </row>
    <row r="1192" spans="2:15" ht="13.5" customHeight="1" x14ac:dyDescent="0.3">
      <c r="B1192" s="9">
        <f>[1]Discovery!A1198</f>
        <v>70409273</v>
      </c>
      <c r="C1192" s="9" t="str">
        <f>[1]Discovery!B1198</f>
        <v>아마존강돌고래</v>
      </c>
      <c r="D1192" s="9" t="str">
        <f>[1]Discovery!E1198</f>
        <v>동물</v>
      </c>
      <c r="E1192" s="9" t="str">
        <f>[1]Discovery!C1198</f>
        <v>포유류</v>
      </c>
      <c r="F1192" s="9" t="str">
        <f>[1]Discovery!G1198</f>
        <v>S</v>
      </c>
      <c r="G1192" s="9" t="str">
        <f>IFERROR(VLOOKUP(표1[[#This Row],[명칭]],'문화권 정리'!C:D,2,FALSE),"-")</f>
        <v>어류</v>
      </c>
      <c r="H1192" s="38" t="str">
        <f>IFERROR(COUNTIF([2]OceanDoodad!$Y:$Y,표1[[#This Row],[명칭]]),"-")</f>
        <v>-</v>
      </c>
      <c r="I1192" s="38">
        <f>IFERROR(COUNTIF([1]AdventureDiscoveryGroup!$D$8:$AW$92,표1[[#This Row],[명칭]]),"-")</f>
        <v>0</v>
      </c>
      <c r="J1192" s="38">
        <f>IFERROR(COUNTIF([1]FishDiscoveryGroup!$A:$X,표1[[#This Row],[명칭]]),"-")</f>
        <v>0</v>
      </c>
      <c r="K1192" s="38" t="str">
        <f>IFERROR(COUNTIF([2]Town!$B:$B,표1[[#This Row],[명칭]]),"-")</f>
        <v>-</v>
      </c>
      <c r="L1192" s="38">
        <f>IFERROR(COUNTIF([1]Village!$BR:$BR,표1[[#This Row],[명칭]]),"-")</f>
        <v>0</v>
      </c>
      <c r="M1192" s="38">
        <f>COUNTIF(퀘스트!B:B,표1[[#This Row],[명칭]])</f>
        <v>0</v>
      </c>
      <c r="N1192" s="65">
        <f>COUNTIF([1]VillageDiscoveryGroup!$C:$C,표1[[#This Row],[명칭]])</f>
        <v>0</v>
      </c>
      <c r="O1192" s="65">
        <f>SUM(표1[[#This Row],[해양탐색]:[마을탐험]])</f>
        <v>0</v>
      </c>
    </row>
    <row r="1193" spans="2:15" ht="13.5" customHeight="1" x14ac:dyDescent="0.3">
      <c r="B1193" s="9">
        <f>[1]Discovery!A1199</f>
        <v>70409274</v>
      </c>
      <c r="C1193" s="9" t="str">
        <f>[1]Discovery!B1199</f>
        <v>아프리카폐어</v>
      </c>
      <c r="D1193" s="9" t="str">
        <f>[1]Discovery!E1199</f>
        <v>동물</v>
      </c>
      <c r="E1193" s="9" t="str">
        <f>[1]Discovery!C1199</f>
        <v>어류</v>
      </c>
      <c r="F1193" s="9" t="str">
        <f>[1]Discovery!G1199</f>
        <v>B</v>
      </c>
      <c r="G1193" s="9" t="str">
        <f>IFERROR(VLOOKUP(표1[[#This Row],[명칭]],'문화권 정리'!C:D,2,FALSE),"-")</f>
        <v>어류</v>
      </c>
      <c r="H1193" s="38" t="str">
        <f>IFERROR(COUNTIF([2]OceanDoodad!$Y:$Y,표1[[#This Row],[명칭]]),"-")</f>
        <v>-</v>
      </c>
      <c r="I1193" s="38">
        <f>IFERROR(COUNTIF([1]AdventureDiscoveryGroup!$D$8:$AW$92,표1[[#This Row],[명칭]]),"-")</f>
        <v>0</v>
      </c>
      <c r="J1193" s="38">
        <f>IFERROR(COUNTIF([1]FishDiscoveryGroup!$A:$X,표1[[#This Row],[명칭]]),"-")</f>
        <v>4</v>
      </c>
      <c r="K1193" s="38" t="str">
        <f>IFERROR(COUNTIF([2]Town!$B:$B,표1[[#This Row],[명칭]]),"-")</f>
        <v>-</v>
      </c>
      <c r="L1193" s="38">
        <f>IFERROR(COUNTIF([1]Village!$BR:$BR,표1[[#This Row],[명칭]]),"-")</f>
        <v>0</v>
      </c>
      <c r="M1193" s="38">
        <f>COUNTIF(퀘스트!B:B,표1[[#This Row],[명칭]])</f>
        <v>0</v>
      </c>
      <c r="N1193" s="65">
        <f>COUNTIF([1]VillageDiscoveryGroup!$C:$C,표1[[#This Row],[명칭]])</f>
        <v>0</v>
      </c>
      <c r="O1193" s="65">
        <f>SUM(표1[[#This Row],[해양탐색]:[마을탐험]])</f>
        <v>4</v>
      </c>
    </row>
    <row r="1194" spans="2:15" ht="13.5" customHeight="1" x14ac:dyDescent="0.3">
      <c r="B1194" s="9">
        <f>[1]Discovery!A1200</f>
        <v>70409275</v>
      </c>
      <c r="C1194" s="9" t="str">
        <f>[1]Discovery!B1200</f>
        <v>악상어</v>
      </c>
      <c r="D1194" s="9" t="str">
        <f>[1]Discovery!E1200</f>
        <v>동물</v>
      </c>
      <c r="E1194" s="9" t="str">
        <f>[1]Discovery!C1200</f>
        <v>어류</v>
      </c>
      <c r="F1194" s="9" t="str">
        <f>[1]Discovery!G1200</f>
        <v>S</v>
      </c>
      <c r="G1194" s="9" t="str">
        <f>IFERROR(VLOOKUP(표1[[#This Row],[명칭]],'문화권 정리'!C:D,2,FALSE),"-")</f>
        <v>어류</v>
      </c>
      <c r="H1194" s="38" t="str">
        <f>IFERROR(COUNTIF([2]OceanDoodad!$Y:$Y,표1[[#This Row],[명칭]]),"-")</f>
        <v>-</v>
      </c>
      <c r="I1194" s="38">
        <f>IFERROR(COUNTIF([1]AdventureDiscoveryGroup!$D$8:$AW$92,표1[[#This Row],[명칭]]),"-")</f>
        <v>0</v>
      </c>
      <c r="J1194" s="38">
        <f>IFERROR(COUNTIF([1]FishDiscoveryGroup!$A:$X,표1[[#This Row],[명칭]]),"-")</f>
        <v>4</v>
      </c>
      <c r="K1194" s="38" t="str">
        <f>IFERROR(COUNTIF([2]Town!$B:$B,표1[[#This Row],[명칭]]),"-")</f>
        <v>-</v>
      </c>
      <c r="L1194" s="38">
        <f>IFERROR(COUNTIF([1]Village!$BR:$BR,표1[[#This Row],[명칭]]),"-")</f>
        <v>0</v>
      </c>
      <c r="M1194" s="38">
        <f>COUNTIF(퀘스트!B:B,표1[[#This Row],[명칭]])</f>
        <v>0</v>
      </c>
      <c r="N1194" s="65">
        <f>COUNTIF([1]VillageDiscoveryGroup!$C:$C,표1[[#This Row],[명칭]])</f>
        <v>0</v>
      </c>
      <c r="O1194" s="65">
        <f>SUM(표1[[#This Row],[해양탐색]:[마을탐험]])</f>
        <v>4</v>
      </c>
    </row>
    <row r="1195" spans="2:15" ht="13.5" customHeight="1" x14ac:dyDescent="0.3">
      <c r="B1195" s="9">
        <f>[1]Discovery!A1201</f>
        <v>70409276</v>
      </c>
      <c r="C1195" s="9" t="str">
        <f>[1]Discovery!B1201</f>
        <v>알락곰치</v>
      </c>
      <c r="D1195" s="9" t="str">
        <f>[1]Discovery!E1201</f>
        <v>동물</v>
      </c>
      <c r="E1195" s="9" t="str">
        <f>[1]Discovery!C1201</f>
        <v>어류</v>
      </c>
      <c r="F1195" s="9" t="str">
        <f>[1]Discovery!G1201</f>
        <v>C</v>
      </c>
      <c r="G1195" s="9" t="str">
        <f>IFERROR(VLOOKUP(표1[[#This Row],[명칭]],'문화권 정리'!C:D,2,FALSE),"-")</f>
        <v>어류</v>
      </c>
      <c r="H1195" s="38" t="str">
        <f>IFERROR(COUNTIF([2]OceanDoodad!$Y:$Y,표1[[#This Row],[명칭]]),"-")</f>
        <v>-</v>
      </c>
      <c r="I1195" s="38">
        <f>IFERROR(COUNTIF([1]AdventureDiscoveryGroup!$D$8:$AW$92,표1[[#This Row],[명칭]]),"-")</f>
        <v>0</v>
      </c>
      <c r="J1195" s="38">
        <f>IFERROR(COUNTIF([1]FishDiscoveryGroup!$A:$X,표1[[#This Row],[명칭]]),"-")</f>
        <v>4</v>
      </c>
      <c r="K1195" s="38" t="str">
        <f>IFERROR(COUNTIF([2]Town!$B:$B,표1[[#This Row],[명칭]]),"-")</f>
        <v>-</v>
      </c>
      <c r="L1195" s="38">
        <f>IFERROR(COUNTIF([1]Village!$BR:$BR,표1[[#This Row],[명칭]]),"-")</f>
        <v>0</v>
      </c>
      <c r="M1195" s="38">
        <f>COUNTIF(퀘스트!B:B,표1[[#This Row],[명칭]])</f>
        <v>0</v>
      </c>
      <c r="N1195" s="65">
        <f>COUNTIF([1]VillageDiscoveryGroup!$C:$C,표1[[#This Row],[명칭]])</f>
        <v>0</v>
      </c>
      <c r="O1195" s="65">
        <f>SUM(표1[[#This Row],[해양탐색]:[마을탐험]])</f>
        <v>4</v>
      </c>
    </row>
    <row r="1196" spans="2:15" ht="13.5" customHeight="1" x14ac:dyDescent="0.3">
      <c r="B1196" s="9">
        <f>[1]Discovery!A1202</f>
        <v>70409277</v>
      </c>
      <c r="C1196" s="9" t="str">
        <f>[1]Discovery!B1202</f>
        <v>알락우럭</v>
      </c>
      <c r="D1196" s="9" t="str">
        <f>[1]Discovery!E1202</f>
        <v>동물</v>
      </c>
      <c r="E1196" s="9" t="str">
        <f>[1]Discovery!C1202</f>
        <v>어류</v>
      </c>
      <c r="F1196" s="9" t="str">
        <f>[1]Discovery!G1202</f>
        <v>D</v>
      </c>
      <c r="G1196" s="9" t="str">
        <f>IFERROR(VLOOKUP(표1[[#This Row],[명칭]],'문화권 정리'!C:D,2,FALSE),"-")</f>
        <v>어류</v>
      </c>
      <c r="H1196" s="38" t="str">
        <f>IFERROR(COUNTIF([2]OceanDoodad!$Y:$Y,표1[[#This Row],[명칭]]),"-")</f>
        <v>-</v>
      </c>
      <c r="I1196" s="38">
        <f>IFERROR(COUNTIF([1]AdventureDiscoveryGroup!$D$8:$AW$92,표1[[#This Row],[명칭]]),"-")</f>
        <v>0</v>
      </c>
      <c r="J1196" s="38">
        <f>IFERROR(COUNTIF([1]FishDiscoveryGroup!$A:$X,표1[[#This Row],[명칭]]),"-")</f>
        <v>4</v>
      </c>
      <c r="K1196" s="38" t="str">
        <f>IFERROR(COUNTIF([2]Town!$B:$B,표1[[#This Row],[명칭]]),"-")</f>
        <v>-</v>
      </c>
      <c r="L1196" s="38">
        <f>IFERROR(COUNTIF([1]Village!$BR:$BR,표1[[#This Row],[명칭]]),"-")</f>
        <v>0</v>
      </c>
      <c r="M1196" s="38">
        <f>COUNTIF(퀘스트!B:B,표1[[#This Row],[명칭]])</f>
        <v>0</v>
      </c>
      <c r="N1196" s="65">
        <f>COUNTIF([1]VillageDiscoveryGroup!$C:$C,표1[[#This Row],[명칭]])</f>
        <v>0</v>
      </c>
      <c r="O1196" s="65">
        <f>SUM(표1[[#This Row],[해양탐색]:[마을탐험]])</f>
        <v>4</v>
      </c>
    </row>
    <row r="1197" spans="2:15" ht="13.5" customHeight="1" x14ac:dyDescent="0.3">
      <c r="B1197" s="9">
        <f>[1]Discovery!A1203</f>
        <v>70409278</v>
      </c>
      <c r="C1197" s="9" t="str">
        <f>[1]Discovery!B1203</f>
        <v>애붕장어</v>
      </c>
      <c r="D1197" s="9" t="str">
        <f>[1]Discovery!E1203</f>
        <v>동물</v>
      </c>
      <c r="E1197" s="9" t="str">
        <f>[1]Discovery!C1203</f>
        <v>어류</v>
      </c>
      <c r="F1197" s="9" t="str">
        <f>[1]Discovery!G1203</f>
        <v>D</v>
      </c>
      <c r="G1197" s="9" t="str">
        <f>IFERROR(VLOOKUP(표1[[#This Row],[명칭]],'문화권 정리'!C:D,2,FALSE),"-")</f>
        <v>어류</v>
      </c>
      <c r="H1197" s="38" t="str">
        <f>IFERROR(COUNTIF([2]OceanDoodad!$Y:$Y,표1[[#This Row],[명칭]]),"-")</f>
        <v>-</v>
      </c>
      <c r="I1197" s="38">
        <f>IFERROR(COUNTIF([1]AdventureDiscoveryGroup!$D$8:$AW$92,표1[[#This Row],[명칭]]),"-")</f>
        <v>0</v>
      </c>
      <c r="J1197" s="38">
        <f>IFERROR(COUNTIF([1]FishDiscoveryGroup!$A:$X,표1[[#This Row],[명칭]]),"-")</f>
        <v>8</v>
      </c>
      <c r="K1197" s="38" t="str">
        <f>IFERROR(COUNTIF([2]Town!$B:$B,표1[[#This Row],[명칭]]),"-")</f>
        <v>-</v>
      </c>
      <c r="L1197" s="38">
        <f>IFERROR(COUNTIF([1]Village!$BR:$BR,표1[[#This Row],[명칭]]),"-")</f>
        <v>0</v>
      </c>
      <c r="M1197" s="38">
        <f>COUNTIF(퀘스트!B:B,표1[[#This Row],[명칭]])</f>
        <v>0</v>
      </c>
      <c r="N1197" s="65">
        <f>COUNTIF([1]VillageDiscoveryGroup!$C:$C,표1[[#This Row],[명칭]])</f>
        <v>0</v>
      </c>
      <c r="O1197" s="65">
        <f>SUM(표1[[#This Row],[해양탐색]:[마을탐험]])</f>
        <v>8</v>
      </c>
    </row>
    <row r="1198" spans="2:15" ht="13.5" customHeight="1" x14ac:dyDescent="0.3">
      <c r="B1198" s="9">
        <f>[1]Discovery!A1204</f>
        <v>70409279</v>
      </c>
      <c r="C1198" s="9" t="str">
        <f>[1]Discovery!B1204</f>
        <v>앵무조개</v>
      </c>
      <c r="D1198" s="9" t="str">
        <f>[1]Discovery!E1204</f>
        <v>동물</v>
      </c>
      <c r="E1198" s="9" t="str">
        <f>[1]Discovery!C1204</f>
        <v>무척추동물</v>
      </c>
      <c r="F1198" s="9" t="str">
        <f>[1]Discovery!G1204</f>
        <v>B</v>
      </c>
      <c r="G1198" s="9" t="str">
        <f>IFERROR(VLOOKUP(표1[[#This Row],[명칭]],'문화권 정리'!C:D,2,FALSE),"-")</f>
        <v>어류</v>
      </c>
      <c r="H1198" s="38" t="str">
        <f>IFERROR(COUNTIF([2]OceanDoodad!$Y:$Y,표1[[#This Row],[명칭]]),"-")</f>
        <v>-</v>
      </c>
      <c r="I1198" s="38">
        <f>IFERROR(COUNTIF([1]AdventureDiscoveryGroup!$D$8:$AW$92,표1[[#This Row],[명칭]]),"-")</f>
        <v>0</v>
      </c>
      <c r="J1198" s="38">
        <f>IFERROR(COUNTIF([1]FishDiscoveryGroup!$A:$X,표1[[#This Row],[명칭]]),"-")</f>
        <v>0</v>
      </c>
      <c r="K1198" s="38" t="str">
        <f>IFERROR(COUNTIF([2]Town!$B:$B,표1[[#This Row],[명칭]]),"-")</f>
        <v>-</v>
      </c>
      <c r="L1198" s="38">
        <f>IFERROR(COUNTIF([1]Village!$BR:$BR,표1[[#This Row],[명칭]]),"-")</f>
        <v>0</v>
      </c>
      <c r="M1198" s="38">
        <f>COUNTIF(퀘스트!B:B,표1[[#This Row],[명칭]])</f>
        <v>0</v>
      </c>
      <c r="N1198" s="65">
        <f>COUNTIF([1]VillageDiscoveryGroup!$C:$C,표1[[#This Row],[명칭]])</f>
        <v>0</v>
      </c>
      <c r="O1198" s="65">
        <f>SUM(표1[[#This Row],[해양탐색]:[마을탐험]])</f>
        <v>0</v>
      </c>
    </row>
    <row r="1199" spans="2:15" ht="13.5" customHeight="1" x14ac:dyDescent="0.3">
      <c r="B1199" s="9">
        <f>[1]Discovery!A1205</f>
        <v>70409281</v>
      </c>
      <c r="C1199" s="9" t="str">
        <f>[1]Discovery!B1205</f>
        <v>야자집게</v>
      </c>
      <c r="D1199" s="9" t="str">
        <f>[1]Discovery!E1205</f>
        <v>동물</v>
      </c>
      <c r="E1199" s="9" t="str">
        <f>[1]Discovery!C1205</f>
        <v>무척추동물</v>
      </c>
      <c r="F1199" s="9" t="str">
        <f>[1]Discovery!G1205</f>
        <v>C</v>
      </c>
      <c r="G1199" s="9" t="str">
        <f>IFERROR(VLOOKUP(표1[[#This Row],[명칭]],'문화권 정리'!C:D,2,FALSE),"-")</f>
        <v>어류</v>
      </c>
      <c r="H1199" s="38" t="str">
        <f>IFERROR(COUNTIF([2]OceanDoodad!$Y:$Y,표1[[#This Row],[명칭]]),"-")</f>
        <v>-</v>
      </c>
      <c r="I1199" s="38">
        <f>IFERROR(COUNTIF([1]AdventureDiscoveryGroup!$D$8:$AW$92,표1[[#This Row],[명칭]]),"-")</f>
        <v>0</v>
      </c>
      <c r="J1199" s="38">
        <f>IFERROR(COUNTIF([1]FishDiscoveryGroup!$A:$X,표1[[#This Row],[명칭]]),"-")</f>
        <v>0</v>
      </c>
      <c r="K1199" s="38" t="str">
        <f>IFERROR(COUNTIF([2]Town!$B:$B,표1[[#This Row],[명칭]]),"-")</f>
        <v>-</v>
      </c>
      <c r="L1199" s="38">
        <f>IFERROR(COUNTIF([1]Village!$BR:$BR,표1[[#This Row],[명칭]]),"-")</f>
        <v>0</v>
      </c>
      <c r="M1199" s="38">
        <f>COUNTIF(퀘스트!B:B,표1[[#This Row],[명칭]])</f>
        <v>0</v>
      </c>
      <c r="N1199" s="65">
        <f>COUNTIF([1]VillageDiscoveryGroup!$C:$C,표1[[#This Row],[명칭]])</f>
        <v>0</v>
      </c>
      <c r="O1199" s="65">
        <f>SUM(표1[[#This Row],[해양탐색]:[마을탐험]])</f>
        <v>0</v>
      </c>
    </row>
    <row r="1200" spans="2:15" ht="13.5" customHeight="1" x14ac:dyDescent="0.3">
      <c r="B1200" s="9">
        <f>[1]Discovery!A1206</f>
        <v>70409282</v>
      </c>
      <c r="C1200" s="9" t="str">
        <f>[1]Discovery!B1206</f>
        <v>양쯔강돌고래</v>
      </c>
      <c r="D1200" s="9" t="str">
        <f>[1]Discovery!E1206</f>
        <v>동물</v>
      </c>
      <c r="E1200" s="9" t="str">
        <f>[1]Discovery!C1206</f>
        <v>포유류</v>
      </c>
      <c r="F1200" s="9" t="str">
        <f>[1]Discovery!G1206</f>
        <v>A</v>
      </c>
      <c r="G1200" s="9" t="str">
        <f>IFERROR(VLOOKUP(표1[[#This Row],[명칭]],'문화권 정리'!C:D,2,FALSE),"-")</f>
        <v>어류</v>
      </c>
      <c r="H1200" s="38" t="str">
        <f>IFERROR(COUNTIF([2]OceanDoodad!$Y:$Y,표1[[#This Row],[명칭]]),"-")</f>
        <v>-</v>
      </c>
      <c r="I1200" s="38">
        <f>IFERROR(COUNTIF([1]AdventureDiscoveryGroup!$D$8:$AW$92,표1[[#This Row],[명칭]]),"-")</f>
        <v>0</v>
      </c>
      <c r="J1200" s="38">
        <f>IFERROR(COUNTIF([1]FishDiscoveryGroup!$A:$X,표1[[#This Row],[명칭]]),"-")</f>
        <v>0</v>
      </c>
      <c r="K1200" s="38" t="str">
        <f>IFERROR(COUNTIF([2]Town!$B:$B,표1[[#This Row],[명칭]]),"-")</f>
        <v>-</v>
      </c>
      <c r="L1200" s="38">
        <f>IFERROR(COUNTIF([1]Village!$BR:$BR,표1[[#This Row],[명칭]]),"-")</f>
        <v>0</v>
      </c>
      <c r="M1200" s="38">
        <f>COUNTIF(퀘스트!B:B,표1[[#This Row],[명칭]])</f>
        <v>0</v>
      </c>
      <c r="N1200" s="65">
        <f>COUNTIF([1]VillageDiscoveryGroup!$C:$C,표1[[#This Row],[명칭]])</f>
        <v>0</v>
      </c>
      <c r="O1200" s="65">
        <f>SUM(표1[[#This Row],[해양탐색]:[마을탐험]])</f>
        <v>0</v>
      </c>
    </row>
    <row r="1201" spans="2:15" ht="13.5" customHeight="1" x14ac:dyDescent="0.3">
      <c r="B1201" s="9">
        <f>[1]Discovery!A1207</f>
        <v>70409283</v>
      </c>
      <c r="C1201" s="9" t="str">
        <f>[1]Discovery!B1207</f>
        <v>양태</v>
      </c>
      <c r="D1201" s="9" t="str">
        <f>[1]Discovery!E1207</f>
        <v>동물</v>
      </c>
      <c r="E1201" s="9" t="str">
        <f>[1]Discovery!C1207</f>
        <v>어류</v>
      </c>
      <c r="F1201" s="9" t="str">
        <f>[1]Discovery!G1207</f>
        <v>D</v>
      </c>
      <c r="G1201" s="9" t="str">
        <f>IFERROR(VLOOKUP(표1[[#This Row],[명칭]],'문화권 정리'!C:D,2,FALSE),"-")</f>
        <v>어류</v>
      </c>
      <c r="H1201" s="38" t="str">
        <f>IFERROR(COUNTIF([2]OceanDoodad!$Y:$Y,표1[[#This Row],[명칭]]),"-")</f>
        <v>-</v>
      </c>
      <c r="I1201" s="38">
        <f>IFERROR(COUNTIF([1]AdventureDiscoveryGroup!$D$8:$AW$92,표1[[#This Row],[명칭]]),"-")</f>
        <v>0</v>
      </c>
      <c r="J1201" s="38">
        <f>IFERROR(COUNTIF([1]FishDiscoveryGroup!$A:$X,표1[[#This Row],[명칭]]),"-")</f>
        <v>4</v>
      </c>
      <c r="K1201" s="38" t="str">
        <f>IFERROR(COUNTIF([2]Town!$B:$B,표1[[#This Row],[명칭]]),"-")</f>
        <v>-</v>
      </c>
      <c r="L1201" s="38">
        <f>IFERROR(COUNTIF([1]Village!$BR:$BR,표1[[#This Row],[명칭]]),"-")</f>
        <v>0</v>
      </c>
      <c r="M1201" s="38">
        <f>COUNTIF(퀘스트!B:B,표1[[#This Row],[명칭]])</f>
        <v>0</v>
      </c>
      <c r="N1201" s="65">
        <f>COUNTIF([1]VillageDiscoveryGroup!$C:$C,표1[[#This Row],[명칭]])</f>
        <v>0</v>
      </c>
      <c r="O1201" s="65">
        <f>SUM(표1[[#This Row],[해양탐색]:[마을탐험]])</f>
        <v>4</v>
      </c>
    </row>
    <row r="1202" spans="2:15" ht="13.5" customHeight="1" x14ac:dyDescent="0.3">
      <c r="B1202" s="9">
        <f>[1]Discovery!A1208</f>
        <v>70409284</v>
      </c>
      <c r="C1202" s="9" t="str">
        <f>[1]Discovery!B1208</f>
        <v>어렝놀래기</v>
      </c>
      <c r="D1202" s="9" t="str">
        <f>[1]Discovery!E1208</f>
        <v>동물</v>
      </c>
      <c r="E1202" s="9" t="str">
        <f>[1]Discovery!C1208</f>
        <v>어류</v>
      </c>
      <c r="F1202" s="9" t="str">
        <f>[1]Discovery!G1208</f>
        <v>D</v>
      </c>
      <c r="G1202" s="9" t="str">
        <f>IFERROR(VLOOKUP(표1[[#This Row],[명칭]],'문화권 정리'!C:D,2,FALSE),"-")</f>
        <v>어류</v>
      </c>
      <c r="H1202" s="38" t="str">
        <f>IFERROR(COUNTIF([2]OceanDoodad!$Y:$Y,표1[[#This Row],[명칭]]),"-")</f>
        <v>-</v>
      </c>
      <c r="I1202" s="38">
        <f>IFERROR(COUNTIF([1]AdventureDiscoveryGroup!$D$8:$AW$92,표1[[#This Row],[명칭]]),"-")</f>
        <v>0</v>
      </c>
      <c r="J1202" s="38">
        <f>IFERROR(COUNTIF([1]FishDiscoveryGroup!$A:$X,표1[[#This Row],[명칭]]),"-")</f>
        <v>4</v>
      </c>
      <c r="K1202" s="38" t="str">
        <f>IFERROR(COUNTIF([2]Town!$B:$B,표1[[#This Row],[명칭]]),"-")</f>
        <v>-</v>
      </c>
      <c r="L1202" s="38">
        <f>IFERROR(COUNTIF([1]Village!$BR:$BR,표1[[#This Row],[명칭]]),"-")</f>
        <v>0</v>
      </c>
      <c r="M1202" s="38">
        <f>COUNTIF(퀘스트!B:B,표1[[#This Row],[명칭]])</f>
        <v>0</v>
      </c>
      <c r="N1202" s="65">
        <f>COUNTIF([1]VillageDiscoveryGroup!$C:$C,표1[[#This Row],[명칭]])</f>
        <v>0</v>
      </c>
      <c r="O1202" s="65">
        <f>SUM(표1[[#This Row],[해양탐색]:[마을탐험]])</f>
        <v>4</v>
      </c>
    </row>
    <row r="1203" spans="2:15" ht="13.5" customHeight="1" x14ac:dyDescent="0.3">
      <c r="B1203" s="9">
        <f>[1]Discovery!A1209</f>
        <v>70409285</v>
      </c>
      <c r="C1203" s="9" t="str">
        <f>[1]Discovery!B1209</f>
        <v>어름돔</v>
      </c>
      <c r="D1203" s="9" t="str">
        <f>[1]Discovery!E1209</f>
        <v>동물</v>
      </c>
      <c r="E1203" s="9" t="str">
        <f>[1]Discovery!C1209</f>
        <v>어류</v>
      </c>
      <c r="F1203" s="9" t="str">
        <f>[1]Discovery!G1209</f>
        <v>D</v>
      </c>
      <c r="G1203" s="9" t="str">
        <f>IFERROR(VLOOKUP(표1[[#This Row],[명칭]],'문화권 정리'!C:D,2,FALSE),"-")</f>
        <v>어류</v>
      </c>
      <c r="H1203" s="38" t="str">
        <f>IFERROR(COUNTIF([2]OceanDoodad!$Y:$Y,표1[[#This Row],[명칭]]),"-")</f>
        <v>-</v>
      </c>
      <c r="I1203" s="38">
        <f>IFERROR(COUNTIF([1]AdventureDiscoveryGroup!$D$8:$AW$92,표1[[#This Row],[명칭]]),"-")</f>
        <v>0</v>
      </c>
      <c r="J1203" s="38">
        <f>IFERROR(COUNTIF([1]FishDiscoveryGroup!$A:$X,표1[[#This Row],[명칭]]),"-")</f>
        <v>4</v>
      </c>
      <c r="K1203" s="38" t="str">
        <f>IFERROR(COUNTIF([2]Town!$B:$B,표1[[#This Row],[명칭]]),"-")</f>
        <v>-</v>
      </c>
      <c r="L1203" s="38">
        <f>IFERROR(COUNTIF([1]Village!$BR:$BR,표1[[#This Row],[명칭]]),"-")</f>
        <v>0</v>
      </c>
      <c r="M1203" s="38">
        <f>COUNTIF(퀘스트!B:B,표1[[#This Row],[명칭]])</f>
        <v>0</v>
      </c>
      <c r="N1203" s="65">
        <f>COUNTIF([1]VillageDiscoveryGroup!$C:$C,표1[[#This Row],[명칭]])</f>
        <v>0</v>
      </c>
      <c r="O1203" s="65">
        <f>SUM(표1[[#This Row],[해양탐색]:[마을탐험]])</f>
        <v>4</v>
      </c>
    </row>
    <row r="1204" spans="2:15" ht="13.5" customHeight="1" x14ac:dyDescent="0.3">
      <c r="B1204" s="9">
        <f>[1]Discovery!A1210</f>
        <v>70409286</v>
      </c>
      <c r="C1204" s="9" t="str">
        <f>[1]Discovery!B1210</f>
        <v>얼룩상어</v>
      </c>
      <c r="D1204" s="9" t="str">
        <f>[1]Discovery!E1210</f>
        <v>동물</v>
      </c>
      <c r="E1204" s="9" t="str">
        <f>[1]Discovery!C1210</f>
        <v>어류</v>
      </c>
      <c r="F1204" s="9" t="str">
        <f>[1]Discovery!G1210</f>
        <v>S</v>
      </c>
      <c r="G1204" s="9" t="str">
        <f>IFERROR(VLOOKUP(표1[[#This Row],[명칭]],'문화권 정리'!C:D,2,FALSE),"-")</f>
        <v>어류</v>
      </c>
      <c r="H1204" s="38" t="str">
        <f>IFERROR(COUNTIF([2]OceanDoodad!$Y:$Y,표1[[#This Row],[명칭]]),"-")</f>
        <v>-</v>
      </c>
      <c r="I1204" s="38">
        <f>IFERROR(COUNTIF([1]AdventureDiscoveryGroup!$D$8:$AW$92,표1[[#This Row],[명칭]]),"-")</f>
        <v>0</v>
      </c>
      <c r="J1204" s="38">
        <f>IFERROR(COUNTIF([1]FishDiscoveryGroup!$A:$X,표1[[#This Row],[명칭]]),"-")</f>
        <v>4</v>
      </c>
      <c r="K1204" s="38" t="str">
        <f>IFERROR(COUNTIF([2]Town!$B:$B,표1[[#This Row],[명칭]]),"-")</f>
        <v>-</v>
      </c>
      <c r="L1204" s="38">
        <f>IFERROR(COUNTIF([1]Village!$BR:$BR,표1[[#This Row],[명칭]]),"-")</f>
        <v>0</v>
      </c>
      <c r="M1204" s="38">
        <f>COUNTIF(퀘스트!B:B,표1[[#This Row],[명칭]])</f>
        <v>0</v>
      </c>
      <c r="N1204" s="65">
        <f>COUNTIF([1]VillageDiscoveryGroup!$C:$C,표1[[#This Row],[명칭]])</f>
        <v>0</v>
      </c>
      <c r="O1204" s="65">
        <f>SUM(표1[[#This Row],[해양탐색]:[마을탐험]])</f>
        <v>4</v>
      </c>
    </row>
    <row r="1205" spans="2:15" ht="13.5" customHeight="1" x14ac:dyDescent="0.3">
      <c r="B1205" s="9">
        <f>[1]Discovery!A1211</f>
        <v>70409287</v>
      </c>
      <c r="C1205" s="9" t="str">
        <f>[1]Discovery!B1211</f>
        <v>얼비늘치</v>
      </c>
      <c r="D1205" s="9" t="str">
        <f>[1]Discovery!E1211</f>
        <v>동물</v>
      </c>
      <c r="E1205" s="9" t="str">
        <f>[1]Discovery!C1211</f>
        <v>어류</v>
      </c>
      <c r="F1205" s="9" t="str">
        <f>[1]Discovery!G1211</f>
        <v>S</v>
      </c>
      <c r="G1205" s="9" t="str">
        <f>IFERROR(VLOOKUP(표1[[#This Row],[명칭]],'문화권 정리'!C:D,2,FALSE),"-")</f>
        <v>어류</v>
      </c>
      <c r="H1205" s="38" t="str">
        <f>IFERROR(COUNTIF([2]OceanDoodad!$Y:$Y,표1[[#This Row],[명칭]]),"-")</f>
        <v>-</v>
      </c>
      <c r="I1205" s="38">
        <f>IFERROR(COUNTIF([1]AdventureDiscoveryGroup!$D$8:$AW$92,표1[[#This Row],[명칭]]),"-")</f>
        <v>0</v>
      </c>
      <c r="J1205" s="38">
        <f>IFERROR(COUNTIF([1]FishDiscoveryGroup!$A:$X,표1[[#This Row],[명칭]]),"-")</f>
        <v>4</v>
      </c>
      <c r="K1205" s="38" t="str">
        <f>IFERROR(COUNTIF([2]Town!$B:$B,표1[[#This Row],[명칭]]),"-")</f>
        <v>-</v>
      </c>
      <c r="L1205" s="38">
        <f>IFERROR(COUNTIF([1]Village!$BR:$BR,표1[[#This Row],[명칭]]),"-")</f>
        <v>0</v>
      </c>
      <c r="M1205" s="38">
        <f>COUNTIF(퀘스트!B:B,표1[[#This Row],[명칭]])</f>
        <v>0</v>
      </c>
      <c r="N1205" s="65">
        <f>COUNTIF([1]VillageDiscoveryGroup!$C:$C,표1[[#This Row],[명칭]])</f>
        <v>0</v>
      </c>
      <c r="O1205" s="65">
        <f>SUM(표1[[#This Row],[해양탐색]:[마을탐험]])</f>
        <v>4</v>
      </c>
    </row>
    <row r="1206" spans="2:15" ht="13.5" customHeight="1" x14ac:dyDescent="0.3">
      <c r="B1206" s="9">
        <f>[1]Discovery!A1212</f>
        <v>70409288</v>
      </c>
      <c r="C1206" s="9" t="str">
        <f>[1]Discovery!B1212</f>
        <v>폴립테루스 엔들리케리</v>
      </c>
      <c r="D1206" s="9" t="str">
        <f>[1]Discovery!E1212</f>
        <v>동물</v>
      </c>
      <c r="E1206" s="9" t="str">
        <f>[1]Discovery!C1212</f>
        <v>어류</v>
      </c>
      <c r="F1206" s="9" t="str">
        <f>[1]Discovery!G1212</f>
        <v>A</v>
      </c>
      <c r="G1206" s="9" t="str">
        <f>IFERROR(VLOOKUP(표1[[#This Row],[명칭]],'문화권 정리'!C:D,2,FALSE),"-")</f>
        <v>어류</v>
      </c>
      <c r="H1206" s="38" t="str">
        <f>IFERROR(COUNTIF([2]OceanDoodad!$Y:$Y,표1[[#This Row],[명칭]]),"-")</f>
        <v>-</v>
      </c>
      <c r="I1206" s="38">
        <f>IFERROR(COUNTIF([1]AdventureDiscoveryGroup!$D$8:$AW$92,표1[[#This Row],[명칭]]),"-")</f>
        <v>0</v>
      </c>
      <c r="J1206" s="38">
        <f>IFERROR(COUNTIF([1]FishDiscoveryGroup!$A:$X,표1[[#This Row],[명칭]]),"-")</f>
        <v>4</v>
      </c>
      <c r="K1206" s="38" t="str">
        <f>IFERROR(COUNTIF([2]Town!$B:$B,표1[[#This Row],[명칭]]),"-")</f>
        <v>-</v>
      </c>
      <c r="L1206" s="38">
        <f>IFERROR(COUNTIF([1]Village!$BR:$BR,표1[[#This Row],[명칭]]),"-")</f>
        <v>0</v>
      </c>
      <c r="M1206" s="38">
        <f>COUNTIF(퀘스트!B:B,표1[[#This Row],[명칭]])</f>
        <v>0</v>
      </c>
      <c r="N1206" s="65">
        <f>COUNTIF([1]VillageDiscoveryGroup!$C:$C,표1[[#This Row],[명칭]])</f>
        <v>0</v>
      </c>
      <c r="O1206" s="65">
        <f>SUM(표1[[#This Row],[해양탐색]:[마을탐험]])</f>
        <v>4</v>
      </c>
    </row>
    <row r="1207" spans="2:15" ht="13.5" customHeight="1" x14ac:dyDescent="0.3">
      <c r="B1207" s="9">
        <f>[1]Discovery!A1213</f>
        <v>70409289</v>
      </c>
      <c r="C1207" s="9" t="str">
        <f>[1]Discovery!B1213</f>
        <v>엘리게이터가아</v>
      </c>
      <c r="D1207" s="9" t="str">
        <f>[1]Discovery!E1213</f>
        <v>동물</v>
      </c>
      <c r="E1207" s="9" t="str">
        <f>[1]Discovery!C1213</f>
        <v>어류</v>
      </c>
      <c r="F1207" s="9" t="str">
        <f>[1]Discovery!G1213</f>
        <v>A</v>
      </c>
      <c r="G1207" s="9" t="str">
        <f>IFERROR(VLOOKUP(표1[[#This Row],[명칭]],'문화권 정리'!C:D,2,FALSE),"-")</f>
        <v>어류</v>
      </c>
      <c r="H1207" s="38" t="str">
        <f>IFERROR(COUNTIF([2]OceanDoodad!$Y:$Y,표1[[#This Row],[명칭]]),"-")</f>
        <v>-</v>
      </c>
      <c r="I1207" s="38">
        <f>IFERROR(COUNTIF([1]AdventureDiscoveryGroup!$D$8:$AW$92,표1[[#This Row],[명칭]]),"-")</f>
        <v>0</v>
      </c>
      <c r="J1207" s="38">
        <f>IFERROR(COUNTIF([1]FishDiscoveryGroup!$A:$X,표1[[#This Row],[명칭]]),"-")</f>
        <v>4</v>
      </c>
      <c r="K1207" s="38" t="str">
        <f>IFERROR(COUNTIF([2]Town!$B:$B,표1[[#This Row],[명칭]]),"-")</f>
        <v>-</v>
      </c>
      <c r="L1207" s="38">
        <f>IFERROR(COUNTIF([1]Village!$BR:$BR,표1[[#This Row],[명칭]]),"-")</f>
        <v>0</v>
      </c>
      <c r="M1207" s="38">
        <f>COUNTIF(퀘스트!B:B,표1[[#This Row],[명칭]])</f>
        <v>0</v>
      </c>
      <c r="N1207" s="65">
        <f>COUNTIF([1]VillageDiscoveryGroup!$C:$C,표1[[#This Row],[명칭]])</f>
        <v>0</v>
      </c>
      <c r="O1207" s="65">
        <f>SUM(표1[[#This Row],[해양탐색]:[마을탐험]])</f>
        <v>4</v>
      </c>
    </row>
    <row r="1208" spans="2:15" ht="13.5" customHeight="1" x14ac:dyDescent="0.3">
      <c r="B1208" s="9">
        <f>[1]Discovery!A1214</f>
        <v>70409290</v>
      </c>
      <c r="C1208" s="9" t="str">
        <f>[1]Discovery!B1214</f>
        <v>연무자리돔</v>
      </c>
      <c r="D1208" s="9" t="str">
        <f>[1]Discovery!E1214</f>
        <v>동물</v>
      </c>
      <c r="E1208" s="9" t="str">
        <f>[1]Discovery!C1214</f>
        <v>어류</v>
      </c>
      <c r="F1208" s="9" t="str">
        <f>[1]Discovery!G1214</f>
        <v>D</v>
      </c>
      <c r="G1208" s="9" t="str">
        <f>IFERROR(VLOOKUP(표1[[#This Row],[명칭]],'문화권 정리'!C:D,2,FALSE),"-")</f>
        <v>어류</v>
      </c>
      <c r="H1208" s="38" t="str">
        <f>IFERROR(COUNTIF([2]OceanDoodad!$Y:$Y,표1[[#This Row],[명칭]]),"-")</f>
        <v>-</v>
      </c>
      <c r="I1208" s="38">
        <f>IFERROR(COUNTIF([1]AdventureDiscoveryGroup!$D$8:$AW$92,표1[[#This Row],[명칭]]),"-")</f>
        <v>0</v>
      </c>
      <c r="J1208" s="38">
        <f>IFERROR(COUNTIF([1]FishDiscoveryGroup!$A:$X,표1[[#This Row],[명칭]]),"-")</f>
        <v>0</v>
      </c>
      <c r="K1208" s="38" t="str">
        <f>IFERROR(COUNTIF([2]Town!$B:$B,표1[[#This Row],[명칭]]),"-")</f>
        <v>-</v>
      </c>
      <c r="L1208" s="38">
        <f>IFERROR(COUNTIF([1]Village!$BR:$BR,표1[[#This Row],[명칭]]),"-")</f>
        <v>0</v>
      </c>
      <c r="M1208" s="38">
        <f>COUNTIF(퀘스트!B:B,표1[[#This Row],[명칭]])</f>
        <v>0</v>
      </c>
      <c r="N1208" s="65">
        <f>COUNTIF([1]VillageDiscoveryGroup!$C:$C,표1[[#This Row],[명칭]])</f>
        <v>0</v>
      </c>
      <c r="O1208" s="65">
        <f>SUM(표1[[#This Row],[해양탐색]:[마을탐험]])</f>
        <v>0</v>
      </c>
    </row>
    <row r="1209" spans="2:15" ht="13.5" customHeight="1" x14ac:dyDescent="0.3">
      <c r="B1209" s="9">
        <f>[1]Discovery!A1215</f>
        <v>70409291</v>
      </c>
      <c r="C1209" s="9" t="str">
        <f>[1]Discovery!B1215</f>
        <v>연어</v>
      </c>
      <c r="D1209" s="9" t="str">
        <f>[1]Discovery!E1215</f>
        <v>동물</v>
      </c>
      <c r="E1209" s="9" t="str">
        <f>[1]Discovery!C1215</f>
        <v>어류</v>
      </c>
      <c r="F1209" s="9" t="str">
        <f>[1]Discovery!G1215</f>
        <v>B</v>
      </c>
      <c r="G1209" s="9" t="str">
        <f>IFERROR(VLOOKUP(표1[[#This Row],[명칭]],'문화권 정리'!C:D,2,FALSE),"-")</f>
        <v>어류</v>
      </c>
      <c r="H1209" s="38" t="str">
        <f>IFERROR(COUNTIF([2]OceanDoodad!$Y:$Y,표1[[#This Row],[명칭]]),"-")</f>
        <v>-</v>
      </c>
      <c r="I1209" s="38">
        <f>IFERROR(COUNTIF([1]AdventureDiscoveryGroup!$D$8:$AW$92,표1[[#This Row],[명칭]]),"-")</f>
        <v>0</v>
      </c>
      <c r="J1209" s="38">
        <f>IFERROR(COUNTIF([1]FishDiscoveryGroup!$A:$X,표1[[#This Row],[명칭]]),"-")</f>
        <v>0</v>
      </c>
      <c r="K1209" s="38" t="str">
        <f>IFERROR(COUNTIF([2]Town!$B:$B,표1[[#This Row],[명칭]]),"-")</f>
        <v>-</v>
      </c>
      <c r="L1209" s="38">
        <f>IFERROR(COUNTIF([1]Village!$BR:$BR,표1[[#This Row],[명칭]]),"-")</f>
        <v>0</v>
      </c>
      <c r="M1209" s="38">
        <f>COUNTIF(퀘스트!B:B,표1[[#This Row],[명칭]])</f>
        <v>0</v>
      </c>
      <c r="N1209" s="65">
        <f>COUNTIF([1]VillageDiscoveryGroup!$C:$C,표1[[#This Row],[명칭]])</f>
        <v>0</v>
      </c>
      <c r="O1209" s="65">
        <f>SUM(표1[[#This Row],[해양탐색]:[마을탐험]])</f>
        <v>0</v>
      </c>
    </row>
    <row r="1210" spans="2:15" ht="13.5" customHeight="1" x14ac:dyDescent="0.3">
      <c r="B1210" s="9">
        <f>[1]Discovery!A1216</f>
        <v>70409292</v>
      </c>
      <c r="C1210" s="9" t="str">
        <f>[1]Discovery!B1216</f>
        <v>열빙어</v>
      </c>
      <c r="D1210" s="9" t="str">
        <f>[1]Discovery!E1216</f>
        <v>동물</v>
      </c>
      <c r="E1210" s="9" t="str">
        <f>[1]Discovery!C1216</f>
        <v>어류</v>
      </c>
      <c r="F1210" s="9" t="str">
        <f>[1]Discovery!G1216</f>
        <v>D</v>
      </c>
      <c r="G1210" s="9" t="str">
        <f>IFERROR(VLOOKUP(표1[[#This Row],[명칭]],'문화권 정리'!C:D,2,FALSE),"-")</f>
        <v>어류</v>
      </c>
      <c r="H1210" s="38" t="str">
        <f>IFERROR(COUNTIF([2]OceanDoodad!$Y:$Y,표1[[#This Row],[명칭]]),"-")</f>
        <v>-</v>
      </c>
      <c r="I1210" s="38">
        <f>IFERROR(COUNTIF([1]AdventureDiscoveryGroup!$D$8:$AW$92,표1[[#This Row],[명칭]]),"-")</f>
        <v>0</v>
      </c>
      <c r="J1210" s="38">
        <f>IFERROR(COUNTIF([1]FishDiscoveryGroup!$A:$X,표1[[#This Row],[명칭]]),"-")</f>
        <v>8</v>
      </c>
      <c r="K1210" s="38" t="str">
        <f>IFERROR(COUNTIF([2]Town!$B:$B,표1[[#This Row],[명칭]]),"-")</f>
        <v>-</v>
      </c>
      <c r="L1210" s="38">
        <f>IFERROR(COUNTIF([1]Village!$BR:$BR,표1[[#This Row],[명칭]]),"-")</f>
        <v>0</v>
      </c>
      <c r="M1210" s="38">
        <f>COUNTIF(퀘스트!B:B,표1[[#This Row],[명칭]])</f>
        <v>0</v>
      </c>
      <c r="N1210" s="65">
        <f>COUNTIF([1]VillageDiscoveryGroup!$C:$C,표1[[#This Row],[명칭]])</f>
        <v>0</v>
      </c>
      <c r="O1210" s="65">
        <f>SUM(표1[[#This Row],[해양탐색]:[마을탐험]])</f>
        <v>8</v>
      </c>
    </row>
    <row r="1211" spans="2:15" ht="13.5" customHeight="1" x14ac:dyDescent="0.3">
      <c r="B1211" s="9">
        <f>[1]Discovery!A1217</f>
        <v>70409293</v>
      </c>
      <c r="C1211" s="9" t="str">
        <f>[1]Discovery!B1217</f>
        <v>오점촉수</v>
      </c>
      <c r="D1211" s="9" t="str">
        <f>[1]Discovery!E1217</f>
        <v>동물</v>
      </c>
      <c r="E1211" s="9" t="str">
        <f>[1]Discovery!C1217</f>
        <v>어류</v>
      </c>
      <c r="F1211" s="9" t="str">
        <f>[1]Discovery!G1217</f>
        <v>C</v>
      </c>
      <c r="G1211" s="9" t="str">
        <f>IFERROR(VLOOKUP(표1[[#This Row],[명칭]],'문화권 정리'!C:D,2,FALSE),"-")</f>
        <v>어류</v>
      </c>
      <c r="H1211" s="38" t="str">
        <f>IFERROR(COUNTIF([2]OceanDoodad!$Y:$Y,표1[[#This Row],[명칭]]),"-")</f>
        <v>-</v>
      </c>
      <c r="I1211" s="38">
        <f>IFERROR(COUNTIF([1]AdventureDiscoveryGroup!$D$8:$AW$92,표1[[#This Row],[명칭]]),"-")</f>
        <v>0</v>
      </c>
      <c r="J1211" s="38">
        <f>IFERROR(COUNTIF([1]FishDiscoveryGroup!$A:$X,표1[[#This Row],[명칭]]),"-")</f>
        <v>4</v>
      </c>
      <c r="K1211" s="38" t="str">
        <f>IFERROR(COUNTIF([2]Town!$B:$B,표1[[#This Row],[명칭]]),"-")</f>
        <v>-</v>
      </c>
      <c r="L1211" s="38">
        <f>IFERROR(COUNTIF([1]Village!$BR:$BR,표1[[#This Row],[명칭]]),"-")</f>
        <v>0</v>
      </c>
      <c r="M1211" s="38">
        <f>COUNTIF(퀘스트!B:B,표1[[#This Row],[명칭]])</f>
        <v>0</v>
      </c>
      <c r="N1211" s="65">
        <f>COUNTIF([1]VillageDiscoveryGroup!$C:$C,표1[[#This Row],[명칭]])</f>
        <v>0</v>
      </c>
      <c r="O1211" s="65">
        <f>SUM(표1[[#This Row],[해양탐색]:[마을탐험]])</f>
        <v>4</v>
      </c>
    </row>
    <row r="1212" spans="2:15" ht="13.5" customHeight="1" x14ac:dyDescent="0.3">
      <c r="B1212" s="9">
        <f>[1]Discovery!A1218</f>
        <v>70409294</v>
      </c>
      <c r="C1212" s="9" t="str">
        <f>[1]Discovery!B1218</f>
        <v>오타리아</v>
      </c>
      <c r="D1212" s="9" t="str">
        <f>[1]Discovery!E1218</f>
        <v>동물</v>
      </c>
      <c r="E1212" s="9" t="str">
        <f>[1]Discovery!C1218</f>
        <v>포유류</v>
      </c>
      <c r="F1212" s="9" t="str">
        <f>[1]Discovery!G1218</f>
        <v>A</v>
      </c>
      <c r="G1212" s="9" t="str">
        <f>IFERROR(VLOOKUP(표1[[#This Row],[명칭]],'문화권 정리'!C:D,2,FALSE),"-")</f>
        <v>어류</v>
      </c>
      <c r="H1212" s="38" t="str">
        <f>IFERROR(COUNTIF([2]OceanDoodad!$Y:$Y,표1[[#This Row],[명칭]]),"-")</f>
        <v>-</v>
      </c>
      <c r="I1212" s="38">
        <f>IFERROR(COUNTIF([1]AdventureDiscoveryGroup!$D$8:$AW$92,표1[[#This Row],[명칭]]),"-")</f>
        <v>0</v>
      </c>
      <c r="J1212" s="38">
        <f>IFERROR(COUNTIF([1]FishDiscoveryGroup!$A:$X,표1[[#This Row],[명칭]]),"-")</f>
        <v>0</v>
      </c>
      <c r="K1212" s="38" t="str">
        <f>IFERROR(COUNTIF([2]Town!$B:$B,표1[[#This Row],[명칭]]),"-")</f>
        <v>-</v>
      </c>
      <c r="L1212" s="38">
        <f>IFERROR(COUNTIF([1]Village!$BR:$BR,표1[[#This Row],[명칭]]),"-")</f>
        <v>0</v>
      </c>
      <c r="M1212" s="38">
        <f>COUNTIF(퀘스트!B:B,표1[[#This Row],[명칭]])</f>
        <v>0</v>
      </c>
      <c r="N1212" s="65">
        <f>COUNTIF([1]VillageDiscoveryGroup!$C:$C,표1[[#This Row],[명칭]])</f>
        <v>0</v>
      </c>
      <c r="O1212" s="65">
        <f>SUM(표1[[#This Row],[해양탐색]:[마을탐험]])</f>
        <v>0</v>
      </c>
    </row>
    <row r="1213" spans="2:15" ht="13.5" customHeight="1" x14ac:dyDescent="0.3">
      <c r="B1213" s="9">
        <f>[1]Discovery!A1219</f>
        <v>70409295</v>
      </c>
      <c r="C1213" s="9" t="str">
        <f>[1]Discovery!B1219</f>
        <v>옥돔</v>
      </c>
      <c r="D1213" s="9" t="str">
        <f>[1]Discovery!E1219</f>
        <v>동물</v>
      </c>
      <c r="E1213" s="9" t="str">
        <f>[1]Discovery!C1219</f>
        <v>어류</v>
      </c>
      <c r="F1213" s="9" t="str">
        <f>[1]Discovery!G1219</f>
        <v>S</v>
      </c>
      <c r="G1213" s="9" t="str">
        <f>IFERROR(VLOOKUP(표1[[#This Row],[명칭]],'문화권 정리'!C:D,2,FALSE),"-")</f>
        <v>어류</v>
      </c>
      <c r="H1213" s="38" t="str">
        <f>IFERROR(COUNTIF([2]OceanDoodad!$Y:$Y,표1[[#This Row],[명칭]]),"-")</f>
        <v>-</v>
      </c>
      <c r="I1213" s="38">
        <f>IFERROR(COUNTIF([1]AdventureDiscoveryGroup!$D$8:$AW$92,표1[[#This Row],[명칭]]),"-")</f>
        <v>0</v>
      </c>
      <c r="J1213" s="38">
        <f>IFERROR(COUNTIF([1]FishDiscoveryGroup!$A:$X,표1[[#This Row],[명칭]]),"-")</f>
        <v>4</v>
      </c>
      <c r="K1213" s="38" t="str">
        <f>IFERROR(COUNTIF([2]Town!$B:$B,표1[[#This Row],[명칭]]),"-")</f>
        <v>-</v>
      </c>
      <c r="L1213" s="38">
        <f>IFERROR(COUNTIF([1]Village!$BR:$BR,표1[[#This Row],[명칭]]),"-")</f>
        <v>0</v>
      </c>
      <c r="M1213" s="38">
        <f>COUNTIF(퀘스트!B:B,표1[[#This Row],[명칭]])</f>
        <v>0</v>
      </c>
      <c r="N1213" s="65">
        <f>COUNTIF([1]VillageDiscoveryGroup!$C:$C,표1[[#This Row],[명칭]])</f>
        <v>0</v>
      </c>
      <c r="O1213" s="65">
        <f>SUM(표1[[#This Row],[해양탐색]:[마을탐험]])</f>
        <v>4</v>
      </c>
    </row>
    <row r="1214" spans="2:15" ht="13.5" customHeight="1" x14ac:dyDescent="0.3">
      <c r="B1214" s="9">
        <f>[1]Discovery!A1220</f>
        <v>70409296</v>
      </c>
      <c r="C1214" s="9" t="str">
        <f>[1]Discovery!B1220</f>
        <v>옥두놀래기</v>
      </c>
      <c r="D1214" s="9" t="str">
        <f>[1]Discovery!E1220</f>
        <v>동물</v>
      </c>
      <c r="E1214" s="9" t="str">
        <f>[1]Discovery!C1220</f>
        <v>어류</v>
      </c>
      <c r="F1214" s="9" t="str">
        <f>[1]Discovery!G1220</f>
        <v>D</v>
      </c>
      <c r="G1214" s="9" t="str">
        <f>IFERROR(VLOOKUP(표1[[#This Row],[명칭]],'문화권 정리'!C:D,2,FALSE),"-")</f>
        <v>어류</v>
      </c>
      <c r="H1214" s="38" t="str">
        <f>IFERROR(COUNTIF([2]OceanDoodad!$Y:$Y,표1[[#This Row],[명칭]]),"-")</f>
        <v>-</v>
      </c>
      <c r="I1214" s="38">
        <f>IFERROR(COUNTIF([1]AdventureDiscoveryGroup!$D$8:$AW$92,표1[[#This Row],[명칭]]),"-")</f>
        <v>0</v>
      </c>
      <c r="J1214" s="38">
        <f>IFERROR(COUNTIF([1]FishDiscoveryGroup!$A:$X,표1[[#This Row],[명칭]]),"-")</f>
        <v>0</v>
      </c>
      <c r="K1214" s="38" t="str">
        <f>IFERROR(COUNTIF([2]Town!$B:$B,표1[[#This Row],[명칭]]),"-")</f>
        <v>-</v>
      </c>
      <c r="L1214" s="38">
        <f>IFERROR(COUNTIF([1]Village!$BR:$BR,표1[[#This Row],[명칭]]),"-")</f>
        <v>0</v>
      </c>
      <c r="M1214" s="38">
        <f>COUNTIF(퀘스트!B:B,표1[[#This Row],[명칭]])</f>
        <v>0</v>
      </c>
      <c r="N1214" s="65">
        <f>COUNTIF([1]VillageDiscoveryGroup!$C:$C,표1[[#This Row],[명칭]])</f>
        <v>0</v>
      </c>
      <c r="O1214" s="65">
        <f>SUM(표1[[#This Row],[해양탐색]:[마을탐험]])</f>
        <v>0</v>
      </c>
    </row>
    <row r="1215" spans="2:15" ht="13.5" customHeight="1" x14ac:dyDescent="0.3">
      <c r="B1215" s="9">
        <f>[1]Discovery!A1221</f>
        <v>70409297</v>
      </c>
      <c r="C1215" s="9" t="str">
        <f>[1]Discovery!B1221</f>
        <v>왕연어</v>
      </c>
      <c r="D1215" s="9" t="str">
        <f>[1]Discovery!E1221</f>
        <v>동물</v>
      </c>
      <c r="E1215" s="9" t="str">
        <f>[1]Discovery!C1221</f>
        <v>어류</v>
      </c>
      <c r="F1215" s="9" t="str">
        <f>[1]Discovery!G1221</f>
        <v>D</v>
      </c>
      <c r="G1215" s="9" t="str">
        <f>IFERROR(VLOOKUP(표1[[#This Row],[명칭]],'문화권 정리'!C:D,2,FALSE),"-")</f>
        <v>어류</v>
      </c>
      <c r="H1215" s="38" t="str">
        <f>IFERROR(COUNTIF([2]OceanDoodad!$Y:$Y,표1[[#This Row],[명칭]]),"-")</f>
        <v>-</v>
      </c>
      <c r="I1215" s="38">
        <f>IFERROR(COUNTIF([1]AdventureDiscoveryGroup!$D$8:$AW$92,표1[[#This Row],[명칭]]),"-")</f>
        <v>0</v>
      </c>
      <c r="J1215" s="38">
        <f>IFERROR(COUNTIF([1]FishDiscoveryGroup!$A:$X,표1[[#This Row],[명칭]]),"-")</f>
        <v>8</v>
      </c>
      <c r="K1215" s="38" t="str">
        <f>IFERROR(COUNTIF([2]Town!$B:$B,표1[[#This Row],[명칭]]),"-")</f>
        <v>-</v>
      </c>
      <c r="L1215" s="38">
        <f>IFERROR(COUNTIF([1]Village!$BR:$BR,표1[[#This Row],[명칭]]),"-")</f>
        <v>0</v>
      </c>
      <c r="M1215" s="38">
        <f>COUNTIF(퀘스트!B:B,표1[[#This Row],[명칭]])</f>
        <v>0</v>
      </c>
      <c r="N1215" s="65">
        <f>COUNTIF([1]VillageDiscoveryGroup!$C:$C,표1[[#This Row],[명칭]])</f>
        <v>0</v>
      </c>
      <c r="O1215" s="65">
        <f>SUM(표1[[#This Row],[해양탐색]:[마을탐험]])</f>
        <v>8</v>
      </c>
    </row>
    <row r="1216" spans="2:15" ht="13.5" customHeight="1" x14ac:dyDescent="0.3">
      <c r="B1216" s="9">
        <f>[1]Discovery!A1222</f>
        <v>70409298</v>
      </c>
      <c r="C1216" s="9" t="str">
        <f>[1]Discovery!B1222</f>
        <v>왜주둥치</v>
      </c>
      <c r="D1216" s="9" t="str">
        <f>[1]Discovery!E1222</f>
        <v>동물</v>
      </c>
      <c r="E1216" s="9" t="str">
        <f>[1]Discovery!C1222</f>
        <v>어류</v>
      </c>
      <c r="F1216" s="9" t="str">
        <f>[1]Discovery!G1222</f>
        <v>B</v>
      </c>
      <c r="G1216" s="9" t="str">
        <f>IFERROR(VLOOKUP(표1[[#This Row],[명칭]],'문화권 정리'!C:D,2,FALSE),"-")</f>
        <v>어류</v>
      </c>
      <c r="H1216" s="38" t="str">
        <f>IFERROR(COUNTIF([2]OceanDoodad!$Y:$Y,표1[[#This Row],[명칭]]),"-")</f>
        <v>-</v>
      </c>
      <c r="I1216" s="38">
        <f>IFERROR(COUNTIF([1]AdventureDiscoveryGroup!$D$8:$AW$92,표1[[#This Row],[명칭]]),"-")</f>
        <v>0</v>
      </c>
      <c r="J1216" s="38">
        <f>IFERROR(COUNTIF([1]FishDiscoveryGroup!$A:$X,표1[[#This Row],[명칭]]),"-")</f>
        <v>4</v>
      </c>
      <c r="K1216" s="38" t="str">
        <f>IFERROR(COUNTIF([2]Town!$B:$B,표1[[#This Row],[명칭]]),"-")</f>
        <v>-</v>
      </c>
      <c r="L1216" s="38">
        <f>IFERROR(COUNTIF([1]Village!$BR:$BR,표1[[#This Row],[명칭]]),"-")</f>
        <v>0</v>
      </c>
      <c r="M1216" s="38">
        <f>COUNTIF(퀘스트!B:B,표1[[#This Row],[명칭]])</f>
        <v>0</v>
      </c>
      <c r="N1216" s="65">
        <f>COUNTIF([1]VillageDiscoveryGroup!$C:$C,표1[[#This Row],[명칭]])</f>
        <v>0</v>
      </c>
      <c r="O1216" s="65">
        <f>SUM(표1[[#This Row],[해양탐색]:[마을탐험]])</f>
        <v>4</v>
      </c>
    </row>
    <row r="1217" spans="2:15" ht="13.5" customHeight="1" x14ac:dyDescent="0.3">
      <c r="B1217" s="9">
        <f>[1]Discovery!A1223</f>
        <v>70409299</v>
      </c>
      <c r="C1217" s="9" t="str">
        <f>[1]Discovery!B1223</f>
        <v>우럭볼락</v>
      </c>
      <c r="D1217" s="9" t="str">
        <f>[1]Discovery!E1223</f>
        <v>동물</v>
      </c>
      <c r="E1217" s="9" t="str">
        <f>[1]Discovery!C1223</f>
        <v>어류</v>
      </c>
      <c r="F1217" s="9" t="str">
        <f>[1]Discovery!G1223</f>
        <v>B</v>
      </c>
      <c r="G1217" s="9" t="str">
        <f>IFERROR(VLOOKUP(표1[[#This Row],[명칭]],'문화권 정리'!C:D,2,FALSE),"-")</f>
        <v>어류</v>
      </c>
      <c r="H1217" s="38" t="str">
        <f>IFERROR(COUNTIF([2]OceanDoodad!$Y:$Y,표1[[#This Row],[명칭]]),"-")</f>
        <v>-</v>
      </c>
      <c r="I1217" s="38">
        <f>IFERROR(COUNTIF([1]AdventureDiscoveryGroup!$D$8:$AW$92,표1[[#This Row],[명칭]]),"-")</f>
        <v>0</v>
      </c>
      <c r="J1217" s="38">
        <f>IFERROR(COUNTIF([1]FishDiscoveryGroup!$A:$X,표1[[#This Row],[명칭]]),"-")</f>
        <v>0</v>
      </c>
      <c r="K1217" s="38" t="str">
        <f>IFERROR(COUNTIF([2]Town!$B:$B,표1[[#This Row],[명칭]]),"-")</f>
        <v>-</v>
      </c>
      <c r="L1217" s="38">
        <f>IFERROR(COUNTIF([1]Village!$BR:$BR,표1[[#This Row],[명칭]]),"-")</f>
        <v>0</v>
      </c>
      <c r="M1217" s="38">
        <f>COUNTIF(퀘스트!B:B,표1[[#This Row],[명칭]])</f>
        <v>0</v>
      </c>
      <c r="N1217" s="65">
        <f>COUNTIF([1]VillageDiscoveryGroup!$C:$C,표1[[#This Row],[명칭]])</f>
        <v>0</v>
      </c>
      <c r="O1217" s="65">
        <f>SUM(표1[[#This Row],[해양탐색]:[마을탐험]])</f>
        <v>0</v>
      </c>
    </row>
    <row r="1218" spans="2:15" ht="13.5" customHeight="1" x14ac:dyDescent="0.3">
      <c r="B1218" s="9">
        <f>[1]Discovery!A1224</f>
        <v>70409300</v>
      </c>
      <c r="C1218" s="9" t="str">
        <f>[1]Discovery!B1224</f>
        <v>웰스메기</v>
      </c>
      <c r="D1218" s="9" t="str">
        <f>[1]Discovery!E1224</f>
        <v>동물</v>
      </c>
      <c r="E1218" s="9" t="str">
        <f>[1]Discovery!C1224</f>
        <v>어류</v>
      </c>
      <c r="F1218" s="9" t="str">
        <f>[1]Discovery!G1224</f>
        <v>B</v>
      </c>
      <c r="G1218" s="9" t="str">
        <f>IFERROR(VLOOKUP(표1[[#This Row],[명칭]],'문화권 정리'!C:D,2,FALSE),"-")</f>
        <v>어류</v>
      </c>
      <c r="H1218" s="38" t="str">
        <f>IFERROR(COUNTIF([2]OceanDoodad!$Y:$Y,표1[[#This Row],[명칭]]),"-")</f>
        <v>-</v>
      </c>
      <c r="I1218" s="38">
        <f>IFERROR(COUNTIF([1]AdventureDiscoveryGroup!$D$8:$AW$92,표1[[#This Row],[명칭]]),"-")</f>
        <v>0</v>
      </c>
      <c r="J1218" s="38">
        <f>IFERROR(COUNTIF([1]FishDiscoveryGroup!$A:$X,표1[[#This Row],[명칭]]),"-")</f>
        <v>1</v>
      </c>
      <c r="K1218" s="38" t="str">
        <f>IFERROR(COUNTIF([2]Town!$B:$B,표1[[#This Row],[명칭]]),"-")</f>
        <v>-</v>
      </c>
      <c r="L1218" s="38">
        <f>IFERROR(COUNTIF([1]Village!$BR:$BR,표1[[#This Row],[명칭]]),"-")</f>
        <v>0</v>
      </c>
      <c r="M1218" s="38">
        <f>COUNTIF(퀘스트!B:B,표1[[#This Row],[명칭]])</f>
        <v>0</v>
      </c>
      <c r="N1218" s="65">
        <f>COUNTIF([1]VillageDiscoveryGroup!$C:$C,표1[[#This Row],[명칭]])</f>
        <v>0</v>
      </c>
      <c r="O1218" s="65">
        <f>SUM(표1[[#This Row],[해양탐색]:[마을탐험]])</f>
        <v>1</v>
      </c>
    </row>
    <row r="1219" spans="2:15" ht="13.5" customHeight="1" x14ac:dyDescent="0.3">
      <c r="B1219" s="9">
        <f>[1]Discovery!A1225</f>
        <v>70409301</v>
      </c>
      <c r="C1219" s="9" t="str">
        <f>[1]Discovery!B1225</f>
        <v>유리메기</v>
      </c>
      <c r="D1219" s="9" t="str">
        <f>[1]Discovery!E1225</f>
        <v>동물</v>
      </c>
      <c r="E1219" s="9" t="str">
        <f>[1]Discovery!C1225</f>
        <v>어류</v>
      </c>
      <c r="F1219" s="9" t="str">
        <f>[1]Discovery!G1225</f>
        <v>S</v>
      </c>
      <c r="G1219" s="9" t="str">
        <f>IFERROR(VLOOKUP(표1[[#This Row],[명칭]],'문화권 정리'!C:D,2,FALSE),"-")</f>
        <v>어류</v>
      </c>
      <c r="H1219" s="38" t="str">
        <f>IFERROR(COUNTIF([2]OceanDoodad!$Y:$Y,표1[[#This Row],[명칭]]),"-")</f>
        <v>-</v>
      </c>
      <c r="I1219" s="38">
        <f>IFERROR(COUNTIF([1]AdventureDiscoveryGroup!$D$8:$AW$92,표1[[#This Row],[명칭]]),"-")</f>
        <v>0</v>
      </c>
      <c r="J1219" s="38">
        <f>IFERROR(COUNTIF([1]FishDiscoveryGroup!$A:$X,표1[[#This Row],[명칭]]),"-")</f>
        <v>4</v>
      </c>
      <c r="K1219" s="38" t="str">
        <f>IFERROR(COUNTIF([2]Town!$B:$B,표1[[#This Row],[명칭]]),"-")</f>
        <v>-</v>
      </c>
      <c r="L1219" s="38">
        <f>IFERROR(COUNTIF([1]Village!$BR:$BR,표1[[#This Row],[명칭]]),"-")</f>
        <v>0</v>
      </c>
      <c r="M1219" s="38">
        <f>COUNTIF(퀘스트!B:B,표1[[#This Row],[명칭]])</f>
        <v>0</v>
      </c>
      <c r="N1219" s="65">
        <f>COUNTIF([1]VillageDiscoveryGroup!$C:$C,표1[[#This Row],[명칭]])</f>
        <v>0</v>
      </c>
      <c r="O1219" s="65">
        <f>SUM(표1[[#This Row],[해양탐색]:[마을탐험]])</f>
        <v>4</v>
      </c>
    </row>
    <row r="1220" spans="2:15" ht="13.5" customHeight="1" x14ac:dyDescent="0.3">
      <c r="B1220" s="9">
        <f>[1]Discovery!A1226</f>
        <v>70409302</v>
      </c>
      <c r="C1220" s="9" t="str">
        <f>[1]Discovery!B1226</f>
        <v>육동가리돔</v>
      </c>
      <c r="D1220" s="9" t="str">
        <f>[1]Discovery!E1226</f>
        <v>동물</v>
      </c>
      <c r="E1220" s="9" t="str">
        <f>[1]Discovery!C1226</f>
        <v>어류</v>
      </c>
      <c r="F1220" s="9" t="str">
        <f>[1]Discovery!G1226</f>
        <v>D</v>
      </c>
      <c r="G1220" s="9" t="str">
        <f>IFERROR(VLOOKUP(표1[[#This Row],[명칭]],'문화권 정리'!C:D,2,FALSE),"-")</f>
        <v>어류</v>
      </c>
      <c r="H1220" s="38" t="str">
        <f>IFERROR(COUNTIF([2]OceanDoodad!$Y:$Y,표1[[#This Row],[명칭]]),"-")</f>
        <v>-</v>
      </c>
      <c r="I1220" s="38">
        <f>IFERROR(COUNTIF([1]AdventureDiscoveryGroup!$D$8:$AW$92,표1[[#This Row],[명칭]]),"-")</f>
        <v>0</v>
      </c>
      <c r="J1220" s="38">
        <f>IFERROR(COUNTIF([1]FishDiscoveryGroup!$A:$X,표1[[#This Row],[명칭]]),"-")</f>
        <v>4</v>
      </c>
      <c r="K1220" s="38" t="str">
        <f>IFERROR(COUNTIF([2]Town!$B:$B,표1[[#This Row],[명칭]]),"-")</f>
        <v>-</v>
      </c>
      <c r="L1220" s="38">
        <f>IFERROR(COUNTIF([1]Village!$BR:$BR,표1[[#This Row],[명칭]]),"-")</f>
        <v>0</v>
      </c>
      <c r="M1220" s="38">
        <f>COUNTIF(퀘스트!B:B,표1[[#This Row],[명칭]])</f>
        <v>0</v>
      </c>
      <c r="N1220" s="65">
        <f>COUNTIF([1]VillageDiscoveryGroup!$C:$C,표1[[#This Row],[명칭]])</f>
        <v>0</v>
      </c>
      <c r="O1220" s="65">
        <f>SUM(표1[[#This Row],[해양탐색]:[마을탐험]])</f>
        <v>4</v>
      </c>
    </row>
    <row r="1221" spans="2:15" ht="13.5" customHeight="1" x14ac:dyDescent="0.3">
      <c r="B1221" s="9">
        <f>[1]Discovery!A1227</f>
        <v>70409303</v>
      </c>
      <c r="C1221" s="9" t="str">
        <f>[1]Discovery!B1227</f>
        <v>은비늘치</v>
      </c>
      <c r="D1221" s="9" t="str">
        <f>[1]Discovery!E1227</f>
        <v>동물</v>
      </c>
      <c r="E1221" s="9" t="str">
        <f>[1]Discovery!C1227</f>
        <v>어류</v>
      </c>
      <c r="F1221" s="9" t="str">
        <f>[1]Discovery!G1227</f>
        <v>C</v>
      </c>
      <c r="G1221" s="9" t="str">
        <f>IFERROR(VLOOKUP(표1[[#This Row],[명칭]],'문화권 정리'!C:D,2,FALSE),"-")</f>
        <v>어류</v>
      </c>
      <c r="H1221" s="38" t="str">
        <f>IFERROR(COUNTIF([2]OceanDoodad!$Y:$Y,표1[[#This Row],[명칭]]),"-")</f>
        <v>-</v>
      </c>
      <c r="I1221" s="38">
        <f>IFERROR(COUNTIF([1]AdventureDiscoveryGroup!$D$8:$AW$92,표1[[#This Row],[명칭]]),"-")</f>
        <v>0</v>
      </c>
      <c r="J1221" s="38">
        <f>IFERROR(COUNTIF([1]FishDiscoveryGroup!$A:$X,표1[[#This Row],[명칭]]),"-")</f>
        <v>4</v>
      </c>
      <c r="K1221" s="38" t="str">
        <f>IFERROR(COUNTIF([2]Town!$B:$B,표1[[#This Row],[명칭]]),"-")</f>
        <v>-</v>
      </c>
      <c r="L1221" s="38">
        <f>IFERROR(COUNTIF([1]Village!$BR:$BR,표1[[#This Row],[명칭]]),"-")</f>
        <v>0</v>
      </c>
      <c r="M1221" s="38">
        <f>COUNTIF(퀘스트!B:B,표1[[#This Row],[명칭]])</f>
        <v>0</v>
      </c>
      <c r="N1221" s="65">
        <f>COUNTIF([1]VillageDiscoveryGroup!$C:$C,표1[[#This Row],[명칭]])</f>
        <v>0</v>
      </c>
      <c r="O1221" s="65">
        <f>SUM(표1[[#This Row],[해양탐색]:[마을탐험]])</f>
        <v>4</v>
      </c>
    </row>
    <row r="1222" spans="2:15" ht="13.5" customHeight="1" x14ac:dyDescent="0.3">
      <c r="B1222" s="9">
        <f>[1]Discovery!A1228</f>
        <v>70409304</v>
      </c>
      <c r="C1222" s="9" t="str">
        <f>[1]Discovery!B1228</f>
        <v>은어</v>
      </c>
      <c r="D1222" s="9" t="str">
        <f>[1]Discovery!E1228</f>
        <v>동물</v>
      </c>
      <c r="E1222" s="9" t="str">
        <f>[1]Discovery!C1228</f>
        <v>어류</v>
      </c>
      <c r="F1222" s="9" t="str">
        <f>[1]Discovery!G1228</f>
        <v>A</v>
      </c>
      <c r="G1222" s="9" t="str">
        <f>IFERROR(VLOOKUP(표1[[#This Row],[명칭]],'문화권 정리'!C:D,2,FALSE),"-")</f>
        <v>어류</v>
      </c>
      <c r="H1222" s="38" t="str">
        <f>IFERROR(COUNTIF([2]OceanDoodad!$Y:$Y,표1[[#This Row],[명칭]]),"-")</f>
        <v>-</v>
      </c>
      <c r="I1222" s="38">
        <f>IFERROR(COUNTIF([1]AdventureDiscoveryGroup!$D$8:$AW$92,표1[[#This Row],[명칭]]),"-")</f>
        <v>0</v>
      </c>
      <c r="J1222" s="38">
        <f>IFERROR(COUNTIF([1]FishDiscoveryGroup!$A:$X,표1[[#This Row],[명칭]]),"-")</f>
        <v>4</v>
      </c>
      <c r="K1222" s="38" t="str">
        <f>IFERROR(COUNTIF([2]Town!$B:$B,표1[[#This Row],[명칭]]),"-")</f>
        <v>-</v>
      </c>
      <c r="L1222" s="38">
        <f>IFERROR(COUNTIF([1]Village!$BR:$BR,표1[[#This Row],[명칭]]),"-")</f>
        <v>0</v>
      </c>
      <c r="M1222" s="38">
        <f>COUNTIF(퀘스트!B:B,표1[[#This Row],[명칭]])</f>
        <v>0</v>
      </c>
      <c r="N1222" s="65">
        <f>COUNTIF([1]VillageDiscoveryGroup!$C:$C,표1[[#This Row],[명칭]])</f>
        <v>0</v>
      </c>
      <c r="O1222" s="65">
        <f>SUM(표1[[#This Row],[해양탐색]:[마을탐험]])</f>
        <v>4</v>
      </c>
    </row>
    <row r="1223" spans="2:15" ht="13.5" customHeight="1" x14ac:dyDescent="0.3">
      <c r="B1223" s="9">
        <f>[1]Discovery!A1229</f>
        <v>70409305</v>
      </c>
      <c r="C1223" s="9" t="str">
        <f>[1]Discovery!B1229</f>
        <v>이토</v>
      </c>
      <c r="D1223" s="9" t="str">
        <f>[1]Discovery!E1229</f>
        <v>동물</v>
      </c>
      <c r="E1223" s="9" t="str">
        <f>[1]Discovery!C1229</f>
        <v>어류</v>
      </c>
      <c r="F1223" s="9" t="str">
        <f>[1]Discovery!G1229</f>
        <v>S</v>
      </c>
      <c r="G1223" s="9" t="str">
        <f>IFERROR(VLOOKUP(표1[[#This Row],[명칭]],'문화권 정리'!C:D,2,FALSE),"-")</f>
        <v>어류</v>
      </c>
      <c r="H1223" s="38" t="str">
        <f>IFERROR(COUNTIF([2]OceanDoodad!$Y:$Y,표1[[#This Row],[명칭]]),"-")</f>
        <v>-</v>
      </c>
      <c r="I1223" s="38">
        <f>IFERROR(COUNTIF([1]AdventureDiscoveryGroup!$D$8:$AW$92,표1[[#This Row],[명칭]]),"-")</f>
        <v>0</v>
      </c>
      <c r="J1223" s="38">
        <f>IFERROR(COUNTIF([1]FishDiscoveryGroup!$A:$X,표1[[#This Row],[명칭]]),"-")</f>
        <v>0</v>
      </c>
      <c r="K1223" s="38" t="str">
        <f>IFERROR(COUNTIF([2]Town!$B:$B,표1[[#This Row],[명칭]]),"-")</f>
        <v>-</v>
      </c>
      <c r="L1223" s="38">
        <f>IFERROR(COUNTIF([1]Village!$BR:$BR,표1[[#This Row],[명칭]]),"-")</f>
        <v>0</v>
      </c>
      <c r="M1223" s="38">
        <f>COUNTIF(퀘스트!B:B,표1[[#This Row],[명칭]])</f>
        <v>0</v>
      </c>
      <c r="N1223" s="65">
        <f>COUNTIF([1]VillageDiscoveryGroup!$C:$C,표1[[#This Row],[명칭]])</f>
        <v>0</v>
      </c>
      <c r="O1223" s="65">
        <f>SUM(표1[[#This Row],[해양탐색]:[마을탐험]])</f>
        <v>0</v>
      </c>
    </row>
    <row r="1224" spans="2:15" ht="13.5" customHeight="1" x14ac:dyDescent="0.3">
      <c r="B1224" s="9">
        <f>[1]Discovery!A1230</f>
        <v>70409306</v>
      </c>
      <c r="C1224" s="9" t="str">
        <f>[1]Discovery!B1230</f>
        <v>임연수어</v>
      </c>
      <c r="D1224" s="9" t="str">
        <f>[1]Discovery!E1230</f>
        <v>동물</v>
      </c>
      <c r="E1224" s="9" t="str">
        <f>[1]Discovery!C1230</f>
        <v>어류</v>
      </c>
      <c r="F1224" s="9" t="str">
        <f>[1]Discovery!G1230</f>
        <v>C</v>
      </c>
      <c r="G1224" s="9" t="str">
        <f>IFERROR(VLOOKUP(표1[[#This Row],[명칭]],'문화권 정리'!C:D,2,FALSE),"-")</f>
        <v>어류</v>
      </c>
      <c r="H1224" s="38" t="str">
        <f>IFERROR(COUNTIF([2]OceanDoodad!$Y:$Y,표1[[#This Row],[명칭]]),"-")</f>
        <v>-</v>
      </c>
      <c r="I1224" s="38">
        <f>IFERROR(COUNTIF([1]AdventureDiscoveryGroup!$D$8:$AW$92,표1[[#This Row],[명칭]]),"-")</f>
        <v>0</v>
      </c>
      <c r="J1224" s="38">
        <f>IFERROR(COUNTIF([1]FishDiscoveryGroup!$A:$X,표1[[#This Row],[명칭]]),"-")</f>
        <v>4</v>
      </c>
      <c r="K1224" s="38" t="str">
        <f>IFERROR(COUNTIF([2]Town!$B:$B,표1[[#This Row],[명칭]]),"-")</f>
        <v>-</v>
      </c>
      <c r="L1224" s="38">
        <f>IFERROR(COUNTIF([1]Village!$BR:$BR,표1[[#This Row],[명칭]]),"-")</f>
        <v>0</v>
      </c>
      <c r="M1224" s="38">
        <f>COUNTIF(퀘스트!B:B,표1[[#This Row],[명칭]])</f>
        <v>0</v>
      </c>
      <c r="N1224" s="65">
        <f>COUNTIF([1]VillageDiscoveryGroup!$C:$C,표1[[#This Row],[명칭]])</f>
        <v>0</v>
      </c>
      <c r="O1224" s="65">
        <f>SUM(표1[[#This Row],[해양탐색]:[마을탐험]])</f>
        <v>4</v>
      </c>
    </row>
    <row r="1225" spans="2:15" ht="13.5" customHeight="1" x14ac:dyDescent="0.3">
      <c r="B1225" s="9">
        <f>[1]Discovery!A1231</f>
        <v>70409307</v>
      </c>
      <c r="C1225" s="9" t="str">
        <f>[1]Discovery!B1231</f>
        <v>자바리</v>
      </c>
      <c r="D1225" s="9" t="str">
        <f>[1]Discovery!E1231</f>
        <v>동물</v>
      </c>
      <c r="E1225" s="9" t="str">
        <f>[1]Discovery!C1231</f>
        <v>어류</v>
      </c>
      <c r="F1225" s="9" t="str">
        <f>[1]Discovery!G1231</f>
        <v>B</v>
      </c>
      <c r="G1225" s="9" t="str">
        <f>IFERROR(VLOOKUP(표1[[#This Row],[명칭]],'문화권 정리'!C:D,2,FALSE),"-")</f>
        <v>어류</v>
      </c>
      <c r="H1225" s="38" t="str">
        <f>IFERROR(COUNTIF([2]OceanDoodad!$Y:$Y,표1[[#This Row],[명칭]]),"-")</f>
        <v>-</v>
      </c>
      <c r="I1225" s="38">
        <f>IFERROR(COUNTIF([1]AdventureDiscoveryGroup!$D$8:$AW$92,표1[[#This Row],[명칭]]),"-")</f>
        <v>0</v>
      </c>
      <c r="J1225" s="38">
        <f>IFERROR(COUNTIF([1]FishDiscoveryGroup!$A:$X,표1[[#This Row],[명칭]]),"-")</f>
        <v>4</v>
      </c>
      <c r="K1225" s="38" t="str">
        <f>IFERROR(COUNTIF([2]Town!$B:$B,표1[[#This Row],[명칭]]),"-")</f>
        <v>-</v>
      </c>
      <c r="L1225" s="38">
        <f>IFERROR(COUNTIF([1]Village!$BR:$BR,표1[[#This Row],[명칭]]),"-")</f>
        <v>0</v>
      </c>
      <c r="M1225" s="38">
        <f>COUNTIF(퀘스트!B:B,표1[[#This Row],[명칭]])</f>
        <v>0</v>
      </c>
      <c r="N1225" s="65">
        <f>COUNTIF([1]VillageDiscoveryGroup!$C:$C,표1[[#This Row],[명칭]])</f>
        <v>0</v>
      </c>
      <c r="O1225" s="65">
        <f>SUM(표1[[#This Row],[해양탐색]:[마을탐험]])</f>
        <v>4</v>
      </c>
    </row>
    <row r="1226" spans="2:15" ht="13.5" customHeight="1" x14ac:dyDescent="0.3">
      <c r="B1226" s="9">
        <f>[1]Discovery!A1232</f>
        <v>70409308</v>
      </c>
      <c r="C1226" s="9" t="str">
        <f>[1]Discovery!B1232</f>
        <v>자붉돔</v>
      </c>
      <c r="D1226" s="9" t="str">
        <f>[1]Discovery!E1232</f>
        <v>동물</v>
      </c>
      <c r="E1226" s="9" t="str">
        <f>[1]Discovery!C1232</f>
        <v>어류</v>
      </c>
      <c r="F1226" s="9" t="str">
        <f>[1]Discovery!G1232</f>
        <v>D</v>
      </c>
      <c r="G1226" s="9" t="str">
        <f>IFERROR(VLOOKUP(표1[[#This Row],[명칭]],'문화권 정리'!C:D,2,FALSE),"-")</f>
        <v>어류</v>
      </c>
      <c r="H1226" s="38" t="str">
        <f>IFERROR(COUNTIF([2]OceanDoodad!$Y:$Y,표1[[#This Row],[명칭]]),"-")</f>
        <v>-</v>
      </c>
      <c r="I1226" s="38">
        <f>IFERROR(COUNTIF([1]AdventureDiscoveryGroup!$D$8:$AW$92,표1[[#This Row],[명칭]]),"-")</f>
        <v>0</v>
      </c>
      <c r="J1226" s="38">
        <f>IFERROR(COUNTIF([1]FishDiscoveryGroup!$A:$X,표1[[#This Row],[명칭]]),"-")</f>
        <v>4</v>
      </c>
      <c r="K1226" s="38" t="str">
        <f>IFERROR(COUNTIF([2]Town!$B:$B,표1[[#This Row],[명칭]]),"-")</f>
        <v>-</v>
      </c>
      <c r="L1226" s="38">
        <f>IFERROR(COUNTIF([1]Village!$BR:$BR,표1[[#This Row],[명칭]]),"-")</f>
        <v>0</v>
      </c>
      <c r="M1226" s="38">
        <f>COUNTIF(퀘스트!B:B,표1[[#This Row],[명칭]])</f>
        <v>0</v>
      </c>
      <c r="N1226" s="65">
        <f>COUNTIF([1]VillageDiscoveryGroup!$C:$C,표1[[#This Row],[명칭]])</f>
        <v>0</v>
      </c>
      <c r="O1226" s="65">
        <f>SUM(표1[[#This Row],[해양탐색]:[마을탐험]])</f>
        <v>4</v>
      </c>
    </row>
    <row r="1227" spans="2:15" ht="13.5" customHeight="1" x14ac:dyDescent="0.3">
      <c r="B1227" s="9">
        <f>[1]Discovery!A1233</f>
        <v>70409309</v>
      </c>
      <c r="C1227" s="9" t="str">
        <f>[1]Discovery!B1233</f>
        <v>잿방어</v>
      </c>
      <c r="D1227" s="9" t="str">
        <f>[1]Discovery!E1233</f>
        <v>동물</v>
      </c>
      <c r="E1227" s="9" t="str">
        <f>[1]Discovery!C1233</f>
        <v>어류</v>
      </c>
      <c r="F1227" s="9" t="str">
        <f>[1]Discovery!G1233</f>
        <v>D</v>
      </c>
      <c r="G1227" s="9" t="str">
        <f>IFERROR(VLOOKUP(표1[[#This Row],[명칭]],'문화권 정리'!C:D,2,FALSE),"-")</f>
        <v>어류</v>
      </c>
      <c r="H1227" s="38" t="str">
        <f>IFERROR(COUNTIF([2]OceanDoodad!$Y:$Y,표1[[#This Row],[명칭]]),"-")</f>
        <v>-</v>
      </c>
      <c r="I1227" s="38">
        <f>IFERROR(COUNTIF([1]AdventureDiscoveryGroup!$D$8:$AW$92,표1[[#This Row],[명칭]]),"-")</f>
        <v>0</v>
      </c>
      <c r="J1227" s="38">
        <f>IFERROR(COUNTIF([1]FishDiscoveryGroup!$A:$X,표1[[#This Row],[명칭]]),"-")</f>
        <v>0</v>
      </c>
      <c r="K1227" s="38" t="str">
        <f>IFERROR(COUNTIF([2]Town!$B:$B,표1[[#This Row],[명칭]]),"-")</f>
        <v>-</v>
      </c>
      <c r="L1227" s="38">
        <f>IFERROR(COUNTIF([1]Village!$BR:$BR,표1[[#This Row],[명칭]]),"-")</f>
        <v>0</v>
      </c>
      <c r="M1227" s="38">
        <f>COUNTIF(퀘스트!B:B,표1[[#This Row],[명칭]])</f>
        <v>0</v>
      </c>
      <c r="N1227" s="65">
        <f>COUNTIF([1]VillageDiscoveryGroup!$C:$C,표1[[#This Row],[명칭]])</f>
        <v>0</v>
      </c>
      <c r="O1227" s="65">
        <f>SUM(표1[[#This Row],[해양탐색]:[마을탐험]])</f>
        <v>0</v>
      </c>
    </row>
    <row r="1228" spans="2:15" ht="13.5" customHeight="1" x14ac:dyDescent="0.3">
      <c r="B1228" s="9">
        <f>[1]Discovery!A1234</f>
        <v>70409310</v>
      </c>
      <c r="C1228" s="9" t="str">
        <f>[1]Discovery!B1234</f>
        <v>적투어</v>
      </c>
      <c r="D1228" s="9" t="str">
        <f>[1]Discovery!E1234</f>
        <v>동물</v>
      </c>
      <c r="E1228" s="9" t="str">
        <f>[1]Discovery!C1234</f>
        <v>어류</v>
      </c>
      <c r="F1228" s="9" t="str">
        <f>[1]Discovery!G1234</f>
        <v>D</v>
      </c>
      <c r="G1228" s="9" t="str">
        <f>IFERROR(VLOOKUP(표1[[#This Row],[명칭]],'문화권 정리'!C:D,2,FALSE),"-")</f>
        <v>어류</v>
      </c>
      <c r="H1228" s="38" t="str">
        <f>IFERROR(COUNTIF([2]OceanDoodad!$Y:$Y,표1[[#This Row],[명칭]]),"-")</f>
        <v>-</v>
      </c>
      <c r="I1228" s="38">
        <f>IFERROR(COUNTIF([1]AdventureDiscoveryGroup!$D$8:$AW$92,표1[[#This Row],[명칭]]),"-")</f>
        <v>0</v>
      </c>
      <c r="J1228" s="38">
        <f>IFERROR(COUNTIF([1]FishDiscoveryGroup!$A:$X,표1[[#This Row],[명칭]]),"-")</f>
        <v>4</v>
      </c>
      <c r="K1228" s="38" t="str">
        <f>IFERROR(COUNTIF([2]Town!$B:$B,표1[[#This Row],[명칭]]),"-")</f>
        <v>-</v>
      </c>
      <c r="L1228" s="38">
        <f>IFERROR(COUNTIF([1]Village!$BR:$BR,표1[[#This Row],[명칭]]),"-")</f>
        <v>0</v>
      </c>
      <c r="M1228" s="38">
        <f>COUNTIF(퀘스트!B:B,표1[[#This Row],[명칭]])</f>
        <v>0</v>
      </c>
      <c r="N1228" s="65">
        <f>COUNTIF([1]VillageDiscoveryGroup!$C:$C,표1[[#This Row],[명칭]])</f>
        <v>0</v>
      </c>
      <c r="O1228" s="65">
        <f>SUM(표1[[#This Row],[해양탐색]:[마을탐험]])</f>
        <v>4</v>
      </c>
    </row>
    <row r="1229" spans="2:15" ht="13.5" customHeight="1" x14ac:dyDescent="0.3">
      <c r="B1229" s="9">
        <f>[1]Discovery!A1235</f>
        <v>70409311</v>
      </c>
      <c r="C1229" s="9" t="str">
        <f>[1]Discovery!B1235</f>
        <v>전기가오리</v>
      </c>
      <c r="D1229" s="9" t="str">
        <f>[1]Discovery!E1235</f>
        <v>동물</v>
      </c>
      <c r="E1229" s="9" t="str">
        <f>[1]Discovery!C1235</f>
        <v>어류</v>
      </c>
      <c r="F1229" s="9" t="str">
        <f>[1]Discovery!G1235</f>
        <v>D</v>
      </c>
      <c r="G1229" s="9" t="str">
        <f>IFERROR(VLOOKUP(표1[[#This Row],[명칭]],'문화권 정리'!C:D,2,FALSE),"-")</f>
        <v>어류</v>
      </c>
      <c r="H1229" s="38" t="str">
        <f>IFERROR(COUNTIF([2]OceanDoodad!$Y:$Y,표1[[#This Row],[명칭]]),"-")</f>
        <v>-</v>
      </c>
      <c r="I1229" s="38">
        <f>IFERROR(COUNTIF([1]AdventureDiscoveryGroup!$D$8:$AW$92,표1[[#This Row],[명칭]]),"-")</f>
        <v>0</v>
      </c>
      <c r="J1229" s="38">
        <f>IFERROR(COUNTIF([1]FishDiscoveryGroup!$A:$X,표1[[#This Row],[명칭]]),"-")</f>
        <v>4</v>
      </c>
      <c r="K1229" s="38" t="str">
        <f>IFERROR(COUNTIF([2]Town!$B:$B,표1[[#This Row],[명칭]]),"-")</f>
        <v>-</v>
      </c>
      <c r="L1229" s="38">
        <f>IFERROR(COUNTIF([1]Village!$BR:$BR,표1[[#This Row],[명칭]]),"-")</f>
        <v>0</v>
      </c>
      <c r="M1229" s="38">
        <f>COUNTIF(퀘스트!B:B,표1[[#This Row],[명칭]])</f>
        <v>0</v>
      </c>
      <c r="N1229" s="65">
        <f>COUNTIF([1]VillageDiscoveryGroup!$C:$C,표1[[#This Row],[명칭]])</f>
        <v>0</v>
      </c>
      <c r="O1229" s="65">
        <f>SUM(표1[[#This Row],[해양탐색]:[마을탐험]])</f>
        <v>4</v>
      </c>
    </row>
    <row r="1230" spans="2:15" ht="13.5" customHeight="1" x14ac:dyDescent="0.3">
      <c r="B1230" s="9">
        <f>[1]Discovery!A1236</f>
        <v>70409312</v>
      </c>
      <c r="C1230" s="9" t="str">
        <f>[1]Discovery!B1236</f>
        <v>전기메기</v>
      </c>
      <c r="D1230" s="9" t="str">
        <f>[1]Discovery!E1236</f>
        <v>동물</v>
      </c>
      <c r="E1230" s="9" t="str">
        <f>[1]Discovery!C1236</f>
        <v>어류</v>
      </c>
      <c r="F1230" s="9" t="str">
        <f>[1]Discovery!G1236</f>
        <v>B</v>
      </c>
      <c r="G1230" s="9" t="str">
        <f>IFERROR(VLOOKUP(표1[[#This Row],[명칭]],'문화권 정리'!C:D,2,FALSE),"-")</f>
        <v>어류</v>
      </c>
      <c r="H1230" s="38" t="str">
        <f>IFERROR(COUNTIF([2]OceanDoodad!$Y:$Y,표1[[#This Row],[명칭]]),"-")</f>
        <v>-</v>
      </c>
      <c r="I1230" s="38">
        <f>IFERROR(COUNTIF([1]AdventureDiscoveryGroup!$D$8:$AW$92,표1[[#This Row],[명칭]]),"-")</f>
        <v>0</v>
      </c>
      <c r="J1230" s="38">
        <f>IFERROR(COUNTIF([1]FishDiscoveryGroup!$A:$X,표1[[#This Row],[명칭]]),"-")</f>
        <v>4</v>
      </c>
      <c r="K1230" s="38" t="str">
        <f>IFERROR(COUNTIF([2]Town!$B:$B,표1[[#This Row],[명칭]]),"-")</f>
        <v>-</v>
      </c>
      <c r="L1230" s="38">
        <f>IFERROR(COUNTIF([1]Village!$BR:$BR,표1[[#This Row],[명칭]]),"-")</f>
        <v>0</v>
      </c>
      <c r="M1230" s="38">
        <f>COUNTIF(퀘스트!B:B,표1[[#This Row],[명칭]])</f>
        <v>0</v>
      </c>
      <c r="N1230" s="65">
        <f>COUNTIF([1]VillageDiscoveryGroup!$C:$C,표1[[#This Row],[명칭]])</f>
        <v>0</v>
      </c>
      <c r="O1230" s="65">
        <f>SUM(표1[[#This Row],[해양탐색]:[마을탐험]])</f>
        <v>4</v>
      </c>
    </row>
    <row r="1231" spans="2:15" ht="13.5" customHeight="1" x14ac:dyDescent="0.3">
      <c r="B1231" s="9">
        <f>[1]Discovery!A1237</f>
        <v>70409313</v>
      </c>
      <c r="C1231" s="9" t="str">
        <f>[1]Discovery!B1237</f>
        <v>전기뱀장어</v>
      </c>
      <c r="D1231" s="9" t="str">
        <f>[1]Discovery!E1237</f>
        <v>동물</v>
      </c>
      <c r="E1231" s="9" t="str">
        <f>[1]Discovery!C1237</f>
        <v>어류</v>
      </c>
      <c r="F1231" s="9" t="str">
        <f>[1]Discovery!G1237</f>
        <v>B</v>
      </c>
      <c r="G1231" s="9" t="str">
        <f>IFERROR(VLOOKUP(표1[[#This Row],[명칭]],'문화권 정리'!C:D,2,FALSE),"-")</f>
        <v>어류</v>
      </c>
      <c r="H1231" s="38" t="str">
        <f>IFERROR(COUNTIF([2]OceanDoodad!$Y:$Y,표1[[#This Row],[명칭]]),"-")</f>
        <v>-</v>
      </c>
      <c r="I1231" s="38">
        <f>IFERROR(COUNTIF([1]AdventureDiscoveryGroup!$D$8:$AW$92,표1[[#This Row],[명칭]]),"-")</f>
        <v>0</v>
      </c>
      <c r="J1231" s="38">
        <f>IFERROR(COUNTIF([1]FishDiscoveryGroup!$A:$X,표1[[#This Row],[명칭]]),"-")</f>
        <v>4</v>
      </c>
      <c r="K1231" s="38" t="str">
        <f>IFERROR(COUNTIF([2]Town!$B:$B,표1[[#This Row],[명칭]]),"-")</f>
        <v>-</v>
      </c>
      <c r="L1231" s="38">
        <f>IFERROR(COUNTIF([1]Village!$BR:$BR,표1[[#This Row],[명칭]]),"-")</f>
        <v>0</v>
      </c>
      <c r="M1231" s="38">
        <f>COUNTIF(퀘스트!B:B,표1[[#This Row],[명칭]])</f>
        <v>0</v>
      </c>
      <c r="N1231" s="65">
        <f>COUNTIF([1]VillageDiscoveryGroup!$C:$C,표1[[#This Row],[명칭]])</f>
        <v>0</v>
      </c>
      <c r="O1231" s="65">
        <f>SUM(표1[[#This Row],[해양탐색]:[마을탐험]])</f>
        <v>4</v>
      </c>
    </row>
    <row r="1232" spans="2:15" ht="13.5" customHeight="1" x14ac:dyDescent="0.3">
      <c r="B1232" s="9">
        <f>[1]Discovery!A1238</f>
        <v>70409314</v>
      </c>
      <c r="C1232" s="9" t="str">
        <f>[1]Discovery!B1238</f>
        <v>전어</v>
      </c>
      <c r="D1232" s="9" t="str">
        <f>[1]Discovery!E1238</f>
        <v>동물</v>
      </c>
      <c r="E1232" s="9" t="str">
        <f>[1]Discovery!C1238</f>
        <v>어류</v>
      </c>
      <c r="F1232" s="9" t="str">
        <f>[1]Discovery!G1238</f>
        <v>B</v>
      </c>
      <c r="G1232" s="9" t="str">
        <f>IFERROR(VLOOKUP(표1[[#This Row],[명칭]],'문화권 정리'!C:D,2,FALSE),"-")</f>
        <v>어류</v>
      </c>
      <c r="H1232" s="38" t="str">
        <f>IFERROR(COUNTIF([2]OceanDoodad!$Y:$Y,표1[[#This Row],[명칭]]),"-")</f>
        <v>-</v>
      </c>
      <c r="I1232" s="38">
        <f>IFERROR(COUNTIF([1]AdventureDiscoveryGroup!$D$8:$AW$92,표1[[#This Row],[명칭]]),"-")</f>
        <v>0</v>
      </c>
      <c r="J1232" s="38">
        <f>IFERROR(COUNTIF([1]FishDiscoveryGroup!$A:$X,표1[[#This Row],[명칭]]),"-")</f>
        <v>4</v>
      </c>
      <c r="K1232" s="38" t="str">
        <f>IFERROR(COUNTIF([2]Town!$B:$B,표1[[#This Row],[명칭]]),"-")</f>
        <v>-</v>
      </c>
      <c r="L1232" s="38">
        <f>IFERROR(COUNTIF([1]Village!$BR:$BR,표1[[#This Row],[명칭]]),"-")</f>
        <v>0</v>
      </c>
      <c r="M1232" s="38">
        <f>COUNTIF(퀘스트!B:B,표1[[#This Row],[명칭]])</f>
        <v>0</v>
      </c>
      <c r="N1232" s="65">
        <f>COUNTIF([1]VillageDiscoveryGroup!$C:$C,표1[[#This Row],[명칭]])</f>
        <v>0</v>
      </c>
      <c r="O1232" s="65">
        <f>SUM(표1[[#This Row],[해양탐색]:[마을탐험]])</f>
        <v>4</v>
      </c>
    </row>
    <row r="1233" spans="2:15" ht="13.5" customHeight="1" x14ac:dyDescent="0.3">
      <c r="B1233" s="9">
        <f>[1]Discovery!A1239</f>
        <v>70409315</v>
      </c>
      <c r="C1233" s="9" t="str">
        <f>[1]Discovery!B1239</f>
        <v>점다랑어</v>
      </c>
      <c r="D1233" s="9" t="str">
        <f>[1]Discovery!E1239</f>
        <v>동물</v>
      </c>
      <c r="E1233" s="9" t="str">
        <f>[1]Discovery!C1239</f>
        <v>어류</v>
      </c>
      <c r="F1233" s="9" t="str">
        <f>[1]Discovery!G1239</f>
        <v>D</v>
      </c>
      <c r="G1233" s="9" t="str">
        <f>IFERROR(VLOOKUP(표1[[#This Row],[명칭]],'문화권 정리'!C:D,2,FALSE),"-")</f>
        <v>어류</v>
      </c>
      <c r="H1233" s="38" t="str">
        <f>IFERROR(COUNTIF([2]OceanDoodad!$Y:$Y,표1[[#This Row],[명칭]]),"-")</f>
        <v>-</v>
      </c>
      <c r="I1233" s="38">
        <f>IFERROR(COUNTIF([1]AdventureDiscoveryGroup!$D$8:$AW$92,표1[[#This Row],[명칭]]),"-")</f>
        <v>0</v>
      </c>
      <c r="J1233" s="38">
        <f>IFERROR(COUNTIF([1]FishDiscoveryGroup!$A:$X,표1[[#This Row],[명칭]]),"-")</f>
        <v>8</v>
      </c>
      <c r="K1233" s="38" t="str">
        <f>IFERROR(COUNTIF([2]Town!$B:$B,표1[[#This Row],[명칭]]),"-")</f>
        <v>-</v>
      </c>
      <c r="L1233" s="38">
        <f>IFERROR(COUNTIF([1]Village!$BR:$BR,표1[[#This Row],[명칭]]),"-")</f>
        <v>0</v>
      </c>
      <c r="M1233" s="38">
        <f>COUNTIF(퀘스트!B:B,표1[[#This Row],[명칭]])</f>
        <v>0</v>
      </c>
      <c r="N1233" s="65">
        <f>COUNTIF([1]VillageDiscoveryGroup!$C:$C,표1[[#This Row],[명칭]])</f>
        <v>0</v>
      </c>
      <c r="O1233" s="65">
        <f>SUM(표1[[#This Row],[해양탐색]:[마을탐험]])</f>
        <v>8</v>
      </c>
    </row>
    <row r="1234" spans="2:15" ht="13.5" customHeight="1" x14ac:dyDescent="0.3">
      <c r="B1234" s="9">
        <f>[1]Discovery!A1240</f>
        <v>70409316</v>
      </c>
      <c r="C1234" s="9" t="str">
        <f>[1]Discovery!B1240</f>
        <v>점쏠배감펭</v>
      </c>
      <c r="D1234" s="9" t="str">
        <f>[1]Discovery!E1240</f>
        <v>동물</v>
      </c>
      <c r="E1234" s="9" t="str">
        <f>[1]Discovery!C1240</f>
        <v>어류</v>
      </c>
      <c r="F1234" s="9" t="str">
        <f>[1]Discovery!G1240</f>
        <v>D</v>
      </c>
      <c r="G1234" s="9" t="str">
        <f>IFERROR(VLOOKUP(표1[[#This Row],[명칭]],'문화권 정리'!C:D,2,FALSE),"-")</f>
        <v>어류</v>
      </c>
      <c r="H1234" s="38" t="str">
        <f>IFERROR(COUNTIF([2]OceanDoodad!$Y:$Y,표1[[#This Row],[명칭]]),"-")</f>
        <v>-</v>
      </c>
      <c r="I1234" s="38">
        <f>IFERROR(COUNTIF([1]AdventureDiscoveryGroup!$D$8:$AW$92,표1[[#This Row],[명칭]]),"-")</f>
        <v>0</v>
      </c>
      <c r="J1234" s="38">
        <f>IFERROR(COUNTIF([1]FishDiscoveryGroup!$A:$X,표1[[#This Row],[명칭]]),"-")</f>
        <v>0</v>
      </c>
      <c r="K1234" s="38" t="str">
        <f>IFERROR(COUNTIF([2]Town!$B:$B,표1[[#This Row],[명칭]]),"-")</f>
        <v>-</v>
      </c>
      <c r="L1234" s="38">
        <f>IFERROR(COUNTIF([1]Village!$BR:$BR,표1[[#This Row],[명칭]]),"-")</f>
        <v>0</v>
      </c>
      <c r="M1234" s="38">
        <f>COUNTIF(퀘스트!B:B,표1[[#This Row],[명칭]])</f>
        <v>0</v>
      </c>
      <c r="N1234" s="65">
        <f>COUNTIF([1]VillageDiscoveryGroup!$C:$C,표1[[#This Row],[명칭]])</f>
        <v>0</v>
      </c>
      <c r="O1234" s="65">
        <f>SUM(표1[[#This Row],[해양탐색]:[마을탐험]])</f>
        <v>0</v>
      </c>
    </row>
    <row r="1235" spans="2:15" ht="13.5" customHeight="1" x14ac:dyDescent="0.3">
      <c r="B1235" s="9">
        <f>[1]Discovery!A1241</f>
        <v>70409317</v>
      </c>
      <c r="C1235" s="9" t="str">
        <f>[1]Discovery!B1241</f>
        <v>점양태</v>
      </c>
      <c r="D1235" s="9" t="str">
        <f>[1]Discovery!E1241</f>
        <v>동물</v>
      </c>
      <c r="E1235" s="9" t="str">
        <f>[1]Discovery!C1241</f>
        <v>어류</v>
      </c>
      <c r="F1235" s="9" t="str">
        <f>[1]Discovery!G1241</f>
        <v>C</v>
      </c>
      <c r="G1235" s="9" t="str">
        <f>IFERROR(VLOOKUP(표1[[#This Row],[명칭]],'문화권 정리'!C:D,2,FALSE),"-")</f>
        <v>어류</v>
      </c>
      <c r="H1235" s="38" t="str">
        <f>IFERROR(COUNTIF([2]OceanDoodad!$Y:$Y,표1[[#This Row],[명칭]]),"-")</f>
        <v>-</v>
      </c>
      <c r="I1235" s="38">
        <f>IFERROR(COUNTIF([1]AdventureDiscoveryGroup!$D$8:$AW$92,표1[[#This Row],[명칭]]),"-")</f>
        <v>0</v>
      </c>
      <c r="J1235" s="38">
        <f>IFERROR(COUNTIF([1]FishDiscoveryGroup!$A:$X,표1[[#This Row],[명칭]]),"-")</f>
        <v>0</v>
      </c>
      <c r="K1235" s="38" t="str">
        <f>IFERROR(COUNTIF([2]Town!$B:$B,표1[[#This Row],[명칭]]),"-")</f>
        <v>-</v>
      </c>
      <c r="L1235" s="38">
        <f>IFERROR(COUNTIF([1]Village!$BR:$BR,표1[[#This Row],[명칭]]),"-")</f>
        <v>0</v>
      </c>
      <c r="M1235" s="38">
        <f>COUNTIF(퀘스트!B:B,표1[[#This Row],[명칭]])</f>
        <v>0</v>
      </c>
      <c r="N1235" s="65">
        <f>COUNTIF([1]VillageDiscoveryGroup!$C:$C,표1[[#This Row],[명칭]])</f>
        <v>0</v>
      </c>
      <c r="O1235" s="65">
        <f>SUM(표1[[#This Row],[해양탐색]:[마을탐험]])</f>
        <v>0</v>
      </c>
    </row>
    <row r="1236" spans="2:15" ht="13.5" customHeight="1" x14ac:dyDescent="0.3">
      <c r="B1236" s="9">
        <f>[1]Discovery!A1242</f>
        <v>70409318</v>
      </c>
      <c r="C1236" s="9" t="str">
        <f>[1]Discovery!B1242</f>
        <v>점줄우럭</v>
      </c>
      <c r="D1236" s="9" t="str">
        <f>[1]Discovery!E1242</f>
        <v>동물</v>
      </c>
      <c r="E1236" s="9" t="str">
        <f>[1]Discovery!C1242</f>
        <v>어류</v>
      </c>
      <c r="F1236" s="9" t="str">
        <f>[1]Discovery!G1242</f>
        <v>D</v>
      </c>
      <c r="G1236" s="9" t="str">
        <f>IFERROR(VLOOKUP(표1[[#This Row],[명칭]],'문화권 정리'!C:D,2,FALSE),"-")</f>
        <v>어류</v>
      </c>
      <c r="H1236" s="38" t="str">
        <f>IFERROR(COUNTIF([2]OceanDoodad!$Y:$Y,표1[[#This Row],[명칭]]),"-")</f>
        <v>-</v>
      </c>
      <c r="I1236" s="38">
        <f>IFERROR(COUNTIF([1]AdventureDiscoveryGroup!$D$8:$AW$92,표1[[#This Row],[명칭]]),"-")</f>
        <v>0</v>
      </c>
      <c r="J1236" s="38">
        <f>IFERROR(COUNTIF([1]FishDiscoveryGroup!$A:$X,표1[[#This Row],[명칭]]),"-")</f>
        <v>4</v>
      </c>
      <c r="K1236" s="38" t="str">
        <f>IFERROR(COUNTIF([2]Town!$B:$B,표1[[#This Row],[명칭]]),"-")</f>
        <v>-</v>
      </c>
      <c r="L1236" s="38">
        <f>IFERROR(COUNTIF([1]Village!$BR:$BR,표1[[#This Row],[명칭]]),"-")</f>
        <v>0</v>
      </c>
      <c r="M1236" s="38">
        <f>COUNTIF(퀘스트!B:B,표1[[#This Row],[명칭]])</f>
        <v>0</v>
      </c>
      <c r="N1236" s="65">
        <f>COUNTIF([1]VillageDiscoveryGroup!$C:$C,표1[[#This Row],[명칭]])</f>
        <v>0</v>
      </c>
      <c r="O1236" s="65">
        <f>SUM(표1[[#This Row],[해양탐색]:[마을탐험]])</f>
        <v>4</v>
      </c>
    </row>
    <row r="1237" spans="2:15" ht="13.5" customHeight="1" x14ac:dyDescent="0.3">
      <c r="B1237" s="9">
        <f>[1]Discovery!A1243</f>
        <v>70409319</v>
      </c>
      <c r="C1237" s="9" t="str">
        <f>[1]Discovery!B1243</f>
        <v>점해마</v>
      </c>
      <c r="D1237" s="9" t="str">
        <f>[1]Discovery!E1243</f>
        <v>동물</v>
      </c>
      <c r="E1237" s="9" t="str">
        <f>[1]Discovery!C1243</f>
        <v>어류</v>
      </c>
      <c r="F1237" s="9" t="str">
        <f>[1]Discovery!G1243</f>
        <v>D</v>
      </c>
      <c r="G1237" s="9" t="str">
        <f>IFERROR(VLOOKUP(표1[[#This Row],[명칭]],'문화권 정리'!C:D,2,FALSE),"-")</f>
        <v>어류</v>
      </c>
      <c r="H1237" s="38" t="str">
        <f>IFERROR(COUNTIF([2]OceanDoodad!$Y:$Y,표1[[#This Row],[명칭]]),"-")</f>
        <v>-</v>
      </c>
      <c r="I1237" s="38">
        <f>IFERROR(COUNTIF([1]AdventureDiscoveryGroup!$D$8:$AW$92,표1[[#This Row],[명칭]]),"-")</f>
        <v>0</v>
      </c>
      <c r="J1237" s="38">
        <f>IFERROR(COUNTIF([1]FishDiscoveryGroup!$A:$X,표1[[#This Row],[명칭]]),"-")</f>
        <v>8</v>
      </c>
      <c r="K1237" s="38" t="str">
        <f>IFERROR(COUNTIF([2]Town!$B:$B,표1[[#This Row],[명칭]]),"-")</f>
        <v>-</v>
      </c>
      <c r="L1237" s="38">
        <f>IFERROR(COUNTIF([1]Village!$BR:$BR,표1[[#This Row],[명칭]]),"-")</f>
        <v>0</v>
      </c>
      <c r="M1237" s="38">
        <f>COUNTIF(퀘스트!B:B,표1[[#This Row],[명칭]])</f>
        <v>0</v>
      </c>
      <c r="N1237" s="65">
        <f>COUNTIF([1]VillageDiscoveryGroup!$C:$C,표1[[#This Row],[명칭]])</f>
        <v>0</v>
      </c>
      <c r="O1237" s="65">
        <f>SUM(표1[[#This Row],[해양탐색]:[마을탐험]])</f>
        <v>8</v>
      </c>
    </row>
    <row r="1238" spans="2:15" ht="13.5" customHeight="1" x14ac:dyDescent="0.3">
      <c r="B1238" s="9">
        <f>[1]Discovery!A1244</f>
        <v>70409320</v>
      </c>
      <c r="C1238" s="9" t="str">
        <f>[1]Discovery!B1244</f>
        <v>정어리</v>
      </c>
      <c r="D1238" s="9" t="str">
        <f>[1]Discovery!E1244</f>
        <v>동물</v>
      </c>
      <c r="E1238" s="9" t="str">
        <f>[1]Discovery!C1244</f>
        <v>어류</v>
      </c>
      <c r="F1238" s="9" t="str">
        <f>[1]Discovery!G1244</f>
        <v>D</v>
      </c>
      <c r="G1238" s="9" t="str">
        <f>IFERROR(VLOOKUP(표1[[#This Row],[명칭]],'문화권 정리'!C:D,2,FALSE),"-")</f>
        <v>어류</v>
      </c>
      <c r="H1238" s="38" t="str">
        <f>IFERROR(COUNTIF([2]OceanDoodad!$Y:$Y,표1[[#This Row],[명칭]]),"-")</f>
        <v>-</v>
      </c>
      <c r="I1238" s="38">
        <f>IFERROR(COUNTIF([1]AdventureDiscoveryGroup!$D$8:$AW$92,표1[[#This Row],[명칭]]),"-")</f>
        <v>0</v>
      </c>
      <c r="J1238" s="38">
        <f>IFERROR(COUNTIF([1]FishDiscoveryGroup!$A:$X,표1[[#This Row],[명칭]]),"-")</f>
        <v>28</v>
      </c>
      <c r="K1238" s="38" t="str">
        <f>IFERROR(COUNTIF([2]Town!$B:$B,표1[[#This Row],[명칭]]),"-")</f>
        <v>-</v>
      </c>
      <c r="L1238" s="38">
        <f>IFERROR(COUNTIF([1]Village!$BR:$BR,표1[[#This Row],[명칭]]),"-")</f>
        <v>0</v>
      </c>
      <c r="M1238" s="38">
        <f>COUNTIF(퀘스트!B:B,표1[[#This Row],[명칭]])</f>
        <v>0</v>
      </c>
      <c r="N1238" s="65">
        <f>COUNTIF([1]VillageDiscoveryGroup!$C:$C,표1[[#This Row],[명칭]])</f>
        <v>0</v>
      </c>
      <c r="O1238" s="65">
        <f>SUM(표1[[#This Row],[해양탐색]:[마을탐험]])</f>
        <v>28</v>
      </c>
    </row>
    <row r="1239" spans="2:15" ht="13.5" customHeight="1" x14ac:dyDescent="0.3">
      <c r="B1239" s="9">
        <f>[1]Discovery!A1245</f>
        <v>70409321</v>
      </c>
      <c r="C1239" s="9" t="str">
        <f>[1]Discovery!B1245</f>
        <v>제비날치</v>
      </c>
      <c r="D1239" s="9" t="str">
        <f>[1]Discovery!E1245</f>
        <v>동물</v>
      </c>
      <c r="E1239" s="9" t="str">
        <f>[1]Discovery!C1245</f>
        <v>어류</v>
      </c>
      <c r="F1239" s="9" t="str">
        <f>[1]Discovery!G1245</f>
        <v>B</v>
      </c>
      <c r="G1239" s="9" t="str">
        <f>IFERROR(VLOOKUP(표1[[#This Row],[명칭]],'문화권 정리'!C:D,2,FALSE),"-")</f>
        <v>어류</v>
      </c>
      <c r="H1239" s="38" t="str">
        <f>IFERROR(COUNTIF([2]OceanDoodad!$Y:$Y,표1[[#This Row],[명칭]]),"-")</f>
        <v>-</v>
      </c>
      <c r="I1239" s="38">
        <f>IFERROR(COUNTIF([1]AdventureDiscoveryGroup!$D$8:$AW$92,표1[[#This Row],[명칭]]),"-")</f>
        <v>0</v>
      </c>
      <c r="J1239" s="38">
        <f>IFERROR(COUNTIF([1]FishDiscoveryGroup!$A:$X,표1[[#This Row],[명칭]]),"-")</f>
        <v>4</v>
      </c>
      <c r="K1239" s="38" t="str">
        <f>IFERROR(COUNTIF([2]Town!$B:$B,표1[[#This Row],[명칭]]),"-")</f>
        <v>-</v>
      </c>
      <c r="L1239" s="38">
        <f>IFERROR(COUNTIF([1]Village!$BR:$BR,표1[[#This Row],[명칭]]),"-")</f>
        <v>0</v>
      </c>
      <c r="M1239" s="38">
        <f>COUNTIF(퀘스트!B:B,표1[[#This Row],[명칭]])</f>
        <v>0</v>
      </c>
      <c r="N1239" s="65">
        <f>COUNTIF([1]VillageDiscoveryGroup!$C:$C,표1[[#This Row],[명칭]])</f>
        <v>0</v>
      </c>
      <c r="O1239" s="65">
        <f>SUM(표1[[#This Row],[해양탐색]:[마을탐험]])</f>
        <v>4</v>
      </c>
    </row>
    <row r="1240" spans="2:15" ht="13.5" customHeight="1" x14ac:dyDescent="0.3">
      <c r="B1240" s="9">
        <f>[1]Discovery!A1246</f>
        <v>70409322</v>
      </c>
      <c r="C1240" s="9" t="str">
        <f>[1]Discovery!B1246</f>
        <v>제비활치</v>
      </c>
      <c r="D1240" s="9" t="str">
        <f>[1]Discovery!E1246</f>
        <v>동물</v>
      </c>
      <c r="E1240" s="9" t="str">
        <f>[1]Discovery!C1246</f>
        <v>어류</v>
      </c>
      <c r="F1240" s="9" t="str">
        <f>[1]Discovery!G1246</f>
        <v>B</v>
      </c>
      <c r="G1240" s="9" t="str">
        <f>IFERROR(VLOOKUP(표1[[#This Row],[명칭]],'문화권 정리'!C:D,2,FALSE),"-")</f>
        <v>어류</v>
      </c>
      <c r="H1240" s="38" t="str">
        <f>IFERROR(COUNTIF([2]OceanDoodad!$Y:$Y,표1[[#This Row],[명칭]]),"-")</f>
        <v>-</v>
      </c>
      <c r="I1240" s="38">
        <f>IFERROR(COUNTIF([1]AdventureDiscoveryGroup!$D$8:$AW$92,표1[[#This Row],[명칭]]),"-")</f>
        <v>0</v>
      </c>
      <c r="J1240" s="38">
        <f>IFERROR(COUNTIF([1]FishDiscoveryGroup!$A:$X,표1[[#This Row],[명칭]]),"-")</f>
        <v>4</v>
      </c>
      <c r="K1240" s="38" t="str">
        <f>IFERROR(COUNTIF([2]Town!$B:$B,표1[[#This Row],[명칭]]),"-")</f>
        <v>-</v>
      </c>
      <c r="L1240" s="38">
        <f>IFERROR(COUNTIF([1]Village!$BR:$BR,표1[[#This Row],[명칭]]),"-")</f>
        <v>0</v>
      </c>
      <c r="M1240" s="38">
        <f>COUNTIF(퀘스트!B:B,표1[[#This Row],[명칭]])</f>
        <v>0</v>
      </c>
      <c r="N1240" s="65">
        <f>COUNTIF([1]VillageDiscoveryGroup!$C:$C,표1[[#This Row],[명칭]])</f>
        <v>0</v>
      </c>
      <c r="O1240" s="65">
        <f>SUM(표1[[#This Row],[해양탐색]:[마을탐험]])</f>
        <v>4</v>
      </c>
    </row>
    <row r="1241" spans="2:15" ht="13.5" customHeight="1" x14ac:dyDescent="0.3">
      <c r="B1241" s="9">
        <f>[1]Discovery!A1247</f>
        <v>70409323</v>
      </c>
      <c r="C1241" s="9" t="str">
        <f>[1]Discovery!B1247</f>
        <v>종대우럭</v>
      </c>
      <c r="D1241" s="9" t="str">
        <f>[1]Discovery!E1247</f>
        <v>동물</v>
      </c>
      <c r="E1241" s="9" t="str">
        <f>[1]Discovery!C1247</f>
        <v>어류</v>
      </c>
      <c r="F1241" s="9" t="str">
        <f>[1]Discovery!G1247</f>
        <v>C</v>
      </c>
      <c r="G1241" s="9" t="str">
        <f>IFERROR(VLOOKUP(표1[[#This Row],[명칭]],'문화권 정리'!C:D,2,FALSE),"-")</f>
        <v>어류</v>
      </c>
      <c r="H1241" s="38" t="str">
        <f>IFERROR(COUNTIF([2]OceanDoodad!$Y:$Y,표1[[#This Row],[명칭]]),"-")</f>
        <v>-</v>
      </c>
      <c r="I1241" s="38">
        <f>IFERROR(COUNTIF([1]AdventureDiscoveryGroup!$D$8:$AW$92,표1[[#This Row],[명칭]]),"-")</f>
        <v>0</v>
      </c>
      <c r="J1241" s="38">
        <f>IFERROR(COUNTIF([1]FishDiscoveryGroup!$A:$X,표1[[#This Row],[명칭]]),"-")</f>
        <v>0</v>
      </c>
      <c r="K1241" s="38" t="str">
        <f>IFERROR(COUNTIF([2]Town!$B:$B,표1[[#This Row],[명칭]]),"-")</f>
        <v>-</v>
      </c>
      <c r="L1241" s="38">
        <f>IFERROR(COUNTIF([1]Village!$BR:$BR,표1[[#This Row],[명칭]]),"-")</f>
        <v>0</v>
      </c>
      <c r="M1241" s="38">
        <f>COUNTIF(퀘스트!B:B,표1[[#This Row],[명칭]])</f>
        <v>0</v>
      </c>
      <c r="N1241" s="65">
        <f>COUNTIF([1]VillageDiscoveryGroup!$C:$C,표1[[#This Row],[명칭]])</f>
        <v>0</v>
      </c>
      <c r="O1241" s="65">
        <f>SUM(표1[[#This Row],[해양탐색]:[마을탐험]])</f>
        <v>0</v>
      </c>
    </row>
    <row r="1242" spans="2:15" ht="13.5" customHeight="1" x14ac:dyDescent="0.3">
      <c r="B1242" s="9">
        <f>[1]Discovery!A1248</f>
        <v>70409324</v>
      </c>
      <c r="C1242" s="9" t="str">
        <f>[1]Discovery!B1248</f>
        <v>주걱철갑상어</v>
      </c>
      <c r="D1242" s="9" t="str">
        <f>[1]Discovery!E1248</f>
        <v>동물</v>
      </c>
      <c r="E1242" s="9" t="str">
        <f>[1]Discovery!C1248</f>
        <v>어류</v>
      </c>
      <c r="F1242" s="9" t="str">
        <f>[1]Discovery!G1248</f>
        <v>S</v>
      </c>
      <c r="G1242" s="9" t="str">
        <f>IFERROR(VLOOKUP(표1[[#This Row],[명칭]],'문화권 정리'!C:D,2,FALSE),"-")</f>
        <v>어류</v>
      </c>
      <c r="H1242" s="38" t="str">
        <f>IFERROR(COUNTIF([2]OceanDoodad!$Y:$Y,표1[[#This Row],[명칭]]),"-")</f>
        <v>-</v>
      </c>
      <c r="I1242" s="38">
        <f>IFERROR(COUNTIF([1]AdventureDiscoveryGroup!$D$8:$AW$92,표1[[#This Row],[명칭]]),"-")</f>
        <v>0</v>
      </c>
      <c r="J1242" s="38">
        <f>IFERROR(COUNTIF([1]FishDiscoveryGroup!$A:$X,표1[[#This Row],[명칭]]),"-")</f>
        <v>4</v>
      </c>
      <c r="K1242" s="38" t="str">
        <f>IFERROR(COUNTIF([2]Town!$B:$B,표1[[#This Row],[명칭]]),"-")</f>
        <v>-</v>
      </c>
      <c r="L1242" s="38">
        <f>IFERROR(COUNTIF([1]Village!$BR:$BR,표1[[#This Row],[명칭]]),"-")</f>
        <v>0</v>
      </c>
      <c r="M1242" s="38">
        <f>COUNTIF(퀘스트!B:B,표1[[#This Row],[명칭]])</f>
        <v>0</v>
      </c>
      <c r="N1242" s="65">
        <f>COUNTIF([1]VillageDiscoveryGroup!$C:$C,표1[[#This Row],[명칭]])</f>
        <v>0</v>
      </c>
      <c r="O1242" s="65">
        <f>SUM(표1[[#This Row],[해양탐색]:[마을탐험]])</f>
        <v>4</v>
      </c>
    </row>
    <row r="1243" spans="2:15" ht="13.5" customHeight="1" x14ac:dyDescent="0.3">
      <c r="B1243" s="9">
        <f>[1]Discovery!A1249</f>
        <v>70409325</v>
      </c>
      <c r="C1243" s="9" t="str">
        <f>[1]Discovery!B1249</f>
        <v>주름상어</v>
      </c>
      <c r="D1243" s="9" t="str">
        <f>[1]Discovery!E1249</f>
        <v>동물</v>
      </c>
      <c r="E1243" s="9" t="str">
        <f>[1]Discovery!C1249</f>
        <v>어류</v>
      </c>
      <c r="F1243" s="9" t="str">
        <f>[1]Discovery!G1249</f>
        <v>S</v>
      </c>
      <c r="G1243" s="9" t="str">
        <f>IFERROR(VLOOKUP(표1[[#This Row],[명칭]],'문화권 정리'!C:D,2,FALSE),"-")</f>
        <v>어류</v>
      </c>
      <c r="H1243" s="38" t="str">
        <f>IFERROR(COUNTIF([2]OceanDoodad!$Y:$Y,표1[[#This Row],[명칭]]),"-")</f>
        <v>-</v>
      </c>
      <c r="I1243" s="38">
        <f>IFERROR(COUNTIF([1]AdventureDiscoveryGroup!$D$8:$AW$92,표1[[#This Row],[명칭]]),"-")</f>
        <v>0</v>
      </c>
      <c r="J1243" s="38">
        <f>IFERROR(COUNTIF([1]FishDiscoveryGroup!$A:$X,표1[[#This Row],[명칭]]),"-")</f>
        <v>4</v>
      </c>
      <c r="K1243" s="38" t="str">
        <f>IFERROR(COUNTIF([2]Town!$B:$B,표1[[#This Row],[명칭]]),"-")</f>
        <v>-</v>
      </c>
      <c r="L1243" s="38">
        <f>IFERROR(COUNTIF([1]Village!$BR:$BR,표1[[#This Row],[명칭]]),"-")</f>
        <v>0</v>
      </c>
      <c r="M1243" s="38">
        <f>COUNTIF(퀘스트!B:B,표1[[#This Row],[명칭]])</f>
        <v>0</v>
      </c>
      <c r="N1243" s="65">
        <f>COUNTIF([1]VillageDiscoveryGroup!$C:$C,표1[[#This Row],[명칭]])</f>
        <v>0</v>
      </c>
      <c r="O1243" s="65">
        <f>SUM(표1[[#This Row],[해양탐색]:[마을탐험]])</f>
        <v>4</v>
      </c>
    </row>
    <row r="1244" spans="2:15" ht="13.5" customHeight="1" x14ac:dyDescent="0.3">
      <c r="B1244" s="9">
        <f>[1]Discovery!A1250</f>
        <v>70409326</v>
      </c>
      <c r="C1244" s="9" t="str">
        <f>[1]Discovery!B1250</f>
        <v>준치</v>
      </c>
      <c r="D1244" s="9" t="str">
        <f>[1]Discovery!E1250</f>
        <v>동물</v>
      </c>
      <c r="E1244" s="9" t="str">
        <f>[1]Discovery!C1250</f>
        <v>어류</v>
      </c>
      <c r="F1244" s="9" t="str">
        <f>[1]Discovery!G1250</f>
        <v>S</v>
      </c>
      <c r="G1244" s="9" t="str">
        <f>IFERROR(VLOOKUP(표1[[#This Row],[명칭]],'문화권 정리'!C:D,2,FALSE),"-")</f>
        <v>어류</v>
      </c>
      <c r="H1244" s="38" t="str">
        <f>IFERROR(COUNTIF([2]OceanDoodad!$Y:$Y,표1[[#This Row],[명칭]]),"-")</f>
        <v>-</v>
      </c>
      <c r="I1244" s="38">
        <f>IFERROR(COUNTIF([1]AdventureDiscoveryGroup!$D$8:$AW$92,표1[[#This Row],[명칭]]),"-")</f>
        <v>0</v>
      </c>
      <c r="J1244" s="38">
        <f>IFERROR(COUNTIF([1]FishDiscoveryGroup!$A:$X,표1[[#This Row],[명칭]]),"-")</f>
        <v>4</v>
      </c>
      <c r="K1244" s="38" t="str">
        <f>IFERROR(COUNTIF([2]Town!$B:$B,표1[[#This Row],[명칭]]),"-")</f>
        <v>-</v>
      </c>
      <c r="L1244" s="38">
        <f>IFERROR(COUNTIF([1]Village!$BR:$BR,표1[[#This Row],[명칭]]),"-")</f>
        <v>0</v>
      </c>
      <c r="M1244" s="38">
        <f>COUNTIF(퀘스트!B:B,표1[[#This Row],[명칭]])</f>
        <v>0</v>
      </c>
      <c r="N1244" s="65">
        <f>COUNTIF([1]VillageDiscoveryGroup!$C:$C,표1[[#This Row],[명칭]])</f>
        <v>0</v>
      </c>
      <c r="O1244" s="65">
        <f>SUM(표1[[#This Row],[해양탐색]:[마을탐험]])</f>
        <v>4</v>
      </c>
    </row>
    <row r="1245" spans="2:15" ht="13.5" customHeight="1" x14ac:dyDescent="0.3">
      <c r="B1245" s="9">
        <f>[1]Discovery!A1251</f>
        <v>70409327</v>
      </c>
      <c r="C1245" s="9" t="str">
        <f>[1]Discovery!B1251</f>
        <v>줄갈돔</v>
      </c>
      <c r="D1245" s="9" t="str">
        <f>[1]Discovery!E1251</f>
        <v>동물</v>
      </c>
      <c r="E1245" s="9" t="str">
        <f>[1]Discovery!C1251</f>
        <v>어류</v>
      </c>
      <c r="F1245" s="9" t="str">
        <f>[1]Discovery!G1251</f>
        <v>D</v>
      </c>
      <c r="G1245" s="9" t="str">
        <f>IFERROR(VLOOKUP(표1[[#This Row],[명칭]],'문화권 정리'!C:D,2,FALSE),"-")</f>
        <v>어류</v>
      </c>
      <c r="H1245" s="38" t="str">
        <f>IFERROR(COUNTIF([2]OceanDoodad!$Y:$Y,표1[[#This Row],[명칭]]),"-")</f>
        <v>-</v>
      </c>
      <c r="I1245" s="38">
        <f>IFERROR(COUNTIF([1]AdventureDiscoveryGroup!$D$8:$AW$92,표1[[#This Row],[명칭]]),"-")</f>
        <v>0</v>
      </c>
      <c r="J1245" s="38">
        <f>IFERROR(COUNTIF([1]FishDiscoveryGroup!$A:$X,표1[[#This Row],[명칭]]),"-")</f>
        <v>4</v>
      </c>
      <c r="K1245" s="38" t="str">
        <f>IFERROR(COUNTIF([2]Town!$B:$B,표1[[#This Row],[명칭]]),"-")</f>
        <v>-</v>
      </c>
      <c r="L1245" s="38">
        <f>IFERROR(COUNTIF([1]Village!$BR:$BR,표1[[#This Row],[명칭]]),"-")</f>
        <v>0</v>
      </c>
      <c r="M1245" s="38">
        <f>COUNTIF(퀘스트!B:B,표1[[#This Row],[명칭]])</f>
        <v>0</v>
      </c>
      <c r="N1245" s="65">
        <f>COUNTIF([1]VillageDiscoveryGroup!$C:$C,표1[[#This Row],[명칭]])</f>
        <v>0</v>
      </c>
      <c r="O1245" s="65">
        <f>SUM(표1[[#This Row],[해양탐색]:[마을탐험]])</f>
        <v>4</v>
      </c>
    </row>
    <row r="1246" spans="2:15" ht="13.5" customHeight="1" x14ac:dyDescent="0.3">
      <c r="B1246" s="9">
        <f>[1]Discovery!A1252</f>
        <v>70409328</v>
      </c>
      <c r="C1246" s="9" t="str">
        <f>[1]Discovery!B1252</f>
        <v>줄만새기</v>
      </c>
      <c r="D1246" s="9" t="str">
        <f>[1]Discovery!E1252</f>
        <v>동물</v>
      </c>
      <c r="E1246" s="9" t="str">
        <f>[1]Discovery!C1252</f>
        <v>어류</v>
      </c>
      <c r="F1246" s="9" t="str">
        <f>[1]Discovery!G1252</f>
        <v>B</v>
      </c>
      <c r="G1246" s="9" t="str">
        <f>IFERROR(VLOOKUP(표1[[#This Row],[명칭]],'문화권 정리'!C:D,2,FALSE),"-")</f>
        <v>어류</v>
      </c>
      <c r="H1246" s="38" t="str">
        <f>IFERROR(COUNTIF([2]OceanDoodad!$Y:$Y,표1[[#This Row],[명칭]]),"-")</f>
        <v>-</v>
      </c>
      <c r="I1246" s="38">
        <f>IFERROR(COUNTIF([1]AdventureDiscoveryGroup!$D$8:$AW$92,표1[[#This Row],[명칭]]),"-")</f>
        <v>0</v>
      </c>
      <c r="J1246" s="38">
        <f>IFERROR(COUNTIF([1]FishDiscoveryGroup!$A:$X,표1[[#This Row],[명칭]]),"-")</f>
        <v>4</v>
      </c>
      <c r="K1246" s="38" t="str">
        <f>IFERROR(COUNTIF([2]Town!$B:$B,표1[[#This Row],[명칭]]),"-")</f>
        <v>-</v>
      </c>
      <c r="L1246" s="38">
        <f>IFERROR(COUNTIF([1]Village!$BR:$BR,표1[[#This Row],[명칭]]),"-")</f>
        <v>0</v>
      </c>
      <c r="M1246" s="38">
        <f>COUNTIF(퀘스트!B:B,표1[[#This Row],[명칭]])</f>
        <v>0</v>
      </c>
      <c r="N1246" s="65">
        <f>COUNTIF([1]VillageDiscoveryGroup!$C:$C,표1[[#This Row],[명칭]])</f>
        <v>0</v>
      </c>
      <c r="O1246" s="65">
        <f>SUM(표1[[#This Row],[해양탐색]:[마을탐험]])</f>
        <v>4</v>
      </c>
    </row>
    <row r="1247" spans="2:15" ht="13.5" customHeight="1" x14ac:dyDescent="0.3">
      <c r="B1247" s="9">
        <f>[1]Discovery!A1253</f>
        <v>70409329</v>
      </c>
      <c r="C1247" s="9" t="str">
        <f>[1]Discovery!B1253</f>
        <v>줄무늬주둥치</v>
      </c>
      <c r="D1247" s="9" t="str">
        <f>[1]Discovery!E1253</f>
        <v>동물</v>
      </c>
      <c r="E1247" s="9" t="str">
        <f>[1]Discovery!C1253</f>
        <v>어류</v>
      </c>
      <c r="F1247" s="9" t="str">
        <f>[1]Discovery!G1253</f>
        <v>D</v>
      </c>
      <c r="G1247" s="9" t="str">
        <f>IFERROR(VLOOKUP(표1[[#This Row],[명칭]],'문화권 정리'!C:D,2,FALSE),"-")</f>
        <v>어류</v>
      </c>
      <c r="H1247" s="38" t="str">
        <f>IFERROR(COUNTIF([2]OceanDoodad!$Y:$Y,표1[[#This Row],[명칭]]),"-")</f>
        <v>-</v>
      </c>
      <c r="I1247" s="38">
        <f>IFERROR(COUNTIF([1]AdventureDiscoveryGroup!$D$8:$AW$92,표1[[#This Row],[명칭]]),"-")</f>
        <v>0</v>
      </c>
      <c r="J1247" s="38">
        <f>IFERROR(COUNTIF([1]FishDiscoveryGroup!$A:$X,표1[[#This Row],[명칭]]),"-")</f>
        <v>7</v>
      </c>
      <c r="K1247" s="38" t="str">
        <f>IFERROR(COUNTIF([2]Town!$B:$B,표1[[#This Row],[명칭]]),"-")</f>
        <v>-</v>
      </c>
      <c r="L1247" s="38">
        <f>IFERROR(COUNTIF([1]Village!$BR:$BR,표1[[#This Row],[명칭]]),"-")</f>
        <v>0</v>
      </c>
      <c r="M1247" s="38">
        <f>COUNTIF(퀘스트!B:B,표1[[#This Row],[명칭]])</f>
        <v>0</v>
      </c>
      <c r="N1247" s="65">
        <f>COUNTIF([1]VillageDiscoveryGroup!$C:$C,표1[[#This Row],[명칭]])</f>
        <v>0</v>
      </c>
      <c r="O1247" s="65">
        <f>SUM(표1[[#This Row],[해양탐색]:[마을탐험]])</f>
        <v>7</v>
      </c>
    </row>
    <row r="1248" spans="2:15" ht="13.5" customHeight="1" x14ac:dyDescent="0.3">
      <c r="B1248" s="9">
        <f>[1]Discovery!A1254</f>
        <v>70409330</v>
      </c>
      <c r="C1248" s="9" t="str">
        <f>[1]Discovery!B1254</f>
        <v>줄삼치</v>
      </c>
      <c r="D1248" s="9" t="str">
        <f>[1]Discovery!E1254</f>
        <v>동물</v>
      </c>
      <c r="E1248" s="9" t="str">
        <f>[1]Discovery!C1254</f>
        <v>어류</v>
      </c>
      <c r="F1248" s="9" t="str">
        <f>[1]Discovery!G1254</f>
        <v>D</v>
      </c>
      <c r="G1248" s="9" t="str">
        <f>IFERROR(VLOOKUP(표1[[#This Row],[명칭]],'문화권 정리'!C:D,2,FALSE),"-")</f>
        <v>어류</v>
      </c>
      <c r="H1248" s="38" t="str">
        <f>IFERROR(COUNTIF([2]OceanDoodad!$Y:$Y,표1[[#This Row],[명칭]]),"-")</f>
        <v>-</v>
      </c>
      <c r="I1248" s="38">
        <f>IFERROR(COUNTIF([1]AdventureDiscoveryGroup!$D$8:$AW$92,표1[[#This Row],[명칭]]),"-")</f>
        <v>0</v>
      </c>
      <c r="J1248" s="38">
        <f>IFERROR(COUNTIF([1]FishDiscoveryGroup!$A:$X,표1[[#This Row],[명칭]]),"-")</f>
        <v>4</v>
      </c>
      <c r="K1248" s="38" t="str">
        <f>IFERROR(COUNTIF([2]Town!$B:$B,표1[[#This Row],[명칭]]),"-")</f>
        <v>-</v>
      </c>
      <c r="L1248" s="38">
        <f>IFERROR(COUNTIF([1]Village!$BR:$BR,표1[[#This Row],[명칭]]),"-")</f>
        <v>0</v>
      </c>
      <c r="M1248" s="38">
        <f>COUNTIF(퀘스트!B:B,표1[[#This Row],[명칭]])</f>
        <v>0</v>
      </c>
      <c r="N1248" s="65">
        <f>COUNTIF([1]VillageDiscoveryGroup!$C:$C,표1[[#This Row],[명칭]])</f>
        <v>0</v>
      </c>
      <c r="O1248" s="65">
        <f>SUM(표1[[#This Row],[해양탐색]:[마을탐험]])</f>
        <v>4</v>
      </c>
    </row>
    <row r="1249" spans="2:15" ht="13.5" customHeight="1" x14ac:dyDescent="0.3">
      <c r="B1249" s="9">
        <f>[1]Discovery!A1255</f>
        <v>70409331</v>
      </c>
      <c r="C1249" s="9" t="str">
        <f>[1]Discovery!B1255</f>
        <v>줄자돔</v>
      </c>
      <c r="D1249" s="9" t="str">
        <f>[1]Discovery!E1255</f>
        <v>동물</v>
      </c>
      <c r="E1249" s="9" t="str">
        <f>[1]Discovery!C1255</f>
        <v>어류</v>
      </c>
      <c r="F1249" s="9" t="str">
        <f>[1]Discovery!G1255</f>
        <v>C</v>
      </c>
      <c r="G1249" s="9" t="str">
        <f>IFERROR(VLOOKUP(표1[[#This Row],[명칭]],'문화권 정리'!C:D,2,FALSE),"-")</f>
        <v>어류</v>
      </c>
      <c r="H1249" s="38" t="str">
        <f>IFERROR(COUNTIF([2]OceanDoodad!$Y:$Y,표1[[#This Row],[명칭]]),"-")</f>
        <v>-</v>
      </c>
      <c r="I1249" s="38">
        <f>IFERROR(COUNTIF([1]AdventureDiscoveryGroup!$D$8:$AW$92,표1[[#This Row],[명칭]]),"-")</f>
        <v>0</v>
      </c>
      <c r="J1249" s="38">
        <f>IFERROR(COUNTIF([1]FishDiscoveryGroup!$A:$X,표1[[#This Row],[명칭]]),"-")</f>
        <v>0</v>
      </c>
      <c r="K1249" s="38" t="str">
        <f>IFERROR(COUNTIF([2]Town!$B:$B,표1[[#This Row],[명칭]]),"-")</f>
        <v>-</v>
      </c>
      <c r="L1249" s="38">
        <f>IFERROR(COUNTIF([1]Village!$BR:$BR,표1[[#This Row],[명칭]]),"-")</f>
        <v>0</v>
      </c>
      <c r="M1249" s="38">
        <f>COUNTIF(퀘스트!B:B,표1[[#This Row],[명칭]])</f>
        <v>0</v>
      </c>
      <c r="N1249" s="65">
        <f>COUNTIF([1]VillageDiscoveryGroup!$C:$C,표1[[#This Row],[명칭]])</f>
        <v>0</v>
      </c>
      <c r="O1249" s="65">
        <f>SUM(표1[[#This Row],[해양탐색]:[마을탐험]])</f>
        <v>0</v>
      </c>
    </row>
    <row r="1250" spans="2:15" ht="13.5" customHeight="1" x14ac:dyDescent="0.3">
      <c r="B1250" s="9">
        <f>[1]Discovery!A1256</f>
        <v>70409332</v>
      </c>
      <c r="C1250" s="9" t="str">
        <f>[1]Discovery!B1256</f>
        <v>줄전갱이</v>
      </c>
      <c r="D1250" s="9" t="str">
        <f>[1]Discovery!E1256</f>
        <v>동물</v>
      </c>
      <c r="E1250" s="9" t="str">
        <f>[1]Discovery!C1256</f>
        <v>어류</v>
      </c>
      <c r="F1250" s="9" t="str">
        <f>[1]Discovery!G1256</f>
        <v>D</v>
      </c>
      <c r="G1250" s="9" t="str">
        <f>IFERROR(VLOOKUP(표1[[#This Row],[명칭]],'문화권 정리'!C:D,2,FALSE),"-")</f>
        <v>어류</v>
      </c>
      <c r="H1250" s="38" t="str">
        <f>IFERROR(COUNTIF([2]OceanDoodad!$Y:$Y,표1[[#This Row],[명칭]]),"-")</f>
        <v>-</v>
      </c>
      <c r="I1250" s="38">
        <f>IFERROR(COUNTIF([1]AdventureDiscoveryGroup!$D$8:$AW$92,표1[[#This Row],[명칭]]),"-")</f>
        <v>0</v>
      </c>
      <c r="J1250" s="38">
        <f>IFERROR(COUNTIF([1]FishDiscoveryGroup!$A:$X,표1[[#This Row],[명칭]]),"-")</f>
        <v>1</v>
      </c>
      <c r="K1250" s="38" t="str">
        <f>IFERROR(COUNTIF([2]Town!$B:$B,표1[[#This Row],[명칭]]),"-")</f>
        <v>-</v>
      </c>
      <c r="L1250" s="38">
        <f>IFERROR(COUNTIF([1]Village!$BR:$BR,표1[[#This Row],[명칭]]),"-")</f>
        <v>0</v>
      </c>
      <c r="M1250" s="38">
        <f>COUNTIF(퀘스트!B:B,표1[[#This Row],[명칭]])</f>
        <v>0</v>
      </c>
      <c r="N1250" s="65">
        <f>COUNTIF([1]VillageDiscoveryGroup!$C:$C,표1[[#This Row],[명칭]])</f>
        <v>0</v>
      </c>
      <c r="O1250" s="65">
        <f>SUM(표1[[#This Row],[해양탐색]:[마을탐험]])</f>
        <v>1</v>
      </c>
    </row>
    <row r="1251" spans="2:15" ht="13.5" customHeight="1" x14ac:dyDescent="0.3">
      <c r="B1251" s="9">
        <f>[1]Discovery!A1257</f>
        <v>70409333</v>
      </c>
      <c r="C1251" s="9" t="str">
        <f>[1]Discovery!B1257</f>
        <v>쥐가오리</v>
      </c>
      <c r="D1251" s="9" t="str">
        <f>[1]Discovery!E1257</f>
        <v>동물</v>
      </c>
      <c r="E1251" s="9" t="str">
        <f>[1]Discovery!C1257</f>
        <v>어류</v>
      </c>
      <c r="F1251" s="9" t="str">
        <f>[1]Discovery!G1257</f>
        <v>S</v>
      </c>
      <c r="G1251" s="9" t="str">
        <f>IFERROR(VLOOKUP(표1[[#This Row],[명칭]],'문화권 정리'!C:D,2,FALSE),"-")</f>
        <v>어류</v>
      </c>
      <c r="H1251" s="38" t="str">
        <f>IFERROR(COUNTIF([2]OceanDoodad!$Y:$Y,표1[[#This Row],[명칭]]),"-")</f>
        <v>-</v>
      </c>
      <c r="I1251" s="38">
        <f>IFERROR(COUNTIF([1]AdventureDiscoveryGroup!$D$8:$AW$92,표1[[#This Row],[명칭]]),"-")</f>
        <v>0</v>
      </c>
      <c r="J1251" s="38">
        <f>IFERROR(COUNTIF([1]FishDiscoveryGroup!$A:$X,표1[[#This Row],[명칭]]),"-")</f>
        <v>3</v>
      </c>
      <c r="K1251" s="38" t="str">
        <f>IFERROR(COUNTIF([2]Town!$B:$B,표1[[#This Row],[명칭]]),"-")</f>
        <v>-</v>
      </c>
      <c r="L1251" s="38">
        <f>IFERROR(COUNTIF([1]Village!$BR:$BR,표1[[#This Row],[명칭]]),"-")</f>
        <v>0</v>
      </c>
      <c r="M1251" s="38">
        <f>COUNTIF(퀘스트!B:B,표1[[#This Row],[명칭]])</f>
        <v>0</v>
      </c>
      <c r="N1251" s="65">
        <f>COUNTIF([1]VillageDiscoveryGroup!$C:$C,표1[[#This Row],[명칭]])</f>
        <v>0</v>
      </c>
      <c r="O1251" s="65">
        <f>SUM(표1[[#This Row],[해양탐색]:[마을탐험]])</f>
        <v>3</v>
      </c>
    </row>
    <row r="1252" spans="2:15" ht="13.5" customHeight="1" x14ac:dyDescent="0.3">
      <c r="B1252" s="9">
        <f>[1]Discovery!A1258</f>
        <v>70409334</v>
      </c>
      <c r="C1252" s="9" t="str">
        <f>[1]Discovery!B1258</f>
        <v>쥐치</v>
      </c>
      <c r="D1252" s="9" t="str">
        <f>[1]Discovery!E1258</f>
        <v>동물</v>
      </c>
      <c r="E1252" s="9" t="str">
        <f>[1]Discovery!C1258</f>
        <v>어류</v>
      </c>
      <c r="F1252" s="9" t="str">
        <f>[1]Discovery!G1258</f>
        <v>B</v>
      </c>
      <c r="G1252" s="9" t="str">
        <f>IFERROR(VLOOKUP(표1[[#This Row],[명칭]],'문화권 정리'!C:D,2,FALSE),"-")</f>
        <v>어류</v>
      </c>
      <c r="H1252" s="38" t="str">
        <f>IFERROR(COUNTIF([2]OceanDoodad!$Y:$Y,표1[[#This Row],[명칭]]),"-")</f>
        <v>-</v>
      </c>
      <c r="I1252" s="38">
        <f>IFERROR(COUNTIF([1]AdventureDiscoveryGroup!$D$8:$AW$92,표1[[#This Row],[명칭]]),"-")</f>
        <v>0</v>
      </c>
      <c r="J1252" s="38">
        <f>IFERROR(COUNTIF([1]FishDiscoveryGroup!$A:$X,표1[[#This Row],[명칭]]),"-")</f>
        <v>0</v>
      </c>
      <c r="K1252" s="38" t="str">
        <f>IFERROR(COUNTIF([2]Town!$B:$B,표1[[#This Row],[명칭]]),"-")</f>
        <v>-</v>
      </c>
      <c r="L1252" s="38">
        <f>IFERROR(COUNTIF([1]Village!$BR:$BR,표1[[#This Row],[명칭]]),"-")</f>
        <v>0</v>
      </c>
      <c r="M1252" s="38">
        <f>COUNTIF(퀘스트!B:B,표1[[#This Row],[명칭]])</f>
        <v>0</v>
      </c>
      <c r="N1252" s="65">
        <f>COUNTIF([1]VillageDiscoveryGroup!$C:$C,표1[[#This Row],[명칭]])</f>
        <v>0</v>
      </c>
      <c r="O1252" s="65">
        <f>SUM(표1[[#This Row],[해양탐색]:[마을탐험]])</f>
        <v>0</v>
      </c>
    </row>
    <row r="1253" spans="2:15" ht="13.5" customHeight="1" x14ac:dyDescent="0.3">
      <c r="B1253" s="9">
        <f>[1]Discovery!A1259</f>
        <v>70409335</v>
      </c>
      <c r="C1253" s="9" t="str">
        <f>[1]Discovery!B1259</f>
        <v>지중해새치</v>
      </c>
      <c r="D1253" s="9" t="str">
        <f>[1]Discovery!E1259</f>
        <v>동물</v>
      </c>
      <c r="E1253" s="9" t="str">
        <f>[1]Discovery!C1259</f>
        <v>어류</v>
      </c>
      <c r="F1253" s="9" t="str">
        <f>[1]Discovery!G1259</f>
        <v>A</v>
      </c>
      <c r="G1253" s="9" t="str">
        <f>IFERROR(VLOOKUP(표1[[#This Row],[명칭]],'문화권 정리'!C:D,2,FALSE),"-")</f>
        <v>어류</v>
      </c>
      <c r="H1253" s="38" t="str">
        <f>IFERROR(COUNTIF([2]OceanDoodad!$Y:$Y,표1[[#This Row],[명칭]]),"-")</f>
        <v>-</v>
      </c>
      <c r="I1253" s="38">
        <f>IFERROR(COUNTIF([1]AdventureDiscoveryGroup!$D$8:$AW$92,표1[[#This Row],[명칭]]),"-")</f>
        <v>0</v>
      </c>
      <c r="J1253" s="38">
        <f>IFERROR(COUNTIF([1]FishDiscoveryGroup!$A:$X,표1[[#This Row],[명칭]]),"-")</f>
        <v>8</v>
      </c>
      <c r="K1253" s="38" t="str">
        <f>IFERROR(COUNTIF([2]Town!$B:$B,표1[[#This Row],[명칭]]),"-")</f>
        <v>-</v>
      </c>
      <c r="L1253" s="38">
        <f>IFERROR(COUNTIF([1]Village!$BR:$BR,표1[[#This Row],[명칭]]),"-")</f>
        <v>0</v>
      </c>
      <c r="M1253" s="38">
        <f>COUNTIF(퀘스트!B:B,표1[[#This Row],[명칭]])</f>
        <v>0</v>
      </c>
      <c r="N1253" s="65">
        <f>COUNTIF([1]VillageDiscoveryGroup!$C:$C,표1[[#This Row],[명칭]])</f>
        <v>0</v>
      </c>
      <c r="O1253" s="65">
        <f>SUM(표1[[#This Row],[해양탐색]:[마을탐험]])</f>
        <v>8</v>
      </c>
    </row>
    <row r="1254" spans="2:15" ht="13.5" customHeight="1" x14ac:dyDescent="0.3">
      <c r="B1254" s="9">
        <f>[1]Discovery!A1260</f>
        <v>70409337</v>
      </c>
      <c r="C1254" s="9" t="str">
        <f>[1]Discovery!B1260</f>
        <v>짱뚱어</v>
      </c>
      <c r="D1254" s="9" t="str">
        <f>[1]Discovery!E1260</f>
        <v>동물</v>
      </c>
      <c r="E1254" s="9" t="str">
        <f>[1]Discovery!C1260</f>
        <v>어류</v>
      </c>
      <c r="F1254" s="9" t="str">
        <f>[1]Discovery!G1260</f>
        <v>D</v>
      </c>
      <c r="G1254" s="9" t="str">
        <f>IFERROR(VLOOKUP(표1[[#This Row],[명칭]],'문화권 정리'!C:D,2,FALSE),"-")</f>
        <v>어류</v>
      </c>
      <c r="H1254" s="38" t="str">
        <f>IFERROR(COUNTIF([2]OceanDoodad!$Y:$Y,표1[[#This Row],[명칭]]),"-")</f>
        <v>-</v>
      </c>
      <c r="I1254" s="38">
        <f>IFERROR(COUNTIF([1]AdventureDiscoveryGroup!$D$8:$AW$92,표1[[#This Row],[명칭]]),"-")</f>
        <v>0</v>
      </c>
      <c r="J1254" s="38">
        <f>IFERROR(COUNTIF([1]FishDiscoveryGroup!$A:$X,표1[[#This Row],[명칭]]),"-")</f>
        <v>0</v>
      </c>
      <c r="K1254" s="38" t="str">
        <f>IFERROR(COUNTIF([2]Town!$B:$B,표1[[#This Row],[명칭]]),"-")</f>
        <v>-</v>
      </c>
      <c r="L1254" s="38">
        <f>IFERROR(COUNTIF([1]Village!$BR:$BR,표1[[#This Row],[명칭]]),"-")</f>
        <v>0</v>
      </c>
      <c r="M1254" s="38">
        <f>COUNTIF(퀘스트!B:B,표1[[#This Row],[명칭]])</f>
        <v>0</v>
      </c>
      <c r="N1254" s="65">
        <f>COUNTIF([1]VillageDiscoveryGroup!$C:$C,표1[[#This Row],[명칭]])</f>
        <v>0</v>
      </c>
      <c r="O1254" s="65">
        <f>SUM(표1[[#This Row],[해양탐색]:[마을탐험]])</f>
        <v>0</v>
      </c>
    </row>
    <row r="1255" spans="2:15" ht="13.5" customHeight="1" x14ac:dyDescent="0.3">
      <c r="B1255" s="9">
        <f>[1]Discovery!A1261</f>
        <v>70409338</v>
      </c>
      <c r="C1255" s="9" t="str">
        <f>[1]Discovery!B1261</f>
        <v>쭉지성대</v>
      </c>
      <c r="D1255" s="9" t="str">
        <f>[1]Discovery!E1261</f>
        <v>동물</v>
      </c>
      <c r="E1255" s="9" t="str">
        <f>[1]Discovery!C1261</f>
        <v>어류</v>
      </c>
      <c r="F1255" s="9" t="str">
        <f>[1]Discovery!G1261</f>
        <v>C</v>
      </c>
      <c r="G1255" s="9" t="str">
        <f>IFERROR(VLOOKUP(표1[[#This Row],[명칭]],'문화권 정리'!C:D,2,FALSE),"-")</f>
        <v>어류</v>
      </c>
      <c r="H1255" s="38" t="str">
        <f>IFERROR(COUNTIF([2]OceanDoodad!$Y:$Y,표1[[#This Row],[명칭]]),"-")</f>
        <v>-</v>
      </c>
      <c r="I1255" s="38">
        <f>IFERROR(COUNTIF([1]AdventureDiscoveryGroup!$D$8:$AW$92,표1[[#This Row],[명칭]]),"-")</f>
        <v>0</v>
      </c>
      <c r="J1255" s="38">
        <f>IFERROR(COUNTIF([1]FishDiscoveryGroup!$A:$X,표1[[#This Row],[명칭]]),"-")</f>
        <v>4</v>
      </c>
      <c r="K1255" s="38" t="str">
        <f>IFERROR(COUNTIF([2]Town!$B:$B,표1[[#This Row],[명칭]]),"-")</f>
        <v>-</v>
      </c>
      <c r="L1255" s="38">
        <f>IFERROR(COUNTIF([1]Village!$BR:$BR,표1[[#This Row],[명칭]]),"-")</f>
        <v>0</v>
      </c>
      <c r="M1255" s="38">
        <f>COUNTIF(퀘스트!B:B,표1[[#This Row],[명칭]])</f>
        <v>0</v>
      </c>
      <c r="N1255" s="65">
        <f>COUNTIF([1]VillageDiscoveryGroup!$C:$C,표1[[#This Row],[명칭]])</f>
        <v>0</v>
      </c>
      <c r="O1255" s="65">
        <f>SUM(표1[[#This Row],[해양탐색]:[마을탐험]])</f>
        <v>4</v>
      </c>
    </row>
    <row r="1256" spans="2:15" ht="13.5" customHeight="1" x14ac:dyDescent="0.3">
      <c r="B1256" s="9">
        <f>[1]Discovery!A1262</f>
        <v>70409339</v>
      </c>
      <c r="C1256" s="9" t="str">
        <f>[1]Discovery!B1262</f>
        <v>참고래</v>
      </c>
      <c r="D1256" s="9" t="str">
        <f>[1]Discovery!E1262</f>
        <v>동물</v>
      </c>
      <c r="E1256" s="9" t="str">
        <f>[1]Discovery!C1262</f>
        <v>포유류</v>
      </c>
      <c r="F1256" s="9" t="str">
        <f>[1]Discovery!G1262</f>
        <v>A</v>
      </c>
      <c r="G1256" s="9" t="str">
        <f>IFERROR(VLOOKUP(표1[[#This Row],[명칭]],'문화권 정리'!C:D,2,FALSE),"-")</f>
        <v>어류</v>
      </c>
      <c r="H1256" s="38" t="str">
        <f>IFERROR(COUNTIF([2]OceanDoodad!$Y:$Y,표1[[#This Row],[명칭]]),"-")</f>
        <v>-</v>
      </c>
      <c r="I1256" s="38">
        <f>IFERROR(COUNTIF([1]AdventureDiscoveryGroup!$D$8:$AW$92,표1[[#This Row],[명칭]]),"-")</f>
        <v>0</v>
      </c>
      <c r="J1256" s="38">
        <f>IFERROR(COUNTIF([1]FishDiscoveryGroup!$A:$X,표1[[#This Row],[명칭]]),"-")</f>
        <v>7</v>
      </c>
      <c r="K1256" s="38" t="str">
        <f>IFERROR(COUNTIF([2]Town!$B:$B,표1[[#This Row],[명칭]]),"-")</f>
        <v>-</v>
      </c>
      <c r="L1256" s="38">
        <f>IFERROR(COUNTIF([1]Village!$BR:$BR,표1[[#This Row],[명칭]]),"-")</f>
        <v>0</v>
      </c>
      <c r="M1256" s="38">
        <f>COUNTIF(퀘스트!B:B,표1[[#This Row],[명칭]])</f>
        <v>0</v>
      </c>
      <c r="N1256" s="65">
        <f>COUNTIF([1]VillageDiscoveryGroup!$C:$C,표1[[#This Row],[명칭]])</f>
        <v>0</v>
      </c>
      <c r="O1256" s="65">
        <f>SUM(표1[[#This Row],[해양탐색]:[마을탐험]])</f>
        <v>7</v>
      </c>
    </row>
    <row r="1257" spans="2:15" ht="13.5" customHeight="1" x14ac:dyDescent="0.3">
      <c r="B1257" s="9">
        <f>[1]Discovery!A1263</f>
        <v>70409340</v>
      </c>
      <c r="C1257" s="9" t="str">
        <f>[1]Discovery!B1263</f>
        <v>참다랑어</v>
      </c>
      <c r="D1257" s="9" t="str">
        <f>[1]Discovery!E1263</f>
        <v>동물</v>
      </c>
      <c r="E1257" s="9" t="str">
        <f>[1]Discovery!C1263</f>
        <v>어류</v>
      </c>
      <c r="F1257" s="9" t="str">
        <f>[1]Discovery!G1263</f>
        <v>S</v>
      </c>
      <c r="G1257" s="9" t="str">
        <f>IFERROR(VLOOKUP(표1[[#This Row],[명칭]],'문화권 정리'!C:D,2,FALSE),"-")</f>
        <v>어류</v>
      </c>
      <c r="H1257" s="38" t="str">
        <f>IFERROR(COUNTIF([2]OceanDoodad!$Y:$Y,표1[[#This Row],[명칭]]),"-")</f>
        <v>-</v>
      </c>
      <c r="I1257" s="38">
        <f>IFERROR(COUNTIF([1]AdventureDiscoveryGroup!$D$8:$AW$92,표1[[#This Row],[명칭]]),"-")</f>
        <v>0</v>
      </c>
      <c r="J1257" s="38">
        <f>IFERROR(COUNTIF([1]FishDiscoveryGroup!$A:$X,표1[[#This Row],[명칭]]),"-")</f>
        <v>4</v>
      </c>
      <c r="K1257" s="38" t="str">
        <f>IFERROR(COUNTIF([2]Town!$B:$B,표1[[#This Row],[명칭]]),"-")</f>
        <v>-</v>
      </c>
      <c r="L1257" s="38">
        <f>IFERROR(COUNTIF([1]Village!$BR:$BR,표1[[#This Row],[명칭]]),"-")</f>
        <v>0</v>
      </c>
      <c r="M1257" s="38">
        <f>COUNTIF(퀘스트!B:B,표1[[#This Row],[명칭]])</f>
        <v>0</v>
      </c>
      <c r="N1257" s="65">
        <f>COUNTIF([1]VillageDiscoveryGroup!$C:$C,표1[[#This Row],[명칭]])</f>
        <v>0</v>
      </c>
      <c r="O1257" s="65">
        <f>SUM(표1[[#This Row],[해양탐색]:[마을탐험]])</f>
        <v>4</v>
      </c>
    </row>
    <row r="1258" spans="2:15" ht="13.5" customHeight="1" x14ac:dyDescent="0.3">
      <c r="B1258" s="9">
        <f>[1]Discovery!A1264</f>
        <v>70409341</v>
      </c>
      <c r="C1258" s="9" t="str">
        <f>[1]Discovery!B1264</f>
        <v>참돔</v>
      </c>
      <c r="D1258" s="9" t="str">
        <f>[1]Discovery!E1264</f>
        <v>동물</v>
      </c>
      <c r="E1258" s="9" t="str">
        <f>[1]Discovery!C1264</f>
        <v>어류</v>
      </c>
      <c r="F1258" s="9" t="str">
        <f>[1]Discovery!G1264</f>
        <v>A</v>
      </c>
      <c r="G1258" s="9" t="str">
        <f>IFERROR(VLOOKUP(표1[[#This Row],[명칭]],'문화권 정리'!C:D,2,FALSE),"-")</f>
        <v>어류</v>
      </c>
      <c r="H1258" s="38" t="str">
        <f>IFERROR(COUNTIF([2]OceanDoodad!$Y:$Y,표1[[#This Row],[명칭]]),"-")</f>
        <v>-</v>
      </c>
      <c r="I1258" s="38">
        <f>IFERROR(COUNTIF([1]AdventureDiscoveryGroup!$D$8:$AW$92,표1[[#This Row],[명칭]]),"-")</f>
        <v>0</v>
      </c>
      <c r="J1258" s="38">
        <f>IFERROR(COUNTIF([1]FishDiscoveryGroup!$A:$X,표1[[#This Row],[명칭]]),"-")</f>
        <v>7</v>
      </c>
      <c r="K1258" s="38" t="str">
        <f>IFERROR(COUNTIF([2]Town!$B:$B,표1[[#This Row],[명칭]]),"-")</f>
        <v>-</v>
      </c>
      <c r="L1258" s="38">
        <f>IFERROR(COUNTIF([1]Village!$BR:$BR,표1[[#This Row],[명칭]]),"-")</f>
        <v>0</v>
      </c>
      <c r="M1258" s="38">
        <f>COUNTIF(퀘스트!B:B,표1[[#This Row],[명칭]])</f>
        <v>0</v>
      </c>
      <c r="N1258" s="65">
        <f>COUNTIF([1]VillageDiscoveryGroup!$C:$C,표1[[#This Row],[명칭]])</f>
        <v>0</v>
      </c>
      <c r="O1258" s="65">
        <f>SUM(표1[[#This Row],[해양탐색]:[마을탐험]])</f>
        <v>7</v>
      </c>
    </row>
    <row r="1259" spans="2:15" ht="13.5" customHeight="1" x14ac:dyDescent="0.3">
      <c r="B1259" s="9">
        <f>[1]Discovery!A1265</f>
        <v>70409342</v>
      </c>
      <c r="C1259" s="9" t="str">
        <f>[1]Discovery!B1265</f>
        <v>참조기</v>
      </c>
      <c r="D1259" s="9" t="str">
        <f>[1]Discovery!E1265</f>
        <v>동물</v>
      </c>
      <c r="E1259" s="9" t="str">
        <f>[1]Discovery!C1265</f>
        <v>어류</v>
      </c>
      <c r="F1259" s="9" t="str">
        <f>[1]Discovery!G1265</f>
        <v>B</v>
      </c>
      <c r="G1259" s="9" t="str">
        <f>IFERROR(VLOOKUP(표1[[#This Row],[명칭]],'문화권 정리'!C:D,2,FALSE),"-")</f>
        <v>어류</v>
      </c>
      <c r="H1259" s="38" t="str">
        <f>IFERROR(COUNTIF([2]OceanDoodad!$Y:$Y,표1[[#This Row],[명칭]]),"-")</f>
        <v>-</v>
      </c>
      <c r="I1259" s="38">
        <f>IFERROR(COUNTIF([1]AdventureDiscoveryGroup!$D$8:$AW$92,표1[[#This Row],[명칭]]),"-")</f>
        <v>0</v>
      </c>
      <c r="J1259" s="38">
        <f>IFERROR(COUNTIF([1]FishDiscoveryGroup!$A:$X,표1[[#This Row],[명칭]]),"-")</f>
        <v>4</v>
      </c>
      <c r="K1259" s="38" t="str">
        <f>IFERROR(COUNTIF([2]Town!$B:$B,표1[[#This Row],[명칭]]),"-")</f>
        <v>-</v>
      </c>
      <c r="L1259" s="38">
        <f>IFERROR(COUNTIF([1]Village!$BR:$BR,표1[[#This Row],[명칭]]),"-")</f>
        <v>0</v>
      </c>
      <c r="M1259" s="38">
        <f>COUNTIF(퀘스트!B:B,표1[[#This Row],[명칭]])</f>
        <v>0</v>
      </c>
      <c r="N1259" s="65">
        <f>COUNTIF([1]VillageDiscoveryGroup!$C:$C,표1[[#This Row],[명칭]])</f>
        <v>0</v>
      </c>
      <c r="O1259" s="65">
        <f>SUM(표1[[#This Row],[해양탐색]:[마을탐험]])</f>
        <v>4</v>
      </c>
    </row>
    <row r="1260" spans="2:15" ht="13.5" customHeight="1" x14ac:dyDescent="0.3">
      <c r="B1260" s="9">
        <f>[1]Discovery!A1266</f>
        <v>70409343</v>
      </c>
      <c r="C1260" s="9" t="str">
        <f>[1]Discovery!B1266</f>
        <v>참치방어</v>
      </c>
      <c r="D1260" s="9" t="str">
        <f>[1]Discovery!E1266</f>
        <v>동물</v>
      </c>
      <c r="E1260" s="9" t="str">
        <f>[1]Discovery!C1266</f>
        <v>어류</v>
      </c>
      <c r="F1260" s="9" t="str">
        <f>[1]Discovery!G1266</f>
        <v>D</v>
      </c>
      <c r="G1260" s="9" t="str">
        <f>IFERROR(VLOOKUP(표1[[#This Row],[명칭]],'문화권 정리'!C:D,2,FALSE),"-")</f>
        <v>어류</v>
      </c>
      <c r="H1260" s="38" t="str">
        <f>IFERROR(COUNTIF([2]OceanDoodad!$Y:$Y,표1[[#This Row],[명칭]]),"-")</f>
        <v>-</v>
      </c>
      <c r="I1260" s="38">
        <f>IFERROR(COUNTIF([1]AdventureDiscoveryGroup!$D$8:$AW$92,표1[[#This Row],[명칭]]),"-")</f>
        <v>0</v>
      </c>
      <c r="J1260" s="38">
        <f>IFERROR(COUNTIF([1]FishDiscoveryGroup!$A:$X,표1[[#This Row],[명칭]]),"-")</f>
        <v>12</v>
      </c>
      <c r="K1260" s="38" t="str">
        <f>IFERROR(COUNTIF([2]Town!$B:$B,표1[[#This Row],[명칭]]),"-")</f>
        <v>-</v>
      </c>
      <c r="L1260" s="38">
        <f>IFERROR(COUNTIF([1]Village!$BR:$BR,표1[[#This Row],[명칭]]),"-")</f>
        <v>0</v>
      </c>
      <c r="M1260" s="38">
        <f>COUNTIF(퀘스트!B:B,표1[[#This Row],[명칭]])</f>
        <v>0</v>
      </c>
      <c r="N1260" s="65">
        <f>COUNTIF([1]VillageDiscoveryGroup!$C:$C,표1[[#This Row],[명칭]])</f>
        <v>0</v>
      </c>
      <c r="O1260" s="65">
        <f>SUM(표1[[#This Row],[해양탐색]:[마을탐험]])</f>
        <v>12</v>
      </c>
    </row>
    <row r="1261" spans="2:15" ht="13.5" customHeight="1" x14ac:dyDescent="0.3">
      <c r="B1261" s="9">
        <f>[1]Discovery!A1267</f>
        <v>70409344</v>
      </c>
      <c r="C1261" s="9" t="str">
        <f>[1]Discovery!B1267</f>
        <v>창꼬치</v>
      </c>
      <c r="D1261" s="9" t="str">
        <f>[1]Discovery!E1267</f>
        <v>동물</v>
      </c>
      <c r="E1261" s="9" t="str">
        <f>[1]Discovery!C1267</f>
        <v>어류</v>
      </c>
      <c r="F1261" s="9" t="str">
        <f>[1]Discovery!G1267</f>
        <v>C</v>
      </c>
      <c r="G1261" s="9" t="str">
        <f>IFERROR(VLOOKUP(표1[[#This Row],[명칭]],'문화권 정리'!C:D,2,FALSE),"-")</f>
        <v>어류</v>
      </c>
      <c r="H1261" s="38" t="str">
        <f>IFERROR(COUNTIF([2]OceanDoodad!$Y:$Y,표1[[#This Row],[명칭]]),"-")</f>
        <v>-</v>
      </c>
      <c r="I1261" s="38">
        <f>IFERROR(COUNTIF([1]AdventureDiscoveryGroup!$D$8:$AW$92,표1[[#This Row],[명칭]]),"-")</f>
        <v>0</v>
      </c>
      <c r="J1261" s="38">
        <f>IFERROR(COUNTIF([1]FishDiscoveryGroup!$A:$X,표1[[#This Row],[명칭]]),"-")</f>
        <v>4</v>
      </c>
      <c r="K1261" s="38" t="str">
        <f>IFERROR(COUNTIF([2]Town!$B:$B,표1[[#This Row],[명칭]]),"-")</f>
        <v>-</v>
      </c>
      <c r="L1261" s="38">
        <f>IFERROR(COUNTIF([1]Village!$BR:$BR,표1[[#This Row],[명칭]]),"-")</f>
        <v>0</v>
      </c>
      <c r="M1261" s="38">
        <f>COUNTIF(퀘스트!B:B,표1[[#This Row],[명칭]])</f>
        <v>0</v>
      </c>
      <c r="N1261" s="65">
        <f>COUNTIF([1]VillageDiscoveryGroup!$C:$C,표1[[#This Row],[명칭]])</f>
        <v>0</v>
      </c>
      <c r="O1261" s="65">
        <f>SUM(표1[[#This Row],[해양탐색]:[마을탐험]])</f>
        <v>4</v>
      </c>
    </row>
    <row r="1262" spans="2:15" ht="13.5" customHeight="1" x14ac:dyDescent="0.3">
      <c r="B1262" s="9">
        <f>[1]Discovery!A1268</f>
        <v>70409345</v>
      </c>
      <c r="C1262" s="9" t="str">
        <f>[1]Discovery!B1268</f>
        <v>철갑둥어</v>
      </c>
      <c r="D1262" s="9" t="str">
        <f>[1]Discovery!E1268</f>
        <v>동물</v>
      </c>
      <c r="E1262" s="9" t="str">
        <f>[1]Discovery!C1268</f>
        <v>어류</v>
      </c>
      <c r="F1262" s="9" t="str">
        <f>[1]Discovery!G1268</f>
        <v>D</v>
      </c>
      <c r="G1262" s="9" t="str">
        <f>IFERROR(VLOOKUP(표1[[#This Row],[명칭]],'문화권 정리'!C:D,2,FALSE),"-")</f>
        <v>어류</v>
      </c>
      <c r="H1262" s="38" t="str">
        <f>IFERROR(COUNTIF([2]OceanDoodad!$Y:$Y,표1[[#This Row],[명칭]]),"-")</f>
        <v>-</v>
      </c>
      <c r="I1262" s="38">
        <f>IFERROR(COUNTIF([1]AdventureDiscoveryGroup!$D$8:$AW$92,표1[[#This Row],[명칭]]),"-")</f>
        <v>0</v>
      </c>
      <c r="J1262" s="38">
        <f>IFERROR(COUNTIF([1]FishDiscoveryGroup!$A:$X,표1[[#This Row],[명칭]]),"-")</f>
        <v>4</v>
      </c>
      <c r="K1262" s="38" t="str">
        <f>IFERROR(COUNTIF([2]Town!$B:$B,표1[[#This Row],[명칭]]),"-")</f>
        <v>-</v>
      </c>
      <c r="L1262" s="38">
        <f>IFERROR(COUNTIF([1]Village!$BR:$BR,표1[[#This Row],[명칭]]),"-")</f>
        <v>0</v>
      </c>
      <c r="M1262" s="38">
        <f>COUNTIF(퀘스트!B:B,표1[[#This Row],[명칭]])</f>
        <v>0</v>
      </c>
      <c r="N1262" s="65">
        <f>COUNTIF([1]VillageDiscoveryGroup!$C:$C,표1[[#This Row],[명칭]])</f>
        <v>0</v>
      </c>
      <c r="O1262" s="65">
        <f>SUM(표1[[#This Row],[해양탐색]:[마을탐험]])</f>
        <v>4</v>
      </c>
    </row>
    <row r="1263" spans="2:15" ht="13.5" customHeight="1" x14ac:dyDescent="0.3">
      <c r="B1263" s="9">
        <f>[1]Discovery!A1269</f>
        <v>70409346</v>
      </c>
      <c r="C1263" s="9" t="str">
        <f>[1]Discovery!B1269</f>
        <v>철갑상어</v>
      </c>
      <c r="D1263" s="9" t="str">
        <f>[1]Discovery!E1269</f>
        <v>동물</v>
      </c>
      <c r="E1263" s="9" t="str">
        <f>[1]Discovery!C1269</f>
        <v>어류</v>
      </c>
      <c r="F1263" s="9" t="str">
        <f>[1]Discovery!G1269</f>
        <v>A</v>
      </c>
      <c r="G1263" s="9" t="str">
        <f>IFERROR(VLOOKUP(표1[[#This Row],[명칭]],'문화권 정리'!C:D,2,FALSE),"-")</f>
        <v>어류</v>
      </c>
      <c r="H1263" s="38" t="str">
        <f>IFERROR(COUNTIF([2]OceanDoodad!$Y:$Y,표1[[#This Row],[명칭]]),"-")</f>
        <v>-</v>
      </c>
      <c r="I1263" s="38">
        <f>IFERROR(COUNTIF([1]AdventureDiscoveryGroup!$D$8:$AW$92,표1[[#This Row],[명칭]]),"-")</f>
        <v>0</v>
      </c>
      <c r="J1263" s="38">
        <f>IFERROR(COUNTIF([1]FishDiscoveryGroup!$A:$X,표1[[#This Row],[명칭]]),"-")</f>
        <v>4</v>
      </c>
      <c r="K1263" s="38" t="str">
        <f>IFERROR(COUNTIF([2]Town!$B:$B,표1[[#This Row],[명칭]]),"-")</f>
        <v>-</v>
      </c>
      <c r="L1263" s="38">
        <f>IFERROR(COUNTIF([1]Village!$BR:$BR,표1[[#This Row],[명칭]]),"-")</f>
        <v>0</v>
      </c>
      <c r="M1263" s="38">
        <f>COUNTIF(퀘스트!B:B,표1[[#This Row],[명칭]])</f>
        <v>0</v>
      </c>
      <c r="N1263" s="65">
        <f>COUNTIF([1]VillageDiscoveryGroup!$C:$C,표1[[#This Row],[명칭]])</f>
        <v>0</v>
      </c>
      <c r="O1263" s="65">
        <f>SUM(표1[[#This Row],[해양탐색]:[마을탐험]])</f>
        <v>4</v>
      </c>
    </row>
    <row r="1264" spans="2:15" ht="13.5" customHeight="1" x14ac:dyDescent="0.3">
      <c r="B1264" s="9">
        <f>[1]Discovery!A1270</f>
        <v>70409347</v>
      </c>
      <c r="C1264" s="9" t="str">
        <f>[1]Discovery!B1270</f>
        <v>청돔</v>
      </c>
      <c r="D1264" s="9" t="str">
        <f>[1]Discovery!E1270</f>
        <v>동물</v>
      </c>
      <c r="E1264" s="9" t="str">
        <f>[1]Discovery!C1270</f>
        <v>어류</v>
      </c>
      <c r="F1264" s="9" t="str">
        <f>[1]Discovery!G1270</f>
        <v>C</v>
      </c>
      <c r="G1264" s="9" t="str">
        <f>IFERROR(VLOOKUP(표1[[#This Row],[명칭]],'문화권 정리'!C:D,2,FALSE),"-")</f>
        <v>어류</v>
      </c>
      <c r="H1264" s="38" t="str">
        <f>IFERROR(COUNTIF([2]OceanDoodad!$Y:$Y,표1[[#This Row],[명칭]]),"-")</f>
        <v>-</v>
      </c>
      <c r="I1264" s="38">
        <f>IFERROR(COUNTIF([1]AdventureDiscoveryGroup!$D$8:$AW$92,표1[[#This Row],[명칭]]),"-")</f>
        <v>0</v>
      </c>
      <c r="J1264" s="38">
        <f>IFERROR(COUNTIF([1]FishDiscoveryGroup!$A:$X,표1[[#This Row],[명칭]]),"-")</f>
        <v>4</v>
      </c>
      <c r="K1264" s="38" t="str">
        <f>IFERROR(COUNTIF([2]Town!$B:$B,표1[[#This Row],[명칭]]),"-")</f>
        <v>-</v>
      </c>
      <c r="L1264" s="38">
        <f>IFERROR(COUNTIF([1]Village!$BR:$BR,표1[[#This Row],[명칭]]),"-")</f>
        <v>0</v>
      </c>
      <c r="M1264" s="38">
        <f>COUNTIF(퀘스트!B:B,표1[[#This Row],[명칭]])</f>
        <v>0</v>
      </c>
      <c r="N1264" s="65">
        <f>COUNTIF([1]VillageDiscoveryGroup!$C:$C,표1[[#This Row],[명칭]])</f>
        <v>0</v>
      </c>
      <c r="O1264" s="65">
        <f>SUM(표1[[#This Row],[해양탐색]:[마을탐험]])</f>
        <v>4</v>
      </c>
    </row>
    <row r="1265" spans="2:15" ht="13.5" customHeight="1" x14ac:dyDescent="0.3">
      <c r="B1265" s="9">
        <f>[1]Discovery!A1271</f>
        <v>70409348</v>
      </c>
      <c r="C1265" s="9" t="str">
        <f>[1]Discovery!B1271</f>
        <v>청상아리</v>
      </c>
      <c r="D1265" s="9" t="str">
        <f>[1]Discovery!E1271</f>
        <v>동물</v>
      </c>
      <c r="E1265" s="9" t="str">
        <f>[1]Discovery!C1271</f>
        <v>어류</v>
      </c>
      <c r="F1265" s="9" t="str">
        <f>[1]Discovery!G1271</f>
        <v>S</v>
      </c>
      <c r="G1265" s="9" t="str">
        <f>IFERROR(VLOOKUP(표1[[#This Row],[명칭]],'문화권 정리'!C:D,2,FALSE),"-")</f>
        <v>어류</v>
      </c>
      <c r="H1265" s="38" t="str">
        <f>IFERROR(COUNTIF([2]OceanDoodad!$Y:$Y,표1[[#This Row],[명칭]]),"-")</f>
        <v>-</v>
      </c>
      <c r="I1265" s="38">
        <f>IFERROR(COUNTIF([1]AdventureDiscoveryGroup!$D$8:$AW$92,표1[[#This Row],[명칭]]),"-")</f>
        <v>0</v>
      </c>
      <c r="J1265" s="38">
        <f>IFERROR(COUNTIF([1]FishDiscoveryGroup!$A:$X,표1[[#This Row],[명칭]]),"-")</f>
        <v>1</v>
      </c>
      <c r="K1265" s="38" t="str">
        <f>IFERROR(COUNTIF([2]Town!$B:$B,표1[[#This Row],[명칭]]),"-")</f>
        <v>-</v>
      </c>
      <c r="L1265" s="38">
        <f>IFERROR(COUNTIF([1]Village!$BR:$BR,표1[[#This Row],[명칭]]),"-")</f>
        <v>0</v>
      </c>
      <c r="M1265" s="38">
        <f>COUNTIF(퀘스트!B:B,표1[[#This Row],[명칭]])</f>
        <v>0</v>
      </c>
      <c r="N1265" s="65">
        <f>COUNTIF([1]VillageDiscoveryGroup!$C:$C,표1[[#This Row],[명칭]])</f>
        <v>0</v>
      </c>
      <c r="O1265" s="65">
        <f>SUM(표1[[#This Row],[해양탐색]:[마을탐험]])</f>
        <v>1</v>
      </c>
    </row>
    <row r="1266" spans="2:15" ht="13.5" customHeight="1" x14ac:dyDescent="0.3">
      <c r="B1266" s="9">
        <f>[1]Discovery!A1272</f>
        <v>70409349</v>
      </c>
      <c r="C1266" s="9" t="str">
        <f>[1]Discovery!B1272</f>
        <v>청새리상어</v>
      </c>
      <c r="D1266" s="9" t="str">
        <f>[1]Discovery!E1272</f>
        <v>동물</v>
      </c>
      <c r="E1266" s="9" t="str">
        <f>[1]Discovery!C1272</f>
        <v>어류</v>
      </c>
      <c r="F1266" s="9" t="str">
        <f>[1]Discovery!G1272</f>
        <v>S</v>
      </c>
      <c r="G1266" s="9" t="str">
        <f>IFERROR(VLOOKUP(표1[[#This Row],[명칭]],'문화권 정리'!C:D,2,FALSE),"-")</f>
        <v>어류</v>
      </c>
      <c r="H1266" s="38" t="str">
        <f>IFERROR(COUNTIF([2]OceanDoodad!$Y:$Y,표1[[#This Row],[명칭]]),"-")</f>
        <v>-</v>
      </c>
      <c r="I1266" s="38">
        <f>IFERROR(COUNTIF([1]AdventureDiscoveryGroup!$D$8:$AW$92,표1[[#This Row],[명칭]]),"-")</f>
        <v>0</v>
      </c>
      <c r="J1266" s="38">
        <f>IFERROR(COUNTIF([1]FishDiscoveryGroup!$A:$X,표1[[#This Row],[명칭]]),"-")</f>
        <v>4</v>
      </c>
      <c r="K1266" s="38" t="str">
        <f>IFERROR(COUNTIF([2]Town!$B:$B,표1[[#This Row],[명칭]]),"-")</f>
        <v>-</v>
      </c>
      <c r="L1266" s="38">
        <f>IFERROR(COUNTIF([1]Village!$BR:$BR,표1[[#This Row],[명칭]]),"-")</f>
        <v>0</v>
      </c>
      <c r="M1266" s="38">
        <f>COUNTIF(퀘스트!B:B,표1[[#This Row],[명칭]])</f>
        <v>0</v>
      </c>
      <c r="N1266" s="65">
        <f>COUNTIF([1]VillageDiscoveryGroup!$C:$C,표1[[#This Row],[명칭]])</f>
        <v>0</v>
      </c>
      <c r="O1266" s="65">
        <f>SUM(표1[[#This Row],[해양탐색]:[마을탐험]])</f>
        <v>4</v>
      </c>
    </row>
    <row r="1267" spans="2:15" ht="13.5" customHeight="1" x14ac:dyDescent="0.3">
      <c r="B1267" s="9">
        <f>[1]Discovery!A1273</f>
        <v>70409350</v>
      </c>
      <c r="C1267" s="9" t="str">
        <f>[1]Discovery!B1273</f>
        <v>청새치</v>
      </c>
      <c r="D1267" s="9" t="str">
        <f>[1]Discovery!E1273</f>
        <v>동물</v>
      </c>
      <c r="E1267" s="9" t="str">
        <f>[1]Discovery!C1273</f>
        <v>어류</v>
      </c>
      <c r="F1267" s="9" t="str">
        <f>[1]Discovery!G1273</f>
        <v>s</v>
      </c>
      <c r="G1267" s="9" t="str">
        <f>IFERROR(VLOOKUP(표1[[#This Row],[명칭]],'문화권 정리'!C:D,2,FALSE),"-")</f>
        <v>어류</v>
      </c>
      <c r="H1267" s="38" t="str">
        <f>IFERROR(COUNTIF([2]OceanDoodad!$Y:$Y,표1[[#This Row],[명칭]]),"-")</f>
        <v>-</v>
      </c>
      <c r="I1267" s="38">
        <f>IFERROR(COUNTIF([1]AdventureDiscoveryGroup!$D$8:$AW$92,표1[[#This Row],[명칭]]),"-")</f>
        <v>0</v>
      </c>
      <c r="J1267" s="38">
        <f>IFERROR(COUNTIF([1]FishDiscoveryGroup!$A:$X,표1[[#This Row],[명칭]]),"-")</f>
        <v>0</v>
      </c>
      <c r="K1267" s="38" t="str">
        <f>IFERROR(COUNTIF([2]Town!$B:$B,표1[[#This Row],[명칭]]),"-")</f>
        <v>-</v>
      </c>
      <c r="L1267" s="38">
        <f>IFERROR(COUNTIF([1]Village!$BR:$BR,표1[[#This Row],[명칭]]),"-")</f>
        <v>0</v>
      </c>
      <c r="M1267" s="38">
        <f>COUNTIF(퀘스트!B:B,표1[[#This Row],[명칭]])</f>
        <v>0</v>
      </c>
      <c r="N1267" s="65">
        <f>COUNTIF([1]VillageDiscoveryGroup!$C:$C,표1[[#This Row],[명칭]])</f>
        <v>0</v>
      </c>
      <c r="O1267" s="65">
        <f>SUM(표1[[#This Row],[해양탐색]:[마을탐험]])</f>
        <v>0</v>
      </c>
    </row>
    <row r="1268" spans="2:15" ht="13.5" customHeight="1" x14ac:dyDescent="0.3">
      <c r="B1268" s="9">
        <f>[1]Discovery!A1274</f>
        <v>70409351</v>
      </c>
      <c r="C1268" s="9" t="str">
        <f>[1]Discovery!B1274</f>
        <v>청줄청소놀래기</v>
      </c>
      <c r="D1268" s="9" t="str">
        <f>[1]Discovery!E1274</f>
        <v>동물</v>
      </c>
      <c r="E1268" s="9" t="str">
        <f>[1]Discovery!C1274</f>
        <v>어류</v>
      </c>
      <c r="F1268" s="9" t="str">
        <f>[1]Discovery!G1274</f>
        <v>D</v>
      </c>
      <c r="G1268" s="9" t="str">
        <f>IFERROR(VLOOKUP(표1[[#This Row],[명칭]],'문화권 정리'!C:D,2,FALSE),"-")</f>
        <v>어류</v>
      </c>
      <c r="H1268" s="38" t="str">
        <f>IFERROR(COUNTIF([2]OceanDoodad!$Y:$Y,표1[[#This Row],[명칭]]),"-")</f>
        <v>-</v>
      </c>
      <c r="I1268" s="38">
        <f>IFERROR(COUNTIF([1]AdventureDiscoveryGroup!$D$8:$AW$92,표1[[#This Row],[명칭]]),"-")</f>
        <v>0</v>
      </c>
      <c r="J1268" s="38">
        <f>IFERROR(COUNTIF([1]FishDiscoveryGroup!$A:$X,표1[[#This Row],[명칭]]),"-")</f>
        <v>4</v>
      </c>
      <c r="K1268" s="38" t="str">
        <f>IFERROR(COUNTIF([2]Town!$B:$B,표1[[#This Row],[명칭]]),"-")</f>
        <v>-</v>
      </c>
      <c r="L1268" s="38">
        <f>IFERROR(COUNTIF([1]Village!$BR:$BR,표1[[#This Row],[명칭]]),"-")</f>
        <v>0</v>
      </c>
      <c r="M1268" s="38">
        <f>COUNTIF(퀘스트!B:B,표1[[#This Row],[명칭]])</f>
        <v>0</v>
      </c>
      <c r="N1268" s="65">
        <f>COUNTIF([1]VillageDiscoveryGroup!$C:$C,표1[[#This Row],[명칭]])</f>
        <v>0</v>
      </c>
      <c r="O1268" s="65">
        <f>SUM(표1[[#This Row],[해양탐색]:[마을탐험]])</f>
        <v>4</v>
      </c>
    </row>
    <row r="1269" spans="2:15" ht="13.5" customHeight="1" x14ac:dyDescent="0.3">
      <c r="B1269" s="9">
        <f>[1]Discovery!A1275</f>
        <v>70409352</v>
      </c>
      <c r="C1269" s="9" t="str">
        <f>[1]Discovery!B1275</f>
        <v>청황돔</v>
      </c>
      <c r="D1269" s="9" t="str">
        <f>[1]Discovery!E1275</f>
        <v>동물</v>
      </c>
      <c r="E1269" s="9" t="str">
        <f>[1]Discovery!C1275</f>
        <v>어류</v>
      </c>
      <c r="F1269" s="9" t="str">
        <f>[1]Discovery!G1275</f>
        <v>D</v>
      </c>
      <c r="G1269" s="9" t="str">
        <f>IFERROR(VLOOKUP(표1[[#This Row],[명칭]],'문화권 정리'!C:D,2,FALSE),"-")</f>
        <v>어류</v>
      </c>
      <c r="H1269" s="38" t="str">
        <f>IFERROR(COUNTIF([2]OceanDoodad!$Y:$Y,표1[[#This Row],[명칭]]),"-")</f>
        <v>-</v>
      </c>
      <c r="I1269" s="38">
        <f>IFERROR(COUNTIF([1]AdventureDiscoveryGroup!$D$8:$AW$92,표1[[#This Row],[명칭]]),"-")</f>
        <v>0</v>
      </c>
      <c r="J1269" s="38">
        <f>IFERROR(COUNTIF([1]FishDiscoveryGroup!$A:$X,표1[[#This Row],[명칭]]),"-")</f>
        <v>4</v>
      </c>
      <c r="K1269" s="38" t="str">
        <f>IFERROR(COUNTIF([2]Town!$B:$B,표1[[#This Row],[명칭]]),"-")</f>
        <v>-</v>
      </c>
      <c r="L1269" s="38">
        <f>IFERROR(COUNTIF([1]Village!$BR:$BR,표1[[#This Row],[명칭]]),"-")</f>
        <v>0</v>
      </c>
      <c r="M1269" s="38">
        <f>COUNTIF(퀘스트!B:B,표1[[#This Row],[명칭]])</f>
        <v>0</v>
      </c>
      <c r="N1269" s="65">
        <f>COUNTIF([1]VillageDiscoveryGroup!$C:$C,표1[[#This Row],[명칭]])</f>
        <v>0</v>
      </c>
      <c r="O1269" s="65">
        <f>SUM(표1[[#This Row],[해양탐색]:[마을탐험]])</f>
        <v>4</v>
      </c>
    </row>
    <row r="1270" spans="2:15" ht="13.5" customHeight="1" x14ac:dyDescent="0.3">
      <c r="B1270" s="9">
        <f>[1]Discovery!A1276</f>
        <v>70409353</v>
      </c>
      <c r="C1270" s="9" t="str">
        <f>[1]Discovery!B1276</f>
        <v>체장메기</v>
      </c>
      <c r="D1270" s="9" t="str">
        <f>[1]Discovery!E1276</f>
        <v>동물</v>
      </c>
      <c r="E1270" s="9" t="str">
        <f>[1]Discovery!C1276</f>
        <v>어류</v>
      </c>
      <c r="F1270" s="9" t="str">
        <f>[1]Discovery!G1276</f>
        <v>S</v>
      </c>
      <c r="G1270" s="9" t="str">
        <f>IFERROR(VLOOKUP(표1[[#This Row],[명칭]],'문화권 정리'!C:D,2,FALSE),"-")</f>
        <v>어류</v>
      </c>
      <c r="H1270" s="38" t="str">
        <f>IFERROR(COUNTIF([2]OceanDoodad!$Y:$Y,표1[[#This Row],[명칭]]),"-")</f>
        <v>-</v>
      </c>
      <c r="I1270" s="38">
        <f>IFERROR(COUNTIF([1]AdventureDiscoveryGroup!$D$8:$AW$92,표1[[#This Row],[명칭]]),"-")</f>
        <v>0</v>
      </c>
      <c r="J1270" s="38">
        <f>IFERROR(COUNTIF([1]FishDiscoveryGroup!$A:$X,표1[[#This Row],[명칭]]),"-")</f>
        <v>0</v>
      </c>
      <c r="K1270" s="38" t="str">
        <f>IFERROR(COUNTIF([2]Town!$B:$B,표1[[#This Row],[명칭]]),"-")</f>
        <v>-</v>
      </c>
      <c r="L1270" s="38">
        <f>IFERROR(COUNTIF([1]Village!$BR:$BR,표1[[#This Row],[명칭]]),"-")</f>
        <v>0</v>
      </c>
      <c r="M1270" s="38">
        <f>COUNTIF(퀘스트!B:B,표1[[#This Row],[명칭]])</f>
        <v>0</v>
      </c>
      <c r="N1270" s="65">
        <f>COUNTIF([1]VillageDiscoveryGroup!$C:$C,표1[[#This Row],[명칭]])</f>
        <v>0</v>
      </c>
      <c r="O1270" s="65">
        <f>SUM(표1[[#This Row],[해양탐색]:[마을탐험]])</f>
        <v>0</v>
      </c>
    </row>
    <row r="1271" spans="2:15" ht="13.5" customHeight="1" x14ac:dyDescent="0.3">
      <c r="B1271" s="9">
        <f>[1]Discovery!A1277</f>
        <v>70409354</v>
      </c>
      <c r="C1271" s="9" t="str">
        <f>[1]Discovery!B1277</f>
        <v>초록곰치</v>
      </c>
      <c r="D1271" s="9" t="str">
        <f>[1]Discovery!E1277</f>
        <v>동물</v>
      </c>
      <c r="E1271" s="9" t="str">
        <f>[1]Discovery!C1277</f>
        <v>어류</v>
      </c>
      <c r="F1271" s="9" t="str">
        <f>[1]Discovery!G1277</f>
        <v>A</v>
      </c>
      <c r="G1271" s="9" t="str">
        <f>IFERROR(VLOOKUP(표1[[#This Row],[명칭]],'문화권 정리'!C:D,2,FALSE),"-")</f>
        <v>어류</v>
      </c>
      <c r="H1271" s="38" t="str">
        <f>IFERROR(COUNTIF([2]OceanDoodad!$Y:$Y,표1[[#This Row],[명칭]]),"-")</f>
        <v>-</v>
      </c>
      <c r="I1271" s="38">
        <f>IFERROR(COUNTIF([1]AdventureDiscoveryGroup!$D$8:$AW$92,표1[[#This Row],[명칭]]),"-")</f>
        <v>0</v>
      </c>
      <c r="J1271" s="38">
        <f>IFERROR(COUNTIF([1]FishDiscoveryGroup!$A:$X,표1[[#This Row],[명칭]]),"-")</f>
        <v>4</v>
      </c>
      <c r="K1271" s="38" t="str">
        <f>IFERROR(COUNTIF([2]Town!$B:$B,표1[[#This Row],[명칭]]),"-")</f>
        <v>-</v>
      </c>
      <c r="L1271" s="38">
        <f>IFERROR(COUNTIF([1]Village!$BR:$BR,표1[[#This Row],[명칭]]),"-")</f>
        <v>0</v>
      </c>
      <c r="M1271" s="38">
        <f>COUNTIF(퀘스트!B:B,표1[[#This Row],[명칭]])</f>
        <v>0</v>
      </c>
      <c r="N1271" s="65">
        <f>COUNTIF([1]VillageDiscoveryGroup!$C:$C,표1[[#This Row],[명칭]])</f>
        <v>0</v>
      </c>
      <c r="O1271" s="65">
        <f>SUM(표1[[#This Row],[해양탐색]:[마을탐험]])</f>
        <v>4</v>
      </c>
    </row>
    <row r="1272" spans="2:15" ht="13.5" customHeight="1" x14ac:dyDescent="0.3">
      <c r="B1272" s="9">
        <f>[1]Discovery!A1278</f>
        <v>70409355</v>
      </c>
      <c r="C1272" s="9" t="str">
        <f>[1]Discovery!B1278</f>
        <v>초승제비활치</v>
      </c>
      <c r="D1272" s="9" t="str">
        <f>[1]Discovery!E1278</f>
        <v>동물</v>
      </c>
      <c r="E1272" s="9" t="str">
        <f>[1]Discovery!C1278</f>
        <v>어류</v>
      </c>
      <c r="F1272" s="9" t="str">
        <f>[1]Discovery!G1278</f>
        <v>D</v>
      </c>
      <c r="G1272" s="9" t="str">
        <f>IFERROR(VLOOKUP(표1[[#This Row],[명칭]],'문화권 정리'!C:D,2,FALSE),"-")</f>
        <v>어류</v>
      </c>
      <c r="H1272" s="38" t="str">
        <f>IFERROR(COUNTIF([2]OceanDoodad!$Y:$Y,표1[[#This Row],[명칭]]),"-")</f>
        <v>-</v>
      </c>
      <c r="I1272" s="38">
        <f>IFERROR(COUNTIF([1]AdventureDiscoveryGroup!$D$8:$AW$92,표1[[#This Row],[명칭]]),"-")</f>
        <v>0</v>
      </c>
      <c r="J1272" s="38">
        <f>IFERROR(COUNTIF([1]FishDiscoveryGroup!$A:$X,표1[[#This Row],[명칭]]),"-")</f>
        <v>3</v>
      </c>
      <c r="K1272" s="38" t="str">
        <f>IFERROR(COUNTIF([2]Town!$B:$B,표1[[#This Row],[명칭]]),"-")</f>
        <v>-</v>
      </c>
      <c r="L1272" s="38">
        <f>IFERROR(COUNTIF([1]Village!$BR:$BR,표1[[#This Row],[명칭]]),"-")</f>
        <v>0</v>
      </c>
      <c r="M1272" s="38">
        <f>COUNTIF(퀘스트!B:B,표1[[#This Row],[명칭]])</f>
        <v>0</v>
      </c>
      <c r="N1272" s="65">
        <f>COUNTIF([1]VillageDiscoveryGroup!$C:$C,표1[[#This Row],[명칭]])</f>
        <v>0</v>
      </c>
      <c r="O1272" s="65">
        <f>SUM(표1[[#This Row],[해양탐색]:[마을탐험]])</f>
        <v>3</v>
      </c>
    </row>
    <row r="1273" spans="2:15" ht="13.5" customHeight="1" x14ac:dyDescent="0.3">
      <c r="B1273" s="9">
        <f>[1]Discovery!A1279</f>
        <v>70409356</v>
      </c>
      <c r="C1273" s="9" t="str">
        <f>[1]Discovery!B1279</f>
        <v>칠성상어</v>
      </c>
      <c r="D1273" s="9" t="str">
        <f>[1]Discovery!E1279</f>
        <v>동물</v>
      </c>
      <c r="E1273" s="9" t="str">
        <f>[1]Discovery!C1279</f>
        <v>어류</v>
      </c>
      <c r="F1273" s="9" t="str">
        <f>[1]Discovery!G1279</f>
        <v>S</v>
      </c>
      <c r="G1273" s="9" t="str">
        <f>IFERROR(VLOOKUP(표1[[#This Row],[명칭]],'문화권 정리'!C:D,2,FALSE),"-")</f>
        <v>어류</v>
      </c>
      <c r="H1273" s="38" t="str">
        <f>IFERROR(COUNTIF([2]OceanDoodad!$Y:$Y,표1[[#This Row],[명칭]]),"-")</f>
        <v>-</v>
      </c>
      <c r="I1273" s="38">
        <f>IFERROR(COUNTIF([1]AdventureDiscoveryGroup!$D$8:$AW$92,표1[[#This Row],[명칭]]),"-")</f>
        <v>0</v>
      </c>
      <c r="J1273" s="38">
        <f>IFERROR(COUNTIF([1]FishDiscoveryGroup!$A:$X,표1[[#This Row],[명칭]]),"-")</f>
        <v>4</v>
      </c>
      <c r="K1273" s="38" t="str">
        <f>IFERROR(COUNTIF([2]Town!$B:$B,표1[[#This Row],[명칭]]),"-")</f>
        <v>-</v>
      </c>
      <c r="L1273" s="38">
        <f>IFERROR(COUNTIF([1]Village!$BR:$BR,표1[[#This Row],[명칭]]),"-")</f>
        <v>0</v>
      </c>
      <c r="M1273" s="38">
        <f>COUNTIF(퀘스트!B:B,표1[[#This Row],[명칭]])</f>
        <v>0</v>
      </c>
      <c r="N1273" s="65">
        <f>COUNTIF([1]VillageDiscoveryGroup!$C:$C,표1[[#This Row],[명칭]])</f>
        <v>0</v>
      </c>
      <c r="O1273" s="65">
        <f>SUM(표1[[#This Row],[해양탐색]:[마을탐험]])</f>
        <v>4</v>
      </c>
    </row>
    <row r="1274" spans="2:15" ht="13.5" customHeight="1" x14ac:dyDescent="0.3">
      <c r="B1274" s="9">
        <f>[1]Discovery!A1280</f>
        <v>70409357</v>
      </c>
      <c r="C1274" s="9" t="str">
        <f>[1]Discovery!B1280</f>
        <v>칠성장어</v>
      </c>
      <c r="D1274" s="9" t="str">
        <f>[1]Discovery!E1280</f>
        <v>동물</v>
      </c>
      <c r="E1274" s="9" t="str">
        <f>[1]Discovery!C1280</f>
        <v>어류</v>
      </c>
      <c r="F1274" s="9" t="str">
        <f>[1]Discovery!G1280</f>
        <v>A</v>
      </c>
      <c r="G1274" s="9" t="str">
        <f>IFERROR(VLOOKUP(표1[[#This Row],[명칭]],'문화권 정리'!C:D,2,FALSE),"-")</f>
        <v>어류</v>
      </c>
      <c r="H1274" s="38" t="str">
        <f>IFERROR(COUNTIF([2]OceanDoodad!$Y:$Y,표1[[#This Row],[명칭]]),"-")</f>
        <v>-</v>
      </c>
      <c r="I1274" s="38">
        <f>IFERROR(COUNTIF([1]AdventureDiscoveryGroup!$D$8:$AW$92,표1[[#This Row],[명칭]]),"-")</f>
        <v>0</v>
      </c>
      <c r="J1274" s="38">
        <f>IFERROR(COUNTIF([1]FishDiscoveryGroup!$A:$X,표1[[#This Row],[명칭]]),"-")</f>
        <v>4</v>
      </c>
      <c r="K1274" s="38" t="str">
        <f>IFERROR(COUNTIF([2]Town!$B:$B,표1[[#This Row],[명칭]]),"-")</f>
        <v>-</v>
      </c>
      <c r="L1274" s="38">
        <f>IFERROR(COUNTIF([1]Village!$BR:$BR,표1[[#This Row],[명칭]]),"-")</f>
        <v>0</v>
      </c>
      <c r="M1274" s="38">
        <f>COUNTIF(퀘스트!B:B,표1[[#This Row],[명칭]])</f>
        <v>0</v>
      </c>
      <c r="N1274" s="65">
        <f>COUNTIF([1]VillageDiscoveryGroup!$C:$C,표1[[#This Row],[명칭]])</f>
        <v>0</v>
      </c>
      <c r="O1274" s="65">
        <f>SUM(표1[[#This Row],[해양탐색]:[마을탐험]])</f>
        <v>4</v>
      </c>
    </row>
    <row r="1275" spans="2:15" ht="13.5" customHeight="1" x14ac:dyDescent="0.3">
      <c r="B1275" s="9">
        <f>[1]Discovery!A1281</f>
        <v>70409358</v>
      </c>
      <c r="C1275" s="9" t="str">
        <f>[1]Discovery!B1281</f>
        <v>코끼리주둥이고기</v>
      </c>
      <c r="D1275" s="9" t="str">
        <f>[1]Discovery!E1281</f>
        <v>동물</v>
      </c>
      <c r="E1275" s="9" t="str">
        <f>[1]Discovery!C1281</f>
        <v>어류</v>
      </c>
      <c r="F1275" s="9" t="str">
        <f>[1]Discovery!G1281</f>
        <v>A</v>
      </c>
      <c r="G1275" s="9" t="str">
        <f>IFERROR(VLOOKUP(표1[[#This Row],[명칭]],'문화권 정리'!C:D,2,FALSE),"-")</f>
        <v>어류</v>
      </c>
      <c r="H1275" s="38" t="str">
        <f>IFERROR(COUNTIF([2]OceanDoodad!$Y:$Y,표1[[#This Row],[명칭]]),"-")</f>
        <v>-</v>
      </c>
      <c r="I1275" s="38">
        <f>IFERROR(COUNTIF([1]AdventureDiscoveryGroup!$D$8:$AW$92,표1[[#This Row],[명칭]]),"-")</f>
        <v>0</v>
      </c>
      <c r="J1275" s="38">
        <f>IFERROR(COUNTIF([1]FishDiscoveryGroup!$A:$X,표1[[#This Row],[명칭]]),"-")</f>
        <v>4</v>
      </c>
      <c r="K1275" s="38" t="str">
        <f>IFERROR(COUNTIF([2]Town!$B:$B,표1[[#This Row],[명칭]]),"-")</f>
        <v>-</v>
      </c>
      <c r="L1275" s="38">
        <f>IFERROR(COUNTIF([1]Village!$BR:$BR,표1[[#This Row],[명칭]]),"-")</f>
        <v>0</v>
      </c>
      <c r="M1275" s="38">
        <f>COUNTIF(퀘스트!B:B,표1[[#This Row],[명칭]])</f>
        <v>0</v>
      </c>
      <c r="N1275" s="65">
        <f>COUNTIF([1]VillageDiscoveryGroup!$C:$C,표1[[#This Row],[명칭]])</f>
        <v>0</v>
      </c>
      <c r="O1275" s="65">
        <f>SUM(표1[[#This Row],[해양탐색]:[마을탐험]])</f>
        <v>4</v>
      </c>
    </row>
    <row r="1276" spans="2:15" ht="13.5" customHeight="1" x14ac:dyDescent="0.3">
      <c r="B1276" s="9">
        <f>[1]Discovery!A1282</f>
        <v>70409359</v>
      </c>
      <c r="C1276" s="9" t="str">
        <f>[1]Discovery!B1282</f>
        <v>큰눈홍치</v>
      </c>
      <c r="D1276" s="9" t="str">
        <f>[1]Discovery!E1282</f>
        <v>동물</v>
      </c>
      <c r="E1276" s="9" t="str">
        <f>[1]Discovery!C1282</f>
        <v>어류</v>
      </c>
      <c r="F1276" s="9" t="str">
        <f>[1]Discovery!G1282</f>
        <v>D</v>
      </c>
      <c r="G1276" s="9" t="str">
        <f>IFERROR(VLOOKUP(표1[[#This Row],[명칭]],'문화권 정리'!C:D,2,FALSE),"-")</f>
        <v>어류</v>
      </c>
      <c r="H1276" s="38" t="str">
        <f>IFERROR(COUNTIF([2]OceanDoodad!$Y:$Y,표1[[#This Row],[명칭]]),"-")</f>
        <v>-</v>
      </c>
      <c r="I1276" s="38">
        <f>IFERROR(COUNTIF([1]AdventureDiscoveryGroup!$D$8:$AW$92,표1[[#This Row],[명칭]]),"-")</f>
        <v>0</v>
      </c>
      <c r="J1276" s="38">
        <f>IFERROR(COUNTIF([1]FishDiscoveryGroup!$A:$X,표1[[#This Row],[명칭]]),"-")</f>
        <v>4</v>
      </c>
      <c r="K1276" s="38" t="str">
        <f>IFERROR(COUNTIF([2]Town!$B:$B,표1[[#This Row],[명칭]]),"-")</f>
        <v>-</v>
      </c>
      <c r="L1276" s="38">
        <f>IFERROR(COUNTIF([1]Village!$BR:$BR,표1[[#This Row],[명칭]]),"-")</f>
        <v>0</v>
      </c>
      <c r="M1276" s="38">
        <f>COUNTIF(퀘스트!B:B,표1[[#This Row],[명칭]])</f>
        <v>0</v>
      </c>
      <c r="N1276" s="65">
        <f>COUNTIF([1]VillageDiscoveryGroup!$C:$C,표1[[#This Row],[명칭]])</f>
        <v>0</v>
      </c>
      <c r="O1276" s="65">
        <f>SUM(표1[[#This Row],[해양탐색]:[마을탐험]])</f>
        <v>4</v>
      </c>
    </row>
    <row r="1277" spans="2:15" ht="13.5" customHeight="1" x14ac:dyDescent="0.3">
      <c r="B1277" s="9">
        <f>[1]Discovery!A1283</f>
        <v>70409360</v>
      </c>
      <c r="C1277" s="9" t="str">
        <f>[1]Discovery!B1283</f>
        <v>큰뿔표문쥐치</v>
      </c>
      <c r="D1277" s="9" t="str">
        <f>[1]Discovery!E1283</f>
        <v>동물</v>
      </c>
      <c r="E1277" s="9" t="str">
        <f>[1]Discovery!C1283</f>
        <v>어류</v>
      </c>
      <c r="F1277" s="9" t="str">
        <f>[1]Discovery!G1283</f>
        <v>D</v>
      </c>
      <c r="G1277" s="9" t="str">
        <f>IFERROR(VLOOKUP(표1[[#This Row],[명칭]],'문화권 정리'!C:D,2,FALSE),"-")</f>
        <v>어류</v>
      </c>
      <c r="H1277" s="38" t="str">
        <f>IFERROR(COUNTIF([2]OceanDoodad!$Y:$Y,표1[[#This Row],[명칭]]),"-")</f>
        <v>-</v>
      </c>
      <c r="I1277" s="38">
        <f>IFERROR(COUNTIF([1]AdventureDiscoveryGroup!$D$8:$AW$92,표1[[#This Row],[명칭]]),"-")</f>
        <v>0</v>
      </c>
      <c r="J1277" s="38">
        <f>IFERROR(COUNTIF([1]FishDiscoveryGroup!$A:$X,표1[[#This Row],[명칭]]),"-")</f>
        <v>4</v>
      </c>
      <c r="K1277" s="38" t="str">
        <f>IFERROR(COUNTIF([2]Town!$B:$B,표1[[#This Row],[명칭]]),"-")</f>
        <v>-</v>
      </c>
      <c r="L1277" s="38">
        <f>IFERROR(COUNTIF([1]Village!$BR:$BR,표1[[#This Row],[명칭]]),"-")</f>
        <v>0</v>
      </c>
      <c r="M1277" s="38">
        <f>COUNTIF(퀘스트!B:B,표1[[#This Row],[명칭]])</f>
        <v>0</v>
      </c>
      <c r="N1277" s="65">
        <f>COUNTIF([1]VillageDiscoveryGroup!$C:$C,표1[[#This Row],[명칭]])</f>
        <v>0</v>
      </c>
      <c r="O1277" s="65">
        <f>SUM(표1[[#This Row],[해양탐색]:[마을탐험]])</f>
        <v>4</v>
      </c>
    </row>
    <row r="1278" spans="2:15" ht="13.5" customHeight="1" x14ac:dyDescent="0.3">
      <c r="B1278" s="9">
        <f>[1]Discovery!A1284</f>
        <v>70409361</v>
      </c>
      <c r="C1278" s="9" t="str">
        <f>[1]Discovery!B1284</f>
        <v>큰양놀래기</v>
      </c>
      <c r="D1278" s="9" t="str">
        <f>[1]Discovery!E1284</f>
        <v>동물</v>
      </c>
      <c r="E1278" s="9" t="str">
        <f>[1]Discovery!C1284</f>
        <v>어류</v>
      </c>
      <c r="F1278" s="9" t="str">
        <f>[1]Discovery!G1284</f>
        <v>B</v>
      </c>
      <c r="G1278" s="9" t="str">
        <f>IFERROR(VLOOKUP(표1[[#This Row],[명칭]],'문화권 정리'!C:D,2,FALSE),"-")</f>
        <v>어류</v>
      </c>
      <c r="H1278" s="38" t="str">
        <f>IFERROR(COUNTIF([2]OceanDoodad!$Y:$Y,표1[[#This Row],[명칭]]),"-")</f>
        <v>-</v>
      </c>
      <c r="I1278" s="38">
        <f>IFERROR(COUNTIF([1]AdventureDiscoveryGroup!$D$8:$AW$92,표1[[#This Row],[명칭]]),"-")</f>
        <v>0</v>
      </c>
      <c r="J1278" s="38">
        <f>IFERROR(COUNTIF([1]FishDiscoveryGroup!$A:$X,표1[[#This Row],[명칭]]),"-")</f>
        <v>5</v>
      </c>
      <c r="K1278" s="38" t="str">
        <f>IFERROR(COUNTIF([2]Town!$B:$B,표1[[#This Row],[명칭]]),"-")</f>
        <v>-</v>
      </c>
      <c r="L1278" s="38">
        <f>IFERROR(COUNTIF([1]Village!$BR:$BR,표1[[#This Row],[명칭]]),"-")</f>
        <v>0</v>
      </c>
      <c r="M1278" s="38">
        <f>COUNTIF(퀘스트!B:B,표1[[#This Row],[명칭]])</f>
        <v>0</v>
      </c>
      <c r="N1278" s="65">
        <f>COUNTIF([1]VillageDiscoveryGroup!$C:$C,표1[[#This Row],[명칭]])</f>
        <v>0</v>
      </c>
      <c r="O1278" s="65">
        <f>SUM(표1[[#This Row],[해양탐색]:[마을탐험]])</f>
        <v>5</v>
      </c>
    </row>
    <row r="1279" spans="2:15" ht="13.5" customHeight="1" x14ac:dyDescent="0.3">
      <c r="B1279" s="9">
        <f>[1]Discovery!A1285</f>
        <v>70409362</v>
      </c>
      <c r="C1279" s="9" t="str">
        <f>[1]Discovery!B1285</f>
        <v>큰입선농어</v>
      </c>
      <c r="D1279" s="9" t="str">
        <f>[1]Discovery!E1285</f>
        <v>동물</v>
      </c>
      <c r="E1279" s="9" t="str">
        <f>[1]Discovery!C1285</f>
        <v>어류</v>
      </c>
      <c r="F1279" s="9" t="str">
        <f>[1]Discovery!G1285</f>
        <v>B</v>
      </c>
      <c r="G1279" s="9" t="str">
        <f>IFERROR(VLOOKUP(표1[[#This Row],[명칭]],'문화권 정리'!C:D,2,FALSE),"-")</f>
        <v>어류</v>
      </c>
      <c r="H1279" s="38" t="str">
        <f>IFERROR(COUNTIF([2]OceanDoodad!$Y:$Y,표1[[#This Row],[명칭]]),"-")</f>
        <v>-</v>
      </c>
      <c r="I1279" s="38">
        <f>IFERROR(COUNTIF([1]AdventureDiscoveryGroup!$D$8:$AW$92,표1[[#This Row],[명칭]]),"-")</f>
        <v>0</v>
      </c>
      <c r="J1279" s="38">
        <f>IFERROR(COUNTIF([1]FishDiscoveryGroup!$A:$X,표1[[#This Row],[명칭]]),"-")</f>
        <v>4</v>
      </c>
      <c r="K1279" s="38" t="str">
        <f>IFERROR(COUNTIF([2]Town!$B:$B,표1[[#This Row],[명칭]]),"-")</f>
        <v>-</v>
      </c>
      <c r="L1279" s="38">
        <f>IFERROR(COUNTIF([1]Village!$BR:$BR,표1[[#This Row],[명칭]]),"-")</f>
        <v>0</v>
      </c>
      <c r="M1279" s="38">
        <f>COUNTIF(퀘스트!B:B,표1[[#This Row],[명칭]])</f>
        <v>0</v>
      </c>
      <c r="N1279" s="65">
        <f>COUNTIF([1]VillageDiscoveryGroup!$C:$C,표1[[#This Row],[명칭]])</f>
        <v>0</v>
      </c>
      <c r="O1279" s="65">
        <f>SUM(표1[[#This Row],[해양탐색]:[마을탐험]])</f>
        <v>4</v>
      </c>
    </row>
    <row r="1280" spans="2:15" ht="13.5" customHeight="1" x14ac:dyDescent="0.3">
      <c r="B1280" s="9">
        <f>[1]Discovery!A1286</f>
        <v>70409363</v>
      </c>
      <c r="C1280" s="9" t="str">
        <f>[1]Discovery!B1286</f>
        <v>큰점촉수</v>
      </c>
      <c r="D1280" s="9" t="str">
        <f>[1]Discovery!E1286</f>
        <v>동물</v>
      </c>
      <c r="E1280" s="9" t="str">
        <f>[1]Discovery!C1286</f>
        <v>어류</v>
      </c>
      <c r="F1280" s="9" t="str">
        <f>[1]Discovery!G1286</f>
        <v>D</v>
      </c>
      <c r="G1280" s="9" t="str">
        <f>IFERROR(VLOOKUP(표1[[#This Row],[명칭]],'문화권 정리'!C:D,2,FALSE),"-")</f>
        <v>어류</v>
      </c>
      <c r="H1280" s="38" t="str">
        <f>IFERROR(COUNTIF([2]OceanDoodad!$Y:$Y,표1[[#This Row],[명칭]]),"-")</f>
        <v>-</v>
      </c>
      <c r="I1280" s="38">
        <f>IFERROR(COUNTIF([1]AdventureDiscoveryGroup!$D$8:$AW$92,표1[[#This Row],[명칭]]),"-")</f>
        <v>0</v>
      </c>
      <c r="J1280" s="38">
        <f>IFERROR(COUNTIF([1]FishDiscoveryGroup!$A:$X,표1[[#This Row],[명칭]]),"-")</f>
        <v>4</v>
      </c>
      <c r="K1280" s="38" t="str">
        <f>IFERROR(COUNTIF([2]Town!$B:$B,표1[[#This Row],[명칭]]),"-")</f>
        <v>-</v>
      </c>
      <c r="L1280" s="38">
        <f>IFERROR(COUNTIF([1]Village!$BR:$BR,표1[[#This Row],[명칭]]),"-")</f>
        <v>0</v>
      </c>
      <c r="M1280" s="38">
        <f>COUNTIF(퀘스트!B:B,표1[[#This Row],[명칭]])</f>
        <v>0</v>
      </c>
      <c r="N1280" s="65">
        <f>COUNTIF([1]VillageDiscoveryGroup!$C:$C,표1[[#This Row],[명칭]])</f>
        <v>0</v>
      </c>
      <c r="O1280" s="65">
        <f>SUM(표1[[#This Row],[해양탐색]:[마을탐험]])</f>
        <v>4</v>
      </c>
    </row>
    <row r="1281" spans="2:15" ht="13.5" customHeight="1" x14ac:dyDescent="0.3">
      <c r="B1281" s="9">
        <f>[1]Discovery!A1287</f>
        <v>70409364</v>
      </c>
      <c r="C1281" s="9" t="str">
        <f>[1]Discovery!B1287</f>
        <v>큰줄얼게비늘</v>
      </c>
      <c r="D1281" s="9" t="str">
        <f>[1]Discovery!E1287</f>
        <v>동물</v>
      </c>
      <c r="E1281" s="9" t="str">
        <f>[1]Discovery!C1287</f>
        <v>어류</v>
      </c>
      <c r="F1281" s="9" t="str">
        <f>[1]Discovery!G1287</f>
        <v>D</v>
      </c>
      <c r="G1281" s="9" t="str">
        <f>IFERROR(VLOOKUP(표1[[#This Row],[명칭]],'문화권 정리'!C:D,2,FALSE),"-")</f>
        <v>어류</v>
      </c>
      <c r="H1281" s="38" t="str">
        <f>IFERROR(COUNTIF([2]OceanDoodad!$Y:$Y,표1[[#This Row],[명칭]]),"-")</f>
        <v>-</v>
      </c>
      <c r="I1281" s="38">
        <f>IFERROR(COUNTIF([1]AdventureDiscoveryGroup!$D$8:$AW$92,표1[[#This Row],[명칭]]),"-")</f>
        <v>0</v>
      </c>
      <c r="J1281" s="38">
        <f>IFERROR(COUNTIF([1]FishDiscoveryGroup!$A:$X,표1[[#This Row],[명칭]]),"-")</f>
        <v>0</v>
      </c>
      <c r="K1281" s="38" t="str">
        <f>IFERROR(COUNTIF([2]Town!$B:$B,표1[[#This Row],[명칭]]),"-")</f>
        <v>-</v>
      </c>
      <c r="L1281" s="38">
        <f>IFERROR(COUNTIF([1]Village!$BR:$BR,표1[[#This Row],[명칭]]),"-")</f>
        <v>0</v>
      </c>
      <c r="M1281" s="38">
        <f>COUNTIF(퀘스트!B:B,표1[[#This Row],[명칭]])</f>
        <v>0</v>
      </c>
      <c r="N1281" s="65">
        <f>COUNTIF([1]VillageDiscoveryGroup!$C:$C,표1[[#This Row],[명칭]])</f>
        <v>0</v>
      </c>
      <c r="O1281" s="65">
        <f>SUM(표1[[#This Row],[해양탐색]:[마을탐험]])</f>
        <v>0</v>
      </c>
    </row>
    <row r="1282" spans="2:15" ht="13.5" customHeight="1" x14ac:dyDescent="0.3">
      <c r="B1282" s="9">
        <f>[1]Discovery!A1288</f>
        <v>70409365</v>
      </c>
      <c r="C1282" s="9" t="str">
        <f>[1]Discovery!B1288</f>
        <v>클리오네</v>
      </c>
      <c r="D1282" s="9" t="str">
        <f>[1]Discovery!E1288</f>
        <v>동물</v>
      </c>
      <c r="E1282" s="9" t="str">
        <f>[1]Discovery!C1288</f>
        <v>무척추동물</v>
      </c>
      <c r="F1282" s="9" t="str">
        <f>[1]Discovery!G1288</f>
        <v>C</v>
      </c>
      <c r="G1282" s="9" t="str">
        <f>IFERROR(VLOOKUP(표1[[#This Row],[명칭]],'문화권 정리'!C:D,2,FALSE),"-")</f>
        <v>어류</v>
      </c>
      <c r="H1282" s="38" t="str">
        <f>IFERROR(COUNTIF([2]OceanDoodad!$Y:$Y,표1[[#This Row],[명칭]]),"-")</f>
        <v>-</v>
      </c>
      <c r="I1282" s="38">
        <f>IFERROR(COUNTIF([1]AdventureDiscoveryGroup!$D$8:$AW$92,표1[[#This Row],[명칭]]),"-")</f>
        <v>0</v>
      </c>
      <c r="J1282" s="38">
        <f>IFERROR(COUNTIF([1]FishDiscoveryGroup!$A:$X,표1[[#This Row],[명칭]]),"-")</f>
        <v>3</v>
      </c>
      <c r="K1282" s="38" t="str">
        <f>IFERROR(COUNTIF([2]Town!$B:$B,표1[[#This Row],[명칭]]),"-")</f>
        <v>-</v>
      </c>
      <c r="L1282" s="38">
        <f>IFERROR(COUNTIF([1]Village!$BR:$BR,표1[[#This Row],[명칭]]),"-")</f>
        <v>0</v>
      </c>
      <c r="M1282" s="38">
        <f>COUNTIF(퀘스트!B:B,표1[[#This Row],[명칭]])</f>
        <v>0</v>
      </c>
      <c r="N1282" s="65">
        <f>COUNTIF([1]VillageDiscoveryGroup!$C:$C,표1[[#This Row],[명칭]])</f>
        <v>0</v>
      </c>
      <c r="O1282" s="65">
        <f>SUM(표1[[#This Row],[해양탐색]:[마을탐험]])</f>
        <v>3</v>
      </c>
    </row>
    <row r="1283" spans="2:15" ht="13.5" customHeight="1" x14ac:dyDescent="0.3">
      <c r="B1283" s="9">
        <f>[1]Discovery!A1289</f>
        <v>70409366</v>
      </c>
      <c r="C1283" s="9" t="str">
        <f>[1]Discovery!B1289</f>
        <v>타락치</v>
      </c>
      <c r="D1283" s="9" t="str">
        <f>[1]Discovery!E1289</f>
        <v>동물</v>
      </c>
      <c r="E1283" s="9" t="str">
        <f>[1]Discovery!C1289</f>
        <v>어류</v>
      </c>
      <c r="F1283" s="9" t="str">
        <f>[1]Discovery!G1289</f>
        <v>D</v>
      </c>
      <c r="G1283" s="9" t="str">
        <f>IFERROR(VLOOKUP(표1[[#This Row],[명칭]],'문화권 정리'!C:D,2,FALSE),"-")</f>
        <v>어류</v>
      </c>
      <c r="H1283" s="38" t="str">
        <f>IFERROR(COUNTIF([2]OceanDoodad!$Y:$Y,표1[[#This Row],[명칭]]),"-")</f>
        <v>-</v>
      </c>
      <c r="I1283" s="38">
        <f>IFERROR(COUNTIF([1]AdventureDiscoveryGroup!$D$8:$AW$92,표1[[#This Row],[명칭]]),"-")</f>
        <v>0</v>
      </c>
      <c r="J1283" s="38">
        <f>IFERROR(COUNTIF([1]FishDiscoveryGroup!$A:$X,표1[[#This Row],[명칭]]),"-")</f>
        <v>11</v>
      </c>
      <c r="K1283" s="38" t="str">
        <f>IFERROR(COUNTIF([2]Town!$B:$B,표1[[#This Row],[명칭]]),"-")</f>
        <v>-</v>
      </c>
      <c r="L1283" s="38">
        <f>IFERROR(COUNTIF([1]Village!$BR:$BR,표1[[#This Row],[명칭]]),"-")</f>
        <v>0</v>
      </c>
      <c r="M1283" s="38">
        <f>COUNTIF(퀘스트!B:B,표1[[#This Row],[명칭]])</f>
        <v>0</v>
      </c>
      <c r="N1283" s="65">
        <f>COUNTIF([1]VillageDiscoveryGroup!$C:$C,표1[[#This Row],[명칭]])</f>
        <v>0</v>
      </c>
      <c r="O1283" s="65">
        <f>SUM(표1[[#This Row],[해양탐색]:[마을탐험]])</f>
        <v>11</v>
      </c>
    </row>
    <row r="1284" spans="2:15" ht="13.5" customHeight="1" x14ac:dyDescent="0.3">
      <c r="B1284" s="9">
        <f>[1]Discovery!A1290</f>
        <v>70409367</v>
      </c>
      <c r="C1284" s="9" t="str">
        <f>[1]Discovery!B1290</f>
        <v>타폰</v>
      </c>
      <c r="D1284" s="9" t="str">
        <f>[1]Discovery!E1290</f>
        <v>동물</v>
      </c>
      <c r="E1284" s="9" t="str">
        <f>[1]Discovery!C1290</f>
        <v>어류</v>
      </c>
      <c r="F1284" s="9" t="str">
        <f>[1]Discovery!G1290</f>
        <v>D</v>
      </c>
      <c r="G1284" s="9" t="str">
        <f>IFERROR(VLOOKUP(표1[[#This Row],[명칭]],'문화권 정리'!C:D,2,FALSE),"-")</f>
        <v>어류</v>
      </c>
      <c r="H1284" s="38" t="str">
        <f>IFERROR(COUNTIF([2]OceanDoodad!$Y:$Y,표1[[#This Row],[명칭]]),"-")</f>
        <v>-</v>
      </c>
      <c r="I1284" s="38">
        <f>IFERROR(COUNTIF([1]AdventureDiscoveryGroup!$D$8:$AW$92,표1[[#This Row],[명칭]]),"-")</f>
        <v>0</v>
      </c>
      <c r="J1284" s="38">
        <f>IFERROR(COUNTIF([1]FishDiscoveryGroup!$A:$X,표1[[#This Row],[명칭]]),"-")</f>
        <v>4</v>
      </c>
      <c r="K1284" s="38" t="str">
        <f>IFERROR(COUNTIF([2]Town!$B:$B,표1[[#This Row],[명칭]]),"-")</f>
        <v>-</v>
      </c>
      <c r="L1284" s="38">
        <f>IFERROR(COUNTIF([1]Village!$BR:$BR,표1[[#This Row],[명칭]]),"-")</f>
        <v>0</v>
      </c>
      <c r="M1284" s="38">
        <f>COUNTIF(퀘스트!B:B,표1[[#This Row],[명칭]])</f>
        <v>0</v>
      </c>
      <c r="N1284" s="65">
        <f>COUNTIF([1]VillageDiscoveryGroup!$C:$C,표1[[#This Row],[명칭]])</f>
        <v>0</v>
      </c>
      <c r="O1284" s="65">
        <f>SUM(표1[[#This Row],[해양탐색]:[마을탐험]])</f>
        <v>4</v>
      </c>
    </row>
    <row r="1285" spans="2:15" ht="13.5" customHeight="1" x14ac:dyDescent="0.3">
      <c r="B1285" s="9">
        <f>[1]Discovery!A1291</f>
        <v>70409368</v>
      </c>
      <c r="C1285" s="9" t="str">
        <f>[1]Discovery!B1291</f>
        <v>탐바퀴</v>
      </c>
      <c r="D1285" s="9" t="str">
        <f>[1]Discovery!E1291</f>
        <v>동물</v>
      </c>
      <c r="E1285" s="9" t="str">
        <f>[1]Discovery!C1291</f>
        <v>어류</v>
      </c>
      <c r="F1285" s="9" t="str">
        <f>[1]Discovery!G1291</f>
        <v>D</v>
      </c>
      <c r="G1285" s="9" t="str">
        <f>IFERROR(VLOOKUP(표1[[#This Row],[명칭]],'문화권 정리'!C:D,2,FALSE),"-")</f>
        <v>어류</v>
      </c>
      <c r="H1285" s="38" t="str">
        <f>IFERROR(COUNTIF([2]OceanDoodad!$Y:$Y,표1[[#This Row],[명칭]]),"-")</f>
        <v>-</v>
      </c>
      <c r="I1285" s="38">
        <f>IFERROR(COUNTIF([1]AdventureDiscoveryGroup!$D$8:$AW$92,표1[[#This Row],[명칭]]),"-")</f>
        <v>0</v>
      </c>
      <c r="J1285" s="38">
        <f>IFERROR(COUNTIF([1]FishDiscoveryGroup!$A:$X,표1[[#This Row],[명칭]]),"-")</f>
        <v>4</v>
      </c>
      <c r="K1285" s="38" t="str">
        <f>IFERROR(COUNTIF([2]Town!$B:$B,표1[[#This Row],[명칭]]),"-")</f>
        <v>-</v>
      </c>
      <c r="L1285" s="38">
        <f>IFERROR(COUNTIF([1]Village!$BR:$BR,표1[[#This Row],[명칭]]),"-")</f>
        <v>0</v>
      </c>
      <c r="M1285" s="38">
        <f>COUNTIF(퀘스트!B:B,표1[[#This Row],[명칭]])</f>
        <v>0</v>
      </c>
      <c r="N1285" s="65">
        <f>COUNTIF([1]VillageDiscoveryGroup!$C:$C,표1[[#This Row],[명칭]])</f>
        <v>0</v>
      </c>
      <c r="O1285" s="65">
        <f>SUM(표1[[#This Row],[해양탐색]:[마을탐험]])</f>
        <v>4</v>
      </c>
    </row>
    <row r="1286" spans="2:15" ht="13.5" customHeight="1" x14ac:dyDescent="0.3">
      <c r="B1286" s="9">
        <f>[1]Discovery!A1292</f>
        <v>70409369</v>
      </c>
      <c r="C1286" s="9" t="str">
        <f>[1]Discovery!B1292</f>
        <v>톱가오리</v>
      </c>
      <c r="D1286" s="9" t="str">
        <f>[1]Discovery!E1292</f>
        <v>동물</v>
      </c>
      <c r="E1286" s="9" t="str">
        <f>[1]Discovery!C1292</f>
        <v>어류</v>
      </c>
      <c r="F1286" s="9" t="str">
        <f>[1]Discovery!G1292</f>
        <v>S</v>
      </c>
      <c r="G1286" s="9" t="str">
        <f>IFERROR(VLOOKUP(표1[[#This Row],[명칭]],'문화권 정리'!C:D,2,FALSE),"-")</f>
        <v>어류</v>
      </c>
      <c r="H1286" s="38" t="str">
        <f>IFERROR(COUNTIF([2]OceanDoodad!$Y:$Y,표1[[#This Row],[명칭]]),"-")</f>
        <v>-</v>
      </c>
      <c r="I1286" s="38">
        <f>IFERROR(COUNTIF([1]AdventureDiscoveryGroup!$D$8:$AW$92,표1[[#This Row],[명칭]]),"-")</f>
        <v>0</v>
      </c>
      <c r="J1286" s="38">
        <f>IFERROR(COUNTIF([1]FishDiscoveryGroup!$A:$X,표1[[#This Row],[명칭]]),"-")</f>
        <v>8</v>
      </c>
      <c r="K1286" s="38" t="str">
        <f>IFERROR(COUNTIF([2]Town!$B:$B,표1[[#This Row],[명칭]]),"-")</f>
        <v>-</v>
      </c>
      <c r="L1286" s="38">
        <f>IFERROR(COUNTIF([1]Village!$BR:$BR,표1[[#This Row],[명칭]]),"-")</f>
        <v>0</v>
      </c>
      <c r="M1286" s="38">
        <f>COUNTIF(퀘스트!B:B,표1[[#This Row],[명칭]])</f>
        <v>0</v>
      </c>
      <c r="N1286" s="65">
        <f>COUNTIF([1]VillageDiscoveryGroup!$C:$C,표1[[#This Row],[명칭]])</f>
        <v>0</v>
      </c>
      <c r="O1286" s="65">
        <f>SUM(표1[[#This Row],[해양탐색]:[마을탐험]])</f>
        <v>8</v>
      </c>
    </row>
    <row r="1287" spans="2:15" ht="13.5" customHeight="1" x14ac:dyDescent="0.3">
      <c r="B1287" s="9">
        <f>[1]Discovery!A1293</f>
        <v>70409370</v>
      </c>
      <c r="C1287" s="9" t="str">
        <f>[1]Discovery!B1293</f>
        <v>톱상어</v>
      </c>
      <c r="D1287" s="9" t="str">
        <f>[1]Discovery!E1293</f>
        <v>동물</v>
      </c>
      <c r="E1287" s="9" t="str">
        <f>[1]Discovery!C1293</f>
        <v>어류</v>
      </c>
      <c r="F1287" s="9" t="str">
        <f>[1]Discovery!G1293</f>
        <v>S</v>
      </c>
      <c r="G1287" s="9" t="str">
        <f>IFERROR(VLOOKUP(표1[[#This Row],[명칭]],'문화권 정리'!C:D,2,FALSE),"-")</f>
        <v>어류</v>
      </c>
      <c r="H1287" s="38" t="str">
        <f>IFERROR(COUNTIF([2]OceanDoodad!$Y:$Y,표1[[#This Row],[명칭]]),"-")</f>
        <v>-</v>
      </c>
      <c r="I1287" s="38">
        <f>IFERROR(COUNTIF([1]AdventureDiscoveryGroup!$D$8:$AW$92,표1[[#This Row],[명칭]]),"-")</f>
        <v>0</v>
      </c>
      <c r="J1287" s="38">
        <f>IFERROR(COUNTIF([1]FishDiscoveryGroup!$A:$X,표1[[#This Row],[명칭]]),"-")</f>
        <v>4</v>
      </c>
      <c r="K1287" s="38" t="str">
        <f>IFERROR(COUNTIF([2]Town!$B:$B,표1[[#This Row],[명칭]]),"-")</f>
        <v>-</v>
      </c>
      <c r="L1287" s="38">
        <f>IFERROR(COUNTIF([1]Village!$BR:$BR,표1[[#This Row],[명칭]]),"-")</f>
        <v>0</v>
      </c>
      <c r="M1287" s="38">
        <f>COUNTIF(퀘스트!B:B,표1[[#This Row],[명칭]])</f>
        <v>0</v>
      </c>
      <c r="N1287" s="65">
        <f>COUNTIF([1]VillageDiscoveryGroup!$C:$C,표1[[#This Row],[명칭]])</f>
        <v>0</v>
      </c>
      <c r="O1287" s="65">
        <f>SUM(표1[[#This Row],[해양탐색]:[마을탐험]])</f>
        <v>4</v>
      </c>
    </row>
    <row r="1288" spans="2:15" ht="13.5" customHeight="1" x14ac:dyDescent="0.3">
      <c r="B1288" s="9">
        <f>[1]Discovery!A1294</f>
        <v>70409371</v>
      </c>
      <c r="C1288" s="9" t="str">
        <f>[1]Discovery!B1294</f>
        <v>통치</v>
      </c>
      <c r="D1288" s="9" t="str">
        <f>[1]Discovery!E1294</f>
        <v>동물</v>
      </c>
      <c r="E1288" s="9" t="str">
        <f>[1]Discovery!C1294</f>
        <v>어류</v>
      </c>
      <c r="F1288" s="9" t="str">
        <f>[1]Discovery!G1294</f>
        <v>D</v>
      </c>
      <c r="G1288" s="9" t="str">
        <f>IFERROR(VLOOKUP(표1[[#This Row],[명칭]],'문화권 정리'!C:D,2,FALSE),"-")</f>
        <v>어류</v>
      </c>
      <c r="H1288" s="38" t="str">
        <f>IFERROR(COUNTIF([2]OceanDoodad!$Y:$Y,표1[[#This Row],[명칭]]),"-")</f>
        <v>-</v>
      </c>
      <c r="I1288" s="38">
        <f>IFERROR(COUNTIF([1]AdventureDiscoveryGroup!$D$8:$AW$92,표1[[#This Row],[명칭]]),"-")</f>
        <v>0</v>
      </c>
      <c r="J1288" s="38">
        <f>IFERROR(COUNTIF([1]FishDiscoveryGroup!$A:$X,표1[[#This Row],[명칭]]),"-")</f>
        <v>4</v>
      </c>
      <c r="K1288" s="38" t="str">
        <f>IFERROR(COUNTIF([2]Town!$B:$B,표1[[#This Row],[명칭]]),"-")</f>
        <v>-</v>
      </c>
      <c r="L1288" s="38">
        <f>IFERROR(COUNTIF([1]Village!$BR:$BR,표1[[#This Row],[명칭]]),"-")</f>
        <v>0</v>
      </c>
      <c r="M1288" s="38">
        <f>COUNTIF(퀘스트!B:B,표1[[#This Row],[명칭]])</f>
        <v>0</v>
      </c>
      <c r="N1288" s="65">
        <f>COUNTIF([1]VillageDiscoveryGroup!$C:$C,표1[[#This Row],[명칭]])</f>
        <v>0</v>
      </c>
      <c r="O1288" s="65">
        <f>SUM(표1[[#This Row],[해양탐색]:[마을탐험]])</f>
        <v>4</v>
      </c>
    </row>
    <row r="1289" spans="2:15" ht="13.5" customHeight="1" x14ac:dyDescent="0.3">
      <c r="B1289" s="9">
        <f>[1]Discovery!A1295</f>
        <v>70409372</v>
      </c>
      <c r="C1289" s="9" t="str">
        <f>[1]Discovery!B1295</f>
        <v>투구게</v>
      </c>
      <c r="D1289" s="9" t="str">
        <f>[1]Discovery!E1295</f>
        <v>동물</v>
      </c>
      <c r="E1289" s="9" t="str">
        <f>[1]Discovery!C1295</f>
        <v>무척추동물</v>
      </c>
      <c r="F1289" s="9" t="str">
        <f>[1]Discovery!G1295</f>
        <v>B</v>
      </c>
      <c r="G1289" s="9" t="str">
        <f>IFERROR(VLOOKUP(표1[[#This Row],[명칭]],'문화권 정리'!C:D,2,FALSE),"-")</f>
        <v>어류</v>
      </c>
      <c r="H1289" s="38" t="str">
        <f>IFERROR(COUNTIF([2]OceanDoodad!$Y:$Y,표1[[#This Row],[명칭]]),"-")</f>
        <v>-</v>
      </c>
      <c r="I1289" s="38">
        <f>IFERROR(COUNTIF([1]AdventureDiscoveryGroup!$D$8:$AW$92,표1[[#This Row],[명칭]]),"-")</f>
        <v>0</v>
      </c>
      <c r="J1289" s="38">
        <f>IFERROR(COUNTIF([1]FishDiscoveryGroup!$A:$X,표1[[#This Row],[명칭]]),"-")</f>
        <v>12</v>
      </c>
      <c r="K1289" s="38" t="str">
        <f>IFERROR(COUNTIF([2]Town!$B:$B,표1[[#This Row],[명칭]]),"-")</f>
        <v>-</v>
      </c>
      <c r="L1289" s="38">
        <f>IFERROR(COUNTIF([1]Village!$BR:$BR,표1[[#This Row],[명칭]]),"-")</f>
        <v>0</v>
      </c>
      <c r="M1289" s="38">
        <f>COUNTIF(퀘스트!B:B,표1[[#This Row],[명칭]])</f>
        <v>0</v>
      </c>
      <c r="N1289" s="65">
        <f>COUNTIF([1]VillageDiscoveryGroup!$C:$C,표1[[#This Row],[명칭]])</f>
        <v>0</v>
      </c>
      <c r="O1289" s="65">
        <f>SUM(표1[[#This Row],[해양탐색]:[마을탐험]])</f>
        <v>12</v>
      </c>
    </row>
    <row r="1290" spans="2:15" ht="13.5" customHeight="1" x14ac:dyDescent="0.3">
      <c r="B1290" s="9">
        <f>[1]Discovery!A1296</f>
        <v>70409373</v>
      </c>
      <c r="C1290" s="9" t="str">
        <f>[1]Discovery!B1296</f>
        <v>파랑쥐치</v>
      </c>
      <c r="D1290" s="9" t="str">
        <f>[1]Discovery!E1296</f>
        <v>동물</v>
      </c>
      <c r="E1290" s="9" t="str">
        <f>[1]Discovery!C1296</f>
        <v>어류</v>
      </c>
      <c r="F1290" s="9" t="str">
        <f>[1]Discovery!G1296</f>
        <v>D</v>
      </c>
      <c r="G1290" s="9" t="str">
        <f>IFERROR(VLOOKUP(표1[[#This Row],[명칭]],'문화권 정리'!C:D,2,FALSE),"-")</f>
        <v>어류</v>
      </c>
      <c r="H1290" s="38" t="str">
        <f>IFERROR(COUNTIF([2]OceanDoodad!$Y:$Y,표1[[#This Row],[명칭]]),"-")</f>
        <v>-</v>
      </c>
      <c r="I1290" s="38">
        <f>IFERROR(COUNTIF([1]AdventureDiscoveryGroup!$D$8:$AW$92,표1[[#This Row],[명칭]]),"-")</f>
        <v>0</v>
      </c>
      <c r="J1290" s="38">
        <f>IFERROR(COUNTIF([1]FishDiscoveryGroup!$A:$X,표1[[#This Row],[명칭]]),"-")</f>
        <v>4</v>
      </c>
      <c r="K1290" s="38" t="str">
        <f>IFERROR(COUNTIF([2]Town!$B:$B,표1[[#This Row],[명칭]]),"-")</f>
        <v>-</v>
      </c>
      <c r="L1290" s="38">
        <f>IFERROR(COUNTIF([1]Village!$BR:$BR,표1[[#This Row],[명칭]]),"-")</f>
        <v>0</v>
      </c>
      <c r="M1290" s="38">
        <f>COUNTIF(퀘스트!B:B,표1[[#This Row],[명칭]])</f>
        <v>0</v>
      </c>
      <c r="N1290" s="65">
        <f>COUNTIF([1]VillageDiscoveryGroup!$C:$C,표1[[#This Row],[명칭]])</f>
        <v>0</v>
      </c>
      <c r="O1290" s="65">
        <f>SUM(표1[[#This Row],[해양탐색]:[마을탐험]])</f>
        <v>4</v>
      </c>
    </row>
    <row r="1291" spans="2:15" ht="13.5" customHeight="1" x14ac:dyDescent="0.3">
      <c r="B1291" s="9">
        <f>[1]Discovery!A1297</f>
        <v>70409374</v>
      </c>
      <c r="C1291" s="9" t="str">
        <f>[1]Discovery!B1297</f>
        <v>펠리컨장어</v>
      </c>
      <c r="D1291" s="9" t="str">
        <f>[1]Discovery!E1297</f>
        <v>동물</v>
      </c>
      <c r="E1291" s="9" t="str">
        <f>[1]Discovery!C1297</f>
        <v>어류</v>
      </c>
      <c r="F1291" s="9" t="str">
        <f>[1]Discovery!G1297</f>
        <v>S</v>
      </c>
      <c r="G1291" s="9" t="str">
        <f>IFERROR(VLOOKUP(표1[[#This Row],[명칭]],'문화권 정리'!C:D,2,FALSE),"-")</f>
        <v>어류</v>
      </c>
      <c r="H1291" s="38" t="str">
        <f>IFERROR(COUNTIF([2]OceanDoodad!$Y:$Y,표1[[#This Row],[명칭]]),"-")</f>
        <v>-</v>
      </c>
      <c r="I1291" s="38">
        <f>IFERROR(COUNTIF([1]AdventureDiscoveryGroup!$D$8:$AW$92,표1[[#This Row],[명칭]]),"-")</f>
        <v>0</v>
      </c>
      <c r="J1291" s="38">
        <f>IFERROR(COUNTIF([1]FishDiscoveryGroup!$A:$X,표1[[#This Row],[명칭]]),"-")</f>
        <v>0</v>
      </c>
      <c r="K1291" s="38" t="str">
        <f>IFERROR(COUNTIF([2]Town!$B:$B,표1[[#This Row],[명칭]]),"-")</f>
        <v>-</v>
      </c>
      <c r="L1291" s="38">
        <f>IFERROR(COUNTIF([1]Village!$BR:$BR,표1[[#This Row],[명칭]]),"-")</f>
        <v>0</v>
      </c>
      <c r="M1291" s="38">
        <f>COUNTIF(퀘스트!B:B,표1[[#This Row],[명칭]])</f>
        <v>0</v>
      </c>
      <c r="N1291" s="65">
        <f>COUNTIF([1]VillageDiscoveryGroup!$C:$C,표1[[#This Row],[명칭]])</f>
        <v>0</v>
      </c>
      <c r="O1291" s="65">
        <f>SUM(표1[[#This Row],[해양탐색]:[마을탐험]])</f>
        <v>0</v>
      </c>
    </row>
    <row r="1292" spans="2:15" ht="13.5" customHeight="1" x14ac:dyDescent="0.3">
      <c r="B1292" s="9">
        <f>[1]Discovery!A1298</f>
        <v>70409375</v>
      </c>
      <c r="C1292" s="9" t="str">
        <f>[1]Discovery!B1298</f>
        <v>폴립테루스 비차</v>
      </c>
      <c r="D1292" s="9" t="str">
        <f>[1]Discovery!E1298</f>
        <v>동물</v>
      </c>
      <c r="E1292" s="9" t="str">
        <f>[1]Discovery!C1298</f>
        <v>어류</v>
      </c>
      <c r="F1292" s="9" t="str">
        <f>[1]Discovery!G1298</f>
        <v>S</v>
      </c>
      <c r="G1292" s="9" t="str">
        <f>IFERROR(VLOOKUP(표1[[#This Row],[명칭]],'문화권 정리'!C:D,2,FALSE),"-")</f>
        <v>어류</v>
      </c>
      <c r="H1292" s="38" t="str">
        <f>IFERROR(COUNTIF([2]OceanDoodad!$Y:$Y,표1[[#This Row],[명칭]]),"-")</f>
        <v>-</v>
      </c>
      <c r="I1292" s="38">
        <f>IFERROR(COUNTIF([1]AdventureDiscoveryGroup!$D$8:$AW$92,표1[[#This Row],[명칭]]),"-")</f>
        <v>0</v>
      </c>
      <c r="J1292" s="38">
        <f>IFERROR(COUNTIF([1]FishDiscoveryGroup!$A:$X,표1[[#This Row],[명칭]]),"-")</f>
        <v>0</v>
      </c>
      <c r="K1292" s="38" t="str">
        <f>IFERROR(COUNTIF([2]Town!$B:$B,표1[[#This Row],[명칭]]),"-")</f>
        <v>-</v>
      </c>
      <c r="L1292" s="38">
        <f>IFERROR(COUNTIF([1]Village!$BR:$BR,표1[[#This Row],[명칭]]),"-")</f>
        <v>0</v>
      </c>
      <c r="M1292" s="38">
        <f>COUNTIF(퀘스트!B:B,표1[[#This Row],[명칭]])</f>
        <v>1</v>
      </c>
      <c r="N1292" s="65">
        <f>COUNTIF([1]VillageDiscoveryGroup!$C:$C,표1[[#This Row],[명칭]])</f>
        <v>0</v>
      </c>
      <c r="O1292" s="65">
        <f>SUM(표1[[#This Row],[해양탐색]:[마을탐험]])</f>
        <v>1</v>
      </c>
    </row>
    <row r="1293" spans="2:15" ht="13.5" customHeight="1" x14ac:dyDescent="0.3">
      <c r="B1293" s="9">
        <f>[1]Discovery!A1299</f>
        <v>70409376</v>
      </c>
      <c r="C1293" s="9" t="str">
        <f>[1]Discovery!B1299</f>
        <v>표문쥐치</v>
      </c>
      <c r="D1293" s="9" t="str">
        <f>[1]Discovery!E1299</f>
        <v>동물</v>
      </c>
      <c r="E1293" s="9" t="str">
        <f>[1]Discovery!C1299</f>
        <v>어류</v>
      </c>
      <c r="F1293" s="9" t="str">
        <f>[1]Discovery!G1299</f>
        <v>D</v>
      </c>
      <c r="G1293" s="9" t="str">
        <f>IFERROR(VLOOKUP(표1[[#This Row],[명칭]],'문화권 정리'!C:D,2,FALSE),"-")</f>
        <v>어류</v>
      </c>
      <c r="H1293" s="38" t="str">
        <f>IFERROR(COUNTIF([2]OceanDoodad!$Y:$Y,표1[[#This Row],[명칭]]),"-")</f>
        <v>-</v>
      </c>
      <c r="I1293" s="38">
        <f>IFERROR(COUNTIF([1]AdventureDiscoveryGroup!$D$8:$AW$92,표1[[#This Row],[명칭]]),"-")</f>
        <v>0</v>
      </c>
      <c r="J1293" s="38">
        <f>IFERROR(COUNTIF([1]FishDiscoveryGroup!$A:$X,표1[[#This Row],[명칭]]),"-")</f>
        <v>4</v>
      </c>
      <c r="K1293" s="38" t="str">
        <f>IFERROR(COUNTIF([2]Town!$B:$B,표1[[#This Row],[명칭]]),"-")</f>
        <v>-</v>
      </c>
      <c r="L1293" s="38">
        <f>IFERROR(COUNTIF([1]Village!$BR:$BR,표1[[#This Row],[명칭]]),"-")</f>
        <v>0</v>
      </c>
      <c r="M1293" s="38">
        <f>COUNTIF(퀘스트!B:B,표1[[#This Row],[명칭]])</f>
        <v>0</v>
      </c>
      <c r="N1293" s="65">
        <f>COUNTIF([1]VillageDiscoveryGroup!$C:$C,표1[[#This Row],[명칭]])</f>
        <v>0</v>
      </c>
      <c r="O1293" s="65">
        <f>SUM(표1[[#This Row],[해양탐색]:[마을탐험]])</f>
        <v>4</v>
      </c>
    </row>
    <row r="1294" spans="2:15" ht="13.5" customHeight="1" x14ac:dyDescent="0.3">
      <c r="B1294" s="9">
        <f>[1]Discovery!A1300</f>
        <v>70409377</v>
      </c>
      <c r="C1294" s="9" t="str">
        <f>[1]Discovery!B1300</f>
        <v>표범상어</v>
      </c>
      <c r="D1294" s="9" t="str">
        <f>[1]Discovery!E1300</f>
        <v>동물</v>
      </c>
      <c r="E1294" s="9" t="str">
        <f>[1]Discovery!C1300</f>
        <v>어류</v>
      </c>
      <c r="F1294" s="9" t="str">
        <f>[1]Discovery!G1300</f>
        <v>S</v>
      </c>
      <c r="G1294" s="9" t="str">
        <f>IFERROR(VLOOKUP(표1[[#This Row],[명칭]],'문화권 정리'!C:D,2,FALSE),"-")</f>
        <v>어류</v>
      </c>
      <c r="H1294" s="38" t="str">
        <f>IFERROR(COUNTIF([2]OceanDoodad!$Y:$Y,표1[[#This Row],[명칭]]),"-")</f>
        <v>-</v>
      </c>
      <c r="I1294" s="38">
        <f>IFERROR(COUNTIF([1]AdventureDiscoveryGroup!$D$8:$AW$92,표1[[#This Row],[명칭]]),"-")</f>
        <v>0</v>
      </c>
      <c r="J1294" s="38">
        <f>IFERROR(COUNTIF([1]FishDiscoveryGroup!$A:$X,표1[[#This Row],[명칭]]),"-")</f>
        <v>4</v>
      </c>
      <c r="K1294" s="38" t="str">
        <f>IFERROR(COUNTIF([2]Town!$B:$B,표1[[#This Row],[명칭]]),"-")</f>
        <v>-</v>
      </c>
      <c r="L1294" s="38">
        <f>IFERROR(COUNTIF([1]Village!$BR:$BR,표1[[#This Row],[명칭]]),"-")</f>
        <v>0</v>
      </c>
      <c r="M1294" s="38">
        <f>COUNTIF(퀘스트!B:B,표1[[#This Row],[명칭]])</f>
        <v>0</v>
      </c>
      <c r="N1294" s="65">
        <f>COUNTIF([1]VillageDiscoveryGroup!$C:$C,표1[[#This Row],[명칭]])</f>
        <v>0</v>
      </c>
      <c r="O1294" s="65">
        <f>SUM(표1[[#This Row],[해양탐색]:[마을탐험]])</f>
        <v>4</v>
      </c>
    </row>
    <row r="1295" spans="2:15" ht="13.5" customHeight="1" x14ac:dyDescent="0.3">
      <c r="B1295" s="9">
        <f>[1]Discovery!A1301</f>
        <v>70409378</v>
      </c>
      <c r="C1295" s="9" t="str">
        <f>[1]Discovery!B1301</f>
        <v>푸른바다거북</v>
      </c>
      <c r="D1295" s="9" t="str">
        <f>[1]Discovery!E1301</f>
        <v>동물</v>
      </c>
      <c r="E1295" s="9" t="str">
        <f>[1]Discovery!C1301</f>
        <v>파충류</v>
      </c>
      <c r="F1295" s="9" t="str">
        <f>[1]Discovery!G1301</f>
        <v>B</v>
      </c>
      <c r="G1295" s="9" t="str">
        <f>IFERROR(VLOOKUP(표1[[#This Row],[명칭]],'문화권 정리'!C:D,2,FALSE),"-")</f>
        <v>어류</v>
      </c>
      <c r="H1295" s="38" t="str">
        <f>IFERROR(COUNTIF([2]OceanDoodad!$Y:$Y,표1[[#This Row],[명칭]]),"-")</f>
        <v>-</v>
      </c>
      <c r="I1295" s="38">
        <f>IFERROR(COUNTIF([1]AdventureDiscoveryGroup!$D$8:$AW$92,표1[[#This Row],[명칭]]),"-")</f>
        <v>0</v>
      </c>
      <c r="J1295" s="38">
        <f>IFERROR(COUNTIF([1]FishDiscoveryGroup!$A:$X,표1[[#This Row],[명칭]]),"-")</f>
        <v>4</v>
      </c>
      <c r="K1295" s="38" t="str">
        <f>IFERROR(COUNTIF([2]Town!$B:$B,표1[[#This Row],[명칭]]),"-")</f>
        <v>-</v>
      </c>
      <c r="L1295" s="38">
        <f>IFERROR(COUNTIF([1]Village!$BR:$BR,표1[[#This Row],[명칭]]),"-")</f>
        <v>0</v>
      </c>
      <c r="M1295" s="38">
        <f>COUNTIF(퀘스트!B:B,표1[[#This Row],[명칭]])</f>
        <v>0</v>
      </c>
      <c r="N1295" s="65">
        <f>COUNTIF([1]VillageDiscoveryGroup!$C:$C,표1[[#This Row],[명칭]])</f>
        <v>0</v>
      </c>
      <c r="O1295" s="65">
        <f>SUM(표1[[#This Row],[해양탐색]:[마을탐험]])</f>
        <v>4</v>
      </c>
    </row>
    <row r="1296" spans="2:15" ht="13.5" customHeight="1" x14ac:dyDescent="0.3">
      <c r="B1296" s="9">
        <f>[1]Discovery!A1302</f>
        <v>70409379</v>
      </c>
      <c r="C1296" s="9" t="str">
        <f>[1]Discovery!B1302</f>
        <v>푸른바다민달팽이</v>
      </c>
      <c r="D1296" s="9" t="str">
        <f>[1]Discovery!E1302</f>
        <v>동물</v>
      </c>
      <c r="E1296" s="9" t="str">
        <f>[1]Discovery!C1302</f>
        <v>무척추동물</v>
      </c>
      <c r="F1296" s="9" t="str">
        <f>[1]Discovery!G1302</f>
        <v>B</v>
      </c>
      <c r="G1296" s="9" t="str">
        <f>IFERROR(VLOOKUP(표1[[#This Row],[명칭]],'문화권 정리'!C:D,2,FALSE),"-")</f>
        <v>어류</v>
      </c>
      <c r="H1296" s="38" t="str">
        <f>IFERROR(COUNTIF([2]OceanDoodad!$Y:$Y,표1[[#This Row],[명칭]]),"-")</f>
        <v>-</v>
      </c>
      <c r="I1296" s="38">
        <f>IFERROR(COUNTIF([1]AdventureDiscoveryGroup!$D$8:$AW$92,표1[[#This Row],[명칭]]),"-")</f>
        <v>0</v>
      </c>
      <c r="J1296" s="38">
        <f>IFERROR(COUNTIF([1]FishDiscoveryGroup!$A:$X,표1[[#This Row],[명칭]]),"-")</f>
        <v>4</v>
      </c>
      <c r="K1296" s="38" t="str">
        <f>IFERROR(COUNTIF([2]Town!$B:$B,표1[[#This Row],[명칭]]),"-")</f>
        <v>-</v>
      </c>
      <c r="L1296" s="38">
        <f>IFERROR(COUNTIF([1]Village!$BR:$BR,표1[[#This Row],[명칭]]),"-")</f>
        <v>0</v>
      </c>
      <c r="M1296" s="38">
        <f>COUNTIF(퀘스트!B:B,표1[[#This Row],[명칭]])</f>
        <v>0</v>
      </c>
      <c r="N1296" s="65">
        <f>COUNTIF([1]VillageDiscoveryGroup!$C:$C,표1[[#This Row],[명칭]])</f>
        <v>0</v>
      </c>
      <c r="O1296" s="65">
        <f>SUM(표1[[#This Row],[해양탐색]:[마을탐험]])</f>
        <v>4</v>
      </c>
    </row>
    <row r="1297" spans="2:15" ht="13.5" customHeight="1" x14ac:dyDescent="0.3">
      <c r="B1297" s="9">
        <f>[1]Discovery!A1303</f>
        <v>70409380</v>
      </c>
      <c r="C1297" s="9" t="str">
        <f>[1]Discovery!B1303</f>
        <v>푸른점문어</v>
      </c>
      <c r="D1297" s="9" t="str">
        <f>[1]Discovery!E1303</f>
        <v>동물</v>
      </c>
      <c r="E1297" s="9" t="str">
        <f>[1]Discovery!C1303</f>
        <v>무척추동물</v>
      </c>
      <c r="F1297" s="9" t="str">
        <f>[1]Discovery!G1303</f>
        <v>S</v>
      </c>
      <c r="G1297" s="9" t="str">
        <f>IFERROR(VLOOKUP(표1[[#This Row],[명칭]],'문화권 정리'!C:D,2,FALSE),"-")</f>
        <v>어류</v>
      </c>
      <c r="H1297" s="38" t="str">
        <f>IFERROR(COUNTIF([2]OceanDoodad!$Y:$Y,표1[[#This Row],[명칭]]),"-")</f>
        <v>-</v>
      </c>
      <c r="I1297" s="38">
        <f>IFERROR(COUNTIF([1]AdventureDiscoveryGroup!$D$8:$AW$92,표1[[#This Row],[명칭]]),"-")</f>
        <v>0</v>
      </c>
      <c r="J1297" s="38">
        <f>IFERROR(COUNTIF([1]FishDiscoveryGroup!$A:$X,표1[[#This Row],[명칭]]),"-")</f>
        <v>4</v>
      </c>
      <c r="K1297" s="38" t="str">
        <f>IFERROR(COUNTIF([2]Town!$B:$B,표1[[#This Row],[명칭]]),"-")</f>
        <v>-</v>
      </c>
      <c r="L1297" s="38">
        <f>IFERROR(COUNTIF([1]Village!$BR:$BR,표1[[#This Row],[명칭]]),"-")</f>
        <v>0</v>
      </c>
      <c r="M1297" s="38">
        <f>COUNTIF(퀘스트!B:B,표1[[#This Row],[명칭]])</f>
        <v>0</v>
      </c>
      <c r="N1297" s="65">
        <f>COUNTIF([1]VillageDiscoveryGroup!$C:$C,표1[[#This Row],[명칭]])</f>
        <v>0</v>
      </c>
      <c r="O1297" s="65">
        <f>SUM(표1[[#This Row],[해양탐색]:[마을탐험]])</f>
        <v>4</v>
      </c>
    </row>
    <row r="1298" spans="2:15" ht="13.5" customHeight="1" x14ac:dyDescent="0.3">
      <c r="B1298" s="9">
        <f>[1]Discovery!A1304</f>
        <v>70409381</v>
      </c>
      <c r="C1298" s="9" t="str">
        <f>[1]Discovery!B1304</f>
        <v>불꽃청줄돔</v>
      </c>
      <c r="D1298" s="9" t="str">
        <f>[1]Discovery!E1304</f>
        <v>동물</v>
      </c>
      <c r="E1298" s="9" t="str">
        <f>[1]Discovery!C1304</f>
        <v>어류</v>
      </c>
      <c r="F1298" s="9" t="str">
        <f>[1]Discovery!G1304</f>
        <v>D</v>
      </c>
      <c r="G1298" s="9" t="str">
        <f>IFERROR(VLOOKUP(표1[[#This Row],[명칭]],'문화권 정리'!C:D,2,FALSE),"-")</f>
        <v>어류</v>
      </c>
      <c r="H1298" s="38" t="str">
        <f>IFERROR(COUNTIF([2]OceanDoodad!$Y:$Y,표1[[#This Row],[명칭]]),"-")</f>
        <v>-</v>
      </c>
      <c r="I1298" s="38">
        <f>IFERROR(COUNTIF([1]AdventureDiscoveryGroup!$D$8:$AW$92,표1[[#This Row],[명칭]]),"-")</f>
        <v>0</v>
      </c>
      <c r="J1298" s="38">
        <f>IFERROR(COUNTIF([1]FishDiscoveryGroup!$A:$X,표1[[#This Row],[명칭]]),"-")</f>
        <v>4</v>
      </c>
      <c r="K1298" s="38" t="str">
        <f>IFERROR(COUNTIF([2]Town!$B:$B,표1[[#This Row],[명칭]]),"-")</f>
        <v>-</v>
      </c>
      <c r="L1298" s="38">
        <f>IFERROR(COUNTIF([1]Village!$BR:$BR,표1[[#This Row],[명칭]]),"-")</f>
        <v>0</v>
      </c>
      <c r="M1298" s="38">
        <f>COUNTIF(퀘스트!B:B,표1[[#This Row],[명칭]])</f>
        <v>0</v>
      </c>
      <c r="N1298" s="65">
        <f>COUNTIF([1]VillageDiscoveryGroup!$C:$C,표1[[#This Row],[명칭]])</f>
        <v>0</v>
      </c>
      <c r="O1298" s="65">
        <f>SUM(표1[[#This Row],[해양탐색]:[마을탐험]])</f>
        <v>4</v>
      </c>
    </row>
    <row r="1299" spans="2:15" ht="13.5" customHeight="1" x14ac:dyDescent="0.3">
      <c r="B1299" s="9">
        <f>[1]Discovery!A1305</f>
        <v>70409382</v>
      </c>
      <c r="C1299" s="9" t="str">
        <f>[1]Discovery!B1305</f>
        <v>플랩잭문어</v>
      </c>
      <c r="D1299" s="9" t="str">
        <f>[1]Discovery!E1305</f>
        <v>동물</v>
      </c>
      <c r="E1299" s="9" t="str">
        <f>[1]Discovery!C1305</f>
        <v>무척추동물</v>
      </c>
      <c r="F1299" s="9" t="str">
        <f>[1]Discovery!G1305</f>
        <v>A</v>
      </c>
      <c r="G1299" s="9" t="str">
        <f>IFERROR(VLOOKUP(표1[[#This Row],[명칭]],'문화권 정리'!C:D,2,FALSE),"-")</f>
        <v>어류</v>
      </c>
      <c r="H1299" s="38" t="str">
        <f>IFERROR(COUNTIF([2]OceanDoodad!$Y:$Y,표1[[#This Row],[명칭]]),"-")</f>
        <v>-</v>
      </c>
      <c r="I1299" s="38">
        <f>IFERROR(COUNTIF([1]AdventureDiscoveryGroup!$D$8:$AW$92,표1[[#This Row],[명칭]]),"-")</f>
        <v>0</v>
      </c>
      <c r="J1299" s="38">
        <f>IFERROR(COUNTIF([1]FishDiscoveryGroup!$A:$X,표1[[#This Row],[명칭]]),"-")</f>
        <v>4</v>
      </c>
      <c r="K1299" s="38" t="str">
        <f>IFERROR(COUNTIF([2]Town!$B:$B,표1[[#This Row],[명칭]]),"-")</f>
        <v>-</v>
      </c>
      <c r="L1299" s="38">
        <f>IFERROR(COUNTIF([1]Village!$BR:$BR,표1[[#This Row],[명칭]]),"-")</f>
        <v>0</v>
      </c>
      <c r="M1299" s="38">
        <f>COUNTIF(퀘스트!B:B,표1[[#This Row],[명칭]])</f>
        <v>0</v>
      </c>
      <c r="N1299" s="65">
        <f>COUNTIF([1]VillageDiscoveryGroup!$C:$C,표1[[#This Row],[명칭]])</f>
        <v>0</v>
      </c>
      <c r="O1299" s="65">
        <f>SUM(표1[[#This Row],[해양탐색]:[마을탐험]])</f>
        <v>4</v>
      </c>
    </row>
    <row r="1300" spans="2:15" ht="13.5" customHeight="1" x14ac:dyDescent="0.3">
      <c r="B1300" s="9">
        <f>[1]Discovery!A1306</f>
        <v>70409383</v>
      </c>
      <c r="C1300" s="9" t="str">
        <f>[1]Discovery!B1306</f>
        <v>플레코스토무스</v>
      </c>
      <c r="D1300" s="9" t="str">
        <f>[1]Discovery!E1306</f>
        <v>동물</v>
      </c>
      <c r="E1300" s="9" t="str">
        <f>[1]Discovery!C1306</f>
        <v>어류</v>
      </c>
      <c r="F1300" s="9" t="str">
        <f>[1]Discovery!G1306</f>
        <v>D</v>
      </c>
      <c r="G1300" s="9" t="str">
        <f>IFERROR(VLOOKUP(표1[[#This Row],[명칭]],'문화권 정리'!C:D,2,FALSE),"-")</f>
        <v>어류</v>
      </c>
      <c r="H1300" s="38" t="str">
        <f>IFERROR(COUNTIF([2]OceanDoodad!$Y:$Y,표1[[#This Row],[명칭]]),"-")</f>
        <v>-</v>
      </c>
      <c r="I1300" s="38">
        <f>IFERROR(COUNTIF([1]AdventureDiscoveryGroup!$D$8:$AW$92,표1[[#This Row],[명칭]]),"-")</f>
        <v>0</v>
      </c>
      <c r="J1300" s="38">
        <f>IFERROR(COUNTIF([1]FishDiscoveryGroup!$A:$X,표1[[#This Row],[명칭]]),"-")</f>
        <v>4</v>
      </c>
      <c r="K1300" s="38" t="str">
        <f>IFERROR(COUNTIF([2]Town!$B:$B,표1[[#This Row],[명칭]]),"-")</f>
        <v>-</v>
      </c>
      <c r="L1300" s="38">
        <f>IFERROR(COUNTIF([1]Village!$BR:$BR,표1[[#This Row],[명칭]]),"-")</f>
        <v>0</v>
      </c>
      <c r="M1300" s="38">
        <f>COUNTIF(퀘스트!B:B,표1[[#This Row],[명칭]])</f>
        <v>0</v>
      </c>
      <c r="N1300" s="65">
        <f>COUNTIF([1]VillageDiscoveryGroup!$C:$C,표1[[#This Row],[명칭]])</f>
        <v>0</v>
      </c>
      <c r="O1300" s="65">
        <f>SUM(표1[[#This Row],[해양탐색]:[마을탐험]])</f>
        <v>4</v>
      </c>
    </row>
    <row r="1301" spans="2:15" ht="13.5" customHeight="1" x14ac:dyDescent="0.3">
      <c r="B1301" s="9">
        <f>[1]Discovery!A1307</f>
        <v>70409384</v>
      </c>
      <c r="C1301" s="9" t="str">
        <f>[1]Discovery!B1307</f>
        <v>피라루쿠</v>
      </c>
      <c r="D1301" s="9" t="str">
        <f>[1]Discovery!E1307</f>
        <v>동물</v>
      </c>
      <c r="E1301" s="9" t="str">
        <f>[1]Discovery!C1307</f>
        <v>어류</v>
      </c>
      <c r="F1301" s="9" t="str">
        <f>[1]Discovery!G1307</f>
        <v>S</v>
      </c>
      <c r="G1301" s="9" t="str">
        <f>IFERROR(VLOOKUP(표1[[#This Row],[명칭]],'문화권 정리'!C:D,2,FALSE),"-")</f>
        <v>어류</v>
      </c>
      <c r="H1301" s="38" t="str">
        <f>IFERROR(COUNTIF([2]OceanDoodad!$Y:$Y,표1[[#This Row],[명칭]]),"-")</f>
        <v>-</v>
      </c>
      <c r="I1301" s="38">
        <f>IFERROR(COUNTIF([1]AdventureDiscoveryGroup!$D$8:$AW$92,표1[[#This Row],[명칭]]),"-")</f>
        <v>0</v>
      </c>
      <c r="J1301" s="38">
        <f>IFERROR(COUNTIF([1]FishDiscoveryGroup!$A:$X,표1[[#This Row],[명칭]]),"-")</f>
        <v>1</v>
      </c>
      <c r="K1301" s="38" t="str">
        <f>IFERROR(COUNTIF([2]Town!$B:$B,표1[[#This Row],[명칭]]),"-")</f>
        <v>-</v>
      </c>
      <c r="L1301" s="38">
        <f>IFERROR(COUNTIF([1]Village!$BR:$BR,표1[[#This Row],[명칭]]),"-")</f>
        <v>0</v>
      </c>
      <c r="M1301" s="38">
        <f>COUNTIF(퀘스트!B:B,표1[[#This Row],[명칭]])</f>
        <v>0</v>
      </c>
      <c r="N1301" s="65">
        <f>COUNTIF([1]VillageDiscoveryGroup!$C:$C,표1[[#This Row],[명칭]])</f>
        <v>0</v>
      </c>
      <c r="O1301" s="65">
        <f>SUM(표1[[#This Row],[해양탐색]:[마을탐험]])</f>
        <v>1</v>
      </c>
    </row>
    <row r="1302" spans="2:15" ht="13.5" customHeight="1" x14ac:dyDescent="0.3">
      <c r="B1302" s="9">
        <f>[1]Discovery!A1308</f>
        <v>70409385</v>
      </c>
      <c r="C1302" s="9" t="str">
        <f>[1]Discovery!B1308</f>
        <v>피라이바</v>
      </c>
      <c r="D1302" s="9" t="str">
        <f>[1]Discovery!E1308</f>
        <v>동물</v>
      </c>
      <c r="E1302" s="9" t="str">
        <f>[1]Discovery!C1308</f>
        <v>어류</v>
      </c>
      <c r="F1302" s="9" t="str">
        <f>[1]Discovery!G1308</f>
        <v>C</v>
      </c>
      <c r="G1302" s="9" t="str">
        <f>IFERROR(VLOOKUP(표1[[#This Row],[명칭]],'문화권 정리'!C:D,2,FALSE),"-")</f>
        <v>어류</v>
      </c>
      <c r="H1302" s="38" t="str">
        <f>IFERROR(COUNTIF([2]OceanDoodad!$Y:$Y,표1[[#This Row],[명칭]]),"-")</f>
        <v>-</v>
      </c>
      <c r="I1302" s="38">
        <f>IFERROR(COUNTIF([1]AdventureDiscoveryGroup!$D$8:$AW$92,표1[[#This Row],[명칭]]),"-")</f>
        <v>0</v>
      </c>
      <c r="J1302" s="38">
        <f>IFERROR(COUNTIF([1]FishDiscoveryGroup!$A:$X,표1[[#This Row],[명칭]]),"-")</f>
        <v>0</v>
      </c>
      <c r="K1302" s="38" t="str">
        <f>IFERROR(COUNTIF([2]Town!$B:$B,표1[[#This Row],[명칭]]),"-")</f>
        <v>-</v>
      </c>
      <c r="L1302" s="38">
        <f>IFERROR(COUNTIF([1]Village!$BR:$BR,표1[[#This Row],[명칭]]),"-")</f>
        <v>0</v>
      </c>
      <c r="M1302" s="38">
        <f>COUNTIF(퀘스트!B:B,표1[[#This Row],[명칭]])</f>
        <v>0</v>
      </c>
      <c r="N1302" s="65">
        <f>COUNTIF([1]VillageDiscoveryGroup!$C:$C,표1[[#This Row],[명칭]])</f>
        <v>0</v>
      </c>
      <c r="O1302" s="65">
        <f>SUM(표1[[#This Row],[해양탐색]:[마을탐험]])</f>
        <v>0</v>
      </c>
    </row>
    <row r="1303" spans="2:15" ht="13.5" customHeight="1" x14ac:dyDescent="0.3">
      <c r="B1303" s="9">
        <f>[1]Discovery!A1309</f>
        <v>70409386</v>
      </c>
      <c r="C1303" s="9" t="str">
        <f>[1]Discovery!B1309</f>
        <v>하스돔</v>
      </c>
      <c r="D1303" s="9" t="str">
        <f>[1]Discovery!E1309</f>
        <v>동물</v>
      </c>
      <c r="E1303" s="9" t="str">
        <f>[1]Discovery!C1309</f>
        <v>어류</v>
      </c>
      <c r="F1303" s="9" t="str">
        <f>[1]Discovery!G1309</f>
        <v>A</v>
      </c>
      <c r="G1303" s="9" t="str">
        <f>IFERROR(VLOOKUP(표1[[#This Row],[명칭]],'문화권 정리'!C:D,2,FALSE),"-")</f>
        <v>어류</v>
      </c>
      <c r="H1303" s="38" t="str">
        <f>IFERROR(COUNTIF([2]OceanDoodad!$Y:$Y,표1[[#This Row],[명칭]]),"-")</f>
        <v>-</v>
      </c>
      <c r="I1303" s="38">
        <f>IFERROR(COUNTIF([1]AdventureDiscoveryGroup!$D$8:$AW$92,표1[[#This Row],[명칭]]),"-")</f>
        <v>0</v>
      </c>
      <c r="J1303" s="38">
        <f>IFERROR(COUNTIF([1]FishDiscoveryGroup!$A:$X,표1[[#This Row],[명칭]]),"-")</f>
        <v>4</v>
      </c>
      <c r="K1303" s="38" t="str">
        <f>IFERROR(COUNTIF([2]Town!$B:$B,표1[[#This Row],[명칭]]),"-")</f>
        <v>-</v>
      </c>
      <c r="L1303" s="38">
        <f>IFERROR(COUNTIF([1]Village!$BR:$BR,표1[[#This Row],[명칭]]),"-")</f>
        <v>0</v>
      </c>
      <c r="M1303" s="38">
        <f>COUNTIF(퀘스트!B:B,표1[[#This Row],[명칭]])</f>
        <v>0</v>
      </c>
      <c r="N1303" s="65">
        <f>COUNTIF([1]VillageDiscoveryGroup!$C:$C,표1[[#This Row],[명칭]])</f>
        <v>0</v>
      </c>
      <c r="O1303" s="65">
        <f>SUM(표1[[#This Row],[해양탐색]:[마을탐험]])</f>
        <v>4</v>
      </c>
    </row>
    <row r="1304" spans="2:15" ht="13.5" customHeight="1" x14ac:dyDescent="0.3">
      <c r="B1304" s="9">
        <f>[1]Discovery!A1310</f>
        <v>70409387</v>
      </c>
      <c r="C1304" s="9" t="str">
        <f>[1]Discovery!B1310</f>
        <v>학공치</v>
      </c>
      <c r="D1304" s="9" t="str">
        <f>[1]Discovery!E1310</f>
        <v>동물</v>
      </c>
      <c r="E1304" s="9" t="str">
        <f>[1]Discovery!C1310</f>
        <v>어류</v>
      </c>
      <c r="F1304" s="9" t="str">
        <f>[1]Discovery!G1310</f>
        <v>B</v>
      </c>
      <c r="G1304" s="9" t="str">
        <f>IFERROR(VLOOKUP(표1[[#This Row],[명칭]],'문화권 정리'!C:D,2,FALSE),"-")</f>
        <v>어류</v>
      </c>
      <c r="H1304" s="38" t="str">
        <f>IFERROR(COUNTIF([2]OceanDoodad!$Y:$Y,표1[[#This Row],[명칭]]),"-")</f>
        <v>-</v>
      </c>
      <c r="I1304" s="38">
        <f>IFERROR(COUNTIF([1]AdventureDiscoveryGroup!$D$8:$AW$92,표1[[#This Row],[명칭]]),"-")</f>
        <v>0</v>
      </c>
      <c r="J1304" s="38">
        <f>IFERROR(COUNTIF([1]FishDiscoveryGroup!$A:$X,표1[[#This Row],[명칭]]),"-")</f>
        <v>4</v>
      </c>
      <c r="K1304" s="38" t="str">
        <f>IFERROR(COUNTIF([2]Town!$B:$B,표1[[#This Row],[명칭]]),"-")</f>
        <v>-</v>
      </c>
      <c r="L1304" s="38">
        <f>IFERROR(COUNTIF([1]Village!$BR:$BR,표1[[#This Row],[명칭]]),"-")</f>
        <v>0</v>
      </c>
      <c r="M1304" s="38">
        <f>COUNTIF(퀘스트!B:B,표1[[#This Row],[명칭]])</f>
        <v>0</v>
      </c>
      <c r="N1304" s="65">
        <f>COUNTIF([1]VillageDiscoveryGroup!$C:$C,표1[[#This Row],[명칭]])</f>
        <v>0</v>
      </c>
      <c r="O1304" s="65">
        <f>SUM(표1[[#This Row],[해양탐색]:[마을탐험]])</f>
        <v>4</v>
      </c>
    </row>
    <row r="1305" spans="2:15" ht="13.5" customHeight="1" x14ac:dyDescent="0.3">
      <c r="B1305" s="9">
        <f>[1]Discovery!A1311</f>
        <v>70409388</v>
      </c>
      <c r="C1305" s="9" t="str">
        <f>[1]Discovery!B1311</f>
        <v>해마</v>
      </c>
      <c r="D1305" s="9" t="str">
        <f>[1]Discovery!E1311</f>
        <v>동물</v>
      </c>
      <c r="E1305" s="9" t="str">
        <f>[1]Discovery!C1311</f>
        <v>어류</v>
      </c>
      <c r="F1305" s="9" t="str">
        <f>[1]Discovery!G1311</f>
        <v>D</v>
      </c>
      <c r="G1305" s="9" t="str">
        <f>IFERROR(VLOOKUP(표1[[#This Row],[명칭]],'문화권 정리'!C:D,2,FALSE),"-")</f>
        <v>어류</v>
      </c>
      <c r="H1305" s="38" t="str">
        <f>IFERROR(COUNTIF([2]OceanDoodad!$Y:$Y,표1[[#This Row],[명칭]]),"-")</f>
        <v>-</v>
      </c>
      <c r="I1305" s="38">
        <f>IFERROR(COUNTIF([1]AdventureDiscoveryGroup!$D$8:$AW$92,표1[[#This Row],[명칭]]),"-")</f>
        <v>0</v>
      </c>
      <c r="J1305" s="38">
        <f>IFERROR(COUNTIF([1]FishDiscoveryGroup!$A:$X,표1[[#This Row],[명칭]]),"-")</f>
        <v>4</v>
      </c>
      <c r="K1305" s="38" t="str">
        <f>IFERROR(COUNTIF([2]Town!$B:$B,표1[[#This Row],[명칭]]),"-")</f>
        <v>-</v>
      </c>
      <c r="L1305" s="38">
        <f>IFERROR(COUNTIF([1]Village!$BR:$BR,표1[[#This Row],[명칭]]),"-")</f>
        <v>0</v>
      </c>
      <c r="M1305" s="38">
        <f>COUNTIF(퀘스트!B:B,표1[[#This Row],[명칭]])</f>
        <v>0</v>
      </c>
      <c r="N1305" s="65">
        <f>COUNTIF([1]VillageDiscoveryGroup!$C:$C,표1[[#This Row],[명칭]])</f>
        <v>0</v>
      </c>
      <c r="O1305" s="65">
        <f>SUM(표1[[#This Row],[해양탐색]:[마을탐험]])</f>
        <v>4</v>
      </c>
    </row>
    <row r="1306" spans="2:15" ht="13.5" customHeight="1" x14ac:dyDescent="0.3">
      <c r="B1306" s="9">
        <f>[1]Discovery!A1312</f>
        <v>70409389</v>
      </c>
      <c r="C1306" s="9" t="str">
        <f>[1]Discovery!B1312</f>
        <v>해포리고기</v>
      </c>
      <c r="D1306" s="9" t="str">
        <f>[1]Discovery!E1312</f>
        <v>동물</v>
      </c>
      <c r="E1306" s="9" t="str">
        <f>[1]Discovery!C1312</f>
        <v>어류</v>
      </c>
      <c r="F1306" s="9" t="str">
        <f>[1]Discovery!G1312</f>
        <v>D</v>
      </c>
      <c r="G1306" s="9" t="str">
        <f>IFERROR(VLOOKUP(표1[[#This Row],[명칭]],'문화권 정리'!C:D,2,FALSE),"-")</f>
        <v>어류</v>
      </c>
      <c r="H1306" s="38" t="str">
        <f>IFERROR(COUNTIF([2]OceanDoodad!$Y:$Y,표1[[#This Row],[명칭]]),"-")</f>
        <v>-</v>
      </c>
      <c r="I1306" s="38">
        <f>IFERROR(COUNTIF([1]AdventureDiscoveryGroup!$D$8:$AW$92,표1[[#This Row],[명칭]]),"-")</f>
        <v>0</v>
      </c>
      <c r="J1306" s="38">
        <f>IFERROR(COUNTIF([1]FishDiscoveryGroup!$A:$X,표1[[#This Row],[명칭]]),"-")</f>
        <v>8</v>
      </c>
      <c r="K1306" s="38" t="str">
        <f>IFERROR(COUNTIF([2]Town!$B:$B,표1[[#This Row],[명칭]]),"-")</f>
        <v>-</v>
      </c>
      <c r="L1306" s="38">
        <f>IFERROR(COUNTIF([1]Village!$BR:$BR,표1[[#This Row],[명칭]]),"-")</f>
        <v>0</v>
      </c>
      <c r="M1306" s="38">
        <f>COUNTIF(퀘스트!B:B,표1[[#This Row],[명칭]])</f>
        <v>0</v>
      </c>
      <c r="N1306" s="65">
        <f>COUNTIF([1]VillageDiscoveryGroup!$C:$C,표1[[#This Row],[명칭]])</f>
        <v>0</v>
      </c>
      <c r="O1306" s="65">
        <f>SUM(표1[[#This Row],[해양탐색]:[마을탐험]])</f>
        <v>8</v>
      </c>
    </row>
    <row r="1307" spans="2:15" ht="13.5" customHeight="1" x14ac:dyDescent="0.3">
      <c r="B1307" s="9">
        <f>[1]Discovery!A1313</f>
        <v>70409390</v>
      </c>
      <c r="C1307" s="9" t="str">
        <f>[1]Discovery!B1313</f>
        <v>향유고래</v>
      </c>
      <c r="D1307" s="9" t="str">
        <f>[1]Discovery!E1313</f>
        <v>동물</v>
      </c>
      <c r="E1307" s="9" t="str">
        <f>[1]Discovery!C1313</f>
        <v>포유류</v>
      </c>
      <c r="F1307" s="9" t="str">
        <f>[1]Discovery!G1313</f>
        <v>S</v>
      </c>
      <c r="G1307" s="9" t="str">
        <f>IFERROR(VLOOKUP(표1[[#This Row],[명칭]],'문화권 정리'!C:D,2,FALSE),"-")</f>
        <v>어류</v>
      </c>
      <c r="H1307" s="38" t="str">
        <f>IFERROR(COUNTIF([2]OceanDoodad!$Y:$Y,표1[[#This Row],[명칭]]),"-")</f>
        <v>-</v>
      </c>
      <c r="I1307" s="38">
        <f>IFERROR(COUNTIF([1]AdventureDiscoveryGroup!$D$8:$AW$92,표1[[#This Row],[명칭]]),"-")</f>
        <v>0</v>
      </c>
      <c r="J1307" s="38">
        <f>IFERROR(COUNTIF([1]FishDiscoveryGroup!$A:$X,표1[[#This Row],[명칭]]),"-")</f>
        <v>1</v>
      </c>
      <c r="K1307" s="38" t="str">
        <f>IFERROR(COUNTIF([2]Town!$B:$B,표1[[#This Row],[명칭]]),"-")</f>
        <v>-</v>
      </c>
      <c r="L1307" s="38">
        <f>IFERROR(COUNTIF([1]Village!$BR:$BR,표1[[#This Row],[명칭]]),"-")</f>
        <v>0</v>
      </c>
      <c r="M1307" s="38">
        <f>COUNTIF(퀘스트!B:B,표1[[#This Row],[명칭]])</f>
        <v>0</v>
      </c>
      <c r="N1307" s="65">
        <f>COUNTIF([1]VillageDiscoveryGroup!$C:$C,표1[[#This Row],[명칭]])</f>
        <v>0</v>
      </c>
      <c r="O1307" s="65">
        <f>SUM(표1[[#This Row],[해양탐색]:[마을탐험]])</f>
        <v>1</v>
      </c>
    </row>
    <row r="1308" spans="2:15" ht="13.5" customHeight="1" x14ac:dyDescent="0.3">
      <c r="B1308" s="9">
        <f>[1]Discovery!A1314</f>
        <v>70409391</v>
      </c>
      <c r="C1308" s="9" t="str">
        <f>[1]Discovery!B1314</f>
        <v>험프헤드앵무고기</v>
      </c>
      <c r="D1308" s="9" t="str">
        <f>[1]Discovery!E1314</f>
        <v>동물</v>
      </c>
      <c r="E1308" s="9" t="str">
        <f>[1]Discovery!C1314</f>
        <v>어류</v>
      </c>
      <c r="F1308" s="9" t="str">
        <f>[1]Discovery!G1314</f>
        <v>B</v>
      </c>
      <c r="G1308" s="9" t="str">
        <f>IFERROR(VLOOKUP(표1[[#This Row],[명칭]],'문화권 정리'!C:D,2,FALSE),"-")</f>
        <v>어류</v>
      </c>
      <c r="H1308" s="38" t="str">
        <f>IFERROR(COUNTIF([2]OceanDoodad!$Y:$Y,표1[[#This Row],[명칭]]),"-")</f>
        <v>-</v>
      </c>
      <c r="I1308" s="38">
        <f>IFERROR(COUNTIF([1]AdventureDiscoveryGroup!$D$8:$AW$92,표1[[#This Row],[명칭]]),"-")</f>
        <v>0</v>
      </c>
      <c r="J1308" s="38">
        <f>IFERROR(COUNTIF([1]FishDiscoveryGroup!$A:$X,표1[[#This Row],[명칭]]),"-")</f>
        <v>3</v>
      </c>
      <c r="K1308" s="38" t="str">
        <f>IFERROR(COUNTIF([2]Town!$B:$B,표1[[#This Row],[명칭]]),"-")</f>
        <v>-</v>
      </c>
      <c r="L1308" s="38">
        <f>IFERROR(COUNTIF([1]Village!$BR:$BR,표1[[#This Row],[명칭]]),"-")</f>
        <v>0</v>
      </c>
      <c r="M1308" s="38">
        <f>COUNTIF(퀘스트!B:B,표1[[#This Row],[명칭]])</f>
        <v>0</v>
      </c>
      <c r="N1308" s="65">
        <f>COUNTIF([1]VillageDiscoveryGroup!$C:$C,표1[[#This Row],[명칭]])</f>
        <v>0</v>
      </c>
      <c r="O1308" s="65">
        <f>SUM(표1[[#This Row],[해양탐색]:[마을탐험]])</f>
        <v>3</v>
      </c>
    </row>
    <row r="1309" spans="2:15" ht="13.5" customHeight="1" x14ac:dyDescent="0.3">
      <c r="B1309" s="9">
        <f>[1]Discovery!A1315</f>
        <v>70409392</v>
      </c>
      <c r="C1309" s="9" t="str">
        <f>[1]Discovery!B1315</f>
        <v>홉리아스 아이마라</v>
      </c>
      <c r="D1309" s="9" t="str">
        <f>[1]Discovery!E1315</f>
        <v>동물</v>
      </c>
      <c r="E1309" s="9" t="str">
        <f>[1]Discovery!C1315</f>
        <v>어류</v>
      </c>
      <c r="F1309" s="9" t="str">
        <f>[1]Discovery!G1315</f>
        <v>A</v>
      </c>
      <c r="G1309" s="9" t="str">
        <f>IFERROR(VLOOKUP(표1[[#This Row],[명칭]],'문화권 정리'!C:D,2,FALSE),"-")</f>
        <v>어류</v>
      </c>
      <c r="H1309" s="38" t="str">
        <f>IFERROR(COUNTIF([2]OceanDoodad!$Y:$Y,표1[[#This Row],[명칭]]),"-")</f>
        <v>-</v>
      </c>
      <c r="I1309" s="38">
        <f>IFERROR(COUNTIF([1]AdventureDiscoveryGroup!$D$8:$AW$92,표1[[#This Row],[명칭]]),"-")</f>
        <v>0</v>
      </c>
      <c r="J1309" s="38">
        <f>IFERROR(COUNTIF([1]FishDiscoveryGroup!$A:$X,표1[[#This Row],[명칭]]),"-")</f>
        <v>4</v>
      </c>
      <c r="K1309" s="38" t="str">
        <f>IFERROR(COUNTIF([2]Town!$B:$B,표1[[#This Row],[명칭]]),"-")</f>
        <v>-</v>
      </c>
      <c r="L1309" s="38">
        <f>IFERROR(COUNTIF([1]Village!$BR:$BR,표1[[#This Row],[명칭]]),"-")</f>
        <v>0</v>
      </c>
      <c r="M1309" s="38">
        <f>COUNTIF(퀘스트!B:B,표1[[#This Row],[명칭]])</f>
        <v>0</v>
      </c>
      <c r="N1309" s="65">
        <f>COUNTIF([1]VillageDiscoveryGroup!$C:$C,표1[[#This Row],[명칭]])</f>
        <v>0</v>
      </c>
      <c r="O1309" s="65">
        <f>SUM(표1[[#This Row],[해양탐색]:[마을탐험]])</f>
        <v>4</v>
      </c>
    </row>
    <row r="1310" spans="2:15" ht="13.5" customHeight="1" x14ac:dyDescent="0.3">
      <c r="B1310" s="9">
        <f>[1]Discovery!A1316</f>
        <v>70409393</v>
      </c>
      <c r="C1310" s="9" t="str">
        <f>[1]Discovery!B1316</f>
        <v>홍기가라지</v>
      </c>
      <c r="D1310" s="9" t="str">
        <f>[1]Discovery!E1316</f>
        <v>동물</v>
      </c>
      <c r="E1310" s="9" t="str">
        <f>[1]Discovery!C1316</f>
        <v>어류</v>
      </c>
      <c r="F1310" s="9" t="str">
        <f>[1]Discovery!G1316</f>
        <v>D</v>
      </c>
      <c r="G1310" s="9" t="str">
        <f>IFERROR(VLOOKUP(표1[[#This Row],[명칭]],'문화권 정리'!C:D,2,FALSE),"-")</f>
        <v>어류</v>
      </c>
      <c r="H1310" s="38" t="str">
        <f>IFERROR(COUNTIF([2]OceanDoodad!$Y:$Y,표1[[#This Row],[명칭]]),"-")</f>
        <v>-</v>
      </c>
      <c r="I1310" s="38">
        <f>IFERROR(COUNTIF([1]AdventureDiscoveryGroup!$D$8:$AW$92,표1[[#This Row],[명칭]]),"-")</f>
        <v>0</v>
      </c>
      <c r="J1310" s="38">
        <f>IFERROR(COUNTIF([1]FishDiscoveryGroup!$A:$X,표1[[#This Row],[명칭]]),"-")</f>
        <v>4</v>
      </c>
      <c r="K1310" s="38" t="str">
        <f>IFERROR(COUNTIF([2]Town!$B:$B,표1[[#This Row],[명칭]]),"-")</f>
        <v>-</v>
      </c>
      <c r="L1310" s="38">
        <f>IFERROR(COUNTIF([1]Village!$BR:$BR,표1[[#This Row],[명칭]]),"-")</f>
        <v>0</v>
      </c>
      <c r="M1310" s="38">
        <f>COUNTIF(퀘스트!B:B,표1[[#This Row],[명칭]])</f>
        <v>0</v>
      </c>
      <c r="N1310" s="65">
        <f>COUNTIF([1]VillageDiscoveryGroup!$C:$C,표1[[#This Row],[명칭]])</f>
        <v>0</v>
      </c>
      <c r="O1310" s="65">
        <f>SUM(표1[[#This Row],[해양탐색]:[마을탐험]])</f>
        <v>4</v>
      </c>
    </row>
    <row r="1311" spans="2:15" ht="13.5" customHeight="1" x14ac:dyDescent="0.3">
      <c r="B1311" s="9">
        <f>[1]Discovery!A1317</f>
        <v>70409394</v>
      </c>
      <c r="C1311" s="9" t="str">
        <f>[1]Discovery!B1317</f>
        <v>홍대치</v>
      </c>
      <c r="D1311" s="9" t="str">
        <f>[1]Discovery!E1317</f>
        <v>동물</v>
      </c>
      <c r="E1311" s="9" t="str">
        <f>[1]Discovery!C1317</f>
        <v>어류</v>
      </c>
      <c r="F1311" s="9" t="str">
        <f>[1]Discovery!G1317</f>
        <v>S</v>
      </c>
      <c r="G1311" s="9" t="str">
        <f>IFERROR(VLOOKUP(표1[[#This Row],[명칭]],'문화권 정리'!C:D,2,FALSE),"-")</f>
        <v>어류</v>
      </c>
      <c r="H1311" s="38" t="str">
        <f>IFERROR(COUNTIF([2]OceanDoodad!$Y:$Y,표1[[#This Row],[명칭]]),"-")</f>
        <v>-</v>
      </c>
      <c r="I1311" s="38">
        <f>IFERROR(COUNTIF([1]AdventureDiscoveryGroup!$D$8:$AW$92,표1[[#This Row],[명칭]]),"-")</f>
        <v>0</v>
      </c>
      <c r="J1311" s="38">
        <f>IFERROR(COUNTIF([1]FishDiscoveryGroup!$A:$X,표1[[#This Row],[명칭]]),"-")</f>
        <v>4</v>
      </c>
      <c r="K1311" s="38" t="str">
        <f>IFERROR(COUNTIF([2]Town!$B:$B,표1[[#This Row],[명칭]]),"-")</f>
        <v>-</v>
      </c>
      <c r="L1311" s="38">
        <f>IFERROR(COUNTIF([1]Village!$BR:$BR,표1[[#This Row],[명칭]]),"-")</f>
        <v>0</v>
      </c>
      <c r="M1311" s="38">
        <f>COUNTIF(퀘스트!B:B,표1[[#This Row],[명칭]])</f>
        <v>0</v>
      </c>
      <c r="N1311" s="65">
        <f>COUNTIF([1]VillageDiscoveryGroup!$C:$C,표1[[#This Row],[명칭]])</f>
        <v>0</v>
      </c>
      <c r="O1311" s="65">
        <f>SUM(표1[[#This Row],[해양탐색]:[마을탐험]])</f>
        <v>4</v>
      </c>
    </row>
    <row r="1312" spans="2:15" ht="13.5" customHeight="1" x14ac:dyDescent="0.3">
      <c r="B1312" s="9">
        <f>[1]Discovery!A1318</f>
        <v>70409395</v>
      </c>
      <c r="C1312" s="9" t="str">
        <f>[1]Discovery!B1318</f>
        <v>홍살귀상어</v>
      </c>
      <c r="D1312" s="9" t="str">
        <f>[1]Discovery!E1318</f>
        <v>동물</v>
      </c>
      <c r="E1312" s="9" t="str">
        <f>[1]Discovery!C1318</f>
        <v>어류</v>
      </c>
      <c r="F1312" s="9" t="str">
        <f>[1]Discovery!G1318</f>
        <v>S</v>
      </c>
      <c r="G1312" s="9" t="str">
        <f>IFERROR(VLOOKUP(표1[[#This Row],[명칭]],'문화권 정리'!C:D,2,FALSE),"-")</f>
        <v>어류</v>
      </c>
      <c r="H1312" s="38" t="str">
        <f>IFERROR(COUNTIF([2]OceanDoodad!$Y:$Y,표1[[#This Row],[명칭]]),"-")</f>
        <v>-</v>
      </c>
      <c r="I1312" s="38">
        <f>IFERROR(COUNTIF([1]AdventureDiscoveryGroup!$D$8:$AW$92,표1[[#This Row],[명칭]]),"-")</f>
        <v>0</v>
      </c>
      <c r="J1312" s="38">
        <f>IFERROR(COUNTIF([1]FishDiscoveryGroup!$A:$X,표1[[#This Row],[명칭]]),"-")</f>
        <v>4</v>
      </c>
      <c r="K1312" s="38" t="str">
        <f>IFERROR(COUNTIF([2]Town!$B:$B,표1[[#This Row],[명칭]]),"-")</f>
        <v>-</v>
      </c>
      <c r="L1312" s="38">
        <f>IFERROR(COUNTIF([1]Village!$BR:$BR,표1[[#This Row],[명칭]]),"-")</f>
        <v>0</v>
      </c>
      <c r="M1312" s="38">
        <f>COUNTIF(퀘스트!B:B,표1[[#This Row],[명칭]])</f>
        <v>0</v>
      </c>
      <c r="N1312" s="65">
        <f>COUNTIF([1]VillageDiscoveryGroup!$C:$C,표1[[#This Row],[명칭]])</f>
        <v>0</v>
      </c>
      <c r="O1312" s="65">
        <f>SUM(표1[[#This Row],[해양탐색]:[마을탐험]])</f>
        <v>4</v>
      </c>
    </row>
    <row r="1313" spans="2:15" ht="13.5" customHeight="1" x14ac:dyDescent="0.3">
      <c r="B1313" s="9">
        <f>[1]Discovery!A1319</f>
        <v>70409396</v>
      </c>
      <c r="C1313" s="9" t="str">
        <f>[1]Discovery!B1319</f>
        <v>홍어</v>
      </c>
      <c r="D1313" s="9" t="str">
        <f>[1]Discovery!E1319</f>
        <v>동물</v>
      </c>
      <c r="E1313" s="9" t="str">
        <f>[1]Discovery!C1319</f>
        <v>어류</v>
      </c>
      <c r="F1313" s="9" t="str">
        <f>[1]Discovery!G1319</f>
        <v>D</v>
      </c>
      <c r="G1313" s="9" t="str">
        <f>IFERROR(VLOOKUP(표1[[#This Row],[명칭]],'문화권 정리'!C:D,2,FALSE),"-")</f>
        <v>어류</v>
      </c>
      <c r="H1313" s="38" t="str">
        <f>IFERROR(COUNTIF([2]OceanDoodad!$Y:$Y,표1[[#This Row],[명칭]]),"-")</f>
        <v>-</v>
      </c>
      <c r="I1313" s="38">
        <f>IFERROR(COUNTIF([1]AdventureDiscoveryGroup!$D$8:$AW$92,표1[[#This Row],[명칭]]),"-")</f>
        <v>0</v>
      </c>
      <c r="J1313" s="38">
        <f>IFERROR(COUNTIF([1]FishDiscoveryGroup!$A:$X,표1[[#This Row],[명칭]]),"-")</f>
        <v>8</v>
      </c>
      <c r="K1313" s="38" t="str">
        <f>IFERROR(COUNTIF([2]Town!$B:$B,표1[[#This Row],[명칭]]),"-")</f>
        <v>-</v>
      </c>
      <c r="L1313" s="38">
        <f>IFERROR(COUNTIF([1]Village!$BR:$BR,표1[[#This Row],[명칭]]),"-")</f>
        <v>0</v>
      </c>
      <c r="M1313" s="38">
        <f>COUNTIF(퀘스트!B:B,표1[[#This Row],[명칭]])</f>
        <v>0</v>
      </c>
      <c r="N1313" s="65">
        <f>COUNTIF([1]VillageDiscoveryGroup!$C:$C,표1[[#This Row],[명칭]])</f>
        <v>0</v>
      </c>
      <c r="O1313" s="65">
        <f>SUM(표1[[#This Row],[해양탐색]:[마을탐험]])</f>
        <v>8</v>
      </c>
    </row>
    <row r="1314" spans="2:15" ht="13.5" customHeight="1" x14ac:dyDescent="0.3">
      <c r="B1314" s="9">
        <f>[1]Discovery!A1320</f>
        <v>70409397</v>
      </c>
      <c r="C1314" s="9" t="str">
        <f>[1]Discovery!B1320</f>
        <v>환도상어</v>
      </c>
      <c r="D1314" s="9" t="str">
        <f>[1]Discovery!E1320</f>
        <v>동물</v>
      </c>
      <c r="E1314" s="9" t="str">
        <f>[1]Discovery!C1320</f>
        <v>어류</v>
      </c>
      <c r="F1314" s="9" t="str">
        <f>[1]Discovery!G1320</f>
        <v>D</v>
      </c>
      <c r="G1314" s="9" t="str">
        <f>IFERROR(VLOOKUP(표1[[#This Row],[명칭]],'문화권 정리'!C:D,2,FALSE),"-")</f>
        <v>어류</v>
      </c>
      <c r="H1314" s="38" t="str">
        <f>IFERROR(COUNTIF([2]OceanDoodad!$Y:$Y,표1[[#This Row],[명칭]]),"-")</f>
        <v>-</v>
      </c>
      <c r="I1314" s="38">
        <f>IFERROR(COUNTIF([1]AdventureDiscoveryGroup!$D$8:$AW$92,표1[[#This Row],[명칭]]),"-")</f>
        <v>0</v>
      </c>
      <c r="J1314" s="38">
        <f>IFERROR(COUNTIF([1]FishDiscoveryGroup!$A:$X,표1[[#This Row],[명칭]]),"-")</f>
        <v>4</v>
      </c>
      <c r="K1314" s="38" t="str">
        <f>IFERROR(COUNTIF([2]Town!$B:$B,표1[[#This Row],[명칭]]),"-")</f>
        <v>-</v>
      </c>
      <c r="L1314" s="38">
        <f>IFERROR(COUNTIF([1]Village!$BR:$BR,표1[[#This Row],[명칭]]),"-")</f>
        <v>0</v>
      </c>
      <c r="M1314" s="38">
        <f>COUNTIF(퀘스트!B:B,표1[[#This Row],[명칭]])</f>
        <v>0</v>
      </c>
      <c r="N1314" s="65">
        <f>COUNTIF([1]VillageDiscoveryGroup!$C:$C,표1[[#This Row],[명칭]])</f>
        <v>0</v>
      </c>
      <c r="O1314" s="65">
        <f>SUM(표1[[#This Row],[해양탐색]:[마을탐험]])</f>
        <v>4</v>
      </c>
    </row>
    <row r="1315" spans="2:15" ht="13.5" customHeight="1" x14ac:dyDescent="0.3">
      <c r="B1315" s="9">
        <f>[1]Discovery!A1321</f>
        <v>70409398</v>
      </c>
      <c r="C1315" s="9" t="str">
        <f>[1]Discovery!B1321</f>
        <v>황날치</v>
      </c>
      <c r="D1315" s="9" t="str">
        <f>[1]Discovery!E1321</f>
        <v>동물</v>
      </c>
      <c r="E1315" s="9" t="str">
        <f>[1]Discovery!C1321</f>
        <v>어류</v>
      </c>
      <c r="F1315" s="9" t="str">
        <f>[1]Discovery!G1321</f>
        <v>B</v>
      </c>
      <c r="G1315" s="9" t="str">
        <f>IFERROR(VLOOKUP(표1[[#This Row],[명칭]],'문화권 정리'!C:D,2,FALSE),"-")</f>
        <v>어류</v>
      </c>
      <c r="H1315" s="38" t="str">
        <f>IFERROR(COUNTIF([2]OceanDoodad!$Y:$Y,표1[[#This Row],[명칭]]),"-")</f>
        <v>-</v>
      </c>
      <c r="I1315" s="38">
        <f>IFERROR(COUNTIF([1]AdventureDiscoveryGroup!$D$8:$AW$92,표1[[#This Row],[명칭]]),"-")</f>
        <v>0</v>
      </c>
      <c r="J1315" s="38">
        <f>IFERROR(COUNTIF([1]FishDiscoveryGroup!$A:$X,표1[[#This Row],[명칭]]),"-")</f>
        <v>8</v>
      </c>
      <c r="K1315" s="38" t="str">
        <f>IFERROR(COUNTIF([2]Town!$B:$B,표1[[#This Row],[명칭]]),"-")</f>
        <v>-</v>
      </c>
      <c r="L1315" s="38">
        <f>IFERROR(COUNTIF([1]Village!$BR:$BR,표1[[#This Row],[명칭]]),"-")</f>
        <v>0</v>
      </c>
      <c r="M1315" s="38">
        <f>COUNTIF(퀘스트!B:B,표1[[#This Row],[명칭]])</f>
        <v>0</v>
      </c>
      <c r="N1315" s="65">
        <f>COUNTIF([1]VillageDiscoveryGroup!$C:$C,표1[[#This Row],[명칭]])</f>
        <v>0</v>
      </c>
      <c r="O1315" s="65">
        <f>SUM(표1[[#This Row],[해양탐색]:[마을탐험]])</f>
        <v>8</v>
      </c>
    </row>
    <row r="1316" spans="2:15" ht="13.5" customHeight="1" x14ac:dyDescent="0.3">
      <c r="B1316" s="9">
        <f>[1]Discovery!A1322</f>
        <v>70409399</v>
      </c>
      <c r="C1316" s="9" t="str">
        <f>[1]Discovery!B1322</f>
        <v>황다랑어</v>
      </c>
      <c r="D1316" s="9" t="str">
        <f>[1]Discovery!E1322</f>
        <v>동물</v>
      </c>
      <c r="E1316" s="9" t="str">
        <f>[1]Discovery!C1322</f>
        <v>어류</v>
      </c>
      <c r="F1316" s="9" t="str">
        <f>[1]Discovery!G1322</f>
        <v>B</v>
      </c>
      <c r="G1316" s="9" t="str">
        <f>IFERROR(VLOOKUP(표1[[#This Row],[명칭]],'문화권 정리'!C:D,2,FALSE),"-")</f>
        <v>어류</v>
      </c>
      <c r="H1316" s="38" t="str">
        <f>IFERROR(COUNTIF([2]OceanDoodad!$Y:$Y,표1[[#This Row],[명칭]]),"-")</f>
        <v>-</v>
      </c>
      <c r="I1316" s="38">
        <f>IFERROR(COUNTIF([1]AdventureDiscoveryGroup!$D$8:$AW$92,표1[[#This Row],[명칭]]),"-")</f>
        <v>0</v>
      </c>
      <c r="J1316" s="38">
        <f>IFERROR(COUNTIF([1]FishDiscoveryGroup!$A:$X,표1[[#This Row],[명칭]]),"-")</f>
        <v>4</v>
      </c>
      <c r="K1316" s="38" t="str">
        <f>IFERROR(COUNTIF([2]Town!$B:$B,표1[[#This Row],[명칭]]),"-")</f>
        <v>-</v>
      </c>
      <c r="L1316" s="38">
        <f>IFERROR(COUNTIF([1]Village!$BR:$BR,표1[[#This Row],[명칭]]),"-")</f>
        <v>0</v>
      </c>
      <c r="M1316" s="38">
        <f>COUNTIF(퀘스트!B:B,표1[[#This Row],[명칭]])</f>
        <v>0</v>
      </c>
      <c r="N1316" s="65">
        <f>COUNTIF([1]VillageDiscoveryGroup!$C:$C,표1[[#This Row],[명칭]])</f>
        <v>0</v>
      </c>
      <c r="O1316" s="65">
        <f>SUM(표1[[#This Row],[해양탐색]:[마을탐험]])</f>
        <v>4</v>
      </c>
    </row>
    <row r="1317" spans="2:15" ht="13.5" customHeight="1" x14ac:dyDescent="0.3">
      <c r="B1317" s="9">
        <f>[1]Discovery!A1323</f>
        <v>70409400</v>
      </c>
      <c r="C1317" s="9" t="str">
        <f>[1]Discovery!B1323</f>
        <v>황돔</v>
      </c>
      <c r="D1317" s="9" t="str">
        <f>[1]Discovery!E1323</f>
        <v>동물</v>
      </c>
      <c r="E1317" s="9" t="str">
        <f>[1]Discovery!C1323</f>
        <v>어류</v>
      </c>
      <c r="F1317" s="9" t="str">
        <f>[1]Discovery!G1323</f>
        <v>D</v>
      </c>
      <c r="G1317" s="9" t="str">
        <f>IFERROR(VLOOKUP(표1[[#This Row],[명칭]],'문화권 정리'!C:D,2,FALSE),"-")</f>
        <v>어류</v>
      </c>
      <c r="H1317" s="38" t="str">
        <f>IFERROR(COUNTIF([2]OceanDoodad!$Y:$Y,표1[[#This Row],[명칭]]),"-")</f>
        <v>-</v>
      </c>
      <c r="I1317" s="38">
        <f>IFERROR(COUNTIF([1]AdventureDiscoveryGroup!$D$8:$AW$92,표1[[#This Row],[명칭]]),"-")</f>
        <v>0</v>
      </c>
      <c r="J1317" s="38">
        <f>IFERROR(COUNTIF([1]FishDiscoveryGroup!$A:$X,표1[[#This Row],[명칭]]),"-")</f>
        <v>4</v>
      </c>
      <c r="K1317" s="38" t="str">
        <f>IFERROR(COUNTIF([2]Town!$B:$B,표1[[#This Row],[명칭]]),"-")</f>
        <v>-</v>
      </c>
      <c r="L1317" s="38">
        <f>IFERROR(COUNTIF([1]Village!$BR:$BR,표1[[#This Row],[명칭]]),"-")</f>
        <v>0</v>
      </c>
      <c r="M1317" s="38">
        <f>COUNTIF(퀘스트!B:B,표1[[#This Row],[명칭]])</f>
        <v>0</v>
      </c>
      <c r="N1317" s="65">
        <f>COUNTIF([1]VillageDiscoveryGroup!$C:$C,표1[[#This Row],[명칭]])</f>
        <v>0</v>
      </c>
      <c r="O1317" s="65">
        <f>SUM(표1[[#This Row],[해양탐색]:[마을탐험]])</f>
        <v>4</v>
      </c>
    </row>
    <row r="1318" spans="2:15" ht="13.5" customHeight="1" x14ac:dyDescent="0.3">
      <c r="B1318" s="9">
        <f>[1]Discovery!A1324</f>
        <v>70409401</v>
      </c>
      <c r="C1318" s="9" t="str">
        <f>[1]Discovery!B1324</f>
        <v>황등어</v>
      </c>
      <c r="D1318" s="9" t="str">
        <f>[1]Discovery!E1324</f>
        <v>동물</v>
      </c>
      <c r="E1318" s="9" t="str">
        <f>[1]Discovery!C1324</f>
        <v>어류</v>
      </c>
      <c r="F1318" s="9" t="str">
        <f>[1]Discovery!G1324</f>
        <v>D</v>
      </c>
      <c r="G1318" s="9" t="str">
        <f>IFERROR(VLOOKUP(표1[[#This Row],[명칭]],'문화권 정리'!C:D,2,FALSE),"-")</f>
        <v>어류</v>
      </c>
      <c r="H1318" s="38" t="str">
        <f>IFERROR(COUNTIF([2]OceanDoodad!$Y:$Y,표1[[#This Row],[명칭]]),"-")</f>
        <v>-</v>
      </c>
      <c r="I1318" s="38">
        <f>IFERROR(COUNTIF([1]AdventureDiscoveryGroup!$D$8:$AW$92,표1[[#This Row],[명칭]]),"-")</f>
        <v>0</v>
      </c>
      <c r="J1318" s="38">
        <f>IFERROR(COUNTIF([1]FishDiscoveryGroup!$A:$X,표1[[#This Row],[명칭]]),"-")</f>
        <v>4</v>
      </c>
      <c r="K1318" s="38" t="str">
        <f>IFERROR(COUNTIF([2]Town!$B:$B,표1[[#This Row],[명칭]]),"-")</f>
        <v>-</v>
      </c>
      <c r="L1318" s="38">
        <f>IFERROR(COUNTIF([1]Village!$BR:$BR,표1[[#This Row],[명칭]]),"-")</f>
        <v>0</v>
      </c>
      <c r="M1318" s="38">
        <f>COUNTIF(퀘스트!B:B,표1[[#This Row],[명칭]])</f>
        <v>0</v>
      </c>
      <c r="N1318" s="65">
        <f>COUNTIF([1]VillageDiscoveryGroup!$C:$C,표1[[#This Row],[명칭]])</f>
        <v>0</v>
      </c>
      <c r="O1318" s="65">
        <f>SUM(표1[[#This Row],[해양탐색]:[마을탐험]])</f>
        <v>4</v>
      </c>
    </row>
    <row r="1319" spans="2:15" ht="13.5" customHeight="1" x14ac:dyDescent="0.3">
      <c r="B1319" s="9">
        <f>[1]Discovery!A1325</f>
        <v>70409402</v>
      </c>
      <c r="C1319" s="9" t="str">
        <f>[1]Discovery!B1325</f>
        <v>황록쥐치</v>
      </c>
      <c r="D1319" s="9" t="str">
        <f>[1]Discovery!E1325</f>
        <v>동물</v>
      </c>
      <c r="E1319" s="9" t="str">
        <f>[1]Discovery!C1325</f>
        <v>어류</v>
      </c>
      <c r="F1319" s="9" t="str">
        <f>[1]Discovery!G1325</f>
        <v>D</v>
      </c>
      <c r="G1319" s="9" t="str">
        <f>IFERROR(VLOOKUP(표1[[#This Row],[명칭]],'문화권 정리'!C:D,2,FALSE),"-")</f>
        <v>어류</v>
      </c>
      <c r="H1319" s="38" t="str">
        <f>IFERROR(COUNTIF([2]OceanDoodad!$Y:$Y,표1[[#This Row],[명칭]]),"-")</f>
        <v>-</v>
      </c>
      <c r="I1319" s="38">
        <f>IFERROR(COUNTIF([1]AdventureDiscoveryGroup!$D$8:$AW$92,표1[[#This Row],[명칭]]),"-")</f>
        <v>0</v>
      </c>
      <c r="J1319" s="38">
        <f>IFERROR(COUNTIF([1]FishDiscoveryGroup!$A:$X,표1[[#This Row],[명칭]]),"-")</f>
        <v>0</v>
      </c>
      <c r="K1319" s="38" t="str">
        <f>IFERROR(COUNTIF([2]Town!$B:$B,표1[[#This Row],[명칭]]),"-")</f>
        <v>-</v>
      </c>
      <c r="L1319" s="38">
        <f>IFERROR(COUNTIF([1]Village!$BR:$BR,표1[[#This Row],[명칭]]),"-")</f>
        <v>0</v>
      </c>
      <c r="M1319" s="38">
        <f>COUNTIF(퀘스트!B:B,표1[[#This Row],[명칭]])</f>
        <v>0</v>
      </c>
      <c r="N1319" s="65">
        <f>COUNTIF([1]VillageDiscoveryGroup!$C:$C,표1[[#This Row],[명칭]])</f>
        <v>0</v>
      </c>
      <c r="O1319" s="65">
        <f>SUM(표1[[#This Row],[해양탐색]:[마을탐험]])</f>
        <v>0</v>
      </c>
    </row>
    <row r="1320" spans="2:15" ht="13.5" customHeight="1" x14ac:dyDescent="0.3">
      <c r="B1320" s="9">
        <f>[1]Discovery!A1326</f>
        <v>70409403</v>
      </c>
      <c r="C1320" s="9" t="str">
        <f>[1]Discovery!B1326</f>
        <v>황매퉁이</v>
      </c>
      <c r="D1320" s="9" t="str">
        <f>[1]Discovery!E1326</f>
        <v>동물</v>
      </c>
      <c r="E1320" s="9" t="str">
        <f>[1]Discovery!C1326</f>
        <v>어류</v>
      </c>
      <c r="F1320" s="9" t="str">
        <f>[1]Discovery!G1326</f>
        <v>B</v>
      </c>
      <c r="G1320" s="9" t="str">
        <f>IFERROR(VLOOKUP(표1[[#This Row],[명칭]],'문화권 정리'!C:D,2,FALSE),"-")</f>
        <v>어류</v>
      </c>
      <c r="H1320" s="38" t="str">
        <f>IFERROR(COUNTIF([2]OceanDoodad!$Y:$Y,표1[[#This Row],[명칭]]),"-")</f>
        <v>-</v>
      </c>
      <c r="I1320" s="38">
        <f>IFERROR(COUNTIF([1]AdventureDiscoveryGroup!$D$8:$AW$92,표1[[#This Row],[명칭]]),"-")</f>
        <v>0</v>
      </c>
      <c r="J1320" s="38">
        <f>IFERROR(COUNTIF([1]FishDiscoveryGroup!$A:$X,표1[[#This Row],[명칭]]),"-")</f>
        <v>8</v>
      </c>
      <c r="K1320" s="38" t="str">
        <f>IFERROR(COUNTIF([2]Town!$B:$B,표1[[#This Row],[명칭]]),"-")</f>
        <v>-</v>
      </c>
      <c r="L1320" s="38">
        <f>IFERROR(COUNTIF([1]Village!$BR:$BR,표1[[#This Row],[명칭]]),"-")</f>
        <v>0</v>
      </c>
      <c r="M1320" s="38">
        <f>COUNTIF(퀘스트!B:B,표1[[#This Row],[명칭]])</f>
        <v>0</v>
      </c>
      <c r="N1320" s="65">
        <f>COUNTIF([1]VillageDiscoveryGroup!$C:$C,표1[[#This Row],[명칭]])</f>
        <v>0</v>
      </c>
      <c r="O1320" s="65">
        <f>SUM(표1[[#This Row],[해양탐색]:[마을탐험]])</f>
        <v>8</v>
      </c>
    </row>
    <row r="1321" spans="2:15" ht="13.5" customHeight="1" x14ac:dyDescent="0.3">
      <c r="B1321" s="9">
        <f>[1]Discovery!A1327</f>
        <v>70409404</v>
      </c>
      <c r="C1321" s="9" t="str">
        <f>[1]Discovery!B1327</f>
        <v>황새치</v>
      </c>
      <c r="D1321" s="9" t="str">
        <f>[1]Discovery!E1327</f>
        <v>동물</v>
      </c>
      <c r="E1321" s="9" t="str">
        <f>[1]Discovery!C1327</f>
        <v>어류</v>
      </c>
      <c r="F1321" s="9" t="str">
        <f>[1]Discovery!G1327</f>
        <v>A</v>
      </c>
      <c r="G1321" s="9" t="str">
        <f>IFERROR(VLOOKUP(표1[[#This Row],[명칭]],'문화권 정리'!C:D,2,FALSE),"-")</f>
        <v>어류</v>
      </c>
      <c r="H1321" s="38" t="str">
        <f>IFERROR(COUNTIF([2]OceanDoodad!$Y:$Y,표1[[#This Row],[명칭]]),"-")</f>
        <v>-</v>
      </c>
      <c r="I1321" s="38">
        <f>IFERROR(COUNTIF([1]AdventureDiscoveryGroup!$D$8:$AW$92,표1[[#This Row],[명칭]]),"-")</f>
        <v>0</v>
      </c>
      <c r="J1321" s="38">
        <f>IFERROR(COUNTIF([1]FishDiscoveryGroup!$A:$X,표1[[#This Row],[명칭]]),"-")</f>
        <v>4</v>
      </c>
      <c r="K1321" s="38" t="str">
        <f>IFERROR(COUNTIF([2]Town!$B:$B,표1[[#This Row],[명칭]]),"-")</f>
        <v>-</v>
      </c>
      <c r="L1321" s="38">
        <f>IFERROR(COUNTIF([1]Village!$BR:$BR,표1[[#This Row],[명칭]]),"-")</f>
        <v>0</v>
      </c>
      <c r="M1321" s="38">
        <f>COUNTIF(퀘스트!B:B,표1[[#This Row],[명칭]])</f>
        <v>0</v>
      </c>
      <c r="N1321" s="65">
        <f>COUNTIF([1]VillageDiscoveryGroup!$C:$C,표1[[#This Row],[명칭]])</f>
        <v>0</v>
      </c>
      <c r="O1321" s="65">
        <f>SUM(표1[[#This Row],[해양탐색]:[마을탐험]])</f>
        <v>4</v>
      </c>
    </row>
    <row r="1322" spans="2:15" ht="13.5" customHeight="1" x14ac:dyDescent="0.3">
      <c r="B1322" s="9">
        <f>[1]Discovery!A1328</f>
        <v>70409405</v>
      </c>
      <c r="C1322" s="9" t="str">
        <f>[1]Discovery!B1328</f>
        <v>황적퉁돔</v>
      </c>
      <c r="D1322" s="9" t="str">
        <f>[1]Discovery!E1328</f>
        <v>동물</v>
      </c>
      <c r="E1322" s="9" t="str">
        <f>[1]Discovery!C1328</f>
        <v>어류</v>
      </c>
      <c r="F1322" s="9" t="str">
        <f>[1]Discovery!G1328</f>
        <v>D</v>
      </c>
      <c r="G1322" s="9" t="str">
        <f>IFERROR(VLOOKUP(표1[[#This Row],[명칭]],'문화권 정리'!C:D,2,FALSE),"-")</f>
        <v>어류</v>
      </c>
      <c r="H1322" s="38" t="str">
        <f>IFERROR(COUNTIF([2]OceanDoodad!$Y:$Y,표1[[#This Row],[명칭]]),"-")</f>
        <v>-</v>
      </c>
      <c r="I1322" s="38">
        <f>IFERROR(COUNTIF([1]AdventureDiscoveryGroup!$D$8:$AW$92,표1[[#This Row],[명칭]]),"-")</f>
        <v>0</v>
      </c>
      <c r="J1322" s="38">
        <f>IFERROR(COUNTIF([1]FishDiscoveryGroup!$A:$X,표1[[#This Row],[명칭]]),"-")</f>
        <v>0</v>
      </c>
      <c r="K1322" s="38" t="str">
        <f>IFERROR(COUNTIF([2]Town!$B:$B,표1[[#This Row],[명칭]]),"-")</f>
        <v>-</v>
      </c>
      <c r="L1322" s="38">
        <f>IFERROR(COUNTIF([1]Village!$BR:$BR,표1[[#This Row],[명칭]]),"-")</f>
        <v>0</v>
      </c>
      <c r="M1322" s="38">
        <f>COUNTIF(퀘스트!B:B,표1[[#This Row],[명칭]])</f>
        <v>0</v>
      </c>
      <c r="N1322" s="65">
        <f>COUNTIF([1]VillageDiscoveryGroup!$C:$C,표1[[#This Row],[명칭]])</f>
        <v>0</v>
      </c>
      <c r="O1322" s="65">
        <f>SUM(표1[[#This Row],[해양탐색]:[마을탐험]])</f>
        <v>0</v>
      </c>
    </row>
    <row r="1323" spans="2:15" ht="13.5" customHeight="1" x14ac:dyDescent="0.3">
      <c r="B1323" s="9">
        <f>[1]Discovery!A1329</f>
        <v>70409406</v>
      </c>
      <c r="C1323" s="9" t="str">
        <f>[1]Discovery!B1329</f>
        <v>황줄깜정이</v>
      </c>
      <c r="D1323" s="9" t="str">
        <f>[1]Discovery!E1329</f>
        <v>동물</v>
      </c>
      <c r="E1323" s="9" t="str">
        <f>[1]Discovery!C1329</f>
        <v>어류</v>
      </c>
      <c r="F1323" s="9" t="str">
        <f>[1]Discovery!G1329</f>
        <v>B</v>
      </c>
      <c r="G1323" s="9" t="str">
        <f>IFERROR(VLOOKUP(표1[[#This Row],[명칭]],'문화권 정리'!C:D,2,FALSE),"-")</f>
        <v>어류</v>
      </c>
      <c r="H1323" s="38" t="str">
        <f>IFERROR(COUNTIF([2]OceanDoodad!$Y:$Y,표1[[#This Row],[명칭]]),"-")</f>
        <v>-</v>
      </c>
      <c r="I1323" s="38">
        <f>IFERROR(COUNTIF([1]AdventureDiscoveryGroup!$D$8:$AW$92,표1[[#This Row],[명칭]]),"-")</f>
        <v>0</v>
      </c>
      <c r="J1323" s="38">
        <f>IFERROR(COUNTIF([1]FishDiscoveryGroup!$A:$X,표1[[#This Row],[명칭]]),"-")</f>
        <v>4</v>
      </c>
      <c r="K1323" s="38" t="str">
        <f>IFERROR(COUNTIF([2]Town!$B:$B,표1[[#This Row],[명칭]]),"-")</f>
        <v>-</v>
      </c>
      <c r="L1323" s="38">
        <f>IFERROR(COUNTIF([1]Village!$BR:$BR,표1[[#This Row],[명칭]]),"-")</f>
        <v>0</v>
      </c>
      <c r="M1323" s="38">
        <f>COUNTIF(퀘스트!B:B,표1[[#This Row],[명칭]])</f>
        <v>0</v>
      </c>
      <c r="N1323" s="65">
        <f>COUNTIF([1]VillageDiscoveryGroup!$C:$C,표1[[#This Row],[명칭]])</f>
        <v>0</v>
      </c>
      <c r="O1323" s="65">
        <f>SUM(표1[[#This Row],[해양탐색]:[마을탐험]])</f>
        <v>4</v>
      </c>
    </row>
    <row r="1324" spans="2:15" ht="13.5" customHeight="1" x14ac:dyDescent="0.3">
      <c r="B1324" s="9">
        <f>[1]Discovery!A1330</f>
        <v>70409407</v>
      </c>
      <c r="C1324" s="9" t="str">
        <f>[1]Discovery!B1330</f>
        <v>황줄돔</v>
      </c>
      <c r="D1324" s="9" t="str">
        <f>[1]Discovery!E1330</f>
        <v>동물</v>
      </c>
      <c r="E1324" s="9" t="str">
        <f>[1]Discovery!C1330</f>
        <v>어류</v>
      </c>
      <c r="F1324" s="9" t="str">
        <f>[1]Discovery!G1330</f>
        <v>C</v>
      </c>
      <c r="G1324" s="9" t="str">
        <f>IFERROR(VLOOKUP(표1[[#This Row],[명칭]],'문화권 정리'!C:D,2,FALSE),"-")</f>
        <v>어류</v>
      </c>
      <c r="H1324" s="38" t="str">
        <f>IFERROR(COUNTIF([2]OceanDoodad!$Y:$Y,표1[[#This Row],[명칭]]),"-")</f>
        <v>-</v>
      </c>
      <c r="I1324" s="38">
        <f>IFERROR(COUNTIF([1]AdventureDiscoveryGroup!$D$8:$AW$92,표1[[#This Row],[명칭]]),"-")</f>
        <v>0</v>
      </c>
      <c r="J1324" s="38">
        <f>IFERROR(COUNTIF([1]FishDiscoveryGroup!$A:$X,표1[[#This Row],[명칭]]),"-")</f>
        <v>4</v>
      </c>
      <c r="K1324" s="38" t="str">
        <f>IFERROR(COUNTIF([2]Town!$B:$B,표1[[#This Row],[명칭]]),"-")</f>
        <v>-</v>
      </c>
      <c r="L1324" s="38">
        <f>IFERROR(COUNTIF([1]Village!$BR:$BR,표1[[#This Row],[명칭]]),"-")</f>
        <v>0</v>
      </c>
      <c r="M1324" s="38">
        <f>COUNTIF(퀘스트!B:B,표1[[#This Row],[명칭]])</f>
        <v>0</v>
      </c>
      <c r="N1324" s="65">
        <f>COUNTIF([1]VillageDiscoveryGroup!$C:$C,표1[[#This Row],[명칭]])</f>
        <v>0</v>
      </c>
      <c r="O1324" s="65">
        <f>SUM(표1[[#This Row],[해양탐색]:[마을탐험]])</f>
        <v>4</v>
      </c>
    </row>
    <row r="1325" spans="2:15" ht="13.5" customHeight="1" x14ac:dyDescent="0.3">
      <c r="B1325" s="9">
        <f>[1]Discovery!A1331</f>
        <v>70409408</v>
      </c>
      <c r="C1325" s="9" t="str">
        <f>[1]Discovery!B1331</f>
        <v>흑나비조개</v>
      </c>
      <c r="D1325" s="9" t="str">
        <f>[1]Discovery!E1331</f>
        <v>동물</v>
      </c>
      <c r="E1325" s="9" t="str">
        <f>[1]Discovery!C1331</f>
        <v>무척추동물</v>
      </c>
      <c r="F1325" s="9" t="str">
        <f>[1]Discovery!G1331</f>
        <v>A</v>
      </c>
      <c r="G1325" s="9" t="str">
        <f>IFERROR(VLOOKUP(표1[[#This Row],[명칭]],'문화권 정리'!C:D,2,FALSE),"-")</f>
        <v>어류</v>
      </c>
      <c r="H1325" s="38" t="str">
        <f>IFERROR(COUNTIF([2]OceanDoodad!$Y:$Y,표1[[#This Row],[명칭]]),"-")</f>
        <v>-</v>
      </c>
      <c r="I1325" s="38">
        <f>IFERROR(COUNTIF([1]AdventureDiscoveryGroup!$D$8:$AW$92,표1[[#This Row],[명칭]]),"-")</f>
        <v>0</v>
      </c>
      <c r="J1325" s="38">
        <f>IFERROR(COUNTIF([1]FishDiscoveryGroup!$A:$X,표1[[#This Row],[명칭]]),"-")</f>
        <v>4</v>
      </c>
      <c r="K1325" s="38" t="str">
        <f>IFERROR(COUNTIF([2]Town!$B:$B,표1[[#This Row],[명칭]]),"-")</f>
        <v>-</v>
      </c>
      <c r="L1325" s="38">
        <f>IFERROR(COUNTIF([1]Village!$BR:$BR,표1[[#This Row],[명칭]]),"-")</f>
        <v>0</v>
      </c>
      <c r="M1325" s="38">
        <f>COUNTIF(퀘스트!B:B,표1[[#This Row],[명칭]])</f>
        <v>0</v>
      </c>
      <c r="N1325" s="65">
        <f>COUNTIF([1]VillageDiscoveryGroup!$C:$C,표1[[#This Row],[명칭]])</f>
        <v>0</v>
      </c>
      <c r="O1325" s="65">
        <f>SUM(표1[[#This Row],[해양탐색]:[마을탐험]])</f>
        <v>4</v>
      </c>
    </row>
    <row r="1326" spans="2:15" ht="13.5" customHeight="1" x14ac:dyDescent="0.3">
      <c r="B1326" s="9">
        <f>[1]Discovery!A1332</f>
        <v>70409409</v>
      </c>
      <c r="C1326" s="9" t="str">
        <f>[1]Discovery!B1332</f>
        <v>흑밀복</v>
      </c>
      <c r="D1326" s="9" t="str">
        <f>[1]Discovery!E1332</f>
        <v>동물</v>
      </c>
      <c r="E1326" s="9" t="str">
        <f>[1]Discovery!C1332</f>
        <v>어류</v>
      </c>
      <c r="F1326" s="9" t="str">
        <f>[1]Discovery!G1332</f>
        <v>D</v>
      </c>
      <c r="G1326" s="9" t="str">
        <f>IFERROR(VLOOKUP(표1[[#This Row],[명칭]],'문화권 정리'!C:D,2,FALSE),"-")</f>
        <v>어류</v>
      </c>
      <c r="H1326" s="38" t="str">
        <f>IFERROR(COUNTIF([2]OceanDoodad!$Y:$Y,표1[[#This Row],[명칭]]),"-")</f>
        <v>-</v>
      </c>
      <c r="I1326" s="38">
        <f>IFERROR(COUNTIF([1]AdventureDiscoveryGroup!$D$8:$AW$92,표1[[#This Row],[명칭]]),"-")</f>
        <v>0</v>
      </c>
      <c r="J1326" s="38">
        <f>IFERROR(COUNTIF([1]FishDiscoveryGroup!$A:$X,표1[[#This Row],[명칭]]),"-")</f>
        <v>0</v>
      </c>
      <c r="K1326" s="38" t="str">
        <f>IFERROR(COUNTIF([2]Town!$B:$B,표1[[#This Row],[명칭]]),"-")</f>
        <v>-</v>
      </c>
      <c r="L1326" s="38">
        <f>IFERROR(COUNTIF([1]Village!$BR:$BR,표1[[#This Row],[명칭]]),"-")</f>
        <v>0</v>
      </c>
      <c r="M1326" s="38">
        <f>COUNTIF(퀘스트!B:B,표1[[#This Row],[명칭]])</f>
        <v>0</v>
      </c>
      <c r="N1326" s="65">
        <f>COUNTIF([1]VillageDiscoveryGroup!$C:$C,표1[[#This Row],[명칭]])</f>
        <v>0</v>
      </c>
      <c r="O1326" s="65">
        <f>SUM(표1[[#This Row],[해양탐색]:[마을탐험]])</f>
        <v>0</v>
      </c>
    </row>
    <row r="1327" spans="2:15" ht="13.5" customHeight="1" x14ac:dyDescent="0.3">
      <c r="B1327" s="9">
        <f>[1]Discovery!A1333</f>
        <v>70409410</v>
      </c>
      <c r="C1327" s="9" t="str">
        <f>[1]Discovery!B1333</f>
        <v>흑새치</v>
      </c>
      <c r="D1327" s="9" t="str">
        <f>[1]Discovery!E1333</f>
        <v>동물</v>
      </c>
      <c r="E1327" s="9" t="str">
        <f>[1]Discovery!C1333</f>
        <v>어류</v>
      </c>
      <c r="F1327" s="9" t="str">
        <f>[1]Discovery!G1333</f>
        <v>D</v>
      </c>
      <c r="G1327" s="9" t="str">
        <f>IFERROR(VLOOKUP(표1[[#This Row],[명칭]],'문화권 정리'!C:D,2,FALSE),"-")</f>
        <v>어류</v>
      </c>
      <c r="H1327" s="38" t="str">
        <f>IFERROR(COUNTIF([2]OceanDoodad!$Y:$Y,표1[[#This Row],[명칭]]),"-")</f>
        <v>-</v>
      </c>
      <c r="I1327" s="38">
        <f>IFERROR(COUNTIF([1]AdventureDiscoveryGroup!$D$8:$AW$92,표1[[#This Row],[명칭]]),"-")</f>
        <v>0</v>
      </c>
      <c r="J1327" s="38">
        <f>IFERROR(COUNTIF([1]FishDiscoveryGroup!$A:$X,표1[[#This Row],[명칭]]),"-")</f>
        <v>4</v>
      </c>
      <c r="K1327" s="38" t="str">
        <f>IFERROR(COUNTIF([2]Town!$B:$B,표1[[#This Row],[명칭]]),"-")</f>
        <v>-</v>
      </c>
      <c r="L1327" s="38">
        <f>IFERROR(COUNTIF([1]Village!$BR:$BR,표1[[#This Row],[명칭]]),"-")</f>
        <v>0</v>
      </c>
      <c r="M1327" s="38">
        <f>COUNTIF(퀘스트!B:B,표1[[#This Row],[명칭]])</f>
        <v>0</v>
      </c>
      <c r="N1327" s="65">
        <f>COUNTIF([1]VillageDiscoveryGroup!$C:$C,표1[[#This Row],[명칭]])</f>
        <v>0</v>
      </c>
      <c r="O1327" s="65">
        <f>SUM(표1[[#This Row],[해양탐색]:[마을탐험]])</f>
        <v>4</v>
      </c>
    </row>
    <row r="1328" spans="2:15" ht="13.5" customHeight="1" x14ac:dyDescent="0.3">
      <c r="B1328" s="9">
        <f>[1]Discovery!A1334</f>
        <v>70409411</v>
      </c>
      <c r="C1328" s="9" t="str">
        <f>[1]Discovery!B1334</f>
        <v>흑점꺼끌복</v>
      </c>
      <c r="D1328" s="9" t="str">
        <f>[1]Discovery!E1334</f>
        <v>동물</v>
      </c>
      <c r="E1328" s="9" t="str">
        <f>[1]Discovery!C1334</f>
        <v>어류</v>
      </c>
      <c r="F1328" s="9" t="str">
        <f>[1]Discovery!G1334</f>
        <v>B</v>
      </c>
      <c r="G1328" s="9" t="str">
        <f>IFERROR(VLOOKUP(표1[[#This Row],[명칭]],'문화권 정리'!C:D,2,FALSE),"-")</f>
        <v>어류</v>
      </c>
      <c r="H1328" s="38" t="str">
        <f>IFERROR(COUNTIF([2]OceanDoodad!$Y:$Y,표1[[#This Row],[명칭]]),"-")</f>
        <v>-</v>
      </c>
      <c r="I1328" s="38">
        <f>IFERROR(COUNTIF([1]AdventureDiscoveryGroup!$D$8:$AW$92,표1[[#This Row],[명칭]]),"-")</f>
        <v>0</v>
      </c>
      <c r="J1328" s="38">
        <f>IFERROR(COUNTIF([1]FishDiscoveryGroup!$A:$X,표1[[#This Row],[명칭]]),"-")</f>
        <v>0</v>
      </c>
      <c r="K1328" s="38" t="str">
        <f>IFERROR(COUNTIF([2]Town!$B:$B,표1[[#This Row],[명칭]]),"-")</f>
        <v>-</v>
      </c>
      <c r="L1328" s="38">
        <f>IFERROR(COUNTIF([1]Village!$BR:$BR,표1[[#This Row],[명칭]]),"-")</f>
        <v>0</v>
      </c>
      <c r="M1328" s="38">
        <f>COUNTIF(퀘스트!B:B,표1[[#This Row],[명칭]])</f>
        <v>0</v>
      </c>
      <c r="N1328" s="65">
        <f>COUNTIF([1]VillageDiscoveryGroup!$C:$C,표1[[#This Row],[명칭]])</f>
        <v>0</v>
      </c>
      <c r="O1328" s="65">
        <f>SUM(표1[[#This Row],[해양탐색]:[마을탐험]])</f>
        <v>0</v>
      </c>
    </row>
    <row r="1329" spans="2:15" ht="13.5" customHeight="1" x14ac:dyDescent="0.3">
      <c r="B1329" s="9">
        <f>[1]Discovery!A1335</f>
        <v>70409412</v>
      </c>
      <c r="C1329" s="9" t="str">
        <f>[1]Discovery!B1335</f>
        <v>흑조기</v>
      </c>
      <c r="D1329" s="9" t="str">
        <f>[1]Discovery!E1335</f>
        <v>동물</v>
      </c>
      <c r="E1329" s="9" t="str">
        <f>[1]Discovery!C1335</f>
        <v>어류</v>
      </c>
      <c r="F1329" s="9" t="str">
        <f>[1]Discovery!G1335</f>
        <v>B</v>
      </c>
      <c r="G1329" s="9" t="str">
        <f>IFERROR(VLOOKUP(표1[[#This Row],[명칭]],'문화권 정리'!C:D,2,FALSE),"-")</f>
        <v>어류</v>
      </c>
      <c r="H1329" s="38" t="str">
        <f>IFERROR(COUNTIF([2]OceanDoodad!$Y:$Y,표1[[#This Row],[명칭]]),"-")</f>
        <v>-</v>
      </c>
      <c r="I1329" s="38">
        <f>IFERROR(COUNTIF([1]AdventureDiscoveryGroup!$D$8:$AW$92,표1[[#This Row],[명칭]]),"-")</f>
        <v>0</v>
      </c>
      <c r="J1329" s="38">
        <f>IFERROR(COUNTIF([1]FishDiscoveryGroup!$A:$X,표1[[#This Row],[명칭]]),"-")</f>
        <v>0</v>
      </c>
      <c r="K1329" s="38" t="str">
        <f>IFERROR(COUNTIF([2]Town!$B:$B,표1[[#This Row],[명칭]]),"-")</f>
        <v>-</v>
      </c>
      <c r="L1329" s="38">
        <f>IFERROR(COUNTIF([1]Village!$BR:$BR,표1[[#This Row],[명칭]]),"-")</f>
        <v>0</v>
      </c>
      <c r="M1329" s="38">
        <f>COUNTIF(퀘스트!B:B,표1[[#This Row],[명칭]])</f>
        <v>0</v>
      </c>
      <c r="N1329" s="65">
        <f>COUNTIF([1]VillageDiscoveryGroup!$C:$C,표1[[#This Row],[명칭]])</f>
        <v>0</v>
      </c>
      <c r="O1329" s="65">
        <f>SUM(표1[[#This Row],[해양탐색]:[마을탐험]])</f>
        <v>0</v>
      </c>
    </row>
    <row r="1330" spans="2:15" ht="13.5" customHeight="1" x14ac:dyDescent="0.3">
      <c r="B1330" s="9">
        <f>[1]Discovery!A1336</f>
        <v>70409413</v>
      </c>
      <c r="C1330" s="9" t="str">
        <f>[1]Discovery!B1336</f>
        <v>흑줄돔</v>
      </c>
      <c r="D1330" s="9" t="str">
        <f>[1]Discovery!E1336</f>
        <v>동물</v>
      </c>
      <c r="E1330" s="9" t="str">
        <f>[1]Discovery!C1336</f>
        <v>어류</v>
      </c>
      <c r="F1330" s="9" t="str">
        <f>[1]Discovery!G1336</f>
        <v>D</v>
      </c>
      <c r="G1330" s="9" t="str">
        <f>IFERROR(VLOOKUP(표1[[#This Row],[명칭]],'문화권 정리'!C:D,2,FALSE),"-")</f>
        <v>어류</v>
      </c>
      <c r="H1330" s="38" t="str">
        <f>IFERROR(COUNTIF([2]OceanDoodad!$Y:$Y,표1[[#This Row],[명칭]]),"-")</f>
        <v>-</v>
      </c>
      <c r="I1330" s="38">
        <f>IFERROR(COUNTIF([1]AdventureDiscoveryGroup!$D$8:$AW$92,표1[[#This Row],[명칭]]),"-")</f>
        <v>0</v>
      </c>
      <c r="J1330" s="38">
        <f>IFERROR(COUNTIF([1]FishDiscoveryGroup!$A:$X,표1[[#This Row],[명칭]]),"-")</f>
        <v>4</v>
      </c>
      <c r="K1330" s="38" t="str">
        <f>IFERROR(COUNTIF([2]Town!$B:$B,표1[[#This Row],[명칭]]),"-")</f>
        <v>-</v>
      </c>
      <c r="L1330" s="38">
        <f>IFERROR(COUNTIF([1]Village!$BR:$BR,표1[[#This Row],[명칭]]),"-")</f>
        <v>0</v>
      </c>
      <c r="M1330" s="38">
        <f>COUNTIF(퀘스트!B:B,표1[[#This Row],[명칭]])</f>
        <v>0</v>
      </c>
      <c r="N1330" s="65">
        <f>COUNTIF([1]VillageDiscoveryGroup!$C:$C,표1[[#This Row],[명칭]])</f>
        <v>0</v>
      </c>
      <c r="O1330" s="65">
        <f>SUM(표1[[#This Row],[해양탐색]:[마을탐험]])</f>
        <v>4</v>
      </c>
    </row>
    <row r="1331" spans="2:15" ht="13.5" customHeight="1" x14ac:dyDescent="0.3">
      <c r="B1331" s="9">
        <f>[1]Discovery!A1337</f>
        <v>70409414</v>
      </c>
      <c r="C1331" s="9" t="str">
        <f>[1]Discovery!B1337</f>
        <v>흡혈메기</v>
      </c>
      <c r="D1331" s="9" t="str">
        <f>[1]Discovery!E1337</f>
        <v>동물</v>
      </c>
      <c r="E1331" s="9" t="str">
        <f>[1]Discovery!C1337</f>
        <v>어류</v>
      </c>
      <c r="F1331" s="9" t="str">
        <f>[1]Discovery!G1337</f>
        <v>B</v>
      </c>
      <c r="G1331" s="9" t="str">
        <f>IFERROR(VLOOKUP(표1[[#This Row],[명칭]],'문화권 정리'!C:D,2,FALSE),"-")</f>
        <v>어류</v>
      </c>
      <c r="H1331" s="38" t="str">
        <f>IFERROR(COUNTIF([2]OceanDoodad!$Y:$Y,표1[[#This Row],[명칭]]),"-")</f>
        <v>-</v>
      </c>
      <c r="I1331" s="38">
        <f>IFERROR(COUNTIF([1]AdventureDiscoveryGroup!$D$8:$AW$92,표1[[#This Row],[명칭]]),"-")</f>
        <v>0</v>
      </c>
      <c r="J1331" s="38">
        <f>IFERROR(COUNTIF([1]FishDiscoveryGroup!$A:$X,표1[[#This Row],[명칭]]),"-")</f>
        <v>4</v>
      </c>
      <c r="K1331" s="38" t="str">
        <f>IFERROR(COUNTIF([2]Town!$B:$B,표1[[#This Row],[명칭]]),"-")</f>
        <v>-</v>
      </c>
      <c r="L1331" s="38">
        <f>IFERROR(COUNTIF([1]Village!$BR:$BR,표1[[#This Row],[명칭]]),"-")</f>
        <v>0</v>
      </c>
      <c r="M1331" s="38">
        <f>COUNTIF(퀘스트!B:B,표1[[#This Row],[명칭]])</f>
        <v>0</v>
      </c>
      <c r="N1331" s="65">
        <f>COUNTIF([1]VillageDiscoveryGroup!$C:$C,표1[[#This Row],[명칭]])</f>
        <v>0</v>
      </c>
      <c r="O1331" s="65">
        <f>SUM(표1[[#This Row],[해양탐색]:[마을탐험]])</f>
        <v>4</v>
      </c>
    </row>
    <row r="1332" spans="2:15" ht="13.5" customHeight="1" x14ac:dyDescent="0.3">
      <c r="B1332" s="9">
        <f>[1]Discovery!A1338</f>
        <v>70409415</v>
      </c>
      <c r="C1332" s="9" t="str">
        <f>[1]Discovery!B1338</f>
        <v>흰동가리</v>
      </c>
      <c r="D1332" s="9" t="str">
        <f>[1]Discovery!E1338</f>
        <v>동물</v>
      </c>
      <c r="E1332" s="9" t="str">
        <f>[1]Discovery!C1338</f>
        <v>어류</v>
      </c>
      <c r="F1332" s="9" t="str">
        <f>[1]Discovery!G1338</f>
        <v>D</v>
      </c>
      <c r="G1332" s="9" t="str">
        <f>IFERROR(VLOOKUP(표1[[#This Row],[명칭]],'문화권 정리'!C:D,2,FALSE),"-")</f>
        <v>어류</v>
      </c>
      <c r="H1332" s="38" t="str">
        <f>IFERROR(COUNTIF([2]OceanDoodad!$Y:$Y,표1[[#This Row],[명칭]]),"-")</f>
        <v>-</v>
      </c>
      <c r="I1332" s="38">
        <f>IFERROR(COUNTIF([1]AdventureDiscoveryGroup!$D$8:$AW$92,표1[[#This Row],[명칭]]),"-")</f>
        <v>0</v>
      </c>
      <c r="J1332" s="38">
        <f>IFERROR(COUNTIF([1]FishDiscoveryGroup!$A:$X,표1[[#This Row],[명칭]]),"-")</f>
        <v>4</v>
      </c>
      <c r="K1332" s="38" t="str">
        <f>IFERROR(COUNTIF([2]Town!$B:$B,표1[[#This Row],[명칭]]),"-")</f>
        <v>-</v>
      </c>
      <c r="L1332" s="38">
        <f>IFERROR(COUNTIF([1]Village!$BR:$BR,표1[[#This Row],[명칭]]),"-")</f>
        <v>0</v>
      </c>
      <c r="M1332" s="38">
        <f>COUNTIF(퀘스트!B:B,표1[[#This Row],[명칭]])</f>
        <v>0</v>
      </c>
      <c r="N1332" s="65">
        <f>COUNTIF([1]VillageDiscoveryGroup!$C:$C,표1[[#This Row],[명칭]])</f>
        <v>0</v>
      </c>
      <c r="O1332" s="65">
        <f>SUM(표1[[#This Row],[해양탐색]:[마을탐험]])</f>
        <v>4</v>
      </c>
    </row>
    <row r="1333" spans="2:15" ht="13.5" customHeight="1" x14ac:dyDescent="0.3">
      <c r="B1333" s="9">
        <f>[1]Discovery!A1339</f>
        <v>70409416</v>
      </c>
      <c r="C1333" s="9" t="str">
        <f>[1]Discovery!B1339</f>
        <v>흰배환도상어</v>
      </c>
      <c r="D1333" s="9" t="str">
        <f>[1]Discovery!E1339</f>
        <v>동물</v>
      </c>
      <c r="E1333" s="9" t="str">
        <f>[1]Discovery!C1339</f>
        <v>어류</v>
      </c>
      <c r="F1333" s="9" t="str">
        <f>[1]Discovery!G1339</f>
        <v>S</v>
      </c>
      <c r="G1333" s="9" t="str">
        <f>IFERROR(VLOOKUP(표1[[#This Row],[명칭]],'문화권 정리'!C:D,2,FALSE),"-")</f>
        <v>어류</v>
      </c>
      <c r="H1333" s="38" t="str">
        <f>IFERROR(COUNTIF([2]OceanDoodad!$Y:$Y,표1[[#This Row],[명칭]]),"-")</f>
        <v>-</v>
      </c>
      <c r="I1333" s="38">
        <f>IFERROR(COUNTIF([1]AdventureDiscoveryGroup!$D$8:$AW$92,표1[[#This Row],[명칭]]),"-")</f>
        <v>0</v>
      </c>
      <c r="J1333" s="38">
        <f>IFERROR(COUNTIF([1]FishDiscoveryGroup!$A:$X,표1[[#This Row],[명칭]]),"-")</f>
        <v>4</v>
      </c>
      <c r="K1333" s="38" t="str">
        <f>IFERROR(COUNTIF([2]Town!$B:$B,표1[[#This Row],[명칭]]),"-")</f>
        <v>-</v>
      </c>
      <c r="L1333" s="38">
        <f>IFERROR(COUNTIF([1]Village!$BR:$BR,표1[[#This Row],[명칭]]),"-")</f>
        <v>0</v>
      </c>
      <c r="M1333" s="38">
        <f>COUNTIF(퀘스트!B:B,표1[[#This Row],[명칭]])</f>
        <v>0</v>
      </c>
      <c r="N1333" s="65">
        <f>COUNTIF([1]VillageDiscoveryGroup!$C:$C,표1[[#This Row],[명칭]])</f>
        <v>0</v>
      </c>
      <c r="O1333" s="65">
        <f>SUM(표1[[#This Row],[해양탐색]:[마을탐험]])</f>
        <v>4</v>
      </c>
    </row>
    <row r="1334" spans="2:15" ht="13.5" customHeight="1" x14ac:dyDescent="0.3">
      <c r="B1334" s="9">
        <f>[1]Discovery!A1340</f>
        <v>70409417</v>
      </c>
      <c r="C1334" s="9" t="str">
        <f>[1]Discovery!B1340</f>
        <v>흰빨판이</v>
      </c>
      <c r="D1334" s="9" t="str">
        <f>[1]Discovery!E1340</f>
        <v>동물</v>
      </c>
      <c r="E1334" s="9" t="str">
        <f>[1]Discovery!C1340</f>
        <v>어류</v>
      </c>
      <c r="F1334" s="9" t="str">
        <f>[1]Discovery!G1340</f>
        <v>C</v>
      </c>
      <c r="G1334" s="9" t="str">
        <f>IFERROR(VLOOKUP(표1[[#This Row],[명칭]],'문화권 정리'!C:D,2,FALSE),"-")</f>
        <v>어류</v>
      </c>
      <c r="H1334" s="38" t="str">
        <f>IFERROR(COUNTIF([2]OceanDoodad!$Y:$Y,표1[[#This Row],[명칭]]),"-")</f>
        <v>-</v>
      </c>
      <c r="I1334" s="38">
        <f>IFERROR(COUNTIF([1]AdventureDiscoveryGroup!$D$8:$AW$92,표1[[#This Row],[명칭]]),"-")</f>
        <v>0</v>
      </c>
      <c r="J1334" s="38">
        <f>IFERROR(COUNTIF([1]FishDiscoveryGroup!$A:$X,표1[[#This Row],[명칭]]),"-")</f>
        <v>4</v>
      </c>
      <c r="K1334" s="38" t="str">
        <f>IFERROR(COUNTIF([2]Town!$B:$B,표1[[#This Row],[명칭]]),"-")</f>
        <v>-</v>
      </c>
      <c r="L1334" s="38">
        <f>IFERROR(COUNTIF([1]Village!$BR:$BR,표1[[#This Row],[명칭]]),"-")</f>
        <v>0</v>
      </c>
      <c r="M1334" s="38">
        <f>COUNTIF(퀘스트!B:B,표1[[#This Row],[명칭]])</f>
        <v>0</v>
      </c>
      <c r="N1334" s="65">
        <f>COUNTIF([1]VillageDiscoveryGroup!$C:$C,표1[[#This Row],[명칭]])</f>
        <v>0</v>
      </c>
      <c r="O1334" s="65">
        <f>SUM(표1[[#This Row],[해양탐색]:[마을탐험]])</f>
        <v>4</v>
      </c>
    </row>
    <row r="1335" spans="2:15" ht="13.5" customHeight="1" x14ac:dyDescent="0.3">
      <c r="B1335" s="9">
        <f>[1]Discovery!A1341</f>
        <v>70409418</v>
      </c>
      <c r="C1335" s="9" t="str">
        <f>[1]Discovery!B1341</f>
        <v>흰수염고래</v>
      </c>
      <c r="D1335" s="9" t="str">
        <f>[1]Discovery!E1341</f>
        <v>동물</v>
      </c>
      <c r="E1335" s="9" t="str">
        <f>[1]Discovery!C1341</f>
        <v>포유류</v>
      </c>
      <c r="F1335" s="9" t="str">
        <f>[1]Discovery!G1341</f>
        <v>S</v>
      </c>
      <c r="G1335" s="9" t="str">
        <f>IFERROR(VLOOKUP(표1[[#This Row],[명칭]],'문화권 정리'!C:D,2,FALSE),"-")</f>
        <v>어류</v>
      </c>
      <c r="H1335" s="38" t="str">
        <f>IFERROR(COUNTIF([2]OceanDoodad!$Y:$Y,표1[[#This Row],[명칭]]),"-")</f>
        <v>-</v>
      </c>
      <c r="I1335" s="38">
        <f>IFERROR(COUNTIF([1]AdventureDiscoveryGroup!$D$8:$AW$92,표1[[#This Row],[명칭]]),"-")</f>
        <v>0</v>
      </c>
      <c r="J1335" s="38">
        <f>IFERROR(COUNTIF([1]FishDiscoveryGroup!$A:$X,표1[[#This Row],[명칭]]),"-")</f>
        <v>0</v>
      </c>
      <c r="K1335" s="38" t="str">
        <f>IFERROR(COUNTIF([2]Town!$B:$B,표1[[#This Row],[명칭]]),"-")</f>
        <v>-</v>
      </c>
      <c r="L1335" s="38">
        <f>IFERROR(COUNTIF([1]Village!$BR:$BR,표1[[#This Row],[명칭]]),"-")</f>
        <v>0</v>
      </c>
      <c r="M1335" s="38">
        <f>COUNTIF(퀘스트!B:B,표1[[#This Row],[명칭]])</f>
        <v>1</v>
      </c>
      <c r="N1335" s="65">
        <f>COUNTIF([1]VillageDiscoveryGroup!$C:$C,표1[[#This Row],[명칭]])</f>
        <v>0</v>
      </c>
      <c r="O1335" s="65">
        <f>SUM(표1[[#This Row],[해양탐색]:[마을탐험]])</f>
        <v>1</v>
      </c>
    </row>
    <row r="1336" spans="2:15" ht="13.5" customHeight="1" x14ac:dyDescent="0.3">
      <c r="B1336" s="9">
        <f>[1]Discovery!A1342</f>
        <v>70409419</v>
      </c>
      <c r="C1336" s="9" t="str">
        <f>[1]Discovery!B1342</f>
        <v>흰점꺼끌복</v>
      </c>
      <c r="D1336" s="9" t="str">
        <f>[1]Discovery!E1342</f>
        <v>동물</v>
      </c>
      <c r="E1336" s="9" t="str">
        <f>[1]Discovery!C1342</f>
        <v>어류</v>
      </c>
      <c r="F1336" s="9" t="str">
        <f>[1]Discovery!G1342</f>
        <v>D</v>
      </c>
      <c r="G1336" s="9" t="str">
        <f>IFERROR(VLOOKUP(표1[[#This Row],[명칭]],'문화권 정리'!C:D,2,FALSE),"-")</f>
        <v>어류</v>
      </c>
      <c r="H1336" s="38" t="str">
        <f>IFERROR(COUNTIF([2]OceanDoodad!$Y:$Y,표1[[#This Row],[명칭]]),"-")</f>
        <v>-</v>
      </c>
      <c r="I1336" s="38">
        <f>IFERROR(COUNTIF([1]AdventureDiscoveryGroup!$D$8:$AW$92,표1[[#This Row],[명칭]]),"-")</f>
        <v>0</v>
      </c>
      <c r="J1336" s="38">
        <f>IFERROR(COUNTIF([1]FishDiscoveryGroup!$A:$X,표1[[#This Row],[명칭]]),"-")</f>
        <v>4</v>
      </c>
      <c r="K1336" s="38" t="str">
        <f>IFERROR(COUNTIF([2]Town!$B:$B,표1[[#This Row],[명칭]]),"-")</f>
        <v>-</v>
      </c>
      <c r="L1336" s="38">
        <f>IFERROR(COUNTIF([1]Village!$BR:$BR,표1[[#This Row],[명칭]]),"-")</f>
        <v>0</v>
      </c>
      <c r="M1336" s="38">
        <f>COUNTIF(퀘스트!B:B,표1[[#This Row],[명칭]])</f>
        <v>0</v>
      </c>
      <c r="N1336" s="65">
        <f>COUNTIF([1]VillageDiscoveryGroup!$C:$C,표1[[#This Row],[명칭]])</f>
        <v>0</v>
      </c>
      <c r="O1336" s="65">
        <f>SUM(표1[[#This Row],[해양탐색]:[마을탐험]])</f>
        <v>4</v>
      </c>
    </row>
    <row r="1337" spans="2:15" ht="13.5" customHeight="1" x14ac:dyDescent="0.3">
      <c r="B1337" s="9">
        <f>[1]Discovery!A1343</f>
        <v>70409420</v>
      </c>
      <c r="C1337" s="9" t="str">
        <f>[1]Discovery!B1343</f>
        <v>아델리 펭귄</v>
      </c>
      <c r="D1337" s="9" t="str">
        <f>[1]Discovery!E1343</f>
        <v>동물</v>
      </c>
      <c r="E1337" s="9" t="str">
        <f>[1]Discovery!C1343</f>
        <v>조류</v>
      </c>
      <c r="F1337" s="9" t="str">
        <f>[1]Discovery!G1343</f>
        <v>S</v>
      </c>
      <c r="G1337" s="9" t="str">
        <f>IFERROR(VLOOKUP(표1[[#This Row],[명칭]],'문화권 정리'!C:D,2,FALSE),"-")</f>
        <v>극지방</v>
      </c>
      <c r="H1337" s="38" t="str">
        <f>IFERROR(COUNTIF([2]OceanDoodad!$Y:$Y,표1[[#This Row],[명칭]]),"-")</f>
        <v>-</v>
      </c>
      <c r="I1337" s="38">
        <f>IFERROR(COUNTIF([1]AdventureDiscoveryGroup!$D$8:$AW$92,표1[[#This Row],[명칭]]),"-")</f>
        <v>0</v>
      </c>
      <c r="J1337" s="38">
        <f>IFERROR(COUNTIF([1]FishDiscoveryGroup!$A:$X,표1[[#This Row],[명칭]]),"-")</f>
        <v>0</v>
      </c>
      <c r="K1337" s="38" t="str">
        <f>IFERROR(COUNTIF([2]Town!$B:$B,표1[[#This Row],[명칭]]),"-")</f>
        <v>-</v>
      </c>
      <c r="L1337" s="38">
        <f>IFERROR(COUNTIF([1]Village!$BR:$BR,표1[[#This Row],[명칭]]),"-")</f>
        <v>0</v>
      </c>
      <c r="M1337" s="38">
        <f>COUNTIF(퀘스트!B:B,표1[[#This Row],[명칭]])</f>
        <v>0</v>
      </c>
      <c r="N1337" s="65">
        <f>COUNTIF([1]VillageDiscoveryGroup!$C:$C,표1[[#This Row],[명칭]])</f>
        <v>0</v>
      </c>
      <c r="O1337" s="65">
        <f>SUM(표1[[#This Row],[해양탐색]:[마을탐험]])</f>
        <v>0</v>
      </c>
    </row>
    <row r="1338" spans="2:15" ht="13.5" customHeight="1" x14ac:dyDescent="0.3">
      <c r="B1338" s="9">
        <f>[1]Discovery!A1344</f>
        <v>70409421</v>
      </c>
      <c r="C1338" s="9" t="str">
        <f>[1]Discovery!B1344</f>
        <v>남방코끼리물범</v>
      </c>
      <c r="D1338" s="9" t="str">
        <f>[1]Discovery!E1344</f>
        <v>동물</v>
      </c>
      <c r="E1338" s="9" t="str">
        <f>[1]Discovery!C1344</f>
        <v>포유류</v>
      </c>
      <c r="F1338" s="9" t="str">
        <f>[1]Discovery!G1344</f>
        <v>A</v>
      </c>
      <c r="G1338" s="9" t="str">
        <f>IFERROR(VLOOKUP(표1[[#This Row],[명칭]],'문화권 정리'!C:D,2,FALSE),"-")</f>
        <v>극지방</v>
      </c>
      <c r="H1338" s="38" t="str">
        <f>IFERROR(COUNTIF([2]OceanDoodad!$Y:$Y,표1[[#This Row],[명칭]]),"-")</f>
        <v>-</v>
      </c>
      <c r="I1338" s="38">
        <f>IFERROR(COUNTIF([1]AdventureDiscoveryGroup!$D$8:$AW$92,표1[[#This Row],[명칭]]),"-")</f>
        <v>1</v>
      </c>
      <c r="J1338" s="38">
        <f>IFERROR(COUNTIF([1]FishDiscoveryGroup!$A:$X,표1[[#This Row],[명칭]]),"-")</f>
        <v>0</v>
      </c>
      <c r="K1338" s="38" t="str">
        <f>IFERROR(COUNTIF([2]Town!$B:$B,표1[[#This Row],[명칭]]),"-")</f>
        <v>-</v>
      </c>
      <c r="L1338" s="38">
        <f>IFERROR(COUNTIF([1]Village!$BR:$BR,표1[[#This Row],[명칭]]),"-")</f>
        <v>0</v>
      </c>
      <c r="M1338" s="38">
        <f>COUNTIF(퀘스트!B:B,표1[[#This Row],[명칭]])</f>
        <v>0</v>
      </c>
      <c r="N1338" s="65">
        <f>COUNTIF([1]VillageDiscoveryGroup!$C:$C,표1[[#This Row],[명칭]])</f>
        <v>0</v>
      </c>
      <c r="O1338" s="65">
        <f>SUM(표1[[#This Row],[해양탐색]:[마을탐험]])</f>
        <v>1</v>
      </c>
    </row>
    <row r="1339" spans="2:15" ht="13.5" customHeight="1" x14ac:dyDescent="0.3">
      <c r="B1339" s="9">
        <f>[1]Discovery!A1345</f>
        <v>70409422</v>
      </c>
      <c r="C1339" s="9" t="str">
        <f>[1]Discovery!B1345</f>
        <v>웨들해물범</v>
      </c>
      <c r="D1339" s="9" t="str">
        <f>[1]Discovery!E1345</f>
        <v>동물</v>
      </c>
      <c r="E1339" s="9" t="str">
        <f>[1]Discovery!C1345</f>
        <v>포유류</v>
      </c>
      <c r="F1339" s="9" t="str">
        <f>[1]Discovery!G1345</f>
        <v>B</v>
      </c>
      <c r="G1339" s="9" t="str">
        <f>IFERROR(VLOOKUP(표1[[#This Row],[명칭]],'문화권 정리'!C:D,2,FALSE),"-")</f>
        <v>극지방</v>
      </c>
      <c r="H1339" s="38" t="str">
        <f>IFERROR(COUNTIF([2]OceanDoodad!$Y:$Y,표1[[#This Row],[명칭]]),"-")</f>
        <v>-</v>
      </c>
      <c r="I1339" s="38">
        <f>IFERROR(COUNTIF([1]AdventureDiscoveryGroup!$D$8:$AW$92,표1[[#This Row],[명칭]]),"-")</f>
        <v>0</v>
      </c>
      <c r="J1339" s="38">
        <f>IFERROR(COUNTIF([1]FishDiscoveryGroup!$A:$X,표1[[#This Row],[명칭]]),"-")</f>
        <v>0</v>
      </c>
      <c r="K1339" s="38" t="str">
        <f>IFERROR(COUNTIF([2]Town!$B:$B,표1[[#This Row],[명칭]]),"-")</f>
        <v>-</v>
      </c>
      <c r="L1339" s="38">
        <f>IFERROR(COUNTIF([1]Village!$BR:$BR,표1[[#This Row],[명칭]]),"-")</f>
        <v>0</v>
      </c>
      <c r="M1339" s="38">
        <f>COUNTIF(퀘스트!B:B,표1[[#This Row],[명칭]])</f>
        <v>0</v>
      </c>
      <c r="N1339" s="65">
        <f>COUNTIF([1]VillageDiscoveryGroup!$C:$C,표1[[#This Row],[명칭]])</f>
        <v>0</v>
      </c>
      <c r="O1339" s="65">
        <f>SUM(표1[[#This Row],[해양탐색]:[마을탐험]])</f>
        <v>0</v>
      </c>
    </row>
    <row r="1340" spans="2:15" ht="13.5" customHeight="1" x14ac:dyDescent="0.3">
      <c r="B1340" s="9">
        <f>[1]Discovery!A1346</f>
        <v>70409423</v>
      </c>
      <c r="C1340" s="9" t="str">
        <f>[1]Discovery!B1346</f>
        <v>얼룩무늬물범</v>
      </c>
      <c r="D1340" s="9" t="str">
        <f>[1]Discovery!E1346</f>
        <v>동물</v>
      </c>
      <c r="E1340" s="9" t="str">
        <f>[1]Discovery!C1346</f>
        <v>포유류</v>
      </c>
      <c r="F1340" s="9" t="str">
        <f>[1]Discovery!G1346</f>
        <v>A</v>
      </c>
      <c r="G1340" s="9" t="str">
        <f>IFERROR(VLOOKUP(표1[[#This Row],[명칭]],'문화권 정리'!C:D,2,FALSE),"-")</f>
        <v>극지방</v>
      </c>
      <c r="H1340" s="38" t="str">
        <f>IFERROR(COUNTIF([2]OceanDoodad!$Y:$Y,표1[[#This Row],[명칭]]),"-")</f>
        <v>-</v>
      </c>
      <c r="I1340" s="38">
        <f>IFERROR(COUNTIF([1]AdventureDiscoveryGroup!$D$8:$AW$92,표1[[#This Row],[명칭]]),"-")</f>
        <v>0</v>
      </c>
      <c r="J1340" s="38">
        <f>IFERROR(COUNTIF([1]FishDiscoveryGroup!$A:$X,표1[[#This Row],[명칭]]),"-")</f>
        <v>0</v>
      </c>
      <c r="K1340" s="38" t="str">
        <f>IFERROR(COUNTIF([2]Town!$B:$B,표1[[#This Row],[명칭]]),"-")</f>
        <v>-</v>
      </c>
      <c r="L1340" s="38">
        <f>IFERROR(COUNTIF([1]Village!$BR:$BR,표1[[#This Row],[명칭]]),"-")</f>
        <v>0</v>
      </c>
      <c r="M1340" s="38">
        <f>COUNTIF(퀘스트!B:B,표1[[#This Row],[명칭]])</f>
        <v>0</v>
      </c>
      <c r="N1340" s="65">
        <f>COUNTIF([1]VillageDiscoveryGroup!$C:$C,표1[[#This Row],[명칭]])</f>
        <v>0</v>
      </c>
      <c r="O1340" s="65">
        <f>SUM(표1[[#This Row],[해양탐색]:[마을탐험]])</f>
        <v>0</v>
      </c>
    </row>
    <row r="1341" spans="2:15" ht="13.5" customHeight="1" x14ac:dyDescent="0.3">
      <c r="B1341" s="9">
        <f>[1]Discovery!A1347</f>
        <v>70409424</v>
      </c>
      <c r="C1341" s="9" t="str">
        <f>[1]Discovery!B1347</f>
        <v>남극물개</v>
      </c>
      <c r="D1341" s="9" t="str">
        <f>[1]Discovery!E1347</f>
        <v>동물</v>
      </c>
      <c r="E1341" s="9" t="str">
        <f>[1]Discovery!C1347</f>
        <v>포유류</v>
      </c>
      <c r="F1341" s="9" t="str">
        <f>[1]Discovery!G1347</f>
        <v>C</v>
      </c>
      <c r="G1341" s="9" t="str">
        <f>IFERROR(VLOOKUP(표1[[#This Row],[명칭]],'문화권 정리'!C:D,2,FALSE),"-")</f>
        <v>극지방</v>
      </c>
      <c r="H1341" s="38" t="str">
        <f>IFERROR(COUNTIF([2]OceanDoodad!$Y:$Y,표1[[#This Row],[명칭]]),"-")</f>
        <v>-</v>
      </c>
      <c r="I1341" s="38">
        <f>IFERROR(COUNTIF([1]AdventureDiscoveryGroup!$D$8:$AW$92,표1[[#This Row],[명칭]]),"-")</f>
        <v>0</v>
      </c>
      <c r="J1341" s="38">
        <f>IFERROR(COUNTIF([1]FishDiscoveryGroup!$A:$X,표1[[#This Row],[명칭]]),"-")</f>
        <v>0</v>
      </c>
      <c r="K1341" s="38" t="str">
        <f>IFERROR(COUNTIF([2]Town!$B:$B,표1[[#This Row],[명칭]]),"-")</f>
        <v>-</v>
      </c>
      <c r="L1341" s="38">
        <f>IFERROR(COUNTIF([1]Village!$BR:$BR,표1[[#This Row],[명칭]]),"-")</f>
        <v>0</v>
      </c>
      <c r="M1341" s="38">
        <f>COUNTIF(퀘스트!B:B,표1[[#This Row],[명칭]])</f>
        <v>0</v>
      </c>
      <c r="N1341" s="65">
        <f>COUNTIF([1]VillageDiscoveryGroup!$C:$C,표1[[#This Row],[명칭]])</f>
        <v>2</v>
      </c>
      <c r="O1341" s="65">
        <f>SUM(표1[[#This Row],[해양탐색]:[마을탐험]])</f>
        <v>2</v>
      </c>
    </row>
    <row r="1342" spans="2:15" ht="13.5" customHeight="1" x14ac:dyDescent="0.3">
      <c r="B1342" s="9">
        <f>[1]Discovery!A1348</f>
        <v>70409425</v>
      </c>
      <c r="C1342" s="9" t="str">
        <f>[1]Discovery!B1348</f>
        <v>모래시계돌고래</v>
      </c>
      <c r="D1342" s="9" t="str">
        <f>[1]Discovery!E1348</f>
        <v>동물</v>
      </c>
      <c r="E1342" s="9" t="str">
        <f>[1]Discovery!C1348</f>
        <v>포유류</v>
      </c>
      <c r="F1342" s="9" t="str">
        <f>[1]Discovery!G1348</f>
        <v>B</v>
      </c>
      <c r="G1342" s="9" t="str">
        <f>IFERROR(VLOOKUP(표1[[#This Row],[명칭]],'문화권 정리'!C:D,2,FALSE),"-")</f>
        <v>극지방</v>
      </c>
      <c r="H1342" s="38" t="str">
        <f>IFERROR(COUNTIF([2]OceanDoodad!$Y:$Y,표1[[#This Row],[명칭]]),"-")</f>
        <v>-</v>
      </c>
      <c r="I1342" s="38">
        <f>IFERROR(COUNTIF([1]AdventureDiscoveryGroup!$D$8:$AW$92,표1[[#This Row],[명칭]]),"-")</f>
        <v>0</v>
      </c>
      <c r="J1342" s="38">
        <f>IFERROR(COUNTIF([1]FishDiscoveryGroup!$A:$X,표1[[#This Row],[명칭]]),"-")</f>
        <v>0</v>
      </c>
      <c r="K1342" s="38" t="str">
        <f>IFERROR(COUNTIF([2]Town!$B:$B,표1[[#This Row],[명칭]]),"-")</f>
        <v>-</v>
      </c>
      <c r="L1342" s="38">
        <f>IFERROR(COUNTIF([1]Village!$BR:$BR,표1[[#This Row],[명칭]]),"-")</f>
        <v>0</v>
      </c>
      <c r="M1342" s="38">
        <f>COUNTIF(퀘스트!B:B,표1[[#This Row],[명칭]])</f>
        <v>0</v>
      </c>
      <c r="N1342" s="65">
        <f>COUNTIF([1]VillageDiscoveryGroup!$C:$C,표1[[#This Row],[명칭]])</f>
        <v>0</v>
      </c>
      <c r="O1342" s="65">
        <f>SUM(표1[[#This Row],[해양탐색]:[마을탐험]])</f>
        <v>0</v>
      </c>
    </row>
    <row r="1343" spans="2:15" ht="13.5" customHeight="1" x14ac:dyDescent="0.3">
      <c r="B1343" s="9">
        <f>[1]Discovery!A1349</f>
        <v>70409426</v>
      </c>
      <c r="C1343" s="9" t="str">
        <f>[1]Discovery!B1349</f>
        <v>북극토끼</v>
      </c>
      <c r="D1343" s="9" t="str">
        <f>[1]Discovery!E1349</f>
        <v>동물</v>
      </c>
      <c r="E1343" s="9" t="str">
        <f>[1]Discovery!C1349</f>
        <v>포유류</v>
      </c>
      <c r="F1343" s="9" t="str">
        <f>[1]Discovery!G1349</f>
        <v>C</v>
      </c>
      <c r="G1343" s="9" t="str">
        <f>IFERROR(VLOOKUP(표1[[#This Row],[명칭]],'문화권 정리'!C:D,2,FALSE),"-")</f>
        <v>극지방</v>
      </c>
      <c r="H1343" s="38" t="str">
        <f>IFERROR(COUNTIF([2]OceanDoodad!$Y:$Y,표1[[#This Row],[명칭]]),"-")</f>
        <v>-</v>
      </c>
      <c r="I1343" s="38">
        <f>IFERROR(COUNTIF([1]AdventureDiscoveryGroup!$D$8:$AW$92,표1[[#This Row],[명칭]]),"-")</f>
        <v>0</v>
      </c>
      <c r="J1343" s="38">
        <f>IFERROR(COUNTIF([1]FishDiscoveryGroup!$A:$X,표1[[#This Row],[명칭]]),"-")</f>
        <v>0</v>
      </c>
      <c r="K1343" s="38" t="str">
        <f>IFERROR(COUNTIF([2]Town!$B:$B,표1[[#This Row],[명칭]]),"-")</f>
        <v>-</v>
      </c>
      <c r="L1343" s="38">
        <f>IFERROR(COUNTIF([1]Village!$BR:$BR,표1[[#This Row],[명칭]]),"-")</f>
        <v>0</v>
      </c>
      <c r="M1343" s="38">
        <f>COUNTIF(퀘스트!B:B,표1[[#This Row],[명칭]])</f>
        <v>0</v>
      </c>
      <c r="N1343" s="65">
        <f>COUNTIF([1]VillageDiscoveryGroup!$C:$C,표1[[#This Row],[명칭]])</f>
        <v>1</v>
      </c>
      <c r="O1343" s="65">
        <f>SUM(표1[[#This Row],[해양탐색]:[마을탐험]])</f>
        <v>1</v>
      </c>
    </row>
    <row r="1344" spans="2:15" ht="13.5" customHeight="1" x14ac:dyDescent="0.3">
      <c r="B1344" s="9">
        <f>[1]Discovery!A1350</f>
        <v>70409427</v>
      </c>
      <c r="C1344" s="9" t="str">
        <f>[1]Discovery!B1350</f>
        <v>남극하트지느러미오징어</v>
      </c>
      <c r="D1344" s="9" t="str">
        <f>[1]Discovery!E1350</f>
        <v>동물</v>
      </c>
      <c r="E1344" s="9" t="str">
        <f>[1]Discovery!C1350</f>
        <v>어류</v>
      </c>
      <c r="F1344" s="9" t="str">
        <f>[1]Discovery!G1350</f>
        <v>B</v>
      </c>
      <c r="G1344" s="9" t="str">
        <f>IFERROR(VLOOKUP(표1[[#This Row],[명칭]],'문화권 정리'!C:D,2,FALSE),"-")</f>
        <v>어류</v>
      </c>
      <c r="H1344" s="38" t="str">
        <f>IFERROR(COUNTIF([2]OceanDoodad!$Y:$Y,표1[[#This Row],[명칭]]),"-")</f>
        <v>-</v>
      </c>
      <c r="I1344" s="38">
        <f>IFERROR(COUNTIF([1]AdventureDiscoveryGroup!$D$8:$AW$92,표1[[#This Row],[명칭]]),"-")</f>
        <v>0</v>
      </c>
      <c r="J1344" s="38">
        <f>IFERROR(COUNTIF([1]FishDiscoveryGroup!$A:$X,표1[[#This Row],[명칭]]),"-")</f>
        <v>0</v>
      </c>
      <c r="K1344" s="38" t="str">
        <f>IFERROR(COUNTIF([2]Town!$B:$B,표1[[#This Row],[명칭]]),"-")</f>
        <v>-</v>
      </c>
      <c r="L1344" s="38">
        <f>IFERROR(COUNTIF([1]Village!$BR:$BR,표1[[#This Row],[명칭]]),"-")</f>
        <v>0</v>
      </c>
      <c r="M1344" s="38">
        <f>COUNTIF(퀘스트!B:B,표1[[#This Row],[명칭]])</f>
        <v>0</v>
      </c>
      <c r="N1344" s="65">
        <f>COUNTIF([1]VillageDiscoveryGroup!$C:$C,표1[[#This Row],[명칭]])</f>
        <v>0</v>
      </c>
      <c r="O1344" s="65">
        <f>SUM(표1[[#This Row],[해양탐색]:[마을탐험]])</f>
        <v>0</v>
      </c>
    </row>
    <row r="1345" spans="2:15" ht="13.5" customHeight="1" x14ac:dyDescent="0.3">
      <c r="B1345" s="9">
        <f>[1]Discovery!A1351</f>
        <v>70409428</v>
      </c>
      <c r="C1345" s="9" t="str">
        <f>[1]Discovery!B1351</f>
        <v>곤들매기</v>
      </c>
      <c r="D1345" s="9" t="str">
        <f>[1]Discovery!E1351</f>
        <v>동물</v>
      </c>
      <c r="E1345" s="9" t="str">
        <f>[1]Discovery!C1351</f>
        <v>어류</v>
      </c>
      <c r="F1345" s="9" t="str">
        <f>[1]Discovery!G1351</f>
        <v>B</v>
      </c>
      <c r="G1345" s="9" t="str">
        <f>IFERROR(VLOOKUP(표1[[#This Row],[명칭]],'문화권 정리'!C:D,2,FALSE),"-")</f>
        <v>어류</v>
      </c>
      <c r="H1345" s="38" t="str">
        <f>IFERROR(COUNTIF([2]OceanDoodad!$Y:$Y,표1[[#This Row],[명칭]]),"-")</f>
        <v>-</v>
      </c>
      <c r="I1345" s="38">
        <f>IFERROR(COUNTIF([1]AdventureDiscoveryGroup!$D$8:$AW$92,표1[[#This Row],[명칭]]),"-")</f>
        <v>0</v>
      </c>
      <c r="J1345" s="38">
        <f>IFERROR(COUNTIF([1]FishDiscoveryGroup!$A:$X,표1[[#This Row],[명칭]]),"-")</f>
        <v>0</v>
      </c>
      <c r="K1345" s="38" t="str">
        <f>IFERROR(COUNTIF([2]Town!$B:$B,표1[[#This Row],[명칭]]),"-")</f>
        <v>-</v>
      </c>
      <c r="L1345" s="38">
        <f>IFERROR(COUNTIF([1]Village!$BR:$BR,표1[[#This Row],[명칭]]),"-")</f>
        <v>0</v>
      </c>
      <c r="M1345" s="38">
        <f>COUNTIF(퀘스트!B:B,표1[[#This Row],[명칭]])</f>
        <v>0</v>
      </c>
      <c r="N1345" s="65">
        <f>COUNTIF([1]VillageDiscoveryGroup!$C:$C,표1[[#This Row],[명칭]])</f>
        <v>0</v>
      </c>
      <c r="O1345" s="65">
        <f>SUM(표1[[#This Row],[해양탐색]:[마을탐험]])</f>
        <v>0</v>
      </c>
    </row>
    <row r="1346" spans="2:15" ht="13.5" customHeight="1" x14ac:dyDescent="0.3">
      <c r="B1346" s="9">
        <f>[1]Discovery!A1352</f>
        <v>70409429</v>
      </c>
      <c r="C1346" s="9" t="str">
        <f>[1]Discovery!B1352</f>
        <v>곱사연어</v>
      </c>
      <c r="D1346" s="9" t="str">
        <f>[1]Discovery!E1352</f>
        <v>동물</v>
      </c>
      <c r="E1346" s="9" t="str">
        <f>[1]Discovery!C1352</f>
        <v>어류</v>
      </c>
      <c r="F1346" s="9" t="str">
        <f>[1]Discovery!G1352</f>
        <v>B</v>
      </c>
      <c r="G1346" s="9" t="str">
        <f>IFERROR(VLOOKUP(표1[[#This Row],[명칭]],'문화권 정리'!C:D,2,FALSE),"-")</f>
        <v>어류</v>
      </c>
      <c r="H1346" s="38" t="str">
        <f>IFERROR(COUNTIF([2]OceanDoodad!$Y:$Y,표1[[#This Row],[명칭]]),"-")</f>
        <v>-</v>
      </c>
      <c r="I1346" s="38">
        <f>IFERROR(COUNTIF([1]AdventureDiscoveryGroup!$D$8:$AW$92,표1[[#This Row],[명칭]]),"-")</f>
        <v>0</v>
      </c>
      <c r="J1346" s="38">
        <f>IFERROR(COUNTIF([1]FishDiscoveryGroup!$A:$X,표1[[#This Row],[명칭]]),"-")</f>
        <v>0</v>
      </c>
      <c r="K1346" s="38" t="str">
        <f>IFERROR(COUNTIF([2]Town!$B:$B,표1[[#This Row],[명칭]]),"-")</f>
        <v>-</v>
      </c>
      <c r="L1346" s="38">
        <f>IFERROR(COUNTIF([1]Village!$BR:$BR,표1[[#This Row],[명칭]]),"-")</f>
        <v>0</v>
      </c>
      <c r="M1346" s="38">
        <f>COUNTIF(퀘스트!B:B,표1[[#This Row],[명칭]])</f>
        <v>0</v>
      </c>
      <c r="N1346" s="65">
        <f>COUNTIF([1]VillageDiscoveryGroup!$C:$C,표1[[#This Row],[명칭]])</f>
        <v>0</v>
      </c>
      <c r="O1346" s="65">
        <f>SUM(표1[[#This Row],[해양탐색]:[마을탐험]])</f>
        <v>0</v>
      </c>
    </row>
    <row r="1347" spans="2:15" ht="13.5" customHeight="1" x14ac:dyDescent="0.3">
      <c r="B1347" s="9">
        <f>[1]Discovery!A1353</f>
        <v>70409430</v>
      </c>
      <c r="C1347" s="9" t="str">
        <f>[1]Discovery!B1353</f>
        <v>대서양대구</v>
      </c>
      <c r="D1347" s="9" t="str">
        <f>[1]Discovery!E1353</f>
        <v>동물</v>
      </c>
      <c r="E1347" s="9" t="str">
        <f>[1]Discovery!C1353</f>
        <v>어류</v>
      </c>
      <c r="F1347" s="9" t="str">
        <f>[1]Discovery!G1353</f>
        <v>B</v>
      </c>
      <c r="G1347" s="9" t="str">
        <f>IFERROR(VLOOKUP(표1[[#This Row],[명칭]],'문화권 정리'!C:D,2,FALSE),"-")</f>
        <v>어류</v>
      </c>
      <c r="H1347" s="38" t="str">
        <f>IFERROR(COUNTIF([2]OceanDoodad!$Y:$Y,표1[[#This Row],[명칭]]),"-")</f>
        <v>-</v>
      </c>
      <c r="I1347" s="38">
        <f>IFERROR(COUNTIF([1]AdventureDiscoveryGroup!$D$8:$AW$92,표1[[#This Row],[명칭]]),"-")</f>
        <v>0</v>
      </c>
      <c r="J1347" s="38">
        <f>IFERROR(COUNTIF([1]FishDiscoveryGroup!$A:$X,표1[[#This Row],[명칭]]),"-")</f>
        <v>0</v>
      </c>
      <c r="K1347" s="38" t="str">
        <f>IFERROR(COUNTIF([2]Town!$B:$B,표1[[#This Row],[명칭]]),"-")</f>
        <v>-</v>
      </c>
      <c r="L1347" s="38">
        <f>IFERROR(COUNTIF([1]Village!$BR:$BR,표1[[#This Row],[명칭]]),"-")</f>
        <v>0</v>
      </c>
      <c r="M1347" s="38">
        <f>COUNTIF(퀘스트!B:B,표1[[#This Row],[명칭]])</f>
        <v>0</v>
      </c>
      <c r="N1347" s="65">
        <f>COUNTIF([1]VillageDiscoveryGroup!$C:$C,표1[[#This Row],[명칭]])</f>
        <v>0</v>
      </c>
      <c r="O1347" s="65">
        <f>SUM(표1[[#This Row],[해양탐색]:[마을탐험]])</f>
        <v>0</v>
      </c>
    </row>
    <row r="1348" spans="2:15" ht="13.5" customHeight="1" x14ac:dyDescent="0.3">
      <c r="B1348" s="9">
        <f>[1]Discovery!A1354</f>
        <v>70409431</v>
      </c>
      <c r="C1348" s="9" t="str">
        <f>[1]Discovery!B1354</f>
        <v>대서양연어</v>
      </c>
      <c r="D1348" s="9" t="str">
        <f>[1]Discovery!E1354</f>
        <v>동물</v>
      </c>
      <c r="E1348" s="9" t="str">
        <f>[1]Discovery!C1354</f>
        <v>어류</v>
      </c>
      <c r="F1348" s="9" t="str">
        <f>[1]Discovery!G1354</f>
        <v>B</v>
      </c>
      <c r="G1348" s="9" t="str">
        <f>IFERROR(VLOOKUP(표1[[#This Row],[명칭]],'문화권 정리'!C:D,2,FALSE),"-")</f>
        <v>어류</v>
      </c>
      <c r="H1348" s="38" t="str">
        <f>IFERROR(COUNTIF([2]OceanDoodad!$Y:$Y,표1[[#This Row],[명칭]]),"-")</f>
        <v>-</v>
      </c>
      <c r="I1348" s="38">
        <f>IFERROR(COUNTIF([1]AdventureDiscoveryGroup!$D$8:$AW$92,표1[[#This Row],[명칭]]),"-")</f>
        <v>0</v>
      </c>
      <c r="J1348" s="38">
        <f>IFERROR(COUNTIF([1]FishDiscoveryGroup!$A:$X,표1[[#This Row],[명칭]]),"-")</f>
        <v>0</v>
      </c>
      <c r="K1348" s="38" t="str">
        <f>IFERROR(COUNTIF([2]Town!$B:$B,표1[[#This Row],[명칭]]),"-")</f>
        <v>-</v>
      </c>
      <c r="L1348" s="38">
        <f>IFERROR(COUNTIF([1]Village!$BR:$BR,표1[[#This Row],[명칭]]),"-")</f>
        <v>0</v>
      </c>
      <c r="M1348" s="38">
        <f>COUNTIF(퀘스트!B:B,표1[[#This Row],[명칭]])</f>
        <v>0</v>
      </c>
      <c r="N1348" s="65">
        <f>COUNTIF([1]VillageDiscoveryGroup!$C:$C,표1[[#This Row],[명칭]])</f>
        <v>0</v>
      </c>
      <c r="O1348" s="65">
        <f>SUM(표1[[#This Row],[해양탐색]:[마을탐험]])</f>
        <v>0</v>
      </c>
    </row>
    <row r="1349" spans="2:15" ht="13.5" customHeight="1" x14ac:dyDescent="0.3">
      <c r="B1349" s="9">
        <f>[1]Discovery!A1355</f>
        <v>70409432</v>
      </c>
      <c r="C1349" s="9" t="str">
        <f>[1]Discovery!B1355</f>
        <v>잠꾸러기상어</v>
      </c>
      <c r="D1349" s="9" t="str">
        <f>[1]Discovery!E1355</f>
        <v>동물</v>
      </c>
      <c r="E1349" s="9" t="str">
        <f>[1]Discovery!C1355</f>
        <v>어류</v>
      </c>
      <c r="F1349" s="9" t="str">
        <f>[1]Discovery!G1355</f>
        <v>B</v>
      </c>
      <c r="G1349" s="9" t="str">
        <f>IFERROR(VLOOKUP(표1[[#This Row],[명칭]],'문화권 정리'!C:D,2,FALSE),"-")</f>
        <v>어류</v>
      </c>
      <c r="H1349" s="38" t="str">
        <f>IFERROR(COUNTIF([2]OceanDoodad!$Y:$Y,표1[[#This Row],[명칭]]),"-")</f>
        <v>-</v>
      </c>
      <c r="I1349" s="38">
        <f>IFERROR(COUNTIF([1]AdventureDiscoveryGroup!$D$8:$AW$92,표1[[#This Row],[명칭]]),"-")</f>
        <v>0</v>
      </c>
      <c r="J1349" s="38">
        <f>IFERROR(COUNTIF([1]FishDiscoveryGroup!$A:$X,표1[[#This Row],[명칭]]),"-")</f>
        <v>0</v>
      </c>
      <c r="K1349" s="38" t="str">
        <f>IFERROR(COUNTIF([2]Town!$B:$B,표1[[#This Row],[명칭]]),"-")</f>
        <v>-</v>
      </c>
      <c r="L1349" s="38">
        <f>IFERROR(COUNTIF([1]Village!$BR:$BR,표1[[#This Row],[명칭]]),"-")</f>
        <v>0</v>
      </c>
      <c r="M1349" s="38">
        <f>COUNTIF(퀘스트!B:B,표1[[#This Row],[명칭]])</f>
        <v>0</v>
      </c>
      <c r="N1349" s="65">
        <f>COUNTIF([1]VillageDiscoveryGroup!$C:$C,표1[[#This Row],[명칭]])</f>
        <v>0</v>
      </c>
      <c r="O1349" s="65">
        <f>SUM(표1[[#This Row],[해양탐색]:[마을탐험]])</f>
        <v>0</v>
      </c>
    </row>
    <row r="1350" spans="2:15" ht="13.5" customHeight="1" x14ac:dyDescent="0.3">
      <c r="B1350" s="9">
        <f>[1]Discovery!A1356</f>
        <v>70409433</v>
      </c>
      <c r="C1350" s="9" t="str">
        <f>[1]Discovery!B1356</f>
        <v>해덕대구</v>
      </c>
      <c r="D1350" s="9" t="str">
        <f>[1]Discovery!E1356</f>
        <v>동물</v>
      </c>
      <c r="E1350" s="9" t="str">
        <f>[1]Discovery!C1356</f>
        <v>어류</v>
      </c>
      <c r="F1350" s="9" t="str">
        <f>[1]Discovery!G1356</f>
        <v>B</v>
      </c>
      <c r="G1350" s="9" t="str">
        <f>IFERROR(VLOOKUP(표1[[#This Row],[명칭]],'문화권 정리'!C:D,2,FALSE),"-")</f>
        <v>어류</v>
      </c>
      <c r="H1350" s="38" t="str">
        <f>IFERROR(COUNTIF([2]OceanDoodad!$Y:$Y,표1[[#This Row],[명칭]]),"-")</f>
        <v>-</v>
      </c>
      <c r="I1350" s="38">
        <f>IFERROR(COUNTIF([1]AdventureDiscoveryGroup!$D$8:$AW$92,표1[[#This Row],[명칭]]),"-")</f>
        <v>0</v>
      </c>
      <c r="J1350" s="38">
        <f>IFERROR(COUNTIF([1]FishDiscoveryGroup!$A:$X,표1[[#This Row],[명칭]]),"-")</f>
        <v>0</v>
      </c>
      <c r="K1350" s="38" t="str">
        <f>IFERROR(COUNTIF([2]Town!$B:$B,표1[[#This Row],[명칭]]),"-")</f>
        <v>-</v>
      </c>
      <c r="L1350" s="38">
        <f>IFERROR(COUNTIF([1]Village!$BR:$BR,표1[[#This Row],[명칭]]),"-")</f>
        <v>0</v>
      </c>
      <c r="M1350" s="38">
        <f>COUNTIF(퀘스트!B:B,표1[[#This Row],[명칭]])</f>
        <v>0</v>
      </c>
      <c r="N1350" s="65">
        <f>COUNTIF([1]VillageDiscoveryGroup!$C:$C,표1[[#This Row],[명칭]])</f>
        <v>0</v>
      </c>
      <c r="O1350" s="65">
        <f>SUM(표1[[#This Row],[해양탐색]:[마을탐험]])</f>
        <v>0</v>
      </c>
    </row>
    <row r="1351" spans="2:15" ht="13.5" customHeight="1" x14ac:dyDescent="0.3">
      <c r="B1351" s="9">
        <f>[1]Discovery!A1357</f>
        <v>70409434</v>
      </c>
      <c r="C1351" s="9" t="str">
        <f>[1]Discovery!B1357</f>
        <v>남극이빨고기</v>
      </c>
      <c r="D1351" s="9" t="str">
        <f>[1]Discovery!E1357</f>
        <v>동물</v>
      </c>
      <c r="E1351" s="9" t="str">
        <f>[1]Discovery!C1357</f>
        <v>어류</v>
      </c>
      <c r="F1351" s="9" t="str">
        <f>[1]Discovery!G1357</f>
        <v>B</v>
      </c>
      <c r="G1351" s="9" t="str">
        <f>IFERROR(VLOOKUP(표1[[#This Row],[명칭]],'문화권 정리'!C:D,2,FALSE),"-")</f>
        <v>어류</v>
      </c>
      <c r="H1351" s="38" t="str">
        <f>IFERROR(COUNTIF([2]OceanDoodad!$Y:$Y,표1[[#This Row],[명칭]]),"-")</f>
        <v>-</v>
      </c>
      <c r="I1351" s="38">
        <f>IFERROR(COUNTIF([1]AdventureDiscoveryGroup!$D$8:$AW$92,표1[[#This Row],[명칭]]),"-")</f>
        <v>0</v>
      </c>
      <c r="J1351" s="38">
        <f>IFERROR(COUNTIF([1]FishDiscoveryGroup!$A:$X,표1[[#This Row],[명칭]]),"-")</f>
        <v>0</v>
      </c>
      <c r="K1351" s="38" t="str">
        <f>IFERROR(COUNTIF([2]Town!$B:$B,표1[[#This Row],[명칭]]),"-")</f>
        <v>-</v>
      </c>
      <c r="L1351" s="38">
        <f>IFERROR(COUNTIF([1]Village!$BR:$BR,표1[[#This Row],[명칭]]),"-")</f>
        <v>0</v>
      </c>
      <c r="M1351" s="38">
        <f>COUNTIF(퀘스트!B:B,표1[[#This Row],[명칭]])</f>
        <v>0</v>
      </c>
      <c r="N1351" s="65">
        <f>COUNTIF([1]VillageDiscoveryGroup!$C:$C,표1[[#This Row],[명칭]])</f>
        <v>0</v>
      </c>
      <c r="O1351" s="65">
        <f>SUM(표1[[#This Row],[해양탐색]:[마을탐험]])</f>
        <v>0</v>
      </c>
    </row>
    <row r="1352" spans="2:15" ht="13.5" customHeight="1" x14ac:dyDescent="0.3">
      <c r="B1352" s="9">
        <f>[1]Discovery!A1358</f>
        <v>70409435</v>
      </c>
      <c r="C1352" s="9" t="str">
        <f>[1]Discovery!B1358</f>
        <v>남극빙어</v>
      </c>
      <c r="D1352" s="9" t="str">
        <f>[1]Discovery!E1358</f>
        <v>동물</v>
      </c>
      <c r="E1352" s="9" t="str">
        <f>[1]Discovery!C1358</f>
        <v>어류</v>
      </c>
      <c r="F1352" s="9" t="str">
        <f>[1]Discovery!G1358</f>
        <v>B</v>
      </c>
      <c r="G1352" s="9" t="str">
        <f>IFERROR(VLOOKUP(표1[[#This Row],[명칭]],'문화권 정리'!C:D,2,FALSE),"-")</f>
        <v>어류</v>
      </c>
      <c r="H1352" s="38" t="str">
        <f>IFERROR(COUNTIF([2]OceanDoodad!$Y:$Y,표1[[#This Row],[명칭]]),"-")</f>
        <v>-</v>
      </c>
      <c r="I1352" s="38">
        <f>IFERROR(COUNTIF([1]AdventureDiscoveryGroup!$D$8:$AW$92,표1[[#This Row],[명칭]]),"-")</f>
        <v>0</v>
      </c>
      <c r="J1352" s="38">
        <f>IFERROR(COUNTIF([1]FishDiscoveryGroup!$A:$X,표1[[#This Row],[명칭]]),"-")</f>
        <v>0</v>
      </c>
      <c r="K1352" s="38" t="str">
        <f>IFERROR(COUNTIF([2]Town!$B:$B,표1[[#This Row],[명칭]]),"-")</f>
        <v>-</v>
      </c>
      <c r="L1352" s="38">
        <f>IFERROR(COUNTIF([1]Village!$BR:$BR,표1[[#This Row],[명칭]]),"-")</f>
        <v>0</v>
      </c>
      <c r="M1352" s="38">
        <f>COUNTIF(퀘스트!B:B,표1[[#This Row],[명칭]])</f>
        <v>0</v>
      </c>
      <c r="N1352" s="65">
        <f>COUNTIF([1]VillageDiscoveryGroup!$C:$C,표1[[#This Row],[명칭]])</f>
        <v>0</v>
      </c>
      <c r="O1352" s="65">
        <f>SUM(표1[[#This Row],[해양탐색]:[마을탐험]])</f>
        <v>0</v>
      </c>
    </row>
    <row r="1353" spans="2:15" ht="13.5" customHeight="1" x14ac:dyDescent="0.3">
      <c r="B1353" s="9">
        <f>[1]Discovery!A1359</f>
        <v>70409436</v>
      </c>
      <c r="C1353" s="9" t="str">
        <f>[1]Discovery!B1359</f>
        <v>대리석무늬암치</v>
      </c>
      <c r="D1353" s="9" t="str">
        <f>[1]Discovery!E1359</f>
        <v>동물</v>
      </c>
      <c r="E1353" s="9" t="str">
        <f>[1]Discovery!C1359</f>
        <v>어류</v>
      </c>
      <c r="F1353" s="9" t="str">
        <f>[1]Discovery!G1359</f>
        <v>B</v>
      </c>
      <c r="G1353" s="9" t="str">
        <f>IFERROR(VLOOKUP(표1[[#This Row],[명칭]],'문화권 정리'!C:D,2,FALSE),"-")</f>
        <v>어류</v>
      </c>
      <c r="H1353" s="38" t="str">
        <f>IFERROR(COUNTIF([2]OceanDoodad!$Y:$Y,표1[[#This Row],[명칭]]),"-")</f>
        <v>-</v>
      </c>
      <c r="I1353" s="38">
        <f>IFERROR(COUNTIF([1]AdventureDiscoveryGroup!$D$8:$AW$92,표1[[#This Row],[명칭]]),"-")</f>
        <v>0</v>
      </c>
      <c r="J1353" s="38">
        <f>IFERROR(COUNTIF([1]FishDiscoveryGroup!$A:$X,표1[[#This Row],[명칭]]),"-")</f>
        <v>0</v>
      </c>
      <c r="K1353" s="38" t="str">
        <f>IFERROR(COUNTIF([2]Town!$B:$B,표1[[#This Row],[명칭]]),"-")</f>
        <v>-</v>
      </c>
      <c r="L1353" s="38">
        <f>IFERROR(COUNTIF([1]Village!$BR:$BR,표1[[#This Row],[명칭]]),"-")</f>
        <v>0</v>
      </c>
      <c r="M1353" s="38">
        <f>COUNTIF(퀘스트!B:B,표1[[#This Row],[명칭]])</f>
        <v>0</v>
      </c>
      <c r="N1353" s="65">
        <f>COUNTIF([1]VillageDiscoveryGroup!$C:$C,표1[[#This Row],[명칭]])</f>
        <v>0</v>
      </c>
      <c r="O1353" s="65">
        <f>SUM(표1[[#This Row],[해양탐색]:[마을탐험]])</f>
        <v>0</v>
      </c>
    </row>
    <row r="1354" spans="2:15" ht="13.5" customHeight="1" x14ac:dyDescent="0.3">
      <c r="B1354" s="9">
        <f>[1]Discovery!A1360</f>
        <v>70409437</v>
      </c>
      <c r="C1354" s="9" t="str">
        <f>[1]Discovery!B1360</f>
        <v>남극대구</v>
      </c>
      <c r="D1354" s="9" t="str">
        <f>[1]Discovery!E1360</f>
        <v>동물</v>
      </c>
      <c r="E1354" s="9" t="str">
        <f>[1]Discovery!C1360</f>
        <v>어류</v>
      </c>
      <c r="F1354" s="9" t="str">
        <f>[1]Discovery!G1360</f>
        <v>B</v>
      </c>
      <c r="G1354" s="9" t="str">
        <f>IFERROR(VLOOKUP(표1[[#This Row],[명칭]],'문화권 정리'!C:D,2,FALSE),"-")</f>
        <v>어류</v>
      </c>
      <c r="H1354" s="38" t="str">
        <f>IFERROR(COUNTIF([2]OceanDoodad!$Y:$Y,표1[[#This Row],[명칭]]),"-")</f>
        <v>-</v>
      </c>
      <c r="I1354" s="38">
        <f>IFERROR(COUNTIF([1]AdventureDiscoveryGroup!$D$8:$AW$92,표1[[#This Row],[명칭]]),"-")</f>
        <v>0</v>
      </c>
      <c r="J1354" s="38">
        <f>IFERROR(COUNTIF([1]FishDiscoveryGroup!$A:$X,표1[[#This Row],[명칭]]),"-")</f>
        <v>0</v>
      </c>
      <c r="K1354" s="38" t="str">
        <f>IFERROR(COUNTIF([2]Town!$B:$B,표1[[#This Row],[명칭]]),"-")</f>
        <v>-</v>
      </c>
      <c r="L1354" s="38">
        <f>IFERROR(COUNTIF([1]Village!$BR:$BR,표1[[#This Row],[명칭]]),"-")</f>
        <v>0</v>
      </c>
      <c r="M1354" s="38">
        <f>COUNTIF(퀘스트!B:B,표1[[#This Row],[명칭]])</f>
        <v>0</v>
      </c>
      <c r="N1354" s="65">
        <f>COUNTIF([1]VillageDiscoveryGroup!$C:$C,표1[[#This Row],[명칭]])</f>
        <v>0</v>
      </c>
      <c r="O1354" s="65">
        <f>SUM(표1[[#This Row],[해양탐색]:[마을탐험]])</f>
        <v>0</v>
      </c>
    </row>
    <row r="1355" spans="2:15" ht="13.5" customHeight="1" x14ac:dyDescent="0.3">
      <c r="B1355" s="9">
        <f>[1]Discovery!A1361</f>
        <v>70410000</v>
      </c>
      <c r="C1355" s="9" t="str">
        <f>[1]Discovery!B1361</f>
        <v>첸링</v>
      </c>
      <c r="D1355" s="9" t="str">
        <f>[1]Discovery!E1361</f>
        <v>건축</v>
      </c>
      <c r="E1355" s="9" t="str">
        <f>[1]Discovery!C1361</f>
        <v>사적</v>
      </c>
      <c r="F1355" s="9" t="str">
        <f>[1]Discovery!G1361</f>
        <v>C</v>
      </c>
      <c r="G1355" s="9" t="str">
        <f>IFERROR(VLOOKUP(표1[[#This Row],[명칭]],'문화권 정리'!C:D,2,FALSE),"-")</f>
        <v>동아시아</v>
      </c>
      <c r="H1355" s="38" t="str">
        <f>IFERROR(COUNTIF([2]OceanDoodad!$Y:$Y,표1[[#This Row],[명칭]]),"-")</f>
        <v>-</v>
      </c>
      <c r="I1355" s="38">
        <f>IFERROR(COUNTIF([1]AdventureDiscoveryGroup!$D$8:$AW$92,표1[[#This Row],[명칭]]),"-")</f>
        <v>1</v>
      </c>
      <c r="J1355" s="38">
        <f>IFERROR(COUNTIF([1]FishDiscoveryGroup!$A:$X,표1[[#This Row],[명칭]]),"-")</f>
        <v>0</v>
      </c>
      <c r="K1355" s="38" t="str">
        <f>IFERROR(COUNTIF([2]Town!$B:$B,표1[[#This Row],[명칭]]),"-")</f>
        <v>-</v>
      </c>
      <c r="L1355" s="38">
        <f>IFERROR(COUNTIF([1]Village!$BR:$BR,표1[[#This Row],[명칭]]),"-")</f>
        <v>0</v>
      </c>
      <c r="M1355" s="38">
        <f>COUNTIF(퀘스트!B:B,표1[[#This Row],[명칭]])</f>
        <v>0</v>
      </c>
      <c r="N1355" s="65">
        <f>COUNTIF([1]VillageDiscoveryGroup!$C:$C,표1[[#This Row],[명칭]])</f>
        <v>0</v>
      </c>
      <c r="O1355" s="65">
        <f>SUM(표1[[#This Row],[해양탐색]:[마을탐험]])</f>
        <v>1</v>
      </c>
    </row>
    <row r="1356" spans="2:15" ht="13.5" customHeight="1" x14ac:dyDescent="0.3">
      <c r="B1356" s="9">
        <f>[1]Discovery!A1362</f>
        <v>70410001</v>
      </c>
      <c r="C1356" s="9" t="str">
        <f>[1]Discovery!B1362</f>
        <v>경복궁</v>
      </c>
      <c r="D1356" s="9" t="str">
        <f>[1]Discovery!E1362</f>
        <v>건축</v>
      </c>
      <c r="E1356" s="9" t="str">
        <f>[1]Discovery!C1362</f>
        <v>사적</v>
      </c>
      <c r="F1356" s="9" t="str">
        <f>[1]Discovery!G1362</f>
        <v>A</v>
      </c>
      <c r="G1356" s="9" t="str">
        <f>IFERROR(VLOOKUP(표1[[#This Row],[명칭]],'문화권 정리'!C:D,2,FALSE),"-")</f>
        <v>동아시아</v>
      </c>
      <c r="H1356" s="38" t="str">
        <f>IFERROR(COUNTIF([2]OceanDoodad!$Y:$Y,표1[[#This Row],[명칭]]),"-")</f>
        <v>-</v>
      </c>
      <c r="I1356" s="38">
        <f>IFERROR(COUNTIF([1]AdventureDiscoveryGroup!$D$8:$AW$92,표1[[#This Row],[명칭]]),"-")</f>
        <v>0</v>
      </c>
      <c r="J1356" s="38">
        <f>IFERROR(COUNTIF([1]FishDiscoveryGroup!$A:$X,표1[[#This Row],[명칭]]),"-")</f>
        <v>0</v>
      </c>
      <c r="K1356" s="38" t="str">
        <f>IFERROR(COUNTIF([2]Town!$B:$B,표1[[#This Row],[명칭]]),"-")</f>
        <v>-</v>
      </c>
      <c r="L1356" s="38">
        <f>IFERROR(COUNTIF([1]Village!$BR:$BR,표1[[#This Row],[명칭]]),"-")</f>
        <v>0</v>
      </c>
      <c r="M1356" s="38">
        <f>COUNTIF(퀘스트!B:B,표1[[#This Row],[명칭]])</f>
        <v>0</v>
      </c>
      <c r="N1356" s="65">
        <f>COUNTIF([1]VillageDiscoveryGroup!$C:$C,표1[[#This Row],[명칭]])</f>
        <v>0</v>
      </c>
      <c r="O1356" s="65">
        <f>SUM(표1[[#This Row],[해양탐색]:[마을탐험]])</f>
        <v>0</v>
      </c>
    </row>
    <row r="1357" spans="2:15" ht="13.5" customHeight="1" x14ac:dyDescent="0.3">
      <c r="B1357" s="9">
        <f>[1]Discovery!A1363</f>
        <v>70410002</v>
      </c>
      <c r="C1357" s="9" t="str">
        <f>[1]Discovery!B1363</f>
        <v>고창 지석묘군</v>
      </c>
      <c r="D1357" s="9" t="str">
        <f>[1]Discovery!E1363</f>
        <v>건축</v>
      </c>
      <c r="E1357" s="9" t="str">
        <f>[1]Discovery!C1363</f>
        <v>사적</v>
      </c>
      <c r="F1357" s="9" t="str">
        <f>[1]Discovery!G1363</f>
        <v>D</v>
      </c>
      <c r="G1357" s="9" t="str">
        <f>IFERROR(VLOOKUP(표1[[#This Row],[명칭]],'문화권 정리'!C:D,2,FALSE),"-")</f>
        <v>동아시아</v>
      </c>
      <c r="H1357" s="38" t="str">
        <f>IFERROR(COUNTIF([2]OceanDoodad!$Y:$Y,표1[[#This Row],[명칭]]),"-")</f>
        <v>-</v>
      </c>
      <c r="I1357" s="38">
        <f>IFERROR(COUNTIF([1]AdventureDiscoveryGroup!$D$8:$AW$92,표1[[#This Row],[명칭]]),"-")</f>
        <v>0</v>
      </c>
      <c r="J1357" s="38">
        <f>IFERROR(COUNTIF([1]FishDiscoveryGroup!$A:$X,표1[[#This Row],[명칭]]),"-")</f>
        <v>0</v>
      </c>
      <c r="K1357" s="38" t="str">
        <f>IFERROR(COUNTIF([2]Town!$B:$B,표1[[#This Row],[명칭]]),"-")</f>
        <v>-</v>
      </c>
      <c r="L1357" s="38">
        <f>IFERROR(COUNTIF([1]Village!$BR:$BR,표1[[#This Row],[명칭]]),"-")</f>
        <v>0</v>
      </c>
      <c r="M1357" s="38">
        <f>COUNTIF(퀘스트!B:B,표1[[#This Row],[명칭]])</f>
        <v>0</v>
      </c>
      <c r="N1357" s="65">
        <f>COUNTIF([1]VillageDiscoveryGroup!$C:$C,표1[[#This Row],[명칭]])</f>
        <v>0</v>
      </c>
      <c r="O1357" s="65">
        <f>SUM(표1[[#This Row],[해양탐색]:[마을탐험]])</f>
        <v>0</v>
      </c>
    </row>
    <row r="1358" spans="2:15" ht="13.5" customHeight="1" x14ac:dyDescent="0.3">
      <c r="B1358" s="9">
        <f>[1]Discovery!A1364</f>
        <v>70410003</v>
      </c>
      <c r="C1358" s="9" t="str">
        <f>[1]Discovery!B1364</f>
        <v>광개토대왕릉비</v>
      </c>
      <c r="D1358" s="9" t="str">
        <f>[1]Discovery!E1364</f>
        <v>건축</v>
      </c>
      <c r="E1358" s="9" t="str">
        <f>[1]Discovery!C1364</f>
        <v>사적</v>
      </c>
      <c r="F1358" s="9" t="str">
        <f>[1]Discovery!G1364</f>
        <v>A</v>
      </c>
      <c r="G1358" s="9" t="str">
        <f>IFERROR(VLOOKUP(표1[[#This Row],[명칭]],'문화권 정리'!C:D,2,FALSE),"-")</f>
        <v>동아시아</v>
      </c>
      <c r="H1358" s="38" t="str">
        <f>IFERROR(COUNTIF([2]OceanDoodad!$Y:$Y,표1[[#This Row],[명칭]]),"-")</f>
        <v>-</v>
      </c>
      <c r="I1358" s="38">
        <f>IFERROR(COUNTIF([1]AdventureDiscoveryGroup!$D$8:$AW$92,표1[[#This Row],[명칭]]),"-")</f>
        <v>0</v>
      </c>
      <c r="J1358" s="38">
        <f>IFERROR(COUNTIF([1]FishDiscoveryGroup!$A:$X,표1[[#This Row],[명칭]]),"-")</f>
        <v>0</v>
      </c>
      <c r="K1358" s="38" t="str">
        <f>IFERROR(COUNTIF([2]Town!$B:$B,표1[[#This Row],[명칭]]),"-")</f>
        <v>-</v>
      </c>
      <c r="L1358" s="38">
        <f>IFERROR(COUNTIF([1]Village!$BR:$BR,표1[[#This Row],[명칭]]),"-")</f>
        <v>0</v>
      </c>
      <c r="M1358" s="38">
        <f>COUNTIF(퀘스트!B:B,표1[[#This Row],[명칭]])</f>
        <v>1</v>
      </c>
      <c r="N1358" s="65">
        <f>COUNTIF([1]VillageDiscoveryGroup!$C:$C,표1[[#This Row],[명칭]])</f>
        <v>0</v>
      </c>
      <c r="O1358" s="65">
        <f>SUM(표1[[#This Row],[해양탐색]:[마을탐험]])</f>
        <v>1</v>
      </c>
    </row>
    <row r="1359" spans="2:15" ht="13.5" customHeight="1" x14ac:dyDescent="0.3">
      <c r="B1359" s="9">
        <f>[1]Discovery!A1365</f>
        <v>70410004</v>
      </c>
      <c r="C1359" s="9" t="str">
        <f>[1]Discovery!B1365</f>
        <v>귀마르의 피라미드</v>
      </c>
      <c r="D1359" s="9" t="str">
        <f>[1]Discovery!E1365</f>
        <v>건축</v>
      </c>
      <c r="E1359" s="9" t="str">
        <f>[1]Discovery!C1365</f>
        <v>사적</v>
      </c>
      <c r="F1359" s="9" t="str">
        <f>[1]Discovery!G1365</f>
        <v>A</v>
      </c>
      <c r="G1359" s="9" t="str">
        <f>IFERROR(VLOOKUP(표1[[#This Row],[명칭]],'문화권 정리'!C:D,2,FALSE),"-")</f>
        <v>북아프리카</v>
      </c>
      <c r="H1359" s="38" t="str">
        <f>IFERROR(COUNTIF([2]OceanDoodad!$Y:$Y,표1[[#This Row],[명칭]]),"-")</f>
        <v>-</v>
      </c>
      <c r="I1359" s="38">
        <f>IFERROR(COUNTIF([1]AdventureDiscoveryGroup!$D$8:$AW$92,표1[[#This Row],[명칭]]),"-")</f>
        <v>0</v>
      </c>
      <c r="J1359" s="38">
        <f>IFERROR(COUNTIF([1]FishDiscoveryGroup!$A:$X,표1[[#This Row],[명칭]]),"-")</f>
        <v>0</v>
      </c>
      <c r="K1359" s="38" t="str">
        <f>IFERROR(COUNTIF([2]Town!$B:$B,표1[[#This Row],[명칭]]),"-")</f>
        <v>-</v>
      </c>
      <c r="L1359" s="38">
        <f>IFERROR(COUNTIF([1]Village!$BR:$BR,표1[[#This Row],[명칭]]),"-")</f>
        <v>0</v>
      </c>
      <c r="M1359" s="38">
        <f>COUNTIF(퀘스트!B:B,표1[[#This Row],[명칭]])</f>
        <v>0</v>
      </c>
      <c r="N1359" s="65">
        <f>COUNTIF([1]VillageDiscoveryGroup!$C:$C,표1[[#This Row],[명칭]])</f>
        <v>0</v>
      </c>
      <c r="O1359" s="65">
        <f>SUM(표1[[#This Row],[해양탐색]:[마을탐험]])</f>
        <v>0</v>
      </c>
    </row>
    <row r="1360" spans="2:15" ht="13.5" customHeight="1" x14ac:dyDescent="0.3">
      <c r="B1360" s="9">
        <f>[1]Discovery!A1366</f>
        <v>70410005</v>
      </c>
      <c r="C1360" s="9" t="str">
        <f>[1]Discovery!B1366</f>
        <v>그레이트 짐바브웨</v>
      </c>
      <c r="D1360" s="9" t="str">
        <f>[1]Discovery!E1366</f>
        <v>건축</v>
      </c>
      <c r="E1360" s="9" t="str">
        <f>[1]Discovery!C1366</f>
        <v>사적</v>
      </c>
      <c r="F1360" s="9" t="str">
        <f>[1]Discovery!G1366</f>
        <v>A</v>
      </c>
      <c r="G1360" s="9" t="str">
        <f>IFERROR(VLOOKUP(표1[[#This Row],[명칭]],'문화권 정리'!C:D,2,FALSE),"-")</f>
        <v>남아프리카</v>
      </c>
      <c r="H1360" s="38" t="str">
        <f>IFERROR(COUNTIF([2]OceanDoodad!$Y:$Y,표1[[#This Row],[명칭]]),"-")</f>
        <v>-</v>
      </c>
      <c r="I1360" s="38">
        <f>IFERROR(COUNTIF([1]AdventureDiscoveryGroup!$D$8:$AW$92,표1[[#This Row],[명칭]]),"-")</f>
        <v>0</v>
      </c>
      <c r="J1360" s="38">
        <f>IFERROR(COUNTIF([1]FishDiscoveryGroup!$A:$X,표1[[#This Row],[명칭]]),"-")</f>
        <v>0</v>
      </c>
      <c r="K1360" s="38" t="str">
        <f>IFERROR(COUNTIF([2]Town!$B:$B,표1[[#This Row],[명칭]]),"-")</f>
        <v>-</v>
      </c>
      <c r="L1360" s="38">
        <f>IFERROR(COUNTIF([1]Village!$BR:$BR,표1[[#This Row],[명칭]]),"-")</f>
        <v>0</v>
      </c>
      <c r="M1360" s="38">
        <f>COUNTIF(퀘스트!B:B,표1[[#This Row],[명칭]])</f>
        <v>0</v>
      </c>
      <c r="N1360" s="65">
        <f>COUNTIF([1]VillageDiscoveryGroup!$C:$C,표1[[#This Row],[명칭]])</f>
        <v>0</v>
      </c>
      <c r="O1360" s="65">
        <f>SUM(표1[[#This Row],[해양탐색]:[마을탐험]])</f>
        <v>0</v>
      </c>
    </row>
    <row r="1361" spans="2:15" ht="13.5" customHeight="1" x14ac:dyDescent="0.3">
      <c r="B1361" s="9">
        <f>[1]Discovery!A1367</f>
        <v>70410006</v>
      </c>
      <c r="C1361" s="9" t="str">
        <f>[1]Discovery!B1367</f>
        <v>김유신 묘</v>
      </c>
      <c r="D1361" s="9" t="str">
        <f>[1]Discovery!E1367</f>
        <v>건축</v>
      </c>
      <c r="E1361" s="9" t="str">
        <f>[1]Discovery!C1367</f>
        <v>사적</v>
      </c>
      <c r="F1361" s="9" t="str">
        <f>[1]Discovery!G1367</f>
        <v>C</v>
      </c>
      <c r="G1361" s="9" t="str">
        <f>IFERROR(VLOOKUP(표1[[#This Row],[명칭]],'문화권 정리'!C:D,2,FALSE),"-")</f>
        <v>동아시아</v>
      </c>
      <c r="H1361" s="38" t="str">
        <f>IFERROR(COUNTIF([2]OceanDoodad!$Y:$Y,표1[[#This Row],[명칭]]),"-")</f>
        <v>-</v>
      </c>
      <c r="I1361" s="38">
        <f>IFERROR(COUNTIF([1]AdventureDiscoveryGroup!$D$8:$AW$92,표1[[#This Row],[명칭]]),"-")</f>
        <v>0</v>
      </c>
      <c r="J1361" s="38">
        <f>IFERROR(COUNTIF([1]FishDiscoveryGroup!$A:$X,표1[[#This Row],[명칭]]),"-")</f>
        <v>0</v>
      </c>
      <c r="K1361" s="38" t="str">
        <f>IFERROR(COUNTIF([2]Town!$B:$B,표1[[#This Row],[명칭]]),"-")</f>
        <v>-</v>
      </c>
      <c r="L1361" s="38">
        <f>IFERROR(COUNTIF([1]Village!$BR:$BR,표1[[#This Row],[명칭]]),"-")</f>
        <v>0</v>
      </c>
      <c r="M1361" s="38">
        <f>COUNTIF(퀘스트!B:B,표1[[#This Row],[명칭]])</f>
        <v>0</v>
      </c>
      <c r="N1361" s="65">
        <f>COUNTIF([1]VillageDiscoveryGroup!$C:$C,표1[[#This Row],[명칭]])</f>
        <v>0</v>
      </c>
      <c r="O1361" s="65">
        <f>SUM(표1[[#This Row],[해양탐색]:[마을탐험]])</f>
        <v>0</v>
      </c>
    </row>
    <row r="1362" spans="2:15" ht="13.5" customHeight="1" x14ac:dyDescent="0.3">
      <c r="B1362" s="9">
        <f>[1]Discovery!A1368</f>
        <v>70410007</v>
      </c>
      <c r="C1362" s="9" t="str">
        <f>[1]Discovery!B1368</f>
        <v>나람신의 전승비</v>
      </c>
      <c r="D1362" s="9" t="str">
        <f>[1]Discovery!E1368</f>
        <v>건축</v>
      </c>
      <c r="E1362" s="9" t="str">
        <f>[1]Discovery!C1368</f>
        <v>사적</v>
      </c>
      <c r="F1362" s="9" t="str">
        <f>[1]Discovery!G1368</f>
        <v>A</v>
      </c>
      <c r="G1362" s="9" t="str">
        <f>IFERROR(VLOOKUP(표1[[#This Row],[명칭]],'문화권 정리'!C:D,2,FALSE),"-")</f>
        <v>서남아시아</v>
      </c>
      <c r="H1362" s="38" t="str">
        <f>IFERROR(COUNTIF([2]OceanDoodad!$Y:$Y,표1[[#This Row],[명칭]]),"-")</f>
        <v>-</v>
      </c>
      <c r="I1362" s="38">
        <f>IFERROR(COUNTIF([1]AdventureDiscoveryGroup!$D$8:$AW$92,표1[[#This Row],[명칭]]),"-")</f>
        <v>0</v>
      </c>
      <c r="J1362" s="38">
        <f>IFERROR(COUNTIF([1]FishDiscoveryGroup!$A:$X,표1[[#This Row],[명칭]]),"-")</f>
        <v>0</v>
      </c>
      <c r="K1362" s="38" t="str">
        <f>IFERROR(COUNTIF([2]Town!$B:$B,표1[[#This Row],[명칭]]),"-")</f>
        <v>-</v>
      </c>
      <c r="L1362" s="38">
        <f>IFERROR(COUNTIF([1]Village!$BR:$BR,표1[[#This Row],[명칭]]),"-")</f>
        <v>0</v>
      </c>
      <c r="M1362" s="38">
        <f>COUNTIF(퀘스트!B:B,표1[[#This Row],[명칭]])</f>
        <v>0</v>
      </c>
      <c r="N1362" s="65">
        <f>COUNTIF([1]VillageDiscoveryGroup!$C:$C,표1[[#This Row],[명칭]])</f>
        <v>0</v>
      </c>
      <c r="O1362" s="65">
        <f>SUM(표1[[#This Row],[해양탐색]:[마을탐험]])</f>
        <v>0</v>
      </c>
    </row>
    <row r="1363" spans="2:15" ht="13.5" customHeight="1" x14ac:dyDescent="0.3">
      <c r="B1363" s="9">
        <f>[1]Discovery!A1369</f>
        <v>70410009</v>
      </c>
      <c r="C1363" s="9" t="str">
        <f>[1]Discovery!B1369</f>
        <v>누라게</v>
      </c>
      <c r="D1363" s="9" t="str">
        <f>[1]Discovery!E1369</f>
        <v>건축</v>
      </c>
      <c r="E1363" s="9" t="str">
        <f>[1]Discovery!C1369</f>
        <v>사적</v>
      </c>
      <c r="F1363" s="9" t="str">
        <f>[1]Discovery!G1369</f>
        <v>C</v>
      </c>
      <c r="G1363" s="9" t="str">
        <f>IFERROR(VLOOKUP(표1[[#This Row],[명칭]],'문화권 정리'!C:D,2,FALSE),"-")</f>
        <v>지중해</v>
      </c>
      <c r="H1363" s="38" t="str">
        <f>IFERROR(COUNTIF([2]OceanDoodad!$Y:$Y,표1[[#This Row],[명칭]]),"-")</f>
        <v>-</v>
      </c>
      <c r="I1363" s="38">
        <f>IFERROR(COUNTIF([1]AdventureDiscoveryGroup!$D$8:$AW$92,표1[[#This Row],[명칭]]),"-")</f>
        <v>0</v>
      </c>
      <c r="J1363" s="38">
        <f>IFERROR(COUNTIF([1]FishDiscoveryGroup!$A:$X,표1[[#This Row],[명칭]]),"-")</f>
        <v>0</v>
      </c>
      <c r="K1363" s="38" t="str">
        <f>IFERROR(COUNTIF([2]Town!$B:$B,표1[[#This Row],[명칭]]),"-")</f>
        <v>-</v>
      </c>
      <c r="L1363" s="38">
        <f>IFERROR(COUNTIF([1]Village!$BR:$BR,표1[[#This Row],[명칭]]),"-")</f>
        <v>0</v>
      </c>
      <c r="M1363" s="38">
        <f>COUNTIF(퀘스트!B:B,표1[[#This Row],[명칭]])</f>
        <v>0</v>
      </c>
      <c r="N1363" s="65">
        <f>COUNTIF([1]VillageDiscoveryGroup!$C:$C,표1[[#This Row],[명칭]])</f>
        <v>0</v>
      </c>
      <c r="O1363" s="65">
        <f>SUM(표1[[#This Row],[해양탐색]:[마을탐험]])</f>
        <v>0</v>
      </c>
    </row>
    <row r="1364" spans="2:15" ht="13.5" customHeight="1" x14ac:dyDescent="0.3">
      <c r="B1364" s="9">
        <f>[1]Discovery!A1370</f>
        <v>70410010</v>
      </c>
      <c r="C1364" s="9" t="str">
        <f>[1]Discovery!B1370</f>
        <v>누비아 피라미드</v>
      </c>
      <c r="D1364" s="9" t="str">
        <f>[1]Discovery!E1370</f>
        <v>건축</v>
      </c>
      <c r="E1364" s="9" t="str">
        <f>[1]Discovery!C1370</f>
        <v>사적</v>
      </c>
      <c r="F1364" s="9" t="str">
        <f>[1]Discovery!G1370</f>
        <v>B</v>
      </c>
      <c r="G1364" s="9" t="str">
        <f>IFERROR(VLOOKUP(표1[[#This Row],[명칭]],'문화권 정리'!C:D,2,FALSE),"-")</f>
        <v>북아프리카</v>
      </c>
      <c r="H1364" s="38" t="str">
        <f>IFERROR(COUNTIF([2]OceanDoodad!$Y:$Y,표1[[#This Row],[명칭]]),"-")</f>
        <v>-</v>
      </c>
      <c r="I1364" s="38">
        <f>IFERROR(COUNTIF([1]AdventureDiscoveryGroup!$D$8:$AW$92,표1[[#This Row],[명칭]]),"-")</f>
        <v>0</v>
      </c>
      <c r="J1364" s="38">
        <f>IFERROR(COUNTIF([1]FishDiscoveryGroup!$A:$X,표1[[#This Row],[명칭]]),"-")</f>
        <v>0</v>
      </c>
      <c r="K1364" s="38" t="str">
        <f>IFERROR(COUNTIF([2]Town!$B:$B,표1[[#This Row],[명칭]]),"-")</f>
        <v>-</v>
      </c>
      <c r="L1364" s="38">
        <f>IFERROR(COUNTIF([1]Village!$BR:$BR,표1[[#This Row],[명칭]]),"-")</f>
        <v>0</v>
      </c>
      <c r="M1364" s="38">
        <f>COUNTIF(퀘스트!B:B,표1[[#This Row],[명칭]])</f>
        <v>0</v>
      </c>
      <c r="N1364" s="65">
        <f>COUNTIF([1]VillageDiscoveryGroup!$C:$C,표1[[#This Row],[명칭]])</f>
        <v>0</v>
      </c>
      <c r="O1364" s="65">
        <f>SUM(표1[[#This Row],[해양탐색]:[마을탐험]])</f>
        <v>0</v>
      </c>
    </row>
    <row r="1365" spans="2:15" ht="13.5" customHeight="1" x14ac:dyDescent="0.3">
      <c r="B1365" s="9">
        <f>[1]Discovery!A1371</f>
        <v>70410011</v>
      </c>
      <c r="C1365" s="9" t="str">
        <f>[1]Discovery!B1371</f>
        <v>니네베</v>
      </c>
      <c r="D1365" s="9" t="str">
        <f>[1]Discovery!E1371</f>
        <v>건축</v>
      </c>
      <c r="E1365" s="9" t="str">
        <f>[1]Discovery!C1371</f>
        <v>사적</v>
      </c>
      <c r="F1365" s="9" t="str">
        <f>[1]Discovery!G1371</f>
        <v>A</v>
      </c>
      <c r="G1365" s="9" t="str">
        <f>IFERROR(VLOOKUP(표1[[#This Row],[명칭]],'문화권 정리'!C:D,2,FALSE),"-")</f>
        <v>서남아시아</v>
      </c>
      <c r="H1365" s="38" t="str">
        <f>IFERROR(COUNTIF([2]OceanDoodad!$Y:$Y,표1[[#This Row],[명칭]]),"-")</f>
        <v>-</v>
      </c>
      <c r="I1365" s="38">
        <f>IFERROR(COUNTIF([1]AdventureDiscoveryGroup!$D$8:$AW$92,표1[[#This Row],[명칭]]),"-")</f>
        <v>0</v>
      </c>
      <c r="J1365" s="38">
        <f>IFERROR(COUNTIF([1]FishDiscoveryGroup!$A:$X,표1[[#This Row],[명칭]]),"-")</f>
        <v>0</v>
      </c>
      <c r="K1365" s="38" t="str">
        <f>IFERROR(COUNTIF([2]Town!$B:$B,표1[[#This Row],[명칭]]),"-")</f>
        <v>-</v>
      </c>
      <c r="L1365" s="38">
        <f>IFERROR(COUNTIF([1]Village!$BR:$BR,표1[[#This Row],[명칭]]),"-")</f>
        <v>0</v>
      </c>
      <c r="M1365" s="38">
        <f>COUNTIF(퀘스트!B:B,표1[[#This Row],[명칭]])</f>
        <v>0</v>
      </c>
      <c r="N1365" s="65">
        <f>COUNTIF([1]VillageDiscoveryGroup!$C:$C,표1[[#This Row],[명칭]])</f>
        <v>0</v>
      </c>
      <c r="O1365" s="65">
        <f>SUM(표1[[#This Row],[해양탐색]:[마을탐험]])</f>
        <v>0</v>
      </c>
    </row>
    <row r="1366" spans="2:15" ht="13.5" customHeight="1" x14ac:dyDescent="0.3">
      <c r="B1366" s="9">
        <f>[1]Discovery!A1372</f>
        <v>70410012</v>
      </c>
      <c r="C1366" s="9" t="str">
        <f>[1]Discovery!B1372</f>
        <v>디오니소스 극장</v>
      </c>
      <c r="D1366" s="9" t="str">
        <f>[1]Discovery!E1372</f>
        <v>건축</v>
      </c>
      <c r="E1366" s="9" t="str">
        <f>[1]Discovery!C1372</f>
        <v>사적</v>
      </c>
      <c r="F1366" s="9" t="str">
        <f>[1]Discovery!G1372</f>
        <v>C</v>
      </c>
      <c r="G1366" s="9" t="str">
        <f>IFERROR(VLOOKUP(표1[[#This Row],[명칭]],'문화권 정리'!C:D,2,FALSE),"-")</f>
        <v>지중해</v>
      </c>
      <c r="H1366" s="38" t="str">
        <f>IFERROR(COUNTIF([2]OceanDoodad!$Y:$Y,표1[[#This Row],[명칭]]),"-")</f>
        <v>-</v>
      </c>
      <c r="I1366" s="38">
        <f>IFERROR(COUNTIF([1]AdventureDiscoveryGroup!$D$8:$AW$92,표1[[#This Row],[명칭]]),"-")</f>
        <v>1</v>
      </c>
      <c r="J1366" s="38">
        <f>IFERROR(COUNTIF([1]FishDiscoveryGroup!$A:$X,표1[[#This Row],[명칭]]),"-")</f>
        <v>0</v>
      </c>
      <c r="K1366" s="38" t="str">
        <f>IFERROR(COUNTIF([2]Town!$B:$B,표1[[#This Row],[명칭]]),"-")</f>
        <v>-</v>
      </c>
      <c r="L1366" s="38">
        <f>IFERROR(COUNTIF([1]Village!$BR:$BR,표1[[#This Row],[명칭]]),"-")</f>
        <v>0</v>
      </c>
      <c r="M1366" s="38">
        <f>COUNTIF(퀘스트!B:B,표1[[#This Row],[명칭]])</f>
        <v>0</v>
      </c>
      <c r="N1366" s="65">
        <f>COUNTIF([1]VillageDiscoveryGroup!$C:$C,표1[[#This Row],[명칭]])</f>
        <v>0</v>
      </c>
      <c r="O1366" s="65">
        <f>SUM(표1[[#This Row],[해양탐색]:[마을탐험]])</f>
        <v>1</v>
      </c>
    </row>
    <row r="1367" spans="2:15" ht="13.5" customHeight="1" x14ac:dyDescent="0.3">
      <c r="B1367" s="9">
        <f>[1]Discovery!A1373</f>
        <v>70410013</v>
      </c>
      <c r="C1367" s="9" t="str">
        <f>[1]Discovery!B1373</f>
        <v>라가시</v>
      </c>
      <c r="D1367" s="9" t="str">
        <f>[1]Discovery!E1373</f>
        <v>건축</v>
      </c>
      <c r="E1367" s="9" t="str">
        <f>[1]Discovery!C1373</f>
        <v>사적</v>
      </c>
      <c r="F1367" s="9" t="str">
        <f>[1]Discovery!G1373</f>
        <v>C</v>
      </c>
      <c r="G1367" s="9" t="str">
        <f>IFERROR(VLOOKUP(표1[[#This Row],[명칭]],'문화권 정리'!C:D,2,FALSE),"-")</f>
        <v>서남아시아</v>
      </c>
      <c r="H1367" s="38" t="str">
        <f>IFERROR(COUNTIF([2]OceanDoodad!$Y:$Y,표1[[#This Row],[명칭]]),"-")</f>
        <v>-</v>
      </c>
      <c r="I1367" s="38">
        <f>IFERROR(COUNTIF([1]AdventureDiscoveryGroup!$D$8:$AW$92,표1[[#This Row],[명칭]]),"-")</f>
        <v>1</v>
      </c>
      <c r="J1367" s="38">
        <f>IFERROR(COUNTIF([1]FishDiscoveryGroup!$A:$X,표1[[#This Row],[명칭]]),"-")</f>
        <v>0</v>
      </c>
      <c r="K1367" s="38" t="str">
        <f>IFERROR(COUNTIF([2]Town!$B:$B,표1[[#This Row],[명칭]]),"-")</f>
        <v>-</v>
      </c>
      <c r="L1367" s="38">
        <f>IFERROR(COUNTIF([1]Village!$BR:$BR,표1[[#This Row],[명칭]]),"-")</f>
        <v>0</v>
      </c>
      <c r="M1367" s="38">
        <f>COUNTIF(퀘스트!B:B,표1[[#This Row],[명칭]])</f>
        <v>0</v>
      </c>
      <c r="N1367" s="65">
        <f>COUNTIF([1]VillageDiscoveryGroup!$C:$C,표1[[#This Row],[명칭]])</f>
        <v>0</v>
      </c>
      <c r="O1367" s="65">
        <f>SUM(표1[[#This Row],[해양탐색]:[마을탐험]])</f>
        <v>1</v>
      </c>
    </row>
    <row r="1368" spans="2:15" ht="13.5" customHeight="1" x14ac:dyDescent="0.3">
      <c r="B1368" s="9">
        <f>[1]Discovery!A1374</f>
        <v>70410014</v>
      </c>
      <c r="C1368" s="9" t="str">
        <f>[1]Discovery!B1374</f>
        <v>란세오 메도스</v>
      </c>
      <c r="D1368" s="9" t="str">
        <f>[1]Discovery!E1374</f>
        <v>건축</v>
      </c>
      <c r="E1368" s="9" t="str">
        <f>[1]Discovery!C1374</f>
        <v>사적</v>
      </c>
      <c r="F1368" s="9" t="str">
        <f>[1]Discovery!G1374</f>
        <v>A</v>
      </c>
      <c r="G1368" s="9" t="str">
        <f>IFERROR(VLOOKUP(표1[[#This Row],[명칭]],'문화권 정리'!C:D,2,FALSE),"-")</f>
        <v>북아메리카</v>
      </c>
      <c r="H1368" s="38" t="str">
        <f>IFERROR(COUNTIF([2]OceanDoodad!$Y:$Y,표1[[#This Row],[명칭]]),"-")</f>
        <v>-</v>
      </c>
      <c r="I1368" s="38">
        <f>IFERROR(COUNTIF([1]AdventureDiscoveryGroup!$D$8:$AW$92,표1[[#This Row],[명칭]]),"-")</f>
        <v>0</v>
      </c>
      <c r="J1368" s="38">
        <f>IFERROR(COUNTIF([1]FishDiscoveryGroup!$A:$X,표1[[#This Row],[명칭]]),"-")</f>
        <v>0</v>
      </c>
      <c r="K1368" s="38" t="str">
        <f>IFERROR(COUNTIF([2]Town!$B:$B,표1[[#This Row],[명칭]]),"-")</f>
        <v>-</v>
      </c>
      <c r="L1368" s="38">
        <f>IFERROR(COUNTIF([1]Village!$BR:$BR,표1[[#This Row],[명칭]]),"-")</f>
        <v>0</v>
      </c>
      <c r="M1368" s="38">
        <f>COUNTIF(퀘스트!B:B,표1[[#This Row],[명칭]])</f>
        <v>0</v>
      </c>
      <c r="N1368" s="65">
        <f>COUNTIF([1]VillageDiscoveryGroup!$C:$C,표1[[#This Row],[명칭]])</f>
        <v>0</v>
      </c>
      <c r="O1368" s="65">
        <f>SUM(표1[[#This Row],[해양탐색]:[마을탐험]])</f>
        <v>0</v>
      </c>
    </row>
    <row r="1369" spans="2:15" ht="13.5" customHeight="1" x14ac:dyDescent="0.3">
      <c r="B1369" s="9">
        <f>[1]Discovery!A1375</f>
        <v>70410015</v>
      </c>
      <c r="C1369" s="9" t="str">
        <f>[1]Discovery!B1375</f>
        <v>렙티스마그나</v>
      </c>
      <c r="D1369" s="9" t="str">
        <f>[1]Discovery!E1375</f>
        <v>건축</v>
      </c>
      <c r="E1369" s="9" t="str">
        <f>[1]Discovery!C1375</f>
        <v>사적</v>
      </c>
      <c r="F1369" s="9" t="str">
        <f>[1]Discovery!G1375</f>
        <v>C</v>
      </c>
      <c r="G1369" s="9" t="str">
        <f>IFERROR(VLOOKUP(표1[[#This Row],[명칭]],'문화권 정리'!C:D,2,FALSE),"-")</f>
        <v>지중해</v>
      </c>
      <c r="H1369" s="38" t="str">
        <f>IFERROR(COUNTIF([2]OceanDoodad!$Y:$Y,표1[[#This Row],[명칭]]),"-")</f>
        <v>-</v>
      </c>
      <c r="I1369" s="38">
        <f>IFERROR(COUNTIF([1]AdventureDiscoveryGroup!$D$8:$AW$92,표1[[#This Row],[명칭]]),"-")</f>
        <v>0</v>
      </c>
      <c r="J1369" s="38">
        <f>IFERROR(COUNTIF([1]FishDiscoveryGroup!$A:$X,표1[[#This Row],[명칭]]),"-")</f>
        <v>0</v>
      </c>
      <c r="K1369" s="38" t="str">
        <f>IFERROR(COUNTIF([2]Town!$B:$B,표1[[#This Row],[명칭]]),"-")</f>
        <v>-</v>
      </c>
      <c r="L1369" s="38">
        <f>IFERROR(COUNTIF([1]Village!$BR:$BR,표1[[#This Row],[명칭]]),"-")</f>
        <v>0</v>
      </c>
      <c r="M1369" s="38">
        <f>COUNTIF(퀘스트!B:B,표1[[#This Row],[명칭]])</f>
        <v>0</v>
      </c>
      <c r="N1369" s="65">
        <f>COUNTIF([1]VillageDiscoveryGroup!$C:$C,표1[[#This Row],[명칭]])</f>
        <v>0</v>
      </c>
      <c r="O1369" s="65">
        <f>SUM(표1[[#This Row],[해양탐색]:[마을탐험]])</f>
        <v>0</v>
      </c>
    </row>
    <row r="1370" spans="2:15" ht="13.5" customHeight="1" x14ac:dyDescent="0.3">
      <c r="B1370" s="9">
        <f>[1]Discovery!A1376</f>
        <v>70410016</v>
      </c>
      <c r="C1370" s="9" t="str">
        <f>[1]Discovery!B1376</f>
        <v>로도스 중세 도시</v>
      </c>
      <c r="D1370" s="9" t="str">
        <f>[1]Discovery!E1376</f>
        <v>건축</v>
      </c>
      <c r="E1370" s="9" t="str">
        <f>[1]Discovery!C1376</f>
        <v>사적</v>
      </c>
      <c r="F1370" s="9" t="str">
        <f>[1]Discovery!G1376</f>
        <v>B</v>
      </c>
      <c r="G1370" s="9" t="str">
        <f>IFERROR(VLOOKUP(표1[[#This Row],[명칭]],'문화권 정리'!C:D,2,FALSE),"-")</f>
        <v>지중해</v>
      </c>
      <c r="H1370" s="38" t="str">
        <f>IFERROR(COUNTIF([2]OceanDoodad!$Y:$Y,표1[[#This Row],[명칭]]),"-")</f>
        <v>-</v>
      </c>
      <c r="I1370" s="38">
        <f>IFERROR(COUNTIF([1]AdventureDiscoveryGroup!$D$8:$AW$92,표1[[#This Row],[명칭]]),"-")</f>
        <v>0</v>
      </c>
      <c r="J1370" s="38">
        <f>IFERROR(COUNTIF([1]FishDiscoveryGroup!$A:$X,표1[[#This Row],[명칭]]),"-")</f>
        <v>0</v>
      </c>
      <c r="K1370" s="38" t="str">
        <f>IFERROR(COUNTIF([2]Town!$B:$B,표1[[#This Row],[명칭]]),"-")</f>
        <v>-</v>
      </c>
      <c r="L1370" s="38">
        <f>IFERROR(COUNTIF([1]Village!$BR:$BR,표1[[#This Row],[명칭]]),"-")</f>
        <v>0</v>
      </c>
      <c r="M1370" s="38">
        <f>COUNTIF(퀘스트!B:B,표1[[#This Row],[명칭]])</f>
        <v>0</v>
      </c>
      <c r="N1370" s="65">
        <f>COUNTIF([1]VillageDiscoveryGroup!$C:$C,표1[[#This Row],[명칭]])</f>
        <v>0</v>
      </c>
      <c r="O1370" s="65">
        <f>SUM(표1[[#This Row],[해양탐색]:[마을탐험]])</f>
        <v>0</v>
      </c>
    </row>
    <row r="1371" spans="2:15" ht="13.5" customHeight="1" x14ac:dyDescent="0.3">
      <c r="B1371" s="9">
        <f>[1]Discovery!A1377</f>
        <v>70410017</v>
      </c>
      <c r="C1371" s="9" t="str">
        <f>[1]Discovery!B1377</f>
        <v>룽먼 석굴</v>
      </c>
      <c r="D1371" s="9" t="str">
        <f>[1]Discovery!E1377</f>
        <v>건축</v>
      </c>
      <c r="E1371" s="9" t="str">
        <f>[1]Discovery!C1377</f>
        <v>사적</v>
      </c>
      <c r="F1371" s="9" t="str">
        <f>[1]Discovery!G1377</f>
        <v>A</v>
      </c>
      <c r="G1371" s="9" t="str">
        <f>IFERROR(VLOOKUP(표1[[#This Row],[명칭]],'문화권 정리'!C:D,2,FALSE),"-")</f>
        <v>동아시아</v>
      </c>
      <c r="H1371" s="38" t="str">
        <f>IFERROR(COUNTIF([2]OceanDoodad!$Y:$Y,표1[[#This Row],[명칭]]),"-")</f>
        <v>-</v>
      </c>
      <c r="I1371" s="38">
        <f>IFERROR(COUNTIF([1]AdventureDiscoveryGroup!$D$8:$AW$92,표1[[#This Row],[명칭]]),"-")</f>
        <v>0</v>
      </c>
      <c r="J1371" s="38">
        <f>IFERROR(COUNTIF([1]FishDiscoveryGroup!$A:$X,표1[[#This Row],[명칭]]),"-")</f>
        <v>0</v>
      </c>
      <c r="K1371" s="38" t="str">
        <f>IFERROR(COUNTIF([2]Town!$B:$B,표1[[#This Row],[명칭]]),"-")</f>
        <v>-</v>
      </c>
      <c r="L1371" s="38">
        <f>IFERROR(COUNTIF([1]Village!$BR:$BR,표1[[#This Row],[명칭]]),"-")</f>
        <v>0</v>
      </c>
      <c r="M1371" s="38">
        <f>COUNTIF(퀘스트!B:B,표1[[#This Row],[명칭]])</f>
        <v>0</v>
      </c>
      <c r="N1371" s="65">
        <f>COUNTIF([1]VillageDiscoveryGroup!$C:$C,표1[[#This Row],[명칭]])</f>
        <v>0</v>
      </c>
      <c r="O1371" s="65">
        <f>SUM(표1[[#This Row],[해양탐색]:[마을탐험]])</f>
        <v>0</v>
      </c>
    </row>
    <row r="1372" spans="2:15" ht="13.5" customHeight="1" x14ac:dyDescent="0.3">
      <c r="B1372" s="9">
        <f>[1]Discovery!A1378</f>
        <v>70410018</v>
      </c>
      <c r="C1372" s="9" t="str">
        <f>[1]Discovery!B1378</f>
        <v>류리크의 무덤</v>
      </c>
      <c r="D1372" s="9" t="str">
        <f>[1]Discovery!E1378</f>
        <v>건축</v>
      </c>
      <c r="E1372" s="9" t="str">
        <f>[1]Discovery!C1378</f>
        <v>사적</v>
      </c>
      <c r="F1372" s="9" t="str">
        <f>[1]Discovery!G1378</f>
        <v>S</v>
      </c>
      <c r="G1372" s="9" t="str">
        <f>IFERROR(VLOOKUP(표1[[#This Row],[명칭]],'문화권 정리'!C:D,2,FALSE),"-")</f>
        <v>지중해</v>
      </c>
      <c r="H1372" s="38" t="str">
        <f>IFERROR(COUNTIF([2]OceanDoodad!$Y:$Y,표1[[#This Row],[명칭]]),"-")</f>
        <v>-</v>
      </c>
      <c r="I1372" s="38">
        <f>IFERROR(COUNTIF([1]AdventureDiscoveryGroup!$D$8:$AW$92,표1[[#This Row],[명칭]]),"-")</f>
        <v>0</v>
      </c>
      <c r="J1372" s="38">
        <f>IFERROR(COUNTIF([1]FishDiscoveryGroup!$A:$X,표1[[#This Row],[명칭]]),"-")</f>
        <v>0</v>
      </c>
      <c r="K1372" s="38" t="str">
        <f>IFERROR(COUNTIF([2]Town!$B:$B,표1[[#This Row],[명칭]]),"-")</f>
        <v>-</v>
      </c>
      <c r="L1372" s="38">
        <f>IFERROR(COUNTIF([1]Village!$BR:$BR,표1[[#This Row],[명칭]]),"-")</f>
        <v>0</v>
      </c>
      <c r="M1372" s="38">
        <f>COUNTIF(퀘스트!B:B,표1[[#This Row],[명칭]])</f>
        <v>0</v>
      </c>
      <c r="N1372" s="65">
        <f>COUNTIF([1]VillageDiscoveryGroup!$C:$C,표1[[#This Row],[명칭]])</f>
        <v>0</v>
      </c>
      <c r="O1372" s="65">
        <f>SUM(표1[[#This Row],[해양탐색]:[마을탐험]])</f>
        <v>0</v>
      </c>
    </row>
    <row r="1373" spans="2:15" ht="13.5" customHeight="1" x14ac:dyDescent="0.3">
      <c r="B1373" s="9">
        <f>[1]Discovery!A1379</f>
        <v>70410019</v>
      </c>
      <c r="C1373" s="9" t="str">
        <f>[1]Discovery!B1379</f>
        <v>마추픽추</v>
      </c>
      <c r="D1373" s="9" t="str">
        <f>[1]Discovery!E1379</f>
        <v>건축</v>
      </c>
      <c r="E1373" s="9" t="str">
        <f>[1]Discovery!C1379</f>
        <v>사적</v>
      </c>
      <c r="F1373" s="9" t="str">
        <f>[1]Discovery!G1379</f>
        <v>S</v>
      </c>
      <c r="G1373" s="9" t="str">
        <f>IFERROR(VLOOKUP(표1[[#This Row],[명칭]],'문화권 정리'!C:D,2,FALSE),"-")</f>
        <v>남아메리카</v>
      </c>
      <c r="H1373" s="38" t="str">
        <f>IFERROR(COUNTIF([2]OceanDoodad!$Y:$Y,표1[[#This Row],[명칭]]),"-")</f>
        <v>-</v>
      </c>
      <c r="I1373" s="38">
        <f>IFERROR(COUNTIF([1]AdventureDiscoveryGroup!$D$8:$AW$92,표1[[#This Row],[명칭]]),"-")</f>
        <v>0</v>
      </c>
      <c r="J1373" s="38">
        <f>IFERROR(COUNTIF([1]FishDiscoveryGroup!$A:$X,표1[[#This Row],[명칭]]),"-")</f>
        <v>0</v>
      </c>
      <c r="K1373" s="38" t="str">
        <f>IFERROR(COUNTIF([2]Town!$B:$B,표1[[#This Row],[명칭]]),"-")</f>
        <v>-</v>
      </c>
      <c r="L1373" s="38">
        <f>IFERROR(COUNTIF([1]Village!$BR:$BR,표1[[#This Row],[명칭]]),"-")</f>
        <v>0</v>
      </c>
      <c r="M1373" s="38">
        <f>COUNTIF(퀘스트!B:B,표1[[#This Row],[명칭]])</f>
        <v>0</v>
      </c>
      <c r="N1373" s="65">
        <f>COUNTIF([1]VillageDiscoveryGroup!$C:$C,표1[[#This Row],[명칭]])</f>
        <v>0</v>
      </c>
      <c r="O1373" s="65">
        <f>SUM(표1[[#This Row],[해양탐색]:[마을탐험]])</f>
        <v>0</v>
      </c>
    </row>
    <row r="1374" spans="2:15" ht="13.5" customHeight="1" x14ac:dyDescent="0.3">
      <c r="B1374" s="9">
        <f>[1]Discovery!A1380</f>
        <v>70410020</v>
      </c>
      <c r="C1374" s="9" t="str">
        <f>[1]Discovery!B1380</f>
        <v>만리장성</v>
      </c>
      <c r="D1374" s="9" t="str">
        <f>[1]Discovery!E1380</f>
        <v>건축</v>
      </c>
      <c r="E1374" s="9" t="str">
        <f>[1]Discovery!C1380</f>
        <v>사적</v>
      </c>
      <c r="F1374" s="9" t="str">
        <f>[1]Discovery!G1380</f>
        <v>A</v>
      </c>
      <c r="G1374" s="9" t="str">
        <f>IFERROR(VLOOKUP(표1[[#This Row],[명칭]],'문화권 정리'!C:D,2,FALSE),"-")</f>
        <v>동아시아</v>
      </c>
      <c r="H1374" s="38" t="str">
        <f>IFERROR(COUNTIF([2]OceanDoodad!$Y:$Y,표1[[#This Row],[명칭]]),"-")</f>
        <v>-</v>
      </c>
      <c r="I1374" s="38">
        <f>IFERROR(COUNTIF([1]AdventureDiscoveryGroup!$D$8:$AW$92,표1[[#This Row],[명칭]]),"-")</f>
        <v>0</v>
      </c>
      <c r="J1374" s="38">
        <f>IFERROR(COUNTIF([1]FishDiscoveryGroup!$A:$X,표1[[#This Row],[명칭]]),"-")</f>
        <v>0</v>
      </c>
      <c r="K1374" s="38" t="str">
        <f>IFERROR(COUNTIF([2]Town!$B:$B,표1[[#This Row],[명칭]]),"-")</f>
        <v>-</v>
      </c>
      <c r="L1374" s="38">
        <f>IFERROR(COUNTIF([1]Village!$BR:$BR,표1[[#This Row],[명칭]]),"-")</f>
        <v>0</v>
      </c>
      <c r="M1374" s="38">
        <f>COUNTIF(퀘스트!B:B,표1[[#This Row],[명칭]])</f>
        <v>1</v>
      </c>
      <c r="N1374" s="65">
        <f>COUNTIF([1]VillageDiscoveryGroup!$C:$C,표1[[#This Row],[명칭]])</f>
        <v>0</v>
      </c>
      <c r="O1374" s="65">
        <f>SUM(표1[[#This Row],[해양탐색]:[마을탐험]])</f>
        <v>1</v>
      </c>
    </row>
    <row r="1375" spans="2:15" ht="13.5" customHeight="1" x14ac:dyDescent="0.3">
      <c r="B1375" s="9">
        <f>[1]Discovery!A1381</f>
        <v>70410021</v>
      </c>
      <c r="C1375" s="9" t="str">
        <f>[1]Discovery!B1381</f>
        <v>만쿠니움 요새</v>
      </c>
      <c r="D1375" s="9" t="str">
        <f>[1]Discovery!E1381</f>
        <v>건축</v>
      </c>
      <c r="E1375" s="9" t="str">
        <f>[1]Discovery!C1381</f>
        <v>사적</v>
      </c>
      <c r="F1375" s="9" t="str">
        <f>[1]Discovery!G1381</f>
        <v>D</v>
      </c>
      <c r="G1375" s="9" t="str">
        <f>IFERROR(VLOOKUP(표1[[#This Row],[명칭]],'문화권 정리'!C:D,2,FALSE),"-")</f>
        <v>브리튼</v>
      </c>
      <c r="H1375" s="38" t="str">
        <f>IFERROR(COUNTIF([2]OceanDoodad!$Y:$Y,표1[[#This Row],[명칭]]),"-")</f>
        <v>-</v>
      </c>
      <c r="I1375" s="38">
        <f>IFERROR(COUNTIF([1]AdventureDiscoveryGroup!$D$8:$AW$92,표1[[#This Row],[명칭]]),"-")</f>
        <v>1</v>
      </c>
      <c r="J1375" s="38">
        <f>IFERROR(COUNTIF([1]FishDiscoveryGroup!$A:$X,표1[[#This Row],[명칭]]),"-")</f>
        <v>0</v>
      </c>
      <c r="K1375" s="38" t="str">
        <f>IFERROR(COUNTIF([2]Town!$B:$B,표1[[#This Row],[명칭]]),"-")</f>
        <v>-</v>
      </c>
      <c r="L1375" s="38">
        <f>IFERROR(COUNTIF([1]Village!$BR:$BR,표1[[#This Row],[명칭]]),"-")</f>
        <v>0</v>
      </c>
      <c r="M1375" s="38">
        <f>COUNTIF(퀘스트!B:B,표1[[#This Row],[명칭]])</f>
        <v>0</v>
      </c>
      <c r="N1375" s="65">
        <f>COUNTIF([1]VillageDiscoveryGroup!$C:$C,표1[[#This Row],[명칭]])</f>
        <v>0</v>
      </c>
      <c r="O1375" s="65">
        <f>SUM(표1[[#This Row],[해양탐색]:[마을탐험]])</f>
        <v>1</v>
      </c>
    </row>
    <row r="1376" spans="2:15" ht="13.5" customHeight="1" x14ac:dyDescent="0.3">
      <c r="B1376" s="9">
        <f>[1]Discovery!A1382</f>
        <v>70410022</v>
      </c>
      <c r="C1376" s="9" t="str">
        <f>[1]Discovery!B1382</f>
        <v>모헨조다로</v>
      </c>
      <c r="D1376" s="9" t="str">
        <f>[1]Discovery!E1382</f>
        <v>건축</v>
      </c>
      <c r="E1376" s="9" t="str">
        <f>[1]Discovery!C1382</f>
        <v>사적</v>
      </c>
      <c r="F1376" s="9" t="str">
        <f>[1]Discovery!G1382</f>
        <v>S</v>
      </c>
      <c r="G1376" s="9" t="str">
        <f>IFERROR(VLOOKUP(표1[[#This Row],[명칭]],'문화권 정리'!C:D,2,FALSE),"-")</f>
        <v>남아시아</v>
      </c>
      <c r="H1376" s="38" t="str">
        <f>IFERROR(COUNTIF([2]OceanDoodad!$Y:$Y,표1[[#This Row],[명칭]]),"-")</f>
        <v>-</v>
      </c>
      <c r="I1376" s="38">
        <f>IFERROR(COUNTIF([1]AdventureDiscoveryGroup!$D$8:$AW$92,표1[[#This Row],[명칭]]),"-")</f>
        <v>0</v>
      </c>
      <c r="J1376" s="38">
        <f>IFERROR(COUNTIF([1]FishDiscoveryGroup!$A:$X,표1[[#This Row],[명칭]]),"-")</f>
        <v>0</v>
      </c>
      <c r="K1376" s="38" t="str">
        <f>IFERROR(COUNTIF([2]Town!$B:$B,표1[[#This Row],[명칭]]),"-")</f>
        <v>-</v>
      </c>
      <c r="L1376" s="38">
        <f>IFERROR(COUNTIF([1]Village!$BR:$BR,표1[[#This Row],[명칭]]),"-")</f>
        <v>0</v>
      </c>
      <c r="M1376" s="38">
        <f>COUNTIF(퀘스트!B:B,표1[[#This Row],[명칭]])</f>
        <v>1</v>
      </c>
      <c r="N1376" s="65">
        <f>COUNTIF([1]VillageDiscoveryGroup!$C:$C,표1[[#This Row],[명칭]])</f>
        <v>0</v>
      </c>
      <c r="O1376" s="65">
        <f>SUM(표1[[#This Row],[해양탐색]:[마을탐험]])</f>
        <v>1</v>
      </c>
    </row>
    <row r="1377" spans="2:15" ht="13.5" customHeight="1" x14ac:dyDescent="0.3">
      <c r="B1377" s="9">
        <f>[1]Discovery!A1383</f>
        <v>70410023</v>
      </c>
      <c r="C1377" s="9" t="str">
        <f>[1]Discovery!B1383</f>
        <v>무당산 오룡궁</v>
      </c>
      <c r="D1377" s="9" t="str">
        <f>[1]Discovery!E1383</f>
        <v>건축</v>
      </c>
      <c r="E1377" s="9" t="str">
        <f>[1]Discovery!C1383</f>
        <v>사적</v>
      </c>
      <c r="F1377" s="9" t="str">
        <f>[1]Discovery!G1383</f>
        <v>B</v>
      </c>
      <c r="G1377" s="9" t="str">
        <f>IFERROR(VLOOKUP(표1[[#This Row],[명칭]],'문화권 정리'!C:D,2,FALSE),"-")</f>
        <v>동아시아</v>
      </c>
      <c r="H1377" s="38" t="str">
        <f>IFERROR(COUNTIF([2]OceanDoodad!$Y:$Y,표1[[#This Row],[명칭]]),"-")</f>
        <v>-</v>
      </c>
      <c r="I1377" s="38">
        <f>IFERROR(COUNTIF([1]AdventureDiscoveryGroup!$D$8:$AW$92,표1[[#This Row],[명칭]]),"-")</f>
        <v>0</v>
      </c>
      <c r="J1377" s="38">
        <f>IFERROR(COUNTIF([1]FishDiscoveryGroup!$A:$X,표1[[#This Row],[명칭]]),"-")</f>
        <v>0</v>
      </c>
      <c r="K1377" s="38" t="str">
        <f>IFERROR(COUNTIF([2]Town!$B:$B,표1[[#This Row],[명칭]]),"-")</f>
        <v>-</v>
      </c>
      <c r="L1377" s="38">
        <f>IFERROR(COUNTIF([1]Village!$BR:$BR,표1[[#This Row],[명칭]]),"-")</f>
        <v>0</v>
      </c>
      <c r="M1377" s="38">
        <f>COUNTIF(퀘스트!B:B,표1[[#This Row],[명칭]])</f>
        <v>0</v>
      </c>
      <c r="N1377" s="65">
        <f>COUNTIF([1]VillageDiscoveryGroup!$C:$C,표1[[#This Row],[명칭]])</f>
        <v>0</v>
      </c>
      <c r="O1377" s="65">
        <f>SUM(표1[[#This Row],[해양탐색]:[마을탐험]])</f>
        <v>0</v>
      </c>
    </row>
    <row r="1378" spans="2:15" ht="13.5" customHeight="1" x14ac:dyDescent="0.3">
      <c r="B1378" s="9">
        <f>[1]Discovery!A1384</f>
        <v>70410024</v>
      </c>
      <c r="C1378" s="9" t="str">
        <f>[1]Discovery!B1384</f>
        <v>무령왕릉</v>
      </c>
      <c r="D1378" s="9" t="str">
        <f>[1]Discovery!E1384</f>
        <v>건축</v>
      </c>
      <c r="E1378" s="9" t="str">
        <f>[1]Discovery!C1384</f>
        <v>사적</v>
      </c>
      <c r="F1378" s="9" t="str">
        <f>[1]Discovery!G1384</f>
        <v>B</v>
      </c>
      <c r="G1378" s="9" t="str">
        <f>IFERROR(VLOOKUP(표1[[#This Row],[명칭]],'문화권 정리'!C:D,2,FALSE),"-")</f>
        <v>동아시아</v>
      </c>
      <c r="H1378" s="38" t="str">
        <f>IFERROR(COUNTIF([2]OceanDoodad!$Y:$Y,표1[[#This Row],[명칭]]),"-")</f>
        <v>-</v>
      </c>
      <c r="I1378" s="38">
        <f>IFERROR(COUNTIF([1]AdventureDiscoveryGroup!$D$8:$AW$92,표1[[#This Row],[명칭]]),"-")</f>
        <v>0</v>
      </c>
      <c r="J1378" s="38">
        <f>IFERROR(COUNTIF([1]FishDiscoveryGroup!$A:$X,표1[[#This Row],[명칭]]),"-")</f>
        <v>0</v>
      </c>
      <c r="K1378" s="38" t="str">
        <f>IFERROR(COUNTIF([2]Town!$B:$B,표1[[#This Row],[명칭]]),"-")</f>
        <v>-</v>
      </c>
      <c r="L1378" s="38">
        <f>IFERROR(COUNTIF([1]Village!$BR:$BR,표1[[#This Row],[명칭]]),"-")</f>
        <v>0</v>
      </c>
      <c r="M1378" s="38">
        <f>COUNTIF(퀘스트!B:B,표1[[#This Row],[명칭]])</f>
        <v>0</v>
      </c>
      <c r="N1378" s="65">
        <f>COUNTIF([1]VillageDiscoveryGroup!$C:$C,표1[[#This Row],[명칭]])</f>
        <v>0</v>
      </c>
      <c r="O1378" s="65">
        <f>SUM(표1[[#This Row],[해양탐색]:[마을탐험]])</f>
        <v>0</v>
      </c>
    </row>
    <row r="1379" spans="2:15" ht="13.5" customHeight="1" x14ac:dyDescent="0.3">
      <c r="B1379" s="9">
        <f>[1]Discovery!A1385</f>
        <v>70410025</v>
      </c>
      <c r="C1379" s="9" t="str">
        <f>[1]Discovery!B1385</f>
        <v>미륵사지 석탑</v>
      </c>
      <c r="D1379" s="9" t="str">
        <f>[1]Discovery!E1385</f>
        <v>건축</v>
      </c>
      <c r="E1379" s="9" t="str">
        <f>[1]Discovery!C1385</f>
        <v>종교 건축물</v>
      </c>
      <c r="F1379" s="9" t="str">
        <f>[1]Discovery!G1385</f>
        <v>B</v>
      </c>
      <c r="G1379" s="9" t="str">
        <f>IFERROR(VLOOKUP(표1[[#This Row],[명칭]],'문화권 정리'!C:D,2,FALSE),"-")</f>
        <v>동아시아</v>
      </c>
      <c r="H1379" s="38" t="str">
        <f>IFERROR(COUNTIF([2]OceanDoodad!$Y:$Y,표1[[#This Row],[명칭]]),"-")</f>
        <v>-</v>
      </c>
      <c r="I1379" s="38">
        <f>IFERROR(COUNTIF([1]AdventureDiscoveryGroup!$D$8:$AW$92,표1[[#This Row],[명칭]]),"-")</f>
        <v>0</v>
      </c>
      <c r="J1379" s="38">
        <f>IFERROR(COUNTIF([1]FishDiscoveryGroup!$A:$X,표1[[#This Row],[명칭]]),"-")</f>
        <v>0</v>
      </c>
      <c r="K1379" s="38" t="str">
        <f>IFERROR(COUNTIF([2]Town!$B:$B,표1[[#This Row],[명칭]]),"-")</f>
        <v>-</v>
      </c>
      <c r="L1379" s="38">
        <f>IFERROR(COUNTIF([1]Village!$BR:$BR,표1[[#This Row],[명칭]]),"-")</f>
        <v>0</v>
      </c>
      <c r="M1379" s="38">
        <f>COUNTIF(퀘스트!B:B,표1[[#This Row],[명칭]])</f>
        <v>0</v>
      </c>
      <c r="N1379" s="65">
        <f>COUNTIF([1]VillageDiscoveryGroup!$C:$C,표1[[#This Row],[명칭]])</f>
        <v>0</v>
      </c>
      <c r="O1379" s="65">
        <f>SUM(표1[[#This Row],[해양탐색]:[마을탐험]])</f>
        <v>0</v>
      </c>
    </row>
    <row r="1380" spans="2:15" ht="13.5" customHeight="1" x14ac:dyDescent="0.3">
      <c r="B1380" s="9">
        <f>[1]Discovery!A1386</f>
        <v>70410026</v>
      </c>
      <c r="C1380" s="9" t="str">
        <f>[1]Discovery!B1386</f>
        <v>미케네</v>
      </c>
      <c r="D1380" s="9" t="str">
        <f>[1]Discovery!E1386</f>
        <v>건축</v>
      </c>
      <c r="E1380" s="9" t="str">
        <f>[1]Discovery!C1386</f>
        <v>사적</v>
      </c>
      <c r="F1380" s="9" t="str">
        <f>[1]Discovery!G1386</f>
        <v>A</v>
      </c>
      <c r="G1380" s="9" t="str">
        <f>IFERROR(VLOOKUP(표1[[#This Row],[명칭]],'문화권 정리'!C:D,2,FALSE),"-")</f>
        <v>지중해</v>
      </c>
      <c r="H1380" s="38" t="str">
        <f>IFERROR(COUNTIF([2]OceanDoodad!$Y:$Y,표1[[#This Row],[명칭]]),"-")</f>
        <v>-</v>
      </c>
      <c r="I1380" s="38">
        <f>IFERROR(COUNTIF([1]AdventureDiscoveryGroup!$D$8:$AW$92,표1[[#This Row],[명칭]]),"-")</f>
        <v>0</v>
      </c>
      <c r="J1380" s="38">
        <f>IFERROR(COUNTIF([1]FishDiscoveryGroup!$A:$X,표1[[#This Row],[명칭]]),"-")</f>
        <v>0</v>
      </c>
      <c r="K1380" s="38" t="str">
        <f>IFERROR(COUNTIF([2]Town!$B:$B,표1[[#This Row],[명칭]]),"-")</f>
        <v>-</v>
      </c>
      <c r="L1380" s="38">
        <f>IFERROR(COUNTIF([1]Village!$BR:$BR,표1[[#This Row],[명칭]]),"-")</f>
        <v>0</v>
      </c>
      <c r="M1380" s="38">
        <f>COUNTIF(퀘스트!B:B,표1[[#This Row],[명칭]])</f>
        <v>0</v>
      </c>
      <c r="N1380" s="65">
        <f>COUNTIF([1]VillageDiscoveryGroup!$C:$C,표1[[#This Row],[명칭]])</f>
        <v>0</v>
      </c>
      <c r="O1380" s="65">
        <f>SUM(표1[[#This Row],[해양탐색]:[마을탐험]])</f>
        <v>0</v>
      </c>
    </row>
    <row r="1381" spans="2:15" ht="13.5" customHeight="1" x14ac:dyDescent="0.3">
      <c r="B1381" s="9">
        <f>[1]Discovery!A1387</f>
        <v>70410027</v>
      </c>
      <c r="C1381" s="9" t="str">
        <f>[1]Discovery!B1387</f>
        <v>베르기나 유적</v>
      </c>
      <c r="D1381" s="9" t="str">
        <f>[1]Discovery!E1387</f>
        <v>건축</v>
      </c>
      <c r="E1381" s="9" t="str">
        <f>[1]Discovery!C1387</f>
        <v>사적</v>
      </c>
      <c r="F1381" s="9" t="str">
        <f>[1]Discovery!G1387</f>
        <v>B</v>
      </c>
      <c r="G1381" s="9" t="str">
        <f>IFERROR(VLOOKUP(표1[[#This Row],[명칭]],'문화권 정리'!C:D,2,FALSE),"-")</f>
        <v>지중해</v>
      </c>
      <c r="H1381" s="38" t="str">
        <f>IFERROR(COUNTIF([2]OceanDoodad!$Y:$Y,표1[[#This Row],[명칭]]),"-")</f>
        <v>-</v>
      </c>
      <c r="I1381" s="38">
        <f>IFERROR(COUNTIF([1]AdventureDiscoveryGroup!$D$8:$AW$92,표1[[#This Row],[명칭]]),"-")</f>
        <v>0</v>
      </c>
      <c r="J1381" s="38">
        <f>IFERROR(COUNTIF([1]FishDiscoveryGroup!$A:$X,표1[[#This Row],[명칭]]),"-")</f>
        <v>0</v>
      </c>
      <c r="K1381" s="38" t="str">
        <f>IFERROR(COUNTIF([2]Town!$B:$B,표1[[#This Row],[명칭]]),"-")</f>
        <v>-</v>
      </c>
      <c r="L1381" s="38">
        <f>IFERROR(COUNTIF([1]Village!$BR:$BR,표1[[#This Row],[명칭]]),"-")</f>
        <v>0</v>
      </c>
      <c r="M1381" s="38">
        <f>COUNTIF(퀘스트!B:B,표1[[#This Row],[명칭]])</f>
        <v>0</v>
      </c>
      <c r="N1381" s="65">
        <f>COUNTIF([1]VillageDiscoveryGroup!$C:$C,표1[[#This Row],[명칭]])</f>
        <v>0</v>
      </c>
      <c r="O1381" s="65">
        <f>SUM(표1[[#This Row],[해양탐색]:[마을탐험]])</f>
        <v>0</v>
      </c>
    </row>
    <row r="1382" spans="2:15" ht="13.5" customHeight="1" x14ac:dyDescent="0.3">
      <c r="B1382" s="9">
        <f>[1]Discovery!A1388</f>
        <v>70410028</v>
      </c>
      <c r="C1382" s="9" t="str">
        <f>[1]Discovery!B1388</f>
        <v>보르시파</v>
      </c>
      <c r="D1382" s="9" t="str">
        <f>[1]Discovery!E1388</f>
        <v>건축</v>
      </c>
      <c r="E1382" s="9" t="str">
        <f>[1]Discovery!C1388</f>
        <v>사적</v>
      </c>
      <c r="F1382" s="9" t="str">
        <f>[1]Discovery!G1388</f>
        <v>A</v>
      </c>
      <c r="G1382" s="9" t="str">
        <f>IFERROR(VLOOKUP(표1[[#This Row],[명칭]],'문화권 정리'!C:D,2,FALSE),"-")</f>
        <v>서남아시아</v>
      </c>
      <c r="H1382" s="38" t="str">
        <f>IFERROR(COUNTIF([2]OceanDoodad!$Y:$Y,표1[[#This Row],[명칭]]),"-")</f>
        <v>-</v>
      </c>
      <c r="I1382" s="38">
        <f>IFERROR(COUNTIF([1]AdventureDiscoveryGroup!$D$8:$AW$92,표1[[#This Row],[명칭]]),"-")</f>
        <v>0</v>
      </c>
      <c r="J1382" s="38">
        <f>IFERROR(COUNTIF([1]FishDiscoveryGroup!$A:$X,표1[[#This Row],[명칭]]),"-")</f>
        <v>0</v>
      </c>
      <c r="K1382" s="38" t="str">
        <f>IFERROR(COUNTIF([2]Town!$B:$B,표1[[#This Row],[명칭]]),"-")</f>
        <v>-</v>
      </c>
      <c r="L1382" s="38">
        <f>IFERROR(COUNTIF([1]Village!$BR:$BR,표1[[#This Row],[명칭]]),"-")</f>
        <v>0</v>
      </c>
      <c r="M1382" s="38">
        <f>COUNTIF(퀘스트!B:B,표1[[#This Row],[명칭]])</f>
        <v>0</v>
      </c>
      <c r="N1382" s="65">
        <f>COUNTIF([1]VillageDiscoveryGroup!$C:$C,표1[[#This Row],[명칭]])</f>
        <v>0</v>
      </c>
      <c r="O1382" s="65">
        <f>SUM(표1[[#This Row],[해양탐색]:[마을탐험]])</f>
        <v>0</v>
      </c>
    </row>
    <row r="1383" spans="2:15" ht="13.5" customHeight="1" x14ac:dyDescent="0.3">
      <c r="B1383" s="9">
        <f>[1]Discovery!A1389</f>
        <v>70410029</v>
      </c>
      <c r="C1383" s="9" t="str">
        <f>[1]Discovery!B1389</f>
        <v>복건토루</v>
      </c>
      <c r="D1383" s="9" t="str">
        <f>[1]Discovery!E1389</f>
        <v>건축</v>
      </c>
      <c r="E1383" s="9" t="str">
        <f>[1]Discovery!C1389</f>
        <v>사적</v>
      </c>
      <c r="F1383" s="9" t="str">
        <f>[1]Discovery!G1389</f>
        <v>B</v>
      </c>
      <c r="G1383" s="9" t="str">
        <f>IFERROR(VLOOKUP(표1[[#This Row],[명칭]],'문화권 정리'!C:D,2,FALSE),"-")</f>
        <v>동아시아</v>
      </c>
      <c r="H1383" s="38" t="str">
        <f>IFERROR(COUNTIF([2]OceanDoodad!$Y:$Y,표1[[#This Row],[명칭]]),"-")</f>
        <v>-</v>
      </c>
      <c r="I1383" s="38">
        <f>IFERROR(COUNTIF([1]AdventureDiscoveryGroup!$D$8:$AW$92,표1[[#This Row],[명칭]]),"-")</f>
        <v>0</v>
      </c>
      <c r="J1383" s="38">
        <f>IFERROR(COUNTIF([1]FishDiscoveryGroup!$A:$X,표1[[#This Row],[명칭]]),"-")</f>
        <v>0</v>
      </c>
      <c r="K1383" s="38" t="str">
        <f>IFERROR(COUNTIF([2]Town!$B:$B,표1[[#This Row],[명칭]]),"-")</f>
        <v>-</v>
      </c>
      <c r="L1383" s="38">
        <f>IFERROR(COUNTIF([1]Village!$BR:$BR,표1[[#This Row],[명칭]]),"-")</f>
        <v>0</v>
      </c>
      <c r="M1383" s="38">
        <f>COUNTIF(퀘스트!B:B,표1[[#This Row],[명칭]])</f>
        <v>0</v>
      </c>
      <c r="N1383" s="65">
        <f>COUNTIF([1]VillageDiscoveryGroup!$C:$C,표1[[#This Row],[명칭]])</f>
        <v>0</v>
      </c>
      <c r="O1383" s="65">
        <f>SUM(표1[[#This Row],[해양탐색]:[마을탐험]])</f>
        <v>0</v>
      </c>
    </row>
    <row r="1384" spans="2:15" ht="13.5" customHeight="1" x14ac:dyDescent="0.3">
      <c r="B1384" s="9">
        <f>[1]Discovery!A1390</f>
        <v>70410030</v>
      </c>
      <c r="C1384" s="9" t="str">
        <f>[1]Discovery!B1390</f>
        <v>비명의 신전</v>
      </c>
      <c r="D1384" s="9" t="str">
        <f>[1]Discovery!E1390</f>
        <v>건축</v>
      </c>
      <c r="E1384" s="9" t="str">
        <f>[1]Discovery!C1390</f>
        <v>사적</v>
      </c>
      <c r="F1384" s="9" t="str">
        <f>[1]Discovery!G1390</f>
        <v>C</v>
      </c>
      <c r="G1384" s="9" t="str">
        <f>IFERROR(VLOOKUP(표1[[#This Row],[명칭]],'문화권 정리'!C:D,2,FALSE),"-")</f>
        <v>중앙아메리카</v>
      </c>
      <c r="H1384" s="38" t="str">
        <f>IFERROR(COUNTIF([2]OceanDoodad!$Y:$Y,표1[[#This Row],[명칭]]),"-")</f>
        <v>-</v>
      </c>
      <c r="I1384" s="38">
        <f>IFERROR(COUNTIF([1]AdventureDiscoveryGroup!$D$8:$AW$92,표1[[#This Row],[명칭]]),"-")</f>
        <v>0</v>
      </c>
      <c r="J1384" s="38">
        <f>IFERROR(COUNTIF([1]FishDiscoveryGroup!$A:$X,표1[[#This Row],[명칭]]),"-")</f>
        <v>0</v>
      </c>
      <c r="K1384" s="38" t="str">
        <f>IFERROR(COUNTIF([2]Town!$B:$B,표1[[#This Row],[명칭]]),"-")</f>
        <v>-</v>
      </c>
      <c r="L1384" s="38">
        <f>IFERROR(COUNTIF([1]Village!$BR:$BR,표1[[#This Row],[명칭]]),"-")</f>
        <v>0</v>
      </c>
      <c r="M1384" s="38">
        <f>COUNTIF(퀘스트!B:B,표1[[#This Row],[명칭]])</f>
        <v>1</v>
      </c>
      <c r="N1384" s="65">
        <f>COUNTIF([1]VillageDiscoveryGroup!$C:$C,표1[[#This Row],[명칭]])</f>
        <v>0</v>
      </c>
      <c r="O1384" s="65">
        <f>SUM(표1[[#This Row],[해양탐색]:[마을탐험]])</f>
        <v>1</v>
      </c>
    </row>
    <row r="1385" spans="2:15" ht="13.5" customHeight="1" x14ac:dyDescent="0.3">
      <c r="B1385" s="9">
        <f>[1]Discovery!A1391</f>
        <v>70410031</v>
      </c>
      <c r="C1385" s="9" t="str">
        <f>[1]Discovery!B1391</f>
        <v>비블로스</v>
      </c>
      <c r="D1385" s="9" t="str">
        <f>[1]Discovery!E1391</f>
        <v>건축</v>
      </c>
      <c r="E1385" s="9" t="str">
        <f>[1]Discovery!C1391</f>
        <v>사적</v>
      </c>
      <c r="F1385" s="9" t="str">
        <f>[1]Discovery!G1391</f>
        <v>B</v>
      </c>
      <c r="G1385" s="9" t="str">
        <f>IFERROR(VLOOKUP(표1[[#This Row],[명칭]],'문화권 정리'!C:D,2,FALSE),"-")</f>
        <v>지중해</v>
      </c>
      <c r="H1385" s="38" t="str">
        <f>IFERROR(COUNTIF([2]OceanDoodad!$Y:$Y,표1[[#This Row],[명칭]]),"-")</f>
        <v>-</v>
      </c>
      <c r="I1385" s="38">
        <f>IFERROR(COUNTIF([1]AdventureDiscoveryGroup!$D$8:$AW$92,표1[[#This Row],[명칭]]),"-")</f>
        <v>0</v>
      </c>
      <c r="J1385" s="38">
        <f>IFERROR(COUNTIF([1]FishDiscoveryGroup!$A:$X,표1[[#This Row],[명칭]]),"-")</f>
        <v>0</v>
      </c>
      <c r="K1385" s="38" t="str">
        <f>IFERROR(COUNTIF([2]Town!$B:$B,표1[[#This Row],[명칭]]),"-")</f>
        <v>-</v>
      </c>
      <c r="L1385" s="38">
        <f>IFERROR(COUNTIF([1]Village!$BR:$BR,표1[[#This Row],[명칭]]),"-")</f>
        <v>0</v>
      </c>
      <c r="M1385" s="38">
        <f>COUNTIF(퀘스트!B:B,표1[[#This Row],[명칭]])</f>
        <v>0</v>
      </c>
      <c r="N1385" s="65">
        <f>COUNTIF([1]VillageDiscoveryGroup!$C:$C,표1[[#This Row],[명칭]])</f>
        <v>0</v>
      </c>
      <c r="O1385" s="65">
        <f>SUM(표1[[#This Row],[해양탐색]:[마을탐험]])</f>
        <v>0</v>
      </c>
    </row>
    <row r="1386" spans="2:15" ht="13.5" customHeight="1" x14ac:dyDescent="0.3">
      <c r="B1386" s="9">
        <f>[1]Discovery!A1392</f>
        <v>70410032</v>
      </c>
      <c r="C1386" s="9" t="str">
        <f>[1]Discovery!B1392</f>
        <v>빌라 아드리아나</v>
      </c>
      <c r="D1386" s="9" t="str">
        <f>[1]Discovery!E1392</f>
        <v>건축</v>
      </c>
      <c r="E1386" s="9" t="str">
        <f>[1]Discovery!C1392</f>
        <v>사적</v>
      </c>
      <c r="F1386" s="9" t="str">
        <f>[1]Discovery!G1392</f>
        <v>D</v>
      </c>
      <c r="G1386" s="9" t="str">
        <f>IFERROR(VLOOKUP(표1[[#This Row],[명칭]],'문화권 정리'!C:D,2,FALSE),"-")</f>
        <v>지중해</v>
      </c>
      <c r="H1386" s="38" t="str">
        <f>IFERROR(COUNTIF([2]OceanDoodad!$Y:$Y,표1[[#This Row],[명칭]]),"-")</f>
        <v>-</v>
      </c>
      <c r="I1386" s="38">
        <f>IFERROR(COUNTIF([1]AdventureDiscoveryGroup!$D$8:$AW$92,표1[[#This Row],[명칭]]),"-")</f>
        <v>1</v>
      </c>
      <c r="J1386" s="38">
        <f>IFERROR(COUNTIF([1]FishDiscoveryGroup!$A:$X,표1[[#This Row],[명칭]]),"-")</f>
        <v>0</v>
      </c>
      <c r="K1386" s="38" t="str">
        <f>IFERROR(COUNTIF([2]Town!$B:$B,표1[[#This Row],[명칭]]),"-")</f>
        <v>-</v>
      </c>
      <c r="L1386" s="38">
        <f>IFERROR(COUNTIF([1]Village!$BR:$BR,표1[[#This Row],[명칭]]),"-")</f>
        <v>0</v>
      </c>
      <c r="M1386" s="38">
        <f>COUNTIF(퀘스트!B:B,표1[[#This Row],[명칭]])</f>
        <v>0</v>
      </c>
      <c r="N1386" s="65">
        <f>COUNTIF([1]VillageDiscoveryGroup!$C:$C,표1[[#This Row],[명칭]])</f>
        <v>0</v>
      </c>
      <c r="O1386" s="65">
        <f>SUM(표1[[#This Row],[해양탐색]:[마을탐험]])</f>
        <v>1</v>
      </c>
    </row>
    <row r="1387" spans="2:15" ht="13.5" customHeight="1" x14ac:dyDescent="0.3">
      <c r="B1387" s="9">
        <f>[1]Discovery!A1393</f>
        <v>70410033</v>
      </c>
      <c r="C1387" s="9" t="str">
        <f>[1]Discovery!B1393</f>
        <v>산나이마루야마</v>
      </c>
      <c r="D1387" s="9" t="str">
        <f>[1]Discovery!E1393</f>
        <v>건축</v>
      </c>
      <c r="E1387" s="9" t="str">
        <f>[1]Discovery!C1393</f>
        <v>사적</v>
      </c>
      <c r="F1387" s="9" t="str">
        <f>[1]Discovery!G1393</f>
        <v>C</v>
      </c>
      <c r="G1387" s="9" t="str">
        <f>IFERROR(VLOOKUP(표1[[#This Row],[명칭]],'문화권 정리'!C:D,2,FALSE),"-")</f>
        <v>동아시아</v>
      </c>
      <c r="H1387" s="38" t="str">
        <f>IFERROR(COUNTIF([2]OceanDoodad!$Y:$Y,표1[[#This Row],[명칭]]),"-")</f>
        <v>-</v>
      </c>
      <c r="I1387" s="38">
        <f>IFERROR(COUNTIF([1]AdventureDiscoveryGroup!$D$8:$AW$92,표1[[#This Row],[명칭]]),"-")</f>
        <v>0</v>
      </c>
      <c r="J1387" s="38">
        <f>IFERROR(COUNTIF([1]FishDiscoveryGroup!$A:$X,표1[[#This Row],[명칭]]),"-")</f>
        <v>0</v>
      </c>
      <c r="K1387" s="38" t="str">
        <f>IFERROR(COUNTIF([2]Town!$B:$B,표1[[#This Row],[명칭]]),"-")</f>
        <v>-</v>
      </c>
      <c r="L1387" s="38">
        <f>IFERROR(COUNTIF([1]Village!$BR:$BR,표1[[#This Row],[명칭]]),"-")</f>
        <v>0</v>
      </c>
      <c r="M1387" s="38">
        <f>COUNTIF(퀘스트!B:B,표1[[#This Row],[명칭]])</f>
        <v>0</v>
      </c>
      <c r="N1387" s="65">
        <f>COUNTIF([1]VillageDiscoveryGroup!$C:$C,표1[[#This Row],[명칭]])</f>
        <v>0</v>
      </c>
      <c r="O1387" s="65">
        <f>SUM(표1[[#This Row],[해양탐색]:[마을탐험]])</f>
        <v>0</v>
      </c>
    </row>
    <row r="1388" spans="2:15" ht="13.5" customHeight="1" x14ac:dyDescent="0.3">
      <c r="B1388" s="9">
        <f>[1]Discovery!A1394</f>
        <v>70410034</v>
      </c>
      <c r="C1388" s="9" t="str">
        <f>[1]Discovery!B1394</f>
        <v>서펜트 마운드</v>
      </c>
      <c r="D1388" s="9" t="str">
        <f>[1]Discovery!E1394</f>
        <v>건축</v>
      </c>
      <c r="E1388" s="9" t="str">
        <f>[1]Discovery!C1394</f>
        <v>사적</v>
      </c>
      <c r="F1388" s="9" t="str">
        <f>[1]Discovery!G1394</f>
        <v>D</v>
      </c>
      <c r="G1388" s="9" t="str">
        <f>IFERROR(VLOOKUP(표1[[#This Row],[명칭]],'문화권 정리'!C:D,2,FALSE),"-")</f>
        <v>북아메리카</v>
      </c>
      <c r="H1388" s="38" t="str">
        <f>IFERROR(COUNTIF([2]OceanDoodad!$Y:$Y,표1[[#This Row],[명칭]]),"-")</f>
        <v>-</v>
      </c>
      <c r="I1388" s="38">
        <f>IFERROR(COUNTIF([1]AdventureDiscoveryGroup!$D$8:$AW$92,표1[[#This Row],[명칭]]),"-")</f>
        <v>1</v>
      </c>
      <c r="J1388" s="38">
        <f>IFERROR(COUNTIF([1]FishDiscoveryGroup!$A:$X,표1[[#This Row],[명칭]]),"-")</f>
        <v>0</v>
      </c>
      <c r="K1388" s="38" t="str">
        <f>IFERROR(COUNTIF([2]Town!$B:$B,표1[[#This Row],[명칭]]),"-")</f>
        <v>-</v>
      </c>
      <c r="L1388" s="38">
        <f>IFERROR(COUNTIF([1]Village!$BR:$BR,표1[[#This Row],[명칭]]),"-")</f>
        <v>0</v>
      </c>
      <c r="M1388" s="38">
        <f>COUNTIF(퀘스트!B:B,표1[[#This Row],[명칭]])</f>
        <v>0</v>
      </c>
      <c r="N1388" s="65">
        <f>COUNTIF([1]VillageDiscoveryGroup!$C:$C,표1[[#This Row],[명칭]])</f>
        <v>0</v>
      </c>
      <c r="O1388" s="65">
        <f>SUM(표1[[#This Row],[해양탐색]:[마을탐험]])</f>
        <v>1</v>
      </c>
    </row>
    <row r="1389" spans="2:15" ht="13.5" customHeight="1" x14ac:dyDescent="0.3">
      <c r="B1389" s="9">
        <f>[1]Discovery!A1395</f>
        <v>70410035</v>
      </c>
      <c r="C1389" s="9" t="str">
        <f>[1]Discovery!B1395</f>
        <v>소주 원림</v>
      </c>
      <c r="D1389" s="9" t="str">
        <f>[1]Discovery!E1395</f>
        <v>건축</v>
      </c>
      <c r="E1389" s="9" t="str">
        <f>[1]Discovery!C1395</f>
        <v>사적</v>
      </c>
      <c r="F1389" s="9" t="str">
        <f>[1]Discovery!G1395</f>
        <v>B</v>
      </c>
      <c r="G1389" s="9" t="str">
        <f>IFERROR(VLOOKUP(표1[[#This Row],[명칭]],'문화권 정리'!C:D,2,FALSE),"-")</f>
        <v>동아시아</v>
      </c>
      <c r="H1389" s="38" t="str">
        <f>IFERROR(COUNTIF([2]OceanDoodad!$Y:$Y,표1[[#This Row],[명칭]]),"-")</f>
        <v>-</v>
      </c>
      <c r="I1389" s="38">
        <f>IFERROR(COUNTIF([1]AdventureDiscoveryGroup!$D$8:$AW$92,표1[[#This Row],[명칭]]),"-")</f>
        <v>0</v>
      </c>
      <c r="J1389" s="38">
        <f>IFERROR(COUNTIF([1]FishDiscoveryGroup!$A:$X,표1[[#This Row],[명칭]]),"-")</f>
        <v>0</v>
      </c>
      <c r="K1389" s="38" t="str">
        <f>IFERROR(COUNTIF([2]Town!$B:$B,표1[[#This Row],[명칭]]),"-")</f>
        <v>-</v>
      </c>
      <c r="L1389" s="38">
        <f>IFERROR(COUNTIF([1]Village!$BR:$BR,표1[[#This Row],[명칭]]),"-")</f>
        <v>0</v>
      </c>
      <c r="M1389" s="38">
        <f>COUNTIF(퀘스트!B:B,표1[[#This Row],[명칭]])</f>
        <v>0</v>
      </c>
      <c r="N1389" s="65">
        <f>COUNTIF([1]VillageDiscoveryGroup!$C:$C,표1[[#This Row],[명칭]])</f>
        <v>0</v>
      </c>
      <c r="O1389" s="65">
        <f>SUM(표1[[#This Row],[해양탐색]:[마을탐험]])</f>
        <v>0</v>
      </c>
    </row>
    <row r="1390" spans="2:15" ht="13.5" customHeight="1" x14ac:dyDescent="0.3">
      <c r="B1390" s="9">
        <f>[1]Discovery!A1396</f>
        <v>70410036</v>
      </c>
      <c r="C1390" s="9" t="str">
        <f>[1]Discovery!B1396</f>
        <v>쇼소인</v>
      </c>
      <c r="D1390" s="9" t="str">
        <f>[1]Discovery!E1396</f>
        <v>건축</v>
      </c>
      <c r="E1390" s="9" t="str">
        <f>[1]Discovery!C1396</f>
        <v>사적</v>
      </c>
      <c r="F1390" s="9" t="str">
        <f>[1]Discovery!G1396</f>
        <v>C</v>
      </c>
      <c r="G1390" s="9" t="str">
        <f>IFERROR(VLOOKUP(표1[[#This Row],[명칭]],'문화권 정리'!C:D,2,FALSE),"-")</f>
        <v>동아시아</v>
      </c>
      <c r="H1390" s="38" t="str">
        <f>IFERROR(COUNTIF([2]OceanDoodad!$Y:$Y,표1[[#This Row],[명칭]]),"-")</f>
        <v>-</v>
      </c>
      <c r="I1390" s="38">
        <f>IFERROR(COUNTIF([1]AdventureDiscoveryGroup!$D$8:$AW$92,표1[[#This Row],[명칭]]),"-")</f>
        <v>0</v>
      </c>
      <c r="J1390" s="38">
        <f>IFERROR(COUNTIF([1]FishDiscoveryGroup!$A:$X,표1[[#This Row],[명칭]]),"-")</f>
        <v>0</v>
      </c>
      <c r="K1390" s="38" t="str">
        <f>IFERROR(COUNTIF([2]Town!$B:$B,표1[[#This Row],[명칭]]),"-")</f>
        <v>-</v>
      </c>
      <c r="L1390" s="38">
        <f>IFERROR(COUNTIF([1]Village!$BR:$BR,표1[[#This Row],[명칭]]),"-")</f>
        <v>0</v>
      </c>
      <c r="M1390" s="38">
        <f>COUNTIF(퀘스트!B:B,표1[[#This Row],[명칭]])</f>
        <v>0</v>
      </c>
      <c r="N1390" s="65">
        <f>COUNTIF([1]VillageDiscoveryGroup!$C:$C,표1[[#This Row],[명칭]])</f>
        <v>0</v>
      </c>
      <c r="O1390" s="65">
        <f>SUM(표1[[#This Row],[해양탐색]:[마을탐험]])</f>
        <v>0</v>
      </c>
    </row>
    <row r="1391" spans="2:15" ht="13.5" customHeight="1" x14ac:dyDescent="0.3">
      <c r="B1391" s="9">
        <f>[1]Discovery!A1397</f>
        <v>70410037</v>
      </c>
      <c r="C1391" s="9" t="str">
        <f>[1]Discovery!B1397</f>
        <v>숭례문</v>
      </c>
      <c r="D1391" s="9" t="str">
        <f>[1]Discovery!E1397</f>
        <v>건축</v>
      </c>
      <c r="E1391" s="9" t="str">
        <f>[1]Discovery!C1397</f>
        <v>사적</v>
      </c>
      <c r="F1391" s="9" t="str">
        <f>[1]Discovery!G1397</f>
        <v>B</v>
      </c>
      <c r="G1391" s="9" t="str">
        <f>IFERROR(VLOOKUP(표1[[#This Row],[명칭]],'문화권 정리'!C:D,2,FALSE),"-")</f>
        <v>동아시아</v>
      </c>
      <c r="H1391" s="38" t="str">
        <f>IFERROR(COUNTIF([2]OceanDoodad!$Y:$Y,표1[[#This Row],[명칭]]),"-")</f>
        <v>-</v>
      </c>
      <c r="I1391" s="38">
        <f>IFERROR(COUNTIF([1]AdventureDiscoveryGroup!$D$8:$AW$92,표1[[#This Row],[명칭]]),"-")</f>
        <v>0</v>
      </c>
      <c r="J1391" s="38">
        <f>IFERROR(COUNTIF([1]FishDiscoveryGroup!$A:$X,표1[[#This Row],[명칭]]),"-")</f>
        <v>0</v>
      </c>
      <c r="K1391" s="38" t="str">
        <f>IFERROR(COUNTIF([2]Town!$B:$B,표1[[#This Row],[명칭]]),"-")</f>
        <v>-</v>
      </c>
      <c r="L1391" s="38">
        <f>IFERROR(COUNTIF([1]Village!$BR:$BR,표1[[#This Row],[명칭]]),"-")</f>
        <v>0</v>
      </c>
      <c r="M1391" s="38">
        <f>COUNTIF(퀘스트!B:B,표1[[#This Row],[명칭]])</f>
        <v>0</v>
      </c>
      <c r="N1391" s="65">
        <f>COUNTIF([1]VillageDiscoveryGroup!$C:$C,표1[[#This Row],[명칭]])</f>
        <v>0</v>
      </c>
      <c r="O1391" s="65">
        <f>SUM(표1[[#This Row],[해양탐색]:[마을탐험]])</f>
        <v>0</v>
      </c>
    </row>
    <row r="1392" spans="2:15" ht="13.5" customHeight="1" x14ac:dyDescent="0.3">
      <c r="B1392" s="9">
        <f>[1]Discovery!A1398</f>
        <v>70410038</v>
      </c>
      <c r="C1392" s="9" t="str">
        <f>[1]Discovery!B1398</f>
        <v>썬 대거</v>
      </c>
      <c r="D1392" s="9" t="str">
        <f>[1]Discovery!E1398</f>
        <v>건축</v>
      </c>
      <c r="E1392" s="9" t="str">
        <f>[1]Discovery!C1398</f>
        <v>사적</v>
      </c>
      <c r="F1392" s="9" t="str">
        <f>[1]Discovery!G1398</f>
        <v>B</v>
      </c>
      <c r="G1392" s="9" t="str">
        <f>IFERROR(VLOOKUP(표1[[#This Row],[명칭]],'문화권 정리'!C:D,2,FALSE),"-")</f>
        <v>북아메리카</v>
      </c>
      <c r="H1392" s="38" t="str">
        <f>IFERROR(COUNTIF([2]OceanDoodad!$Y:$Y,표1[[#This Row],[명칭]]),"-")</f>
        <v>-</v>
      </c>
      <c r="I1392" s="38">
        <f>IFERROR(COUNTIF([1]AdventureDiscoveryGroup!$D$8:$AW$92,표1[[#This Row],[명칭]]),"-")</f>
        <v>1</v>
      </c>
      <c r="J1392" s="38">
        <f>IFERROR(COUNTIF([1]FishDiscoveryGroup!$A:$X,표1[[#This Row],[명칭]]),"-")</f>
        <v>0</v>
      </c>
      <c r="K1392" s="38" t="str">
        <f>IFERROR(COUNTIF([2]Town!$B:$B,표1[[#This Row],[명칭]]),"-")</f>
        <v>-</v>
      </c>
      <c r="L1392" s="38">
        <f>IFERROR(COUNTIF([1]Village!$BR:$BR,표1[[#This Row],[명칭]]),"-")</f>
        <v>0</v>
      </c>
      <c r="M1392" s="38">
        <f>COUNTIF(퀘스트!B:B,표1[[#This Row],[명칭]])</f>
        <v>0</v>
      </c>
      <c r="N1392" s="65">
        <f>COUNTIF([1]VillageDiscoveryGroup!$C:$C,표1[[#This Row],[명칭]])</f>
        <v>0</v>
      </c>
      <c r="O1392" s="65">
        <f>SUM(표1[[#This Row],[해양탐색]:[마을탐험]])</f>
        <v>1</v>
      </c>
    </row>
    <row r="1393" spans="2:15" ht="13.5" customHeight="1" x14ac:dyDescent="0.3">
      <c r="B1393" s="9">
        <f>[1]Discovery!A1399</f>
        <v>70410039</v>
      </c>
      <c r="C1393" s="9" t="str">
        <f>[1]Discovery!B1399</f>
        <v>아르테미스 신전 터</v>
      </c>
      <c r="D1393" s="9" t="str">
        <f>[1]Discovery!E1399</f>
        <v>건축</v>
      </c>
      <c r="E1393" s="9" t="str">
        <f>[1]Discovery!C1399</f>
        <v>종교 건축물</v>
      </c>
      <c r="F1393" s="9" t="str">
        <f>[1]Discovery!G1399</f>
        <v>C</v>
      </c>
      <c r="G1393" s="9" t="str">
        <f>IFERROR(VLOOKUP(표1[[#This Row],[명칭]],'문화권 정리'!C:D,2,FALSE),"-")</f>
        <v>지중해</v>
      </c>
      <c r="H1393" s="38" t="str">
        <f>IFERROR(COUNTIF([2]OceanDoodad!$Y:$Y,표1[[#This Row],[명칭]]),"-")</f>
        <v>-</v>
      </c>
      <c r="I1393" s="38">
        <f>IFERROR(COUNTIF([1]AdventureDiscoveryGroup!$D$8:$AW$92,표1[[#This Row],[명칭]]),"-")</f>
        <v>0</v>
      </c>
      <c r="J1393" s="38">
        <f>IFERROR(COUNTIF([1]FishDiscoveryGroup!$A:$X,표1[[#This Row],[명칭]]),"-")</f>
        <v>0</v>
      </c>
      <c r="K1393" s="38" t="str">
        <f>IFERROR(COUNTIF([2]Town!$B:$B,표1[[#This Row],[명칭]]),"-")</f>
        <v>-</v>
      </c>
      <c r="L1393" s="38">
        <f>IFERROR(COUNTIF([1]Village!$BR:$BR,표1[[#This Row],[명칭]]),"-")</f>
        <v>0</v>
      </c>
      <c r="M1393" s="38">
        <f>COUNTIF(퀘스트!B:B,표1[[#This Row],[명칭]])</f>
        <v>0</v>
      </c>
      <c r="N1393" s="65">
        <f>COUNTIF([1]VillageDiscoveryGroup!$C:$C,표1[[#This Row],[명칭]])</f>
        <v>0</v>
      </c>
      <c r="O1393" s="65">
        <f>SUM(표1[[#This Row],[해양탐색]:[마을탐험]])</f>
        <v>0</v>
      </c>
    </row>
    <row r="1394" spans="2:15" ht="13.5" customHeight="1" x14ac:dyDescent="0.3">
      <c r="B1394" s="9">
        <f>[1]Discovery!A1400</f>
        <v>70410040</v>
      </c>
      <c r="C1394" s="9" t="str">
        <f>[1]Discovery!B1400</f>
        <v>아즈치성</v>
      </c>
      <c r="D1394" s="9" t="str">
        <f>[1]Discovery!E1400</f>
        <v>건축</v>
      </c>
      <c r="E1394" s="9" t="str">
        <f>[1]Discovery!C1400</f>
        <v>사적</v>
      </c>
      <c r="F1394" s="9" t="str">
        <f>[1]Discovery!G1400</f>
        <v>B</v>
      </c>
      <c r="G1394" s="9" t="str">
        <f>IFERROR(VLOOKUP(표1[[#This Row],[명칭]],'문화권 정리'!C:D,2,FALSE),"-")</f>
        <v>동아시아</v>
      </c>
      <c r="H1394" s="38" t="str">
        <f>IFERROR(COUNTIF([2]OceanDoodad!$Y:$Y,표1[[#This Row],[명칭]]),"-")</f>
        <v>-</v>
      </c>
      <c r="I1394" s="38">
        <f>IFERROR(COUNTIF([1]AdventureDiscoveryGroup!$D$8:$AW$92,표1[[#This Row],[명칭]]),"-")</f>
        <v>0</v>
      </c>
      <c r="J1394" s="38">
        <f>IFERROR(COUNTIF([1]FishDiscoveryGroup!$A:$X,표1[[#This Row],[명칭]]),"-")</f>
        <v>0</v>
      </c>
      <c r="K1394" s="38" t="str">
        <f>IFERROR(COUNTIF([2]Town!$B:$B,표1[[#This Row],[명칭]]),"-")</f>
        <v>-</v>
      </c>
      <c r="L1394" s="38">
        <f>IFERROR(COUNTIF([1]Village!$BR:$BR,표1[[#This Row],[명칭]]),"-")</f>
        <v>0</v>
      </c>
      <c r="M1394" s="38">
        <f>COUNTIF(퀘스트!B:B,표1[[#This Row],[명칭]])</f>
        <v>0</v>
      </c>
      <c r="N1394" s="65">
        <f>COUNTIF([1]VillageDiscoveryGroup!$C:$C,표1[[#This Row],[명칭]])</f>
        <v>0</v>
      </c>
      <c r="O1394" s="65">
        <f>SUM(표1[[#This Row],[해양탐색]:[마을탐험]])</f>
        <v>0</v>
      </c>
    </row>
    <row r="1395" spans="2:15" ht="13.5" customHeight="1" x14ac:dyDescent="0.3">
      <c r="B1395" s="9">
        <f>[1]Discovery!A1401</f>
        <v>70410041</v>
      </c>
      <c r="C1395" s="9" t="str">
        <f>[1]Discovery!B1401</f>
        <v>아카쿠스 암각화 유적</v>
      </c>
      <c r="D1395" s="9" t="str">
        <f>[1]Discovery!E1401</f>
        <v>건축</v>
      </c>
      <c r="E1395" s="9" t="str">
        <f>[1]Discovery!C1401</f>
        <v>사적</v>
      </c>
      <c r="F1395" s="9" t="str">
        <f>[1]Discovery!G1401</f>
        <v>D</v>
      </c>
      <c r="G1395" s="9" t="str">
        <f>IFERROR(VLOOKUP(표1[[#This Row],[명칭]],'문화권 정리'!C:D,2,FALSE),"-")</f>
        <v>동아프리카</v>
      </c>
      <c r="H1395" s="38" t="str">
        <f>IFERROR(COUNTIF([2]OceanDoodad!$Y:$Y,표1[[#This Row],[명칭]]),"-")</f>
        <v>-</v>
      </c>
      <c r="I1395" s="38">
        <f>IFERROR(COUNTIF([1]AdventureDiscoveryGroup!$D$8:$AW$92,표1[[#This Row],[명칭]]),"-")</f>
        <v>1</v>
      </c>
      <c r="J1395" s="38">
        <f>IFERROR(COUNTIF([1]FishDiscoveryGroup!$A:$X,표1[[#This Row],[명칭]]),"-")</f>
        <v>0</v>
      </c>
      <c r="K1395" s="38" t="str">
        <f>IFERROR(COUNTIF([2]Town!$B:$B,표1[[#This Row],[명칭]]),"-")</f>
        <v>-</v>
      </c>
      <c r="L1395" s="38">
        <f>IFERROR(COUNTIF([1]Village!$BR:$BR,표1[[#This Row],[명칭]]),"-")</f>
        <v>0</v>
      </c>
      <c r="M1395" s="38">
        <f>COUNTIF(퀘스트!B:B,표1[[#This Row],[명칭]])</f>
        <v>0</v>
      </c>
      <c r="N1395" s="65">
        <f>COUNTIF([1]VillageDiscoveryGroup!$C:$C,표1[[#This Row],[명칭]])</f>
        <v>0</v>
      </c>
      <c r="O1395" s="65">
        <f>SUM(표1[[#This Row],[해양탐색]:[마을탐험]])</f>
        <v>1</v>
      </c>
    </row>
    <row r="1396" spans="2:15" ht="13.5" customHeight="1" x14ac:dyDescent="0.3">
      <c r="B1396" s="9">
        <f>[1]Discovery!A1402</f>
        <v>70410042</v>
      </c>
      <c r="C1396" s="9" t="str">
        <f>[1]Discovery!B1402</f>
        <v>아폴로 에피큐리우스 신전</v>
      </c>
      <c r="D1396" s="9" t="str">
        <f>[1]Discovery!E1402</f>
        <v>건축</v>
      </c>
      <c r="E1396" s="9" t="str">
        <f>[1]Discovery!C1402</f>
        <v>종교 건축물</v>
      </c>
      <c r="F1396" s="9" t="str">
        <f>[1]Discovery!G1402</f>
        <v>B</v>
      </c>
      <c r="G1396" s="9" t="str">
        <f>IFERROR(VLOOKUP(표1[[#This Row],[명칭]],'문화권 정리'!C:D,2,FALSE),"-")</f>
        <v>지중해</v>
      </c>
      <c r="H1396" s="38" t="str">
        <f>IFERROR(COUNTIF([2]OceanDoodad!$Y:$Y,표1[[#This Row],[명칭]]),"-")</f>
        <v>-</v>
      </c>
      <c r="I1396" s="38">
        <f>IFERROR(COUNTIF([1]AdventureDiscoveryGroup!$D$8:$AW$92,표1[[#This Row],[명칭]]),"-")</f>
        <v>0</v>
      </c>
      <c r="J1396" s="38">
        <f>IFERROR(COUNTIF([1]FishDiscoveryGroup!$A:$X,표1[[#This Row],[명칭]]),"-")</f>
        <v>0</v>
      </c>
      <c r="K1396" s="38" t="str">
        <f>IFERROR(COUNTIF([2]Town!$B:$B,표1[[#This Row],[명칭]]),"-")</f>
        <v>-</v>
      </c>
      <c r="L1396" s="38">
        <f>IFERROR(COUNTIF([1]Village!$BR:$BR,표1[[#This Row],[명칭]]),"-")</f>
        <v>0</v>
      </c>
      <c r="M1396" s="38">
        <f>COUNTIF(퀘스트!B:B,표1[[#This Row],[명칭]])</f>
        <v>0</v>
      </c>
      <c r="N1396" s="65">
        <f>COUNTIF([1]VillageDiscoveryGroup!$C:$C,표1[[#This Row],[명칭]])</f>
        <v>0</v>
      </c>
      <c r="O1396" s="65">
        <f>SUM(표1[[#This Row],[해양탐색]:[마을탐험]])</f>
        <v>0</v>
      </c>
    </row>
    <row r="1397" spans="2:15" ht="13.5" customHeight="1" x14ac:dyDescent="0.3">
      <c r="B1397" s="9">
        <f>[1]Discovery!A1403</f>
        <v>70410043</v>
      </c>
      <c r="C1397" s="9" t="str">
        <f>[1]Discovery!B1403</f>
        <v>아피아의 가도</v>
      </c>
      <c r="D1397" s="9" t="str">
        <f>[1]Discovery!E1403</f>
        <v>건축</v>
      </c>
      <c r="E1397" s="9" t="str">
        <f>[1]Discovery!C1403</f>
        <v>사적</v>
      </c>
      <c r="F1397" s="9" t="str">
        <f>[1]Discovery!G1403</f>
        <v>D</v>
      </c>
      <c r="G1397" s="9" t="str">
        <f>IFERROR(VLOOKUP(표1[[#This Row],[명칭]],'문화권 정리'!C:D,2,FALSE),"-")</f>
        <v>지중해</v>
      </c>
      <c r="H1397" s="38" t="str">
        <f>IFERROR(COUNTIF([2]OceanDoodad!$Y:$Y,표1[[#This Row],[명칭]]),"-")</f>
        <v>-</v>
      </c>
      <c r="I1397" s="38">
        <f>IFERROR(COUNTIF([1]AdventureDiscoveryGroup!$D$8:$AW$92,표1[[#This Row],[명칭]]),"-")</f>
        <v>0</v>
      </c>
      <c r="J1397" s="38">
        <f>IFERROR(COUNTIF([1]FishDiscoveryGroup!$A:$X,표1[[#This Row],[명칭]]),"-")</f>
        <v>0</v>
      </c>
      <c r="K1397" s="38" t="str">
        <f>IFERROR(COUNTIF([2]Town!$B:$B,표1[[#This Row],[명칭]]),"-")</f>
        <v>-</v>
      </c>
      <c r="L1397" s="38">
        <f>IFERROR(COUNTIF([1]Village!$BR:$BR,표1[[#This Row],[명칭]]),"-")</f>
        <v>0</v>
      </c>
      <c r="M1397" s="38">
        <f>COUNTIF(퀘스트!B:B,표1[[#This Row],[명칭]])</f>
        <v>0</v>
      </c>
      <c r="N1397" s="65">
        <f>COUNTIF([1]VillageDiscoveryGroup!$C:$C,표1[[#This Row],[명칭]])</f>
        <v>0</v>
      </c>
      <c r="O1397" s="65">
        <f>SUM(표1[[#This Row],[해양탐색]:[마을탐험]])</f>
        <v>0</v>
      </c>
    </row>
    <row r="1398" spans="2:15" ht="13.5" customHeight="1" x14ac:dyDescent="0.3">
      <c r="B1398" s="9">
        <f>[1]Discovery!A1404</f>
        <v>70410044</v>
      </c>
      <c r="C1398" s="9" t="str">
        <f>[1]Discovery!B1404</f>
        <v>알타이산맥의 암각화 유적</v>
      </c>
      <c r="D1398" s="9" t="str">
        <f>[1]Discovery!E1404</f>
        <v>건축</v>
      </c>
      <c r="E1398" s="9" t="str">
        <f>[1]Discovery!C1404</f>
        <v>사적</v>
      </c>
      <c r="F1398" s="9" t="str">
        <f>[1]Discovery!G1404</f>
        <v>C</v>
      </c>
      <c r="G1398" s="9" t="str">
        <f>IFERROR(VLOOKUP(표1[[#This Row],[명칭]],'문화권 정리'!C:D,2,FALSE),"-")</f>
        <v>지중해</v>
      </c>
      <c r="H1398" s="38" t="str">
        <f>IFERROR(COUNTIF([2]OceanDoodad!$Y:$Y,표1[[#This Row],[명칭]]),"-")</f>
        <v>-</v>
      </c>
      <c r="I1398" s="38">
        <f>IFERROR(COUNTIF([1]AdventureDiscoveryGroup!$D$8:$AW$92,표1[[#This Row],[명칭]]),"-")</f>
        <v>0</v>
      </c>
      <c r="J1398" s="38">
        <f>IFERROR(COUNTIF([1]FishDiscoveryGroup!$A:$X,표1[[#This Row],[명칭]]),"-")</f>
        <v>0</v>
      </c>
      <c r="K1398" s="38" t="str">
        <f>IFERROR(COUNTIF([2]Town!$B:$B,표1[[#This Row],[명칭]]),"-")</f>
        <v>-</v>
      </c>
      <c r="L1398" s="38">
        <f>IFERROR(COUNTIF([1]Village!$BR:$BR,표1[[#This Row],[명칭]]),"-")</f>
        <v>0</v>
      </c>
      <c r="M1398" s="38">
        <f>COUNTIF(퀘스트!B:B,표1[[#This Row],[명칭]])</f>
        <v>0</v>
      </c>
      <c r="N1398" s="65">
        <f>COUNTIF([1]VillageDiscoveryGroup!$C:$C,표1[[#This Row],[명칭]])</f>
        <v>0</v>
      </c>
      <c r="O1398" s="65">
        <f>SUM(표1[[#This Row],[해양탐색]:[마을탐험]])</f>
        <v>0</v>
      </c>
    </row>
    <row r="1399" spans="2:15" ht="13.5" customHeight="1" x14ac:dyDescent="0.3">
      <c r="B1399" s="9">
        <f>[1]Discovery!A1405</f>
        <v>70410045</v>
      </c>
      <c r="C1399" s="9" t="str">
        <f>[1]Discovery!B1405</f>
        <v>어퍼 스바네티</v>
      </c>
      <c r="D1399" s="9" t="str">
        <f>[1]Discovery!E1405</f>
        <v>건축</v>
      </c>
      <c r="E1399" s="9" t="str">
        <f>[1]Discovery!C1405</f>
        <v>사적</v>
      </c>
      <c r="F1399" s="9" t="str">
        <f>[1]Discovery!G1405</f>
        <v>C</v>
      </c>
      <c r="G1399" s="9" t="str">
        <f>IFERROR(VLOOKUP(표1[[#This Row],[명칭]],'문화권 정리'!C:D,2,FALSE),"-")</f>
        <v>지중해</v>
      </c>
      <c r="H1399" s="38" t="str">
        <f>IFERROR(COUNTIF([2]OceanDoodad!$Y:$Y,표1[[#This Row],[명칭]]),"-")</f>
        <v>-</v>
      </c>
      <c r="I1399" s="38">
        <f>IFERROR(COUNTIF([1]AdventureDiscoveryGroup!$D$8:$AW$92,표1[[#This Row],[명칭]]),"-")</f>
        <v>0</v>
      </c>
      <c r="J1399" s="38">
        <f>IFERROR(COUNTIF([1]FishDiscoveryGroup!$A:$X,표1[[#This Row],[명칭]]),"-")</f>
        <v>0</v>
      </c>
      <c r="K1399" s="38" t="str">
        <f>IFERROR(COUNTIF([2]Town!$B:$B,표1[[#This Row],[명칭]]),"-")</f>
        <v>-</v>
      </c>
      <c r="L1399" s="38">
        <f>IFERROR(COUNTIF([1]Village!$BR:$BR,표1[[#This Row],[명칭]]),"-")</f>
        <v>0</v>
      </c>
      <c r="M1399" s="38">
        <f>COUNTIF(퀘스트!B:B,표1[[#This Row],[명칭]])</f>
        <v>0</v>
      </c>
      <c r="N1399" s="65">
        <f>COUNTIF([1]VillageDiscoveryGroup!$C:$C,표1[[#This Row],[명칭]])</f>
        <v>0</v>
      </c>
      <c r="O1399" s="65">
        <f>SUM(표1[[#This Row],[해양탐색]:[마을탐험]])</f>
        <v>0</v>
      </c>
    </row>
    <row r="1400" spans="2:15" ht="13.5" customHeight="1" x14ac:dyDescent="0.3">
      <c r="B1400" s="9">
        <f>[1]Discovery!A1406</f>
        <v>70410046</v>
      </c>
      <c r="C1400" s="9" t="str">
        <f>[1]Discovery!B1406</f>
        <v>에피다우루스의 원형 극장</v>
      </c>
      <c r="D1400" s="9" t="str">
        <f>[1]Discovery!E1406</f>
        <v>건축</v>
      </c>
      <c r="E1400" s="9" t="str">
        <f>[1]Discovery!C1406</f>
        <v>사적</v>
      </c>
      <c r="F1400" s="9" t="str">
        <f>[1]Discovery!G1406</f>
        <v>B</v>
      </c>
      <c r="G1400" s="9" t="str">
        <f>IFERROR(VLOOKUP(표1[[#This Row],[명칭]],'문화권 정리'!C:D,2,FALSE),"-")</f>
        <v>지중해</v>
      </c>
      <c r="H1400" s="38" t="str">
        <f>IFERROR(COUNTIF([2]OceanDoodad!$Y:$Y,표1[[#This Row],[명칭]]),"-")</f>
        <v>-</v>
      </c>
      <c r="I1400" s="38">
        <f>IFERROR(COUNTIF([1]AdventureDiscoveryGroup!$D$8:$AW$92,표1[[#This Row],[명칭]]),"-")</f>
        <v>0</v>
      </c>
      <c r="J1400" s="38">
        <f>IFERROR(COUNTIF([1]FishDiscoveryGroup!$A:$X,표1[[#This Row],[명칭]]),"-")</f>
        <v>0</v>
      </c>
      <c r="K1400" s="38" t="str">
        <f>IFERROR(COUNTIF([2]Town!$B:$B,표1[[#This Row],[명칭]]),"-")</f>
        <v>-</v>
      </c>
      <c r="L1400" s="38">
        <f>IFERROR(COUNTIF([1]Village!$BR:$BR,표1[[#This Row],[명칭]]),"-")</f>
        <v>0</v>
      </c>
      <c r="M1400" s="38">
        <f>COUNTIF(퀘스트!B:B,표1[[#This Row],[명칭]])</f>
        <v>0</v>
      </c>
      <c r="N1400" s="65">
        <f>COUNTIF([1]VillageDiscoveryGroup!$C:$C,표1[[#This Row],[명칭]])</f>
        <v>0</v>
      </c>
      <c r="O1400" s="65">
        <f>SUM(표1[[#This Row],[해양탐색]:[마을탐험]])</f>
        <v>0</v>
      </c>
    </row>
    <row r="1401" spans="2:15" ht="13.5" customHeight="1" x14ac:dyDescent="0.3">
      <c r="B1401" s="9">
        <f>[1]Discovery!A1407</f>
        <v>70410047</v>
      </c>
      <c r="C1401" s="9" t="str">
        <f>[1]Discovery!B1407</f>
        <v>올림피아 유적</v>
      </c>
      <c r="D1401" s="9" t="str">
        <f>[1]Discovery!E1407</f>
        <v>건축</v>
      </c>
      <c r="E1401" s="9" t="str">
        <f>[1]Discovery!C1407</f>
        <v>종교 건축물</v>
      </c>
      <c r="F1401" s="9" t="str">
        <f>[1]Discovery!G1407</f>
        <v>S</v>
      </c>
      <c r="G1401" s="9" t="str">
        <f>IFERROR(VLOOKUP(표1[[#This Row],[명칭]],'문화권 정리'!C:D,2,FALSE),"-")</f>
        <v>지중해</v>
      </c>
      <c r="H1401" s="38" t="str">
        <f>IFERROR(COUNTIF([2]OceanDoodad!$Y:$Y,표1[[#This Row],[명칭]]),"-")</f>
        <v>-</v>
      </c>
      <c r="I1401" s="38">
        <f>IFERROR(COUNTIF([1]AdventureDiscoveryGroup!$D$8:$AW$92,표1[[#This Row],[명칭]]),"-")</f>
        <v>0</v>
      </c>
      <c r="J1401" s="38">
        <f>IFERROR(COUNTIF([1]FishDiscoveryGroup!$A:$X,표1[[#This Row],[명칭]]),"-")</f>
        <v>0</v>
      </c>
      <c r="K1401" s="38" t="str">
        <f>IFERROR(COUNTIF([2]Town!$B:$B,표1[[#This Row],[명칭]]),"-")</f>
        <v>-</v>
      </c>
      <c r="L1401" s="38">
        <f>IFERROR(COUNTIF([1]Village!$BR:$BR,표1[[#This Row],[명칭]]),"-")</f>
        <v>0</v>
      </c>
      <c r="M1401" s="38">
        <f>COUNTIF(퀘스트!B:B,표1[[#This Row],[명칭]])</f>
        <v>0</v>
      </c>
      <c r="N1401" s="65">
        <f>COUNTIF([1]VillageDiscoveryGroup!$C:$C,표1[[#This Row],[명칭]])</f>
        <v>0</v>
      </c>
      <c r="O1401" s="65">
        <f>SUM(표1[[#This Row],[해양탐색]:[마을탐험]])</f>
        <v>0</v>
      </c>
    </row>
    <row r="1402" spans="2:15" ht="13.5" customHeight="1" x14ac:dyDescent="0.3">
      <c r="B1402" s="9">
        <f>[1]Discovery!A1408</f>
        <v>70410048</v>
      </c>
      <c r="C1402" s="9" t="str">
        <f>[1]Discovery!B1408</f>
        <v>우루크</v>
      </c>
      <c r="D1402" s="9" t="str">
        <f>[1]Discovery!E1408</f>
        <v>건축</v>
      </c>
      <c r="E1402" s="9" t="str">
        <f>[1]Discovery!C1408</f>
        <v>사적</v>
      </c>
      <c r="F1402" s="9" t="str">
        <f>[1]Discovery!G1408</f>
        <v>B</v>
      </c>
      <c r="G1402" s="9" t="str">
        <f>IFERROR(VLOOKUP(표1[[#This Row],[명칭]],'문화권 정리'!C:D,2,FALSE),"-")</f>
        <v>서남아시아</v>
      </c>
      <c r="H1402" s="38" t="str">
        <f>IFERROR(COUNTIF([2]OceanDoodad!$Y:$Y,표1[[#This Row],[명칭]]),"-")</f>
        <v>-</v>
      </c>
      <c r="I1402" s="38">
        <f>IFERROR(COUNTIF([1]AdventureDiscoveryGroup!$D$8:$AW$92,표1[[#This Row],[명칭]]),"-")</f>
        <v>0</v>
      </c>
      <c r="J1402" s="38">
        <f>IFERROR(COUNTIF([1]FishDiscoveryGroup!$A:$X,표1[[#This Row],[명칭]]),"-")</f>
        <v>0</v>
      </c>
      <c r="K1402" s="38" t="str">
        <f>IFERROR(COUNTIF([2]Town!$B:$B,표1[[#This Row],[명칭]]),"-")</f>
        <v>-</v>
      </c>
      <c r="L1402" s="38">
        <f>IFERROR(COUNTIF([1]Village!$BR:$BR,표1[[#This Row],[명칭]]),"-")</f>
        <v>0</v>
      </c>
      <c r="M1402" s="38">
        <f>COUNTIF(퀘스트!B:B,표1[[#This Row],[명칭]])</f>
        <v>0</v>
      </c>
      <c r="N1402" s="65">
        <f>COUNTIF([1]VillageDiscoveryGroup!$C:$C,표1[[#This Row],[명칭]])</f>
        <v>0</v>
      </c>
      <c r="O1402" s="65">
        <f>SUM(표1[[#This Row],[해양탐색]:[마을탐험]])</f>
        <v>0</v>
      </c>
    </row>
    <row r="1403" spans="2:15" ht="13.5" customHeight="1" x14ac:dyDescent="0.3">
      <c r="B1403" s="9">
        <f>[1]Discovery!A1409</f>
        <v>70410049</v>
      </c>
      <c r="C1403" s="9" t="str">
        <f>[1]Discovery!B1409</f>
        <v>우르</v>
      </c>
      <c r="D1403" s="9" t="str">
        <f>[1]Discovery!E1409</f>
        <v>건축</v>
      </c>
      <c r="E1403" s="9" t="str">
        <f>[1]Discovery!C1409</f>
        <v>사적</v>
      </c>
      <c r="F1403" s="9" t="str">
        <f>[1]Discovery!G1409</f>
        <v>S</v>
      </c>
      <c r="G1403" s="9" t="str">
        <f>IFERROR(VLOOKUP(표1[[#This Row],[명칭]],'문화권 정리'!C:D,2,FALSE),"-")</f>
        <v>서남아시아</v>
      </c>
      <c r="H1403" s="38" t="str">
        <f>IFERROR(COUNTIF([2]OceanDoodad!$Y:$Y,표1[[#This Row],[명칭]]),"-")</f>
        <v>-</v>
      </c>
      <c r="I1403" s="38">
        <f>IFERROR(COUNTIF([1]AdventureDiscoveryGroup!$D$8:$AW$92,표1[[#This Row],[명칭]]),"-")</f>
        <v>0</v>
      </c>
      <c r="J1403" s="38">
        <f>IFERROR(COUNTIF([1]FishDiscoveryGroup!$A:$X,표1[[#This Row],[명칭]]),"-")</f>
        <v>0</v>
      </c>
      <c r="K1403" s="38" t="str">
        <f>IFERROR(COUNTIF([2]Town!$B:$B,표1[[#This Row],[명칭]]),"-")</f>
        <v>-</v>
      </c>
      <c r="L1403" s="38">
        <f>IFERROR(COUNTIF([1]Village!$BR:$BR,표1[[#This Row],[명칭]]),"-")</f>
        <v>0</v>
      </c>
      <c r="M1403" s="38">
        <f>COUNTIF(퀘스트!B:B,표1[[#This Row],[명칭]])</f>
        <v>0</v>
      </c>
      <c r="N1403" s="65">
        <f>COUNTIF([1]VillageDiscoveryGroup!$C:$C,표1[[#This Row],[명칭]])</f>
        <v>0</v>
      </c>
      <c r="O1403" s="65">
        <f>SUM(표1[[#This Row],[해양탐색]:[마을탐험]])</f>
        <v>0</v>
      </c>
    </row>
    <row r="1404" spans="2:15" ht="13.5" customHeight="1" x14ac:dyDescent="0.3">
      <c r="B1404" s="9">
        <f>[1]Discovery!A1410</f>
        <v>70410050</v>
      </c>
      <c r="C1404" s="9" t="str">
        <f>[1]Discovery!B1410</f>
        <v>울루루</v>
      </c>
      <c r="D1404" s="9" t="str">
        <f>[1]Discovery!E1410</f>
        <v>자연</v>
      </c>
      <c r="E1404" s="9" t="str">
        <f>[1]Discovery!C1410</f>
        <v>지리</v>
      </c>
      <c r="F1404" s="9" t="str">
        <f>[1]Discovery!G1410</f>
        <v>A</v>
      </c>
      <c r="G1404" s="9" t="str">
        <f>IFERROR(VLOOKUP(표1[[#This Row],[명칭]],'문화권 정리'!C:D,2,FALSE),"-")</f>
        <v>오세아니아</v>
      </c>
      <c r="H1404" s="38" t="str">
        <f>IFERROR(COUNTIF([2]OceanDoodad!$Y:$Y,표1[[#This Row],[명칭]]),"-")</f>
        <v>-</v>
      </c>
      <c r="I1404" s="38">
        <f>IFERROR(COUNTIF([1]AdventureDiscoveryGroup!$D$8:$AW$92,표1[[#This Row],[명칭]]),"-")</f>
        <v>0</v>
      </c>
      <c r="J1404" s="38">
        <f>IFERROR(COUNTIF([1]FishDiscoveryGroup!$A:$X,표1[[#This Row],[명칭]]),"-")</f>
        <v>0</v>
      </c>
      <c r="K1404" s="38" t="str">
        <f>IFERROR(COUNTIF([2]Town!$B:$B,표1[[#This Row],[명칭]]),"-")</f>
        <v>-</v>
      </c>
      <c r="L1404" s="38">
        <f>IFERROR(COUNTIF([1]Village!$BR:$BR,표1[[#This Row],[명칭]]),"-")</f>
        <v>0</v>
      </c>
      <c r="M1404" s="38">
        <f>COUNTIF(퀘스트!B:B,표1[[#This Row],[명칭]])</f>
        <v>0</v>
      </c>
      <c r="N1404" s="65">
        <f>COUNTIF([1]VillageDiscoveryGroup!$C:$C,표1[[#This Row],[명칭]])</f>
        <v>0</v>
      </c>
      <c r="O1404" s="65">
        <f>SUM(표1[[#This Row],[해양탐색]:[마을탐험]])</f>
        <v>0</v>
      </c>
    </row>
    <row r="1405" spans="2:15" ht="13.5" customHeight="1" x14ac:dyDescent="0.3">
      <c r="B1405" s="9">
        <f>[1]Discovery!A1411</f>
        <v>70410051</v>
      </c>
      <c r="C1405" s="9" t="str">
        <f>[1]Discovery!B1411</f>
        <v>자금성</v>
      </c>
      <c r="D1405" s="9" t="str">
        <f>[1]Discovery!E1411</f>
        <v>건축</v>
      </c>
      <c r="E1405" s="9" t="str">
        <f>[1]Discovery!C1411</f>
        <v>사적</v>
      </c>
      <c r="F1405" s="9" t="str">
        <f>[1]Discovery!G1411</f>
        <v>A</v>
      </c>
      <c r="G1405" s="9" t="str">
        <f>IFERROR(VLOOKUP(표1[[#This Row],[명칭]],'문화권 정리'!C:D,2,FALSE),"-")</f>
        <v>동아시아</v>
      </c>
      <c r="H1405" s="38" t="str">
        <f>IFERROR(COUNTIF([2]OceanDoodad!$Y:$Y,표1[[#This Row],[명칭]]),"-")</f>
        <v>-</v>
      </c>
      <c r="I1405" s="38">
        <f>IFERROR(COUNTIF([1]AdventureDiscoveryGroup!$D$8:$AW$92,표1[[#This Row],[명칭]]),"-")</f>
        <v>0</v>
      </c>
      <c r="J1405" s="38">
        <f>IFERROR(COUNTIF([1]FishDiscoveryGroup!$A:$X,표1[[#This Row],[명칭]]),"-")</f>
        <v>0</v>
      </c>
      <c r="K1405" s="38" t="str">
        <f>IFERROR(COUNTIF([2]Town!$B:$B,표1[[#This Row],[명칭]]),"-")</f>
        <v>-</v>
      </c>
      <c r="L1405" s="38">
        <f>IFERROR(COUNTIF([1]Village!$BR:$BR,표1[[#This Row],[명칭]]),"-")</f>
        <v>0</v>
      </c>
      <c r="M1405" s="38">
        <f>COUNTIF(퀘스트!B:B,표1[[#This Row],[명칭]])</f>
        <v>0</v>
      </c>
      <c r="N1405" s="65">
        <f>COUNTIF([1]VillageDiscoveryGroup!$C:$C,표1[[#This Row],[명칭]])</f>
        <v>0</v>
      </c>
      <c r="O1405" s="65">
        <f>SUM(표1[[#This Row],[해양탐색]:[마을탐험]])</f>
        <v>0</v>
      </c>
    </row>
    <row r="1406" spans="2:15" ht="13.5" customHeight="1" x14ac:dyDescent="0.3">
      <c r="B1406" s="9">
        <f>[1]Discovery!A1412</f>
        <v>70410052</v>
      </c>
      <c r="C1406" s="9" t="str">
        <f>[1]Discovery!B1412</f>
        <v>절벽 궁전</v>
      </c>
      <c r="D1406" s="9" t="str">
        <f>[1]Discovery!E1412</f>
        <v>건축</v>
      </c>
      <c r="E1406" s="9" t="str">
        <f>[1]Discovery!C1412</f>
        <v>사적</v>
      </c>
      <c r="F1406" s="9" t="str">
        <f>[1]Discovery!G1412</f>
        <v>C</v>
      </c>
      <c r="G1406" s="9" t="str">
        <f>IFERROR(VLOOKUP(표1[[#This Row],[명칭]],'문화권 정리'!C:D,2,FALSE),"-")</f>
        <v>북아메리카</v>
      </c>
      <c r="H1406" s="38" t="str">
        <f>IFERROR(COUNTIF([2]OceanDoodad!$Y:$Y,표1[[#This Row],[명칭]]),"-")</f>
        <v>-</v>
      </c>
      <c r="I1406" s="38">
        <f>IFERROR(COUNTIF([1]AdventureDiscoveryGroup!$D$8:$AW$92,표1[[#This Row],[명칭]]),"-")</f>
        <v>1</v>
      </c>
      <c r="J1406" s="38">
        <f>IFERROR(COUNTIF([1]FishDiscoveryGroup!$A:$X,표1[[#This Row],[명칭]]),"-")</f>
        <v>0</v>
      </c>
      <c r="K1406" s="38" t="str">
        <f>IFERROR(COUNTIF([2]Town!$B:$B,표1[[#This Row],[명칭]]),"-")</f>
        <v>-</v>
      </c>
      <c r="L1406" s="38">
        <f>IFERROR(COUNTIF([1]Village!$BR:$BR,표1[[#This Row],[명칭]]),"-")</f>
        <v>0</v>
      </c>
      <c r="M1406" s="38">
        <f>COUNTIF(퀘스트!B:B,표1[[#This Row],[명칭]])</f>
        <v>0</v>
      </c>
      <c r="N1406" s="65">
        <f>COUNTIF([1]VillageDiscoveryGroup!$C:$C,표1[[#This Row],[명칭]])</f>
        <v>0</v>
      </c>
      <c r="O1406" s="65">
        <f>SUM(표1[[#This Row],[해양탐색]:[마을탐험]])</f>
        <v>1</v>
      </c>
    </row>
    <row r="1407" spans="2:15" ht="13.5" customHeight="1" x14ac:dyDescent="0.3">
      <c r="B1407" s="9">
        <f>[1]Discovery!A1413</f>
        <v>70410053</v>
      </c>
      <c r="C1407" s="9" t="str">
        <f>[1]Discovery!B1413</f>
        <v>조긴스 화석절벽</v>
      </c>
      <c r="D1407" s="9" t="str">
        <f>[1]Discovery!E1413</f>
        <v>자연</v>
      </c>
      <c r="E1407" s="9" t="str">
        <f>[1]Discovery!C1413</f>
        <v>지리</v>
      </c>
      <c r="F1407" s="9" t="str">
        <f>[1]Discovery!G1413</f>
        <v>B</v>
      </c>
      <c r="G1407" s="9" t="str">
        <f>IFERROR(VLOOKUP(표1[[#This Row],[명칭]],'문화권 정리'!C:D,2,FALSE),"-")</f>
        <v>북아메리카</v>
      </c>
      <c r="H1407" s="38" t="str">
        <f>IFERROR(COUNTIF([2]OceanDoodad!$Y:$Y,표1[[#This Row],[명칭]]),"-")</f>
        <v>-</v>
      </c>
      <c r="I1407" s="38">
        <f>IFERROR(COUNTIF([1]AdventureDiscoveryGroup!$D$8:$AW$92,표1[[#This Row],[명칭]]),"-")</f>
        <v>0</v>
      </c>
      <c r="J1407" s="38">
        <f>IFERROR(COUNTIF([1]FishDiscoveryGroup!$A:$X,표1[[#This Row],[명칭]]),"-")</f>
        <v>0</v>
      </c>
      <c r="K1407" s="38" t="str">
        <f>IFERROR(COUNTIF([2]Town!$B:$B,표1[[#This Row],[명칭]]),"-")</f>
        <v>-</v>
      </c>
      <c r="L1407" s="38">
        <f>IFERROR(COUNTIF([1]Village!$BR:$BR,표1[[#This Row],[명칭]]),"-")</f>
        <v>0</v>
      </c>
      <c r="M1407" s="38">
        <f>COUNTIF(퀘스트!B:B,표1[[#This Row],[명칭]])</f>
        <v>0</v>
      </c>
      <c r="N1407" s="65">
        <f>COUNTIF([1]VillageDiscoveryGroup!$C:$C,표1[[#This Row],[명칭]])</f>
        <v>0</v>
      </c>
      <c r="O1407" s="65">
        <f>SUM(표1[[#This Row],[해양탐색]:[마을탐험]])</f>
        <v>0</v>
      </c>
    </row>
    <row r="1408" spans="2:15" ht="13.5" customHeight="1" x14ac:dyDescent="0.3">
      <c r="B1408" s="9">
        <f>[1]Discovery!A1414</f>
        <v>70410054</v>
      </c>
      <c r="C1408" s="9" t="str">
        <f>[1]Discovery!B1414</f>
        <v>진시황릉</v>
      </c>
      <c r="D1408" s="9" t="str">
        <f>[1]Discovery!E1414</f>
        <v>건축</v>
      </c>
      <c r="E1408" s="9" t="str">
        <f>[1]Discovery!C1414</f>
        <v>사적</v>
      </c>
      <c r="F1408" s="9" t="str">
        <f>[1]Discovery!G1414</f>
        <v>S</v>
      </c>
      <c r="G1408" s="9" t="str">
        <f>IFERROR(VLOOKUP(표1[[#This Row],[명칭]],'문화권 정리'!C:D,2,FALSE),"-")</f>
        <v>동아시아</v>
      </c>
      <c r="H1408" s="38" t="str">
        <f>IFERROR(COUNTIF([2]OceanDoodad!$Y:$Y,표1[[#This Row],[명칭]]),"-")</f>
        <v>-</v>
      </c>
      <c r="I1408" s="38">
        <f>IFERROR(COUNTIF([1]AdventureDiscoveryGroup!$D$8:$AW$92,표1[[#This Row],[명칭]]),"-")</f>
        <v>0</v>
      </c>
      <c r="J1408" s="38">
        <f>IFERROR(COUNTIF([1]FishDiscoveryGroup!$A:$X,표1[[#This Row],[명칭]]),"-")</f>
        <v>0</v>
      </c>
      <c r="K1408" s="38" t="str">
        <f>IFERROR(COUNTIF([2]Town!$B:$B,표1[[#This Row],[명칭]]),"-")</f>
        <v>-</v>
      </c>
      <c r="L1408" s="38">
        <f>IFERROR(COUNTIF([1]Village!$BR:$BR,표1[[#This Row],[명칭]]),"-")</f>
        <v>0</v>
      </c>
      <c r="M1408" s="38">
        <f>COUNTIF(퀘스트!B:B,표1[[#This Row],[명칭]])</f>
        <v>1</v>
      </c>
      <c r="N1408" s="65">
        <f>COUNTIF([1]VillageDiscoveryGroup!$C:$C,표1[[#This Row],[명칭]])</f>
        <v>0</v>
      </c>
      <c r="O1408" s="65">
        <f>SUM(표1[[#This Row],[해양탐색]:[마을탐험]])</f>
        <v>1</v>
      </c>
    </row>
    <row r="1409" spans="2:15" ht="13.5" customHeight="1" x14ac:dyDescent="0.3">
      <c r="B1409" s="9">
        <f>[1]Discovery!A1415</f>
        <v>70410055</v>
      </c>
      <c r="C1409" s="9" t="str">
        <f>[1]Discovery!B1415</f>
        <v>창경궁</v>
      </c>
      <c r="D1409" s="9" t="str">
        <f>[1]Discovery!E1415</f>
        <v>건축</v>
      </c>
      <c r="E1409" s="9" t="str">
        <f>[1]Discovery!C1415</f>
        <v>사적</v>
      </c>
      <c r="F1409" s="9" t="str">
        <f>[1]Discovery!G1415</f>
        <v>B</v>
      </c>
      <c r="G1409" s="9" t="str">
        <f>IFERROR(VLOOKUP(표1[[#This Row],[명칭]],'문화권 정리'!C:D,2,FALSE),"-")</f>
        <v>동아시아</v>
      </c>
      <c r="H1409" s="38" t="str">
        <f>IFERROR(COUNTIF([2]OceanDoodad!$Y:$Y,표1[[#This Row],[명칭]]),"-")</f>
        <v>-</v>
      </c>
      <c r="I1409" s="38">
        <f>IFERROR(COUNTIF([1]AdventureDiscoveryGroup!$D$8:$AW$92,표1[[#This Row],[명칭]]),"-")</f>
        <v>0</v>
      </c>
      <c r="J1409" s="38">
        <f>IFERROR(COUNTIF([1]FishDiscoveryGroup!$A:$X,표1[[#This Row],[명칭]]),"-")</f>
        <v>0</v>
      </c>
      <c r="K1409" s="38" t="str">
        <f>IFERROR(COUNTIF([2]Town!$B:$B,표1[[#This Row],[명칭]]),"-")</f>
        <v>-</v>
      </c>
      <c r="L1409" s="38">
        <f>IFERROR(COUNTIF([1]Village!$BR:$BR,표1[[#This Row],[명칭]]),"-")</f>
        <v>0</v>
      </c>
      <c r="M1409" s="38">
        <f>COUNTIF(퀘스트!B:B,표1[[#This Row],[명칭]])</f>
        <v>0</v>
      </c>
      <c r="N1409" s="65">
        <f>COUNTIF([1]VillageDiscoveryGroup!$C:$C,표1[[#This Row],[명칭]])</f>
        <v>0</v>
      </c>
      <c r="O1409" s="65">
        <f>SUM(표1[[#This Row],[해양탐색]:[마을탐험]])</f>
        <v>0</v>
      </c>
    </row>
    <row r="1410" spans="2:15" ht="13.5" customHeight="1" x14ac:dyDescent="0.3">
      <c r="B1410" s="9">
        <f>[1]Discovery!A1416</f>
        <v>70410056</v>
      </c>
      <c r="C1410" s="9" t="str">
        <f>[1]Discovery!B1416</f>
        <v>창덕궁</v>
      </c>
      <c r="D1410" s="9" t="str">
        <f>[1]Discovery!E1416</f>
        <v>건축</v>
      </c>
      <c r="E1410" s="9" t="str">
        <f>[1]Discovery!C1416</f>
        <v>사적</v>
      </c>
      <c r="F1410" s="9" t="str">
        <f>[1]Discovery!G1416</f>
        <v>D</v>
      </c>
      <c r="G1410" s="9" t="str">
        <f>IFERROR(VLOOKUP(표1[[#This Row],[명칭]],'문화권 정리'!C:D,2,FALSE),"-")</f>
        <v>동아시아</v>
      </c>
      <c r="H1410" s="38" t="str">
        <f>IFERROR(COUNTIF([2]OceanDoodad!$Y:$Y,표1[[#This Row],[명칭]]),"-")</f>
        <v>-</v>
      </c>
      <c r="I1410" s="38">
        <f>IFERROR(COUNTIF([1]AdventureDiscoveryGroup!$D$8:$AW$92,표1[[#This Row],[명칭]]),"-")</f>
        <v>0</v>
      </c>
      <c r="J1410" s="38">
        <f>IFERROR(COUNTIF([1]FishDiscoveryGroup!$A:$X,표1[[#This Row],[명칭]]),"-")</f>
        <v>0</v>
      </c>
      <c r="K1410" s="38" t="str">
        <f>IFERROR(COUNTIF([2]Town!$B:$B,표1[[#This Row],[명칭]]),"-")</f>
        <v>-</v>
      </c>
      <c r="L1410" s="38">
        <f>IFERROR(COUNTIF([1]Village!$BR:$BR,표1[[#This Row],[명칭]]),"-")</f>
        <v>0</v>
      </c>
      <c r="M1410" s="38">
        <f>COUNTIF(퀘스트!B:B,표1[[#This Row],[명칭]])</f>
        <v>0</v>
      </c>
      <c r="N1410" s="65">
        <f>COUNTIF([1]VillageDiscoveryGroup!$C:$C,표1[[#This Row],[명칭]])</f>
        <v>0</v>
      </c>
      <c r="O1410" s="65">
        <f>SUM(표1[[#This Row],[해양탐색]:[마을탐험]])</f>
        <v>0</v>
      </c>
    </row>
    <row r="1411" spans="2:15" ht="13.5" customHeight="1" x14ac:dyDescent="0.3">
      <c r="B1411" s="9">
        <f>[1]Discovery!A1417</f>
        <v>70410057</v>
      </c>
      <c r="C1411" s="9" t="str">
        <f>[1]Discovery!B1417</f>
        <v>천마총</v>
      </c>
      <c r="D1411" s="9" t="str">
        <f>[1]Discovery!E1417</f>
        <v>건축</v>
      </c>
      <c r="E1411" s="9" t="str">
        <f>[1]Discovery!C1417</f>
        <v>사적</v>
      </c>
      <c r="F1411" s="9" t="str">
        <f>[1]Discovery!G1417</f>
        <v>A</v>
      </c>
      <c r="G1411" s="9" t="str">
        <f>IFERROR(VLOOKUP(표1[[#This Row],[명칭]],'문화권 정리'!C:D,2,FALSE),"-")</f>
        <v>동아시아</v>
      </c>
      <c r="H1411" s="38" t="str">
        <f>IFERROR(COUNTIF([2]OceanDoodad!$Y:$Y,표1[[#This Row],[명칭]]),"-")</f>
        <v>-</v>
      </c>
      <c r="I1411" s="38">
        <f>IFERROR(COUNTIF([1]AdventureDiscoveryGroup!$D$8:$AW$92,표1[[#This Row],[명칭]]),"-")</f>
        <v>0</v>
      </c>
      <c r="J1411" s="38">
        <f>IFERROR(COUNTIF([1]FishDiscoveryGroup!$A:$X,표1[[#This Row],[명칭]]),"-")</f>
        <v>0</v>
      </c>
      <c r="K1411" s="38" t="str">
        <f>IFERROR(COUNTIF([2]Town!$B:$B,표1[[#This Row],[명칭]]),"-")</f>
        <v>-</v>
      </c>
      <c r="L1411" s="38">
        <f>IFERROR(COUNTIF([1]Village!$BR:$BR,표1[[#This Row],[명칭]]),"-")</f>
        <v>0</v>
      </c>
      <c r="M1411" s="38">
        <f>COUNTIF(퀘스트!B:B,표1[[#This Row],[명칭]])</f>
        <v>0</v>
      </c>
      <c r="N1411" s="65">
        <f>COUNTIF([1]VillageDiscoveryGroup!$C:$C,표1[[#This Row],[명칭]])</f>
        <v>0</v>
      </c>
      <c r="O1411" s="65">
        <f>SUM(표1[[#This Row],[해양탐색]:[마을탐험]])</f>
        <v>0</v>
      </c>
    </row>
    <row r="1412" spans="2:15" ht="13.5" customHeight="1" x14ac:dyDescent="0.3">
      <c r="B1412" s="9">
        <f>[1]Discovery!A1418</f>
        <v>70410058</v>
      </c>
      <c r="C1412" s="9" t="str">
        <f>[1]Discovery!B1418</f>
        <v>첨성대</v>
      </c>
      <c r="D1412" s="9" t="str">
        <f>[1]Discovery!E1418</f>
        <v>건축</v>
      </c>
      <c r="E1412" s="9" t="str">
        <f>[1]Discovery!C1418</f>
        <v>사적</v>
      </c>
      <c r="F1412" s="9" t="str">
        <f>[1]Discovery!G1418</f>
        <v>C</v>
      </c>
      <c r="G1412" s="9" t="str">
        <f>IFERROR(VLOOKUP(표1[[#This Row],[명칭]],'문화권 정리'!C:D,2,FALSE),"-")</f>
        <v>동아시아</v>
      </c>
      <c r="H1412" s="38" t="str">
        <f>IFERROR(COUNTIF([2]OceanDoodad!$Y:$Y,표1[[#This Row],[명칭]]),"-")</f>
        <v>-</v>
      </c>
      <c r="I1412" s="38">
        <f>IFERROR(COUNTIF([1]AdventureDiscoveryGroup!$D$8:$AW$92,표1[[#This Row],[명칭]]),"-")</f>
        <v>0</v>
      </c>
      <c r="J1412" s="38">
        <f>IFERROR(COUNTIF([1]FishDiscoveryGroup!$A:$X,표1[[#This Row],[명칭]]),"-")</f>
        <v>0</v>
      </c>
      <c r="K1412" s="38" t="str">
        <f>IFERROR(COUNTIF([2]Town!$B:$B,표1[[#This Row],[명칭]]),"-")</f>
        <v>-</v>
      </c>
      <c r="L1412" s="38">
        <f>IFERROR(COUNTIF([1]Village!$BR:$BR,표1[[#This Row],[명칭]]),"-")</f>
        <v>0</v>
      </c>
      <c r="M1412" s="38">
        <f>COUNTIF(퀘스트!B:B,표1[[#This Row],[명칭]])</f>
        <v>0</v>
      </c>
      <c r="N1412" s="65">
        <f>COUNTIF([1]VillageDiscoveryGroup!$C:$C,표1[[#This Row],[명칭]])</f>
        <v>0</v>
      </c>
      <c r="O1412" s="65">
        <f>SUM(표1[[#This Row],[해양탐색]:[마을탐험]])</f>
        <v>0</v>
      </c>
    </row>
    <row r="1413" spans="2:15" ht="13.5" customHeight="1" x14ac:dyDescent="0.3">
      <c r="B1413" s="9">
        <f>[1]Discovery!A1419</f>
        <v>70410059</v>
      </c>
      <c r="C1413" s="9" t="str">
        <f>[1]Discovery!B1419</f>
        <v>초가 잔빌</v>
      </c>
      <c r="D1413" s="9" t="str">
        <f>[1]Discovery!E1419</f>
        <v>건축</v>
      </c>
      <c r="E1413" s="9" t="str">
        <f>[1]Discovery!C1419</f>
        <v>사적</v>
      </c>
      <c r="F1413" s="9" t="str">
        <f>[1]Discovery!G1419</f>
        <v>D</v>
      </c>
      <c r="G1413" s="9" t="str">
        <f>IFERROR(VLOOKUP(표1[[#This Row],[명칭]],'문화권 정리'!C:D,2,FALSE),"-")</f>
        <v>서남아시아</v>
      </c>
      <c r="H1413" s="38" t="str">
        <f>IFERROR(COUNTIF([2]OceanDoodad!$Y:$Y,표1[[#This Row],[명칭]]),"-")</f>
        <v>-</v>
      </c>
      <c r="I1413" s="38">
        <f>IFERROR(COUNTIF([1]AdventureDiscoveryGroup!$D$8:$AW$92,표1[[#This Row],[명칭]]),"-")</f>
        <v>1</v>
      </c>
      <c r="J1413" s="38">
        <f>IFERROR(COUNTIF([1]FishDiscoveryGroup!$A:$X,표1[[#This Row],[명칭]]),"-")</f>
        <v>0</v>
      </c>
      <c r="K1413" s="38" t="str">
        <f>IFERROR(COUNTIF([2]Town!$B:$B,표1[[#This Row],[명칭]]),"-")</f>
        <v>-</v>
      </c>
      <c r="L1413" s="38">
        <f>IFERROR(COUNTIF([1]Village!$BR:$BR,표1[[#This Row],[명칭]]),"-")</f>
        <v>0</v>
      </c>
      <c r="M1413" s="38">
        <f>COUNTIF(퀘스트!B:B,표1[[#This Row],[명칭]])</f>
        <v>0</v>
      </c>
      <c r="N1413" s="65">
        <f>COUNTIF([1]VillageDiscoveryGroup!$C:$C,표1[[#This Row],[명칭]])</f>
        <v>0</v>
      </c>
      <c r="O1413" s="65">
        <f>SUM(표1[[#This Row],[해양탐색]:[마을탐험]])</f>
        <v>1</v>
      </c>
    </row>
    <row r="1414" spans="2:15" ht="13.5" customHeight="1" x14ac:dyDescent="0.3">
      <c r="B1414" s="9">
        <f>[1]Discovery!A1420</f>
        <v>70410060</v>
      </c>
      <c r="C1414" s="9" t="str">
        <f>[1]Discovery!B1420</f>
        <v>초딜로</v>
      </c>
      <c r="D1414" s="9" t="str">
        <f>[1]Discovery!E1420</f>
        <v>자연</v>
      </c>
      <c r="E1414" s="9" t="str">
        <f>[1]Discovery!C1420</f>
        <v>지리</v>
      </c>
      <c r="F1414" s="9" t="str">
        <f>[1]Discovery!G1420</f>
        <v>B</v>
      </c>
      <c r="G1414" s="9" t="str">
        <f>IFERROR(VLOOKUP(표1[[#This Row],[명칭]],'문화권 정리'!C:D,2,FALSE),"-")</f>
        <v>남아프리카</v>
      </c>
      <c r="H1414" s="38" t="str">
        <f>IFERROR(COUNTIF([2]OceanDoodad!$Y:$Y,표1[[#This Row],[명칭]]),"-")</f>
        <v>-</v>
      </c>
      <c r="I1414" s="38">
        <f>IFERROR(COUNTIF([1]AdventureDiscoveryGroup!$D$8:$AW$92,표1[[#This Row],[명칭]]),"-")</f>
        <v>0</v>
      </c>
      <c r="J1414" s="38">
        <f>IFERROR(COUNTIF([1]FishDiscoveryGroup!$A:$X,표1[[#This Row],[명칭]]),"-")</f>
        <v>0</v>
      </c>
      <c r="K1414" s="38" t="str">
        <f>IFERROR(COUNTIF([2]Town!$B:$B,표1[[#This Row],[명칭]]),"-")</f>
        <v>-</v>
      </c>
      <c r="L1414" s="38">
        <f>IFERROR(COUNTIF([1]Village!$BR:$BR,표1[[#This Row],[명칭]]),"-")</f>
        <v>0</v>
      </c>
      <c r="M1414" s="38">
        <f>COUNTIF(퀘스트!B:B,표1[[#This Row],[명칭]])</f>
        <v>0</v>
      </c>
      <c r="N1414" s="65">
        <f>COUNTIF([1]VillageDiscoveryGroup!$C:$C,표1[[#This Row],[명칭]])</f>
        <v>0</v>
      </c>
      <c r="O1414" s="65">
        <f>SUM(표1[[#This Row],[해양탐색]:[마을탐험]])</f>
        <v>0</v>
      </c>
    </row>
    <row r="1415" spans="2:15" ht="13.5" customHeight="1" x14ac:dyDescent="0.3">
      <c r="B1415" s="9">
        <f>[1]Discovery!A1421</f>
        <v>70410061</v>
      </c>
      <c r="C1415" s="9" t="str">
        <f>[1]Discovery!B1421</f>
        <v>총고니 암각화 유적</v>
      </c>
      <c r="D1415" s="9" t="str">
        <f>[1]Discovery!E1421</f>
        <v>건축</v>
      </c>
      <c r="E1415" s="9" t="str">
        <f>[1]Discovery!C1421</f>
        <v>사적</v>
      </c>
      <c r="F1415" s="9" t="str">
        <f>[1]Discovery!G1421</f>
        <v>C</v>
      </c>
      <c r="G1415" s="9" t="str">
        <f>IFERROR(VLOOKUP(표1[[#This Row],[명칭]],'문화권 정리'!C:D,2,FALSE),"-")</f>
        <v>동아프리카</v>
      </c>
      <c r="H1415" s="38" t="str">
        <f>IFERROR(COUNTIF([2]OceanDoodad!$Y:$Y,표1[[#This Row],[명칭]]),"-")</f>
        <v>-</v>
      </c>
      <c r="I1415" s="38">
        <f>IFERROR(COUNTIF([1]AdventureDiscoveryGroup!$D$8:$AW$92,표1[[#This Row],[명칭]]),"-")</f>
        <v>0</v>
      </c>
      <c r="J1415" s="38">
        <f>IFERROR(COUNTIF([1]FishDiscoveryGroup!$A:$X,표1[[#This Row],[명칭]]),"-")</f>
        <v>0</v>
      </c>
      <c r="K1415" s="38" t="str">
        <f>IFERROR(COUNTIF([2]Town!$B:$B,표1[[#This Row],[명칭]]),"-")</f>
        <v>-</v>
      </c>
      <c r="L1415" s="38">
        <f>IFERROR(COUNTIF([1]Village!$BR:$BR,표1[[#This Row],[명칭]]),"-")</f>
        <v>0</v>
      </c>
      <c r="M1415" s="38">
        <f>COUNTIF(퀘스트!B:B,표1[[#This Row],[명칭]])</f>
        <v>0</v>
      </c>
      <c r="N1415" s="65">
        <f>COUNTIF([1]VillageDiscoveryGroup!$C:$C,표1[[#This Row],[명칭]])</f>
        <v>1</v>
      </c>
      <c r="O1415" s="65">
        <f>SUM(표1[[#This Row],[해양탐색]:[마을탐험]])</f>
        <v>1</v>
      </c>
    </row>
    <row r="1416" spans="2:15" ht="13.5" customHeight="1" x14ac:dyDescent="0.3">
      <c r="B1416" s="9">
        <f>[1]Discovery!A1422</f>
        <v>70410062</v>
      </c>
      <c r="C1416" s="9" t="str">
        <f>[1]Discovery!B1422</f>
        <v>치첸이트사</v>
      </c>
      <c r="D1416" s="9" t="str">
        <f>[1]Discovery!E1422</f>
        <v>건축</v>
      </c>
      <c r="E1416" s="9" t="str">
        <f>[1]Discovery!C1422</f>
        <v>사적</v>
      </c>
      <c r="F1416" s="9" t="str">
        <f>[1]Discovery!G1422</f>
        <v>A</v>
      </c>
      <c r="G1416" s="9" t="str">
        <f>IFERROR(VLOOKUP(표1[[#This Row],[명칭]],'문화권 정리'!C:D,2,FALSE),"-")</f>
        <v>중앙아메리카</v>
      </c>
      <c r="H1416" s="38" t="str">
        <f>IFERROR(COUNTIF([2]OceanDoodad!$Y:$Y,표1[[#This Row],[명칭]]),"-")</f>
        <v>-</v>
      </c>
      <c r="I1416" s="38">
        <f>IFERROR(COUNTIF([1]AdventureDiscoveryGroup!$D$8:$AW$92,표1[[#This Row],[명칭]]),"-")</f>
        <v>0</v>
      </c>
      <c r="J1416" s="38">
        <f>IFERROR(COUNTIF([1]FishDiscoveryGroup!$A:$X,표1[[#This Row],[명칭]]),"-")</f>
        <v>0</v>
      </c>
      <c r="K1416" s="38" t="str">
        <f>IFERROR(COUNTIF([2]Town!$B:$B,표1[[#This Row],[명칭]]),"-")</f>
        <v>-</v>
      </c>
      <c r="L1416" s="38">
        <f>IFERROR(COUNTIF([1]Village!$BR:$BR,표1[[#This Row],[명칭]]),"-")</f>
        <v>0</v>
      </c>
      <c r="M1416" s="38">
        <f>COUNTIF(퀘스트!B:B,표1[[#This Row],[명칭]])</f>
        <v>1</v>
      </c>
      <c r="N1416" s="65">
        <f>COUNTIF([1]VillageDiscoveryGroup!$C:$C,표1[[#This Row],[명칭]])</f>
        <v>0</v>
      </c>
      <c r="O1416" s="65">
        <f>SUM(표1[[#This Row],[해양탐색]:[마을탐험]])</f>
        <v>1</v>
      </c>
    </row>
    <row r="1417" spans="2:15" ht="13.5" customHeight="1" x14ac:dyDescent="0.3">
      <c r="B1417" s="9">
        <f>[1]Discovery!A1423</f>
        <v>70410063</v>
      </c>
      <c r="C1417" s="9" t="str">
        <f>[1]Discovery!B1423</f>
        <v>카르나크 거석군</v>
      </c>
      <c r="D1417" s="9" t="str">
        <f>[1]Discovery!E1423</f>
        <v>건축</v>
      </c>
      <c r="E1417" s="9" t="str">
        <f>[1]Discovery!C1423</f>
        <v>사적</v>
      </c>
      <c r="F1417" s="9" t="str">
        <f>[1]Discovery!G1423</f>
        <v>D</v>
      </c>
      <c r="G1417" s="9" t="str">
        <f>IFERROR(VLOOKUP(표1[[#This Row],[명칭]],'문화권 정리'!C:D,2,FALSE),"-")</f>
        <v>북유럽</v>
      </c>
      <c r="H1417" s="38" t="str">
        <f>IFERROR(COUNTIF([2]OceanDoodad!$Y:$Y,표1[[#This Row],[명칭]]),"-")</f>
        <v>-</v>
      </c>
      <c r="I1417" s="38">
        <f>IFERROR(COUNTIF([1]AdventureDiscoveryGroup!$D$8:$AW$92,표1[[#This Row],[명칭]]),"-")</f>
        <v>0</v>
      </c>
      <c r="J1417" s="38">
        <f>IFERROR(COUNTIF([1]FishDiscoveryGroup!$A:$X,표1[[#This Row],[명칭]]),"-")</f>
        <v>0</v>
      </c>
      <c r="K1417" s="38" t="str">
        <f>IFERROR(COUNTIF([2]Town!$B:$B,표1[[#This Row],[명칭]]),"-")</f>
        <v>-</v>
      </c>
      <c r="L1417" s="38">
        <f>IFERROR(COUNTIF([1]Village!$BR:$BR,표1[[#This Row],[명칭]]),"-")</f>
        <v>0</v>
      </c>
      <c r="M1417" s="38">
        <f>COUNTIF(퀘스트!B:B,표1[[#This Row],[명칭]])</f>
        <v>1</v>
      </c>
      <c r="N1417" s="65">
        <f>COUNTIF([1]VillageDiscoveryGroup!$C:$C,표1[[#This Row],[명칭]])</f>
        <v>0</v>
      </c>
      <c r="O1417" s="65">
        <f>SUM(표1[[#This Row],[해양탐색]:[마을탐험]])</f>
        <v>1</v>
      </c>
    </row>
    <row r="1418" spans="2:15" ht="13.5" customHeight="1" x14ac:dyDescent="0.3">
      <c r="B1418" s="9">
        <f>[1]Discovery!A1424</f>
        <v>70410064</v>
      </c>
      <c r="C1418" s="9" t="str">
        <f>[1]Discovery!B1424</f>
        <v>카르타고 유적</v>
      </c>
      <c r="D1418" s="9" t="str">
        <f>[1]Discovery!E1424</f>
        <v>건축</v>
      </c>
      <c r="E1418" s="9" t="str">
        <f>[1]Discovery!C1424</f>
        <v>사적</v>
      </c>
      <c r="F1418" s="9" t="str">
        <f>[1]Discovery!G1424</f>
        <v>S</v>
      </c>
      <c r="G1418" s="9" t="str">
        <f>IFERROR(VLOOKUP(표1[[#This Row],[명칭]],'문화권 정리'!C:D,2,FALSE),"-")</f>
        <v>지중해</v>
      </c>
      <c r="H1418" s="38" t="str">
        <f>IFERROR(COUNTIF([2]OceanDoodad!$Y:$Y,표1[[#This Row],[명칭]]),"-")</f>
        <v>-</v>
      </c>
      <c r="I1418" s="38">
        <f>IFERROR(COUNTIF([1]AdventureDiscoveryGroup!$D$8:$AW$92,표1[[#This Row],[명칭]]),"-")</f>
        <v>0</v>
      </c>
      <c r="J1418" s="38">
        <f>IFERROR(COUNTIF([1]FishDiscoveryGroup!$A:$X,표1[[#This Row],[명칭]]),"-")</f>
        <v>0</v>
      </c>
      <c r="K1418" s="38" t="str">
        <f>IFERROR(COUNTIF([2]Town!$B:$B,표1[[#This Row],[명칭]]),"-")</f>
        <v>-</v>
      </c>
      <c r="L1418" s="38">
        <f>IFERROR(COUNTIF([1]Village!$BR:$BR,표1[[#This Row],[명칭]]),"-")</f>
        <v>0</v>
      </c>
      <c r="M1418" s="38">
        <f>COUNTIF(퀘스트!B:B,표1[[#This Row],[명칭]])</f>
        <v>1</v>
      </c>
      <c r="N1418" s="65">
        <f>COUNTIF([1]VillageDiscoveryGroup!$C:$C,표1[[#This Row],[명칭]])</f>
        <v>0</v>
      </c>
      <c r="O1418" s="65">
        <f>SUM(표1[[#This Row],[해양탐색]:[마을탐험]])</f>
        <v>1</v>
      </c>
    </row>
    <row r="1419" spans="2:15" ht="13.5" customHeight="1" x14ac:dyDescent="0.3">
      <c r="B1419" s="9">
        <f>[1]Discovery!A1425</f>
        <v>70410065</v>
      </c>
      <c r="C1419" s="9" t="str">
        <f>[1]Discovery!B1425</f>
        <v>카파도키아 동굴수도원</v>
      </c>
      <c r="D1419" s="9" t="str">
        <f>[1]Discovery!E1425</f>
        <v>건축</v>
      </c>
      <c r="E1419" s="9" t="str">
        <f>[1]Discovery!C1425</f>
        <v>종교 건축물</v>
      </c>
      <c r="F1419" s="9" t="str">
        <f>[1]Discovery!G1425</f>
        <v>B</v>
      </c>
      <c r="G1419" s="9" t="str">
        <f>IFERROR(VLOOKUP(표1[[#This Row],[명칭]],'문화권 정리'!C:D,2,FALSE),"-")</f>
        <v>지중해</v>
      </c>
      <c r="H1419" s="38" t="str">
        <f>IFERROR(COUNTIF([2]OceanDoodad!$Y:$Y,표1[[#This Row],[명칭]]),"-")</f>
        <v>-</v>
      </c>
      <c r="I1419" s="38">
        <f>IFERROR(COUNTIF([1]AdventureDiscoveryGroup!$D$8:$AW$92,표1[[#This Row],[명칭]]),"-")</f>
        <v>0</v>
      </c>
      <c r="J1419" s="38">
        <f>IFERROR(COUNTIF([1]FishDiscoveryGroup!$A:$X,표1[[#This Row],[명칭]]),"-")</f>
        <v>0</v>
      </c>
      <c r="K1419" s="38" t="str">
        <f>IFERROR(COUNTIF([2]Town!$B:$B,표1[[#This Row],[명칭]]),"-")</f>
        <v>-</v>
      </c>
      <c r="L1419" s="38">
        <f>IFERROR(COUNTIF([1]Village!$BR:$BR,표1[[#This Row],[명칭]]),"-")</f>
        <v>0</v>
      </c>
      <c r="M1419" s="38">
        <f>COUNTIF(퀘스트!B:B,표1[[#This Row],[명칭]])</f>
        <v>0</v>
      </c>
      <c r="N1419" s="65">
        <f>COUNTIF([1]VillageDiscoveryGroup!$C:$C,표1[[#This Row],[명칭]])</f>
        <v>0</v>
      </c>
      <c r="O1419" s="65">
        <f>SUM(표1[[#This Row],[해양탐색]:[마을탐험]])</f>
        <v>0</v>
      </c>
    </row>
    <row r="1420" spans="2:15" ht="13.5" customHeight="1" x14ac:dyDescent="0.3">
      <c r="B1420" s="9">
        <f>[1]Discovery!A1426</f>
        <v>70410066</v>
      </c>
      <c r="C1420" s="9" t="str">
        <f>[1]Discovery!B1426</f>
        <v>카호키아</v>
      </c>
      <c r="D1420" s="9" t="str">
        <f>[1]Discovery!E1426</f>
        <v>건축</v>
      </c>
      <c r="E1420" s="9" t="str">
        <f>[1]Discovery!C1426</f>
        <v>사적</v>
      </c>
      <c r="F1420" s="9" t="str">
        <f>[1]Discovery!G1426</f>
        <v>B</v>
      </c>
      <c r="G1420" s="9" t="str">
        <f>IFERROR(VLOOKUP(표1[[#This Row],[명칭]],'문화권 정리'!C:D,2,FALSE),"-")</f>
        <v>북아메리카</v>
      </c>
      <c r="H1420" s="38" t="str">
        <f>IFERROR(COUNTIF([2]OceanDoodad!$Y:$Y,표1[[#This Row],[명칭]]),"-")</f>
        <v>-</v>
      </c>
      <c r="I1420" s="38">
        <f>IFERROR(COUNTIF([1]AdventureDiscoveryGroup!$D$8:$AW$92,표1[[#This Row],[명칭]]),"-")</f>
        <v>1</v>
      </c>
      <c r="J1420" s="38">
        <f>IFERROR(COUNTIF([1]FishDiscoveryGroup!$A:$X,표1[[#This Row],[명칭]]),"-")</f>
        <v>0</v>
      </c>
      <c r="K1420" s="38" t="str">
        <f>IFERROR(COUNTIF([2]Town!$B:$B,표1[[#This Row],[명칭]]),"-")</f>
        <v>-</v>
      </c>
      <c r="L1420" s="38">
        <f>IFERROR(COUNTIF([1]Village!$BR:$BR,표1[[#This Row],[명칭]]),"-")</f>
        <v>0</v>
      </c>
      <c r="M1420" s="38">
        <f>COUNTIF(퀘스트!B:B,표1[[#This Row],[명칭]])</f>
        <v>0</v>
      </c>
      <c r="N1420" s="65">
        <f>COUNTIF([1]VillageDiscoveryGroup!$C:$C,표1[[#This Row],[명칭]])</f>
        <v>0</v>
      </c>
      <c r="O1420" s="65">
        <f>SUM(표1[[#This Row],[해양탐색]:[마을탐험]])</f>
        <v>1</v>
      </c>
    </row>
    <row r="1421" spans="2:15" ht="13.5" customHeight="1" x14ac:dyDescent="0.3">
      <c r="B1421" s="9">
        <f>[1]Discovery!A1427</f>
        <v>70410067</v>
      </c>
      <c r="C1421" s="9" t="str">
        <f>[1]Discovery!B1427</f>
        <v>캄페체 요새 도시</v>
      </c>
      <c r="D1421" s="9" t="str">
        <f>[1]Discovery!E1427</f>
        <v>건축</v>
      </c>
      <c r="E1421" s="9" t="str">
        <f>[1]Discovery!C1427</f>
        <v>사적</v>
      </c>
      <c r="F1421" s="9" t="str">
        <f>[1]Discovery!G1427</f>
        <v>D</v>
      </c>
      <c r="G1421" s="9" t="str">
        <f>IFERROR(VLOOKUP(표1[[#This Row],[명칭]],'문화권 정리'!C:D,2,FALSE),"-")</f>
        <v>중앙아메리카</v>
      </c>
      <c r="H1421" s="38" t="str">
        <f>IFERROR(COUNTIF([2]OceanDoodad!$Y:$Y,표1[[#This Row],[명칭]]),"-")</f>
        <v>-</v>
      </c>
      <c r="I1421" s="38">
        <f>IFERROR(COUNTIF([1]AdventureDiscoveryGroup!$D$8:$AW$92,표1[[#This Row],[명칭]]),"-")</f>
        <v>1</v>
      </c>
      <c r="J1421" s="38">
        <f>IFERROR(COUNTIF([1]FishDiscoveryGroup!$A:$X,표1[[#This Row],[명칭]]),"-")</f>
        <v>0</v>
      </c>
      <c r="K1421" s="38" t="str">
        <f>IFERROR(COUNTIF([2]Town!$B:$B,표1[[#This Row],[명칭]]),"-")</f>
        <v>-</v>
      </c>
      <c r="L1421" s="38">
        <f>IFERROR(COUNTIF([1]Village!$BR:$BR,표1[[#This Row],[명칭]]),"-")</f>
        <v>0</v>
      </c>
      <c r="M1421" s="38">
        <f>COUNTIF(퀘스트!B:B,표1[[#This Row],[명칭]])</f>
        <v>0</v>
      </c>
      <c r="N1421" s="65">
        <f>COUNTIF([1]VillageDiscoveryGroup!$C:$C,표1[[#This Row],[명칭]])</f>
        <v>0</v>
      </c>
      <c r="O1421" s="65">
        <f>SUM(표1[[#This Row],[해양탐색]:[마을탐험]])</f>
        <v>1</v>
      </c>
    </row>
    <row r="1422" spans="2:15" ht="13.5" customHeight="1" x14ac:dyDescent="0.3">
      <c r="B1422" s="9">
        <f>[1]Discovery!A1428</f>
        <v>70410068</v>
      </c>
      <c r="C1422" s="9" t="str">
        <f>[1]Discovery!B1428</f>
        <v>코판 유적</v>
      </c>
      <c r="D1422" s="9" t="str">
        <f>[1]Discovery!E1428</f>
        <v>건축</v>
      </c>
      <c r="E1422" s="9" t="str">
        <f>[1]Discovery!C1428</f>
        <v>사적</v>
      </c>
      <c r="F1422" s="9" t="str">
        <f>[1]Discovery!G1428</f>
        <v>A</v>
      </c>
      <c r="G1422" s="9" t="str">
        <f>IFERROR(VLOOKUP(표1[[#This Row],[명칭]],'문화권 정리'!C:D,2,FALSE),"-")</f>
        <v>중앙아메리카</v>
      </c>
      <c r="H1422" s="38" t="str">
        <f>IFERROR(COUNTIF([2]OceanDoodad!$Y:$Y,표1[[#This Row],[명칭]]),"-")</f>
        <v>-</v>
      </c>
      <c r="I1422" s="38">
        <f>IFERROR(COUNTIF([1]AdventureDiscoveryGroup!$D$8:$AW$92,표1[[#This Row],[명칭]]),"-")</f>
        <v>0</v>
      </c>
      <c r="J1422" s="38">
        <f>IFERROR(COUNTIF([1]FishDiscoveryGroup!$A:$X,표1[[#This Row],[명칭]]),"-")</f>
        <v>0</v>
      </c>
      <c r="K1422" s="38" t="str">
        <f>IFERROR(COUNTIF([2]Town!$B:$B,표1[[#This Row],[명칭]]),"-")</f>
        <v>-</v>
      </c>
      <c r="L1422" s="38">
        <f>IFERROR(COUNTIF([1]Village!$BR:$BR,표1[[#This Row],[명칭]]),"-")</f>
        <v>0</v>
      </c>
      <c r="M1422" s="38">
        <f>COUNTIF(퀘스트!B:B,표1[[#This Row],[명칭]])</f>
        <v>0</v>
      </c>
      <c r="N1422" s="65">
        <f>COUNTIF([1]VillageDiscoveryGroup!$C:$C,표1[[#This Row],[명칭]])</f>
        <v>0</v>
      </c>
      <c r="O1422" s="65">
        <f>SUM(표1[[#This Row],[해양탐색]:[마을탐험]])</f>
        <v>0</v>
      </c>
    </row>
    <row r="1423" spans="2:15" ht="13.5" customHeight="1" x14ac:dyDescent="0.3">
      <c r="B1423" s="9">
        <f>[1]Discovery!A1429</f>
        <v>70410069</v>
      </c>
      <c r="C1423" s="9" t="str">
        <f>[1]Discovery!B1429</f>
        <v>콘스탄티누스의 개선문</v>
      </c>
      <c r="D1423" s="9" t="str">
        <f>[1]Discovery!E1429</f>
        <v>건축</v>
      </c>
      <c r="E1423" s="9" t="str">
        <f>[1]Discovery!C1429</f>
        <v>사적</v>
      </c>
      <c r="F1423" s="9" t="str">
        <f>[1]Discovery!G1429</f>
        <v>B</v>
      </c>
      <c r="G1423" s="9" t="str">
        <f>IFERROR(VLOOKUP(표1[[#This Row],[명칭]],'문화권 정리'!C:D,2,FALSE),"-")</f>
        <v>지중해</v>
      </c>
      <c r="H1423" s="38" t="str">
        <f>IFERROR(COUNTIF([2]OceanDoodad!$Y:$Y,표1[[#This Row],[명칭]]),"-")</f>
        <v>-</v>
      </c>
      <c r="I1423" s="38">
        <f>IFERROR(COUNTIF([1]AdventureDiscoveryGroup!$D$8:$AW$92,표1[[#This Row],[명칭]]),"-")</f>
        <v>0</v>
      </c>
      <c r="J1423" s="38">
        <f>IFERROR(COUNTIF([1]FishDiscoveryGroup!$A:$X,표1[[#This Row],[명칭]]),"-")</f>
        <v>0</v>
      </c>
      <c r="K1423" s="38" t="str">
        <f>IFERROR(COUNTIF([2]Town!$B:$B,표1[[#This Row],[명칭]]),"-")</f>
        <v>-</v>
      </c>
      <c r="L1423" s="38">
        <f>IFERROR(COUNTIF([1]Village!$BR:$BR,표1[[#This Row],[명칭]]),"-")</f>
        <v>0</v>
      </c>
      <c r="M1423" s="38">
        <f>COUNTIF(퀘스트!B:B,표1[[#This Row],[명칭]])</f>
        <v>0</v>
      </c>
      <c r="N1423" s="65">
        <f>COUNTIF([1]VillageDiscoveryGroup!$C:$C,표1[[#This Row],[명칭]])</f>
        <v>0</v>
      </c>
      <c r="O1423" s="65">
        <f>SUM(표1[[#This Row],[해양탐색]:[마을탐험]])</f>
        <v>0</v>
      </c>
    </row>
    <row r="1424" spans="2:15" ht="13.5" customHeight="1" x14ac:dyDescent="0.3">
      <c r="B1424" s="9">
        <f>[1]Discovery!A1430</f>
        <v>70410070</v>
      </c>
      <c r="C1424" s="9" t="str">
        <f>[1]Discovery!B1430</f>
        <v>콜로세움</v>
      </c>
      <c r="D1424" s="9" t="str">
        <f>[1]Discovery!E1430</f>
        <v>건축</v>
      </c>
      <c r="E1424" s="9" t="str">
        <f>[1]Discovery!C1430</f>
        <v>사적</v>
      </c>
      <c r="F1424" s="9" t="str">
        <f>[1]Discovery!G1430</f>
        <v>A</v>
      </c>
      <c r="G1424" s="9" t="str">
        <f>IFERROR(VLOOKUP(표1[[#This Row],[명칭]],'문화권 정리'!C:D,2,FALSE),"-")</f>
        <v>지중해</v>
      </c>
      <c r="H1424" s="38" t="str">
        <f>IFERROR(COUNTIF([2]OceanDoodad!$Y:$Y,표1[[#This Row],[명칭]]),"-")</f>
        <v>-</v>
      </c>
      <c r="I1424" s="38">
        <f>IFERROR(COUNTIF([1]AdventureDiscoveryGroup!$D$8:$AW$92,표1[[#This Row],[명칭]]),"-")</f>
        <v>0</v>
      </c>
      <c r="J1424" s="38">
        <f>IFERROR(COUNTIF([1]FishDiscoveryGroup!$A:$X,표1[[#This Row],[명칭]]),"-")</f>
        <v>0</v>
      </c>
      <c r="K1424" s="38" t="str">
        <f>IFERROR(COUNTIF([2]Town!$B:$B,표1[[#This Row],[명칭]]),"-")</f>
        <v>-</v>
      </c>
      <c r="L1424" s="38">
        <f>IFERROR(COUNTIF([1]Village!$BR:$BR,표1[[#This Row],[명칭]]),"-")</f>
        <v>0</v>
      </c>
      <c r="M1424" s="38">
        <f>COUNTIF(퀘스트!B:B,표1[[#This Row],[명칭]])</f>
        <v>1</v>
      </c>
      <c r="N1424" s="65">
        <f>COUNTIF([1]VillageDiscoveryGroup!$C:$C,표1[[#This Row],[명칭]])</f>
        <v>0</v>
      </c>
      <c r="O1424" s="65">
        <f>SUM(표1[[#This Row],[해양탐색]:[마을탐험]])</f>
        <v>1</v>
      </c>
    </row>
    <row r="1425" spans="2:15" ht="13.5" customHeight="1" x14ac:dyDescent="0.3">
      <c r="B1425" s="9">
        <f>[1]Discovery!A1431</f>
        <v>70410071</v>
      </c>
      <c r="C1425" s="9" t="str">
        <f>[1]Discovery!B1431</f>
        <v>쿠스코</v>
      </c>
      <c r="D1425" s="9" t="str">
        <f>[1]Discovery!E1431</f>
        <v>건축</v>
      </c>
      <c r="E1425" s="9" t="str">
        <f>[1]Discovery!C1431</f>
        <v>사적</v>
      </c>
      <c r="F1425" s="9" t="str">
        <f>[1]Discovery!G1431</f>
        <v>S</v>
      </c>
      <c r="G1425" s="9" t="str">
        <f>IFERROR(VLOOKUP(표1[[#This Row],[명칭]],'문화권 정리'!C:D,2,FALSE),"-")</f>
        <v>남아메리카</v>
      </c>
      <c r="H1425" s="38" t="str">
        <f>IFERROR(COUNTIF([2]OceanDoodad!$Y:$Y,표1[[#This Row],[명칭]]),"-")</f>
        <v>-</v>
      </c>
      <c r="I1425" s="38">
        <f>IFERROR(COUNTIF([1]AdventureDiscoveryGroup!$D$8:$AW$92,표1[[#This Row],[명칭]]),"-")</f>
        <v>0</v>
      </c>
      <c r="J1425" s="38">
        <f>IFERROR(COUNTIF([1]FishDiscoveryGroup!$A:$X,표1[[#This Row],[명칭]]),"-")</f>
        <v>0</v>
      </c>
      <c r="K1425" s="38" t="str">
        <f>IFERROR(COUNTIF([2]Town!$B:$B,표1[[#This Row],[명칭]]),"-")</f>
        <v>-</v>
      </c>
      <c r="L1425" s="38">
        <f>IFERROR(COUNTIF([1]Village!$BR:$BR,표1[[#This Row],[명칭]]),"-")</f>
        <v>0</v>
      </c>
      <c r="M1425" s="38">
        <f>COUNTIF(퀘스트!B:B,표1[[#This Row],[명칭]])</f>
        <v>1</v>
      </c>
      <c r="N1425" s="65">
        <f>COUNTIF([1]VillageDiscoveryGroup!$C:$C,표1[[#This Row],[명칭]])</f>
        <v>0</v>
      </c>
      <c r="O1425" s="65">
        <f>SUM(표1[[#This Row],[해양탐색]:[마을탐험]])</f>
        <v>1</v>
      </c>
    </row>
    <row r="1426" spans="2:15" ht="13.5" customHeight="1" x14ac:dyDescent="0.3">
      <c r="B1426" s="9">
        <f>[1]Discovery!A1432</f>
        <v>70410072</v>
      </c>
      <c r="C1426" s="9" t="str">
        <f>[1]Discovery!B1432</f>
        <v>크노소스 궁전</v>
      </c>
      <c r="D1426" s="9" t="str">
        <f>[1]Discovery!E1432</f>
        <v>건축</v>
      </c>
      <c r="E1426" s="9" t="str">
        <f>[1]Discovery!C1432</f>
        <v>사적</v>
      </c>
      <c r="F1426" s="9" t="str">
        <f>[1]Discovery!G1432</f>
        <v>A</v>
      </c>
      <c r="G1426" s="9" t="str">
        <f>IFERROR(VLOOKUP(표1[[#This Row],[명칭]],'문화권 정리'!C:D,2,FALSE),"-")</f>
        <v>지중해</v>
      </c>
      <c r="H1426" s="38" t="str">
        <f>IFERROR(COUNTIF([2]OceanDoodad!$Y:$Y,표1[[#This Row],[명칭]]),"-")</f>
        <v>-</v>
      </c>
      <c r="I1426" s="38">
        <f>IFERROR(COUNTIF([1]AdventureDiscoveryGroup!$D$8:$AW$92,표1[[#This Row],[명칭]]),"-")</f>
        <v>0</v>
      </c>
      <c r="J1426" s="38">
        <f>IFERROR(COUNTIF([1]FishDiscoveryGroup!$A:$X,표1[[#This Row],[명칭]]),"-")</f>
        <v>0</v>
      </c>
      <c r="K1426" s="38" t="str">
        <f>IFERROR(COUNTIF([2]Town!$B:$B,표1[[#This Row],[명칭]]),"-")</f>
        <v>-</v>
      </c>
      <c r="L1426" s="38">
        <f>IFERROR(COUNTIF([1]Village!$BR:$BR,표1[[#This Row],[명칭]]),"-")</f>
        <v>0</v>
      </c>
      <c r="M1426" s="38">
        <f>COUNTIF(퀘스트!B:B,표1[[#This Row],[명칭]])</f>
        <v>1</v>
      </c>
      <c r="N1426" s="65">
        <f>COUNTIF([1]VillageDiscoveryGroup!$C:$C,표1[[#This Row],[명칭]])</f>
        <v>0</v>
      </c>
      <c r="O1426" s="65">
        <f>SUM(표1[[#This Row],[해양탐색]:[마을탐험]])</f>
        <v>1</v>
      </c>
    </row>
    <row r="1427" spans="2:15" ht="13.5" customHeight="1" x14ac:dyDescent="0.3">
      <c r="B1427" s="9">
        <f>[1]Discovery!A1433</f>
        <v>70410073</v>
      </c>
      <c r="C1427" s="9" t="str">
        <f>[1]Discovery!B1433</f>
        <v>타실리 나제르</v>
      </c>
      <c r="D1427" s="9" t="str">
        <f>[1]Discovery!E1433</f>
        <v>건축</v>
      </c>
      <c r="E1427" s="9" t="str">
        <f>[1]Discovery!C1433</f>
        <v>사적</v>
      </c>
      <c r="F1427" s="9" t="str">
        <f>[1]Discovery!G1433</f>
        <v>D</v>
      </c>
      <c r="G1427" s="9" t="str">
        <f>IFERROR(VLOOKUP(표1[[#This Row],[명칭]],'문화권 정리'!C:D,2,FALSE),"-")</f>
        <v>북아프리카</v>
      </c>
      <c r="H1427" s="38" t="str">
        <f>IFERROR(COUNTIF([2]OceanDoodad!$Y:$Y,표1[[#This Row],[명칭]]),"-")</f>
        <v>-</v>
      </c>
      <c r="I1427" s="38">
        <f>IFERROR(COUNTIF([1]AdventureDiscoveryGroup!$D$8:$AW$92,표1[[#This Row],[명칭]]),"-")</f>
        <v>1</v>
      </c>
      <c r="J1427" s="38">
        <f>IFERROR(COUNTIF([1]FishDiscoveryGroup!$A:$X,표1[[#This Row],[명칭]]),"-")</f>
        <v>0</v>
      </c>
      <c r="K1427" s="38" t="str">
        <f>IFERROR(COUNTIF([2]Town!$B:$B,표1[[#This Row],[명칭]]),"-")</f>
        <v>-</v>
      </c>
      <c r="L1427" s="38">
        <f>IFERROR(COUNTIF([1]Village!$BR:$BR,표1[[#This Row],[명칭]]),"-")</f>
        <v>0</v>
      </c>
      <c r="M1427" s="38">
        <f>COUNTIF(퀘스트!B:B,표1[[#This Row],[명칭]])</f>
        <v>0</v>
      </c>
      <c r="N1427" s="65">
        <f>COUNTIF([1]VillageDiscoveryGroup!$C:$C,표1[[#This Row],[명칭]])</f>
        <v>0</v>
      </c>
      <c r="O1427" s="65">
        <f>SUM(표1[[#This Row],[해양탐색]:[마을탐험]])</f>
        <v>1</v>
      </c>
    </row>
    <row r="1428" spans="2:15" ht="13.5" customHeight="1" x14ac:dyDescent="0.3">
      <c r="B1428" s="9">
        <f>[1]Discovery!A1434</f>
        <v>70410074</v>
      </c>
      <c r="C1428" s="9" t="str">
        <f>[1]Discovery!B1434</f>
        <v>테노치티틀란</v>
      </c>
      <c r="D1428" s="9" t="str">
        <f>[1]Discovery!E1434</f>
        <v>건축</v>
      </c>
      <c r="E1428" s="9" t="str">
        <f>[1]Discovery!C1434</f>
        <v>사적</v>
      </c>
      <c r="F1428" s="9" t="str">
        <f>[1]Discovery!G1434</f>
        <v>B</v>
      </c>
      <c r="G1428" s="9" t="str">
        <f>IFERROR(VLOOKUP(표1[[#This Row],[명칭]],'문화권 정리'!C:D,2,FALSE),"-")</f>
        <v>중앙아메리카</v>
      </c>
      <c r="H1428" s="38" t="str">
        <f>IFERROR(COUNTIF([2]OceanDoodad!$Y:$Y,표1[[#This Row],[명칭]]),"-")</f>
        <v>-</v>
      </c>
      <c r="I1428" s="38">
        <f>IFERROR(COUNTIF([1]AdventureDiscoveryGroup!$D$8:$AW$92,표1[[#This Row],[명칭]]),"-")</f>
        <v>0</v>
      </c>
      <c r="J1428" s="38">
        <f>IFERROR(COUNTIF([1]FishDiscoveryGroup!$A:$X,표1[[#This Row],[명칭]]),"-")</f>
        <v>0</v>
      </c>
      <c r="K1428" s="38" t="str">
        <f>IFERROR(COUNTIF([2]Town!$B:$B,표1[[#This Row],[명칭]]),"-")</f>
        <v>-</v>
      </c>
      <c r="L1428" s="38">
        <f>IFERROR(COUNTIF([1]Village!$BR:$BR,표1[[#This Row],[명칭]]),"-")</f>
        <v>0</v>
      </c>
      <c r="M1428" s="38">
        <f>COUNTIF(퀘스트!B:B,표1[[#This Row],[명칭]])</f>
        <v>1</v>
      </c>
      <c r="N1428" s="65">
        <f>COUNTIF([1]VillageDiscoveryGroup!$C:$C,표1[[#This Row],[명칭]])</f>
        <v>0</v>
      </c>
      <c r="O1428" s="65">
        <f>SUM(표1[[#This Row],[해양탐색]:[마을탐험]])</f>
        <v>1</v>
      </c>
    </row>
    <row r="1429" spans="2:15" ht="13.5" customHeight="1" x14ac:dyDescent="0.3">
      <c r="B1429" s="9">
        <f>[1]Discovery!A1435</f>
        <v>70410075</v>
      </c>
      <c r="C1429" s="9" t="str">
        <f>[1]Discovery!B1435</f>
        <v>테오티우아칸</v>
      </c>
      <c r="D1429" s="9" t="str">
        <f>[1]Discovery!E1435</f>
        <v>건축</v>
      </c>
      <c r="E1429" s="9" t="str">
        <f>[1]Discovery!C1435</f>
        <v>사적</v>
      </c>
      <c r="F1429" s="9" t="str">
        <f>[1]Discovery!G1435</f>
        <v>A</v>
      </c>
      <c r="G1429" s="9" t="str">
        <f>IFERROR(VLOOKUP(표1[[#This Row],[명칭]],'문화권 정리'!C:D,2,FALSE),"-")</f>
        <v>중앙아메리카</v>
      </c>
      <c r="H1429" s="38" t="str">
        <f>IFERROR(COUNTIF([2]OceanDoodad!$Y:$Y,표1[[#This Row],[명칭]]),"-")</f>
        <v>-</v>
      </c>
      <c r="I1429" s="38">
        <f>IFERROR(COUNTIF([1]AdventureDiscoveryGroup!$D$8:$AW$92,표1[[#This Row],[명칭]]),"-")</f>
        <v>0</v>
      </c>
      <c r="J1429" s="38">
        <f>IFERROR(COUNTIF([1]FishDiscoveryGroup!$A:$X,표1[[#This Row],[명칭]]),"-")</f>
        <v>0</v>
      </c>
      <c r="K1429" s="38" t="str">
        <f>IFERROR(COUNTIF([2]Town!$B:$B,표1[[#This Row],[명칭]]),"-")</f>
        <v>-</v>
      </c>
      <c r="L1429" s="38">
        <f>IFERROR(COUNTIF([1]Village!$BR:$BR,표1[[#This Row],[명칭]]),"-")</f>
        <v>0</v>
      </c>
      <c r="M1429" s="38">
        <f>COUNTIF(퀘스트!B:B,표1[[#This Row],[명칭]])</f>
        <v>0</v>
      </c>
      <c r="N1429" s="65">
        <f>COUNTIF([1]VillageDiscoveryGroup!$C:$C,표1[[#This Row],[명칭]])</f>
        <v>0</v>
      </c>
      <c r="O1429" s="65">
        <f>SUM(표1[[#This Row],[해양탐색]:[마을탐험]])</f>
        <v>0</v>
      </c>
    </row>
    <row r="1430" spans="2:15" ht="13.5" customHeight="1" x14ac:dyDescent="0.3">
      <c r="B1430" s="9">
        <f>[1]Discovery!A1436</f>
        <v>70410076</v>
      </c>
      <c r="C1430" s="9" t="str">
        <f>[1]Discovery!B1436</f>
        <v>테피토쿠라</v>
      </c>
      <c r="D1430" s="9" t="str">
        <f>[1]Discovery!E1436</f>
        <v>건축</v>
      </c>
      <c r="E1430" s="9" t="str">
        <f>[1]Discovery!C1436</f>
        <v>사적</v>
      </c>
      <c r="F1430" s="9" t="str">
        <f>[1]Discovery!G1436</f>
        <v>B</v>
      </c>
      <c r="G1430" s="9" t="str">
        <f>IFERROR(VLOOKUP(표1[[#This Row],[명칭]],'문화권 정리'!C:D,2,FALSE),"-")</f>
        <v>태평양</v>
      </c>
      <c r="H1430" s="38" t="str">
        <f>IFERROR(COUNTIF([2]OceanDoodad!$Y:$Y,표1[[#This Row],[명칭]]),"-")</f>
        <v>-</v>
      </c>
      <c r="I1430" s="38">
        <f>IFERROR(COUNTIF([1]AdventureDiscoveryGroup!$D$8:$AW$92,표1[[#This Row],[명칭]]),"-")</f>
        <v>0</v>
      </c>
      <c r="J1430" s="38">
        <f>IFERROR(COUNTIF([1]FishDiscoveryGroup!$A:$X,표1[[#This Row],[명칭]]),"-")</f>
        <v>0</v>
      </c>
      <c r="K1430" s="38" t="str">
        <f>IFERROR(COUNTIF([2]Town!$B:$B,표1[[#This Row],[명칭]]),"-")</f>
        <v>-</v>
      </c>
      <c r="L1430" s="38">
        <f>IFERROR(COUNTIF([1]Village!$BR:$BR,표1[[#This Row],[명칭]]),"-")</f>
        <v>0</v>
      </c>
      <c r="M1430" s="38">
        <f>COUNTIF(퀘스트!B:B,표1[[#This Row],[명칭]])</f>
        <v>0</v>
      </c>
      <c r="N1430" s="65">
        <f>COUNTIF([1]VillageDiscoveryGroup!$C:$C,표1[[#This Row],[명칭]])</f>
        <v>1</v>
      </c>
      <c r="O1430" s="65">
        <f>SUM(표1[[#This Row],[해양탐색]:[마을탐험]])</f>
        <v>1</v>
      </c>
    </row>
    <row r="1431" spans="2:15" ht="13.5" customHeight="1" x14ac:dyDescent="0.3">
      <c r="B1431" s="9">
        <f>[1]Discovery!A1437</f>
        <v>70410077</v>
      </c>
      <c r="C1431" s="9" t="str">
        <f>[1]Discovery!B1437</f>
        <v>토로 유적</v>
      </c>
      <c r="D1431" s="9" t="str">
        <f>[1]Discovery!E1437</f>
        <v>건축</v>
      </c>
      <c r="E1431" s="9" t="str">
        <f>[1]Discovery!C1437</f>
        <v>사적</v>
      </c>
      <c r="F1431" s="9" t="str">
        <f>[1]Discovery!G1437</f>
        <v>C</v>
      </c>
      <c r="G1431" s="9" t="str">
        <f>IFERROR(VLOOKUP(표1[[#This Row],[명칭]],'문화권 정리'!C:D,2,FALSE),"-")</f>
        <v>동아시아</v>
      </c>
      <c r="H1431" s="38" t="str">
        <f>IFERROR(COUNTIF([2]OceanDoodad!$Y:$Y,표1[[#This Row],[명칭]]),"-")</f>
        <v>-</v>
      </c>
      <c r="I1431" s="38">
        <f>IFERROR(COUNTIF([1]AdventureDiscoveryGroup!$D$8:$AW$92,표1[[#This Row],[명칭]]),"-")</f>
        <v>1</v>
      </c>
      <c r="J1431" s="38">
        <f>IFERROR(COUNTIF([1]FishDiscoveryGroup!$A:$X,표1[[#This Row],[명칭]]),"-")</f>
        <v>0</v>
      </c>
      <c r="K1431" s="38" t="str">
        <f>IFERROR(COUNTIF([2]Town!$B:$B,표1[[#This Row],[명칭]]),"-")</f>
        <v>-</v>
      </c>
      <c r="L1431" s="38">
        <f>IFERROR(COUNTIF([1]Village!$BR:$BR,표1[[#This Row],[명칭]]),"-")</f>
        <v>0</v>
      </c>
      <c r="M1431" s="38">
        <f>COUNTIF(퀘스트!B:B,표1[[#This Row],[명칭]])</f>
        <v>0</v>
      </c>
      <c r="N1431" s="65">
        <f>COUNTIF([1]VillageDiscoveryGroup!$C:$C,표1[[#This Row],[명칭]])</f>
        <v>0</v>
      </c>
      <c r="O1431" s="65">
        <f>SUM(표1[[#This Row],[해양탐색]:[마을탐험]])</f>
        <v>1</v>
      </c>
    </row>
    <row r="1432" spans="2:15" ht="13.5" customHeight="1" x14ac:dyDescent="0.3">
      <c r="B1432" s="9">
        <f>[1]Discovery!A1438</f>
        <v>70410078</v>
      </c>
      <c r="C1432" s="9" t="str">
        <f>[1]Discovery!B1438</f>
        <v>토페트</v>
      </c>
      <c r="D1432" s="9" t="str">
        <f>[1]Discovery!E1438</f>
        <v>건축</v>
      </c>
      <c r="E1432" s="9" t="str">
        <f>[1]Discovery!C1438</f>
        <v>종교 건축물</v>
      </c>
      <c r="F1432" s="9" t="str">
        <f>[1]Discovery!G1438</f>
        <v>B</v>
      </c>
      <c r="G1432" s="9" t="str">
        <f>IFERROR(VLOOKUP(표1[[#This Row],[명칭]],'문화권 정리'!C:D,2,FALSE),"-")</f>
        <v>북아프리카</v>
      </c>
      <c r="H1432" s="38" t="str">
        <f>IFERROR(COUNTIF([2]OceanDoodad!$Y:$Y,표1[[#This Row],[명칭]]),"-")</f>
        <v>-</v>
      </c>
      <c r="I1432" s="38">
        <f>IFERROR(COUNTIF([1]AdventureDiscoveryGroup!$D$8:$AW$92,표1[[#This Row],[명칭]]),"-")</f>
        <v>0</v>
      </c>
      <c r="J1432" s="38">
        <f>IFERROR(COUNTIF([1]FishDiscoveryGroup!$A:$X,표1[[#This Row],[명칭]]),"-")</f>
        <v>0</v>
      </c>
      <c r="K1432" s="38" t="str">
        <f>IFERROR(COUNTIF([2]Town!$B:$B,표1[[#This Row],[명칭]]),"-")</f>
        <v>-</v>
      </c>
      <c r="L1432" s="38">
        <f>IFERROR(COUNTIF([1]Village!$BR:$BR,표1[[#This Row],[명칭]]),"-")</f>
        <v>0</v>
      </c>
      <c r="M1432" s="38">
        <f>COUNTIF(퀘스트!B:B,표1[[#This Row],[명칭]])</f>
        <v>0</v>
      </c>
      <c r="N1432" s="65">
        <f>COUNTIF([1]VillageDiscoveryGroup!$C:$C,표1[[#This Row],[명칭]])</f>
        <v>0</v>
      </c>
      <c r="O1432" s="65">
        <f>SUM(표1[[#This Row],[해양탐색]:[마을탐험]])</f>
        <v>0</v>
      </c>
    </row>
    <row r="1433" spans="2:15" ht="13.5" customHeight="1" x14ac:dyDescent="0.3">
      <c r="B1433" s="9">
        <f>[1]Discovery!A1439</f>
        <v>70410079</v>
      </c>
      <c r="C1433" s="9" t="str">
        <f>[1]Discovery!B1439</f>
        <v>툴룸</v>
      </c>
      <c r="D1433" s="9" t="str">
        <f>[1]Discovery!E1439</f>
        <v>건축</v>
      </c>
      <c r="E1433" s="9" t="str">
        <f>[1]Discovery!C1439</f>
        <v>사적</v>
      </c>
      <c r="F1433" s="9" t="str">
        <f>[1]Discovery!G1439</f>
        <v>B</v>
      </c>
      <c r="G1433" s="9" t="str">
        <f>IFERROR(VLOOKUP(표1[[#This Row],[명칭]],'문화권 정리'!C:D,2,FALSE),"-")</f>
        <v>중앙아메리카</v>
      </c>
      <c r="H1433" s="38" t="str">
        <f>IFERROR(COUNTIF([2]OceanDoodad!$Y:$Y,표1[[#This Row],[명칭]]),"-")</f>
        <v>-</v>
      </c>
      <c r="I1433" s="38">
        <f>IFERROR(COUNTIF([1]AdventureDiscoveryGroup!$D$8:$AW$92,표1[[#This Row],[명칭]]),"-")</f>
        <v>1</v>
      </c>
      <c r="J1433" s="38">
        <f>IFERROR(COUNTIF([1]FishDiscoveryGroup!$A:$X,표1[[#This Row],[명칭]]),"-")</f>
        <v>0</v>
      </c>
      <c r="K1433" s="38" t="str">
        <f>IFERROR(COUNTIF([2]Town!$B:$B,표1[[#This Row],[명칭]]),"-")</f>
        <v>-</v>
      </c>
      <c r="L1433" s="38">
        <f>IFERROR(COUNTIF([1]Village!$BR:$BR,표1[[#This Row],[명칭]]),"-")</f>
        <v>0</v>
      </c>
      <c r="M1433" s="38">
        <f>COUNTIF(퀘스트!B:B,표1[[#This Row],[명칭]])</f>
        <v>0</v>
      </c>
      <c r="N1433" s="65">
        <f>COUNTIF([1]VillageDiscoveryGroup!$C:$C,표1[[#This Row],[명칭]])</f>
        <v>0</v>
      </c>
      <c r="O1433" s="65">
        <f>SUM(표1[[#This Row],[해양탐색]:[마을탐험]])</f>
        <v>1</v>
      </c>
    </row>
    <row r="1434" spans="2:15" ht="13.5" customHeight="1" x14ac:dyDescent="0.3">
      <c r="B1434" s="9">
        <f>[1]Discovery!A1440</f>
        <v>70410080</v>
      </c>
      <c r="C1434" s="9" t="str">
        <f>[1]Discovery!B1440</f>
        <v>트로이 유적</v>
      </c>
      <c r="D1434" s="9" t="str">
        <f>[1]Discovery!E1440</f>
        <v>건축</v>
      </c>
      <c r="E1434" s="9" t="str">
        <f>[1]Discovery!C1440</f>
        <v>사적</v>
      </c>
      <c r="F1434" s="9" t="str">
        <f>[1]Discovery!G1440</f>
        <v>S</v>
      </c>
      <c r="G1434" s="9" t="str">
        <f>IFERROR(VLOOKUP(표1[[#This Row],[명칭]],'문화권 정리'!C:D,2,FALSE),"-")</f>
        <v>지중해</v>
      </c>
      <c r="H1434" s="38" t="str">
        <f>IFERROR(COUNTIF([2]OceanDoodad!$Y:$Y,표1[[#This Row],[명칭]]),"-")</f>
        <v>-</v>
      </c>
      <c r="I1434" s="38">
        <f>IFERROR(COUNTIF([1]AdventureDiscoveryGroup!$D$8:$AW$92,표1[[#This Row],[명칭]]),"-")</f>
        <v>0</v>
      </c>
      <c r="J1434" s="38">
        <f>IFERROR(COUNTIF([1]FishDiscoveryGroup!$A:$X,표1[[#This Row],[명칭]]),"-")</f>
        <v>0</v>
      </c>
      <c r="K1434" s="38" t="str">
        <f>IFERROR(COUNTIF([2]Town!$B:$B,표1[[#This Row],[명칭]]),"-")</f>
        <v>-</v>
      </c>
      <c r="L1434" s="38">
        <f>IFERROR(COUNTIF([1]Village!$BR:$BR,표1[[#This Row],[명칭]]),"-")</f>
        <v>0</v>
      </c>
      <c r="M1434" s="38">
        <f>COUNTIF(퀘스트!B:B,표1[[#This Row],[명칭]])</f>
        <v>1</v>
      </c>
      <c r="N1434" s="65">
        <f>COUNTIF([1]VillageDiscoveryGroup!$C:$C,표1[[#This Row],[명칭]])</f>
        <v>0</v>
      </c>
      <c r="O1434" s="65">
        <f>SUM(표1[[#This Row],[해양탐색]:[마을탐험]])</f>
        <v>1</v>
      </c>
    </row>
    <row r="1435" spans="2:15" ht="13.5" customHeight="1" x14ac:dyDescent="0.3">
      <c r="B1435" s="9">
        <f>[1]Discovery!A1441</f>
        <v>70410081</v>
      </c>
      <c r="C1435" s="9" t="str">
        <f>[1]Discovery!B1441</f>
        <v>트위펠폰테인</v>
      </c>
      <c r="D1435" s="9" t="str">
        <f>[1]Discovery!E1441</f>
        <v>건축</v>
      </c>
      <c r="E1435" s="9" t="str">
        <f>[1]Discovery!C1441</f>
        <v>사적</v>
      </c>
      <c r="F1435" s="9" t="str">
        <f>[1]Discovery!G1441</f>
        <v>C</v>
      </c>
      <c r="G1435" s="9" t="str">
        <f>IFERROR(VLOOKUP(표1[[#This Row],[명칭]],'문화권 정리'!C:D,2,FALSE),"-")</f>
        <v>남아프리카</v>
      </c>
      <c r="H1435" s="38" t="str">
        <f>IFERROR(COUNTIF([2]OceanDoodad!$Y:$Y,표1[[#This Row],[명칭]]),"-")</f>
        <v>-</v>
      </c>
      <c r="I1435" s="38">
        <f>IFERROR(COUNTIF([1]AdventureDiscoveryGroup!$D$8:$AW$92,표1[[#This Row],[명칭]]),"-")</f>
        <v>1</v>
      </c>
      <c r="J1435" s="38">
        <f>IFERROR(COUNTIF([1]FishDiscoveryGroup!$A:$X,표1[[#This Row],[명칭]]),"-")</f>
        <v>0</v>
      </c>
      <c r="K1435" s="38" t="str">
        <f>IFERROR(COUNTIF([2]Town!$B:$B,표1[[#This Row],[명칭]]),"-")</f>
        <v>-</v>
      </c>
      <c r="L1435" s="38">
        <f>IFERROR(COUNTIF([1]Village!$BR:$BR,표1[[#This Row],[명칭]]),"-")</f>
        <v>0</v>
      </c>
      <c r="M1435" s="38">
        <f>COUNTIF(퀘스트!B:B,표1[[#This Row],[명칭]])</f>
        <v>0</v>
      </c>
      <c r="N1435" s="65">
        <f>COUNTIF([1]VillageDiscoveryGroup!$C:$C,표1[[#This Row],[명칭]])</f>
        <v>0</v>
      </c>
      <c r="O1435" s="65">
        <f>SUM(표1[[#This Row],[해양탐색]:[마을탐험]])</f>
        <v>1</v>
      </c>
    </row>
    <row r="1436" spans="2:15" ht="13.5" customHeight="1" x14ac:dyDescent="0.3">
      <c r="B1436" s="9">
        <f>[1]Discovery!A1442</f>
        <v>70410082</v>
      </c>
      <c r="C1436" s="9" t="str">
        <f>[1]Discovery!B1442</f>
        <v>파르테논 신전</v>
      </c>
      <c r="D1436" s="9" t="str">
        <f>[1]Discovery!E1442</f>
        <v>건축</v>
      </c>
      <c r="E1436" s="9" t="str">
        <f>[1]Discovery!C1442</f>
        <v>종교 건축물</v>
      </c>
      <c r="F1436" s="9" t="str">
        <f>[1]Discovery!G1442</f>
        <v>A</v>
      </c>
      <c r="G1436" s="9" t="str">
        <f>IFERROR(VLOOKUP(표1[[#This Row],[명칭]],'문화권 정리'!C:D,2,FALSE),"-")</f>
        <v>지중해</v>
      </c>
      <c r="H1436" s="38" t="str">
        <f>IFERROR(COUNTIF([2]OceanDoodad!$Y:$Y,표1[[#This Row],[명칭]]),"-")</f>
        <v>-</v>
      </c>
      <c r="I1436" s="38">
        <f>IFERROR(COUNTIF([1]AdventureDiscoveryGroup!$D$8:$AW$92,표1[[#This Row],[명칭]]),"-")</f>
        <v>0</v>
      </c>
      <c r="J1436" s="38">
        <f>IFERROR(COUNTIF([1]FishDiscoveryGroup!$A:$X,표1[[#This Row],[명칭]]),"-")</f>
        <v>0</v>
      </c>
      <c r="K1436" s="38" t="str">
        <f>IFERROR(COUNTIF([2]Town!$B:$B,표1[[#This Row],[명칭]]),"-")</f>
        <v>-</v>
      </c>
      <c r="L1436" s="38">
        <f>IFERROR(COUNTIF([1]Village!$BR:$BR,표1[[#This Row],[명칭]]),"-")</f>
        <v>0</v>
      </c>
      <c r="M1436" s="38">
        <f>COUNTIF(퀘스트!B:B,표1[[#This Row],[명칭]])</f>
        <v>1</v>
      </c>
      <c r="N1436" s="65">
        <f>COUNTIF([1]VillageDiscoveryGroup!$C:$C,표1[[#This Row],[명칭]])</f>
        <v>0</v>
      </c>
      <c r="O1436" s="65">
        <f>SUM(표1[[#This Row],[해양탐색]:[마을탐험]])</f>
        <v>1</v>
      </c>
    </row>
    <row r="1437" spans="2:15" ht="13.5" customHeight="1" x14ac:dyDescent="0.3">
      <c r="B1437" s="9">
        <f>[1]Discovery!A1443</f>
        <v>70410083</v>
      </c>
      <c r="C1437" s="9" t="str">
        <f>[1]Discovery!B1443</f>
        <v>파포스</v>
      </c>
      <c r="D1437" s="9" t="str">
        <f>[1]Discovery!E1443</f>
        <v>건축</v>
      </c>
      <c r="E1437" s="9" t="str">
        <f>[1]Discovery!C1443</f>
        <v>사적</v>
      </c>
      <c r="F1437" s="9" t="str">
        <f>[1]Discovery!G1443</f>
        <v>A</v>
      </c>
      <c r="G1437" s="9" t="str">
        <f>IFERROR(VLOOKUP(표1[[#This Row],[명칭]],'문화권 정리'!C:D,2,FALSE),"-")</f>
        <v>지중해</v>
      </c>
      <c r="H1437" s="38" t="str">
        <f>IFERROR(COUNTIF([2]OceanDoodad!$Y:$Y,표1[[#This Row],[명칭]]),"-")</f>
        <v>-</v>
      </c>
      <c r="I1437" s="38">
        <f>IFERROR(COUNTIF([1]AdventureDiscoveryGroup!$D$8:$AW$92,표1[[#This Row],[명칭]]),"-")</f>
        <v>0</v>
      </c>
      <c r="J1437" s="38">
        <f>IFERROR(COUNTIF([1]FishDiscoveryGroup!$A:$X,표1[[#This Row],[명칭]]),"-")</f>
        <v>0</v>
      </c>
      <c r="K1437" s="38" t="str">
        <f>IFERROR(COUNTIF([2]Town!$B:$B,표1[[#This Row],[명칭]]),"-")</f>
        <v>-</v>
      </c>
      <c r="L1437" s="38">
        <f>IFERROR(COUNTIF([1]Village!$BR:$BR,표1[[#This Row],[명칭]]),"-")</f>
        <v>0</v>
      </c>
      <c r="M1437" s="38">
        <f>COUNTIF(퀘스트!B:B,표1[[#This Row],[명칭]])</f>
        <v>0</v>
      </c>
      <c r="N1437" s="65">
        <f>COUNTIF([1]VillageDiscoveryGroup!$C:$C,표1[[#This Row],[명칭]])</f>
        <v>0</v>
      </c>
      <c r="O1437" s="65">
        <f>SUM(표1[[#This Row],[해양탐색]:[마을탐험]])</f>
        <v>0</v>
      </c>
    </row>
    <row r="1438" spans="2:15" ht="13.5" customHeight="1" x14ac:dyDescent="0.3">
      <c r="B1438" s="9">
        <f>[1]Discovery!A1444</f>
        <v>70410084</v>
      </c>
      <c r="C1438" s="9" t="str">
        <f>[1]Discovery!B1444</f>
        <v>팔렌케</v>
      </c>
      <c r="D1438" s="9" t="str">
        <f>[1]Discovery!E1444</f>
        <v>건축</v>
      </c>
      <c r="E1438" s="9" t="str">
        <f>[1]Discovery!C1444</f>
        <v>사적</v>
      </c>
      <c r="F1438" s="9" t="str">
        <f>[1]Discovery!G1444</f>
        <v>C</v>
      </c>
      <c r="G1438" s="9" t="str">
        <f>IFERROR(VLOOKUP(표1[[#This Row],[명칭]],'문화권 정리'!C:D,2,FALSE),"-")</f>
        <v>중앙아메리카</v>
      </c>
      <c r="H1438" s="38" t="str">
        <f>IFERROR(COUNTIF([2]OceanDoodad!$Y:$Y,표1[[#This Row],[명칭]]),"-")</f>
        <v>-</v>
      </c>
      <c r="I1438" s="38">
        <f>IFERROR(COUNTIF([1]AdventureDiscoveryGroup!$D$8:$AW$92,표1[[#This Row],[명칭]]),"-")</f>
        <v>0</v>
      </c>
      <c r="J1438" s="38">
        <f>IFERROR(COUNTIF([1]FishDiscoveryGroup!$A:$X,표1[[#This Row],[명칭]]),"-")</f>
        <v>0</v>
      </c>
      <c r="K1438" s="38" t="str">
        <f>IFERROR(COUNTIF([2]Town!$B:$B,표1[[#This Row],[명칭]]),"-")</f>
        <v>-</v>
      </c>
      <c r="L1438" s="38">
        <f>IFERROR(COUNTIF([1]Village!$BR:$BR,표1[[#This Row],[명칭]]),"-")</f>
        <v>0</v>
      </c>
      <c r="M1438" s="38">
        <f>COUNTIF(퀘스트!B:B,표1[[#This Row],[명칭]])</f>
        <v>1</v>
      </c>
      <c r="N1438" s="65">
        <f>COUNTIF([1]VillageDiscoveryGroup!$C:$C,표1[[#This Row],[명칭]])</f>
        <v>0</v>
      </c>
      <c r="O1438" s="65">
        <f>SUM(표1[[#This Row],[해양탐색]:[마을탐험]])</f>
        <v>1</v>
      </c>
    </row>
    <row r="1439" spans="2:15" ht="13.5" customHeight="1" x14ac:dyDescent="0.3">
      <c r="B1439" s="9">
        <f>[1]Discovery!A1445</f>
        <v>70410085</v>
      </c>
      <c r="C1439" s="9" t="str">
        <f>[1]Discovery!B1445</f>
        <v>페르세폴리스</v>
      </c>
      <c r="D1439" s="9" t="str">
        <f>[1]Discovery!E1445</f>
        <v>건축</v>
      </c>
      <c r="E1439" s="9" t="str">
        <f>[1]Discovery!C1445</f>
        <v>사적</v>
      </c>
      <c r="F1439" s="9" t="str">
        <f>[1]Discovery!G1445</f>
        <v>S</v>
      </c>
      <c r="G1439" s="9" t="str">
        <f>IFERROR(VLOOKUP(표1[[#This Row],[명칭]],'문화권 정리'!C:D,2,FALSE),"-")</f>
        <v>서남아시아</v>
      </c>
      <c r="H1439" s="38" t="str">
        <f>IFERROR(COUNTIF([2]OceanDoodad!$Y:$Y,표1[[#This Row],[명칭]]),"-")</f>
        <v>-</v>
      </c>
      <c r="I1439" s="38">
        <f>IFERROR(COUNTIF([1]AdventureDiscoveryGroup!$D$8:$AW$92,표1[[#This Row],[명칭]]),"-")</f>
        <v>0</v>
      </c>
      <c r="J1439" s="38">
        <f>IFERROR(COUNTIF([1]FishDiscoveryGroup!$A:$X,표1[[#This Row],[명칭]]),"-")</f>
        <v>0</v>
      </c>
      <c r="K1439" s="38" t="str">
        <f>IFERROR(COUNTIF([2]Town!$B:$B,표1[[#This Row],[명칭]]),"-")</f>
        <v>-</v>
      </c>
      <c r="L1439" s="38">
        <f>IFERROR(COUNTIF([1]Village!$BR:$BR,표1[[#This Row],[명칭]]),"-")</f>
        <v>0</v>
      </c>
      <c r="M1439" s="38">
        <f>COUNTIF(퀘스트!B:B,표1[[#This Row],[명칭]])</f>
        <v>0</v>
      </c>
      <c r="N1439" s="65">
        <f>COUNTIF([1]VillageDiscoveryGroup!$C:$C,표1[[#This Row],[명칭]])</f>
        <v>0</v>
      </c>
      <c r="O1439" s="65">
        <f>SUM(표1[[#This Row],[해양탐색]:[마을탐험]])</f>
        <v>0</v>
      </c>
    </row>
    <row r="1440" spans="2:15" ht="13.5" customHeight="1" x14ac:dyDescent="0.3">
      <c r="B1440" s="9">
        <f>[1]Discovery!A1446</f>
        <v>70410086</v>
      </c>
      <c r="C1440" s="9" t="str">
        <f>[1]Discovery!B1446</f>
        <v>포럼 목욕탕</v>
      </c>
      <c r="D1440" s="9" t="str">
        <f>[1]Discovery!E1446</f>
        <v>건축</v>
      </c>
      <c r="E1440" s="9" t="str">
        <f>[1]Discovery!C1446</f>
        <v>사적</v>
      </c>
      <c r="F1440" s="9" t="str">
        <f>[1]Discovery!G1446</f>
        <v>B</v>
      </c>
      <c r="G1440" s="9" t="str">
        <f>IFERROR(VLOOKUP(표1[[#This Row],[명칭]],'문화권 정리'!C:D,2,FALSE),"-")</f>
        <v>지중해</v>
      </c>
      <c r="H1440" s="38" t="str">
        <f>IFERROR(COUNTIF([2]OceanDoodad!$Y:$Y,표1[[#This Row],[명칭]]),"-")</f>
        <v>-</v>
      </c>
      <c r="I1440" s="38">
        <f>IFERROR(COUNTIF([1]AdventureDiscoveryGroup!$D$8:$AW$92,표1[[#This Row],[명칭]]),"-")</f>
        <v>0</v>
      </c>
      <c r="J1440" s="38">
        <f>IFERROR(COUNTIF([1]FishDiscoveryGroup!$A:$X,표1[[#This Row],[명칭]]),"-")</f>
        <v>0</v>
      </c>
      <c r="K1440" s="38" t="str">
        <f>IFERROR(COUNTIF([2]Town!$B:$B,표1[[#This Row],[명칭]]),"-")</f>
        <v>-</v>
      </c>
      <c r="L1440" s="38">
        <f>IFERROR(COUNTIF([1]Village!$BR:$BR,표1[[#This Row],[명칭]]),"-")</f>
        <v>0</v>
      </c>
      <c r="M1440" s="38">
        <f>COUNTIF(퀘스트!B:B,표1[[#This Row],[명칭]])</f>
        <v>1</v>
      </c>
      <c r="N1440" s="65">
        <f>COUNTIF([1]VillageDiscoveryGroup!$C:$C,표1[[#This Row],[명칭]])</f>
        <v>0</v>
      </c>
      <c r="O1440" s="65">
        <f>SUM(표1[[#This Row],[해양탐색]:[마을탐험]])</f>
        <v>1</v>
      </c>
    </row>
    <row r="1441" spans="2:15" ht="13.5" customHeight="1" x14ac:dyDescent="0.3">
      <c r="B1441" s="9">
        <f>[1]Discovery!A1447</f>
        <v>70410087</v>
      </c>
      <c r="C1441" s="9" t="str">
        <f>[1]Discovery!B1447</f>
        <v>포로 로마노</v>
      </c>
      <c r="D1441" s="9" t="str">
        <f>[1]Discovery!E1447</f>
        <v>건축</v>
      </c>
      <c r="E1441" s="9" t="str">
        <f>[1]Discovery!C1447</f>
        <v>사적</v>
      </c>
      <c r="F1441" s="9" t="str">
        <f>[1]Discovery!G1447</f>
        <v>C</v>
      </c>
      <c r="G1441" s="9" t="str">
        <f>IFERROR(VLOOKUP(표1[[#This Row],[명칭]],'문화권 정리'!C:D,2,FALSE),"-")</f>
        <v>지중해</v>
      </c>
      <c r="H1441" s="38" t="str">
        <f>IFERROR(COUNTIF([2]OceanDoodad!$Y:$Y,표1[[#This Row],[명칭]]),"-")</f>
        <v>-</v>
      </c>
      <c r="I1441" s="38">
        <f>IFERROR(COUNTIF([1]AdventureDiscoveryGroup!$D$8:$AW$92,표1[[#This Row],[명칭]]),"-")</f>
        <v>0</v>
      </c>
      <c r="J1441" s="38">
        <f>IFERROR(COUNTIF([1]FishDiscoveryGroup!$A:$X,표1[[#This Row],[명칭]]),"-")</f>
        <v>0</v>
      </c>
      <c r="K1441" s="38" t="str">
        <f>IFERROR(COUNTIF([2]Town!$B:$B,표1[[#This Row],[명칭]]),"-")</f>
        <v>-</v>
      </c>
      <c r="L1441" s="38">
        <f>IFERROR(COUNTIF([1]Village!$BR:$BR,표1[[#This Row],[명칭]]),"-")</f>
        <v>0</v>
      </c>
      <c r="M1441" s="38">
        <f>COUNTIF(퀘스트!B:B,표1[[#This Row],[명칭]])</f>
        <v>0</v>
      </c>
      <c r="N1441" s="65">
        <f>COUNTIF([1]VillageDiscoveryGroup!$C:$C,표1[[#This Row],[명칭]])</f>
        <v>0</v>
      </c>
      <c r="O1441" s="65">
        <f>SUM(표1[[#This Row],[해양탐색]:[마을탐험]])</f>
        <v>0</v>
      </c>
    </row>
    <row r="1442" spans="2:15" ht="13.5" customHeight="1" x14ac:dyDescent="0.3">
      <c r="B1442" s="9">
        <f>[1]Discovery!A1448</f>
        <v>70410088</v>
      </c>
      <c r="C1442" s="9" t="str">
        <f>[1]Discovery!B1448</f>
        <v>포폴 부</v>
      </c>
      <c r="D1442" s="9" t="str">
        <f>[1]Discovery!E1448</f>
        <v>건축</v>
      </c>
      <c r="E1442" s="9" t="str">
        <f>[1]Discovery!C1448</f>
        <v>사적</v>
      </c>
      <c r="F1442" s="9" t="str">
        <f>[1]Discovery!G1448</f>
        <v>A</v>
      </c>
      <c r="G1442" s="9" t="str">
        <f>IFERROR(VLOOKUP(표1[[#This Row],[명칭]],'문화권 정리'!C:D,2,FALSE),"-")</f>
        <v>중앙아메리카</v>
      </c>
      <c r="H1442" s="38" t="str">
        <f>IFERROR(COUNTIF([2]OceanDoodad!$Y:$Y,표1[[#This Row],[명칭]]),"-")</f>
        <v>-</v>
      </c>
      <c r="I1442" s="38">
        <f>IFERROR(COUNTIF([1]AdventureDiscoveryGroup!$D$8:$AW$92,표1[[#This Row],[명칭]]),"-")</f>
        <v>0</v>
      </c>
      <c r="J1442" s="38">
        <f>IFERROR(COUNTIF([1]FishDiscoveryGroup!$A:$X,표1[[#This Row],[명칭]]),"-")</f>
        <v>0</v>
      </c>
      <c r="K1442" s="38" t="str">
        <f>IFERROR(COUNTIF([2]Town!$B:$B,표1[[#This Row],[명칭]]),"-")</f>
        <v>-</v>
      </c>
      <c r="L1442" s="38">
        <f>IFERROR(COUNTIF([1]Village!$BR:$BR,표1[[#This Row],[명칭]]),"-")</f>
        <v>0</v>
      </c>
      <c r="M1442" s="38">
        <f>COUNTIF(퀘스트!B:B,표1[[#This Row],[명칭]])</f>
        <v>0</v>
      </c>
      <c r="N1442" s="65">
        <f>COUNTIF([1]VillageDiscoveryGroup!$C:$C,표1[[#This Row],[명칭]])</f>
        <v>0</v>
      </c>
      <c r="O1442" s="65">
        <f>SUM(표1[[#This Row],[해양탐색]:[마을탐험]])</f>
        <v>0</v>
      </c>
    </row>
    <row r="1443" spans="2:15" ht="13.5" customHeight="1" x14ac:dyDescent="0.3">
      <c r="B1443" s="9">
        <f>[1]Discovery!A1449</f>
        <v>70410089</v>
      </c>
      <c r="C1443" s="9" t="str">
        <f>[1]Discovery!B1449</f>
        <v>폼페이 유적</v>
      </c>
      <c r="D1443" s="9" t="str">
        <f>[1]Discovery!E1449</f>
        <v>건축</v>
      </c>
      <c r="E1443" s="9" t="str">
        <f>[1]Discovery!C1449</f>
        <v>사적</v>
      </c>
      <c r="F1443" s="9" t="str">
        <f>[1]Discovery!G1449</f>
        <v>S</v>
      </c>
      <c r="G1443" s="9" t="str">
        <f>IFERROR(VLOOKUP(표1[[#This Row],[명칭]],'문화권 정리'!C:D,2,FALSE),"-")</f>
        <v>지중해</v>
      </c>
      <c r="H1443" s="38" t="str">
        <f>IFERROR(COUNTIF([2]OceanDoodad!$Y:$Y,표1[[#This Row],[명칭]]),"-")</f>
        <v>-</v>
      </c>
      <c r="I1443" s="38">
        <f>IFERROR(COUNTIF([1]AdventureDiscoveryGroup!$D$8:$AW$92,표1[[#This Row],[명칭]]),"-")</f>
        <v>0</v>
      </c>
      <c r="J1443" s="38">
        <f>IFERROR(COUNTIF([1]FishDiscoveryGroup!$A:$X,표1[[#This Row],[명칭]]),"-")</f>
        <v>0</v>
      </c>
      <c r="K1443" s="38" t="str">
        <f>IFERROR(COUNTIF([2]Town!$B:$B,표1[[#This Row],[명칭]]),"-")</f>
        <v>-</v>
      </c>
      <c r="L1443" s="38">
        <f>IFERROR(COUNTIF([1]Village!$BR:$BR,표1[[#This Row],[명칭]]),"-")</f>
        <v>0</v>
      </c>
      <c r="M1443" s="38">
        <f>COUNTIF(퀘스트!B:B,표1[[#This Row],[명칭]])</f>
        <v>1</v>
      </c>
      <c r="N1443" s="65">
        <f>COUNTIF([1]VillageDiscoveryGroup!$C:$C,표1[[#This Row],[명칭]])</f>
        <v>0</v>
      </c>
      <c r="O1443" s="65">
        <f>SUM(표1[[#This Row],[해양탐색]:[마을탐험]])</f>
        <v>1</v>
      </c>
    </row>
    <row r="1444" spans="2:15" ht="13.5" customHeight="1" x14ac:dyDescent="0.3">
      <c r="B1444" s="9">
        <f>[1]Discovery!A1450</f>
        <v>70410090</v>
      </c>
      <c r="C1444" s="9" t="str">
        <f>[1]Discovery!B1450</f>
        <v>푸에블로 타오스</v>
      </c>
      <c r="D1444" s="9" t="str">
        <f>[1]Discovery!E1450</f>
        <v>건축</v>
      </c>
      <c r="E1444" s="9" t="str">
        <f>[1]Discovery!C1450</f>
        <v>사적</v>
      </c>
      <c r="F1444" s="9" t="str">
        <f>[1]Discovery!G1450</f>
        <v>B</v>
      </c>
      <c r="G1444" s="9" t="str">
        <f>IFERROR(VLOOKUP(표1[[#This Row],[명칭]],'문화권 정리'!C:D,2,FALSE),"-")</f>
        <v>북아메리카</v>
      </c>
      <c r="H1444" s="38" t="str">
        <f>IFERROR(COUNTIF([2]OceanDoodad!$Y:$Y,표1[[#This Row],[명칭]]),"-")</f>
        <v>-</v>
      </c>
      <c r="I1444" s="38">
        <f>IFERROR(COUNTIF([1]AdventureDiscoveryGroup!$D$8:$AW$92,표1[[#This Row],[명칭]]),"-")</f>
        <v>0</v>
      </c>
      <c r="J1444" s="38">
        <f>IFERROR(COUNTIF([1]FishDiscoveryGroup!$A:$X,표1[[#This Row],[명칭]]),"-")</f>
        <v>0</v>
      </c>
      <c r="K1444" s="38" t="str">
        <f>IFERROR(COUNTIF([2]Town!$B:$B,표1[[#This Row],[명칭]]),"-")</f>
        <v>-</v>
      </c>
      <c r="L1444" s="38">
        <f>IFERROR(COUNTIF([1]Village!$BR:$BR,표1[[#This Row],[명칭]]),"-")</f>
        <v>0</v>
      </c>
      <c r="M1444" s="38">
        <f>COUNTIF(퀘스트!B:B,표1[[#This Row],[명칭]])</f>
        <v>0</v>
      </c>
      <c r="N1444" s="65">
        <f>COUNTIF([1]VillageDiscoveryGroup!$C:$C,표1[[#This Row],[명칭]])</f>
        <v>0</v>
      </c>
      <c r="O1444" s="65">
        <f>SUM(표1[[#This Row],[해양탐색]:[마을탐험]])</f>
        <v>0</v>
      </c>
    </row>
    <row r="1445" spans="2:15" ht="13.5" customHeight="1" x14ac:dyDescent="0.3">
      <c r="B1445" s="9">
        <f>[1]Discovery!A1451</f>
        <v>70410091</v>
      </c>
      <c r="C1445" s="9" t="str">
        <f>[1]Discovery!B1451</f>
        <v>푼트국의 부조</v>
      </c>
      <c r="D1445" s="9" t="str">
        <f>[1]Discovery!E1451</f>
        <v>건축</v>
      </c>
      <c r="E1445" s="9" t="str">
        <f>[1]Discovery!C1451</f>
        <v>사적</v>
      </c>
      <c r="F1445" s="9" t="str">
        <f>[1]Discovery!G1451</f>
        <v>C</v>
      </c>
      <c r="G1445" s="9" t="str">
        <f>IFERROR(VLOOKUP(표1[[#This Row],[명칭]],'문화권 정리'!C:D,2,FALSE),"-")</f>
        <v>북아프리카</v>
      </c>
      <c r="H1445" s="38" t="str">
        <f>IFERROR(COUNTIF([2]OceanDoodad!$Y:$Y,표1[[#This Row],[명칭]]),"-")</f>
        <v>-</v>
      </c>
      <c r="I1445" s="38">
        <f>IFERROR(COUNTIF([1]AdventureDiscoveryGroup!$D$8:$AW$92,표1[[#This Row],[명칭]]),"-")</f>
        <v>1</v>
      </c>
      <c r="J1445" s="38">
        <f>IFERROR(COUNTIF([1]FishDiscoveryGroup!$A:$X,표1[[#This Row],[명칭]]),"-")</f>
        <v>0</v>
      </c>
      <c r="K1445" s="38" t="str">
        <f>IFERROR(COUNTIF([2]Town!$B:$B,표1[[#This Row],[명칭]]),"-")</f>
        <v>-</v>
      </c>
      <c r="L1445" s="38">
        <f>IFERROR(COUNTIF([1]Village!$BR:$BR,표1[[#This Row],[명칭]]),"-")</f>
        <v>0</v>
      </c>
      <c r="M1445" s="38">
        <f>COUNTIF(퀘스트!B:B,표1[[#This Row],[명칭]])</f>
        <v>0</v>
      </c>
      <c r="N1445" s="65">
        <f>COUNTIF([1]VillageDiscoveryGroup!$C:$C,표1[[#This Row],[명칭]])</f>
        <v>0</v>
      </c>
      <c r="O1445" s="65">
        <f>SUM(표1[[#This Row],[해양탐색]:[마을탐험]])</f>
        <v>1</v>
      </c>
    </row>
    <row r="1446" spans="2:15" ht="13.5" customHeight="1" x14ac:dyDescent="0.3">
      <c r="B1446" s="9">
        <f>[1]Discovery!A1452</f>
        <v>70410092</v>
      </c>
      <c r="C1446" s="9" t="str">
        <f>[1]Discovery!B1452</f>
        <v>하드리아누스의 성벽</v>
      </c>
      <c r="D1446" s="9" t="str">
        <f>[1]Discovery!E1452</f>
        <v>건축</v>
      </c>
      <c r="E1446" s="9" t="str">
        <f>[1]Discovery!C1452</f>
        <v>사적</v>
      </c>
      <c r="F1446" s="9" t="str">
        <f>[1]Discovery!G1452</f>
        <v>B</v>
      </c>
      <c r="G1446" s="9" t="str">
        <f>IFERROR(VLOOKUP(표1[[#This Row],[명칭]],'문화권 정리'!C:D,2,FALSE),"-")</f>
        <v>브리튼</v>
      </c>
      <c r="H1446" s="38" t="str">
        <f>IFERROR(COUNTIF([2]OceanDoodad!$Y:$Y,표1[[#This Row],[명칭]]),"-")</f>
        <v>-</v>
      </c>
      <c r="I1446" s="38">
        <f>IFERROR(COUNTIF([1]AdventureDiscoveryGroup!$D$8:$AW$92,표1[[#This Row],[명칭]]),"-")</f>
        <v>0</v>
      </c>
      <c r="J1446" s="38">
        <f>IFERROR(COUNTIF([1]FishDiscoveryGroup!$A:$X,표1[[#This Row],[명칭]]),"-")</f>
        <v>0</v>
      </c>
      <c r="K1446" s="38" t="str">
        <f>IFERROR(COUNTIF([2]Town!$B:$B,표1[[#This Row],[명칭]]),"-")</f>
        <v>-</v>
      </c>
      <c r="L1446" s="38">
        <f>IFERROR(COUNTIF([1]Village!$BR:$BR,표1[[#This Row],[명칭]]),"-")</f>
        <v>0</v>
      </c>
      <c r="M1446" s="38">
        <f>COUNTIF(퀘스트!B:B,표1[[#This Row],[명칭]])</f>
        <v>0</v>
      </c>
      <c r="N1446" s="65">
        <f>COUNTIF([1]VillageDiscoveryGroup!$C:$C,표1[[#This Row],[명칭]])</f>
        <v>0</v>
      </c>
      <c r="O1446" s="65">
        <f>SUM(표1[[#This Row],[해양탐색]:[마을탐험]])</f>
        <v>0</v>
      </c>
    </row>
    <row r="1447" spans="2:15" ht="13.5" customHeight="1" x14ac:dyDescent="0.3">
      <c r="B1447" s="9">
        <f>[1]Discovery!A1453</f>
        <v>70410093</v>
      </c>
      <c r="C1447" s="9" t="str">
        <f>[1]Discovery!B1453</f>
        <v>하트라</v>
      </c>
      <c r="D1447" s="9" t="str">
        <f>[1]Discovery!E1453</f>
        <v>건축</v>
      </c>
      <c r="E1447" s="9" t="str">
        <f>[1]Discovery!C1453</f>
        <v>사적</v>
      </c>
      <c r="F1447" s="9" t="str">
        <f>[1]Discovery!G1453</f>
        <v>D</v>
      </c>
      <c r="G1447" s="9" t="str">
        <f>IFERROR(VLOOKUP(표1[[#This Row],[명칭]],'문화권 정리'!C:D,2,FALSE),"-")</f>
        <v>서남아시아</v>
      </c>
      <c r="H1447" s="38" t="str">
        <f>IFERROR(COUNTIF([2]OceanDoodad!$Y:$Y,표1[[#This Row],[명칭]]),"-")</f>
        <v>-</v>
      </c>
      <c r="I1447" s="38">
        <f>IFERROR(COUNTIF([1]AdventureDiscoveryGroup!$D$8:$AW$92,표1[[#This Row],[명칭]]),"-")</f>
        <v>0</v>
      </c>
      <c r="J1447" s="38">
        <f>IFERROR(COUNTIF([1]FishDiscoveryGroup!$A:$X,표1[[#This Row],[명칭]]),"-")</f>
        <v>0</v>
      </c>
      <c r="K1447" s="38" t="str">
        <f>IFERROR(COUNTIF([2]Town!$B:$B,표1[[#This Row],[명칭]]),"-")</f>
        <v>-</v>
      </c>
      <c r="L1447" s="38">
        <f>IFERROR(COUNTIF([1]Village!$BR:$BR,표1[[#This Row],[명칭]]),"-")</f>
        <v>0</v>
      </c>
      <c r="M1447" s="38">
        <f>COUNTIF(퀘스트!B:B,표1[[#This Row],[명칭]])</f>
        <v>1</v>
      </c>
      <c r="N1447" s="65">
        <f>COUNTIF([1]VillageDiscoveryGroup!$C:$C,표1[[#This Row],[명칭]])</f>
        <v>0</v>
      </c>
      <c r="O1447" s="65">
        <f>SUM(표1[[#This Row],[해양탐색]:[마을탐험]])</f>
        <v>1</v>
      </c>
    </row>
    <row r="1448" spans="2:15" ht="13.5" customHeight="1" x14ac:dyDescent="0.3">
      <c r="B1448" s="9">
        <f>[1]Discovery!A1454</f>
        <v>70410094</v>
      </c>
      <c r="C1448" s="9" t="str">
        <f>[1]Discovery!B1454</f>
        <v>해인사</v>
      </c>
      <c r="D1448" s="9" t="str">
        <f>[1]Discovery!E1454</f>
        <v>건축</v>
      </c>
      <c r="E1448" s="9" t="str">
        <f>[1]Discovery!C1454</f>
        <v>사적</v>
      </c>
      <c r="F1448" s="9" t="str">
        <f>[1]Discovery!G1454</f>
        <v>B</v>
      </c>
      <c r="G1448" s="9" t="str">
        <f>IFERROR(VLOOKUP(표1[[#This Row],[명칭]],'문화권 정리'!C:D,2,FALSE),"-")</f>
        <v>동아시아</v>
      </c>
      <c r="H1448" s="38" t="str">
        <f>IFERROR(COUNTIF([2]OceanDoodad!$Y:$Y,표1[[#This Row],[명칭]]),"-")</f>
        <v>-</v>
      </c>
      <c r="I1448" s="38">
        <f>IFERROR(COUNTIF([1]AdventureDiscoveryGroup!$D$8:$AW$92,표1[[#This Row],[명칭]]),"-")</f>
        <v>0</v>
      </c>
      <c r="J1448" s="38">
        <f>IFERROR(COUNTIF([1]FishDiscoveryGroup!$A:$X,표1[[#This Row],[명칭]]),"-")</f>
        <v>0</v>
      </c>
      <c r="K1448" s="38" t="str">
        <f>IFERROR(COUNTIF([2]Town!$B:$B,표1[[#This Row],[명칭]]),"-")</f>
        <v>-</v>
      </c>
      <c r="L1448" s="38">
        <f>IFERROR(COUNTIF([1]Village!$BR:$BR,표1[[#This Row],[명칭]]),"-")</f>
        <v>0</v>
      </c>
      <c r="M1448" s="38">
        <f>COUNTIF(퀘스트!B:B,표1[[#This Row],[명칭]])</f>
        <v>0</v>
      </c>
      <c r="N1448" s="65">
        <f>COUNTIF([1]VillageDiscoveryGroup!$C:$C,표1[[#This Row],[명칭]])</f>
        <v>0</v>
      </c>
      <c r="O1448" s="65">
        <f>SUM(표1[[#This Row],[해양탐색]:[마을탐험]])</f>
        <v>0</v>
      </c>
    </row>
    <row r="1449" spans="2:15" ht="13.5" customHeight="1" x14ac:dyDescent="0.3">
      <c r="B1449" s="9">
        <f>[1]Discovery!A1455</f>
        <v>70410095</v>
      </c>
      <c r="C1449" s="9" t="str">
        <f>[1]Discovery!B1455</f>
        <v>헤이아우</v>
      </c>
      <c r="D1449" s="9" t="str">
        <f>[1]Discovery!E1455</f>
        <v>건축</v>
      </c>
      <c r="E1449" s="9" t="str">
        <f>[1]Discovery!C1455</f>
        <v>종교 건축물</v>
      </c>
      <c r="F1449" s="9" t="str">
        <f>[1]Discovery!G1455</f>
        <v>C</v>
      </c>
      <c r="G1449" s="9" t="str">
        <f>IFERROR(VLOOKUP(표1[[#This Row],[명칭]],'문화권 정리'!C:D,2,FALSE),"-")</f>
        <v>태평양</v>
      </c>
      <c r="H1449" s="38" t="str">
        <f>IFERROR(COUNTIF([2]OceanDoodad!$Y:$Y,표1[[#This Row],[명칭]]),"-")</f>
        <v>-</v>
      </c>
      <c r="I1449" s="38">
        <f>IFERROR(COUNTIF([1]AdventureDiscoveryGroup!$D$8:$AW$92,표1[[#This Row],[명칭]]),"-")</f>
        <v>0</v>
      </c>
      <c r="J1449" s="38">
        <f>IFERROR(COUNTIF([1]FishDiscoveryGroup!$A:$X,표1[[#This Row],[명칭]]),"-")</f>
        <v>0</v>
      </c>
      <c r="K1449" s="38" t="str">
        <f>IFERROR(COUNTIF([2]Town!$B:$B,표1[[#This Row],[명칭]]),"-")</f>
        <v>-</v>
      </c>
      <c r="L1449" s="38">
        <f>IFERROR(COUNTIF([1]Village!$BR:$BR,표1[[#This Row],[명칭]]),"-")</f>
        <v>0</v>
      </c>
      <c r="M1449" s="38">
        <f>COUNTIF(퀘스트!B:B,표1[[#This Row],[명칭]])</f>
        <v>0</v>
      </c>
      <c r="N1449" s="65">
        <f>COUNTIF([1]VillageDiscoveryGroup!$C:$C,표1[[#This Row],[명칭]])</f>
        <v>0</v>
      </c>
      <c r="O1449" s="65">
        <f>SUM(표1[[#This Row],[해양탐색]:[마을탐험]])</f>
        <v>0</v>
      </c>
    </row>
    <row r="1450" spans="2:15" ht="13.5" customHeight="1" x14ac:dyDescent="0.3">
      <c r="B1450" s="9">
        <f>[1]Discovery!A1456</f>
        <v>70410096</v>
      </c>
      <c r="C1450" s="9" t="str">
        <f>[1]Discovery!B1456</f>
        <v>호류사</v>
      </c>
      <c r="D1450" s="9" t="str">
        <f>[1]Discovery!E1456</f>
        <v>건축</v>
      </c>
      <c r="E1450" s="9" t="str">
        <f>[1]Discovery!C1456</f>
        <v>사적</v>
      </c>
      <c r="F1450" s="9" t="str">
        <f>[1]Discovery!G1456</f>
        <v>B</v>
      </c>
      <c r="G1450" s="9" t="str">
        <f>IFERROR(VLOOKUP(표1[[#This Row],[명칭]],'문화권 정리'!C:D,2,FALSE),"-")</f>
        <v>동아시아</v>
      </c>
      <c r="H1450" s="38" t="str">
        <f>IFERROR(COUNTIF([2]OceanDoodad!$Y:$Y,표1[[#This Row],[명칭]]),"-")</f>
        <v>-</v>
      </c>
      <c r="I1450" s="38">
        <f>IFERROR(COUNTIF([1]AdventureDiscoveryGroup!$D$8:$AW$92,표1[[#This Row],[명칭]]),"-")</f>
        <v>0</v>
      </c>
      <c r="J1450" s="38">
        <f>IFERROR(COUNTIF([1]FishDiscoveryGroup!$A:$X,표1[[#This Row],[명칭]]),"-")</f>
        <v>0</v>
      </c>
      <c r="K1450" s="38" t="str">
        <f>IFERROR(COUNTIF([2]Town!$B:$B,표1[[#This Row],[명칭]]),"-")</f>
        <v>-</v>
      </c>
      <c r="L1450" s="38">
        <f>IFERROR(COUNTIF([1]Village!$BR:$BR,표1[[#This Row],[명칭]]),"-")</f>
        <v>0</v>
      </c>
      <c r="M1450" s="38">
        <f>COUNTIF(퀘스트!B:B,표1[[#This Row],[명칭]])</f>
        <v>0</v>
      </c>
      <c r="N1450" s="65">
        <f>COUNTIF([1]VillageDiscoveryGroup!$C:$C,표1[[#This Row],[명칭]])</f>
        <v>0</v>
      </c>
      <c r="O1450" s="65">
        <f>SUM(표1[[#This Row],[해양탐색]:[마을탐험]])</f>
        <v>0</v>
      </c>
    </row>
    <row r="1451" spans="2:15" ht="13.5" customHeight="1" x14ac:dyDescent="0.3">
      <c r="B1451" s="9">
        <f>[1]Discovery!A1457</f>
        <v>70410097</v>
      </c>
      <c r="C1451" s="9" t="str">
        <f>[1]Discovery!B1457</f>
        <v>후마나 평원</v>
      </c>
      <c r="D1451" s="9" t="str">
        <f>[1]Discovery!E1457</f>
        <v>건축</v>
      </c>
      <c r="E1451" s="9" t="str">
        <f>[1]Discovery!C1457</f>
        <v>사적</v>
      </c>
      <c r="F1451" s="9" t="str">
        <f>[1]Discovery!G1457</f>
        <v>D</v>
      </c>
      <c r="G1451" s="9" t="str">
        <f>IFERROR(VLOOKUP(표1[[#This Row],[명칭]],'문화권 정리'!C:D,2,FALSE),"-")</f>
        <v>남아메리카</v>
      </c>
      <c r="H1451" s="38" t="str">
        <f>IFERROR(COUNTIF([2]OceanDoodad!$Y:$Y,표1[[#This Row],[명칭]]),"-")</f>
        <v>-</v>
      </c>
      <c r="I1451" s="38">
        <f>IFERROR(COUNTIF([1]AdventureDiscoveryGroup!$D$8:$AW$92,표1[[#This Row],[명칭]]),"-")</f>
        <v>1</v>
      </c>
      <c r="J1451" s="38">
        <f>IFERROR(COUNTIF([1]FishDiscoveryGroup!$A:$X,표1[[#This Row],[명칭]]),"-")</f>
        <v>0</v>
      </c>
      <c r="K1451" s="38" t="str">
        <f>IFERROR(COUNTIF([2]Town!$B:$B,표1[[#This Row],[명칭]]),"-")</f>
        <v>-</v>
      </c>
      <c r="L1451" s="38">
        <f>IFERROR(COUNTIF([1]Village!$BR:$BR,표1[[#This Row],[명칭]]),"-")</f>
        <v>0</v>
      </c>
      <c r="M1451" s="38">
        <f>COUNTIF(퀘스트!B:B,표1[[#This Row],[명칭]])</f>
        <v>0</v>
      </c>
      <c r="N1451" s="65">
        <f>COUNTIF([1]VillageDiscoveryGroup!$C:$C,표1[[#This Row],[명칭]])</f>
        <v>0</v>
      </c>
      <c r="O1451" s="65">
        <f>SUM(표1[[#This Row],[해양탐색]:[마을탐험]])</f>
        <v>1</v>
      </c>
    </row>
    <row r="1452" spans="2:15" ht="13.5" customHeight="1" x14ac:dyDescent="0.3">
      <c r="B1452" s="9">
        <f>[1]Discovery!A1458</f>
        <v>70411000</v>
      </c>
      <c r="C1452" s="9" t="str">
        <f>[1]Discovery!B1458</f>
        <v>기자의 대 스핑크스</v>
      </c>
      <c r="D1452" s="9" t="str">
        <f>[1]Discovery!E1458</f>
        <v>건축</v>
      </c>
      <c r="E1452" s="9" t="str">
        <f>[1]Discovery!C1458</f>
        <v>종교 건축물</v>
      </c>
      <c r="F1452" s="9" t="str">
        <f>[1]Discovery!G1458</f>
        <v>B</v>
      </c>
      <c r="G1452" s="9" t="str">
        <f>IFERROR(VLOOKUP(표1[[#This Row],[명칭]],'문화권 정리'!C:D,2,FALSE),"-")</f>
        <v>서남아시아</v>
      </c>
      <c r="H1452" s="38" t="str">
        <f>IFERROR(COUNTIF([2]OceanDoodad!$Y:$Y,표1[[#This Row],[명칭]]),"-")</f>
        <v>-</v>
      </c>
      <c r="I1452" s="38">
        <f>IFERROR(COUNTIF([1]AdventureDiscoveryGroup!$D$8:$AW$92,표1[[#This Row],[명칭]]),"-")</f>
        <v>0</v>
      </c>
      <c r="J1452" s="38">
        <f>IFERROR(COUNTIF([1]FishDiscoveryGroup!$A:$X,표1[[#This Row],[명칭]]),"-")</f>
        <v>0</v>
      </c>
      <c r="K1452" s="38" t="str">
        <f>IFERROR(COUNTIF([2]Town!$B:$B,표1[[#This Row],[명칭]]),"-")</f>
        <v>-</v>
      </c>
      <c r="L1452" s="38">
        <f>IFERROR(COUNTIF([1]Village!$BR:$BR,표1[[#This Row],[명칭]]),"-")</f>
        <v>0</v>
      </c>
      <c r="M1452" s="38">
        <f>COUNTIF(퀘스트!B:B,표1[[#This Row],[명칭]])</f>
        <v>1</v>
      </c>
      <c r="N1452" s="65">
        <f>COUNTIF([1]VillageDiscoveryGroup!$C:$C,표1[[#This Row],[명칭]])</f>
        <v>0</v>
      </c>
      <c r="O1452" s="65">
        <f>SUM(표1[[#This Row],[해양탐색]:[마을탐험]])</f>
        <v>1</v>
      </c>
    </row>
    <row r="1453" spans="2:15" ht="13.5" customHeight="1" x14ac:dyDescent="0.3">
      <c r="B1453" s="9">
        <f>[1]Discovery!A1459</f>
        <v>70411001</v>
      </c>
      <c r="C1453" s="9" t="str">
        <f>[1]Discovery!B1459</f>
        <v>러산 대불</v>
      </c>
      <c r="D1453" s="9" t="str">
        <f>[1]Discovery!E1459</f>
        <v>건축</v>
      </c>
      <c r="E1453" s="9" t="str">
        <f>[1]Discovery!C1459</f>
        <v>종교 건축물</v>
      </c>
      <c r="F1453" s="9" t="str">
        <f>[1]Discovery!G1459</f>
        <v>A</v>
      </c>
      <c r="G1453" s="9" t="str">
        <f>IFERROR(VLOOKUP(표1[[#This Row],[명칭]],'문화권 정리'!C:D,2,FALSE),"-")</f>
        <v>동아시아</v>
      </c>
      <c r="H1453" s="38" t="str">
        <f>IFERROR(COUNTIF([2]OceanDoodad!$Y:$Y,표1[[#This Row],[명칭]]),"-")</f>
        <v>-</v>
      </c>
      <c r="I1453" s="38">
        <f>IFERROR(COUNTIF([1]AdventureDiscoveryGroup!$D$8:$AW$92,표1[[#This Row],[명칭]]),"-")</f>
        <v>0</v>
      </c>
      <c r="J1453" s="38">
        <f>IFERROR(COUNTIF([1]FishDiscoveryGroup!$A:$X,표1[[#This Row],[명칭]]),"-")</f>
        <v>0</v>
      </c>
      <c r="K1453" s="38" t="str">
        <f>IFERROR(COUNTIF([2]Town!$B:$B,표1[[#This Row],[명칭]]),"-")</f>
        <v>-</v>
      </c>
      <c r="L1453" s="38">
        <f>IFERROR(COUNTIF([1]Village!$BR:$BR,표1[[#This Row],[명칭]]),"-")</f>
        <v>0</v>
      </c>
      <c r="M1453" s="38">
        <f>COUNTIF(퀘스트!B:B,표1[[#This Row],[명칭]])</f>
        <v>0</v>
      </c>
      <c r="N1453" s="65">
        <f>COUNTIF([1]VillageDiscoveryGroup!$C:$C,표1[[#This Row],[명칭]])</f>
        <v>0</v>
      </c>
      <c r="O1453" s="65">
        <f>SUM(표1[[#This Row],[해양탐색]:[마을탐험]])</f>
        <v>0</v>
      </c>
    </row>
    <row r="1454" spans="2:15" ht="13.5" customHeight="1" x14ac:dyDescent="0.3">
      <c r="B1454" s="9">
        <f>[1]Discovery!A1460</f>
        <v>70411002</v>
      </c>
      <c r="C1454" s="9" t="str">
        <f>[1]Discovery!B1460</f>
        <v>난마돌</v>
      </c>
      <c r="D1454" s="9" t="str">
        <f>[1]Discovery!E1460</f>
        <v>건축</v>
      </c>
      <c r="E1454" s="9" t="str">
        <f>[1]Discovery!C1460</f>
        <v>사적</v>
      </c>
      <c r="F1454" s="9" t="str">
        <f>[1]Discovery!G1460</f>
        <v>S</v>
      </c>
      <c r="G1454" s="9" t="str">
        <f>IFERROR(VLOOKUP(표1[[#This Row],[명칭]],'문화권 정리'!C:D,2,FALSE),"-")</f>
        <v>오세아니아</v>
      </c>
      <c r="H1454" s="38" t="str">
        <f>IFERROR(COUNTIF([2]OceanDoodad!$Y:$Y,표1[[#This Row],[명칭]]),"-")</f>
        <v>-</v>
      </c>
      <c r="I1454" s="38">
        <f>IFERROR(COUNTIF([1]AdventureDiscoveryGroup!$D$8:$AW$92,표1[[#This Row],[명칭]]),"-")</f>
        <v>0</v>
      </c>
      <c r="J1454" s="38">
        <f>IFERROR(COUNTIF([1]FishDiscoveryGroup!$A:$X,표1[[#This Row],[명칭]]),"-")</f>
        <v>0</v>
      </c>
      <c r="K1454" s="38" t="str">
        <f>IFERROR(COUNTIF([2]Town!$B:$B,표1[[#This Row],[명칭]]),"-")</f>
        <v>-</v>
      </c>
      <c r="L1454" s="38">
        <f>IFERROR(COUNTIF([1]Village!$BR:$BR,표1[[#This Row],[명칭]]),"-")</f>
        <v>0</v>
      </c>
      <c r="M1454" s="38">
        <f>COUNTIF(퀘스트!B:B,표1[[#This Row],[명칭]])</f>
        <v>0</v>
      </c>
      <c r="N1454" s="65">
        <f>COUNTIF([1]VillageDiscoveryGroup!$C:$C,표1[[#This Row],[명칭]])</f>
        <v>0</v>
      </c>
      <c r="O1454" s="65">
        <f>SUM(표1[[#This Row],[해양탐색]:[마을탐험]])</f>
        <v>0</v>
      </c>
    </row>
    <row r="1455" spans="2:15" ht="13.5" customHeight="1" x14ac:dyDescent="0.3">
      <c r="B1455" s="9">
        <f>[1]Discovery!A1461</f>
        <v>70411003</v>
      </c>
      <c r="C1455" s="9" t="str">
        <f>[1]Discovery!B1461</f>
        <v>노군 조상</v>
      </c>
      <c r="D1455" s="9" t="str">
        <f>[1]Discovery!E1461</f>
        <v>건축</v>
      </c>
      <c r="E1455" s="9" t="str">
        <f>[1]Discovery!C1461</f>
        <v>종교 건축물</v>
      </c>
      <c r="F1455" s="9" t="str">
        <f>[1]Discovery!G1461</f>
        <v>A</v>
      </c>
      <c r="G1455" s="9" t="str">
        <f>IFERROR(VLOOKUP(표1[[#This Row],[명칭]],'문화권 정리'!C:D,2,FALSE),"-")</f>
        <v>동아시아</v>
      </c>
      <c r="H1455" s="38" t="str">
        <f>IFERROR(COUNTIF([2]OceanDoodad!$Y:$Y,표1[[#This Row],[명칭]]),"-")</f>
        <v>-</v>
      </c>
      <c r="I1455" s="38">
        <f>IFERROR(COUNTIF([1]AdventureDiscoveryGroup!$D$8:$AW$92,표1[[#This Row],[명칭]]),"-")</f>
        <v>0</v>
      </c>
      <c r="J1455" s="38">
        <f>IFERROR(COUNTIF([1]FishDiscoveryGroup!$A:$X,표1[[#This Row],[명칭]]),"-")</f>
        <v>0</v>
      </c>
      <c r="K1455" s="38" t="str">
        <f>IFERROR(COUNTIF([2]Town!$B:$B,표1[[#This Row],[명칭]]),"-")</f>
        <v>-</v>
      </c>
      <c r="L1455" s="38">
        <f>IFERROR(COUNTIF([1]Village!$BR:$BR,표1[[#This Row],[명칭]]),"-")</f>
        <v>0</v>
      </c>
      <c r="M1455" s="38">
        <f>COUNTIF(퀘스트!B:B,표1[[#This Row],[명칭]])</f>
        <v>0</v>
      </c>
      <c r="N1455" s="65">
        <f>COUNTIF([1]VillageDiscoveryGroup!$C:$C,표1[[#This Row],[명칭]])</f>
        <v>0</v>
      </c>
      <c r="O1455" s="65">
        <f>SUM(표1[[#This Row],[해양탐색]:[마을탐험]])</f>
        <v>0</v>
      </c>
    </row>
    <row r="1456" spans="2:15" ht="13.5" customHeight="1" x14ac:dyDescent="0.3">
      <c r="B1456" s="9">
        <f>[1]Discovery!A1462</f>
        <v>70411004</v>
      </c>
      <c r="C1456" s="9" t="str">
        <f>[1]Discovery!B1462</f>
        <v>노트르담 대성당</v>
      </c>
      <c r="D1456" s="9" t="str">
        <f>[1]Discovery!E1462</f>
        <v>건축</v>
      </c>
      <c r="E1456" s="9" t="str">
        <f>[1]Discovery!C1462</f>
        <v>종교 건축물</v>
      </c>
      <c r="F1456" s="9" t="str">
        <f>[1]Discovery!G1462</f>
        <v>B</v>
      </c>
      <c r="G1456" s="9" t="str">
        <f>IFERROR(VLOOKUP(표1[[#This Row],[명칭]],'문화권 정리'!C:D,2,FALSE),"-")</f>
        <v>지중해</v>
      </c>
      <c r="H1456" s="38" t="str">
        <f>IFERROR(COUNTIF([2]OceanDoodad!$Y:$Y,표1[[#This Row],[명칭]]),"-")</f>
        <v>-</v>
      </c>
      <c r="I1456" s="38">
        <f>IFERROR(COUNTIF([1]AdventureDiscoveryGroup!$D$8:$AW$92,표1[[#This Row],[명칭]]),"-")</f>
        <v>0</v>
      </c>
      <c r="J1456" s="38">
        <f>IFERROR(COUNTIF([1]FishDiscoveryGroup!$A:$X,표1[[#This Row],[명칭]]),"-")</f>
        <v>0</v>
      </c>
      <c r="K1456" s="38" t="str">
        <f>IFERROR(COUNTIF([2]Town!$B:$B,표1[[#This Row],[명칭]]),"-")</f>
        <v>-</v>
      </c>
      <c r="L1456" s="38">
        <f>IFERROR(COUNTIF([1]Village!$BR:$BR,표1[[#This Row],[명칭]]),"-")</f>
        <v>0</v>
      </c>
      <c r="M1456" s="38">
        <f>COUNTIF(퀘스트!B:B,표1[[#This Row],[명칭]])</f>
        <v>0</v>
      </c>
      <c r="N1456" s="65">
        <f>COUNTIF([1]VillageDiscoveryGroup!$C:$C,표1[[#This Row],[명칭]])</f>
        <v>0</v>
      </c>
      <c r="O1456" s="65">
        <f>SUM(표1[[#This Row],[해양탐색]:[마을탐험]])</f>
        <v>0</v>
      </c>
    </row>
    <row r="1457" spans="2:15" ht="13.5" customHeight="1" x14ac:dyDescent="0.3">
      <c r="B1457" s="9">
        <f>[1]Discovery!A1463</f>
        <v>70411005</v>
      </c>
      <c r="C1457" s="9" t="str">
        <f>[1]Discovery!B1463</f>
        <v>달곡굴 비사문당</v>
      </c>
      <c r="D1457" s="9" t="str">
        <f>[1]Discovery!E1463</f>
        <v>건축</v>
      </c>
      <c r="E1457" s="9" t="str">
        <f>[1]Discovery!C1463</f>
        <v>종교 건축물</v>
      </c>
      <c r="F1457" s="9" t="str">
        <f>[1]Discovery!G1463</f>
        <v>B</v>
      </c>
      <c r="G1457" s="9" t="str">
        <f>IFERROR(VLOOKUP(표1[[#This Row],[명칭]],'문화권 정리'!C:D,2,FALSE),"-")</f>
        <v>동아시아</v>
      </c>
      <c r="H1457" s="38" t="str">
        <f>IFERROR(COUNTIF([2]OceanDoodad!$Y:$Y,표1[[#This Row],[명칭]]),"-")</f>
        <v>-</v>
      </c>
      <c r="I1457" s="38">
        <f>IFERROR(COUNTIF([1]AdventureDiscoveryGroup!$D$8:$AW$92,표1[[#This Row],[명칭]]),"-")</f>
        <v>0</v>
      </c>
      <c r="J1457" s="38">
        <f>IFERROR(COUNTIF([1]FishDiscoveryGroup!$A:$X,표1[[#This Row],[명칭]]),"-")</f>
        <v>0</v>
      </c>
      <c r="K1457" s="38" t="str">
        <f>IFERROR(COUNTIF([2]Town!$B:$B,표1[[#This Row],[명칭]]),"-")</f>
        <v>-</v>
      </c>
      <c r="L1457" s="38">
        <f>IFERROR(COUNTIF([1]Village!$BR:$BR,표1[[#This Row],[명칭]]),"-")</f>
        <v>0</v>
      </c>
      <c r="M1457" s="38">
        <f>COUNTIF(퀘스트!B:B,표1[[#This Row],[명칭]])</f>
        <v>0</v>
      </c>
      <c r="N1457" s="65">
        <f>COUNTIF([1]VillageDiscoveryGroup!$C:$C,표1[[#This Row],[명칭]])</f>
        <v>0</v>
      </c>
      <c r="O1457" s="65">
        <f>SUM(표1[[#This Row],[해양탐색]:[마을탐험]])</f>
        <v>0</v>
      </c>
    </row>
    <row r="1458" spans="2:15" ht="13.5" customHeight="1" x14ac:dyDescent="0.3">
      <c r="B1458" s="9">
        <f>[1]Discovery!A1464</f>
        <v>70411006</v>
      </c>
      <c r="C1458" s="9" t="str">
        <f>[1]Discovery!B1464</f>
        <v>델포이 유적</v>
      </c>
      <c r="D1458" s="9" t="str">
        <f>[1]Discovery!E1464</f>
        <v>건축</v>
      </c>
      <c r="E1458" s="9" t="str">
        <f>[1]Discovery!C1464</f>
        <v>종교 건축물</v>
      </c>
      <c r="F1458" s="9" t="str">
        <f>[1]Discovery!G1464</f>
        <v>A</v>
      </c>
      <c r="G1458" s="9" t="str">
        <f>IFERROR(VLOOKUP(표1[[#This Row],[명칭]],'문화권 정리'!C:D,2,FALSE),"-")</f>
        <v>지중해</v>
      </c>
      <c r="H1458" s="38" t="str">
        <f>IFERROR(COUNTIF([2]OceanDoodad!$Y:$Y,표1[[#This Row],[명칭]]),"-")</f>
        <v>-</v>
      </c>
      <c r="I1458" s="38">
        <f>IFERROR(COUNTIF([1]AdventureDiscoveryGroup!$D$8:$AW$92,표1[[#This Row],[명칭]]),"-")</f>
        <v>0</v>
      </c>
      <c r="J1458" s="38">
        <f>IFERROR(COUNTIF([1]FishDiscoveryGroup!$A:$X,표1[[#This Row],[명칭]]),"-")</f>
        <v>0</v>
      </c>
      <c r="K1458" s="38" t="str">
        <f>IFERROR(COUNTIF([2]Town!$B:$B,표1[[#This Row],[명칭]]),"-")</f>
        <v>-</v>
      </c>
      <c r="L1458" s="38">
        <f>IFERROR(COUNTIF([1]Village!$BR:$BR,표1[[#This Row],[명칭]]),"-")</f>
        <v>0</v>
      </c>
      <c r="M1458" s="38">
        <f>COUNTIF(퀘스트!B:B,표1[[#This Row],[명칭]])</f>
        <v>1</v>
      </c>
      <c r="N1458" s="65">
        <f>COUNTIF([1]VillageDiscoveryGroup!$C:$C,표1[[#This Row],[명칭]])</f>
        <v>0</v>
      </c>
      <c r="O1458" s="65">
        <f>SUM(표1[[#This Row],[해양탐색]:[마을탐험]])</f>
        <v>1</v>
      </c>
    </row>
    <row r="1459" spans="2:15" ht="13.5" customHeight="1" x14ac:dyDescent="0.3">
      <c r="B1459" s="9">
        <f>[1]Discovery!A1465</f>
        <v>70411007</v>
      </c>
      <c r="C1459" s="9" t="str">
        <f>[1]Discovery!B1465</f>
        <v>독수리와 재규어의 부조</v>
      </c>
      <c r="D1459" s="9" t="str">
        <f>[1]Discovery!E1465</f>
        <v>건축</v>
      </c>
      <c r="E1459" s="9" t="str">
        <f>[1]Discovery!C1465</f>
        <v>종교 건축물</v>
      </c>
      <c r="F1459" s="9" t="str">
        <f>[1]Discovery!G1465</f>
        <v>D</v>
      </c>
      <c r="G1459" s="9" t="str">
        <f>IFERROR(VLOOKUP(표1[[#This Row],[명칭]],'문화권 정리'!C:D,2,FALSE),"-")</f>
        <v>중앙아메리카</v>
      </c>
      <c r="H1459" s="38" t="str">
        <f>IFERROR(COUNTIF([2]OceanDoodad!$Y:$Y,표1[[#This Row],[명칭]]),"-")</f>
        <v>-</v>
      </c>
      <c r="I1459" s="38">
        <f>IFERROR(COUNTIF([1]AdventureDiscoveryGroup!$D$8:$AW$92,표1[[#This Row],[명칭]]),"-")</f>
        <v>1</v>
      </c>
      <c r="J1459" s="38">
        <f>IFERROR(COUNTIF([1]FishDiscoveryGroup!$A:$X,표1[[#This Row],[명칭]]),"-")</f>
        <v>0</v>
      </c>
      <c r="K1459" s="38" t="str">
        <f>IFERROR(COUNTIF([2]Town!$B:$B,표1[[#This Row],[명칭]]),"-")</f>
        <v>-</v>
      </c>
      <c r="L1459" s="38">
        <f>IFERROR(COUNTIF([1]Village!$BR:$BR,표1[[#This Row],[명칭]]),"-")</f>
        <v>0</v>
      </c>
      <c r="M1459" s="38">
        <f>COUNTIF(퀘스트!B:B,표1[[#This Row],[명칭]])</f>
        <v>0</v>
      </c>
      <c r="N1459" s="65">
        <f>COUNTIF([1]VillageDiscoveryGroup!$C:$C,표1[[#This Row],[명칭]])</f>
        <v>0</v>
      </c>
      <c r="O1459" s="65">
        <f>SUM(표1[[#This Row],[해양탐색]:[마을탐험]])</f>
        <v>1</v>
      </c>
    </row>
    <row r="1460" spans="2:15" ht="13.5" customHeight="1" x14ac:dyDescent="0.3">
      <c r="B1460" s="9">
        <f>[1]Discovery!A1466</f>
        <v>70411008</v>
      </c>
      <c r="C1460" s="9" t="str">
        <f>[1]Discovery!B1466</f>
        <v>라노 라라쿠</v>
      </c>
      <c r="D1460" s="9" t="str">
        <f>[1]Discovery!E1466</f>
        <v>건축</v>
      </c>
      <c r="E1460" s="9" t="str">
        <f>[1]Discovery!C1466</f>
        <v>종교 건축물</v>
      </c>
      <c r="F1460" s="9" t="str">
        <f>[1]Discovery!G1466</f>
        <v>D</v>
      </c>
      <c r="G1460" s="9" t="str">
        <f>IFERROR(VLOOKUP(표1[[#This Row],[명칭]],'문화권 정리'!C:D,2,FALSE),"-")</f>
        <v>태평양</v>
      </c>
      <c r="H1460" s="38" t="str">
        <f>IFERROR(COUNTIF([2]OceanDoodad!$Y:$Y,표1[[#This Row],[명칭]]),"-")</f>
        <v>-</v>
      </c>
      <c r="I1460" s="38">
        <f>IFERROR(COUNTIF([1]AdventureDiscoveryGroup!$D$8:$AW$92,표1[[#This Row],[명칭]]),"-")</f>
        <v>0</v>
      </c>
      <c r="J1460" s="38">
        <f>IFERROR(COUNTIF([1]FishDiscoveryGroup!$A:$X,표1[[#This Row],[명칭]]),"-")</f>
        <v>0</v>
      </c>
      <c r="K1460" s="38" t="str">
        <f>IFERROR(COUNTIF([2]Town!$B:$B,표1[[#This Row],[명칭]]),"-")</f>
        <v>-</v>
      </c>
      <c r="L1460" s="38">
        <f>IFERROR(COUNTIF([1]Village!$BR:$BR,표1[[#This Row],[명칭]]),"-")</f>
        <v>0</v>
      </c>
      <c r="M1460" s="38">
        <f>COUNTIF(퀘스트!B:B,표1[[#This Row],[명칭]])</f>
        <v>0</v>
      </c>
      <c r="N1460" s="65">
        <f>COUNTIF([1]VillageDiscoveryGroup!$C:$C,표1[[#This Row],[명칭]])</f>
        <v>1</v>
      </c>
      <c r="O1460" s="65">
        <f>SUM(표1[[#This Row],[해양탐색]:[마을탐험]])</f>
        <v>1</v>
      </c>
    </row>
    <row r="1461" spans="2:15" ht="13.5" customHeight="1" x14ac:dyDescent="0.3">
      <c r="B1461" s="9">
        <f>[1]Discovery!A1467</f>
        <v>70411009</v>
      </c>
      <c r="C1461" s="9" t="str">
        <f>[1]Discovery!B1467</f>
        <v>랄리벨라 암굴 성당군</v>
      </c>
      <c r="D1461" s="9" t="str">
        <f>[1]Discovery!E1467</f>
        <v>건축</v>
      </c>
      <c r="E1461" s="9" t="str">
        <f>[1]Discovery!C1467</f>
        <v>종교 건축물</v>
      </c>
      <c r="F1461" s="9" t="str">
        <f>[1]Discovery!G1467</f>
        <v>S</v>
      </c>
      <c r="G1461" s="9" t="str">
        <f>IFERROR(VLOOKUP(표1[[#This Row],[명칭]],'문화권 정리'!C:D,2,FALSE),"-")</f>
        <v>북아프리카</v>
      </c>
      <c r="H1461" s="38" t="str">
        <f>IFERROR(COUNTIF([2]OceanDoodad!$Y:$Y,표1[[#This Row],[명칭]]),"-")</f>
        <v>-</v>
      </c>
      <c r="I1461" s="38">
        <f>IFERROR(COUNTIF([1]AdventureDiscoveryGroup!$D$8:$AW$92,표1[[#This Row],[명칭]]),"-")</f>
        <v>0</v>
      </c>
      <c r="J1461" s="38">
        <f>IFERROR(COUNTIF([1]FishDiscoveryGroup!$A:$X,표1[[#This Row],[명칭]]),"-")</f>
        <v>0</v>
      </c>
      <c r="K1461" s="38" t="str">
        <f>IFERROR(COUNTIF([2]Town!$B:$B,표1[[#This Row],[명칭]]),"-")</f>
        <v>-</v>
      </c>
      <c r="L1461" s="38">
        <f>IFERROR(COUNTIF([1]Village!$BR:$BR,표1[[#This Row],[명칭]]),"-")</f>
        <v>0</v>
      </c>
      <c r="M1461" s="38">
        <f>COUNTIF(퀘스트!B:B,표1[[#This Row],[명칭]])</f>
        <v>0</v>
      </c>
      <c r="N1461" s="65">
        <f>COUNTIF([1]VillageDiscoveryGroup!$C:$C,표1[[#This Row],[명칭]])</f>
        <v>0</v>
      </c>
      <c r="O1461" s="65">
        <f>SUM(표1[[#This Row],[해양탐색]:[마을탐험]])</f>
        <v>0</v>
      </c>
    </row>
    <row r="1462" spans="2:15" ht="13.5" customHeight="1" x14ac:dyDescent="0.3">
      <c r="B1462" s="9">
        <f>[1]Discovery!A1468</f>
        <v>70411010</v>
      </c>
      <c r="C1462" s="9" t="str">
        <f>[1]Discovery!B1468</f>
        <v>말위야 미나렛</v>
      </c>
      <c r="D1462" s="9" t="str">
        <f>[1]Discovery!E1468</f>
        <v>건축</v>
      </c>
      <c r="E1462" s="9" t="str">
        <f>[1]Discovery!C1468</f>
        <v>종교 건축물</v>
      </c>
      <c r="F1462" s="9" t="str">
        <f>[1]Discovery!G1468</f>
        <v>S</v>
      </c>
      <c r="G1462" s="9" t="str">
        <f>IFERROR(VLOOKUP(표1[[#This Row],[명칭]],'문화권 정리'!C:D,2,FALSE),"-")</f>
        <v>서남아시아</v>
      </c>
      <c r="H1462" s="38" t="str">
        <f>IFERROR(COUNTIF([2]OceanDoodad!$Y:$Y,표1[[#This Row],[명칭]]),"-")</f>
        <v>-</v>
      </c>
      <c r="I1462" s="38">
        <f>IFERROR(COUNTIF([1]AdventureDiscoveryGroup!$D$8:$AW$92,표1[[#This Row],[명칭]]),"-")</f>
        <v>0</v>
      </c>
      <c r="J1462" s="38">
        <f>IFERROR(COUNTIF([1]FishDiscoveryGroup!$A:$X,표1[[#This Row],[명칭]]),"-")</f>
        <v>0</v>
      </c>
      <c r="K1462" s="38" t="str">
        <f>IFERROR(COUNTIF([2]Town!$B:$B,표1[[#This Row],[명칭]]),"-")</f>
        <v>-</v>
      </c>
      <c r="L1462" s="38">
        <f>IFERROR(COUNTIF([1]Village!$BR:$BR,표1[[#This Row],[명칭]]),"-")</f>
        <v>0</v>
      </c>
      <c r="M1462" s="38">
        <f>COUNTIF(퀘스트!B:B,표1[[#This Row],[명칭]])</f>
        <v>0</v>
      </c>
      <c r="N1462" s="65">
        <f>COUNTIF([1]VillageDiscoveryGroup!$C:$C,표1[[#This Row],[명칭]])</f>
        <v>0</v>
      </c>
      <c r="O1462" s="65">
        <f>SUM(표1[[#This Row],[해양탐색]:[마을탐험]])</f>
        <v>0</v>
      </c>
    </row>
    <row r="1463" spans="2:15" ht="13.5" customHeight="1" x14ac:dyDescent="0.3">
      <c r="B1463" s="9">
        <f>[1]Discovery!A1469</f>
        <v>70411011</v>
      </c>
      <c r="C1463" s="9" t="str">
        <f>[1]Discovery!B1469</f>
        <v>메테오라</v>
      </c>
      <c r="D1463" s="9" t="str">
        <f>[1]Discovery!E1469</f>
        <v>건축</v>
      </c>
      <c r="E1463" s="9" t="str">
        <f>[1]Discovery!C1469</f>
        <v>종교 건축물</v>
      </c>
      <c r="F1463" s="9" t="str">
        <f>[1]Discovery!G1469</f>
        <v>A</v>
      </c>
      <c r="G1463" s="9" t="str">
        <f>IFERROR(VLOOKUP(표1[[#This Row],[명칭]],'문화권 정리'!C:D,2,FALSE),"-")</f>
        <v>지중해</v>
      </c>
      <c r="H1463" s="38" t="str">
        <f>IFERROR(COUNTIF([2]OceanDoodad!$Y:$Y,표1[[#This Row],[명칭]]),"-")</f>
        <v>-</v>
      </c>
      <c r="I1463" s="38">
        <f>IFERROR(COUNTIF([1]AdventureDiscoveryGroup!$D$8:$AW$92,표1[[#This Row],[명칭]]),"-")</f>
        <v>0</v>
      </c>
      <c r="J1463" s="38">
        <f>IFERROR(COUNTIF([1]FishDiscoveryGroup!$A:$X,표1[[#This Row],[명칭]]),"-")</f>
        <v>0</v>
      </c>
      <c r="K1463" s="38" t="str">
        <f>IFERROR(COUNTIF([2]Town!$B:$B,표1[[#This Row],[명칭]]),"-")</f>
        <v>-</v>
      </c>
      <c r="L1463" s="38">
        <f>IFERROR(COUNTIF([1]Village!$BR:$BR,표1[[#This Row],[명칭]]),"-")</f>
        <v>0</v>
      </c>
      <c r="M1463" s="38">
        <f>COUNTIF(퀘스트!B:B,표1[[#This Row],[명칭]])</f>
        <v>0</v>
      </c>
      <c r="N1463" s="65">
        <f>COUNTIF([1]VillageDiscoveryGroup!$C:$C,표1[[#This Row],[명칭]])</f>
        <v>0</v>
      </c>
      <c r="O1463" s="65">
        <f>SUM(표1[[#This Row],[해양탐색]:[마을탐험]])</f>
        <v>0</v>
      </c>
    </row>
    <row r="1464" spans="2:15" ht="13.5" customHeight="1" x14ac:dyDescent="0.3">
      <c r="B1464" s="9">
        <f>[1]Discovery!A1470</f>
        <v>70411012</v>
      </c>
      <c r="C1464" s="9" t="str">
        <f>[1]Discovery!B1470</f>
        <v>미스트라</v>
      </c>
      <c r="D1464" s="9" t="str">
        <f>[1]Discovery!E1470</f>
        <v>건축</v>
      </c>
      <c r="E1464" s="9" t="str">
        <f>[1]Discovery!C1470</f>
        <v>사적</v>
      </c>
      <c r="F1464" s="9" t="str">
        <f>[1]Discovery!G1470</f>
        <v>C</v>
      </c>
      <c r="G1464" s="9" t="str">
        <f>IFERROR(VLOOKUP(표1[[#This Row],[명칭]],'문화권 정리'!C:D,2,FALSE),"-")</f>
        <v>서남아시아</v>
      </c>
      <c r="H1464" s="38" t="str">
        <f>IFERROR(COUNTIF([2]OceanDoodad!$Y:$Y,표1[[#This Row],[명칭]]),"-")</f>
        <v>-</v>
      </c>
      <c r="I1464" s="38">
        <f>IFERROR(COUNTIF([1]AdventureDiscoveryGroup!$D$8:$AW$92,표1[[#This Row],[명칭]]),"-")</f>
        <v>0</v>
      </c>
      <c r="J1464" s="38">
        <f>IFERROR(COUNTIF([1]FishDiscoveryGroup!$A:$X,표1[[#This Row],[명칭]]),"-")</f>
        <v>0</v>
      </c>
      <c r="K1464" s="38" t="str">
        <f>IFERROR(COUNTIF([2]Town!$B:$B,표1[[#This Row],[명칭]]),"-")</f>
        <v>-</v>
      </c>
      <c r="L1464" s="38">
        <f>IFERROR(COUNTIF([1]Village!$BR:$BR,표1[[#This Row],[명칭]]),"-")</f>
        <v>0</v>
      </c>
      <c r="M1464" s="38">
        <f>COUNTIF(퀘스트!B:B,표1[[#This Row],[명칭]])</f>
        <v>0</v>
      </c>
      <c r="N1464" s="65">
        <f>COUNTIF([1]VillageDiscoveryGroup!$C:$C,표1[[#This Row],[명칭]])</f>
        <v>0</v>
      </c>
      <c r="O1464" s="65">
        <f>SUM(표1[[#This Row],[해양탐색]:[마을탐험]])</f>
        <v>0</v>
      </c>
    </row>
    <row r="1465" spans="2:15" ht="13.5" customHeight="1" x14ac:dyDescent="0.3">
      <c r="B1465" s="9">
        <f>[1]Discovery!A1471</f>
        <v>70411013</v>
      </c>
      <c r="C1465" s="9" t="str">
        <f>[1]Discovery!B1471</f>
        <v>보로부두르</v>
      </c>
      <c r="D1465" s="9" t="str">
        <f>[1]Discovery!E1471</f>
        <v>건축</v>
      </c>
      <c r="E1465" s="9" t="str">
        <f>[1]Discovery!C1471</f>
        <v>종교 건축물</v>
      </c>
      <c r="F1465" s="9" t="str">
        <f>[1]Discovery!G1471</f>
        <v>A</v>
      </c>
      <c r="G1465" s="9" t="str">
        <f>IFERROR(VLOOKUP(표1[[#This Row],[명칭]],'문화권 정리'!C:D,2,FALSE),"-")</f>
        <v>동남아시아</v>
      </c>
      <c r="H1465" s="38" t="str">
        <f>IFERROR(COUNTIF([2]OceanDoodad!$Y:$Y,표1[[#This Row],[명칭]]),"-")</f>
        <v>-</v>
      </c>
      <c r="I1465" s="38">
        <f>IFERROR(COUNTIF([1]AdventureDiscoveryGroup!$D$8:$AW$92,표1[[#This Row],[명칭]]),"-")</f>
        <v>0</v>
      </c>
      <c r="J1465" s="38">
        <f>IFERROR(COUNTIF([1]FishDiscoveryGroup!$A:$X,표1[[#This Row],[명칭]]),"-")</f>
        <v>0</v>
      </c>
      <c r="K1465" s="38" t="str">
        <f>IFERROR(COUNTIF([2]Town!$B:$B,표1[[#This Row],[명칭]]),"-")</f>
        <v>-</v>
      </c>
      <c r="L1465" s="38">
        <f>IFERROR(COUNTIF([1]Village!$BR:$BR,표1[[#This Row],[명칭]]),"-")</f>
        <v>0</v>
      </c>
      <c r="M1465" s="38">
        <f>COUNTIF(퀘스트!B:B,표1[[#This Row],[명칭]])</f>
        <v>0</v>
      </c>
      <c r="N1465" s="65">
        <f>COUNTIF([1]VillageDiscoveryGroup!$C:$C,표1[[#This Row],[명칭]])</f>
        <v>0</v>
      </c>
      <c r="O1465" s="65">
        <f>SUM(표1[[#This Row],[해양탐색]:[마을탐험]])</f>
        <v>0</v>
      </c>
    </row>
    <row r="1466" spans="2:15" ht="13.5" customHeight="1" x14ac:dyDescent="0.3">
      <c r="B1466" s="9">
        <f>[1]Discovery!A1472</f>
        <v>70411014</v>
      </c>
      <c r="C1466" s="9" t="str">
        <f>[1]Discovery!B1472</f>
        <v>불국사</v>
      </c>
      <c r="D1466" s="9" t="str">
        <f>[1]Discovery!E1472</f>
        <v>건축</v>
      </c>
      <c r="E1466" s="9" t="str">
        <f>[1]Discovery!C1472</f>
        <v>종교 건축물</v>
      </c>
      <c r="F1466" s="9" t="str">
        <f>[1]Discovery!G1472</f>
        <v>B</v>
      </c>
      <c r="G1466" s="9" t="str">
        <f>IFERROR(VLOOKUP(표1[[#This Row],[명칭]],'문화권 정리'!C:D,2,FALSE),"-")</f>
        <v>동아시아</v>
      </c>
      <c r="H1466" s="38" t="str">
        <f>IFERROR(COUNTIF([2]OceanDoodad!$Y:$Y,표1[[#This Row],[명칭]]),"-")</f>
        <v>-</v>
      </c>
      <c r="I1466" s="38">
        <f>IFERROR(COUNTIF([1]AdventureDiscoveryGroup!$D$8:$AW$92,표1[[#This Row],[명칭]]),"-")</f>
        <v>0</v>
      </c>
      <c r="J1466" s="38">
        <f>IFERROR(COUNTIF([1]FishDiscoveryGroup!$A:$X,표1[[#This Row],[명칭]]),"-")</f>
        <v>0</v>
      </c>
      <c r="K1466" s="38" t="str">
        <f>IFERROR(COUNTIF([2]Town!$B:$B,표1[[#This Row],[명칭]]),"-")</f>
        <v>-</v>
      </c>
      <c r="L1466" s="38">
        <f>IFERROR(COUNTIF([1]Village!$BR:$BR,표1[[#This Row],[명칭]]),"-")</f>
        <v>0</v>
      </c>
      <c r="M1466" s="38">
        <f>COUNTIF(퀘스트!B:B,표1[[#This Row],[명칭]])</f>
        <v>1</v>
      </c>
      <c r="N1466" s="65">
        <f>COUNTIF([1]VillageDiscoveryGroup!$C:$C,표1[[#This Row],[명칭]])</f>
        <v>0</v>
      </c>
      <c r="O1466" s="65">
        <f>SUM(표1[[#This Row],[해양탐색]:[마을탐험]])</f>
        <v>1</v>
      </c>
    </row>
    <row r="1467" spans="2:15" ht="13.5" customHeight="1" x14ac:dyDescent="0.3">
      <c r="B1467" s="9">
        <f>[1]Discovery!A1473</f>
        <v>70411015</v>
      </c>
      <c r="C1467" s="9" t="str">
        <f>[1]Discovery!B1473</f>
        <v>사투르누스 신전</v>
      </c>
      <c r="D1467" s="9" t="str">
        <f>[1]Discovery!E1473</f>
        <v>건축</v>
      </c>
      <c r="E1467" s="9" t="str">
        <f>[1]Discovery!C1473</f>
        <v>종교 건축물</v>
      </c>
      <c r="F1467" s="9" t="str">
        <f>[1]Discovery!G1473</f>
        <v>B</v>
      </c>
      <c r="G1467" s="9" t="str">
        <f>IFERROR(VLOOKUP(표1[[#This Row],[명칭]],'문화권 정리'!C:D,2,FALSE),"-")</f>
        <v>지중해</v>
      </c>
      <c r="H1467" s="38" t="str">
        <f>IFERROR(COUNTIF([2]OceanDoodad!$Y:$Y,표1[[#This Row],[명칭]]),"-")</f>
        <v>-</v>
      </c>
      <c r="I1467" s="38">
        <f>IFERROR(COUNTIF([1]AdventureDiscoveryGroup!$D$8:$AW$92,표1[[#This Row],[명칭]]),"-")</f>
        <v>0</v>
      </c>
      <c r="J1467" s="38">
        <f>IFERROR(COUNTIF([1]FishDiscoveryGroup!$A:$X,표1[[#This Row],[명칭]]),"-")</f>
        <v>0</v>
      </c>
      <c r="K1467" s="38" t="str">
        <f>IFERROR(COUNTIF([2]Town!$B:$B,표1[[#This Row],[명칭]]),"-")</f>
        <v>-</v>
      </c>
      <c r="L1467" s="38">
        <f>IFERROR(COUNTIF([1]Village!$BR:$BR,표1[[#This Row],[명칭]]),"-")</f>
        <v>0</v>
      </c>
      <c r="M1467" s="38">
        <f>COUNTIF(퀘스트!B:B,표1[[#This Row],[명칭]])</f>
        <v>0</v>
      </c>
      <c r="N1467" s="65">
        <f>COUNTIF([1]VillageDiscoveryGroup!$C:$C,표1[[#This Row],[명칭]])</f>
        <v>0</v>
      </c>
      <c r="O1467" s="65">
        <f>SUM(표1[[#This Row],[해양탐색]:[마을탐험]])</f>
        <v>0</v>
      </c>
    </row>
    <row r="1468" spans="2:15" ht="13.5" customHeight="1" x14ac:dyDescent="0.3">
      <c r="B1468" s="9">
        <f>[1]Discovery!A1474</f>
        <v>70411016</v>
      </c>
      <c r="C1468" s="9" t="str">
        <f>[1]Discovery!B1474</f>
        <v>생트샤펠</v>
      </c>
      <c r="D1468" s="9" t="str">
        <f>[1]Discovery!E1474</f>
        <v>건축</v>
      </c>
      <c r="E1468" s="9" t="str">
        <f>[1]Discovery!C1474</f>
        <v>종교 건축물</v>
      </c>
      <c r="F1468" s="9" t="str">
        <f>[1]Discovery!G1474</f>
        <v>C</v>
      </c>
      <c r="G1468" s="9" t="str">
        <f>IFERROR(VLOOKUP(표1[[#This Row],[명칭]],'문화권 정리'!C:D,2,FALSE),"-")</f>
        <v>지중해</v>
      </c>
      <c r="H1468" s="38" t="str">
        <f>IFERROR(COUNTIF([2]OceanDoodad!$Y:$Y,표1[[#This Row],[명칭]]),"-")</f>
        <v>-</v>
      </c>
      <c r="I1468" s="38">
        <f>IFERROR(COUNTIF([1]AdventureDiscoveryGroup!$D$8:$AW$92,표1[[#This Row],[명칭]]),"-")</f>
        <v>1</v>
      </c>
      <c r="J1468" s="38">
        <f>IFERROR(COUNTIF([1]FishDiscoveryGroup!$A:$X,표1[[#This Row],[명칭]]),"-")</f>
        <v>0</v>
      </c>
      <c r="K1468" s="38" t="str">
        <f>IFERROR(COUNTIF([2]Town!$B:$B,표1[[#This Row],[명칭]]),"-")</f>
        <v>-</v>
      </c>
      <c r="L1468" s="38">
        <f>IFERROR(COUNTIF([1]Village!$BR:$BR,표1[[#This Row],[명칭]]),"-")</f>
        <v>0</v>
      </c>
      <c r="M1468" s="38">
        <f>COUNTIF(퀘스트!B:B,표1[[#This Row],[명칭]])</f>
        <v>0</v>
      </c>
      <c r="N1468" s="65">
        <f>COUNTIF([1]VillageDiscoveryGroup!$C:$C,표1[[#This Row],[명칭]])</f>
        <v>0</v>
      </c>
      <c r="O1468" s="65">
        <f>SUM(표1[[#This Row],[해양탐색]:[마을탐험]])</f>
        <v>1</v>
      </c>
    </row>
    <row r="1469" spans="2:15" ht="13.5" customHeight="1" x14ac:dyDescent="0.3">
      <c r="B1469" s="9">
        <f>[1]Discovery!A1475</f>
        <v>70411017</v>
      </c>
      <c r="C1469" s="9" t="str">
        <f>[1]Discovery!B1475</f>
        <v>석굴암</v>
      </c>
      <c r="D1469" s="9" t="str">
        <f>[1]Discovery!E1475</f>
        <v>건축</v>
      </c>
      <c r="E1469" s="9" t="str">
        <f>[1]Discovery!C1475</f>
        <v>종교 건축물</v>
      </c>
      <c r="F1469" s="9" t="str">
        <f>[1]Discovery!G1475</f>
        <v>A</v>
      </c>
      <c r="G1469" s="9" t="str">
        <f>IFERROR(VLOOKUP(표1[[#This Row],[명칭]],'문화권 정리'!C:D,2,FALSE),"-")</f>
        <v>동아시아</v>
      </c>
      <c r="H1469" s="38" t="str">
        <f>IFERROR(COUNTIF([2]OceanDoodad!$Y:$Y,표1[[#This Row],[명칭]]),"-")</f>
        <v>-</v>
      </c>
      <c r="I1469" s="38">
        <f>IFERROR(COUNTIF([1]AdventureDiscoveryGroup!$D$8:$AW$92,표1[[#This Row],[명칭]]),"-")</f>
        <v>0</v>
      </c>
      <c r="J1469" s="38">
        <f>IFERROR(COUNTIF([1]FishDiscoveryGroup!$A:$X,표1[[#This Row],[명칭]]),"-")</f>
        <v>0</v>
      </c>
      <c r="K1469" s="38" t="str">
        <f>IFERROR(COUNTIF([2]Town!$B:$B,표1[[#This Row],[명칭]]),"-")</f>
        <v>-</v>
      </c>
      <c r="L1469" s="38">
        <f>IFERROR(COUNTIF([1]Village!$BR:$BR,표1[[#This Row],[명칭]]),"-")</f>
        <v>0</v>
      </c>
      <c r="M1469" s="38">
        <f>COUNTIF(퀘스트!B:B,표1[[#This Row],[명칭]])</f>
        <v>1</v>
      </c>
      <c r="N1469" s="65">
        <f>COUNTIF([1]VillageDiscoveryGroup!$C:$C,표1[[#This Row],[명칭]])</f>
        <v>0</v>
      </c>
      <c r="O1469" s="65">
        <f>SUM(표1[[#This Row],[해양탐색]:[마을탐험]])</f>
        <v>1</v>
      </c>
    </row>
    <row r="1470" spans="2:15" ht="13.5" customHeight="1" x14ac:dyDescent="0.3">
      <c r="B1470" s="9">
        <f>[1]Discovery!A1476</f>
        <v>70411018</v>
      </c>
      <c r="C1470" s="9" t="str">
        <f>[1]Discovery!B1476</f>
        <v>소림사</v>
      </c>
      <c r="D1470" s="9" t="str">
        <f>[1]Discovery!E1476</f>
        <v>건축</v>
      </c>
      <c r="E1470" s="9" t="str">
        <f>[1]Discovery!C1476</f>
        <v>종교 건축물</v>
      </c>
      <c r="F1470" s="9" t="str">
        <f>[1]Discovery!G1476</f>
        <v>C</v>
      </c>
      <c r="G1470" s="9" t="str">
        <f>IFERROR(VLOOKUP(표1[[#This Row],[명칭]],'문화권 정리'!C:D,2,FALSE),"-")</f>
        <v>동아시아</v>
      </c>
      <c r="H1470" s="38" t="str">
        <f>IFERROR(COUNTIF([2]OceanDoodad!$Y:$Y,표1[[#This Row],[명칭]]),"-")</f>
        <v>-</v>
      </c>
      <c r="I1470" s="38">
        <f>IFERROR(COUNTIF([1]AdventureDiscoveryGroup!$D$8:$AW$92,표1[[#This Row],[명칭]]),"-")</f>
        <v>0</v>
      </c>
      <c r="J1470" s="38">
        <f>IFERROR(COUNTIF([1]FishDiscoveryGroup!$A:$X,표1[[#This Row],[명칭]]),"-")</f>
        <v>0</v>
      </c>
      <c r="K1470" s="38" t="str">
        <f>IFERROR(COUNTIF([2]Town!$B:$B,표1[[#This Row],[명칭]]),"-")</f>
        <v>-</v>
      </c>
      <c r="L1470" s="38">
        <f>IFERROR(COUNTIF([1]Village!$BR:$BR,표1[[#This Row],[명칭]]),"-")</f>
        <v>0</v>
      </c>
      <c r="M1470" s="38">
        <f>COUNTIF(퀘스트!B:B,표1[[#This Row],[명칭]])</f>
        <v>1</v>
      </c>
      <c r="N1470" s="65">
        <f>COUNTIF([1]VillageDiscoveryGroup!$C:$C,표1[[#This Row],[명칭]])</f>
        <v>0</v>
      </c>
      <c r="O1470" s="65">
        <f>SUM(표1[[#This Row],[해양탐색]:[마을탐험]])</f>
        <v>1</v>
      </c>
    </row>
    <row r="1471" spans="2:15" ht="13.5" customHeight="1" x14ac:dyDescent="0.3">
      <c r="B1471" s="9">
        <f>[1]Discovery!A1477</f>
        <v>70411019</v>
      </c>
      <c r="C1471" s="9" t="str">
        <f>[1]Discovery!B1477</f>
        <v>스톤헨지</v>
      </c>
      <c r="D1471" s="9" t="str">
        <f>[1]Discovery!E1477</f>
        <v>건축</v>
      </c>
      <c r="E1471" s="9" t="str">
        <f>[1]Discovery!C1477</f>
        <v>종교 건축물</v>
      </c>
      <c r="F1471" s="9" t="str">
        <f>[1]Discovery!G1477</f>
        <v>B</v>
      </c>
      <c r="G1471" s="9" t="str">
        <f>IFERROR(VLOOKUP(표1[[#This Row],[명칭]],'문화권 정리'!C:D,2,FALSE),"-")</f>
        <v>브리튼</v>
      </c>
      <c r="H1471" s="38" t="str">
        <f>IFERROR(COUNTIF([2]OceanDoodad!$Y:$Y,표1[[#This Row],[명칭]]),"-")</f>
        <v>-</v>
      </c>
      <c r="I1471" s="38">
        <f>IFERROR(COUNTIF([1]AdventureDiscoveryGroup!$D$8:$AW$92,표1[[#This Row],[명칭]]),"-")</f>
        <v>0</v>
      </c>
      <c r="J1471" s="38">
        <f>IFERROR(COUNTIF([1]FishDiscoveryGroup!$A:$X,표1[[#This Row],[명칭]]),"-")</f>
        <v>0</v>
      </c>
      <c r="K1471" s="38" t="str">
        <f>IFERROR(COUNTIF([2]Town!$B:$B,표1[[#This Row],[명칭]]),"-")</f>
        <v>-</v>
      </c>
      <c r="L1471" s="38">
        <f>IFERROR(COUNTIF([1]Village!$BR:$BR,표1[[#This Row],[명칭]]),"-")</f>
        <v>0</v>
      </c>
      <c r="M1471" s="38">
        <f>COUNTIF(퀘스트!B:B,표1[[#This Row],[명칭]])</f>
        <v>1</v>
      </c>
      <c r="N1471" s="65">
        <f>COUNTIF([1]VillageDiscoveryGroup!$C:$C,표1[[#This Row],[명칭]])</f>
        <v>0</v>
      </c>
      <c r="O1471" s="65">
        <f>SUM(표1[[#This Row],[해양탐색]:[마을탐험]])</f>
        <v>1</v>
      </c>
    </row>
    <row r="1472" spans="2:15" ht="13.5" customHeight="1" x14ac:dyDescent="0.3">
      <c r="B1472" s="9">
        <f>[1]Discovery!A1478</f>
        <v>70411020</v>
      </c>
      <c r="C1472" s="9" t="str">
        <f>[1]Discovery!B1478</f>
        <v>아부심벨 신전</v>
      </c>
      <c r="D1472" s="9" t="str">
        <f>[1]Discovery!E1478</f>
        <v>건축</v>
      </c>
      <c r="E1472" s="9" t="str">
        <f>[1]Discovery!C1478</f>
        <v>종교 건축물</v>
      </c>
      <c r="F1472" s="9" t="str">
        <f>[1]Discovery!G1478</f>
        <v>A</v>
      </c>
      <c r="G1472" s="9" t="str">
        <f>IFERROR(VLOOKUP(표1[[#This Row],[명칭]],'문화권 정리'!C:D,2,FALSE),"-")</f>
        <v>서남아시아</v>
      </c>
      <c r="H1472" s="38" t="str">
        <f>IFERROR(COUNTIF([2]OceanDoodad!$Y:$Y,표1[[#This Row],[명칭]]),"-")</f>
        <v>-</v>
      </c>
      <c r="I1472" s="38">
        <f>IFERROR(COUNTIF([1]AdventureDiscoveryGroup!$D$8:$AW$92,표1[[#This Row],[명칭]]),"-")</f>
        <v>0</v>
      </c>
      <c r="J1472" s="38">
        <f>IFERROR(COUNTIF([1]FishDiscoveryGroup!$A:$X,표1[[#This Row],[명칭]]),"-")</f>
        <v>0</v>
      </c>
      <c r="K1472" s="38" t="str">
        <f>IFERROR(COUNTIF([2]Town!$B:$B,표1[[#This Row],[명칭]]),"-")</f>
        <v>-</v>
      </c>
      <c r="L1472" s="38">
        <f>IFERROR(COUNTIF([1]Village!$BR:$BR,표1[[#This Row],[명칭]]),"-")</f>
        <v>0</v>
      </c>
      <c r="M1472" s="38">
        <f>COUNTIF(퀘스트!B:B,표1[[#This Row],[명칭]])</f>
        <v>1</v>
      </c>
      <c r="N1472" s="65">
        <f>COUNTIF([1]VillageDiscoveryGroup!$C:$C,표1[[#This Row],[명칭]])</f>
        <v>0</v>
      </c>
      <c r="O1472" s="65">
        <f>SUM(표1[[#This Row],[해양탐색]:[마을탐험]])</f>
        <v>1</v>
      </c>
    </row>
    <row r="1473" spans="2:15" ht="13.5" customHeight="1" x14ac:dyDescent="0.3">
      <c r="B1473" s="9">
        <f>[1]Discovery!A1479</f>
        <v>70411021</v>
      </c>
      <c r="C1473" s="9" t="str">
        <f>[1]Discovery!B1479</f>
        <v>아후 아키비</v>
      </c>
      <c r="D1473" s="9" t="str">
        <f>[1]Discovery!E1479</f>
        <v>건축</v>
      </c>
      <c r="E1473" s="9" t="str">
        <f>[1]Discovery!C1479</f>
        <v>종교 건축물</v>
      </c>
      <c r="F1473" s="9" t="str">
        <f>[1]Discovery!G1479</f>
        <v>C</v>
      </c>
      <c r="G1473" s="9" t="str">
        <f>IFERROR(VLOOKUP(표1[[#This Row],[명칭]],'문화권 정리'!C:D,2,FALSE),"-")</f>
        <v>남아메리카</v>
      </c>
      <c r="H1473" s="38" t="str">
        <f>IFERROR(COUNTIF([2]OceanDoodad!$Y:$Y,표1[[#This Row],[명칭]]),"-")</f>
        <v>-</v>
      </c>
      <c r="I1473" s="38">
        <f>IFERROR(COUNTIF([1]AdventureDiscoveryGroup!$D$8:$AW$92,표1[[#This Row],[명칭]]),"-")</f>
        <v>0</v>
      </c>
      <c r="J1473" s="38">
        <f>IFERROR(COUNTIF([1]FishDiscoveryGroup!$A:$X,표1[[#This Row],[명칭]]),"-")</f>
        <v>0</v>
      </c>
      <c r="K1473" s="38" t="str">
        <f>IFERROR(COUNTIF([2]Town!$B:$B,표1[[#This Row],[명칭]]),"-")</f>
        <v>-</v>
      </c>
      <c r="L1473" s="38">
        <f>IFERROR(COUNTIF([1]Village!$BR:$BR,표1[[#This Row],[명칭]]),"-")</f>
        <v>0</v>
      </c>
      <c r="M1473" s="38">
        <f>COUNTIF(퀘스트!B:B,표1[[#This Row],[명칭]])</f>
        <v>0</v>
      </c>
      <c r="N1473" s="65">
        <f>COUNTIF([1]VillageDiscoveryGroup!$C:$C,표1[[#This Row],[명칭]])</f>
        <v>0</v>
      </c>
      <c r="O1473" s="65">
        <f>SUM(표1[[#This Row],[해양탐색]:[마을탐험]])</f>
        <v>0</v>
      </c>
    </row>
    <row r="1474" spans="2:15" ht="13.5" customHeight="1" x14ac:dyDescent="0.3">
      <c r="B1474" s="9">
        <f>[1]Discovery!A1480</f>
        <v>70411022</v>
      </c>
      <c r="C1474" s="9" t="str">
        <f>[1]Discovery!B1480</f>
        <v>아후통가리키</v>
      </c>
      <c r="D1474" s="9" t="str">
        <f>[1]Discovery!E1480</f>
        <v>건축</v>
      </c>
      <c r="E1474" s="9" t="str">
        <f>[1]Discovery!C1480</f>
        <v>종교 건축물</v>
      </c>
      <c r="F1474" s="9" t="str">
        <f>[1]Discovery!G1480</f>
        <v>D</v>
      </c>
      <c r="G1474" s="9" t="str">
        <f>IFERROR(VLOOKUP(표1[[#This Row],[명칭]],'문화권 정리'!C:D,2,FALSE),"-")</f>
        <v>남아메리카</v>
      </c>
      <c r="H1474" s="38" t="str">
        <f>IFERROR(COUNTIF([2]OceanDoodad!$Y:$Y,표1[[#This Row],[명칭]]),"-")</f>
        <v>-</v>
      </c>
      <c r="I1474" s="38">
        <f>IFERROR(COUNTIF([1]AdventureDiscoveryGroup!$D$8:$AW$92,표1[[#This Row],[명칭]]),"-")</f>
        <v>0</v>
      </c>
      <c r="J1474" s="38">
        <f>IFERROR(COUNTIF([1]FishDiscoveryGroup!$A:$X,표1[[#This Row],[명칭]]),"-")</f>
        <v>0</v>
      </c>
      <c r="K1474" s="38" t="str">
        <f>IFERROR(COUNTIF([2]Town!$B:$B,표1[[#This Row],[명칭]]),"-")</f>
        <v>-</v>
      </c>
      <c r="L1474" s="38">
        <f>IFERROR(COUNTIF([1]Village!$BR:$BR,표1[[#This Row],[명칭]]),"-")</f>
        <v>0</v>
      </c>
      <c r="M1474" s="38">
        <f>COUNTIF(퀘스트!B:B,표1[[#This Row],[명칭]])</f>
        <v>0</v>
      </c>
      <c r="N1474" s="65">
        <f>COUNTIF([1]VillageDiscoveryGroup!$C:$C,표1[[#This Row],[명칭]])</f>
        <v>0</v>
      </c>
      <c r="O1474" s="65">
        <f>SUM(표1[[#This Row],[해양탐색]:[마을탐험]])</f>
        <v>0</v>
      </c>
    </row>
    <row r="1475" spans="2:15" ht="13.5" customHeight="1" x14ac:dyDescent="0.3">
      <c r="B1475" s="9">
        <f>[1]Discovery!A1481</f>
        <v>70411023</v>
      </c>
      <c r="C1475" s="9" t="str">
        <f>[1]Discovery!B1481</f>
        <v>악숨 석주군</v>
      </c>
      <c r="D1475" s="9" t="str">
        <f>[1]Discovery!E1481</f>
        <v>건축</v>
      </c>
      <c r="E1475" s="9" t="str">
        <f>[1]Discovery!C1481</f>
        <v>사적</v>
      </c>
      <c r="F1475" s="9" t="str">
        <f>[1]Discovery!G1481</f>
        <v>S</v>
      </c>
      <c r="G1475" s="9" t="str">
        <f>IFERROR(VLOOKUP(표1[[#This Row],[명칭]],'문화권 정리'!C:D,2,FALSE),"-")</f>
        <v>서남아시아</v>
      </c>
      <c r="H1475" s="38" t="str">
        <f>IFERROR(COUNTIF([2]OceanDoodad!$Y:$Y,표1[[#This Row],[명칭]]),"-")</f>
        <v>-</v>
      </c>
      <c r="I1475" s="38">
        <f>IFERROR(COUNTIF([1]AdventureDiscoveryGroup!$D$8:$AW$92,표1[[#This Row],[명칭]]),"-")</f>
        <v>0</v>
      </c>
      <c r="J1475" s="38">
        <f>IFERROR(COUNTIF([1]FishDiscoveryGroup!$A:$X,표1[[#This Row],[명칭]]),"-")</f>
        <v>0</v>
      </c>
      <c r="K1475" s="38" t="str">
        <f>IFERROR(COUNTIF([2]Town!$B:$B,표1[[#This Row],[명칭]]),"-")</f>
        <v>-</v>
      </c>
      <c r="L1475" s="38">
        <f>IFERROR(COUNTIF([1]Village!$BR:$BR,표1[[#This Row],[명칭]]),"-")</f>
        <v>0</v>
      </c>
      <c r="M1475" s="38">
        <f>COUNTIF(퀘스트!B:B,표1[[#This Row],[명칭]])</f>
        <v>0</v>
      </c>
      <c r="N1475" s="65">
        <f>COUNTIF([1]VillageDiscoveryGroup!$C:$C,표1[[#This Row],[명칭]])</f>
        <v>0</v>
      </c>
      <c r="O1475" s="65">
        <f>SUM(표1[[#This Row],[해양탐색]:[마을탐험]])</f>
        <v>0</v>
      </c>
    </row>
    <row r="1476" spans="2:15" ht="13.5" customHeight="1" x14ac:dyDescent="0.3">
      <c r="B1476" s="9">
        <f>[1]Discovery!A1482</f>
        <v>70411024</v>
      </c>
      <c r="C1476" s="9" t="str">
        <f>[1]Discovery!B1482</f>
        <v>앙코르와트</v>
      </c>
      <c r="D1476" s="9" t="str">
        <f>[1]Discovery!E1482</f>
        <v>건축</v>
      </c>
      <c r="E1476" s="9" t="str">
        <f>[1]Discovery!C1482</f>
        <v>종교 건축물</v>
      </c>
      <c r="F1476" s="9" t="str">
        <f>[1]Discovery!G1482</f>
        <v>B</v>
      </c>
      <c r="G1476" s="9" t="str">
        <f>IFERROR(VLOOKUP(표1[[#This Row],[명칭]],'문화권 정리'!C:D,2,FALSE),"-")</f>
        <v>동남아시아</v>
      </c>
      <c r="H1476" s="38" t="str">
        <f>IFERROR(COUNTIF([2]OceanDoodad!$Y:$Y,표1[[#This Row],[명칭]]),"-")</f>
        <v>-</v>
      </c>
      <c r="I1476" s="38">
        <f>IFERROR(COUNTIF([1]AdventureDiscoveryGroup!$D$8:$AW$92,표1[[#This Row],[명칭]]),"-")</f>
        <v>0</v>
      </c>
      <c r="J1476" s="38">
        <f>IFERROR(COUNTIF([1]FishDiscoveryGroup!$A:$X,표1[[#This Row],[명칭]]),"-")</f>
        <v>0</v>
      </c>
      <c r="K1476" s="38" t="str">
        <f>IFERROR(COUNTIF([2]Town!$B:$B,표1[[#This Row],[명칭]]),"-")</f>
        <v>-</v>
      </c>
      <c r="L1476" s="38">
        <f>IFERROR(COUNTIF([1]Village!$BR:$BR,표1[[#This Row],[명칭]]),"-")</f>
        <v>0</v>
      </c>
      <c r="M1476" s="38">
        <f>COUNTIF(퀘스트!B:B,표1[[#This Row],[명칭]])</f>
        <v>1</v>
      </c>
      <c r="N1476" s="65">
        <f>COUNTIF([1]VillageDiscoveryGroup!$C:$C,표1[[#This Row],[명칭]])</f>
        <v>0</v>
      </c>
      <c r="O1476" s="65">
        <f>SUM(표1[[#This Row],[해양탐색]:[마을탐험]])</f>
        <v>1</v>
      </c>
    </row>
    <row r="1477" spans="2:15" ht="13.5" customHeight="1" x14ac:dyDescent="0.3">
      <c r="B1477" s="9">
        <f>[1]Discovery!A1483</f>
        <v>70411025</v>
      </c>
      <c r="C1477" s="9" t="str">
        <f>[1]Discovery!B1483</f>
        <v>양 머리의 스핑크스</v>
      </c>
      <c r="D1477" s="9" t="str">
        <f>[1]Discovery!E1483</f>
        <v>건축</v>
      </c>
      <c r="E1477" s="9" t="str">
        <f>[1]Discovery!C1483</f>
        <v>종교 건축물</v>
      </c>
      <c r="F1477" s="9" t="str">
        <f>[1]Discovery!G1483</f>
        <v>D</v>
      </c>
      <c r="G1477" s="9" t="str">
        <f>IFERROR(VLOOKUP(표1[[#This Row],[명칭]],'문화권 정리'!C:D,2,FALSE),"-")</f>
        <v>서남아시아</v>
      </c>
      <c r="H1477" s="38" t="str">
        <f>IFERROR(COUNTIF([2]OceanDoodad!$Y:$Y,표1[[#This Row],[명칭]]),"-")</f>
        <v>-</v>
      </c>
      <c r="I1477" s="38">
        <f>IFERROR(COUNTIF([1]AdventureDiscoveryGroup!$D$8:$AW$92,표1[[#This Row],[명칭]]),"-")</f>
        <v>0</v>
      </c>
      <c r="J1477" s="38">
        <f>IFERROR(COUNTIF([1]FishDiscoveryGroup!$A:$X,표1[[#This Row],[명칭]]),"-")</f>
        <v>0</v>
      </c>
      <c r="K1477" s="38" t="str">
        <f>IFERROR(COUNTIF([2]Town!$B:$B,표1[[#This Row],[명칭]]),"-")</f>
        <v>-</v>
      </c>
      <c r="L1477" s="38">
        <f>IFERROR(COUNTIF([1]Village!$BR:$BR,표1[[#This Row],[명칭]]),"-")</f>
        <v>0</v>
      </c>
      <c r="M1477" s="38">
        <f>COUNTIF(퀘스트!B:B,표1[[#This Row],[명칭]])</f>
        <v>1</v>
      </c>
      <c r="N1477" s="65">
        <f>COUNTIF([1]VillageDiscoveryGroup!$C:$C,표1[[#This Row],[명칭]])</f>
        <v>0</v>
      </c>
      <c r="O1477" s="65">
        <f>SUM(표1[[#This Row],[해양탐색]:[마을탐험]])</f>
        <v>1</v>
      </c>
    </row>
    <row r="1478" spans="2:15" ht="13.5" customHeight="1" x14ac:dyDescent="0.3">
      <c r="B1478" s="9">
        <f>[1]Discovery!A1484</f>
        <v>70411026</v>
      </c>
      <c r="C1478" s="9" t="str">
        <f>[1]Discovery!B1484</f>
        <v>에치미아진 대성당</v>
      </c>
      <c r="D1478" s="9" t="str">
        <f>[1]Discovery!E1484</f>
        <v>건축</v>
      </c>
      <c r="E1478" s="9" t="str">
        <f>[1]Discovery!C1484</f>
        <v>종교 건축물</v>
      </c>
      <c r="F1478" s="9" t="str">
        <f>[1]Discovery!G1484</f>
        <v>S</v>
      </c>
      <c r="G1478" s="9" t="str">
        <f>IFERROR(VLOOKUP(표1[[#This Row],[명칭]],'문화권 정리'!C:D,2,FALSE),"-")</f>
        <v>지중해</v>
      </c>
      <c r="H1478" s="38" t="str">
        <f>IFERROR(COUNTIF([2]OceanDoodad!$Y:$Y,표1[[#This Row],[명칭]]),"-")</f>
        <v>-</v>
      </c>
      <c r="I1478" s="38">
        <f>IFERROR(COUNTIF([1]AdventureDiscoveryGroup!$D$8:$AW$92,표1[[#This Row],[명칭]]),"-")</f>
        <v>0</v>
      </c>
      <c r="J1478" s="38">
        <f>IFERROR(COUNTIF([1]FishDiscoveryGroup!$A:$X,표1[[#This Row],[명칭]]),"-")</f>
        <v>0</v>
      </c>
      <c r="K1478" s="38" t="str">
        <f>IFERROR(COUNTIF([2]Town!$B:$B,표1[[#This Row],[명칭]]),"-")</f>
        <v>-</v>
      </c>
      <c r="L1478" s="38">
        <f>IFERROR(COUNTIF([1]Village!$BR:$BR,표1[[#This Row],[명칭]]),"-")</f>
        <v>0</v>
      </c>
      <c r="M1478" s="38">
        <f>COUNTIF(퀘스트!B:B,표1[[#This Row],[명칭]])</f>
        <v>0</v>
      </c>
      <c r="N1478" s="65">
        <f>COUNTIF([1]VillageDiscoveryGroup!$C:$C,표1[[#This Row],[명칭]])</f>
        <v>0</v>
      </c>
      <c r="O1478" s="65">
        <f>SUM(표1[[#This Row],[해양탐색]:[마을탐험]])</f>
        <v>0</v>
      </c>
    </row>
    <row r="1479" spans="2:15" ht="13.5" customHeight="1" x14ac:dyDescent="0.3">
      <c r="B1479" s="9">
        <f>[1]Discovery!A1485</f>
        <v>70411027</v>
      </c>
      <c r="C1479" s="9" t="str">
        <f>[1]Discovery!B1485</f>
        <v>엘레우시스 신전</v>
      </c>
      <c r="D1479" s="9" t="str">
        <f>[1]Discovery!E1485</f>
        <v>건축</v>
      </c>
      <c r="E1479" s="9" t="str">
        <f>[1]Discovery!C1485</f>
        <v>종교 건축물</v>
      </c>
      <c r="F1479" s="9" t="str">
        <f>[1]Discovery!G1485</f>
        <v>D</v>
      </c>
      <c r="G1479" s="9" t="str">
        <f>IFERROR(VLOOKUP(표1[[#This Row],[명칭]],'문화권 정리'!C:D,2,FALSE),"-")</f>
        <v>지중해</v>
      </c>
      <c r="H1479" s="38" t="str">
        <f>IFERROR(COUNTIF([2]OceanDoodad!$Y:$Y,표1[[#This Row],[명칭]]),"-")</f>
        <v>-</v>
      </c>
      <c r="I1479" s="38">
        <f>IFERROR(COUNTIF([1]AdventureDiscoveryGroup!$D$8:$AW$92,표1[[#This Row],[명칭]]),"-")</f>
        <v>0</v>
      </c>
      <c r="J1479" s="38">
        <f>IFERROR(COUNTIF([1]FishDiscoveryGroup!$A:$X,표1[[#This Row],[명칭]]),"-")</f>
        <v>0</v>
      </c>
      <c r="K1479" s="38" t="str">
        <f>IFERROR(COUNTIF([2]Town!$B:$B,표1[[#This Row],[명칭]]),"-")</f>
        <v>-</v>
      </c>
      <c r="L1479" s="38">
        <f>IFERROR(COUNTIF([1]Village!$BR:$BR,표1[[#This Row],[명칭]]),"-")</f>
        <v>0</v>
      </c>
      <c r="M1479" s="38">
        <f>COUNTIF(퀘스트!B:B,표1[[#This Row],[명칭]])</f>
        <v>1</v>
      </c>
      <c r="N1479" s="65">
        <f>COUNTIF([1]VillageDiscoveryGroup!$C:$C,표1[[#This Row],[명칭]])</f>
        <v>0</v>
      </c>
      <c r="O1479" s="65">
        <f>SUM(표1[[#This Row],[해양탐색]:[마을탐험]])</f>
        <v>1</v>
      </c>
    </row>
    <row r="1480" spans="2:15" ht="13.5" customHeight="1" x14ac:dyDescent="0.3">
      <c r="B1480" s="9">
        <f>[1]Discovery!A1486</f>
        <v>70411028</v>
      </c>
      <c r="C1480" s="9" t="str">
        <f>[1]Discovery!B1486</f>
        <v>윈강 석굴</v>
      </c>
      <c r="D1480" s="9" t="str">
        <f>[1]Discovery!E1486</f>
        <v>건축</v>
      </c>
      <c r="E1480" s="9" t="str">
        <f>[1]Discovery!C1486</f>
        <v>종교 건축물</v>
      </c>
      <c r="F1480" s="9" t="str">
        <f>[1]Discovery!G1486</f>
        <v>B</v>
      </c>
      <c r="G1480" s="9" t="str">
        <f>IFERROR(VLOOKUP(표1[[#This Row],[명칭]],'문화권 정리'!C:D,2,FALSE),"-")</f>
        <v>동아시아</v>
      </c>
      <c r="H1480" s="38" t="str">
        <f>IFERROR(COUNTIF([2]OceanDoodad!$Y:$Y,표1[[#This Row],[명칭]]),"-")</f>
        <v>-</v>
      </c>
      <c r="I1480" s="38">
        <f>IFERROR(COUNTIF([1]AdventureDiscoveryGroup!$D$8:$AW$92,표1[[#This Row],[명칭]]),"-")</f>
        <v>0</v>
      </c>
      <c r="J1480" s="38">
        <f>IFERROR(COUNTIF([1]FishDiscoveryGroup!$A:$X,표1[[#This Row],[명칭]]),"-")</f>
        <v>0</v>
      </c>
      <c r="K1480" s="38" t="str">
        <f>IFERROR(COUNTIF([2]Town!$B:$B,표1[[#This Row],[명칭]]),"-")</f>
        <v>-</v>
      </c>
      <c r="L1480" s="38">
        <f>IFERROR(COUNTIF([1]Village!$BR:$BR,표1[[#This Row],[명칭]]),"-")</f>
        <v>0</v>
      </c>
      <c r="M1480" s="38">
        <f>COUNTIF(퀘스트!B:B,표1[[#This Row],[명칭]])</f>
        <v>0</v>
      </c>
      <c r="N1480" s="65">
        <f>COUNTIF([1]VillageDiscoveryGroup!$C:$C,표1[[#This Row],[명칭]])</f>
        <v>0</v>
      </c>
      <c r="O1480" s="65">
        <f>SUM(표1[[#This Row],[해양탐색]:[마을탐험]])</f>
        <v>0</v>
      </c>
    </row>
    <row r="1481" spans="2:15" ht="13.5" customHeight="1" x14ac:dyDescent="0.3">
      <c r="B1481" s="9">
        <f>[1]Discovery!A1487</f>
        <v>70411029</v>
      </c>
      <c r="C1481" s="9" t="str">
        <f>[1]Discovery!B1487</f>
        <v>카르나크 신전</v>
      </c>
      <c r="D1481" s="9" t="str">
        <f>[1]Discovery!E1487</f>
        <v>건축</v>
      </c>
      <c r="E1481" s="9" t="str">
        <f>[1]Discovery!C1487</f>
        <v>종교 건축물</v>
      </c>
      <c r="F1481" s="9" t="str">
        <f>[1]Discovery!G1487</f>
        <v>C</v>
      </c>
      <c r="G1481" s="9" t="str">
        <f>IFERROR(VLOOKUP(표1[[#This Row],[명칭]],'문화권 정리'!C:D,2,FALSE),"-")</f>
        <v>서남아시아</v>
      </c>
      <c r="H1481" s="38" t="str">
        <f>IFERROR(COUNTIF([2]OceanDoodad!$Y:$Y,표1[[#This Row],[명칭]]),"-")</f>
        <v>-</v>
      </c>
      <c r="I1481" s="38">
        <f>IFERROR(COUNTIF([1]AdventureDiscoveryGroup!$D$8:$AW$92,표1[[#This Row],[명칭]]),"-")</f>
        <v>0</v>
      </c>
      <c r="J1481" s="38">
        <f>IFERROR(COUNTIF([1]FishDiscoveryGroup!$A:$X,표1[[#This Row],[명칭]]),"-")</f>
        <v>0</v>
      </c>
      <c r="K1481" s="38" t="str">
        <f>IFERROR(COUNTIF([2]Town!$B:$B,표1[[#This Row],[명칭]]),"-")</f>
        <v>-</v>
      </c>
      <c r="L1481" s="38">
        <f>IFERROR(COUNTIF([1]Village!$BR:$BR,표1[[#This Row],[명칭]]),"-")</f>
        <v>0</v>
      </c>
      <c r="M1481" s="38">
        <f>COUNTIF(퀘스트!B:B,표1[[#This Row],[명칭]])</f>
        <v>1</v>
      </c>
      <c r="N1481" s="65">
        <f>COUNTIF([1]VillageDiscoveryGroup!$C:$C,표1[[#This Row],[명칭]])</f>
        <v>0</v>
      </c>
      <c r="O1481" s="65">
        <f>SUM(표1[[#This Row],[해양탐색]:[마을탐험]])</f>
        <v>1</v>
      </c>
    </row>
    <row r="1482" spans="2:15" ht="13.5" customHeight="1" x14ac:dyDescent="0.3">
      <c r="B1482" s="9">
        <f>[1]Discovery!A1488</f>
        <v>70411030</v>
      </c>
      <c r="C1482" s="9" t="str">
        <f>[1]Discovery!B1488</f>
        <v>코나라크 태양신 사원</v>
      </c>
      <c r="D1482" s="9" t="str">
        <f>[1]Discovery!E1488</f>
        <v>건축</v>
      </c>
      <c r="E1482" s="9" t="str">
        <f>[1]Discovery!C1488</f>
        <v>종교 건축물</v>
      </c>
      <c r="F1482" s="9" t="str">
        <f>[1]Discovery!G1488</f>
        <v>S</v>
      </c>
      <c r="G1482" s="9" t="str">
        <f>IFERROR(VLOOKUP(표1[[#This Row],[명칭]],'문화권 정리'!C:D,2,FALSE),"-")</f>
        <v>남아시아</v>
      </c>
      <c r="H1482" s="38" t="str">
        <f>IFERROR(COUNTIF([2]OceanDoodad!$Y:$Y,표1[[#This Row],[명칭]]),"-")</f>
        <v>-</v>
      </c>
      <c r="I1482" s="38">
        <f>IFERROR(COUNTIF([1]AdventureDiscoveryGroup!$D$8:$AW$92,표1[[#This Row],[명칭]]),"-")</f>
        <v>0</v>
      </c>
      <c r="J1482" s="38">
        <f>IFERROR(COUNTIF([1]FishDiscoveryGroup!$A:$X,표1[[#This Row],[명칭]]),"-")</f>
        <v>0</v>
      </c>
      <c r="K1482" s="38" t="str">
        <f>IFERROR(COUNTIF([2]Town!$B:$B,표1[[#This Row],[명칭]]),"-")</f>
        <v>-</v>
      </c>
      <c r="L1482" s="38">
        <f>IFERROR(COUNTIF([1]Village!$BR:$BR,표1[[#This Row],[명칭]]),"-")</f>
        <v>0</v>
      </c>
      <c r="M1482" s="38">
        <f>COUNTIF(퀘스트!B:B,표1[[#This Row],[명칭]])</f>
        <v>0</v>
      </c>
      <c r="N1482" s="65">
        <f>COUNTIF([1]VillageDiscoveryGroup!$C:$C,표1[[#This Row],[명칭]])</f>
        <v>0</v>
      </c>
      <c r="O1482" s="65">
        <f>SUM(표1[[#This Row],[해양탐색]:[마을탐험]])</f>
        <v>0</v>
      </c>
    </row>
    <row r="1483" spans="2:15" ht="13.5" customHeight="1" x14ac:dyDescent="0.3">
      <c r="B1483" s="9">
        <f>[1]Discovery!A1489</f>
        <v>70411031</v>
      </c>
      <c r="C1483" s="9" t="str">
        <f>[1]Discovery!B1489</f>
        <v>코나라크의 수레바퀴</v>
      </c>
      <c r="D1483" s="9" t="str">
        <f>[1]Discovery!E1489</f>
        <v>건축</v>
      </c>
      <c r="E1483" s="9" t="str">
        <f>[1]Discovery!C1489</f>
        <v>종교 건축물</v>
      </c>
      <c r="F1483" s="9" t="str">
        <f>[1]Discovery!G1489</f>
        <v>A</v>
      </c>
      <c r="G1483" s="9" t="str">
        <f>IFERROR(VLOOKUP(표1[[#This Row],[명칭]],'문화권 정리'!C:D,2,FALSE),"-")</f>
        <v>남아시아</v>
      </c>
      <c r="H1483" s="38" t="str">
        <f>IFERROR(COUNTIF([2]OceanDoodad!$Y:$Y,표1[[#This Row],[명칭]]),"-")</f>
        <v>-</v>
      </c>
      <c r="I1483" s="38">
        <f>IFERROR(COUNTIF([1]AdventureDiscoveryGroup!$D$8:$AW$92,표1[[#This Row],[명칭]]),"-")</f>
        <v>0</v>
      </c>
      <c r="J1483" s="38">
        <f>IFERROR(COUNTIF([1]FishDiscoveryGroup!$A:$X,표1[[#This Row],[명칭]]),"-")</f>
        <v>0</v>
      </c>
      <c r="K1483" s="38" t="str">
        <f>IFERROR(COUNTIF([2]Town!$B:$B,표1[[#This Row],[명칭]]),"-")</f>
        <v>-</v>
      </c>
      <c r="L1483" s="38">
        <f>IFERROR(COUNTIF([1]Village!$BR:$BR,표1[[#This Row],[명칭]]),"-")</f>
        <v>0</v>
      </c>
      <c r="M1483" s="38">
        <f>COUNTIF(퀘스트!B:B,표1[[#This Row],[명칭]])</f>
        <v>0</v>
      </c>
      <c r="N1483" s="65">
        <f>COUNTIF([1]VillageDiscoveryGroup!$C:$C,표1[[#This Row],[명칭]])</f>
        <v>0</v>
      </c>
      <c r="O1483" s="65">
        <f>SUM(표1[[#This Row],[해양탐색]:[마을탐험]])</f>
        <v>0</v>
      </c>
    </row>
    <row r="1484" spans="2:15" ht="13.5" customHeight="1" x14ac:dyDescent="0.3">
      <c r="B1484" s="9">
        <f>[1]Discovery!A1490</f>
        <v>70411032</v>
      </c>
      <c r="C1484" s="9" t="str">
        <f>[1]Discovery!B1490</f>
        <v>쿠푸왕의 피라미드</v>
      </c>
      <c r="D1484" s="9" t="str">
        <f>[1]Discovery!E1490</f>
        <v>건축</v>
      </c>
      <c r="E1484" s="9" t="str">
        <f>[1]Discovery!C1490</f>
        <v>종교 건축물</v>
      </c>
      <c r="F1484" s="9" t="str">
        <f>[1]Discovery!G1490</f>
        <v>S</v>
      </c>
      <c r="G1484" s="9" t="str">
        <f>IFERROR(VLOOKUP(표1[[#This Row],[명칭]],'문화권 정리'!C:D,2,FALSE),"-")</f>
        <v>서남아시아</v>
      </c>
      <c r="H1484" s="38" t="str">
        <f>IFERROR(COUNTIF([2]OceanDoodad!$Y:$Y,표1[[#This Row],[명칭]]),"-")</f>
        <v>-</v>
      </c>
      <c r="I1484" s="38">
        <f>IFERROR(COUNTIF([1]AdventureDiscoveryGroup!$D$8:$AW$92,표1[[#This Row],[명칭]]),"-")</f>
        <v>0</v>
      </c>
      <c r="J1484" s="38">
        <f>IFERROR(COUNTIF([1]FishDiscoveryGroup!$A:$X,표1[[#This Row],[명칭]]),"-")</f>
        <v>0</v>
      </c>
      <c r="K1484" s="38" t="str">
        <f>IFERROR(COUNTIF([2]Town!$B:$B,표1[[#This Row],[명칭]]),"-")</f>
        <v>-</v>
      </c>
      <c r="L1484" s="38">
        <f>IFERROR(COUNTIF([1]Village!$BR:$BR,표1[[#This Row],[명칭]]),"-")</f>
        <v>0</v>
      </c>
      <c r="M1484" s="38">
        <f>COUNTIF(퀘스트!B:B,표1[[#This Row],[명칭]])</f>
        <v>1</v>
      </c>
      <c r="N1484" s="65">
        <f>COUNTIF([1]VillageDiscoveryGroup!$C:$C,표1[[#This Row],[명칭]])</f>
        <v>0</v>
      </c>
      <c r="O1484" s="65">
        <f>SUM(표1[[#This Row],[해양탐색]:[마을탐험]])</f>
        <v>1</v>
      </c>
    </row>
    <row r="1485" spans="2:15" ht="13.5" customHeight="1" x14ac:dyDescent="0.3">
      <c r="B1485" s="9">
        <f>[1]Discovery!A1491</f>
        <v>70411034</v>
      </c>
      <c r="C1485" s="9" t="str">
        <f>[1]Discovery!B1491</f>
        <v>태양의 돌</v>
      </c>
      <c r="D1485" s="9" t="str">
        <f>[1]Discovery!E1491</f>
        <v>건축</v>
      </c>
      <c r="E1485" s="9" t="str">
        <f>[1]Discovery!C1491</f>
        <v>종교 건축물</v>
      </c>
      <c r="F1485" s="9" t="str">
        <f>[1]Discovery!G1491</f>
        <v>B</v>
      </c>
      <c r="G1485" s="9" t="str">
        <f>IFERROR(VLOOKUP(표1[[#This Row],[명칭]],'문화권 정리'!C:D,2,FALSE),"-")</f>
        <v>중앙아메리카</v>
      </c>
      <c r="H1485" s="38" t="str">
        <f>IFERROR(COUNTIF([2]OceanDoodad!$Y:$Y,표1[[#This Row],[명칭]]),"-")</f>
        <v>-</v>
      </c>
      <c r="I1485" s="38">
        <f>IFERROR(COUNTIF([1]AdventureDiscoveryGroup!$D$8:$AW$92,표1[[#This Row],[명칭]]),"-")</f>
        <v>0</v>
      </c>
      <c r="J1485" s="38">
        <f>IFERROR(COUNTIF([1]FishDiscoveryGroup!$A:$X,표1[[#This Row],[명칭]]),"-")</f>
        <v>0</v>
      </c>
      <c r="K1485" s="38" t="str">
        <f>IFERROR(COUNTIF([2]Town!$B:$B,표1[[#This Row],[명칭]]),"-")</f>
        <v>-</v>
      </c>
      <c r="L1485" s="38">
        <f>IFERROR(COUNTIF([1]Village!$BR:$BR,표1[[#This Row],[명칭]]),"-")</f>
        <v>0</v>
      </c>
      <c r="M1485" s="38">
        <f>COUNTIF(퀘스트!B:B,표1[[#This Row],[명칭]])</f>
        <v>1</v>
      </c>
      <c r="N1485" s="65">
        <f>COUNTIF([1]VillageDiscoveryGroup!$C:$C,표1[[#This Row],[명칭]])</f>
        <v>0</v>
      </c>
      <c r="O1485" s="65">
        <f>SUM(표1[[#This Row],[해양탐색]:[마을탐험]])</f>
        <v>1</v>
      </c>
    </row>
    <row r="1486" spans="2:15" ht="13.5" customHeight="1" x14ac:dyDescent="0.3">
      <c r="B1486" s="9">
        <f>[1]Discovery!A1492</f>
        <v>70411035</v>
      </c>
      <c r="C1486" s="9" t="str">
        <f>[1]Discovery!B1492</f>
        <v>태양의 신전</v>
      </c>
      <c r="D1486" s="9" t="str">
        <f>[1]Discovery!E1492</f>
        <v>건축</v>
      </c>
      <c r="E1486" s="9" t="str">
        <f>[1]Discovery!C1492</f>
        <v>종교 건축물</v>
      </c>
      <c r="F1486" s="9" t="str">
        <f>[1]Discovery!G1492</f>
        <v>B</v>
      </c>
      <c r="G1486" s="9" t="str">
        <f>IFERROR(VLOOKUP(표1[[#This Row],[명칭]],'문화권 정리'!C:D,2,FALSE),"-")</f>
        <v>중앙아메리카</v>
      </c>
      <c r="H1486" s="38" t="str">
        <f>IFERROR(COUNTIF([2]OceanDoodad!$Y:$Y,표1[[#This Row],[명칭]]),"-")</f>
        <v>-</v>
      </c>
      <c r="I1486" s="38">
        <f>IFERROR(COUNTIF([1]AdventureDiscoveryGroup!$D$8:$AW$92,표1[[#This Row],[명칭]]),"-")</f>
        <v>0</v>
      </c>
      <c r="J1486" s="38">
        <f>IFERROR(COUNTIF([1]FishDiscoveryGroup!$A:$X,표1[[#This Row],[명칭]]),"-")</f>
        <v>0</v>
      </c>
      <c r="K1486" s="38" t="str">
        <f>IFERROR(COUNTIF([2]Town!$B:$B,표1[[#This Row],[명칭]]),"-")</f>
        <v>-</v>
      </c>
      <c r="L1486" s="38">
        <f>IFERROR(COUNTIF([1]Village!$BR:$BR,표1[[#This Row],[명칭]]),"-")</f>
        <v>0</v>
      </c>
      <c r="M1486" s="38">
        <f>COUNTIF(퀘스트!B:B,표1[[#This Row],[명칭]])</f>
        <v>1</v>
      </c>
      <c r="N1486" s="65">
        <f>COUNTIF([1]VillageDiscoveryGroup!$C:$C,표1[[#This Row],[명칭]])</f>
        <v>0</v>
      </c>
      <c r="O1486" s="65">
        <f>SUM(표1[[#This Row],[해양탐색]:[마을탐험]])</f>
        <v>1</v>
      </c>
    </row>
    <row r="1487" spans="2:15" ht="13.5" customHeight="1" x14ac:dyDescent="0.3">
      <c r="B1487" s="9">
        <f>[1]Discovery!A1493</f>
        <v>70411036</v>
      </c>
      <c r="C1487" s="9" t="str">
        <f>[1]Discovery!B1493</f>
        <v>투트모세 1세의 오벨리스크</v>
      </c>
      <c r="D1487" s="9" t="str">
        <f>[1]Discovery!E1493</f>
        <v>건축</v>
      </c>
      <c r="E1487" s="9" t="str">
        <f>[1]Discovery!C1493</f>
        <v>종교 건축물</v>
      </c>
      <c r="F1487" s="9" t="str">
        <f>[1]Discovery!G1493</f>
        <v>C</v>
      </c>
      <c r="G1487" s="9" t="str">
        <f>IFERROR(VLOOKUP(표1[[#This Row],[명칭]],'문화권 정리'!C:D,2,FALSE),"-")</f>
        <v>서남아시아</v>
      </c>
      <c r="H1487" s="38" t="str">
        <f>IFERROR(COUNTIF([2]OceanDoodad!$Y:$Y,표1[[#This Row],[명칭]]),"-")</f>
        <v>-</v>
      </c>
      <c r="I1487" s="38">
        <f>IFERROR(COUNTIF([1]AdventureDiscoveryGroup!$D$8:$AW$92,표1[[#This Row],[명칭]]),"-")</f>
        <v>0</v>
      </c>
      <c r="J1487" s="38">
        <f>IFERROR(COUNTIF([1]FishDiscoveryGroup!$A:$X,표1[[#This Row],[명칭]]),"-")</f>
        <v>0</v>
      </c>
      <c r="K1487" s="38" t="str">
        <f>IFERROR(COUNTIF([2]Town!$B:$B,표1[[#This Row],[명칭]]),"-")</f>
        <v>-</v>
      </c>
      <c r="L1487" s="38">
        <f>IFERROR(COUNTIF([1]Village!$BR:$BR,표1[[#This Row],[명칭]]),"-")</f>
        <v>0</v>
      </c>
      <c r="M1487" s="38">
        <f>COUNTIF(퀘스트!B:B,표1[[#This Row],[명칭]])</f>
        <v>0</v>
      </c>
      <c r="N1487" s="65">
        <f>COUNTIF([1]VillageDiscoveryGroup!$C:$C,표1[[#This Row],[명칭]])</f>
        <v>0</v>
      </c>
      <c r="O1487" s="65">
        <f>SUM(표1[[#This Row],[해양탐색]:[마을탐험]])</f>
        <v>0</v>
      </c>
    </row>
    <row r="1488" spans="2:15" ht="13.5" customHeight="1" x14ac:dyDescent="0.3">
      <c r="B1488" s="9">
        <f>[1]Discovery!A1494</f>
        <v>70411037</v>
      </c>
      <c r="C1488" s="9" t="str">
        <f>[1]Discovery!B1494</f>
        <v>파간유적</v>
      </c>
      <c r="D1488" s="9" t="str">
        <f>[1]Discovery!E1494</f>
        <v>건축</v>
      </c>
      <c r="E1488" s="9" t="str">
        <f>[1]Discovery!C1494</f>
        <v>종교 건축물</v>
      </c>
      <c r="F1488" s="9" t="str">
        <f>[1]Discovery!G1494</f>
        <v>B</v>
      </c>
      <c r="G1488" s="9" t="str">
        <f>IFERROR(VLOOKUP(표1[[#This Row],[명칭]],'문화권 정리'!C:D,2,FALSE),"-")</f>
        <v>동남아시아</v>
      </c>
      <c r="H1488" s="38" t="str">
        <f>IFERROR(COUNTIF([2]OceanDoodad!$Y:$Y,표1[[#This Row],[명칭]]),"-")</f>
        <v>-</v>
      </c>
      <c r="I1488" s="38">
        <f>IFERROR(COUNTIF([1]AdventureDiscoveryGroup!$D$8:$AW$92,표1[[#This Row],[명칭]]),"-")</f>
        <v>0</v>
      </c>
      <c r="J1488" s="38">
        <f>IFERROR(COUNTIF([1]FishDiscoveryGroup!$A:$X,표1[[#This Row],[명칭]]),"-")</f>
        <v>0</v>
      </c>
      <c r="K1488" s="38" t="str">
        <f>IFERROR(COUNTIF([2]Town!$B:$B,표1[[#This Row],[명칭]]),"-")</f>
        <v>-</v>
      </c>
      <c r="L1488" s="38">
        <f>IFERROR(COUNTIF([1]Village!$BR:$BR,표1[[#This Row],[명칭]]),"-")</f>
        <v>0</v>
      </c>
      <c r="M1488" s="38">
        <f>COUNTIF(퀘스트!B:B,표1[[#This Row],[명칭]])</f>
        <v>0</v>
      </c>
      <c r="N1488" s="65">
        <f>COUNTIF([1]VillageDiscoveryGroup!$C:$C,표1[[#This Row],[명칭]])</f>
        <v>0</v>
      </c>
      <c r="O1488" s="65">
        <f>SUM(표1[[#This Row],[해양탐색]:[마을탐험]])</f>
        <v>0</v>
      </c>
    </row>
    <row r="1489" spans="2:15" ht="13.5" customHeight="1" x14ac:dyDescent="0.3">
      <c r="B1489" s="9">
        <f>[1]Discovery!A1495</f>
        <v>70411038</v>
      </c>
      <c r="C1489" s="9" t="str">
        <f>[1]Discovery!B1495</f>
        <v>파에스툼 유적</v>
      </c>
      <c r="D1489" s="9" t="str">
        <f>[1]Discovery!E1495</f>
        <v>건축</v>
      </c>
      <c r="E1489" s="9" t="str">
        <f>[1]Discovery!C1495</f>
        <v>종교 건축물</v>
      </c>
      <c r="F1489" s="9" t="str">
        <f>[1]Discovery!G1495</f>
        <v>D</v>
      </c>
      <c r="G1489" s="9" t="str">
        <f>IFERROR(VLOOKUP(표1[[#This Row],[명칭]],'문화권 정리'!C:D,2,FALSE),"-")</f>
        <v>지중해</v>
      </c>
      <c r="H1489" s="38" t="str">
        <f>IFERROR(COUNTIF([2]OceanDoodad!$Y:$Y,표1[[#This Row],[명칭]]),"-")</f>
        <v>-</v>
      </c>
      <c r="I1489" s="38">
        <f>IFERROR(COUNTIF([1]AdventureDiscoveryGroup!$D$8:$AW$92,표1[[#This Row],[명칭]]),"-")</f>
        <v>0</v>
      </c>
      <c r="J1489" s="38">
        <f>IFERROR(COUNTIF([1]FishDiscoveryGroup!$A:$X,표1[[#This Row],[명칭]]),"-")</f>
        <v>0</v>
      </c>
      <c r="K1489" s="38" t="str">
        <f>IFERROR(COUNTIF([2]Town!$B:$B,표1[[#This Row],[명칭]]),"-")</f>
        <v>-</v>
      </c>
      <c r="L1489" s="38">
        <f>IFERROR(COUNTIF([1]Village!$BR:$BR,표1[[#This Row],[명칭]]),"-")</f>
        <v>0</v>
      </c>
      <c r="M1489" s="38">
        <f>COUNTIF(퀘스트!B:B,표1[[#This Row],[명칭]])</f>
        <v>0</v>
      </c>
      <c r="N1489" s="65">
        <f>COUNTIF([1]VillageDiscoveryGroup!$C:$C,표1[[#This Row],[명칭]])</f>
        <v>0</v>
      </c>
      <c r="O1489" s="65">
        <f>SUM(표1[[#This Row],[해양탐색]:[마을탐험]])</f>
        <v>0</v>
      </c>
    </row>
    <row r="1490" spans="2:15" ht="13.5" customHeight="1" x14ac:dyDescent="0.3">
      <c r="B1490" s="9">
        <f>[1]Discovery!A1496</f>
        <v>70411039</v>
      </c>
      <c r="C1490" s="9" t="str">
        <f>[1]Discovery!B1496</f>
        <v>호투 마투아 왕의 모아이</v>
      </c>
      <c r="D1490" s="9" t="str">
        <f>[1]Discovery!E1496</f>
        <v>건축</v>
      </c>
      <c r="E1490" s="9" t="str">
        <f>[1]Discovery!C1496</f>
        <v>종교 건축물</v>
      </c>
      <c r="F1490" s="9" t="str">
        <f>[1]Discovery!G1496</f>
        <v>S</v>
      </c>
      <c r="G1490" s="9" t="str">
        <f>IFERROR(VLOOKUP(표1[[#This Row],[명칭]],'문화권 정리'!C:D,2,FALSE),"-")</f>
        <v>태평양</v>
      </c>
      <c r="H1490" s="38" t="str">
        <f>IFERROR(COUNTIF([2]OceanDoodad!$Y:$Y,표1[[#This Row],[명칭]]),"-")</f>
        <v>-</v>
      </c>
      <c r="I1490" s="38">
        <f>IFERROR(COUNTIF([1]AdventureDiscoveryGroup!$D$8:$AW$92,표1[[#This Row],[명칭]]),"-")</f>
        <v>0</v>
      </c>
      <c r="J1490" s="38">
        <f>IFERROR(COUNTIF([1]FishDiscoveryGroup!$A:$X,표1[[#This Row],[명칭]]),"-")</f>
        <v>0</v>
      </c>
      <c r="K1490" s="38" t="str">
        <f>IFERROR(COUNTIF([2]Town!$B:$B,표1[[#This Row],[명칭]]),"-")</f>
        <v>-</v>
      </c>
      <c r="L1490" s="38">
        <f>IFERROR(COUNTIF([1]Village!$BR:$BR,표1[[#This Row],[명칭]]),"-")</f>
        <v>0</v>
      </c>
      <c r="M1490" s="38">
        <f>COUNTIF(퀘스트!B:B,표1[[#This Row],[명칭]])</f>
        <v>0</v>
      </c>
      <c r="N1490" s="65">
        <f>COUNTIF([1]VillageDiscoveryGroup!$C:$C,표1[[#This Row],[명칭]])</f>
        <v>0</v>
      </c>
      <c r="O1490" s="65">
        <f>SUM(표1[[#This Row],[해양탐색]:[마을탐험]])</f>
        <v>0</v>
      </c>
    </row>
    <row r="1491" spans="2:15" ht="13.5" customHeight="1" x14ac:dyDescent="0.3">
      <c r="B1491" s="9">
        <f>[1]Discovery!A1497</f>
        <v>70411040</v>
      </c>
      <c r="C1491" s="9" t="str">
        <f>[1]Discovery!B1497</f>
        <v>스네프루의 붉은 피라미드</v>
      </c>
      <c r="D1491" s="9" t="str">
        <f>[1]Discovery!E1497</f>
        <v>건축</v>
      </c>
      <c r="E1491" s="9" t="str">
        <f>[1]Discovery!C1497</f>
        <v>종교 건축물</v>
      </c>
      <c r="F1491" s="9" t="str">
        <f>[1]Discovery!G1497</f>
        <v>A</v>
      </c>
      <c r="G1491" s="9" t="str">
        <f>IFERROR(VLOOKUP(표1[[#This Row],[명칭]],'문화권 정리'!C:D,2,FALSE),"-")</f>
        <v>서남아시아</v>
      </c>
      <c r="H1491" s="38" t="str">
        <f>IFERROR(COUNTIF([2]OceanDoodad!$Y:$Y,표1[[#This Row],[명칭]]),"-")</f>
        <v>-</v>
      </c>
      <c r="I1491" s="38">
        <f>IFERROR(COUNTIF([1]AdventureDiscoveryGroup!$D$8:$AW$92,표1[[#This Row],[명칭]]),"-")</f>
        <v>0</v>
      </c>
      <c r="J1491" s="38">
        <f>IFERROR(COUNTIF([1]FishDiscoveryGroup!$A:$X,표1[[#This Row],[명칭]]),"-")</f>
        <v>0</v>
      </c>
      <c r="K1491" s="38" t="str">
        <f>IFERROR(COUNTIF([2]Town!$B:$B,표1[[#This Row],[명칭]]),"-")</f>
        <v>-</v>
      </c>
      <c r="L1491" s="38">
        <f>IFERROR(COUNTIF([1]Village!$BR:$BR,표1[[#This Row],[명칭]]),"-")</f>
        <v>0</v>
      </c>
      <c r="M1491" s="38">
        <f>COUNTIF(퀘스트!B:B,표1[[#This Row],[명칭]])</f>
        <v>0</v>
      </c>
      <c r="N1491" s="65">
        <f>COUNTIF([1]VillageDiscoveryGroup!$C:$C,표1[[#This Row],[명칭]])</f>
        <v>0</v>
      </c>
      <c r="O1491" s="65">
        <f>SUM(표1[[#This Row],[해양탐색]:[마을탐험]])</f>
        <v>0</v>
      </c>
    </row>
    <row r="1492" spans="2:15" ht="13.5" customHeight="1" x14ac:dyDescent="0.3">
      <c r="B1492" s="9">
        <f>[1]Discovery!A1498</f>
        <v>70411041</v>
      </c>
      <c r="C1492" s="9" t="str">
        <f>[1]Discovery!B1498</f>
        <v>벨렝탑</v>
      </c>
      <c r="D1492" s="9" t="str">
        <f>[1]Discovery!E1498</f>
        <v>건축</v>
      </c>
      <c r="E1492" s="9" t="str">
        <f>[1]Discovery!C1498</f>
        <v>종교 건축물</v>
      </c>
      <c r="F1492" s="9" t="str">
        <f>[1]Discovery!G1498</f>
        <v>B</v>
      </c>
      <c r="G1492" s="9" t="str">
        <f>IFERROR(VLOOKUP(표1[[#This Row],[명칭]],'문화권 정리'!C:D,2,FALSE),"-")</f>
        <v>지중해</v>
      </c>
      <c r="H1492" s="38" t="str">
        <f>IFERROR(COUNTIF([2]OceanDoodad!$Y:$Y,표1[[#This Row],[명칭]]),"-")</f>
        <v>-</v>
      </c>
      <c r="I1492" s="38">
        <f>IFERROR(COUNTIF([1]AdventureDiscoveryGroup!$D$8:$AW$92,표1[[#This Row],[명칭]]),"-")</f>
        <v>0</v>
      </c>
      <c r="J1492" s="38">
        <f>IFERROR(COUNTIF([1]FishDiscoveryGroup!$A:$X,표1[[#This Row],[명칭]]),"-")</f>
        <v>0</v>
      </c>
      <c r="K1492" s="38" t="str">
        <f>IFERROR(COUNTIF([2]Town!$B:$B,표1[[#This Row],[명칭]]),"-")</f>
        <v>-</v>
      </c>
      <c r="L1492" s="38">
        <f>IFERROR(COUNTIF([1]Village!$BR:$BR,표1[[#This Row],[명칭]]),"-")</f>
        <v>0</v>
      </c>
      <c r="M1492" s="38">
        <f>COUNTIF(퀘스트!B:B,표1[[#This Row],[명칭]])</f>
        <v>0</v>
      </c>
      <c r="N1492" s="65">
        <f>COUNTIF([1]VillageDiscoveryGroup!$C:$C,표1[[#This Row],[명칭]])</f>
        <v>0</v>
      </c>
      <c r="O1492" s="65">
        <f>SUM(표1[[#This Row],[해양탐색]:[마을탐험]])</f>
        <v>0</v>
      </c>
    </row>
    <row r="1493" spans="2:15" ht="13.5" customHeight="1" x14ac:dyDescent="0.3">
      <c r="B1493" s="9" t="str">
        <f>[1]Discovery!A1499</f>
        <v>#70411042</v>
      </c>
      <c r="C1493" s="9" t="str">
        <f>[1]Discovery!B1499</f>
        <v>##셰프샤우엔</v>
      </c>
      <c r="D1493" s="9" t="str">
        <f>[1]Discovery!E1499</f>
        <v>건축</v>
      </c>
      <c r="E1493" s="9" t="str">
        <f>[1]Discovery!C1499</f>
        <v>종교 건축물</v>
      </c>
      <c r="F1493" s="9" t="str">
        <f>[1]Discovery!G1499</f>
        <v>B</v>
      </c>
      <c r="G1493" s="9" t="str">
        <f>IFERROR(VLOOKUP(표1[[#This Row],[명칭]],'문화권 정리'!C:D,2,FALSE),"-")</f>
        <v>북아프리카</v>
      </c>
      <c r="H1493" s="38" t="str">
        <f>IFERROR(COUNTIF([2]OceanDoodad!$Y:$Y,표1[[#This Row],[명칭]]),"-")</f>
        <v>-</v>
      </c>
      <c r="I1493" s="38">
        <f>IFERROR(COUNTIF([1]AdventureDiscoveryGroup!$D$8:$AW$92,표1[[#This Row],[명칭]]),"-")</f>
        <v>0</v>
      </c>
      <c r="J1493" s="38">
        <f>IFERROR(COUNTIF([1]FishDiscoveryGroup!$A:$X,표1[[#This Row],[명칭]]),"-")</f>
        <v>0</v>
      </c>
      <c r="K1493" s="38" t="str">
        <f>IFERROR(COUNTIF([2]Town!$B:$B,표1[[#This Row],[명칭]]),"-")</f>
        <v>-</v>
      </c>
      <c r="L1493" s="38">
        <f>IFERROR(COUNTIF([1]Village!$BR:$BR,표1[[#This Row],[명칭]]),"-")</f>
        <v>0</v>
      </c>
      <c r="M1493" s="38">
        <f>COUNTIF(퀘스트!B:B,표1[[#This Row],[명칭]])</f>
        <v>0</v>
      </c>
      <c r="N1493" s="65">
        <f>COUNTIF([1]VillageDiscoveryGroup!$C:$C,표1[[#This Row],[명칭]])</f>
        <v>0</v>
      </c>
      <c r="O1493" s="65">
        <f>SUM(표1[[#This Row],[해양탐색]:[마을탐험]])</f>
        <v>0</v>
      </c>
    </row>
    <row r="1494" spans="2:15" ht="13.5" customHeight="1" x14ac:dyDescent="0.3">
      <c r="B1494" s="9">
        <f>[1]Discovery!A1500</f>
        <v>70411043</v>
      </c>
      <c r="C1494" s="9" t="str">
        <f>[1]Discovery!B1500</f>
        <v>카이르완 대 모스크</v>
      </c>
      <c r="D1494" s="9" t="str">
        <f>[1]Discovery!E1500</f>
        <v>건축</v>
      </c>
      <c r="E1494" s="9" t="str">
        <f>[1]Discovery!C1500</f>
        <v>종교 건축물</v>
      </c>
      <c r="F1494" s="9" t="str">
        <f>[1]Discovery!G1500</f>
        <v>A</v>
      </c>
      <c r="G1494" s="9" t="str">
        <f>IFERROR(VLOOKUP(표1[[#This Row],[명칭]],'문화권 정리'!C:D,2,FALSE),"-")</f>
        <v>북아프리카</v>
      </c>
      <c r="H1494" s="38" t="str">
        <f>IFERROR(COUNTIF([2]OceanDoodad!$Y:$Y,표1[[#This Row],[명칭]]),"-")</f>
        <v>-</v>
      </c>
      <c r="I1494" s="38">
        <f>IFERROR(COUNTIF([1]AdventureDiscoveryGroup!$D$8:$AW$92,표1[[#This Row],[명칭]]),"-")</f>
        <v>0</v>
      </c>
      <c r="J1494" s="38">
        <f>IFERROR(COUNTIF([1]FishDiscoveryGroup!$A:$X,표1[[#This Row],[명칭]]),"-")</f>
        <v>0</v>
      </c>
      <c r="K1494" s="38" t="str">
        <f>IFERROR(COUNTIF([2]Town!$B:$B,표1[[#This Row],[명칭]]),"-")</f>
        <v>-</v>
      </c>
      <c r="L1494" s="38">
        <f>IFERROR(COUNTIF([1]Village!$BR:$BR,표1[[#This Row],[명칭]]),"-")</f>
        <v>0</v>
      </c>
      <c r="M1494" s="38">
        <f>COUNTIF(퀘스트!B:B,표1[[#This Row],[명칭]])</f>
        <v>0</v>
      </c>
      <c r="N1494" s="65">
        <f>COUNTIF([1]VillageDiscoveryGroup!$C:$C,표1[[#This Row],[명칭]])</f>
        <v>0</v>
      </c>
      <c r="O1494" s="65">
        <f>SUM(표1[[#This Row],[해양탐색]:[마을탐험]])</f>
        <v>0</v>
      </c>
    </row>
    <row r="1495" spans="2:15" ht="13.5" customHeight="1" x14ac:dyDescent="0.3">
      <c r="B1495" s="9">
        <f>[1]Discovery!A1501</f>
        <v>70411044</v>
      </c>
      <c r="C1495" s="9" t="str">
        <f>[1]Discovery!B1501</f>
        <v>슈웨다곤 파고다</v>
      </c>
      <c r="D1495" s="9" t="str">
        <f>[1]Discovery!E1501</f>
        <v>건축</v>
      </c>
      <c r="E1495" s="9" t="str">
        <f>[1]Discovery!C1501</f>
        <v>종교 건축물</v>
      </c>
      <c r="F1495" s="9" t="str">
        <f>[1]Discovery!G1501</f>
        <v>A</v>
      </c>
      <c r="G1495" s="9" t="str">
        <f>IFERROR(VLOOKUP(표1[[#This Row],[명칭]],'문화권 정리'!C:D,2,FALSE),"-")</f>
        <v>동남아시아</v>
      </c>
      <c r="H1495" s="38" t="str">
        <f>IFERROR(COUNTIF([2]OceanDoodad!$Y:$Y,표1[[#This Row],[명칭]]),"-")</f>
        <v>-</v>
      </c>
      <c r="I1495" s="38">
        <f>IFERROR(COUNTIF([1]AdventureDiscoveryGroup!$D$8:$AW$92,표1[[#This Row],[명칭]]),"-")</f>
        <v>0</v>
      </c>
      <c r="J1495" s="38">
        <f>IFERROR(COUNTIF([1]FishDiscoveryGroup!$A:$X,표1[[#This Row],[명칭]]),"-")</f>
        <v>0</v>
      </c>
      <c r="K1495" s="38" t="str">
        <f>IFERROR(COUNTIF([2]Town!$B:$B,표1[[#This Row],[명칭]]),"-")</f>
        <v>-</v>
      </c>
      <c r="L1495" s="38">
        <f>IFERROR(COUNTIF([1]Village!$BR:$BR,표1[[#This Row],[명칭]]),"-")</f>
        <v>0</v>
      </c>
      <c r="M1495" s="38">
        <f>COUNTIF(퀘스트!B:B,표1[[#This Row],[명칭]])</f>
        <v>0</v>
      </c>
      <c r="N1495" s="65">
        <f>COUNTIF([1]VillageDiscoveryGroup!$C:$C,표1[[#This Row],[명칭]])</f>
        <v>0</v>
      </c>
      <c r="O1495" s="65">
        <f>SUM(표1[[#This Row],[해양탐색]:[마을탐험]])</f>
        <v>0</v>
      </c>
    </row>
    <row r="1496" spans="2:15" ht="13.5" customHeight="1" x14ac:dyDescent="0.3">
      <c r="B1496" s="9">
        <f>[1]Discovery!A1502</f>
        <v>70411045</v>
      </c>
      <c r="C1496" s="9" t="str">
        <f>[1]Discovery!B1502</f>
        <v>사브라타 원형극장</v>
      </c>
      <c r="D1496" s="9" t="str">
        <f>[1]Discovery!E1502</f>
        <v>건축</v>
      </c>
      <c r="E1496" s="9" t="str">
        <f>[1]Discovery!C1502</f>
        <v>사적</v>
      </c>
      <c r="F1496" s="9" t="str">
        <f>[1]Discovery!G1502</f>
        <v>B</v>
      </c>
      <c r="G1496" s="9" t="str">
        <f>IFERROR(VLOOKUP(표1[[#This Row],[명칭]],'문화권 정리'!C:D,2,FALSE),"-")</f>
        <v>북아프리카</v>
      </c>
      <c r="H1496" s="38" t="str">
        <f>IFERROR(COUNTIF([2]OceanDoodad!$Y:$Y,표1[[#This Row],[명칭]]),"-")</f>
        <v>-</v>
      </c>
      <c r="I1496" s="38">
        <f>IFERROR(COUNTIF([1]AdventureDiscoveryGroup!$D$8:$AW$92,표1[[#This Row],[명칭]]),"-")</f>
        <v>0</v>
      </c>
      <c r="J1496" s="38">
        <f>IFERROR(COUNTIF([1]FishDiscoveryGroup!$A:$X,표1[[#This Row],[명칭]]),"-")</f>
        <v>0</v>
      </c>
      <c r="K1496" s="38" t="str">
        <f>IFERROR(COUNTIF([2]Town!$B:$B,표1[[#This Row],[명칭]]),"-")</f>
        <v>-</v>
      </c>
      <c r="L1496" s="38">
        <f>IFERROR(COUNTIF([1]Village!$BR:$BR,표1[[#This Row],[명칭]]),"-")</f>
        <v>0</v>
      </c>
      <c r="M1496" s="38">
        <f>COUNTIF(퀘스트!B:B,표1[[#This Row],[명칭]])</f>
        <v>0</v>
      </c>
      <c r="N1496" s="65">
        <f>COUNTIF([1]VillageDiscoveryGroup!$C:$C,표1[[#This Row],[명칭]])</f>
        <v>0</v>
      </c>
      <c r="O1496" s="65">
        <f>SUM(표1[[#This Row],[해양탐색]:[마을탐험]])</f>
        <v>0</v>
      </c>
    </row>
    <row r="1497" spans="2:15" ht="13.5" customHeight="1" x14ac:dyDescent="0.3">
      <c r="B1497" s="9">
        <f>[1]Discovery!A1503</f>
        <v>70411046</v>
      </c>
      <c r="C1497" s="9" t="str">
        <f>[1]Discovery!B1503</f>
        <v>베니함마드 요새 도시</v>
      </c>
      <c r="D1497" s="9" t="str">
        <f>[1]Discovery!E1503</f>
        <v>건축</v>
      </c>
      <c r="E1497" s="9" t="str">
        <f>[1]Discovery!C1503</f>
        <v>사적</v>
      </c>
      <c r="F1497" s="9" t="str">
        <f>[1]Discovery!G1503</f>
        <v>C</v>
      </c>
      <c r="G1497" s="9" t="str">
        <f>IFERROR(VLOOKUP(표1[[#This Row],[명칭]],'문화권 정리'!C:D,2,FALSE),"-")</f>
        <v>북아프리카</v>
      </c>
      <c r="H1497" s="38" t="str">
        <f>IFERROR(COUNTIF([2]OceanDoodad!$Y:$Y,표1[[#This Row],[명칭]]),"-")</f>
        <v>-</v>
      </c>
      <c r="I1497" s="38">
        <f>IFERROR(COUNTIF([1]AdventureDiscoveryGroup!$D$8:$AW$92,표1[[#This Row],[명칭]]),"-")</f>
        <v>0</v>
      </c>
      <c r="J1497" s="38">
        <f>IFERROR(COUNTIF([1]FishDiscoveryGroup!$A:$X,표1[[#This Row],[명칭]]),"-")</f>
        <v>0</v>
      </c>
      <c r="K1497" s="38" t="str">
        <f>IFERROR(COUNTIF([2]Town!$B:$B,표1[[#This Row],[명칭]]),"-")</f>
        <v>-</v>
      </c>
      <c r="L1497" s="38">
        <f>IFERROR(COUNTIF([1]Village!$BR:$BR,표1[[#This Row],[명칭]]),"-")</f>
        <v>0</v>
      </c>
      <c r="M1497" s="38">
        <f>COUNTIF(퀘스트!B:B,표1[[#This Row],[명칭]])</f>
        <v>0</v>
      </c>
      <c r="N1497" s="65">
        <f>COUNTIF([1]VillageDiscoveryGroup!$C:$C,표1[[#This Row],[명칭]])</f>
        <v>0</v>
      </c>
      <c r="O1497" s="65">
        <f>SUM(표1[[#This Row],[해양탐색]:[마을탐험]])</f>
        <v>0</v>
      </c>
    </row>
    <row r="1498" spans="2:15" ht="13.5" customHeight="1" x14ac:dyDescent="0.3">
      <c r="B1498" s="9">
        <f>[1]Discovery!A1504</f>
        <v>70411047</v>
      </c>
      <c r="C1498" s="9" t="str">
        <f>[1]Discovery!B1504</f>
        <v>젠네 모스크</v>
      </c>
      <c r="D1498" s="9" t="str">
        <f>[1]Discovery!E1504</f>
        <v>건축</v>
      </c>
      <c r="E1498" s="9" t="str">
        <f>[1]Discovery!C1504</f>
        <v>종교 건축물</v>
      </c>
      <c r="F1498" s="9" t="str">
        <f>[1]Discovery!G1504</f>
        <v>B</v>
      </c>
      <c r="G1498" s="9" t="str">
        <f>IFERROR(VLOOKUP(표1[[#This Row],[명칭]],'문화권 정리'!C:D,2,FALSE),"-")</f>
        <v>서아프리카</v>
      </c>
      <c r="H1498" s="38" t="str">
        <f>IFERROR(COUNTIF([2]OceanDoodad!$Y:$Y,표1[[#This Row],[명칭]]),"-")</f>
        <v>-</v>
      </c>
      <c r="I1498" s="38">
        <f>IFERROR(COUNTIF([1]AdventureDiscoveryGroup!$D$8:$AW$92,표1[[#This Row],[명칭]]),"-")</f>
        <v>0</v>
      </c>
      <c r="J1498" s="38">
        <f>IFERROR(COUNTIF([1]FishDiscoveryGroup!$A:$X,표1[[#This Row],[명칭]]),"-")</f>
        <v>0</v>
      </c>
      <c r="K1498" s="38" t="str">
        <f>IFERROR(COUNTIF([2]Town!$B:$B,표1[[#This Row],[명칭]]),"-")</f>
        <v>-</v>
      </c>
      <c r="L1498" s="38">
        <f>IFERROR(COUNTIF([1]Village!$BR:$BR,표1[[#This Row],[명칭]]),"-")</f>
        <v>0</v>
      </c>
      <c r="M1498" s="38">
        <f>COUNTIF(퀘스트!B:B,표1[[#This Row],[명칭]])</f>
        <v>0</v>
      </c>
      <c r="N1498" s="65">
        <f>COUNTIF([1]VillageDiscoveryGroup!$C:$C,표1[[#This Row],[명칭]])</f>
        <v>0</v>
      </c>
      <c r="O1498" s="65">
        <f>SUM(표1[[#This Row],[해양탐색]:[마을탐험]])</f>
        <v>0</v>
      </c>
    </row>
    <row r="1499" spans="2:15" ht="13.5" customHeight="1" x14ac:dyDescent="0.3">
      <c r="B1499" s="9">
        <f>[1]Discovery!A1505</f>
        <v>70411048</v>
      </c>
      <c r="C1499" s="9" t="str">
        <f>[1]Discovery!B1505</f>
        <v>페트라</v>
      </c>
      <c r="D1499" s="9" t="str">
        <f>[1]Discovery!E1505</f>
        <v>건축</v>
      </c>
      <c r="E1499" s="9" t="str">
        <f>[1]Discovery!C1505</f>
        <v>종교 건축물</v>
      </c>
      <c r="F1499" s="9" t="str">
        <f>[1]Discovery!G1505</f>
        <v>A</v>
      </c>
      <c r="G1499" s="9" t="str">
        <f>IFERROR(VLOOKUP(표1[[#This Row],[명칭]],'문화권 정리'!C:D,2,FALSE),"-")</f>
        <v>서남아시아</v>
      </c>
      <c r="H1499" s="38" t="str">
        <f>IFERROR(COUNTIF([2]OceanDoodad!$Y:$Y,표1[[#This Row],[명칭]]),"-")</f>
        <v>-</v>
      </c>
      <c r="I1499" s="38">
        <f>IFERROR(COUNTIF([1]AdventureDiscoveryGroup!$D$8:$AW$92,표1[[#This Row],[명칭]]),"-")</f>
        <v>0</v>
      </c>
      <c r="J1499" s="38">
        <f>IFERROR(COUNTIF([1]FishDiscoveryGroup!$A:$X,표1[[#This Row],[명칭]]),"-")</f>
        <v>0</v>
      </c>
      <c r="K1499" s="38" t="str">
        <f>IFERROR(COUNTIF([2]Town!$B:$B,표1[[#This Row],[명칭]]),"-")</f>
        <v>-</v>
      </c>
      <c r="L1499" s="38">
        <f>IFERROR(COUNTIF([1]Village!$BR:$BR,표1[[#This Row],[명칭]]),"-")</f>
        <v>0</v>
      </c>
      <c r="M1499" s="38">
        <f>COUNTIF(퀘스트!B:B,표1[[#This Row],[명칭]])</f>
        <v>0</v>
      </c>
      <c r="N1499" s="65">
        <f>COUNTIF([1]VillageDiscoveryGroup!$C:$C,표1[[#This Row],[명칭]])</f>
        <v>0</v>
      </c>
      <c r="O1499" s="65">
        <f>SUM(표1[[#This Row],[해양탐색]:[마을탐험]])</f>
        <v>0</v>
      </c>
    </row>
    <row r="1500" spans="2:15" ht="13.5" customHeight="1" x14ac:dyDescent="0.3">
      <c r="B1500" s="9">
        <f>[1]Discovery!A1506</f>
        <v>70411049</v>
      </c>
      <c r="C1500" s="9" t="str">
        <f>[1]Discovery!B1506</f>
        <v>필레 신전</v>
      </c>
      <c r="D1500" s="9" t="str">
        <f>[1]Discovery!E1506</f>
        <v>건축</v>
      </c>
      <c r="E1500" s="9" t="str">
        <f>[1]Discovery!C1506</f>
        <v>종교 건축물</v>
      </c>
      <c r="F1500" s="9" t="str">
        <f>[1]Discovery!G1506</f>
        <v>A</v>
      </c>
      <c r="G1500" s="9" t="str">
        <f>IFERROR(VLOOKUP(표1[[#This Row],[명칭]],'문화권 정리'!C:D,2,FALSE),"-")</f>
        <v>북아프리카</v>
      </c>
      <c r="H1500" s="38" t="str">
        <f>IFERROR(COUNTIF([2]OceanDoodad!$Y:$Y,표1[[#This Row],[명칭]]),"-")</f>
        <v>-</v>
      </c>
      <c r="I1500" s="38">
        <f>IFERROR(COUNTIF([1]AdventureDiscoveryGroup!$D$8:$AW$92,표1[[#This Row],[명칭]]),"-")</f>
        <v>0</v>
      </c>
      <c r="J1500" s="38">
        <f>IFERROR(COUNTIF([1]FishDiscoveryGroup!$A:$X,표1[[#This Row],[명칭]]),"-")</f>
        <v>0</v>
      </c>
      <c r="K1500" s="38" t="str">
        <f>IFERROR(COUNTIF([2]Town!$B:$B,표1[[#This Row],[명칭]]),"-")</f>
        <v>-</v>
      </c>
      <c r="L1500" s="38">
        <f>IFERROR(COUNTIF([1]Village!$BR:$BR,표1[[#This Row],[명칭]]),"-")</f>
        <v>0</v>
      </c>
      <c r="M1500" s="38">
        <f>COUNTIF(퀘스트!B:B,표1[[#This Row],[명칭]])</f>
        <v>0</v>
      </c>
      <c r="N1500" s="65">
        <f>COUNTIF([1]VillageDiscoveryGroup!$C:$C,표1[[#This Row],[명칭]])</f>
        <v>0</v>
      </c>
      <c r="O1500" s="65">
        <f>SUM(표1[[#This Row],[해양탐색]:[마을탐험]])</f>
        <v>0</v>
      </c>
    </row>
    <row r="1501" spans="2:15" ht="13.5" customHeight="1" x14ac:dyDescent="0.3">
      <c r="B1501" s="9">
        <f>[1]Discovery!A1507</f>
        <v>70411050</v>
      </c>
      <c r="C1501" s="9" t="str">
        <f>[1]Discovery!B1507</f>
        <v>반디아가라 절벽</v>
      </c>
      <c r="D1501" s="9" t="str">
        <f>[1]Discovery!E1507</f>
        <v>건축</v>
      </c>
      <c r="E1501" s="9" t="str">
        <f>[1]Discovery!C1507</f>
        <v>사적</v>
      </c>
      <c r="F1501" s="9" t="str">
        <f>[1]Discovery!G1507</f>
        <v>B</v>
      </c>
      <c r="G1501" s="9" t="str">
        <f>IFERROR(VLOOKUP(표1[[#This Row],[명칭]],'문화권 정리'!C:D,2,FALSE),"-")</f>
        <v>서아프리카</v>
      </c>
      <c r="H1501" s="38" t="str">
        <f>IFERROR(COUNTIF([2]OceanDoodad!$Y:$Y,표1[[#This Row],[명칭]]),"-")</f>
        <v>-</v>
      </c>
      <c r="I1501" s="38">
        <f>IFERROR(COUNTIF([1]AdventureDiscoveryGroup!$D$8:$AW$92,표1[[#This Row],[명칭]]),"-")</f>
        <v>0</v>
      </c>
      <c r="J1501" s="38">
        <f>IFERROR(COUNTIF([1]FishDiscoveryGroup!$A:$X,표1[[#This Row],[명칭]]),"-")</f>
        <v>0</v>
      </c>
      <c r="K1501" s="38" t="str">
        <f>IFERROR(COUNTIF([2]Town!$B:$B,표1[[#This Row],[명칭]]),"-")</f>
        <v>-</v>
      </c>
      <c r="L1501" s="38">
        <f>IFERROR(COUNTIF([1]Village!$BR:$BR,표1[[#This Row],[명칭]]),"-")</f>
        <v>0</v>
      </c>
      <c r="M1501" s="38">
        <f>COUNTIF(퀘스트!B:B,표1[[#This Row],[명칭]])</f>
        <v>0</v>
      </c>
      <c r="N1501" s="65">
        <f>COUNTIF([1]VillageDiscoveryGroup!$C:$C,표1[[#This Row],[명칭]])</f>
        <v>0</v>
      </c>
      <c r="O1501" s="65">
        <f>SUM(표1[[#This Row],[해양탐색]:[마을탐험]])</f>
        <v>0</v>
      </c>
    </row>
    <row r="1502" spans="2:15" ht="13.5" customHeight="1" x14ac:dyDescent="0.3">
      <c r="B1502" s="9">
        <f>[1]Discovery!A1508</f>
        <v>70412000</v>
      </c>
      <c r="C1502" s="9" t="str">
        <f>[1]Discovery!B1508</f>
        <v>고아</v>
      </c>
      <c r="D1502" s="9" t="str">
        <f>[1]Discovery!E1508</f>
        <v>건축</v>
      </c>
      <c r="E1502" s="9" t="str">
        <f>[1]Discovery!C1508</f>
        <v>항구</v>
      </c>
      <c r="F1502" s="9" t="str">
        <f>[1]Discovery!G1508</f>
        <v>D</v>
      </c>
      <c r="G1502" s="9" t="str">
        <f>IFERROR(VLOOKUP(표1[[#This Row],[명칭]],'문화권 정리'!C:D,2,FALSE),"-")</f>
        <v>항구</v>
      </c>
      <c r="H1502" s="38" t="str">
        <f>IFERROR(COUNTIF([2]OceanDoodad!$Y:$Y,표1[[#This Row],[명칭]]),"-")</f>
        <v>-</v>
      </c>
      <c r="I1502" s="38">
        <f>IFERROR(COUNTIF([1]AdventureDiscoveryGroup!$D$8:$AW$92,표1[[#This Row],[명칭]]),"-")</f>
        <v>0</v>
      </c>
      <c r="J1502" s="38">
        <f>IFERROR(COUNTIF([1]FishDiscoveryGroup!$A:$X,표1[[#This Row],[명칭]]),"-")</f>
        <v>0</v>
      </c>
      <c r="K1502" s="38" t="str">
        <f>IFERROR(COUNTIF([2]Town!$B:$B,표1[[#This Row],[명칭]]),"-")</f>
        <v>-</v>
      </c>
      <c r="L1502" s="38">
        <f>IFERROR(COUNTIF([1]Village!$BR:$BR,표1[[#This Row],[명칭]]),"-")</f>
        <v>0</v>
      </c>
      <c r="M1502" s="38">
        <f>COUNTIF(퀘스트!B:B,표1[[#This Row],[명칭]])</f>
        <v>0</v>
      </c>
      <c r="N1502" s="65">
        <f>COUNTIF([1]VillageDiscoveryGroup!$C:$C,표1[[#This Row],[명칭]])</f>
        <v>0</v>
      </c>
      <c r="O1502" s="65">
        <f>SUM(표1[[#This Row],[해양탐색]:[마을탐험]])</f>
        <v>0</v>
      </c>
    </row>
    <row r="1503" spans="2:15" ht="13.5" customHeight="1" x14ac:dyDescent="0.3">
      <c r="B1503" s="9">
        <f>[1]Discovery!A1509</f>
        <v>70412002</v>
      </c>
      <c r="C1503" s="9" t="str">
        <f>[1]Discovery!B1509</f>
        <v>과테말라</v>
      </c>
      <c r="D1503" s="9" t="str">
        <f>[1]Discovery!E1509</f>
        <v>건축</v>
      </c>
      <c r="E1503" s="9" t="str">
        <f>[1]Discovery!C1509</f>
        <v>항구</v>
      </c>
      <c r="F1503" s="9" t="str">
        <f>[1]Discovery!G1509</f>
        <v>D</v>
      </c>
      <c r="G1503" s="9" t="str">
        <f>IFERROR(VLOOKUP(표1[[#This Row],[명칭]],'문화권 정리'!C:D,2,FALSE),"-")</f>
        <v>항구</v>
      </c>
      <c r="H1503" s="38" t="str">
        <f>IFERROR(COUNTIF([2]OceanDoodad!$Y:$Y,표1[[#This Row],[명칭]]),"-")</f>
        <v>-</v>
      </c>
      <c r="I1503" s="38">
        <f>IFERROR(COUNTIF([1]AdventureDiscoveryGroup!$D$8:$AW$92,표1[[#This Row],[명칭]]),"-")</f>
        <v>0</v>
      </c>
      <c r="J1503" s="38">
        <f>IFERROR(COUNTIF([1]FishDiscoveryGroup!$A:$X,표1[[#This Row],[명칭]]),"-")</f>
        <v>0</v>
      </c>
      <c r="K1503" s="38" t="str">
        <f>IFERROR(COUNTIF([2]Town!$B:$B,표1[[#This Row],[명칭]]),"-")</f>
        <v>-</v>
      </c>
      <c r="L1503" s="38">
        <f>IFERROR(COUNTIF([1]Village!$BR:$BR,표1[[#This Row],[명칭]]),"-")</f>
        <v>0</v>
      </c>
      <c r="M1503" s="38">
        <f>COUNTIF(퀘스트!B:B,표1[[#This Row],[명칭]])</f>
        <v>0</v>
      </c>
      <c r="N1503" s="65">
        <f>COUNTIF([1]VillageDiscoveryGroup!$C:$C,표1[[#This Row],[명칭]])</f>
        <v>0</v>
      </c>
      <c r="O1503" s="65">
        <f>SUM(표1[[#This Row],[해양탐색]:[마을탐험]])</f>
        <v>0</v>
      </c>
    </row>
    <row r="1504" spans="2:15" ht="13.5" customHeight="1" x14ac:dyDescent="0.3">
      <c r="B1504" s="9">
        <f>[1]Discovery!A1510</f>
        <v>70412003</v>
      </c>
      <c r="C1504" s="9" t="str">
        <f>[1]Discovery!B1510</f>
        <v>하갓냐</v>
      </c>
      <c r="D1504" s="9" t="str">
        <f>[1]Discovery!E1510</f>
        <v>건축</v>
      </c>
      <c r="E1504" s="9" t="str">
        <f>[1]Discovery!C1510</f>
        <v>항구</v>
      </c>
      <c r="F1504" s="9" t="str">
        <f>[1]Discovery!G1510</f>
        <v>D</v>
      </c>
      <c r="G1504" s="9" t="str">
        <f>IFERROR(VLOOKUP(표1[[#This Row],[명칭]],'문화권 정리'!C:D,2,FALSE),"-")</f>
        <v>항구</v>
      </c>
      <c r="H1504" s="38" t="str">
        <f>IFERROR(COUNTIF([2]OceanDoodad!$Y:$Y,표1[[#This Row],[명칭]]),"-")</f>
        <v>-</v>
      </c>
      <c r="I1504" s="38">
        <f>IFERROR(COUNTIF([1]AdventureDiscoveryGroup!$D$8:$AW$92,표1[[#This Row],[명칭]]),"-")</f>
        <v>0</v>
      </c>
      <c r="J1504" s="38">
        <f>IFERROR(COUNTIF([1]FishDiscoveryGroup!$A:$X,표1[[#This Row],[명칭]]),"-")</f>
        <v>0</v>
      </c>
      <c r="K1504" s="38" t="str">
        <f>IFERROR(COUNTIF([2]Town!$B:$B,표1[[#This Row],[명칭]]),"-")</f>
        <v>-</v>
      </c>
      <c r="L1504" s="38">
        <f>IFERROR(COUNTIF([1]Village!$BR:$BR,표1[[#This Row],[명칭]]),"-")</f>
        <v>0</v>
      </c>
      <c r="M1504" s="38">
        <f>COUNTIF(퀘스트!B:B,표1[[#This Row],[명칭]])</f>
        <v>0</v>
      </c>
      <c r="N1504" s="65">
        <f>COUNTIF([1]VillageDiscoveryGroup!$C:$C,표1[[#This Row],[명칭]])</f>
        <v>0</v>
      </c>
      <c r="O1504" s="65">
        <f>SUM(표1[[#This Row],[해양탐색]:[마을탐험]])</f>
        <v>0</v>
      </c>
    </row>
    <row r="1505" spans="2:15" ht="13.5" customHeight="1" x14ac:dyDescent="0.3">
      <c r="B1505" s="9">
        <f>[1]Discovery!A1511</f>
        <v>70412004</v>
      </c>
      <c r="C1505" s="9" t="str">
        <f>[1]Discovery!B1511</f>
        <v>그단스크</v>
      </c>
      <c r="D1505" s="9" t="str">
        <f>[1]Discovery!E1511</f>
        <v>건축</v>
      </c>
      <c r="E1505" s="9" t="str">
        <f>[1]Discovery!C1511</f>
        <v>항구</v>
      </c>
      <c r="F1505" s="9" t="str">
        <f>[1]Discovery!G1511</f>
        <v>D</v>
      </c>
      <c r="G1505" s="9" t="str">
        <f>IFERROR(VLOOKUP(표1[[#This Row],[명칭]],'문화권 정리'!C:D,2,FALSE),"-")</f>
        <v>항구</v>
      </c>
      <c r="H1505" s="38" t="str">
        <f>IFERROR(COUNTIF([2]OceanDoodad!$Y:$Y,표1[[#This Row],[명칭]]),"-")</f>
        <v>-</v>
      </c>
      <c r="I1505" s="38">
        <f>IFERROR(COUNTIF([1]AdventureDiscoveryGroup!$D$8:$AW$92,표1[[#This Row],[명칭]]),"-")</f>
        <v>0</v>
      </c>
      <c r="J1505" s="38">
        <f>IFERROR(COUNTIF([1]FishDiscoveryGroup!$A:$X,표1[[#This Row],[명칭]]),"-")</f>
        <v>0</v>
      </c>
      <c r="K1505" s="38" t="str">
        <f>IFERROR(COUNTIF([2]Town!$B:$B,표1[[#This Row],[명칭]]),"-")</f>
        <v>-</v>
      </c>
      <c r="L1505" s="38">
        <f>IFERROR(COUNTIF([1]Village!$BR:$BR,표1[[#This Row],[명칭]]),"-")</f>
        <v>0</v>
      </c>
      <c r="M1505" s="38">
        <f>COUNTIF(퀘스트!B:B,표1[[#This Row],[명칭]])</f>
        <v>0</v>
      </c>
      <c r="N1505" s="65">
        <f>COUNTIF([1]VillageDiscoveryGroup!$C:$C,표1[[#This Row],[명칭]])</f>
        <v>0</v>
      </c>
      <c r="O1505" s="65">
        <f>SUM(표1[[#This Row],[해양탐색]:[마을탐험]])</f>
        <v>0</v>
      </c>
    </row>
    <row r="1506" spans="2:15" ht="13.5" customHeight="1" x14ac:dyDescent="0.3">
      <c r="B1506" s="9">
        <f>[1]Discovery!A1512</f>
        <v>70412005</v>
      </c>
      <c r="C1506" s="9" t="str">
        <f>[1]Discovery!B1512</f>
        <v>사우스사이드</v>
      </c>
      <c r="D1506" s="9" t="str">
        <f>[1]Discovery!E1512</f>
        <v>건축</v>
      </c>
      <c r="E1506" s="9" t="str">
        <f>[1]Discovery!C1512</f>
        <v>항구</v>
      </c>
      <c r="F1506" s="9" t="str">
        <f>[1]Discovery!G1512</f>
        <v>D</v>
      </c>
      <c r="G1506" s="9" t="str">
        <f>IFERROR(VLOOKUP(표1[[#This Row],[명칭]],'문화권 정리'!C:D,2,FALSE),"-")</f>
        <v>항구</v>
      </c>
      <c r="H1506" s="38" t="str">
        <f>IFERROR(COUNTIF([2]OceanDoodad!$Y:$Y,표1[[#This Row],[명칭]]),"-")</f>
        <v>-</v>
      </c>
      <c r="I1506" s="38">
        <f>IFERROR(COUNTIF([1]AdventureDiscoveryGroup!$D$8:$AW$92,표1[[#This Row],[명칭]]),"-")</f>
        <v>0</v>
      </c>
      <c r="J1506" s="38">
        <f>IFERROR(COUNTIF([1]FishDiscoveryGroup!$A:$X,표1[[#This Row],[명칭]]),"-")</f>
        <v>0</v>
      </c>
      <c r="K1506" s="38" t="str">
        <f>IFERROR(COUNTIF([2]Town!$B:$B,표1[[#This Row],[명칭]]),"-")</f>
        <v>-</v>
      </c>
      <c r="L1506" s="38">
        <f>IFERROR(COUNTIF([1]Village!$BR:$BR,표1[[#This Row],[명칭]]),"-")</f>
        <v>0</v>
      </c>
      <c r="M1506" s="38">
        <f>COUNTIF(퀘스트!B:B,표1[[#This Row],[명칭]])</f>
        <v>0</v>
      </c>
      <c r="N1506" s="65">
        <f>COUNTIF([1]VillageDiscoveryGroup!$C:$C,표1[[#This Row],[명칭]])</f>
        <v>0</v>
      </c>
      <c r="O1506" s="65">
        <f>SUM(표1[[#This Row],[해양탐색]:[마을탐험]])</f>
        <v>0</v>
      </c>
    </row>
    <row r="1507" spans="2:15" ht="13.5" customHeight="1" x14ac:dyDescent="0.3">
      <c r="B1507" s="9">
        <f>[1]Discovery!A1513</f>
        <v>70412006</v>
      </c>
      <c r="C1507" s="9" t="str">
        <f>[1]Discovery!B1513</f>
        <v>나가사키</v>
      </c>
      <c r="D1507" s="9" t="str">
        <f>[1]Discovery!E1513</f>
        <v>건축</v>
      </c>
      <c r="E1507" s="9" t="str">
        <f>[1]Discovery!C1513</f>
        <v>항구</v>
      </c>
      <c r="F1507" s="9" t="str">
        <f>[1]Discovery!G1513</f>
        <v>D</v>
      </c>
      <c r="G1507" s="9" t="str">
        <f>IFERROR(VLOOKUP(표1[[#This Row],[명칭]],'문화권 정리'!C:D,2,FALSE),"-")</f>
        <v>항구</v>
      </c>
      <c r="H1507" s="38" t="str">
        <f>IFERROR(COUNTIF([2]OceanDoodad!$Y:$Y,표1[[#This Row],[명칭]]),"-")</f>
        <v>-</v>
      </c>
      <c r="I1507" s="38">
        <f>IFERROR(COUNTIF([1]AdventureDiscoveryGroup!$D$8:$AW$92,표1[[#This Row],[명칭]]),"-")</f>
        <v>0</v>
      </c>
      <c r="J1507" s="38">
        <f>IFERROR(COUNTIF([1]FishDiscoveryGroup!$A:$X,표1[[#This Row],[명칭]]),"-")</f>
        <v>0</v>
      </c>
      <c r="K1507" s="38" t="str">
        <f>IFERROR(COUNTIF([2]Town!$B:$B,표1[[#This Row],[명칭]]),"-")</f>
        <v>-</v>
      </c>
      <c r="L1507" s="38">
        <f>IFERROR(COUNTIF([1]Village!$BR:$BR,표1[[#This Row],[명칭]]),"-")</f>
        <v>0</v>
      </c>
      <c r="M1507" s="38">
        <f>COUNTIF(퀘스트!B:B,표1[[#This Row],[명칭]])</f>
        <v>0</v>
      </c>
      <c r="N1507" s="65">
        <f>COUNTIF([1]VillageDiscoveryGroup!$C:$C,표1[[#This Row],[명칭]])</f>
        <v>0</v>
      </c>
      <c r="O1507" s="65">
        <f>SUM(표1[[#This Row],[해양탐색]:[마을탐험]])</f>
        <v>0</v>
      </c>
    </row>
    <row r="1508" spans="2:15" ht="13.5" customHeight="1" x14ac:dyDescent="0.3">
      <c r="B1508" s="9">
        <f>[1]Discovery!A1514</f>
        <v>70412007</v>
      </c>
      <c r="C1508" s="9" t="str">
        <f>[1]Discovery!B1514</f>
        <v>나탈</v>
      </c>
      <c r="D1508" s="9" t="str">
        <f>[1]Discovery!E1514</f>
        <v>건축</v>
      </c>
      <c r="E1508" s="9" t="str">
        <f>[1]Discovery!C1514</f>
        <v>항구</v>
      </c>
      <c r="F1508" s="9" t="str">
        <f>[1]Discovery!G1514</f>
        <v>D</v>
      </c>
      <c r="G1508" s="9" t="str">
        <f>IFERROR(VLOOKUP(표1[[#This Row],[명칭]],'문화권 정리'!C:D,2,FALSE),"-")</f>
        <v>항구</v>
      </c>
      <c r="H1508" s="38" t="str">
        <f>IFERROR(COUNTIF([2]OceanDoodad!$Y:$Y,표1[[#This Row],[명칭]]),"-")</f>
        <v>-</v>
      </c>
      <c r="I1508" s="38">
        <f>IFERROR(COUNTIF([1]AdventureDiscoveryGroup!$D$8:$AW$92,표1[[#This Row],[명칭]]),"-")</f>
        <v>0</v>
      </c>
      <c r="J1508" s="38">
        <f>IFERROR(COUNTIF([1]FishDiscoveryGroup!$A:$X,표1[[#This Row],[명칭]]),"-")</f>
        <v>0</v>
      </c>
      <c r="K1508" s="38" t="str">
        <f>IFERROR(COUNTIF([2]Town!$B:$B,표1[[#This Row],[명칭]]),"-")</f>
        <v>-</v>
      </c>
      <c r="L1508" s="38">
        <f>IFERROR(COUNTIF([1]Village!$BR:$BR,표1[[#This Row],[명칭]]),"-")</f>
        <v>0</v>
      </c>
      <c r="M1508" s="38">
        <f>COUNTIF(퀘스트!B:B,표1[[#This Row],[명칭]])</f>
        <v>0</v>
      </c>
      <c r="N1508" s="65">
        <f>COUNTIF([1]VillageDiscoveryGroup!$C:$C,표1[[#This Row],[명칭]])</f>
        <v>0</v>
      </c>
      <c r="O1508" s="65">
        <f>SUM(표1[[#This Row],[해양탐색]:[마을탐험]])</f>
        <v>0</v>
      </c>
    </row>
    <row r="1509" spans="2:15" ht="13.5" customHeight="1" x14ac:dyDescent="0.3">
      <c r="B1509" s="9">
        <f>[1]Discovery!A1515</f>
        <v>70412008</v>
      </c>
      <c r="C1509" s="9" t="str">
        <f>[1]Discovery!B1515</f>
        <v>나폴리</v>
      </c>
      <c r="D1509" s="9" t="str">
        <f>[1]Discovery!E1515</f>
        <v>건축</v>
      </c>
      <c r="E1509" s="9" t="str">
        <f>[1]Discovery!C1515</f>
        <v>항구</v>
      </c>
      <c r="F1509" s="9" t="str">
        <f>[1]Discovery!G1515</f>
        <v>D</v>
      </c>
      <c r="G1509" s="9" t="str">
        <f>IFERROR(VLOOKUP(표1[[#This Row],[명칭]],'문화권 정리'!C:D,2,FALSE),"-")</f>
        <v>항구</v>
      </c>
      <c r="H1509" s="38" t="str">
        <f>IFERROR(COUNTIF([2]OceanDoodad!$Y:$Y,표1[[#This Row],[명칭]]),"-")</f>
        <v>-</v>
      </c>
      <c r="I1509" s="38">
        <f>IFERROR(COUNTIF([1]AdventureDiscoveryGroup!$D$8:$AW$92,표1[[#This Row],[명칭]]),"-")</f>
        <v>0</v>
      </c>
      <c r="J1509" s="38">
        <f>IFERROR(COUNTIF([1]FishDiscoveryGroup!$A:$X,표1[[#This Row],[명칭]]),"-")</f>
        <v>0</v>
      </c>
      <c r="K1509" s="38" t="str">
        <f>IFERROR(COUNTIF([2]Town!$B:$B,표1[[#This Row],[명칭]]),"-")</f>
        <v>-</v>
      </c>
      <c r="L1509" s="38">
        <f>IFERROR(COUNTIF([1]Village!$BR:$BR,표1[[#This Row],[명칭]]),"-")</f>
        <v>0</v>
      </c>
      <c r="M1509" s="38">
        <f>COUNTIF(퀘스트!B:B,표1[[#This Row],[명칭]])</f>
        <v>0</v>
      </c>
      <c r="N1509" s="65">
        <f>COUNTIF([1]VillageDiscoveryGroup!$C:$C,표1[[#This Row],[명칭]])</f>
        <v>0</v>
      </c>
      <c r="O1509" s="65">
        <f>SUM(표1[[#This Row],[해양탐색]:[마을탐험]])</f>
        <v>0</v>
      </c>
    </row>
    <row r="1510" spans="2:15" ht="13.5" customHeight="1" x14ac:dyDescent="0.3">
      <c r="B1510" s="9">
        <f>[1]Discovery!A1516</f>
        <v>70412009</v>
      </c>
      <c r="C1510" s="9" t="str">
        <f>[1]Discovery!B1516</f>
        <v>낭트</v>
      </c>
      <c r="D1510" s="9" t="str">
        <f>[1]Discovery!E1516</f>
        <v>건축</v>
      </c>
      <c r="E1510" s="9" t="str">
        <f>[1]Discovery!C1516</f>
        <v>항구</v>
      </c>
      <c r="F1510" s="9" t="str">
        <f>[1]Discovery!G1516</f>
        <v>D</v>
      </c>
      <c r="G1510" s="9" t="str">
        <f>IFERROR(VLOOKUP(표1[[#This Row],[명칭]],'문화권 정리'!C:D,2,FALSE),"-")</f>
        <v>항구</v>
      </c>
      <c r="H1510" s="38" t="str">
        <f>IFERROR(COUNTIF([2]OceanDoodad!$Y:$Y,표1[[#This Row],[명칭]]),"-")</f>
        <v>-</v>
      </c>
      <c r="I1510" s="38">
        <f>IFERROR(COUNTIF([1]AdventureDiscoveryGroup!$D$8:$AW$92,표1[[#This Row],[명칭]]),"-")</f>
        <v>0</v>
      </c>
      <c r="J1510" s="38">
        <f>IFERROR(COUNTIF([1]FishDiscoveryGroup!$A:$X,표1[[#This Row],[명칭]]),"-")</f>
        <v>0</v>
      </c>
      <c r="K1510" s="38" t="str">
        <f>IFERROR(COUNTIF([2]Town!$B:$B,표1[[#This Row],[명칭]]),"-")</f>
        <v>-</v>
      </c>
      <c r="L1510" s="38">
        <f>IFERROR(COUNTIF([1]Village!$BR:$BR,표1[[#This Row],[명칭]]),"-")</f>
        <v>0</v>
      </c>
      <c r="M1510" s="38">
        <f>COUNTIF(퀘스트!B:B,표1[[#This Row],[명칭]])</f>
        <v>0</v>
      </c>
      <c r="N1510" s="65">
        <f>COUNTIF([1]VillageDiscoveryGroup!$C:$C,표1[[#This Row],[명칭]])</f>
        <v>0</v>
      </c>
      <c r="O1510" s="65">
        <f>SUM(표1[[#This Row],[해양탐색]:[마을탐험]])</f>
        <v>0</v>
      </c>
    </row>
    <row r="1511" spans="2:15" ht="13.5" customHeight="1" x14ac:dyDescent="0.3">
      <c r="B1511" s="9">
        <f>[1]Discovery!A1517</f>
        <v>70412010</v>
      </c>
      <c r="C1511" s="9" t="str">
        <f>[1]Discovery!B1517</f>
        <v>누탁</v>
      </c>
      <c r="D1511" s="9" t="str">
        <f>[1]Discovery!E1517</f>
        <v>건축</v>
      </c>
      <c r="E1511" s="9" t="str">
        <f>[1]Discovery!C1517</f>
        <v>항구</v>
      </c>
      <c r="F1511" s="9" t="str">
        <f>[1]Discovery!G1517</f>
        <v>D</v>
      </c>
      <c r="G1511" s="9" t="str">
        <f>IFERROR(VLOOKUP(표1[[#This Row],[명칭]],'문화권 정리'!C:D,2,FALSE),"-")</f>
        <v>항구</v>
      </c>
      <c r="H1511" s="38" t="str">
        <f>IFERROR(COUNTIF([2]OceanDoodad!$Y:$Y,표1[[#This Row],[명칭]]),"-")</f>
        <v>-</v>
      </c>
      <c r="I1511" s="38">
        <f>IFERROR(COUNTIF([1]AdventureDiscoveryGroup!$D$8:$AW$92,표1[[#This Row],[명칭]]),"-")</f>
        <v>0</v>
      </c>
      <c r="J1511" s="38">
        <f>IFERROR(COUNTIF([1]FishDiscoveryGroup!$A:$X,표1[[#This Row],[명칭]]),"-")</f>
        <v>0</v>
      </c>
      <c r="K1511" s="38" t="str">
        <f>IFERROR(COUNTIF([2]Town!$B:$B,표1[[#This Row],[명칭]]),"-")</f>
        <v>-</v>
      </c>
      <c r="L1511" s="38">
        <f>IFERROR(COUNTIF([1]Village!$BR:$BR,표1[[#This Row],[명칭]]),"-")</f>
        <v>0</v>
      </c>
      <c r="M1511" s="38">
        <f>COUNTIF(퀘스트!B:B,표1[[#This Row],[명칭]])</f>
        <v>0</v>
      </c>
      <c r="N1511" s="65">
        <f>COUNTIF([1]VillageDiscoveryGroup!$C:$C,표1[[#This Row],[명칭]])</f>
        <v>0</v>
      </c>
      <c r="O1511" s="65">
        <f>SUM(표1[[#This Row],[해양탐색]:[마을탐험]])</f>
        <v>0</v>
      </c>
    </row>
    <row r="1512" spans="2:15" ht="13.5" customHeight="1" x14ac:dyDescent="0.3">
      <c r="B1512" s="9">
        <f>[1]Discovery!A1518</f>
        <v>70412011</v>
      </c>
      <c r="C1512" s="9" t="str">
        <f>[1]Discovery!B1518</f>
        <v>레프코샤</v>
      </c>
      <c r="D1512" s="9" t="str">
        <f>[1]Discovery!E1518</f>
        <v>건축</v>
      </c>
      <c r="E1512" s="9" t="str">
        <f>[1]Discovery!C1518</f>
        <v>항구</v>
      </c>
      <c r="F1512" s="9" t="str">
        <f>[1]Discovery!G1518</f>
        <v>D</v>
      </c>
      <c r="G1512" s="9" t="str">
        <f>IFERROR(VLOOKUP(표1[[#This Row],[명칭]],'문화권 정리'!C:D,2,FALSE),"-")</f>
        <v>항구</v>
      </c>
      <c r="H1512" s="38" t="str">
        <f>IFERROR(COUNTIF([2]OceanDoodad!$Y:$Y,표1[[#This Row],[명칭]]),"-")</f>
        <v>-</v>
      </c>
      <c r="I1512" s="38">
        <f>IFERROR(COUNTIF([1]AdventureDiscoveryGroup!$D$8:$AW$92,표1[[#This Row],[명칭]]),"-")</f>
        <v>0</v>
      </c>
      <c r="J1512" s="38">
        <f>IFERROR(COUNTIF([1]FishDiscoveryGroup!$A:$X,표1[[#This Row],[명칭]]),"-")</f>
        <v>0</v>
      </c>
      <c r="K1512" s="38" t="str">
        <f>IFERROR(COUNTIF([2]Town!$B:$B,표1[[#This Row],[명칭]]),"-")</f>
        <v>-</v>
      </c>
      <c r="L1512" s="38">
        <f>IFERROR(COUNTIF([1]Village!$BR:$BR,표1[[#This Row],[명칭]]),"-")</f>
        <v>0</v>
      </c>
      <c r="M1512" s="38">
        <f>COUNTIF(퀘스트!B:B,표1[[#This Row],[명칭]])</f>
        <v>0</v>
      </c>
      <c r="N1512" s="65">
        <f>COUNTIF([1]VillageDiscoveryGroup!$C:$C,표1[[#This Row],[명칭]])</f>
        <v>0</v>
      </c>
      <c r="O1512" s="65">
        <f>SUM(표1[[#This Row],[해양탐색]:[마을탐험]])</f>
        <v>0</v>
      </c>
    </row>
    <row r="1513" spans="2:15" ht="13.5" customHeight="1" x14ac:dyDescent="0.3">
      <c r="B1513" s="9">
        <f>[1]Discovery!A1519</f>
        <v>70412012</v>
      </c>
      <c r="C1513" s="9" t="str">
        <f>[1]Discovery!B1519</f>
        <v>다바오</v>
      </c>
      <c r="D1513" s="9" t="str">
        <f>[1]Discovery!E1519</f>
        <v>건축</v>
      </c>
      <c r="E1513" s="9" t="str">
        <f>[1]Discovery!C1519</f>
        <v>항구</v>
      </c>
      <c r="F1513" s="9" t="str">
        <f>[1]Discovery!G1519</f>
        <v>D</v>
      </c>
      <c r="G1513" s="9" t="str">
        <f>IFERROR(VLOOKUP(표1[[#This Row],[명칭]],'문화권 정리'!C:D,2,FALSE),"-")</f>
        <v>항구</v>
      </c>
      <c r="H1513" s="38" t="str">
        <f>IFERROR(COUNTIF([2]OceanDoodad!$Y:$Y,표1[[#This Row],[명칭]]),"-")</f>
        <v>-</v>
      </c>
      <c r="I1513" s="38">
        <f>IFERROR(COUNTIF([1]AdventureDiscoveryGroup!$D$8:$AW$92,표1[[#This Row],[명칭]]),"-")</f>
        <v>0</v>
      </c>
      <c r="J1513" s="38">
        <f>IFERROR(COUNTIF([1]FishDiscoveryGroup!$A:$X,표1[[#This Row],[명칭]]),"-")</f>
        <v>0</v>
      </c>
      <c r="K1513" s="38" t="str">
        <f>IFERROR(COUNTIF([2]Town!$B:$B,표1[[#This Row],[명칭]]),"-")</f>
        <v>-</v>
      </c>
      <c r="L1513" s="38">
        <f>IFERROR(COUNTIF([1]Village!$BR:$BR,표1[[#This Row],[명칭]]),"-")</f>
        <v>0</v>
      </c>
      <c r="M1513" s="38">
        <f>COUNTIF(퀘스트!B:B,표1[[#This Row],[명칭]])</f>
        <v>0</v>
      </c>
      <c r="N1513" s="65">
        <f>COUNTIF([1]VillageDiscoveryGroup!$C:$C,표1[[#This Row],[명칭]])</f>
        <v>0</v>
      </c>
      <c r="O1513" s="65">
        <f>SUM(표1[[#This Row],[해양탐색]:[마을탐험]])</f>
        <v>0</v>
      </c>
    </row>
    <row r="1514" spans="2:15" ht="13.5" customHeight="1" x14ac:dyDescent="0.3">
      <c r="B1514" s="9">
        <f>[1]Discovery!A1520</f>
        <v>70412013</v>
      </c>
      <c r="C1514" s="9" t="str">
        <f>[1]Discovery!B1520</f>
        <v>호베</v>
      </c>
      <c r="D1514" s="9" t="str">
        <f>[1]Discovery!E1520</f>
        <v>건축</v>
      </c>
      <c r="E1514" s="9" t="str">
        <f>[1]Discovery!C1520</f>
        <v>항구</v>
      </c>
      <c r="F1514" s="9" t="str">
        <f>[1]Discovery!G1520</f>
        <v>D</v>
      </c>
      <c r="G1514" s="9" t="str">
        <f>IFERROR(VLOOKUP(표1[[#This Row],[명칭]],'문화권 정리'!C:D,2,FALSE),"-")</f>
        <v>항구</v>
      </c>
      <c r="H1514" s="38" t="str">
        <f>IFERROR(COUNTIF([2]OceanDoodad!$Y:$Y,표1[[#This Row],[명칭]]),"-")</f>
        <v>-</v>
      </c>
      <c r="I1514" s="38">
        <f>IFERROR(COUNTIF([1]AdventureDiscoveryGroup!$D$8:$AW$92,표1[[#This Row],[명칭]]),"-")</f>
        <v>0</v>
      </c>
      <c r="J1514" s="38">
        <f>IFERROR(COUNTIF([1]FishDiscoveryGroup!$A:$X,표1[[#This Row],[명칭]]),"-")</f>
        <v>0</v>
      </c>
      <c r="K1514" s="38" t="str">
        <f>IFERROR(COUNTIF([2]Town!$B:$B,표1[[#This Row],[명칭]]),"-")</f>
        <v>-</v>
      </c>
      <c r="L1514" s="38">
        <f>IFERROR(COUNTIF([1]Village!$BR:$BR,표1[[#This Row],[명칭]]),"-")</f>
        <v>0</v>
      </c>
      <c r="M1514" s="38">
        <f>COUNTIF(퀘스트!B:B,표1[[#This Row],[명칭]])</f>
        <v>0</v>
      </c>
      <c r="N1514" s="65">
        <f>COUNTIF([1]VillageDiscoveryGroup!$C:$C,표1[[#This Row],[명칭]])</f>
        <v>0</v>
      </c>
      <c r="O1514" s="65">
        <f>SUM(표1[[#This Row],[해양탐색]:[마을탐험]])</f>
        <v>0</v>
      </c>
    </row>
    <row r="1515" spans="2:15" ht="13.5" customHeight="1" x14ac:dyDescent="0.3">
      <c r="B1515" s="9">
        <f>[1]Discovery!A1521</f>
        <v>70412014</v>
      </c>
      <c r="C1515" s="9" t="str">
        <f>[1]Discovery!B1521</f>
        <v>두블린</v>
      </c>
      <c r="D1515" s="9" t="str">
        <f>[1]Discovery!E1521</f>
        <v>건축</v>
      </c>
      <c r="E1515" s="9" t="str">
        <f>[1]Discovery!C1521</f>
        <v>항구</v>
      </c>
      <c r="F1515" s="9" t="str">
        <f>[1]Discovery!G1521</f>
        <v>D</v>
      </c>
      <c r="G1515" s="9" t="str">
        <f>IFERROR(VLOOKUP(표1[[#This Row],[명칭]],'문화권 정리'!C:D,2,FALSE),"-")</f>
        <v>항구</v>
      </c>
      <c r="H1515" s="38" t="str">
        <f>IFERROR(COUNTIF([2]OceanDoodad!$Y:$Y,표1[[#This Row],[명칭]]),"-")</f>
        <v>-</v>
      </c>
      <c r="I1515" s="38">
        <f>IFERROR(COUNTIF([1]AdventureDiscoveryGroup!$D$8:$AW$92,표1[[#This Row],[명칭]]),"-")</f>
        <v>0</v>
      </c>
      <c r="J1515" s="38">
        <f>IFERROR(COUNTIF([1]FishDiscoveryGroup!$A:$X,표1[[#This Row],[명칭]]),"-")</f>
        <v>0</v>
      </c>
      <c r="K1515" s="38" t="str">
        <f>IFERROR(COUNTIF([2]Town!$B:$B,표1[[#This Row],[명칭]]),"-")</f>
        <v>-</v>
      </c>
      <c r="L1515" s="38">
        <f>IFERROR(COUNTIF([1]Village!$BR:$BR,표1[[#This Row],[명칭]]),"-")</f>
        <v>0</v>
      </c>
      <c r="M1515" s="38">
        <f>COUNTIF(퀘스트!B:B,표1[[#This Row],[명칭]])</f>
        <v>0</v>
      </c>
      <c r="N1515" s="65">
        <f>COUNTIF([1]VillageDiscoveryGroup!$C:$C,표1[[#This Row],[명칭]])</f>
        <v>0</v>
      </c>
      <c r="O1515" s="65">
        <f>SUM(표1[[#This Row],[해양탐색]:[마을탐험]])</f>
        <v>0</v>
      </c>
    </row>
    <row r="1516" spans="2:15" ht="13.5" customHeight="1" x14ac:dyDescent="0.3">
      <c r="B1516" s="9">
        <f>[1]Discovery!A1522</f>
        <v>70412015</v>
      </c>
      <c r="C1516" s="9" t="str">
        <f>[1]Discovery!B1522</f>
        <v>덕원</v>
      </c>
      <c r="D1516" s="9" t="str">
        <f>[1]Discovery!E1522</f>
        <v>건축</v>
      </c>
      <c r="E1516" s="9" t="str">
        <f>[1]Discovery!C1522</f>
        <v>항구</v>
      </c>
      <c r="F1516" s="9" t="str">
        <f>[1]Discovery!G1522</f>
        <v>D</v>
      </c>
      <c r="G1516" s="9" t="str">
        <f>IFERROR(VLOOKUP(표1[[#This Row],[명칭]],'문화권 정리'!C:D,2,FALSE),"-")</f>
        <v>항구</v>
      </c>
      <c r="H1516" s="38" t="str">
        <f>IFERROR(COUNTIF([2]OceanDoodad!$Y:$Y,표1[[#This Row],[명칭]]),"-")</f>
        <v>-</v>
      </c>
      <c r="I1516" s="38">
        <f>IFERROR(COUNTIF([1]AdventureDiscoveryGroup!$D$8:$AW$92,표1[[#This Row],[명칭]]),"-")</f>
        <v>0</v>
      </c>
      <c r="J1516" s="38">
        <f>IFERROR(COUNTIF([1]FishDiscoveryGroup!$A:$X,표1[[#This Row],[명칭]]),"-")</f>
        <v>0</v>
      </c>
      <c r="K1516" s="38" t="str">
        <f>IFERROR(COUNTIF([2]Town!$B:$B,표1[[#This Row],[명칭]]),"-")</f>
        <v>-</v>
      </c>
      <c r="L1516" s="38">
        <f>IFERROR(COUNTIF([1]Village!$BR:$BR,표1[[#This Row],[명칭]]),"-")</f>
        <v>0</v>
      </c>
      <c r="M1516" s="38">
        <f>COUNTIF(퀘스트!B:B,표1[[#This Row],[명칭]])</f>
        <v>0</v>
      </c>
      <c r="N1516" s="65">
        <f>COUNTIF([1]VillageDiscoveryGroup!$C:$C,표1[[#This Row],[명칭]])</f>
        <v>0</v>
      </c>
      <c r="O1516" s="65">
        <f>SUM(표1[[#This Row],[해양탐색]:[마을탐험]])</f>
        <v>0</v>
      </c>
    </row>
    <row r="1517" spans="2:15" ht="13.5" customHeight="1" x14ac:dyDescent="0.3">
      <c r="B1517" s="9">
        <f>[1]Discovery!A1523</f>
        <v>70412016</v>
      </c>
      <c r="C1517" s="9" t="str">
        <f>[1]Discovery!B1523</f>
        <v>덴헬데르</v>
      </c>
      <c r="D1517" s="9" t="str">
        <f>[1]Discovery!E1523</f>
        <v>건축</v>
      </c>
      <c r="E1517" s="9" t="str">
        <f>[1]Discovery!C1523</f>
        <v>항구</v>
      </c>
      <c r="F1517" s="9" t="str">
        <f>[1]Discovery!G1523</f>
        <v>D</v>
      </c>
      <c r="G1517" s="9" t="str">
        <f>IFERROR(VLOOKUP(표1[[#This Row],[명칭]],'문화권 정리'!C:D,2,FALSE),"-")</f>
        <v>항구</v>
      </c>
      <c r="H1517" s="38" t="str">
        <f>IFERROR(COUNTIF([2]OceanDoodad!$Y:$Y,표1[[#This Row],[명칭]]),"-")</f>
        <v>-</v>
      </c>
      <c r="I1517" s="38">
        <f>IFERROR(COUNTIF([1]AdventureDiscoveryGroup!$D$8:$AW$92,표1[[#This Row],[명칭]]),"-")</f>
        <v>0</v>
      </c>
      <c r="J1517" s="38">
        <f>IFERROR(COUNTIF([1]FishDiscoveryGroup!$A:$X,표1[[#This Row],[명칭]]),"-")</f>
        <v>0</v>
      </c>
      <c r="K1517" s="38" t="str">
        <f>IFERROR(COUNTIF([2]Town!$B:$B,표1[[#This Row],[명칭]]),"-")</f>
        <v>-</v>
      </c>
      <c r="L1517" s="38">
        <f>IFERROR(COUNTIF([1]Village!$BR:$BR,표1[[#This Row],[명칭]]),"-")</f>
        <v>0</v>
      </c>
      <c r="M1517" s="38">
        <f>COUNTIF(퀘스트!B:B,표1[[#This Row],[명칭]])</f>
        <v>0</v>
      </c>
      <c r="N1517" s="65">
        <f>COUNTIF([1]VillageDiscoveryGroup!$C:$C,표1[[#This Row],[명칭]])</f>
        <v>0</v>
      </c>
      <c r="O1517" s="65">
        <f>SUM(표1[[#This Row],[해양탐색]:[마을탐험]])</f>
        <v>0</v>
      </c>
    </row>
    <row r="1518" spans="2:15" ht="13.5" customHeight="1" x14ac:dyDescent="0.3">
      <c r="B1518" s="9">
        <f>[1]Discovery!A1524</f>
        <v>70412017</v>
      </c>
      <c r="C1518" s="9" t="str">
        <f>[1]Discovery!B1524</f>
        <v>도버</v>
      </c>
      <c r="D1518" s="9" t="str">
        <f>[1]Discovery!E1524</f>
        <v>건축</v>
      </c>
      <c r="E1518" s="9" t="str">
        <f>[1]Discovery!C1524</f>
        <v>항구</v>
      </c>
      <c r="F1518" s="9" t="str">
        <f>[1]Discovery!G1524</f>
        <v>D</v>
      </c>
      <c r="G1518" s="9" t="str">
        <f>IFERROR(VLOOKUP(표1[[#This Row],[명칭]],'문화권 정리'!C:D,2,FALSE),"-")</f>
        <v>항구</v>
      </c>
      <c r="H1518" s="38" t="str">
        <f>IFERROR(COUNTIF([2]OceanDoodad!$Y:$Y,표1[[#This Row],[명칭]]),"-")</f>
        <v>-</v>
      </c>
      <c r="I1518" s="38">
        <f>IFERROR(COUNTIF([1]AdventureDiscoveryGroup!$D$8:$AW$92,표1[[#This Row],[명칭]]),"-")</f>
        <v>0</v>
      </c>
      <c r="J1518" s="38">
        <f>IFERROR(COUNTIF([1]FishDiscoveryGroup!$A:$X,표1[[#This Row],[명칭]]),"-")</f>
        <v>0</v>
      </c>
      <c r="K1518" s="38" t="str">
        <f>IFERROR(COUNTIF([2]Town!$B:$B,표1[[#This Row],[명칭]]),"-")</f>
        <v>-</v>
      </c>
      <c r="L1518" s="38">
        <f>IFERROR(COUNTIF([1]Village!$BR:$BR,표1[[#This Row],[명칭]]),"-")</f>
        <v>0</v>
      </c>
      <c r="M1518" s="38">
        <f>COUNTIF(퀘스트!B:B,표1[[#This Row],[명칭]])</f>
        <v>0</v>
      </c>
      <c r="N1518" s="65">
        <f>COUNTIF([1]VillageDiscoveryGroup!$C:$C,표1[[#This Row],[명칭]])</f>
        <v>0</v>
      </c>
      <c r="O1518" s="65">
        <f>SUM(표1[[#This Row],[해양탐색]:[마을탐험]])</f>
        <v>0</v>
      </c>
    </row>
    <row r="1519" spans="2:15" ht="13.5" customHeight="1" x14ac:dyDescent="0.3">
      <c r="B1519" s="9">
        <f>[1]Discovery!A1525</f>
        <v>70412018</v>
      </c>
      <c r="C1519" s="9" t="str">
        <f>[1]Discovery!B1525</f>
        <v>도파르</v>
      </c>
      <c r="D1519" s="9" t="str">
        <f>[1]Discovery!E1525</f>
        <v>건축</v>
      </c>
      <c r="E1519" s="9" t="str">
        <f>[1]Discovery!C1525</f>
        <v>항구</v>
      </c>
      <c r="F1519" s="9" t="str">
        <f>[1]Discovery!G1525</f>
        <v>D</v>
      </c>
      <c r="G1519" s="9" t="str">
        <f>IFERROR(VLOOKUP(표1[[#This Row],[명칭]],'문화권 정리'!C:D,2,FALSE),"-")</f>
        <v>항구</v>
      </c>
      <c r="H1519" s="38" t="str">
        <f>IFERROR(COUNTIF([2]OceanDoodad!$Y:$Y,표1[[#This Row],[명칭]]),"-")</f>
        <v>-</v>
      </c>
      <c r="I1519" s="38">
        <f>IFERROR(COUNTIF([1]AdventureDiscoveryGroup!$D$8:$AW$92,표1[[#This Row],[명칭]]),"-")</f>
        <v>0</v>
      </c>
      <c r="J1519" s="38">
        <f>IFERROR(COUNTIF([1]FishDiscoveryGroup!$A:$X,표1[[#This Row],[명칭]]),"-")</f>
        <v>0</v>
      </c>
      <c r="K1519" s="38" t="str">
        <f>IFERROR(COUNTIF([2]Town!$B:$B,표1[[#This Row],[명칭]]),"-")</f>
        <v>-</v>
      </c>
      <c r="L1519" s="38">
        <f>IFERROR(COUNTIF([1]Village!$BR:$BR,표1[[#This Row],[명칭]]),"-")</f>
        <v>0</v>
      </c>
      <c r="M1519" s="38">
        <f>COUNTIF(퀘스트!B:B,표1[[#This Row],[명칭]])</f>
        <v>0</v>
      </c>
      <c r="N1519" s="65">
        <f>COUNTIF([1]VillageDiscoveryGroup!$C:$C,표1[[#This Row],[명칭]])</f>
        <v>0</v>
      </c>
      <c r="O1519" s="65">
        <f>SUM(표1[[#This Row],[해양탐색]:[마을탐험]])</f>
        <v>0</v>
      </c>
    </row>
    <row r="1520" spans="2:15" ht="13.5" customHeight="1" x14ac:dyDescent="0.3">
      <c r="B1520" s="9">
        <f>[1]Discovery!A1526</f>
        <v>70412019</v>
      </c>
      <c r="C1520" s="9" t="str">
        <f>[1]Discovery!B1526</f>
        <v>동래</v>
      </c>
      <c r="D1520" s="9" t="str">
        <f>[1]Discovery!E1526</f>
        <v>건축</v>
      </c>
      <c r="E1520" s="9" t="str">
        <f>[1]Discovery!C1526</f>
        <v>항구</v>
      </c>
      <c r="F1520" s="9" t="str">
        <f>[1]Discovery!G1526</f>
        <v>D</v>
      </c>
      <c r="G1520" s="9" t="str">
        <f>IFERROR(VLOOKUP(표1[[#This Row],[명칭]],'문화권 정리'!C:D,2,FALSE),"-")</f>
        <v>항구</v>
      </c>
      <c r="H1520" s="38" t="str">
        <f>IFERROR(COUNTIF([2]OceanDoodad!$Y:$Y,표1[[#This Row],[명칭]]),"-")</f>
        <v>-</v>
      </c>
      <c r="I1520" s="38">
        <f>IFERROR(COUNTIF([1]AdventureDiscoveryGroup!$D$8:$AW$92,표1[[#This Row],[명칭]]),"-")</f>
        <v>0</v>
      </c>
      <c r="J1520" s="38">
        <f>IFERROR(COUNTIF([1]FishDiscoveryGroup!$A:$X,표1[[#This Row],[명칭]]),"-")</f>
        <v>0</v>
      </c>
      <c r="K1520" s="38" t="str">
        <f>IFERROR(COUNTIF([2]Town!$B:$B,표1[[#This Row],[명칭]]),"-")</f>
        <v>-</v>
      </c>
      <c r="L1520" s="38">
        <f>IFERROR(COUNTIF([1]Village!$BR:$BR,표1[[#This Row],[명칭]]),"-")</f>
        <v>0</v>
      </c>
      <c r="M1520" s="38">
        <f>COUNTIF(퀘스트!B:B,표1[[#This Row],[명칭]])</f>
        <v>0</v>
      </c>
      <c r="N1520" s="65">
        <f>COUNTIF([1]VillageDiscoveryGroup!$C:$C,표1[[#This Row],[명칭]])</f>
        <v>0</v>
      </c>
      <c r="O1520" s="65">
        <f>SUM(표1[[#This Row],[해양탐색]:[마을탐험]])</f>
        <v>0</v>
      </c>
    </row>
    <row r="1521" spans="2:15" ht="13.5" customHeight="1" x14ac:dyDescent="0.3">
      <c r="B1521" s="9">
        <f>[1]Discovery!A1527</f>
        <v>70412020</v>
      </c>
      <c r="C1521" s="9" t="str">
        <f>[1]Discovery!B1527</f>
        <v>두알라</v>
      </c>
      <c r="D1521" s="9" t="str">
        <f>[1]Discovery!E1527</f>
        <v>건축</v>
      </c>
      <c r="E1521" s="9" t="str">
        <f>[1]Discovery!C1527</f>
        <v>항구</v>
      </c>
      <c r="F1521" s="9" t="str">
        <f>[1]Discovery!G1527</f>
        <v>D</v>
      </c>
      <c r="G1521" s="9" t="str">
        <f>IFERROR(VLOOKUP(표1[[#This Row],[명칭]],'문화권 정리'!C:D,2,FALSE),"-")</f>
        <v>항구</v>
      </c>
      <c r="H1521" s="38" t="str">
        <f>IFERROR(COUNTIF([2]OceanDoodad!$Y:$Y,표1[[#This Row],[명칭]]),"-")</f>
        <v>-</v>
      </c>
      <c r="I1521" s="38">
        <f>IFERROR(COUNTIF([1]AdventureDiscoveryGroup!$D$8:$AW$92,표1[[#This Row],[명칭]]),"-")</f>
        <v>0</v>
      </c>
      <c r="J1521" s="38">
        <f>IFERROR(COUNTIF([1]FishDiscoveryGroup!$A:$X,표1[[#This Row],[명칭]]),"-")</f>
        <v>0</v>
      </c>
      <c r="K1521" s="38" t="str">
        <f>IFERROR(COUNTIF([2]Town!$B:$B,표1[[#This Row],[명칭]]),"-")</f>
        <v>-</v>
      </c>
      <c r="L1521" s="38">
        <f>IFERROR(COUNTIF([1]Village!$BR:$BR,표1[[#This Row],[명칭]]),"-")</f>
        <v>0</v>
      </c>
      <c r="M1521" s="38">
        <f>COUNTIF(퀘스트!B:B,표1[[#This Row],[명칭]])</f>
        <v>0</v>
      </c>
      <c r="N1521" s="65">
        <f>COUNTIF([1]VillageDiscoveryGroup!$C:$C,표1[[#This Row],[명칭]])</f>
        <v>0</v>
      </c>
      <c r="O1521" s="65">
        <f>SUM(표1[[#This Row],[해양탐색]:[마을탐험]])</f>
        <v>0</v>
      </c>
    </row>
    <row r="1522" spans="2:15" ht="13.5" customHeight="1" x14ac:dyDescent="0.3">
      <c r="B1522" s="9">
        <f>[1]Discovery!A1528</f>
        <v>70412021</v>
      </c>
      <c r="C1522" s="9" t="str">
        <f>[1]Discovery!B1528</f>
        <v>디우</v>
      </c>
      <c r="D1522" s="9" t="str">
        <f>[1]Discovery!E1528</f>
        <v>건축</v>
      </c>
      <c r="E1522" s="9" t="str">
        <f>[1]Discovery!C1528</f>
        <v>항구</v>
      </c>
      <c r="F1522" s="9" t="str">
        <f>[1]Discovery!G1528</f>
        <v>D</v>
      </c>
      <c r="G1522" s="9" t="str">
        <f>IFERROR(VLOOKUP(표1[[#This Row],[명칭]],'문화권 정리'!C:D,2,FALSE),"-")</f>
        <v>항구</v>
      </c>
      <c r="H1522" s="38" t="str">
        <f>IFERROR(COUNTIF([2]OceanDoodad!$Y:$Y,표1[[#This Row],[명칭]]),"-")</f>
        <v>-</v>
      </c>
      <c r="I1522" s="38">
        <f>IFERROR(COUNTIF([1]AdventureDiscoveryGroup!$D$8:$AW$92,표1[[#This Row],[명칭]]),"-")</f>
        <v>0</v>
      </c>
      <c r="J1522" s="38">
        <f>IFERROR(COUNTIF([1]FishDiscoveryGroup!$A:$X,표1[[#This Row],[명칭]]),"-")</f>
        <v>0</v>
      </c>
      <c r="K1522" s="38" t="str">
        <f>IFERROR(COUNTIF([2]Town!$B:$B,표1[[#This Row],[명칭]]),"-")</f>
        <v>-</v>
      </c>
      <c r="L1522" s="38">
        <f>IFERROR(COUNTIF([1]Village!$BR:$BR,표1[[#This Row],[명칭]]),"-")</f>
        <v>0</v>
      </c>
      <c r="M1522" s="38">
        <f>COUNTIF(퀘스트!B:B,표1[[#This Row],[명칭]])</f>
        <v>0</v>
      </c>
      <c r="N1522" s="65">
        <f>COUNTIF([1]VillageDiscoveryGroup!$C:$C,표1[[#This Row],[명칭]])</f>
        <v>0</v>
      </c>
      <c r="O1522" s="65">
        <f>SUM(표1[[#This Row],[해양탐색]:[마을탐험]])</f>
        <v>0</v>
      </c>
    </row>
    <row r="1523" spans="2:15" ht="13.5" customHeight="1" x14ac:dyDescent="0.3">
      <c r="B1523" s="9">
        <f>[1]Discovery!A1529</f>
        <v>70412022</v>
      </c>
      <c r="C1523" s="9" t="str">
        <f>[1]Discovery!B1529</f>
        <v>딕손</v>
      </c>
      <c r="D1523" s="9" t="str">
        <f>[1]Discovery!E1529</f>
        <v>건축</v>
      </c>
      <c r="E1523" s="9" t="str">
        <f>[1]Discovery!C1529</f>
        <v>항구</v>
      </c>
      <c r="F1523" s="9" t="str">
        <f>[1]Discovery!G1529</f>
        <v>D</v>
      </c>
      <c r="G1523" s="9" t="str">
        <f>IFERROR(VLOOKUP(표1[[#This Row],[명칭]],'문화권 정리'!C:D,2,FALSE),"-")</f>
        <v>항구</v>
      </c>
      <c r="H1523" s="38" t="str">
        <f>IFERROR(COUNTIF([2]OceanDoodad!$Y:$Y,표1[[#This Row],[명칭]]),"-")</f>
        <v>-</v>
      </c>
      <c r="I1523" s="38">
        <f>IFERROR(COUNTIF([1]AdventureDiscoveryGroup!$D$8:$AW$92,표1[[#This Row],[명칭]]),"-")</f>
        <v>0</v>
      </c>
      <c r="J1523" s="38">
        <f>IFERROR(COUNTIF([1]FishDiscoveryGroup!$A:$X,표1[[#This Row],[명칭]]),"-")</f>
        <v>0</v>
      </c>
      <c r="K1523" s="38" t="str">
        <f>IFERROR(COUNTIF([2]Town!$B:$B,표1[[#This Row],[명칭]]),"-")</f>
        <v>-</v>
      </c>
      <c r="L1523" s="38">
        <f>IFERROR(COUNTIF([1]Village!$BR:$BR,표1[[#This Row],[명칭]]),"-")</f>
        <v>0</v>
      </c>
      <c r="M1523" s="38">
        <f>COUNTIF(퀘스트!B:B,표1[[#This Row],[명칭]])</f>
        <v>0</v>
      </c>
      <c r="N1523" s="65">
        <f>COUNTIF([1]VillageDiscoveryGroup!$C:$C,표1[[#This Row],[명칭]])</f>
        <v>0</v>
      </c>
      <c r="O1523" s="65">
        <f>SUM(표1[[#This Row],[해양탐색]:[마을탐험]])</f>
        <v>0</v>
      </c>
    </row>
    <row r="1524" spans="2:15" ht="13.5" customHeight="1" x14ac:dyDescent="0.3">
      <c r="B1524" s="9">
        <f>[1]Discovery!A1530</f>
        <v>70412023</v>
      </c>
      <c r="C1524" s="9" t="str">
        <f>[1]Discovery!B1530</f>
        <v>딜리</v>
      </c>
      <c r="D1524" s="9" t="str">
        <f>[1]Discovery!E1530</f>
        <v>건축</v>
      </c>
      <c r="E1524" s="9" t="str">
        <f>[1]Discovery!C1530</f>
        <v>항구</v>
      </c>
      <c r="F1524" s="9" t="str">
        <f>[1]Discovery!G1530</f>
        <v>D</v>
      </c>
      <c r="G1524" s="9" t="str">
        <f>IFERROR(VLOOKUP(표1[[#This Row],[명칭]],'문화권 정리'!C:D,2,FALSE),"-")</f>
        <v>항구</v>
      </c>
      <c r="H1524" s="38" t="str">
        <f>IFERROR(COUNTIF([2]OceanDoodad!$Y:$Y,표1[[#This Row],[명칭]]),"-")</f>
        <v>-</v>
      </c>
      <c r="I1524" s="38">
        <f>IFERROR(COUNTIF([1]AdventureDiscoveryGroup!$D$8:$AW$92,표1[[#This Row],[명칭]]),"-")</f>
        <v>0</v>
      </c>
      <c r="J1524" s="38">
        <f>IFERROR(COUNTIF([1]FishDiscoveryGroup!$A:$X,표1[[#This Row],[명칭]]),"-")</f>
        <v>0</v>
      </c>
      <c r="K1524" s="38" t="str">
        <f>IFERROR(COUNTIF([2]Town!$B:$B,표1[[#This Row],[명칭]]),"-")</f>
        <v>-</v>
      </c>
      <c r="L1524" s="38">
        <f>IFERROR(COUNTIF([1]Village!$BR:$BR,표1[[#This Row],[명칭]]),"-")</f>
        <v>0</v>
      </c>
      <c r="M1524" s="38">
        <f>COUNTIF(퀘스트!B:B,표1[[#This Row],[명칭]])</f>
        <v>0</v>
      </c>
      <c r="N1524" s="65">
        <f>COUNTIF([1]VillageDiscoveryGroup!$C:$C,표1[[#This Row],[명칭]])</f>
        <v>0</v>
      </c>
      <c r="O1524" s="65">
        <f>SUM(표1[[#This Row],[해양탐색]:[마을탐험]])</f>
        <v>0</v>
      </c>
    </row>
    <row r="1525" spans="2:15" ht="13.5" customHeight="1" x14ac:dyDescent="0.3">
      <c r="B1525" s="9">
        <f>[1]Discovery!A1531</f>
        <v>70412024</v>
      </c>
      <c r="C1525" s="9" t="str">
        <f>[1]Discovery!B1531</f>
        <v>라구사</v>
      </c>
      <c r="D1525" s="9" t="str">
        <f>[1]Discovery!E1531</f>
        <v>건축</v>
      </c>
      <c r="E1525" s="9" t="str">
        <f>[1]Discovery!C1531</f>
        <v>항구</v>
      </c>
      <c r="F1525" s="9" t="str">
        <f>[1]Discovery!G1531</f>
        <v>D</v>
      </c>
      <c r="G1525" s="9" t="str">
        <f>IFERROR(VLOOKUP(표1[[#This Row],[명칭]],'문화권 정리'!C:D,2,FALSE),"-")</f>
        <v>항구</v>
      </c>
      <c r="H1525" s="38" t="str">
        <f>IFERROR(COUNTIF([2]OceanDoodad!$Y:$Y,표1[[#This Row],[명칭]]),"-")</f>
        <v>-</v>
      </c>
      <c r="I1525" s="38">
        <f>IFERROR(COUNTIF([1]AdventureDiscoveryGroup!$D$8:$AW$92,표1[[#This Row],[명칭]]),"-")</f>
        <v>0</v>
      </c>
      <c r="J1525" s="38">
        <f>IFERROR(COUNTIF([1]FishDiscoveryGroup!$A:$X,표1[[#This Row],[명칭]]),"-")</f>
        <v>0</v>
      </c>
      <c r="K1525" s="38" t="str">
        <f>IFERROR(COUNTIF([2]Town!$B:$B,표1[[#This Row],[명칭]]),"-")</f>
        <v>-</v>
      </c>
      <c r="L1525" s="38">
        <f>IFERROR(COUNTIF([1]Village!$BR:$BR,표1[[#This Row],[명칭]]),"-")</f>
        <v>0</v>
      </c>
      <c r="M1525" s="38">
        <f>COUNTIF(퀘스트!B:B,표1[[#This Row],[명칭]])</f>
        <v>0</v>
      </c>
      <c r="N1525" s="65">
        <f>COUNTIF([1]VillageDiscoveryGroup!$C:$C,표1[[#This Row],[명칭]])</f>
        <v>0</v>
      </c>
      <c r="O1525" s="65">
        <f>SUM(표1[[#This Row],[해양탐색]:[마을탐험]])</f>
        <v>0</v>
      </c>
    </row>
    <row r="1526" spans="2:15" ht="13.5" customHeight="1" x14ac:dyDescent="0.3">
      <c r="B1526" s="9">
        <f>[1]Discovery!A1532</f>
        <v>70412025</v>
      </c>
      <c r="C1526" s="9" t="str">
        <f>[1]Discovery!B1532</f>
        <v>라스팔마스</v>
      </c>
      <c r="D1526" s="9" t="str">
        <f>[1]Discovery!E1532</f>
        <v>건축</v>
      </c>
      <c r="E1526" s="9" t="str">
        <f>[1]Discovery!C1532</f>
        <v>항구</v>
      </c>
      <c r="F1526" s="9" t="str">
        <f>[1]Discovery!G1532</f>
        <v>D</v>
      </c>
      <c r="G1526" s="9" t="str">
        <f>IFERROR(VLOOKUP(표1[[#This Row],[명칭]],'문화권 정리'!C:D,2,FALSE),"-")</f>
        <v>항구</v>
      </c>
      <c r="H1526" s="38" t="str">
        <f>IFERROR(COUNTIF([2]OceanDoodad!$Y:$Y,표1[[#This Row],[명칭]]),"-")</f>
        <v>-</v>
      </c>
      <c r="I1526" s="38">
        <f>IFERROR(COUNTIF([1]AdventureDiscoveryGroup!$D$8:$AW$92,표1[[#This Row],[명칭]]),"-")</f>
        <v>0</v>
      </c>
      <c r="J1526" s="38">
        <f>IFERROR(COUNTIF([1]FishDiscoveryGroup!$A:$X,표1[[#This Row],[명칭]]),"-")</f>
        <v>0</v>
      </c>
      <c r="K1526" s="38" t="str">
        <f>IFERROR(COUNTIF([2]Town!$B:$B,표1[[#This Row],[명칭]]),"-")</f>
        <v>-</v>
      </c>
      <c r="L1526" s="38">
        <f>IFERROR(COUNTIF([1]Village!$BR:$BR,표1[[#This Row],[명칭]]),"-")</f>
        <v>0</v>
      </c>
      <c r="M1526" s="38">
        <f>COUNTIF(퀘스트!B:B,표1[[#This Row],[명칭]])</f>
        <v>0</v>
      </c>
      <c r="N1526" s="65">
        <f>COUNTIF([1]VillageDiscoveryGroup!$C:$C,표1[[#This Row],[명칭]])</f>
        <v>0</v>
      </c>
      <c r="O1526" s="65">
        <f>SUM(표1[[#This Row],[해양탐색]:[마을탐험]])</f>
        <v>0</v>
      </c>
    </row>
    <row r="1527" spans="2:15" ht="13.5" customHeight="1" x14ac:dyDescent="0.3">
      <c r="B1527" s="9">
        <f>[1]Discovery!A1533</f>
        <v>70412026</v>
      </c>
      <c r="C1527" s="9" t="str">
        <f>[1]Discovery!B1533</f>
        <v>런던</v>
      </c>
      <c r="D1527" s="9" t="str">
        <f>[1]Discovery!E1533</f>
        <v>건축</v>
      </c>
      <c r="E1527" s="9" t="str">
        <f>[1]Discovery!C1533</f>
        <v>항구</v>
      </c>
      <c r="F1527" s="9" t="str">
        <f>[1]Discovery!G1533</f>
        <v>D</v>
      </c>
      <c r="G1527" s="9" t="str">
        <f>IFERROR(VLOOKUP(표1[[#This Row],[명칭]],'문화권 정리'!C:D,2,FALSE),"-")</f>
        <v>항구</v>
      </c>
      <c r="H1527" s="38" t="str">
        <f>IFERROR(COUNTIF([2]OceanDoodad!$Y:$Y,표1[[#This Row],[명칭]]),"-")</f>
        <v>-</v>
      </c>
      <c r="I1527" s="38">
        <f>IFERROR(COUNTIF([1]AdventureDiscoveryGroup!$D$8:$AW$92,표1[[#This Row],[명칭]]),"-")</f>
        <v>0</v>
      </c>
      <c r="J1527" s="38">
        <f>IFERROR(COUNTIF([1]FishDiscoveryGroup!$A:$X,표1[[#This Row],[명칭]]),"-")</f>
        <v>0</v>
      </c>
      <c r="K1527" s="38" t="str">
        <f>IFERROR(COUNTIF([2]Town!$B:$B,표1[[#This Row],[명칭]]),"-")</f>
        <v>-</v>
      </c>
      <c r="L1527" s="38">
        <f>IFERROR(COUNTIF([1]Village!$BR:$BR,표1[[#This Row],[명칭]]),"-")</f>
        <v>0</v>
      </c>
      <c r="M1527" s="38">
        <f>COUNTIF(퀘스트!B:B,표1[[#This Row],[명칭]])</f>
        <v>0</v>
      </c>
      <c r="N1527" s="65">
        <f>COUNTIF([1]VillageDiscoveryGroup!$C:$C,표1[[#This Row],[명칭]])</f>
        <v>0</v>
      </c>
      <c r="O1527" s="65">
        <f>SUM(표1[[#This Row],[해양탐색]:[마을탐험]])</f>
        <v>0</v>
      </c>
    </row>
    <row r="1528" spans="2:15" ht="13.5" customHeight="1" x14ac:dyDescent="0.3">
      <c r="B1528" s="9">
        <f>[1]Discovery!A1534</f>
        <v>70412027</v>
      </c>
      <c r="C1528" s="9" t="str">
        <f>[1]Discovery!B1534</f>
        <v>롭부리</v>
      </c>
      <c r="D1528" s="9" t="str">
        <f>[1]Discovery!E1534</f>
        <v>건축</v>
      </c>
      <c r="E1528" s="9" t="str">
        <f>[1]Discovery!C1534</f>
        <v>항구</v>
      </c>
      <c r="F1528" s="9" t="str">
        <f>[1]Discovery!G1534</f>
        <v>D</v>
      </c>
      <c r="G1528" s="9" t="str">
        <f>IFERROR(VLOOKUP(표1[[#This Row],[명칭]],'문화권 정리'!C:D,2,FALSE),"-")</f>
        <v>항구</v>
      </c>
      <c r="H1528" s="38" t="str">
        <f>IFERROR(COUNTIF([2]OceanDoodad!$Y:$Y,표1[[#This Row],[명칭]]),"-")</f>
        <v>-</v>
      </c>
      <c r="I1528" s="38">
        <f>IFERROR(COUNTIF([1]AdventureDiscoveryGroup!$D$8:$AW$92,표1[[#This Row],[명칭]]),"-")</f>
        <v>0</v>
      </c>
      <c r="J1528" s="38">
        <f>IFERROR(COUNTIF([1]FishDiscoveryGroup!$A:$X,표1[[#This Row],[명칭]]),"-")</f>
        <v>0</v>
      </c>
      <c r="K1528" s="38" t="str">
        <f>IFERROR(COUNTIF([2]Town!$B:$B,표1[[#This Row],[명칭]]),"-")</f>
        <v>-</v>
      </c>
      <c r="L1528" s="38">
        <f>IFERROR(COUNTIF([1]Village!$BR:$BR,표1[[#This Row],[명칭]]),"-")</f>
        <v>0</v>
      </c>
      <c r="M1528" s="38">
        <f>COUNTIF(퀘스트!B:B,표1[[#This Row],[명칭]])</f>
        <v>0</v>
      </c>
      <c r="N1528" s="65">
        <f>COUNTIF([1]VillageDiscoveryGroup!$C:$C,표1[[#This Row],[명칭]])</f>
        <v>0</v>
      </c>
      <c r="O1528" s="65">
        <f>SUM(표1[[#This Row],[해양탐색]:[마을탐험]])</f>
        <v>0</v>
      </c>
    </row>
    <row r="1529" spans="2:15" ht="13.5" customHeight="1" x14ac:dyDescent="0.3">
      <c r="B1529" s="9">
        <f>[1]Discovery!A1535</f>
        <v>70412028</v>
      </c>
      <c r="C1529" s="9" t="str">
        <f>[1]Discovery!B1535</f>
        <v>루안다</v>
      </c>
      <c r="D1529" s="9" t="str">
        <f>[1]Discovery!E1535</f>
        <v>건축</v>
      </c>
      <c r="E1529" s="9" t="str">
        <f>[1]Discovery!C1535</f>
        <v>항구</v>
      </c>
      <c r="F1529" s="9" t="str">
        <f>[1]Discovery!G1535</f>
        <v>D</v>
      </c>
      <c r="G1529" s="9" t="str">
        <f>IFERROR(VLOOKUP(표1[[#This Row],[명칭]],'문화권 정리'!C:D,2,FALSE),"-")</f>
        <v>항구</v>
      </c>
      <c r="H1529" s="38" t="str">
        <f>IFERROR(COUNTIF([2]OceanDoodad!$Y:$Y,표1[[#This Row],[명칭]]),"-")</f>
        <v>-</v>
      </c>
      <c r="I1529" s="38">
        <f>IFERROR(COUNTIF([1]AdventureDiscoveryGroup!$D$8:$AW$92,표1[[#This Row],[명칭]]),"-")</f>
        <v>0</v>
      </c>
      <c r="J1529" s="38">
        <f>IFERROR(COUNTIF([1]FishDiscoveryGroup!$A:$X,표1[[#This Row],[명칭]]),"-")</f>
        <v>0</v>
      </c>
      <c r="K1529" s="38" t="str">
        <f>IFERROR(COUNTIF([2]Town!$B:$B,표1[[#This Row],[명칭]]),"-")</f>
        <v>-</v>
      </c>
      <c r="L1529" s="38">
        <f>IFERROR(COUNTIF([1]Village!$BR:$BR,표1[[#This Row],[명칭]]),"-")</f>
        <v>0</v>
      </c>
      <c r="M1529" s="38">
        <f>COUNTIF(퀘스트!B:B,표1[[#This Row],[명칭]])</f>
        <v>0</v>
      </c>
      <c r="N1529" s="65">
        <f>COUNTIF([1]VillageDiscoveryGroup!$C:$C,표1[[#This Row],[명칭]])</f>
        <v>0</v>
      </c>
      <c r="O1529" s="65">
        <f>SUM(표1[[#This Row],[해양탐색]:[마을탐험]])</f>
        <v>0</v>
      </c>
    </row>
    <row r="1530" spans="2:15" ht="13.5" customHeight="1" x14ac:dyDescent="0.3">
      <c r="B1530" s="9">
        <f>[1]Discovery!A1536</f>
        <v>70412030</v>
      </c>
      <c r="C1530" s="9" t="str">
        <f>[1]Discovery!B1536</f>
        <v>뤼베크</v>
      </c>
      <c r="D1530" s="9" t="str">
        <f>[1]Discovery!E1536</f>
        <v>건축</v>
      </c>
      <c r="E1530" s="9" t="str">
        <f>[1]Discovery!C1536</f>
        <v>항구</v>
      </c>
      <c r="F1530" s="9" t="str">
        <f>[1]Discovery!G1536</f>
        <v>D</v>
      </c>
      <c r="G1530" s="9" t="str">
        <f>IFERROR(VLOOKUP(표1[[#This Row],[명칭]],'문화권 정리'!C:D,2,FALSE),"-")</f>
        <v>항구</v>
      </c>
      <c r="H1530" s="38" t="str">
        <f>IFERROR(COUNTIF([2]OceanDoodad!$Y:$Y,표1[[#This Row],[명칭]]),"-")</f>
        <v>-</v>
      </c>
      <c r="I1530" s="38">
        <f>IFERROR(COUNTIF([1]AdventureDiscoveryGroup!$D$8:$AW$92,표1[[#This Row],[명칭]]),"-")</f>
        <v>0</v>
      </c>
      <c r="J1530" s="38">
        <f>IFERROR(COUNTIF([1]FishDiscoveryGroup!$A:$X,표1[[#This Row],[명칭]]),"-")</f>
        <v>0</v>
      </c>
      <c r="K1530" s="38" t="str">
        <f>IFERROR(COUNTIF([2]Town!$B:$B,표1[[#This Row],[명칭]]),"-")</f>
        <v>-</v>
      </c>
      <c r="L1530" s="38">
        <f>IFERROR(COUNTIF([1]Village!$BR:$BR,표1[[#This Row],[명칭]]),"-")</f>
        <v>0</v>
      </c>
      <c r="M1530" s="38">
        <f>COUNTIF(퀘스트!B:B,표1[[#This Row],[명칭]])</f>
        <v>0</v>
      </c>
      <c r="N1530" s="65">
        <f>COUNTIF([1]VillageDiscoveryGroup!$C:$C,표1[[#This Row],[명칭]])</f>
        <v>0</v>
      </c>
      <c r="O1530" s="65">
        <f>SUM(표1[[#This Row],[해양탐색]:[마을탐험]])</f>
        <v>0</v>
      </c>
    </row>
    <row r="1531" spans="2:15" ht="13.5" customHeight="1" x14ac:dyDescent="0.3">
      <c r="B1531" s="9">
        <f>[1]Discovery!A1537</f>
        <v>70412031</v>
      </c>
      <c r="C1531" s="9" t="str">
        <f>[1]Discovery!B1537</f>
        <v>리가</v>
      </c>
      <c r="D1531" s="9" t="str">
        <f>[1]Discovery!E1537</f>
        <v>건축</v>
      </c>
      <c r="E1531" s="9" t="str">
        <f>[1]Discovery!C1537</f>
        <v>항구</v>
      </c>
      <c r="F1531" s="9" t="str">
        <f>[1]Discovery!G1537</f>
        <v>D</v>
      </c>
      <c r="G1531" s="9" t="str">
        <f>IFERROR(VLOOKUP(표1[[#This Row],[명칭]],'문화권 정리'!C:D,2,FALSE),"-")</f>
        <v>항구</v>
      </c>
      <c r="H1531" s="38" t="str">
        <f>IFERROR(COUNTIF([2]OceanDoodad!$Y:$Y,표1[[#This Row],[명칭]]),"-")</f>
        <v>-</v>
      </c>
      <c r="I1531" s="38">
        <f>IFERROR(COUNTIF([1]AdventureDiscoveryGroup!$D$8:$AW$92,표1[[#This Row],[명칭]]),"-")</f>
        <v>0</v>
      </c>
      <c r="J1531" s="38">
        <f>IFERROR(COUNTIF([1]FishDiscoveryGroup!$A:$X,표1[[#This Row],[명칭]]),"-")</f>
        <v>0</v>
      </c>
      <c r="K1531" s="38" t="str">
        <f>IFERROR(COUNTIF([2]Town!$B:$B,표1[[#This Row],[명칭]]),"-")</f>
        <v>-</v>
      </c>
      <c r="L1531" s="38">
        <f>IFERROR(COUNTIF([1]Village!$BR:$BR,표1[[#This Row],[명칭]]),"-")</f>
        <v>0</v>
      </c>
      <c r="M1531" s="38">
        <f>COUNTIF(퀘스트!B:B,표1[[#This Row],[명칭]])</f>
        <v>0</v>
      </c>
      <c r="N1531" s="65">
        <f>COUNTIF([1]VillageDiscoveryGroup!$C:$C,표1[[#This Row],[명칭]])</f>
        <v>0</v>
      </c>
      <c r="O1531" s="65">
        <f>SUM(표1[[#This Row],[해양탐색]:[마을탐험]])</f>
        <v>0</v>
      </c>
    </row>
    <row r="1532" spans="2:15" ht="13.5" customHeight="1" x14ac:dyDescent="0.3">
      <c r="B1532" s="9">
        <f>[1]Discovery!A1538</f>
        <v>70412032</v>
      </c>
      <c r="C1532" s="9" t="str">
        <f>[1]Discovery!B1538</f>
        <v>리마</v>
      </c>
      <c r="D1532" s="9" t="str">
        <f>[1]Discovery!E1538</f>
        <v>건축</v>
      </c>
      <c r="E1532" s="9" t="str">
        <f>[1]Discovery!C1538</f>
        <v>항구</v>
      </c>
      <c r="F1532" s="9" t="str">
        <f>[1]Discovery!G1538</f>
        <v>D</v>
      </c>
      <c r="G1532" s="9" t="str">
        <f>IFERROR(VLOOKUP(표1[[#This Row],[명칭]],'문화권 정리'!C:D,2,FALSE),"-")</f>
        <v>항구</v>
      </c>
      <c r="H1532" s="38" t="str">
        <f>IFERROR(COUNTIF([2]OceanDoodad!$Y:$Y,표1[[#This Row],[명칭]]),"-")</f>
        <v>-</v>
      </c>
      <c r="I1532" s="38">
        <f>IFERROR(COUNTIF([1]AdventureDiscoveryGroup!$D$8:$AW$92,표1[[#This Row],[명칭]]),"-")</f>
        <v>0</v>
      </c>
      <c r="J1532" s="38">
        <f>IFERROR(COUNTIF([1]FishDiscoveryGroup!$A:$X,표1[[#This Row],[명칭]]),"-")</f>
        <v>0</v>
      </c>
      <c r="K1532" s="38" t="str">
        <f>IFERROR(COUNTIF([2]Town!$B:$B,표1[[#This Row],[명칭]]),"-")</f>
        <v>-</v>
      </c>
      <c r="L1532" s="38">
        <f>IFERROR(COUNTIF([1]Village!$BR:$BR,표1[[#This Row],[명칭]]),"-")</f>
        <v>0</v>
      </c>
      <c r="M1532" s="38">
        <f>COUNTIF(퀘스트!B:B,표1[[#This Row],[명칭]])</f>
        <v>0</v>
      </c>
      <c r="N1532" s="65">
        <f>COUNTIF([1]VillageDiscoveryGroup!$C:$C,표1[[#This Row],[명칭]])</f>
        <v>0</v>
      </c>
      <c r="O1532" s="65">
        <f>SUM(표1[[#This Row],[해양탐색]:[마을탐험]])</f>
        <v>0</v>
      </c>
    </row>
    <row r="1533" spans="2:15" ht="13.5" customHeight="1" x14ac:dyDescent="0.3">
      <c r="B1533" s="9">
        <f>[1]Discovery!A1539</f>
        <v>70412033</v>
      </c>
      <c r="C1533" s="9" t="str">
        <f>[1]Discovery!B1539</f>
        <v>리스보아</v>
      </c>
      <c r="D1533" s="9" t="str">
        <f>[1]Discovery!E1539</f>
        <v>건축</v>
      </c>
      <c r="E1533" s="9" t="str">
        <f>[1]Discovery!C1539</f>
        <v>항구</v>
      </c>
      <c r="F1533" s="9" t="str">
        <f>[1]Discovery!G1539</f>
        <v>D</v>
      </c>
      <c r="G1533" s="9" t="str">
        <f>IFERROR(VLOOKUP(표1[[#This Row],[명칭]],'문화권 정리'!C:D,2,FALSE),"-")</f>
        <v>항구</v>
      </c>
      <c r="H1533" s="38" t="str">
        <f>IFERROR(COUNTIF([2]OceanDoodad!$Y:$Y,표1[[#This Row],[명칭]]),"-")</f>
        <v>-</v>
      </c>
      <c r="I1533" s="38">
        <f>IFERROR(COUNTIF([1]AdventureDiscoveryGroup!$D$8:$AW$92,표1[[#This Row],[명칭]]),"-")</f>
        <v>0</v>
      </c>
      <c r="J1533" s="38">
        <f>IFERROR(COUNTIF([1]FishDiscoveryGroup!$A:$X,표1[[#This Row],[명칭]]),"-")</f>
        <v>0</v>
      </c>
      <c r="K1533" s="38" t="str">
        <f>IFERROR(COUNTIF([2]Town!$B:$B,표1[[#This Row],[명칭]]),"-")</f>
        <v>-</v>
      </c>
      <c r="L1533" s="38">
        <f>IFERROR(COUNTIF([1]Village!$BR:$BR,표1[[#This Row],[명칭]]),"-")</f>
        <v>0</v>
      </c>
      <c r="M1533" s="38">
        <f>COUNTIF(퀘스트!B:B,표1[[#This Row],[명칭]])</f>
        <v>0</v>
      </c>
      <c r="N1533" s="65">
        <f>COUNTIF([1]VillageDiscoveryGroup!$C:$C,표1[[#This Row],[명칭]])</f>
        <v>0</v>
      </c>
      <c r="O1533" s="65">
        <f>SUM(표1[[#This Row],[해양탐색]:[마을탐험]])</f>
        <v>0</v>
      </c>
    </row>
    <row r="1534" spans="2:15" ht="13.5" customHeight="1" x14ac:dyDescent="0.3">
      <c r="B1534" s="9">
        <f>[1]Discovery!A1540</f>
        <v>70412034</v>
      </c>
      <c r="C1534" s="9" t="str">
        <f>[1]Discovery!B1540</f>
        <v>리우데자네이루</v>
      </c>
      <c r="D1534" s="9" t="str">
        <f>[1]Discovery!E1540</f>
        <v>건축</v>
      </c>
      <c r="E1534" s="9" t="str">
        <f>[1]Discovery!C1540</f>
        <v>항구</v>
      </c>
      <c r="F1534" s="9" t="str">
        <f>[1]Discovery!G1540</f>
        <v>D</v>
      </c>
      <c r="G1534" s="9" t="str">
        <f>IFERROR(VLOOKUP(표1[[#This Row],[명칭]],'문화권 정리'!C:D,2,FALSE),"-")</f>
        <v>항구</v>
      </c>
      <c r="H1534" s="38" t="str">
        <f>IFERROR(COUNTIF([2]OceanDoodad!$Y:$Y,표1[[#This Row],[명칭]]),"-")</f>
        <v>-</v>
      </c>
      <c r="I1534" s="38">
        <f>IFERROR(COUNTIF([1]AdventureDiscoveryGroup!$D$8:$AW$92,표1[[#This Row],[명칭]]),"-")</f>
        <v>0</v>
      </c>
      <c r="J1534" s="38">
        <f>IFERROR(COUNTIF([1]FishDiscoveryGroup!$A:$X,표1[[#This Row],[명칭]]),"-")</f>
        <v>0</v>
      </c>
      <c r="K1534" s="38" t="str">
        <f>IFERROR(COUNTIF([2]Town!$B:$B,표1[[#This Row],[명칭]]),"-")</f>
        <v>-</v>
      </c>
      <c r="L1534" s="38">
        <f>IFERROR(COUNTIF([1]Village!$BR:$BR,표1[[#This Row],[명칭]]),"-")</f>
        <v>0</v>
      </c>
      <c r="M1534" s="38">
        <f>COUNTIF(퀘스트!B:B,표1[[#This Row],[명칭]])</f>
        <v>0</v>
      </c>
      <c r="N1534" s="65">
        <f>COUNTIF([1]VillageDiscoveryGroup!$C:$C,표1[[#This Row],[명칭]])</f>
        <v>0</v>
      </c>
      <c r="O1534" s="65">
        <f>SUM(표1[[#This Row],[해양탐색]:[마을탐험]])</f>
        <v>0</v>
      </c>
    </row>
    <row r="1535" spans="2:15" ht="13.5" customHeight="1" x14ac:dyDescent="0.3">
      <c r="B1535" s="9">
        <f>[1]Discovery!A1541</f>
        <v>70412035</v>
      </c>
      <c r="C1535" s="9" t="str">
        <f>[1]Discovery!B1541</f>
        <v>마닐라</v>
      </c>
      <c r="D1535" s="9" t="str">
        <f>[1]Discovery!E1541</f>
        <v>건축</v>
      </c>
      <c r="E1535" s="9" t="str">
        <f>[1]Discovery!C1541</f>
        <v>항구</v>
      </c>
      <c r="F1535" s="9" t="str">
        <f>[1]Discovery!G1541</f>
        <v>D</v>
      </c>
      <c r="G1535" s="9" t="str">
        <f>IFERROR(VLOOKUP(표1[[#This Row],[명칭]],'문화권 정리'!C:D,2,FALSE),"-")</f>
        <v>항구</v>
      </c>
      <c r="H1535" s="38" t="str">
        <f>IFERROR(COUNTIF([2]OceanDoodad!$Y:$Y,표1[[#This Row],[명칭]]),"-")</f>
        <v>-</v>
      </c>
      <c r="I1535" s="38">
        <f>IFERROR(COUNTIF([1]AdventureDiscoveryGroup!$D$8:$AW$92,표1[[#This Row],[명칭]]),"-")</f>
        <v>0</v>
      </c>
      <c r="J1535" s="38">
        <f>IFERROR(COUNTIF([1]FishDiscoveryGroup!$A:$X,표1[[#This Row],[명칭]]),"-")</f>
        <v>0</v>
      </c>
      <c r="K1535" s="38" t="str">
        <f>IFERROR(COUNTIF([2]Town!$B:$B,표1[[#This Row],[명칭]]),"-")</f>
        <v>-</v>
      </c>
      <c r="L1535" s="38">
        <f>IFERROR(COUNTIF([1]Village!$BR:$BR,표1[[#This Row],[명칭]]),"-")</f>
        <v>0</v>
      </c>
      <c r="M1535" s="38">
        <f>COUNTIF(퀘스트!B:B,표1[[#This Row],[명칭]])</f>
        <v>0</v>
      </c>
      <c r="N1535" s="65">
        <f>COUNTIF([1]VillageDiscoveryGroup!$C:$C,표1[[#This Row],[명칭]])</f>
        <v>0</v>
      </c>
      <c r="O1535" s="65">
        <f>SUM(표1[[#This Row],[해양탐색]:[마을탐험]])</f>
        <v>0</v>
      </c>
    </row>
    <row r="1536" spans="2:15" ht="13.5" customHeight="1" x14ac:dyDescent="0.3">
      <c r="B1536" s="9">
        <f>[1]Discovery!A1542</f>
        <v>70412036</v>
      </c>
      <c r="C1536" s="9" t="str">
        <f>[1]Discovery!B1542</f>
        <v>푼샬</v>
      </c>
      <c r="D1536" s="9" t="str">
        <f>[1]Discovery!E1542</f>
        <v>건축</v>
      </c>
      <c r="E1536" s="9" t="str">
        <f>[1]Discovery!C1542</f>
        <v>항구</v>
      </c>
      <c r="F1536" s="9" t="str">
        <f>[1]Discovery!G1542</f>
        <v>D</v>
      </c>
      <c r="G1536" s="9" t="str">
        <f>IFERROR(VLOOKUP(표1[[#This Row],[명칭]],'문화권 정리'!C:D,2,FALSE),"-")</f>
        <v>항구</v>
      </c>
      <c r="H1536" s="38" t="str">
        <f>IFERROR(COUNTIF([2]OceanDoodad!$Y:$Y,표1[[#This Row],[명칭]]),"-")</f>
        <v>-</v>
      </c>
      <c r="I1536" s="38">
        <f>IFERROR(COUNTIF([1]AdventureDiscoveryGroup!$D$8:$AW$92,표1[[#This Row],[명칭]]),"-")</f>
        <v>0</v>
      </c>
      <c r="J1536" s="38">
        <f>IFERROR(COUNTIF([1]FishDiscoveryGroup!$A:$X,표1[[#This Row],[명칭]]),"-")</f>
        <v>0</v>
      </c>
      <c r="K1536" s="38" t="str">
        <f>IFERROR(COUNTIF([2]Town!$B:$B,표1[[#This Row],[명칭]]),"-")</f>
        <v>-</v>
      </c>
      <c r="L1536" s="38">
        <f>IFERROR(COUNTIF([1]Village!$BR:$BR,표1[[#This Row],[명칭]]),"-")</f>
        <v>0</v>
      </c>
      <c r="M1536" s="38">
        <f>COUNTIF(퀘스트!B:B,표1[[#This Row],[명칭]])</f>
        <v>0</v>
      </c>
      <c r="N1536" s="65">
        <f>COUNTIF([1]VillageDiscoveryGroup!$C:$C,표1[[#This Row],[명칭]])</f>
        <v>0</v>
      </c>
      <c r="O1536" s="65">
        <f>SUM(표1[[#This Row],[해양탐색]:[마을탐험]])</f>
        <v>0</v>
      </c>
    </row>
    <row r="1537" spans="2:15" ht="13.5" customHeight="1" x14ac:dyDescent="0.3">
      <c r="B1537" s="9">
        <f>[1]Discovery!A1543</f>
        <v>70412037</v>
      </c>
      <c r="C1537" s="9" t="str">
        <f>[1]Discovery!B1543</f>
        <v>마라카이보</v>
      </c>
      <c r="D1537" s="9" t="str">
        <f>[1]Discovery!E1543</f>
        <v>건축</v>
      </c>
      <c r="E1537" s="9" t="str">
        <f>[1]Discovery!C1543</f>
        <v>항구</v>
      </c>
      <c r="F1537" s="9" t="str">
        <f>[1]Discovery!G1543</f>
        <v>D</v>
      </c>
      <c r="G1537" s="9" t="str">
        <f>IFERROR(VLOOKUP(표1[[#This Row],[명칭]],'문화권 정리'!C:D,2,FALSE),"-")</f>
        <v>항구</v>
      </c>
      <c r="H1537" s="38" t="str">
        <f>IFERROR(COUNTIF([2]OceanDoodad!$Y:$Y,표1[[#This Row],[명칭]]),"-")</f>
        <v>-</v>
      </c>
      <c r="I1537" s="38">
        <f>IFERROR(COUNTIF([1]AdventureDiscoveryGroup!$D$8:$AW$92,표1[[#This Row],[명칭]]),"-")</f>
        <v>0</v>
      </c>
      <c r="J1537" s="38">
        <f>IFERROR(COUNTIF([1]FishDiscoveryGroup!$A:$X,표1[[#This Row],[명칭]]),"-")</f>
        <v>0</v>
      </c>
      <c r="K1537" s="38" t="str">
        <f>IFERROR(COUNTIF([2]Town!$B:$B,표1[[#This Row],[명칭]]),"-")</f>
        <v>-</v>
      </c>
      <c r="L1537" s="38">
        <f>IFERROR(COUNTIF([1]Village!$BR:$BR,표1[[#This Row],[명칭]]),"-")</f>
        <v>0</v>
      </c>
      <c r="M1537" s="38">
        <f>COUNTIF(퀘스트!B:B,표1[[#This Row],[명칭]])</f>
        <v>0</v>
      </c>
      <c r="N1537" s="65">
        <f>COUNTIF([1]VillageDiscoveryGroup!$C:$C,표1[[#This Row],[명칭]])</f>
        <v>0</v>
      </c>
      <c r="O1537" s="65">
        <f>SUM(표1[[#This Row],[해양탐색]:[마을탐험]])</f>
        <v>0</v>
      </c>
    </row>
    <row r="1538" spans="2:15" ht="13.5" customHeight="1" x14ac:dyDescent="0.3">
      <c r="B1538" s="9">
        <f>[1]Discovery!A1544</f>
        <v>70412038</v>
      </c>
      <c r="C1538" s="9" t="str">
        <f>[1]Discovery!B1544</f>
        <v>포를라마르</v>
      </c>
      <c r="D1538" s="9" t="str">
        <f>[1]Discovery!E1544</f>
        <v>건축</v>
      </c>
      <c r="E1538" s="9" t="str">
        <f>[1]Discovery!C1544</f>
        <v>항구</v>
      </c>
      <c r="F1538" s="9" t="str">
        <f>[1]Discovery!G1544</f>
        <v>D</v>
      </c>
      <c r="G1538" s="9" t="str">
        <f>IFERROR(VLOOKUP(표1[[#This Row],[명칭]],'문화권 정리'!C:D,2,FALSE),"-")</f>
        <v>항구</v>
      </c>
      <c r="H1538" s="38" t="str">
        <f>IFERROR(COUNTIF([2]OceanDoodad!$Y:$Y,표1[[#This Row],[명칭]]),"-")</f>
        <v>-</v>
      </c>
      <c r="I1538" s="38">
        <f>IFERROR(COUNTIF([1]AdventureDiscoveryGroup!$D$8:$AW$92,표1[[#This Row],[명칭]]),"-")</f>
        <v>0</v>
      </c>
      <c r="J1538" s="38">
        <f>IFERROR(COUNTIF([1]FishDiscoveryGroup!$A:$X,표1[[#This Row],[명칭]]),"-")</f>
        <v>0</v>
      </c>
      <c r="K1538" s="38" t="str">
        <f>IFERROR(COUNTIF([2]Town!$B:$B,표1[[#This Row],[명칭]]),"-")</f>
        <v>-</v>
      </c>
      <c r="L1538" s="38">
        <f>IFERROR(COUNTIF([1]Village!$BR:$BR,표1[[#This Row],[명칭]]),"-")</f>
        <v>0</v>
      </c>
      <c r="M1538" s="38">
        <f>COUNTIF(퀘스트!B:B,표1[[#This Row],[명칭]])</f>
        <v>0</v>
      </c>
      <c r="N1538" s="65">
        <f>COUNTIF([1]VillageDiscoveryGroup!$C:$C,표1[[#This Row],[명칭]])</f>
        <v>0</v>
      </c>
      <c r="O1538" s="65">
        <f>SUM(표1[[#This Row],[해양탐색]:[마을탐험]])</f>
        <v>0</v>
      </c>
    </row>
    <row r="1539" spans="2:15" ht="13.5" customHeight="1" x14ac:dyDescent="0.3">
      <c r="B1539" s="9">
        <f>[1]Discovery!A1545</f>
        <v>70412039</v>
      </c>
      <c r="C1539" s="9" t="str">
        <f>[1]Discovery!B1545</f>
        <v>마르세유</v>
      </c>
      <c r="D1539" s="9" t="str">
        <f>[1]Discovery!E1545</f>
        <v>건축</v>
      </c>
      <c r="E1539" s="9" t="str">
        <f>[1]Discovery!C1545</f>
        <v>항구</v>
      </c>
      <c r="F1539" s="9" t="str">
        <f>[1]Discovery!G1545</f>
        <v>D</v>
      </c>
      <c r="G1539" s="9" t="str">
        <f>IFERROR(VLOOKUP(표1[[#This Row],[명칭]],'문화권 정리'!C:D,2,FALSE),"-")</f>
        <v>항구</v>
      </c>
      <c r="H1539" s="38" t="str">
        <f>IFERROR(COUNTIF([2]OceanDoodad!$Y:$Y,표1[[#This Row],[명칭]]),"-")</f>
        <v>-</v>
      </c>
      <c r="I1539" s="38">
        <f>IFERROR(COUNTIF([1]AdventureDiscoveryGroup!$D$8:$AW$92,표1[[#This Row],[명칭]]),"-")</f>
        <v>0</v>
      </c>
      <c r="J1539" s="38">
        <f>IFERROR(COUNTIF([1]FishDiscoveryGroup!$A:$X,표1[[#This Row],[명칭]]),"-")</f>
        <v>0</v>
      </c>
      <c r="K1539" s="38" t="str">
        <f>IFERROR(COUNTIF([2]Town!$B:$B,표1[[#This Row],[명칭]]),"-")</f>
        <v>-</v>
      </c>
      <c r="L1539" s="38">
        <f>IFERROR(COUNTIF([1]Village!$BR:$BR,표1[[#This Row],[명칭]]),"-")</f>
        <v>0</v>
      </c>
      <c r="M1539" s="38">
        <f>COUNTIF(퀘스트!B:B,표1[[#This Row],[명칭]])</f>
        <v>0</v>
      </c>
      <c r="N1539" s="65">
        <f>COUNTIF([1]VillageDiscoveryGroup!$C:$C,표1[[#This Row],[명칭]])</f>
        <v>0</v>
      </c>
      <c r="O1539" s="65">
        <f>SUM(표1[[#This Row],[해양탐색]:[마을탐험]])</f>
        <v>0</v>
      </c>
    </row>
    <row r="1540" spans="2:15" ht="13.5" customHeight="1" x14ac:dyDescent="0.3">
      <c r="B1540" s="9">
        <f>[1]Discovery!A1546</f>
        <v>70412040</v>
      </c>
      <c r="C1540" s="9" t="str">
        <f>[1]Discovery!B1546</f>
        <v>마사와</v>
      </c>
      <c r="D1540" s="9" t="str">
        <f>[1]Discovery!E1546</f>
        <v>건축</v>
      </c>
      <c r="E1540" s="9" t="str">
        <f>[1]Discovery!C1546</f>
        <v>항구</v>
      </c>
      <c r="F1540" s="9" t="str">
        <f>[1]Discovery!G1546</f>
        <v>D</v>
      </c>
      <c r="G1540" s="9" t="str">
        <f>IFERROR(VLOOKUP(표1[[#This Row],[명칭]],'문화권 정리'!C:D,2,FALSE),"-")</f>
        <v>항구</v>
      </c>
      <c r="H1540" s="38" t="str">
        <f>IFERROR(COUNTIF([2]OceanDoodad!$Y:$Y,표1[[#This Row],[명칭]]),"-")</f>
        <v>-</v>
      </c>
      <c r="I1540" s="38">
        <f>IFERROR(COUNTIF([1]AdventureDiscoveryGroup!$D$8:$AW$92,표1[[#This Row],[명칭]]),"-")</f>
        <v>0</v>
      </c>
      <c r="J1540" s="38">
        <f>IFERROR(COUNTIF([1]FishDiscoveryGroup!$A:$X,표1[[#This Row],[명칭]]),"-")</f>
        <v>0</v>
      </c>
      <c r="K1540" s="38" t="str">
        <f>IFERROR(COUNTIF([2]Town!$B:$B,표1[[#This Row],[명칭]]),"-")</f>
        <v>-</v>
      </c>
      <c r="L1540" s="38">
        <f>IFERROR(COUNTIF([1]Village!$BR:$BR,표1[[#This Row],[명칭]]),"-")</f>
        <v>0</v>
      </c>
      <c r="M1540" s="38">
        <f>COUNTIF(퀘스트!B:B,표1[[#This Row],[명칭]])</f>
        <v>0</v>
      </c>
      <c r="N1540" s="65">
        <f>COUNTIF([1]VillageDiscoveryGroup!$C:$C,표1[[#This Row],[명칭]])</f>
        <v>0</v>
      </c>
      <c r="O1540" s="65">
        <f>SUM(표1[[#This Row],[해양탐색]:[마을탐험]])</f>
        <v>0</v>
      </c>
    </row>
    <row r="1541" spans="2:15" ht="13.5" customHeight="1" x14ac:dyDescent="0.3">
      <c r="B1541" s="9">
        <f>[1]Discovery!A1547</f>
        <v>70412041</v>
      </c>
      <c r="C1541" s="9" t="str">
        <f>[1]Discovery!B1547</f>
        <v>마실리파트남</v>
      </c>
      <c r="D1541" s="9" t="str">
        <f>[1]Discovery!E1547</f>
        <v>건축</v>
      </c>
      <c r="E1541" s="9" t="str">
        <f>[1]Discovery!C1547</f>
        <v>항구</v>
      </c>
      <c r="F1541" s="9" t="str">
        <f>[1]Discovery!G1547</f>
        <v>D</v>
      </c>
      <c r="G1541" s="9" t="str">
        <f>IFERROR(VLOOKUP(표1[[#This Row],[명칭]],'문화권 정리'!C:D,2,FALSE),"-")</f>
        <v>항구</v>
      </c>
      <c r="H1541" s="38" t="str">
        <f>IFERROR(COUNTIF([2]OceanDoodad!$Y:$Y,표1[[#This Row],[명칭]]),"-")</f>
        <v>-</v>
      </c>
      <c r="I1541" s="38">
        <f>IFERROR(COUNTIF([1]AdventureDiscoveryGroup!$D$8:$AW$92,표1[[#This Row],[명칭]]),"-")</f>
        <v>0</v>
      </c>
      <c r="J1541" s="38">
        <f>IFERROR(COUNTIF([1]FishDiscoveryGroup!$A:$X,표1[[#This Row],[명칭]]),"-")</f>
        <v>0</v>
      </c>
      <c r="K1541" s="38" t="str">
        <f>IFERROR(COUNTIF([2]Town!$B:$B,표1[[#This Row],[명칭]]),"-")</f>
        <v>-</v>
      </c>
      <c r="L1541" s="38">
        <f>IFERROR(COUNTIF([1]Village!$BR:$BR,표1[[#This Row],[명칭]]),"-")</f>
        <v>0</v>
      </c>
      <c r="M1541" s="38">
        <f>COUNTIF(퀘스트!B:B,표1[[#This Row],[명칭]])</f>
        <v>0</v>
      </c>
      <c r="N1541" s="65">
        <f>COUNTIF([1]VillageDiscoveryGroup!$C:$C,표1[[#This Row],[명칭]])</f>
        <v>0</v>
      </c>
      <c r="O1541" s="65">
        <f>SUM(표1[[#This Row],[해양탐색]:[마을탐험]])</f>
        <v>0</v>
      </c>
    </row>
    <row r="1542" spans="2:15" ht="13.5" customHeight="1" x14ac:dyDescent="0.3">
      <c r="B1542" s="9">
        <f>[1]Discovery!A1548</f>
        <v>70412042</v>
      </c>
      <c r="C1542" s="9" t="str">
        <f>[1]Discovery!B1548</f>
        <v>마카사르</v>
      </c>
      <c r="D1542" s="9" t="str">
        <f>[1]Discovery!E1548</f>
        <v>건축</v>
      </c>
      <c r="E1542" s="9" t="str">
        <f>[1]Discovery!C1548</f>
        <v>항구</v>
      </c>
      <c r="F1542" s="9" t="str">
        <f>[1]Discovery!G1548</f>
        <v>D</v>
      </c>
      <c r="G1542" s="9" t="str">
        <f>IFERROR(VLOOKUP(표1[[#This Row],[명칭]],'문화권 정리'!C:D,2,FALSE),"-")</f>
        <v>항구</v>
      </c>
      <c r="H1542" s="38" t="str">
        <f>IFERROR(COUNTIF([2]OceanDoodad!$Y:$Y,표1[[#This Row],[명칭]]),"-")</f>
        <v>-</v>
      </c>
      <c r="I1542" s="38">
        <f>IFERROR(COUNTIF([1]AdventureDiscoveryGroup!$D$8:$AW$92,표1[[#This Row],[명칭]]),"-")</f>
        <v>0</v>
      </c>
      <c r="J1542" s="38">
        <f>IFERROR(COUNTIF([1]FishDiscoveryGroup!$A:$X,표1[[#This Row],[명칭]]),"-")</f>
        <v>0</v>
      </c>
      <c r="K1542" s="38" t="str">
        <f>IFERROR(COUNTIF([2]Town!$B:$B,표1[[#This Row],[명칭]]),"-")</f>
        <v>-</v>
      </c>
      <c r="L1542" s="38">
        <f>IFERROR(COUNTIF([1]Village!$BR:$BR,표1[[#This Row],[명칭]]),"-")</f>
        <v>0</v>
      </c>
      <c r="M1542" s="38">
        <f>COUNTIF(퀘스트!B:B,표1[[#This Row],[명칭]])</f>
        <v>0</v>
      </c>
      <c r="N1542" s="65">
        <f>COUNTIF([1]VillageDiscoveryGroup!$C:$C,표1[[#This Row],[명칭]])</f>
        <v>0</v>
      </c>
      <c r="O1542" s="65">
        <f>SUM(표1[[#This Row],[해양탐색]:[마을탐험]])</f>
        <v>0</v>
      </c>
    </row>
    <row r="1543" spans="2:15" ht="13.5" customHeight="1" x14ac:dyDescent="0.3">
      <c r="B1543" s="9">
        <f>[1]Discovery!A1549</f>
        <v>70412043</v>
      </c>
      <c r="C1543" s="9" t="str">
        <f>[1]Discovery!B1549</f>
        <v>마카오</v>
      </c>
      <c r="D1543" s="9" t="str">
        <f>[1]Discovery!E1549</f>
        <v>건축</v>
      </c>
      <c r="E1543" s="9" t="str">
        <f>[1]Discovery!C1549</f>
        <v>항구</v>
      </c>
      <c r="F1543" s="9" t="str">
        <f>[1]Discovery!G1549</f>
        <v>D</v>
      </c>
      <c r="G1543" s="9" t="str">
        <f>IFERROR(VLOOKUP(표1[[#This Row],[명칭]],'문화권 정리'!C:D,2,FALSE),"-")</f>
        <v>항구</v>
      </c>
      <c r="H1543" s="38" t="str">
        <f>IFERROR(COUNTIF([2]OceanDoodad!$Y:$Y,표1[[#This Row],[명칭]]),"-")</f>
        <v>-</v>
      </c>
      <c r="I1543" s="38">
        <f>IFERROR(COUNTIF([1]AdventureDiscoveryGroup!$D$8:$AW$92,표1[[#This Row],[명칭]]),"-")</f>
        <v>0</v>
      </c>
      <c r="J1543" s="38">
        <f>IFERROR(COUNTIF([1]FishDiscoveryGroup!$A:$X,표1[[#This Row],[명칭]]),"-")</f>
        <v>0</v>
      </c>
      <c r="K1543" s="38" t="str">
        <f>IFERROR(COUNTIF([2]Town!$B:$B,표1[[#This Row],[명칭]]),"-")</f>
        <v>-</v>
      </c>
      <c r="L1543" s="38">
        <f>IFERROR(COUNTIF([1]Village!$BR:$BR,표1[[#This Row],[명칭]]),"-")</f>
        <v>0</v>
      </c>
      <c r="M1543" s="38">
        <f>COUNTIF(퀘스트!B:B,표1[[#This Row],[명칭]])</f>
        <v>0</v>
      </c>
      <c r="N1543" s="65">
        <f>COUNTIF([1]VillageDiscoveryGroup!$C:$C,표1[[#This Row],[명칭]])</f>
        <v>0</v>
      </c>
      <c r="O1543" s="65">
        <f>SUM(표1[[#This Row],[해양탐색]:[마을탐험]])</f>
        <v>0</v>
      </c>
    </row>
    <row r="1544" spans="2:15" ht="13.5" customHeight="1" x14ac:dyDescent="0.3">
      <c r="B1544" s="9">
        <f>[1]Discovery!A1550</f>
        <v>70412044</v>
      </c>
      <c r="C1544" s="9" t="str">
        <f>[1]Discovery!B1550</f>
        <v>말라가</v>
      </c>
      <c r="D1544" s="9" t="str">
        <f>[1]Discovery!E1550</f>
        <v>건축</v>
      </c>
      <c r="E1544" s="9" t="str">
        <f>[1]Discovery!C1550</f>
        <v>항구</v>
      </c>
      <c r="F1544" s="9" t="str">
        <f>[1]Discovery!G1550</f>
        <v>D</v>
      </c>
      <c r="G1544" s="9" t="str">
        <f>IFERROR(VLOOKUP(표1[[#This Row],[명칭]],'문화권 정리'!C:D,2,FALSE),"-")</f>
        <v>항구</v>
      </c>
      <c r="H1544" s="38" t="str">
        <f>IFERROR(COUNTIF([2]OceanDoodad!$Y:$Y,표1[[#This Row],[명칭]]),"-")</f>
        <v>-</v>
      </c>
      <c r="I1544" s="38">
        <f>IFERROR(COUNTIF([1]AdventureDiscoveryGroup!$D$8:$AW$92,표1[[#This Row],[명칭]]),"-")</f>
        <v>0</v>
      </c>
      <c r="J1544" s="38">
        <f>IFERROR(COUNTIF([1]FishDiscoveryGroup!$A:$X,표1[[#This Row],[명칭]]),"-")</f>
        <v>0</v>
      </c>
      <c r="K1544" s="38" t="str">
        <f>IFERROR(COUNTIF([2]Town!$B:$B,표1[[#This Row],[명칭]]),"-")</f>
        <v>-</v>
      </c>
      <c r="L1544" s="38">
        <f>IFERROR(COUNTIF([1]Village!$BR:$BR,표1[[#This Row],[명칭]]),"-")</f>
        <v>0</v>
      </c>
      <c r="M1544" s="38">
        <f>COUNTIF(퀘스트!B:B,표1[[#This Row],[명칭]])</f>
        <v>0</v>
      </c>
      <c r="N1544" s="65">
        <f>COUNTIF([1]VillageDiscoveryGroup!$C:$C,표1[[#This Row],[명칭]])</f>
        <v>0</v>
      </c>
      <c r="O1544" s="65">
        <f>SUM(표1[[#This Row],[해양탐색]:[마을탐험]])</f>
        <v>0</v>
      </c>
    </row>
    <row r="1545" spans="2:15" ht="13.5" customHeight="1" x14ac:dyDescent="0.3">
      <c r="B1545" s="9">
        <f>[1]Discovery!A1551</f>
        <v>70412045</v>
      </c>
      <c r="C1545" s="9" t="str">
        <f>[1]Discovery!B1551</f>
        <v>믈라카</v>
      </c>
      <c r="D1545" s="9" t="str">
        <f>[1]Discovery!E1551</f>
        <v>건축</v>
      </c>
      <c r="E1545" s="9" t="str">
        <f>[1]Discovery!C1551</f>
        <v>항구</v>
      </c>
      <c r="F1545" s="9" t="str">
        <f>[1]Discovery!G1551</f>
        <v>D</v>
      </c>
      <c r="G1545" s="9" t="str">
        <f>IFERROR(VLOOKUP(표1[[#This Row],[명칭]],'문화권 정리'!C:D,2,FALSE),"-")</f>
        <v>항구</v>
      </c>
      <c r="H1545" s="38" t="str">
        <f>IFERROR(COUNTIF([2]OceanDoodad!$Y:$Y,표1[[#This Row],[명칭]]),"-")</f>
        <v>-</v>
      </c>
      <c r="I1545" s="38">
        <f>IFERROR(COUNTIF([1]AdventureDiscoveryGroup!$D$8:$AW$92,표1[[#This Row],[명칭]]),"-")</f>
        <v>0</v>
      </c>
      <c r="J1545" s="38">
        <f>IFERROR(COUNTIF([1]FishDiscoveryGroup!$A:$X,표1[[#This Row],[명칭]]),"-")</f>
        <v>0</v>
      </c>
      <c r="K1545" s="38" t="str">
        <f>IFERROR(COUNTIF([2]Town!$B:$B,표1[[#This Row],[명칭]]),"-")</f>
        <v>-</v>
      </c>
      <c r="L1545" s="38">
        <f>IFERROR(COUNTIF([1]Village!$BR:$BR,표1[[#This Row],[명칭]]),"-")</f>
        <v>0</v>
      </c>
      <c r="M1545" s="38">
        <f>COUNTIF(퀘스트!B:B,표1[[#This Row],[명칭]])</f>
        <v>0</v>
      </c>
      <c r="N1545" s="65">
        <f>COUNTIF([1]VillageDiscoveryGroup!$C:$C,표1[[#This Row],[명칭]])</f>
        <v>0</v>
      </c>
      <c r="O1545" s="65">
        <f>SUM(표1[[#This Row],[해양탐색]:[마을탐험]])</f>
        <v>0</v>
      </c>
    </row>
    <row r="1546" spans="2:15" ht="13.5" customHeight="1" x14ac:dyDescent="0.3">
      <c r="B1546" s="9">
        <f>[1]Discovery!A1552</f>
        <v>70412046</v>
      </c>
      <c r="C1546" s="9" t="str">
        <f>[1]Discovery!B1552</f>
        <v>말린디</v>
      </c>
      <c r="D1546" s="9" t="str">
        <f>[1]Discovery!E1552</f>
        <v>건축</v>
      </c>
      <c r="E1546" s="9" t="str">
        <f>[1]Discovery!C1552</f>
        <v>항구</v>
      </c>
      <c r="F1546" s="9" t="str">
        <f>[1]Discovery!G1552</f>
        <v>D</v>
      </c>
      <c r="G1546" s="9" t="str">
        <f>IFERROR(VLOOKUP(표1[[#This Row],[명칭]],'문화권 정리'!C:D,2,FALSE),"-")</f>
        <v>항구</v>
      </c>
      <c r="H1546" s="38" t="str">
        <f>IFERROR(COUNTIF([2]OceanDoodad!$Y:$Y,표1[[#This Row],[명칭]]),"-")</f>
        <v>-</v>
      </c>
      <c r="I1546" s="38">
        <f>IFERROR(COUNTIF([1]AdventureDiscoveryGroup!$D$8:$AW$92,표1[[#This Row],[명칭]]),"-")</f>
        <v>0</v>
      </c>
      <c r="J1546" s="38">
        <f>IFERROR(COUNTIF([1]FishDiscoveryGroup!$A:$X,표1[[#This Row],[명칭]]),"-")</f>
        <v>0</v>
      </c>
      <c r="K1546" s="38" t="str">
        <f>IFERROR(COUNTIF([2]Town!$B:$B,표1[[#This Row],[명칭]]),"-")</f>
        <v>-</v>
      </c>
      <c r="L1546" s="38">
        <f>IFERROR(COUNTIF([1]Village!$BR:$BR,표1[[#This Row],[명칭]]),"-")</f>
        <v>0</v>
      </c>
      <c r="M1546" s="38">
        <f>COUNTIF(퀘스트!B:B,표1[[#This Row],[명칭]])</f>
        <v>0</v>
      </c>
      <c r="N1546" s="65">
        <f>COUNTIF([1]VillageDiscoveryGroup!$C:$C,표1[[#This Row],[명칭]])</f>
        <v>0</v>
      </c>
      <c r="O1546" s="65">
        <f>SUM(표1[[#This Row],[해양탐색]:[마을탐험]])</f>
        <v>0</v>
      </c>
    </row>
    <row r="1547" spans="2:15" ht="13.5" customHeight="1" x14ac:dyDescent="0.3">
      <c r="B1547" s="9">
        <f>[1]Discovery!A1553</f>
        <v>70412047</v>
      </c>
      <c r="C1547" s="9" t="str">
        <f>[1]Discovery!B1553</f>
        <v>메리다</v>
      </c>
      <c r="D1547" s="9" t="str">
        <f>[1]Discovery!E1553</f>
        <v>건축</v>
      </c>
      <c r="E1547" s="9" t="str">
        <f>[1]Discovery!C1553</f>
        <v>항구</v>
      </c>
      <c r="F1547" s="9" t="str">
        <f>[1]Discovery!G1553</f>
        <v>D</v>
      </c>
      <c r="G1547" s="9" t="str">
        <f>IFERROR(VLOOKUP(표1[[#This Row],[명칭]],'문화권 정리'!C:D,2,FALSE),"-")</f>
        <v>항구</v>
      </c>
      <c r="H1547" s="38" t="str">
        <f>IFERROR(COUNTIF([2]OceanDoodad!$Y:$Y,표1[[#This Row],[명칭]]),"-")</f>
        <v>-</v>
      </c>
      <c r="I1547" s="38">
        <f>IFERROR(COUNTIF([1]AdventureDiscoveryGroup!$D$8:$AW$92,표1[[#This Row],[명칭]]),"-")</f>
        <v>0</v>
      </c>
      <c r="J1547" s="38">
        <f>IFERROR(COUNTIF([1]FishDiscoveryGroup!$A:$X,표1[[#This Row],[명칭]]),"-")</f>
        <v>0</v>
      </c>
      <c r="K1547" s="38" t="str">
        <f>IFERROR(COUNTIF([2]Town!$B:$B,표1[[#This Row],[명칭]]),"-")</f>
        <v>-</v>
      </c>
      <c r="L1547" s="38">
        <f>IFERROR(COUNTIF([1]Village!$BR:$BR,표1[[#This Row],[명칭]]),"-")</f>
        <v>0</v>
      </c>
      <c r="M1547" s="38">
        <f>COUNTIF(퀘스트!B:B,표1[[#This Row],[명칭]])</f>
        <v>0</v>
      </c>
      <c r="N1547" s="65">
        <f>COUNTIF([1]VillageDiscoveryGroup!$C:$C,표1[[#This Row],[명칭]])</f>
        <v>0</v>
      </c>
      <c r="O1547" s="65">
        <f>SUM(표1[[#This Row],[해양탐색]:[마을탐험]])</f>
        <v>0</v>
      </c>
    </row>
    <row r="1548" spans="2:15" ht="13.5" customHeight="1" x14ac:dyDescent="0.3">
      <c r="B1548" s="9">
        <f>[1]Discovery!A1554</f>
        <v>70412048</v>
      </c>
      <c r="C1548" s="9" t="str">
        <f>[1]Discovery!B1554</f>
        <v>무크디쇼</v>
      </c>
      <c r="D1548" s="9" t="str">
        <f>[1]Discovery!E1554</f>
        <v>건축</v>
      </c>
      <c r="E1548" s="9" t="str">
        <f>[1]Discovery!C1554</f>
        <v>항구</v>
      </c>
      <c r="F1548" s="9" t="str">
        <f>[1]Discovery!G1554</f>
        <v>D</v>
      </c>
      <c r="G1548" s="9" t="str">
        <f>IFERROR(VLOOKUP(표1[[#This Row],[명칭]],'문화권 정리'!C:D,2,FALSE),"-")</f>
        <v>항구</v>
      </c>
      <c r="H1548" s="38" t="str">
        <f>IFERROR(COUNTIF([2]OceanDoodad!$Y:$Y,표1[[#This Row],[명칭]]),"-")</f>
        <v>-</v>
      </c>
      <c r="I1548" s="38">
        <f>IFERROR(COUNTIF([1]AdventureDiscoveryGroup!$D$8:$AW$92,표1[[#This Row],[명칭]]),"-")</f>
        <v>0</v>
      </c>
      <c r="J1548" s="38">
        <f>IFERROR(COUNTIF([1]FishDiscoveryGroup!$A:$X,표1[[#This Row],[명칭]]),"-")</f>
        <v>0</v>
      </c>
      <c r="K1548" s="38" t="str">
        <f>IFERROR(COUNTIF([2]Town!$B:$B,표1[[#This Row],[명칭]]),"-")</f>
        <v>-</v>
      </c>
      <c r="L1548" s="38">
        <f>IFERROR(COUNTIF([1]Village!$BR:$BR,표1[[#This Row],[명칭]]),"-")</f>
        <v>0</v>
      </c>
      <c r="M1548" s="38">
        <f>COUNTIF(퀘스트!B:B,표1[[#This Row],[명칭]])</f>
        <v>0</v>
      </c>
      <c r="N1548" s="65">
        <f>COUNTIF([1]VillageDiscoveryGroup!$C:$C,표1[[#This Row],[명칭]])</f>
        <v>0</v>
      </c>
      <c r="O1548" s="65">
        <f>SUM(표1[[#This Row],[해양탐색]:[마을탐험]])</f>
        <v>0</v>
      </c>
    </row>
    <row r="1549" spans="2:15" ht="13.5" customHeight="1" x14ac:dyDescent="0.3">
      <c r="B1549" s="9">
        <f>[1]Discovery!A1555</f>
        <v>70412049</v>
      </c>
      <c r="C1549" s="9" t="str">
        <f>[1]Discovery!B1555</f>
        <v>모삼비크</v>
      </c>
      <c r="D1549" s="9" t="str">
        <f>[1]Discovery!E1555</f>
        <v>건축</v>
      </c>
      <c r="E1549" s="9" t="str">
        <f>[1]Discovery!C1555</f>
        <v>항구</v>
      </c>
      <c r="F1549" s="9" t="str">
        <f>[1]Discovery!G1555</f>
        <v>D</v>
      </c>
      <c r="G1549" s="9" t="str">
        <f>IFERROR(VLOOKUP(표1[[#This Row],[명칭]],'문화권 정리'!C:D,2,FALSE),"-")</f>
        <v>항구</v>
      </c>
      <c r="H1549" s="38" t="str">
        <f>IFERROR(COUNTIF([2]OceanDoodad!$Y:$Y,표1[[#This Row],[명칭]]),"-")</f>
        <v>-</v>
      </c>
      <c r="I1549" s="38">
        <f>IFERROR(COUNTIF([1]AdventureDiscoveryGroup!$D$8:$AW$92,표1[[#This Row],[명칭]]),"-")</f>
        <v>0</v>
      </c>
      <c r="J1549" s="38">
        <f>IFERROR(COUNTIF([1]FishDiscoveryGroup!$A:$X,표1[[#This Row],[명칭]]),"-")</f>
        <v>0</v>
      </c>
      <c r="K1549" s="38" t="str">
        <f>IFERROR(COUNTIF([2]Town!$B:$B,표1[[#This Row],[명칭]]),"-")</f>
        <v>-</v>
      </c>
      <c r="L1549" s="38">
        <f>IFERROR(COUNTIF([1]Village!$BR:$BR,표1[[#This Row],[명칭]]),"-")</f>
        <v>0</v>
      </c>
      <c r="M1549" s="38">
        <f>COUNTIF(퀘스트!B:B,표1[[#This Row],[명칭]])</f>
        <v>0</v>
      </c>
      <c r="N1549" s="65">
        <f>COUNTIF([1]VillageDiscoveryGroup!$C:$C,표1[[#This Row],[명칭]])</f>
        <v>0</v>
      </c>
      <c r="O1549" s="65">
        <f>SUM(표1[[#This Row],[해양탐색]:[마을탐험]])</f>
        <v>0</v>
      </c>
    </row>
    <row r="1550" spans="2:15" ht="13.5" customHeight="1" x14ac:dyDescent="0.3">
      <c r="B1550" s="9">
        <f>[1]Discovery!A1556</f>
        <v>70412050</v>
      </c>
      <c r="C1550" s="9" t="str">
        <f>[1]Discovery!B1556</f>
        <v>만바사</v>
      </c>
      <c r="D1550" s="9" t="str">
        <f>[1]Discovery!E1556</f>
        <v>건축</v>
      </c>
      <c r="E1550" s="9" t="str">
        <f>[1]Discovery!C1556</f>
        <v>항구</v>
      </c>
      <c r="F1550" s="9" t="str">
        <f>[1]Discovery!G1556</f>
        <v>D</v>
      </c>
      <c r="G1550" s="9" t="str">
        <f>IFERROR(VLOOKUP(표1[[#This Row],[명칭]],'문화권 정리'!C:D,2,FALSE),"-")</f>
        <v>항구</v>
      </c>
      <c r="H1550" s="38" t="str">
        <f>IFERROR(COUNTIF([2]OceanDoodad!$Y:$Y,표1[[#This Row],[명칭]]),"-")</f>
        <v>-</v>
      </c>
      <c r="I1550" s="38">
        <f>IFERROR(COUNTIF([1]AdventureDiscoveryGroup!$D$8:$AW$92,표1[[#This Row],[명칭]]),"-")</f>
        <v>0</v>
      </c>
      <c r="J1550" s="38">
        <f>IFERROR(COUNTIF([1]FishDiscoveryGroup!$A:$X,표1[[#This Row],[명칭]]),"-")</f>
        <v>0</v>
      </c>
      <c r="K1550" s="38" t="str">
        <f>IFERROR(COUNTIF([2]Town!$B:$B,표1[[#This Row],[명칭]]),"-")</f>
        <v>-</v>
      </c>
      <c r="L1550" s="38">
        <f>IFERROR(COUNTIF([1]Village!$BR:$BR,표1[[#This Row],[명칭]]),"-")</f>
        <v>0</v>
      </c>
      <c r="M1550" s="38">
        <f>COUNTIF(퀘스트!B:B,표1[[#This Row],[명칭]])</f>
        <v>0</v>
      </c>
      <c r="N1550" s="65">
        <f>COUNTIF([1]VillageDiscoveryGroup!$C:$C,표1[[#This Row],[명칭]])</f>
        <v>0</v>
      </c>
      <c r="O1550" s="65">
        <f>SUM(표1[[#This Row],[해양탐색]:[마을탐험]])</f>
        <v>0</v>
      </c>
    </row>
    <row r="1551" spans="2:15" ht="13.5" customHeight="1" x14ac:dyDescent="0.3">
      <c r="B1551" s="9">
        <f>[1]Discovery!A1557</f>
        <v>70412051</v>
      </c>
      <c r="C1551" s="9" t="str">
        <f>[1]Discovery!B1557</f>
        <v>몽펠리에</v>
      </c>
      <c r="D1551" s="9" t="str">
        <f>[1]Discovery!E1557</f>
        <v>건축</v>
      </c>
      <c r="E1551" s="9" t="str">
        <f>[1]Discovery!C1557</f>
        <v>항구</v>
      </c>
      <c r="F1551" s="9" t="str">
        <f>[1]Discovery!G1557</f>
        <v>D</v>
      </c>
      <c r="G1551" s="9" t="str">
        <f>IFERROR(VLOOKUP(표1[[#This Row],[명칭]],'문화권 정리'!C:D,2,FALSE),"-")</f>
        <v>항구</v>
      </c>
      <c r="H1551" s="38" t="str">
        <f>IFERROR(COUNTIF([2]OceanDoodad!$Y:$Y,표1[[#This Row],[명칭]]),"-")</f>
        <v>-</v>
      </c>
      <c r="I1551" s="38">
        <f>IFERROR(COUNTIF([1]AdventureDiscoveryGroup!$D$8:$AW$92,표1[[#This Row],[명칭]]),"-")</f>
        <v>0</v>
      </c>
      <c r="J1551" s="38">
        <f>IFERROR(COUNTIF([1]FishDiscoveryGroup!$A:$X,표1[[#This Row],[명칭]]),"-")</f>
        <v>0</v>
      </c>
      <c r="K1551" s="38" t="str">
        <f>IFERROR(COUNTIF([2]Town!$B:$B,표1[[#This Row],[명칭]]),"-")</f>
        <v>-</v>
      </c>
      <c r="L1551" s="38">
        <f>IFERROR(COUNTIF([1]Village!$BR:$BR,표1[[#This Row],[명칭]]),"-")</f>
        <v>0</v>
      </c>
      <c r="M1551" s="38">
        <f>COUNTIF(퀘스트!B:B,표1[[#This Row],[명칭]])</f>
        <v>0</v>
      </c>
      <c r="N1551" s="65">
        <f>COUNTIF([1]VillageDiscoveryGroup!$C:$C,표1[[#This Row],[명칭]])</f>
        <v>0</v>
      </c>
      <c r="O1551" s="65">
        <f>SUM(표1[[#This Row],[해양탐색]:[마을탐험]])</f>
        <v>0</v>
      </c>
    </row>
    <row r="1552" spans="2:15" ht="13.5" customHeight="1" x14ac:dyDescent="0.3">
      <c r="B1552" s="9">
        <f>[1]Discovery!A1558</f>
        <v>70412052</v>
      </c>
      <c r="C1552" s="9" t="str">
        <f>[1]Discovery!B1558</f>
        <v>마스카트</v>
      </c>
      <c r="D1552" s="9" t="str">
        <f>[1]Discovery!E1558</f>
        <v>건축</v>
      </c>
      <c r="E1552" s="9" t="str">
        <f>[1]Discovery!C1558</f>
        <v>항구</v>
      </c>
      <c r="F1552" s="9" t="str">
        <f>[1]Discovery!G1558</f>
        <v>D</v>
      </c>
      <c r="G1552" s="9" t="str">
        <f>IFERROR(VLOOKUP(표1[[#This Row],[명칭]],'문화권 정리'!C:D,2,FALSE),"-")</f>
        <v>항구</v>
      </c>
      <c r="H1552" s="38" t="str">
        <f>IFERROR(COUNTIF([2]OceanDoodad!$Y:$Y,표1[[#This Row],[명칭]]),"-")</f>
        <v>-</v>
      </c>
      <c r="I1552" s="38">
        <f>IFERROR(COUNTIF([1]AdventureDiscoveryGroup!$D$8:$AW$92,표1[[#This Row],[명칭]]),"-")</f>
        <v>0</v>
      </c>
      <c r="J1552" s="38">
        <f>IFERROR(COUNTIF([1]FishDiscoveryGroup!$A:$X,표1[[#This Row],[명칭]]),"-")</f>
        <v>0</v>
      </c>
      <c r="K1552" s="38" t="str">
        <f>IFERROR(COUNTIF([2]Town!$B:$B,표1[[#This Row],[명칭]]),"-")</f>
        <v>-</v>
      </c>
      <c r="L1552" s="38">
        <f>IFERROR(COUNTIF([1]Village!$BR:$BR,표1[[#This Row],[명칭]]),"-")</f>
        <v>0</v>
      </c>
      <c r="M1552" s="38">
        <f>COUNTIF(퀘스트!B:B,표1[[#This Row],[명칭]])</f>
        <v>0</v>
      </c>
      <c r="N1552" s="65">
        <f>COUNTIF([1]VillageDiscoveryGroup!$C:$C,표1[[#This Row],[명칭]])</f>
        <v>0</v>
      </c>
      <c r="O1552" s="65">
        <f>SUM(표1[[#This Row],[해양탐색]:[마을탐험]])</f>
        <v>0</v>
      </c>
    </row>
    <row r="1553" spans="2:15" ht="13.5" customHeight="1" x14ac:dyDescent="0.3">
      <c r="B1553" s="9">
        <f>[1]Discovery!A1559</f>
        <v>70412053</v>
      </c>
      <c r="C1553" s="9" t="str">
        <f>[1]Discovery!B1559</f>
        <v>바르셀로나</v>
      </c>
      <c r="D1553" s="9" t="str">
        <f>[1]Discovery!E1559</f>
        <v>건축</v>
      </c>
      <c r="E1553" s="9" t="str">
        <f>[1]Discovery!C1559</f>
        <v>항구</v>
      </c>
      <c r="F1553" s="9" t="str">
        <f>[1]Discovery!G1559</f>
        <v>D</v>
      </c>
      <c r="G1553" s="9" t="str">
        <f>IFERROR(VLOOKUP(표1[[#This Row],[명칭]],'문화권 정리'!C:D,2,FALSE),"-")</f>
        <v>항구</v>
      </c>
      <c r="H1553" s="38" t="str">
        <f>IFERROR(COUNTIF([2]OceanDoodad!$Y:$Y,표1[[#This Row],[명칭]]),"-")</f>
        <v>-</v>
      </c>
      <c r="I1553" s="38">
        <f>IFERROR(COUNTIF([1]AdventureDiscoveryGroup!$D$8:$AW$92,표1[[#This Row],[명칭]]),"-")</f>
        <v>0</v>
      </c>
      <c r="J1553" s="38">
        <f>IFERROR(COUNTIF([1]FishDiscoveryGroup!$A:$X,표1[[#This Row],[명칭]]),"-")</f>
        <v>0</v>
      </c>
      <c r="K1553" s="38" t="str">
        <f>IFERROR(COUNTIF([2]Town!$B:$B,표1[[#This Row],[명칭]]),"-")</f>
        <v>-</v>
      </c>
      <c r="L1553" s="38">
        <f>IFERROR(COUNTIF([1]Village!$BR:$BR,표1[[#This Row],[명칭]]),"-")</f>
        <v>0</v>
      </c>
      <c r="M1553" s="38">
        <f>COUNTIF(퀘스트!B:B,표1[[#This Row],[명칭]])</f>
        <v>0</v>
      </c>
      <c r="N1553" s="65">
        <f>COUNTIF([1]VillageDiscoveryGroup!$C:$C,표1[[#This Row],[명칭]])</f>
        <v>0</v>
      </c>
      <c r="O1553" s="65">
        <f>SUM(표1[[#This Row],[해양탐색]:[마을탐험]])</f>
        <v>0</v>
      </c>
    </row>
    <row r="1554" spans="2:15" ht="13.5" customHeight="1" x14ac:dyDescent="0.3">
      <c r="B1554" s="9">
        <f>[1]Discovery!A1560</f>
        <v>70412054</v>
      </c>
      <c r="C1554" s="9" t="str">
        <f>[1]Discovery!B1560</f>
        <v>알바스라</v>
      </c>
      <c r="D1554" s="9" t="str">
        <f>[1]Discovery!E1560</f>
        <v>건축</v>
      </c>
      <c r="E1554" s="9" t="str">
        <f>[1]Discovery!C1560</f>
        <v>항구</v>
      </c>
      <c r="F1554" s="9" t="str">
        <f>[1]Discovery!G1560</f>
        <v>D</v>
      </c>
      <c r="G1554" s="9" t="str">
        <f>IFERROR(VLOOKUP(표1[[#This Row],[명칭]],'문화권 정리'!C:D,2,FALSE),"-")</f>
        <v>항구</v>
      </c>
      <c r="H1554" s="38" t="str">
        <f>IFERROR(COUNTIF([2]OceanDoodad!$Y:$Y,표1[[#This Row],[명칭]]),"-")</f>
        <v>-</v>
      </c>
      <c r="I1554" s="38">
        <f>IFERROR(COUNTIF([1]AdventureDiscoveryGroup!$D$8:$AW$92,표1[[#This Row],[명칭]]),"-")</f>
        <v>0</v>
      </c>
      <c r="J1554" s="38">
        <f>IFERROR(COUNTIF([1]FishDiscoveryGroup!$A:$X,표1[[#This Row],[명칭]]),"-")</f>
        <v>0</v>
      </c>
      <c r="K1554" s="38" t="str">
        <f>IFERROR(COUNTIF([2]Town!$B:$B,표1[[#This Row],[명칭]]),"-")</f>
        <v>-</v>
      </c>
      <c r="L1554" s="38">
        <f>IFERROR(COUNTIF([1]Village!$BR:$BR,표1[[#This Row],[명칭]]),"-")</f>
        <v>0</v>
      </c>
      <c r="M1554" s="38">
        <f>COUNTIF(퀘스트!B:B,표1[[#This Row],[명칭]])</f>
        <v>0</v>
      </c>
      <c r="N1554" s="65">
        <f>COUNTIF([1]VillageDiscoveryGroup!$C:$C,표1[[#This Row],[명칭]])</f>
        <v>0</v>
      </c>
      <c r="O1554" s="65">
        <f>SUM(표1[[#This Row],[해양탐색]:[마을탐험]])</f>
        <v>0</v>
      </c>
    </row>
    <row r="1555" spans="2:15" ht="13.5" customHeight="1" x14ac:dyDescent="0.3">
      <c r="B1555" s="9">
        <f>[1]Discovery!A1561</f>
        <v>70412055</v>
      </c>
      <c r="C1555" s="9" t="str">
        <f>[1]Discovery!B1561</f>
        <v>바이아</v>
      </c>
      <c r="D1555" s="9" t="str">
        <f>[1]Discovery!E1561</f>
        <v>건축</v>
      </c>
      <c r="E1555" s="9" t="str">
        <f>[1]Discovery!C1561</f>
        <v>항구</v>
      </c>
      <c r="F1555" s="9" t="str">
        <f>[1]Discovery!G1561</f>
        <v>D</v>
      </c>
      <c r="G1555" s="9" t="str">
        <f>IFERROR(VLOOKUP(표1[[#This Row],[명칭]],'문화권 정리'!C:D,2,FALSE),"-")</f>
        <v>항구</v>
      </c>
      <c r="H1555" s="38" t="str">
        <f>IFERROR(COUNTIF([2]OceanDoodad!$Y:$Y,표1[[#This Row],[명칭]]),"-")</f>
        <v>-</v>
      </c>
      <c r="I1555" s="38">
        <f>IFERROR(COUNTIF([1]AdventureDiscoveryGroup!$D$8:$AW$92,표1[[#This Row],[명칭]]),"-")</f>
        <v>0</v>
      </c>
      <c r="J1555" s="38">
        <f>IFERROR(COUNTIF([1]FishDiscoveryGroup!$A:$X,표1[[#This Row],[명칭]]),"-")</f>
        <v>0</v>
      </c>
      <c r="K1555" s="38" t="str">
        <f>IFERROR(COUNTIF([2]Town!$B:$B,표1[[#This Row],[명칭]]),"-")</f>
        <v>-</v>
      </c>
      <c r="L1555" s="38">
        <f>IFERROR(COUNTIF([1]Village!$BR:$BR,표1[[#This Row],[명칭]]),"-")</f>
        <v>0</v>
      </c>
      <c r="M1555" s="38">
        <f>COUNTIF(퀘스트!B:B,표1[[#This Row],[명칭]])</f>
        <v>0</v>
      </c>
      <c r="N1555" s="65">
        <f>COUNTIF([1]VillageDiscoveryGroup!$C:$C,표1[[#This Row],[명칭]])</f>
        <v>0</v>
      </c>
      <c r="O1555" s="65">
        <f>SUM(표1[[#This Row],[해양탐색]:[마을탐험]])</f>
        <v>0</v>
      </c>
    </row>
    <row r="1556" spans="2:15" ht="13.5" customHeight="1" x14ac:dyDescent="0.3">
      <c r="B1556" s="9">
        <f>[1]Discovery!A1562</f>
        <v>70412056</v>
      </c>
      <c r="C1556" s="9" t="str">
        <f>[1]Discovery!B1562</f>
        <v>반다</v>
      </c>
      <c r="D1556" s="9" t="str">
        <f>[1]Discovery!E1562</f>
        <v>건축</v>
      </c>
      <c r="E1556" s="9" t="str">
        <f>[1]Discovery!C1562</f>
        <v>항구</v>
      </c>
      <c r="F1556" s="9" t="str">
        <f>[1]Discovery!G1562</f>
        <v>D</v>
      </c>
      <c r="G1556" s="9" t="str">
        <f>IFERROR(VLOOKUP(표1[[#This Row],[명칭]],'문화권 정리'!C:D,2,FALSE),"-")</f>
        <v>항구</v>
      </c>
      <c r="H1556" s="38" t="str">
        <f>IFERROR(COUNTIF([2]OceanDoodad!$Y:$Y,표1[[#This Row],[명칭]]),"-")</f>
        <v>-</v>
      </c>
      <c r="I1556" s="38">
        <f>IFERROR(COUNTIF([1]AdventureDiscoveryGroup!$D$8:$AW$92,표1[[#This Row],[명칭]]),"-")</f>
        <v>0</v>
      </c>
      <c r="J1556" s="38">
        <f>IFERROR(COUNTIF([1]FishDiscoveryGroup!$A:$X,표1[[#This Row],[명칭]]),"-")</f>
        <v>0</v>
      </c>
      <c r="K1556" s="38" t="str">
        <f>IFERROR(COUNTIF([2]Town!$B:$B,표1[[#This Row],[명칭]]),"-")</f>
        <v>-</v>
      </c>
      <c r="L1556" s="38">
        <f>IFERROR(COUNTIF([1]Village!$BR:$BR,표1[[#This Row],[명칭]]),"-")</f>
        <v>0</v>
      </c>
      <c r="M1556" s="38">
        <f>COUNTIF(퀘스트!B:B,표1[[#This Row],[명칭]])</f>
        <v>0</v>
      </c>
      <c r="N1556" s="65">
        <f>COUNTIF([1]VillageDiscoveryGroup!$C:$C,표1[[#This Row],[명칭]])</f>
        <v>0</v>
      </c>
      <c r="O1556" s="65">
        <f>SUM(표1[[#This Row],[해양탐색]:[마을탐험]])</f>
        <v>0</v>
      </c>
    </row>
    <row r="1557" spans="2:15" ht="13.5" customHeight="1" x14ac:dyDescent="0.3">
      <c r="B1557" s="9">
        <f>[1]Discovery!A1563</f>
        <v>70412057</v>
      </c>
      <c r="C1557" s="9" t="str">
        <f>[1]Discovery!B1563</f>
        <v>반자르마신</v>
      </c>
      <c r="D1557" s="9" t="str">
        <f>[1]Discovery!E1563</f>
        <v>건축</v>
      </c>
      <c r="E1557" s="9" t="str">
        <f>[1]Discovery!C1563</f>
        <v>항구</v>
      </c>
      <c r="F1557" s="9" t="str">
        <f>[1]Discovery!G1563</f>
        <v>D</v>
      </c>
      <c r="G1557" s="9" t="str">
        <f>IFERROR(VLOOKUP(표1[[#This Row],[명칭]],'문화권 정리'!C:D,2,FALSE),"-")</f>
        <v>항구</v>
      </c>
      <c r="H1557" s="38" t="str">
        <f>IFERROR(COUNTIF([2]OceanDoodad!$Y:$Y,표1[[#This Row],[명칭]]),"-")</f>
        <v>-</v>
      </c>
      <c r="I1557" s="38">
        <f>IFERROR(COUNTIF([1]AdventureDiscoveryGroup!$D$8:$AW$92,표1[[#This Row],[명칭]]),"-")</f>
        <v>0</v>
      </c>
      <c r="J1557" s="38">
        <f>IFERROR(COUNTIF([1]FishDiscoveryGroup!$A:$X,표1[[#This Row],[명칭]]),"-")</f>
        <v>0</v>
      </c>
      <c r="K1557" s="38" t="str">
        <f>IFERROR(COUNTIF([2]Town!$B:$B,표1[[#This Row],[명칭]]),"-")</f>
        <v>-</v>
      </c>
      <c r="L1557" s="38">
        <f>IFERROR(COUNTIF([1]Village!$BR:$BR,표1[[#This Row],[명칭]]),"-")</f>
        <v>0</v>
      </c>
      <c r="M1557" s="38">
        <f>COUNTIF(퀘스트!B:B,표1[[#This Row],[명칭]])</f>
        <v>0</v>
      </c>
      <c r="N1557" s="65">
        <f>COUNTIF([1]VillageDiscoveryGroup!$C:$C,표1[[#This Row],[명칭]])</f>
        <v>0</v>
      </c>
      <c r="O1557" s="65">
        <f>SUM(표1[[#This Row],[해양탐색]:[마을탐험]])</f>
        <v>0</v>
      </c>
    </row>
    <row r="1558" spans="2:15" ht="13.5" customHeight="1" x14ac:dyDescent="0.3">
      <c r="B1558" s="9">
        <f>[1]Discovery!A1564</f>
        <v>70412058</v>
      </c>
      <c r="C1558" s="9" t="str">
        <f>[1]Discovery!B1564</f>
        <v>발렌시아</v>
      </c>
      <c r="D1558" s="9" t="str">
        <f>[1]Discovery!E1564</f>
        <v>건축</v>
      </c>
      <c r="E1558" s="9" t="str">
        <f>[1]Discovery!C1564</f>
        <v>항구</v>
      </c>
      <c r="F1558" s="9" t="str">
        <f>[1]Discovery!G1564</f>
        <v>D</v>
      </c>
      <c r="G1558" s="9" t="str">
        <f>IFERROR(VLOOKUP(표1[[#This Row],[명칭]],'문화권 정리'!C:D,2,FALSE),"-")</f>
        <v>항구</v>
      </c>
      <c r="H1558" s="38" t="str">
        <f>IFERROR(COUNTIF([2]OceanDoodad!$Y:$Y,표1[[#This Row],[명칭]]),"-")</f>
        <v>-</v>
      </c>
      <c r="I1558" s="38">
        <f>IFERROR(COUNTIF([1]AdventureDiscoveryGroup!$D$8:$AW$92,표1[[#This Row],[명칭]]),"-")</f>
        <v>0</v>
      </c>
      <c r="J1558" s="38">
        <f>IFERROR(COUNTIF([1]FishDiscoveryGroup!$A:$X,표1[[#This Row],[명칭]]),"-")</f>
        <v>0</v>
      </c>
      <c r="K1558" s="38" t="str">
        <f>IFERROR(COUNTIF([2]Town!$B:$B,표1[[#This Row],[명칭]]),"-")</f>
        <v>-</v>
      </c>
      <c r="L1558" s="38">
        <f>IFERROR(COUNTIF([1]Village!$BR:$BR,표1[[#This Row],[명칭]]),"-")</f>
        <v>0</v>
      </c>
      <c r="M1558" s="38">
        <f>COUNTIF(퀘스트!B:B,표1[[#This Row],[명칭]])</f>
        <v>0</v>
      </c>
      <c r="N1558" s="65">
        <f>COUNTIF([1]VillageDiscoveryGroup!$C:$C,표1[[#This Row],[명칭]])</f>
        <v>0</v>
      </c>
      <c r="O1558" s="65">
        <f>SUM(표1[[#This Row],[해양탐색]:[마을탐험]])</f>
        <v>0</v>
      </c>
    </row>
    <row r="1559" spans="2:15" ht="13.5" customHeight="1" x14ac:dyDescent="0.3">
      <c r="B1559" s="9">
        <f>[1]Discovery!A1565</f>
        <v>70412059</v>
      </c>
      <c r="C1559" s="9" t="str">
        <f>[1]Discovery!B1565</f>
        <v>발파라이소</v>
      </c>
      <c r="D1559" s="9" t="str">
        <f>[1]Discovery!E1565</f>
        <v>건축</v>
      </c>
      <c r="E1559" s="9" t="str">
        <f>[1]Discovery!C1565</f>
        <v>항구</v>
      </c>
      <c r="F1559" s="9" t="str">
        <f>[1]Discovery!G1565</f>
        <v>D</v>
      </c>
      <c r="G1559" s="9" t="str">
        <f>IFERROR(VLOOKUP(표1[[#This Row],[명칭]],'문화권 정리'!C:D,2,FALSE),"-")</f>
        <v>항구</v>
      </c>
      <c r="H1559" s="38" t="str">
        <f>IFERROR(COUNTIF([2]OceanDoodad!$Y:$Y,표1[[#This Row],[명칭]]),"-")</f>
        <v>-</v>
      </c>
      <c r="I1559" s="38">
        <f>IFERROR(COUNTIF([1]AdventureDiscoveryGroup!$D$8:$AW$92,표1[[#This Row],[명칭]]),"-")</f>
        <v>0</v>
      </c>
      <c r="J1559" s="38">
        <f>IFERROR(COUNTIF([1]FishDiscoveryGroup!$A:$X,표1[[#This Row],[명칭]]),"-")</f>
        <v>0</v>
      </c>
      <c r="K1559" s="38" t="str">
        <f>IFERROR(COUNTIF([2]Town!$B:$B,표1[[#This Row],[명칭]]),"-")</f>
        <v>-</v>
      </c>
      <c r="L1559" s="38">
        <f>IFERROR(COUNTIF([1]Village!$BR:$BR,표1[[#This Row],[명칭]]),"-")</f>
        <v>0</v>
      </c>
      <c r="M1559" s="38">
        <f>COUNTIF(퀘스트!B:B,표1[[#This Row],[명칭]])</f>
        <v>0</v>
      </c>
      <c r="N1559" s="65">
        <f>COUNTIF([1]VillageDiscoveryGroup!$C:$C,표1[[#This Row],[명칭]])</f>
        <v>0</v>
      </c>
      <c r="O1559" s="65">
        <f>SUM(표1[[#This Row],[해양탐색]:[마을탐험]])</f>
        <v>0</v>
      </c>
    </row>
    <row r="1560" spans="2:15" ht="13.5" customHeight="1" x14ac:dyDescent="0.3">
      <c r="B1560" s="9">
        <f>[1]Discovery!A1566</f>
        <v>70412060</v>
      </c>
      <c r="C1560" s="9" t="str">
        <f>[1]Discovery!B1566</f>
        <v>팡칼피낭</v>
      </c>
      <c r="D1560" s="9" t="str">
        <f>[1]Discovery!E1566</f>
        <v>건축</v>
      </c>
      <c r="E1560" s="9" t="str">
        <f>[1]Discovery!C1566</f>
        <v>항구</v>
      </c>
      <c r="F1560" s="9" t="str">
        <f>[1]Discovery!G1566</f>
        <v>D</v>
      </c>
      <c r="G1560" s="9" t="str">
        <f>IFERROR(VLOOKUP(표1[[#This Row],[명칭]],'문화권 정리'!C:D,2,FALSE),"-")</f>
        <v>항구</v>
      </c>
      <c r="H1560" s="38" t="str">
        <f>IFERROR(COUNTIF([2]OceanDoodad!$Y:$Y,표1[[#This Row],[명칭]]),"-")</f>
        <v>-</v>
      </c>
      <c r="I1560" s="38">
        <f>IFERROR(COUNTIF([1]AdventureDiscoveryGroup!$D$8:$AW$92,표1[[#This Row],[명칭]]),"-")</f>
        <v>0</v>
      </c>
      <c r="J1560" s="38">
        <f>IFERROR(COUNTIF([1]FishDiscoveryGroup!$A:$X,표1[[#This Row],[명칭]]),"-")</f>
        <v>0</v>
      </c>
      <c r="K1560" s="38" t="str">
        <f>IFERROR(COUNTIF([2]Town!$B:$B,표1[[#This Row],[명칭]]),"-")</f>
        <v>-</v>
      </c>
      <c r="L1560" s="38">
        <f>IFERROR(COUNTIF([1]Village!$BR:$BR,표1[[#This Row],[명칭]]),"-")</f>
        <v>0</v>
      </c>
      <c r="M1560" s="38">
        <f>COUNTIF(퀘스트!B:B,표1[[#This Row],[명칭]])</f>
        <v>0</v>
      </c>
      <c r="N1560" s="65">
        <f>COUNTIF([1]VillageDiscoveryGroup!$C:$C,표1[[#This Row],[명칭]])</f>
        <v>0</v>
      </c>
      <c r="O1560" s="65">
        <f>SUM(표1[[#This Row],[해양탐색]:[마을탐험]])</f>
        <v>0</v>
      </c>
    </row>
    <row r="1561" spans="2:15" ht="13.5" customHeight="1" x14ac:dyDescent="0.3">
      <c r="B1561" s="9">
        <f>[1]Discovery!A1567</f>
        <v>70412061</v>
      </c>
      <c r="C1561" s="9" t="str">
        <f>[1]Discovery!B1567</f>
        <v>배로우</v>
      </c>
      <c r="D1561" s="9" t="str">
        <f>[1]Discovery!E1567</f>
        <v>건축</v>
      </c>
      <c r="E1561" s="9" t="str">
        <f>[1]Discovery!C1567</f>
        <v>항구</v>
      </c>
      <c r="F1561" s="9" t="str">
        <f>[1]Discovery!G1567</f>
        <v>D</v>
      </c>
      <c r="G1561" s="9" t="str">
        <f>IFERROR(VLOOKUP(표1[[#This Row],[명칭]],'문화권 정리'!C:D,2,FALSE),"-")</f>
        <v>항구</v>
      </c>
      <c r="H1561" s="38" t="str">
        <f>IFERROR(COUNTIF([2]OceanDoodad!$Y:$Y,표1[[#This Row],[명칭]]),"-")</f>
        <v>-</v>
      </c>
      <c r="I1561" s="38">
        <f>IFERROR(COUNTIF([1]AdventureDiscoveryGroup!$D$8:$AW$92,표1[[#This Row],[명칭]]),"-")</f>
        <v>0</v>
      </c>
      <c r="J1561" s="38">
        <f>IFERROR(COUNTIF([1]FishDiscoveryGroup!$A:$X,표1[[#This Row],[명칭]]),"-")</f>
        <v>0</v>
      </c>
      <c r="K1561" s="38" t="str">
        <f>IFERROR(COUNTIF([2]Town!$B:$B,표1[[#This Row],[명칭]]),"-")</f>
        <v>-</v>
      </c>
      <c r="L1561" s="38">
        <f>IFERROR(COUNTIF([1]Village!$BR:$BR,표1[[#This Row],[명칭]]),"-")</f>
        <v>0</v>
      </c>
      <c r="M1561" s="38">
        <f>COUNTIF(퀘스트!B:B,표1[[#This Row],[명칭]])</f>
        <v>0</v>
      </c>
      <c r="N1561" s="65">
        <f>COUNTIF([1]VillageDiscoveryGroup!$C:$C,표1[[#This Row],[명칭]])</f>
        <v>0</v>
      </c>
      <c r="O1561" s="65">
        <f>SUM(표1[[#This Row],[해양탐색]:[마을탐험]])</f>
        <v>0</v>
      </c>
    </row>
    <row r="1562" spans="2:15" ht="13.5" customHeight="1" x14ac:dyDescent="0.3">
      <c r="B1562" s="9">
        <f>[1]Discovery!A1568</f>
        <v>70412062</v>
      </c>
      <c r="C1562" s="9" t="str">
        <f>[1]Discovery!B1568</f>
        <v>배서스트</v>
      </c>
      <c r="D1562" s="9" t="str">
        <f>[1]Discovery!E1568</f>
        <v>건축</v>
      </c>
      <c r="E1562" s="9" t="str">
        <f>[1]Discovery!C1568</f>
        <v>항구</v>
      </c>
      <c r="F1562" s="9" t="str">
        <f>[1]Discovery!G1568</f>
        <v>D</v>
      </c>
      <c r="G1562" s="9" t="str">
        <f>IFERROR(VLOOKUP(표1[[#This Row],[명칭]],'문화권 정리'!C:D,2,FALSE),"-")</f>
        <v>항구</v>
      </c>
      <c r="H1562" s="38" t="str">
        <f>IFERROR(COUNTIF([2]OceanDoodad!$Y:$Y,표1[[#This Row],[명칭]]),"-")</f>
        <v>-</v>
      </c>
      <c r="I1562" s="38">
        <f>IFERROR(COUNTIF([1]AdventureDiscoveryGroup!$D$8:$AW$92,표1[[#This Row],[명칭]]),"-")</f>
        <v>0</v>
      </c>
      <c r="J1562" s="38">
        <f>IFERROR(COUNTIF([1]FishDiscoveryGroup!$A:$X,표1[[#This Row],[명칭]]),"-")</f>
        <v>0</v>
      </c>
      <c r="K1562" s="38" t="str">
        <f>IFERROR(COUNTIF([2]Town!$B:$B,표1[[#This Row],[명칭]]),"-")</f>
        <v>-</v>
      </c>
      <c r="L1562" s="38">
        <f>IFERROR(COUNTIF([1]Village!$BR:$BR,표1[[#This Row],[명칭]]),"-")</f>
        <v>0</v>
      </c>
      <c r="M1562" s="38">
        <f>COUNTIF(퀘스트!B:B,표1[[#This Row],[명칭]])</f>
        <v>0</v>
      </c>
      <c r="N1562" s="65">
        <f>COUNTIF([1]VillageDiscoveryGroup!$C:$C,표1[[#This Row],[명칭]])</f>
        <v>0</v>
      </c>
      <c r="O1562" s="65">
        <f>SUM(표1[[#This Row],[해양탐색]:[마을탐험]])</f>
        <v>0</v>
      </c>
    </row>
    <row r="1563" spans="2:15" ht="13.5" customHeight="1" x14ac:dyDescent="0.3">
      <c r="B1563" s="9">
        <f>[1]Discovery!A1569</f>
        <v>70412063</v>
      </c>
      <c r="C1563" s="9" t="str">
        <f>[1]Discovery!B1569</f>
        <v>베냉</v>
      </c>
      <c r="D1563" s="9" t="str">
        <f>[1]Discovery!E1569</f>
        <v>건축</v>
      </c>
      <c r="E1563" s="9" t="str">
        <f>[1]Discovery!C1569</f>
        <v>항구</v>
      </c>
      <c r="F1563" s="9" t="str">
        <f>[1]Discovery!G1569</f>
        <v>D</v>
      </c>
      <c r="G1563" s="9" t="str">
        <f>IFERROR(VLOOKUP(표1[[#This Row],[명칭]],'문화권 정리'!C:D,2,FALSE),"-")</f>
        <v>항구</v>
      </c>
      <c r="H1563" s="38" t="str">
        <f>IFERROR(COUNTIF([2]OceanDoodad!$Y:$Y,표1[[#This Row],[명칭]]),"-")</f>
        <v>-</v>
      </c>
      <c r="I1563" s="38">
        <f>IFERROR(COUNTIF([1]AdventureDiscoveryGroup!$D$8:$AW$92,표1[[#This Row],[명칭]]),"-")</f>
        <v>0</v>
      </c>
      <c r="J1563" s="38">
        <f>IFERROR(COUNTIF([1]FishDiscoveryGroup!$A:$X,표1[[#This Row],[명칭]]),"-")</f>
        <v>0</v>
      </c>
      <c r="K1563" s="38" t="str">
        <f>IFERROR(COUNTIF([2]Town!$B:$B,표1[[#This Row],[명칭]]),"-")</f>
        <v>-</v>
      </c>
      <c r="L1563" s="38">
        <f>IFERROR(COUNTIF([1]Village!$BR:$BR,표1[[#This Row],[명칭]]),"-")</f>
        <v>0</v>
      </c>
      <c r="M1563" s="38">
        <f>COUNTIF(퀘스트!B:B,표1[[#This Row],[명칭]])</f>
        <v>0</v>
      </c>
      <c r="N1563" s="65">
        <f>COUNTIF([1]VillageDiscoveryGroup!$C:$C,표1[[#This Row],[명칭]])</f>
        <v>0</v>
      </c>
      <c r="O1563" s="65">
        <f>SUM(표1[[#This Row],[해양탐색]:[마을탐험]])</f>
        <v>0</v>
      </c>
    </row>
    <row r="1564" spans="2:15" ht="13.5" customHeight="1" x14ac:dyDescent="0.3">
      <c r="B1564" s="9">
        <f>[1]Discovery!A1570</f>
        <v>70412064</v>
      </c>
      <c r="C1564" s="9" t="str">
        <f>[1]Discovery!B1570</f>
        <v>베네치아</v>
      </c>
      <c r="D1564" s="9" t="str">
        <f>[1]Discovery!E1570</f>
        <v>건축</v>
      </c>
      <c r="E1564" s="9" t="str">
        <f>[1]Discovery!C1570</f>
        <v>항구</v>
      </c>
      <c r="F1564" s="9" t="str">
        <f>[1]Discovery!G1570</f>
        <v>D</v>
      </c>
      <c r="G1564" s="9" t="str">
        <f>IFERROR(VLOOKUP(표1[[#This Row],[명칭]],'문화권 정리'!C:D,2,FALSE),"-")</f>
        <v>항구</v>
      </c>
      <c r="H1564" s="38" t="str">
        <f>IFERROR(COUNTIF([2]OceanDoodad!$Y:$Y,표1[[#This Row],[명칭]]),"-")</f>
        <v>-</v>
      </c>
      <c r="I1564" s="38">
        <f>IFERROR(COUNTIF([1]AdventureDiscoveryGroup!$D$8:$AW$92,표1[[#This Row],[명칭]]),"-")</f>
        <v>0</v>
      </c>
      <c r="J1564" s="38">
        <f>IFERROR(COUNTIF([1]FishDiscoveryGroup!$A:$X,표1[[#This Row],[명칭]]),"-")</f>
        <v>0</v>
      </c>
      <c r="K1564" s="38" t="str">
        <f>IFERROR(COUNTIF([2]Town!$B:$B,표1[[#This Row],[명칭]]),"-")</f>
        <v>-</v>
      </c>
      <c r="L1564" s="38">
        <f>IFERROR(COUNTIF([1]Village!$BR:$BR,표1[[#This Row],[명칭]]),"-")</f>
        <v>0</v>
      </c>
      <c r="M1564" s="38">
        <f>COUNTIF(퀘스트!B:B,표1[[#This Row],[명칭]])</f>
        <v>0</v>
      </c>
      <c r="N1564" s="65">
        <f>COUNTIF([1]VillageDiscoveryGroup!$C:$C,표1[[#This Row],[명칭]])</f>
        <v>0</v>
      </c>
      <c r="O1564" s="65">
        <f>SUM(표1[[#This Row],[해양탐색]:[마을탐험]])</f>
        <v>0</v>
      </c>
    </row>
    <row r="1565" spans="2:15" ht="13.5" customHeight="1" x14ac:dyDescent="0.3">
      <c r="B1565" s="9">
        <f>[1]Discovery!A1571</f>
        <v>70412065</v>
      </c>
      <c r="C1565" s="9" t="str">
        <f>[1]Discovery!B1571</f>
        <v>베라크루스</v>
      </c>
      <c r="D1565" s="9" t="str">
        <f>[1]Discovery!E1571</f>
        <v>건축</v>
      </c>
      <c r="E1565" s="9" t="str">
        <f>[1]Discovery!C1571</f>
        <v>항구</v>
      </c>
      <c r="F1565" s="9" t="str">
        <f>[1]Discovery!G1571</f>
        <v>D</v>
      </c>
      <c r="G1565" s="9" t="str">
        <f>IFERROR(VLOOKUP(표1[[#This Row],[명칭]],'문화권 정리'!C:D,2,FALSE),"-")</f>
        <v>항구</v>
      </c>
      <c r="H1565" s="38" t="str">
        <f>IFERROR(COUNTIF([2]OceanDoodad!$Y:$Y,표1[[#This Row],[명칭]]),"-")</f>
        <v>-</v>
      </c>
      <c r="I1565" s="38">
        <f>IFERROR(COUNTIF([1]AdventureDiscoveryGroup!$D$8:$AW$92,표1[[#This Row],[명칭]]),"-")</f>
        <v>0</v>
      </c>
      <c r="J1565" s="38">
        <f>IFERROR(COUNTIF([1]FishDiscoveryGroup!$A:$X,표1[[#This Row],[명칭]]),"-")</f>
        <v>0</v>
      </c>
      <c r="K1565" s="38" t="str">
        <f>IFERROR(COUNTIF([2]Town!$B:$B,표1[[#This Row],[명칭]]),"-")</f>
        <v>-</v>
      </c>
      <c r="L1565" s="38">
        <f>IFERROR(COUNTIF([1]Village!$BR:$BR,표1[[#This Row],[명칭]]),"-")</f>
        <v>0</v>
      </c>
      <c r="M1565" s="38">
        <f>COUNTIF(퀘스트!B:B,표1[[#This Row],[명칭]])</f>
        <v>0</v>
      </c>
      <c r="N1565" s="65">
        <f>COUNTIF([1]VillageDiscoveryGroup!$C:$C,표1[[#This Row],[명칭]])</f>
        <v>0</v>
      </c>
      <c r="O1565" s="65">
        <f>SUM(표1[[#This Row],[해양탐색]:[마을탐험]])</f>
        <v>0</v>
      </c>
    </row>
    <row r="1566" spans="2:15" ht="13.5" customHeight="1" x14ac:dyDescent="0.3">
      <c r="B1566" s="9">
        <f>[1]Discovery!A1572</f>
        <v>70412066</v>
      </c>
      <c r="C1566" s="9" t="str">
        <f>[1]Discovery!B1572</f>
        <v>베르겐</v>
      </c>
      <c r="D1566" s="9" t="str">
        <f>[1]Discovery!E1572</f>
        <v>건축</v>
      </c>
      <c r="E1566" s="9" t="str">
        <f>[1]Discovery!C1572</f>
        <v>항구</v>
      </c>
      <c r="F1566" s="9" t="str">
        <f>[1]Discovery!G1572</f>
        <v>D</v>
      </c>
      <c r="G1566" s="9" t="str">
        <f>IFERROR(VLOOKUP(표1[[#This Row],[명칭]],'문화권 정리'!C:D,2,FALSE),"-")</f>
        <v>항구</v>
      </c>
      <c r="H1566" s="38" t="str">
        <f>IFERROR(COUNTIF([2]OceanDoodad!$Y:$Y,표1[[#This Row],[명칭]]),"-")</f>
        <v>-</v>
      </c>
      <c r="I1566" s="38">
        <f>IFERROR(COUNTIF([1]AdventureDiscoveryGroup!$D$8:$AW$92,표1[[#This Row],[명칭]]),"-")</f>
        <v>0</v>
      </c>
      <c r="J1566" s="38">
        <f>IFERROR(COUNTIF([1]FishDiscoveryGroup!$A:$X,표1[[#This Row],[명칭]]),"-")</f>
        <v>0</v>
      </c>
      <c r="K1566" s="38" t="str">
        <f>IFERROR(COUNTIF([2]Town!$B:$B,표1[[#This Row],[명칭]]),"-")</f>
        <v>-</v>
      </c>
      <c r="L1566" s="38">
        <f>IFERROR(COUNTIF([1]Village!$BR:$BR,표1[[#This Row],[명칭]]),"-")</f>
        <v>0</v>
      </c>
      <c r="M1566" s="38">
        <f>COUNTIF(퀘스트!B:B,표1[[#This Row],[명칭]])</f>
        <v>0</v>
      </c>
      <c r="N1566" s="65">
        <f>COUNTIF([1]VillageDiscoveryGroup!$C:$C,표1[[#This Row],[명칭]])</f>
        <v>0</v>
      </c>
      <c r="O1566" s="65">
        <f>SUM(표1[[#This Row],[해양탐색]:[마을탐험]])</f>
        <v>0</v>
      </c>
    </row>
    <row r="1567" spans="2:15" ht="13.5" customHeight="1" x14ac:dyDescent="0.3">
      <c r="B1567" s="9">
        <f>[1]Discovery!A1573</f>
        <v>70412067</v>
      </c>
      <c r="C1567" s="9" t="str">
        <f>[1]Discovery!B1573</f>
        <v>베이루트</v>
      </c>
      <c r="D1567" s="9" t="str">
        <f>[1]Discovery!E1573</f>
        <v>건축</v>
      </c>
      <c r="E1567" s="9" t="str">
        <f>[1]Discovery!C1573</f>
        <v>항구</v>
      </c>
      <c r="F1567" s="9" t="str">
        <f>[1]Discovery!G1573</f>
        <v>D</v>
      </c>
      <c r="G1567" s="9" t="str">
        <f>IFERROR(VLOOKUP(표1[[#This Row],[명칭]],'문화권 정리'!C:D,2,FALSE),"-")</f>
        <v>항구</v>
      </c>
      <c r="H1567" s="38" t="str">
        <f>IFERROR(COUNTIF([2]OceanDoodad!$Y:$Y,표1[[#This Row],[명칭]]),"-")</f>
        <v>-</v>
      </c>
      <c r="I1567" s="38">
        <f>IFERROR(COUNTIF([1]AdventureDiscoveryGroup!$D$8:$AW$92,표1[[#This Row],[명칭]]),"-")</f>
        <v>0</v>
      </c>
      <c r="J1567" s="38">
        <f>IFERROR(COUNTIF([1]FishDiscoveryGroup!$A:$X,표1[[#This Row],[명칭]]),"-")</f>
        <v>0</v>
      </c>
      <c r="K1567" s="38" t="str">
        <f>IFERROR(COUNTIF([2]Town!$B:$B,표1[[#This Row],[명칭]]),"-")</f>
        <v>-</v>
      </c>
      <c r="L1567" s="38">
        <f>IFERROR(COUNTIF([1]Village!$BR:$BR,표1[[#This Row],[명칭]]),"-")</f>
        <v>0</v>
      </c>
      <c r="M1567" s="38">
        <f>COUNTIF(퀘스트!B:B,표1[[#This Row],[명칭]])</f>
        <v>0</v>
      </c>
      <c r="N1567" s="65">
        <f>COUNTIF([1]VillageDiscoveryGroup!$C:$C,표1[[#This Row],[명칭]])</f>
        <v>0</v>
      </c>
      <c r="O1567" s="65">
        <f>SUM(표1[[#This Row],[해양탐색]:[마을탐험]])</f>
        <v>0</v>
      </c>
    </row>
    <row r="1568" spans="2:15" ht="13.5" customHeight="1" x14ac:dyDescent="0.3">
      <c r="B1568" s="9">
        <f>[1]Discovery!A1574</f>
        <v>70412068</v>
      </c>
      <c r="C1568" s="9" t="str">
        <f>[1]Discovery!B1574</f>
        <v>벵가지</v>
      </c>
      <c r="D1568" s="9" t="str">
        <f>[1]Discovery!E1574</f>
        <v>건축</v>
      </c>
      <c r="E1568" s="9" t="str">
        <f>[1]Discovery!C1574</f>
        <v>항구</v>
      </c>
      <c r="F1568" s="9" t="str">
        <f>[1]Discovery!G1574</f>
        <v>D</v>
      </c>
      <c r="G1568" s="9" t="str">
        <f>IFERROR(VLOOKUP(표1[[#This Row],[명칭]],'문화권 정리'!C:D,2,FALSE),"-")</f>
        <v>항구</v>
      </c>
      <c r="H1568" s="38" t="str">
        <f>IFERROR(COUNTIF([2]OceanDoodad!$Y:$Y,표1[[#This Row],[명칭]]),"-")</f>
        <v>-</v>
      </c>
      <c r="I1568" s="38">
        <f>IFERROR(COUNTIF([1]AdventureDiscoveryGroup!$D$8:$AW$92,표1[[#This Row],[명칭]]),"-")</f>
        <v>0</v>
      </c>
      <c r="J1568" s="38">
        <f>IFERROR(COUNTIF([1]FishDiscoveryGroup!$A:$X,표1[[#This Row],[명칭]]),"-")</f>
        <v>0</v>
      </c>
      <c r="K1568" s="38" t="str">
        <f>IFERROR(COUNTIF([2]Town!$B:$B,표1[[#This Row],[명칭]]),"-")</f>
        <v>-</v>
      </c>
      <c r="L1568" s="38">
        <f>IFERROR(COUNTIF([1]Village!$BR:$BR,표1[[#This Row],[명칭]]),"-")</f>
        <v>0</v>
      </c>
      <c r="M1568" s="38">
        <f>COUNTIF(퀘스트!B:B,표1[[#This Row],[명칭]])</f>
        <v>0</v>
      </c>
      <c r="N1568" s="65">
        <f>COUNTIF([1]VillageDiscoveryGroup!$C:$C,표1[[#This Row],[명칭]])</f>
        <v>0</v>
      </c>
      <c r="O1568" s="65">
        <f>SUM(표1[[#This Row],[해양탐색]:[마을탐험]])</f>
        <v>0</v>
      </c>
    </row>
    <row r="1569" spans="2:15" ht="13.5" customHeight="1" x14ac:dyDescent="0.3">
      <c r="B1569" s="9">
        <f>[1]Discovery!A1575</f>
        <v>70412069</v>
      </c>
      <c r="C1569" s="9" t="str">
        <f>[1]Discovery!B1575</f>
        <v>벵겔라</v>
      </c>
      <c r="D1569" s="9" t="str">
        <f>[1]Discovery!E1575</f>
        <v>건축</v>
      </c>
      <c r="E1569" s="9" t="str">
        <f>[1]Discovery!C1575</f>
        <v>항구</v>
      </c>
      <c r="F1569" s="9" t="str">
        <f>[1]Discovery!G1575</f>
        <v>D</v>
      </c>
      <c r="G1569" s="9" t="str">
        <f>IFERROR(VLOOKUP(표1[[#This Row],[명칭]],'문화권 정리'!C:D,2,FALSE),"-")</f>
        <v>항구</v>
      </c>
      <c r="H1569" s="38" t="str">
        <f>IFERROR(COUNTIF([2]OceanDoodad!$Y:$Y,표1[[#This Row],[명칭]]),"-")</f>
        <v>-</v>
      </c>
      <c r="I1569" s="38">
        <f>IFERROR(COUNTIF([1]AdventureDiscoveryGroup!$D$8:$AW$92,표1[[#This Row],[명칭]]),"-")</f>
        <v>0</v>
      </c>
      <c r="J1569" s="38">
        <f>IFERROR(COUNTIF([1]FishDiscoveryGroup!$A:$X,표1[[#This Row],[명칭]]),"-")</f>
        <v>0</v>
      </c>
      <c r="K1569" s="38" t="str">
        <f>IFERROR(COUNTIF([2]Town!$B:$B,표1[[#This Row],[명칭]]),"-")</f>
        <v>-</v>
      </c>
      <c r="L1569" s="38">
        <f>IFERROR(COUNTIF([1]Village!$BR:$BR,표1[[#This Row],[명칭]]),"-")</f>
        <v>0</v>
      </c>
      <c r="M1569" s="38">
        <f>COUNTIF(퀘스트!B:B,표1[[#This Row],[명칭]])</f>
        <v>0</v>
      </c>
      <c r="N1569" s="65">
        <f>COUNTIF([1]VillageDiscoveryGroup!$C:$C,표1[[#This Row],[명칭]])</f>
        <v>0</v>
      </c>
      <c r="O1569" s="65">
        <f>SUM(표1[[#This Row],[해양탐색]:[마을탐험]])</f>
        <v>0</v>
      </c>
    </row>
    <row r="1570" spans="2:15" ht="13.5" customHeight="1" x14ac:dyDescent="0.3">
      <c r="B1570" s="9">
        <f>[1]Discovery!A1576</f>
        <v>70412070</v>
      </c>
      <c r="C1570" s="9" t="str">
        <f>[1]Discovery!B1576</f>
        <v>보르도</v>
      </c>
      <c r="D1570" s="9" t="str">
        <f>[1]Discovery!E1576</f>
        <v>건축</v>
      </c>
      <c r="E1570" s="9" t="str">
        <f>[1]Discovery!C1576</f>
        <v>항구</v>
      </c>
      <c r="F1570" s="9" t="str">
        <f>[1]Discovery!G1576</f>
        <v>D</v>
      </c>
      <c r="G1570" s="9" t="str">
        <f>IFERROR(VLOOKUP(표1[[#This Row],[명칭]],'문화권 정리'!C:D,2,FALSE),"-")</f>
        <v>항구</v>
      </c>
      <c r="H1570" s="38" t="str">
        <f>IFERROR(COUNTIF([2]OceanDoodad!$Y:$Y,표1[[#This Row],[명칭]]),"-")</f>
        <v>-</v>
      </c>
      <c r="I1570" s="38">
        <f>IFERROR(COUNTIF([1]AdventureDiscoveryGroup!$D$8:$AW$92,표1[[#This Row],[명칭]]),"-")</f>
        <v>0</v>
      </c>
      <c r="J1570" s="38">
        <f>IFERROR(COUNTIF([1]FishDiscoveryGroup!$A:$X,표1[[#This Row],[명칭]]),"-")</f>
        <v>0</v>
      </c>
      <c r="K1570" s="38" t="str">
        <f>IFERROR(COUNTIF([2]Town!$B:$B,표1[[#This Row],[명칭]]),"-")</f>
        <v>-</v>
      </c>
      <c r="L1570" s="38">
        <f>IFERROR(COUNTIF([1]Village!$BR:$BR,표1[[#This Row],[명칭]]),"-")</f>
        <v>0</v>
      </c>
      <c r="M1570" s="38">
        <f>COUNTIF(퀘스트!B:B,표1[[#This Row],[명칭]])</f>
        <v>0</v>
      </c>
      <c r="N1570" s="65">
        <f>COUNTIF([1]VillageDiscoveryGroup!$C:$C,표1[[#This Row],[명칭]])</f>
        <v>0</v>
      </c>
      <c r="O1570" s="65">
        <f>SUM(표1[[#This Row],[해양탐색]:[마을탐험]])</f>
        <v>0</v>
      </c>
    </row>
    <row r="1571" spans="2:15" ht="13.5" customHeight="1" x14ac:dyDescent="0.3">
      <c r="B1571" s="9">
        <f>[1]Discovery!A1577</f>
        <v>70412071</v>
      </c>
      <c r="C1571" s="9" t="str">
        <f>[1]Discovery!B1577</f>
        <v>코하셋</v>
      </c>
      <c r="D1571" s="9" t="str">
        <f>[1]Discovery!E1577</f>
        <v>건축</v>
      </c>
      <c r="E1571" s="9" t="str">
        <f>[1]Discovery!C1577</f>
        <v>항구</v>
      </c>
      <c r="F1571" s="9" t="str">
        <f>[1]Discovery!G1577</f>
        <v>D</v>
      </c>
      <c r="G1571" s="9" t="str">
        <f>IFERROR(VLOOKUP(표1[[#This Row],[명칭]],'문화권 정리'!C:D,2,FALSE),"-")</f>
        <v>항구</v>
      </c>
      <c r="H1571" s="38" t="str">
        <f>IFERROR(COUNTIF([2]OceanDoodad!$Y:$Y,표1[[#This Row],[명칭]]),"-")</f>
        <v>-</v>
      </c>
      <c r="I1571" s="38">
        <f>IFERROR(COUNTIF([1]AdventureDiscoveryGroup!$D$8:$AW$92,표1[[#This Row],[명칭]]),"-")</f>
        <v>0</v>
      </c>
      <c r="J1571" s="38">
        <f>IFERROR(COUNTIF([1]FishDiscoveryGroup!$A:$X,표1[[#This Row],[명칭]]),"-")</f>
        <v>0</v>
      </c>
      <c r="K1571" s="38" t="str">
        <f>IFERROR(COUNTIF([2]Town!$B:$B,표1[[#This Row],[명칭]]),"-")</f>
        <v>-</v>
      </c>
      <c r="L1571" s="38">
        <f>IFERROR(COUNTIF([1]Village!$BR:$BR,표1[[#This Row],[명칭]]),"-")</f>
        <v>0</v>
      </c>
      <c r="M1571" s="38">
        <f>COUNTIF(퀘스트!B:B,표1[[#This Row],[명칭]])</f>
        <v>0</v>
      </c>
      <c r="N1571" s="65">
        <f>COUNTIF([1]VillageDiscoveryGroup!$C:$C,표1[[#This Row],[명칭]])</f>
        <v>0</v>
      </c>
      <c r="O1571" s="65">
        <f>SUM(표1[[#This Row],[해양탐색]:[마을탐험]])</f>
        <v>0</v>
      </c>
    </row>
    <row r="1572" spans="2:15" ht="13.5" customHeight="1" x14ac:dyDescent="0.3">
      <c r="B1572" s="9">
        <f>[1]Discovery!A1578</f>
        <v>70412072</v>
      </c>
      <c r="C1572" s="9" t="str">
        <f>[1]Discovery!B1578</f>
        <v>부에노스아이레스</v>
      </c>
      <c r="D1572" s="9" t="str">
        <f>[1]Discovery!E1578</f>
        <v>건축</v>
      </c>
      <c r="E1572" s="9" t="str">
        <f>[1]Discovery!C1578</f>
        <v>항구</v>
      </c>
      <c r="F1572" s="9" t="str">
        <f>[1]Discovery!G1578</f>
        <v>D</v>
      </c>
      <c r="G1572" s="9" t="str">
        <f>IFERROR(VLOOKUP(표1[[#This Row],[명칭]],'문화권 정리'!C:D,2,FALSE),"-")</f>
        <v>항구</v>
      </c>
      <c r="H1572" s="38" t="str">
        <f>IFERROR(COUNTIF([2]OceanDoodad!$Y:$Y,표1[[#This Row],[명칭]]),"-")</f>
        <v>-</v>
      </c>
      <c r="I1572" s="38">
        <f>IFERROR(COUNTIF([1]AdventureDiscoveryGroup!$D$8:$AW$92,표1[[#This Row],[명칭]]),"-")</f>
        <v>0</v>
      </c>
      <c r="J1572" s="38">
        <f>IFERROR(COUNTIF([1]FishDiscoveryGroup!$A:$X,표1[[#This Row],[명칭]]),"-")</f>
        <v>0</v>
      </c>
      <c r="K1572" s="38" t="str">
        <f>IFERROR(COUNTIF([2]Town!$B:$B,표1[[#This Row],[명칭]]),"-")</f>
        <v>-</v>
      </c>
      <c r="L1572" s="38">
        <f>IFERROR(COUNTIF([1]Village!$BR:$BR,표1[[#This Row],[명칭]]),"-")</f>
        <v>0</v>
      </c>
      <c r="M1572" s="38">
        <f>COUNTIF(퀘스트!B:B,표1[[#This Row],[명칭]])</f>
        <v>0</v>
      </c>
      <c r="N1572" s="65">
        <f>COUNTIF([1]VillageDiscoveryGroup!$C:$C,표1[[#This Row],[명칭]])</f>
        <v>0</v>
      </c>
      <c r="O1572" s="65">
        <f>SUM(표1[[#This Row],[해양탐색]:[마을탐험]])</f>
        <v>0</v>
      </c>
    </row>
    <row r="1573" spans="2:15" ht="13.5" customHeight="1" x14ac:dyDescent="0.3">
      <c r="B1573" s="9">
        <f>[1]Discovery!A1579</f>
        <v>70412073</v>
      </c>
      <c r="C1573" s="9" t="str">
        <f>[1]Discovery!B1579</f>
        <v>북경</v>
      </c>
      <c r="D1573" s="9" t="str">
        <f>[1]Discovery!E1579</f>
        <v>건축</v>
      </c>
      <c r="E1573" s="9" t="str">
        <f>[1]Discovery!C1579</f>
        <v>항구</v>
      </c>
      <c r="F1573" s="9" t="str">
        <f>[1]Discovery!G1579</f>
        <v>D</v>
      </c>
      <c r="G1573" s="9" t="str">
        <f>IFERROR(VLOOKUP(표1[[#This Row],[명칭]],'문화권 정리'!C:D,2,FALSE),"-")</f>
        <v>항구</v>
      </c>
      <c r="H1573" s="38" t="str">
        <f>IFERROR(COUNTIF([2]OceanDoodad!$Y:$Y,표1[[#This Row],[명칭]]),"-")</f>
        <v>-</v>
      </c>
      <c r="I1573" s="38">
        <f>IFERROR(COUNTIF([1]AdventureDiscoveryGroup!$D$8:$AW$92,표1[[#This Row],[명칭]]),"-")</f>
        <v>0</v>
      </c>
      <c r="J1573" s="38">
        <f>IFERROR(COUNTIF([1]FishDiscoveryGroup!$A:$X,표1[[#This Row],[명칭]]),"-")</f>
        <v>0</v>
      </c>
      <c r="K1573" s="38" t="str">
        <f>IFERROR(COUNTIF([2]Town!$B:$B,표1[[#This Row],[명칭]]),"-")</f>
        <v>-</v>
      </c>
      <c r="L1573" s="38">
        <f>IFERROR(COUNTIF([1]Village!$BR:$BR,표1[[#This Row],[명칭]]),"-")</f>
        <v>0</v>
      </c>
      <c r="M1573" s="38">
        <f>COUNTIF(퀘스트!B:B,표1[[#This Row],[명칭]])</f>
        <v>0</v>
      </c>
      <c r="N1573" s="65">
        <f>COUNTIF([1]VillageDiscoveryGroup!$C:$C,표1[[#This Row],[명칭]])</f>
        <v>0</v>
      </c>
      <c r="O1573" s="65">
        <f>SUM(표1[[#This Row],[해양탐색]:[마을탐험]])</f>
        <v>0</v>
      </c>
    </row>
    <row r="1574" spans="2:15" ht="13.5" customHeight="1" x14ac:dyDescent="0.3">
      <c r="B1574" s="9">
        <f>[1]Discovery!A1580</f>
        <v>70412074</v>
      </c>
      <c r="C1574" s="9" t="str">
        <f>[1]Discovery!B1580</f>
        <v>브레멘</v>
      </c>
      <c r="D1574" s="9" t="str">
        <f>[1]Discovery!E1580</f>
        <v>건축</v>
      </c>
      <c r="E1574" s="9" t="str">
        <f>[1]Discovery!C1580</f>
        <v>항구</v>
      </c>
      <c r="F1574" s="9" t="str">
        <f>[1]Discovery!G1580</f>
        <v>D</v>
      </c>
      <c r="G1574" s="9" t="str">
        <f>IFERROR(VLOOKUP(표1[[#This Row],[명칭]],'문화권 정리'!C:D,2,FALSE),"-")</f>
        <v>항구</v>
      </c>
      <c r="H1574" s="38" t="str">
        <f>IFERROR(COUNTIF([2]OceanDoodad!$Y:$Y,표1[[#This Row],[명칭]]),"-")</f>
        <v>-</v>
      </c>
      <c r="I1574" s="38">
        <f>IFERROR(COUNTIF([1]AdventureDiscoveryGroup!$D$8:$AW$92,표1[[#This Row],[명칭]]),"-")</f>
        <v>0</v>
      </c>
      <c r="J1574" s="38">
        <f>IFERROR(COUNTIF([1]FishDiscoveryGroup!$A:$X,표1[[#This Row],[명칭]]),"-")</f>
        <v>0</v>
      </c>
      <c r="K1574" s="38" t="str">
        <f>IFERROR(COUNTIF([2]Town!$B:$B,표1[[#This Row],[명칭]]),"-")</f>
        <v>-</v>
      </c>
      <c r="L1574" s="38">
        <f>IFERROR(COUNTIF([1]Village!$BR:$BR,표1[[#This Row],[명칭]]),"-")</f>
        <v>0</v>
      </c>
      <c r="M1574" s="38">
        <f>COUNTIF(퀘스트!B:B,표1[[#This Row],[명칭]])</f>
        <v>0</v>
      </c>
      <c r="N1574" s="65">
        <f>COUNTIF([1]VillageDiscoveryGroup!$C:$C,표1[[#This Row],[명칭]])</f>
        <v>0</v>
      </c>
      <c r="O1574" s="65">
        <f>SUM(표1[[#This Row],[해양탐색]:[마을탐험]])</f>
        <v>0</v>
      </c>
    </row>
    <row r="1575" spans="2:15" ht="13.5" customHeight="1" x14ac:dyDescent="0.3">
      <c r="B1575" s="9">
        <f>[1]Discovery!A1581</f>
        <v>70412075</v>
      </c>
      <c r="C1575" s="9" t="str">
        <f>[1]Discovery!B1581</f>
        <v>브루네이</v>
      </c>
      <c r="D1575" s="9" t="str">
        <f>[1]Discovery!E1581</f>
        <v>건축</v>
      </c>
      <c r="E1575" s="9" t="str">
        <f>[1]Discovery!C1581</f>
        <v>항구</v>
      </c>
      <c r="F1575" s="9" t="str">
        <f>[1]Discovery!G1581</f>
        <v>D</v>
      </c>
      <c r="G1575" s="9" t="str">
        <f>IFERROR(VLOOKUP(표1[[#This Row],[명칭]],'문화권 정리'!C:D,2,FALSE),"-")</f>
        <v>항구</v>
      </c>
      <c r="H1575" s="38" t="str">
        <f>IFERROR(COUNTIF([2]OceanDoodad!$Y:$Y,표1[[#This Row],[명칭]]),"-")</f>
        <v>-</v>
      </c>
      <c r="I1575" s="38">
        <f>IFERROR(COUNTIF([1]AdventureDiscoveryGroup!$D$8:$AW$92,표1[[#This Row],[명칭]]),"-")</f>
        <v>0</v>
      </c>
      <c r="J1575" s="38">
        <f>IFERROR(COUNTIF([1]FishDiscoveryGroup!$A:$X,표1[[#This Row],[명칭]]),"-")</f>
        <v>0</v>
      </c>
      <c r="K1575" s="38" t="str">
        <f>IFERROR(COUNTIF([2]Town!$B:$B,표1[[#This Row],[명칭]]),"-")</f>
        <v>-</v>
      </c>
      <c r="L1575" s="38">
        <f>IFERROR(COUNTIF([1]Village!$BR:$BR,표1[[#This Row],[명칭]]),"-")</f>
        <v>0</v>
      </c>
      <c r="M1575" s="38">
        <f>COUNTIF(퀘스트!B:B,표1[[#This Row],[명칭]])</f>
        <v>0</v>
      </c>
      <c r="N1575" s="65">
        <f>COUNTIF([1]VillageDiscoveryGroup!$C:$C,표1[[#This Row],[명칭]])</f>
        <v>0</v>
      </c>
      <c r="O1575" s="65">
        <f>SUM(표1[[#This Row],[해양탐색]:[마을탐험]])</f>
        <v>0</v>
      </c>
    </row>
    <row r="1576" spans="2:15" ht="13.5" customHeight="1" x14ac:dyDescent="0.3">
      <c r="B1576" s="9">
        <f>[1]Discovery!A1582</f>
        <v>70412076</v>
      </c>
      <c r="C1576" s="9" t="str">
        <f>[1]Discovery!B1582</f>
        <v>브리스틀</v>
      </c>
      <c r="D1576" s="9" t="str">
        <f>[1]Discovery!E1582</f>
        <v>건축</v>
      </c>
      <c r="E1576" s="9" t="str">
        <f>[1]Discovery!C1582</f>
        <v>항구</v>
      </c>
      <c r="F1576" s="9" t="str">
        <f>[1]Discovery!G1582</f>
        <v>D</v>
      </c>
      <c r="G1576" s="9" t="str">
        <f>IFERROR(VLOOKUP(표1[[#This Row],[명칭]],'문화권 정리'!C:D,2,FALSE),"-")</f>
        <v>항구</v>
      </c>
      <c r="H1576" s="38" t="str">
        <f>IFERROR(COUNTIF([2]OceanDoodad!$Y:$Y,표1[[#This Row],[명칭]]),"-")</f>
        <v>-</v>
      </c>
      <c r="I1576" s="38">
        <f>IFERROR(COUNTIF([1]AdventureDiscoveryGroup!$D$8:$AW$92,표1[[#This Row],[명칭]]),"-")</f>
        <v>0</v>
      </c>
      <c r="J1576" s="38">
        <f>IFERROR(COUNTIF([1]FishDiscoveryGroup!$A:$X,표1[[#This Row],[명칭]]),"-")</f>
        <v>0</v>
      </c>
      <c r="K1576" s="38" t="str">
        <f>IFERROR(COUNTIF([2]Town!$B:$B,표1[[#This Row],[명칭]]),"-")</f>
        <v>-</v>
      </c>
      <c r="L1576" s="38">
        <f>IFERROR(COUNTIF([1]Village!$BR:$BR,표1[[#This Row],[명칭]]),"-")</f>
        <v>0</v>
      </c>
      <c r="M1576" s="38">
        <f>COUNTIF(퀘스트!B:B,표1[[#This Row],[명칭]])</f>
        <v>0</v>
      </c>
      <c r="N1576" s="65">
        <f>COUNTIF([1]VillageDiscoveryGroup!$C:$C,표1[[#This Row],[명칭]])</f>
        <v>0</v>
      </c>
      <c r="O1576" s="65">
        <f>SUM(표1[[#This Row],[해양탐색]:[마을탐험]])</f>
        <v>0</v>
      </c>
    </row>
    <row r="1577" spans="2:15" ht="13.5" customHeight="1" x14ac:dyDescent="0.3">
      <c r="B1577" s="9">
        <f>[1]Discovery!A1583</f>
        <v>70412077</v>
      </c>
      <c r="C1577" s="9" t="str">
        <f>[1]Discovery!B1583</f>
        <v>비사우</v>
      </c>
      <c r="D1577" s="9" t="str">
        <f>[1]Discovery!E1583</f>
        <v>건축</v>
      </c>
      <c r="E1577" s="9" t="str">
        <f>[1]Discovery!C1583</f>
        <v>항구</v>
      </c>
      <c r="F1577" s="9" t="str">
        <f>[1]Discovery!G1583</f>
        <v>D</v>
      </c>
      <c r="G1577" s="9" t="str">
        <f>IFERROR(VLOOKUP(표1[[#This Row],[명칭]],'문화권 정리'!C:D,2,FALSE),"-")</f>
        <v>항구</v>
      </c>
      <c r="H1577" s="38" t="str">
        <f>IFERROR(COUNTIF([2]OceanDoodad!$Y:$Y,표1[[#This Row],[명칭]]),"-")</f>
        <v>-</v>
      </c>
      <c r="I1577" s="38">
        <f>IFERROR(COUNTIF([1]AdventureDiscoveryGroup!$D$8:$AW$92,표1[[#This Row],[명칭]]),"-")</f>
        <v>0</v>
      </c>
      <c r="J1577" s="38">
        <f>IFERROR(COUNTIF([1]FishDiscoveryGroup!$A:$X,표1[[#This Row],[명칭]]),"-")</f>
        <v>0</v>
      </c>
      <c r="K1577" s="38" t="str">
        <f>IFERROR(COUNTIF([2]Town!$B:$B,표1[[#This Row],[명칭]]),"-")</f>
        <v>-</v>
      </c>
      <c r="L1577" s="38">
        <f>IFERROR(COUNTIF([1]Village!$BR:$BR,표1[[#This Row],[명칭]]),"-")</f>
        <v>0</v>
      </c>
      <c r="M1577" s="38">
        <f>COUNTIF(퀘스트!B:B,표1[[#This Row],[명칭]])</f>
        <v>0</v>
      </c>
      <c r="N1577" s="65">
        <f>COUNTIF([1]VillageDiscoveryGroup!$C:$C,표1[[#This Row],[명칭]])</f>
        <v>0</v>
      </c>
      <c r="O1577" s="65">
        <f>SUM(표1[[#This Row],[해양탐색]:[마을탐험]])</f>
        <v>0</v>
      </c>
    </row>
    <row r="1578" spans="2:15" ht="13.5" customHeight="1" x14ac:dyDescent="0.3">
      <c r="B1578" s="9">
        <f>[1]Discovery!A1584</f>
        <v>70412078</v>
      </c>
      <c r="C1578" s="9" t="str">
        <f>[1]Discovery!B1584</f>
        <v>비스뷔</v>
      </c>
      <c r="D1578" s="9" t="str">
        <f>[1]Discovery!E1584</f>
        <v>건축</v>
      </c>
      <c r="E1578" s="9" t="str">
        <f>[1]Discovery!C1584</f>
        <v>항구</v>
      </c>
      <c r="F1578" s="9" t="str">
        <f>[1]Discovery!G1584</f>
        <v>D</v>
      </c>
      <c r="G1578" s="9" t="str">
        <f>IFERROR(VLOOKUP(표1[[#This Row],[명칭]],'문화권 정리'!C:D,2,FALSE),"-")</f>
        <v>항구</v>
      </c>
      <c r="H1578" s="38" t="str">
        <f>IFERROR(COUNTIF([2]OceanDoodad!$Y:$Y,표1[[#This Row],[명칭]]),"-")</f>
        <v>-</v>
      </c>
      <c r="I1578" s="38">
        <f>IFERROR(COUNTIF([1]AdventureDiscoveryGroup!$D$8:$AW$92,표1[[#This Row],[명칭]]),"-")</f>
        <v>0</v>
      </c>
      <c r="J1578" s="38">
        <f>IFERROR(COUNTIF([1]FishDiscoveryGroup!$A:$X,표1[[#This Row],[명칭]]),"-")</f>
        <v>0</v>
      </c>
      <c r="K1578" s="38" t="str">
        <f>IFERROR(COUNTIF([2]Town!$B:$B,표1[[#This Row],[명칭]]),"-")</f>
        <v>-</v>
      </c>
      <c r="L1578" s="38">
        <f>IFERROR(COUNTIF([1]Village!$BR:$BR,표1[[#This Row],[명칭]]),"-")</f>
        <v>0</v>
      </c>
      <c r="M1578" s="38">
        <f>COUNTIF(퀘스트!B:B,표1[[#This Row],[명칭]])</f>
        <v>0</v>
      </c>
      <c r="N1578" s="65">
        <f>COUNTIF([1]VillageDiscoveryGroup!$C:$C,표1[[#This Row],[명칭]])</f>
        <v>0</v>
      </c>
      <c r="O1578" s="65">
        <f>SUM(표1[[#This Row],[해양탐색]:[마을탐험]])</f>
        <v>0</v>
      </c>
    </row>
    <row r="1579" spans="2:15" ht="13.5" customHeight="1" x14ac:dyDescent="0.3">
      <c r="B1579" s="9">
        <f>[1]Discovery!A1585</f>
        <v>70412079</v>
      </c>
      <c r="C1579" s="9" t="str">
        <f>[1]Discovery!B1585</f>
        <v>나르비크</v>
      </c>
      <c r="D1579" s="9" t="str">
        <f>[1]Discovery!E1585</f>
        <v>건축</v>
      </c>
      <c r="E1579" s="9" t="str">
        <f>[1]Discovery!C1585</f>
        <v>항구</v>
      </c>
      <c r="F1579" s="9" t="str">
        <f>[1]Discovery!G1585</f>
        <v>D</v>
      </c>
      <c r="G1579" s="9" t="str">
        <f>IFERROR(VLOOKUP(표1[[#This Row],[명칭]],'문화권 정리'!C:D,2,FALSE),"-")</f>
        <v>항구</v>
      </c>
      <c r="H1579" s="38" t="str">
        <f>IFERROR(COUNTIF([2]OceanDoodad!$Y:$Y,표1[[#This Row],[명칭]]),"-")</f>
        <v>-</v>
      </c>
      <c r="I1579" s="38">
        <f>IFERROR(COUNTIF([1]AdventureDiscoveryGroup!$D$8:$AW$92,표1[[#This Row],[명칭]]),"-")</f>
        <v>0</v>
      </c>
      <c r="J1579" s="38">
        <f>IFERROR(COUNTIF([1]FishDiscoveryGroup!$A:$X,표1[[#This Row],[명칭]]),"-")</f>
        <v>0</v>
      </c>
      <c r="K1579" s="38" t="str">
        <f>IFERROR(COUNTIF([2]Town!$B:$B,표1[[#This Row],[명칭]]),"-")</f>
        <v>-</v>
      </c>
      <c r="L1579" s="38">
        <f>IFERROR(COUNTIF([1]Village!$BR:$BR,표1[[#This Row],[명칭]]),"-")</f>
        <v>0</v>
      </c>
      <c r="M1579" s="38">
        <f>COUNTIF(퀘스트!B:B,표1[[#This Row],[명칭]])</f>
        <v>0</v>
      </c>
      <c r="N1579" s="65">
        <f>COUNTIF([1]VillageDiscoveryGroup!$C:$C,표1[[#This Row],[명칭]])</f>
        <v>0</v>
      </c>
      <c r="O1579" s="65">
        <f>SUM(표1[[#This Row],[해양탐색]:[마을탐험]])</f>
        <v>0</v>
      </c>
    </row>
    <row r="1580" spans="2:15" ht="13.5" customHeight="1" x14ac:dyDescent="0.3">
      <c r="B1580" s="9">
        <f>[1]Discovery!A1586</f>
        <v>70412080</v>
      </c>
      <c r="C1580" s="9" t="str">
        <f>[1]Discovery!B1586</f>
        <v>빌렘스타트</v>
      </c>
      <c r="D1580" s="9" t="str">
        <f>[1]Discovery!E1586</f>
        <v>건축</v>
      </c>
      <c r="E1580" s="9" t="str">
        <f>[1]Discovery!C1586</f>
        <v>항구</v>
      </c>
      <c r="F1580" s="9" t="str">
        <f>[1]Discovery!G1586</f>
        <v>D</v>
      </c>
      <c r="G1580" s="9" t="str">
        <f>IFERROR(VLOOKUP(표1[[#This Row],[명칭]],'문화권 정리'!C:D,2,FALSE),"-")</f>
        <v>항구</v>
      </c>
      <c r="H1580" s="38" t="str">
        <f>IFERROR(COUNTIF([2]OceanDoodad!$Y:$Y,표1[[#This Row],[명칭]]),"-")</f>
        <v>-</v>
      </c>
      <c r="I1580" s="38">
        <f>IFERROR(COUNTIF([1]AdventureDiscoveryGroup!$D$8:$AW$92,표1[[#This Row],[명칭]]),"-")</f>
        <v>0</v>
      </c>
      <c r="J1580" s="38">
        <f>IFERROR(COUNTIF([1]FishDiscoveryGroup!$A:$X,표1[[#This Row],[명칭]]),"-")</f>
        <v>0</v>
      </c>
      <c r="K1580" s="38" t="str">
        <f>IFERROR(COUNTIF([2]Town!$B:$B,표1[[#This Row],[명칭]]),"-")</f>
        <v>-</v>
      </c>
      <c r="L1580" s="38">
        <f>IFERROR(COUNTIF([1]Village!$BR:$BR,표1[[#This Row],[명칭]]),"-")</f>
        <v>0</v>
      </c>
      <c r="M1580" s="38">
        <f>COUNTIF(퀘스트!B:B,표1[[#This Row],[명칭]])</f>
        <v>0</v>
      </c>
      <c r="N1580" s="65">
        <f>COUNTIF([1]VillageDiscoveryGroup!$C:$C,표1[[#This Row],[명칭]])</f>
        <v>0</v>
      </c>
      <c r="O1580" s="65">
        <f>SUM(표1[[#This Row],[해양탐색]:[마을탐험]])</f>
        <v>0</v>
      </c>
    </row>
    <row r="1581" spans="2:15" ht="13.5" customHeight="1" x14ac:dyDescent="0.3">
      <c r="B1581" s="9">
        <f>[1]Discovery!A1587</f>
        <v>70412081</v>
      </c>
      <c r="C1581" s="9" t="str">
        <f>[1]Discovery!B1587</f>
        <v>사마라이</v>
      </c>
      <c r="D1581" s="9" t="str">
        <f>[1]Discovery!E1587</f>
        <v>건축</v>
      </c>
      <c r="E1581" s="9" t="str">
        <f>[1]Discovery!C1587</f>
        <v>항구</v>
      </c>
      <c r="F1581" s="9" t="str">
        <f>[1]Discovery!G1587</f>
        <v>D</v>
      </c>
      <c r="G1581" s="9" t="str">
        <f>IFERROR(VLOOKUP(표1[[#This Row],[명칭]],'문화권 정리'!C:D,2,FALSE),"-")</f>
        <v>항구</v>
      </c>
      <c r="H1581" s="38" t="str">
        <f>IFERROR(COUNTIF([2]OceanDoodad!$Y:$Y,표1[[#This Row],[명칭]]),"-")</f>
        <v>-</v>
      </c>
      <c r="I1581" s="38">
        <f>IFERROR(COUNTIF([1]AdventureDiscoveryGroup!$D$8:$AW$92,표1[[#This Row],[명칭]]),"-")</f>
        <v>0</v>
      </c>
      <c r="J1581" s="38">
        <f>IFERROR(COUNTIF([1]FishDiscoveryGroup!$A:$X,표1[[#This Row],[명칭]]),"-")</f>
        <v>0</v>
      </c>
      <c r="K1581" s="38" t="str">
        <f>IFERROR(COUNTIF([2]Town!$B:$B,표1[[#This Row],[명칭]]),"-")</f>
        <v>-</v>
      </c>
      <c r="L1581" s="38">
        <f>IFERROR(COUNTIF([1]Village!$BR:$BR,표1[[#This Row],[명칭]]),"-")</f>
        <v>0</v>
      </c>
      <c r="M1581" s="38">
        <f>COUNTIF(퀘스트!B:B,표1[[#This Row],[명칭]])</f>
        <v>0</v>
      </c>
      <c r="N1581" s="65">
        <f>COUNTIF([1]VillageDiscoveryGroup!$C:$C,표1[[#This Row],[명칭]])</f>
        <v>0</v>
      </c>
      <c r="O1581" s="65">
        <f>SUM(표1[[#This Row],[해양탐색]:[마을탐험]])</f>
        <v>0</v>
      </c>
    </row>
    <row r="1582" spans="2:15" ht="13.5" customHeight="1" x14ac:dyDescent="0.3">
      <c r="B1582" s="9">
        <f>[1]Discovery!A1588</f>
        <v>70412082</v>
      </c>
      <c r="C1582" s="9" t="str">
        <f>[1]Discovery!B1588</f>
        <v>사사리</v>
      </c>
      <c r="D1582" s="9" t="str">
        <f>[1]Discovery!E1588</f>
        <v>건축</v>
      </c>
      <c r="E1582" s="9" t="str">
        <f>[1]Discovery!C1588</f>
        <v>항구</v>
      </c>
      <c r="F1582" s="9" t="str">
        <f>[1]Discovery!G1588</f>
        <v>D</v>
      </c>
      <c r="G1582" s="9" t="str">
        <f>IFERROR(VLOOKUP(표1[[#This Row],[명칭]],'문화권 정리'!C:D,2,FALSE),"-")</f>
        <v>항구</v>
      </c>
      <c r="H1582" s="38" t="str">
        <f>IFERROR(COUNTIF([2]OceanDoodad!$Y:$Y,표1[[#This Row],[명칭]]),"-")</f>
        <v>-</v>
      </c>
      <c r="I1582" s="38">
        <f>IFERROR(COUNTIF([1]AdventureDiscoveryGroup!$D$8:$AW$92,표1[[#This Row],[명칭]]),"-")</f>
        <v>0</v>
      </c>
      <c r="J1582" s="38">
        <f>IFERROR(COUNTIF([1]FishDiscoveryGroup!$A:$X,표1[[#This Row],[명칭]]),"-")</f>
        <v>0</v>
      </c>
      <c r="K1582" s="38" t="str">
        <f>IFERROR(COUNTIF([2]Town!$B:$B,표1[[#This Row],[명칭]]),"-")</f>
        <v>-</v>
      </c>
      <c r="L1582" s="38">
        <f>IFERROR(COUNTIF([1]Village!$BR:$BR,표1[[#This Row],[명칭]]),"-")</f>
        <v>0</v>
      </c>
      <c r="M1582" s="38">
        <f>COUNTIF(퀘스트!B:B,표1[[#This Row],[명칭]])</f>
        <v>0</v>
      </c>
      <c r="N1582" s="65">
        <f>COUNTIF([1]VillageDiscoveryGroup!$C:$C,표1[[#This Row],[명칭]])</f>
        <v>0</v>
      </c>
      <c r="O1582" s="65">
        <f>SUM(표1[[#This Row],[해양탐색]:[마을탐험]])</f>
        <v>0</v>
      </c>
    </row>
    <row r="1583" spans="2:15" ht="13.5" customHeight="1" x14ac:dyDescent="0.3">
      <c r="B1583" s="9">
        <f>[1]Discovery!A1589</f>
        <v>70412083</v>
      </c>
      <c r="C1583" s="9" t="str">
        <f>[1]Discovery!B1589</f>
        <v>사카이</v>
      </c>
      <c r="D1583" s="9" t="str">
        <f>[1]Discovery!E1589</f>
        <v>건축</v>
      </c>
      <c r="E1583" s="9" t="str">
        <f>[1]Discovery!C1589</f>
        <v>항구</v>
      </c>
      <c r="F1583" s="9" t="str">
        <f>[1]Discovery!G1589</f>
        <v>D</v>
      </c>
      <c r="G1583" s="9" t="str">
        <f>IFERROR(VLOOKUP(표1[[#This Row],[명칭]],'문화권 정리'!C:D,2,FALSE),"-")</f>
        <v>항구</v>
      </c>
      <c r="H1583" s="38" t="str">
        <f>IFERROR(COUNTIF([2]OceanDoodad!$Y:$Y,표1[[#This Row],[명칭]]),"-")</f>
        <v>-</v>
      </c>
      <c r="I1583" s="38">
        <f>IFERROR(COUNTIF([1]AdventureDiscoveryGroup!$D$8:$AW$92,표1[[#This Row],[명칭]]),"-")</f>
        <v>0</v>
      </c>
      <c r="J1583" s="38">
        <f>IFERROR(COUNTIF([1]FishDiscoveryGroup!$A:$X,표1[[#This Row],[명칭]]),"-")</f>
        <v>0</v>
      </c>
      <c r="K1583" s="38" t="str">
        <f>IFERROR(COUNTIF([2]Town!$B:$B,표1[[#This Row],[명칭]]),"-")</f>
        <v>-</v>
      </c>
      <c r="L1583" s="38">
        <f>IFERROR(COUNTIF([1]Village!$BR:$BR,표1[[#This Row],[명칭]]),"-")</f>
        <v>0</v>
      </c>
      <c r="M1583" s="38">
        <f>COUNTIF(퀘스트!B:B,표1[[#This Row],[명칭]])</f>
        <v>0</v>
      </c>
      <c r="N1583" s="65">
        <f>COUNTIF([1]VillageDiscoveryGroup!$C:$C,표1[[#This Row],[명칭]])</f>
        <v>0</v>
      </c>
      <c r="O1583" s="65">
        <f>SUM(표1[[#This Row],[해양탐색]:[마을탐험]])</f>
        <v>0</v>
      </c>
    </row>
    <row r="1584" spans="2:15" ht="13.5" customHeight="1" x14ac:dyDescent="0.3">
      <c r="B1584" s="9">
        <f>[1]Discovery!A1590</f>
        <v>70412084</v>
      </c>
      <c r="C1584" s="9" t="str">
        <f>[1]Discovery!B1590</f>
        <v>산토도밍고</v>
      </c>
      <c r="D1584" s="9" t="str">
        <f>[1]Discovery!E1590</f>
        <v>건축</v>
      </c>
      <c r="E1584" s="9" t="str">
        <f>[1]Discovery!C1590</f>
        <v>항구</v>
      </c>
      <c r="F1584" s="9" t="str">
        <f>[1]Discovery!G1590</f>
        <v>D</v>
      </c>
      <c r="G1584" s="9" t="str">
        <f>IFERROR(VLOOKUP(표1[[#This Row],[명칭]],'문화권 정리'!C:D,2,FALSE),"-")</f>
        <v>항구</v>
      </c>
      <c r="H1584" s="38" t="str">
        <f>IFERROR(COUNTIF([2]OceanDoodad!$Y:$Y,표1[[#This Row],[명칭]]),"-")</f>
        <v>-</v>
      </c>
      <c r="I1584" s="38">
        <f>IFERROR(COUNTIF([1]AdventureDiscoveryGroup!$D$8:$AW$92,표1[[#This Row],[명칭]]),"-")</f>
        <v>0</v>
      </c>
      <c r="J1584" s="38">
        <f>IFERROR(COUNTIF([1]FishDiscoveryGroup!$A:$X,표1[[#This Row],[명칭]]),"-")</f>
        <v>0</v>
      </c>
      <c r="K1584" s="38" t="str">
        <f>IFERROR(COUNTIF([2]Town!$B:$B,표1[[#This Row],[명칭]]),"-")</f>
        <v>-</v>
      </c>
      <c r="L1584" s="38">
        <f>IFERROR(COUNTIF([1]Village!$BR:$BR,표1[[#This Row],[명칭]]),"-")</f>
        <v>0</v>
      </c>
      <c r="M1584" s="38">
        <f>COUNTIF(퀘스트!B:B,표1[[#This Row],[명칭]])</f>
        <v>0</v>
      </c>
      <c r="N1584" s="65">
        <f>COUNTIF([1]VillageDiscoveryGroup!$C:$C,표1[[#This Row],[명칭]])</f>
        <v>0</v>
      </c>
      <c r="O1584" s="65">
        <f>SUM(표1[[#This Row],[해양탐색]:[마을탐험]])</f>
        <v>0</v>
      </c>
    </row>
    <row r="1585" spans="2:15" ht="13.5" customHeight="1" x14ac:dyDescent="0.3">
      <c r="B1585" s="9">
        <f>[1]Discovery!A1591</f>
        <v>70412085</v>
      </c>
      <c r="C1585" s="9" t="str">
        <f>[1]Discovery!B1591</f>
        <v>산티아고</v>
      </c>
      <c r="D1585" s="9" t="str">
        <f>[1]Discovery!E1591</f>
        <v>건축</v>
      </c>
      <c r="E1585" s="9" t="str">
        <f>[1]Discovery!C1591</f>
        <v>항구</v>
      </c>
      <c r="F1585" s="9" t="str">
        <f>[1]Discovery!G1591</f>
        <v>D</v>
      </c>
      <c r="G1585" s="9" t="str">
        <f>IFERROR(VLOOKUP(표1[[#This Row],[명칭]],'문화권 정리'!C:D,2,FALSE),"-")</f>
        <v>항구</v>
      </c>
      <c r="H1585" s="38" t="str">
        <f>IFERROR(COUNTIF([2]OceanDoodad!$Y:$Y,표1[[#This Row],[명칭]]),"-")</f>
        <v>-</v>
      </c>
      <c r="I1585" s="38">
        <f>IFERROR(COUNTIF([1]AdventureDiscoveryGroup!$D$8:$AW$92,표1[[#This Row],[명칭]]),"-")</f>
        <v>0</v>
      </c>
      <c r="J1585" s="38">
        <f>IFERROR(COUNTIF([1]FishDiscoveryGroup!$A:$X,표1[[#This Row],[명칭]]),"-")</f>
        <v>0</v>
      </c>
      <c r="K1585" s="38" t="str">
        <f>IFERROR(COUNTIF([2]Town!$B:$B,표1[[#This Row],[명칭]]),"-")</f>
        <v>-</v>
      </c>
      <c r="L1585" s="38">
        <f>IFERROR(COUNTIF([1]Village!$BR:$BR,표1[[#This Row],[명칭]]),"-")</f>
        <v>0</v>
      </c>
      <c r="M1585" s="38">
        <f>COUNTIF(퀘스트!B:B,표1[[#This Row],[명칭]])</f>
        <v>0</v>
      </c>
      <c r="N1585" s="65">
        <f>COUNTIF([1]VillageDiscoveryGroup!$C:$C,표1[[#This Row],[명칭]])</f>
        <v>0</v>
      </c>
      <c r="O1585" s="65">
        <f>SUM(표1[[#This Row],[해양탐색]:[마을탐험]])</f>
        <v>0</v>
      </c>
    </row>
    <row r="1586" spans="2:15" ht="13.5" customHeight="1" x14ac:dyDescent="0.3">
      <c r="B1586" s="9">
        <f>[1]Discovery!A1592</f>
        <v>70412086</v>
      </c>
      <c r="C1586" s="9" t="str">
        <f>[1]Discovery!B1592</f>
        <v>산후안</v>
      </c>
      <c r="D1586" s="9" t="str">
        <f>[1]Discovery!E1592</f>
        <v>건축</v>
      </c>
      <c r="E1586" s="9" t="str">
        <f>[1]Discovery!C1592</f>
        <v>항구</v>
      </c>
      <c r="F1586" s="9" t="str">
        <f>[1]Discovery!G1592</f>
        <v>D</v>
      </c>
      <c r="G1586" s="9" t="str">
        <f>IFERROR(VLOOKUP(표1[[#This Row],[명칭]],'문화권 정리'!C:D,2,FALSE),"-")</f>
        <v>항구</v>
      </c>
      <c r="H1586" s="38" t="str">
        <f>IFERROR(COUNTIF([2]OceanDoodad!$Y:$Y,표1[[#This Row],[명칭]]),"-")</f>
        <v>-</v>
      </c>
      <c r="I1586" s="38">
        <f>IFERROR(COUNTIF([1]AdventureDiscoveryGroup!$D$8:$AW$92,표1[[#This Row],[명칭]]),"-")</f>
        <v>0</v>
      </c>
      <c r="J1586" s="38">
        <f>IFERROR(COUNTIF([1]FishDiscoveryGroup!$A:$X,표1[[#This Row],[명칭]]),"-")</f>
        <v>0</v>
      </c>
      <c r="K1586" s="38" t="str">
        <f>IFERROR(COUNTIF([2]Town!$B:$B,표1[[#This Row],[명칭]]),"-")</f>
        <v>-</v>
      </c>
      <c r="L1586" s="38">
        <f>IFERROR(COUNTIF([1]Village!$BR:$BR,표1[[#This Row],[명칭]]),"-")</f>
        <v>0</v>
      </c>
      <c r="M1586" s="38">
        <f>COUNTIF(퀘스트!B:B,표1[[#This Row],[명칭]])</f>
        <v>0</v>
      </c>
      <c r="N1586" s="65">
        <f>COUNTIF([1]VillageDiscoveryGroup!$C:$C,표1[[#This Row],[명칭]])</f>
        <v>0</v>
      </c>
      <c r="O1586" s="65">
        <f>SUM(표1[[#This Row],[해양탐색]:[마을탐험]])</f>
        <v>0</v>
      </c>
    </row>
    <row r="1587" spans="2:15" ht="13.5" customHeight="1" x14ac:dyDescent="0.3">
      <c r="B1587" s="9">
        <f>[1]Discovery!A1593</f>
        <v>70412087</v>
      </c>
      <c r="C1587" s="9" t="str">
        <f>[1]Discovery!B1593</f>
        <v>상토메</v>
      </c>
      <c r="D1587" s="9" t="str">
        <f>[1]Discovery!E1593</f>
        <v>건축</v>
      </c>
      <c r="E1587" s="9" t="str">
        <f>[1]Discovery!C1593</f>
        <v>항구</v>
      </c>
      <c r="F1587" s="9" t="str">
        <f>[1]Discovery!G1593</f>
        <v>D</v>
      </c>
      <c r="G1587" s="9" t="str">
        <f>IFERROR(VLOOKUP(표1[[#This Row],[명칭]],'문화권 정리'!C:D,2,FALSE),"-")</f>
        <v>항구</v>
      </c>
      <c r="H1587" s="38" t="str">
        <f>IFERROR(COUNTIF([2]OceanDoodad!$Y:$Y,표1[[#This Row],[명칭]]),"-")</f>
        <v>-</v>
      </c>
      <c r="I1587" s="38">
        <f>IFERROR(COUNTIF([1]AdventureDiscoveryGroup!$D$8:$AW$92,표1[[#This Row],[명칭]]),"-")</f>
        <v>0</v>
      </c>
      <c r="J1587" s="38">
        <f>IFERROR(COUNTIF([1]FishDiscoveryGroup!$A:$X,표1[[#This Row],[명칭]]),"-")</f>
        <v>0</v>
      </c>
      <c r="K1587" s="38" t="str">
        <f>IFERROR(COUNTIF([2]Town!$B:$B,표1[[#This Row],[명칭]]),"-")</f>
        <v>-</v>
      </c>
      <c r="L1587" s="38">
        <f>IFERROR(COUNTIF([1]Village!$BR:$BR,표1[[#This Row],[명칭]]),"-")</f>
        <v>0</v>
      </c>
      <c r="M1587" s="38">
        <f>COUNTIF(퀘스트!B:B,표1[[#This Row],[명칭]])</f>
        <v>0</v>
      </c>
      <c r="N1587" s="65">
        <f>COUNTIF([1]VillageDiscoveryGroup!$C:$C,표1[[#This Row],[명칭]])</f>
        <v>0</v>
      </c>
      <c r="O1587" s="65">
        <f>SUM(표1[[#This Row],[해양탐색]:[마을탐험]])</f>
        <v>0</v>
      </c>
    </row>
    <row r="1588" spans="2:15" ht="13.5" customHeight="1" x14ac:dyDescent="0.3">
      <c r="B1588" s="9">
        <f>[1]Discovery!A1594</f>
        <v>70412088</v>
      </c>
      <c r="C1588" s="9" t="str">
        <f>[1]Discovery!B1594</f>
        <v>상트페테르부르크</v>
      </c>
      <c r="D1588" s="9" t="str">
        <f>[1]Discovery!E1594</f>
        <v>건축</v>
      </c>
      <c r="E1588" s="9" t="str">
        <f>[1]Discovery!C1594</f>
        <v>항구</v>
      </c>
      <c r="F1588" s="9" t="str">
        <f>[1]Discovery!G1594</f>
        <v>D</v>
      </c>
      <c r="G1588" s="9" t="str">
        <f>IFERROR(VLOOKUP(표1[[#This Row],[명칭]],'문화권 정리'!C:D,2,FALSE),"-")</f>
        <v>항구</v>
      </c>
      <c r="H1588" s="38" t="str">
        <f>IFERROR(COUNTIF([2]OceanDoodad!$Y:$Y,표1[[#This Row],[명칭]]),"-")</f>
        <v>-</v>
      </c>
      <c r="I1588" s="38">
        <f>IFERROR(COUNTIF([1]AdventureDiscoveryGroup!$D$8:$AW$92,표1[[#This Row],[명칭]]),"-")</f>
        <v>0</v>
      </c>
      <c r="J1588" s="38">
        <f>IFERROR(COUNTIF([1]FishDiscoveryGroup!$A:$X,표1[[#This Row],[명칭]]),"-")</f>
        <v>0</v>
      </c>
      <c r="K1588" s="38" t="str">
        <f>IFERROR(COUNTIF([2]Town!$B:$B,표1[[#This Row],[명칭]]),"-")</f>
        <v>-</v>
      </c>
      <c r="L1588" s="38">
        <f>IFERROR(COUNTIF([1]Village!$BR:$BR,표1[[#This Row],[명칭]]),"-")</f>
        <v>0</v>
      </c>
      <c r="M1588" s="38">
        <f>COUNTIF(퀘스트!B:B,표1[[#This Row],[명칭]])</f>
        <v>0</v>
      </c>
      <c r="N1588" s="65">
        <f>COUNTIF([1]VillageDiscoveryGroup!$C:$C,표1[[#This Row],[명칭]])</f>
        <v>0</v>
      </c>
      <c r="O1588" s="65">
        <f>SUM(표1[[#This Row],[해양탐색]:[마을탐험]])</f>
        <v>0</v>
      </c>
    </row>
    <row r="1589" spans="2:15" ht="13.5" customHeight="1" x14ac:dyDescent="0.3">
      <c r="B1589" s="9">
        <f>[1]Discovery!A1595</f>
        <v>70412089</v>
      </c>
      <c r="C1589" s="9" t="str">
        <f>[1]Discovery!B1595</f>
        <v>오흘론</v>
      </c>
      <c r="D1589" s="9" t="str">
        <f>[1]Discovery!E1595</f>
        <v>건축</v>
      </c>
      <c r="E1589" s="9" t="str">
        <f>[1]Discovery!C1595</f>
        <v>항구</v>
      </c>
      <c r="F1589" s="9" t="str">
        <f>[1]Discovery!G1595</f>
        <v>D</v>
      </c>
      <c r="G1589" s="9" t="str">
        <f>IFERROR(VLOOKUP(표1[[#This Row],[명칭]],'문화권 정리'!C:D,2,FALSE),"-")</f>
        <v>항구</v>
      </c>
      <c r="H1589" s="38" t="str">
        <f>IFERROR(COUNTIF([2]OceanDoodad!$Y:$Y,표1[[#This Row],[명칭]]),"-")</f>
        <v>-</v>
      </c>
      <c r="I1589" s="38">
        <f>IFERROR(COUNTIF([1]AdventureDiscoveryGroup!$D$8:$AW$92,표1[[#This Row],[명칭]]),"-")</f>
        <v>0</v>
      </c>
      <c r="J1589" s="38">
        <f>IFERROR(COUNTIF([1]FishDiscoveryGroup!$A:$X,표1[[#This Row],[명칭]]),"-")</f>
        <v>0</v>
      </c>
      <c r="K1589" s="38" t="str">
        <f>IFERROR(COUNTIF([2]Town!$B:$B,표1[[#This Row],[명칭]]),"-")</f>
        <v>-</v>
      </c>
      <c r="L1589" s="38">
        <f>IFERROR(COUNTIF([1]Village!$BR:$BR,표1[[#This Row],[명칭]]),"-")</f>
        <v>0</v>
      </c>
      <c r="M1589" s="38">
        <f>COUNTIF(퀘스트!B:B,표1[[#This Row],[명칭]])</f>
        <v>0</v>
      </c>
      <c r="N1589" s="65">
        <f>COUNTIF([1]VillageDiscoveryGroup!$C:$C,표1[[#This Row],[명칭]])</f>
        <v>0</v>
      </c>
      <c r="O1589" s="65">
        <f>SUM(표1[[#This Row],[해양탐색]:[마을탐험]])</f>
        <v>0</v>
      </c>
    </row>
    <row r="1590" spans="2:15" ht="13.5" customHeight="1" x14ac:dyDescent="0.3">
      <c r="B1590" s="9">
        <f>[1]Discovery!A1596</f>
        <v>70412090</v>
      </c>
      <c r="C1590" s="9" t="str">
        <f>[1]Discovery!B1596</f>
        <v>서안</v>
      </c>
      <c r="D1590" s="9" t="str">
        <f>[1]Discovery!E1596</f>
        <v>건축</v>
      </c>
      <c r="E1590" s="9" t="str">
        <f>[1]Discovery!C1596</f>
        <v>항구</v>
      </c>
      <c r="F1590" s="9" t="str">
        <f>[1]Discovery!G1596</f>
        <v>D</v>
      </c>
      <c r="G1590" s="9" t="str">
        <f>IFERROR(VLOOKUP(표1[[#This Row],[명칭]],'문화권 정리'!C:D,2,FALSE),"-")</f>
        <v>항구</v>
      </c>
      <c r="H1590" s="38" t="str">
        <f>IFERROR(COUNTIF([2]OceanDoodad!$Y:$Y,표1[[#This Row],[명칭]]),"-")</f>
        <v>-</v>
      </c>
      <c r="I1590" s="38">
        <f>IFERROR(COUNTIF([1]AdventureDiscoveryGroup!$D$8:$AW$92,표1[[#This Row],[명칭]]),"-")</f>
        <v>0</v>
      </c>
      <c r="J1590" s="38">
        <f>IFERROR(COUNTIF([1]FishDiscoveryGroup!$A:$X,표1[[#This Row],[명칭]]),"-")</f>
        <v>0</v>
      </c>
      <c r="K1590" s="38" t="str">
        <f>IFERROR(COUNTIF([2]Town!$B:$B,표1[[#This Row],[명칭]]),"-")</f>
        <v>-</v>
      </c>
      <c r="L1590" s="38">
        <f>IFERROR(COUNTIF([1]Village!$BR:$BR,표1[[#This Row],[명칭]]),"-")</f>
        <v>0</v>
      </c>
      <c r="M1590" s="38">
        <f>COUNTIF(퀘스트!B:B,표1[[#This Row],[명칭]])</f>
        <v>0</v>
      </c>
      <c r="N1590" s="65">
        <f>COUNTIF([1]VillageDiscoveryGroup!$C:$C,표1[[#This Row],[명칭]])</f>
        <v>0</v>
      </c>
      <c r="O1590" s="65">
        <f>SUM(표1[[#This Row],[해양탐색]:[마을탐험]])</f>
        <v>0</v>
      </c>
    </row>
    <row r="1591" spans="2:15" ht="13.5" customHeight="1" x14ac:dyDescent="0.3">
      <c r="B1591" s="9">
        <f>[1]Discovery!A1597</f>
        <v>70412091</v>
      </c>
      <c r="C1591" s="9" t="str">
        <f>[1]Discovery!B1597</f>
        <v>세비야</v>
      </c>
      <c r="D1591" s="9" t="str">
        <f>[1]Discovery!E1597</f>
        <v>건축</v>
      </c>
      <c r="E1591" s="9" t="str">
        <f>[1]Discovery!C1597</f>
        <v>항구</v>
      </c>
      <c r="F1591" s="9" t="str">
        <f>[1]Discovery!G1597</f>
        <v>D</v>
      </c>
      <c r="G1591" s="9" t="str">
        <f>IFERROR(VLOOKUP(표1[[#This Row],[명칭]],'문화권 정리'!C:D,2,FALSE),"-")</f>
        <v>항구</v>
      </c>
      <c r="H1591" s="38" t="str">
        <f>IFERROR(COUNTIF([2]OceanDoodad!$Y:$Y,표1[[#This Row],[명칭]]),"-")</f>
        <v>-</v>
      </c>
      <c r="I1591" s="38">
        <f>IFERROR(COUNTIF([1]AdventureDiscoveryGroup!$D$8:$AW$92,표1[[#This Row],[명칭]]),"-")</f>
        <v>0</v>
      </c>
      <c r="J1591" s="38">
        <f>IFERROR(COUNTIF([1]FishDiscoveryGroup!$A:$X,표1[[#This Row],[명칭]]),"-")</f>
        <v>0</v>
      </c>
      <c r="K1591" s="38" t="str">
        <f>IFERROR(COUNTIF([2]Town!$B:$B,표1[[#This Row],[명칭]]),"-")</f>
        <v>-</v>
      </c>
      <c r="L1591" s="38">
        <f>IFERROR(COUNTIF([1]Village!$BR:$BR,표1[[#This Row],[명칭]]),"-")</f>
        <v>0</v>
      </c>
      <c r="M1591" s="38">
        <f>COUNTIF(퀘스트!B:B,표1[[#This Row],[명칭]])</f>
        <v>0</v>
      </c>
      <c r="N1591" s="65">
        <f>COUNTIF([1]VillageDiscoveryGroup!$C:$C,표1[[#This Row],[명칭]])</f>
        <v>0</v>
      </c>
      <c r="O1591" s="65">
        <f>SUM(표1[[#This Row],[해양탐색]:[마을탐험]])</f>
        <v>0</v>
      </c>
    </row>
    <row r="1592" spans="2:15" ht="13.5" customHeight="1" x14ac:dyDescent="0.3">
      <c r="B1592" s="9">
        <f>[1]Discovery!A1598</f>
        <v>70412092</v>
      </c>
      <c r="C1592" s="9" t="str">
        <f>[1]Discovery!B1598</f>
        <v>세우타</v>
      </c>
      <c r="D1592" s="9" t="str">
        <f>[1]Discovery!E1598</f>
        <v>건축</v>
      </c>
      <c r="E1592" s="9" t="str">
        <f>[1]Discovery!C1598</f>
        <v>항구</v>
      </c>
      <c r="F1592" s="9" t="str">
        <f>[1]Discovery!G1598</f>
        <v>D</v>
      </c>
      <c r="G1592" s="9" t="str">
        <f>IFERROR(VLOOKUP(표1[[#This Row],[명칭]],'문화권 정리'!C:D,2,FALSE),"-")</f>
        <v>항구</v>
      </c>
      <c r="H1592" s="38" t="str">
        <f>IFERROR(COUNTIF([2]OceanDoodad!$Y:$Y,표1[[#This Row],[명칭]]),"-")</f>
        <v>-</v>
      </c>
      <c r="I1592" s="38">
        <f>IFERROR(COUNTIF([1]AdventureDiscoveryGroup!$D$8:$AW$92,표1[[#This Row],[명칭]]),"-")</f>
        <v>0</v>
      </c>
      <c r="J1592" s="38">
        <f>IFERROR(COUNTIF([1]FishDiscoveryGroup!$A:$X,표1[[#This Row],[명칭]]),"-")</f>
        <v>0</v>
      </c>
      <c r="K1592" s="38" t="str">
        <f>IFERROR(COUNTIF([2]Town!$B:$B,표1[[#This Row],[명칭]]),"-")</f>
        <v>-</v>
      </c>
      <c r="L1592" s="38">
        <f>IFERROR(COUNTIF([1]Village!$BR:$BR,표1[[#This Row],[명칭]]),"-")</f>
        <v>0</v>
      </c>
      <c r="M1592" s="38">
        <f>COUNTIF(퀘스트!B:B,표1[[#This Row],[명칭]])</f>
        <v>0</v>
      </c>
      <c r="N1592" s="65">
        <f>COUNTIF([1]VillageDiscoveryGroup!$C:$C,표1[[#This Row],[명칭]])</f>
        <v>0</v>
      </c>
      <c r="O1592" s="65">
        <f>SUM(표1[[#This Row],[해양탐색]:[마을탐험]])</f>
        <v>0</v>
      </c>
    </row>
    <row r="1593" spans="2:15" ht="13.5" customHeight="1" x14ac:dyDescent="0.3">
      <c r="B1593" s="9">
        <f>[1]Discovery!A1599</f>
        <v>70412093</v>
      </c>
      <c r="C1593" s="9" t="str">
        <f>[1]Discovery!B1599</f>
        <v>엘미나</v>
      </c>
      <c r="D1593" s="9" t="str">
        <f>[1]Discovery!E1599</f>
        <v>건축</v>
      </c>
      <c r="E1593" s="9" t="str">
        <f>[1]Discovery!C1599</f>
        <v>항구</v>
      </c>
      <c r="F1593" s="9" t="str">
        <f>[1]Discovery!G1599</f>
        <v>D</v>
      </c>
      <c r="G1593" s="9" t="str">
        <f>IFERROR(VLOOKUP(표1[[#This Row],[명칭]],'문화권 정리'!C:D,2,FALSE),"-")</f>
        <v>항구</v>
      </c>
      <c r="H1593" s="38" t="str">
        <f>IFERROR(COUNTIF([2]OceanDoodad!$Y:$Y,표1[[#This Row],[명칭]]),"-")</f>
        <v>-</v>
      </c>
      <c r="I1593" s="38">
        <f>IFERROR(COUNTIF([1]AdventureDiscoveryGroup!$D$8:$AW$92,표1[[#This Row],[명칭]]),"-")</f>
        <v>0</v>
      </c>
      <c r="J1593" s="38">
        <f>IFERROR(COUNTIF([1]FishDiscoveryGroup!$A:$X,표1[[#This Row],[명칭]]),"-")</f>
        <v>0</v>
      </c>
      <c r="K1593" s="38" t="str">
        <f>IFERROR(COUNTIF([2]Town!$B:$B,표1[[#This Row],[명칭]]),"-")</f>
        <v>-</v>
      </c>
      <c r="L1593" s="38">
        <f>IFERROR(COUNTIF([1]Village!$BR:$BR,표1[[#This Row],[명칭]]),"-")</f>
        <v>0</v>
      </c>
      <c r="M1593" s="38">
        <f>COUNTIF(퀘스트!B:B,표1[[#This Row],[명칭]])</f>
        <v>0</v>
      </c>
      <c r="N1593" s="65">
        <f>COUNTIF([1]VillageDiscoveryGroup!$C:$C,표1[[#This Row],[명칭]])</f>
        <v>0</v>
      </c>
      <c r="O1593" s="65">
        <f>SUM(표1[[#This Row],[해양탐색]:[마을탐험]])</f>
        <v>0</v>
      </c>
    </row>
    <row r="1594" spans="2:15" ht="13.5" customHeight="1" x14ac:dyDescent="0.3">
      <c r="B1594" s="9">
        <f>[1]Discovery!A1600</f>
        <v>70412094</v>
      </c>
      <c r="C1594" s="9" t="str">
        <f>[1]Discovery!B1600</f>
        <v>소팔라</v>
      </c>
      <c r="D1594" s="9" t="str">
        <f>[1]Discovery!E1600</f>
        <v>건축</v>
      </c>
      <c r="E1594" s="9" t="str">
        <f>[1]Discovery!C1600</f>
        <v>항구</v>
      </c>
      <c r="F1594" s="9" t="str">
        <f>[1]Discovery!G1600</f>
        <v>D</v>
      </c>
      <c r="G1594" s="9" t="str">
        <f>IFERROR(VLOOKUP(표1[[#This Row],[명칭]],'문화권 정리'!C:D,2,FALSE),"-")</f>
        <v>항구</v>
      </c>
      <c r="H1594" s="38" t="str">
        <f>IFERROR(COUNTIF([2]OceanDoodad!$Y:$Y,표1[[#This Row],[명칭]]),"-")</f>
        <v>-</v>
      </c>
      <c r="I1594" s="38">
        <f>IFERROR(COUNTIF([1]AdventureDiscoveryGroup!$D$8:$AW$92,표1[[#This Row],[명칭]]),"-")</f>
        <v>0</v>
      </c>
      <c r="J1594" s="38">
        <f>IFERROR(COUNTIF([1]FishDiscoveryGroup!$A:$X,표1[[#This Row],[명칭]]),"-")</f>
        <v>0</v>
      </c>
      <c r="K1594" s="38" t="str">
        <f>IFERROR(COUNTIF([2]Town!$B:$B,표1[[#This Row],[명칭]]),"-")</f>
        <v>-</v>
      </c>
      <c r="L1594" s="38">
        <f>IFERROR(COUNTIF([1]Village!$BR:$BR,표1[[#This Row],[명칭]]),"-")</f>
        <v>0</v>
      </c>
      <c r="M1594" s="38">
        <f>COUNTIF(퀘스트!B:B,표1[[#This Row],[명칭]])</f>
        <v>0</v>
      </c>
      <c r="N1594" s="65">
        <f>COUNTIF([1]VillageDiscoveryGroup!$C:$C,표1[[#This Row],[명칭]])</f>
        <v>0</v>
      </c>
      <c r="O1594" s="65">
        <f>SUM(표1[[#This Row],[해양탐색]:[마을탐험]])</f>
        <v>0</v>
      </c>
    </row>
    <row r="1595" spans="2:15" ht="13.5" customHeight="1" x14ac:dyDescent="0.3">
      <c r="B1595" s="9">
        <f>[1]Discovery!A1601</f>
        <v>70412095</v>
      </c>
      <c r="C1595" s="9" t="str">
        <f>[1]Discovery!B1601</f>
        <v>수라바야</v>
      </c>
      <c r="D1595" s="9" t="str">
        <f>[1]Discovery!E1601</f>
        <v>건축</v>
      </c>
      <c r="E1595" s="9" t="str">
        <f>[1]Discovery!C1601</f>
        <v>항구</v>
      </c>
      <c r="F1595" s="9" t="str">
        <f>[1]Discovery!G1601</f>
        <v>D</v>
      </c>
      <c r="G1595" s="9" t="str">
        <f>IFERROR(VLOOKUP(표1[[#This Row],[명칭]],'문화권 정리'!C:D,2,FALSE),"-")</f>
        <v>항구</v>
      </c>
      <c r="H1595" s="38" t="str">
        <f>IFERROR(COUNTIF([2]OceanDoodad!$Y:$Y,표1[[#This Row],[명칭]]),"-")</f>
        <v>-</v>
      </c>
      <c r="I1595" s="38">
        <f>IFERROR(COUNTIF([1]AdventureDiscoveryGroup!$D$8:$AW$92,표1[[#This Row],[명칭]]),"-")</f>
        <v>0</v>
      </c>
      <c r="J1595" s="38">
        <f>IFERROR(COUNTIF([1]FishDiscoveryGroup!$A:$X,표1[[#This Row],[명칭]]),"-")</f>
        <v>0</v>
      </c>
      <c r="K1595" s="38" t="str">
        <f>IFERROR(COUNTIF([2]Town!$B:$B,표1[[#This Row],[명칭]]),"-")</f>
        <v>-</v>
      </c>
      <c r="L1595" s="38">
        <f>IFERROR(COUNTIF([1]Village!$BR:$BR,표1[[#This Row],[명칭]]),"-")</f>
        <v>0</v>
      </c>
      <c r="M1595" s="38">
        <f>COUNTIF(퀘스트!B:B,표1[[#This Row],[명칭]])</f>
        <v>0</v>
      </c>
      <c r="N1595" s="65">
        <f>COUNTIF([1]VillageDiscoveryGroup!$C:$C,표1[[#This Row],[명칭]])</f>
        <v>0</v>
      </c>
      <c r="O1595" s="65">
        <f>SUM(표1[[#This Row],[해양탐색]:[마을탐험]])</f>
        <v>0</v>
      </c>
    </row>
    <row r="1596" spans="2:15" ht="13.5" customHeight="1" x14ac:dyDescent="0.3">
      <c r="B1596" s="9">
        <f>[1]Discovery!A1602</f>
        <v>70412096</v>
      </c>
      <c r="C1596" s="9" t="str">
        <f>[1]Discovery!B1602</f>
        <v>앗수웨이스</v>
      </c>
      <c r="D1596" s="9" t="str">
        <f>[1]Discovery!E1602</f>
        <v>건축</v>
      </c>
      <c r="E1596" s="9" t="str">
        <f>[1]Discovery!C1602</f>
        <v>항구</v>
      </c>
      <c r="F1596" s="9" t="str">
        <f>[1]Discovery!G1602</f>
        <v>D</v>
      </c>
      <c r="G1596" s="9" t="str">
        <f>IFERROR(VLOOKUP(표1[[#This Row],[명칭]],'문화권 정리'!C:D,2,FALSE),"-")</f>
        <v>항구</v>
      </c>
      <c r="H1596" s="38" t="str">
        <f>IFERROR(COUNTIF([2]OceanDoodad!$Y:$Y,표1[[#This Row],[명칭]]),"-")</f>
        <v>-</v>
      </c>
      <c r="I1596" s="38">
        <f>IFERROR(COUNTIF([1]AdventureDiscoveryGroup!$D$8:$AW$92,표1[[#This Row],[명칭]]),"-")</f>
        <v>0</v>
      </c>
      <c r="J1596" s="38">
        <f>IFERROR(COUNTIF([1]FishDiscoveryGroup!$A:$X,표1[[#This Row],[명칭]]),"-")</f>
        <v>0</v>
      </c>
      <c r="K1596" s="38" t="str">
        <f>IFERROR(COUNTIF([2]Town!$B:$B,표1[[#This Row],[명칭]]),"-")</f>
        <v>-</v>
      </c>
      <c r="L1596" s="38">
        <f>IFERROR(COUNTIF([1]Village!$BR:$BR,표1[[#This Row],[명칭]]),"-")</f>
        <v>0</v>
      </c>
      <c r="M1596" s="38">
        <f>COUNTIF(퀘스트!B:B,표1[[#This Row],[명칭]])</f>
        <v>0</v>
      </c>
      <c r="N1596" s="65">
        <f>COUNTIF([1]VillageDiscoveryGroup!$C:$C,표1[[#This Row],[명칭]])</f>
        <v>0</v>
      </c>
      <c r="O1596" s="65">
        <f>SUM(표1[[#This Row],[해양탐색]:[마을탐험]])</f>
        <v>0</v>
      </c>
    </row>
    <row r="1597" spans="2:15" ht="13.5" customHeight="1" x14ac:dyDescent="0.3">
      <c r="B1597" s="9">
        <f>[1]Discovery!A1603</f>
        <v>70412097</v>
      </c>
      <c r="C1597" s="9" t="str">
        <f>[1]Discovery!B1603</f>
        <v>스톡홀름</v>
      </c>
      <c r="D1597" s="9" t="str">
        <f>[1]Discovery!E1603</f>
        <v>건축</v>
      </c>
      <c r="E1597" s="9" t="str">
        <f>[1]Discovery!C1603</f>
        <v>항구</v>
      </c>
      <c r="F1597" s="9" t="str">
        <f>[1]Discovery!G1603</f>
        <v>D</v>
      </c>
      <c r="G1597" s="9" t="str">
        <f>IFERROR(VLOOKUP(표1[[#This Row],[명칭]],'문화권 정리'!C:D,2,FALSE),"-")</f>
        <v>항구</v>
      </c>
      <c r="H1597" s="38" t="str">
        <f>IFERROR(COUNTIF([2]OceanDoodad!$Y:$Y,표1[[#This Row],[명칭]]),"-")</f>
        <v>-</v>
      </c>
      <c r="I1597" s="38">
        <f>IFERROR(COUNTIF([1]AdventureDiscoveryGroup!$D$8:$AW$92,표1[[#This Row],[명칭]]),"-")</f>
        <v>0</v>
      </c>
      <c r="J1597" s="38">
        <f>IFERROR(COUNTIF([1]FishDiscoveryGroup!$A:$X,표1[[#This Row],[명칭]]),"-")</f>
        <v>0</v>
      </c>
      <c r="K1597" s="38" t="str">
        <f>IFERROR(COUNTIF([2]Town!$B:$B,표1[[#This Row],[명칭]]),"-")</f>
        <v>-</v>
      </c>
      <c r="L1597" s="38">
        <f>IFERROR(COUNTIF([1]Village!$BR:$BR,표1[[#This Row],[명칭]]),"-")</f>
        <v>0</v>
      </c>
      <c r="M1597" s="38">
        <f>COUNTIF(퀘스트!B:B,표1[[#This Row],[명칭]])</f>
        <v>0</v>
      </c>
      <c r="N1597" s="65">
        <f>COUNTIF([1]VillageDiscoveryGroup!$C:$C,표1[[#This Row],[명칭]])</f>
        <v>0</v>
      </c>
      <c r="O1597" s="65">
        <f>SUM(표1[[#This Row],[해양탐색]:[마을탐험]])</f>
        <v>0</v>
      </c>
    </row>
    <row r="1598" spans="2:15" ht="13.5" customHeight="1" x14ac:dyDescent="0.3">
      <c r="B1598" s="9">
        <f>[1]Discovery!A1604</f>
        <v>70412098</v>
      </c>
      <c r="C1598" s="9" t="str">
        <f>[1]Discovery!B1604</f>
        <v>시라즈</v>
      </c>
      <c r="D1598" s="9" t="str">
        <f>[1]Discovery!E1604</f>
        <v>건축</v>
      </c>
      <c r="E1598" s="9" t="str">
        <f>[1]Discovery!C1604</f>
        <v>항구</v>
      </c>
      <c r="F1598" s="9" t="str">
        <f>[1]Discovery!G1604</f>
        <v>D</v>
      </c>
      <c r="G1598" s="9" t="str">
        <f>IFERROR(VLOOKUP(표1[[#This Row],[명칭]],'문화권 정리'!C:D,2,FALSE),"-")</f>
        <v>항구</v>
      </c>
      <c r="H1598" s="38" t="str">
        <f>IFERROR(COUNTIF([2]OceanDoodad!$Y:$Y,표1[[#This Row],[명칭]]),"-")</f>
        <v>-</v>
      </c>
      <c r="I1598" s="38">
        <f>IFERROR(COUNTIF([1]AdventureDiscoveryGroup!$D$8:$AW$92,표1[[#This Row],[명칭]]),"-")</f>
        <v>0</v>
      </c>
      <c r="J1598" s="38">
        <f>IFERROR(COUNTIF([1]FishDiscoveryGroup!$A:$X,표1[[#This Row],[명칭]]),"-")</f>
        <v>0</v>
      </c>
      <c r="K1598" s="38" t="str">
        <f>IFERROR(COUNTIF([2]Town!$B:$B,표1[[#This Row],[명칭]]),"-")</f>
        <v>-</v>
      </c>
      <c r="L1598" s="38">
        <f>IFERROR(COUNTIF([1]Village!$BR:$BR,표1[[#This Row],[명칭]]),"-")</f>
        <v>0</v>
      </c>
      <c r="M1598" s="38">
        <f>COUNTIF(퀘스트!B:B,표1[[#This Row],[명칭]])</f>
        <v>0</v>
      </c>
      <c r="N1598" s="65">
        <f>COUNTIF([1]VillageDiscoveryGroup!$C:$C,표1[[#This Row],[명칭]])</f>
        <v>0</v>
      </c>
      <c r="O1598" s="65">
        <f>SUM(표1[[#This Row],[해양탐색]:[마을탐험]])</f>
        <v>0</v>
      </c>
    </row>
    <row r="1599" spans="2:15" ht="13.5" customHeight="1" x14ac:dyDescent="0.3">
      <c r="B1599" s="9">
        <f>[1]Discovery!A1605</f>
        <v>70412099</v>
      </c>
      <c r="C1599" s="9" t="str">
        <f>[1]Discovery!B1605</f>
        <v>시라쿠자</v>
      </c>
      <c r="D1599" s="9" t="str">
        <f>[1]Discovery!E1605</f>
        <v>건축</v>
      </c>
      <c r="E1599" s="9" t="str">
        <f>[1]Discovery!C1605</f>
        <v>항구</v>
      </c>
      <c r="F1599" s="9" t="str">
        <f>[1]Discovery!G1605</f>
        <v>D</v>
      </c>
      <c r="G1599" s="9" t="str">
        <f>IFERROR(VLOOKUP(표1[[#This Row],[명칭]],'문화권 정리'!C:D,2,FALSE),"-")</f>
        <v>항구</v>
      </c>
      <c r="H1599" s="38" t="str">
        <f>IFERROR(COUNTIF([2]OceanDoodad!$Y:$Y,표1[[#This Row],[명칭]]),"-")</f>
        <v>-</v>
      </c>
      <c r="I1599" s="38">
        <f>IFERROR(COUNTIF([1]AdventureDiscoveryGroup!$D$8:$AW$92,표1[[#This Row],[명칭]]),"-")</f>
        <v>0</v>
      </c>
      <c r="J1599" s="38">
        <f>IFERROR(COUNTIF([1]FishDiscoveryGroup!$A:$X,표1[[#This Row],[명칭]]),"-")</f>
        <v>0</v>
      </c>
      <c r="K1599" s="38" t="str">
        <f>IFERROR(COUNTIF([2]Town!$B:$B,표1[[#This Row],[명칭]]),"-")</f>
        <v>-</v>
      </c>
      <c r="L1599" s="38">
        <f>IFERROR(COUNTIF([1]Village!$BR:$BR,표1[[#This Row],[명칭]]),"-")</f>
        <v>0</v>
      </c>
      <c r="M1599" s="38">
        <f>COUNTIF(퀘스트!B:B,표1[[#This Row],[명칭]])</f>
        <v>0</v>
      </c>
      <c r="N1599" s="65">
        <f>COUNTIF([1]VillageDiscoveryGroup!$C:$C,표1[[#This Row],[명칭]])</f>
        <v>0</v>
      </c>
      <c r="O1599" s="65">
        <f>SUM(표1[[#This Row],[해양탐색]:[마을탐험]])</f>
        <v>0</v>
      </c>
    </row>
    <row r="1600" spans="2:15" ht="13.5" customHeight="1" x14ac:dyDescent="0.3">
      <c r="B1600" s="9">
        <f>[1]Discovery!A1606</f>
        <v>70412100</v>
      </c>
      <c r="C1600" s="9" t="str">
        <f>[1]Discovery!B1606</f>
        <v>시에라리온</v>
      </c>
      <c r="D1600" s="9" t="str">
        <f>[1]Discovery!E1606</f>
        <v>건축</v>
      </c>
      <c r="E1600" s="9" t="str">
        <f>[1]Discovery!C1606</f>
        <v>항구</v>
      </c>
      <c r="F1600" s="9" t="str">
        <f>[1]Discovery!G1606</f>
        <v>D</v>
      </c>
      <c r="G1600" s="9" t="str">
        <f>IFERROR(VLOOKUP(표1[[#This Row],[명칭]],'문화권 정리'!C:D,2,FALSE),"-")</f>
        <v>항구</v>
      </c>
      <c r="H1600" s="38" t="str">
        <f>IFERROR(COUNTIF([2]OceanDoodad!$Y:$Y,표1[[#This Row],[명칭]]),"-")</f>
        <v>-</v>
      </c>
      <c r="I1600" s="38">
        <f>IFERROR(COUNTIF([1]AdventureDiscoveryGroup!$D$8:$AW$92,표1[[#This Row],[명칭]]),"-")</f>
        <v>0</v>
      </c>
      <c r="J1600" s="38">
        <f>IFERROR(COUNTIF([1]FishDiscoveryGroup!$A:$X,표1[[#This Row],[명칭]]),"-")</f>
        <v>0</v>
      </c>
      <c r="K1600" s="38" t="str">
        <f>IFERROR(COUNTIF([2]Town!$B:$B,표1[[#This Row],[명칭]]),"-")</f>
        <v>-</v>
      </c>
      <c r="L1600" s="38">
        <f>IFERROR(COUNTIF([1]Village!$BR:$BR,표1[[#This Row],[명칭]]),"-")</f>
        <v>0</v>
      </c>
      <c r="M1600" s="38">
        <f>COUNTIF(퀘스트!B:B,표1[[#This Row],[명칭]])</f>
        <v>0</v>
      </c>
      <c r="N1600" s="65">
        <f>COUNTIF([1]VillageDiscoveryGroup!$C:$C,표1[[#This Row],[명칭]])</f>
        <v>0</v>
      </c>
      <c r="O1600" s="65">
        <f>SUM(표1[[#This Row],[해양탐색]:[마을탐험]])</f>
        <v>0</v>
      </c>
    </row>
    <row r="1601" spans="2:15" ht="13.5" customHeight="1" x14ac:dyDescent="0.3">
      <c r="B1601" s="9">
        <f>[1]Discovery!A1607</f>
        <v>70412101</v>
      </c>
      <c r="C1601" s="9" t="str">
        <f>[1]Discovery!B1607</f>
        <v>코테</v>
      </c>
      <c r="D1601" s="9" t="str">
        <f>[1]Discovery!E1607</f>
        <v>건축</v>
      </c>
      <c r="E1601" s="9" t="str">
        <f>[1]Discovery!C1607</f>
        <v>항구</v>
      </c>
      <c r="F1601" s="9" t="str">
        <f>[1]Discovery!G1607</f>
        <v>D</v>
      </c>
      <c r="G1601" s="9" t="str">
        <f>IFERROR(VLOOKUP(표1[[#This Row],[명칭]],'문화권 정리'!C:D,2,FALSE),"-")</f>
        <v>항구</v>
      </c>
      <c r="H1601" s="38" t="str">
        <f>IFERROR(COUNTIF([2]OceanDoodad!$Y:$Y,표1[[#This Row],[명칭]]),"-")</f>
        <v>-</v>
      </c>
      <c r="I1601" s="38">
        <f>IFERROR(COUNTIF([1]AdventureDiscoveryGroup!$D$8:$AW$92,표1[[#This Row],[명칭]]),"-")</f>
        <v>0</v>
      </c>
      <c r="J1601" s="38">
        <f>IFERROR(COUNTIF([1]FishDiscoveryGroup!$A:$X,표1[[#This Row],[명칭]]),"-")</f>
        <v>0</v>
      </c>
      <c r="K1601" s="38" t="str">
        <f>IFERROR(COUNTIF([2]Town!$B:$B,표1[[#This Row],[명칭]]),"-")</f>
        <v>-</v>
      </c>
      <c r="L1601" s="38">
        <f>IFERROR(COUNTIF([1]Village!$BR:$BR,표1[[#This Row],[명칭]]),"-")</f>
        <v>0</v>
      </c>
      <c r="M1601" s="38">
        <f>COUNTIF(퀘스트!B:B,표1[[#This Row],[명칭]])</f>
        <v>0</v>
      </c>
      <c r="N1601" s="65">
        <f>COUNTIF([1]VillageDiscoveryGroup!$C:$C,표1[[#This Row],[명칭]])</f>
        <v>0</v>
      </c>
      <c r="O1601" s="65">
        <f>SUM(표1[[#This Row],[해양탐색]:[마을탐험]])</f>
        <v>0</v>
      </c>
    </row>
    <row r="1602" spans="2:15" ht="13.5" customHeight="1" x14ac:dyDescent="0.3">
      <c r="B1602" s="9">
        <f>[1]Discovery!A1608</f>
        <v>70412102</v>
      </c>
      <c r="C1602" s="9" t="str">
        <f>[1]Discovery!B1608</f>
        <v>아딘</v>
      </c>
      <c r="D1602" s="9" t="str">
        <f>[1]Discovery!E1608</f>
        <v>건축</v>
      </c>
      <c r="E1602" s="9" t="str">
        <f>[1]Discovery!C1608</f>
        <v>항구</v>
      </c>
      <c r="F1602" s="9" t="str">
        <f>[1]Discovery!G1608</f>
        <v>D</v>
      </c>
      <c r="G1602" s="9" t="str">
        <f>IFERROR(VLOOKUP(표1[[#This Row],[명칭]],'문화권 정리'!C:D,2,FALSE),"-")</f>
        <v>항구</v>
      </c>
      <c r="H1602" s="38" t="str">
        <f>IFERROR(COUNTIF([2]OceanDoodad!$Y:$Y,표1[[#This Row],[명칭]]),"-")</f>
        <v>-</v>
      </c>
      <c r="I1602" s="38">
        <f>IFERROR(COUNTIF([1]AdventureDiscoveryGroup!$D$8:$AW$92,표1[[#This Row],[명칭]]),"-")</f>
        <v>0</v>
      </c>
      <c r="J1602" s="38">
        <f>IFERROR(COUNTIF([1]FishDiscoveryGroup!$A:$X,표1[[#This Row],[명칭]]),"-")</f>
        <v>0</v>
      </c>
      <c r="K1602" s="38" t="str">
        <f>IFERROR(COUNTIF([2]Town!$B:$B,표1[[#This Row],[명칭]]),"-")</f>
        <v>-</v>
      </c>
      <c r="L1602" s="38">
        <f>IFERROR(COUNTIF([1]Village!$BR:$BR,표1[[#This Row],[명칭]]),"-")</f>
        <v>0</v>
      </c>
      <c r="M1602" s="38">
        <f>COUNTIF(퀘스트!B:B,표1[[#This Row],[명칭]])</f>
        <v>0</v>
      </c>
      <c r="N1602" s="65">
        <f>COUNTIF([1]VillageDiscoveryGroup!$C:$C,표1[[#This Row],[명칭]])</f>
        <v>0</v>
      </c>
      <c r="O1602" s="65">
        <f>SUM(표1[[#This Row],[해양탐색]:[마을탐험]])</f>
        <v>0</v>
      </c>
    </row>
    <row r="1603" spans="2:15" ht="13.5" customHeight="1" x14ac:dyDescent="0.3">
      <c r="B1603" s="9">
        <f>[1]Discovery!A1609</f>
        <v>70412103</v>
      </c>
      <c r="C1603" s="9" t="str">
        <f>[1]Discovery!B1609</f>
        <v>아르김</v>
      </c>
      <c r="D1603" s="9" t="str">
        <f>[1]Discovery!E1609</f>
        <v>건축</v>
      </c>
      <c r="E1603" s="9" t="str">
        <f>[1]Discovery!C1609</f>
        <v>항구</v>
      </c>
      <c r="F1603" s="9" t="str">
        <f>[1]Discovery!G1609</f>
        <v>D</v>
      </c>
      <c r="G1603" s="9" t="str">
        <f>IFERROR(VLOOKUP(표1[[#This Row],[명칭]],'문화권 정리'!C:D,2,FALSE),"-")</f>
        <v>항구</v>
      </c>
      <c r="H1603" s="38" t="str">
        <f>IFERROR(COUNTIF([2]OceanDoodad!$Y:$Y,표1[[#This Row],[명칭]]),"-")</f>
        <v>-</v>
      </c>
      <c r="I1603" s="38">
        <f>IFERROR(COUNTIF([1]AdventureDiscoveryGroup!$D$8:$AW$92,표1[[#This Row],[명칭]]),"-")</f>
        <v>0</v>
      </c>
      <c r="J1603" s="38">
        <f>IFERROR(COUNTIF([1]FishDiscoveryGroup!$A:$X,표1[[#This Row],[명칭]]),"-")</f>
        <v>0</v>
      </c>
      <c r="K1603" s="38" t="str">
        <f>IFERROR(COUNTIF([2]Town!$B:$B,표1[[#This Row],[명칭]]),"-")</f>
        <v>-</v>
      </c>
      <c r="L1603" s="38">
        <f>IFERROR(COUNTIF([1]Village!$BR:$BR,표1[[#This Row],[명칭]]),"-")</f>
        <v>0</v>
      </c>
      <c r="M1603" s="38">
        <f>COUNTIF(퀘스트!B:B,표1[[#This Row],[명칭]])</f>
        <v>0</v>
      </c>
      <c r="N1603" s="65">
        <f>COUNTIF([1]VillageDiscoveryGroup!$C:$C,표1[[#This Row],[명칭]])</f>
        <v>0</v>
      </c>
      <c r="O1603" s="65">
        <f>SUM(표1[[#This Row],[해양탐색]:[마을탐험]])</f>
        <v>0</v>
      </c>
    </row>
    <row r="1604" spans="2:15" ht="13.5" customHeight="1" x14ac:dyDescent="0.3">
      <c r="B1604" s="9">
        <f>[1]Discovery!A1610</f>
        <v>70412104</v>
      </c>
      <c r="C1604" s="9" t="str">
        <f>[1]Discovery!B1610</f>
        <v>아르한겔스크</v>
      </c>
      <c r="D1604" s="9" t="str">
        <f>[1]Discovery!E1610</f>
        <v>건축</v>
      </c>
      <c r="E1604" s="9" t="str">
        <f>[1]Discovery!C1610</f>
        <v>항구</v>
      </c>
      <c r="F1604" s="9" t="str">
        <f>[1]Discovery!G1610</f>
        <v>D</v>
      </c>
      <c r="G1604" s="9" t="str">
        <f>IFERROR(VLOOKUP(표1[[#This Row],[명칭]],'문화권 정리'!C:D,2,FALSE),"-")</f>
        <v>항구</v>
      </c>
      <c r="H1604" s="38" t="str">
        <f>IFERROR(COUNTIF([2]OceanDoodad!$Y:$Y,표1[[#This Row],[명칭]]),"-")</f>
        <v>-</v>
      </c>
      <c r="I1604" s="38">
        <f>IFERROR(COUNTIF([1]AdventureDiscoveryGroup!$D$8:$AW$92,표1[[#This Row],[명칭]]),"-")</f>
        <v>0</v>
      </c>
      <c r="J1604" s="38">
        <f>IFERROR(COUNTIF([1]FishDiscoveryGroup!$A:$X,표1[[#This Row],[명칭]]),"-")</f>
        <v>0</v>
      </c>
      <c r="K1604" s="38" t="str">
        <f>IFERROR(COUNTIF([2]Town!$B:$B,표1[[#This Row],[명칭]]),"-")</f>
        <v>-</v>
      </c>
      <c r="L1604" s="38">
        <f>IFERROR(COUNTIF([1]Village!$BR:$BR,표1[[#This Row],[명칭]]),"-")</f>
        <v>0</v>
      </c>
      <c r="M1604" s="38">
        <f>COUNTIF(퀘스트!B:B,표1[[#This Row],[명칭]])</f>
        <v>0</v>
      </c>
      <c r="N1604" s="65">
        <f>COUNTIF([1]VillageDiscoveryGroup!$C:$C,표1[[#This Row],[명칭]])</f>
        <v>0</v>
      </c>
      <c r="O1604" s="65">
        <f>SUM(표1[[#This Row],[해양탐색]:[마을탐험]])</f>
        <v>0</v>
      </c>
    </row>
    <row r="1605" spans="2:15" ht="13.5" customHeight="1" x14ac:dyDescent="0.3">
      <c r="B1605" s="9">
        <f>[1]Discovery!A1611</f>
        <v>70412105</v>
      </c>
      <c r="C1605" s="9" t="str">
        <f>[1]Discovery!B1611</f>
        <v>아바나</v>
      </c>
      <c r="D1605" s="9" t="str">
        <f>[1]Discovery!E1611</f>
        <v>건축</v>
      </c>
      <c r="E1605" s="9" t="str">
        <f>[1]Discovery!C1611</f>
        <v>항구</v>
      </c>
      <c r="F1605" s="9" t="str">
        <f>[1]Discovery!G1611</f>
        <v>D</v>
      </c>
      <c r="G1605" s="9" t="str">
        <f>IFERROR(VLOOKUP(표1[[#This Row],[명칭]],'문화권 정리'!C:D,2,FALSE),"-")</f>
        <v>항구</v>
      </c>
      <c r="H1605" s="38" t="str">
        <f>IFERROR(COUNTIF([2]OceanDoodad!$Y:$Y,표1[[#This Row],[명칭]]),"-")</f>
        <v>-</v>
      </c>
      <c r="I1605" s="38">
        <f>IFERROR(COUNTIF([1]AdventureDiscoveryGroup!$D$8:$AW$92,표1[[#This Row],[명칭]]),"-")</f>
        <v>0</v>
      </c>
      <c r="J1605" s="38">
        <f>IFERROR(COUNTIF([1]FishDiscoveryGroup!$A:$X,표1[[#This Row],[명칭]]),"-")</f>
        <v>0</v>
      </c>
      <c r="K1605" s="38" t="str">
        <f>IFERROR(COUNTIF([2]Town!$B:$B,표1[[#This Row],[명칭]]),"-")</f>
        <v>-</v>
      </c>
      <c r="L1605" s="38">
        <f>IFERROR(COUNTIF([1]Village!$BR:$BR,표1[[#This Row],[명칭]]),"-")</f>
        <v>0</v>
      </c>
      <c r="M1605" s="38">
        <f>COUNTIF(퀘스트!B:B,표1[[#This Row],[명칭]])</f>
        <v>0</v>
      </c>
      <c r="N1605" s="65">
        <f>COUNTIF([1]VillageDiscoveryGroup!$C:$C,표1[[#This Row],[명칭]])</f>
        <v>0</v>
      </c>
      <c r="O1605" s="65">
        <f>SUM(표1[[#This Row],[해양탐색]:[마을탐험]])</f>
        <v>0</v>
      </c>
    </row>
    <row r="1606" spans="2:15" ht="13.5" customHeight="1" x14ac:dyDescent="0.3">
      <c r="B1606" s="9">
        <f>[1]Discovery!A1612</f>
        <v>70412106</v>
      </c>
      <c r="C1606" s="9" t="str">
        <f>[1]Discovery!B1612</f>
        <v>아비장</v>
      </c>
      <c r="D1606" s="9" t="str">
        <f>[1]Discovery!E1612</f>
        <v>건축</v>
      </c>
      <c r="E1606" s="9" t="str">
        <f>[1]Discovery!C1612</f>
        <v>항구</v>
      </c>
      <c r="F1606" s="9" t="str">
        <f>[1]Discovery!G1612</f>
        <v>D</v>
      </c>
      <c r="G1606" s="9" t="str">
        <f>IFERROR(VLOOKUP(표1[[#This Row],[명칭]],'문화권 정리'!C:D,2,FALSE),"-")</f>
        <v>항구</v>
      </c>
      <c r="H1606" s="38" t="str">
        <f>IFERROR(COUNTIF([2]OceanDoodad!$Y:$Y,표1[[#This Row],[명칭]]),"-")</f>
        <v>-</v>
      </c>
      <c r="I1606" s="38">
        <f>IFERROR(COUNTIF([1]AdventureDiscoveryGroup!$D$8:$AW$92,표1[[#This Row],[명칭]]),"-")</f>
        <v>0</v>
      </c>
      <c r="J1606" s="38">
        <f>IFERROR(COUNTIF([1]FishDiscoveryGroup!$A:$X,표1[[#This Row],[명칭]]),"-")</f>
        <v>0</v>
      </c>
      <c r="K1606" s="38" t="str">
        <f>IFERROR(COUNTIF([2]Town!$B:$B,표1[[#This Row],[명칭]]),"-")</f>
        <v>-</v>
      </c>
      <c r="L1606" s="38">
        <f>IFERROR(COUNTIF([1]Village!$BR:$BR,표1[[#This Row],[명칭]]),"-")</f>
        <v>0</v>
      </c>
      <c r="M1606" s="38">
        <f>COUNTIF(퀘스트!B:B,표1[[#This Row],[명칭]])</f>
        <v>0</v>
      </c>
      <c r="N1606" s="65">
        <f>COUNTIF([1]VillageDiscoveryGroup!$C:$C,표1[[#This Row],[명칭]])</f>
        <v>0</v>
      </c>
      <c r="O1606" s="65">
        <f>SUM(표1[[#This Row],[해양탐색]:[마을탐험]])</f>
        <v>0</v>
      </c>
    </row>
    <row r="1607" spans="2:15" ht="13.5" customHeight="1" x14ac:dyDescent="0.3">
      <c r="B1607" s="9">
        <f>[1]Discovery!A1613</f>
        <v>70412107</v>
      </c>
      <c r="C1607" s="9" t="str">
        <f>[1]Discovery!B1613</f>
        <v>아체</v>
      </c>
      <c r="D1607" s="9" t="str">
        <f>[1]Discovery!E1613</f>
        <v>건축</v>
      </c>
      <c r="E1607" s="9" t="str">
        <f>[1]Discovery!C1613</f>
        <v>항구</v>
      </c>
      <c r="F1607" s="9" t="str">
        <f>[1]Discovery!G1613</f>
        <v>D</v>
      </c>
      <c r="G1607" s="9" t="str">
        <f>IFERROR(VLOOKUP(표1[[#This Row],[명칭]],'문화권 정리'!C:D,2,FALSE),"-")</f>
        <v>항구</v>
      </c>
      <c r="H1607" s="38" t="str">
        <f>IFERROR(COUNTIF([2]OceanDoodad!$Y:$Y,표1[[#This Row],[명칭]]),"-")</f>
        <v>-</v>
      </c>
      <c r="I1607" s="38">
        <f>IFERROR(COUNTIF([1]AdventureDiscoveryGroup!$D$8:$AW$92,표1[[#This Row],[명칭]]),"-")</f>
        <v>0</v>
      </c>
      <c r="J1607" s="38">
        <f>IFERROR(COUNTIF([1]FishDiscoveryGroup!$A:$X,표1[[#This Row],[명칭]]),"-")</f>
        <v>0</v>
      </c>
      <c r="K1607" s="38" t="str">
        <f>IFERROR(COUNTIF([2]Town!$B:$B,표1[[#This Row],[명칭]]),"-")</f>
        <v>-</v>
      </c>
      <c r="L1607" s="38">
        <f>IFERROR(COUNTIF([1]Village!$BR:$BR,표1[[#This Row],[명칭]]),"-")</f>
        <v>0</v>
      </c>
      <c r="M1607" s="38">
        <f>COUNTIF(퀘스트!B:B,표1[[#This Row],[명칭]])</f>
        <v>0</v>
      </c>
      <c r="N1607" s="65">
        <f>COUNTIF([1]VillageDiscoveryGroup!$C:$C,표1[[#This Row],[명칭]])</f>
        <v>0</v>
      </c>
      <c r="O1607" s="65">
        <f>SUM(표1[[#This Row],[해양탐색]:[마을탐험]])</f>
        <v>0</v>
      </c>
    </row>
    <row r="1608" spans="2:15" ht="13.5" customHeight="1" x14ac:dyDescent="0.3">
      <c r="B1608" s="9">
        <f>[1]Discovery!A1614</f>
        <v>70412108</v>
      </c>
      <c r="C1608" s="9" t="str">
        <f>[1]Discovery!B1614</f>
        <v>아카풀코</v>
      </c>
      <c r="D1608" s="9" t="str">
        <f>[1]Discovery!E1614</f>
        <v>건축</v>
      </c>
      <c r="E1608" s="9" t="str">
        <f>[1]Discovery!C1614</f>
        <v>항구</v>
      </c>
      <c r="F1608" s="9" t="str">
        <f>[1]Discovery!G1614</f>
        <v>D</v>
      </c>
      <c r="G1608" s="9" t="str">
        <f>IFERROR(VLOOKUP(표1[[#This Row],[명칭]],'문화권 정리'!C:D,2,FALSE),"-")</f>
        <v>항구</v>
      </c>
      <c r="H1608" s="38" t="str">
        <f>IFERROR(COUNTIF([2]OceanDoodad!$Y:$Y,표1[[#This Row],[명칭]]),"-")</f>
        <v>-</v>
      </c>
      <c r="I1608" s="38">
        <f>IFERROR(COUNTIF([1]AdventureDiscoveryGroup!$D$8:$AW$92,표1[[#This Row],[명칭]]),"-")</f>
        <v>0</v>
      </c>
      <c r="J1608" s="38">
        <f>IFERROR(COUNTIF([1]FishDiscoveryGroup!$A:$X,표1[[#This Row],[명칭]]),"-")</f>
        <v>0</v>
      </c>
      <c r="K1608" s="38" t="str">
        <f>IFERROR(COUNTIF([2]Town!$B:$B,표1[[#This Row],[명칭]]),"-")</f>
        <v>-</v>
      </c>
      <c r="L1608" s="38">
        <f>IFERROR(COUNTIF([1]Village!$BR:$BR,표1[[#This Row],[명칭]]),"-")</f>
        <v>0</v>
      </c>
      <c r="M1608" s="38">
        <f>COUNTIF(퀘스트!B:B,표1[[#This Row],[명칭]])</f>
        <v>0</v>
      </c>
      <c r="N1608" s="65">
        <f>COUNTIF([1]VillageDiscoveryGroup!$C:$C,표1[[#This Row],[명칭]])</f>
        <v>0</v>
      </c>
      <c r="O1608" s="65">
        <f>SUM(표1[[#This Row],[해양탐색]:[마을탐험]])</f>
        <v>0</v>
      </c>
    </row>
    <row r="1609" spans="2:15" ht="13.5" customHeight="1" x14ac:dyDescent="0.3">
      <c r="B1609" s="9">
        <f>[1]Discovery!A1615</f>
        <v>70412109</v>
      </c>
      <c r="C1609" s="9" t="str">
        <f>[1]Discovery!B1615</f>
        <v>아티나</v>
      </c>
      <c r="D1609" s="9" t="str">
        <f>[1]Discovery!E1615</f>
        <v>건축</v>
      </c>
      <c r="E1609" s="9" t="str">
        <f>[1]Discovery!C1615</f>
        <v>항구</v>
      </c>
      <c r="F1609" s="9" t="str">
        <f>[1]Discovery!G1615</f>
        <v>D</v>
      </c>
      <c r="G1609" s="9" t="str">
        <f>IFERROR(VLOOKUP(표1[[#This Row],[명칭]],'문화권 정리'!C:D,2,FALSE),"-")</f>
        <v>항구</v>
      </c>
      <c r="H1609" s="38" t="str">
        <f>IFERROR(COUNTIF([2]OceanDoodad!$Y:$Y,표1[[#This Row],[명칭]]),"-")</f>
        <v>-</v>
      </c>
      <c r="I1609" s="38">
        <f>IFERROR(COUNTIF([1]AdventureDiscoveryGroup!$D$8:$AW$92,표1[[#This Row],[명칭]]),"-")</f>
        <v>0</v>
      </c>
      <c r="J1609" s="38">
        <f>IFERROR(COUNTIF([1]FishDiscoveryGroup!$A:$X,표1[[#This Row],[명칭]]),"-")</f>
        <v>0</v>
      </c>
      <c r="K1609" s="38" t="str">
        <f>IFERROR(COUNTIF([2]Town!$B:$B,표1[[#This Row],[명칭]]),"-")</f>
        <v>-</v>
      </c>
      <c r="L1609" s="38">
        <f>IFERROR(COUNTIF([1]Village!$BR:$BR,표1[[#This Row],[명칭]]),"-")</f>
        <v>0</v>
      </c>
      <c r="M1609" s="38">
        <f>COUNTIF(퀘스트!B:B,표1[[#This Row],[명칭]])</f>
        <v>0</v>
      </c>
      <c r="N1609" s="65">
        <f>COUNTIF([1]VillageDiscoveryGroup!$C:$C,표1[[#This Row],[명칭]])</f>
        <v>0</v>
      </c>
      <c r="O1609" s="65">
        <f>SUM(표1[[#This Row],[해양탐색]:[마을탐험]])</f>
        <v>0</v>
      </c>
    </row>
    <row r="1610" spans="2:15" ht="13.5" customHeight="1" x14ac:dyDescent="0.3">
      <c r="B1610" s="9">
        <f>[1]Discovery!A1616</f>
        <v>70412110</v>
      </c>
      <c r="C1610" s="9" t="str">
        <f>[1]Discovery!B1616</f>
        <v>안코나</v>
      </c>
      <c r="D1610" s="9" t="str">
        <f>[1]Discovery!E1616</f>
        <v>건축</v>
      </c>
      <c r="E1610" s="9" t="str">
        <f>[1]Discovery!C1616</f>
        <v>항구</v>
      </c>
      <c r="F1610" s="9" t="str">
        <f>[1]Discovery!G1616</f>
        <v>D</v>
      </c>
      <c r="G1610" s="9" t="str">
        <f>IFERROR(VLOOKUP(표1[[#This Row],[명칭]],'문화권 정리'!C:D,2,FALSE),"-")</f>
        <v>항구</v>
      </c>
      <c r="H1610" s="38" t="str">
        <f>IFERROR(COUNTIF([2]OceanDoodad!$Y:$Y,표1[[#This Row],[명칭]]),"-")</f>
        <v>-</v>
      </c>
      <c r="I1610" s="38">
        <f>IFERROR(COUNTIF([1]AdventureDiscoveryGroup!$D$8:$AW$92,표1[[#This Row],[명칭]]),"-")</f>
        <v>0</v>
      </c>
      <c r="J1610" s="38">
        <f>IFERROR(COUNTIF([1]FishDiscoveryGroup!$A:$X,표1[[#This Row],[명칭]]),"-")</f>
        <v>0</v>
      </c>
      <c r="K1610" s="38" t="str">
        <f>IFERROR(COUNTIF([2]Town!$B:$B,표1[[#This Row],[명칭]]),"-")</f>
        <v>-</v>
      </c>
      <c r="L1610" s="38">
        <f>IFERROR(COUNTIF([1]Village!$BR:$BR,표1[[#This Row],[명칭]]),"-")</f>
        <v>0</v>
      </c>
      <c r="M1610" s="38">
        <f>COUNTIF(퀘스트!B:B,표1[[#This Row],[명칭]])</f>
        <v>0</v>
      </c>
      <c r="N1610" s="65">
        <f>COUNTIF([1]VillageDiscoveryGroup!$C:$C,표1[[#This Row],[명칭]])</f>
        <v>0</v>
      </c>
      <c r="O1610" s="65">
        <f>SUM(표1[[#This Row],[해양탐색]:[마을탐험]])</f>
        <v>0</v>
      </c>
    </row>
    <row r="1611" spans="2:15" ht="13.5" customHeight="1" x14ac:dyDescent="0.3">
      <c r="B1611" s="9">
        <f>[1]Discovery!A1617</f>
        <v>70412111</v>
      </c>
      <c r="C1611" s="9" t="str">
        <f>[1]Discovery!B1617</f>
        <v>안트베르펜</v>
      </c>
      <c r="D1611" s="9" t="str">
        <f>[1]Discovery!E1617</f>
        <v>건축</v>
      </c>
      <c r="E1611" s="9" t="str">
        <f>[1]Discovery!C1617</f>
        <v>항구</v>
      </c>
      <c r="F1611" s="9" t="str">
        <f>[1]Discovery!G1617</f>
        <v>D</v>
      </c>
      <c r="G1611" s="9" t="str">
        <f>IFERROR(VLOOKUP(표1[[#This Row],[명칭]],'문화권 정리'!C:D,2,FALSE),"-")</f>
        <v>항구</v>
      </c>
      <c r="H1611" s="38" t="str">
        <f>IFERROR(COUNTIF([2]OceanDoodad!$Y:$Y,표1[[#This Row],[명칭]]),"-")</f>
        <v>-</v>
      </c>
      <c r="I1611" s="38">
        <f>IFERROR(COUNTIF([1]AdventureDiscoveryGroup!$D$8:$AW$92,표1[[#This Row],[명칭]]),"-")</f>
        <v>0</v>
      </c>
      <c r="J1611" s="38">
        <f>IFERROR(COUNTIF([1]FishDiscoveryGroup!$A:$X,표1[[#This Row],[명칭]]),"-")</f>
        <v>0</v>
      </c>
      <c r="K1611" s="38" t="str">
        <f>IFERROR(COUNTIF([2]Town!$B:$B,표1[[#This Row],[명칭]]),"-")</f>
        <v>-</v>
      </c>
      <c r="L1611" s="38">
        <f>IFERROR(COUNTIF([1]Village!$BR:$BR,표1[[#This Row],[명칭]]),"-")</f>
        <v>0</v>
      </c>
      <c r="M1611" s="38">
        <f>COUNTIF(퀘스트!B:B,표1[[#This Row],[명칭]])</f>
        <v>0</v>
      </c>
      <c r="N1611" s="65">
        <f>COUNTIF([1]VillageDiscoveryGroup!$C:$C,표1[[#This Row],[명칭]])</f>
        <v>0</v>
      </c>
      <c r="O1611" s="65">
        <f>SUM(표1[[#This Row],[해양탐색]:[마을탐험]])</f>
        <v>0</v>
      </c>
    </row>
    <row r="1612" spans="2:15" ht="13.5" customHeight="1" x14ac:dyDescent="0.3">
      <c r="B1612" s="9">
        <f>[1]Discovery!A1618</f>
        <v>70412112</v>
      </c>
      <c r="C1612" s="9" t="str">
        <f>[1]Discovery!B1618</f>
        <v>알이스칸다리야</v>
      </c>
      <c r="D1612" s="9" t="str">
        <f>[1]Discovery!E1618</f>
        <v>건축</v>
      </c>
      <c r="E1612" s="9" t="str">
        <f>[1]Discovery!C1618</f>
        <v>항구</v>
      </c>
      <c r="F1612" s="9" t="str">
        <f>[1]Discovery!G1618</f>
        <v>D</v>
      </c>
      <c r="G1612" s="9" t="str">
        <f>IFERROR(VLOOKUP(표1[[#This Row],[명칭]],'문화권 정리'!C:D,2,FALSE),"-")</f>
        <v>항구</v>
      </c>
      <c r="H1612" s="38" t="str">
        <f>IFERROR(COUNTIF([2]OceanDoodad!$Y:$Y,표1[[#This Row],[명칭]]),"-")</f>
        <v>-</v>
      </c>
      <c r="I1612" s="38">
        <f>IFERROR(COUNTIF([1]AdventureDiscoveryGroup!$D$8:$AW$92,표1[[#This Row],[명칭]]),"-")</f>
        <v>0</v>
      </c>
      <c r="J1612" s="38">
        <f>IFERROR(COUNTIF([1]FishDiscoveryGroup!$A:$X,표1[[#This Row],[명칭]]),"-")</f>
        <v>0</v>
      </c>
      <c r="K1612" s="38" t="str">
        <f>IFERROR(COUNTIF([2]Town!$B:$B,표1[[#This Row],[명칭]]),"-")</f>
        <v>-</v>
      </c>
      <c r="L1612" s="38">
        <f>IFERROR(COUNTIF([1]Village!$BR:$BR,표1[[#This Row],[명칭]]),"-")</f>
        <v>0</v>
      </c>
      <c r="M1612" s="38">
        <f>COUNTIF(퀘스트!B:B,표1[[#This Row],[명칭]])</f>
        <v>0</v>
      </c>
      <c r="N1612" s="65">
        <f>COUNTIF([1]VillageDiscoveryGroup!$C:$C,표1[[#This Row],[명칭]])</f>
        <v>0</v>
      </c>
      <c r="O1612" s="65">
        <f>SUM(표1[[#This Row],[해양탐색]:[마을탐험]])</f>
        <v>0</v>
      </c>
    </row>
    <row r="1613" spans="2:15" ht="13.5" customHeight="1" x14ac:dyDescent="0.3">
      <c r="B1613" s="9">
        <f>[1]Discovery!A1619</f>
        <v>70412113</v>
      </c>
      <c r="C1613" s="9" t="str">
        <f>[1]Discovery!B1619</f>
        <v>알제</v>
      </c>
      <c r="D1613" s="9" t="str">
        <f>[1]Discovery!E1619</f>
        <v>건축</v>
      </c>
      <c r="E1613" s="9" t="str">
        <f>[1]Discovery!C1619</f>
        <v>항구</v>
      </c>
      <c r="F1613" s="9" t="str">
        <f>[1]Discovery!G1619</f>
        <v>D</v>
      </c>
      <c r="G1613" s="9" t="str">
        <f>IFERROR(VLOOKUP(표1[[#This Row],[명칭]],'문화권 정리'!C:D,2,FALSE),"-")</f>
        <v>항구</v>
      </c>
      <c r="H1613" s="38" t="str">
        <f>IFERROR(COUNTIF([2]OceanDoodad!$Y:$Y,표1[[#This Row],[명칭]]),"-")</f>
        <v>-</v>
      </c>
      <c r="I1613" s="38">
        <f>IFERROR(COUNTIF([1]AdventureDiscoveryGroup!$D$8:$AW$92,표1[[#This Row],[명칭]]),"-")</f>
        <v>0</v>
      </c>
      <c r="J1613" s="38">
        <f>IFERROR(COUNTIF([1]FishDiscoveryGroup!$A:$X,표1[[#This Row],[명칭]]),"-")</f>
        <v>0</v>
      </c>
      <c r="K1613" s="38" t="str">
        <f>IFERROR(COUNTIF([2]Town!$B:$B,표1[[#This Row],[명칭]]),"-")</f>
        <v>-</v>
      </c>
      <c r="L1613" s="38">
        <f>IFERROR(COUNTIF([1]Village!$BR:$BR,표1[[#This Row],[명칭]]),"-")</f>
        <v>0</v>
      </c>
      <c r="M1613" s="38">
        <f>COUNTIF(퀘스트!B:B,표1[[#This Row],[명칭]])</f>
        <v>0</v>
      </c>
      <c r="N1613" s="65">
        <f>COUNTIF([1]VillageDiscoveryGroup!$C:$C,표1[[#This Row],[명칭]])</f>
        <v>0</v>
      </c>
      <c r="O1613" s="65">
        <f>SUM(표1[[#This Row],[해양탐색]:[마을탐험]])</f>
        <v>0</v>
      </c>
    </row>
    <row r="1614" spans="2:15" ht="13.5" customHeight="1" x14ac:dyDescent="0.3">
      <c r="B1614" s="9">
        <f>[1]Discovery!A1620</f>
        <v>70412114</v>
      </c>
      <c r="C1614" s="9" t="str">
        <f>[1]Discovery!B1620</f>
        <v>암본</v>
      </c>
      <c r="D1614" s="9" t="str">
        <f>[1]Discovery!E1620</f>
        <v>건축</v>
      </c>
      <c r="E1614" s="9" t="str">
        <f>[1]Discovery!C1620</f>
        <v>항구</v>
      </c>
      <c r="F1614" s="9" t="str">
        <f>[1]Discovery!G1620</f>
        <v>D</v>
      </c>
      <c r="G1614" s="9" t="str">
        <f>IFERROR(VLOOKUP(표1[[#This Row],[명칭]],'문화권 정리'!C:D,2,FALSE),"-")</f>
        <v>항구</v>
      </c>
      <c r="H1614" s="38" t="str">
        <f>IFERROR(COUNTIF([2]OceanDoodad!$Y:$Y,표1[[#This Row],[명칭]]),"-")</f>
        <v>-</v>
      </c>
      <c r="I1614" s="38">
        <f>IFERROR(COUNTIF([1]AdventureDiscoveryGroup!$D$8:$AW$92,표1[[#This Row],[명칭]]),"-")</f>
        <v>0</v>
      </c>
      <c r="J1614" s="38">
        <f>IFERROR(COUNTIF([1]FishDiscoveryGroup!$A:$X,표1[[#This Row],[명칭]]),"-")</f>
        <v>0</v>
      </c>
      <c r="K1614" s="38" t="str">
        <f>IFERROR(COUNTIF([2]Town!$B:$B,표1[[#This Row],[명칭]]),"-")</f>
        <v>-</v>
      </c>
      <c r="L1614" s="38">
        <f>IFERROR(COUNTIF([1]Village!$BR:$BR,표1[[#This Row],[명칭]]),"-")</f>
        <v>0</v>
      </c>
      <c r="M1614" s="38">
        <f>COUNTIF(퀘스트!B:B,표1[[#This Row],[명칭]])</f>
        <v>0</v>
      </c>
      <c r="N1614" s="65">
        <f>COUNTIF([1]VillageDiscoveryGroup!$C:$C,표1[[#This Row],[명칭]])</f>
        <v>0</v>
      </c>
      <c r="O1614" s="65">
        <f>SUM(표1[[#This Row],[해양탐색]:[마을탐험]])</f>
        <v>0</v>
      </c>
    </row>
    <row r="1615" spans="2:15" ht="13.5" customHeight="1" x14ac:dyDescent="0.3">
      <c r="B1615" s="9">
        <f>[1]Discovery!A1621</f>
        <v>70412115</v>
      </c>
      <c r="C1615" s="9" t="str">
        <f>[1]Discovery!B1621</f>
        <v>암스테르담</v>
      </c>
      <c r="D1615" s="9" t="str">
        <f>[1]Discovery!E1621</f>
        <v>건축</v>
      </c>
      <c r="E1615" s="9" t="str">
        <f>[1]Discovery!C1621</f>
        <v>항구</v>
      </c>
      <c r="F1615" s="9" t="str">
        <f>[1]Discovery!G1621</f>
        <v>D</v>
      </c>
      <c r="G1615" s="9" t="str">
        <f>IFERROR(VLOOKUP(표1[[#This Row],[명칭]],'문화권 정리'!C:D,2,FALSE),"-")</f>
        <v>항구</v>
      </c>
      <c r="H1615" s="38" t="str">
        <f>IFERROR(COUNTIF([2]OceanDoodad!$Y:$Y,표1[[#This Row],[명칭]]),"-")</f>
        <v>-</v>
      </c>
      <c r="I1615" s="38">
        <f>IFERROR(COUNTIF([1]AdventureDiscoveryGroup!$D$8:$AW$92,표1[[#This Row],[명칭]]),"-")</f>
        <v>0</v>
      </c>
      <c r="J1615" s="38">
        <f>IFERROR(COUNTIF([1]FishDiscoveryGroup!$A:$X,표1[[#This Row],[명칭]]),"-")</f>
        <v>0</v>
      </c>
      <c r="K1615" s="38" t="str">
        <f>IFERROR(COUNTIF([2]Town!$B:$B,표1[[#This Row],[명칭]]),"-")</f>
        <v>-</v>
      </c>
      <c r="L1615" s="38">
        <f>IFERROR(COUNTIF([1]Village!$BR:$BR,표1[[#This Row],[명칭]]),"-")</f>
        <v>0</v>
      </c>
      <c r="M1615" s="38">
        <f>COUNTIF(퀘스트!B:B,표1[[#This Row],[명칭]])</f>
        <v>0</v>
      </c>
      <c r="N1615" s="65">
        <f>COUNTIF([1]VillageDiscoveryGroup!$C:$C,표1[[#This Row],[명칭]])</f>
        <v>0</v>
      </c>
      <c r="O1615" s="65">
        <f>SUM(표1[[#This Row],[해양탐색]:[마을탐험]])</f>
        <v>0</v>
      </c>
    </row>
    <row r="1616" spans="2:15" ht="13.5" customHeight="1" x14ac:dyDescent="0.3">
      <c r="B1616" s="9">
        <f>[1]Discovery!A1622</f>
        <v>70412116</v>
      </c>
      <c r="C1616" s="9" t="str">
        <f>[1]Discovery!B1622</f>
        <v>야파</v>
      </c>
      <c r="D1616" s="9" t="str">
        <f>[1]Discovery!E1622</f>
        <v>건축</v>
      </c>
      <c r="E1616" s="9" t="str">
        <f>[1]Discovery!C1622</f>
        <v>항구</v>
      </c>
      <c r="F1616" s="9" t="str">
        <f>[1]Discovery!G1622</f>
        <v>D</v>
      </c>
      <c r="G1616" s="9" t="str">
        <f>IFERROR(VLOOKUP(표1[[#This Row],[명칭]],'문화권 정리'!C:D,2,FALSE),"-")</f>
        <v>항구</v>
      </c>
      <c r="H1616" s="38" t="str">
        <f>IFERROR(COUNTIF([2]OceanDoodad!$Y:$Y,표1[[#This Row],[명칭]]),"-")</f>
        <v>-</v>
      </c>
      <c r="I1616" s="38">
        <f>IFERROR(COUNTIF([1]AdventureDiscoveryGroup!$D$8:$AW$92,표1[[#This Row],[명칭]]),"-")</f>
        <v>0</v>
      </c>
      <c r="J1616" s="38">
        <f>IFERROR(COUNTIF([1]FishDiscoveryGroup!$A:$X,표1[[#This Row],[명칭]]),"-")</f>
        <v>0</v>
      </c>
      <c r="K1616" s="38" t="str">
        <f>IFERROR(COUNTIF([2]Town!$B:$B,표1[[#This Row],[명칭]]),"-")</f>
        <v>-</v>
      </c>
      <c r="L1616" s="38">
        <f>IFERROR(COUNTIF([1]Village!$BR:$BR,표1[[#This Row],[명칭]]),"-")</f>
        <v>0</v>
      </c>
      <c r="M1616" s="38">
        <f>COUNTIF(퀘스트!B:B,표1[[#This Row],[명칭]])</f>
        <v>0</v>
      </c>
      <c r="N1616" s="65">
        <f>COUNTIF([1]VillageDiscoveryGroup!$C:$C,표1[[#This Row],[명칭]])</f>
        <v>0</v>
      </c>
      <c r="O1616" s="65">
        <f>SUM(표1[[#This Row],[해양탐색]:[마을탐험]])</f>
        <v>0</v>
      </c>
    </row>
    <row r="1617" spans="2:15" ht="13.5" customHeight="1" x14ac:dyDescent="0.3">
      <c r="B1617" s="9">
        <f>[1]Discovery!A1623</f>
        <v>70412117</v>
      </c>
      <c r="C1617" s="9" t="str">
        <f>[1]Discovery!B1623</f>
        <v>어널래스카</v>
      </c>
      <c r="D1617" s="9" t="str">
        <f>[1]Discovery!E1623</f>
        <v>건축</v>
      </c>
      <c r="E1617" s="9" t="str">
        <f>[1]Discovery!C1623</f>
        <v>항구</v>
      </c>
      <c r="F1617" s="9" t="str">
        <f>[1]Discovery!G1623</f>
        <v>D</v>
      </c>
      <c r="G1617" s="9" t="str">
        <f>IFERROR(VLOOKUP(표1[[#This Row],[명칭]],'문화권 정리'!C:D,2,FALSE),"-")</f>
        <v>항구</v>
      </c>
      <c r="H1617" s="38" t="str">
        <f>IFERROR(COUNTIF([2]OceanDoodad!$Y:$Y,표1[[#This Row],[명칭]]),"-")</f>
        <v>-</v>
      </c>
      <c r="I1617" s="38">
        <f>IFERROR(COUNTIF([1]AdventureDiscoveryGroup!$D$8:$AW$92,표1[[#This Row],[명칭]]),"-")</f>
        <v>0</v>
      </c>
      <c r="J1617" s="38">
        <f>IFERROR(COUNTIF([1]FishDiscoveryGroup!$A:$X,표1[[#This Row],[명칭]]),"-")</f>
        <v>0</v>
      </c>
      <c r="K1617" s="38" t="str">
        <f>IFERROR(COUNTIF([2]Town!$B:$B,표1[[#This Row],[명칭]]),"-")</f>
        <v>-</v>
      </c>
      <c r="L1617" s="38">
        <f>IFERROR(COUNTIF([1]Village!$BR:$BR,표1[[#This Row],[명칭]]),"-")</f>
        <v>0</v>
      </c>
      <c r="M1617" s="38">
        <f>COUNTIF(퀘스트!B:B,표1[[#This Row],[명칭]])</f>
        <v>0</v>
      </c>
      <c r="N1617" s="65">
        <f>COUNTIF([1]VillageDiscoveryGroup!$C:$C,표1[[#This Row],[명칭]])</f>
        <v>0</v>
      </c>
      <c r="O1617" s="65">
        <f>SUM(표1[[#This Row],[해양탐색]:[마을탐험]])</f>
        <v>0</v>
      </c>
    </row>
    <row r="1618" spans="2:15" ht="13.5" customHeight="1" x14ac:dyDescent="0.3">
      <c r="B1618" s="9">
        <f>[1]Discovery!A1624</f>
        <v>70412118</v>
      </c>
      <c r="C1618" s="9" t="str">
        <f>[1]Discovery!B1624</f>
        <v>에도</v>
      </c>
      <c r="D1618" s="9" t="str">
        <f>[1]Discovery!E1624</f>
        <v>건축</v>
      </c>
      <c r="E1618" s="9" t="str">
        <f>[1]Discovery!C1624</f>
        <v>항구</v>
      </c>
      <c r="F1618" s="9" t="str">
        <f>[1]Discovery!G1624</f>
        <v>D</v>
      </c>
      <c r="G1618" s="9" t="str">
        <f>IFERROR(VLOOKUP(표1[[#This Row],[명칭]],'문화권 정리'!C:D,2,FALSE),"-")</f>
        <v>항구</v>
      </c>
      <c r="H1618" s="38" t="str">
        <f>IFERROR(COUNTIF([2]OceanDoodad!$Y:$Y,표1[[#This Row],[명칭]]),"-")</f>
        <v>-</v>
      </c>
      <c r="I1618" s="38">
        <f>IFERROR(COUNTIF([1]AdventureDiscoveryGroup!$D$8:$AW$92,표1[[#This Row],[명칭]]),"-")</f>
        <v>0</v>
      </c>
      <c r="J1618" s="38">
        <f>IFERROR(COUNTIF([1]FishDiscoveryGroup!$A:$X,표1[[#This Row],[명칭]]),"-")</f>
        <v>0</v>
      </c>
      <c r="K1618" s="38" t="str">
        <f>IFERROR(COUNTIF([2]Town!$B:$B,표1[[#This Row],[명칭]]),"-")</f>
        <v>-</v>
      </c>
      <c r="L1618" s="38">
        <f>IFERROR(COUNTIF([1]Village!$BR:$BR,표1[[#This Row],[명칭]]),"-")</f>
        <v>0</v>
      </c>
      <c r="M1618" s="38">
        <f>COUNTIF(퀘스트!B:B,표1[[#This Row],[명칭]])</f>
        <v>0</v>
      </c>
      <c r="N1618" s="65">
        <f>COUNTIF([1]VillageDiscoveryGroup!$C:$C,표1[[#This Row],[명칭]])</f>
        <v>0</v>
      </c>
      <c r="O1618" s="65">
        <f>SUM(표1[[#This Row],[해양탐색]:[마을탐험]])</f>
        <v>0</v>
      </c>
    </row>
    <row r="1619" spans="2:15" ht="13.5" customHeight="1" x14ac:dyDescent="0.3">
      <c r="B1619" s="9">
        <f>[1]Discovery!A1625</f>
        <v>70412119</v>
      </c>
      <c r="C1619" s="9" t="str">
        <f>[1]Discovery!B1625</f>
        <v>에든버러</v>
      </c>
      <c r="D1619" s="9" t="str">
        <f>[1]Discovery!E1625</f>
        <v>건축</v>
      </c>
      <c r="E1619" s="9" t="str">
        <f>[1]Discovery!C1625</f>
        <v>항구</v>
      </c>
      <c r="F1619" s="9" t="str">
        <f>[1]Discovery!G1625</f>
        <v>D</v>
      </c>
      <c r="G1619" s="9" t="str">
        <f>IFERROR(VLOOKUP(표1[[#This Row],[명칭]],'문화권 정리'!C:D,2,FALSE),"-")</f>
        <v>항구</v>
      </c>
      <c r="H1619" s="38" t="str">
        <f>IFERROR(COUNTIF([2]OceanDoodad!$Y:$Y,표1[[#This Row],[명칭]]),"-")</f>
        <v>-</v>
      </c>
      <c r="I1619" s="38">
        <f>IFERROR(COUNTIF([1]AdventureDiscoveryGroup!$D$8:$AW$92,표1[[#This Row],[명칭]]),"-")</f>
        <v>0</v>
      </c>
      <c r="J1619" s="38">
        <f>IFERROR(COUNTIF([1]FishDiscoveryGroup!$A:$X,표1[[#This Row],[명칭]]),"-")</f>
        <v>0</v>
      </c>
      <c r="K1619" s="38" t="str">
        <f>IFERROR(COUNTIF([2]Town!$B:$B,표1[[#This Row],[명칭]]),"-")</f>
        <v>-</v>
      </c>
      <c r="L1619" s="38">
        <f>IFERROR(COUNTIF([1]Village!$BR:$BR,표1[[#This Row],[명칭]]),"-")</f>
        <v>0</v>
      </c>
      <c r="M1619" s="38">
        <f>COUNTIF(퀘스트!B:B,표1[[#This Row],[명칭]])</f>
        <v>0</v>
      </c>
      <c r="N1619" s="65">
        <f>COUNTIF([1]VillageDiscoveryGroup!$C:$C,표1[[#This Row],[명칭]])</f>
        <v>0</v>
      </c>
      <c r="O1619" s="65">
        <f>SUM(표1[[#This Row],[해양탐색]:[마을탐험]])</f>
        <v>0</v>
      </c>
    </row>
    <row r="1620" spans="2:15" ht="13.5" customHeight="1" x14ac:dyDescent="0.3">
      <c r="B1620" s="9">
        <f>[1]Discovery!A1626</f>
        <v>70412120</v>
      </c>
      <c r="C1620" s="9" t="str">
        <f>[1]Discovery!B1626</f>
        <v>연운</v>
      </c>
      <c r="D1620" s="9" t="str">
        <f>[1]Discovery!E1626</f>
        <v>건축</v>
      </c>
      <c r="E1620" s="9" t="str">
        <f>[1]Discovery!C1626</f>
        <v>항구</v>
      </c>
      <c r="F1620" s="9" t="str">
        <f>[1]Discovery!G1626</f>
        <v>D</v>
      </c>
      <c r="G1620" s="9" t="str">
        <f>IFERROR(VLOOKUP(표1[[#This Row],[명칭]],'문화권 정리'!C:D,2,FALSE),"-")</f>
        <v>항구</v>
      </c>
      <c r="H1620" s="38" t="str">
        <f>IFERROR(COUNTIF([2]OceanDoodad!$Y:$Y,표1[[#This Row],[명칭]]),"-")</f>
        <v>-</v>
      </c>
      <c r="I1620" s="38">
        <f>IFERROR(COUNTIF([1]AdventureDiscoveryGroup!$D$8:$AW$92,표1[[#This Row],[명칭]]),"-")</f>
        <v>0</v>
      </c>
      <c r="J1620" s="38">
        <f>IFERROR(COUNTIF([1]FishDiscoveryGroup!$A:$X,표1[[#This Row],[명칭]]),"-")</f>
        <v>0</v>
      </c>
      <c r="K1620" s="38" t="str">
        <f>IFERROR(COUNTIF([2]Town!$B:$B,표1[[#This Row],[명칭]]),"-")</f>
        <v>-</v>
      </c>
      <c r="L1620" s="38">
        <f>IFERROR(COUNTIF([1]Village!$BR:$BR,표1[[#This Row],[명칭]]),"-")</f>
        <v>0</v>
      </c>
      <c r="M1620" s="38">
        <f>COUNTIF(퀘스트!B:B,표1[[#This Row],[명칭]])</f>
        <v>0</v>
      </c>
      <c r="N1620" s="65">
        <f>COUNTIF([1]VillageDiscoveryGroup!$C:$C,표1[[#This Row],[명칭]])</f>
        <v>0</v>
      </c>
      <c r="O1620" s="65">
        <f>SUM(표1[[#This Row],[해양탐색]:[마을탐험]])</f>
        <v>0</v>
      </c>
    </row>
    <row r="1621" spans="2:15" ht="13.5" customHeight="1" x14ac:dyDescent="0.3">
      <c r="B1621" s="9">
        <f>[1]Discovery!A1627</f>
        <v>70412121</v>
      </c>
      <c r="C1621" s="9" t="str">
        <f>[1]Discovery!B1627</f>
        <v>영일</v>
      </c>
      <c r="D1621" s="9" t="str">
        <f>[1]Discovery!E1627</f>
        <v>건축</v>
      </c>
      <c r="E1621" s="9" t="str">
        <f>[1]Discovery!C1627</f>
        <v>항구</v>
      </c>
      <c r="F1621" s="9" t="str">
        <f>[1]Discovery!G1627</f>
        <v>D</v>
      </c>
      <c r="G1621" s="9" t="str">
        <f>IFERROR(VLOOKUP(표1[[#This Row],[명칭]],'문화권 정리'!C:D,2,FALSE),"-")</f>
        <v>항구</v>
      </c>
      <c r="H1621" s="38" t="str">
        <f>IFERROR(COUNTIF([2]OceanDoodad!$Y:$Y,표1[[#This Row],[명칭]]),"-")</f>
        <v>-</v>
      </c>
      <c r="I1621" s="38">
        <f>IFERROR(COUNTIF([1]AdventureDiscoveryGroup!$D$8:$AW$92,표1[[#This Row],[명칭]]),"-")</f>
        <v>0</v>
      </c>
      <c r="J1621" s="38">
        <f>IFERROR(COUNTIF([1]FishDiscoveryGroup!$A:$X,표1[[#This Row],[명칭]]),"-")</f>
        <v>0</v>
      </c>
      <c r="K1621" s="38" t="str">
        <f>IFERROR(COUNTIF([2]Town!$B:$B,표1[[#This Row],[명칭]]),"-")</f>
        <v>-</v>
      </c>
      <c r="L1621" s="38">
        <f>IFERROR(COUNTIF([1]Village!$BR:$BR,표1[[#This Row],[명칭]]),"-")</f>
        <v>0</v>
      </c>
      <c r="M1621" s="38">
        <f>COUNTIF(퀘스트!B:B,표1[[#This Row],[명칭]])</f>
        <v>0</v>
      </c>
      <c r="N1621" s="65">
        <f>COUNTIF([1]VillageDiscoveryGroup!$C:$C,표1[[#This Row],[명칭]])</f>
        <v>0</v>
      </c>
      <c r="O1621" s="65">
        <f>SUM(표1[[#This Row],[해양탐색]:[마을탐험]])</f>
        <v>0</v>
      </c>
    </row>
    <row r="1622" spans="2:15" ht="13.5" customHeight="1" x14ac:dyDescent="0.3">
      <c r="B1622" s="9">
        <f>[1]Discovery!A1628</f>
        <v>70412122</v>
      </c>
      <c r="C1622" s="9" t="str">
        <f>[1]Discovery!B1628</f>
        <v>오데사</v>
      </c>
      <c r="D1622" s="9" t="str">
        <f>[1]Discovery!E1628</f>
        <v>건축</v>
      </c>
      <c r="E1622" s="9" t="str">
        <f>[1]Discovery!C1628</f>
        <v>항구</v>
      </c>
      <c r="F1622" s="9" t="str">
        <f>[1]Discovery!G1628</f>
        <v>D</v>
      </c>
      <c r="G1622" s="9" t="str">
        <f>IFERROR(VLOOKUP(표1[[#This Row],[명칭]],'문화권 정리'!C:D,2,FALSE),"-")</f>
        <v>항구</v>
      </c>
      <c r="H1622" s="38" t="str">
        <f>IFERROR(COUNTIF([2]OceanDoodad!$Y:$Y,표1[[#This Row],[명칭]]),"-")</f>
        <v>-</v>
      </c>
      <c r="I1622" s="38">
        <f>IFERROR(COUNTIF([1]AdventureDiscoveryGroup!$D$8:$AW$92,표1[[#This Row],[명칭]]),"-")</f>
        <v>0</v>
      </c>
      <c r="J1622" s="38">
        <f>IFERROR(COUNTIF([1]FishDiscoveryGroup!$A:$X,표1[[#This Row],[명칭]]),"-")</f>
        <v>0</v>
      </c>
      <c r="K1622" s="38" t="str">
        <f>IFERROR(COUNTIF([2]Town!$B:$B,표1[[#This Row],[명칭]]),"-")</f>
        <v>-</v>
      </c>
      <c r="L1622" s="38">
        <f>IFERROR(COUNTIF([1]Village!$BR:$BR,표1[[#This Row],[명칭]]),"-")</f>
        <v>0</v>
      </c>
      <c r="M1622" s="38">
        <f>COUNTIF(퀘스트!B:B,표1[[#This Row],[명칭]])</f>
        <v>0</v>
      </c>
      <c r="N1622" s="65">
        <f>COUNTIF([1]VillageDiscoveryGroup!$C:$C,표1[[#This Row],[명칭]])</f>
        <v>0</v>
      </c>
      <c r="O1622" s="65">
        <f>SUM(표1[[#This Row],[해양탐색]:[마을탐험]])</f>
        <v>0</v>
      </c>
    </row>
    <row r="1623" spans="2:15" ht="13.5" customHeight="1" x14ac:dyDescent="0.3">
      <c r="B1623" s="9">
        <f>[1]Discovery!A1629</f>
        <v>70412123</v>
      </c>
      <c r="C1623" s="9" t="str">
        <f>[1]Discovery!B1629</f>
        <v>오슬로</v>
      </c>
      <c r="D1623" s="9" t="str">
        <f>[1]Discovery!E1629</f>
        <v>건축</v>
      </c>
      <c r="E1623" s="9" t="str">
        <f>[1]Discovery!C1629</f>
        <v>항구</v>
      </c>
      <c r="F1623" s="9" t="str">
        <f>[1]Discovery!G1629</f>
        <v>D</v>
      </c>
      <c r="G1623" s="9" t="str">
        <f>IFERROR(VLOOKUP(표1[[#This Row],[명칭]],'문화권 정리'!C:D,2,FALSE),"-")</f>
        <v>항구</v>
      </c>
      <c r="H1623" s="38" t="str">
        <f>IFERROR(COUNTIF([2]OceanDoodad!$Y:$Y,표1[[#This Row],[명칭]]),"-")</f>
        <v>-</v>
      </c>
      <c r="I1623" s="38">
        <f>IFERROR(COUNTIF([1]AdventureDiscoveryGroup!$D$8:$AW$92,표1[[#This Row],[명칭]]),"-")</f>
        <v>0</v>
      </c>
      <c r="J1623" s="38">
        <f>IFERROR(COUNTIF([1]FishDiscoveryGroup!$A:$X,표1[[#This Row],[명칭]]),"-")</f>
        <v>0</v>
      </c>
      <c r="K1623" s="38" t="str">
        <f>IFERROR(COUNTIF([2]Town!$B:$B,표1[[#This Row],[명칭]]),"-")</f>
        <v>-</v>
      </c>
      <c r="L1623" s="38">
        <f>IFERROR(COUNTIF([1]Village!$BR:$BR,표1[[#This Row],[명칭]]),"-")</f>
        <v>0</v>
      </c>
      <c r="M1623" s="38">
        <f>COUNTIF(퀘스트!B:B,표1[[#This Row],[명칭]])</f>
        <v>0</v>
      </c>
      <c r="N1623" s="65">
        <f>COUNTIF([1]VillageDiscoveryGroup!$C:$C,표1[[#This Row],[명칭]])</f>
        <v>0</v>
      </c>
      <c r="O1623" s="65">
        <f>SUM(표1[[#This Row],[해양탐색]:[마을탐험]])</f>
        <v>0</v>
      </c>
    </row>
    <row r="1624" spans="2:15" ht="13.5" customHeight="1" x14ac:dyDescent="0.3">
      <c r="B1624" s="9">
        <f>[1]Discovery!A1630</f>
        <v>70412124</v>
      </c>
      <c r="C1624" s="9" t="str">
        <f>[1]Discovery!B1630</f>
        <v>왕거누이</v>
      </c>
      <c r="D1624" s="9" t="str">
        <f>[1]Discovery!E1630</f>
        <v>건축</v>
      </c>
      <c r="E1624" s="9" t="str">
        <f>[1]Discovery!C1630</f>
        <v>항구</v>
      </c>
      <c r="F1624" s="9" t="str">
        <f>[1]Discovery!G1630</f>
        <v>D</v>
      </c>
      <c r="G1624" s="9" t="str">
        <f>IFERROR(VLOOKUP(표1[[#This Row],[명칭]],'문화권 정리'!C:D,2,FALSE),"-")</f>
        <v>항구</v>
      </c>
      <c r="H1624" s="38" t="str">
        <f>IFERROR(COUNTIF([2]OceanDoodad!$Y:$Y,표1[[#This Row],[명칭]]),"-")</f>
        <v>-</v>
      </c>
      <c r="I1624" s="38">
        <f>IFERROR(COUNTIF([1]AdventureDiscoveryGroup!$D$8:$AW$92,표1[[#This Row],[명칭]]),"-")</f>
        <v>0</v>
      </c>
      <c r="J1624" s="38">
        <f>IFERROR(COUNTIF([1]FishDiscoveryGroup!$A:$X,표1[[#This Row],[명칭]]),"-")</f>
        <v>0</v>
      </c>
      <c r="K1624" s="38" t="str">
        <f>IFERROR(COUNTIF([2]Town!$B:$B,표1[[#This Row],[명칭]]),"-")</f>
        <v>-</v>
      </c>
      <c r="L1624" s="38">
        <f>IFERROR(COUNTIF([1]Village!$BR:$BR,표1[[#This Row],[명칭]]),"-")</f>
        <v>0</v>
      </c>
      <c r="M1624" s="38">
        <f>COUNTIF(퀘스트!B:B,표1[[#This Row],[명칭]])</f>
        <v>0</v>
      </c>
      <c r="N1624" s="65">
        <f>COUNTIF([1]VillageDiscoveryGroup!$C:$C,표1[[#This Row],[명칭]])</f>
        <v>0</v>
      </c>
      <c r="O1624" s="65">
        <f>SUM(표1[[#This Row],[해양탐색]:[마을탐험]])</f>
        <v>0</v>
      </c>
    </row>
    <row r="1625" spans="2:15" ht="13.5" customHeight="1" x14ac:dyDescent="0.3">
      <c r="B1625" s="9">
        <f>[1]Discovery!A1631</f>
        <v>70412125</v>
      </c>
      <c r="C1625" s="9" t="str">
        <f>[1]Discovery!B1631</f>
        <v>우수아이아</v>
      </c>
      <c r="D1625" s="9" t="str">
        <f>[1]Discovery!E1631</f>
        <v>건축</v>
      </c>
      <c r="E1625" s="9" t="str">
        <f>[1]Discovery!C1631</f>
        <v>항구</v>
      </c>
      <c r="F1625" s="9" t="str">
        <f>[1]Discovery!G1631</f>
        <v>D</v>
      </c>
      <c r="G1625" s="9" t="str">
        <f>IFERROR(VLOOKUP(표1[[#This Row],[명칭]],'문화권 정리'!C:D,2,FALSE),"-")</f>
        <v>항구</v>
      </c>
      <c r="H1625" s="38" t="str">
        <f>IFERROR(COUNTIF([2]OceanDoodad!$Y:$Y,표1[[#This Row],[명칭]]),"-")</f>
        <v>-</v>
      </c>
      <c r="I1625" s="38">
        <f>IFERROR(COUNTIF([1]AdventureDiscoveryGroup!$D$8:$AW$92,표1[[#This Row],[명칭]]),"-")</f>
        <v>0</v>
      </c>
      <c r="J1625" s="38">
        <f>IFERROR(COUNTIF([1]FishDiscoveryGroup!$A:$X,표1[[#This Row],[명칭]]),"-")</f>
        <v>0</v>
      </c>
      <c r="K1625" s="38" t="str">
        <f>IFERROR(COUNTIF([2]Town!$B:$B,표1[[#This Row],[명칭]]),"-")</f>
        <v>-</v>
      </c>
      <c r="L1625" s="38">
        <f>IFERROR(COUNTIF([1]Village!$BR:$BR,표1[[#This Row],[명칭]]),"-")</f>
        <v>0</v>
      </c>
      <c r="M1625" s="38">
        <f>COUNTIF(퀘스트!B:B,표1[[#This Row],[명칭]])</f>
        <v>0</v>
      </c>
      <c r="N1625" s="65">
        <f>COUNTIF([1]VillageDiscoveryGroup!$C:$C,표1[[#This Row],[명칭]])</f>
        <v>0</v>
      </c>
      <c r="O1625" s="65">
        <f>SUM(표1[[#This Row],[해양탐색]:[마을탐험]])</f>
        <v>0</v>
      </c>
    </row>
    <row r="1626" spans="2:15" ht="13.5" customHeight="1" x14ac:dyDescent="0.3">
      <c r="B1626" s="9">
        <f>[1]Discovery!A1632</f>
        <v>70412126</v>
      </c>
      <c r="C1626" s="9" t="str">
        <f>[1]Discovery!B1632</f>
        <v>코스탄티니예</v>
      </c>
      <c r="D1626" s="9" t="str">
        <f>[1]Discovery!E1632</f>
        <v>건축</v>
      </c>
      <c r="E1626" s="9" t="str">
        <f>[1]Discovery!C1632</f>
        <v>항구</v>
      </c>
      <c r="F1626" s="9" t="str">
        <f>[1]Discovery!G1632</f>
        <v>D</v>
      </c>
      <c r="G1626" s="9" t="str">
        <f>IFERROR(VLOOKUP(표1[[#This Row],[명칭]],'문화권 정리'!C:D,2,FALSE),"-")</f>
        <v>항구</v>
      </c>
      <c r="H1626" s="38" t="str">
        <f>IFERROR(COUNTIF([2]OceanDoodad!$Y:$Y,표1[[#This Row],[명칭]]),"-")</f>
        <v>-</v>
      </c>
      <c r="I1626" s="38">
        <f>IFERROR(COUNTIF([1]AdventureDiscoveryGroup!$D$8:$AW$92,표1[[#This Row],[명칭]]),"-")</f>
        <v>0</v>
      </c>
      <c r="J1626" s="38">
        <f>IFERROR(COUNTIF([1]FishDiscoveryGroup!$A:$X,표1[[#This Row],[명칭]]),"-")</f>
        <v>0</v>
      </c>
      <c r="K1626" s="38" t="str">
        <f>IFERROR(COUNTIF([2]Town!$B:$B,표1[[#This Row],[명칭]]),"-")</f>
        <v>-</v>
      </c>
      <c r="L1626" s="38">
        <f>IFERROR(COUNTIF([1]Village!$BR:$BR,표1[[#This Row],[명칭]]),"-")</f>
        <v>0</v>
      </c>
      <c r="M1626" s="38">
        <f>COUNTIF(퀘스트!B:B,표1[[#This Row],[명칭]])</f>
        <v>0</v>
      </c>
      <c r="N1626" s="65">
        <f>COUNTIF([1]VillageDiscoveryGroup!$C:$C,표1[[#This Row],[명칭]])</f>
        <v>0</v>
      </c>
      <c r="O1626" s="65">
        <f>SUM(표1[[#This Row],[해양탐색]:[마을탐험]])</f>
        <v>0</v>
      </c>
    </row>
    <row r="1627" spans="2:15" ht="13.5" customHeight="1" x14ac:dyDescent="0.3">
      <c r="B1627" s="9">
        <f>[1]Discovery!A1633</f>
        <v>70412127</v>
      </c>
      <c r="C1627" s="9" t="str">
        <f>[1]Discovery!B1633</f>
        <v>자라</v>
      </c>
      <c r="D1627" s="9" t="str">
        <f>[1]Discovery!E1633</f>
        <v>건축</v>
      </c>
      <c r="E1627" s="9" t="str">
        <f>[1]Discovery!C1633</f>
        <v>항구</v>
      </c>
      <c r="F1627" s="9" t="str">
        <f>[1]Discovery!G1633</f>
        <v>D</v>
      </c>
      <c r="G1627" s="9" t="str">
        <f>IFERROR(VLOOKUP(표1[[#This Row],[명칭]],'문화권 정리'!C:D,2,FALSE),"-")</f>
        <v>항구</v>
      </c>
      <c r="H1627" s="38" t="str">
        <f>IFERROR(COUNTIF([2]OceanDoodad!$Y:$Y,표1[[#This Row],[명칭]]),"-")</f>
        <v>-</v>
      </c>
      <c r="I1627" s="38">
        <f>IFERROR(COUNTIF([1]AdventureDiscoveryGroup!$D$8:$AW$92,표1[[#This Row],[명칭]]),"-")</f>
        <v>0</v>
      </c>
      <c r="J1627" s="38">
        <f>IFERROR(COUNTIF([1]FishDiscoveryGroup!$A:$X,표1[[#This Row],[명칭]]),"-")</f>
        <v>0</v>
      </c>
      <c r="K1627" s="38" t="str">
        <f>IFERROR(COUNTIF([2]Town!$B:$B,표1[[#This Row],[명칭]]),"-")</f>
        <v>-</v>
      </c>
      <c r="L1627" s="38">
        <f>IFERROR(COUNTIF([1]Village!$BR:$BR,표1[[#This Row],[명칭]]),"-")</f>
        <v>0</v>
      </c>
      <c r="M1627" s="38">
        <f>COUNTIF(퀘스트!B:B,표1[[#This Row],[명칭]])</f>
        <v>0</v>
      </c>
      <c r="N1627" s="65">
        <f>COUNTIF([1]VillageDiscoveryGroup!$C:$C,표1[[#This Row],[명칭]])</f>
        <v>0</v>
      </c>
      <c r="O1627" s="65">
        <f>SUM(표1[[#This Row],[해양탐색]:[마을탐험]])</f>
        <v>0</v>
      </c>
    </row>
    <row r="1628" spans="2:15" ht="13.5" customHeight="1" x14ac:dyDescent="0.3">
      <c r="B1628" s="9">
        <f>[1]Discovery!A1634</f>
        <v>70412128</v>
      </c>
      <c r="C1628" s="9" t="str">
        <f>[1]Discovery!B1634</f>
        <v>자야카르타</v>
      </c>
      <c r="D1628" s="9" t="str">
        <f>[1]Discovery!E1634</f>
        <v>건축</v>
      </c>
      <c r="E1628" s="9" t="str">
        <f>[1]Discovery!C1634</f>
        <v>항구</v>
      </c>
      <c r="F1628" s="9" t="str">
        <f>[1]Discovery!G1634</f>
        <v>D</v>
      </c>
      <c r="G1628" s="9" t="str">
        <f>IFERROR(VLOOKUP(표1[[#This Row],[명칭]],'문화권 정리'!C:D,2,FALSE),"-")</f>
        <v>항구</v>
      </c>
      <c r="H1628" s="38" t="str">
        <f>IFERROR(COUNTIF([2]OceanDoodad!$Y:$Y,표1[[#This Row],[명칭]]),"-")</f>
        <v>-</v>
      </c>
      <c r="I1628" s="38">
        <f>IFERROR(COUNTIF([1]AdventureDiscoveryGroup!$D$8:$AW$92,표1[[#This Row],[명칭]]),"-")</f>
        <v>0</v>
      </c>
      <c r="J1628" s="38">
        <f>IFERROR(COUNTIF([1]FishDiscoveryGroup!$A:$X,표1[[#This Row],[명칭]]),"-")</f>
        <v>0</v>
      </c>
      <c r="K1628" s="38" t="str">
        <f>IFERROR(COUNTIF([2]Town!$B:$B,표1[[#This Row],[명칭]]),"-")</f>
        <v>-</v>
      </c>
      <c r="L1628" s="38">
        <f>IFERROR(COUNTIF([1]Village!$BR:$BR,표1[[#This Row],[명칭]]),"-")</f>
        <v>0</v>
      </c>
      <c r="M1628" s="38">
        <f>COUNTIF(퀘스트!B:B,표1[[#This Row],[명칭]])</f>
        <v>0</v>
      </c>
      <c r="N1628" s="65">
        <f>COUNTIF([1]VillageDiscoveryGroup!$C:$C,표1[[#This Row],[명칭]])</f>
        <v>0</v>
      </c>
      <c r="O1628" s="65">
        <f>SUM(표1[[#This Row],[해양탐색]:[마을탐험]])</f>
        <v>0</v>
      </c>
    </row>
    <row r="1629" spans="2:15" ht="13.5" customHeight="1" x14ac:dyDescent="0.3">
      <c r="B1629" s="9">
        <f>[1]Discovery!A1635</f>
        <v>70412129</v>
      </c>
      <c r="C1629" s="9" t="str">
        <f>[1]Discovery!B1635</f>
        <v>잔지바르</v>
      </c>
      <c r="D1629" s="9" t="str">
        <f>[1]Discovery!E1635</f>
        <v>건축</v>
      </c>
      <c r="E1629" s="9" t="str">
        <f>[1]Discovery!C1635</f>
        <v>항구</v>
      </c>
      <c r="F1629" s="9" t="str">
        <f>[1]Discovery!G1635</f>
        <v>D</v>
      </c>
      <c r="G1629" s="9" t="str">
        <f>IFERROR(VLOOKUP(표1[[#This Row],[명칭]],'문화권 정리'!C:D,2,FALSE),"-")</f>
        <v>항구</v>
      </c>
      <c r="H1629" s="38" t="str">
        <f>IFERROR(COUNTIF([2]OceanDoodad!$Y:$Y,표1[[#This Row],[명칭]]),"-")</f>
        <v>-</v>
      </c>
      <c r="I1629" s="38">
        <f>IFERROR(COUNTIF([1]AdventureDiscoveryGroup!$D$8:$AW$92,표1[[#This Row],[명칭]]),"-")</f>
        <v>0</v>
      </c>
      <c r="J1629" s="38">
        <f>IFERROR(COUNTIF([1]FishDiscoveryGroup!$A:$X,표1[[#This Row],[명칭]]),"-")</f>
        <v>0</v>
      </c>
      <c r="K1629" s="38" t="str">
        <f>IFERROR(COUNTIF([2]Town!$B:$B,표1[[#This Row],[명칭]]),"-")</f>
        <v>-</v>
      </c>
      <c r="L1629" s="38">
        <f>IFERROR(COUNTIF([1]Village!$BR:$BR,표1[[#This Row],[명칭]]),"-")</f>
        <v>0</v>
      </c>
      <c r="M1629" s="38">
        <f>COUNTIF(퀘스트!B:B,표1[[#This Row],[명칭]])</f>
        <v>0</v>
      </c>
      <c r="N1629" s="65">
        <f>COUNTIF([1]VillageDiscoveryGroup!$C:$C,표1[[#This Row],[명칭]])</f>
        <v>0</v>
      </c>
      <c r="O1629" s="65">
        <f>SUM(표1[[#This Row],[해양탐색]:[마을탐험]])</f>
        <v>0</v>
      </c>
    </row>
    <row r="1630" spans="2:15" ht="13.5" customHeight="1" x14ac:dyDescent="0.3">
      <c r="B1630" s="9">
        <f>[1]Discovery!A1636</f>
        <v>70412130</v>
      </c>
      <c r="C1630" s="9" t="str">
        <f>[1]Discovery!B1636</f>
        <v>제노바</v>
      </c>
      <c r="D1630" s="9" t="str">
        <f>[1]Discovery!E1636</f>
        <v>건축</v>
      </c>
      <c r="E1630" s="9" t="str">
        <f>[1]Discovery!C1636</f>
        <v>항구</v>
      </c>
      <c r="F1630" s="9" t="str">
        <f>[1]Discovery!G1636</f>
        <v>D</v>
      </c>
      <c r="G1630" s="9" t="str">
        <f>IFERROR(VLOOKUP(표1[[#This Row],[명칭]],'문화권 정리'!C:D,2,FALSE),"-")</f>
        <v>항구</v>
      </c>
      <c r="H1630" s="38" t="str">
        <f>IFERROR(COUNTIF([2]OceanDoodad!$Y:$Y,표1[[#This Row],[명칭]]),"-")</f>
        <v>-</v>
      </c>
      <c r="I1630" s="38">
        <f>IFERROR(COUNTIF([1]AdventureDiscoveryGroup!$D$8:$AW$92,표1[[#This Row],[명칭]]),"-")</f>
        <v>0</v>
      </c>
      <c r="J1630" s="38">
        <f>IFERROR(COUNTIF([1]FishDiscoveryGroup!$A:$X,표1[[#This Row],[명칭]]),"-")</f>
        <v>0</v>
      </c>
      <c r="K1630" s="38" t="str">
        <f>IFERROR(COUNTIF([2]Town!$B:$B,표1[[#This Row],[명칭]]),"-")</f>
        <v>-</v>
      </c>
      <c r="L1630" s="38">
        <f>IFERROR(COUNTIF([1]Village!$BR:$BR,표1[[#This Row],[명칭]]),"-")</f>
        <v>0</v>
      </c>
      <c r="M1630" s="38">
        <f>COUNTIF(퀘스트!B:B,표1[[#This Row],[명칭]])</f>
        <v>0</v>
      </c>
      <c r="N1630" s="65">
        <f>COUNTIF([1]VillageDiscoveryGroup!$C:$C,표1[[#This Row],[명칭]])</f>
        <v>0</v>
      </c>
      <c r="O1630" s="65">
        <f>SUM(표1[[#This Row],[해양탐색]:[마을탐험]])</f>
        <v>0</v>
      </c>
    </row>
    <row r="1631" spans="2:15" ht="13.5" customHeight="1" x14ac:dyDescent="0.3">
      <c r="B1631" s="9">
        <f>[1]Discovery!A1637</f>
        <v>70412131</v>
      </c>
      <c r="C1631" s="9" t="str">
        <f>[1]Discovery!B1637</f>
        <v>지다</v>
      </c>
      <c r="D1631" s="9" t="str">
        <f>[1]Discovery!E1637</f>
        <v>건축</v>
      </c>
      <c r="E1631" s="9" t="str">
        <f>[1]Discovery!C1637</f>
        <v>항구</v>
      </c>
      <c r="F1631" s="9" t="str">
        <f>[1]Discovery!G1637</f>
        <v>D</v>
      </c>
      <c r="G1631" s="9" t="str">
        <f>IFERROR(VLOOKUP(표1[[#This Row],[명칭]],'문화권 정리'!C:D,2,FALSE),"-")</f>
        <v>항구</v>
      </c>
      <c r="H1631" s="38" t="str">
        <f>IFERROR(COUNTIF([2]OceanDoodad!$Y:$Y,표1[[#This Row],[명칭]]),"-")</f>
        <v>-</v>
      </c>
      <c r="I1631" s="38">
        <f>IFERROR(COUNTIF([1]AdventureDiscoveryGroup!$D$8:$AW$92,표1[[#This Row],[명칭]]),"-")</f>
        <v>0</v>
      </c>
      <c r="J1631" s="38">
        <f>IFERROR(COUNTIF([1]FishDiscoveryGroup!$A:$X,표1[[#This Row],[명칭]]),"-")</f>
        <v>0</v>
      </c>
      <c r="K1631" s="38" t="str">
        <f>IFERROR(COUNTIF([2]Town!$B:$B,표1[[#This Row],[명칭]]),"-")</f>
        <v>-</v>
      </c>
      <c r="L1631" s="38">
        <f>IFERROR(COUNTIF([1]Village!$BR:$BR,표1[[#This Row],[명칭]]),"-")</f>
        <v>0</v>
      </c>
      <c r="M1631" s="38">
        <f>COUNTIF(퀘스트!B:B,표1[[#This Row],[명칭]])</f>
        <v>0</v>
      </c>
      <c r="N1631" s="65">
        <f>COUNTIF([1]VillageDiscoveryGroup!$C:$C,표1[[#This Row],[명칭]])</f>
        <v>0</v>
      </c>
      <c r="O1631" s="65">
        <f>SUM(표1[[#This Row],[해양탐색]:[마을탐험]])</f>
        <v>0</v>
      </c>
    </row>
    <row r="1632" spans="2:15" ht="13.5" customHeight="1" x14ac:dyDescent="0.3">
      <c r="B1632" s="9">
        <f>[1]Discovery!A1638</f>
        <v>70412132</v>
      </c>
      <c r="C1632" s="9" t="str">
        <f>[1]Discovery!B1638</f>
        <v>제주</v>
      </c>
      <c r="D1632" s="9" t="str">
        <f>[1]Discovery!E1638</f>
        <v>건축</v>
      </c>
      <c r="E1632" s="9" t="str">
        <f>[1]Discovery!C1638</f>
        <v>항구</v>
      </c>
      <c r="F1632" s="9" t="str">
        <f>[1]Discovery!G1638</f>
        <v>D</v>
      </c>
      <c r="G1632" s="9" t="str">
        <f>IFERROR(VLOOKUP(표1[[#This Row],[명칭]],'문화권 정리'!C:D,2,FALSE),"-")</f>
        <v>항구</v>
      </c>
      <c r="H1632" s="38" t="str">
        <f>IFERROR(COUNTIF([2]OceanDoodad!$Y:$Y,표1[[#This Row],[명칭]]),"-")</f>
        <v>-</v>
      </c>
      <c r="I1632" s="38">
        <f>IFERROR(COUNTIF([1]AdventureDiscoveryGroup!$D$8:$AW$92,표1[[#This Row],[명칭]]),"-")</f>
        <v>0</v>
      </c>
      <c r="J1632" s="38">
        <f>IFERROR(COUNTIF([1]FishDiscoveryGroup!$A:$X,표1[[#This Row],[명칭]]),"-")</f>
        <v>0</v>
      </c>
      <c r="K1632" s="38" t="str">
        <f>IFERROR(COUNTIF([2]Town!$B:$B,표1[[#This Row],[명칭]]),"-")</f>
        <v>-</v>
      </c>
      <c r="L1632" s="38">
        <f>IFERROR(COUNTIF([1]Village!$BR:$BR,표1[[#This Row],[명칭]]),"-")</f>
        <v>0</v>
      </c>
      <c r="M1632" s="38">
        <f>COUNTIF(퀘스트!B:B,표1[[#This Row],[명칭]])</f>
        <v>0</v>
      </c>
      <c r="N1632" s="65">
        <f>COUNTIF([1]VillageDiscoveryGroup!$C:$C,표1[[#This Row],[명칭]])</f>
        <v>0</v>
      </c>
      <c r="O1632" s="65">
        <f>SUM(표1[[#This Row],[해양탐색]:[마을탐험]])</f>
        <v>0</v>
      </c>
    </row>
    <row r="1633" spans="2:15" ht="13.5" customHeight="1" x14ac:dyDescent="0.3">
      <c r="B1633" s="9">
        <f>[1]Discovery!A1639</f>
        <v>70412133</v>
      </c>
      <c r="C1633" s="9" t="str">
        <f>[1]Discovery!B1639</f>
        <v>중경</v>
      </c>
      <c r="D1633" s="9" t="str">
        <f>[1]Discovery!E1639</f>
        <v>건축</v>
      </c>
      <c r="E1633" s="9" t="str">
        <f>[1]Discovery!C1639</f>
        <v>항구</v>
      </c>
      <c r="F1633" s="9" t="str">
        <f>[1]Discovery!G1639</f>
        <v>D</v>
      </c>
      <c r="G1633" s="9" t="str">
        <f>IFERROR(VLOOKUP(표1[[#This Row],[명칭]],'문화권 정리'!C:D,2,FALSE),"-")</f>
        <v>항구</v>
      </c>
      <c r="H1633" s="38" t="str">
        <f>IFERROR(COUNTIF([2]OceanDoodad!$Y:$Y,표1[[#This Row],[명칭]]),"-")</f>
        <v>-</v>
      </c>
      <c r="I1633" s="38">
        <f>IFERROR(COUNTIF([1]AdventureDiscoveryGroup!$D$8:$AW$92,표1[[#This Row],[명칭]]),"-")</f>
        <v>0</v>
      </c>
      <c r="J1633" s="38">
        <f>IFERROR(COUNTIF([1]FishDiscoveryGroup!$A:$X,표1[[#This Row],[명칭]]),"-")</f>
        <v>0</v>
      </c>
      <c r="K1633" s="38" t="str">
        <f>IFERROR(COUNTIF([2]Town!$B:$B,표1[[#This Row],[명칭]]),"-")</f>
        <v>-</v>
      </c>
      <c r="L1633" s="38">
        <f>IFERROR(COUNTIF([1]Village!$BR:$BR,표1[[#This Row],[명칭]]),"-")</f>
        <v>0</v>
      </c>
      <c r="M1633" s="38">
        <f>COUNTIF(퀘스트!B:B,표1[[#This Row],[명칭]])</f>
        <v>0</v>
      </c>
      <c r="N1633" s="65">
        <f>COUNTIF([1]VillageDiscoveryGroup!$C:$C,표1[[#This Row],[명칭]])</f>
        <v>0</v>
      </c>
      <c r="O1633" s="65">
        <f>SUM(표1[[#This Row],[해양탐색]:[마을탐험]])</f>
        <v>0</v>
      </c>
    </row>
    <row r="1634" spans="2:15" ht="13.5" customHeight="1" x14ac:dyDescent="0.3">
      <c r="B1634" s="9">
        <f>[1]Discovery!A1640</f>
        <v>70412134</v>
      </c>
      <c r="C1634" s="9" t="str">
        <f>[1]Discovery!B1640</f>
        <v>나사우</v>
      </c>
      <c r="D1634" s="9" t="str">
        <f>[1]Discovery!E1640</f>
        <v>건축</v>
      </c>
      <c r="E1634" s="9" t="str">
        <f>[1]Discovery!C1640</f>
        <v>항구</v>
      </c>
      <c r="F1634" s="9" t="str">
        <f>[1]Discovery!G1640</f>
        <v>D</v>
      </c>
      <c r="G1634" s="9" t="str">
        <f>IFERROR(VLOOKUP(표1[[#This Row],[명칭]],'문화권 정리'!C:D,2,FALSE),"-")</f>
        <v>항구</v>
      </c>
      <c r="H1634" s="38" t="str">
        <f>IFERROR(COUNTIF([2]OceanDoodad!$Y:$Y,표1[[#This Row],[명칭]]),"-")</f>
        <v>-</v>
      </c>
      <c r="I1634" s="38">
        <f>IFERROR(COUNTIF([1]AdventureDiscoveryGroup!$D$8:$AW$92,표1[[#This Row],[명칭]]),"-")</f>
        <v>0</v>
      </c>
      <c r="J1634" s="38">
        <f>IFERROR(COUNTIF([1]FishDiscoveryGroup!$A:$X,표1[[#This Row],[명칭]]),"-")</f>
        <v>0</v>
      </c>
      <c r="K1634" s="38" t="str">
        <f>IFERROR(COUNTIF([2]Town!$B:$B,표1[[#This Row],[명칭]]),"-")</f>
        <v>-</v>
      </c>
      <c r="L1634" s="38">
        <f>IFERROR(COUNTIF([1]Village!$BR:$BR,표1[[#This Row],[명칭]]),"-")</f>
        <v>0</v>
      </c>
      <c r="M1634" s="38">
        <f>COUNTIF(퀘스트!B:B,표1[[#This Row],[명칭]])</f>
        <v>0</v>
      </c>
      <c r="N1634" s="65">
        <f>COUNTIF([1]VillageDiscoveryGroup!$C:$C,표1[[#This Row],[명칭]])</f>
        <v>0</v>
      </c>
      <c r="O1634" s="65">
        <f>SUM(표1[[#This Row],[해양탐색]:[마을탐험]])</f>
        <v>0</v>
      </c>
    </row>
    <row r="1635" spans="2:15" ht="13.5" customHeight="1" x14ac:dyDescent="0.3">
      <c r="B1635" s="9">
        <f>[1]Discovery!A1641</f>
        <v>70412135</v>
      </c>
      <c r="C1635" s="9" t="str">
        <f>[1]Discovery!B1641</f>
        <v>천주</v>
      </c>
      <c r="D1635" s="9" t="str">
        <f>[1]Discovery!E1641</f>
        <v>건축</v>
      </c>
      <c r="E1635" s="9" t="str">
        <f>[1]Discovery!C1641</f>
        <v>항구</v>
      </c>
      <c r="F1635" s="9" t="str">
        <f>[1]Discovery!G1641</f>
        <v>D</v>
      </c>
      <c r="G1635" s="9" t="str">
        <f>IFERROR(VLOOKUP(표1[[#This Row],[명칭]],'문화권 정리'!C:D,2,FALSE),"-")</f>
        <v>항구</v>
      </c>
      <c r="H1635" s="38" t="str">
        <f>IFERROR(COUNTIF([2]OceanDoodad!$Y:$Y,표1[[#This Row],[명칭]]),"-")</f>
        <v>-</v>
      </c>
      <c r="I1635" s="38">
        <f>IFERROR(COUNTIF([1]AdventureDiscoveryGroup!$D$8:$AW$92,표1[[#This Row],[명칭]]),"-")</f>
        <v>0</v>
      </c>
      <c r="J1635" s="38">
        <f>IFERROR(COUNTIF([1]FishDiscoveryGroup!$A:$X,표1[[#This Row],[명칭]]),"-")</f>
        <v>0</v>
      </c>
      <c r="K1635" s="38" t="str">
        <f>IFERROR(COUNTIF([2]Town!$B:$B,표1[[#This Row],[명칭]]),"-")</f>
        <v>-</v>
      </c>
      <c r="L1635" s="38">
        <f>IFERROR(COUNTIF([1]Village!$BR:$BR,표1[[#This Row],[명칭]]),"-")</f>
        <v>0</v>
      </c>
      <c r="M1635" s="38">
        <f>COUNTIF(퀘스트!B:B,표1[[#This Row],[명칭]])</f>
        <v>0</v>
      </c>
      <c r="N1635" s="65">
        <f>COUNTIF([1]VillageDiscoveryGroup!$C:$C,표1[[#This Row],[명칭]])</f>
        <v>0</v>
      </c>
      <c r="O1635" s="65">
        <f>SUM(표1[[#This Row],[해양탐색]:[마을탐험]])</f>
        <v>0</v>
      </c>
    </row>
    <row r="1636" spans="2:15" ht="13.5" customHeight="1" x14ac:dyDescent="0.3">
      <c r="B1636" s="9">
        <f>[1]Discovery!A1642</f>
        <v>70412136</v>
      </c>
      <c r="C1636" s="9" t="str">
        <f>[1]Discovery!B1642</f>
        <v>카라카스</v>
      </c>
      <c r="D1636" s="9" t="str">
        <f>[1]Discovery!E1642</f>
        <v>건축</v>
      </c>
      <c r="E1636" s="9" t="str">
        <f>[1]Discovery!C1642</f>
        <v>항구</v>
      </c>
      <c r="F1636" s="9" t="str">
        <f>[1]Discovery!G1642</f>
        <v>D</v>
      </c>
      <c r="G1636" s="9" t="str">
        <f>IFERROR(VLOOKUP(표1[[#This Row],[명칭]],'문화권 정리'!C:D,2,FALSE),"-")</f>
        <v>항구</v>
      </c>
      <c r="H1636" s="38" t="str">
        <f>IFERROR(COUNTIF([2]OceanDoodad!$Y:$Y,표1[[#This Row],[명칭]]),"-")</f>
        <v>-</v>
      </c>
      <c r="I1636" s="38">
        <f>IFERROR(COUNTIF([1]AdventureDiscoveryGroup!$D$8:$AW$92,표1[[#This Row],[명칭]]),"-")</f>
        <v>0</v>
      </c>
      <c r="J1636" s="38">
        <f>IFERROR(COUNTIF([1]FishDiscoveryGroup!$A:$X,표1[[#This Row],[명칭]]),"-")</f>
        <v>0</v>
      </c>
      <c r="K1636" s="38" t="str">
        <f>IFERROR(COUNTIF([2]Town!$B:$B,표1[[#This Row],[명칭]]),"-")</f>
        <v>-</v>
      </c>
      <c r="L1636" s="38">
        <f>IFERROR(COUNTIF([1]Village!$BR:$BR,표1[[#This Row],[명칭]]),"-")</f>
        <v>0</v>
      </c>
      <c r="M1636" s="38">
        <f>COUNTIF(퀘스트!B:B,표1[[#This Row],[명칭]])</f>
        <v>0</v>
      </c>
      <c r="N1636" s="65">
        <f>COUNTIF([1]VillageDiscoveryGroup!$C:$C,표1[[#This Row],[명칭]])</f>
        <v>0</v>
      </c>
      <c r="O1636" s="65">
        <f>SUM(표1[[#This Row],[해양탐색]:[마을탐험]])</f>
        <v>0</v>
      </c>
    </row>
    <row r="1637" spans="2:15" ht="13.5" customHeight="1" x14ac:dyDescent="0.3">
      <c r="B1637" s="9">
        <f>[1]Discovery!A1643</f>
        <v>70412137</v>
      </c>
      <c r="C1637" s="9" t="str">
        <f>[1]Discovery!B1643</f>
        <v>카르타헤나</v>
      </c>
      <c r="D1637" s="9" t="str">
        <f>[1]Discovery!E1643</f>
        <v>건축</v>
      </c>
      <c r="E1637" s="9" t="str">
        <f>[1]Discovery!C1643</f>
        <v>항구</v>
      </c>
      <c r="F1637" s="9" t="str">
        <f>[1]Discovery!G1643</f>
        <v>D</v>
      </c>
      <c r="G1637" s="9" t="str">
        <f>IFERROR(VLOOKUP(표1[[#This Row],[명칭]],'문화권 정리'!C:D,2,FALSE),"-")</f>
        <v>항구</v>
      </c>
      <c r="H1637" s="38" t="str">
        <f>IFERROR(COUNTIF([2]OceanDoodad!$Y:$Y,표1[[#This Row],[명칭]]),"-")</f>
        <v>-</v>
      </c>
      <c r="I1637" s="38">
        <f>IFERROR(COUNTIF([1]AdventureDiscoveryGroup!$D$8:$AW$92,표1[[#This Row],[명칭]]),"-")</f>
        <v>0</v>
      </c>
      <c r="J1637" s="38">
        <f>IFERROR(COUNTIF([1]FishDiscoveryGroup!$A:$X,표1[[#This Row],[명칭]]),"-")</f>
        <v>0</v>
      </c>
      <c r="K1637" s="38" t="str">
        <f>IFERROR(COUNTIF([2]Town!$B:$B,표1[[#This Row],[명칭]]),"-")</f>
        <v>-</v>
      </c>
      <c r="L1637" s="38">
        <f>IFERROR(COUNTIF([1]Village!$BR:$BR,표1[[#This Row],[명칭]]),"-")</f>
        <v>0</v>
      </c>
      <c r="M1637" s="38">
        <f>COUNTIF(퀘스트!B:B,표1[[#This Row],[명칭]])</f>
        <v>0</v>
      </c>
      <c r="N1637" s="65">
        <f>COUNTIF([1]VillageDiscoveryGroup!$C:$C,표1[[#This Row],[명칭]])</f>
        <v>0</v>
      </c>
      <c r="O1637" s="65">
        <f>SUM(표1[[#This Row],[해양탐색]:[마을탐험]])</f>
        <v>0</v>
      </c>
    </row>
    <row r="1638" spans="2:15" ht="13.5" customHeight="1" x14ac:dyDescent="0.3">
      <c r="B1638" s="9">
        <f>[1]Discovery!A1644</f>
        <v>70412138</v>
      </c>
      <c r="C1638" s="9" t="str">
        <f>[1]Discovery!B1644</f>
        <v>카리비브</v>
      </c>
      <c r="D1638" s="9" t="str">
        <f>[1]Discovery!E1644</f>
        <v>건축</v>
      </c>
      <c r="E1638" s="9" t="str">
        <f>[1]Discovery!C1644</f>
        <v>항구</v>
      </c>
      <c r="F1638" s="9" t="str">
        <f>[1]Discovery!G1644</f>
        <v>D</v>
      </c>
      <c r="G1638" s="9" t="str">
        <f>IFERROR(VLOOKUP(표1[[#This Row],[명칭]],'문화권 정리'!C:D,2,FALSE),"-")</f>
        <v>항구</v>
      </c>
      <c r="H1638" s="38" t="str">
        <f>IFERROR(COUNTIF([2]OceanDoodad!$Y:$Y,표1[[#This Row],[명칭]]),"-")</f>
        <v>-</v>
      </c>
      <c r="I1638" s="38">
        <f>IFERROR(COUNTIF([1]AdventureDiscoveryGroup!$D$8:$AW$92,표1[[#This Row],[명칭]]),"-")</f>
        <v>0</v>
      </c>
      <c r="J1638" s="38">
        <f>IFERROR(COUNTIF([1]FishDiscoveryGroup!$A:$X,표1[[#This Row],[명칭]]),"-")</f>
        <v>0</v>
      </c>
      <c r="K1638" s="38" t="str">
        <f>IFERROR(COUNTIF([2]Town!$B:$B,표1[[#This Row],[명칭]]),"-")</f>
        <v>-</v>
      </c>
      <c r="L1638" s="38">
        <f>IFERROR(COUNTIF([1]Village!$BR:$BR,표1[[#This Row],[명칭]]),"-")</f>
        <v>0</v>
      </c>
      <c r="M1638" s="38">
        <f>COUNTIF(퀘스트!B:B,표1[[#This Row],[명칭]])</f>
        <v>0</v>
      </c>
      <c r="N1638" s="65">
        <f>COUNTIF([1]VillageDiscoveryGroup!$C:$C,표1[[#This Row],[명칭]])</f>
        <v>0</v>
      </c>
      <c r="O1638" s="65">
        <f>SUM(표1[[#This Row],[해양탐색]:[마을탐험]])</f>
        <v>0</v>
      </c>
    </row>
    <row r="1639" spans="2:15" ht="13.5" customHeight="1" x14ac:dyDescent="0.3">
      <c r="B1639" s="9">
        <f>[1]Discovery!A1645</f>
        <v>70412139</v>
      </c>
      <c r="C1639" s="9" t="str">
        <f>[1]Discovery!B1645</f>
        <v>프라이아</v>
      </c>
      <c r="D1639" s="9" t="str">
        <f>[1]Discovery!E1645</f>
        <v>건축</v>
      </c>
      <c r="E1639" s="9" t="str">
        <f>[1]Discovery!C1645</f>
        <v>항구</v>
      </c>
      <c r="F1639" s="9" t="str">
        <f>[1]Discovery!G1645</f>
        <v>D</v>
      </c>
      <c r="G1639" s="9" t="str">
        <f>IFERROR(VLOOKUP(표1[[#This Row],[명칭]],'문화권 정리'!C:D,2,FALSE),"-")</f>
        <v>항구</v>
      </c>
      <c r="H1639" s="38" t="str">
        <f>IFERROR(COUNTIF([2]OceanDoodad!$Y:$Y,표1[[#This Row],[명칭]]),"-")</f>
        <v>-</v>
      </c>
      <c r="I1639" s="38">
        <f>IFERROR(COUNTIF([1]AdventureDiscoveryGroup!$D$8:$AW$92,표1[[#This Row],[명칭]]),"-")</f>
        <v>0</v>
      </c>
      <c r="J1639" s="38">
        <f>IFERROR(COUNTIF([1]FishDiscoveryGroup!$A:$X,표1[[#This Row],[명칭]]),"-")</f>
        <v>0</v>
      </c>
      <c r="K1639" s="38" t="str">
        <f>IFERROR(COUNTIF([2]Town!$B:$B,표1[[#This Row],[명칭]]),"-")</f>
        <v>-</v>
      </c>
      <c r="L1639" s="38">
        <f>IFERROR(COUNTIF([1]Village!$BR:$BR,표1[[#This Row],[명칭]]),"-")</f>
        <v>0</v>
      </c>
      <c r="M1639" s="38">
        <f>COUNTIF(퀘스트!B:B,표1[[#This Row],[명칭]])</f>
        <v>0</v>
      </c>
      <c r="N1639" s="65">
        <f>COUNTIF([1]VillageDiscoveryGroup!$C:$C,표1[[#This Row],[명칭]])</f>
        <v>0</v>
      </c>
      <c r="O1639" s="65">
        <f>SUM(표1[[#This Row],[해양탐색]:[마을탐험]])</f>
        <v>0</v>
      </c>
    </row>
    <row r="1640" spans="2:15" ht="13.5" customHeight="1" x14ac:dyDescent="0.3">
      <c r="B1640" s="9">
        <f>[1]Discovery!A1646</f>
        <v>70412140</v>
      </c>
      <c r="C1640" s="9" t="str">
        <f>[1]Discovery!B1646</f>
        <v>카사블랑카</v>
      </c>
      <c r="D1640" s="9" t="str">
        <f>[1]Discovery!E1646</f>
        <v>건축</v>
      </c>
      <c r="E1640" s="9" t="str">
        <f>[1]Discovery!C1646</f>
        <v>항구</v>
      </c>
      <c r="F1640" s="9" t="str">
        <f>[1]Discovery!G1646</f>
        <v>D</v>
      </c>
      <c r="G1640" s="9" t="str">
        <f>IFERROR(VLOOKUP(표1[[#This Row],[명칭]],'문화권 정리'!C:D,2,FALSE),"-")</f>
        <v>항구</v>
      </c>
      <c r="H1640" s="38" t="str">
        <f>IFERROR(COUNTIF([2]OceanDoodad!$Y:$Y,표1[[#This Row],[명칭]]),"-")</f>
        <v>-</v>
      </c>
      <c r="I1640" s="38">
        <f>IFERROR(COUNTIF([1]AdventureDiscoveryGroup!$D$8:$AW$92,표1[[#This Row],[명칭]]),"-")</f>
        <v>0</v>
      </c>
      <c r="J1640" s="38">
        <f>IFERROR(COUNTIF([1]FishDiscoveryGroup!$A:$X,표1[[#This Row],[명칭]]),"-")</f>
        <v>0</v>
      </c>
      <c r="K1640" s="38" t="str">
        <f>IFERROR(COUNTIF([2]Town!$B:$B,표1[[#This Row],[명칭]]),"-")</f>
        <v>-</v>
      </c>
      <c r="L1640" s="38">
        <f>IFERROR(COUNTIF([1]Village!$BR:$BR,표1[[#This Row],[명칭]]),"-")</f>
        <v>0</v>
      </c>
      <c r="M1640" s="38">
        <f>COUNTIF(퀘스트!B:B,표1[[#This Row],[명칭]])</f>
        <v>0</v>
      </c>
      <c r="N1640" s="65">
        <f>COUNTIF([1]VillageDiscoveryGroup!$C:$C,표1[[#This Row],[명칭]])</f>
        <v>0</v>
      </c>
      <c r="O1640" s="65">
        <f>SUM(표1[[#This Row],[해양탐색]:[마을탐험]])</f>
        <v>0</v>
      </c>
    </row>
    <row r="1641" spans="2:15" ht="13.5" customHeight="1" x14ac:dyDescent="0.3">
      <c r="B1641" s="9">
        <f>[1]Discovery!A1647</f>
        <v>70412141</v>
      </c>
      <c r="C1641" s="9" t="str">
        <f>[1]Discovery!B1647</f>
        <v>카옌</v>
      </c>
      <c r="D1641" s="9" t="str">
        <f>[1]Discovery!E1647</f>
        <v>건축</v>
      </c>
      <c r="E1641" s="9" t="str">
        <f>[1]Discovery!C1647</f>
        <v>항구</v>
      </c>
      <c r="F1641" s="9" t="str">
        <f>[1]Discovery!G1647</f>
        <v>D</v>
      </c>
      <c r="G1641" s="9" t="str">
        <f>IFERROR(VLOOKUP(표1[[#This Row],[명칭]],'문화권 정리'!C:D,2,FALSE),"-")</f>
        <v>항구</v>
      </c>
      <c r="H1641" s="38" t="str">
        <f>IFERROR(COUNTIF([2]OceanDoodad!$Y:$Y,표1[[#This Row],[명칭]]),"-")</f>
        <v>-</v>
      </c>
      <c r="I1641" s="38">
        <f>IFERROR(COUNTIF([1]AdventureDiscoveryGroup!$D$8:$AW$92,표1[[#This Row],[명칭]]),"-")</f>
        <v>0</v>
      </c>
      <c r="J1641" s="38">
        <f>IFERROR(COUNTIF([1]FishDiscoveryGroup!$A:$X,표1[[#This Row],[명칭]]),"-")</f>
        <v>0</v>
      </c>
      <c r="K1641" s="38" t="str">
        <f>IFERROR(COUNTIF([2]Town!$B:$B,표1[[#This Row],[명칭]]),"-")</f>
        <v>-</v>
      </c>
      <c r="L1641" s="38">
        <f>IFERROR(COUNTIF([1]Village!$BR:$BR,표1[[#This Row],[명칭]]),"-")</f>
        <v>0</v>
      </c>
      <c r="M1641" s="38">
        <f>COUNTIF(퀘스트!B:B,표1[[#This Row],[명칭]])</f>
        <v>0</v>
      </c>
      <c r="N1641" s="65">
        <f>COUNTIF([1]VillageDiscoveryGroup!$C:$C,표1[[#This Row],[명칭]])</f>
        <v>0</v>
      </c>
      <c r="O1641" s="65">
        <f>SUM(표1[[#This Row],[해양탐색]:[마을탐험]])</f>
        <v>0</v>
      </c>
    </row>
    <row r="1642" spans="2:15" ht="13.5" customHeight="1" x14ac:dyDescent="0.3">
      <c r="B1642" s="9">
        <f>[1]Discovery!A1648</f>
        <v>70412142</v>
      </c>
      <c r="C1642" s="9" t="str">
        <f>[1]Discovery!B1648</f>
        <v>알카히라</v>
      </c>
      <c r="D1642" s="9" t="str">
        <f>[1]Discovery!E1648</f>
        <v>건축</v>
      </c>
      <c r="E1642" s="9" t="str">
        <f>[1]Discovery!C1648</f>
        <v>항구</v>
      </c>
      <c r="F1642" s="9" t="str">
        <f>[1]Discovery!G1648</f>
        <v>D</v>
      </c>
      <c r="G1642" s="9" t="str">
        <f>IFERROR(VLOOKUP(표1[[#This Row],[명칭]],'문화권 정리'!C:D,2,FALSE),"-")</f>
        <v>항구</v>
      </c>
      <c r="H1642" s="38" t="str">
        <f>IFERROR(COUNTIF([2]OceanDoodad!$Y:$Y,표1[[#This Row],[명칭]]),"-")</f>
        <v>-</v>
      </c>
      <c r="I1642" s="38">
        <f>IFERROR(COUNTIF([1]AdventureDiscoveryGroup!$D$8:$AW$92,표1[[#This Row],[명칭]]),"-")</f>
        <v>0</v>
      </c>
      <c r="J1642" s="38">
        <f>IFERROR(COUNTIF([1]FishDiscoveryGroup!$A:$X,표1[[#This Row],[명칭]]),"-")</f>
        <v>0</v>
      </c>
      <c r="K1642" s="38" t="str">
        <f>IFERROR(COUNTIF([2]Town!$B:$B,표1[[#This Row],[명칭]]),"-")</f>
        <v>-</v>
      </c>
      <c r="L1642" s="38">
        <f>IFERROR(COUNTIF([1]Village!$BR:$BR,표1[[#This Row],[명칭]]),"-")</f>
        <v>0</v>
      </c>
      <c r="M1642" s="38">
        <f>COUNTIF(퀘스트!B:B,표1[[#This Row],[명칭]])</f>
        <v>0</v>
      </c>
      <c r="N1642" s="65">
        <f>COUNTIF([1]VillageDiscoveryGroup!$C:$C,표1[[#This Row],[명칭]])</f>
        <v>0</v>
      </c>
      <c r="O1642" s="65">
        <f>SUM(표1[[#This Row],[해양탐색]:[마을탐험]])</f>
        <v>0</v>
      </c>
    </row>
    <row r="1643" spans="2:15" ht="13.5" customHeight="1" x14ac:dyDescent="0.3">
      <c r="B1643" s="9">
        <f>[1]Discovery!A1649</f>
        <v>70412143</v>
      </c>
      <c r="C1643" s="9" t="str">
        <f>[1]Discovery!B1649</f>
        <v>카카투와</v>
      </c>
      <c r="D1643" s="9" t="str">
        <f>[1]Discovery!E1649</f>
        <v>건축</v>
      </c>
      <c r="E1643" s="9" t="str">
        <f>[1]Discovery!C1649</f>
        <v>항구</v>
      </c>
      <c r="F1643" s="9" t="str">
        <f>[1]Discovery!G1649</f>
        <v>D</v>
      </c>
      <c r="G1643" s="9" t="str">
        <f>IFERROR(VLOOKUP(표1[[#This Row],[명칭]],'문화권 정리'!C:D,2,FALSE),"-")</f>
        <v>항구</v>
      </c>
      <c r="H1643" s="38" t="str">
        <f>IFERROR(COUNTIF([2]OceanDoodad!$Y:$Y,표1[[#This Row],[명칭]]),"-")</f>
        <v>-</v>
      </c>
      <c r="I1643" s="38">
        <f>IFERROR(COUNTIF([1]AdventureDiscoveryGroup!$D$8:$AW$92,표1[[#This Row],[명칭]]),"-")</f>
        <v>0</v>
      </c>
      <c r="J1643" s="38">
        <f>IFERROR(COUNTIF([1]FishDiscoveryGroup!$A:$X,표1[[#This Row],[명칭]]),"-")</f>
        <v>0</v>
      </c>
      <c r="K1643" s="38" t="str">
        <f>IFERROR(COUNTIF([2]Town!$B:$B,표1[[#This Row],[명칭]]),"-")</f>
        <v>-</v>
      </c>
      <c r="L1643" s="38">
        <f>IFERROR(COUNTIF([1]Village!$BR:$BR,표1[[#This Row],[명칭]]),"-")</f>
        <v>0</v>
      </c>
      <c r="M1643" s="38">
        <f>COUNTIF(퀘스트!B:B,표1[[#This Row],[명칭]])</f>
        <v>0</v>
      </c>
      <c r="N1643" s="65">
        <f>COUNTIF([1]VillageDiscoveryGroup!$C:$C,표1[[#This Row],[명칭]])</f>
        <v>0</v>
      </c>
      <c r="O1643" s="65">
        <f>SUM(표1[[#This Row],[해양탐색]:[마을탐험]])</f>
        <v>0</v>
      </c>
    </row>
    <row r="1644" spans="2:15" ht="13.5" customHeight="1" x14ac:dyDescent="0.3">
      <c r="B1644" s="9">
        <f>[1]Discovery!A1650</f>
        <v>70412144</v>
      </c>
      <c r="C1644" s="9" t="str">
        <f>[1]Discovery!B1650</f>
        <v>알비다</v>
      </c>
      <c r="D1644" s="9" t="str">
        <f>[1]Discovery!E1650</f>
        <v>건축</v>
      </c>
      <c r="E1644" s="9" t="str">
        <f>[1]Discovery!C1650</f>
        <v>항구</v>
      </c>
      <c r="F1644" s="9" t="str">
        <f>[1]Discovery!G1650</f>
        <v>D</v>
      </c>
      <c r="G1644" s="9" t="str">
        <f>IFERROR(VLOOKUP(표1[[#This Row],[명칭]],'문화권 정리'!C:D,2,FALSE),"-")</f>
        <v>항구</v>
      </c>
      <c r="H1644" s="38" t="str">
        <f>IFERROR(COUNTIF([2]OceanDoodad!$Y:$Y,표1[[#This Row],[명칭]]),"-")</f>
        <v>-</v>
      </c>
      <c r="I1644" s="38">
        <f>IFERROR(COUNTIF([1]AdventureDiscoveryGroup!$D$8:$AW$92,표1[[#This Row],[명칭]]),"-")</f>
        <v>0</v>
      </c>
      <c r="J1644" s="38">
        <f>IFERROR(COUNTIF([1]FishDiscoveryGroup!$A:$X,표1[[#This Row],[명칭]]),"-")</f>
        <v>0</v>
      </c>
      <c r="K1644" s="38" t="str">
        <f>IFERROR(COUNTIF([2]Town!$B:$B,표1[[#This Row],[명칭]]),"-")</f>
        <v>-</v>
      </c>
      <c r="L1644" s="38">
        <f>IFERROR(COUNTIF([1]Village!$BR:$BR,표1[[#This Row],[명칭]]),"-")</f>
        <v>0</v>
      </c>
      <c r="M1644" s="38">
        <f>COUNTIF(퀘스트!B:B,표1[[#This Row],[명칭]])</f>
        <v>0</v>
      </c>
      <c r="N1644" s="65">
        <f>COUNTIF([1]VillageDiscoveryGroup!$C:$C,표1[[#This Row],[명칭]])</f>
        <v>0</v>
      </c>
      <c r="O1644" s="65">
        <f>SUM(표1[[#This Row],[해양탐색]:[마을탐험]])</f>
        <v>0</v>
      </c>
    </row>
    <row r="1645" spans="2:15" ht="13.5" customHeight="1" x14ac:dyDescent="0.3">
      <c r="B1645" s="9">
        <f>[1]Discovery!A1651</f>
        <v>70412145</v>
      </c>
      <c r="C1645" s="9" t="str">
        <f>[1]Discovery!B1651</f>
        <v>이카파</v>
      </c>
      <c r="D1645" s="9" t="str">
        <f>[1]Discovery!E1651</f>
        <v>건축</v>
      </c>
      <c r="E1645" s="9" t="str">
        <f>[1]Discovery!C1651</f>
        <v>항구</v>
      </c>
      <c r="F1645" s="9" t="str">
        <f>[1]Discovery!G1651</f>
        <v>D</v>
      </c>
      <c r="G1645" s="9" t="str">
        <f>IFERROR(VLOOKUP(표1[[#This Row],[명칭]],'문화권 정리'!C:D,2,FALSE),"-")</f>
        <v>항구</v>
      </c>
      <c r="H1645" s="38" t="str">
        <f>IFERROR(COUNTIF([2]OceanDoodad!$Y:$Y,표1[[#This Row],[명칭]]),"-")</f>
        <v>-</v>
      </c>
      <c r="I1645" s="38">
        <f>IFERROR(COUNTIF([1]AdventureDiscoveryGroup!$D$8:$AW$92,표1[[#This Row],[명칭]]),"-")</f>
        <v>0</v>
      </c>
      <c r="J1645" s="38">
        <f>IFERROR(COUNTIF([1]FishDiscoveryGroup!$A:$X,표1[[#This Row],[명칭]]),"-")</f>
        <v>0</v>
      </c>
      <c r="K1645" s="38" t="str">
        <f>IFERROR(COUNTIF([2]Town!$B:$B,표1[[#This Row],[명칭]]),"-")</f>
        <v>-</v>
      </c>
      <c r="L1645" s="38">
        <f>IFERROR(COUNTIF([1]Village!$BR:$BR,표1[[#This Row],[명칭]]),"-")</f>
        <v>0</v>
      </c>
      <c r="M1645" s="38">
        <f>COUNTIF(퀘스트!B:B,표1[[#This Row],[명칭]])</f>
        <v>0</v>
      </c>
      <c r="N1645" s="65">
        <f>COUNTIF([1]VillageDiscoveryGroup!$C:$C,표1[[#This Row],[명칭]])</f>
        <v>0</v>
      </c>
      <c r="O1645" s="65">
        <f>SUM(표1[[#This Row],[해양탐색]:[마을탐험]])</f>
        <v>0</v>
      </c>
    </row>
    <row r="1646" spans="2:15" ht="13.5" customHeight="1" x14ac:dyDescent="0.3">
      <c r="B1646" s="9">
        <f>[1]Discovery!A1652</f>
        <v>70412146</v>
      </c>
      <c r="C1646" s="9" t="str">
        <f>[1]Discovery!B1652</f>
        <v>칸디아</v>
      </c>
      <c r="D1646" s="9" t="str">
        <f>[1]Discovery!E1652</f>
        <v>건축</v>
      </c>
      <c r="E1646" s="9" t="str">
        <f>[1]Discovery!C1652</f>
        <v>항구</v>
      </c>
      <c r="F1646" s="9" t="str">
        <f>[1]Discovery!G1652</f>
        <v>D</v>
      </c>
      <c r="G1646" s="9" t="str">
        <f>IFERROR(VLOOKUP(표1[[#This Row],[명칭]],'문화권 정리'!C:D,2,FALSE),"-")</f>
        <v>항구</v>
      </c>
      <c r="H1646" s="38" t="str">
        <f>IFERROR(COUNTIF([2]OceanDoodad!$Y:$Y,표1[[#This Row],[명칭]]),"-")</f>
        <v>-</v>
      </c>
      <c r="I1646" s="38">
        <f>IFERROR(COUNTIF([1]AdventureDiscoveryGroup!$D$8:$AW$92,표1[[#This Row],[명칭]]),"-")</f>
        <v>0</v>
      </c>
      <c r="J1646" s="38">
        <f>IFERROR(COUNTIF([1]FishDiscoveryGroup!$A:$X,표1[[#This Row],[명칭]]),"-")</f>
        <v>0</v>
      </c>
      <c r="K1646" s="38" t="str">
        <f>IFERROR(COUNTIF([2]Town!$B:$B,표1[[#This Row],[명칭]]),"-")</f>
        <v>-</v>
      </c>
      <c r="L1646" s="38">
        <f>IFERROR(COUNTIF([1]Village!$BR:$BR,표1[[#This Row],[명칭]]),"-")</f>
        <v>0</v>
      </c>
      <c r="M1646" s="38">
        <f>COUNTIF(퀘스트!B:B,표1[[#This Row],[명칭]])</f>
        <v>0</v>
      </c>
      <c r="N1646" s="65">
        <f>COUNTIF([1]VillageDiscoveryGroup!$C:$C,표1[[#This Row],[명칭]])</f>
        <v>0</v>
      </c>
      <c r="O1646" s="65">
        <f>SUM(표1[[#This Row],[해양탐색]:[마을탐험]])</f>
        <v>0</v>
      </c>
    </row>
    <row r="1647" spans="2:15" ht="13.5" customHeight="1" x14ac:dyDescent="0.3">
      <c r="B1647" s="9">
        <f>[1]Discovery!A1653</f>
        <v>70412147</v>
      </c>
      <c r="C1647" s="9" t="str">
        <f>[1]Discovery!B1653</f>
        <v>칼레</v>
      </c>
      <c r="D1647" s="9" t="str">
        <f>[1]Discovery!E1653</f>
        <v>건축</v>
      </c>
      <c r="E1647" s="9" t="str">
        <f>[1]Discovery!C1653</f>
        <v>항구</v>
      </c>
      <c r="F1647" s="9" t="str">
        <f>[1]Discovery!G1653</f>
        <v>D</v>
      </c>
      <c r="G1647" s="9" t="str">
        <f>IFERROR(VLOOKUP(표1[[#This Row],[명칭]],'문화권 정리'!C:D,2,FALSE),"-")</f>
        <v>항구</v>
      </c>
      <c r="H1647" s="38" t="str">
        <f>IFERROR(COUNTIF([2]OceanDoodad!$Y:$Y,표1[[#This Row],[명칭]]),"-")</f>
        <v>-</v>
      </c>
      <c r="I1647" s="38">
        <f>IFERROR(COUNTIF([1]AdventureDiscoveryGroup!$D$8:$AW$92,표1[[#This Row],[명칭]]),"-")</f>
        <v>0</v>
      </c>
      <c r="J1647" s="38">
        <f>IFERROR(COUNTIF([1]FishDiscoveryGroup!$A:$X,표1[[#This Row],[명칭]]),"-")</f>
        <v>0</v>
      </c>
      <c r="K1647" s="38" t="str">
        <f>IFERROR(COUNTIF([2]Town!$B:$B,표1[[#This Row],[명칭]]),"-")</f>
        <v>-</v>
      </c>
      <c r="L1647" s="38">
        <f>IFERROR(COUNTIF([1]Village!$BR:$BR,표1[[#This Row],[명칭]]),"-")</f>
        <v>0</v>
      </c>
      <c r="M1647" s="38">
        <f>COUNTIF(퀘스트!B:B,표1[[#This Row],[명칭]])</f>
        <v>0</v>
      </c>
      <c r="N1647" s="65">
        <f>COUNTIF([1]VillageDiscoveryGroup!$C:$C,표1[[#This Row],[명칭]])</f>
        <v>0</v>
      </c>
      <c r="O1647" s="65">
        <f>SUM(표1[[#This Row],[해양탐색]:[마을탐험]])</f>
        <v>0</v>
      </c>
    </row>
    <row r="1648" spans="2:15" ht="13.5" customHeight="1" x14ac:dyDescent="0.3">
      <c r="B1648" s="9">
        <f>[1]Discovery!A1654</f>
        <v>70412148</v>
      </c>
      <c r="C1648" s="9" t="str">
        <f>[1]Discovery!B1654</f>
        <v>칼리아리</v>
      </c>
      <c r="D1648" s="9" t="str">
        <f>[1]Discovery!E1654</f>
        <v>건축</v>
      </c>
      <c r="E1648" s="9" t="str">
        <f>[1]Discovery!C1654</f>
        <v>항구</v>
      </c>
      <c r="F1648" s="9" t="str">
        <f>[1]Discovery!G1654</f>
        <v>D</v>
      </c>
      <c r="G1648" s="9" t="str">
        <f>IFERROR(VLOOKUP(표1[[#This Row],[명칭]],'문화권 정리'!C:D,2,FALSE),"-")</f>
        <v>항구</v>
      </c>
      <c r="H1648" s="38" t="str">
        <f>IFERROR(COUNTIF([2]OceanDoodad!$Y:$Y,표1[[#This Row],[명칭]]),"-")</f>
        <v>-</v>
      </c>
      <c r="I1648" s="38">
        <f>IFERROR(COUNTIF([1]AdventureDiscoveryGroup!$D$8:$AW$92,표1[[#This Row],[명칭]]),"-")</f>
        <v>0</v>
      </c>
      <c r="J1648" s="38">
        <f>IFERROR(COUNTIF([1]FishDiscoveryGroup!$A:$X,표1[[#This Row],[명칭]]),"-")</f>
        <v>0</v>
      </c>
      <c r="K1648" s="38" t="str">
        <f>IFERROR(COUNTIF([2]Town!$B:$B,표1[[#This Row],[명칭]]),"-")</f>
        <v>-</v>
      </c>
      <c r="L1648" s="38">
        <f>IFERROR(COUNTIF([1]Village!$BR:$BR,표1[[#This Row],[명칭]]),"-")</f>
        <v>0</v>
      </c>
      <c r="M1648" s="38">
        <f>COUNTIF(퀘스트!B:B,표1[[#This Row],[명칭]])</f>
        <v>0</v>
      </c>
      <c r="N1648" s="65">
        <f>COUNTIF([1]VillageDiscoveryGroup!$C:$C,표1[[#This Row],[명칭]])</f>
        <v>0</v>
      </c>
      <c r="O1648" s="65">
        <f>SUM(표1[[#This Row],[해양탐색]:[마을탐험]])</f>
        <v>0</v>
      </c>
    </row>
    <row r="1649" spans="2:15" ht="13.5" customHeight="1" x14ac:dyDescent="0.3">
      <c r="B1649" s="9">
        <f>[1]Discovery!A1655</f>
        <v>70412149</v>
      </c>
      <c r="C1649" s="9" t="str">
        <f>[1]Discovery!B1655</f>
        <v>칼비</v>
      </c>
      <c r="D1649" s="9" t="str">
        <f>[1]Discovery!E1655</f>
        <v>건축</v>
      </c>
      <c r="E1649" s="9" t="str">
        <f>[1]Discovery!C1655</f>
        <v>항구</v>
      </c>
      <c r="F1649" s="9" t="str">
        <f>[1]Discovery!G1655</f>
        <v>D</v>
      </c>
      <c r="G1649" s="9" t="str">
        <f>IFERROR(VLOOKUP(표1[[#This Row],[명칭]],'문화권 정리'!C:D,2,FALSE),"-")</f>
        <v>항구</v>
      </c>
      <c r="H1649" s="38" t="str">
        <f>IFERROR(COUNTIF([2]OceanDoodad!$Y:$Y,표1[[#This Row],[명칭]]),"-")</f>
        <v>-</v>
      </c>
      <c r="I1649" s="38">
        <f>IFERROR(COUNTIF([1]AdventureDiscoveryGroup!$D$8:$AW$92,표1[[#This Row],[명칭]]),"-")</f>
        <v>0</v>
      </c>
      <c r="J1649" s="38">
        <f>IFERROR(COUNTIF([1]FishDiscoveryGroup!$A:$X,표1[[#This Row],[명칭]]),"-")</f>
        <v>0</v>
      </c>
      <c r="K1649" s="38" t="str">
        <f>IFERROR(COUNTIF([2]Town!$B:$B,표1[[#This Row],[명칭]]),"-")</f>
        <v>-</v>
      </c>
      <c r="L1649" s="38">
        <f>IFERROR(COUNTIF([1]Village!$BR:$BR,표1[[#This Row],[명칭]]),"-")</f>
        <v>0</v>
      </c>
      <c r="M1649" s="38">
        <f>COUNTIF(퀘스트!B:B,표1[[#This Row],[명칭]])</f>
        <v>0</v>
      </c>
      <c r="N1649" s="65">
        <f>COUNTIF([1]VillageDiscoveryGroup!$C:$C,표1[[#This Row],[명칭]])</f>
        <v>0</v>
      </c>
      <c r="O1649" s="65">
        <f>SUM(표1[[#This Row],[해양탐색]:[마을탐험]])</f>
        <v>0</v>
      </c>
    </row>
    <row r="1650" spans="2:15" ht="13.5" customHeight="1" x14ac:dyDescent="0.3">
      <c r="B1650" s="9">
        <f>[1]Discovery!A1656</f>
        <v>70412150</v>
      </c>
      <c r="C1650" s="9" t="str">
        <f>[1]Discovery!B1656</f>
        <v>코지코드</v>
      </c>
      <c r="D1650" s="9" t="str">
        <f>[1]Discovery!E1656</f>
        <v>건축</v>
      </c>
      <c r="E1650" s="9" t="str">
        <f>[1]Discovery!C1656</f>
        <v>항구</v>
      </c>
      <c r="F1650" s="9" t="str">
        <f>[1]Discovery!G1656</f>
        <v>D</v>
      </c>
      <c r="G1650" s="9" t="str">
        <f>IFERROR(VLOOKUP(표1[[#This Row],[명칭]],'문화권 정리'!C:D,2,FALSE),"-")</f>
        <v>항구</v>
      </c>
      <c r="H1650" s="38" t="str">
        <f>IFERROR(COUNTIF([2]OceanDoodad!$Y:$Y,표1[[#This Row],[명칭]]),"-")</f>
        <v>-</v>
      </c>
      <c r="I1650" s="38">
        <f>IFERROR(COUNTIF([1]AdventureDiscoveryGroup!$D$8:$AW$92,표1[[#This Row],[명칭]]),"-")</f>
        <v>0</v>
      </c>
      <c r="J1650" s="38">
        <f>IFERROR(COUNTIF([1]FishDiscoveryGroup!$A:$X,표1[[#This Row],[명칭]]),"-")</f>
        <v>0</v>
      </c>
      <c r="K1650" s="38" t="str">
        <f>IFERROR(COUNTIF([2]Town!$B:$B,표1[[#This Row],[명칭]]),"-")</f>
        <v>-</v>
      </c>
      <c r="L1650" s="38">
        <f>IFERROR(COUNTIF([1]Village!$BR:$BR,표1[[#This Row],[명칭]]),"-")</f>
        <v>0</v>
      </c>
      <c r="M1650" s="38">
        <f>COUNTIF(퀘스트!B:B,표1[[#This Row],[명칭]])</f>
        <v>0</v>
      </c>
      <c r="N1650" s="65">
        <f>COUNTIF([1]VillageDiscoveryGroup!$C:$C,표1[[#This Row],[명칭]])</f>
        <v>0</v>
      </c>
      <c r="O1650" s="65">
        <f>SUM(표1[[#This Row],[해양탐색]:[마을탐험]])</f>
        <v>0</v>
      </c>
    </row>
    <row r="1651" spans="2:15" ht="13.5" customHeight="1" x14ac:dyDescent="0.3">
      <c r="B1651" s="9">
        <f>[1]Discovery!A1657</f>
        <v>70412151</v>
      </c>
      <c r="C1651" s="9" t="str">
        <f>[1]Discovery!B1657</f>
        <v>콜카타</v>
      </c>
      <c r="D1651" s="9" t="str">
        <f>[1]Discovery!E1657</f>
        <v>건축</v>
      </c>
      <c r="E1651" s="9" t="str">
        <f>[1]Discovery!C1657</f>
        <v>항구</v>
      </c>
      <c r="F1651" s="9" t="str">
        <f>[1]Discovery!G1657</f>
        <v>D</v>
      </c>
      <c r="G1651" s="9" t="str">
        <f>IFERROR(VLOOKUP(표1[[#This Row],[명칭]],'문화권 정리'!C:D,2,FALSE),"-")</f>
        <v>항구</v>
      </c>
      <c r="H1651" s="38" t="str">
        <f>IFERROR(COUNTIF([2]OceanDoodad!$Y:$Y,표1[[#This Row],[명칭]]),"-")</f>
        <v>-</v>
      </c>
      <c r="I1651" s="38">
        <f>IFERROR(COUNTIF([1]AdventureDiscoveryGroup!$D$8:$AW$92,표1[[#This Row],[명칭]]),"-")</f>
        <v>0</v>
      </c>
      <c r="J1651" s="38">
        <f>IFERROR(COUNTIF([1]FishDiscoveryGroup!$A:$X,표1[[#This Row],[명칭]]),"-")</f>
        <v>0</v>
      </c>
      <c r="K1651" s="38" t="str">
        <f>IFERROR(COUNTIF([2]Town!$B:$B,표1[[#This Row],[명칭]]),"-")</f>
        <v>-</v>
      </c>
      <c r="L1651" s="38">
        <f>IFERROR(COUNTIF([1]Village!$BR:$BR,표1[[#This Row],[명칭]]),"-")</f>
        <v>0</v>
      </c>
      <c r="M1651" s="38">
        <f>COUNTIF(퀘스트!B:B,표1[[#This Row],[명칭]])</f>
        <v>0</v>
      </c>
      <c r="N1651" s="65">
        <f>COUNTIF([1]VillageDiscoveryGroup!$C:$C,표1[[#This Row],[명칭]])</f>
        <v>0</v>
      </c>
      <c r="O1651" s="65">
        <f>SUM(표1[[#This Row],[해양탐색]:[마을탐험]])</f>
        <v>0</v>
      </c>
    </row>
    <row r="1652" spans="2:15" ht="13.5" customHeight="1" x14ac:dyDescent="0.3">
      <c r="B1652" s="9">
        <f>[1]Discovery!A1658</f>
        <v>70412152</v>
      </c>
      <c r="C1652" s="9" t="str">
        <f>[1]Discovery!B1658</f>
        <v>케르치</v>
      </c>
      <c r="D1652" s="9" t="str">
        <f>[1]Discovery!E1658</f>
        <v>건축</v>
      </c>
      <c r="E1652" s="9" t="str">
        <f>[1]Discovery!C1658</f>
        <v>항구</v>
      </c>
      <c r="F1652" s="9" t="str">
        <f>[1]Discovery!G1658</f>
        <v>D</v>
      </c>
      <c r="G1652" s="9" t="str">
        <f>IFERROR(VLOOKUP(표1[[#This Row],[명칭]],'문화권 정리'!C:D,2,FALSE),"-")</f>
        <v>항구</v>
      </c>
      <c r="H1652" s="38" t="str">
        <f>IFERROR(COUNTIF([2]OceanDoodad!$Y:$Y,표1[[#This Row],[명칭]]),"-")</f>
        <v>-</v>
      </c>
      <c r="I1652" s="38">
        <f>IFERROR(COUNTIF([1]AdventureDiscoveryGroup!$D$8:$AW$92,표1[[#This Row],[명칭]]),"-")</f>
        <v>0</v>
      </c>
      <c r="J1652" s="38">
        <f>IFERROR(COUNTIF([1]FishDiscoveryGroup!$A:$X,표1[[#This Row],[명칭]]),"-")</f>
        <v>0</v>
      </c>
      <c r="K1652" s="38" t="str">
        <f>IFERROR(COUNTIF([2]Town!$B:$B,표1[[#This Row],[명칭]]),"-")</f>
        <v>-</v>
      </c>
      <c r="L1652" s="38">
        <f>IFERROR(COUNTIF([1]Village!$BR:$BR,표1[[#This Row],[명칭]]),"-")</f>
        <v>0</v>
      </c>
      <c r="M1652" s="38">
        <f>COUNTIF(퀘스트!B:B,표1[[#This Row],[명칭]])</f>
        <v>0</v>
      </c>
      <c r="N1652" s="65">
        <f>COUNTIF([1]VillageDiscoveryGroup!$C:$C,표1[[#This Row],[명칭]])</f>
        <v>0</v>
      </c>
      <c r="O1652" s="65">
        <f>SUM(표1[[#This Row],[해양탐색]:[마을탐험]])</f>
        <v>0</v>
      </c>
    </row>
    <row r="1653" spans="2:15" ht="13.5" customHeight="1" x14ac:dyDescent="0.3">
      <c r="B1653" s="9">
        <f>[1]Discovery!A1659</f>
        <v>70412153</v>
      </c>
      <c r="C1653" s="9" t="str">
        <f>[1]Discovery!B1659</f>
        <v>칼리마니</v>
      </c>
      <c r="D1653" s="9" t="str">
        <f>[1]Discovery!E1659</f>
        <v>건축</v>
      </c>
      <c r="E1653" s="9" t="str">
        <f>[1]Discovery!C1659</f>
        <v>항구</v>
      </c>
      <c r="F1653" s="9" t="str">
        <f>[1]Discovery!G1659</f>
        <v>D</v>
      </c>
      <c r="G1653" s="9" t="str">
        <f>IFERROR(VLOOKUP(표1[[#This Row],[명칭]],'문화권 정리'!C:D,2,FALSE),"-")</f>
        <v>항구</v>
      </c>
      <c r="H1653" s="38" t="str">
        <f>IFERROR(COUNTIF([2]OceanDoodad!$Y:$Y,표1[[#This Row],[명칭]]),"-")</f>
        <v>-</v>
      </c>
      <c r="I1653" s="38">
        <f>IFERROR(COUNTIF([1]AdventureDiscoveryGroup!$D$8:$AW$92,표1[[#This Row],[명칭]]),"-")</f>
        <v>0</v>
      </c>
      <c r="J1653" s="38">
        <f>IFERROR(COUNTIF([1]FishDiscoveryGroup!$A:$X,표1[[#This Row],[명칭]]),"-")</f>
        <v>0</v>
      </c>
      <c r="K1653" s="38" t="str">
        <f>IFERROR(COUNTIF([2]Town!$B:$B,표1[[#This Row],[명칭]]),"-")</f>
        <v>-</v>
      </c>
      <c r="L1653" s="38">
        <f>IFERROR(COUNTIF([1]Village!$BR:$BR,표1[[#This Row],[명칭]]),"-")</f>
        <v>0</v>
      </c>
      <c r="M1653" s="38">
        <f>COUNTIF(퀘스트!B:B,표1[[#This Row],[명칭]])</f>
        <v>0</v>
      </c>
      <c r="N1653" s="65">
        <f>COUNTIF([1]VillageDiscoveryGroup!$C:$C,표1[[#This Row],[명칭]])</f>
        <v>0</v>
      </c>
      <c r="O1653" s="65">
        <f>SUM(표1[[#This Row],[해양탐색]:[마을탐험]])</f>
        <v>0</v>
      </c>
    </row>
    <row r="1654" spans="2:15" ht="13.5" customHeight="1" x14ac:dyDescent="0.3">
      <c r="B1654" s="9">
        <f>[1]Discovery!A1660</f>
        <v>70412154</v>
      </c>
      <c r="C1654" s="9" t="str">
        <f>[1]Discovery!B1660</f>
        <v>고치</v>
      </c>
      <c r="D1654" s="9" t="str">
        <f>[1]Discovery!E1660</f>
        <v>건축</v>
      </c>
      <c r="E1654" s="9" t="str">
        <f>[1]Discovery!C1660</f>
        <v>항구</v>
      </c>
      <c r="F1654" s="9" t="str">
        <f>[1]Discovery!G1660</f>
        <v>D</v>
      </c>
      <c r="G1654" s="9" t="str">
        <f>IFERROR(VLOOKUP(표1[[#This Row],[명칭]],'문화권 정리'!C:D,2,FALSE),"-")</f>
        <v>항구</v>
      </c>
      <c r="H1654" s="38" t="str">
        <f>IFERROR(COUNTIF([2]OceanDoodad!$Y:$Y,표1[[#This Row],[명칭]]),"-")</f>
        <v>-</v>
      </c>
      <c r="I1654" s="38">
        <f>IFERROR(COUNTIF([1]AdventureDiscoveryGroup!$D$8:$AW$92,표1[[#This Row],[명칭]]),"-")</f>
        <v>0</v>
      </c>
      <c r="J1654" s="38">
        <f>IFERROR(COUNTIF([1]FishDiscoveryGroup!$A:$X,표1[[#This Row],[명칭]]),"-")</f>
        <v>0</v>
      </c>
      <c r="K1654" s="38" t="str">
        <f>IFERROR(COUNTIF([2]Town!$B:$B,표1[[#This Row],[명칭]]),"-")</f>
        <v>-</v>
      </c>
      <c r="L1654" s="38">
        <f>IFERROR(COUNTIF([1]Village!$BR:$BR,표1[[#This Row],[명칭]]),"-")</f>
        <v>0</v>
      </c>
      <c r="M1654" s="38">
        <f>COUNTIF(퀘스트!B:B,표1[[#This Row],[명칭]])</f>
        <v>0</v>
      </c>
      <c r="N1654" s="65">
        <f>COUNTIF([1]VillageDiscoveryGroup!$C:$C,표1[[#This Row],[명칭]])</f>
        <v>0</v>
      </c>
      <c r="O1654" s="65">
        <f>SUM(표1[[#This Row],[해양탐색]:[마을탐험]])</f>
        <v>0</v>
      </c>
    </row>
    <row r="1655" spans="2:15" ht="13.5" customHeight="1" x14ac:dyDescent="0.3">
      <c r="B1655" s="9">
        <f>[1]Discovery!A1661</f>
        <v>70412155</v>
      </c>
      <c r="C1655" s="9" t="str">
        <f>[1]Discovery!B1661</f>
        <v>코콜라</v>
      </c>
      <c r="D1655" s="9" t="str">
        <f>[1]Discovery!E1661</f>
        <v>건축</v>
      </c>
      <c r="E1655" s="9" t="str">
        <f>[1]Discovery!C1661</f>
        <v>항구</v>
      </c>
      <c r="F1655" s="9" t="str">
        <f>[1]Discovery!G1661</f>
        <v>D</v>
      </c>
      <c r="G1655" s="9" t="str">
        <f>IFERROR(VLOOKUP(표1[[#This Row],[명칭]],'문화권 정리'!C:D,2,FALSE),"-")</f>
        <v>항구</v>
      </c>
      <c r="H1655" s="38" t="str">
        <f>IFERROR(COUNTIF([2]OceanDoodad!$Y:$Y,표1[[#This Row],[명칭]]),"-")</f>
        <v>-</v>
      </c>
      <c r="I1655" s="38">
        <f>IFERROR(COUNTIF([1]AdventureDiscoveryGroup!$D$8:$AW$92,표1[[#This Row],[명칭]]),"-")</f>
        <v>0</v>
      </c>
      <c r="J1655" s="38">
        <f>IFERROR(COUNTIF([1]FishDiscoveryGroup!$A:$X,표1[[#This Row],[명칭]]),"-")</f>
        <v>0</v>
      </c>
      <c r="K1655" s="38" t="str">
        <f>IFERROR(COUNTIF([2]Town!$B:$B,표1[[#This Row],[명칭]]),"-")</f>
        <v>-</v>
      </c>
      <c r="L1655" s="38">
        <f>IFERROR(COUNTIF([1]Village!$BR:$BR,표1[[#This Row],[명칭]]),"-")</f>
        <v>0</v>
      </c>
      <c r="M1655" s="38">
        <f>COUNTIF(퀘스트!B:B,표1[[#This Row],[명칭]])</f>
        <v>0</v>
      </c>
      <c r="N1655" s="65">
        <f>COUNTIF([1]VillageDiscoveryGroup!$C:$C,표1[[#This Row],[명칭]])</f>
        <v>0</v>
      </c>
      <c r="O1655" s="65">
        <f>SUM(표1[[#This Row],[해양탐색]:[마을탐험]])</f>
        <v>0</v>
      </c>
    </row>
    <row r="1656" spans="2:15" ht="13.5" customHeight="1" x14ac:dyDescent="0.3">
      <c r="B1656" s="9">
        <f>[1]Discovery!A1662</f>
        <v>70412156</v>
      </c>
      <c r="C1656" s="9" t="str">
        <f>[1]Discovery!B1662</f>
        <v>쾨벤하운</v>
      </c>
      <c r="D1656" s="9" t="str">
        <f>[1]Discovery!E1662</f>
        <v>건축</v>
      </c>
      <c r="E1656" s="9" t="str">
        <f>[1]Discovery!C1662</f>
        <v>항구</v>
      </c>
      <c r="F1656" s="9" t="str">
        <f>[1]Discovery!G1662</f>
        <v>D</v>
      </c>
      <c r="G1656" s="9" t="str">
        <f>IFERROR(VLOOKUP(표1[[#This Row],[명칭]],'문화권 정리'!C:D,2,FALSE),"-")</f>
        <v>항구</v>
      </c>
      <c r="H1656" s="38" t="str">
        <f>IFERROR(COUNTIF([2]OceanDoodad!$Y:$Y,표1[[#This Row],[명칭]]),"-")</f>
        <v>-</v>
      </c>
      <c r="I1656" s="38">
        <f>IFERROR(COUNTIF([1]AdventureDiscoveryGroup!$D$8:$AW$92,표1[[#This Row],[명칭]]),"-")</f>
        <v>0</v>
      </c>
      <c r="J1656" s="38">
        <f>IFERROR(COUNTIF([1]FishDiscoveryGroup!$A:$X,표1[[#This Row],[명칭]]),"-")</f>
        <v>0</v>
      </c>
      <c r="K1656" s="38" t="str">
        <f>IFERROR(COUNTIF([2]Town!$B:$B,표1[[#This Row],[명칭]]),"-")</f>
        <v>-</v>
      </c>
      <c r="L1656" s="38">
        <f>IFERROR(COUNTIF([1]Village!$BR:$BR,표1[[#This Row],[명칭]]),"-")</f>
        <v>0</v>
      </c>
      <c r="M1656" s="38">
        <f>COUNTIF(퀘스트!B:B,표1[[#This Row],[명칭]])</f>
        <v>0</v>
      </c>
      <c r="N1656" s="65">
        <f>COUNTIF([1]VillageDiscoveryGroup!$C:$C,표1[[#This Row],[명칭]])</f>
        <v>0</v>
      </c>
      <c r="O1656" s="65">
        <f>SUM(표1[[#This Row],[해양탐색]:[마을탐험]])</f>
        <v>0</v>
      </c>
    </row>
    <row r="1657" spans="2:15" ht="13.5" customHeight="1" x14ac:dyDescent="0.3">
      <c r="B1657" s="9">
        <f>[1]Discovery!A1663</f>
        <v>70412157</v>
      </c>
      <c r="C1657" s="9" t="str">
        <f>[1]Discovery!B1663</f>
        <v>코피아포</v>
      </c>
      <c r="D1657" s="9" t="str">
        <f>[1]Discovery!E1663</f>
        <v>건축</v>
      </c>
      <c r="E1657" s="9" t="str">
        <f>[1]Discovery!C1663</f>
        <v>항구</v>
      </c>
      <c r="F1657" s="9" t="str">
        <f>[1]Discovery!G1663</f>
        <v>D</v>
      </c>
      <c r="G1657" s="9" t="str">
        <f>IFERROR(VLOOKUP(표1[[#This Row],[명칭]],'문화권 정리'!C:D,2,FALSE),"-")</f>
        <v>항구</v>
      </c>
      <c r="H1657" s="38" t="str">
        <f>IFERROR(COUNTIF([2]OceanDoodad!$Y:$Y,표1[[#This Row],[명칭]]),"-")</f>
        <v>-</v>
      </c>
      <c r="I1657" s="38">
        <f>IFERROR(COUNTIF([1]AdventureDiscoveryGroup!$D$8:$AW$92,표1[[#This Row],[명칭]]),"-")</f>
        <v>0</v>
      </c>
      <c r="J1657" s="38">
        <f>IFERROR(COUNTIF([1]FishDiscoveryGroup!$A:$X,표1[[#This Row],[명칭]]),"-")</f>
        <v>0</v>
      </c>
      <c r="K1657" s="38" t="str">
        <f>IFERROR(COUNTIF([2]Town!$B:$B,표1[[#This Row],[명칭]]),"-")</f>
        <v>-</v>
      </c>
      <c r="L1657" s="38">
        <f>IFERROR(COUNTIF([1]Village!$BR:$BR,표1[[#This Row],[명칭]]),"-")</f>
        <v>0</v>
      </c>
      <c r="M1657" s="38">
        <f>COUNTIF(퀘스트!B:B,표1[[#This Row],[명칭]])</f>
        <v>0</v>
      </c>
      <c r="N1657" s="65">
        <f>COUNTIF([1]VillageDiscoveryGroup!$C:$C,표1[[#This Row],[명칭]])</f>
        <v>0</v>
      </c>
      <c r="O1657" s="65">
        <f>SUM(표1[[#This Row],[해양탐색]:[마을탐험]])</f>
        <v>0</v>
      </c>
    </row>
    <row r="1658" spans="2:15" ht="13.5" customHeight="1" x14ac:dyDescent="0.3">
      <c r="B1658" s="9">
        <f>[1]Discovery!A1664</f>
        <v>70412158</v>
      </c>
      <c r="C1658" s="9" t="str">
        <f>[1]Discovery!B1664</f>
        <v>가리</v>
      </c>
      <c r="D1658" s="9" t="str">
        <f>[1]Discovery!E1664</f>
        <v>건축</v>
      </c>
      <c r="E1658" s="9" t="str">
        <f>[1]Discovery!C1664</f>
        <v>항구</v>
      </c>
      <c r="F1658" s="9" t="str">
        <f>[1]Discovery!G1664</f>
        <v>D</v>
      </c>
      <c r="G1658" s="9" t="str">
        <f>IFERROR(VLOOKUP(표1[[#This Row],[명칭]],'문화권 정리'!C:D,2,FALSE),"-")</f>
        <v>항구</v>
      </c>
      <c r="H1658" s="38" t="str">
        <f>IFERROR(COUNTIF([2]OceanDoodad!$Y:$Y,표1[[#This Row],[명칭]]),"-")</f>
        <v>-</v>
      </c>
      <c r="I1658" s="38">
        <f>IFERROR(COUNTIF([1]AdventureDiscoveryGroup!$D$8:$AW$92,표1[[#This Row],[명칭]]),"-")</f>
        <v>0</v>
      </c>
      <c r="J1658" s="38">
        <f>IFERROR(COUNTIF([1]FishDiscoveryGroup!$A:$X,표1[[#This Row],[명칭]]),"-")</f>
        <v>0</v>
      </c>
      <c r="K1658" s="38" t="str">
        <f>IFERROR(COUNTIF([2]Town!$B:$B,표1[[#This Row],[명칭]]),"-")</f>
        <v>-</v>
      </c>
      <c r="L1658" s="38">
        <f>IFERROR(COUNTIF([1]Village!$BR:$BR,표1[[#This Row],[명칭]]),"-")</f>
        <v>0</v>
      </c>
      <c r="M1658" s="38">
        <f>COUNTIF(퀘스트!B:B,표1[[#This Row],[명칭]])</f>
        <v>0</v>
      </c>
      <c r="N1658" s="65">
        <f>COUNTIF([1]VillageDiscoveryGroup!$C:$C,표1[[#This Row],[명칭]])</f>
        <v>0</v>
      </c>
      <c r="O1658" s="65">
        <f>SUM(표1[[#This Row],[해양탐색]:[마을탐험]])</f>
        <v>0</v>
      </c>
    </row>
    <row r="1659" spans="2:15" ht="13.5" customHeight="1" x14ac:dyDescent="0.3">
      <c r="B1659" s="9">
        <f>[1]Discovery!A1665</f>
        <v>70412159</v>
      </c>
      <c r="C1659" s="9" t="str">
        <f>[1]Discovery!B1665</f>
        <v>쿠칭</v>
      </c>
      <c r="D1659" s="9" t="str">
        <f>[1]Discovery!E1665</f>
        <v>건축</v>
      </c>
      <c r="E1659" s="9" t="str">
        <f>[1]Discovery!C1665</f>
        <v>항구</v>
      </c>
      <c r="F1659" s="9" t="str">
        <f>[1]Discovery!G1665</f>
        <v>D</v>
      </c>
      <c r="G1659" s="9" t="str">
        <f>IFERROR(VLOOKUP(표1[[#This Row],[명칭]],'문화권 정리'!C:D,2,FALSE),"-")</f>
        <v>항구</v>
      </c>
      <c r="H1659" s="38" t="str">
        <f>IFERROR(COUNTIF([2]OceanDoodad!$Y:$Y,표1[[#This Row],[명칭]]),"-")</f>
        <v>-</v>
      </c>
      <c r="I1659" s="38">
        <f>IFERROR(COUNTIF([1]AdventureDiscoveryGroup!$D$8:$AW$92,표1[[#This Row],[명칭]]),"-")</f>
        <v>0</v>
      </c>
      <c r="J1659" s="38">
        <f>IFERROR(COUNTIF([1]FishDiscoveryGroup!$A:$X,표1[[#This Row],[명칭]]),"-")</f>
        <v>0</v>
      </c>
      <c r="K1659" s="38" t="str">
        <f>IFERROR(COUNTIF([2]Town!$B:$B,표1[[#This Row],[명칭]]),"-")</f>
        <v>-</v>
      </c>
      <c r="L1659" s="38">
        <f>IFERROR(COUNTIF([1]Village!$BR:$BR,표1[[#This Row],[명칭]]),"-")</f>
        <v>0</v>
      </c>
      <c r="M1659" s="38">
        <f>COUNTIF(퀘스트!B:B,표1[[#This Row],[명칭]])</f>
        <v>0</v>
      </c>
      <c r="N1659" s="65">
        <f>COUNTIF([1]VillageDiscoveryGroup!$C:$C,표1[[#This Row],[명칭]])</f>
        <v>0</v>
      </c>
      <c r="O1659" s="65">
        <f>SUM(표1[[#This Row],[해양탐색]:[마을탐험]])</f>
        <v>0</v>
      </c>
    </row>
    <row r="1660" spans="2:15" ht="13.5" customHeight="1" x14ac:dyDescent="0.3">
      <c r="B1660" s="9">
        <f>[1]Discovery!A1666</f>
        <v>70412160</v>
      </c>
      <c r="C1660" s="9" t="str">
        <f>[1]Discovery!B1666</f>
        <v>바르나</v>
      </c>
      <c r="D1660" s="9" t="str">
        <f>[1]Discovery!E1666</f>
        <v>건축</v>
      </c>
      <c r="E1660" s="9" t="str">
        <f>[1]Discovery!C1666</f>
        <v>항구</v>
      </c>
      <c r="F1660" s="9" t="str">
        <f>[1]Discovery!G1666</f>
        <v>D</v>
      </c>
      <c r="G1660" s="9" t="str">
        <f>IFERROR(VLOOKUP(표1[[#This Row],[명칭]],'문화권 정리'!C:D,2,FALSE),"-")</f>
        <v>항구</v>
      </c>
      <c r="H1660" s="38" t="str">
        <f>IFERROR(COUNTIF([2]OceanDoodad!$Y:$Y,표1[[#This Row],[명칭]]),"-")</f>
        <v>-</v>
      </c>
      <c r="I1660" s="38">
        <f>IFERROR(COUNTIF([1]AdventureDiscoveryGroup!$D$8:$AW$92,표1[[#This Row],[명칭]]),"-")</f>
        <v>0</v>
      </c>
      <c r="J1660" s="38">
        <f>IFERROR(COUNTIF([1]FishDiscoveryGroup!$A:$X,표1[[#This Row],[명칭]]),"-")</f>
        <v>0</v>
      </c>
      <c r="K1660" s="38" t="str">
        <f>IFERROR(COUNTIF([2]Town!$B:$B,표1[[#This Row],[명칭]]),"-")</f>
        <v>-</v>
      </c>
      <c r="L1660" s="38">
        <f>IFERROR(COUNTIF([1]Village!$BR:$BR,표1[[#This Row],[명칭]]),"-")</f>
        <v>0</v>
      </c>
      <c r="M1660" s="38">
        <f>COUNTIF(퀘스트!B:B,표1[[#This Row],[명칭]])</f>
        <v>0</v>
      </c>
      <c r="N1660" s="65">
        <f>COUNTIF([1]VillageDiscoveryGroup!$C:$C,표1[[#This Row],[명칭]])</f>
        <v>0</v>
      </c>
      <c r="O1660" s="65">
        <f>SUM(표1[[#This Row],[해양탐색]:[마을탐험]])</f>
        <v>0</v>
      </c>
    </row>
    <row r="1661" spans="2:15" ht="13.5" customHeight="1" x14ac:dyDescent="0.3">
      <c r="B1661" s="9">
        <f>[1]Discovery!A1667</f>
        <v>70412161</v>
      </c>
      <c r="C1661" s="9" t="str">
        <f>[1]Discovery!B1667</f>
        <v>킬와</v>
      </c>
      <c r="D1661" s="9" t="str">
        <f>[1]Discovery!E1667</f>
        <v>건축</v>
      </c>
      <c r="E1661" s="9" t="str">
        <f>[1]Discovery!C1667</f>
        <v>항구</v>
      </c>
      <c r="F1661" s="9" t="str">
        <f>[1]Discovery!G1667</f>
        <v>D</v>
      </c>
      <c r="G1661" s="9" t="str">
        <f>IFERROR(VLOOKUP(표1[[#This Row],[명칭]],'문화권 정리'!C:D,2,FALSE),"-")</f>
        <v>항구</v>
      </c>
      <c r="H1661" s="38" t="str">
        <f>IFERROR(COUNTIF([2]OceanDoodad!$Y:$Y,표1[[#This Row],[명칭]]),"-")</f>
        <v>-</v>
      </c>
      <c r="I1661" s="38">
        <f>IFERROR(COUNTIF([1]AdventureDiscoveryGroup!$D$8:$AW$92,표1[[#This Row],[명칭]]),"-")</f>
        <v>0</v>
      </c>
      <c r="J1661" s="38">
        <f>IFERROR(COUNTIF([1]FishDiscoveryGroup!$A:$X,표1[[#This Row],[명칭]]),"-")</f>
        <v>0</v>
      </c>
      <c r="K1661" s="38" t="str">
        <f>IFERROR(COUNTIF([2]Town!$B:$B,표1[[#This Row],[명칭]]),"-")</f>
        <v>-</v>
      </c>
      <c r="L1661" s="38">
        <f>IFERROR(COUNTIF([1]Village!$BR:$BR,표1[[#This Row],[명칭]]),"-")</f>
        <v>0</v>
      </c>
      <c r="M1661" s="38">
        <f>COUNTIF(퀘스트!B:B,표1[[#This Row],[명칭]])</f>
        <v>0</v>
      </c>
      <c r="N1661" s="65">
        <f>COUNTIF([1]VillageDiscoveryGroup!$C:$C,표1[[#This Row],[명칭]])</f>
        <v>0</v>
      </c>
      <c r="O1661" s="65">
        <f>SUM(표1[[#This Row],[해양탐색]:[마을탐험]])</f>
        <v>0</v>
      </c>
    </row>
    <row r="1662" spans="2:15" ht="13.5" customHeight="1" x14ac:dyDescent="0.3">
      <c r="B1662" s="9">
        <f>[1]Discovery!A1668</f>
        <v>70412162</v>
      </c>
      <c r="C1662" s="9" t="str">
        <f>[1]Discovery!B1668</f>
        <v>포트로열</v>
      </c>
      <c r="D1662" s="9" t="str">
        <f>[1]Discovery!E1668</f>
        <v>건축</v>
      </c>
      <c r="E1662" s="9" t="str">
        <f>[1]Discovery!C1668</f>
        <v>항구</v>
      </c>
      <c r="F1662" s="9" t="str">
        <f>[1]Discovery!G1668</f>
        <v>D</v>
      </c>
      <c r="G1662" s="9" t="str">
        <f>IFERROR(VLOOKUP(표1[[#This Row],[명칭]],'문화권 정리'!C:D,2,FALSE),"-")</f>
        <v>항구</v>
      </c>
      <c r="H1662" s="38" t="str">
        <f>IFERROR(COUNTIF([2]OceanDoodad!$Y:$Y,표1[[#This Row],[명칭]]),"-")</f>
        <v>-</v>
      </c>
      <c r="I1662" s="38">
        <f>IFERROR(COUNTIF([1]AdventureDiscoveryGroup!$D$8:$AW$92,표1[[#This Row],[명칭]]),"-")</f>
        <v>0</v>
      </c>
      <c r="J1662" s="38">
        <f>IFERROR(COUNTIF([1]FishDiscoveryGroup!$A:$X,표1[[#This Row],[명칭]]),"-")</f>
        <v>0</v>
      </c>
      <c r="K1662" s="38" t="str">
        <f>IFERROR(COUNTIF([2]Town!$B:$B,표1[[#This Row],[명칭]]),"-")</f>
        <v>-</v>
      </c>
      <c r="L1662" s="38">
        <f>IFERROR(COUNTIF([1]Village!$BR:$BR,표1[[#This Row],[명칭]]),"-")</f>
        <v>0</v>
      </c>
      <c r="M1662" s="38">
        <f>COUNTIF(퀘스트!B:B,표1[[#This Row],[명칭]])</f>
        <v>0</v>
      </c>
      <c r="N1662" s="65">
        <f>COUNTIF([1]VillageDiscoveryGroup!$C:$C,표1[[#This Row],[명칭]])</f>
        <v>0</v>
      </c>
      <c r="O1662" s="65">
        <f>SUM(표1[[#This Row],[해양탐색]:[마을탐험]])</f>
        <v>0</v>
      </c>
    </row>
    <row r="1663" spans="2:15" ht="13.5" customHeight="1" x14ac:dyDescent="0.3">
      <c r="B1663" s="9">
        <f>[1]Discovery!A1669</f>
        <v>70412163</v>
      </c>
      <c r="C1663" s="9" t="str">
        <f>[1]Discovery!B1669</f>
        <v>타간로크</v>
      </c>
      <c r="D1663" s="9" t="str">
        <f>[1]Discovery!E1669</f>
        <v>건축</v>
      </c>
      <c r="E1663" s="9" t="str">
        <f>[1]Discovery!C1669</f>
        <v>항구</v>
      </c>
      <c r="F1663" s="9" t="str">
        <f>[1]Discovery!G1669</f>
        <v>D</v>
      </c>
      <c r="G1663" s="9" t="str">
        <f>IFERROR(VLOOKUP(표1[[#This Row],[명칭]],'문화권 정리'!C:D,2,FALSE),"-")</f>
        <v>항구</v>
      </c>
      <c r="H1663" s="38" t="str">
        <f>IFERROR(COUNTIF([2]OceanDoodad!$Y:$Y,표1[[#This Row],[명칭]]),"-")</f>
        <v>-</v>
      </c>
      <c r="I1663" s="38">
        <f>IFERROR(COUNTIF([1]AdventureDiscoveryGroup!$D$8:$AW$92,표1[[#This Row],[명칭]]),"-")</f>
        <v>0</v>
      </c>
      <c r="J1663" s="38">
        <f>IFERROR(COUNTIF([1]FishDiscoveryGroup!$A:$X,표1[[#This Row],[명칭]]),"-")</f>
        <v>0</v>
      </c>
      <c r="K1663" s="38" t="str">
        <f>IFERROR(COUNTIF([2]Town!$B:$B,표1[[#This Row],[명칭]]),"-")</f>
        <v>-</v>
      </c>
      <c r="L1663" s="38">
        <f>IFERROR(COUNTIF([1]Village!$BR:$BR,표1[[#This Row],[명칭]]),"-")</f>
        <v>0</v>
      </c>
      <c r="M1663" s="38">
        <f>COUNTIF(퀘스트!B:B,표1[[#This Row],[명칭]])</f>
        <v>0</v>
      </c>
      <c r="N1663" s="65">
        <f>COUNTIF([1]VillageDiscoveryGroup!$C:$C,표1[[#This Row],[명칭]])</f>
        <v>0</v>
      </c>
      <c r="O1663" s="65">
        <f>SUM(표1[[#This Row],[해양탐색]:[마을탐험]])</f>
        <v>0</v>
      </c>
    </row>
    <row r="1664" spans="2:15" ht="13.5" customHeight="1" x14ac:dyDescent="0.3">
      <c r="B1664" s="9">
        <f>[1]Discovery!A1670</f>
        <v>70412164</v>
      </c>
      <c r="C1664" s="9" t="str">
        <f>[1]Discovery!B1670</f>
        <v>토아마시나</v>
      </c>
      <c r="D1664" s="9" t="str">
        <f>[1]Discovery!E1670</f>
        <v>건축</v>
      </c>
      <c r="E1664" s="9" t="str">
        <f>[1]Discovery!C1670</f>
        <v>항구</v>
      </c>
      <c r="F1664" s="9" t="str">
        <f>[1]Discovery!G1670</f>
        <v>D</v>
      </c>
      <c r="G1664" s="9" t="str">
        <f>IFERROR(VLOOKUP(표1[[#This Row],[명칭]],'문화권 정리'!C:D,2,FALSE),"-")</f>
        <v>항구</v>
      </c>
      <c r="H1664" s="38" t="str">
        <f>IFERROR(COUNTIF([2]OceanDoodad!$Y:$Y,표1[[#This Row],[명칭]]),"-")</f>
        <v>-</v>
      </c>
      <c r="I1664" s="38">
        <f>IFERROR(COUNTIF([1]AdventureDiscoveryGroup!$D$8:$AW$92,표1[[#This Row],[명칭]]),"-")</f>
        <v>0</v>
      </c>
      <c r="J1664" s="38">
        <f>IFERROR(COUNTIF([1]FishDiscoveryGroup!$A:$X,표1[[#This Row],[명칭]]),"-")</f>
        <v>0</v>
      </c>
      <c r="K1664" s="38" t="str">
        <f>IFERROR(COUNTIF([2]Town!$B:$B,표1[[#This Row],[명칭]]),"-")</f>
        <v>-</v>
      </c>
      <c r="L1664" s="38">
        <f>IFERROR(COUNTIF([1]Village!$BR:$BR,표1[[#This Row],[명칭]]),"-")</f>
        <v>0</v>
      </c>
      <c r="M1664" s="38">
        <f>COUNTIF(퀘스트!B:B,표1[[#This Row],[명칭]])</f>
        <v>0</v>
      </c>
      <c r="N1664" s="65">
        <f>COUNTIF([1]VillageDiscoveryGroup!$C:$C,표1[[#This Row],[명칭]])</f>
        <v>0</v>
      </c>
      <c r="O1664" s="65">
        <f>SUM(표1[[#This Row],[해양탐색]:[마을탐험]])</f>
        <v>0</v>
      </c>
    </row>
    <row r="1665" spans="2:15" ht="13.5" customHeight="1" x14ac:dyDescent="0.3">
      <c r="B1665" s="9">
        <f>[1]Discovery!A1671</f>
        <v>70412165</v>
      </c>
      <c r="C1665" s="9" t="str">
        <f>[1]Discovery!B1671</f>
        <v>타이난</v>
      </c>
      <c r="D1665" s="9" t="str">
        <f>[1]Discovery!E1671</f>
        <v>건축</v>
      </c>
      <c r="E1665" s="9" t="str">
        <f>[1]Discovery!C1671</f>
        <v>항구</v>
      </c>
      <c r="F1665" s="9" t="str">
        <f>[1]Discovery!G1671</f>
        <v>D</v>
      </c>
      <c r="G1665" s="9" t="str">
        <f>IFERROR(VLOOKUP(표1[[#This Row],[명칭]],'문화권 정리'!C:D,2,FALSE),"-")</f>
        <v>항구</v>
      </c>
      <c r="H1665" s="38" t="str">
        <f>IFERROR(COUNTIF([2]OceanDoodad!$Y:$Y,표1[[#This Row],[명칭]]),"-")</f>
        <v>-</v>
      </c>
      <c r="I1665" s="38">
        <f>IFERROR(COUNTIF([1]AdventureDiscoveryGroup!$D$8:$AW$92,표1[[#This Row],[명칭]]),"-")</f>
        <v>0</v>
      </c>
      <c r="J1665" s="38">
        <f>IFERROR(COUNTIF([1]FishDiscoveryGroup!$A:$X,표1[[#This Row],[명칭]]),"-")</f>
        <v>0</v>
      </c>
      <c r="K1665" s="38" t="str">
        <f>IFERROR(COUNTIF([2]Town!$B:$B,표1[[#This Row],[명칭]]),"-")</f>
        <v>-</v>
      </c>
      <c r="L1665" s="38">
        <f>IFERROR(COUNTIF([1]Village!$BR:$BR,표1[[#This Row],[명칭]]),"-")</f>
        <v>0</v>
      </c>
      <c r="M1665" s="38">
        <f>COUNTIF(퀘스트!B:B,표1[[#This Row],[명칭]])</f>
        <v>0</v>
      </c>
      <c r="N1665" s="65">
        <f>COUNTIF([1]VillageDiscoveryGroup!$C:$C,표1[[#This Row],[명칭]])</f>
        <v>0</v>
      </c>
      <c r="O1665" s="65">
        <f>SUM(표1[[#This Row],[해양탐색]:[마을탐험]])</f>
        <v>0</v>
      </c>
    </row>
    <row r="1666" spans="2:15" ht="13.5" customHeight="1" x14ac:dyDescent="0.3">
      <c r="B1666" s="9">
        <f>[1]Discovery!A1672</f>
        <v>70412166</v>
      </c>
      <c r="C1666" s="9" t="str">
        <f>[1]Discovery!B1672</f>
        <v>테르나테</v>
      </c>
      <c r="D1666" s="9" t="str">
        <f>[1]Discovery!E1672</f>
        <v>건축</v>
      </c>
      <c r="E1666" s="9" t="str">
        <f>[1]Discovery!C1672</f>
        <v>항구</v>
      </c>
      <c r="F1666" s="9" t="str">
        <f>[1]Discovery!G1672</f>
        <v>D</v>
      </c>
      <c r="G1666" s="9" t="str">
        <f>IFERROR(VLOOKUP(표1[[#This Row],[명칭]],'문화권 정리'!C:D,2,FALSE),"-")</f>
        <v>항구</v>
      </c>
      <c r="H1666" s="38" t="str">
        <f>IFERROR(COUNTIF([2]OceanDoodad!$Y:$Y,표1[[#This Row],[명칭]]),"-")</f>
        <v>-</v>
      </c>
      <c r="I1666" s="38">
        <f>IFERROR(COUNTIF([1]AdventureDiscoveryGroup!$D$8:$AW$92,표1[[#This Row],[명칭]]),"-")</f>
        <v>0</v>
      </c>
      <c r="J1666" s="38">
        <f>IFERROR(COUNTIF([1]FishDiscoveryGroup!$A:$X,표1[[#This Row],[명칭]]),"-")</f>
        <v>0</v>
      </c>
      <c r="K1666" s="38" t="str">
        <f>IFERROR(COUNTIF([2]Town!$B:$B,표1[[#This Row],[명칭]]),"-")</f>
        <v>-</v>
      </c>
      <c r="L1666" s="38">
        <f>IFERROR(COUNTIF([1]Village!$BR:$BR,표1[[#This Row],[명칭]]),"-")</f>
        <v>0</v>
      </c>
      <c r="M1666" s="38">
        <f>COUNTIF(퀘스트!B:B,표1[[#This Row],[명칭]])</f>
        <v>0</v>
      </c>
      <c r="N1666" s="65">
        <f>COUNTIF([1]VillageDiscoveryGroup!$C:$C,표1[[#This Row],[명칭]])</f>
        <v>0</v>
      </c>
      <c r="O1666" s="65">
        <f>SUM(표1[[#This Row],[해양탐색]:[마을탐험]])</f>
        <v>0</v>
      </c>
    </row>
    <row r="1667" spans="2:15" ht="13.5" customHeight="1" x14ac:dyDescent="0.3">
      <c r="B1667" s="9">
        <f>[1]Discovery!A1673</f>
        <v>70412167</v>
      </c>
      <c r="C1667" s="9" t="str">
        <f>[1]Discovery!B1673</f>
        <v>테살로니키</v>
      </c>
      <c r="D1667" s="9" t="str">
        <f>[1]Discovery!E1673</f>
        <v>건축</v>
      </c>
      <c r="E1667" s="9" t="str">
        <f>[1]Discovery!C1673</f>
        <v>항구</v>
      </c>
      <c r="F1667" s="9" t="str">
        <f>[1]Discovery!G1673</f>
        <v>D</v>
      </c>
      <c r="G1667" s="9" t="str">
        <f>IFERROR(VLOOKUP(표1[[#This Row],[명칭]],'문화권 정리'!C:D,2,FALSE),"-")</f>
        <v>항구</v>
      </c>
      <c r="H1667" s="38" t="str">
        <f>IFERROR(COUNTIF([2]OceanDoodad!$Y:$Y,표1[[#This Row],[명칭]]),"-")</f>
        <v>-</v>
      </c>
      <c r="I1667" s="38">
        <f>IFERROR(COUNTIF([1]AdventureDiscoveryGroup!$D$8:$AW$92,표1[[#This Row],[명칭]]),"-")</f>
        <v>0</v>
      </c>
      <c r="J1667" s="38">
        <f>IFERROR(COUNTIF([1]FishDiscoveryGroup!$A:$X,표1[[#This Row],[명칭]]),"-")</f>
        <v>0</v>
      </c>
      <c r="K1667" s="38" t="str">
        <f>IFERROR(COUNTIF([2]Town!$B:$B,표1[[#This Row],[명칭]]),"-")</f>
        <v>-</v>
      </c>
      <c r="L1667" s="38">
        <f>IFERROR(COUNTIF([1]Village!$BR:$BR,표1[[#This Row],[명칭]]),"-")</f>
        <v>0</v>
      </c>
      <c r="M1667" s="38">
        <f>COUNTIF(퀘스트!B:B,표1[[#This Row],[명칭]])</f>
        <v>0</v>
      </c>
      <c r="N1667" s="65">
        <f>COUNTIF([1]VillageDiscoveryGroup!$C:$C,표1[[#This Row],[명칭]])</f>
        <v>0</v>
      </c>
      <c r="O1667" s="65">
        <f>SUM(표1[[#This Row],[해양탐색]:[마을탐험]])</f>
        <v>0</v>
      </c>
    </row>
    <row r="1668" spans="2:15" ht="13.5" customHeight="1" x14ac:dyDescent="0.3">
      <c r="B1668" s="9">
        <f>[1]Discovery!A1674</f>
        <v>70412168</v>
      </c>
      <c r="C1668" s="9" t="str">
        <f>[1]Discovery!B1674</f>
        <v>팀북투</v>
      </c>
      <c r="D1668" s="9" t="str">
        <f>[1]Discovery!E1674</f>
        <v>건축</v>
      </c>
      <c r="E1668" s="9" t="str">
        <f>[1]Discovery!C1674</f>
        <v>항구</v>
      </c>
      <c r="F1668" s="9" t="str">
        <f>[1]Discovery!G1674</f>
        <v>D</v>
      </c>
      <c r="G1668" s="9" t="str">
        <f>IFERROR(VLOOKUP(표1[[#This Row],[명칭]],'문화권 정리'!C:D,2,FALSE),"-")</f>
        <v>항구</v>
      </c>
      <c r="H1668" s="38" t="str">
        <f>IFERROR(COUNTIF([2]OceanDoodad!$Y:$Y,표1[[#This Row],[명칭]]),"-")</f>
        <v>-</v>
      </c>
      <c r="I1668" s="38">
        <f>IFERROR(COUNTIF([1]AdventureDiscoveryGroup!$D$8:$AW$92,표1[[#This Row],[명칭]]),"-")</f>
        <v>0</v>
      </c>
      <c r="J1668" s="38">
        <f>IFERROR(COUNTIF([1]FishDiscoveryGroup!$A:$X,표1[[#This Row],[명칭]]),"-")</f>
        <v>0</v>
      </c>
      <c r="K1668" s="38" t="str">
        <f>IFERROR(COUNTIF([2]Town!$B:$B,표1[[#This Row],[명칭]]),"-")</f>
        <v>-</v>
      </c>
      <c r="L1668" s="38">
        <f>IFERROR(COUNTIF([1]Village!$BR:$BR,표1[[#This Row],[명칭]]),"-")</f>
        <v>0</v>
      </c>
      <c r="M1668" s="38">
        <f>COUNTIF(퀘스트!B:B,표1[[#This Row],[명칭]])</f>
        <v>0</v>
      </c>
      <c r="N1668" s="65">
        <f>COUNTIF([1]VillageDiscoveryGroup!$C:$C,표1[[#This Row],[명칭]])</f>
        <v>0</v>
      </c>
      <c r="O1668" s="65">
        <f>SUM(표1[[#This Row],[해양탐색]:[마을탐험]])</f>
        <v>0</v>
      </c>
    </row>
    <row r="1669" spans="2:15" ht="13.5" customHeight="1" x14ac:dyDescent="0.3">
      <c r="B1669" s="9">
        <f>[1]Discovery!A1675</f>
        <v>70412169</v>
      </c>
      <c r="C1669" s="9" t="str">
        <f>[1]Discovery!B1675</f>
        <v>툼베스</v>
      </c>
      <c r="D1669" s="9" t="str">
        <f>[1]Discovery!E1675</f>
        <v>건축</v>
      </c>
      <c r="E1669" s="9" t="str">
        <f>[1]Discovery!C1675</f>
        <v>항구</v>
      </c>
      <c r="F1669" s="9" t="str">
        <f>[1]Discovery!G1675</f>
        <v>D</v>
      </c>
      <c r="G1669" s="9" t="str">
        <f>IFERROR(VLOOKUP(표1[[#This Row],[명칭]],'문화권 정리'!C:D,2,FALSE),"-")</f>
        <v>항구</v>
      </c>
      <c r="H1669" s="38" t="str">
        <f>IFERROR(COUNTIF([2]OceanDoodad!$Y:$Y,표1[[#This Row],[명칭]]),"-")</f>
        <v>-</v>
      </c>
      <c r="I1669" s="38">
        <f>IFERROR(COUNTIF([1]AdventureDiscoveryGroup!$D$8:$AW$92,표1[[#This Row],[명칭]]),"-")</f>
        <v>0</v>
      </c>
      <c r="J1669" s="38">
        <f>IFERROR(COUNTIF([1]FishDiscoveryGroup!$A:$X,표1[[#This Row],[명칭]]),"-")</f>
        <v>0</v>
      </c>
      <c r="K1669" s="38" t="str">
        <f>IFERROR(COUNTIF([2]Town!$B:$B,표1[[#This Row],[명칭]]),"-")</f>
        <v>-</v>
      </c>
      <c r="L1669" s="38">
        <f>IFERROR(COUNTIF([1]Village!$BR:$BR,표1[[#This Row],[명칭]]),"-")</f>
        <v>0</v>
      </c>
      <c r="M1669" s="38">
        <f>COUNTIF(퀘스트!B:B,표1[[#This Row],[명칭]])</f>
        <v>0</v>
      </c>
      <c r="N1669" s="65">
        <f>COUNTIF([1]VillageDiscoveryGroup!$C:$C,표1[[#This Row],[명칭]])</f>
        <v>0</v>
      </c>
      <c r="O1669" s="65">
        <f>SUM(표1[[#This Row],[해양탐색]:[마을탐험]])</f>
        <v>0</v>
      </c>
    </row>
    <row r="1670" spans="2:15" ht="13.5" customHeight="1" x14ac:dyDescent="0.3">
      <c r="B1670" s="9">
        <f>[1]Discovery!A1676</f>
        <v>70412170</v>
      </c>
      <c r="C1670" s="9" t="str">
        <f>[1]Discovery!B1676</f>
        <v>투니스</v>
      </c>
      <c r="D1670" s="9" t="str">
        <f>[1]Discovery!E1676</f>
        <v>건축</v>
      </c>
      <c r="E1670" s="9" t="str">
        <f>[1]Discovery!C1676</f>
        <v>항구</v>
      </c>
      <c r="F1670" s="9" t="str">
        <f>[1]Discovery!G1676</f>
        <v>D</v>
      </c>
      <c r="G1670" s="9" t="str">
        <f>IFERROR(VLOOKUP(표1[[#This Row],[명칭]],'문화권 정리'!C:D,2,FALSE),"-")</f>
        <v>항구</v>
      </c>
      <c r="H1670" s="38" t="str">
        <f>IFERROR(COUNTIF([2]OceanDoodad!$Y:$Y,표1[[#This Row],[명칭]]),"-")</f>
        <v>-</v>
      </c>
      <c r="I1670" s="38">
        <f>IFERROR(COUNTIF([1]AdventureDiscoveryGroup!$D$8:$AW$92,표1[[#This Row],[명칭]]),"-")</f>
        <v>0</v>
      </c>
      <c r="J1670" s="38">
        <f>IFERROR(COUNTIF([1]FishDiscoveryGroup!$A:$X,표1[[#This Row],[명칭]]),"-")</f>
        <v>0</v>
      </c>
      <c r="K1670" s="38" t="str">
        <f>IFERROR(COUNTIF([2]Town!$B:$B,표1[[#This Row],[명칭]]),"-")</f>
        <v>-</v>
      </c>
      <c r="L1670" s="38">
        <f>IFERROR(COUNTIF([1]Village!$BR:$BR,표1[[#This Row],[명칭]]),"-")</f>
        <v>0</v>
      </c>
      <c r="M1670" s="38">
        <f>COUNTIF(퀘스트!B:B,표1[[#This Row],[명칭]])</f>
        <v>0</v>
      </c>
      <c r="N1670" s="65">
        <f>COUNTIF([1]VillageDiscoveryGroup!$C:$C,표1[[#This Row],[명칭]])</f>
        <v>0</v>
      </c>
      <c r="O1670" s="65">
        <f>SUM(표1[[#This Row],[해양탐색]:[마을탐험]])</f>
        <v>0</v>
      </c>
    </row>
    <row r="1671" spans="2:15" ht="13.5" customHeight="1" x14ac:dyDescent="0.3">
      <c r="B1671" s="9">
        <f>[1]Discovery!A1677</f>
        <v>70412171</v>
      </c>
      <c r="C1671" s="9" t="str">
        <f>[1]Discovery!B1677</f>
        <v>트라브존</v>
      </c>
      <c r="D1671" s="9" t="str">
        <f>[1]Discovery!E1677</f>
        <v>건축</v>
      </c>
      <c r="E1671" s="9" t="str">
        <f>[1]Discovery!C1677</f>
        <v>항구</v>
      </c>
      <c r="F1671" s="9" t="str">
        <f>[1]Discovery!G1677</f>
        <v>D</v>
      </c>
      <c r="G1671" s="9" t="str">
        <f>IFERROR(VLOOKUP(표1[[#This Row],[명칭]],'문화권 정리'!C:D,2,FALSE),"-")</f>
        <v>항구</v>
      </c>
      <c r="H1671" s="38" t="str">
        <f>IFERROR(COUNTIF([2]OceanDoodad!$Y:$Y,표1[[#This Row],[명칭]]),"-")</f>
        <v>-</v>
      </c>
      <c r="I1671" s="38">
        <f>IFERROR(COUNTIF([1]AdventureDiscoveryGroup!$D$8:$AW$92,표1[[#This Row],[명칭]]),"-")</f>
        <v>0</v>
      </c>
      <c r="J1671" s="38">
        <f>IFERROR(COUNTIF([1]FishDiscoveryGroup!$A:$X,표1[[#This Row],[명칭]]),"-")</f>
        <v>0</v>
      </c>
      <c r="K1671" s="38" t="str">
        <f>IFERROR(COUNTIF([2]Town!$B:$B,표1[[#This Row],[명칭]]),"-")</f>
        <v>-</v>
      </c>
      <c r="L1671" s="38">
        <f>IFERROR(COUNTIF([1]Village!$BR:$BR,표1[[#This Row],[명칭]]),"-")</f>
        <v>0</v>
      </c>
      <c r="M1671" s="38">
        <f>COUNTIF(퀘스트!B:B,표1[[#This Row],[명칭]])</f>
        <v>0</v>
      </c>
      <c r="N1671" s="65">
        <f>COUNTIF([1]VillageDiscoveryGroup!$C:$C,표1[[#This Row],[명칭]])</f>
        <v>0</v>
      </c>
      <c r="O1671" s="65">
        <f>SUM(표1[[#This Row],[해양탐색]:[마을탐험]])</f>
        <v>0</v>
      </c>
    </row>
    <row r="1672" spans="2:15" ht="13.5" customHeight="1" x14ac:dyDescent="0.3">
      <c r="B1672" s="9">
        <f>[1]Discovery!A1678</f>
        <v>70412172</v>
      </c>
      <c r="C1672" s="9" t="str">
        <f>[1]Discovery!B1678</f>
        <v>트루히요</v>
      </c>
      <c r="D1672" s="9" t="str">
        <f>[1]Discovery!E1678</f>
        <v>건축</v>
      </c>
      <c r="E1672" s="9" t="str">
        <f>[1]Discovery!C1678</f>
        <v>항구</v>
      </c>
      <c r="F1672" s="9" t="str">
        <f>[1]Discovery!G1678</f>
        <v>D</v>
      </c>
      <c r="G1672" s="9" t="str">
        <f>IFERROR(VLOOKUP(표1[[#This Row],[명칭]],'문화권 정리'!C:D,2,FALSE),"-")</f>
        <v>항구</v>
      </c>
      <c r="H1672" s="38" t="str">
        <f>IFERROR(COUNTIF([2]OceanDoodad!$Y:$Y,표1[[#This Row],[명칭]]),"-")</f>
        <v>-</v>
      </c>
      <c r="I1672" s="38">
        <f>IFERROR(COUNTIF([1]AdventureDiscoveryGroup!$D$8:$AW$92,표1[[#This Row],[명칭]]),"-")</f>
        <v>0</v>
      </c>
      <c r="J1672" s="38">
        <f>IFERROR(COUNTIF([1]FishDiscoveryGroup!$A:$X,표1[[#This Row],[명칭]]),"-")</f>
        <v>0</v>
      </c>
      <c r="K1672" s="38" t="str">
        <f>IFERROR(COUNTIF([2]Town!$B:$B,표1[[#This Row],[명칭]]),"-")</f>
        <v>-</v>
      </c>
      <c r="L1672" s="38">
        <f>IFERROR(COUNTIF([1]Village!$BR:$BR,표1[[#This Row],[명칭]]),"-")</f>
        <v>0</v>
      </c>
      <c r="M1672" s="38">
        <f>COUNTIF(퀘스트!B:B,표1[[#This Row],[명칭]])</f>
        <v>0</v>
      </c>
      <c r="N1672" s="65">
        <f>COUNTIF([1]VillageDiscoveryGroup!$C:$C,표1[[#This Row],[명칭]])</f>
        <v>0</v>
      </c>
      <c r="O1672" s="65">
        <f>SUM(표1[[#This Row],[해양탐색]:[마을탐험]])</f>
        <v>0</v>
      </c>
    </row>
    <row r="1673" spans="2:15" ht="13.5" customHeight="1" x14ac:dyDescent="0.3">
      <c r="B1673" s="9">
        <f>[1]Discovery!A1679</f>
        <v>70412173</v>
      </c>
      <c r="C1673" s="9" t="str">
        <f>[1]Discovery!B1679</f>
        <v>트리에스테</v>
      </c>
      <c r="D1673" s="9" t="str">
        <f>[1]Discovery!E1679</f>
        <v>건축</v>
      </c>
      <c r="E1673" s="9" t="str">
        <f>[1]Discovery!C1679</f>
        <v>항구</v>
      </c>
      <c r="F1673" s="9" t="str">
        <f>[1]Discovery!G1679</f>
        <v>D</v>
      </c>
      <c r="G1673" s="9" t="str">
        <f>IFERROR(VLOOKUP(표1[[#This Row],[명칭]],'문화권 정리'!C:D,2,FALSE),"-")</f>
        <v>항구</v>
      </c>
      <c r="H1673" s="38" t="str">
        <f>IFERROR(COUNTIF([2]OceanDoodad!$Y:$Y,표1[[#This Row],[명칭]]),"-")</f>
        <v>-</v>
      </c>
      <c r="I1673" s="38">
        <f>IFERROR(COUNTIF([1]AdventureDiscoveryGroup!$D$8:$AW$92,표1[[#This Row],[명칭]]),"-")</f>
        <v>0</v>
      </c>
      <c r="J1673" s="38">
        <f>IFERROR(COUNTIF([1]FishDiscoveryGroup!$A:$X,표1[[#This Row],[명칭]]),"-")</f>
        <v>0</v>
      </c>
      <c r="K1673" s="38" t="str">
        <f>IFERROR(COUNTIF([2]Town!$B:$B,표1[[#This Row],[명칭]]),"-")</f>
        <v>-</v>
      </c>
      <c r="L1673" s="38">
        <f>IFERROR(COUNTIF([1]Village!$BR:$BR,표1[[#This Row],[명칭]]),"-")</f>
        <v>0</v>
      </c>
      <c r="M1673" s="38">
        <f>COUNTIF(퀘스트!B:B,표1[[#This Row],[명칭]])</f>
        <v>0</v>
      </c>
      <c r="N1673" s="65">
        <f>COUNTIF([1]VillageDiscoveryGroup!$C:$C,표1[[#This Row],[명칭]])</f>
        <v>0</v>
      </c>
      <c r="O1673" s="65">
        <f>SUM(표1[[#This Row],[해양탐색]:[마을탐험]])</f>
        <v>0</v>
      </c>
    </row>
    <row r="1674" spans="2:15" ht="13.5" customHeight="1" x14ac:dyDescent="0.3">
      <c r="B1674" s="9">
        <f>[1]Discovery!A1680</f>
        <v>70412174</v>
      </c>
      <c r="C1674" s="9" t="str">
        <f>[1]Discovery!B1680</f>
        <v>타라불루스</v>
      </c>
      <c r="D1674" s="9" t="str">
        <f>[1]Discovery!E1680</f>
        <v>건축</v>
      </c>
      <c r="E1674" s="9" t="str">
        <f>[1]Discovery!C1680</f>
        <v>항구</v>
      </c>
      <c r="F1674" s="9" t="str">
        <f>[1]Discovery!G1680</f>
        <v>D</v>
      </c>
      <c r="G1674" s="9" t="str">
        <f>IFERROR(VLOOKUP(표1[[#This Row],[명칭]],'문화권 정리'!C:D,2,FALSE),"-")</f>
        <v>항구</v>
      </c>
      <c r="H1674" s="38" t="str">
        <f>IFERROR(COUNTIF([2]OceanDoodad!$Y:$Y,표1[[#This Row],[명칭]]),"-")</f>
        <v>-</v>
      </c>
      <c r="I1674" s="38">
        <f>IFERROR(COUNTIF([1]AdventureDiscoveryGroup!$D$8:$AW$92,표1[[#This Row],[명칭]]),"-")</f>
        <v>0</v>
      </c>
      <c r="J1674" s="38">
        <f>IFERROR(COUNTIF([1]FishDiscoveryGroup!$A:$X,표1[[#This Row],[명칭]]),"-")</f>
        <v>0</v>
      </c>
      <c r="K1674" s="38" t="str">
        <f>IFERROR(COUNTIF([2]Town!$B:$B,표1[[#This Row],[명칭]]),"-")</f>
        <v>-</v>
      </c>
      <c r="L1674" s="38">
        <f>IFERROR(COUNTIF([1]Village!$BR:$BR,표1[[#This Row],[명칭]]),"-")</f>
        <v>0</v>
      </c>
      <c r="M1674" s="38">
        <f>COUNTIF(퀘스트!B:B,표1[[#This Row],[명칭]])</f>
        <v>0</v>
      </c>
      <c r="N1674" s="65">
        <f>COUNTIF([1]VillageDiscoveryGroup!$C:$C,표1[[#This Row],[명칭]])</f>
        <v>0</v>
      </c>
      <c r="O1674" s="65">
        <f>SUM(표1[[#This Row],[해양탐색]:[마을탐험]])</f>
        <v>0</v>
      </c>
    </row>
    <row r="1675" spans="2:15" ht="13.5" customHeight="1" x14ac:dyDescent="0.3">
      <c r="B1675" s="9">
        <f>[1]Discovery!A1681</f>
        <v>70412175</v>
      </c>
      <c r="C1675" s="9" t="str">
        <f>[1]Discovery!B1681</f>
        <v>카탄가</v>
      </c>
      <c r="D1675" s="9" t="str">
        <f>[1]Discovery!E1681</f>
        <v>건축</v>
      </c>
      <c r="E1675" s="9" t="str">
        <f>[1]Discovery!C1681</f>
        <v>항구</v>
      </c>
      <c r="F1675" s="9" t="str">
        <f>[1]Discovery!G1681</f>
        <v>D</v>
      </c>
      <c r="G1675" s="9" t="str">
        <f>IFERROR(VLOOKUP(표1[[#This Row],[명칭]],'문화권 정리'!C:D,2,FALSE),"-")</f>
        <v>항구</v>
      </c>
      <c r="H1675" s="38" t="str">
        <f>IFERROR(COUNTIF([2]OceanDoodad!$Y:$Y,표1[[#This Row],[명칭]]),"-")</f>
        <v>-</v>
      </c>
      <c r="I1675" s="38">
        <f>IFERROR(COUNTIF([1]AdventureDiscoveryGroup!$D$8:$AW$92,표1[[#This Row],[명칭]]),"-")</f>
        <v>0</v>
      </c>
      <c r="J1675" s="38">
        <f>IFERROR(COUNTIF([1]FishDiscoveryGroup!$A:$X,표1[[#This Row],[명칭]]),"-")</f>
        <v>0</v>
      </c>
      <c r="K1675" s="38" t="str">
        <f>IFERROR(COUNTIF([2]Town!$B:$B,표1[[#This Row],[명칭]]),"-")</f>
        <v>-</v>
      </c>
      <c r="L1675" s="38">
        <f>IFERROR(COUNTIF([1]Village!$BR:$BR,표1[[#This Row],[명칭]]),"-")</f>
        <v>0</v>
      </c>
      <c r="M1675" s="38">
        <f>COUNTIF(퀘스트!B:B,표1[[#This Row],[명칭]])</f>
        <v>0</v>
      </c>
      <c r="N1675" s="65">
        <f>COUNTIF([1]VillageDiscoveryGroup!$C:$C,표1[[#This Row],[명칭]])</f>
        <v>0</v>
      </c>
      <c r="O1675" s="65">
        <f>SUM(표1[[#This Row],[해양탐색]:[마을탐험]])</f>
        <v>0</v>
      </c>
    </row>
    <row r="1676" spans="2:15" ht="13.5" customHeight="1" x14ac:dyDescent="0.3">
      <c r="B1676" s="9">
        <f>[1]Discovery!A1682</f>
        <v>70412176</v>
      </c>
      <c r="C1676" s="9" t="str">
        <f>[1]Discovery!B1682</f>
        <v>파나마</v>
      </c>
      <c r="D1676" s="9" t="str">
        <f>[1]Discovery!E1682</f>
        <v>건축</v>
      </c>
      <c r="E1676" s="9" t="str">
        <f>[1]Discovery!C1682</f>
        <v>항구</v>
      </c>
      <c r="F1676" s="9" t="str">
        <f>[1]Discovery!G1682</f>
        <v>D</v>
      </c>
      <c r="G1676" s="9" t="str">
        <f>IFERROR(VLOOKUP(표1[[#This Row],[명칭]],'문화권 정리'!C:D,2,FALSE),"-")</f>
        <v>항구</v>
      </c>
      <c r="H1676" s="38" t="str">
        <f>IFERROR(COUNTIF([2]OceanDoodad!$Y:$Y,표1[[#This Row],[명칭]]),"-")</f>
        <v>-</v>
      </c>
      <c r="I1676" s="38">
        <f>IFERROR(COUNTIF([1]AdventureDiscoveryGroup!$D$8:$AW$92,표1[[#This Row],[명칭]]),"-")</f>
        <v>0</v>
      </c>
      <c r="J1676" s="38">
        <f>IFERROR(COUNTIF([1]FishDiscoveryGroup!$A:$X,표1[[#This Row],[명칭]]),"-")</f>
        <v>0</v>
      </c>
      <c r="K1676" s="38" t="str">
        <f>IFERROR(COUNTIF([2]Town!$B:$B,표1[[#This Row],[명칭]]),"-")</f>
        <v>-</v>
      </c>
      <c r="L1676" s="38">
        <f>IFERROR(COUNTIF([1]Village!$BR:$BR,표1[[#This Row],[명칭]]),"-")</f>
        <v>0</v>
      </c>
      <c r="M1676" s="38">
        <f>COUNTIF(퀘스트!B:B,표1[[#This Row],[명칭]])</f>
        <v>0</v>
      </c>
      <c r="N1676" s="65">
        <f>COUNTIF([1]VillageDiscoveryGroup!$C:$C,표1[[#This Row],[명칭]])</f>
        <v>0</v>
      </c>
      <c r="O1676" s="65">
        <f>SUM(표1[[#This Row],[해양탐색]:[마을탐험]])</f>
        <v>0</v>
      </c>
    </row>
    <row r="1677" spans="2:15" ht="13.5" customHeight="1" x14ac:dyDescent="0.3">
      <c r="B1677" s="9">
        <f>[1]Discovery!A1683</f>
        <v>70412177</v>
      </c>
      <c r="C1677" s="9" t="str">
        <f>[1]Discovery!B1683</f>
        <v>파루</v>
      </c>
      <c r="D1677" s="9" t="str">
        <f>[1]Discovery!E1683</f>
        <v>건축</v>
      </c>
      <c r="E1677" s="9" t="str">
        <f>[1]Discovery!C1683</f>
        <v>항구</v>
      </c>
      <c r="F1677" s="9" t="str">
        <f>[1]Discovery!G1683</f>
        <v>D</v>
      </c>
      <c r="G1677" s="9" t="str">
        <f>IFERROR(VLOOKUP(표1[[#This Row],[명칭]],'문화권 정리'!C:D,2,FALSE),"-")</f>
        <v>항구</v>
      </c>
      <c r="H1677" s="38" t="str">
        <f>IFERROR(COUNTIF([2]OceanDoodad!$Y:$Y,표1[[#This Row],[명칭]]),"-")</f>
        <v>-</v>
      </c>
      <c r="I1677" s="38">
        <f>IFERROR(COUNTIF([1]AdventureDiscoveryGroup!$D$8:$AW$92,표1[[#This Row],[명칭]]),"-")</f>
        <v>0</v>
      </c>
      <c r="J1677" s="38">
        <f>IFERROR(COUNTIF([1]FishDiscoveryGroup!$A:$X,표1[[#This Row],[명칭]]),"-")</f>
        <v>0</v>
      </c>
      <c r="K1677" s="38" t="str">
        <f>IFERROR(COUNTIF([2]Town!$B:$B,표1[[#This Row],[명칭]]),"-")</f>
        <v>-</v>
      </c>
      <c r="L1677" s="38">
        <f>IFERROR(COUNTIF([1]Village!$BR:$BR,표1[[#This Row],[명칭]]),"-")</f>
        <v>0</v>
      </c>
      <c r="M1677" s="38">
        <f>COUNTIF(퀘스트!B:B,표1[[#This Row],[명칭]])</f>
        <v>0</v>
      </c>
      <c r="N1677" s="65">
        <f>COUNTIF([1]VillageDiscoveryGroup!$C:$C,표1[[#This Row],[명칭]])</f>
        <v>0</v>
      </c>
      <c r="O1677" s="65">
        <f>SUM(표1[[#This Row],[해양탐색]:[마을탐험]])</f>
        <v>0</v>
      </c>
    </row>
    <row r="1678" spans="2:15" ht="13.5" customHeight="1" x14ac:dyDescent="0.3">
      <c r="B1678" s="9">
        <f>[1]Discovery!A1684</f>
        <v>70412178</v>
      </c>
      <c r="C1678" s="9" t="str">
        <f>[1]Discovery!B1684</f>
        <v>안탈리아</v>
      </c>
      <c r="D1678" s="9" t="str">
        <f>[1]Discovery!E1684</f>
        <v>건축</v>
      </c>
      <c r="E1678" s="9" t="str">
        <f>[1]Discovery!C1684</f>
        <v>항구</v>
      </c>
      <c r="F1678" s="9" t="str">
        <f>[1]Discovery!G1684</f>
        <v>D</v>
      </c>
      <c r="G1678" s="9" t="str">
        <f>IFERROR(VLOOKUP(표1[[#This Row],[명칭]],'문화권 정리'!C:D,2,FALSE),"-")</f>
        <v>항구</v>
      </c>
      <c r="H1678" s="38" t="str">
        <f>IFERROR(COUNTIF([2]OceanDoodad!$Y:$Y,표1[[#This Row],[명칭]]),"-")</f>
        <v>-</v>
      </c>
      <c r="I1678" s="38">
        <f>IFERROR(COUNTIF([1]AdventureDiscoveryGroup!$D$8:$AW$92,표1[[#This Row],[명칭]]),"-")</f>
        <v>0</v>
      </c>
      <c r="J1678" s="38">
        <f>IFERROR(COUNTIF([1]FishDiscoveryGroup!$A:$X,표1[[#This Row],[명칭]]),"-")</f>
        <v>0</v>
      </c>
      <c r="K1678" s="38" t="str">
        <f>IFERROR(COUNTIF([2]Town!$B:$B,표1[[#This Row],[명칭]]),"-")</f>
        <v>-</v>
      </c>
      <c r="L1678" s="38">
        <f>IFERROR(COUNTIF([1]Village!$BR:$BR,표1[[#This Row],[명칭]]),"-")</f>
        <v>0</v>
      </c>
      <c r="M1678" s="38">
        <f>COUNTIF(퀘스트!B:B,표1[[#This Row],[명칭]])</f>
        <v>0</v>
      </c>
      <c r="N1678" s="65">
        <f>COUNTIF([1]VillageDiscoveryGroup!$C:$C,표1[[#This Row],[명칭]])</f>
        <v>0</v>
      </c>
      <c r="O1678" s="65">
        <f>SUM(표1[[#This Row],[해양탐색]:[마을탐험]])</f>
        <v>0</v>
      </c>
    </row>
    <row r="1679" spans="2:15" ht="13.5" customHeight="1" x14ac:dyDescent="0.3">
      <c r="B1679" s="9">
        <f>[1]Discovery!A1685</f>
        <v>70412179</v>
      </c>
      <c r="C1679" s="9" t="str">
        <f>[1]Discovery!B1685</f>
        <v>파사이</v>
      </c>
      <c r="D1679" s="9" t="str">
        <f>[1]Discovery!E1685</f>
        <v>건축</v>
      </c>
      <c r="E1679" s="9" t="str">
        <f>[1]Discovery!C1685</f>
        <v>항구</v>
      </c>
      <c r="F1679" s="9" t="str">
        <f>[1]Discovery!G1685</f>
        <v>D</v>
      </c>
      <c r="G1679" s="9" t="str">
        <f>IFERROR(VLOOKUP(표1[[#This Row],[명칭]],'문화권 정리'!C:D,2,FALSE),"-")</f>
        <v>항구</v>
      </c>
      <c r="H1679" s="38" t="str">
        <f>IFERROR(COUNTIF([2]OceanDoodad!$Y:$Y,표1[[#This Row],[명칭]]),"-")</f>
        <v>-</v>
      </c>
      <c r="I1679" s="38">
        <f>IFERROR(COUNTIF([1]AdventureDiscoveryGroup!$D$8:$AW$92,표1[[#This Row],[명칭]]),"-")</f>
        <v>0</v>
      </c>
      <c r="J1679" s="38">
        <f>IFERROR(COUNTIF([1]FishDiscoveryGroup!$A:$X,표1[[#This Row],[명칭]]),"-")</f>
        <v>0</v>
      </c>
      <c r="K1679" s="38" t="str">
        <f>IFERROR(COUNTIF([2]Town!$B:$B,표1[[#This Row],[명칭]]),"-")</f>
        <v>-</v>
      </c>
      <c r="L1679" s="38">
        <f>IFERROR(COUNTIF([1]Village!$BR:$BR,표1[[#This Row],[명칭]]),"-")</f>
        <v>0</v>
      </c>
      <c r="M1679" s="38">
        <f>COUNTIF(퀘스트!B:B,표1[[#This Row],[명칭]])</f>
        <v>0</v>
      </c>
      <c r="N1679" s="65">
        <f>COUNTIF([1]VillageDiscoveryGroup!$C:$C,표1[[#This Row],[명칭]])</f>
        <v>0</v>
      </c>
      <c r="O1679" s="65">
        <f>SUM(표1[[#This Row],[해양탐색]:[마을탐험]])</f>
        <v>0</v>
      </c>
    </row>
    <row r="1680" spans="2:15" ht="13.5" customHeight="1" x14ac:dyDescent="0.3">
      <c r="B1680" s="9">
        <f>[1]Discovery!A1686</f>
        <v>70412180</v>
      </c>
      <c r="C1680" s="9" t="str">
        <f>[1]Discovery!B1686</f>
        <v>팔렘방</v>
      </c>
      <c r="D1680" s="9" t="str">
        <f>[1]Discovery!E1686</f>
        <v>건축</v>
      </c>
      <c r="E1680" s="9" t="str">
        <f>[1]Discovery!C1686</f>
        <v>항구</v>
      </c>
      <c r="F1680" s="9" t="str">
        <f>[1]Discovery!G1686</f>
        <v>D</v>
      </c>
      <c r="G1680" s="9" t="str">
        <f>IFERROR(VLOOKUP(표1[[#This Row],[명칭]],'문화권 정리'!C:D,2,FALSE),"-")</f>
        <v>항구</v>
      </c>
      <c r="H1680" s="38" t="str">
        <f>IFERROR(COUNTIF([2]OceanDoodad!$Y:$Y,표1[[#This Row],[명칭]]),"-")</f>
        <v>-</v>
      </c>
      <c r="I1680" s="38">
        <f>IFERROR(COUNTIF([1]AdventureDiscoveryGroup!$D$8:$AW$92,표1[[#This Row],[명칭]]),"-")</f>
        <v>0</v>
      </c>
      <c r="J1680" s="38">
        <f>IFERROR(COUNTIF([1]FishDiscoveryGroup!$A:$X,표1[[#This Row],[명칭]]),"-")</f>
        <v>0</v>
      </c>
      <c r="K1680" s="38" t="str">
        <f>IFERROR(COUNTIF([2]Town!$B:$B,표1[[#This Row],[명칭]]),"-")</f>
        <v>-</v>
      </c>
      <c r="L1680" s="38">
        <f>IFERROR(COUNTIF([1]Village!$BR:$BR,표1[[#This Row],[명칭]]),"-")</f>
        <v>0</v>
      </c>
      <c r="M1680" s="38">
        <f>COUNTIF(퀘스트!B:B,표1[[#This Row],[명칭]])</f>
        <v>0</v>
      </c>
      <c r="N1680" s="65">
        <f>COUNTIF([1]VillageDiscoveryGroup!$C:$C,표1[[#This Row],[명칭]])</f>
        <v>0</v>
      </c>
      <c r="O1680" s="65">
        <f>SUM(표1[[#This Row],[해양탐색]:[마을탐험]])</f>
        <v>0</v>
      </c>
    </row>
    <row r="1681" spans="2:15" ht="13.5" customHeight="1" x14ac:dyDescent="0.3">
      <c r="B1681" s="9">
        <f>[1]Discovery!A1687</f>
        <v>70412181</v>
      </c>
      <c r="C1681" s="9" t="str">
        <f>[1]Discovery!B1687</f>
        <v>팔마</v>
      </c>
      <c r="D1681" s="9" t="str">
        <f>[1]Discovery!E1687</f>
        <v>건축</v>
      </c>
      <c r="E1681" s="9" t="str">
        <f>[1]Discovery!C1687</f>
        <v>항구</v>
      </c>
      <c r="F1681" s="9" t="str">
        <f>[1]Discovery!G1687</f>
        <v>D</v>
      </c>
      <c r="G1681" s="9" t="str">
        <f>IFERROR(VLOOKUP(표1[[#This Row],[명칭]],'문화권 정리'!C:D,2,FALSE),"-")</f>
        <v>항구</v>
      </c>
      <c r="H1681" s="38" t="str">
        <f>IFERROR(COUNTIF([2]OceanDoodad!$Y:$Y,표1[[#This Row],[명칭]]),"-")</f>
        <v>-</v>
      </c>
      <c r="I1681" s="38">
        <f>IFERROR(COUNTIF([1]AdventureDiscoveryGroup!$D$8:$AW$92,표1[[#This Row],[명칭]]),"-")</f>
        <v>0</v>
      </c>
      <c r="J1681" s="38">
        <f>IFERROR(COUNTIF([1]FishDiscoveryGroup!$A:$X,표1[[#This Row],[명칭]]),"-")</f>
        <v>0</v>
      </c>
      <c r="K1681" s="38" t="str">
        <f>IFERROR(COUNTIF([2]Town!$B:$B,표1[[#This Row],[명칭]]),"-")</f>
        <v>-</v>
      </c>
      <c r="L1681" s="38">
        <f>IFERROR(COUNTIF([1]Village!$BR:$BR,표1[[#This Row],[명칭]]),"-")</f>
        <v>0</v>
      </c>
      <c r="M1681" s="38">
        <f>COUNTIF(퀘스트!B:B,표1[[#This Row],[명칭]])</f>
        <v>0</v>
      </c>
      <c r="N1681" s="65">
        <f>COUNTIF([1]VillageDiscoveryGroup!$C:$C,표1[[#This Row],[명칭]])</f>
        <v>0</v>
      </c>
      <c r="O1681" s="65">
        <f>SUM(표1[[#This Row],[해양탐색]:[마을탐험]])</f>
        <v>0</v>
      </c>
    </row>
    <row r="1682" spans="2:15" ht="13.5" customHeight="1" x14ac:dyDescent="0.3">
      <c r="B1682" s="9">
        <f>[1]Discovery!A1688</f>
        <v>70412182</v>
      </c>
      <c r="C1682" s="9" t="str">
        <f>[1]Discovery!B1688</f>
        <v>페구</v>
      </c>
      <c r="D1682" s="9" t="str">
        <f>[1]Discovery!E1688</f>
        <v>건축</v>
      </c>
      <c r="E1682" s="9" t="str">
        <f>[1]Discovery!C1688</f>
        <v>항구</v>
      </c>
      <c r="F1682" s="9" t="str">
        <f>[1]Discovery!G1688</f>
        <v>D</v>
      </c>
      <c r="G1682" s="9" t="str">
        <f>IFERROR(VLOOKUP(표1[[#This Row],[명칭]],'문화권 정리'!C:D,2,FALSE),"-")</f>
        <v>항구</v>
      </c>
      <c r="H1682" s="38" t="str">
        <f>IFERROR(COUNTIF([2]OceanDoodad!$Y:$Y,표1[[#This Row],[명칭]]),"-")</f>
        <v>-</v>
      </c>
      <c r="I1682" s="38">
        <f>IFERROR(COUNTIF([1]AdventureDiscoveryGroup!$D$8:$AW$92,표1[[#This Row],[명칭]]),"-")</f>
        <v>0</v>
      </c>
      <c r="J1682" s="38">
        <f>IFERROR(COUNTIF([1]FishDiscoveryGroup!$A:$X,표1[[#This Row],[명칭]]),"-")</f>
        <v>0</v>
      </c>
      <c r="K1682" s="38" t="str">
        <f>IFERROR(COUNTIF([2]Town!$B:$B,표1[[#This Row],[명칭]]),"-")</f>
        <v>-</v>
      </c>
      <c r="L1682" s="38">
        <f>IFERROR(COUNTIF([1]Village!$BR:$BR,표1[[#This Row],[명칭]]),"-")</f>
        <v>0</v>
      </c>
      <c r="M1682" s="38">
        <f>COUNTIF(퀘스트!B:B,표1[[#This Row],[명칭]])</f>
        <v>0</v>
      </c>
      <c r="N1682" s="65">
        <f>COUNTIF([1]VillageDiscoveryGroup!$C:$C,표1[[#This Row],[명칭]])</f>
        <v>0</v>
      </c>
      <c r="O1682" s="65">
        <f>SUM(표1[[#This Row],[해양탐색]:[마을탐험]])</f>
        <v>0</v>
      </c>
    </row>
    <row r="1683" spans="2:15" ht="13.5" customHeight="1" x14ac:dyDescent="0.3">
      <c r="B1683" s="9">
        <f>[1]Discovery!A1689</f>
        <v>70412183</v>
      </c>
      <c r="C1683" s="9" t="str">
        <f>[1]Discovery!B1689</f>
        <v>페르남부쿠</v>
      </c>
      <c r="D1683" s="9" t="str">
        <f>[1]Discovery!E1689</f>
        <v>건축</v>
      </c>
      <c r="E1683" s="9" t="str">
        <f>[1]Discovery!C1689</f>
        <v>항구</v>
      </c>
      <c r="F1683" s="9" t="str">
        <f>[1]Discovery!G1689</f>
        <v>D</v>
      </c>
      <c r="G1683" s="9" t="str">
        <f>IFERROR(VLOOKUP(표1[[#This Row],[명칭]],'문화권 정리'!C:D,2,FALSE),"-")</f>
        <v>항구</v>
      </c>
      <c r="H1683" s="38" t="str">
        <f>IFERROR(COUNTIF([2]OceanDoodad!$Y:$Y,표1[[#This Row],[명칭]]),"-")</f>
        <v>-</v>
      </c>
      <c r="I1683" s="38">
        <f>IFERROR(COUNTIF([1]AdventureDiscoveryGroup!$D$8:$AW$92,표1[[#This Row],[명칭]]),"-")</f>
        <v>0</v>
      </c>
      <c r="J1683" s="38">
        <f>IFERROR(COUNTIF([1]FishDiscoveryGroup!$A:$X,표1[[#This Row],[명칭]]),"-")</f>
        <v>0</v>
      </c>
      <c r="K1683" s="38" t="str">
        <f>IFERROR(COUNTIF([2]Town!$B:$B,표1[[#This Row],[명칭]]),"-")</f>
        <v>-</v>
      </c>
      <c r="L1683" s="38">
        <f>IFERROR(COUNTIF([1]Village!$BR:$BR,표1[[#This Row],[명칭]]),"-")</f>
        <v>0</v>
      </c>
      <c r="M1683" s="38">
        <f>COUNTIF(퀘스트!B:B,표1[[#This Row],[명칭]])</f>
        <v>0</v>
      </c>
      <c r="N1683" s="65">
        <f>COUNTIF([1]VillageDiscoveryGroup!$C:$C,표1[[#This Row],[명칭]])</f>
        <v>0</v>
      </c>
      <c r="O1683" s="65">
        <f>SUM(표1[[#This Row],[해양탐색]:[마을탐험]])</f>
        <v>0</v>
      </c>
    </row>
    <row r="1684" spans="2:15" ht="13.5" customHeight="1" x14ac:dyDescent="0.3">
      <c r="B1684" s="9">
        <f>[1]Discovery!A1690</f>
        <v>70412184</v>
      </c>
      <c r="C1684" s="9" t="str">
        <f>[1]Discovery!B1690</f>
        <v>코르프</v>
      </c>
      <c r="D1684" s="9" t="str">
        <f>[1]Discovery!E1690</f>
        <v>건축</v>
      </c>
      <c r="E1684" s="9" t="str">
        <f>[1]Discovery!C1690</f>
        <v>항구</v>
      </c>
      <c r="F1684" s="9" t="str">
        <f>[1]Discovery!G1690</f>
        <v>D</v>
      </c>
      <c r="G1684" s="9" t="str">
        <f>IFERROR(VLOOKUP(표1[[#This Row],[명칭]],'문화권 정리'!C:D,2,FALSE),"-")</f>
        <v>항구</v>
      </c>
      <c r="H1684" s="38" t="str">
        <f>IFERROR(COUNTIF([2]OceanDoodad!$Y:$Y,표1[[#This Row],[명칭]]),"-")</f>
        <v>-</v>
      </c>
      <c r="I1684" s="38">
        <f>IFERROR(COUNTIF([1]AdventureDiscoveryGroup!$D$8:$AW$92,표1[[#This Row],[명칭]]),"-")</f>
        <v>0</v>
      </c>
      <c r="J1684" s="38">
        <f>IFERROR(COUNTIF([1]FishDiscoveryGroup!$A:$X,표1[[#This Row],[명칭]]),"-")</f>
        <v>0</v>
      </c>
      <c r="K1684" s="38" t="str">
        <f>IFERROR(COUNTIF([2]Town!$B:$B,표1[[#This Row],[명칭]]),"-")</f>
        <v>-</v>
      </c>
      <c r="L1684" s="38">
        <f>IFERROR(COUNTIF([1]Village!$BR:$BR,표1[[#This Row],[명칭]]),"-")</f>
        <v>0</v>
      </c>
      <c r="M1684" s="38">
        <f>COUNTIF(퀘스트!B:B,표1[[#This Row],[명칭]])</f>
        <v>0</v>
      </c>
      <c r="N1684" s="65">
        <f>COUNTIF([1]VillageDiscoveryGroup!$C:$C,표1[[#This Row],[명칭]])</f>
        <v>0</v>
      </c>
      <c r="O1684" s="65">
        <f>SUM(표1[[#This Row],[해양탐색]:[마을탐험]])</f>
        <v>0</v>
      </c>
    </row>
    <row r="1685" spans="2:15" ht="13.5" customHeight="1" x14ac:dyDescent="0.3">
      <c r="B1685" s="9">
        <f>[1]Discovery!A1691</f>
        <v>70412185</v>
      </c>
      <c r="C1685" s="9" t="str">
        <f>[1]Discovery!B1691</f>
        <v>포르토벨로</v>
      </c>
      <c r="D1685" s="9" t="str">
        <f>[1]Discovery!E1691</f>
        <v>건축</v>
      </c>
      <c r="E1685" s="9" t="str">
        <f>[1]Discovery!C1691</f>
        <v>항구</v>
      </c>
      <c r="F1685" s="9" t="str">
        <f>[1]Discovery!G1691</f>
        <v>D</v>
      </c>
      <c r="G1685" s="9" t="str">
        <f>IFERROR(VLOOKUP(표1[[#This Row],[명칭]],'문화권 정리'!C:D,2,FALSE),"-")</f>
        <v>항구</v>
      </c>
      <c r="H1685" s="38" t="str">
        <f>IFERROR(COUNTIF([2]OceanDoodad!$Y:$Y,표1[[#This Row],[명칭]]),"-")</f>
        <v>-</v>
      </c>
      <c r="I1685" s="38">
        <f>IFERROR(COUNTIF([1]AdventureDiscoveryGroup!$D$8:$AW$92,표1[[#This Row],[명칭]]),"-")</f>
        <v>0</v>
      </c>
      <c r="J1685" s="38">
        <f>IFERROR(COUNTIF([1]FishDiscoveryGroup!$A:$X,표1[[#This Row],[명칭]]),"-")</f>
        <v>0</v>
      </c>
      <c r="K1685" s="38" t="str">
        <f>IFERROR(COUNTIF([2]Town!$B:$B,표1[[#This Row],[명칭]]),"-")</f>
        <v>-</v>
      </c>
      <c r="L1685" s="38">
        <f>IFERROR(COUNTIF([1]Village!$BR:$BR,표1[[#This Row],[명칭]]),"-")</f>
        <v>0</v>
      </c>
      <c r="M1685" s="38">
        <f>COUNTIF(퀘스트!B:B,표1[[#This Row],[명칭]])</f>
        <v>0</v>
      </c>
      <c r="N1685" s="65">
        <f>COUNTIF([1]VillageDiscoveryGroup!$C:$C,표1[[#This Row],[명칭]])</f>
        <v>0</v>
      </c>
      <c r="O1685" s="65">
        <f>SUM(표1[[#This Row],[해양탐색]:[마을탐험]])</f>
        <v>0</v>
      </c>
    </row>
    <row r="1686" spans="2:15" ht="13.5" customHeight="1" x14ac:dyDescent="0.3">
      <c r="B1686" s="9">
        <f>[1]Discovery!A1692</f>
        <v>70412186</v>
      </c>
      <c r="C1686" s="9" t="str">
        <f>[1]Discovery!B1692</f>
        <v>포르투</v>
      </c>
      <c r="D1686" s="9" t="str">
        <f>[1]Discovery!E1692</f>
        <v>건축</v>
      </c>
      <c r="E1686" s="9" t="str">
        <f>[1]Discovery!C1692</f>
        <v>항구</v>
      </c>
      <c r="F1686" s="9" t="str">
        <f>[1]Discovery!G1692</f>
        <v>D</v>
      </c>
      <c r="G1686" s="9" t="str">
        <f>IFERROR(VLOOKUP(표1[[#This Row],[명칭]],'문화권 정리'!C:D,2,FALSE),"-")</f>
        <v>항구</v>
      </c>
      <c r="H1686" s="38" t="str">
        <f>IFERROR(COUNTIF([2]OceanDoodad!$Y:$Y,표1[[#This Row],[명칭]]),"-")</f>
        <v>-</v>
      </c>
      <c r="I1686" s="38">
        <f>IFERROR(COUNTIF([1]AdventureDiscoveryGroup!$D$8:$AW$92,표1[[#This Row],[명칭]]),"-")</f>
        <v>0</v>
      </c>
      <c r="J1686" s="38">
        <f>IFERROR(COUNTIF([1]FishDiscoveryGroup!$A:$X,표1[[#This Row],[명칭]]),"-")</f>
        <v>0</v>
      </c>
      <c r="K1686" s="38" t="str">
        <f>IFERROR(COUNTIF([2]Town!$B:$B,표1[[#This Row],[명칭]]),"-")</f>
        <v>-</v>
      </c>
      <c r="L1686" s="38">
        <f>IFERROR(COUNTIF([1]Village!$BR:$BR,표1[[#This Row],[명칭]]),"-")</f>
        <v>0</v>
      </c>
      <c r="M1686" s="38">
        <f>COUNTIF(퀘스트!B:B,표1[[#This Row],[명칭]])</f>
        <v>0</v>
      </c>
      <c r="N1686" s="65">
        <f>COUNTIF([1]VillageDiscoveryGroup!$C:$C,표1[[#This Row],[명칭]])</f>
        <v>0</v>
      </c>
      <c r="O1686" s="65">
        <f>SUM(표1[[#This Row],[해양탐색]:[마을탐험]])</f>
        <v>0</v>
      </c>
    </row>
    <row r="1687" spans="2:15" ht="13.5" customHeight="1" x14ac:dyDescent="0.3">
      <c r="B1687" s="9">
        <f>[1]Discovery!A1693</f>
        <v>70412187</v>
      </c>
      <c r="C1687" s="9" t="str">
        <f>[1]Discovery!B1693</f>
        <v>아비앗</v>
      </c>
      <c r="D1687" s="9" t="str">
        <f>[1]Discovery!E1693</f>
        <v>건축</v>
      </c>
      <c r="E1687" s="9" t="str">
        <f>[1]Discovery!C1693</f>
        <v>항구</v>
      </c>
      <c r="F1687" s="9" t="str">
        <f>[1]Discovery!G1693</f>
        <v>D</v>
      </c>
      <c r="G1687" s="9" t="str">
        <f>IFERROR(VLOOKUP(표1[[#This Row],[명칭]],'문화권 정리'!C:D,2,FALSE),"-")</f>
        <v>항구</v>
      </c>
      <c r="H1687" s="38" t="str">
        <f>IFERROR(COUNTIF([2]OceanDoodad!$Y:$Y,표1[[#This Row],[명칭]]),"-")</f>
        <v>-</v>
      </c>
      <c r="I1687" s="38">
        <f>IFERROR(COUNTIF([1]AdventureDiscoveryGroup!$D$8:$AW$92,표1[[#This Row],[명칭]]),"-")</f>
        <v>0</v>
      </c>
      <c r="J1687" s="38">
        <f>IFERROR(COUNTIF([1]FishDiscoveryGroup!$A:$X,표1[[#This Row],[명칭]]),"-")</f>
        <v>0</v>
      </c>
      <c r="K1687" s="38" t="str">
        <f>IFERROR(COUNTIF([2]Town!$B:$B,표1[[#This Row],[명칭]]),"-")</f>
        <v>-</v>
      </c>
      <c r="L1687" s="38">
        <f>IFERROR(COUNTIF([1]Village!$BR:$BR,표1[[#This Row],[명칭]]),"-")</f>
        <v>0</v>
      </c>
      <c r="M1687" s="38">
        <f>COUNTIF(퀘스트!B:B,표1[[#This Row],[명칭]])</f>
        <v>0</v>
      </c>
      <c r="N1687" s="65">
        <f>COUNTIF([1]VillageDiscoveryGroup!$C:$C,표1[[#This Row],[명칭]])</f>
        <v>0</v>
      </c>
      <c r="O1687" s="65">
        <f>SUM(표1[[#This Row],[해양탐색]:[마을탐험]])</f>
        <v>0</v>
      </c>
    </row>
    <row r="1688" spans="2:15" ht="13.5" customHeight="1" x14ac:dyDescent="0.3">
      <c r="B1688" s="9">
        <f>[1]Discovery!A1694</f>
        <v>70412188</v>
      </c>
      <c r="C1688" s="9" t="str">
        <f>[1]Discovery!B1694</f>
        <v>폰타델가다</v>
      </c>
      <c r="D1688" s="9" t="str">
        <f>[1]Discovery!E1694</f>
        <v>건축</v>
      </c>
      <c r="E1688" s="9" t="str">
        <f>[1]Discovery!C1694</f>
        <v>항구</v>
      </c>
      <c r="F1688" s="9" t="str">
        <f>[1]Discovery!G1694</f>
        <v>D</v>
      </c>
      <c r="G1688" s="9" t="str">
        <f>IFERROR(VLOOKUP(표1[[#This Row],[명칭]],'문화권 정리'!C:D,2,FALSE),"-")</f>
        <v>항구</v>
      </c>
      <c r="H1688" s="38" t="str">
        <f>IFERROR(COUNTIF([2]OceanDoodad!$Y:$Y,표1[[#This Row],[명칭]]),"-")</f>
        <v>-</v>
      </c>
      <c r="I1688" s="38">
        <f>IFERROR(COUNTIF([1]AdventureDiscoveryGroup!$D$8:$AW$92,표1[[#This Row],[명칭]]),"-")</f>
        <v>0</v>
      </c>
      <c r="J1688" s="38">
        <f>IFERROR(COUNTIF([1]FishDiscoveryGroup!$A:$X,표1[[#This Row],[명칭]]),"-")</f>
        <v>0</v>
      </c>
      <c r="K1688" s="38" t="str">
        <f>IFERROR(COUNTIF([2]Town!$B:$B,표1[[#This Row],[명칭]]),"-")</f>
        <v>-</v>
      </c>
      <c r="L1688" s="38">
        <f>IFERROR(COUNTIF([1]Village!$BR:$BR,표1[[#This Row],[명칭]]),"-")</f>
        <v>0</v>
      </c>
      <c r="M1688" s="38">
        <f>COUNTIF(퀘스트!B:B,표1[[#This Row],[명칭]])</f>
        <v>0</v>
      </c>
      <c r="N1688" s="65">
        <f>COUNTIF([1]VillageDiscoveryGroup!$C:$C,표1[[#This Row],[명칭]])</f>
        <v>0</v>
      </c>
      <c r="O1688" s="65">
        <f>SUM(표1[[#This Row],[해양탐색]:[마을탐험]])</f>
        <v>0</v>
      </c>
    </row>
    <row r="1689" spans="2:15" ht="13.5" customHeight="1" x14ac:dyDescent="0.3">
      <c r="B1689" s="9">
        <f>[1]Discovery!A1695</f>
        <v>70412189</v>
      </c>
      <c r="C1689" s="9" t="str">
        <f>[1]Discovery!B1695</f>
        <v>판디체리</v>
      </c>
      <c r="D1689" s="9" t="str">
        <f>[1]Discovery!E1695</f>
        <v>건축</v>
      </c>
      <c r="E1689" s="9" t="str">
        <f>[1]Discovery!C1695</f>
        <v>항구</v>
      </c>
      <c r="F1689" s="9" t="str">
        <f>[1]Discovery!G1695</f>
        <v>D</v>
      </c>
      <c r="G1689" s="9" t="str">
        <f>IFERROR(VLOOKUP(표1[[#This Row],[명칭]],'문화권 정리'!C:D,2,FALSE),"-")</f>
        <v>항구</v>
      </c>
      <c r="H1689" s="38" t="str">
        <f>IFERROR(COUNTIF([2]OceanDoodad!$Y:$Y,표1[[#This Row],[명칭]]),"-")</f>
        <v>-</v>
      </c>
      <c r="I1689" s="38">
        <f>IFERROR(COUNTIF([1]AdventureDiscoveryGroup!$D$8:$AW$92,표1[[#This Row],[명칭]]),"-")</f>
        <v>0</v>
      </c>
      <c r="J1689" s="38">
        <f>IFERROR(COUNTIF([1]FishDiscoveryGroup!$A:$X,표1[[#This Row],[명칭]]),"-")</f>
        <v>0</v>
      </c>
      <c r="K1689" s="38" t="str">
        <f>IFERROR(COUNTIF([2]Town!$B:$B,표1[[#This Row],[명칭]]),"-")</f>
        <v>-</v>
      </c>
      <c r="L1689" s="38">
        <f>IFERROR(COUNTIF([1]Village!$BR:$BR,표1[[#This Row],[명칭]]),"-")</f>
        <v>0</v>
      </c>
      <c r="M1689" s="38">
        <f>COUNTIF(퀘스트!B:B,표1[[#This Row],[명칭]])</f>
        <v>0</v>
      </c>
      <c r="N1689" s="65">
        <f>COUNTIF([1]VillageDiscoveryGroup!$C:$C,표1[[#This Row],[명칭]])</f>
        <v>0</v>
      </c>
      <c r="O1689" s="65">
        <f>SUM(표1[[#This Row],[해양탐색]:[마을탐험]])</f>
        <v>0</v>
      </c>
    </row>
    <row r="1690" spans="2:15" ht="13.5" customHeight="1" x14ac:dyDescent="0.3">
      <c r="B1690" s="9">
        <f>[1]Discovery!A1696</f>
        <v>70412190</v>
      </c>
      <c r="C1690" s="9" t="str">
        <f>[1]Discovery!B1696</f>
        <v>프레이노코르</v>
      </c>
      <c r="D1690" s="9" t="str">
        <f>[1]Discovery!E1696</f>
        <v>건축</v>
      </c>
      <c r="E1690" s="9" t="str">
        <f>[1]Discovery!C1696</f>
        <v>항구</v>
      </c>
      <c r="F1690" s="9" t="str">
        <f>[1]Discovery!G1696</f>
        <v>D</v>
      </c>
      <c r="G1690" s="9" t="str">
        <f>IFERROR(VLOOKUP(표1[[#This Row],[명칭]],'문화권 정리'!C:D,2,FALSE),"-")</f>
        <v>항구</v>
      </c>
      <c r="H1690" s="38" t="str">
        <f>IFERROR(COUNTIF([2]OceanDoodad!$Y:$Y,표1[[#This Row],[명칭]]),"-")</f>
        <v>-</v>
      </c>
      <c r="I1690" s="38">
        <f>IFERROR(COUNTIF([1]AdventureDiscoveryGroup!$D$8:$AW$92,표1[[#This Row],[명칭]]),"-")</f>
        <v>0</v>
      </c>
      <c r="J1690" s="38">
        <f>IFERROR(COUNTIF([1]FishDiscoveryGroup!$A:$X,표1[[#This Row],[명칭]]),"-")</f>
        <v>0</v>
      </c>
      <c r="K1690" s="38" t="str">
        <f>IFERROR(COUNTIF([2]Town!$B:$B,표1[[#This Row],[명칭]]),"-")</f>
        <v>-</v>
      </c>
      <c r="L1690" s="38">
        <f>IFERROR(COUNTIF([1]Village!$BR:$BR,표1[[#This Row],[명칭]]),"-")</f>
        <v>0</v>
      </c>
      <c r="M1690" s="38">
        <f>COUNTIF(퀘스트!B:B,표1[[#This Row],[명칭]])</f>
        <v>0</v>
      </c>
      <c r="N1690" s="65">
        <f>COUNTIF([1]VillageDiscoveryGroup!$C:$C,표1[[#This Row],[명칭]])</f>
        <v>0</v>
      </c>
      <c r="O1690" s="65">
        <f>SUM(표1[[#This Row],[해양탐색]:[마을탐험]])</f>
        <v>0</v>
      </c>
    </row>
    <row r="1691" spans="2:15" ht="13.5" customHeight="1" x14ac:dyDescent="0.3">
      <c r="B1691" s="9">
        <f>[1]Discovery!A1697</f>
        <v>70412191</v>
      </c>
      <c r="C1691" s="9" t="str">
        <f>[1]Discovery!B1697</f>
        <v>플리머스</v>
      </c>
      <c r="D1691" s="9" t="str">
        <f>[1]Discovery!E1697</f>
        <v>건축</v>
      </c>
      <c r="E1691" s="9" t="str">
        <f>[1]Discovery!C1697</f>
        <v>항구</v>
      </c>
      <c r="F1691" s="9" t="str">
        <f>[1]Discovery!G1697</f>
        <v>D</v>
      </c>
      <c r="G1691" s="9" t="str">
        <f>IFERROR(VLOOKUP(표1[[#This Row],[명칭]],'문화권 정리'!C:D,2,FALSE),"-")</f>
        <v>항구</v>
      </c>
      <c r="H1691" s="38" t="str">
        <f>IFERROR(COUNTIF([2]OceanDoodad!$Y:$Y,표1[[#This Row],[명칭]]),"-")</f>
        <v>-</v>
      </c>
      <c r="I1691" s="38">
        <f>IFERROR(COUNTIF([1]AdventureDiscoveryGroup!$D$8:$AW$92,표1[[#This Row],[명칭]]),"-")</f>
        <v>0</v>
      </c>
      <c r="J1691" s="38">
        <f>IFERROR(COUNTIF([1]FishDiscoveryGroup!$A:$X,표1[[#This Row],[명칭]]),"-")</f>
        <v>0</v>
      </c>
      <c r="K1691" s="38" t="str">
        <f>IFERROR(COUNTIF([2]Town!$B:$B,표1[[#This Row],[명칭]]),"-")</f>
        <v>-</v>
      </c>
      <c r="L1691" s="38">
        <f>IFERROR(COUNTIF([1]Village!$BR:$BR,표1[[#This Row],[명칭]]),"-")</f>
        <v>0</v>
      </c>
      <c r="M1691" s="38">
        <f>COUNTIF(퀘스트!B:B,표1[[#This Row],[명칭]])</f>
        <v>0</v>
      </c>
      <c r="N1691" s="65">
        <f>COUNTIF([1]VillageDiscoveryGroup!$C:$C,표1[[#This Row],[명칭]])</f>
        <v>0</v>
      </c>
      <c r="O1691" s="65">
        <f>SUM(표1[[#This Row],[해양탐색]:[마을탐험]])</f>
        <v>0</v>
      </c>
    </row>
    <row r="1692" spans="2:15" ht="13.5" customHeight="1" x14ac:dyDescent="0.3">
      <c r="B1692" s="9">
        <f>[1]Discovery!A1698</f>
        <v>70412192</v>
      </c>
      <c r="C1692" s="9" t="str">
        <f>[1]Discovery!B1698</f>
        <v>피사</v>
      </c>
      <c r="D1692" s="9" t="str">
        <f>[1]Discovery!E1698</f>
        <v>건축</v>
      </c>
      <c r="E1692" s="9" t="str">
        <f>[1]Discovery!C1698</f>
        <v>항구</v>
      </c>
      <c r="F1692" s="9" t="str">
        <f>[1]Discovery!G1698</f>
        <v>D</v>
      </c>
      <c r="G1692" s="9" t="str">
        <f>IFERROR(VLOOKUP(표1[[#This Row],[명칭]],'문화권 정리'!C:D,2,FALSE),"-")</f>
        <v>항구</v>
      </c>
      <c r="H1692" s="38" t="str">
        <f>IFERROR(COUNTIF([2]OceanDoodad!$Y:$Y,표1[[#This Row],[명칭]]),"-")</f>
        <v>-</v>
      </c>
      <c r="I1692" s="38">
        <f>IFERROR(COUNTIF([1]AdventureDiscoveryGroup!$D$8:$AW$92,표1[[#This Row],[명칭]]),"-")</f>
        <v>0</v>
      </c>
      <c r="J1692" s="38">
        <f>IFERROR(COUNTIF([1]FishDiscoveryGroup!$A:$X,표1[[#This Row],[명칭]]),"-")</f>
        <v>0</v>
      </c>
      <c r="K1692" s="38" t="str">
        <f>IFERROR(COUNTIF([2]Town!$B:$B,표1[[#This Row],[명칭]]),"-")</f>
        <v>-</v>
      </c>
      <c r="L1692" s="38">
        <f>IFERROR(COUNTIF([1]Village!$BR:$BR,표1[[#This Row],[명칭]]),"-")</f>
        <v>0</v>
      </c>
      <c r="M1692" s="38">
        <f>COUNTIF(퀘스트!B:B,표1[[#This Row],[명칭]])</f>
        <v>0</v>
      </c>
      <c r="N1692" s="65">
        <f>COUNTIF([1]VillageDiscoveryGroup!$C:$C,표1[[#This Row],[명칭]])</f>
        <v>0</v>
      </c>
      <c r="O1692" s="65">
        <f>SUM(표1[[#This Row],[해양탐색]:[마을탐험]])</f>
        <v>0</v>
      </c>
    </row>
    <row r="1693" spans="2:15" ht="13.5" customHeight="1" x14ac:dyDescent="0.3">
      <c r="B1693" s="9">
        <f>[1]Discovery!A1699</f>
        <v>70412193</v>
      </c>
      <c r="C1693" s="9" t="str">
        <f>[1]Discovery!B1699</f>
        <v>핀자라</v>
      </c>
      <c r="D1693" s="9" t="str">
        <f>[1]Discovery!E1699</f>
        <v>건축</v>
      </c>
      <c r="E1693" s="9" t="str">
        <f>[1]Discovery!C1699</f>
        <v>항구</v>
      </c>
      <c r="F1693" s="9" t="str">
        <f>[1]Discovery!G1699</f>
        <v>D</v>
      </c>
      <c r="G1693" s="9" t="str">
        <f>IFERROR(VLOOKUP(표1[[#This Row],[명칭]],'문화권 정리'!C:D,2,FALSE),"-")</f>
        <v>항구</v>
      </c>
      <c r="H1693" s="38" t="str">
        <f>IFERROR(COUNTIF([2]OceanDoodad!$Y:$Y,표1[[#This Row],[명칭]]),"-")</f>
        <v>-</v>
      </c>
      <c r="I1693" s="38">
        <f>IFERROR(COUNTIF([1]AdventureDiscoveryGroup!$D$8:$AW$92,표1[[#This Row],[명칭]]),"-")</f>
        <v>0</v>
      </c>
      <c r="J1693" s="38">
        <f>IFERROR(COUNTIF([1]FishDiscoveryGroup!$A:$X,표1[[#This Row],[명칭]]),"-")</f>
        <v>0</v>
      </c>
      <c r="K1693" s="38" t="str">
        <f>IFERROR(COUNTIF([2]Town!$B:$B,표1[[#This Row],[명칭]]),"-")</f>
        <v>-</v>
      </c>
      <c r="L1693" s="38">
        <f>IFERROR(COUNTIF([1]Village!$BR:$BR,표1[[#This Row],[명칭]]),"-")</f>
        <v>0</v>
      </c>
      <c r="M1693" s="38">
        <f>COUNTIF(퀘스트!B:B,표1[[#This Row],[명칭]])</f>
        <v>0</v>
      </c>
      <c r="N1693" s="65">
        <f>COUNTIF([1]VillageDiscoveryGroup!$C:$C,표1[[#This Row],[명칭]])</f>
        <v>0</v>
      </c>
      <c r="O1693" s="65">
        <f>SUM(표1[[#This Row],[해양탐색]:[마을탐험]])</f>
        <v>0</v>
      </c>
    </row>
    <row r="1694" spans="2:15" ht="13.5" customHeight="1" x14ac:dyDescent="0.3">
      <c r="B1694" s="9">
        <f>[1]Discovery!A1700</f>
        <v>70412194</v>
      </c>
      <c r="C1694" s="9" t="str">
        <f>[1]Discovery!B1700</f>
        <v>하노이</v>
      </c>
      <c r="D1694" s="9" t="str">
        <f>[1]Discovery!E1700</f>
        <v>건축</v>
      </c>
      <c r="E1694" s="9" t="str">
        <f>[1]Discovery!C1700</f>
        <v>항구</v>
      </c>
      <c r="F1694" s="9" t="str">
        <f>[1]Discovery!G1700</f>
        <v>D</v>
      </c>
      <c r="G1694" s="9" t="str">
        <f>IFERROR(VLOOKUP(표1[[#This Row],[명칭]],'문화권 정리'!C:D,2,FALSE),"-")</f>
        <v>항구</v>
      </c>
      <c r="H1694" s="38" t="str">
        <f>IFERROR(COUNTIF([2]OceanDoodad!$Y:$Y,표1[[#This Row],[명칭]]),"-")</f>
        <v>-</v>
      </c>
      <c r="I1694" s="38">
        <f>IFERROR(COUNTIF([1]AdventureDiscoveryGroup!$D$8:$AW$92,표1[[#This Row],[명칭]]),"-")</f>
        <v>0</v>
      </c>
      <c r="J1694" s="38">
        <f>IFERROR(COUNTIF([1]FishDiscoveryGroup!$A:$X,표1[[#This Row],[명칭]]),"-")</f>
        <v>0</v>
      </c>
      <c r="K1694" s="38" t="str">
        <f>IFERROR(COUNTIF([2]Town!$B:$B,표1[[#This Row],[명칭]]),"-")</f>
        <v>-</v>
      </c>
      <c r="L1694" s="38">
        <f>IFERROR(COUNTIF([1]Village!$BR:$BR,표1[[#This Row],[명칭]]),"-")</f>
        <v>0</v>
      </c>
      <c r="M1694" s="38">
        <f>COUNTIF(퀘스트!B:B,표1[[#This Row],[명칭]])</f>
        <v>0</v>
      </c>
      <c r="N1694" s="65">
        <f>COUNTIF([1]VillageDiscoveryGroup!$C:$C,표1[[#This Row],[명칭]])</f>
        <v>0</v>
      </c>
      <c r="O1694" s="65">
        <f>SUM(표1[[#This Row],[해양탐색]:[마을탐험]])</f>
        <v>0</v>
      </c>
    </row>
    <row r="1695" spans="2:15" ht="13.5" customHeight="1" x14ac:dyDescent="0.3">
      <c r="B1695" s="9">
        <f>[1]Discovery!A1701</f>
        <v>70412195</v>
      </c>
      <c r="C1695" s="9" t="str">
        <f>[1]Discovery!B1701</f>
        <v>하디보</v>
      </c>
      <c r="D1695" s="9" t="str">
        <f>[1]Discovery!E1701</f>
        <v>건축</v>
      </c>
      <c r="E1695" s="9" t="str">
        <f>[1]Discovery!C1701</f>
        <v>항구</v>
      </c>
      <c r="F1695" s="9" t="str">
        <f>[1]Discovery!G1701</f>
        <v>D</v>
      </c>
      <c r="G1695" s="9" t="str">
        <f>IFERROR(VLOOKUP(표1[[#This Row],[명칭]],'문화권 정리'!C:D,2,FALSE),"-")</f>
        <v>항구</v>
      </c>
      <c r="H1695" s="38" t="str">
        <f>IFERROR(COUNTIF([2]OceanDoodad!$Y:$Y,표1[[#This Row],[명칭]]),"-")</f>
        <v>-</v>
      </c>
      <c r="I1695" s="38">
        <f>IFERROR(COUNTIF([1]AdventureDiscoveryGroup!$D$8:$AW$92,표1[[#This Row],[명칭]]),"-")</f>
        <v>0</v>
      </c>
      <c r="J1695" s="38">
        <f>IFERROR(COUNTIF([1]FishDiscoveryGroup!$A:$X,표1[[#This Row],[명칭]]),"-")</f>
        <v>0</v>
      </c>
      <c r="K1695" s="38" t="str">
        <f>IFERROR(COUNTIF([2]Town!$B:$B,표1[[#This Row],[명칭]]),"-")</f>
        <v>-</v>
      </c>
      <c r="L1695" s="38">
        <f>IFERROR(COUNTIF([1]Village!$BR:$BR,표1[[#This Row],[명칭]]),"-")</f>
        <v>0</v>
      </c>
      <c r="M1695" s="38">
        <f>COUNTIF(퀘스트!B:B,표1[[#This Row],[명칭]])</f>
        <v>0</v>
      </c>
      <c r="N1695" s="65">
        <f>COUNTIF([1]VillageDiscoveryGroup!$C:$C,표1[[#This Row],[명칭]])</f>
        <v>0</v>
      </c>
      <c r="O1695" s="65">
        <f>SUM(표1[[#This Row],[해양탐색]:[마을탐험]])</f>
        <v>0</v>
      </c>
    </row>
    <row r="1696" spans="2:15" ht="13.5" customHeight="1" x14ac:dyDescent="0.3">
      <c r="B1696" s="9">
        <f>[1]Discovery!A1702</f>
        <v>70412196</v>
      </c>
      <c r="C1696" s="9" t="str">
        <f>[1]Discovery!B1702</f>
        <v>한양</v>
      </c>
      <c r="D1696" s="9" t="str">
        <f>[1]Discovery!E1702</f>
        <v>건축</v>
      </c>
      <c r="E1696" s="9" t="str">
        <f>[1]Discovery!C1702</f>
        <v>항구</v>
      </c>
      <c r="F1696" s="9" t="str">
        <f>[1]Discovery!G1702</f>
        <v>D</v>
      </c>
      <c r="G1696" s="9" t="str">
        <f>IFERROR(VLOOKUP(표1[[#This Row],[명칭]],'문화권 정리'!C:D,2,FALSE),"-")</f>
        <v>항구</v>
      </c>
      <c r="H1696" s="38" t="str">
        <f>IFERROR(COUNTIF([2]OceanDoodad!$Y:$Y,표1[[#This Row],[명칭]]),"-")</f>
        <v>-</v>
      </c>
      <c r="I1696" s="38">
        <f>IFERROR(COUNTIF([1]AdventureDiscoveryGroup!$D$8:$AW$92,표1[[#This Row],[명칭]]),"-")</f>
        <v>0</v>
      </c>
      <c r="J1696" s="38">
        <f>IFERROR(COUNTIF([1]FishDiscoveryGroup!$A:$X,표1[[#This Row],[명칭]]),"-")</f>
        <v>0</v>
      </c>
      <c r="K1696" s="38" t="str">
        <f>IFERROR(COUNTIF([2]Town!$B:$B,표1[[#This Row],[명칭]]),"-")</f>
        <v>-</v>
      </c>
      <c r="L1696" s="38">
        <f>IFERROR(COUNTIF([1]Village!$BR:$BR,표1[[#This Row],[명칭]]),"-")</f>
        <v>0</v>
      </c>
      <c r="M1696" s="38">
        <f>COUNTIF(퀘스트!B:B,표1[[#This Row],[명칭]])</f>
        <v>0</v>
      </c>
      <c r="N1696" s="65">
        <f>COUNTIF([1]VillageDiscoveryGroup!$C:$C,표1[[#This Row],[명칭]])</f>
        <v>0</v>
      </c>
      <c r="O1696" s="65">
        <f>SUM(표1[[#This Row],[해양탐색]:[마을탐험]])</f>
        <v>0</v>
      </c>
    </row>
    <row r="1697" spans="2:15" ht="13.5" customHeight="1" x14ac:dyDescent="0.3">
      <c r="B1697" s="9">
        <f>[1]Discovery!A1703</f>
        <v>70412197</v>
      </c>
      <c r="C1697" s="9" t="str">
        <f>[1]Discovery!B1703</f>
        <v>함부르크</v>
      </c>
      <c r="D1697" s="9" t="str">
        <f>[1]Discovery!E1703</f>
        <v>건축</v>
      </c>
      <c r="E1697" s="9" t="str">
        <f>[1]Discovery!C1703</f>
        <v>항구</v>
      </c>
      <c r="F1697" s="9" t="str">
        <f>[1]Discovery!G1703</f>
        <v>D</v>
      </c>
      <c r="G1697" s="9" t="str">
        <f>IFERROR(VLOOKUP(표1[[#This Row],[명칭]],'문화권 정리'!C:D,2,FALSE),"-")</f>
        <v>항구</v>
      </c>
      <c r="H1697" s="38" t="str">
        <f>IFERROR(COUNTIF([2]OceanDoodad!$Y:$Y,표1[[#This Row],[명칭]]),"-")</f>
        <v>-</v>
      </c>
      <c r="I1697" s="38">
        <f>IFERROR(COUNTIF([1]AdventureDiscoveryGroup!$D$8:$AW$92,표1[[#This Row],[명칭]]),"-")</f>
        <v>0</v>
      </c>
      <c r="J1697" s="38">
        <f>IFERROR(COUNTIF([1]FishDiscoveryGroup!$A:$X,표1[[#This Row],[명칭]]),"-")</f>
        <v>0</v>
      </c>
      <c r="K1697" s="38" t="str">
        <f>IFERROR(COUNTIF([2]Town!$B:$B,표1[[#This Row],[명칭]]),"-")</f>
        <v>-</v>
      </c>
      <c r="L1697" s="38">
        <f>IFERROR(COUNTIF([1]Village!$BR:$BR,표1[[#This Row],[명칭]]),"-")</f>
        <v>0</v>
      </c>
      <c r="M1697" s="38">
        <f>COUNTIF(퀘스트!B:B,표1[[#This Row],[명칭]])</f>
        <v>0</v>
      </c>
      <c r="N1697" s="65">
        <f>COUNTIF([1]VillageDiscoveryGroup!$C:$C,표1[[#This Row],[명칭]])</f>
        <v>0</v>
      </c>
      <c r="O1697" s="65">
        <f>SUM(표1[[#This Row],[해양탐색]:[마을탐험]])</f>
        <v>0</v>
      </c>
    </row>
    <row r="1698" spans="2:15" ht="13.5" customHeight="1" x14ac:dyDescent="0.3">
      <c r="B1698" s="9">
        <f>[1]Discovery!A1704</f>
        <v>70412198</v>
      </c>
      <c r="C1698" s="9" t="str">
        <f>[1]Discovery!B1704</f>
        <v>항주</v>
      </c>
      <c r="D1698" s="9" t="str">
        <f>[1]Discovery!E1704</f>
        <v>건축</v>
      </c>
      <c r="E1698" s="9" t="str">
        <f>[1]Discovery!C1704</f>
        <v>항구</v>
      </c>
      <c r="F1698" s="9" t="str">
        <f>[1]Discovery!G1704</f>
        <v>D</v>
      </c>
      <c r="G1698" s="9" t="str">
        <f>IFERROR(VLOOKUP(표1[[#This Row],[명칭]],'문화권 정리'!C:D,2,FALSE),"-")</f>
        <v>항구</v>
      </c>
      <c r="H1698" s="38" t="str">
        <f>IFERROR(COUNTIF([2]OceanDoodad!$Y:$Y,표1[[#This Row],[명칭]]),"-")</f>
        <v>-</v>
      </c>
      <c r="I1698" s="38">
        <f>IFERROR(COUNTIF([1]AdventureDiscoveryGroup!$D$8:$AW$92,표1[[#This Row],[명칭]]),"-")</f>
        <v>0</v>
      </c>
      <c r="J1698" s="38">
        <f>IFERROR(COUNTIF([1]FishDiscoveryGroup!$A:$X,표1[[#This Row],[명칭]]),"-")</f>
        <v>0</v>
      </c>
      <c r="K1698" s="38" t="str">
        <f>IFERROR(COUNTIF([2]Town!$B:$B,표1[[#This Row],[명칭]]),"-")</f>
        <v>-</v>
      </c>
      <c r="L1698" s="38">
        <f>IFERROR(COUNTIF([1]Village!$BR:$BR,표1[[#This Row],[명칭]]),"-")</f>
        <v>0</v>
      </c>
      <c r="M1698" s="38">
        <f>COUNTIF(퀘스트!B:B,표1[[#This Row],[명칭]])</f>
        <v>0</v>
      </c>
      <c r="N1698" s="65">
        <f>COUNTIF([1]VillageDiscoveryGroup!$C:$C,표1[[#This Row],[명칭]])</f>
        <v>0</v>
      </c>
      <c r="O1698" s="65">
        <f>SUM(표1[[#This Row],[해양탐색]:[마을탐험]])</f>
        <v>0</v>
      </c>
    </row>
    <row r="1699" spans="2:15" ht="13.5" customHeight="1" x14ac:dyDescent="0.3">
      <c r="B1699" s="9">
        <f>[1]Discovery!A1705</f>
        <v>70412199</v>
      </c>
      <c r="C1699" s="9" t="str">
        <f>[1]Discovery!B1705</f>
        <v>호놀룰루</v>
      </c>
      <c r="D1699" s="9" t="str">
        <f>[1]Discovery!E1705</f>
        <v>건축</v>
      </c>
      <c r="E1699" s="9" t="str">
        <f>[1]Discovery!C1705</f>
        <v>항구</v>
      </c>
      <c r="F1699" s="9" t="str">
        <f>[1]Discovery!G1705</f>
        <v>D</v>
      </c>
      <c r="G1699" s="9" t="str">
        <f>IFERROR(VLOOKUP(표1[[#This Row],[명칭]],'문화권 정리'!C:D,2,FALSE),"-")</f>
        <v>항구</v>
      </c>
      <c r="H1699" s="38" t="str">
        <f>IFERROR(COUNTIF([2]OceanDoodad!$Y:$Y,표1[[#This Row],[명칭]]),"-")</f>
        <v>-</v>
      </c>
      <c r="I1699" s="38">
        <f>IFERROR(COUNTIF([1]AdventureDiscoveryGroup!$D$8:$AW$92,표1[[#This Row],[명칭]]),"-")</f>
        <v>0</v>
      </c>
      <c r="J1699" s="38">
        <f>IFERROR(COUNTIF([1]FishDiscoveryGroup!$A:$X,표1[[#This Row],[명칭]]),"-")</f>
        <v>0</v>
      </c>
      <c r="K1699" s="38" t="str">
        <f>IFERROR(COUNTIF([2]Town!$B:$B,표1[[#This Row],[명칭]]),"-")</f>
        <v>-</v>
      </c>
      <c r="L1699" s="38">
        <f>IFERROR(COUNTIF([1]Village!$BR:$BR,표1[[#This Row],[명칭]]),"-")</f>
        <v>0</v>
      </c>
      <c r="M1699" s="38">
        <f>COUNTIF(퀘스트!B:B,표1[[#This Row],[명칭]])</f>
        <v>0</v>
      </c>
      <c r="N1699" s="65">
        <f>COUNTIF([1]VillageDiscoveryGroup!$C:$C,표1[[#This Row],[명칭]])</f>
        <v>0</v>
      </c>
      <c r="O1699" s="65">
        <f>SUM(표1[[#This Row],[해양탐색]:[마을탐험]])</f>
        <v>0</v>
      </c>
    </row>
    <row r="1700" spans="2:15" ht="13.5" customHeight="1" x14ac:dyDescent="0.3">
      <c r="B1700" s="9">
        <f>[1]Discovery!A1706</f>
        <v>70412200</v>
      </c>
      <c r="C1700" s="9" t="str">
        <f>[1]Discovery!B1706</f>
        <v>하라무즈</v>
      </c>
      <c r="D1700" s="9" t="str">
        <f>[1]Discovery!E1706</f>
        <v>건축</v>
      </c>
      <c r="E1700" s="9" t="str">
        <f>[1]Discovery!C1706</f>
        <v>항구</v>
      </c>
      <c r="F1700" s="9" t="str">
        <f>[1]Discovery!G1706</f>
        <v>D</v>
      </c>
      <c r="G1700" s="9" t="str">
        <f>IFERROR(VLOOKUP(표1[[#This Row],[명칭]],'문화권 정리'!C:D,2,FALSE),"-")</f>
        <v>항구</v>
      </c>
      <c r="H1700" s="38" t="str">
        <f>IFERROR(COUNTIF([2]OceanDoodad!$Y:$Y,표1[[#This Row],[명칭]]),"-")</f>
        <v>-</v>
      </c>
      <c r="I1700" s="38">
        <f>IFERROR(COUNTIF([1]AdventureDiscoveryGroup!$D$8:$AW$92,표1[[#This Row],[명칭]]),"-")</f>
        <v>0</v>
      </c>
      <c r="J1700" s="38">
        <f>IFERROR(COUNTIF([1]FishDiscoveryGroup!$A:$X,표1[[#This Row],[명칭]]),"-")</f>
        <v>0</v>
      </c>
      <c r="K1700" s="38" t="str">
        <f>IFERROR(COUNTIF([2]Town!$B:$B,표1[[#This Row],[명칭]]),"-")</f>
        <v>-</v>
      </c>
      <c r="L1700" s="38">
        <f>IFERROR(COUNTIF([1]Village!$BR:$BR,표1[[#This Row],[명칭]]),"-")</f>
        <v>0</v>
      </c>
      <c r="M1700" s="38">
        <f>COUNTIF(퀘스트!B:B,표1[[#This Row],[명칭]])</f>
        <v>0</v>
      </c>
      <c r="N1700" s="65">
        <f>COUNTIF([1]VillageDiscoveryGroup!$C:$C,표1[[#This Row],[명칭]])</f>
        <v>0</v>
      </c>
      <c r="O1700" s="65">
        <f>SUM(표1[[#This Row],[해양탐색]:[마을탐험]])</f>
        <v>0</v>
      </c>
    </row>
    <row r="1701" spans="2:15" ht="13.5" customHeight="1" x14ac:dyDescent="0.3">
      <c r="B1701" s="9">
        <f>[1]Discovery!A1707</f>
        <v>70412201</v>
      </c>
      <c r="C1701" s="9" t="str">
        <f>[1]Discovery!B1707</f>
        <v>호바톤</v>
      </c>
      <c r="D1701" s="9" t="str">
        <f>[1]Discovery!E1707</f>
        <v>건축</v>
      </c>
      <c r="E1701" s="9" t="str">
        <f>[1]Discovery!C1707</f>
        <v>항구</v>
      </c>
      <c r="F1701" s="9" t="str">
        <f>[1]Discovery!G1707</f>
        <v>D</v>
      </c>
      <c r="G1701" s="9" t="str">
        <f>IFERROR(VLOOKUP(표1[[#This Row],[명칭]],'문화권 정리'!C:D,2,FALSE),"-")</f>
        <v>항구</v>
      </c>
      <c r="H1701" s="38" t="str">
        <f>IFERROR(COUNTIF([2]OceanDoodad!$Y:$Y,표1[[#This Row],[명칭]]),"-")</f>
        <v>-</v>
      </c>
      <c r="I1701" s="38">
        <f>IFERROR(COUNTIF([1]AdventureDiscoveryGroup!$D$8:$AW$92,표1[[#This Row],[명칭]]),"-")</f>
        <v>0</v>
      </c>
      <c r="J1701" s="38">
        <f>IFERROR(COUNTIF([1]FishDiscoveryGroup!$A:$X,표1[[#This Row],[명칭]]),"-")</f>
        <v>0</v>
      </c>
      <c r="K1701" s="38" t="str">
        <f>IFERROR(COUNTIF([2]Town!$B:$B,표1[[#This Row],[명칭]]),"-")</f>
        <v>-</v>
      </c>
      <c r="L1701" s="38">
        <f>IFERROR(COUNTIF([1]Village!$BR:$BR,표1[[#This Row],[명칭]]),"-")</f>
        <v>0</v>
      </c>
      <c r="M1701" s="38">
        <f>COUNTIF(퀘스트!B:B,표1[[#This Row],[명칭]])</f>
        <v>0</v>
      </c>
      <c r="N1701" s="65">
        <f>COUNTIF([1]VillageDiscoveryGroup!$C:$C,표1[[#This Row],[명칭]])</f>
        <v>0</v>
      </c>
      <c r="O1701" s="65">
        <f>SUM(표1[[#This Row],[해양탐색]:[마을탐험]])</f>
        <v>0</v>
      </c>
    </row>
    <row r="1702" spans="2:15" ht="13.5" customHeight="1" x14ac:dyDescent="0.3">
      <c r="B1702" s="9">
        <f>[1]Discovery!A1708</f>
        <v>70412202</v>
      </c>
      <c r="C1702" s="9" t="str">
        <f>[1]Discovery!B1708</f>
        <v>홀로</v>
      </c>
      <c r="D1702" s="9" t="str">
        <f>[1]Discovery!E1708</f>
        <v>건축</v>
      </c>
      <c r="E1702" s="9" t="str">
        <f>[1]Discovery!C1708</f>
        <v>항구</v>
      </c>
      <c r="F1702" s="9" t="str">
        <f>[1]Discovery!G1708</f>
        <v>D</v>
      </c>
      <c r="G1702" s="9" t="str">
        <f>IFERROR(VLOOKUP(표1[[#This Row],[명칭]],'문화권 정리'!C:D,2,FALSE),"-")</f>
        <v>항구</v>
      </c>
      <c r="H1702" s="38" t="str">
        <f>IFERROR(COUNTIF([2]OceanDoodad!$Y:$Y,표1[[#This Row],[명칭]]),"-")</f>
        <v>-</v>
      </c>
      <c r="I1702" s="38">
        <f>IFERROR(COUNTIF([1]AdventureDiscoveryGroup!$D$8:$AW$92,표1[[#This Row],[명칭]]),"-")</f>
        <v>0</v>
      </c>
      <c r="J1702" s="38">
        <f>IFERROR(COUNTIF([1]FishDiscoveryGroup!$A:$X,표1[[#This Row],[명칭]]),"-")</f>
        <v>0</v>
      </c>
      <c r="K1702" s="38" t="str">
        <f>IFERROR(COUNTIF([2]Town!$B:$B,표1[[#This Row],[명칭]]),"-")</f>
        <v>-</v>
      </c>
      <c r="L1702" s="38">
        <f>IFERROR(COUNTIF([1]Village!$BR:$BR,표1[[#This Row],[명칭]]),"-")</f>
        <v>0</v>
      </c>
      <c r="M1702" s="38">
        <f>COUNTIF(퀘스트!B:B,표1[[#This Row],[명칭]])</f>
        <v>0</v>
      </c>
      <c r="N1702" s="65">
        <f>COUNTIF([1]VillageDiscoveryGroup!$C:$C,표1[[#This Row],[명칭]])</f>
        <v>0</v>
      </c>
      <c r="O1702" s="65">
        <f>SUM(표1[[#This Row],[해양탐색]:[마을탐험]])</f>
        <v>0</v>
      </c>
    </row>
    <row r="1703" spans="2:15" ht="13.5" customHeight="1" x14ac:dyDescent="0.3">
      <c r="B1703" s="9">
        <f>[1]Discovery!A1709</f>
        <v>70412203</v>
      </c>
      <c r="C1703" s="9" t="str">
        <f>[1]Discovery!B1709</f>
        <v>흐로닝언</v>
      </c>
      <c r="D1703" s="9" t="str">
        <f>[1]Discovery!E1709</f>
        <v>건축</v>
      </c>
      <c r="E1703" s="9" t="str">
        <f>[1]Discovery!C1709</f>
        <v>항구</v>
      </c>
      <c r="F1703" s="9" t="str">
        <f>[1]Discovery!G1709</f>
        <v>D</v>
      </c>
      <c r="G1703" s="9" t="str">
        <f>IFERROR(VLOOKUP(표1[[#This Row],[명칭]],'문화권 정리'!C:D,2,FALSE),"-")</f>
        <v>항구</v>
      </c>
      <c r="H1703" s="38" t="str">
        <f>IFERROR(COUNTIF([2]OceanDoodad!$Y:$Y,표1[[#This Row],[명칭]]),"-")</f>
        <v>-</v>
      </c>
      <c r="I1703" s="38">
        <f>IFERROR(COUNTIF([1]AdventureDiscoveryGroup!$D$8:$AW$92,표1[[#This Row],[명칭]]),"-")</f>
        <v>0</v>
      </c>
      <c r="J1703" s="38">
        <f>IFERROR(COUNTIF([1]FishDiscoveryGroup!$A:$X,표1[[#This Row],[명칭]]),"-")</f>
        <v>0</v>
      </c>
      <c r="K1703" s="38" t="str">
        <f>IFERROR(COUNTIF([2]Town!$B:$B,표1[[#This Row],[명칭]]),"-")</f>
        <v>-</v>
      </c>
      <c r="L1703" s="38">
        <f>IFERROR(COUNTIF([1]Village!$BR:$BR,표1[[#This Row],[명칭]]),"-")</f>
        <v>0</v>
      </c>
      <c r="M1703" s="38">
        <f>COUNTIF(퀘스트!B:B,표1[[#This Row],[명칭]])</f>
        <v>0</v>
      </c>
      <c r="N1703" s="65">
        <f>COUNTIF([1]VillageDiscoveryGroup!$C:$C,표1[[#This Row],[명칭]])</f>
        <v>0</v>
      </c>
      <c r="O1703" s="65">
        <f>SUM(표1[[#This Row],[해양탐색]:[마을탐험]])</f>
        <v>0</v>
      </c>
    </row>
    <row r="1704" spans="2:15" ht="13.5" customHeight="1" x14ac:dyDescent="0.3">
      <c r="B1704" s="9">
        <f>[1]Discovery!A1710</f>
        <v>70412204</v>
      </c>
      <c r="C1704" s="9" t="str">
        <f>[1]Discovery!B1710</f>
        <v>아투오나</v>
      </c>
      <c r="D1704" s="9" t="str">
        <f>[1]Discovery!E1710</f>
        <v>건축</v>
      </c>
      <c r="E1704" s="9" t="str">
        <f>[1]Discovery!C1710</f>
        <v>항구</v>
      </c>
      <c r="F1704" s="9" t="str">
        <f>[1]Discovery!G1710</f>
        <v>D</v>
      </c>
      <c r="G1704" s="9" t="str">
        <f>IFERROR(VLOOKUP(표1[[#This Row],[명칭]],'문화권 정리'!C:D,2,FALSE),"-")</f>
        <v>항구</v>
      </c>
      <c r="H1704" s="38" t="str">
        <f>IFERROR(COUNTIF([2]OceanDoodad!$Y:$Y,표1[[#This Row],[명칭]]),"-")</f>
        <v>-</v>
      </c>
      <c r="I1704" s="38">
        <f>IFERROR(COUNTIF([1]AdventureDiscoveryGroup!$D$8:$AW$92,표1[[#This Row],[명칭]]),"-")</f>
        <v>0</v>
      </c>
      <c r="J1704" s="38">
        <f>IFERROR(COUNTIF([1]FishDiscoveryGroup!$A:$X,표1[[#This Row],[명칭]]),"-")</f>
        <v>0</v>
      </c>
      <c r="K1704" s="38" t="str">
        <f>IFERROR(COUNTIF([2]Town!$B:$B,표1[[#This Row],[명칭]]),"-")</f>
        <v>-</v>
      </c>
      <c r="L1704" s="38">
        <f>IFERROR(COUNTIF([1]Village!$BR:$BR,표1[[#This Row],[명칭]]),"-")</f>
        <v>0</v>
      </c>
      <c r="M1704" s="38">
        <f>COUNTIF(퀘스트!B:B,표1[[#This Row],[명칭]])</f>
        <v>0</v>
      </c>
      <c r="N1704" s="65">
        <f>COUNTIF([1]VillageDiscoveryGroup!$C:$C,표1[[#This Row],[명칭]])</f>
        <v>0</v>
      </c>
      <c r="O1704" s="65">
        <f>SUM(표1[[#This Row],[해양탐색]:[마을탐험]])</f>
        <v>0</v>
      </c>
    </row>
    <row r="1705" spans="2:15" ht="13.5" customHeight="1" x14ac:dyDescent="0.3">
      <c r="B1705" s="9">
        <f>[1]Discovery!A1711</f>
        <v>70412205</v>
      </c>
      <c r="C1705" s="9" t="str">
        <f>[1]Discovery!B1711</f>
        <v>히혼</v>
      </c>
      <c r="D1705" s="9" t="str">
        <f>[1]Discovery!E1711</f>
        <v>건축</v>
      </c>
      <c r="E1705" s="9" t="str">
        <f>[1]Discovery!C1711</f>
        <v>항구</v>
      </c>
      <c r="F1705" s="9" t="str">
        <f>[1]Discovery!G1711</f>
        <v>D</v>
      </c>
      <c r="G1705" s="9" t="str">
        <f>IFERROR(VLOOKUP(표1[[#This Row],[명칭]],'문화권 정리'!C:D,2,FALSE),"-")</f>
        <v>항구</v>
      </c>
      <c r="H1705" s="38" t="str">
        <f>IFERROR(COUNTIF([2]OceanDoodad!$Y:$Y,표1[[#This Row],[명칭]]),"-")</f>
        <v>-</v>
      </c>
      <c r="I1705" s="38">
        <f>IFERROR(COUNTIF([1]AdventureDiscoveryGroup!$D$8:$AW$92,표1[[#This Row],[명칭]]),"-")</f>
        <v>0</v>
      </c>
      <c r="J1705" s="38">
        <f>IFERROR(COUNTIF([1]FishDiscoveryGroup!$A:$X,표1[[#This Row],[명칭]]),"-")</f>
        <v>0</v>
      </c>
      <c r="K1705" s="38" t="str">
        <f>IFERROR(COUNTIF([2]Town!$B:$B,표1[[#This Row],[명칭]]),"-")</f>
        <v>-</v>
      </c>
      <c r="L1705" s="38">
        <f>IFERROR(COUNTIF([1]Village!$BR:$BR,표1[[#This Row],[명칭]]),"-")</f>
        <v>0</v>
      </c>
      <c r="M1705" s="38">
        <f>COUNTIF(퀘스트!B:B,표1[[#This Row],[명칭]])</f>
        <v>0</v>
      </c>
      <c r="N1705" s="65">
        <f>COUNTIF([1]VillageDiscoveryGroup!$C:$C,표1[[#This Row],[명칭]])</f>
        <v>0</v>
      </c>
      <c r="O1705" s="65">
        <f>SUM(표1[[#This Row],[해양탐색]:[마을탐험]])</f>
        <v>0</v>
      </c>
    </row>
    <row r="1706" spans="2:15" ht="13.5" customHeight="1" x14ac:dyDescent="0.3">
      <c r="B1706" s="9">
        <f>[1]Discovery!A1712</f>
        <v>70412206</v>
      </c>
      <c r="C1706" s="9" t="str">
        <f>[1]Discovery!B1712</f>
        <v>마히나</v>
      </c>
      <c r="D1706" s="9" t="str">
        <f>[1]Discovery!E1712</f>
        <v>건축</v>
      </c>
      <c r="E1706" s="9" t="str">
        <f>[1]Discovery!C1712</f>
        <v>항구</v>
      </c>
      <c r="F1706" s="9" t="str">
        <f>[1]Discovery!G1712</f>
        <v>D</v>
      </c>
      <c r="G1706" s="9" t="str">
        <f>IFERROR(VLOOKUP(표1[[#This Row],[명칭]],'문화권 정리'!C:D,2,FALSE),"-")</f>
        <v>항구</v>
      </c>
      <c r="H1706" s="38" t="str">
        <f>IFERROR(COUNTIF([2]OceanDoodad!$Y:$Y,표1[[#This Row],[명칭]]),"-")</f>
        <v>-</v>
      </c>
      <c r="I1706" s="38">
        <f>IFERROR(COUNTIF([1]AdventureDiscoveryGroup!$D$8:$AW$92,표1[[#This Row],[명칭]]),"-")</f>
        <v>0</v>
      </c>
      <c r="J1706" s="38">
        <f>IFERROR(COUNTIF([1]FishDiscoveryGroup!$A:$X,표1[[#This Row],[명칭]]),"-")</f>
        <v>0</v>
      </c>
      <c r="K1706" s="38" t="str">
        <f>IFERROR(COUNTIF([2]Town!$B:$B,표1[[#This Row],[명칭]]),"-")</f>
        <v>-</v>
      </c>
      <c r="L1706" s="38">
        <f>IFERROR(COUNTIF([1]Village!$BR:$BR,표1[[#This Row],[명칭]]),"-")</f>
        <v>0</v>
      </c>
      <c r="M1706" s="38">
        <f>COUNTIF(퀘스트!B:B,표1[[#This Row],[명칭]])</f>
        <v>0</v>
      </c>
      <c r="N1706" s="65">
        <f>COUNTIF([1]VillageDiscoveryGroup!$C:$C,표1[[#This Row],[명칭]])</f>
        <v>0</v>
      </c>
      <c r="O1706" s="65">
        <f>SUM(표1[[#This Row],[해양탐색]:[마을탐험]])</f>
        <v>0</v>
      </c>
    </row>
    <row r="1707" spans="2:15" ht="13.5" customHeight="1" x14ac:dyDescent="0.3">
      <c r="B1707" s="9">
        <f>[1]Discovery!A1713</f>
        <v>70412207</v>
      </c>
      <c r="C1707" s="9" t="str">
        <f>[1]Discovery!B1713</f>
        <v>수바</v>
      </c>
      <c r="D1707" s="9" t="str">
        <f>[1]Discovery!E1713</f>
        <v>건축</v>
      </c>
      <c r="E1707" s="9" t="str">
        <f>[1]Discovery!C1713</f>
        <v>항구</v>
      </c>
      <c r="F1707" s="9" t="str">
        <f>[1]Discovery!G1713</f>
        <v>D</v>
      </c>
      <c r="G1707" s="9" t="str">
        <f>IFERROR(VLOOKUP(표1[[#This Row],[명칭]],'문화권 정리'!C:D,2,FALSE),"-")</f>
        <v>항구</v>
      </c>
      <c r="H1707" s="38" t="str">
        <f>IFERROR(COUNTIF([2]OceanDoodad!$Y:$Y,표1[[#This Row],[명칭]]),"-")</f>
        <v>-</v>
      </c>
      <c r="I1707" s="38">
        <f>IFERROR(COUNTIF([1]AdventureDiscoveryGroup!$D$8:$AW$92,표1[[#This Row],[명칭]]),"-")</f>
        <v>0</v>
      </c>
      <c r="J1707" s="38">
        <f>IFERROR(COUNTIF([1]FishDiscoveryGroup!$A:$X,표1[[#This Row],[명칭]]),"-")</f>
        <v>0</v>
      </c>
      <c r="K1707" s="38" t="str">
        <f>IFERROR(COUNTIF([2]Town!$B:$B,표1[[#This Row],[명칭]]),"-")</f>
        <v>-</v>
      </c>
      <c r="L1707" s="38">
        <f>IFERROR(COUNTIF([1]Village!$BR:$BR,표1[[#This Row],[명칭]]),"-")</f>
        <v>0</v>
      </c>
      <c r="M1707" s="38">
        <f>COUNTIF(퀘스트!B:B,표1[[#This Row],[명칭]])</f>
        <v>0</v>
      </c>
      <c r="N1707" s="65">
        <f>COUNTIF([1]VillageDiscoveryGroup!$C:$C,표1[[#This Row],[명칭]])</f>
        <v>0</v>
      </c>
      <c r="O1707" s="65">
        <f>SUM(표1[[#This Row],[해양탐색]:[마을탐험]])</f>
        <v>0</v>
      </c>
    </row>
    <row r="1708" spans="2:15" ht="13.5" customHeight="1" x14ac:dyDescent="0.3">
      <c r="B1708" s="9">
        <f>[1]Discovery!A1714</f>
        <v>70412208</v>
      </c>
      <c r="C1708" s="9" t="str">
        <f>[1]Discovery!B1714</f>
        <v>수이</v>
      </c>
      <c r="D1708" s="9" t="str">
        <f>[1]Discovery!E1714</f>
        <v>건축</v>
      </c>
      <c r="E1708" s="9" t="str">
        <f>[1]Discovery!C1714</f>
        <v>항구</v>
      </c>
      <c r="F1708" s="9" t="str">
        <f>[1]Discovery!G1714</f>
        <v>D</v>
      </c>
      <c r="G1708" s="9" t="str">
        <f>IFERROR(VLOOKUP(표1[[#This Row],[명칭]],'문화권 정리'!C:D,2,FALSE),"-")</f>
        <v>항구</v>
      </c>
      <c r="H1708" s="38" t="str">
        <f>IFERROR(COUNTIF([2]OceanDoodad!$Y:$Y,표1[[#This Row],[명칭]]),"-")</f>
        <v>-</v>
      </c>
      <c r="I1708" s="38">
        <f>IFERROR(COUNTIF([1]AdventureDiscoveryGroup!$D$8:$AW$92,표1[[#This Row],[명칭]]),"-")</f>
        <v>0</v>
      </c>
      <c r="J1708" s="38">
        <f>IFERROR(COUNTIF([1]FishDiscoveryGroup!$A:$X,표1[[#This Row],[명칭]]),"-")</f>
        <v>0</v>
      </c>
      <c r="K1708" s="38" t="str">
        <f>IFERROR(COUNTIF([2]Town!$B:$B,표1[[#This Row],[명칭]]),"-")</f>
        <v>-</v>
      </c>
      <c r="L1708" s="38">
        <f>IFERROR(COUNTIF([1]Village!$BR:$BR,표1[[#This Row],[명칭]]),"-")</f>
        <v>0</v>
      </c>
      <c r="M1708" s="38">
        <f>COUNTIF(퀘스트!B:B,표1[[#This Row],[명칭]])</f>
        <v>0</v>
      </c>
      <c r="N1708" s="65">
        <f>COUNTIF([1]VillageDiscoveryGroup!$C:$C,표1[[#This Row],[명칭]])</f>
        <v>0</v>
      </c>
      <c r="O1708" s="65">
        <f>SUM(표1[[#This Row],[해양탐색]:[마을탐험]])</f>
        <v>0</v>
      </c>
    </row>
    <row r="1709" spans="2:15" ht="13.5" customHeight="1" x14ac:dyDescent="0.3">
      <c r="B1709" s="9">
        <f>[1]Discovery!A1715</f>
        <v>70412209</v>
      </c>
      <c r="C1709" s="9" t="str">
        <f>[1]Discovery!B1715</f>
        <v>레이캬비크</v>
      </c>
      <c r="D1709" s="9" t="str">
        <f>[1]Discovery!E1715</f>
        <v>건축</v>
      </c>
      <c r="E1709" s="9" t="str">
        <f>[1]Discovery!C1715</f>
        <v>항구</v>
      </c>
      <c r="F1709" s="9" t="str">
        <f>[1]Discovery!G1715</f>
        <v>D</v>
      </c>
      <c r="G1709" s="9" t="str">
        <f>IFERROR(VLOOKUP(표1[[#This Row],[명칭]],'문화권 정리'!C:D,2,FALSE),"-")</f>
        <v>항구</v>
      </c>
      <c r="H1709" s="38" t="str">
        <f>IFERROR(COUNTIF([2]OceanDoodad!$Y:$Y,표1[[#This Row],[명칭]]),"-")</f>
        <v>-</v>
      </c>
      <c r="I1709" s="38">
        <f>IFERROR(COUNTIF([1]AdventureDiscoveryGroup!$D$8:$AW$92,표1[[#This Row],[명칭]]),"-")</f>
        <v>0</v>
      </c>
      <c r="J1709" s="38">
        <f>IFERROR(COUNTIF([1]FishDiscoveryGroup!$A:$X,표1[[#This Row],[명칭]]),"-")</f>
        <v>0</v>
      </c>
      <c r="K1709" s="38" t="str">
        <f>IFERROR(COUNTIF([2]Town!$B:$B,표1[[#This Row],[명칭]]),"-")</f>
        <v>-</v>
      </c>
      <c r="L1709" s="38">
        <f>IFERROR(COUNTIF([1]Village!$BR:$BR,표1[[#This Row],[명칭]]),"-")</f>
        <v>0</v>
      </c>
      <c r="M1709" s="38">
        <f>COUNTIF(퀘스트!B:B,표1[[#This Row],[명칭]])</f>
        <v>0</v>
      </c>
      <c r="N1709" s="65">
        <f>COUNTIF([1]VillageDiscoveryGroup!$C:$C,표1[[#This Row],[명칭]])</f>
        <v>0</v>
      </c>
      <c r="O1709" s="65">
        <f>SUM(표1[[#This Row],[해양탐색]:[마을탐험]])</f>
        <v>0</v>
      </c>
    </row>
    <row r="1710" spans="2:15" ht="13.5" customHeight="1" x14ac:dyDescent="0.3">
      <c r="B1710" s="9">
        <f>[1]Discovery!A1716</f>
        <v>70412210</v>
      </c>
      <c r="C1710" s="9" t="str">
        <f>[1]Discovery!B1716</f>
        <v>바그다드</v>
      </c>
      <c r="D1710" s="9" t="str">
        <f>[1]Discovery!E1716</f>
        <v>건축</v>
      </c>
      <c r="E1710" s="9" t="str">
        <f>[1]Discovery!C1716</f>
        <v>항구</v>
      </c>
      <c r="F1710" s="9" t="str">
        <f>[1]Discovery!G1716</f>
        <v>D</v>
      </c>
      <c r="G1710" s="9" t="str">
        <f>IFERROR(VLOOKUP(표1[[#This Row],[명칭]],'문화권 정리'!C:D,2,FALSE),"-")</f>
        <v>항구</v>
      </c>
      <c r="H1710" s="38" t="str">
        <f>IFERROR(COUNTIF([2]OceanDoodad!$Y:$Y,표1[[#This Row],[명칭]]),"-")</f>
        <v>-</v>
      </c>
      <c r="I1710" s="38">
        <f>IFERROR(COUNTIF([1]AdventureDiscoveryGroup!$D$8:$AW$92,표1[[#This Row],[명칭]]),"-")</f>
        <v>0</v>
      </c>
      <c r="J1710" s="38">
        <f>IFERROR(COUNTIF([1]FishDiscoveryGroup!$A:$X,표1[[#This Row],[명칭]]),"-")</f>
        <v>0</v>
      </c>
      <c r="K1710" s="38" t="str">
        <f>IFERROR(COUNTIF([2]Town!$B:$B,표1[[#This Row],[명칭]]),"-")</f>
        <v>-</v>
      </c>
      <c r="L1710" s="38">
        <f>IFERROR(COUNTIF([1]Village!$BR:$BR,표1[[#This Row],[명칭]]),"-")</f>
        <v>0</v>
      </c>
      <c r="M1710" s="38">
        <f>COUNTIF(퀘스트!B:B,표1[[#This Row],[명칭]])</f>
        <v>0</v>
      </c>
      <c r="N1710" s="65">
        <f>COUNTIF([1]VillageDiscoveryGroup!$C:$C,표1[[#This Row],[명칭]])</f>
        <v>0</v>
      </c>
      <c r="O1710" s="65">
        <f>SUM(표1[[#This Row],[해양탐색]:[마을탐험]])</f>
        <v>0</v>
      </c>
    </row>
    <row r="1711" spans="2:15" ht="13.5" customHeight="1" x14ac:dyDescent="0.3">
      <c r="B1711" s="9">
        <f>[1]Discovery!A1717</f>
        <v>70412211</v>
      </c>
      <c r="C1711" s="9" t="str">
        <f>[1]Discovery!B1717</f>
        <v>율도</v>
      </c>
      <c r="D1711" s="9" t="str">
        <f>[1]Discovery!E1717</f>
        <v>건축</v>
      </c>
      <c r="E1711" s="9" t="str">
        <f>[1]Discovery!C1717</f>
        <v>항구</v>
      </c>
      <c r="F1711" s="9" t="str">
        <f>[1]Discovery!G1717</f>
        <v>D</v>
      </c>
      <c r="G1711" s="9" t="str">
        <f>IFERROR(VLOOKUP(표1[[#This Row],[명칭]],'문화권 정리'!C:D,2,FALSE),"-")</f>
        <v>항구</v>
      </c>
      <c r="H1711" s="38" t="str">
        <f>IFERROR(COUNTIF([2]OceanDoodad!$Y:$Y,표1[[#This Row],[명칭]]),"-")</f>
        <v>-</v>
      </c>
      <c r="I1711" s="38">
        <f>IFERROR(COUNTIF([1]AdventureDiscoveryGroup!$D$8:$AW$92,표1[[#This Row],[명칭]]),"-")</f>
        <v>0</v>
      </c>
      <c r="J1711" s="38">
        <f>IFERROR(COUNTIF([1]FishDiscoveryGroup!$A:$X,표1[[#This Row],[명칭]]),"-")</f>
        <v>0</v>
      </c>
      <c r="K1711" s="38" t="str">
        <f>IFERROR(COUNTIF([2]Town!$B:$B,표1[[#This Row],[명칭]]),"-")</f>
        <v>-</v>
      </c>
      <c r="L1711" s="38">
        <f>IFERROR(COUNTIF([1]Village!$BR:$BR,표1[[#This Row],[명칭]]),"-")</f>
        <v>0</v>
      </c>
      <c r="M1711" s="38">
        <f>COUNTIF(퀘스트!B:B,표1[[#This Row],[명칭]])</f>
        <v>0</v>
      </c>
      <c r="N1711" s="65">
        <f>COUNTIF([1]VillageDiscoveryGroup!$C:$C,표1[[#This Row],[명칭]])</f>
        <v>0</v>
      </c>
      <c r="O1711" s="65">
        <f>SUM(표1[[#This Row],[해양탐색]:[마을탐험]])</f>
        <v>0</v>
      </c>
    </row>
    <row r="1712" spans="2:15" ht="13.5" customHeight="1" x14ac:dyDescent="0.3">
      <c r="B1712" s="9">
        <f>[1]Discovery!A1718</f>
        <v>70412212</v>
      </c>
      <c r="C1712" s="9" t="str">
        <f>[1]Discovery!B1718</f>
        <v>보르사이드</v>
      </c>
      <c r="D1712" s="9" t="str">
        <f>[1]Discovery!E1718</f>
        <v>건축</v>
      </c>
      <c r="E1712" s="9" t="str">
        <f>[1]Discovery!C1718</f>
        <v>항구</v>
      </c>
      <c r="F1712" s="9" t="str">
        <f>[1]Discovery!G1718</f>
        <v>D</v>
      </c>
      <c r="G1712" s="9" t="str">
        <f>IFERROR(VLOOKUP(표1[[#This Row],[명칭]],'문화권 정리'!C:D,2,FALSE),"-")</f>
        <v>항구</v>
      </c>
      <c r="H1712" s="38" t="str">
        <f>IFERROR(COUNTIF([2]OceanDoodad!$Y:$Y,표1[[#This Row],[명칭]]),"-")</f>
        <v>-</v>
      </c>
      <c r="I1712" s="38">
        <f>IFERROR(COUNTIF([1]AdventureDiscoveryGroup!$D$8:$AW$92,표1[[#This Row],[명칭]]),"-")</f>
        <v>0</v>
      </c>
      <c r="J1712" s="38">
        <f>IFERROR(COUNTIF([1]FishDiscoveryGroup!$A:$X,표1[[#This Row],[명칭]]),"-")</f>
        <v>0</v>
      </c>
      <c r="K1712" s="38" t="str">
        <f>IFERROR(COUNTIF([2]Town!$B:$B,표1[[#This Row],[명칭]]),"-")</f>
        <v>-</v>
      </c>
      <c r="L1712" s="38">
        <f>IFERROR(COUNTIF([1]Village!$BR:$BR,표1[[#This Row],[명칭]]),"-")</f>
        <v>0</v>
      </c>
      <c r="M1712" s="38">
        <f>COUNTIF(퀘스트!B:B,표1[[#This Row],[명칭]])</f>
        <v>0</v>
      </c>
      <c r="N1712" s="65">
        <f>COUNTIF([1]VillageDiscoveryGroup!$C:$C,표1[[#This Row],[명칭]])</f>
        <v>0</v>
      </c>
      <c r="O1712" s="65">
        <f>SUM(표1[[#This Row],[해양탐색]:[마을탐험]])</f>
        <v>0</v>
      </c>
    </row>
    <row r="1713" spans="2:15" ht="13.5" customHeight="1" x14ac:dyDescent="0.3">
      <c r="B1713" s="9">
        <f>[1]Discovery!A1719</f>
        <v>70412213</v>
      </c>
      <c r="C1713" s="9" t="str">
        <f>[1]Discovery!B1719</f>
        <v>오호츠크</v>
      </c>
      <c r="D1713" s="9" t="str">
        <f>[1]Discovery!E1719</f>
        <v>건축</v>
      </c>
      <c r="E1713" s="9" t="str">
        <f>[1]Discovery!C1719</f>
        <v>항구</v>
      </c>
      <c r="F1713" s="9" t="str">
        <f>[1]Discovery!G1719</f>
        <v>D</v>
      </c>
      <c r="G1713" s="9" t="str">
        <f>IFERROR(VLOOKUP(표1[[#This Row],[명칭]],'문화권 정리'!C:D,2,FALSE),"-")</f>
        <v>항구</v>
      </c>
      <c r="H1713" s="38" t="str">
        <f>IFERROR(COUNTIF([2]OceanDoodad!$Y:$Y,표1[[#This Row],[명칭]]),"-")</f>
        <v>-</v>
      </c>
      <c r="I1713" s="38">
        <f>IFERROR(COUNTIF([1]AdventureDiscoveryGroup!$D$8:$AW$92,표1[[#This Row],[명칭]]),"-")</f>
        <v>0</v>
      </c>
      <c r="J1713" s="38">
        <f>IFERROR(COUNTIF([1]FishDiscoveryGroup!$A:$X,표1[[#This Row],[명칭]]),"-")</f>
        <v>0</v>
      </c>
      <c r="K1713" s="38" t="str">
        <f>IFERROR(COUNTIF([2]Town!$B:$B,표1[[#This Row],[명칭]]),"-")</f>
        <v>-</v>
      </c>
      <c r="L1713" s="38">
        <f>IFERROR(COUNTIF([1]Village!$BR:$BR,표1[[#This Row],[명칭]]),"-")</f>
        <v>0</v>
      </c>
      <c r="M1713" s="38">
        <f>COUNTIF(퀘스트!B:B,표1[[#This Row],[명칭]])</f>
        <v>0</v>
      </c>
      <c r="N1713" s="65">
        <f>COUNTIF([1]VillageDiscoveryGroup!$C:$C,표1[[#This Row],[명칭]])</f>
        <v>0</v>
      </c>
      <c r="O1713" s="65">
        <f>SUM(표1[[#This Row],[해양탐색]:[마을탐험]])</f>
        <v>0</v>
      </c>
    </row>
    <row r="1714" spans="2:15" ht="13.5" customHeight="1" x14ac:dyDescent="0.3">
      <c r="B1714" s="9">
        <f>[1]Discovery!A1720</f>
        <v>70412214</v>
      </c>
      <c r="C1714" s="9" t="str">
        <f>[1]Discovery!B1720</f>
        <v>체르스키</v>
      </c>
      <c r="D1714" s="9" t="str">
        <f>[1]Discovery!E1720</f>
        <v>건축</v>
      </c>
      <c r="E1714" s="9" t="str">
        <f>[1]Discovery!C1720</f>
        <v>항구</v>
      </c>
      <c r="F1714" s="9" t="str">
        <f>[1]Discovery!G1720</f>
        <v>D</v>
      </c>
      <c r="G1714" s="9" t="str">
        <f>IFERROR(VLOOKUP(표1[[#This Row],[명칭]],'문화권 정리'!C:D,2,FALSE),"-")</f>
        <v>항구</v>
      </c>
      <c r="H1714" s="38" t="str">
        <f>IFERROR(COUNTIF([2]OceanDoodad!$Y:$Y,표1[[#This Row],[명칭]]),"-")</f>
        <v>-</v>
      </c>
      <c r="I1714" s="38">
        <f>IFERROR(COUNTIF([1]AdventureDiscoveryGroup!$D$8:$AW$92,표1[[#This Row],[명칭]]),"-")</f>
        <v>0</v>
      </c>
      <c r="J1714" s="38">
        <f>IFERROR(COUNTIF([1]FishDiscoveryGroup!$A:$X,표1[[#This Row],[명칭]]),"-")</f>
        <v>0</v>
      </c>
      <c r="K1714" s="38" t="str">
        <f>IFERROR(COUNTIF([2]Town!$B:$B,표1[[#This Row],[명칭]]),"-")</f>
        <v>-</v>
      </c>
      <c r="L1714" s="38">
        <f>IFERROR(COUNTIF([1]Village!$BR:$BR,표1[[#This Row],[명칭]]),"-")</f>
        <v>0</v>
      </c>
      <c r="M1714" s="38">
        <f>COUNTIF(퀘스트!B:B,표1[[#This Row],[명칭]])</f>
        <v>0</v>
      </c>
      <c r="N1714" s="65">
        <f>COUNTIF([1]VillageDiscoveryGroup!$C:$C,표1[[#This Row],[명칭]])</f>
        <v>0</v>
      </c>
      <c r="O1714" s="65">
        <f>SUM(표1[[#This Row],[해양탐색]:[마을탐험]])</f>
        <v>0</v>
      </c>
    </row>
    <row r="1715" spans="2:15" ht="13.5" customHeight="1" x14ac:dyDescent="0.3">
      <c r="B1715" s="9">
        <f>[1]Discovery!A1721</f>
        <v>70412215</v>
      </c>
      <c r="C1715" s="9" t="str">
        <f>[1]Discovery!B1721</f>
        <v>카나크</v>
      </c>
      <c r="D1715" s="9" t="str">
        <f>[1]Discovery!E1721</f>
        <v>건축</v>
      </c>
      <c r="E1715" s="9" t="str">
        <f>[1]Discovery!C1721</f>
        <v>항구</v>
      </c>
      <c r="F1715" s="9" t="str">
        <f>[1]Discovery!G1721</f>
        <v>D</v>
      </c>
      <c r="G1715" s="9" t="str">
        <f>IFERROR(VLOOKUP(표1[[#This Row],[명칭]],'문화권 정리'!C:D,2,FALSE),"-")</f>
        <v>항구</v>
      </c>
      <c r="H1715" s="38" t="str">
        <f>IFERROR(COUNTIF([2]OceanDoodad!$Y:$Y,표1[[#This Row],[명칭]]),"-")</f>
        <v>-</v>
      </c>
      <c r="I1715" s="38">
        <f>IFERROR(COUNTIF([1]AdventureDiscoveryGroup!$D$8:$AW$92,표1[[#This Row],[명칭]]),"-")</f>
        <v>0</v>
      </c>
      <c r="J1715" s="38">
        <f>IFERROR(COUNTIF([1]FishDiscoveryGroup!$A:$X,표1[[#This Row],[명칭]]),"-")</f>
        <v>0</v>
      </c>
      <c r="K1715" s="38" t="str">
        <f>IFERROR(COUNTIF([2]Town!$B:$B,표1[[#This Row],[명칭]]),"-")</f>
        <v>-</v>
      </c>
      <c r="L1715" s="38">
        <f>IFERROR(COUNTIF([1]Village!$BR:$BR,표1[[#This Row],[명칭]]),"-")</f>
        <v>0</v>
      </c>
      <c r="M1715" s="38">
        <f>COUNTIF(퀘스트!B:B,표1[[#This Row],[명칭]])</f>
        <v>0</v>
      </c>
      <c r="N1715" s="65">
        <f>COUNTIF([1]VillageDiscoveryGroup!$C:$C,표1[[#This Row],[명칭]])</f>
        <v>0</v>
      </c>
      <c r="O1715" s="65">
        <f>SUM(표1[[#This Row],[해양탐색]:[마을탐험]])</f>
        <v>0</v>
      </c>
    </row>
    <row r="1716" spans="2:15" ht="13.5" customHeight="1" x14ac:dyDescent="0.3">
      <c r="B1716" s="9">
        <f>[1]Discovery!A1722</f>
        <v>70412216</v>
      </c>
      <c r="C1716" s="9" t="str">
        <f>[1]Discovery!B1722</f>
        <v>이콸룩투티악</v>
      </c>
      <c r="D1716" s="9" t="str">
        <f>[1]Discovery!E1722</f>
        <v>건축</v>
      </c>
      <c r="E1716" s="9" t="str">
        <f>[1]Discovery!C1722</f>
        <v>항구</v>
      </c>
      <c r="F1716" s="9" t="str">
        <f>[1]Discovery!G1722</f>
        <v>D</v>
      </c>
      <c r="G1716" s="9" t="str">
        <f>IFERROR(VLOOKUP(표1[[#This Row],[명칭]],'문화권 정리'!C:D,2,FALSE),"-")</f>
        <v>항구</v>
      </c>
      <c r="H1716" s="38" t="str">
        <f>IFERROR(COUNTIF([2]OceanDoodad!$Y:$Y,표1[[#This Row],[명칭]]),"-")</f>
        <v>-</v>
      </c>
      <c r="I1716" s="38">
        <f>IFERROR(COUNTIF([1]AdventureDiscoveryGroup!$D$8:$AW$92,표1[[#This Row],[명칭]]),"-")</f>
        <v>0</v>
      </c>
      <c r="J1716" s="38">
        <f>IFERROR(COUNTIF([1]FishDiscoveryGroup!$A:$X,표1[[#This Row],[명칭]]),"-")</f>
        <v>0</v>
      </c>
      <c r="K1716" s="38" t="str">
        <f>IFERROR(COUNTIF([2]Town!$B:$B,표1[[#This Row],[명칭]]),"-")</f>
        <v>-</v>
      </c>
      <c r="L1716" s="38">
        <f>IFERROR(COUNTIF([1]Village!$BR:$BR,표1[[#This Row],[명칭]]),"-")</f>
        <v>0</v>
      </c>
      <c r="M1716" s="38">
        <f>COUNTIF(퀘스트!B:B,표1[[#This Row],[명칭]])</f>
        <v>0</v>
      </c>
      <c r="N1716" s="65">
        <f>COUNTIF([1]VillageDiscoveryGroup!$C:$C,표1[[#This Row],[명칭]])</f>
        <v>0</v>
      </c>
      <c r="O1716" s="65">
        <f>SUM(표1[[#This Row],[해양탐색]:[마을탐험]])</f>
        <v>0</v>
      </c>
    </row>
    <row r="1717" spans="2:15" ht="13.5" customHeight="1" x14ac:dyDescent="0.3">
      <c r="B1717" s="9">
        <f>[1]Discovery!A1723</f>
        <v>70412217</v>
      </c>
      <c r="C1717" s="9" t="str">
        <f>[1]Discovery!B1723</f>
        <v>바르도</v>
      </c>
      <c r="D1717" s="9" t="str">
        <f>[1]Discovery!E1723</f>
        <v>건축</v>
      </c>
      <c r="E1717" s="9" t="str">
        <f>[1]Discovery!C1723</f>
        <v>항구</v>
      </c>
      <c r="F1717" s="9" t="str">
        <f>[1]Discovery!G1723</f>
        <v>D</v>
      </c>
      <c r="G1717" s="9" t="str">
        <f>IFERROR(VLOOKUP(표1[[#This Row],[명칭]],'문화권 정리'!C:D,2,FALSE),"-")</f>
        <v>항구</v>
      </c>
      <c r="H1717" s="38" t="str">
        <f>IFERROR(COUNTIF([2]OceanDoodad!$Y:$Y,표1[[#This Row],[명칭]]),"-")</f>
        <v>-</v>
      </c>
      <c r="I1717" s="38">
        <f>IFERROR(COUNTIF([1]AdventureDiscoveryGroup!$D$8:$AW$92,표1[[#This Row],[명칭]]),"-")</f>
        <v>0</v>
      </c>
      <c r="J1717" s="38">
        <f>IFERROR(COUNTIF([1]FishDiscoveryGroup!$A:$X,표1[[#This Row],[명칭]]),"-")</f>
        <v>0</v>
      </c>
      <c r="K1717" s="38" t="str">
        <f>IFERROR(COUNTIF([2]Town!$B:$B,표1[[#This Row],[명칭]]),"-")</f>
        <v>-</v>
      </c>
      <c r="L1717" s="38">
        <f>IFERROR(COUNTIF([1]Village!$BR:$BR,표1[[#This Row],[명칭]]),"-")</f>
        <v>0</v>
      </c>
      <c r="M1717" s="38">
        <f>COUNTIF(퀘스트!B:B,표1[[#This Row],[명칭]])</f>
        <v>0</v>
      </c>
      <c r="N1717" s="65">
        <f>COUNTIF([1]VillageDiscoveryGroup!$C:$C,표1[[#This Row],[명칭]])</f>
        <v>0</v>
      </c>
      <c r="O1717" s="65">
        <f>SUM(표1[[#This Row],[해양탐색]:[마을탐험]])</f>
        <v>0</v>
      </c>
    </row>
    <row r="1718" spans="2:15" ht="13.5" customHeight="1" x14ac:dyDescent="0.3">
      <c r="B1718" s="9">
        <f>[1]Discovery!A1724</f>
        <v>70412218</v>
      </c>
      <c r="C1718" s="9" t="str">
        <f>[1]Discovery!B1724</f>
        <v>포트피리</v>
      </c>
      <c r="D1718" s="9" t="str">
        <f>[1]Discovery!E1724</f>
        <v>건축</v>
      </c>
      <c r="E1718" s="9" t="str">
        <f>[1]Discovery!C1724</f>
        <v>항구</v>
      </c>
      <c r="F1718" s="9" t="str">
        <f>[1]Discovery!G1724</f>
        <v>D</v>
      </c>
      <c r="G1718" s="9" t="str">
        <f>IFERROR(VLOOKUP(표1[[#This Row],[명칭]],'문화권 정리'!C:D,2,FALSE),"-")</f>
        <v>항구</v>
      </c>
      <c r="H1718" s="38" t="str">
        <f>IFERROR(COUNTIF([2]OceanDoodad!$Y:$Y,표1[[#This Row],[명칭]]),"-")</f>
        <v>-</v>
      </c>
      <c r="I1718" s="38">
        <f>IFERROR(COUNTIF([1]AdventureDiscoveryGroup!$D$8:$AW$92,표1[[#This Row],[명칭]]),"-")</f>
        <v>0</v>
      </c>
      <c r="J1718" s="38">
        <f>IFERROR(COUNTIF([1]FishDiscoveryGroup!$A:$X,표1[[#This Row],[명칭]]),"-")</f>
        <v>0</v>
      </c>
      <c r="K1718" s="38" t="str">
        <f>IFERROR(COUNTIF([2]Town!$B:$B,표1[[#This Row],[명칭]]),"-")</f>
        <v>-</v>
      </c>
      <c r="L1718" s="38">
        <f>IFERROR(COUNTIF([1]Village!$BR:$BR,표1[[#This Row],[명칭]]),"-")</f>
        <v>0</v>
      </c>
      <c r="M1718" s="38">
        <f>COUNTIF(퀘스트!B:B,표1[[#This Row],[명칭]])</f>
        <v>0</v>
      </c>
      <c r="N1718" s="65">
        <f>COUNTIF([1]VillageDiscoveryGroup!$C:$C,표1[[#This Row],[명칭]])</f>
        <v>0</v>
      </c>
      <c r="O1718" s="65">
        <f>SUM(표1[[#This Row],[해양탐색]:[마을탐험]])</f>
        <v>0</v>
      </c>
    </row>
    <row r="1719" spans="2:15" ht="13.5" customHeight="1" x14ac:dyDescent="0.3">
      <c r="B1719" s="9">
        <f>[1]Discovery!A1725</f>
        <v>70412300</v>
      </c>
      <c r="C1719" s="9" t="str">
        <f>[1]Discovery!B1725</f>
        <v>스비아인의 마을</v>
      </c>
      <c r="D1719" s="9" t="str">
        <f>[1]Discovery!E1725</f>
        <v>건축</v>
      </c>
      <c r="E1719" s="9" t="str">
        <f>[1]Discovery!C1725</f>
        <v>부락</v>
      </c>
      <c r="F1719" s="9" t="str">
        <f>[1]Discovery!G1725</f>
        <v>D</v>
      </c>
      <c r="G1719" s="9" t="str">
        <f>IFERROR(VLOOKUP(표1[[#This Row],[명칭]],'문화권 정리'!C:D,2,FALSE),"-")</f>
        <v>마을</v>
      </c>
      <c r="H1719" s="38" t="str">
        <f>IFERROR(COUNTIF([2]OceanDoodad!$Y:$Y,표1[[#This Row],[명칭]]),"-")</f>
        <v>-</v>
      </c>
      <c r="I1719" s="38">
        <f>IFERROR(COUNTIF([1]AdventureDiscoveryGroup!$D$8:$AW$92,표1[[#This Row],[명칭]]),"-")</f>
        <v>0</v>
      </c>
      <c r="J1719" s="38">
        <f>IFERROR(COUNTIF([1]FishDiscoveryGroup!$A:$X,표1[[#This Row],[명칭]]),"-")</f>
        <v>0</v>
      </c>
      <c r="K1719" s="38" t="str">
        <f>IFERROR(COUNTIF([2]Town!$B:$B,표1[[#This Row],[명칭]]),"-")</f>
        <v>-</v>
      </c>
      <c r="L1719" s="38">
        <f>IFERROR(COUNTIF([1]Village!$BR:$BR,표1[[#This Row],[명칭]]),"-")</f>
        <v>0</v>
      </c>
      <c r="M1719" s="38">
        <f>COUNTIF(퀘스트!B:B,표1[[#This Row],[명칭]])</f>
        <v>0</v>
      </c>
      <c r="N1719" s="65">
        <f>COUNTIF([1]VillageDiscoveryGroup!$C:$C,표1[[#This Row],[명칭]])</f>
        <v>0</v>
      </c>
      <c r="O1719" s="65">
        <f>SUM(표1[[#This Row],[해양탐색]:[마을탐험]])</f>
        <v>0</v>
      </c>
    </row>
    <row r="1720" spans="2:15" ht="13.5" customHeight="1" x14ac:dyDescent="0.3">
      <c r="B1720" s="9">
        <f>[1]Discovery!A1726</f>
        <v>70412301</v>
      </c>
      <c r="C1720" s="9" t="str">
        <f>[1]Discovery!B1726</f>
        <v>쿠르드인의 마을</v>
      </c>
      <c r="D1720" s="9" t="str">
        <f>[1]Discovery!E1726</f>
        <v>건축</v>
      </c>
      <c r="E1720" s="9" t="str">
        <f>[1]Discovery!C1726</f>
        <v>부락</v>
      </c>
      <c r="F1720" s="9" t="str">
        <f>[1]Discovery!G1726</f>
        <v>D</v>
      </c>
      <c r="G1720" s="9" t="str">
        <f>IFERROR(VLOOKUP(표1[[#This Row],[명칭]],'문화권 정리'!C:D,2,FALSE),"-")</f>
        <v>마을</v>
      </c>
      <c r="H1720" s="38" t="str">
        <f>IFERROR(COUNTIF([2]OceanDoodad!$Y:$Y,표1[[#This Row],[명칭]]),"-")</f>
        <v>-</v>
      </c>
      <c r="I1720" s="38">
        <f>IFERROR(COUNTIF([1]AdventureDiscoveryGroup!$D$8:$AW$92,표1[[#This Row],[명칭]]),"-")</f>
        <v>0</v>
      </c>
      <c r="J1720" s="38">
        <f>IFERROR(COUNTIF([1]FishDiscoveryGroup!$A:$X,표1[[#This Row],[명칭]]),"-")</f>
        <v>0</v>
      </c>
      <c r="K1720" s="38" t="str">
        <f>IFERROR(COUNTIF([2]Town!$B:$B,표1[[#This Row],[명칭]]),"-")</f>
        <v>-</v>
      </c>
      <c r="L1720" s="38">
        <f>IFERROR(COUNTIF([1]Village!$BR:$BR,표1[[#This Row],[명칭]]),"-")</f>
        <v>0</v>
      </c>
      <c r="M1720" s="38">
        <f>COUNTIF(퀘스트!B:B,표1[[#This Row],[명칭]])</f>
        <v>0</v>
      </c>
      <c r="N1720" s="65">
        <f>COUNTIF([1]VillageDiscoveryGroup!$C:$C,표1[[#This Row],[명칭]])</f>
        <v>0</v>
      </c>
      <c r="O1720" s="65">
        <f>SUM(표1[[#This Row],[해양탐색]:[마을탐험]])</f>
        <v>0</v>
      </c>
    </row>
    <row r="1721" spans="2:15" ht="13.5" customHeight="1" x14ac:dyDescent="0.3">
      <c r="B1721" s="9">
        <f>[1]Discovery!A1727</f>
        <v>70412302</v>
      </c>
      <c r="C1721" s="9" t="str">
        <f>[1]Discovery!B1727</f>
        <v>튀르크족의 마을</v>
      </c>
      <c r="D1721" s="9" t="str">
        <f>[1]Discovery!E1727</f>
        <v>건축</v>
      </c>
      <c r="E1721" s="9" t="str">
        <f>[1]Discovery!C1727</f>
        <v>부락</v>
      </c>
      <c r="F1721" s="9" t="str">
        <f>[1]Discovery!G1727</f>
        <v>D</v>
      </c>
      <c r="G1721" s="9" t="str">
        <f>IFERROR(VLOOKUP(표1[[#This Row],[명칭]],'문화권 정리'!C:D,2,FALSE),"-")</f>
        <v>마을</v>
      </c>
      <c r="H1721" s="38" t="str">
        <f>IFERROR(COUNTIF([2]OceanDoodad!$Y:$Y,표1[[#This Row],[명칭]]),"-")</f>
        <v>-</v>
      </c>
      <c r="I1721" s="38">
        <f>IFERROR(COUNTIF([1]AdventureDiscoveryGroup!$D$8:$AW$92,표1[[#This Row],[명칭]]),"-")</f>
        <v>0</v>
      </c>
      <c r="J1721" s="38">
        <f>IFERROR(COUNTIF([1]FishDiscoveryGroup!$A:$X,표1[[#This Row],[명칭]]),"-")</f>
        <v>0</v>
      </c>
      <c r="K1721" s="38" t="str">
        <f>IFERROR(COUNTIF([2]Town!$B:$B,표1[[#This Row],[명칭]]),"-")</f>
        <v>-</v>
      </c>
      <c r="L1721" s="38">
        <f>IFERROR(COUNTIF([1]Village!$BR:$BR,표1[[#This Row],[명칭]]),"-")</f>
        <v>0</v>
      </c>
      <c r="M1721" s="38">
        <f>COUNTIF(퀘스트!B:B,표1[[#This Row],[명칭]])</f>
        <v>0</v>
      </c>
      <c r="N1721" s="65">
        <f>COUNTIF([1]VillageDiscoveryGroup!$C:$C,표1[[#This Row],[명칭]])</f>
        <v>0</v>
      </c>
      <c r="O1721" s="65">
        <f>SUM(표1[[#This Row],[해양탐색]:[마을탐험]])</f>
        <v>0</v>
      </c>
    </row>
    <row r="1722" spans="2:15" ht="13.5" customHeight="1" x14ac:dyDescent="0.3">
      <c r="B1722" s="9">
        <f>[1]Discovery!A1728</f>
        <v>70412303</v>
      </c>
      <c r="C1722" s="9" t="str">
        <f>[1]Discovery!B1728</f>
        <v>루르인의 마을</v>
      </c>
      <c r="D1722" s="9" t="str">
        <f>[1]Discovery!E1728</f>
        <v>건축</v>
      </c>
      <c r="E1722" s="9" t="str">
        <f>[1]Discovery!C1728</f>
        <v>부락</v>
      </c>
      <c r="F1722" s="9" t="str">
        <f>[1]Discovery!G1728</f>
        <v>D</v>
      </c>
      <c r="G1722" s="9" t="str">
        <f>IFERROR(VLOOKUP(표1[[#This Row],[명칭]],'문화권 정리'!C:D,2,FALSE),"-")</f>
        <v>마을</v>
      </c>
      <c r="H1722" s="38" t="str">
        <f>IFERROR(COUNTIF([2]OceanDoodad!$Y:$Y,표1[[#This Row],[명칭]]),"-")</f>
        <v>-</v>
      </c>
      <c r="I1722" s="38">
        <f>IFERROR(COUNTIF([1]AdventureDiscoveryGroup!$D$8:$AW$92,표1[[#This Row],[명칭]]),"-")</f>
        <v>0</v>
      </c>
      <c r="J1722" s="38">
        <f>IFERROR(COUNTIF([1]FishDiscoveryGroup!$A:$X,표1[[#This Row],[명칭]]),"-")</f>
        <v>0</v>
      </c>
      <c r="K1722" s="38" t="str">
        <f>IFERROR(COUNTIF([2]Town!$B:$B,표1[[#This Row],[명칭]]),"-")</f>
        <v>-</v>
      </c>
      <c r="L1722" s="38">
        <f>IFERROR(COUNTIF([1]Village!$BR:$BR,표1[[#This Row],[명칭]]),"-")</f>
        <v>0</v>
      </c>
      <c r="M1722" s="38">
        <f>COUNTIF(퀘스트!B:B,표1[[#This Row],[명칭]])</f>
        <v>0</v>
      </c>
      <c r="N1722" s="65">
        <f>COUNTIF([1]VillageDiscoveryGroup!$C:$C,표1[[#This Row],[명칭]])</f>
        <v>0</v>
      </c>
      <c r="O1722" s="65">
        <f>SUM(표1[[#This Row],[해양탐색]:[마을탐험]])</f>
        <v>0</v>
      </c>
    </row>
    <row r="1723" spans="2:15" ht="13.5" customHeight="1" x14ac:dyDescent="0.3">
      <c r="B1723" s="9">
        <f>[1]Discovery!A1729</f>
        <v>70412304</v>
      </c>
      <c r="C1723" s="9" t="str">
        <f>[1]Discovery!B1729</f>
        <v>카슈카이족의 마을</v>
      </c>
      <c r="D1723" s="9" t="str">
        <f>[1]Discovery!E1729</f>
        <v>건축</v>
      </c>
      <c r="E1723" s="9" t="str">
        <f>[1]Discovery!C1729</f>
        <v>부락</v>
      </c>
      <c r="F1723" s="9" t="str">
        <f>[1]Discovery!G1729</f>
        <v>D</v>
      </c>
      <c r="G1723" s="9" t="str">
        <f>IFERROR(VLOOKUP(표1[[#This Row],[명칭]],'문화권 정리'!C:D,2,FALSE),"-")</f>
        <v>마을</v>
      </c>
      <c r="H1723" s="38" t="str">
        <f>IFERROR(COUNTIF([2]OceanDoodad!$Y:$Y,표1[[#This Row],[명칭]]),"-")</f>
        <v>-</v>
      </c>
      <c r="I1723" s="38">
        <f>IFERROR(COUNTIF([1]AdventureDiscoveryGroup!$D$8:$AW$92,표1[[#This Row],[명칭]]),"-")</f>
        <v>0</v>
      </c>
      <c r="J1723" s="38">
        <f>IFERROR(COUNTIF([1]FishDiscoveryGroup!$A:$X,표1[[#This Row],[명칭]]),"-")</f>
        <v>0</v>
      </c>
      <c r="K1723" s="38" t="str">
        <f>IFERROR(COUNTIF([2]Town!$B:$B,표1[[#This Row],[명칭]]),"-")</f>
        <v>-</v>
      </c>
      <c r="L1723" s="38">
        <f>IFERROR(COUNTIF([1]Village!$BR:$BR,표1[[#This Row],[명칭]]),"-")</f>
        <v>0</v>
      </c>
      <c r="M1723" s="38">
        <f>COUNTIF(퀘스트!B:B,표1[[#This Row],[명칭]])</f>
        <v>0</v>
      </c>
      <c r="N1723" s="65">
        <f>COUNTIF([1]VillageDiscoveryGroup!$C:$C,표1[[#This Row],[명칭]])</f>
        <v>0</v>
      </c>
      <c r="O1723" s="65">
        <f>SUM(표1[[#This Row],[해양탐색]:[마을탐험]])</f>
        <v>0</v>
      </c>
    </row>
    <row r="1724" spans="2:15" ht="13.5" customHeight="1" x14ac:dyDescent="0.3">
      <c r="B1724" s="9">
        <f>[1]Discovery!A1730</f>
        <v>70412305</v>
      </c>
      <c r="C1724" s="9" t="str">
        <f>[1]Discovery!B1730</f>
        <v>베르베르인의 마을</v>
      </c>
      <c r="D1724" s="9" t="str">
        <f>[1]Discovery!E1730</f>
        <v>건축</v>
      </c>
      <c r="E1724" s="9" t="str">
        <f>[1]Discovery!C1730</f>
        <v>부락</v>
      </c>
      <c r="F1724" s="9" t="str">
        <f>[1]Discovery!G1730</f>
        <v>D</v>
      </c>
      <c r="G1724" s="9" t="str">
        <f>IFERROR(VLOOKUP(표1[[#This Row],[명칭]],'문화권 정리'!C:D,2,FALSE),"-")</f>
        <v>마을</v>
      </c>
      <c r="H1724" s="38" t="str">
        <f>IFERROR(COUNTIF([2]OceanDoodad!$Y:$Y,표1[[#This Row],[명칭]]),"-")</f>
        <v>-</v>
      </c>
      <c r="I1724" s="38">
        <f>IFERROR(COUNTIF([1]AdventureDiscoveryGroup!$D$8:$AW$92,표1[[#This Row],[명칭]]),"-")</f>
        <v>0</v>
      </c>
      <c r="J1724" s="38">
        <f>IFERROR(COUNTIF([1]FishDiscoveryGroup!$A:$X,표1[[#This Row],[명칭]]),"-")</f>
        <v>0</v>
      </c>
      <c r="K1724" s="38" t="str">
        <f>IFERROR(COUNTIF([2]Town!$B:$B,표1[[#This Row],[명칭]]),"-")</f>
        <v>-</v>
      </c>
      <c r="L1724" s="38">
        <f>IFERROR(COUNTIF([1]Village!$BR:$BR,표1[[#This Row],[명칭]]),"-")</f>
        <v>0</v>
      </c>
      <c r="M1724" s="38">
        <f>COUNTIF(퀘스트!B:B,표1[[#This Row],[명칭]])</f>
        <v>0</v>
      </c>
      <c r="N1724" s="65">
        <f>COUNTIF([1]VillageDiscoveryGroup!$C:$C,표1[[#This Row],[명칭]])</f>
        <v>0</v>
      </c>
      <c r="O1724" s="65">
        <f>SUM(표1[[#This Row],[해양탐색]:[마을탐험]])</f>
        <v>0</v>
      </c>
    </row>
    <row r="1725" spans="2:15" ht="13.5" customHeight="1" x14ac:dyDescent="0.3">
      <c r="B1725" s="9">
        <f>[1]Discovery!A1731</f>
        <v>70412306</v>
      </c>
      <c r="C1725" s="9" t="str">
        <f>[1]Discovery!B1731</f>
        <v>누비아인의 마을</v>
      </c>
      <c r="D1725" s="9" t="str">
        <f>[1]Discovery!E1731</f>
        <v>건축</v>
      </c>
      <c r="E1725" s="9" t="str">
        <f>[1]Discovery!C1731</f>
        <v>부락</v>
      </c>
      <c r="F1725" s="9" t="str">
        <f>[1]Discovery!G1731</f>
        <v>D</v>
      </c>
      <c r="G1725" s="9" t="str">
        <f>IFERROR(VLOOKUP(표1[[#This Row],[명칭]],'문화권 정리'!C:D,2,FALSE),"-")</f>
        <v>마을</v>
      </c>
      <c r="H1725" s="38" t="str">
        <f>IFERROR(COUNTIF([2]OceanDoodad!$Y:$Y,표1[[#This Row],[명칭]]),"-")</f>
        <v>-</v>
      </c>
      <c r="I1725" s="38">
        <f>IFERROR(COUNTIF([1]AdventureDiscoveryGroup!$D$8:$AW$92,표1[[#This Row],[명칭]]),"-")</f>
        <v>0</v>
      </c>
      <c r="J1725" s="38">
        <f>IFERROR(COUNTIF([1]FishDiscoveryGroup!$A:$X,표1[[#This Row],[명칭]]),"-")</f>
        <v>0</v>
      </c>
      <c r="K1725" s="38" t="str">
        <f>IFERROR(COUNTIF([2]Town!$B:$B,표1[[#This Row],[명칭]]),"-")</f>
        <v>-</v>
      </c>
      <c r="L1725" s="38">
        <f>IFERROR(COUNTIF([1]Village!$BR:$BR,표1[[#This Row],[명칭]]),"-")</f>
        <v>0</v>
      </c>
      <c r="M1725" s="38">
        <f>COUNTIF(퀘스트!B:B,표1[[#This Row],[명칭]])</f>
        <v>0</v>
      </c>
      <c r="N1725" s="65">
        <f>COUNTIF([1]VillageDiscoveryGroup!$C:$C,표1[[#This Row],[명칭]])</f>
        <v>0</v>
      </c>
      <c r="O1725" s="65">
        <f>SUM(표1[[#This Row],[해양탐색]:[마을탐험]])</f>
        <v>0</v>
      </c>
    </row>
    <row r="1726" spans="2:15" ht="13.5" customHeight="1" x14ac:dyDescent="0.3">
      <c r="B1726" s="9">
        <f>[1]Discovery!A1732</f>
        <v>70412307</v>
      </c>
      <c r="C1726" s="9" t="str">
        <f>[1]Discovery!B1732</f>
        <v>바리족의 마을</v>
      </c>
      <c r="D1726" s="9" t="str">
        <f>[1]Discovery!E1732</f>
        <v>건축</v>
      </c>
      <c r="E1726" s="9" t="str">
        <f>[1]Discovery!C1732</f>
        <v>부락</v>
      </c>
      <c r="F1726" s="9" t="str">
        <f>[1]Discovery!G1732</f>
        <v>D</v>
      </c>
      <c r="G1726" s="9" t="str">
        <f>IFERROR(VLOOKUP(표1[[#This Row],[명칭]],'문화권 정리'!C:D,2,FALSE),"-")</f>
        <v>마을</v>
      </c>
      <c r="H1726" s="38" t="str">
        <f>IFERROR(COUNTIF([2]OceanDoodad!$Y:$Y,표1[[#This Row],[명칭]]),"-")</f>
        <v>-</v>
      </c>
      <c r="I1726" s="38">
        <f>IFERROR(COUNTIF([1]AdventureDiscoveryGroup!$D$8:$AW$92,표1[[#This Row],[명칭]]),"-")</f>
        <v>0</v>
      </c>
      <c r="J1726" s="38">
        <f>IFERROR(COUNTIF([1]FishDiscoveryGroup!$A:$X,표1[[#This Row],[명칭]]),"-")</f>
        <v>0</v>
      </c>
      <c r="K1726" s="38" t="str">
        <f>IFERROR(COUNTIF([2]Town!$B:$B,표1[[#This Row],[명칭]]),"-")</f>
        <v>-</v>
      </c>
      <c r="L1726" s="38">
        <f>IFERROR(COUNTIF([1]Village!$BR:$BR,표1[[#This Row],[명칭]]),"-")</f>
        <v>0</v>
      </c>
      <c r="M1726" s="38">
        <f>COUNTIF(퀘스트!B:B,표1[[#This Row],[명칭]])</f>
        <v>0</v>
      </c>
      <c r="N1726" s="65">
        <f>COUNTIF([1]VillageDiscoveryGroup!$C:$C,표1[[#This Row],[명칭]])</f>
        <v>0</v>
      </c>
      <c r="O1726" s="65">
        <f>SUM(표1[[#This Row],[해양탐색]:[마을탐험]])</f>
        <v>0</v>
      </c>
    </row>
    <row r="1727" spans="2:15" ht="13.5" customHeight="1" x14ac:dyDescent="0.3">
      <c r="B1727" s="9">
        <f>[1]Discovery!A1733</f>
        <v>70412308</v>
      </c>
      <c r="C1727" s="9" t="str">
        <f>[1]Discovery!B1733</f>
        <v>바간다족의 마을</v>
      </c>
      <c r="D1727" s="9" t="str">
        <f>[1]Discovery!E1733</f>
        <v>건축</v>
      </c>
      <c r="E1727" s="9" t="str">
        <f>[1]Discovery!C1733</f>
        <v>부락</v>
      </c>
      <c r="F1727" s="9" t="str">
        <f>[1]Discovery!G1733</f>
        <v>D</v>
      </c>
      <c r="G1727" s="9" t="str">
        <f>IFERROR(VLOOKUP(표1[[#This Row],[명칭]],'문화권 정리'!C:D,2,FALSE),"-")</f>
        <v>마을</v>
      </c>
      <c r="H1727" s="38" t="str">
        <f>IFERROR(COUNTIF([2]OceanDoodad!$Y:$Y,표1[[#This Row],[명칭]]),"-")</f>
        <v>-</v>
      </c>
      <c r="I1727" s="38">
        <f>IFERROR(COUNTIF([1]AdventureDiscoveryGroup!$D$8:$AW$92,표1[[#This Row],[명칭]]),"-")</f>
        <v>0</v>
      </c>
      <c r="J1727" s="38">
        <f>IFERROR(COUNTIF([1]FishDiscoveryGroup!$A:$X,표1[[#This Row],[명칭]]),"-")</f>
        <v>0</v>
      </c>
      <c r="K1727" s="38" t="str">
        <f>IFERROR(COUNTIF([2]Town!$B:$B,표1[[#This Row],[명칭]]),"-")</f>
        <v>-</v>
      </c>
      <c r="L1727" s="38">
        <f>IFERROR(COUNTIF([1]Village!$BR:$BR,표1[[#This Row],[명칭]]),"-")</f>
        <v>0</v>
      </c>
      <c r="M1727" s="38">
        <f>COUNTIF(퀘스트!B:B,표1[[#This Row],[명칭]])</f>
        <v>0</v>
      </c>
      <c r="N1727" s="65">
        <f>COUNTIF([1]VillageDiscoveryGroup!$C:$C,표1[[#This Row],[명칭]])</f>
        <v>0</v>
      </c>
      <c r="O1727" s="65">
        <f>SUM(표1[[#This Row],[해양탐색]:[마을탐험]])</f>
        <v>0</v>
      </c>
    </row>
    <row r="1728" spans="2:15" ht="13.5" customHeight="1" x14ac:dyDescent="0.3">
      <c r="B1728" s="9">
        <f>[1]Discovery!A1734</f>
        <v>70412309</v>
      </c>
      <c r="C1728" s="9" t="str">
        <f>[1]Discovery!B1734</f>
        <v>말링케족의 마을</v>
      </c>
      <c r="D1728" s="9" t="str">
        <f>[1]Discovery!E1734</f>
        <v>건축</v>
      </c>
      <c r="E1728" s="9" t="str">
        <f>[1]Discovery!C1734</f>
        <v>부락</v>
      </c>
      <c r="F1728" s="9" t="str">
        <f>[1]Discovery!G1734</f>
        <v>D</v>
      </c>
      <c r="G1728" s="9" t="str">
        <f>IFERROR(VLOOKUP(표1[[#This Row],[명칭]],'문화권 정리'!C:D,2,FALSE),"-")</f>
        <v>마을</v>
      </c>
      <c r="H1728" s="38" t="str">
        <f>IFERROR(COUNTIF([2]OceanDoodad!$Y:$Y,표1[[#This Row],[명칭]]),"-")</f>
        <v>-</v>
      </c>
      <c r="I1728" s="38">
        <f>IFERROR(COUNTIF([1]AdventureDiscoveryGroup!$D$8:$AW$92,표1[[#This Row],[명칭]]),"-")</f>
        <v>0</v>
      </c>
      <c r="J1728" s="38">
        <f>IFERROR(COUNTIF([1]FishDiscoveryGroup!$A:$X,표1[[#This Row],[명칭]]),"-")</f>
        <v>0</v>
      </c>
      <c r="K1728" s="38" t="str">
        <f>IFERROR(COUNTIF([2]Town!$B:$B,표1[[#This Row],[명칭]]),"-")</f>
        <v>-</v>
      </c>
      <c r="L1728" s="38">
        <f>IFERROR(COUNTIF([1]Village!$BR:$BR,표1[[#This Row],[명칭]]),"-")</f>
        <v>0</v>
      </c>
      <c r="M1728" s="38">
        <f>COUNTIF(퀘스트!B:B,표1[[#This Row],[명칭]])</f>
        <v>0</v>
      </c>
      <c r="N1728" s="65">
        <f>COUNTIF([1]VillageDiscoveryGroup!$C:$C,표1[[#This Row],[명칭]])</f>
        <v>0</v>
      </c>
      <c r="O1728" s="65">
        <f>SUM(표1[[#This Row],[해양탐색]:[마을탐험]])</f>
        <v>0</v>
      </c>
    </row>
    <row r="1729" spans="2:15" ht="13.5" customHeight="1" x14ac:dyDescent="0.3">
      <c r="B1729" s="9">
        <f>[1]Discovery!A1735</f>
        <v>70412310</v>
      </c>
      <c r="C1729" s="9" t="str">
        <f>[1]Discovery!B1735</f>
        <v>요루바족의 마을</v>
      </c>
      <c r="D1729" s="9" t="str">
        <f>[1]Discovery!E1735</f>
        <v>건축</v>
      </c>
      <c r="E1729" s="9" t="str">
        <f>[1]Discovery!C1735</f>
        <v>부락</v>
      </c>
      <c r="F1729" s="9" t="str">
        <f>[1]Discovery!G1735</f>
        <v>D</v>
      </c>
      <c r="G1729" s="9" t="str">
        <f>IFERROR(VLOOKUP(표1[[#This Row],[명칭]],'문화권 정리'!C:D,2,FALSE),"-")</f>
        <v>마을</v>
      </c>
      <c r="H1729" s="38" t="str">
        <f>IFERROR(COUNTIF([2]OceanDoodad!$Y:$Y,표1[[#This Row],[명칭]]),"-")</f>
        <v>-</v>
      </c>
      <c r="I1729" s="38">
        <f>IFERROR(COUNTIF([1]AdventureDiscoveryGroup!$D$8:$AW$92,표1[[#This Row],[명칭]]),"-")</f>
        <v>0</v>
      </c>
      <c r="J1729" s="38">
        <f>IFERROR(COUNTIF([1]FishDiscoveryGroup!$A:$X,표1[[#This Row],[명칭]]),"-")</f>
        <v>0</v>
      </c>
      <c r="K1729" s="38" t="str">
        <f>IFERROR(COUNTIF([2]Town!$B:$B,표1[[#This Row],[명칭]]),"-")</f>
        <v>-</v>
      </c>
      <c r="L1729" s="38">
        <f>IFERROR(COUNTIF([1]Village!$BR:$BR,표1[[#This Row],[명칭]]),"-")</f>
        <v>0</v>
      </c>
      <c r="M1729" s="38">
        <f>COUNTIF(퀘스트!B:B,표1[[#This Row],[명칭]])</f>
        <v>0</v>
      </c>
      <c r="N1729" s="65">
        <f>COUNTIF([1]VillageDiscoveryGroup!$C:$C,표1[[#This Row],[명칭]])</f>
        <v>0</v>
      </c>
      <c r="O1729" s="65">
        <f>SUM(표1[[#This Row],[해양탐색]:[마을탐험]])</f>
        <v>0</v>
      </c>
    </row>
    <row r="1730" spans="2:15" ht="13.5" customHeight="1" x14ac:dyDescent="0.3">
      <c r="B1730" s="9">
        <f>[1]Discovery!A1736</f>
        <v>70412311</v>
      </c>
      <c r="C1730" s="9" t="str">
        <f>[1]Discovery!B1736</f>
        <v>반투족의 마을</v>
      </c>
      <c r="D1730" s="9" t="str">
        <f>[1]Discovery!E1736</f>
        <v>건축</v>
      </c>
      <c r="E1730" s="9" t="str">
        <f>[1]Discovery!C1736</f>
        <v>부락</v>
      </c>
      <c r="F1730" s="9" t="str">
        <f>[1]Discovery!G1736</f>
        <v>D</v>
      </c>
      <c r="G1730" s="9" t="str">
        <f>IFERROR(VLOOKUP(표1[[#This Row],[명칭]],'문화권 정리'!C:D,2,FALSE),"-")</f>
        <v>마을</v>
      </c>
      <c r="H1730" s="38" t="str">
        <f>IFERROR(COUNTIF([2]OceanDoodad!$Y:$Y,표1[[#This Row],[명칭]]),"-")</f>
        <v>-</v>
      </c>
      <c r="I1730" s="38">
        <f>IFERROR(COUNTIF([1]AdventureDiscoveryGroup!$D$8:$AW$92,표1[[#This Row],[명칭]]),"-")</f>
        <v>0</v>
      </c>
      <c r="J1730" s="38">
        <f>IFERROR(COUNTIF([1]FishDiscoveryGroup!$A:$X,표1[[#This Row],[명칭]]),"-")</f>
        <v>0</v>
      </c>
      <c r="K1730" s="38" t="str">
        <f>IFERROR(COUNTIF([2]Town!$B:$B,표1[[#This Row],[명칭]]),"-")</f>
        <v>-</v>
      </c>
      <c r="L1730" s="38">
        <f>IFERROR(COUNTIF([1]Village!$BR:$BR,표1[[#This Row],[명칭]]),"-")</f>
        <v>0</v>
      </c>
      <c r="M1730" s="38">
        <f>COUNTIF(퀘스트!B:B,표1[[#This Row],[명칭]])</f>
        <v>0</v>
      </c>
      <c r="N1730" s="65">
        <f>COUNTIF([1]VillageDiscoveryGroup!$C:$C,표1[[#This Row],[명칭]])</f>
        <v>0</v>
      </c>
      <c r="O1730" s="65">
        <f>SUM(표1[[#This Row],[해양탐색]:[마을탐험]])</f>
        <v>0</v>
      </c>
    </row>
    <row r="1731" spans="2:15" ht="13.5" customHeight="1" x14ac:dyDescent="0.3">
      <c r="B1731" s="9">
        <f>[1]Discovery!A1737</f>
        <v>70412312</v>
      </c>
      <c r="C1731" s="9" t="str">
        <f>[1]Discovery!B1737</f>
        <v>후투족의 마을</v>
      </c>
      <c r="D1731" s="9" t="str">
        <f>[1]Discovery!E1737</f>
        <v>건축</v>
      </c>
      <c r="E1731" s="9" t="str">
        <f>[1]Discovery!C1737</f>
        <v>부락</v>
      </c>
      <c r="F1731" s="9" t="str">
        <f>[1]Discovery!G1737</f>
        <v>D</v>
      </c>
      <c r="G1731" s="9" t="str">
        <f>IFERROR(VLOOKUP(표1[[#This Row],[명칭]],'문화권 정리'!C:D,2,FALSE),"-")</f>
        <v>마을</v>
      </c>
      <c r="H1731" s="38" t="str">
        <f>IFERROR(COUNTIF([2]OceanDoodad!$Y:$Y,표1[[#This Row],[명칭]]),"-")</f>
        <v>-</v>
      </c>
      <c r="I1731" s="38">
        <f>IFERROR(COUNTIF([1]AdventureDiscoveryGroup!$D$8:$AW$92,표1[[#This Row],[명칭]]),"-")</f>
        <v>0</v>
      </c>
      <c r="J1731" s="38">
        <f>IFERROR(COUNTIF([1]FishDiscoveryGroup!$A:$X,표1[[#This Row],[명칭]]),"-")</f>
        <v>0</v>
      </c>
      <c r="K1731" s="38" t="str">
        <f>IFERROR(COUNTIF([2]Town!$B:$B,표1[[#This Row],[명칭]]),"-")</f>
        <v>-</v>
      </c>
      <c r="L1731" s="38">
        <f>IFERROR(COUNTIF([1]Village!$BR:$BR,표1[[#This Row],[명칭]]),"-")</f>
        <v>0</v>
      </c>
      <c r="M1731" s="38">
        <f>COUNTIF(퀘스트!B:B,표1[[#This Row],[명칭]])</f>
        <v>0</v>
      </c>
      <c r="N1731" s="65">
        <f>COUNTIF([1]VillageDiscoveryGroup!$C:$C,표1[[#This Row],[명칭]])</f>
        <v>0</v>
      </c>
      <c r="O1731" s="65">
        <f>SUM(표1[[#This Row],[해양탐색]:[마을탐험]])</f>
        <v>0</v>
      </c>
    </row>
    <row r="1732" spans="2:15" ht="13.5" customHeight="1" x14ac:dyDescent="0.3">
      <c r="B1732" s="9">
        <f>[1]Discovery!A1738</f>
        <v>70412313</v>
      </c>
      <c r="C1732" s="9" t="str">
        <f>[1]Discovery!B1738</f>
        <v>산족의 마을</v>
      </c>
      <c r="D1732" s="9" t="str">
        <f>[1]Discovery!E1738</f>
        <v>건축</v>
      </c>
      <c r="E1732" s="9" t="str">
        <f>[1]Discovery!C1738</f>
        <v>부락</v>
      </c>
      <c r="F1732" s="9" t="str">
        <f>[1]Discovery!G1738</f>
        <v>D</v>
      </c>
      <c r="G1732" s="9" t="str">
        <f>IFERROR(VLOOKUP(표1[[#This Row],[명칭]],'문화권 정리'!C:D,2,FALSE),"-")</f>
        <v>마을</v>
      </c>
      <c r="H1732" s="38" t="str">
        <f>IFERROR(COUNTIF([2]OceanDoodad!$Y:$Y,표1[[#This Row],[명칭]]),"-")</f>
        <v>-</v>
      </c>
      <c r="I1732" s="38">
        <f>IFERROR(COUNTIF([1]AdventureDiscoveryGroup!$D$8:$AW$92,표1[[#This Row],[명칭]]),"-")</f>
        <v>0</v>
      </c>
      <c r="J1732" s="38">
        <f>IFERROR(COUNTIF([1]FishDiscoveryGroup!$A:$X,표1[[#This Row],[명칭]]),"-")</f>
        <v>0</v>
      </c>
      <c r="K1732" s="38" t="str">
        <f>IFERROR(COUNTIF([2]Town!$B:$B,표1[[#This Row],[명칭]]),"-")</f>
        <v>-</v>
      </c>
      <c r="L1732" s="38">
        <f>IFERROR(COUNTIF([1]Village!$BR:$BR,표1[[#This Row],[명칭]]),"-")</f>
        <v>0</v>
      </c>
      <c r="M1732" s="38">
        <f>COUNTIF(퀘스트!B:B,표1[[#This Row],[명칭]])</f>
        <v>0</v>
      </c>
      <c r="N1732" s="65">
        <f>COUNTIF([1]VillageDiscoveryGroup!$C:$C,표1[[#This Row],[명칭]])</f>
        <v>0</v>
      </c>
      <c r="O1732" s="65">
        <f>SUM(표1[[#This Row],[해양탐색]:[마을탐험]])</f>
        <v>0</v>
      </c>
    </row>
    <row r="1733" spans="2:15" ht="13.5" customHeight="1" x14ac:dyDescent="0.3">
      <c r="B1733" s="9">
        <f>[1]Discovery!A1739</f>
        <v>70412314</v>
      </c>
      <c r="C1733" s="9" t="str">
        <f>[1]Discovery!B1739</f>
        <v>쇼나족의 마을</v>
      </c>
      <c r="D1733" s="9" t="str">
        <f>[1]Discovery!E1739</f>
        <v>건축</v>
      </c>
      <c r="E1733" s="9" t="str">
        <f>[1]Discovery!C1739</f>
        <v>부락</v>
      </c>
      <c r="F1733" s="9" t="str">
        <f>[1]Discovery!G1739</f>
        <v>D</v>
      </c>
      <c r="G1733" s="9" t="str">
        <f>IFERROR(VLOOKUP(표1[[#This Row],[명칭]],'문화권 정리'!C:D,2,FALSE),"-")</f>
        <v>마을</v>
      </c>
      <c r="H1733" s="38" t="str">
        <f>IFERROR(COUNTIF([2]OceanDoodad!$Y:$Y,표1[[#This Row],[명칭]]),"-")</f>
        <v>-</v>
      </c>
      <c r="I1733" s="38">
        <f>IFERROR(COUNTIF([1]AdventureDiscoveryGroup!$D$8:$AW$92,표1[[#This Row],[명칭]]),"-")</f>
        <v>0</v>
      </c>
      <c r="J1733" s="38">
        <f>IFERROR(COUNTIF([1]FishDiscoveryGroup!$A:$X,표1[[#This Row],[명칭]]),"-")</f>
        <v>0</v>
      </c>
      <c r="K1733" s="38" t="str">
        <f>IFERROR(COUNTIF([2]Town!$B:$B,표1[[#This Row],[명칭]]),"-")</f>
        <v>-</v>
      </c>
      <c r="L1733" s="38">
        <f>IFERROR(COUNTIF([1]Village!$BR:$BR,표1[[#This Row],[명칭]]),"-")</f>
        <v>0</v>
      </c>
      <c r="M1733" s="38">
        <f>COUNTIF(퀘스트!B:B,표1[[#This Row],[명칭]])</f>
        <v>0</v>
      </c>
      <c r="N1733" s="65">
        <f>COUNTIF([1]VillageDiscoveryGroup!$C:$C,표1[[#This Row],[명칭]])</f>
        <v>0</v>
      </c>
      <c r="O1733" s="65">
        <f>SUM(표1[[#This Row],[해양탐색]:[마을탐험]])</f>
        <v>0</v>
      </c>
    </row>
    <row r="1734" spans="2:15" ht="13.5" customHeight="1" x14ac:dyDescent="0.3">
      <c r="B1734" s="9">
        <f>[1]Discovery!A1740</f>
        <v>70412315</v>
      </c>
      <c r="C1734" s="9" t="str">
        <f>[1]Discovery!B1740</f>
        <v>말라가시인의 마을</v>
      </c>
      <c r="D1734" s="9" t="str">
        <f>[1]Discovery!E1740</f>
        <v>건축</v>
      </c>
      <c r="E1734" s="9" t="str">
        <f>[1]Discovery!C1740</f>
        <v>부락</v>
      </c>
      <c r="F1734" s="9" t="str">
        <f>[1]Discovery!G1740</f>
        <v>D</v>
      </c>
      <c r="G1734" s="9" t="str">
        <f>IFERROR(VLOOKUP(표1[[#This Row],[명칭]],'문화권 정리'!C:D,2,FALSE),"-")</f>
        <v>마을</v>
      </c>
      <c r="H1734" s="38" t="str">
        <f>IFERROR(COUNTIF([2]OceanDoodad!$Y:$Y,표1[[#This Row],[명칭]]),"-")</f>
        <v>-</v>
      </c>
      <c r="I1734" s="38">
        <f>IFERROR(COUNTIF([1]AdventureDiscoveryGroup!$D$8:$AW$92,표1[[#This Row],[명칭]]),"-")</f>
        <v>0</v>
      </c>
      <c r="J1734" s="38">
        <f>IFERROR(COUNTIF([1]FishDiscoveryGroup!$A:$X,표1[[#This Row],[명칭]]),"-")</f>
        <v>0</v>
      </c>
      <c r="K1734" s="38" t="str">
        <f>IFERROR(COUNTIF([2]Town!$B:$B,표1[[#This Row],[명칭]]),"-")</f>
        <v>-</v>
      </c>
      <c r="L1734" s="38">
        <f>IFERROR(COUNTIF([1]Village!$BR:$BR,표1[[#This Row],[명칭]]),"-")</f>
        <v>0</v>
      </c>
      <c r="M1734" s="38">
        <f>COUNTIF(퀘스트!B:B,표1[[#This Row],[명칭]])</f>
        <v>0</v>
      </c>
      <c r="N1734" s="65">
        <f>COUNTIF([1]VillageDiscoveryGroup!$C:$C,표1[[#This Row],[명칭]])</f>
        <v>0</v>
      </c>
      <c r="O1734" s="65">
        <f>SUM(표1[[#This Row],[해양탐색]:[마을탐험]])</f>
        <v>0</v>
      </c>
    </row>
    <row r="1735" spans="2:15" ht="13.5" customHeight="1" x14ac:dyDescent="0.3">
      <c r="B1735" s="9">
        <f>[1]Discovery!A1741</f>
        <v>70412316</v>
      </c>
      <c r="C1735" s="9" t="str">
        <f>[1]Discovery!B1741</f>
        <v>인도양, 서쪽의 섬</v>
      </c>
      <c r="D1735" s="9" t="str">
        <f>[1]Discovery!E1741</f>
        <v>건축</v>
      </c>
      <c r="E1735" s="9" t="str">
        <f>[1]Discovery!C1741</f>
        <v>부락</v>
      </c>
      <c r="F1735" s="9" t="str">
        <f>[1]Discovery!G1741</f>
        <v>D</v>
      </c>
      <c r="G1735" s="9" t="str">
        <f>IFERROR(VLOOKUP(표1[[#This Row],[명칭]],'문화권 정리'!C:D,2,FALSE),"-")</f>
        <v>마을</v>
      </c>
      <c r="H1735" s="38" t="str">
        <f>IFERROR(COUNTIF([2]OceanDoodad!$Y:$Y,표1[[#This Row],[명칭]]),"-")</f>
        <v>-</v>
      </c>
      <c r="I1735" s="38">
        <f>IFERROR(COUNTIF([1]AdventureDiscoveryGroup!$D$8:$AW$92,표1[[#This Row],[명칭]]),"-")</f>
        <v>0</v>
      </c>
      <c r="J1735" s="38">
        <f>IFERROR(COUNTIF([1]FishDiscoveryGroup!$A:$X,표1[[#This Row],[명칭]]),"-")</f>
        <v>0</v>
      </c>
      <c r="K1735" s="38" t="str">
        <f>IFERROR(COUNTIF([2]Town!$B:$B,표1[[#This Row],[명칭]]),"-")</f>
        <v>-</v>
      </c>
      <c r="L1735" s="38">
        <f>IFERROR(COUNTIF([1]Village!$BR:$BR,표1[[#This Row],[명칭]]),"-")</f>
        <v>0</v>
      </c>
      <c r="M1735" s="38">
        <f>COUNTIF(퀘스트!B:B,표1[[#This Row],[명칭]])</f>
        <v>0</v>
      </c>
      <c r="N1735" s="65">
        <f>COUNTIF([1]VillageDiscoveryGroup!$C:$C,표1[[#This Row],[명칭]])</f>
        <v>0</v>
      </c>
      <c r="O1735" s="65">
        <f>SUM(표1[[#This Row],[해양탐색]:[마을탐험]])</f>
        <v>0</v>
      </c>
    </row>
    <row r="1736" spans="2:15" ht="13.5" customHeight="1" x14ac:dyDescent="0.3">
      <c r="B1736" s="9">
        <f>[1]Discovery!A1742</f>
        <v>70412317</v>
      </c>
      <c r="C1736" s="9" t="str">
        <f>[1]Discovery!B1742</f>
        <v>대서양, 남쪽의 섬</v>
      </c>
      <c r="D1736" s="9" t="str">
        <f>[1]Discovery!E1742</f>
        <v>건축</v>
      </c>
      <c r="E1736" s="9" t="str">
        <f>[1]Discovery!C1742</f>
        <v>부락</v>
      </c>
      <c r="F1736" s="9" t="str">
        <f>[1]Discovery!G1742</f>
        <v>D</v>
      </c>
      <c r="G1736" s="9" t="str">
        <f>IFERROR(VLOOKUP(표1[[#This Row],[명칭]],'문화권 정리'!C:D,2,FALSE),"-")</f>
        <v>마을</v>
      </c>
      <c r="H1736" s="38" t="str">
        <f>IFERROR(COUNTIF([2]OceanDoodad!$Y:$Y,표1[[#This Row],[명칭]]),"-")</f>
        <v>-</v>
      </c>
      <c r="I1736" s="38">
        <f>IFERROR(COUNTIF([1]AdventureDiscoveryGroup!$D$8:$AW$92,표1[[#This Row],[명칭]]),"-")</f>
        <v>0</v>
      </c>
      <c r="J1736" s="38">
        <f>IFERROR(COUNTIF([1]FishDiscoveryGroup!$A:$X,표1[[#This Row],[명칭]]),"-")</f>
        <v>0</v>
      </c>
      <c r="K1736" s="38" t="str">
        <f>IFERROR(COUNTIF([2]Town!$B:$B,표1[[#This Row],[명칭]]),"-")</f>
        <v>-</v>
      </c>
      <c r="L1736" s="38">
        <f>IFERROR(COUNTIF([1]Village!$BR:$BR,표1[[#This Row],[명칭]]),"-")</f>
        <v>0</v>
      </c>
      <c r="M1736" s="38">
        <f>COUNTIF(퀘스트!B:B,표1[[#This Row],[명칭]])</f>
        <v>0</v>
      </c>
      <c r="N1736" s="65">
        <f>COUNTIF([1]VillageDiscoveryGroup!$C:$C,표1[[#This Row],[명칭]])</f>
        <v>0</v>
      </c>
      <c r="O1736" s="65">
        <f>SUM(표1[[#This Row],[해양탐색]:[마을탐험]])</f>
        <v>0</v>
      </c>
    </row>
    <row r="1737" spans="2:15" ht="13.5" customHeight="1" x14ac:dyDescent="0.3">
      <c r="B1737" s="9">
        <f>[1]Discovery!A1743</f>
        <v>70412318</v>
      </c>
      <c r="C1737" s="9" t="str">
        <f>[1]Discovery!B1743</f>
        <v>과라니족의 마을</v>
      </c>
      <c r="D1737" s="9" t="str">
        <f>[1]Discovery!E1743</f>
        <v>건축</v>
      </c>
      <c r="E1737" s="9" t="str">
        <f>[1]Discovery!C1743</f>
        <v>부락</v>
      </c>
      <c r="F1737" s="9" t="str">
        <f>[1]Discovery!G1743</f>
        <v>D</v>
      </c>
      <c r="G1737" s="9" t="str">
        <f>IFERROR(VLOOKUP(표1[[#This Row],[명칭]],'문화권 정리'!C:D,2,FALSE),"-")</f>
        <v>마을</v>
      </c>
      <c r="H1737" s="38" t="str">
        <f>IFERROR(COUNTIF([2]OceanDoodad!$Y:$Y,표1[[#This Row],[명칭]]),"-")</f>
        <v>-</v>
      </c>
      <c r="I1737" s="38">
        <f>IFERROR(COUNTIF([1]AdventureDiscoveryGroup!$D$8:$AW$92,표1[[#This Row],[명칭]]),"-")</f>
        <v>0</v>
      </c>
      <c r="J1737" s="38">
        <f>IFERROR(COUNTIF([1]FishDiscoveryGroup!$A:$X,표1[[#This Row],[명칭]]),"-")</f>
        <v>0</v>
      </c>
      <c r="K1737" s="38" t="str">
        <f>IFERROR(COUNTIF([2]Town!$B:$B,표1[[#This Row],[명칭]]),"-")</f>
        <v>-</v>
      </c>
      <c r="L1737" s="38">
        <f>IFERROR(COUNTIF([1]Village!$BR:$BR,표1[[#This Row],[명칭]]),"-")</f>
        <v>0</v>
      </c>
      <c r="M1737" s="38">
        <f>COUNTIF(퀘스트!B:B,표1[[#This Row],[명칭]])</f>
        <v>0</v>
      </c>
      <c r="N1737" s="65">
        <f>COUNTIF([1]VillageDiscoveryGroup!$C:$C,표1[[#This Row],[명칭]])</f>
        <v>0</v>
      </c>
      <c r="O1737" s="65">
        <f>SUM(표1[[#This Row],[해양탐색]:[마을탐험]])</f>
        <v>0</v>
      </c>
    </row>
    <row r="1738" spans="2:15" ht="13.5" customHeight="1" x14ac:dyDescent="0.3">
      <c r="B1738" s="9">
        <f>[1]Discovery!A1744</f>
        <v>70412319</v>
      </c>
      <c r="C1738" s="9" t="str">
        <f>[1]Discovery!B1744</f>
        <v>보로로족의 마을</v>
      </c>
      <c r="D1738" s="9" t="str">
        <f>[1]Discovery!E1744</f>
        <v>건축</v>
      </c>
      <c r="E1738" s="9" t="str">
        <f>[1]Discovery!C1744</f>
        <v>부락</v>
      </c>
      <c r="F1738" s="9" t="str">
        <f>[1]Discovery!G1744</f>
        <v>D</v>
      </c>
      <c r="G1738" s="9" t="str">
        <f>IFERROR(VLOOKUP(표1[[#This Row],[명칭]],'문화권 정리'!C:D,2,FALSE),"-")</f>
        <v>마을</v>
      </c>
      <c r="H1738" s="38" t="str">
        <f>IFERROR(COUNTIF([2]OceanDoodad!$Y:$Y,표1[[#This Row],[명칭]]),"-")</f>
        <v>-</v>
      </c>
      <c r="I1738" s="38">
        <f>IFERROR(COUNTIF([1]AdventureDiscoveryGroup!$D$8:$AW$92,표1[[#This Row],[명칭]]),"-")</f>
        <v>0</v>
      </c>
      <c r="J1738" s="38">
        <f>IFERROR(COUNTIF([1]FishDiscoveryGroup!$A:$X,표1[[#This Row],[명칭]]),"-")</f>
        <v>0</v>
      </c>
      <c r="K1738" s="38" t="str">
        <f>IFERROR(COUNTIF([2]Town!$B:$B,표1[[#This Row],[명칭]]),"-")</f>
        <v>-</v>
      </c>
      <c r="L1738" s="38">
        <f>IFERROR(COUNTIF([1]Village!$BR:$BR,표1[[#This Row],[명칭]]),"-")</f>
        <v>0</v>
      </c>
      <c r="M1738" s="38">
        <f>COUNTIF(퀘스트!B:B,표1[[#This Row],[명칭]])</f>
        <v>0</v>
      </c>
      <c r="N1738" s="65">
        <f>COUNTIF([1]VillageDiscoveryGroup!$C:$C,표1[[#This Row],[명칭]])</f>
        <v>0</v>
      </c>
      <c r="O1738" s="65">
        <f>SUM(표1[[#This Row],[해양탐색]:[마을탐험]])</f>
        <v>0</v>
      </c>
    </row>
    <row r="1739" spans="2:15" ht="13.5" customHeight="1" x14ac:dyDescent="0.3">
      <c r="B1739" s="9">
        <f>[1]Discovery!A1745</f>
        <v>70412320</v>
      </c>
      <c r="C1739" s="9" t="str">
        <f>[1]Discovery!B1745</f>
        <v>시리오노족의 마을</v>
      </c>
      <c r="D1739" s="9" t="str">
        <f>[1]Discovery!E1745</f>
        <v>건축</v>
      </c>
      <c r="E1739" s="9" t="str">
        <f>[1]Discovery!C1745</f>
        <v>부락</v>
      </c>
      <c r="F1739" s="9" t="str">
        <f>[1]Discovery!G1745</f>
        <v>D</v>
      </c>
      <c r="G1739" s="9" t="str">
        <f>IFERROR(VLOOKUP(표1[[#This Row],[명칭]],'문화권 정리'!C:D,2,FALSE),"-")</f>
        <v>마을</v>
      </c>
      <c r="H1739" s="38" t="str">
        <f>IFERROR(COUNTIF([2]OceanDoodad!$Y:$Y,표1[[#This Row],[명칭]]),"-")</f>
        <v>-</v>
      </c>
      <c r="I1739" s="38">
        <f>IFERROR(COUNTIF([1]AdventureDiscoveryGroup!$D$8:$AW$92,표1[[#This Row],[명칭]]),"-")</f>
        <v>0</v>
      </c>
      <c r="J1739" s="38">
        <f>IFERROR(COUNTIF([1]FishDiscoveryGroup!$A:$X,표1[[#This Row],[명칭]]),"-")</f>
        <v>0</v>
      </c>
      <c r="K1739" s="38" t="str">
        <f>IFERROR(COUNTIF([2]Town!$B:$B,표1[[#This Row],[명칭]]),"-")</f>
        <v>-</v>
      </c>
      <c r="L1739" s="38">
        <f>IFERROR(COUNTIF([1]Village!$BR:$BR,표1[[#This Row],[명칭]]),"-")</f>
        <v>0</v>
      </c>
      <c r="M1739" s="38">
        <f>COUNTIF(퀘스트!B:B,표1[[#This Row],[명칭]])</f>
        <v>0</v>
      </c>
      <c r="N1739" s="65">
        <f>COUNTIF([1]VillageDiscoveryGroup!$C:$C,표1[[#This Row],[명칭]])</f>
        <v>0</v>
      </c>
      <c r="O1739" s="65">
        <f>SUM(표1[[#This Row],[해양탐색]:[마을탐험]])</f>
        <v>0</v>
      </c>
    </row>
    <row r="1740" spans="2:15" ht="13.5" customHeight="1" x14ac:dyDescent="0.3">
      <c r="B1740" s="9">
        <f>[1]Discovery!A1746</f>
        <v>70412321</v>
      </c>
      <c r="C1740" s="9" t="str">
        <f>[1]Discovery!B1746</f>
        <v>케추아족의 마을</v>
      </c>
      <c r="D1740" s="9" t="str">
        <f>[1]Discovery!E1746</f>
        <v>건축</v>
      </c>
      <c r="E1740" s="9" t="str">
        <f>[1]Discovery!C1746</f>
        <v>부락</v>
      </c>
      <c r="F1740" s="9" t="str">
        <f>[1]Discovery!G1746</f>
        <v>D</v>
      </c>
      <c r="G1740" s="9" t="str">
        <f>IFERROR(VLOOKUP(표1[[#This Row],[명칭]],'문화권 정리'!C:D,2,FALSE),"-")</f>
        <v>마을</v>
      </c>
      <c r="H1740" s="38" t="str">
        <f>IFERROR(COUNTIF([2]OceanDoodad!$Y:$Y,표1[[#This Row],[명칭]]),"-")</f>
        <v>-</v>
      </c>
      <c r="I1740" s="38">
        <f>IFERROR(COUNTIF([1]AdventureDiscoveryGroup!$D$8:$AW$92,표1[[#This Row],[명칭]]),"-")</f>
        <v>0</v>
      </c>
      <c r="J1740" s="38">
        <f>IFERROR(COUNTIF([1]FishDiscoveryGroup!$A:$X,표1[[#This Row],[명칭]]),"-")</f>
        <v>0</v>
      </c>
      <c r="K1740" s="38" t="str">
        <f>IFERROR(COUNTIF([2]Town!$B:$B,표1[[#This Row],[명칭]]),"-")</f>
        <v>-</v>
      </c>
      <c r="L1740" s="38">
        <f>IFERROR(COUNTIF([1]Village!$BR:$BR,표1[[#This Row],[명칭]]),"-")</f>
        <v>0</v>
      </c>
      <c r="M1740" s="38">
        <f>COUNTIF(퀘스트!B:B,표1[[#This Row],[명칭]])</f>
        <v>0</v>
      </c>
      <c r="N1740" s="65">
        <f>COUNTIF([1]VillageDiscoveryGroup!$C:$C,표1[[#This Row],[명칭]])</f>
        <v>0</v>
      </c>
      <c r="O1740" s="65">
        <f>SUM(표1[[#This Row],[해양탐색]:[마을탐험]])</f>
        <v>0</v>
      </c>
    </row>
    <row r="1741" spans="2:15" ht="13.5" customHeight="1" x14ac:dyDescent="0.3">
      <c r="B1741" s="9">
        <f>[1]Discovery!A1747</f>
        <v>70412322</v>
      </c>
      <c r="C1741" s="9" t="str">
        <f>[1]Discovery!B1747</f>
        <v>히바로족의 마을</v>
      </c>
      <c r="D1741" s="9" t="str">
        <f>[1]Discovery!E1747</f>
        <v>건축</v>
      </c>
      <c r="E1741" s="9" t="str">
        <f>[1]Discovery!C1747</f>
        <v>부락</v>
      </c>
      <c r="F1741" s="9" t="str">
        <f>[1]Discovery!G1747</f>
        <v>D</v>
      </c>
      <c r="G1741" s="9" t="str">
        <f>IFERROR(VLOOKUP(표1[[#This Row],[명칭]],'문화권 정리'!C:D,2,FALSE),"-")</f>
        <v>마을</v>
      </c>
      <c r="H1741" s="38" t="str">
        <f>IFERROR(COUNTIF([2]OceanDoodad!$Y:$Y,표1[[#This Row],[명칭]]),"-")</f>
        <v>-</v>
      </c>
      <c r="I1741" s="38">
        <f>IFERROR(COUNTIF([1]AdventureDiscoveryGroup!$D$8:$AW$92,표1[[#This Row],[명칭]]),"-")</f>
        <v>0</v>
      </c>
      <c r="J1741" s="38">
        <f>IFERROR(COUNTIF([1]FishDiscoveryGroup!$A:$X,표1[[#This Row],[명칭]]),"-")</f>
        <v>0</v>
      </c>
      <c r="K1741" s="38" t="str">
        <f>IFERROR(COUNTIF([2]Town!$B:$B,표1[[#This Row],[명칭]]),"-")</f>
        <v>-</v>
      </c>
      <c r="L1741" s="38">
        <f>IFERROR(COUNTIF([1]Village!$BR:$BR,표1[[#This Row],[명칭]]),"-")</f>
        <v>0</v>
      </c>
      <c r="M1741" s="38">
        <f>COUNTIF(퀘스트!B:B,표1[[#This Row],[명칭]])</f>
        <v>0</v>
      </c>
      <c r="N1741" s="65">
        <f>COUNTIF([1]VillageDiscoveryGroup!$C:$C,표1[[#This Row],[명칭]])</f>
        <v>0</v>
      </c>
      <c r="O1741" s="65">
        <f>SUM(표1[[#This Row],[해양탐색]:[마을탐험]])</f>
        <v>0</v>
      </c>
    </row>
    <row r="1742" spans="2:15" ht="13.5" customHeight="1" x14ac:dyDescent="0.3">
      <c r="B1742" s="9">
        <f>[1]Discovery!A1748</f>
        <v>70412323</v>
      </c>
      <c r="C1742" s="9" t="str">
        <f>[1]Discovery!B1748</f>
        <v>위토토족의 마을</v>
      </c>
      <c r="D1742" s="9" t="str">
        <f>[1]Discovery!E1748</f>
        <v>건축</v>
      </c>
      <c r="E1742" s="9" t="str">
        <f>[1]Discovery!C1748</f>
        <v>부락</v>
      </c>
      <c r="F1742" s="9" t="str">
        <f>[1]Discovery!G1748</f>
        <v>D</v>
      </c>
      <c r="G1742" s="9" t="str">
        <f>IFERROR(VLOOKUP(표1[[#This Row],[명칭]],'문화권 정리'!C:D,2,FALSE),"-")</f>
        <v>마을</v>
      </c>
      <c r="H1742" s="38" t="str">
        <f>IFERROR(COUNTIF([2]OceanDoodad!$Y:$Y,표1[[#This Row],[명칭]]),"-")</f>
        <v>-</v>
      </c>
      <c r="I1742" s="38">
        <f>IFERROR(COUNTIF([1]AdventureDiscoveryGroup!$D$8:$AW$92,표1[[#This Row],[명칭]]),"-")</f>
        <v>0</v>
      </c>
      <c r="J1742" s="38">
        <f>IFERROR(COUNTIF([1]FishDiscoveryGroup!$A:$X,표1[[#This Row],[명칭]]),"-")</f>
        <v>0</v>
      </c>
      <c r="K1742" s="38" t="str">
        <f>IFERROR(COUNTIF([2]Town!$B:$B,표1[[#This Row],[명칭]]),"-")</f>
        <v>-</v>
      </c>
      <c r="L1742" s="38">
        <f>IFERROR(COUNTIF([1]Village!$BR:$BR,표1[[#This Row],[명칭]]),"-")</f>
        <v>0</v>
      </c>
      <c r="M1742" s="38">
        <f>COUNTIF(퀘스트!B:B,표1[[#This Row],[명칭]])</f>
        <v>0</v>
      </c>
      <c r="N1742" s="65">
        <f>COUNTIF([1]VillageDiscoveryGroup!$C:$C,표1[[#This Row],[명칭]])</f>
        <v>0</v>
      </c>
      <c r="O1742" s="65">
        <f>SUM(표1[[#This Row],[해양탐색]:[마을탐험]])</f>
        <v>0</v>
      </c>
    </row>
    <row r="1743" spans="2:15" ht="13.5" customHeight="1" x14ac:dyDescent="0.3">
      <c r="B1743" s="9">
        <f>[1]Discovery!A1749</f>
        <v>70412324</v>
      </c>
      <c r="C1743" s="9" t="str">
        <f>[1]Discovery!B1749</f>
        <v>투카노족의 마을</v>
      </c>
      <c r="D1743" s="9" t="str">
        <f>[1]Discovery!E1749</f>
        <v>건축</v>
      </c>
      <c r="E1743" s="9" t="str">
        <f>[1]Discovery!C1749</f>
        <v>부락</v>
      </c>
      <c r="F1743" s="9" t="str">
        <f>[1]Discovery!G1749</f>
        <v>D</v>
      </c>
      <c r="G1743" s="9" t="str">
        <f>IFERROR(VLOOKUP(표1[[#This Row],[명칭]],'문화권 정리'!C:D,2,FALSE),"-")</f>
        <v>마을</v>
      </c>
      <c r="H1743" s="38" t="str">
        <f>IFERROR(COUNTIF([2]OceanDoodad!$Y:$Y,표1[[#This Row],[명칭]]),"-")</f>
        <v>-</v>
      </c>
      <c r="I1743" s="38">
        <f>IFERROR(COUNTIF([1]AdventureDiscoveryGroup!$D$8:$AW$92,표1[[#This Row],[명칭]]),"-")</f>
        <v>0</v>
      </c>
      <c r="J1743" s="38">
        <f>IFERROR(COUNTIF([1]FishDiscoveryGroup!$A:$X,표1[[#This Row],[명칭]]),"-")</f>
        <v>0</v>
      </c>
      <c r="K1743" s="38" t="str">
        <f>IFERROR(COUNTIF([2]Town!$B:$B,표1[[#This Row],[명칭]]),"-")</f>
        <v>-</v>
      </c>
      <c r="L1743" s="38">
        <f>IFERROR(COUNTIF([1]Village!$BR:$BR,표1[[#This Row],[명칭]]),"-")</f>
        <v>0</v>
      </c>
      <c r="M1743" s="38">
        <f>COUNTIF(퀘스트!B:B,표1[[#This Row],[명칭]])</f>
        <v>0</v>
      </c>
      <c r="N1743" s="65">
        <f>COUNTIF([1]VillageDiscoveryGroup!$C:$C,표1[[#This Row],[명칭]])</f>
        <v>0</v>
      </c>
      <c r="O1743" s="65">
        <f>SUM(표1[[#This Row],[해양탐색]:[마을탐험]])</f>
        <v>0</v>
      </c>
    </row>
    <row r="1744" spans="2:15" ht="13.5" customHeight="1" x14ac:dyDescent="0.3">
      <c r="B1744" s="9">
        <f>[1]Discovery!A1750</f>
        <v>70412325</v>
      </c>
      <c r="C1744" s="9" t="str">
        <f>[1]Discovery!B1750</f>
        <v>무라족의 마을</v>
      </c>
      <c r="D1744" s="9" t="str">
        <f>[1]Discovery!E1750</f>
        <v>건축</v>
      </c>
      <c r="E1744" s="9" t="str">
        <f>[1]Discovery!C1750</f>
        <v>부락</v>
      </c>
      <c r="F1744" s="9" t="str">
        <f>[1]Discovery!G1750</f>
        <v>D</v>
      </c>
      <c r="G1744" s="9" t="str">
        <f>IFERROR(VLOOKUP(표1[[#This Row],[명칭]],'문화권 정리'!C:D,2,FALSE),"-")</f>
        <v>마을</v>
      </c>
      <c r="H1744" s="38" t="str">
        <f>IFERROR(COUNTIF([2]OceanDoodad!$Y:$Y,표1[[#This Row],[명칭]]),"-")</f>
        <v>-</v>
      </c>
      <c r="I1744" s="38">
        <f>IFERROR(COUNTIF([1]AdventureDiscoveryGroup!$D$8:$AW$92,표1[[#This Row],[명칭]]),"-")</f>
        <v>0</v>
      </c>
      <c r="J1744" s="38">
        <f>IFERROR(COUNTIF([1]FishDiscoveryGroup!$A:$X,표1[[#This Row],[명칭]]),"-")</f>
        <v>0</v>
      </c>
      <c r="K1744" s="38" t="str">
        <f>IFERROR(COUNTIF([2]Town!$B:$B,표1[[#This Row],[명칭]]),"-")</f>
        <v>-</v>
      </c>
      <c r="L1744" s="38">
        <f>IFERROR(COUNTIF([1]Village!$BR:$BR,표1[[#This Row],[명칭]]),"-")</f>
        <v>0</v>
      </c>
      <c r="M1744" s="38">
        <f>COUNTIF(퀘스트!B:B,표1[[#This Row],[명칭]])</f>
        <v>0</v>
      </c>
      <c r="N1744" s="65">
        <f>COUNTIF([1]VillageDiscoveryGroup!$C:$C,표1[[#This Row],[명칭]])</f>
        <v>0</v>
      </c>
      <c r="O1744" s="65">
        <f>SUM(표1[[#This Row],[해양탐색]:[마을탐험]])</f>
        <v>0</v>
      </c>
    </row>
    <row r="1745" spans="2:15" ht="13.5" customHeight="1" x14ac:dyDescent="0.3">
      <c r="B1745" s="9">
        <f>[1]Discovery!A1751</f>
        <v>70412326</v>
      </c>
      <c r="C1745" s="9" t="str">
        <f>[1]Discovery!B1751</f>
        <v>신대륙, 서쪽의 섬</v>
      </c>
      <c r="D1745" s="9" t="str">
        <f>[1]Discovery!E1751</f>
        <v>건축</v>
      </c>
      <c r="E1745" s="9" t="str">
        <f>[1]Discovery!C1751</f>
        <v>부락</v>
      </c>
      <c r="F1745" s="9" t="str">
        <f>[1]Discovery!G1751</f>
        <v>D</v>
      </c>
      <c r="G1745" s="9" t="str">
        <f>IFERROR(VLOOKUP(표1[[#This Row],[명칭]],'문화권 정리'!C:D,2,FALSE),"-")</f>
        <v>마을</v>
      </c>
      <c r="H1745" s="38" t="str">
        <f>IFERROR(COUNTIF([2]OceanDoodad!$Y:$Y,표1[[#This Row],[명칭]]),"-")</f>
        <v>-</v>
      </c>
      <c r="I1745" s="38">
        <f>IFERROR(COUNTIF([1]AdventureDiscoveryGroup!$D$8:$AW$92,표1[[#This Row],[명칭]]),"-")</f>
        <v>0</v>
      </c>
      <c r="J1745" s="38">
        <f>IFERROR(COUNTIF([1]FishDiscoveryGroup!$A:$X,표1[[#This Row],[명칭]]),"-")</f>
        <v>0</v>
      </c>
      <c r="K1745" s="38" t="str">
        <f>IFERROR(COUNTIF([2]Town!$B:$B,표1[[#This Row],[명칭]]),"-")</f>
        <v>-</v>
      </c>
      <c r="L1745" s="38">
        <f>IFERROR(COUNTIF([1]Village!$BR:$BR,표1[[#This Row],[명칭]]),"-")</f>
        <v>0</v>
      </c>
      <c r="M1745" s="38">
        <f>COUNTIF(퀘스트!B:B,표1[[#This Row],[명칭]])</f>
        <v>0</v>
      </c>
      <c r="N1745" s="65">
        <f>COUNTIF([1]VillageDiscoveryGroup!$C:$C,표1[[#This Row],[명칭]])</f>
        <v>0</v>
      </c>
      <c r="O1745" s="65">
        <f>SUM(표1[[#This Row],[해양탐색]:[마을탐험]])</f>
        <v>0</v>
      </c>
    </row>
    <row r="1746" spans="2:15" ht="13.5" customHeight="1" x14ac:dyDescent="0.3">
      <c r="B1746" s="9">
        <f>[1]Discovery!A1752</f>
        <v>70412327</v>
      </c>
      <c r="C1746" s="9" t="str">
        <f>[1]Discovery!B1752</f>
        <v>긴 귀족의 마을</v>
      </c>
      <c r="D1746" s="9" t="str">
        <f>[1]Discovery!E1752</f>
        <v>건축</v>
      </c>
      <c r="E1746" s="9" t="str">
        <f>[1]Discovery!C1752</f>
        <v>부락</v>
      </c>
      <c r="F1746" s="9" t="str">
        <f>[1]Discovery!G1752</f>
        <v>D</v>
      </c>
      <c r="G1746" s="9" t="str">
        <f>IFERROR(VLOOKUP(표1[[#This Row],[명칭]],'문화권 정리'!C:D,2,FALSE),"-")</f>
        <v>마을</v>
      </c>
      <c r="H1746" s="38" t="str">
        <f>IFERROR(COUNTIF([2]OceanDoodad!$Y:$Y,표1[[#This Row],[명칭]]),"-")</f>
        <v>-</v>
      </c>
      <c r="I1746" s="38">
        <f>IFERROR(COUNTIF([1]AdventureDiscoveryGroup!$D$8:$AW$92,표1[[#This Row],[명칭]]),"-")</f>
        <v>0</v>
      </c>
      <c r="J1746" s="38">
        <f>IFERROR(COUNTIF([1]FishDiscoveryGroup!$A:$X,표1[[#This Row],[명칭]]),"-")</f>
        <v>0</v>
      </c>
      <c r="K1746" s="38" t="str">
        <f>IFERROR(COUNTIF([2]Town!$B:$B,표1[[#This Row],[명칭]]),"-")</f>
        <v>-</v>
      </c>
      <c r="L1746" s="38">
        <f>IFERROR(COUNTIF([1]Village!$BR:$BR,표1[[#This Row],[명칭]]),"-")</f>
        <v>0</v>
      </c>
      <c r="M1746" s="38">
        <f>COUNTIF(퀘스트!B:B,표1[[#This Row],[명칭]])</f>
        <v>0</v>
      </c>
      <c r="N1746" s="65">
        <f>COUNTIF([1]VillageDiscoveryGroup!$C:$C,표1[[#This Row],[명칭]])</f>
        <v>0</v>
      </c>
      <c r="O1746" s="65">
        <f>SUM(표1[[#This Row],[해양탐색]:[마을탐험]])</f>
        <v>0</v>
      </c>
    </row>
    <row r="1747" spans="2:15" ht="13.5" customHeight="1" x14ac:dyDescent="0.3">
      <c r="B1747" s="9">
        <f>[1]Discovery!A1753</f>
        <v>70412328</v>
      </c>
      <c r="C1747" s="9" t="str">
        <f>[1]Discovery!B1753</f>
        <v>코아우일테칸족의 마을</v>
      </c>
      <c r="D1747" s="9" t="str">
        <f>[1]Discovery!E1753</f>
        <v>건축</v>
      </c>
      <c r="E1747" s="9" t="str">
        <f>[1]Discovery!C1753</f>
        <v>부락</v>
      </c>
      <c r="F1747" s="9" t="str">
        <f>[1]Discovery!G1753</f>
        <v>D</v>
      </c>
      <c r="G1747" s="9" t="str">
        <f>IFERROR(VLOOKUP(표1[[#This Row],[명칭]],'문화권 정리'!C:D,2,FALSE),"-")</f>
        <v>마을</v>
      </c>
      <c r="H1747" s="38" t="str">
        <f>IFERROR(COUNTIF([2]OceanDoodad!$Y:$Y,표1[[#This Row],[명칭]]),"-")</f>
        <v>-</v>
      </c>
      <c r="I1747" s="38">
        <f>IFERROR(COUNTIF([1]AdventureDiscoveryGroup!$D$8:$AW$92,표1[[#This Row],[명칭]]),"-")</f>
        <v>0</v>
      </c>
      <c r="J1747" s="38">
        <f>IFERROR(COUNTIF([1]FishDiscoveryGroup!$A:$X,표1[[#This Row],[명칭]]),"-")</f>
        <v>0</v>
      </c>
      <c r="K1747" s="38" t="str">
        <f>IFERROR(COUNTIF([2]Town!$B:$B,표1[[#This Row],[명칭]]),"-")</f>
        <v>-</v>
      </c>
      <c r="L1747" s="38">
        <f>IFERROR(COUNTIF([1]Village!$BR:$BR,표1[[#This Row],[명칭]]),"-")</f>
        <v>0</v>
      </c>
      <c r="M1747" s="38">
        <f>COUNTIF(퀘스트!B:B,표1[[#This Row],[명칭]])</f>
        <v>0</v>
      </c>
      <c r="N1747" s="65">
        <f>COUNTIF([1]VillageDiscoveryGroup!$C:$C,표1[[#This Row],[명칭]])</f>
        <v>0</v>
      </c>
      <c r="O1747" s="65">
        <f>SUM(표1[[#This Row],[해양탐색]:[마을탐험]])</f>
        <v>0</v>
      </c>
    </row>
    <row r="1748" spans="2:15" ht="13.5" customHeight="1" x14ac:dyDescent="0.3">
      <c r="B1748" s="9">
        <f>[1]Discovery!A1754</f>
        <v>70412329</v>
      </c>
      <c r="C1748" s="9" t="str">
        <f>[1]Discovery!B1754</f>
        <v>코만치족의 마을</v>
      </c>
      <c r="D1748" s="9" t="str">
        <f>[1]Discovery!E1754</f>
        <v>건축</v>
      </c>
      <c r="E1748" s="9" t="str">
        <f>[1]Discovery!C1754</f>
        <v>부락</v>
      </c>
      <c r="F1748" s="9" t="str">
        <f>[1]Discovery!G1754</f>
        <v>D</v>
      </c>
      <c r="G1748" s="9" t="str">
        <f>IFERROR(VLOOKUP(표1[[#This Row],[명칭]],'문화권 정리'!C:D,2,FALSE),"-")</f>
        <v>마을</v>
      </c>
      <c r="H1748" s="38" t="str">
        <f>IFERROR(COUNTIF([2]OceanDoodad!$Y:$Y,표1[[#This Row],[명칭]]),"-")</f>
        <v>-</v>
      </c>
      <c r="I1748" s="38">
        <f>IFERROR(COUNTIF([1]AdventureDiscoveryGroup!$D$8:$AW$92,표1[[#This Row],[명칭]]),"-")</f>
        <v>0</v>
      </c>
      <c r="J1748" s="38">
        <f>IFERROR(COUNTIF([1]FishDiscoveryGroup!$A:$X,표1[[#This Row],[명칭]]),"-")</f>
        <v>0</v>
      </c>
      <c r="K1748" s="38" t="str">
        <f>IFERROR(COUNTIF([2]Town!$B:$B,표1[[#This Row],[명칭]]),"-")</f>
        <v>-</v>
      </c>
      <c r="L1748" s="38">
        <f>IFERROR(COUNTIF([1]Village!$BR:$BR,표1[[#This Row],[명칭]]),"-")</f>
        <v>0</v>
      </c>
      <c r="M1748" s="38">
        <f>COUNTIF(퀘스트!B:B,표1[[#This Row],[명칭]])</f>
        <v>0</v>
      </c>
      <c r="N1748" s="65">
        <f>COUNTIF([1]VillageDiscoveryGroup!$C:$C,표1[[#This Row],[명칭]])</f>
        <v>0</v>
      </c>
      <c r="O1748" s="65">
        <f>SUM(표1[[#This Row],[해양탐색]:[마을탐험]])</f>
        <v>0</v>
      </c>
    </row>
    <row r="1749" spans="2:15" ht="13.5" customHeight="1" x14ac:dyDescent="0.3">
      <c r="B1749" s="9">
        <f>[1]Discovery!A1755</f>
        <v>70412330</v>
      </c>
      <c r="C1749" s="9" t="str">
        <f>[1]Discovery!B1755</f>
        <v>아파치족의 마을</v>
      </c>
      <c r="D1749" s="9" t="str">
        <f>[1]Discovery!E1755</f>
        <v>건축</v>
      </c>
      <c r="E1749" s="9" t="str">
        <f>[1]Discovery!C1755</f>
        <v>부락</v>
      </c>
      <c r="F1749" s="9" t="str">
        <f>[1]Discovery!G1755</f>
        <v>D</v>
      </c>
      <c r="G1749" s="9" t="str">
        <f>IFERROR(VLOOKUP(표1[[#This Row],[명칭]],'문화권 정리'!C:D,2,FALSE),"-")</f>
        <v>마을</v>
      </c>
      <c r="H1749" s="38" t="str">
        <f>IFERROR(COUNTIF([2]OceanDoodad!$Y:$Y,표1[[#This Row],[명칭]]),"-")</f>
        <v>-</v>
      </c>
      <c r="I1749" s="38">
        <f>IFERROR(COUNTIF([1]AdventureDiscoveryGroup!$D$8:$AW$92,표1[[#This Row],[명칭]]),"-")</f>
        <v>0</v>
      </c>
      <c r="J1749" s="38">
        <f>IFERROR(COUNTIF([1]FishDiscoveryGroup!$A:$X,표1[[#This Row],[명칭]]),"-")</f>
        <v>0</v>
      </c>
      <c r="K1749" s="38" t="str">
        <f>IFERROR(COUNTIF([2]Town!$B:$B,표1[[#This Row],[명칭]]),"-")</f>
        <v>-</v>
      </c>
      <c r="L1749" s="38">
        <f>IFERROR(COUNTIF([1]Village!$BR:$BR,표1[[#This Row],[명칭]]),"-")</f>
        <v>0</v>
      </c>
      <c r="M1749" s="38">
        <f>COUNTIF(퀘스트!B:B,표1[[#This Row],[명칭]])</f>
        <v>0</v>
      </c>
      <c r="N1749" s="65">
        <f>COUNTIF([1]VillageDiscoveryGroup!$C:$C,표1[[#This Row],[명칭]])</f>
        <v>0</v>
      </c>
      <c r="O1749" s="65">
        <f>SUM(표1[[#This Row],[해양탐색]:[마을탐험]])</f>
        <v>0</v>
      </c>
    </row>
    <row r="1750" spans="2:15" ht="13.5" customHeight="1" x14ac:dyDescent="0.3">
      <c r="B1750" s="9">
        <f>[1]Discovery!A1756</f>
        <v>70412331</v>
      </c>
      <c r="C1750" s="9" t="str">
        <f>[1]Discovery!B1756</f>
        <v>치누크족의 마을</v>
      </c>
      <c r="D1750" s="9" t="str">
        <f>[1]Discovery!E1756</f>
        <v>건축</v>
      </c>
      <c r="E1750" s="9" t="str">
        <f>[1]Discovery!C1756</f>
        <v>부락</v>
      </c>
      <c r="F1750" s="9" t="str">
        <f>[1]Discovery!G1756</f>
        <v>D</v>
      </c>
      <c r="G1750" s="9" t="str">
        <f>IFERROR(VLOOKUP(표1[[#This Row],[명칭]],'문화권 정리'!C:D,2,FALSE),"-")</f>
        <v>마을</v>
      </c>
      <c r="H1750" s="38" t="str">
        <f>IFERROR(COUNTIF([2]OceanDoodad!$Y:$Y,표1[[#This Row],[명칭]]),"-")</f>
        <v>-</v>
      </c>
      <c r="I1750" s="38">
        <f>IFERROR(COUNTIF([1]AdventureDiscoveryGroup!$D$8:$AW$92,표1[[#This Row],[명칭]]),"-")</f>
        <v>0</v>
      </c>
      <c r="J1750" s="38">
        <f>IFERROR(COUNTIF([1]FishDiscoveryGroup!$A:$X,표1[[#This Row],[명칭]]),"-")</f>
        <v>0</v>
      </c>
      <c r="K1750" s="38" t="str">
        <f>IFERROR(COUNTIF([2]Town!$B:$B,표1[[#This Row],[명칭]]),"-")</f>
        <v>-</v>
      </c>
      <c r="L1750" s="38">
        <f>IFERROR(COUNTIF([1]Village!$BR:$BR,표1[[#This Row],[명칭]]),"-")</f>
        <v>0</v>
      </c>
      <c r="M1750" s="38">
        <f>COUNTIF(퀘스트!B:B,표1[[#This Row],[명칭]])</f>
        <v>0</v>
      </c>
      <c r="N1750" s="65">
        <f>COUNTIF([1]VillageDiscoveryGroup!$C:$C,표1[[#This Row],[명칭]])</f>
        <v>0</v>
      </c>
      <c r="O1750" s="65">
        <f>SUM(표1[[#This Row],[해양탐색]:[마을탐험]])</f>
        <v>0</v>
      </c>
    </row>
    <row r="1751" spans="2:15" ht="13.5" customHeight="1" x14ac:dyDescent="0.3">
      <c r="B1751" s="9">
        <f>[1]Discovery!A1757</f>
        <v>70412332</v>
      </c>
      <c r="C1751" s="9" t="str">
        <f>[1]Discovery!B1757</f>
        <v>샤이엔족의 마을</v>
      </c>
      <c r="D1751" s="9" t="str">
        <f>[1]Discovery!E1757</f>
        <v>건축</v>
      </c>
      <c r="E1751" s="9" t="str">
        <f>[1]Discovery!C1757</f>
        <v>부락</v>
      </c>
      <c r="F1751" s="9" t="str">
        <f>[1]Discovery!G1757</f>
        <v>D</v>
      </c>
      <c r="G1751" s="9" t="str">
        <f>IFERROR(VLOOKUP(표1[[#This Row],[명칭]],'문화권 정리'!C:D,2,FALSE),"-")</f>
        <v>마을</v>
      </c>
      <c r="H1751" s="38" t="str">
        <f>IFERROR(COUNTIF([2]OceanDoodad!$Y:$Y,표1[[#This Row],[명칭]]),"-")</f>
        <v>-</v>
      </c>
      <c r="I1751" s="38">
        <f>IFERROR(COUNTIF([1]AdventureDiscoveryGroup!$D$8:$AW$92,표1[[#This Row],[명칭]]),"-")</f>
        <v>0</v>
      </c>
      <c r="J1751" s="38">
        <f>IFERROR(COUNTIF([1]FishDiscoveryGroup!$A:$X,표1[[#This Row],[명칭]]),"-")</f>
        <v>0</v>
      </c>
      <c r="K1751" s="38" t="str">
        <f>IFERROR(COUNTIF([2]Town!$B:$B,표1[[#This Row],[명칭]]),"-")</f>
        <v>-</v>
      </c>
      <c r="L1751" s="38">
        <f>IFERROR(COUNTIF([1]Village!$BR:$BR,표1[[#This Row],[명칭]]),"-")</f>
        <v>0</v>
      </c>
      <c r="M1751" s="38">
        <f>COUNTIF(퀘스트!B:B,표1[[#This Row],[명칭]])</f>
        <v>0</v>
      </c>
      <c r="N1751" s="65">
        <f>COUNTIF([1]VillageDiscoveryGroup!$C:$C,표1[[#This Row],[명칭]])</f>
        <v>0</v>
      </c>
      <c r="O1751" s="65">
        <f>SUM(표1[[#This Row],[해양탐색]:[마을탐험]])</f>
        <v>0</v>
      </c>
    </row>
    <row r="1752" spans="2:15" ht="13.5" customHeight="1" x14ac:dyDescent="0.3">
      <c r="B1752" s="9">
        <f>[1]Discovery!A1758</f>
        <v>70412333</v>
      </c>
      <c r="C1752" s="9" t="str">
        <f>[1]Discovery!B1758</f>
        <v>포니족의 마을</v>
      </c>
      <c r="D1752" s="9" t="str">
        <f>[1]Discovery!E1758</f>
        <v>건축</v>
      </c>
      <c r="E1752" s="9" t="str">
        <f>[1]Discovery!C1758</f>
        <v>부락</v>
      </c>
      <c r="F1752" s="9" t="str">
        <f>[1]Discovery!G1758</f>
        <v>D</v>
      </c>
      <c r="G1752" s="9" t="str">
        <f>IFERROR(VLOOKUP(표1[[#This Row],[명칭]],'문화권 정리'!C:D,2,FALSE),"-")</f>
        <v>마을</v>
      </c>
      <c r="H1752" s="38" t="str">
        <f>IFERROR(COUNTIF([2]OceanDoodad!$Y:$Y,표1[[#This Row],[명칭]]),"-")</f>
        <v>-</v>
      </c>
      <c r="I1752" s="38">
        <f>IFERROR(COUNTIF([1]AdventureDiscoveryGroup!$D$8:$AW$92,표1[[#This Row],[명칭]]),"-")</f>
        <v>0</v>
      </c>
      <c r="J1752" s="38">
        <f>IFERROR(COUNTIF([1]FishDiscoveryGroup!$A:$X,표1[[#This Row],[명칭]]),"-")</f>
        <v>0</v>
      </c>
      <c r="K1752" s="38" t="str">
        <f>IFERROR(COUNTIF([2]Town!$B:$B,표1[[#This Row],[명칭]]),"-")</f>
        <v>-</v>
      </c>
      <c r="L1752" s="38">
        <f>IFERROR(COUNTIF([1]Village!$BR:$BR,표1[[#This Row],[명칭]]),"-")</f>
        <v>0</v>
      </c>
      <c r="M1752" s="38">
        <f>COUNTIF(퀘스트!B:B,표1[[#This Row],[명칭]])</f>
        <v>0</v>
      </c>
      <c r="N1752" s="65">
        <f>COUNTIF([1]VillageDiscoveryGroup!$C:$C,표1[[#This Row],[명칭]])</f>
        <v>0</v>
      </c>
      <c r="O1752" s="65">
        <f>SUM(표1[[#This Row],[해양탐색]:[마을탐험]])</f>
        <v>0</v>
      </c>
    </row>
    <row r="1753" spans="2:15" ht="13.5" customHeight="1" x14ac:dyDescent="0.3">
      <c r="B1753" s="9">
        <f>[1]Discovery!A1759</f>
        <v>70412334</v>
      </c>
      <c r="C1753" s="9" t="str">
        <f>[1]Discovery!B1759</f>
        <v>수족의 마을</v>
      </c>
      <c r="D1753" s="9" t="str">
        <f>[1]Discovery!E1759</f>
        <v>건축</v>
      </c>
      <c r="E1753" s="9" t="str">
        <f>[1]Discovery!C1759</f>
        <v>부락</v>
      </c>
      <c r="F1753" s="9" t="str">
        <f>[1]Discovery!G1759</f>
        <v>D</v>
      </c>
      <c r="G1753" s="9" t="str">
        <f>IFERROR(VLOOKUP(표1[[#This Row],[명칭]],'문화권 정리'!C:D,2,FALSE),"-")</f>
        <v>마을</v>
      </c>
      <c r="H1753" s="38" t="str">
        <f>IFERROR(COUNTIF([2]OceanDoodad!$Y:$Y,표1[[#This Row],[명칭]]),"-")</f>
        <v>-</v>
      </c>
      <c r="I1753" s="38">
        <f>IFERROR(COUNTIF([1]AdventureDiscoveryGroup!$D$8:$AW$92,표1[[#This Row],[명칭]]),"-")</f>
        <v>0</v>
      </c>
      <c r="J1753" s="38">
        <f>IFERROR(COUNTIF([1]FishDiscoveryGroup!$A:$X,표1[[#This Row],[명칭]]),"-")</f>
        <v>0</v>
      </c>
      <c r="K1753" s="38" t="str">
        <f>IFERROR(COUNTIF([2]Town!$B:$B,표1[[#This Row],[명칭]]),"-")</f>
        <v>-</v>
      </c>
      <c r="L1753" s="38">
        <f>IFERROR(COUNTIF([1]Village!$BR:$BR,표1[[#This Row],[명칭]]),"-")</f>
        <v>0</v>
      </c>
      <c r="M1753" s="38">
        <f>COUNTIF(퀘스트!B:B,표1[[#This Row],[명칭]])</f>
        <v>0</v>
      </c>
      <c r="N1753" s="65">
        <f>COUNTIF([1]VillageDiscoveryGroup!$C:$C,표1[[#This Row],[명칭]])</f>
        <v>0</v>
      </c>
      <c r="O1753" s="65">
        <f>SUM(표1[[#This Row],[해양탐색]:[마을탐험]])</f>
        <v>0</v>
      </c>
    </row>
    <row r="1754" spans="2:15" ht="13.5" customHeight="1" x14ac:dyDescent="0.3">
      <c r="B1754" s="9">
        <f>[1]Discovery!A1760</f>
        <v>70412335</v>
      </c>
      <c r="C1754" s="9" t="str">
        <f>[1]Discovery!B1760</f>
        <v>극지, 설산의 만</v>
      </c>
      <c r="D1754" s="9" t="str">
        <f>[1]Discovery!E1760</f>
        <v>건축</v>
      </c>
      <c r="E1754" s="9" t="str">
        <f>[1]Discovery!C1760</f>
        <v>부락</v>
      </c>
      <c r="F1754" s="9" t="str">
        <f>[1]Discovery!G1760</f>
        <v>D</v>
      </c>
      <c r="G1754" s="9" t="str">
        <f>IFERROR(VLOOKUP(표1[[#This Row],[명칭]],'문화권 정리'!C:D,2,FALSE),"-")</f>
        <v>마을</v>
      </c>
      <c r="H1754" s="38" t="str">
        <f>IFERROR(COUNTIF([2]OceanDoodad!$Y:$Y,표1[[#This Row],[명칭]]),"-")</f>
        <v>-</v>
      </c>
      <c r="I1754" s="38">
        <f>IFERROR(COUNTIF([1]AdventureDiscoveryGroup!$D$8:$AW$92,표1[[#This Row],[명칭]]),"-")</f>
        <v>0</v>
      </c>
      <c r="J1754" s="38">
        <f>IFERROR(COUNTIF([1]FishDiscoveryGroup!$A:$X,표1[[#This Row],[명칭]]),"-")</f>
        <v>0</v>
      </c>
      <c r="K1754" s="38" t="str">
        <f>IFERROR(COUNTIF([2]Town!$B:$B,표1[[#This Row],[명칭]]),"-")</f>
        <v>-</v>
      </c>
      <c r="L1754" s="38">
        <f>IFERROR(COUNTIF([1]Village!$BR:$BR,표1[[#This Row],[명칭]]),"-")</f>
        <v>0</v>
      </c>
      <c r="M1754" s="38">
        <f>COUNTIF(퀘스트!B:B,표1[[#This Row],[명칭]])</f>
        <v>0</v>
      </c>
      <c r="N1754" s="65">
        <f>COUNTIF([1]VillageDiscoveryGroup!$C:$C,표1[[#This Row],[명칭]])</f>
        <v>0</v>
      </c>
      <c r="O1754" s="65">
        <f>SUM(표1[[#This Row],[해양탐색]:[마을탐험]])</f>
        <v>0</v>
      </c>
    </row>
    <row r="1755" spans="2:15" ht="13.5" customHeight="1" x14ac:dyDescent="0.3">
      <c r="B1755" s="9">
        <f>[1]Discovery!A1761</f>
        <v>70412336</v>
      </c>
      <c r="C1755" s="9" t="str">
        <f>[1]Discovery!B1761</f>
        <v>이누이트족의 마을</v>
      </c>
      <c r="D1755" s="9" t="str">
        <f>[1]Discovery!E1761</f>
        <v>건축</v>
      </c>
      <c r="E1755" s="9" t="str">
        <f>[1]Discovery!C1761</f>
        <v>부락</v>
      </c>
      <c r="F1755" s="9" t="str">
        <f>[1]Discovery!G1761</f>
        <v>D</v>
      </c>
      <c r="G1755" s="9" t="str">
        <f>IFERROR(VLOOKUP(표1[[#This Row],[명칭]],'문화권 정리'!C:D,2,FALSE),"-")</f>
        <v>마을</v>
      </c>
      <c r="H1755" s="38" t="str">
        <f>IFERROR(COUNTIF([2]OceanDoodad!$Y:$Y,표1[[#This Row],[명칭]]),"-")</f>
        <v>-</v>
      </c>
      <c r="I1755" s="38">
        <f>IFERROR(COUNTIF([1]AdventureDiscoveryGroup!$D$8:$AW$92,표1[[#This Row],[명칭]]),"-")</f>
        <v>0</v>
      </c>
      <c r="J1755" s="38">
        <f>IFERROR(COUNTIF([1]FishDiscoveryGroup!$A:$X,표1[[#This Row],[명칭]]),"-")</f>
        <v>0</v>
      </c>
      <c r="K1755" s="38" t="str">
        <f>IFERROR(COUNTIF([2]Town!$B:$B,표1[[#This Row],[명칭]]),"-")</f>
        <v>-</v>
      </c>
      <c r="L1755" s="38">
        <f>IFERROR(COUNTIF([1]Village!$BR:$BR,표1[[#This Row],[명칭]]),"-")</f>
        <v>0</v>
      </c>
      <c r="M1755" s="38">
        <f>COUNTIF(퀘스트!B:B,표1[[#This Row],[명칭]])</f>
        <v>0</v>
      </c>
      <c r="N1755" s="65">
        <f>COUNTIF([1]VillageDiscoveryGroup!$C:$C,표1[[#This Row],[명칭]])</f>
        <v>0</v>
      </c>
      <c r="O1755" s="65">
        <f>SUM(표1[[#This Row],[해양탐색]:[마을탐험]])</f>
        <v>0</v>
      </c>
    </row>
    <row r="1756" spans="2:15" ht="13.5" customHeight="1" x14ac:dyDescent="0.3">
      <c r="B1756" s="9">
        <f>[1]Discovery!A1762</f>
        <v>70412337</v>
      </c>
      <c r="C1756" s="9" t="str">
        <f>[1]Discovery!B1762</f>
        <v>네네츠인의 마을</v>
      </c>
      <c r="D1756" s="9" t="str">
        <f>[1]Discovery!E1762</f>
        <v>건축</v>
      </c>
      <c r="E1756" s="9" t="str">
        <f>[1]Discovery!C1762</f>
        <v>부락</v>
      </c>
      <c r="F1756" s="9" t="str">
        <f>[1]Discovery!G1762</f>
        <v>D</v>
      </c>
      <c r="G1756" s="9" t="str">
        <f>IFERROR(VLOOKUP(표1[[#This Row],[명칭]],'문화권 정리'!C:D,2,FALSE),"-")</f>
        <v>마을</v>
      </c>
      <c r="H1756" s="38" t="str">
        <f>IFERROR(COUNTIF([2]OceanDoodad!$Y:$Y,표1[[#This Row],[명칭]]),"-")</f>
        <v>-</v>
      </c>
      <c r="I1756" s="38">
        <f>IFERROR(COUNTIF([1]AdventureDiscoveryGroup!$D$8:$AW$92,표1[[#This Row],[명칭]]),"-")</f>
        <v>0</v>
      </c>
      <c r="J1756" s="38">
        <f>IFERROR(COUNTIF([1]FishDiscoveryGroup!$A:$X,표1[[#This Row],[명칭]]),"-")</f>
        <v>0</v>
      </c>
      <c r="K1756" s="38" t="str">
        <f>IFERROR(COUNTIF([2]Town!$B:$B,표1[[#This Row],[명칭]]),"-")</f>
        <v>-</v>
      </c>
      <c r="L1756" s="38">
        <f>IFERROR(COUNTIF([1]Village!$BR:$BR,표1[[#This Row],[명칭]]),"-")</f>
        <v>0</v>
      </c>
      <c r="M1756" s="38">
        <f>COUNTIF(퀘스트!B:B,표1[[#This Row],[명칭]])</f>
        <v>0</v>
      </c>
      <c r="N1756" s="65">
        <f>COUNTIF([1]VillageDiscoveryGroup!$C:$C,표1[[#This Row],[명칭]])</f>
        <v>0</v>
      </c>
      <c r="O1756" s="65">
        <f>SUM(표1[[#This Row],[해양탐색]:[마을탐험]])</f>
        <v>0</v>
      </c>
    </row>
    <row r="1757" spans="2:15" ht="13.5" customHeight="1" x14ac:dyDescent="0.3">
      <c r="B1757" s="9">
        <f>[1]Discovery!A1763</f>
        <v>70412338</v>
      </c>
      <c r="C1757" s="9" t="str">
        <f>[1]Discovery!B1763</f>
        <v>극지, 빙하의 섬</v>
      </c>
      <c r="D1757" s="9" t="str">
        <f>[1]Discovery!E1763</f>
        <v>건축</v>
      </c>
      <c r="E1757" s="9" t="str">
        <f>[1]Discovery!C1763</f>
        <v>부락</v>
      </c>
      <c r="F1757" s="9" t="str">
        <f>[1]Discovery!G1763</f>
        <v>D</v>
      </c>
      <c r="G1757" s="9" t="str">
        <f>IFERROR(VLOOKUP(표1[[#This Row],[명칭]],'문화권 정리'!C:D,2,FALSE),"-")</f>
        <v>마을</v>
      </c>
      <c r="H1757" s="38" t="str">
        <f>IFERROR(COUNTIF([2]OceanDoodad!$Y:$Y,표1[[#This Row],[명칭]]),"-")</f>
        <v>-</v>
      </c>
      <c r="I1757" s="38">
        <f>IFERROR(COUNTIF([1]AdventureDiscoveryGroup!$D$8:$AW$92,표1[[#This Row],[명칭]]),"-")</f>
        <v>0</v>
      </c>
      <c r="J1757" s="38">
        <f>IFERROR(COUNTIF([1]FishDiscoveryGroup!$A:$X,표1[[#This Row],[명칭]]),"-")</f>
        <v>0</v>
      </c>
      <c r="K1757" s="38" t="str">
        <f>IFERROR(COUNTIF([2]Town!$B:$B,표1[[#This Row],[명칭]]),"-")</f>
        <v>-</v>
      </c>
      <c r="L1757" s="38">
        <f>IFERROR(COUNTIF([1]Village!$BR:$BR,표1[[#This Row],[명칭]]),"-")</f>
        <v>0</v>
      </c>
      <c r="M1757" s="38">
        <f>COUNTIF(퀘스트!B:B,표1[[#This Row],[명칭]])</f>
        <v>0</v>
      </c>
      <c r="N1757" s="65">
        <f>COUNTIF([1]VillageDiscoveryGroup!$C:$C,표1[[#This Row],[명칭]])</f>
        <v>0</v>
      </c>
      <c r="O1757" s="65">
        <f>SUM(표1[[#This Row],[해양탐색]:[마을탐험]])</f>
        <v>0</v>
      </c>
    </row>
    <row r="1758" spans="2:15" ht="13.5" customHeight="1" x14ac:dyDescent="0.3">
      <c r="B1758" s="9">
        <f>[1]Discovery!A1764</f>
        <v>70412339</v>
      </c>
      <c r="C1758" s="9" t="str">
        <f>[1]Discovery!B1764</f>
        <v>극지, 설산의 섬</v>
      </c>
      <c r="D1758" s="9" t="str">
        <f>[1]Discovery!E1764</f>
        <v>건축</v>
      </c>
      <c r="E1758" s="9" t="str">
        <f>[1]Discovery!C1764</f>
        <v>부락</v>
      </c>
      <c r="F1758" s="9" t="str">
        <f>[1]Discovery!G1764</f>
        <v>D</v>
      </c>
      <c r="G1758" s="9" t="str">
        <f>IFERROR(VLOOKUP(표1[[#This Row],[명칭]],'문화권 정리'!C:D,2,FALSE),"-")</f>
        <v>마을</v>
      </c>
      <c r="H1758" s="38" t="str">
        <f>IFERROR(COUNTIF([2]OceanDoodad!$Y:$Y,표1[[#This Row],[명칭]]),"-")</f>
        <v>-</v>
      </c>
      <c r="I1758" s="38">
        <f>IFERROR(COUNTIF([1]AdventureDiscoveryGroup!$D$8:$AW$92,표1[[#This Row],[명칭]]),"-")</f>
        <v>0</v>
      </c>
      <c r="J1758" s="38">
        <f>IFERROR(COUNTIF([1]FishDiscoveryGroup!$A:$X,표1[[#This Row],[명칭]]),"-")</f>
        <v>0</v>
      </c>
      <c r="K1758" s="38" t="str">
        <f>IFERROR(COUNTIF([2]Town!$B:$B,표1[[#This Row],[명칭]]),"-")</f>
        <v>-</v>
      </c>
      <c r="L1758" s="38">
        <f>IFERROR(COUNTIF([1]Village!$BR:$BR,표1[[#This Row],[명칭]]),"-")</f>
        <v>0</v>
      </c>
      <c r="M1758" s="38">
        <f>COUNTIF(퀘스트!B:B,표1[[#This Row],[명칭]])</f>
        <v>0</v>
      </c>
      <c r="N1758" s="65">
        <f>COUNTIF([1]VillageDiscoveryGroup!$C:$C,표1[[#This Row],[명칭]])</f>
        <v>0</v>
      </c>
      <c r="O1758" s="65">
        <f>SUM(표1[[#This Row],[해양탐색]:[마을탐험]])</f>
        <v>0</v>
      </c>
    </row>
    <row r="1759" spans="2:15" ht="13.5" customHeight="1" x14ac:dyDescent="0.3">
      <c r="B1759" s="9">
        <f>[1]Discovery!A1765</f>
        <v>70412340</v>
      </c>
      <c r="C1759" s="9" t="str">
        <f>[1]Discovery!B1765</f>
        <v>야쿠트인의 마을</v>
      </c>
      <c r="D1759" s="9" t="str">
        <f>[1]Discovery!E1765</f>
        <v>건축</v>
      </c>
      <c r="E1759" s="9" t="str">
        <f>[1]Discovery!C1765</f>
        <v>부락</v>
      </c>
      <c r="F1759" s="9" t="str">
        <f>[1]Discovery!G1765</f>
        <v>D</v>
      </c>
      <c r="G1759" s="9" t="str">
        <f>IFERROR(VLOOKUP(표1[[#This Row],[명칭]],'문화권 정리'!C:D,2,FALSE),"-")</f>
        <v>마을</v>
      </c>
      <c r="H1759" s="38" t="str">
        <f>IFERROR(COUNTIF([2]OceanDoodad!$Y:$Y,표1[[#This Row],[명칭]]),"-")</f>
        <v>-</v>
      </c>
      <c r="I1759" s="38">
        <f>IFERROR(COUNTIF([1]AdventureDiscoveryGroup!$D$8:$AW$92,표1[[#This Row],[명칭]]),"-")</f>
        <v>0</v>
      </c>
      <c r="J1759" s="38">
        <f>IFERROR(COUNTIF([1]FishDiscoveryGroup!$A:$X,표1[[#This Row],[명칭]]),"-")</f>
        <v>0</v>
      </c>
      <c r="K1759" s="38" t="str">
        <f>IFERROR(COUNTIF([2]Town!$B:$B,표1[[#This Row],[명칭]]),"-")</f>
        <v>-</v>
      </c>
      <c r="L1759" s="38">
        <f>IFERROR(COUNTIF([1]Village!$BR:$BR,표1[[#This Row],[명칭]]),"-")</f>
        <v>0</v>
      </c>
      <c r="M1759" s="38">
        <f>COUNTIF(퀘스트!B:B,표1[[#This Row],[명칭]])</f>
        <v>0</v>
      </c>
      <c r="N1759" s="65">
        <f>COUNTIF([1]VillageDiscoveryGroup!$C:$C,표1[[#This Row],[명칭]])</f>
        <v>0</v>
      </c>
      <c r="O1759" s="65">
        <f>SUM(표1[[#This Row],[해양탐색]:[마을탐험]])</f>
        <v>0</v>
      </c>
    </row>
    <row r="1760" spans="2:15" ht="13.5" customHeight="1" x14ac:dyDescent="0.3">
      <c r="B1760" s="9">
        <f>[1]Discovery!A1766</f>
        <v>70412341</v>
      </c>
      <c r="C1760" s="9" t="str">
        <f>[1]Discovery!B1766</f>
        <v>축치인의 마을</v>
      </c>
      <c r="D1760" s="9" t="str">
        <f>[1]Discovery!E1766</f>
        <v>건축</v>
      </c>
      <c r="E1760" s="9" t="str">
        <f>[1]Discovery!C1766</f>
        <v>부락</v>
      </c>
      <c r="F1760" s="9" t="str">
        <f>[1]Discovery!G1766</f>
        <v>D</v>
      </c>
      <c r="G1760" s="9" t="str">
        <f>IFERROR(VLOOKUP(표1[[#This Row],[명칭]],'문화권 정리'!C:D,2,FALSE),"-")</f>
        <v>마을</v>
      </c>
      <c r="H1760" s="38" t="str">
        <f>IFERROR(COUNTIF([2]OceanDoodad!$Y:$Y,표1[[#This Row],[명칭]]),"-")</f>
        <v>-</v>
      </c>
      <c r="I1760" s="38">
        <f>IFERROR(COUNTIF([1]AdventureDiscoveryGroup!$D$8:$AW$92,표1[[#This Row],[명칭]]),"-")</f>
        <v>0</v>
      </c>
      <c r="J1760" s="38">
        <f>IFERROR(COUNTIF([1]FishDiscoveryGroup!$A:$X,표1[[#This Row],[명칭]]),"-")</f>
        <v>0</v>
      </c>
      <c r="K1760" s="38" t="str">
        <f>IFERROR(COUNTIF([2]Town!$B:$B,표1[[#This Row],[명칭]]),"-")</f>
        <v>-</v>
      </c>
      <c r="L1760" s="38">
        <f>IFERROR(COUNTIF([1]Village!$BR:$BR,표1[[#This Row],[명칭]]),"-")</f>
        <v>0</v>
      </c>
      <c r="M1760" s="38">
        <f>COUNTIF(퀘스트!B:B,표1[[#This Row],[명칭]])</f>
        <v>0</v>
      </c>
      <c r="N1760" s="65">
        <f>COUNTIF([1]VillageDiscoveryGroup!$C:$C,표1[[#This Row],[명칭]])</f>
        <v>0</v>
      </c>
      <c r="O1760" s="65">
        <f>SUM(표1[[#This Row],[해양탐색]:[마을탐험]])</f>
        <v>0</v>
      </c>
    </row>
    <row r="1761" spans="2:15" ht="13.5" customHeight="1" x14ac:dyDescent="0.3">
      <c r="B1761" s="9">
        <f>[1]Discovery!A1767</f>
        <v>70412342</v>
      </c>
      <c r="C1761" s="9" t="str">
        <f>[1]Discovery!B1767</f>
        <v>경흥의 마을</v>
      </c>
      <c r="D1761" s="9" t="str">
        <f>[1]Discovery!E1767</f>
        <v>건축</v>
      </c>
      <c r="E1761" s="9" t="str">
        <f>[1]Discovery!C1767</f>
        <v>부락</v>
      </c>
      <c r="F1761" s="9" t="str">
        <f>[1]Discovery!G1767</f>
        <v>D</v>
      </c>
      <c r="G1761" s="9" t="str">
        <f>IFERROR(VLOOKUP(표1[[#This Row],[명칭]],'문화권 정리'!C:D,2,FALSE),"-")</f>
        <v>마을</v>
      </c>
      <c r="H1761" s="38" t="str">
        <f>IFERROR(COUNTIF([2]OceanDoodad!$Y:$Y,표1[[#This Row],[명칭]]),"-")</f>
        <v>-</v>
      </c>
      <c r="I1761" s="38">
        <f>IFERROR(COUNTIF([1]AdventureDiscoveryGroup!$D$8:$AW$92,표1[[#This Row],[명칭]]),"-")</f>
        <v>0</v>
      </c>
      <c r="J1761" s="38">
        <f>IFERROR(COUNTIF([1]FishDiscoveryGroup!$A:$X,표1[[#This Row],[명칭]]),"-")</f>
        <v>0</v>
      </c>
      <c r="K1761" s="38" t="str">
        <f>IFERROR(COUNTIF([2]Town!$B:$B,표1[[#This Row],[명칭]]),"-")</f>
        <v>-</v>
      </c>
      <c r="L1761" s="38">
        <f>IFERROR(COUNTIF([1]Village!$BR:$BR,표1[[#This Row],[명칭]]),"-")</f>
        <v>0</v>
      </c>
      <c r="M1761" s="38">
        <f>COUNTIF(퀘스트!B:B,표1[[#This Row],[명칭]])</f>
        <v>0</v>
      </c>
      <c r="N1761" s="65">
        <f>COUNTIF([1]VillageDiscoveryGroup!$C:$C,표1[[#This Row],[명칭]])</f>
        <v>0</v>
      </c>
      <c r="O1761" s="65">
        <f>SUM(표1[[#This Row],[해양탐색]:[마을탐험]])</f>
        <v>0</v>
      </c>
    </row>
    <row r="1762" spans="2:15" ht="13.5" customHeight="1" x14ac:dyDescent="0.3">
      <c r="B1762" s="9">
        <f>[1]Discovery!A1768</f>
        <v>70412343</v>
      </c>
      <c r="C1762" s="9" t="str">
        <f>[1]Discovery!B1768</f>
        <v>부안의 마을</v>
      </c>
      <c r="D1762" s="9" t="str">
        <f>[1]Discovery!E1768</f>
        <v>건축</v>
      </c>
      <c r="E1762" s="9" t="str">
        <f>[1]Discovery!C1768</f>
        <v>부락</v>
      </c>
      <c r="F1762" s="9" t="str">
        <f>[1]Discovery!G1768</f>
        <v>D</v>
      </c>
      <c r="G1762" s="9" t="str">
        <f>IFERROR(VLOOKUP(표1[[#This Row],[명칭]],'문화권 정리'!C:D,2,FALSE),"-")</f>
        <v>마을</v>
      </c>
      <c r="H1762" s="38" t="str">
        <f>IFERROR(COUNTIF([2]OceanDoodad!$Y:$Y,표1[[#This Row],[명칭]]),"-")</f>
        <v>-</v>
      </c>
      <c r="I1762" s="38">
        <f>IFERROR(COUNTIF([1]AdventureDiscoveryGroup!$D$8:$AW$92,표1[[#This Row],[명칭]]),"-")</f>
        <v>0</v>
      </c>
      <c r="J1762" s="38">
        <f>IFERROR(COUNTIF([1]FishDiscoveryGroup!$A:$X,표1[[#This Row],[명칭]]),"-")</f>
        <v>0</v>
      </c>
      <c r="K1762" s="38" t="str">
        <f>IFERROR(COUNTIF([2]Town!$B:$B,표1[[#This Row],[명칭]]),"-")</f>
        <v>-</v>
      </c>
      <c r="L1762" s="38">
        <f>IFERROR(COUNTIF([1]Village!$BR:$BR,표1[[#This Row],[명칭]]),"-")</f>
        <v>0</v>
      </c>
      <c r="M1762" s="38">
        <f>COUNTIF(퀘스트!B:B,표1[[#This Row],[명칭]])</f>
        <v>0</v>
      </c>
      <c r="N1762" s="65">
        <f>COUNTIF([1]VillageDiscoveryGroup!$C:$C,표1[[#This Row],[명칭]])</f>
        <v>0</v>
      </c>
      <c r="O1762" s="65">
        <f>SUM(표1[[#This Row],[해양탐색]:[마을탐험]])</f>
        <v>0</v>
      </c>
    </row>
    <row r="1763" spans="2:15" ht="13.5" customHeight="1" x14ac:dyDescent="0.3">
      <c r="B1763" s="9">
        <f>[1]Discovery!A1769</f>
        <v>70412344</v>
      </c>
      <c r="C1763" s="9" t="str">
        <f>[1]Discovery!B1769</f>
        <v>에미시의 마을</v>
      </c>
      <c r="D1763" s="9" t="str">
        <f>[1]Discovery!E1769</f>
        <v>건축</v>
      </c>
      <c r="E1763" s="9" t="str">
        <f>[1]Discovery!C1769</f>
        <v>부락</v>
      </c>
      <c r="F1763" s="9" t="str">
        <f>[1]Discovery!G1769</f>
        <v>D</v>
      </c>
      <c r="G1763" s="9" t="str">
        <f>IFERROR(VLOOKUP(표1[[#This Row],[명칭]],'문화권 정리'!C:D,2,FALSE),"-")</f>
        <v>마을</v>
      </c>
      <c r="H1763" s="38" t="str">
        <f>IFERROR(COUNTIF([2]OceanDoodad!$Y:$Y,표1[[#This Row],[명칭]]),"-")</f>
        <v>-</v>
      </c>
      <c r="I1763" s="38">
        <f>IFERROR(COUNTIF([1]AdventureDiscoveryGroup!$D$8:$AW$92,표1[[#This Row],[명칭]]),"-")</f>
        <v>0</v>
      </c>
      <c r="J1763" s="38">
        <f>IFERROR(COUNTIF([1]FishDiscoveryGroup!$A:$X,표1[[#This Row],[명칭]]),"-")</f>
        <v>0</v>
      </c>
      <c r="K1763" s="38" t="str">
        <f>IFERROR(COUNTIF([2]Town!$B:$B,표1[[#This Row],[명칭]]),"-")</f>
        <v>-</v>
      </c>
      <c r="L1763" s="38">
        <f>IFERROR(COUNTIF([1]Village!$BR:$BR,표1[[#This Row],[명칭]]),"-")</f>
        <v>0</v>
      </c>
      <c r="M1763" s="38">
        <f>COUNTIF(퀘스트!B:B,표1[[#This Row],[명칭]])</f>
        <v>0</v>
      </c>
      <c r="N1763" s="65">
        <f>COUNTIF([1]VillageDiscoveryGroup!$C:$C,표1[[#This Row],[명칭]])</f>
        <v>0</v>
      </c>
      <c r="O1763" s="65">
        <f>SUM(표1[[#This Row],[해양탐색]:[마을탐험]])</f>
        <v>0</v>
      </c>
    </row>
    <row r="1764" spans="2:15" ht="13.5" customHeight="1" x14ac:dyDescent="0.3">
      <c r="B1764" s="9">
        <f>[1]Discovery!A1770</f>
        <v>70412345</v>
      </c>
      <c r="C1764" s="9" t="str">
        <f>[1]Discovery!B1770</f>
        <v>에치젠의 마을</v>
      </c>
      <c r="D1764" s="9" t="str">
        <f>[1]Discovery!E1770</f>
        <v>건축</v>
      </c>
      <c r="E1764" s="9" t="str">
        <f>[1]Discovery!C1770</f>
        <v>부락</v>
      </c>
      <c r="F1764" s="9" t="str">
        <f>[1]Discovery!G1770</f>
        <v>D</v>
      </c>
      <c r="G1764" s="9" t="str">
        <f>IFERROR(VLOOKUP(표1[[#This Row],[명칭]],'문화권 정리'!C:D,2,FALSE),"-")</f>
        <v>마을</v>
      </c>
      <c r="H1764" s="38" t="str">
        <f>IFERROR(COUNTIF([2]OceanDoodad!$Y:$Y,표1[[#This Row],[명칭]]),"-")</f>
        <v>-</v>
      </c>
      <c r="I1764" s="38">
        <f>IFERROR(COUNTIF([1]AdventureDiscoveryGroup!$D$8:$AW$92,표1[[#This Row],[명칭]]),"-")</f>
        <v>0</v>
      </c>
      <c r="J1764" s="38">
        <f>IFERROR(COUNTIF([1]FishDiscoveryGroup!$A:$X,표1[[#This Row],[명칭]]),"-")</f>
        <v>0</v>
      </c>
      <c r="K1764" s="38" t="str">
        <f>IFERROR(COUNTIF([2]Town!$B:$B,표1[[#This Row],[명칭]]),"-")</f>
        <v>-</v>
      </c>
      <c r="L1764" s="38">
        <f>IFERROR(COUNTIF([1]Village!$BR:$BR,표1[[#This Row],[명칭]]),"-")</f>
        <v>0</v>
      </c>
      <c r="M1764" s="38">
        <f>COUNTIF(퀘스트!B:B,표1[[#This Row],[명칭]])</f>
        <v>0</v>
      </c>
      <c r="N1764" s="65">
        <f>COUNTIF([1]VillageDiscoveryGroup!$C:$C,표1[[#This Row],[명칭]])</f>
        <v>0</v>
      </c>
      <c r="O1764" s="65">
        <f>SUM(표1[[#This Row],[해양탐색]:[마을탐험]])</f>
        <v>0</v>
      </c>
    </row>
    <row r="1765" spans="2:15" ht="13.5" customHeight="1" x14ac:dyDescent="0.3">
      <c r="B1765" s="9">
        <f>[1]Discovery!A1771</f>
        <v>70412346</v>
      </c>
      <c r="C1765" s="9" t="str">
        <f>[1]Discovery!B1771</f>
        <v>규슈의 마을</v>
      </c>
      <c r="D1765" s="9" t="str">
        <f>[1]Discovery!E1771</f>
        <v>건축</v>
      </c>
      <c r="E1765" s="9" t="str">
        <f>[1]Discovery!C1771</f>
        <v>부락</v>
      </c>
      <c r="F1765" s="9" t="str">
        <f>[1]Discovery!G1771</f>
        <v>D</v>
      </c>
      <c r="G1765" s="9" t="str">
        <f>IFERROR(VLOOKUP(표1[[#This Row],[명칭]],'문화권 정리'!C:D,2,FALSE),"-")</f>
        <v>마을</v>
      </c>
      <c r="H1765" s="38" t="str">
        <f>IFERROR(COUNTIF([2]OceanDoodad!$Y:$Y,표1[[#This Row],[명칭]]),"-")</f>
        <v>-</v>
      </c>
      <c r="I1765" s="38">
        <f>IFERROR(COUNTIF([1]AdventureDiscoveryGroup!$D$8:$AW$92,표1[[#This Row],[명칭]]),"-")</f>
        <v>0</v>
      </c>
      <c r="J1765" s="38">
        <f>IFERROR(COUNTIF([1]FishDiscoveryGroup!$A:$X,표1[[#This Row],[명칭]]),"-")</f>
        <v>0</v>
      </c>
      <c r="K1765" s="38" t="str">
        <f>IFERROR(COUNTIF([2]Town!$B:$B,표1[[#This Row],[명칭]]),"-")</f>
        <v>-</v>
      </c>
      <c r="L1765" s="38">
        <f>IFERROR(COUNTIF([1]Village!$BR:$BR,표1[[#This Row],[명칭]]),"-")</f>
        <v>0</v>
      </c>
      <c r="M1765" s="38">
        <f>COUNTIF(퀘스트!B:B,표1[[#This Row],[명칭]])</f>
        <v>0</v>
      </c>
      <c r="N1765" s="65">
        <f>COUNTIF([1]VillageDiscoveryGroup!$C:$C,표1[[#This Row],[명칭]])</f>
        <v>0</v>
      </c>
      <c r="O1765" s="65">
        <f>SUM(표1[[#This Row],[해양탐색]:[마을탐험]])</f>
        <v>0</v>
      </c>
    </row>
    <row r="1766" spans="2:15" ht="13.5" customHeight="1" x14ac:dyDescent="0.3">
      <c r="B1766" s="9">
        <f>[1]Discovery!A1772</f>
        <v>70412347</v>
      </c>
      <c r="C1766" s="9" t="str">
        <f>[1]Discovery!B1772</f>
        <v>황허, 한족의 마을</v>
      </c>
      <c r="D1766" s="9" t="str">
        <f>[1]Discovery!E1772</f>
        <v>건축</v>
      </c>
      <c r="E1766" s="9" t="str">
        <f>[1]Discovery!C1772</f>
        <v>부락</v>
      </c>
      <c r="F1766" s="9" t="str">
        <f>[1]Discovery!G1772</f>
        <v>D</v>
      </c>
      <c r="G1766" s="9" t="str">
        <f>IFERROR(VLOOKUP(표1[[#This Row],[명칭]],'문화권 정리'!C:D,2,FALSE),"-")</f>
        <v>마을</v>
      </c>
      <c r="H1766" s="38" t="str">
        <f>IFERROR(COUNTIF([2]OceanDoodad!$Y:$Y,표1[[#This Row],[명칭]]),"-")</f>
        <v>-</v>
      </c>
      <c r="I1766" s="38">
        <f>IFERROR(COUNTIF([1]AdventureDiscoveryGroup!$D$8:$AW$92,표1[[#This Row],[명칭]]),"-")</f>
        <v>0</v>
      </c>
      <c r="J1766" s="38">
        <f>IFERROR(COUNTIF([1]FishDiscoveryGroup!$A:$X,표1[[#This Row],[명칭]]),"-")</f>
        <v>0</v>
      </c>
      <c r="K1766" s="38" t="str">
        <f>IFERROR(COUNTIF([2]Town!$B:$B,표1[[#This Row],[명칭]]),"-")</f>
        <v>-</v>
      </c>
      <c r="L1766" s="38">
        <f>IFERROR(COUNTIF([1]Village!$BR:$BR,표1[[#This Row],[명칭]]),"-")</f>
        <v>0</v>
      </c>
      <c r="M1766" s="38">
        <f>COUNTIF(퀘스트!B:B,표1[[#This Row],[명칭]])</f>
        <v>0</v>
      </c>
      <c r="N1766" s="65">
        <f>COUNTIF([1]VillageDiscoveryGroup!$C:$C,표1[[#This Row],[명칭]])</f>
        <v>0</v>
      </c>
      <c r="O1766" s="65">
        <f>SUM(표1[[#This Row],[해양탐색]:[마을탐험]])</f>
        <v>0</v>
      </c>
    </row>
    <row r="1767" spans="2:15" ht="13.5" customHeight="1" x14ac:dyDescent="0.3">
      <c r="B1767" s="9">
        <f>[1]Discovery!A1773</f>
        <v>70412348</v>
      </c>
      <c r="C1767" s="9" t="str">
        <f>[1]Discovery!B1773</f>
        <v>장강, 투자족의 마을</v>
      </c>
      <c r="D1767" s="9" t="str">
        <f>[1]Discovery!E1773</f>
        <v>건축</v>
      </c>
      <c r="E1767" s="9" t="str">
        <f>[1]Discovery!C1773</f>
        <v>부락</v>
      </c>
      <c r="F1767" s="9" t="str">
        <f>[1]Discovery!G1773</f>
        <v>D</v>
      </c>
      <c r="G1767" s="9" t="str">
        <f>IFERROR(VLOOKUP(표1[[#This Row],[명칭]],'문화권 정리'!C:D,2,FALSE),"-")</f>
        <v>마을</v>
      </c>
      <c r="H1767" s="38" t="str">
        <f>IFERROR(COUNTIF([2]OceanDoodad!$Y:$Y,표1[[#This Row],[명칭]]),"-")</f>
        <v>-</v>
      </c>
      <c r="I1767" s="38">
        <f>IFERROR(COUNTIF([1]AdventureDiscoveryGroup!$D$8:$AW$92,표1[[#This Row],[명칭]]),"-")</f>
        <v>0</v>
      </c>
      <c r="J1767" s="38">
        <f>IFERROR(COUNTIF([1]FishDiscoveryGroup!$A:$X,표1[[#This Row],[명칭]]),"-")</f>
        <v>0</v>
      </c>
      <c r="K1767" s="38" t="str">
        <f>IFERROR(COUNTIF([2]Town!$B:$B,표1[[#This Row],[명칭]]),"-")</f>
        <v>-</v>
      </c>
      <c r="L1767" s="38">
        <f>IFERROR(COUNTIF([1]Village!$BR:$BR,표1[[#This Row],[명칭]]),"-")</f>
        <v>0</v>
      </c>
      <c r="M1767" s="38">
        <f>COUNTIF(퀘스트!B:B,표1[[#This Row],[명칭]])</f>
        <v>0</v>
      </c>
      <c r="N1767" s="65">
        <f>COUNTIF([1]VillageDiscoveryGroup!$C:$C,표1[[#This Row],[명칭]])</f>
        <v>0</v>
      </c>
      <c r="O1767" s="65">
        <f>SUM(표1[[#This Row],[해양탐색]:[마을탐험]])</f>
        <v>0</v>
      </c>
    </row>
    <row r="1768" spans="2:15" ht="13.5" customHeight="1" x14ac:dyDescent="0.3">
      <c r="B1768" s="9">
        <f>[1]Discovery!A1774</f>
        <v>70412349</v>
      </c>
      <c r="C1768" s="9" t="str">
        <f>[1]Discovery!B1774</f>
        <v>아미족의 마을</v>
      </c>
      <c r="D1768" s="9" t="str">
        <f>[1]Discovery!E1774</f>
        <v>건축</v>
      </c>
      <c r="E1768" s="9" t="str">
        <f>[1]Discovery!C1774</f>
        <v>부락</v>
      </c>
      <c r="F1768" s="9" t="str">
        <f>[1]Discovery!G1774</f>
        <v>D</v>
      </c>
      <c r="G1768" s="9" t="str">
        <f>IFERROR(VLOOKUP(표1[[#This Row],[명칭]],'문화권 정리'!C:D,2,FALSE),"-")</f>
        <v>마을</v>
      </c>
      <c r="H1768" s="38" t="str">
        <f>IFERROR(COUNTIF([2]OceanDoodad!$Y:$Y,표1[[#This Row],[명칭]]),"-")</f>
        <v>-</v>
      </c>
      <c r="I1768" s="38">
        <f>IFERROR(COUNTIF([1]AdventureDiscoveryGroup!$D$8:$AW$92,표1[[#This Row],[명칭]]),"-")</f>
        <v>0</v>
      </c>
      <c r="J1768" s="38">
        <f>IFERROR(COUNTIF([1]FishDiscoveryGroup!$A:$X,표1[[#This Row],[명칭]]),"-")</f>
        <v>0</v>
      </c>
      <c r="K1768" s="38" t="str">
        <f>IFERROR(COUNTIF([2]Town!$B:$B,표1[[#This Row],[명칭]]),"-")</f>
        <v>-</v>
      </c>
      <c r="L1768" s="38">
        <f>IFERROR(COUNTIF([1]Village!$BR:$BR,표1[[#This Row],[명칭]]),"-")</f>
        <v>0</v>
      </c>
      <c r="M1768" s="38">
        <f>COUNTIF(퀘스트!B:B,표1[[#This Row],[명칭]])</f>
        <v>0</v>
      </c>
      <c r="N1768" s="65">
        <f>COUNTIF([1]VillageDiscoveryGroup!$C:$C,표1[[#This Row],[명칭]])</f>
        <v>0</v>
      </c>
      <c r="O1768" s="65">
        <f>SUM(표1[[#This Row],[해양탐색]:[마을탐험]])</f>
        <v>0</v>
      </c>
    </row>
    <row r="1769" spans="2:15" ht="13.5" customHeight="1" x14ac:dyDescent="0.3">
      <c r="B1769" s="9">
        <f>[1]Discovery!A1775</f>
        <v>70412350</v>
      </c>
      <c r="C1769" s="9" t="str">
        <f>[1]Discovery!B1775</f>
        <v>오리야인의 마을</v>
      </c>
      <c r="D1769" s="9" t="str">
        <f>[1]Discovery!E1775</f>
        <v>건축</v>
      </c>
      <c r="E1769" s="9" t="str">
        <f>[1]Discovery!C1775</f>
        <v>부락</v>
      </c>
      <c r="F1769" s="9" t="str">
        <f>[1]Discovery!G1775</f>
        <v>D</v>
      </c>
      <c r="G1769" s="9" t="str">
        <f>IFERROR(VLOOKUP(표1[[#This Row],[명칭]],'문화권 정리'!C:D,2,FALSE),"-")</f>
        <v>마을</v>
      </c>
      <c r="H1769" s="38" t="str">
        <f>IFERROR(COUNTIF([2]OceanDoodad!$Y:$Y,표1[[#This Row],[명칭]]),"-")</f>
        <v>-</v>
      </c>
      <c r="I1769" s="38">
        <f>IFERROR(COUNTIF([1]AdventureDiscoveryGroup!$D$8:$AW$92,표1[[#This Row],[명칭]]),"-")</f>
        <v>0</v>
      </c>
      <c r="J1769" s="38">
        <f>IFERROR(COUNTIF([1]FishDiscoveryGroup!$A:$X,표1[[#This Row],[명칭]]),"-")</f>
        <v>0</v>
      </c>
      <c r="K1769" s="38" t="str">
        <f>IFERROR(COUNTIF([2]Town!$B:$B,표1[[#This Row],[명칭]]),"-")</f>
        <v>-</v>
      </c>
      <c r="L1769" s="38">
        <f>IFERROR(COUNTIF([1]Village!$BR:$BR,표1[[#This Row],[명칭]]),"-")</f>
        <v>0</v>
      </c>
      <c r="M1769" s="38">
        <f>COUNTIF(퀘스트!B:B,표1[[#This Row],[명칭]])</f>
        <v>0</v>
      </c>
      <c r="N1769" s="65">
        <f>COUNTIF([1]VillageDiscoveryGroup!$C:$C,표1[[#This Row],[명칭]])</f>
        <v>0</v>
      </c>
      <c r="O1769" s="65">
        <f>SUM(표1[[#This Row],[해양탐색]:[마을탐험]])</f>
        <v>0</v>
      </c>
    </row>
    <row r="1770" spans="2:15" ht="13.5" customHeight="1" x14ac:dyDescent="0.3">
      <c r="B1770" s="9">
        <f>[1]Discovery!A1776</f>
        <v>70412351</v>
      </c>
      <c r="C1770" s="9" t="str">
        <f>[1]Discovery!B1776</f>
        <v>버마족의 마을</v>
      </c>
      <c r="D1770" s="9" t="str">
        <f>[1]Discovery!E1776</f>
        <v>건축</v>
      </c>
      <c r="E1770" s="9" t="str">
        <f>[1]Discovery!C1776</f>
        <v>부락</v>
      </c>
      <c r="F1770" s="9" t="str">
        <f>[1]Discovery!G1776</f>
        <v>D</v>
      </c>
      <c r="G1770" s="9" t="str">
        <f>IFERROR(VLOOKUP(표1[[#This Row],[명칭]],'문화권 정리'!C:D,2,FALSE),"-")</f>
        <v>마을</v>
      </c>
      <c r="H1770" s="38" t="str">
        <f>IFERROR(COUNTIF([2]OceanDoodad!$Y:$Y,표1[[#This Row],[명칭]]),"-")</f>
        <v>-</v>
      </c>
      <c r="I1770" s="38">
        <f>IFERROR(COUNTIF([1]AdventureDiscoveryGroup!$D$8:$AW$92,표1[[#This Row],[명칭]]),"-")</f>
        <v>0</v>
      </c>
      <c r="J1770" s="38">
        <f>IFERROR(COUNTIF([1]FishDiscoveryGroup!$A:$X,표1[[#This Row],[명칭]]),"-")</f>
        <v>0</v>
      </c>
      <c r="K1770" s="38" t="str">
        <f>IFERROR(COUNTIF([2]Town!$B:$B,표1[[#This Row],[명칭]]),"-")</f>
        <v>-</v>
      </c>
      <c r="L1770" s="38">
        <f>IFERROR(COUNTIF([1]Village!$BR:$BR,표1[[#This Row],[명칭]]),"-")</f>
        <v>0</v>
      </c>
      <c r="M1770" s="38">
        <f>COUNTIF(퀘스트!B:B,표1[[#This Row],[명칭]])</f>
        <v>0</v>
      </c>
      <c r="N1770" s="65">
        <f>COUNTIF([1]VillageDiscoveryGroup!$C:$C,표1[[#This Row],[명칭]])</f>
        <v>0</v>
      </c>
      <c r="O1770" s="65">
        <f>SUM(표1[[#This Row],[해양탐색]:[마을탐험]])</f>
        <v>0</v>
      </c>
    </row>
    <row r="1771" spans="2:15" ht="13.5" customHeight="1" x14ac:dyDescent="0.3">
      <c r="B1771" s="9">
        <f>[1]Discovery!A1777</f>
        <v>70412352</v>
      </c>
      <c r="C1771" s="9" t="str">
        <f>[1]Discovery!B1777</f>
        <v>크메르족의 마을</v>
      </c>
      <c r="D1771" s="9" t="str">
        <f>[1]Discovery!E1777</f>
        <v>건축</v>
      </c>
      <c r="E1771" s="9" t="str">
        <f>[1]Discovery!C1777</f>
        <v>부락</v>
      </c>
      <c r="F1771" s="9" t="str">
        <f>[1]Discovery!G1777</f>
        <v>D</v>
      </c>
      <c r="G1771" s="9" t="str">
        <f>IFERROR(VLOOKUP(표1[[#This Row],[명칭]],'문화권 정리'!C:D,2,FALSE),"-")</f>
        <v>마을</v>
      </c>
      <c r="H1771" s="38" t="str">
        <f>IFERROR(COUNTIF([2]OceanDoodad!$Y:$Y,표1[[#This Row],[명칭]]),"-")</f>
        <v>-</v>
      </c>
      <c r="I1771" s="38">
        <f>IFERROR(COUNTIF([1]AdventureDiscoveryGroup!$D$8:$AW$92,표1[[#This Row],[명칭]]),"-")</f>
        <v>0</v>
      </c>
      <c r="J1771" s="38">
        <f>IFERROR(COUNTIF([1]FishDiscoveryGroup!$A:$X,표1[[#This Row],[명칭]]),"-")</f>
        <v>0</v>
      </c>
      <c r="K1771" s="38" t="str">
        <f>IFERROR(COUNTIF([2]Town!$B:$B,표1[[#This Row],[명칭]]),"-")</f>
        <v>-</v>
      </c>
      <c r="L1771" s="38">
        <f>IFERROR(COUNTIF([1]Village!$BR:$BR,표1[[#This Row],[명칭]]),"-")</f>
        <v>0</v>
      </c>
      <c r="M1771" s="38">
        <f>COUNTIF(퀘스트!B:B,표1[[#This Row],[명칭]])</f>
        <v>0</v>
      </c>
      <c r="N1771" s="65">
        <f>COUNTIF([1]VillageDiscoveryGroup!$C:$C,표1[[#This Row],[명칭]])</f>
        <v>0</v>
      </c>
      <c r="O1771" s="65">
        <f>SUM(표1[[#This Row],[해양탐색]:[마을탐험]])</f>
        <v>0</v>
      </c>
    </row>
    <row r="1772" spans="2:15" ht="13.5" customHeight="1" x14ac:dyDescent="0.3">
      <c r="B1772" s="9">
        <f>[1]Discovery!A1778</f>
        <v>70412353</v>
      </c>
      <c r="C1772" s="9" t="str">
        <f>[1]Discovery!B1778</f>
        <v>말레이족의 마을</v>
      </c>
      <c r="D1772" s="9" t="str">
        <f>[1]Discovery!E1778</f>
        <v>건축</v>
      </c>
      <c r="E1772" s="9" t="str">
        <f>[1]Discovery!C1778</f>
        <v>부락</v>
      </c>
      <c r="F1772" s="9" t="str">
        <f>[1]Discovery!G1778</f>
        <v>D</v>
      </c>
      <c r="G1772" s="9" t="str">
        <f>IFERROR(VLOOKUP(표1[[#This Row],[명칭]],'문화권 정리'!C:D,2,FALSE),"-")</f>
        <v>마을</v>
      </c>
      <c r="H1772" s="38" t="str">
        <f>IFERROR(COUNTIF([2]OceanDoodad!$Y:$Y,표1[[#This Row],[명칭]]),"-")</f>
        <v>-</v>
      </c>
      <c r="I1772" s="38">
        <f>IFERROR(COUNTIF([1]AdventureDiscoveryGroup!$D$8:$AW$92,표1[[#This Row],[명칭]]),"-")</f>
        <v>0</v>
      </c>
      <c r="J1772" s="38">
        <f>IFERROR(COUNTIF([1]FishDiscoveryGroup!$A:$X,표1[[#This Row],[명칭]]),"-")</f>
        <v>0</v>
      </c>
      <c r="K1772" s="38" t="str">
        <f>IFERROR(COUNTIF([2]Town!$B:$B,표1[[#This Row],[명칭]]),"-")</f>
        <v>-</v>
      </c>
      <c r="L1772" s="38">
        <f>IFERROR(COUNTIF([1]Village!$BR:$BR,표1[[#This Row],[명칭]]),"-")</f>
        <v>0</v>
      </c>
      <c r="M1772" s="38">
        <f>COUNTIF(퀘스트!B:B,표1[[#This Row],[명칭]])</f>
        <v>0</v>
      </c>
      <c r="N1772" s="65">
        <f>COUNTIF([1]VillageDiscoveryGroup!$C:$C,표1[[#This Row],[명칭]])</f>
        <v>0</v>
      </c>
      <c r="O1772" s="65">
        <f>SUM(표1[[#This Row],[해양탐색]:[마을탐험]])</f>
        <v>0</v>
      </c>
    </row>
    <row r="1773" spans="2:15" ht="13.5" customHeight="1" x14ac:dyDescent="0.3">
      <c r="B1773" s="9">
        <f>[1]Discovery!A1779</f>
        <v>70412354</v>
      </c>
      <c r="C1773" s="9" t="str">
        <f>[1]Discovery!B1779</f>
        <v>멜라네시아인의 마을</v>
      </c>
      <c r="D1773" s="9" t="str">
        <f>[1]Discovery!E1779</f>
        <v>건축</v>
      </c>
      <c r="E1773" s="9" t="str">
        <f>[1]Discovery!C1779</f>
        <v>부락</v>
      </c>
      <c r="F1773" s="9" t="str">
        <f>[1]Discovery!G1779</f>
        <v>D</v>
      </c>
      <c r="G1773" s="9" t="str">
        <f>IFERROR(VLOOKUP(표1[[#This Row],[명칭]],'문화권 정리'!C:D,2,FALSE),"-")</f>
        <v>마을</v>
      </c>
      <c r="H1773" s="38" t="str">
        <f>IFERROR(COUNTIF([2]OceanDoodad!$Y:$Y,표1[[#This Row],[명칭]]),"-")</f>
        <v>-</v>
      </c>
      <c r="I1773" s="38">
        <f>IFERROR(COUNTIF([1]AdventureDiscoveryGroup!$D$8:$AW$92,표1[[#This Row],[명칭]]),"-")</f>
        <v>0</v>
      </c>
      <c r="J1773" s="38">
        <f>IFERROR(COUNTIF([1]FishDiscoveryGroup!$A:$X,표1[[#This Row],[명칭]]),"-")</f>
        <v>0</v>
      </c>
      <c r="K1773" s="38" t="str">
        <f>IFERROR(COUNTIF([2]Town!$B:$B,표1[[#This Row],[명칭]]),"-")</f>
        <v>-</v>
      </c>
      <c r="L1773" s="38">
        <f>IFERROR(COUNTIF([1]Village!$BR:$BR,표1[[#This Row],[명칭]]),"-")</f>
        <v>0</v>
      </c>
      <c r="M1773" s="38">
        <f>COUNTIF(퀘스트!B:B,표1[[#This Row],[명칭]])</f>
        <v>0</v>
      </c>
      <c r="N1773" s="65">
        <f>COUNTIF([1]VillageDiscoveryGroup!$C:$C,표1[[#This Row],[명칭]])</f>
        <v>0</v>
      </c>
      <c r="O1773" s="65">
        <f>SUM(표1[[#This Row],[해양탐색]:[마을탐험]])</f>
        <v>0</v>
      </c>
    </row>
    <row r="1774" spans="2:15" ht="13.5" customHeight="1" x14ac:dyDescent="0.3">
      <c r="B1774" s="9">
        <f>[1]Discovery!A1780</f>
        <v>70412355</v>
      </c>
      <c r="C1774" s="9" t="str">
        <f>[1]Discovery!B1780</f>
        <v>야우루족의 마을</v>
      </c>
      <c r="D1774" s="9" t="str">
        <f>[1]Discovery!E1780</f>
        <v>건축</v>
      </c>
      <c r="E1774" s="9" t="str">
        <f>[1]Discovery!C1780</f>
        <v>부락</v>
      </c>
      <c r="F1774" s="9" t="str">
        <f>[1]Discovery!G1780</f>
        <v>D</v>
      </c>
      <c r="G1774" s="9" t="str">
        <f>IFERROR(VLOOKUP(표1[[#This Row],[명칭]],'문화권 정리'!C:D,2,FALSE),"-")</f>
        <v>마을</v>
      </c>
      <c r="H1774" s="38" t="str">
        <f>IFERROR(COUNTIF([2]OceanDoodad!$Y:$Y,표1[[#This Row],[명칭]]),"-")</f>
        <v>-</v>
      </c>
      <c r="I1774" s="38">
        <f>IFERROR(COUNTIF([1]AdventureDiscoveryGroup!$D$8:$AW$92,표1[[#This Row],[명칭]]),"-")</f>
        <v>0</v>
      </c>
      <c r="J1774" s="38">
        <f>IFERROR(COUNTIF([1]FishDiscoveryGroup!$A:$X,표1[[#This Row],[명칭]]),"-")</f>
        <v>0</v>
      </c>
      <c r="K1774" s="38" t="str">
        <f>IFERROR(COUNTIF([2]Town!$B:$B,표1[[#This Row],[명칭]]),"-")</f>
        <v>-</v>
      </c>
      <c r="L1774" s="38">
        <f>IFERROR(COUNTIF([1]Village!$BR:$BR,표1[[#This Row],[명칭]]),"-")</f>
        <v>0</v>
      </c>
      <c r="M1774" s="38">
        <f>COUNTIF(퀘스트!B:B,표1[[#This Row],[명칭]])</f>
        <v>0</v>
      </c>
      <c r="N1774" s="65">
        <f>COUNTIF([1]VillageDiscoveryGroup!$C:$C,표1[[#This Row],[명칭]])</f>
        <v>0</v>
      </c>
      <c r="O1774" s="65">
        <f>SUM(표1[[#This Row],[해양탐색]:[마을탐험]])</f>
        <v>0</v>
      </c>
    </row>
    <row r="1775" spans="2:15" ht="13.5" customHeight="1" x14ac:dyDescent="0.3">
      <c r="B1775" s="9">
        <f>[1]Discovery!A1781</f>
        <v>70412356</v>
      </c>
      <c r="C1775" s="9" t="str">
        <f>[1]Discovery!B1781</f>
        <v>나우오족의 마을</v>
      </c>
      <c r="D1775" s="9" t="str">
        <f>[1]Discovery!E1781</f>
        <v>건축</v>
      </c>
      <c r="E1775" s="9" t="str">
        <f>[1]Discovery!C1781</f>
        <v>부락</v>
      </c>
      <c r="F1775" s="9" t="str">
        <f>[1]Discovery!G1781</f>
        <v>D</v>
      </c>
      <c r="G1775" s="9" t="str">
        <f>IFERROR(VLOOKUP(표1[[#This Row],[명칭]],'문화권 정리'!C:D,2,FALSE),"-")</f>
        <v>마을</v>
      </c>
      <c r="H1775" s="38" t="str">
        <f>IFERROR(COUNTIF([2]OceanDoodad!$Y:$Y,표1[[#This Row],[명칭]]),"-")</f>
        <v>-</v>
      </c>
      <c r="I1775" s="38">
        <f>IFERROR(COUNTIF([1]AdventureDiscoveryGroup!$D$8:$AW$92,표1[[#This Row],[명칭]]),"-")</f>
        <v>0</v>
      </c>
      <c r="J1775" s="38">
        <f>IFERROR(COUNTIF([1]FishDiscoveryGroup!$A:$X,표1[[#This Row],[명칭]]),"-")</f>
        <v>0</v>
      </c>
      <c r="K1775" s="38" t="str">
        <f>IFERROR(COUNTIF([2]Town!$B:$B,표1[[#This Row],[명칭]]),"-")</f>
        <v>-</v>
      </c>
      <c r="L1775" s="38">
        <f>IFERROR(COUNTIF([1]Village!$BR:$BR,표1[[#This Row],[명칭]]),"-")</f>
        <v>0</v>
      </c>
      <c r="M1775" s="38">
        <f>COUNTIF(퀘스트!B:B,표1[[#This Row],[명칭]])</f>
        <v>0</v>
      </c>
      <c r="N1775" s="65">
        <f>COUNTIF([1]VillageDiscoveryGroup!$C:$C,표1[[#This Row],[명칭]])</f>
        <v>0</v>
      </c>
      <c r="O1775" s="65">
        <f>SUM(표1[[#This Row],[해양탐색]:[마을탐험]])</f>
        <v>0</v>
      </c>
    </row>
    <row r="1776" spans="2:15" ht="13.5" customHeight="1" x14ac:dyDescent="0.3">
      <c r="B1776" s="9">
        <f>[1]Discovery!A1782</f>
        <v>70412357</v>
      </c>
      <c r="C1776" s="9" t="str">
        <f>[1]Discovery!B1782</f>
        <v>칼 카툰 구족의 마을</v>
      </c>
      <c r="D1776" s="9" t="str">
        <f>[1]Discovery!E1782</f>
        <v>건축</v>
      </c>
      <c r="E1776" s="9" t="str">
        <f>[1]Discovery!C1782</f>
        <v>부락</v>
      </c>
      <c r="F1776" s="9" t="str">
        <f>[1]Discovery!G1782</f>
        <v>D</v>
      </c>
      <c r="G1776" s="9" t="str">
        <f>IFERROR(VLOOKUP(표1[[#This Row],[명칭]],'문화권 정리'!C:D,2,FALSE),"-")</f>
        <v>마을</v>
      </c>
      <c r="H1776" s="38" t="str">
        <f>IFERROR(COUNTIF([2]OceanDoodad!$Y:$Y,표1[[#This Row],[명칭]]),"-")</f>
        <v>-</v>
      </c>
      <c r="I1776" s="38">
        <f>IFERROR(COUNTIF([1]AdventureDiscoveryGroup!$D$8:$AW$92,표1[[#This Row],[명칭]]),"-")</f>
        <v>0</v>
      </c>
      <c r="J1776" s="38">
        <f>IFERROR(COUNTIF([1]FishDiscoveryGroup!$A:$X,표1[[#This Row],[명칭]]),"-")</f>
        <v>0</v>
      </c>
      <c r="K1776" s="38" t="str">
        <f>IFERROR(COUNTIF([2]Town!$B:$B,표1[[#This Row],[명칭]]),"-")</f>
        <v>-</v>
      </c>
      <c r="L1776" s="38">
        <f>IFERROR(COUNTIF([1]Village!$BR:$BR,표1[[#This Row],[명칭]]),"-")</f>
        <v>0</v>
      </c>
      <c r="M1776" s="38">
        <f>COUNTIF(퀘스트!B:B,표1[[#This Row],[명칭]])</f>
        <v>0</v>
      </c>
      <c r="N1776" s="65">
        <f>COUNTIF([1]VillageDiscoveryGroup!$C:$C,표1[[#This Row],[명칭]])</f>
        <v>0</v>
      </c>
      <c r="O1776" s="65">
        <f>SUM(표1[[#This Row],[해양탐색]:[마을탐험]])</f>
        <v>0</v>
      </c>
    </row>
    <row r="1777" spans="2:15" ht="13.5" customHeight="1" x14ac:dyDescent="0.3">
      <c r="B1777" s="9">
        <f>[1]Discovery!A1783</f>
        <v>70412358</v>
      </c>
      <c r="C1777" s="9" t="str">
        <f>[1]Discovery!B1783</f>
        <v>마오리족의 마을</v>
      </c>
      <c r="D1777" s="9" t="str">
        <f>[1]Discovery!E1783</f>
        <v>건축</v>
      </c>
      <c r="E1777" s="9" t="str">
        <f>[1]Discovery!C1783</f>
        <v>부락</v>
      </c>
      <c r="F1777" s="9" t="str">
        <f>[1]Discovery!G1783</f>
        <v>D</v>
      </c>
      <c r="G1777" s="9" t="str">
        <f>IFERROR(VLOOKUP(표1[[#This Row],[명칭]],'문화권 정리'!C:D,2,FALSE),"-")</f>
        <v>마을</v>
      </c>
      <c r="H1777" s="38" t="str">
        <f>IFERROR(COUNTIF([2]OceanDoodad!$Y:$Y,표1[[#This Row],[명칭]]),"-")</f>
        <v>-</v>
      </c>
      <c r="I1777" s="38">
        <f>IFERROR(COUNTIF([1]AdventureDiscoveryGroup!$D$8:$AW$92,표1[[#This Row],[명칭]]),"-")</f>
        <v>0</v>
      </c>
      <c r="J1777" s="38">
        <f>IFERROR(COUNTIF([1]FishDiscoveryGroup!$A:$X,표1[[#This Row],[명칭]]),"-")</f>
        <v>0</v>
      </c>
      <c r="K1777" s="38" t="str">
        <f>IFERROR(COUNTIF([2]Town!$B:$B,표1[[#This Row],[명칭]]),"-")</f>
        <v>-</v>
      </c>
      <c r="L1777" s="38">
        <f>IFERROR(COUNTIF([1]Village!$BR:$BR,표1[[#This Row],[명칭]]),"-")</f>
        <v>0</v>
      </c>
      <c r="M1777" s="38">
        <f>COUNTIF(퀘스트!B:B,표1[[#This Row],[명칭]])</f>
        <v>0</v>
      </c>
      <c r="N1777" s="65">
        <f>COUNTIF([1]VillageDiscoveryGroup!$C:$C,표1[[#This Row],[명칭]])</f>
        <v>0</v>
      </c>
      <c r="O1777" s="65">
        <f>SUM(표1[[#This Row],[해양탐색]:[마을탐험]])</f>
        <v>0</v>
      </c>
    </row>
    <row r="1778" spans="2:15" ht="13.5" customHeight="1" x14ac:dyDescent="0.3">
      <c r="B1778" s="9">
        <f>[1]Discovery!A1784</f>
        <v>70412359</v>
      </c>
      <c r="C1778" s="9" t="str">
        <f>[1]Discovery!B1784</f>
        <v>하와이 선주민의 마을</v>
      </c>
      <c r="D1778" s="9" t="str">
        <f>[1]Discovery!E1784</f>
        <v>건축</v>
      </c>
      <c r="E1778" s="9" t="str">
        <f>[1]Discovery!C1784</f>
        <v>부락</v>
      </c>
      <c r="F1778" s="9" t="str">
        <f>[1]Discovery!G1784</f>
        <v>D</v>
      </c>
      <c r="G1778" s="9" t="str">
        <f>IFERROR(VLOOKUP(표1[[#This Row],[명칭]],'문화권 정리'!C:D,2,FALSE),"-")</f>
        <v>마을</v>
      </c>
      <c r="H1778" s="38" t="str">
        <f>IFERROR(COUNTIF([2]OceanDoodad!$Y:$Y,표1[[#This Row],[명칭]]),"-")</f>
        <v>-</v>
      </c>
      <c r="I1778" s="38">
        <f>IFERROR(COUNTIF([1]AdventureDiscoveryGroup!$D$8:$AW$92,표1[[#This Row],[명칭]]),"-")</f>
        <v>0</v>
      </c>
      <c r="J1778" s="38">
        <f>IFERROR(COUNTIF([1]FishDiscoveryGroup!$A:$X,표1[[#This Row],[명칭]]),"-")</f>
        <v>0</v>
      </c>
      <c r="K1778" s="38" t="str">
        <f>IFERROR(COUNTIF([2]Town!$B:$B,표1[[#This Row],[명칭]]),"-")</f>
        <v>-</v>
      </c>
      <c r="L1778" s="38">
        <f>IFERROR(COUNTIF([1]Village!$BR:$BR,표1[[#This Row],[명칭]]),"-")</f>
        <v>0</v>
      </c>
      <c r="M1778" s="38">
        <f>COUNTIF(퀘스트!B:B,표1[[#This Row],[명칭]])</f>
        <v>0</v>
      </c>
      <c r="N1778" s="65">
        <f>COUNTIF([1]VillageDiscoveryGroup!$C:$C,표1[[#This Row],[명칭]])</f>
        <v>0</v>
      </c>
      <c r="O1778" s="65">
        <f>SUM(표1[[#This Row],[해양탐색]:[마을탐험]])</f>
        <v>0</v>
      </c>
    </row>
    <row r="1779" spans="2:15" ht="13.5" customHeight="1" x14ac:dyDescent="0.3">
      <c r="B1779" s="9">
        <f>[1]Discovery!A1785</f>
        <v>70412360</v>
      </c>
      <c r="C1779" s="9" t="str">
        <f>[1]Discovery!B1785</f>
        <v>시과요족의 마을</v>
      </c>
      <c r="D1779" s="9" t="str">
        <f>[1]Discovery!E1785</f>
        <v>건축</v>
      </c>
      <c r="E1779" s="9" t="str">
        <f>[1]Discovery!C1785</f>
        <v>부락</v>
      </c>
      <c r="F1779" s="9" t="str">
        <f>[1]Discovery!G1785</f>
        <v>D</v>
      </c>
      <c r="G1779" s="9" t="str">
        <f>IFERROR(VLOOKUP(표1[[#This Row],[명칭]],'문화권 정리'!C:D,2,FALSE),"-")</f>
        <v>마을</v>
      </c>
      <c r="H1779" s="38" t="str">
        <f>IFERROR(COUNTIF([2]OceanDoodad!$Y:$Y,표1[[#This Row],[명칭]]),"-")</f>
        <v>-</v>
      </c>
      <c r="I1779" s="38">
        <f>IFERROR(COUNTIF([1]AdventureDiscoveryGroup!$D$8:$AW$92,표1[[#This Row],[명칭]]),"-")</f>
        <v>0</v>
      </c>
      <c r="J1779" s="38">
        <f>IFERROR(COUNTIF([1]FishDiscoveryGroup!$A:$X,표1[[#This Row],[명칭]]),"-")</f>
        <v>0</v>
      </c>
      <c r="K1779" s="38" t="str">
        <f>IFERROR(COUNTIF([2]Town!$B:$B,표1[[#This Row],[명칭]]),"-")</f>
        <v>-</v>
      </c>
      <c r="L1779" s="38">
        <f>IFERROR(COUNTIF([1]Village!$BR:$BR,표1[[#This Row],[명칭]]),"-")</f>
        <v>0</v>
      </c>
      <c r="M1779" s="38">
        <f>COUNTIF(퀘스트!B:B,표1[[#This Row],[명칭]])</f>
        <v>0</v>
      </c>
      <c r="N1779" s="65">
        <f>COUNTIF([1]VillageDiscoveryGroup!$C:$C,표1[[#This Row],[명칭]])</f>
        <v>0</v>
      </c>
      <c r="O1779" s="65">
        <f>SUM(표1[[#This Row],[해양탐색]:[마을탐험]])</f>
        <v>0</v>
      </c>
    </row>
    <row r="1780" spans="2:15" ht="13.5" customHeight="1" x14ac:dyDescent="0.3">
      <c r="B1780" s="9">
        <f>[1]Discovery!A1786</f>
        <v>70412361</v>
      </c>
      <c r="C1780" s="9" t="str">
        <f>[1]Discovery!B1786</f>
        <v>야간족의 마을</v>
      </c>
      <c r="D1780" s="9" t="str">
        <f>[1]Discovery!E1786</f>
        <v>건축</v>
      </c>
      <c r="E1780" s="9" t="str">
        <f>[1]Discovery!C1786</f>
        <v>부락</v>
      </c>
      <c r="F1780" s="9" t="str">
        <f>[1]Discovery!G1786</f>
        <v>D</v>
      </c>
      <c r="G1780" s="9" t="str">
        <f>IFERROR(VLOOKUP(표1[[#This Row],[명칭]],'문화권 정리'!C:D,2,FALSE),"-")</f>
        <v>마을</v>
      </c>
      <c r="H1780" s="38" t="str">
        <f>IFERROR(COUNTIF([2]OceanDoodad!$Y:$Y,표1[[#This Row],[명칭]]),"-")</f>
        <v>-</v>
      </c>
      <c r="I1780" s="38">
        <f>IFERROR(COUNTIF([1]AdventureDiscoveryGroup!$D$8:$AW$92,표1[[#This Row],[명칭]]),"-")</f>
        <v>0</v>
      </c>
      <c r="J1780" s="38">
        <f>IFERROR(COUNTIF([1]FishDiscoveryGroup!$A:$X,표1[[#This Row],[명칭]]),"-")</f>
        <v>0</v>
      </c>
      <c r="K1780" s="38" t="str">
        <f>IFERROR(COUNTIF([2]Town!$B:$B,표1[[#This Row],[명칭]]),"-")</f>
        <v>-</v>
      </c>
      <c r="L1780" s="38">
        <f>IFERROR(COUNTIF([1]Village!$BR:$BR,표1[[#This Row],[명칭]]),"-")</f>
        <v>0</v>
      </c>
      <c r="M1780" s="38">
        <f>COUNTIF(퀘스트!B:B,표1[[#This Row],[명칭]])</f>
        <v>0</v>
      </c>
      <c r="N1780" s="65">
        <f>COUNTIF([1]VillageDiscoveryGroup!$C:$C,표1[[#This Row],[명칭]])</f>
        <v>0</v>
      </c>
      <c r="O1780" s="65">
        <f>SUM(표1[[#This Row],[해양탐색]:[마을탐험]])</f>
        <v>0</v>
      </c>
    </row>
    <row r="1781" spans="2:15" ht="13.5" customHeight="1" x14ac:dyDescent="0.3">
      <c r="B1781" s="9">
        <f>[1]Discovery!A1787</f>
        <v>70412362</v>
      </c>
      <c r="C1781" s="9" t="str">
        <f>[1]Discovery!B1787</f>
        <v>극지, 신대륙의 남쪽</v>
      </c>
      <c r="D1781" s="9" t="str">
        <f>[1]Discovery!E1787</f>
        <v>건축</v>
      </c>
      <c r="E1781" s="9" t="str">
        <f>[1]Discovery!C1787</f>
        <v>부락</v>
      </c>
      <c r="F1781" s="9" t="str">
        <f>[1]Discovery!G1787</f>
        <v>D</v>
      </c>
      <c r="G1781" s="9" t="str">
        <f>IFERROR(VLOOKUP(표1[[#This Row],[명칭]],'문화권 정리'!C:D,2,FALSE),"-")</f>
        <v>마을</v>
      </c>
      <c r="H1781" s="38" t="str">
        <f>IFERROR(COUNTIF([2]OceanDoodad!$Y:$Y,표1[[#This Row],[명칭]]),"-")</f>
        <v>-</v>
      </c>
      <c r="I1781" s="38">
        <f>IFERROR(COUNTIF([1]AdventureDiscoveryGroup!$D$8:$AW$92,표1[[#This Row],[명칭]]),"-")</f>
        <v>0</v>
      </c>
      <c r="J1781" s="38">
        <f>IFERROR(COUNTIF([1]FishDiscoveryGroup!$A:$X,표1[[#This Row],[명칭]]),"-")</f>
        <v>0</v>
      </c>
      <c r="K1781" s="38" t="str">
        <f>IFERROR(COUNTIF([2]Town!$B:$B,표1[[#This Row],[명칭]]),"-")</f>
        <v>-</v>
      </c>
      <c r="L1781" s="38">
        <f>IFERROR(COUNTIF([1]Village!$BR:$BR,표1[[#This Row],[명칭]]),"-")</f>
        <v>0</v>
      </c>
      <c r="M1781" s="38">
        <f>COUNTIF(퀘스트!B:B,표1[[#This Row],[명칭]])</f>
        <v>0</v>
      </c>
      <c r="N1781" s="65">
        <f>COUNTIF([1]VillageDiscoveryGroup!$C:$C,표1[[#This Row],[명칭]])</f>
        <v>0</v>
      </c>
      <c r="O1781" s="65">
        <f>SUM(표1[[#This Row],[해양탐색]:[마을탐험]])</f>
        <v>0</v>
      </c>
    </row>
    <row r="1782" spans="2:15" ht="13.5" customHeight="1" x14ac:dyDescent="0.3">
      <c r="B1782" s="9">
        <f>[1]Discovery!A1788</f>
        <v>70412363</v>
      </c>
      <c r="C1782" s="9" t="str">
        <f>[1]Discovery!B1788</f>
        <v>극지, 아프리카의 남쪽</v>
      </c>
      <c r="D1782" s="9" t="str">
        <f>[1]Discovery!E1788</f>
        <v>건축</v>
      </c>
      <c r="E1782" s="9" t="str">
        <f>[1]Discovery!C1788</f>
        <v>부락</v>
      </c>
      <c r="F1782" s="9" t="str">
        <f>[1]Discovery!G1788</f>
        <v>D</v>
      </c>
      <c r="G1782" s="9" t="str">
        <f>IFERROR(VLOOKUP(표1[[#This Row],[명칭]],'문화권 정리'!C:D,2,FALSE),"-")</f>
        <v>마을</v>
      </c>
      <c r="H1782" s="38" t="str">
        <f>IFERROR(COUNTIF([2]OceanDoodad!$Y:$Y,표1[[#This Row],[명칭]]),"-")</f>
        <v>-</v>
      </c>
      <c r="I1782" s="38">
        <f>IFERROR(COUNTIF([1]AdventureDiscoveryGroup!$D$8:$AW$92,표1[[#This Row],[명칭]]),"-")</f>
        <v>0</v>
      </c>
      <c r="J1782" s="38">
        <f>IFERROR(COUNTIF([1]FishDiscoveryGroup!$A:$X,표1[[#This Row],[명칭]]),"-")</f>
        <v>0</v>
      </c>
      <c r="K1782" s="38" t="str">
        <f>IFERROR(COUNTIF([2]Town!$B:$B,표1[[#This Row],[명칭]]),"-")</f>
        <v>-</v>
      </c>
      <c r="L1782" s="38">
        <f>IFERROR(COUNTIF([1]Village!$BR:$BR,표1[[#This Row],[명칭]]),"-")</f>
        <v>0</v>
      </c>
      <c r="M1782" s="38">
        <f>COUNTIF(퀘스트!B:B,표1[[#This Row],[명칭]])</f>
        <v>0</v>
      </c>
      <c r="N1782" s="65">
        <f>COUNTIF([1]VillageDiscoveryGroup!$C:$C,표1[[#This Row],[명칭]])</f>
        <v>0</v>
      </c>
      <c r="O1782" s="65">
        <f>SUM(표1[[#This Row],[해양탐색]:[마을탐험]])</f>
        <v>0</v>
      </c>
    </row>
    <row r="1783" spans="2:15" ht="13.5" customHeight="1" x14ac:dyDescent="0.3">
      <c r="B1783" s="9">
        <f>[1]Discovery!A1789</f>
        <v>70412364</v>
      </c>
      <c r="C1783" s="9" t="str">
        <f>[1]Discovery!B1789</f>
        <v>사미족의 마을</v>
      </c>
      <c r="D1783" s="9" t="str">
        <f>[1]Discovery!E1789</f>
        <v>건축</v>
      </c>
      <c r="E1783" s="9" t="str">
        <f>[1]Discovery!C1789</f>
        <v>부락</v>
      </c>
      <c r="F1783" s="9" t="str">
        <f>[1]Discovery!G1789</f>
        <v>D</v>
      </c>
      <c r="G1783" s="9" t="str">
        <f>IFERROR(VLOOKUP(표1[[#This Row],[명칭]],'문화권 정리'!C:D,2,FALSE),"-")</f>
        <v>마을</v>
      </c>
      <c r="H1783" s="38" t="str">
        <f>IFERROR(COUNTIF([2]OceanDoodad!$Y:$Y,표1[[#This Row],[명칭]]),"-")</f>
        <v>-</v>
      </c>
      <c r="I1783" s="38">
        <f>IFERROR(COUNTIF([1]AdventureDiscoveryGroup!$D$8:$AW$92,표1[[#This Row],[명칭]]),"-")</f>
        <v>0</v>
      </c>
      <c r="J1783" s="38">
        <f>IFERROR(COUNTIF([1]FishDiscoveryGroup!$A:$X,표1[[#This Row],[명칭]]),"-")</f>
        <v>0</v>
      </c>
      <c r="K1783" s="38" t="str">
        <f>IFERROR(COUNTIF([2]Town!$B:$B,표1[[#This Row],[명칭]]),"-")</f>
        <v>-</v>
      </c>
      <c r="L1783" s="38">
        <f>IFERROR(COUNTIF([1]Village!$BR:$BR,표1[[#This Row],[명칭]]),"-")</f>
        <v>0</v>
      </c>
      <c r="M1783" s="38">
        <f>COUNTIF(퀘스트!B:B,표1[[#This Row],[명칭]])</f>
        <v>0</v>
      </c>
      <c r="N1783" s="65">
        <f>COUNTIF([1]VillageDiscoveryGroup!$C:$C,표1[[#This Row],[명칭]])</f>
        <v>0</v>
      </c>
      <c r="O1783" s="65">
        <f>SUM(표1[[#This Row],[해양탐색]:[마을탐험]])</f>
        <v>0</v>
      </c>
    </row>
    <row r="1784" spans="2:15" ht="13.5" customHeight="1" x14ac:dyDescent="0.3">
      <c r="B1784" s="9">
        <f>[1]Discovery!A1790</f>
        <v>70412365</v>
      </c>
      <c r="C1784" s="9" t="str">
        <f>[1]Discovery!B1790</f>
        <v>케트인의 마을</v>
      </c>
      <c r="D1784" s="9" t="str">
        <f>[1]Discovery!E1790</f>
        <v>건축</v>
      </c>
      <c r="E1784" s="9" t="str">
        <f>[1]Discovery!C1790</f>
        <v>부락</v>
      </c>
      <c r="F1784" s="9" t="str">
        <f>[1]Discovery!G1790</f>
        <v>D</v>
      </c>
      <c r="G1784" s="9" t="str">
        <f>IFERROR(VLOOKUP(표1[[#This Row],[명칭]],'문화권 정리'!C:D,2,FALSE),"-")</f>
        <v>마을</v>
      </c>
      <c r="H1784" s="38" t="str">
        <f>IFERROR(COUNTIF([2]OceanDoodad!$Y:$Y,표1[[#This Row],[명칭]]),"-")</f>
        <v>-</v>
      </c>
      <c r="I1784" s="38">
        <f>IFERROR(COUNTIF([1]AdventureDiscoveryGroup!$D$8:$AW$92,표1[[#This Row],[명칭]]),"-")</f>
        <v>0</v>
      </c>
      <c r="J1784" s="38">
        <f>IFERROR(COUNTIF([1]FishDiscoveryGroup!$A:$X,표1[[#This Row],[명칭]]),"-")</f>
        <v>0</v>
      </c>
      <c r="K1784" s="38" t="str">
        <f>IFERROR(COUNTIF([2]Town!$B:$B,표1[[#This Row],[명칭]]),"-")</f>
        <v>-</v>
      </c>
      <c r="L1784" s="38">
        <f>IFERROR(COUNTIF([1]Village!$BR:$BR,표1[[#This Row],[명칭]]),"-")</f>
        <v>0</v>
      </c>
      <c r="M1784" s="38">
        <f>COUNTIF(퀘스트!B:B,표1[[#This Row],[명칭]])</f>
        <v>0</v>
      </c>
      <c r="N1784" s="65">
        <f>COUNTIF([1]VillageDiscoveryGroup!$C:$C,표1[[#This Row],[명칭]])</f>
        <v>0</v>
      </c>
      <c r="O1784" s="65">
        <f>SUM(표1[[#This Row],[해양탐색]:[마을탐험]])</f>
        <v>0</v>
      </c>
    </row>
    <row r="1785" spans="2:15" ht="13.5" customHeight="1" x14ac:dyDescent="0.3">
      <c r="B1785" s="9">
        <f>[1]Discovery!A1791</f>
        <v>70412366</v>
      </c>
      <c r="C1785" s="9" t="str">
        <f>[1]Discovery!B1791</f>
        <v>에조</v>
      </c>
      <c r="D1785" s="9" t="str">
        <f>[1]Discovery!E1791</f>
        <v>건축</v>
      </c>
      <c r="E1785" s="9" t="str">
        <f>[1]Discovery!C1791</f>
        <v>항구</v>
      </c>
      <c r="F1785" s="9" t="str">
        <f>[1]Discovery!G1791</f>
        <v>D</v>
      </c>
      <c r="G1785" s="9" t="str">
        <f>IFERROR(VLOOKUP(표1[[#This Row],[명칭]],'문화권 정리'!C:D,2,FALSE),"-")</f>
        <v>항구</v>
      </c>
      <c r="H1785" s="38" t="str">
        <f>IFERROR(COUNTIF([2]OceanDoodad!$Y:$Y,표1[[#This Row],[명칭]]),"-")</f>
        <v>-</v>
      </c>
      <c r="I1785" s="38">
        <f>IFERROR(COUNTIF([1]AdventureDiscoveryGroup!$D$8:$AW$92,표1[[#This Row],[명칭]]),"-")</f>
        <v>0</v>
      </c>
      <c r="J1785" s="38">
        <f>IFERROR(COUNTIF([1]FishDiscoveryGroup!$A:$X,표1[[#This Row],[명칭]]),"-")</f>
        <v>0</v>
      </c>
      <c r="K1785" s="38" t="str">
        <f>IFERROR(COUNTIF([2]Town!$B:$B,표1[[#This Row],[명칭]]),"-")</f>
        <v>-</v>
      </c>
      <c r="L1785" s="38">
        <f>IFERROR(COUNTIF([1]Village!$BR:$BR,표1[[#This Row],[명칭]]),"-")</f>
        <v>0</v>
      </c>
      <c r="M1785" s="38">
        <f>COUNTIF(퀘스트!B:B,표1[[#This Row],[명칭]])</f>
        <v>0</v>
      </c>
      <c r="N1785" s="65">
        <f>COUNTIF([1]VillageDiscoveryGroup!$C:$C,표1[[#This Row],[명칭]])</f>
        <v>0</v>
      </c>
      <c r="O1785" s="65">
        <f>SUM(표1[[#This Row],[해양탐색]:[마을탐험]])</f>
        <v>0</v>
      </c>
    </row>
    <row r="1786" spans="2:15" ht="13.5" customHeight="1" x14ac:dyDescent="0.3">
      <c r="B1786" s="9">
        <f>[1]Discovery!A1792</f>
        <v>70413000</v>
      </c>
      <c r="C1786" s="9" t="str">
        <f>[1]Discovery!B1792</f>
        <v>가스페반도</v>
      </c>
      <c r="D1786" s="9" t="str">
        <f>[1]Discovery!E1792</f>
        <v>자연</v>
      </c>
      <c r="E1786" s="9" t="str">
        <f>[1]Discovery!C1792</f>
        <v>지리</v>
      </c>
      <c r="F1786" s="9" t="str">
        <f>[1]Discovery!G1792</f>
        <v>B</v>
      </c>
      <c r="G1786" s="9" t="str">
        <f>IFERROR(VLOOKUP(표1[[#This Row],[명칭]],'문화권 정리'!C:D,2,FALSE),"-")</f>
        <v>북아메리카</v>
      </c>
      <c r="H1786" s="38" t="str">
        <f>IFERROR(COUNTIF([2]OceanDoodad!$Y:$Y,표1[[#This Row],[명칭]]),"-")</f>
        <v>-</v>
      </c>
      <c r="I1786" s="38">
        <f>IFERROR(COUNTIF([1]AdventureDiscoveryGroup!$D$8:$AW$92,표1[[#This Row],[명칭]]),"-")</f>
        <v>0</v>
      </c>
      <c r="J1786" s="38">
        <f>IFERROR(COUNTIF([1]FishDiscoveryGroup!$A:$X,표1[[#This Row],[명칭]]),"-")</f>
        <v>0</v>
      </c>
      <c r="K1786" s="38" t="str">
        <f>IFERROR(COUNTIF([2]Town!$B:$B,표1[[#This Row],[명칭]]),"-")</f>
        <v>-</v>
      </c>
      <c r="L1786" s="38">
        <f>IFERROR(COUNTIF([1]Village!$BR:$BR,표1[[#This Row],[명칭]]),"-")</f>
        <v>0</v>
      </c>
      <c r="M1786" s="38">
        <f>COUNTIF(퀘스트!B:B,표1[[#This Row],[명칭]])</f>
        <v>0</v>
      </c>
      <c r="N1786" s="65">
        <f>COUNTIF([1]VillageDiscoveryGroup!$C:$C,표1[[#This Row],[명칭]])</f>
        <v>0</v>
      </c>
      <c r="O1786" s="65">
        <f>SUM(표1[[#This Row],[해양탐색]:[마을탐험]])</f>
        <v>0</v>
      </c>
    </row>
    <row r="1787" spans="2:15" ht="13.5" customHeight="1" x14ac:dyDescent="0.3">
      <c r="B1787" s="9">
        <f>[1]Discovery!A1793</f>
        <v>70413001</v>
      </c>
      <c r="C1787" s="9" t="str">
        <f>[1]Discovery!B1793</f>
        <v>가이나스곶</v>
      </c>
      <c r="D1787" s="9" t="str">
        <f>[1]Discovery!E1793</f>
        <v>자연</v>
      </c>
      <c r="E1787" s="9" t="str">
        <f>[1]Discovery!C1793</f>
        <v>지리</v>
      </c>
      <c r="F1787" s="9" t="str">
        <f>[1]Discovery!G1793</f>
        <v>B</v>
      </c>
      <c r="G1787" s="9" t="str">
        <f>IFERROR(VLOOKUP(표1[[#This Row],[명칭]],'문화권 정리'!C:D,2,FALSE),"-")</f>
        <v>남아메리카</v>
      </c>
      <c r="H1787" s="38" t="str">
        <f>IFERROR(COUNTIF([2]OceanDoodad!$Y:$Y,표1[[#This Row],[명칭]]),"-")</f>
        <v>-</v>
      </c>
      <c r="I1787" s="38">
        <f>IFERROR(COUNTIF([1]AdventureDiscoveryGroup!$D$8:$AW$92,표1[[#This Row],[명칭]]),"-")</f>
        <v>0</v>
      </c>
      <c r="J1787" s="38">
        <f>IFERROR(COUNTIF([1]FishDiscoveryGroup!$A:$X,표1[[#This Row],[명칭]]),"-")</f>
        <v>0</v>
      </c>
      <c r="K1787" s="38" t="str">
        <f>IFERROR(COUNTIF([2]Town!$B:$B,표1[[#This Row],[명칭]]),"-")</f>
        <v>-</v>
      </c>
      <c r="L1787" s="38">
        <f>IFERROR(COUNTIF([1]Village!$BR:$BR,표1[[#This Row],[명칭]]),"-")</f>
        <v>0</v>
      </c>
      <c r="M1787" s="38">
        <f>COUNTIF(퀘스트!B:B,표1[[#This Row],[명칭]])</f>
        <v>0</v>
      </c>
      <c r="N1787" s="65">
        <f>COUNTIF([1]VillageDiscoveryGroup!$C:$C,표1[[#This Row],[명칭]])</f>
        <v>0</v>
      </c>
      <c r="O1787" s="65">
        <f>SUM(표1[[#This Row],[해양탐색]:[마을탐험]])</f>
        <v>0</v>
      </c>
    </row>
    <row r="1788" spans="2:15" ht="13.5" customHeight="1" x14ac:dyDescent="0.3">
      <c r="B1788" s="9">
        <f>[1]Discovery!A1794</f>
        <v>70413002</v>
      </c>
      <c r="C1788" s="9" t="str">
        <f>[1]Discovery!B1794</f>
        <v>갈라파고스제도</v>
      </c>
      <c r="D1788" s="9" t="str">
        <f>[1]Discovery!E1794</f>
        <v>자연</v>
      </c>
      <c r="E1788" s="9" t="str">
        <f>[1]Discovery!C1794</f>
        <v>지리</v>
      </c>
      <c r="F1788" s="9" t="str">
        <f>[1]Discovery!G1794</f>
        <v>S</v>
      </c>
      <c r="G1788" s="9" t="str">
        <f>IFERROR(VLOOKUP(표1[[#This Row],[명칭]],'문화권 정리'!C:D,2,FALSE),"-")</f>
        <v>남아메리카</v>
      </c>
      <c r="H1788" s="38" t="str">
        <f>IFERROR(COUNTIF([2]OceanDoodad!$Y:$Y,표1[[#This Row],[명칭]]),"-")</f>
        <v>-</v>
      </c>
      <c r="I1788" s="38">
        <f>IFERROR(COUNTIF([1]AdventureDiscoveryGroup!$D$8:$AW$92,표1[[#This Row],[명칭]]),"-")</f>
        <v>0</v>
      </c>
      <c r="J1788" s="38">
        <f>IFERROR(COUNTIF([1]FishDiscoveryGroup!$A:$X,표1[[#This Row],[명칭]]),"-")</f>
        <v>0</v>
      </c>
      <c r="K1788" s="38" t="str">
        <f>IFERROR(COUNTIF([2]Town!$B:$B,표1[[#This Row],[명칭]]),"-")</f>
        <v>-</v>
      </c>
      <c r="L1788" s="38">
        <f>IFERROR(COUNTIF([1]Village!$BR:$BR,표1[[#This Row],[명칭]]),"-")</f>
        <v>0</v>
      </c>
      <c r="M1788" s="38">
        <f>COUNTIF(퀘스트!B:B,표1[[#This Row],[명칭]])</f>
        <v>1</v>
      </c>
      <c r="N1788" s="65">
        <f>COUNTIF([1]VillageDiscoveryGroup!$C:$C,표1[[#This Row],[명칭]])</f>
        <v>0</v>
      </c>
      <c r="O1788" s="65">
        <f>SUM(표1[[#This Row],[해양탐색]:[마을탐험]])</f>
        <v>1</v>
      </c>
    </row>
    <row r="1789" spans="2:15" ht="13.5" customHeight="1" x14ac:dyDescent="0.3">
      <c r="B1789" s="9">
        <f>[1]Discovery!A1795</f>
        <v>70413003</v>
      </c>
      <c r="C1789" s="9" t="str">
        <f>[1]Discovery!B1795</f>
        <v>갠지스강</v>
      </c>
      <c r="D1789" s="9" t="str">
        <f>[1]Discovery!E1795</f>
        <v>자연</v>
      </c>
      <c r="E1789" s="9" t="str">
        <f>[1]Discovery!C1795</f>
        <v>지리</v>
      </c>
      <c r="F1789" s="9" t="str">
        <f>[1]Discovery!G1795</f>
        <v>S</v>
      </c>
      <c r="G1789" s="9" t="str">
        <f>IFERROR(VLOOKUP(표1[[#This Row],[명칭]],'문화권 정리'!C:D,2,FALSE),"-")</f>
        <v>남아시아</v>
      </c>
      <c r="H1789" s="38" t="str">
        <f>IFERROR(COUNTIF([2]OceanDoodad!$Y:$Y,표1[[#This Row],[명칭]]),"-")</f>
        <v>-</v>
      </c>
      <c r="I1789" s="38">
        <f>IFERROR(COUNTIF([1]AdventureDiscoveryGroup!$D$8:$AW$92,표1[[#This Row],[명칭]]),"-")</f>
        <v>0</v>
      </c>
      <c r="J1789" s="38">
        <f>IFERROR(COUNTIF([1]FishDiscoveryGroup!$A:$X,표1[[#This Row],[명칭]]),"-")</f>
        <v>0</v>
      </c>
      <c r="K1789" s="38" t="str">
        <f>IFERROR(COUNTIF([2]Town!$B:$B,표1[[#This Row],[명칭]]),"-")</f>
        <v>-</v>
      </c>
      <c r="L1789" s="38">
        <f>IFERROR(COUNTIF([1]Village!$BR:$BR,표1[[#This Row],[명칭]]),"-")</f>
        <v>0</v>
      </c>
      <c r="M1789" s="38">
        <f>COUNTIF(퀘스트!B:B,표1[[#This Row],[명칭]])</f>
        <v>1</v>
      </c>
      <c r="N1789" s="65">
        <f>COUNTIF([1]VillageDiscoveryGroup!$C:$C,표1[[#This Row],[명칭]])</f>
        <v>0</v>
      </c>
      <c r="O1789" s="65">
        <f>SUM(표1[[#This Row],[해양탐색]:[마을탐험]])</f>
        <v>1</v>
      </c>
    </row>
    <row r="1790" spans="2:15" ht="13.5" customHeight="1" x14ac:dyDescent="0.3">
      <c r="B1790" s="9">
        <f>[1]Discovery!A1796</f>
        <v>70413004</v>
      </c>
      <c r="C1790" s="9" t="str">
        <f>[1]Discovery!B1796</f>
        <v>계단밭</v>
      </c>
      <c r="D1790" s="9" t="str">
        <f>[1]Discovery!E1796</f>
        <v>자연</v>
      </c>
      <c r="E1790" s="9" t="str">
        <f>[1]Discovery!C1796</f>
        <v>지리</v>
      </c>
      <c r="F1790" s="9" t="str">
        <f>[1]Discovery!G1796</f>
        <v>B</v>
      </c>
      <c r="G1790" s="9" t="str">
        <f>IFERROR(VLOOKUP(표1[[#This Row],[명칭]],'문화권 정리'!C:D,2,FALSE),"-")</f>
        <v>동아시아</v>
      </c>
      <c r="H1790" s="38" t="str">
        <f>IFERROR(COUNTIF([2]OceanDoodad!$Y:$Y,표1[[#This Row],[명칭]]),"-")</f>
        <v>-</v>
      </c>
      <c r="I1790" s="38">
        <f>IFERROR(COUNTIF([1]AdventureDiscoveryGroup!$D$8:$AW$92,표1[[#This Row],[명칭]]),"-")</f>
        <v>0</v>
      </c>
      <c r="J1790" s="38">
        <f>IFERROR(COUNTIF([1]FishDiscoveryGroup!$A:$X,표1[[#This Row],[명칭]]),"-")</f>
        <v>0</v>
      </c>
      <c r="K1790" s="38" t="str">
        <f>IFERROR(COUNTIF([2]Town!$B:$B,표1[[#This Row],[명칭]]),"-")</f>
        <v>-</v>
      </c>
      <c r="L1790" s="38">
        <f>IFERROR(COUNTIF([1]Village!$BR:$BR,표1[[#This Row],[명칭]]),"-")</f>
        <v>0</v>
      </c>
      <c r="M1790" s="38">
        <f>COUNTIF(퀘스트!B:B,표1[[#This Row],[명칭]])</f>
        <v>0</v>
      </c>
      <c r="N1790" s="65">
        <f>COUNTIF([1]VillageDiscoveryGroup!$C:$C,표1[[#This Row],[명칭]])</f>
        <v>0</v>
      </c>
      <c r="O1790" s="65">
        <f>SUM(표1[[#This Row],[해양탐색]:[마을탐험]])</f>
        <v>0</v>
      </c>
    </row>
    <row r="1791" spans="2:15" ht="13.5" customHeight="1" x14ac:dyDescent="0.3">
      <c r="B1791" s="9">
        <f>[1]Discovery!A1797</f>
        <v>70413005</v>
      </c>
      <c r="C1791" s="9" t="str">
        <f>[1]Discovery!B1797</f>
        <v>고비사막</v>
      </c>
      <c r="D1791" s="9" t="str">
        <f>[1]Discovery!E1797</f>
        <v>자연</v>
      </c>
      <c r="E1791" s="9" t="str">
        <f>[1]Discovery!C1797</f>
        <v>지리</v>
      </c>
      <c r="F1791" s="9" t="str">
        <f>[1]Discovery!G1797</f>
        <v>A</v>
      </c>
      <c r="G1791" s="9" t="str">
        <f>IFERROR(VLOOKUP(표1[[#This Row],[명칭]],'문화권 정리'!C:D,2,FALSE),"-")</f>
        <v>동아시아</v>
      </c>
      <c r="H1791" s="38" t="str">
        <f>IFERROR(COUNTIF([2]OceanDoodad!$Y:$Y,표1[[#This Row],[명칭]]),"-")</f>
        <v>-</v>
      </c>
      <c r="I1791" s="38">
        <f>IFERROR(COUNTIF([1]AdventureDiscoveryGroup!$D$8:$AW$92,표1[[#This Row],[명칭]]),"-")</f>
        <v>0</v>
      </c>
      <c r="J1791" s="38">
        <f>IFERROR(COUNTIF([1]FishDiscoveryGroup!$A:$X,표1[[#This Row],[명칭]]),"-")</f>
        <v>0</v>
      </c>
      <c r="K1791" s="38" t="str">
        <f>IFERROR(COUNTIF([2]Town!$B:$B,표1[[#This Row],[명칭]]),"-")</f>
        <v>-</v>
      </c>
      <c r="L1791" s="38">
        <f>IFERROR(COUNTIF([1]Village!$BR:$BR,표1[[#This Row],[명칭]]),"-")</f>
        <v>0</v>
      </c>
      <c r="M1791" s="38">
        <f>COUNTIF(퀘스트!B:B,표1[[#This Row],[명칭]])</f>
        <v>1</v>
      </c>
      <c r="N1791" s="65">
        <f>COUNTIF([1]VillageDiscoveryGroup!$C:$C,표1[[#This Row],[명칭]])</f>
        <v>0</v>
      </c>
      <c r="O1791" s="65">
        <f>SUM(표1[[#This Row],[해양탐색]:[마을탐험]])</f>
        <v>1</v>
      </c>
    </row>
    <row r="1792" spans="2:15" ht="13.5" customHeight="1" x14ac:dyDescent="0.3">
      <c r="B1792" s="9">
        <f>[1]Discovery!A1798</f>
        <v>70413006</v>
      </c>
      <c r="C1792" s="9" t="str">
        <f>[1]Discovery!B1798</f>
        <v>고야산</v>
      </c>
      <c r="D1792" s="9" t="str">
        <f>[1]Discovery!E1798</f>
        <v>자연</v>
      </c>
      <c r="E1792" s="9" t="str">
        <f>[1]Discovery!C1798</f>
        <v>지리</v>
      </c>
      <c r="F1792" s="9" t="str">
        <f>[1]Discovery!G1798</f>
        <v>A</v>
      </c>
      <c r="G1792" s="9" t="str">
        <f>IFERROR(VLOOKUP(표1[[#This Row],[명칭]],'문화권 정리'!C:D,2,FALSE),"-")</f>
        <v>동아시아</v>
      </c>
      <c r="H1792" s="38" t="str">
        <f>IFERROR(COUNTIF([2]OceanDoodad!$Y:$Y,표1[[#This Row],[명칭]]),"-")</f>
        <v>-</v>
      </c>
      <c r="I1792" s="38">
        <f>IFERROR(COUNTIF([1]AdventureDiscoveryGroup!$D$8:$AW$92,표1[[#This Row],[명칭]]),"-")</f>
        <v>0</v>
      </c>
      <c r="J1792" s="38">
        <f>IFERROR(COUNTIF([1]FishDiscoveryGroup!$A:$X,표1[[#This Row],[명칭]]),"-")</f>
        <v>0</v>
      </c>
      <c r="K1792" s="38" t="str">
        <f>IFERROR(COUNTIF([2]Town!$B:$B,표1[[#This Row],[명칭]]),"-")</f>
        <v>-</v>
      </c>
      <c r="L1792" s="38">
        <f>IFERROR(COUNTIF([1]Village!$BR:$BR,표1[[#This Row],[명칭]]),"-")</f>
        <v>0</v>
      </c>
      <c r="M1792" s="38">
        <f>COUNTIF(퀘스트!B:B,표1[[#This Row],[명칭]])</f>
        <v>0</v>
      </c>
      <c r="N1792" s="65">
        <f>COUNTIF([1]VillageDiscoveryGroup!$C:$C,표1[[#This Row],[명칭]])</f>
        <v>0</v>
      </c>
      <c r="O1792" s="65">
        <f>SUM(표1[[#This Row],[해양탐색]:[마을탐험]])</f>
        <v>0</v>
      </c>
    </row>
    <row r="1793" spans="2:15" ht="13.5" customHeight="1" x14ac:dyDescent="0.3">
      <c r="B1793" s="9">
        <f>[1]Discovery!A1799</f>
        <v>70413007</v>
      </c>
      <c r="C1793" s="9" t="str">
        <f>[1]Discovery!B1799</f>
        <v>고틀란드섬</v>
      </c>
      <c r="D1793" s="9" t="str">
        <f>[1]Discovery!E1799</f>
        <v>자연</v>
      </c>
      <c r="E1793" s="9" t="str">
        <f>[1]Discovery!C1799</f>
        <v>지리</v>
      </c>
      <c r="F1793" s="9" t="str">
        <f>[1]Discovery!G1799</f>
        <v>A</v>
      </c>
      <c r="G1793" s="9" t="str">
        <f>IFERROR(VLOOKUP(표1[[#This Row],[명칭]],'문화권 정리'!C:D,2,FALSE),"-")</f>
        <v>북유럽</v>
      </c>
      <c r="H1793" s="38" t="str">
        <f>IFERROR(COUNTIF([2]OceanDoodad!$Y:$Y,표1[[#This Row],[명칭]]),"-")</f>
        <v>-</v>
      </c>
      <c r="I1793" s="38">
        <f>IFERROR(COUNTIF([1]AdventureDiscoveryGroup!$D$8:$AW$92,표1[[#This Row],[명칭]]),"-")</f>
        <v>0</v>
      </c>
      <c r="J1793" s="38">
        <f>IFERROR(COUNTIF([1]FishDiscoveryGroup!$A:$X,표1[[#This Row],[명칭]]),"-")</f>
        <v>0</v>
      </c>
      <c r="K1793" s="38" t="str">
        <f>IFERROR(COUNTIF([2]Town!$B:$B,표1[[#This Row],[명칭]]),"-")</f>
        <v>-</v>
      </c>
      <c r="L1793" s="38">
        <f>IFERROR(COUNTIF([1]Village!$BR:$BR,표1[[#This Row],[명칭]]),"-")</f>
        <v>0</v>
      </c>
      <c r="M1793" s="38">
        <f>COUNTIF(퀘스트!B:B,표1[[#This Row],[명칭]])</f>
        <v>0</v>
      </c>
      <c r="N1793" s="65">
        <f>COUNTIF([1]VillageDiscoveryGroup!$C:$C,표1[[#This Row],[명칭]])</f>
        <v>0</v>
      </c>
      <c r="O1793" s="65">
        <f>SUM(표1[[#This Row],[해양탐색]:[마을탐험]])</f>
        <v>0</v>
      </c>
    </row>
    <row r="1794" spans="2:15" ht="13.5" customHeight="1" x14ac:dyDescent="0.3">
      <c r="B1794" s="9">
        <f>[1]Discovery!A1800</f>
        <v>70413008</v>
      </c>
      <c r="C1794" s="9" t="str">
        <f>[1]Discovery!B1800</f>
        <v>과야킬만</v>
      </c>
      <c r="D1794" s="9" t="str">
        <f>[1]Discovery!E1800</f>
        <v>자연</v>
      </c>
      <c r="E1794" s="9" t="str">
        <f>[1]Discovery!C1800</f>
        <v>지리</v>
      </c>
      <c r="F1794" s="9" t="str">
        <f>[1]Discovery!G1800</f>
        <v>B</v>
      </c>
      <c r="G1794" s="9" t="str">
        <f>IFERROR(VLOOKUP(표1[[#This Row],[명칭]],'문화권 정리'!C:D,2,FALSE),"-")</f>
        <v>남아메리카</v>
      </c>
      <c r="H1794" s="38" t="str">
        <f>IFERROR(COUNTIF([2]OceanDoodad!$Y:$Y,표1[[#This Row],[명칭]]),"-")</f>
        <v>-</v>
      </c>
      <c r="I1794" s="38">
        <f>IFERROR(COUNTIF([1]AdventureDiscoveryGroup!$D$8:$AW$92,표1[[#This Row],[명칭]]),"-")</f>
        <v>0</v>
      </c>
      <c r="J1794" s="38">
        <f>IFERROR(COUNTIF([1]FishDiscoveryGroup!$A:$X,표1[[#This Row],[명칭]]),"-")</f>
        <v>0</v>
      </c>
      <c r="K1794" s="38" t="str">
        <f>IFERROR(COUNTIF([2]Town!$B:$B,표1[[#This Row],[명칭]]),"-")</f>
        <v>-</v>
      </c>
      <c r="L1794" s="38">
        <f>IFERROR(COUNTIF([1]Village!$BR:$BR,표1[[#This Row],[명칭]]),"-")</f>
        <v>0</v>
      </c>
      <c r="M1794" s="38">
        <f>COUNTIF(퀘스트!B:B,표1[[#This Row],[명칭]])</f>
        <v>0</v>
      </c>
      <c r="N1794" s="65">
        <f>COUNTIF([1]VillageDiscoveryGroup!$C:$C,표1[[#This Row],[명칭]])</f>
        <v>0</v>
      </c>
      <c r="O1794" s="65">
        <f>SUM(표1[[#This Row],[해양탐색]:[마을탐험]])</f>
        <v>0</v>
      </c>
    </row>
    <row r="1795" spans="2:15" ht="13.5" customHeight="1" x14ac:dyDescent="0.3">
      <c r="B1795" s="9">
        <f>[1]Discovery!A1801</f>
        <v>70413009</v>
      </c>
      <c r="C1795" s="9" t="str">
        <f>[1]Discovery!B1801</f>
        <v>괌섬</v>
      </c>
      <c r="D1795" s="9" t="str">
        <f>[1]Discovery!E1801</f>
        <v>자연</v>
      </c>
      <c r="E1795" s="9" t="str">
        <f>[1]Discovery!C1801</f>
        <v>지리</v>
      </c>
      <c r="F1795" s="9" t="str">
        <f>[1]Discovery!G1801</f>
        <v>C</v>
      </c>
      <c r="G1795" s="9" t="str">
        <f>IFERROR(VLOOKUP(표1[[#This Row],[명칭]],'문화권 정리'!C:D,2,FALSE),"-")</f>
        <v>태평양</v>
      </c>
      <c r="H1795" s="38" t="str">
        <f>IFERROR(COUNTIF([2]OceanDoodad!$Y:$Y,표1[[#This Row],[명칭]]),"-")</f>
        <v>-</v>
      </c>
      <c r="I1795" s="38">
        <f>IFERROR(COUNTIF([1]AdventureDiscoveryGroup!$D$8:$AW$92,표1[[#This Row],[명칭]]),"-")</f>
        <v>0</v>
      </c>
      <c r="J1795" s="38">
        <f>IFERROR(COUNTIF([1]FishDiscoveryGroup!$A:$X,표1[[#This Row],[명칭]]),"-")</f>
        <v>0</v>
      </c>
      <c r="K1795" s="38" t="str">
        <f>IFERROR(COUNTIF([2]Town!$B:$B,표1[[#This Row],[명칭]]),"-")</f>
        <v>-</v>
      </c>
      <c r="L1795" s="38">
        <f>IFERROR(COUNTIF([1]Village!$BR:$BR,표1[[#This Row],[명칭]]),"-")</f>
        <v>0</v>
      </c>
      <c r="M1795" s="38">
        <f>COUNTIF(퀘스트!B:B,표1[[#This Row],[명칭]])</f>
        <v>0</v>
      </c>
      <c r="N1795" s="65">
        <f>COUNTIF([1]VillageDiscoveryGroup!$C:$C,표1[[#This Row],[명칭]])</f>
        <v>0</v>
      </c>
      <c r="O1795" s="65">
        <f>SUM(표1[[#This Row],[해양탐색]:[마을탐험]])</f>
        <v>0</v>
      </c>
    </row>
    <row r="1796" spans="2:15" ht="13.5" customHeight="1" x14ac:dyDescent="0.3">
      <c r="B1796" s="9">
        <f>[1]Discovery!A1802</f>
        <v>70413010</v>
      </c>
      <c r="C1796" s="9" t="str">
        <f>[1]Discovery!B1802</f>
        <v>구룡폭포</v>
      </c>
      <c r="D1796" s="9" t="str">
        <f>[1]Discovery!E1802</f>
        <v>자연</v>
      </c>
      <c r="E1796" s="9" t="str">
        <f>[1]Discovery!C1802</f>
        <v>지리</v>
      </c>
      <c r="F1796" s="9" t="str">
        <f>[1]Discovery!G1802</f>
        <v>B</v>
      </c>
      <c r="G1796" s="9" t="str">
        <f>IFERROR(VLOOKUP(표1[[#This Row],[명칭]],'문화권 정리'!C:D,2,FALSE),"-")</f>
        <v>동아시아</v>
      </c>
      <c r="H1796" s="38" t="str">
        <f>IFERROR(COUNTIF([2]OceanDoodad!$Y:$Y,표1[[#This Row],[명칭]]),"-")</f>
        <v>-</v>
      </c>
      <c r="I1796" s="38">
        <f>IFERROR(COUNTIF([1]AdventureDiscoveryGroup!$D$8:$AW$92,표1[[#This Row],[명칭]]),"-")</f>
        <v>0</v>
      </c>
      <c r="J1796" s="38">
        <f>IFERROR(COUNTIF([1]FishDiscoveryGroup!$A:$X,표1[[#This Row],[명칭]]),"-")</f>
        <v>0</v>
      </c>
      <c r="K1796" s="38" t="str">
        <f>IFERROR(COUNTIF([2]Town!$B:$B,표1[[#This Row],[명칭]]),"-")</f>
        <v>-</v>
      </c>
      <c r="L1796" s="38">
        <f>IFERROR(COUNTIF([1]Village!$BR:$BR,표1[[#This Row],[명칭]]),"-")</f>
        <v>0</v>
      </c>
      <c r="M1796" s="38">
        <f>COUNTIF(퀘스트!B:B,표1[[#This Row],[명칭]])</f>
        <v>0</v>
      </c>
      <c r="N1796" s="65">
        <f>COUNTIF([1]VillageDiscoveryGroup!$C:$C,표1[[#This Row],[명칭]])</f>
        <v>0</v>
      </c>
      <c r="O1796" s="65">
        <f>SUM(표1[[#This Row],[해양탐색]:[마을탐험]])</f>
        <v>0</v>
      </c>
    </row>
    <row r="1797" spans="2:15" ht="13.5" customHeight="1" x14ac:dyDescent="0.3">
      <c r="B1797" s="9">
        <f>[1]Discovery!A1803</f>
        <v>70413011</v>
      </c>
      <c r="C1797" s="9" t="str">
        <f>[1]Discovery!B1803</f>
        <v>구주쿠리하마</v>
      </c>
      <c r="D1797" s="9" t="str">
        <f>[1]Discovery!E1803</f>
        <v>자연</v>
      </c>
      <c r="E1797" s="9" t="str">
        <f>[1]Discovery!C1803</f>
        <v>지리</v>
      </c>
      <c r="F1797" s="9" t="str">
        <f>[1]Discovery!G1803</f>
        <v>C</v>
      </c>
      <c r="G1797" s="9" t="str">
        <f>IFERROR(VLOOKUP(표1[[#This Row],[명칭]],'문화권 정리'!C:D,2,FALSE),"-")</f>
        <v>동아시아</v>
      </c>
      <c r="H1797" s="38" t="str">
        <f>IFERROR(COUNTIF([2]OceanDoodad!$Y:$Y,표1[[#This Row],[명칭]]),"-")</f>
        <v>-</v>
      </c>
      <c r="I1797" s="38">
        <f>IFERROR(COUNTIF([1]AdventureDiscoveryGroup!$D$8:$AW$92,표1[[#This Row],[명칭]]),"-")</f>
        <v>0</v>
      </c>
      <c r="J1797" s="38">
        <f>IFERROR(COUNTIF([1]FishDiscoveryGroup!$A:$X,표1[[#This Row],[명칭]]),"-")</f>
        <v>0</v>
      </c>
      <c r="K1797" s="38" t="str">
        <f>IFERROR(COUNTIF([2]Town!$B:$B,표1[[#This Row],[명칭]]),"-")</f>
        <v>-</v>
      </c>
      <c r="L1797" s="38">
        <f>IFERROR(COUNTIF([1]Village!$BR:$BR,표1[[#This Row],[명칭]]),"-")</f>
        <v>0</v>
      </c>
      <c r="M1797" s="38">
        <f>COUNTIF(퀘스트!B:B,표1[[#This Row],[명칭]])</f>
        <v>0</v>
      </c>
      <c r="N1797" s="65">
        <f>COUNTIF([1]VillageDiscoveryGroup!$C:$C,표1[[#This Row],[명칭]])</f>
        <v>0</v>
      </c>
      <c r="O1797" s="65">
        <f>SUM(표1[[#This Row],[해양탐색]:[마을탐험]])</f>
        <v>0</v>
      </c>
    </row>
    <row r="1798" spans="2:15" ht="13.5" customHeight="1" x14ac:dyDescent="0.3">
      <c r="B1798" s="9">
        <f>[1]Discovery!A1804</f>
        <v>70413012</v>
      </c>
      <c r="C1798" s="9" t="str">
        <f>[1]Discovery!B1804</f>
        <v>그랜드 뱅크스</v>
      </c>
      <c r="D1798" s="9" t="str">
        <f>[1]Discovery!E1804</f>
        <v>자연</v>
      </c>
      <c r="E1798" s="9" t="str">
        <f>[1]Discovery!C1804</f>
        <v>지리</v>
      </c>
      <c r="F1798" s="9" t="str">
        <f>[1]Discovery!G1804</f>
        <v>B</v>
      </c>
      <c r="G1798" s="9" t="str">
        <f>IFERROR(VLOOKUP(표1[[#This Row],[명칭]],'문화권 정리'!C:D,2,FALSE),"-")</f>
        <v>북아메리카</v>
      </c>
      <c r="H1798" s="38" t="str">
        <f>IFERROR(COUNTIF([2]OceanDoodad!$Y:$Y,표1[[#This Row],[명칭]]),"-")</f>
        <v>-</v>
      </c>
      <c r="I1798" s="38">
        <f>IFERROR(COUNTIF([1]AdventureDiscoveryGroup!$D$8:$AW$92,표1[[#This Row],[명칭]]),"-")</f>
        <v>0</v>
      </c>
      <c r="J1798" s="38">
        <f>IFERROR(COUNTIF([1]FishDiscoveryGroup!$A:$X,표1[[#This Row],[명칭]]),"-")</f>
        <v>0</v>
      </c>
      <c r="K1798" s="38" t="str">
        <f>IFERROR(COUNTIF([2]Town!$B:$B,표1[[#This Row],[명칭]]),"-")</f>
        <v>-</v>
      </c>
      <c r="L1798" s="38">
        <f>IFERROR(COUNTIF([1]Village!$BR:$BR,표1[[#This Row],[명칭]]),"-")</f>
        <v>0</v>
      </c>
      <c r="M1798" s="38">
        <f>COUNTIF(퀘스트!B:B,표1[[#This Row],[명칭]])</f>
        <v>0</v>
      </c>
      <c r="N1798" s="65">
        <f>COUNTIF([1]VillageDiscoveryGroup!$C:$C,표1[[#This Row],[명칭]])</f>
        <v>0</v>
      </c>
      <c r="O1798" s="65">
        <f>SUM(표1[[#This Row],[해양탐색]:[마을탐험]])</f>
        <v>0</v>
      </c>
    </row>
    <row r="1799" spans="2:15" ht="13.5" customHeight="1" x14ac:dyDescent="0.3">
      <c r="B1799" s="9">
        <f>[1]Discovery!A1805</f>
        <v>70413013</v>
      </c>
      <c r="C1799" s="9" t="str">
        <f>[1]Discovery!B1805</f>
        <v>그레이트 블루홀</v>
      </c>
      <c r="D1799" s="9" t="str">
        <f>[1]Discovery!E1805</f>
        <v>자연</v>
      </c>
      <c r="E1799" s="9" t="str">
        <f>[1]Discovery!C1805</f>
        <v>지리</v>
      </c>
      <c r="F1799" s="9" t="str">
        <f>[1]Discovery!G1805</f>
        <v>A</v>
      </c>
      <c r="G1799" s="9" t="str">
        <f>IFERROR(VLOOKUP(표1[[#This Row],[명칭]],'문화권 정리'!C:D,2,FALSE),"-")</f>
        <v>중앙아메리카</v>
      </c>
      <c r="H1799" s="38" t="str">
        <f>IFERROR(COUNTIF([2]OceanDoodad!$Y:$Y,표1[[#This Row],[명칭]]),"-")</f>
        <v>-</v>
      </c>
      <c r="I1799" s="38">
        <f>IFERROR(COUNTIF([1]AdventureDiscoveryGroup!$D$8:$AW$92,표1[[#This Row],[명칭]]),"-")</f>
        <v>0</v>
      </c>
      <c r="J1799" s="38">
        <f>IFERROR(COUNTIF([1]FishDiscoveryGroup!$A:$X,표1[[#This Row],[명칭]]),"-")</f>
        <v>0</v>
      </c>
      <c r="K1799" s="38" t="str">
        <f>IFERROR(COUNTIF([2]Town!$B:$B,표1[[#This Row],[명칭]]),"-")</f>
        <v>-</v>
      </c>
      <c r="L1799" s="38">
        <f>IFERROR(COUNTIF([1]Village!$BR:$BR,표1[[#This Row],[명칭]]),"-")</f>
        <v>0</v>
      </c>
      <c r="M1799" s="38">
        <f>COUNTIF(퀘스트!B:B,표1[[#This Row],[명칭]])</f>
        <v>0</v>
      </c>
      <c r="N1799" s="65">
        <f>COUNTIF([1]VillageDiscoveryGroup!$C:$C,표1[[#This Row],[명칭]])</f>
        <v>0</v>
      </c>
      <c r="O1799" s="65">
        <f>SUM(표1[[#This Row],[해양탐색]:[마을탐험]])</f>
        <v>0</v>
      </c>
    </row>
    <row r="1800" spans="2:15" ht="13.5" customHeight="1" x14ac:dyDescent="0.3">
      <c r="B1800" s="9">
        <f>[1]Discovery!A1806</f>
        <v>70413014</v>
      </c>
      <c r="C1800" s="9" t="str">
        <f>[1]Discovery!B1806</f>
        <v>그레이트샌디 사막</v>
      </c>
      <c r="D1800" s="9" t="str">
        <f>[1]Discovery!E1806</f>
        <v>자연</v>
      </c>
      <c r="E1800" s="9" t="str">
        <f>[1]Discovery!C1806</f>
        <v>지리</v>
      </c>
      <c r="F1800" s="9" t="str">
        <f>[1]Discovery!G1806</f>
        <v>S</v>
      </c>
      <c r="G1800" s="9" t="str">
        <f>IFERROR(VLOOKUP(표1[[#This Row],[명칭]],'문화권 정리'!C:D,2,FALSE),"-")</f>
        <v>오세아니아</v>
      </c>
      <c r="H1800" s="38" t="str">
        <f>IFERROR(COUNTIF([2]OceanDoodad!$Y:$Y,표1[[#This Row],[명칭]]),"-")</f>
        <v>-</v>
      </c>
      <c r="I1800" s="38">
        <f>IFERROR(COUNTIF([1]AdventureDiscoveryGroup!$D$8:$AW$92,표1[[#This Row],[명칭]]),"-")</f>
        <v>0</v>
      </c>
      <c r="J1800" s="38">
        <f>IFERROR(COUNTIF([1]FishDiscoveryGroup!$A:$X,표1[[#This Row],[명칭]]),"-")</f>
        <v>0</v>
      </c>
      <c r="K1800" s="38" t="str">
        <f>IFERROR(COUNTIF([2]Town!$B:$B,표1[[#This Row],[명칭]]),"-")</f>
        <v>-</v>
      </c>
      <c r="L1800" s="38">
        <f>IFERROR(COUNTIF([1]Village!$BR:$BR,표1[[#This Row],[명칭]]),"-")</f>
        <v>0</v>
      </c>
      <c r="M1800" s="38">
        <f>COUNTIF(퀘스트!B:B,표1[[#This Row],[명칭]])</f>
        <v>0</v>
      </c>
      <c r="N1800" s="65">
        <f>COUNTIF([1]VillageDiscoveryGroup!$C:$C,표1[[#This Row],[명칭]])</f>
        <v>0</v>
      </c>
      <c r="O1800" s="65">
        <f>SUM(표1[[#This Row],[해양탐색]:[마을탐험]])</f>
        <v>0</v>
      </c>
    </row>
    <row r="1801" spans="2:15" ht="13.5" customHeight="1" x14ac:dyDescent="0.3">
      <c r="B1801" s="9">
        <f>[1]Discovery!A1807</f>
        <v>70413016</v>
      </c>
      <c r="C1801" s="9" t="str">
        <f>[1]Discovery!B1807</f>
        <v>그레이트 플레인스</v>
      </c>
      <c r="D1801" s="9" t="str">
        <f>[1]Discovery!E1807</f>
        <v>자연</v>
      </c>
      <c r="E1801" s="9" t="str">
        <f>[1]Discovery!C1807</f>
        <v>지리</v>
      </c>
      <c r="F1801" s="9" t="str">
        <f>[1]Discovery!G1807</f>
        <v>A</v>
      </c>
      <c r="G1801" s="9" t="str">
        <f>IFERROR(VLOOKUP(표1[[#This Row],[명칭]],'문화권 정리'!C:D,2,FALSE),"-")</f>
        <v>북아메리카</v>
      </c>
      <c r="H1801" s="38" t="str">
        <f>IFERROR(COUNTIF([2]OceanDoodad!$Y:$Y,표1[[#This Row],[명칭]]),"-")</f>
        <v>-</v>
      </c>
      <c r="I1801" s="38">
        <f>IFERROR(COUNTIF([1]AdventureDiscoveryGroup!$D$8:$AW$92,표1[[#This Row],[명칭]]),"-")</f>
        <v>0</v>
      </c>
      <c r="J1801" s="38">
        <f>IFERROR(COUNTIF([1]FishDiscoveryGroup!$A:$X,표1[[#This Row],[명칭]]),"-")</f>
        <v>0</v>
      </c>
      <c r="K1801" s="38" t="str">
        <f>IFERROR(COUNTIF([2]Town!$B:$B,표1[[#This Row],[명칭]]),"-")</f>
        <v>-</v>
      </c>
      <c r="L1801" s="38">
        <f>IFERROR(COUNTIF([1]Village!$BR:$BR,표1[[#This Row],[명칭]]),"-")</f>
        <v>0</v>
      </c>
      <c r="M1801" s="38">
        <f>COUNTIF(퀘스트!B:B,표1[[#This Row],[명칭]])</f>
        <v>0</v>
      </c>
      <c r="N1801" s="65">
        <f>COUNTIF([1]VillageDiscoveryGroup!$C:$C,표1[[#This Row],[명칭]])</f>
        <v>0</v>
      </c>
      <c r="O1801" s="65">
        <f>SUM(표1[[#This Row],[해양탐색]:[마을탐험]])</f>
        <v>0</v>
      </c>
    </row>
    <row r="1802" spans="2:15" ht="13.5" customHeight="1" x14ac:dyDescent="0.3">
      <c r="B1802" s="9">
        <f>[1]Discovery!A1808</f>
        <v>70413017</v>
      </c>
      <c r="C1802" s="9" t="str">
        <f>[1]Discovery!B1808</f>
        <v>그레이트 피셔 뱅크</v>
      </c>
      <c r="D1802" s="9" t="str">
        <f>[1]Discovery!E1808</f>
        <v>자연</v>
      </c>
      <c r="E1802" s="9" t="str">
        <f>[1]Discovery!C1808</f>
        <v>지리</v>
      </c>
      <c r="F1802" s="9" t="str">
        <f>[1]Discovery!G1808</f>
        <v>B</v>
      </c>
      <c r="G1802" s="9" t="str">
        <f>IFERROR(VLOOKUP(표1[[#This Row],[명칭]],'문화권 정리'!C:D,2,FALSE),"-")</f>
        <v>북유럽</v>
      </c>
      <c r="H1802" s="38" t="str">
        <f>IFERROR(COUNTIF([2]OceanDoodad!$Y:$Y,표1[[#This Row],[명칭]]),"-")</f>
        <v>-</v>
      </c>
      <c r="I1802" s="38">
        <f>IFERROR(COUNTIF([1]AdventureDiscoveryGroup!$D$8:$AW$92,표1[[#This Row],[명칭]]),"-")</f>
        <v>0</v>
      </c>
      <c r="J1802" s="38">
        <f>IFERROR(COUNTIF([1]FishDiscoveryGroup!$A:$X,표1[[#This Row],[명칭]]),"-")</f>
        <v>0</v>
      </c>
      <c r="K1802" s="38" t="str">
        <f>IFERROR(COUNTIF([2]Town!$B:$B,표1[[#This Row],[명칭]]),"-")</f>
        <v>-</v>
      </c>
      <c r="L1802" s="38">
        <f>IFERROR(COUNTIF([1]Village!$BR:$BR,표1[[#This Row],[명칭]]),"-")</f>
        <v>0</v>
      </c>
      <c r="M1802" s="38">
        <f>COUNTIF(퀘스트!B:B,표1[[#This Row],[명칭]])</f>
        <v>0</v>
      </c>
      <c r="N1802" s="65">
        <f>COUNTIF([1]VillageDiscoveryGroup!$C:$C,표1[[#This Row],[명칭]])</f>
        <v>0</v>
      </c>
      <c r="O1802" s="65">
        <f>SUM(표1[[#This Row],[해양탐색]:[마을탐험]])</f>
        <v>0</v>
      </c>
    </row>
    <row r="1803" spans="2:15" ht="13.5" customHeight="1" x14ac:dyDescent="0.3">
      <c r="B1803" s="9">
        <f>[1]Discovery!A1809</f>
        <v>70413018</v>
      </c>
      <c r="C1803" s="9" t="str">
        <f>[1]Discovery!B1809</f>
        <v>그로스몬산</v>
      </c>
      <c r="D1803" s="9" t="str">
        <f>[1]Discovery!E1809</f>
        <v>자연</v>
      </c>
      <c r="E1803" s="9" t="str">
        <f>[1]Discovery!C1809</f>
        <v>지리</v>
      </c>
      <c r="F1803" s="9" t="str">
        <f>[1]Discovery!G1809</f>
        <v>A</v>
      </c>
      <c r="G1803" s="9" t="str">
        <f>IFERROR(VLOOKUP(표1[[#This Row],[명칭]],'문화권 정리'!C:D,2,FALSE),"-")</f>
        <v>북아메리카</v>
      </c>
      <c r="H1803" s="38" t="str">
        <f>IFERROR(COUNTIF([2]OceanDoodad!$Y:$Y,표1[[#This Row],[명칭]]),"-")</f>
        <v>-</v>
      </c>
      <c r="I1803" s="38">
        <f>IFERROR(COUNTIF([1]AdventureDiscoveryGroup!$D$8:$AW$92,표1[[#This Row],[명칭]]),"-")</f>
        <v>0</v>
      </c>
      <c r="J1803" s="38">
        <f>IFERROR(COUNTIF([1]FishDiscoveryGroup!$A:$X,표1[[#This Row],[명칭]]),"-")</f>
        <v>0</v>
      </c>
      <c r="K1803" s="38" t="str">
        <f>IFERROR(COUNTIF([2]Town!$B:$B,표1[[#This Row],[명칭]]),"-")</f>
        <v>-</v>
      </c>
      <c r="L1803" s="38">
        <f>IFERROR(COUNTIF([1]Village!$BR:$BR,표1[[#This Row],[명칭]]),"-")</f>
        <v>0</v>
      </c>
      <c r="M1803" s="38">
        <f>COUNTIF(퀘스트!B:B,표1[[#This Row],[명칭]])</f>
        <v>0</v>
      </c>
      <c r="N1803" s="65">
        <f>COUNTIF([1]VillageDiscoveryGroup!$C:$C,표1[[#This Row],[명칭]])</f>
        <v>0</v>
      </c>
      <c r="O1803" s="65">
        <f>SUM(표1[[#This Row],[해양탐색]:[마을탐험]])</f>
        <v>0</v>
      </c>
    </row>
    <row r="1804" spans="2:15" ht="13.5" customHeight="1" x14ac:dyDescent="0.3">
      <c r="B1804" s="9">
        <f>[1]Discovery!A1810</f>
        <v>70413019</v>
      </c>
      <c r="C1804" s="9" t="str">
        <f>[1]Discovery!B1810</f>
        <v>그루테아일런드섬</v>
      </c>
      <c r="D1804" s="9" t="str">
        <f>[1]Discovery!E1810</f>
        <v>자연</v>
      </c>
      <c r="E1804" s="9" t="str">
        <f>[1]Discovery!C1810</f>
        <v>지리</v>
      </c>
      <c r="F1804" s="9" t="str">
        <f>[1]Discovery!G1810</f>
        <v>B</v>
      </c>
      <c r="G1804" s="9" t="str">
        <f>IFERROR(VLOOKUP(표1[[#This Row],[명칭]],'문화권 정리'!C:D,2,FALSE),"-")</f>
        <v>오세아니아</v>
      </c>
      <c r="H1804" s="38" t="str">
        <f>IFERROR(COUNTIF([2]OceanDoodad!$Y:$Y,표1[[#This Row],[명칭]]),"-")</f>
        <v>-</v>
      </c>
      <c r="I1804" s="38">
        <f>IFERROR(COUNTIF([1]AdventureDiscoveryGroup!$D$8:$AW$92,표1[[#This Row],[명칭]]),"-")</f>
        <v>0</v>
      </c>
      <c r="J1804" s="38">
        <f>IFERROR(COUNTIF([1]FishDiscoveryGroup!$A:$X,표1[[#This Row],[명칭]]),"-")</f>
        <v>0</v>
      </c>
      <c r="K1804" s="38" t="str">
        <f>IFERROR(COUNTIF([2]Town!$B:$B,표1[[#This Row],[명칭]]),"-")</f>
        <v>-</v>
      </c>
      <c r="L1804" s="38">
        <f>IFERROR(COUNTIF([1]Village!$BR:$BR,표1[[#This Row],[명칭]]),"-")</f>
        <v>0</v>
      </c>
      <c r="M1804" s="38">
        <f>COUNTIF(퀘스트!B:B,표1[[#This Row],[명칭]])</f>
        <v>0</v>
      </c>
      <c r="N1804" s="65">
        <f>COUNTIF([1]VillageDiscoveryGroup!$C:$C,표1[[#This Row],[명칭]])</f>
        <v>0</v>
      </c>
      <c r="O1804" s="65">
        <f>SUM(표1[[#This Row],[해양탐색]:[마을탐험]])</f>
        <v>0</v>
      </c>
    </row>
    <row r="1805" spans="2:15" ht="13.5" customHeight="1" x14ac:dyDescent="0.3">
      <c r="B1805" s="9">
        <f>[1]Discovery!A1811</f>
        <v>70413020</v>
      </c>
      <c r="C1805" s="9" t="str">
        <f>[1]Discovery!B1811</f>
        <v>그린란드</v>
      </c>
      <c r="D1805" s="9" t="str">
        <f>[1]Discovery!E1811</f>
        <v>자연</v>
      </c>
      <c r="E1805" s="9" t="str">
        <f>[1]Discovery!C1811</f>
        <v>지리</v>
      </c>
      <c r="F1805" s="9" t="str">
        <f>[1]Discovery!G1811</f>
        <v>B</v>
      </c>
      <c r="G1805" s="9" t="str">
        <f>IFERROR(VLOOKUP(표1[[#This Row],[명칭]],'문화권 정리'!C:D,2,FALSE),"-")</f>
        <v>극지방</v>
      </c>
      <c r="H1805" s="38" t="str">
        <f>IFERROR(COUNTIF([2]OceanDoodad!$Y:$Y,표1[[#This Row],[명칭]]),"-")</f>
        <v>-</v>
      </c>
      <c r="I1805" s="38">
        <f>IFERROR(COUNTIF([1]AdventureDiscoveryGroup!$D$8:$AW$92,표1[[#This Row],[명칭]]),"-")</f>
        <v>0</v>
      </c>
      <c r="J1805" s="38">
        <f>IFERROR(COUNTIF([1]FishDiscoveryGroup!$A:$X,표1[[#This Row],[명칭]]),"-")</f>
        <v>0</v>
      </c>
      <c r="K1805" s="38" t="str">
        <f>IFERROR(COUNTIF([2]Town!$B:$B,표1[[#This Row],[명칭]]),"-")</f>
        <v>-</v>
      </c>
      <c r="L1805" s="38">
        <f>IFERROR(COUNTIF([1]Village!$BR:$BR,표1[[#This Row],[명칭]]),"-")</f>
        <v>0</v>
      </c>
      <c r="M1805" s="38">
        <f>COUNTIF(퀘스트!B:B,표1[[#This Row],[명칭]])</f>
        <v>0</v>
      </c>
      <c r="N1805" s="65">
        <f>COUNTIF([1]VillageDiscoveryGroup!$C:$C,표1[[#This Row],[명칭]])</f>
        <v>0</v>
      </c>
      <c r="O1805" s="65">
        <f>SUM(표1[[#This Row],[해양탐색]:[마을탐험]])</f>
        <v>0</v>
      </c>
    </row>
    <row r="1806" spans="2:15" ht="13.5" customHeight="1" x14ac:dyDescent="0.3">
      <c r="B1806" s="9">
        <f>[1]Discovery!A1812</f>
        <v>70413021</v>
      </c>
      <c r="C1806" s="9" t="str">
        <f>[1]Discovery!B1812</f>
        <v>그린란드 빙상</v>
      </c>
      <c r="D1806" s="9" t="str">
        <f>[1]Discovery!E1812</f>
        <v>자연</v>
      </c>
      <c r="E1806" s="9" t="str">
        <f>[1]Discovery!C1812</f>
        <v>지리</v>
      </c>
      <c r="F1806" s="9" t="str">
        <f>[1]Discovery!G1812</f>
        <v>A</v>
      </c>
      <c r="G1806" s="9" t="str">
        <f>IFERROR(VLOOKUP(표1[[#This Row],[명칭]],'문화권 정리'!C:D,2,FALSE),"-")</f>
        <v>극지방</v>
      </c>
      <c r="H1806" s="38" t="str">
        <f>IFERROR(COUNTIF([2]OceanDoodad!$Y:$Y,표1[[#This Row],[명칭]]),"-")</f>
        <v>-</v>
      </c>
      <c r="I1806" s="38">
        <f>IFERROR(COUNTIF([1]AdventureDiscoveryGroup!$D$8:$AW$92,표1[[#This Row],[명칭]]),"-")</f>
        <v>0</v>
      </c>
      <c r="J1806" s="38">
        <f>IFERROR(COUNTIF([1]FishDiscoveryGroup!$A:$X,표1[[#This Row],[명칭]]),"-")</f>
        <v>0</v>
      </c>
      <c r="K1806" s="38" t="str">
        <f>IFERROR(COUNTIF([2]Town!$B:$B,표1[[#This Row],[명칭]]),"-")</f>
        <v>-</v>
      </c>
      <c r="L1806" s="38">
        <f>IFERROR(COUNTIF([1]Village!$BR:$BR,표1[[#This Row],[명칭]]),"-")</f>
        <v>0</v>
      </c>
      <c r="M1806" s="38">
        <f>COUNTIF(퀘스트!B:B,표1[[#This Row],[명칭]])</f>
        <v>0</v>
      </c>
      <c r="N1806" s="65">
        <f>COUNTIF([1]VillageDiscoveryGroup!$C:$C,표1[[#This Row],[명칭]])</f>
        <v>0</v>
      </c>
      <c r="O1806" s="65">
        <f>SUM(표1[[#This Row],[해양탐색]:[마을탐험]])</f>
        <v>0</v>
      </c>
    </row>
    <row r="1807" spans="2:15" ht="13.5" customHeight="1" x14ac:dyDescent="0.3">
      <c r="B1807" s="9">
        <f>[1]Discovery!A1813</f>
        <v>70413022</v>
      </c>
      <c r="C1807" s="9" t="str">
        <f>[1]Discovery!B1813</f>
        <v>그린샌드 비치</v>
      </c>
      <c r="D1807" s="9" t="str">
        <f>[1]Discovery!E1813</f>
        <v>자연</v>
      </c>
      <c r="E1807" s="9" t="str">
        <f>[1]Discovery!C1813</f>
        <v>지리</v>
      </c>
      <c r="F1807" s="9" t="str">
        <f>[1]Discovery!G1813</f>
        <v>A</v>
      </c>
      <c r="G1807" s="9" t="str">
        <f>IFERROR(VLOOKUP(표1[[#This Row],[명칭]],'문화권 정리'!C:D,2,FALSE),"-")</f>
        <v>태평양</v>
      </c>
      <c r="H1807" s="38" t="str">
        <f>IFERROR(COUNTIF([2]OceanDoodad!$Y:$Y,표1[[#This Row],[명칭]]),"-")</f>
        <v>-</v>
      </c>
      <c r="I1807" s="38">
        <f>IFERROR(COUNTIF([1]AdventureDiscoveryGroup!$D$8:$AW$92,표1[[#This Row],[명칭]]),"-")</f>
        <v>0</v>
      </c>
      <c r="J1807" s="38">
        <f>IFERROR(COUNTIF([1]FishDiscoveryGroup!$A:$X,표1[[#This Row],[명칭]]),"-")</f>
        <v>0</v>
      </c>
      <c r="K1807" s="38" t="str">
        <f>IFERROR(COUNTIF([2]Town!$B:$B,표1[[#This Row],[명칭]]),"-")</f>
        <v>-</v>
      </c>
      <c r="L1807" s="38">
        <f>IFERROR(COUNTIF([1]Village!$BR:$BR,표1[[#This Row],[명칭]]),"-")</f>
        <v>0</v>
      </c>
      <c r="M1807" s="38">
        <f>COUNTIF(퀘스트!B:B,표1[[#This Row],[명칭]])</f>
        <v>0</v>
      </c>
      <c r="N1807" s="65">
        <f>COUNTIF([1]VillageDiscoveryGroup!$C:$C,표1[[#This Row],[명칭]])</f>
        <v>0</v>
      </c>
      <c r="O1807" s="65">
        <f>SUM(표1[[#This Row],[해양탐색]:[마을탐험]])</f>
        <v>0</v>
      </c>
    </row>
    <row r="1808" spans="2:15" ht="13.5" customHeight="1" x14ac:dyDescent="0.3">
      <c r="B1808" s="9">
        <f>[1]Discovery!A1814</f>
        <v>70413023</v>
      </c>
      <c r="C1808" s="9" t="str">
        <f>[1]Discovery!B1814</f>
        <v>금강산</v>
      </c>
      <c r="D1808" s="9" t="str">
        <f>[1]Discovery!E1814</f>
        <v>자연</v>
      </c>
      <c r="E1808" s="9" t="str">
        <f>[1]Discovery!C1814</f>
        <v>지리</v>
      </c>
      <c r="F1808" s="9" t="str">
        <f>[1]Discovery!G1814</f>
        <v>B</v>
      </c>
      <c r="G1808" s="9" t="str">
        <f>IFERROR(VLOOKUP(표1[[#This Row],[명칭]],'문화권 정리'!C:D,2,FALSE),"-")</f>
        <v>동아시아</v>
      </c>
      <c r="H1808" s="38" t="str">
        <f>IFERROR(COUNTIF([2]OceanDoodad!$Y:$Y,표1[[#This Row],[명칭]]),"-")</f>
        <v>-</v>
      </c>
      <c r="I1808" s="38">
        <f>IFERROR(COUNTIF([1]AdventureDiscoveryGroup!$D$8:$AW$92,표1[[#This Row],[명칭]]),"-")</f>
        <v>0</v>
      </c>
      <c r="J1808" s="38">
        <f>IFERROR(COUNTIF([1]FishDiscoveryGroup!$A:$X,표1[[#This Row],[명칭]]),"-")</f>
        <v>0</v>
      </c>
      <c r="K1808" s="38" t="str">
        <f>IFERROR(COUNTIF([2]Town!$B:$B,표1[[#This Row],[명칭]]),"-")</f>
        <v>-</v>
      </c>
      <c r="L1808" s="38">
        <f>IFERROR(COUNTIF([1]Village!$BR:$BR,표1[[#This Row],[명칭]]),"-")</f>
        <v>0</v>
      </c>
      <c r="M1808" s="38">
        <f>COUNTIF(퀘스트!B:B,표1[[#This Row],[명칭]])</f>
        <v>1</v>
      </c>
      <c r="N1808" s="65">
        <f>COUNTIF([1]VillageDiscoveryGroup!$C:$C,표1[[#This Row],[명칭]])</f>
        <v>0</v>
      </c>
      <c r="O1808" s="65">
        <f>SUM(표1[[#This Row],[해양탐색]:[마을탐험]])</f>
        <v>1</v>
      </c>
    </row>
    <row r="1809" spans="2:15" ht="13.5" customHeight="1" x14ac:dyDescent="0.3">
      <c r="B1809" s="9">
        <f>[1]Discovery!A1815</f>
        <v>70413024</v>
      </c>
      <c r="C1809" s="9" t="str">
        <f>[1]Discovery!B1815</f>
        <v>기이산지</v>
      </c>
      <c r="D1809" s="9" t="str">
        <f>[1]Discovery!E1815</f>
        <v>자연</v>
      </c>
      <c r="E1809" s="9" t="str">
        <f>[1]Discovery!C1815</f>
        <v>지리</v>
      </c>
      <c r="F1809" s="9" t="str">
        <f>[1]Discovery!G1815</f>
        <v>C</v>
      </c>
      <c r="G1809" s="9" t="str">
        <f>IFERROR(VLOOKUP(표1[[#This Row],[명칭]],'문화권 정리'!C:D,2,FALSE),"-")</f>
        <v>동아시아</v>
      </c>
      <c r="H1809" s="38" t="str">
        <f>IFERROR(COUNTIF([2]OceanDoodad!$Y:$Y,표1[[#This Row],[명칭]]),"-")</f>
        <v>-</v>
      </c>
      <c r="I1809" s="38">
        <f>IFERROR(COUNTIF([1]AdventureDiscoveryGroup!$D$8:$AW$92,표1[[#This Row],[명칭]]),"-")</f>
        <v>0</v>
      </c>
      <c r="J1809" s="38">
        <f>IFERROR(COUNTIF([1]FishDiscoveryGroup!$A:$X,표1[[#This Row],[명칭]]),"-")</f>
        <v>0</v>
      </c>
      <c r="K1809" s="38" t="str">
        <f>IFERROR(COUNTIF([2]Town!$B:$B,표1[[#This Row],[명칭]]),"-")</f>
        <v>-</v>
      </c>
      <c r="L1809" s="38">
        <f>IFERROR(COUNTIF([1]Village!$BR:$BR,표1[[#This Row],[명칭]]),"-")</f>
        <v>0</v>
      </c>
      <c r="M1809" s="38">
        <f>COUNTIF(퀘스트!B:B,표1[[#This Row],[명칭]])</f>
        <v>0</v>
      </c>
      <c r="N1809" s="65">
        <f>COUNTIF([1]VillageDiscoveryGroup!$C:$C,표1[[#This Row],[명칭]])</f>
        <v>0</v>
      </c>
      <c r="O1809" s="65">
        <f>SUM(표1[[#This Row],[해양탐색]:[마을탐험]])</f>
        <v>0</v>
      </c>
    </row>
    <row r="1810" spans="2:15" ht="13.5" customHeight="1" x14ac:dyDescent="0.3">
      <c r="B1810" s="9">
        <f>[1]Discovery!A1816</f>
        <v>70413025</v>
      </c>
      <c r="C1810" s="9" t="str">
        <f>[1]Discovery!B1816</f>
        <v>길빙크만</v>
      </c>
      <c r="D1810" s="9" t="str">
        <f>[1]Discovery!E1816</f>
        <v>자연</v>
      </c>
      <c r="E1810" s="9" t="str">
        <f>[1]Discovery!C1816</f>
        <v>지리</v>
      </c>
      <c r="F1810" s="9" t="str">
        <f>[1]Discovery!G1816</f>
        <v>D</v>
      </c>
      <c r="G1810" s="9" t="str">
        <f>IFERROR(VLOOKUP(표1[[#This Row],[명칭]],'문화권 정리'!C:D,2,FALSE),"-")</f>
        <v>동남아시아</v>
      </c>
      <c r="H1810" s="38" t="str">
        <f>IFERROR(COUNTIF([2]OceanDoodad!$Y:$Y,표1[[#This Row],[명칭]]),"-")</f>
        <v>-</v>
      </c>
      <c r="I1810" s="38">
        <f>IFERROR(COUNTIF([1]AdventureDiscoveryGroup!$D$8:$AW$92,표1[[#This Row],[명칭]]),"-")</f>
        <v>0</v>
      </c>
      <c r="J1810" s="38">
        <f>IFERROR(COUNTIF([1]FishDiscoveryGroup!$A:$X,표1[[#This Row],[명칭]]),"-")</f>
        <v>0</v>
      </c>
      <c r="K1810" s="38" t="str">
        <f>IFERROR(COUNTIF([2]Town!$B:$B,표1[[#This Row],[명칭]]),"-")</f>
        <v>-</v>
      </c>
      <c r="L1810" s="38">
        <f>IFERROR(COUNTIF([1]Village!$BR:$BR,표1[[#This Row],[명칭]]),"-")</f>
        <v>0</v>
      </c>
      <c r="M1810" s="38">
        <f>COUNTIF(퀘스트!B:B,표1[[#This Row],[명칭]])</f>
        <v>0</v>
      </c>
      <c r="N1810" s="65">
        <f>COUNTIF([1]VillageDiscoveryGroup!$C:$C,표1[[#This Row],[명칭]])</f>
        <v>0</v>
      </c>
      <c r="O1810" s="65">
        <f>SUM(표1[[#This Row],[해양탐색]:[마을탐험]])</f>
        <v>0</v>
      </c>
    </row>
    <row r="1811" spans="2:15" ht="13.5" customHeight="1" x14ac:dyDescent="0.3">
      <c r="B1811" s="9">
        <f>[1]Discovery!A1817</f>
        <v>70413026</v>
      </c>
      <c r="C1811" s="9" t="str">
        <f>[1]Discovery!B1817</f>
        <v>까마우반도</v>
      </c>
      <c r="D1811" s="9" t="str">
        <f>[1]Discovery!E1817</f>
        <v>자연</v>
      </c>
      <c r="E1811" s="9" t="str">
        <f>[1]Discovery!C1817</f>
        <v>지리</v>
      </c>
      <c r="F1811" s="9" t="str">
        <f>[1]Discovery!G1817</f>
        <v>B</v>
      </c>
      <c r="G1811" s="9" t="str">
        <f>IFERROR(VLOOKUP(표1[[#This Row],[명칭]],'문화권 정리'!C:D,2,FALSE),"-")</f>
        <v>동아시아</v>
      </c>
      <c r="H1811" s="38" t="str">
        <f>IFERROR(COUNTIF([2]OceanDoodad!$Y:$Y,표1[[#This Row],[명칭]]),"-")</f>
        <v>-</v>
      </c>
      <c r="I1811" s="38">
        <f>IFERROR(COUNTIF([1]AdventureDiscoveryGroup!$D$8:$AW$92,표1[[#This Row],[명칭]]),"-")</f>
        <v>0</v>
      </c>
      <c r="J1811" s="38">
        <f>IFERROR(COUNTIF([1]FishDiscoveryGroup!$A:$X,표1[[#This Row],[명칭]]),"-")</f>
        <v>0</v>
      </c>
      <c r="K1811" s="38" t="str">
        <f>IFERROR(COUNTIF([2]Town!$B:$B,표1[[#This Row],[명칭]]),"-")</f>
        <v>-</v>
      </c>
      <c r="L1811" s="38">
        <f>IFERROR(COUNTIF([1]Village!$BR:$BR,표1[[#This Row],[명칭]]),"-")</f>
        <v>0</v>
      </c>
      <c r="M1811" s="38">
        <f>COUNTIF(퀘스트!B:B,표1[[#This Row],[명칭]])</f>
        <v>0</v>
      </c>
      <c r="N1811" s="65">
        <f>COUNTIF([1]VillageDiscoveryGroup!$C:$C,표1[[#This Row],[명칭]])</f>
        <v>0</v>
      </c>
      <c r="O1811" s="65">
        <f>SUM(표1[[#This Row],[해양탐색]:[마을탐험]])</f>
        <v>0</v>
      </c>
    </row>
    <row r="1812" spans="2:15" ht="13.5" customHeight="1" x14ac:dyDescent="0.3">
      <c r="B1812" s="9">
        <f>[1]Discovery!A1818</f>
        <v>70413027</v>
      </c>
      <c r="C1812" s="9" t="str">
        <f>[1]Discovery!B1818</f>
        <v>나바지오 해변</v>
      </c>
      <c r="D1812" s="9" t="str">
        <f>[1]Discovery!E1818</f>
        <v>자연</v>
      </c>
      <c r="E1812" s="9" t="str">
        <f>[1]Discovery!C1818</f>
        <v>지리</v>
      </c>
      <c r="F1812" s="9" t="str">
        <f>[1]Discovery!G1818</f>
        <v>C</v>
      </c>
      <c r="G1812" s="9" t="str">
        <f>IFERROR(VLOOKUP(표1[[#This Row],[명칭]],'문화권 정리'!C:D,2,FALSE),"-")</f>
        <v>지중해</v>
      </c>
      <c r="H1812" s="38" t="str">
        <f>IFERROR(COUNTIF([2]OceanDoodad!$Y:$Y,표1[[#This Row],[명칭]]),"-")</f>
        <v>-</v>
      </c>
      <c r="I1812" s="38">
        <f>IFERROR(COUNTIF([1]AdventureDiscoveryGroup!$D$8:$AW$92,표1[[#This Row],[명칭]]),"-")</f>
        <v>0</v>
      </c>
      <c r="J1812" s="38">
        <f>IFERROR(COUNTIF([1]FishDiscoveryGroup!$A:$X,표1[[#This Row],[명칭]]),"-")</f>
        <v>0</v>
      </c>
      <c r="K1812" s="38" t="str">
        <f>IFERROR(COUNTIF([2]Town!$B:$B,표1[[#This Row],[명칭]]),"-")</f>
        <v>-</v>
      </c>
      <c r="L1812" s="38">
        <f>IFERROR(COUNTIF([1]Village!$BR:$BR,표1[[#This Row],[명칭]]),"-")</f>
        <v>0</v>
      </c>
      <c r="M1812" s="38">
        <f>COUNTIF(퀘스트!B:B,표1[[#This Row],[명칭]])</f>
        <v>0</v>
      </c>
      <c r="N1812" s="65">
        <f>COUNTIF([1]VillageDiscoveryGroup!$C:$C,표1[[#This Row],[명칭]])</f>
        <v>0</v>
      </c>
      <c r="O1812" s="65">
        <f>SUM(표1[[#This Row],[해양탐색]:[마을탐험]])</f>
        <v>0</v>
      </c>
    </row>
    <row r="1813" spans="2:15" ht="13.5" customHeight="1" x14ac:dyDescent="0.3">
      <c r="B1813" s="9">
        <f>[1]Discovery!A1819</f>
        <v>70413028</v>
      </c>
      <c r="C1813" s="9" t="str">
        <f>[1]Discovery!B1819</f>
        <v>나이아가라폭포</v>
      </c>
      <c r="D1813" s="9" t="str">
        <f>[1]Discovery!E1819</f>
        <v>자연</v>
      </c>
      <c r="E1813" s="9" t="str">
        <f>[1]Discovery!C1819</f>
        <v>지리</v>
      </c>
      <c r="F1813" s="9" t="str">
        <f>[1]Discovery!G1819</f>
        <v>S</v>
      </c>
      <c r="G1813" s="9" t="str">
        <f>IFERROR(VLOOKUP(표1[[#This Row],[명칭]],'문화권 정리'!C:D,2,FALSE),"-")</f>
        <v>북아메리카</v>
      </c>
      <c r="H1813" s="38" t="str">
        <f>IFERROR(COUNTIF([2]OceanDoodad!$Y:$Y,표1[[#This Row],[명칭]]),"-")</f>
        <v>-</v>
      </c>
      <c r="I1813" s="38">
        <f>IFERROR(COUNTIF([1]AdventureDiscoveryGroup!$D$8:$AW$92,표1[[#This Row],[명칭]]),"-")</f>
        <v>0</v>
      </c>
      <c r="J1813" s="38">
        <f>IFERROR(COUNTIF([1]FishDiscoveryGroup!$A:$X,표1[[#This Row],[명칭]]),"-")</f>
        <v>0</v>
      </c>
      <c r="K1813" s="38" t="str">
        <f>IFERROR(COUNTIF([2]Town!$B:$B,표1[[#This Row],[명칭]]),"-")</f>
        <v>-</v>
      </c>
      <c r="L1813" s="38">
        <f>IFERROR(COUNTIF([1]Village!$BR:$BR,표1[[#This Row],[명칭]]),"-")</f>
        <v>0</v>
      </c>
      <c r="M1813" s="38">
        <f>COUNTIF(퀘스트!B:B,표1[[#This Row],[명칭]])</f>
        <v>0</v>
      </c>
      <c r="N1813" s="65">
        <f>COUNTIF([1]VillageDiscoveryGroup!$C:$C,표1[[#This Row],[명칭]])</f>
        <v>0</v>
      </c>
      <c r="O1813" s="65">
        <f>SUM(표1[[#This Row],[해양탐색]:[마을탐험]])</f>
        <v>0</v>
      </c>
    </row>
    <row r="1814" spans="2:15" ht="13.5" customHeight="1" x14ac:dyDescent="0.3">
      <c r="B1814" s="9">
        <f>[1]Discovery!A1820</f>
        <v>70413029</v>
      </c>
      <c r="C1814" s="9" t="str">
        <f>[1]Discovery!B1820</f>
        <v>나이저강</v>
      </c>
      <c r="D1814" s="9" t="str">
        <f>[1]Discovery!E1820</f>
        <v>자연</v>
      </c>
      <c r="E1814" s="9" t="str">
        <f>[1]Discovery!C1820</f>
        <v>지리</v>
      </c>
      <c r="F1814" s="9" t="str">
        <f>[1]Discovery!G1820</f>
        <v>B</v>
      </c>
      <c r="G1814" s="9" t="str">
        <f>IFERROR(VLOOKUP(표1[[#This Row],[명칭]],'문화권 정리'!C:D,2,FALSE),"-")</f>
        <v>서아프리카</v>
      </c>
      <c r="H1814" s="38" t="str">
        <f>IFERROR(COUNTIF([2]OceanDoodad!$Y:$Y,표1[[#This Row],[명칭]]),"-")</f>
        <v>-</v>
      </c>
      <c r="I1814" s="38">
        <f>IFERROR(COUNTIF([1]AdventureDiscoveryGroup!$D$8:$AW$92,표1[[#This Row],[명칭]]),"-")</f>
        <v>0</v>
      </c>
      <c r="J1814" s="38">
        <f>IFERROR(COUNTIF([1]FishDiscoveryGroup!$A:$X,표1[[#This Row],[명칭]]),"-")</f>
        <v>0</v>
      </c>
      <c r="K1814" s="38" t="str">
        <f>IFERROR(COUNTIF([2]Town!$B:$B,표1[[#This Row],[명칭]]),"-")</f>
        <v>-</v>
      </c>
      <c r="L1814" s="38">
        <f>IFERROR(COUNTIF([1]Village!$BR:$BR,표1[[#This Row],[명칭]]),"-")</f>
        <v>0</v>
      </c>
      <c r="M1814" s="38">
        <f>COUNTIF(퀘스트!B:B,표1[[#This Row],[명칭]])</f>
        <v>1</v>
      </c>
      <c r="N1814" s="65">
        <f>COUNTIF([1]VillageDiscoveryGroup!$C:$C,표1[[#This Row],[명칭]])</f>
        <v>0</v>
      </c>
      <c r="O1814" s="65">
        <f>SUM(표1[[#This Row],[해양탐색]:[마을탐험]])</f>
        <v>1</v>
      </c>
    </row>
    <row r="1815" spans="2:15" ht="13.5" customHeight="1" x14ac:dyDescent="0.3">
      <c r="B1815" s="9">
        <f>[1]Discovery!A1821</f>
        <v>70413030</v>
      </c>
      <c r="C1815" s="9" t="str">
        <f>[1]Discovery!B1821</f>
        <v>나일강</v>
      </c>
      <c r="D1815" s="9" t="str">
        <f>[1]Discovery!E1821</f>
        <v>자연</v>
      </c>
      <c r="E1815" s="9" t="str">
        <f>[1]Discovery!C1821</f>
        <v>지리</v>
      </c>
      <c r="F1815" s="9" t="str">
        <f>[1]Discovery!G1821</f>
        <v>S</v>
      </c>
      <c r="G1815" s="9" t="str">
        <f>IFERROR(VLOOKUP(표1[[#This Row],[명칭]],'문화권 정리'!C:D,2,FALSE),"-")</f>
        <v>북아프리카</v>
      </c>
      <c r="H1815" s="38" t="str">
        <f>IFERROR(COUNTIF([2]OceanDoodad!$Y:$Y,표1[[#This Row],[명칭]]),"-")</f>
        <v>-</v>
      </c>
      <c r="I1815" s="38">
        <f>IFERROR(COUNTIF([1]AdventureDiscoveryGroup!$D$8:$AW$92,표1[[#This Row],[명칭]]),"-")</f>
        <v>0</v>
      </c>
      <c r="J1815" s="38">
        <f>IFERROR(COUNTIF([1]FishDiscoveryGroup!$A:$X,표1[[#This Row],[명칭]]),"-")</f>
        <v>0</v>
      </c>
      <c r="K1815" s="38" t="str">
        <f>IFERROR(COUNTIF([2]Town!$B:$B,표1[[#This Row],[명칭]]),"-")</f>
        <v>-</v>
      </c>
      <c r="L1815" s="38">
        <f>IFERROR(COUNTIF([1]Village!$BR:$BR,표1[[#This Row],[명칭]]),"-")</f>
        <v>0</v>
      </c>
      <c r="M1815" s="38">
        <f>COUNTIF(퀘스트!B:B,표1[[#This Row],[명칭]])</f>
        <v>0</v>
      </c>
      <c r="N1815" s="65">
        <f>COUNTIF([1]VillageDiscoveryGroup!$C:$C,표1[[#This Row],[명칭]])</f>
        <v>0</v>
      </c>
      <c r="O1815" s="65">
        <f>SUM(표1[[#This Row],[해양탐색]:[마을탐험]])</f>
        <v>0</v>
      </c>
    </row>
    <row r="1816" spans="2:15" ht="13.5" customHeight="1" x14ac:dyDescent="0.3">
      <c r="B1816" s="9">
        <f>[1]Discovery!A1822</f>
        <v>70413031</v>
      </c>
      <c r="C1816" s="9" t="str">
        <f>[1]Discovery!B1822</f>
        <v>낸터킷</v>
      </c>
      <c r="D1816" s="9" t="str">
        <f>[1]Discovery!E1822</f>
        <v>자연</v>
      </c>
      <c r="E1816" s="9" t="str">
        <f>[1]Discovery!C1822</f>
        <v>지리</v>
      </c>
      <c r="F1816" s="9" t="str">
        <f>[1]Discovery!G1822</f>
        <v>B</v>
      </c>
      <c r="G1816" s="9" t="str">
        <f>IFERROR(VLOOKUP(표1[[#This Row],[명칭]],'문화권 정리'!C:D,2,FALSE),"-")</f>
        <v>북아메리카</v>
      </c>
      <c r="H1816" s="38" t="str">
        <f>IFERROR(COUNTIF([2]OceanDoodad!$Y:$Y,표1[[#This Row],[명칭]]),"-")</f>
        <v>-</v>
      </c>
      <c r="I1816" s="38">
        <f>IFERROR(COUNTIF([1]AdventureDiscoveryGroup!$D$8:$AW$92,표1[[#This Row],[명칭]]),"-")</f>
        <v>0</v>
      </c>
      <c r="J1816" s="38">
        <f>IFERROR(COUNTIF([1]FishDiscoveryGroup!$A:$X,표1[[#This Row],[명칭]]),"-")</f>
        <v>0</v>
      </c>
      <c r="K1816" s="38" t="str">
        <f>IFERROR(COUNTIF([2]Town!$B:$B,표1[[#This Row],[명칭]]),"-")</f>
        <v>-</v>
      </c>
      <c r="L1816" s="38">
        <f>IFERROR(COUNTIF([1]Village!$BR:$BR,표1[[#This Row],[명칭]]),"-")</f>
        <v>0</v>
      </c>
      <c r="M1816" s="38">
        <f>COUNTIF(퀘스트!B:B,표1[[#This Row],[명칭]])</f>
        <v>0</v>
      </c>
      <c r="N1816" s="65">
        <f>COUNTIF([1]VillageDiscoveryGroup!$C:$C,표1[[#This Row],[명칭]])</f>
        <v>0</v>
      </c>
      <c r="O1816" s="65">
        <f>SUM(표1[[#This Row],[해양탐색]:[마을탐험]])</f>
        <v>0</v>
      </c>
    </row>
    <row r="1817" spans="2:15" ht="13.5" customHeight="1" x14ac:dyDescent="0.3">
      <c r="B1817" s="9">
        <f>[1]Discovery!A1823</f>
        <v>70413032</v>
      </c>
      <c r="C1817" s="9" t="str">
        <f>[1]Discovery!B1823</f>
        <v>네스호</v>
      </c>
      <c r="D1817" s="9" t="str">
        <f>[1]Discovery!E1823</f>
        <v>자연</v>
      </c>
      <c r="E1817" s="9" t="str">
        <f>[1]Discovery!C1823</f>
        <v>지리</v>
      </c>
      <c r="F1817" s="9" t="str">
        <f>[1]Discovery!G1823</f>
        <v>B</v>
      </c>
      <c r="G1817" s="9" t="str">
        <f>IFERROR(VLOOKUP(표1[[#This Row],[명칭]],'문화권 정리'!C:D,2,FALSE),"-")</f>
        <v>브리튼</v>
      </c>
      <c r="H1817" s="38" t="str">
        <f>IFERROR(COUNTIF([2]OceanDoodad!$Y:$Y,표1[[#This Row],[명칭]]),"-")</f>
        <v>-</v>
      </c>
      <c r="I1817" s="38">
        <f>IFERROR(COUNTIF([1]AdventureDiscoveryGroup!$D$8:$AW$92,표1[[#This Row],[명칭]]),"-")</f>
        <v>0</v>
      </c>
      <c r="J1817" s="38">
        <f>IFERROR(COUNTIF([1]FishDiscoveryGroup!$A:$X,표1[[#This Row],[명칭]]),"-")</f>
        <v>0</v>
      </c>
      <c r="K1817" s="38" t="str">
        <f>IFERROR(COUNTIF([2]Town!$B:$B,표1[[#This Row],[명칭]]),"-")</f>
        <v>-</v>
      </c>
      <c r="L1817" s="38">
        <f>IFERROR(COUNTIF([1]Village!$BR:$BR,표1[[#This Row],[명칭]]),"-")</f>
        <v>0</v>
      </c>
      <c r="M1817" s="38">
        <f>COUNTIF(퀘스트!B:B,표1[[#This Row],[명칭]])</f>
        <v>1</v>
      </c>
      <c r="N1817" s="65">
        <f>COUNTIF([1]VillageDiscoveryGroup!$C:$C,표1[[#This Row],[명칭]])</f>
        <v>0</v>
      </c>
      <c r="O1817" s="65">
        <f>SUM(표1[[#This Row],[해양탐색]:[마을탐험]])</f>
        <v>1</v>
      </c>
    </row>
    <row r="1818" spans="2:15" ht="13.5" customHeight="1" x14ac:dyDescent="0.3">
      <c r="B1818" s="9">
        <f>[1]Discovery!A1824</f>
        <v>70413033</v>
      </c>
      <c r="C1818" s="9" t="str">
        <f>[1]Discovery!B1824</f>
        <v>넴루트산</v>
      </c>
      <c r="D1818" s="9" t="str">
        <f>[1]Discovery!E1824</f>
        <v>자연</v>
      </c>
      <c r="E1818" s="9" t="str">
        <f>[1]Discovery!C1824</f>
        <v>지리</v>
      </c>
      <c r="F1818" s="9" t="str">
        <f>[1]Discovery!G1824</f>
        <v>B</v>
      </c>
      <c r="G1818" s="9" t="str">
        <f>IFERROR(VLOOKUP(표1[[#This Row],[명칭]],'문화권 정리'!C:D,2,FALSE),"-")</f>
        <v>지중해</v>
      </c>
      <c r="H1818" s="38" t="str">
        <f>IFERROR(COUNTIF([2]OceanDoodad!$Y:$Y,표1[[#This Row],[명칭]]),"-")</f>
        <v>-</v>
      </c>
      <c r="I1818" s="38">
        <f>IFERROR(COUNTIF([1]AdventureDiscoveryGroup!$D$8:$AW$92,표1[[#This Row],[명칭]]),"-")</f>
        <v>0</v>
      </c>
      <c r="J1818" s="38">
        <f>IFERROR(COUNTIF([1]FishDiscoveryGroup!$A:$X,표1[[#This Row],[명칭]]),"-")</f>
        <v>0</v>
      </c>
      <c r="K1818" s="38" t="str">
        <f>IFERROR(COUNTIF([2]Town!$B:$B,표1[[#This Row],[명칭]]),"-")</f>
        <v>-</v>
      </c>
      <c r="L1818" s="38">
        <f>IFERROR(COUNTIF([1]Village!$BR:$BR,표1[[#This Row],[명칭]]),"-")</f>
        <v>0</v>
      </c>
      <c r="M1818" s="38">
        <f>COUNTIF(퀘스트!B:B,표1[[#This Row],[명칭]])</f>
        <v>0</v>
      </c>
      <c r="N1818" s="65">
        <f>COUNTIF([1]VillageDiscoveryGroup!$C:$C,표1[[#This Row],[명칭]])</f>
        <v>0</v>
      </c>
      <c r="O1818" s="65">
        <f>SUM(표1[[#This Row],[해양탐색]:[마을탐험]])</f>
        <v>0</v>
      </c>
    </row>
    <row r="1819" spans="2:15" ht="13.5" customHeight="1" x14ac:dyDescent="0.3">
      <c r="B1819" s="9">
        <f>[1]Discovery!A1825</f>
        <v>70413034</v>
      </c>
      <c r="C1819" s="9" t="str">
        <f>[1]Discovery!B1825</f>
        <v>노로냐 제도</v>
      </c>
      <c r="D1819" s="9" t="str">
        <f>[1]Discovery!E1825</f>
        <v>자연</v>
      </c>
      <c r="E1819" s="9" t="str">
        <f>[1]Discovery!C1825</f>
        <v>지리</v>
      </c>
      <c r="F1819" s="9" t="str">
        <f>[1]Discovery!G1825</f>
        <v>D</v>
      </c>
      <c r="G1819" s="9" t="str">
        <f>IFERROR(VLOOKUP(표1[[#This Row],[명칭]],'문화권 정리'!C:D,2,FALSE),"-")</f>
        <v>남아메리카</v>
      </c>
      <c r="H1819" s="38" t="str">
        <f>IFERROR(COUNTIF([2]OceanDoodad!$Y:$Y,표1[[#This Row],[명칭]]),"-")</f>
        <v>-</v>
      </c>
      <c r="I1819" s="38">
        <f>IFERROR(COUNTIF([1]AdventureDiscoveryGroup!$D$8:$AW$92,표1[[#This Row],[명칭]]),"-")</f>
        <v>0</v>
      </c>
      <c r="J1819" s="38">
        <f>IFERROR(COUNTIF([1]FishDiscoveryGroup!$A:$X,표1[[#This Row],[명칭]]),"-")</f>
        <v>0</v>
      </c>
      <c r="K1819" s="38" t="str">
        <f>IFERROR(COUNTIF([2]Town!$B:$B,표1[[#This Row],[명칭]]),"-")</f>
        <v>-</v>
      </c>
      <c r="L1819" s="38">
        <f>IFERROR(COUNTIF([1]Village!$BR:$BR,표1[[#This Row],[명칭]]),"-")</f>
        <v>0</v>
      </c>
      <c r="M1819" s="38">
        <f>COUNTIF(퀘스트!B:B,표1[[#This Row],[명칭]])</f>
        <v>0</v>
      </c>
      <c r="N1819" s="65">
        <f>COUNTIF([1]VillageDiscoveryGroup!$C:$C,표1[[#This Row],[명칭]])</f>
        <v>0</v>
      </c>
      <c r="O1819" s="65">
        <f>SUM(표1[[#This Row],[해양탐색]:[마을탐험]])</f>
        <v>0</v>
      </c>
    </row>
    <row r="1820" spans="2:15" ht="13.5" customHeight="1" x14ac:dyDescent="0.3">
      <c r="B1820" s="9">
        <f>[1]Discovery!A1826</f>
        <v>70413035</v>
      </c>
      <c r="C1820" s="9" t="str">
        <f>[1]Discovery!B1826</f>
        <v>노르카프곶</v>
      </c>
      <c r="D1820" s="9" t="str">
        <f>[1]Discovery!E1826</f>
        <v>자연</v>
      </c>
      <c r="E1820" s="9" t="str">
        <f>[1]Discovery!C1826</f>
        <v>지리</v>
      </c>
      <c r="F1820" s="9" t="str">
        <f>[1]Discovery!G1826</f>
        <v>A</v>
      </c>
      <c r="G1820" s="9" t="str">
        <f>IFERROR(VLOOKUP(표1[[#This Row],[명칭]],'문화권 정리'!C:D,2,FALSE),"-")</f>
        <v>북유럽</v>
      </c>
      <c r="H1820" s="38" t="str">
        <f>IFERROR(COUNTIF([2]OceanDoodad!$Y:$Y,표1[[#This Row],[명칭]]),"-")</f>
        <v>-</v>
      </c>
      <c r="I1820" s="38">
        <f>IFERROR(COUNTIF([1]AdventureDiscoveryGroup!$D$8:$AW$92,표1[[#This Row],[명칭]]),"-")</f>
        <v>0</v>
      </c>
      <c r="J1820" s="38">
        <f>IFERROR(COUNTIF([1]FishDiscoveryGroup!$A:$X,표1[[#This Row],[명칭]]),"-")</f>
        <v>0</v>
      </c>
      <c r="K1820" s="38" t="str">
        <f>IFERROR(COUNTIF([2]Town!$B:$B,표1[[#This Row],[명칭]]),"-")</f>
        <v>-</v>
      </c>
      <c r="L1820" s="38">
        <f>IFERROR(COUNTIF([1]Village!$BR:$BR,표1[[#This Row],[명칭]]),"-")</f>
        <v>0</v>
      </c>
      <c r="M1820" s="38">
        <f>COUNTIF(퀘스트!B:B,표1[[#This Row],[명칭]])</f>
        <v>0</v>
      </c>
      <c r="N1820" s="65">
        <f>COUNTIF([1]VillageDiscoveryGroup!$C:$C,표1[[#This Row],[명칭]])</f>
        <v>0</v>
      </c>
      <c r="O1820" s="65">
        <f>SUM(표1[[#This Row],[해양탐색]:[마을탐험]])</f>
        <v>0</v>
      </c>
    </row>
    <row r="1821" spans="2:15" ht="13.5" customHeight="1" x14ac:dyDescent="0.3">
      <c r="B1821" s="9">
        <f>[1]Discovery!A1827</f>
        <v>70413036</v>
      </c>
      <c r="C1821" s="9" t="str">
        <f>[1]Discovery!B1827</f>
        <v>뉴기니섬</v>
      </c>
      <c r="D1821" s="9" t="str">
        <f>[1]Discovery!E1827</f>
        <v>자연</v>
      </c>
      <c r="E1821" s="9" t="str">
        <f>[1]Discovery!C1827</f>
        <v>지리</v>
      </c>
      <c r="F1821" s="9" t="str">
        <f>[1]Discovery!G1827</f>
        <v>C</v>
      </c>
      <c r="G1821" s="9" t="str">
        <f>IFERROR(VLOOKUP(표1[[#This Row],[명칭]],'문화권 정리'!C:D,2,FALSE),"-")</f>
        <v>동남아시아</v>
      </c>
      <c r="H1821" s="38" t="str">
        <f>IFERROR(COUNTIF([2]OceanDoodad!$Y:$Y,표1[[#This Row],[명칭]]),"-")</f>
        <v>-</v>
      </c>
      <c r="I1821" s="38">
        <f>IFERROR(COUNTIF([1]AdventureDiscoveryGroup!$D$8:$AW$92,표1[[#This Row],[명칭]]),"-")</f>
        <v>0</v>
      </c>
      <c r="J1821" s="38">
        <f>IFERROR(COUNTIF([1]FishDiscoveryGroup!$A:$X,표1[[#This Row],[명칭]]),"-")</f>
        <v>0</v>
      </c>
      <c r="K1821" s="38" t="str">
        <f>IFERROR(COUNTIF([2]Town!$B:$B,표1[[#This Row],[명칭]]),"-")</f>
        <v>-</v>
      </c>
      <c r="L1821" s="38">
        <f>IFERROR(COUNTIF([1]Village!$BR:$BR,표1[[#This Row],[명칭]]),"-")</f>
        <v>0</v>
      </c>
      <c r="M1821" s="38">
        <f>COUNTIF(퀘스트!B:B,표1[[#This Row],[명칭]])</f>
        <v>0</v>
      </c>
      <c r="N1821" s="65">
        <f>COUNTIF([1]VillageDiscoveryGroup!$C:$C,표1[[#This Row],[명칭]])</f>
        <v>0</v>
      </c>
      <c r="O1821" s="65">
        <f>SUM(표1[[#This Row],[해양탐색]:[마을탐험]])</f>
        <v>0</v>
      </c>
    </row>
    <row r="1822" spans="2:15" ht="13.5" customHeight="1" x14ac:dyDescent="0.3">
      <c r="B1822" s="9">
        <f>[1]Discovery!A1828</f>
        <v>70413037</v>
      </c>
      <c r="C1822" s="9" t="str">
        <f>[1]Discovery!B1828</f>
        <v>뉴브리튼섬</v>
      </c>
      <c r="D1822" s="9" t="str">
        <f>[1]Discovery!E1828</f>
        <v>자연</v>
      </c>
      <c r="E1822" s="9" t="str">
        <f>[1]Discovery!C1828</f>
        <v>지리</v>
      </c>
      <c r="F1822" s="9" t="str">
        <f>[1]Discovery!G1828</f>
        <v>A</v>
      </c>
      <c r="G1822" s="9" t="str">
        <f>IFERROR(VLOOKUP(표1[[#This Row],[명칭]],'문화권 정리'!C:D,2,FALSE),"-")</f>
        <v>동남아시아</v>
      </c>
      <c r="H1822" s="38" t="str">
        <f>IFERROR(COUNTIF([2]OceanDoodad!$Y:$Y,표1[[#This Row],[명칭]]),"-")</f>
        <v>-</v>
      </c>
      <c r="I1822" s="38">
        <f>IFERROR(COUNTIF([1]AdventureDiscoveryGroup!$D$8:$AW$92,표1[[#This Row],[명칭]]),"-")</f>
        <v>0</v>
      </c>
      <c r="J1822" s="38">
        <f>IFERROR(COUNTIF([1]FishDiscoveryGroup!$A:$X,표1[[#This Row],[명칭]]),"-")</f>
        <v>0</v>
      </c>
      <c r="K1822" s="38" t="str">
        <f>IFERROR(COUNTIF([2]Town!$B:$B,표1[[#This Row],[명칭]]),"-")</f>
        <v>-</v>
      </c>
      <c r="L1822" s="38">
        <f>IFERROR(COUNTIF([1]Village!$BR:$BR,표1[[#This Row],[명칭]]),"-")</f>
        <v>0</v>
      </c>
      <c r="M1822" s="38">
        <f>COUNTIF(퀘스트!B:B,표1[[#This Row],[명칭]])</f>
        <v>0</v>
      </c>
      <c r="N1822" s="65">
        <f>COUNTIF([1]VillageDiscoveryGroup!$C:$C,표1[[#This Row],[명칭]])</f>
        <v>0</v>
      </c>
      <c r="O1822" s="65">
        <f>SUM(표1[[#This Row],[해양탐색]:[마을탐험]])</f>
        <v>0</v>
      </c>
    </row>
    <row r="1823" spans="2:15" ht="13.5" customHeight="1" x14ac:dyDescent="0.3">
      <c r="B1823" s="9">
        <f>[1]Discovery!A1829</f>
        <v>70413038</v>
      </c>
      <c r="C1823" s="9" t="str">
        <f>[1]Discovery!B1829</f>
        <v>뉴칼레도니아섬</v>
      </c>
      <c r="D1823" s="9" t="str">
        <f>[1]Discovery!E1829</f>
        <v>자연</v>
      </c>
      <c r="E1823" s="9" t="str">
        <f>[1]Discovery!C1829</f>
        <v>지리</v>
      </c>
      <c r="F1823" s="9" t="str">
        <f>[1]Discovery!G1829</f>
        <v>A</v>
      </c>
      <c r="G1823" s="9" t="str">
        <f>IFERROR(VLOOKUP(표1[[#This Row],[명칭]],'문화권 정리'!C:D,2,FALSE),"-")</f>
        <v>오세아니아</v>
      </c>
      <c r="H1823" s="38" t="str">
        <f>IFERROR(COUNTIF([2]OceanDoodad!$Y:$Y,표1[[#This Row],[명칭]]),"-")</f>
        <v>-</v>
      </c>
      <c r="I1823" s="38">
        <f>IFERROR(COUNTIF([1]AdventureDiscoveryGroup!$D$8:$AW$92,표1[[#This Row],[명칭]]),"-")</f>
        <v>0</v>
      </c>
      <c r="J1823" s="38">
        <f>IFERROR(COUNTIF([1]FishDiscoveryGroup!$A:$X,표1[[#This Row],[명칭]]),"-")</f>
        <v>0</v>
      </c>
      <c r="K1823" s="38" t="str">
        <f>IFERROR(COUNTIF([2]Town!$B:$B,표1[[#This Row],[명칭]]),"-")</f>
        <v>-</v>
      </c>
      <c r="L1823" s="38">
        <f>IFERROR(COUNTIF([1]Village!$BR:$BR,표1[[#This Row],[명칭]]),"-")</f>
        <v>0</v>
      </c>
      <c r="M1823" s="38">
        <f>COUNTIF(퀘스트!B:B,표1[[#This Row],[명칭]])</f>
        <v>0</v>
      </c>
      <c r="N1823" s="65">
        <f>COUNTIF([1]VillageDiscoveryGroup!$C:$C,표1[[#This Row],[명칭]])</f>
        <v>0</v>
      </c>
      <c r="O1823" s="65">
        <f>SUM(표1[[#This Row],[해양탐색]:[마을탐험]])</f>
        <v>0</v>
      </c>
    </row>
    <row r="1824" spans="2:15" ht="13.5" customHeight="1" x14ac:dyDescent="0.3">
      <c r="B1824" s="9">
        <f>[1]Discovery!A1830</f>
        <v>70413039</v>
      </c>
      <c r="C1824" s="9" t="str">
        <f>[1]Discovery!B1830</f>
        <v>뉴헤브리디스제도</v>
      </c>
      <c r="D1824" s="9" t="str">
        <f>[1]Discovery!E1830</f>
        <v>자연</v>
      </c>
      <c r="E1824" s="9" t="str">
        <f>[1]Discovery!C1830</f>
        <v>지리</v>
      </c>
      <c r="F1824" s="9" t="str">
        <f>[1]Discovery!G1830</f>
        <v>B</v>
      </c>
      <c r="G1824" s="9" t="str">
        <f>IFERROR(VLOOKUP(표1[[#This Row],[명칭]],'문화권 정리'!C:D,2,FALSE),"-")</f>
        <v>오세아니아</v>
      </c>
      <c r="H1824" s="38" t="str">
        <f>IFERROR(COUNTIF([2]OceanDoodad!$Y:$Y,표1[[#This Row],[명칭]]),"-")</f>
        <v>-</v>
      </c>
      <c r="I1824" s="38">
        <f>IFERROR(COUNTIF([1]AdventureDiscoveryGroup!$D$8:$AW$92,표1[[#This Row],[명칭]]),"-")</f>
        <v>0</v>
      </c>
      <c r="J1824" s="38">
        <f>IFERROR(COUNTIF([1]FishDiscoveryGroup!$A:$X,표1[[#This Row],[명칭]]),"-")</f>
        <v>0</v>
      </c>
      <c r="K1824" s="38" t="str">
        <f>IFERROR(COUNTIF([2]Town!$B:$B,표1[[#This Row],[명칭]]),"-")</f>
        <v>-</v>
      </c>
      <c r="L1824" s="38">
        <f>IFERROR(COUNTIF([1]Village!$BR:$BR,표1[[#This Row],[명칭]]),"-")</f>
        <v>0</v>
      </c>
      <c r="M1824" s="38">
        <f>COUNTIF(퀘스트!B:B,표1[[#This Row],[명칭]])</f>
        <v>0</v>
      </c>
      <c r="N1824" s="65">
        <f>COUNTIF([1]VillageDiscoveryGroup!$C:$C,표1[[#This Row],[명칭]])</f>
        <v>0</v>
      </c>
      <c r="O1824" s="65">
        <f>SUM(표1[[#This Row],[해양탐색]:[마을탐험]])</f>
        <v>0</v>
      </c>
    </row>
    <row r="1825" spans="2:15" ht="13.5" customHeight="1" x14ac:dyDescent="0.3">
      <c r="B1825" s="9">
        <f>[1]Discovery!A1831</f>
        <v>70413040</v>
      </c>
      <c r="C1825" s="9" t="str">
        <f>[1]Discovery!B1831</f>
        <v>다뉴브강</v>
      </c>
      <c r="D1825" s="9" t="str">
        <f>[1]Discovery!E1831</f>
        <v>자연</v>
      </c>
      <c r="E1825" s="9" t="str">
        <f>[1]Discovery!C1831</f>
        <v>지리</v>
      </c>
      <c r="F1825" s="9" t="str">
        <f>[1]Discovery!G1831</f>
        <v>C</v>
      </c>
      <c r="G1825" s="9" t="str">
        <f>IFERROR(VLOOKUP(표1[[#This Row],[명칭]],'문화권 정리'!C:D,2,FALSE),"-")</f>
        <v>지중해</v>
      </c>
      <c r="H1825" s="38" t="str">
        <f>IFERROR(COUNTIF([2]OceanDoodad!$Y:$Y,표1[[#This Row],[명칭]]),"-")</f>
        <v>-</v>
      </c>
      <c r="I1825" s="38">
        <f>IFERROR(COUNTIF([1]AdventureDiscoveryGroup!$D$8:$AW$92,표1[[#This Row],[명칭]]),"-")</f>
        <v>0</v>
      </c>
      <c r="J1825" s="38">
        <f>IFERROR(COUNTIF([1]FishDiscoveryGroup!$A:$X,표1[[#This Row],[명칭]]),"-")</f>
        <v>0</v>
      </c>
      <c r="K1825" s="38" t="str">
        <f>IFERROR(COUNTIF([2]Town!$B:$B,표1[[#This Row],[명칭]]),"-")</f>
        <v>-</v>
      </c>
      <c r="L1825" s="38">
        <f>IFERROR(COUNTIF([1]Village!$BR:$BR,표1[[#This Row],[명칭]]),"-")</f>
        <v>0</v>
      </c>
      <c r="M1825" s="38">
        <f>COUNTIF(퀘스트!B:B,표1[[#This Row],[명칭]])</f>
        <v>0</v>
      </c>
      <c r="N1825" s="65">
        <f>COUNTIF([1]VillageDiscoveryGroup!$C:$C,표1[[#This Row],[명칭]])</f>
        <v>0</v>
      </c>
      <c r="O1825" s="65">
        <f>SUM(표1[[#This Row],[해양탐색]:[마을탐험]])</f>
        <v>0</v>
      </c>
    </row>
    <row r="1826" spans="2:15" ht="13.5" customHeight="1" x14ac:dyDescent="0.3">
      <c r="B1826" s="9">
        <f>[1]Discovery!A1832</f>
        <v>70413041</v>
      </c>
      <c r="C1826" s="9" t="str">
        <f>[1]Discovery!B1832</f>
        <v>다리엔만</v>
      </c>
      <c r="D1826" s="9" t="str">
        <f>[1]Discovery!E1832</f>
        <v>자연</v>
      </c>
      <c r="E1826" s="9" t="str">
        <f>[1]Discovery!C1832</f>
        <v>지리</v>
      </c>
      <c r="F1826" s="9" t="str">
        <f>[1]Discovery!G1832</f>
        <v>D</v>
      </c>
      <c r="G1826" s="9" t="str">
        <f>IFERROR(VLOOKUP(표1[[#This Row],[명칭]],'문화권 정리'!C:D,2,FALSE),"-")</f>
        <v>중앙아메리카</v>
      </c>
      <c r="H1826" s="38" t="str">
        <f>IFERROR(COUNTIF([2]OceanDoodad!$Y:$Y,표1[[#This Row],[명칭]]),"-")</f>
        <v>-</v>
      </c>
      <c r="I1826" s="38">
        <f>IFERROR(COUNTIF([1]AdventureDiscoveryGroup!$D$8:$AW$92,표1[[#This Row],[명칭]]),"-")</f>
        <v>0</v>
      </c>
      <c r="J1826" s="38">
        <f>IFERROR(COUNTIF([1]FishDiscoveryGroup!$A:$X,표1[[#This Row],[명칭]]),"-")</f>
        <v>0</v>
      </c>
      <c r="K1826" s="38" t="str">
        <f>IFERROR(COUNTIF([2]Town!$B:$B,표1[[#This Row],[명칭]]),"-")</f>
        <v>-</v>
      </c>
      <c r="L1826" s="38">
        <f>IFERROR(COUNTIF([1]Village!$BR:$BR,표1[[#This Row],[명칭]]),"-")</f>
        <v>0</v>
      </c>
      <c r="M1826" s="38">
        <f>COUNTIF(퀘스트!B:B,표1[[#This Row],[명칭]])</f>
        <v>0</v>
      </c>
      <c r="N1826" s="65">
        <f>COUNTIF([1]VillageDiscoveryGroup!$C:$C,표1[[#This Row],[명칭]])</f>
        <v>0</v>
      </c>
      <c r="O1826" s="65">
        <f>SUM(표1[[#This Row],[해양탐색]:[마을탐험]])</f>
        <v>0</v>
      </c>
    </row>
    <row r="1827" spans="2:15" ht="13.5" customHeight="1" x14ac:dyDescent="0.3">
      <c r="B1827" s="9">
        <f>[1]Discovery!A1833</f>
        <v>70413042</v>
      </c>
      <c r="C1827" s="9" t="str">
        <f>[1]Discovery!B1833</f>
        <v>다리엔산맥</v>
      </c>
      <c r="D1827" s="9" t="str">
        <f>[1]Discovery!E1833</f>
        <v>자연</v>
      </c>
      <c r="E1827" s="9" t="str">
        <f>[1]Discovery!C1833</f>
        <v>지리</v>
      </c>
      <c r="F1827" s="9" t="str">
        <f>[1]Discovery!G1833</f>
        <v>B</v>
      </c>
      <c r="G1827" s="9" t="str">
        <f>IFERROR(VLOOKUP(표1[[#This Row],[명칭]],'문화권 정리'!C:D,2,FALSE),"-")</f>
        <v>중앙아메리카</v>
      </c>
      <c r="H1827" s="38" t="str">
        <f>IFERROR(COUNTIF([2]OceanDoodad!$Y:$Y,표1[[#This Row],[명칭]]),"-")</f>
        <v>-</v>
      </c>
      <c r="I1827" s="38">
        <f>IFERROR(COUNTIF([1]AdventureDiscoveryGroup!$D$8:$AW$92,표1[[#This Row],[명칭]]),"-")</f>
        <v>0</v>
      </c>
      <c r="J1827" s="38">
        <f>IFERROR(COUNTIF([1]FishDiscoveryGroup!$A:$X,표1[[#This Row],[명칭]]),"-")</f>
        <v>0</v>
      </c>
      <c r="K1827" s="38" t="str">
        <f>IFERROR(COUNTIF([2]Town!$B:$B,표1[[#This Row],[명칭]]),"-")</f>
        <v>-</v>
      </c>
      <c r="L1827" s="38">
        <f>IFERROR(COUNTIF([1]Village!$BR:$BR,표1[[#This Row],[명칭]]),"-")</f>
        <v>0</v>
      </c>
      <c r="M1827" s="38">
        <f>COUNTIF(퀘스트!B:B,표1[[#This Row],[명칭]])</f>
        <v>0</v>
      </c>
      <c r="N1827" s="65">
        <f>COUNTIF([1]VillageDiscoveryGroup!$C:$C,표1[[#This Row],[명칭]])</f>
        <v>0</v>
      </c>
      <c r="O1827" s="65">
        <f>SUM(표1[[#This Row],[해양탐색]:[마을탐험]])</f>
        <v>0</v>
      </c>
    </row>
    <row r="1828" spans="2:15" ht="13.5" customHeight="1" x14ac:dyDescent="0.3">
      <c r="B1828" s="9">
        <f>[1]Discovery!A1834</f>
        <v>70413043</v>
      </c>
      <c r="C1828" s="9" t="str">
        <f>[1]Discovery!B1834</f>
        <v>다이아몬드 헤드</v>
      </c>
      <c r="D1828" s="9" t="str">
        <f>[1]Discovery!E1834</f>
        <v>자연</v>
      </c>
      <c r="E1828" s="9" t="str">
        <f>[1]Discovery!C1834</f>
        <v>지리</v>
      </c>
      <c r="F1828" s="9" t="str">
        <f>[1]Discovery!G1834</f>
        <v>A</v>
      </c>
      <c r="G1828" s="9" t="str">
        <f>IFERROR(VLOOKUP(표1[[#This Row],[명칭]],'문화권 정리'!C:D,2,FALSE),"-")</f>
        <v>태평양</v>
      </c>
      <c r="H1828" s="38" t="str">
        <f>IFERROR(COUNTIF([2]OceanDoodad!$Y:$Y,표1[[#This Row],[명칭]]),"-")</f>
        <v>-</v>
      </c>
      <c r="I1828" s="38">
        <f>IFERROR(COUNTIF([1]AdventureDiscoveryGroup!$D$8:$AW$92,표1[[#This Row],[명칭]]),"-")</f>
        <v>0</v>
      </c>
      <c r="J1828" s="38">
        <f>IFERROR(COUNTIF([1]FishDiscoveryGroup!$A:$X,표1[[#This Row],[명칭]]),"-")</f>
        <v>0</v>
      </c>
      <c r="K1828" s="38" t="str">
        <f>IFERROR(COUNTIF([2]Town!$B:$B,표1[[#This Row],[명칭]]),"-")</f>
        <v>-</v>
      </c>
      <c r="L1828" s="38">
        <f>IFERROR(COUNTIF([1]Village!$BR:$BR,표1[[#This Row],[명칭]]),"-")</f>
        <v>0</v>
      </c>
      <c r="M1828" s="38">
        <f>COUNTIF(퀘스트!B:B,표1[[#This Row],[명칭]])</f>
        <v>0</v>
      </c>
      <c r="N1828" s="65">
        <f>COUNTIF([1]VillageDiscoveryGroup!$C:$C,표1[[#This Row],[명칭]])</f>
        <v>0</v>
      </c>
      <c r="O1828" s="65">
        <f>SUM(표1[[#This Row],[해양탐색]:[마을탐험]])</f>
        <v>0</v>
      </c>
    </row>
    <row r="1829" spans="2:15" ht="13.5" customHeight="1" x14ac:dyDescent="0.3">
      <c r="B1829" s="9">
        <f>[1]Discovery!A1835</f>
        <v>70413044</v>
      </c>
      <c r="C1829" s="9" t="str">
        <f>[1]Discovery!B1835</f>
        <v>호베강</v>
      </c>
      <c r="D1829" s="9" t="str">
        <f>[1]Discovery!E1835</f>
        <v>자연</v>
      </c>
      <c r="E1829" s="9" t="str">
        <f>[1]Discovery!C1835</f>
        <v>지리</v>
      </c>
      <c r="F1829" s="9" t="str">
        <f>[1]Discovery!G1835</f>
        <v>D</v>
      </c>
      <c r="G1829" s="9" t="str">
        <f>IFERROR(VLOOKUP(표1[[#This Row],[명칭]],'문화권 정리'!C:D,2,FALSE),"-")</f>
        <v>동아시아</v>
      </c>
      <c r="H1829" s="38" t="str">
        <f>IFERROR(COUNTIF([2]OceanDoodad!$Y:$Y,표1[[#This Row],[명칭]]),"-")</f>
        <v>-</v>
      </c>
      <c r="I1829" s="38">
        <f>IFERROR(COUNTIF([1]AdventureDiscoveryGroup!$D$8:$AW$92,표1[[#This Row],[명칭]]),"-")</f>
        <v>0</v>
      </c>
      <c r="J1829" s="38">
        <f>IFERROR(COUNTIF([1]FishDiscoveryGroup!$A:$X,표1[[#This Row],[명칭]]),"-")</f>
        <v>0</v>
      </c>
      <c r="K1829" s="38" t="str">
        <f>IFERROR(COUNTIF([2]Town!$B:$B,표1[[#This Row],[명칭]]),"-")</f>
        <v>-</v>
      </c>
      <c r="L1829" s="38">
        <f>IFERROR(COUNTIF([1]Village!$BR:$BR,표1[[#This Row],[명칭]]),"-")</f>
        <v>0</v>
      </c>
      <c r="M1829" s="38">
        <f>COUNTIF(퀘스트!B:B,표1[[#This Row],[명칭]])</f>
        <v>0</v>
      </c>
      <c r="N1829" s="65">
        <f>COUNTIF([1]VillageDiscoveryGroup!$C:$C,표1[[#This Row],[명칭]])</f>
        <v>0</v>
      </c>
      <c r="O1829" s="65">
        <f>SUM(표1[[#This Row],[해양탐색]:[마을탐험]])</f>
        <v>0</v>
      </c>
    </row>
    <row r="1830" spans="2:15" ht="13.5" customHeight="1" x14ac:dyDescent="0.3">
      <c r="B1830" s="9">
        <f>[1]Discovery!A1836</f>
        <v>70413045</v>
      </c>
      <c r="C1830" s="9" t="str">
        <f>[1]Discovery!B1836</f>
        <v>달의 계곡</v>
      </c>
      <c r="D1830" s="9" t="str">
        <f>[1]Discovery!E1836</f>
        <v>자연</v>
      </c>
      <c r="E1830" s="9" t="str">
        <f>[1]Discovery!C1836</f>
        <v>지리</v>
      </c>
      <c r="F1830" s="9" t="str">
        <f>[1]Discovery!G1836</f>
        <v>A</v>
      </c>
      <c r="G1830" s="9" t="str">
        <f>IFERROR(VLOOKUP(표1[[#This Row],[명칭]],'문화권 정리'!C:D,2,FALSE),"-")</f>
        <v>남아메리카</v>
      </c>
      <c r="H1830" s="38" t="str">
        <f>IFERROR(COUNTIF([2]OceanDoodad!$Y:$Y,표1[[#This Row],[명칭]]),"-")</f>
        <v>-</v>
      </c>
      <c r="I1830" s="38">
        <f>IFERROR(COUNTIF([1]AdventureDiscoveryGroup!$D$8:$AW$92,표1[[#This Row],[명칭]]),"-")</f>
        <v>0</v>
      </c>
      <c r="J1830" s="38">
        <f>IFERROR(COUNTIF([1]FishDiscoveryGroup!$A:$X,표1[[#This Row],[명칭]]),"-")</f>
        <v>0</v>
      </c>
      <c r="K1830" s="38" t="str">
        <f>IFERROR(COUNTIF([2]Town!$B:$B,표1[[#This Row],[명칭]]),"-")</f>
        <v>-</v>
      </c>
      <c r="L1830" s="38">
        <f>IFERROR(COUNTIF([1]Village!$BR:$BR,표1[[#This Row],[명칭]]),"-")</f>
        <v>0</v>
      </c>
      <c r="M1830" s="38">
        <f>COUNTIF(퀘스트!B:B,표1[[#This Row],[명칭]])</f>
        <v>0</v>
      </c>
      <c r="N1830" s="65">
        <f>COUNTIF([1]VillageDiscoveryGroup!$C:$C,표1[[#This Row],[명칭]])</f>
        <v>0</v>
      </c>
      <c r="O1830" s="65">
        <f>SUM(표1[[#This Row],[해양탐색]:[마을탐험]])</f>
        <v>0</v>
      </c>
    </row>
    <row r="1831" spans="2:15" ht="13.5" customHeight="1" x14ac:dyDescent="0.3">
      <c r="B1831" s="9">
        <f>[1]Discovery!A1837</f>
        <v>70413046</v>
      </c>
      <c r="C1831" s="9" t="str">
        <f>[1]Discovery!B1837</f>
        <v>대순다열도</v>
      </c>
      <c r="D1831" s="9" t="str">
        <f>[1]Discovery!E1837</f>
        <v>자연</v>
      </c>
      <c r="E1831" s="9" t="str">
        <f>[1]Discovery!C1837</f>
        <v>지리</v>
      </c>
      <c r="F1831" s="9" t="str">
        <f>[1]Discovery!G1837</f>
        <v>B</v>
      </c>
      <c r="G1831" s="9" t="str">
        <f>IFERROR(VLOOKUP(표1[[#This Row],[명칭]],'문화권 정리'!C:D,2,FALSE),"-")</f>
        <v>동남아시아</v>
      </c>
      <c r="H1831" s="38" t="str">
        <f>IFERROR(COUNTIF([2]OceanDoodad!$Y:$Y,표1[[#This Row],[명칭]]),"-")</f>
        <v>-</v>
      </c>
      <c r="I1831" s="38">
        <f>IFERROR(COUNTIF([1]AdventureDiscoveryGroup!$D$8:$AW$92,표1[[#This Row],[명칭]]),"-")</f>
        <v>0</v>
      </c>
      <c r="J1831" s="38">
        <f>IFERROR(COUNTIF([1]FishDiscoveryGroup!$A:$X,표1[[#This Row],[명칭]]),"-")</f>
        <v>0</v>
      </c>
      <c r="K1831" s="38" t="str">
        <f>IFERROR(COUNTIF([2]Town!$B:$B,표1[[#This Row],[명칭]]),"-")</f>
        <v>-</v>
      </c>
      <c r="L1831" s="38">
        <f>IFERROR(COUNTIF([1]Village!$BR:$BR,표1[[#This Row],[명칭]]),"-")</f>
        <v>0</v>
      </c>
      <c r="M1831" s="38">
        <f>COUNTIF(퀘스트!B:B,표1[[#This Row],[명칭]])</f>
        <v>0</v>
      </c>
      <c r="N1831" s="65">
        <f>COUNTIF([1]VillageDiscoveryGroup!$C:$C,표1[[#This Row],[명칭]])</f>
        <v>0</v>
      </c>
      <c r="O1831" s="65">
        <f>SUM(표1[[#This Row],[해양탐색]:[마을탐험]])</f>
        <v>0</v>
      </c>
    </row>
    <row r="1832" spans="2:15" ht="13.5" customHeight="1" x14ac:dyDescent="0.3">
      <c r="B1832" s="9">
        <f>[1]Discovery!A1838</f>
        <v>70413047</v>
      </c>
      <c r="C1832" s="9" t="str">
        <f>[1]Discovery!B1838</f>
        <v>대염호</v>
      </c>
      <c r="D1832" s="9" t="str">
        <f>[1]Discovery!E1838</f>
        <v>자연</v>
      </c>
      <c r="E1832" s="9" t="str">
        <f>[1]Discovery!C1838</f>
        <v>지리</v>
      </c>
      <c r="F1832" s="9" t="str">
        <f>[1]Discovery!G1838</f>
        <v>B</v>
      </c>
      <c r="G1832" s="9" t="str">
        <f>IFERROR(VLOOKUP(표1[[#This Row],[명칭]],'문화권 정리'!C:D,2,FALSE),"-")</f>
        <v>북아프리카</v>
      </c>
      <c r="H1832" s="38" t="str">
        <f>IFERROR(COUNTIF([2]OceanDoodad!$Y:$Y,표1[[#This Row],[명칭]]),"-")</f>
        <v>-</v>
      </c>
      <c r="I1832" s="38">
        <f>IFERROR(COUNTIF([1]AdventureDiscoveryGroup!$D$8:$AW$92,표1[[#This Row],[명칭]]),"-")</f>
        <v>0</v>
      </c>
      <c r="J1832" s="38">
        <f>IFERROR(COUNTIF([1]FishDiscoveryGroup!$A:$X,표1[[#This Row],[명칭]]),"-")</f>
        <v>0</v>
      </c>
      <c r="K1832" s="38" t="str">
        <f>IFERROR(COUNTIF([2]Town!$B:$B,표1[[#This Row],[명칭]]),"-")</f>
        <v>-</v>
      </c>
      <c r="L1832" s="38">
        <f>IFERROR(COUNTIF([1]Village!$BR:$BR,표1[[#This Row],[명칭]]),"-")</f>
        <v>0</v>
      </c>
      <c r="M1832" s="38">
        <f>COUNTIF(퀘스트!B:B,표1[[#This Row],[명칭]])</f>
        <v>0</v>
      </c>
      <c r="N1832" s="65">
        <f>COUNTIF([1]VillageDiscoveryGroup!$C:$C,표1[[#This Row],[명칭]])</f>
        <v>0</v>
      </c>
      <c r="O1832" s="65">
        <f>SUM(표1[[#This Row],[해양탐색]:[마을탐험]])</f>
        <v>0</v>
      </c>
    </row>
    <row r="1833" spans="2:15" ht="13.5" customHeight="1" x14ac:dyDescent="0.3">
      <c r="B1833" s="9">
        <f>[1]Discovery!A1839</f>
        <v>70413048</v>
      </c>
      <c r="C1833" s="9" t="str">
        <f>[1]Discovery!B1839</f>
        <v>더사운드해협</v>
      </c>
      <c r="D1833" s="9" t="str">
        <f>[1]Discovery!E1839</f>
        <v>자연</v>
      </c>
      <c r="E1833" s="9" t="str">
        <f>[1]Discovery!C1839</f>
        <v>지리</v>
      </c>
      <c r="F1833" s="9" t="str">
        <f>[1]Discovery!G1839</f>
        <v>B</v>
      </c>
      <c r="G1833" s="9" t="str">
        <f>IFERROR(VLOOKUP(표1[[#This Row],[명칭]],'문화권 정리'!C:D,2,FALSE),"-")</f>
        <v>북유럽</v>
      </c>
      <c r="H1833" s="38" t="str">
        <f>IFERROR(COUNTIF([2]OceanDoodad!$Y:$Y,표1[[#This Row],[명칭]]),"-")</f>
        <v>-</v>
      </c>
      <c r="I1833" s="38">
        <f>IFERROR(COUNTIF([1]AdventureDiscoveryGroup!$D$8:$AW$92,표1[[#This Row],[명칭]]),"-")</f>
        <v>0</v>
      </c>
      <c r="J1833" s="38">
        <f>IFERROR(COUNTIF([1]FishDiscoveryGroup!$A:$X,표1[[#This Row],[명칭]]),"-")</f>
        <v>0</v>
      </c>
      <c r="K1833" s="38" t="str">
        <f>IFERROR(COUNTIF([2]Town!$B:$B,표1[[#This Row],[명칭]]),"-")</f>
        <v>-</v>
      </c>
      <c r="L1833" s="38">
        <f>IFERROR(COUNTIF([1]Village!$BR:$BR,표1[[#This Row],[명칭]]),"-")</f>
        <v>0</v>
      </c>
      <c r="M1833" s="38">
        <f>COUNTIF(퀘스트!B:B,표1[[#This Row],[명칭]])</f>
        <v>0</v>
      </c>
      <c r="N1833" s="65">
        <f>COUNTIF([1]VillageDiscoveryGroup!$C:$C,표1[[#This Row],[명칭]])</f>
        <v>0</v>
      </c>
      <c r="O1833" s="65">
        <f>SUM(표1[[#This Row],[해양탐색]:[마을탐험]])</f>
        <v>0</v>
      </c>
    </row>
    <row r="1834" spans="2:15" ht="13.5" customHeight="1" x14ac:dyDescent="0.3">
      <c r="B1834" s="9">
        <f>[1]Discovery!A1840</f>
        <v>70413049</v>
      </c>
      <c r="C1834" s="9" t="str">
        <f>[1]Discovery!B1840</f>
        <v>데세아도강</v>
      </c>
      <c r="D1834" s="9" t="str">
        <f>[1]Discovery!E1840</f>
        <v>자연</v>
      </c>
      <c r="E1834" s="9" t="str">
        <f>[1]Discovery!C1840</f>
        <v>지리</v>
      </c>
      <c r="F1834" s="9" t="str">
        <f>[1]Discovery!G1840</f>
        <v>B</v>
      </c>
      <c r="G1834" s="9" t="str">
        <f>IFERROR(VLOOKUP(표1[[#This Row],[명칭]],'문화권 정리'!C:D,2,FALSE),"-")</f>
        <v>남아메리카</v>
      </c>
      <c r="H1834" s="38" t="str">
        <f>IFERROR(COUNTIF([2]OceanDoodad!$Y:$Y,표1[[#This Row],[명칭]]),"-")</f>
        <v>-</v>
      </c>
      <c r="I1834" s="38">
        <f>IFERROR(COUNTIF([1]AdventureDiscoveryGroup!$D$8:$AW$92,표1[[#This Row],[명칭]]),"-")</f>
        <v>0</v>
      </c>
      <c r="J1834" s="38">
        <f>IFERROR(COUNTIF([1]FishDiscoveryGroup!$A:$X,표1[[#This Row],[명칭]]),"-")</f>
        <v>0</v>
      </c>
      <c r="K1834" s="38" t="str">
        <f>IFERROR(COUNTIF([2]Town!$B:$B,표1[[#This Row],[명칭]]),"-")</f>
        <v>-</v>
      </c>
      <c r="L1834" s="38">
        <f>IFERROR(COUNTIF([1]Village!$BR:$BR,표1[[#This Row],[명칭]]),"-")</f>
        <v>0</v>
      </c>
      <c r="M1834" s="38">
        <f>COUNTIF(퀘스트!B:B,표1[[#This Row],[명칭]])</f>
        <v>0</v>
      </c>
      <c r="N1834" s="65">
        <f>COUNTIF([1]VillageDiscoveryGroup!$C:$C,표1[[#This Row],[명칭]])</f>
        <v>0</v>
      </c>
      <c r="O1834" s="65">
        <f>SUM(표1[[#This Row],[해양탐색]:[마을탐험]])</f>
        <v>0</v>
      </c>
    </row>
    <row r="1835" spans="2:15" ht="13.5" customHeight="1" x14ac:dyDescent="0.3">
      <c r="B1835" s="9">
        <f>[1]Discovery!A1841</f>
        <v>70413050</v>
      </c>
      <c r="C1835" s="9" t="str">
        <f>[1]Discovery!B1841</f>
        <v>데스밸리</v>
      </c>
      <c r="D1835" s="9" t="str">
        <f>[1]Discovery!E1841</f>
        <v>자연</v>
      </c>
      <c r="E1835" s="9" t="str">
        <f>[1]Discovery!C1841</f>
        <v>지리</v>
      </c>
      <c r="F1835" s="9" t="str">
        <f>[1]Discovery!G1841</f>
        <v>S</v>
      </c>
      <c r="G1835" s="9" t="str">
        <f>IFERROR(VLOOKUP(표1[[#This Row],[명칭]],'문화권 정리'!C:D,2,FALSE),"-")</f>
        <v>북아메리카</v>
      </c>
      <c r="H1835" s="38" t="str">
        <f>IFERROR(COUNTIF([2]OceanDoodad!$Y:$Y,표1[[#This Row],[명칭]]),"-")</f>
        <v>-</v>
      </c>
      <c r="I1835" s="38">
        <f>IFERROR(COUNTIF([1]AdventureDiscoveryGroup!$D$8:$AW$92,표1[[#This Row],[명칭]]),"-")</f>
        <v>0</v>
      </c>
      <c r="J1835" s="38">
        <f>IFERROR(COUNTIF([1]FishDiscoveryGroup!$A:$X,표1[[#This Row],[명칭]]),"-")</f>
        <v>0</v>
      </c>
      <c r="K1835" s="38" t="str">
        <f>IFERROR(COUNTIF([2]Town!$B:$B,표1[[#This Row],[명칭]]),"-")</f>
        <v>-</v>
      </c>
      <c r="L1835" s="38">
        <f>IFERROR(COUNTIF([1]Village!$BR:$BR,표1[[#This Row],[명칭]]),"-")</f>
        <v>0</v>
      </c>
      <c r="M1835" s="38">
        <f>COUNTIF(퀘스트!B:B,표1[[#This Row],[명칭]])</f>
        <v>0</v>
      </c>
      <c r="N1835" s="65">
        <f>COUNTIF([1]VillageDiscoveryGroup!$C:$C,표1[[#This Row],[명칭]])</f>
        <v>0</v>
      </c>
      <c r="O1835" s="65">
        <f>SUM(표1[[#This Row],[해양탐색]:[마을탐험]])</f>
        <v>0</v>
      </c>
    </row>
    <row r="1836" spans="2:15" ht="13.5" customHeight="1" x14ac:dyDescent="0.3">
      <c r="B1836" s="9" t="str">
        <f>[1]Discovery!A1842</f>
        <v>##70413051</v>
      </c>
      <c r="C1836" s="9" t="str">
        <f>[1]Discovery!B1842</f>
        <v>독도</v>
      </c>
      <c r="D1836" s="9" t="str">
        <f>[1]Discovery!E1842</f>
        <v>자연</v>
      </c>
      <c r="E1836" s="9" t="str">
        <f>[1]Discovery!C1842</f>
        <v>지리</v>
      </c>
      <c r="F1836" s="9" t="str">
        <f>[1]Discovery!G1842</f>
        <v>S</v>
      </c>
      <c r="G1836" s="9" t="str">
        <f>IFERROR(VLOOKUP(표1[[#This Row],[명칭]],'문화권 정리'!C:D,2,FALSE),"-")</f>
        <v>동아시아</v>
      </c>
      <c r="H1836" s="38" t="str">
        <f>IFERROR(COUNTIF([2]OceanDoodad!$Y:$Y,표1[[#This Row],[명칭]]),"-")</f>
        <v>-</v>
      </c>
      <c r="I1836" s="38">
        <f>IFERROR(COUNTIF([1]AdventureDiscoveryGroup!$D$8:$AW$92,표1[[#This Row],[명칭]]),"-")</f>
        <v>0</v>
      </c>
      <c r="J1836" s="38">
        <f>IFERROR(COUNTIF([1]FishDiscoveryGroup!$A:$X,표1[[#This Row],[명칭]]),"-")</f>
        <v>0</v>
      </c>
      <c r="K1836" s="38" t="str">
        <f>IFERROR(COUNTIF([2]Town!$B:$B,표1[[#This Row],[명칭]]),"-")</f>
        <v>-</v>
      </c>
      <c r="L1836" s="38">
        <f>IFERROR(COUNTIF([1]Village!$BR:$BR,표1[[#This Row],[명칭]]),"-")</f>
        <v>0</v>
      </c>
      <c r="M1836" s="38">
        <f>COUNTIF(퀘스트!B:B,표1[[#This Row],[명칭]])</f>
        <v>0</v>
      </c>
      <c r="N1836" s="65">
        <f>COUNTIF([1]VillageDiscoveryGroup!$C:$C,표1[[#This Row],[명칭]])</f>
        <v>0</v>
      </c>
      <c r="O1836" s="65">
        <f>SUM(표1[[#This Row],[해양탐색]:[마을탐험]])</f>
        <v>0</v>
      </c>
    </row>
    <row r="1837" spans="2:15" ht="13.5" customHeight="1" x14ac:dyDescent="0.3">
      <c r="B1837" s="9">
        <f>[1]Discovery!A1843</f>
        <v>70413052</v>
      </c>
      <c r="C1837" s="9" t="str">
        <f>[1]Discovery!B1843</f>
        <v>돈드라곶</v>
      </c>
      <c r="D1837" s="9" t="str">
        <f>[1]Discovery!E1843</f>
        <v>자연</v>
      </c>
      <c r="E1837" s="9" t="str">
        <f>[1]Discovery!C1843</f>
        <v>지리</v>
      </c>
      <c r="F1837" s="9" t="str">
        <f>[1]Discovery!G1843</f>
        <v>S</v>
      </c>
      <c r="G1837" s="9" t="str">
        <f>IFERROR(VLOOKUP(표1[[#This Row],[명칭]],'문화권 정리'!C:D,2,FALSE),"-")</f>
        <v>남아시아</v>
      </c>
      <c r="H1837" s="38" t="str">
        <f>IFERROR(COUNTIF([2]OceanDoodad!$Y:$Y,표1[[#This Row],[명칭]]),"-")</f>
        <v>-</v>
      </c>
      <c r="I1837" s="38">
        <f>IFERROR(COUNTIF([1]AdventureDiscoveryGroup!$D$8:$AW$92,표1[[#This Row],[명칭]]),"-")</f>
        <v>0</v>
      </c>
      <c r="J1837" s="38">
        <f>IFERROR(COUNTIF([1]FishDiscoveryGroup!$A:$X,표1[[#This Row],[명칭]]),"-")</f>
        <v>0</v>
      </c>
      <c r="K1837" s="38" t="str">
        <f>IFERROR(COUNTIF([2]Town!$B:$B,표1[[#This Row],[명칭]]),"-")</f>
        <v>-</v>
      </c>
      <c r="L1837" s="38">
        <f>IFERROR(COUNTIF([1]Village!$BR:$BR,표1[[#This Row],[명칭]]),"-")</f>
        <v>0</v>
      </c>
      <c r="M1837" s="38">
        <f>COUNTIF(퀘스트!B:B,표1[[#This Row],[명칭]])</f>
        <v>0</v>
      </c>
      <c r="N1837" s="65">
        <f>COUNTIF([1]VillageDiscoveryGroup!$C:$C,표1[[#This Row],[명칭]])</f>
        <v>0</v>
      </c>
      <c r="O1837" s="65">
        <f>SUM(표1[[#This Row],[해양탐색]:[마을탐험]])</f>
        <v>0</v>
      </c>
    </row>
    <row r="1838" spans="2:15" ht="13.5" customHeight="1" x14ac:dyDescent="0.3">
      <c r="B1838" s="9">
        <f>[1]Discovery!A1844</f>
        <v>70413053</v>
      </c>
      <c r="C1838" s="9" t="str">
        <f>[1]Discovery!B1844</f>
        <v>돗토리 사구</v>
      </c>
      <c r="D1838" s="9" t="str">
        <f>[1]Discovery!E1844</f>
        <v>자연</v>
      </c>
      <c r="E1838" s="9" t="str">
        <f>[1]Discovery!C1844</f>
        <v>지리</v>
      </c>
      <c r="F1838" s="9" t="str">
        <f>[1]Discovery!G1844</f>
        <v>C</v>
      </c>
      <c r="G1838" s="9" t="str">
        <f>IFERROR(VLOOKUP(표1[[#This Row],[명칭]],'문화권 정리'!C:D,2,FALSE),"-")</f>
        <v>동아시아</v>
      </c>
      <c r="H1838" s="38" t="str">
        <f>IFERROR(COUNTIF([2]OceanDoodad!$Y:$Y,표1[[#This Row],[명칭]]),"-")</f>
        <v>-</v>
      </c>
      <c r="I1838" s="38">
        <f>IFERROR(COUNTIF([1]AdventureDiscoveryGroup!$D$8:$AW$92,표1[[#This Row],[명칭]]),"-")</f>
        <v>0</v>
      </c>
      <c r="J1838" s="38">
        <f>IFERROR(COUNTIF([1]FishDiscoveryGroup!$A:$X,표1[[#This Row],[명칭]]),"-")</f>
        <v>0</v>
      </c>
      <c r="K1838" s="38" t="str">
        <f>IFERROR(COUNTIF([2]Town!$B:$B,표1[[#This Row],[명칭]]),"-")</f>
        <v>-</v>
      </c>
      <c r="L1838" s="38">
        <f>IFERROR(COUNTIF([1]Village!$BR:$BR,표1[[#This Row],[명칭]]),"-")</f>
        <v>0</v>
      </c>
      <c r="M1838" s="38">
        <f>COUNTIF(퀘스트!B:B,표1[[#This Row],[명칭]])</f>
        <v>0</v>
      </c>
      <c r="N1838" s="65">
        <f>COUNTIF([1]VillageDiscoveryGroup!$C:$C,표1[[#This Row],[명칭]])</f>
        <v>0</v>
      </c>
      <c r="O1838" s="65">
        <f>SUM(표1[[#This Row],[해양탐색]:[마을탐험]])</f>
        <v>0</v>
      </c>
    </row>
    <row r="1839" spans="2:15" ht="13.5" customHeight="1" x14ac:dyDescent="0.3">
      <c r="B1839" s="9">
        <f>[1]Discovery!A1845</f>
        <v>70413054</v>
      </c>
      <c r="C1839" s="9" t="str">
        <f>[1]Discovery!B1845</f>
        <v>드레이크 해협</v>
      </c>
      <c r="D1839" s="9" t="str">
        <f>[1]Discovery!E1845</f>
        <v>자연</v>
      </c>
      <c r="E1839" s="9" t="str">
        <f>[1]Discovery!C1845</f>
        <v>지리</v>
      </c>
      <c r="F1839" s="9" t="str">
        <f>[1]Discovery!G1845</f>
        <v>A</v>
      </c>
      <c r="G1839" s="9" t="str">
        <f>IFERROR(VLOOKUP(표1[[#This Row],[명칭]],'문화권 정리'!C:D,2,FALSE),"-")</f>
        <v>남아메리카</v>
      </c>
      <c r="H1839" s="38" t="str">
        <f>IFERROR(COUNTIF([2]OceanDoodad!$Y:$Y,표1[[#This Row],[명칭]]),"-")</f>
        <v>-</v>
      </c>
      <c r="I1839" s="38">
        <f>IFERROR(COUNTIF([1]AdventureDiscoveryGroup!$D$8:$AW$92,표1[[#This Row],[명칭]]),"-")</f>
        <v>0</v>
      </c>
      <c r="J1839" s="38">
        <f>IFERROR(COUNTIF([1]FishDiscoveryGroup!$A:$X,표1[[#This Row],[명칭]]),"-")</f>
        <v>0</v>
      </c>
      <c r="K1839" s="38" t="str">
        <f>IFERROR(COUNTIF([2]Town!$B:$B,표1[[#This Row],[명칭]]),"-")</f>
        <v>-</v>
      </c>
      <c r="L1839" s="38">
        <f>IFERROR(COUNTIF([1]Village!$BR:$BR,표1[[#This Row],[명칭]]),"-")</f>
        <v>0</v>
      </c>
      <c r="M1839" s="38">
        <f>COUNTIF(퀘스트!B:B,표1[[#This Row],[명칭]])</f>
        <v>0</v>
      </c>
      <c r="N1839" s="65">
        <f>COUNTIF([1]VillageDiscoveryGroup!$C:$C,표1[[#This Row],[명칭]])</f>
        <v>0</v>
      </c>
      <c r="O1839" s="65">
        <f>SUM(표1[[#This Row],[해양탐색]:[마을탐험]])</f>
        <v>0</v>
      </c>
    </row>
    <row r="1840" spans="2:15" ht="13.5" customHeight="1" x14ac:dyDescent="0.3">
      <c r="B1840" s="9">
        <f>[1]Discovery!A1846</f>
        <v>70413055</v>
      </c>
      <c r="C1840" s="9" t="str">
        <f>[1]Discovery!B1846</f>
        <v>디퀴스의 석구</v>
      </c>
      <c r="D1840" s="9" t="str">
        <f>[1]Discovery!E1846</f>
        <v>자연</v>
      </c>
      <c r="E1840" s="9" t="str">
        <f>[1]Discovery!C1846</f>
        <v>지리</v>
      </c>
      <c r="F1840" s="9" t="str">
        <f>[1]Discovery!G1846</f>
        <v>A</v>
      </c>
      <c r="G1840" s="9" t="str">
        <f>IFERROR(VLOOKUP(표1[[#This Row],[명칭]],'문화권 정리'!C:D,2,FALSE),"-")</f>
        <v>중앙아메리카</v>
      </c>
      <c r="H1840" s="38" t="str">
        <f>IFERROR(COUNTIF([2]OceanDoodad!$Y:$Y,표1[[#This Row],[명칭]]),"-")</f>
        <v>-</v>
      </c>
      <c r="I1840" s="38">
        <f>IFERROR(COUNTIF([1]AdventureDiscoveryGroup!$D$8:$AW$92,표1[[#This Row],[명칭]]),"-")</f>
        <v>0</v>
      </c>
      <c r="J1840" s="38">
        <f>IFERROR(COUNTIF([1]FishDiscoveryGroup!$A:$X,표1[[#This Row],[명칭]]),"-")</f>
        <v>0</v>
      </c>
      <c r="K1840" s="38" t="str">
        <f>IFERROR(COUNTIF([2]Town!$B:$B,표1[[#This Row],[명칭]]),"-")</f>
        <v>-</v>
      </c>
      <c r="L1840" s="38">
        <f>IFERROR(COUNTIF([1]Village!$BR:$BR,표1[[#This Row],[명칭]]),"-")</f>
        <v>0</v>
      </c>
      <c r="M1840" s="38">
        <f>COUNTIF(퀘스트!B:B,표1[[#This Row],[명칭]])</f>
        <v>0</v>
      </c>
      <c r="N1840" s="65">
        <f>COUNTIF([1]VillageDiscoveryGroup!$C:$C,표1[[#This Row],[명칭]])</f>
        <v>0</v>
      </c>
      <c r="O1840" s="65">
        <f>SUM(표1[[#This Row],[해양탐색]:[마을탐험]])</f>
        <v>0</v>
      </c>
    </row>
    <row r="1841" spans="2:15" ht="13.5" customHeight="1" x14ac:dyDescent="0.3">
      <c r="B1841" s="9">
        <f>[1]Discovery!A1847</f>
        <v>70413056</v>
      </c>
      <c r="C1841" s="9" t="str">
        <f>[1]Discovery!B1847</f>
        <v>라도가호</v>
      </c>
      <c r="D1841" s="9" t="str">
        <f>[1]Discovery!E1847</f>
        <v>자연</v>
      </c>
      <c r="E1841" s="9" t="str">
        <f>[1]Discovery!C1847</f>
        <v>지리</v>
      </c>
      <c r="F1841" s="9" t="str">
        <f>[1]Discovery!G1847</f>
        <v>A</v>
      </c>
      <c r="G1841" s="9" t="str">
        <f>IFERROR(VLOOKUP(표1[[#This Row],[명칭]],'문화권 정리'!C:D,2,FALSE),"-")</f>
        <v>지중해</v>
      </c>
      <c r="H1841" s="38" t="str">
        <f>IFERROR(COUNTIF([2]OceanDoodad!$Y:$Y,표1[[#This Row],[명칭]]),"-")</f>
        <v>-</v>
      </c>
      <c r="I1841" s="38">
        <f>IFERROR(COUNTIF([1]AdventureDiscoveryGroup!$D$8:$AW$92,표1[[#This Row],[명칭]]),"-")</f>
        <v>0</v>
      </c>
      <c r="J1841" s="38">
        <f>IFERROR(COUNTIF([1]FishDiscoveryGroup!$A:$X,표1[[#This Row],[명칭]]),"-")</f>
        <v>0</v>
      </c>
      <c r="K1841" s="38" t="str">
        <f>IFERROR(COUNTIF([2]Town!$B:$B,표1[[#This Row],[명칭]]),"-")</f>
        <v>-</v>
      </c>
      <c r="L1841" s="38">
        <f>IFERROR(COUNTIF([1]Village!$BR:$BR,표1[[#This Row],[명칭]]),"-")</f>
        <v>0</v>
      </c>
      <c r="M1841" s="38">
        <f>COUNTIF(퀘스트!B:B,표1[[#This Row],[명칭]])</f>
        <v>0</v>
      </c>
      <c r="N1841" s="65">
        <f>COUNTIF([1]VillageDiscoveryGroup!$C:$C,표1[[#This Row],[명칭]])</f>
        <v>0</v>
      </c>
      <c r="O1841" s="65">
        <f>SUM(표1[[#This Row],[해양탐색]:[마을탐험]])</f>
        <v>0</v>
      </c>
    </row>
    <row r="1842" spans="2:15" ht="13.5" customHeight="1" x14ac:dyDescent="0.3">
      <c r="B1842" s="9">
        <f>[1]Discovery!A1848</f>
        <v>70413057</v>
      </c>
      <c r="C1842" s="9" t="str">
        <f>[1]Discovery!B1848</f>
        <v>라플라타강</v>
      </c>
      <c r="D1842" s="9" t="str">
        <f>[1]Discovery!E1848</f>
        <v>자연</v>
      </c>
      <c r="E1842" s="9" t="str">
        <f>[1]Discovery!C1848</f>
        <v>지리</v>
      </c>
      <c r="F1842" s="9" t="str">
        <f>[1]Discovery!G1848</f>
        <v>B</v>
      </c>
      <c r="G1842" s="9" t="str">
        <f>IFERROR(VLOOKUP(표1[[#This Row],[명칭]],'문화권 정리'!C:D,2,FALSE),"-")</f>
        <v>남아메리카</v>
      </c>
      <c r="H1842" s="38" t="str">
        <f>IFERROR(COUNTIF([2]OceanDoodad!$Y:$Y,표1[[#This Row],[명칭]]),"-")</f>
        <v>-</v>
      </c>
      <c r="I1842" s="38">
        <f>IFERROR(COUNTIF([1]AdventureDiscoveryGroup!$D$8:$AW$92,표1[[#This Row],[명칭]]),"-")</f>
        <v>0</v>
      </c>
      <c r="J1842" s="38">
        <f>IFERROR(COUNTIF([1]FishDiscoveryGroup!$A:$X,표1[[#This Row],[명칭]]),"-")</f>
        <v>0</v>
      </c>
      <c r="K1842" s="38" t="str">
        <f>IFERROR(COUNTIF([2]Town!$B:$B,표1[[#This Row],[명칭]]),"-")</f>
        <v>-</v>
      </c>
      <c r="L1842" s="38">
        <f>IFERROR(COUNTIF([1]Village!$BR:$BR,표1[[#This Row],[명칭]]),"-")</f>
        <v>0</v>
      </c>
      <c r="M1842" s="38">
        <f>COUNTIF(퀘스트!B:B,표1[[#This Row],[명칭]])</f>
        <v>0</v>
      </c>
      <c r="N1842" s="65">
        <f>COUNTIF([1]VillageDiscoveryGroup!$C:$C,표1[[#This Row],[명칭]])</f>
        <v>0</v>
      </c>
      <c r="O1842" s="65">
        <f>SUM(표1[[#This Row],[해양탐색]:[마을탐험]])</f>
        <v>0</v>
      </c>
    </row>
    <row r="1843" spans="2:15" ht="13.5" customHeight="1" x14ac:dyDescent="0.3">
      <c r="B1843" s="9">
        <f>[1]Discovery!A1849</f>
        <v>70413058</v>
      </c>
      <c r="C1843" s="9" t="str">
        <f>[1]Discovery!B1849</f>
        <v>란위섬</v>
      </c>
      <c r="D1843" s="9" t="str">
        <f>[1]Discovery!E1849</f>
        <v>자연</v>
      </c>
      <c r="E1843" s="9" t="str">
        <f>[1]Discovery!C1849</f>
        <v>지리</v>
      </c>
      <c r="F1843" s="9" t="str">
        <f>[1]Discovery!G1849</f>
        <v>B</v>
      </c>
      <c r="G1843" s="9" t="str">
        <f>IFERROR(VLOOKUP(표1[[#This Row],[명칭]],'문화권 정리'!C:D,2,FALSE),"-")</f>
        <v>동아시아</v>
      </c>
      <c r="H1843" s="38" t="str">
        <f>IFERROR(COUNTIF([2]OceanDoodad!$Y:$Y,표1[[#This Row],[명칭]]),"-")</f>
        <v>-</v>
      </c>
      <c r="I1843" s="38">
        <f>IFERROR(COUNTIF([1]AdventureDiscoveryGroup!$D$8:$AW$92,표1[[#This Row],[명칭]]),"-")</f>
        <v>0</v>
      </c>
      <c r="J1843" s="38">
        <f>IFERROR(COUNTIF([1]FishDiscoveryGroup!$A:$X,표1[[#This Row],[명칭]]),"-")</f>
        <v>0</v>
      </c>
      <c r="K1843" s="38" t="str">
        <f>IFERROR(COUNTIF([2]Town!$B:$B,표1[[#This Row],[명칭]]),"-")</f>
        <v>-</v>
      </c>
      <c r="L1843" s="38">
        <f>IFERROR(COUNTIF([1]Village!$BR:$BR,표1[[#This Row],[명칭]]),"-")</f>
        <v>0</v>
      </c>
      <c r="M1843" s="38">
        <f>COUNTIF(퀘스트!B:B,표1[[#This Row],[명칭]])</f>
        <v>0</v>
      </c>
      <c r="N1843" s="65">
        <f>COUNTIF([1]VillageDiscoveryGroup!$C:$C,표1[[#This Row],[명칭]])</f>
        <v>0</v>
      </c>
      <c r="O1843" s="65">
        <f>SUM(표1[[#This Row],[해양탐색]:[마을탐험]])</f>
        <v>0</v>
      </c>
    </row>
    <row r="1844" spans="2:15" ht="13.5" customHeight="1" x14ac:dyDescent="0.3">
      <c r="B1844" s="9">
        <f>[1]Discovery!A1850</f>
        <v>70413059</v>
      </c>
      <c r="C1844" s="9" t="str">
        <f>[1]Discovery!B1850</f>
        <v>래브라도반도</v>
      </c>
      <c r="D1844" s="9" t="str">
        <f>[1]Discovery!E1850</f>
        <v>자연</v>
      </c>
      <c r="E1844" s="9" t="str">
        <f>[1]Discovery!C1850</f>
        <v>지리</v>
      </c>
      <c r="F1844" s="9" t="str">
        <f>[1]Discovery!G1850</f>
        <v>C</v>
      </c>
      <c r="G1844" s="9" t="str">
        <f>IFERROR(VLOOKUP(표1[[#This Row],[명칭]],'문화권 정리'!C:D,2,FALSE),"-")</f>
        <v>북아메리카</v>
      </c>
      <c r="H1844" s="38" t="str">
        <f>IFERROR(COUNTIF([2]OceanDoodad!$Y:$Y,표1[[#This Row],[명칭]]),"-")</f>
        <v>-</v>
      </c>
      <c r="I1844" s="38">
        <f>IFERROR(COUNTIF([1]AdventureDiscoveryGroup!$D$8:$AW$92,표1[[#This Row],[명칭]]),"-")</f>
        <v>0</v>
      </c>
      <c r="J1844" s="38">
        <f>IFERROR(COUNTIF([1]FishDiscoveryGroup!$A:$X,표1[[#This Row],[명칭]]),"-")</f>
        <v>0</v>
      </c>
      <c r="K1844" s="38" t="str">
        <f>IFERROR(COUNTIF([2]Town!$B:$B,표1[[#This Row],[명칭]]),"-")</f>
        <v>-</v>
      </c>
      <c r="L1844" s="38">
        <f>IFERROR(COUNTIF([1]Village!$BR:$BR,표1[[#This Row],[명칭]]),"-")</f>
        <v>0</v>
      </c>
      <c r="M1844" s="38">
        <f>COUNTIF(퀘스트!B:B,표1[[#This Row],[명칭]])</f>
        <v>0</v>
      </c>
      <c r="N1844" s="65">
        <f>COUNTIF([1]VillageDiscoveryGroup!$C:$C,표1[[#This Row],[명칭]])</f>
        <v>0</v>
      </c>
      <c r="O1844" s="65">
        <f>SUM(표1[[#This Row],[해양탐색]:[마을탐험]])</f>
        <v>0</v>
      </c>
    </row>
    <row r="1845" spans="2:15" ht="13.5" customHeight="1" x14ac:dyDescent="0.3">
      <c r="B1845" s="9">
        <f>[1]Discovery!A1851</f>
        <v>70413060</v>
      </c>
      <c r="C1845" s="9" t="str">
        <f>[1]Discovery!B1851</f>
        <v>래브라도해류</v>
      </c>
      <c r="D1845" s="9" t="str">
        <f>[1]Discovery!E1851</f>
        <v>자연</v>
      </c>
      <c r="E1845" s="9" t="str">
        <f>[1]Discovery!C1851</f>
        <v>지리</v>
      </c>
      <c r="F1845" s="9" t="str">
        <f>[1]Discovery!G1851</f>
        <v>B</v>
      </c>
      <c r="G1845" s="9" t="str">
        <f>IFERROR(VLOOKUP(표1[[#This Row],[명칭]],'문화권 정리'!C:D,2,FALSE),"-")</f>
        <v>북아메리카</v>
      </c>
      <c r="H1845" s="38" t="str">
        <f>IFERROR(COUNTIF([2]OceanDoodad!$Y:$Y,표1[[#This Row],[명칭]]),"-")</f>
        <v>-</v>
      </c>
      <c r="I1845" s="38">
        <f>IFERROR(COUNTIF([1]AdventureDiscoveryGroup!$D$8:$AW$92,표1[[#This Row],[명칭]]),"-")</f>
        <v>0</v>
      </c>
      <c r="J1845" s="38">
        <f>IFERROR(COUNTIF([1]FishDiscoveryGroup!$A:$X,표1[[#This Row],[명칭]]),"-")</f>
        <v>0</v>
      </c>
      <c r="K1845" s="38" t="str">
        <f>IFERROR(COUNTIF([2]Town!$B:$B,표1[[#This Row],[명칭]]),"-")</f>
        <v>-</v>
      </c>
      <c r="L1845" s="38">
        <f>IFERROR(COUNTIF([1]Village!$BR:$BR,표1[[#This Row],[명칭]]),"-")</f>
        <v>0</v>
      </c>
      <c r="M1845" s="38">
        <f>COUNTIF(퀘스트!B:B,표1[[#This Row],[명칭]])</f>
        <v>0</v>
      </c>
      <c r="N1845" s="65">
        <f>COUNTIF([1]VillageDiscoveryGroup!$C:$C,표1[[#This Row],[명칭]])</f>
        <v>0</v>
      </c>
      <c r="O1845" s="65">
        <f>SUM(표1[[#This Row],[해양탐색]:[마을탐험]])</f>
        <v>0</v>
      </c>
    </row>
    <row r="1846" spans="2:15" ht="13.5" customHeight="1" x14ac:dyDescent="0.3">
      <c r="B1846" s="9">
        <f>[1]Discovery!A1852</f>
        <v>70413061</v>
      </c>
      <c r="C1846" s="9" t="str">
        <f>[1]Discovery!B1852</f>
        <v>래카다이브제도</v>
      </c>
      <c r="D1846" s="9" t="str">
        <f>[1]Discovery!E1852</f>
        <v>자연</v>
      </c>
      <c r="E1846" s="9" t="str">
        <f>[1]Discovery!C1852</f>
        <v>지리</v>
      </c>
      <c r="F1846" s="9" t="str">
        <f>[1]Discovery!G1852</f>
        <v>B</v>
      </c>
      <c r="G1846" s="9" t="str">
        <f>IFERROR(VLOOKUP(표1[[#This Row],[명칭]],'문화권 정리'!C:D,2,FALSE),"-")</f>
        <v>남아시아</v>
      </c>
      <c r="H1846" s="38" t="str">
        <f>IFERROR(COUNTIF([2]OceanDoodad!$Y:$Y,표1[[#This Row],[명칭]]),"-")</f>
        <v>-</v>
      </c>
      <c r="I1846" s="38">
        <f>IFERROR(COUNTIF([1]AdventureDiscoveryGroup!$D$8:$AW$92,표1[[#This Row],[명칭]]),"-")</f>
        <v>0</v>
      </c>
      <c r="J1846" s="38">
        <f>IFERROR(COUNTIF([1]FishDiscoveryGroup!$A:$X,표1[[#This Row],[명칭]]),"-")</f>
        <v>0</v>
      </c>
      <c r="K1846" s="38" t="str">
        <f>IFERROR(COUNTIF([2]Town!$B:$B,표1[[#This Row],[명칭]]),"-")</f>
        <v>-</v>
      </c>
      <c r="L1846" s="38">
        <f>IFERROR(COUNTIF([1]Village!$BR:$BR,표1[[#This Row],[명칭]]),"-")</f>
        <v>0</v>
      </c>
      <c r="M1846" s="38">
        <f>COUNTIF(퀘스트!B:B,표1[[#This Row],[명칭]])</f>
        <v>0</v>
      </c>
      <c r="N1846" s="65">
        <f>COUNTIF([1]VillageDiscoveryGroup!$C:$C,표1[[#This Row],[명칭]])</f>
        <v>0</v>
      </c>
      <c r="O1846" s="65">
        <f>SUM(표1[[#This Row],[해양탐색]:[마을탐험]])</f>
        <v>0</v>
      </c>
    </row>
    <row r="1847" spans="2:15" ht="13.5" customHeight="1" x14ac:dyDescent="0.3">
      <c r="B1847" s="9">
        <f>[1]Discovery!A1853</f>
        <v>70413062</v>
      </c>
      <c r="C1847" s="9" t="str">
        <f>[1]Discovery!B1853</f>
        <v>랜즈엔드곶</v>
      </c>
      <c r="D1847" s="9" t="str">
        <f>[1]Discovery!E1853</f>
        <v>자연</v>
      </c>
      <c r="E1847" s="9" t="str">
        <f>[1]Discovery!C1853</f>
        <v>지리</v>
      </c>
      <c r="F1847" s="9" t="str">
        <f>[1]Discovery!G1853</f>
        <v>B</v>
      </c>
      <c r="G1847" s="9" t="str">
        <f>IFERROR(VLOOKUP(표1[[#This Row],[명칭]],'문화권 정리'!C:D,2,FALSE),"-")</f>
        <v>브리튼</v>
      </c>
      <c r="H1847" s="38" t="str">
        <f>IFERROR(COUNTIF([2]OceanDoodad!$Y:$Y,표1[[#This Row],[명칭]]),"-")</f>
        <v>-</v>
      </c>
      <c r="I1847" s="38">
        <f>IFERROR(COUNTIF([1]AdventureDiscoveryGroup!$D$8:$AW$92,표1[[#This Row],[명칭]]),"-")</f>
        <v>0</v>
      </c>
      <c r="J1847" s="38">
        <f>IFERROR(COUNTIF([1]FishDiscoveryGroup!$A:$X,표1[[#This Row],[명칭]]),"-")</f>
        <v>0</v>
      </c>
      <c r="K1847" s="38" t="str">
        <f>IFERROR(COUNTIF([2]Town!$B:$B,표1[[#This Row],[명칭]]),"-")</f>
        <v>-</v>
      </c>
      <c r="L1847" s="38">
        <f>IFERROR(COUNTIF([1]Village!$BR:$BR,표1[[#This Row],[명칭]]),"-")</f>
        <v>0</v>
      </c>
      <c r="M1847" s="38">
        <f>COUNTIF(퀘스트!B:B,표1[[#This Row],[명칭]])</f>
        <v>0</v>
      </c>
      <c r="N1847" s="65">
        <f>COUNTIF([1]VillageDiscoveryGroup!$C:$C,표1[[#This Row],[명칭]])</f>
        <v>0</v>
      </c>
      <c r="O1847" s="65">
        <f>SUM(표1[[#This Row],[해양탐색]:[마을탐험]])</f>
        <v>0</v>
      </c>
    </row>
    <row r="1848" spans="2:15" ht="13.5" customHeight="1" x14ac:dyDescent="0.3">
      <c r="B1848" s="9">
        <f>[1]Discovery!A1854</f>
        <v>70413063</v>
      </c>
      <c r="C1848" s="9" t="str">
        <f>[1]Discovery!B1854</f>
        <v>랭겔섬</v>
      </c>
      <c r="D1848" s="9" t="str">
        <f>[1]Discovery!E1854</f>
        <v>자연</v>
      </c>
      <c r="E1848" s="9" t="str">
        <f>[1]Discovery!C1854</f>
        <v>지리</v>
      </c>
      <c r="F1848" s="9" t="str">
        <f>[1]Discovery!G1854</f>
        <v>S</v>
      </c>
      <c r="G1848" s="9" t="str">
        <f>IFERROR(VLOOKUP(표1[[#This Row],[명칭]],'문화권 정리'!C:D,2,FALSE),"-")</f>
        <v>북아메리카</v>
      </c>
      <c r="H1848" s="38" t="str">
        <f>IFERROR(COUNTIF([2]OceanDoodad!$Y:$Y,표1[[#This Row],[명칭]]),"-")</f>
        <v>-</v>
      </c>
      <c r="I1848" s="38">
        <f>IFERROR(COUNTIF([1]AdventureDiscoveryGroup!$D$8:$AW$92,표1[[#This Row],[명칭]]),"-")</f>
        <v>0</v>
      </c>
      <c r="J1848" s="38">
        <f>IFERROR(COUNTIF([1]FishDiscoveryGroup!$A:$X,표1[[#This Row],[명칭]]),"-")</f>
        <v>0</v>
      </c>
      <c r="K1848" s="38" t="str">
        <f>IFERROR(COUNTIF([2]Town!$B:$B,표1[[#This Row],[명칭]]),"-")</f>
        <v>-</v>
      </c>
      <c r="L1848" s="38">
        <f>IFERROR(COUNTIF([1]Village!$BR:$BR,표1[[#This Row],[명칭]]),"-")</f>
        <v>0</v>
      </c>
      <c r="M1848" s="38">
        <f>COUNTIF(퀘스트!B:B,표1[[#This Row],[명칭]])</f>
        <v>0</v>
      </c>
      <c r="N1848" s="65">
        <f>COUNTIF([1]VillageDiscoveryGroup!$C:$C,표1[[#This Row],[명칭]])</f>
        <v>0</v>
      </c>
      <c r="O1848" s="65">
        <f>SUM(표1[[#This Row],[해양탐색]:[마을탐험]])</f>
        <v>0</v>
      </c>
    </row>
    <row r="1849" spans="2:15" ht="13.5" customHeight="1" x14ac:dyDescent="0.3">
      <c r="B1849" s="9">
        <f>[1]Discovery!A1855</f>
        <v>70413064</v>
      </c>
      <c r="C1849" s="9" t="str">
        <f>[1]Discovery!B1855</f>
        <v>레드베이</v>
      </c>
      <c r="D1849" s="9" t="str">
        <f>[1]Discovery!E1855</f>
        <v>자연</v>
      </c>
      <c r="E1849" s="9" t="str">
        <f>[1]Discovery!C1855</f>
        <v>지리</v>
      </c>
      <c r="F1849" s="9" t="str">
        <f>[1]Discovery!G1855</f>
        <v>D</v>
      </c>
      <c r="G1849" s="9" t="str">
        <f>IFERROR(VLOOKUP(표1[[#This Row],[명칭]],'문화권 정리'!C:D,2,FALSE),"-")</f>
        <v>북아메리카</v>
      </c>
      <c r="H1849" s="38" t="str">
        <f>IFERROR(COUNTIF([2]OceanDoodad!$Y:$Y,표1[[#This Row],[명칭]]),"-")</f>
        <v>-</v>
      </c>
      <c r="I1849" s="38">
        <f>IFERROR(COUNTIF([1]AdventureDiscoveryGroup!$D$8:$AW$92,표1[[#This Row],[명칭]]),"-")</f>
        <v>0</v>
      </c>
      <c r="J1849" s="38">
        <f>IFERROR(COUNTIF([1]FishDiscoveryGroup!$A:$X,표1[[#This Row],[명칭]]),"-")</f>
        <v>0</v>
      </c>
      <c r="K1849" s="38" t="str">
        <f>IFERROR(COUNTIF([2]Town!$B:$B,표1[[#This Row],[명칭]]),"-")</f>
        <v>-</v>
      </c>
      <c r="L1849" s="38">
        <f>IFERROR(COUNTIF([1]Village!$BR:$BR,표1[[#This Row],[명칭]]),"-")</f>
        <v>0</v>
      </c>
      <c r="M1849" s="38">
        <f>COUNTIF(퀘스트!B:B,표1[[#This Row],[명칭]])</f>
        <v>0</v>
      </c>
      <c r="N1849" s="65">
        <f>COUNTIF([1]VillageDiscoveryGroup!$C:$C,표1[[#This Row],[명칭]])</f>
        <v>0</v>
      </c>
      <c r="O1849" s="65">
        <f>SUM(표1[[#This Row],[해양탐색]:[마을탐험]])</f>
        <v>0</v>
      </c>
    </row>
    <row r="1850" spans="2:15" ht="13.5" customHeight="1" x14ac:dyDescent="0.3">
      <c r="B1850" s="9">
        <f>[1]Discovery!A1856</f>
        <v>70413065</v>
      </c>
      <c r="C1850" s="9" t="str">
        <f>[1]Discovery!B1856</f>
        <v>레바논산맥</v>
      </c>
      <c r="D1850" s="9" t="str">
        <f>[1]Discovery!E1856</f>
        <v>자연</v>
      </c>
      <c r="E1850" s="9" t="str">
        <f>[1]Discovery!C1856</f>
        <v>지리</v>
      </c>
      <c r="F1850" s="9" t="str">
        <f>[1]Discovery!G1856</f>
        <v>B</v>
      </c>
      <c r="G1850" s="9" t="str">
        <f>IFERROR(VLOOKUP(표1[[#This Row],[명칭]],'문화권 정리'!C:D,2,FALSE),"-")</f>
        <v>지중해</v>
      </c>
      <c r="H1850" s="38" t="str">
        <f>IFERROR(COUNTIF([2]OceanDoodad!$Y:$Y,표1[[#This Row],[명칭]]),"-")</f>
        <v>-</v>
      </c>
      <c r="I1850" s="38">
        <f>IFERROR(COUNTIF([1]AdventureDiscoveryGroup!$D$8:$AW$92,표1[[#This Row],[명칭]]),"-")</f>
        <v>0</v>
      </c>
      <c r="J1850" s="38">
        <f>IFERROR(COUNTIF([1]FishDiscoveryGroup!$A:$X,표1[[#This Row],[명칭]]),"-")</f>
        <v>0</v>
      </c>
      <c r="K1850" s="38" t="str">
        <f>IFERROR(COUNTIF([2]Town!$B:$B,표1[[#This Row],[명칭]]),"-")</f>
        <v>-</v>
      </c>
      <c r="L1850" s="38">
        <f>IFERROR(COUNTIF([1]Village!$BR:$BR,표1[[#This Row],[명칭]]),"-")</f>
        <v>0</v>
      </c>
      <c r="M1850" s="38">
        <f>COUNTIF(퀘스트!B:B,표1[[#This Row],[명칭]])</f>
        <v>0</v>
      </c>
      <c r="N1850" s="65">
        <f>COUNTIF([1]VillageDiscoveryGroup!$C:$C,표1[[#This Row],[명칭]])</f>
        <v>0</v>
      </c>
      <c r="O1850" s="65">
        <f>SUM(표1[[#This Row],[해양탐색]:[마을탐험]])</f>
        <v>0</v>
      </c>
    </row>
    <row r="1851" spans="2:15" ht="13.5" customHeight="1" x14ac:dyDescent="0.3">
      <c r="B1851" s="9">
        <f>[1]Discovery!A1857</f>
        <v>70413066</v>
      </c>
      <c r="C1851" s="9" t="str">
        <f>[1]Discovery!B1857</f>
        <v>레베크곶</v>
      </c>
      <c r="D1851" s="9" t="str">
        <f>[1]Discovery!E1857</f>
        <v>자연</v>
      </c>
      <c r="E1851" s="9" t="str">
        <f>[1]Discovery!C1857</f>
        <v>지리</v>
      </c>
      <c r="F1851" s="9" t="str">
        <f>[1]Discovery!G1857</f>
        <v>A</v>
      </c>
      <c r="G1851" s="9" t="str">
        <f>IFERROR(VLOOKUP(표1[[#This Row],[명칭]],'문화권 정리'!C:D,2,FALSE),"-")</f>
        <v>오세아니아</v>
      </c>
      <c r="H1851" s="38" t="str">
        <f>IFERROR(COUNTIF([2]OceanDoodad!$Y:$Y,표1[[#This Row],[명칭]]),"-")</f>
        <v>-</v>
      </c>
      <c r="I1851" s="38">
        <f>IFERROR(COUNTIF([1]AdventureDiscoveryGroup!$D$8:$AW$92,표1[[#This Row],[명칭]]),"-")</f>
        <v>0</v>
      </c>
      <c r="J1851" s="38">
        <f>IFERROR(COUNTIF([1]FishDiscoveryGroup!$A:$X,표1[[#This Row],[명칭]]),"-")</f>
        <v>0</v>
      </c>
      <c r="K1851" s="38" t="str">
        <f>IFERROR(COUNTIF([2]Town!$B:$B,표1[[#This Row],[명칭]]),"-")</f>
        <v>-</v>
      </c>
      <c r="L1851" s="38">
        <f>IFERROR(COUNTIF([1]Village!$BR:$BR,표1[[#This Row],[명칭]]),"-")</f>
        <v>0</v>
      </c>
      <c r="M1851" s="38">
        <f>COUNTIF(퀘스트!B:B,표1[[#This Row],[명칭]])</f>
        <v>0</v>
      </c>
      <c r="N1851" s="65">
        <f>COUNTIF([1]VillageDiscoveryGroup!$C:$C,표1[[#This Row],[명칭]])</f>
        <v>0</v>
      </c>
      <c r="O1851" s="65">
        <f>SUM(표1[[#This Row],[해양탐색]:[마을탐험]])</f>
        <v>0</v>
      </c>
    </row>
    <row r="1852" spans="2:15" ht="13.5" customHeight="1" x14ac:dyDescent="0.3">
      <c r="B1852" s="9">
        <f>[1]Discovery!A1858</f>
        <v>70413067</v>
      </c>
      <c r="C1852" s="9" t="str">
        <f>[1]Discovery!B1858</f>
        <v>레트바 호수</v>
      </c>
      <c r="D1852" s="9" t="str">
        <f>[1]Discovery!E1858</f>
        <v>자연</v>
      </c>
      <c r="E1852" s="9" t="str">
        <f>[1]Discovery!C1858</f>
        <v>지리</v>
      </c>
      <c r="F1852" s="9" t="str">
        <f>[1]Discovery!G1858</f>
        <v>S</v>
      </c>
      <c r="G1852" s="9" t="str">
        <f>IFERROR(VLOOKUP(표1[[#This Row],[명칭]],'문화권 정리'!C:D,2,FALSE),"-")</f>
        <v>서아프리카</v>
      </c>
      <c r="H1852" s="38" t="str">
        <f>IFERROR(COUNTIF([2]OceanDoodad!$Y:$Y,표1[[#This Row],[명칭]]),"-")</f>
        <v>-</v>
      </c>
      <c r="I1852" s="38">
        <f>IFERROR(COUNTIF([1]AdventureDiscoveryGroup!$D$8:$AW$92,표1[[#This Row],[명칭]]),"-")</f>
        <v>0</v>
      </c>
      <c r="J1852" s="38">
        <f>IFERROR(COUNTIF([1]FishDiscoveryGroup!$A:$X,표1[[#This Row],[명칭]]),"-")</f>
        <v>0</v>
      </c>
      <c r="K1852" s="38" t="str">
        <f>IFERROR(COUNTIF([2]Town!$B:$B,표1[[#This Row],[명칭]]),"-")</f>
        <v>-</v>
      </c>
      <c r="L1852" s="38">
        <f>IFERROR(COUNTIF([1]Village!$BR:$BR,표1[[#This Row],[명칭]]),"-")</f>
        <v>0</v>
      </c>
      <c r="M1852" s="38">
        <f>COUNTIF(퀘스트!B:B,표1[[#This Row],[명칭]])</f>
        <v>0</v>
      </c>
      <c r="N1852" s="65">
        <f>COUNTIF([1]VillageDiscoveryGroup!$C:$C,표1[[#This Row],[명칭]])</f>
        <v>0</v>
      </c>
      <c r="O1852" s="65">
        <f>SUM(표1[[#This Row],[해양탐색]:[마을탐험]])</f>
        <v>0</v>
      </c>
    </row>
    <row r="1853" spans="2:15" ht="13.5" customHeight="1" x14ac:dyDescent="0.3">
      <c r="B1853" s="9">
        <f>[1]Discovery!A1859</f>
        <v>70413068</v>
      </c>
      <c r="C1853" s="9" t="str">
        <f>[1]Discovery!B1859</f>
        <v>로도스섬</v>
      </c>
      <c r="D1853" s="9" t="str">
        <f>[1]Discovery!E1859</f>
        <v>자연</v>
      </c>
      <c r="E1853" s="9" t="str">
        <f>[1]Discovery!C1859</f>
        <v>지리</v>
      </c>
      <c r="F1853" s="9" t="str">
        <f>[1]Discovery!G1859</f>
        <v>C</v>
      </c>
      <c r="G1853" s="9" t="str">
        <f>IFERROR(VLOOKUP(표1[[#This Row],[명칭]],'문화권 정리'!C:D,2,FALSE),"-")</f>
        <v>지중해</v>
      </c>
      <c r="H1853" s="38" t="str">
        <f>IFERROR(COUNTIF([2]OceanDoodad!$Y:$Y,표1[[#This Row],[명칭]]),"-")</f>
        <v>-</v>
      </c>
      <c r="I1853" s="38">
        <f>IFERROR(COUNTIF([1]AdventureDiscoveryGroup!$D$8:$AW$92,표1[[#This Row],[명칭]]),"-")</f>
        <v>0</v>
      </c>
      <c r="J1853" s="38">
        <f>IFERROR(COUNTIF([1]FishDiscoveryGroup!$A:$X,표1[[#This Row],[명칭]]),"-")</f>
        <v>0</v>
      </c>
      <c r="K1853" s="38" t="str">
        <f>IFERROR(COUNTIF([2]Town!$B:$B,표1[[#This Row],[명칭]]),"-")</f>
        <v>-</v>
      </c>
      <c r="L1853" s="38">
        <f>IFERROR(COUNTIF([1]Village!$BR:$BR,표1[[#This Row],[명칭]]),"-")</f>
        <v>0</v>
      </c>
      <c r="M1853" s="38">
        <f>COUNTIF(퀘스트!B:B,표1[[#This Row],[명칭]])</f>
        <v>0</v>
      </c>
      <c r="N1853" s="65">
        <f>COUNTIF([1]VillageDiscoveryGroup!$C:$C,표1[[#This Row],[명칭]])</f>
        <v>0</v>
      </c>
      <c r="O1853" s="65">
        <f>SUM(표1[[#This Row],[해양탐색]:[마을탐험]])</f>
        <v>0</v>
      </c>
    </row>
    <row r="1854" spans="2:15" ht="13.5" customHeight="1" x14ac:dyDescent="0.3">
      <c r="B1854" s="9">
        <f>[1]Discovery!A1860</f>
        <v>70413069</v>
      </c>
      <c r="C1854" s="9" t="str">
        <f>[1]Discovery!B1860</f>
        <v>로카곶</v>
      </c>
      <c r="D1854" s="9" t="str">
        <f>[1]Discovery!E1860</f>
        <v>자연</v>
      </c>
      <c r="E1854" s="9" t="str">
        <f>[1]Discovery!C1860</f>
        <v>지리</v>
      </c>
      <c r="F1854" s="9" t="str">
        <f>[1]Discovery!G1860</f>
        <v>C</v>
      </c>
      <c r="G1854" s="9" t="str">
        <f>IFERROR(VLOOKUP(표1[[#This Row],[명칭]],'문화권 정리'!C:D,2,FALSE),"-")</f>
        <v>지중해</v>
      </c>
      <c r="H1854" s="38" t="str">
        <f>IFERROR(COUNTIF([2]OceanDoodad!$Y:$Y,표1[[#This Row],[명칭]]),"-")</f>
        <v>-</v>
      </c>
      <c r="I1854" s="38">
        <f>IFERROR(COUNTIF([1]AdventureDiscoveryGroup!$D$8:$AW$92,표1[[#This Row],[명칭]]),"-")</f>
        <v>0</v>
      </c>
      <c r="J1854" s="38">
        <f>IFERROR(COUNTIF([1]FishDiscoveryGroup!$A:$X,표1[[#This Row],[명칭]]),"-")</f>
        <v>0</v>
      </c>
      <c r="K1854" s="38" t="str">
        <f>IFERROR(COUNTIF([2]Town!$B:$B,표1[[#This Row],[명칭]]),"-")</f>
        <v>-</v>
      </c>
      <c r="L1854" s="38">
        <f>IFERROR(COUNTIF([1]Village!$BR:$BR,표1[[#This Row],[명칭]]),"-")</f>
        <v>0</v>
      </c>
      <c r="M1854" s="38">
        <f>COUNTIF(퀘스트!B:B,표1[[#This Row],[명칭]])</f>
        <v>0</v>
      </c>
      <c r="N1854" s="65">
        <f>COUNTIF([1]VillageDiscoveryGroup!$C:$C,표1[[#This Row],[명칭]])</f>
        <v>0</v>
      </c>
      <c r="O1854" s="65">
        <f>SUM(표1[[#This Row],[해양탐색]:[마을탐험]])</f>
        <v>0</v>
      </c>
    </row>
    <row r="1855" spans="2:15" ht="13.5" customHeight="1" x14ac:dyDescent="0.3">
      <c r="B1855" s="9">
        <f>[1]Discovery!A1861</f>
        <v>70413070</v>
      </c>
      <c r="C1855" s="9" t="str">
        <f>[1]Discovery!B1861</f>
        <v>로키산맥</v>
      </c>
      <c r="D1855" s="9" t="str">
        <f>[1]Discovery!E1861</f>
        <v>자연</v>
      </c>
      <c r="E1855" s="9" t="str">
        <f>[1]Discovery!C1861</f>
        <v>지리</v>
      </c>
      <c r="F1855" s="9" t="str">
        <f>[1]Discovery!G1861</f>
        <v>A</v>
      </c>
      <c r="G1855" s="9" t="str">
        <f>IFERROR(VLOOKUP(표1[[#This Row],[명칭]],'문화권 정리'!C:D,2,FALSE),"-")</f>
        <v>북아메리카</v>
      </c>
      <c r="H1855" s="38" t="str">
        <f>IFERROR(COUNTIF([2]OceanDoodad!$Y:$Y,표1[[#This Row],[명칭]]),"-")</f>
        <v>-</v>
      </c>
      <c r="I1855" s="38">
        <f>IFERROR(COUNTIF([1]AdventureDiscoveryGroup!$D$8:$AW$92,표1[[#This Row],[명칭]]),"-")</f>
        <v>0</v>
      </c>
      <c r="J1855" s="38">
        <f>IFERROR(COUNTIF([1]FishDiscoveryGroup!$A:$X,표1[[#This Row],[명칭]]),"-")</f>
        <v>0</v>
      </c>
      <c r="K1855" s="38" t="str">
        <f>IFERROR(COUNTIF([2]Town!$B:$B,표1[[#This Row],[명칭]]),"-")</f>
        <v>-</v>
      </c>
      <c r="L1855" s="38">
        <f>IFERROR(COUNTIF([1]Village!$BR:$BR,표1[[#This Row],[명칭]]),"-")</f>
        <v>0</v>
      </c>
      <c r="M1855" s="38">
        <f>COUNTIF(퀘스트!B:B,표1[[#This Row],[명칭]])</f>
        <v>0</v>
      </c>
      <c r="N1855" s="65">
        <f>COUNTIF([1]VillageDiscoveryGroup!$C:$C,표1[[#This Row],[명칭]])</f>
        <v>0</v>
      </c>
      <c r="O1855" s="65">
        <f>SUM(표1[[#This Row],[해양탐색]:[마을탐험]])</f>
        <v>0</v>
      </c>
    </row>
    <row r="1856" spans="2:15" ht="13.5" customHeight="1" x14ac:dyDescent="0.3">
      <c r="B1856" s="9">
        <f>[1]Discovery!A1862</f>
        <v>70413071</v>
      </c>
      <c r="C1856" s="9" t="str">
        <f>[1]Discovery!B1862</f>
        <v>롱레인지산맥</v>
      </c>
      <c r="D1856" s="9" t="str">
        <f>[1]Discovery!E1862</f>
        <v>자연</v>
      </c>
      <c r="E1856" s="9" t="str">
        <f>[1]Discovery!C1862</f>
        <v>지리</v>
      </c>
      <c r="F1856" s="9" t="str">
        <f>[1]Discovery!G1862</f>
        <v>B</v>
      </c>
      <c r="G1856" s="9" t="str">
        <f>IFERROR(VLOOKUP(표1[[#This Row],[명칭]],'문화권 정리'!C:D,2,FALSE),"-")</f>
        <v>북아메리카</v>
      </c>
      <c r="H1856" s="38" t="str">
        <f>IFERROR(COUNTIF([2]OceanDoodad!$Y:$Y,표1[[#This Row],[명칭]]),"-")</f>
        <v>-</v>
      </c>
      <c r="I1856" s="38">
        <f>IFERROR(COUNTIF([1]AdventureDiscoveryGroup!$D$8:$AW$92,표1[[#This Row],[명칭]]),"-")</f>
        <v>0</v>
      </c>
      <c r="J1856" s="38">
        <f>IFERROR(COUNTIF([1]FishDiscoveryGroup!$A:$X,표1[[#This Row],[명칭]]),"-")</f>
        <v>0</v>
      </c>
      <c r="K1856" s="38" t="str">
        <f>IFERROR(COUNTIF([2]Town!$B:$B,표1[[#This Row],[명칭]]),"-")</f>
        <v>-</v>
      </c>
      <c r="L1856" s="38">
        <f>IFERROR(COUNTIF([1]Village!$BR:$BR,표1[[#This Row],[명칭]]),"-")</f>
        <v>0</v>
      </c>
      <c r="M1856" s="38">
        <f>COUNTIF(퀘스트!B:B,표1[[#This Row],[명칭]])</f>
        <v>0</v>
      </c>
      <c r="N1856" s="65">
        <f>COUNTIF([1]VillageDiscoveryGroup!$C:$C,표1[[#This Row],[명칭]])</f>
        <v>0</v>
      </c>
      <c r="O1856" s="65">
        <f>SUM(표1[[#This Row],[해양탐색]:[마을탐험]])</f>
        <v>0</v>
      </c>
    </row>
    <row r="1857" spans="2:15" ht="13.5" customHeight="1" x14ac:dyDescent="0.3">
      <c r="B1857" s="9">
        <f>[1]Discovery!A1863</f>
        <v>70413072</v>
      </c>
      <c r="C1857" s="9" t="str">
        <f>[1]Discovery!B1863</f>
        <v>롱아일랜드섬</v>
      </c>
      <c r="D1857" s="9" t="str">
        <f>[1]Discovery!E1863</f>
        <v>자연</v>
      </c>
      <c r="E1857" s="9" t="str">
        <f>[1]Discovery!C1863</f>
        <v>지리</v>
      </c>
      <c r="F1857" s="9" t="str">
        <f>[1]Discovery!G1863</f>
        <v>C</v>
      </c>
      <c r="G1857" s="9" t="str">
        <f>IFERROR(VLOOKUP(표1[[#This Row],[명칭]],'문화권 정리'!C:D,2,FALSE),"-")</f>
        <v>북아메리카</v>
      </c>
      <c r="H1857" s="38" t="str">
        <f>IFERROR(COUNTIF([2]OceanDoodad!$Y:$Y,표1[[#This Row],[명칭]]),"-")</f>
        <v>-</v>
      </c>
      <c r="I1857" s="38">
        <f>IFERROR(COUNTIF([1]AdventureDiscoveryGroup!$D$8:$AW$92,표1[[#This Row],[명칭]]),"-")</f>
        <v>0</v>
      </c>
      <c r="J1857" s="38">
        <f>IFERROR(COUNTIF([1]FishDiscoveryGroup!$A:$X,표1[[#This Row],[명칭]]),"-")</f>
        <v>0</v>
      </c>
      <c r="K1857" s="38" t="str">
        <f>IFERROR(COUNTIF([2]Town!$B:$B,표1[[#This Row],[명칭]]),"-")</f>
        <v>-</v>
      </c>
      <c r="L1857" s="38">
        <f>IFERROR(COUNTIF([1]Village!$BR:$BR,표1[[#This Row],[명칭]]),"-")</f>
        <v>0</v>
      </c>
      <c r="M1857" s="38">
        <f>COUNTIF(퀘스트!B:B,표1[[#This Row],[명칭]])</f>
        <v>0</v>
      </c>
      <c r="N1857" s="65">
        <f>COUNTIF([1]VillageDiscoveryGroup!$C:$C,표1[[#This Row],[명칭]])</f>
        <v>0</v>
      </c>
      <c r="O1857" s="65">
        <f>SUM(표1[[#This Row],[해양탐색]:[마을탐험]])</f>
        <v>0</v>
      </c>
    </row>
    <row r="1858" spans="2:15" ht="13.5" customHeight="1" x14ac:dyDescent="0.3">
      <c r="B1858" s="9">
        <f>[1]Discovery!A1864</f>
        <v>70413073</v>
      </c>
      <c r="C1858" s="9" t="str">
        <f>[1]Discovery!B1864</f>
        <v>루손섬</v>
      </c>
      <c r="D1858" s="9" t="str">
        <f>[1]Discovery!E1864</f>
        <v>자연</v>
      </c>
      <c r="E1858" s="9" t="str">
        <f>[1]Discovery!C1864</f>
        <v>지리</v>
      </c>
      <c r="F1858" s="9" t="str">
        <f>[1]Discovery!G1864</f>
        <v>B</v>
      </c>
      <c r="G1858" s="9" t="str">
        <f>IFERROR(VLOOKUP(표1[[#This Row],[명칭]],'문화권 정리'!C:D,2,FALSE),"-")</f>
        <v>동남아시아</v>
      </c>
      <c r="H1858" s="38" t="str">
        <f>IFERROR(COUNTIF([2]OceanDoodad!$Y:$Y,표1[[#This Row],[명칭]]),"-")</f>
        <v>-</v>
      </c>
      <c r="I1858" s="38">
        <f>IFERROR(COUNTIF([1]AdventureDiscoveryGroup!$D$8:$AW$92,표1[[#This Row],[명칭]]),"-")</f>
        <v>0</v>
      </c>
      <c r="J1858" s="38">
        <f>IFERROR(COUNTIF([1]FishDiscoveryGroup!$A:$X,표1[[#This Row],[명칭]]),"-")</f>
        <v>0</v>
      </c>
      <c r="K1858" s="38" t="str">
        <f>IFERROR(COUNTIF([2]Town!$B:$B,표1[[#This Row],[명칭]]),"-")</f>
        <v>-</v>
      </c>
      <c r="L1858" s="38">
        <f>IFERROR(COUNTIF([1]Village!$BR:$BR,표1[[#This Row],[명칭]]),"-")</f>
        <v>0</v>
      </c>
      <c r="M1858" s="38">
        <f>COUNTIF(퀘스트!B:B,표1[[#This Row],[명칭]])</f>
        <v>0</v>
      </c>
      <c r="N1858" s="65">
        <f>COUNTIF([1]VillageDiscoveryGroup!$C:$C,표1[[#This Row],[명칭]])</f>
        <v>0</v>
      </c>
      <c r="O1858" s="65">
        <f>SUM(표1[[#This Row],[해양탐색]:[마을탐험]])</f>
        <v>0</v>
      </c>
    </row>
    <row r="1859" spans="2:15" ht="13.5" customHeight="1" x14ac:dyDescent="0.3">
      <c r="B1859" s="9">
        <f>[1]Discovery!A1865</f>
        <v>70413074</v>
      </c>
      <c r="C1859" s="9" t="str">
        <f>[1]Discovery!B1865</f>
        <v>루윈곶</v>
      </c>
      <c r="D1859" s="9" t="str">
        <f>[1]Discovery!E1865</f>
        <v>자연</v>
      </c>
      <c r="E1859" s="9" t="str">
        <f>[1]Discovery!C1865</f>
        <v>지리</v>
      </c>
      <c r="F1859" s="9" t="str">
        <f>[1]Discovery!G1865</f>
        <v>A</v>
      </c>
      <c r="G1859" s="9" t="str">
        <f>IFERROR(VLOOKUP(표1[[#This Row],[명칭]],'문화권 정리'!C:D,2,FALSE),"-")</f>
        <v>오세아니아</v>
      </c>
      <c r="H1859" s="38" t="str">
        <f>IFERROR(COUNTIF([2]OceanDoodad!$Y:$Y,표1[[#This Row],[명칭]]),"-")</f>
        <v>-</v>
      </c>
      <c r="I1859" s="38">
        <f>IFERROR(COUNTIF([1]AdventureDiscoveryGroup!$D$8:$AW$92,표1[[#This Row],[명칭]]),"-")</f>
        <v>0</v>
      </c>
      <c r="J1859" s="38">
        <f>IFERROR(COUNTIF([1]FishDiscoveryGroup!$A:$X,표1[[#This Row],[명칭]]),"-")</f>
        <v>0</v>
      </c>
      <c r="K1859" s="38" t="str">
        <f>IFERROR(COUNTIF([2]Town!$B:$B,표1[[#This Row],[명칭]]),"-")</f>
        <v>-</v>
      </c>
      <c r="L1859" s="38">
        <f>IFERROR(COUNTIF([1]Village!$BR:$BR,표1[[#This Row],[명칭]]),"-")</f>
        <v>0</v>
      </c>
      <c r="M1859" s="38">
        <f>COUNTIF(퀘스트!B:B,표1[[#This Row],[명칭]])</f>
        <v>0</v>
      </c>
      <c r="N1859" s="65">
        <f>COUNTIF([1]VillageDiscoveryGroup!$C:$C,표1[[#This Row],[명칭]])</f>
        <v>0</v>
      </c>
      <c r="O1859" s="65">
        <f>SUM(표1[[#This Row],[해양탐색]:[마을탐험]])</f>
        <v>0</v>
      </c>
    </row>
    <row r="1860" spans="2:15" ht="13.5" customHeight="1" x14ac:dyDescent="0.3">
      <c r="B1860" s="9">
        <f>[1]Discovery!A1866</f>
        <v>70413075</v>
      </c>
      <c r="C1860" s="9" t="str">
        <f>[1]Discovery!B1866</f>
        <v>루이스섬</v>
      </c>
      <c r="D1860" s="9" t="str">
        <f>[1]Discovery!E1866</f>
        <v>자연</v>
      </c>
      <c r="E1860" s="9" t="str">
        <f>[1]Discovery!C1866</f>
        <v>지리</v>
      </c>
      <c r="F1860" s="9" t="str">
        <f>[1]Discovery!G1866</f>
        <v>B</v>
      </c>
      <c r="G1860" s="9" t="str">
        <f>IFERROR(VLOOKUP(표1[[#This Row],[명칭]],'문화권 정리'!C:D,2,FALSE),"-")</f>
        <v>브리튼</v>
      </c>
      <c r="H1860" s="38" t="str">
        <f>IFERROR(COUNTIF([2]OceanDoodad!$Y:$Y,표1[[#This Row],[명칭]]),"-")</f>
        <v>-</v>
      </c>
      <c r="I1860" s="38">
        <f>IFERROR(COUNTIF([1]AdventureDiscoveryGroup!$D$8:$AW$92,표1[[#This Row],[명칭]]),"-")</f>
        <v>0</v>
      </c>
      <c r="J1860" s="38">
        <f>IFERROR(COUNTIF([1]FishDiscoveryGroup!$A:$X,표1[[#This Row],[명칭]]),"-")</f>
        <v>0</v>
      </c>
      <c r="K1860" s="38" t="str">
        <f>IFERROR(COUNTIF([2]Town!$B:$B,표1[[#This Row],[명칭]]),"-")</f>
        <v>-</v>
      </c>
      <c r="L1860" s="38">
        <f>IFERROR(COUNTIF([1]Village!$BR:$BR,표1[[#This Row],[명칭]]),"-")</f>
        <v>0</v>
      </c>
      <c r="M1860" s="38">
        <f>COUNTIF(퀘스트!B:B,표1[[#This Row],[명칭]])</f>
        <v>0</v>
      </c>
      <c r="N1860" s="65">
        <f>COUNTIF([1]VillageDiscoveryGroup!$C:$C,표1[[#This Row],[명칭]])</f>
        <v>0</v>
      </c>
      <c r="O1860" s="65">
        <f>SUM(표1[[#This Row],[해양탐색]:[마을탐험]])</f>
        <v>0</v>
      </c>
    </row>
    <row r="1861" spans="2:15" ht="13.5" customHeight="1" x14ac:dyDescent="0.3">
      <c r="B1861" s="9">
        <f>[1]Discovery!A1867</f>
        <v>70413076</v>
      </c>
      <c r="C1861" s="9" t="str">
        <f>[1]Discovery!B1867</f>
        <v>류큐</v>
      </c>
      <c r="D1861" s="9" t="str">
        <f>[1]Discovery!E1867</f>
        <v>자연</v>
      </c>
      <c r="E1861" s="9" t="str">
        <f>[1]Discovery!C1867</f>
        <v>지리</v>
      </c>
      <c r="F1861" s="9" t="str">
        <f>[1]Discovery!G1867</f>
        <v>A</v>
      </c>
      <c r="G1861" s="9" t="str">
        <f>IFERROR(VLOOKUP(표1[[#This Row],[명칭]],'문화권 정리'!C:D,2,FALSE),"-")</f>
        <v>동아시아</v>
      </c>
      <c r="H1861" s="38" t="str">
        <f>IFERROR(COUNTIF([2]OceanDoodad!$Y:$Y,표1[[#This Row],[명칭]]),"-")</f>
        <v>-</v>
      </c>
      <c r="I1861" s="38">
        <f>IFERROR(COUNTIF([1]AdventureDiscoveryGroup!$D$8:$AW$92,표1[[#This Row],[명칭]]),"-")</f>
        <v>0</v>
      </c>
      <c r="J1861" s="38">
        <f>IFERROR(COUNTIF([1]FishDiscoveryGroup!$A:$X,표1[[#This Row],[명칭]]),"-")</f>
        <v>0</v>
      </c>
      <c r="K1861" s="38" t="str">
        <f>IFERROR(COUNTIF([2]Town!$B:$B,표1[[#This Row],[명칭]]),"-")</f>
        <v>-</v>
      </c>
      <c r="L1861" s="38">
        <f>IFERROR(COUNTIF([1]Village!$BR:$BR,표1[[#This Row],[명칭]]),"-")</f>
        <v>0</v>
      </c>
      <c r="M1861" s="38">
        <f>COUNTIF(퀘스트!B:B,표1[[#This Row],[명칭]])</f>
        <v>0</v>
      </c>
      <c r="N1861" s="65">
        <f>COUNTIF([1]VillageDiscoveryGroup!$C:$C,표1[[#This Row],[명칭]])</f>
        <v>0</v>
      </c>
      <c r="O1861" s="65">
        <f>SUM(표1[[#This Row],[해양탐색]:[마을탐험]])</f>
        <v>0</v>
      </c>
    </row>
    <row r="1862" spans="2:15" ht="13.5" customHeight="1" x14ac:dyDescent="0.3">
      <c r="B1862" s="9">
        <f>[1]Discovery!A1868</f>
        <v>70413077</v>
      </c>
      <c r="C1862" s="9" t="str">
        <f>[1]Discovery!B1868</f>
        <v>마다가스카르섬</v>
      </c>
      <c r="D1862" s="9" t="str">
        <f>[1]Discovery!E1868</f>
        <v>자연</v>
      </c>
      <c r="E1862" s="9" t="str">
        <f>[1]Discovery!C1868</f>
        <v>지리</v>
      </c>
      <c r="F1862" s="9" t="str">
        <f>[1]Discovery!G1868</f>
        <v>B</v>
      </c>
      <c r="G1862" s="9" t="str">
        <f>IFERROR(VLOOKUP(표1[[#This Row],[명칭]],'문화권 정리'!C:D,2,FALSE),"-")</f>
        <v>남아프리카</v>
      </c>
      <c r="H1862" s="38" t="str">
        <f>IFERROR(COUNTIF([2]OceanDoodad!$Y:$Y,표1[[#This Row],[명칭]]),"-")</f>
        <v>-</v>
      </c>
      <c r="I1862" s="38">
        <f>IFERROR(COUNTIF([1]AdventureDiscoveryGroup!$D$8:$AW$92,표1[[#This Row],[명칭]]),"-")</f>
        <v>0</v>
      </c>
      <c r="J1862" s="38">
        <f>IFERROR(COUNTIF([1]FishDiscoveryGroup!$A:$X,표1[[#This Row],[명칭]]),"-")</f>
        <v>0</v>
      </c>
      <c r="K1862" s="38" t="str">
        <f>IFERROR(COUNTIF([2]Town!$B:$B,표1[[#This Row],[명칭]]),"-")</f>
        <v>-</v>
      </c>
      <c r="L1862" s="38">
        <f>IFERROR(COUNTIF([1]Village!$BR:$BR,표1[[#This Row],[명칭]]),"-")</f>
        <v>0</v>
      </c>
      <c r="M1862" s="38">
        <f>COUNTIF(퀘스트!B:B,표1[[#This Row],[명칭]])</f>
        <v>0</v>
      </c>
      <c r="N1862" s="65">
        <f>COUNTIF([1]VillageDiscoveryGroup!$C:$C,표1[[#This Row],[명칭]])</f>
        <v>0</v>
      </c>
      <c r="O1862" s="65">
        <f>SUM(표1[[#This Row],[해양탐색]:[마을탐험]])</f>
        <v>0</v>
      </c>
    </row>
    <row r="1863" spans="2:15" ht="13.5" customHeight="1" x14ac:dyDescent="0.3">
      <c r="B1863" s="9">
        <f>[1]Discovery!A1869</f>
        <v>70413078</v>
      </c>
      <c r="C1863" s="9" t="str">
        <f>[1]Discovery!B1869</f>
        <v>마라조섬</v>
      </c>
      <c r="D1863" s="9" t="str">
        <f>[1]Discovery!E1869</f>
        <v>자연</v>
      </c>
      <c r="E1863" s="9" t="str">
        <f>[1]Discovery!C1869</f>
        <v>지리</v>
      </c>
      <c r="F1863" s="9" t="str">
        <f>[1]Discovery!G1869</f>
        <v>B</v>
      </c>
      <c r="G1863" s="9" t="str">
        <f>IFERROR(VLOOKUP(표1[[#This Row],[명칭]],'문화권 정리'!C:D,2,FALSE),"-")</f>
        <v>남아메리카</v>
      </c>
      <c r="H1863" s="38" t="str">
        <f>IFERROR(COUNTIF([2]OceanDoodad!$Y:$Y,표1[[#This Row],[명칭]]),"-")</f>
        <v>-</v>
      </c>
      <c r="I1863" s="38">
        <f>IFERROR(COUNTIF([1]AdventureDiscoveryGroup!$D$8:$AW$92,표1[[#This Row],[명칭]]),"-")</f>
        <v>0</v>
      </c>
      <c r="J1863" s="38">
        <f>IFERROR(COUNTIF([1]FishDiscoveryGroup!$A:$X,표1[[#This Row],[명칭]]),"-")</f>
        <v>0</v>
      </c>
      <c r="K1863" s="38" t="str">
        <f>IFERROR(COUNTIF([2]Town!$B:$B,표1[[#This Row],[명칭]]),"-")</f>
        <v>-</v>
      </c>
      <c r="L1863" s="38">
        <f>IFERROR(COUNTIF([1]Village!$BR:$BR,표1[[#This Row],[명칭]]),"-")</f>
        <v>0</v>
      </c>
      <c r="M1863" s="38">
        <f>COUNTIF(퀘스트!B:B,표1[[#This Row],[명칭]])</f>
        <v>0</v>
      </c>
      <c r="N1863" s="65">
        <f>COUNTIF([1]VillageDiscoveryGroup!$C:$C,표1[[#This Row],[명칭]])</f>
        <v>0</v>
      </c>
      <c r="O1863" s="65">
        <f>SUM(표1[[#This Row],[해양탐색]:[마을탐험]])</f>
        <v>0</v>
      </c>
    </row>
    <row r="1864" spans="2:15" ht="13.5" customHeight="1" x14ac:dyDescent="0.3">
      <c r="B1864" s="9">
        <f>[1]Discovery!A1870</f>
        <v>70413079</v>
      </c>
      <c r="C1864" s="9" t="str">
        <f>[1]Discovery!B1870</f>
        <v>마라카이보호</v>
      </c>
      <c r="D1864" s="9" t="str">
        <f>[1]Discovery!E1870</f>
        <v>자연</v>
      </c>
      <c r="E1864" s="9" t="str">
        <f>[1]Discovery!C1870</f>
        <v>지리</v>
      </c>
      <c r="F1864" s="9" t="str">
        <f>[1]Discovery!G1870</f>
        <v>S</v>
      </c>
      <c r="G1864" s="9" t="str">
        <f>IFERROR(VLOOKUP(표1[[#This Row],[명칭]],'문화권 정리'!C:D,2,FALSE),"-")</f>
        <v>중앙아메리카</v>
      </c>
      <c r="H1864" s="38" t="str">
        <f>IFERROR(COUNTIF([2]OceanDoodad!$Y:$Y,표1[[#This Row],[명칭]]),"-")</f>
        <v>-</v>
      </c>
      <c r="I1864" s="38">
        <f>IFERROR(COUNTIF([1]AdventureDiscoveryGroup!$D$8:$AW$92,표1[[#This Row],[명칭]]),"-")</f>
        <v>0</v>
      </c>
      <c r="J1864" s="38">
        <f>IFERROR(COUNTIF([1]FishDiscoveryGroup!$A:$X,표1[[#This Row],[명칭]]),"-")</f>
        <v>0</v>
      </c>
      <c r="K1864" s="38" t="str">
        <f>IFERROR(COUNTIF([2]Town!$B:$B,표1[[#This Row],[명칭]]),"-")</f>
        <v>-</v>
      </c>
      <c r="L1864" s="38">
        <f>IFERROR(COUNTIF([1]Village!$BR:$BR,표1[[#This Row],[명칭]]),"-")</f>
        <v>0</v>
      </c>
      <c r="M1864" s="38">
        <f>COUNTIF(퀘스트!B:B,표1[[#This Row],[명칭]])</f>
        <v>0</v>
      </c>
      <c r="N1864" s="65">
        <f>COUNTIF([1]VillageDiscoveryGroup!$C:$C,표1[[#This Row],[명칭]])</f>
        <v>0</v>
      </c>
      <c r="O1864" s="65">
        <f>SUM(표1[[#This Row],[해양탐색]:[마을탐험]])</f>
        <v>0</v>
      </c>
    </row>
    <row r="1865" spans="2:15" ht="13.5" customHeight="1" x14ac:dyDescent="0.3">
      <c r="B1865" s="9">
        <f>[1]Discovery!A1871</f>
        <v>70413080</v>
      </c>
      <c r="C1865" s="9" t="str">
        <f>[1]Discovery!B1871</f>
        <v>마르가리타섬</v>
      </c>
      <c r="D1865" s="9" t="str">
        <f>[1]Discovery!E1871</f>
        <v>자연</v>
      </c>
      <c r="E1865" s="9" t="str">
        <f>[1]Discovery!C1871</f>
        <v>지리</v>
      </c>
      <c r="F1865" s="9" t="str">
        <f>[1]Discovery!G1871</f>
        <v>B</v>
      </c>
      <c r="G1865" s="9" t="str">
        <f>IFERROR(VLOOKUP(표1[[#This Row],[명칭]],'문화권 정리'!C:D,2,FALSE),"-")</f>
        <v>남아메리카</v>
      </c>
      <c r="H1865" s="38" t="str">
        <f>IFERROR(COUNTIF([2]OceanDoodad!$Y:$Y,표1[[#This Row],[명칭]]),"-")</f>
        <v>-</v>
      </c>
      <c r="I1865" s="38">
        <f>IFERROR(COUNTIF([1]AdventureDiscoveryGroup!$D$8:$AW$92,표1[[#This Row],[명칭]]),"-")</f>
        <v>0</v>
      </c>
      <c r="J1865" s="38">
        <f>IFERROR(COUNTIF([1]FishDiscoveryGroup!$A:$X,표1[[#This Row],[명칭]]),"-")</f>
        <v>0</v>
      </c>
      <c r="K1865" s="38" t="str">
        <f>IFERROR(COUNTIF([2]Town!$B:$B,표1[[#This Row],[명칭]]),"-")</f>
        <v>-</v>
      </c>
      <c r="L1865" s="38">
        <f>IFERROR(COUNTIF([1]Village!$BR:$BR,표1[[#This Row],[명칭]]),"-")</f>
        <v>0</v>
      </c>
      <c r="M1865" s="38">
        <f>COUNTIF(퀘스트!B:B,표1[[#This Row],[명칭]])</f>
        <v>0</v>
      </c>
      <c r="N1865" s="65">
        <f>COUNTIF([1]VillageDiscoveryGroup!$C:$C,표1[[#This Row],[명칭]])</f>
        <v>0</v>
      </c>
      <c r="O1865" s="65">
        <f>SUM(표1[[#This Row],[해양탐색]:[마을탐험]])</f>
        <v>0</v>
      </c>
    </row>
    <row r="1866" spans="2:15" ht="13.5" customHeight="1" x14ac:dyDescent="0.3">
      <c r="B1866" s="9">
        <f>[1]Discovery!A1872</f>
        <v>70413081</v>
      </c>
      <c r="C1866" s="9" t="str">
        <f>[1]Discovery!B1872</f>
        <v>마르 산맥</v>
      </c>
      <c r="D1866" s="9" t="str">
        <f>[1]Discovery!E1872</f>
        <v>자연</v>
      </c>
      <c r="E1866" s="9" t="str">
        <f>[1]Discovery!C1872</f>
        <v>지리</v>
      </c>
      <c r="F1866" s="9" t="str">
        <f>[1]Discovery!G1872</f>
        <v>A</v>
      </c>
      <c r="G1866" s="9" t="str">
        <f>IFERROR(VLOOKUP(표1[[#This Row],[명칭]],'문화권 정리'!C:D,2,FALSE),"-")</f>
        <v>남아메리카</v>
      </c>
      <c r="H1866" s="38" t="str">
        <f>IFERROR(COUNTIF([2]OceanDoodad!$Y:$Y,표1[[#This Row],[명칭]]),"-")</f>
        <v>-</v>
      </c>
      <c r="I1866" s="38">
        <f>IFERROR(COUNTIF([1]AdventureDiscoveryGroup!$D$8:$AW$92,표1[[#This Row],[명칭]]),"-")</f>
        <v>0</v>
      </c>
      <c r="J1866" s="38">
        <f>IFERROR(COUNTIF([1]FishDiscoveryGroup!$A:$X,표1[[#This Row],[명칭]]),"-")</f>
        <v>0</v>
      </c>
      <c r="K1866" s="38" t="str">
        <f>IFERROR(COUNTIF([2]Town!$B:$B,표1[[#This Row],[명칭]]),"-")</f>
        <v>-</v>
      </c>
      <c r="L1866" s="38">
        <f>IFERROR(COUNTIF([1]Village!$BR:$BR,표1[[#This Row],[명칭]]),"-")</f>
        <v>0</v>
      </c>
      <c r="M1866" s="38">
        <f>COUNTIF(퀘스트!B:B,표1[[#This Row],[명칭]])</f>
        <v>0</v>
      </c>
      <c r="N1866" s="65">
        <f>COUNTIF([1]VillageDiscoveryGroup!$C:$C,표1[[#This Row],[명칭]])</f>
        <v>0</v>
      </c>
      <c r="O1866" s="65">
        <f>SUM(표1[[#This Row],[해양탐색]:[마을탐험]])</f>
        <v>0</v>
      </c>
    </row>
    <row r="1867" spans="2:15" ht="13.5" customHeight="1" x14ac:dyDescent="0.3">
      <c r="B1867" s="9">
        <f>[1]Discovery!A1873</f>
        <v>70413082</v>
      </c>
      <c r="C1867" s="9" t="str">
        <f>[1]Discovery!B1873</f>
        <v>마르퀴즈 제도</v>
      </c>
      <c r="D1867" s="9" t="str">
        <f>[1]Discovery!E1873</f>
        <v>자연</v>
      </c>
      <c r="E1867" s="9" t="str">
        <f>[1]Discovery!C1873</f>
        <v>지리</v>
      </c>
      <c r="F1867" s="9" t="str">
        <f>[1]Discovery!G1873</f>
        <v>B</v>
      </c>
      <c r="G1867" s="9" t="str">
        <f>IFERROR(VLOOKUP(표1[[#This Row],[명칭]],'문화권 정리'!C:D,2,FALSE),"-")</f>
        <v>태평양</v>
      </c>
      <c r="H1867" s="38" t="str">
        <f>IFERROR(COUNTIF([2]OceanDoodad!$Y:$Y,표1[[#This Row],[명칭]]),"-")</f>
        <v>-</v>
      </c>
      <c r="I1867" s="38">
        <f>IFERROR(COUNTIF([1]AdventureDiscoveryGroup!$D$8:$AW$92,표1[[#This Row],[명칭]]),"-")</f>
        <v>0</v>
      </c>
      <c r="J1867" s="38">
        <f>IFERROR(COUNTIF([1]FishDiscoveryGroup!$A:$X,표1[[#This Row],[명칭]]),"-")</f>
        <v>0</v>
      </c>
      <c r="K1867" s="38" t="str">
        <f>IFERROR(COUNTIF([2]Town!$B:$B,표1[[#This Row],[명칭]]),"-")</f>
        <v>-</v>
      </c>
      <c r="L1867" s="38">
        <f>IFERROR(COUNTIF([1]Village!$BR:$BR,표1[[#This Row],[명칭]]),"-")</f>
        <v>0</v>
      </c>
      <c r="M1867" s="38">
        <f>COUNTIF(퀘스트!B:B,표1[[#This Row],[명칭]])</f>
        <v>0</v>
      </c>
      <c r="N1867" s="65">
        <f>COUNTIF([1]VillageDiscoveryGroup!$C:$C,표1[[#This Row],[명칭]])</f>
        <v>0</v>
      </c>
      <c r="O1867" s="65">
        <f>SUM(표1[[#This Row],[해양탐색]:[마을탐험]])</f>
        <v>0</v>
      </c>
    </row>
    <row r="1868" spans="2:15" ht="13.5" customHeight="1" x14ac:dyDescent="0.3">
      <c r="B1868" s="9">
        <f>[1]Discovery!A1874</f>
        <v>70413083</v>
      </c>
      <c r="C1868" s="9" t="str">
        <f>[1]Discovery!B1874</f>
        <v>마르티니크</v>
      </c>
      <c r="D1868" s="9" t="str">
        <f>[1]Discovery!E1874</f>
        <v>자연</v>
      </c>
      <c r="E1868" s="9" t="str">
        <f>[1]Discovery!C1874</f>
        <v>지리</v>
      </c>
      <c r="F1868" s="9" t="str">
        <f>[1]Discovery!G1874</f>
        <v>A</v>
      </c>
      <c r="G1868" s="9" t="str">
        <f>IFERROR(VLOOKUP(표1[[#This Row],[명칭]],'문화권 정리'!C:D,2,FALSE),"-")</f>
        <v>중앙아메리카</v>
      </c>
      <c r="H1868" s="38" t="str">
        <f>IFERROR(COUNTIF([2]OceanDoodad!$Y:$Y,표1[[#This Row],[명칭]]),"-")</f>
        <v>-</v>
      </c>
      <c r="I1868" s="38">
        <f>IFERROR(COUNTIF([1]AdventureDiscoveryGroup!$D$8:$AW$92,표1[[#This Row],[명칭]]),"-")</f>
        <v>0</v>
      </c>
      <c r="J1868" s="38">
        <f>IFERROR(COUNTIF([1]FishDiscoveryGroup!$A:$X,표1[[#This Row],[명칭]]),"-")</f>
        <v>0</v>
      </c>
      <c r="K1868" s="38" t="str">
        <f>IFERROR(COUNTIF([2]Town!$B:$B,표1[[#This Row],[명칭]]),"-")</f>
        <v>-</v>
      </c>
      <c r="L1868" s="38">
        <f>IFERROR(COUNTIF([1]Village!$BR:$BR,표1[[#This Row],[명칭]]),"-")</f>
        <v>0</v>
      </c>
      <c r="M1868" s="38">
        <f>COUNTIF(퀘스트!B:B,표1[[#This Row],[명칭]])</f>
        <v>0</v>
      </c>
      <c r="N1868" s="65">
        <f>COUNTIF([1]VillageDiscoveryGroup!$C:$C,표1[[#This Row],[명칭]])</f>
        <v>0</v>
      </c>
      <c r="O1868" s="65">
        <f>SUM(표1[[#This Row],[해양탐색]:[마을탐험]])</f>
        <v>0</v>
      </c>
    </row>
    <row r="1869" spans="2:15" ht="13.5" customHeight="1" x14ac:dyDescent="0.3">
      <c r="B1869" s="9">
        <f>[1]Discovery!A1875</f>
        <v>70413084</v>
      </c>
      <c r="C1869" s="9" t="str">
        <f>[1]Discovery!B1875</f>
        <v>마스카렌 제도</v>
      </c>
      <c r="D1869" s="9" t="str">
        <f>[1]Discovery!E1875</f>
        <v>자연</v>
      </c>
      <c r="E1869" s="9" t="str">
        <f>[1]Discovery!C1875</f>
        <v>지리</v>
      </c>
      <c r="F1869" s="9" t="str">
        <f>[1]Discovery!G1875</f>
        <v>B</v>
      </c>
      <c r="G1869" s="9" t="str">
        <f>IFERROR(VLOOKUP(표1[[#This Row],[명칭]],'문화권 정리'!C:D,2,FALSE),"-")</f>
        <v>남아프리카</v>
      </c>
      <c r="H1869" s="38" t="str">
        <f>IFERROR(COUNTIF([2]OceanDoodad!$Y:$Y,표1[[#This Row],[명칭]]),"-")</f>
        <v>-</v>
      </c>
      <c r="I1869" s="38">
        <f>IFERROR(COUNTIF([1]AdventureDiscoveryGroup!$D$8:$AW$92,표1[[#This Row],[명칭]]),"-")</f>
        <v>0</v>
      </c>
      <c r="J1869" s="38">
        <f>IFERROR(COUNTIF([1]FishDiscoveryGroup!$A:$X,표1[[#This Row],[명칭]]),"-")</f>
        <v>0</v>
      </c>
      <c r="K1869" s="38" t="str">
        <f>IFERROR(COUNTIF([2]Town!$B:$B,표1[[#This Row],[명칭]]),"-")</f>
        <v>-</v>
      </c>
      <c r="L1869" s="38">
        <f>IFERROR(COUNTIF([1]Village!$BR:$BR,표1[[#This Row],[명칭]]),"-")</f>
        <v>0</v>
      </c>
      <c r="M1869" s="38">
        <f>COUNTIF(퀘스트!B:B,표1[[#This Row],[명칭]])</f>
        <v>0</v>
      </c>
      <c r="N1869" s="65">
        <f>COUNTIF([1]VillageDiscoveryGroup!$C:$C,표1[[#This Row],[명칭]])</f>
        <v>0</v>
      </c>
      <c r="O1869" s="65">
        <f>SUM(표1[[#This Row],[해양탐색]:[마을탐험]])</f>
        <v>0</v>
      </c>
    </row>
    <row r="1870" spans="2:15" ht="13.5" customHeight="1" x14ac:dyDescent="0.3">
      <c r="B1870" s="9">
        <f>[1]Discovery!A1876</f>
        <v>70413085</v>
      </c>
      <c r="C1870" s="9" t="str">
        <f>[1]Discovery!B1876</f>
        <v>마우나 케아</v>
      </c>
      <c r="D1870" s="9" t="str">
        <f>[1]Discovery!E1876</f>
        <v>자연</v>
      </c>
      <c r="E1870" s="9" t="str">
        <f>[1]Discovery!C1876</f>
        <v>지리</v>
      </c>
      <c r="F1870" s="9" t="str">
        <f>[1]Discovery!G1876</f>
        <v>S</v>
      </c>
      <c r="G1870" s="9" t="str">
        <f>IFERROR(VLOOKUP(표1[[#This Row],[명칭]],'문화권 정리'!C:D,2,FALSE),"-")</f>
        <v>태평양</v>
      </c>
      <c r="H1870" s="38" t="str">
        <f>IFERROR(COUNTIF([2]OceanDoodad!$Y:$Y,표1[[#This Row],[명칭]]),"-")</f>
        <v>-</v>
      </c>
      <c r="I1870" s="38">
        <f>IFERROR(COUNTIF([1]AdventureDiscoveryGroup!$D$8:$AW$92,표1[[#This Row],[명칭]]),"-")</f>
        <v>0</v>
      </c>
      <c r="J1870" s="38">
        <f>IFERROR(COUNTIF([1]FishDiscoveryGroup!$A:$X,표1[[#This Row],[명칭]]),"-")</f>
        <v>0</v>
      </c>
      <c r="K1870" s="38" t="str">
        <f>IFERROR(COUNTIF([2]Town!$B:$B,표1[[#This Row],[명칭]]),"-")</f>
        <v>-</v>
      </c>
      <c r="L1870" s="38">
        <f>IFERROR(COUNTIF([1]Village!$BR:$BR,표1[[#This Row],[명칭]]),"-")</f>
        <v>0</v>
      </c>
      <c r="M1870" s="38">
        <f>COUNTIF(퀘스트!B:B,표1[[#This Row],[명칭]])</f>
        <v>0</v>
      </c>
      <c r="N1870" s="65">
        <f>COUNTIF([1]VillageDiscoveryGroup!$C:$C,표1[[#This Row],[명칭]])</f>
        <v>0</v>
      </c>
      <c r="O1870" s="65">
        <f>SUM(표1[[#This Row],[해양탐색]:[마을탐험]])</f>
        <v>0</v>
      </c>
    </row>
    <row r="1871" spans="2:15" ht="13.5" customHeight="1" x14ac:dyDescent="0.3">
      <c r="B1871" s="9">
        <f>[1]Discovery!A1877</f>
        <v>70413086</v>
      </c>
      <c r="C1871" s="9" t="str">
        <f>[1]Discovery!B1877</f>
        <v>마우이섬</v>
      </c>
      <c r="D1871" s="9" t="str">
        <f>[1]Discovery!E1877</f>
        <v>자연</v>
      </c>
      <c r="E1871" s="9" t="str">
        <f>[1]Discovery!C1877</f>
        <v>지리</v>
      </c>
      <c r="F1871" s="9" t="str">
        <f>[1]Discovery!G1877</f>
        <v>B</v>
      </c>
      <c r="G1871" s="9" t="str">
        <f>IFERROR(VLOOKUP(표1[[#This Row],[명칭]],'문화권 정리'!C:D,2,FALSE),"-")</f>
        <v>태평양</v>
      </c>
      <c r="H1871" s="38" t="str">
        <f>IFERROR(COUNTIF([2]OceanDoodad!$Y:$Y,표1[[#This Row],[명칭]]),"-")</f>
        <v>-</v>
      </c>
      <c r="I1871" s="38">
        <f>IFERROR(COUNTIF([1]AdventureDiscoveryGroup!$D$8:$AW$92,표1[[#This Row],[명칭]]),"-")</f>
        <v>0</v>
      </c>
      <c r="J1871" s="38">
        <f>IFERROR(COUNTIF([1]FishDiscoveryGroup!$A:$X,표1[[#This Row],[명칭]]),"-")</f>
        <v>0</v>
      </c>
      <c r="K1871" s="38" t="str">
        <f>IFERROR(COUNTIF([2]Town!$B:$B,표1[[#This Row],[명칭]]),"-")</f>
        <v>-</v>
      </c>
      <c r="L1871" s="38">
        <f>IFERROR(COUNTIF([1]Village!$BR:$BR,표1[[#This Row],[명칭]]),"-")</f>
        <v>0</v>
      </c>
      <c r="M1871" s="38">
        <f>COUNTIF(퀘스트!B:B,표1[[#This Row],[명칭]])</f>
        <v>0</v>
      </c>
      <c r="N1871" s="65">
        <f>COUNTIF([1]VillageDiscoveryGroup!$C:$C,표1[[#This Row],[명칭]])</f>
        <v>0</v>
      </c>
      <c r="O1871" s="65">
        <f>SUM(표1[[#This Row],[해양탐색]:[마을탐험]])</f>
        <v>0</v>
      </c>
    </row>
    <row r="1872" spans="2:15" ht="13.5" customHeight="1" x14ac:dyDescent="0.3">
      <c r="B1872" s="9">
        <f>[1]Discovery!A1878</f>
        <v>70413087</v>
      </c>
      <c r="C1872" s="9" t="str">
        <f>[1]Discovery!B1878</f>
        <v>마운트데저트섬</v>
      </c>
      <c r="D1872" s="9" t="str">
        <f>[1]Discovery!E1878</f>
        <v>자연</v>
      </c>
      <c r="E1872" s="9" t="str">
        <f>[1]Discovery!C1878</f>
        <v>지리</v>
      </c>
      <c r="F1872" s="9" t="str">
        <f>[1]Discovery!G1878</f>
        <v>B</v>
      </c>
      <c r="G1872" s="9" t="str">
        <f>IFERROR(VLOOKUP(표1[[#This Row],[명칭]],'문화권 정리'!C:D,2,FALSE),"-")</f>
        <v>북아메리카</v>
      </c>
      <c r="H1872" s="38" t="str">
        <f>IFERROR(COUNTIF([2]OceanDoodad!$Y:$Y,표1[[#This Row],[명칭]]),"-")</f>
        <v>-</v>
      </c>
      <c r="I1872" s="38">
        <f>IFERROR(COUNTIF([1]AdventureDiscoveryGroup!$D$8:$AW$92,표1[[#This Row],[명칭]]),"-")</f>
        <v>0</v>
      </c>
      <c r="J1872" s="38">
        <f>IFERROR(COUNTIF([1]FishDiscoveryGroup!$A:$X,표1[[#This Row],[명칭]]),"-")</f>
        <v>0</v>
      </c>
      <c r="K1872" s="38" t="str">
        <f>IFERROR(COUNTIF([2]Town!$B:$B,표1[[#This Row],[명칭]]),"-")</f>
        <v>-</v>
      </c>
      <c r="L1872" s="38">
        <f>IFERROR(COUNTIF([1]Village!$BR:$BR,표1[[#This Row],[명칭]]),"-")</f>
        <v>0</v>
      </c>
      <c r="M1872" s="38">
        <f>COUNTIF(퀘스트!B:B,표1[[#This Row],[명칭]])</f>
        <v>0</v>
      </c>
      <c r="N1872" s="65">
        <f>COUNTIF([1]VillageDiscoveryGroup!$C:$C,표1[[#This Row],[명칭]])</f>
        <v>0</v>
      </c>
      <c r="O1872" s="65">
        <f>SUM(표1[[#This Row],[해양탐색]:[마을탐험]])</f>
        <v>0</v>
      </c>
    </row>
    <row r="1873" spans="2:15" ht="13.5" customHeight="1" x14ac:dyDescent="0.3">
      <c r="B1873" s="9">
        <f>[1]Discovery!A1879</f>
        <v>70413089</v>
      </c>
      <c r="C1873" s="9" t="str">
        <f>[1]Discovery!B1879</f>
        <v>마카사르해협</v>
      </c>
      <c r="D1873" s="9" t="str">
        <f>[1]Discovery!E1879</f>
        <v>자연</v>
      </c>
      <c r="E1873" s="9" t="str">
        <f>[1]Discovery!C1879</f>
        <v>지리</v>
      </c>
      <c r="F1873" s="9" t="str">
        <f>[1]Discovery!G1879</f>
        <v>B</v>
      </c>
      <c r="G1873" s="9" t="str">
        <f>IFERROR(VLOOKUP(표1[[#This Row],[명칭]],'문화권 정리'!C:D,2,FALSE),"-")</f>
        <v>동남아시아</v>
      </c>
      <c r="H1873" s="38" t="str">
        <f>IFERROR(COUNTIF([2]OceanDoodad!$Y:$Y,표1[[#This Row],[명칭]]),"-")</f>
        <v>-</v>
      </c>
      <c r="I1873" s="38">
        <f>IFERROR(COUNTIF([1]AdventureDiscoveryGroup!$D$8:$AW$92,표1[[#This Row],[명칭]]),"-")</f>
        <v>0</v>
      </c>
      <c r="J1873" s="38">
        <f>IFERROR(COUNTIF([1]FishDiscoveryGroup!$A:$X,표1[[#This Row],[명칭]]),"-")</f>
        <v>0</v>
      </c>
      <c r="K1873" s="38" t="str">
        <f>IFERROR(COUNTIF([2]Town!$B:$B,표1[[#This Row],[명칭]]),"-")</f>
        <v>-</v>
      </c>
      <c r="L1873" s="38">
        <f>IFERROR(COUNTIF([1]Village!$BR:$BR,표1[[#This Row],[명칭]]),"-")</f>
        <v>0</v>
      </c>
      <c r="M1873" s="38">
        <f>COUNTIF(퀘스트!B:B,표1[[#This Row],[명칭]])</f>
        <v>0</v>
      </c>
      <c r="N1873" s="65">
        <f>COUNTIF([1]VillageDiscoveryGroup!$C:$C,표1[[#This Row],[명칭]])</f>
        <v>0</v>
      </c>
      <c r="O1873" s="65">
        <f>SUM(표1[[#This Row],[해양탐색]:[마을탐험]])</f>
        <v>0</v>
      </c>
    </row>
    <row r="1874" spans="2:15" ht="13.5" customHeight="1" x14ac:dyDescent="0.3">
      <c r="B1874" s="9">
        <f>[1]Discovery!A1880</f>
        <v>70413090</v>
      </c>
      <c r="C1874" s="9" t="str">
        <f>[1]Discovery!B1880</f>
        <v>막가딕가디 판</v>
      </c>
      <c r="D1874" s="9" t="str">
        <f>[1]Discovery!E1880</f>
        <v>자연</v>
      </c>
      <c r="E1874" s="9" t="str">
        <f>[1]Discovery!C1880</f>
        <v>지리</v>
      </c>
      <c r="F1874" s="9" t="str">
        <f>[1]Discovery!G1880</f>
        <v>A</v>
      </c>
      <c r="G1874" s="9" t="str">
        <f>IFERROR(VLOOKUP(표1[[#This Row],[명칭]],'문화권 정리'!C:D,2,FALSE),"-")</f>
        <v>남아프리카</v>
      </c>
      <c r="H1874" s="38" t="str">
        <f>IFERROR(COUNTIF([2]OceanDoodad!$Y:$Y,표1[[#This Row],[명칭]]),"-")</f>
        <v>-</v>
      </c>
      <c r="I1874" s="38">
        <f>IFERROR(COUNTIF([1]AdventureDiscoveryGroup!$D$8:$AW$92,표1[[#This Row],[명칭]]),"-")</f>
        <v>0</v>
      </c>
      <c r="J1874" s="38">
        <f>IFERROR(COUNTIF([1]FishDiscoveryGroup!$A:$X,표1[[#This Row],[명칭]]),"-")</f>
        <v>0</v>
      </c>
      <c r="K1874" s="38" t="str">
        <f>IFERROR(COUNTIF([2]Town!$B:$B,표1[[#This Row],[명칭]]),"-")</f>
        <v>-</v>
      </c>
      <c r="L1874" s="38">
        <f>IFERROR(COUNTIF([1]Village!$BR:$BR,표1[[#This Row],[명칭]]),"-")</f>
        <v>0</v>
      </c>
      <c r="M1874" s="38">
        <f>COUNTIF(퀘스트!B:B,표1[[#This Row],[명칭]])</f>
        <v>0</v>
      </c>
      <c r="N1874" s="65">
        <f>COUNTIF([1]VillageDiscoveryGroup!$C:$C,표1[[#This Row],[명칭]])</f>
        <v>0</v>
      </c>
      <c r="O1874" s="65">
        <f>SUM(표1[[#This Row],[해양탐색]:[마을탐험]])</f>
        <v>0</v>
      </c>
    </row>
    <row r="1875" spans="2:15" ht="13.5" customHeight="1" x14ac:dyDescent="0.3">
      <c r="B1875" s="9">
        <f>[1]Discovery!A1881</f>
        <v>70413091</v>
      </c>
      <c r="C1875" s="9" t="str">
        <f>[1]Discovery!B1881</f>
        <v>믈라카해협</v>
      </c>
      <c r="D1875" s="9" t="str">
        <f>[1]Discovery!E1881</f>
        <v>자연</v>
      </c>
      <c r="E1875" s="9" t="str">
        <f>[1]Discovery!C1881</f>
        <v>지리</v>
      </c>
      <c r="F1875" s="9" t="str">
        <f>[1]Discovery!G1881</f>
        <v>C</v>
      </c>
      <c r="G1875" s="9" t="str">
        <f>IFERROR(VLOOKUP(표1[[#This Row],[명칭]],'문화권 정리'!C:D,2,FALSE),"-")</f>
        <v>동남아시아</v>
      </c>
      <c r="H1875" s="38" t="str">
        <f>IFERROR(COUNTIF([2]OceanDoodad!$Y:$Y,표1[[#This Row],[명칭]]),"-")</f>
        <v>-</v>
      </c>
      <c r="I1875" s="38">
        <f>IFERROR(COUNTIF([1]AdventureDiscoveryGroup!$D$8:$AW$92,표1[[#This Row],[명칭]]),"-")</f>
        <v>0</v>
      </c>
      <c r="J1875" s="38">
        <f>IFERROR(COUNTIF([1]FishDiscoveryGroup!$A:$X,표1[[#This Row],[명칭]]),"-")</f>
        <v>0</v>
      </c>
      <c r="K1875" s="38" t="str">
        <f>IFERROR(COUNTIF([2]Town!$B:$B,표1[[#This Row],[명칭]]),"-")</f>
        <v>-</v>
      </c>
      <c r="L1875" s="38">
        <f>IFERROR(COUNTIF([1]Village!$BR:$BR,표1[[#This Row],[명칭]]),"-")</f>
        <v>0</v>
      </c>
      <c r="M1875" s="38">
        <f>COUNTIF(퀘스트!B:B,표1[[#This Row],[명칭]])</f>
        <v>0</v>
      </c>
      <c r="N1875" s="65">
        <f>COUNTIF([1]VillageDiscoveryGroup!$C:$C,표1[[#This Row],[명칭]])</f>
        <v>0</v>
      </c>
      <c r="O1875" s="65">
        <f>SUM(표1[[#This Row],[해양탐색]:[마을탐험]])</f>
        <v>0</v>
      </c>
    </row>
    <row r="1876" spans="2:15" ht="13.5" customHeight="1" x14ac:dyDescent="0.3">
      <c r="B1876" s="9">
        <f>[1]Discovery!A1882</f>
        <v>70413092</v>
      </c>
      <c r="C1876" s="9" t="str">
        <f>[1]Discovery!B1882</f>
        <v>말레이반도</v>
      </c>
      <c r="D1876" s="9" t="str">
        <f>[1]Discovery!E1882</f>
        <v>자연</v>
      </c>
      <c r="E1876" s="9" t="str">
        <f>[1]Discovery!C1882</f>
        <v>지리</v>
      </c>
      <c r="F1876" s="9" t="str">
        <f>[1]Discovery!G1882</f>
        <v>D</v>
      </c>
      <c r="G1876" s="9" t="str">
        <f>IFERROR(VLOOKUP(표1[[#This Row],[명칭]],'문화권 정리'!C:D,2,FALSE),"-")</f>
        <v>동남아시아</v>
      </c>
      <c r="H1876" s="38" t="str">
        <f>IFERROR(COUNTIF([2]OceanDoodad!$Y:$Y,표1[[#This Row],[명칭]]),"-")</f>
        <v>-</v>
      </c>
      <c r="I1876" s="38">
        <f>IFERROR(COUNTIF([1]AdventureDiscoveryGroup!$D$8:$AW$92,표1[[#This Row],[명칭]]),"-")</f>
        <v>0</v>
      </c>
      <c r="J1876" s="38">
        <f>IFERROR(COUNTIF([1]FishDiscoveryGroup!$A:$X,표1[[#This Row],[명칭]]),"-")</f>
        <v>0</v>
      </c>
      <c r="K1876" s="38" t="str">
        <f>IFERROR(COUNTIF([2]Town!$B:$B,표1[[#This Row],[명칭]]),"-")</f>
        <v>-</v>
      </c>
      <c r="L1876" s="38">
        <f>IFERROR(COUNTIF([1]Village!$BR:$BR,표1[[#This Row],[명칭]]),"-")</f>
        <v>0</v>
      </c>
      <c r="M1876" s="38">
        <f>COUNTIF(퀘스트!B:B,표1[[#This Row],[명칭]])</f>
        <v>0</v>
      </c>
      <c r="N1876" s="65">
        <f>COUNTIF([1]VillageDiscoveryGroup!$C:$C,표1[[#This Row],[명칭]])</f>
        <v>0</v>
      </c>
      <c r="O1876" s="65">
        <f>SUM(표1[[#This Row],[해양탐색]:[마을탐험]])</f>
        <v>0</v>
      </c>
    </row>
    <row r="1877" spans="2:15" ht="13.5" customHeight="1" x14ac:dyDescent="0.3">
      <c r="B1877" s="9">
        <f>[1]Discovery!A1883</f>
        <v>70413093</v>
      </c>
      <c r="C1877" s="9" t="str">
        <f>[1]Discovery!B1883</f>
        <v>매머드 동굴</v>
      </c>
      <c r="D1877" s="9" t="str">
        <f>[1]Discovery!E1883</f>
        <v>자연</v>
      </c>
      <c r="E1877" s="9" t="str">
        <f>[1]Discovery!C1883</f>
        <v>지리</v>
      </c>
      <c r="F1877" s="9" t="str">
        <f>[1]Discovery!G1883</f>
        <v>A</v>
      </c>
      <c r="G1877" s="9" t="str">
        <f>IFERROR(VLOOKUP(표1[[#This Row],[명칭]],'문화권 정리'!C:D,2,FALSE),"-")</f>
        <v>북아메리카</v>
      </c>
      <c r="H1877" s="38" t="str">
        <f>IFERROR(COUNTIF([2]OceanDoodad!$Y:$Y,표1[[#This Row],[명칭]]),"-")</f>
        <v>-</v>
      </c>
      <c r="I1877" s="38">
        <f>IFERROR(COUNTIF([1]AdventureDiscoveryGroup!$D$8:$AW$92,표1[[#This Row],[명칭]]),"-")</f>
        <v>0</v>
      </c>
      <c r="J1877" s="38">
        <f>IFERROR(COUNTIF([1]FishDiscoveryGroup!$A:$X,표1[[#This Row],[명칭]]),"-")</f>
        <v>0</v>
      </c>
      <c r="K1877" s="38" t="str">
        <f>IFERROR(COUNTIF([2]Town!$B:$B,표1[[#This Row],[명칭]]),"-")</f>
        <v>-</v>
      </c>
      <c r="L1877" s="38">
        <f>IFERROR(COUNTIF([1]Village!$BR:$BR,표1[[#This Row],[명칭]]),"-")</f>
        <v>0</v>
      </c>
      <c r="M1877" s="38">
        <f>COUNTIF(퀘스트!B:B,표1[[#This Row],[명칭]])</f>
        <v>1</v>
      </c>
      <c r="N1877" s="65">
        <f>COUNTIF([1]VillageDiscoveryGroup!$C:$C,표1[[#This Row],[명칭]])</f>
        <v>0</v>
      </c>
      <c r="O1877" s="65">
        <f>SUM(표1[[#This Row],[해양탐색]:[마을탐험]])</f>
        <v>1</v>
      </c>
    </row>
    <row r="1878" spans="2:15" ht="13.5" customHeight="1" x14ac:dyDescent="0.3">
      <c r="B1878" s="9">
        <f>[1]Discovery!A1884</f>
        <v>70413094</v>
      </c>
      <c r="C1878" s="9" t="str">
        <f>[1]Discovery!B1884</f>
        <v>맨섬</v>
      </c>
      <c r="D1878" s="9" t="str">
        <f>[1]Discovery!E1884</f>
        <v>자연</v>
      </c>
      <c r="E1878" s="9" t="str">
        <f>[1]Discovery!C1884</f>
        <v>지리</v>
      </c>
      <c r="F1878" s="9" t="str">
        <f>[1]Discovery!G1884</f>
        <v>A</v>
      </c>
      <c r="G1878" s="9" t="str">
        <f>IFERROR(VLOOKUP(표1[[#This Row],[명칭]],'문화권 정리'!C:D,2,FALSE),"-")</f>
        <v>브리튼</v>
      </c>
      <c r="H1878" s="38" t="str">
        <f>IFERROR(COUNTIF([2]OceanDoodad!$Y:$Y,표1[[#This Row],[명칭]]),"-")</f>
        <v>-</v>
      </c>
      <c r="I1878" s="38">
        <f>IFERROR(COUNTIF([1]AdventureDiscoveryGroup!$D$8:$AW$92,표1[[#This Row],[명칭]]),"-")</f>
        <v>0</v>
      </c>
      <c r="J1878" s="38">
        <f>IFERROR(COUNTIF([1]FishDiscoveryGroup!$A:$X,표1[[#This Row],[명칭]]),"-")</f>
        <v>0</v>
      </c>
      <c r="K1878" s="38" t="str">
        <f>IFERROR(COUNTIF([2]Town!$B:$B,표1[[#This Row],[명칭]]),"-")</f>
        <v>-</v>
      </c>
      <c r="L1878" s="38">
        <f>IFERROR(COUNTIF([1]Village!$BR:$BR,표1[[#This Row],[명칭]]),"-")</f>
        <v>0</v>
      </c>
      <c r="M1878" s="38">
        <f>COUNTIF(퀘스트!B:B,표1[[#This Row],[명칭]])</f>
        <v>0</v>
      </c>
      <c r="N1878" s="65">
        <f>COUNTIF([1]VillageDiscoveryGroup!$C:$C,표1[[#This Row],[명칭]])</f>
        <v>0</v>
      </c>
      <c r="O1878" s="65">
        <f>SUM(표1[[#This Row],[해양탐색]:[마을탐험]])</f>
        <v>0</v>
      </c>
    </row>
    <row r="1879" spans="2:15" ht="13.5" customHeight="1" x14ac:dyDescent="0.3">
      <c r="B1879" s="9">
        <f>[1]Discovery!A1885</f>
        <v>70413095</v>
      </c>
      <c r="C1879" s="9" t="str">
        <f>[1]Discovery!B1885</f>
        <v>머나드녹</v>
      </c>
      <c r="D1879" s="9" t="str">
        <f>[1]Discovery!E1885</f>
        <v>자연</v>
      </c>
      <c r="E1879" s="9" t="str">
        <f>[1]Discovery!C1885</f>
        <v>지리</v>
      </c>
      <c r="F1879" s="9" t="str">
        <f>[1]Discovery!G1885</f>
        <v>A</v>
      </c>
      <c r="G1879" s="9" t="str">
        <f>IFERROR(VLOOKUP(표1[[#This Row],[명칭]],'문화권 정리'!C:D,2,FALSE),"-")</f>
        <v>북아메리카</v>
      </c>
      <c r="H1879" s="38" t="str">
        <f>IFERROR(COUNTIF([2]OceanDoodad!$Y:$Y,표1[[#This Row],[명칭]]),"-")</f>
        <v>-</v>
      </c>
      <c r="I1879" s="38">
        <f>IFERROR(COUNTIF([1]AdventureDiscoveryGroup!$D$8:$AW$92,표1[[#This Row],[명칭]]),"-")</f>
        <v>0</v>
      </c>
      <c r="J1879" s="38">
        <f>IFERROR(COUNTIF([1]FishDiscoveryGroup!$A:$X,표1[[#This Row],[명칭]]),"-")</f>
        <v>0</v>
      </c>
      <c r="K1879" s="38" t="str">
        <f>IFERROR(COUNTIF([2]Town!$B:$B,표1[[#This Row],[명칭]]),"-")</f>
        <v>-</v>
      </c>
      <c r="L1879" s="38">
        <f>IFERROR(COUNTIF([1]Village!$BR:$BR,표1[[#This Row],[명칭]]),"-")</f>
        <v>0</v>
      </c>
      <c r="M1879" s="38">
        <f>COUNTIF(퀘스트!B:B,표1[[#This Row],[명칭]])</f>
        <v>0</v>
      </c>
      <c r="N1879" s="65">
        <f>COUNTIF([1]VillageDiscoveryGroup!$C:$C,표1[[#This Row],[명칭]])</f>
        <v>0</v>
      </c>
      <c r="O1879" s="65">
        <f>SUM(표1[[#This Row],[해양탐색]:[마을탐험]])</f>
        <v>0</v>
      </c>
    </row>
    <row r="1880" spans="2:15" ht="13.5" customHeight="1" x14ac:dyDescent="0.3">
      <c r="B1880" s="9">
        <f>[1]Discovery!A1886</f>
        <v>70413096</v>
      </c>
      <c r="C1880" s="9" t="str">
        <f>[1]Discovery!B1886</f>
        <v>머지강</v>
      </c>
      <c r="D1880" s="9" t="str">
        <f>[1]Discovery!E1886</f>
        <v>자연</v>
      </c>
      <c r="E1880" s="9" t="str">
        <f>[1]Discovery!C1886</f>
        <v>지리</v>
      </c>
      <c r="F1880" s="9" t="str">
        <f>[1]Discovery!G1886</f>
        <v>D</v>
      </c>
      <c r="G1880" s="9" t="str">
        <f>IFERROR(VLOOKUP(표1[[#This Row],[명칭]],'문화권 정리'!C:D,2,FALSE),"-")</f>
        <v>브리튼</v>
      </c>
      <c r="H1880" s="38" t="str">
        <f>IFERROR(COUNTIF([2]OceanDoodad!$Y:$Y,표1[[#This Row],[명칭]]),"-")</f>
        <v>-</v>
      </c>
      <c r="I1880" s="38">
        <f>IFERROR(COUNTIF([1]AdventureDiscoveryGroup!$D$8:$AW$92,표1[[#This Row],[명칭]]),"-")</f>
        <v>0</v>
      </c>
      <c r="J1880" s="38">
        <f>IFERROR(COUNTIF([1]FishDiscoveryGroup!$A:$X,표1[[#This Row],[명칭]]),"-")</f>
        <v>0</v>
      </c>
      <c r="K1880" s="38" t="str">
        <f>IFERROR(COUNTIF([2]Town!$B:$B,표1[[#This Row],[명칭]]),"-")</f>
        <v>-</v>
      </c>
      <c r="L1880" s="38">
        <f>IFERROR(COUNTIF([1]Village!$BR:$BR,표1[[#This Row],[명칭]]),"-")</f>
        <v>0</v>
      </c>
      <c r="M1880" s="38">
        <f>COUNTIF(퀘스트!B:B,표1[[#This Row],[명칭]])</f>
        <v>0</v>
      </c>
      <c r="N1880" s="65">
        <f>COUNTIF([1]VillageDiscoveryGroup!$C:$C,표1[[#This Row],[명칭]])</f>
        <v>0</v>
      </c>
      <c r="O1880" s="65">
        <f>SUM(표1[[#This Row],[해양탐색]:[마을탐험]])</f>
        <v>0</v>
      </c>
    </row>
    <row r="1881" spans="2:15" ht="13.5" customHeight="1" x14ac:dyDescent="0.3">
      <c r="B1881" s="9">
        <f>[1]Discovery!A1887</f>
        <v>70413097</v>
      </c>
      <c r="C1881" s="9" t="str">
        <f>[1]Discovery!B1887</f>
        <v>메노르카섬</v>
      </c>
      <c r="D1881" s="9" t="str">
        <f>[1]Discovery!E1887</f>
        <v>자연</v>
      </c>
      <c r="E1881" s="9" t="str">
        <f>[1]Discovery!C1887</f>
        <v>지리</v>
      </c>
      <c r="F1881" s="9" t="str">
        <f>[1]Discovery!G1887</f>
        <v>B</v>
      </c>
      <c r="G1881" s="9" t="str">
        <f>IFERROR(VLOOKUP(표1[[#This Row],[명칭]],'문화권 정리'!C:D,2,FALSE),"-")</f>
        <v>지중해</v>
      </c>
      <c r="H1881" s="38" t="str">
        <f>IFERROR(COUNTIF([2]OceanDoodad!$Y:$Y,표1[[#This Row],[명칭]]),"-")</f>
        <v>-</v>
      </c>
      <c r="I1881" s="38">
        <f>IFERROR(COUNTIF([1]AdventureDiscoveryGroup!$D$8:$AW$92,표1[[#This Row],[명칭]]),"-")</f>
        <v>0</v>
      </c>
      <c r="J1881" s="38">
        <f>IFERROR(COUNTIF([1]FishDiscoveryGroup!$A:$X,표1[[#This Row],[명칭]]),"-")</f>
        <v>0</v>
      </c>
      <c r="K1881" s="38" t="str">
        <f>IFERROR(COUNTIF([2]Town!$B:$B,표1[[#This Row],[명칭]]),"-")</f>
        <v>-</v>
      </c>
      <c r="L1881" s="38">
        <f>IFERROR(COUNTIF([1]Village!$BR:$BR,표1[[#This Row],[명칭]]),"-")</f>
        <v>0</v>
      </c>
      <c r="M1881" s="38">
        <f>COUNTIF(퀘스트!B:B,표1[[#This Row],[명칭]])</f>
        <v>0</v>
      </c>
      <c r="N1881" s="65">
        <f>COUNTIF([1]VillageDiscoveryGroup!$C:$C,표1[[#This Row],[명칭]])</f>
        <v>0</v>
      </c>
      <c r="O1881" s="65">
        <f>SUM(표1[[#This Row],[해양탐색]:[마을탐험]])</f>
        <v>0</v>
      </c>
    </row>
    <row r="1882" spans="2:15" ht="13.5" customHeight="1" x14ac:dyDescent="0.3">
      <c r="B1882" s="9">
        <f>[1]Discovery!A1888</f>
        <v>70413098</v>
      </c>
      <c r="C1882" s="9" t="str">
        <f>[1]Discovery!B1888</f>
        <v>메사</v>
      </c>
      <c r="D1882" s="9" t="str">
        <f>[1]Discovery!E1888</f>
        <v>자연</v>
      </c>
      <c r="E1882" s="9" t="str">
        <f>[1]Discovery!C1888</f>
        <v>지리</v>
      </c>
      <c r="F1882" s="9" t="str">
        <f>[1]Discovery!G1888</f>
        <v>C</v>
      </c>
      <c r="G1882" s="9" t="str">
        <f>IFERROR(VLOOKUP(표1[[#This Row],[명칭]],'문화권 정리'!C:D,2,FALSE),"-")</f>
        <v>북아메리카</v>
      </c>
      <c r="H1882" s="38" t="str">
        <f>IFERROR(COUNTIF([2]OceanDoodad!$Y:$Y,표1[[#This Row],[명칭]]),"-")</f>
        <v>-</v>
      </c>
      <c r="I1882" s="38">
        <f>IFERROR(COUNTIF([1]AdventureDiscoveryGroup!$D$8:$AW$92,표1[[#This Row],[명칭]]),"-")</f>
        <v>0</v>
      </c>
      <c r="J1882" s="38">
        <f>IFERROR(COUNTIF([1]FishDiscoveryGroup!$A:$X,표1[[#This Row],[명칭]]),"-")</f>
        <v>0</v>
      </c>
      <c r="K1882" s="38" t="str">
        <f>IFERROR(COUNTIF([2]Town!$B:$B,표1[[#This Row],[명칭]]),"-")</f>
        <v>-</v>
      </c>
      <c r="L1882" s="38">
        <f>IFERROR(COUNTIF([1]Village!$BR:$BR,표1[[#This Row],[명칭]]),"-")</f>
        <v>0</v>
      </c>
      <c r="M1882" s="38">
        <f>COUNTIF(퀘스트!B:B,표1[[#This Row],[명칭]])</f>
        <v>0</v>
      </c>
      <c r="N1882" s="65">
        <f>COUNTIF([1]VillageDiscoveryGroup!$C:$C,표1[[#This Row],[명칭]])</f>
        <v>0</v>
      </c>
      <c r="O1882" s="65">
        <f>SUM(표1[[#This Row],[해양탐색]:[마을탐험]])</f>
        <v>0</v>
      </c>
    </row>
    <row r="1883" spans="2:15" ht="13.5" customHeight="1" x14ac:dyDescent="0.3">
      <c r="B1883" s="9">
        <f>[1]Discovery!A1889</f>
        <v>70413099</v>
      </c>
      <c r="C1883" s="9" t="str">
        <f>[1]Discovery!B1889</f>
        <v>메시나해협</v>
      </c>
      <c r="D1883" s="9" t="str">
        <f>[1]Discovery!E1889</f>
        <v>자연</v>
      </c>
      <c r="E1883" s="9" t="str">
        <f>[1]Discovery!C1889</f>
        <v>지리</v>
      </c>
      <c r="F1883" s="9" t="str">
        <f>[1]Discovery!G1889</f>
        <v>C</v>
      </c>
      <c r="G1883" s="9" t="str">
        <f>IFERROR(VLOOKUP(표1[[#This Row],[명칭]],'문화권 정리'!C:D,2,FALSE),"-")</f>
        <v>지중해</v>
      </c>
      <c r="H1883" s="38" t="str">
        <f>IFERROR(COUNTIF([2]OceanDoodad!$Y:$Y,표1[[#This Row],[명칭]]),"-")</f>
        <v>-</v>
      </c>
      <c r="I1883" s="38">
        <f>IFERROR(COUNTIF([1]AdventureDiscoveryGroup!$D$8:$AW$92,표1[[#This Row],[명칭]]),"-")</f>
        <v>0</v>
      </c>
      <c r="J1883" s="38">
        <f>IFERROR(COUNTIF([1]FishDiscoveryGroup!$A:$X,표1[[#This Row],[명칭]]),"-")</f>
        <v>0</v>
      </c>
      <c r="K1883" s="38" t="str">
        <f>IFERROR(COUNTIF([2]Town!$B:$B,표1[[#This Row],[명칭]]),"-")</f>
        <v>-</v>
      </c>
      <c r="L1883" s="38">
        <f>IFERROR(COUNTIF([1]Village!$BR:$BR,표1[[#This Row],[명칭]]),"-")</f>
        <v>0</v>
      </c>
      <c r="M1883" s="38">
        <f>COUNTIF(퀘스트!B:B,표1[[#This Row],[명칭]])</f>
        <v>0</v>
      </c>
      <c r="N1883" s="65">
        <f>COUNTIF([1]VillageDiscoveryGroup!$C:$C,표1[[#This Row],[명칭]])</f>
        <v>0</v>
      </c>
      <c r="O1883" s="65">
        <f>SUM(표1[[#This Row],[해양탐색]:[마을탐험]])</f>
        <v>0</v>
      </c>
    </row>
    <row r="1884" spans="2:15" ht="13.5" customHeight="1" x14ac:dyDescent="0.3">
      <c r="B1884" s="9">
        <f>[1]Discovery!A1890</f>
        <v>70413100</v>
      </c>
      <c r="C1884" s="9" t="str">
        <f>[1]Discovery!B1890</f>
        <v>메콩강</v>
      </c>
      <c r="D1884" s="9" t="str">
        <f>[1]Discovery!E1890</f>
        <v>자연</v>
      </c>
      <c r="E1884" s="9" t="str">
        <f>[1]Discovery!C1890</f>
        <v>지리</v>
      </c>
      <c r="F1884" s="9" t="str">
        <f>[1]Discovery!G1890</f>
        <v>A</v>
      </c>
      <c r="G1884" s="9" t="str">
        <f>IFERROR(VLOOKUP(표1[[#This Row],[명칭]],'문화권 정리'!C:D,2,FALSE),"-")</f>
        <v>동남아시아</v>
      </c>
      <c r="H1884" s="38" t="str">
        <f>IFERROR(COUNTIF([2]OceanDoodad!$Y:$Y,표1[[#This Row],[명칭]]),"-")</f>
        <v>-</v>
      </c>
      <c r="I1884" s="38">
        <f>IFERROR(COUNTIF([1]AdventureDiscoveryGroup!$D$8:$AW$92,표1[[#This Row],[명칭]]),"-")</f>
        <v>0</v>
      </c>
      <c r="J1884" s="38">
        <f>IFERROR(COUNTIF([1]FishDiscoveryGroup!$A:$X,표1[[#This Row],[명칭]]),"-")</f>
        <v>0</v>
      </c>
      <c r="K1884" s="38" t="str">
        <f>IFERROR(COUNTIF([2]Town!$B:$B,표1[[#This Row],[명칭]]),"-")</f>
        <v>-</v>
      </c>
      <c r="L1884" s="38">
        <f>IFERROR(COUNTIF([1]Village!$BR:$BR,표1[[#This Row],[명칭]]),"-")</f>
        <v>0</v>
      </c>
      <c r="M1884" s="38">
        <f>COUNTIF(퀘스트!B:B,표1[[#This Row],[명칭]])</f>
        <v>0</v>
      </c>
      <c r="N1884" s="65">
        <f>COUNTIF([1]VillageDiscoveryGroup!$C:$C,표1[[#This Row],[명칭]])</f>
        <v>0</v>
      </c>
      <c r="O1884" s="65">
        <f>SUM(표1[[#This Row],[해양탐색]:[마을탐험]])</f>
        <v>0</v>
      </c>
    </row>
    <row r="1885" spans="2:15" ht="13.5" customHeight="1" x14ac:dyDescent="0.3">
      <c r="B1885" s="9">
        <f>[1]Discovery!A1891</f>
        <v>70413101</v>
      </c>
      <c r="C1885" s="9" t="str">
        <f>[1]Discovery!B1891</f>
        <v>메콩삼각주</v>
      </c>
      <c r="D1885" s="9" t="str">
        <f>[1]Discovery!E1891</f>
        <v>자연</v>
      </c>
      <c r="E1885" s="9" t="str">
        <f>[1]Discovery!C1891</f>
        <v>지리</v>
      </c>
      <c r="F1885" s="9" t="str">
        <f>[1]Discovery!G1891</f>
        <v>B</v>
      </c>
      <c r="G1885" s="9" t="str">
        <f>IFERROR(VLOOKUP(표1[[#This Row],[명칭]],'문화권 정리'!C:D,2,FALSE),"-")</f>
        <v>동남아시아</v>
      </c>
      <c r="H1885" s="38" t="str">
        <f>IFERROR(COUNTIF([2]OceanDoodad!$Y:$Y,표1[[#This Row],[명칭]]),"-")</f>
        <v>-</v>
      </c>
      <c r="I1885" s="38">
        <f>IFERROR(COUNTIF([1]AdventureDiscoveryGroup!$D$8:$AW$92,표1[[#This Row],[명칭]]),"-")</f>
        <v>0</v>
      </c>
      <c r="J1885" s="38">
        <f>IFERROR(COUNTIF([1]FishDiscoveryGroup!$A:$X,표1[[#This Row],[명칭]]),"-")</f>
        <v>0</v>
      </c>
      <c r="K1885" s="38" t="str">
        <f>IFERROR(COUNTIF([2]Town!$B:$B,표1[[#This Row],[명칭]]),"-")</f>
        <v>-</v>
      </c>
      <c r="L1885" s="38">
        <f>IFERROR(COUNTIF([1]Village!$BR:$BR,표1[[#This Row],[명칭]]),"-")</f>
        <v>0</v>
      </c>
      <c r="M1885" s="38">
        <f>COUNTIF(퀘스트!B:B,표1[[#This Row],[명칭]])</f>
        <v>0</v>
      </c>
      <c r="N1885" s="65">
        <f>COUNTIF([1]VillageDiscoveryGroup!$C:$C,표1[[#This Row],[명칭]])</f>
        <v>0</v>
      </c>
      <c r="O1885" s="65">
        <f>SUM(표1[[#This Row],[해양탐색]:[마을탐험]])</f>
        <v>0</v>
      </c>
    </row>
    <row r="1886" spans="2:15" ht="13.5" customHeight="1" x14ac:dyDescent="0.3">
      <c r="B1886" s="9">
        <f>[1]Discovery!A1892</f>
        <v>70413102</v>
      </c>
      <c r="C1886" s="9" t="str">
        <f>[1]Discovery!B1892</f>
        <v>멕시코만</v>
      </c>
      <c r="D1886" s="9" t="str">
        <f>[1]Discovery!E1892</f>
        <v>자연</v>
      </c>
      <c r="E1886" s="9" t="str">
        <f>[1]Discovery!C1892</f>
        <v>지리</v>
      </c>
      <c r="F1886" s="9" t="str">
        <f>[1]Discovery!G1892</f>
        <v>C</v>
      </c>
      <c r="G1886" s="9" t="str">
        <f>IFERROR(VLOOKUP(표1[[#This Row],[명칭]],'문화권 정리'!C:D,2,FALSE),"-")</f>
        <v>중앙아메리카</v>
      </c>
      <c r="H1886" s="38" t="str">
        <f>IFERROR(COUNTIF([2]OceanDoodad!$Y:$Y,표1[[#This Row],[명칭]]),"-")</f>
        <v>-</v>
      </c>
      <c r="I1886" s="38">
        <f>IFERROR(COUNTIF([1]AdventureDiscoveryGroup!$D$8:$AW$92,표1[[#This Row],[명칭]]),"-")</f>
        <v>0</v>
      </c>
      <c r="J1886" s="38">
        <f>IFERROR(COUNTIF([1]FishDiscoveryGroup!$A:$X,표1[[#This Row],[명칭]]),"-")</f>
        <v>0</v>
      </c>
      <c r="K1886" s="38" t="str">
        <f>IFERROR(COUNTIF([2]Town!$B:$B,표1[[#This Row],[명칭]]),"-")</f>
        <v>-</v>
      </c>
      <c r="L1886" s="38">
        <f>IFERROR(COUNTIF([1]Village!$BR:$BR,표1[[#This Row],[명칭]]),"-")</f>
        <v>0</v>
      </c>
      <c r="M1886" s="38">
        <f>COUNTIF(퀘스트!B:B,표1[[#This Row],[명칭]])</f>
        <v>0</v>
      </c>
      <c r="N1886" s="65">
        <f>COUNTIF([1]VillageDiscoveryGroup!$C:$C,표1[[#This Row],[명칭]])</f>
        <v>0</v>
      </c>
      <c r="O1886" s="65">
        <f>SUM(표1[[#This Row],[해양탐색]:[마을탐험]])</f>
        <v>0</v>
      </c>
    </row>
    <row r="1887" spans="2:15" ht="13.5" customHeight="1" x14ac:dyDescent="0.3">
      <c r="B1887" s="9">
        <f>[1]Discovery!A1893</f>
        <v>70413103</v>
      </c>
      <c r="C1887" s="9" t="str">
        <f>[1]Discovery!B1893</f>
        <v>멕시코만류</v>
      </c>
      <c r="D1887" s="9" t="str">
        <f>[1]Discovery!E1893</f>
        <v>자연</v>
      </c>
      <c r="E1887" s="9" t="str">
        <f>[1]Discovery!C1893</f>
        <v>지리</v>
      </c>
      <c r="F1887" s="9" t="str">
        <f>[1]Discovery!G1893</f>
        <v>D</v>
      </c>
      <c r="G1887" s="9" t="str">
        <f>IFERROR(VLOOKUP(표1[[#This Row],[명칭]],'문화권 정리'!C:D,2,FALSE),"-")</f>
        <v>중앙아메리카</v>
      </c>
      <c r="H1887" s="38" t="str">
        <f>IFERROR(COUNTIF([2]OceanDoodad!$Y:$Y,표1[[#This Row],[명칭]]),"-")</f>
        <v>-</v>
      </c>
      <c r="I1887" s="38">
        <f>IFERROR(COUNTIF([1]AdventureDiscoveryGroup!$D$8:$AW$92,표1[[#This Row],[명칭]]),"-")</f>
        <v>0</v>
      </c>
      <c r="J1887" s="38">
        <f>IFERROR(COUNTIF([1]FishDiscoveryGroup!$A:$X,표1[[#This Row],[명칭]]),"-")</f>
        <v>0</v>
      </c>
      <c r="K1887" s="38" t="str">
        <f>IFERROR(COUNTIF([2]Town!$B:$B,표1[[#This Row],[명칭]]),"-")</f>
        <v>-</v>
      </c>
      <c r="L1887" s="38">
        <f>IFERROR(COUNTIF([1]Village!$BR:$BR,표1[[#This Row],[명칭]]),"-")</f>
        <v>0</v>
      </c>
      <c r="M1887" s="38">
        <f>COUNTIF(퀘스트!B:B,표1[[#This Row],[명칭]])</f>
        <v>0</v>
      </c>
      <c r="N1887" s="65">
        <f>COUNTIF([1]VillageDiscoveryGroup!$C:$C,표1[[#This Row],[명칭]])</f>
        <v>0</v>
      </c>
      <c r="O1887" s="65">
        <f>SUM(표1[[#This Row],[해양탐색]:[마을탐험]])</f>
        <v>0</v>
      </c>
    </row>
    <row r="1888" spans="2:15" ht="13.5" customHeight="1" x14ac:dyDescent="0.3">
      <c r="B1888" s="9">
        <f>[1]Discovery!A1894</f>
        <v>70413104</v>
      </c>
      <c r="C1888" s="9" t="str">
        <f>[1]Discovery!B1894</f>
        <v>모닝턴섬</v>
      </c>
      <c r="D1888" s="9" t="str">
        <f>[1]Discovery!E1894</f>
        <v>자연</v>
      </c>
      <c r="E1888" s="9" t="str">
        <f>[1]Discovery!C1894</f>
        <v>지리</v>
      </c>
      <c r="F1888" s="9" t="str">
        <f>[1]Discovery!G1894</f>
        <v>B</v>
      </c>
      <c r="G1888" s="9" t="str">
        <f>IFERROR(VLOOKUP(표1[[#This Row],[명칭]],'문화권 정리'!C:D,2,FALSE),"-")</f>
        <v>오세아니아</v>
      </c>
      <c r="H1888" s="38" t="str">
        <f>IFERROR(COUNTIF([2]OceanDoodad!$Y:$Y,표1[[#This Row],[명칭]]),"-")</f>
        <v>-</v>
      </c>
      <c r="I1888" s="38">
        <f>IFERROR(COUNTIF([1]AdventureDiscoveryGroup!$D$8:$AW$92,표1[[#This Row],[명칭]]),"-")</f>
        <v>0</v>
      </c>
      <c r="J1888" s="38">
        <f>IFERROR(COUNTIF([1]FishDiscoveryGroup!$A:$X,표1[[#This Row],[명칭]]),"-")</f>
        <v>0</v>
      </c>
      <c r="K1888" s="38" t="str">
        <f>IFERROR(COUNTIF([2]Town!$B:$B,표1[[#This Row],[명칭]]),"-")</f>
        <v>-</v>
      </c>
      <c r="L1888" s="38">
        <f>IFERROR(COUNTIF([1]Village!$BR:$BR,표1[[#This Row],[명칭]]),"-")</f>
        <v>0</v>
      </c>
      <c r="M1888" s="38">
        <f>COUNTIF(퀘스트!B:B,표1[[#This Row],[명칭]])</f>
        <v>0</v>
      </c>
      <c r="N1888" s="65">
        <f>COUNTIF([1]VillageDiscoveryGroup!$C:$C,표1[[#This Row],[명칭]])</f>
        <v>0</v>
      </c>
      <c r="O1888" s="65">
        <f>SUM(표1[[#This Row],[해양탐색]:[마을탐험]])</f>
        <v>0</v>
      </c>
    </row>
    <row r="1889" spans="2:15" ht="13.5" customHeight="1" x14ac:dyDescent="0.3">
      <c r="B1889" s="9">
        <f>[1]Discovery!A1895</f>
        <v>70413105</v>
      </c>
      <c r="C1889" s="9" t="str">
        <f>[1]Discovery!B1895</f>
        <v>모레아</v>
      </c>
      <c r="D1889" s="9" t="str">
        <f>[1]Discovery!E1895</f>
        <v>자연</v>
      </c>
      <c r="E1889" s="9" t="str">
        <f>[1]Discovery!C1895</f>
        <v>지리</v>
      </c>
      <c r="F1889" s="9" t="str">
        <f>[1]Discovery!G1895</f>
        <v>C</v>
      </c>
      <c r="G1889" s="9" t="str">
        <f>IFERROR(VLOOKUP(표1[[#This Row],[명칭]],'문화권 정리'!C:D,2,FALSE),"-")</f>
        <v>지중해</v>
      </c>
      <c r="H1889" s="38" t="str">
        <f>IFERROR(COUNTIF([2]OceanDoodad!$Y:$Y,표1[[#This Row],[명칭]]),"-")</f>
        <v>-</v>
      </c>
      <c r="I1889" s="38">
        <f>IFERROR(COUNTIF([1]AdventureDiscoveryGroup!$D$8:$AW$92,표1[[#This Row],[명칭]]),"-")</f>
        <v>0</v>
      </c>
      <c r="J1889" s="38">
        <f>IFERROR(COUNTIF([1]FishDiscoveryGroup!$A:$X,표1[[#This Row],[명칭]]),"-")</f>
        <v>0</v>
      </c>
      <c r="K1889" s="38" t="str">
        <f>IFERROR(COUNTIF([2]Town!$B:$B,표1[[#This Row],[명칭]]),"-")</f>
        <v>-</v>
      </c>
      <c r="L1889" s="38">
        <f>IFERROR(COUNTIF([1]Village!$BR:$BR,표1[[#This Row],[명칭]]),"-")</f>
        <v>0</v>
      </c>
      <c r="M1889" s="38">
        <f>COUNTIF(퀘스트!B:B,표1[[#This Row],[명칭]])</f>
        <v>0</v>
      </c>
      <c r="N1889" s="65">
        <f>COUNTIF([1]VillageDiscoveryGroup!$C:$C,표1[[#This Row],[명칭]])</f>
        <v>0</v>
      </c>
      <c r="O1889" s="65">
        <f>SUM(표1[[#This Row],[해양탐색]:[마을탐험]])</f>
        <v>0</v>
      </c>
    </row>
    <row r="1890" spans="2:15" ht="13.5" customHeight="1" x14ac:dyDescent="0.3">
      <c r="B1890" s="9">
        <f>[1]Discovery!A1896</f>
        <v>70413106</v>
      </c>
      <c r="C1890" s="9" t="str">
        <f>[1]Discovery!B1896</f>
        <v>모레인 호수</v>
      </c>
      <c r="D1890" s="9" t="str">
        <f>[1]Discovery!E1896</f>
        <v>자연</v>
      </c>
      <c r="E1890" s="9" t="str">
        <f>[1]Discovery!C1896</f>
        <v>지리</v>
      </c>
      <c r="F1890" s="9" t="str">
        <f>[1]Discovery!G1896</f>
        <v>A</v>
      </c>
      <c r="G1890" s="9" t="str">
        <f>IFERROR(VLOOKUP(표1[[#This Row],[명칭]],'문화권 정리'!C:D,2,FALSE),"-")</f>
        <v>북아메리카</v>
      </c>
      <c r="H1890" s="38" t="str">
        <f>IFERROR(COUNTIF([2]OceanDoodad!$Y:$Y,표1[[#This Row],[명칭]]),"-")</f>
        <v>-</v>
      </c>
      <c r="I1890" s="38">
        <f>IFERROR(COUNTIF([1]AdventureDiscoveryGroup!$D$8:$AW$92,표1[[#This Row],[명칭]]),"-")</f>
        <v>0</v>
      </c>
      <c r="J1890" s="38">
        <f>IFERROR(COUNTIF([1]FishDiscoveryGroup!$A:$X,표1[[#This Row],[명칭]]),"-")</f>
        <v>0</v>
      </c>
      <c r="K1890" s="38" t="str">
        <f>IFERROR(COUNTIF([2]Town!$B:$B,표1[[#This Row],[명칭]]),"-")</f>
        <v>-</v>
      </c>
      <c r="L1890" s="38">
        <f>IFERROR(COUNTIF([1]Village!$BR:$BR,표1[[#This Row],[명칭]]),"-")</f>
        <v>0</v>
      </c>
      <c r="M1890" s="38">
        <f>COUNTIF(퀘스트!B:B,표1[[#This Row],[명칭]])</f>
        <v>0</v>
      </c>
      <c r="N1890" s="65">
        <f>COUNTIF([1]VillageDiscoveryGroup!$C:$C,표1[[#This Row],[명칭]])</f>
        <v>0</v>
      </c>
      <c r="O1890" s="65">
        <f>SUM(표1[[#This Row],[해양탐색]:[마을탐험]])</f>
        <v>0</v>
      </c>
    </row>
    <row r="1891" spans="2:15" ht="13.5" customHeight="1" x14ac:dyDescent="0.3">
      <c r="B1891" s="9">
        <f>[1]Discovery!A1897</f>
        <v>70413107</v>
      </c>
      <c r="C1891" s="9" t="str">
        <f>[1]Discovery!B1897</f>
        <v>모에라키 바위</v>
      </c>
      <c r="D1891" s="9" t="str">
        <f>[1]Discovery!E1897</f>
        <v>자연</v>
      </c>
      <c r="E1891" s="9" t="str">
        <f>[1]Discovery!C1897</f>
        <v>지리</v>
      </c>
      <c r="F1891" s="9" t="str">
        <f>[1]Discovery!G1897</f>
        <v>S</v>
      </c>
      <c r="G1891" s="9" t="str">
        <f>IFERROR(VLOOKUP(표1[[#This Row],[명칭]],'문화권 정리'!C:D,2,FALSE),"-")</f>
        <v>오세아니아</v>
      </c>
      <c r="H1891" s="38" t="str">
        <f>IFERROR(COUNTIF([2]OceanDoodad!$Y:$Y,표1[[#This Row],[명칭]]),"-")</f>
        <v>-</v>
      </c>
      <c r="I1891" s="38">
        <f>IFERROR(COUNTIF([1]AdventureDiscoveryGroup!$D$8:$AW$92,표1[[#This Row],[명칭]]),"-")</f>
        <v>0</v>
      </c>
      <c r="J1891" s="38">
        <f>IFERROR(COUNTIF([1]FishDiscoveryGroup!$A:$X,표1[[#This Row],[명칭]]),"-")</f>
        <v>0</v>
      </c>
      <c r="K1891" s="38" t="str">
        <f>IFERROR(COUNTIF([2]Town!$B:$B,표1[[#This Row],[명칭]]),"-")</f>
        <v>-</v>
      </c>
      <c r="L1891" s="38">
        <f>IFERROR(COUNTIF([1]Village!$BR:$BR,표1[[#This Row],[명칭]]),"-")</f>
        <v>0</v>
      </c>
      <c r="M1891" s="38">
        <f>COUNTIF(퀘스트!B:B,표1[[#This Row],[명칭]])</f>
        <v>0</v>
      </c>
      <c r="N1891" s="65">
        <f>COUNTIF([1]VillageDiscoveryGroup!$C:$C,표1[[#This Row],[명칭]])</f>
        <v>0</v>
      </c>
      <c r="O1891" s="65">
        <f>SUM(표1[[#This Row],[해양탐색]:[마을탐험]])</f>
        <v>0</v>
      </c>
    </row>
    <row r="1892" spans="2:15" ht="13.5" customHeight="1" x14ac:dyDescent="0.3">
      <c r="B1892" s="9">
        <f>[1]Discovery!A1898</f>
        <v>70413108</v>
      </c>
      <c r="C1892" s="9" t="str">
        <f>[1]Discovery!B1898</f>
        <v>모허 절벽</v>
      </c>
      <c r="D1892" s="9" t="str">
        <f>[1]Discovery!E1898</f>
        <v>자연</v>
      </c>
      <c r="E1892" s="9" t="str">
        <f>[1]Discovery!C1898</f>
        <v>지리</v>
      </c>
      <c r="F1892" s="9" t="str">
        <f>[1]Discovery!G1898</f>
        <v>B</v>
      </c>
      <c r="G1892" s="9" t="str">
        <f>IFERROR(VLOOKUP(표1[[#This Row],[명칭]],'문화권 정리'!C:D,2,FALSE),"-")</f>
        <v>브리튼</v>
      </c>
      <c r="H1892" s="38" t="str">
        <f>IFERROR(COUNTIF([2]OceanDoodad!$Y:$Y,표1[[#This Row],[명칭]]),"-")</f>
        <v>-</v>
      </c>
      <c r="I1892" s="38">
        <f>IFERROR(COUNTIF([1]AdventureDiscoveryGroup!$D$8:$AW$92,표1[[#This Row],[명칭]]),"-")</f>
        <v>0</v>
      </c>
      <c r="J1892" s="38">
        <f>IFERROR(COUNTIF([1]FishDiscoveryGroup!$A:$X,표1[[#This Row],[명칭]]),"-")</f>
        <v>0</v>
      </c>
      <c r="K1892" s="38" t="str">
        <f>IFERROR(COUNTIF([2]Town!$B:$B,표1[[#This Row],[명칭]]),"-")</f>
        <v>-</v>
      </c>
      <c r="L1892" s="38">
        <f>IFERROR(COUNTIF([1]Village!$BR:$BR,표1[[#This Row],[명칭]]),"-")</f>
        <v>0</v>
      </c>
      <c r="M1892" s="38">
        <f>COUNTIF(퀘스트!B:B,표1[[#This Row],[명칭]])</f>
        <v>0</v>
      </c>
      <c r="N1892" s="65">
        <f>COUNTIF([1]VillageDiscoveryGroup!$C:$C,표1[[#This Row],[명칭]])</f>
        <v>0</v>
      </c>
      <c r="O1892" s="65">
        <f>SUM(표1[[#This Row],[해양탐색]:[마을탐험]])</f>
        <v>0</v>
      </c>
    </row>
    <row r="1893" spans="2:15" ht="13.5" customHeight="1" x14ac:dyDescent="0.3">
      <c r="B1893" s="9">
        <f>[1]Discovery!A1899</f>
        <v>70413109</v>
      </c>
      <c r="C1893" s="9" t="str">
        <f>[1]Discovery!B1899</f>
        <v>몰디브제도</v>
      </c>
      <c r="D1893" s="9" t="str">
        <f>[1]Discovery!E1899</f>
        <v>자연</v>
      </c>
      <c r="E1893" s="9" t="str">
        <f>[1]Discovery!C1899</f>
        <v>지리</v>
      </c>
      <c r="F1893" s="9" t="str">
        <f>[1]Discovery!G1899</f>
        <v>A</v>
      </c>
      <c r="G1893" s="9" t="str">
        <f>IFERROR(VLOOKUP(표1[[#This Row],[명칭]],'문화권 정리'!C:D,2,FALSE),"-")</f>
        <v>동남아시아</v>
      </c>
      <c r="H1893" s="38" t="str">
        <f>IFERROR(COUNTIF([2]OceanDoodad!$Y:$Y,표1[[#This Row],[명칭]]),"-")</f>
        <v>-</v>
      </c>
      <c r="I1893" s="38">
        <f>IFERROR(COUNTIF([1]AdventureDiscoveryGroup!$D$8:$AW$92,표1[[#This Row],[명칭]]),"-")</f>
        <v>0</v>
      </c>
      <c r="J1893" s="38">
        <f>IFERROR(COUNTIF([1]FishDiscoveryGroup!$A:$X,표1[[#This Row],[명칭]]),"-")</f>
        <v>0</v>
      </c>
      <c r="K1893" s="38" t="str">
        <f>IFERROR(COUNTIF([2]Town!$B:$B,표1[[#This Row],[명칭]]),"-")</f>
        <v>-</v>
      </c>
      <c r="L1893" s="38">
        <f>IFERROR(COUNTIF([1]Village!$BR:$BR,표1[[#This Row],[명칭]]),"-")</f>
        <v>0</v>
      </c>
      <c r="M1893" s="38">
        <f>COUNTIF(퀘스트!B:B,표1[[#This Row],[명칭]])</f>
        <v>0</v>
      </c>
      <c r="N1893" s="65">
        <f>COUNTIF([1]VillageDiscoveryGroup!$C:$C,표1[[#This Row],[명칭]])</f>
        <v>0</v>
      </c>
      <c r="O1893" s="65">
        <f>SUM(표1[[#This Row],[해양탐색]:[마을탐험]])</f>
        <v>0</v>
      </c>
    </row>
    <row r="1894" spans="2:15" ht="13.5" customHeight="1" x14ac:dyDescent="0.3">
      <c r="B1894" s="9">
        <f>[1]Discovery!A1900</f>
        <v>70413110</v>
      </c>
      <c r="C1894" s="9" t="str">
        <f>[1]Discovery!B1900</f>
        <v>말루쿠제도</v>
      </c>
      <c r="D1894" s="9" t="str">
        <f>[1]Discovery!E1900</f>
        <v>자연</v>
      </c>
      <c r="E1894" s="9" t="str">
        <f>[1]Discovery!C1900</f>
        <v>지리</v>
      </c>
      <c r="F1894" s="9" t="str">
        <f>[1]Discovery!G1900</f>
        <v>B</v>
      </c>
      <c r="G1894" s="9" t="str">
        <f>IFERROR(VLOOKUP(표1[[#This Row],[명칭]],'문화권 정리'!C:D,2,FALSE),"-")</f>
        <v>동남아시아</v>
      </c>
      <c r="H1894" s="38" t="str">
        <f>IFERROR(COUNTIF([2]OceanDoodad!$Y:$Y,표1[[#This Row],[명칭]]),"-")</f>
        <v>-</v>
      </c>
      <c r="I1894" s="38">
        <f>IFERROR(COUNTIF([1]AdventureDiscoveryGroup!$D$8:$AW$92,표1[[#This Row],[명칭]]),"-")</f>
        <v>0</v>
      </c>
      <c r="J1894" s="38">
        <f>IFERROR(COUNTIF([1]FishDiscoveryGroup!$A:$X,표1[[#This Row],[명칭]]),"-")</f>
        <v>0</v>
      </c>
      <c r="K1894" s="38" t="str">
        <f>IFERROR(COUNTIF([2]Town!$B:$B,표1[[#This Row],[명칭]]),"-")</f>
        <v>-</v>
      </c>
      <c r="L1894" s="38">
        <f>IFERROR(COUNTIF([1]Village!$BR:$BR,표1[[#This Row],[명칭]]),"-")</f>
        <v>0</v>
      </c>
      <c r="M1894" s="38">
        <f>COUNTIF(퀘스트!B:B,표1[[#This Row],[명칭]])</f>
        <v>0</v>
      </c>
      <c r="N1894" s="65">
        <f>COUNTIF([1]VillageDiscoveryGroup!$C:$C,표1[[#This Row],[명칭]])</f>
        <v>0</v>
      </c>
      <c r="O1894" s="65">
        <f>SUM(표1[[#This Row],[해양탐색]:[마을탐험]])</f>
        <v>0</v>
      </c>
    </row>
    <row r="1895" spans="2:15" ht="13.5" customHeight="1" x14ac:dyDescent="0.3">
      <c r="B1895" s="9">
        <f>[1]Discovery!A1901</f>
        <v>70413111</v>
      </c>
      <c r="C1895" s="9" t="str">
        <f>[1]Discovery!B1901</f>
        <v>말루쿠해</v>
      </c>
      <c r="D1895" s="9" t="str">
        <f>[1]Discovery!E1901</f>
        <v>자연</v>
      </c>
      <c r="E1895" s="9" t="str">
        <f>[1]Discovery!C1901</f>
        <v>지리</v>
      </c>
      <c r="F1895" s="9" t="str">
        <f>[1]Discovery!G1901</f>
        <v>D</v>
      </c>
      <c r="G1895" s="9" t="str">
        <f>IFERROR(VLOOKUP(표1[[#This Row],[명칭]],'문화권 정리'!C:D,2,FALSE),"-")</f>
        <v>동남아시아</v>
      </c>
      <c r="H1895" s="38" t="str">
        <f>IFERROR(COUNTIF([2]OceanDoodad!$Y:$Y,표1[[#This Row],[명칭]]),"-")</f>
        <v>-</v>
      </c>
      <c r="I1895" s="38">
        <f>IFERROR(COUNTIF([1]AdventureDiscoveryGroup!$D$8:$AW$92,표1[[#This Row],[명칭]]),"-")</f>
        <v>0</v>
      </c>
      <c r="J1895" s="38">
        <f>IFERROR(COUNTIF([1]FishDiscoveryGroup!$A:$X,표1[[#This Row],[명칭]]),"-")</f>
        <v>0</v>
      </c>
      <c r="K1895" s="38" t="str">
        <f>IFERROR(COUNTIF([2]Town!$B:$B,표1[[#This Row],[명칭]]),"-")</f>
        <v>-</v>
      </c>
      <c r="L1895" s="38">
        <f>IFERROR(COUNTIF([1]Village!$BR:$BR,표1[[#This Row],[명칭]]),"-")</f>
        <v>0</v>
      </c>
      <c r="M1895" s="38">
        <f>COUNTIF(퀘스트!B:B,표1[[#This Row],[명칭]])</f>
        <v>0</v>
      </c>
      <c r="N1895" s="65">
        <f>COUNTIF([1]VillageDiscoveryGroup!$C:$C,표1[[#This Row],[명칭]])</f>
        <v>0</v>
      </c>
      <c r="O1895" s="65">
        <f>SUM(표1[[#This Row],[해양탐색]:[마을탐험]])</f>
        <v>0</v>
      </c>
    </row>
    <row r="1896" spans="2:15" ht="13.5" customHeight="1" x14ac:dyDescent="0.3">
      <c r="B1896" s="9">
        <f>[1]Discovery!A1902</f>
        <v>70413112</v>
      </c>
      <c r="C1896" s="9" t="str">
        <f>[1]Discovery!B1902</f>
        <v>말루쿠해협</v>
      </c>
      <c r="D1896" s="9" t="str">
        <f>[1]Discovery!E1902</f>
        <v>자연</v>
      </c>
      <c r="E1896" s="9" t="str">
        <f>[1]Discovery!C1902</f>
        <v>지리</v>
      </c>
      <c r="F1896" s="9" t="str">
        <f>[1]Discovery!G1902</f>
        <v>C</v>
      </c>
      <c r="G1896" s="9" t="str">
        <f>IFERROR(VLOOKUP(표1[[#This Row],[명칭]],'문화권 정리'!C:D,2,FALSE),"-")</f>
        <v>동남아시아</v>
      </c>
      <c r="H1896" s="38" t="str">
        <f>IFERROR(COUNTIF([2]OceanDoodad!$Y:$Y,표1[[#This Row],[명칭]]),"-")</f>
        <v>-</v>
      </c>
      <c r="I1896" s="38">
        <f>IFERROR(COUNTIF([1]AdventureDiscoveryGroup!$D$8:$AW$92,표1[[#This Row],[명칭]]),"-")</f>
        <v>0</v>
      </c>
      <c r="J1896" s="38">
        <f>IFERROR(COUNTIF([1]FishDiscoveryGroup!$A:$X,표1[[#This Row],[명칭]]),"-")</f>
        <v>0</v>
      </c>
      <c r="K1896" s="38" t="str">
        <f>IFERROR(COUNTIF([2]Town!$B:$B,표1[[#This Row],[명칭]]),"-")</f>
        <v>-</v>
      </c>
      <c r="L1896" s="38">
        <f>IFERROR(COUNTIF([1]Village!$BR:$BR,표1[[#This Row],[명칭]]),"-")</f>
        <v>0</v>
      </c>
      <c r="M1896" s="38">
        <f>COUNTIF(퀘스트!B:B,표1[[#This Row],[명칭]])</f>
        <v>0</v>
      </c>
      <c r="N1896" s="65">
        <f>COUNTIF([1]VillageDiscoveryGroup!$C:$C,표1[[#This Row],[명칭]])</f>
        <v>0</v>
      </c>
      <c r="O1896" s="65">
        <f>SUM(표1[[#This Row],[해양탐색]:[마을탐험]])</f>
        <v>0</v>
      </c>
    </row>
    <row r="1897" spans="2:15" ht="13.5" customHeight="1" x14ac:dyDescent="0.3">
      <c r="B1897" s="9">
        <f>[1]Discovery!A1903</f>
        <v>70413113</v>
      </c>
      <c r="C1897" s="9" t="str">
        <f>[1]Discovery!B1903</f>
        <v>몰타섬</v>
      </c>
      <c r="D1897" s="9" t="str">
        <f>[1]Discovery!E1903</f>
        <v>자연</v>
      </c>
      <c r="E1897" s="9" t="str">
        <f>[1]Discovery!C1903</f>
        <v>지리</v>
      </c>
      <c r="F1897" s="9" t="str">
        <f>[1]Discovery!G1903</f>
        <v>B</v>
      </c>
      <c r="G1897" s="9" t="str">
        <f>IFERROR(VLOOKUP(표1[[#This Row],[명칭]],'문화권 정리'!C:D,2,FALSE),"-")</f>
        <v>지중해</v>
      </c>
      <c r="H1897" s="38" t="str">
        <f>IFERROR(COUNTIF([2]OceanDoodad!$Y:$Y,표1[[#This Row],[명칭]]),"-")</f>
        <v>-</v>
      </c>
      <c r="I1897" s="38">
        <f>IFERROR(COUNTIF([1]AdventureDiscoveryGroup!$D$8:$AW$92,표1[[#This Row],[명칭]]),"-")</f>
        <v>0</v>
      </c>
      <c r="J1897" s="38">
        <f>IFERROR(COUNTIF([1]FishDiscoveryGroup!$A:$X,표1[[#This Row],[명칭]]),"-")</f>
        <v>0</v>
      </c>
      <c r="K1897" s="38" t="str">
        <f>IFERROR(COUNTIF([2]Town!$B:$B,표1[[#This Row],[명칭]]),"-")</f>
        <v>-</v>
      </c>
      <c r="L1897" s="38">
        <f>IFERROR(COUNTIF([1]Village!$BR:$BR,표1[[#This Row],[명칭]]),"-")</f>
        <v>0</v>
      </c>
      <c r="M1897" s="38">
        <f>COUNTIF(퀘스트!B:B,표1[[#This Row],[명칭]])</f>
        <v>0</v>
      </c>
      <c r="N1897" s="65">
        <f>COUNTIF([1]VillageDiscoveryGroup!$C:$C,표1[[#This Row],[명칭]])</f>
        <v>0</v>
      </c>
      <c r="O1897" s="65">
        <f>SUM(표1[[#This Row],[해양탐색]:[마을탐험]])</f>
        <v>0</v>
      </c>
    </row>
    <row r="1898" spans="2:15" ht="13.5" customHeight="1" x14ac:dyDescent="0.3">
      <c r="B1898" s="9">
        <f>[1]Discovery!A1904</f>
        <v>70413114</v>
      </c>
      <c r="C1898" s="9" t="str">
        <f>[1]Discovery!B1904</f>
        <v>몽골고원</v>
      </c>
      <c r="D1898" s="9" t="str">
        <f>[1]Discovery!E1904</f>
        <v>자연</v>
      </c>
      <c r="E1898" s="9" t="str">
        <f>[1]Discovery!C1904</f>
        <v>지리</v>
      </c>
      <c r="F1898" s="9" t="str">
        <f>[1]Discovery!G1904</f>
        <v>B</v>
      </c>
      <c r="G1898" s="9" t="str">
        <f>IFERROR(VLOOKUP(표1[[#This Row],[명칭]],'문화권 정리'!C:D,2,FALSE),"-")</f>
        <v>동아시아</v>
      </c>
      <c r="H1898" s="38" t="str">
        <f>IFERROR(COUNTIF([2]OceanDoodad!$Y:$Y,표1[[#This Row],[명칭]]),"-")</f>
        <v>-</v>
      </c>
      <c r="I1898" s="38">
        <f>IFERROR(COUNTIF([1]AdventureDiscoveryGroup!$D$8:$AW$92,표1[[#This Row],[명칭]]),"-")</f>
        <v>0</v>
      </c>
      <c r="J1898" s="38">
        <f>IFERROR(COUNTIF([1]FishDiscoveryGroup!$A:$X,표1[[#This Row],[명칭]]),"-")</f>
        <v>0</v>
      </c>
      <c r="K1898" s="38" t="str">
        <f>IFERROR(COUNTIF([2]Town!$B:$B,표1[[#This Row],[명칭]]),"-")</f>
        <v>-</v>
      </c>
      <c r="L1898" s="38">
        <f>IFERROR(COUNTIF([1]Village!$BR:$BR,표1[[#This Row],[명칭]]),"-")</f>
        <v>0</v>
      </c>
      <c r="M1898" s="38">
        <f>COUNTIF(퀘스트!B:B,표1[[#This Row],[명칭]])</f>
        <v>0</v>
      </c>
      <c r="N1898" s="65">
        <f>COUNTIF([1]VillageDiscoveryGroup!$C:$C,표1[[#This Row],[명칭]])</f>
        <v>0</v>
      </c>
      <c r="O1898" s="65">
        <f>SUM(표1[[#This Row],[해양탐색]:[마을탐험]])</f>
        <v>0</v>
      </c>
    </row>
    <row r="1899" spans="2:15" ht="13.5" customHeight="1" x14ac:dyDescent="0.3">
      <c r="B1899" s="9">
        <f>[1]Discovery!A1905</f>
        <v>70413115</v>
      </c>
      <c r="C1899" s="9" t="str">
        <f>[1]Discovery!B1905</f>
        <v>무릉원</v>
      </c>
      <c r="D1899" s="9" t="str">
        <f>[1]Discovery!E1905</f>
        <v>자연</v>
      </c>
      <c r="E1899" s="9" t="str">
        <f>[1]Discovery!C1905</f>
        <v>지리</v>
      </c>
      <c r="F1899" s="9" t="str">
        <f>[1]Discovery!G1905</f>
        <v>S</v>
      </c>
      <c r="G1899" s="9" t="str">
        <f>IFERROR(VLOOKUP(표1[[#This Row],[명칭]],'문화권 정리'!C:D,2,FALSE),"-")</f>
        <v>동아시아</v>
      </c>
      <c r="H1899" s="38" t="str">
        <f>IFERROR(COUNTIF([2]OceanDoodad!$Y:$Y,표1[[#This Row],[명칭]]),"-")</f>
        <v>-</v>
      </c>
      <c r="I1899" s="38">
        <f>IFERROR(COUNTIF([1]AdventureDiscoveryGroup!$D$8:$AW$92,표1[[#This Row],[명칭]]),"-")</f>
        <v>0</v>
      </c>
      <c r="J1899" s="38">
        <f>IFERROR(COUNTIF([1]FishDiscoveryGroup!$A:$X,표1[[#This Row],[명칭]]),"-")</f>
        <v>0</v>
      </c>
      <c r="K1899" s="38" t="str">
        <f>IFERROR(COUNTIF([2]Town!$B:$B,표1[[#This Row],[명칭]]),"-")</f>
        <v>-</v>
      </c>
      <c r="L1899" s="38">
        <f>IFERROR(COUNTIF([1]Village!$BR:$BR,표1[[#This Row],[명칭]]),"-")</f>
        <v>0</v>
      </c>
      <c r="M1899" s="38">
        <f>COUNTIF(퀘스트!B:B,표1[[#This Row],[명칭]])</f>
        <v>1</v>
      </c>
      <c r="N1899" s="65">
        <f>COUNTIF([1]VillageDiscoveryGroup!$C:$C,표1[[#This Row],[명칭]])</f>
        <v>0</v>
      </c>
      <c r="O1899" s="65">
        <f>SUM(표1[[#This Row],[해양탐색]:[마을탐험]])</f>
        <v>1</v>
      </c>
    </row>
    <row r="1900" spans="2:15" ht="13.5" customHeight="1" x14ac:dyDescent="0.3">
      <c r="B1900" s="9">
        <f>[1]Discovery!A1906</f>
        <v>70413116</v>
      </c>
      <c r="C1900" s="9" t="str">
        <f>[1]Discovery!B1906</f>
        <v>우이산</v>
      </c>
      <c r="D1900" s="9" t="str">
        <f>[1]Discovery!E1906</f>
        <v>자연</v>
      </c>
      <c r="E1900" s="9" t="str">
        <f>[1]Discovery!C1906</f>
        <v>지리</v>
      </c>
      <c r="F1900" s="9" t="str">
        <f>[1]Discovery!G1906</f>
        <v>B</v>
      </c>
      <c r="G1900" s="9" t="str">
        <f>IFERROR(VLOOKUP(표1[[#This Row],[명칭]],'문화권 정리'!C:D,2,FALSE),"-")</f>
        <v>동아시아</v>
      </c>
      <c r="H1900" s="38" t="str">
        <f>IFERROR(COUNTIF([2]OceanDoodad!$Y:$Y,표1[[#This Row],[명칭]]),"-")</f>
        <v>-</v>
      </c>
      <c r="I1900" s="38">
        <f>IFERROR(COUNTIF([1]AdventureDiscoveryGroup!$D$8:$AW$92,표1[[#This Row],[명칭]]),"-")</f>
        <v>0</v>
      </c>
      <c r="J1900" s="38">
        <f>IFERROR(COUNTIF([1]FishDiscoveryGroup!$A:$X,표1[[#This Row],[명칭]]),"-")</f>
        <v>0</v>
      </c>
      <c r="K1900" s="38" t="str">
        <f>IFERROR(COUNTIF([2]Town!$B:$B,표1[[#This Row],[명칭]]),"-")</f>
        <v>-</v>
      </c>
      <c r="L1900" s="38">
        <f>IFERROR(COUNTIF([1]Village!$BR:$BR,표1[[#This Row],[명칭]]),"-")</f>
        <v>0</v>
      </c>
      <c r="M1900" s="38">
        <f>COUNTIF(퀘스트!B:B,표1[[#This Row],[명칭]])</f>
        <v>0</v>
      </c>
      <c r="N1900" s="65">
        <f>COUNTIF([1]VillageDiscoveryGroup!$C:$C,표1[[#This Row],[명칭]])</f>
        <v>0</v>
      </c>
      <c r="O1900" s="65">
        <f>SUM(표1[[#This Row],[해양탐색]:[마을탐험]])</f>
        <v>0</v>
      </c>
    </row>
    <row r="1901" spans="2:15" ht="13.5" customHeight="1" x14ac:dyDescent="0.3">
      <c r="B1901" s="9">
        <f>[1]Discovery!A1907</f>
        <v>70413117</v>
      </c>
      <c r="C1901" s="9" t="str">
        <f>[1]Discovery!B1907</f>
        <v>미시시피강</v>
      </c>
      <c r="D1901" s="9" t="str">
        <f>[1]Discovery!E1907</f>
        <v>자연</v>
      </c>
      <c r="E1901" s="9" t="str">
        <f>[1]Discovery!C1907</f>
        <v>지리</v>
      </c>
      <c r="F1901" s="9" t="str">
        <f>[1]Discovery!G1907</f>
        <v>A</v>
      </c>
      <c r="G1901" s="9" t="str">
        <f>IFERROR(VLOOKUP(표1[[#This Row],[명칭]],'문화권 정리'!C:D,2,FALSE),"-")</f>
        <v>북아메리카</v>
      </c>
      <c r="H1901" s="38" t="str">
        <f>IFERROR(COUNTIF([2]OceanDoodad!$Y:$Y,표1[[#This Row],[명칭]]),"-")</f>
        <v>-</v>
      </c>
      <c r="I1901" s="38">
        <f>IFERROR(COUNTIF([1]AdventureDiscoveryGroup!$D$8:$AW$92,표1[[#This Row],[명칭]]),"-")</f>
        <v>1</v>
      </c>
      <c r="J1901" s="38">
        <f>IFERROR(COUNTIF([1]FishDiscoveryGroup!$A:$X,표1[[#This Row],[명칭]]),"-")</f>
        <v>0</v>
      </c>
      <c r="K1901" s="38" t="str">
        <f>IFERROR(COUNTIF([2]Town!$B:$B,표1[[#This Row],[명칭]]),"-")</f>
        <v>-</v>
      </c>
      <c r="L1901" s="38">
        <f>IFERROR(COUNTIF([1]Village!$BR:$BR,표1[[#This Row],[명칭]]),"-")</f>
        <v>0</v>
      </c>
      <c r="M1901" s="38">
        <f>COUNTIF(퀘스트!B:B,표1[[#This Row],[명칭]])</f>
        <v>0</v>
      </c>
      <c r="N1901" s="65">
        <f>COUNTIF([1]VillageDiscoveryGroup!$C:$C,표1[[#This Row],[명칭]])</f>
        <v>0</v>
      </c>
      <c r="O1901" s="65">
        <f>SUM(표1[[#This Row],[해양탐색]:[마을탐험]])</f>
        <v>1</v>
      </c>
    </row>
    <row r="1902" spans="2:15" ht="13.5" customHeight="1" x14ac:dyDescent="0.3">
      <c r="B1902" s="9">
        <f>[1]Discovery!A1908</f>
        <v>70413118</v>
      </c>
      <c r="C1902" s="9" t="str">
        <f>[1]Discovery!B1908</f>
        <v>민다나오섬</v>
      </c>
      <c r="D1902" s="9" t="str">
        <f>[1]Discovery!E1908</f>
        <v>자연</v>
      </c>
      <c r="E1902" s="9" t="str">
        <f>[1]Discovery!C1908</f>
        <v>지리</v>
      </c>
      <c r="F1902" s="9" t="str">
        <f>[1]Discovery!G1908</f>
        <v>B</v>
      </c>
      <c r="G1902" s="9" t="str">
        <f>IFERROR(VLOOKUP(표1[[#This Row],[명칭]],'문화권 정리'!C:D,2,FALSE),"-")</f>
        <v>동남아시아</v>
      </c>
      <c r="H1902" s="38" t="str">
        <f>IFERROR(COUNTIF([2]OceanDoodad!$Y:$Y,표1[[#This Row],[명칭]]),"-")</f>
        <v>-</v>
      </c>
      <c r="I1902" s="38">
        <f>IFERROR(COUNTIF([1]AdventureDiscoveryGroup!$D$8:$AW$92,표1[[#This Row],[명칭]]),"-")</f>
        <v>0</v>
      </c>
      <c r="J1902" s="38">
        <f>IFERROR(COUNTIF([1]FishDiscoveryGroup!$A:$X,표1[[#This Row],[명칭]]),"-")</f>
        <v>0</v>
      </c>
      <c r="K1902" s="38" t="str">
        <f>IFERROR(COUNTIF([2]Town!$B:$B,표1[[#This Row],[명칭]]),"-")</f>
        <v>-</v>
      </c>
      <c r="L1902" s="38">
        <f>IFERROR(COUNTIF([1]Village!$BR:$BR,표1[[#This Row],[명칭]]),"-")</f>
        <v>0</v>
      </c>
      <c r="M1902" s="38">
        <f>COUNTIF(퀘스트!B:B,표1[[#This Row],[명칭]])</f>
        <v>0</v>
      </c>
      <c r="N1902" s="65">
        <f>COUNTIF([1]VillageDiscoveryGroup!$C:$C,표1[[#This Row],[명칭]])</f>
        <v>0</v>
      </c>
      <c r="O1902" s="65">
        <f>SUM(표1[[#This Row],[해양탐색]:[마을탐험]])</f>
        <v>0</v>
      </c>
    </row>
    <row r="1903" spans="2:15" ht="13.5" customHeight="1" x14ac:dyDescent="0.3">
      <c r="B1903" s="9">
        <f>[1]Discovery!A1909</f>
        <v>70413119</v>
      </c>
      <c r="C1903" s="9" t="str">
        <f>[1]Discovery!B1909</f>
        <v>바브엘만데브해협</v>
      </c>
      <c r="D1903" s="9" t="str">
        <f>[1]Discovery!E1909</f>
        <v>자연</v>
      </c>
      <c r="E1903" s="9" t="str">
        <f>[1]Discovery!C1909</f>
        <v>지리</v>
      </c>
      <c r="F1903" s="9" t="str">
        <f>[1]Discovery!G1909</f>
        <v>B</v>
      </c>
      <c r="G1903" s="9" t="str">
        <f>IFERROR(VLOOKUP(표1[[#This Row],[명칭]],'문화권 정리'!C:D,2,FALSE),"-")</f>
        <v>서남아시아</v>
      </c>
      <c r="H1903" s="38" t="str">
        <f>IFERROR(COUNTIF([2]OceanDoodad!$Y:$Y,표1[[#This Row],[명칭]]),"-")</f>
        <v>-</v>
      </c>
      <c r="I1903" s="38">
        <f>IFERROR(COUNTIF([1]AdventureDiscoveryGroup!$D$8:$AW$92,표1[[#This Row],[명칭]]),"-")</f>
        <v>0</v>
      </c>
      <c r="J1903" s="38">
        <f>IFERROR(COUNTIF([1]FishDiscoveryGroup!$A:$X,표1[[#This Row],[명칭]]),"-")</f>
        <v>0</v>
      </c>
      <c r="K1903" s="38" t="str">
        <f>IFERROR(COUNTIF([2]Town!$B:$B,표1[[#This Row],[명칭]]),"-")</f>
        <v>-</v>
      </c>
      <c r="L1903" s="38">
        <f>IFERROR(COUNTIF([1]Village!$BR:$BR,표1[[#This Row],[명칭]]),"-")</f>
        <v>0</v>
      </c>
      <c r="M1903" s="38">
        <f>COUNTIF(퀘스트!B:B,표1[[#This Row],[명칭]])</f>
        <v>0</v>
      </c>
      <c r="N1903" s="65">
        <f>COUNTIF([1]VillageDiscoveryGroup!$C:$C,표1[[#This Row],[명칭]])</f>
        <v>0</v>
      </c>
      <c r="O1903" s="65">
        <f>SUM(표1[[#This Row],[해양탐색]:[마을탐험]])</f>
        <v>0</v>
      </c>
    </row>
    <row r="1904" spans="2:15" ht="13.5" customHeight="1" x14ac:dyDescent="0.3">
      <c r="B1904" s="9">
        <f>[1]Discovery!A1910</f>
        <v>70413120</v>
      </c>
      <c r="C1904" s="9" t="str">
        <f>[1]Discovery!B1910</f>
        <v>바이칼호</v>
      </c>
      <c r="D1904" s="9" t="str">
        <f>[1]Discovery!E1910</f>
        <v>자연</v>
      </c>
      <c r="E1904" s="9" t="str">
        <f>[1]Discovery!C1910</f>
        <v>지리</v>
      </c>
      <c r="F1904" s="9" t="str">
        <f>[1]Discovery!G1910</f>
        <v>S</v>
      </c>
      <c r="G1904" s="9" t="str">
        <f>IFERROR(VLOOKUP(표1[[#This Row],[명칭]],'문화권 정리'!C:D,2,FALSE),"-")</f>
        <v>유라시아</v>
      </c>
      <c r="H1904" s="38" t="str">
        <f>IFERROR(COUNTIF([2]OceanDoodad!$Y:$Y,표1[[#This Row],[명칭]]),"-")</f>
        <v>-</v>
      </c>
      <c r="I1904" s="38">
        <f>IFERROR(COUNTIF([1]AdventureDiscoveryGroup!$D$8:$AW$92,표1[[#This Row],[명칭]]),"-")</f>
        <v>0</v>
      </c>
      <c r="J1904" s="38">
        <f>IFERROR(COUNTIF([1]FishDiscoveryGroup!$A:$X,표1[[#This Row],[명칭]]),"-")</f>
        <v>0</v>
      </c>
      <c r="K1904" s="38" t="str">
        <f>IFERROR(COUNTIF([2]Town!$B:$B,표1[[#This Row],[명칭]]),"-")</f>
        <v>-</v>
      </c>
      <c r="L1904" s="38">
        <f>IFERROR(COUNTIF([1]Village!$BR:$BR,표1[[#This Row],[명칭]]),"-")</f>
        <v>0</v>
      </c>
      <c r="M1904" s="38">
        <f>COUNTIF(퀘스트!B:B,표1[[#This Row],[명칭]])</f>
        <v>0</v>
      </c>
      <c r="N1904" s="65">
        <f>COUNTIF([1]VillageDiscoveryGroup!$C:$C,표1[[#This Row],[명칭]])</f>
        <v>0</v>
      </c>
      <c r="O1904" s="65">
        <f>SUM(표1[[#This Row],[해양탐색]:[마을탐험]])</f>
        <v>0</v>
      </c>
    </row>
    <row r="1905" spans="2:15" ht="13.5" customHeight="1" x14ac:dyDescent="0.3">
      <c r="B1905" s="9">
        <f>[1]Discovery!A1911</f>
        <v>70413121</v>
      </c>
      <c r="C1905" s="9" t="str">
        <f>[1]Discovery!B1911</f>
        <v>바하마제도</v>
      </c>
      <c r="D1905" s="9" t="str">
        <f>[1]Discovery!E1911</f>
        <v>자연</v>
      </c>
      <c r="E1905" s="9" t="str">
        <f>[1]Discovery!C1911</f>
        <v>지리</v>
      </c>
      <c r="F1905" s="9" t="str">
        <f>[1]Discovery!G1911</f>
        <v>B</v>
      </c>
      <c r="G1905" s="9" t="str">
        <f>IFERROR(VLOOKUP(표1[[#This Row],[명칭]],'문화권 정리'!C:D,2,FALSE),"-")</f>
        <v>중앙아메리카</v>
      </c>
      <c r="H1905" s="38" t="str">
        <f>IFERROR(COUNTIF([2]OceanDoodad!$Y:$Y,표1[[#This Row],[명칭]]),"-")</f>
        <v>-</v>
      </c>
      <c r="I1905" s="38">
        <f>IFERROR(COUNTIF([1]AdventureDiscoveryGroup!$D$8:$AW$92,표1[[#This Row],[명칭]]),"-")</f>
        <v>0</v>
      </c>
      <c r="J1905" s="38">
        <f>IFERROR(COUNTIF([1]FishDiscoveryGroup!$A:$X,표1[[#This Row],[명칭]]),"-")</f>
        <v>0</v>
      </c>
      <c r="K1905" s="38" t="str">
        <f>IFERROR(COUNTIF([2]Town!$B:$B,표1[[#This Row],[명칭]]),"-")</f>
        <v>-</v>
      </c>
      <c r="L1905" s="38">
        <f>IFERROR(COUNTIF([1]Village!$BR:$BR,표1[[#This Row],[명칭]]),"-")</f>
        <v>0</v>
      </c>
      <c r="M1905" s="38">
        <f>COUNTIF(퀘스트!B:B,표1[[#This Row],[명칭]])</f>
        <v>0</v>
      </c>
      <c r="N1905" s="65">
        <f>COUNTIF([1]VillageDiscoveryGroup!$C:$C,표1[[#This Row],[명칭]])</f>
        <v>0</v>
      </c>
      <c r="O1905" s="65">
        <f>SUM(표1[[#This Row],[해양탐색]:[마을탐험]])</f>
        <v>0</v>
      </c>
    </row>
    <row r="1906" spans="2:15" ht="13.5" customHeight="1" x14ac:dyDescent="0.3">
      <c r="B1906" s="9">
        <f>[1]Discovery!A1912</f>
        <v>70413122</v>
      </c>
      <c r="C1906" s="9" t="str">
        <f>[1]Discovery!B1912</f>
        <v>반다해</v>
      </c>
      <c r="D1906" s="9" t="str">
        <f>[1]Discovery!E1912</f>
        <v>자연</v>
      </c>
      <c r="E1906" s="9" t="str">
        <f>[1]Discovery!C1912</f>
        <v>지리</v>
      </c>
      <c r="F1906" s="9" t="str">
        <f>[1]Discovery!G1912</f>
        <v>D</v>
      </c>
      <c r="G1906" s="9" t="str">
        <f>IFERROR(VLOOKUP(표1[[#This Row],[명칭]],'문화권 정리'!C:D,2,FALSE),"-")</f>
        <v>오세아니아</v>
      </c>
      <c r="H1906" s="38" t="str">
        <f>IFERROR(COUNTIF([2]OceanDoodad!$Y:$Y,표1[[#This Row],[명칭]]),"-")</f>
        <v>-</v>
      </c>
      <c r="I1906" s="38">
        <f>IFERROR(COUNTIF([1]AdventureDiscoveryGroup!$D$8:$AW$92,표1[[#This Row],[명칭]]),"-")</f>
        <v>0</v>
      </c>
      <c r="J1906" s="38">
        <f>IFERROR(COUNTIF([1]FishDiscoveryGroup!$A:$X,표1[[#This Row],[명칭]]),"-")</f>
        <v>0</v>
      </c>
      <c r="K1906" s="38" t="str">
        <f>IFERROR(COUNTIF([2]Town!$B:$B,표1[[#This Row],[명칭]]),"-")</f>
        <v>-</v>
      </c>
      <c r="L1906" s="38">
        <f>IFERROR(COUNTIF([1]Village!$BR:$BR,표1[[#This Row],[명칭]]),"-")</f>
        <v>0</v>
      </c>
      <c r="M1906" s="38">
        <f>COUNTIF(퀘스트!B:B,표1[[#This Row],[명칭]])</f>
        <v>0</v>
      </c>
      <c r="N1906" s="65">
        <f>COUNTIF([1]VillageDiscoveryGroup!$C:$C,표1[[#This Row],[명칭]])</f>
        <v>0</v>
      </c>
      <c r="O1906" s="65">
        <f>SUM(표1[[#This Row],[해양탐색]:[마을탐험]])</f>
        <v>0</v>
      </c>
    </row>
    <row r="1907" spans="2:15" ht="13.5" customHeight="1" x14ac:dyDescent="0.3">
      <c r="B1907" s="9">
        <f>[1]Discovery!A1913</f>
        <v>70413123</v>
      </c>
      <c r="C1907" s="9" t="str">
        <f>[1]Discovery!B1913</f>
        <v>발데스 반도</v>
      </c>
      <c r="D1907" s="9" t="str">
        <f>[1]Discovery!E1913</f>
        <v>자연</v>
      </c>
      <c r="E1907" s="9" t="str">
        <f>[1]Discovery!C1913</f>
        <v>지리</v>
      </c>
      <c r="F1907" s="9" t="str">
        <f>[1]Discovery!G1913</f>
        <v>C</v>
      </c>
      <c r="G1907" s="9" t="str">
        <f>IFERROR(VLOOKUP(표1[[#This Row],[명칭]],'문화권 정리'!C:D,2,FALSE),"-")</f>
        <v>남아메리카</v>
      </c>
      <c r="H1907" s="38" t="str">
        <f>IFERROR(COUNTIF([2]OceanDoodad!$Y:$Y,표1[[#This Row],[명칭]]),"-")</f>
        <v>-</v>
      </c>
      <c r="I1907" s="38">
        <f>IFERROR(COUNTIF([1]AdventureDiscoveryGroup!$D$8:$AW$92,표1[[#This Row],[명칭]]),"-")</f>
        <v>0</v>
      </c>
      <c r="J1907" s="38">
        <f>IFERROR(COUNTIF([1]FishDiscoveryGroup!$A:$X,표1[[#This Row],[명칭]]),"-")</f>
        <v>0</v>
      </c>
      <c r="K1907" s="38" t="str">
        <f>IFERROR(COUNTIF([2]Town!$B:$B,표1[[#This Row],[명칭]]),"-")</f>
        <v>-</v>
      </c>
      <c r="L1907" s="38">
        <f>IFERROR(COUNTIF([1]Village!$BR:$BR,표1[[#This Row],[명칭]]),"-")</f>
        <v>0</v>
      </c>
      <c r="M1907" s="38">
        <f>COUNTIF(퀘스트!B:B,표1[[#This Row],[명칭]])</f>
        <v>0</v>
      </c>
      <c r="N1907" s="65">
        <f>COUNTIF([1]VillageDiscoveryGroup!$C:$C,표1[[#This Row],[명칭]])</f>
        <v>0</v>
      </c>
      <c r="O1907" s="65">
        <f>SUM(표1[[#This Row],[해양탐색]:[마을탐험]])</f>
        <v>0</v>
      </c>
    </row>
    <row r="1908" spans="2:15" ht="13.5" customHeight="1" x14ac:dyDescent="0.3">
      <c r="B1908" s="9">
        <f>[1]Discovery!A1914</f>
        <v>70413124</v>
      </c>
      <c r="C1908" s="9" t="str">
        <f>[1]Discovery!B1914</f>
        <v>발리섬</v>
      </c>
      <c r="D1908" s="9" t="str">
        <f>[1]Discovery!E1914</f>
        <v>자연</v>
      </c>
      <c r="E1908" s="9" t="str">
        <f>[1]Discovery!C1914</f>
        <v>지리</v>
      </c>
      <c r="F1908" s="9" t="str">
        <f>[1]Discovery!G1914</f>
        <v>S</v>
      </c>
      <c r="G1908" s="9" t="str">
        <f>IFERROR(VLOOKUP(표1[[#This Row],[명칭]],'문화권 정리'!C:D,2,FALSE),"-")</f>
        <v>동남아시아</v>
      </c>
      <c r="H1908" s="38" t="str">
        <f>IFERROR(COUNTIF([2]OceanDoodad!$Y:$Y,표1[[#This Row],[명칭]]),"-")</f>
        <v>-</v>
      </c>
      <c r="I1908" s="38">
        <f>IFERROR(COUNTIF([1]AdventureDiscoveryGroup!$D$8:$AW$92,표1[[#This Row],[명칭]]),"-")</f>
        <v>0</v>
      </c>
      <c r="J1908" s="38">
        <f>IFERROR(COUNTIF([1]FishDiscoveryGroup!$A:$X,표1[[#This Row],[명칭]]),"-")</f>
        <v>0</v>
      </c>
      <c r="K1908" s="38" t="str">
        <f>IFERROR(COUNTIF([2]Town!$B:$B,표1[[#This Row],[명칭]]),"-")</f>
        <v>-</v>
      </c>
      <c r="L1908" s="38">
        <f>IFERROR(COUNTIF([1]Village!$BR:$BR,표1[[#This Row],[명칭]]),"-")</f>
        <v>0</v>
      </c>
      <c r="M1908" s="38">
        <f>COUNTIF(퀘스트!B:B,표1[[#This Row],[명칭]])</f>
        <v>0</v>
      </c>
      <c r="N1908" s="65">
        <f>COUNTIF([1]VillageDiscoveryGroup!$C:$C,표1[[#This Row],[명칭]])</f>
        <v>0</v>
      </c>
      <c r="O1908" s="65">
        <f>SUM(표1[[#This Row],[해양탐색]:[마을탐험]])</f>
        <v>0</v>
      </c>
    </row>
    <row r="1909" spans="2:15" ht="13.5" customHeight="1" x14ac:dyDescent="0.3">
      <c r="B1909" s="9">
        <f>[1]Discovery!A1915</f>
        <v>70413125</v>
      </c>
      <c r="C1909" s="9" t="str">
        <f>[1]Discovery!B1915</f>
        <v>방카섬</v>
      </c>
      <c r="D1909" s="9" t="str">
        <f>[1]Discovery!E1915</f>
        <v>자연</v>
      </c>
      <c r="E1909" s="9" t="str">
        <f>[1]Discovery!C1915</f>
        <v>지리</v>
      </c>
      <c r="F1909" s="9" t="str">
        <f>[1]Discovery!G1915</f>
        <v>B</v>
      </c>
      <c r="G1909" s="9" t="str">
        <f>IFERROR(VLOOKUP(표1[[#This Row],[명칭]],'문화권 정리'!C:D,2,FALSE),"-")</f>
        <v>동남아시아</v>
      </c>
      <c r="H1909" s="38" t="str">
        <f>IFERROR(COUNTIF([2]OceanDoodad!$Y:$Y,표1[[#This Row],[명칭]]),"-")</f>
        <v>-</v>
      </c>
      <c r="I1909" s="38">
        <f>IFERROR(COUNTIF([1]AdventureDiscoveryGroup!$D$8:$AW$92,표1[[#This Row],[명칭]]),"-")</f>
        <v>0</v>
      </c>
      <c r="J1909" s="38">
        <f>IFERROR(COUNTIF([1]FishDiscoveryGroup!$A:$X,표1[[#This Row],[명칭]]),"-")</f>
        <v>0</v>
      </c>
      <c r="K1909" s="38" t="str">
        <f>IFERROR(COUNTIF([2]Town!$B:$B,표1[[#This Row],[명칭]]),"-")</f>
        <v>-</v>
      </c>
      <c r="L1909" s="38">
        <f>IFERROR(COUNTIF([1]Village!$BR:$BR,표1[[#This Row],[명칭]]),"-")</f>
        <v>0</v>
      </c>
      <c r="M1909" s="38">
        <f>COUNTIF(퀘스트!B:B,표1[[#This Row],[명칭]])</f>
        <v>0</v>
      </c>
      <c r="N1909" s="65">
        <f>COUNTIF([1]VillageDiscoveryGroup!$C:$C,표1[[#This Row],[명칭]])</f>
        <v>0</v>
      </c>
      <c r="O1909" s="65">
        <f>SUM(표1[[#This Row],[해양탐색]:[마을탐험]])</f>
        <v>0</v>
      </c>
    </row>
    <row r="1910" spans="2:15" ht="13.5" customHeight="1" x14ac:dyDescent="0.3">
      <c r="B1910" s="9">
        <f>[1]Discovery!A1916</f>
        <v>70413126</v>
      </c>
      <c r="C1910" s="9" t="str">
        <f>[1]Discovery!B1916</f>
        <v>배스해협</v>
      </c>
      <c r="D1910" s="9" t="str">
        <f>[1]Discovery!E1916</f>
        <v>자연</v>
      </c>
      <c r="E1910" s="9" t="str">
        <f>[1]Discovery!C1916</f>
        <v>지리</v>
      </c>
      <c r="F1910" s="9" t="str">
        <f>[1]Discovery!G1916</f>
        <v>C</v>
      </c>
      <c r="G1910" s="9" t="str">
        <f>IFERROR(VLOOKUP(표1[[#This Row],[명칭]],'문화권 정리'!C:D,2,FALSE),"-")</f>
        <v>오세아니아</v>
      </c>
      <c r="H1910" s="38" t="str">
        <f>IFERROR(COUNTIF([2]OceanDoodad!$Y:$Y,표1[[#This Row],[명칭]]),"-")</f>
        <v>-</v>
      </c>
      <c r="I1910" s="38">
        <f>IFERROR(COUNTIF([1]AdventureDiscoveryGroup!$D$8:$AW$92,표1[[#This Row],[명칭]]),"-")</f>
        <v>0</v>
      </c>
      <c r="J1910" s="38">
        <f>IFERROR(COUNTIF([1]FishDiscoveryGroup!$A:$X,표1[[#This Row],[명칭]]),"-")</f>
        <v>0</v>
      </c>
      <c r="K1910" s="38" t="str">
        <f>IFERROR(COUNTIF([2]Town!$B:$B,표1[[#This Row],[명칭]]),"-")</f>
        <v>-</v>
      </c>
      <c r="L1910" s="38">
        <f>IFERROR(COUNTIF([1]Village!$BR:$BR,표1[[#This Row],[명칭]]),"-")</f>
        <v>0</v>
      </c>
      <c r="M1910" s="38">
        <f>COUNTIF(퀘스트!B:B,표1[[#This Row],[명칭]])</f>
        <v>0</v>
      </c>
      <c r="N1910" s="65">
        <f>COUNTIF([1]VillageDiscoveryGroup!$C:$C,표1[[#This Row],[명칭]])</f>
        <v>0</v>
      </c>
      <c r="O1910" s="65">
        <f>SUM(표1[[#This Row],[해양탐색]:[마을탐험]])</f>
        <v>0</v>
      </c>
    </row>
    <row r="1911" spans="2:15" ht="13.5" customHeight="1" x14ac:dyDescent="0.3">
      <c r="B1911" s="9">
        <f>[1]Discovery!A1917</f>
        <v>70413127</v>
      </c>
      <c r="C1911" s="9" t="str">
        <f>[1]Discovery!B1917</f>
        <v>배핀만</v>
      </c>
      <c r="D1911" s="9" t="str">
        <f>[1]Discovery!E1917</f>
        <v>자연</v>
      </c>
      <c r="E1911" s="9" t="str">
        <f>[1]Discovery!C1917</f>
        <v>지리</v>
      </c>
      <c r="F1911" s="9" t="str">
        <f>[1]Discovery!G1917</f>
        <v>B</v>
      </c>
      <c r="G1911" s="9" t="str">
        <f>IFERROR(VLOOKUP(표1[[#This Row],[명칭]],'문화권 정리'!C:D,2,FALSE),"-")</f>
        <v>극지방</v>
      </c>
      <c r="H1911" s="38" t="str">
        <f>IFERROR(COUNTIF([2]OceanDoodad!$Y:$Y,표1[[#This Row],[명칭]]),"-")</f>
        <v>-</v>
      </c>
      <c r="I1911" s="38">
        <f>IFERROR(COUNTIF([1]AdventureDiscoveryGroup!$D$8:$AW$92,표1[[#This Row],[명칭]]),"-")</f>
        <v>0</v>
      </c>
      <c r="J1911" s="38">
        <f>IFERROR(COUNTIF([1]FishDiscoveryGroup!$A:$X,표1[[#This Row],[명칭]]),"-")</f>
        <v>0</v>
      </c>
      <c r="K1911" s="38" t="str">
        <f>IFERROR(COUNTIF([2]Town!$B:$B,표1[[#This Row],[명칭]]),"-")</f>
        <v>-</v>
      </c>
      <c r="L1911" s="38">
        <f>IFERROR(COUNTIF([1]Village!$BR:$BR,표1[[#This Row],[명칭]]),"-")</f>
        <v>0</v>
      </c>
      <c r="M1911" s="38">
        <f>COUNTIF(퀘스트!B:B,표1[[#This Row],[명칭]])</f>
        <v>0</v>
      </c>
      <c r="N1911" s="65">
        <f>COUNTIF([1]VillageDiscoveryGroup!$C:$C,표1[[#This Row],[명칭]])</f>
        <v>0</v>
      </c>
      <c r="O1911" s="65">
        <f>SUM(표1[[#This Row],[해양탐색]:[마을탐험]])</f>
        <v>0</v>
      </c>
    </row>
    <row r="1912" spans="2:15" ht="13.5" customHeight="1" x14ac:dyDescent="0.3">
      <c r="B1912" s="9">
        <f>[1]Discovery!A1918</f>
        <v>70413128</v>
      </c>
      <c r="C1912" s="9" t="str">
        <f>[1]Discovery!B1918</f>
        <v>백마강</v>
      </c>
      <c r="D1912" s="9" t="str">
        <f>[1]Discovery!E1918</f>
        <v>자연</v>
      </c>
      <c r="E1912" s="9" t="str">
        <f>[1]Discovery!C1918</f>
        <v>지리</v>
      </c>
      <c r="F1912" s="9" t="str">
        <f>[1]Discovery!G1918</f>
        <v>C</v>
      </c>
      <c r="G1912" s="9" t="str">
        <f>IFERROR(VLOOKUP(표1[[#This Row],[명칭]],'문화권 정리'!C:D,2,FALSE),"-")</f>
        <v>동아시아</v>
      </c>
      <c r="H1912" s="38" t="str">
        <f>IFERROR(COUNTIF([2]OceanDoodad!$Y:$Y,표1[[#This Row],[명칭]]),"-")</f>
        <v>-</v>
      </c>
      <c r="I1912" s="38">
        <f>IFERROR(COUNTIF([1]AdventureDiscoveryGroup!$D$8:$AW$92,표1[[#This Row],[명칭]]),"-")</f>
        <v>0</v>
      </c>
      <c r="J1912" s="38">
        <f>IFERROR(COUNTIF([1]FishDiscoveryGroup!$A:$X,표1[[#This Row],[명칭]]),"-")</f>
        <v>0</v>
      </c>
      <c r="K1912" s="38" t="str">
        <f>IFERROR(COUNTIF([2]Town!$B:$B,표1[[#This Row],[명칭]]),"-")</f>
        <v>-</v>
      </c>
      <c r="L1912" s="38">
        <f>IFERROR(COUNTIF([1]Village!$BR:$BR,표1[[#This Row],[명칭]]),"-")</f>
        <v>0</v>
      </c>
      <c r="M1912" s="38">
        <f>COUNTIF(퀘스트!B:B,표1[[#This Row],[명칭]])</f>
        <v>0</v>
      </c>
      <c r="N1912" s="65">
        <f>COUNTIF([1]VillageDiscoveryGroup!$C:$C,표1[[#This Row],[명칭]])</f>
        <v>0</v>
      </c>
      <c r="O1912" s="65">
        <f>SUM(표1[[#This Row],[해양탐색]:[마을탐험]])</f>
        <v>0</v>
      </c>
    </row>
    <row r="1913" spans="2:15" ht="13.5" customHeight="1" x14ac:dyDescent="0.3">
      <c r="B1913" s="9">
        <f>[1]Discovery!A1919</f>
        <v>70413129</v>
      </c>
      <c r="C1913" s="9" t="str">
        <f>[1]Discovery!B1919</f>
        <v>밸런스드 락</v>
      </c>
      <c r="D1913" s="9" t="str">
        <f>[1]Discovery!E1919</f>
        <v>자연</v>
      </c>
      <c r="E1913" s="9" t="str">
        <f>[1]Discovery!C1919</f>
        <v>지리</v>
      </c>
      <c r="F1913" s="9" t="str">
        <f>[1]Discovery!G1919</f>
        <v>S</v>
      </c>
      <c r="G1913" s="9" t="str">
        <f>IFERROR(VLOOKUP(표1[[#This Row],[명칭]],'문화권 정리'!C:D,2,FALSE),"-")</f>
        <v>북아메리카</v>
      </c>
      <c r="H1913" s="38" t="str">
        <f>IFERROR(COUNTIF([2]OceanDoodad!$Y:$Y,표1[[#This Row],[명칭]]),"-")</f>
        <v>-</v>
      </c>
      <c r="I1913" s="38">
        <f>IFERROR(COUNTIF([1]AdventureDiscoveryGroup!$D$8:$AW$92,표1[[#This Row],[명칭]]),"-")</f>
        <v>0</v>
      </c>
      <c r="J1913" s="38">
        <f>IFERROR(COUNTIF([1]FishDiscoveryGroup!$A:$X,표1[[#This Row],[명칭]]),"-")</f>
        <v>0</v>
      </c>
      <c r="K1913" s="38" t="str">
        <f>IFERROR(COUNTIF([2]Town!$B:$B,표1[[#This Row],[명칭]]),"-")</f>
        <v>-</v>
      </c>
      <c r="L1913" s="38">
        <f>IFERROR(COUNTIF([1]Village!$BR:$BR,표1[[#This Row],[명칭]]),"-")</f>
        <v>0</v>
      </c>
      <c r="M1913" s="38">
        <f>COUNTIF(퀘스트!B:B,표1[[#This Row],[명칭]])</f>
        <v>0</v>
      </c>
      <c r="N1913" s="65">
        <f>COUNTIF([1]VillageDiscoveryGroup!$C:$C,표1[[#This Row],[명칭]])</f>
        <v>0</v>
      </c>
      <c r="O1913" s="65">
        <f>SUM(표1[[#This Row],[해양탐색]:[마을탐험]])</f>
        <v>0</v>
      </c>
    </row>
    <row r="1914" spans="2:15" ht="13.5" customHeight="1" x14ac:dyDescent="0.3">
      <c r="B1914" s="9">
        <f>[1]Discovery!A1920</f>
        <v>70413130</v>
      </c>
      <c r="C1914" s="9" t="str">
        <f>[1]Discovery!B1920</f>
        <v>버렌고원</v>
      </c>
      <c r="D1914" s="9" t="str">
        <f>[1]Discovery!E1920</f>
        <v>자연</v>
      </c>
      <c r="E1914" s="9" t="str">
        <f>[1]Discovery!C1920</f>
        <v>지리</v>
      </c>
      <c r="F1914" s="9" t="str">
        <f>[1]Discovery!G1920</f>
        <v>B</v>
      </c>
      <c r="G1914" s="9" t="str">
        <f>IFERROR(VLOOKUP(표1[[#This Row],[명칭]],'문화권 정리'!C:D,2,FALSE),"-")</f>
        <v>브리튼</v>
      </c>
      <c r="H1914" s="38" t="str">
        <f>IFERROR(COUNTIF([2]OceanDoodad!$Y:$Y,표1[[#This Row],[명칭]]),"-")</f>
        <v>-</v>
      </c>
      <c r="I1914" s="38">
        <f>IFERROR(COUNTIF([1]AdventureDiscoveryGroup!$D$8:$AW$92,표1[[#This Row],[명칭]]),"-")</f>
        <v>0</v>
      </c>
      <c r="J1914" s="38">
        <f>IFERROR(COUNTIF([1]FishDiscoveryGroup!$A:$X,표1[[#This Row],[명칭]]),"-")</f>
        <v>0</v>
      </c>
      <c r="K1914" s="38" t="str">
        <f>IFERROR(COUNTIF([2]Town!$B:$B,표1[[#This Row],[명칭]]),"-")</f>
        <v>-</v>
      </c>
      <c r="L1914" s="38">
        <f>IFERROR(COUNTIF([1]Village!$BR:$BR,표1[[#This Row],[명칭]]),"-")</f>
        <v>0</v>
      </c>
      <c r="M1914" s="38">
        <f>COUNTIF(퀘스트!B:B,표1[[#This Row],[명칭]])</f>
        <v>0</v>
      </c>
      <c r="N1914" s="65">
        <f>COUNTIF([1]VillageDiscoveryGroup!$C:$C,표1[[#This Row],[명칭]])</f>
        <v>0</v>
      </c>
      <c r="O1914" s="65">
        <f>SUM(표1[[#This Row],[해양탐색]:[마을탐험]])</f>
        <v>0</v>
      </c>
    </row>
    <row r="1915" spans="2:15" ht="13.5" customHeight="1" x14ac:dyDescent="0.3">
      <c r="B1915" s="9">
        <f>[1]Discovery!A1921</f>
        <v>70413131</v>
      </c>
      <c r="C1915" s="9" t="str">
        <f>[1]Discovery!B1921</f>
        <v>버뮤다 해역</v>
      </c>
      <c r="D1915" s="9" t="str">
        <f>[1]Discovery!E1921</f>
        <v>자연</v>
      </c>
      <c r="E1915" s="9" t="str">
        <f>[1]Discovery!C1921</f>
        <v>지리</v>
      </c>
      <c r="F1915" s="9" t="str">
        <f>[1]Discovery!G1921</f>
        <v>S</v>
      </c>
      <c r="G1915" s="9" t="str">
        <f>IFERROR(VLOOKUP(표1[[#This Row],[명칭]],'문화권 정리'!C:D,2,FALSE),"-")</f>
        <v>북아메리카</v>
      </c>
      <c r="H1915" s="38" t="str">
        <f>IFERROR(COUNTIF([2]OceanDoodad!$Y:$Y,표1[[#This Row],[명칭]]),"-")</f>
        <v>-</v>
      </c>
      <c r="I1915" s="38">
        <f>IFERROR(COUNTIF([1]AdventureDiscoveryGroup!$D$8:$AW$92,표1[[#This Row],[명칭]]),"-")</f>
        <v>0</v>
      </c>
      <c r="J1915" s="38">
        <f>IFERROR(COUNTIF([1]FishDiscoveryGroup!$A:$X,표1[[#This Row],[명칭]]),"-")</f>
        <v>0</v>
      </c>
      <c r="K1915" s="38" t="str">
        <f>IFERROR(COUNTIF([2]Town!$B:$B,표1[[#This Row],[명칭]]),"-")</f>
        <v>-</v>
      </c>
      <c r="L1915" s="38">
        <f>IFERROR(COUNTIF([1]Village!$BR:$BR,표1[[#This Row],[명칭]]),"-")</f>
        <v>0</v>
      </c>
      <c r="M1915" s="38">
        <f>COUNTIF(퀘스트!B:B,표1[[#This Row],[명칭]])</f>
        <v>1</v>
      </c>
      <c r="N1915" s="65">
        <f>COUNTIF([1]VillageDiscoveryGroup!$C:$C,표1[[#This Row],[명칭]])</f>
        <v>0</v>
      </c>
      <c r="O1915" s="65">
        <f>SUM(표1[[#This Row],[해양탐색]:[마을탐험]])</f>
        <v>1</v>
      </c>
    </row>
    <row r="1916" spans="2:15" ht="13.5" customHeight="1" x14ac:dyDescent="0.3">
      <c r="B1916" s="9">
        <f>[1]Discovery!A1922</f>
        <v>70413132</v>
      </c>
      <c r="C1916" s="9" t="str">
        <f>[1]Discovery!B1922</f>
        <v>베라우만</v>
      </c>
      <c r="D1916" s="9" t="str">
        <f>[1]Discovery!E1922</f>
        <v>자연</v>
      </c>
      <c r="E1916" s="9" t="str">
        <f>[1]Discovery!C1922</f>
        <v>지리</v>
      </c>
      <c r="F1916" s="9" t="str">
        <f>[1]Discovery!G1922</f>
        <v>A</v>
      </c>
      <c r="G1916" s="9" t="str">
        <f>IFERROR(VLOOKUP(표1[[#This Row],[명칭]],'문화권 정리'!C:D,2,FALSE),"-")</f>
        <v>동남아시아</v>
      </c>
      <c r="H1916" s="38" t="str">
        <f>IFERROR(COUNTIF([2]OceanDoodad!$Y:$Y,표1[[#This Row],[명칭]]),"-")</f>
        <v>-</v>
      </c>
      <c r="I1916" s="38">
        <f>IFERROR(COUNTIF([1]AdventureDiscoveryGroup!$D$8:$AW$92,표1[[#This Row],[명칭]]),"-")</f>
        <v>0</v>
      </c>
      <c r="J1916" s="38">
        <f>IFERROR(COUNTIF([1]FishDiscoveryGroup!$A:$X,표1[[#This Row],[명칭]]),"-")</f>
        <v>0</v>
      </c>
      <c r="K1916" s="38" t="str">
        <f>IFERROR(COUNTIF([2]Town!$B:$B,표1[[#This Row],[명칭]]),"-")</f>
        <v>-</v>
      </c>
      <c r="L1916" s="38">
        <f>IFERROR(COUNTIF([1]Village!$BR:$BR,표1[[#This Row],[명칭]]),"-")</f>
        <v>0</v>
      </c>
      <c r="M1916" s="38">
        <f>COUNTIF(퀘스트!B:B,표1[[#This Row],[명칭]])</f>
        <v>0</v>
      </c>
      <c r="N1916" s="65">
        <f>COUNTIF([1]VillageDiscoveryGroup!$C:$C,표1[[#This Row],[명칭]])</f>
        <v>0</v>
      </c>
      <c r="O1916" s="65">
        <f>SUM(표1[[#This Row],[해양탐색]:[마을탐험]])</f>
        <v>0</v>
      </c>
    </row>
    <row r="1917" spans="2:15" ht="13.5" customHeight="1" x14ac:dyDescent="0.3">
      <c r="B1917" s="9">
        <f>[1]Discovery!A1923</f>
        <v>70413133</v>
      </c>
      <c r="C1917" s="9" t="str">
        <f>[1]Discovery!B1923</f>
        <v>베르데곶</v>
      </c>
      <c r="D1917" s="9" t="str">
        <f>[1]Discovery!E1923</f>
        <v>자연</v>
      </c>
      <c r="E1917" s="9" t="str">
        <f>[1]Discovery!C1923</f>
        <v>지리</v>
      </c>
      <c r="F1917" s="9" t="str">
        <f>[1]Discovery!G1923</f>
        <v>A</v>
      </c>
      <c r="G1917" s="9" t="str">
        <f>IFERROR(VLOOKUP(표1[[#This Row],[명칭]],'문화권 정리'!C:D,2,FALSE),"-")</f>
        <v>서아프리카</v>
      </c>
      <c r="H1917" s="38" t="str">
        <f>IFERROR(COUNTIF([2]OceanDoodad!$Y:$Y,표1[[#This Row],[명칭]]),"-")</f>
        <v>-</v>
      </c>
      <c r="I1917" s="38">
        <f>IFERROR(COUNTIF([1]AdventureDiscoveryGroup!$D$8:$AW$92,표1[[#This Row],[명칭]]),"-")</f>
        <v>0</v>
      </c>
      <c r="J1917" s="38">
        <f>IFERROR(COUNTIF([1]FishDiscoveryGroup!$A:$X,표1[[#This Row],[명칭]]),"-")</f>
        <v>0</v>
      </c>
      <c r="K1917" s="38" t="str">
        <f>IFERROR(COUNTIF([2]Town!$B:$B,표1[[#This Row],[명칭]]),"-")</f>
        <v>-</v>
      </c>
      <c r="L1917" s="38">
        <f>IFERROR(COUNTIF([1]Village!$BR:$BR,표1[[#This Row],[명칭]]),"-")</f>
        <v>0</v>
      </c>
      <c r="M1917" s="38">
        <f>COUNTIF(퀘스트!B:B,표1[[#This Row],[명칭]])</f>
        <v>0</v>
      </c>
      <c r="N1917" s="65">
        <f>COUNTIF([1]VillageDiscoveryGroup!$C:$C,표1[[#This Row],[명칭]])</f>
        <v>0</v>
      </c>
      <c r="O1917" s="65">
        <f>SUM(표1[[#This Row],[해양탐색]:[마을탐험]])</f>
        <v>0</v>
      </c>
    </row>
    <row r="1918" spans="2:15" ht="13.5" customHeight="1" x14ac:dyDescent="0.3">
      <c r="B1918" s="9">
        <f>[1]Discovery!A1924</f>
        <v>70413134</v>
      </c>
      <c r="C1918" s="9" t="str">
        <f>[1]Discovery!B1924</f>
        <v>베링해협</v>
      </c>
      <c r="D1918" s="9" t="str">
        <f>[1]Discovery!E1924</f>
        <v>자연</v>
      </c>
      <c r="E1918" s="9" t="str">
        <f>[1]Discovery!C1924</f>
        <v>지리</v>
      </c>
      <c r="F1918" s="9" t="str">
        <f>[1]Discovery!G1924</f>
        <v>B</v>
      </c>
      <c r="G1918" s="9" t="str">
        <f>IFERROR(VLOOKUP(표1[[#This Row],[명칭]],'문화권 정리'!C:D,2,FALSE),"-")</f>
        <v>북아메리카</v>
      </c>
      <c r="H1918" s="38" t="str">
        <f>IFERROR(COUNTIF([2]OceanDoodad!$Y:$Y,표1[[#This Row],[명칭]]),"-")</f>
        <v>-</v>
      </c>
      <c r="I1918" s="38">
        <f>IFERROR(COUNTIF([1]AdventureDiscoveryGroup!$D$8:$AW$92,표1[[#This Row],[명칭]]),"-")</f>
        <v>0</v>
      </c>
      <c r="J1918" s="38">
        <f>IFERROR(COUNTIF([1]FishDiscoveryGroup!$A:$X,표1[[#This Row],[명칭]]),"-")</f>
        <v>0</v>
      </c>
      <c r="K1918" s="38" t="str">
        <f>IFERROR(COUNTIF([2]Town!$B:$B,표1[[#This Row],[명칭]]),"-")</f>
        <v>-</v>
      </c>
      <c r="L1918" s="38">
        <f>IFERROR(COUNTIF([1]Village!$BR:$BR,표1[[#This Row],[명칭]]),"-")</f>
        <v>0</v>
      </c>
      <c r="M1918" s="38">
        <f>COUNTIF(퀘스트!B:B,표1[[#This Row],[명칭]])</f>
        <v>0</v>
      </c>
      <c r="N1918" s="65">
        <f>COUNTIF([1]VillageDiscoveryGroup!$C:$C,표1[[#This Row],[명칭]])</f>
        <v>0</v>
      </c>
      <c r="O1918" s="65">
        <f>SUM(표1[[#This Row],[해양탐색]:[마을탐험]])</f>
        <v>0</v>
      </c>
    </row>
    <row r="1919" spans="2:15" ht="13.5" customHeight="1" x14ac:dyDescent="0.3">
      <c r="B1919" s="9">
        <f>[1]Discovery!A1925</f>
        <v>70413135</v>
      </c>
      <c r="C1919" s="9" t="str">
        <f>[1]Discovery!B1925</f>
        <v>벨라 섬</v>
      </c>
      <c r="D1919" s="9" t="str">
        <f>[1]Discovery!E1925</f>
        <v>자연</v>
      </c>
      <c r="E1919" s="9" t="str">
        <f>[1]Discovery!C1925</f>
        <v>지리</v>
      </c>
      <c r="F1919" s="9" t="str">
        <f>[1]Discovery!G1925</f>
        <v>A</v>
      </c>
      <c r="G1919" s="9" t="str">
        <f>IFERROR(VLOOKUP(표1[[#This Row],[명칭]],'문화권 정리'!C:D,2,FALSE),"-")</f>
        <v>지중해</v>
      </c>
      <c r="H1919" s="38" t="str">
        <f>IFERROR(COUNTIF([2]OceanDoodad!$Y:$Y,표1[[#This Row],[명칭]]),"-")</f>
        <v>-</v>
      </c>
      <c r="I1919" s="38">
        <f>IFERROR(COUNTIF([1]AdventureDiscoveryGroup!$D$8:$AW$92,표1[[#This Row],[명칭]]),"-")</f>
        <v>0</v>
      </c>
      <c r="J1919" s="38">
        <f>IFERROR(COUNTIF([1]FishDiscoveryGroup!$A:$X,표1[[#This Row],[명칭]]),"-")</f>
        <v>0</v>
      </c>
      <c r="K1919" s="38" t="str">
        <f>IFERROR(COUNTIF([2]Town!$B:$B,표1[[#This Row],[명칭]]),"-")</f>
        <v>-</v>
      </c>
      <c r="L1919" s="38">
        <f>IFERROR(COUNTIF([1]Village!$BR:$BR,표1[[#This Row],[명칭]]),"-")</f>
        <v>0</v>
      </c>
      <c r="M1919" s="38">
        <f>COUNTIF(퀘스트!B:B,표1[[#This Row],[명칭]])</f>
        <v>0</v>
      </c>
      <c r="N1919" s="65">
        <f>COUNTIF([1]VillageDiscoveryGroup!$C:$C,표1[[#This Row],[명칭]])</f>
        <v>0</v>
      </c>
      <c r="O1919" s="65">
        <f>SUM(표1[[#This Row],[해양탐색]:[마을탐험]])</f>
        <v>0</v>
      </c>
    </row>
    <row r="1920" spans="2:15" ht="13.5" customHeight="1" x14ac:dyDescent="0.3">
      <c r="B1920" s="9">
        <f>[1]Discovery!A1926</f>
        <v>70413136</v>
      </c>
      <c r="C1920" s="9" t="str">
        <f>[1]Discovery!B1926</f>
        <v>벨아일해협</v>
      </c>
      <c r="D1920" s="9" t="str">
        <f>[1]Discovery!E1926</f>
        <v>자연</v>
      </c>
      <c r="E1920" s="9" t="str">
        <f>[1]Discovery!C1926</f>
        <v>지리</v>
      </c>
      <c r="F1920" s="9" t="str">
        <f>[1]Discovery!G1926</f>
        <v>B</v>
      </c>
      <c r="G1920" s="9" t="str">
        <f>IFERROR(VLOOKUP(표1[[#This Row],[명칭]],'문화권 정리'!C:D,2,FALSE),"-")</f>
        <v>북아메리카</v>
      </c>
      <c r="H1920" s="38" t="str">
        <f>IFERROR(COUNTIF([2]OceanDoodad!$Y:$Y,표1[[#This Row],[명칭]]),"-")</f>
        <v>-</v>
      </c>
      <c r="I1920" s="38">
        <f>IFERROR(COUNTIF([1]AdventureDiscoveryGroup!$D$8:$AW$92,표1[[#This Row],[명칭]]),"-")</f>
        <v>0</v>
      </c>
      <c r="J1920" s="38">
        <f>IFERROR(COUNTIF([1]FishDiscoveryGroup!$A:$X,표1[[#This Row],[명칭]]),"-")</f>
        <v>0</v>
      </c>
      <c r="K1920" s="38" t="str">
        <f>IFERROR(COUNTIF([2]Town!$B:$B,표1[[#This Row],[명칭]]),"-")</f>
        <v>-</v>
      </c>
      <c r="L1920" s="38">
        <f>IFERROR(COUNTIF([1]Village!$BR:$BR,표1[[#This Row],[명칭]]),"-")</f>
        <v>0</v>
      </c>
      <c r="M1920" s="38">
        <f>COUNTIF(퀘스트!B:B,표1[[#This Row],[명칭]])</f>
        <v>0</v>
      </c>
      <c r="N1920" s="65">
        <f>COUNTIF([1]VillageDiscoveryGroup!$C:$C,표1[[#This Row],[명칭]])</f>
        <v>0</v>
      </c>
      <c r="O1920" s="65">
        <f>SUM(표1[[#This Row],[해양탐색]:[마을탐험]])</f>
        <v>0</v>
      </c>
    </row>
    <row r="1921" spans="2:15" ht="13.5" customHeight="1" x14ac:dyDescent="0.3">
      <c r="B1921" s="9">
        <f>[1]Discovery!A1927</f>
        <v>70413137</v>
      </c>
      <c r="C1921" s="9" t="str">
        <f>[1]Discovery!B1927</f>
        <v>벵겔라해류</v>
      </c>
      <c r="D1921" s="9" t="str">
        <f>[1]Discovery!E1927</f>
        <v>자연</v>
      </c>
      <c r="E1921" s="9" t="str">
        <f>[1]Discovery!C1927</f>
        <v>지리</v>
      </c>
      <c r="F1921" s="9" t="str">
        <f>[1]Discovery!G1927</f>
        <v>C</v>
      </c>
      <c r="G1921" s="9" t="str">
        <f>IFERROR(VLOOKUP(표1[[#This Row],[명칭]],'문화권 정리'!C:D,2,FALSE),"-")</f>
        <v>남아프리카</v>
      </c>
      <c r="H1921" s="38" t="str">
        <f>IFERROR(COUNTIF([2]OceanDoodad!$Y:$Y,표1[[#This Row],[명칭]]),"-")</f>
        <v>-</v>
      </c>
      <c r="I1921" s="38">
        <f>IFERROR(COUNTIF([1]AdventureDiscoveryGroup!$D$8:$AW$92,표1[[#This Row],[명칭]]),"-")</f>
        <v>0</v>
      </c>
      <c r="J1921" s="38">
        <f>IFERROR(COUNTIF([1]FishDiscoveryGroup!$A:$X,표1[[#This Row],[명칭]]),"-")</f>
        <v>0</v>
      </c>
      <c r="K1921" s="38" t="str">
        <f>IFERROR(COUNTIF([2]Town!$B:$B,표1[[#This Row],[명칭]]),"-")</f>
        <v>-</v>
      </c>
      <c r="L1921" s="38">
        <f>IFERROR(COUNTIF([1]Village!$BR:$BR,표1[[#This Row],[명칭]]),"-")</f>
        <v>0</v>
      </c>
      <c r="M1921" s="38">
        <f>COUNTIF(퀘스트!B:B,표1[[#This Row],[명칭]])</f>
        <v>0</v>
      </c>
      <c r="N1921" s="65">
        <f>COUNTIF([1]VillageDiscoveryGroup!$C:$C,표1[[#This Row],[명칭]])</f>
        <v>0</v>
      </c>
      <c r="O1921" s="65">
        <f>SUM(표1[[#This Row],[해양탐색]:[마을탐험]])</f>
        <v>0</v>
      </c>
    </row>
    <row r="1922" spans="2:15" ht="13.5" customHeight="1" x14ac:dyDescent="0.3">
      <c r="B1922" s="9">
        <f>[1]Discovery!A1928</f>
        <v>70413138</v>
      </c>
      <c r="C1922" s="9" t="str">
        <f>[1]Discovery!B1928</f>
        <v>벵골만</v>
      </c>
      <c r="D1922" s="9" t="str">
        <f>[1]Discovery!E1928</f>
        <v>자연</v>
      </c>
      <c r="E1922" s="9" t="str">
        <f>[1]Discovery!C1928</f>
        <v>지리</v>
      </c>
      <c r="F1922" s="9" t="str">
        <f>[1]Discovery!G1928</f>
        <v>B</v>
      </c>
      <c r="G1922" s="9" t="str">
        <f>IFERROR(VLOOKUP(표1[[#This Row],[명칭]],'문화권 정리'!C:D,2,FALSE),"-")</f>
        <v>남아시아</v>
      </c>
      <c r="H1922" s="38" t="str">
        <f>IFERROR(COUNTIF([2]OceanDoodad!$Y:$Y,표1[[#This Row],[명칭]]),"-")</f>
        <v>-</v>
      </c>
      <c r="I1922" s="38">
        <f>IFERROR(COUNTIF([1]AdventureDiscoveryGroup!$D$8:$AW$92,표1[[#This Row],[명칭]]),"-")</f>
        <v>0</v>
      </c>
      <c r="J1922" s="38">
        <f>IFERROR(COUNTIF([1]FishDiscoveryGroup!$A:$X,표1[[#This Row],[명칭]]),"-")</f>
        <v>0</v>
      </c>
      <c r="K1922" s="38" t="str">
        <f>IFERROR(COUNTIF([2]Town!$B:$B,표1[[#This Row],[명칭]]),"-")</f>
        <v>-</v>
      </c>
      <c r="L1922" s="38">
        <f>IFERROR(COUNTIF([1]Village!$BR:$BR,표1[[#This Row],[명칭]]),"-")</f>
        <v>0</v>
      </c>
      <c r="M1922" s="38">
        <f>COUNTIF(퀘스트!B:B,표1[[#This Row],[명칭]])</f>
        <v>0</v>
      </c>
      <c r="N1922" s="65">
        <f>COUNTIF([1]VillageDiscoveryGroup!$C:$C,표1[[#This Row],[명칭]])</f>
        <v>0</v>
      </c>
      <c r="O1922" s="65">
        <f>SUM(표1[[#This Row],[해양탐색]:[마을탐험]])</f>
        <v>0</v>
      </c>
    </row>
    <row r="1923" spans="2:15" ht="13.5" customHeight="1" x14ac:dyDescent="0.3">
      <c r="B1923" s="9">
        <f>[1]Discovery!A1929</f>
        <v>70413139</v>
      </c>
      <c r="C1923" s="9" t="str">
        <f>[1]Discovery!B1929</f>
        <v>보니파시오해협</v>
      </c>
      <c r="D1923" s="9" t="str">
        <f>[1]Discovery!E1929</f>
        <v>자연</v>
      </c>
      <c r="E1923" s="9" t="str">
        <f>[1]Discovery!C1929</f>
        <v>지리</v>
      </c>
      <c r="F1923" s="9" t="str">
        <f>[1]Discovery!G1929</f>
        <v>C</v>
      </c>
      <c r="G1923" s="9" t="str">
        <f>IFERROR(VLOOKUP(표1[[#This Row],[명칭]],'문화권 정리'!C:D,2,FALSE),"-")</f>
        <v>지중해</v>
      </c>
      <c r="H1923" s="38" t="str">
        <f>IFERROR(COUNTIF([2]OceanDoodad!$Y:$Y,표1[[#This Row],[명칭]]),"-")</f>
        <v>-</v>
      </c>
      <c r="I1923" s="38">
        <f>IFERROR(COUNTIF([1]AdventureDiscoveryGroup!$D$8:$AW$92,표1[[#This Row],[명칭]]),"-")</f>
        <v>0</v>
      </c>
      <c r="J1923" s="38">
        <f>IFERROR(COUNTIF([1]FishDiscoveryGroup!$A:$X,표1[[#This Row],[명칭]]),"-")</f>
        <v>0</v>
      </c>
      <c r="K1923" s="38" t="str">
        <f>IFERROR(COUNTIF([2]Town!$B:$B,표1[[#This Row],[명칭]]),"-")</f>
        <v>-</v>
      </c>
      <c r="L1923" s="38">
        <f>IFERROR(COUNTIF([1]Village!$BR:$BR,표1[[#This Row],[명칭]]),"-")</f>
        <v>0</v>
      </c>
      <c r="M1923" s="38">
        <f>COUNTIF(퀘스트!B:B,표1[[#This Row],[명칭]])</f>
        <v>0</v>
      </c>
      <c r="N1923" s="65">
        <f>COUNTIF([1]VillageDiscoveryGroup!$C:$C,표1[[#This Row],[명칭]])</f>
        <v>0</v>
      </c>
      <c r="O1923" s="65">
        <f>SUM(표1[[#This Row],[해양탐색]:[마을탐험]])</f>
        <v>0</v>
      </c>
    </row>
    <row r="1924" spans="2:15" ht="13.5" customHeight="1" x14ac:dyDescent="0.3">
      <c r="B1924" s="9">
        <f>[1]Discovery!A1930</f>
        <v>70413140</v>
      </c>
      <c r="C1924" s="9" t="str">
        <f>[1]Discovery!B1930</f>
        <v>보르네오섬</v>
      </c>
      <c r="D1924" s="9" t="str">
        <f>[1]Discovery!E1930</f>
        <v>자연</v>
      </c>
      <c r="E1924" s="9" t="str">
        <f>[1]Discovery!C1930</f>
        <v>지리</v>
      </c>
      <c r="F1924" s="9" t="str">
        <f>[1]Discovery!G1930</f>
        <v>A</v>
      </c>
      <c r="G1924" s="9" t="str">
        <f>IFERROR(VLOOKUP(표1[[#This Row],[명칭]],'문화권 정리'!C:D,2,FALSE),"-")</f>
        <v>동남아시아</v>
      </c>
      <c r="H1924" s="38" t="str">
        <f>IFERROR(COUNTIF([2]OceanDoodad!$Y:$Y,표1[[#This Row],[명칭]]),"-")</f>
        <v>-</v>
      </c>
      <c r="I1924" s="38">
        <f>IFERROR(COUNTIF([1]AdventureDiscoveryGroup!$D$8:$AW$92,표1[[#This Row],[명칭]]),"-")</f>
        <v>0</v>
      </c>
      <c r="J1924" s="38">
        <f>IFERROR(COUNTIF([1]FishDiscoveryGroup!$A:$X,표1[[#This Row],[명칭]]),"-")</f>
        <v>0</v>
      </c>
      <c r="K1924" s="38" t="str">
        <f>IFERROR(COUNTIF([2]Town!$B:$B,표1[[#This Row],[명칭]]),"-")</f>
        <v>-</v>
      </c>
      <c r="L1924" s="38">
        <f>IFERROR(COUNTIF([1]Village!$BR:$BR,표1[[#This Row],[명칭]]),"-")</f>
        <v>0</v>
      </c>
      <c r="M1924" s="38">
        <f>COUNTIF(퀘스트!B:B,표1[[#This Row],[명칭]])</f>
        <v>0</v>
      </c>
      <c r="N1924" s="65">
        <f>COUNTIF([1]VillageDiscoveryGroup!$C:$C,표1[[#This Row],[명칭]])</f>
        <v>0</v>
      </c>
      <c r="O1924" s="65">
        <f>SUM(표1[[#This Row],[해양탐색]:[마을탐험]])</f>
        <v>0</v>
      </c>
    </row>
    <row r="1925" spans="2:15" ht="13.5" customHeight="1" x14ac:dyDescent="0.3">
      <c r="B1925" s="9">
        <f>[1]Discovery!A1931</f>
        <v>70413141</v>
      </c>
      <c r="C1925" s="9" t="str">
        <f>[1]Discovery!B1931</f>
        <v>보스포루스해협</v>
      </c>
      <c r="D1925" s="9" t="str">
        <f>[1]Discovery!E1931</f>
        <v>자연</v>
      </c>
      <c r="E1925" s="9" t="str">
        <f>[1]Discovery!C1931</f>
        <v>지리</v>
      </c>
      <c r="F1925" s="9" t="str">
        <f>[1]Discovery!G1931</f>
        <v>C</v>
      </c>
      <c r="G1925" s="9" t="str">
        <f>IFERROR(VLOOKUP(표1[[#This Row],[명칭]],'문화권 정리'!C:D,2,FALSE),"-")</f>
        <v>지중해</v>
      </c>
      <c r="H1925" s="38" t="str">
        <f>IFERROR(COUNTIF([2]OceanDoodad!$Y:$Y,표1[[#This Row],[명칭]]),"-")</f>
        <v>-</v>
      </c>
      <c r="I1925" s="38">
        <f>IFERROR(COUNTIF([1]AdventureDiscoveryGroup!$D$8:$AW$92,표1[[#This Row],[명칭]]),"-")</f>
        <v>0</v>
      </c>
      <c r="J1925" s="38">
        <f>IFERROR(COUNTIF([1]FishDiscoveryGroup!$A:$X,표1[[#This Row],[명칭]]),"-")</f>
        <v>0</v>
      </c>
      <c r="K1925" s="38" t="str">
        <f>IFERROR(COUNTIF([2]Town!$B:$B,표1[[#This Row],[명칭]]),"-")</f>
        <v>-</v>
      </c>
      <c r="L1925" s="38">
        <f>IFERROR(COUNTIF([1]Village!$BR:$BR,표1[[#This Row],[명칭]]),"-")</f>
        <v>0</v>
      </c>
      <c r="M1925" s="38">
        <f>COUNTIF(퀘스트!B:B,표1[[#This Row],[명칭]])</f>
        <v>0</v>
      </c>
      <c r="N1925" s="65">
        <f>COUNTIF([1]VillageDiscoveryGroup!$C:$C,표1[[#This Row],[명칭]])</f>
        <v>0</v>
      </c>
      <c r="O1925" s="65">
        <f>SUM(표1[[#This Row],[해양탐색]:[마을탐험]])</f>
        <v>0</v>
      </c>
    </row>
    <row r="1926" spans="2:15" ht="13.5" customHeight="1" x14ac:dyDescent="0.3">
      <c r="B1926" s="9">
        <f>[1]Discovery!A1932</f>
        <v>70413142</v>
      </c>
      <c r="C1926" s="9" t="str">
        <f>[1]Discovery!B1932</f>
        <v>보트니아만</v>
      </c>
      <c r="D1926" s="9" t="str">
        <f>[1]Discovery!E1932</f>
        <v>자연</v>
      </c>
      <c r="E1926" s="9" t="str">
        <f>[1]Discovery!C1932</f>
        <v>지리</v>
      </c>
      <c r="F1926" s="9" t="str">
        <f>[1]Discovery!G1932</f>
        <v>B</v>
      </c>
      <c r="G1926" s="9" t="str">
        <f>IFERROR(VLOOKUP(표1[[#This Row],[명칭]],'문화권 정리'!C:D,2,FALSE),"-")</f>
        <v>북유럽</v>
      </c>
      <c r="H1926" s="38" t="str">
        <f>IFERROR(COUNTIF([2]OceanDoodad!$Y:$Y,표1[[#This Row],[명칭]]),"-")</f>
        <v>-</v>
      </c>
      <c r="I1926" s="38">
        <f>IFERROR(COUNTIF([1]AdventureDiscoveryGroup!$D$8:$AW$92,표1[[#This Row],[명칭]]),"-")</f>
        <v>0</v>
      </c>
      <c r="J1926" s="38">
        <f>IFERROR(COUNTIF([1]FishDiscoveryGroup!$A:$X,표1[[#This Row],[명칭]]),"-")</f>
        <v>0</v>
      </c>
      <c r="K1926" s="38" t="str">
        <f>IFERROR(COUNTIF([2]Town!$B:$B,표1[[#This Row],[명칭]]),"-")</f>
        <v>-</v>
      </c>
      <c r="L1926" s="38">
        <f>IFERROR(COUNTIF([1]Village!$BR:$BR,표1[[#This Row],[명칭]]),"-")</f>
        <v>0</v>
      </c>
      <c r="M1926" s="38">
        <f>COUNTIF(퀘스트!B:B,표1[[#This Row],[명칭]])</f>
        <v>0</v>
      </c>
      <c r="N1926" s="65">
        <f>COUNTIF([1]VillageDiscoveryGroup!$C:$C,표1[[#This Row],[명칭]])</f>
        <v>0</v>
      </c>
      <c r="O1926" s="65">
        <f>SUM(표1[[#This Row],[해양탐색]:[마을탐험]])</f>
        <v>0</v>
      </c>
    </row>
    <row r="1927" spans="2:15" ht="13.5" customHeight="1" x14ac:dyDescent="0.3">
      <c r="B1927" s="9">
        <f>[1]Discovery!A1933</f>
        <v>70413143</v>
      </c>
      <c r="C1927" s="9" t="str">
        <f>[1]Discovery!B1933</f>
        <v>볼가강</v>
      </c>
      <c r="D1927" s="9" t="str">
        <f>[1]Discovery!E1933</f>
        <v>자연</v>
      </c>
      <c r="E1927" s="9" t="str">
        <f>[1]Discovery!C1933</f>
        <v>지리</v>
      </c>
      <c r="F1927" s="9" t="str">
        <f>[1]Discovery!G1933</f>
        <v>B</v>
      </c>
      <c r="G1927" s="9" t="str">
        <f>IFERROR(VLOOKUP(표1[[#This Row],[명칭]],'문화권 정리'!C:D,2,FALSE),"-")</f>
        <v>유라시아</v>
      </c>
      <c r="H1927" s="38" t="str">
        <f>IFERROR(COUNTIF([2]OceanDoodad!$Y:$Y,표1[[#This Row],[명칭]]),"-")</f>
        <v>-</v>
      </c>
      <c r="I1927" s="38">
        <f>IFERROR(COUNTIF([1]AdventureDiscoveryGroup!$D$8:$AW$92,표1[[#This Row],[명칭]]),"-")</f>
        <v>0</v>
      </c>
      <c r="J1927" s="38">
        <f>IFERROR(COUNTIF([1]FishDiscoveryGroup!$A:$X,표1[[#This Row],[명칭]]),"-")</f>
        <v>0</v>
      </c>
      <c r="K1927" s="38" t="str">
        <f>IFERROR(COUNTIF([2]Town!$B:$B,표1[[#This Row],[명칭]]),"-")</f>
        <v>-</v>
      </c>
      <c r="L1927" s="38">
        <f>IFERROR(COUNTIF([1]Village!$BR:$BR,표1[[#This Row],[명칭]]),"-")</f>
        <v>0</v>
      </c>
      <c r="M1927" s="38">
        <f>COUNTIF(퀘스트!B:B,표1[[#This Row],[명칭]])</f>
        <v>0</v>
      </c>
      <c r="N1927" s="65">
        <f>COUNTIF([1]VillageDiscoveryGroup!$C:$C,표1[[#This Row],[명칭]])</f>
        <v>0</v>
      </c>
      <c r="O1927" s="65">
        <f>SUM(표1[[#This Row],[해양탐색]:[마을탐험]])</f>
        <v>0</v>
      </c>
    </row>
    <row r="1928" spans="2:15" ht="13.5" customHeight="1" x14ac:dyDescent="0.3">
      <c r="B1928" s="9">
        <f>[1]Discovery!A1934</f>
        <v>70413144</v>
      </c>
      <c r="C1928" s="9" t="str">
        <f>[1]Discovery!B1934</f>
        <v>부에나벤투라만</v>
      </c>
      <c r="D1928" s="9" t="str">
        <f>[1]Discovery!E1934</f>
        <v>자연</v>
      </c>
      <c r="E1928" s="9" t="str">
        <f>[1]Discovery!C1934</f>
        <v>지리</v>
      </c>
      <c r="F1928" s="9" t="str">
        <f>[1]Discovery!G1934</f>
        <v>B</v>
      </c>
      <c r="G1928" s="9" t="str">
        <f>IFERROR(VLOOKUP(표1[[#This Row],[명칭]],'문화권 정리'!C:D,2,FALSE),"-")</f>
        <v>남아메리카</v>
      </c>
      <c r="H1928" s="38" t="str">
        <f>IFERROR(COUNTIF([2]OceanDoodad!$Y:$Y,표1[[#This Row],[명칭]]),"-")</f>
        <v>-</v>
      </c>
      <c r="I1928" s="38">
        <f>IFERROR(COUNTIF([1]AdventureDiscoveryGroup!$D$8:$AW$92,표1[[#This Row],[명칭]]),"-")</f>
        <v>0</v>
      </c>
      <c r="J1928" s="38">
        <f>IFERROR(COUNTIF([1]FishDiscoveryGroup!$A:$X,표1[[#This Row],[명칭]]),"-")</f>
        <v>0</v>
      </c>
      <c r="K1928" s="38" t="str">
        <f>IFERROR(COUNTIF([2]Town!$B:$B,표1[[#This Row],[명칭]]),"-")</f>
        <v>-</v>
      </c>
      <c r="L1928" s="38">
        <f>IFERROR(COUNTIF([1]Village!$BR:$BR,표1[[#This Row],[명칭]]),"-")</f>
        <v>0</v>
      </c>
      <c r="M1928" s="38">
        <f>COUNTIF(퀘스트!B:B,표1[[#This Row],[명칭]])</f>
        <v>0</v>
      </c>
      <c r="N1928" s="65">
        <f>COUNTIF([1]VillageDiscoveryGroup!$C:$C,표1[[#This Row],[명칭]])</f>
        <v>0</v>
      </c>
      <c r="O1928" s="65">
        <f>SUM(표1[[#This Row],[해양탐색]:[마을탐험]])</f>
        <v>0</v>
      </c>
    </row>
    <row r="1929" spans="2:15" ht="13.5" customHeight="1" x14ac:dyDescent="0.3">
      <c r="B1929" s="9">
        <f>[1]Discovery!A1935</f>
        <v>70413145</v>
      </c>
      <c r="C1929" s="9" t="str">
        <f>[1]Discovery!B1935</f>
        <v>뷰트</v>
      </c>
      <c r="D1929" s="9" t="str">
        <f>[1]Discovery!E1935</f>
        <v>자연</v>
      </c>
      <c r="E1929" s="9" t="str">
        <f>[1]Discovery!C1935</f>
        <v>지리</v>
      </c>
      <c r="F1929" s="9" t="str">
        <f>[1]Discovery!G1935</f>
        <v>B</v>
      </c>
      <c r="G1929" s="9" t="str">
        <f>IFERROR(VLOOKUP(표1[[#This Row],[명칭]],'문화권 정리'!C:D,2,FALSE),"-")</f>
        <v>북아메리카</v>
      </c>
      <c r="H1929" s="38" t="str">
        <f>IFERROR(COUNTIF([2]OceanDoodad!$Y:$Y,표1[[#This Row],[명칭]]),"-")</f>
        <v>-</v>
      </c>
      <c r="I1929" s="38">
        <f>IFERROR(COUNTIF([1]AdventureDiscoveryGroup!$D$8:$AW$92,표1[[#This Row],[명칭]]),"-")</f>
        <v>0</v>
      </c>
      <c r="J1929" s="38">
        <f>IFERROR(COUNTIF([1]FishDiscoveryGroup!$A:$X,표1[[#This Row],[명칭]]),"-")</f>
        <v>0</v>
      </c>
      <c r="K1929" s="38" t="str">
        <f>IFERROR(COUNTIF([2]Town!$B:$B,표1[[#This Row],[명칭]]),"-")</f>
        <v>-</v>
      </c>
      <c r="L1929" s="38">
        <f>IFERROR(COUNTIF([1]Village!$BR:$BR,표1[[#This Row],[명칭]]),"-")</f>
        <v>0</v>
      </c>
      <c r="M1929" s="38">
        <f>COUNTIF(퀘스트!B:B,표1[[#This Row],[명칭]])</f>
        <v>0</v>
      </c>
      <c r="N1929" s="65">
        <f>COUNTIF([1]VillageDiscoveryGroup!$C:$C,표1[[#This Row],[명칭]])</f>
        <v>0</v>
      </c>
      <c r="O1929" s="65">
        <f>SUM(표1[[#This Row],[해양탐색]:[마을탐험]])</f>
        <v>0</v>
      </c>
    </row>
    <row r="1930" spans="2:15" ht="13.5" customHeight="1" x14ac:dyDescent="0.3">
      <c r="B1930" s="9">
        <f>[1]Discovery!A1936</f>
        <v>70413146</v>
      </c>
      <c r="C1930" s="9" t="str">
        <f>[1]Discovery!B1936</f>
        <v>블랑코곶</v>
      </c>
      <c r="D1930" s="9" t="str">
        <f>[1]Discovery!E1936</f>
        <v>자연</v>
      </c>
      <c r="E1930" s="9" t="str">
        <f>[1]Discovery!C1936</f>
        <v>지리</v>
      </c>
      <c r="F1930" s="9" t="str">
        <f>[1]Discovery!G1936</f>
        <v>B</v>
      </c>
      <c r="G1930" s="9" t="str">
        <f>IFERROR(VLOOKUP(표1[[#This Row],[명칭]],'문화권 정리'!C:D,2,FALSE),"-")</f>
        <v>서아프리카</v>
      </c>
      <c r="H1930" s="38" t="str">
        <f>IFERROR(COUNTIF([2]OceanDoodad!$Y:$Y,표1[[#This Row],[명칭]]),"-")</f>
        <v>-</v>
      </c>
      <c r="I1930" s="38">
        <f>IFERROR(COUNTIF([1]AdventureDiscoveryGroup!$D$8:$AW$92,표1[[#This Row],[명칭]]),"-")</f>
        <v>0</v>
      </c>
      <c r="J1930" s="38">
        <f>IFERROR(COUNTIF([1]FishDiscoveryGroup!$A:$X,표1[[#This Row],[명칭]]),"-")</f>
        <v>0</v>
      </c>
      <c r="K1930" s="38" t="str">
        <f>IFERROR(COUNTIF([2]Town!$B:$B,표1[[#This Row],[명칭]]),"-")</f>
        <v>-</v>
      </c>
      <c r="L1930" s="38">
        <f>IFERROR(COUNTIF([1]Village!$BR:$BR,표1[[#This Row],[명칭]]),"-")</f>
        <v>0</v>
      </c>
      <c r="M1930" s="38">
        <f>COUNTIF(퀘스트!B:B,표1[[#This Row],[명칭]])</f>
        <v>0</v>
      </c>
      <c r="N1930" s="65">
        <f>COUNTIF([1]VillageDiscoveryGroup!$C:$C,표1[[#This Row],[명칭]])</f>
        <v>0</v>
      </c>
      <c r="O1930" s="65">
        <f>SUM(표1[[#This Row],[해양탐색]:[마을탐험]])</f>
        <v>0</v>
      </c>
    </row>
    <row r="1931" spans="2:15" ht="13.5" customHeight="1" x14ac:dyDescent="0.3">
      <c r="B1931" s="9">
        <f>[1]Discovery!A1937</f>
        <v>70413147</v>
      </c>
      <c r="C1931" s="9" t="str">
        <f>[1]Discovery!B1937</f>
        <v>블루 마운틴산맥</v>
      </c>
      <c r="D1931" s="9" t="str">
        <f>[1]Discovery!E1937</f>
        <v>자연</v>
      </c>
      <c r="E1931" s="9" t="str">
        <f>[1]Discovery!C1937</f>
        <v>지리</v>
      </c>
      <c r="F1931" s="9" t="str">
        <f>[1]Discovery!G1937</f>
        <v>D</v>
      </c>
      <c r="G1931" s="9" t="str">
        <f>IFERROR(VLOOKUP(표1[[#This Row],[명칭]],'문화권 정리'!C:D,2,FALSE),"-")</f>
        <v>중앙아메리카</v>
      </c>
      <c r="H1931" s="38" t="str">
        <f>IFERROR(COUNTIF([2]OceanDoodad!$Y:$Y,표1[[#This Row],[명칭]]),"-")</f>
        <v>-</v>
      </c>
      <c r="I1931" s="38">
        <f>IFERROR(COUNTIF([1]AdventureDiscoveryGroup!$D$8:$AW$92,표1[[#This Row],[명칭]]),"-")</f>
        <v>0</v>
      </c>
      <c r="J1931" s="38">
        <f>IFERROR(COUNTIF([1]FishDiscoveryGroup!$A:$X,표1[[#This Row],[명칭]]),"-")</f>
        <v>0</v>
      </c>
      <c r="K1931" s="38" t="str">
        <f>IFERROR(COUNTIF([2]Town!$B:$B,표1[[#This Row],[명칭]]),"-")</f>
        <v>-</v>
      </c>
      <c r="L1931" s="38">
        <f>IFERROR(COUNTIF([1]Village!$BR:$BR,표1[[#This Row],[명칭]]),"-")</f>
        <v>0</v>
      </c>
      <c r="M1931" s="38">
        <f>COUNTIF(퀘스트!B:B,표1[[#This Row],[명칭]])</f>
        <v>0</v>
      </c>
      <c r="N1931" s="65">
        <f>COUNTIF([1]VillageDiscoveryGroup!$C:$C,표1[[#This Row],[명칭]])</f>
        <v>0</v>
      </c>
      <c r="O1931" s="65">
        <f>SUM(표1[[#This Row],[해양탐색]:[마을탐험]])</f>
        <v>0</v>
      </c>
    </row>
    <row r="1932" spans="2:15" ht="13.5" customHeight="1" x14ac:dyDescent="0.3">
      <c r="B1932" s="9">
        <f>[1]Discovery!A1938</f>
        <v>70413148</v>
      </c>
      <c r="C1932" s="9" t="str">
        <f>[1]Discovery!B1938</f>
        <v>비스마르크제도</v>
      </c>
      <c r="D1932" s="9" t="str">
        <f>[1]Discovery!E1938</f>
        <v>자연</v>
      </c>
      <c r="E1932" s="9" t="str">
        <f>[1]Discovery!C1938</f>
        <v>지리</v>
      </c>
      <c r="F1932" s="9" t="str">
        <f>[1]Discovery!G1938</f>
        <v>B</v>
      </c>
      <c r="G1932" s="9" t="str">
        <f>IFERROR(VLOOKUP(표1[[#This Row],[명칭]],'문화권 정리'!C:D,2,FALSE),"-")</f>
        <v>동남아시아</v>
      </c>
      <c r="H1932" s="38" t="str">
        <f>IFERROR(COUNTIF([2]OceanDoodad!$Y:$Y,표1[[#This Row],[명칭]]),"-")</f>
        <v>-</v>
      </c>
      <c r="I1932" s="38">
        <f>IFERROR(COUNTIF([1]AdventureDiscoveryGroup!$D$8:$AW$92,표1[[#This Row],[명칭]]),"-")</f>
        <v>0</v>
      </c>
      <c r="J1932" s="38">
        <f>IFERROR(COUNTIF([1]FishDiscoveryGroup!$A:$X,표1[[#This Row],[명칭]]),"-")</f>
        <v>0</v>
      </c>
      <c r="K1932" s="38" t="str">
        <f>IFERROR(COUNTIF([2]Town!$B:$B,표1[[#This Row],[명칭]]),"-")</f>
        <v>-</v>
      </c>
      <c r="L1932" s="38">
        <f>IFERROR(COUNTIF([1]Village!$BR:$BR,표1[[#This Row],[명칭]]),"-")</f>
        <v>0</v>
      </c>
      <c r="M1932" s="38">
        <f>COUNTIF(퀘스트!B:B,표1[[#This Row],[명칭]])</f>
        <v>0</v>
      </c>
      <c r="N1932" s="65">
        <f>COUNTIF([1]VillageDiscoveryGroup!$C:$C,표1[[#This Row],[명칭]])</f>
        <v>0</v>
      </c>
      <c r="O1932" s="65">
        <f>SUM(표1[[#This Row],[해양탐색]:[마을탐험]])</f>
        <v>0</v>
      </c>
    </row>
    <row r="1933" spans="2:15" ht="13.5" customHeight="1" x14ac:dyDescent="0.3">
      <c r="B1933" s="9">
        <f>[1]Discovery!A1939</f>
        <v>70413149</v>
      </c>
      <c r="C1933" s="9" t="str">
        <f>[1]Discovery!B1939</f>
        <v>비스케이 만</v>
      </c>
      <c r="D1933" s="9" t="str">
        <f>[1]Discovery!E1939</f>
        <v>자연</v>
      </c>
      <c r="E1933" s="9" t="str">
        <f>[1]Discovery!C1939</f>
        <v>지리</v>
      </c>
      <c r="F1933" s="9" t="str">
        <f>[1]Discovery!G1939</f>
        <v>C</v>
      </c>
      <c r="G1933" s="9" t="str">
        <f>IFERROR(VLOOKUP(표1[[#This Row],[명칭]],'문화권 정리'!C:D,2,FALSE),"-")</f>
        <v>지중해</v>
      </c>
      <c r="H1933" s="38" t="str">
        <f>IFERROR(COUNTIF([2]OceanDoodad!$Y:$Y,표1[[#This Row],[명칭]]),"-")</f>
        <v>-</v>
      </c>
      <c r="I1933" s="38">
        <f>IFERROR(COUNTIF([1]AdventureDiscoveryGroup!$D$8:$AW$92,표1[[#This Row],[명칭]]),"-")</f>
        <v>0</v>
      </c>
      <c r="J1933" s="38">
        <f>IFERROR(COUNTIF([1]FishDiscoveryGroup!$A:$X,표1[[#This Row],[명칭]]),"-")</f>
        <v>0</v>
      </c>
      <c r="K1933" s="38" t="str">
        <f>IFERROR(COUNTIF([2]Town!$B:$B,표1[[#This Row],[명칭]]),"-")</f>
        <v>-</v>
      </c>
      <c r="L1933" s="38">
        <f>IFERROR(COUNTIF([1]Village!$BR:$BR,표1[[#This Row],[명칭]]),"-")</f>
        <v>0</v>
      </c>
      <c r="M1933" s="38">
        <f>COUNTIF(퀘스트!B:B,표1[[#This Row],[명칭]])</f>
        <v>0</v>
      </c>
      <c r="N1933" s="65">
        <f>COUNTIF([1]VillageDiscoveryGroup!$C:$C,표1[[#This Row],[명칭]])</f>
        <v>0</v>
      </c>
      <c r="O1933" s="65">
        <f>SUM(표1[[#This Row],[해양탐색]:[마을탐험]])</f>
        <v>0</v>
      </c>
    </row>
    <row r="1934" spans="2:15" ht="13.5" customHeight="1" x14ac:dyDescent="0.3">
      <c r="B1934" s="9">
        <f>[1]Discovery!A1940</f>
        <v>70413150</v>
      </c>
      <c r="C1934" s="9" t="str">
        <f>[1]Discovery!B1940</f>
        <v>비오코섬</v>
      </c>
      <c r="D1934" s="9" t="str">
        <f>[1]Discovery!E1940</f>
        <v>자연</v>
      </c>
      <c r="E1934" s="9" t="str">
        <f>[1]Discovery!C1940</f>
        <v>지리</v>
      </c>
      <c r="F1934" s="9" t="str">
        <f>[1]Discovery!G1940</f>
        <v>B</v>
      </c>
      <c r="G1934" s="9" t="str">
        <f>IFERROR(VLOOKUP(표1[[#This Row],[명칭]],'문화권 정리'!C:D,2,FALSE),"-")</f>
        <v>서아프리카</v>
      </c>
      <c r="H1934" s="38" t="str">
        <f>IFERROR(COUNTIF([2]OceanDoodad!$Y:$Y,표1[[#This Row],[명칭]]),"-")</f>
        <v>-</v>
      </c>
      <c r="I1934" s="38">
        <f>IFERROR(COUNTIF([1]AdventureDiscoveryGroup!$D$8:$AW$92,표1[[#This Row],[명칭]]),"-")</f>
        <v>0</v>
      </c>
      <c r="J1934" s="38">
        <f>IFERROR(COUNTIF([1]FishDiscoveryGroup!$A:$X,표1[[#This Row],[명칭]]),"-")</f>
        <v>0</v>
      </c>
      <c r="K1934" s="38" t="str">
        <f>IFERROR(COUNTIF([2]Town!$B:$B,표1[[#This Row],[명칭]]),"-")</f>
        <v>-</v>
      </c>
      <c r="L1934" s="38">
        <f>IFERROR(COUNTIF([1]Village!$BR:$BR,표1[[#This Row],[명칭]]),"-")</f>
        <v>0</v>
      </c>
      <c r="M1934" s="38">
        <f>COUNTIF(퀘스트!B:B,표1[[#This Row],[명칭]])</f>
        <v>0</v>
      </c>
      <c r="N1934" s="65">
        <f>COUNTIF([1]VillageDiscoveryGroup!$C:$C,표1[[#This Row],[명칭]])</f>
        <v>0</v>
      </c>
      <c r="O1934" s="65">
        <f>SUM(표1[[#This Row],[해양탐색]:[마을탐험]])</f>
        <v>0</v>
      </c>
    </row>
    <row r="1935" spans="2:15" ht="13.5" customHeight="1" x14ac:dyDescent="0.3">
      <c r="B1935" s="9">
        <f>[1]Discovery!A1941</f>
        <v>70413151</v>
      </c>
      <c r="C1935" s="9" t="str">
        <f>[1]Discovery!B1941</f>
        <v>빅토리아폭포</v>
      </c>
      <c r="D1935" s="9" t="str">
        <f>[1]Discovery!E1941</f>
        <v>자연</v>
      </c>
      <c r="E1935" s="9" t="str">
        <f>[1]Discovery!C1941</f>
        <v>지리</v>
      </c>
      <c r="F1935" s="9" t="str">
        <f>[1]Discovery!G1941</f>
        <v>S</v>
      </c>
      <c r="G1935" s="9" t="str">
        <f>IFERROR(VLOOKUP(표1[[#This Row],[명칭]],'문화권 정리'!C:D,2,FALSE),"-")</f>
        <v>동아프리카</v>
      </c>
      <c r="H1935" s="38" t="str">
        <f>IFERROR(COUNTIF([2]OceanDoodad!$Y:$Y,표1[[#This Row],[명칭]]),"-")</f>
        <v>-</v>
      </c>
      <c r="I1935" s="38">
        <f>IFERROR(COUNTIF([1]AdventureDiscoveryGroup!$D$8:$AW$92,표1[[#This Row],[명칭]]),"-")</f>
        <v>0</v>
      </c>
      <c r="J1935" s="38">
        <f>IFERROR(COUNTIF([1]FishDiscoveryGroup!$A:$X,표1[[#This Row],[명칭]]),"-")</f>
        <v>0</v>
      </c>
      <c r="K1935" s="38" t="str">
        <f>IFERROR(COUNTIF([2]Town!$B:$B,표1[[#This Row],[명칭]]),"-")</f>
        <v>-</v>
      </c>
      <c r="L1935" s="38">
        <f>IFERROR(COUNTIF([1]Village!$BR:$BR,표1[[#This Row],[명칭]]),"-")</f>
        <v>0</v>
      </c>
      <c r="M1935" s="38">
        <f>COUNTIF(퀘스트!B:B,표1[[#This Row],[명칭]])</f>
        <v>0</v>
      </c>
      <c r="N1935" s="65">
        <f>COUNTIF([1]VillageDiscoveryGroup!$C:$C,표1[[#This Row],[명칭]])</f>
        <v>0</v>
      </c>
      <c r="O1935" s="65">
        <f>SUM(표1[[#This Row],[해양탐색]:[마을탐험]])</f>
        <v>0</v>
      </c>
    </row>
    <row r="1936" spans="2:15" ht="13.5" customHeight="1" x14ac:dyDescent="0.3">
      <c r="B1936" s="9">
        <f>[1]Discovery!A1942</f>
        <v>70413152</v>
      </c>
      <c r="C1936" s="9" t="str">
        <f>[1]Discovery!B1942</f>
        <v>빅토리아호수</v>
      </c>
      <c r="D1936" s="9" t="str">
        <f>[1]Discovery!E1942</f>
        <v>자연</v>
      </c>
      <c r="E1936" s="9" t="str">
        <f>[1]Discovery!C1942</f>
        <v>지리</v>
      </c>
      <c r="F1936" s="9" t="str">
        <f>[1]Discovery!G1942</f>
        <v>B</v>
      </c>
      <c r="G1936" s="9" t="str">
        <f>IFERROR(VLOOKUP(표1[[#This Row],[명칭]],'문화권 정리'!C:D,2,FALSE),"-")</f>
        <v>남아프리카</v>
      </c>
      <c r="H1936" s="38" t="str">
        <f>IFERROR(COUNTIF([2]OceanDoodad!$Y:$Y,표1[[#This Row],[명칭]]),"-")</f>
        <v>-</v>
      </c>
      <c r="I1936" s="38">
        <f>IFERROR(COUNTIF([1]AdventureDiscoveryGroup!$D$8:$AW$92,표1[[#This Row],[명칭]]),"-")</f>
        <v>0</v>
      </c>
      <c r="J1936" s="38">
        <f>IFERROR(COUNTIF([1]FishDiscoveryGroup!$A:$X,표1[[#This Row],[명칭]]),"-")</f>
        <v>0</v>
      </c>
      <c r="K1936" s="38" t="str">
        <f>IFERROR(COUNTIF([2]Town!$B:$B,표1[[#This Row],[명칭]]),"-")</f>
        <v>-</v>
      </c>
      <c r="L1936" s="38">
        <f>IFERROR(COUNTIF([1]Village!$BR:$BR,표1[[#This Row],[명칭]]),"-")</f>
        <v>0</v>
      </c>
      <c r="M1936" s="38">
        <f>COUNTIF(퀘스트!B:B,표1[[#This Row],[명칭]])</f>
        <v>1</v>
      </c>
      <c r="N1936" s="65">
        <f>COUNTIF([1]VillageDiscoveryGroup!$C:$C,표1[[#This Row],[명칭]])</f>
        <v>0</v>
      </c>
      <c r="O1936" s="65">
        <f>SUM(표1[[#This Row],[해양탐색]:[마을탐험]])</f>
        <v>1</v>
      </c>
    </row>
    <row r="1937" spans="2:15" ht="13.5" customHeight="1" x14ac:dyDescent="0.3">
      <c r="B1937" s="9">
        <f>[1]Discovery!A1943</f>
        <v>70413153</v>
      </c>
      <c r="C1937" s="9" t="str">
        <f>[1]Discovery!B1943</f>
        <v>빙산</v>
      </c>
      <c r="D1937" s="9" t="str">
        <f>[1]Discovery!E1943</f>
        <v>자연</v>
      </c>
      <c r="E1937" s="9" t="str">
        <f>[1]Discovery!C1943</f>
        <v>지리</v>
      </c>
      <c r="F1937" s="9" t="str">
        <f>[1]Discovery!G1943</f>
        <v>C</v>
      </c>
      <c r="G1937" s="9" t="str">
        <f>IFERROR(VLOOKUP(표1[[#This Row],[명칭]],'문화권 정리'!C:D,2,FALSE),"-")</f>
        <v>극지방</v>
      </c>
      <c r="H1937" s="38" t="str">
        <f>IFERROR(COUNTIF([2]OceanDoodad!$Y:$Y,표1[[#This Row],[명칭]]),"-")</f>
        <v>-</v>
      </c>
      <c r="I1937" s="38">
        <f>IFERROR(COUNTIF([1]AdventureDiscoveryGroup!$D$8:$AW$92,표1[[#This Row],[명칭]]),"-")</f>
        <v>0</v>
      </c>
      <c r="J1937" s="38">
        <f>IFERROR(COUNTIF([1]FishDiscoveryGroup!$A:$X,표1[[#This Row],[명칭]]),"-")</f>
        <v>0</v>
      </c>
      <c r="K1937" s="38" t="str">
        <f>IFERROR(COUNTIF([2]Town!$B:$B,표1[[#This Row],[명칭]]),"-")</f>
        <v>-</v>
      </c>
      <c r="L1937" s="38">
        <f>IFERROR(COUNTIF([1]Village!$BR:$BR,표1[[#This Row],[명칭]]),"-")</f>
        <v>0</v>
      </c>
      <c r="M1937" s="38">
        <f>COUNTIF(퀘스트!B:B,표1[[#This Row],[명칭]])</f>
        <v>0</v>
      </c>
      <c r="N1937" s="65">
        <f>COUNTIF([1]VillageDiscoveryGroup!$C:$C,표1[[#This Row],[명칭]])</f>
        <v>0</v>
      </c>
      <c r="O1937" s="65">
        <f>SUM(표1[[#This Row],[해양탐색]:[마을탐험]])</f>
        <v>0</v>
      </c>
    </row>
    <row r="1938" spans="2:15" ht="13.5" customHeight="1" x14ac:dyDescent="0.3">
      <c r="B1938" s="9">
        <f>[1]Discovery!A1944</f>
        <v>70413154</v>
      </c>
      <c r="C1938" s="9" t="str">
        <f>[1]Discovery!B1944</f>
        <v>빙하</v>
      </c>
      <c r="D1938" s="9" t="str">
        <f>[1]Discovery!E1944</f>
        <v>자연</v>
      </c>
      <c r="E1938" s="9" t="str">
        <f>[1]Discovery!C1944</f>
        <v>지리</v>
      </c>
      <c r="F1938" s="9" t="str">
        <f>[1]Discovery!G1944</f>
        <v>C</v>
      </c>
      <c r="G1938" s="9" t="str">
        <f>IFERROR(VLOOKUP(표1[[#This Row],[명칭]],'문화권 정리'!C:D,2,FALSE),"-")</f>
        <v>극지방</v>
      </c>
      <c r="H1938" s="38" t="str">
        <f>IFERROR(COUNTIF([2]OceanDoodad!$Y:$Y,표1[[#This Row],[명칭]]),"-")</f>
        <v>-</v>
      </c>
      <c r="I1938" s="38">
        <f>IFERROR(COUNTIF([1]AdventureDiscoveryGroup!$D$8:$AW$92,표1[[#This Row],[명칭]]),"-")</f>
        <v>0</v>
      </c>
      <c r="J1938" s="38">
        <f>IFERROR(COUNTIF([1]FishDiscoveryGroup!$A:$X,표1[[#This Row],[명칭]]),"-")</f>
        <v>0</v>
      </c>
      <c r="K1938" s="38" t="str">
        <f>IFERROR(COUNTIF([2]Town!$B:$B,표1[[#This Row],[명칭]]),"-")</f>
        <v>-</v>
      </c>
      <c r="L1938" s="38">
        <f>IFERROR(COUNTIF([1]Village!$BR:$BR,표1[[#This Row],[명칭]]),"-")</f>
        <v>0</v>
      </c>
      <c r="M1938" s="38">
        <f>COUNTIF(퀘스트!B:B,표1[[#This Row],[명칭]])</f>
        <v>0</v>
      </c>
      <c r="N1938" s="65">
        <f>COUNTIF([1]VillageDiscoveryGroup!$C:$C,표1[[#This Row],[명칭]])</f>
        <v>0</v>
      </c>
      <c r="O1938" s="65">
        <f>SUM(표1[[#This Row],[해양탐색]:[마을탐험]])</f>
        <v>0</v>
      </c>
    </row>
    <row r="1939" spans="2:15" ht="13.5" customHeight="1" x14ac:dyDescent="0.3">
      <c r="B1939" s="9">
        <f>[1]Discovery!A1945</f>
        <v>70413155</v>
      </c>
      <c r="C1939" s="9" t="str">
        <f>[1]Discovery!B1945</f>
        <v>사모스섬</v>
      </c>
      <c r="D1939" s="9" t="str">
        <f>[1]Discovery!E1945</f>
        <v>자연</v>
      </c>
      <c r="E1939" s="9" t="str">
        <f>[1]Discovery!C1945</f>
        <v>지리</v>
      </c>
      <c r="F1939" s="9" t="str">
        <f>[1]Discovery!G1945</f>
        <v>B</v>
      </c>
      <c r="G1939" s="9" t="str">
        <f>IFERROR(VLOOKUP(표1[[#This Row],[명칭]],'문화권 정리'!C:D,2,FALSE),"-")</f>
        <v>지중해</v>
      </c>
      <c r="H1939" s="38" t="str">
        <f>IFERROR(COUNTIF([2]OceanDoodad!$Y:$Y,표1[[#This Row],[명칭]]),"-")</f>
        <v>-</v>
      </c>
      <c r="I1939" s="38">
        <f>IFERROR(COUNTIF([1]AdventureDiscoveryGroup!$D$8:$AW$92,표1[[#This Row],[명칭]]),"-")</f>
        <v>0</v>
      </c>
      <c r="J1939" s="38">
        <f>IFERROR(COUNTIF([1]FishDiscoveryGroup!$A:$X,표1[[#This Row],[명칭]]),"-")</f>
        <v>0</v>
      </c>
      <c r="K1939" s="38" t="str">
        <f>IFERROR(COUNTIF([2]Town!$B:$B,표1[[#This Row],[명칭]]),"-")</f>
        <v>-</v>
      </c>
      <c r="L1939" s="38">
        <f>IFERROR(COUNTIF([1]Village!$BR:$BR,표1[[#This Row],[명칭]]),"-")</f>
        <v>0</v>
      </c>
      <c r="M1939" s="38">
        <f>COUNTIF(퀘스트!B:B,표1[[#This Row],[명칭]])</f>
        <v>0</v>
      </c>
      <c r="N1939" s="65">
        <f>COUNTIF([1]VillageDiscoveryGroup!$C:$C,표1[[#This Row],[명칭]])</f>
        <v>0</v>
      </c>
      <c r="O1939" s="65">
        <f>SUM(표1[[#This Row],[해양탐색]:[마을탐험]])</f>
        <v>0</v>
      </c>
    </row>
    <row r="1940" spans="2:15" ht="13.5" customHeight="1" x14ac:dyDescent="0.3">
      <c r="B1940" s="9">
        <f>[1]Discovery!A1946</f>
        <v>70413156</v>
      </c>
      <c r="C1940" s="9" t="str">
        <f>[1]Discovery!B1946</f>
        <v>사모아제도</v>
      </c>
      <c r="D1940" s="9" t="str">
        <f>[1]Discovery!E1946</f>
        <v>자연</v>
      </c>
      <c r="E1940" s="9" t="str">
        <f>[1]Discovery!C1946</f>
        <v>지리</v>
      </c>
      <c r="F1940" s="9" t="str">
        <f>[1]Discovery!G1946</f>
        <v>A</v>
      </c>
      <c r="G1940" s="9" t="str">
        <f>IFERROR(VLOOKUP(표1[[#This Row],[명칭]],'문화권 정리'!C:D,2,FALSE),"-")</f>
        <v>태평양</v>
      </c>
      <c r="H1940" s="38" t="str">
        <f>IFERROR(COUNTIF([2]OceanDoodad!$Y:$Y,표1[[#This Row],[명칭]]),"-")</f>
        <v>-</v>
      </c>
      <c r="I1940" s="38">
        <f>IFERROR(COUNTIF([1]AdventureDiscoveryGroup!$D$8:$AW$92,표1[[#This Row],[명칭]]),"-")</f>
        <v>0</v>
      </c>
      <c r="J1940" s="38">
        <f>IFERROR(COUNTIF([1]FishDiscoveryGroup!$A:$X,표1[[#This Row],[명칭]]),"-")</f>
        <v>0</v>
      </c>
      <c r="K1940" s="38" t="str">
        <f>IFERROR(COUNTIF([2]Town!$B:$B,표1[[#This Row],[명칭]]),"-")</f>
        <v>-</v>
      </c>
      <c r="L1940" s="38">
        <f>IFERROR(COUNTIF([1]Village!$BR:$BR,표1[[#This Row],[명칭]]),"-")</f>
        <v>0</v>
      </c>
      <c r="M1940" s="38">
        <f>COUNTIF(퀘스트!B:B,표1[[#This Row],[명칭]])</f>
        <v>0</v>
      </c>
      <c r="N1940" s="65">
        <f>COUNTIF([1]VillageDiscoveryGroup!$C:$C,표1[[#This Row],[명칭]])</f>
        <v>0</v>
      </c>
      <c r="O1940" s="65">
        <f>SUM(표1[[#This Row],[해양탐색]:[마을탐험]])</f>
        <v>0</v>
      </c>
    </row>
    <row r="1941" spans="2:15" ht="13.5" customHeight="1" x14ac:dyDescent="0.3">
      <c r="B1941" s="9">
        <f>[1]Discovery!A1947</f>
        <v>70413157</v>
      </c>
      <c r="C1941" s="9" t="str">
        <f>[1]Discovery!B1947</f>
        <v>사하라</v>
      </c>
      <c r="D1941" s="9" t="str">
        <f>[1]Discovery!E1947</f>
        <v>자연</v>
      </c>
      <c r="E1941" s="9" t="str">
        <f>[1]Discovery!C1947</f>
        <v>지리</v>
      </c>
      <c r="F1941" s="9" t="str">
        <f>[1]Discovery!G1947</f>
        <v>C</v>
      </c>
      <c r="G1941" s="9" t="str">
        <f>IFERROR(VLOOKUP(표1[[#This Row],[명칭]],'문화권 정리'!C:D,2,FALSE),"-")</f>
        <v>동아프리카</v>
      </c>
      <c r="H1941" s="38" t="str">
        <f>IFERROR(COUNTIF([2]OceanDoodad!$Y:$Y,표1[[#This Row],[명칭]]),"-")</f>
        <v>-</v>
      </c>
      <c r="I1941" s="38">
        <f>IFERROR(COUNTIF([1]AdventureDiscoveryGroup!$D$8:$AW$92,표1[[#This Row],[명칭]]),"-")</f>
        <v>1</v>
      </c>
      <c r="J1941" s="38">
        <f>IFERROR(COUNTIF([1]FishDiscoveryGroup!$A:$X,표1[[#This Row],[명칭]]),"-")</f>
        <v>0</v>
      </c>
      <c r="K1941" s="38" t="str">
        <f>IFERROR(COUNTIF([2]Town!$B:$B,표1[[#This Row],[명칭]]),"-")</f>
        <v>-</v>
      </c>
      <c r="L1941" s="38">
        <f>IFERROR(COUNTIF([1]Village!$BR:$BR,표1[[#This Row],[명칭]]),"-")</f>
        <v>0</v>
      </c>
      <c r="M1941" s="38">
        <f>COUNTIF(퀘스트!B:B,표1[[#This Row],[명칭]])</f>
        <v>0</v>
      </c>
      <c r="N1941" s="65">
        <f>COUNTIF([1]VillageDiscoveryGroup!$C:$C,표1[[#This Row],[명칭]])</f>
        <v>0</v>
      </c>
      <c r="O1941" s="65">
        <f>SUM(표1[[#This Row],[해양탐색]:[마을탐험]])</f>
        <v>1</v>
      </c>
    </row>
    <row r="1942" spans="2:15" ht="13.5" customHeight="1" x14ac:dyDescent="0.3">
      <c r="B1942" s="9">
        <f>[1]Discovery!A1948</f>
        <v>70413158</v>
      </c>
      <c r="C1942" s="9" t="str">
        <f>[1]Discovery!B1948</f>
        <v>산마티아스만</v>
      </c>
      <c r="D1942" s="9" t="str">
        <f>[1]Discovery!E1948</f>
        <v>자연</v>
      </c>
      <c r="E1942" s="9" t="str">
        <f>[1]Discovery!C1948</f>
        <v>지리</v>
      </c>
      <c r="F1942" s="9" t="str">
        <f>[1]Discovery!G1948</f>
        <v>C</v>
      </c>
      <c r="G1942" s="9" t="str">
        <f>IFERROR(VLOOKUP(표1[[#This Row],[명칭]],'문화권 정리'!C:D,2,FALSE),"-")</f>
        <v>남아메리카</v>
      </c>
      <c r="H1942" s="38" t="str">
        <f>IFERROR(COUNTIF([2]OceanDoodad!$Y:$Y,표1[[#This Row],[명칭]]),"-")</f>
        <v>-</v>
      </c>
      <c r="I1942" s="38">
        <f>IFERROR(COUNTIF([1]AdventureDiscoveryGroup!$D$8:$AW$92,표1[[#This Row],[명칭]]),"-")</f>
        <v>0</v>
      </c>
      <c r="J1942" s="38">
        <f>IFERROR(COUNTIF([1]FishDiscoveryGroup!$A:$X,표1[[#This Row],[명칭]]),"-")</f>
        <v>0</v>
      </c>
      <c r="K1942" s="38" t="str">
        <f>IFERROR(COUNTIF([2]Town!$B:$B,표1[[#This Row],[명칭]]),"-")</f>
        <v>-</v>
      </c>
      <c r="L1942" s="38">
        <f>IFERROR(COUNTIF([1]Village!$BR:$BR,표1[[#This Row],[명칭]]),"-")</f>
        <v>0</v>
      </c>
      <c r="M1942" s="38">
        <f>COUNTIF(퀘스트!B:B,표1[[#This Row],[명칭]])</f>
        <v>0</v>
      </c>
      <c r="N1942" s="65">
        <f>COUNTIF([1]VillageDiscoveryGroup!$C:$C,표1[[#This Row],[명칭]])</f>
        <v>0</v>
      </c>
      <c r="O1942" s="65">
        <f>SUM(표1[[#This Row],[해양탐색]:[마을탐험]])</f>
        <v>0</v>
      </c>
    </row>
    <row r="1943" spans="2:15" ht="13.5" customHeight="1" x14ac:dyDescent="0.3">
      <c r="B1943" s="9">
        <f>[1]Discovery!A1949</f>
        <v>70413159</v>
      </c>
      <c r="C1943" s="9" t="str">
        <f>[1]Discovery!B1949</f>
        <v>산살바도르섬</v>
      </c>
      <c r="D1943" s="9" t="str">
        <f>[1]Discovery!E1949</f>
        <v>자연</v>
      </c>
      <c r="E1943" s="9" t="str">
        <f>[1]Discovery!C1949</f>
        <v>지리</v>
      </c>
      <c r="F1943" s="9" t="str">
        <f>[1]Discovery!G1949</f>
        <v>A</v>
      </c>
      <c r="G1943" s="9" t="str">
        <f>IFERROR(VLOOKUP(표1[[#This Row],[명칭]],'문화권 정리'!C:D,2,FALSE),"-")</f>
        <v>중앙아메리카</v>
      </c>
      <c r="H1943" s="38" t="str">
        <f>IFERROR(COUNTIF([2]OceanDoodad!$Y:$Y,표1[[#This Row],[명칭]]),"-")</f>
        <v>-</v>
      </c>
      <c r="I1943" s="38">
        <f>IFERROR(COUNTIF([1]AdventureDiscoveryGroup!$D$8:$AW$92,표1[[#This Row],[명칭]]),"-")</f>
        <v>0</v>
      </c>
      <c r="J1943" s="38">
        <f>IFERROR(COUNTIF([1]FishDiscoveryGroup!$A:$X,표1[[#This Row],[명칭]]),"-")</f>
        <v>0</v>
      </c>
      <c r="K1943" s="38" t="str">
        <f>IFERROR(COUNTIF([2]Town!$B:$B,표1[[#This Row],[명칭]]),"-")</f>
        <v>-</v>
      </c>
      <c r="L1943" s="38">
        <f>IFERROR(COUNTIF([1]Village!$BR:$BR,표1[[#This Row],[명칭]]),"-")</f>
        <v>0</v>
      </c>
      <c r="M1943" s="38">
        <f>COUNTIF(퀘스트!B:B,표1[[#This Row],[명칭]])</f>
        <v>0</v>
      </c>
      <c r="N1943" s="65">
        <f>COUNTIF([1]VillageDiscoveryGroup!$C:$C,표1[[#This Row],[명칭]])</f>
        <v>0</v>
      </c>
      <c r="O1943" s="65">
        <f>SUM(표1[[#This Row],[해양탐색]:[마을탐험]])</f>
        <v>0</v>
      </c>
    </row>
    <row r="1944" spans="2:15" ht="13.5" customHeight="1" x14ac:dyDescent="0.3">
      <c r="B1944" s="9">
        <f>[1]Discovery!A1950</f>
        <v>70413160</v>
      </c>
      <c r="C1944" s="9" t="str">
        <f>[1]Discovery!B1950</f>
        <v>산안토니오곶</v>
      </c>
      <c r="D1944" s="9" t="str">
        <f>[1]Discovery!E1950</f>
        <v>자연</v>
      </c>
      <c r="E1944" s="9" t="str">
        <f>[1]Discovery!C1950</f>
        <v>지리</v>
      </c>
      <c r="F1944" s="9" t="str">
        <f>[1]Discovery!G1950</f>
        <v>C</v>
      </c>
      <c r="G1944" s="9" t="str">
        <f>IFERROR(VLOOKUP(표1[[#This Row],[명칭]],'문화권 정리'!C:D,2,FALSE),"-")</f>
        <v>남아메리카</v>
      </c>
      <c r="H1944" s="38" t="str">
        <f>IFERROR(COUNTIF([2]OceanDoodad!$Y:$Y,표1[[#This Row],[명칭]]),"-")</f>
        <v>-</v>
      </c>
      <c r="I1944" s="38">
        <f>IFERROR(COUNTIF([1]AdventureDiscoveryGroup!$D$8:$AW$92,표1[[#This Row],[명칭]]),"-")</f>
        <v>0</v>
      </c>
      <c r="J1944" s="38">
        <f>IFERROR(COUNTIF([1]FishDiscoveryGroup!$A:$X,표1[[#This Row],[명칭]]),"-")</f>
        <v>0</v>
      </c>
      <c r="K1944" s="38" t="str">
        <f>IFERROR(COUNTIF([2]Town!$B:$B,표1[[#This Row],[명칭]]),"-")</f>
        <v>-</v>
      </c>
      <c r="L1944" s="38">
        <f>IFERROR(COUNTIF([1]Village!$BR:$BR,표1[[#This Row],[명칭]]),"-")</f>
        <v>0</v>
      </c>
      <c r="M1944" s="38">
        <f>COUNTIF(퀘스트!B:B,표1[[#This Row],[명칭]])</f>
        <v>0</v>
      </c>
      <c r="N1944" s="65">
        <f>COUNTIF([1]VillageDiscoveryGroup!$C:$C,표1[[#This Row],[명칭]])</f>
        <v>0</v>
      </c>
      <c r="O1944" s="65">
        <f>SUM(표1[[#This Row],[해양탐색]:[마을탐험]])</f>
        <v>0</v>
      </c>
    </row>
    <row r="1945" spans="2:15" ht="13.5" customHeight="1" x14ac:dyDescent="0.3">
      <c r="B1945" s="9">
        <f>[1]Discovery!A1951</f>
        <v>70413161</v>
      </c>
      <c r="C1945" s="9" t="str">
        <f>[1]Discovery!B1951</f>
        <v>산토리니</v>
      </c>
      <c r="D1945" s="9" t="str">
        <f>[1]Discovery!E1951</f>
        <v>자연</v>
      </c>
      <c r="E1945" s="9" t="str">
        <f>[1]Discovery!C1951</f>
        <v>지리</v>
      </c>
      <c r="F1945" s="9" t="str">
        <f>[1]Discovery!G1951</f>
        <v>A</v>
      </c>
      <c r="G1945" s="9" t="str">
        <f>IFERROR(VLOOKUP(표1[[#This Row],[명칭]],'문화권 정리'!C:D,2,FALSE),"-")</f>
        <v>지중해</v>
      </c>
      <c r="H1945" s="38" t="str">
        <f>IFERROR(COUNTIF([2]OceanDoodad!$Y:$Y,표1[[#This Row],[명칭]]),"-")</f>
        <v>-</v>
      </c>
      <c r="I1945" s="38">
        <f>IFERROR(COUNTIF([1]AdventureDiscoveryGroup!$D$8:$AW$92,표1[[#This Row],[명칭]]),"-")</f>
        <v>0</v>
      </c>
      <c r="J1945" s="38">
        <f>IFERROR(COUNTIF([1]FishDiscoveryGroup!$A:$X,표1[[#This Row],[명칭]]),"-")</f>
        <v>0</v>
      </c>
      <c r="K1945" s="38" t="str">
        <f>IFERROR(COUNTIF([2]Town!$B:$B,표1[[#This Row],[명칭]]),"-")</f>
        <v>-</v>
      </c>
      <c r="L1945" s="38">
        <f>IFERROR(COUNTIF([1]Village!$BR:$BR,표1[[#This Row],[명칭]]),"-")</f>
        <v>0</v>
      </c>
      <c r="M1945" s="38">
        <f>COUNTIF(퀘스트!B:B,표1[[#This Row],[명칭]])</f>
        <v>0</v>
      </c>
      <c r="N1945" s="65">
        <f>COUNTIF([1]VillageDiscoveryGroup!$C:$C,표1[[#This Row],[명칭]])</f>
        <v>0</v>
      </c>
      <c r="O1945" s="65">
        <f>SUM(표1[[#This Row],[해양탐색]:[마을탐험]])</f>
        <v>0</v>
      </c>
    </row>
    <row r="1946" spans="2:15" ht="13.5" customHeight="1" x14ac:dyDescent="0.3">
      <c r="B1946" s="9">
        <f>[1]Discovery!A1952</f>
        <v>70413162</v>
      </c>
      <c r="C1946" s="9" t="str">
        <f>[1]Discovery!B1952</f>
        <v>산호르헤만</v>
      </c>
      <c r="D1946" s="9" t="str">
        <f>[1]Discovery!E1952</f>
        <v>자연</v>
      </c>
      <c r="E1946" s="9" t="str">
        <f>[1]Discovery!C1952</f>
        <v>지리</v>
      </c>
      <c r="F1946" s="9" t="str">
        <f>[1]Discovery!G1952</f>
        <v>D</v>
      </c>
      <c r="G1946" s="9" t="str">
        <f>IFERROR(VLOOKUP(표1[[#This Row],[명칭]],'문화권 정리'!C:D,2,FALSE),"-")</f>
        <v>남아메리카</v>
      </c>
      <c r="H1946" s="38" t="str">
        <f>IFERROR(COUNTIF([2]OceanDoodad!$Y:$Y,표1[[#This Row],[명칭]]),"-")</f>
        <v>-</v>
      </c>
      <c r="I1946" s="38">
        <f>IFERROR(COUNTIF([1]AdventureDiscoveryGroup!$D$8:$AW$92,표1[[#This Row],[명칭]]),"-")</f>
        <v>0</v>
      </c>
      <c r="J1946" s="38">
        <f>IFERROR(COUNTIF([1]FishDiscoveryGroup!$A:$X,표1[[#This Row],[명칭]]),"-")</f>
        <v>0</v>
      </c>
      <c r="K1946" s="38" t="str">
        <f>IFERROR(COUNTIF([2]Town!$B:$B,표1[[#This Row],[명칭]]),"-")</f>
        <v>-</v>
      </c>
      <c r="L1946" s="38">
        <f>IFERROR(COUNTIF([1]Village!$BR:$BR,표1[[#This Row],[명칭]]),"-")</f>
        <v>0</v>
      </c>
      <c r="M1946" s="38">
        <f>COUNTIF(퀘스트!B:B,표1[[#This Row],[명칭]])</f>
        <v>0</v>
      </c>
      <c r="N1946" s="65">
        <f>COUNTIF([1]VillageDiscoveryGroup!$C:$C,표1[[#This Row],[명칭]])</f>
        <v>0</v>
      </c>
      <c r="O1946" s="65">
        <f>SUM(표1[[#This Row],[해양탐색]:[마을탐험]])</f>
        <v>0</v>
      </c>
    </row>
    <row r="1947" spans="2:15" ht="13.5" customHeight="1" x14ac:dyDescent="0.3">
      <c r="B1947" s="9">
        <f>[1]Discovery!A1953</f>
        <v>70413163</v>
      </c>
      <c r="C1947" s="9" t="str">
        <f>[1]Discovery!B1953</f>
        <v>산호해</v>
      </c>
      <c r="D1947" s="9" t="str">
        <f>[1]Discovery!E1953</f>
        <v>자연</v>
      </c>
      <c r="E1947" s="9" t="str">
        <f>[1]Discovery!C1953</f>
        <v>지리</v>
      </c>
      <c r="F1947" s="9" t="str">
        <f>[1]Discovery!G1953</f>
        <v>B</v>
      </c>
      <c r="G1947" s="9" t="str">
        <f>IFERROR(VLOOKUP(표1[[#This Row],[명칭]],'문화권 정리'!C:D,2,FALSE),"-")</f>
        <v>오세아니아</v>
      </c>
      <c r="H1947" s="38" t="str">
        <f>IFERROR(COUNTIF([2]OceanDoodad!$Y:$Y,표1[[#This Row],[명칭]]),"-")</f>
        <v>-</v>
      </c>
      <c r="I1947" s="38">
        <f>IFERROR(COUNTIF([1]AdventureDiscoveryGroup!$D$8:$AW$92,표1[[#This Row],[명칭]]),"-")</f>
        <v>0</v>
      </c>
      <c r="J1947" s="38">
        <f>IFERROR(COUNTIF([1]FishDiscoveryGroup!$A:$X,표1[[#This Row],[명칭]]),"-")</f>
        <v>0</v>
      </c>
      <c r="K1947" s="38" t="str">
        <f>IFERROR(COUNTIF([2]Town!$B:$B,표1[[#This Row],[명칭]]),"-")</f>
        <v>-</v>
      </c>
      <c r="L1947" s="38">
        <f>IFERROR(COUNTIF([1]Village!$BR:$BR,표1[[#This Row],[명칭]]),"-")</f>
        <v>0</v>
      </c>
      <c r="M1947" s="38">
        <f>COUNTIF(퀘스트!B:B,표1[[#This Row],[명칭]])</f>
        <v>0</v>
      </c>
      <c r="N1947" s="65">
        <f>COUNTIF([1]VillageDiscoveryGroup!$C:$C,표1[[#This Row],[명칭]])</f>
        <v>0</v>
      </c>
      <c r="O1947" s="65">
        <f>SUM(표1[[#This Row],[해양탐색]:[마을탐험]])</f>
        <v>0</v>
      </c>
    </row>
    <row r="1948" spans="2:15" ht="13.5" customHeight="1" x14ac:dyDescent="0.3">
      <c r="B1948" s="9">
        <f>[1]Discovery!A1954</f>
        <v>70413164</v>
      </c>
      <c r="C1948" s="9" t="str">
        <f>[1]Discovery!B1954</f>
        <v>삼각주</v>
      </c>
      <c r="D1948" s="9" t="str">
        <f>[1]Discovery!E1954</f>
        <v>자연</v>
      </c>
      <c r="E1948" s="9" t="str">
        <f>[1]Discovery!C1954</f>
        <v>지리</v>
      </c>
      <c r="F1948" s="9" t="str">
        <f>[1]Discovery!G1954</f>
        <v>D</v>
      </c>
      <c r="G1948" s="9" t="str">
        <f>IFERROR(VLOOKUP(표1[[#This Row],[명칭]],'문화권 정리'!C:D,2,FALSE),"-")</f>
        <v>-</v>
      </c>
      <c r="H1948" s="38" t="str">
        <f>IFERROR(COUNTIF([2]OceanDoodad!$Y:$Y,표1[[#This Row],[명칭]]),"-")</f>
        <v>-</v>
      </c>
      <c r="I1948" s="38">
        <f>IFERROR(COUNTIF([1]AdventureDiscoveryGroup!$D$8:$AW$92,표1[[#This Row],[명칭]]),"-")</f>
        <v>0</v>
      </c>
      <c r="J1948" s="38">
        <f>IFERROR(COUNTIF([1]FishDiscoveryGroup!$A:$X,표1[[#This Row],[명칭]]),"-")</f>
        <v>0</v>
      </c>
      <c r="K1948" s="38" t="str">
        <f>IFERROR(COUNTIF([2]Town!$B:$B,표1[[#This Row],[명칭]]),"-")</f>
        <v>-</v>
      </c>
      <c r="L1948" s="38">
        <f>IFERROR(COUNTIF([1]Village!$BR:$BR,표1[[#This Row],[명칭]]),"-")</f>
        <v>0</v>
      </c>
      <c r="M1948" s="38">
        <f>COUNTIF(퀘스트!B:B,표1[[#This Row],[명칭]])</f>
        <v>0</v>
      </c>
      <c r="N1948" s="65">
        <f>COUNTIF([1]VillageDiscoveryGroup!$C:$C,표1[[#This Row],[명칭]])</f>
        <v>0</v>
      </c>
      <c r="O1948" s="65">
        <f>SUM(표1[[#This Row],[해양탐색]:[마을탐험]])</f>
        <v>0</v>
      </c>
    </row>
    <row r="1949" spans="2:15" ht="13.5" customHeight="1" x14ac:dyDescent="0.3">
      <c r="B1949" s="9">
        <f>[1]Discovery!A1955</f>
        <v>70413165</v>
      </c>
      <c r="C1949" s="9" t="str">
        <f>[1]Discovery!B1955</f>
        <v>산칭산</v>
      </c>
      <c r="D1949" s="9" t="str">
        <f>[1]Discovery!E1955</f>
        <v>자연</v>
      </c>
      <c r="E1949" s="9" t="str">
        <f>[1]Discovery!C1955</f>
        <v>지리</v>
      </c>
      <c r="F1949" s="9" t="str">
        <f>[1]Discovery!G1955</f>
        <v>B</v>
      </c>
      <c r="G1949" s="9" t="str">
        <f>IFERROR(VLOOKUP(표1[[#This Row],[명칭]],'문화권 정리'!C:D,2,FALSE),"-")</f>
        <v>동아시아</v>
      </c>
      <c r="H1949" s="38" t="str">
        <f>IFERROR(COUNTIF([2]OceanDoodad!$Y:$Y,표1[[#This Row],[명칭]]),"-")</f>
        <v>-</v>
      </c>
      <c r="I1949" s="38">
        <f>IFERROR(COUNTIF([1]AdventureDiscoveryGroup!$D$8:$AW$92,표1[[#This Row],[명칭]]),"-")</f>
        <v>0</v>
      </c>
      <c r="J1949" s="38">
        <f>IFERROR(COUNTIF([1]FishDiscoveryGroup!$A:$X,표1[[#This Row],[명칭]]),"-")</f>
        <v>0</v>
      </c>
      <c r="K1949" s="38" t="str">
        <f>IFERROR(COUNTIF([2]Town!$B:$B,표1[[#This Row],[명칭]]),"-")</f>
        <v>-</v>
      </c>
      <c r="L1949" s="38">
        <f>IFERROR(COUNTIF([1]Village!$BR:$BR,표1[[#This Row],[명칭]]),"-")</f>
        <v>0</v>
      </c>
      <c r="M1949" s="38">
        <f>COUNTIF(퀘스트!B:B,표1[[#This Row],[명칭]])</f>
        <v>0</v>
      </c>
      <c r="N1949" s="65">
        <f>COUNTIF([1]VillageDiscoveryGroup!$C:$C,표1[[#This Row],[명칭]])</f>
        <v>0</v>
      </c>
      <c r="O1949" s="65">
        <f>SUM(표1[[#This Row],[해양탐색]:[마을탐험]])</f>
        <v>0</v>
      </c>
    </row>
    <row r="1950" spans="2:15" ht="13.5" customHeight="1" x14ac:dyDescent="0.3">
      <c r="B1950" s="9">
        <f>[1]Discovery!A1956</f>
        <v>70413166</v>
      </c>
      <c r="C1950" s="9" t="str">
        <f>[1]Discovery!B1956</f>
        <v>상토메섬</v>
      </c>
      <c r="D1950" s="9" t="str">
        <f>[1]Discovery!E1956</f>
        <v>자연</v>
      </c>
      <c r="E1950" s="9" t="str">
        <f>[1]Discovery!C1956</f>
        <v>지리</v>
      </c>
      <c r="F1950" s="9" t="str">
        <f>[1]Discovery!G1956</f>
        <v>C</v>
      </c>
      <c r="G1950" s="9" t="str">
        <f>IFERROR(VLOOKUP(표1[[#This Row],[명칭]],'문화권 정리'!C:D,2,FALSE),"-")</f>
        <v>서아프리카</v>
      </c>
      <c r="H1950" s="38" t="str">
        <f>IFERROR(COUNTIF([2]OceanDoodad!$Y:$Y,표1[[#This Row],[명칭]]),"-")</f>
        <v>-</v>
      </c>
      <c r="I1950" s="38">
        <f>IFERROR(COUNTIF([1]AdventureDiscoveryGroup!$D$8:$AW$92,표1[[#This Row],[명칭]]),"-")</f>
        <v>0</v>
      </c>
      <c r="J1950" s="38">
        <f>IFERROR(COUNTIF([1]FishDiscoveryGroup!$A:$X,표1[[#This Row],[명칭]]),"-")</f>
        <v>0</v>
      </c>
      <c r="K1950" s="38" t="str">
        <f>IFERROR(COUNTIF([2]Town!$B:$B,표1[[#This Row],[명칭]]),"-")</f>
        <v>-</v>
      </c>
      <c r="L1950" s="38">
        <f>IFERROR(COUNTIF([1]Village!$BR:$BR,표1[[#This Row],[명칭]]),"-")</f>
        <v>0</v>
      </c>
      <c r="M1950" s="38">
        <f>COUNTIF(퀘스트!B:B,표1[[#This Row],[명칭]])</f>
        <v>0</v>
      </c>
      <c r="N1950" s="65">
        <f>COUNTIF([1]VillageDiscoveryGroup!$C:$C,표1[[#This Row],[명칭]])</f>
        <v>0</v>
      </c>
      <c r="O1950" s="65">
        <f>SUM(표1[[#This Row],[해양탐색]:[마을탐험]])</f>
        <v>0</v>
      </c>
    </row>
    <row r="1951" spans="2:15" ht="13.5" customHeight="1" x14ac:dyDescent="0.3">
      <c r="B1951" s="9">
        <f>[1]Discovery!A1957</f>
        <v>70413167</v>
      </c>
      <c r="C1951" s="9" t="str">
        <f>[1]Discovery!B1957</f>
        <v>생말로만</v>
      </c>
      <c r="D1951" s="9" t="str">
        <f>[1]Discovery!E1957</f>
        <v>자연</v>
      </c>
      <c r="E1951" s="9" t="str">
        <f>[1]Discovery!C1957</f>
        <v>지리</v>
      </c>
      <c r="F1951" s="9" t="str">
        <f>[1]Discovery!G1957</f>
        <v>D</v>
      </c>
      <c r="G1951" s="9" t="str">
        <f>IFERROR(VLOOKUP(표1[[#This Row],[명칭]],'문화권 정리'!C:D,2,FALSE),"-")</f>
        <v>지중해</v>
      </c>
      <c r="H1951" s="38" t="str">
        <f>IFERROR(COUNTIF([2]OceanDoodad!$Y:$Y,표1[[#This Row],[명칭]]),"-")</f>
        <v>-</v>
      </c>
      <c r="I1951" s="38">
        <f>IFERROR(COUNTIF([1]AdventureDiscoveryGroup!$D$8:$AW$92,표1[[#This Row],[명칭]]),"-")</f>
        <v>0</v>
      </c>
      <c r="J1951" s="38">
        <f>IFERROR(COUNTIF([1]FishDiscoveryGroup!$A:$X,표1[[#This Row],[명칭]]),"-")</f>
        <v>0</v>
      </c>
      <c r="K1951" s="38" t="str">
        <f>IFERROR(COUNTIF([2]Town!$B:$B,표1[[#This Row],[명칭]]),"-")</f>
        <v>-</v>
      </c>
      <c r="L1951" s="38">
        <f>IFERROR(COUNTIF([1]Village!$BR:$BR,표1[[#This Row],[명칭]]),"-")</f>
        <v>0</v>
      </c>
      <c r="M1951" s="38">
        <f>COUNTIF(퀘스트!B:B,표1[[#This Row],[명칭]])</f>
        <v>0</v>
      </c>
      <c r="N1951" s="65">
        <f>COUNTIF([1]VillageDiscoveryGroup!$C:$C,표1[[#This Row],[명칭]])</f>
        <v>0</v>
      </c>
      <c r="O1951" s="65">
        <f>SUM(표1[[#This Row],[해양탐색]:[마을탐험]])</f>
        <v>0</v>
      </c>
    </row>
    <row r="1952" spans="2:15" ht="13.5" customHeight="1" x14ac:dyDescent="0.3">
      <c r="B1952" s="9">
        <f>[1]Discovery!A1958</f>
        <v>70413168</v>
      </c>
      <c r="C1952" s="9" t="str">
        <f>[1]Discovery!B1958</f>
        <v>샤크만</v>
      </c>
      <c r="D1952" s="9" t="str">
        <f>[1]Discovery!E1958</f>
        <v>자연</v>
      </c>
      <c r="E1952" s="9" t="str">
        <f>[1]Discovery!C1958</f>
        <v>지리</v>
      </c>
      <c r="F1952" s="9" t="str">
        <f>[1]Discovery!G1958</f>
        <v>B</v>
      </c>
      <c r="G1952" s="9" t="str">
        <f>IFERROR(VLOOKUP(표1[[#This Row],[명칭]],'문화권 정리'!C:D,2,FALSE),"-")</f>
        <v>오세아니아</v>
      </c>
      <c r="H1952" s="38" t="str">
        <f>IFERROR(COUNTIF([2]OceanDoodad!$Y:$Y,표1[[#This Row],[명칭]]),"-")</f>
        <v>-</v>
      </c>
      <c r="I1952" s="38">
        <f>IFERROR(COUNTIF([1]AdventureDiscoveryGroup!$D$8:$AW$92,표1[[#This Row],[명칭]]),"-")</f>
        <v>0</v>
      </c>
      <c r="J1952" s="38">
        <f>IFERROR(COUNTIF([1]FishDiscoveryGroup!$A:$X,표1[[#This Row],[명칭]]),"-")</f>
        <v>0</v>
      </c>
      <c r="K1952" s="38" t="str">
        <f>IFERROR(COUNTIF([2]Town!$B:$B,표1[[#This Row],[명칭]]),"-")</f>
        <v>-</v>
      </c>
      <c r="L1952" s="38">
        <f>IFERROR(COUNTIF([1]Village!$BR:$BR,표1[[#This Row],[명칭]]),"-")</f>
        <v>0</v>
      </c>
      <c r="M1952" s="38">
        <f>COUNTIF(퀘스트!B:B,표1[[#This Row],[명칭]])</f>
        <v>0</v>
      </c>
      <c r="N1952" s="65">
        <f>COUNTIF([1]VillageDiscoveryGroup!$C:$C,표1[[#This Row],[명칭]])</f>
        <v>0</v>
      </c>
      <c r="O1952" s="65">
        <f>SUM(표1[[#This Row],[해양탐색]:[마을탐험]])</f>
        <v>0</v>
      </c>
    </row>
    <row r="1953" spans="2:15" ht="13.5" customHeight="1" x14ac:dyDescent="0.3">
      <c r="B1953" s="9">
        <f>[1]Discovery!A1959</f>
        <v>70413169</v>
      </c>
      <c r="C1953" s="9" t="str">
        <f>[1]Discovery!B1959</f>
        <v>서호</v>
      </c>
      <c r="D1953" s="9" t="str">
        <f>[1]Discovery!E1959</f>
        <v>자연</v>
      </c>
      <c r="E1953" s="9" t="str">
        <f>[1]Discovery!C1959</f>
        <v>지리</v>
      </c>
      <c r="F1953" s="9" t="str">
        <f>[1]Discovery!G1959</f>
        <v>B</v>
      </c>
      <c r="G1953" s="9" t="str">
        <f>IFERROR(VLOOKUP(표1[[#This Row],[명칭]],'문화권 정리'!C:D,2,FALSE),"-")</f>
        <v>동아시아</v>
      </c>
      <c r="H1953" s="38" t="str">
        <f>IFERROR(COUNTIF([2]OceanDoodad!$Y:$Y,표1[[#This Row],[명칭]]),"-")</f>
        <v>-</v>
      </c>
      <c r="I1953" s="38">
        <f>IFERROR(COUNTIF([1]AdventureDiscoveryGroup!$D$8:$AW$92,표1[[#This Row],[명칭]]),"-")</f>
        <v>0</v>
      </c>
      <c r="J1953" s="38">
        <f>IFERROR(COUNTIF([1]FishDiscoveryGroup!$A:$X,표1[[#This Row],[명칭]]),"-")</f>
        <v>0</v>
      </c>
      <c r="K1953" s="38" t="str">
        <f>IFERROR(COUNTIF([2]Town!$B:$B,표1[[#This Row],[명칭]]),"-")</f>
        <v>-</v>
      </c>
      <c r="L1953" s="38">
        <f>IFERROR(COUNTIF([1]Village!$BR:$BR,표1[[#This Row],[명칭]]),"-")</f>
        <v>0</v>
      </c>
      <c r="M1953" s="38">
        <f>COUNTIF(퀘스트!B:B,표1[[#This Row],[명칭]])</f>
        <v>0</v>
      </c>
      <c r="N1953" s="65">
        <f>COUNTIF([1]VillageDiscoveryGroup!$C:$C,표1[[#This Row],[명칭]])</f>
        <v>0</v>
      </c>
      <c r="O1953" s="65">
        <f>SUM(표1[[#This Row],[해양탐색]:[마을탐험]])</f>
        <v>0</v>
      </c>
    </row>
    <row r="1954" spans="2:15" ht="13.5" customHeight="1" x14ac:dyDescent="0.3">
      <c r="B1954" s="9">
        <f>[1]Discovery!A1960</f>
        <v>70413170</v>
      </c>
      <c r="C1954" s="9" t="str">
        <f>[1]Discovery!B1960</f>
        <v>스니우자이</v>
      </c>
      <c r="D1954" s="9" t="str">
        <f>[1]Discovery!E1960</f>
        <v>자연</v>
      </c>
      <c r="E1954" s="9" t="str">
        <f>[1]Discovery!C1960</f>
        <v>지리</v>
      </c>
      <c r="F1954" s="9" t="str">
        <f>[1]Discovery!G1960</f>
        <v>D</v>
      </c>
      <c r="G1954" s="9" t="str">
        <f>IFERROR(VLOOKUP(표1[[#This Row],[명칭]],'문화권 정리'!C:D,2,FALSE),"-")</f>
        <v>동아시아</v>
      </c>
      <c r="H1954" s="38" t="str">
        <f>IFERROR(COUNTIF([2]OceanDoodad!$Y:$Y,표1[[#This Row],[명칭]]),"-")</f>
        <v>-</v>
      </c>
      <c r="I1954" s="38">
        <f>IFERROR(COUNTIF([1]AdventureDiscoveryGroup!$D$8:$AW$92,표1[[#This Row],[명칭]]),"-")</f>
        <v>0</v>
      </c>
      <c r="J1954" s="38">
        <f>IFERROR(COUNTIF([1]FishDiscoveryGroup!$A:$X,표1[[#This Row],[명칭]]),"-")</f>
        <v>0</v>
      </c>
      <c r="K1954" s="38" t="str">
        <f>IFERROR(COUNTIF([2]Town!$B:$B,표1[[#This Row],[명칭]]),"-")</f>
        <v>-</v>
      </c>
      <c r="L1954" s="38">
        <f>IFERROR(COUNTIF([1]Village!$BR:$BR,표1[[#This Row],[명칭]]),"-")</f>
        <v>0</v>
      </c>
      <c r="M1954" s="38">
        <f>COUNTIF(퀘스트!B:B,표1[[#This Row],[명칭]])</f>
        <v>0</v>
      </c>
      <c r="N1954" s="65">
        <f>COUNTIF([1]VillageDiscoveryGroup!$C:$C,표1[[#This Row],[명칭]])</f>
        <v>0</v>
      </c>
      <c r="O1954" s="65">
        <f>SUM(표1[[#This Row],[해양탐색]:[마을탐험]])</f>
        <v>0</v>
      </c>
    </row>
    <row r="1955" spans="2:15" ht="13.5" customHeight="1" x14ac:dyDescent="0.3">
      <c r="B1955" s="9">
        <f>[1]Discovery!A1961</f>
        <v>70413171</v>
      </c>
      <c r="C1955" s="9" t="str">
        <f>[1]Discovery!B1961</f>
        <v>타구스 강</v>
      </c>
      <c r="D1955" s="9" t="str">
        <f>[1]Discovery!E1961</f>
        <v>자연</v>
      </c>
      <c r="E1955" s="9" t="str">
        <f>[1]Discovery!C1961</f>
        <v>지리</v>
      </c>
      <c r="F1955" s="9" t="str">
        <f>[1]Discovery!G1961</f>
        <v>D</v>
      </c>
      <c r="G1955" s="9" t="str">
        <f>IFERROR(VLOOKUP(표1[[#This Row],[명칭]],'문화권 정리'!C:D,2,FALSE),"-")</f>
        <v>지중해</v>
      </c>
      <c r="H1955" s="38" t="str">
        <f>IFERROR(COUNTIF([2]OceanDoodad!$Y:$Y,표1[[#This Row],[명칭]]),"-")</f>
        <v>-</v>
      </c>
      <c r="I1955" s="38">
        <f>IFERROR(COUNTIF([1]AdventureDiscoveryGroup!$D$8:$AW$92,표1[[#This Row],[명칭]]),"-")</f>
        <v>0</v>
      </c>
      <c r="J1955" s="38">
        <f>IFERROR(COUNTIF([1]FishDiscoveryGroup!$A:$X,표1[[#This Row],[명칭]]),"-")</f>
        <v>0</v>
      </c>
      <c r="K1955" s="38" t="str">
        <f>IFERROR(COUNTIF([2]Town!$B:$B,표1[[#This Row],[명칭]]),"-")</f>
        <v>-</v>
      </c>
      <c r="L1955" s="38">
        <f>IFERROR(COUNTIF([1]Village!$BR:$BR,표1[[#This Row],[명칭]]),"-")</f>
        <v>0</v>
      </c>
      <c r="M1955" s="38">
        <f>COUNTIF(퀘스트!B:B,표1[[#This Row],[명칭]])</f>
        <v>0</v>
      </c>
      <c r="N1955" s="65">
        <f>COUNTIF([1]VillageDiscoveryGroup!$C:$C,표1[[#This Row],[명칭]])</f>
        <v>0</v>
      </c>
      <c r="O1955" s="65">
        <f>SUM(표1[[#This Row],[해양탐색]:[마을탐험]])</f>
        <v>0</v>
      </c>
    </row>
    <row r="1956" spans="2:15" ht="13.5" customHeight="1" x14ac:dyDescent="0.3">
      <c r="B1956" s="9">
        <f>[1]Discovery!A1962</f>
        <v>70413172</v>
      </c>
      <c r="C1956" s="9" t="str">
        <f>[1]Discovery!B1962</f>
        <v>세네갈강</v>
      </c>
      <c r="D1956" s="9" t="str">
        <f>[1]Discovery!E1962</f>
        <v>자연</v>
      </c>
      <c r="E1956" s="9" t="str">
        <f>[1]Discovery!C1962</f>
        <v>지리</v>
      </c>
      <c r="F1956" s="9" t="str">
        <f>[1]Discovery!G1962</f>
        <v>D</v>
      </c>
      <c r="G1956" s="9" t="str">
        <f>IFERROR(VLOOKUP(표1[[#This Row],[명칭]],'문화권 정리'!C:D,2,FALSE),"-")</f>
        <v>서아프리카</v>
      </c>
      <c r="H1956" s="38" t="str">
        <f>IFERROR(COUNTIF([2]OceanDoodad!$Y:$Y,표1[[#This Row],[명칭]]),"-")</f>
        <v>-</v>
      </c>
      <c r="I1956" s="38">
        <f>IFERROR(COUNTIF([1]AdventureDiscoveryGroup!$D$8:$AW$92,표1[[#This Row],[명칭]]),"-")</f>
        <v>0</v>
      </c>
      <c r="J1956" s="38">
        <f>IFERROR(COUNTIF([1]FishDiscoveryGroup!$A:$X,표1[[#This Row],[명칭]]),"-")</f>
        <v>0</v>
      </c>
      <c r="K1956" s="38" t="str">
        <f>IFERROR(COUNTIF([2]Town!$B:$B,표1[[#This Row],[명칭]]),"-")</f>
        <v>-</v>
      </c>
      <c r="L1956" s="38">
        <f>IFERROR(COUNTIF([1]Village!$BR:$BR,표1[[#This Row],[명칭]]),"-")</f>
        <v>0</v>
      </c>
      <c r="M1956" s="38">
        <f>COUNTIF(퀘스트!B:B,표1[[#This Row],[명칭]])</f>
        <v>0</v>
      </c>
      <c r="N1956" s="65">
        <f>COUNTIF([1]VillageDiscoveryGroup!$C:$C,표1[[#This Row],[명칭]])</f>
        <v>0</v>
      </c>
      <c r="O1956" s="65">
        <f>SUM(표1[[#This Row],[해양탐색]:[마을탐험]])</f>
        <v>0</v>
      </c>
    </row>
    <row r="1957" spans="2:15" ht="13.5" customHeight="1" x14ac:dyDescent="0.3">
      <c r="B1957" s="9">
        <f>[1]Discovery!A1963</f>
        <v>70413173</v>
      </c>
      <c r="C1957" s="9" t="str">
        <f>[1]Discovery!B1963</f>
        <v>세노테</v>
      </c>
      <c r="D1957" s="9" t="str">
        <f>[1]Discovery!E1963</f>
        <v>자연</v>
      </c>
      <c r="E1957" s="9" t="str">
        <f>[1]Discovery!C1963</f>
        <v>지리</v>
      </c>
      <c r="F1957" s="9" t="str">
        <f>[1]Discovery!G1963</f>
        <v>S</v>
      </c>
      <c r="G1957" s="9" t="str">
        <f>IFERROR(VLOOKUP(표1[[#This Row],[명칭]],'문화권 정리'!C:D,2,FALSE),"-")</f>
        <v>중앙아메리카</v>
      </c>
      <c r="H1957" s="38" t="str">
        <f>IFERROR(COUNTIF([2]OceanDoodad!$Y:$Y,표1[[#This Row],[명칭]]),"-")</f>
        <v>-</v>
      </c>
      <c r="I1957" s="38">
        <f>IFERROR(COUNTIF([1]AdventureDiscoveryGroup!$D$8:$AW$92,표1[[#This Row],[명칭]]),"-")</f>
        <v>0</v>
      </c>
      <c r="J1957" s="38">
        <f>IFERROR(COUNTIF([1]FishDiscoveryGroup!$A:$X,표1[[#This Row],[명칭]]),"-")</f>
        <v>0</v>
      </c>
      <c r="K1957" s="38" t="str">
        <f>IFERROR(COUNTIF([2]Town!$B:$B,표1[[#This Row],[명칭]]),"-")</f>
        <v>-</v>
      </c>
      <c r="L1957" s="38">
        <f>IFERROR(COUNTIF([1]Village!$BR:$BR,표1[[#This Row],[명칭]]),"-")</f>
        <v>0</v>
      </c>
      <c r="M1957" s="38">
        <f>COUNTIF(퀘스트!B:B,표1[[#This Row],[명칭]])</f>
        <v>0</v>
      </c>
      <c r="N1957" s="65">
        <f>COUNTIF([1]VillageDiscoveryGroup!$C:$C,표1[[#This Row],[명칭]])</f>
        <v>0</v>
      </c>
      <c r="O1957" s="65">
        <f>SUM(표1[[#This Row],[해양탐색]:[마을탐험]])</f>
        <v>0</v>
      </c>
    </row>
    <row r="1958" spans="2:15" ht="13.5" customHeight="1" x14ac:dyDescent="0.3">
      <c r="B1958" s="9">
        <f>[1]Discovery!A1964</f>
        <v>70413174</v>
      </c>
      <c r="C1958" s="9" t="str">
        <f>[1]Discovery!B1964</f>
        <v>세로 리코</v>
      </c>
      <c r="D1958" s="9" t="str">
        <f>[1]Discovery!E1964</f>
        <v>자연</v>
      </c>
      <c r="E1958" s="9" t="str">
        <f>[1]Discovery!C1964</f>
        <v>지리</v>
      </c>
      <c r="F1958" s="9" t="str">
        <f>[1]Discovery!G1964</f>
        <v>B</v>
      </c>
      <c r="G1958" s="9" t="str">
        <f>IFERROR(VLOOKUP(표1[[#This Row],[명칭]],'문화권 정리'!C:D,2,FALSE),"-")</f>
        <v>남아메리카</v>
      </c>
      <c r="H1958" s="38" t="str">
        <f>IFERROR(COUNTIF([2]OceanDoodad!$Y:$Y,표1[[#This Row],[명칭]]),"-")</f>
        <v>-</v>
      </c>
      <c r="I1958" s="38">
        <f>IFERROR(COUNTIF([1]AdventureDiscoveryGroup!$D$8:$AW$92,표1[[#This Row],[명칭]]),"-")</f>
        <v>0</v>
      </c>
      <c r="J1958" s="38">
        <f>IFERROR(COUNTIF([1]FishDiscoveryGroup!$A:$X,표1[[#This Row],[명칭]]),"-")</f>
        <v>0</v>
      </c>
      <c r="K1958" s="38" t="str">
        <f>IFERROR(COUNTIF([2]Town!$B:$B,표1[[#This Row],[명칭]]),"-")</f>
        <v>-</v>
      </c>
      <c r="L1958" s="38">
        <f>IFERROR(COUNTIF([1]Village!$BR:$BR,표1[[#This Row],[명칭]]),"-")</f>
        <v>0</v>
      </c>
      <c r="M1958" s="38">
        <f>COUNTIF(퀘스트!B:B,표1[[#This Row],[명칭]])</f>
        <v>0</v>
      </c>
      <c r="N1958" s="65">
        <f>COUNTIF([1]VillageDiscoveryGroup!$C:$C,표1[[#This Row],[명칭]])</f>
        <v>0</v>
      </c>
      <c r="O1958" s="65">
        <f>SUM(표1[[#This Row],[해양탐색]:[마을탐험]])</f>
        <v>0</v>
      </c>
    </row>
    <row r="1959" spans="2:15" ht="13.5" customHeight="1" x14ac:dyDescent="0.3">
      <c r="B1959" s="9">
        <f>[1]Discovery!A1965</f>
        <v>70413175</v>
      </c>
      <c r="C1959" s="9" t="str">
        <f>[1]Discovery!B1965</f>
        <v>세부섬</v>
      </c>
      <c r="D1959" s="9" t="str">
        <f>[1]Discovery!E1965</f>
        <v>자연</v>
      </c>
      <c r="E1959" s="9" t="str">
        <f>[1]Discovery!C1965</f>
        <v>지리</v>
      </c>
      <c r="F1959" s="9" t="str">
        <f>[1]Discovery!G1965</f>
        <v>S</v>
      </c>
      <c r="G1959" s="9" t="str">
        <f>IFERROR(VLOOKUP(표1[[#This Row],[명칭]],'문화권 정리'!C:D,2,FALSE),"-")</f>
        <v>동남아시아</v>
      </c>
      <c r="H1959" s="38" t="str">
        <f>IFERROR(COUNTIF([2]OceanDoodad!$Y:$Y,표1[[#This Row],[명칭]]),"-")</f>
        <v>-</v>
      </c>
      <c r="I1959" s="38">
        <f>IFERROR(COUNTIF([1]AdventureDiscoveryGroup!$D$8:$AW$92,표1[[#This Row],[명칭]]),"-")</f>
        <v>0</v>
      </c>
      <c r="J1959" s="38">
        <f>IFERROR(COUNTIF([1]FishDiscoveryGroup!$A:$X,표1[[#This Row],[명칭]]),"-")</f>
        <v>0</v>
      </c>
      <c r="K1959" s="38" t="str">
        <f>IFERROR(COUNTIF([2]Town!$B:$B,표1[[#This Row],[명칭]]),"-")</f>
        <v>-</v>
      </c>
      <c r="L1959" s="38">
        <f>IFERROR(COUNTIF([1]Village!$BR:$BR,표1[[#This Row],[명칭]]),"-")</f>
        <v>0</v>
      </c>
      <c r="M1959" s="38">
        <f>COUNTIF(퀘스트!B:B,표1[[#This Row],[명칭]])</f>
        <v>0</v>
      </c>
      <c r="N1959" s="65">
        <f>COUNTIF([1]VillageDiscoveryGroup!$C:$C,표1[[#This Row],[명칭]])</f>
        <v>0</v>
      </c>
      <c r="O1959" s="65">
        <f>SUM(표1[[#This Row],[해양탐색]:[마을탐험]])</f>
        <v>0</v>
      </c>
    </row>
    <row r="1960" spans="2:15" ht="13.5" customHeight="1" x14ac:dyDescent="0.3">
      <c r="B1960" s="9">
        <f>[1]Discovery!A1966</f>
        <v>70413176</v>
      </c>
      <c r="C1960" s="9" t="str">
        <f>[1]Discovery!B1966</f>
        <v>세이셸 제도</v>
      </c>
      <c r="D1960" s="9" t="str">
        <f>[1]Discovery!E1966</f>
        <v>자연</v>
      </c>
      <c r="E1960" s="9" t="str">
        <f>[1]Discovery!C1966</f>
        <v>지리</v>
      </c>
      <c r="F1960" s="9" t="str">
        <f>[1]Discovery!G1966</f>
        <v>C</v>
      </c>
      <c r="G1960" s="9" t="str">
        <f>IFERROR(VLOOKUP(표1[[#This Row],[명칭]],'문화권 정리'!C:D,2,FALSE),"-")</f>
        <v>동아프리카</v>
      </c>
      <c r="H1960" s="38" t="str">
        <f>IFERROR(COUNTIF([2]OceanDoodad!$Y:$Y,표1[[#This Row],[명칭]]),"-")</f>
        <v>-</v>
      </c>
      <c r="I1960" s="38">
        <f>IFERROR(COUNTIF([1]AdventureDiscoveryGroup!$D$8:$AW$92,표1[[#This Row],[명칭]]),"-")</f>
        <v>0</v>
      </c>
      <c r="J1960" s="38">
        <f>IFERROR(COUNTIF([1]FishDiscoveryGroup!$A:$X,표1[[#This Row],[명칭]]),"-")</f>
        <v>0</v>
      </c>
      <c r="K1960" s="38" t="str">
        <f>IFERROR(COUNTIF([2]Town!$B:$B,표1[[#This Row],[명칭]]),"-")</f>
        <v>-</v>
      </c>
      <c r="L1960" s="38">
        <f>IFERROR(COUNTIF([1]Village!$BR:$BR,표1[[#This Row],[명칭]]),"-")</f>
        <v>0</v>
      </c>
      <c r="M1960" s="38">
        <f>COUNTIF(퀘스트!B:B,표1[[#This Row],[명칭]])</f>
        <v>0</v>
      </c>
      <c r="N1960" s="65">
        <f>COUNTIF([1]VillageDiscoveryGroup!$C:$C,표1[[#This Row],[명칭]])</f>
        <v>0</v>
      </c>
      <c r="O1960" s="65">
        <f>SUM(표1[[#This Row],[해양탐색]:[마을탐험]])</f>
        <v>0</v>
      </c>
    </row>
    <row r="1961" spans="2:15" ht="13.5" customHeight="1" x14ac:dyDescent="0.3">
      <c r="B1961" s="9">
        <f>[1]Discovery!A1967</f>
        <v>70413177</v>
      </c>
      <c r="C1961" s="9" t="str">
        <f>[1]Discovery!B1967</f>
        <v>세인트로렌스강</v>
      </c>
      <c r="D1961" s="9" t="str">
        <f>[1]Discovery!E1967</f>
        <v>자연</v>
      </c>
      <c r="E1961" s="9" t="str">
        <f>[1]Discovery!C1967</f>
        <v>지리</v>
      </c>
      <c r="F1961" s="9" t="str">
        <f>[1]Discovery!G1967</f>
        <v>B</v>
      </c>
      <c r="G1961" s="9" t="str">
        <f>IFERROR(VLOOKUP(표1[[#This Row],[명칭]],'문화권 정리'!C:D,2,FALSE),"-")</f>
        <v>북아메리카</v>
      </c>
      <c r="H1961" s="38" t="str">
        <f>IFERROR(COUNTIF([2]OceanDoodad!$Y:$Y,표1[[#This Row],[명칭]]),"-")</f>
        <v>-</v>
      </c>
      <c r="I1961" s="38">
        <f>IFERROR(COUNTIF([1]AdventureDiscoveryGroup!$D$8:$AW$92,표1[[#This Row],[명칭]]),"-")</f>
        <v>0</v>
      </c>
      <c r="J1961" s="38">
        <f>IFERROR(COUNTIF([1]FishDiscoveryGroup!$A:$X,표1[[#This Row],[명칭]]),"-")</f>
        <v>0</v>
      </c>
      <c r="K1961" s="38" t="str">
        <f>IFERROR(COUNTIF([2]Town!$B:$B,표1[[#This Row],[명칭]]),"-")</f>
        <v>-</v>
      </c>
      <c r="L1961" s="38">
        <f>IFERROR(COUNTIF([1]Village!$BR:$BR,표1[[#This Row],[명칭]]),"-")</f>
        <v>0</v>
      </c>
      <c r="M1961" s="38">
        <f>COUNTIF(퀘스트!B:B,표1[[#This Row],[명칭]])</f>
        <v>0</v>
      </c>
      <c r="N1961" s="65">
        <f>COUNTIF([1]VillageDiscoveryGroup!$C:$C,표1[[#This Row],[명칭]])</f>
        <v>0</v>
      </c>
      <c r="O1961" s="65">
        <f>SUM(표1[[#This Row],[해양탐색]:[마을탐험]])</f>
        <v>0</v>
      </c>
    </row>
    <row r="1962" spans="2:15" ht="13.5" customHeight="1" x14ac:dyDescent="0.3">
      <c r="B1962" s="9">
        <f>[1]Discovery!A1968</f>
        <v>70413178</v>
      </c>
      <c r="C1962" s="9" t="str">
        <f>[1]Discovery!B1968</f>
        <v>세인트로렌스섬</v>
      </c>
      <c r="D1962" s="9" t="str">
        <f>[1]Discovery!E1968</f>
        <v>자연</v>
      </c>
      <c r="E1962" s="9" t="str">
        <f>[1]Discovery!C1968</f>
        <v>지리</v>
      </c>
      <c r="F1962" s="9" t="str">
        <f>[1]Discovery!G1968</f>
        <v>B</v>
      </c>
      <c r="G1962" s="9" t="str">
        <f>IFERROR(VLOOKUP(표1[[#This Row],[명칭]],'문화권 정리'!C:D,2,FALSE),"-")</f>
        <v>북아메리카</v>
      </c>
      <c r="H1962" s="38" t="str">
        <f>IFERROR(COUNTIF([2]OceanDoodad!$Y:$Y,표1[[#This Row],[명칭]]),"-")</f>
        <v>-</v>
      </c>
      <c r="I1962" s="38">
        <f>IFERROR(COUNTIF([1]AdventureDiscoveryGroup!$D$8:$AW$92,표1[[#This Row],[명칭]]),"-")</f>
        <v>0</v>
      </c>
      <c r="J1962" s="38">
        <f>IFERROR(COUNTIF([1]FishDiscoveryGroup!$A:$X,표1[[#This Row],[명칭]]),"-")</f>
        <v>0</v>
      </c>
      <c r="K1962" s="38" t="str">
        <f>IFERROR(COUNTIF([2]Town!$B:$B,표1[[#This Row],[명칭]]),"-")</f>
        <v>-</v>
      </c>
      <c r="L1962" s="38">
        <f>IFERROR(COUNTIF([1]Village!$BR:$BR,표1[[#This Row],[명칭]]),"-")</f>
        <v>0</v>
      </c>
      <c r="M1962" s="38">
        <f>COUNTIF(퀘스트!B:B,표1[[#This Row],[명칭]])</f>
        <v>0</v>
      </c>
      <c r="N1962" s="65">
        <f>COUNTIF([1]VillageDiscoveryGroup!$C:$C,표1[[#This Row],[명칭]])</f>
        <v>0</v>
      </c>
      <c r="O1962" s="65">
        <f>SUM(표1[[#This Row],[해양탐색]:[마을탐험]])</f>
        <v>0</v>
      </c>
    </row>
    <row r="1963" spans="2:15" ht="13.5" customHeight="1" x14ac:dyDescent="0.3">
      <c r="B1963" s="9">
        <f>[1]Discovery!A1969</f>
        <v>70413179</v>
      </c>
      <c r="C1963" s="9" t="str">
        <f>[1]Discovery!B1969</f>
        <v>세인트헬레나</v>
      </c>
      <c r="D1963" s="9" t="str">
        <f>[1]Discovery!E1969</f>
        <v>자연</v>
      </c>
      <c r="E1963" s="9" t="str">
        <f>[1]Discovery!C1969</f>
        <v>지리</v>
      </c>
      <c r="F1963" s="9" t="str">
        <f>[1]Discovery!G1969</f>
        <v>B</v>
      </c>
      <c r="G1963" s="9" t="str">
        <f>IFERROR(VLOOKUP(표1[[#This Row],[명칭]],'문화권 정리'!C:D,2,FALSE),"-")</f>
        <v>서아프리카</v>
      </c>
      <c r="H1963" s="38" t="str">
        <f>IFERROR(COUNTIF([2]OceanDoodad!$Y:$Y,표1[[#This Row],[명칭]]),"-")</f>
        <v>-</v>
      </c>
      <c r="I1963" s="38">
        <f>IFERROR(COUNTIF([1]AdventureDiscoveryGroup!$D$8:$AW$92,표1[[#This Row],[명칭]]),"-")</f>
        <v>0</v>
      </c>
      <c r="J1963" s="38">
        <f>IFERROR(COUNTIF([1]FishDiscoveryGroup!$A:$X,표1[[#This Row],[명칭]]),"-")</f>
        <v>0</v>
      </c>
      <c r="K1963" s="38" t="str">
        <f>IFERROR(COUNTIF([2]Town!$B:$B,표1[[#This Row],[명칭]]),"-")</f>
        <v>-</v>
      </c>
      <c r="L1963" s="38">
        <f>IFERROR(COUNTIF([1]Village!$BR:$BR,표1[[#This Row],[명칭]]),"-")</f>
        <v>0</v>
      </c>
      <c r="M1963" s="38">
        <f>COUNTIF(퀘스트!B:B,표1[[#This Row],[명칭]])</f>
        <v>0</v>
      </c>
      <c r="N1963" s="65">
        <f>COUNTIF([1]VillageDiscoveryGroup!$C:$C,표1[[#This Row],[명칭]])</f>
        <v>0</v>
      </c>
      <c r="O1963" s="65">
        <f>SUM(표1[[#This Row],[해양탐색]:[마을탐험]])</f>
        <v>0</v>
      </c>
    </row>
    <row r="1964" spans="2:15" ht="13.5" customHeight="1" x14ac:dyDescent="0.3">
      <c r="B1964" s="9">
        <f>[1]Discovery!A1970</f>
        <v>70413180</v>
      </c>
      <c r="C1964" s="9" t="str">
        <f>[1]Discovery!B1970</f>
        <v>셀레베스섬</v>
      </c>
      <c r="D1964" s="9" t="str">
        <f>[1]Discovery!E1970</f>
        <v>자연</v>
      </c>
      <c r="E1964" s="9" t="str">
        <f>[1]Discovery!C1970</f>
        <v>지리</v>
      </c>
      <c r="F1964" s="9" t="str">
        <f>[1]Discovery!G1970</f>
        <v>B</v>
      </c>
      <c r="G1964" s="9" t="str">
        <f>IFERROR(VLOOKUP(표1[[#This Row],[명칭]],'문화권 정리'!C:D,2,FALSE),"-")</f>
        <v>동남아시아</v>
      </c>
      <c r="H1964" s="38" t="str">
        <f>IFERROR(COUNTIF([2]OceanDoodad!$Y:$Y,표1[[#This Row],[명칭]]),"-")</f>
        <v>-</v>
      </c>
      <c r="I1964" s="38">
        <f>IFERROR(COUNTIF([1]AdventureDiscoveryGroup!$D$8:$AW$92,표1[[#This Row],[명칭]]),"-")</f>
        <v>0</v>
      </c>
      <c r="J1964" s="38">
        <f>IFERROR(COUNTIF([1]FishDiscoveryGroup!$A:$X,표1[[#This Row],[명칭]]),"-")</f>
        <v>0</v>
      </c>
      <c r="K1964" s="38" t="str">
        <f>IFERROR(COUNTIF([2]Town!$B:$B,표1[[#This Row],[명칭]]),"-")</f>
        <v>-</v>
      </c>
      <c r="L1964" s="38">
        <f>IFERROR(COUNTIF([1]Village!$BR:$BR,표1[[#This Row],[명칭]]),"-")</f>
        <v>0</v>
      </c>
      <c r="M1964" s="38">
        <f>COUNTIF(퀘스트!B:B,표1[[#This Row],[명칭]])</f>
        <v>0</v>
      </c>
      <c r="N1964" s="65">
        <f>COUNTIF([1]VillageDiscoveryGroup!$C:$C,표1[[#This Row],[명칭]])</f>
        <v>0</v>
      </c>
      <c r="O1964" s="65">
        <f>SUM(표1[[#This Row],[해양탐색]:[마을탐험]])</f>
        <v>0</v>
      </c>
    </row>
    <row r="1965" spans="2:15" ht="13.5" customHeight="1" x14ac:dyDescent="0.3">
      <c r="B1965" s="9">
        <f>[1]Discovery!A1971</f>
        <v>70413181</v>
      </c>
      <c r="C1965" s="9" t="str">
        <f>[1]Discovery!B1971</f>
        <v>셀레베스해</v>
      </c>
      <c r="D1965" s="9" t="str">
        <f>[1]Discovery!E1971</f>
        <v>자연</v>
      </c>
      <c r="E1965" s="9" t="str">
        <f>[1]Discovery!C1971</f>
        <v>지리</v>
      </c>
      <c r="F1965" s="9" t="str">
        <f>[1]Discovery!G1971</f>
        <v>D</v>
      </c>
      <c r="G1965" s="9" t="str">
        <f>IFERROR(VLOOKUP(표1[[#This Row],[명칭]],'문화권 정리'!C:D,2,FALSE),"-")</f>
        <v>동남아시아</v>
      </c>
      <c r="H1965" s="38" t="str">
        <f>IFERROR(COUNTIF([2]OceanDoodad!$Y:$Y,표1[[#This Row],[명칭]]),"-")</f>
        <v>-</v>
      </c>
      <c r="I1965" s="38">
        <f>IFERROR(COUNTIF([1]AdventureDiscoveryGroup!$D$8:$AW$92,표1[[#This Row],[명칭]]),"-")</f>
        <v>0</v>
      </c>
      <c r="J1965" s="38">
        <f>IFERROR(COUNTIF([1]FishDiscoveryGroup!$A:$X,표1[[#This Row],[명칭]]),"-")</f>
        <v>0</v>
      </c>
      <c r="K1965" s="38" t="str">
        <f>IFERROR(COUNTIF([2]Town!$B:$B,표1[[#This Row],[명칭]]),"-")</f>
        <v>-</v>
      </c>
      <c r="L1965" s="38">
        <f>IFERROR(COUNTIF([1]Village!$BR:$BR,표1[[#This Row],[명칭]]),"-")</f>
        <v>0</v>
      </c>
      <c r="M1965" s="38">
        <f>COUNTIF(퀘스트!B:B,표1[[#This Row],[명칭]])</f>
        <v>0</v>
      </c>
      <c r="N1965" s="65">
        <f>COUNTIF([1]VillageDiscoveryGroup!$C:$C,표1[[#This Row],[명칭]])</f>
        <v>0</v>
      </c>
      <c r="O1965" s="65">
        <f>SUM(표1[[#This Row],[해양탐색]:[마을탐험]])</f>
        <v>0</v>
      </c>
    </row>
    <row r="1966" spans="2:15" ht="13.5" customHeight="1" x14ac:dyDescent="0.3">
      <c r="B1966" s="9">
        <f>[1]Discovery!A1972</f>
        <v>70413182</v>
      </c>
      <c r="C1966" s="9" t="str">
        <f>[1]Discovery!B1972</f>
        <v>셰틀랜드제도</v>
      </c>
      <c r="D1966" s="9" t="str">
        <f>[1]Discovery!E1972</f>
        <v>자연</v>
      </c>
      <c r="E1966" s="9" t="str">
        <f>[1]Discovery!C1972</f>
        <v>지리</v>
      </c>
      <c r="F1966" s="9" t="str">
        <f>[1]Discovery!G1972</f>
        <v>B</v>
      </c>
      <c r="G1966" s="9" t="str">
        <f>IFERROR(VLOOKUP(표1[[#This Row],[명칭]],'문화권 정리'!C:D,2,FALSE),"-")</f>
        <v>북유럽</v>
      </c>
      <c r="H1966" s="38" t="str">
        <f>IFERROR(COUNTIF([2]OceanDoodad!$Y:$Y,표1[[#This Row],[명칭]]),"-")</f>
        <v>-</v>
      </c>
      <c r="I1966" s="38">
        <f>IFERROR(COUNTIF([1]AdventureDiscoveryGroup!$D$8:$AW$92,표1[[#This Row],[명칭]]),"-")</f>
        <v>0</v>
      </c>
      <c r="J1966" s="38">
        <f>IFERROR(COUNTIF([1]FishDiscoveryGroup!$A:$X,표1[[#This Row],[명칭]]),"-")</f>
        <v>0</v>
      </c>
      <c r="K1966" s="38" t="str">
        <f>IFERROR(COUNTIF([2]Town!$B:$B,표1[[#This Row],[명칭]]),"-")</f>
        <v>-</v>
      </c>
      <c r="L1966" s="38">
        <f>IFERROR(COUNTIF([1]Village!$BR:$BR,표1[[#This Row],[명칭]]),"-")</f>
        <v>0</v>
      </c>
      <c r="M1966" s="38">
        <f>COUNTIF(퀘스트!B:B,표1[[#This Row],[명칭]])</f>
        <v>0</v>
      </c>
      <c r="N1966" s="65">
        <f>COUNTIF([1]VillageDiscoveryGroup!$C:$C,표1[[#This Row],[명칭]])</f>
        <v>0</v>
      </c>
      <c r="O1966" s="65">
        <f>SUM(표1[[#This Row],[해양탐색]:[마을탐험]])</f>
        <v>0</v>
      </c>
    </row>
    <row r="1967" spans="2:15" ht="13.5" customHeight="1" x14ac:dyDescent="0.3">
      <c r="B1967" s="9">
        <f>[1]Discovery!A1973</f>
        <v>70413183</v>
      </c>
      <c r="C1967" s="9" t="str">
        <f>[1]Discovery!B1973</f>
        <v>셸 비치</v>
      </c>
      <c r="D1967" s="9" t="str">
        <f>[1]Discovery!E1973</f>
        <v>자연</v>
      </c>
      <c r="E1967" s="9" t="str">
        <f>[1]Discovery!C1973</f>
        <v>지리</v>
      </c>
      <c r="F1967" s="9" t="str">
        <f>[1]Discovery!G1973</f>
        <v>S</v>
      </c>
      <c r="G1967" s="9" t="str">
        <f>IFERROR(VLOOKUP(표1[[#This Row],[명칭]],'문화권 정리'!C:D,2,FALSE),"-")</f>
        <v>오세아니아</v>
      </c>
      <c r="H1967" s="38" t="str">
        <f>IFERROR(COUNTIF([2]OceanDoodad!$Y:$Y,표1[[#This Row],[명칭]]),"-")</f>
        <v>-</v>
      </c>
      <c r="I1967" s="38">
        <f>IFERROR(COUNTIF([1]AdventureDiscoveryGroup!$D$8:$AW$92,표1[[#This Row],[명칭]]),"-")</f>
        <v>0</v>
      </c>
      <c r="J1967" s="38">
        <f>IFERROR(COUNTIF([1]FishDiscoveryGroup!$A:$X,표1[[#This Row],[명칭]]),"-")</f>
        <v>0</v>
      </c>
      <c r="K1967" s="38" t="str">
        <f>IFERROR(COUNTIF([2]Town!$B:$B,표1[[#This Row],[명칭]]),"-")</f>
        <v>-</v>
      </c>
      <c r="L1967" s="38">
        <f>IFERROR(COUNTIF([1]Village!$BR:$BR,표1[[#This Row],[명칭]]),"-")</f>
        <v>0</v>
      </c>
      <c r="M1967" s="38">
        <f>COUNTIF(퀘스트!B:B,표1[[#This Row],[명칭]])</f>
        <v>0</v>
      </c>
      <c r="N1967" s="65">
        <f>COUNTIF([1]VillageDiscoveryGroup!$C:$C,표1[[#This Row],[명칭]])</f>
        <v>0</v>
      </c>
      <c r="O1967" s="65">
        <f>SUM(표1[[#This Row],[해양탐색]:[마을탐험]])</f>
        <v>0</v>
      </c>
    </row>
    <row r="1968" spans="2:15" ht="13.5" customHeight="1" x14ac:dyDescent="0.3">
      <c r="B1968" s="9">
        <f>[1]Discovery!A1974</f>
        <v>70413184</v>
      </c>
      <c r="C1968" s="9" t="str">
        <f>[1]Discovery!B1974</f>
        <v>소순다열도</v>
      </c>
      <c r="D1968" s="9" t="str">
        <f>[1]Discovery!E1974</f>
        <v>자연</v>
      </c>
      <c r="E1968" s="9" t="str">
        <f>[1]Discovery!C1974</f>
        <v>지리</v>
      </c>
      <c r="F1968" s="9" t="str">
        <f>[1]Discovery!G1974</f>
        <v>C</v>
      </c>
      <c r="G1968" s="9" t="str">
        <f>IFERROR(VLOOKUP(표1[[#This Row],[명칭]],'문화권 정리'!C:D,2,FALSE),"-")</f>
        <v>동남아시아</v>
      </c>
      <c r="H1968" s="38" t="str">
        <f>IFERROR(COUNTIF([2]OceanDoodad!$Y:$Y,표1[[#This Row],[명칭]]),"-")</f>
        <v>-</v>
      </c>
      <c r="I1968" s="38">
        <f>IFERROR(COUNTIF([1]AdventureDiscoveryGroup!$D$8:$AW$92,표1[[#This Row],[명칭]]),"-")</f>
        <v>0</v>
      </c>
      <c r="J1968" s="38">
        <f>IFERROR(COUNTIF([1]FishDiscoveryGroup!$A:$X,표1[[#This Row],[명칭]]),"-")</f>
        <v>0</v>
      </c>
      <c r="K1968" s="38" t="str">
        <f>IFERROR(COUNTIF([2]Town!$B:$B,표1[[#This Row],[명칭]]),"-")</f>
        <v>-</v>
      </c>
      <c r="L1968" s="38">
        <f>IFERROR(COUNTIF([1]Village!$BR:$BR,표1[[#This Row],[명칭]]),"-")</f>
        <v>0</v>
      </c>
      <c r="M1968" s="38">
        <f>COUNTIF(퀘스트!B:B,표1[[#This Row],[명칭]])</f>
        <v>1</v>
      </c>
      <c r="N1968" s="65">
        <f>COUNTIF([1]VillageDiscoveryGroup!$C:$C,표1[[#This Row],[명칭]])</f>
        <v>0</v>
      </c>
      <c r="O1968" s="65">
        <f>SUM(표1[[#This Row],[해양탐색]:[마을탐험]])</f>
        <v>1</v>
      </c>
    </row>
    <row r="1969" spans="2:15" ht="13.5" customHeight="1" x14ac:dyDescent="0.3">
      <c r="B1969" s="9">
        <f>[1]Discovery!A1975</f>
        <v>70413185</v>
      </c>
      <c r="C1969" s="9" t="str">
        <f>[1]Discovery!B1975</f>
        <v>소코트라섬</v>
      </c>
      <c r="D1969" s="9" t="str">
        <f>[1]Discovery!E1975</f>
        <v>자연</v>
      </c>
      <c r="E1969" s="9" t="str">
        <f>[1]Discovery!C1975</f>
        <v>지리</v>
      </c>
      <c r="F1969" s="9" t="str">
        <f>[1]Discovery!G1975</f>
        <v>B</v>
      </c>
      <c r="G1969" s="9" t="str">
        <f>IFERROR(VLOOKUP(표1[[#This Row],[명칭]],'문화권 정리'!C:D,2,FALSE),"-")</f>
        <v>서남아시아</v>
      </c>
      <c r="H1969" s="38" t="str">
        <f>IFERROR(COUNTIF([2]OceanDoodad!$Y:$Y,표1[[#This Row],[명칭]]),"-")</f>
        <v>-</v>
      </c>
      <c r="I1969" s="38">
        <f>IFERROR(COUNTIF([1]AdventureDiscoveryGroup!$D$8:$AW$92,표1[[#This Row],[명칭]]),"-")</f>
        <v>0</v>
      </c>
      <c r="J1969" s="38">
        <f>IFERROR(COUNTIF([1]FishDiscoveryGroup!$A:$X,표1[[#This Row],[명칭]]),"-")</f>
        <v>0</v>
      </c>
      <c r="K1969" s="38" t="str">
        <f>IFERROR(COUNTIF([2]Town!$B:$B,표1[[#This Row],[명칭]]),"-")</f>
        <v>-</v>
      </c>
      <c r="L1969" s="38">
        <f>IFERROR(COUNTIF([1]Village!$BR:$BR,표1[[#This Row],[명칭]]),"-")</f>
        <v>0</v>
      </c>
      <c r="M1969" s="38">
        <f>COUNTIF(퀘스트!B:B,표1[[#This Row],[명칭]])</f>
        <v>0</v>
      </c>
      <c r="N1969" s="65">
        <f>COUNTIF([1]VillageDiscoveryGroup!$C:$C,표1[[#This Row],[명칭]])</f>
        <v>0</v>
      </c>
      <c r="O1969" s="65">
        <f>SUM(표1[[#This Row],[해양탐색]:[마을탐험]])</f>
        <v>0</v>
      </c>
    </row>
    <row r="1970" spans="2:15" ht="13.5" customHeight="1" x14ac:dyDescent="0.3">
      <c r="B1970" s="9">
        <f>[1]Discovery!A1976</f>
        <v>70413186</v>
      </c>
      <c r="C1970" s="9" t="str">
        <f>[1]Discovery!B1976</f>
        <v>솔로몬해</v>
      </c>
      <c r="D1970" s="9" t="str">
        <f>[1]Discovery!E1976</f>
        <v>자연</v>
      </c>
      <c r="E1970" s="9" t="str">
        <f>[1]Discovery!C1976</f>
        <v>지리</v>
      </c>
      <c r="F1970" s="9" t="str">
        <f>[1]Discovery!G1976</f>
        <v>B</v>
      </c>
      <c r="G1970" s="9" t="str">
        <f>IFERROR(VLOOKUP(표1[[#This Row],[명칭]],'문화권 정리'!C:D,2,FALSE),"-")</f>
        <v>태평양</v>
      </c>
      <c r="H1970" s="38" t="str">
        <f>IFERROR(COUNTIF([2]OceanDoodad!$Y:$Y,표1[[#This Row],[명칭]]),"-")</f>
        <v>-</v>
      </c>
      <c r="I1970" s="38">
        <f>IFERROR(COUNTIF([1]AdventureDiscoveryGroup!$D$8:$AW$92,표1[[#This Row],[명칭]]),"-")</f>
        <v>0</v>
      </c>
      <c r="J1970" s="38">
        <f>IFERROR(COUNTIF([1]FishDiscoveryGroup!$A:$X,표1[[#This Row],[명칭]]),"-")</f>
        <v>0</v>
      </c>
      <c r="K1970" s="38" t="str">
        <f>IFERROR(COUNTIF([2]Town!$B:$B,표1[[#This Row],[명칭]]),"-")</f>
        <v>-</v>
      </c>
      <c r="L1970" s="38">
        <f>IFERROR(COUNTIF([1]Village!$BR:$BR,표1[[#This Row],[명칭]]),"-")</f>
        <v>0</v>
      </c>
      <c r="M1970" s="38">
        <f>COUNTIF(퀘스트!B:B,표1[[#This Row],[명칭]])</f>
        <v>0</v>
      </c>
      <c r="N1970" s="65">
        <f>COUNTIF([1]VillageDiscoveryGroup!$C:$C,표1[[#This Row],[명칭]])</f>
        <v>0</v>
      </c>
      <c r="O1970" s="65">
        <f>SUM(표1[[#This Row],[해양탐색]:[마을탐험]])</f>
        <v>0</v>
      </c>
    </row>
    <row r="1971" spans="2:15" ht="13.5" customHeight="1" x14ac:dyDescent="0.3">
      <c r="B1971" s="9">
        <f>[1]Discovery!A1977</f>
        <v>70413187</v>
      </c>
      <c r="C1971" s="9" t="str">
        <f>[1]Discovery!B1977</f>
        <v>수마트라섬</v>
      </c>
      <c r="D1971" s="9" t="str">
        <f>[1]Discovery!E1977</f>
        <v>자연</v>
      </c>
      <c r="E1971" s="9" t="str">
        <f>[1]Discovery!C1977</f>
        <v>지리</v>
      </c>
      <c r="F1971" s="9" t="str">
        <f>[1]Discovery!G1977</f>
        <v>A</v>
      </c>
      <c r="G1971" s="9" t="str">
        <f>IFERROR(VLOOKUP(표1[[#This Row],[명칭]],'문화권 정리'!C:D,2,FALSE),"-")</f>
        <v>동남아시아</v>
      </c>
      <c r="H1971" s="38" t="str">
        <f>IFERROR(COUNTIF([2]OceanDoodad!$Y:$Y,표1[[#This Row],[명칭]]),"-")</f>
        <v>-</v>
      </c>
      <c r="I1971" s="38">
        <f>IFERROR(COUNTIF([1]AdventureDiscoveryGroup!$D$8:$AW$92,표1[[#This Row],[명칭]]),"-")</f>
        <v>0</v>
      </c>
      <c r="J1971" s="38">
        <f>IFERROR(COUNTIF([1]FishDiscoveryGroup!$A:$X,표1[[#This Row],[명칭]]),"-")</f>
        <v>0</v>
      </c>
      <c r="K1971" s="38" t="str">
        <f>IFERROR(COUNTIF([2]Town!$B:$B,표1[[#This Row],[명칭]]),"-")</f>
        <v>-</v>
      </c>
      <c r="L1971" s="38">
        <f>IFERROR(COUNTIF([1]Village!$BR:$BR,표1[[#This Row],[명칭]]),"-")</f>
        <v>0</v>
      </c>
      <c r="M1971" s="38">
        <f>COUNTIF(퀘스트!B:B,표1[[#This Row],[명칭]])</f>
        <v>0</v>
      </c>
      <c r="N1971" s="65">
        <f>COUNTIF([1]VillageDiscoveryGroup!$C:$C,표1[[#This Row],[명칭]])</f>
        <v>0</v>
      </c>
      <c r="O1971" s="65">
        <f>SUM(표1[[#This Row],[해양탐색]:[마을탐험]])</f>
        <v>0</v>
      </c>
    </row>
    <row r="1972" spans="2:15" ht="13.5" customHeight="1" x14ac:dyDescent="0.3">
      <c r="B1972" s="9">
        <f>[1]Discovery!A1978</f>
        <v>70413188</v>
      </c>
      <c r="C1972" s="9" t="str">
        <f>[1]Discovery!B1978</f>
        <v>순다해협</v>
      </c>
      <c r="D1972" s="9" t="str">
        <f>[1]Discovery!E1978</f>
        <v>자연</v>
      </c>
      <c r="E1972" s="9" t="str">
        <f>[1]Discovery!C1978</f>
        <v>지리</v>
      </c>
      <c r="F1972" s="9" t="str">
        <f>[1]Discovery!G1978</f>
        <v>C</v>
      </c>
      <c r="G1972" s="9" t="str">
        <f>IFERROR(VLOOKUP(표1[[#This Row],[명칭]],'문화권 정리'!C:D,2,FALSE),"-")</f>
        <v>동남아시아</v>
      </c>
      <c r="H1972" s="38" t="str">
        <f>IFERROR(COUNTIF([2]OceanDoodad!$Y:$Y,표1[[#This Row],[명칭]]),"-")</f>
        <v>-</v>
      </c>
      <c r="I1972" s="38">
        <f>IFERROR(COUNTIF([1]AdventureDiscoveryGroup!$D$8:$AW$92,표1[[#This Row],[명칭]]),"-")</f>
        <v>0</v>
      </c>
      <c r="J1972" s="38">
        <f>IFERROR(COUNTIF([1]FishDiscoveryGroup!$A:$X,표1[[#This Row],[명칭]]),"-")</f>
        <v>0</v>
      </c>
      <c r="K1972" s="38" t="str">
        <f>IFERROR(COUNTIF([2]Town!$B:$B,표1[[#This Row],[명칭]]),"-")</f>
        <v>-</v>
      </c>
      <c r="L1972" s="38">
        <f>IFERROR(COUNTIF([1]Village!$BR:$BR,표1[[#This Row],[명칭]]),"-")</f>
        <v>0</v>
      </c>
      <c r="M1972" s="38">
        <f>COUNTIF(퀘스트!B:B,표1[[#This Row],[명칭]])</f>
        <v>0</v>
      </c>
      <c r="N1972" s="65">
        <f>COUNTIF([1]VillageDiscoveryGroup!$C:$C,표1[[#This Row],[명칭]])</f>
        <v>0</v>
      </c>
      <c r="O1972" s="65">
        <f>SUM(표1[[#This Row],[해양탐색]:[마을탐험]])</f>
        <v>0</v>
      </c>
    </row>
    <row r="1973" spans="2:15" ht="13.5" customHeight="1" x14ac:dyDescent="0.3">
      <c r="B1973" s="9">
        <f>[1]Discovery!A1979</f>
        <v>70413189</v>
      </c>
      <c r="C1973" s="9" t="str">
        <f>[1]Discovery!B1979</f>
        <v>술루제도</v>
      </c>
      <c r="D1973" s="9" t="str">
        <f>[1]Discovery!E1979</f>
        <v>자연</v>
      </c>
      <c r="E1973" s="9" t="str">
        <f>[1]Discovery!C1979</f>
        <v>지리</v>
      </c>
      <c r="F1973" s="9" t="str">
        <f>[1]Discovery!G1979</f>
        <v>B</v>
      </c>
      <c r="G1973" s="9" t="str">
        <f>IFERROR(VLOOKUP(표1[[#This Row],[명칭]],'문화권 정리'!C:D,2,FALSE),"-")</f>
        <v>동남아시아</v>
      </c>
      <c r="H1973" s="38" t="str">
        <f>IFERROR(COUNTIF([2]OceanDoodad!$Y:$Y,표1[[#This Row],[명칭]]),"-")</f>
        <v>-</v>
      </c>
      <c r="I1973" s="38">
        <f>IFERROR(COUNTIF([1]AdventureDiscoveryGroup!$D$8:$AW$92,표1[[#This Row],[명칭]]),"-")</f>
        <v>0</v>
      </c>
      <c r="J1973" s="38">
        <f>IFERROR(COUNTIF([1]FishDiscoveryGroup!$A:$X,표1[[#This Row],[명칭]]),"-")</f>
        <v>0</v>
      </c>
      <c r="K1973" s="38" t="str">
        <f>IFERROR(COUNTIF([2]Town!$B:$B,표1[[#This Row],[명칭]]),"-")</f>
        <v>-</v>
      </c>
      <c r="L1973" s="38">
        <f>IFERROR(COUNTIF([1]Village!$BR:$BR,표1[[#This Row],[명칭]]),"-")</f>
        <v>0</v>
      </c>
      <c r="M1973" s="38">
        <f>COUNTIF(퀘스트!B:B,표1[[#This Row],[명칭]])</f>
        <v>0</v>
      </c>
      <c r="N1973" s="65">
        <f>COUNTIF([1]VillageDiscoveryGroup!$C:$C,표1[[#This Row],[명칭]])</f>
        <v>0</v>
      </c>
      <c r="O1973" s="65">
        <f>SUM(표1[[#This Row],[해양탐색]:[마을탐험]])</f>
        <v>0</v>
      </c>
    </row>
    <row r="1974" spans="2:15" ht="13.5" customHeight="1" x14ac:dyDescent="0.3">
      <c r="B1974" s="9">
        <f>[1]Discovery!A1980</f>
        <v>70413190</v>
      </c>
      <c r="C1974" s="9" t="str">
        <f>[1]Discovery!B1980</f>
        <v>술루해</v>
      </c>
      <c r="D1974" s="9" t="str">
        <f>[1]Discovery!E1980</f>
        <v>자연</v>
      </c>
      <c r="E1974" s="9" t="str">
        <f>[1]Discovery!C1980</f>
        <v>지리</v>
      </c>
      <c r="F1974" s="9" t="str">
        <f>[1]Discovery!G1980</f>
        <v>D</v>
      </c>
      <c r="G1974" s="9" t="str">
        <f>IFERROR(VLOOKUP(표1[[#This Row],[명칭]],'문화권 정리'!C:D,2,FALSE),"-")</f>
        <v>동남아시아</v>
      </c>
      <c r="H1974" s="38" t="str">
        <f>IFERROR(COUNTIF([2]OceanDoodad!$Y:$Y,표1[[#This Row],[명칭]]),"-")</f>
        <v>-</v>
      </c>
      <c r="I1974" s="38">
        <f>IFERROR(COUNTIF([1]AdventureDiscoveryGroup!$D$8:$AW$92,표1[[#This Row],[명칭]]),"-")</f>
        <v>0</v>
      </c>
      <c r="J1974" s="38">
        <f>IFERROR(COUNTIF([1]FishDiscoveryGroup!$A:$X,표1[[#This Row],[명칭]]),"-")</f>
        <v>0</v>
      </c>
      <c r="K1974" s="38" t="str">
        <f>IFERROR(COUNTIF([2]Town!$B:$B,표1[[#This Row],[명칭]]),"-")</f>
        <v>-</v>
      </c>
      <c r="L1974" s="38">
        <f>IFERROR(COUNTIF([1]Village!$BR:$BR,표1[[#This Row],[명칭]]),"-")</f>
        <v>0</v>
      </c>
      <c r="M1974" s="38">
        <f>COUNTIF(퀘스트!B:B,표1[[#This Row],[명칭]])</f>
        <v>0</v>
      </c>
      <c r="N1974" s="65">
        <f>COUNTIF([1]VillageDiscoveryGroup!$C:$C,표1[[#This Row],[명칭]])</f>
        <v>0</v>
      </c>
      <c r="O1974" s="65">
        <f>SUM(표1[[#This Row],[해양탐색]:[마을탐험]])</f>
        <v>0</v>
      </c>
    </row>
    <row r="1975" spans="2:15" ht="13.5" customHeight="1" x14ac:dyDescent="0.3">
      <c r="B1975" s="9">
        <f>[1]Discovery!A1981</f>
        <v>70413191</v>
      </c>
      <c r="C1975" s="9" t="str">
        <f>[1]Discovery!B1981</f>
        <v>쉐산산맥</v>
      </c>
      <c r="D1975" s="9" t="str">
        <f>[1]Discovery!E1981</f>
        <v>자연</v>
      </c>
      <c r="E1975" s="9" t="str">
        <f>[1]Discovery!C1981</f>
        <v>지리</v>
      </c>
      <c r="F1975" s="9" t="str">
        <f>[1]Discovery!G1981</f>
        <v>C</v>
      </c>
      <c r="G1975" s="9" t="str">
        <f>IFERROR(VLOOKUP(표1[[#This Row],[명칭]],'문화권 정리'!C:D,2,FALSE),"-")</f>
        <v>동아시아</v>
      </c>
      <c r="H1975" s="38" t="str">
        <f>IFERROR(COUNTIF([2]OceanDoodad!$Y:$Y,표1[[#This Row],[명칭]]),"-")</f>
        <v>-</v>
      </c>
      <c r="I1975" s="38">
        <f>IFERROR(COUNTIF([1]AdventureDiscoveryGroup!$D$8:$AW$92,표1[[#This Row],[명칭]]),"-")</f>
        <v>0</v>
      </c>
      <c r="J1975" s="38">
        <f>IFERROR(COUNTIF([1]FishDiscoveryGroup!$A:$X,표1[[#This Row],[명칭]]),"-")</f>
        <v>0</v>
      </c>
      <c r="K1975" s="38" t="str">
        <f>IFERROR(COUNTIF([2]Town!$B:$B,표1[[#This Row],[명칭]]),"-")</f>
        <v>-</v>
      </c>
      <c r="L1975" s="38">
        <f>IFERROR(COUNTIF([1]Village!$BR:$BR,표1[[#This Row],[명칭]]),"-")</f>
        <v>0</v>
      </c>
      <c r="M1975" s="38">
        <f>COUNTIF(퀘스트!B:B,표1[[#This Row],[명칭]])</f>
        <v>0</v>
      </c>
      <c r="N1975" s="65">
        <f>COUNTIF([1]VillageDiscoveryGroup!$C:$C,표1[[#This Row],[명칭]])</f>
        <v>0</v>
      </c>
      <c r="O1975" s="65">
        <f>SUM(표1[[#This Row],[해양탐색]:[마을탐험]])</f>
        <v>0</v>
      </c>
    </row>
    <row r="1976" spans="2:15" ht="13.5" customHeight="1" x14ac:dyDescent="0.3">
      <c r="B1976" s="9">
        <f>[1]Discovery!A1982</f>
        <v>70413192</v>
      </c>
      <c r="C1976" s="9" t="str">
        <f>[1]Discovery!B1982</f>
        <v>스구앵 과이</v>
      </c>
      <c r="D1976" s="9" t="str">
        <f>[1]Discovery!E1982</f>
        <v>자연</v>
      </c>
      <c r="E1976" s="9" t="str">
        <f>[1]Discovery!C1982</f>
        <v>지리</v>
      </c>
      <c r="F1976" s="9" t="str">
        <f>[1]Discovery!G1982</f>
        <v>B</v>
      </c>
      <c r="G1976" s="9" t="str">
        <f>IFERROR(VLOOKUP(표1[[#This Row],[명칭]],'문화권 정리'!C:D,2,FALSE),"-")</f>
        <v>북아메리카</v>
      </c>
      <c r="H1976" s="38" t="str">
        <f>IFERROR(COUNTIF([2]OceanDoodad!$Y:$Y,표1[[#This Row],[명칭]]),"-")</f>
        <v>-</v>
      </c>
      <c r="I1976" s="38">
        <f>IFERROR(COUNTIF([1]AdventureDiscoveryGroup!$D$8:$AW$92,표1[[#This Row],[명칭]]),"-")</f>
        <v>0</v>
      </c>
      <c r="J1976" s="38">
        <f>IFERROR(COUNTIF([1]FishDiscoveryGroup!$A:$X,표1[[#This Row],[명칭]]),"-")</f>
        <v>0</v>
      </c>
      <c r="K1976" s="38" t="str">
        <f>IFERROR(COUNTIF([2]Town!$B:$B,표1[[#This Row],[명칭]]),"-")</f>
        <v>-</v>
      </c>
      <c r="L1976" s="38">
        <f>IFERROR(COUNTIF([1]Village!$BR:$BR,표1[[#This Row],[명칭]]),"-")</f>
        <v>0</v>
      </c>
      <c r="M1976" s="38">
        <f>COUNTIF(퀘스트!B:B,표1[[#This Row],[명칭]])</f>
        <v>0</v>
      </c>
      <c r="N1976" s="65">
        <f>COUNTIF([1]VillageDiscoveryGroup!$C:$C,표1[[#This Row],[명칭]])</f>
        <v>0</v>
      </c>
      <c r="O1976" s="65">
        <f>SUM(표1[[#This Row],[해양탐색]:[마을탐험]])</f>
        <v>0</v>
      </c>
    </row>
    <row r="1977" spans="2:15" ht="13.5" customHeight="1" x14ac:dyDescent="0.3">
      <c r="B1977" s="9">
        <f>[1]Discovery!A1983</f>
        <v>70413193</v>
      </c>
      <c r="C1977" s="9" t="str">
        <f>[1]Discovery!B1983</f>
        <v>스카이섬</v>
      </c>
      <c r="D1977" s="9" t="str">
        <f>[1]Discovery!E1983</f>
        <v>자연</v>
      </c>
      <c r="E1977" s="9" t="str">
        <f>[1]Discovery!C1983</f>
        <v>지리</v>
      </c>
      <c r="F1977" s="9" t="str">
        <f>[1]Discovery!G1983</f>
        <v>C</v>
      </c>
      <c r="G1977" s="9" t="str">
        <f>IFERROR(VLOOKUP(표1[[#This Row],[명칭]],'문화권 정리'!C:D,2,FALSE),"-")</f>
        <v>브리튼</v>
      </c>
      <c r="H1977" s="38" t="str">
        <f>IFERROR(COUNTIF([2]OceanDoodad!$Y:$Y,표1[[#This Row],[명칭]]),"-")</f>
        <v>-</v>
      </c>
      <c r="I1977" s="38">
        <f>IFERROR(COUNTIF([1]AdventureDiscoveryGroup!$D$8:$AW$92,표1[[#This Row],[명칭]]),"-")</f>
        <v>0</v>
      </c>
      <c r="J1977" s="38">
        <f>IFERROR(COUNTIF([1]FishDiscoveryGroup!$A:$X,표1[[#This Row],[명칭]]),"-")</f>
        <v>0</v>
      </c>
      <c r="K1977" s="38" t="str">
        <f>IFERROR(COUNTIF([2]Town!$B:$B,표1[[#This Row],[명칭]]),"-")</f>
        <v>-</v>
      </c>
      <c r="L1977" s="38">
        <f>IFERROR(COUNTIF([1]Village!$BR:$BR,표1[[#This Row],[명칭]]),"-")</f>
        <v>0</v>
      </c>
      <c r="M1977" s="38">
        <f>COUNTIF(퀘스트!B:B,표1[[#This Row],[명칭]])</f>
        <v>0</v>
      </c>
      <c r="N1977" s="65">
        <f>COUNTIF([1]VillageDiscoveryGroup!$C:$C,표1[[#This Row],[명칭]])</f>
        <v>0</v>
      </c>
      <c r="O1977" s="65">
        <f>SUM(표1[[#This Row],[해양탐색]:[마을탐험]])</f>
        <v>0</v>
      </c>
    </row>
    <row r="1978" spans="2:15" ht="13.5" customHeight="1" x14ac:dyDescent="0.3">
      <c r="B1978" s="9">
        <f>[1]Discovery!A1984</f>
        <v>70413194</v>
      </c>
      <c r="C1978" s="9" t="str">
        <f>[1]Discovery!B1984</f>
        <v>스칸디나비아반도</v>
      </c>
      <c r="D1978" s="9" t="str">
        <f>[1]Discovery!E1984</f>
        <v>자연</v>
      </c>
      <c r="E1978" s="9" t="str">
        <f>[1]Discovery!C1984</f>
        <v>지리</v>
      </c>
      <c r="F1978" s="9" t="str">
        <f>[1]Discovery!G1984</f>
        <v>C</v>
      </c>
      <c r="G1978" s="9" t="str">
        <f>IFERROR(VLOOKUP(표1[[#This Row],[명칭]],'문화권 정리'!C:D,2,FALSE),"-")</f>
        <v>북유럽</v>
      </c>
      <c r="H1978" s="38" t="str">
        <f>IFERROR(COUNTIF([2]OceanDoodad!$Y:$Y,표1[[#This Row],[명칭]]),"-")</f>
        <v>-</v>
      </c>
      <c r="I1978" s="38">
        <f>IFERROR(COUNTIF([1]AdventureDiscoveryGroup!$D$8:$AW$92,표1[[#This Row],[명칭]]),"-")</f>
        <v>0</v>
      </c>
      <c r="J1978" s="38">
        <f>IFERROR(COUNTIF([1]FishDiscoveryGroup!$A:$X,표1[[#This Row],[명칭]]),"-")</f>
        <v>0</v>
      </c>
      <c r="K1978" s="38" t="str">
        <f>IFERROR(COUNTIF([2]Town!$B:$B,표1[[#This Row],[명칭]]),"-")</f>
        <v>-</v>
      </c>
      <c r="L1978" s="38">
        <f>IFERROR(COUNTIF([1]Village!$BR:$BR,표1[[#This Row],[명칭]]),"-")</f>
        <v>0</v>
      </c>
      <c r="M1978" s="38">
        <f>COUNTIF(퀘스트!B:B,표1[[#This Row],[명칭]])</f>
        <v>1</v>
      </c>
      <c r="N1978" s="65">
        <f>COUNTIF([1]VillageDiscoveryGroup!$C:$C,표1[[#This Row],[명칭]])</f>
        <v>0</v>
      </c>
      <c r="O1978" s="65">
        <f>SUM(표1[[#This Row],[해양탐색]:[마을탐험]])</f>
        <v>1</v>
      </c>
    </row>
    <row r="1979" spans="2:15" ht="13.5" customHeight="1" x14ac:dyDescent="0.3">
      <c r="B1979" s="9">
        <f>[1]Discovery!A1985</f>
        <v>70413195</v>
      </c>
      <c r="C1979" s="9" t="str">
        <f>[1]Discovery!B1985</f>
        <v>스켈리그 마이클</v>
      </c>
      <c r="D1979" s="9" t="str">
        <f>[1]Discovery!E1985</f>
        <v>자연</v>
      </c>
      <c r="E1979" s="9" t="str">
        <f>[1]Discovery!C1985</f>
        <v>지리</v>
      </c>
      <c r="F1979" s="9" t="str">
        <f>[1]Discovery!G1985</f>
        <v>A</v>
      </c>
      <c r="G1979" s="9" t="str">
        <f>IFERROR(VLOOKUP(표1[[#This Row],[명칭]],'문화권 정리'!C:D,2,FALSE),"-")</f>
        <v>브리튼</v>
      </c>
      <c r="H1979" s="38" t="str">
        <f>IFERROR(COUNTIF([2]OceanDoodad!$Y:$Y,표1[[#This Row],[명칭]]),"-")</f>
        <v>-</v>
      </c>
      <c r="I1979" s="38">
        <f>IFERROR(COUNTIF([1]AdventureDiscoveryGroup!$D$8:$AW$92,표1[[#This Row],[명칭]]),"-")</f>
        <v>0</v>
      </c>
      <c r="J1979" s="38">
        <f>IFERROR(COUNTIF([1]FishDiscoveryGroup!$A:$X,표1[[#This Row],[명칭]]),"-")</f>
        <v>0</v>
      </c>
      <c r="K1979" s="38" t="str">
        <f>IFERROR(COUNTIF([2]Town!$B:$B,표1[[#This Row],[명칭]]),"-")</f>
        <v>-</v>
      </c>
      <c r="L1979" s="38">
        <f>IFERROR(COUNTIF([1]Village!$BR:$BR,표1[[#This Row],[명칭]]),"-")</f>
        <v>0</v>
      </c>
      <c r="M1979" s="38">
        <f>COUNTIF(퀘스트!B:B,표1[[#This Row],[명칭]])</f>
        <v>0</v>
      </c>
      <c r="N1979" s="65">
        <f>COUNTIF([1]VillageDiscoveryGroup!$C:$C,표1[[#This Row],[명칭]])</f>
        <v>0</v>
      </c>
      <c r="O1979" s="65">
        <f>SUM(표1[[#This Row],[해양탐색]:[마을탐험]])</f>
        <v>0</v>
      </c>
    </row>
    <row r="1980" spans="2:15" ht="13.5" customHeight="1" x14ac:dyDescent="0.3">
      <c r="B1980" s="9">
        <f>[1]Discovery!A1986</f>
        <v>70413196</v>
      </c>
      <c r="C1980" s="9" t="str">
        <f>[1]Discovery!B1986</f>
        <v>스펜서만</v>
      </c>
      <c r="D1980" s="9" t="str">
        <f>[1]Discovery!E1986</f>
        <v>자연</v>
      </c>
      <c r="E1980" s="9" t="str">
        <f>[1]Discovery!C1986</f>
        <v>지리</v>
      </c>
      <c r="F1980" s="9" t="str">
        <f>[1]Discovery!G1986</f>
        <v>D</v>
      </c>
      <c r="G1980" s="9" t="str">
        <f>IFERROR(VLOOKUP(표1[[#This Row],[명칭]],'문화권 정리'!C:D,2,FALSE),"-")</f>
        <v>오세아니아</v>
      </c>
      <c r="H1980" s="38" t="str">
        <f>IFERROR(COUNTIF([2]OceanDoodad!$Y:$Y,표1[[#This Row],[명칭]]),"-")</f>
        <v>-</v>
      </c>
      <c r="I1980" s="38">
        <f>IFERROR(COUNTIF([1]AdventureDiscoveryGroup!$D$8:$AW$92,표1[[#This Row],[명칭]]),"-")</f>
        <v>0</v>
      </c>
      <c r="J1980" s="38">
        <f>IFERROR(COUNTIF([1]FishDiscoveryGroup!$A:$X,표1[[#This Row],[명칭]]),"-")</f>
        <v>0</v>
      </c>
      <c r="K1980" s="38" t="str">
        <f>IFERROR(COUNTIF([2]Town!$B:$B,표1[[#This Row],[명칭]]),"-")</f>
        <v>-</v>
      </c>
      <c r="L1980" s="38">
        <f>IFERROR(COUNTIF([1]Village!$BR:$BR,표1[[#This Row],[명칭]]),"-")</f>
        <v>0</v>
      </c>
      <c r="M1980" s="38">
        <f>COUNTIF(퀘스트!B:B,표1[[#This Row],[명칭]])</f>
        <v>0</v>
      </c>
      <c r="N1980" s="65">
        <f>COUNTIF([1]VillageDiscoveryGroup!$C:$C,표1[[#This Row],[명칭]])</f>
        <v>0</v>
      </c>
      <c r="O1980" s="65">
        <f>SUM(표1[[#This Row],[해양탐색]:[마을탐험]])</f>
        <v>0</v>
      </c>
    </row>
    <row r="1981" spans="2:15" ht="13.5" customHeight="1" x14ac:dyDescent="0.3">
      <c r="B1981" s="9">
        <f>[1]Discovery!A1987</f>
        <v>70413197</v>
      </c>
      <c r="C1981" s="9" t="str">
        <f>[1]Discovery!B1987</f>
        <v>스피어곶</v>
      </c>
      <c r="D1981" s="9" t="str">
        <f>[1]Discovery!E1987</f>
        <v>자연</v>
      </c>
      <c r="E1981" s="9" t="str">
        <f>[1]Discovery!C1987</f>
        <v>지리</v>
      </c>
      <c r="F1981" s="9" t="str">
        <f>[1]Discovery!G1987</f>
        <v>C</v>
      </c>
      <c r="G1981" s="9" t="str">
        <f>IFERROR(VLOOKUP(표1[[#This Row],[명칭]],'문화권 정리'!C:D,2,FALSE),"-")</f>
        <v>북아메리카</v>
      </c>
      <c r="H1981" s="38" t="str">
        <f>IFERROR(COUNTIF([2]OceanDoodad!$Y:$Y,표1[[#This Row],[명칭]]),"-")</f>
        <v>-</v>
      </c>
      <c r="I1981" s="38">
        <f>IFERROR(COUNTIF([1]AdventureDiscoveryGroup!$D$8:$AW$92,표1[[#This Row],[명칭]]),"-")</f>
        <v>0</v>
      </c>
      <c r="J1981" s="38">
        <f>IFERROR(COUNTIF([1]FishDiscoveryGroup!$A:$X,표1[[#This Row],[명칭]]),"-")</f>
        <v>0</v>
      </c>
      <c r="K1981" s="38" t="str">
        <f>IFERROR(COUNTIF([2]Town!$B:$B,표1[[#This Row],[명칭]]),"-")</f>
        <v>-</v>
      </c>
      <c r="L1981" s="38">
        <f>IFERROR(COUNTIF([1]Village!$BR:$BR,표1[[#This Row],[명칭]]),"-")</f>
        <v>0</v>
      </c>
      <c r="M1981" s="38">
        <f>COUNTIF(퀘스트!B:B,표1[[#This Row],[명칭]])</f>
        <v>0</v>
      </c>
      <c r="N1981" s="65">
        <f>COUNTIF([1]VillageDiscoveryGroup!$C:$C,표1[[#This Row],[명칭]])</f>
        <v>0</v>
      </c>
      <c r="O1981" s="65">
        <f>SUM(표1[[#This Row],[해양탐색]:[마을탐험]])</f>
        <v>0</v>
      </c>
    </row>
    <row r="1982" spans="2:15" ht="13.5" customHeight="1" x14ac:dyDescent="0.3">
      <c r="B1982" s="9">
        <f>[1]Discovery!A1988</f>
        <v>70413198</v>
      </c>
      <c r="C1982" s="9" t="str">
        <f>[1]Discovery!B1988</f>
        <v>시암만</v>
      </c>
      <c r="D1982" s="9" t="str">
        <f>[1]Discovery!E1988</f>
        <v>자연</v>
      </c>
      <c r="E1982" s="9" t="str">
        <f>[1]Discovery!C1988</f>
        <v>지리</v>
      </c>
      <c r="F1982" s="9" t="str">
        <f>[1]Discovery!G1988</f>
        <v>C</v>
      </c>
      <c r="G1982" s="9" t="str">
        <f>IFERROR(VLOOKUP(표1[[#This Row],[명칭]],'문화권 정리'!C:D,2,FALSE),"-")</f>
        <v>동남아시아</v>
      </c>
      <c r="H1982" s="38" t="str">
        <f>IFERROR(COUNTIF([2]OceanDoodad!$Y:$Y,표1[[#This Row],[명칭]]),"-")</f>
        <v>-</v>
      </c>
      <c r="I1982" s="38">
        <f>IFERROR(COUNTIF([1]AdventureDiscoveryGroup!$D$8:$AW$92,표1[[#This Row],[명칭]]),"-")</f>
        <v>0</v>
      </c>
      <c r="J1982" s="38">
        <f>IFERROR(COUNTIF([1]FishDiscoveryGroup!$A:$X,표1[[#This Row],[명칭]]),"-")</f>
        <v>0</v>
      </c>
      <c r="K1982" s="38" t="str">
        <f>IFERROR(COUNTIF([2]Town!$B:$B,표1[[#This Row],[명칭]]),"-")</f>
        <v>-</v>
      </c>
      <c r="L1982" s="38">
        <f>IFERROR(COUNTIF([1]Village!$BR:$BR,표1[[#This Row],[명칭]]),"-")</f>
        <v>0</v>
      </c>
      <c r="M1982" s="38">
        <f>COUNTIF(퀘스트!B:B,표1[[#This Row],[명칭]])</f>
        <v>0</v>
      </c>
      <c r="N1982" s="65">
        <f>COUNTIF([1]VillageDiscoveryGroup!$C:$C,표1[[#This Row],[명칭]])</f>
        <v>0</v>
      </c>
      <c r="O1982" s="65">
        <f>SUM(표1[[#This Row],[해양탐색]:[마을탐험]])</f>
        <v>0</v>
      </c>
    </row>
    <row r="1983" spans="2:15" ht="13.5" customHeight="1" x14ac:dyDescent="0.3">
      <c r="B1983" s="9">
        <f>[1]Discovery!A1989</f>
        <v>70413199</v>
      </c>
      <c r="C1983" s="9" t="str">
        <f>[1]Discovery!B1989</f>
        <v>실론섬</v>
      </c>
      <c r="D1983" s="9" t="str">
        <f>[1]Discovery!E1989</f>
        <v>자연</v>
      </c>
      <c r="E1983" s="9" t="str">
        <f>[1]Discovery!C1989</f>
        <v>지리</v>
      </c>
      <c r="F1983" s="9" t="str">
        <f>[1]Discovery!G1989</f>
        <v>B</v>
      </c>
      <c r="G1983" s="9" t="str">
        <f>IFERROR(VLOOKUP(표1[[#This Row],[명칭]],'문화권 정리'!C:D,2,FALSE),"-")</f>
        <v>남아시아</v>
      </c>
      <c r="H1983" s="38" t="str">
        <f>IFERROR(COUNTIF([2]OceanDoodad!$Y:$Y,표1[[#This Row],[명칭]]),"-")</f>
        <v>-</v>
      </c>
      <c r="I1983" s="38">
        <f>IFERROR(COUNTIF([1]AdventureDiscoveryGroup!$D$8:$AW$92,표1[[#This Row],[명칭]]),"-")</f>
        <v>0</v>
      </c>
      <c r="J1983" s="38">
        <f>IFERROR(COUNTIF([1]FishDiscoveryGroup!$A:$X,표1[[#This Row],[명칭]]),"-")</f>
        <v>0</v>
      </c>
      <c r="K1983" s="38" t="str">
        <f>IFERROR(COUNTIF([2]Town!$B:$B,표1[[#This Row],[명칭]]),"-")</f>
        <v>-</v>
      </c>
      <c r="L1983" s="38">
        <f>IFERROR(COUNTIF([1]Village!$BR:$BR,표1[[#This Row],[명칭]]),"-")</f>
        <v>0</v>
      </c>
      <c r="M1983" s="38">
        <f>COUNTIF(퀘스트!B:B,표1[[#This Row],[명칭]])</f>
        <v>0</v>
      </c>
      <c r="N1983" s="65">
        <f>COUNTIF([1]VillageDiscoveryGroup!$C:$C,표1[[#This Row],[명칭]])</f>
        <v>0</v>
      </c>
      <c r="O1983" s="65">
        <f>SUM(표1[[#This Row],[해양탐색]:[마을탐험]])</f>
        <v>0</v>
      </c>
    </row>
    <row r="1984" spans="2:15" ht="13.5" customHeight="1" x14ac:dyDescent="0.3">
      <c r="B1984" s="9">
        <f>[1]Discovery!A1990</f>
        <v>70413200</v>
      </c>
      <c r="C1984" s="9" t="str">
        <f>[1]Discovery!B1990</f>
        <v>아굴라스곶</v>
      </c>
      <c r="D1984" s="9" t="str">
        <f>[1]Discovery!E1990</f>
        <v>자연</v>
      </c>
      <c r="E1984" s="9" t="str">
        <f>[1]Discovery!C1990</f>
        <v>지리</v>
      </c>
      <c r="F1984" s="9" t="str">
        <f>[1]Discovery!G1990</f>
        <v>A</v>
      </c>
      <c r="G1984" s="9" t="str">
        <f>IFERROR(VLOOKUP(표1[[#This Row],[명칭]],'문화권 정리'!C:D,2,FALSE),"-")</f>
        <v>남아프리카</v>
      </c>
      <c r="H1984" s="38" t="str">
        <f>IFERROR(COUNTIF([2]OceanDoodad!$Y:$Y,표1[[#This Row],[명칭]]),"-")</f>
        <v>-</v>
      </c>
      <c r="I1984" s="38">
        <f>IFERROR(COUNTIF([1]AdventureDiscoveryGroup!$D$8:$AW$92,표1[[#This Row],[명칭]]),"-")</f>
        <v>0</v>
      </c>
      <c r="J1984" s="38">
        <f>IFERROR(COUNTIF([1]FishDiscoveryGroup!$A:$X,표1[[#This Row],[명칭]]),"-")</f>
        <v>0</v>
      </c>
      <c r="K1984" s="38" t="str">
        <f>IFERROR(COUNTIF([2]Town!$B:$B,표1[[#This Row],[명칭]]),"-")</f>
        <v>-</v>
      </c>
      <c r="L1984" s="38">
        <f>IFERROR(COUNTIF([1]Village!$BR:$BR,표1[[#This Row],[명칭]]),"-")</f>
        <v>0</v>
      </c>
      <c r="M1984" s="38">
        <f>COUNTIF(퀘스트!B:B,표1[[#This Row],[명칭]])</f>
        <v>0</v>
      </c>
      <c r="N1984" s="65">
        <f>COUNTIF([1]VillageDiscoveryGroup!$C:$C,표1[[#This Row],[명칭]])</f>
        <v>0</v>
      </c>
      <c r="O1984" s="65">
        <f>SUM(표1[[#This Row],[해양탐색]:[마을탐험]])</f>
        <v>0</v>
      </c>
    </row>
    <row r="1985" spans="2:15" ht="13.5" customHeight="1" x14ac:dyDescent="0.3">
      <c r="B1985" s="9">
        <f>[1]Discovery!A1991</f>
        <v>70413201</v>
      </c>
      <c r="C1985" s="9" t="str">
        <f>[1]Discovery!B1991</f>
        <v>아나디리산맥</v>
      </c>
      <c r="D1985" s="9" t="str">
        <f>[1]Discovery!E1991</f>
        <v>자연</v>
      </c>
      <c r="E1985" s="9" t="str">
        <f>[1]Discovery!C1991</f>
        <v>지리</v>
      </c>
      <c r="F1985" s="9" t="str">
        <f>[1]Discovery!G1991</f>
        <v>B</v>
      </c>
      <c r="G1985" s="9" t="str">
        <f>IFERROR(VLOOKUP(표1[[#This Row],[명칭]],'문화권 정리'!C:D,2,FALSE),"-")</f>
        <v>유라시아</v>
      </c>
      <c r="H1985" s="38" t="str">
        <f>IFERROR(COUNTIF([2]OceanDoodad!$Y:$Y,표1[[#This Row],[명칭]]),"-")</f>
        <v>-</v>
      </c>
      <c r="I1985" s="38">
        <f>IFERROR(COUNTIF([1]AdventureDiscoveryGroup!$D$8:$AW$92,표1[[#This Row],[명칭]]),"-")</f>
        <v>0</v>
      </c>
      <c r="J1985" s="38">
        <f>IFERROR(COUNTIF([1]FishDiscoveryGroup!$A:$X,표1[[#This Row],[명칭]]),"-")</f>
        <v>0</v>
      </c>
      <c r="K1985" s="38" t="str">
        <f>IFERROR(COUNTIF([2]Town!$B:$B,표1[[#This Row],[명칭]]),"-")</f>
        <v>-</v>
      </c>
      <c r="L1985" s="38">
        <f>IFERROR(COUNTIF([1]Village!$BR:$BR,표1[[#This Row],[명칭]]),"-")</f>
        <v>0</v>
      </c>
      <c r="M1985" s="38">
        <f>COUNTIF(퀘스트!B:B,표1[[#This Row],[명칭]])</f>
        <v>0</v>
      </c>
      <c r="N1985" s="65">
        <f>COUNTIF([1]VillageDiscoveryGroup!$C:$C,표1[[#This Row],[명칭]])</f>
        <v>0</v>
      </c>
      <c r="O1985" s="65">
        <f>SUM(표1[[#This Row],[해양탐색]:[마을탐험]])</f>
        <v>0</v>
      </c>
    </row>
    <row r="1986" spans="2:15" ht="13.5" customHeight="1" x14ac:dyDescent="0.3">
      <c r="B1986" s="9">
        <f>[1]Discovery!A1992</f>
        <v>70413202</v>
      </c>
      <c r="C1986" s="9" t="str">
        <f>[1]Discovery!B1992</f>
        <v>아넘랜드</v>
      </c>
      <c r="D1986" s="9" t="str">
        <f>[1]Discovery!E1992</f>
        <v>자연</v>
      </c>
      <c r="E1986" s="9" t="str">
        <f>[1]Discovery!C1992</f>
        <v>지리</v>
      </c>
      <c r="F1986" s="9" t="str">
        <f>[1]Discovery!G1992</f>
        <v>D</v>
      </c>
      <c r="G1986" s="9" t="str">
        <f>IFERROR(VLOOKUP(표1[[#This Row],[명칭]],'문화권 정리'!C:D,2,FALSE),"-")</f>
        <v>오세아니아</v>
      </c>
      <c r="H1986" s="38" t="str">
        <f>IFERROR(COUNTIF([2]OceanDoodad!$Y:$Y,표1[[#This Row],[명칭]]),"-")</f>
        <v>-</v>
      </c>
      <c r="I1986" s="38">
        <f>IFERROR(COUNTIF([1]AdventureDiscoveryGroup!$D$8:$AW$92,표1[[#This Row],[명칭]]),"-")</f>
        <v>0</v>
      </c>
      <c r="J1986" s="38">
        <f>IFERROR(COUNTIF([1]FishDiscoveryGroup!$A:$X,표1[[#This Row],[명칭]]),"-")</f>
        <v>0</v>
      </c>
      <c r="K1986" s="38" t="str">
        <f>IFERROR(COUNTIF([2]Town!$B:$B,표1[[#This Row],[명칭]]),"-")</f>
        <v>-</v>
      </c>
      <c r="L1986" s="38">
        <f>IFERROR(COUNTIF([1]Village!$BR:$BR,표1[[#This Row],[명칭]]),"-")</f>
        <v>0</v>
      </c>
      <c r="M1986" s="38">
        <f>COUNTIF(퀘스트!B:B,표1[[#This Row],[명칭]])</f>
        <v>0</v>
      </c>
      <c r="N1986" s="65">
        <f>COUNTIF([1]VillageDiscoveryGroup!$C:$C,표1[[#This Row],[명칭]])</f>
        <v>0</v>
      </c>
      <c r="O1986" s="65">
        <f>SUM(표1[[#This Row],[해양탐색]:[마을탐험]])</f>
        <v>0</v>
      </c>
    </row>
    <row r="1987" spans="2:15" ht="13.5" customHeight="1" x14ac:dyDescent="0.3">
      <c r="B1987" s="9">
        <f>[1]Discovery!A1993</f>
        <v>70413203</v>
      </c>
      <c r="C1987" s="9" t="str">
        <f>[1]Discovery!B1993</f>
        <v>아라비아반도</v>
      </c>
      <c r="D1987" s="9" t="str">
        <f>[1]Discovery!E1993</f>
        <v>자연</v>
      </c>
      <c r="E1987" s="9" t="str">
        <f>[1]Discovery!C1993</f>
        <v>지리</v>
      </c>
      <c r="F1987" s="9" t="str">
        <f>[1]Discovery!G1993</f>
        <v>C</v>
      </c>
      <c r="G1987" s="9" t="str">
        <f>IFERROR(VLOOKUP(표1[[#This Row],[명칭]],'문화권 정리'!C:D,2,FALSE),"-")</f>
        <v>서남아시아</v>
      </c>
      <c r="H1987" s="38" t="str">
        <f>IFERROR(COUNTIF([2]OceanDoodad!$Y:$Y,표1[[#This Row],[명칭]]),"-")</f>
        <v>-</v>
      </c>
      <c r="I1987" s="38">
        <f>IFERROR(COUNTIF([1]AdventureDiscoveryGroup!$D$8:$AW$92,표1[[#This Row],[명칭]]),"-")</f>
        <v>0</v>
      </c>
      <c r="J1987" s="38">
        <f>IFERROR(COUNTIF([1]FishDiscoveryGroup!$A:$X,표1[[#This Row],[명칭]]),"-")</f>
        <v>0</v>
      </c>
      <c r="K1987" s="38" t="str">
        <f>IFERROR(COUNTIF([2]Town!$B:$B,표1[[#This Row],[명칭]]),"-")</f>
        <v>-</v>
      </c>
      <c r="L1987" s="38">
        <f>IFERROR(COUNTIF([1]Village!$BR:$BR,표1[[#This Row],[명칭]]),"-")</f>
        <v>0</v>
      </c>
      <c r="M1987" s="38">
        <f>COUNTIF(퀘스트!B:B,표1[[#This Row],[명칭]])</f>
        <v>0</v>
      </c>
      <c r="N1987" s="65">
        <f>COUNTIF([1]VillageDiscoveryGroup!$C:$C,표1[[#This Row],[명칭]])</f>
        <v>0</v>
      </c>
      <c r="O1987" s="65">
        <f>SUM(표1[[#This Row],[해양탐색]:[마을탐험]])</f>
        <v>0</v>
      </c>
    </row>
    <row r="1988" spans="2:15" ht="13.5" customHeight="1" x14ac:dyDescent="0.3">
      <c r="B1988" s="9">
        <f>[1]Discovery!A1994</f>
        <v>70413204</v>
      </c>
      <c r="C1988" s="9" t="str">
        <f>[1]Discovery!B1994</f>
        <v>아라비아해</v>
      </c>
      <c r="D1988" s="9" t="str">
        <f>[1]Discovery!E1994</f>
        <v>자연</v>
      </c>
      <c r="E1988" s="9" t="str">
        <f>[1]Discovery!C1994</f>
        <v>지리</v>
      </c>
      <c r="F1988" s="9" t="str">
        <f>[1]Discovery!G1994</f>
        <v>C</v>
      </c>
      <c r="G1988" s="9" t="str">
        <f>IFERROR(VLOOKUP(표1[[#This Row],[명칭]],'문화권 정리'!C:D,2,FALSE),"-")</f>
        <v>서남아시아</v>
      </c>
      <c r="H1988" s="38" t="str">
        <f>IFERROR(COUNTIF([2]OceanDoodad!$Y:$Y,표1[[#This Row],[명칭]]),"-")</f>
        <v>-</v>
      </c>
      <c r="I1988" s="38">
        <f>IFERROR(COUNTIF([1]AdventureDiscoveryGroup!$D$8:$AW$92,표1[[#This Row],[명칭]]),"-")</f>
        <v>0</v>
      </c>
      <c r="J1988" s="38">
        <f>IFERROR(COUNTIF([1]FishDiscoveryGroup!$A:$X,표1[[#This Row],[명칭]]),"-")</f>
        <v>0</v>
      </c>
      <c r="K1988" s="38" t="str">
        <f>IFERROR(COUNTIF([2]Town!$B:$B,표1[[#This Row],[명칭]]),"-")</f>
        <v>-</v>
      </c>
      <c r="L1988" s="38">
        <f>IFERROR(COUNTIF([1]Village!$BR:$BR,표1[[#This Row],[명칭]]),"-")</f>
        <v>0</v>
      </c>
      <c r="M1988" s="38">
        <f>COUNTIF(퀘스트!B:B,표1[[#This Row],[명칭]])</f>
        <v>0</v>
      </c>
      <c r="N1988" s="65">
        <f>COUNTIF([1]VillageDiscoveryGroup!$C:$C,표1[[#This Row],[명칭]])</f>
        <v>0</v>
      </c>
      <c r="O1988" s="65">
        <f>SUM(표1[[#This Row],[해양탐색]:[마을탐험]])</f>
        <v>0</v>
      </c>
    </row>
    <row r="1989" spans="2:15" ht="13.5" customHeight="1" x14ac:dyDescent="0.3">
      <c r="B1989" s="9">
        <f>[1]Discovery!A1995</f>
        <v>70413205</v>
      </c>
      <c r="C1989" s="9" t="str">
        <f>[1]Discovery!B1995</f>
        <v>아라푸라해</v>
      </c>
      <c r="D1989" s="9" t="str">
        <f>[1]Discovery!E1995</f>
        <v>자연</v>
      </c>
      <c r="E1989" s="9" t="str">
        <f>[1]Discovery!C1995</f>
        <v>지리</v>
      </c>
      <c r="F1989" s="9" t="str">
        <f>[1]Discovery!G1995</f>
        <v>B</v>
      </c>
      <c r="G1989" s="9" t="str">
        <f>IFERROR(VLOOKUP(표1[[#This Row],[명칭]],'문화권 정리'!C:D,2,FALSE),"-")</f>
        <v>동남아시아</v>
      </c>
      <c r="H1989" s="38" t="str">
        <f>IFERROR(COUNTIF([2]OceanDoodad!$Y:$Y,표1[[#This Row],[명칭]]),"-")</f>
        <v>-</v>
      </c>
      <c r="I1989" s="38">
        <f>IFERROR(COUNTIF([1]AdventureDiscoveryGroup!$D$8:$AW$92,표1[[#This Row],[명칭]]),"-")</f>
        <v>0</v>
      </c>
      <c r="J1989" s="38">
        <f>IFERROR(COUNTIF([1]FishDiscoveryGroup!$A:$X,표1[[#This Row],[명칭]]),"-")</f>
        <v>0</v>
      </c>
      <c r="K1989" s="38" t="str">
        <f>IFERROR(COUNTIF([2]Town!$B:$B,표1[[#This Row],[명칭]]),"-")</f>
        <v>-</v>
      </c>
      <c r="L1989" s="38">
        <f>IFERROR(COUNTIF([1]Village!$BR:$BR,표1[[#This Row],[명칭]]),"-")</f>
        <v>0</v>
      </c>
      <c r="M1989" s="38">
        <f>COUNTIF(퀘스트!B:B,표1[[#This Row],[명칭]])</f>
        <v>0</v>
      </c>
      <c r="N1989" s="65">
        <f>COUNTIF([1]VillageDiscoveryGroup!$C:$C,표1[[#This Row],[명칭]])</f>
        <v>0</v>
      </c>
      <c r="O1989" s="65">
        <f>SUM(표1[[#This Row],[해양탐색]:[마을탐험]])</f>
        <v>0</v>
      </c>
    </row>
    <row r="1990" spans="2:15" ht="13.5" customHeight="1" x14ac:dyDescent="0.3">
      <c r="B1990" s="9">
        <f>[1]Discovery!A1996</f>
        <v>70413206</v>
      </c>
      <c r="C1990" s="9" t="str">
        <f>[1]Discovery!B1996</f>
        <v>아리산</v>
      </c>
      <c r="D1990" s="9" t="str">
        <f>[1]Discovery!E1996</f>
        <v>자연</v>
      </c>
      <c r="E1990" s="9" t="str">
        <f>[1]Discovery!C1996</f>
        <v>지리</v>
      </c>
      <c r="F1990" s="9" t="str">
        <f>[1]Discovery!G1996</f>
        <v>B</v>
      </c>
      <c r="G1990" s="9" t="str">
        <f>IFERROR(VLOOKUP(표1[[#This Row],[명칭]],'문화권 정리'!C:D,2,FALSE),"-")</f>
        <v>동아시아</v>
      </c>
      <c r="H1990" s="38" t="str">
        <f>IFERROR(COUNTIF([2]OceanDoodad!$Y:$Y,표1[[#This Row],[명칭]]),"-")</f>
        <v>-</v>
      </c>
      <c r="I1990" s="38">
        <f>IFERROR(COUNTIF([1]AdventureDiscoveryGroup!$D$8:$AW$92,표1[[#This Row],[명칭]]),"-")</f>
        <v>0</v>
      </c>
      <c r="J1990" s="38">
        <f>IFERROR(COUNTIF([1]FishDiscoveryGroup!$A:$X,표1[[#This Row],[명칭]]),"-")</f>
        <v>0</v>
      </c>
      <c r="K1990" s="38" t="str">
        <f>IFERROR(COUNTIF([2]Town!$B:$B,표1[[#This Row],[명칭]]),"-")</f>
        <v>-</v>
      </c>
      <c r="L1990" s="38">
        <f>IFERROR(COUNTIF([1]Village!$BR:$BR,표1[[#This Row],[명칭]]),"-")</f>
        <v>0</v>
      </c>
      <c r="M1990" s="38">
        <f>COUNTIF(퀘스트!B:B,표1[[#This Row],[명칭]])</f>
        <v>0</v>
      </c>
      <c r="N1990" s="65">
        <f>COUNTIF([1]VillageDiscoveryGroup!$C:$C,표1[[#This Row],[명칭]])</f>
        <v>0</v>
      </c>
      <c r="O1990" s="65">
        <f>SUM(표1[[#This Row],[해양탐색]:[마을탐험]])</f>
        <v>0</v>
      </c>
    </row>
    <row r="1991" spans="2:15" ht="13.5" customHeight="1" x14ac:dyDescent="0.3">
      <c r="B1991" s="9">
        <f>[1]Discovery!A1997</f>
        <v>70413207</v>
      </c>
      <c r="C1991" s="9" t="str">
        <f>[1]Discovery!B1997</f>
        <v>아마존강</v>
      </c>
      <c r="D1991" s="9" t="str">
        <f>[1]Discovery!E1997</f>
        <v>자연</v>
      </c>
      <c r="E1991" s="9" t="str">
        <f>[1]Discovery!C1997</f>
        <v>지리</v>
      </c>
      <c r="F1991" s="9" t="str">
        <f>[1]Discovery!G1997</f>
        <v>S</v>
      </c>
      <c r="G1991" s="9" t="str">
        <f>IFERROR(VLOOKUP(표1[[#This Row],[명칭]],'문화권 정리'!C:D,2,FALSE),"-")</f>
        <v>남아메리카</v>
      </c>
      <c r="H1991" s="38" t="str">
        <f>IFERROR(COUNTIF([2]OceanDoodad!$Y:$Y,표1[[#This Row],[명칭]]),"-")</f>
        <v>-</v>
      </c>
      <c r="I1991" s="38">
        <f>IFERROR(COUNTIF([1]AdventureDiscoveryGroup!$D$8:$AW$92,표1[[#This Row],[명칭]]),"-")</f>
        <v>0</v>
      </c>
      <c r="J1991" s="38">
        <f>IFERROR(COUNTIF([1]FishDiscoveryGroup!$A:$X,표1[[#This Row],[명칭]]),"-")</f>
        <v>0</v>
      </c>
      <c r="K1991" s="38" t="str">
        <f>IFERROR(COUNTIF([2]Town!$B:$B,표1[[#This Row],[명칭]]),"-")</f>
        <v>-</v>
      </c>
      <c r="L1991" s="38">
        <f>IFERROR(COUNTIF([1]Village!$BR:$BR,표1[[#This Row],[명칭]]),"-")</f>
        <v>0</v>
      </c>
      <c r="M1991" s="38">
        <f>COUNTIF(퀘스트!B:B,표1[[#This Row],[명칭]])</f>
        <v>0</v>
      </c>
      <c r="N1991" s="65">
        <f>COUNTIF([1]VillageDiscoveryGroup!$C:$C,표1[[#This Row],[명칭]])</f>
        <v>0</v>
      </c>
      <c r="O1991" s="65">
        <f>SUM(표1[[#This Row],[해양탐색]:[마을탐험]])</f>
        <v>0</v>
      </c>
    </row>
    <row r="1992" spans="2:15" ht="13.5" customHeight="1" x14ac:dyDescent="0.3">
      <c r="B1992" s="9">
        <f>[1]Discovery!A1998</f>
        <v>70413208</v>
      </c>
      <c r="C1992" s="9" t="str">
        <f>[1]Discovery!B1998</f>
        <v>아발론반도</v>
      </c>
      <c r="D1992" s="9" t="str">
        <f>[1]Discovery!E1998</f>
        <v>자연</v>
      </c>
      <c r="E1992" s="9" t="str">
        <f>[1]Discovery!C1998</f>
        <v>지리</v>
      </c>
      <c r="F1992" s="9" t="str">
        <f>[1]Discovery!G1998</f>
        <v>D</v>
      </c>
      <c r="G1992" s="9" t="str">
        <f>IFERROR(VLOOKUP(표1[[#This Row],[명칭]],'문화권 정리'!C:D,2,FALSE),"-")</f>
        <v>북아메리카</v>
      </c>
      <c r="H1992" s="38" t="str">
        <f>IFERROR(COUNTIF([2]OceanDoodad!$Y:$Y,표1[[#This Row],[명칭]]),"-")</f>
        <v>-</v>
      </c>
      <c r="I1992" s="38">
        <f>IFERROR(COUNTIF([1]AdventureDiscoveryGroup!$D$8:$AW$92,표1[[#This Row],[명칭]]),"-")</f>
        <v>0</v>
      </c>
      <c r="J1992" s="38">
        <f>IFERROR(COUNTIF([1]FishDiscoveryGroup!$A:$X,표1[[#This Row],[명칭]]),"-")</f>
        <v>0</v>
      </c>
      <c r="K1992" s="38" t="str">
        <f>IFERROR(COUNTIF([2]Town!$B:$B,표1[[#This Row],[명칭]]),"-")</f>
        <v>-</v>
      </c>
      <c r="L1992" s="38">
        <f>IFERROR(COUNTIF([1]Village!$BR:$BR,표1[[#This Row],[명칭]]),"-")</f>
        <v>0</v>
      </c>
      <c r="M1992" s="38">
        <f>COUNTIF(퀘스트!B:B,표1[[#This Row],[명칭]])</f>
        <v>0</v>
      </c>
      <c r="N1992" s="65">
        <f>COUNTIF([1]VillageDiscoveryGroup!$C:$C,표1[[#This Row],[명칭]])</f>
        <v>0</v>
      </c>
      <c r="O1992" s="65">
        <f>SUM(표1[[#This Row],[해양탐색]:[마을탐험]])</f>
        <v>0</v>
      </c>
    </row>
    <row r="1993" spans="2:15" ht="13.5" customHeight="1" x14ac:dyDescent="0.3">
      <c r="B1993" s="9">
        <f>[1]Discovery!A1999</f>
        <v>70413209</v>
      </c>
      <c r="C1993" s="9" t="str">
        <f>[1]Discovery!B1999</f>
        <v>아소산</v>
      </c>
      <c r="D1993" s="9" t="str">
        <f>[1]Discovery!E1999</f>
        <v>자연</v>
      </c>
      <c r="E1993" s="9" t="str">
        <f>[1]Discovery!C1999</f>
        <v>지리</v>
      </c>
      <c r="F1993" s="9" t="str">
        <f>[1]Discovery!G1999</f>
        <v>B</v>
      </c>
      <c r="G1993" s="9" t="str">
        <f>IFERROR(VLOOKUP(표1[[#This Row],[명칭]],'문화권 정리'!C:D,2,FALSE),"-")</f>
        <v>동아시아</v>
      </c>
      <c r="H1993" s="38" t="str">
        <f>IFERROR(COUNTIF([2]OceanDoodad!$Y:$Y,표1[[#This Row],[명칭]]),"-")</f>
        <v>-</v>
      </c>
      <c r="I1993" s="38">
        <f>IFERROR(COUNTIF([1]AdventureDiscoveryGroup!$D$8:$AW$92,표1[[#This Row],[명칭]]),"-")</f>
        <v>0</v>
      </c>
      <c r="J1993" s="38">
        <f>IFERROR(COUNTIF([1]FishDiscoveryGroup!$A:$X,표1[[#This Row],[명칭]]),"-")</f>
        <v>0</v>
      </c>
      <c r="K1993" s="38" t="str">
        <f>IFERROR(COUNTIF([2]Town!$B:$B,표1[[#This Row],[명칭]]),"-")</f>
        <v>-</v>
      </c>
      <c r="L1993" s="38">
        <f>IFERROR(COUNTIF([1]Village!$BR:$BR,표1[[#This Row],[명칭]]),"-")</f>
        <v>0</v>
      </c>
      <c r="M1993" s="38">
        <f>COUNTIF(퀘스트!B:B,표1[[#This Row],[명칭]])</f>
        <v>0</v>
      </c>
      <c r="N1993" s="65">
        <f>COUNTIF([1]VillageDiscoveryGroup!$C:$C,표1[[#This Row],[명칭]])</f>
        <v>0</v>
      </c>
      <c r="O1993" s="65">
        <f>SUM(표1[[#This Row],[해양탐색]:[마을탐험]])</f>
        <v>0</v>
      </c>
    </row>
    <row r="1994" spans="2:15" ht="13.5" customHeight="1" x14ac:dyDescent="0.3">
      <c r="B1994" s="9">
        <f>[1]Discovery!A2000</f>
        <v>70413210</v>
      </c>
      <c r="C1994" s="9" t="str">
        <f>[1]Discovery!B2000</f>
        <v>아수에로반도</v>
      </c>
      <c r="D1994" s="9" t="str">
        <f>[1]Discovery!E2000</f>
        <v>자연</v>
      </c>
      <c r="E1994" s="9" t="str">
        <f>[1]Discovery!C2000</f>
        <v>지리</v>
      </c>
      <c r="F1994" s="9" t="str">
        <f>[1]Discovery!G2000</f>
        <v>B</v>
      </c>
      <c r="G1994" s="9" t="str">
        <f>IFERROR(VLOOKUP(표1[[#This Row],[명칭]],'문화권 정리'!C:D,2,FALSE),"-")</f>
        <v>중앙아메리카</v>
      </c>
      <c r="H1994" s="38" t="str">
        <f>IFERROR(COUNTIF([2]OceanDoodad!$Y:$Y,표1[[#This Row],[명칭]]),"-")</f>
        <v>-</v>
      </c>
      <c r="I1994" s="38">
        <f>IFERROR(COUNTIF([1]AdventureDiscoveryGroup!$D$8:$AW$92,표1[[#This Row],[명칭]]),"-")</f>
        <v>0</v>
      </c>
      <c r="J1994" s="38">
        <f>IFERROR(COUNTIF([1]FishDiscoveryGroup!$A:$X,표1[[#This Row],[명칭]]),"-")</f>
        <v>0</v>
      </c>
      <c r="K1994" s="38" t="str">
        <f>IFERROR(COUNTIF([2]Town!$B:$B,표1[[#This Row],[명칭]]),"-")</f>
        <v>-</v>
      </c>
      <c r="L1994" s="38">
        <f>IFERROR(COUNTIF([1]Village!$BR:$BR,표1[[#This Row],[명칭]]),"-")</f>
        <v>0</v>
      </c>
      <c r="M1994" s="38">
        <f>COUNTIF(퀘스트!B:B,표1[[#This Row],[명칭]])</f>
        <v>0</v>
      </c>
      <c r="N1994" s="65">
        <f>COUNTIF([1]VillageDiscoveryGroup!$C:$C,표1[[#This Row],[명칭]])</f>
        <v>0</v>
      </c>
      <c r="O1994" s="65">
        <f>SUM(표1[[#This Row],[해양탐색]:[마을탐험]])</f>
        <v>0</v>
      </c>
    </row>
    <row r="1995" spans="2:15" ht="13.5" customHeight="1" x14ac:dyDescent="0.3">
      <c r="B1995" s="9">
        <f>[1]Discovery!A2001</f>
        <v>70413211</v>
      </c>
      <c r="C1995" s="9" t="str">
        <f>[1]Discovery!B2001</f>
        <v>아오테아로아</v>
      </c>
      <c r="D1995" s="9" t="str">
        <f>[1]Discovery!E2001</f>
        <v>자연</v>
      </c>
      <c r="E1995" s="9" t="str">
        <f>[1]Discovery!C2001</f>
        <v>지리</v>
      </c>
      <c r="F1995" s="9" t="str">
        <f>[1]Discovery!G2001</f>
        <v>B</v>
      </c>
      <c r="G1995" s="9" t="str">
        <f>IFERROR(VLOOKUP(표1[[#This Row],[명칭]],'문화권 정리'!C:D,2,FALSE),"-")</f>
        <v>오세아니아</v>
      </c>
      <c r="H1995" s="38" t="str">
        <f>IFERROR(COUNTIF([2]OceanDoodad!$Y:$Y,표1[[#This Row],[명칭]]),"-")</f>
        <v>-</v>
      </c>
      <c r="I1995" s="38">
        <f>IFERROR(COUNTIF([1]AdventureDiscoveryGroup!$D$8:$AW$92,표1[[#This Row],[명칭]]),"-")</f>
        <v>0</v>
      </c>
      <c r="J1995" s="38">
        <f>IFERROR(COUNTIF([1]FishDiscoveryGroup!$A:$X,표1[[#This Row],[명칭]]),"-")</f>
        <v>0</v>
      </c>
      <c r="K1995" s="38" t="str">
        <f>IFERROR(COUNTIF([2]Town!$B:$B,표1[[#This Row],[명칭]]),"-")</f>
        <v>-</v>
      </c>
      <c r="L1995" s="38">
        <f>IFERROR(COUNTIF([1]Village!$BR:$BR,표1[[#This Row],[명칭]]),"-")</f>
        <v>0</v>
      </c>
      <c r="M1995" s="38">
        <f>COUNTIF(퀘스트!B:B,표1[[#This Row],[명칭]])</f>
        <v>0</v>
      </c>
      <c r="N1995" s="65">
        <f>COUNTIF([1]VillageDiscoveryGroup!$C:$C,표1[[#This Row],[명칭]])</f>
        <v>0</v>
      </c>
      <c r="O1995" s="65">
        <f>SUM(표1[[#This Row],[해양탐색]:[마을탐험]])</f>
        <v>0</v>
      </c>
    </row>
    <row r="1996" spans="2:15" ht="13.5" customHeight="1" x14ac:dyDescent="0.3">
      <c r="B1996" s="9">
        <f>[1]Discovery!A2002</f>
        <v>70413212</v>
      </c>
      <c r="C1996" s="9" t="str">
        <f>[1]Discovery!B2002</f>
        <v>아우터 뱅크스</v>
      </c>
      <c r="D1996" s="9" t="str">
        <f>[1]Discovery!E2002</f>
        <v>자연</v>
      </c>
      <c r="E1996" s="9" t="str">
        <f>[1]Discovery!C2002</f>
        <v>지리</v>
      </c>
      <c r="F1996" s="9" t="str">
        <f>[1]Discovery!G2002</f>
        <v>B</v>
      </c>
      <c r="G1996" s="9" t="str">
        <f>IFERROR(VLOOKUP(표1[[#This Row],[명칭]],'문화권 정리'!C:D,2,FALSE),"-")</f>
        <v>북아메리카</v>
      </c>
      <c r="H1996" s="38" t="str">
        <f>IFERROR(COUNTIF([2]OceanDoodad!$Y:$Y,표1[[#This Row],[명칭]]),"-")</f>
        <v>-</v>
      </c>
      <c r="I1996" s="38">
        <f>IFERROR(COUNTIF([1]AdventureDiscoveryGroup!$D$8:$AW$92,표1[[#This Row],[명칭]]),"-")</f>
        <v>0</v>
      </c>
      <c r="J1996" s="38">
        <f>IFERROR(COUNTIF([1]FishDiscoveryGroup!$A:$X,표1[[#This Row],[명칭]]),"-")</f>
        <v>0</v>
      </c>
      <c r="K1996" s="38" t="str">
        <f>IFERROR(COUNTIF([2]Town!$B:$B,표1[[#This Row],[명칭]]),"-")</f>
        <v>-</v>
      </c>
      <c r="L1996" s="38">
        <f>IFERROR(COUNTIF([1]Village!$BR:$BR,표1[[#This Row],[명칭]]),"-")</f>
        <v>0</v>
      </c>
      <c r="M1996" s="38">
        <f>COUNTIF(퀘스트!B:B,표1[[#This Row],[명칭]])</f>
        <v>0</v>
      </c>
      <c r="N1996" s="65">
        <f>COUNTIF([1]VillageDiscoveryGroup!$C:$C,표1[[#This Row],[명칭]])</f>
        <v>0</v>
      </c>
      <c r="O1996" s="65">
        <f>SUM(표1[[#This Row],[해양탐색]:[마을탐험]])</f>
        <v>0</v>
      </c>
    </row>
    <row r="1997" spans="2:15" ht="13.5" customHeight="1" x14ac:dyDescent="0.3">
      <c r="B1997" s="9">
        <f>[1]Discovery!A2003</f>
        <v>70413213</v>
      </c>
      <c r="C1997" s="9" t="str">
        <f>[1]Discovery!B2003</f>
        <v>아이리시해</v>
      </c>
      <c r="D1997" s="9" t="str">
        <f>[1]Discovery!E2003</f>
        <v>자연</v>
      </c>
      <c r="E1997" s="9" t="str">
        <f>[1]Discovery!C2003</f>
        <v>지리</v>
      </c>
      <c r="F1997" s="9" t="str">
        <f>[1]Discovery!G2003</f>
        <v>D</v>
      </c>
      <c r="G1997" s="9" t="str">
        <f>IFERROR(VLOOKUP(표1[[#This Row],[명칭]],'문화권 정리'!C:D,2,FALSE),"-")</f>
        <v>브리튼</v>
      </c>
      <c r="H1997" s="38" t="str">
        <f>IFERROR(COUNTIF([2]OceanDoodad!$Y:$Y,표1[[#This Row],[명칭]]),"-")</f>
        <v>-</v>
      </c>
      <c r="I1997" s="38">
        <f>IFERROR(COUNTIF([1]AdventureDiscoveryGroup!$D$8:$AW$92,표1[[#This Row],[명칭]]),"-")</f>
        <v>0</v>
      </c>
      <c r="J1997" s="38">
        <f>IFERROR(COUNTIF([1]FishDiscoveryGroup!$A:$X,표1[[#This Row],[명칭]]),"-")</f>
        <v>0</v>
      </c>
      <c r="K1997" s="38" t="str">
        <f>IFERROR(COUNTIF([2]Town!$B:$B,표1[[#This Row],[명칭]]),"-")</f>
        <v>-</v>
      </c>
      <c r="L1997" s="38">
        <f>IFERROR(COUNTIF([1]Village!$BR:$BR,표1[[#This Row],[명칭]]),"-")</f>
        <v>0</v>
      </c>
      <c r="M1997" s="38">
        <f>COUNTIF(퀘스트!B:B,표1[[#This Row],[명칭]])</f>
        <v>0</v>
      </c>
      <c r="N1997" s="65">
        <f>COUNTIF([1]VillageDiscoveryGroup!$C:$C,표1[[#This Row],[명칭]])</f>
        <v>0</v>
      </c>
      <c r="O1997" s="65">
        <f>SUM(표1[[#This Row],[해양탐색]:[마을탐험]])</f>
        <v>0</v>
      </c>
    </row>
    <row r="1998" spans="2:15" ht="13.5" customHeight="1" x14ac:dyDescent="0.3">
      <c r="B1998" s="9">
        <f>[1]Discovery!A2004</f>
        <v>70413214</v>
      </c>
      <c r="C1998" s="9" t="str">
        <f>[1]Discovery!B2004</f>
        <v>아이슬란드</v>
      </c>
      <c r="D1998" s="9" t="str">
        <f>[1]Discovery!E2004</f>
        <v>자연</v>
      </c>
      <c r="E1998" s="9" t="str">
        <f>[1]Discovery!C2004</f>
        <v>지리</v>
      </c>
      <c r="F1998" s="9" t="str">
        <f>[1]Discovery!G2004</f>
        <v>B</v>
      </c>
      <c r="G1998" s="9" t="str">
        <f>IFERROR(VLOOKUP(표1[[#This Row],[명칭]],'문화권 정리'!C:D,2,FALSE),"-")</f>
        <v>극지방</v>
      </c>
      <c r="H1998" s="38" t="str">
        <f>IFERROR(COUNTIF([2]OceanDoodad!$Y:$Y,표1[[#This Row],[명칭]]),"-")</f>
        <v>-</v>
      </c>
      <c r="I1998" s="38">
        <f>IFERROR(COUNTIF([1]AdventureDiscoveryGroup!$D$8:$AW$92,표1[[#This Row],[명칭]]),"-")</f>
        <v>0</v>
      </c>
      <c r="J1998" s="38">
        <f>IFERROR(COUNTIF([1]FishDiscoveryGroup!$A:$X,표1[[#This Row],[명칭]]),"-")</f>
        <v>0</v>
      </c>
      <c r="K1998" s="38" t="str">
        <f>IFERROR(COUNTIF([2]Town!$B:$B,표1[[#This Row],[명칭]]),"-")</f>
        <v>-</v>
      </c>
      <c r="L1998" s="38">
        <f>IFERROR(COUNTIF([1]Village!$BR:$BR,표1[[#This Row],[명칭]]),"-")</f>
        <v>0</v>
      </c>
      <c r="M1998" s="38">
        <f>COUNTIF(퀘스트!B:B,표1[[#This Row],[명칭]])</f>
        <v>0</v>
      </c>
      <c r="N1998" s="65">
        <f>COUNTIF([1]VillageDiscoveryGroup!$C:$C,표1[[#This Row],[명칭]])</f>
        <v>0</v>
      </c>
      <c r="O1998" s="65">
        <f>SUM(표1[[#This Row],[해양탐색]:[마을탐험]])</f>
        <v>0</v>
      </c>
    </row>
    <row r="1999" spans="2:15" ht="13.5" customHeight="1" x14ac:dyDescent="0.3">
      <c r="B1999" s="9">
        <f>[1]Discovery!A2005</f>
        <v>70413215</v>
      </c>
      <c r="C1999" s="9" t="str">
        <f>[1]Discovery!B2005</f>
        <v>아일레이섬</v>
      </c>
      <c r="D1999" s="9" t="str">
        <f>[1]Discovery!E2005</f>
        <v>자연</v>
      </c>
      <c r="E1999" s="9" t="str">
        <f>[1]Discovery!C2005</f>
        <v>지리</v>
      </c>
      <c r="F1999" s="9" t="str">
        <f>[1]Discovery!G2005</f>
        <v>B</v>
      </c>
      <c r="G1999" s="9" t="str">
        <f>IFERROR(VLOOKUP(표1[[#This Row],[명칭]],'문화권 정리'!C:D,2,FALSE),"-")</f>
        <v>브리튼</v>
      </c>
      <c r="H1999" s="38" t="str">
        <f>IFERROR(COUNTIF([2]OceanDoodad!$Y:$Y,표1[[#This Row],[명칭]]),"-")</f>
        <v>-</v>
      </c>
      <c r="I1999" s="38">
        <f>IFERROR(COUNTIF([1]AdventureDiscoveryGroup!$D$8:$AW$92,표1[[#This Row],[명칭]]),"-")</f>
        <v>0</v>
      </c>
      <c r="J1999" s="38">
        <f>IFERROR(COUNTIF([1]FishDiscoveryGroup!$A:$X,표1[[#This Row],[명칭]]),"-")</f>
        <v>0</v>
      </c>
      <c r="K1999" s="38" t="str">
        <f>IFERROR(COUNTIF([2]Town!$B:$B,표1[[#This Row],[명칭]]),"-")</f>
        <v>-</v>
      </c>
      <c r="L1999" s="38">
        <f>IFERROR(COUNTIF([1]Village!$BR:$BR,표1[[#This Row],[명칭]]),"-")</f>
        <v>0</v>
      </c>
      <c r="M1999" s="38">
        <f>COUNTIF(퀘스트!B:B,표1[[#This Row],[명칭]])</f>
        <v>0</v>
      </c>
      <c r="N1999" s="65">
        <f>COUNTIF([1]VillageDiscoveryGroup!$C:$C,표1[[#This Row],[명칭]])</f>
        <v>0</v>
      </c>
      <c r="O1999" s="65">
        <f>SUM(표1[[#This Row],[해양탐색]:[마을탐험]])</f>
        <v>0</v>
      </c>
    </row>
    <row r="2000" spans="2:15" ht="13.5" customHeight="1" x14ac:dyDescent="0.3">
      <c r="B2000" s="9">
        <f>[1]Discovery!A2006</f>
        <v>70413216</v>
      </c>
      <c r="C2000" s="9" t="str">
        <f>[1]Discovery!B2006</f>
        <v>아조레스제도</v>
      </c>
      <c r="D2000" s="9" t="str">
        <f>[1]Discovery!E2006</f>
        <v>자연</v>
      </c>
      <c r="E2000" s="9" t="str">
        <f>[1]Discovery!C2006</f>
        <v>지리</v>
      </c>
      <c r="F2000" s="9" t="str">
        <f>[1]Discovery!G2006</f>
        <v>B</v>
      </c>
      <c r="G2000" s="9" t="str">
        <f>IFERROR(VLOOKUP(표1[[#This Row],[명칭]],'문화권 정리'!C:D,2,FALSE),"-")</f>
        <v>지중해</v>
      </c>
      <c r="H2000" s="38" t="str">
        <f>IFERROR(COUNTIF([2]OceanDoodad!$Y:$Y,표1[[#This Row],[명칭]]),"-")</f>
        <v>-</v>
      </c>
      <c r="I2000" s="38">
        <f>IFERROR(COUNTIF([1]AdventureDiscoveryGroup!$D$8:$AW$92,표1[[#This Row],[명칭]]),"-")</f>
        <v>0</v>
      </c>
      <c r="J2000" s="38">
        <f>IFERROR(COUNTIF([1]FishDiscoveryGroup!$A:$X,표1[[#This Row],[명칭]]),"-")</f>
        <v>0</v>
      </c>
      <c r="K2000" s="38" t="str">
        <f>IFERROR(COUNTIF([2]Town!$B:$B,표1[[#This Row],[명칭]]),"-")</f>
        <v>-</v>
      </c>
      <c r="L2000" s="38">
        <f>IFERROR(COUNTIF([1]Village!$BR:$BR,표1[[#This Row],[명칭]]),"-")</f>
        <v>0</v>
      </c>
      <c r="M2000" s="38">
        <f>COUNTIF(퀘스트!B:B,표1[[#This Row],[명칭]])</f>
        <v>0</v>
      </c>
      <c r="N2000" s="65">
        <f>COUNTIF([1]VillageDiscoveryGroup!$C:$C,표1[[#This Row],[명칭]])</f>
        <v>0</v>
      </c>
      <c r="O2000" s="65">
        <f>SUM(표1[[#This Row],[해양탐색]:[마을탐험]])</f>
        <v>0</v>
      </c>
    </row>
    <row r="2001" spans="2:15" ht="13.5" customHeight="1" x14ac:dyDescent="0.3">
      <c r="B2001" s="9">
        <f>[1]Discovery!A2007</f>
        <v>70413217</v>
      </c>
      <c r="C2001" s="9" t="str">
        <f>[1]Discovery!B2007</f>
        <v>아추라 동굴</v>
      </c>
      <c r="D2001" s="9" t="str">
        <f>[1]Discovery!E2007</f>
        <v>자연</v>
      </c>
      <c r="E2001" s="9" t="str">
        <f>[1]Discovery!C2007</f>
        <v>지리</v>
      </c>
      <c r="F2001" s="9" t="str">
        <f>[1]Discovery!G2007</f>
        <v>C</v>
      </c>
      <c r="G2001" s="9" t="str">
        <f>IFERROR(VLOOKUP(표1[[#This Row],[명칭]],'문화권 정리'!C:D,2,FALSE),"-")</f>
        <v>지중해</v>
      </c>
      <c r="H2001" s="38" t="str">
        <f>IFERROR(COUNTIF([2]OceanDoodad!$Y:$Y,표1[[#This Row],[명칭]]),"-")</f>
        <v>-</v>
      </c>
      <c r="I2001" s="38">
        <f>IFERROR(COUNTIF([1]AdventureDiscoveryGroup!$D$8:$AW$92,표1[[#This Row],[명칭]]),"-")</f>
        <v>0</v>
      </c>
      <c r="J2001" s="38">
        <f>IFERROR(COUNTIF([1]FishDiscoveryGroup!$A:$X,표1[[#This Row],[명칭]]),"-")</f>
        <v>0</v>
      </c>
      <c r="K2001" s="38" t="str">
        <f>IFERROR(COUNTIF([2]Town!$B:$B,표1[[#This Row],[명칭]]),"-")</f>
        <v>-</v>
      </c>
      <c r="L2001" s="38">
        <f>IFERROR(COUNTIF([1]Village!$BR:$BR,표1[[#This Row],[명칭]]),"-")</f>
        <v>0</v>
      </c>
      <c r="M2001" s="38">
        <f>COUNTIF(퀘스트!B:B,표1[[#This Row],[명칭]])</f>
        <v>1</v>
      </c>
      <c r="N2001" s="65">
        <f>COUNTIF([1]VillageDiscoveryGroup!$C:$C,표1[[#This Row],[명칭]])</f>
        <v>0</v>
      </c>
      <c r="O2001" s="65">
        <f>SUM(표1[[#This Row],[해양탐색]:[마을탐험]])</f>
        <v>1</v>
      </c>
    </row>
    <row r="2002" spans="2:15" ht="13.5" customHeight="1" x14ac:dyDescent="0.3">
      <c r="B2002" s="9">
        <f>[1]Discovery!A2008</f>
        <v>70413218</v>
      </c>
      <c r="C2002" s="9" t="str">
        <f>[1]Discovery!B2008</f>
        <v>아타카마 사막</v>
      </c>
      <c r="D2002" s="9" t="str">
        <f>[1]Discovery!E2008</f>
        <v>자연</v>
      </c>
      <c r="E2002" s="9" t="str">
        <f>[1]Discovery!C2008</f>
        <v>지리</v>
      </c>
      <c r="F2002" s="9" t="str">
        <f>[1]Discovery!G2008</f>
        <v>B</v>
      </c>
      <c r="G2002" s="9" t="str">
        <f>IFERROR(VLOOKUP(표1[[#This Row],[명칭]],'문화권 정리'!C:D,2,FALSE),"-")</f>
        <v>남아메리카</v>
      </c>
      <c r="H2002" s="38" t="str">
        <f>IFERROR(COUNTIF([2]OceanDoodad!$Y:$Y,표1[[#This Row],[명칭]]),"-")</f>
        <v>-</v>
      </c>
      <c r="I2002" s="38">
        <f>IFERROR(COUNTIF([1]AdventureDiscoveryGroup!$D$8:$AW$92,표1[[#This Row],[명칭]]),"-")</f>
        <v>0</v>
      </c>
      <c r="J2002" s="38">
        <f>IFERROR(COUNTIF([1]FishDiscoveryGroup!$A:$X,표1[[#This Row],[명칭]]),"-")</f>
        <v>0</v>
      </c>
      <c r="K2002" s="38" t="str">
        <f>IFERROR(COUNTIF([2]Town!$B:$B,표1[[#This Row],[명칭]]),"-")</f>
        <v>-</v>
      </c>
      <c r="L2002" s="38">
        <f>IFERROR(COUNTIF([1]Village!$BR:$BR,표1[[#This Row],[명칭]]),"-")</f>
        <v>0</v>
      </c>
      <c r="M2002" s="38">
        <f>COUNTIF(퀘스트!B:B,표1[[#This Row],[명칭]])</f>
        <v>0</v>
      </c>
      <c r="N2002" s="65">
        <f>COUNTIF([1]VillageDiscoveryGroup!$C:$C,표1[[#This Row],[명칭]])</f>
        <v>0</v>
      </c>
      <c r="O2002" s="65">
        <f>SUM(표1[[#This Row],[해양탐색]:[마을탐험]])</f>
        <v>0</v>
      </c>
    </row>
    <row r="2003" spans="2:15" ht="13.5" customHeight="1" x14ac:dyDescent="0.3">
      <c r="B2003" s="9">
        <f>[1]Discovery!A2009</f>
        <v>70413219</v>
      </c>
      <c r="C2003" s="9" t="str">
        <f>[1]Discovery!B2009</f>
        <v>아타카마의 거인</v>
      </c>
      <c r="D2003" s="9" t="str">
        <f>[1]Discovery!E2009</f>
        <v>자연</v>
      </c>
      <c r="E2003" s="9" t="str">
        <f>[1]Discovery!C2009</f>
        <v>지리</v>
      </c>
      <c r="F2003" s="9" t="str">
        <f>[1]Discovery!G2009</f>
        <v>A</v>
      </c>
      <c r="G2003" s="9" t="str">
        <f>IFERROR(VLOOKUP(표1[[#This Row],[명칭]],'문화권 정리'!C:D,2,FALSE),"-")</f>
        <v>남아메리카</v>
      </c>
      <c r="H2003" s="38" t="str">
        <f>IFERROR(COUNTIF([2]OceanDoodad!$Y:$Y,표1[[#This Row],[명칭]]),"-")</f>
        <v>-</v>
      </c>
      <c r="I2003" s="38">
        <f>IFERROR(COUNTIF([1]AdventureDiscoveryGroup!$D$8:$AW$92,표1[[#This Row],[명칭]]),"-")</f>
        <v>0</v>
      </c>
      <c r="J2003" s="38">
        <f>IFERROR(COUNTIF([1]FishDiscoveryGroup!$A:$X,표1[[#This Row],[명칭]]),"-")</f>
        <v>0</v>
      </c>
      <c r="K2003" s="38" t="str">
        <f>IFERROR(COUNTIF([2]Town!$B:$B,표1[[#This Row],[명칭]]),"-")</f>
        <v>-</v>
      </c>
      <c r="L2003" s="38">
        <f>IFERROR(COUNTIF([1]Village!$BR:$BR,표1[[#This Row],[명칭]]),"-")</f>
        <v>0</v>
      </c>
      <c r="M2003" s="38">
        <f>COUNTIF(퀘스트!B:B,표1[[#This Row],[명칭]])</f>
        <v>1</v>
      </c>
      <c r="N2003" s="65">
        <f>COUNTIF([1]VillageDiscoveryGroup!$C:$C,표1[[#This Row],[명칭]])</f>
        <v>0</v>
      </c>
      <c r="O2003" s="65">
        <f>SUM(표1[[#This Row],[해양탐색]:[마을탐험]])</f>
        <v>1</v>
      </c>
    </row>
    <row r="2004" spans="2:15" ht="13.5" customHeight="1" x14ac:dyDescent="0.3">
      <c r="B2004" s="9">
        <f>[1]Discovery!A2010</f>
        <v>70413220</v>
      </c>
      <c r="C2004" s="9" t="str">
        <f>[1]Discovery!B2010</f>
        <v>아타카마의 소금 호수</v>
      </c>
      <c r="D2004" s="9" t="str">
        <f>[1]Discovery!E2010</f>
        <v>자연</v>
      </c>
      <c r="E2004" s="9" t="str">
        <f>[1]Discovery!C2010</f>
        <v>지리</v>
      </c>
      <c r="F2004" s="9" t="str">
        <f>[1]Discovery!G2010</f>
        <v>S</v>
      </c>
      <c r="G2004" s="9" t="str">
        <f>IFERROR(VLOOKUP(표1[[#This Row],[명칭]],'문화권 정리'!C:D,2,FALSE),"-")</f>
        <v>남아메리카</v>
      </c>
      <c r="H2004" s="38" t="str">
        <f>IFERROR(COUNTIF([2]OceanDoodad!$Y:$Y,표1[[#This Row],[명칭]]),"-")</f>
        <v>-</v>
      </c>
      <c r="I2004" s="38">
        <f>IFERROR(COUNTIF([1]AdventureDiscoveryGroup!$D$8:$AW$92,표1[[#This Row],[명칭]]),"-")</f>
        <v>0</v>
      </c>
      <c r="J2004" s="38">
        <f>IFERROR(COUNTIF([1]FishDiscoveryGroup!$A:$X,표1[[#This Row],[명칭]]),"-")</f>
        <v>0</v>
      </c>
      <c r="K2004" s="38" t="str">
        <f>IFERROR(COUNTIF([2]Town!$B:$B,표1[[#This Row],[명칭]]),"-")</f>
        <v>-</v>
      </c>
      <c r="L2004" s="38">
        <f>IFERROR(COUNTIF([1]Village!$BR:$BR,표1[[#This Row],[명칭]]),"-")</f>
        <v>0</v>
      </c>
      <c r="M2004" s="38">
        <f>COUNTIF(퀘스트!B:B,표1[[#This Row],[명칭]])</f>
        <v>0</v>
      </c>
      <c r="N2004" s="65">
        <f>COUNTIF([1]VillageDiscoveryGroup!$C:$C,표1[[#This Row],[명칭]])</f>
        <v>0</v>
      </c>
      <c r="O2004" s="65">
        <f>SUM(표1[[#This Row],[해양탐색]:[마을탐험]])</f>
        <v>0</v>
      </c>
    </row>
    <row r="2005" spans="2:15" ht="13.5" customHeight="1" x14ac:dyDescent="0.3">
      <c r="B2005" s="9">
        <f>[1]Discovery!A2011</f>
        <v>70413221</v>
      </c>
      <c r="C2005" s="9" t="str">
        <f>[1]Discovery!B2011</f>
        <v>아틀라스산맥</v>
      </c>
      <c r="D2005" s="9" t="str">
        <f>[1]Discovery!E2011</f>
        <v>자연</v>
      </c>
      <c r="E2005" s="9" t="str">
        <f>[1]Discovery!C2011</f>
        <v>지리</v>
      </c>
      <c r="F2005" s="9" t="str">
        <f>[1]Discovery!G2011</f>
        <v>B</v>
      </c>
      <c r="G2005" s="9" t="str">
        <f>IFERROR(VLOOKUP(표1[[#This Row],[명칭]],'문화권 정리'!C:D,2,FALSE),"-")</f>
        <v>북아프리카</v>
      </c>
      <c r="H2005" s="38" t="str">
        <f>IFERROR(COUNTIF([2]OceanDoodad!$Y:$Y,표1[[#This Row],[명칭]]),"-")</f>
        <v>-</v>
      </c>
      <c r="I2005" s="38">
        <f>IFERROR(COUNTIF([1]AdventureDiscoveryGroup!$D$8:$AW$92,표1[[#This Row],[명칭]]),"-")</f>
        <v>0</v>
      </c>
      <c r="J2005" s="38">
        <f>IFERROR(COUNTIF([1]FishDiscoveryGroup!$A:$X,표1[[#This Row],[명칭]]),"-")</f>
        <v>0</v>
      </c>
      <c r="K2005" s="38" t="str">
        <f>IFERROR(COUNTIF([2]Town!$B:$B,표1[[#This Row],[명칭]]),"-")</f>
        <v>-</v>
      </c>
      <c r="L2005" s="38">
        <f>IFERROR(COUNTIF([1]Village!$BR:$BR,표1[[#This Row],[명칭]]),"-")</f>
        <v>0</v>
      </c>
      <c r="M2005" s="38">
        <f>COUNTIF(퀘스트!B:B,표1[[#This Row],[명칭]])</f>
        <v>0</v>
      </c>
      <c r="N2005" s="65">
        <f>COUNTIF([1]VillageDiscoveryGroup!$C:$C,표1[[#This Row],[명칭]])</f>
        <v>0</v>
      </c>
      <c r="O2005" s="65">
        <f>SUM(표1[[#This Row],[해양탐색]:[마을탐험]])</f>
        <v>0</v>
      </c>
    </row>
    <row r="2006" spans="2:15" ht="13.5" customHeight="1" x14ac:dyDescent="0.3">
      <c r="B2006" s="9">
        <f>[1]Discovery!A2012</f>
        <v>70413222</v>
      </c>
      <c r="C2006" s="9" t="str">
        <f>[1]Discovery!B2012</f>
        <v>안다만제도</v>
      </c>
      <c r="D2006" s="9" t="str">
        <f>[1]Discovery!E2012</f>
        <v>자연</v>
      </c>
      <c r="E2006" s="9" t="str">
        <f>[1]Discovery!C2012</f>
        <v>지리</v>
      </c>
      <c r="F2006" s="9" t="str">
        <f>[1]Discovery!G2012</f>
        <v>A</v>
      </c>
      <c r="G2006" s="9" t="str">
        <f>IFERROR(VLOOKUP(표1[[#This Row],[명칭]],'문화권 정리'!C:D,2,FALSE),"-")</f>
        <v>남아시아</v>
      </c>
      <c r="H2006" s="38" t="str">
        <f>IFERROR(COUNTIF([2]OceanDoodad!$Y:$Y,표1[[#This Row],[명칭]]),"-")</f>
        <v>-</v>
      </c>
      <c r="I2006" s="38">
        <f>IFERROR(COUNTIF([1]AdventureDiscoveryGroup!$D$8:$AW$92,표1[[#This Row],[명칭]]),"-")</f>
        <v>0</v>
      </c>
      <c r="J2006" s="38">
        <f>IFERROR(COUNTIF([1]FishDiscoveryGroup!$A:$X,표1[[#This Row],[명칭]]),"-")</f>
        <v>0</v>
      </c>
      <c r="K2006" s="38" t="str">
        <f>IFERROR(COUNTIF([2]Town!$B:$B,표1[[#This Row],[명칭]]),"-")</f>
        <v>-</v>
      </c>
      <c r="L2006" s="38">
        <f>IFERROR(COUNTIF([1]Village!$BR:$BR,표1[[#This Row],[명칭]]),"-")</f>
        <v>0</v>
      </c>
      <c r="M2006" s="38">
        <f>COUNTIF(퀘스트!B:B,표1[[#This Row],[명칭]])</f>
        <v>0</v>
      </c>
      <c r="N2006" s="65">
        <f>COUNTIF([1]VillageDiscoveryGroup!$C:$C,표1[[#This Row],[명칭]])</f>
        <v>0</v>
      </c>
      <c r="O2006" s="65">
        <f>SUM(표1[[#This Row],[해양탐색]:[마을탐험]])</f>
        <v>0</v>
      </c>
    </row>
    <row r="2007" spans="2:15" ht="13.5" customHeight="1" x14ac:dyDescent="0.3">
      <c r="B2007" s="9">
        <f>[1]Discovery!A2013</f>
        <v>70413223</v>
      </c>
      <c r="C2007" s="9" t="str">
        <f>[1]Discovery!B2013</f>
        <v>안다만해</v>
      </c>
      <c r="D2007" s="9" t="str">
        <f>[1]Discovery!E2013</f>
        <v>자연</v>
      </c>
      <c r="E2007" s="9" t="str">
        <f>[1]Discovery!C2013</f>
        <v>지리</v>
      </c>
      <c r="F2007" s="9" t="str">
        <f>[1]Discovery!G2013</f>
        <v>B</v>
      </c>
      <c r="G2007" s="9" t="str">
        <f>IFERROR(VLOOKUP(표1[[#This Row],[명칭]],'문화권 정리'!C:D,2,FALSE),"-")</f>
        <v>남아시아</v>
      </c>
      <c r="H2007" s="38" t="str">
        <f>IFERROR(COUNTIF([2]OceanDoodad!$Y:$Y,표1[[#This Row],[명칭]]),"-")</f>
        <v>-</v>
      </c>
      <c r="I2007" s="38">
        <f>IFERROR(COUNTIF([1]AdventureDiscoveryGroup!$D$8:$AW$92,표1[[#This Row],[명칭]]),"-")</f>
        <v>0</v>
      </c>
      <c r="J2007" s="38">
        <f>IFERROR(COUNTIF([1]FishDiscoveryGroup!$A:$X,표1[[#This Row],[명칭]]),"-")</f>
        <v>0</v>
      </c>
      <c r="K2007" s="38" t="str">
        <f>IFERROR(COUNTIF([2]Town!$B:$B,표1[[#This Row],[명칭]]),"-")</f>
        <v>-</v>
      </c>
      <c r="L2007" s="38">
        <f>IFERROR(COUNTIF([1]Village!$BR:$BR,표1[[#This Row],[명칭]]),"-")</f>
        <v>0</v>
      </c>
      <c r="M2007" s="38">
        <f>COUNTIF(퀘스트!B:B,표1[[#This Row],[명칭]])</f>
        <v>0</v>
      </c>
      <c r="N2007" s="65">
        <f>COUNTIF([1]VillageDiscoveryGroup!$C:$C,표1[[#This Row],[명칭]])</f>
        <v>0</v>
      </c>
      <c r="O2007" s="65">
        <f>SUM(표1[[#This Row],[해양탐색]:[마을탐험]])</f>
        <v>0</v>
      </c>
    </row>
    <row r="2008" spans="2:15" ht="13.5" customHeight="1" x14ac:dyDescent="0.3">
      <c r="B2008" s="9">
        <f>[1]Discovery!A2014</f>
        <v>70413224</v>
      </c>
      <c r="C2008" s="9" t="str">
        <f>[1]Discovery!B2014</f>
        <v>안데스산맥</v>
      </c>
      <c r="D2008" s="9" t="str">
        <f>[1]Discovery!E2014</f>
        <v>자연</v>
      </c>
      <c r="E2008" s="9" t="str">
        <f>[1]Discovery!C2014</f>
        <v>지리</v>
      </c>
      <c r="F2008" s="9" t="str">
        <f>[1]Discovery!G2014</f>
        <v>B</v>
      </c>
      <c r="G2008" s="9" t="str">
        <f>IFERROR(VLOOKUP(표1[[#This Row],[명칭]],'문화권 정리'!C:D,2,FALSE),"-")</f>
        <v>남아메리카</v>
      </c>
      <c r="H2008" s="38" t="str">
        <f>IFERROR(COUNTIF([2]OceanDoodad!$Y:$Y,표1[[#This Row],[명칭]]),"-")</f>
        <v>-</v>
      </c>
      <c r="I2008" s="38">
        <f>IFERROR(COUNTIF([1]AdventureDiscoveryGroup!$D$8:$AW$92,표1[[#This Row],[명칭]]),"-")</f>
        <v>0</v>
      </c>
      <c r="J2008" s="38">
        <f>IFERROR(COUNTIF([1]FishDiscoveryGroup!$A:$X,표1[[#This Row],[명칭]]),"-")</f>
        <v>0</v>
      </c>
      <c r="K2008" s="38" t="str">
        <f>IFERROR(COUNTIF([2]Town!$B:$B,표1[[#This Row],[명칭]]),"-")</f>
        <v>-</v>
      </c>
      <c r="L2008" s="38">
        <f>IFERROR(COUNTIF([1]Village!$BR:$BR,표1[[#This Row],[명칭]]),"-")</f>
        <v>0</v>
      </c>
      <c r="M2008" s="38">
        <f>COUNTIF(퀘스트!B:B,표1[[#This Row],[명칭]])</f>
        <v>0</v>
      </c>
      <c r="N2008" s="65">
        <f>COUNTIF([1]VillageDiscoveryGroup!$C:$C,표1[[#This Row],[명칭]])</f>
        <v>0</v>
      </c>
      <c r="O2008" s="65">
        <f>SUM(표1[[#This Row],[해양탐색]:[마을탐험]])</f>
        <v>0</v>
      </c>
    </row>
    <row r="2009" spans="2:15" ht="13.5" customHeight="1" x14ac:dyDescent="0.3">
      <c r="B2009" s="9">
        <f>[1]Discovery!A2015</f>
        <v>70413225</v>
      </c>
      <c r="C2009" s="9" t="str">
        <f>[1]Discovery!B2015</f>
        <v>알다브라 환초</v>
      </c>
      <c r="D2009" s="9" t="str">
        <f>[1]Discovery!E2015</f>
        <v>자연</v>
      </c>
      <c r="E2009" s="9" t="str">
        <f>[1]Discovery!C2015</f>
        <v>지리</v>
      </c>
      <c r="F2009" s="9" t="str">
        <f>[1]Discovery!G2015</f>
        <v>S</v>
      </c>
      <c r="G2009" s="9" t="str">
        <f>IFERROR(VLOOKUP(표1[[#This Row],[명칭]],'문화권 정리'!C:D,2,FALSE),"-")</f>
        <v>동아프리카</v>
      </c>
      <c r="H2009" s="38" t="str">
        <f>IFERROR(COUNTIF([2]OceanDoodad!$Y:$Y,표1[[#This Row],[명칭]]),"-")</f>
        <v>-</v>
      </c>
      <c r="I2009" s="38">
        <f>IFERROR(COUNTIF([1]AdventureDiscoveryGroup!$D$8:$AW$92,표1[[#This Row],[명칭]]),"-")</f>
        <v>0</v>
      </c>
      <c r="J2009" s="38">
        <f>IFERROR(COUNTIF([1]FishDiscoveryGroup!$A:$X,표1[[#This Row],[명칭]]),"-")</f>
        <v>0</v>
      </c>
      <c r="K2009" s="38" t="str">
        <f>IFERROR(COUNTIF([2]Town!$B:$B,표1[[#This Row],[명칭]]),"-")</f>
        <v>-</v>
      </c>
      <c r="L2009" s="38">
        <f>IFERROR(COUNTIF([1]Village!$BR:$BR,표1[[#This Row],[명칭]]),"-")</f>
        <v>0</v>
      </c>
      <c r="M2009" s="38">
        <f>COUNTIF(퀘스트!B:B,표1[[#This Row],[명칭]])</f>
        <v>0</v>
      </c>
      <c r="N2009" s="65">
        <f>COUNTIF([1]VillageDiscoveryGroup!$C:$C,표1[[#This Row],[명칭]])</f>
        <v>0</v>
      </c>
      <c r="O2009" s="65">
        <f>SUM(표1[[#This Row],[해양탐색]:[마을탐험]])</f>
        <v>0</v>
      </c>
    </row>
    <row r="2010" spans="2:15" ht="13.5" customHeight="1" x14ac:dyDescent="0.3">
      <c r="B2010" s="9">
        <f>[1]Discovery!A2016</f>
        <v>70413226</v>
      </c>
      <c r="C2010" s="9" t="str">
        <f>[1]Discovery!B2016</f>
        <v>알류샨열도</v>
      </c>
      <c r="D2010" s="9" t="str">
        <f>[1]Discovery!E2016</f>
        <v>자연</v>
      </c>
      <c r="E2010" s="9" t="str">
        <f>[1]Discovery!C2016</f>
        <v>지리</v>
      </c>
      <c r="F2010" s="9" t="str">
        <f>[1]Discovery!G2016</f>
        <v>A</v>
      </c>
      <c r="G2010" s="9" t="str">
        <f>IFERROR(VLOOKUP(표1[[#This Row],[명칭]],'문화권 정리'!C:D,2,FALSE),"-")</f>
        <v>북아메리카</v>
      </c>
      <c r="H2010" s="38" t="str">
        <f>IFERROR(COUNTIF([2]OceanDoodad!$Y:$Y,표1[[#This Row],[명칭]]),"-")</f>
        <v>-</v>
      </c>
      <c r="I2010" s="38">
        <f>IFERROR(COUNTIF([1]AdventureDiscoveryGroup!$D$8:$AW$92,표1[[#This Row],[명칭]]),"-")</f>
        <v>0</v>
      </c>
      <c r="J2010" s="38">
        <f>IFERROR(COUNTIF([1]FishDiscoveryGroup!$A:$X,표1[[#This Row],[명칭]]),"-")</f>
        <v>0</v>
      </c>
      <c r="K2010" s="38" t="str">
        <f>IFERROR(COUNTIF([2]Town!$B:$B,표1[[#This Row],[명칭]]),"-")</f>
        <v>-</v>
      </c>
      <c r="L2010" s="38">
        <f>IFERROR(COUNTIF([1]Village!$BR:$BR,표1[[#This Row],[명칭]]),"-")</f>
        <v>0</v>
      </c>
      <c r="M2010" s="38">
        <f>COUNTIF(퀘스트!B:B,표1[[#This Row],[명칭]])</f>
        <v>0</v>
      </c>
      <c r="N2010" s="65">
        <f>COUNTIF([1]VillageDiscoveryGroup!$C:$C,표1[[#This Row],[명칭]])</f>
        <v>0</v>
      </c>
      <c r="O2010" s="65">
        <f>SUM(표1[[#This Row],[해양탐색]:[마을탐험]])</f>
        <v>0</v>
      </c>
    </row>
    <row r="2011" spans="2:15" ht="13.5" customHeight="1" x14ac:dyDescent="0.3">
      <c r="B2011" s="9">
        <f>[1]Discovery!A2017</f>
        <v>70413227</v>
      </c>
      <c r="C2011" s="9" t="str">
        <f>[1]Discovery!B2017</f>
        <v>알타이산맥</v>
      </c>
      <c r="D2011" s="9" t="str">
        <f>[1]Discovery!E2017</f>
        <v>자연</v>
      </c>
      <c r="E2011" s="9" t="str">
        <f>[1]Discovery!C2017</f>
        <v>지리</v>
      </c>
      <c r="F2011" s="9" t="str">
        <f>[1]Discovery!G2017</f>
        <v>B</v>
      </c>
      <c r="G2011" s="9" t="str">
        <f>IFERROR(VLOOKUP(표1[[#This Row],[명칭]],'문화권 정리'!C:D,2,FALSE),"-")</f>
        <v>동아시아</v>
      </c>
      <c r="H2011" s="38" t="str">
        <f>IFERROR(COUNTIF([2]OceanDoodad!$Y:$Y,표1[[#This Row],[명칭]]),"-")</f>
        <v>-</v>
      </c>
      <c r="I2011" s="38">
        <f>IFERROR(COUNTIF([1]AdventureDiscoveryGroup!$D$8:$AW$92,표1[[#This Row],[명칭]]),"-")</f>
        <v>0</v>
      </c>
      <c r="J2011" s="38">
        <f>IFERROR(COUNTIF([1]FishDiscoveryGroup!$A:$X,표1[[#This Row],[명칭]]),"-")</f>
        <v>0</v>
      </c>
      <c r="K2011" s="38" t="str">
        <f>IFERROR(COUNTIF([2]Town!$B:$B,표1[[#This Row],[명칭]]),"-")</f>
        <v>-</v>
      </c>
      <c r="L2011" s="38">
        <f>IFERROR(COUNTIF([1]Village!$BR:$BR,표1[[#This Row],[명칭]]),"-")</f>
        <v>0</v>
      </c>
      <c r="M2011" s="38">
        <f>COUNTIF(퀘스트!B:B,표1[[#This Row],[명칭]])</f>
        <v>0</v>
      </c>
      <c r="N2011" s="65">
        <f>COUNTIF([1]VillageDiscoveryGroup!$C:$C,표1[[#This Row],[명칭]])</f>
        <v>0</v>
      </c>
      <c r="O2011" s="65">
        <f>SUM(표1[[#This Row],[해양탐색]:[마을탐험]])</f>
        <v>0</v>
      </c>
    </row>
    <row r="2012" spans="2:15" ht="13.5" customHeight="1" x14ac:dyDescent="0.3">
      <c r="B2012" s="9">
        <f>[1]Discovery!A2018</f>
        <v>70413228</v>
      </c>
      <c r="C2012" s="9" t="str">
        <f>[1]Discovery!B2018</f>
        <v>앙헬폭포</v>
      </c>
      <c r="D2012" s="9" t="str">
        <f>[1]Discovery!E2018</f>
        <v>자연</v>
      </c>
      <c r="E2012" s="9" t="str">
        <f>[1]Discovery!C2018</f>
        <v>지리</v>
      </c>
      <c r="F2012" s="9" t="str">
        <f>[1]Discovery!G2018</f>
        <v>B</v>
      </c>
      <c r="G2012" s="9" t="str">
        <f>IFERROR(VLOOKUP(표1[[#This Row],[명칭]],'문화권 정리'!C:D,2,FALSE),"-")</f>
        <v>남아메리카</v>
      </c>
      <c r="H2012" s="38" t="str">
        <f>IFERROR(COUNTIF([2]OceanDoodad!$Y:$Y,표1[[#This Row],[명칭]]),"-")</f>
        <v>-</v>
      </c>
      <c r="I2012" s="38">
        <f>IFERROR(COUNTIF([1]AdventureDiscoveryGroup!$D$8:$AW$92,표1[[#This Row],[명칭]]),"-")</f>
        <v>0</v>
      </c>
      <c r="J2012" s="38">
        <f>IFERROR(COUNTIF([1]FishDiscoveryGroup!$A:$X,표1[[#This Row],[명칭]]),"-")</f>
        <v>0</v>
      </c>
      <c r="K2012" s="38" t="str">
        <f>IFERROR(COUNTIF([2]Town!$B:$B,표1[[#This Row],[명칭]]),"-")</f>
        <v>-</v>
      </c>
      <c r="L2012" s="38">
        <f>IFERROR(COUNTIF([1]Village!$BR:$BR,표1[[#This Row],[명칭]]),"-")</f>
        <v>0</v>
      </c>
      <c r="M2012" s="38">
        <f>COUNTIF(퀘스트!B:B,표1[[#This Row],[명칭]])</f>
        <v>0</v>
      </c>
      <c r="N2012" s="65">
        <f>COUNTIF([1]VillageDiscoveryGroup!$C:$C,표1[[#This Row],[명칭]])</f>
        <v>0</v>
      </c>
      <c r="O2012" s="65">
        <f>SUM(표1[[#This Row],[해양탐색]:[마을탐험]])</f>
        <v>0</v>
      </c>
    </row>
    <row r="2013" spans="2:15" ht="13.5" customHeight="1" x14ac:dyDescent="0.3">
      <c r="B2013" s="9">
        <f>[1]Discovery!A2019</f>
        <v>70413229</v>
      </c>
      <c r="C2013" s="9" t="str">
        <f>[1]Discovery!B2019</f>
        <v>애팔래치아산맥</v>
      </c>
      <c r="D2013" s="9" t="str">
        <f>[1]Discovery!E2019</f>
        <v>자연</v>
      </c>
      <c r="E2013" s="9" t="str">
        <f>[1]Discovery!C2019</f>
        <v>지리</v>
      </c>
      <c r="F2013" s="9" t="str">
        <f>[1]Discovery!G2019</f>
        <v>D</v>
      </c>
      <c r="G2013" s="9" t="str">
        <f>IFERROR(VLOOKUP(표1[[#This Row],[명칭]],'문화권 정리'!C:D,2,FALSE),"-")</f>
        <v>북아메리카</v>
      </c>
      <c r="H2013" s="38" t="str">
        <f>IFERROR(COUNTIF([2]OceanDoodad!$Y:$Y,표1[[#This Row],[명칭]]),"-")</f>
        <v>-</v>
      </c>
      <c r="I2013" s="38">
        <f>IFERROR(COUNTIF([1]AdventureDiscoveryGroup!$D$8:$AW$92,표1[[#This Row],[명칭]]),"-")</f>
        <v>0</v>
      </c>
      <c r="J2013" s="38">
        <f>IFERROR(COUNTIF([1]FishDiscoveryGroup!$A:$X,표1[[#This Row],[명칭]]),"-")</f>
        <v>0</v>
      </c>
      <c r="K2013" s="38" t="str">
        <f>IFERROR(COUNTIF([2]Town!$B:$B,표1[[#This Row],[명칭]]),"-")</f>
        <v>-</v>
      </c>
      <c r="L2013" s="38">
        <f>IFERROR(COUNTIF([1]Village!$BR:$BR,표1[[#This Row],[명칭]]),"-")</f>
        <v>0</v>
      </c>
      <c r="M2013" s="38">
        <f>COUNTIF(퀘스트!B:B,표1[[#This Row],[명칭]])</f>
        <v>0</v>
      </c>
      <c r="N2013" s="65">
        <f>COUNTIF([1]VillageDiscoveryGroup!$C:$C,표1[[#This Row],[명칭]])</f>
        <v>0</v>
      </c>
      <c r="O2013" s="65">
        <f>SUM(표1[[#This Row],[해양탐색]:[마을탐험]])</f>
        <v>0</v>
      </c>
    </row>
    <row r="2014" spans="2:15" ht="13.5" customHeight="1" x14ac:dyDescent="0.3">
      <c r="B2014" s="9">
        <f>[1]Discovery!A2020</f>
        <v>70413230</v>
      </c>
      <c r="C2014" s="9" t="str">
        <f>[1]Discovery!B2020</f>
        <v>앨버트산</v>
      </c>
      <c r="D2014" s="9" t="str">
        <f>[1]Discovery!E2020</f>
        <v>자연</v>
      </c>
      <c r="E2014" s="9" t="str">
        <f>[1]Discovery!C2020</f>
        <v>지리</v>
      </c>
      <c r="F2014" s="9" t="str">
        <f>[1]Discovery!G2020</f>
        <v>A</v>
      </c>
      <c r="G2014" s="9" t="str">
        <f>IFERROR(VLOOKUP(표1[[#This Row],[명칭]],'문화권 정리'!C:D,2,FALSE),"-")</f>
        <v>북아메리카</v>
      </c>
      <c r="H2014" s="38" t="str">
        <f>IFERROR(COUNTIF([2]OceanDoodad!$Y:$Y,표1[[#This Row],[명칭]]),"-")</f>
        <v>-</v>
      </c>
      <c r="I2014" s="38">
        <f>IFERROR(COUNTIF([1]AdventureDiscoveryGroup!$D$8:$AW$92,표1[[#This Row],[명칭]]),"-")</f>
        <v>0</v>
      </c>
      <c r="J2014" s="38">
        <f>IFERROR(COUNTIF([1]FishDiscoveryGroup!$A:$X,표1[[#This Row],[명칭]]),"-")</f>
        <v>0</v>
      </c>
      <c r="K2014" s="38" t="str">
        <f>IFERROR(COUNTIF([2]Town!$B:$B,표1[[#This Row],[명칭]]),"-")</f>
        <v>-</v>
      </c>
      <c r="L2014" s="38">
        <f>IFERROR(COUNTIF([1]Village!$BR:$BR,표1[[#This Row],[명칭]]),"-")</f>
        <v>0</v>
      </c>
      <c r="M2014" s="38">
        <f>COUNTIF(퀘스트!B:B,표1[[#This Row],[명칭]])</f>
        <v>0</v>
      </c>
      <c r="N2014" s="65">
        <f>COUNTIF([1]VillageDiscoveryGroup!$C:$C,표1[[#This Row],[명칭]])</f>
        <v>0</v>
      </c>
      <c r="O2014" s="65">
        <f>SUM(표1[[#This Row],[해양탐색]:[마을탐험]])</f>
        <v>0</v>
      </c>
    </row>
    <row r="2015" spans="2:15" ht="13.5" customHeight="1" x14ac:dyDescent="0.3">
      <c r="B2015" s="9">
        <f>[1]Discovery!A2021</f>
        <v>70413231</v>
      </c>
      <c r="C2015" s="9" t="str">
        <f>[1]Discovery!B2021</f>
        <v>야쿠섬</v>
      </c>
      <c r="D2015" s="9" t="str">
        <f>[1]Discovery!E2021</f>
        <v>자연</v>
      </c>
      <c r="E2015" s="9" t="str">
        <f>[1]Discovery!C2021</f>
        <v>지리</v>
      </c>
      <c r="F2015" s="9" t="str">
        <f>[1]Discovery!G2021</f>
        <v>B</v>
      </c>
      <c r="G2015" s="9" t="str">
        <f>IFERROR(VLOOKUP(표1[[#This Row],[명칭]],'문화권 정리'!C:D,2,FALSE),"-")</f>
        <v>동아시아</v>
      </c>
      <c r="H2015" s="38" t="str">
        <f>IFERROR(COUNTIF([2]OceanDoodad!$Y:$Y,표1[[#This Row],[명칭]]),"-")</f>
        <v>-</v>
      </c>
      <c r="I2015" s="38">
        <f>IFERROR(COUNTIF([1]AdventureDiscoveryGroup!$D$8:$AW$92,표1[[#This Row],[명칭]]),"-")</f>
        <v>0</v>
      </c>
      <c r="J2015" s="38">
        <f>IFERROR(COUNTIF([1]FishDiscoveryGroup!$A:$X,표1[[#This Row],[명칭]]),"-")</f>
        <v>0</v>
      </c>
      <c r="K2015" s="38" t="str">
        <f>IFERROR(COUNTIF([2]Town!$B:$B,표1[[#This Row],[명칭]]),"-")</f>
        <v>-</v>
      </c>
      <c r="L2015" s="38">
        <f>IFERROR(COUNTIF([1]Village!$BR:$BR,표1[[#This Row],[명칭]]),"-")</f>
        <v>0</v>
      </c>
      <c r="M2015" s="38">
        <f>COUNTIF(퀘스트!B:B,표1[[#This Row],[명칭]])</f>
        <v>0</v>
      </c>
      <c r="N2015" s="65">
        <f>COUNTIF([1]VillageDiscoveryGroup!$C:$C,표1[[#This Row],[명칭]])</f>
        <v>0</v>
      </c>
      <c r="O2015" s="65">
        <f>SUM(표1[[#This Row],[해양탐색]:[마을탐험]])</f>
        <v>0</v>
      </c>
    </row>
    <row r="2016" spans="2:15" ht="13.5" customHeight="1" x14ac:dyDescent="0.3">
      <c r="B2016" s="9">
        <f>[1]Discovery!A2022</f>
        <v>70413232</v>
      </c>
      <c r="C2016" s="9" t="str">
        <f>[1]Discovery!B2022</f>
        <v>어센션섬</v>
      </c>
      <c r="D2016" s="9" t="str">
        <f>[1]Discovery!E2022</f>
        <v>자연</v>
      </c>
      <c r="E2016" s="9" t="str">
        <f>[1]Discovery!C2022</f>
        <v>지리</v>
      </c>
      <c r="F2016" s="9" t="str">
        <f>[1]Discovery!G2022</f>
        <v>S</v>
      </c>
      <c r="G2016" s="9" t="str">
        <f>IFERROR(VLOOKUP(표1[[#This Row],[명칭]],'문화권 정리'!C:D,2,FALSE),"-")</f>
        <v>북아메리카</v>
      </c>
      <c r="H2016" s="38" t="str">
        <f>IFERROR(COUNTIF([2]OceanDoodad!$Y:$Y,표1[[#This Row],[명칭]]),"-")</f>
        <v>-</v>
      </c>
      <c r="I2016" s="38">
        <f>IFERROR(COUNTIF([1]AdventureDiscoveryGroup!$D$8:$AW$92,표1[[#This Row],[명칭]]),"-")</f>
        <v>0</v>
      </c>
      <c r="J2016" s="38">
        <f>IFERROR(COUNTIF([1]FishDiscoveryGroup!$A:$X,표1[[#This Row],[명칭]]),"-")</f>
        <v>0</v>
      </c>
      <c r="K2016" s="38" t="str">
        <f>IFERROR(COUNTIF([2]Town!$B:$B,표1[[#This Row],[명칭]]),"-")</f>
        <v>-</v>
      </c>
      <c r="L2016" s="38">
        <f>IFERROR(COUNTIF([1]Village!$BR:$BR,표1[[#This Row],[명칭]]),"-")</f>
        <v>0</v>
      </c>
      <c r="M2016" s="38">
        <f>COUNTIF(퀘스트!B:B,표1[[#This Row],[명칭]])</f>
        <v>0</v>
      </c>
      <c r="N2016" s="65">
        <f>COUNTIF([1]VillageDiscoveryGroup!$C:$C,표1[[#This Row],[명칭]])</f>
        <v>0</v>
      </c>
      <c r="O2016" s="65">
        <f>SUM(표1[[#This Row],[해양탐색]:[마을탐험]])</f>
        <v>0</v>
      </c>
    </row>
    <row r="2017" spans="2:15" ht="13.5" customHeight="1" x14ac:dyDescent="0.3">
      <c r="B2017" s="9">
        <f>[1]Discovery!A2023</f>
        <v>70413233</v>
      </c>
      <c r="C2017" s="9" t="str">
        <f>[1]Discovery!B2023</f>
        <v>에게해</v>
      </c>
      <c r="D2017" s="9" t="str">
        <f>[1]Discovery!E2023</f>
        <v>자연</v>
      </c>
      <c r="E2017" s="9" t="str">
        <f>[1]Discovery!C2023</f>
        <v>지리</v>
      </c>
      <c r="F2017" s="9" t="str">
        <f>[1]Discovery!G2023</f>
        <v>D</v>
      </c>
      <c r="G2017" s="9" t="str">
        <f>IFERROR(VLOOKUP(표1[[#This Row],[명칭]],'문화권 정리'!C:D,2,FALSE),"-")</f>
        <v>지중해</v>
      </c>
      <c r="H2017" s="38" t="str">
        <f>IFERROR(COUNTIF([2]OceanDoodad!$Y:$Y,표1[[#This Row],[명칭]]),"-")</f>
        <v>-</v>
      </c>
      <c r="I2017" s="38">
        <f>IFERROR(COUNTIF([1]AdventureDiscoveryGroup!$D$8:$AW$92,표1[[#This Row],[명칭]]),"-")</f>
        <v>0</v>
      </c>
      <c r="J2017" s="38">
        <f>IFERROR(COUNTIF([1]FishDiscoveryGroup!$A:$X,표1[[#This Row],[명칭]]),"-")</f>
        <v>0</v>
      </c>
      <c r="K2017" s="38" t="str">
        <f>IFERROR(COUNTIF([2]Town!$B:$B,표1[[#This Row],[명칭]]),"-")</f>
        <v>-</v>
      </c>
      <c r="L2017" s="38">
        <f>IFERROR(COUNTIF([1]Village!$BR:$BR,표1[[#This Row],[명칭]]),"-")</f>
        <v>0</v>
      </c>
      <c r="M2017" s="38">
        <f>COUNTIF(퀘스트!B:B,표1[[#This Row],[명칭]])</f>
        <v>0</v>
      </c>
      <c r="N2017" s="65">
        <f>COUNTIF([1]VillageDiscoveryGroup!$C:$C,표1[[#This Row],[명칭]])</f>
        <v>0</v>
      </c>
      <c r="O2017" s="65">
        <f>SUM(표1[[#This Row],[해양탐색]:[마을탐험]])</f>
        <v>0</v>
      </c>
    </row>
    <row r="2018" spans="2:15" ht="13.5" customHeight="1" x14ac:dyDescent="0.3">
      <c r="B2018" s="9">
        <f>[1]Discovery!A2024</f>
        <v>70413234</v>
      </c>
      <c r="C2018" s="9" t="str">
        <f>[1]Discovery!B2024</f>
        <v>에어 반도</v>
      </c>
      <c r="D2018" s="9" t="str">
        <f>[1]Discovery!E2024</f>
        <v>자연</v>
      </c>
      <c r="E2018" s="9" t="str">
        <f>[1]Discovery!C2024</f>
        <v>지리</v>
      </c>
      <c r="F2018" s="9" t="str">
        <f>[1]Discovery!G2024</f>
        <v>C</v>
      </c>
      <c r="G2018" s="9" t="str">
        <f>IFERROR(VLOOKUP(표1[[#This Row],[명칭]],'문화권 정리'!C:D,2,FALSE),"-")</f>
        <v>오세아니아</v>
      </c>
      <c r="H2018" s="38" t="str">
        <f>IFERROR(COUNTIF([2]OceanDoodad!$Y:$Y,표1[[#This Row],[명칭]]),"-")</f>
        <v>-</v>
      </c>
      <c r="I2018" s="38">
        <f>IFERROR(COUNTIF([1]AdventureDiscoveryGroup!$D$8:$AW$92,표1[[#This Row],[명칭]]),"-")</f>
        <v>0</v>
      </c>
      <c r="J2018" s="38">
        <f>IFERROR(COUNTIF([1]FishDiscoveryGroup!$A:$X,표1[[#This Row],[명칭]]),"-")</f>
        <v>0</v>
      </c>
      <c r="K2018" s="38" t="str">
        <f>IFERROR(COUNTIF([2]Town!$B:$B,표1[[#This Row],[명칭]]),"-")</f>
        <v>-</v>
      </c>
      <c r="L2018" s="38">
        <f>IFERROR(COUNTIF([1]Village!$BR:$BR,표1[[#This Row],[명칭]]),"-")</f>
        <v>0</v>
      </c>
      <c r="M2018" s="38">
        <f>COUNTIF(퀘스트!B:B,표1[[#This Row],[명칭]])</f>
        <v>0</v>
      </c>
      <c r="N2018" s="65">
        <f>COUNTIF([1]VillageDiscoveryGroup!$C:$C,표1[[#This Row],[명칭]])</f>
        <v>0</v>
      </c>
      <c r="O2018" s="65">
        <f>SUM(표1[[#This Row],[해양탐색]:[마을탐험]])</f>
        <v>0</v>
      </c>
    </row>
    <row r="2019" spans="2:15" ht="13.5" customHeight="1" x14ac:dyDescent="0.3">
      <c r="B2019" s="9">
        <f>[1]Discovery!A2025</f>
        <v>70413235</v>
      </c>
      <c r="C2019" s="9" t="str">
        <f>[1]Discovery!B2025</f>
        <v>에트나산</v>
      </c>
      <c r="D2019" s="9" t="str">
        <f>[1]Discovery!E2025</f>
        <v>자연</v>
      </c>
      <c r="E2019" s="9" t="str">
        <f>[1]Discovery!C2025</f>
        <v>지리</v>
      </c>
      <c r="F2019" s="9" t="str">
        <f>[1]Discovery!G2025</f>
        <v>A</v>
      </c>
      <c r="G2019" s="9" t="str">
        <f>IFERROR(VLOOKUP(표1[[#This Row],[명칭]],'문화권 정리'!C:D,2,FALSE),"-")</f>
        <v>지중해</v>
      </c>
      <c r="H2019" s="38" t="str">
        <f>IFERROR(COUNTIF([2]OceanDoodad!$Y:$Y,표1[[#This Row],[명칭]]),"-")</f>
        <v>-</v>
      </c>
      <c r="I2019" s="38">
        <f>IFERROR(COUNTIF([1]AdventureDiscoveryGroup!$D$8:$AW$92,표1[[#This Row],[명칭]]),"-")</f>
        <v>0</v>
      </c>
      <c r="J2019" s="38">
        <f>IFERROR(COUNTIF([1]FishDiscoveryGroup!$A:$X,표1[[#This Row],[명칭]]),"-")</f>
        <v>0</v>
      </c>
      <c r="K2019" s="38" t="str">
        <f>IFERROR(COUNTIF([2]Town!$B:$B,표1[[#This Row],[명칭]]),"-")</f>
        <v>-</v>
      </c>
      <c r="L2019" s="38">
        <f>IFERROR(COUNTIF([1]Village!$BR:$BR,표1[[#This Row],[명칭]]),"-")</f>
        <v>0</v>
      </c>
      <c r="M2019" s="38">
        <f>COUNTIF(퀘스트!B:B,표1[[#This Row],[명칭]])</f>
        <v>1</v>
      </c>
      <c r="N2019" s="65">
        <f>COUNTIF([1]VillageDiscoveryGroup!$C:$C,표1[[#This Row],[명칭]])</f>
        <v>0</v>
      </c>
      <c r="O2019" s="65">
        <f>SUM(표1[[#This Row],[해양탐색]:[마을탐험]])</f>
        <v>1</v>
      </c>
    </row>
    <row r="2020" spans="2:15" ht="13.5" customHeight="1" x14ac:dyDescent="0.3">
      <c r="B2020" s="9">
        <f>[1]Discovery!A2026</f>
        <v>70413236</v>
      </c>
      <c r="C2020" s="9" t="str">
        <f>[1]Discovery!B2026</f>
        <v>엘 리몬의 폭포</v>
      </c>
      <c r="D2020" s="9" t="str">
        <f>[1]Discovery!E2026</f>
        <v>자연</v>
      </c>
      <c r="E2020" s="9" t="str">
        <f>[1]Discovery!C2026</f>
        <v>지리</v>
      </c>
      <c r="F2020" s="9" t="str">
        <f>[1]Discovery!G2026</f>
        <v>B</v>
      </c>
      <c r="G2020" s="9" t="str">
        <f>IFERROR(VLOOKUP(표1[[#This Row],[명칭]],'문화권 정리'!C:D,2,FALSE),"-")</f>
        <v>중앙아메리카</v>
      </c>
      <c r="H2020" s="38" t="str">
        <f>IFERROR(COUNTIF([2]OceanDoodad!$Y:$Y,표1[[#This Row],[명칭]]),"-")</f>
        <v>-</v>
      </c>
      <c r="I2020" s="38">
        <f>IFERROR(COUNTIF([1]AdventureDiscoveryGroup!$D$8:$AW$92,표1[[#This Row],[명칭]]),"-")</f>
        <v>0</v>
      </c>
      <c r="J2020" s="38">
        <f>IFERROR(COUNTIF([1]FishDiscoveryGroup!$A:$X,표1[[#This Row],[명칭]]),"-")</f>
        <v>0</v>
      </c>
      <c r="K2020" s="38" t="str">
        <f>IFERROR(COUNTIF([2]Town!$B:$B,표1[[#This Row],[명칭]]),"-")</f>
        <v>-</v>
      </c>
      <c r="L2020" s="38">
        <f>IFERROR(COUNTIF([1]Village!$BR:$BR,표1[[#This Row],[명칭]]),"-")</f>
        <v>0</v>
      </c>
      <c r="M2020" s="38">
        <f>COUNTIF(퀘스트!B:B,표1[[#This Row],[명칭]])</f>
        <v>0</v>
      </c>
      <c r="N2020" s="65">
        <f>COUNTIF([1]VillageDiscoveryGroup!$C:$C,표1[[#This Row],[명칭]])</f>
        <v>0</v>
      </c>
      <c r="O2020" s="65">
        <f>SUM(표1[[#This Row],[해양탐색]:[마을탐험]])</f>
        <v>0</v>
      </c>
    </row>
    <row r="2021" spans="2:15" ht="13.5" customHeight="1" x14ac:dyDescent="0.3">
      <c r="B2021" s="9">
        <f>[1]Discovery!A2027</f>
        <v>70413237</v>
      </c>
      <c r="C2021" s="9" t="str">
        <f>[1]Discovery!B2027</f>
        <v>엘레우테라섬</v>
      </c>
      <c r="D2021" s="9" t="str">
        <f>[1]Discovery!E2027</f>
        <v>자연</v>
      </c>
      <c r="E2021" s="9" t="str">
        <f>[1]Discovery!C2027</f>
        <v>지리</v>
      </c>
      <c r="F2021" s="9" t="str">
        <f>[1]Discovery!G2027</f>
        <v>B</v>
      </c>
      <c r="G2021" s="9" t="str">
        <f>IFERROR(VLOOKUP(표1[[#This Row],[명칭]],'문화권 정리'!C:D,2,FALSE),"-")</f>
        <v>중앙아메리카</v>
      </c>
      <c r="H2021" s="38" t="str">
        <f>IFERROR(COUNTIF([2]OceanDoodad!$Y:$Y,표1[[#This Row],[명칭]]),"-")</f>
        <v>-</v>
      </c>
      <c r="I2021" s="38">
        <f>IFERROR(COUNTIF([1]AdventureDiscoveryGroup!$D$8:$AW$92,표1[[#This Row],[명칭]]),"-")</f>
        <v>0</v>
      </c>
      <c r="J2021" s="38">
        <f>IFERROR(COUNTIF([1]FishDiscoveryGroup!$A:$X,표1[[#This Row],[명칭]]),"-")</f>
        <v>0</v>
      </c>
      <c r="K2021" s="38" t="str">
        <f>IFERROR(COUNTIF([2]Town!$B:$B,표1[[#This Row],[명칭]]),"-")</f>
        <v>-</v>
      </c>
      <c r="L2021" s="38">
        <f>IFERROR(COUNTIF([1]Village!$BR:$BR,표1[[#This Row],[명칭]]),"-")</f>
        <v>0</v>
      </c>
      <c r="M2021" s="38">
        <f>COUNTIF(퀘스트!B:B,표1[[#This Row],[명칭]])</f>
        <v>0</v>
      </c>
      <c r="N2021" s="65">
        <f>COUNTIF([1]VillageDiscoveryGroup!$C:$C,표1[[#This Row],[명칭]])</f>
        <v>0</v>
      </c>
      <c r="O2021" s="65">
        <f>SUM(표1[[#This Row],[해양탐색]:[마을탐험]])</f>
        <v>0</v>
      </c>
    </row>
    <row r="2022" spans="2:15" ht="13.5" customHeight="1" x14ac:dyDescent="0.3">
      <c r="B2022" s="9">
        <f>[1]Discovery!A2028</f>
        <v>70413238</v>
      </c>
      <c r="C2022" s="9" t="str">
        <f>[1]Discovery!B2028</f>
        <v>오렌지강</v>
      </c>
      <c r="D2022" s="9" t="str">
        <f>[1]Discovery!E2028</f>
        <v>자연</v>
      </c>
      <c r="E2022" s="9" t="str">
        <f>[1]Discovery!C2028</f>
        <v>지리</v>
      </c>
      <c r="F2022" s="9" t="str">
        <f>[1]Discovery!G2028</f>
        <v>C</v>
      </c>
      <c r="G2022" s="9" t="str">
        <f>IFERROR(VLOOKUP(표1[[#This Row],[명칭]],'문화권 정리'!C:D,2,FALSE),"-")</f>
        <v>남아프리카</v>
      </c>
      <c r="H2022" s="38" t="str">
        <f>IFERROR(COUNTIF([2]OceanDoodad!$Y:$Y,표1[[#This Row],[명칭]]),"-")</f>
        <v>-</v>
      </c>
      <c r="I2022" s="38">
        <f>IFERROR(COUNTIF([1]AdventureDiscoveryGroup!$D$8:$AW$92,표1[[#This Row],[명칭]]),"-")</f>
        <v>0</v>
      </c>
      <c r="J2022" s="38">
        <f>IFERROR(COUNTIF([1]FishDiscoveryGroup!$A:$X,표1[[#This Row],[명칭]]),"-")</f>
        <v>0</v>
      </c>
      <c r="K2022" s="38" t="str">
        <f>IFERROR(COUNTIF([2]Town!$B:$B,표1[[#This Row],[명칭]]),"-")</f>
        <v>-</v>
      </c>
      <c r="L2022" s="38">
        <f>IFERROR(COUNTIF([1]Village!$BR:$BR,표1[[#This Row],[명칭]]),"-")</f>
        <v>0</v>
      </c>
      <c r="M2022" s="38">
        <f>COUNTIF(퀘스트!B:B,표1[[#This Row],[명칭]])</f>
        <v>0</v>
      </c>
      <c r="N2022" s="65">
        <f>COUNTIF([1]VillageDiscoveryGroup!$C:$C,표1[[#This Row],[명칭]])</f>
        <v>0</v>
      </c>
      <c r="O2022" s="65">
        <f>SUM(표1[[#This Row],[해양탐색]:[마을탐험]])</f>
        <v>0</v>
      </c>
    </row>
    <row r="2023" spans="2:15" ht="13.5" customHeight="1" x14ac:dyDescent="0.3">
      <c r="B2023" s="9">
        <f>[1]Discovery!A2029</f>
        <v>70413239</v>
      </c>
      <c r="C2023" s="9" t="str">
        <f>[1]Discovery!B2029</f>
        <v>오리노코강</v>
      </c>
      <c r="D2023" s="9" t="str">
        <f>[1]Discovery!E2029</f>
        <v>자연</v>
      </c>
      <c r="E2023" s="9" t="str">
        <f>[1]Discovery!C2029</f>
        <v>지리</v>
      </c>
      <c r="F2023" s="9" t="str">
        <f>[1]Discovery!G2029</f>
        <v>C</v>
      </c>
      <c r="G2023" s="9" t="str">
        <f>IFERROR(VLOOKUP(표1[[#This Row],[명칭]],'문화권 정리'!C:D,2,FALSE),"-")</f>
        <v>남아메리카</v>
      </c>
      <c r="H2023" s="38" t="str">
        <f>IFERROR(COUNTIF([2]OceanDoodad!$Y:$Y,표1[[#This Row],[명칭]]),"-")</f>
        <v>-</v>
      </c>
      <c r="I2023" s="38">
        <f>IFERROR(COUNTIF([1]AdventureDiscoveryGroup!$D$8:$AW$92,표1[[#This Row],[명칭]]),"-")</f>
        <v>0</v>
      </c>
      <c r="J2023" s="38">
        <f>IFERROR(COUNTIF([1]FishDiscoveryGroup!$A:$X,표1[[#This Row],[명칭]]),"-")</f>
        <v>0</v>
      </c>
      <c r="K2023" s="38" t="str">
        <f>IFERROR(COUNTIF([2]Town!$B:$B,표1[[#This Row],[명칭]]),"-")</f>
        <v>-</v>
      </c>
      <c r="L2023" s="38">
        <f>IFERROR(COUNTIF([1]Village!$BR:$BR,표1[[#This Row],[명칭]]),"-")</f>
        <v>0</v>
      </c>
      <c r="M2023" s="38">
        <f>COUNTIF(퀘스트!B:B,표1[[#This Row],[명칭]])</f>
        <v>0</v>
      </c>
      <c r="N2023" s="65">
        <f>COUNTIF([1]VillageDiscoveryGroup!$C:$C,표1[[#This Row],[명칭]])</f>
        <v>0</v>
      </c>
      <c r="O2023" s="65">
        <f>SUM(표1[[#This Row],[해양탐색]:[마을탐험]])</f>
        <v>0</v>
      </c>
    </row>
    <row r="2024" spans="2:15" ht="13.5" customHeight="1" x14ac:dyDescent="0.3">
      <c r="B2024" s="9">
        <f>[1]Discovery!A2030</f>
        <v>70413240</v>
      </c>
      <c r="C2024" s="9" t="str">
        <f>[1]Discovery!B2030</f>
        <v>오소레산</v>
      </c>
      <c r="D2024" s="9" t="str">
        <f>[1]Discovery!E2030</f>
        <v>자연</v>
      </c>
      <c r="E2024" s="9" t="str">
        <f>[1]Discovery!C2030</f>
        <v>지리</v>
      </c>
      <c r="F2024" s="9" t="str">
        <f>[1]Discovery!G2030</f>
        <v>B</v>
      </c>
      <c r="G2024" s="9" t="str">
        <f>IFERROR(VLOOKUP(표1[[#This Row],[명칭]],'문화권 정리'!C:D,2,FALSE),"-")</f>
        <v>동아시아</v>
      </c>
      <c r="H2024" s="38" t="str">
        <f>IFERROR(COUNTIF([2]OceanDoodad!$Y:$Y,표1[[#This Row],[명칭]]),"-")</f>
        <v>-</v>
      </c>
      <c r="I2024" s="38">
        <f>IFERROR(COUNTIF([1]AdventureDiscoveryGroup!$D$8:$AW$92,표1[[#This Row],[명칭]]),"-")</f>
        <v>0</v>
      </c>
      <c r="J2024" s="38">
        <f>IFERROR(COUNTIF([1]FishDiscoveryGroup!$A:$X,표1[[#This Row],[명칭]]),"-")</f>
        <v>0</v>
      </c>
      <c r="K2024" s="38" t="str">
        <f>IFERROR(COUNTIF([2]Town!$B:$B,표1[[#This Row],[명칭]]),"-")</f>
        <v>-</v>
      </c>
      <c r="L2024" s="38">
        <f>IFERROR(COUNTIF([1]Village!$BR:$BR,표1[[#This Row],[명칭]]),"-")</f>
        <v>0</v>
      </c>
      <c r="M2024" s="38">
        <f>COUNTIF(퀘스트!B:B,표1[[#This Row],[명칭]])</f>
        <v>0</v>
      </c>
      <c r="N2024" s="65">
        <f>COUNTIF([1]VillageDiscoveryGroup!$C:$C,표1[[#This Row],[명칭]])</f>
        <v>0</v>
      </c>
      <c r="O2024" s="65">
        <f>SUM(표1[[#This Row],[해양탐색]:[마을탐험]])</f>
        <v>0</v>
      </c>
    </row>
    <row r="2025" spans="2:15" ht="13.5" customHeight="1" x14ac:dyDescent="0.3">
      <c r="B2025" s="9">
        <f>[1]Discovery!A2031</f>
        <v>70413241</v>
      </c>
      <c r="C2025" s="9" t="str">
        <f>[1]Discovery!B2031</f>
        <v>오순 오소그보 신성 숲</v>
      </c>
      <c r="D2025" s="9" t="str">
        <f>[1]Discovery!E2031</f>
        <v>자연</v>
      </c>
      <c r="E2025" s="9" t="str">
        <f>[1]Discovery!C2031</f>
        <v>지리</v>
      </c>
      <c r="F2025" s="9" t="str">
        <f>[1]Discovery!G2031</f>
        <v>A</v>
      </c>
      <c r="G2025" s="9" t="str">
        <f>IFERROR(VLOOKUP(표1[[#This Row],[명칭]],'문화권 정리'!C:D,2,FALSE),"-")</f>
        <v>서아프리카</v>
      </c>
      <c r="H2025" s="38" t="str">
        <f>IFERROR(COUNTIF([2]OceanDoodad!$Y:$Y,표1[[#This Row],[명칭]]),"-")</f>
        <v>-</v>
      </c>
      <c r="I2025" s="38">
        <f>IFERROR(COUNTIF([1]AdventureDiscoveryGroup!$D$8:$AW$92,표1[[#This Row],[명칭]]),"-")</f>
        <v>0</v>
      </c>
      <c r="J2025" s="38">
        <f>IFERROR(COUNTIF([1]FishDiscoveryGroup!$A:$X,표1[[#This Row],[명칭]]),"-")</f>
        <v>0</v>
      </c>
      <c r="K2025" s="38" t="str">
        <f>IFERROR(COUNTIF([2]Town!$B:$B,표1[[#This Row],[명칭]]),"-")</f>
        <v>-</v>
      </c>
      <c r="L2025" s="38">
        <f>IFERROR(COUNTIF([1]Village!$BR:$BR,표1[[#This Row],[명칭]]),"-")</f>
        <v>0</v>
      </c>
      <c r="M2025" s="38">
        <f>COUNTIF(퀘스트!B:B,표1[[#This Row],[명칭]])</f>
        <v>0</v>
      </c>
      <c r="N2025" s="65">
        <f>COUNTIF([1]VillageDiscoveryGroup!$C:$C,표1[[#This Row],[명칭]])</f>
        <v>0</v>
      </c>
      <c r="O2025" s="65">
        <f>SUM(표1[[#This Row],[해양탐색]:[마을탐험]])</f>
        <v>0</v>
      </c>
    </row>
    <row r="2026" spans="2:15" ht="13.5" customHeight="1" x14ac:dyDescent="0.3">
      <c r="B2026" s="9">
        <f>[1]Discovery!A2032</f>
        <v>70413242</v>
      </c>
      <c r="C2026" s="9" t="str">
        <f>[1]Discovery!B2032</f>
        <v>오카방고강</v>
      </c>
      <c r="D2026" s="9" t="str">
        <f>[1]Discovery!E2032</f>
        <v>자연</v>
      </c>
      <c r="E2026" s="9" t="str">
        <f>[1]Discovery!C2032</f>
        <v>지리</v>
      </c>
      <c r="F2026" s="9" t="str">
        <f>[1]Discovery!G2032</f>
        <v>A</v>
      </c>
      <c r="G2026" s="9" t="str">
        <f>IFERROR(VLOOKUP(표1[[#This Row],[명칭]],'문화권 정리'!C:D,2,FALSE),"-")</f>
        <v>남아프리카</v>
      </c>
      <c r="H2026" s="38" t="str">
        <f>IFERROR(COUNTIF([2]OceanDoodad!$Y:$Y,표1[[#This Row],[명칭]]),"-")</f>
        <v>-</v>
      </c>
      <c r="I2026" s="38">
        <f>IFERROR(COUNTIF([1]AdventureDiscoveryGroup!$D$8:$AW$92,표1[[#This Row],[명칭]]),"-")</f>
        <v>0</v>
      </c>
      <c r="J2026" s="38">
        <f>IFERROR(COUNTIF([1]FishDiscoveryGroup!$A:$X,표1[[#This Row],[명칭]]),"-")</f>
        <v>0</v>
      </c>
      <c r="K2026" s="38" t="str">
        <f>IFERROR(COUNTIF([2]Town!$B:$B,표1[[#This Row],[명칭]]),"-")</f>
        <v>-</v>
      </c>
      <c r="L2026" s="38">
        <f>IFERROR(COUNTIF([1]Village!$BR:$BR,표1[[#This Row],[명칭]]),"-")</f>
        <v>0</v>
      </c>
      <c r="M2026" s="38">
        <f>COUNTIF(퀘스트!B:B,표1[[#This Row],[명칭]])</f>
        <v>0</v>
      </c>
      <c r="N2026" s="65">
        <f>COUNTIF([1]VillageDiscoveryGroup!$C:$C,표1[[#This Row],[명칭]])</f>
        <v>0</v>
      </c>
      <c r="O2026" s="65">
        <f>SUM(표1[[#This Row],[해양탐색]:[마을탐험]])</f>
        <v>0</v>
      </c>
    </row>
    <row r="2027" spans="2:15" ht="13.5" customHeight="1" x14ac:dyDescent="0.3">
      <c r="B2027" s="9">
        <f>[1]Discovery!A2033</f>
        <v>70413243</v>
      </c>
      <c r="C2027" s="9" t="str">
        <f>[1]Discovery!B2033</f>
        <v>옥시덴탈산맥</v>
      </c>
      <c r="D2027" s="9" t="str">
        <f>[1]Discovery!E2033</f>
        <v>자연</v>
      </c>
      <c r="E2027" s="9" t="str">
        <f>[1]Discovery!C2033</f>
        <v>지리</v>
      </c>
      <c r="F2027" s="9" t="str">
        <f>[1]Discovery!G2033</f>
        <v>B</v>
      </c>
      <c r="G2027" s="9" t="str">
        <f>IFERROR(VLOOKUP(표1[[#This Row],[명칭]],'문화권 정리'!C:D,2,FALSE),"-")</f>
        <v>남아메리카</v>
      </c>
      <c r="H2027" s="38" t="str">
        <f>IFERROR(COUNTIF([2]OceanDoodad!$Y:$Y,표1[[#This Row],[명칭]]),"-")</f>
        <v>-</v>
      </c>
      <c r="I2027" s="38">
        <f>IFERROR(COUNTIF([1]AdventureDiscoveryGroup!$D$8:$AW$92,표1[[#This Row],[명칭]]),"-")</f>
        <v>0</v>
      </c>
      <c r="J2027" s="38">
        <f>IFERROR(COUNTIF([1]FishDiscoveryGroup!$A:$X,표1[[#This Row],[명칭]]),"-")</f>
        <v>0</v>
      </c>
      <c r="K2027" s="38" t="str">
        <f>IFERROR(COUNTIF([2]Town!$B:$B,표1[[#This Row],[명칭]]),"-")</f>
        <v>-</v>
      </c>
      <c r="L2027" s="38">
        <f>IFERROR(COUNTIF([1]Village!$BR:$BR,표1[[#This Row],[명칭]]),"-")</f>
        <v>0</v>
      </c>
      <c r="M2027" s="38">
        <f>COUNTIF(퀘스트!B:B,표1[[#This Row],[명칭]])</f>
        <v>0</v>
      </c>
      <c r="N2027" s="65">
        <f>COUNTIF([1]VillageDiscoveryGroup!$C:$C,표1[[#This Row],[명칭]])</f>
        <v>0</v>
      </c>
      <c r="O2027" s="65">
        <f>SUM(표1[[#This Row],[해양탐색]:[마을탐험]])</f>
        <v>0</v>
      </c>
    </row>
    <row r="2028" spans="2:15" ht="13.5" customHeight="1" x14ac:dyDescent="0.3">
      <c r="B2028" s="9">
        <f>[1]Discovery!A2034</f>
        <v>70413244</v>
      </c>
      <c r="C2028" s="9" t="str">
        <f>[1]Discovery!B2034</f>
        <v>온두라스만</v>
      </c>
      <c r="D2028" s="9" t="str">
        <f>[1]Discovery!E2034</f>
        <v>자연</v>
      </c>
      <c r="E2028" s="9" t="str">
        <f>[1]Discovery!C2034</f>
        <v>지리</v>
      </c>
      <c r="F2028" s="9" t="str">
        <f>[1]Discovery!G2034</f>
        <v>C</v>
      </c>
      <c r="G2028" s="9" t="str">
        <f>IFERROR(VLOOKUP(표1[[#This Row],[명칭]],'문화권 정리'!C:D,2,FALSE),"-")</f>
        <v>중앙아메리카</v>
      </c>
      <c r="H2028" s="38" t="str">
        <f>IFERROR(COUNTIF([2]OceanDoodad!$Y:$Y,표1[[#This Row],[명칭]]),"-")</f>
        <v>-</v>
      </c>
      <c r="I2028" s="38">
        <f>IFERROR(COUNTIF([1]AdventureDiscoveryGroup!$D$8:$AW$92,표1[[#This Row],[명칭]]),"-")</f>
        <v>0</v>
      </c>
      <c r="J2028" s="38">
        <f>IFERROR(COUNTIF([1]FishDiscoveryGroup!$A:$X,표1[[#This Row],[명칭]]),"-")</f>
        <v>0</v>
      </c>
      <c r="K2028" s="38" t="str">
        <f>IFERROR(COUNTIF([2]Town!$B:$B,표1[[#This Row],[명칭]]),"-")</f>
        <v>-</v>
      </c>
      <c r="L2028" s="38">
        <f>IFERROR(COUNTIF([1]Village!$BR:$BR,표1[[#This Row],[명칭]]),"-")</f>
        <v>0</v>
      </c>
      <c r="M2028" s="38">
        <f>COUNTIF(퀘스트!B:B,표1[[#This Row],[명칭]])</f>
        <v>0</v>
      </c>
      <c r="N2028" s="65">
        <f>COUNTIF([1]VillageDiscoveryGroup!$C:$C,표1[[#This Row],[명칭]])</f>
        <v>0</v>
      </c>
      <c r="O2028" s="65">
        <f>SUM(표1[[#This Row],[해양탐색]:[마을탐험]])</f>
        <v>0</v>
      </c>
    </row>
    <row r="2029" spans="2:15" ht="13.5" customHeight="1" x14ac:dyDescent="0.3">
      <c r="B2029" s="9">
        <f>[1]Discovery!A2035</f>
        <v>70413245</v>
      </c>
      <c r="C2029" s="9" t="str">
        <f>[1]Discovery!B2035</f>
        <v>온타리오호</v>
      </c>
      <c r="D2029" s="9" t="str">
        <f>[1]Discovery!E2035</f>
        <v>자연</v>
      </c>
      <c r="E2029" s="9" t="str">
        <f>[1]Discovery!C2035</f>
        <v>지리</v>
      </c>
      <c r="F2029" s="9" t="str">
        <f>[1]Discovery!G2035</f>
        <v>B</v>
      </c>
      <c r="G2029" s="9" t="str">
        <f>IFERROR(VLOOKUP(표1[[#This Row],[명칭]],'문화권 정리'!C:D,2,FALSE),"-")</f>
        <v>북아메리카</v>
      </c>
      <c r="H2029" s="38" t="str">
        <f>IFERROR(COUNTIF([2]OceanDoodad!$Y:$Y,표1[[#This Row],[명칭]]),"-")</f>
        <v>-</v>
      </c>
      <c r="I2029" s="38">
        <f>IFERROR(COUNTIF([1]AdventureDiscoveryGroup!$D$8:$AW$92,표1[[#This Row],[명칭]]),"-")</f>
        <v>0</v>
      </c>
      <c r="J2029" s="38">
        <f>IFERROR(COUNTIF([1]FishDiscoveryGroup!$A:$X,표1[[#This Row],[명칭]]),"-")</f>
        <v>0</v>
      </c>
      <c r="K2029" s="38" t="str">
        <f>IFERROR(COUNTIF([2]Town!$B:$B,표1[[#This Row],[명칭]]),"-")</f>
        <v>-</v>
      </c>
      <c r="L2029" s="38">
        <f>IFERROR(COUNTIF([1]Village!$BR:$BR,표1[[#This Row],[명칭]]),"-")</f>
        <v>0</v>
      </c>
      <c r="M2029" s="38">
        <f>COUNTIF(퀘스트!B:B,표1[[#This Row],[명칭]])</f>
        <v>0</v>
      </c>
      <c r="N2029" s="65">
        <f>COUNTIF([1]VillageDiscoveryGroup!$C:$C,표1[[#This Row],[명칭]])</f>
        <v>0</v>
      </c>
      <c r="O2029" s="65">
        <f>SUM(표1[[#This Row],[해양탐색]:[마을탐험]])</f>
        <v>0</v>
      </c>
    </row>
    <row r="2030" spans="2:15" ht="13.5" customHeight="1" x14ac:dyDescent="0.3">
      <c r="B2030" s="9">
        <f>[1]Discovery!A2036</f>
        <v>70413246</v>
      </c>
      <c r="C2030" s="9" t="str">
        <f>[1]Discovery!B2036</f>
        <v>올림포스산</v>
      </c>
      <c r="D2030" s="9" t="str">
        <f>[1]Discovery!E2036</f>
        <v>자연</v>
      </c>
      <c r="E2030" s="9" t="str">
        <f>[1]Discovery!C2036</f>
        <v>지리</v>
      </c>
      <c r="F2030" s="9" t="str">
        <f>[1]Discovery!G2036</f>
        <v>S</v>
      </c>
      <c r="G2030" s="9" t="str">
        <f>IFERROR(VLOOKUP(표1[[#This Row],[명칭]],'문화권 정리'!C:D,2,FALSE),"-")</f>
        <v>지중해</v>
      </c>
      <c r="H2030" s="38" t="str">
        <f>IFERROR(COUNTIF([2]OceanDoodad!$Y:$Y,표1[[#This Row],[명칭]]),"-")</f>
        <v>-</v>
      </c>
      <c r="I2030" s="38">
        <f>IFERROR(COUNTIF([1]AdventureDiscoveryGroup!$D$8:$AW$92,표1[[#This Row],[명칭]]),"-")</f>
        <v>0</v>
      </c>
      <c r="J2030" s="38">
        <f>IFERROR(COUNTIF([1]FishDiscoveryGroup!$A:$X,표1[[#This Row],[명칭]]),"-")</f>
        <v>0</v>
      </c>
      <c r="K2030" s="38" t="str">
        <f>IFERROR(COUNTIF([2]Town!$B:$B,표1[[#This Row],[명칭]]),"-")</f>
        <v>-</v>
      </c>
      <c r="L2030" s="38">
        <f>IFERROR(COUNTIF([1]Village!$BR:$BR,표1[[#This Row],[명칭]]),"-")</f>
        <v>0</v>
      </c>
      <c r="M2030" s="38">
        <f>COUNTIF(퀘스트!B:B,표1[[#This Row],[명칭]])</f>
        <v>1</v>
      </c>
      <c r="N2030" s="65">
        <f>COUNTIF([1]VillageDiscoveryGroup!$C:$C,표1[[#This Row],[명칭]])</f>
        <v>0</v>
      </c>
      <c r="O2030" s="65">
        <f>SUM(표1[[#This Row],[해양탐색]:[마을탐험]])</f>
        <v>1</v>
      </c>
    </row>
    <row r="2031" spans="2:15" ht="13.5" customHeight="1" x14ac:dyDescent="0.3">
      <c r="B2031" s="9">
        <f>[1]Discovery!A2037</f>
        <v>70413247</v>
      </c>
      <c r="C2031" s="9" t="str">
        <f>[1]Discovery!B2037</f>
        <v>와이나픽추</v>
      </c>
      <c r="D2031" s="9" t="str">
        <f>[1]Discovery!E2037</f>
        <v>자연</v>
      </c>
      <c r="E2031" s="9" t="str">
        <f>[1]Discovery!C2037</f>
        <v>지리</v>
      </c>
      <c r="F2031" s="9" t="str">
        <f>[1]Discovery!G2037</f>
        <v>B</v>
      </c>
      <c r="G2031" s="9" t="str">
        <f>IFERROR(VLOOKUP(표1[[#This Row],[명칭]],'문화권 정리'!C:D,2,FALSE),"-")</f>
        <v>남아메리카</v>
      </c>
      <c r="H2031" s="38" t="str">
        <f>IFERROR(COUNTIF([2]OceanDoodad!$Y:$Y,표1[[#This Row],[명칭]]),"-")</f>
        <v>-</v>
      </c>
      <c r="I2031" s="38">
        <f>IFERROR(COUNTIF([1]AdventureDiscoveryGroup!$D$8:$AW$92,표1[[#This Row],[명칭]]),"-")</f>
        <v>0</v>
      </c>
      <c r="J2031" s="38">
        <f>IFERROR(COUNTIF([1]FishDiscoveryGroup!$A:$X,표1[[#This Row],[명칭]]),"-")</f>
        <v>0</v>
      </c>
      <c r="K2031" s="38" t="str">
        <f>IFERROR(COUNTIF([2]Town!$B:$B,표1[[#This Row],[명칭]]),"-")</f>
        <v>-</v>
      </c>
      <c r="L2031" s="38">
        <f>IFERROR(COUNTIF([1]Village!$BR:$BR,표1[[#This Row],[명칭]]),"-")</f>
        <v>0</v>
      </c>
      <c r="M2031" s="38">
        <f>COUNTIF(퀘스트!B:B,표1[[#This Row],[명칭]])</f>
        <v>0</v>
      </c>
      <c r="N2031" s="65">
        <f>COUNTIF([1]VillageDiscoveryGroup!$C:$C,표1[[#This Row],[명칭]])</f>
        <v>0</v>
      </c>
      <c r="O2031" s="65">
        <f>SUM(표1[[#This Row],[해양탐색]:[마을탐험]])</f>
        <v>0</v>
      </c>
    </row>
    <row r="2032" spans="2:15" ht="13.5" customHeight="1" x14ac:dyDescent="0.3">
      <c r="B2032" s="9">
        <f>[1]Discovery!A2038</f>
        <v>70413248</v>
      </c>
      <c r="C2032" s="9" t="str">
        <f>[1]Discovery!B2038</f>
        <v>용두암</v>
      </c>
      <c r="D2032" s="9" t="str">
        <f>[1]Discovery!E2038</f>
        <v>자연</v>
      </c>
      <c r="E2032" s="9" t="str">
        <f>[1]Discovery!C2038</f>
        <v>지리</v>
      </c>
      <c r="F2032" s="9" t="str">
        <f>[1]Discovery!G2038</f>
        <v>C</v>
      </c>
      <c r="G2032" s="9" t="str">
        <f>IFERROR(VLOOKUP(표1[[#This Row],[명칭]],'문화권 정리'!C:D,2,FALSE),"-")</f>
        <v>동아시아</v>
      </c>
      <c r="H2032" s="38" t="str">
        <f>IFERROR(COUNTIF([2]OceanDoodad!$Y:$Y,표1[[#This Row],[명칭]]),"-")</f>
        <v>-</v>
      </c>
      <c r="I2032" s="38">
        <f>IFERROR(COUNTIF([1]AdventureDiscoveryGroup!$D$8:$AW$92,표1[[#This Row],[명칭]]),"-")</f>
        <v>0</v>
      </c>
      <c r="J2032" s="38">
        <f>IFERROR(COUNTIF([1]FishDiscoveryGroup!$A:$X,표1[[#This Row],[명칭]]),"-")</f>
        <v>0</v>
      </c>
      <c r="K2032" s="38" t="str">
        <f>IFERROR(COUNTIF([2]Town!$B:$B,표1[[#This Row],[명칭]]),"-")</f>
        <v>-</v>
      </c>
      <c r="L2032" s="38">
        <f>IFERROR(COUNTIF([1]Village!$BR:$BR,표1[[#This Row],[명칭]]),"-")</f>
        <v>0</v>
      </c>
      <c r="M2032" s="38">
        <f>COUNTIF(퀘스트!B:B,표1[[#This Row],[명칭]])</f>
        <v>0</v>
      </c>
      <c r="N2032" s="65">
        <f>COUNTIF([1]VillageDiscoveryGroup!$C:$C,표1[[#This Row],[명칭]])</f>
        <v>0</v>
      </c>
      <c r="O2032" s="65">
        <f>SUM(표1[[#This Row],[해양탐색]:[마을탐험]])</f>
        <v>0</v>
      </c>
    </row>
    <row r="2033" spans="2:15" ht="13.5" customHeight="1" x14ac:dyDescent="0.3">
      <c r="B2033" s="9">
        <f>[1]Discovery!A2039</f>
        <v>70413249</v>
      </c>
      <c r="C2033" s="9" t="str">
        <f>[1]Discovery!B2039</f>
        <v>우각호</v>
      </c>
      <c r="D2033" s="9" t="str">
        <f>[1]Discovery!E2039</f>
        <v>자연</v>
      </c>
      <c r="E2033" s="9" t="str">
        <f>[1]Discovery!C2039</f>
        <v>지리</v>
      </c>
      <c r="F2033" s="9" t="str">
        <f>[1]Discovery!G2039</f>
        <v>B</v>
      </c>
      <c r="G2033" s="9" t="str">
        <f>IFERROR(VLOOKUP(표1[[#This Row],[명칭]],'문화권 정리'!C:D,2,FALSE),"-")</f>
        <v>동아시아</v>
      </c>
      <c r="H2033" s="38" t="str">
        <f>IFERROR(COUNTIF([2]OceanDoodad!$Y:$Y,표1[[#This Row],[명칭]]),"-")</f>
        <v>-</v>
      </c>
      <c r="I2033" s="38">
        <f>IFERROR(COUNTIF([1]AdventureDiscoveryGroup!$D$8:$AW$92,표1[[#This Row],[명칭]]),"-")</f>
        <v>0</v>
      </c>
      <c r="J2033" s="38">
        <f>IFERROR(COUNTIF([1]FishDiscoveryGroup!$A:$X,표1[[#This Row],[명칭]]),"-")</f>
        <v>0</v>
      </c>
      <c r="K2033" s="38" t="str">
        <f>IFERROR(COUNTIF([2]Town!$B:$B,표1[[#This Row],[명칭]]),"-")</f>
        <v>-</v>
      </c>
      <c r="L2033" s="38">
        <f>IFERROR(COUNTIF([1]Village!$BR:$BR,표1[[#This Row],[명칭]]),"-")</f>
        <v>0</v>
      </c>
      <c r="M2033" s="38">
        <f>COUNTIF(퀘스트!B:B,표1[[#This Row],[명칭]])</f>
        <v>0</v>
      </c>
      <c r="N2033" s="65">
        <f>COUNTIF([1]VillageDiscoveryGroup!$C:$C,표1[[#This Row],[명칭]])</f>
        <v>0</v>
      </c>
      <c r="O2033" s="65">
        <f>SUM(표1[[#This Row],[해양탐색]:[마을탐험]])</f>
        <v>0</v>
      </c>
    </row>
    <row r="2034" spans="2:15" ht="13.5" customHeight="1" x14ac:dyDescent="0.3">
      <c r="B2034" s="9">
        <f>[1]Discovery!A2040</f>
        <v>70413250</v>
      </c>
      <c r="C2034" s="9" t="str">
        <f>[1]Discovery!B2040</f>
        <v>운남석림</v>
      </c>
      <c r="D2034" s="9" t="str">
        <f>[1]Discovery!E2040</f>
        <v>자연</v>
      </c>
      <c r="E2034" s="9" t="str">
        <f>[1]Discovery!C2040</f>
        <v>지리</v>
      </c>
      <c r="F2034" s="9" t="str">
        <f>[1]Discovery!G2040</f>
        <v>B</v>
      </c>
      <c r="G2034" s="9" t="str">
        <f>IFERROR(VLOOKUP(표1[[#This Row],[명칭]],'문화권 정리'!C:D,2,FALSE),"-")</f>
        <v>동아시아</v>
      </c>
      <c r="H2034" s="38" t="str">
        <f>IFERROR(COUNTIF([2]OceanDoodad!$Y:$Y,표1[[#This Row],[명칭]]),"-")</f>
        <v>-</v>
      </c>
      <c r="I2034" s="38">
        <f>IFERROR(COUNTIF([1]AdventureDiscoveryGroup!$D$8:$AW$92,표1[[#This Row],[명칭]]),"-")</f>
        <v>0</v>
      </c>
      <c r="J2034" s="38">
        <f>IFERROR(COUNTIF([1]FishDiscoveryGroup!$A:$X,표1[[#This Row],[명칭]]),"-")</f>
        <v>0</v>
      </c>
      <c r="K2034" s="38" t="str">
        <f>IFERROR(COUNTIF([2]Town!$B:$B,표1[[#This Row],[명칭]]),"-")</f>
        <v>-</v>
      </c>
      <c r="L2034" s="38">
        <f>IFERROR(COUNTIF([1]Village!$BR:$BR,표1[[#This Row],[명칭]]),"-")</f>
        <v>0</v>
      </c>
      <c r="M2034" s="38">
        <f>COUNTIF(퀘스트!B:B,표1[[#This Row],[명칭]])</f>
        <v>0</v>
      </c>
      <c r="N2034" s="65">
        <f>COUNTIF([1]VillageDiscoveryGroup!$C:$C,표1[[#This Row],[명칭]])</f>
        <v>0</v>
      </c>
      <c r="O2034" s="65">
        <f>SUM(표1[[#This Row],[해양탐색]:[마을탐험]])</f>
        <v>0</v>
      </c>
    </row>
    <row r="2035" spans="2:15" ht="13.5" customHeight="1" x14ac:dyDescent="0.3">
      <c r="B2035" s="9">
        <f>[1]Discovery!A2041</f>
        <v>70413251</v>
      </c>
      <c r="C2035" s="9" t="str">
        <f>[1]Discovery!B2041</f>
        <v>유카탄반도</v>
      </c>
      <c r="D2035" s="9" t="str">
        <f>[1]Discovery!E2041</f>
        <v>자연</v>
      </c>
      <c r="E2035" s="9" t="str">
        <f>[1]Discovery!C2041</f>
        <v>지리</v>
      </c>
      <c r="F2035" s="9" t="str">
        <f>[1]Discovery!G2041</f>
        <v>B</v>
      </c>
      <c r="G2035" s="9" t="str">
        <f>IFERROR(VLOOKUP(표1[[#This Row],[명칭]],'문화권 정리'!C:D,2,FALSE),"-")</f>
        <v>중앙아메리카</v>
      </c>
      <c r="H2035" s="38" t="str">
        <f>IFERROR(COUNTIF([2]OceanDoodad!$Y:$Y,표1[[#This Row],[명칭]]),"-")</f>
        <v>-</v>
      </c>
      <c r="I2035" s="38">
        <f>IFERROR(COUNTIF([1]AdventureDiscoveryGroup!$D$8:$AW$92,표1[[#This Row],[명칭]]),"-")</f>
        <v>0</v>
      </c>
      <c r="J2035" s="38">
        <f>IFERROR(COUNTIF([1]FishDiscoveryGroup!$A:$X,표1[[#This Row],[명칭]]),"-")</f>
        <v>0</v>
      </c>
      <c r="K2035" s="38" t="str">
        <f>IFERROR(COUNTIF([2]Town!$B:$B,표1[[#This Row],[명칭]]),"-")</f>
        <v>-</v>
      </c>
      <c r="L2035" s="38">
        <f>IFERROR(COUNTIF([1]Village!$BR:$BR,표1[[#This Row],[명칭]]),"-")</f>
        <v>0</v>
      </c>
      <c r="M2035" s="38">
        <f>COUNTIF(퀘스트!B:B,표1[[#This Row],[명칭]])</f>
        <v>0</v>
      </c>
      <c r="N2035" s="65">
        <f>COUNTIF([1]VillageDiscoveryGroup!$C:$C,표1[[#This Row],[명칭]])</f>
        <v>0</v>
      </c>
      <c r="O2035" s="65">
        <f>SUM(표1[[#This Row],[해양탐색]:[마을탐험]])</f>
        <v>0</v>
      </c>
    </row>
    <row r="2036" spans="2:15" ht="13.5" customHeight="1" x14ac:dyDescent="0.3">
      <c r="B2036" s="9">
        <f>[1]Discovery!A2042</f>
        <v>70413252</v>
      </c>
      <c r="C2036" s="9" t="str">
        <f>[1]Discovery!B2042</f>
        <v>유프라테스강</v>
      </c>
      <c r="D2036" s="9" t="str">
        <f>[1]Discovery!E2042</f>
        <v>자연</v>
      </c>
      <c r="E2036" s="9" t="str">
        <f>[1]Discovery!C2042</f>
        <v>지리</v>
      </c>
      <c r="F2036" s="9" t="str">
        <f>[1]Discovery!G2042</f>
        <v>B</v>
      </c>
      <c r="G2036" s="9" t="str">
        <f>IFERROR(VLOOKUP(표1[[#This Row],[명칭]],'문화권 정리'!C:D,2,FALSE),"-")</f>
        <v>서남아시아</v>
      </c>
      <c r="H2036" s="38" t="str">
        <f>IFERROR(COUNTIF([2]OceanDoodad!$Y:$Y,표1[[#This Row],[명칭]]),"-")</f>
        <v>-</v>
      </c>
      <c r="I2036" s="38">
        <f>IFERROR(COUNTIF([1]AdventureDiscoveryGroup!$D$8:$AW$92,표1[[#This Row],[명칭]]),"-")</f>
        <v>0</v>
      </c>
      <c r="J2036" s="38">
        <f>IFERROR(COUNTIF([1]FishDiscoveryGroup!$A:$X,표1[[#This Row],[명칭]]),"-")</f>
        <v>0</v>
      </c>
      <c r="K2036" s="38" t="str">
        <f>IFERROR(COUNTIF([2]Town!$B:$B,표1[[#This Row],[명칭]]),"-")</f>
        <v>-</v>
      </c>
      <c r="L2036" s="38">
        <f>IFERROR(COUNTIF([1]Village!$BR:$BR,표1[[#This Row],[명칭]]),"-")</f>
        <v>0</v>
      </c>
      <c r="M2036" s="38">
        <f>COUNTIF(퀘스트!B:B,표1[[#This Row],[명칭]])</f>
        <v>0</v>
      </c>
      <c r="N2036" s="65">
        <f>COUNTIF([1]VillageDiscoveryGroup!$C:$C,표1[[#This Row],[명칭]])</f>
        <v>0</v>
      </c>
      <c r="O2036" s="65">
        <f>SUM(표1[[#This Row],[해양탐색]:[마을탐험]])</f>
        <v>0</v>
      </c>
    </row>
    <row r="2037" spans="2:15" ht="13.5" customHeight="1" x14ac:dyDescent="0.3">
      <c r="B2037" s="9">
        <f>[1]Discovery!A2043</f>
        <v>70413253</v>
      </c>
      <c r="C2037" s="9" t="str">
        <f>[1]Discovery!B2043</f>
        <v>응앵가 호수</v>
      </c>
      <c r="D2037" s="9" t="str">
        <f>[1]Discovery!E2043</f>
        <v>자연</v>
      </c>
      <c r="E2037" s="9" t="str">
        <f>[1]Discovery!C2043</f>
        <v>지리</v>
      </c>
      <c r="F2037" s="9" t="str">
        <f>[1]Discovery!G2043</f>
        <v>B</v>
      </c>
      <c r="G2037" s="9" t="str">
        <f>IFERROR(VLOOKUP(표1[[#This Row],[명칭]],'문화권 정리'!C:D,2,FALSE),"-")</f>
        <v>동아프리카</v>
      </c>
      <c r="H2037" s="38" t="str">
        <f>IFERROR(COUNTIF([2]OceanDoodad!$Y:$Y,표1[[#This Row],[명칭]]),"-")</f>
        <v>-</v>
      </c>
      <c r="I2037" s="38">
        <f>IFERROR(COUNTIF([1]AdventureDiscoveryGroup!$D$8:$AW$92,표1[[#This Row],[명칭]]),"-")</f>
        <v>0</v>
      </c>
      <c r="J2037" s="38">
        <f>IFERROR(COUNTIF([1]FishDiscoveryGroup!$A:$X,표1[[#This Row],[명칭]]),"-")</f>
        <v>0</v>
      </c>
      <c r="K2037" s="38" t="str">
        <f>IFERROR(COUNTIF([2]Town!$B:$B,표1[[#This Row],[명칭]]),"-")</f>
        <v>-</v>
      </c>
      <c r="L2037" s="38">
        <f>IFERROR(COUNTIF([1]Village!$BR:$BR,표1[[#This Row],[명칭]]),"-")</f>
        <v>0</v>
      </c>
      <c r="M2037" s="38">
        <f>COUNTIF(퀘스트!B:B,표1[[#This Row],[명칭]])</f>
        <v>0</v>
      </c>
      <c r="N2037" s="65">
        <f>COUNTIF([1]VillageDiscoveryGroup!$C:$C,표1[[#This Row],[명칭]])</f>
        <v>0</v>
      </c>
      <c r="O2037" s="65">
        <f>SUM(표1[[#This Row],[해양탐색]:[마을탐험]])</f>
        <v>0</v>
      </c>
    </row>
    <row r="2038" spans="2:15" ht="13.5" customHeight="1" x14ac:dyDescent="0.3">
      <c r="B2038" s="9">
        <f>[1]Discovery!A2044</f>
        <v>70413254</v>
      </c>
      <c r="C2038" s="9" t="str">
        <f>[1]Discovery!B2044</f>
        <v>이구아수폭포</v>
      </c>
      <c r="D2038" s="9" t="str">
        <f>[1]Discovery!E2044</f>
        <v>자연</v>
      </c>
      <c r="E2038" s="9" t="str">
        <f>[1]Discovery!C2044</f>
        <v>지리</v>
      </c>
      <c r="F2038" s="9" t="str">
        <f>[1]Discovery!G2044</f>
        <v>A</v>
      </c>
      <c r="G2038" s="9" t="str">
        <f>IFERROR(VLOOKUP(표1[[#This Row],[명칭]],'문화권 정리'!C:D,2,FALSE),"-")</f>
        <v>남아메리카</v>
      </c>
      <c r="H2038" s="38" t="str">
        <f>IFERROR(COUNTIF([2]OceanDoodad!$Y:$Y,표1[[#This Row],[명칭]]),"-")</f>
        <v>-</v>
      </c>
      <c r="I2038" s="38">
        <f>IFERROR(COUNTIF([1]AdventureDiscoveryGroup!$D$8:$AW$92,표1[[#This Row],[명칭]]),"-")</f>
        <v>0</v>
      </c>
      <c r="J2038" s="38">
        <f>IFERROR(COUNTIF([1]FishDiscoveryGroup!$A:$X,표1[[#This Row],[명칭]]),"-")</f>
        <v>0</v>
      </c>
      <c r="K2038" s="38" t="str">
        <f>IFERROR(COUNTIF([2]Town!$B:$B,표1[[#This Row],[명칭]]),"-")</f>
        <v>-</v>
      </c>
      <c r="L2038" s="38">
        <f>IFERROR(COUNTIF([1]Village!$BR:$BR,표1[[#This Row],[명칭]]),"-")</f>
        <v>0</v>
      </c>
      <c r="M2038" s="38">
        <f>COUNTIF(퀘스트!B:B,표1[[#This Row],[명칭]])</f>
        <v>0</v>
      </c>
      <c r="N2038" s="65">
        <f>COUNTIF([1]VillageDiscoveryGroup!$C:$C,표1[[#This Row],[명칭]])</f>
        <v>0</v>
      </c>
      <c r="O2038" s="65">
        <f>SUM(표1[[#This Row],[해양탐색]:[마을탐험]])</f>
        <v>0</v>
      </c>
    </row>
    <row r="2039" spans="2:15" ht="13.5" customHeight="1" x14ac:dyDescent="0.3">
      <c r="B2039" s="9">
        <f>[1]Discovery!A2045</f>
        <v>70413255</v>
      </c>
      <c r="C2039" s="9" t="str">
        <f>[1]Discovery!B2045</f>
        <v>이리호</v>
      </c>
      <c r="D2039" s="9" t="str">
        <f>[1]Discovery!E2045</f>
        <v>자연</v>
      </c>
      <c r="E2039" s="9" t="str">
        <f>[1]Discovery!C2045</f>
        <v>지리</v>
      </c>
      <c r="F2039" s="9" t="str">
        <f>[1]Discovery!G2045</f>
        <v>C</v>
      </c>
      <c r="G2039" s="9" t="str">
        <f>IFERROR(VLOOKUP(표1[[#This Row],[명칭]],'문화권 정리'!C:D,2,FALSE),"-")</f>
        <v>북아메리카</v>
      </c>
      <c r="H2039" s="38" t="str">
        <f>IFERROR(COUNTIF([2]OceanDoodad!$Y:$Y,표1[[#This Row],[명칭]]),"-")</f>
        <v>-</v>
      </c>
      <c r="I2039" s="38">
        <f>IFERROR(COUNTIF([1]AdventureDiscoveryGroup!$D$8:$AW$92,표1[[#This Row],[명칭]]),"-")</f>
        <v>0</v>
      </c>
      <c r="J2039" s="38">
        <f>IFERROR(COUNTIF([1]FishDiscoveryGroup!$A:$X,표1[[#This Row],[명칭]]),"-")</f>
        <v>0</v>
      </c>
      <c r="K2039" s="38" t="str">
        <f>IFERROR(COUNTIF([2]Town!$B:$B,표1[[#This Row],[명칭]]),"-")</f>
        <v>-</v>
      </c>
      <c r="L2039" s="38">
        <f>IFERROR(COUNTIF([1]Village!$BR:$BR,표1[[#This Row],[명칭]]),"-")</f>
        <v>0</v>
      </c>
      <c r="M2039" s="38">
        <f>COUNTIF(퀘스트!B:B,표1[[#This Row],[명칭]])</f>
        <v>0</v>
      </c>
      <c r="N2039" s="65">
        <f>COUNTIF([1]VillageDiscoveryGroup!$C:$C,표1[[#This Row],[명칭]])</f>
        <v>0</v>
      </c>
      <c r="O2039" s="65">
        <f>SUM(표1[[#This Row],[해양탐색]:[마을탐험]])</f>
        <v>0</v>
      </c>
    </row>
    <row r="2040" spans="2:15" ht="13.5" customHeight="1" x14ac:dyDescent="0.3">
      <c r="B2040" s="9">
        <f>[1]Discovery!A2046</f>
        <v>70413256</v>
      </c>
      <c r="C2040" s="9" t="str">
        <f>[1]Discovery!B2046</f>
        <v>이비사섬</v>
      </c>
      <c r="D2040" s="9" t="str">
        <f>[1]Discovery!E2046</f>
        <v>자연</v>
      </c>
      <c r="E2040" s="9" t="str">
        <f>[1]Discovery!C2046</f>
        <v>지리</v>
      </c>
      <c r="F2040" s="9" t="str">
        <f>[1]Discovery!G2046</f>
        <v>B</v>
      </c>
      <c r="G2040" s="9" t="str">
        <f>IFERROR(VLOOKUP(표1[[#This Row],[명칭]],'문화권 정리'!C:D,2,FALSE),"-")</f>
        <v>지중해</v>
      </c>
      <c r="H2040" s="38" t="str">
        <f>IFERROR(COUNTIF([2]OceanDoodad!$Y:$Y,표1[[#This Row],[명칭]]),"-")</f>
        <v>-</v>
      </c>
      <c r="I2040" s="38">
        <f>IFERROR(COUNTIF([1]AdventureDiscoveryGroup!$D$8:$AW$92,표1[[#This Row],[명칭]]),"-")</f>
        <v>0</v>
      </c>
      <c r="J2040" s="38">
        <f>IFERROR(COUNTIF([1]FishDiscoveryGroup!$A:$X,표1[[#This Row],[명칭]]),"-")</f>
        <v>0</v>
      </c>
      <c r="K2040" s="38" t="str">
        <f>IFERROR(COUNTIF([2]Town!$B:$B,표1[[#This Row],[명칭]]),"-")</f>
        <v>-</v>
      </c>
      <c r="L2040" s="38">
        <f>IFERROR(COUNTIF([1]Village!$BR:$BR,표1[[#This Row],[명칭]]),"-")</f>
        <v>0</v>
      </c>
      <c r="M2040" s="38">
        <f>COUNTIF(퀘스트!B:B,표1[[#This Row],[명칭]])</f>
        <v>1</v>
      </c>
      <c r="N2040" s="65">
        <f>COUNTIF([1]VillageDiscoveryGroup!$C:$C,표1[[#This Row],[명칭]])</f>
        <v>0</v>
      </c>
      <c r="O2040" s="65">
        <f>SUM(표1[[#This Row],[해양탐색]:[마을탐험]])</f>
        <v>1</v>
      </c>
    </row>
    <row r="2041" spans="2:15" ht="13.5" customHeight="1" x14ac:dyDescent="0.3">
      <c r="B2041" s="9">
        <f>[1]Discovery!A2047</f>
        <v>70413257</v>
      </c>
      <c r="C2041" s="9" t="str">
        <f>[1]Discovery!B2047</f>
        <v>이스터섬</v>
      </c>
      <c r="D2041" s="9" t="str">
        <f>[1]Discovery!E2047</f>
        <v>자연</v>
      </c>
      <c r="E2041" s="9" t="str">
        <f>[1]Discovery!C2047</f>
        <v>지리</v>
      </c>
      <c r="F2041" s="9" t="str">
        <f>[1]Discovery!G2047</f>
        <v>S</v>
      </c>
      <c r="G2041" s="9" t="str">
        <f>IFERROR(VLOOKUP(표1[[#This Row],[명칭]],'문화권 정리'!C:D,2,FALSE),"-")</f>
        <v>태평양</v>
      </c>
      <c r="H2041" s="38" t="str">
        <f>IFERROR(COUNTIF([2]OceanDoodad!$Y:$Y,표1[[#This Row],[명칭]]),"-")</f>
        <v>-</v>
      </c>
      <c r="I2041" s="38">
        <f>IFERROR(COUNTIF([1]AdventureDiscoveryGroup!$D$8:$AW$92,표1[[#This Row],[명칭]]),"-")</f>
        <v>0</v>
      </c>
      <c r="J2041" s="38">
        <f>IFERROR(COUNTIF([1]FishDiscoveryGroup!$A:$X,표1[[#This Row],[명칭]]),"-")</f>
        <v>0</v>
      </c>
      <c r="K2041" s="38" t="str">
        <f>IFERROR(COUNTIF([2]Town!$B:$B,표1[[#This Row],[명칭]]),"-")</f>
        <v>-</v>
      </c>
      <c r="L2041" s="38">
        <f>IFERROR(COUNTIF([1]Village!$BR:$BR,표1[[#This Row],[명칭]]),"-")</f>
        <v>0</v>
      </c>
      <c r="M2041" s="38">
        <f>COUNTIF(퀘스트!B:B,표1[[#This Row],[명칭]])</f>
        <v>0</v>
      </c>
      <c r="N2041" s="65">
        <f>COUNTIF([1]VillageDiscoveryGroup!$C:$C,표1[[#This Row],[명칭]])</f>
        <v>0</v>
      </c>
      <c r="O2041" s="65">
        <f>SUM(표1[[#This Row],[해양탐색]:[마을탐험]])</f>
        <v>0</v>
      </c>
    </row>
    <row r="2042" spans="2:15" ht="13.5" customHeight="1" x14ac:dyDescent="0.3">
      <c r="B2042" s="9">
        <f>[1]Discovery!A2048</f>
        <v>70413258</v>
      </c>
      <c r="C2042" s="9" t="str">
        <f>[1]Discovery!B2048</f>
        <v>이스트라반도</v>
      </c>
      <c r="D2042" s="9" t="str">
        <f>[1]Discovery!E2048</f>
        <v>자연</v>
      </c>
      <c r="E2042" s="9" t="str">
        <f>[1]Discovery!C2048</f>
        <v>지리</v>
      </c>
      <c r="F2042" s="9" t="str">
        <f>[1]Discovery!G2048</f>
        <v>C</v>
      </c>
      <c r="G2042" s="9" t="str">
        <f>IFERROR(VLOOKUP(표1[[#This Row],[명칭]],'문화권 정리'!C:D,2,FALSE),"-")</f>
        <v>지중해</v>
      </c>
      <c r="H2042" s="38" t="str">
        <f>IFERROR(COUNTIF([2]OceanDoodad!$Y:$Y,표1[[#This Row],[명칭]]),"-")</f>
        <v>-</v>
      </c>
      <c r="I2042" s="38">
        <f>IFERROR(COUNTIF([1]AdventureDiscoveryGroup!$D$8:$AW$92,표1[[#This Row],[명칭]]),"-")</f>
        <v>0</v>
      </c>
      <c r="J2042" s="38">
        <f>IFERROR(COUNTIF([1]FishDiscoveryGroup!$A:$X,표1[[#This Row],[명칭]]),"-")</f>
        <v>0</v>
      </c>
      <c r="K2042" s="38" t="str">
        <f>IFERROR(COUNTIF([2]Town!$B:$B,표1[[#This Row],[명칭]]),"-")</f>
        <v>-</v>
      </c>
      <c r="L2042" s="38">
        <f>IFERROR(COUNTIF([1]Village!$BR:$BR,표1[[#This Row],[명칭]]),"-")</f>
        <v>0</v>
      </c>
      <c r="M2042" s="38">
        <f>COUNTIF(퀘스트!B:B,표1[[#This Row],[명칭]])</f>
        <v>0</v>
      </c>
      <c r="N2042" s="65">
        <f>COUNTIF([1]VillageDiscoveryGroup!$C:$C,표1[[#This Row],[명칭]])</f>
        <v>0</v>
      </c>
      <c r="O2042" s="65">
        <f>SUM(표1[[#This Row],[해양탐색]:[마을탐험]])</f>
        <v>0</v>
      </c>
    </row>
    <row r="2043" spans="2:15" ht="13.5" customHeight="1" x14ac:dyDescent="0.3">
      <c r="B2043" s="9">
        <f>[1]Discovery!A2049</f>
        <v>70413259</v>
      </c>
      <c r="C2043" s="9" t="str">
        <f>[1]Discovery!B2049</f>
        <v>이오나섬</v>
      </c>
      <c r="D2043" s="9" t="str">
        <f>[1]Discovery!E2049</f>
        <v>자연</v>
      </c>
      <c r="E2043" s="9" t="str">
        <f>[1]Discovery!C2049</f>
        <v>지리</v>
      </c>
      <c r="F2043" s="9" t="str">
        <f>[1]Discovery!G2049</f>
        <v>S</v>
      </c>
      <c r="G2043" s="9" t="str">
        <f>IFERROR(VLOOKUP(표1[[#This Row],[명칭]],'문화권 정리'!C:D,2,FALSE),"-")</f>
        <v>브리튼</v>
      </c>
      <c r="H2043" s="38" t="str">
        <f>IFERROR(COUNTIF([2]OceanDoodad!$Y:$Y,표1[[#This Row],[명칭]]),"-")</f>
        <v>-</v>
      </c>
      <c r="I2043" s="38">
        <f>IFERROR(COUNTIF([1]AdventureDiscoveryGroup!$D$8:$AW$92,표1[[#This Row],[명칭]]),"-")</f>
        <v>0</v>
      </c>
      <c r="J2043" s="38">
        <f>IFERROR(COUNTIF([1]FishDiscoveryGroup!$A:$X,표1[[#This Row],[명칭]]),"-")</f>
        <v>0</v>
      </c>
      <c r="K2043" s="38" t="str">
        <f>IFERROR(COUNTIF([2]Town!$B:$B,표1[[#This Row],[명칭]]),"-")</f>
        <v>-</v>
      </c>
      <c r="L2043" s="38">
        <f>IFERROR(COUNTIF([1]Village!$BR:$BR,표1[[#This Row],[명칭]]),"-")</f>
        <v>0</v>
      </c>
      <c r="M2043" s="38">
        <f>COUNTIF(퀘스트!B:B,표1[[#This Row],[명칭]])</f>
        <v>0</v>
      </c>
      <c r="N2043" s="65">
        <f>COUNTIF([1]VillageDiscoveryGroup!$C:$C,표1[[#This Row],[명칭]])</f>
        <v>0</v>
      </c>
      <c r="O2043" s="65">
        <f>SUM(표1[[#This Row],[해양탐색]:[마을탐험]])</f>
        <v>0</v>
      </c>
    </row>
    <row r="2044" spans="2:15" ht="13.5" customHeight="1" x14ac:dyDescent="0.3">
      <c r="B2044" s="9">
        <f>[1]Discovery!A2050</f>
        <v>70413260</v>
      </c>
      <c r="C2044" s="9" t="str">
        <f>[1]Discovery!B2050</f>
        <v>이와미 은광</v>
      </c>
      <c r="D2044" s="9" t="str">
        <f>[1]Discovery!E2050</f>
        <v>자연</v>
      </c>
      <c r="E2044" s="9" t="str">
        <f>[1]Discovery!C2050</f>
        <v>지리</v>
      </c>
      <c r="F2044" s="9" t="str">
        <f>[1]Discovery!G2050</f>
        <v>B</v>
      </c>
      <c r="G2044" s="9" t="str">
        <f>IFERROR(VLOOKUP(표1[[#This Row],[명칭]],'문화권 정리'!C:D,2,FALSE),"-")</f>
        <v>동아시아</v>
      </c>
      <c r="H2044" s="38" t="str">
        <f>IFERROR(COUNTIF([2]OceanDoodad!$Y:$Y,표1[[#This Row],[명칭]]),"-")</f>
        <v>-</v>
      </c>
      <c r="I2044" s="38">
        <f>IFERROR(COUNTIF([1]AdventureDiscoveryGroup!$D$8:$AW$92,표1[[#This Row],[명칭]]),"-")</f>
        <v>0</v>
      </c>
      <c r="J2044" s="38">
        <f>IFERROR(COUNTIF([1]FishDiscoveryGroup!$A:$X,표1[[#This Row],[명칭]]),"-")</f>
        <v>0</v>
      </c>
      <c r="K2044" s="38" t="str">
        <f>IFERROR(COUNTIF([2]Town!$B:$B,표1[[#This Row],[명칭]]),"-")</f>
        <v>-</v>
      </c>
      <c r="L2044" s="38">
        <f>IFERROR(COUNTIF([1]Village!$BR:$BR,표1[[#This Row],[명칭]]),"-")</f>
        <v>0</v>
      </c>
      <c r="M2044" s="38">
        <f>COUNTIF(퀘스트!B:B,표1[[#This Row],[명칭]])</f>
        <v>0</v>
      </c>
      <c r="N2044" s="65">
        <f>COUNTIF([1]VillageDiscoveryGroup!$C:$C,표1[[#This Row],[명칭]])</f>
        <v>0</v>
      </c>
      <c r="O2044" s="65">
        <f>SUM(표1[[#This Row],[해양탐색]:[마을탐험]])</f>
        <v>0</v>
      </c>
    </row>
    <row r="2045" spans="2:15" ht="13.5" customHeight="1" x14ac:dyDescent="0.3">
      <c r="B2045" s="9">
        <f>[1]Discovery!A2051</f>
        <v>70413261</v>
      </c>
      <c r="C2045" s="9" t="str">
        <f>[1]Discovery!B2051</f>
        <v>이키</v>
      </c>
      <c r="D2045" s="9" t="str">
        <f>[1]Discovery!E2051</f>
        <v>자연</v>
      </c>
      <c r="E2045" s="9" t="str">
        <f>[1]Discovery!C2051</f>
        <v>지리</v>
      </c>
      <c r="F2045" s="9" t="str">
        <f>[1]Discovery!G2051</f>
        <v>B</v>
      </c>
      <c r="G2045" s="9" t="str">
        <f>IFERROR(VLOOKUP(표1[[#This Row],[명칭]],'문화권 정리'!C:D,2,FALSE),"-")</f>
        <v>동아시아</v>
      </c>
      <c r="H2045" s="38" t="str">
        <f>IFERROR(COUNTIF([2]OceanDoodad!$Y:$Y,표1[[#This Row],[명칭]]),"-")</f>
        <v>-</v>
      </c>
      <c r="I2045" s="38">
        <f>IFERROR(COUNTIF([1]AdventureDiscoveryGroup!$D$8:$AW$92,표1[[#This Row],[명칭]]),"-")</f>
        <v>0</v>
      </c>
      <c r="J2045" s="38">
        <f>IFERROR(COUNTIF([1]FishDiscoveryGroup!$A:$X,표1[[#This Row],[명칭]]),"-")</f>
        <v>0</v>
      </c>
      <c r="K2045" s="38" t="str">
        <f>IFERROR(COUNTIF([2]Town!$B:$B,표1[[#This Row],[명칭]]),"-")</f>
        <v>-</v>
      </c>
      <c r="L2045" s="38">
        <f>IFERROR(COUNTIF([1]Village!$BR:$BR,표1[[#This Row],[명칭]]),"-")</f>
        <v>0</v>
      </c>
      <c r="M2045" s="38">
        <f>COUNTIF(퀘스트!B:B,표1[[#This Row],[명칭]])</f>
        <v>0</v>
      </c>
      <c r="N2045" s="65">
        <f>COUNTIF([1]VillageDiscoveryGroup!$C:$C,표1[[#This Row],[명칭]])</f>
        <v>0</v>
      </c>
      <c r="O2045" s="65">
        <f>SUM(표1[[#This Row],[해양탐색]:[마을탐험]])</f>
        <v>0</v>
      </c>
    </row>
    <row r="2046" spans="2:15" ht="13.5" customHeight="1" x14ac:dyDescent="0.3">
      <c r="B2046" s="9">
        <f>[1]Discovery!A2052</f>
        <v>70413262</v>
      </c>
      <c r="C2046" s="9" t="str">
        <f>[1]Discovery!B2052</f>
        <v>인더스강</v>
      </c>
      <c r="D2046" s="9" t="str">
        <f>[1]Discovery!E2052</f>
        <v>자연</v>
      </c>
      <c r="E2046" s="9" t="str">
        <f>[1]Discovery!C2052</f>
        <v>지리</v>
      </c>
      <c r="F2046" s="9" t="str">
        <f>[1]Discovery!G2052</f>
        <v>A</v>
      </c>
      <c r="G2046" s="9" t="str">
        <f>IFERROR(VLOOKUP(표1[[#This Row],[명칭]],'문화권 정리'!C:D,2,FALSE),"-")</f>
        <v>남아시아</v>
      </c>
      <c r="H2046" s="38" t="str">
        <f>IFERROR(COUNTIF([2]OceanDoodad!$Y:$Y,표1[[#This Row],[명칭]]),"-")</f>
        <v>-</v>
      </c>
      <c r="I2046" s="38">
        <f>IFERROR(COUNTIF([1]AdventureDiscoveryGroup!$D$8:$AW$92,표1[[#This Row],[명칭]]),"-")</f>
        <v>0</v>
      </c>
      <c r="J2046" s="38">
        <f>IFERROR(COUNTIF([1]FishDiscoveryGroup!$A:$X,표1[[#This Row],[명칭]]),"-")</f>
        <v>0</v>
      </c>
      <c r="K2046" s="38" t="str">
        <f>IFERROR(COUNTIF([2]Town!$B:$B,표1[[#This Row],[명칭]]),"-")</f>
        <v>-</v>
      </c>
      <c r="L2046" s="38">
        <f>IFERROR(COUNTIF([1]Village!$BR:$BR,표1[[#This Row],[명칭]]),"-")</f>
        <v>0</v>
      </c>
      <c r="M2046" s="38">
        <f>COUNTIF(퀘스트!B:B,표1[[#This Row],[명칭]])</f>
        <v>0</v>
      </c>
      <c r="N2046" s="65">
        <f>COUNTIF([1]VillageDiscoveryGroup!$C:$C,표1[[#This Row],[명칭]])</f>
        <v>0</v>
      </c>
      <c r="O2046" s="65">
        <f>SUM(표1[[#This Row],[해양탐색]:[마을탐험]])</f>
        <v>0</v>
      </c>
    </row>
    <row r="2047" spans="2:15" ht="13.5" customHeight="1" x14ac:dyDescent="0.3">
      <c r="B2047" s="9">
        <f>[1]Discovery!A2053</f>
        <v>70413263</v>
      </c>
      <c r="C2047" s="9" t="str">
        <f>[1]Discovery!B2053</f>
        <v>인도양</v>
      </c>
      <c r="D2047" s="9" t="str">
        <f>[1]Discovery!E2053</f>
        <v>자연</v>
      </c>
      <c r="E2047" s="9" t="str">
        <f>[1]Discovery!C2053</f>
        <v>지리</v>
      </c>
      <c r="F2047" s="9" t="str">
        <f>[1]Discovery!G2053</f>
        <v>A</v>
      </c>
      <c r="G2047" s="9" t="str">
        <f>IFERROR(VLOOKUP(표1[[#This Row],[명칭]],'문화권 정리'!C:D,2,FALSE),"-")</f>
        <v>남아시아</v>
      </c>
      <c r="H2047" s="38" t="str">
        <f>IFERROR(COUNTIF([2]OceanDoodad!$Y:$Y,표1[[#This Row],[명칭]]),"-")</f>
        <v>-</v>
      </c>
      <c r="I2047" s="38">
        <f>IFERROR(COUNTIF([1]AdventureDiscoveryGroup!$D$8:$AW$92,표1[[#This Row],[명칭]]),"-")</f>
        <v>0</v>
      </c>
      <c r="J2047" s="38">
        <f>IFERROR(COUNTIF([1]FishDiscoveryGroup!$A:$X,표1[[#This Row],[명칭]]),"-")</f>
        <v>0</v>
      </c>
      <c r="K2047" s="38" t="str">
        <f>IFERROR(COUNTIF([2]Town!$B:$B,표1[[#This Row],[명칭]]),"-")</f>
        <v>-</v>
      </c>
      <c r="L2047" s="38">
        <f>IFERROR(COUNTIF([1]Village!$BR:$BR,표1[[#This Row],[명칭]]),"-")</f>
        <v>0</v>
      </c>
      <c r="M2047" s="38">
        <f>COUNTIF(퀘스트!B:B,표1[[#This Row],[명칭]])</f>
        <v>0</v>
      </c>
      <c r="N2047" s="65">
        <f>COUNTIF([1]VillageDiscoveryGroup!$C:$C,표1[[#This Row],[명칭]])</f>
        <v>0</v>
      </c>
      <c r="O2047" s="65">
        <f>SUM(표1[[#This Row],[해양탐색]:[마을탐험]])</f>
        <v>0</v>
      </c>
    </row>
    <row r="2048" spans="2:15" ht="13.5" customHeight="1" x14ac:dyDescent="0.3">
      <c r="B2048" s="9">
        <f>[1]Discovery!A2054</f>
        <v>70413264</v>
      </c>
      <c r="C2048" s="9" t="str">
        <f>[1]Discovery!B2054</f>
        <v>자그로스산맥</v>
      </c>
      <c r="D2048" s="9" t="str">
        <f>[1]Discovery!E2054</f>
        <v>자연</v>
      </c>
      <c r="E2048" s="9" t="str">
        <f>[1]Discovery!C2054</f>
        <v>지리</v>
      </c>
      <c r="F2048" s="9" t="str">
        <f>[1]Discovery!G2054</f>
        <v>S</v>
      </c>
      <c r="G2048" s="9" t="str">
        <f>IFERROR(VLOOKUP(표1[[#This Row],[명칭]],'문화권 정리'!C:D,2,FALSE),"-")</f>
        <v>서남아시아</v>
      </c>
      <c r="H2048" s="38" t="str">
        <f>IFERROR(COUNTIF([2]OceanDoodad!$Y:$Y,표1[[#This Row],[명칭]]),"-")</f>
        <v>-</v>
      </c>
      <c r="I2048" s="38">
        <f>IFERROR(COUNTIF([1]AdventureDiscoveryGroup!$D$8:$AW$92,표1[[#This Row],[명칭]]),"-")</f>
        <v>0</v>
      </c>
      <c r="J2048" s="38">
        <f>IFERROR(COUNTIF([1]FishDiscoveryGroup!$A:$X,표1[[#This Row],[명칭]]),"-")</f>
        <v>0</v>
      </c>
      <c r="K2048" s="38" t="str">
        <f>IFERROR(COUNTIF([2]Town!$B:$B,표1[[#This Row],[명칭]]),"-")</f>
        <v>-</v>
      </c>
      <c r="L2048" s="38">
        <f>IFERROR(COUNTIF([1]Village!$BR:$BR,표1[[#This Row],[명칭]]),"-")</f>
        <v>0</v>
      </c>
      <c r="M2048" s="38">
        <f>COUNTIF(퀘스트!B:B,표1[[#This Row],[명칭]])</f>
        <v>0</v>
      </c>
      <c r="N2048" s="65">
        <f>COUNTIF([1]VillageDiscoveryGroup!$C:$C,표1[[#This Row],[명칭]])</f>
        <v>0</v>
      </c>
      <c r="O2048" s="65">
        <f>SUM(표1[[#This Row],[해양탐색]:[마을탐험]])</f>
        <v>0</v>
      </c>
    </row>
    <row r="2049" spans="2:15" ht="13.5" customHeight="1" x14ac:dyDescent="0.3">
      <c r="B2049" s="9">
        <f>[1]Discovery!A2055</f>
        <v>70413265</v>
      </c>
      <c r="C2049" s="9" t="str">
        <f>[1]Discovery!B2055</f>
        <v>자매담</v>
      </c>
      <c r="D2049" s="9" t="str">
        <f>[1]Discovery!E2055</f>
        <v>자연</v>
      </c>
      <c r="E2049" s="9" t="str">
        <f>[1]Discovery!C2055</f>
        <v>지리</v>
      </c>
      <c r="F2049" s="9" t="str">
        <f>[1]Discovery!G2055</f>
        <v>S</v>
      </c>
      <c r="G2049" s="9" t="str">
        <f>IFERROR(VLOOKUP(표1[[#This Row],[명칭]],'문화권 정리'!C:D,2,FALSE),"-")</f>
        <v>동아시아</v>
      </c>
      <c r="H2049" s="38" t="str">
        <f>IFERROR(COUNTIF([2]OceanDoodad!$Y:$Y,표1[[#This Row],[명칭]]),"-")</f>
        <v>-</v>
      </c>
      <c r="I2049" s="38">
        <f>IFERROR(COUNTIF([1]AdventureDiscoveryGroup!$D$8:$AW$92,표1[[#This Row],[명칭]]),"-")</f>
        <v>0</v>
      </c>
      <c r="J2049" s="38">
        <f>IFERROR(COUNTIF([1]FishDiscoveryGroup!$A:$X,표1[[#This Row],[명칭]]),"-")</f>
        <v>0</v>
      </c>
      <c r="K2049" s="38" t="str">
        <f>IFERROR(COUNTIF([2]Town!$B:$B,표1[[#This Row],[명칭]]),"-")</f>
        <v>-</v>
      </c>
      <c r="L2049" s="38">
        <f>IFERROR(COUNTIF([1]Village!$BR:$BR,표1[[#This Row],[명칭]]),"-")</f>
        <v>0</v>
      </c>
      <c r="M2049" s="38">
        <f>COUNTIF(퀘스트!B:B,표1[[#This Row],[명칭]])</f>
        <v>0</v>
      </c>
      <c r="N2049" s="65">
        <f>COUNTIF([1]VillageDiscoveryGroup!$C:$C,표1[[#This Row],[명칭]])</f>
        <v>0</v>
      </c>
      <c r="O2049" s="65">
        <f>SUM(표1[[#This Row],[해양탐색]:[마을탐험]])</f>
        <v>0</v>
      </c>
    </row>
    <row r="2050" spans="2:15" ht="13.5" customHeight="1" x14ac:dyDescent="0.3">
      <c r="B2050" s="9">
        <f>[1]Discovery!A2056</f>
        <v>70413266</v>
      </c>
      <c r="C2050" s="9" t="str">
        <f>[1]Discovery!B2056</f>
        <v>자메이카 섬</v>
      </c>
      <c r="D2050" s="9" t="str">
        <f>[1]Discovery!E2056</f>
        <v>자연</v>
      </c>
      <c r="E2050" s="9" t="str">
        <f>[1]Discovery!C2056</f>
        <v>지리</v>
      </c>
      <c r="F2050" s="9" t="str">
        <f>[1]Discovery!G2056</f>
        <v>B</v>
      </c>
      <c r="G2050" s="9" t="str">
        <f>IFERROR(VLOOKUP(표1[[#This Row],[명칭]],'문화권 정리'!C:D,2,FALSE),"-")</f>
        <v>중앙아메리카</v>
      </c>
      <c r="H2050" s="38" t="str">
        <f>IFERROR(COUNTIF([2]OceanDoodad!$Y:$Y,표1[[#This Row],[명칭]]),"-")</f>
        <v>-</v>
      </c>
      <c r="I2050" s="38">
        <f>IFERROR(COUNTIF([1]AdventureDiscoveryGroup!$D$8:$AW$92,표1[[#This Row],[명칭]]),"-")</f>
        <v>0</v>
      </c>
      <c r="J2050" s="38">
        <f>IFERROR(COUNTIF([1]FishDiscoveryGroup!$A:$X,표1[[#This Row],[명칭]]),"-")</f>
        <v>0</v>
      </c>
      <c r="K2050" s="38" t="str">
        <f>IFERROR(COUNTIF([2]Town!$B:$B,표1[[#This Row],[명칭]]),"-")</f>
        <v>-</v>
      </c>
      <c r="L2050" s="38">
        <f>IFERROR(COUNTIF([1]Village!$BR:$BR,표1[[#This Row],[명칭]]),"-")</f>
        <v>0</v>
      </c>
      <c r="M2050" s="38">
        <f>COUNTIF(퀘스트!B:B,표1[[#This Row],[명칭]])</f>
        <v>0</v>
      </c>
      <c r="N2050" s="65">
        <f>COUNTIF([1]VillageDiscoveryGroup!$C:$C,표1[[#This Row],[명칭]])</f>
        <v>0</v>
      </c>
      <c r="O2050" s="65">
        <f>SUM(표1[[#This Row],[해양탐색]:[마을탐험]])</f>
        <v>0</v>
      </c>
    </row>
    <row r="2051" spans="2:15" ht="13.5" customHeight="1" x14ac:dyDescent="0.3">
      <c r="B2051" s="9">
        <f>[1]Discovery!A2057</f>
        <v>70413267</v>
      </c>
      <c r="C2051" s="9" t="str">
        <f>[1]Discovery!B2057</f>
        <v>자와섬</v>
      </c>
      <c r="D2051" s="9" t="str">
        <f>[1]Discovery!E2057</f>
        <v>자연</v>
      </c>
      <c r="E2051" s="9" t="str">
        <f>[1]Discovery!C2057</f>
        <v>지리</v>
      </c>
      <c r="F2051" s="9" t="str">
        <f>[1]Discovery!G2057</f>
        <v>C</v>
      </c>
      <c r="G2051" s="9" t="str">
        <f>IFERROR(VLOOKUP(표1[[#This Row],[명칭]],'문화권 정리'!C:D,2,FALSE),"-")</f>
        <v>동남아시아</v>
      </c>
      <c r="H2051" s="38" t="str">
        <f>IFERROR(COUNTIF([2]OceanDoodad!$Y:$Y,표1[[#This Row],[명칭]]),"-")</f>
        <v>-</v>
      </c>
      <c r="I2051" s="38">
        <f>IFERROR(COUNTIF([1]AdventureDiscoveryGroup!$D$8:$AW$92,표1[[#This Row],[명칭]]),"-")</f>
        <v>0</v>
      </c>
      <c r="J2051" s="38">
        <f>IFERROR(COUNTIF([1]FishDiscoveryGroup!$A:$X,표1[[#This Row],[명칭]]),"-")</f>
        <v>0</v>
      </c>
      <c r="K2051" s="38" t="str">
        <f>IFERROR(COUNTIF([2]Town!$B:$B,표1[[#This Row],[명칭]]),"-")</f>
        <v>-</v>
      </c>
      <c r="L2051" s="38">
        <f>IFERROR(COUNTIF([1]Village!$BR:$BR,표1[[#This Row],[명칭]]),"-")</f>
        <v>0</v>
      </c>
      <c r="M2051" s="38">
        <f>COUNTIF(퀘스트!B:B,표1[[#This Row],[명칭]])</f>
        <v>1</v>
      </c>
      <c r="N2051" s="65">
        <f>COUNTIF([1]VillageDiscoveryGroup!$C:$C,표1[[#This Row],[명칭]])</f>
        <v>0</v>
      </c>
      <c r="O2051" s="65">
        <f>SUM(표1[[#This Row],[해양탐색]:[마을탐험]])</f>
        <v>1</v>
      </c>
    </row>
    <row r="2052" spans="2:15" ht="13.5" customHeight="1" x14ac:dyDescent="0.3">
      <c r="B2052" s="9">
        <f>[1]Discovery!A2058</f>
        <v>70413268</v>
      </c>
      <c r="C2052" s="9" t="str">
        <f>[1]Discovery!B2058</f>
        <v>자와해</v>
      </c>
      <c r="D2052" s="9" t="str">
        <f>[1]Discovery!E2058</f>
        <v>자연</v>
      </c>
      <c r="E2052" s="9" t="str">
        <f>[1]Discovery!C2058</f>
        <v>지리</v>
      </c>
      <c r="F2052" s="9" t="str">
        <f>[1]Discovery!G2058</f>
        <v>D</v>
      </c>
      <c r="G2052" s="9" t="str">
        <f>IFERROR(VLOOKUP(표1[[#This Row],[명칭]],'문화권 정리'!C:D,2,FALSE),"-")</f>
        <v>동남아시아</v>
      </c>
      <c r="H2052" s="38" t="str">
        <f>IFERROR(COUNTIF([2]OceanDoodad!$Y:$Y,표1[[#This Row],[명칭]]),"-")</f>
        <v>-</v>
      </c>
      <c r="I2052" s="38">
        <f>IFERROR(COUNTIF([1]AdventureDiscoveryGroup!$D$8:$AW$92,표1[[#This Row],[명칭]]),"-")</f>
        <v>0</v>
      </c>
      <c r="J2052" s="38">
        <f>IFERROR(COUNTIF([1]FishDiscoveryGroup!$A:$X,표1[[#This Row],[명칭]]),"-")</f>
        <v>0</v>
      </c>
      <c r="K2052" s="38" t="str">
        <f>IFERROR(COUNTIF([2]Town!$B:$B,표1[[#This Row],[명칭]]),"-")</f>
        <v>-</v>
      </c>
      <c r="L2052" s="38">
        <f>IFERROR(COUNTIF([1]Village!$BR:$BR,표1[[#This Row],[명칭]]),"-")</f>
        <v>0</v>
      </c>
      <c r="M2052" s="38">
        <f>COUNTIF(퀘스트!B:B,표1[[#This Row],[명칭]])</f>
        <v>0</v>
      </c>
      <c r="N2052" s="65">
        <f>COUNTIF([1]VillageDiscoveryGroup!$C:$C,표1[[#This Row],[명칭]])</f>
        <v>0</v>
      </c>
      <c r="O2052" s="65">
        <f>SUM(표1[[#This Row],[해양탐색]:[마을탐험]])</f>
        <v>0</v>
      </c>
    </row>
    <row r="2053" spans="2:15" ht="13.5" customHeight="1" x14ac:dyDescent="0.3">
      <c r="B2053" s="9">
        <f>[1]Discovery!A2059</f>
        <v>70413269</v>
      </c>
      <c r="C2053" s="9" t="str">
        <f>[1]Discovery!B2059</f>
        <v>잠베지강</v>
      </c>
      <c r="D2053" s="9" t="str">
        <f>[1]Discovery!E2059</f>
        <v>자연</v>
      </c>
      <c r="E2053" s="9" t="str">
        <f>[1]Discovery!C2059</f>
        <v>지리</v>
      </c>
      <c r="F2053" s="9" t="str">
        <f>[1]Discovery!G2059</f>
        <v>B</v>
      </c>
      <c r="G2053" s="9" t="str">
        <f>IFERROR(VLOOKUP(표1[[#This Row],[명칭]],'문화권 정리'!C:D,2,FALSE),"-")</f>
        <v>동아프리카</v>
      </c>
      <c r="H2053" s="38" t="str">
        <f>IFERROR(COUNTIF([2]OceanDoodad!$Y:$Y,표1[[#This Row],[명칭]]),"-")</f>
        <v>-</v>
      </c>
      <c r="I2053" s="38">
        <f>IFERROR(COUNTIF([1]AdventureDiscoveryGroup!$D$8:$AW$92,표1[[#This Row],[명칭]]),"-")</f>
        <v>0</v>
      </c>
      <c r="J2053" s="38">
        <f>IFERROR(COUNTIF([1]FishDiscoveryGroup!$A:$X,표1[[#This Row],[명칭]]),"-")</f>
        <v>0</v>
      </c>
      <c r="K2053" s="38" t="str">
        <f>IFERROR(COUNTIF([2]Town!$B:$B,표1[[#This Row],[명칭]]),"-")</f>
        <v>-</v>
      </c>
      <c r="L2053" s="38">
        <f>IFERROR(COUNTIF([1]Village!$BR:$BR,표1[[#This Row],[명칭]]),"-")</f>
        <v>0</v>
      </c>
      <c r="M2053" s="38">
        <f>COUNTIF(퀘스트!B:B,표1[[#This Row],[명칭]])</f>
        <v>0</v>
      </c>
      <c r="N2053" s="65">
        <f>COUNTIF([1]VillageDiscoveryGroup!$C:$C,표1[[#This Row],[명칭]])</f>
        <v>0</v>
      </c>
      <c r="O2053" s="65">
        <f>SUM(표1[[#This Row],[해양탐색]:[마을탐험]])</f>
        <v>0</v>
      </c>
    </row>
    <row r="2054" spans="2:15" ht="13.5" customHeight="1" x14ac:dyDescent="0.3">
      <c r="B2054" s="9">
        <f>[1]Discovery!A2060</f>
        <v>70413270</v>
      </c>
      <c r="C2054" s="9" t="str">
        <f>[1]Discovery!B2060</f>
        <v>장강</v>
      </c>
      <c r="D2054" s="9" t="str">
        <f>[1]Discovery!E2060</f>
        <v>자연</v>
      </c>
      <c r="E2054" s="9" t="str">
        <f>[1]Discovery!C2060</f>
        <v>지리</v>
      </c>
      <c r="F2054" s="9" t="str">
        <f>[1]Discovery!G2060</f>
        <v>C</v>
      </c>
      <c r="G2054" s="9" t="str">
        <f>IFERROR(VLOOKUP(표1[[#This Row],[명칭]],'문화권 정리'!C:D,2,FALSE),"-")</f>
        <v>동아시아</v>
      </c>
      <c r="H2054" s="38" t="str">
        <f>IFERROR(COUNTIF([2]OceanDoodad!$Y:$Y,표1[[#This Row],[명칭]]),"-")</f>
        <v>-</v>
      </c>
      <c r="I2054" s="38">
        <f>IFERROR(COUNTIF([1]AdventureDiscoveryGroup!$D$8:$AW$92,표1[[#This Row],[명칭]]),"-")</f>
        <v>0</v>
      </c>
      <c r="J2054" s="38">
        <f>IFERROR(COUNTIF([1]FishDiscoveryGroup!$A:$X,표1[[#This Row],[명칭]]),"-")</f>
        <v>0</v>
      </c>
      <c r="K2054" s="38" t="str">
        <f>IFERROR(COUNTIF([2]Town!$B:$B,표1[[#This Row],[명칭]]),"-")</f>
        <v>-</v>
      </c>
      <c r="L2054" s="38">
        <f>IFERROR(COUNTIF([1]Village!$BR:$BR,표1[[#This Row],[명칭]]),"-")</f>
        <v>0</v>
      </c>
      <c r="M2054" s="38">
        <f>COUNTIF(퀘스트!B:B,표1[[#This Row],[명칭]])</f>
        <v>0</v>
      </c>
      <c r="N2054" s="65">
        <f>COUNTIF([1]VillageDiscoveryGroup!$C:$C,표1[[#This Row],[명칭]])</f>
        <v>0</v>
      </c>
      <c r="O2054" s="65">
        <f>SUM(표1[[#This Row],[해양탐색]:[마을탐험]])</f>
        <v>0</v>
      </c>
    </row>
    <row r="2055" spans="2:15" ht="13.5" customHeight="1" x14ac:dyDescent="0.3">
      <c r="B2055" s="9">
        <f>[1]Discovery!A2061</f>
        <v>70413271</v>
      </c>
      <c r="C2055" s="9" t="str">
        <f>[1]Discovery!B2061</f>
        <v>제주도</v>
      </c>
      <c r="D2055" s="9" t="str">
        <f>[1]Discovery!E2061</f>
        <v>자연</v>
      </c>
      <c r="E2055" s="9" t="str">
        <f>[1]Discovery!C2061</f>
        <v>지리</v>
      </c>
      <c r="F2055" s="9" t="str">
        <f>[1]Discovery!G2061</f>
        <v>B</v>
      </c>
      <c r="G2055" s="9" t="str">
        <f>IFERROR(VLOOKUP(표1[[#This Row],[명칭]],'문화권 정리'!C:D,2,FALSE),"-")</f>
        <v>동아시아</v>
      </c>
      <c r="H2055" s="38" t="str">
        <f>IFERROR(COUNTIF([2]OceanDoodad!$Y:$Y,표1[[#This Row],[명칭]]),"-")</f>
        <v>-</v>
      </c>
      <c r="I2055" s="38">
        <f>IFERROR(COUNTIF([1]AdventureDiscoveryGroup!$D$8:$AW$92,표1[[#This Row],[명칭]]),"-")</f>
        <v>0</v>
      </c>
      <c r="J2055" s="38">
        <f>IFERROR(COUNTIF([1]FishDiscoveryGroup!$A:$X,표1[[#This Row],[명칭]]),"-")</f>
        <v>0</v>
      </c>
      <c r="K2055" s="38" t="str">
        <f>IFERROR(COUNTIF([2]Town!$B:$B,표1[[#This Row],[명칭]]),"-")</f>
        <v>-</v>
      </c>
      <c r="L2055" s="38">
        <f>IFERROR(COUNTIF([1]Village!$BR:$BR,표1[[#This Row],[명칭]]),"-")</f>
        <v>0</v>
      </c>
      <c r="M2055" s="38">
        <f>COUNTIF(퀘스트!B:B,표1[[#This Row],[명칭]])</f>
        <v>0</v>
      </c>
      <c r="N2055" s="65">
        <f>COUNTIF([1]VillageDiscoveryGroup!$C:$C,표1[[#This Row],[명칭]])</f>
        <v>0</v>
      </c>
      <c r="O2055" s="65">
        <f>SUM(표1[[#This Row],[해양탐색]:[마을탐험]])</f>
        <v>0</v>
      </c>
    </row>
    <row r="2056" spans="2:15" ht="13.5" customHeight="1" x14ac:dyDescent="0.3">
      <c r="B2056" s="9">
        <f>[1]Discovery!A2062</f>
        <v>70413272</v>
      </c>
      <c r="C2056" s="9" t="str">
        <f>[1]Discovery!B2062</f>
        <v>제주해류</v>
      </c>
      <c r="D2056" s="9" t="str">
        <f>[1]Discovery!E2062</f>
        <v>자연</v>
      </c>
      <c r="E2056" s="9" t="str">
        <f>[1]Discovery!C2062</f>
        <v>지리</v>
      </c>
      <c r="F2056" s="9" t="str">
        <f>[1]Discovery!G2062</f>
        <v>D</v>
      </c>
      <c r="G2056" s="9" t="str">
        <f>IFERROR(VLOOKUP(표1[[#This Row],[명칭]],'문화권 정리'!C:D,2,FALSE),"-")</f>
        <v>동아시아</v>
      </c>
      <c r="H2056" s="38" t="str">
        <f>IFERROR(COUNTIF([2]OceanDoodad!$Y:$Y,표1[[#This Row],[명칭]]),"-")</f>
        <v>-</v>
      </c>
      <c r="I2056" s="38">
        <f>IFERROR(COUNTIF([1]AdventureDiscoveryGroup!$D$8:$AW$92,표1[[#This Row],[명칭]]),"-")</f>
        <v>0</v>
      </c>
      <c r="J2056" s="38">
        <f>IFERROR(COUNTIF([1]FishDiscoveryGroup!$A:$X,표1[[#This Row],[명칭]]),"-")</f>
        <v>0</v>
      </c>
      <c r="K2056" s="38" t="str">
        <f>IFERROR(COUNTIF([2]Town!$B:$B,표1[[#This Row],[명칭]]),"-")</f>
        <v>-</v>
      </c>
      <c r="L2056" s="38">
        <f>IFERROR(COUNTIF([1]Village!$BR:$BR,표1[[#This Row],[명칭]]),"-")</f>
        <v>0</v>
      </c>
      <c r="M2056" s="38">
        <f>COUNTIF(퀘스트!B:B,표1[[#This Row],[명칭]])</f>
        <v>0</v>
      </c>
      <c r="N2056" s="65">
        <f>COUNTIF([1]VillageDiscoveryGroup!$C:$C,표1[[#This Row],[명칭]])</f>
        <v>0</v>
      </c>
      <c r="O2056" s="65">
        <f>SUM(표1[[#This Row],[해양탐색]:[마을탐험]])</f>
        <v>0</v>
      </c>
    </row>
    <row r="2057" spans="2:15" ht="13.5" customHeight="1" x14ac:dyDescent="0.3">
      <c r="B2057" s="9">
        <f>[1]Discovery!A2063</f>
        <v>70413273</v>
      </c>
      <c r="C2057" s="9" t="str">
        <f>[1]Discovery!B2063</f>
        <v>주상절리</v>
      </c>
      <c r="D2057" s="9" t="str">
        <f>[1]Discovery!E2063</f>
        <v>자연</v>
      </c>
      <c r="E2057" s="9" t="str">
        <f>[1]Discovery!C2063</f>
        <v>지리</v>
      </c>
      <c r="F2057" s="9" t="str">
        <f>[1]Discovery!G2063</f>
        <v>B</v>
      </c>
      <c r="G2057" s="9" t="str">
        <f>IFERROR(VLOOKUP(표1[[#This Row],[명칭]],'문화권 정리'!C:D,2,FALSE),"-")</f>
        <v>동아시아</v>
      </c>
      <c r="H2057" s="38" t="str">
        <f>IFERROR(COUNTIF([2]OceanDoodad!$Y:$Y,표1[[#This Row],[명칭]]),"-")</f>
        <v>-</v>
      </c>
      <c r="I2057" s="38">
        <f>IFERROR(COUNTIF([1]AdventureDiscoveryGroup!$D$8:$AW$92,표1[[#This Row],[명칭]]),"-")</f>
        <v>0</v>
      </c>
      <c r="J2057" s="38">
        <f>IFERROR(COUNTIF([1]FishDiscoveryGroup!$A:$X,표1[[#This Row],[명칭]]),"-")</f>
        <v>0</v>
      </c>
      <c r="K2057" s="38" t="str">
        <f>IFERROR(COUNTIF([2]Town!$B:$B,표1[[#This Row],[명칭]]),"-")</f>
        <v>-</v>
      </c>
      <c r="L2057" s="38">
        <f>IFERROR(COUNTIF([1]Village!$BR:$BR,표1[[#This Row],[명칭]]),"-")</f>
        <v>0</v>
      </c>
      <c r="M2057" s="38">
        <f>COUNTIF(퀘스트!B:B,표1[[#This Row],[명칭]])</f>
        <v>0</v>
      </c>
      <c r="N2057" s="65">
        <f>COUNTIF([1]VillageDiscoveryGroup!$C:$C,표1[[#This Row],[명칭]])</f>
        <v>0</v>
      </c>
      <c r="O2057" s="65">
        <f>SUM(표1[[#This Row],[해양탐색]:[마을탐험]])</f>
        <v>0</v>
      </c>
    </row>
    <row r="2058" spans="2:15" ht="13.5" customHeight="1" x14ac:dyDescent="0.3">
      <c r="B2058" s="9">
        <f>[1]Discovery!A2064</f>
        <v>70413274</v>
      </c>
      <c r="C2058" s="9" t="str">
        <f>[1]Discovery!B2064</f>
        <v>진먼섬</v>
      </c>
      <c r="D2058" s="9" t="str">
        <f>[1]Discovery!E2064</f>
        <v>자연</v>
      </c>
      <c r="E2058" s="9" t="str">
        <f>[1]Discovery!C2064</f>
        <v>지리</v>
      </c>
      <c r="F2058" s="9" t="str">
        <f>[1]Discovery!G2064</f>
        <v>B</v>
      </c>
      <c r="G2058" s="9" t="str">
        <f>IFERROR(VLOOKUP(표1[[#This Row],[명칭]],'문화권 정리'!C:D,2,FALSE),"-")</f>
        <v>동아시아</v>
      </c>
      <c r="H2058" s="38" t="str">
        <f>IFERROR(COUNTIF([2]OceanDoodad!$Y:$Y,표1[[#This Row],[명칭]]),"-")</f>
        <v>-</v>
      </c>
      <c r="I2058" s="38">
        <f>IFERROR(COUNTIF([1]AdventureDiscoveryGroup!$D$8:$AW$92,표1[[#This Row],[명칭]]),"-")</f>
        <v>0</v>
      </c>
      <c r="J2058" s="38">
        <f>IFERROR(COUNTIF([1]FishDiscoveryGroup!$A:$X,표1[[#This Row],[명칭]]),"-")</f>
        <v>0</v>
      </c>
      <c r="K2058" s="38" t="str">
        <f>IFERROR(COUNTIF([2]Town!$B:$B,표1[[#This Row],[명칭]]),"-")</f>
        <v>-</v>
      </c>
      <c r="L2058" s="38">
        <f>IFERROR(COUNTIF([1]Village!$BR:$BR,표1[[#This Row],[명칭]]),"-")</f>
        <v>0</v>
      </c>
      <c r="M2058" s="38">
        <f>COUNTIF(퀘스트!B:B,표1[[#This Row],[명칭]])</f>
        <v>0</v>
      </c>
      <c r="N2058" s="65">
        <f>COUNTIF([1]VillageDiscoveryGroup!$C:$C,표1[[#This Row],[명칭]])</f>
        <v>0</v>
      </c>
      <c r="O2058" s="65">
        <f>SUM(표1[[#This Row],[해양탐색]:[마을탐험]])</f>
        <v>0</v>
      </c>
    </row>
    <row r="2059" spans="2:15" ht="13.5" customHeight="1" x14ac:dyDescent="0.3">
      <c r="B2059" s="9">
        <f>[1]Discovery!A2065</f>
        <v>70413275</v>
      </c>
      <c r="C2059" s="9" t="str">
        <f>[1]Discovery!B2065</f>
        <v>차고스제도</v>
      </c>
      <c r="D2059" s="9" t="str">
        <f>[1]Discovery!E2065</f>
        <v>자연</v>
      </c>
      <c r="E2059" s="9" t="str">
        <f>[1]Discovery!C2065</f>
        <v>지리</v>
      </c>
      <c r="F2059" s="9" t="str">
        <f>[1]Discovery!G2065</f>
        <v>S</v>
      </c>
      <c r="G2059" s="9" t="str">
        <f>IFERROR(VLOOKUP(표1[[#This Row],[명칭]],'문화권 정리'!C:D,2,FALSE),"-")</f>
        <v>남아시아</v>
      </c>
      <c r="H2059" s="38" t="str">
        <f>IFERROR(COUNTIF([2]OceanDoodad!$Y:$Y,표1[[#This Row],[명칭]]),"-")</f>
        <v>-</v>
      </c>
      <c r="I2059" s="38">
        <f>IFERROR(COUNTIF([1]AdventureDiscoveryGroup!$D$8:$AW$92,표1[[#This Row],[명칭]]),"-")</f>
        <v>0</v>
      </c>
      <c r="J2059" s="38">
        <f>IFERROR(COUNTIF([1]FishDiscoveryGroup!$A:$X,표1[[#This Row],[명칭]]),"-")</f>
        <v>0</v>
      </c>
      <c r="K2059" s="38" t="str">
        <f>IFERROR(COUNTIF([2]Town!$B:$B,표1[[#This Row],[명칭]]),"-")</f>
        <v>-</v>
      </c>
      <c r="L2059" s="38">
        <f>IFERROR(COUNTIF([1]Village!$BR:$BR,표1[[#This Row],[명칭]]),"-")</f>
        <v>0</v>
      </c>
      <c r="M2059" s="38">
        <f>COUNTIF(퀘스트!B:B,표1[[#This Row],[명칭]])</f>
        <v>0</v>
      </c>
      <c r="N2059" s="65">
        <f>COUNTIF([1]VillageDiscoveryGroup!$C:$C,표1[[#This Row],[명칭]])</f>
        <v>0</v>
      </c>
      <c r="O2059" s="65">
        <f>SUM(표1[[#This Row],[해양탐색]:[마을탐험]])</f>
        <v>0</v>
      </c>
    </row>
    <row r="2060" spans="2:15" ht="13.5" customHeight="1" x14ac:dyDescent="0.3">
      <c r="B2060" s="9">
        <f>[1]Discovery!A2066</f>
        <v>70413276</v>
      </c>
      <c r="C2060" s="9" t="str">
        <f>[1]Discovery!B2066</f>
        <v>차그레스강</v>
      </c>
      <c r="D2060" s="9" t="str">
        <f>[1]Discovery!E2066</f>
        <v>자연</v>
      </c>
      <c r="E2060" s="9" t="str">
        <f>[1]Discovery!C2066</f>
        <v>지리</v>
      </c>
      <c r="F2060" s="9" t="str">
        <f>[1]Discovery!G2066</f>
        <v>B</v>
      </c>
      <c r="G2060" s="9" t="str">
        <f>IFERROR(VLOOKUP(표1[[#This Row],[명칭]],'문화권 정리'!C:D,2,FALSE),"-")</f>
        <v>중앙아메리카</v>
      </c>
      <c r="H2060" s="38" t="str">
        <f>IFERROR(COUNTIF([2]OceanDoodad!$Y:$Y,표1[[#This Row],[명칭]]),"-")</f>
        <v>-</v>
      </c>
      <c r="I2060" s="38">
        <f>IFERROR(COUNTIF([1]AdventureDiscoveryGroup!$D$8:$AW$92,표1[[#This Row],[명칭]]),"-")</f>
        <v>0</v>
      </c>
      <c r="J2060" s="38">
        <f>IFERROR(COUNTIF([1]FishDiscoveryGroup!$A:$X,표1[[#This Row],[명칭]]),"-")</f>
        <v>0</v>
      </c>
      <c r="K2060" s="38" t="str">
        <f>IFERROR(COUNTIF([2]Town!$B:$B,표1[[#This Row],[명칭]]),"-")</f>
        <v>-</v>
      </c>
      <c r="L2060" s="38">
        <f>IFERROR(COUNTIF([1]Village!$BR:$BR,표1[[#This Row],[명칭]]),"-")</f>
        <v>0</v>
      </c>
      <c r="M2060" s="38">
        <f>COUNTIF(퀘스트!B:B,표1[[#This Row],[명칭]])</f>
        <v>0</v>
      </c>
      <c r="N2060" s="65">
        <f>COUNTIF([1]VillageDiscoveryGroup!$C:$C,표1[[#This Row],[명칭]])</f>
        <v>0</v>
      </c>
      <c r="O2060" s="65">
        <f>SUM(표1[[#This Row],[해양탐색]:[마을탐험]])</f>
        <v>0</v>
      </c>
    </row>
    <row r="2061" spans="2:15" ht="13.5" customHeight="1" x14ac:dyDescent="0.3">
      <c r="B2061" s="9">
        <f>[1]Discovery!A2067</f>
        <v>70413277</v>
      </c>
      <c r="C2061" s="9" t="str">
        <f>[1]Discovery!B2067</f>
        <v>차오프라야강</v>
      </c>
      <c r="D2061" s="9" t="str">
        <f>[1]Discovery!E2067</f>
        <v>자연</v>
      </c>
      <c r="E2061" s="9" t="str">
        <f>[1]Discovery!C2067</f>
        <v>지리</v>
      </c>
      <c r="F2061" s="9" t="str">
        <f>[1]Discovery!G2067</f>
        <v>B</v>
      </c>
      <c r="G2061" s="9" t="str">
        <f>IFERROR(VLOOKUP(표1[[#This Row],[명칭]],'문화권 정리'!C:D,2,FALSE),"-")</f>
        <v>동남아시아</v>
      </c>
      <c r="H2061" s="38" t="str">
        <f>IFERROR(COUNTIF([2]OceanDoodad!$Y:$Y,표1[[#This Row],[명칭]]),"-")</f>
        <v>-</v>
      </c>
      <c r="I2061" s="38">
        <f>IFERROR(COUNTIF([1]AdventureDiscoveryGroup!$D$8:$AW$92,표1[[#This Row],[명칭]]),"-")</f>
        <v>0</v>
      </c>
      <c r="J2061" s="38">
        <f>IFERROR(COUNTIF([1]FishDiscoveryGroup!$A:$X,표1[[#This Row],[명칭]]),"-")</f>
        <v>0</v>
      </c>
      <c r="K2061" s="38" t="str">
        <f>IFERROR(COUNTIF([2]Town!$B:$B,표1[[#This Row],[명칭]]),"-")</f>
        <v>-</v>
      </c>
      <c r="L2061" s="38">
        <f>IFERROR(COUNTIF([1]Village!$BR:$BR,표1[[#This Row],[명칭]]),"-")</f>
        <v>0</v>
      </c>
      <c r="M2061" s="38">
        <f>COUNTIF(퀘스트!B:B,표1[[#This Row],[명칭]])</f>
        <v>0</v>
      </c>
      <c r="N2061" s="65">
        <f>COUNTIF([1]VillageDiscoveryGroup!$C:$C,표1[[#This Row],[명칭]])</f>
        <v>0</v>
      </c>
      <c r="O2061" s="65">
        <f>SUM(표1[[#This Row],[해양탐색]:[마을탐험]])</f>
        <v>0</v>
      </c>
    </row>
    <row r="2062" spans="2:15" ht="13.5" customHeight="1" x14ac:dyDescent="0.3">
      <c r="B2062" s="9">
        <f>[1]Discovery!A2068</f>
        <v>70413278</v>
      </c>
      <c r="C2062" s="9" t="str">
        <f>[1]Discovery!B2068</f>
        <v>청나일폭포</v>
      </c>
      <c r="D2062" s="9" t="str">
        <f>[1]Discovery!E2068</f>
        <v>자연</v>
      </c>
      <c r="E2062" s="9" t="str">
        <f>[1]Discovery!C2068</f>
        <v>지리</v>
      </c>
      <c r="F2062" s="9" t="str">
        <f>[1]Discovery!G2068</f>
        <v>B</v>
      </c>
      <c r="G2062" s="9" t="str">
        <f>IFERROR(VLOOKUP(표1[[#This Row],[명칭]],'문화권 정리'!C:D,2,FALSE),"-")</f>
        <v>동아프리카</v>
      </c>
      <c r="H2062" s="38" t="str">
        <f>IFERROR(COUNTIF([2]OceanDoodad!$Y:$Y,표1[[#This Row],[명칭]]),"-")</f>
        <v>-</v>
      </c>
      <c r="I2062" s="38">
        <f>IFERROR(COUNTIF([1]AdventureDiscoveryGroup!$D$8:$AW$92,표1[[#This Row],[명칭]]),"-")</f>
        <v>0</v>
      </c>
      <c r="J2062" s="38">
        <f>IFERROR(COUNTIF([1]FishDiscoveryGroup!$A:$X,표1[[#This Row],[명칭]]),"-")</f>
        <v>0</v>
      </c>
      <c r="K2062" s="38" t="str">
        <f>IFERROR(COUNTIF([2]Town!$B:$B,표1[[#This Row],[명칭]]),"-")</f>
        <v>-</v>
      </c>
      <c r="L2062" s="38">
        <f>IFERROR(COUNTIF([1]Village!$BR:$BR,표1[[#This Row],[명칭]]),"-")</f>
        <v>0</v>
      </c>
      <c r="M2062" s="38">
        <f>COUNTIF(퀘스트!B:B,표1[[#This Row],[명칭]])</f>
        <v>0</v>
      </c>
      <c r="N2062" s="65">
        <f>COUNTIF([1]VillageDiscoveryGroup!$C:$C,표1[[#This Row],[명칭]])</f>
        <v>0</v>
      </c>
      <c r="O2062" s="65">
        <f>SUM(표1[[#This Row],[해양탐색]:[마을탐험]])</f>
        <v>0</v>
      </c>
    </row>
    <row r="2063" spans="2:15" ht="13.5" customHeight="1" x14ac:dyDescent="0.3">
      <c r="B2063" s="9">
        <f>[1]Discovery!A2069</f>
        <v>70413279</v>
      </c>
      <c r="C2063" s="9" t="str">
        <f>[1]Discovery!B2069</f>
        <v>칭청산</v>
      </c>
      <c r="D2063" s="9" t="str">
        <f>[1]Discovery!E2069</f>
        <v>자연</v>
      </c>
      <c r="E2063" s="9" t="str">
        <f>[1]Discovery!C2069</f>
        <v>지리</v>
      </c>
      <c r="F2063" s="9" t="str">
        <f>[1]Discovery!G2069</f>
        <v>A</v>
      </c>
      <c r="G2063" s="9" t="str">
        <f>IFERROR(VLOOKUP(표1[[#This Row],[명칭]],'문화권 정리'!C:D,2,FALSE),"-")</f>
        <v>동아시아</v>
      </c>
      <c r="H2063" s="38" t="str">
        <f>IFERROR(COUNTIF([2]OceanDoodad!$Y:$Y,표1[[#This Row],[명칭]]),"-")</f>
        <v>-</v>
      </c>
      <c r="I2063" s="38">
        <f>IFERROR(COUNTIF([1]AdventureDiscoveryGroup!$D$8:$AW$92,표1[[#This Row],[명칭]]),"-")</f>
        <v>0</v>
      </c>
      <c r="J2063" s="38">
        <f>IFERROR(COUNTIF([1]FishDiscoveryGroup!$A:$X,표1[[#This Row],[명칭]]),"-")</f>
        <v>0</v>
      </c>
      <c r="K2063" s="38" t="str">
        <f>IFERROR(COUNTIF([2]Town!$B:$B,표1[[#This Row],[명칭]]),"-")</f>
        <v>-</v>
      </c>
      <c r="L2063" s="38">
        <f>IFERROR(COUNTIF([1]Village!$BR:$BR,표1[[#This Row],[명칭]]),"-")</f>
        <v>0</v>
      </c>
      <c r="M2063" s="38">
        <f>COUNTIF(퀘스트!B:B,표1[[#This Row],[명칭]])</f>
        <v>0</v>
      </c>
      <c r="N2063" s="65">
        <f>COUNTIF([1]VillageDiscoveryGroup!$C:$C,표1[[#This Row],[명칭]])</f>
        <v>0</v>
      </c>
      <c r="O2063" s="65">
        <f>SUM(표1[[#This Row],[해양탐색]:[마을탐험]])</f>
        <v>0</v>
      </c>
    </row>
    <row r="2064" spans="2:15" ht="13.5" customHeight="1" x14ac:dyDescent="0.3">
      <c r="B2064" s="9">
        <f>[1]Discovery!A2070</f>
        <v>70413280</v>
      </c>
      <c r="C2064" s="9" t="str">
        <f>[1]Discovery!B2070</f>
        <v>청수단애</v>
      </c>
      <c r="D2064" s="9" t="str">
        <f>[1]Discovery!E2070</f>
        <v>자연</v>
      </c>
      <c r="E2064" s="9" t="str">
        <f>[1]Discovery!C2070</f>
        <v>지리</v>
      </c>
      <c r="F2064" s="9" t="str">
        <f>[1]Discovery!G2070</f>
        <v>A</v>
      </c>
      <c r="G2064" s="9" t="str">
        <f>IFERROR(VLOOKUP(표1[[#This Row],[명칭]],'문화권 정리'!C:D,2,FALSE),"-")</f>
        <v>동아시아</v>
      </c>
      <c r="H2064" s="38" t="str">
        <f>IFERROR(COUNTIF([2]OceanDoodad!$Y:$Y,표1[[#This Row],[명칭]]),"-")</f>
        <v>-</v>
      </c>
      <c r="I2064" s="38">
        <f>IFERROR(COUNTIF([1]AdventureDiscoveryGroup!$D$8:$AW$92,표1[[#This Row],[명칭]]),"-")</f>
        <v>0</v>
      </c>
      <c r="J2064" s="38">
        <f>IFERROR(COUNTIF([1]FishDiscoveryGroup!$A:$X,표1[[#This Row],[명칭]]),"-")</f>
        <v>0</v>
      </c>
      <c r="K2064" s="38" t="str">
        <f>IFERROR(COUNTIF([2]Town!$B:$B,표1[[#This Row],[명칭]]),"-")</f>
        <v>-</v>
      </c>
      <c r="L2064" s="38">
        <f>IFERROR(COUNTIF([1]Village!$BR:$BR,표1[[#This Row],[명칭]]),"-")</f>
        <v>0</v>
      </c>
      <c r="M2064" s="38">
        <f>COUNTIF(퀘스트!B:B,표1[[#This Row],[명칭]])</f>
        <v>0</v>
      </c>
      <c r="N2064" s="65">
        <f>COUNTIF([1]VillageDiscoveryGroup!$C:$C,표1[[#This Row],[명칭]])</f>
        <v>0</v>
      </c>
      <c r="O2064" s="65">
        <f>SUM(표1[[#This Row],[해양탐색]:[마을탐험]])</f>
        <v>0</v>
      </c>
    </row>
    <row r="2065" spans="2:15" ht="13.5" customHeight="1" x14ac:dyDescent="0.3">
      <c r="B2065" s="9">
        <f>[1]Discovery!A2071</f>
        <v>70413281</v>
      </c>
      <c r="C2065" s="9" t="str">
        <f>[1]Discovery!B2071</f>
        <v>첼류스킨곶</v>
      </c>
      <c r="D2065" s="9" t="str">
        <f>[1]Discovery!E2071</f>
        <v>자연</v>
      </c>
      <c r="E2065" s="9" t="str">
        <f>[1]Discovery!C2071</f>
        <v>지리</v>
      </c>
      <c r="F2065" s="9" t="str">
        <f>[1]Discovery!G2071</f>
        <v>S</v>
      </c>
      <c r="G2065" s="9" t="str">
        <f>IFERROR(VLOOKUP(표1[[#This Row],[명칭]],'문화권 정리'!C:D,2,FALSE),"-")</f>
        <v>유라시아</v>
      </c>
      <c r="H2065" s="38" t="str">
        <f>IFERROR(COUNTIF([2]OceanDoodad!$Y:$Y,표1[[#This Row],[명칭]]),"-")</f>
        <v>-</v>
      </c>
      <c r="I2065" s="38">
        <f>IFERROR(COUNTIF([1]AdventureDiscoveryGroup!$D$8:$AW$92,표1[[#This Row],[명칭]]),"-")</f>
        <v>0</v>
      </c>
      <c r="J2065" s="38">
        <f>IFERROR(COUNTIF([1]FishDiscoveryGroup!$A:$X,표1[[#This Row],[명칭]]),"-")</f>
        <v>0</v>
      </c>
      <c r="K2065" s="38" t="str">
        <f>IFERROR(COUNTIF([2]Town!$B:$B,표1[[#This Row],[명칭]]),"-")</f>
        <v>-</v>
      </c>
      <c r="L2065" s="38">
        <f>IFERROR(COUNTIF([1]Village!$BR:$BR,표1[[#This Row],[명칭]]),"-")</f>
        <v>0</v>
      </c>
      <c r="M2065" s="38">
        <f>COUNTIF(퀘스트!B:B,표1[[#This Row],[명칭]])</f>
        <v>0</v>
      </c>
      <c r="N2065" s="65">
        <f>COUNTIF([1]VillageDiscoveryGroup!$C:$C,표1[[#This Row],[명칭]])</f>
        <v>0</v>
      </c>
      <c r="O2065" s="65">
        <f>SUM(표1[[#This Row],[해양탐색]:[마을탐험]])</f>
        <v>0</v>
      </c>
    </row>
    <row r="2066" spans="2:15" ht="13.5" customHeight="1" x14ac:dyDescent="0.3">
      <c r="B2066" s="9">
        <f>[1]Discovery!A2072</f>
        <v>70413282</v>
      </c>
      <c r="C2066" s="9" t="str">
        <f>[1]Discovery!B2072</f>
        <v>추크치반도</v>
      </c>
      <c r="D2066" s="9" t="str">
        <f>[1]Discovery!E2072</f>
        <v>자연</v>
      </c>
      <c r="E2066" s="9" t="str">
        <f>[1]Discovery!C2072</f>
        <v>지리</v>
      </c>
      <c r="F2066" s="9" t="str">
        <f>[1]Discovery!G2072</f>
        <v>C</v>
      </c>
      <c r="G2066" s="9" t="str">
        <f>IFERROR(VLOOKUP(표1[[#This Row],[명칭]],'문화권 정리'!C:D,2,FALSE),"-")</f>
        <v>유라시아</v>
      </c>
      <c r="H2066" s="38" t="str">
        <f>IFERROR(COUNTIF([2]OceanDoodad!$Y:$Y,표1[[#This Row],[명칭]]),"-")</f>
        <v>-</v>
      </c>
      <c r="I2066" s="38">
        <f>IFERROR(COUNTIF([1]AdventureDiscoveryGroup!$D$8:$AW$92,표1[[#This Row],[명칭]]),"-")</f>
        <v>0</v>
      </c>
      <c r="J2066" s="38">
        <f>IFERROR(COUNTIF([1]FishDiscoveryGroup!$A:$X,표1[[#This Row],[명칭]]),"-")</f>
        <v>0</v>
      </c>
      <c r="K2066" s="38" t="str">
        <f>IFERROR(COUNTIF([2]Town!$B:$B,표1[[#This Row],[명칭]]),"-")</f>
        <v>-</v>
      </c>
      <c r="L2066" s="38">
        <f>IFERROR(COUNTIF([1]Village!$BR:$BR,표1[[#This Row],[명칭]]),"-")</f>
        <v>0</v>
      </c>
      <c r="M2066" s="38">
        <f>COUNTIF(퀘스트!B:B,표1[[#This Row],[명칭]])</f>
        <v>0</v>
      </c>
      <c r="N2066" s="65">
        <f>COUNTIF([1]VillageDiscoveryGroup!$C:$C,표1[[#This Row],[명칭]])</f>
        <v>0</v>
      </c>
      <c r="O2066" s="65">
        <f>SUM(표1[[#This Row],[해양탐색]:[마을탐험]])</f>
        <v>0</v>
      </c>
    </row>
    <row r="2067" spans="2:15" ht="13.5" customHeight="1" x14ac:dyDescent="0.3">
      <c r="B2067" s="9">
        <f>[1]Discovery!A2073</f>
        <v>70413283</v>
      </c>
      <c r="C2067" s="9" t="str">
        <f>[1]Discovery!B2073</f>
        <v>카리마타해협</v>
      </c>
      <c r="D2067" s="9" t="str">
        <f>[1]Discovery!E2073</f>
        <v>자연</v>
      </c>
      <c r="E2067" s="9" t="str">
        <f>[1]Discovery!C2073</f>
        <v>지리</v>
      </c>
      <c r="F2067" s="9" t="str">
        <f>[1]Discovery!G2073</f>
        <v>C</v>
      </c>
      <c r="G2067" s="9" t="str">
        <f>IFERROR(VLOOKUP(표1[[#This Row],[명칭]],'문화권 정리'!C:D,2,FALSE),"-")</f>
        <v>동남아시아</v>
      </c>
      <c r="H2067" s="38" t="str">
        <f>IFERROR(COUNTIF([2]OceanDoodad!$Y:$Y,표1[[#This Row],[명칭]]),"-")</f>
        <v>-</v>
      </c>
      <c r="I2067" s="38">
        <f>IFERROR(COUNTIF([1]AdventureDiscoveryGroup!$D$8:$AW$92,표1[[#This Row],[명칭]]),"-")</f>
        <v>0</v>
      </c>
      <c r="J2067" s="38">
        <f>IFERROR(COUNTIF([1]FishDiscoveryGroup!$A:$X,표1[[#This Row],[명칭]]),"-")</f>
        <v>0</v>
      </c>
      <c r="K2067" s="38" t="str">
        <f>IFERROR(COUNTIF([2]Town!$B:$B,표1[[#This Row],[명칭]]),"-")</f>
        <v>-</v>
      </c>
      <c r="L2067" s="38">
        <f>IFERROR(COUNTIF([1]Village!$BR:$BR,표1[[#This Row],[명칭]]),"-")</f>
        <v>0</v>
      </c>
      <c r="M2067" s="38">
        <f>COUNTIF(퀘스트!B:B,표1[[#This Row],[명칭]])</f>
        <v>0</v>
      </c>
      <c r="N2067" s="65">
        <f>COUNTIF([1]VillageDiscoveryGroup!$C:$C,표1[[#This Row],[명칭]])</f>
        <v>0</v>
      </c>
      <c r="O2067" s="65">
        <f>SUM(표1[[#This Row],[해양탐색]:[마을탐험]])</f>
        <v>0</v>
      </c>
    </row>
    <row r="2068" spans="2:15" ht="13.5" customHeight="1" x14ac:dyDescent="0.3">
      <c r="B2068" s="9">
        <f>[1]Discovery!A2074</f>
        <v>70413284</v>
      </c>
      <c r="C2068" s="9" t="str">
        <f>[1]Discovery!B2074</f>
        <v>카리브해</v>
      </c>
      <c r="D2068" s="9" t="str">
        <f>[1]Discovery!E2074</f>
        <v>자연</v>
      </c>
      <c r="E2068" s="9" t="str">
        <f>[1]Discovery!C2074</f>
        <v>지리</v>
      </c>
      <c r="F2068" s="9" t="str">
        <f>[1]Discovery!G2074</f>
        <v>C</v>
      </c>
      <c r="G2068" s="9" t="str">
        <f>IFERROR(VLOOKUP(표1[[#This Row],[명칭]],'문화권 정리'!C:D,2,FALSE),"-")</f>
        <v>중앙아메리카</v>
      </c>
      <c r="H2068" s="38" t="str">
        <f>IFERROR(COUNTIF([2]OceanDoodad!$Y:$Y,표1[[#This Row],[명칭]]),"-")</f>
        <v>-</v>
      </c>
      <c r="I2068" s="38">
        <f>IFERROR(COUNTIF([1]AdventureDiscoveryGroup!$D$8:$AW$92,표1[[#This Row],[명칭]]),"-")</f>
        <v>0</v>
      </c>
      <c r="J2068" s="38">
        <f>IFERROR(COUNTIF([1]FishDiscoveryGroup!$A:$X,표1[[#This Row],[명칭]]),"-")</f>
        <v>0</v>
      </c>
      <c r="K2068" s="38" t="str">
        <f>IFERROR(COUNTIF([2]Town!$B:$B,표1[[#This Row],[명칭]]),"-")</f>
        <v>-</v>
      </c>
      <c r="L2068" s="38">
        <f>IFERROR(COUNTIF([1]Village!$BR:$BR,표1[[#This Row],[명칭]]),"-")</f>
        <v>0</v>
      </c>
      <c r="M2068" s="38">
        <f>COUNTIF(퀘스트!B:B,표1[[#This Row],[명칭]])</f>
        <v>0</v>
      </c>
      <c r="N2068" s="65">
        <f>COUNTIF([1]VillageDiscoveryGroup!$C:$C,표1[[#This Row],[명칭]])</f>
        <v>0</v>
      </c>
      <c r="O2068" s="65">
        <f>SUM(표1[[#This Row],[해양탐색]:[마을탐험]])</f>
        <v>0</v>
      </c>
    </row>
    <row r="2069" spans="2:15" ht="13.5" customHeight="1" x14ac:dyDescent="0.3">
      <c r="B2069" s="9">
        <f>[1]Discovery!A2075</f>
        <v>70413285</v>
      </c>
      <c r="C2069" s="9" t="str">
        <f>[1]Discovery!B2075</f>
        <v>카메룬산</v>
      </c>
      <c r="D2069" s="9" t="str">
        <f>[1]Discovery!E2075</f>
        <v>자연</v>
      </c>
      <c r="E2069" s="9" t="str">
        <f>[1]Discovery!C2075</f>
        <v>지리</v>
      </c>
      <c r="F2069" s="9" t="str">
        <f>[1]Discovery!G2075</f>
        <v>B</v>
      </c>
      <c r="G2069" s="9" t="str">
        <f>IFERROR(VLOOKUP(표1[[#This Row],[명칭]],'문화권 정리'!C:D,2,FALSE),"-")</f>
        <v>서아프리카</v>
      </c>
      <c r="H2069" s="38" t="str">
        <f>IFERROR(COUNTIF([2]OceanDoodad!$Y:$Y,표1[[#This Row],[명칭]]),"-")</f>
        <v>-</v>
      </c>
      <c r="I2069" s="38">
        <f>IFERROR(COUNTIF([1]AdventureDiscoveryGroup!$D$8:$AW$92,표1[[#This Row],[명칭]]),"-")</f>
        <v>0</v>
      </c>
      <c r="J2069" s="38">
        <f>IFERROR(COUNTIF([1]FishDiscoveryGroup!$A:$X,표1[[#This Row],[명칭]]),"-")</f>
        <v>0</v>
      </c>
      <c r="K2069" s="38" t="str">
        <f>IFERROR(COUNTIF([2]Town!$B:$B,표1[[#This Row],[명칭]]),"-")</f>
        <v>-</v>
      </c>
      <c r="L2069" s="38">
        <f>IFERROR(COUNTIF([1]Village!$BR:$BR,표1[[#This Row],[명칭]]),"-")</f>
        <v>0</v>
      </c>
      <c r="M2069" s="38">
        <f>COUNTIF(퀘스트!B:B,표1[[#This Row],[명칭]])</f>
        <v>0</v>
      </c>
      <c r="N2069" s="65">
        <f>COUNTIF([1]VillageDiscoveryGroup!$C:$C,표1[[#This Row],[명칭]])</f>
        <v>0</v>
      </c>
      <c r="O2069" s="65">
        <f>SUM(표1[[#This Row],[해양탐색]:[마을탐험]])</f>
        <v>0</v>
      </c>
    </row>
    <row r="2070" spans="2:15" ht="13.5" customHeight="1" x14ac:dyDescent="0.3">
      <c r="B2070" s="9">
        <f>[1]Discovery!A2076</f>
        <v>70413286</v>
      </c>
      <c r="C2070" s="9" t="str">
        <f>[1]Discovery!B2076</f>
        <v>카스피해</v>
      </c>
      <c r="D2070" s="9" t="str">
        <f>[1]Discovery!E2076</f>
        <v>자연</v>
      </c>
      <c r="E2070" s="9" t="str">
        <f>[1]Discovery!C2076</f>
        <v>지리</v>
      </c>
      <c r="F2070" s="9" t="str">
        <f>[1]Discovery!G2076</f>
        <v>A</v>
      </c>
      <c r="G2070" s="9" t="str">
        <f>IFERROR(VLOOKUP(표1[[#This Row],[명칭]],'문화권 정리'!C:D,2,FALSE),"-")</f>
        <v>유라시아</v>
      </c>
      <c r="H2070" s="38" t="str">
        <f>IFERROR(COUNTIF([2]OceanDoodad!$Y:$Y,표1[[#This Row],[명칭]]),"-")</f>
        <v>-</v>
      </c>
      <c r="I2070" s="38">
        <f>IFERROR(COUNTIF([1]AdventureDiscoveryGroup!$D$8:$AW$92,표1[[#This Row],[명칭]]),"-")</f>
        <v>0</v>
      </c>
      <c r="J2070" s="38">
        <f>IFERROR(COUNTIF([1]FishDiscoveryGroup!$A:$X,표1[[#This Row],[명칭]]),"-")</f>
        <v>0</v>
      </c>
      <c r="K2070" s="38" t="str">
        <f>IFERROR(COUNTIF([2]Town!$B:$B,표1[[#This Row],[명칭]]),"-")</f>
        <v>-</v>
      </c>
      <c r="L2070" s="38">
        <f>IFERROR(COUNTIF([1]Village!$BR:$BR,표1[[#This Row],[명칭]]),"-")</f>
        <v>0</v>
      </c>
      <c r="M2070" s="38">
        <f>COUNTIF(퀘스트!B:B,표1[[#This Row],[명칭]])</f>
        <v>0</v>
      </c>
      <c r="N2070" s="65">
        <f>COUNTIF([1]VillageDiscoveryGroup!$C:$C,표1[[#This Row],[명칭]])</f>
        <v>0</v>
      </c>
      <c r="O2070" s="65">
        <f>SUM(표1[[#This Row],[해양탐색]:[마을탐험]])</f>
        <v>0</v>
      </c>
    </row>
    <row r="2071" spans="2:15" ht="13.5" customHeight="1" x14ac:dyDescent="0.3">
      <c r="B2071" s="9">
        <f>[1]Discovery!A2077</f>
        <v>70413287</v>
      </c>
      <c r="C2071" s="9" t="str">
        <f>[1]Discovery!B2077</f>
        <v>카이에테우르폭포</v>
      </c>
      <c r="D2071" s="9" t="str">
        <f>[1]Discovery!E2077</f>
        <v>자연</v>
      </c>
      <c r="E2071" s="9" t="str">
        <f>[1]Discovery!C2077</f>
        <v>지리</v>
      </c>
      <c r="F2071" s="9" t="str">
        <f>[1]Discovery!G2077</f>
        <v>A</v>
      </c>
      <c r="G2071" s="9" t="str">
        <f>IFERROR(VLOOKUP(표1[[#This Row],[명칭]],'문화권 정리'!C:D,2,FALSE),"-")</f>
        <v>남아메리카</v>
      </c>
      <c r="H2071" s="38" t="str">
        <f>IFERROR(COUNTIF([2]OceanDoodad!$Y:$Y,표1[[#This Row],[명칭]]),"-")</f>
        <v>-</v>
      </c>
      <c r="I2071" s="38">
        <f>IFERROR(COUNTIF([1]AdventureDiscoveryGroup!$D$8:$AW$92,표1[[#This Row],[명칭]]),"-")</f>
        <v>0</v>
      </c>
      <c r="J2071" s="38">
        <f>IFERROR(COUNTIF([1]FishDiscoveryGroup!$A:$X,표1[[#This Row],[명칭]]),"-")</f>
        <v>0</v>
      </c>
      <c r="K2071" s="38" t="str">
        <f>IFERROR(COUNTIF([2]Town!$B:$B,표1[[#This Row],[명칭]]),"-")</f>
        <v>-</v>
      </c>
      <c r="L2071" s="38">
        <f>IFERROR(COUNTIF([1]Village!$BR:$BR,표1[[#This Row],[명칭]]),"-")</f>
        <v>0</v>
      </c>
      <c r="M2071" s="38">
        <f>COUNTIF(퀘스트!B:B,표1[[#This Row],[명칭]])</f>
        <v>0</v>
      </c>
      <c r="N2071" s="65">
        <f>COUNTIF([1]VillageDiscoveryGroup!$C:$C,표1[[#This Row],[명칭]])</f>
        <v>0</v>
      </c>
      <c r="O2071" s="65">
        <f>SUM(표1[[#This Row],[해양탐색]:[마을탐험]])</f>
        <v>0</v>
      </c>
    </row>
    <row r="2072" spans="2:15" ht="13.5" customHeight="1" x14ac:dyDescent="0.3">
      <c r="B2072" s="9">
        <f>[1]Discovery!A2078</f>
        <v>70413288</v>
      </c>
      <c r="C2072" s="9" t="str">
        <f>[1]Discovery!B2078</f>
        <v>카토체곶</v>
      </c>
      <c r="D2072" s="9" t="str">
        <f>[1]Discovery!E2078</f>
        <v>자연</v>
      </c>
      <c r="E2072" s="9" t="str">
        <f>[1]Discovery!C2078</f>
        <v>지리</v>
      </c>
      <c r="F2072" s="9" t="str">
        <f>[1]Discovery!G2078</f>
        <v>B</v>
      </c>
      <c r="G2072" s="9" t="str">
        <f>IFERROR(VLOOKUP(표1[[#This Row],[명칭]],'문화권 정리'!C:D,2,FALSE),"-")</f>
        <v>중앙아메리카</v>
      </c>
      <c r="H2072" s="38" t="str">
        <f>IFERROR(COUNTIF([2]OceanDoodad!$Y:$Y,표1[[#This Row],[명칭]]),"-")</f>
        <v>-</v>
      </c>
      <c r="I2072" s="38">
        <f>IFERROR(COUNTIF([1]AdventureDiscoveryGroup!$D$8:$AW$92,표1[[#This Row],[명칭]]),"-")</f>
        <v>0</v>
      </c>
      <c r="J2072" s="38">
        <f>IFERROR(COUNTIF([1]FishDiscoveryGroup!$A:$X,표1[[#This Row],[명칭]]),"-")</f>
        <v>0</v>
      </c>
      <c r="K2072" s="38" t="str">
        <f>IFERROR(COUNTIF([2]Town!$B:$B,표1[[#This Row],[명칭]]),"-")</f>
        <v>-</v>
      </c>
      <c r="L2072" s="38">
        <f>IFERROR(COUNTIF([1]Village!$BR:$BR,표1[[#This Row],[명칭]]),"-")</f>
        <v>0</v>
      </c>
      <c r="M2072" s="38">
        <f>COUNTIF(퀘스트!B:B,표1[[#This Row],[명칭]])</f>
        <v>0</v>
      </c>
      <c r="N2072" s="65">
        <f>COUNTIF([1]VillageDiscoveryGroup!$C:$C,표1[[#This Row],[명칭]])</f>
        <v>0</v>
      </c>
      <c r="O2072" s="65">
        <f>SUM(표1[[#This Row],[해양탐색]:[마을탐험]])</f>
        <v>0</v>
      </c>
    </row>
    <row r="2073" spans="2:15" ht="13.5" customHeight="1" x14ac:dyDescent="0.3">
      <c r="B2073" s="9">
        <f>[1]Discovery!A2079</f>
        <v>70413289</v>
      </c>
      <c r="C2073" s="9" t="str">
        <f>[1]Discovery!B2079</f>
        <v>카펜테리아만</v>
      </c>
      <c r="D2073" s="9" t="str">
        <f>[1]Discovery!E2079</f>
        <v>자연</v>
      </c>
      <c r="E2073" s="9" t="str">
        <f>[1]Discovery!C2079</f>
        <v>지리</v>
      </c>
      <c r="F2073" s="9" t="str">
        <f>[1]Discovery!G2079</f>
        <v>D</v>
      </c>
      <c r="G2073" s="9" t="str">
        <f>IFERROR(VLOOKUP(표1[[#This Row],[명칭]],'문화권 정리'!C:D,2,FALSE),"-")</f>
        <v>오세아니아</v>
      </c>
      <c r="H2073" s="38" t="str">
        <f>IFERROR(COUNTIF([2]OceanDoodad!$Y:$Y,표1[[#This Row],[명칭]]),"-")</f>
        <v>-</v>
      </c>
      <c r="I2073" s="38">
        <f>IFERROR(COUNTIF([1]AdventureDiscoveryGroup!$D$8:$AW$92,표1[[#This Row],[명칭]]),"-")</f>
        <v>0</v>
      </c>
      <c r="J2073" s="38">
        <f>IFERROR(COUNTIF([1]FishDiscoveryGroup!$A:$X,표1[[#This Row],[명칭]]),"-")</f>
        <v>0</v>
      </c>
      <c r="K2073" s="38" t="str">
        <f>IFERROR(COUNTIF([2]Town!$B:$B,표1[[#This Row],[명칭]]),"-")</f>
        <v>-</v>
      </c>
      <c r="L2073" s="38">
        <f>IFERROR(COUNTIF([1]Village!$BR:$BR,표1[[#This Row],[명칭]]),"-")</f>
        <v>0</v>
      </c>
      <c r="M2073" s="38">
        <f>COUNTIF(퀘스트!B:B,표1[[#This Row],[명칭]])</f>
        <v>0</v>
      </c>
      <c r="N2073" s="65">
        <f>COUNTIF([1]VillageDiscoveryGroup!$C:$C,표1[[#This Row],[명칭]])</f>
        <v>0</v>
      </c>
      <c r="O2073" s="65">
        <f>SUM(표1[[#This Row],[해양탐색]:[마을탐험]])</f>
        <v>0</v>
      </c>
    </row>
    <row r="2074" spans="2:15" ht="13.5" customHeight="1" x14ac:dyDescent="0.3">
      <c r="B2074" s="9">
        <f>[1]Discovery!A2080</f>
        <v>70413290</v>
      </c>
      <c r="C2074" s="9" t="str">
        <f>[1]Discovery!B2080</f>
        <v>카프리섬</v>
      </c>
      <c r="D2074" s="9" t="str">
        <f>[1]Discovery!E2080</f>
        <v>자연</v>
      </c>
      <c r="E2074" s="9" t="str">
        <f>[1]Discovery!C2080</f>
        <v>지리</v>
      </c>
      <c r="F2074" s="9" t="str">
        <f>[1]Discovery!G2080</f>
        <v>B</v>
      </c>
      <c r="G2074" s="9" t="str">
        <f>IFERROR(VLOOKUP(표1[[#This Row],[명칭]],'문화권 정리'!C:D,2,FALSE),"-")</f>
        <v>지중해</v>
      </c>
      <c r="H2074" s="38" t="str">
        <f>IFERROR(COUNTIF([2]OceanDoodad!$Y:$Y,표1[[#This Row],[명칭]]),"-")</f>
        <v>-</v>
      </c>
      <c r="I2074" s="38">
        <f>IFERROR(COUNTIF([1]AdventureDiscoveryGroup!$D$8:$AW$92,표1[[#This Row],[명칭]]),"-")</f>
        <v>0</v>
      </c>
      <c r="J2074" s="38">
        <f>IFERROR(COUNTIF([1]FishDiscoveryGroup!$A:$X,표1[[#This Row],[명칭]]),"-")</f>
        <v>0</v>
      </c>
      <c r="K2074" s="38" t="str">
        <f>IFERROR(COUNTIF([2]Town!$B:$B,표1[[#This Row],[명칭]]),"-")</f>
        <v>-</v>
      </c>
      <c r="L2074" s="38">
        <f>IFERROR(COUNTIF([1]Village!$BR:$BR,표1[[#This Row],[명칭]]),"-")</f>
        <v>0</v>
      </c>
      <c r="M2074" s="38">
        <f>COUNTIF(퀘스트!B:B,표1[[#This Row],[명칭]])</f>
        <v>0</v>
      </c>
      <c r="N2074" s="65">
        <f>COUNTIF([1]VillageDiscoveryGroup!$C:$C,표1[[#This Row],[명칭]])</f>
        <v>0</v>
      </c>
      <c r="O2074" s="65">
        <f>SUM(표1[[#This Row],[해양탐색]:[마을탐험]])</f>
        <v>0</v>
      </c>
    </row>
    <row r="2075" spans="2:15" ht="13.5" customHeight="1" x14ac:dyDescent="0.3">
      <c r="B2075" s="9">
        <f>[1]Discovery!A2081</f>
        <v>70413291</v>
      </c>
      <c r="C2075" s="9" t="str">
        <f>[1]Discovery!B2081</f>
        <v>칼라하리사막</v>
      </c>
      <c r="D2075" s="9" t="str">
        <f>[1]Discovery!E2081</f>
        <v>자연</v>
      </c>
      <c r="E2075" s="9" t="str">
        <f>[1]Discovery!C2081</f>
        <v>지리</v>
      </c>
      <c r="F2075" s="9" t="str">
        <f>[1]Discovery!G2081</f>
        <v>B</v>
      </c>
      <c r="G2075" s="9" t="str">
        <f>IFERROR(VLOOKUP(표1[[#This Row],[명칭]],'문화권 정리'!C:D,2,FALSE),"-")</f>
        <v>남아프리카</v>
      </c>
      <c r="H2075" s="38" t="str">
        <f>IFERROR(COUNTIF([2]OceanDoodad!$Y:$Y,표1[[#This Row],[명칭]]),"-")</f>
        <v>-</v>
      </c>
      <c r="I2075" s="38">
        <f>IFERROR(COUNTIF([1]AdventureDiscoveryGroup!$D$8:$AW$92,표1[[#This Row],[명칭]]),"-")</f>
        <v>0</v>
      </c>
      <c r="J2075" s="38">
        <f>IFERROR(COUNTIF([1]FishDiscoveryGroup!$A:$X,표1[[#This Row],[명칭]]),"-")</f>
        <v>0</v>
      </c>
      <c r="K2075" s="38" t="str">
        <f>IFERROR(COUNTIF([2]Town!$B:$B,표1[[#This Row],[명칭]]),"-")</f>
        <v>-</v>
      </c>
      <c r="L2075" s="38">
        <f>IFERROR(COUNTIF([1]Village!$BR:$BR,표1[[#This Row],[명칭]]),"-")</f>
        <v>0</v>
      </c>
      <c r="M2075" s="38">
        <f>COUNTIF(퀘스트!B:B,표1[[#This Row],[명칭]])</f>
        <v>0</v>
      </c>
      <c r="N2075" s="65">
        <f>COUNTIF([1]VillageDiscoveryGroup!$C:$C,표1[[#This Row],[명칭]])</f>
        <v>0</v>
      </c>
      <c r="O2075" s="65">
        <f>SUM(표1[[#This Row],[해양탐색]:[마을탐험]])</f>
        <v>0</v>
      </c>
    </row>
    <row r="2076" spans="2:15" ht="13.5" customHeight="1" x14ac:dyDescent="0.3">
      <c r="B2076" s="9">
        <f>[1]Discovery!A2082</f>
        <v>70413292</v>
      </c>
      <c r="C2076" s="9" t="str">
        <f>[1]Discovery!B2082</f>
        <v>칼즈배드 동굴군</v>
      </c>
      <c r="D2076" s="9" t="str">
        <f>[1]Discovery!E2082</f>
        <v>자연</v>
      </c>
      <c r="E2076" s="9" t="str">
        <f>[1]Discovery!C2082</f>
        <v>지리</v>
      </c>
      <c r="F2076" s="9" t="str">
        <f>[1]Discovery!G2082</f>
        <v>A</v>
      </c>
      <c r="G2076" s="9" t="str">
        <f>IFERROR(VLOOKUP(표1[[#This Row],[명칭]],'문화권 정리'!C:D,2,FALSE),"-")</f>
        <v>북아메리카</v>
      </c>
      <c r="H2076" s="38" t="str">
        <f>IFERROR(COUNTIF([2]OceanDoodad!$Y:$Y,표1[[#This Row],[명칭]]),"-")</f>
        <v>-</v>
      </c>
      <c r="I2076" s="38">
        <f>IFERROR(COUNTIF([1]AdventureDiscoveryGroup!$D$8:$AW$92,표1[[#This Row],[명칭]]),"-")</f>
        <v>0</v>
      </c>
      <c r="J2076" s="38">
        <f>IFERROR(COUNTIF([1]FishDiscoveryGroup!$A:$X,표1[[#This Row],[명칭]]),"-")</f>
        <v>0</v>
      </c>
      <c r="K2076" s="38" t="str">
        <f>IFERROR(COUNTIF([2]Town!$B:$B,표1[[#This Row],[명칭]]),"-")</f>
        <v>-</v>
      </c>
      <c r="L2076" s="38">
        <f>IFERROR(COUNTIF([1]Village!$BR:$BR,표1[[#This Row],[명칭]]),"-")</f>
        <v>0</v>
      </c>
      <c r="M2076" s="38">
        <f>COUNTIF(퀘스트!B:B,표1[[#This Row],[명칭]])</f>
        <v>0</v>
      </c>
      <c r="N2076" s="65">
        <f>COUNTIF([1]VillageDiscoveryGroup!$C:$C,표1[[#This Row],[명칭]])</f>
        <v>0</v>
      </c>
      <c r="O2076" s="65">
        <f>SUM(표1[[#This Row],[해양탐색]:[마을탐험]])</f>
        <v>0</v>
      </c>
    </row>
    <row r="2077" spans="2:15" ht="13.5" customHeight="1" x14ac:dyDescent="0.3">
      <c r="B2077" s="9">
        <f>[1]Discovery!A2083</f>
        <v>70413293</v>
      </c>
      <c r="C2077" s="9" t="str">
        <f>[1]Discovery!B2083</f>
        <v>캄페체만</v>
      </c>
      <c r="D2077" s="9" t="str">
        <f>[1]Discovery!E2083</f>
        <v>자연</v>
      </c>
      <c r="E2077" s="9" t="str">
        <f>[1]Discovery!C2083</f>
        <v>지리</v>
      </c>
      <c r="F2077" s="9" t="str">
        <f>[1]Discovery!G2083</f>
        <v>D</v>
      </c>
      <c r="G2077" s="9" t="str">
        <f>IFERROR(VLOOKUP(표1[[#This Row],[명칭]],'문화권 정리'!C:D,2,FALSE),"-")</f>
        <v>중앙아메리카</v>
      </c>
      <c r="H2077" s="38" t="str">
        <f>IFERROR(COUNTIF([2]OceanDoodad!$Y:$Y,표1[[#This Row],[명칭]]),"-")</f>
        <v>-</v>
      </c>
      <c r="I2077" s="38">
        <f>IFERROR(COUNTIF([1]AdventureDiscoveryGroup!$D$8:$AW$92,표1[[#This Row],[명칭]]),"-")</f>
        <v>0</v>
      </c>
      <c r="J2077" s="38">
        <f>IFERROR(COUNTIF([1]FishDiscoveryGroup!$A:$X,표1[[#This Row],[명칭]]),"-")</f>
        <v>0</v>
      </c>
      <c r="K2077" s="38" t="str">
        <f>IFERROR(COUNTIF([2]Town!$B:$B,표1[[#This Row],[명칭]]),"-")</f>
        <v>-</v>
      </c>
      <c r="L2077" s="38">
        <f>IFERROR(COUNTIF([1]Village!$BR:$BR,표1[[#This Row],[명칭]]),"-")</f>
        <v>0</v>
      </c>
      <c r="M2077" s="38">
        <f>COUNTIF(퀘스트!B:B,표1[[#This Row],[명칭]])</f>
        <v>0</v>
      </c>
      <c r="N2077" s="65">
        <f>COUNTIF([1]VillageDiscoveryGroup!$C:$C,표1[[#This Row],[명칭]])</f>
        <v>0</v>
      </c>
      <c r="O2077" s="65">
        <f>SUM(표1[[#This Row],[해양탐색]:[마을탐험]])</f>
        <v>0</v>
      </c>
    </row>
    <row r="2078" spans="2:15" ht="13.5" customHeight="1" x14ac:dyDescent="0.3">
      <c r="B2078" s="9">
        <f>[1]Discovery!A2084</f>
        <v>70413294</v>
      </c>
      <c r="C2078" s="9" t="str">
        <f>[1]Discovery!B2084</f>
        <v>캐벗해협</v>
      </c>
      <c r="D2078" s="9" t="str">
        <f>[1]Discovery!E2084</f>
        <v>자연</v>
      </c>
      <c r="E2078" s="9" t="str">
        <f>[1]Discovery!C2084</f>
        <v>지리</v>
      </c>
      <c r="F2078" s="9" t="str">
        <f>[1]Discovery!G2084</f>
        <v>B</v>
      </c>
      <c r="G2078" s="9" t="str">
        <f>IFERROR(VLOOKUP(표1[[#This Row],[명칭]],'문화권 정리'!C:D,2,FALSE),"-")</f>
        <v>북아메리카</v>
      </c>
      <c r="H2078" s="38" t="str">
        <f>IFERROR(COUNTIF([2]OceanDoodad!$Y:$Y,표1[[#This Row],[명칭]]),"-")</f>
        <v>-</v>
      </c>
      <c r="I2078" s="38">
        <f>IFERROR(COUNTIF([1]AdventureDiscoveryGroup!$D$8:$AW$92,표1[[#This Row],[명칭]]),"-")</f>
        <v>0</v>
      </c>
      <c r="J2078" s="38">
        <f>IFERROR(COUNTIF([1]FishDiscoveryGroup!$A:$X,표1[[#This Row],[명칭]]),"-")</f>
        <v>0</v>
      </c>
      <c r="K2078" s="38" t="str">
        <f>IFERROR(COUNTIF([2]Town!$B:$B,표1[[#This Row],[명칭]]),"-")</f>
        <v>-</v>
      </c>
      <c r="L2078" s="38">
        <f>IFERROR(COUNTIF([1]Village!$BR:$BR,표1[[#This Row],[명칭]]),"-")</f>
        <v>0</v>
      </c>
      <c r="M2078" s="38">
        <f>COUNTIF(퀘스트!B:B,표1[[#This Row],[명칭]])</f>
        <v>0</v>
      </c>
      <c r="N2078" s="65">
        <f>COUNTIF([1]VillageDiscoveryGroup!$C:$C,표1[[#This Row],[명칭]])</f>
        <v>0</v>
      </c>
      <c r="O2078" s="65">
        <f>SUM(표1[[#This Row],[해양탐색]:[마을탐험]])</f>
        <v>0</v>
      </c>
    </row>
    <row r="2079" spans="2:15" ht="13.5" customHeight="1" x14ac:dyDescent="0.3">
      <c r="B2079" s="9">
        <f>[1]Discovery!A2085</f>
        <v>70413295</v>
      </c>
      <c r="C2079" s="9" t="str">
        <f>[1]Discovery!B2085</f>
        <v>캘리포니아반도</v>
      </c>
      <c r="D2079" s="9" t="str">
        <f>[1]Discovery!E2085</f>
        <v>자연</v>
      </c>
      <c r="E2079" s="9" t="str">
        <f>[1]Discovery!C2085</f>
        <v>지리</v>
      </c>
      <c r="F2079" s="9" t="str">
        <f>[1]Discovery!G2085</f>
        <v>B</v>
      </c>
      <c r="G2079" s="9" t="str">
        <f>IFERROR(VLOOKUP(표1[[#This Row],[명칭]],'문화권 정리'!C:D,2,FALSE),"-")</f>
        <v>북아메리카</v>
      </c>
      <c r="H2079" s="38" t="str">
        <f>IFERROR(COUNTIF([2]OceanDoodad!$Y:$Y,표1[[#This Row],[명칭]]),"-")</f>
        <v>-</v>
      </c>
      <c r="I2079" s="38">
        <f>IFERROR(COUNTIF([1]AdventureDiscoveryGroup!$D$8:$AW$92,표1[[#This Row],[명칭]]),"-")</f>
        <v>0</v>
      </c>
      <c r="J2079" s="38">
        <f>IFERROR(COUNTIF([1]FishDiscoveryGroup!$A:$X,표1[[#This Row],[명칭]]),"-")</f>
        <v>0</v>
      </c>
      <c r="K2079" s="38" t="str">
        <f>IFERROR(COUNTIF([2]Town!$B:$B,표1[[#This Row],[명칭]]),"-")</f>
        <v>-</v>
      </c>
      <c r="L2079" s="38">
        <f>IFERROR(COUNTIF([1]Village!$BR:$BR,표1[[#This Row],[명칭]]),"-")</f>
        <v>0</v>
      </c>
      <c r="M2079" s="38">
        <f>COUNTIF(퀘스트!B:B,표1[[#This Row],[명칭]])</f>
        <v>0</v>
      </c>
      <c r="N2079" s="65">
        <f>COUNTIF([1]VillageDiscoveryGroup!$C:$C,표1[[#This Row],[명칭]])</f>
        <v>0</v>
      </c>
      <c r="O2079" s="65">
        <f>SUM(표1[[#This Row],[해양탐색]:[마을탐험]])</f>
        <v>0</v>
      </c>
    </row>
    <row r="2080" spans="2:15" ht="13.5" customHeight="1" x14ac:dyDescent="0.3">
      <c r="B2080" s="9">
        <f>[1]Discovery!A2086</f>
        <v>70413296</v>
      </c>
      <c r="C2080" s="9" t="str">
        <f>[1]Discovery!B2086</f>
        <v>캥거루섬</v>
      </c>
      <c r="D2080" s="9" t="str">
        <f>[1]Discovery!E2086</f>
        <v>자연</v>
      </c>
      <c r="E2080" s="9" t="str">
        <f>[1]Discovery!C2086</f>
        <v>지리</v>
      </c>
      <c r="F2080" s="9" t="str">
        <f>[1]Discovery!G2086</f>
        <v>B</v>
      </c>
      <c r="G2080" s="9" t="str">
        <f>IFERROR(VLOOKUP(표1[[#This Row],[명칭]],'문화권 정리'!C:D,2,FALSE),"-")</f>
        <v>오세아니아</v>
      </c>
      <c r="H2080" s="38" t="str">
        <f>IFERROR(COUNTIF([2]OceanDoodad!$Y:$Y,표1[[#This Row],[명칭]]),"-")</f>
        <v>-</v>
      </c>
      <c r="I2080" s="38">
        <f>IFERROR(COUNTIF([1]AdventureDiscoveryGroup!$D$8:$AW$92,표1[[#This Row],[명칭]]),"-")</f>
        <v>0</v>
      </c>
      <c r="J2080" s="38">
        <f>IFERROR(COUNTIF([1]FishDiscoveryGroup!$A:$X,표1[[#This Row],[명칭]]),"-")</f>
        <v>0</v>
      </c>
      <c r="K2080" s="38" t="str">
        <f>IFERROR(COUNTIF([2]Town!$B:$B,표1[[#This Row],[명칭]]),"-")</f>
        <v>-</v>
      </c>
      <c r="L2080" s="38">
        <f>IFERROR(COUNTIF([1]Village!$BR:$BR,표1[[#This Row],[명칭]]),"-")</f>
        <v>0</v>
      </c>
      <c r="M2080" s="38">
        <f>COUNTIF(퀘스트!B:B,표1[[#This Row],[명칭]])</f>
        <v>0</v>
      </c>
      <c r="N2080" s="65">
        <f>COUNTIF([1]VillageDiscoveryGroup!$C:$C,표1[[#This Row],[명칭]])</f>
        <v>0</v>
      </c>
      <c r="O2080" s="65">
        <f>SUM(표1[[#This Row],[해양탐색]:[마을탐험]])</f>
        <v>0</v>
      </c>
    </row>
    <row r="2081" spans="2:15" ht="13.5" customHeight="1" x14ac:dyDescent="0.3">
      <c r="B2081" s="9">
        <f>[1]Discovery!A2087</f>
        <v>70413297</v>
      </c>
      <c r="C2081" s="9" t="str">
        <f>[1]Discovery!B2087</f>
        <v>케르치해협</v>
      </c>
      <c r="D2081" s="9" t="str">
        <f>[1]Discovery!E2087</f>
        <v>자연</v>
      </c>
      <c r="E2081" s="9" t="str">
        <f>[1]Discovery!C2087</f>
        <v>지리</v>
      </c>
      <c r="F2081" s="9" t="str">
        <f>[1]Discovery!G2087</f>
        <v>B</v>
      </c>
      <c r="G2081" s="9" t="str">
        <f>IFERROR(VLOOKUP(표1[[#This Row],[명칭]],'문화권 정리'!C:D,2,FALSE),"-")</f>
        <v>지중해</v>
      </c>
      <c r="H2081" s="38" t="str">
        <f>IFERROR(COUNTIF([2]OceanDoodad!$Y:$Y,표1[[#This Row],[명칭]]),"-")</f>
        <v>-</v>
      </c>
      <c r="I2081" s="38">
        <f>IFERROR(COUNTIF([1]AdventureDiscoveryGroup!$D$8:$AW$92,표1[[#This Row],[명칭]]),"-")</f>
        <v>0</v>
      </c>
      <c r="J2081" s="38">
        <f>IFERROR(COUNTIF([1]FishDiscoveryGroup!$A:$X,표1[[#This Row],[명칭]]),"-")</f>
        <v>0</v>
      </c>
      <c r="K2081" s="38" t="str">
        <f>IFERROR(COUNTIF([2]Town!$B:$B,표1[[#This Row],[명칭]]),"-")</f>
        <v>-</v>
      </c>
      <c r="L2081" s="38">
        <f>IFERROR(COUNTIF([1]Village!$BR:$BR,표1[[#This Row],[명칭]]),"-")</f>
        <v>0</v>
      </c>
      <c r="M2081" s="38">
        <f>COUNTIF(퀘스트!B:B,표1[[#This Row],[명칭]])</f>
        <v>0</v>
      </c>
      <c r="N2081" s="65">
        <f>COUNTIF([1]VillageDiscoveryGroup!$C:$C,표1[[#This Row],[명칭]])</f>
        <v>0</v>
      </c>
      <c r="O2081" s="65">
        <f>SUM(표1[[#This Row],[해양탐색]:[마을탐험]])</f>
        <v>0</v>
      </c>
    </row>
    <row r="2082" spans="2:15" ht="13.5" customHeight="1" x14ac:dyDescent="0.3">
      <c r="B2082" s="9">
        <f>[1]Discovery!A2088</f>
        <v>70413298</v>
      </c>
      <c r="C2082" s="9" t="str">
        <f>[1]Discovery!B2088</f>
        <v>케스타</v>
      </c>
      <c r="D2082" s="9" t="str">
        <f>[1]Discovery!E2088</f>
        <v>자연</v>
      </c>
      <c r="E2082" s="9" t="str">
        <f>[1]Discovery!C2088</f>
        <v>지리</v>
      </c>
      <c r="F2082" s="9" t="str">
        <f>[1]Discovery!G2088</f>
        <v>C</v>
      </c>
      <c r="G2082" s="9" t="str">
        <f>IFERROR(VLOOKUP(표1[[#This Row],[명칭]],'문화권 정리'!C:D,2,FALSE),"-")</f>
        <v>지중해</v>
      </c>
      <c r="H2082" s="38" t="str">
        <f>IFERROR(COUNTIF([2]OceanDoodad!$Y:$Y,표1[[#This Row],[명칭]]),"-")</f>
        <v>-</v>
      </c>
      <c r="I2082" s="38">
        <f>IFERROR(COUNTIF([1]AdventureDiscoveryGroup!$D$8:$AW$92,표1[[#This Row],[명칭]]),"-")</f>
        <v>0</v>
      </c>
      <c r="J2082" s="38">
        <f>IFERROR(COUNTIF([1]FishDiscoveryGroup!$A:$X,표1[[#This Row],[명칭]]),"-")</f>
        <v>0</v>
      </c>
      <c r="K2082" s="38" t="str">
        <f>IFERROR(COUNTIF([2]Town!$B:$B,표1[[#This Row],[명칭]]),"-")</f>
        <v>-</v>
      </c>
      <c r="L2082" s="38">
        <f>IFERROR(COUNTIF([1]Village!$BR:$BR,표1[[#This Row],[명칭]]),"-")</f>
        <v>0</v>
      </c>
      <c r="M2082" s="38">
        <f>COUNTIF(퀘스트!B:B,표1[[#This Row],[명칭]])</f>
        <v>0</v>
      </c>
      <c r="N2082" s="65">
        <f>COUNTIF([1]VillageDiscoveryGroup!$C:$C,표1[[#This Row],[명칭]])</f>
        <v>0</v>
      </c>
      <c r="O2082" s="65">
        <f>SUM(표1[[#This Row],[해양탐색]:[마을탐험]])</f>
        <v>0</v>
      </c>
    </row>
    <row r="2083" spans="2:15" ht="13.5" customHeight="1" x14ac:dyDescent="0.3">
      <c r="B2083" s="9">
        <f>[1]Discovery!A2089</f>
        <v>70413299</v>
      </c>
      <c r="C2083" s="9" t="str">
        <f>[1]Discovery!B2089</f>
        <v>케이맨제도</v>
      </c>
      <c r="D2083" s="9" t="str">
        <f>[1]Discovery!E2089</f>
        <v>자연</v>
      </c>
      <c r="E2083" s="9" t="str">
        <f>[1]Discovery!C2089</f>
        <v>지리</v>
      </c>
      <c r="F2083" s="9" t="str">
        <f>[1]Discovery!G2089</f>
        <v>C</v>
      </c>
      <c r="G2083" s="9" t="str">
        <f>IFERROR(VLOOKUP(표1[[#This Row],[명칭]],'문화권 정리'!C:D,2,FALSE),"-")</f>
        <v>중앙아메리카</v>
      </c>
      <c r="H2083" s="38" t="str">
        <f>IFERROR(COUNTIF([2]OceanDoodad!$Y:$Y,표1[[#This Row],[명칭]]),"-")</f>
        <v>-</v>
      </c>
      <c r="I2083" s="38">
        <f>IFERROR(COUNTIF([1]AdventureDiscoveryGroup!$D$8:$AW$92,표1[[#This Row],[명칭]]),"-")</f>
        <v>0</v>
      </c>
      <c r="J2083" s="38">
        <f>IFERROR(COUNTIF([1]FishDiscoveryGroup!$A:$X,표1[[#This Row],[명칭]]),"-")</f>
        <v>0</v>
      </c>
      <c r="K2083" s="38" t="str">
        <f>IFERROR(COUNTIF([2]Town!$B:$B,표1[[#This Row],[명칭]]),"-")</f>
        <v>-</v>
      </c>
      <c r="L2083" s="38">
        <f>IFERROR(COUNTIF([1]Village!$BR:$BR,표1[[#This Row],[명칭]]),"-")</f>
        <v>0</v>
      </c>
      <c r="M2083" s="38">
        <f>COUNTIF(퀘스트!B:B,표1[[#This Row],[명칭]])</f>
        <v>0</v>
      </c>
      <c r="N2083" s="65">
        <f>COUNTIF([1]VillageDiscoveryGroup!$C:$C,표1[[#This Row],[명칭]])</f>
        <v>0</v>
      </c>
      <c r="O2083" s="65">
        <f>SUM(표1[[#This Row],[해양탐색]:[마을탐험]])</f>
        <v>0</v>
      </c>
    </row>
    <row r="2084" spans="2:15" ht="13.5" customHeight="1" x14ac:dyDescent="0.3">
      <c r="B2084" s="9">
        <f>[1]Discovery!A2090</f>
        <v>70413300</v>
      </c>
      <c r="C2084" s="9" t="str">
        <f>[1]Discovery!B2090</f>
        <v>케이프요크반도</v>
      </c>
      <c r="D2084" s="9" t="str">
        <f>[1]Discovery!E2090</f>
        <v>자연</v>
      </c>
      <c r="E2084" s="9" t="str">
        <f>[1]Discovery!C2090</f>
        <v>지리</v>
      </c>
      <c r="F2084" s="9" t="str">
        <f>[1]Discovery!G2090</f>
        <v>C</v>
      </c>
      <c r="G2084" s="9" t="str">
        <f>IFERROR(VLOOKUP(표1[[#This Row],[명칭]],'문화권 정리'!C:D,2,FALSE),"-")</f>
        <v>오세아니아</v>
      </c>
      <c r="H2084" s="38" t="str">
        <f>IFERROR(COUNTIF([2]OceanDoodad!$Y:$Y,표1[[#This Row],[명칭]]),"-")</f>
        <v>-</v>
      </c>
      <c r="I2084" s="38">
        <f>IFERROR(COUNTIF([1]AdventureDiscoveryGroup!$D$8:$AW$92,표1[[#This Row],[명칭]]),"-")</f>
        <v>0</v>
      </c>
      <c r="J2084" s="38">
        <f>IFERROR(COUNTIF([1]FishDiscoveryGroup!$A:$X,표1[[#This Row],[명칭]]),"-")</f>
        <v>0</v>
      </c>
      <c r="K2084" s="38" t="str">
        <f>IFERROR(COUNTIF([2]Town!$B:$B,표1[[#This Row],[명칭]]),"-")</f>
        <v>-</v>
      </c>
      <c r="L2084" s="38">
        <f>IFERROR(COUNTIF([1]Village!$BR:$BR,표1[[#This Row],[명칭]]),"-")</f>
        <v>0</v>
      </c>
      <c r="M2084" s="38">
        <f>COUNTIF(퀘스트!B:B,표1[[#This Row],[명칭]])</f>
        <v>0</v>
      </c>
      <c r="N2084" s="65">
        <f>COUNTIF([1]VillageDiscoveryGroup!$C:$C,표1[[#This Row],[명칭]])</f>
        <v>0</v>
      </c>
      <c r="O2084" s="65">
        <f>SUM(표1[[#This Row],[해양탐색]:[마을탐험]])</f>
        <v>0</v>
      </c>
    </row>
    <row r="2085" spans="2:15" ht="13.5" customHeight="1" x14ac:dyDescent="0.3">
      <c r="B2085" s="9">
        <f>[1]Discovery!A2091</f>
        <v>70413301</v>
      </c>
      <c r="C2085" s="9" t="str">
        <f>[1]Discovery!B2091</f>
        <v>코드곶</v>
      </c>
      <c r="D2085" s="9" t="str">
        <f>[1]Discovery!E2091</f>
        <v>자연</v>
      </c>
      <c r="E2085" s="9" t="str">
        <f>[1]Discovery!C2091</f>
        <v>지리</v>
      </c>
      <c r="F2085" s="9" t="str">
        <f>[1]Discovery!G2091</f>
        <v>B</v>
      </c>
      <c r="G2085" s="9" t="str">
        <f>IFERROR(VLOOKUP(표1[[#This Row],[명칭]],'문화권 정리'!C:D,2,FALSE),"-")</f>
        <v>북아메리카</v>
      </c>
      <c r="H2085" s="38" t="str">
        <f>IFERROR(COUNTIF([2]OceanDoodad!$Y:$Y,표1[[#This Row],[명칭]]),"-")</f>
        <v>-</v>
      </c>
      <c r="I2085" s="38">
        <f>IFERROR(COUNTIF([1]AdventureDiscoveryGroup!$D$8:$AW$92,표1[[#This Row],[명칭]]),"-")</f>
        <v>0</v>
      </c>
      <c r="J2085" s="38">
        <f>IFERROR(COUNTIF([1]FishDiscoveryGroup!$A:$X,표1[[#This Row],[명칭]]),"-")</f>
        <v>0</v>
      </c>
      <c r="K2085" s="38" t="str">
        <f>IFERROR(COUNTIF([2]Town!$B:$B,표1[[#This Row],[명칭]]),"-")</f>
        <v>-</v>
      </c>
      <c r="L2085" s="38">
        <f>IFERROR(COUNTIF([1]Village!$BR:$BR,표1[[#This Row],[명칭]]),"-")</f>
        <v>0</v>
      </c>
      <c r="M2085" s="38">
        <f>COUNTIF(퀘스트!B:B,표1[[#This Row],[명칭]])</f>
        <v>0</v>
      </c>
      <c r="N2085" s="65">
        <f>COUNTIF([1]VillageDiscoveryGroup!$C:$C,표1[[#This Row],[명칭]])</f>
        <v>0</v>
      </c>
      <c r="O2085" s="65">
        <f>SUM(표1[[#This Row],[해양탐색]:[마을탐험]])</f>
        <v>0</v>
      </c>
    </row>
    <row r="2086" spans="2:15" ht="13.5" customHeight="1" x14ac:dyDescent="0.3">
      <c r="B2086" s="9">
        <f>[1]Discovery!A2092</f>
        <v>70413302</v>
      </c>
      <c r="C2086" s="9" t="str">
        <f>[1]Discovery!B2092</f>
        <v>코로해</v>
      </c>
      <c r="D2086" s="9" t="str">
        <f>[1]Discovery!E2092</f>
        <v>자연</v>
      </c>
      <c r="E2086" s="9" t="str">
        <f>[1]Discovery!C2092</f>
        <v>지리</v>
      </c>
      <c r="F2086" s="9" t="str">
        <f>[1]Discovery!G2092</f>
        <v>D</v>
      </c>
      <c r="G2086" s="9" t="str">
        <f>IFERROR(VLOOKUP(표1[[#This Row],[명칭]],'문화권 정리'!C:D,2,FALSE),"-")</f>
        <v>태평양</v>
      </c>
      <c r="H2086" s="38" t="str">
        <f>IFERROR(COUNTIF([2]OceanDoodad!$Y:$Y,표1[[#This Row],[명칭]]),"-")</f>
        <v>-</v>
      </c>
      <c r="I2086" s="38">
        <f>IFERROR(COUNTIF([1]AdventureDiscoveryGroup!$D$8:$AW$92,표1[[#This Row],[명칭]]),"-")</f>
        <v>0</v>
      </c>
      <c r="J2086" s="38">
        <f>IFERROR(COUNTIF([1]FishDiscoveryGroup!$A:$X,표1[[#This Row],[명칭]]),"-")</f>
        <v>0</v>
      </c>
      <c r="K2086" s="38" t="str">
        <f>IFERROR(COUNTIF([2]Town!$B:$B,표1[[#This Row],[명칭]]),"-")</f>
        <v>-</v>
      </c>
      <c r="L2086" s="38">
        <f>IFERROR(COUNTIF([1]Village!$BR:$BR,표1[[#This Row],[명칭]]),"-")</f>
        <v>0</v>
      </c>
      <c r="M2086" s="38">
        <f>COUNTIF(퀘스트!B:B,표1[[#This Row],[명칭]])</f>
        <v>0</v>
      </c>
      <c r="N2086" s="65">
        <f>COUNTIF([1]VillageDiscoveryGroup!$C:$C,표1[[#This Row],[명칭]])</f>
        <v>0</v>
      </c>
      <c r="O2086" s="65">
        <f>SUM(표1[[#This Row],[해양탐색]:[마을탐험]])</f>
        <v>0</v>
      </c>
    </row>
    <row r="2087" spans="2:15" ht="13.5" customHeight="1" x14ac:dyDescent="0.3">
      <c r="B2087" s="9">
        <f>[1]Discovery!A2093</f>
        <v>70413303</v>
      </c>
      <c r="C2087" s="9" t="str">
        <f>[1]Discovery!B2093</f>
        <v>코린토스 지협</v>
      </c>
      <c r="D2087" s="9" t="str">
        <f>[1]Discovery!E2093</f>
        <v>자연</v>
      </c>
      <c r="E2087" s="9" t="str">
        <f>[1]Discovery!C2093</f>
        <v>지리</v>
      </c>
      <c r="F2087" s="9" t="str">
        <f>[1]Discovery!G2093</f>
        <v>C</v>
      </c>
      <c r="G2087" s="9" t="str">
        <f>IFERROR(VLOOKUP(표1[[#This Row],[명칭]],'문화권 정리'!C:D,2,FALSE),"-")</f>
        <v>지중해</v>
      </c>
      <c r="H2087" s="38" t="str">
        <f>IFERROR(COUNTIF([2]OceanDoodad!$Y:$Y,표1[[#This Row],[명칭]]),"-")</f>
        <v>-</v>
      </c>
      <c r="I2087" s="38">
        <f>IFERROR(COUNTIF([1]AdventureDiscoveryGroup!$D$8:$AW$92,표1[[#This Row],[명칭]]),"-")</f>
        <v>0</v>
      </c>
      <c r="J2087" s="38">
        <f>IFERROR(COUNTIF([1]FishDiscoveryGroup!$A:$X,표1[[#This Row],[명칭]]),"-")</f>
        <v>0</v>
      </c>
      <c r="K2087" s="38" t="str">
        <f>IFERROR(COUNTIF([2]Town!$B:$B,표1[[#This Row],[명칭]]),"-")</f>
        <v>-</v>
      </c>
      <c r="L2087" s="38">
        <f>IFERROR(COUNTIF([1]Village!$BR:$BR,표1[[#This Row],[명칭]]),"-")</f>
        <v>0</v>
      </c>
      <c r="M2087" s="38">
        <f>COUNTIF(퀘스트!B:B,표1[[#This Row],[명칭]])</f>
        <v>0</v>
      </c>
      <c r="N2087" s="65">
        <f>COUNTIF([1]VillageDiscoveryGroup!$C:$C,표1[[#This Row],[명칭]])</f>
        <v>0</v>
      </c>
      <c r="O2087" s="65">
        <f>SUM(표1[[#This Row],[해양탐색]:[마을탐험]])</f>
        <v>0</v>
      </c>
    </row>
    <row r="2088" spans="2:15" ht="13.5" customHeight="1" x14ac:dyDescent="0.3">
      <c r="B2088" s="9">
        <f>[1]Discovery!A2094</f>
        <v>70413304</v>
      </c>
      <c r="C2088" s="9" t="str">
        <f>[1]Discovery!B2094</f>
        <v>코모로제도</v>
      </c>
      <c r="D2088" s="9" t="str">
        <f>[1]Discovery!E2094</f>
        <v>자연</v>
      </c>
      <c r="E2088" s="9" t="str">
        <f>[1]Discovery!C2094</f>
        <v>지리</v>
      </c>
      <c r="F2088" s="9" t="str">
        <f>[1]Discovery!G2094</f>
        <v>B</v>
      </c>
      <c r="G2088" s="9" t="str">
        <f>IFERROR(VLOOKUP(표1[[#This Row],[명칭]],'문화권 정리'!C:D,2,FALSE),"-")</f>
        <v>서아프리카</v>
      </c>
      <c r="H2088" s="38" t="str">
        <f>IFERROR(COUNTIF([2]OceanDoodad!$Y:$Y,표1[[#This Row],[명칭]]),"-")</f>
        <v>-</v>
      </c>
      <c r="I2088" s="38">
        <f>IFERROR(COUNTIF([1]AdventureDiscoveryGroup!$D$8:$AW$92,표1[[#This Row],[명칭]]),"-")</f>
        <v>0</v>
      </c>
      <c r="J2088" s="38">
        <f>IFERROR(COUNTIF([1]FishDiscoveryGroup!$A:$X,표1[[#This Row],[명칭]]),"-")</f>
        <v>0</v>
      </c>
      <c r="K2088" s="38" t="str">
        <f>IFERROR(COUNTIF([2]Town!$B:$B,표1[[#This Row],[명칭]]),"-")</f>
        <v>-</v>
      </c>
      <c r="L2088" s="38">
        <f>IFERROR(COUNTIF([1]Village!$BR:$BR,표1[[#This Row],[명칭]]),"-")</f>
        <v>0</v>
      </c>
      <c r="M2088" s="38">
        <f>COUNTIF(퀘스트!B:B,표1[[#This Row],[명칭]])</f>
        <v>0</v>
      </c>
      <c r="N2088" s="65">
        <f>COUNTIF([1]VillageDiscoveryGroup!$C:$C,표1[[#This Row],[명칭]])</f>
        <v>0</v>
      </c>
      <c r="O2088" s="65">
        <f>SUM(표1[[#This Row],[해양탐색]:[마을탐험]])</f>
        <v>0</v>
      </c>
    </row>
    <row r="2089" spans="2:15" ht="13.5" customHeight="1" x14ac:dyDescent="0.3">
      <c r="B2089" s="9">
        <f>[1]Discovery!A2095</f>
        <v>70413305</v>
      </c>
      <c r="C2089" s="9" t="str">
        <f>[1]Discovery!B2095</f>
        <v>코수멜섬</v>
      </c>
      <c r="D2089" s="9" t="str">
        <f>[1]Discovery!E2095</f>
        <v>자연</v>
      </c>
      <c r="E2089" s="9" t="str">
        <f>[1]Discovery!C2095</f>
        <v>지리</v>
      </c>
      <c r="F2089" s="9" t="str">
        <f>[1]Discovery!G2095</f>
        <v>B</v>
      </c>
      <c r="G2089" s="9" t="str">
        <f>IFERROR(VLOOKUP(표1[[#This Row],[명칭]],'문화권 정리'!C:D,2,FALSE),"-")</f>
        <v>중앙아메리카</v>
      </c>
      <c r="H2089" s="38" t="str">
        <f>IFERROR(COUNTIF([2]OceanDoodad!$Y:$Y,표1[[#This Row],[명칭]]),"-")</f>
        <v>-</v>
      </c>
      <c r="I2089" s="38">
        <f>IFERROR(COUNTIF([1]AdventureDiscoveryGroup!$D$8:$AW$92,표1[[#This Row],[명칭]]),"-")</f>
        <v>0</v>
      </c>
      <c r="J2089" s="38">
        <f>IFERROR(COUNTIF([1]FishDiscoveryGroup!$A:$X,표1[[#This Row],[명칭]]),"-")</f>
        <v>0</v>
      </c>
      <c r="K2089" s="38" t="str">
        <f>IFERROR(COUNTIF([2]Town!$B:$B,표1[[#This Row],[명칭]]),"-")</f>
        <v>-</v>
      </c>
      <c r="L2089" s="38">
        <f>IFERROR(COUNTIF([1]Village!$BR:$BR,표1[[#This Row],[명칭]]),"-")</f>
        <v>0</v>
      </c>
      <c r="M2089" s="38">
        <f>COUNTIF(퀘스트!B:B,표1[[#This Row],[명칭]])</f>
        <v>0</v>
      </c>
      <c r="N2089" s="65">
        <f>COUNTIF([1]VillageDiscoveryGroup!$C:$C,표1[[#This Row],[명칭]])</f>
        <v>0</v>
      </c>
      <c r="O2089" s="65">
        <f>SUM(표1[[#This Row],[해양탐색]:[마을탐험]])</f>
        <v>0</v>
      </c>
    </row>
    <row r="2090" spans="2:15" ht="13.5" customHeight="1" x14ac:dyDescent="0.3">
      <c r="B2090" s="9">
        <f>[1]Discovery!A2096</f>
        <v>70413306</v>
      </c>
      <c r="C2090" s="9" t="str">
        <f>[1]Discovery!B2096</f>
        <v>코스타 델 솔</v>
      </c>
      <c r="D2090" s="9" t="str">
        <f>[1]Discovery!E2096</f>
        <v>자연</v>
      </c>
      <c r="E2090" s="9" t="str">
        <f>[1]Discovery!C2096</f>
        <v>지리</v>
      </c>
      <c r="F2090" s="9" t="str">
        <f>[1]Discovery!G2096</f>
        <v>D</v>
      </c>
      <c r="G2090" s="9" t="str">
        <f>IFERROR(VLOOKUP(표1[[#This Row],[명칭]],'문화권 정리'!C:D,2,FALSE),"-")</f>
        <v>지중해</v>
      </c>
      <c r="H2090" s="38" t="str">
        <f>IFERROR(COUNTIF([2]OceanDoodad!$Y:$Y,표1[[#This Row],[명칭]]),"-")</f>
        <v>-</v>
      </c>
      <c r="I2090" s="38">
        <f>IFERROR(COUNTIF([1]AdventureDiscoveryGroup!$D$8:$AW$92,표1[[#This Row],[명칭]]),"-")</f>
        <v>0</v>
      </c>
      <c r="J2090" s="38">
        <f>IFERROR(COUNTIF([1]FishDiscoveryGroup!$A:$X,표1[[#This Row],[명칭]]),"-")</f>
        <v>0</v>
      </c>
      <c r="K2090" s="38" t="str">
        <f>IFERROR(COUNTIF([2]Town!$B:$B,표1[[#This Row],[명칭]]),"-")</f>
        <v>-</v>
      </c>
      <c r="L2090" s="38">
        <f>IFERROR(COUNTIF([1]Village!$BR:$BR,표1[[#This Row],[명칭]]),"-")</f>
        <v>0</v>
      </c>
      <c r="M2090" s="38">
        <f>COUNTIF(퀘스트!B:B,표1[[#This Row],[명칭]])</f>
        <v>0</v>
      </c>
      <c r="N2090" s="65">
        <f>COUNTIF([1]VillageDiscoveryGroup!$C:$C,표1[[#This Row],[명칭]])</f>
        <v>0</v>
      </c>
      <c r="O2090" s="65">
        <f>SUM(표1[[#This Row],[해양탐색]:[마을탐험]])</f>
        <v>0</v>
      </c>
    </row>
    <row r="2091" spans="2:15" ht="13.5" customHeight="1" x14ac:dyDescent="0.3">
      <c r="B2091" s="9">
        <f>[1]Discovery!A2097</f>
        <v>70413307</v>
      </c>
      <c r="C2091" s="9" t="str">
        <f>[1]Discovery!B2097</f>
        <v>코카서스산맥</v>
      </c>
      <c r="D2091" s="9" t="str">
        <f>[1]Discovery!E2097</f>
        <v>자연</v>
      </c>
      <c r="E2091" s="9" t="str">
        <f>[1]Discovery!C2097</f>
        <v>지리</v>
      </c>
      <c r="F2091" s="9" t="str">
        <f>[1]Discovery!G2097</f>
        <v>A</v>
      </c>
      <c r="G2091" s="9" t="str">
        <f>IFERROR(VLOOKUP(표1[[#This Row],[명칭]],'문화권 정리'!C:D,2,FALSE),"-")</f>
        <v>지중해</v>
      </c>
      <c r="H2091" s="38" t="str">
        <f>IFERROR(COUNTIF([2]OceanDoodad!$Y:$Y,표1[[#This Row],[명칭]]),"-")</f>
        <v>-</v>
      </c>
      <c r="I2091" s="38">
        <f>IFERROR(COUNTIF([1]AdventureDiscoveryGroup!$D$8:$AW$92,표1[[#This Row],[명칭]]),"-")</f>
        <v>0</v>
      </c>
      <c r="J2091" s="38">
        <f>IFERROR(COUNTIF([1]FishDiscoveryGroup!$A:$X,표1[[#This Row],[명칭]]),"-")</f>
        <v>0</v>
      </c>
      <c r="K2091" s="38" t="str">
        <f>IFERROR(COUNTIF([2]Town!$B:$B,표1[[#This Row],[명칭]]),"-")</f>
        <v>-</v>
      </c>
      <c r="L2091" s="38">
        <f>IFERROR(COUNTIF([1]Village!$BR:$BR,표1[[#This Row],[명칭]]),"-")</f>
        <v>0</v>
      </c>
      <c r="M2091" s="38">
        <f>COUNTIF(퀘스트!B:B,표1[[#This Row],[명칭]])</f>
        <v>0</v>
      </c>
      <c r="N2091" s="65">
        <f>COUNTIF([1]VillageDiscoveryGroup!$C:$C,표1[[#This Row],[명칭]])</f>
        <v>0</v>
      </c>
      <c r="O2091" s="65">
        <f>SUM(표1[[#This Row],[해양탐색]:[마을탐험]])</f>
        <v>0</v>
      </c>
    </row>
    <row r="2092" spans="2:15" ht="13.5" customHeight="1" x14ac:dyDescent="0.3">
      <c r="B2092" s="9">
        <f>[1]Discovery!A2098</f>
        <v>70413308</v>
      </c>
      <c r="C2092" s="9" t="str">
        <f>[1]Discovery!B2098</f>
        <v>콩고강</v>
      </c>
      <c r="D2092" s="9" t="str">
        <f>[1]Discovery!E2098</f>
        <v>자연</v>
      </c>
      <c r="E2092" s="9" t="str">
        <f>[1]Discovery!C2098</f>
        <v>지리</v>
      </c>
      <c r="F2092" s="9" t="str">
        <f>[1]Discovery!G2098</f>
        <v>C</v>
      </c>
      <c r="G2092" s="9" t="str">
        <f>IFERROR(VLOOKUP(표1[[#This Row],[명칭]],'문화권 정리'!C:D,2,FALSE),"-")</f>
        <v>서아프리카</v>
      </c>
      <c r="H2092" s="38" t="str">
        <f>IFERROR(COUNTIF([2]OceanDoodad!$Y:$Y,표1[[#This Row],[명칭]]),"-")</f>
        <v>-</v>
      </c>
      <c r="I2092" s="38">
        <f>IFERROR(COUNTIF([1]AdventureDiscoveryGroup!$D$8:$AW$92,표1[[#This Row],[명칭]]),"-")</f>
        <v>0</v>
      </c>
      <c r="J2092" s="38">
        <f>IFERROR(COUNTIF([1]FishDiscoveryGroup!$A:$X,표1[[#This Row],[명칭]]),"-")</f>
        <v>0</v>
      </c>
      <c r="K2092" s="38" t="str">
        <f>IFERROR(COUNTIF([2]Town!$B:$B,표1[[#This Row],[명칭]]),"-")</f>
        <v>-</v>
      </c>
      <c r="L2092" s="38">
        <f>IFERROR(COUNTIF([1]Village!$BR:$BR,표1[[#This Row],[명칭]]),"-")</f>
        <v>0</v>
      </c>
      <c r="M2092" s="38">
        <f>COUNTIF(퀘스트!B:B,표1[[#This Row],[명칭]])</f>
        <v>0</v>
      </c>
      <c r="N2092" s="65">
        <f>COUNTIF([1]VillageDiscoveryGroup!$C:$C,표1[[#This Row],[명칭]])</f>
        <v>0</v>
      </c>
      <c r="O2092" s="65">
        <f>SUM(표1[[#This Row],[해양탐색]:[마을탐험]])</f>
        <v>0</v>
      </c>
    </row>
    <row r="2093" spans="2:15" ht="13.5" customHeight="1" x14ac:dyDescent="0.3">
      <c r="B2093" s="9">
        <f>[1]Discovery!A2099</f>
        <v>70413309</v>
      </c>
      <c r="C2093" s="9" t="str">
        <f>[1]Discovery!B2099</f>
        <v>쿠바섬</v>
      </c>
      <c r="D2093" s="9" t="str">
        <f>[1]Discovery!E2099</f>
        <v>자연</v>
      </c>
      <c r="E2093" s="9" t="str">
        <f>[1]Discovery!C2099</f>
        <v>지리</v>
      </c>
      <c r="F2093" s="9" t="str">
        <f>[1]Discovery!G2099</f>
        <v>D</v>
      </c>
      <c r="G2093" s="9" t="str">
        <f>IFERROR(VLOOKUP(표1[[#This Row],[명칭]],'문화권 정리'!C:D,2,FALSE),"-")</f>
        <v>중앙아메리카</v>
      </c>
      <c r="H2093" s="38" t="str">
        <f>IFERROR(COUNTIF([2]OceanDoodad!$Y:$Y,표1[[#This Row],[명칭]]),"-")</f>
        <v>-</v>
      </c>
      <c r="I2093" s="38">
        <f>IFERROR(COUNTIF([1]AdventureDiscoveryGroup!$D$8:$AW$92,표1[[#This Row],[명칭]]),"-")</f>
        <v>0</v>
      </c>
      <c r="J2093" s="38">
        <f>IFERROR(COUNTIF([1]FishDiscoveryGroup!$A:$X,표1[[#This Row],[명칭]]),"-")</f>
        <v>0</v>
      </c>
      <c r="K2093" s="38" t="str">
        <f>IFERROR(COUNTIF([2]Town!$B:$B,표1[[#This Row],[명칭]]),"-")</f>
        <v>-</v>
      </c>
      <c r="L2093" s="38">
        <f>IFERROR(COUNTIF([1]Village!$BR:$BR,표1[[#This Row],[명칭]]),"-")</f>
        <v>0</v>
      </c>
      <c r="M2093" s="38">
        <f>COUNTIF(퀘스트!B:B,표1[[#This Row],[명칭]])</f>
        <v>0</v>
      </c>
      <c r="N2093" s="65">
        <f>COUNTIF([1]VillageDiscoveryGroup!$C:$C,표1[[#This Row],[명칭]])</f>
        <v>0</v>
      </c>
      <c r="O2093" s="65">
        <f>SUM(표1[[#This Row],[해양탐색]:[마을탐험]])</f>
        <v>0</v>
      </c>
    </row>
    <row r="2094" spans="2:15" ht="13.5" customHeight="1" x14ac:dyDescent="0.3">
      <c r="B2094" s="9">
        <f>[1]Discovery!A2100</f>
        <v>70413310</v>
      </c>
      <c r="C2094" s="9" t="str">
        <f>[1]Discovery!B2100</f>
        <v>크레타섬</v>
      </c>
      <c r="D2094" s="9" t="str">
        <f>[1]Discovery!E2100</f>
        <v>자연</v>
      </c>
      <c r="E2094" s="9" t="str">
        <f>[1]Discovery!C2100</f>
        <v>지리</v>
      </c>
      <c r="F2094" s="9" t="str">
        <f>[1]Discovery!G2100</f>
        <v>D</v>
      </c>
      <c r="G2094" s="9" t="str">
        <f>IFERROR(VLOOKUP(표1[[#This Row],[명칭]],'문화권 정리'!C:D,2,FALSE),"-")</f>
        <v>지중해</v>
      </c>
      <c r="H2094" s="38" t="str">
        <f>IFERROR(COUNTIF([2]OceanDoodad!$Y:$Y,표1[[#This Row],[명칭]]),"-")</f>
        <v>-</v>
      </c>
      <c r="I2094" s="38">
        <f>IFERROR(COUNTIF([1]AdventureDiscoveryGroup!$D$8:$AW$92,표1[[#This Row],[명칭]]),"-")</f>
        <v>0</v>
      </c>
      <c r="J2094" s="38">
        <f>IFERROR(COUNTIF([1]FishDiscoveryGroup!$A:$X,표1[[#This Row],[명칭]]),"-")</f>
        <v>0</v>
      </c>
      <c r="K2094" s="38" t="str">
        <f>IFERROR(COUNTIF([2]Town!$B:$B,표1[[#This Row],[명칭]]),"-")</f>
        <v>-</v>
      </c>
      <c r="L2094" s="38">
        <f>IFERROR(COUNTIF([1]Village!$BR:$BR,표1[[#This Row],[명칭]]),"-")</f>
        <v>0</v>
      </c>
      <c r="M2094" s="38">
        <f>COUNTIF(퀘스트!B:B,표1[[#This Row],[명칭]])</f>
        <v>0</v>
      </c>
      <c r="N2094" s="65">
        <f>COUNTIF([1]VillageDiscoveryGroup!$C:$C,표1[[#This Row],[명칭]])</f>
        <v>0</v>
      </c>
      <c r="O2094" s="65">
        <f>SUM(표1[[#This Row],[해양탐색]:[마을탐험]])</f>
        <v>0</v>
      </c>
    </row>
    <row r="2095" spans="2:15" ht="13.5" customHeight="1" x14ac:dyDescent="0.3">
      <c r="B2095" s="9">
        <f>[1]Discovery!A2101</f>
        <v>70413311</v>
      </c>
      <c r="C2095" s="9" t="str">
        <f>[1]Discovery!B2101</f>
        <v>크리스마스섬</v>
      </c>
      <c r="D2095" s="9" t="str">
        <f>[1]Discovery!E2101</f>
        <v>자연</v>
      </c>
      <c r="E2095" s="9" t="str">
        <f>[1]Discovery!C2101</f>
        <v>지리</v>
      </c>
      <c r="F2095" s="9" t="str">
        <f>[1]Discovery!G2101</f>
        <v>S</v>
      </c>
      <c r="G2095" s="9" t="str">
        <f>IFERROR(VLOOKUP(표1[[#This Row],[명칭]],'문화권 정리'!C:D,2,FALSE),"-")</f>
        <v>동남아시아</v>
      </c>
      <c r="H2095" s="38" t="str">
        <f>IFERROR(COUNTIF([2]OceanDoodad!$Y:$Y,표1[[#This Row],[명칭]]),"-")</f>
        <v>-</v>
      </c>
      <c r="I2095" s="38">
        <f>IFERROR(COUNTIF([1]AdventureDiscoveryGroup!$D$8:$AW$92,표1[[#This Row],[명칭]]),"-")</f>
        <v>0</v>
      </c>
      <c r="J2095" s="38">
        <f>IFERROR(COUNTIF([1]FishDiscoveryGroup!$A:$X,표1[[#This Row],[명칭]]),"-")</f>
        <v>0</v>
      </c>
      <c r="K2095" s="38" t="str">
        <f>IFERROR(COUNTIF([2]Town!$B:$B,표1[[#This Row],[명칭]]),"-")</f>
        <v>-</v>
      </c>
      <c r="L2095" s="38">
        <f>IFERROR(COUNTIF([1]Village!$BR:$BR,표1[[#This Row],[명칭]]),"-")</f>
        <v>0</v>
      </c>
      <c r="M2095" s="38">
        <f>COUNTIF(퀘스트!B:B,표1[[#This Row],[명칭]])</f>
        <v>0</v>
      </c>
      <c r="N2095" s="65">
        <f>COUNTIF([1]VillageDiscoveryGroup!$C:$C,표1[[#This Row],[명칭]])</f>
        <v>0</v>
      </c>
      <c r="O2095" s="65">
        <f>SUM(표1[[#This Row],[해양탐색]:[마을탐험]])</f>
        <v>0</v>
      </c>
    </row>
    <row r="2096" spans="2:15" ht="13.5" customHeight="1" x14ac:dyDescent="0.3">
      <c r="B2096" s="9">
        <f>[1]Discovery!A2102</f>
        <v>70413312</v>
      </c>
      <c r="C2096" s="9" t="str">
        <f>[1]Discovery!B2102</f>
        <v>크름반도</v>
      </c>
      <c r="D2096" s="9" t="str">
        <f>[1]Discovery!E2102</f>
        <v>자연</v>
      </c>
      <c r="E2096" s="9" t="str">
        <f>[1]Discovery!C2102</f>
        <v>지리</v>
      </c>
      <c r="F2096" s="9" t="str">
        <f>[1]Discovery!G2102</f>
        <v>C</v>
      </c>
      <c r="G2096" s="9" t="str">
        <f>IFERROR(VLOOKUP(표1[[#This Row],[명칭]],'문화권 정리'!C:D,2,FALSE),"-")</f>
        <v>지중해</v>
      </c>
      <c r="H2096" s="38" t="str">
        <f>IFERROR(COUNTIF([2]OceanDoodad!$Y:$Y,표1[[#This Row],[명칭]]),"-")</f>
        <v>-</v>
      </c>
      <c r="I2096" s="38">
        <f>IFERROR(COUNTIF([1]AdventureDiscoveryGroup!$D$8:$AW$92,표1[[#This Row],[명칭]]),"-")</f>
        <v>0</v>
      </c>
      <c r="J2096" s="38">
        <f>IFERROR(COUNTIF([1]FishDiscoveryGroup!$A:$X,표1[[#This Row],[명칭]]),"-")</f>
        <v>0</v>
      </c>
      <c r="K2096" s="38" t="str">
        <f>IFERROR(COUNTIF([2]Town!$B:$B,표1[[#This Row],[명칭]]),"-")</f>
        <v>-</v>
      </c>
      <c r="L2096" s="38">
        <f>IFERROR(COUNTIF([1]Village!$BR:$BR,표1[[#This Row],[명칭]]),"-")</f>
        <v>0</v>
      </c>
      <c r="M2096" s="38">
        <f>COUNTIF(퀘스트!B:B,표1[[#This Row],[명칭]])</f>
        <v>0</v>
      </c>
      <c r="N2096" s="65">
        <f>COUNTIF([1]VillageDiscoveryGroup!$C:$C,표1[[#This Row],[명칭]])</f>
        <v>0</v>
      </c>
      <c r="O2096" s="65">
        <f>SUM(표1[[#This Row],[해양탐색]:[마을탐험]])</f>
        <v>0</v>
      </c>
    </row>
    <row r="2097" spans="2:15" ht="13.5" customHeight="1" x14ac:dyDescent="0.3">
      <c r="B2097" s="9">
        <f>[1]Discovery!A2103</f>
        <v>70413313</v>
      </c>
      <c r="C2097" s="9" t="str">
        <f>[1]Discovery!B2103</f>
        <v>키클라데스제도</v>
      </c>
      <c r="D2097" s="9" t="str">
        <f>[1]Discovery!E2103</f>
        <v>자연</v>
      </c>
      <c r="E2097" s="9" t="str">
        <f>[1]Discovery!C2103</f>
        <v>지리</v>
      </c>
      <c r="F2097" s="9" t="str">
        <f>[1]Discovery!G2103</f>
        <v>C</v>
      </c>
      <c r="G2097" s="9" t="str">
        <f>IFERROR(VLOOKUP(표1[[#This Row],[명칭]],'문화권 정리'!C:D,2,FALSE),"-")</f>
        <v>지중해</v>
      </c>
      <c r="H2097" s="38" t="str">
        <f>IFERROR(COUNTIF([2]OceanDoodad!$Y:$Y,표1[[#This Row],[명칭]]),"-")</f>
        <v>-</v>
      </c>
      <c r="I2097" s="38">
        <f>IFERROR(COUNTIF([1]AdventureDiscoveryGroup!$D$8:$AW$92,표1[[#This Row],[명칭]]),"-")</f>
        <v>0</v>
      </c>
      <c r="J2097" s="38">
        <f>IFERROR(COUNTIF([1]FishDiscoveryGroup!$A:$X,표1[[#This Row],[명칭]]),"-")</f>
        <v>0</v>
      </c>
      <c r="K2097" s="38" t="str">
        <f>IFERROR(COUNTIF([2]Town!$B:$B,표1[[#This Row],[명칭]]),"-")</f>
        <v>-</v>
      </c>
      <c r="L2097" s="38">
        <f>IFERROR(COUNTIF([1]Village!$BR:$BR,표1[[#This Row],[명칭]]),"-")</f>
        <v>0</v>
      </c>
      <c r="M2097" s="38">
        <f>COUNTIF(퀘스트!B:B,표1[[#This Row],[명칭]])</f>
        <v>0</v>
      </c>
      <c r="N2097" s="65">
        <f>COUNTIF([1]VillageDiscoveryGroup!$C:$C,표1[[#This Row],[명칭]])</f>
        <v>0</v>
      </c>
      <c r="O2097" s="65">
        <f>SUM(표1[[#This Row],[해양탐색]:[마을탐험]])</f>
        <v>0</v>
      </c>
    </row>
    <row r="2098" spans="2:15" ht="13.5" customHeight="1" x14ac:dyDescent="0.3">
      <c r="B2098" s="9">
        <f>[1]Discovery!A2104</f>
        <v>70413314</v>
      </c>
      <c r="C2098" s="9" t="str">
        <f>[1]Discovery!B2104</f>
        <v>키프로스</v>
      </c>
      <c r="D2098" s="9" t="str">
        <f>[1]Discovery!E2104</f>
        <v>자연</v>
      </c>
      <c r="E2098" s="9" t="str">
        <f>[1]Discovery!C2104</f>
        <v>지리</v>
      </c>
      <c r="F2098" s="9" t="str">
        <f>[1]Discovery!G2104</f>
        <v>B</v>
      </c>
      <c r="G2098" s="9" t="str">
        <f>IFERROR(VLOOKUP(표1[[#This Row],[명칭]],'문화권 정리'!C:D,2,FALSE),"-")</f>
        <v>지중해</v>
      </c>
      <c r="H2098" s="38" t="str">
        <f>IFERROR(COUNTIF([2]OceanDoodad!$Y:$Y,표1[[#This Row],[명칭]]),"-")</f>
        <v>-</v>
      </c>
      <c r="I2098" s="38">
        <f>IFERROR(COUNTIF([1]AdventureDiscoveryGroup!$D$8:$AW$92,표1[[#This Row],[명칭]]),"-")</f>
        <v>0</v>
      </c>
      <c r="J2098" s="38">
        <f>IFERROR(COUNTIF([1]FishDiscoveryGroup!$A:$X,표1[[#This Row],[명칭]]),"-")</f>
        <v>0</v>
      </c>
      <c r="K2098" s="38" t="str">
        <f>IFERROR(COUNTIF([2]Town!$B:$B,표1[[#This Row],[명칭]]),"-")</f>
        <v>-</v>
      </c>
      <c r="L2098" s="38">
        <f>IFERROR(COUNTIF([1]Village!$BR:$BR,표1[[#This Row],[명칭]]),"-")</f>
        <v>0</v>
      </c>
      <c r="M2098" s="38">
        <f>COUNTIF(퀘스트!B:B,표1[[#This Row],[명칭]])</f>
        <v>0</v>
      </c>
      <c r="N2098" s="65">
        <f>COUNTIF([1]VillageDiscoveryGroup!$C:$C,표1[[#This Row],[명칭]])</f>
        <v>0</v>
      </c>
      <c r="O2098" s="65">
        <f>SUM(표1[[#This Row],[해양탐색]:[마을탐험]])</f>
        <v>0</v>
      </c>
    </row>
    <row r="2099" spans="2:15" ht="13.5" customHeight="1" x14ac:dyDescent="0.3">
      <c r="B2099" s="9">
        <f>[1]Discovery!A2105</f>
        <v>70413315</v>
      </c>
      <c r="C2099" s="9" t="str">
        <f>[1]Discovery!B2105</f>
        <v>킬라우에아화산</v>
      </c>
      <c r="D2099" s="9" t="str">
        <f>[1]Discovery!E2105</f>
        <v>자연</v>
      </c>
      <c r="E2099" s="9" t="str">
        <f>[1]Discovery!C2105</f>
        <v>지리</v>
      </c>
      <c r="F2099" s="9" t="str">
        <f>[1]Discovery!G2105</f>
        <v>B</v>
      </c>
      <c r="G2099" s="9" t="str">
        <f>IFERROR(VLOOKUP(표1[[#This Row],[명칭]],'문화권 정리'!C:D,2,FALSE),"-")</f>
        <v>태평양</v>
      </c>
      <c r="H2099" s="38" t="str">
        <f>IFERROR(COUNTIF([2]OceanDoodad!$Y:$Y,표1[[#This Row],[명칭]]),"-")</f>
        <v>-</v>
      </c>
      <c r="I2099" s="38">
        <f>IFERROR(COUNTIF([1]AdventureDiscoveryGroup!$D$8:$AW$92,표1[[#This Row],[명칭]]),"-")</f>
        <v>0</v>
      </c>
      <c r="J2099" s="38">
        <f>IFERROR(COUNTIF([1]FishDiscoveryGroup!$A:$X,표1[[#This Row],[명칭]]),"-")</f>
        <v>0</v>
      </c>
      <c r="K2099" s="38" t="str">
        <f>IFERROR(COUNTIF([2]Town!$B:$B,표1[[#This Row],[명칭]]),"-")</f>
        <v>-</v>
      </c>
      <c r="L2099" s="38">
        <f>IFERROR(COUNTIF([1]Village!$BR:$BR,표1[[#This Row],[명칭]]),"-")</f>
        <v>0</v>
      </c>
      <c r="M2099" s="38">
        <f>COUNTIF(퀘스트!B:B,표1[[#This Row],[명칭]])</f>
        <v>0</v>
      </c>
      <c r="N2099" s="65">
        <f>COUNTIF([1]VillageDiscoveryGroup!$C:$C,표1[[#This Row],[명칭]])</f>
        <v>0</v>
      </c>
      <c r="O2099" s="65">
        <f>SUM(표1[[#This Row],[해양탐색]:[마을탐험]])</f>
        <v>0</v>
      </c>
    </row>
    <row r="2100" spans="2:15" ht="13.5" customHeight="1" x14ac:dyDescent="0.3">
      <c r="B2100" s="9">
        <f>[1]Discovery!A2106</f>
        <v>70413316</v>
      </c>
      <c r="C2100" s="9" t="str">
        <f>[1]Discovery!B2106</f>
        <v>킴벌리 고원</v>
      </c>
      <c r="D2100" s="9" t="str">
        <f>[1]Discovery!E2106</f>
        <v>자연</v>
      </c>
      <c r="E2100" s="9" t="str">
        <f>[1]Discovery!C2106</f>
        <v>지리</v>
      </c>
      <c r="F2100" s="9" t="str">
        <f>[1]Discovery!G2106</f>
        <v>B</v>
      </c>
      <c r="G2100" s="9" t="str">
        <f>IFERROR(VLOOKUP(표1[[#This Row],[명칭]],'문화권 정리'!C:D,2,FALSE),"-")</f>
        <v>오세아니아</v>
      </c>
      <c r="H2100" s="38" t="str">
        <f>IFERROR(COUNTIF([2]OceanDoodad!$Y:$Y,표1[[#This Row],[명칭]]),"-")</f>
        <v>-</v>
      </c>
      <c r="I2100" s="38">
        <f>IFERROR(COUNTIF([1]AdventureDiscoveryGroup!$D$8:$AW$92,표1[[#This Row],[명칭]]),"-")</f>
        <v>0</v>
      </c>
      <c r="J2100" s="38">
        <f>IFERROR(COUNTIF([1]FishDiscoveryGroup!$A:$X,표1[[#This Row],[명칭]]),"-")</f>
        <v>0</v>
      </c>
      <c r="K2100" s="38" t="str">
        <f>IFERROR(COUNTIF([2]Town!$B:$B,표1[[#This Row],[명칭]]),"-")</f>
        <v>-</v>
      </c>
      <c r="L2100" s="38">
        <f>IFERROR(COUNTIF([1]Village!$BR:$BR,표1[[#This Row],[명칭]]),"-")</f>
        <v>0</v>
      </c>
      <c r="M2100" s="38">
        <f>COUNTIF(퀘스트!B:B,표1[[#This Row],[명칭]])</f>
        <v>0</v>
      </c>
      <c r="N2100" s="65">
        <f>COUNTIF([1]VillageDiscoveryGroup!$C:$C,표1[[#This Row],[명칭]])</f>
        <v>0</v>
      </c>
      <c r="O2100" s="65">
        <f>SUM(표1[[#This Row],[해양탐색]:[마을탐험]])</f>
        <v>0</v>
      </c>
    </row>
    <row r="2101" spans="2:15" ht="13.5" customHeight="1" x14ac:dyDescent="0.3">
      <c r="B2101" s="9">
        <f>[1]Discovery!A2107</f>
        <v>70413317</v>
      </c>
      <c r="C2101" s="9" t="str">
        <f>[1]Discovery!B2107</f>
        <v>타이가</v>
      </c>
      <c r="D2101" s="9" t="str">
        <f>[1]Discovery!E2107</f>
        <v>자연</v>
      </c>
      <c r="E2101" s="9" t="str">
        <f>[1]Discovery!C2107</f>
        <v>지리</v>
      </c>
      <c r="F2101" s="9" t="str">
        <f>[1]Discovery!G2107</f>
        <v>C</v>
      </c>
      <c r="G2101" s="9" t="str">
        <f>IFERROR(VLOOKUP(표1[[#This Row],[명칭]],'문화권 정리'!C:D,2,FALSE),"-")</f>
        <v>유라시아</v>
      </c>
      <c r="H2101" s="38" t="str">
        <f>IFERROR(COUNTIF([2]OceanDoodad!$Y:$Y,표1[[#This Row],[명칭]]),"-")</f>
        <v>-</v>
      </c>
      <c r="I2101" s="38">
        <f>IFERROR(COUNTIF([1]AdventureDiscoveryGroup!$D$8:$AW$92,표1[[#This Row],[명칭]]),"-")</f>
        <v>0</v>
      </c>
      <c r="J2101" s="38">
        <f>IFERROR(COUNTIF([1]FishDiscoveryGroup!$A:$X,표1[[#This Row],[명칭]]),"-")</f>
        <v>0</v>
      </c>
      <c r="K2101" s="38" t="str">
        <f>IFERROR(COUNTIF([2]Town!$B:$B,표1[[#This Row],[명칭]]),"-")</f>
        <v>-</v>
      </c>
      <c r="L2101" s="38">
        <f>IFERROR(COUNTIF([1]Village!$BR:$BR,표1[[#This Row],[명칭]]),"-")</f>
        <v>0</v>
      </c>
      <c r="M2101" s="38">
        <f>COUNTIF(퀘스트!B:B,표1[[#This Row],[명칭]])</f>
        <v>0</v>
      </c>
      <c r="N2101" s="65">
        <f>COUNTIF([1]VillageDiscoveryGroup!$C:$C,표1[[#This Row],[명칭]])</f>
        <v>0</v>
      </c>
      <c r="O2101" s="65">
        <f>SUM(표1[[#This Row],[해양탐색]:[마을탐험]])</f>
        <v>0</v>
      </c>
    </row>
    <row r="2102" spans="2:15" ht="13.5" customHeight="1" x14ac:dyDescent="0.3">
      <c r="B2102" s="9">
        <f>[1]Discovery!A2108</f>
        <v>70413318</v>
      </c>
      <c r="C2102" s="9" t="str">
        <f>[1]Discovery!B2108</f>
        <v>타이루거협곡</v>
      </c>
      <c r="D2102" s="9" t="str">
        <f>[1]Discovery!E2108</f>
        <v>자연</v>
      </c>
      <c r="E2102" s="9" t="str">
        <f>[1]Discovery!C2108</f>
        <v>지리</v>
      </c>
      <c r="F2102" s="9" t="str">
        <f>[1]Discovery!G2108</f>
        <v>A</v>
      </c>
      <c r="G2102" s="9" t="str">
        <f>IFERROR(VLOOKUP(표1[[#This Row],[명칭]],'문화권 정리'!C:D,2,FALSE),"-")</f>
        <v>동아시아</v>
      </c>
      <c r="H2102" s="38" t="str">
        <f>IFERROR(COUNTIF([2]OceanDoodad!$Y:$Y,표1[[#This Row],[명칭]]),"-")</f>
        <v>-</v>
      </c>
      <c r="I2102" s="38">
        <f>IFERROR(COUNTIF([1]AdventureDiscoveryGroup!$D$8:$AW$92,표1[[#This Row],[명칭]]),"-")</f>
        <v>0</v>
      </c>
      <c r="J2102" s="38">
        <f>IFERROR(COUNTIF([1]FishDiscoveryGroup!$A:$X,표1[[#This Row],[명칭]]),"-")</f>
        <v>0</v>
      </c>
      <c r="K2102" s="38" t="str">
        <f>IFERROR(COUNTIF([2]Town!$B:$B,표1[[#This Row],[명칭]]),"-")</f>
        <v>-</v>
      </c>
      <c r="L2102" s="38">
        <f>IFERROR(COUNTIF([1]Village!$BR:$BR,표1[[#This Row],[명칭]]),"-")</f>
        <v>0</v>
      </c>
      <c r="M2102" s="38">
        <f>COUNTIF(퀘스트!B:B,표1[[#This Row],[명칭]])</f>
        <v>0</v>
      </c>
      <c r="N2102" s="65">
        <f>COUNTIF([1]VillageDiscoveryGroup!$C:$C,표1[[#This Row],[명칭]])</f>
        <v>0</v>
      </c>
      <c r="O2102" s="65">
        <f>SUM(표1[[#This Row],[해양탐색]:[마을탐험]])</f>
        <v>0</v>
      </c>
    </row>
    <row r="2103" spans="2:15" ht="13.5" customHeight="1" x14ac:dyDescent="0.3">
      <c r="B2103" s="9">
        <f>[1]Discovery!A2109</f>
        <v>70413319</v>
      </c>
      <c r="C2103" s="9" t="str">
        <f>[1]Discovery!B2109</f>
        <v>타이미르반도</v>
      </c>
      <c r="D2103" s="9" t="str">
        <f>[1]Discovery!E2109</f>
        <v>자연</v>
      </c>
      <c r="E2103" s="9" t="str">
        <f>[1]Discovery!C2109</f>
        <v>지리</v>
      </c>
      <c r="F2103" s="9" t="str">
        <f>[1]Discovery!G2109</f>
        <v>C</v>
      </c>
      <c r="G2103" s="9" t="str">
        <f>IFERROR(VLOOKUP(표1[[#This Row],[명칭]],'문화권 정리'!C:D,2,FALSE),"-")</f>
        <v>극지방</v>
      </c>
      <c r="H2103" s="38" t="str">
        <f>IFERROR(COUNTIF([2]OceanDoodad!$Y:$Y,표1[[#This Row],[명칭]]),"-")</f>
        <v>-</v>
      </c>
      <c r="I2103" s="38">
        <f>IFERROR(COUNTIF([1]AdventureDiscoveryGroup!$D$8:$AW$92,표1[[#This Row],[명칭]]),"-")</f>
        <v>0</v>
      </c>
      <c r="J2103" s="38">
        <f>IFERROR(COUNTIF([1]FishDiscoveryGroup!$A:$X,표1[[#This Row],[명칭]]),"-")</f>
        <v>0</v>
      </c>
      <c r="K2103" s="38" t="str">
        <f>IFERROR(COUNTIF([2]Town!$B:$B,표1[[#This Row],[명칭]]),"-")</f>
        <v>-</v>
      </c>
      <c r="L2103" s="38">
        <f>IFERROR(COUNTIF([1]Village!$BR:$BR,표1[[#This Row],[명칭]]),"-")</f>
        <v>0</v>
      </c>
      <c r="M2103" s="38">
        <f>COUNTIF(퀘스트!B:B,표1[[#This Row],[명칭]])</f>
        <v>0</v>
      </c>
      <c r="N2103" s="65">
        <f>COUNTIF([1]VillageDiscoveryGroup!$C:$C,표1[[#This Row],[명칭]])</f>
        <v>0</v>
      </c>
      <c r="O2103" s="65">
        <f>SUM(표1[[#This Row],[해양탐색]:[마을탐험]])</f>
        <v>0</v>
      </c>
    </row>
    <row r="2104" spans="2:15" ht="13.5" customHeight="1" x14ac:dyDescent="0.3">
      <c r="B2104" s="9">
        <f>[1]Discovery!A2110</f>
        <v>70413320</v>
      </c>
      <c r="C2104" s="9" t="str">
        <f>[1]Discovery!B2110</f>
        <v>타티오 간헐천</v>
      </c>
      <c r="D2104" s="9" t="str">
        <f>[1]Discovery!E2110</f>
        <v>자연</v>
      </c>
      <c r="E2104" s="9" t="str">
        <f>[1]Discovery!C2110</f>
        <v>지리</v>
      </c>
      <c r="F2104" s="9" t="str">
        <f>[1]Discovery!G2110</f>
        <v>A</v>
      </c>
      <c r="G2104" s="9" t="str">
        <f>IFERROR(VLOOKUP(표1[[#This Row],[명칭]],'문화권 정리'!C:D,2,FALSE),"-")</f>
        <v>남아메리카</v>
      </c>
      <c r="H2104" s="38" t="str">
        <f>IFERROR(COUNTIF([2]OceanDoodad!$Y:$Y,표1[[#This Row],[명칭]]),"-")</f>
        <v>-</v>
      </c>
      <c r="I2104" s="38">
        <f>IFERROR(COUNTIF([1]AdventureDiscoveryGroup!$D$8:$AW$92,표1[[#This Row],[명칭]]),"-")</f>
        <v>0</v>
      </c>
      <c r="J2104" s="38">
        <f>IFERROR(COUNTIF([1]FishDiscoveryGroup!$A:$X,표1[[#This Row],[명칭]]),"-")</f>
        <v>0</v>
      </c>
      <c r="K2104" s="38" t="str">
        <f>IFERROR(COUNTIF([2]Town!$B:$B,표1[[#This Row],[명칭]]),"-")</f>
        <v>-</v>
      </c>
      <c r="L2104" s="38">
        <f>IFERROR(COUNTIF([1]Village!$BR:$BR,표1[[#This Row],[명칭]]),"-")</f>
        <v>0</v>
      </c>
      <c r="M2104" s="38">
        <f>COUNTIF(퀘스트!B:B,표1[[#This Row],[명칭]])</f>
        <v>0</v>
      </c>
      <c r="N2104" s="65">
        <f>COUNTIF([1]VillageDiscoveryGroup!$C:$C,표1[[#This Row],[명칭]])</f>
        <v>0</v>
      </c>
      <c r="O2104" s="65">
        <f>SUM(표1[[#This Row],[해양탐색]:[마을탐험]])</f>
        <v>0</v>
      </c>
    </row>
    <row r="2105" spans="2:15" ht="13.5" customHeight="1" x14ac:dyDescent="0.3">
      <c r="B2105" s="9">
        <f>[1]Discovery!A2111</f>
        <v>70413321</v>
      </c>
      <c r="C2105" s="9" t="str">
        <f>[1]Discovery!B2111</f>
        <v>타푸섬</v>
      </c>
      <c r="D2105" s="9" t="str">
        <f>[1]Discovery!E2111</f>
        <v>자연</v>
      </c>
      <c r="E2105" s="9" t="str">
        <f>[1]Discovery!C2111</f>
        <v>지리</v>
      </c>
      <c r="F2105" s="9" t="str">
        <f>[1]Discovery!G2111</f>
        <v>B</v>
      </c>
      <c r="G2105" s="9" t="str">
        <f>IFERROR(VLOOKUP(표1[[#This Row],[명칭]],'문화권 정리'!C:D,2,FALSE),"-")</f>
        <v>동남아시아</v>
      </c>
      <c r="H2105" s="38" t="str">
        <f>IFERROR(COUNTIF([2]OceanDoodad!$Y:$Y,표1[[#This Row],[명칭]]),"-")</f>
        <v>-</v>
      </c>
      <c r="I2105" s="38">
        <f>IFERROR(COUNTIF([1]AdventureDiscoveryGroup!$D$8:$AW$92,표1[[#This Row],[명칭]]),"-")</f>
        <v>0</v>
      </c>
      <c r="J2105" s="38">
        <f>IFERROR(COUNTIF([1]FishDiscoveryGroup!$A:$X,표1[[#This Row],[명칭]]),"-")</f>
        <v>0</v>
      </c>
      <c r="K2105" s="38" t="str">
        <f>IFERROR(COUNTIF([2]Town!$B:$B,표1[[#This Row],[명칭]]),"-")</f>
        <v>-</v>
      </c>
      <c r="L2105" s="38">
        <f>IFERROR(COUNTIF([1]Village!$BR:$BR,표1[[#This Row],[명칭]]),"-")</f>
        <v>0</v>
      </c>
      <c r="M2105" s="38">
        <f>COUNTIF(퀘스트!B:B,표1[[#This Row],[명칭]])</f>
        <v>0</v>
      </c>
      <c r="N2105" s="65">
        <f>COUNTIF([1]VillageDiscoveryGroup!$C:$C,표1[[#This Row],[명칭]])</f>
        <v>0</v>
      </c>
      <c r="O2105" s="65">
        <f>SUM(표1[[#This Row],[해양탐색]:[마을탐험]])</f>
        <v>0</v>
      </c>
    </row>
    <row r="2106" spans="2:15" ht="13.5" customHeight="1" x14ac:dyDescent="0.3">
      <c r="B2106" s="9">
        <f>[1]Discovery!A2112</f>
        <v>70413322</v>
      </c>
      <c r="C2106" s="9" t="str">
        <f>[1]Discovery!B2112</f>
        <v>타히티섬</v>
      </c>
      <c r="D2106" s="9" t="str">
        <f>[1]Discovery!E2112</f>
        <v>자연</v>
      </c>
      <c r="E2106" s="9" t="str">
        <f>[1]Discovery!C2112</f>
        <v>지리</v>
      </c>
      <c r="F2106" s="9" t="str">
        <f>[1]Discovery!G2112</f>
        <v>A</v>
      </c>
      <c r="G2106" s="9" t="str">
        <f>IFERROR(VLOOKUP(표1[[#This Row],[명칭]],'문화권 정리'!C:D,2,FALSE),"-")</f>
        <v>태평양</v>
      </c>
      <c r="H2106" s="38" t="str">
        <f>IFERROR(COUNTIF([2]OceanDoodad!$Y:$Y,표1[[#This Row],[명칭]]),"-")</f>
        <v>-</v>
      </c>
      <c r="I2106" s="38">
        <f>IFERROR(COUNTIF([1]AdventureDiscoveryGroup!$D$8:$AW$92,표1[[#This Row],[명칭]]),"-")</f>
        <v>0</v>
      </c>
      <c r="J2106" s="38">
        <f>IFERROR(COUNTIF([1]FishDiscoveryGroup!$A:$X,표1[[#This Row],[명칭]]),"-")</f>
        <v>0</v>
      </c>
      <c r="K2106" s="38" t="str">
        <f>IFERROR(COUNTIF([2]Town!$B:$B,표1[[#This Row],[명칭]]),"-")</f>
        <v>-</v>
      </c>
      <c r="L2106" s="38">
        <f>IFERROR(COUNTIF([1]Village!$BR:$BR,표1[[#This Row],[명칭]]),"-")</f>
        <v>0</v>
      </c>
      <c r="M2106" s="38">
        <f>COUNTIF(퀘스트!B:B,표1[[#This Row],[명칭]])</f>
        <v>0</v>
      </c>
      <c r="N2106" s="65">
        <f>COUNTIF([1]VillageDiscoveryGroup!$C:$C,표1[[#This Row],[명칭]])</f>
        <v>0</v>
      </c>
      <c r="O2106" s="65">
        <f>SUM(표1[[#This Row],[해양탐색]:[마을탐험]])</f>
        <v>0</v>
      </c>
    </row>
    <row r="2107" spans="2:15" ht="13.5" customHeight="1" x14ac:dyDescent="0.3">
      <c r="B2107" s="9">
        <f>[1]Discovery!A2113</f>
        <v>70413323</v>
      </c>
      <c r="C2107" s="9" t="str">
        <f>[1]Discovery!B2113</f>
        <v>태산</v>
      </c>
      <c r="D2107" s="9" t="str">
        <f>[1]Discovery!E2113</f>
        <v>자연</v>
      </c>
      <c r="E2107" s="9" t="str">
        <f>[1]Discovery!C2113</f>
        <v>지리</v>
      </c>
      <c r="F2107" s="9" t="str">
        <f>[1]Discovery!G2113</f>
        <v>A</v>
      </c>
      <c r="G2107" s="9" t="str">
        <f>IFERROR(VLOOKUP(표1[[#This Row],[명칭]],'문화권 정리'!C:D,2,FALSE),"-")</f>
        <v>동아시아</v>
      </c>
      <c r="H2107" s="38" t="str">
        <f>IFERROR(COUNTIF([2]OceanDoodad!$Y:$Y,표1[[#This Row],[명칭]]),"-")</f>
        <v>-</v>
      </c>
      <c r="I2107" s="38">
        <f>IFERROR(COUNTIF([1]AdventureDiscoveryGroup!$D$8:$AW$92,표1[[#This Row],[명칭]]),"-")</f>
        <v>0</v>
      </c>
      <c r="J2107" s="38">
        <f>IFERROR(COUNTIF([1]FishDiscoveryGroup!$A:$X,표1[[#This Row],[명칭]]),"-")</f>
        <v>0</v>
      </c>
      <c r="K2107" s="38" t="str">
        <f>IFERROR(COUNTIF([2]Town!$B:$B,표1[[#This Row],[명칭]]),"-")</f>
        <v>-</v>
      </c>
      <c r="L2107" s="38">
        <f>IFERROR(COUNTIF([1]Village!$BR:$BR,표1[[#This Row],[명칭]]),"-")</f>
        <v>0</v>
      </c>
      <c r="M2107" s="38">
        <f>COUNTIF(퀘스트!B:B,표1[[#This Row],[명칭]])</f>
        <v>0</v>
      </c>
      <c r="N2107" s="65">
        <f>COUNTIF([1]VillageDiscoveryGroup!$C:$C,표1[[#This Row],[명칭]])</f>
        <v>0</v>
      </c>
      <c r="O2107" s="65">
        <f>SUM(표1[[#This Row],[해양탐색]:[마을탐험]])</f>
        <v>0</v>
      </c>
    </row>
    <row r="2108" spans="2:15" ht="13.5" customHeight="1" x14ac:dyDescent="0.3">
      <c r="B2108" s="9">
        <f>[1]Discovery!A2114</f>
        <v>70413324</v>
      </c>
      <c r="C2108" s="9" t="str">
        <f>[1]Discovery!B2114</f>
        <v>태즈먼해</v>
      </c>
      <c r="D2108" s="9" t="str">
        <f>[1]Discovery!E2114</f>
        <v>자연</v>
      </c>
      <c r="E2108" s="9" t="str">
        <f>[1]Discovery!C2114</f>
        <v>지리</v>
      </c>
      <c r="F2108" s="9" t="str">
        <f>[1]Discovery!G2114</f>
        <v>D</v>
      </c>
      <c r="G2108" s="9" t="str">
        <f>IFERROR(VLOOKUP(표1[[#This Row],[명칭]],'문화권 정리'!C:D,2,FALSE),"-")</f>
        <v>오세아니아</v>
      </c>
      <c r="H2108" s="38" t="str">
        <f>IFERROR(COUNTIF([2]OceanDoodad!$Y:$Y,표1[[#This Row],[명칭]]),"-")</f>
        <v>-</v>
      </c>
      <c r="I2108" s="38">
        <f>IFERROR(COUNTIF([1]AdventureDiscoveryGroup!$D$8:$AW$92,표1[[#This Row],[명칭]]),"-")</f>
        <v>0</v>
      </c>
      <c r="J2108" s="38">
        <f>IFERROR(COUNTIF([1]FishDiscoveryGroup!$A:$X,표1[[#This Row],[명칭]]),"-")</f>
        <v>0</v>
      </c>
      <c r="K2108" s="38" t="str">
        <f>IFERROR(COUNTIF([2]Town!$B:$B,표1[[#This Row],[명칭]]),"-")</f>
        <v>-</v>
      </c>
      <c r="L2108" s="38">
        <f>IFERROR(COUNTIF([1]Village!$BR:$BR,표1[[#This Row],[명칭]]),"-")</f>
        <v>0</v>
      </c>
      <c r="M2108" s="38">
        <f>COUNTIF(퀘스트!B:B,표1[[#This Row],[명칭]])</f>
        <v>0</v>
      </c>
      <c r="N2108" s="65">
        <f>COUNTIF([1]VillageDiscoveryGroup!$C:$C,표1[[#This Row],[명칭]])</f>
        <v>0</v>
      </c>
      <c r="O2108" s="65">
        <f>SUM(표1[[#This Row],[해양탐색]:[마을탐험]])</f>
        <v>0</v>
      </c>
    </row>
    <row r="2109" spans="2:15" ht="13.5" customHeight="1" x14ac:dyDescent="0.3">
      <c r="B2109" s="9">
        <f>[1]Discovery!A2115</f>
        <v>70413325</v>
      </c>
      <c r="C2109" s="9" t="str">
        <f>[1]Discovery!B2115</f>
        <v>태평양</v>
      </c>
      <c r="D2109" s="9" t="str">
        <f>[1]Discovery!E2115</f>
        <v>자연</v>
      </c>
      <c r="E2109" s="9" t="str">
        <f>[1]Discovery!C2115</f>
        <v>지리</v>
      </c>
      <c r="F2109" s="9" t="str">
        <f>[1]Discovery!G2115</f>
        <v>S</v>
      </c>
      <c r="G2109" s="9" t="str">
        <f>IFERROR(VLOOKUP(표1[[#This Row],[명칭]],'문화권 정리'!C:D,2,FALSE),"-")</f>
        <v>태평양</v>
      </c>
      <c r="H2109" s="38" t="str">
        <f>IFERROR(COUNTIF([2]OceanDoodad!$Y:$Y,표1[[#This Row],[명칭]]),"-")</f>
        <v>-</v>
      </c>
      <c r="I2109" s="38">
        <f>IFERROR(COUNTIF([1]AdventureDiscoveryGroup!$D$8:$AW$92,표1[[#This Row],[명칭]]),"-")</f>
        <v>0</v>
      </c>
      <c r="J2109" s="38">
        <f>IFERROR(COUNTIF([1]FishDiscoveryGroup!$A:$X,표1[[#This Row],[명칭]]),"-")</f>
        <v>0</v>
      </c>
      <c r="K2109" s="38" t="str">
        <f>IFERROR(COUNTIF([2]Town!$B:$B,표1[[#This Row],[명칭]]),"-")</f>
        <v>-</v>
      </c>
      <c r="L2109" s="38">
        <f>IFERROR(COUNTIF([1]Village!$BR:$BR,표1[[#This Row],[명칭]]),"-")</f>
        <v>0</v>
      </c>
      <c r="M2109" s="38">
        <f>COUNTIF(퀘스트!B:B,표1[[#This Row],[명칭]])</f>
        <v>0</v>
      </c>
      <c r="N2109" s="65">
        <f>COUNTIF([1]VillageDiscoveryGroup!$C:$C,표1[[#This Row],[명칭]])</f>
        <v>0</v>
      </c>
      <c r="O2109" s="65">
        <f>SUM(표1[[#This Row],[해양탐색]:[마을탐험]])</f>
        <v>0</v>
      </c>
    </row>
    <row r="2110" spans="2:15" ht="13.5" customHeight="1" x14ac:dyDescent="0.3">
      <c r="B2110" s="9">
        <f>[1]Discovery!A2116</f>
        <v>70413326</v>
      </c>
      <c r="C2110" s="9" t="str">
        <f>[1]Discovery!B2116</f>
        <v>터멜강</v>
      </c>
      <c r="D2110" s="9" t="str">
        <f>[1]Discovery!E2116</f>
        <v>자연</v>
      </c>
      <c r="E2110" s="9" t="str">
        <f>[1]Discovery!C2116</f>
        <v>지리</v>
      </c>
      <c r="F2110" s="9" t="str">
        <f>[1]Discovery!G2116</f>
        <v>C</v>
      </c>
      <c r="G2110" s="9" t="str">
        <f>IFERROR(VLOOKUP(표1[[#This Row],[명칭]],'문화권 정리'!C:D,2,FALSE),"-")</f>
        <v>브리튼</v>
      </c>
      <c r="H2110" s="38" t="str">
        <f>IFERROR(COUNTIF([2]OceanDoodad!$Y:$Y,표1[[#This Row],[명칭]]),"-")</f>
        <v>-</v>
      </c>
      <c r="I2110" s="38">
        <f>IFERROR(COUNTIF([1]AdventureDiscoveryGroup!$D$8:$AW$92,표1[[#This Row],[명칭]]),"-")</f>
        <v>0</v>
      </c>
      <c r="J2110" s="38">
        <f>IFERROR(COUNTIF([1]FishDiscoveryGroup!$A:$X,표1[[#This Row],[명칭]]),"-")</f>
        <v>0</v>
      </c>
      <c r="K2110" s="38" t="str">
        <f>IFERROR(COUNTIF([2]Town!$B:$B,표1[[#This Row],[명칭]]),"-")</f>
        <v>-</v>
      </c>
      <c r="L2110" s="38">
        <f>IFERROR(COUNTIF([1]Village!$BR:$BR,표1[[#This Row],[명칭]]),"-")</f>
        <v>0</v>
      </c>
      <c r="M2110" s="38">
        <f>COUNTIF(퀘스트!B:B,표1[[#This Row],[명칭]])</f>
        <v>0</v>
      </c>
      <c r="N2110" s="65">
        <f>COUNTIF([1]VillageDiscoveryGroup!$C:$C,표1[[#This Row],[명칭]])</f>
        <v>0</v>
      </c>
      <c r="O2110" s="65">
        <f>SUM(표1[[#This Row],[해양탐색]:[마을탐험]])</f>
        <v>0</v>
      </c>
    </row>
    <row r="2111" spans="2:15" ht="13.5" customHeight="1" x14ac:dyDescent="0.3">
      <c r="B2111" s="9">
        <f>[1]Discovery!A2117</f>
        <v>70413327</v>
      </c>
      <c r="C2111" s="9" t="str">
        <f>[1]Discovery!B2117</f>
        <v>테네리페섬</v>
      </c>
      <c r="D2111" s="9" t="str">
        <f>[1]Discovery!E2117</f>
        <v>자연</v>
      </c>
      <c r="E2111" s="9" t="str">
        <f>[1]Discovery!C2117</f>
        <v>지리</v>
      </c>
      <c r="F2111" s="9" t="str">
        <f>[1]Discovery!G2117</f>
        <v>C</v>
      </c>
      <c r="G2111" s="9" t="str">
        <f>IFERROR(VLOOKUP(표1[[#This Row],[명칭]],'문화권 정리'!C:D,2,FALSE),"-")</f>
        <v>서아프리카</v>
      </c>
      <c r="H2111" s="38" t="str">
        <f>IFERROR(COUNTIF([2]OceanDoodad!$Y:$Y,표1[[#This Row],[명칭]]),"-")</f>
        <v>-</v>
      </c>
      <c r="I2111" s="38">
        <f>IFERROR(COUNTIF([1]AdventureDiscoveryGroup!$D$8:$AW$92,표1[[#This Row],[명칭]]),"-")</f>
        <v>0</v>
      </c>
      <c r="J2111" s="38">
        <f>IFERROR(COUNTIF([1]FishDiscoveryGroup!$A:$X,표1[[#This Row],[명칭]]),"-")</f>
        <v>0</v>
      </c>
      <c r="K2111" s="38" t="str">
        <f>IFERROR(COUNTIF([2]Town!$B:$B,표1[[#This Row],[명칭]]),"-")</f>
        <v>-</v>
      </c>
      <c r="L2111" s="38">
        <f>IFERROR(COUNTIF([1]Village!$BR:$BR,표1[[#This Row],[명칭]]),"-")</f>
        <v>0</v>
      </c>
      <c r="M2111" s="38">
        <f>COUNTIF(퀘스트!B:B,표1[[#This Row],[명칭]])</f>
        <v>0</v>
      </c>
      <c r="N2111" s="65">
        <f>COUNTIF([1]VillageDiscoveryGroup!$C:$C,표1[[#This Row],[명칭]])</f>
        <v>0</v>
      </c>
      <c r="O2111" s="65">
        <f>SUM(표1[[#This Row],[해양탐색]:[마을탐험]])</f>
        <v>0</v>
      </c>
    </row>
    <row r="2112" spans="2:15" ht="13.5" customHeight="1" x14ac:dyDescent="0.3">
      <c r="B2112" s="9">
        <f>[1]Discovery!A2118</f>
        <v>70413328</v>
      </c>
      <c r="C2112" s="9" t="str">
        <f>[1]Discovery!B2118</f>
        <v>테라 노바</v>
      </c>
      <c r="D2112" s="9" t="str">
        <f>[1]Discovery!E2118</f>
        <v>자연</v>
      </c>
      <c r="E2112" s="9" t="str">
        <f>[1]Discovery!C2118</f>
        <v>지리</v>
      </c>
      <c r="F2112" s="9" t="str">
        <f>[1]Discovery!G2118</f>
        <v>A</v>
      </c>
      <c r="G2112" s="9" t="str">
        <f>IFERROR(VLOOKUP(표1[[#This Row],[명칭]],'문화권 정리'!C:D,2,FALSE),"-")</f>
        <v>북아메리카</v>
      </c>
      <c r="H2112" s="38" t="str">
        <f>IFERROR(COUNTIF([2]OceanDoodad!$Y:$Y,표1[[#This Row],[명칭]]),"-")</f>
        <v>-</v>
      </c>
      <c r="I2112" s="38">
        <f>IFERROR(COUNTIF([1]AdventureDiscoveryGroup!$D$8:$AW$92,표1[[#This Row],[명칭]]),"-")</f>
        <v>0</v>
      </c>
      <c r="J2112" s="38">
        <f>IFERROR(COUNTIF([1]FishDiscoveryGroup!$A:$X,표1[[#This Row],[명칭]]),"-")</f>
        <v>0</v>
      </c>
      <c r="K2112" s="38" t="str">
        <f>IFERROR(COUNTIF([2]Town!$B:$B,표1[[#This Row],[명칭]]),"-")</f>
        <v>-</v>
      </c>
      <c r="L2112" s="38">
        <f>IFERROR(COUNTIF([1]Village!$BR:$BR,표1[[#This Row],[명칭]]),"-")</f>
        <v>0</v>
      </c>
      <c r="M2112" s="38">
        <f>COUNTIF(퀘스트!B:B,표1[[#This Row],[명칭]])</f>
        <v>0</v>
      </c>
      <c r="N2112" s="65">
        <f>COUNTIF([1]VillageDiscoveryGroup!$C:$C,표1[[#This Row],[명칭]])</f>
        <v>0</v>
      </c>
      <c r="O2112" s="65">
        <f>SUM(표1[[#This Row],[해양탐색]:[마을탐험]])</f>
        <v>0</v>
      </c>
    </row>
    <row r="2113" spans="2:15" ht="13.5" customHeight="1" x14ac:dyDescent="0.3">
      <c r="B2113" s="9">
        <f>[1]Discovery!A2119</f>
        <v>70413329</v>
      </c>
      <c r="C2113" s="9" t="str">
        <f>[1]Discovery!B2119</f>
        <v>테르나테섬</v>
      </c>
      <c r="D2113" s="9" t="str">
        <f>[1]Discovery!E2119</f>
        <v>자연</v>
      </c>
      <c r="E2113" s="9" t="str">
        <f>[1]Discovery!C2119</f>
        <v>지리</v>
      </c>
      <c r="F2113" s="9" t="str">
        <f>[1]Discovery!G2119</f>
        <v>A</v>
      </c>
      <c r="G2113" s="9" t="str">
        <f>IFERROR(VLOOKUP(표1[[#This Row],[명칭]],'문화권 정리'!C:D,2,FALSE),"-")</f>
        <v>동남아시아</v>
      </c>
      <c r="H2113" s="38" t="str">
        <f>IFERROR(COUNTIF([2]OceanDoodad!$Y:$Y,표1[[#This Row],[명칭]]),"-")</f>
        <v>-</v>
      </c>
      <c r="I2113" s="38">
        <f>IFERROR(COUNTIF([1]AdventureDiscoveryGroup!$D$8:$AW$92,표1[[#This Row],[명칭]]),"-")</f>
        <v>0</v>
      </c>
      <c r="J2113" s="38">
        <f>IFERROR(COUNTIF([1]FishDiscoveryGroup!$A:$X,표1[[#This Row],[명칭]]),"-")</f>
        <v>0</v>
      </c>
      <c r="K2113" s="38" t="str">
        <f>IFERROR(COUNTIF([2]Town!$B:$B,표1[[#This Row],[명칭]]),"-")</f>
        <v>-</v>
      </c>
      <c r="L2113" s="38">
        <f>IFERROR(COUNTIF([1]Village!$BR:$BR,표1[[#This Row],[명칭]]),"-")</f>
        <v>0</v>
      </c>
      <c r="M2113" s="38">
        <f>COUNTIF(퀘스트!B:B,표1[[#This Row],[명칭]])</f>
        <v>0</v>
      </c>
      <c r="N2113" s="65">
        <f>COUNTIF([1]VillageDiscoveryGroup!$C:$C,표1[[#This Row],[명칭]])</f>
        <v>0</v>
      </c>
      <c r="O2113" s="65">
        <f>SUM(표1[[#This Row],[해양탐색]:[마을탐험]])</f>
        <v>0</v>
      </c>
    </row>
    <row r="2114" spans="2:15" ht="13.5" customHeight="1" x14ac:dyDescent="0.3">
      <c r="B2114" s="9">
        <f>[1]Discovery!A2120</f>
        <v>70413330</v>
      </c>
      <c r="C2114" s="9" t="str">
        <f>[1]Discovery!B2120</f>
        <v>투브칼산</v>
      </c>
      <c r="D2114" s="9" t="str">
        <f>[1]Discovery!E2120</f>
        <v>자연</v>
      </c>
      <c r="E2114" s="9" t="str">
        <f>[1]Discovery!C2120</f>
        <v>지리</v>
      </c>
      <c r="F2114" s="9" t="str">
        <f>[1]Discovery!G2120</f>
        <v>C</v>
      </c>
      <c r="G2114" s="9" t="str">
        <f>IFERROR(VLOOKUP(표1[[#This Row],[명칭]],'문화권 정리'!C:D,2,FALSE),"-")</f>
        <v>북아프리카</v>
      </c>
      <c r="H2114" s="38" t="str">
        <f>IFERROR(COUNTIF([2]OceanDoodad!$Y:$Y,표1[[#This Row],[명칭]]),"-")</f>
        <v>-</v>
      </c>
      <c r="I2114" s="38">
        <f>IFERROR(COUNTIF([1]AdventureDiscoveryGroup!$D$8:$AW$92,표1[[#This Row],[명칭]]),"-")</f>
        <v>0</v>
      </c>
      <c r="J2114" s="38">
        <f>IFERROR(COUNTIF([1]FishDiscoveryGroup!$A:$X,표1[[#This Row],[명칭]]),"-")</f>
        <v>0</v>
      </c>
      <c r="K2114" s="38" t="str">
        <f>IFERROR(COUNTIF([2]Town!$B:$B,표1[[#This Row],[명칭]]),"-")</f>
        <v>-</v>
      </c>
      <c r="L2114" s="38">
        <f>IFERROR(COUNTIF([1]Village!$BR:$BR,표1[[#This Row],[명칭]]),"-")</f>
        <v>0</v>
      </c>
      <c r="M2114" s="38">
        <f>COUNTIF(퀘스트!B:B,표1[[#This Row],[명칭]])</f>
        <v>0</v>
      </c>
      <c r="N2114" s="65">
        <f>COUNTIF([1]VillageDiscoveryGroup!$C:$C,표1[[#This Row],[명칭]])</f>
        <v>0</v>
      </c>
      <c r="O2114" s="65">
        <f>SUM(표1[[#This Row],[해양탐색]:[마을탐험]])</f>
        <v>0</v>
      </c>
    </row>
    <row r="2115" spans="2:15" ht="13.5" customHeight="1" x14ac:dyDescent="0.3">
      <c r="B2115" s="9">
        <f>[1]Discovery!A2121</f>
        <v>70413331</v>
      </c>
      <c r="C2115" s="9" t="str">
        <f>[1]Discovery!B2121</f>
        <v>트리니다드섬</v>
      </c>
      <c r="D2115" s="9" t="str">
        <f>[1]Discovery!E2121</f>
        <v>자연</v>
      </c>
      <c r="E2115" s="9" t="str">
        <f>[1]Discovery!C2121</f>
        <v>지리</v>
      </c>
      <c r="F2115" s="9" t="str">
        <f>[1]Discovery!G2121</f>
        <v>C</v>
      </c>
      <c r="G2115" s="9" t="str">
        <f>IFERROR(VLOOKUP(표1[[#This Row],[명칭]],'문화권 정리'!C:D,2,FALSE),"-")</f>
        <v>남아메리카</v>
      </c>
      <c r="H2115" s="38" t="str">
        <f>IFERROR(COUNTIF([2]OceanDoodad!$Y:$Y,표1[[#This Row],[명칭]]),"-")</f>
        <v>-</v>
      </c>
      <c r="I2115" s="38">
        <f>IFERROR(COUNTIF([1]AdventureDiscoveryGroup!$D$8:$AW$92,표1[[#This Row],[명칭]]),"-")</f>
        <v>0</v>
      </c>
      <c r="J2115" s="38">
        <f>IFERROR(COUNTIF([1]FishDiscoveryGroup!$A:$X,표1[[#This Row],[명칭]]),"-")</f>
        <v>0</v>
      </c>
      <c r="K2115" s="38" t="str">
        <f>IFERROR(COUNTIF([2]Town!$B:$B,표1[[#This Row],[명칭]]),"-")</f>
        <v>-</v>
      </c>
      <c r="L2115" s="38">
        <f>IFERROR(COUNTIF([1]Village!$BR:$BR,표1[[#This Row],[명칭]]),"-")</f>
        <v>0</v>
      </c>
      <c r="M2115" s="38">
        <f>COUNTIF(퀘스트!B:B,표1[[#This Row],[명칭]])</f>
        <v>0</v>
      </c>
      <c r="N2115" s="65">
        <f>COUNTIF([1]VillageDiscoveryGroup!$C:$C,표1[[#This Row],[명칭]])</f>
        <v>0</v>
      </c>
      <c r="O2115" s="65">
        <f>SUM(표1[[#This Row],[해양탐색]:[마을탐험]])</f>
        <v>0</v>
      </c>
    </row>
    <row r="2116" spans="2:15" ht="13.5" customHeight="1" x14ac:dyDescent="0.3">
      <c r="B2116" s="9">
        <f>[1]Discovery!A2122</f>
        <v>70413332</v>
      </c>
      <c r="C2116" s="9" t="str">
        <f>[1]Discovery!B2122</f>
        <v>트리스탄다쿠냐</v>
      </c>
      <c r="D2116" s="9" t="str">
        <f>[1]Discovery!E2122</f>
        <v>자연</v>
      </c>
      <c r="E2116" s="9" t="str">
        <f>[1]Discovery!C2122</f>
        <v>지리</v>
      </c>
      <c r="F2116" s="9" t="str">
        <f>[1]Discovery!G2122</f>
        <v>A</v>
      </c>
      <c r="G2116" s="9" t="str">
        <f>IFERROR(VLOOKUP(표1[[#This Row],[명칭]],'문화권 정리'!C:D,2,FALSE),"-")</f>
        <v>북아메리카</v>
      </c>
      <c r="H2116" s="38" t="str">
        <f>IFERROR(COUNTIF([2]OceanDoodad!$Y:$Y,표1[[#This Row],[명칭]]),"-")</f>
        <v>-</v>
      </c>
      <c r="I2116" s="38">
        <f>IFERROR(COUNTIF([1]AdventureDiscoveryGroup!$D$8:$AW$92,표1[[#This Row],[명칭]]),"-")</f>
        <v>0</v>
      </c>
      <c r="J2116" s="38">
        <f>IFERROR(COUNTIF([1]FishDiscoveryGroup!$A:$X,표1[[#This Row],[명칭]]),"-")</f>
        <v>0</v>
      </c>
      <c r="K2116" s="38" t="str">
        <f>IFERROR(COUNTIF([2]Town!$B:$B,표1[[#This Row],[명칭]]),"-")</f>
        <v>-</v>
      </c>
      <c r="L2116" s="38">
        <f>IFERROR(COUNTIF([1]Village!$BR:$BR,표1[[#This Row],[명칭]]),"-")</f>
        <v>0</v>
      </c>
      <c r="M2116" s="38">
        <f>COUNTIF(퀘스트!B:B,표1[[#This Row],[명칭]])</f>
        <v>0</v>
      </c>
      <c r="N2116" s="65">
        <f>COUNTIF([1]VillageDiscoveryGroup!$C:$C,표1[[#This Row],[명칭]])</f>
        <v>0</v>
      </c>
      <c r="O2116" s="65">
        <f>SUM(표1[[#This Row],[해양탐색]:[마을탐험]])</f>
        <v>0</v>
      </c>
    </row>
    <row r="2117" spans="2:15" ht="13.5" customHeight="1" x14ac:dyDescent="0.3">
      <c r="B2117" s="9">
        <f>[1]Discovery!A2123</f>
        <v>70413333</v>
      </c>
      <c r="C2117" s="9" t="str">
        <f>[1]Discovery!B2123</f>
        <v>티그리스강</v>
      </c>
      <c r="D2117" s="9" t="str">
        <f>[1]Discovery!E2123</f>
        <v>자연</v>
      </c>
      <c r="E2117" s="9" t="str">
        <f>[1]Discovery!C2123</f>
        <v>지리</v>
      </c>
      <c r="F2117" s="9" t="str">
        <f>[1]Discovery!G2123</f>
        <v>B</v>
      </c>
      <c r="G2117" s="9" t="str">
        <f>IFERROR(VLOOKUP(표1[[#This Row],[명칭]],'문화권 정리'!C:D,2,FALSE),"-")</f>
        <v>서남아시아</v>
      </c>
      <c r="H2117" s="38" t="str">
        <f>IFERROR(COUNTIF([2]OceanDoodad!$Y:$Y,표1[[#This Row],[명칭]]),"-")</f>
        <v>-</v>
      </c>
      <c r="I2117" s="38">
        <f>IFERROR(COUNTIF([1]AdventureDiscoveryGroup!$D$8:$AW$92,표1[[#This Row],[명칭]]),"-")</f>
        <v>0</v>
      </c>
      <c r="J2117" s="38">
        <f>IFERROR(COUNTIF([1]FishDiscoveryGroup!$A:$X,표1[[#This Row],[명칭]]),"-")</f>
        <v>0</v>
      </c>
      <c r="K2117" s="38" t="str">
        <f>IFERROR(COUNTIF([2]Town!$B:$B,표1[[#This Row],[명칭]]),"-")</f>
        <v>-</v>
      </c>
      <c r="L2117" s="38">
        <f>IFERROR(COUNTIF([1]Village!$BR:$BR,표1[[#This Row],[명칭]]),"-")</f>
        <v>0</v>
      </c>
      <c r="M2117" s="38">
        <f>COUNTIF(퀘스트!B:B,표1[[#This Row],[명칭]])</f>
        <v>1</v>
      </c>
      <c r="N2117" s="65">
        <f>COUNTIF([1]VillageDiscoveryGroup!$C:$C,표1[[#This Row],[명칭]])</f>
        <v>0</v>
      </c>
      <c r="O2117" s="65">
        <f>SUM(표1[[#This Row],[해양탐색]:[마을탐험]])</f>
        <v>1</v>
      </c>
    </row>
    <row r="2118" spans="2:15" ht="13.5" customHeight="1" x14ac:dyDescent="0.3">
      <c r="B2118" s="9">
        <f>[1]Discovery!A2124</f>
        <v>70413334</v>
      </c>
      <c r="C2118" s="9" t="str">
        <f>[1]Discovery!B2124</f>
        <v>티모르섬</v>
      </c>
      <c r="D2118" s="9" t="str">
        <f>[1]Discovery!E2124</f>
        <v>자연</v>
      </c>
      <c r="E2118" s="9" t="str">
        <f>[1]Discovery!C2124</f>
        <v>지리</v>
      </c>
      <c r="F2118" s="9" t="str">
        <f>[1]Discovery!G2124</f>
        <v>A</v>
      </c>
      <c r="G2118" s="9" t="str">
        <f>IFERROR(VLOOKUP(표1[[#This Row],[명칭]],'문화권 정리'!C:D,2,FALSE),"-")</f>
        <v>동남아시아</v>
      </c>
      <c r="H2118" s="38" t="str">
        <f>IFERROR(COUNTIF([2]OceanDoodad!$Y:$Y,표1[[#This Row],[명칭]]),"-")</f>
        <v>-</v>
      </c>
      <c r="I2118" s="38">
        <f>IFERROR(COUNTIF([1]AdventureDiscoveryGroup!$D$8:$AW$92,표1[[#This Row],[명칭]]),"-")</f>
        <v>0</v>
      </c>
      <c r="J2118" s="38">
        <f>IFERROR(COUNTIF([1]FishDiscoveryGroup!$A:$X,표1[[#This Row],[명칭]]),"-")</f>
        <v>0</v>
      </c>
      <c r="K2118" s="38" t="str">
        <f>IFERROR(COUNTIF([2]Town!$B:$B,표1[[#This Row],[명칭]]),"-")</f>
        <v>-</v>
      </c>
      <c r="L2118" s="38">
        <f>IFERROR(COUNTIF([1]Village!$BR:$BR,표1[[#This Row],[명칭]]),"-")</f>
        <v>0</v>
      </c>
      <c r="M2118" s="38">
        <f>COUNTIF(퀘스트!B:B,표1[[#This Row],[명칭]])</f>
        <v>0</v>
      </c>
      <c r="N2118" s="65">
        <f>COUNTIF([1]VillageDiscoveryGroup!$C:$C,표1[[#This Row],[명칭]])</f>
        <v>0</v>
      </c>
      <c r="O2118" s="65">
        <f>SUM(표1[[#This Row],[해양탐색]:[마을탐험]])</f>
        <v>0</v>
      </c>
    </row>
    <row r="2119" spans="2:15" ht="13.5" customHeight="1" x14ac:dyDescent="0.3">
      <c r="B2119" s="9">
        <f>[1]Discovery!A2125</f>
        <v>70413335</v>
      </c>
      <c r="C2119" s="9" t="str">
        <f>[1]Discovery!B2125</f>
        <v>티에라델푸에고</v>
      </c>
      <c r="D2119" s="9" t="str">
        <f>[1]Discovery!E2125</f>
        <v>자연</v>
      </c>
      <c r="E2119" s="9" t="str">
        <f>[1]Discovery!C2125</f>
        <v>지리</v>
      </c>
      <c r="F2119" s="9" t="str">
        <f>[1]Discovery!G2125</f>
        <v>B</v>
      </c>
      <c r="G2119" s="9" t="str">
        <f>IFERROR(VLOOKUP(표1[[#This Row],[명칭]],'문화권 정리'!C:D,2,FALSE),"-")</f>
        <v>남아메리카</v>
      </c>
      <c r="H2119" s="38" t="str">
        <f>IFERROR(COUNTIF([2]OceanDoodad!$Y:$Y,표1[[#This Row],[명칭]]),"-")</f>
        <v>-</v>
      </c>
      <c r="I2119" s="38">
        <f>IFERROR(COUNTIF([1]AdventureDiscoveryGroup!$D$8:$AW$92,표1[[#This Row],[명칭]]),"-")</f>
        <v>0</v>
      </c>
      <c r="J2119" s="38">
        <f>IFERROR(COUNTIF([1]FishDiscoveryGroup!$A:$X,표1[[#This Row],[명칭]]),"-")</f>
        <v>0</v>
      </c>
      <c r="K2119" s="38" t="str">
        <f>IFERROR(COUNTIF([2]Town!$B:$B,표1[[#This Row],[명칭]]),"-")</f>
        <v>-</v>
      </c>
      <c r="L2119" s="38">
        <f>IFERROR(COUNTIF([1]Village!$BR:$BR,표1[[#This Row],[명칭]]),"-")</f>
        <v>0</v>
      </c>
      <c r="M2119" s="38">
        <f>COUNTIF(퀘스트!B:B,표1[[#This Row],[명칭]])</f>
        <v>0</v>
      </c>
      <c r="N2119" s="65">
        <f>COUNTIF([1]VillageDiscoveryGroup!$C:$C,표1[[#This Row],[명칭]])</f>
        <v>0</v>
      </c>
      <c r="O2119" s="65">
        <f>SUM(표1[[#This Row],[해양탐색]:[마을탐험]])</f>
        <v>0</v>
      </c>
    </row>
    <row r="2120" spans="2:15" ht="13.5" customHeight="1" x14ac:dyDescent="0.3">
      <c r="B2120" s="9">
        <f>[1]Discovery!A2126</f>
        <v>70413336</v>
      </c>
      <c r="C2120" s="9" t="str">
        <f>[1]Discovery!B2126</f>
        <v>티위</v>
      </c>
      <c r="D2120" s="9" t="str">
        <f>[1]Discovery!E2126</f>
        <v>자연</v>
      </c>
      <c r="E2120" s="9" t="str">
        <f>[1]Discovery!C2126</f>
        <v>지리</v>
      </c>
      <c r="F2120" s="9" t="str">
        <f>[1]Discovery!G2126</f>
        <v>C</v>
      </c>
      <c r="G2120" s="9" t="str">
        <f>IFERROR(VLOOKUP(표1[[#This Row],[명칭]],'문화권 정리'!C:D,2,FALSE),"-")</f>
        <v>오세아니아</v>
      </c>
      <c r="H2120" s="38" t="str">
        <f>IFERROR(COUNTIF([2]OceanDoodad!$Y:$Y,표1[[#This Row],[명칭]]),"-")</f>
        <v>-</v>
      </c>
      <c r="I2120" s="38">
        <f>IFERROR(COUNTIF([1]AdventureDiscoveryGroup!$D$8:$AW$92,표1[[#This Row],[명칭]]),"-")</f>
        <v>0</v>
      </c>
      <c r="J2120" s="38">
        <f>IFERROR(COUNTIF([1]FishDiscoveryGroup!$A:$X,표1[[#This Row],[명칭]]),"-")</f>
        <v>0</v>
      </c>
      <c r="K2120" s="38" t="str">
        <f>IFERROR(COUNTIF([2]Town!$B:$B,표1[[#This Row],[명칭]]),"-")</f>
        <v>-</v>
      </c>
      <c r="L2120" s="38">
        <f>IFERROR(COUNTIF([1]Village!$BR:$BR,표1[[#This Row],[명칭]]),"-")</f>
        <v>0</v>
      </c>
      <c r="M2120" s="38">
        <f>COUNTIF(퀘스트!B:B,표1[[#This Row],[명칭]])</f>
        <v>0</v>
      </c>
      <c r="N2120" s="65">
        <f>COUNTIF([1]VillageDiscoveryGroup!$C:$C,표1[[#This Row],[명칭]])</f>
        <v>0</v>
      </c>
      <c r="O2120" s="65">
        <f>SUM(표1[[#This Row],[해양탐색]:[마을탐험]])</f>
        <v>0</v>
      </c>
    </row>
    <row r="2121" spans="2:15" ht="13.5" customHeight="1" x14ac:dyDescent="0.3">
      <c r="B2121" s="9">
        <f>[1]Discovery!A2127</f>
        <v>70413337</v>
      </c>
      <c r="C2121" s="9" t="str">
        <f>[1]Discovery!B2127</f>
        <v>티티카카호</v>
      </c>
      <c r="D2121" s="9" t="str">
        <f>[1]Discovery!E2127</f>
        <v>자연</v>
      </c>
      <c r="E2121" s="9" t="str">
        <f>[1]Discovery!C2127</f>
        <v>지리</v>
      </c>
      <c r="F2121" s="9" t="str">
        <f>[1]Discovery!G2127</f>
        <v>B</v>
      </c>
      <c r="G2121" s="9" t="str">
        <f>IFERROR(VLOOKUP(표1[[#This Row],[명칭]],'문화권 정리'!C:D,2,FALSE),"-")</f>
        <v>남아메리카</v>
      </c>
      <c r="H2121" s="38" t="str">
        <f>IFERROR(COUNTIF([2]OceanDoodad!$Y:$Y,표1[[#This Row],[명칭]]),"-")</f>
        <v>-</v>
      </c>
      <c r="I2121" s="38">
        <f>IFERROR(COUNTIF([1]AdventureDiscoveryGroup!$D$8:$AW$92,표1[[#This Row],[명칭]]),"-")</f>
        <v>0</v>
      </c>
      <c r="J2121" s="38">
        <f>IFERROR(COUNTIF([1]FishDiscoveryGroup!$A:$X,표1[[#This Row],[명칭]]),"-")</f>
        <v>0</v>
      </c>
      <c r="K2121" s="38" t="str">
        <f>IFERROR(COUNTIF([2]Town!$B:$B,표1[[#This Row],[명칭]]),"-")</f>
        <v>-</v>
      </c>
      <c r="L2121" s="38">
        <f>IFERROR(COUNTIF([1]Village!$BR:$BR,표1[[#This Row],[명칭]]),"-")</f>
        <v>0</v>
      </c>
      <c r="M2121" s="38">
        <f>COUNTIF(퀘스트!B:B,표1[[#This Row],[명칭]])</f>
        <v>0</v>
      </c>
      <c r="N2121" s="65">
        <f>COUNTIF([1]VillageDiscoveryGroup!$C:$C,표1[[#This Row],[명칭]])</f>
        <v>0</v>
      </c>
      <c r="O2121" s="65">
        <f>SUM(표1[[#This Row],[해양탐색]:[마을탐험]])</f>
        <v>0</v>
      </c>
    </row>
    <row r="2122" spans="2:15" ht="13.5" customHeight="1" x14ac:dyDescent="0.3">
      <c r="B2122" s="9">
        <f>[1]Discovery!A2128</f>
        <v>70413338</v>
      </c>
      <c r="C2122" s="9" t="str">
        <f>[1]Discovery!B2128</f>
        <v>파나마만</v>
      </c>
      <c r="D2122" s="9" t="str">
        <f>[1]Discovery!E2128</f>
        <v>자연</v>
      </c>
      <c r="E2122" s="9" t="str">
        <f>[1]Discovery!C2128</f>
        <v>지리</v>
      </c>
      <c r="F2122" s="9" t="str">
        <f>[1]Discovery!G2128</f>
        <v>D</v>
      </c>
      <c r="G2122" s="9" t="str">
        <f>IFERROR(VLOOKUP(표1[[#This Row],[명칭]],'문화권 정리'!C:D,2,FALSE),"-")</f>
        <v>중앙아메리카</v>
      </c>
      <c r="H2122" s="38" t="str">
        <f>IFERROR(COUNTIF([2]OceanDoodad!$Y:$Y,표1[[#This Row],[명칭]]),"-")</f>
        <v>-</v>
      </c>
      <c r="I2122" s="38">
        <f>IFERROR(COUNTIF([1]AdventureDiscoveryGroup!$D$8:$AW$92,표1[[#This Row],[명칭]]),"-")</f>
        <v>0</v>
      </c>
      <c r="J2122" s="38">
        <f>IFERROR(COUNTIF([1]FishDiscoveryGroup!$A:$X,표1[[#This Row],[명칭]]),"-")</f>
        <v>0</v>
      </c>
      <c r="K2122" s="38" t="str">
        <f>IFERROR(COUNTIF([2]Town!$B:$B,표1[[#This Row],[명칭]]),"-")</f>
        <v>-</v>
      </c>
      <c r="L2122" s="38">
        <f>IFERROR(COUNTIF([1]Village!$BR:$BR,표1[[#This Row],[명칭]]),"-")</f>
        <v>0</v>
      </c>
      <c r="M2122" s="38">
        <f>COUNTIF(퀘스트!B:B,표1[[#This Row],[명칭]])</f>
        <v>0</v>
      </c>
      <c r="N2122" s="65">
        <f>COUNTIF([1]VillageDiscoveryGroup!$C:$C,표1[[#This Row],[명칭]])</f>
        <v>0</v>
      </c>
      <c r="O2122" s="65">
        <f>SUM(표1[[#This Row],[해양탐색]:[마을탐험]])</f>
        <v>0</v>
      </c>
    </row>
    <row r="2123" spans="2:15" ht="13.5" customHeight="1" x14ac:dyDescent="0.3">
      <c r="B2123" s="9">
        <f>[1]Discovery!A2129</f>
        <v>70413339</v>
      </c>
      <c r="C2123" s="9" t="str">
        <f>[1]Discovery!B2129</f>
        <v>파나마 지협</v>
      </c>
      <c r="D2123" s="9" t="str">
        <f>[1]Discovery!E2129</f>
        <v>자연</v>
      </c>
      <c r="E2123" s="9" t="str">
        <f>[1]Discovery!C2129</f>
        <v>지리</v>
      </c>
      <c r="F2123" s="9" t="str">
        <f>[1]Discovery!G2129</f>
        <v>B</v>
      </c>
      <c r="G2123" s="9" t="str">
        <f>IFERROR(VLOOKUP(표1[[#This Row],[명칭]],'문화권 정리'!C:D,2,FALSE),"-")</f>
        <v>중앙아메리카</v>
      </c>
      <c r="H2123" s="38" t="str">
        <f>IFERROR(COUNTIF([2]OceanDoodad!$Y:$Y,표1[[#This Row],[명칭]]),"-")</f>
        <v>-</v>
      </c>
      <c r="I2123" s="38">
        <f>IFERROR(COUNTIF([1]AdventureDiscoveryGroup!$D$8:$AW$92,표1[[#This Row],[명칭]]),"-")</f>
        <v>0</v>
      </c>
      <c r="J2123" s="38">
        <f>IFERROR(COUNTIF([1]FishDiscoveryGroup!$A:$X,표1[[#This Row],[명칭]]),"-")</f>
        <v>0</v>
      </c>
      <c r="K2123" s="38" t="str">
        <f>IFERROR(COUNTIF([2]Town!$B:$B,표1[[#This Row],[명칭]]),"-")</f>
        <v>-</v>
      </c>
      <c r="L2123" s="38">
        <f>IFERROR(COUNTIF([1]Village!$BR:$BR,표1[[#This Row],[명칭]]),"-")</f>
        <v>0</v>
      </c>
      <c r="M2123" s="38">
        <f>COUNTIF(퀘스트!B:B,표1[[#This Row],[명칭]])</f>
        <v>0</v>
      </c>
      <c r="N2123" s="65">
        <f>COUNTIF([1]VillageDiscoveryGroup!$C:$C,표1[[#This Row],[명칭]])</f>
        <v>0</v>
      </c>
      <c r="O2123" s="65">
        <f>SUM(표1[[#This Row],[해양탐색]:[마을탐험]])</f>
        <v>0</v>
      </c>
    </row>
    <row r="2124" spans="2:15" ht="13.5" customHeight="1" x14ac:dyDescent="0.3">
      <c r="B2124" s="9">
        <f>[1]Discovery!A2130</f>
        <v>70413340</v>
      </c>
      <c r="C2124" s="9" t="str">
        <f>[1]Discovery!B2130</f>
        <v>파리냐스곶</v>
      </c>
      <c r="D2124" s="9" t="str">
        <f>[1]Discovery!E2130</f>
        <v>자연</v>
      </c>
      <c r="E2124" s="9" t="str">
        <f>[1]Discovery!C2130</f>
        <v>지리</v>
      </c>
      <c r="F2124" s="9" t="str">
        <f>[1]Discovery!G2130</f>
        <v>A</v>
      </c>
      <c r="G2124" s="9" t="str">
        <f>IFERROR(VLOOKUP(표1[[#This Row],[명칭]],'문화권 정리'!C:D,2,FALSE),"-")</f>
        <v>남아메리카</v>
      </c>
      <c r="H2124" s="38" t="str">
        <f>IFERROR(COUNTIF([2]OceanDoodad!$Y:$Y,표1[[#This Row],[명칭]]),"-")</f>
        <v>-</v>
      </c>
      <c r="I2124" s="38">
        <f>IFERROR(COUNTIF([1]AdventureDiscoveryGroup!$D$8:$AW$92,표1[[#This Row],[명칭]]),"-")</f>
        <v>0</v>
      </c>
      <c r="J2124" s="38">
        <f>IFERROR(COUNTIF([1]FishDiscoveryGroup!$A:$X,표1[[#This Row],[명칭]]),"-")</f>
        <v>0</v>
      </c>
      <c r="K2124" s="38" t="str">
        <f>IFERROR(COUNTIF([2]Town!$B:$B,표1[[#This Row],[명칭]]),"-")</f>
        <v>-</v>
      </c>
      <c r="L2124" s="38">
        <f>IFERROR(COUNTIF([1]Village!$BR:$BR,표1[[#This Row],[명칭]]),"-")</f>
        <v>0</v>
      </c>
      <c r="M2124" s="38">
        <f>COUNTIF(퀘스트!B:B,표1[[#This Row],[명칭]])</f>
        <v>0</v>
      </c>
      <c r="N2124" s="65">
        <f>COUNTIF([1]VillageDiscoveryGroup!$C:$C,표1[[#This Row],[명칭]])</f>
        <v>0</v>
      </c>
      <c r="O2124" s="65">
        <f>SUM(표1[[#This Row],[해양탐색]:[마을탐험]])</f>
        <v>0</v>
      </c>
    </row>
    <row r="2125" spans="2:15" ht="13.5" customHeight="1" x14ac:dyDescent="0.3">
      <c r="B2125" s="9">
        <f>[1]Discovery!A2131</f>
        <v>70413341</v>
      </c>
      <c r="C2125" s="9" t="str">
        <f>[1]Discovery!B2131</f>
        <v>파타고니아</v>
      </c>
      <c r="D2125" s="9" t="str">
        <f>[1]Discovery!E2131</f>
        <v>자연</v>
      </c>
      <c r="E2125" s="9" t="str">
        <f>[1]Discovery!C2131</f>
        <v>지리</v>
      </c>
      <c r="F2125" s="9" t="str">
        <f>[1]Discovery!G2131</f>
        <v>B</v>
      </c>
      <c r="G2125" s="9" t="str">
        <f>IFERROR(VLOOKUP(표1[[#This Row],[명칭]],'문화권 정리'!C:D,2,FALSE),"-")</f>
        <v>남아메리카</v>
      </c>
      <c r="H2125" s="38" t="str">
        <f>IFERROR(COUNTIF([2]OceanDoodad!$Y:$Y,표1[[#This Row],[명칭]]),"-")</f>
        <v>-</v>
      </c>
      <c r="I2125" s="38">
        <f>IFERROR(COUNTIF([1]AdventureDiscoveryGroup!$D$8:$AW$92,표1[[#This Row],[명칭]]),"-")</f>
        <v>0</v>
      </c>
      <c r="J2125" s="38">
        <f>IFERROR(COUNTIF([1]FishDiscoveryGroup!$A:$X,표1[[#This Row],[명칭]]),"-")</f>
        <v>0</v>
      </c>
      <c r="K2125" s="38" t="str">
        <f>IFERROR(COUNTIF([2]Town!$B:$B,표1[[#This Row],[명칭]]),"-")</f>
        <v>-</v>
      </c>
      <c r="L2125" s="38">
        <f>IFERROR(COUNTIF([1]Village!$BR:$BR,표1[[#This Row],[명칭]]),"-")</f>
        <v>0</v>
      </c>
      <c r="M2125" s="38">
        <f>COUNTIF(퀘스트!B:B,표1[[#This Row],[명칭]])</f>
        <v>0</v>
      </c>
      <c r="N2125" s="65">
        <f>COUNTIF([1]VillageDiscoveryGroup!$C:$C,표1[[#This Row],[명칭]])</f>
        <v>0</v>
      </c>
      <c r="O2125" s="65">
        <f>SUM(표1[[#This Row],[해양탐색]:[마을탐험]])</f>
        <v>0</v>
      </c>
    </row>
    <row r="2126" spans="2:15" ht="13.5" customHeight="1" x14ac:dyDescent="0.3">
      <c r="B2126" s="9">
        <f>[1]Discovery!A2132</f>
        <v>70413342</v>
      </c>
      <c r="C2126" s="9" t="str">
        <f>[1]Discovery!B2132</f>
        <v>판산</v>
      </c>
      <c r="D2126" s="9" t="str">
        <f>[1]Discovery!E2132</f>
        <v>자연</v>
      </c>
      <c r="E2126" s="9" t="str">
        <f>[1]Discovery!C2132</f>
        <v>지리</v>
      </c>
      <c r="F2126" s="9" t="str">
        <f>[1]Discovery!G2132</f>
        <v>C</v>
      </c>
      <c r="G2126" s="9" t="str">
        <f>IFERROR(VLOOKUP(표1[[#This Row],[명칭]],'문화권 정리'!C:D,2,FALSE),"-")</f>
        <v>동아시아</v>
      </c>
      <c r="H2126" s="38" t="str">
        <f>IFERROR(COUNTIF([2]OceanDoodad!$Y:$Y,표1[[#This Row],[명칭]]),"-")</f>
        <v>-</v>
      </c>
      <c r="I2126" s="38">
        <f>IFERROR(COUNTIF([1]AdventureDiscoveryGroup!$D$8:$AW$92,표1[[#This Row],[명칭]]),"-")</f>
        <v>0</v>
      </c>
      <c r="J2126" s="38">
        <f>IFERROR(COUNTIF([1]FishDiscoveryGroup!$A:$X,표1[[#This Row],[명칭]]),"-")</f>
        <v>0</v>
      </c>
      <c r="K2126" s="38" t="str">
        <f>IFERROR(COUNTIF([2]Town!$B:$B,표1[[#This Row],[명칭]]),"-")</f>
        <v>-</v>
      </c>
      <c r="L2126" s="38">
        <f>IFERROR(COUNTIF([1]Village!$BR:$BR,표1[[#This Row],[명칭]]),"-")</f>
        <v>0</v>
      </c>
      <c r="M2126" s="38">
        <f>COUNTIF(퀘스트!B:B,표1[[#This Row],[명칭]])</f>
        <v>0</v>
      </c>
      <c r="N2126" s="65">
        <f>COUNTIF([1]VillageDiscoveryGroup!$C:$C,표1[[#This Row],[명칭]])</f>
        <v>0</v>
      </c>
      <c r="O2126" s="65">
        <f>SUM(표1[[#This Row],[해양탐색]:[마을탐험]])</f>
        <v>0</v>
      </c>
    </row>
    <row r="2127" spans="2:15" ht="13.5" customHeight="1" x14ac:dyDescent="0.3">
      <c r="B2127" s="9">
        <f>[1]Discovery!A2133</f>
        <v>70413343</v>
      </c>
      <c r="C2127" s="9" t="str">
        <f>[1]Discovery!B2133</f>
        <v>판타날</v>
      </c>
      <c r="D2127" s="9" t="str">
        <f>[1]Discovery!E2133</f>
        <v>자연</v>
      </c>
      <c r="E2127" s="9" t="str">
        <f>[1]Discovery!C2133</f>
        <v>지리</v>
      </c>
      <c r="F2127" s="9" t="str">
        <f>[1]Discovery!G2133</f>
        <v>B</v>
      </c>
      <c r="G2127" s="9" t="str">
        <f>IFERROR(VLOOKUP(표1[[#This Row],[명칭]],'문화권 정리'!C:D,2,FALSE),"-")</f>
        <v>남아메리카</v>
      </c>
      <c r="H2127" s="38" t="str">
        <f>IFERROR(COUNTIF([2]OceanDoodad!$Y:$Y,표1[[#This Row],[명칭]]),"-")</f>
        <v>-</v>
      </c>
      <c r="I2127" s="38">
        <f>IFERROR(COUNTIF([1]AdventureDiscoveryGroup!$D$8:$AW$92,표1[[#This Row],[명칭]]),"-")</f>
        <v>0</v>
      </c>
      <c r="J2127" s="38">
        <f>IFERROR(COUNTIF([1]FishDiscoveryGroup!$A:$X,표1[[#This Row],[명칭]]),"-")</f>
        <v>0</v>
      </c>
      <c r="K2127" s="38" t="str">
        <f>IFERROR(COUNTIF([2]Town!$B:$B,표1[[#This Row],[명칭]]),"-")</f>
        <v>-</v>
      </c>
      <c r="L2127" s="38">
        <f>IFERROR(COUNTIF([1]Village!$BR:$BR,표1[[#This Row],[명칭]]),"-")</f>
        <v>0</v>
      </c>
      <c r="M2127" s="38">
        <f>COUNTIF(퀘스트!B:B,표1[[#This Row],[명칭]])</f>
        <v>0</v>
      </c>
      <c r="N2127" s="65">
        <f>COUNTIF([1]VillageDiscoveryGroup!$C:$C,표1[[#This Row],[명칭]])</f>
        <v>0</v>
      </c>
      <c r="O2127" s="65">
        <f>SUM(표1[[#This Row],[해양탐색]:[마을탐험]])</f>
        <v>0</v>
      </c>
    </row>
    <row r="2128" spans="2:15" ht="13.5" customHeight="1" x14ac:dyDescent="0.3">
      <c r="B2128" s="9">
        <f>[1]Discovery!A2134</f>
        <v>70413344</v>
      </c>
      <c r="C2128" s="9" t="str">
        <f>[1]Discovery!B2134</f>
        <v>팔라티노 언덕</v>
      </c>
      <c r="D2128" s="9" t="str">
        <f>[1]Discovery!E2134</f>
        <v>자연</v>
      </c>
      <c r="E2128" s="9" t="str">
        <f>[1]Discovery!C2134</f>
        <v>지리</v>
      </c>
      <c r="F2128" s="9" t="str">
        <f>[1]Discovery!G2134</f>
        <v>A</v>
      </c>
      <c r="G2128" s="9" t="str">
        <f>IFERROR(VLOOKUP(표1[[#This Row],[명칭]],'문화권 정리'!C:D,2,FALSE),"-")</f>
        <v>지중해</v>
      </c>
      <c r="H2128" s="38" t="str">
        <f>IFERROR(COUNTIF([2]OceanDoodad!$Y:$Y,표1[[#This Row],[명칭]]),"-")</f>
        <v>-</v>
      </c>
      <c r="I2128" s="38">
        <f>IFERROR(COUNTIF([1]AdventureDiscoveryGroup!$D$8:$AW$92,표1[[#This Row],[명칭]]),"-")</f>
        <v>0</v>
      </c>
      <c r="J2128" s="38">
        <f>IFERROR(COUNTIF([1]FishDiscoveryGroup!$A:$X,표1[[#This Row],[명칭]]),"-")</f>
        <v>0</v>
      </c>
      <c r="K2128" s="38" t="str">
        <f>IFERROR(COUNTIF([2]Town!$B:$B,표1[[#This Row],[명칭]]),"-")</f>
        <v>-</v>
      </c>
      <c r="L2128" s="38">
        <f>IFERROR(COUNTIF([1]Village!$BR:$BR,표1[[#This Row],[명칭]]),"-")</f>
        <v>0</v>
      </c>
      <c r="M2128" s="38">
        <f>COUNTIF(퀘스트!B:B,표1[[#This Row],[명칭]])</f>
        <v>0</v>
      </c>
      <c r="N2128" s="65">
        <f>COUNTIF([1]VillageDiscoveryGroup!$C:$C,표1[[#This Row],[명칭]])</f>
        <v>0</v>
      </c>
      <c r="O2128" s="65">
        <f>SUM(표1[[#This Row],[해양탐색]:[마을탐험]])</f>
        <v>0</v>
      </c>
    </row>
    <row r="2129" spans="2:15" ht="13.5" customHeight="1" x14ac:dyDescent="0.3">
      <c r="B2129" s="9">
        <f>[1]Discovery!A2135</f>
        <v>70413345</v>
      </c>
      <c r="C2129" s="9" t="str">
        <f>[1]Discovery!B2135</f>
        <v>팔선동</v>
      </c>
      <c r="D2129" s="9" t="str">
        <f>[1]Discovery!E2135</f>
        <v>자연</v>
      </c>
      <c r="E2129" s="9" t="str">
        <f>[1]Discovery!C2135</f>
        <v>지리</v>
      </c>
      <c r="F2129" s="9" t="str">
        <f>[1]Discovery!G2135</f>
        <v>C</v>
      </c>
      <c r="G2129" s="9" t="str">
        <f>IFERROR(VLOOKUP(표1[[#This Row],[명칭]],'문화권 정리'!C:D,2,FALSE),"-")</f>
        <v>동아시아</v>
      </c>
      <c r="H2129" s="38" t="str">
        <f>IFERROR(COUNTIF([2]OceanDoodad!$Y:$Y,표1[[#This Row],[명칭]]),"-")</f>
        <v>-</v>
      </c>
      <c r="I2129" s="38">
        <f>IFERROR(COUNTIF([1]AdventureDiscoveryGroup!$D$8:$AW$92,표1[[#This Row],[명칭]]),"-")</f>
        <v>0</v>
      </c>
      <c r="J2129" s="38">
        <f>IFERROR(COUNTIF([1]FishDiscoveryGroup!$A:$X,표1[[#This Row],[명칭]]),"-")</f>
        <v>0</v>
      </c>
      <c r="K2129" s="38" t="str">
        <f>IFERROR(COUNTIF([2]Town!$B:$B,표1[[#This Row],[명칭]]),"-")</f>
        <v>-</v>
      </c>
      <c r="L2129" s="38">
        <f>IFERROR(COUNTIF([1]Village!$BR:$BR,표1[[#This Row],[명칭]]),"-")</f>
        <v>0</v>
      </c>
      <c r="M2129" s="38">
        <f>COUNTIF(퀘스트!B:B,표1[[#This Row],[명칭]])</f>
        <v>0</v>
      </c>
      <c r="N2129" s="65">
        <f>COUNTIF([1]VillageDiscoveryGroup!$C:$C,표1[[#This Row],[명칭]])</f>
        <v>0</v>
      </c>
      <c r="O2129" s="65">
        <f>SUM(표1[[#This Row],[해양탐색]:[마을탐험]])</f>
        <v>0</v>
      </c>
    </row>
    <row r="2130" spans="2:15" ht="13.5" customHeight="1" x14ac:dyDescent="0.3">
      <c r="B2130" s="9">
        <f>[1]Discovery!A2136</f>
        <v>70413346</v>
      </c>
      <c r="C2130" s="9" t="str">
        <f>[1]Discovery!B2136</f>
        <v>팜리코 사운드</v>
      </c>
      <c r="D2130" s="9" t="str">
        <f>[1]Discovery!E2136</f>
        <v>자연</v>
      </c>
      <c r="E2130" s="9" t="str">
        <f>[1]Discovery!C2136</f>
        <v>지리</v>
      </c>
      <c r="F2130" s="9" t="str">
        <f>[1]Discovery!G2136</f>
        <v>B</v>
      </c>
      <c r="G2130" s="9" t="str">
        <f>IFERROR(VLOOKUP(표1[[#This Row],[명칭]],'문화권 정리'!C:D,2,FALSE),"-")</f>
        <v>북아메리카</v>
      </c>
      <c r="H2130" s="38" t="str">
        <f>IFERROR(COUNTIF([2]OceanDoodad!$Y:$Y,표1[[#This Row],[명칭]]),"-")</f>
        <v>-</v>
      </c>
      <c r="I2130" s="38">
        <f>IFERROR(COUNTIF([1]AdventureDiscoveryGroup!$D$8:$AW$92,표1[[#This Row],[명칭]]),"-")</f>
        <v>0</v>
      </c>
      <c r="J2130" s="38">
        <f>IFERROR(COUNTIF([1]FishDiscoveryGroup!$A:$X,표1[[#This Row],[명칭]]),"-")</f>
        <v>0</v>
      </c>
      <c r="K2130" s="38" t="str">
        <f>IFERROR(COUNTIF([2]Town!$B:$B,표1[[#This Row],[명칭]]),"-")</f>
        <v>-</v>
      </c>
      <c r="L2130" s="38">
        <f>IFERROR(COUNTIF([1]Village!$BR:$BR,표1[[#This Row],[명칭]]),"-")</f>
        <v>0</v>
      </c>
      <c r="M2130" s="38">
        <f>COUNTIF(퀘스트!B:B,표1[[#This Row],[명칭]])</f>
        <v>0</v>
      </c>
      <c r="N2130" s="65">
        <f>COUNTIF([1]VillageDiscoveryGroup!$C:$C,표1[[#This Row],[명칭]])</f>
        <v>0</v>
      </c>
      <c r="O2130" s="65">
        <f>SUM(표1[[#This Row],[해양탐색]:[마을탐험]])</f>
        <v>0</v>
      </c>
    </row>
    <row r="2131" spans="2:15" ht="13.5" customHeight="1" x14ac:dyDescent="0.3">
      <c r="B2131" s="9">
        <f>[1]Discovery!A2137</f>
        <v>70413347</v>
      </c>
      <c r="C2131" s="9" t="str">
        <f>[1]Discovery!B2137</f>
        <v>펀디만</v>
      </c>
      <c r="D2131" s="9" t="str">
        <f>[1]Discovery!E2137</f>
        <v>자연</v>
      </c>
      <c r="E2131" s="9" t="str">
        <f>[1]Discovery!C2137</f>
        <v>지리</v>
      </c>
      <c r="F2131" s="9" t="str">
        <f>[1]Discovery!G2137</f>
        <v>C</v>
      </c>
      <c r="G2131" s="9" t="str">
        <f>IFERROR(VLOOKUP(표1[[#This Row],[명칭]],'문화권 정리'!C:D,2,FALSE),"-")</f>
        <v>북아메리카</v>
      </c>
      <c r="H2131" s="38" t="str">
        <f>IFERROR(COUNTIF([2]OceanDoodad!$Y:$Y,표1[[#This Row],[명칭]]),"-")</f>
        <v>-</v>
      </c>
      <c r="I2131" s="38">
        <f>IFERROR(COUNTIF([1]AdventureDiscoveryGroup!$D$8:$AW$92,표1[[#This Row],[명칭]]),"-")</f>
        <v>0</v>
      </c>
      <c r="J2131" s="38">
        <f>IFERROR(COUNTIF([1]FishDiscoveryGroup!$A:$X,표1[[#This Row],[명칭]]),"-")</f>
        <v>0</v>
      </c>
      <c r="K2131" s="38" t="str">
        <f>IFERROR(COUNTIF([2]Town!$B:$B,표1[[#This Row],[명칭]]),"-")</f>
        <v>-</v>
      </c>
      <c r="L2131" s="38">
        <f>IFERROR(COUNTIF([1]Village!$BR:$BR,표1[[#This Row],[명칭]]),"-")</f>
        <v>0</v>
      </c>
      <c r="M2131" s="38">
        <f>COUNTIF(퀘스트!B:B,표1[[#This Row],[명칭]])</f>
        <v>0</v>
      </c>
      <c r="N2131" s="65">
        <f>COUNTIF([1]VillageDiscoveryGroup!$C:$C,표1[[#This Row],[명칭]])</f>
        <v>0</v>
      </c>
      <c r="O2131" s="65">
        <f>SUM(표1[[#This Row],[해양탐색]:[마을탐험]])</f>
        <v>0</v>
      </c>
    </row>
    <row r="2132" spans="2:15" ht="13.5" customHeight="1" x14ac:dyDescent="0.3">
      <c r="B2132" s="9">
        <f>[1]Discovery!A2138</f>
        <v>70413348</v>
      </c>
      <c r="C2132" s="9" t="str">
        <f>[1]Discovery!B2138</f>
        <v>펑후섬</v>
      </c>
      <c r="D2132" s="9" t="str">
        <f>[1]Discovery!E2138</f>
        <v>자연</v>
      </c>
      <c r="E2132" s="9" t="str">
        <f>[1]Discovery!C2138</f>
        <v>지리</v>
      </c>
      <c r="F2132" s="9" t="str">
        <f>[1]Discovery!G2138</f>
        <v>C</v>
      </c>
      <c r="G2132" s="9" t="str">
        <f>IFERROR(VLOOKUP(표1[[#This Row],[명칭]],'문화권 정리'!C:D,2,FALSE),"-")</f>
        <v>동아시아</v>
      </c>
      <c r="H2132" s="38" t="str">
        <f>IFERROR(COUNTIF([2]OceanDoodad!$Y:$Y,표1[[#This Row],[명칭]]),"-")</f>
        <v>-</v>
      </c>
      <c r="I2132" s="38">
        <f>IFERROR(COUNTIF([1]AdventureDiscoveryGroup!$D$8:$AW$92,표1[[#This Row],[명칭]]),"-")</f>
        <v>0</v>
      </c>
      <c r="J2132" s="38">
        <f>IFERROR(COUNTIF([1]FishDiscoveryGroup!$A:$X,표1[[#This Row],[명칭]]),"-")</f>
        <v>0</v>
      </c>
      <c r="K2132" s="38" t="str">
        <f>IFERROR(COUNTIF([2]Town!$B:$B,표1[[#This Row],[명칭]]),"-")</f>
        <v>-</v>
      </c>
      <c r="L2132" s="38">
        <f>IFERROR(COUNTIF([1]Village!$BR:$BR,표1[[#This Row],[명칭]]),"-")</f>
        <v>0</v>
      </c>
      <c r="M2132" s="38">
        <f>COUNTIF(퀘스트!B:B,표1[[#This Row],[명칭]])</f>
        <v>0</v>
      </c>
      <c r="N2132" s="65">
        <f>COUNTIF([1]VillageDiscoveryGroup!$C:$C,표1[[#This Row],[명칭]])</f>
        <v>0</v>
      </c>
      <c r="O2132" s="65">
        <f>SUM(표1[[#This Row],[해양탐색]:[마을탐험]])</f>
        <v>0</v>
      </c>
    </row>
    <row r="2133" spans="2:15" ht="13.5" customHeight="1" x14ac:dyDescent="0.3">
      <c r="B2133" s="9" t="str">
        <f>[1]Discovery!A2139</f>
        <v>#70413349</v>
      </c>
      <c r="C2133" s="9" t="str">
        <f>[1]Discovery!B2139</f>
        <v>페르시아만</v>
      </c>
      <c r="D2133" s="9" t="str">
        <f>[1]Discovery!E2139</f>
        <v>자연</v>
      </c>
      <c r="E2133" s="9" t="str">
        <f>[1]Discovery!C2139</f>
        <v>지리</v>
      </c>
      <c r="F2133" s="9" t="str">
        <f>[1]Discovery!G2139</f>
        <v>C</v>
      </c>
      <c r="G2133" s="9" t="str">
        <f>IFERROR(VLOOKUP(표1[[#This Row],[명칭]],'문화권 정리'!C:D,2,FALSE),"-")</f>
        <v>서남아시아</v>
      </c>
      <c r="H2133" s="38" t="str">
        <f>IFERROR(COUNTIF([2]OceanDoodad!$Y:$Y,표1[[#This Row],[명칭]]),"-")</f>
        <v>-</v>
      </c>
      <c r="I2133" s="38">
        <f>IFERROR(COUNTIF([1]AdventureDiscoveryGroup!$D$8:$AW$92,표1[[#This Row],[명칭]]),"-")</f>
        <v>0</v>
      </c>
      <c r="J2133" s="38">
        <f>IFERROR(COUNTIF([1]FishDiscoveryGroup!$A:$X,표1[[#This Row],[명칭]]),"-")</f>
        <v>0</v>
      </c>
      <c r="K2133" s="38" t="str">
        <f>IFERROR(COUNTIF([2]Town!$B:$B,표1[[#This Row],[명칭]]),"-")</f>
        <v>-</v>
      </c>
      <c r="L2133" s="38">
        <f>IFERROR(COUNTIF([1]Village!$BR:$BR,표1[[#This Row],[명칭]]),"-")</f>
        <v>0</v>
      </c>
      <c r="M2133" s="38">
        <f>COUNTIF(퀘스트!B:B,표1[[#This Row],[명칭]])</f>
        <v>0</v>
      </c>
      <c r="N2133" s="65">
        <f>COUNTIF([1]VillageDiscoveryGroup!$C:$C,표1[[#This Row],[명칭]])</f>
        <v>0</v>
      </c>
      <c r="O2133" s="65">
        <f>SUM(표1[[#This Row],[해양탐색]:[마을탐험]])</f>
        <v>0</v>
      </c>
    </row>
    <row r="2134" spans="2:15" ht="13.5" customHeight="1" x14ac:dyDescent="0.3">
      <c r="B2134" s="9">
        <f>[1]Discovery!A2140</f>
        <v>70413350</v>
      </c>
      <c r="C2134" s="9" t="str">
        <f>[1]Discovery!B2140</f>
        <v>페어웰곶</v>
      </c>
      <c r="D2134" s="9" t="str">
        <f>[1]Discovery!E2140</f>
        <v>자연</v>
      </c>
      <c r="E2134" s="9" t="str">
        <f>[1]Discovery!C2140</f>
        <v>지리</v>
      </c>
      <c r="F2134" s="9" t="str">
        <f>[1]Discovery!G2140</f>
        <v>A</v>
      </c>
      <c r="G2134" s="9" t="str">
        <f>IFERROR(VLOOKUP(표1[[#This Row],[명칭]],'문화권 정리'!C:D,2,FALSE),"-")</f>
        <v>극지방</v>
      </c>
      <c r="H2134" s="38" t="str">
        <f>IFERROR(COUNTIF([2]OceanDoodad!$Y:$Y,표1[[#This Row],[명칭]]),"-")</f>
        <v>-</v>
      </c>
      <c r="I2134" s="38">
        <f>IFERROR(COUNTIF([1]AdventureDiscoveryGroup!$D$8:$AW$92,표1[[#This Row],[명칭]]),"-")</f>
        <v>0</v>
      </c>
      <c r="J2134" s="38">
        <f>IFERROR(COUNTIF([1]FishDiscoveryGroup!$A:$X,표1[[#This Row],[명칭]]),"-")</f>
        <v>0</v>
      </c>
      <c r="K2134" s="38" t="str">
        <f>IFERROR(COUNTIF([2]Town!$B:$B,표1[[#This Row],[명칭]]),"-")</f>
        <v>-</v>
      </c>
      <c r="L2134" s="38">
        <f>IFERROR(COUNTIF([1]Village!$BR:$BR,표1[[#This Row],[명칭]]),"-")</f>
        <v>0</v>
      </c>
      <c r="M2134" s="38">
        <f>COUNTIF(퀘스트!B:B,표1[[#This Row],[명칭]])</f>
        <v>0</v>
      </c>
      <c r="N2134" s="65">
        <f>COUNTIF([1]VillageDiscoveryGroup!$C:$C,표1[[#This Row],[명칭]])</f>
        <v>0</v>
      </c>
      <c r="O2134" s="65">
        <f>SUM(표1[[#This Row],[해양탐색]:[마을탐험]])</f>
        <v>0</v>
      </c>
    </row>
    <row r="2135" spans="2:15" ht="13.5" customHeight="1" x14ac:dyDescent="0.3">
      <c r="B2135" s="9">
        <f>[1]Discovery!A2141</f>
        <v>70413351</v>
      </c>
      <c r="C2135" s="9" t="str">
        <f>[1]Discovery!B2141</f>
        <v>펠루제도</v>
      </c>
      <c r="D2135" s="9" t="str">
        <f>[1]Discovery!E2141</f>
        <v>자연</v>
      </c>
      <c r="E2135" s="9" t="str">
        <f>[1]Discovery!C2141</f>
        <v>지리</v>
      </c>
      <c r="F2135" s="9" t="str">
        <f>[1]Discovery!G2141</f>
        <v>C</v>
      </c>
      <c r="G2135" s="9" t="str">
        <f>IFERROR(VLOOKUP(표1[[#This Row],[명칭]],'문화권 정리'!C:D,2,FALSE),"-")</f>
        <v>동남아시아</v>
      </c>
      <c r="H2135" s="38" t="str">
        <f>IFERROR(COUNTIF([2]OceanDoodad!$Y:$Y,표1[[#This Row],[명칭]]),"-")</f>
        <v>-</v>
      </c>
      <c r="I2135" s="38">
        <f>IFERROR(COUNTIF([1]AdventureDiscoveryGroup!$D$8:$AW$92,표1[[#This Row],[명칭]]),"-")</f>
        <v>0</v>
      </c>
      <c r="J2135" s="38">
        <f>IFERROR(COUNTIF([1]FishDiscoveryGroup!$A:$X,표1[[#This Row],[명칭]]),"-")</f>
        <v>0</v>
      </c>
      <c r="K2135" s="38" t="str">
        <f>IFERROR(COUNTIF([2]Town!$B:$B,표1[[#This Row],[명칭]]),"-")</f>
        <v>-</v>
      </c>
      <c r="L2135" s="38">
        <f>IFERROR(COUNTIF([1]Village!$BR:$BR,표1[[#This Row],[명칭]]),"-")</f>
        <v>0</v>
      </c>
      <c r="M2135" s="38">
        <f>COUNTIF(퀘스트!B:B,표1[[#This Row],[명칭]])</f>
        <v>0</v>
      </c>
      <c r="N2135" s="65">
        <f>COUNTIF([1]VillageDiscoveryGroup!$C:$C,표1[[#This Row],[명칭]])</f>
        <v>0</v>
      </c>
      <c r="O2135" s="65">
        <f>SUM(표1[[#This Row],[해양탐색]:[마을탐험]])</f>
        <v>0</v>
      </c>
    </row>
    <row r="2136" spans="2:15" ht="13.5" customHeight="1" x14ac:dyDescent="0.3">
      <c r="B2136" s="9">
        <f>[1]Discovery!A2142</f>
        <v>70413352</v>
      </c>
      <c r="C2136" s="9" t="str">
        <f>[1]Discovery!B2142</f>
        <v>포크 해협</v>
      </c>
      <c r="D2136" s="9" t="str">
        <f>[1]Discovery!E2142</f>
        <v>자연</v>
      </c>
      <c r="E2136" s="9" t="str">
        <f>[1]Discovery!C2142</f>
        <v>지리</v>
      </c>
      <c r="F2136" s="9" t="str">
        <f>[1]Discovery!G2142</f>
        <v>C</v>
      </c>
      <c r="G2136" s="9" t="str">
        <f>IFERROR(VLOOKUP(표1[[#This Row],[명칭]],'문화권 정리'!C:D,2,FALSE),"-")</f>
        <v>남아시아</v>
      </c>
      <c r="H2136" s="38" t="str">
        <f>IFERROR(COUNTIF([2]OceanDoodad!$Y:$Y,표1[[#This Row],[명칭]]),"-")</f>
        <v>-</v>
      </c>
      <c r="I2136" s="38">
        <f>IFERROR(COUNTIF([1]AdventureDiscoveryGroup!$D$8:$AW$92,표1[[#This Row],[명칭]]),"-")</f>
        <v>0</v>
      </c>
      <c r="J2136" s="38">
        <f>IFERROR(COUNTIF([1]FishDiscoveryGroup!$A:$X,표1[[#This Row],[명칭]]),"-")</f>
        <v>0</v>
      </c>
      <c r="K2136" s="38" t="str">
        <f>IFERROR(COUNTIF([2]Town!$B:$B,표1[[#This Row],[명칭]]),"-")</f>
        <v>-</v>
      </c>
      <c r="L2136" s="38">
        <f>IFERROR(COUNTIF([1]Village!$BR:$BR,표1[[#This Row],[명칭]]),"-")</f>
        <v>0</v>
      </c>
      <c r="M2136" s="38">
        <f>COUNTIF(퀘스트!B:B,표1[[#This Row],[명칭]])</f>
        <v>0</v>
      </c>
      <c r="N2136" s="65">
        <f>COUNTIF([1]VillageDiscoveryGroup!$C:$C,표1[[#This Row],[명칭]])</f>
        <v>0</v>
      </c>
      <c r="O2136" s="65">
        <f>SUM(표1[[#This Row],[해양탐색]:[마을탐험]])</f>
        <v>0</v>
      </c>
    </row>
    <row r="2137" spans="2:15" ht="13.5" customHeight="1" x14ac:dyDescent="0.3">
      <c r="B2137" s="9">
        <f>[1]Discovery!A2143</f>
        <v>70413353</v>
      </c>
      <c r="C2137" s="9" t="str">
        <f>[1]Discovery!B2143</f>
        <v>폰페이섬</v>
      </c>
      <c r="D2137" s="9" t="str">
        <f>[1]Discovery!E2143</f>
        <v>자연</v>
      </c>
      <c r="E2137" s="9" t="str">
        <f>[1]Discovery!C2143</f>
        <v>지리</v>
      </c>
      <c r="F2137" s="9" t="str">
        <f>[1]Discovery!G2143</f>
        <v>B</v>
      </c>
      <c r="G2137" s="9" t="str">
        <f>IFERROR(VLOOKUP(표1[[#This Row],[명칭]],'문화권 정리'!C:D,2,FALSE),"-")</f>
        <v>태평양</v>
      </c>
      <c r="H2137" s="38" t="str">
        <f>IFERROR(COUNTIF([2]OceanDoodad!$Y:$Y,표1[[#This Row],[명칭]]),"-")</f>
        <v>-</v>
      </c>
      <c r="I2137" s="38">
        <f>IFERROR(COUNTIF([1]AdventureDiscoveryGroup!$D$8:$AW$92,표1[[#This Row],[명칭]]),"-")</f>
        <v>0</v>
      </c>
      <c r="J2137" s="38">
        <f>IFERROR(COUNTIF([1]FishDiscoveryGroup!$A:$X,표1[[#This Row],[명칭]]),"-")</f>
        <v>0</v>
      </c>
      <c r="K2137" s="38" t="str">
        <f>IFERROR(COUNTIF([2]Town!$B:$B,표1[[#This Row],[명칭]]),"-")</f>
        <v>-</v>
      </c>
      <c r="L2137" s="38">
        <f>IFERROR(COUNTIF([1]Village!$BR:$BR,표1[[#This Row],[명칭]]),"-")</f>
        <v>0</v>
      </c>
      <c r="M2137" s="38">
        <f>COUNTIF(퀘스트!B:B,표1[[#This Row],[명칭]])</f>
        <v>0</v>
      </c>
      <c r="N2137" s="65">
        <f>COUNTIF([1]VillageDiscoveryGroup!$C:$C,표1[[#This Row],[명칭]])</f>
        <v>0</v>
      </c>
      <c r="O2137" s="65">
        <f>SUM(표1[[#This Row],[해양탐색]:[마을탐험]])</f>
        <v>0</v>
      </c>
    </row>
    <row r="2138" spans="2:15" ht="13.5" customHeight="1" x14ac:dyDescent="0.3">
      <c r="B2138" s="9">
        <f>[1]Discovery!A2144</f>
        <v>70413354</v>
      </c>
      <c r="C2138" s="9" t="str">
        <f>[1]Discovery!B2144</f>
        <v>푸날루우 블랙샌드 비치</v>
      </c>
      <c r="D2138" s="9" t="str">
        <f>[1]Discovery!E2144</f>
        <v>자연</v>
      </c>
      <c r="E2138" s="9" t="str">
        <f>[1]Discovery!C2144</f>
        <v>지리</v>
      </c>
      <c r="F2138" s="9" t="str">
        <f>[1]Discovery!G2144</f>
        <v>A</v>
      </c>
      <c r="G2138" s="9" t="str">
        <f>IFERROR(VLOOKUP(표1[[#This Row],[명칭]],'문화권 정리'!C:D,2,FALSE),"-")</f>
        <v>태평양</v>
      </c>
      <c r="H2138" s="38" t="str">
        <f>IFERROR(COUNTIF([2]OceanDoodad!$Y:$Y,표1[[#This Row],[명칭]]),"-")</f>
        <v>-</v>
      </c>
      <c r="I2138" s="38">
        <f>IFERROR(COUNTIF([1]AdventureDiscoveryGroup!$D$8:$AW$92,표1[[#This Row],[명칭]]),"-")</f>
        <v>0</v>
      </c>
      <c r="J2138" s="38">
        <f>IFERROR(COUNTIF([1]FishDiscoveryGroup!$A:$X,표1[[#This Row],[명칭]]),"-")</f>
        <v>0</v>
      </c>
      <c r="K2138" s="38" t="str">
        <f>IFERROR(COUNTIF([2]Town!$B:$B,표1[[#This Row],[명칭]]),"-")</f>
        <v>-</v>
      </c>
      <c r="L2138" s="38">
        <f>IFERROR(COUNTIF([1]Village!$BR:$BR,표1[[#This Row],[명칭]]),"-")</f>
        <v>0</v>
      </c>
      <c r="M2138" s="38">
        <f>COUNTIF(퀘스트!B:B,표1[[#This Row],[명칭]])</f>
        <v>0</v>
      </c>
      <c r="N2138" s="65">
        <f>COUNTIF([1]VillageDiscoveryGroup!$C:$C,표1[[#This Row],[명칭]])</f>
        <v>0</v>
      </c>
      <c r="O2138" s="65">
        <f>SUM(표1[[#This Row],[해양탐색]:[마을탐험]])</f>
        <v>0</v>
      </c>
    </row>
    <row r="2139" spans="2:15" ht="13.5" customHeight="1" x14ac:dyDescent="0.3">
      <c r="B2139" s="9">
        <f>[1]Discovery!A2145</f>
        <v>70413355</v>
      </c>
      <c r="C2139" s="9" t="str">
        <f>[1]Discovery!B2145</f>
        <v>푸에르테벤투라섬</v>
      </c>
      <c r="D2139" s="9" t="str">
        <f>[1]Discovery!E2145</f>
        <v>자연</v>
      </c>
      <c r="E2139" s="9" t="str">
        <f>[1]Discovery!C2145</f>
        <v>지리</v>
      </c>
      <c r="F2139" s="9" t="str">
        <f>[1]Discovery!G2145</f>
        <v>B</v>
      </c>
      <c r="G2139" s="9" t="str">
        <f>IFERROR(VLOOKUP(표1[[#This Row],[명칭]],'문화권 정리'!C:D,2,FALSE),"-")</f>
        <v>서아프리카</v>
      </c>
      <c r="H2139" s="38" t="str">
        <f>IFERROR(COUNTIF([2]OceanDoodad!$Y:$Y,표1[[#This Row],[명칭]]),"-")</f>
        <v>-</v>
      </c>
      <c r="I2139" s="38">
        <f>IFERROR(COUNTIF([1]AdventureDiscoveryGroup!$D$8:$AW$92,표1[[#This Row],[명칭]]),"-")</f>
        <v>0</v>
      </c>
      <c r="J2139" s="38">
        <f>IFERROR(COUNTIF([1]FishDiscoveryGroup!$A:$X,표1[[#This Row],[명칭]]),"-")</f>
        <v>0</v>
      </c>
      <c r="K2139" s="38" t="str">
        <f>IFERROR(COUNTIF([2]Town!$B:$B,표1[[#This Row],[명칭]]),"-")</f>
        <v>-</v>
      </c>
      <c r="L2139" s="38">
        <f>IFERROR(COUNTIF([1]Village!$BR:$BR,표1[[#This Row],[명칭]]),"-")</f>
        <v>0</v>
      </c>
      <c r="M2139" s="38">
        <f>COUNTIF(퀘스트!B:B,표1[[#This Row],[명칭]])</f>
        <v>0</v>
      </c>
      <c r="N2139" s="65">
        <f>COUNTIF([1]VillageDiscoveryGroup!$C:$C,표1[[#This Row],[명칭]])</f>
        <v>0</v>
      </c>
      <c r="O2139" s="65">
        <f>SUM(표1[[#This Row],[해양탐색]:[마을탐험]])</f>
        <v>0</v>
      </c>
    </row>
    <row r="2140" spans="2:15" ht="13.5" customHeight="1" x14ac:dyDescent="0.3">
      <c r="B2140" s="9">
        <f>[1]Discovery!A2146</f>
        <v>70413356</v>
      </c>
      <c r="C2140" s="9" t="str">
        <f>[1]Discovery!B2146</f>
        <v>프레리</v>
      </c>
      <c r="D2140" s="9" t="str">
        <f>[1]Discovery!E2146</f>
        <v>자연</v>
      </c>
      <c r="E2140" s="9" t="str">
        <f>[1]Discovery!C2146</f>
        <v>지리</v>
      </c>
      <c r="F2140" s="9" t="str">
        <f>[1]Discovery!G2146</f>
        <v>A</v>
      </c>
      <c r="G2140" s="9" t="str">
        <f>IFERROR(VLOOKUP(표1[[#This Row],[명칭]],'문화권 정리'!C:D,2,FALSE),"-")</f>
        <v>북아메리카</v>
      </c>
      <c r="H2140" s="38" t="str">
        <f>IFERROR(COUNTIF([2]OceanDoodad!$Y:$Y,표1[[#This Row],[명칭]]),"-")</f>
        <v>-</v>
      </c>
      <c r="I2140" s="38">
        <f>IFERROR(COUNTIF([1]AdventureDiscoveryGroup!$D$8:$AW$92,표1[[#This Row],[명칭]]),"-")</f>
        <v>0</v>
      </c>
      <c r="J2140" s="38">
        <f>IFERROR(COUNTIF([1]FishDiscoveryGroup!$A:$X,표1[[#This Row],[명칭]]),"-")</f>
        <v>0</v>
      </c>
      <c r="K2140" s="38" t="str">
        <f>IFERROR(COUNTIF([2]Town!$B:$B,표1[[#This Row],[명칭]]),"-")</f>
        <v>-</v>
      </c>
      <c r="L2140" s="38">
        <f>IFERROR(COUNTIF([1]Village!$BR:$BR,표1[[#This Row],[명칭]]),"-")</f>
        <v>0</v>
      </c>
      <c r="M2140" s="38">
        <f>COUNTIF(퀘스트!B:B,표1[[#This Row],[명칭]])</f>
        <v>0</v>
      </c>
      <c r="N2140" s="65">
        <f>COUNTIF([1]VillageDiscoveryGroup!$C:$C,표1[[#This Row],[명칭]])</f>
        <v>0</v>
      </c>
      <c r="O2140" s="65">
        <f>SUM(표1[[#This Row],[해양탐색]:[마을탐험]])</f>
        <v>0</v>
      </c>
    </row>
    <row r="2141" spans="2:15" ht="13.5" customHeight="1" x14ac:dyDescent="0.3">
      <c r="B2141" s="9">
        <f>[1]Discovery!A2147</f>
        <v>70413357</v>
      </c>
      <c r="C2141" s="9" t="str">
        <f>[1]Discovery!B2147</f>
        <v>프린스에드워드아일랜드</v>
      </c>
      <c r="D2141" s="9" t="str">
        <f>[1]Discovery!E2147</f>
        <v>자연</v>
      </c>
      <c r="E2141" s="9" t="str">
        <f>[1]Discovery!C2147</f>
        <v>지리</v>
      </c>
      <c r="F2141" s="9" t="str">
        <f>[1]Discovery!G2147</f>
        <v>B</v>
      </c>
      <c r="G2141" s="9" t="str">
        <f>IFERROR(VLOOKUP(표1[[#This Row],[명칭]],'문화권 정리'!C:D,2,FALSE),"-")</f>
        <v>북아메리카</v>
      </c>
      <c r="H2141" s="38" t="str">
        <f>IFERROR(COUNTIF([2]OceanDoodad!$Y:$Y,표1[[#This Row],[명칭]]),"-")</f>
        <v>-</v>
      </c>
      <c r="I2141" s="38">
        <f>IFERROR(COUNTIF([1]AdventureDiscoveryGroup!$D$8:$AW$92,표1[[#This Row],[명칭]]),"-")</f>
        <v>0</v>
      </c>
      <c r="J2141" s="38">
        <f>IFERROR(COUNTIF([1]FishDiscoveryGroup!$A:$X,표1[[#This Row],[명칭]]),"-")</f>
        <v>0</v>
      </c>
      <c r="K2141" s="38" t="str">
        <f>IFERROR(COUNTIF([2]Town!$B:$B,표1[[#This Row],[명칭]]),"-")</f>
        <v>-</v>
      </c>
      <c r="L2141" s="38">
        <f>IFERROR(COUNTIF([1]Village!$BR:$BR,표1[[#This Row],[명칭]]),"-")</f>
        <v>0</v>
      </c>
      <c r="M2141" s="38">
        <f>COUNTIF(퀘스트!B:B,표1[[#This Row],[명칭]])</f>
        <v>0</v>
      </c>
      <c r="N2141" s="65">
        <f>COUNTIF([1]VillageDiscoveryGroup!$C:$C,표1[[#This Row],[명칭]])</f>
        <v>0</v>
      </c>
      <c r="O2141" s="65">
        <f>SUM(표1[[#This Row],[해양탐색]:[마을탐험]])</f>
        <v>0</v>
      </c>
    </row>
    <row r="2142" spans="2:15" ht="13.5" customHeight="1" x14ac:dyDescent="0.3">
      <c r="B2142" s="9">
        <f>[1]Discovery!A2148</f>
        <v>70413358</v>
      </c>
      <c r="C2142" s="9" t="str">
        <f>[1]Discovery!B2148</f>
        <v>프린시페섬</v>
      </c>
      <c r="D2142" s="9" t="str">
        <f>[1]Discovery!E2148</f>
        <v>자연</v>
      </c>
      <c r="E2142" s="9" t="str">
        <f>[1]Discovery!C2148</f>
        <v>지리</v>
      </c>
      <c r="F2142" s="9" t="str">
        <f>[1]Discovery!G2148</f>
        <v>B</v>
      </c>
      <c r="G2142" s="9" t="str">
        <f>IFERROR(VLOOKUP(표1[[#This Row],[명칭]],'문화권 정리'!C:D,2,FALSE),"-")</f>
        <v>서아프리카</v>
      </c>
      <c r="H2142" s="38" t="str">
        <f>IFERROR(COUNTIF([2]OceanDoodad!$Y:$Y,표1[[#This Row],[명칭]]),"-")</f>
        <v>-</v>
      </c>
      <c r="I2142" s="38">
        <f>IFERROR(COUNTIF([1]AdventureDiscoveryGroup!$D$8:$AW$92,표1[[#This Row],[명칭]]),"-")</f>
        <v>0</v>
      </c>
      <c r="J2142" s="38">
        <f>IFERROR(COUNTIF([1]FishDiscoveryGroup!$A:$X,표1[[#This Row],[명칭]]),"-")</f>
        <v>0</v>
      </c>
      <c r="K2142" s="38" t="str">
        <f>IFERROR(COUNTIF([2]Town!$B:$B,표1[[#This Row],[명칭]]),"-")</f>
        <v>-</v>
      </c>
      <c r="L2142" s="38">
        <f>IFERROR(COUNTIF([1]Village!$BR:$BR,표1[[#This Row],[명칭]]),"-")</f>
        <v>0</v>
      </c>
      <c r="M2142" s="38">
        <f>COUNTIF(퀘스트!B:B,표1[[#This Row],[명칭]])</f>
        <v>0</v>
      </c>
      <c r="N2142" s="65">
        <f>COUNTIF([1]VillageDiscoveryGroup!$C:$C,표1[[#This Row],[명칭]])</f>
        <v>0</v>
      </c>
      <c r="O2142" s="65">
        <f>SUM(표1[[#This Row],[해양탐색]:[마을탐험]])</f>
        <v>0</v>
      </c>
    </row>
    <row r="2143" spans="2:15" ht="13.5" customHeight="1" x14ac:dyDescent="0.3">
      <c r="B2143" s="9">
        <f>[1]Discovery!A2149</f>
        <v>70413359</v>
      </c>
      <c r="C2143" s="9" t="str">
        <f>[1]Discovery!B2149</f>
        <v>플렌티만</v>
      </c>
      <c r="D2143" s="9" t="str">
        <f>[1]Discovery!E2149</f>
        <v>자연</v>
      </c>
      <c r="E2143" s="9" t="str">
        <f>[1]Discovery!C2149</f>
        <v>지리</v>
      </c>
      <c r="F2143" s="9" t="str">
        <f>[1]Discovery!G2149</f>
        <v>C</v>
      </c>
      <c r="G2143" s="9" t="str">
        <f>IFERROR(VLOOKUP(표1[[#This Row],[명칭]],'문화권 정리'!C:D,2,FALSE),"-")</f>
        <v>오세아니아</v>
      </c>
      <c r="H2143" s="38" t="str">
        <f>IFERROR(COUNTIF([2]OceanDoodad!$Y:$Y,표1[[#This Row],[명칭]]),"-")</f>
        <v>-</v>
      </c>
      <c r="I2143" s="38">
        <f>IFERROR(COUNTIF([1]AdventureDiscoveryGroup!$D$8:$AW$92,표1[[#This Row],[명칭]]),"-")</f>
        <v>0</v>
      </c>
      <c r="J2143" s="38">
        <f>IFERROR(COUNTIF([1]FishDiscoveryGroup!$A:$X,표1[[#This Row],[명칭]]),"-")</f>
        <v>0</v>
      </c>
      <c r="K2143" s="38" t="str">
        <f>IFERROR(COUNTIF([2]Town!$B:$B,표1[[#This Row],[명칭]]),"-")</f>
        <v>-</v>
      </c>
      <c r="L2143" s="38">
        <f>IFERROR(COUNTIF([1]Village!$BR:$BR,표1[[#This Row],[명칭]]),"-")</f>
        <v>0</v>
      </c>
      <c r="M2143" s="38">
        <f>COUNTIF(퀘스트!B:B,표1[[#This Row],[명칭]])</f>
        <v>0</v>
      </c>
      <c r="N2143" s="65">
        <f>COUNTIF([1]VillageDiscoveryGroup!$C:$C,표1[[#This Row],[명칭]])</f>
        <v>0</v>
      </c>
      <c r="O2143" s="65">
        <f>SUM(표1[[#This Row],[해양탐색]:[마을탐험]])</f>
        <v>0</v>
      </c>
    </row>
    <row r="2144" spans="2:15" ht="13.5" customHeight="1" x14ac:dyDescent="0.3">
      <c r="B2144" s="9">
        <f>[1]Discovery!A2150</f>
        <v>70413360</v>
      </c>
      <c r="C2144" s="9" t="str">
        <f>[1]Discovery!B2150</f>
        <v>플로레스해</v>
      </c>
      <c r="D2144" s="9" t="str">
        <f>[1]Discovery!E2150</f>
        <v>자연</v>
      </c>
      <c r="E2144" s="9" t="str">
        <f>[1]Discovery!C2150</f>
        <v>지리</v>
      </c>
      <c r="F2144" s="9" t="str">
        <f>[1]Discovery!G2150</f>
        <v>D</v>
      </c>
      <c r="G2144" s="9" t="str">
        <f>IFERROR(VLOOKUP(표1[[#This Row],[명칭]],'문화권 정리'!C:D,2,FALSE),"-")</f>
        <v>동남아시아</v>
      </c>
      <c r="H2144" s="38" t="str">
        <f>IFERROR(COUNTIF([2]OceanDoodad!$Y:$Y,표1[[#This Row],[명칭]]),"-")</f>
        <v>-</v>
      </c>
      <c r="I2144" s="38">
        <f>IFERROR(COUNTIF([1]AdventureDiscoveryGroup!$D$8:$AW$92,표1[[#This Row],[명칭]]),"-")</f>
        <v>0</v>
      </c>
      <c r="J2144" s="38">
        <f>IFERROR(COUNTIF([1]FishDiscoveryGroup!$A:$X,표1[[#This Row],[명칭]]),"-")</f>
        <v>0</v>
      </c>
      <c r="K2144" s="38" t="str">
        <f>IFERROR(COUNTIF([2]Town!$B:$B,표1[[#This Row],[명칭]]),"-")</f>
        <v>-</v>
      </c>
      <c r="L2144" s="38">
        <f>IFERROR(COUNTIF([1]Village!$BR:$BR,표1[[#This Row],[명칭]]),"-")</f>
        <v>0</v>
      </c>
      <c r="M2144" s="38">
        <f>COUNTIF(퀘스트!B:B,표1[[#This Row],[명칭]])</f>
        <v>0</v>
      </c>
      <c r="N2144" s="65">
        <f>COUNTIF([1]VillageDiscoveryGroup!$C:$C,표1[[#This Row],[명칭]])</f>
        <v>0</v>
      </c>
      <c r="O2144" s="65">
        <f>SUM(표1[[#This Row],[해양탐색]:[마을탐험]])</f>
        <v>0</v>
      </c>
    </row>
    <row r="2145" spans="2:15" ht="13.5" customHeight="1" x14ac:dyDescent="0.3">
      <c r="B2145" s="9">
        <f>[1]Discovery!A2151</f>
        <v>70413361</v>
      </c>
      <c r="C2145" s="9" t="str">
        <f>[1]Discovery!B2151</f>
        <v>플로리다반도</v>
      </c>
      <c r="D2145" s="9" t="str">
        <f>[1]Discovery!E2151</f>
        <v>자연</v>
      </c>
      <c r="E2145" s="9" t="str">
        <f>[1]Discovery!C2151</f>
        <v>지리</v>
      </c>
      <c r="F2145" s="9" t="str">
        <f>[1]Discovery!G2151</f>
        <v>C</v>
      </c>
      <c r="G2145" s="9" t="str">
        <f>IFERROR(VLOOKUP(표1[[#This Row],[명칭]],'문화권 정리'!C:D,2,FALSE),"-")</f>
        <v>북아메리카</v>
      </c>
      <c r="H2145" s="38" t="str">
        <f>IFERROR(COUNTIF([2]OceanDoodad!$Y:$Y,표1[[#This Row],[명칭]]),"-")</f>
        <v>-</v>
      </c>
      <c r="I2145" s="38">
        <f>IFERROR(COUNTIF([1]AdventureDiscoveryGroup!$D$8:$AW$92,표1[[#This Row],[명칭]]),"-")</f>
        <v>0</v>
      </c>
      <c r="J2145" s="38">
        <f>IFERROR(COUNTIF([1]FishDiscoveryGroup!$A:$X,표1[[#This Row],[명칭]]),"-")</f>
        <v>0</v>
      </c>
      <c r="K2145" s="38" t="str">
        <f>IFERROR(COUNTIF([2]Town!$B:$B,표1[[#This Row],[명칭]]),"-")</f>
        <v>-</v>
      </c>
      <c r="L2145" s="38">
        <f>IFERROR(COUNTIF([1]Village!$BR:$BR,표1[[#This Row],[명칭]]),"-")</f>
        <v>0</v>
      </c>
      <c r="M2145" s="38">
        <f>COUNTIF(퀘스트!B:B,표1[[#This Row],[명칭]])</f>
        <v>0</v>
      </c>
      <c r="N2145" s="65">
        <f>COUNTIF([1]VillageDiscoveryGroup!$C:$C,표1[[#This Row],[명칭]])</f>
        <v>0</v>
      </c>
      <c r="O2145" s="65">
        <f>SUM(표1[[#This Row],[해양탐색]:[마을탐험]])</f>
        <v>0</v>
      </c>
    </row>
    <row r="2146" spans="2:15" ht="13.5" customHeight="1" x14ac:dyDescent="0.3">
      <c r="B2146" s="9">
        <f>[1]Discovery!A2152</f>
        <v>70413362</v>
      </c>
      <c r="C2146" s="9" t="str">
        <f>[1]Discovery!B2152</f>
        <v>피오르</v>
      </c>
      <c r="D2146" s="9" t="str">
        <f>[1]Discovery!E2152</f>
        <v>자연</v>
      </c>
      <c r="E2146" s="9" t="str">
        <f>[1]Discovery!C2152</f>
        <v>지리</v>
      </c>
      <c r="F2146" s="9" t="str">
        <f>[1]Discovery!G2152</f>
        <v>C</v>
      </c>
      <c r="G2146" s="9" t="str">
        <f>IFERROR(VLOOKUP(표1[[#This Row],[명칭]],'문화권 정리'!C:D,2,FALSE),"-")</f>
        <v>북유럽</v>
      </c>
      <c r="H2146" s="38" t="str">
        <f>IFERROR(COUNTIF([2]OceanDoodad!$Y:$Y,표1[[#This Row],[명칭]]),"-")</f>
        <v>-</v>
      </c>
      <c r="I2146" s="38">
        <f>IFERROR(COUNTIF([1]AdventureDiscoveryGroup!$D$8:$AW$92,표1[[#This Row],[명칭]]),"-")</f>
        <v>1</v>
      </c>
      <c r="J2146" s="38">
        <f>IFERROR(COUNTIF([1]FishDiscoveryGroup!$A:$X,표1[[#This Row],[명칭]]),"-")</f>
        <v>0</v>
      </c>
      <c r="K2146" s="38" t="str">
        <f>IFERROR(COUNTIF([2]Town!$B:$B,표1[[#This Row],[명칭]]),"-")</f>
        <v>-</v>
      </c>
      <c r="L2146" s="38">
        <f>IFERROR(COUNTIF([1]Village!$BR:$BR,표1[[#This Row],[명칭]]),"-")</f>
        <v>0</v>
      </c>
      <c r="M2146" s="38">
        <f>COUNTIF(퀘스트!B:B,표1[[#This Row],[명칭]])</f>
        <v>0</v>
      </c>
      <c r="N2146" s="65">
        <f>COUNTIF([1]VillageDiscoveryGroup!$C:$C,표1[[#This Row],[명칭]])</f>
        <v>0</v>
      </c>
      <c r="O2146" s="65">
        <f>SUM(표1[[#This Row],[해양탐색]:[마을탐험]])</f>
        <v>1</v>
      </c>
    </row>
    <row r="2147" spans="2:15" ht="13.5" customHeight="1" x14ac:dyDescent="0.3">
      <c r="B2147" s="9">
        <f>[1]Discovery!A2153</f>
        <v>70413363</v>
      </c>
      <c r="C2147" s="9" t="str">
        <f>[1]Discovery!B2153</f>
        <v>피지제도</v>
      </c>
      <c r="D2147" s="9" t="str">
        <f>[1]Discovery!E2153</f>
        <v>자연</v>
      </c>
      <c r="E2147" s="9" t="str">
        <f>[1]Discovery!C2153</f>
        <v>지리</v>
      </c>
      <c r="F2147" s="9" t="str">
        <f>[1]Discovery!G2153</f>
        <v>C</v>
      </c>
      <c r="G2147" s="9" t="str">
        <f>IFERROR(VLOOKUP(표1[[#This Row],[명칭]],'문화권 정리'!C:D,2,FALSE),"-")</f>
        <v>태평양</v>
      </c>
      <c r="H2147" s="38" t="str">
        <f>IFERROR(COUNTIF([2]OceanDoodad!$Y:$Y,표1[[#This Row],[명칭]]),"-")</f>
        <v>-</v>
      </c>
      <c r="I2147" s="38">
        <f>IFERROR(COUNTIF([1]AdventureDiscoveryGroup!$D$8:$AW$92,표1[[#This Row],[명칭]]),"-")</f>
        <v>0</v>
      </c>
      <c r="J2147" s="38">
        <f>IFERROR(COUNTIF([1]FishDiscoveryGroup!$A:$X,표1[[#This Row],[명칭]]),"-")</f>
        <v>0</v>
      </c>
      <c r="K2147" s="38" t="str">
        <f>IFERROR(COUNTIF([2]Town!$B:$B,표1[[#This Row],[명칭]]),"-")</f>
        <v>-</v>
      </c>
      <c r="L2147" s="38">
        <f>IFERROR(COUNTIF([1]Village!$BR:$BR,표1[[#This Row],[명칭]]),"-")</f>
        <v>0</v>
      </c>
      <c r="M2147" s="38">
        <f>COUNTIF(퀘스트!B:B,표1[[#This Row],[명칭]])</f>
        <v>0</v>
      </c>
      <c r="N2147" s="65">
        <f>COUNTIF([1]VillageDiscoveryGroup!$C:$C,표1[[#This Row],[명칭]])</f>
        <v>0</v>
      </c>
      <c r="O2147" s="65">
        <f>SUM(표1[[#This Row],[해양탐색]:[마을탐험]])</f>
        <v>0</v>
      </c>
    </row>
    <row r="2148" spans="2:15" ht="13.5" customHeight="1" x14ac:dyDescent="0.3">
      <c r="B2148" s="9">
        <f>[1]Discovery!A2154</f>
        <v>70413364</v>
      </c>
      <c r="C2148" s="9" t="str">
        <f>[1]Discovery!B2154</f>
        <v>핀도스산맥</v>
      </c>
      <c r="D2148" s="9" t="str">
        <f>[1]Discovery!E2154</f>
        <v>자연</v>
      </c>
      <c r="E2148" s="9" t="str">
        <f>[1]Discovery!C2154</f>
        <v>지리</v>
      </c>
      <c r="F2148" s="9" t="str">
        <f>[1]Discovery!G2154</f>
        <v>B</v>
      </c>
      <c r="G2148" s="9" t="str">
        <f>IFERROR(VLOOKUP(표1[[#This Row],[명칭]],'문화권 정리'!C:D,2,FALSE),"-")</f>
        <v>지중해</v>
      </c>
      <c r="H2148" s="38" t="str">
        <f>IFERROR(COUNTIF([2]OceanDoodad!$Y:$Y,표1[[#This Row],[명칭]]),"-")</f>
        <v>-</v>
      </c>
      <c r="I2148" s="38">
        <f>IFERROR(COUNTIF([1]AdventureDiscoveryGroup!$D$8:$AW$92,표1[[#This Row],[명칭]]),"-")</f>
        <v>0</v>
      </c>
      <c r="J2148" s="38">
        <f>IFERROR(COUNTIF([1]FishDiscoveryGroup!$A:$X,표1[[#This Row],[명칭]]),"-")</f>
        <v>0</v>
      </c>
      <c r="K2148" s="38" t="str">
        <f>IFERROR(COUNTIF([2]Town!$B:$B,표1[[#This Row],[명칭]]),"-")</f>
        <v>-</v>
      </c>
      <c r="L2148" s="38">
        <f>IFERROR(COUNTIF([1]Village!$BR:$BR,표1[[#This Row],[명칭]]),"-")</f>
        <v>0</v>
      </c>
      <c r="M2148" s="38">
        <f>COUNTIF(퀘스트!B:B,표1[[#This Row],[명칭]])</f>
        <v>0</v>
      </c>
      <c r="N2148" s="65">
        <f>COUNTIF([1]VillageDiscoveryGroup!$C:$C,표1[[#This Row],[명칭]])</f>
        <v>0</v>
      </c>
      <c r="O2148" s="65">
        <f>SUM(표1[[#This Row],[해양탐색]:[마을탐험]])</f>
        <v>0</v>
      </c>
    </row>
    <row r="2149" spans="2:15" ht="13.5" customHeight="1" x14ac:dyDescent="0.3">
      <c r="B2149" s="9">
        <f>[1]Discovery!A2155</f>
        <v>70413365</v>
      </c>
      <c r="C2149" s="9" t="str">
        <f>[1]Discovery!B2155</f>
        <v>핀란드만</v>
      </c>
      <c r="D2149" s="9" t="str">
        <f>[1]Discovery!E2155</f>
        <v>자연</v>
      </c>
      <c r="E2149" s="9" t="str">
        <f>[1]Discovery!C2155</f>
        <v>지리</v>
      </c>
      <c r="F2149" s="9" t="str">
        <f>[1]Discovery!G2155</f>
        <v>D</v>
      </c>
      <c r="G2149" s="9" t="str">
        <f>IFERROR(VLOOKUP(표1[[#This Row],[명칭]],'문화권 정리'!C:D,2,FALSE),"-")</f>
        <v>지중해</v>
      </c>
      <c r="H2149" s="38" t="str">
        <f>IFERROR(COUNTIF([2]OceanDoodad!$Y:$Y,표1[[#This Row],[명칭]]),"-")</f>
        <v>-</v>
      </c>
      <c r="I2149" s="38">
        <f>IFERROR(COUNTIF([1]AdventureDiscoveryGroup!$D$8:$AW$92,표1[[#This Row],[명칭]]),"-")</f>
        <v>0</v>
      </c>
      <c r="J2149" s="38">
        <f>IFERROR(COUNTIF([1]FishDiscoveryGroup!$A:$X,표1[[#This Row],[명칭]]),"-")</f>
        <v>0</v>
      </c>
      <c r="K2149" s="38" t="str">
        <f>IFERROR(COUNTIF([2]Town!$B:$B,표1[[#This Row],[명칭]]),"-")</f>
        <v>-</v>
      </c>
      <c r="L2149" s="38">
        <f>IFERROR(COUNTIF([1]Village!$BR:$BR,표1[[#This Row],[명칭]]),"-")</f>
        <v>0</v>
      </c>
      <c r="M2149" s="38">
        <f>COUNTIF(퀘스트!B:B,표1[[#This Row],[명칭]])</f>
        <v>0</v>
      </c>
      <c r="N2149" s="65">
        <f>COUNTIF([1]VillageDiscoveryGroup!$C:$C,표1[[#This Row],[명칭]])</f>
        <v>0</v>
      </c>
      <c r="O2149" s="65">
        <f>SUM(표1[[#This Row],[해양탐색]:[마을탐험]])</f>
        <v>0</v>
      </c>
    </row>
    <row r="2150" spans="2:15" ht="13.5" customHeight="1" x14ac:dyDescent="0.3">
      <c r="B2150" s="9">
        <f>[1]Discovery!A2156</f>
        <v>70413366</v>
      </c>
      <c r="C2150" s="9" t="str">
        <f>[1]Discovery!B2156</f>
        <v>필리핀해</v>
      </c>
      <c r="D2150" s="9" t="str">
        <f>[1]Discovery!E2156</f>
        <v>자연</v>
      </c>
      <c r="E2150" s="9" t="str">
        <f>[1]Discovery!C2156</f>
        <v>지리</v>
      </c>
      <c r="F2150" s="9" t="str">
        <f>[1]Discovery!G2156</f>
        <v>D</v>
      </c>
      <c r="G2150" s="9" t="str">
        <f>IFERROR(VLOOKUP(표1[[#This Row],[명칭]],'문화권 정리'!C:D,2,FALSE),"-")</f>
        <v>동남아시아</v>
      </c>
      <c r="H2150" s="38" t="str">
        <f>IFERROR(COUNTIF([2]OceanDoodad!$Y:$Y,표1[[#This Row],[명칭]]),"-")</f>
        <v>-</v>
      </c>
      <c r="I2150" s="38">
        <f>IFERROR(COUNTIF([1]AdventureDiscoveryGroup!$D$8:$AW$92,표1[[#This Row],[명칭]]),"-")</f>
        <v>0</v>
      </c>
      <c r="J2150" s="38">
        <f>IFERROR(COUNTIF([1]FishDiscoveryGroup!$A:$X,표1[[#This Row],[명칭]]),"-")</f>
        <v>0</v>
      </c>
      <c r="K2150" s="38" t="str">
        <f>IFERROR(COUNTIF([2]Town!$B:$B,표1[[#This Row],[명칭]]),"-")</f>
        <v>-</v>
      </c>
      <c r="L2150" s="38">
        <f>IFERROR(COUNTIF([1]Village!$BR:$BR,표1[[#This Row],[명칭]]),"-")</f>
        <v>0</v>
      </c>
      <c r="M2150" s="38">
        <f>COUNTIF(퀘스트!B:B,표1[[#This Row],[명칭]])</f>
        <v>0</v>
      </c>
      <c r="N2150" s="65">
        <f>COUNTIF([1]VillageDiscoveryGroup!$C:$C,표1[[#This Row],[명칭]])</f>
        <v>0</v>
      </c>
      <c r="O2150" s="65">
        <f>SUM(표1[[#This Row],[해양탐색]:[마을탐험]])</f>
        <v>0</v>
      </c>
    </row>
    <row r="2151" spans="2:15" ht="13.5" customHeight="1" x14ac:dyDescent="0.3">
      <c r="B2151" s="9">
        <f>[1]Discovery!A2157</f>
        <v>70413367</v>
      </c>
      <c r="C2151" s="9" t="str">
        <f>[1]Discovery!B2157</f>
        <v>핑크 샌드 비치</v>
      </c>
      <c r="D2151" s="9" t="str">
        <f>[1]Discovery!E2157</f>
        <v>자연</v>
      </c>
      <c r="E2151" s="9" t="str">
        <f>[1]Discovery!C2157</f>
        <v>지리</v>
      </c>
      <c r="F2151" s="9" t="str">
        <f>[1]Discovery!G2157</f>
        <v>S</v>
      </c>
      <c r="G2151" s="9" t="str">
        <f>IFERROR(VLOOKUP(표1[[#This Row],[명칭]],'문화권 정리'!C:D,2,FALSE),"-")</f>
        <v>중앙아메리카</v>
      </c>
      <c r="H2151" s="38" t="str">
        <f>IFERROR(COUNTIF([2]OceanDoodad!$Y:$Y,표1[[#This Row],[명칭]]),"-")</f>
        <v>-</v>
      </c>
      <c r="I2151" s="38">
        <f>IFERROR(COUNTIF([1]AdventureDiscoveryGroup!$D$8:$AW$92,표1[[#This Row],[명칭]]),"-")</f>
        <v>0</v>
      </c>
      <c r="J2151" s="38">
        <f>IFERROR(COUNTIF([1]FishDiscoveryGroup!$A:$X,표1[[#This Row],[명칭]]),"-")</f>
        <v>0</v>
      </c>
      <c r="K2151" s="38" t="str">
        <f>IFERROR(COUNTIF([2]Town!$B:$B,표1[[#This Row],[명칭]]),"-")</f>
        <v>-</v>
      </c>
      <c r="L2151" s="38">
        <f>IFERROR(COUNTIF([1]Village!$BR:$BR,표1[[#This Row],[명칭]]),"-")</f>
        <v>0</v>
      </c>
      <c r="M2151" s="38">
        <f>COUNTIF(퀘스트!B:B,표1[[#This Row],[명칭]])</f>
        <v>0</v>
      </c>
      <c r="N2151" s="65">
        <f>COUNTIF([1]VillageDiscoveryGroup!$C:$C,표1[[#This Row],[명칭]])</f>
        <v>0</v>
      </c>
      <c r="O2151" s="65">
        <f>SUM(표1[[#This Row],[해양탐색]:[마을탐험]])</f>
        <v>0</v>
      </c>
    </row>
    <row r="2152" spans="2:15" ht="13.5" customHeight="1" x14ac:dyDescent="0.3">
      <c r="B2152" s="9">
        <f>[1]Discovery!A2158</f>
        <v>70413368</v>
      </c>
      <c r="C2152" s="9" t="str">
        <f>[1]Discovery!B2158</f>
        <v>하와이섬</v>
      </c>
      <c r="D2152" s="9" t="str">
        <f>[1]Discovery!E2158</f>
        <v>자연</v>
      </c>
      <c r="E2152" s="9" t="str">
        <f>[1]Discovery!C2158</f>
        <v>지리</v>
      </c>
      <c r="F2152" s="9" t="str">
        <f>[1]Discovery!G2158</f>
        <v>B</v>
      </c>
      <c r="G2152" s="9" t="str">
        <f>IFERROR(VLOOKUP(표1[[#This Row],[명칭]],'문화권 정리'!C:D,2,FALSE),"-")</f>
        <v>태평양</v>
      </c>
      <c r="H2152" s="38" t="str">
        <f>IFERROR(COUNTIF([2]OceanDoodad!$Y:$Y,표1[[#This Row],[명칭]]),"-")</f>
        <v>-</v>
      </c>
      <c r="I2152" s="38">
        <f>IFERROR(COUNTIF([1]AdventureDiscoveryGroup!$D$8:$AW$92,표1[[#This Row],[명칭]]),"-")</f>
        <v>0</v>
      </c>
      <c r="J2152" s="38">
        <f>IFERROR(COUNTIF([1]FishDiscoveryGroup!$A:$X,표1[[#This Row],[명칭]]),"-")</f>
        <v>0</v>
      </c>
      <c r="K2152" s="38" t="str">
        <f>IFERROR(COUNTIF([2]Town!$B:$B,표1[[#This Row],[명칭]]),"-")</f>
        <v>-</v>
      </c>
      <c r="L2152" s="38">
        <f>IFERROR(COUNTIF([1]Village!$BR:$BR,표1[[#This Row],[명칭]]),"-")</f>
        <v>0</v>
      </c>
      <c r="M2152" s="38">
        <f>COUNTIF(퀘스트!B:B,표1[[#This Row],[명칭]])</f>
        <v>0</v>
      </c>
      <c r="N2152" s="65">
        <f>COUNTIF([1]VillageDiscoveryGroup!$C:$C,표1[[#This Row],[명칭]])</f>
        <v>1</v>
      </c>
      <c r="O2152" s="65">
        <f>SUM(표1[[#This Row],[해양탐색]:[마을탐험]])</f>
        <v>1</v>
      </c>
    </row>
    <row r="2153" spans="2:15" ht="13.5" customHeight="1" x14ac:dyDescent="0.3">
      <c r="B2153" s="9">
        <f>[1]Discovery!A2159</f>
        <v>70413369</v>
      </c>
      <c r="C2153" s="9" t="str">
        <f>[1]Discovery!B2159</f>
        <v>하이암스 비치</v>
      </c>
      <c r="D2153" s="9" t="str">
        <f>[1]Discovery!E2159</f>
        <v>자연</v>
      </c>
      <c r="E2153" s="9" t="str">
        <f>[1]Discovery!C2159</f>
        <v>지리</v>
      </c>
      <c r="F2153" s="9" t="str">
        <f>[1]Discovery!G2159</f>
        <v>A</v>
      </c>
      <c r="G2153" s="9" t="str">
        <f>IFERROR(VLOOKUP(표1[[#This Row],[명칭]],'문화권 정리'!C:D,2,FALSE),"-")</f>
        <v>오세아니아</v>
      </c>
      <c r="H2153" s="38" t="str">
        <f>IFERROR(COUNTIF([2]OceanDoodad!$Y:$Y,표1[[#This Row],[명칭]]),"-")</f>
        <v>-</v>
      </c>
      <c r="I2153" s="38">
        <f>IFERROR(COUNTIF([1]AdventureDiscoveryGroup!$D$8:$AW$92,표1[[#This Row],[명칭]]),"-")</f>
        <v>0</v>
      </c>
      <c r="J2153" s="38">
        <f>IFERROR(COUNTIF([1]FishDiscoveryGroup!$A:$X,표1[[#This Row],[명칭]]),"-")</f>
        <v>0</v>
      </c>
      <c r="K2153" s="38" t="str">
        <f>IFERROR(COUNTIF([2]Town!$B:$B,표1[[#This Row],[명칭]]),"-")</f>
        <v>-</v>
      </c>
      <c r="L2153" s="38">
        <f>IFERROR(COUNTIF([1]Village!$BR:$BR,표1[[#This Row],[명칭]]),"-")</f>
        <v>0</v>
      </c>
      <c r="M2153" s="38">
        <f>COUNTIF(퀘스트!B:B,표1[[#This Row],[명칭]])</f>
        <v>0</v>
      </c>
      <c r="N2153" s="65">
        <f>COUNTIF([1]VillageDiscoveryGroup!$C:$C,표1[[#This Row],[명칭]])</f>
        <v>0</v>
      </c>
      <c r="O2153" s="65">
        <f>SUM(표1[[#This Row],[해양탐색]:[마을탐험]])</f>
        <v>0</v>
      </c>
    </row>
    <row r="2154" spans="2:15" ht="13.5" customHeight="1" x14ac:dyDescent="0.3">
      <c r="B2154" s="9">
        <f>[1]Discovery!A2160</f>
        <v>70413370</v>
      </c>
      <c r="C2154" s="9" t="str">
        <f>[1]Discovery!B2160</f>
        <v>한라산</v>
      </c>
      <c r="D2154" s="9" t="str">
        <f>[1]Discovery!E2160</f>
        <v>자연</v>
      </c>
      <c r="E2154" s="9" t="str">
        <f>[1]Discovery!C2160</f>
        <v>지리</v>
      </c>
      <c r="F2154" s="9" t="str">
        <f>[1]Discovery!G2160</f>
        <v>A</v>
      </c>
      <c r="G2154" s="9" t="str">
        <f>IFERROR(VLOOKUP(표1[[#This Row],[명칭]],'문화권 정리'!C:D,2,FALSE),"-")</f>
        <v>동아시아</v>
      </c>
      <c r="H2154" s="38" t="str">
        <f>IFERROR(COUNTIF([2]OceanDoodad!$Y:$Y,표1[[#This Row],[명칭]]),"-")</f>
        <v>-</v>
      </c>
      <c r="I2154" s="38">
        <f>IFERROR(COUNTIF([1]AdventureDiscoveryGroup!$D$8:$AW$92,표1[[#This Row],[명칭]]),"-")</f>
        <v>0</v>
      </c>
      <c r="J2154" s="38">
        <f>IFERROR(COUNTIF([1]FishDiscoveryGroup!$A:$X,표1[[#This Row],[명칭]]),"-")</f>
        <v>0</v>
      </c>
      <c r="K2154" s="38" t="str">
        <f>IFERROR(COUNTIF([2]Town!$B:$B,표1[[#This Row],[명칭]]),"-")</f>
        <v>-</v>
      </c>
      <c r="L2154" s="38">
        <f>IFERROR(COUNTIF([1]Village!$BR:$BR,표1[[#This Row],[명칭]]),"-")</f>
        <v>0</v>
      </c>
      <c r="M2154" s="38">
        <f>COUNTIF(퀘스트!B:B,표1[[#This Row],[명칭]])</f>
        <v>0</v>
      </c>
      <c r="N2154" s="65">
        <f>COUNTIF([1]VillageDiscoveryGroup!$C:$C,표1[[#This Row],[명칭]])</f>
        <v>0</v>
      </c>
      <c r="O2154" s="65">
        <f>SUM(표1[[#This Row],[해양탐색]:[마을탐험]])</f>
        <v>0</v>
      </c>
    </row>
    <row r="2155" spans="2:15" ht="13.5" customHeight="1" x14ac:dyDescent="0.3">
      <c r="B2155" s="9">
        <f>[1]Discovery!A2161</f>
        <v>70413371</v>
      </c>
      <c r="C2155" s="9" t="str">
        <f>[1]Discovery!B2161</f>
        <v>할마헤라섬</v>
      </c>
      <c r="D2155" s="9" t="str">
        <f>[1]Discovery!E2161</f>
        <v>자연</v>
      </c>
      <c r="E2155" s="9" t="str">
        <f>[1]Discovery!C2161</f>
        <v>지리</v>
      </c>
      <c r="F2155" s="9" t="str">
        <f>[1]Discovery!G2161</f>
        <v>B</v>
      </c>
      <c r="G2155" s="9" t="str">
        <f>IFERROR(VLOOKUP(표1[[#This Row],[명칭]],'문화권 정리'!C:D,2,FALSE),"-")</f>
        <v>동남아시아</v>
      </c>
      <c r="H2155" s="38" t="str">
        <f>IFERROR(COUNTIF([2]OceanDoodad!$Y:$Y,표1[[#This Row],[명칭]]),"-")</f>
        <v>-</v>
      </c>
      <c r="I2155" s="38">
        <f>IFERROR(COUNTIF([1]AdventureDiscoveryGroup!$D$8:$AW$92,표1[[#This Row],[명칭]]),"-")</f>
        <v>0</v>
      </c>
      <c r="J2155" s="38">
        <f>IFERROR(COUNTIF([1]FishDiscoveryGroup!$A:$X,표1[[#This Row],[명칭]]),"-")</f>
        <v>0</v>
      </c>
      <c r="K2155" s="38" t="str">
        <f>IFERROR(COUNTIF([2]Town!$B:$B,표1[[#This Row],[명칭]]),"-")</f>
        <v>-</v>
      </c>
      <c r="L2155" s="38">
        <f>IFERROR(COUNTIF([1]Village!$BR:$BR,표1[[#This Row],[명칭]]),"-")</f>
        <v>0</v>
      </c>
      <c r="M2155" s="38">
        <f>COUNTIF(퀘스트!B:B,표1[[#This Row],[명칭]])</f>
        <v>0</v>
      </c>
      <c r="N2155" s="65">
        <f>COUNTIF([1]VillageDiscoveryGroup!$C:$C,표1[[#This Row],[명칭]])</f>
        <v>0</v>
      </c>
      <c r="O2155" s="65">
        <f>SUM(표1[[#This Row],[해양탐색]:[마을탐험]])</f>
        <v>0</v>
      </c>
    </row>
    <row r="2156" spans="2:15" ht="13.5" customHeight="1" x14ac:dyDescent="0.3">
      <c r="B2156" s="9">
        <f>[1]Discovery!A2162</f>
        <v>70413372</v>
      </c>
      <c r="C2156" s="9" t="str">
        <f>[1]Discovery!B2162</f>
        <v>허드슨강</v>
      </c>
      <c r="D2156" s="9" t="str">
        <f>[1]Discovery!E2162</f>
        <v>자연</v>
      </c>
      <c r="E2156" s="9" t="str">
        <f>[1]Discovery!C2162</f>
        <v>지리</v>
      </c>
      <c r="F2156" s="9" t="str">
        <f>[1]Discovery!G2162</f>
        <v>C</v>
      </c>
      <c r="G2156" s="9" t="str">
        <f>IFERROR(VLOOKUP(표1[[#This Row],[명칭]],'문화권 정리'!C:D,2,FALSE),"-")</f>
        <v>북아메리카</v>
      </c>
      <c r="H2156" s="38" t="str">
        <f>IFERROR(COUNTIF([2]OceanDoodad!$Y:$Y,표1[[#This Row],[명칭]]),"-")</f>
        <v>-</v>
      </c>
      <c r="I2156" s="38">
        <f>IFERROR(COUNTIF([1]AdventureDiscoveryGroup!$D$8:$AW$92,표1[[#This Row],[명칭]]),"-")</f>
        <v>0</v>
      </c>
      <c r="J2156" s="38">
        <f>IFERROR(COUNTIF([1]FishDiscoveryGroup!$A:$X,표1[[#This Row],[명칭]]),"-")</f>
        <v>0</v>
      </c>
      <c r="K2156" s="38" t="str">
        <f>IFERROR(COUNTIF([2]Town!$B:$B,표1[[#This Row],[명칭]]),"-")</f>
        <v>-</v>
      </c>
      <c r="L2156" s="38">
        <f>IFERROR(COUNTIF([1]Village!$BR:$BR,표1[[#This Row],[명칭]]),"-")</f>
        <v>0</v>
      </c>
      <c r="M2156" s="38">
        <f>COUNTIF(퀘스트!B:B,표1[[#This Row],[명칭]])</f>
        <v>0</v>
      </c>
      <c r="N2156" s="65">
        <f>COUNTIF([1]VillageDiscoveryGroup!$C:$C,표1[[#This Row],[명칭]])</f>
        <v>0</v>
      </c>
      <c r="O2156" s="65">
        <f>SUM(표1[[#This Row],[해양탐색]:[마을탐험]])</f>
        <v>0</v>
      </c>
    </row>
    <row r="2157" spans="2:15" ht="13.5" customHeight="1" x14ac:dyDescent="0.3">
      <c r="B2157" s="9">
        <f>[1]Discovery!A2163</f>
        <v>70413373</v>
      </c>
      <c r="C2157" s="9" t="str">
        <f>[1]Discovery!B2163</f>
        <v>헤클라산</v>
      </c>
      <c r="D2157" s="9" t="str">
        <f>[1]Discovery!E2163</f>
        <v>자연</v>
      </c>
      <c r="E2157" s="9" t="str">
        <f>[1]Discovery!C2163</f>
        <v>지리</v>
      </c>
      <c r="F2157" s="9" t="str">
        <f>[1]Discovery!G2163</f>
        <v>B</v>
      </c>
      <c r="G2157" s="9" t="str">
        <f>IFERROR(VLOOKUP(표1[[#This Row],[명칭]],'문화권 정리'!C:D,2,FALSE),"-")</f>
        <v>극지방</v>
      </c>
      <c r="H2157" s="38" t="str">
        <f>IFERROR(COUNTIF([2]OceanDoodad!$Y:$Y,표1[[#This Row],[명칭]]),"-")</f>
        <v>-</v>
      </c>
      <c r="I2157" s="38">
        <f>IFERROR(COUNTIF([1]AdventureDiscoveryGroup!$D$8:$AW$92,표1[[#This Row],[명칭]]),"-")</f>
        <v>0</v>
      </c>
      <c r="J2157" s="38">
        <f>IFERROR(COUNTIF([1]FishDiscoveryGroup!$A:$X,표1[[#This Row],[명칭]]),"-")</f>
        <v>0</v>
      </c>
      <c r="K2157" s="38" t="str">
        <f>IFERROR(COUNTIF([2]Town!$B:$B,표1[[#This Row],[명칭]]),"-")</f>
        <v>-</v>
      </c>
      <c r="L2157" s="38">
        <f>IFERROR(COUNTIF([1]Village!$BR:$BR,표1[[#This Row],[명칭]]),"-")</f>
        <v>0</v>
      </c>
      <c r="M2157" s="38">
        <f>COUNTIF(퀘스트!B:B,표1[[#This Row],[명칭]])</f>
        <v>0</v>
      </c>
      <c r="N2157" s="65">
        <f>COUNTIF([1]VillageDiscoveryGroup!$C:$C,표1[[#This Row],[명칭]])</f>
        <v>0</v>
      </c>
      <c r="O2157" s="65">
        <f>SUM(표1[[#This Row],[해양탐색]:[마을탐험]])</f>
        <v>0</v>
      </c>
    </row>
    <row r="2158" spans="2:15" ht="13.5" customHeight="1" x14ac:dyDescent="0.3">
      <c r="B2158" s="9">
        <f>[1]Discovery!A2164</f>
        <v>70413374</v>
      </c>
      <c r="C2158" s="9" t="str">
        <f>[1]Discovery!B2164</f>
        <v>하라무즈해협</v>
      </c>
      <c r="D2158" s="9" t="str">
        <f>[1]Discovery!E2164</f>
        <v>자연</v>
      </c>
      <c r="E2158" s="9" t="str">
        <f>[1]Discovery!C2164</f>
        <v>지리</v>
      </c>
      <c r="F2158" s="9" t="str">
        <f>[1]Discovery!G2164</f>
        <v>B</v>
      </c>
      <c r="G2158" s="9" t="str">
        <f>IFERROR(VLOOKUP(표1[[#This Row],[명칭]],'문화권 정리'!C:D,2,FALSE),"-")</f>
        <v>서남아시아</v>
      </c>
      <c r="H2158" s="38" t="str">
        <f>IFERROR(COUNTIF([2]OceanDoodad!$Y:$Y,표1[[#This Row],[명칭]]),"-")</f>
        <v>-</v>
      </c>
      <c r="I2158" s="38">
        <f>IFERROR(COUNTIF([1]AdventureDiscoveryGroup!$D$8:$AW$92,표1[[#This Row],[명칭]]),"-")</f>
        <v>0</v>
      </c>
      <c r="J2158" s="38">
        <f>IFERROR(COUNTIF([1]FishDiscoveryGroup!$A:$X,표1[[#This Row],[명칭]]),"-")</f>
        <v>0</v>
      </c>
      <c r="K2158" s="38" t="str">
        <f>IFERROR(COUNTIF([2]Town!$B:$B,표1[[#This Row],[명칭]]),"-")</f>
        <v>-</v>
      </c>
      <c r="L2158" s="38">
        <f>IFERROR(COUNTIF([1]Village!$BR:$BR,표1[[#This Row],[명칭]]),"-")</f>
        <v>0</v>
      </c>
      <c r="M2158" s="38">
        <f>COUNTIF(퀘스트!B:B,표1[[#This Row],[명칭]])</f>
        <v>0</v>
      </c>
      <c r="N2158" s="65">
        <f>COUNTIF([1]VillageDiscoveryGroup!$C:$C,표1[[#This Row],[명칭]])</f>
        <v>0</v>
      </c>
      <c r="O2158" s="65">
        <f>SUM(표1[[#This Row],[해양탐색]:[마을탐험]])</f>
        <v>0</v>
      </c>
    </row>
    <row r="2159" spans="2:15" ht="13.5" customHeight="1" x14ac:dyDescent="0.3">
      <c r="B2159" s="9">
        <f>[1]Discovery!A2165</f>
        <v>70413375</v>
      </c>
      <c r="C2159" s="9" t="str">
        <f>[1]Discovery!B2165</f>
        <v>호스테일폭포</v>
      </c>
      <c r="D2159" s="9" t="str">
        <f>[1]Discovery!E2165</f>
        <v>자연</v>
      </c>
      <c r="E2159" s="9" t="str">
        <f>[1]Discovery!C2165</f>
        <v>지리</v>
      </c>
      <c r="F2159" s="9" t="str">
        <f>[1]Discovery!G2165</f>
        <v>A</v>
      </c>
      <c r="G2159" s="9" t="str">
        <f>IFERROR(VLOOKUP(표1[[#This Row],[명칭]],'문화권 정리'!C:D,2,FALSE),"-")</f>
        <v>북아메리카</v>
      </c>
      <c r="H2159" s="38" t="str">
        <f>IFERROR(COUNTIF([2]OceanDoodad!$Y:$Y,표1[[#This Row],[명칭]]),"-")</f>
        <v>-</v>
      </c>
      <c r="I2159" s="38">
        <f>IFERROR(COUNTIF([1]AdventureDiscoveryGroup!$D$8:$AW$92,표1[[#This Row],[명칭]]),"-")</f>
        <v>0</v>
      </c>
      <c r="J2159" s="38">
        <f>IFERROR(COUNTIF([1]FishDiscoveryGroup!$A:$X,표1[[#This Row],[명칭]]),"-")</f>
        <v>0</v>
      </c>
      <c r="K2159" s="38" t="str">
        <f>IFERROR(COUNTIF([2]Town!$B:$B,표1[[#This Row],[명칭]]),"-")</f>
        <v>-</v>
      </c>
      <c r="L2159" s="38">
        <f>IFERROR(COUNTIF([1]Village!$BR:$BR,표1[[#This Row],[명칭]]),"-")</f>
        <v>0</v>
      </c>
      <c r="M2159" s="38">
        <f>COUNTIF(퀘스트!B:B,표1[[#This Row],[명칭]])</f>
        <v>0</v>
      </c>
      <c r="N2159" s="65">
        <f>COUNTIF([1]VillageDiscoveryGroup!$C:$C,표1[[#This Row],[명칭]])</f>
        <v>0</v>
      </c>
      <c r="O2159" s="65">
        <f>SUM(표1[[#This Row],[해양탐색]:[마을탐험]])</f>
        <v>0</v>
      </c>
    </row>
    <row r="2160" spans="2:15" ht="13.5" customHeight="1" x14ac:dyDescent="0.3">
      <c r="B2160" s="9">
        <f>[1]Discovery!A2166</f>
        <v>70413376</v>
      </c>
      <c r="C2160" s="9" t="str">
        <f>[1]Discovery!B2166</f>
        <v>홍해</v>
      </c>
      <c r="D2160" s="9" t="str">
        <f>[1]Discovery!E2166</f>
        <v>자연</v>
      </c>
      <c r="E2160" s="9" t="str">
        <f>[1]Discovery!C2166</f>
        <v>지리</v>
      </c>
      <c r="F2160" s="9" t="str">
        <f>[1]Discovery!G2166</f>
        <v>C</v>
      </c>
      <c r="G2160" s="9" t="str">
        <f>IFERROR(VLOOKUP(표1[[#This Row],[명칭]],'문화권 정리'!C:D,2,FALSE),"-")</f>
        <v>서남아시아</v>
      </c>
      <c r="H2160" s="38" t="str">
        <f>IFERROR(COUNTIF([2]OceanDoodad!$Y:$Y,표1[[#This Row],[명칭]]),"-")</f>
        <v>-</v>
      </c>
      <c r="I2160" s="38">
        <f>IFERROR(COUNTIF([1]AdventureDiscoveryGroup!$D$8:$AW$92,표1[[#This Row],[명칭]]),"-")</f>
        <v>0</v>
      </c>
      <c r="J2160" s="38">
        <f>IFERROR(COUNTIF([1]FishDiscoveryGroup!$A:$X,표1[[#This Row],[명칭]]),"-")</f>
        <v>0</v>
      </c>
      <c r="K2160" s="38" t="str">
        <f>IFERROR(COUNTIF([2]Town!$B:$B,표1[[#This Row],[명칭]]),"-")</f>
        <v>-</v>
      </c>
      <c r="L2160" s="38">
        <f>IFERROR(COUNTIF([1]Village!$BR:$BR,표1[[#This Row],[명칭]]),"-")</f>
        <v>0</v>
      </c>
      <c r="M2160" s="38">
        <f>COUNTIF(퀘스트!B:B,표1[[#This Row],[명칭]])</f>
        <v>0</v>
      </c>
      <c r="N2160" s="65">
        <f>COUNTIF([1]VillageDiscoveryGroup!$C:$C,표1[[#This Row],[명칭]])</f>
        <v>0</v>
      </c>
      <c r="O2160" s="65">
        <f>SUM(표1[[#This Row],[해양탐색]:[마을탐험]])</f>
        <v>0</v>
      </c>
    </row>
    <row r="2161" spans="2:15" ht="13.5" customHeight="1" x14ac:dyDescent="0.3">
      <c r="B2161" s="9">
        <f>[1]Discovery!A2167</f>
        <v>70413377</v>
      </c>
      <c r="C2161" s="9" t="str">
        <f>[1]Discovery!B2167</f>
        <v>황산</v>
      </c>
      <c r="D2161" s="9" t="str">
        <f>[1]Discovery!E2167</f>
        <v>자연</v>
      </c>
      <c r="E2161" s="9" t="str">
        <f>[1]Discovery!C2167</f>
        <v>지리</v>
      </c>
      <c r="F2161" s="9" t="str">
        <f>[1]Discovery!G2167</f>
        <v>A</v>
      </c>
      <c r="G2161" s="9" t="str">
        <f>IFERROR(VLOOKUP(표1[[#This Row],[명칭]],'문화권 정리'!C:D,2,FALSE),"-")</f>
        <v>동아시아</v>
      </c>
      <c r="H2161" s="38" t="str">
        <f>IFERROR(COUNTIF([2]OceanDoodad!$Y:$Y,표1[[#This Row],[명칭]]),"-")</f>
        <v>-</v>
      </c>
      <c r="I2161" s="38">
        <f>IFERROR(COUNTIF([1]AdventureDiscoveryGroup!$D$8:$AW$92,표1[[#This Row],[명칭]]),"-")</f>
        <v>0</v>
      </c>
      <c r="J2161" s="38">
        <f>IFERROR(COUNTIF([1]FishDiscoveryGroup!$A:$X,표1[[#This Row],[명칭]]),"-")</f>
        <v>0</v>
      </c>
      <c r="K2161" s="38" t="str">
        <f>IFERROR(COUNTIF([2]Town!$B:$B,표1[[#This Row],[명칭]]),"-")</f>
        <v>-</v>
      </c>
      <c r="L2161" s="38">
        <f>IFERROR(COUNTIF([1]Village!$BR:$BR,표1[[#This Row],[명칭]]),"-")</f>
        <v>0</v>
      </c>
      <c r="M2161" s="38">
        <f>COUNTIF(퀘스트!B:B,표1[[#This Row],[명칭]])</f>
        <v>0</v>
      </c>
      <c r="N2161" s="65">
        <f>COUNTIF([1]VillageDiscoveryGroup!$C:$C,표1[[#This Row],[명칭]])</f>
        <v>0</v>
      </c>
      <c r="O2161" s="65">
        <f>SUM(표1[[#This Row],[해양탐색]:[마을탐험]])</f>
        <v>0</v>
      </c>
    </row>
    <row r="2162" spans="2:15" ht="13.5" customHeight="1" x14ac:dyDescent="0.3">
      <c r="B2162" s="9">
        <f>[1]Discovery!A2168</f>
        <v>70413378</v>
      </c>
      <c r="C2162" s="9" t="str">
        <f>[1]Discovery!B2168</f>
        <v>황허</v>
      </c>
      <c r="D2162" s="9" t="str">
        <f>[1]Discovery!E2168</f>
        <v>자연</v>
      </c>
      <c r="E2162" s="9" t="str">
        <f>[1]Discovery!C2168</f>
        <v>지리</v>
      </c>
      <c r="F2162" s="9" t="str">
        <f>[1]Discovery!G2168</f>
        <v>C</v>
      </c>
      <c r="G2162" s="9" t="str">
        <f>IFERROR(VLOOKUP(표1[[#This Row],[명칭]],'문화권 정리'!C:D,2,FALSE),"-")</f>
        <v>동아시아</v>
      </c>
      <c r="H2162" s="38" t="str">
        <f>IFERROR(COUNTIF([2]OceanDoodad!$Y:$Y,표1[[#This Row],[명칭]]),"-")</f>
        <v>-</v>
      </c>
      <c r="I2162" s="38">
        <f>IFERROR(COUNTIF([1]AdventureDiscoveryGroup!$D$8:$AW$92,표1[[#This Row],[명칭]]),"-")</f>
        <v>0</v>
      </c>
      <c r="J2162" s="38">
        <f>IFERROR(COUNTIF([1]FishDiscoveryGroup!$A:$X,표1[[#This Row],[명칭]]),"-")</f>
        <v>0</v>
      </c>
      <c r="K2162" s="38" t="str">
        <f>IFERROR(COUNTIF([2]Town!$B:$B,표1[[#This Row],[명칭]]),"-")</f>
        <v>-</v>
      </c>
      <c r="L2162" s="38">
        <f>IFERROR(COUNTIF([1]Village!$BR:$BR,표1[[#This Row],[명칭]]),"-")</f>
        <v>0</v>
      </c>
      <c r="M2162" s="38">
        <f>COUNTIF(퀘스트!B:B,표1[[#This Row],[명칭]])</f>
        <v>0</v>
      </c>
      <c r="N2162" s="65">
        <f>COUNTIF([1]VillageDiscoveryGroup!$C:$C,표1[[#This Row],[명칭]])</f>
        <v>0</v>
      </c>
      <c r="O2162" s="65">
        <f>SUM(표1[[#This Row],[해양탐색]:[마을탐험]])</f>
        <v>0</v>
      </c>
    </row>
    <row r="2163" spans="2:15" ht="13.5" customHeight="1" x14ac:dyDescent="0.3">
      <c r="B2163" s="9">
        <f>[1]Discovery!A2169</f>
        <v>70413379</v>
      </c>
      <c r="C2163" s="9" t="str">
        <f>[1]Discovery!B2169</f>
        <v>후벤투드섬</v>
      </c>
      <c r="D2163" s="9" t="str">
        <f>[1]Discovery!E2169</f>
        <v>자연</v>
      </c>
      <c r="E2163" s="9" t="str">
        <f>[1]Discovery!C2169</f>
        <v>지리</v>
      </c>
      <c r="F2163" s="9" t="str">
        <f>[1]Discovery!G2169</f>
        <v>B</v>
      </c>
      <c r="G2163" s="9" t="str">
        <f>IFERROR(VLOOKUP(표1[[#This Row],[명칭]],'문화권 정리'!C:D,2,FALSE),"-")</f>
        <v>중앙아메리카</v>
      </c>
      <c r="H2163" s="38" t="str">
        <f>IFERROR(COUNTIF([2]OceanDoodad!$Y:$Y,표1[[#This Row],[명칭]]),"-")</f>
        <v>-</v>
      </c>
      <c r="I2163" s="38">
        <f>IFERROR(COUNTIF([1]AdventureDiscoveryGroup!$D$8:$AW$92,표1[[#This Row],[명칭]]),"-")</f>
        <v>0</v>
      </c>
      <c r="J2163" s="38">
        <f>IFERROR(COUNTIF([1]FishDiscoveryGroup!$A:$X,표1[[#This Row],[명칭]]),"-")</f>
        <v>0</v>
      </c>
      <c r="K2163" s="38" t="str">
        <f>IFERROR(COUNTIF([2]Town!$B:$B,표1[[#This Row],[명칭]]),"-")</f>
        <v>-</v>
      </c>
      <c r="L2163" s="38">
        <f>IFERROR(COUNTIF([1]Village!$BR:$BR,표1[[#This Row],[명칭]]),"-")</f>
        <v>0</v>
      </c>
      <c r="M2163" s="38">
        <f>COUNTIF(퀘스트!B:B,표1[[#This Row],[명칭]])</f>
        <v>0</v>
      </c>
      <c r="N2163" s="65">
        <f>COUNTIF([1]VillageDiscoveryGroup!$C:$C,표1[[#This Row],[명칭]])</f>
        <v>0</v>
      </c>
      <c r="O2163" s="65">
        <f>SUM(표1[[#This Row],[해양탐색]:[마을탐험]])</f>
        <v>0</v>
      </c>
    </row>
    <row r="2164" spans="2:15" ht="13.5" customHeight="1" x14ac:dyDescent="0.3">
      <c r="B2164" s="9">
        <f>[1]Discovery!A2170</f>
        <v>70413380</v>
      </c>
      <c r="C2164" s="9" t="str">
        <f>[1]Discovery!B2170</f>
        <v>후지산</v>
      </c>
      <c r="D2164" s="9" t="str">
        <f>[1]Discovery!E2170</f>
        <v>자연</v>
      </c>
      <c r="E2164" s="9" t="str">
        <f>[1]Discovery!C2170</f>
        <v>지리</v>
      </c>
      <c r="F2164" s="9" t="str">
        <f>[1]Discovery!G2170</f>
        <v>S</v>
      </c>
      <c r="G2164" s="9" t="str">
        <f>IFERROR(VLOOKUP(표1[[#This Row],[명칭]],'문화권 정리'!C:D,2,FALSE),"-")</f>
        <v>동아시아</v>
      </c>
      <c r="H2164" s="38" t="str">
        <f>IFERROR(COUNTIF([2]OceanDoodad!$Y:$Y,표1[[#This Row],[명칭]]),"-")</f>
        <v>-</v>
      </c>
      <c r="I2164" s="38">
        <f>IFERROR(COUNTIF([1]AdventureDiscoveryGroup!$D$8:$AW$92,표1[[#This Row],[명칭]]),"-")</f>
        <v>0</v>
      </c>
      <c r="J2164" s="38">
        <f>IFERROR(COUNTIF([1]FishDiscoveryGroup!$A:$X,표1[[#This Row],[명칭]]),"-")</f>
        <v>0</v>
      </c>
      <c r="K2164" s="38" t="str">
        <f>IFERROR(COUNTIF([2]Town!$B:$B,표1[[#This Row],[명칭]]),"-")</f>
        <v>-</v>
      </c>
      <c r="L2164" s="38">
        <f>IFERROR(COUNTIF([1]Village!$BR:$BR,표1[[#This Row],[명칭]]),"-")</f>
        <v>0</v>
      </c>
      <c r="M2164" s="38">
        <f>COUNTIF(퀘스트!B:B,표1[[#This Row],[명칭]])</f>
        <v>0</v>
      </c>
      <c r="N2164" s="65">
        <f>COUNTIF([1]VillageDiscoveryGroup!$C:$C,표1[[#This Row],[명칭]])</f>
        <v>0</v>
      </c>
      <c r="O2164" s="65">
        <f>SUM(표1[[#This Row],[해양탐색]:[마을탐험]])</f>
        <v>0</v>
      </c>
    </row>
    <row r="2165" spans="2:15" ht="13.5" customHeight="1" x14ac:dyDescent="0.3">
      <c r="B2165" s="9">
        <f>[1]Discovery!A2171</f>
        <v>70413381</v>
      </c>
      <c r="C2165" s="9" t="str">
        <f>[1]Discovery!B2171</f>
        <v>훔볼트해류</v>
      </c>
      <c r="D2165" s="9" t="str">
        <f>[1]Discovery!E2171</f>
        <v>자연</v>
      </c>
      <c r="E2165" s="9" t="str">
        <f>[1]Discovery!C2171</f>
        <v>지리</v>
      </c>
      <c r="F2165" s="9" t="str">
        <f>[1]Discovery!G2171</f>
        <v>B</v>
      </c>
      <c r="G2165" s="9" t="str">
        <f>IFERROR(VLOOKUP(표1[[#This Row],[명칭]],'문화권 정리'!C:D,2,FALSE),"-")</f>
        <v>남아메리카</v>
      </c>
      <c r="H2165" s="38" t="str">
        <f>IFERROR(COUNTIF([2]OceanDoodad!$Y:$Y,표1[[#This Row],[명칭]]),"-")</f>
        <v>-</v>
      </c>
      <c r="I2165" s="38">
        <f>IFERROR(COUNTIF([1]AdventureDiscoveryGroup!$D$8:$AW$92,표1[[#This Row],[명칭]]),"-")</f>
        <v>0</v>
      </c>
      <c r="J2165" s="38">
        <f>IFERROR(COUNTIF([1]FishDiscoveryGroup!$A:$X,표1[[#This Row],[명칭]]),"-")</f>
        <v>0</v>
      </c>
      <c r="K2165" s="38" t="str">
        <f>IFERROR(COUNTIF([2]Town!$B:$B,표1[[#This Row],[명칭]]),"-")</f>
        <v>-</v>
      </c>
      <c r="L2165" s="38">
        <f>IFERROR(COUNTIF([1]Village!$BR:$BR,표1[[#This Row],[명칭]]),"-")</f>
        <v>0</v>
      </c>
      <c r="M2165" s="38">
        <f>COUNTIF(퀘스트!B:B,표1[[#This Row],[명칭]])</f>
        <v>0</v>
      </c>
      <c r="N2165" s="65">
        <f>COUNTIF([1]VillageDiscoveryGroup!$C:$C,표1[[#This Row],[명칭]])</f>
        <v>0</v>
      </c>
      <c r="O2165" s="65">
        <f>SUM(표1[[#This Row],[해양탐색]:[마을탐험]])</f>
        <v>0</v>
      </c>
    </row>
    <row r="2166" spans="2:15" ht="13.5" customHeight="1" x14ac:dyDescent="0.3">
      <c r="B2166" s="9">
        <f>[1]Discovery!A2172</f>
        <v>70413382</v>
      </c>
      <c r="C2166" s="9" t="str">
        <f>[1]Discovery!B2172</f>
        <v>휴런호</v>
      </c>
      <c r="D2166" s="9" t="str">
        <f>[1]Discovery!E2172</f>
        <v>자연</v>
      </c>
      <c r="E2166" s="9" t="str">
        <f>[1]Discovery!C2172</f>
        <v>지리</v>
      </c>
      <c r="F2166" s="9" t="str">
        <f>[1]Discovery!G2172</f>
        <v>B</v>
      </c>
      <c r="G2166" s="9" t="str">
        <f>IFERROR(VLOOKUP(표1[[#This Row],[명칭]],'문화권 정리'!C:D,2,FALSE),"-")</f>
        <v>북아메리카</v>
      </c>
      <c r="H2166" s="38" t="str">
        <f>IFERROR(COUNTIF([2]OceanDoodad!$Y:$Y,표1[[#This Row],[명칭]]),"-")</f>
        <v>-</v>
      </c>
      <c r="I2166" s="38">
        <f>IFERROR(COUNTIF([1]AdventureDiscoveryGroup!$D$8:$AW$92,표1[[#This Row],[명칭]]),"-")</f>
        <v>0</v>
      </c>
      <c r="J2166" s="38">
        <f>IFERROR(COUNTIF([1]FishDiscoveryGroup!$A:$X,표1[[#This Row],[명칭]]),"-")</f>
        <v>0</v>
      </c>
      <c r="K2166" s="38" t="str">
        <f>IFERROR(COUNTIF([2]Town!$B:$B,표1[[#This Row],[명칭]]),"-")</f>
        <v>-</v>
      </c>
      <c r="L2166" s="38">
        <f>IFERROR(COUNTIF([1]Village!$BR:$BR,표1[[#This Row],[명칭]]),"-")</f>
        <v>0</v>
      </c>
      <c r="M2166" s="38">
        <f>COUNTIF(퀘스트!B:B,표1[[#This Row],[명칭]])</f>
        <v>0</v>
      </c>
      <c r="N2166" s="65">
        <f>COUNTIF([1]VillageDiscoveryGroup!$C:$C,표1[[#This Row],[명칭]])</f>
        <v>0</v>
      </c>
      <c r="O2166" s="65">
        <f>SUM(표1[[#This Row],[해양탐색]:[마을탐험]])</f>
        <v>0</v>
      </c>
    </row>
    <row r="2167" spans="2:15" ht="13.5" customHeight="1" x14ac:dyDescent="0.3">
      <c r="B2167" s="9">
        <f>[1]Discovery!A2173</f>
        <v>70413383</v>
      </c>
      <c r="C2167" s="9" t="str">
        <f>[1]Discovery!B2173</f>
        <v>희망봉</v>
      </c>
      <c r="D2167" s="9" t="str">
        <f>[1]Discovery!E2173</f>
        <v>자연</v>
      </c>
      <c r="E2167" s="9" t="str">
        <f>[1]Discovery!C2173</f>
        <v>지리</v>
      </c>
      <c r="F2167" s="9" t="str">
        <f>[1]Discovery!G2173</f>
        <v>S</v>
      </c>
      <c r="G2167" s="9" t="str">
        <f>IFERROR(VLOOKUP(표1[[#This Row],[명칭]],'문화권 정리'!C:D,2,FALSE),"-")</f>
        <v>남아프리카</v>
      </c>
      <c r="H2167" s="38" t="str">
        <f>IFERROR(COUNTIF([2]OceanDoodad!$Y:$Y,표1[[#This Row],[명칭]]),"-")</f>
        <v>-</v>
      </c>
      <c r="I2167" s="38">
        <f>IFERROR(COUNTIF([1]AdventureDiscoveryGroup!$D$8:$AW$92,표1[[#This Row],[명칭]]),"-")</f>
        <v>0</v>
      </c>
      <c r="J2167" s="38">
        <f>IFERROR(COUNTIF([1]FishDiscoveryGroup!$A:$X,표1[[#This Row],[명칭]]),"-")</f>
        <v>0</v>
      </c>
      <c r="K2167" s="38" t="str">
        <f>IFERROR(COUNTIF([2]Town!$B:$B,표1[[#This Row],[명칭]]),"-")</f>
        <v>-</v>
      </c>
      <c r="L2167" s="38">
        <f>IFERROR(COUNTIF([1]Village!$BR:$BR,표1[[#This Row],[명칭]]),"-")</f>
        <v>0</v>
      </c>
      <c r="M2167" s="38">
        <f>COUNTIF(퀘스트!B:B,표1[[#This Row],[명칭]])</f>
        <v>0</v>
      </c>
      <c r="N2167" s="65">
        <f>COUNTIF([1]VillageDiscoveryGroup!$C:$C,표1[[#This Row],[명칭]])</f>
        <v>0</v>
      </c>
      <c r="O2167" s="65">
        <f>SUM(표1[[#This Row],[해양탐색]:[마을탐험]])</f>
        <v>0</v>
      </c>
    </row>
    <row r="2168" spans="2:15" ht="13.5" customHeight="1" x14ac:dyDescent="0.3">
      <c r="B2168" s="9">
        <f>[1]Discovery!A2174</f>
        <v>70413384</v>
      </c>
      <c r="C2168" s="9" t="str">
        <f>[1]Discovery!B2174</f>
        <v>나스카의 지상화</v>
      </c>
      <c r="D2168" s="9" t="str">
        <f>[1]Discovery!E2174</f>
        <v>자연</v>
      </c>
      <c r="E2168" s="9" t="str">
        <f>[1]Discovery!C2174</f>
        <v>지리</v>
      </c>
      <c r="F2168" s="9" t="str">
        <f>[1]Discovery!G2174</f>
        <v>B</v>
      </c>
      <c r="G2168" s="9" t="str">
        <f>IFERROR(VLOOKUP(표1[[#This Row],[명칭]],'문화권 정리'!C:D,2,FALSE),"-")</f>
        <v>남아메리카</v>
      </c>
      <c r="H2168" s="38" t="str">
        <f>IFERROR(COUNTIF([2]OceanDoodad!$Y:$Y,표1[[#This Row],[명칭]]),"-")</f>
        <v>-</v>
      </c>
      <c r="I2168" s="38">
        <f>IFERROR(COUNTIF([1]AdventureDiscoveryGroup!$D$8:$AW$92,표1[[#This Row],[명칭]]),"-")</f>
        <v>0</v>
      </c>
      <c r="J2168" s="38">
        <f>IFERROR(COUNTIF([1]FishDiscoveryGroup!$A:$X,표1[[#This Row],[명칭]]),"-")</f>
        <v>0</v>
      </c>
      <c r="K2168" s="38" t="str">
        <f>IFERROR(COUNTIF([2]Town!$B:$B,표1[[#This Row],[명칭]]),"-")</f>
        <v>-</v>
      </c>
      <c r="L2168" s="38">
        <f>IFERROR(COUNTIF([1]Village!$BR:$BR,표1[[#This Row],[명칭]]),"-")</f>
        <v>0</v>
      </c>
      <c r="M2168" s="38">
        <f>COUNTIF(퀘스트!B:B,표1[[#This Row],[명칭]])</f>
        <v>2</v>
      </c>
      <c r="N2168" s="65">
        <f>COUNTIF([1]VillageDiscoveryGroup!$C:$C,표1[[#This Row],[명칭]])</f>
        <v>0</v>
      </c>
      <c r="O2168" s="65">
        <f>SUM(표1[[#This Row],[해양탐색]:[마을탐험]])</f>
        <v>2</v>
      </c>
    </row>
    <row r="2169" spans="2:15" ht="13.5" customHeight="1" x14ac:dyDescent="0.3">
      <c r="B2169" s="9">
        <f>[1]Discovery!A2175</f>
        <v>70413385</v>
      </c>
      <c r="C2169" s="9" t="str">
        <f>[1]Discovery!B2175</f>
        <v>플리트비체 폭포</v>
      </c>
      <c r="D2169" s="9" t="str">
        <f>[1]Discovery!E2175</f>
        <v>자연</v>
      </c>
      <c r="E2169" s="9" t="str">
        <f>[1]Discovery!C2175</f>
        <v>지리</v>
      </c>
      <c r="F2169" s="9" t="str">
        <f>[1]Discovery!G2175</f>
        <v>B</v>
      </c>
      <c r="G2169" s="9" t="str">
        <f>IFERROR(VLOOKUP(표1[[#This Row],[명칭]],'문화권 정리'!C:D,2,FALSE),"-")</f>
        <v>지중해</v>
      </c>
      <c r="H2169" s="38" t="str">
        <f>IFERROR(COUNTIF([2]OceanDoodad!$Y:$Y,표1[[#This Row],[명칭]]),"-")</f>
        <v>-</v>
      </c>
      <c r="I2169" s="38">
        <f>IFERROR(COUNTIF([1]AdventureDiscoveryGroup!$D$8:$AW$92,표1[[#This Row],[명칭]]),"-")</f>
        <v>0</v>
      </c>
      <c r="J2169" s="38">
        <f>IFERROR(COUNTIF([1]FishDiscoveryGroup!$A:$X,표1[[#This Row],[명칭]]),"-")</f>
        <v>0</v>
      </c>
      <c r="K2169" s="38" t="str">
        <f>IFERROR(COUNTIF([2]Town!$B:$B,표1[[#This Row],[명칭]]),"-")</f>
        <v>-</v>
      </c>
      <c r="L2169" s="38">
        <f>IFERROR(COUNTIF([1]Village!$BR:$BR,표1[[#This Row],[명칭]]),"-")</f>
        <v>0</v>
      </c>
      <c r="M2169" s="38">
        <f>COUNTIF(퀘스트!B:B,표1[[#This Row],[명칭]])</f>
        <v>0</v>
      </c>
      <c r="N2169" s="65">
        <f>COUNTIF([1]VillageDiscoveryGroup!$C:$C,표1[[#This Row],[명칭]])</f>
        <v>0</v>
      </c>
      <c r="O2169" s="65">
        <f>SUM(표1[[#This Row],[해양탐색]:[마을탐험]])</f>
        <v>0</v>
      </c>
    </row>
    <row r="2170" spans="2:15" ht="13.5" customHeight="1" x14ac:dyDescent="0.3">
      <c r="B2170" s="9">
        <f>[1]Discovery!A2176</f>
        <v>70413386</v>
      </c>
      <c r="C2170" s="9" t="str">
        <f>[1]Discovery!B2176</f>
        <v>굴포스 폭포</v>
      </c>
      <c r="D2170" s="9" t="str">
        <f>[1]Discovery!E2176</f>
        <v>자연</v>
      </c>
      <c r="E2170" s="9" t="str">
        <f>[1]Discovery!C2176</f>
        <v>지리</v>
      </c>
      <c r="F2170" s="9" t="str">
        <f>[1]Discovery!G2176</f>
        <v>B</v>
      </c>
      <c r="G2170" s="9" t="str">
        <f>IFERROR(VLOOKUP(표1[[#This Row],[명칭]],'문화권 정리'!C:D,2,FALSE),"-")</f>
        <v>극지방</v>
      </c>
      <c r="H2170" s="38" t="str">
        <f>IFERROR(COUNTIF([2]OceanDoodad!$Y:$Y,표1[[#This Row],[명칭]]),"-")</f>
        <v>-</v>
      </c>
      <c r="I2170" s="38">
        <f>IFERROR(COUNTIF([1]AdventureDiscoveryGroup!$D$8:$AW$92,표1[[#This Row],[명칭]]),"-")</f>
        <v>0</v>
      </c>
      <c r="J2170" s="38">
        <f>IFERROR(COUNTIF([1]FishDiscoveryGroup!$A:$X,표1[[#This Row],[명칭]]),"-")</f>
        <v>0</v>
      </c>
      <c r="K2170" s="38" t="str">
        <f>IFERROR(COUNTIF([2]Town!$B:$B,표1[[#This Row],[명칭]]),"-")</f>
        <v>-</v>
      </c>
      <c r="L2170" s="38">
        <f>IFERROR(COUNTIF([1]Village!$BR:$BR,표1[[#This Row],[명칭]]),"-")</f>
        <v>0</v>
      </c>
      <c r="M2170" s="38">
        <f>COUNTIF(퀘스트!B:B,표1[[#This Row],[명칭]])</f>
        <v>0</v>
      </c>
      <c r="N2170" s="65">
        <f>COUNTIF([1]VillageDiscoveryGroup!$C:$C,표1[[#This Row],[명칭]])</f>
        <v>0</v>
      </c>
      <c r="O2170" s="65">
        <f>SUM(표1[[#This Row],[해양탐색]:[마을탐험]])</f>
        <v>0</v>
      </c>
    </row>
    <row r="2171" spans="2:15" ht="13.5" customHeight="1" x14ac:dyDescent="0.3">
      <c r="B2171" s="9">
        <f>[1]Discovery!A2177</f>
        <v>70413387</v>
      </c>
      <c r="C2171" s="9" t="str">
        <f>[1]Discovery!B2177</f>
        <v>데티포스 폭포</v>
      </c>
      <c r="D2171" s="9" t="str">
        <f>[1]Discovery!E2177</f>
        <v>자연</v>
      </c>
      <c r="E2171" s="9" t="str">
        <f>[1]Discovery!C2177</f>
        <v>지리</v>
      </c>
      <c r="F2171" s="9" t="str">
        <f>[1]Discovery!G2177</f>
        <v>B</v>
      </c>
      <c r="G2171" s="9" t="str">
        <f>IFERROR(VLOOKUP(표1[[#This Row],[명칭]],'문화권 정리'!C:D,2,FALSE),"-")</f>
        <v>극지방</v>
      </c>
      <c r="H2171" s="38" t="str">
        <f>IFERROR(COUNTIF([2]OceanDoodad!$Y:$Y,표1[[#This Row],[명칭]]),"-")</f>
        <v>-</v>
      </c>
      <c r="I2171" s="38">
        <f>IFERROR(COUNTIF([1]AdventureDiscoveryGroup!$D$8:$AW$92,표1[[#This Row],[명칭]]),"-")</f>
        <v>0</v>
      </c>
      <c r="J2171" s="38">
        <f>IFERROR(COUNTIF([1]FishDiscoveryGroup!$A:$X,표1[[#This Row],[명칭]]),"-")</f>
        <v>0</v>
      </c>
      <c r="K2171" s="38" t="str">
        <f>IFERROR(COUNTIF([2]Town!$B:$B,표1[[#This Row],[명칭]]),"-")</f>
        <v>-</v>
      </c>
      <c r="L2171" s="38">
        <f>IFERROR(COUNTIF([1]Village!$BR:$BR,표1[[#This Row],[명칭]]),"-")</f>
        <v>0</v>
      </c>
      <c r="M2171" s="38">
        <f>COUNTIF(퀘스트!B:B,표1[[#This Row],[명칭]])</f>
        <v>0</v>
      </c>
      <c r="N2171" s="65">
        <f>COUNTIF([1]VillageDiscoveryGroup!$C:$C,표1[[#This Row],[명칭]])</f>
        <v>0</v>
      </c>
      <c r="O2171" s="65">
        <f>SUM(표1[[#This Row],[해양탐색]:[마을탐험]])</f>
        <v>0</v>
      </c>
    </row>
    <row r="2172" spans="2:15" ht="13.5" customHeight="1" x14ac:dyDescent="0.3">
      <c r="B2172" s="9">
        <f>[1]Discovery!A2178</f>
        <v>70413388</v>
      </c>
      <c r="C2172" s="9" t="str">
        <f>[1]Discovery!B2178</f>
        <v>서덜랜드폭포</v>
      </c>
      <c r="D2172" s="9" t="str">
        <f>[1]Discovery!E2178</f>
        <v>자연</v>
      </c>
      <c r="E2172" s="9" t="str">
        <f>[1]Discovery!C2178</f>
        <v>지리</v>
      </c>
      <c r="F2172" s="9" t="str">
        <f>[1]Discovery!G2178</f>
        <v>B</v>
      </c>
      <c r="G2172" s="9" t="str">
        <f>IFERROR(VLOOKUP(표1[[#This Row],[명칭]],'문화권 정리'!C:D,2,FALSE),"-")</f>
        <v>오세아니아</v>
      </c>
      <c r="H2172" s="38" t="str">
        <f>IFERROR(COUNTIF([2]OceanDoodad!$Y:$Y,표1[[#This Row],[명칭]]),"-")</f>
        <v>-</v>
      </c>
      <c r="I2172" s="38">
        <f>IFERROR(COUNTIF([1]AdventureDiscoveryGroup!$D$8:$AW$92,표1[[#This Row],[명칭]]),"-")</f>
        <v>0</v>
      </c>
      <c r="J2172" s="38">
        <f>IFERROR(COUNTIF([1]FishDiscoveryGroup!$A:$X,표1[[#This Row],[명칭]]),"-")</f>
        <v>0</v>
      </c>
      <c r="K2172" s="38" t="str">
        <f>IFERROR(COUNTIF([2]Town!$B:$B,표1[[#This Row],[명칭]]),"-")</f>
        <v>-</v>
      </c>
      <c r="L2172" s="38">
        <f>IFERROR(COUNTIF([1]Village!$BR:$BR,표1[[#This Row],[명칭]]),"-")</f>
        <v>0</v>
      </c>
      <c r="M2172" s="38">
        <f>COUNTIF(퀘스트!B:B,표1[[#This Row],[명칭]])</f>
        <v>0</v>
      </c>
      <c r="N2172" s="65">
        <f>COUNTIF([1]VillageDiscoveryGroup!$C:$C,표1[[#This Row],[명칭]])</f>
        <v>0</v>
      </c>
      <c r="O2172" s="65">
        <f>SUM(표1[[#This Row],[해양탐색]:[마을탐험]])</f>
        <v>0</v>
      </c>
    </row>
    <row r="2173" spans="2:15" ht="13.5" customHeight="1" x14ac:dyDescent="0.3">
      <c r="B2173" s="9">
        <f>[1]Discovery!A2179</f>
        <v>70413389</v>
      </c>
      <c r="C2173" s="9" t="str">
        <f>[1]Discovery!B2179</f>
        <v>딘얀디 폭포</v>
      </c>
      <c r="D2173" s="9" t="str">
        <f>[1]Discovery!E2179</f>
        <v>자연</v>
      </c>
      <c r="E2173" s="9" t="str">
        <f>[1]Discovery!C2179</f>
        <v>지리</v>
      </c>
      <c r="F2173" s="9" t="str">
        <f>[1]Discovery!G2179</f>
        <v>B</v>
      </c>
      <c r="G2173" s="9" t="str">
        <f>IFERROR(VLOOKUP(표1[[#This Row],[명칭]],'문화권 정리'!C:D,2,FALSE),"-")</f>
        <v>극지방</v>
      </c>
      <c r="H2173" s="38" t="str">
        <f>IFERROR(COUNTIF([2]OceanDoodad!$Y:$Y,표1[[#This Row],[명칭]]),"-")</f>
        <v>-</v>
      </c>
      <c r="I2173" s="38">
        <f>IFERROR(COUNTIF([1]AdventureDiscoveryGroup!$D$8:$AW$92,표1[[#This Row],[명칭]]),"-")</f>
        <v>0</v>
      </c>
      <c r="J2173" s="38">
        <f>IFERROR(COUNTIF([1]FishDiscoveryGroup!$A:$X,표1[[#This Row],[명칭]]),"-")</f>
        <v>0</v>
      </c>
      <c r="K2173" s="38" t="str">
        <f>IFERROR(COUNTIF([2]Town!$B:$B,표1[[#This Row],[명칭]]),"-")</f>
        <v>-</v>
      </c>
      <c r="L2173" s="38">
        <f>IFERROR(COUNTIF([1]Village!$BR:$BR,표1[[#This Row],[명칭]]),"-")</f>
        <v>0</v>
      </c>
      <c r="M2173" s="38">
        <f>COUNTIF(퀘스트!B:B,표1[[#This Row],[명칭]])</f>
        <v>0</v>
      </c>
      <c r="N2173" s="65">
        <f>COUNTIF([1]VillageDiscoveryGroup!$C:$C,표1[[#This Row],[명칭]])</f>
        <v>0</v>
      </c>
      <c r="O2173" s="65">
        <f>SUM(표1[[#This Row],[해양탐색]:[마을탐험]])</f>
        <v>0</v>
      </c>
    </row>
    <row r="2174" spans="2:15" ht="13.5" customHeight="1" x14ac:dyDescent="0.3">
      <c r="B2174" s="9">
        <f>[1]Discovery!A2180</f>
        <v>70413390</v>
      </c>
      <c r="C2174" s="9" t="str">
        <f>[1]Discovery!B2180</f>
        <v>고다포스 폭포</v>
      </c>
      <c r="D2174" s="9" t="str">
        <f>[1]Discovery!E2180</f>
        <v>자연</v>
      </c>
      <c r="E2174" s="9" t="str">
        <f>[1]Discovery!C2180</f>
        <v>지리</v>
      </c>
      <c r="F2174" s="9" t="str">
        <f>[1]Discovery!G2180</f>
        <v>B</v>
      </c>
      <c r="G2174" s="9" t="str">
        <f>IFERROR(VLOOKUP(표1[[#This Row],[명칭]],'문화권 정리'!C:D,2,FALSE),"-")</f>
        <v>극지방</v>
      </c>
      <c r="H2174" s="38" t="str">
        <f>IFERROR(COUNTIF([2]OceanDoodad!$Y:$Y,표1[[#This Row],[명칭]]),"-")</f>
        <v>-</v>
      </c>
      <c r="I2174" s="38">
        <f>IFERROR(COUNTIF([1]AdventureDiscoveryGroup!$D$8:$AW$92,표1[[#This Row],[명칭]]),"-")</f>
        <v>0</v>
      </c>
      <c r="J2174" s="38">
        <f>IFERROR(COUNTIF([1]FishDiscoveryGroup!$A:$X,표1[[#This Row],[명칭]]),"-")</f>
        <v>0</v>
      </c>
      <c r="K2174" s="38" t="str">
        <f>IFERROR(COUNTIF([2]Town!$B:$B,표1[[#This Row],[명칭]]),"-")</f>
        <v>-</v>
      </c>
      <c r="L2174" s="38">
        <f>IFERROR(COUNTIF([1]Village!$BR:$BR,표1[[#This Row],[명칭]]),"-")</f>
        <v>0</v>
      </c>
      <c r="M2174" s="38">
        <f>COUNTIF(퀘스트!B:B,표1[[#This Row],[명칭]])</f>
        <v>0</v>
      </c>
      <c r="N2174" s="65">
        <f>COUNTIF([1]VillageDiscoveryGroup!$C:$C,표1[[#This Row],[명칭]])</f>
        <v>0</v>
      </c>
      <c r="O2174" s="65">
        <f>SUM(표1[[#This Row],[해양탐색]:[마을탐험]])</f>
        <v>0</v>
      </c>
    </row>
    <row r="2175" spans="2:15" ht="13.5" customHeight="1" x14ac:dyDescent="0.3">
      <c r="B2175" s="9">
        <f>[1]Discovery!A2181</f>
        <v>70413391</v>
      </c>
      <c r="C2175" s="9" t="str">
        <f>[1]Discovery!B2181</f>
        <v>크레비아 폭포</v>
      </c>
      <c r="D2175" s="9" t="str">
        <f>[1]Discovery!E2181</f>
        <v>자연</v>
      </c>
      <c r="E2175" s="9" t="str">
        <f>[1]Discovery!C2181</f>
        <v>지리</v>
      </c>
      <c r="F2175" s="9" t="str">
        <f>[1]Discovery!G2181</f>
        <v>B</v>
      </c>
      <c r="G2175" s="9" t="str">
        <f>IFERROR(VLOOKUP(표1[[#This Row],[명칭]],'문화권 정리'!C:D,2,FALSE),"-")</f>
        <v>북유럽</v>
      </c>
      <c r="H2175" s="38" t="str">
        <f>IFERROR(COUNTIF([2]OceanDoodad!$Y:$Y,표1[[#This Row],[명칭]]),"-")</f>
        <v>-</v>
      </c>
      <c r="I2175" s="38">
        <f>IFERROR(COUNTIF([1]AdventureDiscoveryGroup!$D$8:$AW$92,표1[[#This Row],[명칭]]),"-")</f>
        <v>0</v>
      </c>
      <c r="J2175" s="38">
        <f>IFERROR(COUNTIF([1]FishDiscoveryGroup!$A:$X,표1[[#This Row],[명칭]]),"-")</f>
        <v>0</v>
      </c>
      <c r="K2175" s="38" t="str">
        <f>IFERROR(COUNTIF([2]Town!$B:$B,표1[[#This Row],[명칭]]),"-")</f>
        <v>-</v>
      </c>
      <c r="L2175" s="38">
        <f>IFERROR(COUNTIF([1]Village!$BR:$BR,표1[[#This Row],[명칭]]),"-")</f>
        <v>0</v>
      </c>
      <c r="M2175" s="38">
        <f>COUNTIF(퀘스트!B:B,표1[[#This Row],[명칭]])</f>
        <v>0</v>
      </c>
      <c r="N2175" s="65">
        <f>COUNTIF([1]VillageDiscoveryGroup!$C:$C,표1[[#This Row],[명칭]])</f>
        <v>0</v>
      </c>
      <c r="O2175" s="65">
        <f>SUM(표1[[#This Row],[해양탐색]:[마을탐험]])</f>
        <v>0</v>
      </c>
    </row>
    <row r="2176" spans="2:15" ht="13.5" customHeight="1" x14ac:dyDescent="0.3">
      <c r="B2176" s="9">
        <f>[1]Discovery!A2182</f>
        <v>70413392</v>
      </c>
      <c r="C2176" s="9" t="str">
        <f>[1]Discovery!B2182</f>
        <v>하이포스 폭포</v>
      </c>
      <c r="D2176" s="9" t="str">
        <f>[1]Discovery!E2182</f>
        <v>자연</v>
      </c>
      <c r="E2176" s="9" t="str">
        <f>[1]Discovery!C2182</f>
        <v>지리</v>
      </c>
      <c r="F2176" s="9" t="str">
        <f>[1]Discovery!G2182</f>
        <v>B</v>
      </c>
      <c r="G2176" s="9" t="str">
        <f>IFERROR(VLOOKUP(표1[[#This Row],[명칭]],'문화권 정리'!C:D,2,FALSE),"-")</f>
        <v>극지방</v>
      </c>
      <c r="H2176" s="38" t="str">
        <f>IFERROR(COUNTIF([2]OceanDoodad!$Y:$Y,표1[[#This Row],[명칭]]),"-")</f>
        <v>-</v>
      </c>
      <c r="I2176" s="38">
        <f>IFERROR(COUNTIF([1]AdventureDiscoveryGroup!$D$8:$AW$92,표1[[#This Row],[명칭]]),"-")</f>
        <v>0</v>
      </c>
      <c r="J2176" s="38">
        <f>IFERROR(COUNTIF([1]FishDiscoveryGroup!$A:$X,표1[[#This Row],[명칭]]),"-")</f>
        <v>0</v>
      </c>
      <c r="K2176" s="38" t="str">
        <f>IFERROR(COUNTIF([2]Town!$B:$B,표1[[#This Row],[명칭]]),"-")</f>
        <v>-</v>
      </c>
      <c r="L2176" s="38">
        <f>IFERROR(COUNTIF([1]Village!$BR:$BR,표1[[#This Row],[명칭]]),"-")</f>
        <v>0</v>
      </c>
      <c r="M2176" s="38">
        <f>COUNTIF(퀘스트!B:B,표1[[#This Row],[명칭]])</f>
        <v>0</v>
      </c>
      <c r="N2176" s="65">
        <f>COUNTIF([1]VillageDiscoveryGroup!$C:$C,표1[[#This Row],[명칭]])</f>
        <v>0</v>
      </c>
      <c r="O2176" s="65">
        <f>SUM(표1[[#This Row],[해양탐색]:[마을탐험]])</f>
        <v>0</v>
      </c>
    </row>
    <row r="2177" spans="2:15" ht="13.5" customHeight="1" x14ac:dyDescent="0.3">
      <c r="B2177" s="9">
        <f>[1]Discovery!A2183</f>
        <v>70413393</v>
      </c>
      <c r="C2177" s="9" t="str">
        <f>[1]Discovery!B2183</f>
        <v>벤티스쿠에로 콜간테 폭포</v>
      </c>
      <c r="D2177" s="9" t="str">
        <f>[1]Discovery!E2183</f>
        <v>자연</v>
      </c>
      <c r="E2177" s="9" t="str">
        <f>[1]Discovery!C2183</f>
        <v>지리</v>
      </c>
      <c r="F2177" s="9" t="str">
        <f>[1]Discovery!G2183</f>
        <v>B</v>
      </c>
      <c r="G2177" s="9" t="str">
        <f>IFERROR(VLOOKUP(표1[[#This Row],[명칭]],'문화권 정리'!C:D,2,FALSE),"-")</f>
        <v>남아메리카</v>
      </c>
      <c r="H2177" s="38" t="str">
        <f>IFERROR(COUNTIF([2]OceanDoodad!$Y:$Y,표1[[#This Row],[명칭]]),"-")</f>
        <v>-</v>
      </c>
      <c r="I2177" s="38">
        <f>IFERROR(COUNTIF([1]AdventureDiscoveryGroup!$D$8:$AW$92,표1[[#This Row],[명칭]]),"-")</f>
        <v>0</v>
      </c>
      <c r="J2177" s="38">
        <f>IFERROR(COUNTIF([1]FishDiscoveryGroup!$A:$X,표1[[#This Row],[명칭]]),"-")</f>
        <v>0</v>
      </c>
      <c r="K2177" s="38" t="str">
        <f>IFERROR(COUNTIF([2]Town!$B:$B,표1[[#This Row],[명칭]]),"-")</f>
        <v>-</v>
      </c>
      <c r="L2177" s="38">
        <f>IFERROR(COUNTIF([1]Village!$BR:$BR,표1[[#This Row],[명칭]]),"-")</f>
        <v>0</v>
      </c>
      <c r="M2177" s="38">
        <f>COUNTIF(퀘스트!B:B,표1[[#This Row],[명칭]])</f>
        <v>0</v>
      </c>
      <c r="N2177" s="65">
        <f>COUNTIF([1]VillageDiscoveryGroup!$C:$C,표1[[#This Row],[명칭]])</f>
        <v>0</v>
      </c>
      <c r="O2177" s="65">
        <f>SUM(표1[[#This Row],[해양탐색]:[마을탐험]])</f>
        <v>0</v>
      </c>
    </row>
    <row r="2178" spans="2:15" ht="13.5" customHeight="1" x14ac:dyDescent="0.3">
      <c r="B2178" s="9">
        <f>[1]Discovery!A2184</f>
        <v>70413394</v>
      </c>
      <c r="C2178" s="9" t="str">
        <f>[1]Discovery!B2184</f>
        <v>팔루스 폭포</v>
      </c>
      <c r="D2178" s="9" t="str">
        <f>[1]Discovery!E2184</f>
        <v>자연</v>
      </c>
      <c r="E2178" s="9" t="str">
        <f>[1]Discovery!C2184</f>
        <v>지리</v>
      </c>
      <c r="F2178" s="9" t="str">
        <f>[1]Discovery!G2184</f>
        <v>B</v>
      </c>
      <c r="G2178" s="9" t="str">
        <f>IFERROR(VLOOKUP(표1[[#This Row],[명칭]],'문화권 정리'!C:D,2,FALSE),"-")</f>
        <v>북아메리카</v>
      </c>
      <c r="H2178" s="38" t="str">
        <f>IFERROR(COUNTIF([2]OceanDoodad!$Y:$Y,표1[[#This Row],[명칭]]),"-")</f>
        <v>-</v>
      </c>
      <c r="I2178" s="38">
        <f>IFERROR(COUNTIF([1]AdventureDiscoveryGroup!$D$8:$AW$92,표1[[#This Row],[명칭]]),"-")</f>
        <v>0</v>
      </c>
      <c r="J2178" s="38">
        <f>IFERROR(COUNTIF([1]FishDiscoveryGroup!$A:$X,표1[[#This Row],[명칭]]),"-")</f>
        <v>0</v>
      </c>
      <c r="K2178" s="38" t="str">
        <f>IFERROR(COUNTIF([2]Town!$B:$B,표1[[#This Row],[명칭]]),"-")</f>
        <v>-</v>
      </c>
      <c r="L2178" s="38">
        <f>IFERROR(COUNTIF([1]Village!$BR:$BR,표1[[#This Row],[명칭]]),"-")</f>
        <v>0</v>
      </c>
      <c r="M2178" s="38">
        <f>COUNTIF(퀘스트!B:B,표1[[#This Row],[명칭]])</f>
        <v>0</v>
      </c>
      <c r="N2178" s="65">
        <f>COUNTIF([1]VillageDiscoveryGroup!$C:$C,표1[[#This Row],[명칭]])</f>
        <v>0</v>
      </c>
      <c r="O2178" s="65">
        <f>SUM(표1[[#This Row],[해양탐색]:[마을탐험]])</f>
        <v>0</v>
      </c>
    </row>
    <row r="2179" spans="2:15" ht="13.5" customHeight="1" x14ac:dyDescent="0.3">
      <c r="B2179" s="9">
        <f>[1]Discovery!A2185</f>
        <v>70413395</v>
      </c>
      <c r="C2179" s="9" t="str">
        <f>[1]Discovery!B2185</f>
        <v>터재넉 폭포</v>
      </c>
      <c r="D2179" s="9" t="str">
        <f>[1]Discovery!E2185</f>
        <v>자연</v>
      </c>
      <c r="E2179" s="9" t="str">
        <f>[1]Discovery!C2185</f>
        <v>지리</v>
      </c>
      <c r="F2179" s="9" t="str">
        <f>[1]Discovery!G2185</f>
        <v>B</v>
      </c>
      <c r="G2179" s="9" t="str">
        <f>IFERROR(VLOOKUP(표1[[#This Row],[명칭]],'문화권 정리'!C:D,2,FALSE),"-")</f>
        <v>북아메리카</v>
      </c>
      <c r="H2179" s="38" t="str">
        <f>IFERROR(COUNTIF([2]OceanDoodad!$Y:$Y,표1[[#This Row],[명칭]]),"-")</f>
        <v>-</v>
      </c>
      <c r="I2179" s="38">
        <f>IFERROR(COUNTIF([1]AdventureDiscoveryGroup!$D$8:$AW$92,표1[[#This Row],[명칭]]),"-")</f>
        <v>0</v>
      </c>
      <c r="J2179" s="38">
        <f>IFERROR(COUNTIF([1]FishDiscoveryGroup!$A:$X,표1[[#This Row],[명칭]]),"-")</f>
        <v>0</v>
      </c>
      <c r="K2179" s="38" t="str">
        <f>IFERROR(COUNTIF([2]Town!$B:$B,표1[[#This Row],[명칭]]),"-")</f>
        <v>-</v>
      </c>
      <c r="L2179" s="38">
        <f>IFERROR(COUNTIF([1]Village!$BR:$BR,표1[[#This Row],[명칭]]),"-")</f>
        <v>0</v>
      </c>
      <c r="M2179" s="38">
        <f>COUNTIF(퀘스트!B:B,표1[[#This Row],[명칭]])</f>
        <v>0</v>
      </c>
      <c r="N2179" s="65">
        <f>COUNTIF([1]VillageDiscoveryGroup!$C:$C,표1[[#This Row],[명칭]])</f>
        <v>0</v>
      </c>
      <c r="O2179" s="65">
        <f>SUM(표1[[#This Row],[해양탐색]:[마을탐험]])</f>
        <v>0</v>
      </c>
    </row>
    <row r="2180" spans="2:15" ht="13.5" customHeight="1" x14ac:dyDescent="0.3">
      <c r="B2180" s="9">
        <f>[1]Discovery!A2186</f>
        <v>70413396</v>
      </c>
      <c r="C2180" s="9" t="str">
        <f>[1]Discovery!B2186</f>
        <v>반지옥 폭포</v>
      </c>
      <c r="D2180" s="9" t="str">
        <f>[1]Discovery!E2186</f>
        <v>자연</v>
      </c>
      <c r="E2180" s="9" t="str">
        <f>[1]Discovery!C2186</f>
        <v>지리</v>
      </c>
      <c r="F2180" s="9" t="str">
        <f>[1]Discovery!G2186</f>
        <v>B</v>
      </c>
      <c r="G2180" s="9" t="str">
        <f>IFERROR(VLOOKUP(표1[[#This Row],[명칭]],'문화권 정리'!C:D,2,FALSE),"-")</f>
        <v>동남아시아</v>
      </c>
      <c r="H2180" s="38" t="str">
        <f>IFERROR(COUNTIF([2]OceanDoodad!$Y:$Y,표1[[#This Row],[명칭]]),"-")</f>
        <v>-</v>
      </c>
      <c r="I2180" s="38">
        <f>IFERROR(COUNTIF([1]AdventureDiscoveryGroup!$D$8:$AW$92,표1[[#This Row],[명칭]]),"-")</f>
        <v>0</v>
      </c>
      <c r="J2180" s="38">
        <f>IFERROR(COUNTIF([1]FishDiscoveryGroup!$A:$X,표1[[#This Row],[명칭]]),"-")</f>
        <v>0</v>
      </c>
      <c r="K2180" s="38" t="str">
        <f>IFERROR(COUNTIF([2]Town!$B:$B,표1[[#This Row],[명칭]]),"-")</f>
        <v>-</v>
      </c>
      <c r="L2180" s="38">
        <f>IFERROR(COUNTIF([1]Village!$BR:$BR,표1[[#This Row],[명칭]]),"-")</f>
        <v>0</v>
      </c>
      <c r="M2180" s="38">
        <f>COUNTIF(퀘스트!B:B,표1[[#This Row],[명칭]])</f>
        <v>0</v>
      </c>
      <c r="N2180" s="65">
        <f>COUNTIF([1]VillageDiscoveryGroup!$C:$C,표1[[#This Row],[명칭]])</f>
        <v>0</v>
      </c>
      <c r="O2180" s="65">
        <f>SUM(표1[[#This Row],[해양탐색]:[마을탐험]])</f>
        <v>0</v>
      </c>
    </row>
    <row r="2181" spans="2:15" ht="13.5" customHeight="1" x14ac:dyDescent="0.3">
      <c r="B2181" s="9">
        <f>[1]Discovery!A2187</f>
        <v>70413397</v>
      </c>
      <c r="C2181" s="9" t="str">
        <f>[1]Discovery!B2187</f>
        <v>바타라 폭포</v>
      </c>
      <c r="D2181" s="9" t="str">
        <f>[1]Discovery!E2187</f>
        <v>자연</v>
      </c>
      <c r="E2181" s="9" t="str">
        <f>[1]Discovery!C2187</f>
        <v>지리</v>
      </c>
      <c r="F2181" s="9" t="str">
        <f>[1]Discovery!G2187</f>
        <v>B</v>
      </c>
      <c r="G2181" s="9" t="str">
        <f>IFERROR(VLOOKUP(표1[[#This Row],[명칭]],'문화권 정리'!C:D,2,FALSE),"-")</f>
        <v>지중해</v>
      </c>
      <c r="H2181" s="38" t="str">
        <f>IFERROR(COUNTIF([2]OceanDoodad!$Y:$Y,표1[[#This Row],[명칭]]),"-")</f>
        <v>-</v>
      </c>
      <c r="I2181" s="38">
        <f>IFERROR(COUNTIF([1]AdventureDiscoveryGroup!$D$8:$AW$92,표1[[#This Row],[명칭]]),"-")</f>
        <v>0</v>
      </c>
      <c r="J2181" s="38">
        <f>IFERROR(COUNTIF([1]FishDiscoveryGroup!$A:$X,표1[[#This Row],[명칭]]),"-")</f>
        <v>0</v>
      </c>
      <c r="K2181" s="38" t="str">
        <f>IFERROR(COUNTIF([2]Town!$B:$B,표1[[#This Row],[명칭]]),"-")</f>
        <v>-</v>
      </c>
      <c r="L2181" s="38">
        <f>IFERROR(COUNTIF([1]Village!$BR:$BR,표1[[#This Row],[명칭]]),"-")</f>
        <v>0</v>
      </c>
      <c r="M2181" s="38">
        <f>COUNTIF(퀘스트!B:B,표1[[#This Row],[명칭]])</f>
        <v>0</v>
      </c>
      <c r="N2181" s="65">
        <f>COUNTIF([1]VillageDiscoveryGroup!$C:$C,표1[[#This Row],[명칭]])</f>
        <v>0</v>
      </c>
      <c r="O2181" s="65">
        <f>SUM(표1[[#This Row],[해양탐색]:[마을탐험]])</f>
        <v>0</v>
      </c>
    </row>
    <row r="2182" spans="2:15" ht="13.5" customHeight="1" x14ac:dyDescent="0.3">
      <c r="B2182" s="9">
        <f>[1]Discovery!A2188</f>
        <v>70413398</v>
      </c>
      <c r="C2182" s="9" t="str">
        <f>[1]Discovery!B2188</f>
        <v>브라운 폭포</v>
      </c>
      <c r="D2182" s="9" t="str">
        <f>[1]Discovery!E2188</f>
        <v>자연</v>
      </c>
      <c r="E2182" s="9" t="str">
        <f>[1]Discovery!C2188</f>
        <v>지리</v>
      </c>
      <c r="F2182" s="9" t="str">
        <f>[1]Discovery!G2188</f>
        <v>B</v>
      </c>
      <c r="G2182" s="9" t="str">
        <f>IFERROR(VLOOKUP(표1[[#This Row],[명칭]],'문화권 정리'!C:D,2,FALSE),"-")</f>
        <v>오세아니아</v>
      </c>
      <c r="H2182" s="38" t="str">
        <f>IFERROR(COUNTIF([2]OceanDoodad!$Y:$Y,표1[[#This Row],[명칭]]),"-")</f>
        <v>-</v>
      </c>
      <c r="I2182" s="38">
        <f>IFERROR(COUNTIF([1]AdventureDiscoveryGroup!$D$8:$AW$92,표1[[#This Row],[명칭]]),"-")</f>
        <v>0</v>
      </c>
      <c r="J2182" s="38">
        <f>IFERROR(COUNTIF([1]FishDiscoveryGroup!$A:$X,표1[[#This Row],[명칭]]),"-")</f>
        <v>0</v>
      </c>
      <c r="K2182" s="38" t="str">
        <f>IFERROR(COUNTIF([2]Town!$B:$B,표1[[#This Row],[명칭]]),"-")</f>
        <v>-</v>
      </c>
      <c r="L2182" s="38">
        <f>IFERROR(COUNTIF([1]Village!$BR:$BR,표1[[#This Row],[명칭]]),"-")</f>
        <v>0</v>
      </c>
      <c r="M2182" s="38">
        <f>COUNTIF(퀘스트!B:B,표1[[#This Row],[명칭]])</f>
        <v>0</v>
      </c>
      <c r="N2182" s="65">
        <f>COUNTIF([1]VillageDiscoveryGroup!$C:$C,표1[[#This Row],[명칭]])</f>
        <v>0</v>
      </c>
      <c r="O2182" s="65">
        <f>SUM(표1[[#This Row],[해양탐색]:[마을탐험]])</f>
        <v>0</v>
      </c>
    </row>
    <row r="2183" spans="2:15" ht="13.5" customHeight="1" x14ac:dyDescent="0.3">
      <c r="B2183" s="9">
        <f>[1]Discovery!A2189</f>
        <v>70413399</v>
      </c>
      <c r="C2183" s="9" t="str">
        <f>[1]Discovery!B2189</f>
        <v>제임스브루스폭포</v>
      </c>
      <c r="D2183" s="9" t="str">
        <f>[1]Discovery!E2189</f>
        <v>자연</v>
      </c>
      <c r="E2183" s="9" t="str">
        <f>[1]Discovery!C2189</f>
        <v>지리</v>
      </c>
      <c r="F2183" s="9" t="str">
        <f>[1]Discovery!G2189</f>
        <v>B</v>
      </c>
      <c r="G2183" s="9" t="str">
        <f>IFERROR(VLOOKUP(표1[[#This Row],[명칭]],'문화권 정리'!C:D,2,FALSE),"-")</f>
        <v>북아메리카</v>
      </c>
      <c r="H2183" s="38" t="str">
        <f>IFERROR(COUNTIF([2]OceanDoodad!$Y:$Y,표1[[#This Row],[명칭]]),"-")</f>
        <v>-</v>
      </c>
      <c r="I2183" s="38">
        <f>IFERROR(COUNTIF([1]AdventureDiscoveryGroup!$D$8:$AW$92,표1[[#This Row],[명칭]]),"-")</f>
        <v>0</v>
      </c>
      <c r="J2183" s="38">
        <f>IFERROR(COUNTIF([1]FishDiscoveryGroup!$A:$X,표1[[#This Row],[명칭]]),"-")</f>
        <v>0</v>
      </c>
      <c r="K2183" s="38" t="str">
        <f>IFERROR(COUNTIF([2]Town!$B:$B,표1[[#This Row],[명칭]]),"-")</f>
        <v>-</v>
      </c>
      <c r="L2183" s="38">
        <f>IFERROR(COUNTIF([1]Village!$BR:$BR,표1[[#This Row],[명칭]]),"-")</f>
        <v>0</v>
      </c>
      <c r="M2183" s="38">
        <f>COUNTIF(퀘스트!B:B,표1[[#This Row],[명칭]])</f>
        <v>0</v>
      </c>
      <c r="N2183" s="65">
        <f>COUNTIF([1]VillageDiscoveryGroup!$C:$C,표1[[#This Row],[명칭]])</f>
        <v>0</v>
      </c>
      <c r="O2183" s="65">
        <f>SUM(표1[[#This Row],[해양탐색]:[마을탐험]])</f>
        <v>0</v>
      </c>
    </row>
    <row r="2184" spans="2:15" ht="13.5" customHeight="1" x14ac:dyDescent="0.3">
      <c r="B2184" s="9">
        <f>[1]Discovery!A2190</f>
        <v>70413400</v>
      </c>
      <c r="C2184" s="9" t="str">
        <f>[1]Discovery!B2190</f>
        <v>푸카오쿠폭포</v>
      </c>
      <c r="D2184" s="9" t="str">
        <f>[1]Discovery!E2190</f>
        <v>자연</v>
      </c>
      <c r="E2184" s="9" t="str">
        <f>[1]Discovery!C2190</f>
        <v>지리</v>
      </c>
      <c r="F2184" s="9" t="str">
        <f>[1]Discovery!G2190</f>
        <v>B</v>
      </c>
      <c r="G2184" s="9" t="str">
        <f>IFERROR(VLOOKUP(표1[[#This Row],[명칭]],'문화권 정리'!C:D,2,FALSE),"-")</f>
        <v>태평양</v>
      </c>
      <c r="H2184" s="38" t="str">
        <f>IFERROR(COUNTIF([2]OceanDoodad!$Y:$Y,표1[[#This Row],[명칭]]),"-")</f>
        <v>-</v>
      </c>
      <c r="I2184" s="38">
        <f>IFERROR(COUNTIF([1]AdventureDiscoveryGroup!$D$8:$AW$92,표1[[#This Row],[명칭]]),"-")</f>
        <v>0</v>
      </c>
      <c r="J2184" s="38">
        <f>IFERROR(COUNTIF([1]FishDiscoveryGroup!$A:$X,표1[[#This Row],[명칭]]),"-")</f>
        <v>0</v>
      </c>
      <c r="K2184" s="38" t="str">
        <f>IFERROR(COUNTIF([2]Town!$B:$B,표1[[#This Row],[명칭]]),"-")</f>
        <v>-</v>
      </c>
      <c r="L2184" s="38">
        <f>IFERROR(COUNTIF([1]Village!$BR:$BR,표1[[#This Row],[명칭]]),"-")</f>
        <v>0</v>
      </c>
      <c r="M2184" s="38">
        <f>COUNTIF(퀘스트!B:B,표1[[#This Row],[명칭]])</f>
        <v>0</v>
      </c>
      <c r="N2184" s="65">
        <f>COUNTIF([1]VillageDiscoveryGroup!$C:$C,표1[[#This Row],[명칭]])</f>
        <v>0</v>
      </c>
      <c r="O2184" s="65">
        <f>SUM(표1[[#This Row],[해양탐색]:[마을탐험]])</f>
        <v>0</v>
      </c>
    </row>
    <row r="2185" spans="2:15" ht="13.5" customHeight="1" x14ac:dyDescent="0.3">
      <c r="B2185" s="9">
        <f>[1]Discovery!A2191</f>
        <v>70413401</v>
      </c>
      <c r="C2185" s="9" t="str">
        <f>[1]Discovery!B2191</f>
        <v>스코지폭포</v>
      </c>
      <c r="D2185" s="9" t="str">
        <f>[1]Discovery!E2191</f>
        <v>자연</v>
      </c>
      <c r="E2185" s="9" t="str">
        <f>[1]Discovery!C2191</f>
        <v>지리</v>
      </c>
      <c r="F2185" s="9" t="str">
        <f>[1]Discovery!G2191</f>
        <v>B</v>
      </c>
      <c r="G2185" s="9" t="str">
        <f>IFERROR(VLOOKUP(표1[[#This Row],[명칭]],'문화권 정리'!C:D,2,FALSE),"-")</f>
        <v>북유럽</v>
      </c>
      <c r="H2185" s="38" t="str">
        <f>IFERROR(COUNTIF([2]OceanDoodad!$Y:$Y,표1[[#This Row],[명칭]]),"-")</f>
        <v>-</v>
      </c>
      <c r="I2185" s="38">
        <f>IFERROR(COUNTIF([1]AdventureDiscoveryGroup!$D$8:$AW$92,표1[[#This Row],[명칭]]),"-")</f>
        <v>0</v>
      </c>
      <c r="J2185" s="38">
        <f>IFERROR(COUNTIF([1]FishDiscoveryGroup!$A:$X,표1[[#This Row],[명칭]]),"-")</f>
        <v>0</v>
      </c>
      <c r="K2185" s="38" t="str">
        <f>IFERROR(COUNTIF([2]Town!$B:$B,표1[[#This Row],[명칭]]),"-")</f>
        <v>-</v>
      </c>
      <c r="L2185" s="38">
        <f>IFERROR(COUNTIF([1]Village!$BR:$BR,표1[[#This Row],[명칭]]),"-")</f>
        <v>0</v>
      </c>
      <c r="M2185" s="38">
        <f>COUNTIF(퀘스트!B:B,표1[[#This Row],[명칭]])</f>
        <v>0</v>
      </c>
      <c r="N2185" s="65">
        <f>COUNTIF([1]VillageDiscoveryGroup!$C:$C,표1[[#This Row],[명칭]])</f>
        <v>0</v>
      </c>
      <c r="O2185" s="65">
        <f>SUM(표1[[#This Row],[해양탐색]:[마을탐험]])</f>
        <v>0</v>
      </c>
    </row>
    <row r="2186" spans="2:15" ht="13.5" customHeight="1" x14ac:dyDescent="0.3">
      <c r="B2186" s="9">
        <f>[1]Discovery!A2192</f>
        <v>70413402</v>
      </c>
      <c r="C2186" s="9" t="str">
        <f>[1]Discovery!B2192</f>
        <v>빈누폭포</v>
      </c>
      <c r="D2186" s="9" t="str">
        <f>[1]Discovery!E2192</f>
        <v>자연</v>
      </c>
      <c r="E2186" s="9" t="str">
        <f>[1]Discovery!C2192</f>
        <v>지리</v>
      </c>
      <c r="F2186" s="9" t="str">
        <f>[1]Discovery!G2192</f>
        <v>B</v>
      </c>
      <c r="G2186" s="9" t="str">
        <f>IFERROR(VLOOKUP(표1[[#This Row],[명칭]],'문화권 정리'!C:D,2,FALSE),"-")</f>
        <v>북유럽</v>
      </c>
      <c r="H2186" s="38" t="str">
        <f>IFERROR(COUNTIF([2]OceanDoodad!$Y:$Y,표1[[#This Row],[명칭]]),"-")</f>
        <v>-</v>
      </c>
      <c r="I2186" s="38">
        <f>IFERROR(COUNTIF([1]AdventureDiscoveryGroup!$D$8:$AW$92,표1[[#This Row],[명칭]]),"-")</f>
        <v>0</v>
      </c>
      <c r="J2186" s="38">
        <f>IFERROR(COUNTIF([1]FishDiscoveryGroup!$A:$X,표1[[#This Row],[명칭]]),"-")</f>
        <v>0</v>
      </c>
      <c r="K2186" s="38" t="str">
        <f>IFERROR(COUNTIF([2]Town!$B:$B,표1[[#This Row],[명칭]]),"-")</f>
        <v>-</v>
      </c>
      <c r="L2186" s="38">
        <f>IFERROR(COUNTIF([1]Village!$BR:$BR,표1[[#This Row],[명칭]]),"-")</f>
        <v>0</v>
      </c>
      <c r="M2186" s="38">
        <f>COUNTIF(퀘스트!B:B,표1[[#This Row],[명칭]])</f>
        <v>0</v>
      </c>
      <c r="N2186" s="65">
        <f>COUNTIF([1]VillageDiscoveryGroup!$C:$C,표1[[#This Row],[명칭]])</f>
        <v>0</v>
      </c>
      <c r="O2186" s="65">
        <f>SUM(표1[[#This Row],[해양탐색]:[마을탐험]])</f>
        <v>0</v>
      </c>
    </row>
    <row r="2187" spans="2:15" ht="13.5" customHeight="1" x14ac:dyDescent="0.3">
      <c r="B2187" s="9">
        <f>[1]Discovery!A2193</f>
        <v>70413403</v>
      </c>
      <c r="C2187" s="9" t="str">
        <f>[1]Discovery!B2193</f>
        <v>윰빌라폭포</v>
      </c>
      <c r="D2187" s="9" t="str">
        <f>[1]Discovery!E2193</f>
        <v>자연</v>
      </c>
      <c r="E2187" s="9" t="str">
        <f>[1]Discovery!C2193</f>
        <v>지리</v>
      </c>
      <c r="F2187" s="9" t="str">
        <f>[1]Discovery!G2193</f>
        <v>B</v>
      </c>
      <c r="G2187" s="9" t="str">
        <f>IFERROR(VLOOKUP(표1[[#This Row],[명칭]],'문화권 정리'!C:D,2,FALSE),"-")</f>
        <v>남아메리카</v>
      </c>
      <c r="H2187" s="38" t="str">
        <f>IFERROR(COUNTIF([2]OceanDoodad!$Y:$Y,표1[[#This Row],[명칭]]),"-")</f>
        <v>-</v>
      </c>
      <c r="I2187" s="38">
        <f>IFERROR(COUNTIF([1]AdventureDiscoveryGroup!$D$8:$AW$92,표1[[#This Row],[명칭]]),"-")</f>
        <v>0</v>
      </c>
      <c r="J2187" s="38">
        <f>IFERROR(COUNTIF([1]FishDiscoveryGroup!$A:$X,표1[[#This Row],[명칭]]),"-")</f>
        <v>0</v>
      </c>
      <c r="K2187" s="38" t="str">
        <f>IFERROR(COUNTIF([2]Town!$B:$B,표1[[#This Row],[명칭]]),"-")</f>
        <v>-</v>
      </c>
      <c r="L2187" s="38">
        <f>IFERROR(COUNTIF([1]Village!$BR:$BR,표1[[#This Row],[명칭]]),"-")</f>
        <v>0</v>
      </c>
      <c r="M2187" s="38">
        <f>COUNTIF(퀘스트!B:B,표1[[#This Row],[명칭]])</f>
        <v>0</v>
      </c>
      <c r="N2187" s="65">
        <f>COUNTIF([1]VillageDiscoveryGroup!$C:$C,표1[[#This Row],[명칭]])</f>
        <v>0</v>
      </c>
      <c r="O2187" s="65">
        <f>SUM(표1[[#This Row],[해양탐색]:[마을탐험]])</f>
        <v>0</v>
      </c>
    </row>
    <row r="2188" spans="2:15" ht="13.5" customHeight="1" x14ac:dyDescent="0.3">
      <c r="B2188" s="9">
        <f>[1]Discovery!A2194</f>
        <v>70413404</v>
      </c>
      <c r="C2188" s="9" t="str">
        <f>[1]Discovery!B2194</f>
        <v>트레스에르마나스폭포</v>
      </c>
      <c r="D2188" s="9" t="str">
        <f>[1]Discovery!E2194</f>
        <v>자연</v>
      </c>
      <c r="E2188" s="9" t="str">
        <f>[1]Discovery!C2194</f>
        <v>지리</v>
      </c>
      <c r="F2188" s="9" t="str">
        <f>[1]Discovery!G2194</f>
        <v>B</v>
      </c>
      <c r="G2188" s="9" t="str">
        <f>IFERROR(VLOOKUP(표1[[#This Row],[명칭]],'문화권 정리'!C:D,2,FALSE),"-")</f>
        <v>남아메리카</v>
      </c>
      <c r="H2188" s="38" t="str">
        <f>IFERROR(COUNTIF([2]OceanDoodad!$Y:$Y,표1[[#This Row],[명칭]]),"-")</f>
        <v>-</v>
      </c>
      <c r="I2188" s="38">
        <f>IFERROR(COUNTIF([1]AdventureDiscoveryGroup!$D$8:$AW$92,표1[[#This Row],[명칭]]),"-")</f>
        <v>0</v>
      </c>
      <c r="J2188" s="38">
        <f>IFERROR(COUNTIF([1]FishDiscoveryGroup!$A:$X,표1[[#This Row],[명칭]]),"-")</f>
        <v>0</v>
      </c>
      <c r="K2188" s="38" t="str">
        <f>IFERROR(COUNTIF([2]Town!$B:$B,표1[[#This Row],[명칭]]),"-")</f>
        <v>-</v>
      </c>
      <c r="L2188" s="38">
        <f>IFERROR(COUNTIF([1]Village!$BR:$BR,표1[[#This Row],[명칭]]),"-")</f>
        <v>0</v>
      </c>
      <c r="M2188" s="38">
        <f>COUNTIF(퀘스트!B:B,표1[[#This Row],[명칭]])</f>
        <v>0</v>
      </c>
      <c r="N2188" s="65">
        <f>COUNTIF([1]VillageDiscoveryGroup!$C:$C,표1[[#This Row],[명칭]])</f>
        <v>0</v>
      </c>
      <c r="O2188" s="65">
        <f>SUM(표1[[#This Row],[해양탐색]:[마을탐험]])</f>
        <v>0</v>
      </c>
    </row>
    <row r="2189" spans="2:15" ht="13.5" customHeight="1" x14ac:dyDescent="0.3">
      <c r="B2189" s="9">
        <f>[1]Discovery!A2195</f>
        <v>70413405</v>
      </c>
      <c r="C2189" s="9" t="str">
        <f>[1]Discovery!B2195</f>
        <v>투겔라 폭포</v>
      </c>
      <c r="D2189" s="9" t="str">
        <f>[1]Discovery!E2195</f>
        <v>자연</v>
      </c>
      <c r="E2189" s="9" t="str">
        <f>[1]Discovery!C2195</f>
        <v>지리</v>
      </c>
      <c r="F2189" s="9" t="str">
        <f>[1]Discovery!G2195</f>
        <v>B</v>
      </c>
      <c r="G2189" s="9" t="str">
        <f>IFERROR(VLOOKUP(표1[[#This Row],[명칭]],'문화권 정리'!C:D,2,FALSE),"-")</f>
        <v>남아프리카</v>
      </c>
      <c r="H2189" s="38" t="str">
        <f>IFERROR(COUNTIF([2]OceanDoodad!$Y:$Y,표1[[#This Row],[명칭]]),"-")</f>
        <v>-</v>
      </c>
      <c r="I2189" s="38">
        <f>IFERROR(COUNTIF([1]AdventureDiscoveryGroup!$D$8:$AW$92,표1[[#This Row],[명칭]]),"-")</f>
        <v>0</v>
      </c>
      <c r="J2189" s="38">
        <f>IFERROR(COUNTIF([1]FishDiscoveryGroup!$A:$X,표1[[#This Row],[명칭]]),"-")</f>
        <v>0</v>
      </c>
      <c r="K2189" s="38" t="str">
        <f>IFERROR(COUNTIF([2]Town!$B:$B,표1[[#This Row],[명칭]]),"-")</f>
        <v>-</v>
      </c>
      <c r="L2189" s="38">
        <f>IFERROR(COUNTIF([1]Village!$BR:$BR,표1[[#This Row],[명칭]]),"-")</f>
        <v>0</v>
      </c>
      <c r="M2189" s="38">
        <f>COUNTIF(퀘스트!B:B,표1[[#This Row],[명칭]])</f>
        <v>0</v>
      </c>
      <c r="N2189" s="65">
        <f>COUNTIF([1]VillageDiscoveryGroup!$C:$C,표1[[#This Row],[명칭]])</f>
        <v>0</v>
      </c>
      <c r="O2189" s="65">
        <f>SUM(표1[[#This Row],[해양탐색]:[마을탐험]])</f>
        <v>0</v>
      </c>
    </row>
    <row r="2190" spans="2:15" ht="13.5" customHeight="1" x14ac:dyDescent="0.3">
      <c r="B2190" s="9">
        <f>[1]Discovery!A2196</f>
        <v>70413406</v>
      </c>
      <c r="C2190" s="9" t="str">
        <f>[1]Discovery!B2196</f>
        <v>정방폭포</v>
      </c>
      <c r="D2190" s="9" t="str">
        <f>[1]Discovery!E2196</f>
        <v>자연</v>
      </c>
      <c r="E2190" s="9" t="str">
        <f>[1]Discovery!C2196</f>
        <v>지리</v>
      </c>
      <c r="F2190" s="9" t="str">
        <f>[1]Discovery!G2196</f>
        <v>A</v>
      </c>
      <c r="G2190" s="9" t="str">
        <f>IFERROR(VLOOKUP(표1[[#This Row],[명칭]],'문화권 정리'!C:D,2,FALSE),"-")</f>
        <v>동아시아</v>
      </c>
      <c r="H2190" s="38" t="str">
        <f>IFERROR(COUNTIF([2]OceanDoodad!$Y:$Y,표1[[#This Row],[명칭]]),"-")</f>
        <v>-</v>
      </c>
      <c r="I2190" s="38">
        <f>IFERROR(COUNTIF([1]AdventureDiscoveryGroup!$D$8:$AW$92,표1[[#This Row],[명칭]]),"-")</f>
        <v>0</v>
      </c>
      <c r="J2190" s="38">
        <f>IFERROR(COUNTIF([1]FishDiscoveryGroup!$A:$X,표1[[#This Row],[명칭]]),"-")</f>
        <v>0</v>
      </c>
      <c r="K2190" s="38" t="str">
        <f>IFERROR(COUNTIF([2]Town!$B:$B,표1[[#This Row],[명칭]]),"-")</f>
        <v>-</v>
      </c>
      <c r="L2190" s="38">
        <f>IFERROR(COUNTIF([1]Village!$BR:$BR,표1[[#This Row],[명칭]]),"-")</f>
        <v>0</v>
      </c>
      <c r="M2190" s="38">
        <f>COUNTIF(퀘스트!B:B,표1[[#This Row],[명칭]])</f>
        <v>0</v>
      </c>
      <c r="N2190" s="65">
        <f>COUNTIF([1]VillageDiscoveryGroup!$C:$C,표1[[#This Row],[명칭]])</f>
        <v>0</v>
      </c>
      <c r="O2190" s="65">
        <f>SUM(표1[[#This Row],[해양탐색]:[마을탐험]])</f>
        <v>0</v>
      </c>
    </row>
    <row r="2191" spans="2:15" ht="13.5" customHeight="1" x14ac:dyDescent="0.3">
      <c r="B2191" s="9">
        <f>[1]Discovery!A2197</f>
        <v>70413407</v>
      </c>
      <c r="C2191" s="9" t="str">
        <f>[1]Discovery!B2197</f>
        <v>알라미어 폭포</v>
      </c>
      <c r="D2191" s="9" t="str">
        <f>[1]Discovery!E2197</f>
        <v>자연</v>
      </c>
      <c r="E2191" s="9" t="str">
        <f>[1]Discovery!C2197</f>
        <v>지리</v>
      </c>
      <c r="F2191" s="9" t="str">
        <f>[1]Discovery!G2197</f>
        <v>B</v>
      </c>
      <c r="G2191" s="9" t="str">
        <f>IFERROR(VLOOKUP(표1[[#This Row],[명칭]],'문화권 정리'!C:D,2,FALSE),"-")</f>
        <v>북아메리카</v>
      </c>
      <c r="H2191" s="38" t="str">
        <f>IFERROR(COUNTIF([2]OceanDoodad!$Y:$Y,표1[[#This Row],[명칭]]),"-")</f>
        <v>-</v>
      </c>
      <c r="I2191" s="38">
        <f>IFERROR(COUNTIF([1]AdventureDiscoveryGroup!$D$8:$AW$92,표1[[#This Row],[명칭]]),"-")</f>
        <v>0</v>
      </c>
      <c r="J2191" s="38">
        <f>IFERROR(COUNTIF([1]FishDiscoveryGroup!$A:$X,표1[[#This Row],[명칭]]),"-")</f>
        <v>0</v>
      </c>
      <c r="K2191" s="38" t="str">
        <f>IFERROR(COUNTIF([2]Town!$B:$B,표1[[#This Row],[명칭]]),"-")</f>
        <v>-</v>
      </c>
      <c r="L2191" s="38">
        <f>IFERROR(COUNTIF([1]Village!$BR:$BR,표1[[#This Row],[명칭]]),"-")</f>
        <v>0</v>
      </c>
      <c r="M2191" s="38">
        <f>COUNTIF(퀘스트!B:B,표1[[#This Row],[명칭]])</f>
        <v>0</v>
      </c>
      <c r="N2191" s="65">
        <f>COUNTIF([1]VillageDiscoveryGroup!$C:$C,표1[[#This Row],[명칭]])</f>
        <v>0</v>
      </c>
      <c r="O2191" s="65">
        <f>SUM(표1[[#This Row],[해양탐색]:[마을탐험]])</f>
        <v>0</v>
      </c>
    </row>
    <row r="2192" spans="2:15" ht="13.5" customHeight="1" x14ac:dyDescent="0.3">
      <c r="B2192" s="9">
        <f>[1]Discovery!A2198</f>
        <v>70413408</v>
      </c>
      <c r="C2192" s="9" t="str">
        <f>[1]Discovery!B2198</f>
        <v>하바수 폭포</v>
      </c>
      <c r="D2192" s="9" t="str">
        <f>[1]Discovery!E2198</f>
        <v>자연</v>
      </c>
      <c r="E2192" s="9" t="str">
        <f>[1]Discovery!C2198</f>
        <v>지리</v>
      </c>
      <c r="F2192" s="9" t="str">
        <f>[1]Discovery!G2198</f>
        <v>B</v>
      </c>
      <c r="G2192" s="9" t="str">
        <f>IFERROR(VLOOKUP(표1[[#This Row],[명칭]],'문화권 정리'!C:D,2,FALSE),"-")</f>
        <v>북아메리카</v>
      </c>
      <c r="H2192" s="38" t="str">
        <f>IFERROR(COUNTIF([2]OceanDoodad!$Y:$Y,표1[[#This Row],[명칭]]),"-")</f>
        <v>-</v>
      </c>
      <c r="I2192" s="38">
        <f>IFERROR(COUNTIF([1]AdventureDiscoveryGroup!$D$8:$AW$92,표1[[#This Row],[명칭]]),"-")</f>
        <v>0</v>
      </c>
      <c r="J2192" s="38">
        <f>IFERROR(COUNTIF([1]FishDiscoveryGroup!$A:$X,표1[[#This Row],[명칭]]),"-")</f>
        <v>0</v>
      </c>
      <c r="K2192" s="38" t="str">
        <f>IFERROR(COUNTIF([2]Town!$B:$B,표1[[#This Row],[명칭]]),"-")</f>
        <v>-</v>
      </c>
      <c r="L2192" s="38">
        <f>IFERROR(COUNTIF([1]Village!$BR:$BR,표1[[#This Row],[명칭]]),"-")</f>
        <v>0</v>
      </c>
      <c r="M2192" s="38">
        <f>COUNTIF(퀘스트!B:B,표1[[#This Row],[명칭]])</f>
        <v>0</v>
      </c>
      <c r="N2192" s="65">
        <f>COUNTIF([1]VillageDiscoveryGroup!$C:$C,표1[[#This Row],[명칭]])</f>
        <v>0</v>
      </c>
      <c r="O2192" s="65">
        <f>SUM(표1[[#This Row],[해양탐색]:[마을탐험]])</f>
        <v>0</v>
      </c>
    </row>
    <row r="2193" spans="2:15" ht="13.5" customHeight="1" x14ac:dyDescent="0.3">
      <c r="B2193" s="9">
        <f>[1]Discovery!A2199</f>
        <v>70413409</v>
      </c>
      <c r="C2193" s="9" t="str">
        <f>[1]Discovery!B2199</f>
        <v>꽝시 폭포</v>
      </c>
      <c r="D2193" s="9" t="str">
        <f>[1]Discovery!E2199</f>
        <v>자연</v>
      </c>
      <c r="E2193" s="9" t="str">
        <f>[1]Discovery!C2199</f>
        <v>지리</v>
      </c>
      <c r="F2193" s="9" t="str">
        <f>[1]Discovery!G2199</f>
        <v>A</v>
      </c>
      <c r="G2193" s="9" t="str">
        <f>IFERROR(VLOOKUP(표1[[#This Row],[명칭]],'문화권 정리'!C:D,2,FALSE),"-")</f>
        <v>동남아시아</v>
      </c>
      <c r="H2193" s="38" t="str">
        <f>IFERROR(COUNTIF([2]OceanDoodad!$Y:$Y,표1[[#This Row],[명칭]]),"-")</f>
        <v>-</v>
      </c>
      <c r="I2193" s="38">
        <f>IFERROR(COUNTIF([1]AdventureDiscoveryGroup!$D$8:$AW$92,표1[[#This Row],[명칭]]),"-")</f>
        <v>0</v>
      </c>
      <c r="J2193" s="38">
        <f>IFERROR(COUNTIF([1]FishDiscoveryGroup!$A:$X,표1[[#This Row],[명칭]]),"-")</f>
        <v>0</v>
      </c>
      <c r="K2193" s="38" t="str">
        <f>IFERROR(COUNTIF([2]Town!$B:$B,표1[[#This Row],[명칭]]),"-")</f>
        <v>-</v>
      </c>
      <c r="L2193" s="38">
        <f>IFERROR(COUNTIF([1]Village!$BR:$BR,표1[[#This Row],[명칭]]),"-")</f>
        <v>0</v>
      </c>
      <c r="M2193" s="38">
        <f>COUNTIF(퀘스트!B:B,표1[[#This Row],[명칭]])</f>
        <v>0</v>
      </c>
      <c r="N2193" s="65">
        <f>COUNTIF([1]VillageDiscoveryGroup!$C:$C,표1[[#This Row],[명칭]])</f>
        <v>0</v>
      </c>
      <c r="O2193" s="65">
        <f>SUM(표1[[#This Row],[해양탐색]:[마을탐험]])</f>
        <v>0</v>
      </c>
    </row>
    <row r="2194" spans="2:15" ht="13.5" customHeight="1" x14ac:dyDescent="0.3">
      <c r="B2194" s="9">
        <f>[1]Discovery!A2200</f>
        <v>70413410</v>
      </c>
      <c r="C2194" s="9" t="str">
        <f>[1]Discovery!B2200</f>
        <v>조그 폭포</v>
      </c>
      <c r="D2194" s="9" t="str">
        <f>[1]Discovery!E2200</f>
        <v>자연</v>
      </c>
      <c r="E2194" s="9" t="str">
        <f>[1]Discovery!C2200</f>
        <v>지리</v>
      </c>
      <c r="F2194" s="9" t="str">
        <f>[1]Discovery!G2200</f>
        <v>B</v>
      </c>
      <c r="G2194" s="9" t="str">
        <f>IFERROR(VLOOKUP(표1[[#This Row],[명칭]],'문화권 정리'!C:D,2,FALSE),"-")</f>
        <v>남아시아</v>
      </c>
      <c r="H2194" s="38" t="str">
        <f>IFERROR(COUNTIF([2]OceanDoodad!$Y:$Y,표1[[#This Row],[명칭]]),"-")</f>
        <v>-</v>
      </c>
      <c r="I2194" s="38">
        <f>IFERROR(COUNTIF([1]AdventureDiscoveryGroup!$D$8:$AW$92,표1[[#This Row],[명칭]]),"-")</f>
        <v>0</v>
      </c>
      <c r="J2194" s="38">
        <f>IFERROR(COUNTIF([1]FishDiscoveryGroup!$A:$X,표1[[#This Row],[명칭]]),"-")</f>
        <v>0</v>
      </c>
      <c r="K2194" s="38" t="str">
        <f>IFERROR(COUNTIF([2]Town!$B:$B,표1[[#This Row],[명칭]]),"-")</f>
        <v>-</v>
      </c>
      <c r="L2194" s="38">
        <f>IFERROR(COUNTIF([1]Village!$BR:$BR,표1[[#This Row],[명칭]]),"-")</f>
        <v>0</v>
      </c>
      <c r="M2194" s="38">
        <f>COUNTIF(퀘스트!B:B,표1[[#This Row],[명칭]])</f>
        <v>0</v>
      </c>
      <c r="N2194" s="65">
        <f>COUNTIF([1]VillageDiscoveryGroup!$C:$C,표1[[#This Row],[명칭]])</f>
        <v>0</v>
      </c>
      <c r="O2194" s="65">
        <f>SUM(표1[[#This Row],[해양탐색]:[마을탐험]])</f>
        <v>0</v>
      </c>
    </row>
    <row r="2195" spans="2:15" ht="13.5" customHeight="1" x14ac:dyDescent="0.3">
      <c r="B2195" s="9">
        <f>[1]Discovery!A2201</f>
        <v>70413411</v>
      </c>
      <c r="C2195" s="9" t="str">
        <f>[1]Discovery!B2201</f>
        <v>장백폭포</v>
      </c>
      <c r="D2195" s="9" t="str">
        <f>[1]Discovery!E2201</f>
        <v>자연</v>
      </c>
      <c r="E2195" s="9" t="str">
        <f>[1]Discovery!C2201</f>
        <v>지리</v>
      </c>
      <c r="F2195" s="9" t="str">
        <f>[1]Discovery!G2201</f>
        <v>B</v>
      </c>
      <c r="G2195" s="9" t="str">
        <f>IFERROR(VLOOKUP(표1[[#This Row],[명칭]],'문화권 정리'!C:D,2,FALSE),"-")</f>
        <v>동아시아</v>
      </c>
      <c r="H2195" s="38" t="str">
        <f>IFERROR(COUNTIF([2]OceanDoodad!$Y:$Y,표1[[#This Row],[명칭]]),"-")</f>
        <v>-</v>
      </c>
      <c r="I2195" s="38">
        <f>IFERROR(COUNTIF([1]AdventureDiscoveryGroup!$D$8:$AW$92,표1[[#This Row],[명칭]]),"-")</f>
        <v>0</v>
      </c>
      <c r="J2195" s="38">
        <f>IFERROR(COUNTIF([1]FishDiscoveryGroup!$A:$X,표1[[#This Row],[명칭]]),"-")</f>
        <v>0</v>
      </c>
      <c r="K2195" s="38" t="str">
        <f>IFERROR(COUNTIF([2]Town!$B:$B,표1[[#This Row],[명칭]]),"-")</f>
        <v>-</v>
      </c>
      <c r="L2195" s="38">
        <f>IFERROR(COUNTIF([1]Village!$BR:$BR,표1[[#This Row],[명칭]]),"-")</f>
        <v>0</v>
      </c>
      <c r="M2195" s="38">
        <f>COUNTIF(퀘스트!B:B,표1[[#This Row],[명칭]])</f>
        <v>0</v>
      </c>
      <c r="N2195" s="65">
        <f>COUNTIF([1]VillageDiscoveryGroup!$C:$C,표1[[#This Row],[명칭]])</f>
        <v>0</v>
      </c>
      <c r="O2195" s="65">
        <f>SUM(표1[[#This Row],[해양탐색]:[마을탐험]])</f>
        <v>0</v>
      </c>
    </row>
    <row r="2196" spans="2:15" ht="13.5" customHeight="1" x14ac:dyDescent="0.3">
      <c r="B2196" s="9">
        <f>[1]Discovery!A2202</f>
        <v>70413412</v>
      </c>
      <c r="C2196" s="9" t="str">
        <f>[1]Discovery!B2202</f>
        <v>나치폭포</v>
      </c>
      <c r="D2196" s="9" t="str">
        <f>[1]Discovery!E2202</f>
        <v>자연</v>
      </c>
      <c r="E2196" s="9" t="str">
        <f>[1]Discovery!C2202</f>
        <v>지리</v>
      </c>
      <c r="F2196" s="9" t="str">
        <f>[1]Discovery!G2202</f>
        <v>B</v>
      </c>
      <c r="G2196" s="9" t="str">
        <f>IFERROR(VLOOKUP(표1[[#This Row],[명칭]],'문화권 정리'!C:D,2,FALSE),"-")</f>
        <v>동아시아</v>
      </c>
      <c r="H2196" s="38" t="str">
        <f>IFERROR(COUNTIF([2]OceanDoodad!$Y:$Y,표1[[#This Row],[명칭]]),"-")</f>
        <v>-</v>
      </c>
      <c r="I2196" s="38">
        <f>IFERROR(COUNTIF([1]AdventureDiscoveryGroup!$D$8:$AW$92,표1[[#This Row],[명칭]]),"-")</f>
        <v>0</v>
      </c>
      <c r="J2196" s="38">
        <f>IFERROR(COUNTIF([1]FishDiscoveryGroup!$A:$X,표1[[#This Row],[명칭]]),"-")</f>
        <v>0</v>
      </c>
      <c r="K2196" s="38" t="str">
        <f>IFERROR(COUNTIF([2]Town!$B:$B,표1[[#This Row],[명칭]]),"-")</f>
        <v>-</v>
      </c>
      <c r="L2196" s="38">
        <f>IFERROR(COUNTIF([1]Village!$BR:$BR,표1[[#This Row],[명칭]]),"-")</f>
        <v>0</v>
      </c>
      <c r="M2196" s="38">
        <f>COUNTIF(퀘스트!B:B,표1[[#This Row],[명칭]])</f>
        <v>0</v>
      </c>
      <c r="N2196" s="65">
        <f>COUNTIF([1]VillageDiscoveryGroup!$C:$C,표1[[#This Row],[명칭]])</f>
        <v>0</v>
      </c>
      <c r="O2196" s="65">
        <f>SUM(표1[[#This Row],[해양탐색]:[마을탐험]])</f>
        <v>0</v>
      </c>
    </row>
    <row r="2197" spans="2:15" ht="13.5" customHeight="1" x14ac:dyDescent="0.3">
      <c r="B2197" s="9">
        <f>[1]Discovery!A2203</f>
        <v>70413413</v>
      </c>
      <c r="C2197" s="9" t="str">
        <f>[1]Discovery!B2203</f>
        <v>마로코파 폭포</v>
      </c>
      <c r="D2197" s="9" t="str">
        <f>[1]Discovery!E2203</f>
        <v>자연</v>
      </c>
      <c r="E2197" s="9" t="str">
        <f>[1]Discovery!C2203</f>
        <v>지리</v>
      </c>
      <c r="F2197" s="9" t="str">
        <f>[1]Discovery!G2203</f>
        <v>A</v>
      </c>
      <c r="G2197" s="9" t="str">
        <f>IFERROR(VLOOKUP(표1[[#This Row],[명칭]],'문화권 정리'!C:D,2,FALSE),"-")</f>
        <v>오세아니아</v>
      </c>
      <c r="H2197" s="38" t="str">
        <f>IFERROR(COUNTIF([2]OceanDoodad!$Y:$Y,표1[[#This Row],[명칭]]),"-")</f>
        <v>-</v>
      </c>
      <c r="I2197" s="38">
        <f>IFERROR(COUNTIF([1]AdventureDiscoveryGroup!$D$8:$AW$92,표1[[#This Row],[명칭]]),"-")</f>
        <v>0</v>
      </c>
      <c r="J2197" s="38">
        <f>IFERROR(COUNTIF([1]FishDiscoveryGroup!$A:$X,표1[[#This Row],[명칭]]),"-")</f>
        <v>0</v>
      </c>
      <c r="K2197" s="38" t="str">
        <f>IFERROR(COUNTIF([2]Town!$B:$B,표1[[#This Row],[명칭]]),"-")</f>
        <v>-</v>
      </c>
      <c r="L2197" s="38">
        <f>IFERROR(COUNTIF([1]Village!$BR:$BR,표1[[#This Row],[명칭]]),"-")</f>
        <v>0</v>
      </c>
      <c r="M2197" s="38">
        <f>COUNTIF(퀘스트!B:B,표1[[#This Row],[명칭]])</f>
        <v>0</v>
      </c>
      <c r="N2197" s="65">
        <f>COUNTIF([1]VillageDiscoveryGroup!$C:$C,표1[[#This Row],[명칭]])</f>
        <v>0</v>
      </c>
      <c r="O2197" s="65">
        <f>SUM(표1[[#This Row],[해양탐색]:[마을탐험]])</f>
        <v>0</v>
      </c>
    </row>
    <row r="2198" spans="2:15" ht="13.5" customHeight="1" x14ac:dyDescent="0.3">
      <c r="B2198" s="9">
        <f>[1]Discovery!A2204</f>
        <v>70413414</v>
      </c>
      <c r="C2198" s="9" t="str">
        <f>[1]Discovery!B2204</f>
        <v>핏츠로이 폭포</v>
      </c>
      <c r="D2198" s="9" t="str">
        <f>[1]Discovery!E2204</f>
        <v>자연</v>
      </c>
      <c r="E2198" s="9" t="str">
        <f>[1]Discovery!C2204</f>
        <v>지리</v>
      </c>
      <c r="F2198" s="9" t="str">
        <f>[1]Discovery!G2204</f>
        <v>B</v>
      </c>
      <c r="G2198" s="9" t="str">
        <f>IFERROR(VLOOKUP(표1[[#This Row],[명칭]],'문화권 정리'!C:D,2,FALSE),"-")</f>
        <v>오세아니아</v>
      </c>
      <c r="H2198" s="38" t="str">
        <f>IFERROR(COUNTIF([2]OceanDoodad!$Y:$Y,표1[[#This Row],[명칭]]),"-")</f>
        <v>-</v>
      </c>
      <c r="I2198" s="38">
        <f>IFERROR(COUNTIF([1]AdventureDiscoveryGroup!$D$8:$AW$92,표1[[#This Row],[명칭]]),"-")</f>
        <v>0</v>
      </c>
      <c r="J2198" s="38">
        <f>IFERROR(COUNTIF([1]FishDiscoveryGroup!$A:$X,표1[[#This Row],[명칭]]),"-")</f>
        <v>0</v>
      </c>
      <c r="K2198" s="38" t="str">
        <f>IFERROR(COUNTIF([2]Town!$B:$B,표1[[#This Row],[명칭]]),"-")</f>
        <v>-</v>
      </c>
      <c r="L2198" s="38">
        <f>IFERROR(COUNTIF([1]Village!$BR:$BR,표1[[#This Row],[명칭]]),"-")</f>
        <v>0</v>
      </c>
      <c r="M2198" s="38">
        <f>COUNTIF(퀘스트!B:B,표1[[#This Row],[명칭]])</f>
        <v>0</v>
      </c>
      <c r="N2198" s="65">
        <f>COUNTIF([1]VillageDiscoveryGroup!$C:$C,표1[[#This Row],[명칭]])</f>
        <v>0</v>
      </c>
      <c r="O2198" s="65">
        <f>SUM(표1[[#This Row],[해양탐색]:[마을탐험]])</f>
        <v>0</v>
      </c>
    </row>
    <row r="2199" spans="2:15" ht="13.5" customHeight="1" x14ac:dyDescent="0.3">
      <c r="B2199" s="9">
        <f>[1]Discovery!A2205</f>
        <v>70413415</v>
      </c>
      <c r="C2199" s="9" t="str">
        <f>[1]Discovery!B2205</f>
        <v>레인보우 폭포</v>
      </c>
      <c r="D2199" s="9" t="str">
        <f>[1]Discovery!E2205</f>
        <v>자연</v>
      </c>
      <c r="E2199" s="9" t="str">
        <f>[1]Discovery!C2205</f>
        <v>지리</v>
      </c>
      <c r="F2199" s="9" t="str">
        <f>[1]Discovery!G2205</f>
        <v>B</v>
      </c>
      <c r="G2199" s="9" t="str">
        <f>IFERROR(VLOOKUP(표1[[#This Row],[명칭]],'문화권 정리'!C:D,2,FALSE),"-")</f>
        <v>태평양</v>
      </c>
      <c r="H2199" s="38" t="str">
        <f>IFERROR(COUNTIF([2]OceanDoodad!$Y:$Y,표1[[#This Row],[명칭]]),"-")</f>
        <v>-</v>
      </c>
      <c r="I2199" s="38">
        <f>IFERROR(COUNTIF([1]AdventureDiscoveryGroup!$D$8:$AW$92,표1[[#This Row],[명칭]]),"-")</f>
        <v>0</v>
      </c>
      <c r="J2199" s="38">
        <f>IFERROR(COUNTIF([1]FishDiscoveryGroup!$A:$X,표1[[#This Row],[명칭]]),"-")</f>
        <v>0</v>
      </c>
      <c r="K2199" s="38" t="str">
        <f>IFERROR(COUNTIF([2]Town!$B:$B,표1[[#This Row],[명칭]]),"-")</f>
        <v>-</v>
      </c>
      <c r="L2199" s="38">
        <f>IFERROR(COUNTIF([1]Village!$BR:$BR,표1[[#This Row],[명칭]]),"-")</f>
        <v>0</v>
      </c>
      <c r="M2199" s="38">
        <f>COUNTIF(퀘스트!B:B,표1[[#This Row],[명칭]])</f>
        <v>0</v>
      </c>
      <c r="N2199" s="65">
        <f>COUNTIF([1]VillageDiscoveryGroup!$C:$C,표1[[#This Row],[명칭]])</f>
        <v>0</v>
      </c>
      <c r="O2199" s="65">
        <f>SUM(표1[[#This Row],[해양탐색]:[마을탐험]])</f>
        <v>0</v>
      </c>
    </row>
    <row r="2200" spans="2:15" ht="13.5" customHeight="1" x14ac:dyDescent="0.3">
      <c r="B2200" s="9">
        <f>[1]Discovery!A2206</f>
        <v>70413416</v>
      </c>
      <c r="C2200" s="9" t="str">
        <f>[1]Discovery!B2206</f>
        <v>시라이토 폭포</v>
      </c>
      <c r="D2200" s="9" t="str">
        <f>[1]Discovery!E2206</f>
        <v>자연</v>
      </c>
      <c r="E2200" s="9" t="str">
        <f>[1]Discovery!C2206</f>
        <v>지리</v>
      </c>
      <c r="F2200" s="9" t="str">
        <f>[1]Discovery!G2206</f>
        <v>C</v>
      </c>
      <c r="G2200" s="9" t="str">
        <f>IFERROR(VLOOKUP(표1[[#This Row],[명칭]],'문화권 정리'!C:D,2,FALSE),"-")</f>
        <v>동아시아</v>
      </c>
      <c r="H2200" s="38" t="str">
        <f>IFERROR(COUNTIF([2]OceanDoodad!$Y:$Y,표1[[#This Row],[명칭]]),"-")</f>
        <v>-</v>
      </c>
      <c r="I2200" s="38">
        <f>IFERROR(COUNTIF([1]AdventureDiscoveryGroup!$D$8:$AW$92,표1[[#This Row],[명칭]]),"-")</f>
        <v>0</v>
      </c>
      <c r="J2200" s="38">
        <f>IFERROR(COUNTIF([1]FishDiscoveryGroup!$A:$X,표1[[#This Row],[명칭]]),"-")</f>
        <v>0</v>
      </c>
      <c r="K2200" s="38" t="str">
        <f>IFERROR(COUNTIF([2]Town!$B:$B,표1[[#This Row],[명칭]]),"-")</f>
        <v>-</v>
      </c>
      <c r="L2200" s="38">
        <f>IFERROR(COUNTIF([1]Village!$BR:$BR,표1[[#This Row],[명칭]]),"-")</f>
        <v>0</v>
      </c>
      <c r="M2200" s="38">
        <f>COUNTIF(퀘스트!B:B,표1[[#This Row],[명칭]])</f>
        <v>0</v>
      </c>
      <c r="N2200" s="65">
        <f>COUNTIF([1]VillageDiscoveryGroup!$C:$C,표1[[#This Row],[명칭]])</f>
        <v>0</v>
      </c>
      <c r="O2200" s="65">
        <f>SUM(표1[[#This Row],[해양탐색]:[마을탐험]])</f>
        <v>0</v>
      </c>
    </row>
    <row r="2201" spans="2:15" ht="13.5" customHeight="1" x14ac:dyDescent="0.3">
      <c r="B2201" s="9">
        <f>[1]Discovery!A2207</f>
        <v>70413417</v>
      </c>
      <c r="C2201" s="9" t="str">
        <f>[1]Discovery!B2207</f>
        <v>말레추냐네 폭포</v>
      </c>
      <c r="D2201" s="9" t="str">
        <f>[1]Discovery!E2207</f>
        <v>자연</v>
      </c>
      <c r="E2201" s="9" t="str">
        <f>[1]Discovery!C2207</f>
        <v>지리</v>
      </c>
      <c r="F2201" s="9" t="str">
        <f>[1]Discovery!G2207</f>
        <v>B</v>
      </c>
      <c r="G2201" s="9" t="str">
        <f>IFERROR(VLOOKUP(표1[[#This Row],[명칭]],'문화권 정리'!C:D,2,FALSE),"-")</f>
        <v>남아프리카</v>
      </c>
      <c r="H2201" s="38" t="str">
        <f>IFERROR(COUNTIF([2]OceanDoodad!$Y:$Y,표1[[#This Row],[명칭]]),"-")</f>
        <v>-</v>
      </c>
      <c r="I2201" s="38">
        <f>IFERROR(COUNTIF([1]AdventureDiscoveryGroup!$D$8:$AW$92,표1[[#This Row],[명칭]]),"-")</f>
        <v>0</v>
      </c>
      <c r="J2201" s="38">
        <f>IFERROR(COUNTIF([1]FishDiscoveryGroup!$A:$X,표1[[#This Row],[명칭]]),"-")</f>
        <v>0</v>
      </c>
      <c r="K2201" s="38" t="str">
        <f>IFERROR(COUNTIF([2]Town!$B:$B,표1[[#This Row],[명칭]]),"-")</f>
        <v>-</v>
      </c>
      <c r="L2201" s="38">
        <f>IFERROR(COUNTIF([1]Village!$BR:$BR,표1[[#This Row],[명칭]]),"-")</f>
        <v>0</v>
      </c>
      <c r="M2201" s="38">
        <f>COUNTIF(퀘스트!B:B,표1[[#This Row],[명칭]])</f>
        <v>0</v>
      </c>
      <c r="N2201" s="65">
        <f>COUNTIF([1]VillageDiscoveryGroup!$C:$C,표1[[#This Row],[명칭]])</f>
        <v>0</v>
      </c>
      <c r="O2201" s="65">
        <f>SUM(표1[[#This Row],[해양탐색]:[마을탐험]])</f>
        <v>0</v>
      </c>
    </row>
    <row r="2202" spans="2:15" ht="13.5" customHeight="1" x14ac:dyDescent="0.3">
      <c r="B2202" s="9">
        <f>[1]Discovery!A2208</f>
        <v>70413418</v>
      </c>
      <c r="C2202" s="9" t="str">
        <f>[1]Discovery!B2208</f>
        <v>스털링 폭포</v>
      </c>
      <c r="D2202" s="9" t="str">
        <f>[1]Discovery!E2208</f>
        <v>자연</v>
      </c>
      <c r="E2202" s="9" t="str">
        <f>[1]Discovery!C2208</f>
        <v>지리</v>
      </c>
      <c r="F2202" s="9" t="str">
        <f>[1]Discovery!G2208</f>
        <v>B</v>
      </c>
      <c r="G2202" s="9" t="str">
        <f>IFERROR(VLOOKUP(표1[[#This Row],[명칭]],'문화권 정리'!C:D,2,FALSE),"-")</f>
        <v>오세아니아</v>
      </c>
      <c r="H2202" s="38" t="str">
        <f>IFERROR(COUNTIF([2]OceanDoodad!$Y:$Y,표1[[#This Row],[명칭]]),"-")</f>
        <v>-</v>
      </c>
      <c r="I2202" s="38">
        <f>IFERROR(COUNTIF([1]AdventureDiscoveryGroup!$D$8:$AW$92,표1[[#This Row],[명칭]]),"-")</f>
        <v>0</v>
      </c>
      <c r="J2202" s="38">
        <f>IFERROR(COUNTIF([1]FishDiscoveryGroup!$A:$X,표1[[#This Row],[명칭]]),"-")</f>
        <v>0</v>
      </c>
      <c r="K2202" s="38" t="str">
        <f>IFERROR(COUNTIF([2]Town!$B:$B,표1[[#This Row],[명칭]]),"-")</f>
        <v>-</v>
      </c>
      <c r="L2202" s="38">
        <f>IFERROR(COUNTIF([1]Village!$BR:$BR,표1[[#This Row],[명칭]]),"-")</f>
        <v>0</v>
      </c>
      <c r="M2202" s="38">
        <f>COUNTIF(퀘스트!B:B,표1[[#This Row],[명칭]])</f>
        <v>0</v>
      </c>
      <c r="N2202" s="65">
        <f>COUNTIF([1]VillageDiscoveryGroup!$C:$C,표1[[#This Row],[명칭]])</f>
        <v>0</v>
      </c>
      <c r="O2202" s="65">
        <f>SUM(표1[[#This Row],[해양탐색]:[마을탐험]])</f>
        <v>0</v>
      </c>
    </row>
    <row r="2203" spans="2:15" ht="13.5" customHeight="1" x14ac:dyDescent="0.3">
      <c r="B2203" s="9">
        <f>[1]Discovery!A2209</f>
        <v>70413419</v>
      </c>
      <c r="C2203" s="9" t="str">
        <f>[1]Discovery!B2209</f>
        <v>스코아 폭포</v>
      </c>
      <c r="D2203" s="9" t="str">
        <f>[1]Discovery!E2209</f>
        <v>자연</v>
      </c>
      <c r="E2203" s="9" t="str">
        <f>[1]Discovery!C2209</f>
        <v>지리</v>
      </c>
      <c r="F2203" s="9" t="str">
        <f>[1]Discovery!G2209</f>
        <v>B</v>
      </c>
      <c r="G2203" s="9" t="str">
        <f>IFERROR(VLOOKUP(표1[[#This Row],[명칭]],'문화권 정리'!C:D,2,FALSE),"-")</f>
        <v>극지방</v>
      </c>
      <c r="H2203" s="38" t="str">
        <f>IFERROR(COUNTIF([2]OceanDoodad!$Y:$Y,표1[[#This Row],[명칭]]),"-")</f>
        <v>-</v>
      </c>
      <c r="I2203" s="38">
        <f>IFERROR(COUNTIF([1]AdventureDiscoveryGroup!$D$8:$AW$92,표1[[#This Row],[명칭]]),"-")</f>
        <v>0</v>
      </c>
      <c r="J2203" s="38">
        <f>IFERROR(COUNTIF([1]FishDiscoveryGroup!$A:$X,표1[[#This Row],[명칭]]),"-")</f>
        <v>0</v>
      </c>
      <c r="K2203" s="38" t="str">
        <f>IFERROR(COUNTIF([2]Town!$B:$B,표1[[#This Row],[명칭]]),"-")</f>
        <v>-</v>
      </c>
      <c r="L2203" s="38">
        <f>IFERROR(COUNTIF([1]Village!$BR:$BR,표1[[#This Row],[명칭]]),"-")</f>
        <v>0</v>
      </c>
      <c r="M2203" s="38">
        <f>COUNTIF(퀘스트!B:B,표1[[#This Row],[명칭]])</f>
        <v>0</v>
      </c>
      <c r="N2203" s="65">
        <f>COUNTIF([1]VillageDiscoveryGroup!$C:$C,표1[[#This Row],[명칭]])</f>
        <v>0</v>
      </c>
      <c r="O2203" s="65">
        <f>SUM(표1[[#This Row],[해양탐색]:[마을탐험]])</f>
        <v>0</v>
      </c>
    </row>
    <row r="2204" spans="2:15" ht="13.5" customHeight="1" x14ac:dyDescent="0.3">
      <c r="B2204" s="9">
        <f>[1]Discovery!A2210</f>
        <v>70413420</v>
      </c>
      <c r="C2204" s="9" t="str">
        <f>[1]Discovery!B2210</f>
        <v>스펀 폭포</v>
      </c>
      <c r="D2204" s="9" t="str">
        <f>[1]Discovery!E2210</f>
        <v>자연</v>
      </c>
      <c r="E2204" s="9" t="str">
        <f>[1]Discovery!C2210</f>
        <v>지리</v>
      </c>
      <c r="F2204" s="9" t="str">
        <f>[1]Discovery!G2210</f>
        <v>B</v>
      </c>
      <c r="G2204" s="9" t="str">
        <f>IFERROR(VLOOKUP(표1[[#This Row],[명칭]],'문화권 정리'!C:D,2,FALSE),"-")</f>
        <v>동아시아</v>
      </c>
      <c r="H2204" s="38" t="str">
        <f>IFERROR(COUNTIF([2]OceanDoodad!$Y:$Y,표1[[#This Row],[명칭]]),"-")</f>
        <v>-</v>
      </c>
      <c r="I2204" s="38">
        <f>IFERROR(COUNTIF([1]AdventureDiscoveryGroup!$D$8:$AW$92,표1[[#This Row],[명칭]]),"-")</f>
        <v>0</v>
      </c>
      <c r="J2204" s="38">
        <f>IFERROR(COUNTIF([1]FishDiscoveryGroup!$A:$X,표1[[#This Row],[명칭]]),"-")</f>
        <v>0</v>
      </c>
      <c r="K2204" s="38" t="str">
        <f>IFERROR(COUNTIF([2]Town!$B:$B,표1[[#This Row],[명칭]]),"-")</f>
        <v>-</v>
      </c>
      <c r="L2204" s="38">
        <f>IFERROR(COUNTIF([1]Village!$BR:$BR,표1[[#This Row],[명칭]]),"-")</f>
        <v>0</v>
      </c>
      <c r="M2204" s="38">
        <f>COUNTIF(퀘스트!B:B,표1[[#This Row],[명칭]])</f>
        <v>0</v>
      </c>
      <c r="N2204" s="65">
        <f>COUNTIF([1]VillageDiscoveryGroup!$C:$C,표1[[#This Row],[명칭]])</f>
        <v>0</v>
      </c>
      <c r="O2204" s="65">
        <f>SUM(표1[[#This Row],[해양탐색]:[마을탐험]])</f>
        <v>0</v>
      </c>
    </row>
    <row r="2205" spans="2:15" ht="13.5" customHeight="1" x14ac:dyDescent="0.3">
      <c r="B2205" s="9">
        <f>[1]Discovery!A2211</f>
        <v>70413421</v>
      </c>
      <c r="C2205" s="9" t="str">
        <f>[1]Discovery!B2211</f>
        <v>게곤 폭포</v>
      </c>
      <c r="D2205" s="9" t="str">
        <f>[1]Discovery!E2211</f>
        <v>자연</v>
      </c>
      <c r="E2205" s="9" t="str">
        <f>[1]Discovery!C2211</f>
        <v>지리</v>
      </c>
      <c r="F2205" s="9" t="str">
        <f>[1]Discovery!G2211</f>
        <v>A</v>
      </c>
      <c r="G2205" s="9" t="str">
        <f>IFERROR(VLOOKUP(표1[[#This Row],[명칭]],'문화권 정리'!C:D,2,FALSE),"-")</f>
        <v>동아시아</v>
      </c>
      <c r="H2205" s="38" t="str">
        <f>IFERROR(COUNTIF([2]OceanDoodad!$Y:$Y,표1[[#This Row],[명칭]]),"-")</f>
        <v>-</v>
      </c>
      <c r="I2205" s="38">
        <f>IFERROR(COUNTIF([1]AdventureDiscoveryGroup!$D$8:$AW$92,표1[[#This Row],[명칭]]),"-")</f>
        <v>0</v>
      </c>
      <c r="J2205" s="38">
        <f>IFERROR(COUNTIF([1]FishDiscoveryGroup!$A:$X,표1[[#This Row],[명칭]]),"-")</f>
        <v>0</v>
      </c>
      <c r="K2205" s="38" t="str">
        <f>IFERROR(COUNTIF([2]Town!$B:$B,표1[[#This Row],[명칭]]),"-")</f>
        <v>-</v>
      </c>
      <c r="L2205" s="38">
        <f>IFERROR(COUNTIF([1]Village!$BR:$BR,표1[[#This Row],[명칭]]),"-")</f>
        <v>0</v>
      </c>
      <c r="M2205" s="38">
        <f>COUNTIF(퀘스트!B:B,표1[[#This Row],[명칭]])</f>
        <v>0</v>
      </c>
      <c r="N2205" s="65">
        <f>COUNTIF([1]VillageDiscoveryGroup!$C:$C,표1[[#This Row],[명칭]])</f>
        <v>0</v>
      </c>
      <c r="O2205" s="65">
        <f>SUM(표1[[#This Row],[해양탐색]:[마을탐험]])</f>
        <v>0</v>
      </c>
    </row>
    <row r="2206" spans="2:15" ht="13.5" customHeight="1" x14ac:dyDescent="0.3">
      <c r="B2206" s="9">
        <f>[1]Discovery!A2212</f>
        <v>70413422</v>
      </c>
      <c r="C2206" s="9" t="str">
        <f>[1]Discovery!B2212</f>
        <v>백두산</v>
      </c>
      <c r="D2206" s="9" t="str">
        <f>[1]Discovery!E2212</f>
        <v>자연</v>
      </c>
      <c r="E2206" s="9" t="str">
        <f>[1]Discovery!C2212</f>
        <v>지리</v>
      </c>
      <c r="F2206" s="9" t="str">
        <f>[1]Discovery!G2212</f>
        <v>S</v>
      </c>
      <c r="G2206" s="9" t="str">
        <f>IFERROR(VLOOKUP(표1[[#This Row],[명칭]],'문화권 정리'!C:D,2,FALSE),"-")</f>
        <v>동아시아</v>
      </c>
      <c r="H2206" s="38" t="str">
        <f>IFERROR(COUNTIF([2]OceanDoodad!$Y:$Y,표1[[#This Row],[명칭]]),"-")</f>
        <v>-</v>
      </c>
      <c r="I2206" s="38">
        <f>IFERROR(COUNTIF([1]AdventureDiscoveryGroup!$D$8:$AW$92,표1[[#This Row],[명칭]]),"-")</f>
        <v>0</v>
      </c>
      <c r="J2206" s="38">
        <f>IFERROR(COUNTIF([1]FishDiscoveryGroup!$A:$X,표1[[#This Row],[명칭]]),"-")</f>
        <v>0</v>
      </c>
      <c r="K2206" s="38" t="str">
        <f>IFERROR(COUNTIF([2]Town!$B:$B,표1[[#This Row],[명칭]]),"-")</f>
        <v>-</v>
      </c>
      <c r="L2206" s="38">
        <f>IFERROR(COUNTIF([1]Village!$BR:$BR,표1[[#This Row],[명칭]]),"-")</f>
        <v>0</v>
      </c>
      <c r="M2206" s="38">
        <f>COUNTIF(퀘스트!B:B,표1[[#This Row],[명칭]])</f>
        <v>0</v>
      </c>
      <c r="N2206" s="65">
        <f>COUNTIF([1]VillageDiscoveryGroup!$C:$C,표1[[#This Row],[명칭]])</f>
        <v>0</v>
      </c>
      <c r="O2206" s="65">
        <f>SUM(표1[[#This Row],[해양탐색]:[마을탐험]])</f>
        <v>0</v>
      </c>
    </row>
    <row r="2207" spans="2:15" ht="13.5" customHeight="1" x14ac:dyDescent="0.3">
      <c r="B2207" s="9">
        <f>[1]Discovery!A2213</f>
        <v>70413423</v>
      </c>
      <c r="C2207" s="9" t="str">
        <f>[1]Discovery!B2213</f>
        <v>베수비오산</v>
      </c>
      <c r="D2207" s="9" t="str">
        <f>[1]Discovery!E2213</f>
        <v>자연</v>
      </c>
      <c r="E2207" s="9" t="str">
        <f>[1]Discovery!C2213</f>
        <v>지리</v>
      </c>
      <c r="F2207" s="9" t="str">
        <f>[1]Discovery!G2213</f>
        <v>A</v>
      </c>
      <c r="G2207" s="9" t="str">
        <f>IFERROR(VLOOKUP(표1[[#This Row],[명칭]],'문화권 정리'!C:D,2,FALSE),"-")</f>
        <v>지중해</v>
      </c>
      <c r="H2207" s="38" t="str">
        <f>IFERROR(COUNTIF([2]OceanDoodad!$Y:$Y,표1[[#This Row],[명칭]]),"-")</f>
        <v>-</v>
      </c>
      <c r="I2207" s="38">
        <f>IFERROR(COUNTIF([1]AdventureDiscoveryGroup!$D$8:$AW$92,표1[[#This Row],[명칭]]),"-")</f>
        <v>0</v>
      </c>
      <c r="J2207" s="38">
        <f>IFERROR(COUNTIF([1]FishDiscoveryGroup!$A:$X,표1[[#This Row],[명칭]]),"-")</f>
        <v>0</v>
      </c>
      <c r="K2207" s="38" t="str">
        <f>IFERROR(COUNTIF([2]Town!$B:$B,표1[[#This Row],[명칭]]),"-")</f>
        <v>-</v>
      </c>
      <c r="L2207" s="38">
        <f>IFERROR(COUNTIF([1]Village!$BR:$BR,표1[[#This Row],[명칭]]),"-")</f>
        <v>0</v>
      </c>
      <c r="M2207" s="38">
        <f>COUNTIF(퀘스트!B:B,표1[[#This Row],[명칭]])</f>
        <v>0</v>
      </c>
      <c r="N2207" s="65">
        <f>COUNTIF([1]VillageDiscoveryGroup!$C:$C,표1[[#This Row],[명칭]])</f>
        <v>0</v>
      </c>
      <c r="O2207" s="65">
        <f>SUM(표1[[#This Row],[해양탐색]:[마을탐험]])</f>
        <v>0</v>
      </c>
    </row>
    <row r="2208" spans="2:15" ht="13.5" customHeight="1" x14ac:dyDescent="0.3">
      <c r="B2208" s="9">
        <f>[1]Discovery!A2214</f>
        <v>70413424</v>
      </c>
      <c r="C2208" s="9" t="str">
        <f>[1]Discovery!B2214</f>
        <v>스메루산</v>
      </c>
      <c r="D2208" s="9" t="str">
        <f>[1]Discovery!E2214</f>
        <v>자연</v>
      </c>
      <c r="E2208" s="9" t="str">
        <f>[1]Discovery!C2214</f>
        <v>지리</v>
      </c>
      <c r="F2208" s="9" t="str">
        <f>[1]Discovery!G2214</f>
        <v>A</v>
      </c>
      <c r="G2208" s="9" t="str">
        <f>IFERROR(VLOOKUP(표1[[#This Row],[명칭]],'문화권 정리'!C:D,2,FALSE),"-")</f>
        <v>동남아시아</v>
      </c>
      <c r="H2208" s="38" t="str">
        <f>IFERROR(COUNTIF([2]OceanDoodad!$Y:$Y,표1[[#This Row],[명칭]]),"-")</f>
        <v>-</v>
      </c>
      <c r="I2208" s="38">
        <f>IFERROR(COUNTIF([1]AdventureDiscoveryGroup!$D$8:$AW$92,표1[[#This Row],[명칭]]),"-")</f>
        <v>0</v>
      </c>
      <c r="J2208" s="38">
        <f>IFERROR(COUNTIF([1]FishDiscoveryGroup!$A:$X,표1[[#This Row],[명칭]]),"-")</f>
        <v>0</v>
      </c>
      <c r="K2208" s="38" t="str">
        <f>IFERROR(COUNTIF([2]Town!$B:$B,표1[[#This Row],[명칭]]),"-")</f>
        <v>-</v>
      </c>
      <c r="L2208" s="38">
        <f>IFERROR(COUNTIF([1]Village!$BR:$BR,표1[[#This Row],[명칭]]),"-")</f>
        <v>0</v>
      </c>
      <c r="M2208" s="38">
        <f>COUNTIF(퀘스트!B:B,표1[[#This Row],[명칭]])</f>
        <v>0</v>
      </c>
      <c r="N2208" s="65">
        <f>COUNTIF([1]VillageDiscoveryGroup!$C:$C,표1[[#This Row],[명칭]])</f>
        <v>0</v>
      </c>
      <c r="O2208" s="65">
        <f>SUM(표1[[#This Row],[해양탐색]:[마을탐험]])</f>
        <v>0</v>
      </c>
    </row>
    <row r="2209" spans="2:15" ht="13.5" customHeight="1" x14ac:dyDescent="0.3">
      <c r="B2209" s="9">
        <f>[1]Discovery!A2215</f>
        <v>70413425</v>
      </c>
      <c r="C2209" s="9" t="str">
        <f>[1]Discovery!B2215</f>
        <v>세인트헬렌스산</v>
      </c>
      <c r="D2209" s="9" t="str">
        <f>[1]Discovery!E2215</f>
        <v>자연</v>
      </c>
      <c r="E2209" s="9" t="str">
        <f>[1]Discovery!C2215</f>
        <v>지리</v>
      </c>
      <c r="F2209" s="9" t="str">
        <f>[1]Discovery!G2215</f>
        <v>A</v>
      </c>
      <c r="G2209" s="9" t="str">
        <f>IFERROR(VLOOKUP(표1[[#This Row],[명칭]],'문화권 정리'!C:D,2,FALSE),"-")</f>
        <v>북아메리카</v>
      </c>
      <c r="H2209" s="38" t="str">
        <f>IFERROR(COUNTIF([2]OceanDoodad!$Y:$Y,표1[[#This Row],[명칭]]),"-")</f>
        <v>-</v>
      </c>
      <c r="I2209" s="38">
        <f>IFERROR(COUNTIF([1]AdventureDiscoveryGroup!$D$8:$AW$92,표1[[#This Row],[명칭]]),"-")</f>
        <v>0</v>
      </c>
      <c r="J2209" s="38">
        <f>IFERROR(COUNTIF([1]FishDiscoveryGroup!$A:$X,표1[[#This Row],[명칭]]),"-")</f>
        <v>0</v>
      </c>
      <c r="K2209" s="38" t="str">
        <f>IFERROR(COUNTIF([2]Town!$B:$B,표1[[#This Row],[명칭]]),"-")</f>
        <v>-</v>
      </c>
      <c r="L2209" s="38">
        <f>IFERROR(COUNTIF([1]Village!$BR:$BR,표1[[#This Row],[명칭]]),"-")</f>
        <v>0</v>
      </c>
      <c r="M2209" s="38">
        <f>COUNTIF(퀘스트!B:B,표1[[#This Row],[명칭]])</f>
        <v>0</v>
      </c>
      <c r="N2209" s="65">
        <f>COUNTIF([1]VillageDiscoveryGroup!$C:$C,표1[[#This Row],[명칭]])</f>
        <v>0</v>
      </c>
      <c r="O2209" s="65">
        <f>SUM(표1[[#This Row],[해양탐색]:[마을탐험]])</f>
        <v>0</v>
      </c>
    </row>
    <row r="2210" spans="2:15" ht="13.5" customHeight="1" x14ac:dyDescent="0.3">
      <c r="B2210" s="9">
        <f>[1]Discovery!A2216</f>
        <v>70413426</v>
      </c>
      <c r="C2210" s="9" t="str">
        <f>[1]Discovery!B2216</f>
        <v>아궁산</v>
      </c>
      <c r="D2210" s="9" t="str">
        <f>[1]Discovery!E2216</f>
        <v>자연</v>
      </c>
      <c r="E2210" s="9" t="str">
        <f>[1]Discovery!C2216</f>
        <v>지리</v>
      </c>
      <c r="F2210" s="9" t="str">
        <f>[1]Discovery!G2216</f>
        <v>B</v>
      </c>
      <c r="G2210" s="9" t="str">
        <f>IFERROR(VLOOKUP(표1[[#This Row],[명칭]],'문화권 정리'!C:D,2,FALSE),"-")</f>
        <v>동남아시아</v>
      </c>
      <c r="H2210" s="38" t="str">
        <f>IFERROR(COUNTIF([2]OceanDoodad!$Y:$Y,표1[[#This Row],[명칭]]),"-")</f>
        <v>-</v>
      </c>
      <c r="I2210" s="38">
        <f>IFERROR(COUNTIF([1]AdventureDiscoveryGroup!$D$8:$AW$92,표1[[#This Row],[명칭]]),"-")</f>
        <v>0</v>
      </c>
      <c r="J2210" s="38">
        <f>IFERROR(COUNTIF([1]FishDiscoveryGroup!$A:$X,표1[[#This Row],[명칭]]),"-")</f>
        <v>0</v>
      </c>
      <c r="K2210" s="38" t="str">
        <f>IFERROR(COUNTIF([2]Town!$B:$B,표1[[#This Row],[명칭]]),"-")</f>
        <v>-</v>
      </c>
      <c r="L2210" s="38">
        <f>IFERROR(COUNTIF([1]Village!$BR:$BR,표1[[#This Row],[명칭]]),"-")</f>
        <v>0</v>
      </c>
      <c r="M2210" s="38">
        <f>COUNTIF(퀘스트!B:B,표1[[#This Row],[명칭]])</f>
        <v>0</v>
      </c>
      <c r="N2210" s="65">
        <f>COUNTIF([1]VillageDiscoveryGroup!$C:$C,표1[[#This Row],[명칭]])</f>
        <v>0</v>
      </c>
      <c r="O2210" s="65">
        <f>SUM(표1[[#This Row],[해양탐색]:[마을탐험]])</f>
        <v>0</v>
      </c>
    </row>
    <row r="2211" spans="2:15" ht="13.5" customHeight="1" x14ac:dyDescent="0.3">
      <c r="B2211" s="9">
        <f>[1]Discovery!A2217</f>
        <v>70413427</v>
      </c>
      <c r="C2211" s="9" t="str">
        <f>[1]Discovery!B2217</f>
        <v>피나투보산</v>
      </c>
      <c r="D2211" s="9" t="str">
        <f>[1]Discovery!E2217</f>
        <v>자연</v>
      </c>
      <c r="E2211" s="9" t="str">
        <f>[1]Discovery!C2217</f>
        <v>지리</v>
      </c>
      <c r="F2211" s="9" t="str">
        <f>[1]Discovery!G2217</f>
        <v>B</v>
      </c>
      <c r="G2211" s="9" t="str">
        <f>IFERROR(VLOOKUP(표1[[#This Row],[명칭]],'문화권 정리'!C:D,2,FALSE),"-")</f>
        <v>동남아시아</v>
      </c>
      <c r="H2211" s="38" t="str">
        <f>IFERROR(COUNTIF([2]OceanDoodad!$Y:$Y,표1[[#This Row],[명칭]]),"-")</f>
        <v>-</v>
      </c>
      <c r="I2211" s="38">
        <f>IFERROR(COUNTIF([1]AdventureDiscoveryGroup!$D$8:$AW$92,표1[[#This Row],[명칭]]),"-")</f>
        <v>0</v>
      </c>
      <c r="J2211" s="38">
        <f>IFERROR(COUNTIF([1]FishDiscoveryGroup!$A:$X,표1[[#This Row],[명칭]]),"-")</f>
        <v>0</v>
      </c>
      <c r="K2211" s="38" t="str">
        <f>IFERROR(COUNTIF([2]Town!$B:$B,표1[[#This Row],[명칭]]),"-")</f>
        <v>-</v>
      </c>
      <c r="L2211" s="38">
        <f>IFERROR(COUNTIF([1]Village!$BR:$BR,표1[[#This Row],[명칭]]),"-")</f>
        <v>0</v>
      </c>
      <c r="M2211" s="38">
        <f>COUNTIF(퀘스트!B:B,표1[[#This Row],[명칭]])</f>
        <v>0</v>
      </c>
      <c r="N2211" s="65">
        <f>COUNTIF([1]VillageDiscoveryGroup!$C:$C,표1[[#This Row],[명칭]])</f>
        <v>0</v>
      </c>
      <c r="O2211" s="65">
        <f>SUM(표1[[#This Row],[해양탐색]:[마을탐험]])</f>
        <v>0</v>
      </c>
    </row>
    <row r="2212" spans="2:15" ht="13.5" customHeight="1" x14ac:dyDescent="0.3">
      <c r="B2212" s="9">
        <f>[1]Discovery!A2218</f>
        <v>70413428</v>
      </c>
      <c r="C2212" s="9" t="str">
        <f>[1]Discovery!B2218</f>
        <v>마욘산</v>
      </c>
      <c r="D2212" s="9" t="str">
        <f>[1]Discovery!E2218</f>
        <v>자연</v>
      </c>
      <c r="E2212" s="9" t="str">
        <f>[1]Discovery!C2218</f>
        <v>지리</v>
      </c>
      <c r="F2212" s="9" t="str">
        <f>[1]Discovery!G2218</f>
        <v>A</v>
      </c>
      <c r="G2212" s="9" t="str">
        <f>IFERROR(VLOOKUP(표1[[#This Row],[명칭]],'문화권 정리'!C:D,2,FALSE),"-")</f>
        <v>동남아시아</v>
      </c>
      <c r="H2212" s="38" t="str">
        <f>IFERROR(COUNTIF([2]OceanDoodad!$Y:$Y,표1[[#This Row],[명칭]]),"-")</f>
        <v>-</v>
      </c>
      <c r="I2212" s="38">
        <f>IFERROR(COUNTIF([1]AdventureDiscoveryGroup!$D$8:$AW$92,표1[[#This Row],[명칭]]),"-")</f>
        <v>0</v>
      </c>
      <c r="J2212" s="38">
        <f>IFERROR(COUNTIF([1]FishDiscoveryGroup!$A:$X,표1[[#This Row],[명칭]]),"-")</f>
        <v>0</v>
      </c>
      <c r="K2212" s="38" t="str">
        <f>IFERROR(COUNTIF([2]Town!$B:$B,표1[[#This Row],[명칭]]),"-")</f>
        <v>-</v>
      </c>
      <c r="L2212" s="38">
        <f>IFERROR(COUNTIF([1]Village!$BR:$BR,표1[[#This Row],[명칭]]),"-")</f>
        <v>0</v>
      </c>
      <c r="M2212" s="38">
        <f>COUNTIF(퀘스트!B:B,표1[[#This Row],[명칭]])</f>
        <v>0</v>
      </c>
      <c r="N2212" s="65">
        <f>COUNTIF([1]VillageDiscoveryGroup!$C:$C,표1[[#This Row],[명칭]])</f>
        <v>0</v>
      </c>
      <c r="O2212" s="65">
        <f>SUM(표1[[#This Row],[해양탐색]:[마을탐험]])</f>
        <v>0</v>
      </c>
    </row>
    <row r="2213" spans="2:15" ht="13.5" customHeight="1" x14ac:dyDescent="0.3">
      <c r="B2213" s="9">
        <f>[1]Discovery!A2219</f>
        <v>70413429</v>
      </c>
      <c r="C2213" s="9" t="str">
        <f>[1]Discovery!B2219</f>
        <v>그림스뵈튼산</v>
      </c>
      <c r="D2213" s="9" t="str">
        <f>[1]Discovery!E2219</f>
        <v>자연</v>
      </c>
      <c r="E2213" s="9" t="str">
        <f>[1]Discovery!C2219</f>
        <v>지리</v>
      </c>
      <c r="F2213" s="9" t="str">
        <f>[1]Discovery!G2219</f>
        <v>B</v>
      </c>
      <c r="G2213" s="9" t="str">
        <f>IFERROR(VLOOKUP(표1[[#This Row],[명칭]],'문화권 정리'!C:D,2,FALSE),"-")</f>
        <v>극지방</v>
      </c>
      <c r="H2213" s="38" t="str">
        <f>IFERROR(COUNTIF([2]OceanDoodad!$Y:$Y,표1[[#This Row],[명칭]]),"-")</f>
        <v>-</v>
      </c>
      <c r="I2213" s="38">
        <f>IFERROR(COUNTIF([1]AdventureDiscoveryGroup!$D$8:$AW$92,표1[[#This Row],[명칭]]),"-")</f>
        <v>0</v>
      </c>
      <c r="J2213" s="38">
        <f>IFERROR(COUNTIF([1]FishDiscoveryGroup!$A:$X,표1[[#This Row],[명칭]]),"-")</f>
        <v>0</v>
      </c>
      <c r="K2213" s="38" t="str">
        <f>IFERROR(COUNTIF([2]Town!$B:$B,표1[[#This Row],[명칭]]),"-")</f>
        <v>-</v>
      </c>
      <c r="L2213" s="38">
        <f>IFERROR(COUNTIF([1]Village!$BR:$BR,표1[[#This Row],[명칭]]),"-")</f>
        <v>0</v>
      </c>
      <c r="M2213" s="38">
        <f>COUNTIF(퀘스트!B:B,표1[[#This Row],[명칭]])</f>
        <v>0</v>
      </c>
      <c r="N2213" s="65">
        <f>COUNTIF([1]VillageDiscoveryGroup!$C:$C,표1[[#This Row],[명칭]])</f>
        <v>0</v>
      </c>
      <c r="O2213" s="65">
        <f>SUM(표1[[#This Row],[해양탐색]:[마을탐험]])</f>
        <v>0</v>
      </c>
    </row>
    <row r="2214" spans="2:15" ht="13.5" customHeight="1" x14ac:dyDescent="0.3">
      <c r="B2214" s="9">
        <f>[1]Discovery!A2220</f>
        <v>70413430</v>
      </c>
      <c r="C2214" s="9" t="str">
        <f>[1]Discovery!B2220</f>
        <v>제이타 동굴</v>
      </c>
      <c r="D2214" s="9" t="str">
        <f>[1]Discovery!E2220</f>
        <v>자연</v>
      </c>
      <c r="E2214" s="9" t="str">
        <f>[1]Discovery!C2220</f>
        <v>지리</v>
      </c>
      <c r="F2214" s="9" t="str">
        <f>[1]Discovery!G2220</f>
        <v>B</v>
      </c>
      <c r="G2214" s="9" t="str">
        <f>IFERROR(VLOOKUP(표1[[#This Row],[명칭]],'문화권 정리'!C:D,2,FALSE),"-")</f>
        <v>지중해</v>
      </c>
      <c r="H2214" s="38" t="str">
        <f>IFERROR(COUNTIF([2]OceanDoodad!$Y:$Y,표1[[#This Row],[명칭]]),"-")</f>
        <v>-</v>
      </c>
      <c r="I2214" s="38">
        <f>IFERROR(COUNTIF([1]AdventureDiscoveryGroup!$D$8:$AW$92,표1[[#This Row],[명칭]]),"-")</f>
        <v>0</v>
      </c>
      <c r="J2214" s="38">
        <f>IFERROR(COUNTIF([1]FishDiscoveryGroup!$A:$X,표1[[#This Row],[명칭]]),"-")</f>
        <v>0</v>
      </c>
      <c r="K2214" s="38" t="str">
        <f>IFERROR(COUNTIF([2]Town!$B:$B,표1[[#This Row],[명칭]]),"-")</f>
        <v>-</v>
      </c>
      <c r="L2214" s="38">
        <f>IFERROR(COUNTIF([1]Village!$BR:$BR,표1[[#This Row],[명칭]]),"-")</f>
        <v>0</v>
      </c>
      <c r="M2214" s="38">
        <f>COUNTIF(퀘스트!B:B,표1[[#This Row],[명칭]])</f>
        <v>0</v>
      </c>
      <c r="N2214" s="65">
        <f>COUNTIF([1]VillageDiscoveryGroup!$C:$C,표1[[#This Row],[명칭]])</f>
        <v>0</v>
      </c>
      <c r="O2214" s="65">
        <f>SUM(표1[[#This Row],[해양탐색]:[마을탐험]])</f>
        <v>0</v>
      </c>
    </row>
    <row r="2215" spans="2:15" ht="13.5" customHeight="1" x14ac:dyDescent="0.3">
      <c r="B2215" s="9">
        <f>[1]Discovery!A2221</f>
        <v>70413431</v>
      </c>
      <c r="C2215" s="9" t="str">
        <f>[1]Discovery!B2221</f>
        <v>스카프타펠 동굴</v>
      </c>
      <c r="D2215" s="9" t="str">
        <f>[1]Discovery!E2221</f>
        <v>자연</v>
      </c>
      <c r="E2215" s="9" t="str">
        <f>[1]Discovery!C2221</f>
        <v>지리</v>
      </c>
      <c r="F2215" s="9" t="str">
        <f>[1]Discovery!G2221</f>
        <v>B</v>
      </c>
      <c r="G2215" s="9" t="str">
        <f>IFERROR(VLOOKUP(표1[[#This Row],[명칭]],'문화권 정리'!C:D,2,FALSE),"-")</f>
        <v>극지방</v>
      </c>
      <c r="H2215" s="38" t="str">
        <f>IFERROR(COUNTIF([2]OceanDoodad!$Y:$Y,표1[[#This Row],[명칭]]),"-")</f>
        <v>-</v>
      </c>
      <c r="I2215" s="38">
        <f>IFERROR(COUNTIF([1]AdventureDiscoveryGroup!$D$8:$AW$92,표1[[#This Row],[명칭]]),"-")</f>
        <v>0</v>
      </c>
      <c r="J2215" s="38">
        <f>IFERROR(COUNTIF([1]FishDiscoveryGroup!$A:$X,표1[[#This Row],[명칭]]),"-")</f>
        <v>0</v>
      </c>
      <c r="K2215" s="38" t="str">
        <f>IFERROR(COUNTIF([2]Town!$B:$B,표1[[#This Row],[명칭]]),"-")</f>
        <v>-</v>
      </c>
      <c r="L2215" s="38">
        <f>IFERROR(COUNTIF([1]Village!$BR:$BR,표1[[#This Row],[명칭]]),"-")</f>
        <v>0</v>
      </c>
      <c r="M2215" s="38">
        <f>COUNTIF(퀘스트!B:B,표1[[#This Row],[명칭]])</f>
        <v>0</v>
      </c>
      <c r="N2215" s="65">
        <f>COUNTIF([1]VillageDiscoveryGroup!$C:$C,표1[[#This Row],[명칭]])</f>
        <v>0</v>
      </c>
      <c r="O2215" s="65">
        <f>SUM(표1[[#This Row],[해양탐색]:[마을탐험]])</f>
        <v>0</v>
      </c>
    </row>
    <row r="2216" spans="2:15" ht="13.5" customHeight="1" x14ac:dyDescent="0.3">
      <c r="B2216" s="9">
        <f>[1]Discovery!A2222</f>
        <v>70413432</v>
      </c>
      <c r="C2216" s="9" t="str">
        <f>[1]Discovery!B2222</f>
        <v>용암 동굴</v>
      </c>
      <c r="D2216" s="9" t="str">
        <f>[1]Discovery!E2222</f>
        <v>자연</v>
      </c>
      <c r="E2216" s="9" t="str">
        <f>[1]Discovery!C2222</f>
        <v>지리</v>
      </c>
      <c r="F2216" s="9" t="str">
        <f>[1]Discovery!G2222</f>
        <v>C</v>
      </c>
      <c r="G2216" s="9" t="str">
        <f>IFERROR(VLOOKUP(표1[[#This Row],[명칭]],'문화권 정리'!C:D,2,FALSE),"-")</f>
        <v>동아시아</v>
      </c>
      <c r="H2216" s="38" t="str">
        <f>IFERROR(COUNTIF([2]OceanDoodad!$Y:$Y,표1[[#This Row],[명칭]]),"-")</f>
        <v>-</v>
      </c>
      <c r="I2216" s="38">
        <f>IFERROR(COUNTIF([1]AdventureDiscoveryGroup!$D$8:$AW$92,표1[[#This Row],[명칭]]),"-")</f>
        <v>0</v>
      </c>
      <c r="J2216" s="38">
        <f>IFERROR(COUNTIF([1]FishDiscoveryGroup!$A:$X,표1[[#This Row],[명칭]]),"-")</f>
        <v>0</v>
      </c>
      <c r="K2216" s="38" t="str">
        <f>IFERROR(COUNTIF([2]Town!$B:$B,표1[[#This Row],[명칭]]),"-")</f>
        <v>-</v>
      </c>
      <c r="L2216" s="38">
        <f>IFERROR(COUNTIF([1]Village!$BR:$BR,표1[[#This Row],[명칭]]),"-")</f>
        <v>0</v>
      </c>
      <c r="M2216" s="38">
        <f>COUNTIF(퀘스트!B:B,표1[[#This Row],[명칭]])</f>
        <v>0</v>
      </c>
      <c r="N2216" s="65">
        <f>COUNTIF([1]VillageDiscoveryGroup!$C:$C,표1[[#This Row],[명칭]])</f>
        <v>0</v>
      </c>
      <c r="O2216" s="65">
        <f>SUM(표1[[#This Row],[해양탐색]:[마을탐험]])</f>
        <v>0</v>
      </c>
    </row>
    <row r="2217" spans="2:15" ht="13.5" customHeight="1" x14ac:dyDescent="0.3">
      <c r="B2217" s="9">
        <f>[1]Discovery!A2223</f>
        <v>70413433</v>
      </c>
      <c r="C2217" s="9" t="str">
        <f>[1]Discovery!B2223</f>
        <v>아비스모 아뉴마스</v>
      </c>
      <c r="D2217" s="9" t="str">
        <f>[1]Discovery!E2223</f>
        <v>자연</v>
      </c>
      <c r="E2217" s="9" t="str">
        <f>[1]Discovery!C2223</f>
        <v>지리</v>
      </c>
      <c r="F2217" s="9" t="str">
        <f>[1]Discovery!G2223</f>
        <v>B</v>
      </c>
      <c r="G2217" s="9" t="str">
        <f>IFERROR(VLOOKUP(표1[[#This Row],[명칭]],'문화권 정리'!C:D,2,FALSE),"-")</f>
        <v>남아메리카</v>
      </c>
      <c r="H2217" s="38" t="str">
        <f>IFERROR(COUNTIF([2]OceanDoodad!$Y:$Y,표1[[#This Row],[명칭]]),"-")</f>
        <v>-</v>
      </c>
      <c r="I2217" s="38">
        <f>IFERROR(COUNTIF([1]AdventureDiscoveryGroup!$D$8:$AW$92,표1[[#This Row],[명칭]]),"-")</f>
        <v>0</v>
      </c>
      <c r="J2217" s="38">
        <f>IFERROR(COUNTIF([1]FishDiscoveryGroup!$A:$X,표1[[#This Row],[명칭]]),"-")</f>
        <v>0</v>
      </c>
      <c r="K2217" s="38" t="str">
        <f>IFERROR(COUNTIF([2]Town!$B:$B,표1[[#This Row],[명칭]]),"-")</f>
        <v>-</v>
      </c>
      <c r="L2217" s="38">
        <f>IFERROR(COUNTIF([1]Village!$BR:$BR,표1[[#This Row],[명칭]]),"-")</f>
        <v>0</v>
      </c>
      <c r="M2217" s="38">
        <f>COUNTIF(퀘스트!B:B,표1[[#This Row],[명칭]])</f>
        <v>0</v>
      </c>
      <c r="N2217" s="65">
        <f>COUNTIF([1]VillageDiscoveryGroup!$C:$C,표1[[#This Row],[명칭]])</f>
        <v>0</v>
      </c>
      <c r="O2217" s="65">
        <f>SUM(표1[[#This Row],[해양탐색]:[마을탐험]])</f>
        <v>0</v>
      </c>
    </row>
    <row r="2218" spans="2:15" ht="13.5" customHeight="1" x14ac:dyDescent="0.3">
      <c r="B2218" s="9">
        <f>[1]Discovery!A2224</f>
        <v>70413434</v>
      </c>
      <c r="C2218" s="9" t="str">
        <f>[1]Discovery!B2224</f>
        <v>제놀란 동굴</v>
      </c>
      <c r="D2218" s="9" t="str">
        <f>[1]Discovery!E2224</f>
        <v>자연</v>
      </c>
      <c r="E2218" s="9" t="str">
        <f>[1]Discovery!C2224</f>
        <v>지리</v>
      </c>
      <c r="F2218" s="9" t="str">
        <f>[1]Discovery!G2224</f>
        <v>C</v>
      </c>
      <c r="G2218" s="9" t="str">
        <f>IFERROR(VLOOKUP(표1[[#This Row],[명칭]],'문화권 정리'!C:D,2,FALSE),"-")</f>
        <v>오세아니아</v>
      </c>
      <c r="H2218" s="38" t="str">
        <f>IFERROR(COUNTIF([2]OceanDoodad!$Y:$Y,표1[[#This Row],[명칭]]),"-")</f>
        <v>-</v>
      </c>
      <c r="I2218" s="38">
        <f>IFERROR(COUNTIF([1]AdventureDiscoveryGroup!$D$8:$AW$92,표1[[#This Row],[명칭]]),"-")</f>
        <v>0</v>
      </c>
      <c r="J2218" s="38">
        <f>IFERROR(COUNTIF([1]FishDiscoveryGroup!$A:$X,표1[[#This Row],[명칭]]),"-")</f>
        <v>0</v>
      </c>
      <c r="K2218" s="38" t="str">
        <f>IFERROR(COUNTIF([2]Town!$B:$B,표1[[#This Row],[명칭]]),"-")</f>
        <v>-</v>
      </c>
      <c r="L2218" s="38">
        <f>IFERROR(COUNTIF([1]Village!$BR:$BR,표1[[#This Row],[명칭]]),"-")</f>
        <v>0</v>
      </c>
      <c r="M2218" s="38">
        <f>COUNTIF(퀘스트!B:B,표1[[#This Row],[명칭]])</f>
        <v>0</v>
      </c>
      <c r="N2218" s="65">
        <f>COUNTIF([1]VillageDiscoveryGroup!$C:$C,표1[[#This Row],[명칭]])</f>
        <v>0</v>
      </c>
      <c r="O2218" s="65">
        <f>SUM(표1[[#This Row],[해양탐색]:[마을탐험]])</f>
        <v>0</v>
      </c>
    </row>
    <row r="2219" spans="2:15" ht="13.5" customHeight="1" x14ac:dyDescent="0.3">
      <c r="B2219" s="9">
        <f>[1]Discovery!A2225</f>
        <v>70413435</v>
      </c>
      <c r="C2219" s="9" t="str">
        <f>[1]Discovery!B2225</f>
        <v>좀블랑 동굴</v>
      </c>
      <c r="D2219" s="9" t="str">
        <f>[1]Discovery!E2225</f>
        <v>자연</v>
      </c>
      <c r="E2219" s="9" t="str">
        <f>[1]Discovery!C2225</f>
        <v>지리</v>
      </c>
      <c r="F2219" s="9" t="str">
        <f>[1]Discovery!G2225</f>
        <v>C</v>
      </c>
      <c r="G2219" s="9" t="str">
        <f>IFERROR(VLOOKUP(표1[[#This Row],[명칭]],'문화권 정리'!C:D,2,FALSE),"-")</f>
        <v>동남아시아</v>
      </c>
      <c r="H2219" s="38" t="str">
        <f>IFERROR(COUNTIF([2]OceanDoodad!$Y:$Y,표1[[#This Row],[명칭]]),"-")</f>
        <v>-</v>
      </c>
      <c r="I2219" s="38">
        <f>IFERROR(COUNTIF([1]AdventureDiscoveryGroup!$D$8:$AW$92,표1[[#This Row],[명칭]]),"-")</f>
        <v>0</v>
      </c>
      <c r="J2219" s="38">
        <f>IFERROR(COUNTIF([1]FishDiscoveryGroup!$A:$X,표1[[#This Row],[명칭]]),"-")</f>
        <v>0</v>
      </c>
      <c r="K2219" s="38" t="str">
        <f>IFERROR(COUNTIF([2]Town!$B:$B,표1[[#This Row],[명칭]]),"-")</f>
        <v>-</v>
      </c>
      <c r="L2219" s="38">
        <f>IFERROR(COUNTIF([1]Village!$BR:$BR,표1[[#This Row],[명칭]]),"-")</f>
        <v>0</v>
      </c>
      <c r="M2219" s="38">
        <f>COUNTIF(퀘스트!B:B,표1[[#This Row],[명칭]])</f>
        <v>0</v>
      </c>
      <c r="N2219" s="65">
        <f>COUNTIF([1]VillageDiscoveryGroup!$C:$C,표1[[#This Row],[명칭]])</f>
        <v>0</v>
      </c>
      <c r="O2219" s="65">
        <f>SUM(표1[[#This Row],[해양탐색]:[마을탐험]])</f>
        <v>0</v>
      </c>
    </row>
    <row r="2220" spans="2:15" ht="13.5" customHeight="1" x14ac:dyDescent="0.3">
      <c r="B2220" s="9">
        <f>[1]Discovery!A2226</f>
        <v>70413436</v>
      </c>
      <c r="C2220" s="9" t="str">
        <f>[1]Discovery!B2226</f>
        <v>산동 동굴</v>
      </c>
      <c r="D2220" s="9" t="str">
        <f>[1]Discovery!E2226</f>
        <v>자연</v>
      </c>
      <c r="E2220" s="9" t="str">
        <f>[1]Discovery!C2226</f>
        <v>지리</v>
      </c>
      <c r="F2220" s="9" t="str">
        <f>[1]Discovery!G2226</f>
        <v>B</v>
      </c>
      <c r="G2220" s="9" t="str">
        <f>IFERROR(VLOOKUP(표1[[#This Row],[명칭]],'문화권 정리'!C:D,2,FALSE),"-")</f>
        <v>동남아시아</v>
      </c>
      <c r="H2220" s="38" t="str">
        <f>IFERROR(COUNTIF([2]OceanDoodad!$Y:$Y,표1[[#This Row],[명칭]]),"-")</f>
        <v>-</v>
      </c>
      <c r="I2220" s="38">
        <f>IFERROR(COUNTIF([1]AdventureDiscoveryGroup!$D$8:$AW$92,표1[[#This Row],[명칭]]),"-")</f>
        <v>0</v>
      </c>
      <c r="J2220" s="38">
        <f>IFERROR(COUNTIF([1]FishDiscoveryGroup!$A:$X,표1[[#This Row],[명칭]]),"-")</f>
        <v>0</v>
      </c>
      <c r="K2220" s="38" t="str">
        <f>IFERROR(COUNTIF([2]Town!$B:$B,표1[[#This Row],[명칭]]),"-")</f>
        <v>-</v>
      </c>
      <c r="L2220" s="38">
        <f>IFERROR(COUNTIF([1]Village!$BR:$BR,표1[[#This Row],[명칭]]),"-")</f>
        <v>0</v>
      </c>
      <c r="M2220" s="38">
        <f>COUNTIF(퀘스트!B:B,표1[[#This Row],[명칭]])</f>
        <v>0</v>
      </c>
      <c r="N2220" s="65">
        <f>COUNTIF([1]VillageDiscoveryGroup!$C:$C,표1[[#This Row],[명칭]])</f>
        <v>0</v>
      </c>
      <c r="O2220" s="65">
        <f>SUM(표1[[#This Row],[해양탐색]:[마을탐험]])</f>
        <v>0</v>
      </c>
    </row>
    <row r="2221" spans="2:15" ht="13.5" customHeight="1" x14ac:dyDescent="0.3">
      <c r="B2221" s="9">
        <f>[1]Discovery!A2227</f>
        <v>70413437</v>
      </c>
      <c r="C2221" s="9" t="str">
        <f>[1]Discovery!B2227</f>
        <v>애드미럴스 아치</v>
      </c>
      <c r="D2221" s="9" t="str">
        <f>[1]Discovery!E2227</f>
        <v>자연</v>
      </c>
      <c r="E2221" s="9" t="str">
        <f>[1]Discovery!C2227</f>
        <v>지리</v>
      </c>
      <c r="F2221" s="9" t="str">
        <f>[1]Discovery!G2227</f>
        <v>B</v>
      </c>
      <c r="G2221" s="9" t="str">
        <f>IFERROR(VLOOKUP(표1[[#This Row],[명칭]],'문화권 정리'!C:D,2,FALSE),"-")</f>
        <v>오세아니아</v>
      </c>
      <c r="H2221" s="38" t="str">
        <f>IFERROR(COUNTIF([2]OceanDoodad!$Y:$Y,표1[[#This Row],[명칭]]),"-")</f>
        <v>-</v>
      </c>
      <c r="I2221" s="38">
        <f>IFERROR(COUNTIF([1]AdventureDiscoveryGroup!$D$8:$AW$92,표1[[#This Row],[명칭]]),"-")</f>
        <v>0</v>
      </c>
      <c r="J2221" s="38">
        <f>IFERROR(COUNTIF([1]FishDiscoveryGroup!$A:$X,표1[[#This Row],[명칭]]),"-")</f>
        <v>0</v>
      </c>
      <c r="K2221" s="38" t="str">
        <f>IFERROR(COUNTIF([2]Town!$B:$B,표1[[#This Row],[명칭]]),"-")</f>
        <v>-</v>
      </c>
      <c r="L2221" s="38">
        <f>IFERROR(COUNTIF([1]Village!$BR:$BR,표1[[#This Row],[명칭]]),"-")</f>
        <v>0</v>
      </c>
      <c r="M2221" s="38">
        <f>COUNTIF(퀘스트!B:B,표1[[#This Row],[명칭]])</f>
        <v>0</v>
      </c>
      <c r="N2221" s="65">
        <f>COUNTIF([1]VillageDiscoveryGroup!$C:$C,표1[[#This Row],[명칭]])</f>
        <v>0</v>
      </c>
      <c r="O2221" s="65">
        <f>SUM(표1[[#This Row],[해양탐색]:[마을탐험]])</f>
        <v>0</v>
      </c>
    </row>
    <row r="2222" spans="2:15" ht="13.5" customHeight="1" x14ac:dyDescent="0.3">
      <c r="B2222" s="9">
        <f>[1]Discovery!A2228</f>
        <v>70413438</v>
      </c>
      <c r="C2222" s="9" t="str">
        <f>[1]Discovery!B2228</f>
        <v>담라타쉬 석회동굴</v>
      </c>
      <c r="D2222" s="9" t="str">
        <f>[1]Discovery!E2228</f>
        <v>자연</v>
      </c>
      <c r="E2222" s="9" t="str">
        <f>[1]Discovery!C2228</f>
        <v>지리</v>
      </c>
      <c r="F2222" s="9" t="str">
        <f>[1]Discovery!G2228</f>
        <v>B</v>
      </c>
      <c r="G2222" s="9" t="str">
        <f>IFERROR(VLOOKUP(표1[[#This Row],[명칭]],'문화권 정리'!C:D,2,FALSE),"-")</f>
        <v>지중해</v>
      </c>
      <c r="H2222" s="38" t="str">
        <f>IFERROR(COUNTIF([2]OceanDoodad!$Y:$Y,표1[[#This Row],[명칭]]),"-")</f>
        <v>-</v>
      </c>
      <c r="I2222" s="38">
        <f>IFERROR(COUNTIF([1]AdventureDiscoveryGroup!$D$8:$AW$92,표1[[#This Row],[명칭]]),"-")</f>
        <v>0</v>
      </c>
      <c r="J2222" s="38">
        <f>IFERROR(COUNTIF([1]FishDiscoveryGroup!$A:$X,표1[[#This Row],[명칭]]),"-")</f>
        <v>0</v>
      </c>
      <c r="K2222" s="38" t="str">
        <f>IFERROR(COUNTIF([2]Town!$B:$B,표1[[#This Row],[명칭]]),"-")</f>
        <v>-</v>
      </c>
      <c r="L2222" s="38">
        <f>IFERROR(COUNTIF([1]Village!$BR:$BR,표1[[#This Row],[명칭]]),"-")</f>
        <v>0</v>
      </c>
      <c r="M2222" s="38">
        <f>COUNTIF(퀘스트!B:B,표1[[#This Row],[명칭]])</f>
        <v>0</v>
      </c>
      <c r="N2222" s="65">
        <f>COUNTIF([1]VillageDiscoveryGroup!$C:$C,표1[[#This Row],[명칭]])</f>
        <v>0</v>
      </c>
      <c r="O2222" s="65">
        <f>SUM(표1[[#This Row],[해양탐색]:[마을탐험]])</f>
        <v>0</v>
      </c>
    </row>
    <row r="2223" spans="2:15" ht="13.5" customHeight="1" x14ac:dyDescent="0.3">
      <c r="B2223" s="9">
        <f>[1]Discovery!A2229</f>
        <v>70413439</v>
      </c>
      <c r="C2223" s="9" t="str">
        <f>[1]Discovery!B2229</f>
        <v>핑갈 동굴</v>
      </c>
      <c r="D2223" s="9" t="str">
        <f>[1]Discovery!E2229</f>
        <v>자연</v>
      </c>
      <c r="E2223" s="9" t="str">
        <f>[1]Discovery!C2229</f>
        <v>지리</v>
      </c>
      <c r="F2223" s="9" t="str">
        <f>[1]Discovery!G2229</f>
        <v>B</v>
      </c>
      <c r="G2223" s="9" t="str">
        <f>IFERROR(VLOOKUP(표1[[#This Row],[명칭]],'문화권 정리'!C:D,2,FALSE),"-")</f>
        <v>북유럽</v>
      </c>
      <c r="H2223" s="38" t="str">
        <f>IFERROR(COUNTIF([2]OceanDoodad!$Y:$Y,표1[[#This Row],[명칭]]),"-")</f>
        <v>-</v>
      </c>
      <c r="I2223" s="38">
        <f>IFERROR(COUNTIF([1]AdventureDiscoveryGroup!$D$8:$AW$92,표1[[#This Row],[명칭]]),"-")</f>
        <v>0</v>
      </c>
      <c r="J2223" s="38">
        <f>IFERROR(COUNTIF([1]FishDiscoveryGroup!$A:$X,표1[[#This Row],[명칭]]),"-")</f>
        <v>0</v>
      </c>
      <c r="K2223" s="38" t="str">
        <f>IFERROR(COUNTIF([2]Town!$B:$B,표1[[#This Row],[명칭]]),"-")</f>
        <v>-</v>
      </c>
      <c r="L2223" s="38">
        <f>IFERROR(COUNTIF([1]Village!$BR:$BR,표1[[#This Row],[명칭]]),"-")</f>
        <v>0</v>
      </c>
      <c r="M2223" s="38">
        <f>COUNTIF(퀘스트!B:B,표1[[#This Row],[명칭]])</f>
        <v>0</v>
      </c>
      <c r="N2223" s="65">
        <f>COUNTIF([1]VillageDiscoveryGroup!$C:$C,표1[[#This Row],[명칭]])</f>
        <v>0</v>
      </c>
      <c r="O2223" s="65">
        <f>SUM(표1[[#This Row],[해양탐색]:[마을탐험]])</f>
        <v>0</v>
      </c>
    </row>
    <row r="2224" spans="2:15" ht="13.5" customHeight="1" x14ac:dyDescent="0.3">
      <c r="B2224" s="9">
        <f>[1]Discovery!A2230</f>
        <v>70413440</v>
      </c>
      <c r="C2224" s="9" t="str">
        <f>[1]Discovery!B2230</f>
        <v>커시드럴 동굴</v>
      </c>
      <c r="D2224" s="9" t="str">
        <f>[1]Discovery!E2230</f>
        <v>자연</v>
      </c>
      <c r="E2224" s="9" t="str">
        <f>[1]Discovery!C2230</f>
        <v>지리</v>
      </c>
      <c r="F2224" s="9" t="str">
        <f>[1]Discovery!G2230</f>
        <v>C</v>
      </c>
      <c r="G2224" s="9" t="str">
        <f>IFERROR(VLOOKUP(표1[[#This Row],[명칭]],'문화권 정리'!C:D,2,FALSE),"-")</f>
        <v>오세아니아</v>
      </c>
      <c r="H2224" s="38" t="str">
        <f>IFERROR(COUNTIF([2]OceanDoodad!$Y:$Y,표1[[#This Row],[명칭]]),"-")</f>
        <v>-</v>
      </c>
      <c r="I2224" s="38">
        <f>IFERROR(COUNTIF([1]AdventureDiscoveryGroup!$D$8:$AW$92,표1[[#This Row],[명칭]]),"-")</f>
        <v>0</v>
      </c>
      <c r="J2224" s="38">
        <f>IFERROR(COUNTIF([1]FishDiscoveryGroup!$A:$X,표1[[#This Row],[명칭]]),"-")</f>
        <v>0</v>
      </c>
      <c r="K2224" s="38" t="str">
        <f>IFERROR(COUNTIF([2]Town!$B:$B,표1[[#This Row],[명칭]]),"-")</f>
        <v>-</v>
      </c>
      <c r="L2224" s="38">
        <f>IFERROR(COUNTIF([1]Village!$BR:$BR,표1[[#This Row],[명칭]]),"-")</f>
        <v>0</v>
      </c>
      <c r="M2224" s="38">
        <f>COUNTIF(퀘스트!B:B,표1[[#This Row],[명칭]])</f>
        <v>0</v>
      </c>
      <c r="N2224" s="65">
        <f>COUNTIF([1]VillageDiscoveryGroup!$C:$C,표1[[#This Row],[명칭]])</f>
        <v>0</v>
      </c>
      <c r="O2224" s="65">
        <f>SUM(표1[[#This Row],[해양탐색]:[마을탐험]])</f>
        <v>0</v>
      </c>
    </row>
    <row r="2225" spans="2:15" ht="13.5" customHeight="1" x14ac:dyDescent="0.3">
      <c r="B2225" s="9">
        <f>[1]Discovery!A2231</f>
        <v>70413441</v>
      </c>
      <c r="C2225" s="9" t="str">
        <f>[1]Discovery!B2231</f>
        <v>바다 사자 동굴</v>
      </c>
      <c r="D2225" s="9" t="str">
        <f>[1]Discovery!E2231</f>
        <v>자연</v>
      </c>
      <c r="E2225" s="9" t="str">
        <f>[1]Discovery!C2231</f>
        <v>지리</v>
      </c>
      <c r="F2225" s="9" t="str">
        <f>[1]Discovery!G2231</f>
        <v>B</v>
      </c>
      <c r="G2225" s="9" t="str">
        <f>IFERROR(VLOOKUP(표1[[#This Row],[명칭]],'문화권 정리'!C:D,2,FALSE),"-")</f>
        <v>북아메리카</v>
      </c>
      <c r="H2225" s="38" t="str">
        <f>IFERROR(COUNTIF([2]OceanDoodad!$Y:$Y,표1[[#This Row],[명칭]]),"-")</f>
        <v>-</v>
      </c>
      <c r="I2225" s="38">
        <f>IFERROR(COUNTIF([1]AdventureDiscoveryGroup!$D$8:$AW$92,표1[[#This Row],[명칭]]),"-")</f>
        <v>0</v>
      </c>
      <c r="J2225" s="38">
        <f>IFERROR(COUNTIF([1]FishDiscoveryGroup!$A:$X,표1[[#This Row],[명칭]]),"-")</f>
        <v>0</v>
      </c>
      <c r="K2225" s="38" t="str">
        <f>IFERROR(COUNTIF([2]Town!$B:$B,표1[[#This Row],[명칭]]),"-")</f>
        <v>-</v>
      </c>
      <c r="L2225" s="38">
        <f>IFERROR(COUNTIF([1]Village!$BR:$BR,표1[[#This Row],[명칭]]),"-")</f>
        <v>0</v>
      </c>
      <c r="M2225" s="38">
        <f>COUNTIF(퀘스트!B:B,표1[[#This Row],[명칭]])</f>
        <v>0</v>
      </c>
      <c r="N2225" s="65">
        <f>COUNTIF([1]VillageDiscoveryGroup!$C:$C,표1[[#This Row],[명칭]])</f>
        <v>0</v>
      </c>
      <c r="O2225" s="65">
        <f>SUM(표1[[#This Row],[해양탐색]:[마을탐험]])</f>
        <v>0</v>
      </c>
    </row>
    <row r="2226" spans="2:15" ht="13.5" customHeight="1" x14ac:dyDescent="0.3">
      <c r="B2226" s="9">
        <f>[1]Discovery!A2232</f>
        <v>70413442</v>
      </c>
      <c r="C2226" s="9" t="str">
        <f>[1]Discovery!B2232</f>
        <v>부안 해식동굴</v>
      </c>
      <c r="D2226" s="9" t="str">
        <f>[1]Discovery!E2232</f>
        <v>자연</v>
      </c>
      <c r="E2226" s="9" t="str">
        <f>[1]Discovery!C2232</f>
        <v>지리</v>
      </c>
      <c r="F2226" s="9" t="str">
        <f>[1]Discovery!G2232</f>
        <v>B</v>
      </c>
      <c r="G2226" s="9" t="str">
        <f>IFERROR(VLOOKUP(표1[[#This Row],[명칭]],'문화권 정리'!C:D,2,FALSE),"-")</f>
        <v>동아시아</v>
      </c>
      <c r="H2226" s="38" t="str">
        <f>IFERROR(COUNTIF([2]OceanDoodad!$Y:$Y,표1[[#This Row],[명칭]]),"-")</f>
        <v>-</v>
      </c>
      <c r="I2226" s="38">
        <f>IFERROR(COUNTIF([1]AdventureDiscoveryGroup!$D$8:$AW$92,표1[[#This Row],[명칭]]),"-")</f>
        <v>0</v>
      </c>
      <c r="J2226" s="38">
        <f>IFERROR(COUNTIF([1]FishDiscoveryGroup!$A:$X,표1[[#This Row],[명칭]]),"-")</f>
        <v>0</v>
      </c>
      <c r="K2226" s="38" t="str">
        <f>IFERROR(COUNTIF([2]Town!$B:$B,표1[[#This Row],[명칭]]),"-")</f>
        <v>-</v>
      </c>
      <c r="L2226" s="38">
        <f>IFERROR(COUNTIF([1]Village!$BR:$BR,표1[[#This Row],[명칭]]),"-")</f>
        <v>0</v>
      </c>
      <c r="M2226" s="38">
        <f>COUNTIF(퀘스트!B:B,표1[[#This Row],[명칭]])</f>
        <v>0</v>
      </c>
      <c r="N2226" s="65">
        <f>COUNTIF([1]VillageDiscoveryGroup!$C:$C,표1[[#This Row],[명칭]])</f>
        <v>0</v>
      </c>
      <c r="O2226" s="65">
        <f>SUM(표1[[#This Row],[해양탐색]:[마을탐험]])</f>
        <v>0</v>
      </c>
    </row>
    <row r="2227" spans="2:15" ht="13.5" customHeight="1" x14ac:dyDescent="0.3">
      <c r="B2227" s="9">
        <f>[1]Discovery!A2233</f>
        <v>70413443</v>
      </c>
      <c r="C2227" s="9" t="str">
        <f>[1]Discovery!B2233</f>
        <v>간몬 해식 동굴</v>
      </c>
      <c r="D2227" s="9" t="str">
        <f>[1]Discovery!E2233</f>
        <v>자연</v>
      </c>
      <c r="E2227" s="9" t="str">
        <f>[1]Discovery!C2233</f>
        <v>지리</v>
      </c>
      <c r="F2227" s="9" t="str">
        <f>[1]Discovery!G2233</f>
        <v>B</v>
      </c>
      <c r="G2227" s="9" t="str">
        <f>IFERROR(VLOOKUP(표1[[#This Row],[명칭]],'문화권 정리'!C:D,2,FALSE),"-")</f>
        <v>동아시아</v>
      </c>
      <c r="H2227" s="38" t="str">
        <f>IFERROR(COUNTIF([2]OceanDoodad!$Y:$Y,표1[[#This Row],[명칭]]),"-")</f>
        <v>-</v>
      </c>
      <c r="I2227" s="38">
        <f>IFERROR(COUNTIF([1]AdventureDiscoveryGroup!$D$8:$AW$92,표1[[#This Row],[명칭]]),"-")</f>
        <v>0</v>
      </c>
      <c r="J2227" s="38">
        <f>IFERROR(COUNTIF([1]FishDiscoveryGroup!$A:$X,표1[[#This Row],[명칭]]),"-")</f>
        <v>0</v>
      </c>
      <c r="K2227" s="38" t="str">
        <f>IFERROR(COUNTIF([2]Town!$B:$B,표1[[#This Row],[명칭]]),"-")</f>
        <v>-</v>
      </c>
      <c r="L2227" s="38">
        <f>IFERROR(COUNTIF([1]Village!$BR:$BR,표1[[#This Row],[명칭]]),"-")</f>
        <v>0</v>
      </c>
      <c r="M2227" s="38">
        <f>COUNTIF(퀘스트!B:B,표1[[#This Row],[명칭]])</f>
        <v>0</v>
      </c>
      <c r="N2227" s="65">
        <f>COUNTIF([1]VillageDiscoveryGroup!$C:$C,표1[[#This Row],[명칭]])</f>
        <v>0</v>
      </c>
      <c r="O2227" s="65">
        <f>SUM(표1[[#This Row],[해양탐색]:[마을탐험]])</f>
        <v>0</v>
      </c>
    </row>
    <row r="2228" spans="2:15" ht="13.5" customHeight="1" x14ac:dyDescent="0.3">
      <c r="B2228" s="9">
        <f>[1]Discovery!A2234</f>
        <v>70413444</v>
      </c>
      <c r="C2228" s="9" t="str">
        <f>[1]Discovery!B2234</f>
        <v>해식 동굴</v>
      </c>
      <c r="D2228" s="9" t="str">
        <f>[1]Discovery!E2234</f>
        <v>자연</v>
      </c>
      <c r="E2228" s="9" t="str">
        <f>[1]Discovery!C2234</f>
        <v>지리</v>
      </c>
      <c r="F2228" s="9" t="str">
        <f>[1]Discovery!G2234</f>
        <v>B</v>
      </c>
      <c r="G2228" s="9" t="str">
        <f>IFERROR(VLOOKUP(표1[[#This Row],[명칭]],'문화권 정리'!C:D,2,FALSE),"-")</f>
        <v>태평양</v>
      </c>
      <c r="H2228" s="38" t="str">
        <f>IFERROR(COUNTIF([2]OceanDoodad!$Y:$Y,표1[[#This Row],[명칭]]),"-")</f>
        <v>-</v>
      </c>
      <c r="I2228" s="38">
        <f>IFERROR(COUNTIF([1]AdventureDiscoveryGroup!$D$8:$AW$92,표1[[#This Row],[명칭]]),"-")</f>
        <v>0</v>
      </c>
      <c r="J2228" s="38">
        <f>IFERROR(COUNTIF([1]FishDiscoveryGroup!$A:$X,표1[[#This Row],[명칭]]),"-")</f>
        <v>0</v>
      </c>
      <c r="K2228" s="38" t="str">
        <f>IFERROR(COUNTIF([2]Town!$B:$B,표1[[#This Row],[명칭]]),"-")</f>
        <v>-</v>
      </c>
      <c r="L2228" s="38">
        <f>IFERROR(COUNTIF([1]Village!$BR:$BR,표1[[#This Row],[명칭]]),"-")</f>
        <v>0</v>
      </c>
      <c r="M2228" s="38">
        <f>COUNTIF(퀘스트!B:B,표1[[#This Row],[명칭]])</f>
        <v>0</v>
      </c>
      <c r="N2228" s="65">
        <f>COUNTIF([1]VillageDiscoveryGroup!$C:$C,표1[[#This Row],[명칭]])</f>
        <v>0</v>
      </c>
      <c r="O2228" s="65">
        <f>SUM(표1[[#This Row],[해양탐색]:[마을탐험]])</f>
        <v>0</v>
      </c>
    </row>
    <row r="2229" spans="2:15" ht="13.5" customHeight="1" x14ac:dyDescent="0.3">
      <c r="B2229" s="9">
        <f>[1]Discovery!A2235</f>
        <v>70413445</v>
      </c>
      <c r="C2229" s="9" t="str">
        <f>[1]Discovery!B2235</f>
        <v>스란다 블루홀</v>
      </c>
      <c r="D2229" s="9" t="str">
        <f>[1]Discovery!E2235</f>
        <v>자연</v>
      </c>
      <c r="E2229" s="9" t="str">
        <f>[1]Discovery!C2235</f>
        <v>지리</v>
      </c>
      <c r="F2229" s="9" t="str">
        <f>[1]Discovery!G2235</f>
        <v>B</v>
      </c>
      <c r="G2229" s="9" t="str">
        <f>IFERROR(VLOOKUP(표1[[#This Row],[명칭]],'문화권 정리'!C:D,2,FALSE),"-")</f>
        <v>태평양</v>
      </c>
      <c r="H2229" s="38" t="str">
        <f>IFERROR(COUNTIF([2]OceanDoodad!$Y:$Y,표1[[#This Row],[명칭]]),"-")</f>
        <v>-</v>
      </c>
      <c r="I2229" s="38">
        <f>IFERROR(COUNTIF([1]AdventureDiscoveryGroup!$D$8:$AW$92,표1[[#This Row],[명칭]]),"-")</f>
        <v>0</v>
      </c>
      <c r="J2229" s="38">
        <f>IFERROR(COUNTIF([1]FishDiscoveryGroup!$A:$X,표1[[#This Row],[명칭]]),"-")</f>
        <v>0</v>
      </c>
      <c r="K2229" s="38" t="str">
        <f>IFERROR(COUNTIF([2]Town!$B:$B,표1[[#This Row],[명칭]]),"-")</f>
        <v>-</v>
      </c>
      <c r="L2229" s="38">
        <f>IFERROR(COUNTIF([1]Village!$BR:$BR,표1[[#This Row],[명칭]]),"-")</f>
        <v>0</v>
      </c>
      <c r="M2229" s="38">
        <f>COUNTIF(퀘스트!B:B,표1[[#This Row],[명칭]])</f>
        <v>0</v>
      </c>
      <c r="N2229" s="65">
        <f>COUNTIF([1]VillageDiscoveryGroup!$C:$C,표1[[#This Row],[명칭]])</f>
        <v>0</v>
      </c>
      <c r="O2229" s="65">
        <f>SUM(표1[[#This Row],[해양탐색]:[마을탐험]])</f>
        <v>0</v>
      </c>
    </row>
    <row r="2230" spans="2:15" ht="13.5" customHeight="1" x14ac:dyDescent="0.3">
      <c r="B2230" s="9">
        <f>[1]Discovery!A2236</f>
        <v>70413446</v>
      </c>
      <c r="C2230" s="9" t="str">
        <f>[1]Discovery!B2236</f>
        <v>룽둥 블루홀</v>
      </c>
      <c r="D2230" s="9" t="str">
        <f>[1]Discovery!E2236</f>
        <v>자연</v>
      </c>
      <c r="E2230" s="9" t="str">
        <f>[1]Discovery!C2236</f>
        <v>지리</v>
      </c>
      <c r="F2230" s="9" t="str">
        <f>[1]Discovery!G2236</f>
        <v>D</v>
      </c>
      <c r="G2230" s="9" t="str">
        <f>IFERROR(VLOOKUP(표1[[#This Row],[명칭]],'문화권 정리'!C:D,2,FALSE),"-")</f>
        <v>동아시아</v>
      </c>
      <c r="H2230" s="38" t="str">
        <f>IFERROR(COUNTIF([2]OceanDoodad!$Y:$Y,표1[[#This Row],[명칭]]),"-")</f>
        <v>-</v>
      </c>
      <c r="I2230" s="38">
        <f>IFERROR(COUNTIF([1]AdventureDiscoveryGroup!$D$8:$AW$92,표1[[#This Row],[명칭]]),"-")</f>
        <v>0</v>
      </c>
      <c r="J2230" s="38">
        <f>IFERROR(COUNTIF([1]FishDiscoveryGroup!$A:$X,표1[[#This Row],[명칭]]),"-")</f>
        <v>0</v>
      </c>
      <c r="K2230" s="38" t="str">
        <f>IFERROR(COUNTIF([2]Town!$B:$B,표1[[#This Row],[명칭]]),"-")</f>
        <v>-</v>
      </c>
      <c r="L2230" s="38">
        <f>IFERROR(COUNTIF([1]Village!$BR:$BR,표1[[#This Row],[명칭]]),"-")</f>
        <v>0</v>
      </c>
      <c r="M2230" s="38">
        <f>COUNTIF(퀘스트!B:B,표1[[#This Row],[명칭]])</f>
        <v>0</v>
      </c>
      <c r="N2230" s="65">
        <f>COUNTIF([1]VillageDiscoveryGroup!$C:$C,표1[[#This Row],[명칭]])</f>
        <v>0</v>
      </c>
      <c r="O2230" s="65">
        <f>SUM(표1[[#This Row],[해양탐색]:[마을탐험]])</f>
        <v>0</v>
      </c>
    </row>
    <row r="2231" spans="2:15" ht="13.5" customHeight="1" x14ac:dyDescent="0.3">
      <c r="B2231" s="9">
        <f>[1]Discovery!A2237</f>
        <v>70413447</v>
      </c>
      <c r="C2231" s="9" t="str">
        <f>[1]Discovery!B2237</f>
        <v>딘즈 블루홀</v>
      </c>
      <c r="D2231" s="9" t="str">
        <f>[1]Discovery!E2237</f>
        <v>자연</v>
      </c>
      <c r="E2231" s="9" t="str">
        <f>[1]Discovery!C2237</f>
        <v>지리</v>
      </c>
      <c r="F2231" s="9" t="str">
        <f>[1]Discovery!G2237</f>
        <v>B</v>
      </c>
      <c r="G2231" s="9" t="str">
        <f>IFERROR(VLOOKUP(표1[[#This Row],[명칭]],'문화권 정리'!C:D,2,FALSE),"-")</f>
        <v>중앙아메리카</v>
      </c>
      <c r="H2231" s="38" t="str">
        <f>IFERROR(COUNTIF([2]OceanDoodad!$Y:$Y,표1[[#This Row],[명칭]]),"-")</f>
        <v>-</v>
      </c>
      <c r="I2231" s="38">
        <f>IFERROR(COUNTIF([1]AdventureDiscoveryGroup!$D$8:$AW$92,표1[[#This Row],[명칭]]),"-")</f>
        <v>0</v>
      </c>
      <c r="J2231" s="38">
        <f>IFERROR(COUNTIF([1]FishDiscoveryGroup!$A:$X,표1[[#This Row],[명칭]]),"-")</f>
        <v>0</v>
      </c>
      <c r="K2231" s="38" t="str">
        <f>IFERROR(COUNTIF([2]Town!$B:$B,표1[[#This Row],[명칭]]),"-")</f>
        <v>-</v>
      </c>
      <c r="L2231" s="38">
        <f>IFERROR(COUNTIF([1]Village!$BR:$BR,표1[[#This Row],[명칭]]),"-")</f>
        <v>0</v>
      </c>
      <c r="M2231" s="38">
        <f>COUNTIF(퀘스트!B:B,표1[[#This Row],[명칭]])</f>
        <v>0</v>
      </c>
      <c r="N2231" s="65">
        <f>COUNTIF([1]VillageDiscoveryGroup!$C:$C,표1[[#This Row],[명칭]])</f>
        <v>0</v>
      </c>
      <c r="O2231" s="65">
        <f>SUM(표1[[#This Row],[해양탐색]:[마을탐험]])</f>
        <v>0</v>
      </c>
    </row>
    <row r="2232" spans="2:15" ht="13.5" customHeight="1" x14ac:dyDescent="0.3">
      <c r="B2232" s="9">
        <f>[1]Discovery!A2238</f>
        <v>70413448</v>
      </c>
      <c r="C2232" s="9" t="str">
        <f>[1]Discovery!B2238</f>
        <v>블랙 다이아몬드 비치</v>
      </c>
      <c r="D2232" s="9" t="str">
        <f>[1]Discovery!E2238</f>
        <v>자연</v>
      </c>
      <c r="E2232" s="9" t="str">
        <f>[1]Discovery!C2238</f>
        <v>지리</v>
      </c>
      <c r="F2232" s="9" t="str">
        <f>[1]Discovery!G2238</f>
        <v>B</v>
      </c>
      <c r="G2232" s="9" t="str">
        <f>IFERROR(VLOOKUP(표1[[#This Row],[명칭]],'문화권 정리'!C:D,2,FALSE),"-")</f>
        <v>극지방</v>
      </c>
      <c r="H2232" s="38" t="str">
        <f>IFERROR(COUNTIF([2]OceanDoodad!$Y:$Y,표1[[#This Row],[명칭]]),"-")</f>
        <v>-</v>
      </c>
      <c r="I2232" s="38">
        <f>IFERROR(COUNTIF([1]AdventureDiscoveryGroup!$D$8:$AW$92,표1[[#This Row],[명칭]]),"-")</f>
        <v>0</v>
      </c>
      <c r="J2232" s="38">
        <f>IFERROR(COUNTIF([1]FishDiscoveryGroup!$A:$X,표1[[#This Row],[명칭]]),"-")</f>
        <v>0</v>
      </c>
      <c r="K2232" s="38" t="str">
        <f>IFERROR(COUNTIF([2]Town!$B:$B,표1[[#This Row],[명칭]]),"-")</f>
        <v>-</v>
      </c>
      <c r="L2232" s="38">
        <f>IFERROR(COUNTIF([1]Village!$BR:$BR,표1[[#This Row],[명칭]]),"-")</f>
        <v>0</v>
      </c>
      <c r="M2232" s="38">
        <f>COUNTIF(퀘스트!B:B,표1[[#This Row],[명칭]])</f>
        <v>0</v>
      </c>
      <c r="N2232" s="65">
        <f>COUNTIF([1]VillageDiscoveryGroup!$C:$C,표1[[#This Row],[명칭]])</f>
        <v>0</v>
      </c>
      <c r="O2232" s="65">
        <f>SUM(표1[[#This Row],[해양탐색]:[마을탐험]])</f>
        <v>0</v>
      </c>
    </row>
    <row r="2233" spans="2:15" ht="13.5" customHeight="1" x14ac:dyDescent="0.3">
      <c r="B2233" s="9">
        <f>[1]Discovery!A2239</f>
        <v>70413449</v>
      </c>
      <c r="C2233" s="9" t="str">
        <f>[1]Discovery!B2239</f>
        <v>터키인의 계단</v>
      </c>
      <c r="D2233" s="9" t="str">
        <f>[1]Discovery!E2239</f>
        <v>자연</v>
      </c>
      <c r="E2233" s="9" t="str">
        <f>[1]Discovery!C2239</f>
        <v>지리</v>
      </c>
      <c r="F2233" s="9" t="str">
        <f>[1]Discovery!G2239</f>
        <v>B</v>
      </c>
      <c r="G2233" s="9" t="str">
        <f>IFERROR(VLOOKUP(표1[[#This Row],[명칭]],'문화권 정리'!C:D,2,FALSE),"-")</f>
        <v>지중해</v>
      </c>
      <c r="H2233" s="38" t="str">
        <f>IFERROR(COUNTIF([2]OceanDoodad!$Y:$Y,표1[[#This Row],[명칭]]),"-")</f>
        <v>-</v>
      </c>
      <c r="I2233" s="38">
        <f>IFERROR(COUNTIF([1]AdventureDiscoveryGroup!$D$8:$AW$92,표1[[#This Row],[명칭]]),"-")</f>
        <v>0</v>
      </c>
      <c r="J2233" s="38">
        <f>IFERROR(COUNTIF([1]FishDiscoveryGroup!$A:$X,표1[[#This Row],[명칭]]),"-")</f>
        <v>0</v>
      </c>
      <c r="K2233" s="38" t="str">
        <f>IFERROR(COUNTIF([2]Town!$B:$B,표1[[#This Row],[명칭]]),"-")</f>
        <v>-</v>
      </c>
      <c r="L2233" s="38">
        <f>IFERROR(COUNTIF([1]Village!$BR:$BR,표1[[#This Row],[명칭]]),"-")</f>
        <v>0</v>
      </c>
      <c r="M2233" s="38">
        <f>COUNTIF(퀘스트!B:B,표1[[#This Row],[명칭]])</f>
        <v>0</v>
      </c>
      <c r="N2233" s="65">
        <f>COUNTIF([1]VillageDiscoveryGroup!$C:$C,표1[[#This Row],[명칭]])</f>
        <v>0</v>
      </c>
      <c r="O2233" s="65">
        <f>SUM(표1[[#This Row],[해양탐색]:[마을탐험]])</f>
        <v>0</v>
      </c>
    </row>
    <row r="2234" spans="2:15" ht="13.5" customHeight="1" x14ac:dyDescent="0.3">
      <c r="B2234" s="9">
        <f>[1]Discovery!A2240</f>
        <v>70413450</v>
      </c>
      <c r="C2234" s="9" t="str">
        <f>[1]Discovery!B2240</f>
        <v>용의 알 해변</v>
      </c>
      <c r="D2234" s="9" t="str">
        <f>[1]Discovery!E2240</f>
        <v>자연</v>
      </c>
      <c r="E2234" s="9" t="str">
        <f>[1]Discovery!C2240</f>
        <v>지리</v>
      </c>
      <c r="F2234" s="9" t="str">
        <f>[1]Discovery!G2240</f>
        <v>B</v>
      </c>
      <c r="G2234" s="9" t="str">
        <f>IFERROR(VLOOKUP(표1[[#This Row],[명칭]],'문화권 정리'!C:D,2,FALSE),"-")</f>
        <v>오세아니아</v>
      </c>
      <c r="H2234" s="38" t="str">
        <f>IFERROR(COUNTIF([2]OceanDoodad!$Y:$Y,표1[[#This Row],[명칭]]),"-")</f>
        <v>-</v>
      </c>
      <c r="I2234" s="38">
        <f>IFERROR(COUNTIF([1]AdventureDiscoveryGroup!$D$8:$AW$92,표1[[#This Row],[명칭]]),"-")</f>
        <v>0</v>
      </c>
      <c r="J2234" s="38">
        <f>IFERROR(COUNTIF([1]FishDiscoveryGroup!$A:$X,표1[[#This Row],[명칭]]),"-")</f>
        <v>0</v>
      </c>
      <c r="K2234" s="38" t="str">
        <f>IFERROR(COUNTIF([2]Town!$B:$B,표1[[#This Row],[명칭]]),"-")</f>
        <v>-</v>
      </c>
      <c r="L2234" s="38">
        <f>IFERROR(COUNTIF([1]Village!$BR:$BR,표1[[#This Row],[명칭]]),"-")</f>
        <v>0</v>
      </c>
      <c r="M2234" s="38">
        <f>COUNTIF(퀘스트!B:B,표1[[#This Row],[명칭]])</f>
        <v>0</v>
      </c>
      <c r="N2234" s="65">
        <f>COUNTIF([1]VillageDiscoveryGroup!$C:$C,표1[[#This Row],[명칭]])</f>
        <v>0</v>
      </c>
      <c r="O2234" s="65">
        <f>SUM(표1[[#This Row],[해양탐색]:[마을탐험]])</f>
        <v>0</v>
      </c>
    </row>
    <row r="2235" spans="2:15" ht="13.5" customHeight="1" x14ac:dyDescent="0.3">
      <c r="B2235" s="9">
        <f>[1]Discovery!A2241</f>
        <v>70413451</v>
      </c>
      <c r="C2235" s="9" t="str">
        <f>[1]Discovery!B2241</f>
        <v>코끼리 바위</v>
      </c>
      <c r="D2235" s="9" t="str">
        <f>[1]Discovery!E2241</f>
        <v>자연</v>
      </c>
      <c r="E2235" s="9" t="str">
        <f>[1]Discovery!C2241</f>
        <v>지리</v>
      </c>
      <c r="F2235" s="9" t="str">
        <f>[1]Discovery!G2241</f>
        <v>D</v>
      </c>
      <c r="G2235" s="9" t="str">
        <f>IFERROR(VLOOKUP(표1[[#This Row],[명칭]],'문화권 정리'!C:D,2,FALSE),"-")</f>
        <v>동아시아</v>
      </c>
      <c r="H2235" s="38" t="str">
        <f>IFERROR(COUNTIF([2]OceanDoodad!$Y:$Y,표1[[#This Row],[명칭]]),"-")</f>
        <v>-</v>
      </c>
      <c r="I2235" s="38">
        <f>IFERROR(COUNTIF([1]AdventureDiscoveryGroup!$D$8:$AW$92,표1[[#This Row],[명칭]]),"-")</f>
        <v>0</v>
      </c>
      <c r="J2235" s="38">
        <f>IFERROR(COUNTIF([1]FishDiscoveryGroup!$A:$X,표1[[#This Row],[명칭]]),"-")</f>
        <v>0</v>
      </c>
      <c r="K2235" s="38" t="str">
        <f>IFERROR(COUNTIF([2]Town!$B:$B,표1[[#This Row],[명칭]]),"-")</f>
        <v>-</v>
      </c>
      <c r="L2235" s="38">
        <f>IFERROR(COUNTIF([1]Village!$BR:$BR,표1[[#This Row],[명칭]]),"-")</f>
        <v>0</v>
      </c>
      <c r="M2235" s="38">
        <f>COUNTIF(퀘스트!B:B,표1[[#This Row],[명칭]])</f>
        <v>0</v>
      </c>
      <c r="N2235" s="65">
        <f>COUNTIF([1]VillageDiscoveryGroup!$C:$C,표1[[#This Row],[명칭]])</f>
        <v>0</v>
      </c>
      <c r="O2235" s="65">
        <f>SUM(표1[[#This Row],[해양탐색]:[마을탐험]])</f>
        <v>0</v>
      </c>
    </row>
    <row r="2236" spans="2:15" ht="13.5" customHeight="1" x14ac:dyDescent="0.3">
      <c r="B2236" s="9">
        <f>[1]Discovery!A2242</f>
        <v>70413452</v>
      </c>
      <c r="C2236" s="9" t="str">
        <f>[1]Discovery!B2242</f>
        <v>수에즈 운하</v>
      </c>
      <c r="D2236" s="9" t="str">
        <f>[1]Discovery!E2242</f>
        <v>자연</v>
      </c>
      <c r="E2236" s="9" t="str">
        <f>[1]Discovery!C2242</f>
        <v>지리</v>
      </c>
      <c r="F2236" s="9" t="str">
        <f>[1]Discovery!G2242</f>
        <v>C</v>
      </c>
      <c r="G2236" s="9" t="str">
        <f>IFERROR(VLOOKUP(표1[[#This Row],[명칭]],'문화권 정리'!C:D,2,FALSE),"-")</f>
        <v>북아프리카</v>
      </c>
      <c r="H2236" s="38" t="str">
        <f>IFERROR(COUNTIF([2]OceanDoodad!$Y:$Y,표1[[#This Row],[명칭]]),"-")</f>
        <v>-</v>
      </c>
      <c r="I2236" s="38">
        <f>IFERROR(COUNTIF([1]AdventureDiscoveryGroup!$D$8:$AW$92,표1[[#This Row],[명칭]]),"-")</f>
        <v>0</v>
      </c>
      <c r="J2236" s="38">
        <f>IFERROR(COUNTIF([1]FishDiscoveryGroup!$A:$X,표1[[#This Row],[명칭]]),"-")</f>
        <v>0</v>
      </c>
      <c r="K2236" s="38" t="str">
        <f>IFERROR(COUNTIF([2]Town!$B:$B,표1[[#This Row],[명칭]]),"-")</f>
        <v>-</v>
      </c>
      <c r="L2236" s="38">
        <f>IFERROR(COUNTIF([1]Village!$BR:$BR,표1[[#This Row],[명칭]]),"-")</f>
        <v>0</v>
      </c>
      <c r="M2236" s="38">
        <f>COUNTIF(퀘스트!B:B,표1[[#This Row],[명칭]])</f>
        <v>0</v>
      </c>
      <c r="N2236" s="65">
        <f>COUNTIF([1]VillageDiscoveryGroup!$C:$C,표1[[#This Row],[명칭]])</f>
        <v>0</v>
      </c>
      <c r="O2236" s="65">
        <f>SUM(표1[[#This Row],[해양탐색]:[마을탐험]])</f>
        <v>0</v>
      </c>
    </row>
    <row r="2237" spans="2:15" ht="13.5" customHeight="1" x14ac:dyDescent="0.3">
      <c r="B2237" s="9">
        <f>[1]Discovery!A2243</f>
        <v>70413453</v>
      </c>
      <c r="C2237" s="9" t="str">
        <f>[1]Discovery!B2243</f>
        <v>파나마 운하</v>
      </c>
      <c r="D2237" s="9" t="str">
        <f>[1]Discovery!E2243</f>
        <v>자연</v>
      </c>
      <c r="E2237" s="9" t="str">
        <f>[1]Discovery!C2243</f>
        <v>지리</v>
      </c>
      <c r="F2237" s="9" t="str">
        <f>[1]Discovery!G2243</f>
        <v>C</v>
      </c>
      <c r="G2237" s="9" t="str">
        <f>IFERROR(VLOOKUP(표1[[#This Row],[명칭]],'문화권 정리'!C:D,2,FALSE),"-")</f>
        <v>중앙아메리카</v>
      </c>
      <c r="H2237" s="38" t="str">
        <f>IFERROR(COUNTIF([2]OceanDoodad!$Y:$Y,표1[[#This Row],[명칭]]),"-")</f>
        <v>-</v>
      </c>
      <c r="I2237" s="38">
        <f>IFERROR(COUNTIF([1]AdventureDiscoveryGroup!$D$8:$AW$92,표1[[#This Row],[명칭]]),"-")</f>
        <v>0</v>
      </c>
      <c r="J2237" s="38">
        <f>IFERROR(COUNTIF([1]FishDiscoveryGroup!$A:$X,표1[[#This Row],[명칭]]),"-")</f>
        <v>0</v>
      </c>
      <c r="K2237" s="38" t="str">
        <f>IFERROR(COUNTIF([2]Town!$B:$B,표1[[#This Row],[명칭]]),"-")</f>
        <v>-</v>
      </c>
      <c r="L2237" s="38">
        <f>IFERROR(COUNTIF([1]Village!$BR:$BR,표1[[#This Row],[명칭]]),"-")</f>
        <v>0</v>
      </c>
      <c r="M2237" s="38">
        <f>COUNTIF(퀘스트!B:B,표1[[#This Row],[명칭]])</f>
        <v>0</v>
      </c>
      <c r="N2237" s="65">
        <f>COUNTIF([1]VillageDiscoveryGroup!$C:$C,표1[[#This Row],[명칭]])</f>
        <v>0</v>
      </c>
      <c r="O2237" s="65">
        <f>SUM(표1[[#This Row],[해양탐색]:[마을탐험]])</f>
        <v>0</v>
      </c>
    </row>
    <row r="2238" spans="2:15" ht="13.5" customHeight="1" x14ac:dyDescent="0.3">
      <c r="B2238" s="9" t="str">
        <f>[1]Discovery!A2244</f>
        <v>#70413454</v>
      </c>
      <c r="C2238" s="9" t="str">
        <f>[1]Discovery!B2244</f>
        <v>##시에라네바다산맥</v>
      </c>
      <c r="D2238" s="9" t="str">
        <f>[1]Discovery!E2244</f>
        <v>자연</v>
      </c>
      <c r="E2238" s="9" t="str">
        <f>[1]Discovery!C2244</f>
        <v>지리</v>
      </c>
      <c r="F2238" s="9" t="str">
        <f>[1]Discovery!G2244</f>
        <v>B</v>
      </c>
      <c r="G2238" s="9" t="str">
        <f>IFERROR(VLOOKUP(표1[[#This Row],[명칭]],'문화권 정리'!C:D,2,FALSE),"-")</f>
        <v>북아메리카</v>
      </c>
      <c r="H2238" s="38" t="str">
        <f>IFERROR(COUNTIF([2]OceanDoodad!$Y:$Y,표1[[#This Row],[명칭]]),"-")</f>
        <v>-</v>
      </c>
      <c r="I2238" s="38">
        <f>IFERROR(COUNTIF([1]AdventureDiscoveryGroup!$D$8:$AW$92,표1[[#This Row],[명칭]]),"-")</f>
        <v>0</v>
      </c>
      <c r="J2238" s="38">
        <f>IFERROR(COUNTIF([1]FishDiscoveryGroup!$A:$X,표1[[#This Row],[명칭]]),"-")</f>
        <v>0</v>
      </c>
      <c r="K2238" s="38" t="str">
        <f>IFERROR(COUNTIF([2]Town!$B:$B,표1[[#This Row],[명칭]]),"-")</f>
        <v>-</v>
      </c>
      <c r="L2238" s="38">
        <f>IFERROR(COUNTIF([1]Village!$BR:$BR,표1[[#This Row],[명칭]]),"-")</f>
        <v>0</v>
      </c>
      <c r="M2238" s="38">
        <f>COUNTIF(퀘스트!B:B,표1[[#This Row],[명칭]])</f>
        <v>0</v>
      </c>
      <c r="N2238" s="65">
        <f>COUNTIF([1]VillageDiscoveryGroup!$C:$C,표1[[#This Row],[명칭]])</f>
        <v>0</v>
      </c>
      <c r="O2238" s="65">
        <f>SUM(표1[[#This Row],[해양탐색]:[마을탐험]])</f>
        <v>0</v>
      </c>
    </row>
    <row r="2239" spans="2:15" ht="13.5" customHeight="1" x14ac:dyDescent="0.3">
      <c r="B2239" s="9" t="str">
        <f>[1]Discovery!A2245</f>
        <v>#70413455</v>
      </c>
      <c r="C2239" s="9" t="str">
        <f>[1]Discovery!B2245</f>
        <v>##나미브 사막</v>
      </c>
      <c r="D2239" s="9" t="str">
        <f>[1]Discovery!E2245</f>
        <v>자연</v>
      </c>
      <c r="E2239" s="9" t="str">
        <f>[1]Discovery!C2245</f>
        <v>지리</v>
      </c>
      <c r="F2239" s="9" t="str">
        <f>[1]Discovery!G2245</f>
        <v>A</v>
      </c>
      <c r="G2239" s="9" t="str">
        <f>IFERROR(VLOOKUP(표1[[#This Row],[명칭]],'문화권 정리'!C:D,2,FALSE),"-")</f>
        <v>남아프리카</v>
      </c>
      <c r="H2239" s="38" t="str">
        <f>IFERROR(COUNTIF([2]OceanDoodad!$Y:$Y,표1[[#This Row],[명칭]]),"-")</f>
        <v>-</v>
      </c>
      <c r="I2239" s="38">
        <f>IFERROR(COUNTIF([1]AdventureDiscoveryGroup!$D$8:$AW$92,표1[[#This Row],[명칭]]),"-")</f>
        <v>0</v>
      </c>
      <c r="J2239" s="38">
        <f>IFERROR(COUNTIF([1]FishDiscoveryGroup!$A:$X,표1[[#This Row],[명칭]]),"-")</f>
        <v>0</v>
      </c>
      <c r="K2239" s="38" t="str">
        <f>IFERROR(COUNTIF([2]Town!$B:$B,표1[[#This Row],[명칭]]),"-")</f>
        <v>-</v>
      </c>
      <c r="L2239" s="38">
        <f>IFERROR(COUNTIF([1]Village!$BR:$BR,표1[[#This Row],[명칭]]),"-")</f>
        <v>0</v>
      </c>
      <c r="M2239" s="38">
        <f>COUNTIF(퀘스트!B:B,표1[[#This Row],[명칭]])</f>
        <v>0</v>
      </c>
      <c r="N2239" s="65">
        <f>COUNTIF([1]VillageDiscoveryGroup!$C:$C,표1[[#This Row],[명칭]])</f>
        <v>0</v>
      </c>
      <c r="O2239" s="65">
        <f>SUM(표1[[#This Row],[해양탐색]:[마을탐험]])</f>
        <v>0</v>
      </c>
    </row>
    <row r="2240" spans="2:15" ht="13.5" customHeight="1" x14ac:dyDescent="0.3">
      <c r="B2240" s="9">
        <f>[1]Discovery!A2246</f>
        <v>70413456</v>
      </c>
      <c r="C2240" s="9" t="str">
        <f>[1]Discovery!B2246</f>
        <v>보링 포센</v>
      </c>
      <c r="D2240" s="9" t="str">
        <f>[1]Discovery!E2246</f>
        <v>자연</v>
      </c>
      <c r="E2240" s="9" t="str">
        <f>[1]Discovery!C2246</f>
        <v>지리</v>
      </c>
      <c r="F2240" s="9" t="str">
        <f>[1]Discovery!G2246</f>
        <v>C</v>
      </c>
      <c r="G2240" s="9" t="str">
        <f>IFERROR(VLOOKUP(표1[[#This Row],[명칭]],'문화권 정리'!C:D,2,FALSE),"-")</f>
        <v>북유럽</v>
      </c>
      <c r="H2240" s="38" t="str">
        <f>IFERROR(COUNTIF([2]OceanDoodad!$Y:$Y,표1[[#This Row],[명칭]]),"-")</f>
        <v>-</v>
      </c>
      <c r="I2240" s="38">
        <f>IFERROR(COUNTIF([1]AdventureDiscoveryGroup!$D$8:$AW$92,표1[[#This Row],[명칭]]),"-")</f>
        <v>0</v>
      </c>
      <c r="J2240" s="38">
        <f>IFERROR(COUNTIF([1]FishDiscoveryGroup!$A:$X,표1[[#This Row],[명칭]]),"-")</f>
        <v>0</v>
      </c>
      <c r="K2240" s="38" t="str">
        <f>IFERROR(COUNTIF([2]Town!$B:$B,표1[[#This Row],[명칭]]),"-")</f>
        <v>-</v>
      </c>
      <c r="L2240" s="38">
        <f>IFERROR(COUNTIF([1]Village!$BR:$BR,표1[[#This Row],[명칭]]),"-")</f>
        <v>0</v>
      </c>
      <c r="M2240" s="38">
        <f>COUNTIF(퀘스트!B:B,표1[[#This Row],[명칭]])</f>
        <v>0</v>
      </c>
      <c r="N2240" s="65">
        <f>COUNTIF([1]VillageDiscoveryGroup!$C:$C,표1[[#This Row],[명칭]])</f>
        <v>0</v>
      </c>
      <c r="O2240" s="65">
        <f>SUM(표1[[#This Row],[해양탐색]:[마을탐험]])</f>
        <v>0</v>
      </c>
    </row>
    <row r="2241" spans="2:15" ht="13.5" customHeight="1" x14ac:dyDescent="0.3">
      <c r="B2241" s="9">
        <f>[1]Discovery!A2247</f>
        <v>70413457</v>
      </c>
      <c r="C2241" s="9" t="str">
        <f>[1]Discovery!B2247</f>
        <v>리스타팔렛 폭포</v>
      </c>
      <c r="D2241" s="9" t="str">
        <f>[1]Discovery!E2247</f>
        <v>자연</v>
      </c>
      <c r="E2241" s="9" t="str">
        <f>[1]Discovery!C2247</f>
        <v>지리</v>
      </c>
      <c r="F2241" s="9" t="str">
        <f>[1]Discovery!G2247</f>
        <v>A</v>
      </c>
      <c r="G2241" s="9" t="str">
        <f>IFERROR(VLOOKUP(표1[[#This Row],[명칭]],'문화권 정리'!C:D,2,FALSE),"-")</f>
        <v>북유럽</v>
      </c>
      <c r="H2241" s="38" t="str">
        <f>IFERROR(COUNTIF([2]OceanDoodad!$Y:$Y,표1[[#This Row],[명칭]]),"-")</f>
        <v>-</v>
      </c>
      <c r="I2241" s="38">
        <f>IFERROR(COUNTIF([1]AdventureDiscoveryGroup!$D$8:$AW$92,표1[[#This Row],[명칭]]),"-")</f>
        <v>0</v>
      </c>
      <c r="J2241" s="38">
        <f>IFERROR(COUNTIF([1]FishDiscoveryGroup!$A:$X,표1[[#This Row],[명칭]]),"-")</f>
        <v>0</v>
      </c>
      <c r="K2241" s="38" t="str">
        <f>IFERROR(COUNTIF([2]Town!$B:$B,표1[[#This Row],[명칭]]),"-")</f>
        <v>-</v>
      </c>
      <c r="L2241" s="38">
        <f>IFERROR(COUNTIF([1]Village!$BR:$BR,표1[[#This Row],[명칭]]),"-")</f>
        <v>0</v>
      </c>
      <c r="M2241" s="38">
        <f>COUNTIF(퀘스트!B:B,표1[[#This Row],[명칭]])</f>
        <v>0</v>
      </c>
      <c r="N2241" s="65">
        <f>COUNTIF([1]VillageDiscoveryGroup!$C:$C,표1[[#This Row],[명칭]])</f>
        <v>0</v>
      </c>
      <c r="O2241" s="65">
        <f>SUM(표1[[#This Row],[해양탐색]:[마을탐험]])</f>
        <v>0</v>
      </c>
    </row>
    <row r="2242" spans="2:15" ht="13.5" customHeight="1" x14ac:dyDescent="0.3">
      <c r="B2242" s="9" t="str">
        <f>[1]Discovery!A2248</f>
        <v>#70413458</v>
      </c>
      <c r="C2242" s="9" t="str">
        <f>[1]Discovery!B2248</f>
        <v>##킬리만자로산</v>
      </c>
      <c r="D2242" s="9" t="str">
        <f>[1]Discovery!E2248</f>
        <v>자연</v>
      </c>
      <c r="E2242" s="9" t="str">
        <f>[1]Discovery!C2248</f>
        <v>지리</v>
      </c>
      <c r="F2242" s="9" t="str">
        <f>[1]Discovery!G2248</f>
        <v>A</v>
      </c>
      <c r="G2242" s="9" t="str">
        <f>IFERROR(VLOOKUP(표1[[#This Row],[명칭]],'문화권 정리'!C:D,2,FALSE),"-")</f>
        <v>서아프리카</v>
      </c>
      <c r="H2242" s="38" t="str">
        <f>IFERROR(COUNTIF([2]OceanDoodad!$Y:$Y,표1[[#This Row],[명칭]]),"-")</f>
        <v>-</v>
      </c>
      <c r="I2242" s="38">
        <f>IFERROR(COUNTIF([1]AdventureDiscoveryGroup!$D$8:$AW$92,표1[[#This Row],[명칭]]),"-")</f>
        <v>0</v>
      </c>
      <c r="J2242" s="38">
        <f>IFERROR(COUNTIF([1]FishDiscoveryGroup!$A:$X,표1[[#This Row],[명칭]]),"-")</f>
        <v>0</v>
      </c>
      <c r="K2242" s="38" t="str">
        <f>IFERROR(COUNTIF([2]Town!$B:$B,표1[[#This Row],[명칭]]),"-")</f>
        <v>-</v>
      </c>
      <c r="L2242" s="38">
        <f>IFERROR(COUNTIF([1]Village!$BR:$BR,표1[[#This Row],[명칭]]),"-")</f>
        <v>0</v>
      </c>
      <c r="M2242" s="38">
        <f>COUNTIF(퀘스트!B:B,표1[[#This Row],[명칭]])</f>
        <v>0</v>
      </c>
      <c r="N2242" s="65">
        <f>COUNTIF([1]VillageDiscoveryGroup!$C:$C,표1[[#This Row],[명칭]])</f>
        <v>0</v>
      </c>
      <c r="O2242" s="65">
        <f>SUM(표1[[#This Row],[해양탐색]:[마을탐험]])</f>
        <v>0</v>
      </c>
    </row>
    <row r="2243" spans="2:15" ht="13.5" customHeight="1" x14ac:dyDescent="0.3">
      <c r="B2243" s="9">
        <f>[1]Discovery!A2249</f>
        <v>70413459</v>
      </c>
      <c r="C2243" s="9" t="str">
        <f>[1]Discovery!B2249</f>
        <v>알타미라 동굴</v>
      </c>
      <c r="D2243" s="9" t="str">
        <f>[1]Discovery!E2249</f>
        <v>자연</v>
      </c>
      <c r="E2243" s="9" t="str">
        <f>[1]Discovery!C2249</f>
        <v>지리</v>
      </c>
      <c r="F2243" s="9" t="str">
        <f>[1]Discovery!G2249</f>
        <v>C</v>
      </c>
      <c r="G2243" s="9" t="str">
        <f>IFERROR(VLOOKUP(표1[[#This Row],[명칭]],'문화권 정리'!C:D,2,FALSE),"-")</f>
        <v>지중해</v>
      </c>
      <c r="H2243" s="38" t="str">
        <f>IFERROR(COUNTIF([2]OceanDoodad!$Y:$Y,표1[[#This Row],[명칭]]),"-")</f>
        <v>-</v>
      </c>
      <c r="I2243" s="38">
        <f>IFERROR(COUNTIF([1]AdventureDiscoveryGroup!$D$8:$AW$92,표1[[#This Row],[명칭]]),"-")</f>
        <v>0</v>
      </c>
      <c r="J2243" s="38">
        <f>IFERROR(COUNTIF([1]FishDiscoveryGroup!$A:$X,표1[[#This Row],[명칭]]),"-")</f>
        <v>0</v>
      </c>
      <c r="K2243" s="38" t="str">
        <f>IFERROR(COUNTIF([2]Town!$B:$B,표1[[#This Row],[명칭]]),"-")</f>
        <v>-</v>
      </c>
      <c r="L2243" s="38">
        <f>IFERROR(COUNTIF([1]Village!$BR:$BR,표1[[#This Row],[명칭]]),"-")</f>
        <v>0</v>
      </c>
      <c r="M2243" s="38">
        <f>COUNTIF(퀘스트!B:B,표1[[#This Row],[명칭]])</f>
        <v>0</v>
      </c>
      <c r="N2243" s="65">
        <f>COUNTIF([1]VillageDiscoveryGroup!$C:$C,표1[[#This Row],[명칭]])</f>
        <v>0</v>
      </c>
      <c r="O2243" s="65">
        <f>SUM(표1[[#This Row],[해양탐색]:[마을탐험]])</f>
        <v>0</v>
      </c>
    </row>
    <row r="2244" spans="2:15" ht="13.5" customHeight="1" x14ac:dyDescent="0.3">
      <c r="B2244" s="9" t="str">
        <f>[1]Discovery!A2250</f>
        <v>#70413460</v>
      </c>
      <c r="C2244" s="9" t="str">
        <f>[1]Discovery!B2250</f>
        <v>##포구산</v>
      </c>
      <c r="D2244" s="9" t="str">
        <f>[1]Discovery!E2250</f>
        <v>자연</v>
      </c>
      <c r="E2244" s="9" t="str">
        <f>[1]Discovery!C2250</f>
        <v>지리</v>
      </c>
      <c r="F2244" s="9" t="str">
        <f>[1]Discovery!G2250</f>
        <v>B</v>
      </c>
      <c r="G2244" s="9" t="str">
        <f>IFERROR(VLOOKUP(표1[[#This Row],[명칭]],'문화권 정리'!C:D,2,FALSE),"-")</f>
        <v>서아프리카</v>
      </c>
      <c r="H2244" s="38" t="str">
        <f>IFERROR(COUNTIF([2]OceanDoodad!$Y:$Y,표1[[#This Row],[명칭]]),"-")</f>
        <v>-</v>
      </c>
      <c r="I2244" s="38">
        <f>IFERROR(COUNTIF([1]AdventureDiscoveryGroup!$D$8:$AW$92,표1[[#This Row],[명칭]]),"-")</f>
        <v>0</v>
      </c>
      <c r="J2244" s="38">
        <f>IFERROR(COUNTIF([1]FishDiscoveryGroup!$A:$X,표1[[#This Row],[명칭]]),"-")</f>
        <v>0</v>
      </c>
      <c r="K2244" s="38" t="str">
        <f>IFERROR(COUNTIF([2]Town!$B:$B,표1[[#This Row],[명칭]]),"-")</f>
        <v>-</v>
      </c>
      <c r="L2244" s="38">
        <f>IFERROR(COUNTIF([1]Village!$BR:$BR,표1[[#This Row],[명칭]]),"-")</f>
        <v>0</v>
      </c>
      <c r="M2244" s="38">
        <f>COUNTIF(퀘스트!B:B,표1[[#This Row],[명칭]])</f>
        <v>0</v>
      </c>
      <c r="N2244" s="65">
        <f>COUNTIF([1]VillageDiscoveryGroup!$C:$C,표1[[#This Row],[명칭]])</f>
        <v>0</v>
      </c>
      <c r="O2244" s="65">
        <f>SUM(표1[[#This Row],[해양탐색]:[마을탐험]])</f>
        <v>0</v>
      </c>
    </row>
    <row r="2245" spans="2:15" ht="13.5" customHeight="1" x14ac:dyDescent="0.3">
      <c r="B2245" s="9" t="str">
        <f>[1]Discovery!A2251</f>
        <v>#70413461</v>
      </c>
      <c r="C2245" s="9" t="str">
        <f>[1]Discovery!B2251</f>
        <v>##아덴만</v>
      </c>
      <c r="D2245" s="9" t="str">
        <f>[1]Discovery!E2251</f>
        <v>자연</v>
      </c>
      <c r="E2245" s="9" t="str">
        <f>[1]Discovery!C2251</f>
        <v>지리</v>
      </c>
      <c r="F2245" s="9" t="str">
        <f>[1]Discovery!G2251</f>
        <v>B</v>
      </c>
      <c r="G2245" s="9" t="str">
        <f>IFERROR(VLOOKUP(표1[[#This Row],[명칭]],'문화권 정리'!C:D,2,FALSE),"-")</f>
        <v>서남아시아</v>
      </c>
      <c r="H2245" s="38" t="str">
        <f>IFERROR(COUNTIF([2]OceanDoodad!$Y:$Y,표1[[#This Row],[명칭]]),"-")</f>
        <v>-</v>
      </c>
      <c r="I2245" s="38">
        <f>IFERROR(COUNTIF([1]AdventureDiscoveryGroup!$D$8:$AW$92,표1[[#This Row],[명칭]]),"-")</f>
        <v>0</v>
      </c>
      <c r="J2245" s="38">
        <f>IFERROR(COUNTIF([1]FishDiscoveryGroup!$A:$X,표1[[#This Row],[명칭]]),"-")</f>
        <v>0</v>
      </c>
      <c r="K2245" s="38" t="str">
        <f>IFERROR(COUNTIF([2]Town!$B:$B,표1[[#This Row],[명칭]]),"-")</f>
        <v>-</v>
      </c>
      <c r="L2245" s="38">
        <f>IFERROR(COUNTIF([1]Village!$BR:$BR,표1[[#This Row],[명칭]]),"-")</f>
        <v>0</v>
      </c>
      <c r="M2245" s="38">
        <f>COUNTIF(퀘스트!B:B,표1[[#This Row],[명칭]])</f>
        <v>0</v>
      </c>
      <c r="N2245" s="65">
        <f>COUNTIF([1]VillageDiscoveryGroup!$C:$C,표1[[#This Row],[명칭]])</f>
        <v>0</v>
      </c>
      <c r="O2245" s="65">
        <f>SUM(표1[[#This Row],[해양탐색]:[마을탐험]])</f>
        <v>0</v>
      </c>
    </row>
    <row r="2246" spans="2:15" ht="13.5" customHeight="1" x14ac:dyDescent="0.3">
      <c r="B2246" s="9" t="str">
        <f>[1]Discovery!A2252</f>
        <v>#70413462</v>
      </c>
      <c r="C2246" s="9" t="str">
        <f>[1]Discovery!B2252</f>
        <v>##혼 곶</v>
      </c>
      <c r="D2246" s="9" t="str">
        <f>[1]Discovery!E2252</f>
        <v>자연</v>
      </c>
      <c r="E2246" s="9" t="str">
        <f>[1]Discovery!C2252</f>
        <v>지리</v>
      </c>
      <c r="F2246" s="9" t="str">
        <f>[1]Discovery!G2252</f>
        <v>B</v>
      </c>
      <c r="G2246" s="9" t="str">
        <f>IFERROR(VLOOKUP(표1[[#This Row],[명칭]],'문화권 정리'!C:D,2,FALSE),"-")</f>
        <v>남아메리카</v>
      </c>
      <c r="H2246" s="38" t="str">
        <f>IFERROR(COUNTIF([2]OceanDoodad!$Y:$Y,표1[[#This Row],[명칭]]),"-")</f>
        <v>-</v>
      </c>
      <c r="I2246" s="38">
        <f>IFERROR(COUNTIF([1]AdventureDiscoveryGroup!$D$8:$AW$92,표1[[#This Row],[명칭]]),"-")</f>
        <v>0</v>
      </c>
      <c r="J2246" s="38">
        <f>IFERROR(COUNTIF([1]FishDiscoveryGroup!$A:$X,표1[[#This Row],[명칭]]),"-")</f>
        <v>0</v>
      </c>
      <c r="K2246" s="38" t="str">
        <f>IFERROR(COUNTIF([2]Town!$B:$B,표1[[#This Row],[명칭]]),"-")</f>
        <v>-</v>
      </c>
      <c r="L2246" s="38">
        <f>IFERROR(COUNTIF([1]Village!$BR:$BR,표1[[#This Row],[명칭]]),"-")</f>
        <v>0</v>
      </c>
      <c r="M2246" s="38">
        <f>COUNTIF(퀘스트!B:B,표1[[#This Row],[명칭]])</f>
        <v>0</v>
      </c>
      <c r="N2246" s="65">
        <f>COUNTIF([1]VillageDiscoveryGroup!$C:$C,표1[[#This Row],[명칭]])</f>
        <v>0</v>
      </c>
      <c r="O2246" s="65">
        <f>SUM(표1[[#This Row],[해양탐색]:[마을탐험]])</f>
        <v>0</v>
      </c>
    </row>
    <row r="2247" spans="2:15" ht="13.5" customHeight="1" x14ac:dyDescent="0.3">
      <c r="B2247" s="9" t="str">
        <f>[1]Discovery!A2253</f>
        <v>#70413463</v>
      </c>
      <c r="C2247" s="9" t="str">
        <f>[1]Discovery!B2253</f>
        <v>##길빙크만</v>
      </c>
      <c r="D2247" s="9" t="str">
        <f>[1]Discovery!E2253</f>
        <v>자연</v>
      </c>
      <c r="E2247" s="9" t="str">
        <f>[1]Discovery!C2253</f>
        <v>지리</v>
      </c>
      <c r="F2247" s="9" t="str">
        <f>[1]Discovery!G2253</f>
        <v>C</v>
      </c>
      <c r="G2247" s="9" t="str">
        <f>IFERROR(VLOOKUP(표1[[#This Row],[명칭]],'문화권 정리'!C:D,2,FALSE),"-")</f>
        <v>동남아시아</v>
      </c>
      <c r="H2247" s="38" t="str">
        <f>IFERROR(COUNTIF([2]OceanDoodad!$Y:$Y,표1[[#This Row],[명칭]]),"-")</f>
        <v>-</v>
      </c>
      <c r="I2247" s="38">
        <f>IFERROR(COUNTIF([1]AdventureDiscoveryGroup!$D$8:$AW$92,표1[[#This Row],[명칭]]),"-")</f>
        <v>0</v>
      </c>
      <c r="J2247" s="38">
        <f>IFERROR(COUNTIF([1]FishDiscoveryGroup!$A:$X,표1[[#This Row],[명칭]]),"-")</f>
        <v>0</v>
      </c>
      <c r="K2247" s="38" t="str">
        <f>IFERROR(COUNTIF([2]Town!$B:$B,표1[[#This Row],[명칭]]),"-")</f>
        <v>-</v>
      </c>
      <c r="L2247" s="38">
        <f>IFERROR(COUNTIF([1]Village!$BR:$BR,표1[[#This Row],[명칭]]),"-")</f>
        <v>0</v>
      </c>
      <c r="M2247" s="38">
        <f>COUNTIF(퀘스트!B:B,표1[[#This Row],[명칭]])</f>
        <v>0</v>
      </c>
      <c r="N2247" s="65">
        <f>COUNTIF([1]VillageDiscoveryGroup!$C:$C,표1[[#This Row],[명칭]])</f>
        <v>0</v>
      </c>
      <c r="O2247" s="65">
        <f>SUM(표1[[#This Row],[해양탐색]:[마을탐험]])</f>
        <v>0</v>
      </c>
    </row>
    <row r="2248" spans="2:15" ht="13.5" customHeight="1" x14ac:dyDescent="0.3">
      <c r="B2248" s="9" t="str">
        <f>[1]Discovery!A2254</f>
        <v>#70413464</v>
      </c>
      <c r="C2248" s="9" t="str">
        <f>[1]Discovery!B2254</f>
        <v>##플리겔리 곶</v>
      </c>
      <c r="D2248" s="9" t="str">
        <f>[1]Discovery!E2254</f>
        <v>자연</v>
      </c>
      <c r="E2248" s="9" t="str">
        <f>[1]Discovery!C2254</f>
        <v>지리</v>
      </c>
      <c r="F2248" s="9" t="str">
        <f>[1]Discovery!G2254</f>
        <v>B</v>
      </c>
      <c r="G2248" s="9" t="str">
        <f>IFERROR(VLOOKUP(표1[[#This Row],[명칭]],'문화권 정리'!C:D,2,FALSE),"-")</f>
        <v>유라시아</v>
      </c>
      <c r="H2248" s="38" t="str">
        <f>IFERROR(COUNTIF([2]OceanDoodad!$Y:$Y,표1[[#This Row],[명칭]]),"-")</f>
        <v>-</v>
      </c>
      <c r="I2248" s="38">
        <f>IFERROR(COUNTIF([1]AdventureDiscoveryGroup!$D$8:$AW$92,표1[[#This Row],[명칭]]),"-")</f>
        <v>0</v>
      </c>
      <c r="J2248" s="38">
        <f>IFERROR(COUNTIF([1]FishDiscoveryGroup!$A:$X,표1[[#This Row],[명칭]]),"-")</f>
        <v>0</v>
      </c>
      <c r="K2248" s="38" t="str">
        <f>IFERROR(COUNTIF([2]Town!$B:$B,표1[[#This Row],[명칭]]),"-")</f>
        <v>-</v>
      </c>
      <c r="L2248" s="38">
        <f>IFERROR(COUNTIF([1]Village!$BR:$BR,표1[[#This Row],[명칭]]),"-")</f>
        <v>0</v>
      </c>
      <c r="M2248" s="38">
        <f>COUNTIF(퀘스트!B:B,표1[[#This Row],[명칭]])</f>
        <v>0</v>
      </c>
      <c r="N2248" s="65">
        <f>COUNTIF([1]VillageDiscoveryGroup!$C:$C,표1[[#This Row],[명칭]])</f>
        <v>0</v>
      </c>
      <c r="O2248" s="65">
        <f>SUM(표1[[#This Row],[해양탐색]:[마을탐험]])</f>
        <v>0</v>
      </c>
    </row>
    <row r="2249" spans="2:15" ht="13.5" customHeight="1" x14ac:dyDescent="0.3">
      <c r="B2249" s="9" t="str">
        <f>[1]Discovery!A2255</f>
        <v>#70413465</v>
      </c>
      <c r="C2249" s="9" t="str">
        <f>[1]Discovery!B2255</f>
        <v>##오비만</v>
      </c>
      <c r="D2249" s="9" t="str">
        <f>[1]Discovery!E2255</f>
        <v>자연</v>
      </c>
      <c r="E2249" s="9" t="str">
        <f>[1]Discovery!C2255</f>
        <v>지리</v>
      </c>
      <c r="F2249" s="9" t="str">
        <f>[1]Discovery!G2255</f>
        <v>B</v>
      </c>
      <c r="G2249" s="9" t="str">
        <f>IFERROR(VLOOKUP(표1[[#This Row],[명칭]],'문화권 정리'!C:D,2,FALSE),"-")</f>
        <v>유라시아</v>
      </c>
      <c r="H2249" s="38" t="str">
        <f>IFERROR(COUNTIF([2]OceanDoodad!$Y:$Y,표1[[#This Row],[명칭]]),"-")</f>
        <v>-</v>
      </c>
      <c r="I2249" s="38">
        <f>IFERROR(COUNTIF([1]AdventureDiscoveryGroup!$D$8:$AW$92,표1[[#This Row],[명칭]]),"-")</f>
        <v>0</v>
      </c>
      <c r="J2249" s="38">
        <f>IFERROR(COUNTIF([1]FishDiscoveryGroup!$A:$X,표1[[#This Row],[명칭]]),"-")</f>
        <v>0</v>
      </c>
      <c r="K2249" s="38" t="str">
        <f>IFERROR(COUNTIF([2]Town!$B:$B,표1[[#This Row],[명칭]]),"-")</f>
        <v>-</v>
      </c>
      <c r="L2249" s="38">
        <f>IFERROR(COUNTIF([1]Village!$BR:$BR,표1[[#This Row],[명칭]]),"-")</f>
        <v>0</v>
      </c>
      <c r="M2249" s="38">
        <f>COUNTIF(퀘스트!B:B,표1[[#This Row],[명칭]])</f>
        <v>0</v>
      </c>
      <c r="N2249" s="65">
        <f>COUNTIF([1]VillageDiscoveryGroup!$C:$C,표1[[#This Row],[명칭]])</f>
        <v>0</v>
      </c>
      <c r="O2249" s="65">
        <f>SUM(표1[[#This Row],[해양탐색]:[마을탐험]])</f>
        <v>0</v>
      </c>
    </row>
    <row r="2250" spans="2:15" ht="13.5" customHeight="1" x14ac:dyDescent="0.3">
      <c r="B2250" s="9" t="str">
        <f>[1]Discovery!A2256</f>
        <v>#70413466</v>
      </c>
      <c r="C2250" s="9" t="str">
        <f>[1]Discovery!B2256</f>
        <v>##허드슨만</v>
      </c>
      <c r="D2250" s="9" t="str">
        <f>[1]Discovery!E2256</f>
        <v>자연</v>
      </c>
      <c r="E2250" s="9" t="str">
        <f>[1]Discovery!C2256</f>
        <v>지리</v>
      </c>
      <c r="F2250" s="9" t="str">
        <f>[1]Discovery!G2256</f>
        <v>C</v>
      </c>
      <c r="G2250" s="9" t="str">
        <f>IFERROR(VLOOKUP(표1[[#This Row],[명칭]],'문화권 정리'!C:D,2,FALSE),"-")</f>
        <v>북아메리카</v>
      </c>
      <c r="H2250" s="38" t="str">
        <f>IFERROR(COUNTIF([2]OceanDoodad!$Y:$Y,표1[[#This Row],[명칭]]),"-")</f>
        <v>-</v>
      </c>
      <c r="I2250" s="38">
        <f>IFERROR(COUNTIF([1]AdventureDiscoveryGroup!$D$8:$AW$92,표1[[#This Row],[명칭]]),"-")</f>
        <v>0</v>
      </c>
      <c r="J2250" s="38">
        <f>IFERROR(COUNTIF([1]FishDiscoveryGroup!$A:$X,표1[[#This Row],[명칭]]),"-")</f>
        <v>0</v>
      </c>
      <c r="K2250" s="38" t="str">
        <f>IFERROR(COUNTIF([2]Town!$B:$B,표1[[#This Row],[명칭]]),"-")</f>
        <v>-</v>
      </c>
      <c r="L2250" s="38">
        <f>IFERROR(COUNTIF([1]Village!$BR:$BR,표1[[#This Row],[명칭]]),"-")</f>
        <v>0</v>
      </c>
      <c r="M2250" s="38">
        <f>COUNTIF(퀘스트!B:B,표1[[#This Row],[명칭]])</f>
        <v>0</v>
      </c>
      <c r="N2250" s="65">
        <f>COUNTIF([1]VillageDiscoveryGroup!$C:$C,표1[[#This Row],[명칭]])</f>
        <v>0</v>
      </c>
      <c r="O2250" s="65">
        <f>SUM(표1[[#This Row],[해양탐색]:[마을탐험]])</f>
        <v>0</v>
      </c>
    </row>
    <row r="2251" spans="2:15" ht="13.5" customHeight="1" x14ac:dyDescent="0.3">
      <c r="B2251" s="9">
        <f>[1]Discovery!A2257</f>
        <v>70413467</v>
      </c>
      <c r="C2251" s="9" t="str">
        <f>[1]Discovery!B2257</f>
        <v>갠지스 삼각주</v>
      </c>
      <c r="D2251" s="9" t="str">
        <f>[1]Discovery!E2257</f>
        <v>자연</v>
      </c>
      <c r="E2251" s="9" t="str">
        <f>[1]Discovery!C2257</f>
        <v>지리</v>
      </c>
      <c r="F2251" s="9" t="str">
        <f>[1]Discovery!G2257</f>
        <v>C</v>
      </c>
      <c r="G2251" s="9" t="str">
        <f>IFERROR(VLOOKUP(표1[[#This Row],[명칭]],'문화권 정리'!C:D,2,FALSE),"-")</f>
        <v>동남아시아</v>
      </c>
      <c r="H2251" s="38" t="str">
        <f>IFERROR(COUNTIF([2]OceanDoodad!$Y:$Y,표1[[#This Row],[명칭]]),"-")</f>
        <v>-</v>
      </c>
      <c r="I2251" s="38">
        <f>IFERROR(COUNTIF([1]AdventureDiscoveryGroup!$D$8:$AW$92,표1[[#This Row],[명칭]]),"-")</f>
        <v>0</v>
      </c>
      <c r="J2251" s="38">
        <f>IFERROR(COUNTIF([1]FishDiscoveryGroup!$A:$X,표1[[#This Row],[명칭]]),"-")</f>
        <v>0</v>
      </c>
      <c r="K2251" s="38" t="str">
        <f>IFERROR(COUNTIF([2]Town!$B:$B,표1[[#This Row],[명칭]]),"-")</f>
        <v>-</v>
      </c>
      <c r="L2251" s="38">
        <f>IFERROR(COUNTIF([1]Village!$BR:$BR,표1[[#This Row],[명칭]]),"-")</f>
        <v>0</v>
      </c>
      <c r="M2251" s="38">
        <f>COUNTIF(퀘스트!B:B,표1[[#This Row],[명칭]])</f>
        <v>0</v>
      </c>
      <c r="N2251" s="65">
        <f>COUNTIF([1]VillageDiscoveryGroup!$C:$C,표1[[#This Row],[명칭]])</f>
        <v>0</v>
      </c>
      <c r="O2251" s="65">
        <f>SUM(표1[[#This Row],[해양탐색]:[마을탐험]])</f>
        <v>0</v>
      </c>
    </row>
    <row r="2252" spans="2:15" ht="13.5" customHeight="1" x14ac:dyDescent="0.3">
      <c r="B2252" s="9">
        <f>[1]Discovery!A2258</f>
        <v>70413468</v>
      </c>
      <c r="C2252" s="9" t="str">
        <f>[1]Discovery!B2258</f>
        <v>나일강 삼각주</v>
      </c>
      <c r="D2252" s="9" t="str">
        <f>[1]Discovery!E2258</f>
        <v>자연</v>
      </c>
      <c r="E2252" s="9" t="str">
        <f>[1]Discovery!C2258</f>
        <v>지리</v>
      </c>
      <c r="F2252" s="9" t="str">
        <f>[1]Discovery!G2258</f>
        <v>C</v>
      </c>
      <c r="G2252" s="9" t="str">
        <f>IFERROR(VLOOKUP(표1[[#This Row],[명칭]],'문화권 정리'!C:D,2,FALSE),"-")</f>
        <v>서남아시아</v>
      </c>
      <c r="H2252" s="38" t="str">
        <f>IFERROR(COUNTIF([2]OceanDoodad!$Y:$Y,표1[[#This Row],[명칭]]),"-")</f>
        <v>-</v>
      </c>
      <c r="I2252" s="38">
        <f>IFERROR(COUNTIF([1]AdventureDiscoveryGroup!$D$8:$AW$92,표1[[#This Row],[명칭]]),"-")</f>
        <v>0</v>
      </c>
      <c r="J2252" s="38">
        <f>IFERROR(COUNTIF([1]FishDiscoveryGroup!$A:$X,표1[[#This Row],[명칭]]),"-")</f>
        <v>0</v>
      </c>
      <c r="K2252" s="38" t="str">
        <f>IFERROR(COUNTIF([2]Town!$B:$B,표1[[#This Row],[명칭]]),"-")</f>
        <v>-</v>
      </c>
      <c r="L2252" s="38">
        <f>IFERROR(COUNTIF([1]Village!$BR:$BR,표1[[#This Row],[명칭]]),"-")</f>
        <v>0</v>
      </c>
      <c r="M2252" s="38">
        <f>COUNTIF(퀘스트!B:B,표1[[#This Row],[명칭]])</f>
        <v>0</v>
      </c>
      <c r="N2252" s="65">
        <f>COUNTIF([1]VillageDiscoveryGroup!$C:$C,표1[[#This Row],[명칭]])</f>
        <v>0</v>
      </c>
      <c r="O2252" s="65">
        <f>SUM(표1[[#This Row],[해양탐색]:[마을탐험]])</f>
        <v>0</v>
      </c>
    </row>
    <row r="2253" spans="2:15" ht="13.5" customHeight="1" x14ac:dyDescent="0.3">
      <c r="B2253" s="9">
        <f>[1]Discovery!A2259</f>
        <v>70413469</v>
      </c>
      <c r="C2253" s="9" t="str">
        <f>[1]Discovery!B2259</f>
        <v>나이저강 삼각주</v>
      </c>
      <c r="D2253" s="9" t="str">
        <f>[1]Discovery!E2259</f>
        <v>자연</v>
      </c>
      <c r="E2253" s="9" t="str">
        <f>[1]Discovery!C2259</f>
        <v>지리</v>
      </c>
      <c r="F2253" s="9" t="str">
        <f>[1]Discovery!G2259</f>
        <v>C</v>
      </c>
      <c r="G2253" s="9" t="str">
        <f>IFERROR(VLOOKUP(표1[[#This Row],[명칭]],'문화권 정리'!C:D,2,FALSE),"-")</f>
        <v>서아프리카</v>
      </c>
      <c r="H2253" s="38" t="str">
        <f>IFERROR(COUNTIF([2]OceanDoodad!$Y:$Y,표1[[#This Row],[명칭]]),"-")</f>
        <v>-</v>
      </c>
      <c r="I2253" s="38">
        <f>IFERROR(COUNTIF([1]AdventureDiscoveryGroup!$D$8:$AW$92,표1[[#This Row],[명칭]]),"-")</f>
        <v>0</v>
      </c>
      <c r="J2253" s="38">
        <f>IFERROR(COUNTIF([1]FishDiscoveryGroup!$A:$X,표1[[#This Row],[명칭]]),"-")</f>
        <v>0</v>
      </c>
      <c r="K2253" s="38" t="str">
        <f>IFERROR(COUNTIF([2]Town!$B:$B,표1[[#This Row],[명칭]]),"-")</f>
        <v>-</v>
      </c>
      <c r="L2253" s="38">
        <f>IFERROR(COUNTIF([1]Village!$BR:$BR,표1[[#This Row],[명칭]]),"-")</f>
        <v>0</v>
      </c>
      <c r="M2253" s="38">
        <f>COUNTIF(퀘스트!B:B,표1[[#This Row],[명칭]])</f>
        <v>0</v>
      </c>
      <c r="N2253" s="65">
        <f>COUNTIF([1]VillageDiscoveryGroup!$C:$C,표1[[#This Row],[명칭]])</f>
        <v>0</v>
      </c>
      <c r="O2253" s="65">
        <f>SUM(표1[[#This Row],[해양탐색]:[마을탐험]])</f>
        <v>0</v>
      </c>
    </row>
    <row r="2254" spans="2:15" ht="13.5" customHeight="1" x14ac:dyDescent="0.3">
      <c r="B2254" s="9">
        <f>[1]Discovery!A2260</f>
        <v>70413470</v>
      </c>
      <c r="C2254" s="9" t="str">
        <f>[1]Discovery!B2260</f>
        <v>아마존강 삼각주</v>
      </c>
      <c r="D2254" s="9" t="str">
        <f>[1]Discovery!E2260</f>
        <v>자연</v>
      </c>
      <c r="E2254" s="9" t="str">
        <f>[1]Discovery!C2260</f>
        <v>지리</v>
      </c>
      <c r="F2254" s="9" t="str">
        <f>[1]Discovery!G2260</f>
        <v>C</v>
      </c>
      <c r="G2254" s="9" t="str">
        <f>IFERROR(VLOOKUP(표1[[#This Row],[명칭]],'문화권 정리'!C:D,2,FALSE),"-")</f>
        <v>남아메리카</v>
      </c>
      <c r="H2254" s="38" t="str">
        <f>IFERROR(COUNTIF([2]OceanDoodad!$Y:$Y,표1[[#This Row],[명칭]]),"-")</f>
        <v>-</v>
      </c>
      <c r="I2254" s="38">
        <f>IFERROR(COUNTIF([1]AdventureDiscoveryGroup!$D$8:$AW$92,표1[[#This Row],[명칭]]),"-")</f>
        <v>0</v>
      </c>
      <c r="J2254" s="38">
        <f>IFERROR(COUNTIF([1]FishDiscoveryGroup!$A:$X,표1[[#This Row],[명칭]]),"-")</f>
        <v>0</v>
      </c>
      <c r="K2254" s="38" t="str">
        <f>IFERROR(COUNTIF([2]Town!$B:$B,표1[[#This Row],[명칭]]),"-")</f>
        <v>-</v>
      </c>
      <c r="L2254" s="38">
        <f>IFERROR(COUNTIF([1]Village!$BR:$BR,표1[[#This Row],[명칭]]),"-")</f>
        <v>0</v>
      </c>
      <c r="M2254" s="38">
        <f>COUNTIF(퀘스트!B:B,표1[[#This Row],[명칭]])</f>
        <v>0</v>
      </c>
      <c r="N2254" s="65">
        <f>COUNTIF([1]VillageDiscoveryGroup!$C:$C,표1[[#This Row],[명칭]])</f>
        <v>0</v>
      </c>
      <c r="O2254" s="65">
        <f>SUM(표1[[#This Row],[해양탐색]:[마을탐험]])</f>
        <v>0</v>
      </c>
    </row>
    <row r="2255" spans="2:15" ht="13.5" customHeight="1" x14ac:dyDescent="0.3">
      <c r="B2255" s="9">
        <f>[1]Discovery!A2261</f>
        <v>70413471</v>
      </c>
      <c r="C2255" s="9" t="str">
        <f>[1]Discovery!B2261</f>
        <v>미시시피강 삼각주</v>
      </c>
      <c r="D2255" s="9" t="str">
        <f>[1]Discovery!E2261</f>
        <v>자연</v>
      </c>
      <c r="E2255" s="9" t="str">
        <f>[1]Discovery!C2261</f>
        <v>지리</v>
      </c>
      <c r="F2255" s="9" t="str">
        <f>[1]Discovery!G2261</f>
        <v>C</v>
      </c>
      <c r="G2255" s="9" t="str">
        <f>IFERROR(VLOOKUP(표1[[#This Row],[명칭]],'문화권 정리'!C:D,2,FALSE),"-")</f>
        <v>북아메리카</v>
      </c>
      <c r="H2255" s="38" t="str">
        <f>IFERROR(COUNTIF([2]OceanDoodad!$Y:$Y,표1[[#This Row],[명칭]]),"-")</f>
        <v>-</v>
      </c>
      <c r="I2255" s="38">
        <f>IFERROR(COUNTIF([1]AdventureDiscoveryGroup!$D$8:$AW$92,표1[[#This Row],[명칭]]),"-")</f>
        <v>0</v>
      </c>
      <c r="J2255" s="38">
        <f>IFERROR(COUNTIF([1]FishDiscoveryGroup!$A:$X,표1[[#This Row],[명칭]]),"-")</f>
        <v>0</v>
      </c>
      <c r="K2255" s="38" t="str">
        <f>IFERROR(COUNTIF([2]Town!$B:$B,표1[[#This Row],[명칭]]),"-")</f>
        <v>-</v>
      </c>
      <c r="L2255" s="38">
        <f>IFERROR(COUNTIF([1]Village!$BR:$BR,표1[[#This Row],[명칭]]),"-")</f>
        <v>0</v>
      </c>
      <c r="M2255" s="38">
        <f>COUNTIF(퀘스트!B:B,표1[[#This Row],[명칭]])</f>
        <v>0</v>
      </c>
      <c r="N2255" s="65">
        <f>COUNTIF([1]VillageDiscoveryGroup!$C:$C,표1[[#This Row],[명칭]])</f>
        <v>0</v>
      </c>
      <c r="O2255" s="65">
        <f>SUM(표1[[#This Row],[해양탐색]:[마을탐험]])</f>
        <v>0</v>
      </c>
    </row>
    <row r="2256" spans="2:15" ht="13.5" customHeight="1" x14ac:dyDescent="0.3">
      <c r="B2256" s="9">
        <f>[1]Discovery!A2262</f>
        <v>70413472</v>
      </c>
      <c r="C2256" s="9" t="str">
        <f>[1]Discovery!B2262</f>
        <v>황허 삼각주</v>
      </c>
      <c r="D2256" s="9" t="str">
        <f>[1]Discovery!E2262</f>
        <v>자연</v>
      </c>
      <c r="E2256" s="9" t="str">
        <f>[1]Discovery!C2262</f>
        <v>지리</v>
      </c>
      <c r="F2256" s="9" t="str">
        <f>[1]Discovery!G2262</f>
        <v>C</v>
      </c>
      <c r="G2256" s="9" t="str">
        <f>IFERROR(VLOOKUP(표1[[#This Row],[명칭]],'문화권 정리'!C:D,2,FALSE),"-")</f>
        <v>동아시아</v>
      </c>
      <c r="H2256" s="38" t="str">
        <f>IFERROR(COUNTIF([2]OceanDoodad!$Y:$Y,표1[[#This Row],[명칭]]),"-")</f>
        <v>-</v>
      </c>
      <c r="I2256" s="38">
        <f>IFERROR(COUNTIF([1]AdventureDiscoveryGroup!$D$8:$AW$92,표1[[#This Row],[명칭]]),"-")</f>
        <v>0</v>
      </c>
      <c r="J2256" s="38">
        <f>IFERROR(COUNTIF([1]FishDiscoveryGroup!$A:$X,표1[[#This Row],[명칭]]),"-")</f>
        <v>0</v>
      </c>
      <c r="K2256" s="38" t="str">
        <f>IFERROR(COUNTIF([2]Town!$B:$B,표1[[#This Row],[명칭]]),"-")</f>
        <v>-</v>
      </c>
      <c r="L2256" s="38">
        <f>IFERROR(COUNTIF([1]Village!$BR:$BR,표1[[#This Row],[명칭]]),"-")</f>
        <v>0</v>
      </c>
      <c r="M2256" s="38">
        <f>COUNTIF(퀘스트!B:B,표1[[#This Row],[명칭]])</f>
        <v>0</v>
      </c>
      <c r="N2256" s="65">
        <f>COUNTIF([1]VillageDiscoveryGroup!$C:$C,표1[[#This Row],[명칭]])</f>
        <v>0</v>
      </c>
      <c r="O2256" s="65">
        <f>SUM(표1[[#This Row],[해양탐색]:[마을탐험]])</f>
        <v>0</v>
      </c>
    </row>
    <row r="2257" spans="2:15" ht="13.5" customHeight="1" x14ac:dyDescent="0.3">
      <c r="B2257" s="9">
        <f>[1]Discovery!A2263</f>
        <v>70413473</v>
      </c>
      <c r="C2257" s="9" t="str">
        <f>[1]Discovery!B2263</f>
        <v>에러버스 산</v>
      </c>
      <c r="D2257" s="9" t="str">
        <f>[1]Discovery!E2263</f>
        <v>자연</v>
      </c>
      <c r="E2257" s="9" t="str">
        <f>[1]Discovery!C2263</f>
        <v>지리</v>
      </c>
      <c r="F2257" s="9" t="str">
        <f>[1]Discovery!G2263</f>
        <v>S</v>
      </c>
      <c r="G2257" s="9" t="str">
        <f>IFERROR(VLOOKUP(표1[[#This Row],[명칭]],'문화권 정리'!C:D,2,FALSE),"-")</f>
        <v>극지방</v>
      </c>
      <c r="H2257" s="38" t="str">
        <f>IFERROR(COUNTIF([2]OceanDoodad!$Y:$Y,표1[[#This Row],[명칭]]),"-")</f>
        <v>-</v>
      </c>
      <c r="I2257" s="38">
        <f>IFERROR(COUNTIF([1]AdventureDiscoveryGroup!$D$8:$AW$92,표1[[#This Row],[명칭]]),"-")</f>
        <v>0</v>
      </c>
      <c r="J2257" s="38">
        <f>IFERROR(COUNTIF([1]FishDiscoveryGroup!$A:$X,표1[[#This Row],[명칭]]),"-")</f>
        <v>0</v>
      </c>
      <c r="K2257" s="38" t="str">
        <f>IFERROR(COUNTIF([2]Town!$B:$B,표1[[#This Row],[명칭]]),"-")</f>
        <v>-</v>
      </c>
      <c r="L2257" s="38">
        <f>IFERROR(COUNTIF([1]Village!$BR:$BR,표1[[#This Row],[명칭]]),"-")</f>
        <v>0</v>
      </c>
      <c r="M2257" s="38">
        <f>COUNTIF(퀘스트!B:B,표1[[#This Row],[명칭]])</f>
        <v>0</v>
      </c>
      <c r="N2257" s="65">
        <f>COUNTIF([1]VillageDiscoveryGroup!$C:$C,표1[[#This Row],[명칭]])</f>
        <v>0</v>
      </c>
      <c r="O2257" s="65">
        <f>SUM(표1[[#This Row],[해양탐색]:[마을탐험]])</f>
        <v>0</v>
      </c>
    </row>
    <row r="2258" spans="2:15" ht="13.5" customHeight="1" x14ac:dyDescent="0.3">
      <c r="B2258" s="9">
        <f>[1]Discovery!A2264</f>
        <v>70413474</v>
      </c>
      <c r="C2258" s="9" t="str">
        <f>[1]Discovery!B2264</f>
        <v>테러 산</v>
      </c>
      <c r="D2258" s="9" t="str">
        <f>[1]Discovery!E2264</f>
        <v>자연</v>
      </c>
      <c r="E2258" s="9" t="str">
        <f>[1]Discovery!C2264</f>
        <v>지리</v>
      </c>
      <c r="F2258" s="9" t="str">
        <f>[1]Discovery!G2264</f>
        <v>B</v>
      </c>
      <c r="G2258" s="9" t="str">
        <f>IFERROR(VLOOKUP(표1[[#This Row],[명칭]],'문화권 정리'!C:D,2,FALSE),"-")</f>
        <v>극지방</v>
      </c>
      <c r="H2258" s="38" t="str">
        <f>IFERROR(COUNTIF([2]OceanDoodad!$Y:$Y,표1[[#This Row],[명칭]]),"-")</f>
        <v>-</v>
      </c>
      <c r="I2258" s="38">
        <f>IFERROR(COUNTIF([1]AdventureDiscoveryGroup!$D$8:$AW$92,표1[[#This Row],[명칭]]),"-")</f>
        <v>0</v>
      </c>
      <c r="J2258" s="38">
        <f>IFERROR(COUNTIF([1]FishDiscoveryGroup!$A:$X,표1[[#This Row],[명칭]]),"-")</f>
        <v>0</v>
      </c>
      <c r="K2258" s="38" t="str">
        <f>IFERROR(COUNTIF([2]Town!$B:$B,표1[[#This Row],[명칭]]),"-")</f>
        <v>-</v>
      </c>
      <c r="L2258" s="38">
        <f>IFERROR(COUNTIF([1]Village!$BR:$BR,표1[[#This Row],[명칭]]),"-")</f>
        <v>0</v>
      </c>
      <c r="M2258" s="38">
        <f>COUNTIF(퀘스트!B:B,표1[[#This Row],[명칭]])</f>
        <v>0</v>
      </c>
      <c r="N2258" s="65">
        <f>COUNTIF([1]VillageDiscoveryGroup!$C:$C,표1[[#This Row],[명칭]])</f>
        <v>0</v>
      </c>
      <c r="O2258" s="65">
        <f>SUM(표1[[#This Row],[해양탐색]:[마을탐험]])</f>
        <v>0</v>
      </c>
    </row>
    <row r="2259" spans="2:15" ht="13.5" customHeight="1" x14ac:dyDescent="0.3">
      <c r="B2259" s="9">
        <f>[1]Discovery!A2265</f>
        <v>70413475</v>
      </c>
      <c r="C2259" s="9" t="str">
        <f>[1]Discovery!B2265</f>
        <v>버드 산</v>
      </c>
      <c r="D2259" s="9" t="str">
        <f>[1]Discovery!E2265</f>
        <v>자연</v>
      </c>
      <c r="E2259" s="9" t="str">
        <f>[1]Discovery!C2265</f>
        <v>지리</v>
      </c>
      <c r="F2259" s="9" t="str">
        <f>[1]Discovery!G2265</f>
        <v>A</v>
      </c>
      <c r="G2259" s="9" t="str">
        <f>IFERROR(VLOOKUP(표1[[#This Row],[명칭]],'문화권 정리'!C:D,2,FALSE),"-")</f>
        <v>극지방</v>
      </c>
      <c r="H2259" s="38" t="str">
        <f>IFERROR(COUNTIF([2]OceanDoodad!$Y:$Y,표1[[#This Row],[명칭]]),"-")</f>
        <v>-</v>
      </c>
      <c r="I2259" s="38">
        <f>IFERROR(COUNTIF([1]AdventureDiscoveryGroup!$D$8:$AW$92,표1[[#This Row],[명칭]]),"-")</f>
        <v>0</v>
      </c>
      <c r="J2259" s="38">
        <f>IFERROR(COUNTIF([1]FishDiscoveryGroup!$A:$X,표1[[#This Row],[명칭]]),"-")</f>
        <v>0</v>
      </c>
      <c r="K2259" s="38" t="str">
        <f>IFERROR(COUNTIF([2]Town!$B:$B,표1[[#This Row],[명칭]]),"-")</f>
        <v>-</v>
      </c>
      <c r="L2259" s="38">
        <f>IFERROR(COUNTIF([1]Village!$BR:$BR,표1[[#This Row],[명칭]]),"-")</f>
        <v>0</v>
      </c>
      <c r="M2259" s="38">
        <f>COUNTIF(퀘스트!B:B,표1[[#This Row],[명칭]])</f>
        <v>0</v>
      </c>
      <c r="N2259" s="65">
        <f>COUNTIF([1]VillageDiscoveryGroup!$C:$C,표1[[#This Row],[명칭]])</f>
        <v>0</v>
      </c>
      <c r="O2259" s="65">
        <f>SUM(표1[[#This Row],[해양탐색]:[마을탐험]])</f>
        <v>0</v>
      </c>
    </row>
    <row r="2260" spans="2:15" ht="13.5" customHeight="1" x14ac:dyDescent="0.3">
      <c r="B2260" s="9">
        <f>[1]Discovery!A2266</f>
        <v>70413476</v>
      </c>
      <c r="C2260" s="9" t="str">
        <f>[1]Discovery!B2266</f>
        <v>빈슨 산괴</v>
      </c>
      <c r="D2260" s="9" t="str">
        <f>[1]Discovery!E2266</f>
        <v>자연</v>
      </c>
      <c r="E2260" s="9" t="str">
        <f>[1]Discovery!C2266</f>
        <v>지리</v>
      </c>
      <c r="F2260" s="9" t="str">
        <f>[1]Discovery!G2266</f>
        <v>B</v>
      </c>
      <c r="G2260" s="9" t="str">
        <f>IFERROR(VLOOKUP(표1[[#This Row],[명칭]],'문화권 정리'!C:D,2,FALSE),"-")</f>
        <v>극지방</v>
      </c>
      <c r="H2260" s="38" t="str">
        <f>IFERROR(COUNTIF([2]OceanDoodad!$Y:$Y,표1[[#This Row],[명칭]]),"-")</f>
        <v>-</v>
      </c>
      <c r="I2260" s="38">
        <f>IFERROR(COUNTIF([1]AdventureDiscoveryGroup!$D$8:$AW$92,표1[[#This Row],[명칭]]),"-")</f>
        <v>0</v>
      </c>
      <c r="J2260" s="38">
        <f>IFERROR(COUNTIF([1]FishDiscoveryGroup!$A:$X,표1[[#This Row],[명칭]]),"-")</f>
        <v>0</v>
      </c>
      <c r="K2260" s="38" t="str">
        <f>IFERROR(COUNTIF([2]Town!$B:$B,표1[[#This Row],[명칭]]),"-")</f>
        <v>-</v>
      </c>
      <c r="L2260" s="38">
        <f>IFERROR(COUNTIF([1]Village!$BR:$BR,표1[[#This Row],[명칭]]),"-")</f>
        <v>0</v>
      </c>
      <c r="M2260" s="38">
        <f>COUNTIF(퀘스트!B:B,표1[[#This Row],[명칭]])</f>
        <v>0</v>
      </c>
      <c r="N2260" s="65">
        <f>COUNTIF([1]VillageDiscoveryGroup!$C:$C,표1[[#This Row],[명칭]])</f>
        <v>0</v>
      </c>
      <c r="O2260" s="65">
        <f>SUM(표1[[#This Row],[해양탐색]:[마을탐험]])</f>
        <v>0</v>
      </c>
    </row>
    <row r="2261" spans="2:15" ht="13.5" customHeight="1" x14ac:dyDescent="0.3">
      <c r="B2261" s="9">
        <f>[1]Discovery!A2267</f>
        <v>70413477</v>
      </c>
      <c r="C2261" s="9" t="str">
        <f>[1]Discovery!B2267</f>
        <v>멜버른 산</v>
      </c>
      <c r="D2261" s="9" t="str">
        <f>[1]Discovery!E2267</f>
        <v>자연</v>
      </c>
      <c r="E2261" s="9" t="str">
        <f>[1]Discovery!C2267</f>
        <v>지리</v>
      </c>
      <c r="F2261" s="9" t="str">
        <f>[1]Discovery!G2267</f>
        <v>B</v>
      </c>
      <c r="G2261" s="9" t="str">
        <f>IFERROR(VLOOKUP(표1[[#This Row],[명칭]],'문화권 정리'!C:D,2,FALSE),"-")</f>
        <v>극지방</v>
      </c>
      <c r="H2261" s="38" t="str">
        <f>IFERROR(COUNTIF([2]OceanDoodad!$Y:$Y,표1[[#This Row],[명칭]]),"-")</f>
        <v>-</v>
      </c>
      <c r="I2261" s="38">
        <f>IFERROR(COUNTIF([1]AdventureDiscoveryGroup!$D$8:$AW$92,표1[[#This Row],[명칭]]),"-")</f>
        <v>0</v>
      </c>
      <c r="J2261" s="38">
        <f>IFERROR(COUNTIF([1]FishDiscoveryGroup!$A:$X,표1[[#This Row],[명칭]]),"-")</f>
        <v>0</v>
      </c>
      <c r="K2261" s="38" t="str">
        <f>IFERROR(COUNTIF([2]Town!$B:$B,표1[[#This Row],[명칭]]),"-")</f>
        <v>-</v>
      </c>
      <c r="L2261" s="38">
        <f>IFERROR(COUNTIF([1]Village!$BR:$BR,표1[[#This Row],[명칭]]),"-")</f>
        <v>0</v>
      </c>
      <c r="M2261" s="38">
        <f>COUNTIF(퀘스트!B:B,표1[[#This Row],[명칭]])</f>
        <v>0</v>
      </c>
      <c r="N2261" s="65">
        <f>COUNTIF([1]VillageDiscoveryGroup!$C:$C,표1[[#This Row],[명칭]])</f>
        <v>0</v>
      </c>
      <c r="O2261" s="65">
        <f>SUM(표1[[#This Row],[해양탐색]:[마을탐험]])</f>
        <v>0</v>
      </c>
    </row>
    <row r="2262" spans="2:15" ht="13.5" customHeight="1" x14ac:dyDescent="0.3">
      <c r="B2262" s="9">
        <f>[1]Discovery!A2268</f>
        <v>70413478</v>
      </c>
      <c r="C2262" s="9" t="str">
        <f>[1]Discovery!B2268</f>
        <v>시들리 산</v>
      </c>
      <c r="D2262" s="9" t="str">
        <f>[1]Discovery!E2268</f>
        <v>자연</v>
      </c>
      <c r="E2262" s="9" t="str">
        <f>[1]Discovery!C2268</f>
        <v>지리</v>
      </c>
      <c r="F2262" s="9" t="str">
        <f>[1]Discovery!G2268</f>
        <v>A</v>
      </c>
      <c r="G2262" s="9" t="str">
        <f>IFERROR(VLOOKUP(표1[[#This Row],[명칭]],'문화권 정리'!C:D,2,FALSE),"-")</f>
        <v>극지방</v>
      </c>
      <c r="H2262" s="38" t="str">
        <f>IFERROR(COUNTIF([2]OceanDoodad!$Y:$Y,표1[[#This Row],[명칭]]),"-")</f>
        <v>-</v>
      </c>
      <c r="I2262" s="38">
        <f>IFERROR(COUNTIF([1]AdventureDiscoveryGroup!$D$8:$AW$92,표1[[#This Row],[명칭]]),"-")</f>
        <v>0</v>
      </c>
      <c r="J2262" s="38">
        <f>IFERROR(COUNTIF([1]FishDiscoveryGroup!$A:$X,표1[[#This Row],[명칭]]),"-")</f>
        <v>0</v>
      </c>
      <c r="K2262" s="38" t="str">
        <f>IFERROR(COUNTIF([2]Town!$B:$B,표1[[#This Row],[명칭]]),"-")</f>
        <v>-</v>
      </c>
      <c r="L2262" s="38">
        <f>IFERROR(COUNTIF([1]Village!$BR:$BR,표1[[#This Row],[명칭]]),"-")</f>
        <v>0</v>
      </c>
      <c r="M2262" s="38">
        <f>COUNTIF(퀘스트!B:B,표1[[#This Row],[명칭]])</f>
        <v>0</v>
      </c>
      <c r="N2262" s="65">
        <f>COUNTIF([1]VillageDiscoveryGroup!$C:$C,표1[[#This Row],[명칭]])</f>
        <v>0</v>
      </c>
      <c r="O2262" s="65">
        <f>SUM(표1[[#This Row],[해양탐색]:[마을탐험]])</f>
        <v>0</v>
      </c>
    </row>
    <row r="2263" spans="2:15" ht="13.5" customHeight="1" x14ac:dyDescent="0.3">
      <c r="B2263" s="9">
        <f>[1]Discovery!A2269</f>
        <v>70413479</v>
      </c>
      <c r="C2263" s="9" t="str">
        <f>[1]Discovery!B2269</f>
        <v>맥머도 만</v>
      </c>
      <c r="D2263" s="9" t="str">
        <f>[1]Discovery!E2269</f>
        <v>자연</v>
      </c>
      <c r="E2263" s="9" t="str">
        <f>[1]Discovery!C2269</f>
        <v>지리</v>
      </c>
      <c r="F2263" s="9" t="str">
        <f>[1]Discovery!G2269</f>
        <v>B</v>
      </c>
      <c r="G2263" s="9" t="str">
        <f>IFERROR(VLOOKUP(표1[[#This Row],[명칭]],'문화권 정리'!C:D,2,FALSE),"-")</f>
        <v>극지방</v>
      </c>
      <c r="H2263" s="38" t="str">
        <f>IFERROR(COUNTIF([2]OceanDoodad!$Y:$Y,표1[[#This Row],[명칭]]),"-")</f>
        <v>-</v>
      </c>
      <c r="I2263" s="38">
        <f>IFERROR(COUNTIF([1]AdventureDiscoveryGroup!$D$8:$AW$92,표1[[#This Row],[명칭]]),"-")</f>
        <v>0</v>
      </c>
      <c r="J2263" s="38">
        <f>IFERROR(COUNTIF([1]FishDiscoveryGroup!$A:$X,표1[[#This Row],[명칭]]),"-")</f>
        <v>0</v>
      </c>
      <c r="K2263" s="38" t="str">
        <f>IFERROR(COUNTIF([2]Town!$B:$B,표1[[#This Row],[명칭]]),"-")</f>
        <v>-</v>
      </c>
      <c r="L2263" s="38">
        <f>IFERROR(COUNTIF([1]Village!$BR:$BR,표1[[#This Row],[명칭]]),"-")</f>
        <v>0</v>
      </c>
      <c r="M2263" s="38">
        <f>COUNTIF(퀘스트!B:B,표1[[#This Row],[명칭]])</f>
        <v>0</v>
      </c>
      <c r="N2263" s="65">
        <f>COUNTIF([1]VillageDiscoveryGroup!$C:$C,표1[[#This Row],[명칭]])</f>
        <v>0</v>
      </c>
      <c r="O2263" s="65">
        <f>SUM(표1[[#This Row],[해양탐색]:[마을탐험]])</f>
        <v>0</v>
      </c>
    </row>
    <row r="2264" spans="2:15" ht="13.5" customHeight="1" x14ac:dyDescent="0.3">
      <c r="B2264" s="9">
        <f>[1]Discovery!A2270</f>
        <v>70413480</v>
      </c>
      <c r="C2264" s="9" t="str">
        <f>[1]Discovery!B2270</f>
        <v>마거리트 만</v>
      </c>
      <c r="D2264" s="9" t="str">
        <f>[1]Discovery!E2270</f>
        <v>자연</v>
      </c>
      <c r="E2264" s="9" t="str">
        <f>[1]Discovery!C2270</f>
        <v>지리</v>
      </c>
      <c r="F2264" s="9" t="str">
        <f>[1]Discovery!G2270</f>
        <v>C</v>
      </c>
      <c r="G2264" s="9" t="str">
        <f>IFERROR(VLOOKUP(표1[[#This Row],[명칭]],'문화권 정리'!C:D,2,FALSE),"-")</f>
        <v>극지방</v>
      </c>
      <c r="H2264" s="38" t="str">
        <f>IFERROR(COUNTIF([2]OceanDoodad!$Y:$Y,표1[[#This Row],[명칭]]),"-")</f>
        <v>-</v>
      </c>
      <c r="I2264" s="38">
        <f>IFERROR(COUNTIF([1]AdventureDiscoveryGroup!$D$8:$AW$92,표1[[#This Row],[명칭]]),"-")</f>
        <v>0</v>
      </c>
      <c r="J2264" s="38">
        <f>IFERROR(COUNTIF([1]FishDiscoveryGroup!$A:$X,표1[[#This Row],[명칭]]),"-")</f>
        <v>0</v>
      </c>
      <c r="K2264" s="38" t="str">
        <f>IFERROR(COUNTIF([2]Town!$B:$B,표1[[#This Row],[명칭]]),"-")</f>
        <v>-</v>
      </c>
      <c r="L2264" s="38">
        <f>IFERROR(COUNTIF([1]Village!$BR:$BR,표1[[#This Row],[명칭]]),"-")</f>
        <v>0</v>
      </c>
      <c r="M2264" s="38">
        <f>COUNTIF(퀘스트!B:B,표1[[#This Row],[명칭]])</f>
        <v>0</v>
      </c>
      <c r="N2264" s="65">
        <f>COUNTIF([1]VillageDiscoveryGroup!$C:$C,표1[[#This Row],[명칭]])</f>
        <v>0</v>
      </c>
      <c r="O2264" s="65">
        <f>SUM(표1[[#This Row],[해양탐색]:[마을탐험]])</f>
        <v>0</v>
      </c>
    </row>
    <row r="2265" spans="2:15" ht="13.5" customHeight="1" x14ac:dyDescent="0.3">
      <c r="B2265" s="9">
        <f>[1]Discovery!A2271</f>
        <v>70413481</v>
      </c>
      <c r="C2265" s="9" t="str">
        <f>[1]Discovery!B2271</f>
        <v>고래 만</v>
      </c>
      <c r="D2265" s="9" t="str">
        <f>[1]Discovery!E2271</f>
        <v>자연</v>
      </c>
      <c r="E2265" s="9" t="str">
        <f>[1]Discovery!C2271</f>
        <v>지리</v>
      </c>
      <c r="F2265" s="9" t="str">
        <f>[1]Discovery!G2271</f>
        <v>B</v>
      </c>
      <c r="G2265" s="9" t="str">
        <f>IFERROR(VLOOKUP(표1[[#This Row],[명칭]],'문화권 정리'!C:D,2,FALSE),"-")</f>
        <v>극지방</v>
      </c>
      <c r="H2265" s="38" t="str">
        <f>IFERROR(COUNTIF([2]OceanDoodad!$Y:$Y,표1[[#This Row],[명칭]]),"-")</f>
        <v>-</v>
      </c>
      <c r="I2265" s="38">
        <f>IFERROR(COUNTIF([1]AdventureDiscoveryGroup!$D$8:$AW$92,표1[[#This Row],[명칭]]),"-")</f>
        <v>0</v>
      </c>
      <c r="J2265" s="38">
        <f>IFERROR(COUNTIF([1]FishDiscoveryGroup!$A:$X,표1[[#This Row],[명칭]]),"-")</f>
        <v>0</v>
      </c>
      <c r="K2265" s="38" t="str">
        <f>IFERROR(COUNTIF([2]Town!$B:$B,표1[[#This Row],[명칭]]),"-")</f>
        <v>-</v>
      </c>
      <c r="L2265" s="38">
        <f>IFERROR(COUNTIF([1]Village!$BR:$BR,표1[[#This Row],[명칭]]),"-")</f>
        <v>0</v>
      </c>
      <c r="M2265" s="38">
        <f>COUNTIF(퀘스트!B:B,표1[[#This Row],[명칭]])</f>
        <v>0</v>
      </c>
      <c r="N2265" s="65">
        <f>COUNTIF([1]VillageDiscoveryGroup!$C:$C,표1[[#This Row],[명칭]])</f>
        <v>0</v>
      </c>
      <c r="O2265" s="65">
        <f>SUM(표1[[#This Row],[해양탐색]:[마을탐험]])</f>
        <v>0</v>
      </c>
    </row>
    <row r="2266" spans="2:15" ht="13.5" customHeight="1" x14ac:dyDescent="0.3">
      <c r="B2266" s="9">
        <f>[1]Discovery!A2272</f>
        <v>70413482</v>
      </c>
      <c r="C2266" s="9" t="str">
        <f>[1]Discovery!B2272</f>
        <v>신비한 장벽</v>
      </c>
      <c r="D2266" s="9" t="str">
        <f>[1]Discovery!E2272</f>
        <v>자연</v>
      </c>
      <c r="E2266" s="9" t="str">
        <f>[1]Discovery!C2272</f>
        <v>지리</v>
      </c>
      <c r="F2266" s="9" t="str">
        <f>[1]Discovery!G2272</f>
        <v>S</v>
      </c>
      <c r="G2266" s="9" t="str">
        <f>IFERROR(VLOOKUP(표1[[#This Row],[명칭]],'문화권 정리'!C:D,2,FALSE),"-")</f>
        <v>극지방</v>
      </c>
      <c r="H2266" s="38" t="str">
        <f>IFERROR(COUNTIF([2]OceanDoodad!$Y:$Y,표1[[#This Row],[명칭]]),"-")</f>
        <v>-</v>
      </c>
      <c r="I2266" s="38">
        <f>IFERROR(COUNTIF([1]AdventureDiscoveryGroup!$D$8:$AW$92,표1[[#This Row],[명칭]]),"-")</f>
        <v>0</v>
      </c>
      <c r="J2266" s="38">
        <f>IFERROR(COUNTIF([1]FishDiscoveryGroup!$A:$X,표1[[#This Row],[명칭]]),"-")</f>
        <v>0</v>
      </c>
      <c r="K2266" s="38" t="str">
        <f>IFERROR(COUNTIF([2]Town!$B:$B,표1[[#This Row],[명칭]]),"-")</f>
        <v>-</v>
      </c>
      <c r="L2266" s="38">
        <f>IFERROR(COUNTIF([1]Village!$BR:$BR,표1[[#This Row],[명칭]]),"-")</f>
        <v>0</v>
      </c>
      <c r="M2266" s="38">
        <f>COUNTIF(퀘스트!B:B,표1[[#This Row],[명칭]])</f>
        <v>0</v>
      </c>
      <c r="N2266" s="65">
        <f>COUNTIF([1]VillageDiscoveryGroup!$C:$C,표1[[#This Row],[명칭]])</f>
        <v>0</v>
      </c>
      <c r="O2266" s="65">
        <f>SUM(표1[[#This Row],[해양탐색]:[마을탐험]])</f>
        <v>0</v>
      </c>
    </row>
    <row r="2267" spans="2:15" ht="13.5" customHeight="1" x14ac:dyDescent="0.3">
      <c r="B2267" s="9">
        <f>[1]Discovery!A2273</f>
        <v>70413483</v>
      </c>
      <c r="C2267" s="9" t="str">
        <f>[1]Discovery!B2273</f>
        <v>블러드 폭포</v>
      </c>
      <c r="D2267" s="9" t="str">
        <f>[1]Discovery!E2273</f>
        <v>자연</v>
      </c>
      <c r="E2267" s="9" t="str">
        <f>[1]Discovery!C2273</f>
        <v>지리</v>
      </c>
      <c r="F2267" s="9" t="str">
        <f>[1]Discovery!G2273</f>
        <v>A</v>
      </c>
      <c r="G2267" s="9" t="str">
        <f>IFERROR(VLOOKUP(표1[[#This Row],[명칭]],'문화권 정리'!C:D,2,FALSE),"-")</f>
        <v>극지방</v>
      </c>
      <c r="H2267" s="38" t="str">
        <f>IFERROR(COUNTIF([2]OceanDoodad!$Y:$Y,표1[[#This Row],[명칭]]),"-")</f>
        <v>-</v>
      </c>
      <c r="I2267" s="38">
        <f>IFERROR(COUNTIF([1]AdventureDiscoveryGroup!$D$8:$AW$92,표1[[#This Row],[명칭]]),"-")</f>
        <v>0</v>
      </c>
      <c r="J2267" s="38">
        <f>IFERROR(COUNTIF([1]FishDiscoveryGroup!$A:$X,표1[[#This Row],[명칭]]),"-")</f>
        <v>0</v>
      </c>
      <c r="K2267" s="38" t="str">
        <f>IFERROR(COUNTIF([2]Town!$B:$B,표1[[#This Row],[명칭]]),"-")</f>
        <v>-</v>
      </c>
      <c r="L2267" s="38">
        <f>IFERROR(COUNTIF([1]Village!$BR:$BR,표1[[#This Row],[명칭]]),"-")</f>
        <v>0</v>
      </c>
      <c r="M2267" s="38">
        <f>COUNTIF(퀘스트!B:B,표1[[#This Row],[명칭]])</f>
        <v>0</v>
      </c>
      <c r="N2267" s="65">
        <f>COUNTIF([1]VillageDiscoveryGroup!$C:$C,표1[[#This Row],[명칭]])</f>
        <v>0</v>
      </c>
      <c r="O2267" s="65">
        <f>SUM(표1[[#This Row],[해양탐색]:[마을탐험]])</f>
        <v>0</v>
      </c>
    </row>
    <row r="2268" spans="2:15" ht="13.5" customHeight="1" x14ac:dyDescent="0.3">
      <c r="B2268" s="9">
        <f>[1]Discovery!A2274</f>
        <v>70413484</v>
      </c>
      <c r="C2268" s="9" t="str">
        <f>[1]Discovery!B2274</f>
        <v>녹색 빙산</v>
      </c>
      <c r="D2268" s="9" t="str">
        <f>[1]Discovery!E2274</f>
        <v>자연</v>
      </c>
      <c r="E2268" s="9" t="str">
        <f>[1]Discovery!C2274</f>
        <v>지리</v>
      </c>
      <c r="F2268" s="9" t="str">
        <f>[1]Discovery!G2274</f>
        <v>B</v>
      </c>
      <c r="G2268" s="9" t="str">
        <f>IFERROR(VLOOKUP(표1[[#This Row],[명칭]],'문화권 정리'!C:D,2,FALSE),"-")</f>
        <v>극지방</v>
      </c>
      <c r="H2268" s="38" t="str">
        <f>IFERROR(COUNTIF([2]OceanDoodad!$Y:$Y,표1[[#This Row],[명칭]]),"-")</f>
        <v>-</v>
      </c>
      <c r="I2268" s="38">
        <f>IFERROR(COUNTIF([1]AdventureDiscoveryGroup!$D$8:$AW$92,표1[[#This Row],[명칭]]),"-")</f>
        <v>0</v>
      </c>
      <c r="J2268" s="38">
        <f>IFERROR(COUNTIF([1]FishDiscoveryGroup!$A:$X,표1[[#This Row],[명칭]]),"-")</f>
        <v>0</v>
      </c>
      <c r="K2268" s="38" t="str">
        <f>IFERROR(COUNTIF([2]Town!$B:$B,표1[[#This Row],[명칭]]),"-")</f>
        <v>-</v>
      </c>
      <c r="L2268" s="38">
        <f>IFERROR(COUNTIF([1]Village!$BR:$BR,표1[[#This Row],[명칭]]),"-")</f>
        <v>0</v>
      </c>
      <c r="M2268" s="38">
        <f>COUNTIF(퀘스트!B:B,표1[[#This Row],[명칭]])</f>
        <v>0</v>
      </c>
      <c r="N2268" s="65">
        <f>COUNTIF([1]VillageDiscoveryGroup!$C:$C,표1[[#This Row],[명칭]])</f>
        <v>0</v>
      </c>
      <c r="O2268" s="65">
        <f>SUM(표1[[#This Row],[해양탐색]:[마을탐험]])</f>
        <v>0</v>
      </c>
    </row>
    <row r="2269" spans="2:15" ht="13.5" customHeight="1" x14ac:dyDescent="0.3">
      <c r="B2269" s="9">
        <f>[1]Discovery!A2275</f>
        <v>70413485</v>
      </c>
      <c r="C2269" s="9" t="str">
        <f>[1]Discovery!B2275</f>
        <v>킹 조지섬</v>
      </c>
      <c r="D2269" s="9" t="str">
        <f>[1]Discovery!E2275</f>
        <v>자연</v>
      </c>
      <c r="E2269" s="9" t="str">
        <f>[1]Discovery!C2275</f>
        <v>지리</v>
      </c>
      <c r="F2269" s="9" t="str">
        <f>[1]Discovery!G2275</f>
        <v>A</v>
      </c>
      <c r="G2269" s="9" t="str">
        <f>IFERROR(VLOOKUP(표1[[#This Row],[명칭]],'문화권 정리'!C:D,2,FALSE),"-")</f>
        <v>극지방</v>
      </c>
      <c r="H2269" s="38" t="str">
        <f>IFERROR(COUNTIF([2]OceanDoodad!$Y:$Y,표1[[#This Row],[명칭]]),"-")</f>
        <v>-</v>
      </c>
      <c r="I2269" s="38">
        <f>IFERROR(COUNTIF([1]AdventureDiscoveryGroup!$D$8:$AW$92,표1[[#This Row],[명칭]]),"-")</f>
        <v>0</v>
      </c>
      <c r="J2269" s="38">
        <f>IFERROR(COUNTIF([1]FishDiscoveryGroup!$A:$X,표1[[#This Row],[명칭]]),"-")</f>
        <v>0</v>
      </c>
      <c r="K2269" s="38" t="str">
        <f>IFERROR(COUNTIF([2]Town!$B:$B,표1[[#This Row],[명칭]]),"-")</f>
        <v>-</v>
      </c>
      <c r="L2269" s="38">
        <f>IFERROR(COUNTIF([1]Village!$BR:$BR,표1[[#This Row],[명칭]]),"-")</f>
        <v>0</v>
      </c>
      <c r="M2269" s="38">
        <f>COUNTIF(퀘스트!B:B,표1[[#This Row],[명칭]])</f>
        <v>0</v>
      </c>
      <c r="N2269" s="65">
        <f>COUNTIF([1]VillageDiscoveryGroup!$C:$C,표1[[#This Row],[명칭]])</f>
        <v>0</v>
      </c>
      <c r="O2269" s="65">
        <f>SUM(표1[[#This Row],[해양탐색]:[마을탐험]])</f>
        <v>0</v>
      </c>
    </row>
    <row r="2270" spans="2:15" ht="13.5" customHeight="1" x14ac:dyDescent="0.3">
      <c r="B2270" s="9">
        <f>[1]Discovery!A2276</f>
        <v>70413486</v>
      </c>
      <c r="C2270" s="9" t="str">
        <f>[1]Discovery!B2276</f>
        <v>페테르 1세 섬</v>
      </c>
      <c r="D2270" s="9" t="str">
        <f>[1]Discovery!E2276</f>
        <v>자연</v>
      </c>
      <c r="E2270" s="9" t="str">
        <f>[1]Discovery!C2276</f>
        <v>지리</v>
      </c>
      <c r="F2270" s="9" t="str">
        <f>[1]Discovery!G2276</f>
        <v>B</v>
      </c>
      <c r="G2270" s="9" t="str">
        <f>IFERROR(VLOOKUP(표1[[#This Row],[명칭]],'문화권 정리'!C:D,2,FALSE),"-")</f>
        <v>극지방</v>
      </c>
      <c r="H2270" s="38" t="str">
        <f>IFERROR(COUNTIF([2]OceanDoodad!$Y:$Y,표1[[#This Row],[명칭]]),"-")</f>
        <v>-</v>
      </c>
      <c r="I2270" s="38">
        <f>IFERROR(COUNTIF([1]AdventureDiscoveryGroup!$D$8:$AW$92,표1[[#This Row],[명칭]]),"-")</f>
        <v>0</v>
      </c>
      <c r="J2270" s="38">
        <f>IFERROR(COUNTIF([1]FishDiscoveryGroup!$A:$X,표1[[#This Row],[명칭]]),"-")</f>
        <v>0</v>
      </c>
      <c r="K2270" s="38" t="str">
        <f>IFERROR(COUNTIF([2]Town!$B:$B,표1[[#This Row],[명칭]]),"-")</f>
        <v>-</v>
      </c>
      <c r="L2270" s="38">
        <f>IFERROR(COUNTIF([1]Village!$BR:$BR,표1[[#This Row],[명칭]]),"-")</f>
        <v>0</v>
      </c>
      <c r="M2270" s="38">
        <f>COUNTIF(퀘스트!B:B,표1[[#This Row],[명칭]])</f>
        <v>0</v>
      </c>
      <c r="N2270" s="65">
        <f>COUNTIF([1]VillageDiscoveryGroup!$C:$C,표1[[#This Row],[명칭]])</f>
        <v>0</v>
      </c>
      <c r="O2270" s="65">
        <f>SUM(표1[[#This Row],[해양탐색]:[마을탐험]])</f>
        <v>0</v>
      </c>
    </row>
    <row r="2271" spans="2:15" ht="13.5" customHeight="1" x14ac:dyDescent="0.3">
      <c r="B2271" s="9">
        <f>[1]Discovery!A2277</f>
        <v>70413487</v>
      </c>
      <c r="C2271" s="9" t="str">
        <f>[1]Discovery!B2277</f>
        <v>사우스셰틀랜드 제도</v>
      </c>
      <c r="D2271" s="9" t="str">
        <f>[1]Discovery!E2277</f>
        <v>자연</v>
      </c>
      <c r="E2271" s="9" t="str">
        <f>[1]Discovery!C2277</f>
        <v>지리</v>
      </c>
      <c r="F2271" s="9" t="str">
        <f>[1]Discovery!G2277</f>
        <v>B</v>
      </c>
      <c r="G2271" s="9" t="str">
        <f>IFERROR(VLOOKUP(표1[[#This Row],[명칭]],'문화권 정리'!C:D,2,FALSE),"-")</f>
        <v>극지방</v>
      </c>
      <c r="H2271" s="38" t="str">
        <f>IFERROR(COUNTIF([2]OceanDoodad!$Y:$Y,표1[[#This Row],[명칭]]),"-")</f>
        <v>-</v>
      </c>
      <c r="I2271" s="38">
        <f>IFERROR(COUNTIF([1]AdventureDiscoveryGroup!$D$8:$AW$92,표1[[#This Row],[명칭]]),"-")</f>
        <v>0</v>
      </c>
      <c r="J2271" s="38">
        <f>IFERROR(COUNTIF([1]FishDiscoveryGroup!$A:$X,표1[[#This Row],[명칭]]),"-")</f>
        <v>0</v>
      </c>
      <c r="K2271" s="38" t="str">
        <f>IFERROR(COUNTIF([2]Town!$B:$B,표1[[#This Row],[명칭]]),"-")</f>
        <v>-</v>
      </c>
      <c r="L2271" s="38">
        <f>IFERROR(COUNTIF([1]Village!$BR:$BR,표1[[#This Row],[명칭]]),"-")</f>
        <v>0</v>
      </c>
      <c r="M2271" s="38">
        <f>COUNTIF(퀘스트!B:B,표1[[#This Row],[명칭]])</f>
        <v>0</v>
      </c>
      <c r="N2271" s="65">
        <f>COUNTIF([1]VillageDiscoveryGroup!$C:$C,표1[[#This Row],[명칭]])</f>
        <v>0</v>
      </c>
      <c r="O2271" s="65">
        <f>SUM(표1[[#This Row],[해양탐색]:[마을탐험]])</f>
        <v>0</v>
      </c>
    </row>
    <row r="2272" spans="2:15" ht="13.5" customHeight="1" x14ac:dyDescent="0.3">
      <c r="B2272" s="9">
        <f>[1]Discovery!A2278</f>
        <v>70413488</v>
      </c>
      <c r="C2272" s="9" t="str">
        <f>[1]Discovery!B2278</f>
        <v>로스 섬</v>
      </c>
      <c r="D2272" s="9" t="str">
        <f>[1]Discovery!E2278</f>
        <v>자연</v>
      </c>
      <c r="E2272" s="9" t="str">
        <f>[1]Discovery!C2278</f>
        <v>지리</v>
      </c>
      <c r="F2272" s="9" t="str">
        <f>[1]Discovery!G2278</f>
        <v>A</v>
      </c>
      <c r="G2272" s="9" t="str">
        <f>IFERROR(VLOOKUP(표1[[#This Row],[명칭]],'문화권 정리'!C:D,2,FALSE),"-")</f>
        <v>극지방</v>
      </c>
      <c r="H2272" s="38" t="str">
        <f>IFERROR(COUNTIF([2]OceanDoodad!$Y:$Y,표1[[#This Row],[명칭]]),"-")</f>
        <v>-</v>
      </c>
      <c r="I2272" s="38">
        <f>IFERROR(COUNTIF([1]AdventureDiscoveryGroup!$D$8:$AW$92,표1[[#This Row],[명칭]]),"-")</f>
        <v>0</v>
      </c>
      <c r="J2272" s="38">
        <f>IFERROR(COUNTIF([1]FishDiscoveryGroup!$A:$X,표1[[#This Row],[명칭]]),"-")</f>
        <v>0</v>
      </c>
      <c r="K2272" s="38" t="str">
        <f>IFERROR(COUNTIF([2]Town!$B:$B,표1[[#This Row],[명칭]]),"-")</f>
        <v>-</v>
      </c>
      <c r="L2272" s="38">
        <f>IFERROR(COUNTIF([1]Village!$BR:$BR,표1[[#This Row],[명칭]]),"-")</f>
        <v>0</v>
      </c>
      <c r="M2272" s="38">
        <f>COUNTIF(퀘스트!B:B,표1[[#This Row],[명칭]])</f>
        <v>0</v>
      </c>
      <c r="N2272" s="65">
        <f>COUNTIF([1]VillageDiscoveryGroup!$C:$C,표1[[#This Row],[명칭]])</f>
        <v>0</v>
      </c>
      <c r="O2272" s="65">
        <f>SUM(표1[[#This Row],[해양탐색]:[마을탐험]])</f>
        <v>0</v>
      </c>
    </row>
    <row r="2273" spans="2:15" ht="13.5" customHeight="1" x14ac:dyDescent="0.3">
      <c r="B2273" s="9">
        <f>[1]Discovery!A2279</f>
        <v>70413489</v>
      </c>
      <c r="C2273" s="9" t="str">
        <f>[1]Discovery!B2279</f>
        <v>알렉산더 섬</v>
      </c>
      <c r="D2273" s="9" t="str">
        <f>[1]Discovery!E2279</f>
        <v>자연</v>
      </c>
      <c r="E2273" s="9" t="str">
        <f>[1]Discovery!C2279</f>
        <v>지리</v>
      </c>
      <c r="F2273" s="9" t="str">
        <f>[1]Discovery!G2279</f>
        <v>B</v>
      </c>
      <c r="G2273" s="9" t="str">
        <f>IFERROR(VLOOKUP(표1[[#This Row],[명칭]],'문화권 정리'!C:D,2,FALSE),"-")</f>
        <v>극지방</v>
      </c>
      <c r="H2273" s="38" t="str">
        <f>IFERROR(COUNTIF([2]OceanDoodad!$Y:$Y,표1[[#This Row],[명칭]]),"-")</f>
        <v>-</v>
      </c>
      <c r="I2273" s="38">
        <f>IFERROR(COUNTIF([1]AdventureDiscoveryGroup!$D$8:$AW$92,표1[[#This Row],[명칭]]),"-")</f>
        <v>0</v>
      </c>
      <c r="J2273" s="38">
        <f>IFERROR(COUNTIF([1]FishDiscoveryGroup!$A:$X,표1[[#This Row],[명칭]]),"-")</f>
        <v>0</v>
      </c>
      <c r="K2273" s="38" t="str">
        <f>IFERROR(COUNTIF([2]Town!$B:$B,표1[[#This Row],[명칭]]),"-")</f>
        <v>-</v>
      </c>
      <c r="L2273" s="38">
        <f>IFERROR(COUNTIF([1]Village!$BR:$BR,표1[[#This Row],[명칭]]),"-")</f>
        <v>0</v>
      </c>
      <c r="M2273" s="38">
        <f>COUNTIF(퀘스트!B:B,표1[[#This Row],[명칭]])</f>
        <v>0</v>
      </c>
      <c r="N2273" s="65">
        <f>COUNTIF([1]VillageDiscoveryGroup!$C:$C,표1[[#This Row],[명칭]])</f>
        <v>0</v>
      </c>
      <c r="O2273" s="65">
        <f>SUM(표1[[#This Row],[해양탐색]:[마을탐험]])</f>
        <v>0</v>
      </c>
    </row>
    <row r="2274" spans="2:15" ht="13.5" customHeight="1" x14ac:dyDescent="0.3">
      <c r="B2274" s="9">
        <f>[1]Discovery!A2280</f>
        <v>70413490</v>
      </c>
      <c r="C2274" s="9" t="str">
        <f>[1]Discovery!B2280</f>
        <v>디셉션섬</v>
      </c>
      <c r="D2274" s="9" t="str">
        <f>[1]Discovery!E2280</f>
        <v>자연</v>
      </c>
      <c r="E2274" s="9" t="str">
        <f>[1]Discovery!C2280</f>
        <v>지리</v>
      </c>
      <c r="F2274" s="9" t="str">
        <f>[1]Discovery!G2280</f>
        <v>A</v>
      </c>
      <c r="G2274" s="9" t="str">
        <f>IFERROR(VLOOKUP(표1[[#This Row],[명칭]],'문화권 정리'!C:D,2,FALSE),"-")</f>
        <v>극지방</v>
      </c>
      <c r="H2274" s="38" t="str">
        <f>IFERROR(COUNTIF([2]OceanDoodad!$Y:$Y,표1[[#This Row],[명칭]]),"-")</f>
        <v>-</v>
      </c>
      <c r="I2274" s="38">
        <f>IFERROR(COUNTIF([1]AdventureDiscoveryGroup!$D$8:$AW$92,표1[[#This Row],[명칭]]),"-")</f>
        <v>0</v>
      </c>
      <c r="J2274" s="38">
        <f>IFERROR(COUNTIF([1]FishDiscoveryGroup!$A:$X,표1[[#This Row],[명칭]]),"-")</f>
        <v>0</v>
      </c>
      <c r="K2274" s="38" t="str">
        <f>IFERROR(COUNTIF([2]Town!$B:$B,표1[[#This Row],[명칭]]),"-")</f>
        <v>-</v>
      </c>
      <c r="L2274" s="38">
        <f>IFERROR(COUNTIF([1]Village!$BR:$BR,표1[[#This Row],[명칭]]),"-")</f>
        <v>0</v>
      </c>
      <c r="M2274" s="38">
        <f>COUNTIF(퀘스트!B:B,표1[[#This Row],[명칭]])</f>
        <v>0</v>
      </c>
      <c r="N2274" s="65">
        <f>COUNTIF([1]VillageDiscoveryGroup!$C:$C,표1[[#This Row],[명칭]])</f>
        <v>0</v>
      </c>
      <c r="O2274" s="65">
        <f>SUM(표1[[#This Row],[해양탐색]:[마을탐험]])</f>
        <v>0</v>
      </c>
    </row>
    <row r="2275" spans="2:15" ht="13.5" customHeight="1" x14ac:dyDescent="0.3">
      <c r="B2275" s="9">
        <f>[1]Discovery!A2281</f>
        <v>70413491</v>
      </c>
      <c r="C2275" s="9" t="str">
        <f>[1]Discovery!B2281</f>
        <v>버크너섬</v>
      </c>
      <c r="D2275" s="9" t="str">
        <f>[1]Discovery!E2281</f>
        <v>자연</v>
      </c>
      <c r="E2275" s="9" t="str">
        <f>[1]Discovery!C2281</f>
        <v>지리</v>
      </c>
      <c r="F2275" s="9" t="str">
        <f>[1]Discovery!G2281</f>
        <v>B</v>
      </c>
      <c r="G2275" s="9" t="str">
        <f>IFERROR(VLOOKUP(표1[[#This Row],[명칭]],'문화권 정리'!C:D,2,FALSE),"-")</f>
        <v>극지방</v>
      </c>
      <c r="H2275" s="38" t="str">
        <f>IFERROR(COUNTIF([2]OceanDoodad!$Y:$Y,표1[[#This Row],[명칭]]),"-")</f>
        <v>-</v>
      </c>
      <c r="I2275" s="38">
        <f>IFERROR(COUNTIF([1]AdventureDiscoveryGroup!$D$8:$AW$92,표1[[#This Row],[명칭]]),"-")</f>
        <v>0</v>
      </c>
      <c r="J2275" s="38">
        <f>IFERROR(COUNTIF([1]FishDiscoveryGroup!$A:$X,표1[[#This Row],[명칭]]),"-")</f>
        <v>0</v>
      </c>
      <c r="K2275" s="38" t="str">
        <f>IFERROR(COUNTIF([2]Town!$B:$B,표1[[#This Row],[명칭]]),"-")</f>
        <v>-</v>
      </c>
      <c r="L2275" s="38">
        <f>IFERROR(COUNTIF([1]Village!$BR:$BR,표1[[#This Row],[명칭]]),"-")</f>
        <v>0</v>
      </c>
      <c r="M2275" s="38">
        <f>COUNTIF(퀘스트!B:B,표1[[#This Row],[명칭]])</f>
        <v>0</v>
      </c>
      <c r="N2275" s="65">
        <f>COUNTIF([1]VillageDiscoveryGroup!$C:$C,표1[[#This Row],[명칭]])</f>
        <v>0</v>
      </c>
      <c r="O2275" s="65">
        <f>SUM(표1[[#This Row],[해양탐색]:[마을탐험]])</f>
        <v>0</v>
      </c>
    </row>
    <row r="2276" spans="2:15" ht="13.5" customHeight="1" x14ac:dyDescent="0.3">
      <c r="B2276" s="9">
        <f>[1]Discovery!A2282</f>
        <v>70413492</v>
      </c>
      <c r="C2276" s="9" t="str">
        <f>[1]Discovery!B2282</f>
        <v>베어섬</v>
      </c>
      <c r="D2276" s="9" t="str">
        <f>[1]Discovery!E2282</f>
        <v>자연</v>
      </c>
      <c r="E2276" s="9" t="str">
        <f>[1]Discovery!C2282</f>
        <v>지리</v>
      </c>
      <c r="F2276" s="9" t="str">
        <f>[1]Discovery!G2282</f>
        <v>B</v>
      </c>
      <c r="G2276" s="9" t="str">
        <f>IFERROR(VLOOKUP(표1[[#This Row],[명칭]],'문화권 정리'!C:D,2,FALSE),"-")</f>
        <v>극지방</v>
      </c>
      <c r="H2276" s="38" t="str">
        <f>IFERROR(COUNTIF([2]OceanDoodad!$Y:$Y,표1[[#This Row],[명칭]]),"-")</f>
        <v>-</v>
      </c>
      <c r="I2276" s="38">
        <f>IFERROR(COUNTIF([1]AdventureDiscoveryGroup!$D$8:$AW$92,표1[[#This Row],[명칭]]),"-")</f>
        <v>0</v>
      </c>
      <c r="J2276" s="38">
        <f>IFERROR(COUNTIF([1]FishDiscoveryGroup!$A:$X,표1[[#This Row],[명칭]]),"-")</f>
        <v>0</v>
      </c>
      <c r="K2276" s="38" t="str">
        <f>IFERROR(COUNTIF([2]Town!$B:$B,표1[[#This Row],[명칭]]),"-")</f>
        <v>-</v>
      </c>
      <c r="L2276" s="38">
        <f>IFERROR(COUNTIF([1]Village!$BR:$BR,표1[[#This Row],[명칭]]),"-")</f>
        <v>0</v>
      </c>
      <c r="M2276" s="38">
        <f>COUNTIF(퀘스트!B:B,표1[[#This Row],[명칭]])</f>
        <v>0</v>
      </c>
      <c r="N2276" s="65">
        <f>COUNTIF([1]VillageDiscoveryGroup!$C:$C,표1[[#This Row],[명칭]])</f>
        <v>0</v>
      </c>
      <c r="O2276" s="65">
        <f>SUM(표1[[#This Row],[해양탐색]:[마을탐험]])</f>
        <v>0</v>
      </c>
    </row>
    <row r="2277" spans="2:15" ht="13.5" customHeight="1" x14ac:dyDescent="0.3">
      <c r="B2277" s="9">
        <f>[1]Discovery!A2283</f>
        <v>70413493</v>
      </c>
      <c r="C2277" s="9" t="str">
        <f>[1]Discovery!B2283</f>
        <v>부스섬</v>
      </c>
      <c r="D2277" s="9" t="str">
        <f>[1]Discovery!E2283</f>
        <v>자연</v>
      </c>
      <c r="E2277" s="9" t="str">
        <f>[1]Discovery!C2283</f>
        <v>지리</v>
      </c>
      <c r="F2277" s="9" t="str">
        <f>[1]Discovery!G2283</f>
        <v>A</v>
      </c>
      <c r="G2277" s="9" t="str">
        <f>IFERROR(VLOOKUP(표1[[#This Row],[명칭]],'문화권 정리'!C:D,2,FALSE),"-")</f>
        <v>극지방</v>
      </c>
      <c r="H2277" s="38" t="str">
        <f>IFERROR(COUNTIF([2]OceanDoodad!$Y:$Y,표1[[#This Row],[명칭]]),"-")</f>
        <v>-</v>
      </c>
      <c r="I2277" s="38">
        <f>IFERROR(COUNTIF([1]AdventureDiscoveryGroup!$D$8:$AW$92,표1[[#This Row],[명칭]]),"-")</f>
        <v>0</v>
      </c>
      <c r="J2277" s="38">
        <f>IFERROR(COUNTIF([1]FishDiscoveryGroup!$A:$X,표1[[#This Row],[명칭]]),"-")</f>
        <v>0</v>
      </c>
      <c r="K2277" s="38" t="str">
        <f>IFERROR(COUNTIF([2]Town!$B:$B,표1[[#This Row],[명칭]]),"-")</f>
        <v>-</v>
      </c>
      <c r="L2277" s="38">
        <f>IFERROR(COUNTIF([1]Village!$BR:$BR,표1[[#This Row],[명칭]]),"-")</f>
        <v>0</v>
      </c>
      <c r="M2277" s="38">
        <f>COUNTIF(퀘스트!B:B,표1[[#This Row],[명칭]])</f>
        <v>0</v>
      </c>
      <c r="N2277" s="65">
        <f>COUNTIF([1]VillageDiscoveryGroup!$C:$C,표1[[#This Row],[명칭]])</f>
        <v>0</v>
      </c>
      <c r="O2277" s="65">
        <f>SUM(표1[[#This Row],[해양탐색]:[마을탐험]])</f>
        <v>0</v>
      </c>
    </row>
    <row r="2278" spans="2:15" ht="13.5" customHeight="1" x14ac:dyDescent="0.3">
      <c r="B2278" s="9">
        <f>[1]Discovery!A2284</f>
        <v>70413494</v>
      </c>
      <c r="C2278" s="9" t="str">
        <f>[1]Discovery!B2284</f>
        <v>스콧섬</v>
      </c>
      <c r="D2278" s="9" t="str">
        <f>[1]Discovery!E2284</f>
        <v>자연</v>
      </c>
      <c r="E2278" s="9" t="str">
        <f>[1]Discovery!C2284</f>
        <v>지리</v>
      </c>
      <c r="F2278" s="9" t="str">
        <f>[1]Discovery!G2284</f>
        <v>B</v>
      </c>
      <c r="G2278" s="9" t="str">
        <f>IFERROR(VLOOKUP(표1[[#This Row],[명칭]],'문화권 정리'!C:D,2,FALSE),"-")</f>
        <v>극지방</v>
      </c>
      <c r="H2278" s="38" t="str">
        <f>IFERROR(COUNTIF([2]OceanDoodad!$Y:$Y,표1[[#This Row],[명칭]]),"-")</f>
        <v>-</v>
      </c>
      <c r="I2278" s="38">
        <f>IFERROR(COUNTIF([1]AdventureDiscoveryGroup!$D$8:$AW$92,표1[[#This Row],[명칭]]),"-")</f>
        <v>0</v>
      </c>
      <c r="J2278" s="38">
        <f>IFERROR(COUNTIF([1]FishDiscoveryGroup!$A:$X,표1[[#This Row],[명칭]]),"-")</f>
        <v>0</v>
      </c>
      <c r="K2278" s="38" t="str">
        <f>IFERROR(COUNTIF([2]Town!$B:$B,표1[[#This Row],[명칭]]),"-")</f>
        <v>-</v>
      </c>
      <c r="L2278" s="38">
        <f>IFERROR(COUNTIF([1]Village!$BR:$BR,표1[[#This Row],[명칭]]),"-")</f>
        <v>0</v>
      </c>
      <c r="M2278" s="38">
        <f>COUNTIF(퀘스트!B:B,표1[[#This Row],[명칭]])</f>
        <v>0</v>
      </c>
      <c r="N2278" s="65">
        <f>COUNTIF([1]VillageDiscoveryGroup!$C:$C,표1[[#This Row],[명칭]])</f>
        <v>0</v>
      </c>
      <c r="O2278" s="65">
        <f>SUM(표1[[#This Row],[해양탐색]:[마을탐험]])</f>
        <v>0</v>
      </c>
    </row>
    <row r="2279" spans="2:15" ht="13.5" customHeight="1" x14ac:dyDescent="0.3">
      <c r="B2279" s="9">
        <f>[1]Discovery!A2285</f>
        <v>70413495</v>
      </c>
      <c r="C2279" s="9" t="str">
        <f>[1]Discovery!B2285</f>
        <v>스토닝턴섬</v>
      </c>
      <c r="D2279" s="9" t="str">
        <f>[1]Discovery!E2285</f>
        <v>자연</v>
      </c>
      <c r="E2279" s="9" t="str">
        <f>[1]Discovery!C2285</f>
        <v>지리</v>
      </c>
      <c r="F2279" s="9" t="str">
        <f>[1]Discovery!G2285</f>
        <v>A</v>
      </c>
      <c r="G2279" s="9" t="str">
        <f>IFERROR(VLOOKUP(표1[[#This Row],[명칭]],'문화권 정리'!C:D,2,FALSE),"-")</f>
        <v>극지방</v>
      </c>
      <c r="H2279" s="38" t="str">
        <f>IFERROR(COUNTIF([2]OceanDoodad!$Y:$Y,표1[[#This Row],[명칭]]),"-")</f>
        <v>-</v>
      </c>
      <c r="I2279" s="38">
        <f>IFERROR(COUNTIF([1]AdventureDiscoveryGroup!$D$8:$AW$92,표1[[#This Row],[명칭]]),"-")</f>
        <v>0</v>
      </c>
      <c r="J2279" s="38">
        <f>IFERROR(COUNTIF([1]FishDiscoveryGroup!$A:$X,표1[[#This Row],[명칭]]),"-")</f>
        <v>0</v>
      </c>
      <c r="K2279" s="38" t="str">
        <f>IFERROR(COUNTIF([2]Town!$B:$B,표1[[#This Row],[명칭]]),"-")</f>
        <v>-</v>
      </c>
      <c r="L2279" s="38">
        <f>IFERROR(COUNTIF([1]Village!$BR:$BR,표1[[#This Row],[명칭]]),"-")</f>
        <v>0</v>
      </c>
      <c r="M2279" s="38">
        <f>COUNTIF(퀘스트!B:B,표1[[#This Row],[명칭]])</f>
        <v>0</v>
      </c>
      <c r="N2279" s="65">
        <f>COUNTIF([1]VillageDiscoveryGroup!$C:$C,표1[[#This Row],[명칭]])</f>
        <v>0</v>
      </c>
      <c r="O2279" s="65">
        <f>SUM(표1[[#This Row],[해양탐색]:[마을탐험]])</f>
        <v>0</v>
      </c>
    </row>
    <row r="2280" spans="2:15" ht="13.5" customHeight="1" x14ac:dyDescent="0.3">
      <c r="B2280" s="9">
        <f>[1]Discovery!A2286</f>
        <v>70413496</v>
      </c>
      <c r="C2280" s="9" t="str">
        <f>[1]Discovery!B2286</f>
        <v>시모어섬</v>
      </c>
      <c r="D2280" s="9" t="str">
        <f>[1]Discovery!E2286</f>
        <v>자연</v>
      </c>
      <c r="E2280" s="9" t="str">
        <f>[1]Discovery!C2286</f>
        <v>지리</v>
      </c>
      <c r="F2280" s="9" t="str">
        <f>[1]Discovery!G2286</f>
        <v>B</v>
      </c>
      <c r="G2280" s="9" t="str">
        <f>IFERROR(VLOOKUP(표1[[#This Row],[명칭]],'문화권 정리'!C:D,2,FALSE),"-")</f>
        <v>극지방</v>
      </c>
      <c r="H2280" s="38" t="str">
        <f>IFERROR(COUNTIF([2]OceanDoodad!$Y:$Y,표1[[#This Row],[명칭]]),"-")</f>
        <v>-</v>
      </c>
      <c r="I2280" s="38">
        <f>IFERROR(COUNTIF([1]AdventureDiscoveryGroup!$D$8:$AW$92,표1[[#This Row],[명칭]]),"-")</f>
        <v>0</v>
      </c>
      <c r="J2280" s="38">
        <f>IFERROR(COUNTIF([1]FishDiscoveryGroup!$A:$X,표1[[#This Row],[명칭]]),"-")</f>
        <v>0</v>
      </c>
      <c r="K2280" s="38" t="str">
        <f>IFERROR(COUNTIF([2]Town!$B:$B,표1[[#This Row],[명칭]]),"-")</f>
        <v>-</v>
      </c>
      <c r="L2280" s="38">
        <f>IFERROR(COUNTIF([1]Village!$BR:$BR,표1[[#This Row],[명칭]]),"-")</f>
        <v>0</v>
      </c>
      <c r="M2280" s="38">
        <f>COUNTIF(퀘스트!B:B,표1[[#This Row],[명칭]])</f>
        <v>0</v>
      </c>
      <c r="N2280" s="65">
        <f>COUNTIF([1]VillageDiscoveryGroup!$C:$C,표1[[#This Row],[명칭]])</f>
        <v>0</v>
      </c>
      <c r="O2280" s="65">
        <f>SUM(표1[[#This Row],[해양탐색]:[마을탐험]])</f>
        <v>0</v>
      </c>
    </row>
    <row r="2281" spans="2:15" ht="13.5" customHeight="1" x14ac:dyDescent="0.3">
      <c r="B2281" s="9">
        <f>[1]Discovery!A2287</f>
        <v>70413497</v>
      </c>
      <c r="C2281" s="9" t="str">
        <f>[1]Discovery!B2287</f>
        <v>애들레이드섬</v>
      </c>
      <c r="D2281" s="9" t="str">
        <f>[1]Discovery!E2287</f>
        <v>자연</v>
      </c>
      <c r="E2281" s="9" t="str">
        <f>[1]Discovery!C2287</f>
        <v>지리</v>
      </c>
      <c r="F2281" s="9" t="str">
        <f>[1]Discovery!G2287</f>
        <v>A</v>
      </c>
      <c r="G2281" s="9" t="str">
        <f>IFERROR(VLOOKUP(표1[[#This Row],[명칭]],'문화권 정리'!C:D,2,FALSE),"-")</f>
        <v>극지방</v>
      </c>
      <c r="H2281" s="38" t="str">
        <f>IFERROR(COUNTIF([2]OceanDoodad!$Y:$Y,표1[[#This Row],[명칭]]),"-")</f>
        <v>-</v>
      </c>
      <c r="I2281" s="38">
        <f>IFERROR(COUNTIF([1]AdventureDiscoveryGroup!$D$8:$AW$92,표1[[#This Row],[명칭]]),"-")</f>
        <v>0</v>
      </c>
      <c r="J2281" s="38">
        <f>IFERROR(COUNTIF([1]FishDiscoveryGroup!$A:$X,표1[[#This Row],[명칭]]),"-")</f>
        <v>0</v>
      </c>
      <c r="K2281" s="38" t="str">
        <f>IFERROR(COUNTIF([2]Town!$B:$B,표1[[#This Row],[명칭]]),"-")</f>
        <v>-</v>
      </c>
      <c r="L2281" s="38">
        <f>IFERROR(COUNTIF([1]Village!$BR:$BR,표1[[#This Row],[명칭]]),"-")</f>
        <v>0</v>
      </c>
      <c r="M2281" s="38">
        <f>COUNTIF(퀘스트!B:B,표1[[#This Row],[명칭]])</f>
        <v>0</v>
      </c>
      <c r="N2281" s="65">
        <f>COUNTIF([1]VillageDiscoveryGroup!$C:$C,표1[[#This Row],[명칭]])</f>
        <v>0</v>
      </c>
      <c r="O2281" s="65">
        <f>SUM(표1[[#This Row],[해양탐색]:[마을탐험]])</f>
        <v>0</v>
      </c>
    </row>
    <row r="2282" spans="2:15" ht="13.5" customHeight="1" x14ac:dyDescent="0.3">
      <c r="B2282" s="9">
        <f>[1]Discovery!A2288</f>
        <v>70413498</v>
      </c>
      <c r="C2282" s="9" t="str">
        <f>[1]Discovery!B2288</f>
        <v>페터만섬</v>
      </c>
      <c r="D2282" s="9" t="str">
        <f>[1]Discovery!E2288</f>
        <v>자연</v>
      </c>
      <c r="E2282" s="9" t="str">
        <f>[1]Discovery!C2288</f>
        <v>지리</v>
      </c>
      <c r="F2282" s="9" t="str">
        <f>[1]Discovery!G2288</f>
        <v>B</v>
      </c>
      <c r="G2282" s="9" t="str">
        <f>IFERROR(VLOOKUP(표1[[#This Row],[명칭]],'문화권 정리'!C:D,2,FALSE),"-")</f>
        <v>극지방</v>
      </c>
      <c r="H2282" s="38" t="str">
        <f>IFERROR(COUNTIF([2]OceanDoodad!$Y:$Y,표1[[#This Row],[명칭]]),"-")</f>
        <v>-</v>
      </c>
      <c r="I2282" s="38">
        <f>IFERROR(COUNTIF([1]AdventureDiscoveryGroup!$D$8:$AW$92,표1[[#This Row],[명칭]]),"-")</f>
        <v>0</v>
      </c>
      <c r="J2282" s="38">
        <f>IFERROR(COUNTIF([1]FishDiscoveryGroup!$A:$X,표1[[#This Row],[명칭]]),"-")</f>
        <v>0</v>
      </c>
      <c r="K2282" s="38" t="str">
        <f>IFERROR(COUNTIF([2]Town!$B:$B,표1[[#This Row],[명칭]]),"-")</f>
        <v>-</v>
      </c>
      <c r="L2282" s="38">
        <f>IFERROR(COUNTIF([1]Village!$BR:$BR,표1[[#This Row],[명칭]]),"-")</f>
        <v>0</v>
      </c>
      <c r="M2282" s="38">
        <f>COUNTIF(퀘스트!B:B,표1[[#This Row],[명칭]])</f>
        <v>0</v>
      </c>
      <c r="N2282" s="65">
        <f>COUNTIF([1]VillageDiscoveryGroup!$C:$C,표1[[#This Row],[명칭]])</f>
        <v>0</v>
      </c>
      <c r="O2282" s="65">
        <f>SUM(표1[[#This Row],[해양탐색]:[마을탐험]])</f>
        <v>0</v>
      </c>
    </row>
    <row r="2283" spans="2:15" ht="13.5" customHeight="1" x14ac:dyDescent="0.3">
      <c r="B2283" s="9">
        <f>[1]Discovery!A2289</f>
        <v>70413499</v>
      </c>
      <c r="C2283" s="9" t="str">
        <f>[1]Discovery!B2289</f>
        <v>폴렛섬</v>
      </c>
      <c r="D2283" s="9" t="str">
        <f>[1]Discovery!E2289</f>
        <v>자연</v>
      </c>
      <c r="E2283" s="9" t="str">
        <f>[1]Discovery!C2289</f>
        <v>지리</v>
      </c>
      <c r="F2283" s="9" t="str">
        <f>[1]Discovery!G2289</f>
        <v>B</v>
      </c>
      <c r="G2283" s="9" t="str">
        <f>IFERROR(VLOOKUP(표1[[#This Row],[명칭]],'문화권 정리'!C:D,2,FALSE),"-")</f>
        <v>극지방</v>
      </c>
      <c r="H2283" s="38" t="str">
        <f>IFERROR(COUNTIF([2]OceanDoodad!$Y:$Y,표1[[#This Row],[명칭]]),"-")</f>
        <v>-</v>
      </c>
      <c r="I2283" s="38">
        <f>IFERROR(COUNTIF([1]AdventureDiscoveryGroup!$D$8:$AW$92,표1[[#This Row],[명칭]]),"-")</f>
        <v>0</v>
      </c>
      <c r="J2283" s="38">
        <f>IFERROR(COUNTIF([1]FishDiscoveryGroup!$A:$X,표1[[#This Row],[명칭]]),"-")</f>
        <v>0</v>
      </c>
      <c r="K2283" s="38" t="str">
        <f>IFERROR(COUNTIF([2]Town!$B:$B,표1[[#This Row],[명칭]]),"-")</f>
        <v>-</v>
      </c>
      <c r="L2283" s="38">
        <f>IFERROR(COUNTIF([1]Village!$BR:$BR,표1[[#This Row],[명칭]]),"-")</f>
        <v>0</v>
      </c>
      <c r="M2283" s="38">
        <f>COUNTIF(퀘스트!B:B,표1[[#This Row],[명칭]])</f>
        <v>0</v>
      </c>
      <c r="N2283" s="65">
        <f>COUNTIF([1]VillageDiscoveryGroup!$C:$C,표1[[#This Row],[명칭]])</f>
        <v>0</v>
      </c>
      <c r="O2283" s="65">
        <f>SUM(표1[[#This Row],[해양탐색]:[마을탐험]])</f>
        <v>0</v>
      </c>
    </row>
    <row r="2284" spans="2:15" ht="13.5" customHeight="1" x14ac:dyDescent="0.3">
      <c r="B2284" s="9">
        <f>[1]Discovery!A2290</f>
        <v>70413500</v>
      </c>
      <c r="C2284" s="9" t="str">
        <f>[1]Discovery!B2290</f>
        <v>라르센 빙붕</v>
      </c>
      <c r="D2284" s="9" t="str">
        <f>[1]Discovery!E2290</f>
        <v>자연</v>
      </c>
      <c r="E2284" s="9" t="str">
        <f>[1]Discovery!C2290</f>
        <v>지리</v>
      </c>
      <c r="F2284" s="9" t="str">
        <f>[1]Discovery!G2290</f>
        <v>A</v>
      </c>
      <c r="G2284" s="9" t="str">
        <f>IFERROR(VLOOKUP(표1[[#This Row],[명칭]],'문화권 정리'!C:D,2,FALSE),"-")</f>
        <v>극지방</v>
      </c>
      <c r="H2284" s="38" t="str">
        <f>IFERROR(COUNTIF([2]OceanDoodad!$Y:$Y,표1[[#This Row],[명칭]]),"-")</f>
        <v>-</v>
      </c>
      <c r="I2284" s="38">
        <f>IFERROR(COUNTIF([1]AdventureDiscoveryGroup!$D$8:$AW$92,표1[[#This Row],[명칭]]),"-")</f>
        <v>0</v>
      </c>
      <c r="J2284" s="38">
        <f>IFERROR(COUNTIF([1]FishDiscoveryGroup!$A:$X,표1[[#This Row],[명칭]]),"-")</f>
        <v>0</v>
      </c>
      <c r="K2284" s="38" t="str">
        <f>IFERROR(COUNTIF([2]Town!$B:$B,표1[[#This Row],[명칭]]),"-")</f>
        <v>-</v>
      </c>
      <c r="L2284" s="38">
        <f>IFERROR(COUNTIF([1]Village!$BR:$BR,표1[[#This Row],[명칭]]),"-")</f>
        <v>0</v>
      </c>
      <c r="M2284" s="38">
        <f>COUNTIF(퀘스트!B:B,표1[[#This Row],[명칭]])</f>
        <v>0</v>
      </c>
      <c r="N2284" s="65">
        <f>COUNTIF([1]VillageDiscoveryGroup!$C:$C,표1[[#This Row],[명칭]])</f>
        <v>0</v>
      </c>
      <c r="O2284" s="65">
        <f>SUM(표1[[#This Row],[해양탐색]:[마을탐험]])</f>
        <v>0</v>
      </c>
    </row>
    <row r="2285" spans="2:15" ht="13.5" customHeight="1" x14ac:dyDescent="0.3">
      <c r="B2285" s="9">
        <f>[1]Discovery!A2291</f>
        <v>70413501</v>
      </c>
      <c r="C2285" s="9" t="str">
        <f>[1]Discovery!B2291</f>
        <v>섀클턴 빙붕</v>
      </c>
      <c r="D2285" s="9" t="str">
        <f>[1]Discovery!E2291</f>
        <v>자연</v>
      </c>
      <c r="E2285" s="9" t="str">
        <f>[1]Discovery!C2291</f>
        <v>지리</v>
      </c>
      <c r="F2285" s="9" t="str">
        <f>[1]Discovery!G2291</f>
        <v>A</v>
      </c>
      <c r="G2285" s="9" t="str">
        <f>IFERROR(VLOOKUP(표1[[#This Row],[명칭]],'문화권 정리'!C:D,2,FALSE),"-")</f>
        <v>극지방</v>
      </c>
      <c r="H2285" s="38" t="str">
        <f>IFERROR(COUNTIF([2]OceanDoodad!$Y:$Y,표1[[#This Row],[명칭]]),"-")</f>
        <v>-</v>
      </c>
      <c r="I2285" s="38">
        <f>IFERROR(COUNTIF([1]AdventureDiscoveryGroup!$D$8:$AW$92,표1[[#This Row],[명칭]]),"-")</f>
        <v>0</v>
      </c>
      <c r="J2285" s="38">
        <f>IFERROR(COUNTIF([1]FishDiscoveryGroup!$A:$X,표1[[#This Row],[명칭]]),"-")</f>
        <v>0</v>
      </c>
      <c r="K2285" s="38" t="str">
        <f>IFERROR(COUNTIF([2]Town!$B:$B,표1[[#This Row],[명칭]]),"-")</f>
        <v>-</v>
      </c>
      <c r="L2285" s="38">
        <f>IFERROR(COUNTIF([1]Village!$BR:$BR,표1[[#This Row],[명칭]]),"-")</f>
        <v>0</v>
      </c>
      <c r="M2285" s="38">
        <f>COUNTIF(퀘스트!B:B,표1[[#This Row],[명칭]])</f>
        <v>0</v>
      </c>
      <c r="N2285" s="65">
        <f>COUNTIF([1]VillageDiscoveryGroup!$C:$C,표1[[#This Row],[명칭]])</f>
        <v>0</v>
      </c>
      <c r="O2285" s="65">
        <f>SUM(표1[[#This Row],[해양탐색]:[마을탐험]])</f>
        <v>0</v>
      </c>
    </row>
    <row r="2286" spans="2:15" ht="13.5" customHeight="1" x14ac:dyDescent="0.3">
      <c r="B2286" s="9">
        <f>[1]Discovery!A2292</f>
        <v>70413502</v>
      </c>
      <c r="C2286" s="9" t="str">
        <f>[1]Discovery!B2292</f>
        <v>나미브 모래바다</v>
      </c>
      <c r="D2286" s="9" t="str">
        <f>[1]Discovery!E2292</f>
        <v>자연</v>
      </c>
      <c r="E2286" s="9" t="str">
        <f>[1]Discovery!C2292</f>
        <v>지리</v>
      </c>
      <c r="F2286" s="9" t="str">
        <f>[1]Discovery!G2292</f>
        <v>A</v>
      </c>
      <c r="G2286" s="9" t="str">
        <f>IFERROR(VLOOKUP(표1[[#This Row],[명칭]],'문화권 정리'!C:D,2,FALSE),"-")</f>
        <v>서아프리카</v>
      </c>
      <c r="H2286" s="38" t="str">
        <f>IFERROR(COUNTIF([2]OceanDoodad!$Y:$Y,표1[[#This Row],[명칭]]),"-")</f>
        <v>-</v>
      </c>
      <c r="I2286" s="38">
        <f>IFERROR(COUNTIF([1]AdventureDiscoveryGroup!$D$8:$AW$92,표1[[#This Row],[명칭]]),"-")</f>
        <v>0</v>
      </c>
      <c r="J2286" s="38">
        <f>IFERROR(COUNTIF([1]FishDiscoveryGroup!$A:$X,표1[[#This Row],[명칭]]),"-")</f>
        <v>0</v>
      </c>
      <c r="K2286" s="38" t="str">
        <f>IFERROR(COUNTIF([2]Town!$B:$B,표1[[#This Row],[명칭]]),"-")</f>
        <v>-</v>
      </c>
      <c r="L2286" s="38">
        <f>IFERROR(COUNTIF([1]Village!$BR:$BR,표1[[#This Row],[명칭]]),"-")</f>
        <v>0</v>
      </c>
      <c r="M2286" s="38">
        <f>COUNTIF(퀘스트!B:B,표1[[#This Row],[명칭]])</f>
        <v>0</v>
      </c>
      <c r="N2286" s="65">
        <f>COUNTIF([1]VillageDiscoveryGroup!$C:$C,표1[[#This Row],[명칭]])</f>
        <v>0</v>
      </c>
      <c r="O2286" s="65">
        <f>SUM(표1[[#This Row],[해양탐색]:[마을탐험]])</f>
        <v>0</v>
      </c>
    </row>
    <row r="2287" spans="2:15" ht="13.5" customHeight="1" x14ac:dyDescent="0.3">
      <c r="B2287" s="9">
        <f>[1]Discovery!A2293</f>
        <v>70413503</v>
      </c>
      <c r="C2287" s="9" t="str">
        <f>[1]Discovery!B2293</f>
        <v>피코 카오 그란데</v>
      </c>
      <c r="D2287" s="9" t="str">
        <f>[1]Discovery!E2293</f>
        <v>자연</v>
      </c>
      <c r="E2287" s="9" t="str">
        <f>[1]Discovery!C2293</f>
        <v>지리</v>
      </c>
      <c r="F2287" s="9" t="str">
        <f>[1]Discovery!G2293</f>
        <v>C</v>
      </c>
      <c r="G2287" s="9" t="str">
        <f>IFERROR(VLOOKUP(표1[[#This Row],[명칭]],'문화권 정리'!C:D,2,FALSE),"-")</f>
        <v>서아프리카</v>
      </c>
      <c r="H2287" s="38" t="str">
        <f>IFERROR(COUNTIF([2]OceanDoodad!$Y:$Y,표1[[#This Row],[명칭]]),"-")</f>
        <v>-</v>
      </c>
      <c r="I2287" s="38">
        <f>IFERROR(COUNTIF([1]AdventureDiscoveryGroup!$D$8:$AW$92,표1[[#This Row],[명칭]]),"-")</f>
        <v>0</v>
      </c>
      <c r="J2287" s="38">
        <f>IFERROR(COUNTIF([1]FishDiscoveryGroup!$A:$X,표1[[#This Row],[명칭]]),"-")</f>
        <v>0</v>
      </c>
      <c r="K2287" s="38" t="str">
        <f>IFERROR(COUNTIF([2]Town!$B:$B,표1[[#This Row],[명칭]]),"-")</f>
        <v>-</v>
      </c>
      <c r="L2287" s="38">
        <f>IFERROR(COUNTIF([1]Village!$BR:$BR,표1[[#This Row],[명칭]]),"-")</f>
        <v>0</v>
      </c>
      <c r="M2287" s="38">
        <f>COUNTIF(퀘스트!B:B,표1[[#This Row],[명칭]])</f>
        <v>0</v>
      </c>
      <c r="N2287" s="65">
        <f>COUNTIF([1]VillageDiscoveryGroup!$C:$C,표1[[#This Row],[명칭]])</f>
        <v>0</v>
      </c>
      <c r="O2287" s="65">
        <f>SUM(표1[[#This Row],[해양탐색]:[마을탐험]])</f>
        <v>0</v>
      </c>
    </row>
    <row r="2288" spans="2:15" ht="13.5" customHeight="1" x14ac:dyDescent="0.3">
      <c r="B2288" s="9">
        <f>[1]Discovery!A2294</f>
        <v>70413504</v>
      </c>
      <c r="C2288" s="9" t="str">
        <f>[1]Discovery!B2294</f>
        <v>베마라하 칭기</v>
      </c>
      <c r="D2288" s="9" t="str">
        <f>[1]Discovery!E2294</f>
        <v>자연</v>
      </c>
      <c r="E2288" s="9" t="str">
        <f>[1]Discovery!C2294</f>
        <v>지리</v>
      </c>
      <c r="F2288" s="9" t="str">
        <f>[1]Discovery!G2294</f>
        <v>B</v>
      </c>
      <c r="G2288" s="9" t="str">
        <f>IFERROR(VLOOKUP(표1[[#This Row],[명칭]],'문화권 정리'!C:D,2,FALSE),"-")</f>
        <v>동아프리카</v>
      </c>
      <c r="H2288" s="38" t="str">
        <f>IFERROR(COUNTIF([2]OceanDoodad!$Y:$Y,표1[[#This Row],[명칭]]),"-")</f>
        <v>-</v>
      </c>
      <c r="I2288" s="38">
        <f>IFERROR(COUNTIF([1]AdventureDiscoveryGroup!$D$8:$AW$92,표1[[#This Row],[명칭]]),"-")</f>
        <v>0</v>
      </c>
      <c r="J2288" s="38">
        <f>IFERROR(COUNTIF([1]FishDiscoveryGroup!$A:$X,표1[[#This Row],[명칭]]),"-")</f>
        <v>0</v>
      </c>
      <c r="K2288" s="38" t="str">
        <f>IFERROR(COUNTIF([2]Town!$B:$B,표1[[#This Row],[명칭]]),"-")</f>
        <v>-</v>
      </c>
      <c r="L2288" s="38">
        <f>IFERROR(COUNTIF([1]Village!$BR:$BR,표1[[#This Row],[명칭]]),"-")</f>
        <v>0</v>
      </c>
      <c r="M2288" s="38">
        <f>COUNTIF(퀘스트!B:B,표1[[#This Row],[명칭]])</f>
        <v>0</v>
      </c>
      <c r="N2288" s="65">
        <f>COUNTIF([1]VillageDiscoveryGroup!$C:$C,표1[[#This Row],[명칭]])</f>
        <v>0</v>
      </c>
      <c r="O2288" s="65">
        <f>SUM(표1[[#This Row],[해양탐색]:[마을탐험]])</f>
        <v>0</v>
      </c>
    </row>
    <row r="2289" spans="2:15" ht="13.5" customHeight="1" x14ac:dyDescent="0.3">
      <c r="B2289" s="9">
        <f>[1]Discovery!A2295</f>
        <v>70413505</v>
      </c>
      <c r="C2289" s="9" t="str">
        <f>[1]Discovery!B2295</f>
        <v>파묵칼레</v>
      </c>
      <c r="D2289" s="9" t="str">
        <f>[1]Discovery!E2295</f>
        <v>자연</v>
      </c>
      <c r="E2289" s="9" t="str">
        <f>[1]Discovery!C2295</f>
        <v>지리</v>
      </c>
      <c r="F2289" s="9" t="str">
        <f>[1]Discovery!G2295</f>
        <v>S</v>
      </c>
      <c r="G2289" s="9" t="str">
        <f>IFERROR(VLOOKUP(표1[[#This Row],[명칭]],'문화권 정리'!C:D,2,FALSE),"-")</f>
        <v>지중해</v>
      </c>
      <c r="H2289" s="38" t="str">
        <f>IFERROR(COUNTIF([2]OceanDoodad!$Y:$Y,표1[[#This Row],[명칭]]),"-")</f>
        <v>-</v>
      </c>
      <c r="I2289" s="38">
        <f>IFERROR(COUNTIF([1]AdventureDiscoveryGroup!$D$8:$AW$92,표1[[#This Row],[명칭]]),"-")</f>
        <v>0</v>
      </c>
      <c r="J2289" s="38">
        <f>IFERROR(COUNTIF([1]FishDiscoveryGroup!$A:$X,표1[[#This Row],[명칭]]),"-")</f>
        <v>0</v>
      </c>
      <c r="K2289" s="38" t="str">
        <f>IFERROR(COUNTIF([2]Town!$B:$B,표1[[#This Row],[명칭]]),"-")</f>
        <v>-</v>
      </c>
      <c r="L2289" s="38">
        <f>IFERROR(COUNTIF([1]Village!$BR:$BR,표1[[#This Row],[명칭]]),"-")</f>
        <v>0</v>
      </c>
      <c r="M2289" s="38">
        <f>COUNTIF(퀘스트!B:B,표1[[#This Row],[명칭]])</f>
        <v>0</v>
      </c>
      <c r="N2289" s="65">
        <f>COUNTIF([1]VillageDiscoveryGroup!$C:$C,표1[[#This Row],[명칭]])</f>
        <v>0</v>
      </c>
      <c r="O2289" s="65">
        <f>SUM(표1[[#This Row],[해양탐색]:[마을탐험]])</f>
        <v>0</v>
      </c>
    </row>
    <row r="2290" spans="2:15" ht="13.5" customHeight="1" x14ac:dyDescent="0.3">
      <c r="B2290" s="9">
        <f>[1]Discovery!A2296</f>
        <v>70413506</v>
      </c>
      <c r="C2290" s="9" t="str">
        <f>[1]Discovery!B2296</f>
        <v>댈롤 화산</v>
      </c>
      <c r="D2290" s="9" t="str">
        <f>[1]Discovery!E2296</f>
        <v>자연</v>
      </c>
      <c r="E2290" s="9" t="str">
        <f>[1]Discovery!C2296</f>
        <v>지리</v>
      </c>
      <c r="F2290" s="9" t="str">
        <f>[1]Discovery!G2296</f>
        <v>A</v>
      </c>
      <c r="G2290" s="9" t="str">
        <f>IFERROR(VLOOKUP(표1[[#This Row],[명칭]],'문화권 정리'!C:D,2,FALSE),"-")</f>
        <v>서남아시아</v>
      </c>
      <c r="H2290" s="38" t="str">
        <f>IFERROR(COUNTIF([2]OceanDoodad!$Y:$Y,표1[[#This Row],[명칭]]),"-")</f>
        <v>-</v>
      </c>
      <c r="I2290" s="38">
        <f>IFERROR(COUNTIF([1]AdventureDiscoveryGroup!$D$8:$AW$92,표1[[#This Row],[명칭]]),"-")</f>
        <v>0</v>
      </c>
      <c r="J2290" s="38">
        <f>IFERROR(COUNTIF([1]FishDiscoveryGroup!$A:$X,표1[[#This Row],[명칭]]),"-")</f>
        <v>0</v>
      </c>
      <c r="K2290" s="38" t="str">
        <f>IFERROR(COUNTIF([2]Town!$B:$B,표1[[#This Row],[명칭]]),"-")</f>
        <v>-</v>
      </c>
      <c r="L2290" s="38">
        <f>IFERROR(COUNTIF([1]Village!$BR:$BR,표1[[#This Row],[명칭]]),"-")</f>
        <v>0</v>
      </c>
      <c r="M2290" s="38">
        <f>COUNTIF(퀘스트!B:B,표1[[#This Row],[명칭]])</f>
        <v>0</v>
      </c>
      <c r="N2290" s="65">
        <f>COUNTIF([1]VillageDiscoveryGroup!$C:$C,표1[[#This Row],[명칭]])</f>
        <v>0</v>
      </c>
      <c r="O2290" s="65">
        <f>SUM(표1[[#This Row],[해양탐색]:[마을탐험]])</f>
        <v>0</v>
      </c>
    </row>
    <row r="2291" spans="2:15" ht="13.5" customHeight="1" x14ac:dyDescent="0.3">
      <c r="B2291" s="9">
        <f>[1]Discovery!A2297</f>
        <v>70413507</v>
      </c>
      <c r="C2291" s="9" t="str">
        <f>[1]Discovery!B2297</f>
        <v>지브롤터 암벽</v>
      </c>
      <c r="D2291" s="9" t="str">
        <f>[1]Discovery!E2297</f>
        <v>자연</v>
      </c>
      <c r="E2291" s="9" t="str">
        <f>[1]Discovery!C2297</f>
        <v>지리</v>
      </c>
      <c r="F2291" s="9" t="str">
        <f>[1]Discovery!G2297</f>
        <v>C</v>
      </c>
      <c r="G2291" s="9" t="str">
        <f>IFERROR(VLOOKUP(표1[[#This Row],[명칭]],'문화권 정리'!C:D,2,FALSE),"-")</f>
        <v>지중해</v>
      </c>
      <c r="H2291" s="38" t="str">
        <f>IFERROR(COUNTIF([2]OceanDoodad!$Y:$Y,표1[[#This Row],[명칭]]),"-")</f>
        <v>-</v>
      </c>
      <c r="I2291" s="38">
        <f>IFERROR(COUNTIF([1]AdventureDiscoveryGroup!$D$8:$AW$92,표1[[#This Row],[명칭]]),"-")</f>
        <v>0</v>
      </c>
      <c r="J2291" s="38">
        <f>IFERROR(COUNTIF([1]FishDiscoveryGroup!$A:$X,표1[[#This Row],[명칭]]),"-")</f>
        <v>0</v>
      </c>
      <c r="K2291" s="38" t="str">
        <f>IFERROR(COUNTIF([2]Town!$B:$B,표1[[#This Row],[명칭]]),"-")</f>
        <v>-</v>
      </c>
      <c r="L2291" s="38">
        <f>IFERROR(COUNTIF([1]Village!$BR:$BR,표1[[#This Row],[명칭]]),"-")</f>
        <v>0</v>
      </c>
      <c r="M2291" s="38">
        <f>COUNTIF(퀘스트!B:B,표1[[#This Row],[명칭]])</f>
        <v>0</v>
      </c>
      <c r="N2291" s="65">
        <f>COUNTIF([1]VillageDiscoveryGroup!$C:$C,표1[[#This Row],[명칭]])</f>
        <v>0</v>
      </c>
      <c r="O2291" s="65">
        <f>SUM(표1[[#This Row],[해양탐색]:[마을탐험]])</f>
        <v>0</v>
      </c>
    </row>
    <row r="2292" spans="2:15" ht="13.5" customHeight="1" x14ac:dyDescent="0.3">
      <c r="B2292" s="9">
        <f>[1]Discovery!A2298</f>
        <v>70413508</v>
      </c>
      <c r="C2292" s="9" t="str">
        <f>[1]Discovery!B2298</f>
        <v>주마 바위</v>
      </c>
      <c r="D2292" s="9" t="str">
        <f>[1]Discovery!E2298</f>
        <v>자연</v>
      </c>
      <c r="E2292" s="9" t="str">
        <f>[1]Discovery!C2298</f>
        <v>지리</v>
      </c>
      <c r="F2292" s="9" t="str">
        <f>[1]Discovery!G2298</f>
        <v>B</v>
      </c>
      <c r="G2292" s="9" t="str">
        <f>IFERROR(VLOOKUP(표1[[#This Row],[명칭]],'문화권 정리'!C:D,2,FALSE),"-")</f>
        <v>서아프리카</v>
      </c>
      <c r="H2292" s="38" t="str">
        <f>IFERROR(COUNTIF([2]OceanDoodad!$Y:$Y,표1[[#This Row],[명칭]]),"-")</f>
        <v>-</v>
      </c>
      <c r="I2292" s="38">
        <f>IFERROR(COUNTIF([1]AdventureDiscoveryGroup!$D$8:$AW$92,표1[[#This Row],[명칭]]),"-")</f>
        <v>0</v>
      </c>
      <c r="J2292" s="38">
        <f>IFERROR(COUNTIF([1]FishDiscoveryGroup!$A:$X,표1[[#This Row],[명칭]]),"-")</f>
        <v>0</v>
      </c>
      <c r="K2292" s="38" t="str">
        <f>IFERROR(COUNTIF([2]Town!$B:$B,표1[[#This Row],[명칭]]),"-")</f>
        <v>-</v>
      </c>
      <c r="L2292" s="38">
        <f>IFERROR(COUNTIF([1]Village!$BR:$BR,표1[[#This Row],[명칭]]),"-")</f>
        <v>0</v>
      </c>
      <c r="M2292" s="38">
        <f>COUNTIF(퀘스트!B:B,표1[[#This Row],[명칭]])</f>
        <v>0</v>
      </c>
      <c r="N2292" s="65">
        <f>COUNTIF([1]VillageDiscoveryGroup!$C:$C,표1[[#This Row],[명칭]])</f>
        <v>0</v>
      </c>
      <c r="O2292" s="65">
        <f>SUM(표1[[#This Row],[해양탐색]:[마을탐험]])</f>
        <v>0</v>
      </c>
    </row>
    <row r="2293" spans="2:15" ht="13.5" customHeight="1" x14ac:dyDescent="0.3">
      <c r="B2293" s="9">
        <f>[1]Discovery!A2299</f>
        <v>70413509</v>
      </c>
      <c r="C2293" s="9" t="str">
        <f>[1]Discovery!B2299</f>
        <v>보요마 폭포</v>
      </c>
      <c r="D2293" s="9" t="str">
        <f>[1]Discovery!E2299</f>
        <v>자연</v>
      </c>
      <c r="E2293" s="9" t="str">
        <f>[1]Discovery!C2299</f>
        <v>지리</v>
      </c>
      <c r="F2293" s="9" t="str">
        <f>[1]Discovery!G2299</f>
        <v>A</v>
      </c>
      <c r="G2293" s="9" t="str">
        <f>IFERROR(VLOOKUP(표1[[#This Row],[명칭]],'문화권 정리'!C:D,2,FALSE),"-")</f>
        <v>동아프리카</v>
      </c>
      <c r="H2293" s="38" t="str">
        <f>IFERROR(COUNTIF([2]OceanDoodad!$Y:$Y,표1[[#This Row],[명칭]]),"-")</f>
        <v>-</v>
      </c>
      <c r="I2293" s="38">
        <f>IFERROR(COUNTIF([1]AdventureDiscoveryGroup!$D$8:$AW$92,표1[[#This Row],[명칭]]),"-")</f>
        <v>0</v>
      </c>
      <c r="J2293" s="38">
        <f>IFERROR(COUNTIF([1]FishDiscoveryGroup!$A:$X,표1[[#This Row],[명칭]]),"-")</f>
        <v>0</v>
      </c>
      <c r="K2293" s="38" t="str">
        <f>IFERROR(COUNTIF([2]Town!$B:$B,표1[[#This Row],[명칭]]),"-")</f>
        <v>-</v>
      </c>
      <c r="L2293" s="38">
        <f>IFERROR(COUNTIF([1]Village!$BR:$BR,표1[[#This Row],[명칭]]),"-")</f>
        <v>0</v>
      </c>
      <c r="M2293" s="38">
        <f>COUNTIF(퀘스트!B:B,표1[[#This Row],[명칭]])</f>
        <v>0</v>
      </c>
      <c r="N2293" s="65">
        <f>COUNTIF([1]VillageDiscoveryGroup!$C:$C,표1[[#This Row],[명칭]])</f>
        <v>0</v>
      </c>
      <c r="O2293" s="65">
        <f>SUM(표1[[#This Row],[해양탐색]:[마을탐험]])</f>
        <v>0</v>
      </c>
    </row>
    <row r="2294" spans="2:15" ht="13.5" customHeight="1" x14ac:dyDescent="0.3">
      <c r="B2294" s="9">
        <f>[1]Discovery!A2300</f>
        <v>70413510</v>
      </c>
      <c r="C2294" s="9" t="str">
        <f>[1]Discovery!B2300</f>
        <v>테이블 산</v>
      </c>
      <c r="D2294" s="9" t="str">
        <f>[1]Discovery!E2300</f>
        <v>자연</v>
      </c>
      <c r="E2294" s="9" t="str">
        <f>[1]Discovery!C2300</f>
        <v>지리</v>
      </c>
      <c r="F2294" s="9" t="str">
        <f>[1]Discovery!G2300</f>
        <v>B</v>
      </c>
      <c r="G2294" s="9" t="str">
        <f>IFERROR(VLOOKUP(표1[[#This Row],[명칭]],'문화권 정리'!C:D,2,FALSE),"-")</f>
        <v>남아프리카</v>
      </c>
      <c r="H2294" s="38" t="str">
        <f>IFERROR(COUNTIF([2]OceanDoodad!$Y:$Y,표1[[#This Row],[명칭]]),"-")</f>
        <v>-</v>
      </c>
      <c r="I2294" s="38">
        <f>IFERROR(COUNTIF([1]AdventureDiscoveryGroup!$D$8:$AW$92,표1[[#This Row],[명칭]]),"-")</f>
        <v>0</v>
      </c>
      <c r="J2294" s="38">
        <f>IFERROR(COUNTIF([1]FishDiscoveryGroup!$A:$X,표1[[#This Row],[명칭]]),"-")</f>
        <v>0</v>
      </c>
      <c r="K2294" s="38" t="str">
        <f>IFERROR(COUNTIF([2]Town!$B:$B,표1[[#This Row],[명칭]]),"-")</f>
        <v>-</v>
      </c>
      <c r="L2294" s="38">
        <f>IFERROR(COUNTIF([1]Village!$BR:$BR,표1[[#This Row],[명칭]]),"-")</f>
        <v>0</v>
      </c>
      <c r="M2294" s="38">
        <f>COUNTIF(퀘스트!B:B,표1[[#This Row],[명칭]])</f>
        <v>0</v>
      </c>
      <c r="N2294" s="65">
        <f>COUNTIF([1]VillageDiscoveryGroup!$C:$C,표1[[#This Row],[명칭]])</f>
        <v>0</v>
      </c>
      <c r="O2294" s="65">
        <f>SUM(표1[[#This Row],[해양탐색]:[마을탐험]])</f>
        <v>0</v>
      </c>
    </row>
    <row r="2295" spans="2:15" ht="13.5" customHeight="1" x14ac:dyDescent="0.3">
      <c r="B2295" s="9">
        <f>[1]Discovery!A2301</f>
        <v>70414000</v>
      </c>
      <c r="C2295" s="9" t="str">
        <f>[1]Discovery!B2301</f>
        <v>갈릴레이 위성</v>
      </c>
      <c r="D2295" s="9" t="str">
        <f>[1]Discovery!E2301</f>
        <v>자연</v>
      </c>
      <c r="E2295" s="9" t="str">
        <f>[1]Discovery!C2301</f>
        <v>천문</v>
      </c>
      <c r="F2295" s="9" t="str">
        <f>[1]Discovery!G2301</f>
        <v>A</v>
      </c>
      <c r="G2295" s="9" t="str">
        <f>IFERROR(VLOOKUP(표1[[#This Row],[명칭]],'문화권 정리'!C:D,2,FALSE),"-")</f>
        <v>천문</v>
      </c>
      <c r="H2295" s="38" t="str">
        <f>IFERROR(COUNTIF([2]OceanDoodad!$Y:$Y,표1[[#This Row],[명칭]]),"-")</f>
        <v>-</v>
      </c>
      <c r="I2295" s="38">
        <f>IFERROR(COUNTIF([1]AdventureDiscoveryGroup!$D$8:$AW$92,표1[[#This Row],[명칭]]),"-")</f>
        <v>0</v>
      </c>
      <c r="J2295" s="38">
        <f>IFERROR(COUNTIF([1]FishDiscoveryGroup!$A:$X,표1[[#This Row],[명칭]]),"-")</f>
        <v>0</v>
      </c>
      <c r="K2295" s="38" t="str">
        <f>IFERROR(COUNTIF([2]Town!$B:$B,표1[[#This Row],[명칭]]),"-")</f>
        <v>-</v>
      </c>
      <c r="L2295" s="38">
        <f>IFERROR(COUNTIF([1]Village!$BR:$BR,표1[[#This Row],[명칭]]),"-")</f>
        <v>0</v>
      </c>
      <c r="M2295" s="38">
        <f>COUNTIF(퀘스트!B:B,표1[[#This Row],[명칭]])</f>
        <v>0</v>
      </c>
      <c r="N2295" s="65">
        <f>COUNTIF([1]VillageDiscoveryGroup!$C:$C,표1[[#This Row],[명칭]])</f>
        <v>0</v>
      </c>
      <c r="O2295" s="65">
        <f>SUM(표1[[#This Row],[해양탐색]:[마을탐험]])</f>
        <v>0</v>
      </c>
    </row>
    <row r="2296" spans="2:15" ht="13.5" customHeight="1" x14ac:dyDescent="0.3">
      <c r="B2296" s="9">
        <f>[1]Discovery!A2302</f>
        <v>70414001</v>
      </c>
      <c r="C2296" s="9" t="str">
        <f>[1]Discovery!B2302</f>
        <v>거문고자리</v>
      </c>
      <c r="D2296" s="9" t="str">
        <f>[1]Discovery!E2302</f>
        <v>자연</v>
      </c>
      <c r="E2296" s="9" t="str">
        <f>[1]Discovery!C2302</f>
        <v>천문</v>
      </c>
      <c r="F2296" s="9" t="str">
        <f>[1]Discovery!G2302</f>
        <v>D</v>
      </c>
      <c r="G2296" s="9" t="str">
        <f>IFERROR(VLOOKUP(표1[[#This Row],[명칭]],'문화권 정리'!C:D,2,FALSE),"-")</f>
        <v>천문</v>
      </c>
      <c r="H2296" s="38" t="str">
        <f>IFERROR(COUNTIF([2]OceanDoodad!$Y:$Y,표1[[#This Row],[명칭]]),"-")</f>
        <v>-</v>
      </c>
      <c r="I2296" s="38">
        <f>IFERROR(COUNTIF([1]AdventureDiscoveryGroup!$D$8:$AW$92,표1[[#This Row],[명칭]]),"-")</f>
        <v>0</v>
      </c>
      <c r="J2296" s="38">
        <f>IFERROR(COUNTIF([1]FishDiscoveryGroup!$A:$X,표1[[#This Row],[명칭]]),"-")</f>
        <v>0</v>
      </c>
      <c r="K2296" s="38" t="str">
        <f>IFERROR(COUNTIF([2]Town!$B:$B,표1[[#This Row],[명칭]]),"-")</f>
        <v>-</v>
      </c>
      <c r="L2296" s="38">
        <f>IFERROR(COUNTIF([1]Village!$BR:$BR,표1[[#This Row],[명칭]]),"-")</f>
        <v>0</v>
      </c>
      <c r="M2296" s="38">
        <f>COUNTIF(퀘스트!B:B,표1[[#This Row],[명칭]])</f>
        <v>0</v>
      </c>
      <c r="N2296" s="65">
        <f>COUNTIF([1]VillageDiscoveryGroup!$C:$C,표1[[#This Row],[명칭]])</f>
        <v>0</v>
      </c>
      <c r="O2296" s="65">
        <f>SUM(표1[[#This Row],[해양탐색]:[마을탐험]])</f>
        <v>0</v>
      </c>
    </row>
    <row r="2297" spans="2:15" ht="13.5" customHeight="1" x14ac:dyDescent="0.3">
      <c r="B2297" s="9">
        <f>[1]Discovery!A2303</f>
        <v>70414002</v>
      </c>
      <c r="C2297" s="9" t="str">
        <f>[1]Discovery!B2303</f>
        <v>거문고자리 유성군</v>
      </c>
      <c r="D2297" s="9" t="str">
        <f>[1]Discovery!E2303</f>
        <v>자연</v>
      </c>
      <c r="E2297" s="9" t="str">
        <f>[1]Discovery!C2303</f>
        <v>천문</v>
      </c>
      <c r="F2297" s="9" t="str">
        <f>[1]Discovery!G2303</f>
        <v>A</v>
      </c>
      <c r="G2297" s="9" t="str">
        <f>IFERROR(VLOOKUP(표1[[#This Row],[명칭]],'문화권 정리'!C:D,2,FALSE),"-")</f>
        <v>천문</v>
      </c>
      <c r="H2297" s="38" t="str">
        <f>IFERROR(COUNTIF([2]OceanDoodad!$Y:$Y,표1[[#This Row],[명칭]]),"-")</f>
        <v>-</v>
      </c>
      <c r="I2297" s="38">
        <f>IFERROR(COUNTIF([1]AdventureDiscoveryGroup!$D$8:$AW$92,표1[[#This Row],[명칭]]),"-")</f>
        <v>0</v>
      </c>
      <c r="J2297" s="38">
        <f>IFERROR(COUNTIF([1]FishDiscoveryGroup!$A:$X,표1[[#This Row],[명칭]]),"-")</f>
        <v>0</v>
      </c>
      <c r="K2297" s="38" t="str">
        <f>IFERROR(COUNTIF([2]Town!$B:$B,표1[[#This Row],[명칭]]),"-")</f>
        <v>-</v>
      </c>
      <c r="L2297" s="38">
        <f>IFERROR(COUNTIF([1]Village!$BR:$BR,표1[[#This Row],[명칭]]),"-")</f>
        <v>0</v>
      </c>
      <c r="M2297" s="38">
        <f>COUNTIF(퀘스트!B:B,표1[[#This Row],[명칭]])</f>
        <v>0</v>
      </c>
      <c r="N2297" s="65">
        <f>COUNTIF([1]VillageDiscoveryGroup!$C:$C,표1[[#This Row],[명칭]])</f>
        <v>0</v>
      </c>
      <c r="O2297" s="65">
        <f>SUM(표1[[#This Row],[해양탐색]:[마을탐험]])</f>
        <v>0</v>
      </c>
    </row>
    <row r="2298" spans="2:15" ht="13.5" customHeight="1" x14ac:dyDescent="0.3">
      <c r="B2298" s="9">
        <f>[1]Discovery!A2304</f>
        <v>70414003</v>
      </c>
      <c r="C2298" s="9" t="str">
        <f>[1]Discovery!B2304</f>
        <v>게자리</v>
      </c>
      <c r="D2298" s="9" t="str">
        <f>[1]Discovery!E2304</f>
        <v>자연</v>
      </c>
      <c r="E2298" s="9" t="str">
        <f>[1]Discovery!C2304</f>
        <v>천문</v>
      </c>
      <c r="F2298" s="9" t="str">
        <f>[1]Discovery!G2304</f>
        <v>D</v>
      </c>
      <c r="G2298" s="9" t="str">
        <f>IFERROR(VLOOKUP(표1[[#This Row],[명칭]],'문화권 정리'!C:D,2,FALSE),"-")</f>
        <v>천문</v>
      </c>
      <c r="H2298" s="38" t="str">
        <f>IFERROR(COUNTIF([2]OceanDoodad!$Y:$Y,표1[[#This Row],[명칭]]),"-")</f>
        <v>-</v>
      </c>
      <c r="I2298" s="38">
        <f>IFERROR(COUNTIF([1]AdventureDiscoveryGroup!$D$8:$AW$92,표1[[#This Row],[명칭]]),"-")</f>
        <v>0</v>
      </c>
      <c r="J2298" s="38">
        <f>IFERROR(COUNTIF([1]FishDiscoveryGroup!$A:$X,표1[[#This Row],[명칭]]),"-")</f>
        <v>0</v>
      </c>
      <c r="K2298" s="38" t="str">
        <f>IFERROR(COUNTIF([2]Town!$B:$B,표1[[#This Row],[명칭]]),"-")</f>
        <v>-</v>
      </c>
      <c r="L2298" s="38">
        <f>IFERROR(COUNTIF([1]Village!$BR:$BR,표1[[#This Row],[명칭]]),"-")</f>
        <v>0</v>
      </c>
      <c r="M2298" s="38">
        <f>COUNTIF(퀘스트!B:B,표1[[#This Row],[명칭]])</f>
        <v>0</v>
      </c>
      <c r="N2298" s="65">
        <f>COUNTIF([1]VillageDiscoveryGroup!$C:$C,표1[[#This Row],[명칭]])</f>
        <v>0</v>
      </c>
      <c r="O2298" s="65">
        <f>SUM(표1[[#This Row],[해양탐색]:[마을탐험]])</f>
        <v>0</v>
      </c>
    </row>
    <row r="2299" spans="2:15" ht="13.5" customHeight="1" x14ac:dyDescent="0.3">
      <c r="B2299" s="9">
        <f>[1]Discovery!A2305</f>
        <v>70414004</v>
      </c>
      <c r="C2299" s="9" t="str">
        <f>[1]Discovery!B2305</f>
        <v>겨울의 다이아몬드</v>
      </c>
      <c r="D2299" s="9" t="str">
        <f>[1]Discovery!E2305</f>
        <v>자연</v>
      </c>
      <c r="E2299" s="9" t="str">
        <f>[1]Discovery!C2305</f>
        <v>천문</v>
      </c>
      <c r="F2299" s="9" t="str">
        <f>[1]Discovery!G2305</f>
        <v>S</v>
      </c>
      <c r="G2299" s="9" t="str">
        <f>IFERROR(VLOOKUP(표1[[#This Row],[명칭]],'문화권 정리'!C:D,2,FALSE),"-")</f>
        <v>천문</v>
      </c>
      <c r="H2299" s="38" t="str">
        <f>IFERROR(COUNTIF([2]OceanDoodad!$Y:$Y,표1[[#This Row],[명칭]]),"-")</f>
        <v>-</v>
      </c>
      <c r="I2299" s="38">
        <f>IFERROR(COUNTIF([1]AdventureDiscoveryGroup!$D$8:$AW$92,표1[[#This Row],[명칭]]),"-")</f>
        <v>0</v>
      </c>
      <c r="J2299" s="38">
        <f>IFERROR(COUNTIF([1]FishDiscoveryGroup!$A:$X,표1[[#This Row],[명칭]]),"-")</f>
        <v>0</v>
      </c>
      <c r="K2299" s="38" t="str">
        <f>IFERROR(COUNTIF([2]Town!$B:$B,표1[[#This Row],[명칭]]),"-")</f>
        <v>-</v>
      </c>
      <c r="L2299" s="38">
        <f>IFERROR(COUNTIF([1]Village!$BR:$BR,표1[[#This Row],[명칭]]),"-")</f>
        <v>0</v>
      </c>
      <c r="M2299" s="38">
        <f>COUNTIF(퀘스트!B:B,표1[[#This Row],[명칭]])</f>
        <v>0</v>
      </c>
      <c r="N2299" s="65">
        <f>COUNTIF([1]VillageDiscoveryGroup!$C:$C,표1[[#This Row],[명칭]])</f>
        <v>0</v>
      </c>
      <c r="O2299" s="65">
        <f>SUM(표1[[#This Row],[해양탐색]:[마을탐험]])</f>
        <v>0</v>
      </c>
    </row>
    <row r="2300" spans="2:15" ht="13.5" customHeight="1" x14ac:dyDescent="0.3">
      <c r="B2300" s="9">
        <f>[1]Discovery!A2306</f>
        <v>70414005</v>
      </c>
      <c r="C2300" s="9" t="str">
        <f>[1]Discovery!B2306</f>
        <v>겨울의 대삼각형</v>
      </c>
      <c r="D2300" s="9" t="str">
        <f>[1]Discovery!E2306</f>
        <v>자연</v>
      </c>
      <c r="E2300" s="9" t="str">
        <f>[1]Discovery!C2306</f>
        <v>천문</v>
      </c>
      <c r="F2300" s="9" t="str">
        <f>[1]Discovery!G2306</f>
        <v>A</v>
      </c>
      <c r="G2300" s="9" t="str">
        <f>IFERROR(VLOOKUP(표1[[#This Row],[명칭]],'문화권 정리'!C:D,2,FALSE),"-")</f>
        <v>천문</v>
      </c>
      <c r="H2300" s="38" t="str">
        <f>IFERROR(COUNTIF([2]OceanDoodad!$Y:$Y,표1[[#This Row],[명칭]]),"-")</f>
        <v>-</v>
      </c>
      <c r="I2300" s="38">
        <f>IFERROR(COUNTIF([1]AdventureDiscoveryGroup!$D$8:$AW$92,표1[[#This Row],[명칭]]),"-")</f>
        <v>0</v>
      </c>
      <c r="J2300" s="38">
        <f>IFERROR(COUNTIF([1]FishDiscoveryGroup!$A:$X,표1[[#This Row],[명칭]]),"-")</f>
        <v>0</v>
      </c>
      <c r="K2300" s="38" t="str">
        <f>IFERROR(COUNTIF([2]Town!$B:$B,표1[[#This Row],[명칭]]),"-")</f>
        <v>-</v>
      </c>
      <c r="L2300" s="38">
        <f>IFERROR(COUNTIF([1]Village!$BR:$BR,표1[[#This Row],[명칭]]),"-")</f>
        <v>0</v>
      </c>
      <c r="M2300" s="38">
        <f>COUNTIF(퀘스트!B:B,표1[[#This Row],[명칭]])</f>
        <v>0</v>
      </c>
      <c r="N2300" s="65">
        <f>COUNTIF([1]VillageDiscoveryGroup!$C:$C,표1[[#This Row],[명칭]])</f>
        <v>0</v>
      </c>
      <c r="O2300" s="65">
        <f>SUM(표1[[#This Row],[해양탐색]:[마을탐험]])</f>
        <v>0</v>
      </c>
    </row>
    <row r="2301" spans="2:15" ht="13.5" customHeight="1" x14ac:dyDescent="0.3">
      <c r="B2301" s="9">
        <f>[1]Discovery!A2307</f>
        <v>70414006</v>
      </c>
      <c r="C2301" s="9" t="str">
        <f>[1]Discovery!B2307</f>
        <v>고래자리</v>
      </c>
      <c r="D2301" s="9" t="str">
        <f>[1]Discovery!E2307</f>
        <v>자연</v>
      </c>
      <c r="E2301" s="9" t="str">
        <f>[1]Discovery!C2307</f>
        <v>천문</v>
      </c>
      <c r="F2301" s="9" t="str">
        <f>[1]Discovery!G2307</f>
        <v>A</v>
      </c>
      <c r="G2301" s="9" t="str">
        <f>IFERROR(VLOOKUP(표1[[#This Row],[명칭]],'문화권 정리'!C:D,2,FALSE),"-")</f>
        <v>천문</v>
      </c>
      <c r="H2301" s="38" t="str">
        <f>IFERROR(COUNTIF([2]OceanDoodad!$Y:$Y,표1[[#This Row],[명칭]]),"-")</f>
        <v>-</v>
      </c>
      <c r="I2301" s="38">
        <f>IFERROR(COUNTIF([1]AdventureDiscoveryGroup!$D$8:$AW$92,표1[[#This Row],[명칭]]),"-")</f>
        <v>0</v>
      </c>
      <c r="J2301" s="38">
        <f>IFERROR(COUNTIF([1]FishDiscoveryGroup!$A:$X,표1[[#This Row],[명칭]]),"-")</f>
        <v>0</v>
      </c>
      <c r="K2301" s="38" t="str">
        <f>IFERROR(COUNTIF([2]Town!$B:$B,표1[[#This Row],[명칭]]),"-")</f>
        <v>-</v>
      </c>
      <c r="L2301" s="38">
        <f>IFERROR(COUNTIF([1]Village!$BR:$BR,표1[[#This Row],[명칭]]),"-")</f>
        <v>0</v>
      </c>
      <c r="M2301" s="38">
        <f>COUNTIF(퀘스트!B:B,표1[[#This Row],[명칭]])</f>
        <v>0</v>
      </c>
      <c r="N2301" s="65">
        <f>COUNTIF([1]VillageDiscoveryGroup!$C:$C,표1[[#This Row],[명칭]])</f>
        <v>0</v>
      </c>
      <c r="O2301" s="65">
        <f>SUM(표1[[#This Row],[해양탐색]:[마을탐험]])</f>
        <v>0</v>
      </c>
    </row>
    <row r="2302" spans="2:15" ht="13.5" customHeight="1" x14ac:dyDescent="0.3">
      <c r="B2302" s="9">
        <f>[1]Discovery!A2308</f>
        <v>70414007</v>
      </c>
      <c r="C2302" s="9" t="str">
        <f>[1]Discovery!B2308</f>
        <v>고물자리</v>
      </c>
      <c r="D2302" s="9" t="str">
        <f>[1]Discovery!E2308</f>
        <v>자연</v>
      </c>
      <c r="E2302" s="9" t="str">
        <f>[1]Discovery!C2308</f>
        <v>천문</v>
      </c>
      <c r="F2302" s="9" t="str">
        <f>[1]Discovery!G2308</f>
        <v>D</v>
      </c>
      <c r="G2302" s="9" t="str">
        <f>IFERROR(VLOOKUP(표1[[#This Row],[명칭]],'문화권 정리'!C:D,2,FALSE),"-")</f>
        <v>천문</v>
      </c>
      <c r="H2302" s="38" t="str">
        <f>IFERROR(COUNTIF([2]OceanDoodad!$Y:$Y,표1[[#This Row],[명칭]]),"-")</f>
        <v>-</v>
      </c>
      <c r="I2302" s="38">
        <f>IFERROR(COUNTIF([1]AdventureDiscoveryGroup!$D$8:$AW$92,표1[[#This Row],[명칭]]),"-")</f>
        <v>0</v>
      </c>
      <c r="J2302" s="38">
        <f>IFERROR(COUNTIF([1]FishDiscoveryGroup!$A:$X,표1[[#This Row],[명칭]]),"-")</f>
        <v>0</v>
      </c>
      <c r="K2302" s="38" t="str">
        <f>IFERROR(COUNTIF([2]Town!$B:$B,표1[[#This Row],[명칭]]),"-")</f>
        <v>-</v>
      </c>
      <c r="L2302" s="38">
        <f>IFERROR(COUNTIF([1]Village!$BR:$BR,표1[[#This Row],[명칭]]),"-")</f>
        <v>0</v>
      </c>
      <c r="M2302" s="38">
        <f>COUNTIF(퀘스트!B:B,표1[[#This Row],[명칭]])</f>
        <v>0</v>
      </c>
      <c r="N2302" s="65">
        <f>COUNTIF([1]VillageDiscoveryGroup!$C:$C,표1[[#This Row],[명칭]])</f>
        <v>0</v>
      </c>
      <c r="O2302" s="65">
        <f>SUM(표1[[#This Row],[해양탐색]:[마을탐험]])</f>
        <v>0</v>
      </c>
    </row>
    <row r="2303" spans="2:15" ht="13.5" customHeight="1" x14ac:dyDescent="0.3">
      <c r="B2303" s="9">
        <f>[1]Discovery!A2309</f>
        <v>70414008</v>
      </c>
      <c r="C2303" s="9" t="str">
        <f>[1]Discovery!B2309</f>
        <v>공작자리</v>
      </c>
      <c r="D2303" s="9" t="str">
        <f>[1]Discovery!E2309</f>
        <v>자연</v>
      </c>
      <c r="E2303" s="9" t="str">
        <f>[1]Discovery!C2309</f>
        <v>천문</v>
      </c>
      <c r="F2303" s="9" t="str">
        <f>[1]Discovery!G2309</f>
        <v>D</v>
      </c>
      <c r="G2303" s="9" t="str">
        <f>IFERROR(VLOOKUP(표1[[#This Row],[명칭]],'문화권 정리'!C:D,2,FALSE),"-")</f>
        <v>천문</v>
      </c>
      <c r="H2303" s="38" t="str">
        <f>IFERROR(COUNTIF([2]OceanDoodad!$Y:$Y,표1[[#This Row],[명칭]]),"-")</f>
        <v>-</v>
      </c>
      <c r="I2303" s="38">
        <f>IFERROR(COUNTIF([1]AdventureDiscoveryGroup!$D$8:$AW$92,표1[[#This Row],[명칭]]),"-")</f>
        <v>0</v>
      </c>
      <c r="J2303" s="38">
        <f>IFERROR(COUNTIF([1]FishDiscoveryGroup!$A:$X,표1[[#This Row],[명칭]]),"-")</f>
        <v>0</v>
      </c>
      <c r="K2303" s="38" t="str">
        <f>IFERROR(COUNTIF([2]Town!$B:$B,표1[[#This Row],[명칭]]),"-")</f>
        <v>-</v>
      </c>
      <c r="L2303" s="38">
        <f>IFERROR(COUNTIF([1]Village!$BR:$BR,표1[[#This Row],[명칭]]),"-")</f>
        <v>0</v>
      </c>
      <c r="M2303" s="38">
        <f>COUNTIF(퀘스트!B:B,표1[[#This Row],[명칭]])</f>
        <v>0</v>
      </c>
      <c r="N2303" s="65">
        <f>COUNTIF([1]VillageDiscoveryGroup!$C:$C,표1[[#This Row],[명칭]])</f>
        <v>0</v>
      </c>
      <c r="O2303" s="65">
        <f>SUM(표1[[#This Row],[해양탐색]:[마을탐험]])</f>
        <v>0</v>
      </c>
    </row>
    <row r="2304" spans="2:15" ht="13.5" customHeight="1" x14ac:dyDescent="0.3">
      <c r="B2304" s="9">
        <f>[1]Discovery!A2310</f>
        <v>70414009</v>
      </c>
      <c r="C2304" s="9" t="str">
        <f>[1]Discovery!B2310</f>
        <v>궁수자리</v>
      </c>
      <c r="D2304" s="9" t="str">
        <f>[1]Discovery!E2310</f>
        <v>자연</v>
      </c>
      <c r="E2304" s="9" t="str">
        <f>[1]Discovery!C2310</f>
        <v>천문</v>
      </c>
      <c r="F2304" s="9" t="str">
        <f>[1]Discovery!G2310</f>
        <v>D</v>
      </c>
      <c r="G2304" s="9" t="str">
        <f>IFERROR(VLOOKUP(표1[[#This Row],[명칭]],'문화권 정리'!C:D,2,FALSE),"-")</f>
        <v>천문</v>
      </c>
      <c r="H2304" s="38" t="str">
        <f>IFERROR(COUNTIF([2]OceanDoodad!$Y:$Y,표1[[#This Row],[명칭]]),"-")</f>
        <v>-</v>
      </c>
      <c r="I2304" s="38">
        <f>IFERROR(COUNTIF([1]AdventureDiscoveryGroup!$D$8:$AW$92,표1[[#This Row],[명칭]]),"-")</f>
        <v>0</v>
      </c>
      <c r="J2304" s="38">
        <f>IFERROR(COUNTIF([1]FishDiscoveryGroup!$A:$X,표1[[#This Row],[명칭]]),"-")</f>
        <v>0</v>
      </c>
      <c r="K2304" s="38" t="str">
        <f>IFERROR(COUNTIF([2]Town!$B:$B,표1[[#This Row],[명칭]]),"-")</f>
        <v>-</v>
      </c>
      <c r="L2304" s="38">
        <f>IFERROR(COUNTIF([1]Village!$BR:$BR,표1[[#This Row],[명칭]]),"-")</f>
        <v>0</v>
      </c>
      <c r="M2304" s="38">
        <f>COUNTIF(퀘스트!B:B,표1[[#This Row],[명칭]])</f>
        <v>1</v>
      </c>
      <c r="N2304" s="65">
        <f>COUNTIF([1]VillageDiscoveryGroup!$C:$C,표1[[#This Row],[명칭]])</f>
        <v>0</v>
      </c>
      <c r="O2304" s="65">
        <f>SUM(표1[[#This Row],[해양탐색]:[마을탐험]])</f>
        <v>1</v>
      </c>
    </row>
    <row r="2305" spans="2:15" ht="13.5" customHeight="1" x14ac:dyDescent="0.3">
      <c r="B2305" s="9">
        <f>[1]Discovery!A2311</f>
        <v>70414010</v>
      </c>
      <c r="C2305" s="9" t="str">
        <f>[1]Discovery!B2311</f>
        <v>그물자리</v>
      </c>
      <c r="D2305" s="9" t="str">
        <f>[1]Discovery!E2311</f>
        <v>자연</v>
      </c>
      <c r="E2305" s="9" t="str">
        <f>[1]Discovery!C2311</f>
        <v>천문</v>
      </c>
      <c r="F2305" s="9" t="str">
        <f>[1]Discovery!G2311</f>
        <v>D</v>
      </c>
      <c r="G2305" s="9" t="str">
        <f>IFERROR(VLOOKUP(표1[[#This Row],[명칭]],'문화권 정리'!C:D,2,FALSE),"-")</f>
        <v>천문</v>
      </c>
      <c r="H2305" s="38" t="str">
        <f>IFERROR(COUNTIF([2]OceanDoodad!$Y:$Y,표1[[#This Row],[명칭]]),"-")</f>
        <v>-</v>
      </c>
      <c r="I2305" s="38">
        <f>IFERROR(COUNTIF([1]AdventureDiscoveryGroup!$D$8:$AW$92,표1[[#This Row],[명칭]]),"-")</f>
        <v>0</v>
      </c>
      <c r="J2305" s="38">
        <f>IFERROR(COUNTIF([1]FishDiscoveryGroup!$A:$X,표1[[#This Row],[명칭]]),"-")</f>
        <v>0</v>
      </c>
      <c r="K2305" s="38" t="str">
        <f>IFERROR(COUNTIF([2]Town!$B:$B,표1[[#This Row],[명칭]]),"-")</f>
        <v>-</v>
      </c>
      <c r="L2305" s="38">
        <f>IFERROR(COUNTIF([1]Village!$BR:$BR,표1[[#This Row],[명칭]]),"-")</f>
        <v>0</v>
      </c>
      <c r="M2305" s="38">
        <f>COUNTIF(퀘스트!B:B,표1[[#This Row],[명칭]])</f>
        <v>0</v>
      </c>
      <c r="N2305" s="65">
        <f>COUNTIF([1]VillageDiscoveryGroup!$C:$C,표1[[#This Row],[명칭]])</f>
        <v>0</v>
      </c>
      <c r="O2305" s="65">
        <f>SUM(표1[[#This Row],[해양탐색]:[마을탐험]])</f>
        <v>0</v>
      </c>
    </row>
    <row r="2306" spans="2:15" ht="13.5" customHeight="1" x14ac:dyDescent="0.3">
      <c r="B2306" s="9">
        <f>[1]Discovery!A2312</f>
        <v>70414011</v>
      </c>
      <c r="C2306" s="9" t="str">
        <f>[1]Discovery!B2312</f>
        <v>금성</v>
      </c>
      <c r="D2306" s="9" t="str">
        <f>[1]Discovery!E2312</f>
        <v>자연</v>
      </c>
      <c r="E2306" s="9" t="str">
        <f>[1]Discovery!C2312</f>
        <v>천문</v>
      </c>
      <c r="F2306" s="9" t="str">
        <f>[1]Discovery!G2312</f>
        <v>B</v>
      </c>
      <c r="G2306" s="9" t="str">
        <f>IFERROR(VLOOKUP(표1[[#This Row],[명칭]],'문화권 정리'!C:D,2,FALSE),"-")</f>
        <v>천문</v>
      </c>
      <c r="H2306" s="38" t="str">
        <f>IFERROR(COUNTIF([2]OceanDoodad!$Y:$Y,표1[[#This Row],[명칭]]),"-")</f>
        <v>-</v>
      </c>
      <c r="I2306" s="38">
        <f>IFERROR(COUNTIF([1]AdventureDiscoveryGroup!$D$8:$AW$92,표1[[#This Row],[명칭]]),"-")</f>
        <v>0</v>
      </c>
      <c r="J2306" s="38">
        <f>IFERROR(COUNTIF([1]FishDiscoveryGroup!$A:$X,표1[[#This Row],[명칭]]),"-")</f>
        <v>0</v>
      </c>
      <c r="K2306" s="38" t="str">
        <f>IFERROR(COUNTIF([2]Town!$B:$B,표1[[#This Row],[명칭]]),"-")</f>
        <v>-</v>
      </c>
      <c r="L2306" s="38">
        <f>IFERROR(COUNTIF([1]Village!$BR:$BR,표1[[#This Row],[명칭]]),"-")</f>
        <v>0</v>
      </c>
      <c r="M2306" s="38">
        <f>COUNTIF(퀘스트!B:B,표1[[#This Row],[명칭]])</f>
        <v>0</v>
      </c>
      <c r="N2306" s="65">
        <f>COUNTIF([1]VillageDiscoveryGroup!$C:$C,표1[[#This Row],[명칭]])</f>
        <v>0</v>
      </c>
      <c r="O2306" s="65">
        <f>SUM(표1[[#This Row],[해양탐색]:[마을탐험]])</f>
        <v>0</v>
      </c>
    </row>
    <row r="2307" spans="2:15" ht="13.5" customHeight="1" x14ac:dyDescent="0.3">
      <c r="B2307" s="9">
        <f>[1]Discovery!A2313</f>
        <v>70414012</v>
      </c>
      <c r="C2307" s="9" t="str">
        <f>[1]Discovery!B2313</f>
        <v>금성의 영휴</v>
      </c>
      <c r="D2307" s="9" t="str">
        <f>[1]Discovery!E2313</f>
        <v>자연</v>
      </c>
      <c r="E2307" s="9" t="str">
        <f>[1]Discovery!C2313</f>
        <v>천문</v>
      </c>
      <c r="F2307" s="9" t="str">
        <f>[1]Discovery!G2313</f>
        <v>A</v>
      </c>
      <c r="G2307" s="9" t="str">
        <f>IFERROR(VLOOKUP(표1[[#This Row],[명칭]],'문화권 정리'!C:D,2,FALSE),"-")</f>
        <v>천문</v>
      </c>
      <c r="H2307" s="38" t="str">
        <f>IFERROR(COUNTIF([2]OceanDoodad!$Y:$Y,표1[[#This Row],[명칭]]),"-")</f>
        <v>-</v>
      </c>
      <c r="I2307" s="38">
        <f>IFERROR(COUNTIF([1]AdventureDiscoveryGroup!$D$8:$AW$92,표1[[#This Row],[명칭]]),"-")</f>
        <v>0</v>
      </c>
      <c r="J2307" s="38">
        <f>IFERROR(COUNTIF([1]FishDiscoveryGroup!$A:$X,표1[[#This Row],[명칭]]),"-")</f>
        <v>0</v>
      </c>
      <c r="K2307" s="38" t="str">
        <f>IFERROR(COUNTIF([2]Town!$B:$B,표1[[#This Row],[명칭]]),"-")</f>
        <v>-</v>
      </c>
      <c r="L2307" s="38">
        <f>IFERROR(COUNTIF([1]Village!$BR:$BR,표1[[#This Row],[명칭]]),"-")</f>
        <v>0</v>
      </c>
      <c r="M2307" s="38">
        <f>COUNTIF(퀘스트!B:B,표1[[#This Row],[명칭]])</f>
        <v>0</v>
      </c>
      <c r="N2307" s="65">
        <f>COUNTIF([1]VillageDiscoveryGroup!$C:$C,표1[[#This Row],[명칭]])</f>
        <v>0</v>
      </c>
      <c r="O2307" s="65">
        <f>SUM(표1[[#This Row],[해양탐색]:[마을탐험]])</f>
        <v>0</v>
      </c>
    </row>
    <row r="2308" spans="2:15" ht="13.5" customHeight="1" x14ac:dyDescent="0.3">
      <c r="B2308" s="9">
        <f>[1]Discovery!A2314</f>
        <v>70414013</v>
      </c>
      <c r="C2308" s="9" t="str">
        <f>[1]Discovery!B2314</f>
        <v>까마귀자리</v>
      </c>
      <c r="D2308" s="9" t="str">
        <f>[1]Discovery!E2314</f>
        <v>자연</v>
      </c>
      <c r="E2308" s="9" t="str">
        <f>[1]Discovery!C2314</f>
        <v>천문</v>
      </c>
      <c r="F2308" s="9" t="str">
        <f>[1]Discovery!G2314</f>
        <v>D</v>
      </c>
      <c r="G2308" s="9" t="str">
        <f>IFERROR(VLOOKUP(표1[[#This Row],[명칭]],'문화권 정리'!C:D,2,FALSE),"-")</f>
        <v>천문</v>
      </c>
      <c r="H2308" s="38" t="str">
        <f>IFERROR(COUNTIF([2]OceanDoodad!$Y:$Y,표1[[#This Row],[명칭]]),"-")</f>
        <v>-</v>
      </c>
      <c r="I2308" s="38">
        <f>IFERROR(COUNTIF([1]AdventureDiscoveryGroup!$D$8:$AW$92,표1[[#This Row],[명칭]]),"-")</f>
        <v>0</v>
      </c>
      <c r="J2308" s="38">
        <f>IFERROR(COUNTIF([1]FishDiscoveryGroup!$A:$X,표1[[#This Row],[명칭]]),"-")</f>
        <v>0</v>
      </c>
      <c r="K2308" s="38" t="str">
        <f>IFERROR(COUNTIF([2]Town!$B:$B,표1[[#This Row],[명칭]]),"-")</f>
        <v>-</v>
      </c>
      <c r="L2308" s="38">
        <f>IFERROR(COUNTIF([1]Village!$BR:$BR,표1[[#This Row],[명칭]]),"-")</f>
        <v>0</v>
      </c>
      <c r="M2308" s="38">
        <f>COUNTIF(퀘스트!B:B,표1[[#This Row],[명칭]])</f>
        <v>0</v>
      </c>
      <c r="N2308" s="65">
        <f>COUNTIF([1]VillageDiscoveryGroup!$C:$C,표1[[#This Row],[명칭]])</f>
        <v>0</v>
      </c>
      <c r="O2308" s="65">
        <f>SUM(표1[[#This Row],[해양탐색]:[마을탐험]])</f>
        <v>0</v>
      </c>
    </row>
    <row r="2309" spans="2:15" ht="13.5" customHeight="1" x14ac:dyDescent="0.3">
      <c r="B2309" s="9">
        <f>[1]Discovery!A2315</f>
        <v>70414014</v>
      </c>
      <c r="C2309" s="9" t="str">
        <f>[1]Discovery!B2315</f>
        <v>날치자리</v>
      </c>
      <c r="D2309" s="9" t="str">
        <f>[1]Discovery!E2315</f>
        <v>자연</v>
      </c>
      <c r="E2309" s="9" t="str">
        <f>[1]Discovery!C2315</f>
        <v>천문</v>
      </c>
      <c r="F2309" s="9" t="str">
        <f>[1]Discovery!G2315</f>
        <v>C</v>
      </c>
      <c r="G2309" s="9" t="str">
        <f>IFERROR(VLOOKUP(표1[[#This Row],[명칭]],'문화권 정리'!C:D,2,FALSE),"-")</f>
        <v>천문</v>
      </c>
      <c r="H2309" s="38" t="str">
        <f>IFERROR(COUNTIF([2]OceanDoodad!$Y:$Y,표1[[#This Row],[명칭]]),"-")</f>
        <v>-</v>
      </c>
      <c r="I2309" s="38">
        <f>IFERROR(COUNTIF([1]AdventureDiscoveryGroup!$D$8:$AW$92,표1[[#This Row],[명칭]]),"-")</f>
        <v>0</v>
      </c>
      <c r="J2309" s="38">
        <f>IFERROR(COUNTIF([1]FishDiscoveryGroup!$A:$X,표1[[#This Row],[명칭]]),"-")</f>
        <v>0</v>
      </c>
      <c r="K2309" s="38" t="str">
        <f>IFERROR(COUNTIF([2]Town!$B:$B,표1[[#This Row],[명칭]]),"-")</f>
        <v>-</v>
      </c>
      <c r="L2309" s="38">
        <f>IFERROR(COUNTIF([1]Village!$BR:$BR,표1[[#This Row],[명칭]]),"-")</f>
        <v>0</v>
      </c>
      <c r="M2309" s="38">
        <f>COUNTIF(퀘스트!B:B,표1[[#This Row],[명칭]])</f>
        <v>0</v>
      </c>
      <c r="N2309" s="65">
        <f>COUNTIF([1]VillageDiscoveryGroup!$C:$C,표1[[#This Row],[명칭]])</f>
        <v>0</v>
      </c>
      <c r="O2309" s="65">
        <f>SUM(표1[[#This Row],[해양탐색]:[마을탐험]])</f>
        <v>0</v>
      </c>
    </row>
    <row r="2310" spans="2:15" ht="13.5" customHeight="1" x14ac:dyDescent="0.3">
      <c r="B2310" s="9">
        <f>[1]Discovery!A2316</f>
        <v>70414015</v>
      </c>
      <c r="C2310" s="9" t="str">
        <f>[1]Discovery!B2316</f>
        <v>남십자자리</v>
      </c>
      <c r="D2310" s="9" t="str">
        <f>[1]Discovery!E2316</f>
        <v>자연</v>
      </c>
      <c r="E2310" s="9" t="str">
        <f>[1]Discovery!C2316</f>
        <v>천문</v>
      </c>
      <c r="F2310" s="9" t="str">
        <f>[1]Discovery!G2316</f>
        <v>D</v>
      </c>
      <c r="G2310" s="9" t="str">
        <f>IFERROR(VLOOKUP(표1[[#This Row],[명칭]],'문화권 정리'!C:D,2,FALSE),"-")</f>
        <v>천문</v>
      </c>
      <c r="H2310" s="38" t="str">
        <f>IFERROR(COUNTIF([2]OceanDoodad!$Y:$Y,표1[[#This Row],[명칭]]),"-")</f>
        <v>-</v>
      </c>
      <c r="I2310" s="38">
        <f>IFERROR(COUNTIF([1]AdventureDiscoveryGroup!$D$8:$AW$92,표1[[#This Row],[명칭]]),"-")</f>
        <v>0</v>
      </c>
      <c r="J2310" s="38">
        <f>IFERROR(COUNTIF([1]FishDiscoveryGroup!$A:$X,표1[[#This Row],[명칭]]),"-")</f>
        <v>0</v>
      </c>
      <c r="K2310" s="38" t="str">
        <f>IFERROR(COUNTIF([2]Town!$B:$B,표1[[#This Row],[명칭]]),"-")</f>
        <v>-</v>
      </c>
      <c r="L2310" s="38">
        <f>IFERROR(COUNTIF([1]Village!$BR:$BR,표1[[#This Row],[명칭]]),"-")</f>
        <v>0</v>
      </c>
      <c r="M2310" s="38">
        <f>COUNTIF(퀘스트!B:B,표1[[#This Row],[명칭]])</f>
        <v>1</v>
      </c>
      <c r="N2310" s="65">
        <f>COUNTIF([1]VillageDiscoveryGroup!$C:$C,표1[[#This Row],[명칭]])</f>
        <v>0</v>
      </c>
      <c r="O2310" s="65">
        <f>SUM(표1[[#This Row],[해양탐색]:[마을탐험]])</f>
        <v>1</v>
      </c>
    </row>
    <row r="2311" spans="2:15" ht="13.5" customHeight="1" x14ac:dyDescent="0.3">
      <c r="B2311" s="9">
        <f>[1]Discovery!A2317</f>
        <v>70414016</v>
      </c>
      <c r="C2311" s="9" t="str">
        <f>[1]Discovery!B2317</f>
        <v>남쪽물고기자리</v>
      </c>
      <c r="D2311" s="9" t="str">
        <f>[1]Discovery!E2317</f>
        <v>자연</v>
      </c>
      <c r="E2311" s="9" t="str">
        <f>[1]Discovery!C2317</f>
        <v>천문</v>
      </c>
      <c r="F2311" s="9" t="str">
        <f>[1]Discovery!G2317</f>
        <v>D</v>
      </c>
      <c r="G2311" s="9" t="str">
        <f>IFERROR(VLOOKUP(표1[[#This Row],[명칭]],'문화권 정리'!C:D,2,FALSE),"-")</f>
        <v>천문</v>
      </c>
      <c r="H2311" s="38" t="str">
        <f>IFERROR(COUNTIF([2]OceanDoodad!$Y:$Y,표1[[#This Row],[명칭]]),"-")</f>
        <v>-</v>
      </c>
      <c r="I2311" s="38">
        <f>IFERROR(COUNTIF([1]AdventureDiscoveryGroup!$D$8:$AW$92,표1[[#This Row],[명칭]]),"-")</f>
        <v>0</v>
      </c>
      <c r="J2311" s="38">
        <f>IFERROR(COUNTIF([1]FishDiscoveryGroup!$A:$X,표1[[#This Row],[명칭]]),"-")</f>
        <v>0</v>
      </c>
      <c r="K2311" s="38" t="str">
        <f>IFERROR(COUNTIF([2]Town!$B:$B,표1[[#This Row],[명칭]]),"-")</f>
        <v>-</v>
      </c>
      <c r="L2311" s="38">
        <f>IFERROR(COUNTIF([1]Village!$BR:$BR,표1[[#This Row],[명칭]]),"-")</f>
        <v>0</v>
      </c>
      <c r="M2311" s="38">
        <f>COUNTIF(퀘스트!B:B,표1[[#This Row],[명칭]])</f>
        <v>0</v>
      </c>
      <c r="N2311" s="65">
        <f>COUNTIF([1]VillageDiscoveryGroup!$C:$C,표1[[#This Row],[명칭]])</f>
        <v>0</v>
      </c>
      <c r="O2311" s="65">
        <f>SUM(표1[[#This Row],[해양탐색]:[마을탐험]])</f>
        <v>0</v>
      </c>
    </row>
    <row r="2312" spans="2:15" ht="13.5" customHeight="1" x14ac:dyDescent="0.3">
      <c r="B2312" s="9">
        <f>[1]Discovery!A2318</f>
        <v>70414017</v>
      </c>
      <c r="C2312" s="9" t="str">
        <f>[1]Discovery!B2318</f>
        <v>남쪽삼각형자리</v>
      </c>
      <c r="D2312" s="9" t="str">
        <f>[1]Discovery!E2318</f>
        <v>자연</v>
      </c>
      <c r="E2312" s="9" t="str">
        <f>[1]Discovery!C2318</f>
        <v>천문</v>
      </c>
      <c r="F2312" s="9" t="str">
        <f>[1]Discovery!G2318</f>
        <v>D</v>
      </c>
      <c r="G2312" s="9" t="str">
        <f>IFERROR(VLOOKUP(표1[[#This Row],[명칭]],'문화권 정리'!C:D,2,FALSE),"-")</f>
        <v>천문</v>
      </c>
      <c r="H2312" s="38" t="str">
        <f>IFERROR(COUNTIF([2]OceanDoodad!$Y:$Y,표1[[#This Row],[명칭]]),"-")</f>
        <v>-</v>
      </c>
      <c r="I2312" s="38">
        <f>IFERROR(COUNTIF([1]AdventureDiscoveryGroup!$D$8:$AW$92,표1[[#This Row],[명칭]]),"-")</f>
        <v>0</v>
      </c>
      <c r="J2312" s="38">
        <f>IFERROR(COUNTIF([1]FishDiscoveryGroup!$A:$X,표1[[#This Row],[명칭]]),"-")</f>
        <v>0</v>
      </c>
      <c r="K2312" s="38" t="str">
        <f>IFERROR(COUNTIF([2]Town!$B:$B,표1[[#This Row],[명칭]]),"-")</f>
        <v>-</v>
      </c>
      <c r="L2312" s="38">
        <f>IFERROR(COUNTIF([1]Village!$BR:$BR,표1[[#This Row],[명칭]]),"-")</f>
        <v>0</v>
      </c>
      <c r="M2312" s="38">
        <f>COUNTIF(퀘스트!B:B,표1[[#This Row],[명칭]])</f>
        <v>0</v>
      </c>
      <c r="N2312" s="65">
        <f>COUNTIF([1]VillageDiscoveryGroup!$C:$C,표1[[#This Row],[명칭]])</f>
        <v>0</v>
      </c>
      <c r="O2312" s="65">
        <f>SUM(표1[[#This Row],[해양탐색]:[마을탐험]])</f>
        <v>0</v>
      </c>
    </row>
    <row r="2313" spans="2:15" ht="13.5" customHeight="1" x14ac:dyDescent="0.3">
      <c r="B2313" s="9">
        <f>[1]Discovery!A2319</f>
        <v>70414018</v>
      </c>
      <c r="C2313" s="9" t="str">
        <f>[1]Discovery!B2319</f>
        <v>대혜성</v>
      </c>
      <c r="D2313" s="9" t="str">
        <f>[1]Discovery!E2319</f>
        <v>자연</v>
      </c>
      <c r="E2313" s="9" t="str">
        <f>[1]Discovery!C2319</f>
        <v>천문</v>
      </c>
      <c r="F2313" s="9" t="str">
        <f>[1]Discovery!G2319</f>
        <v>S</v>
      </c>
      <c r="G2313" s="9" t="str">
        <f>IFERROR(VLOOKUP(표1[[#This Row],[명칭]],'문화권 정리'!C:D,2,FALSE),"-")</f>
        <v>천문</v>
      </c>
      <c r="H2313" s="38" t="str">
        <f>IFERROR(COUNTIF([2]OceanDoodad!$Y:$Y,표1[[#This Row],[명칭]]),"-")</f>
        <v>-</v>
      </c>
      <c r="I2313" s="38">
        <f>IFERROR(COUNTIF([1]AdventureDiscoveryGroup!$D$8:$AW$92,표1[[#This Row],[명칭]]),"-")</f>
        <v>0</v>
      </c>
      <c r="J2313" s="38">
        <f>IFERROR(COUNTIF([1]FishDiscoveryGroup!$A:$X,표1[[#This Row],[명칭]]),"-")</f>
        <v>0</v>
      </c>
      <c r="K2313" s="38" t="str">
        <f>IFERROR(COUNTIF([2]Town!$B:$B,표1[[#This Row],[명칭]]),"-")</f>
        <v>-</v>
      </c>
      <c r="L2313" s="38">
        <f>IFERROR(COUNTIF([1]Village!$BR:$BR,표1[[#This Row],[명칭]]),"-")</f>
        <v>0</v>
      </c>
      <c r="M2313" s="38">
        <f>COUNTIF(퀘스트!B:B,표1[[#This Row],[명칭]])</f>
        <v>0</v>
      </c>
      <c r="N2313" s="65">
        <f>COUNTIF([1]VillageDiscoveryGroup!$C:$C,표1[[#This Row],[명칭]])</f>
        <v>0</v>
      </c>
      <c r="O2313" s="65">
        <f>SUM(표1[[#This Row],[해양탐색]:[마을탐험]])</f>
        <v>0</v>
      </c>
    </row>
    <row r="2314" spans="2:15" ht="13.5" customHeight="1" x14ac:dyDescent="0.3">
      <c r="B2314" s="9">
        <f>[1]Discovery!A2320</f>
        <v>70414019</v>
      </c>
      <c r="C2314" s="9" t="str">
        <f>[1]Discovery!B2320</f>
        <v>데네볼라</v>
      </c>
      <c r="D2314" s="9" t="str">
        <f>[1]Discovery!E2320</f>
        <v>자연</v>
      </c>
      <c r="E2314" s="9" t="str">
        <f>[1]Discovery!C2320</f>
        <v>천문</v>
      </c>
      <c r="F2314" s="9" t="str">
        <f>[1]Discovery!G2320</f>
        <v>B</v>
      </c>
      <c r="G2314" s="9" t="str">
        <f>IFERROR(VLOOKUP(표1[[#This Row],[명칭]],'문화권 정리'!C:D,2,FALSE),"-")</f>
        <v>천문</v>
      </c>
      <c r="H2314" s="38" t="str">
        <f>IFERROR(COUNTIF([2]OceanDoodad!$Y:$Y,표1[[#This Row],[명칭]]),"-")</f>
        <v>-</v>
      </c>
      <c r="I2314" s="38">
        <f>IFERROR(COUNTIF([1]AdventureDiscoveryGroup!$D$8:$AW$92,표1[[#This Row],[명칭]]),"-")</f>
        <v>0</v>
      </c>
      <c r="J2314" s="38">
        <f>IFERROR(COUNTIF([1]FishDiscoveryGroup!$A:$X,표1[[#This Row],[명칭]]),"-")</f>
        <v>0</v>
      </c>
      <c r="K2314" s="38" t="str">
        <f>IFERROR(COUNTIF([2]Town!$B:$B,표1[[#This Row],[명칭]]),"-")</f>
        <v>-</v>
      </c>
      <c r="L2314" s="38">
        <f>IFERROR(COUNTIF([1]Village!$BR:$BR,표1[[#This Row],[명칭]]),"-")</f>
        <v>0</v>
      </c>
      <c r="M2314" s="38">
        <f>COUNTIF(퀘스트!B:B,표1[[#This Row],[명칭]])</f>
        <v>0</v>
      </c>
      <c r="N2314" s="65">
        <f>COUNTIF([1]VillageDiscoveryGroup!$C:$C,표1[[#This Row],[명칭]])</f>
        <v>0</v>
      </c>
      <c r="O2314" s="65">
        <f>SUM(표1[[#This Row],[해양탐색]:[마을탐험]])</f>
        <v>0</v>
      </c>
    </row>
    <row r="2315" spans="2:15" ht="13.5" customHeight="1" x14ac:dyDescent="0.3">
      <c r="B2315" s="9">
        <f>[1]Discovery!A2321</f>
        <v>70414020</v>
      </c>
      <c r="C2315" s="9" t="str">
        <f>[1]Discovery!B2321</f>
        <v>데네브</v>
      </c>
      <c r="D2315" s="9" t="str">
        <f>[1]Discovery!E2321</f>
        <v>자연</v>
      </c>
      <c r="E2315" s="9" t="str">
        <f>[1]Discovery!C2321</f>
        <v>천문</v>
      </c>
      <c r="F2315" s="9" t="str">
        <f>[1]Discovery!G2321</f>
        <v>B</v>
      </c>
      <c r="G2315" s="9" t="str">
        <f>IFERROR(VLOOKUP(표1[[#This Row],[명칭]],'문화권 정리'!C:D,2,FALSE),"-")</f>
        <v>천문</v>
      </c>
      <c r="H2315" s="38" t="str">
        <f>IFERROR(COUNTIF([2]OceanDoodad!$Y:$Y,표1[[#This Row],[명칭]]),"-")</f>
        <v>-</v>
      </c>
      <c r="I2315" s="38">
        <f>IFERROR(COUNTIF([1]AdventureDiscoveryGroup!$D$8:$AW$92,표1[[#This Row],[명칭]]),"-")</f>
        <v>0</v>
      </c>
      <c r="J2315" s="38">
        <f>IFERROR(COUNTIF([1]FishDiscoveryGroup!$A:$X,표1[[#This Row],[명칭]]),"-")</f>
        <v>0</v>
      </c>
      <c r="K2315" s="38" t="str">
        <f>IFERROR(COUNTIF([2]Town!$B:$B,표1[[#This Row],[명칭]]),"-")</f>
        <v>-</v>
      </c>
      <c r="L2315" s="38">
        <f>IFERROR(COUNTIF([1]Village!$BR:$BR,표1[[#This Row],[명칭]]),"-")</f>
        <v>0</v>
      </c>
      <c r="M2315" s="38">
        <f>COUNTIF(퀘스트!B:B,표1[[#This Row],[명칭]])</f>
        <v>0</v>
      </c>
      <c r="N2315" s="65">
        <f>COUNTIF([1]VillageDiscoveryGroup!$C:$C,표1[[#This Row],[명칭]])</f>
        <v>0</v>
      </c>
      <c r="O2315" s="65">
        <f>SUM(표1[[#This Row],[해양탐색]:[마을탐험]])</f>
        <v>0</v>
      </c>
    </row>
    <row r="2316" spans="2:15" ht="13.5" customHeight="1" x14ac:dyDescent="0.3">
      <c r="B2316" s="9">
        <f>[1]Discovery!A2322</f>
        <v>70414021</v>
      </c>
      <c r="C2316" s="9" t="str">
        <f>[1]Discovery!B2322</f>
        <v>독수리자리</v>
      </c>
      <c r="D2316" s="9" t="str">
        <f>[1]Discovery!E2322</f>
        <v>자연</v>
      </c>
      <c r="E2316" s="9" t="str">
        <f>[1]Discovery!C2322</f>
        <v>천문</v>
      </c>
      <c r="F2316" s="9" t="str">
        <f>[1]Discovery!G2322</f>
        <v>B</v>
      </c>
      <c r="G2316" s="9" t="str">
        <f>IFERROR(VLOOKUP(표1[[#This Row],[명칭]],'문화권 정리'!C:D,2,FALSE),"-")</f>
        <v>천문</v>
      </c>
      <c r="H2316" s="38" t="str">
        <f>IFERROR(COUNTIF([2]OceanDoodad!$Y:$Y,표1[[#This Row],[명칭]]),"-")</f>
        <v>-</v>
      </c>
      <c r="I2316" s="38">
        <f>IFERROR(COUNTIF([1]AdventureDiscoveryGroup!$D$8:$AW$92,표1[[#This Row],[명칭]]),"-")</f>
        <v>0</v>
      </c>
      <c r="J2316" s="38">
        <f>IFERROR(COUNTIF([1]FishDiscoveryGroup!$A:$X,표1[[#This Row],[명칭]]),"-")</f>
        <v>0</v>
      </c>
      <c r="K2316" s="38" t="str">
        <f>IFERROR(COUNTIF([2]Town!$B:$B,표1[[#This Row],[명칭]]),"-")</f>
        <v>-</v>
      </c>
      <c r="L2316" s="38">
        <f>IFERROR(COUNTIF([1]Village!$BR:$BR,표1[[#This Row],[명칭]]),"-")</f>
        <v>0</v>
      </c>
      <c r="M2316" s="38">
        <f>COUNTIF(퀘스트!B:B,표1[[#This Row],[명칭]])</f>
        <v>0</v>
      </c>
      <c r="N2316" s="65">
        <f>COUNTIF([1]VillageDiscoveryGroup!$C:$C,표1[[#This Row],[명칭]])</f>
        <v>0</v>
      </c>
      <c r="O2316" s="65">
        <f>SUM(표1[[#This Row],[해양탐색]:[마을탐험]])</f>
        <v>0</v>
      </c>
    </row>
    <row r="2317" spans="2:15" ht="13.5" customHeight="1" x14ac:dyDescent="0.3">
      <c r="B2317" s="9">
        <f>[1]Discovery!A2323</f>
        <v>70414022</v>
      </c>
      <c r="C2317" s="9" t="str">
        <f>[1]Discovery!B2323</f>
        <v>돌고래자리</v>
      </c>
      <c r="D2317" s="9" t="str">
        <f>[1]Discovery!E2323</f>
        <v>자연</v>
      </c>
      <c r="E2317" s="9" t="str">
        <f>[1]Discovery!C2323</f>
        <v>천문</v>
      </c>
      <c r="F2317" s="9" t="str">
        <f>[1]Discovery!G2323</f>
        <v>D</v>
      </c>
      <c r="G2317" s="9" t="str">
        <f>IFERROR(VLOOKUP(표1[[#This Row],[명칭]],'문화권 정리'!C:D,2,FALSE),"-")</f>
        <v>천문</v>
      </c>
      <c r="H2317" s="38" t="str">
        <f>IFERROR(COUNTIF([2]OceanDoodad!$Y:$Y,표1[[#This Row],[명칭]]),"-")</f>
        <v>-</v>
      </c>
      <c r="I2317" s="38">
        <f>IFERROR(COUNTIF([1]AdventureDiscoveryGroup!$D$8:$AW$92,표1[[#This Row],[명칭]]),"-")</f>
        <v>0</v>
      </c>
      <c r="J2317" s="38">
        <f>IFERROR(COUNTIF([1]FishDiscoveryGroup!$A:$X,표1[[#This Row],[명칭]]),"-")</f>
        <v>0</v>
      </c>
      <c r="K2317" s="38" t="str">
        <f>IFERROR(COUNTIF([2]Town!$B:$B,표1[[#This Row],[명칭]]),"-")</f>
        <v>-</v>
      </c>
      <c r="L2317" s="38">
        <f>IFERROR(COUNTIF([1]Village!$BR:$BR,표1[[#This Row],[명칭]]),"-")</f>
        <v>0</v>
      </c>
      <c r="M2317" s="38">
        <f>COUNTIF(퀘스트!B:B,표1[[#This Row],[명칭]])</f>
        <v>0</v>
      </c>
      <c r="N2317" s="65">
        <f>COUNTIF([1]VillageDiscoveryGroup!$C:$C,표1[[#This Row],[명칭]])</f>
        <v>0</v>
      </c>
      <c r="O2317" s="65">
        <f>SUM(표1[[#This Row],[해양탐색]:[마을탐험]])</f>
        <v>0</v>
      </c>
    </row>
    <row r="2318" spans="2:15" ht="13.5" customHeight="1" x14ac:dyDescent="0.3">
      <c r="B2318" s="9">
        <f>[1]Discovery!A2324</f>
        <v>70414023</v>
      </c>
      <c r="C2318" s="9" t="str">
        <f>[1]Discovery!B2324</f>
        <v>돛자리</v>
      </c>
      <c r="D2318" s="9" t="str">
        <f>[1]Discovery!E2324</f>
        <v>자연</v>
      </c>
      <c r="E2318" s="9" t="str">
        <f>[1]Discovery!C2324</f>
        <v>천문</v>
      </c>
      <c r="F2318" s="9" t="str">
        <f>[1]Discovery!G2324</f>
        <v>D</v>
      </c>
      <c r="G2318" s="9" t="str">
        <f>IFERROR(VLOOKUP(표1[[#This Row],[명칭]],'문화권 정리'!C:D,2,FALSE),"-")</f>
        <v>천문</v>
      </c>
      <c r="H2318" s="38" t="str">
        <f>IFERROR(COUNTIF([2]OceanDoodad!$Y:$Y,표1[[#This Row],[명칭]]),"-")</f>
        <v>-</v>
      </c>
      <c r="I2318" s="38">
        <f>IFERROR(COUNTIF([1]AdventureDiscoveryGroup!$D$8:$AW$92,표1[[#This Row],[명칭]]),"-")</f>
        <v>0</v>
      </c>
      <c r="J2318" s="38">
        <f>IFERROR(COUNTIF([1]FishDiscoveryGroup!$A:$X,표1[[#This Row],[명칭]]),"-")</f>
        <v>0</v>
      </c>
      <c r="K2318" s="38" t="str">
        <f>IFERROR(COUNTIF([2]Town!$B:$B,표1[[#This Row],[명칭]]),"-")</f>
        <v>-</v>
      </c>
      <c r="L2318" s="38">
        <f>IFERROR(COUNTIF([1]Village!$BR:$BR,표1[[#This Row],[명칭]]),"-")</f>
        <v>0</v>
      </c>
      <c r="M2318" s="38">
        <f>COUNTIF(퀘스트!B:B,표1[[#This Row],[명칭]])</f>
        <v>0</v>
      </c>
      <c r="N2318" s="65">
        <f>COUNTIF([1]VillageDiscoveryGroup!$C:$C,표1[[#This Row],[명칭]])</f>
        <v>0</v>
      </c>
      <c r="O2318" s="65">
        <f>SUM(표1[[#This Row],[해양탐색]:[마을탐험]])</f>
        <v>0</v>
      </c>
    </row>
    <row r="2319" spans="2:15" ht="13.5" customHeight="1" x14ac:dyDescent="0.3">
      <c r="B2319" s="9">
        <f>[1]Discovery!A2325</f>
        <v>70414024</v>
      </c>
      <c r="C2319" s="9" t="str">
        <f>[1]Discovery!B2325</f>
        <v>두루미자리</v>
      </c>
      <c r="D2319" s="9" t="str">
        <f>[1]Discovery!E2325</f>
        <v>자연</v>
      </c>
      <c r="E2319" s="9" t="str">
        <f>[1]Discovery!C2325</f>
        <v>천문</v>
      </c>
      <c r="F2319" s="9" t="str">
        <f>[1]Discovery!G2325</f>
        <v>D</v>
      </c>
      <c r="G2319" s="9" t="str">
        <f>IFERROR(VLOOKUP(표1[[#This Row],[명칭]],'문화권 정리'!C:D,2,FALSE),"-")</f>
        <v>천문</v>
      </c>
      <c r="H2319" s="38" t="str">
        <f>IFERROR(COUNTIF([2]OceanDoodad!$Y:$Y,표1[[#This Row],[명칭]]),"-")</f>
        <v>-</v>
      </c>
      <c r="I2319" s="38">
        <f>IFERROR(COUNTIF([1]AdventureDiscoveryGroup!$D$8:$AW$92,표1[[#This Row],[명칭]]),"-")</f>
        <v>0</v>
      </c>
      <c r="J2319" s="38">
        <f>IFERROR(COUNTIF([1]FishDiscoveryGroup!$A:$X,표1[[#This Row],[명칭]]),"-")</f>
        <v>0</v>
      </c>
      <c r="K2319" s="38" t="str">
        <f>IFERROR(COUNTIF([2]Town!$B:$B,표1[[#This Row],[명칭]]),"-")</f>
        <v>-</v>
      </c>
      <c r="L2319" s="38">
        <f>IFERROR(COUNTIF([1]Village!$BR:$BR,표1[[#This Row],[명칭]]),"-")</f>
        <v>0</v>
      </c>
      <c r="M2319" s="38">
        <f>COUNTIF(퀘스트!B:B,표1[[#This Row],[명칭]])</f>
        <v>0</v>
      </c>
      <c r="N2319" s="65">
        <f>COUNTIF([1]VillageDiscoveryGroup!$C:$C,표1[[#This Row],[명칭]])</f>
        <v>0</v>
      </c>
      <c r="O2319" s="65">
        <f>SUM(표1[[#This Row],[해양탐색]:[마을탐험]])</f>
        <v>0</v>
      </c>
    </row>
    <row r="2320" spans="2:15" ht="13.5" customHeight="1" x14ac:dyDescent="0.3">
      <c r="B2320" s="9">
        <f>[1]Discovery!A2326</f>
        <v>70414025</v>
      </c>
      <c r="C2320" s="9" t="str">
        <f>[1]Discovery!B2326</f>
        <v>레굴루스</v>
      </c>
      <c r="D2320" s="9" t="str">
        <f>[1]Discovery!E2326</f>
        <v>자연</v>
      </c>
      <c r="E2320" s="9" t="str">
        <f>[1]Discovery!C2326</f>
        <v>천문</v>
      </c>
      <c r="F2320" s="9" t="str">
        <f>[1]Discovery!G2326</f>
        <v>A</v>
      </c>
      <c r="G2320" s="9" t="str">
        <f>IFERROR(VLOOKUP(표1[[#This Row],[명칭]],'문화권 정리'!C:D,2,FALSE),"-")</f>
        <v>천문</v>
      </c>
      <c r="H2320" s="38" t="str">
        <f>IFERROR(COUNTIF([2]OceanDoodad!$Y:$Y,표1[[#This Row],[명칭]]),"-")</f>
        <v>-</v>
      </c>
      <c r="I2320" s="38">
        <f>IFERROR(COUNTIF([1]AdventureDiscoveryGroup!$D$8:$AW$92,표1[[#This Row],[명칭]]),"-")</f>
        <v>0</v>
      </c>
      <c r="J2320" s="38">
        <f>IFERROR(COUNTIF([1]FishDiscoveryGroup!$A:$X,표1[[#This Row],[명칭]]),"-")</f>
        <v>0</v>
      </c>
      <c r="K2320" s="38" t="str">
        <f>IFERROR(COUNTIF([2]Town!$B:$B,표1[[#This Row],[명칭]]),"-")</f>
        <v>-</v>
      </c>
      <c r="L2320" s="38">
        <f>IFERROR(COUNTIF([1]Village!$BR:$BR,표1[[#This Row],[명칭]]),"-")</f>
        <v>0</v>
      </c>
      <c r="M2320" s="38">
        <f>COUNTIF(퀘스트!B:B,표1[[#This Row],[명칭]])</f>
        <v>0</v>
      </c>
      <c r="N2320" s="65">
        <f>COUNTIF([1]VillageDiscoveryGroup!$C:$C,표1[[#This Row],[명칭]])</f>
        <v>0</v>
      </c>
      <c r="O2320" s="65">
        <f>SUM(표1[[#This Row],[해양탐색]:[마을탐험]])</f>
        <v>0</v>
      </c>
    </row>
    <row r="2321" spans="2:15" ht="13.5" customHeight="1" x14ac:dyDescent="0.3">
      <c r="B2321" s="9">
        <f>[1]Discovery!A2327</f>
        <v>70414027</v>
      </c>
      <c r="C2321" s="9" t="str">
        <f>[1]Discovery!B2327</f>
        <v>리겔</v>
      </c>
      <c r="D2321" s="9" t="str">
        <f>[1]Discovery!E2327</f>
        <v>자연</v>
      </c>
      <c r="E2321" s="9" t="str">
        <f>[1]Discovery!C2327</f>
        <v>천문</v>
      </c>
      <c r="F2321" s="9" t="str">
        <f>[1]Discovery!G2327</f>
        <v>B</v>
      </c>
      <c r="G2321" s="9" t="str">
        <f>IFERROR(VLOOKUP(표1[[#This Row],[명칭]],'문화권 정리'!C:D,2,FALSE),"-")</f>
        <v>천문</v>
      </c>
      <c r="H2321" s="38" t="str">
        <f>IFERROR(COUNTIF([2]OceanDoodad!$Y:$Y,표1[[#This Row],[명칭]]),"-")</f>
        <v>-</v>
      </c>
      <c r="I2321" s="38">
        <f>IFERROR(COUNTIF([1]AdventureDiscoveryGroup!$D$8:$AW$92,표1[[#This Row],[명칭]]),"-")</f>
        <v>0</v>
      </c>
      <c r="J2321" s="38">
        <f>IFERROR(COUNTIF([1]FishDiscoveryGroup!$A:$X,표1[[#This Row],[명칭]]),"-")</f>
        <v>0</v>
      </c>
      <c r="K2321" s="38" t="str">
        <f>IFERROR(COUNTIF([2]Town!$B:$B,표1[[#This Row],[명칭]]),"-")</f>
        <v>-</v>
      </c>
      <c r="L2321" s="38">
        <f>IFERROR(COUNTIF([1]Village!$BR:$BR,표1[[#This Row],[명칭]]),"-")</f>
        <v>0</v>
      </c>
      <c r="M2321" s="38">
        <f>COUNTIF(퀘스트!B:B,표1[[#This Row],[명칭]])</f>
        <v>0</v>
      </c>
      <c r="N2321" s="65">
        <f>COUNTIF([1]VillageDiscoveryGroup!$C:$C,표1[[#This Row],[명칭]])</f>
        <v>0</v>
      </c>
      <c r="O2321" s="65">
        <f>SUM(표1[[#This Row],[해양탐색]:[마을탐험]])</f>
        <v>0</v>
      </c>
    </row>
    <row r="2322" spans="2:15" ht="13.5" customHeight="1" x14ac:dyDescent="0.3">
      <c r="B2322" s="9">
        <f>[1]Discovery!A2328</f>
        <v>70414028</v>
      </c>
      <c r="C2322" s="9" t="str">
        <f>[1]Discovery!B2328</f>
        <v>리길 켄타우루스</v>
      </c>
      <c r="D2322" s="9" t="str">
        <f>[1]Discovery!E2328</f>
        <v>자연</v>
      </c>
      <c r="E2322" s="9" t="str">
        <f>[1]Discovery!C2328</f>
        <v>천문</v>
      </c>
      <c r="F2322" s="9" t="str">
        <f>[1]Discovery!G2328</f>
        <v>S</v>
      </c>
      <c r="G2322" s="9" t="str">
        <f>IFERROR(VLOOKUP(표1[[#This Row],[명칭]],'문화권 정리'!C:D,2,FALSE),"-")</f>
        <v>천문</v>
      </c>
      <c r="H2322" s="38" t="str">
        <f>IFERROR(COUNTIF([2]OceanDoodad!$Y:$Y,표1[[#This Row],[명칭]]),"-")</f>
        <v>-</v>
      </c>
      <c r="I2322" s="38">
        <f>IFERROR(COUNTIF([1]AdventureDiscoveryGroup!$D$8:$AW$92,표1[[#This Row],[명칭]]),"-")</f>
        <v>0</v>
      </c>
      <c r="J2322" s="38">
        <f>IFERROR(COUNTIF([1]FishDiscoveryGroup!$A:$X,표1[[#This Row],[명칭]]),"-")</f>
        <v>0</v>
      </c>
      <c r="K2322" s="38" t="str">
        <f>IFERROR(COUNTIF([2]Town!$B:$B,표1[[#This Row],[명칭]]),"-")</f>
        <v>-</v>
      </c>
      <c r="L2322" s="38">
        <f>IFERROR(COUNTIF([1]Village!$BR:$BR,표1[[#This Row],[명칭]]),"-")</f>
        <v>0</v>
      </c>
      <c r="M2322" s="38">
        <f>COUNTIF(퀘스트!B:B,표1[[#This Row],[명칭]])</f>
        <v>0</v>
      </c>
      <c r="N2322" s="65">
        <f>COUNTIF([1]VillageDiscoveryGroup!$C:$C,표1[[#This Row],[명칭]])</f>
        <v>0</v>
      </c>
      <c r="O2322" s="65">
        <f>SUM(표1[[#This Row],[해양탐색]:[마을탐험]])</f>
        <v>0</v>
      </c>
    </row>
    <row r="2323" spans="2:15" ht="13.5" customHeight="1" x14ac:dyDescent="0.3">
      <c r="B2323" s="9">
        <f>[1]Discovery!A2329</f>
        <v>70414029</v>
      </c>
      <c r="C2323" s="9" t="str">
        <f>[1]Discovery!B2329</f>
        <v>마차부자리</v>
      </c>
      <c r="D2323" s="9" t="str">
        <f>[1]Discovery!E2329</f>
        <v>자연</v>
      </c>
      <c r="E2323" s="9" t="str">
        <f>[1]Discovery!C2329</f>
        <v>천문</v>
      </c>
      <c r="F2323" s="9" t="str">
        <f>[1]Discovery!G2329</f>
        <v>A</v>
      </c>
      <c r="G2323" s="9" t="str">
        <f>IFERROR(VLOOKUP(표1[[#This Row],[명칭]],'문화권 정리'!C:D,2,FALSE),"-")</f>
        <v>천문</v>
      </c>
      <c r="H2323" s="38" t="str">
        <f>IFERROR(COUNTIF([2]OceanDoodad!$Y:$Y,표1[[#This Row],[명칭]]),"-")</f>
        <v>-</v>
      </c>
      <c r="I2323" s="38">
        <f>IFERROR(COUNTIF([1]AdventureDiscoveryGroup!$D$8:$AW$92,표1[[#This Row],[명칭]]),"-")</f>
        <v>0</v>
      </c>
      <c r="J2323" s="38">
        <f>IFERROR(COUNTIF([1]FishDiscoveryGroup!$A:$X,표1[[#This Row],[명칭]]),"-")</f>
        <v>0</v>
      </c>
      <c r="K2323" s="38" t="str">
        <f>IFERROR(COUNTIF([2]Town!$B:$B,표1[[#This Row],[명칭]]),"-")</f>
        <v>-</v>
      </c>
      <c r="L2323" s="38">
        <f>IFERROR(COUNTIF([1]Village!$BR:$BR,표1[[#This Row],[명칭]]),"-")</f>
        <v>0</v>
      </c>
      <c r="M2323" s="38">
        <f>COUNTIF(퀘스트!B:B,표1[[#This Row],[명칭]])</f>
        <v>0</v>
      </c>
      <c r="N2323" s="65">
        <f>COUNTIF([1]VillageDiscoveryGroup!$C:$C,표1[[#This Row],[명칭]])</f>
        <v>0</v>
      </c>
      <c r="O2323" s="65">
        <f>SUM(표1[[#This Row],[해양탐색]:[마을탐험]])</f>
        <v>0</v>
      </c>
    </row>
    <row r="2324" spans="2:15" ht="13.5" customHeight="1" x14ac:dyDescent="0.3">
      <c r="B2324" s="9">
        <f>[1]Discovery!A2330</f>
        <v>70414030</v>
      </c>
      <c r="C2324" s="9" t="str">
        <f>[1]Discovery!B2330</f>
        <v>머리털자리</v>
      </c>
      <c r="D2324" s="9" t="str">
        <f>[1]Discovery!E2330</f>
        <v>자연</v>
      </c>
      <c r="E2324" s="9" t="str">
        <f>[1]Discovery!C2330</f>
        <v>천문</v>
      </c>
      <c r="F2324" s="9" t="str">
        <f>[1]Discovery!G2330</f>
        <v>C</v>
      </c>
      <c r="G2324" s="9" t="str">
        <f>IFERROR(VLOOKUP(표1[[#This Row],[명칭]],'문화권 정리'!C:D,2,FALSE),"-")</f>
        <v>천문</v>
      </c>
      <c r="H2324" s="38" t="str">
        <f>IFERROR(COUNTIF([2]OceanDoodad!$Y:$Y,표1[[#This Row],[명칭]]),"-")</f>
        <v>-</v>
      </c>
      <c r="I2324" s="38">
        <f>IFERROR(COUNTIF([1]AdventureDiscoveryGroup!$D$8:$AW$92,표1[[#This Row],[명칭]]),"-")</f>
        <v>0</v>
      </c>
      <c r="J2324" s="38">
        <f>IFERROR(COUNTIF([1]FishDiscoveryGroup!$A:$X,표1[[#This Row],[명칭]]),"-")</f>
        <v>0</v>
      </c>
      <c r="K2324" s="38" t="str">
        <f>IFERROR(COUNTIF([2]Town!$B:$B,표1[[#This Row],[명칭]]),"-")</f>
        <v>-</v>
      </c>
      <c r="L2324" s="38">
        <f>IFERROR(COUNTIF([1]Village!$BR:$BR,표1[[#This Row],[명칭]]),"-")</f>
        <v>0</v>
      </c>
      <c r="M2324" s="38">
        <f>COUNTIF(퀘스트!B:B,표1[[#This Row],[명칭]])</f>
        <v>0</v>
      </c>
      <c r="N2324" s="65">
        <f>COUNTIF([1]VillageDiscoveryGroup!$C:$C,표1[[#This Row],[명칭]])</f>
        <v>0</v>
      </c>
      <c r="O2324" s="65">
        <f>SUM(표1[[#This Row],[해양탐색]:[마을탐험]])</f>
        <v>0</v>
      </c>
    </row>
    <row r="2325" spans="2:15" ht="13.5" customHeight="1" x14ac:dyDescent="0.3">
      <c r="B2325" s="9">
        <f>[1]Discovery!A2331</f>
        <v>70414031</v>
      </c>
      <c r="C2325" s="9" t="str">
        <f>[1]Discovery!B2331</f>
        <v>목동자리</v>
      </c>
      <c r="D2325" s="9" t="str">
        <f>[1]Discovery!E2331</f>
        <v>자연</v>
      </c>
      <c r="E2325" s="9" t="str">
        <f>[1]Discovery!C2331</f>
        <v>천문</v>
      </c>
      <c r="F2325" s="9" t="str">
        <f>[1]Discovery!G2331</f>
        <v>D</v>
      </c>
      <c r="G2325" s="9" t="str">
        <f>IFERROR(VLOOKUP(표1[[#This Row],[명칭]],'문화권 정리'!C:D,2,FALSE),"-")</f>
        <v>천문</v>
      </c>
      <c r="H2325" s="38" t="str">
        <f>IFERROR(COUNTIF([2]OceanDoodad!$Y:$Y,표1[[#This Row],[명칭]]),"-")</f>
        <v>-</v>
      </c>
      <c r="I2325" s="38">
        <f>IFERROR(COUNTIF([1]AdventureDiscoveryGroup!$D$8:$AW$92,표1[[#This Row],[명칭]]),"-")</f>
        <v>0</v>
      </c>
      <c r="J2325" s="38">
        <f>IFERROR(COUNTIF([1]FishDiscoveryGroup!$A:$X,표1[[#This Row],[명칭]]),"-")</f>
        <v>0</v>
      </c>
      <c r="K2325" s="38" t="str">
        <f>IFERROR(COUNTIF([2]Town!$B:$B,표1[[#This Row],[명칭]]),"-")</f>
        <v>-</v>
      </c>
      <c r="L2325" s="38">
        <f>IFERROR(COUNTIF([1]Village!$BR:$BR,표1[[#This Row],[명칭]]),"-")</f>
        <v>0</v>
      </c>
      <c r="M2325" s="38">
        <f>COUNTIF(퀘스트!B:B,표1[[#This Row],[명칭]])</f>
        <v>0</v>
      </c>
      <c r="N2325" s="65">
        <f>COUNTIF([1]VillageDiscoveryGroup!$C:$C,표1[[#This Row],[명칭]])</f>
        <v>0</v>
      </c>
      <c r="O2325" s="65">
        <f>SUM(표1[[#This Row],[해양탐색]:[마을탐험]])</f>
        <v>0</v>
      </c>
    </row>
    <row r="2326" spans="2:15" ht="13.5" customHeight="1" x14ac:dyDescent="0.3">
      <c r="B2326" s="9">
        <f>[1]Discovery!A2332</f>
        <v>70414032</v>
      </c>
      <c r="C2326" s="9" t="str">
        <f>[1]Discovery!B2332</f>
        <v>목성</v>
      </c>
      <c r="D2326" s="9" t="str">
        <f>[1]Discovery!E2332</f>
        <v>자연</v>
      </c>
      <c r="E2326" s="9" t="str">
        <f>[1]Discovery!C2332</f>
        <v>천문</v>
      </c>
      <c r="F2326" s="9" t="str">
        <f>[1]Discovery!G2332</f>
        <v>B</v>
      </c>
      <c r="G2326" s="9" t="str">
        <f>IFERROR(VLOOKUP(표1[[#This Row],[명칭]],'문화권 정리'!C:D,2,FALSE),"-")</f>
        <v>천문</v>
      </c>
      <c r="H2326" s="38" t="str">
        <f>IFERROR(COUNTIF([2]OceanDoodad!$Y:$Y,표1[[#This Row],[명칭]]),"-")</f>
        <v>-</v>
      </c>
      <c r="I2326" s="38">
        <f>IFERROR(COUNTIF([1]AdventureDiscoveryGroup!$D$8:$AW$92,표1[[#This Row],[명칭]]),"-")</f>
        <v>0</v>
      </c>
      <c r="J2326" s="38">
        <f>IFERROR(COUNTIF([1]FishDiscoveryGroup!$A:$X,표1[[#This Row],[명칭]]),"-")</f>
        <v>0</v>
      </c>
      <c r="K2326" s="38" t="str">
        <f>IFERROR(COUNTIF([2]Town!$B:$B,표1[[#This Row],[명칭]]),"-")</f>
        <v>-</v>
      </c>
      <c r="L2326" s="38">
        <f>IFERROR(COUNTIF([1]Village!$BR:$BR,표1[[#This Row],[명칭]]),"-")</f>
        <v>0</v>
      </c>
      <c r="M2326" s="38">
        <f>COUNTIF(퀘스트!B:B,표1[[#This Row],[명칭]])</f>
        <v>0</v>
      </c>
      <c r="N2326" s="65">
        <f>COUNTIF([1]VillageDiscoveryGroup!$C:$C,표1[[#This Row],[명칭]])</f>
        <v>0</v>
      </c>
      <c r="O2326" s="65">
        <f>SUM(표1[[#This Row],[해양탐색]:[마을탐험]])</f>
        <v>0</v>
      </c>
    </row>
    <row r="2327" spans="2:15" ht="13.5" customHeight="1" x14ac:dyDescent="0.3">
      <c r="B2327" s="9">
        <f>[1]Discovery!A2333</f>
        <v>70414033</v>
      </c>
      <c r="C2327" s="9" t="str">
        <f>[1]Discovery!B2333</f>
        <v>물고기자리</v>
      </c>
      <c r="D2327" s="9" t="str">
        <f>[1]Discovery!E2333</f>
        <v>자연</v>
      </c>
      <c r="E2327" s="9" t="str">
        <f>[1]Discovery!C2333</f>
        <v>천문</v>
      </c>
      <c r="F2327" s="9" t="str">
        <f>[1]Discovery!G2333</f>
        <v>D</v>
      </c>
      <c r="G2327" s="9" t="str">
        <f>IFERROR(VLOOKUP(표1[[#This Row],[명칭]],'문화권 정리'!C:D,2,FALSE),"-")</f>
        <v>천문</v>
      </c>
      <c r="H2327" s="38" t="str">
        <f>IFERROR(COUNTIF([2]OceanDoodad!$Y:$Y,표1[[#This Row],[명칭]]),"-")</f>
        <v>-</v>
      </c>
      <c r="I2327" s="38">
        <f>IFERROR(COUNTIF([1]AdventureDiscoveryGroup!$D$8:$AW$92,표1[[#This Row],[명칭]]),"-")</f>
        <v>0</v>
      </c>
      <c r="J2327" s="38">
        <f>IFERROR(COUNTIF([1]FishDiscoveryGroup!$A:$X,표1[[#This Row],[명칭]]),"-")</f>
        <v>0</v>
      </c>
      <c r="K2327" s="38" t="str">
        <f>IFERROR(COUNTIF([2]Town!$B:$B,표1[[#This Row],[명칭]]),"-")</f>
        <v>-</v>
      </c>
      <c r="L2327" s="38">
        <f>IFERROR(COUNTIF([1]Village!$BR:$BR,표1[[#This Row],[명칭]]),"-")</f>
        <v>0</v>
      </c>
      <c r="M2327" s="38">
        <f>COUNTIF(퀘스트!B:B,표1[[#This Row],[명칭]])</f>
        <v>0</v>
      </c>
      <c r="N2327" s="65">
        <f>COUNTIF([1]VillageDiscoveryGroup!$C:$C,표1[[#This Row],[명칭]])</f>
        <v>0</v>
      </c>
      <c r="O2327" s="65">
        <f>SUM(표1[[#This Row],[해양탐색]:[마을탐험]])</f>
        <v>0</v>
      </c>
    </row>
    <row r="2328" spans="2:15" ht="13.5" customHeight="1" x14ac:dyDescent="0.3">
      <c r="B2328" s="9">
        <f>[1]Discovery!A2334</f>
        <v>70414034</v>
      </c>
      <c r="C2328" s="9" t="str">
        <f>[1]Discovery!B2334</f>
        <v>물병자리</v>
      </c>
      <c r="D2328" s="9" t="str">
        <f>[1]Discovery!E2334</f>
        <v>자연</v>
      </c>
      <c r="E2328" s="9" t="str">
        <f>[1]Discovery!C2334</f>
        <v>천문</v>
      </c>
      <c r="F2328" s="9" t="str">
        <f>[1]Discovery!G2334</f>
        <v>B</v>
      </c>
      <c r="G2328" s="9" t="str">
        <f>IFERROR(VLOOKUP(표1[[#This Row],[명칭]],'문화권 정리'!C:D,2,FALSE),"-")</f>
        <v>천문</v>
      </c>
      <c r="H2328" s="38" t="str">
        <f>IFERROR(COUNTIF([2]OceanDoodad!$Y:$Y,표1[[#This Row],[명칭]]),"-")</f>
        <v>-</v>
      </c>
      <c r="I2328" s="38">
        <f>IFERROR(COUNTIF([1]AdventureDiscoveryGroup!$D$8:$AW$92,표1[[#This Row],[명칭]]),"-")</f>
        <v>0</v>
      </c>
      <c r="J2328" s="38">
        <f>IFERROR(COUNTIF([1]FishDiscoveryGroup!$A:$X,표1[[#This Row],[명칭]]),"-")</f>
        <v>0</v>
      </c>
      <c r="K2328" s="38" t="str">
        <f>IFERROR(COUNTIF([2]Town!$B:$B,표1[[#This Row],[명칭]]),"-")</f>
        <v>-</v>
      </c>
      <c r="L2328" s="38">
        <f>IFERROR(COUNTIF([1]Village!$BR:$BR,표1[[#This Row],[명칭]]),"-")</f>
        <v>0</v>
      </c>
      <c r="M2328" s="38">
        <f>COUNTIF(퀘스트!B:B,표1[[#This Row],[명칭]])</f>
        <v>0</v>
      </c>
      <c r="N2328" s="65">
        <f>COUNTIF([1]VillageDiscoveryGroup!$C:$C,표1[[#This Row],[명칭]])</f>
        <v>0</v>
      </c>
      <c r="O2328" s="65">
        <f>SUM(표1[[#This Row],[해양탐색]:[마을탐험]])</f>
        <v>0</v>
      </c>
    </row>
    <row r="2329" spans="2:15" ht="13.5" customHeight="1" x14ac:dyDescent="0.3">
      <c r="B2329" s="9">
        <f>[1]Discovery!A2335</f>
        <v>70414035</v>
      </c>
      <c r="C2329" s="9" t="str">
        <f>[1]Discovery!B2335</f>
        <v>물병자리 유성우</v>
      </c>
      <c r="D2329" s="9" t="str">
        <f>[1]Discovery!E2335</f>
        <v>자연</v>
      </c>
      <c r="E2329" s="9" t="str">
        <f>[1]Discovery!C2335</f>
        <v>천문</v>
      </c>
      <c r="F2329" s="9" t="str">
        <f>[1]Discovery!G2335</f>
        <v>B</v>
      </c>
      <c r="G2329" s="9" t="str">
        <f>IFERROR(VLOOKUP(표1[[#This Row],[명칭]],'문화권 정리'!C:D,2,FALSE),"-")</f>
        <v>천문</v>
      </c>
      <c r="H2329" s="38" t="str">
        <f>IFERROR(COUNTIF([2]OceanDoodad!$Y:$Y,표1[[#This Row],[명칭]]),"-")</f>
        <v>-</v>
      </c>
      <c r="I2329" s="38">
        <f>IFERROR(COUNTIF([1]AdventureDiscoveryGroup!$D$8:$AW$92,표1[[#This Row],[명칭]]),"-")</f>
        <v>0</v>
      </c>
      <c r="J2329" s="38">
        <f>IFERROR(COUNTIF([1]FishDiscoveryGroup!$A:$X,표1[[#This Row],[명칭]]),"-")</f>
        <v>0</v>
      </c>
      <c r="K2329" s="38" t="str">
        <f>IFERROR(COUNTIF([2]Town!$B:$B,표1[[#This Row],[명칭]]),"-")</f>
        <v>-</v>
      </c>
      <c r="L2329" s="38">
        <f>IFERROR(COUNTIF([1]Village!$BR:$BR,표1[[#This Row],[명칭]]),"-")</f>
        <v>0</v>
      </c>
      <c r="M2329" s="38">
        <f>COUNTIF(퀘스트!B:B,표1[[#This Row],[명칭]])</f>
        <v>0</v>
      </c>
      <c r="N2329" s="65">
        <f>COUNTIF([1]VillageDiscoveryGroup!$C:$C,표1[[#This Row],[명칭]])</f>
        <v>0</v>
      </c>
      <c r="O2329" s="65">
        <f>SUM(표1[[#This Row],[해양탐색]:[마을탐험]])</f>
        <v>0</v>
      </c>
    </row>
    <row r="2330" spans="2:15" ht="13.5" customHeight="1" x14ac:dyDescent="0.3">
      <c r="B2330" s="9">
        <f>[1]Discovery!A2336</f>
        <v>70414037</v>
      </c>
      <c r="C2330" s="9" t="str">
        <f>[1]Discovery!B2336</f>
        <v>미자르</v>
      </c>
      <c r="D2330" s="9" t="str">
        <f>[1]Discovery!E2336</f>
        <v>자연</v>
      </c>
      <c r="E2330" s="9" t="str">
        <f>[1]Discovery!C2336</f>
        <v>천문</v>
      </c>
      <c r="F2330" s="9" t="str">
        <f>[1]Discovery!G2336</f>
        <v>D</v>
      </c>
      <c r="G2330" s="9" t="str">
        <f>IFERROR(VLOOKUP(표1[[#This Row],[명칭]],'문화권 정리'!C:D,2,FALSE),"-")</f>
        <v>천문</v>
      </c>
      <c r="H2330" s="38" t="str">
        <f>IFERROR(COUNTIF([2]OceanDoodad!$Y:$Y,표1[[#This Row],[명칭]]),"-")</f>
        <v>-</v>
      </c>
      <c r="I2330" s="38">
        <f>IFERROR(COUNTIF([1]AdventureDiscoveryGroup!$D$8:$AW$92,표1[[#This Row],[명칭]]),"-")</f>
        <v>0</v>
      </c>
      <c r="J2330" s="38">
        <f>IFERROR(COUNTIF([1]FishDiscoveryGroup!$A:$X,표1[[#This Row],[명칭]]),"-")</f>
        <v>0</v>
      </c>
      <c r="K2330" s="38" t="str">
        <f>IFERROR(COUNTIF([2]Town!$B:$B,표1[[#This Row],[명칭]]),"-")</f>
        <v>-</v>
      </c>
      <c r="L2330" s="38">
        <f>IFERROR(COUNTIF([1]Village!$BR:$BR,표1[[#This Row],[명칭]]),"-")</f>
        <v>0</v>
      </c>
      <c r="M2330" s="38">
        <f>COUNTIF(퀘스트!B:B,표1[[#This Row],[명칭]])</f>
        <v>0</v>
      </c>
      <c r="N2330" s="65">
        <f>COUNTIF([1]VillageDiscoveryGroup!$C:$C,표1[[#This Row],[명칭]])</f>
        <v>0</v>
      </c>
      <c r="O2330" s="65">
        <f>SUM(표1[[#This Row],[해양탐색]:[마을탐험]])</f>
        <v>0</v>
      </c>
    </row>
    <row r="2331" spans="2:15" ht="13.5" customHeight="1" x14ac:dyDescent="0.3">
      <c r="B2331" s="9">
        <f>[1]Discovery!A2337</f>
        <v>70414038</v>
      </c>
      <c r="C2331" s="9" t="str">
        <f>[1]Discovery!B2337</f>
        <v>바다뱀자리</v>
      </c>
      <c r="D2331" s="9" t="str">
        <f>[1]Discovery!E2337</f>
        <v>자연</v>
      </c>
      <c r="E2331" s="9" t="str">
        <f>[1]Discovery!C2337</f>
        <v>천문</v>
      </c>
      <c r="F2331" s="9" t="str">
        <f>[1]Discovery!G2337</f>
        <v>D</v>
      </c>
      <c r="G2331" s="9" t="str">
        <f>IFERROR(VLOOKUP(표1[[#This Row],[명칭]],'문화권 정리'!C:D,2,FALSE),"-")</f>
        <v>천문</v>
      </c>
      <c r="H2331" s="38" t="str">
        <f>IFERROR(COUNTIF([2]OceanDoodad!$Y:$Y,표1[[#This Row],[명칭]]),"-")</f>
        <v>-</v>
      </c>
      <c r="I2331" s="38">
        <f>IFERROR(COUNTIF([1]AdventureDiscoveryGroup!$D$8:$AW$92,표1[[#This Row],[명칭]]),"-")</f>
        <v>0</v>
      </c>
      <c r="J2331" s="38">
        <f>IFERROR(COUNTIF([1]FishDiscoveryGroup!$A:$X,표1[[#This Row],[명칭]]),"-")</f>
        <v>0</v>
      </c>
      <c r="K2331" s="38" t="str">
        <f>IFERROR(COUNTIF([2]Town!$B:$B,표1[[#This Row],[명칭]]),"-")</f>
        <v>-</v>
      </c>
      <c r="L2331" s="38">
        <f>IFERROR(COUNTIF([1]Village!$BR:$BR,표1[[#This Row],[명칭]]),"-")</f>
        <v>0</v>
      </c>
      <c r="M2331" s="38">
        <f>COUNTIF(퀘스트!B:B,표1[[#This Row],[명칭]])</f>
        <v>0</v>
      </c>
      <c r="N2331" s="65">
        <f>COUNTIF([1]VillageDiscoveryGroup!$C:$C,표1[[#This Row],[명칭]])</f>
        <v>0</v>
      </c>
      <c r="O2331" s="65">
        <f>SUM(표1[[#This Row],[해양탐색]:[마을탐험]])</f>
        <v>0</v>
      </c>
    </row>
    <row r="2332" spans="2:15" ht="13.5" customHeight="1" x14ac:dyDescent="0.3">
      <c r="B2332" s="9">
        <f>[1]Discovery!A2338</f>
        <v>70414039</v>
      </c>
      <c r="C2332" s="9" t="str">
        <f>[1]Discovery!B2338</f>
        <v>방패자리</v>
      </c>
      <c r="D2332" s="9" t="str">
        <f>[1]Discovery!E2338</f>
        <v>자연</v>
      </c>
      <c r="E2332" s="9" t="str">
        <f>[1]Discovery!C2338</f>
        <v>천문</v>
      </c>
      <c r="F2332" s="9" t="str">
        <f>[1]Discovery!G2338</f>
        <v>C</v>
      </c>
      <c r="G2332" s="9" t="str">
        <f>IFERROR(VLOOKUP(표1[[#This Row],[명칭]],'문화권 정리'!C:D,2,FALSE),"-")</f>
        <v>천문</v>
      </c>
      <c r="H2332" s="38" t="str">
        <f>IFERROR(COUNTIF([2]OceanDoodad!$Y:$Y,표1[[#This Row],[명칭]]),"-")</f>
        <v>-</v>
      </c>
      <c r="I2332" s="38">
        <f>IFERROR(COUNTIF([1]AdventureDiscoveryGroup!$D$8:$AW$92,표1[[#This Row],[명칭]]),"-")</f>
        <v>0</v>
      </c>
      <c r="J2332" s="38">
        <f>IFERROR(COUNTIF([1]FishDiscoveryGroup!$A:$X,표1[[#This Row],[명칭]]),"-")</f>
        <v>0</v>
      </c>
      <c r="K2332" s="38" t="str">
        <f>IFERROR(COUNTIF([2]Town!$B:$B,표1[[#This Row],[명칭]]),"-")</f>
        <v>-</v>
      </c>
      <c r="L2332" s="38">
        <f>IFERROR(COUNTIF([1]Village!$BR:$BR,표1[[#This Row],[명칭]]),"-")</f>
        <v>0</v>
      </c>
      <c r="M2332" s="38">
        <f>COUNTIF(퀘스트!B:B,표1[[#This Row],[명칭]])</f>
        <v>0</v>
      </c>
      <c r="N2332" s="65">
        <f>COUNTIF([1]VillageDiscoveryGroup!$C:$C,표1[[#This Row],[명칭]])</f>
        <v>0</v>
      </c>
      <c r="O2332" s="65">
        <f>SUM(표1[[#This Row],[해양탐색]:[마을탐험]])</f>
        <v>0</v>
      </c>
    </row>
    <row r="2333" spans="2:15" ht="13.5" customHeight="1" x14ac:dyDescent="0.3">
      <c r="B2333" s="9">
        <f>[1]Discovery!A2339</f>
        <v>70414040</v>
      </c>
      <c r="C2333" s="9" t="str">
        <f>[1]Discovery!B2339</f>
        <v>방패자리의 산개성단</v>
      </c>
      <c r="D2333" s="9" t="str">
        <f>[1]Discovery!E2339</f>
        <v>자연</v>
      </c>
      <c r="E2333" s="9" t="str">
        <f>[1]Discovery!C2339</f>
        <v>천문</v>
      </c>
      <c r="F2333" s="9" t="str">
        <f>[1]Discovery!G2339</f>
        <v>C</v>
      </c>
      <c r="G2333" s="9" t="str">
        <f>IFERROR(VLOOKUP(표1[[#This Row],[명칭]],'문화권 정리'!C:D,2,FALSE),"-")</f>
        <v>천문</v>
      </c>
      <c r="H2333" s="38" t="str">
        <f>IFERROR(COUNTIF([2]OceanDoodad!$Y:$Y,표1[[#This Row],[명칭]]),"-")</f>
        <v>-</v>
      </c>
      <c r="I2333" s="38">
        <f>IFERROR(COUNTIF([1]AdventureDiscoveryGroup!$D$8:$AW$92,표1[[#This Row],[명칭]]),"-")</f>
        <v>0</v>
      </c>
      <c r="J2333" s="38">
        <f>IFERROR(COUNTIF([1]FishDiscoveryGroup!$A:$X,표1[[#This Row],[명칭]]),"-")</f>
        <v>0</v>
      </c>
      <c r="K2333" s="38" t="str">
        <f>IFERROR(COUNTIF([2]Town!$B:$B,표1[[#This Row],[명칭]]),"-")</f>
        <v>-</v>
      </c>
      <c r="L2333" s="38">
        <f>IFERROR(COUNTIF([1]Village!$BR:$BR,표1[[#This Row],[명칭]]),"-")</f>
        <v>0</v>
      </c>
      <c r="M2333" s="38">
        <f>COUNTIF(퀘스트!B:B,표1[[#This Row],[명칭]])</f>
        <v>0</v>
      </c>
      <c r="N2333" s="65">
        <f>COUNTIF([1]VillageDiscoveryGroup!$C:$C,표1[[#This Row],[명칭]])</f>
        <v>0</v>
      </c>
      <c r="O2333" s="65">
        <f>SUM(표1[[#This Row],[해양탐색]:[마을탐험]])</f>
        <v>0</v>
      </c>
    </row>
    <row r="2334" spans="2:15" ht="13.5" customHeight="1" x14ac:dyDescent="0.3">
      <c r="B2334" s="9">
        <f>[1]Discovery!A2340</f>
        <v>70414041</v>
      </c>
      <c r="C2334" s="9" t="str">
        <f>[1]Discovery!B2340</f>
        <v>백조자리</v>
      </c>
      <c r="D2334" s="9" t="str">
        <f>[1]Discovery!E2340</f>
        <v>자연</v>
      </c>
      <c r="E2334" s="9" t="str">
        <f>[1]Discovery!C2340</f>
        <v>천문</v>
      </c>
      <c r="F2334" s="9" t="str">
        <f>[1]Discovery!G2340</f>
        <v>C</v>
      </c>
      <c r="G2334" s="9" t="str">
        <f>IFERROR(VLOOKUP(표1[[#This Row],[명칭]],'문화권 정리'!C:D,2,FALSE),"-")</f>
        <v>천문</v>
      </c>
      <c r="H2334" s="38" t="str">
        <f>IFERROR(COUNTIF([2]OceanDoodad!$Y:$Y,표1[[#This Row],[명칭]]),"-")</f>
        <v>-</v>
      </c>
      <c r="I2334" s="38">
        <f>IFERROR(COUNTIF([1]AdventureDiscoveryGroup!$D$8:$AW$92,표1[[#This Row],[명칭]]),"-")</f>
        <v>0</v>
      </c>
      <c r="J2334" s="38">
        <f>IFERROR(COUNTIF([1]FishDiscoveryGroup!$A:$X,표1[[#This Row],[명칭]]),"-")</f>
        <v>0</v>
      </c>
      <c r="K2334" s="38" t="str">
        <f>IFERROR(COUNTIF([2]Town!$B:$B,표1[[#This Row],[명칭]]),"-")</f>
        <v>-</v>
      </c>
      <c r="L2334" s="38">
        <f>IFERROR(COUNTIF([1]Village!$BR:$BR,표1[[#This Row],[명칭]]),"-")</f>
        <v>0</v>
      </c>
      <c r="M2334" s="38">
        <f>COUNTIF(퀘스트!B:B,표1[[#This Row],[명칭]])</f>
        <v>0</v>
      </c>
      <c r="N2334" s="65">
        <f>COUNTIF([1]VillageDiscoveryGroup!$C:$C,표1[[#This Row],[명칭]])</f>
        <v>0</v>
      </c>
      <c r="O2334" s="65">
        <f>SUM(표1[[#This Row],[해양탐색]:[마을탐험]])</f>
        <v>0</v>
      </c>
    </row>
    <row r="2335" spans="2:15" ht="13.5" customHeight="1" x14ac:dyDescent="0.3">
      <c r="B2335" s="9">
        <f>[1]Discovery!A2341</f>
        <v>70414042</v>
      </c>
      <c r="C2335" s="9" t="str">
        <f>[1]Discovery!B2341</f>
        <v>뱀주인자리</v>
      </c>
      <c r="D2335" s="9" t="str">
        <f>[1]Discovery!E2341</f>
        <v>자연</v>
      </c>
      <c r="E2335" s="9" t="str">
        <f>[1]Discovery!C2341</f>
        <v>천문</v>
      </c>
      <c r="F2335" s="9" t="str">
        <f>[1]Discovery!G2341</f>
        <v>S</v>
      </c>
      <c r="G2335" s="9" t="str">
        <f>IFERROR(VLOOKUP(표1[[#This Row],[명칭]],'문화권 정리'!C:D,2,FALSE),"-")</f>
        <v>천문</v>
      </c>
      <c r="H2335" s="38" t="str">
        <f>IFERROR(COUNTIF([2]OceanDoodad!$Y:$Y,표1[[#This Row],[명칭]]),"-")</f>
        <v>-</v>
      </c>
      <c r="I2335" s="38">
        <f>IFERROR(COUNTIF([1]AdventureDiscoveryGroup!$D$8:$AW$92,표1[[#This Row],[명칭]]),"-")</f>
        <v>0</v>
      </c>
      <c r="J2335" s="38">
        <f>IFERROR(COUNTIF([1]FishDiscoveryGroup!$A:$X,표1[[#This Row],[명칭]]),"-")</f>
        <v>0</v>
      </c>
      <c r="K2335" s="38" t="str">
        <f>IFERROR(COUNTIF([2]Town!$B:$B,표1[[#This Row],[명칭]]),"-")</f>
        <v>-</v>
      </c>
      <c r="L2335" s="38">
        <f>IFERROR(COUNTIF([1]Village!$BR:$BR,표1[[#This Row],[명칭]]),"-")</f>
        <v>0</v>
      </c>
      <c r="M2335" s="38">
        <f>COUNTIF(퀘스트!B:B,표1[[#This Row],[명칭]])</f>
        <v>0</v>
      </c>
      <c r="N2335" s="65">
        <f>COUNTIF([1]VillageDiscoveryGroup!$C:$C,표1[[#This Row],[명칭]])</f>
        <v>0</v>
      </c>
      <c r="O2335" s="65">
        <f>SUM(표1[[#This Row],[해양탐색]:[마을탐험]])</f>
        <v>0</v>
      </c>
    </row>
    <row r="2336" spans="2:15" ht="13.5" customHeight="1" x14ac:dyDescent="0.3">
      <c r="B2336" s="9">
        <f>[1]Discovery!A2342</f>
        <v>70414043</v>
      </c>
      <c r="C2336" s="9" t="str">
        <f>[1]Discovery!B2342</f>
        <v>베가</v>
      </c>
      <c r="D2336" s="9" t="str">
        <f>[1]Discovery!E2342</f>
        <v>자연</v>
      </c>
      <c r="E2336" s="9" t="str">
        <f>[1]Discovery!C2342</f>
        <v>천문</v>
      </c>
      <c r="F2336" s="9" t="str">
        <f>[1]Discovery!G2342</f>
        <v>A</v>
      </c>
      <c r="G2336" s="9" t="str">
        <f>IFERROR(VLOOKUP(표1[[#This Row],[명칭]],'문화권 정리'!C:D,2,FALSE),"-")</f>
        <v>천문</v>
      </c>
      <c r="H2336" s="38" t="str">
        <f>IFERROR(COUNTIF([2]OceanDoodad!$Y:$Y,표1[[#This Row],[명칭]]),"-")</f>
        <v>-</v>
      </c>
      <c r="I2336" s="38">
        <f>IFERROR(COUNTIF([1]AdventureDiscoveryGroup!$D$8:$AW$92,표1[[#This Row],[명칭]]),"-")</f>
        <v>0</v>
      </c>
      <c r="J2336" s="38">
        <f>IFERROR(COUNTIF([1]FishDiscoveryGroup!$A:$X,표1[[#This Row],[명칭]]),"-")</f>
        <v>0</v>
      </c>
      <c r="K2336" s="38" t="str">
        <f>IFERROR(COUNTIF([2]Town!$B:$B,표1[[#This Row],[명칭]]),"-")</f>
        <v>-</v>
      </c>
      <c r="L2336" s="38">
        <f>IFERROR(COUNTIF([1]Village!$BR:$BR,표1[[#This Row],[명칭]]),"-")</f>
        <v>0</v>
      </c>
      <c r="M2336" s="38">
        <f>COUNTIF(퀘스트!B:B,표1[[#This Row],[명칭]])</f>
        <v>1</v>
      </c>
      <c r="N2336" s="65">
        <f>COUNTIF([1]VillageDiscoveryGroup!$C:$C,표1[[#This Row],[명칭]])</f>
        <v>0</v>
      </c>
      <c r="O2336" s="65">
        <f>SUM(표1[[#This Row],[해양탐색]:[마을탐험]])</f>
        <v>1</v>
      </c>
    </row>
    <row r="2337" spans="2:15" ht="13.5" customHeight="1" x14ac:dyDescent="0.3">
      <c r="B2337" s="9">
        <f>[1]Discovery!A2343</f>
        <v>70414044</v>
      </c>
      <c r="C2337" s="9" t="str">
        <f>[1]Discovery!B2343</f>
        <v>베텔게우스</v>
      </c>
      <c r="D2337" s="9" t="str">
        <f>[1]Discovery!E2343</f>
        <v>자연</v>
      </c>
      <c r="E2337" s="9" t="str">
        <f>[1]Discovery!C2343</f>
        <v>천문</v>
      </c>
      <c r="F2337" s="9" t="str">
        <f>[1]Discovery!G2343</f>
        <v>A</v>
      </c>
      <c r="G2337" s="9" t="str">
        <f>IFERROR(VLOOKUP(표1[[#This Row],[명칭]],'문화권 정리'!C:D,2,FALSE),"-")</f>
        <v>천문</v>
      </c>
      <c r="H2337" s="38" t="str">
        <f>IFERROR(COUNTIF([2]OceanDoodad!$Y:$Y,표1[[#This Row],[명칭]]),"-")</f>
        <v>-</v>
      </c>
      <c r="I2337" s="38">
        <f>IFERROR(COUNTIF([1]AdventureDiscoveryGroup!$D$8:$AW$92,표1[[#This Row],[명칭]]),"-")</f>
        <v>0</v>
      </c>
      <c r="J2337" s="38">
        <f>IFERROR(COUNTIF([1]FishDiscoveryGroup!$A:$X,표1[[#This Row],[명칭]]),"-")</f>
        <v>0</v>
      </c>
      <c r="K2337" s="38" t="str">
        <f>IFERROR(COUNTIF([2]Town!$B:$B,표1[[#This Row],[명칭]]),"-")</f>
        <v>-</v>
      </c>
      <c r="L2337" s="38">
        <f>IFERROR(COUNTIF([1]Village!$BR:$BR,표1[[#This Row],[명칭]]),"-")</f>
        <v>0</v>
      </c>
      <c r="M2337" s="38">
        <f>COUNTIF(퀘스트!B:B,표1[[#This Row],[명칭]])</f>
        <v>1</v>
      </c>
      <c r="N2337" s="65">
        <f>COUNTIF([1]VillageDiscoveryGroup!$C:$C,표1[[#This Row],[명칭]])</f>
        <v>0</v>
      </c>
      <c r="O2337" s="65">
        <f>SUM(표1[[#This Row],[해양탐색]:[마을탐험]])</f>
        <v>1</v>
      </c>
    </row>
    <row r="2338" spans="2:15" ht="13.5" customHeight="1" x14ac:dyDescent="0.3">
      <c r="B2338" s="9">
        <f>[1]Discovery!A2344</f>
        <v>70414045</v>
      </c>
      <c r="C2338" s="9" t="str">
        <f>[1]Discovery!B2344</f>
        <v>봄의 대삼각형</v>
      </c>
      <c r="D2338" s="9" t="str">
        <f>[1]Discovery!E2344</f>
        <v>자연</v>
      </c>
      <c r="E2338" s="9" t="str">
        <f>[1]Discovery!C2344</f>
        <v>천문</v>
      </c>
      <c r="F2338" s="9" t="str">
        <f>[1]Discovery!G2344</f>
        <v>D</v>
      </c>
      <c r="G2338" s="9" t="str">
        <f>IFERROR(VLOOKUP(표1[[#This Row],[명칭]],'문화권 정리'!C:D,2,FALSE),"-")</f>
        <v>천문</v>
      </c>
      <c r="H2338" s="38" t="str">
        <f>IFERROR(COUNTIF([2]OceanDoodad!$Y:$Y,표1[[#This Row],[명칭]]),"-")</f>
        <v>-</v>
      </c>
      <c r="I2338" s="38">
        <f>IFERROR(COUNTIF([1]AdventureDiscoveryGroup!$D$8:$AW$92,표1[[#This Row],[명칭]]),"-")</f>
        <v>0</v>
      </c>
      <c r="J2338" s="38">
        <f>IFERROR(COUNTIF([1]FishDiscoveryGroup!$A:$X,표1[[#This Row],[명칭]]),"-")</f>
        <v>0</v>
      </c>
      <c r="K2338" s="38" t="str">
        <f>IFERROR(COUNTIF([2]Town!$B:$B,표1[[#This Row],[명칭]]),"-")</f>
        <v>-</v>
      </c>
      <c r="L2338" s="38">
        <f>IFERROR(COUNTIF([1]Village!$BR:$BR,표1[[#This Row],[명칭]]),"-")</f>
        <v>0</v>
      </c>
      <c r="M2338" s="38">
        <f>COUNTIF(퀘스트!B:B,표1[[#This Row],[명칭]])</f>
        <v>0</v>
      </c>
      <c r="N2338" s="65">
        <f>COUNTIF([1]VillageDiscoveryGroup!$C:$C,표1[[#This Row],[명칭]])</f>
        <v>0</v>
      </c>
      <c r="O2338" s="65">
        <f>SUM(표1[[#This Row],[해양탐색]:[마을탐험]])</f>
        <v>0</v>
      </c>
    </row>
    <row r="2339" spans="2:15" ht="13.5" customHeight="1" x14ac:dyDescent="0.3">
      <c r="B2339" s="9">
        <f>[1]Discovery!A2345</f>
        <v>70414046</v>
      </c>
      <c r="C2339" s="9" t="str">
        <f>[1]Discovery!B2345</f>
        <v>북극성</v>
      </c>
      <c r="D2339" s="9" t="str">
        <f>[1]Discovery!E2345</f>
        <v>자연</v>
      </c>
      <c r="E2339" s="9" t="str">
        <f>[1]Discovery!C2345</f>
        <v>천문</v>
      </c>
      <c r="F2339" s="9" t="str">
        <f>[1]Discovery!G2345</f>
        <v>S</v>
      </c>
      <c r="G2339" s="9" t="str">
        <f>IFERROR(VLOOKUP(표1[[#This Row],[명칭]],'문화권 정리'!C:D,2,FALSE),"-")</f>
        <v>천문</v>
      </c>
      <c r="H2339" s="38" t="str">
        <f>IFERROR(COUNTIF([2]OceanDoodad!$Y:$Y,표1[[#This Row],[명칭]]),"-")</f>
        <v>-</v>
      </c>
      <c r="I2339" s="38">
        <f>IFERROR(COUNTIF([1]AdventureDiscoveryGroup!$D$8:$AW$92,표1[[#This Row],[명칭]]),"-")</f>
        <v>0</v>
      </c>
      <c r="J2339" s="38">
        <f>IFERROR(COUNTIF([1]FishDiscoveryGroup!$A:$X,표1[[#This Row],[명칭]]),"-")</f>
        <v>0</v>
      </c>
      <c r="K2339" s="38" t="str">
        <f>IFERROR(COUNTIF([2]Town!$B:$B,표1[[#This Row],[명칭]]),"-")</f>
        <v>-</v>
      </c>
      <c r="L2339" s="38">
        <f>IFERROR(COUNTIF([1]Village!$BR:$BR,표1[[#This Row],[명칭]]),"-")</f>
        <v>0</v>
      </c>
      <c r="M2339" s="38">
        <f>COUNTIF(퀘스트!B:B,표1[[#This Row],[명칭]])</f>
        <v>0</v>
      </c>
      <c r="N2339" s="65">
        <f>COUNTIF([1]VillageDiscoveryGroup!$C:$C,표1[[#This Row],[명칭]])</f>
        <v>0</v>
      </c>
      <c r="O2339" s="65">
        <f>SUM(표1[[#This Row],[해양탐색]:[마을탐험]])</f>
        <v>0</v>
      </c>
    </row>
    <row r="2340" spans="2:15" ht="13.5" customHeight="1" x14ac:dyDescent="0.3">
      <c r="B2340" s="9">
        <f>[1]Discovery!A2346</f>
        <v>70414047</v>
      </c>
      <c r="C2340" s="9" t="str">
        <f>[1]Discovery!B2346</f>
        <v>북쪽왕관자리</v>
      </c>
      <c r="D2340" s="9" t="str">
        <f>[1]Discovery!E2346</f>
        <v>자연</v>
      </c>
      <c r="E2340" s="9" t="str">
        <f>[1]Discovery!C2346</f>
        <v>천문</v>
      </c>
      <c r="F2340" s="9" t="str">
        <f>[1]Discovery!G2346</f>
        <v>B</v>
      </c>
      <c r="G2340" s="9" t="str">
        <f>IFERROR(VLOOKUP(표1[[#This Row],[명칭]],'문화권 정리'!C:D,2,FALSE),"-")</f>
        <v>천문</v>
      </c>
      <c r="H2340" s="38" t="str">
        <f>IFERROR(COUNTIF([2]OceanDoodad!$Y:$Y,표1[[#This Row],[명칭]]),"-")</f>
        <v>-</v>
      </c>
      <c r="I2340" s="38">
        <f>IFERROR(COUNTIF([1]AdventureDiscoveryGroup!$D$8:$AW$92,표1[[#This Row],[명칭]]),"-")</f>
        <v>0</v>
      </c>
      <c r="J2340" s="38">
        <f>IFERROR(COUNTIF([1]FishDiscoveryGroup!$A:$X,표1[[#This Row],[명칭]]),"-")</f>
        <v>0</v>
      </c>
      <c r="K2340" s="38" t="str">
        <f>IFERROR(COUNTIF([2]Town!$B:$B,표1[[#This Row],[명칭]]),"-")</f>
        <v>-</v>
      </c>
      <c r="L2340" s="38">
        <f>IFERROR(COUNTIF([1]Village!$BR:$BR,표1[[#This Row],[명칭]]),"-")</f>
        <v>0</v>
      </c>
      <c r="M2340" s="38">
        <f>COUNTIF(퀘스트!B:B,표1[[#This Row],[명칭]])</f>
        <v>0</v>
      </c>
      <c r="N2340" s="65">
        <f>COUNTIF([1]VillageDiscoveryGroup!$C:$C,표1[[#This Row],[명칭]])</f>
        <v>0</v>
      </c>
      <c r="O2340" s="65">
        <f>SUM(표1[[#This Row],[해양탐색]:[마을탐험]])</f>
        <v>0</v>
      </c>
    </row>
    <row r="2341" spans="2:15" ht="13.5" customHeight="1" x14ac:dyDescent="0.3">
      <c r="B2341" s="9">
        <f>[1]Discovery!A2347</f>
        <v>70414048</v>
      </c>
      <c r="C2341" s="9" t="str">
        <f>[1]Discovery!B2347</f>
        <v>사냥개자리</v>
      </c>
      <c r="D2341" s="9" t="str">
        <f>[1]Discovery!E2347</f>
        <v>자연</v>
      </c>
      <c r="E2341" s="9" t="str">
        <f>[1]Discovery!C2347</f>
        <v>천문</v>
      </c>
      <c r="F2341" s="9" t="str">
        <f>[1]Discovery!G2347</f>
        <v>D</v>
      </c>
      <c r="G2341" s="9" t="str">
        <f>IFERROR(VLOOKUP(표1[[#This Row],[명칭]],'문화권 정리'!C:D,2,FALSE),"-")</f>
        <v>천문</v>
      </c>
      <c r="H2341" s="38" t="str">
        <f>IFERROR(COUNTIF([2]OceanDoodad!$Y:$Y,표1[[#This Row],[명칭]]),"-")</f>
        <v>-</v>
      </c>
      <c r="I2341" s="38">
        <f>IFERROR(COUNTIF([1]AdventureDiscoveryGroup!$D$8:$AW$92,표1[[#This Row],[명칭]]),"-")</f>
        <v>0</v>
      </c>
      <c r="J2341" s="38">
        <f>IFERROR(COUNTIF([1]FishDiscoveryGroup!$A:$X,표1[[#This Row],[명칭]]),"-")</f>
        <v>0</v>
      </c>
      <c r="K2341" s="38" t="str">
        <f>IFERROR(COUNTIF([2]Town!$B:$B,표1[[#This Row],[명칭]]),"-")</f>
        <v>-</v>
      </c>
      <c r="L2341" s="38">
        <f>IFERROR(COUNTIF([1]Village!$BR:$BR,표1[[#This Row],[명칭]]),"-")</f>
        <v>0</v>
      </c>
      <c r="M2341" s="38">
        <f>COUNTIF(퀘스트!B:B,표1[[#This Row],[명칭]])</f>
        <v>0</v>
      </c>
      <c r="N2341" s="65">
        <f>COUNTIF([1]VillageDiscoveryGroup!$C:$C,표1[[#This Row],[명칭]])</f>
        <v>0</v>
      </c>
      <c r="O2341" s="65">
        <f>SUM(표1[[#This Row],[해양탐색]:[마을탐험]])</f>
        <v>0</v>
      </c>
    </row>
    <row r="2342" spans="2:15" ht="13.5" customHeight="1" x14ac:dyDescent="0.3">
      <c r="B2342" s="9">
        <f>[1]Discovery!A2348</f>
        <v>70414049</v>
      </c>
      <c r="C2342" s="9" t="str">
        <f>[1]Discovery!B2348</f>
        <v>사자자리</v>
      </c>
      <c r="D2342" s="9" t="str">
        <f>[1]Discovery!E2348</f>
        <v>자연</v>
      </c>
      <c r="E2342" s="9" t="str">
        <f>[1]Discovery!C2348</f>
        <v>천문</v>
      </c>
      <c r="F2342" s="9" t="str">
        <f>[1]Discovery!G2348</f>
        <v>A</v>
      </c>
      <c r="G2342" s="9" t="str">
        <f>IFERROR(VLOOKUP(표1[[#This Row],[명칭]],'문화권 정리'!C:D,2,FALSE),"-")</f>
        <v>천문</v>
      </c>
      <c r="H2342" s="38" t="str">
        <f>IFERROR(COUNTIF([2]OceanDoodad!$Y:$Y,표1[[#This Row],[명칭]]),"-")</f>
        <v>-</v>
      </c>
      <c r="I2342" s="38">
        <f>IFERROR(COUNTIF([1]AdventureDiscoveryGroup!$D$8:$AW$92,표1[[#This Row],[명칭]]),"-")</f>
        <v>0</v>
      </c>
      <c r="J2342" s="38">
        <f>IFERROR(COUNTIF([1]FishDiscoveryGroup!$A:$X,표1[[#This Row],[명칭]]),"-")</f>
        <v>0</v>
      </c>
      <c r="K2342" s="38" t="str">
        <f>IFERROR(COUNTIF([2]Town!$B:$B,표1[[#This Row],[명칭]]),"-")</f>
        <v>-</v>
      </c>
      <c r="L2342" s="38">
        <f>IFERROR(COUNTIF([1]Village!$BR:$BR,표1[[#This Row],[명칭]]),"-")</f>
        <v>0</v>
      </c>
      <c r="M2342" s="38">
        <f>COUNTIF(퀘스트!B:B,표1[[#This Row],[명칭]])</f>
        <v>0</v>
      </c>
      <c r="N2342" s="65">
        <f>COUNTIF([1]VillageDiscoveryGroup!$C:$C,표1[[#This Row],[명칭]])</f>
        <v>0</v>
      </c>
      <c r="O2342" s="65">
        <f>SUM(표1[[#This Row],[해양탐색]:[마을탐험]])</f>
        <v>0</v>
      </c>
    </row>
    <row r="2343" spans="2:15" ht="13.5" customHeight="1" x14ac:dyDescent="0.3">
      <c r="B2343" s="9">
        <f>[1]Discovery!A2349</f>
        <v>70414050</v>
      </c>
      <c r="C2343" s="9" t="str">
        <f>[1]Discovery!B2349</f>
        <v>삼각형자리</v>
      </c>
      <c r="D2343" s="9" t="str">
        <f>[1]Discovery!E2349</f>
        <v>자연</v>
      </c>
      <c r="E2343" s="9" t="str">
        <f>[1]Discovery!C2349</f>
        <v>천문</v>
      </c>
      <c r="F2343" s="9" t="str">
        <f>[1]Discovery!G2349</f>
        <v>D</v>
      </c>
      <c r="G2343" s="9" t="str">
        <f>IFERROR(VLOOKUP(표1[[#This Row],[명칭]],'문화권 정리'!C:D,2,FALSE),"-")</f>
        <v>천문</v>
      </c>
      <c r="H2343" s="38" t="str">
        <f>IFERROR(COUNTIF([2]OceanDoodad!$Y:$Y,표1[[#This Row],[명칭]]),"-")</f>
        <v>-</v>
      </c>
      <c r="I2343" s="38">
        <f>IFERROR(COUNTIF([1]AdventureDiscoveryGroup!$D$8:$AW$92,표1[[#This Row],[명칭]]),"-")</f>
        <v>0</v>
      </c>
      <c r="J2343" s="38">
        <f>IFERROR(COUNTIF([1]FishDiscoveryGroup!$A:$X,표1[[#This Row],[명칭]]),"-")</f>
        <v>0</v>
      </c>
      <c r="K2343" s="38" t="str">
        <f>IFERROR(COUNTIF([2]Town!$B:$B,표1[[#This Row],[명칭]]),"-")</f>
        <v>-</v>
      </c>
      <c r="L2343" s="38">
        <f>IFERROR(COUNTIF([1]Village!$BR:$BR,표1[[#This Row],[명칭]]),"-")</f>
        <v>0</v>
      </c>
      <c r="M2343" s="38">
        <f>COUNTIF(퀘스트!B:B,표1[[#This Row],[명칭]])</f>
        <v>0</v>
      </c>
      <c r="N2343" s="65">
        <f>COUNTIF([1]VillageDiscoveryGroup!$C:$C,표1[[#This Row],[명칭]])</f>
        <v>0</v>
      </c>
      <c r="O2343" s="65">
        <f>SUM(표1[[#This Row],[해양탐색]:[마을탐험]])</f>
        <v>0</v>
      </c>
    </row>
    <row r="2344" spans="2:15" ht="13.5" customHeight="1" x14ac:dyDescent="0.3">
      <c r="B2344" s="9">
        <f>[1]Discovery!A2350</f>
        <v>70414051</v>
      </c>
      <c r="C2344" s="9" t="str">
        <f>[1]Discovery!B2350</f>
        <v>수성</v>
      </c>
      <c r="D2344" s="9" t="str">
        <f>[1]Discovery!E2350</f>
        <v>자연</v>
      </c>
      <c r="E2344" s="9" t="str">
        <f>[1]Discovery!C2350</f>
        <v>천문</v>
      </c>
      <c r="F2344" s="9" t="str">
        <f>[1]Discovery!G2350</f>
        <v>A</v>
      </c>
      <c r="G2344" s="9" t="str">
        <f>IFERROR(VLOOKUP(표1[[#This Row],[명칭]],'문화권 정리'!C:D,2,FALSE),"-")</f>
        <v>천문</v>
      </c>
      <c r="H2344" s="38" t="str">
        <f>IFERROR(COUNTIF([2]OceanDoodad!$Y:$Y,표1[[#This Row],[명칭]]),"-")</f>
        <v>-</v>
      </c>
      <c r="I2344" s="38">
        <f>IFERROR(COUNTIF([1]AdventureDiscoveryGroup!$D$8:$AW$92,표1[[#This Row],[명칭]]),"-")</f>
        <v>0</v>
      </c>
      <c r="J2344" s="38">
        <f>IFERROR(COUNTIF([1]FishDiscoveryGroup!$A:$X,표1[[#This Row],[명칭]]),"-")</f>
        <v>0</v>
      </c>
      <c r="K2344" s="38" t="str">
        <f>IFERROR(COUNTIF([2]Town!$B:$B,표1[[#This Row],[명칭]]),"-")</f>
        <v>-</v>
      </c>
      <c r="L2344" s="38">
        <f>IFERROR(COUNTIF([1]Village!$BR:$BR,표1[[#This Row],[명칭]]),"-")</f>
        <v>0</v>
      </c>
      <c r="M2344" s="38">
        <f>COUNTIF(퀘스트!B:B,표1[[#This Row],[명칭]])</f>
        <v>0</v>
      </c>
      <c r="N2344" s="65">
        <f>COUNTIF([1]VillageDiscoveryGroup!$C:$C,표1[[#This Row],[명칭]])</f>
        <v>0</v>
      </c>
      <c r="O2344" s="65">
        <f>SUM(표1[[#This Row],[해양탐색]:[마을탐험]])</f>
        <v>0</v>
      </c>
    </row>
    <row r="2345" spans="2:15" ht="13.5" customHeight="1" x14ac:dyDescent="0.3">
      <c r="B2345" s="9">
        <f>[1]Discovery!A2351</f>
        <v>70414052</v>
      </c>
      <c r="C2345" s="9" t="str">
        <f>[1]Discovery!B2351</f>
        <v>스피카</v>
      </c>
      <c r="D2345" s="9" t="str">
        <f>[1]Discovery!E2351</f>
        <v>자연</v>
      </c>
      <c r="E2345" s="9" t="str">
        <f>[1]Discovery!C2351</f>
        <v>천문</v>
      </c>
      <c r="F2345" s="9" t="str">
        <f>[1]Discovery!G2351</f>
        <v>A</v>
      </c>
      <c r="G2345" s="9" t="str">
        <f>IFERROR(VLOOKUP(표1[[#This Row],[명칭]],'문화권 정리'!C:D,2,FALSE),"-")</f>
        <v>천문</v>
      </c>
      <c r="H2345" s="38" t="str">
        <f>IFERROR(COUNTIF([2]OceanDoodad!$Y:$Y,표1[[#This Row],[명칭]]),"-")</f>
        <v>-</v>
      </c>
      <c r="I2345" s="38">
        <f>IFERROR(COUNTIF([1]AdventureDiscoveryGroup!$D$8:$AW$92,표1[[#This Row],[명칭]]),"-")</f>
        <v>0</v>
      </c>
      <c r="J2345" s="38">
        <f>IFERROR(COUNTIF([1]FishDiscoveryGroup!$A:$X,표1[[#This Row],[명칭]]),"-")</f>
        <v>0</v>
      </c>
      <c r="K2345" s="38" t="str">
        <f>IFERROR(COUNTIF([2]Town!$B:$B,표1[[#This Row],[명칭]]),"-")</f>
        <v>-</v>
      </c>
      <c r="L2345" s="38">
        <f>IFERROR(COUNTIF([1]Village!$BR:$BR,표1[[#This Row],[명칭]]),"-")</f>
        <v>0</v>
      </c>
      <c r="M2345" s="38">
        <f>COUNTIF(퀘스트!B:B,표1[[#This Row],[명칭]])</f>
        <v>0</v>
      </c>
      <c r="N2345" s="65">
        <f>COUNTIF([1]VillageDiscoveryGroup!$C:$C,표1[[#This Row],[명칭]])</f>
        <v>0</v>
      </c>
      <c r="O2345" s="65">
        <f>SUM(표1[[#This Row],[해양탐색]:[마을탐험]])</f>
        <v>0</v>
      </c>
    </row>
    <row r="2346" spans="2:15" ht="13.5" customHeight="1" x14ac:dyDescent="0.3">
      <c r="B2346" s="9">
        <f>[1]Discovery!A2352</f>
        <v>70414053</v>
      </c>
      <c r="C2346" s="9" t="str">
        <f>[1]Discovery!B2352</f>
        <v>시리우스</v>
      </c>
      <c r="D2346" s="9" t="str">
        <f>[1]Discovery!E2352</f>
        <v>자연</v>
      </c>
      <c r="E2346" s="9" t="str">
        <f>[1]Discovery!C2352</f>
        <v>천문</v>
      </c>
      <c r="F2346" s="9" t="str">
        <f>[1]Discovery!G2352</f>
        <v>A</v>
      </c>
      <c r="G2346" s="9" t="str">
        <f>IFERROR(VLOOKUP(표1[[#This Row],[명칭]],'문화권 정리'!C:D,2,FALSE),"-")</f>
        <v>천문</v>
      </c>
      <c r="H2346" s="38" t="str">
        <f>IFERROR(COUNTIF([2]OceanDoodad!$Y:$Y,표1[[#This Row],[명칭]]),"-")</f>
        <v>-</v>
      </c>
      <c r="I2346" s="38">
        <f>IFERROR(COUNTIF([1]AdventureDiscoveryGroup!$D$8:$AW$92,표1[[#This Row],[명칭]]),"-")</f>
        <v>0</v>
      </c>
      <c r="J2346" s="38">
        <f>IFERROR(COUNTIF([1]FishDiscoveryGroup!$A:$X,표1[[#This Row],[명칭]]),"-")</f>
        <v>0</v>
      </c>
      <c r="K2346" s="38" t="str">
        <f>IFERROR(COUNTIF([2]Town!$B:$B,표1[[#This Row],[명칭]]),"-")</f>
        <v>-</v>
      </c>
      <c r="L2346" s="38">
        <f>IFERROR(COUNTIF([1]Village!$BR:$BR,표1[[#This Row],[명칭]]),"-")</f>
        <v>0</v>
      </c>
      <c r="M2346" s="38">
        <f>COUNTIF(퀘스트!B:B,표1[[#This Row],[명칭]])</f>
        <v>0</v>
      </c>
      <c r="N2346" s="65">
        <f>COUNTIF([1]VillageDiscoveryGroup!$C:$C,표1[[#This Row],[명칭]])</f>
        <v>0</v>
      </c>
      <c r="O2346" s="65">
        <f>SUM(표1[[#This Row],[해양탐색]:[마을탐험]])</f>
        <v>0</v>
      </c>
    </row>
    <row r="2347" spans="2:15" ht="13.5" customHeight="1" x14ac:dyDescent="0.3">
      <c r="B2347" s="9">
        <f>[1]Discovery!A2353</f>
        <v>70414054</v>
      </c>
      <c r="C2347" s="9" t="str">
        <f>[1]Discovery!B2353</f>
        <v>쌍둥이자리</v>
      </c>
      <c r="D2347" s="9" t="str">
        <f>[1]Discovery!E2353</f>
        <v>자연</v>
      </c>
      <c r="E2347" s="9" t="str">
        <f>[1]Discovery!C2353</f>
        <v>천문</v>
      </c>
      <c r="F2347" s="9" t="str">
        <f>[1]Discovery!G2353</f>
        <v>D</v>
      </c>
      <c r="G2347" s="9" t="str">
        <f>IFERROR(VLOOKUP(표1[[#This Row],[명칭]],'문화권 정리'!C:D,2,FALSE),"-")</f>
        <v>천문</v>
      </c>
      <c r="H2347" s="38" t="str">
        <f>IFERROR(COUNTIF([2]OceanDoodad!$Y:$Y,표1[[#This Row],[명칭]]),"-")</f>
        <v>-</v>
      </c>
      <c r="I2347" s="38">
        <f>IFERROR(COUNTIF([1]AdventureDiscoveryGroup!$D$8:$AW$92,표1[[#This Row],[명칭]]),"-")</f>
        <v>0</v>
      </c>
      <c r="J2347" s="38">
        <f>IFERROR(COUNTIF([1]FishDiscoveryGroup!$A:$X,표1[[#This Row],[명칭]]),"-")</f>
        <v>0</v>
      </c>
      <c r="K2347" s="38" t="str">
        <f>IFERROR(COUNTIF([2]Town!$B:$B,표1[[#This Row],[명칭]]),"-")</f>
        <v>-</v>
      </c>
      <c r="L2347" s="38">
        <f>IFERROR(COUNTIF([1]Village!$BR:$BR,표1[[#This Row],[명칭]]),"-")</f>
        <v>0</v>
      </c>
      <c r="M2347" s="38">
        <f>COUNTIF(퀘스트!B:B,표1[[#This Row],[명칭]])</f>
        <v>0</v>
      </c>
      <c r="N2347" s="65">
        <f>COUNTIF([1]VillageDiscoveryGroup!$C:$C,표1[[#This Row],[명칭]])</f>
        <v>0</v>
      </c>
      <c r="O2347" s="65">
        <f>SUM(표1[[#This Row],[해양탐색]:[마을탐험]])</f>
        <v>0</v>
      </c>
    </row>
    <row r="2348" spans="2:15" ht="13.5" customHeight="1" x14ac:dyDescent="0.3">
      <c r="B2348" s="9">
        <f>[1]Discovery!A2354</f>
        <v>70414055</v>
      </c>
      <c r="C2348" s="9" t="str">
        <f>[1]Discovery!B2354</f>
        <v>아르크투루스</v>
      </c>
      <c r="D2348" s="9" t="str">
        <f>[1]Discovery!E2354</f>
        <v>자연</v>
      </c>
      <c r="E2348" s="9" t="str">
        <f>[1]Discovery!C2354</f>
        <v>천문</v>
      </c>
      <c r="F2348" s="9" t="str">
        <f>[1]Discovery!G2354</f>
        <v>C</v>
      </c>
      <c r="G2348" s="9" t="str">
        <f>IFERROR(VLOOKUP(표1[[#This Row],[명칭]],'문화권 정리'!C:D,2,FALSE),"-")</f>
        <v>천문</v>
      </c>
      <c r="H2348" s="38" t="str">
        <f>IFERROR(COUNTIF([2]OceanDoodad!$Y:$Y,표1[[#This Row],[명칭]]),"-")</f>
        <v>-</v>
      </c>
      <c r="I2348" s="38">
        <f>IFERROR(COUNTIF([1]AdventureDiscoveryGroup!$D$8:$AW$92,표1[[#This Row],[명칭]]),"-")</f>
        <v>0</v>
      </c>
      <c r="J2348" s="38">
        <f>IFERROR(COUNTIF([1]FishDiscoveryGroup!$A:$X,표1[[#This Row],[명칭]]),"-")</f>
        <v>0</v>
      </c>
      <c r="K2348" s="38" t="str">
        <f>IFERROR(COUNTIF([2]Town!$B:$B,표1[[#This Row],[명칭]]),"-")</f>
        <v>-</v>
      </c>
      <c r="L2348" s="38">
        <f>IFERROR(COUNTIF([1]Village!$BR:$BR,표1[[#This Row],[명칭]]),"-")</f>
        <v>0</v>
      </c>
      <c r="M2348" s="38">
        <f>COUNTIF(퀘스트!B:B,표1[[#This Row],[명칭]])</f>
        <v>1</v>
      </c>
      <c r="N2348" s="65">
        <f>COUNTIF([1]VillageDiscoveryGroup!$C:$C,표1[[#This Row],[명칭]])</f>
        <v>0</v>
      </c>
      <c r="O2348" s="65">
        <f>SUM(표1[[#This Row],[해양탐색]:[마을탐험]])</f>
        <v>1</v>
      </c>
    </row>
    <row r="2349" spans="2:15" ht="13.5" customHeight="1" x14ac:dyDescent="0.3">
      <c r="B2349" s="9">
        <f>[1]Discovery!A2355</f>
        <v>70414056</v>
      </c>
      <c r="C2349" s="9" t="str">
        <f>[1]Discovery!B2355</f>
        <v>아케르나르</v>
      </c>
      <c r="D2349" s="9" t="str">
        <f>[1]Discovery!E2355</f>
        <v>자연</v>
      </c>
      <c r="E2349" s="9" t="str">
        <f>[1]Discovery!C2355</f>
        <v>천문</v>
      </c>
      <c r="F2349" s="9" t="str">
        <f>[1]Discovery!G2355</f>
        <v>C</v>
      </c>
      <c r="G2349" s="9" t="str">
        <f>IFERROR(VLOOKUP(표1[[#This Row],[명칭]],'문화권 정리'!C:D,2,FALSE),"-")</f>
        <v>천문</v>
      </c>
      <c r="H2349" s="38" t="str">
        <f>IFERROR(COUNTIF([2]OceanDoodad!$Y:$Y,표1[[#This Row],[명칭]]),"-")</f>
        <v>-</v>
      </c>
      <c r="I2349" s="38">
        <f>IFERROR(COUNTIF([1]AdventureDiscoveryGroup!$D$8:$AW$92,표1[[#This Row],[명칭]]),"-")</f>
        <v>0</v>
      </c>
      <c r="J2349" s="38">
        <f>IFERROR(COUNTIF([1]FishDiscoveryGroup!$A:$X,표1[[#This Row],[명칭]]),"-")</f>
        <v>0</v>
      </c>
      <c r="K2349" s="38" t="str">
        <f>IFERROR(COUNTIF([2]Town!$B:$B,표1[[#This Row],[명칭]]),"-")</f>
        <v>-</v>
      </c>
      <c r="L2349" s="38">
        <f>IFERROR(COUNTIF([1]Village!$BR:$BR,표1[[#This Row],[명칭]]),"-")</f>
        <v>0</v>
      </c>
      <c r="M2349" s="38">
        <f>COUNTIF(퀘스트!B:B,표1[[#This Row],[명칭]])</f>
        <v>0</v>
      </c>
      <c r="N2349" s="65">
        <f>COUNTIF([1]VillageDiscoveryGroup!$C:$C,표1[[#This Row],[명칭]])</f>
        <v>0</v>
      </c>
      <c r="O2349" s="65">
        <f>SUM(표1[[#This Row],[해양탐색]:[마을탐험]])</f>
        <v>0</v>
      </c>
    </row>
    <row r="2350" spans="2:15" ht="13.5" customHeight="1" x14ac:dyDescent="0.3">
      <c r="B2350" s="9">
        <f>[1]Discovery!A2356</f>
        <v>70414057</v>
      </c>
      <c r="C2350" s="9" t="str">
        <f>[1]Discovery!B2356</f>
        <v>안드로메다자리</v>
      </c>
      <c r="D2350" s="9" t="str">
        <f>[1]Discovery!E2356</f>
        <v>자연</v>
      </c>
      <c r="E2350" s="9" t="str">
        <f>[1]Discovery!C2356</f>
        <v>천문</v>
      </c>
      <c r="F2350" s="9" t="str">
        <f>[1]Discovery!G2356</f>
        <v>D</v>
      </c>
      <c r="G2350" s="9" t="str">
        <f>IFERROR(VLOOKUP(표1[[#This Row],[명칭]],'문화권 정리'!C:D,2,FALSE),"-")</f>
        <v>천문</v>
      </c>
      <c r="H2350" s="38" t="str">
        <f>IFERROR(COUNTIF([2]OceanDoodad!$Y:$Y,표1[[#This Row],[명칭]]),"-")</f>
        <v>-</v>
      </c>
      <c r="I2350" s="38">
        <f>IFERROR(COUNTIF([1]AdventureDiscoveryGroup!$D$8:$AW$92,표1[[#This Row],[명칭]]),"-")</f>
        <v>0</v>
      </c>
      <c r="J2350" s="38">
        <f>IFERROR(COUNTIF([1]FishDiscoveryGroup!$A:$X,표1[[#This Row],[명칭]]),"-")</f>
        <v>0</v>
      </c>
      <c r="K2350" s="38" t="str">
        <f>IFERROR(COUNTIF([2]Town!$B:$B,표1[[#This Row],[명칭]]),"-")</f>
        <v>-</v>
      </c>
      <c r="L2350" s="38">
        <f>IFERROR(COUNTIF([1]Village!$BR:$BR,표1[[#This Row],[명칭]]),"-")</f>
        <v>0</v>
      </c>
      <c r="M2350" s="38">
        <f>COUNTIF(퀘스트!B:B,표1[[#This Row],[명칭]])</f>
        <v>0</v>
      </c>
      <c r="N2350" s="65">
        <f>COUNTIF([1]VillageDiscoveryGroup!$C:$C,표1[[#This Row],[명칭]])</f>
        <v>0</v>
      </c>
      <c r="O2350" s="65">
        <f>SUM(표1[[#This Row],[해양탐색]:[마을탐험]])</f>
        <v>0</v>
      </c>
    </row>
    <row r="2351" spans="2:15" ht="13.5" customHeight="1" x14ac:dyDescent="0.3">
      <c r="B2351" s="9">
        <f>[1]Discovery!A2357</f>
        <v>70414058</v>
      </c>
      <c r="C2351" s="9" t="str">
        <f>[1]Discovery!B2357</f>
        <v>안타레스</v>
      </c>
      <c r="D2351" s="9" t="str">
        <f>[1]Discovery!E2357</f>
        <v>자연</v>
      </c>
      <c r="E2351" s="9" t="str">
        <f>[1]Discovery!C2357</f>
        <v>천문</v>
      </c>
      <c r="F2351" s="9" t="str">
        <f>[1]Discovery!G2357</f>
        <v>C</v>
      </c>
      <c r="G2351" s="9" t="str">
        <f>IFERROR(VLOOKUP(표1[[#This Row],[명칭]],'문화권 정리'!C:D,2,FALSE),"-")</f>
        <v>천문</v>
      </c>
      <c r="H2351" s="38" t="str">
        <f>IFERROR(COUNTIF([2]OceanDoodad!$Y:$Y,표1[[#This Row],[명칭]]),"-")</f>
        <v>-</v>
      </c>
      <c r="I2351" s="38">
        <f>IFERROR(COUNTIF([1]AdventureDiscoveryGroup!$D$8:$AW$92,표1[[#This Row],[명칭]]),"-")</f>
        <v>0</v>
      </c>
      <c r="J2351" s="38">
        <f>IFERROR(COUNTIF([1]FishDiscoveryGroup!$A:$X,표1[[#This Row],[명칭]]),"-")</f>
        <v>0</v>
      </c>
      <c r="K2351" s="38" t="str">
        <f>IFERROR(COUNTIF([2]Town!$B:$B,표1[[#This Row],[명칭]]),"-")</f>
        <v>-</v>
      </c>
      <c r="L2351" s="38">
        <f>IFERROR(COUNTIF([1]Village!$BR:$BR,표1[[#This Row],[명칭]]),"-")</f>
        <v>0</v>
      </c>
      <c r="M2351" s="38">
        <f>COUNTIF(퀘스트!B:B,표1[[#This Row],[명칭]])</f>
        <v>0</v>
      </c>
      <c r="N2351" s="65">
        <f>COUNTIF([1]VillageDiscoveryGroup!$C:$C,표1[[#This Row],[명칭]])</f>
        <v>0</v>
      </c>
      <c r="O2351" s="65">
        <f>SUM(표1[[#This Row],[해양탐색]:[마을탐험]])</f>
        <v>0</v>
      </c>
    </row>
    <row r="2352" spans="2:15" ht="13.5" customHeight="1" x14ac:dyDescent="0.3">
      <c r="B2352" s="9">
        <f>[1]Discovery!A2358</f>
        <v>70414059</v>
      </c>
      <c r="C2352" s="9" t="str">
        <f>[1]Discovery!B2358</f>
        <v>알나이르</v>
      </c>
      <c r="D2352" s="9" t="str">
        <f>[1]Discovery!E2358</f>
        <v>자연</v>
      </c>
      <c r="E2352" s="9" t="str">
        <f>[1]Discovery!C2358</f>
        <v>천문</v>
      </c>
      <c r="F2352" s="9" t="str">
        <f>[1]Discovery!G2358</f>
        <v>C</v>
      </c>
      <c r="G2352" s="9" t="str">
        <f>IFERROR(VLOOKUP(표1[[#This Row],[명칭]],'문화권 정리'!C:D,2,FALSE),"-")</f>
        <v>천문</v>
      </c>
      <c r="H2352" s="38" t="str">
        <f>IFERROR(COUNTIF([2]OceanDoodad!$Y:$Y,표1[[#This Row],[명칭]]),"-")</f>
        <v>-</v>
      </c>
      <c r="I2352" s="38">
        <f>IFERROR(COUNTIF([1]AdventureDiscoveryGroup!$D$8:$AW$92,표1[[#This Row],[명칭]]),"-")</f>
        <v>0</v>
      </c>
      <c r="J2352" s="38">
        <f>IFERROR(COUNTIF([1]FishDiscoveryGroup!$A:$X,표1[[#This Row],[명칭]]),"-")</f>
        <v>0</v>
      </c>
      <c r="K2352" s="38" t="str">
        <f>IFERROR(COUNTIF([2]Town!$B:$B,표1[[#This Row],[명칭]]),"-")</f>
        <v>-</v>
      </c>
      <c r="L2352" s="38">
        <f>IFERROR(COUNTIF([1]Village!$BR:$BR,표1[[#This Row],[명칭]]),"-")</f>
        <v>0</v>
      </c>
      <c r="M2352" s="38">
        <f>COUNTIF(퀘스트!B:B,표1[[#This Row],[명칭]])</f>
        <v>0</v>
      </c>
      <c r="N2352" s="65">
        <f>COUNTIF([1]VillageDiscoveryGroup!$C:$C,표1[[#This Row],[명칭]])</f>
        <v>0</v>
      </c>
      <c r="O2352" s="65">
        <f>SUM(표1[[#This Row],[해양탐색]:[마을탐험]])</f>
        <v>0</v>
      </c>
    </row>
    <row r="2353" spans="2:15" ht="13.5" customHeight="1" x14ac:dyDescent="0.3">
      <c r="B2353" s="9">
        <f>[1]Discovery!A2359</f>
        <v>70414060</v>
      </c>
      <c r="C2353" s="9" t="str">
        <f>[1]Discovery!B2359</f>
        <v>알데바란</v>
      </c>
      <c r="D2353" s="9" t="str">
        <f>[1]Discovery!E2359</f>
        <v>자연</v>
      </c>
      <c r="E2353" s="9" t="str">
        <f>[1]Discovery!C2359</f>
        <v>천문</v>
      </c>
      <c r="F2353" s="9" t="str">
        <f>[1]Discovery!G2359</f>
        <v>A</v>
      </c>
      <c r="G2353" s="9" t="str">
        <f>IFERROR(VLOOKUP(표1[[#This Row],[명칭]],'문화권 정리'!C:D,2,FALSE),"-")</f>
        <v>천문</v>
      </c>
      <c r="H2353" s="38" t="str">
        <f>IFERROR(COUNTIF([2]OceanDoodad!$Y:$Y,표1[[#This Row],[명칭]]),"-")</f>
        <v>-</v>
      </c>
      <c r="I2353" s="38">
        <f>IFERROR(COUNTIF([1]AdventureDiscoveryGroup!$D$8:$AW$92,표1[[#This Row],[명칭]]),"-")</f>
        <v>0</v>
      </c>
      <c r="J2353" s="38">
        <f>IFERROR(COUNTIF([1]FishDiscoveryGroup!$A:$X,표1[[#This Row],[명칭]]),"-")</f>
        <v>0</v>
      </c>
      <c r="K2353" s="38" t="str">
        <f>IFERROR(COUNTIF([2]Town!$B:$B,표1[[#This Row],[명칭]]),"-")</f>
        <v>-</v>
      </c>
      <c r="L2353" s="38">
        <f>IFERROR(COUNTIF([1]Village!$BR:$BR,표1[[#This Row],[명칭]]),"-")</f>
        <v>0</v>
      </c>
      <c r="M2353" s="38">
        <f>COUNTIF(퀘스트!B:B,표1[[#This Row],[명칭]])</f>
        <v>1</v>
      </c>
      <c r="N2353" s="65">
        <f>COUNTIF([1]VillageDiscoveryGroup!$C:$C,표1[[#This Row],[명칭]])</f>
        <v>0</v>
      </c>
      <c r="O2353" s="65">
        <f>SUM(표1[[#This Row],[해양탐색]:[마을탐험]])</f>
        <v>1</v>
      </c>
    </row>
    <row r="2354" spans="2:15" ht="13.5" customHeight="1" x14ac:dyDescent="0.3">
      <c r="B2354" s="9">
        <f>[1]Discovery!A2360</f>
        <v>70414061</v>
      </c>
      <c r="C2354" s="9" t="str">
        <f>[1]Discovery!B2360</f>
        <v>알비레오</v>
      </c>
      <c r="D2354" s="9" t="str">
        <f>[1]Discovery!E2360</f>
        <v>자연</v>
      </c>
      <c r="E2354" s="9" t="str">
        <f>[1]Discovery!C2360</f>
        <v>천문</v>
      </c>
      <c r="F2354" s="9" t="str">
        <f>[1]Discovery!G2360</f>
        <v>C</v>
      </c>
      <c r="G2354" s="9" t="str">
        <f>IFERROR(VLOOKUP(표1[[#This Row],[명칭]],'문화권 정리'!C:D,2,FALSE),"-")</f>
        <v>천문</v>
      </c>
      <c r="H2354" s="38" t="str">
        <f>IFERROR(COUNTIF([2]OceanDoodad!$Y:$Y,표1[[#This Row],[명칭]]),"-")</f>
        <v>-</v>
      </c>
      <c r="I2354" s="38">
        <f>IFERROR(COUNTIF([1]AdventureDiscoveryGroup!$D$8:$AW$92,표1[[#This Row],[명칭]]),"-")</f>
        <v>0</v>
      </c>
      <c r="J2354" s="38">
        <f>IFERROR(COUNTIF([1]FishDiscoveryGroup!$A:$X,표1[[#This Row],[명칭]]),"-")</f>
        <v>0</v>
      </c>
      <c r="K2354" s="38" t="str">
        <f>IFERROR(COUNTIF([2]Town!$B:$B,표1[[#This Row],[명칭]]),"-")</f>
        <v>-</v>
      </c>
      <c r="L2354" s="38">
        <f>IFERROR(COUNTIF([1]Village!$BR:$BR,표1[[#This Row],[명칭]]),"-")</f>
        <v>0</v>
      </c>
      <c r="M2354" s="38">
        <f>COUNTIF(퀘스트!B:B,표1[[#This Row],[명칭]])</f>
        <v>0</v>
      </c>
      <c r="N2354" s="65">
        <f>COUNTIF([1]VillageDiscoveryGroup!$C:$C,표1[[#This Row],[명칭]])</f>
        <v>0</v>
      </c>
      <c r="O2354" s="65">
        <f>SUM(표1[[#This Row],[해양탐색]:[마을탐험]])</f>
        <v>0</v>
      </c>
    </row>
    <row r="2355" spans="2:15" ht="13.5" customHeight="1" x14ac:dyDescent="0.3">
      <c r="B2355" s="9">
        <f>[1]Discovery!A2361</f>
        <v>70414062</v>
      </c>
      <c r="C2355" s="9" t="str">
        <f>[1]Discovery!B2361</f>
        <v>알타이르</v>
      </c>
      <c r="D2355" s="9" t="str">
        <f>[1]Discovery!E2361</f>
        <v>자연</v>
      </c>
      <c r="E2355" s="9" t="str">
        <f>[1]Discovery!C2361</f>
        <v>천문</v>
      </c>
      <c r="F2355" s="9" t="str">
        <f>[1]Discovery!G2361</f>
        <v>A</v>
      </c>
      <c r="G2355" s="9" t="str">
        <f>IFERROR(VLOOKUP(표1[[#This Row],[명칭]],'문화권 정리'!C:D,2,FALSE),"-")</f>
        <v>천문</v>
      </c>
      <c r="H2355" s="38" t="str">
        <f>IFERROR(COUNTIF([2]OceanDoodad!$Y:$Y,표1[[#This Row],[명칭]]),"-")</f>
        <v>-</v>
      </c>
      <c r="I2355" s="38">
        <f>IFERROR(COUNTIF([1]AdventureDiscoveryGroup!$D$8:$AW$92,표1[[#This Row],[명칭]]),"-")</f>
        <v>0</v>
      </c>
      <c r="J2355" s="38">
        <f>IFERROR(COUNTIF([1]FishDiscoveryGroup!$A:$X,표1[[#This Row],[명칭]]),"-")</f>
        <v>0</v>
      </c>
      <c r="K2355" s="38" t="str">
        <f>IFERROR(COUNTIF([2]Town!$B:$B,표1[[#This Row],[명칭]]),"-")</f>
        <v>-</v>
      </c>
      <c r="L2355" s="38">
        <f>IFERROR(COUNTIF([1]Village!$BR:$BR,표1[[#This Row],[명칭]]),"-")</f>
        <v>0</v>
      </c>
      <c r="M2355" s="38">
        <f>COUNTIF(퀘스트!B:B,표1[[#This Row],[명칭]])</f>
        <v>1</v>
      </c>
      <c r="N2355" s="65">
        <f>COUNTIF([1]VillageDiscoveryGroup!$C:$C,표1[[#This Row],[명칭]])</f>
        <v>0</v>
      </c>
      <c r="O2355" s="65">
        <f>SUM(표1[[#This Row],[해양탐색]:[마을탐험]])</f>
        <v>1</v>
      </c>
    </row>
    <row r="2356" spans="2:15" ht="13.5" customHeight="1" x14ac:dyDescent="0.3">
      <c r="B2356" s="9">
        <f>[1]Discovery!A2362</f>
        <v>70414063</v>
      </c>
      <c r="C2356" s="9" t="str">
        <f>[1]Discovery!B2362</f>
        <v>알파드</v>
      </c>
      <c r="D2356" s="9" t="str">
        <f>[1]Discovery!E2362</f>
        <v>자연</v>
      </c>
      <c r="E2356" s="9" t="str">
        <f>[1]Discovery!C2362</f>
        <v>천문</v>
      </c>
      <c r="F2356" s="9" t="str">
        <f>[1]Discovery!G2362</f>
        <v>C</v>
      </c>
      <c r="G2356" s="9" t="str">
        <f>IFERROR(VLOOKUP(표1[[#This Row],[명칭]],'문화권 정리'!C:D,2,FALSE),"-")</f>
        <v>천문</v>
      </c>
      <c r="H2356" s="38" t="str">
        <f>IFERROR(COUNTIF([2]OceanDoodad!$Y:$Y,표1[[#This Row],[명칭]]),"-")</f>
        <v>-</v>
      </c>
      <c r="I2356" s="38">
        <f>IFERROR(COUNTIF([1]AdventureDiscoveryGroup!$D$8:$AW$92,표1[[#This Row],[명칭]]),"-")</f>
        <v>0</v>
      </c>
      <c r="J2356" s="38">
        <f>IFERROR(COUNTIF([1]FishDiscoveryGroup!$A:$X,표1[[#This Row],[명칭]]),"-")</f>
        <v>0</v>
      </c>
      <c r="K2356" s="38" t="str">
        <f>IFERROR(COUNTIF([2]Town!$B:$B,표1[[#This Row],[명칭]]),"-")</f>
        <v>-</v>
      </c>
      <c r="L2356" s="38">
        <f>IFERROR(COUNTIF([1]Village!$BR:$BR,표1[[#This Row],[명칭]]),"-")</f>
        <v>0</v>
      </c>
      <c r="M2356" s="38">
        <f>COUNTIF(퀘스트!B:B,표1[[#This Row],[명칭]])</f>
        <v>1</v>
      </c>
      <c r="N2356" s="65">
        <f>COUNTIF([1]VillageDiscoveryGroup!$C:$C,표1[[#This Row],[명칭]])</f>
        <v>0</v>
      </c>
      <c r="O2356" s="65">
        <f>SUM(표1[[#This Row],[해양탐색]:[마을탐험]])</f>
        <v>1</v>
      </c>
    </row>
    <row r="2357" spans="2:15" ht="13.5" customHeight="1" x14ac:dyDescent="0.3">
      <c r="B2357" s="9">
        <f>[1]Discovery!A2363</f>
        <v>70414064</v>
      </c>
      <c r="C2357" s="9" t="str">
        <f>[1]Discovery!B2363</f>
        <v>양자리</v>
      </c>
      <c r="D2357" s="9" t="str">
        <f>[1]Discovery!E2363</f>
        <v>자연</v>
      </c>
      <c r="E2357" s="9" t="str">
        <f>[1]Discovery!C2363</f>
        <v>천문</v>
      </c>
      <c r="F2357" s="9" t="str">
        <f>[1]Discovery!G2363</f>
        <v>B</v>
      </c>
      <c r="G2357" s="9" t="str">
        <f>IFERROR(VLOOKUP(표1[[#This Row],[명칭]],'문화권 정리'!C:D,2,FALSE),"-")</f>
        <v>천문</v>
      </c>
      <c r="H2357" s="38" t="str">
        <f>IFERROR(COUNTIF([2]OceanDoodad!$Y:$Y,표1[[#This Row],[명칭]]),"-")</f>
        <v>-</v>
      </c>
      <c r="I2357" s="38">
        <f>IFERROR(COUNTIF([1]AdventureDiscoveryGroup!$D$8:$AW$92,표1[[#This Row],[명칭]]),"-")</f>
        <v>0</v>
      </c>
      <c r="J2357" s="38">
        <f>IFERROR(COUNTIF([1]FishDiscoveryGroup!$A:$X,표1[[#This Row],[명칭]]),"-")</f>
        <v>0</v>
      </c>
      <c r="K2357" s="38" t="str">
        <f>IFERROR(COUNTIF([2]Town!$B:$B,표1[[#This Row],[명칭]]),"-")</f>
        <v>-</v>
      </c>
      <c r="L2357" s="38">
        <f>IFERROR(COUNTIF([1]Village!$BR:$BR,표1[[#This Row],[명칭]]),"-")</f>
        <v>0</v>
      </c>
      <c r="M2357" s="38">
        <f>COUNTIF(퀘스트!B:B,표1[[#This Row],[명칭]])</f>
        <v>0</v>
      </c>
      <c r="N2357" s="65">
        <f>COUNTIF([1]VillageDiscoveryGroup!$C:$C,표1[[#This Row],[명칭]])</f>
        <v>0</v>
      </c>
      <c r="O2357" s="65">
        <f>SUM(표1[[#This Row],[해양탐색]:[마을탐험]])</f>
        <v>0</v>
      </c>
    </row>
    <row r="2358" spans="2:15" ht="13.5" customHeight="1" x14ac:dyDescent="0.3">
      <c r="B2358" s="9">
        <f>[1]Discovery!A2364</f>
        <v>70414065</v>
      </c>
      <c r="C2358" s="9" t="str">
        <f>[1]Discovery!B2364</f>
        <v>에리다누스자리</v>
      </c>
      <c r="D2358" s="9" t="str">
        <f>[1]Discovery!E2364</f>
        <v>자연</v>
      </c>
      <c r="E2358" s="9" t="str">
        <f>[1]Discovery!C2364</f>
        <v>천문</v>
      </c>
      <c r="F2358" s="9" t="str">
        <f>[1]Discovery!G2364</f>
        <v>B</v>
      </c>
      <c r="G2358" s="9" t="str">
        <f>IFERROR(VLOOKUP(표1[[#This Row],[명칭]],'문화권 정리'!C:D,2,FALSE),"-")</f>
        <v>천문</v>
      </c>
      <c r="H2358" s="38" t="str">
        <f>IFERROR(COUNTIF([2]OceanDoodad!$Y:$Y,표1[[#This Row],[명칭]]),"-")</f>
        <v>-</v>
      </c>
      <c r="I2358" s="38">
        <f>IFERROR(COUNTIF([1]AdventureDiscoveryGroup!$D$8:$AW$92,표1[[#This Row],[명칭]]),"-")</f>
        <v>0</v>
      </c>
      <c r="J2358" s="38">
        <f>IFERROR(COUNTIF([1]FishDiscoveryGroup!$A:$X,표1[[#This Row],[명칭]]),"-")</f>
        <v>0</v>
      </c>
      <c r="K2358" s="38" t="str">
        <f>IFERROR(COUNTIF([2]Town!$B:$B,표1[[#This Row],[명칭]]),"-")</f>
        <v>-</v>
      </c>
      <c r="L2358" s="38">
        <f>IFERROR(COUNTIF([1]Village!$BR:$BR,표1[[#This Row],[명칭]]),"-")</f>
        <v>0</v>
      </c>
      <c r="M2358" s="38">
        <f>COUNTIF(퀘스트!B:B,표1[[#This Row],[명칭]])</f>
        <v>0</v>
      </c>
      <c r="N2358" s="65">
        <f>COUNTIF([1]VillageDiscoveryGroup!$C:$C,표1[[#This Row],[명칭]])</f>
        <v>0</v>
      </c>
      <c r="O2358" s="65">
        <f>SUM(표1[[#This Row],[해양탐색]:[마을탐험]])</f>
        <v>0</v>
      </c>
    </row>
    <row r="2359" spans="2:15" ht="13.5" customHeight="1" x14ac:dyDescent="0.3">
      <c r="B2359" s="9">
        <f>[1]Discovery!A2365</f>
        <v>70414066</v>
      </c>
      <c r="C2359" s="9" t="str">
        <f>[1]Discovery!B2365</f>
        <v>여름의 대삼각형</v>
      </c>
      <c r="D2359" s="9" t="str">
        <f>[1]Discovery!E2365</f>
        <v>자연</v>
      </c>
      <c r="E2359" s="9" t="str">
        <f>[1]Discovery!C2365</f>
        <v>천문</v>
      </c>
      <c r="F2359" s="9" t="str">
        <f>[1]Discovery!G2365</f>
        <v>A</v>
      </c>
      <c r="G2359" s="9" t="str">
        <f>IFERROR(VLOOKUP(표1[[#This Row],[명칭]],'문화권 정리'!C:D,2,FALSE),"-")</f>
        <v>천문</v>
      </c>
      <c r="H2359" s="38" t="str">
        <f>IFERROR(COUNTIF([2]OceanDoodad!$Y:$Y,표1[[#This Row],[명칭]]),"-")</f>
        <v>-</v>
      </c>
      <c r="I2359" s="38">
        <f>IFERROR(COUNTIF([1]AdventureDiscoveryGroup!$D$8:$AW$92,표1[[#This Row],[명칭]]),"-")</f>
        <v>0</v>
      </c>
      <c r="J2359" s="38">
        <f>IFERROR(COUNTIF([1]FishDiscoveryGroup!$A:$X,표1[[#This Row],[명칭]]),"-")</f>
        <v>0</v>
      </c>
      <c r="K2359" s="38" t="str">
        <f>IFERROR(COUNTIF([2]Town!$B:$B,표1[[#This Row],[명칭]]),"-")</f>
        <v>-</v>
      </c>
      <c r="L2359" s="38">
        <f>IFERROR(COUNTIF([1]Village!$BR:$BR,표1[[#This Row],[명칭]]),"-")</f>
        <v>0</v>
      </c>
      <c r="M2359" s="38">
        <f>COUNTIF(퀘스트!B:B,표1[[#This Row],[명칭]])</f>
        <v>0</v>
      </c>
      <c r="N2359" s="65">
        <f>COUNTIF([1]VillageDiscoveryGroup!$C:$C,표1[[#This Row],[명칭]])</f>
        <v>0</v>
      </c>
      <c r="O2359" s="65">
        <f>SUM(표1[[#This Row],[해양탐색]:[마을탐험]])</f>
        <v>0</v>
      </c>
    </row>
    <row r="2360" spans="2:15" ht="13.5" customHeight="1" x14ac:dyDescent="0.3">
      <c r="B2360" s="9">
        <f>[1]Discovery!A2366</f>
        <v>70414067</v>
      </c>
      <c r="C2360" s="9" t="str">
        <f>[1]Discovery!B2366</f>
        <v>염소자리</v>
      </c>
      <c r="D2360" s="9" t="str">
        <f>[1]Discovery!E2366</f>
        <v>자연</v>
      </c>
      <c r="E2360" s="9" t="str">
        <f>[1]Discovery!C2366</f>
        <v>천문</v>
      </c>
      <c r="F2360" s="9" t="str">
        <f>[1]Discovery!G2366</f>
        <v>A</v>
      </c>
      <c r="G2360" s="9" t="str">
        <f>IFERROR(VLOOKUP(표1[[#This Row],[명칭]],'문화권 정리'!C:D,2,FALSE),"-")</f>
        <v>천문</v>
      </c>
      <c r="H2360" s="38" t="str">
        <f>IFERROR(COUNTIF([2]OceanDoodad!$Y:$Y,표1[[#This Row],[명칭]]),"-")</f>
        <v>-</v>
      </c>
      <c r="I2360" s="38">
        <f>IFERROR(COUNTIF([1]AdventureDiscoveryGroup!$D$8:$AW$92,표1[[#This Row],[명칭]]),"-")</f>
        <v>0</v>
      </c>
      <c r="J2360" s="38">
        <f>IFERROR(COUNTIF([1]FishDiscoveryGroup!$A:$X,표1[[#This Row],[명칭]]),"-")</f>
        <v>0</v>
      </c>
      <c r="K2360" s="38" t="str">
        <f>IFERROR(COUNTIF([2]Town!$B:$B,표1[[#This Row],[명칭]]),"-")</f>
        <v>-</v>
      </c>
      <c r="L2360" s="38">
        <f>IFERROR(COUNTIF([1]Village!$BR:$BR,표1[[#This Row],[명칭]]),"-")</f>
        <v>0</v>
      </c>
      <c r="M2360" s="38">
        <f>COUNTIF(퀘스트!B:B,표1[[#This Row],[명칭]])</f>
        <v>0</v>
      </c>
      <c r="N2360" s="65">
        <f>COUNTIF([1]VillageDiscoveryGroup!$C:$C,표1[[#This Row],[명칭]])</f>
        <v>0</v>
      </c>
      <c r="O2360" s="65">
        <f>SUM(표1[[#This Row],[해양탐색]:[마을탐험]])</f>
        <v>0</v>
      </c>
    </row>
    <row r="2361" spans="2:15" ht="13.5" customHeight="1" x14ac:dyDescent="0.3">
      <c r="B2361" s="9">
        <f>[1]Discovery!A2367</f>
        <v>70414068</v>
      </c>
      <c r="C2361" s="9" t="str">
        <f>[1]Discovery!B2367</f>
        <v>오리온의 허리띠</v>
      </c>
      <c r="D2361" s="9" t="str">
        <f>[1]Discovery!E2367</f>
        <v>자연</v>
      </c>
      <c r="E2361" s="9" t="str">
        <f>[1]Discovery!C2367</f>
        <v>천문</v>
      </c>
      <c r="F2361" s="9" t="str">
        <f>[1]Discovery!G2367</f>
        <v>C</v>
      </c>
      <c r="G2361" s="9" t="str">
        <f>IFERROR(VLOOKUP(표1[[#This Row],[명칭]],'문화권 정리'!C:D,2,FALSE),"-")</f>
        <v>천문</v>
      </c>
      <c r="H2361" s="38" t="str">
        <f>IFERROR(COUNTIF([2]OceanDoodad!$Y:$Y,표1[[#This Row],[명칭]]),"-")</f>
        <v>-</v>
      </c>
      <c r="I2361" s="38">
        <f>IFERROR(COUNTIF([1]AdventureDiscoveryGroup!$D$8:$AW$92,표1[[#This Row],[명칭]]),"-")</f>
        <v>0</v>
      </c>
      <c r="J2361" s="38">
        <f>IFERROR(COUNTIF([1]FishDiscoveryGroup!$A:$X,표1[[#This Row],[명칭]]),"-")</f>
        <v>0</v>
      </c>
      <c r="K2361" s="38" t="str">
        <f>IFERROR(COUNTIF([2]Town!$B:$B,표1[[#This Row],[명칭]]),"-")</f>
        <v>-</v>
      </c>
      <c r="L2361" s="38">
        <f>IFERROR(COUNTIF([1]Village!$BR:$BR,표1[[#This Row],[명칭]]),"-")</f>
        <v>0</v>
      </c>
      <c r="M2361" s="38">
        <f>COUNTIF(퀘스트!B:B,표1[[#This Row],[명칭]])</f>
        <v>0</v>
      </c>
      <c r="N2361" s="65">
        <f>COUNTIF([1]VillageDiscoveryGroup!$C:$C,표1[[#This Row],[명칭]])</f>
        <v>0</v>
      </c>
      <c r="O2361" s="65">
        <f>SUM(표1[[#This Row],[해양탐색]:[마을탐험]])</f>
        <v>0</v>
      </c>
    </row>
    <row r="2362" spans="2:15" ht="13.5" customHeight="1" x14ac:dyDescent="0.3">
      <c r="B2362" s="9">
        <f>[1]Discovery!A2368</f>
        <v>70414069</v>
      </c>
      <c r="C2362" s="9" t="str">
        <f>[1]Discovery!B2368</f>
        <v>오리온자리</v>
      </c>
      <c r="D2362" s="9" t="str">
        <f>[1]Discovery!E2368</f>
        <v>자연</v>
      </c>
      <c r="E2362" s="9" t="str">
        <f>[1]Discovery!C2368</f>
        <v>천문</v>
      </c>
      <c r="F2362" s="9" t="str">
        <f>[1]Discovery!G2368</f>
        <v>S</v>
      </c>
      <c r="G2362" s="9" t="str">
        <f>IFERROR(VLOOKUP(표1[[#This Row],[명칭]],'문화권 정리'!C:D,2,FALSE),"-")</f>
        <v>천문</v>
      </c>
      <c r="H2362" s="38" t="str">
        <f>IFERROR(COUNTIF([2]OceanDoodad!$Y:$Y,표1[[#This Row],[명칭]]),"-")</f>
        <v>-</v>
      </c>
      <c r="I2362" s="38">
        <f>IFERROR(COUNTIF([1]AdventureDiscoveryGroup!$D$8:$AW$92,표1[[#This Row],[명칭]]),"-")</f>
        <v>0</v>
      </c>
      <c r="J2362" s="38">
        <f>IFERROR(COUNTIF([1]FishDiscoveryGroup!$A:$X,표1[[#This Row],[명칭]]),"-")</f>
        <v>0</v>
      </c>
      <c r="K2362" s="38" t="str">
        <f>IFERROR(COUNTIF([2]Town!$B:$B,표1[[#This Row],[명칭]]),"-")</f>
        <v>-</v>
      </c>
      <c r="L2362" s="38">
        <f>IFERROR(COUNTIF([1]Village!$BR:$BR,표1[[#This Row],[명칭]]),"-")</f>
        <v>0</v>
      </c>
      <c r="M2362" s="38">
        <f>COUNTIF(퀘스트!B:B,표1[[#This Row],[명칭]])</f>
        <v>0</v>
      </c>
      <c r="N2362" s="65">
        <f>COUNTIF([1]VillageDiscoveryGroup!$C:$C,표1[[#This Row],[명칭]])</f>
        <v>0</v>
      </c>
      <c r="O2362" s="65">
        <f>SUM(표1[[#This Row],[해양탐색]:[마을탐험]])</f>
        <v>0</v>
      </c>
    </row>
    <row r="2363" spans="2:15" ht="13.5" customHeight="1" x14ac:dyDescent="0.3">
      <c r="B2363" s="9">
        <f>[1]Discovery!A2369</f>
        <v>70414070</v>
      </c>
      <c r="C2363" s="9" t="str">
        <f>[1]Discovery!B2369</f>
        <v>오리온자리 유성우</v>
      </c>
      <c r="D2363" s="9" t="str">
        <f>[1]Discovery!E2369</f>
        <v>자연</v>
      </c>
      <c r="E2363" s="9" t="str">
        <f>[1]Discovery!C2369</f>
        <v>천문</v>
      </c>
      <c r="F2363" s="9" t="str">
        <f>[1]Discovery!G2369</f>
        <v>B</v>
      </c>
      <c r="G2363" s="9" t="str">
        <f>IFERROR(VLOOKUP(표1[[#This Row],[명칭]],'문화권 정리'!C:D,2,FALSE),"-")</f>
        <v>천문</v>
      </c>
      <c r="H2363" s="38" t="str">
        <f>IFERROR(COUNTIF([2]OceanDoodad!$Y:$Y,표1[[#This Row],[명칭]]),"-")</f>
        <v>-</v>
      </c>
      <c r="I2363" s="38">
        <f>IFERROR(COUNTIF([1]AdventureDiscoveryGroup!$D$8:$AW$92,표1[[#This Row],[명칭]]),"-")</f>
        <v>0</v>
      </c>
      <c r="J2363" s="38">
        <f>IFERROR(COUNTIF([1]FishDiscoveryGroup!$A:$X,표1[[#This Row],[명칭]]),"-")</f>
        <v>0</v>
      </c>
      <c r="K2363" s="38" t="str">
        <f>IFERROR(COUNTIF([2]Town!$B:$B,표1[[#This Row],[명칭]]),"-")</f>
        <v>-</v>
      </c>
      <c r="L2363" s="38">
        <f>IFERROR(COUNTIF([1]Village!$BR:$BR,표1[[#This Row],[명칭]]),"-")</f>
        <v>0</v>
      </c>
      <c r="M2363" s="38">
        <f>COUNTIF(퀘스트!B:B,표1[[#This Row],[명칭]])</f>
        <v>0</v>
      </c>
      <c r="N2363" s="65">
        <f>COUNTIF([1]VillageDiscoveryGroup!$C:$C,표1[[#This Row],[명칭]])</f>
        <v>0</v>
      </c>
      <c r="O2363" s="65">
        <f>SUM(표1[[#This Row],[해양탐색]:[마을탐험]])</f>
        <v>0</v>
      </c>
    </row>
    <row r="2364" spans="2:15" ht="13.5" customHeight="1" x14ac:dyDescent="0.3">
      <c r="B2364" s="9">
        <f>[1]Discovery!A2370</f>
        <v>70414071</v>
      </c>
      <c r="C2364" s="9" t="str">
        <f>[1]Discovery!B2370</f>
        <v>외뿔소자리</v>
      </c>
      <c r="D2364" s="9" t="str">
        <f>[1]Discovery!E2370</f>
        <v>자연</v>
      </c>
      <c r="E2364" s="9" t="str">
        <f>[1]Discovery!C2370</f>
        <v>천문</v>
      </c>
      <c r="F2364" s="9" t="str">
        <f>[1]Discovery!G2370</f>
        <v>C</v>
      </c>
      <c r="G2364" s="9" t="str">
        <f>IFERROR(VLOOKUP(표1[[#This Row],[명칭]],'문화권 정리'!C:D,2,FALSE),"-")</f>
        <v>천문</v>
      </c>
      <c r="H2364" s="38" t="str">
        <f>IFERROR(COUNTIF([2]OceanDoodad!$Y:$Y,표1[[#This Row],[명칭]]),"-")</f>
        <v>-</v>
      </c>
      <c r="I2364" s="38">
        <f>IFERROR(COUNTIF([1]AdventureDiscoveryGroup!$D$8:$AW$92,표1[[#This Row],[명칭]]),"-")</f>
        <v>0</v>
      </c>
      <c r="J2364" s="38">
        <f>IFERROR(COUNTIF([1]FishDiscoveryGroup!$A:$X,표1[[#This Row],[명칭]]),"-")</f>
        <v>0</v>
      </c>
      <c r="K2364" s="38" t="str">
        <f>IFERROR(COUNTIF([2]Town!$B:$B,표1[[#This Row],[명칭]]),"-")</f>
        <v>-</v>
      </c>
      <c r="L2364" s="38">
        <f>IFERROR(COUNTIF([1]Village!$BR:$BR,표1[[#This Row],[명칭]]),"-")</f>
        <v>0</v>
      </c>
      <c r="M2364" s="38">
        <f>COUNTIF(퀘스트!B:B,표1[[#This Row],[명칭]])</f>
        <v>0</v>
      </c>
      <c r="N2364" s="65">
        <f>COUNTIF([1]VillageDiscoveryGroup!$C:$C,표1[[#This Row],[명칭]])</f>
        <v>0</v>
      </c>
      <c r="O2364" s="65">
        <f>SUM(표1[[#This Row],[해양탐색]:[마을탐험]])</f>
        <v>0</v>
      </c>
    </row>
    <row r="2365" spans="2:15" ht="13.5" customHeight="1" x14ac:dyDescent="0.3">
      <c r="B2365" s="9">
        <f>[1]Discovery!A2371</f>
        <v>70414072</v>
      </c>
      <c r="C2365" s="9" t="str">
        <f>[1]Discovery!B2371</f>
        <v>용골자리</v>
      </c>
      <c r="D2365" s="9" t="str">
        <f>[1]Discovery!E2371</f>
        <v>자연</v>
      </c>
      <c r="E2365" s="9" t="str">
        <f>[1]Discovery!C2371</f>
        <v>천문</v>
      </c>
      <c r="F2365" s="9" t="str">
        <f>[1]Discovery!G2371</f>
        <v>D</v>
      </c>
      <c r="G2365" s="9" t="str">
        <f>IFERROR(VLOOKUP(표1[[#This Row],[명칭]],'문화권 정리'!C:D,2,FALSE),"-")</f>
        <v>천문</v>
      </c>
      <c r="H2365" s="38" t="str">
        <f>IFERROR(COUNTIF([2]OceanDoodad!$Y:$Y,표1[[#This Row],[명칭]]),"-")</f>
        <v>-</v>
      </c>
      <c r="I2365" s="38">
        <f>IFERROR(COUNTIF([1]AdventureDiscoveryGroup!$D$8:$AW$92,표1[[#This Row],[명칭]]),"-")</f>
        <v>0</v>
      </c>
      <c r="J2365" s="38">
        <f>IFERROR(COUNTIF([1]FishDiscoveryGroup!$A:$X,표1[[#This Row],[명칭]]),"-")</f>
        <v>0</v>
      </c>
      <c r="K2365" s="38" t="str">
        <f>IFERROR(COUNTIF([2]Town!$B:$B,표1[[#This Row],[명칭]]),"-")</f>
        <v>-</v>
      </c>
      <c r="L2365" s="38">
        <f>IFERROR(COUNTIF([1]Village!$BR:$BR,표1[[#This Row],[명칭]]),"-")</f>
        <v>0</v>
      </c>
      <c r="M2365" s="38">
        <f>COUNTIF(퀘스트!B:B,표1[[#This Row],[명칭]])</f>
        <v>0</v>
      </c>
      <c r="N2365" s="65">
        <f>COUNTIF([1]VillageDiscoveryGroup!$C:$C,표1[[#This Row],[명칭]])</f>
        <v>0</v>
      </c>
      <c r="O2365" s="65">
        <f>SUM(표1[[#This Row],[해양탐색]:[마을탐험]])</f>
        <v>0</v>
      </c>
    </row>
    <row r="2366" spans="2:15" ht="13.5" customHeight="1" x14ac:dyDescent="0.3">
      <c r="B2366" s="9">
        <f>[1]Discovery!A2372</f>
        <v>70414073</v>
      </c>
      <c r="C2366" s="9" t="str">
        <f>[1]Discovery!B2372</f>
        <v>용자리</v>
      </c>
      <c r="D2366" s="9" t="str">
        <f>[1]Discovery!E2372</f>
        <v>자연</v>
      </c>
      <c r="E2366" s="9" t="str">
        <f>[1]Discovery!C2372</f>
        <v>천문</v>
      </c>
      <c r="F2366" s="9" t="str">
        <f>[1]Discovery!G2372</f>
        <v>A</v>
      </c>
      <c r="G2366" s="9" t="str">
        <f>IFERROR(VLOOKUP(표1[[#This Row],[명칭]],'문화권 정리'!C:D,2,FALSE),"-")</f>
        <v>천문</v>
      </c>
      <c r="H2366" s="38" t="str">
        <f>IFERROR(COUNTIF([2]OceanDoodad!$Y:$Y,표1[[#This Row],[명칭]]),"-")</f>
        <v>-</v>
      </c>
      <c r="I2366" s="38">
        <f>IFERROR(COUNTIF([1]AdventureDiscoveryGroup!$D$8:$AW$92,표1[[#This Row],[명칭]]),"-")</f>
        <v>0</v>
      </c>
      <c r="J2366" s="38">
        <f>IFERROR(COUNTIF([1]FishDiscoveryGroup!$A:$X,표1[[#This Row],[명칭]]),"-")</f>
        <v>0</v>
      </c>
      <c r="K2366" s="38" t="str">
        <f>IFERROR(COUNTIF([2]Town!$B:$B,표1[[#This Row],[명칭]]),"-")</f>
        <v>-</v>
      </c>
      <c r="L2366" s="38">
        <f>IFERROR(COUNTIF([1]Village!$BR:$BR,표1[[#This Row],[명칭]]),"-")</f>
        <v>0</v>
      </c>
      <c r="M2366" s="38">
        <f>COUNTIF(퀘스트!B:B,표1[[#This Row],[명칭]])</f>
        <v>0</v>
      </c>
      <c r="N2366" s="65">
        <f>COUNTIF([1]VillageDiscoveryGroup!$C:$C,표1[[#This Row],[명칭]])</f>
        <v>0</v>
      </c>
      <c r="O2366" s="65">
        <f>SUM(표1[[#This Row],[해양탐색]:[마을탐험]])</f>
        <v>0</v>
      </c>
    </row>
    <row r="2367" spans="2:15" ht="13.5" customHeight="1" x14ac:dyDescent="0.3">
      <c r="B2367" s="9">
        <f>[1]Discovery!A2373</f>
        <v>70414074</v>
      </c>
      <c r="C2367" s="9" t="str">
        <f>[1]Discovery!B2373</f>
        <v>이리자리</v>
      </c>
      <c r="D2367" s="9" t="str">
        <f>[1]Discovery!E2373</f>
        <v>자연</v>
      </c>
      <c r="E2367" s="9" t="str">
        <f>[1]Discovery!C2373</f>
        <v>천문</v>
      </c>
      <c r="F2367" s="9" t="str">
        <f>[1]Discovery!G2373</f>
        <v>D</v>
      </c>
      <c r="G2367" s="9" t="str">
        <f>IFERROR(VLOOKUP(표1[[#This Row],[명칭]],'문화권 정리'!C:D,2,FALSE),"-")</f>
        <v>천문</v>
      </c>
      <c r="H2367" s="38" t="str">
        <f>IFERROR(COUNTIF([2]OceanDoodad!$Y:$Y,표1[[#This Row],[명칭]]),"-")</f>
        <v>-</v>
      </c>
      <c r="I2367" s="38">
        <f>IFERROR(COUNTIF([1]AdventureDiscoveryGroup!$D$8:$AW$92,표1[[#This Row],[명칭]]),"-")</f>
        <v>0</v>
      </c>
      <c r="J2367" s="38">
        <f>IFERROR(COUNTIF([1]FishDiscoveryGroup!$A:$X,표1[[#This Row],[명칭]]),"-")</f>
        <v>0</v>
      </c>
      <c r="K2367" s="38" t="str">
        <f>IFERROR(COUNTIF([2]Town!$B:$B,표1[[#This Row],[명칭]]),"-")</f>
        <v>-</v>
      </c>
      <c r="L2367" s="38">
        <f>IFERROR(COUNTIF([1]Village!$BR:$BR,표1[[#This Row],[명칭]]),"-")</f>
        <v>0</v>
      </c>
      <c r="M2367" s="38">
        <f>COUNTIF(퀘스트!B:B,표1[[#This Row],[명칭]])</f>
        <v>0</v>
      </c>
      <c r="N2367" s="65">
        <f>COUNTIF([1]VillageDiscoveryGroup!$C:$C,표1[[#This Row],[명칭]])</f>
        <v>0</v>
      </c>
      <c r="O2367" s="65">
        <f>SUM(표1[[#This Row],[해양탐색]:[마을탐험]])</f>
        <v>0</v>
      </c>
    </row>
    <row r="2368" spans="2:15" ht="13.5" customHeight="1" x14ac:dyDescent="0.3">
      <c r="B2368" s="9">
        <f>[1]Discovery!A2374</f>
        <v>70414075</v>
      </c>
      <c r="C2368" s="9" t="str">
        <f>[1]Discovery!B2374</f>
        <v>작은개자리</v>
      </c>
      <c r="D2368" s="9" t="str">
        <f>[1]Discovery!E2374</f>
        <v>자연</v>
      </c>
      <c r="E2368" s="9" t="str">
        <f>[1]Discovery!C2374</f>
        <v>천문</v>
      </c>
      <c r="F2368" s="9" t="str">
        <f>[1]Discovery!G2374</f>
        <v>B</v>
      </c>
      <c r="G2368" s="9" t="str">
        <f>IFERROR(VLOOKUP(표1[[#This Row],[명칭]],'문화권 정리'!C:D,2,FALSE),"-")</f>
        <v>천문</v>
      </c>
      <c r="H2368" s="38" t="str">
        <f>IFERROR(COUNTIF([2]OceanDoodad!$Y:$Y,표1[[#This Row],[명칭]]),"-")</f>
        <v>-</v>
      </c>
      <c r="I2368" s="38">
        <f>IFERROR(COUNTIF([1]AdventureDiscoveryGroup!$D$8:$AW$92,표1[[#This Row],[명칭]]),"-")</f>
        <v>0</v>
      </c>
      <c r="J2368" s="38">
        <f>IFERROR(COUNTIF([1]FishDiscoveryGroup!$A:$X,표1[[#This Row],[명칭]]),"-")</f>
        <v>0</v>
      </c>
      <c r="K2368" s="38" t="str">
        <f>IFERROR(COUNTIF([2]Town!$B:$B,표1[[#This Row],[명칭]]),"-")</f>
        <v>-</v>
      </c>
      <c r="L2368" s="38">
        <f>IFERROR(COUNTIF([1]Village!$BR:$BR,표1[[#This Row],[명칭]]),"-")</f>
        <v>0</v>
      </c>
      <c r="M2368" s="38">
        <f>COUNTIF(퀘스트!B:B,표1[[#This Row],[명칭]])</f>
        <v>0</v>
      </c>
      <c r="N2368" s="65">
        <f>COUNTIF([1]VillageDiscoveryGroup!$C:$C,표1[[#This Row],[명칭]])</f>
        <v>0</v>
      </c>
      <c r="O2368" s="65">
        <f>SUM(표1[[#This Row],[해양탐색]:[마을탐험]])</f>
        <v>0</v>
      </c>
    </row>
    <row r="2369" spans="2:15" ht="13.5" customHeight="1" x14ac:dyDescent="0.3">
      <c r="B2369" s="9">
        <f>[1]Discovery!A2375</f>
        <v>70414076</v>
      </c>
      <c r="C2369" s="9" t="str">
        <f>[1]Discovery!B2375</f>
        <v>작은곰자리</v>
      </c>
      <c r="D2369" s="9" t="str">
        <f>[1]Discovery!E2375</f>
        <v>자연</v>
      </c>
      <c r="E2369" s="9" t="str">
        <f>[1]Discovery!C2375</f>
        <v>천문</v>
      </c>
      <c r="F2369" s="9" t="str">
        <f>[1]Discovery!G2375</f>
        <v>B</v>
      </c>
      <c r="G2369" s="9" t="str">
        <f>IFERROR(VLOOKUP(표1[[#This Row],[명칭]],'문화권 정리'!C:D,2,FALSE),"-")</f>
        <v>천문</v>
      </c>
      <c r="H2369" s="38" t="str">
        <f>IFERROR(COUNTIF([2]OceanDoodad!$Y:$Y,표1[[#This Row],[명칭]]),"-")</f>
        <v>-</v>
      </c>
      <c r="I2369" s="38">
        <f>IFERROR(COUNTIF([1]AdventureDiscoveryGroup!$D$8:$AW$92,표1[[#This Row],[명칭]]),"-")</f>
        <v>0</v>
      </c>
      <c r="J2369" s="38">
        <f>IFERROR(COUNTIF([1]FishDiscoveryGroup!$A:$X,표1[[#This Row],[명칭]]),"-")</f>
        <v>0</v>
      </c>
      <c r="K2369" s="38" t="str">
        <f>IFERROR(COUNTIF([2]Town!$B:$B,표1[[#This Row],[명칭]]),"-")</f>
        <v>-</v>
      </c>
      <c r="L2369" s="38">
        <f>IFERROR(COUNTIF([1]Village!$BR:$BR,표1[[#This Row],[명칭]]),"-")</f>
        <v>0</v>
      </c>
      <c r="M2369" s="38">
        <f>COUNTIF(퀘스트!B:B,표1[[#This Row],[명칭]])</f>
        <v>0</v>
      </c>
      <c r="N2369" s="65">
        <f>COUNTIF([1]VillageDiscoveryGroup!$C:$C,표1[[#This Row],[명칭]])</f>
        <v>0</v>
      </c>
      <c r="O2369" s="65">
        <f>SUM(표1[[#This Row],[해양탐색]:[마을탐험]])</f>
        <v>0</v>
      </c>
    </row>
    <row r="2370" spans="2:15" ht="13.5" customHeight="1" x14ac:dyDescent="0.3">
      <c r="B2370" s="9">
        <f>[1]Discovery!A2376</f>
        <v>70414077</v>
      </c>
      <c r="C2370" s="9" t="str">
        <f>[1]Discovery!B2376</f>
        <v>전갈자리</v>
      </c>
      <c r="D2370" s="9" t="str">
        <f>[1]Discovery!E2376</f>
        <v>자연</v>
      </c>
      <c r="E2370" s="9" t="str">
        <f>[1]Discovery!C2376</f>
        <v>천문</v>
      </c>
      <c r="F2370" s="9" t="str">
        <f>[1]Discovery!G2376</f>
        <v>D</v>
      </c>
      <c r="G2370" s="9" t="str">
        <f>IFERROR(VLOOKUP(표1[[#This Row],[명칭]],'문화권 정리'!C:D,2,FALSE),"-")</f>
        <v>천문</v>
      </c>
      <c r="H2370" s="38" t="str">
        <f>IFERROR(COUNTIF([2]OceanDoodad!$Y:$Y,표1[[#This Row],[명칭]]),"-")</f>
        <v>-</v>
      </c>
      <c r="I2370" s="38">
        <f>IFERROR(COUNTIF([1]AdventureDiscoveryGroup!$D$8:$AW$92,표1[[#This Row],[명칭]]),"-")</f>
        <v>0</v>
      </c>
      <c r="J2370" s="38">
        <f>IFERROR(COUNTIF([1]FishDiscoveryGroup!$A:$X,표1[[#This Row],[명칭]]),"-")</f>
        <v>0</v>
      </c>
      <c r="K2370" s="38" t="str">
        <f>IFERROR(COUNTIF([2]Town!$B:$B,표1[[#This Row],[명칭]]),"-")</f>
        <v>-</v>
      </c>
      <c r="L2370" s="38">
        <f>IFERROR(COUNTIF([1]Village!$BR:$BR,표1[[#This Row],[명칭]]),"-")</f>
        <v>0</v>
      </c>
      <c r="M2370" s="38">
        <f>COUNTIF(퀘스트!B:B,표1[[#This Row],[명칭]])</f>
        <v>0</v>
      </c>
      <c r="N2370" s="65">
        <f>COUNTIF([1]VillageDiscoveryGroup!$C:$C,표1[[#This Row],[명칭]])</f>
        <v>0</v>
      </c>
      <c r="O2370" s="65">
        <f>SUM(표1[[#This Row],[해양탐색]:[마을탐험]])</f>
        <v>0</v>
      </c>
    </row>
    <row r="2371" spans="2:15" ht="13.5" customHeight="1" x14ac:dyDescent="0.3">
      <c r="B2371" s="9">
        <f>[1]Discovery!A2377</f>
        <v>70414078</v>
      </c>
      <c r="C2371" s="9" t="str">
        <f>[1]Discovery!B2377</f>
        <v>처녀자리</v>
      </c>
      <c r="D2371" s="9" t="str">
        <f>[1]Discovery!E2377</f>
        <v>자연</v>
      </c>
      <c r="E2371" s="9" t="str">
        <f>[1]Discovery!C2377</f>
        <v>천문</v>
      </c>
      <c r="F2371" s="9" t="str">
        <f>[1]Discovery!G2377</f>
        <v>C</v>
      </c>
      <c r="G2371" s="9" t="str">
        <f>IFERROR(VLOOKUP(표1[[#This Row],[명칭]],'문화권 정리'!C:D,2,FALSE),"-")</f>
        <v>천문</v>
      </c>
      <c r="H2371" s="38" t="str">
        <f>IFERROR(COUNTIF([2]OceanDoodad!$Y:$Y,표1[[#This Row],[명칭]]),"-")</f>
        <v>-</v>
      </c>
      <c r="I2371" s="38">
        <f>IFERROR(COUNTIF([1]AdventureDiscoveryGroup!$D$8:$AW$92,표1[[#This Row],[명칭]]),"-")</f>
        <v>0</v>
      </c>
      <c r="J2371" s="38">
        <f>IFERROR(COUNTIF([1]FishDiscoveryGroup!$A:$X,표1[[#This Row],[명칭]]),"-")</f>
        <v>0</v>
      </c>
      <c r="K2371" s="38" t="str">
        <f>IFERROR(COUNTIF([2]Town!$B:$B,표1[[#This Row],[명칭]]),"-")</f>
        <v>-</v>
      </c>
      <c r="L2371" s="38">
        <f>IFERROR(COUNTIF([1]Village!$BR:$BR,표1[[#This Row],[명칭]]),"-")</f>
        <v>0</v>
      </c>
      <c r="M2371" s="38">
        <f>COUNTIF(퀘스트!B:B,표1[[#This Row],[명칭]])</f>
        <v>0</v>
      </c>
      <c r="N2371" s="65">
        <f>COUNTIF([1]VillageDiscoveryGroup!$C:$C,표1[[#This Row],[명칭]])</f>
        <v>0</v>
      </c>
      <c r="O2371" s="65">
        <f>SUM(표1[[#This Row],[해양탐색]:[마을탐험]])</f>
        <v>0</v>
      </c>
    </row>
    <row r="2372" spans="2:15" ht="13.5" customHeight="1" x14ac:dyDescent="0.3">
      <c r="B2372" s="9">
        <f>[1]Discovery!A2378</f>
        <v>70414079</v>
      </c>
      <c r="C2372" s="9" t="str">
        <f>[1]Discovery!B2378</f>
        <v>천칭자리</v>
      </c>
      <c r="D2372" s="9" t="str">
        <f>[1]Discovery!E2378</f>
        <v>자연</v>
      </c>
      <c r="E2372" s="9" t="str">
        <f>[1]Discovery!C2378</f>
        <v>천문</v>
      </c>
      <c r="F2372" s="9" t="str">
        <f>[1]Discovery!G2378</f>
        <v>B</v>
      </c>
      <c r="G2372" s="9" t="str">
        <f>IFERROR(VLOOKUP(표1[[#This Row],[명칭]],'문화권 정리'!C:D,2,FALSE),"-")</f>
        <v>천문</v>
      </c>
      <c r="H2372" s="38" t="str">
        <f>IFERROR(COUNTIF([2]OceanDoodad!$Y:$Y,표1[[#This Row],[명칭]]),"-")</f>
        <v>-</v>
      </c>
      <c r="I2372" s="38">
        <f>IFERROR(COUNTIF([1]AdventureDiscoveryGroup!$D$8:$AW$92,표1[[#This Row],[명칭]]),"-")</f>
        <v>0</v>
      </c>
      <c r="J2372" s="38">
        <f>IFERROR(COUNTIF([1]FishDiscoveryGroup!$A:$X,표1[[#This Row],[명칭]]),"-")</f>
        <v>0</v>
      </c>
      <c r="K2372" s="38" t="str">
        <f>IFERROR(COUNTIF([2]Town!$B:$B,표1[[#This Row],[명칭]]),"-")</f>
        <v>-</v>
      </c>
      <c r="L2372" s="38">
        <f>IFERROR(COUNTIF([1]Village!$BR:$BR,표1[[#This Row],[명칭]]),"-")</f>
        <v>0</v>
      </c>
      <c r="M2372" s="38">
        <f>COUNTIF(퀘스트!B:B,표1[[#This Row],[명칭]])</f>
        <v>0</v>
      </c>
      <c r="N2372" s="65">
        <f>COUNTIF([1]VillageDiscoveryGroup!$C:$C,표1[[#This Row],[명칭]])</f>
        <v>0</v>
      </c>
      <c r="O2372" s="65">
        <f>SUM(표1[[#This Row],[해양탐색]:[마을탐험]])</f>
        <v>0</v>
      </c>
    </row>
    <row r="2373" spans="2:15" ht="13.5" customHeight="1" x14ac:dyDescent="0.3">
      <c r="B2373" s="9">
        <f>[1]Discovery!A2379</f>
        <v>70414080</v>
      </c>
      <c r="C2373" s="9" t="str">
        <f>[1]Discovery!B2379</f>
        <v>카노푸스</v>
      </c>
      <c r="D2373" s="9" t="str">
        <f>[1]Discovery!E2379</f>
        <v>자연</v>
      </c>
      <c r="E2373" s="9" t="str">
        <f>[1]Discovery!C2379</f>
        <v>천문</v>
      </c>
      <c r="F2373" s="9" t="str">
        <f>[1]Discovery!G2379</f>
        <v>B</v>
      </c>
      <c r="G2373" s="9" t="str">
        <f>IFERROR(VLOOKUP(표1[[#This Row],[명칭]],'문화권 정리'!C:D,2,FALSE),"-")</f>
        <v>천문</v>
      </c>
      <c r="H2373" s="38" t="str">
        <f>IFERROR(COUNTIF([2]OceanDoodad!$Y:$Y,표1[[#This Row],[명칭]]),"-")</f>
        <v>-</v>
      </c>
      <c r="I2373" s="38">
        <f>IFERROR(COUNTIF([1]AdventureDiscoveryGroup!$D$8:$AW$92,표1[[#This Row],[명칭]]),"-")</f>
        <v>0</v>
      </c>
      <c r="J2373" s="38">
        <f>IFERROR(COUNTIF([1]FishDiscoveryGroup!$A:$X,표1[[#This Row],[명칭]]),"-")</f>
        <v>0</v>
      </c>
      <c r="K2373" s="38" t="str">
        <f>IFERROR(COUNTIF([2]Town!$B:$B,표1[[#This Row],[명칭]]),"-")</f>
        <v>-</v>
      </c>
      <c r="L2373" s="38">
        <f>IFERROR(COUNTIF([1]Village!$BR:$BR,표1[[#This Row],[명칭]]),"-")</f>
        <v>0</v>
      </c>
      <c r="M2373" s="38">
        <f>COUNTIF(퀘스트!B:B,표1[[#This Row],[명칭]])</f>
        <v>0</v>
      </c>
      <c r="N2373" s="65">
        <f>COUNTIF([1]VillageDiscoveryGroup!$C:$C,표1[[#This Row],[명칭]])</f>
        <v>0</v>
      </c>
      <c r="O2373" s="65">
        <f>SUM(표1[[#This Row],[해양탐색]:[마을탐험]])</f>
        <v>0</v>
      </c>
    </row>
    <row r="2374" spans="2:15" ht="13.5" customHeight="1" x14ac:dyDescent="0.3">
      <c r="B2374" s="9">
        <f>[1]Discovery!A2380</f>
        <v>70414081</v>
      </c>
      <c r="C2374" s="9" t="str">
        <f>[1]Discovery!B2380</f>
        <v>카스토르</v>
      </c>
      <c r="D2374" s="9" t="str">
        <f>[1]Discovery!E2380</f>
        <v>자연</v>
      </c>
      <c r="E2374" s="9" t="str">
        <f>[1]Discovery!C2380</f>
        <v>천문</v>
      </c>
      <c r="F2374" s="9" t="str">
        <f>[1]Discovery!G2380</f>
        <v>C</v>
      </c>
      <c r="G2374" s="9" t="str">
        <f>IFERROR(VLOOKUP(표1[[#This Row],[명칭]],'문화권 정리'!C:D,2,FALSE),"-")</f>
        <v>천문</v>
      </c>
      <c r="H2374" s="38" t="str">
        <f>IFERROR(COUNTIF([2]OceanDoodad!$Y:$Y,표1[[#This Row],[명칭]]),"-")</f>
        <v>-</v>
      </c>
      <c r="I2374" s="38">
        <f>IFERROR(COUNTIF([1]AdventureDiscoveryGroup!$D$8:$AW$92,표1[[#This Row],[명칭]]),"-")</f>
        <v>0</v>
      </c>
      <c r="J2374" s="38">
        <f>IFERROR(COUNTIF([1]FishDiscoveryGroup!$A:$X,표1[[#This Row],[명칭]]),"-")</f>
        <v>0</v>
      </c>
      <c r="K2374" s="38" t="str">
        <f>IFERROR(COUNTIF([2]Town!$B:$B,표1[[#This Row],[명칭]]),"-")</f>
        <v>-</v>
      </c>
      <c r="L2374" s="38">
        <f>IFERROR(COUNTIF([1]Village!$BR:$BR,표1[[#This Row],[명칭]]),"-")</f>
        <v>0</v>
      </c>
      <c r="M2374" s="38">
        <f>COUNTIF(퀘스트!B:B,표1[[#This Row],[명칭]])</f>
        <v>0</v>
      </c>
      <c r="N2374" s="65">
        <f>COUNTIF([1]VillageDiscoveryGroup!$C:$C,표1[[#This Row],[명칭]])</f>
        <v>0</v>
      </c>
      <c r="O2374" s="65">
        <f>SUM(표1[[#This Row],[해양탐색]:[마을탐험]])</f>
        <v>0</v>
      </c>
    </row>
    <row r="2375" spans="2:15" ht="13.5" customHeight="1" x14ac:dyDescent="0.3">
      <c r="B2375" s="9">
        <f>[1]Discovery!A2381</f>
        <v>70414082</v>
      </c>
      <c r="C2375" s="9" t="str">
        <f>[1]Discovery!B2381</f>
        <v>카시오페이아자리</v>
      </c>
      <c r="D2375" s="9" t="str">
        <f>[1]Discovery!E2381</f>
        <v>자연</v>
      </c>
      <c r="E2375" s="9" t="str">
        <f>[1]Discovery!C2381</f>
        <v>천문</v>
      </c>
      <c r="F2375" s="9" t="str">
        <f>[1]Discovery!G2381</f>
        <v>D</v>
      </c>
      <c r="G2375" s="9" t="str">
        <f>IFERROR(VLOOKUP(표1[[#This Row],[명칭]],'문화권 정리'!C:D,2,FALSE),"-")</f>
        <v>천문</v>
      </c>
      <c r="H2375" s="38" t="str">
        <f>IFERROR(COUNTIF([2]OceanDoodad!$Y:$Y,표1[[#This Row],[명칭]]),"-")</f>
        <v>-</v>
      </c>
      <c r="I2375" s="38">
        <f>IFERROR(COUNTIF([1]AdventureDiscoveryGroup!$D$8:$AW$92,표1[[#This Row],[명칭]]),"-")</f>
        <v>0</v>
      </c>
      <c r="J2375" s="38">
        <f>IFERROR(COUNTIF([1]FishDiscoveryGroup!$A:$X,표1[[#This Row],[명칭]]),"-")</f>
        <v>0</v>
      </c>
      <c r="K2375" s="38" t="str">
        <f>IFERROR(COUNTIF([2]Town!$B:$B,표1[[#This Row],[명칭]]),"-")</f>
        <v>-</v>
      </c>
      <c r="L2375" s="38">
        <f>IFERROR(COUNTIF([1]Village!$BR:$BR,표1[[#This Row],[명칭]]),"-")</f>
        <v>0</v>
      </c>
      <c r="M2375" s="38">
        <f>COUNTIF(퀘스트!B:B,표1[[#This Row],[명칭]])</f>
        <v>0</v>
      </c>
      <c r="N2375" s="65">
        <f>COUNTIF([1]VillageDiscoveryGroup!$C:$C,표1[[#This Row],[명칭]])</f>
        <v>0</v>
      </c>
      <c r="O2375" s="65">
        <f>SUM(표1[[#This Row],[해양탐색]:[마을탐험]])</f>
        <v>0</v>
      </c>
    </row>
    <row r="2376" spans="2:15" ht="13.5" customHeight="1" x14ac:dyDescent="0.3">
      <c r="B2376" s="9">
        <f>[1]Discovery!A2382</f>
        <v>70414083</v>
      </c>
      <c r="C2376" s="9" t="str">
        <f>[1]Discovery!B2382</f>
        <v>카펠라</v>
      </c>
      <c r="D2376" s="9" t="str">
        <f>[1]Discovery!E2382</f>
        <v>자연</v>
      </c>
      <c r="E2376" s="9" t="str">
        <f>[1]Discovery!C2382</f>
        <v>천문</v>
      </c>
      <c r="F2376" s="9" t="str">
        <f>[1]Discovery!G2382</f>
        <v>B</v>
      </c>
      <c r="G2376" s="9" t="str">
        <f>IFERROR(VLOOKUP(표1[[#This Row],[명칭]],'문화권 정리'!C:D,2,FALSE),"-")</f>
        <v>천문</v>
      </c>
      <c r="H2376" s="38" t="str">
        <f>IFERROR(COUNTIF([2]OceanDoodad!$Y:$Y,표1[[#This Row],[명칭]]),"-")</f>
        <v>-</v>
      </c>
      <c r="I2376" s="38">
        <f>IFERROR(COUNTIF([1]AdventureDiscoveryGroup!$D$8:$AW$92,표1[[#This Row],[명칭]]),"-")</f>
        <v>0</v>
      </c>
      <c r="J2376" s="38">
        <f>IFERROR(COUNTIF([1]FishDiscoveryGroup!$A:$X,표1[[#This Row],[명칭]]),"-")</f>
        <v>0</v>
      </c>
      <c r="K2376" s="38" t="str">
        <f>IFERROR(COUNTIF([2]Town!$B:$B,표1[[#This Row],[명칭]]),"-")</f>
        <v>-</v>
      </c>
      <c r="L2376" s="38">
        <f>IFERROR(COUNTIF([1]Village!$BR:$BR,표1[[#This Row],[명칭]]),"-")</f>
        <v>0</v>
      </c>
      <c r="M2376" s="38">
        <f>COUNTIF(퀘스트!B:B,표1[[#This Row],[명칭]])</f>
        <v>0</v>
      </c>
      <c r="N2376" s="65">
        <f>COUNTIF([1]VillageDiscoveryGroup!$C:$C,표1[[#This Row],[명칭]])</f>
        <v>0</v>
      </c>
      <c r="O2376" s="65">
        <f>SUM(표1[[#This Row],[해양탐색]:[마을탐험]])</f>
        <v>0</v>
      </c>
    </row>
    <row r="2377" spans="2:15" ht="13.5" customHeight="1" x14ac:dyDescent="0.3">
      <c r="B2377" s="9">
        <f>[1]Discovery!A2383</f>
        <v>70414084</v>
      </c>
      <c r="C2377" s="9" t="str">
        <f>[1]Discovery!B2383</f>
        <v>컵자리</v>
      </c>
      <c r="D2377" s="9" t="str">
        <f>[1]Discovery!E2383</f>
        <v>자연</v>
      </c>
      <c r="E2377" s="9" t="str">
        <f>[1]Discovery!C2383</f>
        <v>천문</v>
      </c>
      <c r="F2377" s="9" t="str">
        <f>[1]Discovery!G2383</f>
        <v>A</v>
      </c>
      <c r="G2377" s="9" t="str">
        <f>IFERROR(VLOOKUP(표1[[#This Row],[명칭]],'문화권 정리'!C:D,2,FALSE),"-")</f>
        <v>천문</v>
      </c>
      <c r="H2377" s="38" t="str">
        <f>IFERROR(COUNTIF([2]OceanDoodad!$Y:$Y,표1[[#This Row],[명칭]]),"-")</f>
        <v>-</v>
      </c>
      <c r="I2377" s="38">
        <f>IFERROR(COUNTIF([1]AdventureDiscoveryGroup!$D$8:$AW$92,표1[[#This Row],[명칭]]),"-")</f>
        <v>0</v>
      </c>
      <c r="J2377" s="38">
        <f>IFERROR(COUNTIF([1]FishDiscoveryGroup!$A:$X,표1[[#This Row],[명칭]]),"-")</f>
        <v>0</v>
      </c>
      <c r="K2377" s="38" t="str">
        <f>IFERROR(COUNTIF([2]Town!$B:$B,표1[[#This Row],[명칭]]),"-")</f>
        <v>-</v>
      </c>
      <c r="L2377" s="38">
        <f>IFERROR(COUNTIF([1]Village!$BR:$BR,표1[[#This Row],[명칭]]),"-")</f>
        <v>0</v>
      </c>
      <c r="M2377" s="38">
        <f>COUNTIF(퀘스트!B:B,표1[[#This Row],[명칭]])</f>
        <v>0</v>
      </c>
      <c r="N2377" s="65">
        <f>COUNTIF([1]VillageDiscoveryGroup!$C:$C,표1[[#This Row],[명칭]])</f>
        <v>0</v>
      </c>
      <c r="O2377" s="65">
        <f>SUM(표1[[#This Row],[해양탐색]:[마을탐험]])</f>
        <v>0</v>
      </c>
    </row>
    <row r="2378" spans="2:15" ht="13.5" customHeight="1" x14ac:dyDescent="0.3">
      <c r="B2378" s="9">
        <f>[1]Discovery!A2384</f>
        <v>70414085</v>
      </c>
      <c r="C2378" s="9" t="str">
        <f>[1]Discovery!B2384</f>
        <v>케페우스자리</v>
      </c>
      <c r="D2378" s="9" t="str">
        <f>[1]Discovery!E2384</f>
        <v>자연</v>
      </c>
      <c r="E2378" s="9" t="str">
        <f>[1]Discovery!C2384</f>
        <v>천문</v>
      </c>
      <c r="F2378" s="9" t="str">
        <f>[1]Discovery!G2384</f>
        <v>D</v>
      </c>
      <c r="G2378" s="9" t="str">
        <f>IFERROR(VLOOKUP(표1[[#This Row],[명칭]],'문화권 정리'!C:D,2,FALSE),"-")</f>
        <v>천문</v>
      </c>
      <c r="H2378" s="38" t="str">
        <f>IFERROR(COUNTIF([2]OceanDoodad!$Y:$Y,표1[[#This Row],[명칭]]),"-")</f>
        <v>-</v>
      </c>
      <c r="I2378" s="38">
        <f>IFERROR(COUNTIF([1]AdventureDiscoveryGroup!$D$8:$AW$92,표1[[#This Row],[명칭]]),"-")</f>
        <v>0</v>
      </c>
      <c r="J2378" s="38">
        <f>IFERROR(COUNTIF([1]FishDiscoveryGroup!$A:$X,표1[[#This Row],[명칭]]),"-")</f>
        <v>0</v>
      </c>
      <c r="K2378" s="38" t="str">
        <f>IFERROR(COUNTIF([2]Town!$B:$B,표1[[#This Row],[명칭]]),"-")</f>
        <v>-</v>
      </c>
      <c r="L2378" s="38">
        <f>IFERROR(COUNTIF([1]Village!$BR:$BR,표1[[#This Row],[명칭]]),"-")</f>
        <v>0</v>
      </c>
      <c r="M2378" s="38">
        <f>COUNTIF(퀘스트!B:B,표1[[#This Row],[명칭]])</f>
        <v>0</v>
      </c>
      <c r="N2378" s="65">
        <f>COUNTIF([1]VillageDiscoveryGroup!$C:$C,표1[[#This Row],[명칭]])</f>
        <v>0</v>
      </c>
      <c r="O2378" s="65">
        <f>SUM(표1[[#This Row],[해양탐색]:[마을탐험]])</f>
        <v>0</v>
      </c>
    </row>
    <row r="2379" spans="2:15" ht="13.5" customHeight="1" x14ac:dyDescent="0.3">
      <c r="B2379" s="9">
        <f>[1]Discovery!A2385</f>
        <v>70414086</v>
      </c>
      <c r="C2379" s="9" t="str">
        <f>[1]Discovery!B2385</f>
        <v>케플러의 신성</v>
      </c>
      <c r="D2379" s="9" t="str">
        <f>[1]Discovery!E2385</f>
        <v>자연</v>
      </c>
      <c r="E2379" s="9" t="str">
        <f>[1]Discovery!C2385</f>
        <v>천문</v>
      </c>
      <c r="F2379" s="9" t="str">
        <f>[1]Discovery!G2385</f>
        <v>A</v>
      </c>
      <c r="G2379" s="9" t="str">
        <f>IFERROR(VLOOKUP(표1[[#This Row],[명칭]],'문화권 정리'!C:D,2,FALSE),"-")</f>
        <v>천문</v>
      </c>
      <c r="H2379" s="38" t="str">
        <f>IFERROR(COUNTIF([2]OceanDoodad!$Y:$Y,표1[[#This Row],[명칭]]),"-")</f>
        <v>-</v>
      </c>
      <c r="I2379" s="38">
        <f>IFERROR(COUNTIF([1]AdventureDiscoveryGroup!$D$8:$AW$92,표1[[#This Row],[명칭]]),"-")</f>
        <v>0</v>
      </c>
      <c r="J2379" s="38">
        <f>IFERROR(COUNTIF([1]FishDiscoveryGroup!$A:$X,표1[[#This Row],[명칭]]),"-")</f>
        <v>0</v>
      </c>
      <c r="K2379" s="38" t="str">
        <f>IFERROR(COUNTIF([2]Town!$B:$B,표1[[#This Row],[명칭]]),"-")</f>
        <v>-</v>
      </c>
      <c r="L2379" s="38">
        <f>IFERROR(COUNTIF([1]Village!$BR:$BR,표1[[#This Row],[명칭]]),"-")</f>
        <v>0</v>
      </c>
      <c r="M2379" s="38">
        <f>COUNTIF(퀘스트!B:B,표1[[#This Row],[명칭]])</f>
        <v>1</v>
      </c>
      <c r="N2379" s="65">
        <f>COUNTIF([1]VillageDiscoveryGroup!$C:$C,표1[[#This Row],[명칭]])</f>
        <v>0</v>
      </c>
      <c r="O2379" s="65">
        <f>SUM(표1[[#This Row],[해양탐색]:[마을탐험]])</f>
        <v>1</v>
      </c>
    </row>
    <row r="2380" spans="2:15" ht="13.5" customHeight="1" x14ac:dyDescent="0.3">
      <c r="B2380" s="9">
        <f>[1]Discovery!A2386</f>
        <v>70414087</v>
      </c>
      <c r="C2380" s="9" t="str">
        <f>[1]Discovery!B2386</f>
        <v>센타우루스자리</v>
      </c>
      <c r="D2380" s="9" t="str">
        <f>[1]Discovery!E2386</f>
        <v>자연</v>
      </c>
      <c r="E2380" s="9" t="str">
        <f>[1]Discovery!C2386</f>
        <v>천문</v>
      </c>
      <c r="F2380" s="9" t="str">
        <f>[1]Discovery!G2386</f>
        <v>C</v>
      </c>
      <c r="G2380" s="9" t="str">
        <f>IFERROR(VLOOKUP(표1[[#This Row],[명칭]],'문화권 정리'!C:D,2,FALSE),"-")</f>
        <v>천문</v>
      </c>
      <c r="H2380" s="38" t="str">
        <f>IFERROR(COUNTIF([2]OceanDoodad!$Y:$Y,표1[[#This Row],[명칭]]),"-")</f>
        <v>-</v>
      </c>
      <c r="I2380" s="38">
        <f>IFERROR(COUNTIF([1]AdventureDiscoveryGroup!$D$8:$AW$92,표1[[#This Row],[명칭]]),"-")</f>
        <v>0</v>
      </c>
      <c r="J2380" s="38">
        <f>IFERROR(COUNTIF([1]FishDiscoveryGroup!$A:$X,표1[[#This Row],[명칭]]),"-")</f>
        <v>0</v>
      </c>
      <c r="K2380" s="38" t="str">
        <f>IFERROR(COUNTIF([2]Town!$B:$B,표1[[#This Row],[명칭]]),"-")</f>
        <v>-</v>
      </c>
      <c r="L2380" s="38">
        <f>IFERROR(COUNTIF([1]Village!$BR:$BR,표1[[#This Row],[명칭]]),"-")</f>
        <v>0</v>
      </c>
      <c r="M2380" s="38">
        <f>COUNTIF(퀘스트!B:B,표1[[#This Row],[명칭]])</f>
        <v>0</v>
      </c>
      <c r="N2380" s="65">
        <f>COUNTIF([1]VillageDiscoveryGroup!$C:$C,표1[[#This Row],[명칭]])</f>
        <v>0</v>
      </c>
      <c r="O2380" s="65">
        <f>SUM(표1[[#This Row],[해양탐색]:[마을탐험]])</f>
        <v>0</v>
      </c>
    </row>
    <row r="2381" spans="2:15" ht="13.5" customHeight="1" x14ac:dyDescent="0.3">
      <c r="B2381" s="9">
        <f>[1]Discovery!A2387</f>
        <v>70414088</v>
      </c>
      <c r="C2381" s="9" t="str">
        <f>[1]Discovery!B2387</f>
        <v>큰개자리</v>
      </c>
      <c r="D2381" s="9" t="str">
        <f>[1]Discovery!E2387</f>
        <v>자연</v>
      </c>
      <c r="E2381" s="9" t="str">
        <f>[1]Discovery!C2387</f>
        <v>천문</v>
      </c>
      <c r="F2381" s="9" t="str">
        <f>[1]Discovery!G2387</f>
        <v>C</v>
      </c>
      <c r="G2381" s="9" t="str">
        <f>IFERROR(VLOOKUP(표1[[#This Row],[명칭]],'문화권 정리'!C:D,2,FALSE),"-")</f>
        <v>천문</v>
      </c>
      <c r="H2381" s="38" t="str">
        <f>IFERROR(COUNTIF([2]OceanDoodad!$Y:$Y,표1[[#This Row],[명칭]]),"-")</f>
        <v>-</v>
      </c>
      <c r="I2381" s="38">
        <f>IFERROR(COUNTIF([1]AdventureDiscoveryGroup!$D$8:$AW$92,표1[[#This Row],[명칭]]),"-")</f>
        <v>0</v>
      </c>
      <c r="J2381" s="38">
        <f>IFERROR(COUNTIF([1]FishDiscoveryGroup!$A:$X,표1[[#This Row],[명칭]]),"-")</f>
        <v>0</v>
      </c>
      <c r="K2381" s="38" t="str">
        <f>IFERROR(COUNTIF([2]Town!$B:$B,표1[[#This Row],[명칭]]),"-")</f>
        <v>-</v>
      </c>
      <c r="L2381" s="38">
        <f>IFERROR(COUNTIF([1]Village!$BR:$BR,표1[[#This Row],[명칭]]),"-")</f>
        <v>0</v>
      </c>
      <c r="M2381" s="38">
        <f>COUNTIF(퀘스트!B:B,표1[[#This Row],[명칭]])</f>
        <v>0</v>
      </c>
      <c r="N2381" s="65">
        <f>COUNTIF([1]VillageDiscoveryGroup!$C:$C,표1[[#This Row],[명칭]])</f>
        <v>0</v>
      </c>
      <c r="O2381" s="65">
        <f>SUM(표1[[#This Row],[해양탐색]:[마을탐험]])</f>
        <v>0</v>
      </c>
    </row>
    <row r="2382" spans="2:15" ht="13.5" customHeight="1" x14ac:dyDescent="0.3">
      <c r="B2382" s="9">
        <f>[1]Discovery!A2388</f>
        <v>70414089</v>
      </c>
      <c r="C2382" s="9" t="str">
        <f>[1]Discovery!B2388</f>
        <v>큰곰자리</v>
      </c>
      <c r="D2382" s="9" t="str">
        <f>[1]Discovery!E2388</f>
        <v>자연</v>
      </c>
      <c r="E2382" s="9" t="str">
        <f>[1]Discovery!C2388</f>
        <v>천문</v>
      </c>
      <c r="F2382" s="9" t="str">
        <f>[1]Discovery!G2388</f>
        <v>B</v>
      </c>
      <c r="G2382" s="9" t="str">
        <f>IFERROR(VLOOKUP(표1[[#This Row],[명칭]],'문화권 정리'!C:D,2,FALSE),"-")</f>
        <v>천문</v>
      </c>
      <c r="H2382" s="38" t="str">
        <f>IFERROR(COUNTIF([2]OceanDoodad!$Y:$Y,표1[[#This Row],[명칭]]),"-")</f>
        <v>-</v>
      </c>
      <c r="I2382" s="38">
        <f>IFERROR(COUNTIF([1]AdventureDiscoveryGroup!$D$8:$AW$92,표1[[#This Row],[명칭]]),"-")</f>
        <v>0</v>
      </c>
      <c r="J2382" s="38">
        <f>IFERROR(COUNTIF([1]FishDiscoveryGroup!$A:$X,표1[[#This Row],[명칭]]),"-")</f>
        <v>0</v>
      </c>
      <c r="K2382" s="38" t="str">
        <f>IFERROR(COUNTIF([2]Town!$B:$B,표1[[#This Row],[명칭]]),"-")</f>
        <v>-</v>
      </c>
      <c r="L2382" s="38">
        <f>IFERROR(COUNTIF([1]Village!$BR:$BR,표1[[#This Row],[명칭]]),"-")</f>
        <v>0</v>
      </c>
      <c r="M2382" s="38">
        <f>COUNTIF(퀘스트!B:B,표1[[#This Row],[명칭]])</f>
        <v>0</v>
      </c>
      <c r="N2382" s="65">
        <f>COUNTIF([1]VillageDiscoveryGroup!$C:$C,표1[[#This Row],[명칭]])</f>
        <v>0</v>
      </c>
      <c r="O2382" s="65">
        <f>SUM(표1[[#This Row],[해양탐색]:[마을탐험]])</f>
        <v>0</v>
      </c>
    </row>
    <row r="2383" spans="2:15" ht="13.5" customHeight="1" x14ac:dyDescent="0.3">
      <c r="B2383" s="9">
        <f>[1]Discovery!A2389</f>
        <v>70414090</v>
      </c>
      <c r="C2383" s="9" t="str">
        <f>[1]Discovery!B2389</f>
        <v>타이탄</v>
      </c>
      <c r="D2383" s="9" t="str">
        <f>[1]Discovery!E2389</f>
        <v>자연</v>
      </c>
      <c r="E2383" s="9" t="str">
        <f>[1]Discovery!C2389</f>
        <v>천문</v>
      </c>
      <c r="F2383" s="9" t="str">
        <f>[1]Discovery!G2389</f>
        <v>D</v>
      </c>
      <c r="G2383" s="9" t="str">
        <f>IFERROR(VLOOKUP(표1[[#This Row],[명칭]],'문화권 정리'!C:D,2,FALSE),"-")</f>
        <v>천문</v>
      </c>
      <c r="H2383" s="38" t="str">
        <f>IFERROR(COUNTIF([2]OceanDoodad!$Y:$Y,표1[[#This Row],[명칭]]),"-")</f>
        <v>-</v>
      </c>
      <c r="I2383" s="38">
        <f>IFERROR(COUNTIF([1]AdventureDiscoveryGroup!$D$8:$AW$92,표1[[#This Row],[명칭]]),"-")</f>
        <v>0</v>
      </c>
      <c r="J2383" s="38">
        <f>IFERROR(COUNTIF([1]FishDiscoveryGroup!$A:$X,표1[[#This Row],[명칭]]),"-")</f>
        <v>0</v>
      </c>
      <c r="K2383" s="38" t="str">
        <f>IFERROR(COUNTIF([2]Town!$B:$B,표1[[#This Row],[명칭]]),"-")</f>
        <v>-</v>
      </c>
      <c r="L2383" s="38">
        <f>IFERROR(COUNTIF([1]Village!$BR:$BR,표1[[#This Row],[명칭]]),"-")</f>
        <v>0</v>
      </c>
      <c r="M2383" s="38">
        <f>COUNTIF(퀘스트!B:B,표1[[#This Row],[명칭]])</f>
        <v>0</v>
      </c>
      <c r="N2383" s="65">
        <f>COUNTIF([1]VillageDiscoveryGroup!$C:$C,표1[[#This Row],[명칭]])</f>
        <v>0</v>
      </c>
      <c r="O2383" s="65">
        <f>SUM(표1[[#This Row],[해양탐색]:[마을탐험]])</f>
        <v>0</v>
      </c>
    </row>
    <row r="2384" spans="2:15" ht="13.5" customHeight="1" x14ac:dyDescent="0.3">
      <c r="B2384" s="9">
        <f>[1]Discovery!A2390</f>
        <v>70414091</v>
      </c>
      <c r="C2384" s="9" t="str">
        <f>[1]Discovery!B2390</f>
        <v>태양흑점</v>
      </c>
      <c r="D2384" s="9" t="str">
        <f>[1]Discovery!E2390</f>
        <v>자연</v>
      </c>
      <c r="E2384" s="9" t="str">
        <f>[1]Discovery!C2390</f>
        <v>천문</v>
      </c>
      <c r="F2384" s="9" t="str">
        <f>[1]Discovery!G2390</f>
        <v>A</v>
      </c>
      <c r="G2384" s="9" t="str">
        <f>IFERROR(VLOOKUP(표1[[#This Row],[명칭]],'문화권 정리'!C:D,2,FALSE),"-")</f>
        <v>천문</v>
      </c>
      <c r="H2384" s="38" t="str">
        <f>IFERROR(COUNTIF([2]OceanDoodad!$Y:$Y,표1[[#This Row],[명칭]]),"-")</f>
        <v>-</v>
      </c>
      <c r="I2384" s="38">
        <f>IFERROR(COUNTIF([1]AdventureDiscoveryGroup!$D$8:$AW$92,표1[[#This Row],[명칭]]),"-")</f>
        <v>0</v>
      </c>
      <c r="J2384" s="38">
        <f>IFERROR(COUNTIF([1]FishDiscoveryGroup!$A:$X,표1[[#This Row],[명칭]]),"-")</f>
        <v>0</v>
      </c>
      <c r="K2384" s="38" t="str">
        <f>IFERROR(COUNTIF([2]Town!$B:$B,표1[[#This Row],[명칭]]),"-")</f>
        <v>-</v>
      </c>
      <c r="L2384" s="38">
        <f>IFERROR(COUNTIF([1]Village!$BR:$BR,표1[[#This Row],[명칭]]),"-")</f>
        <v>0</v>
      </c>
      <c r="M2384" s="38">
        <f>COUNTIF(퀘스트!B:B,표1[[#This Row],[명칭]])</f>
        <v>0</v>
      </c>
      <c r="N2384" s="65">
        <f>COUNTIF([1]VillageDiscoveryGroup!$C:$C,표1[[#This Row],[명칭]])</f>
        <v>0</v>
      </c>
      <c r="O2384" s="65">
        <f>SUM(표1[[#This Row],[해양탐색]:[마을탐험]])</f>
        <v>0</v>
      </c>
    </row>
    <row r="2385" spans="2:15" ht="13.5" customHeight="1" x14ac:dyDescent="0.3">
      <c r="B2385" s="9">
        <f>[1]Discovery!A2391</f>
        <v>70414092</v>
      </c>
      <c r="C2385" s="9" t="str">
        <f>[1]Discovery!B2391</f>
        <v>토성</v>
      </c>
      <c r="D2385" s="9" t="str">
        <f>[1]Discovery!E2391</f>
        <v>자연</v>
      </c>
      <c r="E2385" s="9" t="str">
        <f>[1]Discovery!C2391</f>
        <v>천문</v>
      </c>
      <c r="F2385" s="9" t="str">
        <f>[1]Discovery!G2391</f>
        <v>C</v>
      </c>
      <c r="G2385" s="9" t="str">
        <f>IFERROR(VLOOKUP(표1[[#This Row],[명칭]],'문화권 정리'!C:D,2,FALSE),"-")</f>
        <v>천문</v>
      </c>
      <c r="H2385" s="38" t="str">
        <f>IFERROR(COUNTIF([2]OceanDoodad!$Y:$Y,표1[[#This Row],[명칭]]),"-")</f>
        <v>-</v>
      </c>
      <c r="I2385" s="38">
        <f>IFERROR(COUNTIF([1]AdventureDiscoveryGroup!$D$8:$AW$92,표1[[#This Row],[명칭]]),"-")</f>
        <v>0</v>
      </c>
      <c r="J2385" s="38">
        <f>IFERROR(COUNTIF([1]FishDiscoveryGroup!$A:$X,표1[[#This Row],[명칭]]),"-")</f>
        <v>0</v>
      </c>
      <c r="K2385" s="38" t="str">
        <f>IFERROR(COUNTIF([2]Town!$B:$B,표1[[#This Row],[명칭]]),"-")</f>
        <v>-</v>
      </c>
      <c r="L2385" s="38">
        <f>IFERROR(COUNTIF([1]Village!$BR:$BR,표1[[#This Row],[명칭]]),"-")</f>
        <v>0</v>
      </c>
      <c r="M2385" s="38">
        <f>COUNTIF(퀘스트!B:B,표1[[#This Row],[명칭]])</f>
        <v>0</v>
      </c>
      <c r="N2385" s="65">
        <f>COUNTIF([1]VillageDiscoveryGroup!$C:$C,표1[[#This Row],[명칭]])</f>
        <v>0</v>
      </c>
      <c r="O2385" s="65">
        <f>SUM(표1[[#This Row],[해양탐색]:[마을탐험]])</f>
        <v>0</v>
      </c>
    </row>
    <row r="2386" spans="2:15" ht="13.5" customHeight="1" x14ac:dyDescent="0.3">
      <c r="B2386" s="9">
        <f>[1]Discovery!A2392</f>
        <v>70414093</v>
      </c>
      <c r="C2386" s="9" t="str">
        <f>[1]Discovery!B2392</f>
        <v>토성의 고리</v>
      </c>
      <c r="D2386" s="9" t="str">
        <f>[1]Discovery!E2392</f>
        <v>자연</v>
      </c>
      <c r="E2386" s="9" t="str">
        <f>[1]Discovery!C2392</f>
        <v>천문</v>
      </c>
      <c r="F2386" s="9" t="str">
        <f>[1]Discovery!G2392</f>
        <v>S</v>
      </c>
      <c r="G2386" s="9" t="str">
        <f>IFERROR(VLOOKUP(표1[[#This Row],[명칭]],'문화권 정리'!C:D,2,FALSE),"-")</f>
        <v>천문</v>
      </c>
      <c r="H2386" s="38" t="str">
        <f>IFERROR(COUNTIF([2]OceanDoodad!$Y:$Y,표1[[#This Row],[명칭]]),"-")</f>
        <v>-</v>
      </c>
      <c r="I2386" s="38">
        <f>IFERROR(COUNTIF([1]AdventureDiscoveryGroup!$D$8:$AW$92,표1[[#This Row],[명칭]]),"-")</f>
        <v>0</v>
      </c>
      <c r="J2386" s="38">
        <f>IFERROR(COUNTIF([1]FishDiscoveryGroup!$A:$X,표1[[#This Row],[명칭]]),"-")</f>
        <v>0</v>
      </c>
      <c r="K2386" s="38" t="str">
        <f>IFERROR(COUNTIF([2]Town!$B:$B,표1[[#This Row],[명칭]]),"-")</f>
        <v>-</v>
      </c>
      <c r="L2386" s="38">
        <f>IFERROR(COUNTIF([1]Village!$BR:$BR,표1[[#This Row],[명칭]]),"-")</f>
        <v>0</v>
      </c>
      <c r="M2386" s="38">
        <f>COUNTIF(퀘스트!B:B,표1[[#This Row],[명칭]])</f>
        <v>0</v>
      </c>
      <c r="N2386" s="65">
        <f>COUNTIF([1]VillageDiscoveryGroup!$C:$C,표1[[#This Row],[명칭]])</f>
        <v>0</v>
      </c>
      <c r="O2386" s="65">
        <f>SUM(표1[[#This Row],[해양탐색]:[마을탐험]])</f>
        <v>0</v>
      </c>
    </row>
    <row r="2387" spans="2:15" ht="13.5" customHeight="1" x14ac:dyDescent="0.3">
      <c r="B2387" s="9">
        <f>[1]Discovery!A2393</f>
        <v>70414094</v>
      </c>
      <c r="C2387" s="9" t="str">
        <f>[1]Discovery!B2393</f>
        <v>튀코 브라헤의 신성</v>
      </c>
      <c r="D2387" s="9" t="str">
        <f>[1]Discovery!E2393</f>
        <v>자연</v>
      </c>
      <c r="E2387" s="9" t="str">
        <f>[1]Discovery!C2393</f>
        <v>천문</v>
      </c>
      <c r="F2387" s="9" t="str">
        <f>[1]Discovery!G2393</f>
        <v>C</v>
      </c>
      <c r="G2387" s="9" t="str">
        <f>IFERROR(VLOOKUP(표1[[#This Row],[명칭]],'문화권 정리'!C:D,2,FALSE),"-")</f>
        <v>천문</v>
      </c>
      <c r="H2387" s="38" t="str">
        <f>IFERROR(COUNTIF([2]OceanDoodad!$Y:$Y,표1[[#This Row],[명칭]]),"-")</f>
        <v>-</v>
      </c>
      <c r="I2387" s="38">
        <f>IFERROR(COUNTIF([1]AdventureDiscoveryGroup!$D$8:$AW$92,표1[[#This Row],[명칭]]),"-")</f>
        <v>0</v>
      </c>
      <c r="J2387" s="38">
        <f>IFERROR(COUNTIF([1]FishDiscoveryGroup!$A:$X,표1[[#This Row],[명칭]]),"-")</f>
        <v>0</v>
      </c>
      <c r="K2387" s="38" t="str">
        <f>IFERROR(COUNTIF([2]Town!$B:$B,표1[[#This Row],[명칭]]),"-")</f>
        <v>-</v>
      </c>
      <c r="L2387" s="38">
        <f>IFERROR(COUNTIF([1]Village!$BR:$BR,표1[[#This Row],[명칭]]),"-")</f>
        <v>0</v>
      </c>
      <c r="M2387" s="38">
        <f>COUNTIF(퀘스트!B:B,표1[[#This Row],[명칭]])</f>
        <v>0</v>
      </c>
      <c r="N2387" s="65">
        <f>COUNTIF([1]VillageDiscoveryGroup!$C:$C,표1[[#This Row],[명칭]])</f>
        <v>0</v>
      </c>
      <c r="O2387" s="65">
        <f>SUM(표1[[#This Row],[해양탐색]:[마을탐험]])</f>
        <v>0</v>
      </c>
    </row>
    <row r="2388" spans="2:15" ht="13.5" customHeight="1" x14ac:dyDescent="0.3">
      <c r="B2388" s="9">
        <f>[1]Discovery!A2394</f>
        <v>70414095</v>
      </c>
      <c r="C2388" s="9" t="str">
        <f>[1]Discovery!B2394</f>
        <v>페가수스자리</v>
      </c>
      <c r="D2388" s="9" t="str">
        <f>[1]Discovery!E2394</f>
        <v>자연</v>
      </c>
      <c r="E2388" s="9" t="str">
        <f>[1]Discovery!C2394</f>
        <v>천문</v>
      </c>
      <c r="F2388" s="9" t="str">
        <f>[1]Discovery!G2394</f>
        <v>D</v>
      </c>
      <c r="G2388" s="9" t="str">
        <f>IFERROR(VLOOKUP(표1[[#This Row],[명칭]],'문화권 정리'!C:D,2,FALSE),"-")</f>
        <v>천문</v>
      </c>
      <c r="H2388" s="38" t="str">
        <f>IFERROR(COUNTIF([2]OceanDoodad!$Y:$Y,표1[[#This Row],[명칭]]),"-")</f>
        <v>-</v>
      </c>
      <c r="I2388" s="38">
        <f>IFERROR(COUNTIF([1]AdventureDiscoveryGroup!$D$8:$AW$92,표1[[#This Row],[명칭]]),"-")</f>
        <v>0</v>
      </c>
      <c r="J2388" s="38">
        <f>IFERROR(COUNTIF([1]FishDiscoveryGroup!$A:$X,표1[[#This Row],[명칭]]),"-")</f>
        <v>0</v>
      </c>
      <c r="K2388" s="38" t="str">
        <f>IFERROR(COUNTIF([2]Town!$B:$B,표1[[#This Row],[명칭]]),"-")</f>
        <v>-</v>
      </c>
      <c r="L2388" s="38">
        <f>IFERROR(COUNTIF([1]Village!$BR:$BR,표1[[#This Row],[명칭]]),"-")</f>
        <v>0</v>
      </c>
      <c r="M2388" s="38">
        <f>COUNTIF(퀘스트!B:B,표1[[#This Row],[명칭]])</f>
        <v>0</v>
      </c>
      <c r="N2388" s="65">
        <f>COUNTIF([1]VillageDiscoveryGroup!$C:$C,표1[[#This Row],[명칭]])</f>
        <v>0</v>
      </c>
      <c r="O2388" s="65">
        <f>SUM(표1[[#This Row],[해양탐색]:[마을탐험]])</f>
        <v>0</v>
      </c>
    </row>
    <row r="2389" spans="2:15" ht="13.5" customHeight="1" x14ac:dyDescent="0.3">
      <c r="B2389" s="9">
        <f>[1]Discovery!A2395</f>
        <v>70414096</v>
      </c>
      <c r="C2389" s="9" t="str">
        <f>[1]Discovery!B2395</f>
        <v>페르세우스자리</v>
      </c>
      <c r="D2389" s="9" t="str">
        <f>[1]Discovery!E2395</f>
        <v>자연</v>
      </c>
      <c r="E2389" s="9" t="str">
        <f>[1]Discovery!C2395</f>
        <v>천문</v>
      </c>
      <c r="F2389" s="9" t="str">
        <f>[1]Discovery!G2395</f>
        <v>S</v>
      </c>
      <c r="G2389" s="9" t="str">
        <f>IFERROR(VLOOKUP(표1[[#This Row],[명칭]],'문화권 정리'!C:D,2,FALSE),"-")</f>
        <v>천문</v>
      </c>
      <c r="H2389" s="38" t="str">
        <f>IFERROR(COUNTIF([2]OceanDoodad!$Y:$Y,표1[[#This Row],[명칭]]),"-")</f>
        <v>-</v>
      </c>
      <c r="I2389" s="38">
        <f>IFERROR(COUNTIF([1]AdventureDiscoveryGroup!$D$8:$AW$92,표1[[#This Row],[명칭]]),"-")</f>
        <v>0</v>
      </c>
      <c r="J2389" s="38">
        <f>IFERROR(COUNTIF([1]FishDiscoveryGroup!$A:$X,표1[[#This Row],[명칭]]),"-")</f>
        <v>0</v>
      </c>
      <c r="K2389" s="38" t="str">
        <f>IFERROR(COUNTIF([2]Town!$B:$B,표1[[#This Row],[명칭]]),"-")</f>
        <v>-</v>
      </c>
      <c r="L2389" s="38">
        <f>IFERROR(COUNTIF([1]Village!$BR:$BR,표1[[#This Row],[명칭]]),"-")</f>
        <v>0</v>
      </c>
      <c r="M2389" s="38">
        <f>COUNTIF(퀘스트!B:B,표1[[#This Row],[명칭]])</f>
        <v>0</v>
      </c>
      <c r="N2389" s="65">
        <f>COUNTIF([1]VillageDiscoveryGroup!$C:$C,표1[[#This Row],[명칭]])</f>
        <v>0</v>
      </c>
      <c r="O2389" s="65">
        <f>SUM(표1[[#This Row],[해양탐색]:[마을탐험]])</f>
        <v>0</v>
      </c>
    </row>
    <row r="2390" spans="2:15" ht="13.5" customHeight="1" x14ac:dyDescent="0.3">
      <c r="B2390" s="9">
        <f>[1]Discovery!A2396</f>
        <v>70414097</v>
      </c>
      <c r="C2390" s="9" t="str">
        <f>[1]Discovery!B2396</f>
        <v>페르세우스자리 유성군</v>
      </c>
      <c r="D2390" s="9" t="str">
        <f>[1]Discovery!E2396</f>
        <v>자연</v>
      </c>
      <c r="E2390" s="9" t="str">
        <f>[1]Discovery!C2396</f>
        <v>천문</v>
      </c>
      <c r="F2390" s="9" t="str">
        <f>[1]Discovery!G2396</f>
        <v>A</v>
      </c>
      <c r="G2390" s="9" t="str">
        <f>IFERROR(VLOOKUP(표1[[#This Row],[명칭]],'문화권 정리'!C:D,2,FALSE),"-")</f>
        <v>천문</v>
      </c>
      <c r="H2390" s="38" t="str">
        <f>IFERROR(COUNTIF([2]OceanDoodad!$Y:$Y,표1[[#This Row],[명칭]]),"-")</f>
        <v>-</v>
      </c>
      <c r="I2390" s="38">
        <f>IFERROR(COUNTIF([1]AdventureDiscoveryGroup!$D$8:$AW$92,표1[[#This Row],[명칭]]),"-")</f>
        <v>0</v>
      </c>
      <c r="J2390" s="38">
        <f>IFERROR(COUNTIF([1]FishDiscoveryGroup!$A:$X,표1[[#This Row],[명칭]]),"-")</f>
        <v>0</v>
      </c>
      <c r="K2390" s="38" t="str">
        <f>IFERROR(COUNTIF([2]Town!$B:$B,표1[[#This Row],[명칭]]),"-")</f>
        <v>-</v>
      </c>
      <c r="L2390" s="38">
        <f>IFERROR(COUNTIF([1]Village!$BR:$BR,표1[[#This Row],[명칭]]),"-")</f>
        <v>0</v>
      </c>
      <c r="M2390" s="38">
        <f>COUNTIF(퀘스트!B:B,표1[[#This Row],[명칭]])</f>
        <v>0</v>
      </c>
      <c r="N2390" s="65">
        <f>COUNTIF([1]VillageDiscoveryGroup!$C:$C,표1[[#This Row],[명칭]])</f>
        <v>0</v>
      </c>
      <c r="O2390" s="65">
        <f>SUM(표1[[#This Row],[해양탐색]:[마을탐험]])</f>
        <v>0</v>
      </c>
    </row>
    <row r="2391" spans="2:15" ht="13.5" customHeight="1" x14ac:dyDescent="0.3">
      <c r="B2391" s="9">
        <f>[1]Discovery!A2397</f>
        <v>70414099</v>
      </c>
      <c r="C2391" s="9" t="str">
        <f>[1]Discovery!B2397</f>
        <v>포말하우트</v>
      </c>
      <c r="D2391" s="9" t="str">
        <f>[1]Discovery!E2397</f>
        <v>자연</v>
      </c>
      <c r="E2391" s="9" t="str">
        <f>[1]Discovery!C2397</f>
        <v>천문</v>
      </c>
      <c r="F2391" s="9" t="str">
        <f>[1]Discovery!G2397</f>
        <v>C</v>
      </c>
      <c r="G2391" s="9" t="str">
        <f>IFERROR(VLOOKUP(표1[[#This Row],[명칭]],'문화권 정리'!C:D,2,FALSE),"-")</f>
        <v>천문</v>
      </c>
      <c r="H2391" s="38" t="str">
        <f>IFERROR(COUNTIF([2]OceanDoodad!$Y:$Y,표1[[#This Row],[명칭]]),"-")</f>
        <v>-</v>
      </c>
      <c r="I2391" s="38">
        <f>IFERROR(COUNTIF([1]AdventureDiscoveryGroup!$D$8:$AW$92,표1[[#This Row],[명칭]]),"-")</f>
        <v>0</v>
      </c>
      <c r="J2391" s="38">
        <f>IFERROR(COUNTIF([1]FishDiscoveryGroup!$A:$X,표1[[#This Row],[명칭]]),"-")</f>
        <v>0</v>
      </c>
      <c r="K2391" s="38" t="str">
        <f>IFERROR(COUNTIF([2]Town!$B:$B,표1[[#This Row],[명칭]]),"-")</f>
        <v>-</v>
      </c>
      <c r="L2391" s="38">
        <f>IFERROR(COUNTIF([1]Village!$BR:$BR,표1[[#This Row],[명칭]]),"-")</f>
        <v>0</v>
      </c>
      <c r="M2391" s="38">
        <f>COUNTIF(퀘스트!B:B,표1[[#This Row],[명칭]])</f>
        <v>0</v>
      </c>
      <c r="N2391" s="65">
        <f>COUNTIF([1]VillageDiscoveryGroup!$C:$C,표1[[#This Row],[명칭]])</f>
        <v>0</v>
      </c>
      <c r="O2391" s="65">
        <f>SUM(표1[[#This Row],[해양탐색]:[마을탐험]])</f>
        <v>0</v>
      </c>
    </row>
    <row r="2392" spans="2:15" ht="13.5" customHeight="1" x14ac:dyDescent="0.3">
      <c r="B2392" s="9">
        <f>[1]Discovery!A2398</f>
        <v>70414100</v>
      </c>
      <c r="C2392" s="9" t="str">
        <f>[1]Discovery!B2398</f>
        <v>폴룩스</v>
      </c>
      <c r="D2392" s="9" t="str">
        <f>[1]Discovery!E2398</f>
        <v>자연</v>
      </c>
      <c r="E2392" s="9" t="str">
        <f>[1]Discovery!C2398</f>
        <v>천문</v>
      </c>
      <c r="F2392" s="9" t="str">
        <f>[1]Discovery!G2398</f>
        <v>D</v>
      </c>
      <c r="G2392" s="9" t="str">
        <f>IFERROR(VLOOKUP(표1[[#This Row],[명칭]],'문화권 정리'!C:D,2,FALSE),"-")</f>
        <v>천문</v>
      </c>
      <c r="H2392" s="38" t="str">
        <f>IFERROR(COUNTIF([2]OceanDoodad!$Y:$Y,표1[[#This Row],[명칭]]),"-")</f>
        <v>-</v>
      </c>
      <c r="I2392" s="38">
        <f>IFERROR(COUNTIF([1]AdventureDiscoveryGroup!$D$8:$AW$92,표1[[#This Row],[명칭]]),"-")</f>
        <v>0</v>
      </c>
      <c r="J2392" s="38">
        <f>IFERROR(COUNTIF([1]FishDiscoveryGroup!$A:$X,표1[[#This Row],[명칭]]),"-")</f>
        <v>0</v>
      </c>
      <c r="K2392" s="38" t="str">
        <f>IFERROR(COUNTIF([2]Town!$B:$B,표1[[#This Row],[명칭]]),"-")</f>
        <v>-</v>
      </c>
      <c r="L2392" s="38">
        <f>IFERROR(COUNTIF([1]Village!$BR:$BR,표1[[#This Row],[명칭]]),"-")</f>
        <v>0</v>
      </c>
      <c r="M2392" s="38">
        <f>COUNTIF(퀘스트!B:B,표1[[#This Row],[명칭]])</f>
        <v>0</v>
      </c>
      <c r="N2392" s="65">
        <f>COUNTIF([1]VillageDiscoveryGroup!$C:$C,표1[[#This Row],[명칭]])</f>
        <v>0</v>
      </c>
      <c r="O2392" s="65">
        <f>SUM(표1[[#This Row],[해양탐색]:[마을탐험]])</f>
        <v>0</v>
      </c>
    </row>
    <row r="2393" spans="2:15" ht="13.5" customHeight="1" x14ac:dyDescent="0.3">
      <c r="B2393" s="9">
        <f>[1]Discovery!A2399</f>
        <v>70414101</v>
      </c>
      <c r="C2393" s="9" t="str">
        <f>[1]Discovery!B2399</f>
        <v>프로키온</v>
      </c>
      <c r="D2393" s="9" t="str">
        <f>[1]Discovery!E2399</f>
        <v>자연</v>
      </c>
      <c r="E2393" s="9" t="str">
        <f>[1]Discovery!C2399</f>
        <v>천문</v>
      </c>
      <c r="F2393" s="9" t="str">
        <f>[1]Discovery!G2399</f>
        <v>C</v>
      </c>
      <c r="G2393" s="9" t="str">
        <f>IFERROR(VLOOKUP(표1[[#This Row],[명칭]],'문화권 정리'!C:D,2,FALSE),"-")</f>
        <v>천문</v>
      </c>
      <c r="H2393" s="38" t="str">
        <f>IFERROR(COUNTIF([2]OceanDoodad!$Y:$Y,표1[[#This Row],[명칭]]),"-")</f>
        <v>-</v>
      </c>
      <c r="I2393" s="38">
        <f>IFERROR(COUNTIF([1]AdventureDiscoveryGroup!$D$8:$AW$92,표1[[#This Row],[명칭]]),"-")</f>
        <v>0</v>
      </c>
      <c r="J2393" s="38">
        <f>IFERROR(COUNTIF([1]FishDiscoveryGroup!$A:$X,표1[[#This Row],[명칭]]),"-")</f>
        <v>0</v>
      </c>
      <c r="K2393" s="38" t="str">
        <f>IFERROR(COUNTIF([2]Town!$B:$B,표1[[#This Row],[명칭]]),"-")</f>
        <v>-</v>
      </c>
      <c r="L2393" s="38">
        <f>IFERROR(COUNTIF([1]Village!$BR:$BR,표1[[#This Row],[명칭]]),"-")</f>
        <v>0</v>
      </c>
      <c r="M2393" s="38">
        <f>COUNTIF(퀘스트!B:B,표1[[#This Row],[명칭]])</f>
        <v>0</v>
      </c>
      <c r="N2393" s="65">
        <f>COUNTIF([1]VillageDiscoveryGroup!$C:$C,표1[[#This Row],[명칭]])</f>
        <v>0</v>
      </c>
      <c r="O2393" s="65">
        <f>SUM(표1[[#This Row],[해양탐색]:[마을탐험]])</f>
        <v>0</v>
      </c>
    </row>
    <row r="2394" spans="2:15" ht="13.5" customHeight="1" x14ac:dyDescent="0.3">
      <c r="B2394" s="9">
        <f>[1]Discovery!A2400</f>
        <v>70414102</v>
      </c>
      <c r="C2394" s="9" t="str">
        <f>[1]Discovery!B2400</f>
        <v>플레이아데스성단</v>
      </c>
      <c r="D2394" s="9" t="str">
        <f>[1]Discovery!E2400</f>
        <v>자연</v>
      </c>
      <c r="E2394" s="9" t="str">
        <f>[1]Discovery!C2400</f>
        <v>천문</v>
      </c>
      <c r="F2394" s="9" t="str">
        <f>[1]Discovery!G2400</f>
        <v>D</v>
      </c>
      <c r="G2394" s="9" t="str">
        <f>IFERROR(VLOOKUP(표1[[#This Row],[명칭]],'문화권 정리'!C:D,2,FALSE),"-")</f>
        <v>천문</v>
      </c>
      <c r="H2394" s="38" t="str">
        <f>IFERROR(COUNTIF([2]OceanDoodad!$Y:$Y,표1[[#This Row],[명칭]]),"-")</f>
        <v>-</v>
      </c>
      <c r="I2394" s="38">
        <f>IFERROR(COUNTIF([1]AdventureDiscoveryGroup!$D$8:$AW$92,표1[[#This Row],[명칭]]),"-")</f>
        <v>0</v>
      </c>
      <c r="J2394" s="38">
        <f>IFERROR(COUNTIF([1]FishDiscoveryGroup!$A:$X,표1[[#This Row],[명칭]]),"-")</f>
        <v>0</v>
      </c>
      <c r="K2394" s="38" t="str">
        <f>IFERROR(COUNTIF([2]Town!$B:$B,표1[[#This Row],[명칭]]),"-")</f>
        <v>-</v>
      </c>
      <c r="L2394" s="38">
        <f>IFERROR(COUNTIF([1]Village!$BR:$BR,표1[[#This Row],[명칭]]),"-")</f>
        <v>0</v>
      </c>
      <c r="M2394" s="38">
        <f>COUNTIF(퀘스트!B:B,표1[[#This Row],[명칭]])</f>
        <v>0</v>
      </c>
      <c r="N2394" s="65">
        <f>COUNTIF([1]VillageDiscoveryGroup!$C:$C,표1[[#This Row],[명칭]])</f>
        <v>0</v>
      </c>
      <c r="O2394" s="65">
        <f>SUM(표1[[#This Row],[해양탐색]:[마을탐험]])</f>
        <v>0</v>
      </c>
    </row>
    <row r="2395" spans="2:15" ht="13.5" customHeight="1" x14ac:dyDescent="0.3">
      <c r="B2395" s="9">
        <f>[1]Discovery!A2401</f>
        <v>70414103</v>
      </c>
      <c r="C2395" s="9" t="str">
        <f>[1]Discovery!B2401</f>
        <v>하다르</v>
      </c>
      <c r="D2395" s="9" t="str">
        <f>[1]Discovery!E2401</f>
        <v>자연</v>
      </c>
      <c r="E2395" s="9" t="str">
        <f>[1]Discovery!C2401</f>
        <v>천문</v>
      </c>
      <c r="F2395" s="9" t="str">
        <f>[1]Discovery!G2401</f>
        <v>B</v>
      </c>
      <c r="G2395" s="9" t="str">
        <f>IFERROR(VLOOKUP(표1[[#This Row],[명칭]],'문화권 정리'!C:D,2,FALSE),"-")</f>
        <v>천문</v>
      </c>
      <c r="H2395" s="38" t="str">
        <f>IFERROR(COUNTIF([2]OceanDoodad!$Y:$Y,표1[[#This Row],[명칭]]),"-")</f>
        <v>-</v>
      </c>
      <c r="I2395" s="38">
        <f>IFERROR(COUNTIF([1]AdventureDiscoveryGroup!$D$8:$AW$92,표1[[#This Row],[명칭]]),"-")</f>
        <v>0</v>
      </c>
      <c r="J2395" s="38">
        <f>IFERROR(COUNTIF([1]FishDiscoveryGroup!$A:$X,표1[[#This Row],[명칭]]),"-")</f>
        <v>0</v>
      </c>
      <c r="K2395" s="38" t="str">
        <f>IFERROR(COUNTIF([2]Town!$B:$B,표1[[#This Row],[명칭]]),"-")</f>
        <v>-</v>
      </c>
      <c r="L2395" s="38">
        <f>IFERROR(COUNTIF([1]Village!$BR:$BR,표1[[#This Row],[명칭]]),"-")</f>
        <v>0</v>
      </c>
      <c r="M2395" s="38">
        <f>COUNTIF(퀘스트!B:B,표1[[#This Row],[명칭]])</f>
        <v>0</v>
      </c>
      <c r="N2395" s="65">
        <f>COUNTIF([1]VillageDiscoveryGroup!$C:$C,표1[[#This Row],[명칭]])</f>
        <v>0</v>
      </c>
      <c r="O2395" s="65">
        <f>SUM(표1[[#This Row],[해양탐색]:[마을탐험]])</f>
        <v>0</v>
      </c>
    </row>
    <row r="2396" spans="2:15" ht="13.5" customHeight="1" x14ac:dyDescent="0.3">
      <c r="B2396" s="9">
        <f>[1]Discovery!A2402</f>
        <v>70414104</v>
      </c>
      <c r="C2396" s="9" t="str">
        <f>[1]Discovery!B2402</f>
        <v>핼리 혜성</v>
      </c>
      <c r="D2396" s="9" t="str">
        <f>[1]Discovery!E2402</f>
        <v>자연</v>
      </c>
      <c r="E2396" s="9" t="str">
        <f>[1]Discovery!C2402</f>
        <v>천문</v>
      </c>
      <c r="F2396" s="9" t="str">
        <f>[1]Discovery!G2402</f>
        <v>S</v>
      </c>
      <c r="G2396" s="9" t="str">
        <f>IFERROR(VLOOKUP(표1[[#This Row],[명칭]],'문화권 정리'!C:D,2,FALSE),"-")</f>
        <v>천문</v>
      </c>
      <c r="H2396" s="38" t="str">
        <f>IFERROR(COUNTIF([2]OceanDoodad!$Y:$Y,표1[[#This Row],[명칭]]),"-")</f>
        <v>-</v>
      </c>
      <c r="I2396" s="38">
        <f>IFERROR(COUNTIF([1]AdventureDiscoveryGroup!$D$8:$AW$92,표1[[#This Row],[명칭]]),"-")</f>
        <v>0</v>
      </c>
      <c r="J2396" s="38">
        <f>IFERROR(COUNTIF([1]FishDiscoveryGroup!$A:$X,표1[[#This Row],[명칭]]),"-")</f>
        <v>0</v>
      </c>
      <c r="K2396" s="38" t="str">
        <f>IFERROR(COUNTIF([2]Town!$B:$B,표1[[#This Row],[명칭]]),"-")</f>
        <v>-</v>
      </c>
      <c r="L2396" s="38">
        <f>IFERROR(COUNTIF([1]Village!$BR:$BR,표1[[#This Row],[명칭]]),"-")</f>
        <v>0</v>
      </c>
      <c r="M2396" s="38">
        <f>COUNTIF(퀘스트!B:B,표1[[#This Row],[명칭]])</f>
        <v>1</v>
      </c>
      <c r="N2396" s="65">
        <f>COUNTIF([1]VillageDiscoveryGroup!$C:$C,표1[[#This Row],[명칭]])</f>
        <v>0</v>
      </c>
      <c r="O2396" s="65">
        <f>SUM(표1[[#This Row],[해양탐색]:[마을탐험]])</f>
        <v>1</v>
      </c>
    </row>
    <row r="2397" spans="2:15" ht="13.5" customHeight="1" x14ac:dyDescent="0.3">
      <c r="B2397" s="9">
        <f>[1]Discovery!A2403</f>
        <v>70414105</v>
      </c>
      <c r="C2397" s="9" t="str">
        <f>[1]Discovery!B2403</f>
        <v>헤르쿨레스자리</v>
      </c>
      <c r="D2397" s="9" t="str">
        <f>[1]Discovery!E2403</f>
        <v>자연</v>
      </c>
      <c r="E2397" s="9" t="str">
        <f>[1]Discovery!C2403</f>
        <v>천문</v>
      </c>
      <c r="F2397" s="9" t="str">
        <f>[1]Discovery!G2403</f>
        <v>B</v>
      </c>
      <c r="G2397" s="9" t="str">
        <f>IFERROR(VLOOKUP(표1[[#This Row],[명칭]],'문화권 정리'!C:D,2,FALSE),"-")</f>
        <v>천문</v>
      </c>
      <c r="H2397" s="38" t="str">
        <f>IFERROR(COUNTIF([2]OceanDoodad!$Y:$Y,표1[[#This Row],[명칭]]),"-")</f>
        <v>-</v>
      </c>
      <c r="I2397" s="38">
        <f>IFERROR(COUNTIF([1]AdventureDiscoveryGroup!$D$8:$AW$92,표1[[#This Row],[명칭]]),"-")</f>
        <v>0</v>
      </c>
      <c r="J2397" s="38">
        <f>IFERROR(COUNTIF([1]FishDiscoveryGroup!$A:$X,표1[[#This Row],[명칭]]),"-")</f>
        <v>0</v>
      </c>
      <c r="K2397" s="38" t="str">
        <f>IFERROR(COUNTIF([2]Town!$B:$B,표1[[#This Row],[명칭]]),"-")</f>
        <v>-</v>
      </c>
      <c r="L2397" s="38">
        <f>IFERROR(COUNTIF([1]Village!$BR:$BR,표1[[#This Row],[명칭]]),"-")</f>
        <v>0</v>
      </c>
      <c r="M2397" s="38">
        <f>COUNTIF(퀘스트!B:B,표1[[#This Row],[명칭]])</f>
        <v>0</v>
      </c>
      <c r="N2397" s="65">
        <f>COUNTIF([1]VillageDiscoveryGroup!$C:$C,표1[[#This Row],[명칭]])</f>
        <v>0</v>
      </c>
      <c r="O2397" s="65">
        <f>SUM(표1[[#This Row],[해양탐색]:[마을탐험]])</f>
        <v>0</v>
      </c>
    </row>
    <row r="2398" spans="2:15" ht="13.5" customHeight="1" x14ac:dyDescent="0.3">
      <c r="B2398" s="9">
        <f>[1]Discovery!A2404</f>
        <v>70414106</v>
      </c>
      <c r="C2398" s="9" t="str">
        <f>[1]Discovery!B2404</f>
        <v>화살자리</v>
      </c>
      <c r="D2398" s="9" t="str">
        <f>[1]Discovery!E2404</f>
        <v>자연</v>
      </c>
      <c r="E2398" s="9" t="str">
        <f>[1]Discovery!C2404</f>
        <v>천문</v>
      </c>
      <c r="F2398" s="9" t="str">
        <f>[1]Discovery!G2404</f>
        <v>D</v>
      </c>
      <c r="G2398" s="9" t="str">
        <f>IFERROR(VLOOKUP(표1[[#This Row],[명칭]],'문화권 정리'!C:D,2,FALSE),"-")</f>
        <v>천문</v>
      </c>
      <c r="H2398" s="38" t="str">
        <f>IFERROR(COUNTIF([2]OceanDoodad!$Y:$Y,표1[[#This Row],[명칭]]),"-")</f>
        <v>-</v>
      </c>
      <c r="I2398" s="38">
        <f>IFERROR(COUNTIF([1]AdventureDiscoveryGroup!$D$8:$AW$92,표1[[#This Row],[명칭]]),"-")</f>
        <v>0</v>
      </c>
      <c r="J2398" s="38">
        <f>IFERROR(COUNTIF([1]FishDiscoveryGroup!$A:$X,표1[[#This Row],[명칭]]),"-")</f>
        <v>0</v>
      </c>
      <c r="K2398" s="38" t="str">
        <f>IFERROR(COUNTIF([2]Town!$B:$B,표1[[#This Row],[명칭]]),"-")</f>
        <v>-</v>
      </c>
      <c r="L2398" s="38">
        <f>IFERROR(COUNTIF([1]Village!$BR:$BR,표1[[#This Row],[명칭]]),"-")</f>
        <v>0</v>
      </c>
      <c r="M2398" s="38">
        <f>COUNTIF(퀘스트!B:B,표1[[#This Row],[명칭]])</f>
        <v>0</v>
      </c>
      <c r="N2398" s="65">
        <f>COUNTIF([1]VillageDiscoveryGroup!$C:$C,표1[[#This Row],[명칭]])</f>
        <v>0</v>
      </c>
      <c r="O2398" s="65">
        <f>SUM(표1[[#This Row],[해양탐색]:[마을탐험]])</f>
        <v>0</v>
      </c>
    </row>
    <row r="2399" spans="2:15" ht="13.5" customHeight="1" x14ac:dyDescent="0.3">
      <c r="B2399" s="9">
        <f>[1]Discovery!A2405</f>
        <v>70414107</v>
      </c>
      <c r="C2399" s="9" t="str">
        <f>[1]Discovery!B2405</f>
        <v>화성</v>
      </c>
      <c r="D2399" s="9" t="str">
        <f>[1]Discovery!E2405</f>
        <v>자연</v>
      </c>
      <c r="E2399" s="9" t="str">
        <f>[1]Discovery!C2405</f>
        <v>천문</v>
      </c>
      <c r="F2399" s="9" t="str">
        <f>[1]Discovery!G2405</f>
        <v>B</v>
      </c>
      <c r="G2399" s="9" t="str">
        <f>IFERROR(VLOOKUP(표1[[#This Row],[명칭]],'문화권 정리'!C:D,2,FALSE),"-")</f>
        <v>천문</v>
      </c>
      <c r="H2399" s="38" t="str">
        <f>IFERROR(COUNTIF([2]OceanDoodad!$Y:$Y,표1[[#This Row],[명칭]]),"-")</f>
        <v>-</v>
      </c>
      <c r="I2399" s="38">
        <f>IFERROR(COUNTIF([1]AdventureDiscoveryGroup!$D$8:$AW$92,표1[[#This Row],[명칭]]),"-")</f>
        <v>0</v>
      </c>
      <c r="J2399" s="38">
        <f>IFERROR(COUNTIF([1]FishDiscoveryGroup!$A:$X,표1[[#This Row],[명칭]]),"-")</f>
        <v>0</v>
      </c>
      <c r="K2399" s="38" t="str">
        <f>IFERROR(COUNTIF([2]Town!$B:$B,표1[[#This Row],[명칭]]),"-")</f>
        <v>-</v>
      </c>
      <c r="L2399" s="38">
        <f>IFERROR(COUNTIF([1]Village!$BR:$BR,표1[[#This Row],[명칭]]),"-")</f>
        <v>0</v>
      </c>
      <c r="M2399" s="38">
        <f>COUNTIF(퀘스트!B:B,표1[[#This Row],[명칭]])</f>
        <v>0</v>
      </c>
      <c r="N2399" s="65">
        <f>COUNTIF([1]VillageDiscoveryGroup!$C:$C,표1[[#This Row],[명칭]])</f>
        <v>0</v>
      </c>
      <c r="O2399" s="65">
        <f>SUM(표1[[#This Row],[해양탐색]:[마을탐험]])</f>
        <v>0</v>
      </c>
    </row>
    <row r="2400" spans="2:15" ht="13.5" customHeight="1" x14ac:dyDescent="0.3">
      <c r="B2400" s="9">
        <f>[1]Discovery!A2406</f>
        <v>70414108</v>
      </c>
      <c r="C2400" s="9" t="str">
        <f>[1]Discovery!B2406</f>
        <v>황소자리</v>
      </c>
      <c r="D2400" s="9" t="str">
        <f>[1]Discovery!E2406</f>
        <v>자연</v>
      </c>
      <c r="E2400" s="9" t="str">
        <f>[1]Discovery!C2406</f>
        <v>천문</v>
      </c>
      <c r="F2400" s="9" t="str">
        <f>[1]Discovery!G2406</f>
        <v>B</v>
      </c>
      <c r="G2400" s="9" t="str">
        <f>IFERROR(VLOOKUP(표1[[#This Row],[명칭]],'문화권 정리'!C:D,2,FALSE),"-")</f>
        <v>천문</v>
      </c>
      <c r="H2400" s="38" t="str">
        <f>IFERROR(COUNTIF([2]OceanDoodad!$Y:$Y,표1[[#This Row],[명칭]]),"-")</f>
        <v>-</v>
      </c>
      <c r="I2400" s="38">
        <f>IFERROR(COUNTIF([1]AdventureDiscoveryGroup!$D$8:$AW$92,표1[[#This Row],[명칭]]),"-")</f>
        <v>0</v>
      </c>
      <c r="J2400" s="38">
        <f>IFERROR(COUNTIF([1]FishDiscoveryGroup!$A:$X,표1[[#This Row],[명칭]]),"-")</f>
        <v>0</v>
      </c>
      <c r="K2400" s="38" t="str">
        <f>IFERROR(COUNTIF([2]Town!$B:$B,표1[[#This Row],[명칭]]),"-")</f>
        <v>-</v>
      </c>
      <c r="L2400" s="38">
        <f>IFERROR(COUNTIF([1]Village!$BR:$BR,표1[[#This Row],[명칭]]),"-")</f>
        <v>0</v>
      </c>
      <c r="M2400" s="38">
        <f>COUNTIF(퀘스트!B:B,표1[[#This Row],[명칭]])</f>
        <v>0</v>
      </c>
      <c r="N2400" s="65">
        <f>COUNTIF([1]VillageDiscoveryGroup!$C:$C,표1[[#This Row],[명칭]])</f>
        <v>0</v>
      </c>
      <c r="O2400" s="65">
        <f>SUM(표1[[#This Row],[해양탐색]:[마을탐험]])</f>
        <v>0</v>
      </c>
    </row>
    <row r="2401" spans="2:15" ht="13.5" customHeight="1" x14ac:dyDescent="0.3">
      <c r="B2401" s="9">
        <f>[1]Discovery!A2407</f>
        <v>70415000</v>
      </c>
      <c r="C2401" s="9" t="str">
        <f>[1]Discovery!B2407</f>
        <v>간헐천</v>
      </c>
      <c r="D2401" s="9" t="str">
        <f>[1]Discovery!E2407</f>
        <v>자연</v>
      </c>
      <c r="E2401" s="9" t="str">
        <f>[1]Discovery!C2407</f>
        <v>기상 현상</v>
      </c>
      <c r="F2401" s="9" t="str">
        <f>[1]Discovery!G2407</f>
        <v>B</v>
      </c>
      <c r="G2401" s="9" t="str">
        <f>IFERROR(VLOOKUP(표1[[#This Row],[명칭]],'문화권 정리'!C:D,2,FALSE),"-")</f>
        <v>천문</v>
      </c>
      <c r="H2401" s="38" t="str">
        <f>IFERROR(COUNTIF([2]OceanDoodad!$Y:$Y,표1[[#This Row],[명칭]]),"-")</f>
        <v>-</v>
      </c>
      <c r="I2401" s="38">
        <f>IFERROR(COUNTIF([1]AdventureDiscoveryGroup!$D$8:$AW$92,표1[[#This Row],[명칭]]),"-")</f>
        <v>0</v>
      </c>
      <c r="J2401" s="38">
        <f>IFERROR(COUNTIF([1]FishDiscoveryGroup!$A:$X,표1[[#This Row],[명칭]]),"-")</f>
        <v>0</v>
      </c>
      <c r="K2401" s="38" t="str">
        <f>IFERROR(COUNTIF([2]Town!$B:$B,표1[[#This Row],[명칭]]),"-")</f>
        <v>-</v>
      </c>
      <c r="L2401" s="38">
        <f>IFERROR(COUNTIF([1]Village!$BR:$BR,표1[[#This Row],[명칭]]),"-")</f>
        <v>0</v>
      </c>
      <c r="M2401" s="38">
        <f>COUNTIF(퀘스트!B:B,표1[[#This Row],[명칭]])</f>
        <v>0</v>
      </c>
      <c r="N2401" s="65">
        <f>COUNTIF([1]VillageDiscoveryGroup!$C:$C,표1[[#This Row],[명칭]])</f>
        <v>0</v>
      </c>
      <c r="O2401" s="65">
        <f>SUM(표1[[#This Row],[해양탐색]:[마을탐험]])</f>
        <v>0</v>
      </c>
    </row>
    <row r="2402" spans="2:15" ht="13.5" customHeight="1" x14ac:dyDescent="0.3">
      <c r="B2402" s="9">
        <f>[1]Discovery!A2408</f>
        <v>70415001</v>
      </c>
      <c r="C2402" s="9" t="str">
        <f>[1]Discovery!B2408</f>
        <v>구멍 구름</v>
      </c>
      <c r="D2402" s="9" t="str">
        <f>[1]Discovery!E2408</f>
        <v>자연</v>
      </c>
      <c r="E2402" s="9" t="str">
        <f>[1]Discovery!C2408</f>
        <v>기상 현상</v>
      </c>
      <c r="F2402" s="9" t="str">
        <f>[1]Discovery!G2408</f>
        <v>C</v>
      </c>
      <c r="G2402" s="9" t="str">
        <f>IFERROR(VLOOKUP(표1[[#This Row],[명칭]],'문화권 정리'!C:D,2,FALSE),"-")</f>
        <v>천문</v>
      </c>
      <c r="H2402" s="38" t="str">
        <f>IFERROR(COUNTIF([2]OceanDoodad!$Y:$Y,표1[[#This Row],[명칭]]),"-")</f>
        <v>-</v>
      </c>
      <c r="I2402" s="38">
        <f>IFERROR(COUNTIF([1]AdventureDiscoveryGroup!$D$8:$AW$92,표1[[#This Row],[명칭]]),"-")</f>
        <v>0</v>
      </c>
      <c r="J2402" s="38">
        <f>IFERROR(COUNTIF([1]FishDiscoveryGroup!$A:$X,표1[[#This Row],[명칭]]),"-")</f>
        <v>0</v>
      </c>
      <c r="K2402" s="38" t="str">
        <f>IFERROR(COUNTIF([2]Town!$B:$B,표1[[#This Row],[명칭]]),"-")</f>
        <v>-</v>
      </c>
      <c r="L2402" s="38">
        <f>IFERROR(COUNTIF([1]Village!$BR:$BR,표1[[#This Row],[명칭]]),"-")</f>
        <v>0</v>
      </c>
      <c r="M2402" s="38">
        <f>COUNTIF(퀘스트!B:B,표1[[#This Row],[명칭]])</f>
        <v>0</v>
      </c>
      <c r="N2402" s="65">
        <f>COUNTIF([1]VillageDiscoveryGroup!$C:$C,표1[[#This Row],[명칭]])</f>
        <v>0</v>
      </c>
      <c r="O2402" s="65">
        <f>SUM(표1[[#This Row],[해양탐색]:[마을탐험]])</f>
        <v>0</v>
      </c>
    </row>
    <row r="2403" spans="2:15" ht="13.5" customHeight="1" x14ac:dyDescent="0.3">
      <c r="B2403" s="9">
        <f>[1]Discovery!A2409</f>
        <v>70415002</v>
      </c>
      <c r="C2403" s="9" t="str">
        <f>[1]Discovery!B2409</f>
        <v>나가의 화염구</v>
      </c>
      <c r="D2403" s="9" t="str">
        <f>[1]Discovery!E2409</f>
        <v>자연</v>
      </c>
      <c r="E2403" s="9" t="str">
        <f>[1]Discovery!C2409</f>
        <v>기상 현상</v>
      </c>
      <c r="F2403" s="9" t="str">
        <f>[1]Discovery!G2409</f>
        <v>S</v>
      </c>
      <c r="G2403" s="9" t="str">
        <f>IFERROR(VLOOKUP(표1[[#This Row],[명칭]],'문화권 정리'!C:D,2,FALSE),"-")</f>
        <v>천문</v>
      </c>
      <c r="H2403" s="38" t="str">
        <f>IFERROR(COUNTIF([2]OceanDoodad!$Y:$Y,표1[[#This Row],[명칭]]),"-")</f>
        <v>-</v>
      </c>
      <c r="I2403" s="38">
        <f>IFERROR(COUNTIF([1]AdventureDiscoveryGroup!$D$8:$AW$92,표1[[#This Row],[명칭]]),"-")</f>
        <v>0</v>
      </c>
      <c r="J2403" s="38">
        <f>IFERROR(COUNTIF([1]FishDiscoveryGroup!$A:$X,표1[[#This Row],[명칭]]),"-")</f>
        <v>0</v>
      </c>
      <c r="K2403" s="38" t="str">
        <f>IFERROR(COUNTIF([2]Town!$B:$B,표1[[#This Row],[명칭]]),"-")</f>
        <v>-</v>
      </c>
      <c r="L2403" s="38">
        <f>IFERROR(COUNTIF([1]Village!$BR:$BR,표1[[#This Row],[명칭]]),"-")</f>
        <v>0</v>
      </c>
      <c r="M2403" s="38">
        <f>COUNTIF(퀘스트!B:B,표1[[#This Row],[명칭]])</f>
        <v>0</v>
      </c>
      <c r="N2403" s="65">
        <f>COUNTIF([1]VillageDiscoveryGroup!$C:$C,표1[[#This Row],[명칭]])</f>
        <v>0</v>
      </c>
      <c r="O2403" s="65">
        <f>SUM(표1[[#This Row],[해양탐색]:[마을탐험]])</f>
        <v>0</v>
      </c>
    </row>
    <row r="2404" spans="2:15" ht="13.5" customHeight="1" x14ac:dyDescent="0.3">
      <c r="B2404" s="9">
        <f>[1]Discovery!A2410</f>
        <v>70415003</v>
      </c>
      <c r="C2404" s="9" t="str">
        <f>[1]Discovery!B2410</f>
        <v>달기둥</v>
      </c>
      <c r="D2404" s="9" t="str">
        <f>[1]Discovery!E2410</f>
        <v>자연</v>
      </c>
      <c r="E2404" s="9" t="str">
        <f>[1]Discovery!C2410</f>
        <v>기상 현상</v>
      </c>
      <c r="F2404" s="9" t="str">
        <f>[1]Discovery!G2410</f>
        <v>A</v>
      </c>
      <c r="G2404" s="9" t="str">
        <f>IFERROR(VLOOKUP(표1[[#This Row],[명칭]],'문화권 정리'!C:D,2,FALSE),"-")</f>
        <v>천문</v>
      </c>
      <c r="H2404" s="38" t="str">
        <f>IFERROR(COUNTIF([2]OceanDoodad!$Y:$Y,표1[[#This Row],[명칭]]),"-")</f>
        <v>-</v>
      </c>
      <c r="I2404" s="38">
        <f>IFERROR(COUNTIF([1]AdventureDiscoveryGroup!$D$8:$AW$92,표1[[#This Row],[명칭]]),"-")</f>
        <v>0</v>
      </c>
      <c r="J2404" s="38">
        <f>IFERROR(COUNTIF([1]FishDiscoveryGroup!$A:$X,표1[[#This Row],[명칭]]),"-")</f>
        <v>0</v>
      </c>
      <c r="K2404" s="38" t="str">
        <f>IFERROR(COUNTIF([2]Town!$B:$B,표1[[#This Row],[명칭]]),"-")</f>
        <v>-</v>
      </c>
      <c r="L2404" s="38">
        <f>IFERROR(COUNTIF([1]Village!$BR:$BR,표1[[#This Row],[명칭]]),"-")</f>
        <v>0</v>
      </c>
      <c r="M2404" s="38">
        <f>COUNTIF(퀘스트!B:B,표1[[#This Row],[명칭]])</f>
        <v>0</v>
      </c>
      <c r="N2404" s="65">
        <f>COUNTIF([1]VillageDiscoveryGroup!$C:$C,표1[[#This Row],[명칭]])</f>
        <v>0</v>
      </c>
      <c r="O2404" s="65">
        <f>SUM(표1[[#This Row],[해양탐색]:[마을탐험]])</f>
        <v>0</v>
      </c>
    </row>
    <row r="2405" spans="2:15" ht="13.5" customHeight="1" x14ac:dyDescent="0.3">
      <c r="B2405" s="9">
        <f>[1]Discovery!A2411</f>
        <v>70415004</v>
      </c>
      <c r="C2405" s="9" t="str">
        <f>[1]Discovery!B2411</f>
        <v>달무리</v>
      </c>
      <c r="D2405" s="9" t="str">
        <f>[1]Discovery!E2411</f>
        <v>자연</v>
      </c>
      <c r="E2405" s="9" t="str">
        <f>[1]Discovery!C2411</f>
        <v>기상 현상</v>
      </c>
      <c r="F2405" s="9" t="str">
        <f>[1]Discovery!G2411</f>
        <v>A</v>
      </c>
      <c r="G2405" s="9" t="str">
        <f>IFERROR(VLOOKUP(표1[[#This Row],[명칭]],'문화권 정리'!C:D,2,FALSE),"-")</f>
        <v>천문</v>
      </c>
      <c r="H2405" s="38" t="str">
        <f>IFERROR(COUNTIF([2]OceanDoodad!$Y:$Y,표1[[#This Row],[명칭]]),"-")</f>
        <v>-</v>
      </c>
      <c r="I2405" s="38">
        <f>IFERROR(COUNTIF([1]AdventureDiscoveryGroup!$D$8:$AW$92,표1[[#This Row],[명칭]]),"-")</f>
        <v>0</v>
      </c>
      <c r="J2405" s="38">
        <f>IFERROR(COUNTIF([1]FishDiscoveryGroup!$A:$X,표1[[#This Row],[명칭]]),"-")</f>
        <v>0</v>
      </c>
      <c r="K2405" s="38" t="str">
        <f>IFERROR(COUNTIF([2]Town!$B:$B,표1[[#This Row],[명칭]]),"-")</f>
        <v>-</v>
      </c>
      <c r="L2405" s="38">
        <f>IFERROR(COUNTIF([1]Village!$BR:$BR,표1[[#This Row],[명칭]]),"-")</f>
        <v>0</v>
      </c>
      <c r="M2405" s="38">
        <f>COUNTIF(퀘스트!B:B,표1[[#This Row],[명칭]])</f>
        <v>0</v>
      </c>
      <c r="N2405" s="65">
        <f>COUNTIF([1]VillageDiscoveryGroup!$C:$C,표1[[#This Row],[명칭]])</f>
        <v>0</v>
      </c>
      <c r="O2405" s="65">
        <f>SUM(표1[[#This Row],[해양탐색]:[마을탐험]])</f>
        <v>0</v>
      </c>
    </row>
    <row r="2406" spans="2:15" ht="13.5" customHeight="1" x14ac:dyDescent="0.3">
      <c r="B2406" s="9">
        <f>[1]Discovery!A2412</f>
        <v>70415005</v>
      </c>
      <c r="C2406" s="9" t="str">
        <f>[1]Discovery!B2412</f>
        <v>렌즈구름</v>
      </c>
      <c r="D2406" s="9" t="str">
        <f>[1]Discovery!E2412</f>
        <v>자연</v>
      </c>
      <c r="E2406" s="9" t="str">
        <f>[1]Discovery!C2412</f>
        <v>기상 현상</v>
      </c>
      <c r="F2406" s="9" t="str">
        <f>[1]Discovery!G2412</f>
        <v>B</v>
      </c>
      <c r="G2406" s="9" t="str">
        <f>IFERROR(VLOOKUP(표1[[#This Row],[명칭]],'문화권 정리'!C:D,2,FALSE),"-")</f>
        <v>천문</v>
      </c>
      <c r="H2406" s="38" t="str">
        <f>IFERROR(COUNTIF([2]OceanDoodad!$Y:$Y,표1[[#This Row],[명칭]]),"-")</f>
        <v>-</v>
      </c>
      <c r="I2406" s="38">
        <f>IFERROR(COUNTIF([1]AdventureDiscoveryGroup!$D$8:$AW$92,표1[[#This Row],[명칭]]),"-")</f>
        <v>0</v>
      </c>
      <c r="J2406" s="38">
        <f>IFERROR(COUNTIF([1]FishDiscoveryGroup!$A:$X,표1[[#This Row],[명칭]]),"-")</f>
        <v>0</v>
      </c>
      <c r="K2406" s="38" t="str">
        <f>IFERROR(COUNTIF([2]Town!$B:$B,표1[[#This Row],[명칭]]),"-")</f>
        <v>-</v>
      </c>
      <c r="L2406" s="38">
        <f>IFERROR(COUNTIF([1]Village!$BR:$BR,표1[[#This Row],[명칭]]),"-")</f>
        <v>0</v>
      </c>
      <c r="M2406" s="38">
        <f>COUNTIF(퀘스트!B:B,표1[[#This Row],[명칭]])</f>
        <v>0</v>
      </c>
      <c r="N2406" s="65">
        <f>COUNTIF([1]VillageDiscoveryGroup!$C:$C,표1[[#This Row],[명칭]])</f>
        <v>0</v>
      </c>
      <c r="O2406" s="65">
        <f>SUM(표1[[#This Row],[해양탐색]:[마을탐험]])</f>
        <v>0</v>
      </c>
    </row>
    <row r="2407" spans="2:15" ht="13.5" customHeight="1" x14ac:dyDescent="0.3">
      <c r="B2407" s="9">
        <f>[1]Discovery!A2413</f>
        <v>70415006</v>
      </c>
      <c r="C2407" s="9" t="str">
        <f>[1]Discovery!B2413</f>
        <v>모닝글로리</v>
      </c>
      <c r="D2407" s="9" t="str">
        <f>[1]Discovery!E2413</f>
        <v>자연</v>
      </c>
      <c r="E2407" s="9" t="str">
        <f>[1]Discovery!C2413</f>
        <v>기상 현상</v>
      </c>
      <c r="F2407" s="9" t="str">
        <f>[1]Discovery!G2413</f>
        <v>S</v>
      </c>
      <c r="G2407" s="9" t="str">
        <f>IFERROR(VLOOKUP(표1[[#This Row],[명칭]],'문화권 정리'!C:D,2,FALSE),"-")</f>
        <v>천문</v>
      </c>
      <c r="H2407" s="38" t="str">
        <f>IFERROR(COUNTIF([2]OceanDoodad!$Y:$Y,표1[[#This Row],[명칭]]),"-")</f>
        <v>-</v>
      </c>
      <c r="I2407" s="38">
        <f>IFERROR(COUNTIF([1]AdventureDiscoveryGroup!$D$8:$AW$92,표1[[#This Row],[명칭]]),"-")</f>
        <v>0</v>
      </c>
      <c r="J2407" s="38">
        <f>IFERROR(COUNTIF([1]FishDiscoveryGroup!$A:$X,표1[[#This Row],[명칭]]),"-")</f>
        <v>0</v>
      </c>
      <c r="K2407" s="38" t="str">
        <f>IFERROR(COUNTIF([2]Town!$B:$B,표1[[#This Row],[명칭]]),"-")</f>
        <v>-</v>
      </c>
      <c r="L2407" s="38">
        <f>IFERROR(COUNTIF([1]Village!$BR:$BR,표1[[#This Row],[명칭]]),"-")</f>
        <v>0</v>
      </c>
      <c r="M2407" s="38">
        <f>COUNTIF(퀘스트!B:B,표1[[#This Row],[명칭]])</f>
        <v>0</v>
      </c>
      <c r="N2407" s="65">
        <f>COUNTIF([1]VillageDiscoveryGroup!$C:$C,표1[[#This Row],[명칭]])</f>
        <v>0</v>
      </c>
      <c r="O2407" s="65">
        <f>SUM(표1[[#This Row],[해양탐색]:[마을탐험]])</f>
        <v>0</v>
      </c>
    </row>
    <row r="2408" spans="2:15" ht="13.5" customHeight="1" x14ac:dyDescent="0.3">
      <c r="B2408" s="9">
        <f>[1]Discovery!A2414</f>
        <v>70415007</v>
      </c>
      <c r="C2408" s="9" t="str">
        <f>[1]Discovery!B2414</f>
        <v>무지개</v>
      </c>
      <c r="D2408" s="9" t="str">
        <f>[1]Discovery!E2414</f>
        <v>자연</v>
      </c>
      <c r="E2408" s="9" t="str">
        <f>[1]Discovery!C2414</f>
        <v>기상 현상</v>
      </c>
      <c r="F2408" s="9" t="str">
        <f>[1]Discovery!G2414</f>
        <v>B</v>
      </c>
      <c r="G2408" s="9" t="str">
        <f>IFERROR(VLOOKUP(표1[[#This Row],[명칭]],'문화권 정리'!C:D,2,FALSE),"-")</f>
        <v>천문</v>
      </c>
      <c r="H2408" s="38" t="str">
        <f>IFERROR(COUNTIF([2]OceanDoodad!$Y:$Y,표1[[#This Row],[명칭]]),"-")</f>
        <v>-</v>
      </c>
      <c r="I2408" s="38">
        <f>IFERROR(COUNTIF([1]AdventureDiscoveryGroup!$D$8:$AW$92,표1[[#This Row],[명칭]]),"-")</f>
        <v>0</v>
      </c>
      <c r="J2408" s="38">
        <f>IFERROR(COUNTIF([1]FishDiscoveryGroup!$A:$X,표1[[#This Row],[명칭]]),"-")</f>
        <v>0</v>
      </c>
      <c r="K2408" s="38" t="str">
        <f>IFERROR(COUNTIF([2]Town!$B:$B,표1[[#This Row],[명칭]]),"-")</f>
        <v>-</v>
      </c>
      <c r="L2408" s="38">
        <f>IFERROR(COUNTIF([1]Village!$BR:$BR,표1[[#This Row],[명칭]]),"-")</f>
        <v>0</v>
      </c>
      <c r="M2408" s="38">
        <f>COUNTIF(퀘스트!B:B,표1[[#This Row],[명칭]])</f>
        <v>0</v>
      </c>
      <c r="N2408" s="65">
        <f>COUNTIF([1]VillageDiscoveryGroup!$C:$C,표1[[#This Row],[명칭]])</f>
        <v>0</v>
      </c>
      <c r="O2408" s="65">
        <f>SUM(표1[[#This Row],[해양탐색]:[마을탐험]])</f>
        <v>0</v>
      </c>
    </row>
    <row r="2409" spans="2:15" ht="13.5" customHeight="1" x14ac:dyDescent="0.3">
      <c r="B2409" s="9">
        <f>[1]Discovery!A2415</f>
        <v>70415008</v>
      </c>
      <c r="C2409" s="9" t="str">
        <f>[1]Discovery!B2415</f>
        <v>무지갯빛 구름</v>
      </c>
      <c r="D2409" s="9" t="str">
        <f>[1]Discovery!E2415</f>
        <v>자연</v>
      </c>
      <c r="E2409" s="9" t="str">
        <f>[1]Discovery!C2415</f>
        <v>기상 현상</v>
      </c>
      <c r="F2409" s="9" t="str">
        <f>[1]Discovery!G2415</f>
        <v>D</v>
      </c>
      <c r="G2409" s="9" t="str">
        <f>IFERROR(VLOOKUP(표1[[#This Row],[명칭]],'문화권 정리'!C:D,2,FALSE),"-")</f>
        <v>천문</v>
      </c>
      <c r="H2409" s="38" t="str">
        <f>IFERROR(COUNTIF([2]OceanDoodad!$Y:$Y,표1[[#This Row],[명칭]]),"-")</f>
        <v>-</v>
      </c>
      <c r="I2409" s="38">
        <f>IFERROR(COUNTIF([1]AdventureDiscoveryGroup!$D$8:$AW$92,표1[[#This Row],[명칭]]),"-")</f>
        <v>0</v>
      </c>
      <c r="J2409" s="38">
        <f>IFERROR(COUNTIF([1]FishDiscoveryGroup!$A:$X,표1[[#This Row],[명칭]]),"-")</f>
        <v>0</v>
      </c>
      <c r="K2409" s="38" t="str">
        <f>IFERROR(COUNTIF([2]Town!$B:$B,표1[[#This Row],[명칭]]),"-")</f>
        <v>-</v>
      </c>
      <c r="L2409" s="38">
        <f>IFERROR(COUNTIF([1]Village!$BR:$BR,표1[[#This Row],[명칭]]),"-")</f>
        <v>0</v>
      </c>
      <c r="M2409" s="38">
        <f>COUNTIF(퀘스트!B:B,표1[[#This Row],[명칭]])</f>
        <v>0</v>
      </c>
      <c r="N2409" s="65">
        <f>COUNTIF([1]VillageDiscoveryGroup!$C:$C,표1[[#This Row],[명칭]])</f>
        <v>0</v>
      </c>
      <c r="O2409" s="65">
        <f>SUM(표1[[#This Row],[해양탐색]:[마을탐험]])</f>
        <v>0</v>
      </c>
    </row>
    <row r="2410" spans="2:15" ht="13.5" customHeight="1" x14ac:dyDescent="0.3">
      <c r="B2410" s="9">
        <f>[1]Discovery!A2416</f>
        <v>70415009</v>
      </c>
      <c r="C2410" s="9" t="str">
        <f>[1]Discovery!B2416</f>
        <v>블랙 스모커</v>
      </c>
      <c r="D2410" s="9" t="str">
        <f>[1]Discovery!E2416</f>
        <v>자연</v>
      </c>
      <c r="E2410" s="9" t="str">
        <f>[1]Discovery!C2416</f>
        <v>기상 현상</v>
      </c>
      <c r="F2410" s="9" t="str">
        <f>[1]Discovery!G2416</f>
        <v>A</v>
      </c>
      <c r="G2410" s="9" t="str">
        <f>IFERROR(VLOOKUP(표1[[#This Row],[명칭]],'문화권 정리'!C:D,2,FALSE),"-")</f>
        <v>천문</v>
      </c>
      <c r="H2410" s="38" t="str">
        <f>IFERROR(COUNTIF([2]OceanDoodad!$Y:$Y,표1[[#This Row],[명칭]]),"-")</f>
        <v>-</v>
      </c>
      <c r="I2410" s="38">
        <f>IFERROR(COUNTIF([1]AdventureDiscoveryGroup!$D$8:$AW$92,표1[[#This Row],[명칭]]),"-")</f>
        <v>0</v>
      </c>
      <c r="J2410" s="38">
        <f>IFERROR(COUNTIF([1]FishDiscoveryGroup!$A:$X,표1[[#This Row],[명칭]]),"-")</f>
        <v>0</v>
      </c>
      <c r="K2410" s="38" t="str">
        <f>IFERROR(COUNTIF([2]Town!$B:$B,표1[[#This Row],[명칭]]),"-")</f>
        <v>-</v>
      </c>
      <c r="L2410" s="38">
        <f>IFERROR(COUNTIF([1]Village!$BR:$BR,표1[[#This Row],[명칭]]),"-")</f>
        <v>0</v>
      </c>
      <c r="M2410" s="38">
        <f>COUNTIF(퀘스트!B:B,표1[[#This Row],[명칭]])</f>
        <v>0</v>
      </c>
      <c r="N2410" s="65">
        <f>COUNTIF([1]VillageDiscoveryGroup!$C:$C,표1[[#This Row],[명칭]])</f>
        <v>0</v>
      </c>
      <c r="O2410" s="65">
        <f>SUM(표1[[#This Row],[해양탐색]:[마을탐험]])</f>
        <v>0</v>
      </c>
    </row>
    <row r="2411" spans="2:15" ht="13.5" customHeight="1" x14ac:dyDescent="0.3">
      <c r="B2411" s="9">
        <f>[1]Discovery!A2417</f>
        <v>70415010</v>
      </c>
      <c r="C2411" s="9" t="str">
        <f>[1]Discovery!B2417</f>
        <v>블러드문</v>
      </c>
      <c r="D2411" s="9" t="str">
        <f>[1]Discovery!E2417</f>
        <v>자연</v>
      </c>
      <c r="E2411" s="9" t="str">
        <f>[1]Discovery!C2417</f>
        <v>기상 현상</v>
      </c>
      <c r="F2411" s="9" t="str">
        <f>[1]Discovery!G2417</f>
        <v>S</v>
      </c>
      <c r="G2411" s="9" t="str">
        <f>IFERROR(VLOOKUP(표1[[#This Row],[명칭]],'문화권 정리'!C:D,2,FALSE),"-")</f>
        <v>천문</v>
      </c>
      <c r="H2411" s="38" t="str">
        <f>IFERROR(COUNTIF([2]OceanDoodad!$Y:$Y,표1[[#This Row],[명칭]]),"-")</f>
        <v>-</v>
      </c>
      <c r="I2411" s="38">
        <f>IFERROR(COUNTIF([1]AdventureDiscoveryGroup!$D$8:$AW$92,표1[[#This Row],[명칭]]),"-")</f>
        <v>0</v>
      </c>
      <c r="J2411" s="38">
        <f>IFERROR(COUNTIF([1]FishDiscoveryGroup!$A:$X,표1[[#This Row],[명칭]]),"-")</f>
        <v>0</v>
      </c>
      <c r="K2411" s="38" t="str">
        <f>IFERROR(COUNTIF([2]Town!$B:$B,표1[[#This Row],[명칭]]),"-")</f>
        <v>-</v>
      </c>
      <c r="L2411" s="38">
        <f>IFERROR(COUNTIF([1]Village!$BR:$BR,표1[[#This Row],[명칭]]),"-")</f>
        <v>0</v>
      </c>
      <c r="M2411" s="38">
        <f>COUNTIF(퀘스트!B:B,표1[[#This Row],[명칭]])</f>
        <v>0</v>
      </c>
      <c r="N2411" s="65">
        <f>COUNTIF([1]VillageDiscoveryGroup!$C:$C,표1[[#This Row],[명칭]])</f>
        <v>0</v>
      </c>
      <c r="O2411" s="65">
        <f>SUM(표1[[#This Row],[해양탐색]:[마을탐험]])</f>
        <v>0</v>
      </c>
    </row>
    <row r="2412" spans="2:15" ht="13.5" customHeight="1" x14ac:dyDescent="0.3">
      <c r="B2412" s="9">
        <f>[1]Discovery!A2418</f>
        <v>70415011</v>
      </c>
      <c r="C2412" s="9" t="str">
        <f>[1]Discovery!B2418</f>
        <v>세빙</v>
      </c>
      <c r="D2412" s="9" t="str">
        <f>[1]Discovery!E2418</f>
        <v>자연</v>
      </c>
      <c r="E2412" s="9" t="str">
        <f>[1]Discovery!C2418</f>
        <v>기상 현상</v>
      </c>
      <c r="F2412" s="9" t="str">
        <f>[1]Discovery!G2418</f>
        <v>B</v>
      </c>
      <c r="G2412" s="9" t="str">
        <f>IFERROR(VLOOKUP(표1[[#This Row],[명칭]],'문화권 정리'!C:D,2,FALSE),"-")</f>
        <v>천문</v>
      </c>
      <c r="H2412" s="38" t="str">
        <f>IFERROR(COUNTIF([2]OceanDoodad!$Y:$Y,표1[[#This Row],[명칭]]),"-")</f>
        <v>-</v>
      </c>
      <c r="I2412" s="38">
        <f>IFERROR(COUNTIF([1]AdventureDiscoveryGroup!$D$8:$AW$92,표1[[#This Row],[명칭]]),"-")</f>
        <v>0</v>
      </c>
      <c r="J2412" s="38">
        <f>IFERROR(COUNTIF([1]FishDiscoveryGroup!$A:$X,표1[[#This Row],[명칭]]),"-")</f>
        <v>0</v>
      </c>
      <c r="K2412" s="38" t="str">
        <f>IFERROR(COUNTIF([2]Town!$B:$B,표1[[#This Row],[명칭]]),"-")</f>
        <v>-</v>
      </c>
      <c r="L2412" s="38">
        <f>IFERROR(COUNTIF([1]Village!$BR:$BR,표1[[#This Row],[명칭]]),"-")</f>
        <v>0</v>
      </c>
      <c r="M2412" s="38">
        <f>COUNTIF(퀘스트!B:B,표1[[#This Row],[명칭]])</f>
        <v>0</v>
      </c>
      <c r="N2412" s="65">
        <f>COUNTIF([1]VillageDiscoveryGroup!$C:$C,표1[[#This Row],[명칭]])</f>
        <v>0</v>
      </c>
      <c r="O2412" s="65">
        <f>SUM(표1[[#This Row],[해양탐색]:[마을탐험]])</f>
        <v>0</v>
      </c>
    </row>
    <row r="2413" spans="2:15" ht="13.5" customHeight="1" x14ac:dyDescent="0.3">
      <c r="B2413" s="9">
        <f>[1]Discovery!A2419</f>
        <v>70415012</v>
      </c>
      <c r="C2413" s="9" t="str">
        <f>[1]Discovery!B2419</f>
        <v>소용돌이</v>
      </c>
      <c r="D2413" s="9" t="str">
        <f>[1]Discovery!E2419</f>
        <v>자연</v>
      </c>
      <c r="E2413" s="9" t="str">
        <f>[1]Discovery!C2419</f>
        <v>기상 현상</v>
      </c>
      <c r="F2413" s="9" t="str">
        <f>[1]Discovery!G2419</f>
        <v>A</v>
      </c>
      <c r="G2413" s="9" t="str">
        <f>IFERROR(VLOOKUP(표1[[#This Row],[명칭]],'문화권 정리'!C:D,2,FALSE),"-")</f>
        <v>천문</v>
      </c>
      <c r="H2413" s="38" t="str">
        <f>IFERROR(COUNTIF([2]OceanDoodad!$Y:$Y,표1[[#This Row],[명칭]]),"-")</f>
        <v>-</v>
      </c>
      <c r="I2413" s="38">
        <f>IFERROR(COUNTIF([1]AdventureDiscoveryGroup!$D$8:$AW$92,표1[[#This Row],[명칭]]),"-")</f>
        <v>0</v>
      </c>
      <c r="J2413" s="38">
        <f>IFERROR(COUNTIF([1]FishDiscoveryGroup!$A:$X,표1[[#This Row],[명칭]]),"-")</f>
        <v>0</v>
      </c>
      <c r="K2413" s="38" t="str">
        <f>IFERROR(COUNTIF([2]Town!$B:$B,표1[[#This Row],[명칭]]),"-")</f>
        <v>-</v>
      </c>
      <c r="L2413" s="38">
        <f>IFERROR(COUNTIF([1]Village!$BR:$BR,표1[[#This Row],[명칭]]),"-")</f>
        <v>0</v>
      </c>
      <c r="M2413" s="38">
        <f>COUNTIF(퀘스트!B:B,표1[[#This Row],[명칭]])</f>
        <v>0</v>
      </c>
      <c r="N2413" s="65">
        <f>COUNTIF([1]VillageDiscoveryGroup!$C:$C,표1[[#This Row],[명칭]])</f>
        <v>0</v>
      </c>
      <c r="O2413" s="65">
        <f>SUM(표1[[#This Row],[해양탐색]:[마을탐험]])</f>
        <v>0</v>
      </c>
    </row>
    <row r="2414" spans="2:15" ht="13.5" customHeight="1" x14ac:dyDescent="0.3">
      <c r="B2414" s="9">
        <f>[1]Discovery!A2420</f>
        <v>70415013</v>
      </c>
      <c r="C2414" s="9" t="str">
        <f>[1]Discovery!B2420</f>
        <v>슈퍼셀</v>
      </c>
      <c r="D2414" s="9" t="str">
        <f>[1]Discovery!E2420</f>
        <v>자연</v>
      </c>
      <c r="E2414" s="9" t="str">
        <f>[1]Discovery!C2420</f>
        <v>기상 현상</v>
      </c>
      <c r="F2414" s="9" t="str">
        <f>[1]Discovery!G2420</f>
        <v>S</v>
      </c>
      <c r="G2414" s="9" t="str">
        <f>IFERROR(VLOOKUP(표1[[#This Row],[명칭]],'문화권 정리'!C:D,2,FALSE),"-")</f>
        <v>천문</v>
      </c>
      <c r="H2414" s="38" t="str">
        <f>IFERROR(COUNTIF([2]OceanDoodad!$Y:$Y,표1[[#This Row],[명칭]]),"-")</f>
        <v>-</v>
      </c>
      <c r="I2414" s="38">
        <f>IFERROR(COUNTIF([1]AdventureDiscoveryGroup!$D$8:$AW$92,표1[[#This Row],[명칭]]),"-")</f>
        <v>0</v>
      </c>
      <c r="J2414" s="38">
        <f>IFERROR(COUNTIF([1]FishDiscoveryGroup!$A:$X,표1[[#This Row],[명칭]]),"-")</f>
        <v>0</v>
      </c>
      <c r="K2414" s="38" t="str">
        <f>IFERROR(COUNTIF([2]Town!$B:$B,표1[[#This Row],[명칭]]),"-")</f>
        <v>-</v>
      </c>
      <c r="L2414" s="38">
        <f>IFERROR(COUNTIF([1]Village!$BR:$BR,표1[[#This Row],[명칭]]),"-")</f>
        <v>0</v>
      </c>
      <c r="M2414" s="38">
        <f>COUNTIF(퀘스트!B:B,표1[[#This Row],[명칭]])</f>
        <v>0</v>
      </c>
      <c r="N2414" s="65">
        <f>COUNTIF([1]VillageDiscoveryGroup!$C:$C,표1[[#This Row],[명칭]])</f>
        <v>0</v>
      </c>
      <c r="O2414" s="65">
        <f>SUM(표1[[#This Row],[해양탐색]:[마을탐험]])</f>
        <v>0</v>
      </c>
    </row>
    <row r="2415" spans="2:15" ht="13.5" customHeight="1" x14ac:dyDescent="0.3">
      <c r="B2415" s="9">
        <f>[1]Discovery!A2421</f>
        <v>70415014</v>
      </c>
      <c r="C2415" s="9" t="str">
        <f>[1]Discovery!B2421</f>
        <v>스콜</v>
      </c>
      <c r="D2415" s="9" t="str">
        <f>[1]Discovery!E2421</f>
        <v>자연</v>
      </c>
      <c r="E2415" s="9" t="str">
        <f>[1]Discovery!C2421</f>
        <v>기상 현상</v>
      </c>
      <c r="F2415" s="9" t="str">
        <f>[1]Discovery!G2421</f>
        <v>C</v>
      </c>
      <c r="G2415" s="9" t="str">
        <f>IFERROR(VLOOKUP(표1[[#This Row],[명칭]],'문화권 정리'!C:D,2,FALSE),"-")</f>
        <v>천문</v>
      </c>
      <c r="H2415" s="38" t="str">
        <f>IFERROR(COUNTIF([2]OceanDoodad!$Y:$Y,표1[[#This Row],[명칭]]),"-")</f>
        <v>-</v>
      </c>
      <c r="I2415" s="38">
        <f>IFERROR(COUNTIF([1]AdventureDiscoveryGroup!$D$8:$AW$92,표1[[#This Row],[명칭]]),"-")</f>
        <v>0</v>
      </c>
      <c r="J2415" s="38">
        <f>IFERROR(COUNTIF([1]FishDiscoveryGroup!$A:$X,표1[[#This Row],[명칭]]),"-")</f>
        <v>0</v>
      </c>
      <c r="K2415" s="38" t="str">
        <f>IFERROR(COUNTIF([2]Town!$B:$B,표1[[#This Row],[명칭]]),"-")</f>
        <v>-</v>
      </c>
      <c r="L2415" s="38">
        <f>IFERROR(COUNTIF([1]Village!$BR:$BR,표1[[#This Row],[명칭]]),"-")</f>
        <v>0</v>
      </c>
      <c r="M2415" s="38">
        <f>COUNTIF(퀘스트!B:B,표1[[#This Row],[명칭]])</f>
        <v>0</v>
      </c>
      <c r="N2415" s="65">
        <f>COUNTIF([1]VillageDiscoveryGroup!$C:$C,표1[[#This Row],[명칭]])</f>
        <v>0</v>
      </c>
      <c r="O2415" s="65">
        <f>SUM(표1[[#This Row],[해양탐색]:[마을탐험]])</f>
        <v>0</v>
      </c>
    </row>
    <row r="2416" spans="2:15" ht="13.5" customHeight="1" x14ac:dyDescent="0.3">
      <c r="B2416" s="9">
        <f>[1]Discovery!A2422</f>
        <v>70415015</v>
      </c>
      <c r="C2416" s="9" t="str">
        <f>[1]Discovery!B2422</f>
        <v>야광운</v>
      </c>
      <c r="D2416" s="9" t="str">
        <f>[1]Discovery!E2422</f>
        <v>자연</v>
      </c>
      <c r="E2416" s="9" t="str">
        <f>[1]Discovery!C2422</f>
        <v>기상 현상</v>
      </c>
      <c r="F2416" s="9" t="str">
        <f>[1]Discovery!G2422</f>
        <v>B</v>
      </c>
      <c r="G2416" s="9" t="str">
        <f>IFERROR(VLOOKUP(표1[[#This Row],[명칭]],'문화권 정리'!C:D,2,FALSE),"-")</f>
        <v>천문</v>
      </c>
      <c r="H2416" s="38" t="str">
        <f>IFERROR(COUNTIF([2]OceanDoodad!$Y:$Y,표1[[#This Row],[명칭]]),"-")</f>
        <v>-</v>
      </c>
      <c r="I2416" s="38">
        <f>IFERROR(COUNTIF([1]AdventureDiscoveryGroup!$D$8:$AW$92,표1[[#This Row],[명칭]]),"-")</f>
        <v>0</v>
      </c>
      <c r="J2416" s="38">
        <f>IFERROR(COUNTIF([1]FishDiscoveryGroup!$A:$X,표1[[#This Row],[명칭]]),"-")</f>
        <v>0</v>
      </c>
      <c r="K2416" s="38" t="str">
        <f>IFERROR(COUNTIF([2]Town!$B:$B,표1[[#This Row],[명칭]]),"-")</f>
        <v>-</v>
      </c>
      <c r="L2416" s="38">
        <f>IFERROR(COUNTIF([1]Village!$BR:$BR,표1[[#This Row],[명칭]]),"-")</f>
        <v>0</v>
      </c>
      <c r="M2416" s="38">
        <f>COUNTIF(퀘스트!B:B,표1[[#This Row],[명칭]])</f>
        <v>0</v>
      </c>
      <c r="N2416" s="65">
        <f>COUNTIF([1]VillageDiscoveryGroup!$C:$C,표1[[#This Row],[명칭]])</f>
        <v>0</v>
      </c>
      <c r="O2416" s="65">
        <f>SUM(표1[[#This Row],[해양탐색]:[마을탐험]])</f>
        <v>0</v>
      </c>
    </row>
    <row r="2417" spans="2:15" ht="13.5" customHeight="1" x14ac:dyDescent="0.3">
      <c r="B2417" s="9">
        <f>[1]Discovery!A2423</f>
        <v>70415016</v>
      </c>
      <c r="C2417" s="9" t="str">
        <f>[1]Discovery!B2423</f>
        <v>양형 번개</v>
      </c>
      <c r="D2417" s="9" t="str">
        <f>[1]Discovery!E2423</f>
        <v>자연</v>
      </c>
      <c r="E2417" s="9" t="str">
        <f>[1]Discovery!C2423</f>
        <v>기상 현상</v>
      </c>
      <c r="F2417" s="9" t="str">
        <f>[1]Discovery!G2423</f>
        <v>B</v>
      </c>
      <c r="G2417" s="9" t="str">
        <f>IFERROR(VLOOKUP(표1[[#This Row],[명칭]],'문화권 정리'!C:D,2,FALSE),"-")</f>
        <v>천문</v>
      </c>
      <c r="H2417" s="38" t="str">
        <f>IFERROR(COUNTIF([2]OceanDoodad!$Y:$Y,표1[[#This Row],[명칭]]),"-")</f>
        <v>-</v>
      </c>
      <c r="I2417" s="38">
        <f>IFERROR(COUNTIF([1]AdventureDiscoveryGroup!$D$8:$AW$92,표1[[#This Row],[명칭]]),"-")</f>
        <v>0</v>
      </c>
      <c r="J2417" s="38">
        <f>IFERROR(COUNTIF([1]FishDiscoveryGroup!$A:$X,표1[[#This Row],[명칭]]),"-")</f>
        <v>0</v>
      </c>
      <c r="K2417" s="38" t="str">
        <f>IFERROR(COUNTIF([2]Town!$B:$B,표1[[#This Row],[명칭]]),"-")</f>
        <v>-</v>
      </c>
      <c r="L2417" s="38">
        <f>IFERROR(COUNTIF([1]Village!$BR:$BR,표1[[#This Row],[명칭]]),"-")</f>
        <v>0</v>
      </c>
      <c r="M2417" s="38">
        <f>COUNTIF(퀘스트!B:B,표1[[#This Row],[명칭]])</f>
        <v>0</v>
      </c>
      <c r="N2417" s="65">
        <f>COUNTIF([1]VillageDiscoveryGroup!$C:$C,표1[[#This Row],[명칭]])</f>
        <v>0</v>
      </c>
      <c r="O2417" s="65">
        <f>SUM(표1[[#This Row],[해양탐색]:[마을탐험]])</f>
        <v>0</v>
      </c>
    </row>
    <row r="2418" spans="2:15" ht="13.5" customHeight="1" x14ac:dyDescent="0.3">
      <c r="B2418" s="9">
        <f>[1]Discovery!A2424</f>
        <v>70415017</v>
      </c>
      <c r="C2418" s="9" t="str">
        <f>[1]Discovery!B2424</f>
        <v>얼음 파도</v>
      </c>
      <c r="D2418" s="9" t="str">
        <f>[1]Discovery!E2424</f>
        <v>자연</v>
      </c>
      <c r="E2418" s="9" t="str">
        <f>[1]Discovery!C2424</f>
        <v>기상 현상</v>
      </c>
      <c r="F2418" s="9" t="str">
        <f>[1]Discovery!G2424</f>
        <v>A</v>
      </c>
      <c r="G2418" s="9" t="str">
        <f>IFERROR(VLOOKUP(표1[[#This Row],[명칭]],'문화권 정리'!C:D,2,FALSE),"-")</f>
        <v>천문</v>
      </c>
      <c r="H2418" s="38" t="str">
        <f>IFERROR(COUNTIF([2]OceanDoodad!$Y:$Y,표1[[#This Row],[명칭]]),"-")</f>
        <v>-</v>
      </c>
      <c r="I2418" s="38">
        <f>IFERROR(COUNTIF([1]AdventureDiscoveryGroup!$D$8:$AW$92,표1[[#This Row],[명칭]]),"-")</f>
        <v>0</v>
      </c>
      <c r="J2418" s="38">
        <f>IFERROR(COUNTIF([1]FishDiscoveryGroup!$A:$X,표1[[#This Row],[명칭]]),"-")</f>
        <v>0</v>
      </c>
      <c r="K2418" s="38" t="str">
        <f>IFERROR(COUNTIF([2]Town!$B:$B,표1[[#This Row],[명칭]]),"-")</f>
        <v>-</v>
      </c>
      <c r="L2418" s="38">
        <f>IFERROR(COUNTIF([1]Village!$BR:$BR,표1[[#This Row],[명칭]]),"-")</f>
        <v>0</v>
      </c>
      <c r="M2418" s="38">
        <f>COUNTIF(퀘스트!B:B,표1[[#This Row],[명칭]])</f>
        <v>0</v>
      </c>
      <c r="N2418" s="65">
        <f>COUNTIF([1]VillageDiscoveryGroup!$C:$C,표1[[#This Row],[명칭]])</f>
        <v>0</v>
      </c>
      <c r="O2418" s="65">
        <f>SUM(표1[[#This Row],[해양탐색]:[마을탐험]])</f>
        <v>0</v>
      </c>
    </row>
    <row r="2419" spans="2:15" ht="13.5" customHeight="1" x14ac:dyDescent="0.3">
      <c r="B2419" s="9">
        <f>[1]Discovery!A2425</f>
        <v>70415018</v>
      </c>
      <c r="C2419" s="9" t="str">
        <f>[1]Discovery!B2425</f>
        <v>오로라</v>
      </c>
      <c r="D2419" s="9" t="str">
        <f>[1]Discovery!E2425</f>
        <v>자연</v>
      </c>
      <c r="E2419" s="9" t="str">
        <f>[1]Discovery!C2425</f>
        <v>기상 현상</v>
      </c>
      <c r="F2419" s="9" t="str">
        <f>[1]Discovery!G2425</f>
        <v>S</v>
      </c>
      <c r="G2419" s="9" t="str">
        <f>IFERROR(VLOOKUP(표1[[#This Row],[명칭]],'문화권 정리'!C:D,2,FALSE),"-")</f>
        <v>천문</v>
      </c>
      <c r="H2419" s="38" t="str">
        <f>IFERROR(COUNTIF([2]OceanDoodad!$Y:$Y,표1[[#This Row],[명칭]]),"-")</f>
        <v>-</v>
      </c>
      <c r="I2419" s="38">
        <f>IFERROR(COUNTIF([1]AdventureDiscoveryGroup!$D$8:$AW$92,표1[[#This Row],[명칭]]),"-")</f>
        <v>0</v>
      </c>
      <c r="J2419" s="38">
        <f>IFERROR(COUNTIF([1]FishDiscoveryGroup!$A:$X,표1[[#This Row],[명칭]]),"-")</f>
        <v>0</v>
      </c>
      <c r="K2419" s="38" t="str">
        <f>IFERROR(COUNTIF([2]Town!$B:$B,표1[[#This Row],[명칭]]),"-")</f>
        <v>-</v>
      </c>
      <c r="L2419" s="38">
        <f>IFERROR(COUNTIF([1]Village!$BR:$BR,표1[[#This Row],[명칭]]),"-")</f>
        <v>0</v>
      </c>
      <c r="M2419" s="38">
        <f>COUNTIF(퀘스트!B:B,표1[[#This Row],[명칭]])</f>
        <v>1</v>
      </c>
      <c r="N2419" s="65">
        <f>COUNTIF([1]VillageDiscoveryGroup!$C:$C,표1[[#This Row],[명칭]])</f>
        <v>0</v>
      </c>
      <c r="O2419" s="65">
        <f>SUM(표1[[#This Row],[해양탐색]:[마을탐험]])</f>
        <v>1</v>
      </c>
    </row>
    <row r="2420" spans="2:15" ht="13.5" customHeight="1" x14ac:dyDescent="0.3">
      <c r="B2420" s="9">
        <f>[1]Discovery!A2426</f>
        <v>70415019</v>
      </c>
      <c r="C2420" s="9" t="str">
        <f>[1]Discovery!B2426</f>
        <v>우박</v>
      </c>
      <c r="D2420" s="9" t="str">
        <f>[1]Discovery!E2426</f>
        <v>자연</v>
      </c>
      <c r="E2420" s="9" t="str">
        <f>[1]Discovery!C2426</f>
        <v>기상 현상</v>
      </c>
      <c r="F2420" s="9" t="str">
        <f>[1]Discovery!G2426</f>
        <v>A</v>
      </c>
      <c r="G2420" s="9" t="str">
        <f>IFERROR(VLOOKUP(표1[[#This Row],[명칭]],'문화권 정리'!C:D,2,FALSE),"-")</f>
        <v>천문</v>
      </c>
      <c r="H2420" s="38" t="str">
        <f>IFERROR(COUNTIF([2]OceanDoodad!$Y:$Y,표1[[#This Row],[명칭]]),"-")</f>
        <v>-</v>
      </c>
      <c r="I2420" s="38">
        <f>IFERROR(COUNTIF([1]AdventureDiscoveryGroup!$D$8:$AW$92,표1[[#This Row],[명칭]]),"-")</f>
        <v>0</v>
      </c>
      <c r="J2420" s="38">
        <f>IFERROR(COUNTIF([1]FishDiscoveryGroup!$A:$X,표1[[#This Row],[명칭]]),"-")</f>
        <v>0</v>
      </c>
      <c r="K2420" s="38" t="str">
        <f>IFERROR(COUNTIF([2]Town!$B:$B,표1[[#This Row],[명칭]]),"-")</f>
        <v>-</v>
      </c>
      <c r="L2420" s="38">
        <f>IFERROR(COUNTIF([1]Village!$BR:$BR,표1[[#This Row],[명칭]]),"-")</f>
        <v>0</v>
      </c>
      <c r="M2420" s="38">
        <f>COUNTIF(퀘스트!B:B,표1[[#This Row],[명칭]])</f>
        <v>0</v>
      </c>
      <c r="N2420" s="65">
        <f>COUNTIF([1]VillageDiscoveryGroup!$C:$C,표1[[#This Row],[명칭]])</f>
        <v>0</v>
      </c>
      <c r="O2420" s="65">
        <f>SUM(표1[[#This Row],[해양탐색]:[마을탐험]])</f>
        <v>0</v>
      </c>
    </row>
    <row r="2421" spans="2:15" ht="13.5" customHeight="1" x14ac:dyDescent="0.3">
      <c r="B2421" s="9">
        <f>[1]Discovery!A2427</f>
        <v>70415020</v>
      </c>
      <c r="C2421" s="9" t="str">
        <f>[1]Discovery!B2427</f>
        <v>월식</v>
      </c>
      <c r="D2421" s="9" t="str">
        <f>[1]Discovery!E2427</f>
        <v>자연</v>
      </c>
      <c r="E2421" s="9" t="str">
        <f>[1]Discovery!C2427</f>
        <v>기상 현상</v>
      </c>
      <c r="F2421" s="9" t="str">
        <f>[1]Discovery!G2427</f>
        <v>S</v>
      </c>
      <c r="G2421" s="9" t="str">
        <f>IFERROR(VLOOKUP(표1[[#This Row],[명칭]],'문화권 정리'!C:D,2,FALSE),"-")</f>
        <v>천문</v>
      </c>
      <c r="H2421" s="38" t="str">
        <f>IFERROR(COUNTIF([2]OceanDoodad!$Y:$Y,표1[[#This Row],[명칭]]),"-")</f>
        <v>-</v>
      </c>
      <c r="I2421" s="38">
        <f>IFERROR(COUNTIF([1]AdventureDiscoveryGroup!$D$8:$AW$92,표1[[#This Row],[명칭]]),"-")</f>
        <v>0</v>
      </c>
      <c r="J2421" s="38">
        <f>IFERROR(COUNTIF([1]FishDiscoveryGroup!$A:$X,표1[[#This Row],[명칭]]),"-")</f>
        <v>0</v>
      </c>
      <c r="K2421" s="38" t="str">
        <f>IFERROR(COUNTIF([2]Town!$B:$B,표1[[#This Row],[명칭]]),"-")</f>
        <v>-</v>
      </c>
      <c r="L2421" s="38">
        <f>IFERROR(COUNTIF([1]Village!$BR:$BR,표1[[#This Row],[명칭]]),"-")</f>
        <v>0</v>
      </c>
      <c r="M2421" s="38">
        <f>COUNTIF(퀘스트!B:B,표1[[#This Row],[명칭]])</f>
        <v>0</v>
      </c>
      <c r="N2421" s="65">
        <f>COUNTIF([1]VillageDiscoveryGroup!$C:$C,표1[[#This Row],[명칭]])</f>
        <v>0</v>
      </c>
      <c r="O2421" s="65">
        <f>SUM(표1[[#This Row],[해양탐색]:[마을탐험]])</f>
        <v>0</v>
      </c>
    </row>
    <row r="2422" spans="2:15" ht="13.5" customHeight="1" x14ac:dyDescent="0.3">
      <c r="B2422" s="9">
        <f>[1]Discovery!A2428</f>
        <v>70415021</v>
      </c>
      <c r="C2422" s="9" t="str">
        <f>[1]Discovery!B2428</f>
        <v>유성우</v>
      </c>
      <c r="D2422" s="9" t="str">
        <f>[1]Discovery!E2428</f>
        <v>자연</v>
      </c>
      <c r="E2422" s="9" t="str">
        <f>[1]Discovery!C2428</f>
        <v>기상 현상</v>
      </c>
      <c r="F2422" s="9" t="str">
        <f>[1]Discovery!G2428</f>
        <v>A</v>
      </c>
      <c r="G2422" s="9" t="str">
        <f>IFERROR(VLOOKUP(표1[[#This Row],[명칭]],'문화권 정리'!C:D,2,FALSE),"-")</f>
        <v>천문</v>
      </c>
      <c r="H2422" s="38" t="str">
        <f>IFERROR(COUNTIF([2]OceanDoodad!$Y:$Y,표1[[#This Row],[명칭]]),"-")</f>
        <v>-</v>
      </c>
      <c r="I2422" s="38">
        <f>IFERROR(COUNTIF([1]AdventureDiscoveryGroup!$D$8:$AW$92,표1[[#This Row],[명칭]]),"-")</f>
        <v>0</v>
      </c>
      <c r="J2422" s="38">
        <f>IFERROR(COUNTIF([1]FishDiscoveryGroup!$A:$X,표1[[#This Row],[명칭]]),"-")</f>
        <v>0</v>
      </c>
      <c r="K2422" s="38" t="str">
        <f>IFERROR(COUNTIF([2]Town!$B:$B,표1[[#This Row],[명칭]]),"-")</f>
        <v>-</v>
      </c>
      <c r="L2422" s="38">
        <f>IFERROR(COUNTIF([1]Village!$BR:$BR,표1[[#This Row],[명칭]]),"-")</f>
        <v>0</v>
      </c>
      <c r="M2422" s="38">
        <f>COUNTIF(퀘스트!B:B,표1[[#This Row],[명칭]])</f>
        <v>0</v>
      </c>
      <c r="N2422" s="65">
        <f>COUNTIF([1]VillageDiscoveryGroup!$C:$C,표1[[#This Row],[명칭]])</f>
        <v>0</v>
      </c>
      <c r="O2422" s="65">
        <f>SUM(표1[[#This Row],[해양탐색]:[마을탐험]])</f>
        <v>0</v>
      </c>
    </row>
    <row r="2423" spans="2:15" ht="13.5" customHeight="1" x14ac:dyDescent="0.3">
      <c r="B2423" s="9">
        <f>[1]Discovery!A2429</f>
        <v>70415022</v>
      </c>
      <c r="C2423" s="9" t="str">
        <f>[1]Discovery!B2429</f>
        <v>일식</v>
      </c>
      <c r="D2423" s="9" t="str">
        <f>[1]Discovery!E2429</f>
        <v>자연</v>
      </c>
      <c r="E2423" s="9" t="str">
        <f>[1]Discovery!C2429</f>
        <v>기상 현상</v>
      </c>
      <c r="F2423" s="9" t="str">
        <f>[1]Discovery!G2429</f>
        <v>S</v>
      </c>
      <c r="G2423" s="9" t="str">
        <f>IFERROR(VLOOKUP(표1[[#This Row],[명칭]],'문화권 정리'!C:D,2,FALSE),"-")</f>
        <v>천문</v>
      </c>
      <c r="H2423" s="38" t="str">
        <f>IFERROR(COUNTIF([2]OceanDoodad!$Y:$Y,표1[[#This Row],[명칭]]),"-")</f>
        <v>-</v>
      </c>
      <c r="I2423" s="38">
        <f>IFERROR(COUNTIF([1]AdventureDiscoveryGroup!$D$8:$AW$92,표1[[#This Row],[명칭]]),"-")</f>
        <v>0</v>
      </c>
      <c r="J2423" s="38">
        <f>IFERROR(COUNTIF([1]FishDiscoveryGroup!$A:$X,표1[[#This Row],[명칭]]),"-")</f>
        <v>0</v>
      </c>
      <c r="K2423" s="38" t="str">
        <f>IFERROR(COUNTIF([2]Town!$B:$B,표1[[#This Row],[명칭]]),"-")</f>
        <v>-</v>
      </c>
      <c r="L2423" s="38">
        <f>IFERROR(COUNTIF([1]Village!$BR:$BR,표1[[#This Row],[명칭]]),"-")</f>
        <v>0</v>
      </c>
      <c r="M2423" s="38">
        <f>COUNTIF(퀘스트!B:B,표1[[#This Row],[명칭]])</f>
        <v>0</v>
      </c>
      <c r="N2423" s="65">
        <f>COUNTIF([1]VillageDiscoveryGroup!$C:$C,표1[[#This Row],[명칭]])</f>
        <v>0</v>
      </c>
      <c r="O2423" s="65">
        <f>SUM(표1[[#This Row],[해양탐색]:[마을탐험]])</f>
        <v>0</v>
      </c>
    </row>
    <row r="2424" spans="2:15" ht="13.5" customHeight="1" x14ac:dyDescent="0.3">
      <c r="B2424" s="9">
        <f>[1]Discovery!A2430</f>
        <v>70415023</v>
      </c>
      <c r="C2424" s="9" t="str">
        <f>[1]Discovery!B2430</f>
        <v>자개구름</v>
      </c>
      <c r="D2424" s="9" t="str">
        <f>[1]Discovery!E2430</f>
        <v>자연</v>
      </c>
      <c r="E2424" s="9" t="str">
        <f>[1]Discovery!C2430</f>
        <v>기상 현상</v>
      </c>
      <c r="F2424" s="9" t="str">
        <f>[1]Discovery!G2430</f>
        <v>A</v>
      </c>
      <c r="G2424" s="9" t="str">
        <f>IFERROR(VLOOKUP(표1[[#This Row],[명칭]],'문화권 정리'!C:D,2,FALSE),"-")</f>
        <v>천문</v>
      </c>
      <c r="H2424" s="38" t="str">
        <f>IFERROR(COUNTIF([2]OceanDoodad!$Y:$Y,표1[[#This Row],[명칭]]),"-")</f>
        <v>-</v>
      </c>
      <c r="I2424" s="38">
        <f>IFERROR(COUNTIF([1]AdventureDiscoveryGroup!$D$8:$AW$92,표1[[#This Row],[명칭]]),"-")</f>
        <v>0</v>
      </c>
      <c r="J2424" s="38">
        <f>IFERROR(COUNTIF([1]FishDiscoveryGroup!$A:$X,표1[[#This Row],[명칭]]),"-")</f>
        <v>0</v>
      </c>
      <c r="K2424" s="38" t="str">
        <f>IFERROR(COUNTIF([2]Town!$B:$B,표1[[#This Row],[명칭]]),"-")</f>
        <v>-</v>
      </c>
      <c r="L2424" s="38">
        <f>IFERROR(COUNTIF([1]Village!$BR:$BR,표1[[#This Row],[명칭]]),"-")</f>
        <v>0</v>
      </c>
      <c r="M2424" s="38">
        <f>COUNTIF(퀘스트!B:B,표1[[#This Row],[명칭]])</f>
        <v>0</v>
      </c>
      <c r="N2424" s="65">
        <f>COUNTIF([1]VillageDiscoveryGroup!$C:$C,표1[[#This Row],[명칭]])</f>
        <v>0</v>
      </c>
      <c r="O2424" s="65">
        <f>SUM(표1[[#This Row],[해양탐색]:[마을탐험]])</f>
        <v>0</v>
      </c>
    </row>
    <row r="2425" spans="2:15" ht="13.5" customHeight="1" x14ac:dyDescent="0.3">
      <c r="B2425" s="9">
        <f>[1]Discovery!A2431</f>
        <v>70415024</v>
      </c>
      <c r="C2425" s="9" t="str">
        <f>[1]Discovery!B2431</f>
        <v>짙은 안개</v>
      </c>
      <c r="D2425" s="9" t="str">
        <f>[1]Discovery!E2431</f>
        <v>자연</v>
      </c>
      <c r="E2425" s="9" t="str">
        <f>[1]Discovery!C2431</f>
        <v>기상 현상</v>
      </c>
      <c r="F2425" s="9" t="str">
        <f>[1]Discovery!G2431</f>
        <v>D</v>
      </c>
      <c r="G2425" s="9" t="str">
        <f>IFERROR(VLOOKUP(표1[[#This Row],[명칭]],'문화권 정리'!C:D,2,FALSE),"-")</f>
        <v>천문</v>
      </c>
      <c r="H2425" s="38" t="str">
        <f>IFERROR(COUNTIF([2]OceanDoodad!$Y:$Y,표1[[#This Row],[명칭]]),"-")</f>
        <v>-</v>
      </c>
      <c r="I2425" s="38">
        <f>IFERROR(COUNTIF([1]AdventureDiscoveryGroup!$D$8:$AW$92,표1[[#This Row],[명칭]]),"-")</f>
        <v>0</v>
      </c>
      <c r="J2425" s="38">
        <f>IFERROR(COUNTIF([1]FishDiscoveryGroup!$A:$X,표1[[#This Row],[명칭]]),"-")</f>
        <v>0</v>
      </c>
      <c r="K2425" s="38" t="str">
        <f>IFERROR(COUNTIF([2]Town!$B:$B,표1[[#This Row],[명칭]]),"-")</f>
        <v>-</v>
      </c>
      <c r="L2425" s="38">
        <f>IFERROR(COUNTIF([1]Village!$BR:$BR,표1[[#This Row],[명칭]]),"-")</f>
        <v>0</v>
      </c>
      <c r="M2425" s="38">
        <f>COUNTIF(퀘스트!B:B,표1[[#This Row],[명칭]])</f>
        <v>0</v>
      </c>
      <c r="N2425" s="65">
        <f>COUNTIF([1]VillageDiscoveryGroup!$C:$C,표1[[#This Row],[명칭]])</f>
        <v>0</v>
      </c>
      <c r="O2425" s="65">
        <f>SUM(표1[[#This Row],[해양탐색]:[마을탐험]])</f>
        <v>0</v>
      </c>
    </row>
    <row r="2426" spans="2:15" ht="13.5" customHeight="1" x14ac:dyDescent="0.3">
      <c r="B2426" s="9">
        <f>[1]Discovery!A2432</f>
        <v>70415025</v>
      </c>
      <c r="C2426" s="9" t="str">
        <f>[1]Discovery!B2432</f>
        <v>채운</v>
      </c>
      <c r="D2426" s="9" t="str">
        <f>[1]Discovery!E2432</f>
        <v>자연</v>
      </c>
      <c r="E2426" s="9" t="str">
        <f>[1]Discovery!C2432</f>
        <v>기상 현상</v>
      </c>
      <c r="F2426" s="9" t="str">
        <f>[1]Discovery!G2432</f>
        <v>C</v>
      </c>
      <c r="G2426" s="9" t="str">
        <f>IFERROR(VLOOKUP(표1[[#This Row],[명칭]],'문화권 정리'!C:D,2,FALSE),"-")</f>
        <v>천문</v>
      </c>
      <c r="H2426" s="38" t="str">
        <f>IFERROR(COUNTIF([2]OceanDoodad!$Y:$Y,표1[[#This Row],[명칭]]),"-")</f>
        <v>-</v>
      </c>
      <c r="I2426" s="38">
        <f>IFERROR(COUNTIF([1]AdventureDiscoveryGroup!$D$8:$AW$92,표1[[#This Row],[명칭]]),"-")</f>
        <v>0</v>
      </c>
      <c r="J2426" s="38">
        <f>IFERROR(COUNTIF([1]FishDiscoveryGroup!$A:$X,표1[[#This Row],[명칭]]),"-")</f>
        <v>0</v>
      </c>
      <c r="K2426" s="38" t="str">
        <f>IFERROR(COUNTIF([2]Town!$B:$B,표1[[#This Row],[명칭]]),"-")</f>
        <v>-</v>
      </c>
      <c r="L2426" s="38">
        <f>IFERROR(COUNTIF([1]Village!$BR:$BR,표1[[#This Row],[명칭]]),"-")</f>
        <v>0</v>
      </c>
      <c r="M2426" s="38">
        <f>COUNTIF(퀘스트!B:B,표1[[#This Row],[명칭]])</f>
        <v>0</v>
      </c>
      <c r="N2426" s="65">
        <f>COUNTIF([1]VillageDiscoveryGroup!$C:$C,표1[[#This Row],[명칭]])</f>
        <v>0</v>
      </c>
      <c r="O2426" s="65">
        <f>SUM(표1[[#This Row],[해양탐색]:[마을탐험]])</f>
        <v>0</v>
      </c>
    </row>
    <row r="2427" spans="2:15" ht="13.5" customHeight="1" x14ac:dyDescent="0.3">
      <c r="B2427" s="9">
        <f>[1]Discovery!A2433</f>
        <v>70415026</v>
      </c>
      <c r="C2427" s="9" t="str">
        <f>[1]Discovery!B2433</f>
        <v>카타툼보 번개</v>
      </c>
      <c r="D2427" s="9" t="str">
        <f>[1]Discovery!E2433</f>
        <v>자연</v>
      </c>
      <c r="E2427" s="9" t="str">
        <f>[1]Discovery!C2433</f>
        <v>기상 현상</v>
      </c>
      <c r="F2427" s="9" t="str">
        <f>[1]Discovery!G2433</f>
        <v>S</v>
      </c>
      <c r="G2427" s="9" t="str">
        <f>IFERROR(VLOOKUP(표1[[#This Row],[명칭]],'문화권 정리'!C:D,2,FALSE),"-")</f>
        <v>천문</v>
      </c>
      <c r="H2427" s="38" t="str">
        <f>IFERROR(COUNTIF([2]OceanDoodad!$Y:$Y,표1[[#This Row],[명칭]]),"-")</f>
        <v>-</v>
      </c>
      <c r="I2427" s="38">
        <f>IFERROR(COUNTIF([1]AdventureDiscoveryGroup!$D$8:$AW$92,표1[[#This Row],[명칭]]),"-")</f>
        <v>0</v>
      </c>
      <c r="J2427" s="38">
        <f>IFERROR(COUNTIF([1]FishDiscoveryGroup!$A:$X,표1[[#This Row],[명칭]]),"-")</f>
        <v>0</v>
      </c>
      <c r="K2427" s="38" t="str">
        <f>IFERROR(COUNTIF([2]Town!$B:$B,표1[[#This Row],[명칭]]),"-")</f>
        <v>-</v>
      </c>
      <c r="L2427" s="38">
        <f>IFERROR(COUNTIF([1]Village!$BR:$BR,표1[[#This Row],[명칭]]),"-")</f>
        <v>0</v>
      </c>
      <c r="M2427" s="38">
        <f>COUNTIF(퀘스트!B:B,표1[[#This Row],[명칭]])</f>
        <v>0</v>
      </c>
      <c r="N2427" s="65">
        <f>COUNTIF([1]VillageDiscoveryGroup!$C:$C,표1[[#This Row],[명칭]])</f>
        <v>0</v>
      </c>
      <c r="O2427" s="65">
        <f>SUM(표1[[#This Row],[해양탐색]:[마을탐험]])</f>
        <v>0</v>
      </c>
    </row>
    <row r="2428" spans="2:15" ht="13.5" customHeight="1" x14ac:dyDescent="0.3">
      <c r="B2428" s="9">
        <f>[1]Discovery!A2434</f>
        <v>70415027</v>
      </c>
      <c r="C2428" s="9" t="str">
        <f>[1]Discovery!B2434</f>
        <v>카푸치노 코스트</v>
      </c>
      <c r="D2428" s="9" t="str">
        <f>[1]Discovery!E2434</f>
        <v>자연</v>
      </c>
      <c r="E2428" s="9" t="str">
        <f>[1]Discovery!C2434</f>
        <v>기상 현상</v>
      </c>
      <c r="F2428" s="9" t="str">
        <f>[1]Discovery!G2434</f>
        <v>A</v>
      </c>
      <c r="G2428" s="9" t="str">
        <f>IFERROR(VLOOKUP(표1[[#This Row],[명칭]],'문화권 정리'!C:D,2,FALSE),"-")</f>
        <v>천문</v>
      </c>
      <c r="H2428" s="38" t="str">
        <f>IFERROR(COUNTIF([2]OceanDoodad!$Y:$Y,표1[[#This Row],[명칭]]),"-")</f>
        <v>-</v>
      </c>
      <c r="I2428" s="38">
        <f>IFERROR(COUNTIF([1]AdventureDiscoveryGroup!$D$8:$AW$92,표1[[#This Row],[명칭]]),"-")</f>
        <v>0</v>
      </c>
      <c r="J2428" s="38">
        <f>IFERROR(COUNTIF([1]FishDiscoveryGroup!$A:$X,표1[[#This Row],[명칭]]),"-")</f>
        <v>0</v>
      </c>
      <c r="K2428" s="38" t="str">
        <f>IFERROR(COUNTIF([2]Town!$B:$B,표1[[#This Row],[명칭]]),"-")</f>
        <v>-</v>
      </c>
      <c r="L2428" s="38">
        <f>IFERROR(COUNTIF([1]Village!$BR:$BR,표1[[#This Row],[명칭]]),"-")</f>
        <v>0</v>
      </c>
      <c r="M2428" s="38">
        <f>COUNTIF(퀘스트!B:B,표1[[#This Row],[명칭]])</f>
        <v>0</v>
      </c>
      <c r="N2428" s="65">
        <f>COUNTIF([1]VillageDiscoveryGroup!$C:$C,표1[[#This Row],[명칭]])</f>
        <v>0</v>
      </c>
      <c r="O2428" s="65">
        <f>SUM(표1[[#This Row],[해양탐색]:[마을탐험]])</f>
        <v>0</v>
      </c>
    </row>
    <row r="2429" spans="2:15" ht="13.5" customHeight="1" x14ac:dyDescent="0.3">
      <c r="B2429" s="9">
        <f>[1]Discovery!A2435</f>
        <v>70415028</v>
      </c>
      <c r="C2429" s="9" t="str">
        <f>[1]Discovery!B2435</f>
        <v>토네이도</v>
      </c>
      <c r="D2429" s="9" t="str">
        <f>[1]Discovery!E2435</f>
        <v>자연</v>
      </c>
      <c r="E2429" s="9" t="str">
        <f>[1]Discovery!C2435</f>
        <v>기상 현상</v>
      </c>
      <c r="F2429" s="9" t="str">
        <f>[1]Discovery!G2435</f>
        <v>B</v>
      </c>
      <c r="G2429" s="9" t="str">
        <f>IFERROR(VLOOKUP(표1[[#This Row],[명칭]],'문화권 정리'!C:D,2,FALSE),"-")</f>
        <v>천문</v>
      </c>
      <c r="H2429" s="38" t="str">
        <f>IFERROR(COUNTIF([2]OceanDoodad!$Y:$Y,표1[[#This Row],[명칭]]),"-")</f>
        <v>-</v>
      </c>
      <c r="I2429" s="38">
        <f>IFERROR(COUNTIF([1]AdventureDiscoveryGroup!$D$8:$AW$92,표1[[#This Row],[명칭]]),"-")</f>
        <v>0</v>
      </c>
      <c r="J2429" s="38">
        <f>IFERROR(COUNTIF([1]FishDiscoveryGroup!$A:$X,표1[[#This Row],[명칭]]),"-")</f>
        <v>0</v>
      </c>
      <c r="K2429" s="38" t="str">
        <f>IFERROR(COUNTIF([2]Town!$B:$B,표1[[#This Row],[명칭]]),"-")</f>
        <v>-</v>
      </c>
      <c r="L2429" s="38">
        <f>IFERROR(COUNTIF([1]Village!$BR:$BR,표1[[#This Row],[명칭]]),"-")</f>
        <v>0</v>
      </c>
      <c r="M2429" s="38">
        <f>COUNTIF(퀘스트!B:B,표1[[#This Row],[명칭]])</f>
        <v>0</v>
      </c>
      <c r="N2429" s="65">
        <f>COUNTIF([1]VillageDiscoveryGroup!$C:$C,표1[[#This Row],[명칭]])</f>
        <v>0</v>
      </c>
      <c r="O2429" s="65">
        <f>SUM(표1[[#This Row],[해양탐색]:[마을탐험]])</f>
        <v>0</v>
      </c>
    </row>
    <row r="2430" spans="2:15" ht="13.5" customHeight="1" x14ac:dyDescent="0.3">
      <c r="B2430" s="9">
        <f>[1]Discovery!A2436</f>
        <v>70415029</v>
      </c>
      <c r="C2430" s="9" t="str">
        <f>[1]Discovery!B2436</f>
        <v>페니텐트</v>
      </c>
      <c r="D2430" s="9" t="str">
        <f>[1]Discovery!E2436</f>
        <v>자연</v>
      </c>
      <c r="E2430" s="9" t="str">
        <f>[1]Discovery!C2436</f>
        <v>기상 현상</v>
      </c>
      <c r="F2430" s="9" t="str">
        <f>[1]Discovery!G2436</f>
        <v>B</v>
      </c>
      <c r="G2430" s="9" t="str">
        <f>IFERROR(VLOOKUP(표1[[#This Row],[명칭]],'문화권 정리'!C:D,2,FALSE),"-")</f>
        <v>천문</v>
      </c>
      <c r="H2430" s="38" t="str">
        <f>IFERROR(COUNTIF([2]OceanDoodad!$Y:$Y,표1[[#This Row],[명칭]]),"-")</f>
        <v>-</v>
      </c>
      <c r="I2430" s="38">
        <f>IFERROR(COUNTIF([1]AdventureDiscoveryGroup!$D$8:$AW$92,표1[[#This Row],[명칭]]),"-")</f>
        <v>0</v>
      </c>
      <c r="J2430" s="38">
        <f>IFERROR(COUNTIF([1]FishDiscoveryGroup!$A:$X,표1[[#This Row],[명칭]]),"-")</f>
        <v>0</v>
      </c>
      <c r="K2430" s="38" t="str">
        <f>IFERROR(COUNTIF([2]Town!$B:$B,표1[[#This Row],[명칭]]),"-")</f>
        <v>-</v>
      </c>
      <c r="L2430" s="38">
        <f>IFERROR(COUNTIF([1]Village!$BR:$BR,표1[[#This Row],[명칭]]),"-")</f>
        <v>0</v>
      </c>
      <c r="M2430" s="38">
        <f>COUNTIF(퀘스트!B:B,표1[[#This Row],[명칭]])</f>
        <v>0</v>
      </c>
      <c r="N2430" s="65">
        <f>COUNTIF([1]VillageDiscoveryGroup!$C:$C,표1[[#This Row],[명칭]])</f>
        <v>0</v>
      </c>
      <c r="O2430" s="65">
        <f>SUM(표1[[#This Row],[해양탐색]:[마을탐험]])</f>
        <v>0</v>
      </c>
    </row>
    <row r="2431" spans="2:15" ht="13.5" customHeight="1" x14ac:dyDescent="0.3">
      <c r="B2431" s="9">
        <f>[1]Discovery!A2437</f>
        <v>70415030</v>
      </c>
      <c r="C2431" s="9" t="str">
        <f>[1]Discovery!B2437</f>
        <v>포로로카</v>
      </c>
      <c r="D2431" s="9" t="str">
        <f>[1]Discovery!E2437</f>
        <v>자연</v>
      </c>
      <c r="E2431" s="9" t="str">
        <f>[1]Discovery!C2437</f>
        <v>기상 현상</v>
      </c>
      <c r="F2431" s="9" t="str">
        <f>[1]Discovery!G2437</f>
        <v>B</v>
      </c>
      <c r="G2431" s="9" t="str">
        <f>IFERROR(VLOOKUP(표1[[#This Row],[명칭]],'문화권 정리'!C:D,2,FALSE),"-")</f>
        <v>천문</v>
      </c>
      <c r="H2431" s="38" t="str">
        <f>IFERROR(COUNTIF([2]OceanDoodad!$Y:$Y,표1[[#This Row],[명칭]]),"-")</f>
        <v>-</v>
      </c>
      <c r="I2431" s="38">
        <f>IFERROR(COUNTIF([1]AdventureDiscoveryGroup!$D$8:$AW$92,표1[[#This Row],[명칭]]),"-")</f>
        <v>0</v>
      </c>
      <c r="J2431" s="38">
        <f>IFERROR(COUNTIF([1]FishDiscoveryGroup!$A:$X,표1[[#This Row],[명칭]]),"-")</f>
        <v>0</v>
      </c>
      <c r="K2431" s="38" t="str">
        <f>IFERROR(COUNTIF([2]Town!$B:$B,표1[[#This Row],[명칭]]),"-")</f>
        <v>-</v>
      </c>
      <c r="L2431" s="38">
        <f>IFERROR(COUNTIF([1]Village!$BR:$BR,표1[[#This Row],[명칭]]),"-")</f>
        <v>0</v>
      </c>
      <c r="M2431" s="38">
        <f>COUNTIF(퀘스트!B:B,표1[[#This Row],[명칭]])</f>
        <v>0</v>
      </c>
      <c r="N2431" s="65">
        <f>COUNTIF([1]VillageDiscoveryGroup!$C:$C,표1[[#This Row],[명칭]])</f>
        <v>0</v>
      </c>
      <c r="O2431" s="65">
        <f>SUM(표1[[#This Row],[해양탐색]:[마을탐험]])</f>
        <v>0</v>
      </c>
    </row>
    <row r="2432" spans="2:15" ht="13.5" customHeight="1" x14ac:dyDescent="0.3">
      <c r="B2432" s="9">
        <f>[1]Discovery!A2438</f>
        <v>70415031</v>
      </c>
      <c r="C2432" s="9" t="str">
        <f>[1]Discovery!B2438</f>
        <v>프로스트 플라워</v>
      </c>
      <c r="D2432" s="9" t="str">
        <f>[1]Discovery!E2438</f>
        <v>자연</v>
      </c>
      <c r="E2432" s="9" t="str">
        <f>[1]Discovery!C2438</f>
        <v>기상 현상</v>
      </c>
      <c r="F2432" s="9" t="str">
        <f>[1]Discovery!G2438</f>
        <v>A</v>
      </c>
      <c r="G2432" s="9" t="str">
        <f>IFERROR(VLOOKUP(표1[[#This Row],[명칭]],'문화권 정리'!C:D,2,FALSE),"-")</f>
        <v>천문</v>
      </c>
      <c r="H2432" s="38" t="str">
        <f>IFERROR(COUNTIF([2]OceanDoodad!$Y:$Y,표1[[#This Row],[명칭]]),"-")</f>
        <v>-</v>
      </c>
      <c r="I2432" s="38">
        <f>IFERROR(COUNTIF([1]AdventureDiscoveryGroup!$D$8:$AW$92,표1[[#This Row],[명칭]]),"-")</f>
        <v>0</v>
      </c>
      <c r="J2432" s="38">
        <f>IFERROR(COUNTIF([1]FishDiscoveryGroup!$A:$X,표1[[#This Row],[명칭]]),"-")</f>
        <v>0</v>
      </c>
      <c r="K2432" s="38" t="str">
        <f>IFERROR(COUNTIF([2]Town!$B:$B,표1[[#This Row],[명칭]]),"-")</f>
        <v>-</v>
      </c>
      <c r="L2432" s="38">
        <f>IFERROR(COUNTIF([1]Village!$BR:$BR,표1[[#This Row],[명칭]]),"-")</f>
        <v>0</v>
      </c>
      <c r="M2432" s="38">
        <f>COUNTIF(퀘스트!B:B,표1[[#This Row],[명칭]])</f>
        <v>0</v>
      </c>
      <c r="N2432" s="65">
        <f>COUNTIF([1]VillageDiscoveryGroup!$C:$C,표1[[#This Row],[명칭]])</f>
        <v>0</v>
      </c>
      <c r="O2432" s="65">
        <f>SUM(표1[[#This Row],[해양탐색]:[마을탐험]])</f>
        <v>0</v>
      </c>
    </row>
    <row r="2433" spans="2:15" ht="13.5" customHeight="1" x14ac:dyDescent="0.3">
      <c r="B2433" s="9">
        <f>[1]Discovery!A2439</f>
        <v>70415032</v>
      </c>
      <c r="C2433" s="9" t="str">
        <f>[1]Discovery!B2439</f>
        <v>하부브</v>
      </c>
      <c r="D2433" s="9" t="str">
        <f>[1]Discovery!E2439</f>
        <v>자연</v>
      </c>
      <c r="E2433" s="9" t="str">
        <f>[1]Discovery!C2439</f>
        <v>기상 현상</v>
      </c>
      <c r="F2433" s="9" t="str">
        <f>[1]Discovery!G2439</f>
        <v>B</v>
      </c>
      <c r="G2433" s="9" t="str">
        <f>IFERROR(VLOOKUP(표1[[#This Row],[명칭]],'문화권 정리'!C:D,2,FALSE),"-")</f>
        <v>천문</v>
      </c>
      <c r="H2433" s="38" t="str">
        <f>IFERROR(COUNTIF([2]OceanDoodad!$Y:$Y,표1[[#This Row],[명칭]]),"-")</f>
        <v>-</v>
      </c>
      <c r="I2433" s="38">
        <f>IFERROR(COUNTIF([1]AdventureDiscoveryGroup!$D$8:$AW$92,표1[[#This Row],[명칭]]),"-")</f>
        <v>0</v>
      </c>
      <c r="J2433" s="38">
        <f>IFERROR(COUNTIF([1]FishDiscoveryGroup!$A:$X,표1[[#This Row],[명칭]]),"-")</f>
        <v>0</v>
      </c>
      <c r="K2433" s="38" t="str">
        <f>IFERROR(COUNTIF([2]Town!$B:$B,표1[[#This Row],[명칭]]),"-")</f>
        <v>-</v>
      </c>
      <c r="L2433" s="38">
        <f>IFERROR(COUNTIF([1]Village!$BR:$BR,표1[[#This Row],[명칭]]),"-")</f>
        <v>0</v>
      </c>
      <c r="M2433" s="38">
        <f>COUNTIF(퀘스트!B:B,표1[[#This Row],[명칭]])</f>
        <v>0</v>
      </c>
      <c r="N2433" s="65">
        <f>COUNTIF([1]VillageDiscoveryGroup!$C:$C,표1[[#This Row],[명칭]])</f>
        <v>0</v>
      </c>
      <c r="O2433" s="65">
        <f>SUM(표1[[#This Row],[해양탐색]:[마을탐험]])</f>
        <v>0</v>
      </c>
    </row>
    <row r="2434" spans="2:15" ht="13.5" customHeight="1" x14ac:dyDescent="0.3">
      <c r="B2434" s="9">
        <f>[1]Discovery!A2440</f>
        <v>70415033</v>
      </c>
      <c r="C2434" s="9" t="str">
        <f>[1]Discovery!B2440</f>
        <v>해기둥</v>
      </c>
      <c r="D2434" s="9" t="str">
        <f>[1]Discovery!E2440</f>
        <v>자연</v>
      </c>
      <c r="E2434" s="9" t="str">
        <f>[1]Discovery!C2440</f>
        <v>기상 현상</v>
      </c>
      <c r="F2434" s="9" t="str">
        <f>[1]Discovery!G2440</f>
        <v>A</v>
      </c>
      <c r="G2434" s="9" t="str">
        <f>IFERROR(VLOOKUP(표1[[#This Row],[명칭]],'문화권 정리'!C:D,2,FALSE),"-")</f>
        <v>천문</v>
      </c>
      <c r="H2434" s="38" t="str">
        <f>IFERROR(COUNTIF([2]OceanDoodad!$Y:$Y,표1[[#This Row],[명칭]]),"-")</f>
        <v>-</v>
      </c>
      <c r="I2434" s="38">
        <f>IFERROR(COUNTIF([1]AdventureDiscoveryGroup!$D$8:$AW$92,표1[[#This Row],[명칭]]),"-")</f>
        <v>0</v>
      </c>
      <c r="J2434" s="38">
        <f>IFERROR(COUNTIF([1]FishDiscoveryGroup!$A:$X,표1[[#This Row],[명칭]]),"-")</f>
        <v>0</v>
      </c>
      <c r="K2434" s="38" t="str">
        <f>IFERROR(COUNTIF([2]Town!$B:$B,표1[[#This Row],[명칭]]),"-")</f>
        <v>-</v>
      </c>
      <c r="L2434" s="38">
        <f>IFERROR(COUNTIF([1]Village!$BR:$BR,표1[[#This Row],[명칭]]),"-")</f>
        <v>0</v>
      </c>
      <c r="M2434" s="38">
        <f>COUNTIF(퀘스트!B:B,표1[[#This Row],[명칭]])</f>
        <v>0</v>
      </c>
      <c r="N2434" s="65">
        <f>COUNTIF([1]VillageDiscoveryGroup!$C:$C,표1[[#This Row],[명칭]])</f>
        <v>0</v>
      </c>
      <c r="O2434" s="65">
        <f>SUM(표1[[#This Row],[해양탐색]:[마을탐험]])</f>
        <v>0</v>
      </c>
    </row>
    <row r="2435" spans="2:15" ht="13.5" customHeight="1" x14ac:dyDescent="0.3">
      <c r="B2435" s="9">
        <f>[1]Discovery!A2441</f>
        <v>70415034</v>
      </c>
      <c r="C2435" s="9" t="str">
        <f>[1]Discovery!B2441</f>
        <v>해저화산</v>
      </c>
      <c r="D2435" s="9" t="str">
        <f>[1]Discovery!E2441</f>
        <v>자연</v>
      </c>
      <c r="E2435" s="9" t="str">
        <f>[1]Discovery!C2441</f>
        <v>기상 현상</v>
      </c>
      <c r="F2435" s="9" t="str">
        <f>[1]Discovery!G2441</f>
        <v>B</v>
      </c>
      <c r="G2435" s="9" t="str">
        <f>IFERROR(VLOOKUP(표1[[#This Row],[명칭]],'문화권 정리'!C:D,2,FALSE),"-")</f>
        <v>천문</v>
      </c>
      <c r="H2435" s="38" t="str">
        <f>IFERROR(COUNTIF([2]OceanDoodad!$Y:$Y,표1[[#This Row],[명칭]]),"-")</f>
        <v>-</v>
      </c>
      <c r="I2435" s="38">
        <f>IFERROR(COUNTIF([1]AdventureDiscoveryGroup!$D$8:$AW$92,표1[[#This Row],[명칭]]),"-")</f>
        <v>0</v>
      </c>
      <c r="J2435" s="38">
        <f>IFERROR(COUNTIF([1]FishDiscoveryGroup!$A:$X,표1[[#This Row],[명칭]]),"-")</f>
        <v>0</v>
      </c>
      <c r="K2435" s="38" t="str">
        <f>IFERROR(COUNTIF([2]Town!$B:$B,표1[[#This Row],[명칭]]),"-")</f>
        <v>-</v>
      </c>
      <c r="L2435" s="38">
        <f>IFERROR(COUNTIF([1]Village!$BR:$BR,표1[[#This Row],[명칭]]),"-")</f>
        <v>0</v>
      </c>
      <c r="M2435" s="38">
        <f>COUNTIF(퀘스트!B:B,표1[[#This Row],[명칭]])</f>
        <v>0</v>
      </c>
      <c r="N2435" s="65">
        <f>COUNTIF([1]VillageDiscoveryGroup!$C:$C,표1[[#This Row],[명칭]])</f>
        <v>0</v>
      </c>
      <c r="O2435" s="65">
        <f>SUM(표1[[#This Row],[해양탐색]:[마을탐험]])</f>
        <v>0</v>
      </c>
    </row>
    <row r="2436" spans="2:15" ht="13.5" customHeight="1" x14ac:dyDescent="0.3">
      <c r="B2436" s="9">
        <f>[1]Discovery!A2442</f>
        <v>70415035</v>
      </c>
      <c r="C2436" s="9" t="str">
        <f>[1]Discovery!B2442</f>
        <v>화구</v>
      </c>
      <c r="D2436" s="9" t="str">
        <f>[1]Discovery!E2442</f>
        <v>자연</v>
      </c>
      <c r="E2436" s="9" t="str">
        <f>[1]Discovery!C2442</f>
        <v>기상 현상</v>
      </c>
      <c r="F2436" s="9" t="str">
        <f>[1]Discovery!G2442</f>
        <v>A</v>
      </c>
      <c r="G2436" s="9" t="str">
        <f>IFERROR(VLOOKUP(표1[[#This Row],[명칭]],'문화권 정리'!C:D,2,FALSE),"-")</f>
        <v>천문</v>
      </c>
      <c r="H2436" s="38" t="str">
        <f>IFERROR(COUNTIF([2]OceanDoodad!$Y:$Y,표1[[#This Row],[명칭]]),"-")</f>
        <v>-</v>
      </c>
      <c r="I2436" s="38">
        <f>IFERROR(COUNTIF([1]AdventureDiscoveryGroup!$D$8:$AW$92,표1[[#This Row],[명칭]]),"-")</f>
        <v>0</v>
      </c>
      <c r="J2436" s="38">
        <f>IFERROR(COUNTIF([1]FishDiscoveryGroup!$A:$X,표1[[#This Row],[명칭]]),"-")</f>
        <v>0</v>
      </c>
      <c r="K2436" s="38" t="str">
        <f>IFERROR(COUNTIF([2]Town!$B:$B,표1[[#This Row],[명칭]]),"-")</f>
        <v>-</v>
      </c>
      <c r="L2436" s="38">
        <f>IFERROR(COUNTIF([1]Village!$BR:$BR,표1[[#This Row],[명칭]]),"-")</f>
        <v>0</v>
      </c>
      <c r="M2436" s="38">
        <f>COUNTIF(퀘스트!B:B,표1[[#This Row],[명칭]])</f>
        <v>0</v>
      </c>
      <c r="N2436" s="65">
        <f>COUNTIF([1]VillageDiscoveryGroup!$C:$C,표1[[#This Row],[명칭]])</f>
        <v>0</v>
      </c>
      <c r="O2436" s="65">
        <f>SUM(표1[[#This Row],[해양탐색]:[마을탐험]])</f>
        <v>0</v>
      </c>
    </row>
    <row r="2437" spans="2:15" ht="13.5" customHeight="1" x14ac:dyDescent="0.3">
      <c r="B2437" s="9">
        <f>[1]Discovery!A2443</f>
        <v>70415036</v>
      </c>
      <c r="C2437" s="9" t="str">
        <f>[1]Discovery!B2443</f>
        <v>환수평호</v>
      </c>
      <c r="D2437" s="9" t="str">
        <f>[1]Discovery!E2443</f>
        <v>자연</v>
      </c>
      <c r="E2437" s="9" t="str">
        <f>[1]Discovery!C2443</f>
        <v>기상 현상</v>
      </c>
      <c r="F2437" s="9" t="str">
        <f>[1]Discovery!G2443</f>
        <v>A</v>
      </c>
      <c r="G2437" s="9" t="str">
        <f>IFERROR(VLOOKUP(표1[[#This Row],[명칭]],'문화권 정리'!C:D,2,FALSE),"-")</f>
        <v>천문</v>
      </c>
      <c r="H2437" s="38" t="str">
        <f>IFERROR(COUNTIF([2]OceanDoodad!$Y:$Y,표1[[#This Row],[명칭]]),"-")</f>
        <v>-</v>
      </c>
      <c r="I2437" s="38">
        <f>IFERROR(COUNTIF([1]AdventureDiscoveryGroup!$D$8:$AW$92,표1[[#This Row],[명칭]]),"-")</f>
        <v>0</v>
      </c>
      <c r="J2437" s="38">
        <f>IFERROR(COUNTIF([1]FishDiscoveryGroup!$A:$X,표1[[#This Row],[명칭]]),"-")</f>
        <v>0</v>
      </c>
      <c r="K2437" s="38" t="str">
        <f>IFERROR(COUNTIF([2]Town!$B:$B,표1[[#This Row],[명칭]]),"-")</f>
        <v>-</v>
      </c>
      <c r="L2437" s="38">
        <f>IFERROR(COUNTIF([1]Village!$BR:$BR,표1[[#This Row],[명칭]]),"-")</f>
        <v>0</v>
      </c>
      <c r="M2437" s="38">
        <f>COUNTIF(퀘스트!B:B,표1[[#This Row],[명칭]])</f>
        <v>0</v>
      </c>
      <c r="N2437" s="65">
        <f>COUNTIF([1]VillageDiscoveryGroup!$C:$C,표1[[#This Row],[명칭]])</f>
        <v>0</v>
      </c>
      <c r="O2437" s="65">
        <f>SUM(표1[[#This Row],[해양탐색]:[마을탐험]])</f>
        <v>0</v>
      </c>
    </row>
    <row r="2438" spans="2:15" ht="13.5" customHeight="1" x14ac:dyDescent="0.3">
      <c r="B2438" s="9">
        <f>[1]Discovery!A2444</f>
        <v>70415037</v>
      </c>
      <c r="C2438" s="9" t="str">
        <f>[1]Discovery!B2444</f>
        <v>환일</v>
      </c>
      <c r="D2438" s="9" t="str">
        <f>[1]Discovery!E2444</f>
        <v>자연</v>
      </c>
      <c r="E2438" s="9" t="str">
        <f>[1]Discovery!C2444</f>
        <v>기상 현상</v>
      </c>
      <c r="F2438" s="9" t="str">
        <f>[1]Discovery!G2444</f>
        <v>B</v>
      </c>
      <c r="G2438" s="9" t="str">
        <f>IFERROR(VLOOKUP(표1[[#This Row],[명칭]],'문화권 정리'!C:D,2,FALSE),"-")</f>
        <v>천문</v>
      </c>
      <c r="H2438" s="38" t="str">
        <f>IFERROR(COUNTIF([2]OceanDoodad!$Y:$Y,표1[[#This Row],[명칭]]),"-")</f>
        <v>-</v>
      </c>
      <c r="I2438" s="38">
        <f>IFERROR(COUNTIF([1]AdventureDiscoveryGroup!$D$8:$AW$92,표1[[#This Row],[명칭]]),"-")</f>
        <v>0</v>
      </c>
      <c r="J2438" s="38">
        <f>IFERROR(COUNTIF([1]FishDiscoveryGroup!$A:$X,표1[[#This Row],[명칭]]),"-")</f>
        <v>0</v>
      </c>
      <c r="K2438" s="38" t="str">
        <f>IFERROR(COUNTIF([2]Town!$B:$B,표1[[#This Row],[명칭]]),"-")</f>
        <v>-</v>
      </c>
      <c r="L2438" s="38">
        <f>IFERROR(COUNTIF([1]Village!$BR:$BR,표1[[#This Row],[명칭]]),"-")</f>
        <v>0</v>
      </c>
      <c r="M2438" s="38">
        <f>COUNTIF(퀘스트!B:B,표1[[#This Row],[명칭]])</f>
        <v>0</v>
      </c>
      <c r="N2438" s="65">
        <f>COUNTIF([1]VillageDiscoveryGroup!$C:$C,표1[[#This Row],[명칭]])</f>
        <v>0</v>
      </c>
      <c r="O2438" s="65">
        <f>SUM(표1[[#This Row],[해양탐색]:[마을탐험]])</f>
        <v>0</v>
      </c>
    </row>
    <row r="2439" spans="2:15" ht="13.5" customHeight="1" x14ac:dyDescent="0.3">
      <c r="B2439" s="9">
        <f>[1]Discovery!A2445</f>
        <v>70415038</v>
      </c>
      <c r="C2439" s="9" t="str">
        <f>[1]Discovery!B2445</f>
        <v>황사</v>
      </c>
      <c r="D2439" s="9" t="str">
        <f>[1]Discovery!E2445</f>
        <v>자연</v>
      </c>
      <c r="E2439" s="9" t="str">
        <f>[1]Discovery!C2445</f>
        <v>기상 현상</v>
      </c>
      <c r="F2439" s="9" t="str">
        <f>[1]Discovery!G2445</f>
        <v>D</v>
      </c>
      <c r="G2439" s="9" t="str">
        <f>IFERROR(VLOOKUP(표1[[#This Row],[명칭]],'문화권 정리'!C:D,2,FALSE),"-")</f>
        <v>천문</v>
      </c>
      <c r="H2439" s="38" t="str">
        <f>IFERROR(COUNTIF([2]OceanDoodad!$Y:$Y,표1[[#This Row],[명칭]]),"-")</f>
        <v>-</v>
      </c>
      <c r="I2439" s="38">
        <f>IFERROR(COUNTIF([1]AdventureDiscoveryGroup!$D$8:$AW$92,표1[[#This Row],[명칭]]),"-")</f>
        <v>0</v>
      </c>
      <c r="J2439" s="38">
        <f>IFERROR(COUNTIF([1]FishDiscoveryGroup!$A:$X,표1[[#This Row],[명칭]]),"-")</f>
        <v>0</v>
      </c>
      <c r="K2439" s="38" t="str">
        <f>IFERROR(COUNTIF([2]Town!$B:$B,표1[[#This Row],[명칭]]),"-")</f>
        <v>-</v>
      </c>
      <c r="L2439" s="38">
        <f>IFERROR(COUNTIF([1]Village!$BR:$BR,표1[[#This Row],[명칭]]),"-")</f>
        <v>0</v>
      </c>
      <c r="M2439" s="38">
        <f>COUNTIF(퀘스트!B:B,표1[[#This Row],[명칭]])</f>
        <v>0</v>
      </c>
      <c r="N2439" s="65">
        <f>COUNTIF([1]VillageDiscoveryGroup!$C:$C,표1[[#This Row],[명칭]])</f>
        <v>0</v>
      </c>
      <c r="O2439" s="65">
        <f>SUM(표1[[#This Row],[해양탐색]:[마을탐험]])</f>
        <v>0</v>
      </c>
    </row>
    <row r="2440" spans="2:15" ht="13.5" customHeight="1" x14ac:dyDescent="0.3">
      <c r="B2440" s="9">
        <f>[1]Discovery!A2446</f>
        <v>70416000</v>
      </c>
      <c r="C2440" s="9" t="str">
        <f>[1]Discovery!B2446</f>
        <v>갈리아인과 그의 처</v>
      </c>
      <c r="D2440" s="9" t="str">
        <f>[1]Discovery!E2446</f>
        <v>보물</v>
      </c>
      <c r="E2440" s="9" t="str">
        <f>[1]Discovery!C2446</f>
        <v>미술품</v>
      </c>
      <c r="F2440" s="9" t="str">
        <f>[1]Discovery!G2446</f>
        <v>D</v>
      </c>
      <c r="G2440" s="9" t="str">
        <f>IFERROR(VLOOKUP(표1[[#This Row],[명칭]],'문화권 정리'!C:D,2,FALSE),"-")</f>
        <v>지중해</v>
      </c>
      <c r="H2440" s="38" t="str">
        <f>IFERROR(COUNTIF([2]OceanDoodad!$Y:$Y,표1[[#This Row],[명칭]]),"-")</f>
        <v>-</v>
      </c>
      <c r="I2440" s="38">
        <f>IFERROR(COUNTIF([1]AdventureDiscoveryGroup!$D$8:$AW$92,표1[[#This Row],[명칭]]),"-")</f>
        <v>1</v>
      </c>
      <c r="J2440" s="38">
        <f>IFERROR(COUNTIF([1]FishDiscoveryGroup!$A:$X,표1[[#This Row],[명칭]]),"-")</f>
        <v>0</v>
      </c>
      <c r="K2440" s="38" t="str">
        <f>IFERROR(COUNTIF([2]Town!$B:$B,표1[[#This Row],[명칭]]),"-")</f>
        <v>-</v>
      </c>
      <c r="L2440" s="38">
        <f>IFERROR(COUNTIF([1]Village!$BR:$BR,표1[[#This Row],[명칭]]),"-")</f>
        <v>0</v>
      </c>
      <c r="M2440" s="38">
        <f>COUNTIF(퀘스트!B:B,표1[[#This Row],[명칭]])</f>
        <v>0</v>
      </c>
      <c r="N2440" s="65">
        <f>COUNTIF([1]VillageDiscoveryGroup!$C:$C,표1[[#This Row],[명칭]])</f>
        <v>0</v>
      </c>
      <c r="O2440" s="65">
        <f>SUM(표1[[#This Row],[해양탐색]:[마을탐험]])</f>
        <v>1</v>
      </c>
    </row>
    <row r="2441" spans="2:15" ht="13.5" customHeight="1" x14ac:dyDescent="0.3">
      <c r="B2441" s="9">
        <f>[1]Discovery!A2447</f>
        <v>70416001</v>
      </c>
      <c r="C2441" s="9" t="str">
        <f>[1]Discovery!B2447</f>
        <v>검은 방울새의 성모</v>
      </c>
      <c r="D2441" s="9" t="str">
        <f>[1]Discovery!E2447</f>
        <v>보물</v>
      </c>
      <c r="E2441" s="9" t="str">
        <f>[1]Discovery!C2447</f>
        <v>미술품</v>
      </c>
      <c r="F2441" s="9" t="str">
        <f>[1]Discovery!G2447</f>
        <v>A</v>
      </c>
      <c r="G2441" s="9" t="str">
        <f>IFERROR(VLOOKUP(표1[[#This Row],[명칭]],'문화권 정리'!C:D,2,FALSE),"-")</f>
        <v>지중해</v>
      </c>
      <c r="H2441" s="38" t="str">
        <f>IFERROR(COUNTIF([2]OceanDoodad!$Y:$Y,표1[[#This Row],[명칭]]),"-")</f>
        <v>-</v>
      </c>
      <c r="I2441" s="38">
        <f>IFERROR(COUNTIF([1]AdventureDiscoveryGroup!$D$8:$AW$92,표1[[#This Row],[명칭]]),"-")</f>
        <v>0</v>
      </c>
      <c r="J2441" s="38">
        <f>IFERROR(COUNTIF([1]FishDiscoveryGroup!$A:$X,표1[[#This Row],[명칭]]),"-")</f>
        <v>0</v>
      </c>
      <c r="K2441" s="38" t="str">
        <f>IFERROR(COUNTIF([2]Town!$B:$B,표1[[#This Row],[명칭]]),"-")</f>
        <v>-</v>
      </c>
      <c r="L2441" s="38">
        <f>IFERROR(COUNTIF([1]Village!$BR:$BR,표1[[#This Row],[명칭]]),"-")</f>
        <v>0</v>
      </c>
      <c r="M2441" s="38">
        <f>COUNTIF(퀘스트!B:B,표1[[#This Row],[명칭]])</f>
        <v>0</v>
      </c>
      <c r="N2441" s="65">
        <f>COUNTIF([1]VillageDiscoveryGroup!$C:$C,표1[[#This Row],[명칭]])</f>
        <v>0</v>
      </c>
      <c r="O2441" s="65">
        <f>SUM(표1[[#This Row],[해양탐색]:[마을탐험]])</f>
        <v>0</v>
      </c>
    </row>
    <row r="2442" spans="2:15" ht="13.5" customHeight="1" x14ac:dyDescent="0.3">
      <c r="B2442" s="9">
        <f>[1]Discovery!A2448</f>
        <v>70416002</v>
      </c>
      <c r="C2442" s="9" t="str">
        <f>[1]Discovery!B2448</f>
        <v>겐지 이야기 화첩</v>
      </c>
      <c r="D2442" s="9" t="str">
        <f>[1]Discovery!E2448</f>
        <v>보물</v>
      </c>
      <c r="E2442" s="9" t="str">
        <f>[1]Discovery!C2448</f>
        <v>미술품</v>
      </c>
      <c r="F2442" s="9" t="str">
        <f>[1]Discovery!G2448</f>
        <v>S</v>
      </c>
      <c r="G2442" s="9" t="str">
        <f>IFERROR(VLOOKUP(표1[[#This Row],[명칭]],'문화권 정리'!C:D,2,FALSE),"-")</f>
        <v>동아시아</v>
      </c>
      <c r="H2442" s="38" t="str">
        <f>IFERROR(COUNTIF([2]OceanDoodad!$Y:$Y,표1[[#This Row],[명칭]]),"-")</f>
        <v>-</v>
      </c>
      <c r="I2442" s="38">
        <f>IFERROR(COUNTIF([1]AdventureDiscoveryGroup!$D$8:$AW$92,표1[[#This Row],[명칭]]),"-")</f>
        <v>1</v>
      </c>
      <c r="J2442" s="38">
        <f>IFERROR(COUNTIF([1]FishDiscoveryGroup!$A:$X,표1[[#This Row],[명칭]]),"-")</f>
        <v>0</v>
      </c>
      <c r="K2442" s="38" t="str">
        <f>IFERROR(COUNTIF([2]Town!$B:$B,표1[[#This Row],[명칭]]),"-")</f>
        <v>-</v>
      </c>
      <c r="L2442" s="38">
        <f>IFERROR(COUNTIF([1]Village!$BR:$BR,표1[[#This Row],[명칭]]),"-")</f>
        <v>0</v>
      </c>
      <c r="M2442" s="38">
        <f>COUNTIF(퀘스트!B:B,표1[[#This Row],[명칭]])</f>
        <v>0</v>
      </c>
      <c r="N2442" s="65">
        <f>COUNTIF([1]VillageDiscoveryGroup!$C:$C,표1[[#This Row],[명칭]])</f>
        <v>0</v>
      </c>
      <c r="O2442" s="65">
        <f>SUM(표1[[#This Row],[해양탐색]:[마을탐험]])</f>
        <v>1</v>
      </c>
    </row>
    <row r="2443" spans="2:15" ht="13.5" customHeight="1" x14ac:dyDescent="0.3">
      <c r="B2443" s="9">
        <f>[1]Discovery!A2449</f>
        <v>70416003</v>
      </c>
      <c r="C2443" s="9" t="str">
        <f>[1]Discovery!B2449</f>
        <v>고사관수도</v>
      </c>
      <c r="D2443" s="9" t="str">
        <f>[1]Discovery!E2449</f>
        <v>보물</v>
      </c>
      <c r="E2443" s="9" t="str">
        <f>[1]Discovery!C2449</f>
        <v>미술품</v>
      </c>
      <c r="F2443" s="9" t="str">
        <f>[1]Discovery!G2449</f>
        <v>S</v>
      </c>
      <c r="G2443" s="9" t="str">
        <f>IFERROR(VLOOKUP(표1[[#This Row],[명칭]],'문화권 정리'!C:D,2,FALSE),"-")</f>
        <v>동아시아</v>
      </c>
      <c r="H2443" s="38" t="str">
        <f>IFERROR(COUNTIF([2]OceanDoodad!$Y:$Y,표1[[#This Row],[명칭]]),"-")</f>
        <v>-</v>
      </c>
      <c r="I2443" s="38">
        <f>IFERROR(COUNTIF([1]AdventureDiscoveryGroup!$D$8:$AW$92,표1[[#This Row],[명칭]]),"-")</f>
        <v>1</v>
      </c>
      <c r="J2443" s="38">
        <f>IFERROR(COUNTIF([1]FishDiscoveryGroup!$A:$X,표1[[#This Row],[명칭]]),"-")</f>
        <v>0</v>
      </c>
      <c r="K2443" s="38" t="str">
        <f>IFERROR(COUNTIF([2]Town!$B:$B,표1[[#This Row],[명칭]]),"-")</f>
        <v>-</v>
      </c>
      <c r="L2443" s="38">
        <f>IFERROR(COUNTIF([1]Village!$BR:$BR,표1[[#This Row],[명칭]]),"-")</f>
        <v>0</v>
      </c>
      <c r="M2443" s="38">
        <f>COUNTIF(퀘스트!B:B,표1[[#This Row],[명칭]])</f>
        <v>0</v>
      </c>
      <c r="N2443" s="65">
        <f>COUNTIF([1]VillageDiscoveryGroup!$C:$C,표1[[#This Row],[명칭]])</f>
        <v>0</v>
      </c>
      <c r="O2443" s="65">
        <f>SUM(표1[[#This Row],[해양탐색]:[마을탐험]])</f>
        <v>1</v>
      </c>
    </row>
    <row r="2444" spans="2:15" ht="13.5" customHeight="1" x14ac:dyDescent="0.3">
      <c r="B2444" s="9">
        <f>[1]Discovery!A2450</f>
        <v>70416004</v>
      </c>
      <c r="C2444" s="9" t="str">
        <f>[1]Discovery!B2450</f>
        <v>골고다 언덕</v>
      </c>
      <c r="D2444" s="9" t="str">
        <f>[1]Discovery!E2450</f>
        <v>보물</v>
      </c>
      <c r="E2444" s="9" t="str">
        <f>[1]Discovery!C2450</f>
        <v>미술품</v>
      </c>
      <c r="F2444" s="9" t="str">
        <f>[1]Discovery!G2450</f>
        <v>B</v>
      </c>
      <c r="G2444" s="9" t="str">
        <f>IFERROR(VLOOKUP(표1[[#This Row],[명칭]],'문화권 정리'!C:D,2,FALSE),"-")</f>
        <v>지중해</v>
      </c>
      <c r="H2444" s="38" t="str">
        <f>IFERROR(COUNTIF([2]OceanDoodad!$Y:$Y,표1[[#This Row],[명칭]]),"-")</f>
        <v>-</v>
      </c>
      <c r="I2444" s="38">
        <f>IFERROR(COUNTIF([1]AdventureDiscoveryGroup!$D$8:$AW$92,표1[[#This Row],[명칭]]),"-")</f>
        <v>0</v>
      </c>
      <c r="J2444" s="38">
        <f>IFERROR(COUNTIF([1]FishDiscoveryGroup!$A:$X,표1[[#This Row],[명칭]]),"-")</f>
        <v>0</v>
      </c>
      <c r="K2444" s="38" t="str">
        <f>IFERROR(COUNTIF([2]Town!$B:$B,표1[[#This Row],[명칭]]),"-")</f>
        <v>-</v>
      </c>
      <c r="L2444" s="38">
        <f>IFERROR(COUNTIF([1]Village!$BR:$BR,표1[[#This Row],[명칭]]),"-")</f>
        <v>0</v>
      </c>
      <c r="M2444" s="38">
        <f>COUNTIF(퀘스트!B:B,표1[[#This Row],[명칭]])</f>
        <v>0</v>
      </c>
      <c r="N2444" s="65">
        <f>COUNTIF([1]VillageDiscoveryGroup!$C:$C,표1[[#This Row],[명칭]])</f>
        <v>0</v>
      </c>
      <c r="O2444" s="65">
        <f>SUM(표1[[#This Row],[해양탐색]:[마을탐험]])</f>
        <v>0</v>
      </c>
    </row>
    <row r="2445" spans="2:15" ht="13.5" customHeight="1" x14ac:dyDescent="0.3">
      <c r="B2445" s="9">
        <f>[1]Discovery!A2451</f>
        <v>70416005</v>
      </c>
      <c r="C2445" s="9" t="str">
        <f>[1]Discovery!B2451</f>
        <v>그리스도의 세례</v>
      </c>
      <c r="D2445" s="9" t="str">
        <f>[1]Discovery!E2451</f>
        <v>보물</v>
      </c>
      <c r="E2445" s="9" t="str">
        <f>[1]Discovery!C2451</f>
        <v>미술품</v>
      </c>
      <c r="F2445" s="9" t="str">
        <f>[1]Discovery!G2451</f>
        <v>B</v>
      </c>
      <c r="G2445" s="9" t="str">
        <f>IFERROR(VLOOKUP(표1[[#This Row],[명칭]],'문화권 정리'!C:D,2,FALSE),"-")</f>
        <v>지중해</v>
      </c>
      <c r="H2445" s="38" t="str">
        <f>IFERROR(COUNTIF([2]OceanDoodad!$Y:$Y,표1[[#This Row],[명칭]]),"-")</f>
        <v>-</v>
      </c>
      <c r="I2445" s="38">
        <f>IFERROR(COUNTIF([1]AdventureDiscoveryGroup!$D$8:$AW$92,표1[[#This Row],[명칭]]),"-")</f>
        <v>0</v>
      </c>
      <c r="J2445" s="38">
        <f>IFERROR(COUNTIF([1]FishDiscoveryGroup!$A:$X,표1[[#This Row],[명칭]]),"-")</f>
        <v>0</v>
      </c>
      <c r="K2445" s="38" t="str">
        <f>IFERROR(COUNTIF([2]Town!$B:$B,표1[[#This Row],[명칭]]),"-")</f>
        <v>-</v>
      </c>
      <c r="L2445" s="38">
        <f>IFERROR(COUNTIF([1]Village!$BR:$BR,표1[[#This Row],[명칭]]),"-")</f>
        <v>0</v>
      </c>
      <c r="M2445" s="38">
        <f>COUNTIF(퀘스트!B:B,표1[[#This Row],[명칭]])</f>
        <v>0</v>
      </c>
      <c r="N2445" s="65">
        <f>COUNTIF([1]VillageDiscoveryGroup!$C:$C,표1[[#This Row],[명칭]])</f>
        <v>0</v>
      </c>
      <c r="O2445" s="65">
        <f>SUM(표1[[#This Row],[해양탐색]:[마을탐험]])</f>
        <v>0</v>
      </c>
    </row>
    <row r="2446" spans="2:15" ht="13.5" customHeight="1" x14ac:dyDescent="0.3">
      <c r="B2446" s="9">
        <f>[1]Discovery!A2452</f>
        <v>70416006</v>
      </c>
      <c r="C2446" s="9" t="str">
        <f>[1]Discovery!B2452</f>
        <v>내경도</v>
      </c>
      <c r="D2446" s="9" t="str">
        <f>[1]Discovery!E2452</f>
        <v>보물</v>
      </c>
      <c r="E2446" s="9" t="str">
        <f>[1]Discovery!C2452</f>
        <v>미술품</v>
      </c>
      <c r="F2446" s="9" t="str">
        <f>[1]Discovery!G2452</f>
        <v>S</v>
      </c>
      <c r="G2446" s="9" t="str">
        <f>IFERROR(VLOOKUP(표1[[#This Row],[명칭]],'문화권 정리'!C:D,2,FALSE),"-")</f>
        <v>동아시아</v>
      </c>
      <c r="H2446" s="38" t="str">
        <f>IFERROR(COUNTIF([2]OceanDoodad!$Y:$Y,표1[[#This Row],[명칭]]),"-")</f>
        <v>-</v>
      </c>
      <c r="I2446" s="38">
        <f>IFERROR(COUNTIF([1]AdventureDiscoveryGroup!$D$8:$AW$92,표1[[#This Row],[명칭]]),"-")</f>
        <v>1</v>
      </c>
      <c r="J2446" s="38">
        <f>IFERROR(COUNTIF([1]FishDiscoveryGroup!$A:$X,표1[[#This Row],[명칭]]),"-")</f>
        <v>0</v>
      </c>
      <c r="K2446" s="38" t="str">
        <f>IFERROR(COUNTIF([2]Town!$B:$B,표1[[#This Row],[명칭]]),"-")</f>
        <v>-</v>
      </c>
      <c r="L2446" s="38">
        <f>IFERROR(COUNTIF([1]Village!$BR:$BR,표1[[#This Row],[명칭]]),"-")</f>
        <v>0</v>
      </c>
      <c r="M2446" s="38">
        <f>COUNTIF(퀘스트!B:B,표1[[#This Row],[명칭]])</f>
        <v>0</v>
      </c>
      <c r="N2446" s="65">
        <f>COUNTIF([1]VillageDiscoveryGroup!$C:$C,표1[[#This Row],[명칭]])</f>
        <v>0</v>
      </c>
      <c r="O2446" s="65">
        <f>SUM(표1[[#This Row],[해양탐색]:[마을탐험]])</f>
        <v>1</v>
      </c>
    </row>
    <row r="2447" spans="2:15" ht="13.5" customHeight="1" x14ac:dyDescent="0.3">
      <c r="B2447" s="9">
        <f>[1]Discovery!A2453</f>
        <v>70416007</v>
      </c>
      <c r="C2447" s="9" t="str">
        <f>[1]Discovery!B2453</f>
        <v>4명의 사도</v>
      </c>
      <c r="D2447" s="9" t="str">
        <f>[1]Discovery!E2453</f>
        <v>보물</v>
      </c>
      <c r="E2447" s="9" t="str">
        <f>[1]Discovery!C2453</f>
        <v>미술품</v>
      </c>
      <c r="F2447" s="9" t="str">
        <f>[1]Discovery!G2453</f>
        <v>A</v>
      </c>
      <c r="G2447" s="9" t="str">
        <f>IFERROR(VLOOKUP(표1[[#This Row],[명칭]],'문화권 정리'!C:D,2,FALSE),"-")</f>
        <v>지중해</v>
      </c>
      <c r="H2447" s="38" t="str">
        <f>IFERROR(COUNTIF([2]OceanDoodad!$Y:$Y,표1[[#This Row],[명칭]]),"-")</f>
        <v>-</v>
      </c>
      <c r="I2447" s="38">
        <f>IFERROR(COUNTIF([1]AdventureDiscoveryGroup!$D$8:$AW$92,표1[[#This Row],[명칭]]),"-")</f>
        <v>1</v>
      </c>
      <c r="J2447" s="38">
        <f>IFERROR(COUNTIF([1]FishDiscoveryGroup!$A:$X,표1[[#This Row],[명칭]]),"-")</f>
        <v>0</v>
      </c>
      <c r="K2447" s="38" t="str">
        <f>IFERROR(COUNTIF([2]Town!$B:$B,표1[[#This Row],[명칭]]),"-")</f>
        <v>-</v>
      </c>
      <c r="L2447" s="38">
        <f>IFERROR(COUNTIF([1]Village!$BR:$BR,표1[[#This Row],[명칭]]),"-")</f>
        <v>0</v>
      </c>
      <c r="M2447" s="38">
        <f>COUNTIF(퀘스트!B:B,표1[[#This Row],[명칭]])</f>
        <v>0</v>
      </c>
      <c r="N2447" s="65">
        <f>COUNTIF([1]VillageDiscoveryGroup!$C:$C,표1[[#This Row],[명칭]])</f>
        <v>0</v>
      </c>
      <c r="O2447" s="65">
        <f>SUM(표1[[#This Row],[해양탐색]:[마을탐험]])</f>
        <v>1</v>
      </c>
    </row>
    <row r="2448" spans="2:15" ht="13.5" customHeight="1" x14ac:dyDescent="0.3">
      <c r="B2448" s="9">
        <f>[1]Discovery!A2454</f>
        <v>70416008</v>
      </c>
      <c r="C2448" s="9" t="str">
        <f>[1]Discovery!B2454</f>
        <v>네덜란드의 속담</v>
      </c>
      <c r="D2448" s="9" t="str">
        <f>[1]Discovery!E2454</f>
        <v>보물</v>
      </c>
      <c r="E2448" s="9" t="str">
        <f>[1]Discovery!C2454</f>
        <v>미술품</v>
      </c>
      <c r="F2448" s="9" t="str">
        <f>[1]Discovery!G2454</f>
        <v>A</v>
      </c>
      <c r="G2448" s="9" t="str">
        <f>IFERROR(VLOOKUP(표1[[#This Row],[명칭]],'문화권 정리'!C:D,2,FALSE),"-")</f>
        <v>북유럽</v>
      </c>
      <c r="H2448" s="38" t="str">
        <f>IFERROR(COUNTIF([2]OceanDoodad!$Y:$Y,표1[[#This Row],[명칭]]),"-")</f>
        <v>-</v>
      </c>
      <c r="I2448" s="38">
        <f>IFERROR(COUNTIF([1]AdventureDiscoveryGroup!$D$8:$AW$92,표1[[#This Row],[명칭]]),"-")</f>
        <v>1</v>
      </c>
      <c r="J2448" s="38">
        <f>IFERROR(COUNTIF([1]FishDiscoveryGroup!$A:$X,표1[[#This Row],[명칭]]),"-")</f>
        <v>0</v>
      </c>
      <c r="K2448" s="38" t="str">
        <f>IFERROR(COUNTIF([2]Town!$B:$B,표1[[#This Row],[명칭]]),"-")</f>
        <v>-</v>
      </c>
      <c r="L2448" s="38">
        <f>IFERROR(COUNTIF([1]Village!$BR:$BR,표1[[#This Row],[명칭]]),"-")</f>
        <v>0</v>
      </c>
      <c r="M2448" s="38">
        <f>COUNTIF(퀘스트!B:B,표1[[#This Row],[명칭]])</f>
        <v>0</v>
      </c>
      <c r="N2448" s="65">
        <f>COUNTIF([1]VillageDiscoveryGroup!$C:$C,표1[[#This Row],[명칭]])</f>
        <v>0</v>
      </c>
      <c r="O2448" s="65">
        <f>SUM(표1[[#This Row],[해양탐색]:[마을탐험]])</f>
        <v>1</v>
      </c>
    </row>
    <row r="2449" spans="2:15" ht="13.5" customHeight="1" x14ac:dyDescent="0.3">
      <c r="B2449" s="9">
        <f>[1]Discovery!A2455</f>
        <v>70416009</v>
      </c>
      <c r="C2449" s="9" t="str">
        <f>[1]Discovery!B2455</f>
        <v>다비드</v>
      </c>
      <c r="D2449" s="9" t="str">
        <f>[1]Discovery!E2455</f>
        <v>보물</v>
      </c>
      <c r="E2449" s="9" t="str">
        <f>[1]Discovery!C2455</f>
        <v>미술품</v>
      </c>
      <c r="F2449" s="9" t="str">
        <f>[1]Discovery!G2455</f>
        <v>S</v>
      </c>
      <c r="G2449" s="9" t="str">
        <f>IFERROR(VLOOKUP(표1[[#This Row],[명칭]],'문화권 정리'!C:D,2,FALSE),"-")</f>
        <v>지중해</v>
      </c>
      <c r="H2449" s="38" t="str">
        <f>IFERROR(COUNTIF([2]OceanDoodad!$Y:$Y,표1[[#This Row],[명칭]]),"-")</f>
        <v>-</v>
      </c>
      <c r="I2449" s="38">
        <f>IFERROR(COUNTIF([1]AdventureDiscoveryGroup!$D$8:$AW$92,표1[[#This Row],[명칭]]),"-")</f>
        <v>0</v>
      </c>
      <c r="J2449" s="38">
        <f>IFERROR(COUNTIF([1]FishDiscoveryGroup!$A:$X,표1[[#This Row],[명칭]]),"-")</f>
        <v>0</v>
      </c>
      <c r="K2449" s="38" t="str">
        <f>IFERROR(COUNTIF([2]Town!$B:$B,표1[[#This Row],[명칭]]),"-")</f>
        <v>-</v>
      </c>
      <c r="L2449" s="38">
        <f>IFERROR(COUNTIF([1]Village!$BR:$BR,표1[[#This Row],[명칭]]),"-")</f>
        <v>0</v>
      </c>
      <c r="M2449" s="38">
        <f>COUNTIF(퀘스트!B:B,표1[[#This Row],[명칭]])</f>
        <v>0</v>
      </c>
      <c r="N2449" s="65">
        <f>COUNTIF([1]VillageDiscoveryGroup!$C:$C,표1[[#This Row],[명칭]])</f>
        <v>0</v>
      </c>
      <c r="O2449" s="65">
        <f>SUM(표1[[#This Row],[해양탐색]:[마을탐험]])</f>
        <v>0</v>
      </c>
    </row>
    <row r="2450" spans="2:15" ht="13.5" customHeight="1" x14ac:dyDescent="0.3">
      <c r="B2450" s="9">
        <f>[1]Discovery!A2456</f>
        <v>70416010</v>
      </c>
      <c r="C2450" s="9" t="str">
        <f>[1]Discovery!B2456</f>
        <v>라오콘</v>
      </c>
      <c r="D2450" s="9" t="str">
        <f>[1]Discovery!E2456</f>
        <v>보물</v>
      </c>
      <c r="E2450" s="9" t="str">
        <f>[1]Discovery!C2456</f>
        <v>미술품</v>
      </c>
      <c r="F2450" s="9" t="str">
        <f>[1]Discovery!G2456</f>
        <v>A</v>
      </c>
      <c r="G2450" s="9" t="str">
        <f>IFERROR(VLOOKUP(표1[[#This Row],[명칭]],'문화권 정리'!C:D,2,FALSE),"-")</f>
        <v>지중해</v>
      </c>
      <c r="H2450" s="38" t="str">
        <f>IFERROR(COUNTIF([2]OceanDoodad!$Y:$Y,표1[[#This Row],[명칭]]),"-")</f>
        <v>-</v>
      </c>
      <c r="I2450" s="38">
        <f>IFERROR(COUNTIF([1]AdventureDiscoveryGroup!$D$8:$AW$92,표1[[#This Row],[명칭]]),"-")</f>
        <v>0</v>
      </c>
      <c r="J2450" s="38">
        <f>IFERROR(COUNTIF([1]FishDiscoveryGroup!$A:$X,표1[[#This Row],[명칭]]),"-")</f>
        <v>0</v>
      </c>
      <c r="K2450" s="38" t="str">
        <f>IFERROR(COUNTIF([2]Town!$B:$B,표1[[#This Row],[명칭]]),"-")</f>
        <v>-</v>
      </c>
      <c r="L2450" s="38">
        <f>IFERROR(COUNTIF([1]Village!$BR:$BR,표1[[#This Row],[명칭]]),"-")</f>
        <v>0</v>
      </c>
      <c r="M2450" s="38">
        <f>COUNTIF(퀘스트!B:B,표1[[#This Row],[명칭]])</f>
        <v>0</v>
      </c>
      <c r="N2450" s="65">
        <f>COUNTIF([1]VillageDiscoveryGroup!$C:$C,표1[[#This Row],[명칭]])</f>
        <v>0</v>
      </c>
      <c r="O2450" s="65">
        <f>SUM(표1[[#This Row],[해양탐색]:[마을탐험]])</f>
        <v>0</v>
      </c>
    </row>
    <row r="2451" spans="2:15" ht="13.5" customHeight="1" x14ac:dyDescent="0.3">
      <c r="B2451" s="9">
        <f>[1]Discovery!A2457</f>
        <v>70416011</v>
      </c>
      <c r="C2451" s="9" t="str">
        <f>[1]Discovery!B2457</f>
        <v>마기의 예배</v>
      </c>
      <c r="D2451" s="9" t="str">
        <f>[1]Discovery!E2457</f>
        <v>보물</v>
      </c>
      <c r="E2451" s="9" t="str">
        <f>[1]Discovery!C2457</f>
        <v>미술품</v>
      </c>
      <c r="F2451" s="9" t="str">
        <f>[1]Discovery!G2457</f>
        <v>B</v>
      </c>
      <c r="G2451" s="9" t="str">
        <f>IFERROR(VLOOKUP(표1[[#This Row],[명칭]],'문화권 정리'!C:D,2,FALSE),"-")</f>
        <v>지중해</v>
      </c>
      <c r="H2451" s="38" t="str">
        <f>IFERROR(COUNTIF([2]OceanDoodad!$Y:$Y,표1[[#This Row],[명칭]]),"-")</f>
        <v>-</v>
      </c>
      <c r="I2451" s="38">
        <f>IFERROR(COUNTIF([1]AdventureDiscoveryGroup!$D$8:$AW$92,표1[[#This Row],[명칭]]),"-")</f>
        <v>0</v>
      </c>
      <c r="J2451" s="38">
        <f>IFERROR(COUNTIF([1]FishDiscoveryGroup!$A:$X,표1[[#This Row],[명칭]]),"-")</f>
        <v>0</v>
      </c>
      <c r="K2451" s="38" t="str">
        <f>IFERROR(COUNTIF([2]Town!$B:$B,표1[[#This Row],[명칭]]),"-")</f>
        <v>-</v>
      </c>
      <c r="L2451" s="38">
        <f>IFERROR(COUNTIF([1]Village!$BR:$BR,표1[[#This Row],[명칭]]),"-")</f>
        <v>0</v>
      </c>
      <c r="M2451" s="38">
        <f>COUNTIF(퀘스트!B:B,표1[[#This Row],[명칭]])</f>
        <v>1</v>
      </c>
      <c r="N2451" s="65">
        <f>COUNTIF([1]VillageDiscoveryGroup!$C:$C,표1[[#This Row],[명칭]])</f>
        <v>0</v>
      </c>
      <c r="O2451" s="65">
        <f>SUM(표1[[#This Row],[해양탐색]:[마을탐험]])</f>
        <v>1</v>
      </c>
    </row>
    <row r="2452" spans="2:15" ht="13.5" customHeight="1" x14ac:dyDescent="0.3">
      <c r="B2452" s="9">
        <f>[1]Discovery!A2458</f>
        <v>70416012</v>
      </c>
      <c r="C2452" s="9" t="str">
        <f>[1]Discovery!B2458</f>
        <v>마리아의 수태고지</v>
      </c>
      <c r="D2452" s="9" t="str">
        <f>[1]Discovery!E2458</f>
        <v>보물</v>
      </c>
      <c r="E2452" s="9" t="str">
        <f>[1]Discovery!C2458</f>
        <v>미술품</v>
      </c>
      <c r="F2452" s="9" t="str">
        <f>[1]Discovery!G2458</f>
        <v>A</v>
      </c>
      <c r="G2452" s="9" t="str">
        <f>IFERROR(VLOOKUP(표1[[#This Row],[명칭]],'문화권 정리'!C:D,2,FALSE),"-")</f>
        <v>지중해</v>
      </c>
      <c r="H2452" s="38" t="str">
        <f>IFERROR(COUNTIF([2]OceanDoodad!$Y:$Y,표1[[#This Row],[명칭]]),"-")</f>
        <v>-</v>
      </c>
      <c r="I2452" s="38">
        <f>IFERROR(COUNTIF([1]AdventureDiscoveryGroup!$D$8:$AW$92,표1[[#This Row],[명칭]]),"-")</f>
        <v>0</v>
      </c>
      <c r="J2452" s="38">
        <f>IFERROR(COUNTIF([1]FishDiscoveryGroup!$A:$X,표1[[#This Row],[명칭]]),"-")</f>
        <v>0</v>
      </c>
      <c r="K2452" s="38" t="str">
        <f>IFERROR(COUNTIF([2]Town!$B:$B,표1[[#This Row],[명칭]]),"-")</f>
        <v>-</v>
      </c>
      <c r="L2452" s="38">
        <f>IFERROR(COUNTIF([1]Village!$BR:$BR,표1[[#This Row],[명칭]]),"-")</f>
        <v>0</v>
      </c>
      <c r="M2452" s="38">
        <f>COUNTIF(퀘스트!B:B,표1[[#This Row],[명칭]])</f>
        <v>0</v>
      </c>
      <c r="N2452" s="65">
        <f>COUNTIF([1]VillageDiscoveryGroup!$C:$C,표1[[#This Row],[명칭]])</f>
        <v>0</v>
      </c>
      <c r="O2452" s="65">
        <f>SUM(표1[[#This Row],[해양탐색]:[마을탐험]])</f>
        <v>0</v>
      </c>
    </row>
    <row r="2453" spans="2:15" ht="13.5" customHeight="1" x14ac:dyDescent="0.3">
      <c r="B2453" s="9">
        <f>[1]Discovery!A2459</f>
        <v>70416014</v>
      </c>
      <c r="C2453" s="9" t="str">
        <f>[1]Discovery!B2459</f>
        <v>막달라 마리아</v>
      </c>
      <c r="D2453" s="9" t="str">
        <f>[1]Discovery!E2459</f>
        <v>보물</v>
      </c>
      <c r="E2453" s="9" t="str">
        <f>[1]Discovery!C2459</f>
        <v>미술품</v>
      </c>
      <c r="F2453" s="9" t="str">
        <f>[1]Discovery!G2459</f>
        <v>B</v>
      </c>
      <c r="G2453" s="9" t="str">
        <f>IFERROR(VLOOKUP(표1[[#This Row],[명칭]],'문화권 정리'!C:D,2,FALSE),"-")</f>
        <v>지중해</v>
      </c>
      <c r="H2453" s="38" t="str">
        <f>IFERROR(COUNTIF([2]OceanDoodad!$Y:$Y,표1[[#This Row],[명칭]]),"-")</f>
        <v>-</v>
      </c>
      <c r="I2453" s="38">
        <f>IFERROR(COUNTIF([1]AdventureDiscoveryGroup!$D$8:$AW$92,표1[[#This Row],[명칭]]),"-")</f>
        <v>0</v>
      </c>
      <c r="J2453" s="38">
        <f>IFERROR(COUNTIF([1]FishDiscoveryGroup!$A:$X,표1[[#This Row],[명칭]]),"-")</f>
        <v>0</v>
      </c>
      <c r="K2453" s="38" t="str">
        <f>IFERROR(COUNTIF([2]Town!$B:$B,표1[[#This Row],[명칭]]),"-")</f>
        <v>-</v>
      </c>
      <c r="L2453" s="38">
        <f>IFERROR(COUNTIF([1]Village!$BR:$BR,표1[[#This Row],[명칭]]),"-")</f>
        <v>0</v>
      </c>
      <c r="M2453" s="38">
        <f>COUNTIF(퀘스트!B:B,표1[[#This Row],[명칭]])</f>
        <v>0</v>
      </c>
      <c r="N2453" s="65">
        <f>COUNTIF([1]VillageDiscoveryGroup!$C:$C,표1[[#This Row],[명칭]])</f>
        <v>0</v>
      </c>
      <c r="O2453" s="65">
        <f>SUM(표1[[#This Row],[해양탐색]:[마을탐험]])</f>
        <v>0</v>
      </c>
    </row>
    <row r="2454" spans="2:15" ht="13.5" customHeight="1" x14ac:dyDescent="0.3">
      <c r="B2454" s="9">
        <f>[1]Discovery!A2460</f>
        <v>70416015</v>
      </c>
      <c r="C2454" s="9" t="str">
        <f>[1]Discovery!B2460</f>
        <v>막시밀리안의 수렵</v>
      </c>
      <c r="D2454" s="9" t="str">
        <f>[1]Discovery!E2460</f>
        <v>보물</v>
      </c>
      <c r="E2454" s="9" t="str">
        <f>[1]Discovery!C2460</f>
        <v>미술품</v>
      </c>
      <c r="F2454" s="9" t="str">
        <f>[1]Discovery!G2460</f>
        <v>S</v>
      </c>
      <c r="G2454" s="9" t="str">
        <f>IFERROR(VLOOKUP(표1[[#This Row],[명칭]],'문화권 정리'!C:D,2,FALSE),"-")</f>
        <v>지중해</v>
      </c>
      <c r="H2454" s="38" t="str">
        <f>IFERROR(COUNTIF([2]OceanDoodad!$Y:$Y,표1[[#This Row],[명칭]]),"-")</f>
        <v>-</v>
      </c>
      <c r="I2454" s="38">
        <f>IFERROR(COUNTIF([1]AdventureDiscoveryGroup!$D$8:$AW$92,표1[[#This Row],[명칭]]),"-")</f>
        <v>0</v>
      </c>
      <c r="J2454" s="38">
        <f>IFERROR(COUNTIF([1]FishDiscoveryGroup!$A:$X,표1[[#This Row],[명칭]]),"-")</f>
        <v>0</v>
      </c>
      <c r="K2454" s="38" t="str">
        <f>IFERROR(COUNTIF([2]Town!$B:$B,표1[[#This Row],[명칭]]),"-")</f>
        <v>-</v>
      </c>
      <c r="L2454" s="38">
        <f>IFERROR(COUNTIF([1]Village!$BR:$BR,표1[[#This Row],[명칭]]),"-")</f>
        <v>0</v>
      </c>
      <c r="M2454" s="38">
        <f>COUNTIF(퀘스트!B:B,표1[[#This Row],[명칭]])</f>
        <v>0</v>
      </c>
      <c r="N2454" s="65">
        <f>COUNTIF([1]VillageDiscoveryGroup!$C:$C,표1[[#This Row],[명칭]])</f>
        <v>0</v>
      </c>
      <c r="O2454" s="65">
        <f>SUM(표1[[#This Row],[해양탐색]:[마을탐험]])</f>
        <v>0</v>
      </c>
    </row>
    <row r="2455" spans="2:15" ht="13.5" customHeight="1" x14ac:dyDescent="0.3">
      <c r="B2455" s="9">
        <f>[1]Discovery!A2461</f>
        <v>70416016</v>
      </c>
      <c r="C2455" s="9" t="str">
        <f>[1]Discovery!B2461</f>
        <v>메추리와 난초</v>
      </c>
      <c r="D2455" s="9" t="str">
        <f>[1]Discovery!E2461</f>
        <v>보물</v>
      </c>
      <c r="E2455" s="9" t="str">
        <f>[1]Discovery!C2461</f>
        <v>미술품</v>
      </c>
      <c r="F2455" s="9" t="str">
        <f>[1]Discovery!G2461</f>
        <v>S</v>
      </c>
      <c r="G2455" s="9" t="str">
        <f>IFERROR(VLOOKUP(표1[[#This Row],[명칭]],'문화권 정리'!C:D,2,FALSE),"-")</f>
        <v>동아시아</v>
      </c>
      <c r="H2455" s="38" t="str">
        <f>IFERROR(COUNTIF([2]OceanDoodad!$Y:$Y,표1[[#This Row],[명칭]]),"-")</f>
        <v>-</v>
      </c>
      <c r="I2455" s="38">
        <f>IFERROR(COUNTIF([1]AdventureDiscoveryGroup!$D$8:$AW$92,표1[[#This Row],[명칭]]),"-")</f>
        <v>0</v>
      </c>
      <c r="J2455" s="38">
        <f>IFERROR(COUNTIF([1]FishDiscoveryGroup!$A:$X,표1[[#This Row],[명칭]]),"-")</f>
        <v>0</v>
      </c>
      <c r="K2455" s="38" t="str">
        <f>IFERROR(COUNTIF([2]Town!$B:$B,표1[[#This Row],[명칭]]),"-")</f>
        <v>-</v>
      </c>
      <c r="L2455" s="38">
        <f>IFERROR(COUNTIF([1]Village!$BR:$BR,표1[[#This Row],[명칭]]),"-")</f>
        <v>0</v>
      </c>
      <c r="M2455" s="38">
        <f>COUNTIF(퀘스트!B:B,표1[[#This Row],[명칭]])</f>
        <v>0</v>
      </c>
      <c r="N2455" s="65">
        <f>COUNTIF([1]VillageDiscoveryGroup!$C:$C,표1[[#This Row],[명칭]])</f>
        <v>0</v>
      </c>
      <c r="O2455" s="65">
        <f>SUM(표1[[#This Row],[해양탐색]:[마을탐험]])</f>
        <v>0</v>
      </c>
    </row>
    <row r="2456" spans="2:15" ht="13.5" customHeight="1" x14ac:dyDescent="0.3">
      <c r="B2456" s="9">
        <f>[1]Discovery!A2462</f>
        <v>70416018</v>
      </c>
      <c r="C2456" s="9" t="str">
        <f>[1]Discovery!B2462</f>
        <v>모견도</v>
      </c>
      <c r="D2456" s="9" t="str">
        <f>[1]Discovery!E2462</f>
        <v>보물</v>
      </c>
      <c r="E2456" s="9" t="str">
        <f>[1]Discovery!C2462</f>
        <v>미술품</v>
      </c>
      <c r="F2456" s="9" t="str">
        <f>[1]Discovery!G2462</f>
        <v>C</v>
      </c>
      <c r="G2456" s="9" t="str">
        <f>IFERROR(VLOOKUP(표1[[#This Row],[명칭]],'문화권 정리'!C:D,2,FALSE),"-")</f>
        <v>동아시아</v>
      </c>
      <c r="H2456" s="38" t="str">
        <f>IFERROR(COUNTIF([2]OceanDoodad!$Y:$Y,표1[[#This Row],[명칭]]),"-")</f>
        <v>-</v>
      </c>
      <c r="I2456" s="38">
        <f>IFERROR(COUNTIF([1]AdventureDiscoveryGroup!$D$8:$AW$92,표1[[#This Row],[명칭]]),"-")</f>
        <v>0</v>
      </c>
      <c r="J2456" s="38">
        <f>IFERROR(COUNTIF([1]FishDiscoveryGroup!$A:$X,표1[[#This Row],[명칭]]),"-")</f>
        <v>0</v>
      </c>
      <c r="K2456" s="38" t="str">
        <f>IFERROR(COUNTIF([2]Town!$B:$B,표1[[#This Row],[명칭]]),"-")</f>
        <v>-</v>
      </c>
      <c r="L2456" s="38">
        <f>IFERROR(COUNTIF([1]Village!$BR:$BR,표1[[#This Row],[명칭]]),"-")</f>
        <v>0</v>
      </c>
      <c r="M2456" s="38">
        <f>COUNTIF(퀘스트!B:B,표1[[#This Row],[명칭]])</f>
        <v>0</v>
      </c>
      <c r="N2456" s="65">
        <f>COUNTIF([1]VillageDiscoveryGroup!$C:$C,표1[[#This Row],[명칭]])</f>
        <v>0</v>
      </c>
      <c r="O2456" s="65">
        <f>SUM(표1[[#This Row],[해양탐색]:[마을탐험]])</f>
        <v>0</v>
      </c>
    </row>
    <row r="2457" spans="2:15" ht="13.5" customHeight="1" x14ac:dyDescent="0.3">
      <c r="B2457" s="9">
        <f>[1]Discovery!A2463</f>
        <v>70416019</v>
      </c>
      <c r="C2457" s="9" t="str">
        <f>[1]Discovery!B2463</f>
        <v>모나리자</v>
      </c>
      <c r="D2457" s="9" t="str">
        <f>[1]Discovery!E2463</f>
        <v>보물</v>
      </c>
      <c r="E2457" s="9" t="str">
        <f>[1]Discovery!C2463</f>
        <v>미술품</v>
      </c>
      <c r="F2457" s="9" t="str">
        <f>[1]Discovery!G2463</f>
        <v>S</v>
      </c>
      <c r="G2457" s="9" t="str">
        <f>IFERROR(VLOOKUP(표1[[#This Row],[명칭]],'문화권 정리'!C:D,2,FALSE),"-")</f>
        <v>지중해</v>
      </c>
      <c r="H2457" s="38" t="str">
        <f>IFERROR(COUNTIF([2]OceanDoodad!$Y:$Y,표1[[#This Row],[명칭]]),"-")</f>
        <v>-</v>
      </c>
      <c r="I2457" s="38">
        <f>IFERROR(COUNTIF([1]AdventureDiscoveryGroup!$D$8:$AW$92,표1[[#This Row],[명칭]]),"-")</f>
        <v>0</v>
      </c>
      <c r="J2457" s="38">
        <f>IFERROR(COUNTIF([1]FishDiscoveryGroup!$A:$X,표1[[#This Row],[명칭]]),"-")</f>
        <v>0</v>
      </c>
      <c r="K2457" s="38" t="str">
        <f>IFERROR(COUNTIF([2]Town!$B:$B,표1[[#This Row],[명칭]]),"-")</f>
        <v>-</v>
      </c>
      <c r="L2457" s="38">
        <f>IFERROR(COUNTIF([1]Village!$BR:$BR,표1[[#This Row],[명칭]]),"-")</f>
        <v>0</v>
      </c>
      <c r="M2457" s="38">
        <f>COUNTIF(퀘스트!B:B,표1[[#This Row],[명칭]])</f>
        <v>1</v>
      </c>
      <c r="N2457" s="65">
        <f>COUNTIF([1]VillageDiscoveryGroup!$C:$C,표1[[#This Row],[명칭]])</f>
        <v>0</v>
      </c>
      <c r="O2457" s="65">
        <f>SUM(표1[[#This Row],[해양탐색]:[마을탐험]])</f>
        <v>1</v>
      </c>
    </row>
    <row r="2458" spans="2:15" ht="13.5" customHeight="1" x14ac:dyDescent="0.3">
      <c r="B2458" s="9">
        <f>[1]Discovery!A2464</f>
        <v>70416020</v>
      </c>
      <c r="C2458" s="9" t="str">
        <f>[1]Discovery!B2464</f>
        <v>모세</v>
      </c>
      <c r="D2458" s="9" t="str">
        <f>[1]Discovery!E2464</f>
        <v>보물</v>
      </c>
      <c r="E2458" s="9" t="str">
        <f>[1]Discovery!C2464</f>
        <v>미술품</v>
      </c>
      <c r="F2458" s="9" t="str">
        <f>[1]Discovery!G2464</f>
        <v>A</v>
      </c>
      <c r="G2458" s="9" t="str">
        <f>IFERROR(VLOOKUP(표1[[#This Row],[명칭]],'문화권 정리'!C:D,2,FALSE),"-")</f>
        <v>지중해</v>
      </c>
      <c r="H2458" s="38" t="str">
        <f>IFERROR(COUNTIF([2]OceanDoodad!$Y:$Y,표1[[#This Row],[명칭]]),"-")</f>
        <v>-</v>
      </c>
      <c r="I2458" s="38">
        <f>IFERROR(COUNTIF([1]AdventureDiscoveryGroup!$D$8:$AW$92,표1[[#This Row],[명칭]]),"-")</f>
        <v>1</v>
      </c>
      <c r="J2458" s="38">
        <f>IFERROR(COUNTIF([1]FishDiscoveryGroup!$A:$X,표1[[#This Row],[명칭]]),"-")</f>
        <v>0</v>
      </c>
      <c r="K2458" s="38" t="str">
        <f>IFERROR(COUNTIF([2]Town!$B:$B,표1[[#This Row],[명칭]]),"-")</f>
        <v>-</v>
      </c>
      <c r="L2458" s="38">
        <f>IFERROR(COUNTIF([1]Village!$BR:$BR,표1[[#This Row],[명칭]]),"-")</f>
        <v>0</v>
      </c>
      <c r="M2458" s="38">
        <f>COUNTIF(퀘스트!B:B,표1[[#This Row],[명칭]])</f>
        <v>0</v>
      </c>
      <c r="N2458" s="65">
        <f>COUNTIF([1]VillageDiscoveryGroup!$C:$C,표1[[#This Row],[명칭]])</f>
        <v>0</v>
      </c>
      <c r="O2458" s="65">
        <f>SUM(표1[[#This Row],[해양탐색]:[마을탐험]])</f>
        <v>1</v>
      </c>
    </row>
    <row r="2459" spans="2:15" ht="13.5" customHeight="1" x14ac:dyDescent="0.3">
      <c r="B2459" s="9">
        <f>[1]Discovery!A2465</f>
        <v>70416021</v>
      </c>
      <c r="C2459" s="9" t="str">
        <f>[1]Discovery!B2465</f>
        <v>목우도</v>
      </c>
      <c r="D2459" s="9" t="str">
        <f>[1]Discovery!E2465</f>
        <v>보물</v>
      </c>
      <c r="E2459" s="9" t="str">
        <f>[1]Discovery!C2465</f>
        <v>미술품</v>
      </c>
      <c r="F2459" s="9" t="str">
        <f>[1]Discovery!G2465</f>
        <v>B</v>
      </c>
      <c r="G2459" s="9" t="str">
        <f>IFERROR(VLOOKUP(표1[[#This Row],[명칭]],'문화권 정리'!C:D,2,FALSE),"-")</f>
        <v>동아시아</v>
      </c>
      <c r="H2459" s="38" t="str">
        <f>IFERROR(COUNTIF([2]OceanDoodad!$Y:$Y,표1[[#This Row],[명칭]]),"-")</f>
        <v>-</v>
      </c>
      <c r="I2459" s="38">
        <f>IFERROR(COUNTIF([1]AdventureDiscoveryGroup!$D$8:$AW$92,표1[[#This Row],[명칭]]),"-")</f>
        <v>0</v>
      </c>
      <c r="J2459" s="38">
        <f>IFERROR(COUNTIF([1]FishDiscoveryGroup!$A:$X,표1[[#This Row],[명칭]]),"-")</f>
        <v>0</v>
      </c>
      <c r="K2459" s="38" t="str">
        <f>IFERROR(COUNTIF([2]Town!$B:$B,표1[[#This Row],[명칭]]),"-")</f>
        <v>-</v>
      </c>
      <c r="L2459" s="38">
        <f>IFERROR(COUNTIF([1]Village!$BR:$BR,표1[[#This Row],[명칭]]),"-")</f>
        <v>0</v>
      </c>
      <c r="M2459" s="38">
        <f>COUNTIF(퀘스트!B:B,표1[[#This Row],[명칭]])</f>
        <v>0</v>
      </c>
      <c r="N2459" s="65">
        <f>COUNTIF([1]VillageDiscoveryGroup!$C:$C,표1[[#This Row],[명칭]])</f>
        <v>0</v>
      </c>
      <c r="O2459" s="65">
        <f>SUM(표1[[#This Row],[해양탐색]:[마을탐험]])</f>
        <v>0</v>
      </c>
    </row>
    <row r="2460" spans="2:15" ht="13.5" customHeight="1" x14ac:dyDescent="0.3">
      <c r="B2460" s="9">
        <f>[1]Discovery!A2466</f>
        <v>70416022</v>
      </c>
      <c r="C2460" s="9" t="str">
        <f>[1]Discovery!B2466</f>
        <v>몽유도원도</v>
      </c>
      <c r="D2460" s="9" t="str">
        <f>[1]Discovery!E2466</f>
        <v>보물</v>
      </c>
      <c r="E2460" s="9" t="str">
        <f>[1]Discovery!C2466</f>
        <v>미술품</v>
      </c>
      <c r="F2460" s="9" t="str">
        <f>[1]Discovery!G2466</f>
        <v>A</v>
      </c>
      <c r="G2460" s="9" t="str">
        <f>IFERROR(VLOOKUP(표1[[#This Row],[명칭]],'문화권 정리'!C:D,2,FALSE),"-")</f>
        <v>동아시아</v>
      </c>
      <c r="H2460" s="38" t="str">
        <f>IFERROR(COUNTIF([2]OceanDoodad!$Y:$Y,표1[[#This Row],[명칭]]),"-")</f>
        <v>-</v>
      </c>
      <c r="I2460" s="38">
        <f>IFERROR(COUNTIF([1]AdventureDiscoveryGroup!$D$8:$AW$92,표1[[#This Row],[명칭]]),"-")</f>
        <v>0</v>
      </c>
      <c r="J2460" s="38">
        <f>IFERROR(COUNTIF([1]FishDiscoveryGroup!$A:$X,표1[[#This Row],[명칭]]),"-")</f>
        <v>0</v>
      </c>
      <c r="K2460" s="38" t="str">
        <f>IFERROR(COUNTIF([2]Town!$B:$B,표1[[#This Row],[명칭]]),"-")</f>
        <v>-</v>
      </c>
      <c r="L2460" s="38">
        <f>IFERROR(COUNTIF([1]Village!$BR:$BR,표1[[#This Row],[명칭]]),"-")</f>
        <v>0</v>
      </c>
      <c r="M2460" s="38">
        <f>COUNTIF(퀘스트!B:B,표1[[#This Row],[명칭]])</f>
        <v>0</v>
      </c>
      <c r="N2460" s="65">
        <f>COUNTIF([1]VillageDiscoveryGroup!$C:$C,표1[[#This Row],[명칭]])</f>
        <v>0</v>
      </c>
      <c r="O2460" s="65">
        <f>SUM(표1[[#This Row],[해양탐색]:[마을탐험]])</f>
        <v>0</v>
      </c>
    </row>
    <row r="2461" spans="2:15" ht="13.5" customHeight="1" x14ac:dyDescent="0.3">
      <c r="B2461" s="9">
        <f>[1]Discovery!A2467</f>
        <v>70416023</v>
      </c>
      <c r="C2461" s="9" t="str">
        <f>[1]Discovery!B2467</f>
        <v>밀로의 비너스</v>
      </c>
      <c r="D2461" s="9" t="str">
        <f>[1]Discovery!E2467</f>
        <v>보물</v>
      </c>
      <c r="E2461" s="9" t="str">
        <f>[1]Discovery!C2467</f>
        <v>미술품</v>
      </c>
      <c r="F2461" s="9" t="str">
        <f>[1]Discovery!G2467</f>
        <v>B</v>
      </c>
      <c r="G2461" s="9" t="str">
        <f>IFERROR(VLOOKUP(표1[[#This Row],[명칭]],'문화권 정리'!C:D,2,FALSE),"-")</f>
        <v>지중해</v>
      </c>
      <c r="H2461" s="38" t="str">
        <f>IFERROR(COUNTIF([2]OceanDoodad!$Y:$Y,표1[[#This Row],[명칭]]),"-")</f>
        <v>-</v>
      </c>
      <c r="I2461" s="38">
        <f>IFERROR(COUNTIF([1]AdventureDiscoveryGroup!$D$8:$AW$92,표1[[#This Row],[명칭]]),"-")</f>
        <v>0</v>
      </c>
      <c r="J2461" s="38">
        <f>IFERROR(COUNTIF([1]FishDiscoveryGroup!$A:$X,표1[[#This Row],[명칭]]),"-")</f>
        <v>0</v>
      </c>
      <c r="K2461" s="38" t="str">
        <f>IFERROR(COUNTIF([2]Town!$B:$B,표1[[#This Row],[명칭]]),"-")</f>
        <v>-</v>
      </c>
      <c r="L2461" s="38">
        <f>IFERROR(COUNTIF([1]Village!$BR:$BR,표1[[#This Row],[명칭]]),"-")</f>
        <v>0</v>
      </c>
      <c r="M2461" s="38">
        <f>COUNTIF(퀘스트!B:B,표1[[#This Row],[명칭]])</f>
        <v>0</v>
      </c>
      <c r="N2461" s="65">
        <f>COUNTIF([1]VillageDiscoveryGroup!$C:$C,표1[[#This Row],[명칭]])</f>
        <v>0</v>
      </c>
      <c r="O2461" s="65">
        <f>SUM(표1[[#This Row],[해양탐색]:[마을탐험]])</f>
        <v>0</v>
      </c>
    </row>
    <row r="2462" spans="2:15" ht="13.5" customHeight="1" x14ac:dyDescent="0.3">
      <c r="B2462" s="9">
        <f>[1]Discovery!A2468</f>
        <v>70416024</v>
      </c>
      <c r="C2462" s="9" t="str">
        <f>[1]Discovery!B2468</f>
        <v>바이외 태피스트리</v>
      </c>
      <c r="D2462" s="9" t="str">
        <f>[1]Discovery!E2468</f>
        <v>보물</v>
      </c>
      <c r="E2462" s="9" t="str">
        <f>[1]Discovery!C2468</f>
        <v>미술품</v>
      </c>
      <c r="F2462" s="9" t="str">
        <f>[1]Discovery!G2468</f>
        <v>A</v>
      </c>
      <c r="G2462" s="9" t="str">
        <f>IFERROR(VLOOKUP(표1[[#This Row],[명칭]],'문화권 정리'!C:D,2,FALSE),"-")</f>
        <v>지중해</v>
      </c>
      <c r="H2462" s="38" t="str">
        <f>IFERROR(COUNTIF([2]OceanDoodad!$Y:$Y,표1[[#This Row],[명칭]]),"-")</f>
        <v>-</v>
      </c>
      <c r="I2462" s="38">
        <f>IFERROR(COUNTIF([1]AdventureDiscoveryGroup!$D$8:$AW$92,표1[[#This Row],[명칭]]),"-")</f>
        <v>1</v>
      </c>
      <c r="J2462" s="38">
        <f>IFERROR(COUNTIF([1]FishDiscoveryGroup!$A:$X,표1[[#This Row],[명칭]]),"-")</f>
        <v>0</v>
      </c>
      <c r="K2462" s="38" t="str">
        <f>IFERROR(COUNTIF([2]Town!$B:$B,표1[[#This Row],[명칭]]),"-")</f>
        <v>-</v>
      </c>
      <c r="L2462" s="38">
        <f>IFERROR(COUNTIF([1]Village!$BR:$BR,표1[[#This Row],[명칭]]),"-")</f>
        <v>0</v>
      </c>
      <c r="M2462" s="38">
        <f>COUNTIF(퀘스트!B:B,표1[[#This Row],[명칭]])</f>
        <v>0</v>
      </c>
      <c r="N2462" s="65">
        <f>COUNTIF([1]VillageDiscoveryGroup!$C:$C,표1[[#This Row],[명칭]])</f>
        <v>0</v>
      </c>
      <c r="O2462" s="65">
        <f>SUM(표1[[#This Row],[해양탐색]:[마을탐험]])</f>
        <v>1</v>
      </c>
    </row>
    <row r="2463" spans="2:15" ht="13.5" customHeight="1" x14ac:dyDescent="0.3">
      <c r="B2463" s="9">
        <f>[1]Discovery!A2469</f>
        <v>70416025</v>
      </c>
      <c r="C2463" s="9" t="str">
        <f>[1]Discovery!B2469</f>
        <v>베일을 쓴 여인</v>
      </c>
      <c r="D2463" s="9" t="str">
        <f>[1]Discovery!E2469</f>
        <v>보물</v>
      </c>
      <c r="E2463" s="9" t="str">
        <f>[1]Discovery!C2469</f>
        <v>미술품</v>
      </c>
      <c r="F2463" s="9" t="str">
        <f>[1]Discovery!G2469</f>
        <v>D</v>
      </c>
      <c r="G2463" s="9" t="str">
        <f>IFERROR(VLOOKUP(표1[[#This Row],[명칭]],'문화권 정리'!C:D,2,FALSE),"-")</f>
        <v>지중해</v>
      </c>
      <c r="H2463" s="38" t="str">
        <f>IFERROR(COUNTIF([2]OceanDoodad!$Y:$Y,표1[[#This Row],[명칭]]),"-")</f>
        <v>-</v>
      </c>
      <c r="I2463" s="38">
        <f>IFERROR(COUNTIF([1]AdventureDiscoveryGroup!$D$8:$AW$92,표1[[#This Row],[명칭]]),"-")</f>
        <v>1</v>
      </c>
      <c r="J2463" s="38">
        <f>IFERROR(COUNTIF([1]FishDiscoveryGroup!$A:$X,표1[[#This Row],[명칭]]),"-")</f>
        <v>0</v>
      </c>
      <c r="K2463" s="38" t="str">
        <f>IFERROR(COUNTIF([2]Town!$B:$B,표1[[#This Row],[명칭]]),"-")</f>
        <v>-</v>
      </c>
      <c r="L2463" s="38">
        <f>IFERROR(COUNTIF([1]Village!$BR:$BR,표1[[#This Row],[명칭]]),"-")</f>
        <v>0</v>
      </c>
      <c r="M2463" s="38">
        <f>COUNTIF(퀘스트!B:B,표1[[#This Row],[명칭]])</f>
        <v>0</v>
      </c>
      <c r="N2463" s="65">
        <f>COUNTIF([1]VillageDiscoveryGroup!$C:$C,표1[[#This Row],[명칭]])</f>
        <v>0</v>
      </c>
      <c r="O2463" s="65">
        <f>SUM(표1[[#This Row],[해양탐색]:[마을탐험]])</f>
        <v>1</v>
      </c>
    </row>
    <row r="2464" spans="2:15" ht="13.5" customHeight="1" x14ac:dyDescent="0.3">
      <c r="B2464" s="9">
        <f>[1]Discovery!A2470</f>
        <v>70416026</v>
      </c>
      <c r="C2464" s="9" t="str">
        <f>[1]Discovery!B2470</f>
        <v>부춘산거도</v>
      </c>
      <c r="D2464" s="9" t="str">
        <f>[1]Discovery!E2470</f>
        <v>보물</v>
      </c>
      <c r="E2464" s="9" t="str">
        <f>[1]Discovery!C2470</f>
        <v>미술품</v>
      </c>
      <c r="F2464" s="9" t="str">
        <f>[1]Discovery!G2470</f>
        <v>A</v>
      </c>
      <c r="G2464" s="9" t="str">
        <f>IFERROR(VLOOKUP(표1[[#This Row],[명칭]],'문화권 정리'!C:D,2,FALSE),"-")</f>
        <v>동아시아</v>
      </c>
      <c r="H2464" s="38" t="str">
        <f>IFERROR(COUNTIF([2]OceanDoodad!$Y:$Y,표1[[#This Row],[명칭]]),"-")</f>
        <v>-</v>
      </c>
      <c r="I2464" s="38">
        <f>IFERROR(COUNTIF([1]AdventureDiscoveryGroup!$D$8:$AW$92,표1[[#This Row],[명칭]]),"-")</f>
        <v>0</v>
      </c>
      <c r="J2464" s="38">
        <f>IFERROR(COUNTIF([1]FishDiscoveryGroup!$A:$X,표1[[#This Row],[명칭]]),"-")</f>
        <v>0</v>
      </c>
      <c r="K2464" s="38" t="str">
        <f>IFERROR(COUNTIF([2]Town!$B:$B,표1[[#This Row],[명칭]]),"-")</f>
        <v>-</v>
      </c>
      <c r="L2464" s="38">
        <f>IFERROR(COUNTIF([1]Village!$BR:$BR,표1[[#This Row],[명칭]]),"-")</f>
        <v>0</v>
      </c>
      <c r="M2464" s="38">
        <f>COUNTIF(퀘스트!B:B,표1[[#This Row],[명칭]])</f>
        <v>0</v>
      </c>
      <c r="N2464" s="65">
        <f>COUNTIF([1]VillageDiscoveryGroup!$C:$C,표1[[#This Row],[명칭]])</f>
        <v>0</v>
      </c>
      <c r="O2464" s="65">
        <f>SUM(표1[[#This Row],[해양탐색]:[마을탐험]])</f>
        <v>0</v>
      </c>
    </row>
    <row r="2465" spans="2:15" ht="13.5" customHeight="1" x14ac:dyDescent="0.3">
      <c r="B2465" s="9">
        <f>[1]Discovery!A2471</f>
        <v>70416027</v>
      </c>
      <c r="C2465" s="9" t="str">
        <f>[1]Discovery!B2471</f>
        <v>비너스의 탄생</v>
      </c>
      <c r="D2465" s="9" t="str">
        <f>[1]Discovery!E2471</f>
        <v>보물</v>
      </c>
      <c r="E2465" s="9" t="str">
        <f>[1]Discovery!C2471</f>
        <v>미술품</v>
      </c>
      <c r="F2465" s="9" t="str">
        <f>[1]Discovery!G2471</f>
        <v>S</v>
      </c>
      <c r="G2465" s="9" t="str">
        <f>IFERROR(VLOOKUP(표1[[#This Row],[명칭]],'문화권 정리'!C:D,2,FALSE),"-")</f>
        <v>지중해</v>
      </c>
      <c r="H2465" s="38" t="str">
        <f>IFERROR(COUNTIF([2]OceanDoodad!$Y:$Y,표1[[#This Row],[명칭]]),"-")</f>
        <v>-</v>
      </c>
      <c r="I2465" s="38">
        <f>IFERROR(COUNTIF([1]AdventureDiscoveryGroup!$D$8:$AW$92,표1[[#This Row],[명칭]]),"-")</f>
        <v>0</v>
      </c>
      <c r="J2465" s="38">
        <f>IFERROR(COUNTIF([1]FishDiscoveryGroup!$A:$X,표1[[#This Row],[명칭]]),"-")</f>
        <v>0</v>
      </c>
      <c r="K2465" s="38" t="str">
        <f>IFERROR(COUNTIF([2]Town!$B:$B,표1[[#This Row],[명칭]]),"-")</f>
        <v>-</v>
      </c>
      <c r="L2465" s="38">
        <f>IFERROR(COUNTIF([1]Village!$BR:$BR,표1[[#This Row],[명칭]]),"-")</f>
        <v>0</v>
      </c>
      <c r="M2465" s="38">
        <f>COUNTIF(퀘스트!B:B,표1[[#This Row],[명칭]])</f>
        <v>0</v>
      </c>
      <c r="N2465" s="65">
        <f>COUNTIF([1]VillageDiscoveryGroup!$C:$C,표1[[#This Row],[명칭]])</f>
        <v>0</v>
      </c>
      <c r="O2465" s="65">
        <f>SUM(표1[[#This Row],[해양탐색]:[마을탐험]])</f>
        <v>0</v>
      </c>
    </row>
    <row r="2466" spans="2:15" ht="13.5" customHeight="1" x14ac:dyDescent="0.3">
      <c r="B2466" s="9">
        <f>[1]Discovery!A2472</f>
        <v>70416028</v>
      </c>
      <c r="C2466" s="9" t="str">
        <f>[1]Discovery!B2472</f>
        <v>비트루비우스의 인체도</v>
      </c>
      <c r="D2466" s="9" t="str">
        <f>[1]Discovery!E2472</f>
        <v>보물</v>
      </c>
      <c r="E2466" s="9" t="str">
        <f>[1]Discovery!C2472</f>
        <v>미술품</v>
      </c>
      <c r="F2466" s="9" t="str">
        <f>[1]Discovery!G2472</f>
        <v>B</v>
      </c>
      <c r="G2466" s="9" t="str">
        <f>IFERROR(VLOOKUP(표1[[#This Row],[명칭]],'문화권 정리'!C:D,2,FALSE),"-")</f>
        <v>지중해</v>
      </c>
      <c r="H2466" s="38" t="str">
        <f>IFERROR(COUNTIF([2]OceanDoodad!$Y:$Y,표1[[#This Row],[명칭]]),"-")</f>
        <v>-</v>
      </c>
      <c r="I2466" s="38">
        <f>IFERROR(COUNTIF([1]AdventureDiscoveryGroup!$D$8:$AW$92,표1[[#This Row],[명칭]]),"-")</f>
        <v>0</v>
      </c>
      <c r="J2466" s="38">
        <f>IFERROR(COUNTIF([1]FishDiscoveryGroup!$A:$X,표1[[#This Row],[명칭]]),"-")</f>
        <v>0</v>
      </c>
      <c r="K2466" s="38" t="str">
        <f>IFERROR(COUNTIF([2]Town!$B:$B,표1[[#This Row],[명칭]]),"-")</f>
        <v>-</v>
      </c>
      <c r="L2466" s="38">
        <f>IFERROR(COUNTIF([1]Village!$BR:$BR,표1[[#This Row],[명칭]]),"-")</f>
        <v>0</v>
      </c>
      <c r="M2466" s="38">
        <f>COUNTIF(퀘스트!B:B,표1[[#This Row],[명칭]])</f>
        <v>0</v>
      </c>
      <c r="N2466" s="65">
        <f>COUNTIF([1]VillageDiscoveryGroup!$C:$C,표1[[#This Row],[명칭]])</f>
        <v>0</v>
      </c>
      <c r="O2466" s="65">
        <f>SUM(표1[[#This Row],[해양탐색]:[마을탐험]])</f>
        <v>0</v>
      </c>
    </row>
    <row r="2467" spans="2:15" ht="13.5" customHeight="1" x14ac:dyDescent="0.3">
      <c r="B2467" s="9">
        <f>[1]Discovery!A2473</f>
        <v>70416029</v>
      </c>
      <c r="C2467" s="9" t="str">
        <f>[1]Discovery!B2473</f>
        <v>사계산수도</v>
      </c>
      <c r="D2467" s="9" t="str">
        <f>[1]Discovery!E2473</f>
        <v>보물</v>
      </c>
      <c r="E2467" s="9" t="str">
        <f>[1]Discovery!C2473</f>
        <v>미술품</v>
      </c>
      <c r="F2467" s="9" t="str">
        <f>[1]Discovery!G2473</f>
        <v>A</v>
      </c>
      <c r="G2467" s="9" t="str">
        <f>IFERROR(VLOOKUP(표1[[#This Row],[명칭]],'문화권 정리'!C:D,2,FALSE),"-")</f>
        <v>동아시아</v>
      </c>
      <c r="H2467" s="38" t="str">
        <f>IFERROR(COUNTIF([2]OceanDoodad!$Y:$Y,표1[[#This Row],[명칭]]),"-")</f>
        <v>-</v>
      </c>
      <c r="I2467" s="38">
        <f>IFERROR(COUNTIF([1]AdventureDiscoveryGroup!$D$8:$AW$92,표1[[#This Row],[명칭]]),"-")</f>
        <v>1</v>
      </c>
      <c r="J2467" s="38">
        <f>IFERROR(COUNTIF([1]FishDiscoveryGroup!$A:$X,표1[[#This Row],[명칭]]),"-")</f>
        <v>0</v>
      </c>
      <c r="K2467" s="38" t="str">
        <f>IFERROR(COUNTIF([2]Town!$B:$B,표1[[#This Row],[명칭]]),"-")</f>
        <v>-</v>
      </c>
      <c r="L2467" s="38">
        <f>IFERROR(COUNTIF([1]Village!$BR:$BR,표1[[#This Row],[명칭]]),"-")</f>
        <v>0</v>
      </c>
      <c r="M2467" s="38">
        <f>COUNTIF(퀘스트!B:B,표1[[#This Row],[명칭]])</f>
        <v>0</v>
      </c>
      <c r="N2467" s="65">
        <f>COUNTIF([1]VillageDiscoveryGroup!$C:$C,표1[[#This Row],[명칭]])</f>
        <v>0</v>
      </c>
      <c r="O2467" s="65">
        <f>SUM(표1[[#This Row],[해양탐색]:[마을탐험]])</f>
        <v>1</v>
      </c>
    </row>
    <row r="2468" spans="2:15" ht="13.5" customHeight="1" x14ac:dyDescent="0.3">
      <c r="B2468" s="9">
        <f>[1]Discovery!A2474</f>
        <v>70416030</v>
      </c>
      <c r="C2468" s="9" t="str">
        <f>[1]Discovery!B2474</f>
        <v>사모트라케의 니케상</v>
      </c>
      <c r="D2468" s="9" t="str">
        <f>[1]Discovery!E2474</f>
        <v>보물</v>
      </c>
      <c r="E2468" s="9" t="str">
        <f>[1]Discovery!C2474</f>
        <v>종교유물</v>
      </c>
      <c r="F2468" s="9" t="str">
        <f>[1]Discovery!G2474</f>
        <v>A</v>
      </c>
      <c r="G2468" s="9" t="str">
        <f>IFERROR(VLOOKUP(표1[[#This Row],[명칭]],'문화권 정리'!C:D,2,FALSE),"-")</f>
        <v>지중해</v>
      </c>
      <c r="H2468" s="38" t="str">
        <f>IFERROR(COUNTIF([2]OceanDoodad!$Y:$Y,표1[[#This Row],[명칭]]),"-")</f>
        <v>-</v>
      </c>
      <c r="I2468" s="38">
        <f>IFERROR(COUNTIF([1]AdventureDiscoveryGroup!$D$8:$AW$92,표1[[#This Row],[명칭]]),"-")</f>
        <v>0</v>
      </c>
      <c r="J2468" s="38">
        <f>IFERROR(COUNTIF([1]FishDiscoveryGroup!$A:$X,표1[[#This Row],[명칭]]),"-")</f>
        <v>0</v>
      </c>
      <c r="K2468" s="38" t="str">
        <f>IFERROR(COUNTIF([2]Town!$B:$B,표1[[#This Row],[명칭]]),"-")</f>
        <v>-</v>
      </c>
      <c r="L2468" s="38">
        <f>IFERROR(COUNTIF([1]Village!$BR:$BR,표1[[#This Row],[명칭]]),"-")</f>
        <v>0</v>
      </c>
      <c r="M2468" s="38">
        <f>COUNTIF(퀘스트!B:B,표1[[#This Row],[명칭]])</f>
        <v>0</v>
      </c>
      <c r="N2468" s="65">
        <f>COUNTIF([1]VillageDiscoveryGroup!$C:$C,표1[[#This Row],[명칭]])</f>
        <v>0</v>
      </c>
      <c r="O2468" s="65">
        <f>SUM(표1[[#This Row],[해양탐색]:[마을탐험]])</f>
        <v>0</v>
      </c>
    </row>
    <row r="2469" spans="2:15" ht="13.5" customHeight="1" x14ac:dyDescent="0.3">
      <c r="B2469" s="9">
        <f>[1]Discovery!A2475</f>
        <v>70416031</v>
      </c>
      <c r="C2469" s="9" t="str">
        <f>[1]Discovery!B2475</f>
        <v>살리에라</v>
      </c>
      <c r="D2469" s="9" t="str">
        <f>[1]Discovery!E2475</f>
        <v>보물</v>
      </c>
      <c r="E2469" s="9" t="str">
        <f>[1]Discovery!C2475</f>
        <v>미술품</v>
      </c>
      <c r="F2469" s="9" t="str">
        <f>[1]Discovery!G2475</f>
        <v>A</v>
      </c>
      <c r="G2469" s="9" t="str">
        <f>IFERROR(VLOOKUP(표1[[#This Row],[명칭]],'문화권 정리'!C:D,2,FALSE),"-")</f>
        <v>지중해</v>
      </c>
      <c r="H2469" s="38" t="str">
        <f>IFERROR(COUNTIF([2]OceanDoodad!$Y:$Y,표1[[#This Row],[명칭]]),"-")</f>
        <v>-</v>
      </c>
      <c r="I2469" s="38">
        <f>IFERROR(COUNTIF([1]AdventureDiscoveryGroup!$D$8:$AW$92,표1[[#This Row],[명칭]]),"-")</f>
        <v>0</v>
      </c>
      <c r="J2469" s="38">
        <f>IFERROR(COUNTIF([1]FishDiscoveryGroup!$A:$X,표1[[#This Row],[명칭]]),"-")</f>
        <v>0</v>
      </c>
      <c r="K2469" s="38" t="str">
        <f>IFERROR(COUNTIF([2]Town!$B:$B,표1[[#This Row],[명칭]]),"-")</f>
        <v>-</v>
      </c>
      <c r="L2469" s="38">
        <f>IFERROR(COUNTIF([1]Village!$BR:$BR,표1[[#This Row],[명칭]]),"-")</f>
        <v>0</v>
      </c>
      <c r="M2469" s="38">
        <f>COUNTIF(퀘스트!B:B,표1[[#This Row],[명칭]])</f>
        <v>0</v>
      </c>
      <c r="N2469" s="65">
        <f>COUNTIF([1]VillageDiscoveryGroup!$C:$C,표1[[#This Row],[명칭]])</f>
        <v>0</v>
      </c>
      <c r="O2469" s="65">
        <f>SUM(표1[[#This Row],[해양탐색]:[마을탐험]])</f>
        <v>0</v>
      </c>
    </row>
    <row r="2470" spans="2:15" ht="13.5" customHeight="1" x14ac:dyDescent="0.3">
      <c r="B2470" s="9">
        <f>[1]Discovery!A2476</f>
        <v>70416032</v>
      </c>
      <c r="C2470" s="9" t="str">
        <f>[1]Discovery!B2476</f>
        <v>생 드니의 순교</v>
      </c>
      <c r="D2470" s="9" t="str">
        <f>[1]Discovery!E2476</f>
        <v>보물</v>
      </c>
      <c r="E2470" s="9" t="str">
        <f>[1]Discovery!C2476</f>
        <v>미술품</v>
      </c>
      <c r="F2470" s="9" t="str">
        <f>[1]Discovery!G2476</f>
        <v>B</v>
      </c>
      <c r="G2470" s="9" t="str">
        <f>IFERROR(VLOOKUP(표1[[#This Row],[명칭]],'문화권 정리'!C:D,2,FALSE),"-")</f>
        <v>지중해</v>
      </c>
      <c r="H2470" s="38" t="str">
        <f>IFERROR(COUNTIF([2]OceanDoodad!$Y:$Y,표1[[#This Row],[명칭]]),"-")</f>
        <v>-</v>
      </c>
      <c r="I2470" s="38">
        <f>IFERROR(COUNTIF([1]AdventureDiscoveryGroup!$D$8:$AW$92,표1[[#This Row],[명칭]]),"-")</f>
        <v>1</v>
      </c>
      <c r="J2470" s="38">
        <f>IFERROR(COUNTIF([1]FishDiscoveryGroup!$A:$X,표1[[#This Row],[명칭]]),"-")</f>
        <v>0</v>
      </c>
      <c r="K2470" s="38" t="str">
        <f>IFERROR(COUNTIF([2]Town!$B:$B,표1[[#This Row],[명칭]]),"-")</f>
        <v>-</v>
      </c>
      <c r="L2470" s="38">
        <f>IFERROR(COUNTIF([1]Village!$BR:$BR,표1[[#This Row],[명칭]]),"-")</f>
        <v>0</v>
      </c>
      <c r="M2470" s="38">
        <f>COUNTIF(퀘스트!B:B,표1[[#This Row],[명칭]])</f>
        <v>0</v>
      </c>
      <c r="N2470" s="65">
        <f>COUNTIF([1]VillageDiscoveryGroup!$C:$C,표1[[#This Row],[명칭]])</f>
        <v>0</v>
      </c>
      <c r="O2470" s="65">
        <f>SUM(표1[[#This Row],[해양탐색]:[마을탐험]])</f>
        <v>1</v>
      </c>
    </row>
    <row r="2471" spans="2:15" ht="13.5" customHeight="1" x14ac:dyDescent="0.3">
      <c r="B2471" s="9">
        <f>[1]Discovery!A2477</f>
        <v>70416033</v>
      </c>
      <c r="C2471" s="9" t="str">
        <f>[1]Discovery!B2477</f>
        <v>성가족</v>
      </c>
      <c r="D2471" s="9" t="str">
        <f>[1]Discovery!E2477</f>
        <v>보물</v>
      </c>
      <c r="E2471" s="9" t="str">
        <f>[1]Discovery!C2477</f>
        <v>미술품</v>
      </c>
      <c r="F2471" s="9" t="str">
        <f>[1]Discovery!G2477</f>
        <v>B</v>
      </c>
      <c r="G2471" s="9" t="str">
        <f>IFERROR(VLOOKUP(표1[[#This Row],[명칭]],'문화권 정리'!C:D,2,FALSE),"-")</f>
        <v>지중해</v>
      </c>
      <c r="H2471" s="38" t="str">
        <f>IFERROR(COUNTIF([2]OceanDoodad!$Y:$Y,표1[[#This Row],[명칭]]),"-")</f>
        <v>-</v>
      </c>
      <c r="I2471" s="38">
        <f>IFERROR(COUNTIF([1]AdventureDiscoveryGroup!$D$8:$AW$92,표1[[#This Row],[명칭]]),"-")</f>
        <v>0</v>
      </c>
      <c r="J2471" s="38">
        <f>IFERROR(COUNTIF([1]FishDiscoveryGroup!$A:$X,표1[[#This Row],[명칭]]),"-")</f>
        <v>0</v>
      </c>
      <c r="K2471" s="38" t="str">
        <f>IFERROR(COUNTIF([2]Town!$B:$B,표1[[#This Row],[명칭]]),"-")</f>
        <v>-</v>
      </c>
      <c r="L2471" s="38">
        <f>IFERROR(COUNTIF([1]Village!$BR:$BR,표1[[#This Row],[명칭]]),"-")</f>
        <v>0</v>
      </c>
      <c r="M2471" s="38">
        <f>COUNTIF(퀘스트!B:B,표1[[#This Row],[명칭]])</f>
        <v>0</v>
      </c>
      <c r="N2471" s="65">
        <f>COUNTIF([1]VillageDiscoveryGroup!$C:$C,표1[[#This Row],[명칭]])</f>
        <v>0</v>
      </c>
      <c r="O2471" s="65">
        <f>SUM(표1[[#This Row],[해양탐색]:[마을탐험]])</f>
        <v>0</v>
      </c>
    </row>
    <row r="2472" spans="2:15" ht="13.5" customHeight="1" x14ac:dyDescent="0.3">
      <c r="B2472" s="9">
        <f>[1]Discovery!A2478</f>
        <v>70416034</v>
      </c>
      <c r="C2472" s="9" t="str">
        <f>[1]Discovery!B2478</f>
        <v>성녀 베로니카</v>
      </c>
      <c r="D2472" s="9" t="str">
        <f>[1]Discovery!E2478</f>
        <v>보물</v>
      </c>
      <c r="E2472" s="9" t="str">
        <f>[1]Discovery!C2478</f>
        <v>미술품</v>
      </c>
      <c r="F2472" s="9" t="str">
        <f>[1]Discovery!G2478</f>
        <v>A</v>
      </c>
      <c r="G2472" s="9" t="str">
        <f>IFERROR(VLOOKUP(표1[[#This Row],[명칭]],'문화권 정리'!C:D,2,FALSE),"-")</f>
        <v>지중해</v>
      </c>
      <c r="H2472" s="38" t="str">
        <f>IFERROR(COUNTIF([2]OceanDoodad!$Y:$Y,표1[[#This Row],[명칭]]),"-")</f>
        <v>-</v>
      </c>
      <c r="I2472" s="38">
        <f>IFERROR(COUNTIF([1]AdventureDiscoveryGroup!$D$8:$AW$92,표1[[#This Row],[명칭]]),"-")</f>
        <v>0</v>
      </c>
      <c r="J2472" s="38">
        <f>IFERROR(COUNTIF([1]FishDiscoveryGroup!$A:$X,표1[[#This Row],[명칭]]),"-")</f>
        <v>0</v>
      </c>
      <c r="K2472" s="38" t="str">
        <f>IFERROR(COUNTIF([2]Town!$B:$B,표1[[#This Row],[명칭]]),"-")</f>
        <v>-</v>
      </c>
      <c r="L2472" s="38">
        <f>IFERROR(COUNTIF([1]Village!$BR:$BR,표1[[#This Row],[명칭]]),"-")</f>
        <v>0</v>
      </c>
      <c r="M2472" s="38">
        <f>COUNTIF(퀘스트!B:B,표1[[#This Row],[명칭]])</f>
        <v>0</v>
      </c>
      <c r="N2472" s="65">
        <f>COUNTIF([1]VillageDiscoveryGroup!$C:$C,표1[[#This Row],[명칭]])</f>
        <v>0</v>
      </c>
      <c r="O2472" s="65">
        <f>SUM(표1[[#This Row],[해양탐색]:[마을탐험]])</f>
        <v>0</v>
      </c>
    </row>
    <row r="2473" spans="2:15" ht="13.5" customHeight="1" x14ac:dyDescent="0.3">
      <c r="B2473" s="9">
        <f>[1]Discovery!A2479</f>
        <v>70416035</v>
      </c>
      <c r="C2473" s="9" t="str">
        <f>[1]Discovery!B2479</f>
        <v>성모자와 두천사</v>
      </c>
      <c r="D2473" s="9" t="str">
        <f>[1]Discovery!E2479</f>
        <v>보물</v>
      </c>
      <c r="E2473" s="9" t="str">
        <f>[1]Discovery!C2479</f>
        <v>미술품</v>
      </c>
      <c r="F2473" s="9" t="str">
        <f>[1]Discovery!G2479</f>
        <v>B</v>
      </c>
      <c r="G2473" s="9" t="str">
        <f>IFERROR(VLOOKUP(표1[[#This Row],[명칭]],'문화권 정리'!C:D,2,FALSE),"-")</f>
        <v>지중해</v>
      </c>
      <c r="H2473" s="38" t="str">
        <f>IFERROR(COUNTIF([2]OceanDoodad!$Y:$Y,표1[[#This Row],[명칭]]),"-")</f>
        <v>-</v>
      </c>
      <c r="I2473" s="38">
        <f>IFERROR(COUNTIF([1]AdventureDiscoveryGroup!$D$8:$AW$92,표1[[#This Row],[명칭]]),"-")</f>
        <v>0</v>
      </c>
      <c r="J2473" s="38">
        <f>IFERROR(COUNTIF([1]FishDiscoveryGroup!$A:$X,표1[[#This Row],[명칭]]),"-")</f>
        <v>0</v>
      </c>
      <c r="K2473" s="38" t="str">
        <f>IFERROR(COUNTIF([2]Town!$B:$B,표1[[#This Row],[명칭]]),"-")</f>
        <v>-</v>
      </c>
      <c r="L2473" s="38">
        <f>IFERROR(COUNTIF([1]Village!$BR:$BR,표1[[#This Row],[명칭]]),"-")</f>
        <v>0</v>
      </c>
      <c r="M2473" s="38">
        <f>COUNTIF(퀘스트!B:B,표1[[#This Row],[명칭]])</f>
        <v>0</v>
      </c>
      <c r="N2473" s="65">
        <f>COUNTIF([1]VillageDiscoveryGroup!$C:$C,표1[[#This Row],[명칭]])</f>
        <v>0</v>
      </c>
      <c r="O2473" s="65">
        <f>SUM(표1[[#This Row],[해양탐색]:[마을탐험]])</f>
        <v>0</v>
      </c>
    </row>
    <row r="2474" spans="2:15" ht="13.5" customHeight="1" x14ac:dyDescent="0.3">
      <c r="B2474" s="9">
        <f>[1]Discovery!A2480</f>
        <v>70416036</v>
      </c>
      <c r="C2474" s="9" t="str">
        <f>[1]Discovery!B2480</f>
        <v>성모자와 성 요한</v>
      </c>
      <c r="D2474" s="9" t="str">
        <f>[1]Discovery!E2480</f>
        <v>보물</v>
      </c>
      <c r="E2474" s="9" t="str">
        <f>[1]Discovery!C2480</f>
        <v>미술품</v>
      </c>
      <c r="F2474" s="9" t="str">
        <f>[1]Discovery!G2480</f>
        <v>B</v>
      </c>
      <c r="G2474" s="9" t="str">
        <f>IFERROR(VLOOKUP(표1[[#This Row],[명칭]],'문화권 정리'!C:D,2,FALSE),"-")</f>
        <v>지중해</v>
      </c>
      <c r="H2474" s="38" t="str">
        <f>IFERROR(COUNTIF([2]OceanDoodad!$Y:$Y,표1[[#This Row],[명칭]]),"-")</f>
        <v>-</v>
      </c>
      <c r="I2474" s="38">
        <f>IFERROR(COUNTIF([1]AdventureDiscoveryGroup!$D$8:$AW$92,표1[[#This Row],[명칭]]),"-")</f>
        <v>0</v>
      </c>
      <c r="J2474" s="38">
        <f>IFERROR(COUNTIF([1]FishDiscoveryGroup!$A:$X,표1[[#This Row],[명칭]]),"-")</f>
        <v>0</v>
      </c>
      <c r="K2474" s="38" t="str">
        <f>IFERROR(COUNTIF([2]Town!$B:$B,표1[[#This Row],[명칭]]),"-")</f>
        <v>-</v>
      </c>
      <c r="L2474" s="38">
        <f>IFERROR(COUNTIF([1]Village!$BR:$BR,표1[[#This Row],[명칭]]),"-")</f>
        <v>0</v>
      </c>
      <c r="M2474" s="38">
        <f>COUNTIF(퀘스트!B:B,표1[[#This Row],[명칭]])</f>
        <v>0</v>
      </c>
      <c r="N2474" s="65">
        <f>COUNTIF([1]VillageDiscoveryGroup!$C:$C,표1[[#This Row],[명칭]])</f>
        <v>0</v>
      </c>
      <c r="O2474" s="65">
        <f>SUM(표1[[#This Row],[해양탐색]:[마을탐험]])</f>
        <v>0</v>
      </c>
    </row>
    <row r="2475" spans="2:15" ht="13.5" customHeight="1" x14ac:dyDescent="0.3">
      <c r="B2475" s="9">
        <f>[1]Discovery!A2481</f>
        <v>70416037</v>
      </c>
      <c r="C2475" s="9" t="str">
        <f>[1]Discovery!B2481</f>
        <v>성모자와 아기 성 요한</v>
      </c>
      <c r="D2475" s="9" t="str">
        <f>[1]Discovery!E2481</f>
        <v>보물</v>
      </c>
      <c r="E2475" s="9" t="str">
        <f>[1]Discovery!C2481</f>
        <v>미술품</v>
      </c>
      <c r="F2475" s="9" t="str">
        <f>[1]Discovery!G2481</f>
        <v>C</v>
      </c>
      <c r="G2475" s="9" t="str">
        <f>IFERROR(VLOOKUP(표1[[#This Row],[명칭]],'문화권 정리'!C:D,2,FALSE),"-")</f>
        <v>지중해</v>
      </c>
      <c r="H2475" s="38" t="str">
        <f>IFERROR(COUNTIF([2]OceanDoodad!$Y:$Y,표1[[#This Row],[명칭]]),"-")</f>
        <v>-</v>
      </c>
      <c r="I2475" s="38">
        <f>IFERROR(COUNTIF([1]AdventureDiscoveryGroup!$D$8:$AW$92,표1[[#This Row],[명칭]]),"-")</f>
        <v>0</v>
      </c>
      <c r="J2475" s="38">
        <f>IFERROR(COUNTIF([1]FishDiscoveryGroup!$A:$X,표1[[#This Row],[명칭]]),"-")</f>
        <v>0</v>
      </c>
      <c r="K2475" s="38" t="str">
        <f>IFERROR(COUNTIF([2]Town!$B:$B,표1[[#This Row],[명칭]]),"-")</f>
        <v>-</v>
      </c>
      <c r="L2475" s="38">
        <f>IFERROR(COUNTIF([1]Village!$BR:$BR,표1[[#This Row],[명칭]]),"-")</f>
        <v>0</v>
      </c>
      <c r="M2475" s="38">
        <f>COUNTIF(퀘스트!B:B,표1[[#This Row],[명칭]])</f>
        <v>0</v>
      </c>
      <c r="N2475" s="65">
        <f>COUNTIF([1]VillageDiscoveryGroup!$C:$C,표1[[#This Row],[명칭]])</f>
        <v>0</v>
      </c>
      <c r="O2475" s="65">
        <f>SUM(표1[[#This Row],[해양탐색]:[마을탐험]])</f>
        <v>0</v>
      </c>
    </row>
    <row r="2476" spans="2:15" ht="13.5" customHeight="1" x14ac:dyDescent="0.3">
      <c r="B2476" s="9">
        <f>[1]Discovery!A2482</f>
        <v>70416038</v>
      </c>
      <c r="C2476" s="9" t="str">
        <f>[1]Discovery!B2482</f>
        <v>성모승천</v>
      </c>
      <c r="D2476" s="9" t="str">
        <f>[1]Discovery!E2482</f>
        <v>보물</v>
      </c>
      <c r="E2476" s="9" t="str">
        <f>[1]Discovery!C2482</f>
        <v>미술품</v>
      </c>
      <c r="F2476" s="9" t="str">
        <f>[1]Discovery!G2482</f>
        <v>S</v>
      </c>
      <c r="G2476" s="9" t="str">
        <f>IFERROR(VLOOKUP(표1[[#This Row],[명칭]],'문화권 정리'!C:D,2,FALSE),"-")</f>
        <v>지중해</v>
      </c>
      <c r="H2476" s="38" t="str">
        <f>IFERROR(COUNTIF([2]OceanDoodad!$Y:$Y,표1[[#This Row],[명칭]]),"-")</f>
        <v>-</v>
      </c>
      <c r="I2476" s="38">
        <f>IFERROR(COUNTIF([1]AdventureDiscoveryGroup!$D$8:$AW$92,표1[[#This Row],[명칭]]),"-")</f>
        <v>0</v>
      </c>
      <c r="J2476" s="38">
        <f>IFERROR(COUNTIF([1]FishDiscoveryGroup!$A:$X,표1[[#This Row],[명칭]]),"-")</f>
        <v>0</v>
      </c>
      <c r="K2476" s="38" t="str">
        <f>IFERROR(COUNTIF([2]Town!$B:$B,표1[[#This Row],[명칭]]),"-")</f>
        <v>-</v>
      </c>
      <c r="L2476" s="38">
        <f>IFERROR(COUNTIF([1]Village!$BR:$BR,표1[[#This Row],[명칭]]),"-")</f>
        <v>0</v>
      </c>
      <c r="M2476" s="38">
        <f>COUNTIF(퀘스트!B:B,표1[[#This Row],[명칭]])</f>
        <v>0</v>
      </c>
      <c r="N2476" s="65">
        <f>COUNTIF([1]VillageDiscoveryGroup!$C:$C,표1[[#This Row],[명칭]])</f>
        <v>0</v>
      </c>
      <c r="O2476" s="65">
        <f>SUM(표1[[#This Row],[해양탐색]:[마을탐험]])</f>
        <v>0</v>
      </c>
    </row>
    <row r="2477" spans="2:15" ht="13.5" customHeight="1" x14ac:dyDescent="0.3">
      <c r="B2477" s="9">
        <f>[1]Discovery!A2483</f>
        <v>70416039</v>
      </c>
      <c r="C2477" s="9" t="str">
        <f>[1]Discovery!B2483</f>
        <v>성 안나와 성모자</v>
      </c>
      <c r="D2477" s="9" t="str">
        <f>[1]Discovery!E2483</f>
        <v>보물</v>
      </c>
      <c r="E2477" s="9" t="str">
        <f>[1]Discovery!C2483</f>
        <v>미술품</v>
      </c>
      <c r="F2477" s="9" t="str">
        <f>[1]Discovery!G2483</f>
        <v>A</v>
      </c>
      <c r="G2477" s="9" t="str">
        <f>IFERROR(VLOOKUP(표1[[#This Row],[명칭]],'문화권 정리'!C:D,2,FALSE),"-")</f>
        <v>지중해</v>
      </c>
      <c r="H2477" s="38" t="str">
        <f>IFERROR(COUNTIF([2]OceanDoodad!$Y:$Y,표1[[#This Row],[명칭]]),"-")</f>
        <v>-</v>
      </c>
      <c r="I2477" s="38">
        <f>IFERROR(COUNTIF([1]AdventureDiscoveryGroup!$D$8:$AW$92,표1[[#This Row],[명칭]]),"-")</f>
        <v>0</v>
      </c>
      <c r="J2477" s="38">
        <f>IFERROR(COUNTIF([1]FishDiscoveryGroup!$A:$X,표1[[#This Row],[명칭]]),"-")</f>
        <v>0</v>
      </c>
      <c r="K2477" s="38" t="str">
        <f>IFERROR(COUNTIF([2]Town!$B:$B,표1[[#This Row],[명칭]]),"-")</f>
        <v>-</v>
      </c>
      <c r="L2477" s="38">
        <f>IFERROR(COUNTIF([1]Village!$BR:$BR,표1[[#This Row],[명칭]]),"-")</f>
        <v>0</v>
      </c>
      <c r="M2477" s="38">
        <f>COUNTIF(퀘스트!B:B,표1[[#This Row],[명칭]])</f>
        <v>0</v>
      </c>
      <c r="N2477" s="65">
        <f>COUNTIF([1]VillageDiscoveryGroup!$C:$C,표1[[#This Row],[명칭]])</f>
        <v>0</v>
      </c>
      <c r="O2477" s="65">
        <f>SUM(표1[[#This Row],[해양탐색]:[마을탐험]])</f>
        <v>0</v>
      </c>
    </row>
    <row r="2478" spans="2:15" ht="13.5" customHeight="1" x14ac:dyDescent="0.3">
      <c r="B2478" s="9">
        <f>[1]Discovery!A2484</f>
        <v>70416040</v>
      </c>
      <c r="C2478" s="9" t="str">
        <f>[1]Discovery!B2484</f>
        <v>성 제롬과 사자</v>
      </c>
      <c r="D2478" s="9" t="str">
        <f>[1]Discovery!E2484</f>
        <v>보물</v>
      </c>
      <c r="E2478" s="9" t="str">
        <f>[1]Discovery!C2484</f>
        <v>미술품</v>
      </c>
      <c r="F2478" s="9" t="str">
        <f>[1]Discovery!G2484</f>
        <v>C</v>
      </c>
      <c r="G2478" s="9" t="str">
        <f>IFERROR(VLOOKUP(표1[[#This Row],[명칭]],'문화권 정리'!C:D,2,FALSE),"-")</f>
        <v>지중해</v>
      </c>
      <c r="H2478" s="38" t="str">
        <f>IFERROR(COUNTIF([2]OceanDoodad!$Y:$Y,표1[[#This Row],[명칭]]),"-")</f>
        <v>-</v>
      </c>
      <c r="I2478" s="38">
        <f>IFERROR(COUNTIF([1]AdventureDiscoveryGroup!$D$8:$AW$92,표1[[#This Row],[명칭]]),"-")</f>
        <v>0</v>
      </c>
      <c r="J2478" s="38">
        <f>IFERROR(COUNTIF([1]FishDiscoveryGroup!$A:$X,표1[[#This Row],[명칭]]),"-")</f>
        <v>0</v>
      </c>
      <c r="K2478" s="38" t="str">
        <f>IFERROR(COUNTIF([2]Town!$B:$B,표1[[#This Row],[명칭]]),"-")</f>
        <v>-</v>
      </c>
      <c r="L2478" s="38">
        <f>IFERROR(COUNTIF([1]Village!$BR:$BR,표1[[#This Row],[명칭]]),"-")</f>
        <v>0</v>
      </c>
      <c r="M2478" s="38">
        <f>COUNTIF(퀘스트!B:B,표1[[#This Row],[명칭]])</f>
        <v>0</v>
      </c>
      <c r="N2478" s="65">
        <f>COUNTIF([1]VillageDiscoveryGroup!$C:$C,표1[[#This Row],[명칭]])</f>
        <v>0</v>
      </c>
      <c r="O2478" s="65">
        <f>SUM(표1[[#This Row],[해양탐색]:[마을탐험]])</f>
        <v>0</v>
      </c>
    </row>
    <row r="2479" spans="2:15" ht="13.5" customHeight="1" x14ac:dyDescent="0.3">
      <c r="B2479" s="9">
        <f>[1]Discovery!A2485</f>
        <v>70416041</v>
      </c>
      <c r="C2479" s="9" t="str">
        <f>[1]Discovery!B2485</f>
        <v>세례자 요한</v>
      </c>
      <c r="D2479" s="9" t="str">
        <f>[1]Discovery!E2485</f>
        <v>보물</v>
      </c>
      <c r="E2479" s="9" t="str">
        <f>[1]Discovery!C2485</f>
        <v>미술품</v>
      </c>
      <c r="F2479" s="9" t="str">
        <f>[1]Discovery!G2485</f>
        <v>S</v>
      </c>
      <c r="G2479" s="9" t="str">
        <f>IFERROR(VLOOKUP(표1[[#This Row],[명칭]],'문화권 정리'!C:D,2,FALSE),"-")</f>
        <v>지중해</v>
      </c>
      <c r="H2479" s="38" t="str">
        <f>IFERROR(COUNTIF([2]OceanDoodad!$Y:$Y,표1[[#This Row],[명칭]]),"-")</f>
        <v>-</v>
      </c>
      <c r="I2479" s="38">
        <f>IFERROR(COUNTIF([1]AdventureDiscoveryGroup!$D$8:$AW$92,표1[[#This Row],[명칭]]),"-")</f>
        <v>0</v>
      </c>
      <c r="J2479" s="38">
        <f>IFERROR(COUNTIF([1]FishDiscoveryGroup!$A:$X,표1[[#This Row],[명칭]]),"-")</f>
        <v>0</v>
      </c>
      <c r="K2479" s="38" t="str">
        <f>IFERROR(COUNTIF([2]Town!$B:$B,표1[[#This Row],[명칭]]),"-")</f>
        <v>-</v>
      </c>
      <c r="L2479" s="38">
        <f>IFERROR(COUNTIF([1]Village!$BR:$BR,표1[[#This Row],[명칭]]),"-")</f>
        <v>0</v>
      </c>
      <c r="M2479" s="38">
        <f>COUNTIF(퀘스트!B:B,표1[[#This Row],[명칭]])</f>
        <v>0</v>
      </c>
      <c r="N2479" s="65">
        <f>COUNTIF([1]VillageDiscoveryGroup!$C:$C,표1[[#This Row],[명칭]])</f>
        <v>0</v>
      </c>
      <c r="O2479" s="65">
        <f>SUM(표1[[#This Row],[해양탐색]:[마을탐험]])</f>
        <v>0</v>
      </c>
    </row>
    <row r="2480" spans="2:15" ht="13.5" customHeight="1" x14ac:dyDescent="0.3">
      <c r="B2480" s="9">
        <f>[1]Discovery!A2486</f>
        <v>70416042</v>
      </c>
      <c r="C2480" s="9" t="str">
        <f>[1]Discovery!B2486</f>
        <v>수월관음도</v>
      </c>
      <c r="D2480" s="9" t="str">
        <f>[1]Discovery!E2486</f>
        <v>보물</v>
      </c>
      <c r="E2480" s="9" t="str">
        <f>[1]Discovery!C2486</f>
        <v>미술품</v>
      </c>
      <c r="F2480" s="9" t="str">
        <f>[1]Discovery!G2486</f>
        <v>B</v>
      </c>
      <c r="G2480" s="9" t="str">
        <f>IFERROR(VLOOKUP(표1[[#This Row],[명칭]],'문화권 정리'!C:D,2,FALSE),"-")</f>
        <v>동아시아</v>
      </c>
      <c r="H2480" s="38" t="str">
        <f>IFERROR(COUNTIF([2]OceanDoodad!$Y:$Y,표1[[#This Row],[명칭]]),"-")</f>
        <v>-</v>
      </c>
      <c r="I2480" s="38">
        <f>IFERROR(COUNTIF([1]AdventureDiscoveryGroup!$D$8:$AW$92,표1[[#This Row],[명칭]]),"-")</f>
        <v>0</v>
      </c>
      <c r="J2480" s="38">
        <f>IFERROR(COUNTIF([1]FishDiscoveryGroup!$A:$X,표1[[#This Row],[명칭]]),"-")</f>
        <v>0</v>
      </c>
      <c r="K2480" s="38" t="str">
        <f>IFERROR(COUNTIF([2]Town!$B:$B,표1[[#This Row],[명칭]]),"-")</f>
        <v>-</v>
      </c>
      <c r="L2480" s="38">
        <f>IFERROR(COUNTIF([1]Village!$BR:$BR,표1[[#This Row],[명칭]]),"-")</f>
        <v>0</v>
      </c>
      <c r="M2480" s="38">
        <f>COUNTIF(퀘스트!B:B,표1[[#This Row],[명칭]])</f>
        <v>0</v>
      </c>
      <c r="N2480" s="65">
        <f>COUNTIF([1]VillageDiscoveryGroup!$C:$C,표1[[#This Row],[명칭]])</f>
        <v>0</v>
      </c>
      <c r="O2480" s="65">
        <f>SUM(표1[[#This Row],[해양탐색]:[마을탐험]])</f>
        <v>0</v>
      </c>
    </row>
    <row r="2481" spans="2:15" ht="13.5" customHeight="1" x14ac:dyDescent="0.3">
      <c r="B2481" s="9">
        <f>[1]Discovery!A2487</f>
        <v>70416043</v>
      </c>
      <c r="C2481" s="9" t="str">
        <f>[1]Discovery!B2487</f>
        <v>수태고지</v>
      </c>
      <c r="D2481" s="9" t="str">
        <f>[1]Discovery!E2487</f>
        <v>보물</v>
      </c>
      <c r="E2481" s="9" t="str">
        <f>[1]Discovery!C2487</f>
        <v>미술품</v>
      </c>
      <c r="F2481" s="9" t="str">
        <f>[1]Discovery!G2487</f>
        <v>C</v>
      </c>
      <c r="G2481" s="9" t="str">
        <f>IFERROR(VLOOKUP(표1[[#This Row],[명칭]],'문화권 정리'!C:D,2,FALSE),"-")</f>
        <v>지중해</v>
      </c>
      <c r="H2481" s="38" t="str">
        <f>IFERROR(COUNTIF([2]OceanDoodad!$Y:$Y,표1[[#This Row],[명칭]]),"-")</f>
        <v>-</v>
      </c>
      <c r="I2481" s="38">
        <f>IFERROR(COUNTIF([1]AdventureDiscoveryGroup!$D$8:$AW$92,표1[[#This Row],[명칭]]),"-")</f>
        <v>0</v>
      </c>
      <c r="J2481" s="38">
        <f>IFERROR(COUNTIF([1]FishDiscoveryGroup!$A:$X,표1[[#This Row],[명칭]]),"-")</f>
        <v>0</v>
      </c>
      <c r="K2481" s="38" t="str">
        <f>IFERROR(COUNTIF([2]Town!$B:$B,표1[[#This Row],[명칭]]),"-")</f>
        <v>-</v>
      </c>
      <c r="L2481" s="38">
        <f>IFERROR(COUNTIF([1]Village!$BR:$BR,표1[[#This Row],[명칭]]),"-")</f>
        <v>0</v>
      </c>
      <c r="M2481" s="38">
        <f>COUNTIF(퀘스트!B:B,표1[[#This Row],[명칭]])</f>
        <v>1</v>
      </c>
      <c r="N2481" s="65">
        <f>COUNTIF([1]VillageDiscoveryGroup!$C:$C,표1[[#This Row],[명칭]])</f>
        <v>0</v>
      </c>
      <c r="O2481" s="65">
        <f>SUM(표1[[#This Row],[해양탐색]:[마을탐험]])</f>
        <v>1</v>
      </c>
    </row>
    <row r="2482" spans="2:15" ht="13.5" customHeight="1" x14ac:dyDescent="0.3">
      <c r="B2482" s="9">
        <f>[1]Discovery!A2488</f>
        <v>70416044</v>
      </c>
      <c r="C2482" s="9" t="str">
        <f>[1]Discovery!B2488</f>
        <v>승리</v>
      </c>
      <c r="D2482" s="9" t="str">
        <f>[1]Discovery!E2488</f>
        <v>보물</v>
      </c>
      <c r="E2482" s="9" t="str">
        <f>[1]Discovery!C2488</f>
        <v>미술품</v>
      </c>
      <c r="F2482" s="9" t="str">
        <f>[1]Discovery!G2488</f>
        <v>D</v>
      </c>
      <c r="G2482" s="9" t="str">
        <f>IFERROR(VLOOKUP(표1[[#This Row],[명칭]],'문화권 정리'!C:D,2,FALSE),"-")</f>
        <v>지중해</v>
      </c>
      <c r="H2482" s="38" t="str">
        <f>IFERROR(COUNTIF([2]OceanDoodad!$Y:$Y,표1[[#This Row],[명칭]]),"-")</f>
        <v>-</v>
      </c>
      <c r="I2482" s="38">
        <f>IFERROR(COUNTIF([1]AdventureDiscoveryGroup!$D$8:$AW$92,표1[[#This Row],[명칭]]),"-")</f>
        <v>1</v>
      </c>
      <c r="J2482" s="38">
        <f>IFERROR(COUNTIF([1]FishDiscoveryGroup!$A:$X,표1[[#This Row],[명칭]]),"-")</f>
        <v>0</v>
      </c>
      <c r="K2482" s="38" t="str">
        <f>IFERROR(COUNTIF([2]Town!$B:$B,표1[[#This Row],[명칭]]),"-")</f>
        <v>-</v>
      </c>
      <c r="L2482" s="38">
        <f>IFERROR(COUNTIF([1]Village!$BR:$BR,표1[[#This Row],[명칭]]),"-")</f>
        <v>0</v>
      </c>
      <c r="M2482" s="38">
        <f>COUNTIF(퀘스트!B:B,표1[[#This Row],[명칭]])</f>
        <v>0</v>
      </c>
      <c r="N2482" s="65">
        <f>COUNTIF([1]VillageDiscoveryGroup!$C:$C,표1[[#This Row],[명칭]])</f>
        <v>0</v>
      </c>
      <c r="O2482" s="65">
        <f>SUM(표1[[#This Row],[해양탐색]:[마을탐험]])</f>
        <v>1</v>
      </c>
    </row>
    <row r="2483" spans="2:15" ht="13.5" customHeight="1" x14ac:dyDescent="0.3">
      <c r="B2483" s="9">
        <f>[1]Discovery!A2489</f>
        <v>70416045</v>
      </c>
      <c r="C2483" s="9" t="str">
        <f>[1]Discovery!B2489</f>
        <v>신사임당초서병풍</v>
      </c>
      <c r="D2483" s="9" t="str">
        <f>[1]Discovery!E2489</f>
        <v>보물</v>
      </c>
      <c r="E2483" s="9" t="str">
        <f>[1]Discovery!C2489</f>
        <v>미술품</v>
      </c>
      <c r="F2483" s="9" t="str">
        <f>[1]Discovery!G2489</f>
        <v>A</v>
      </c>
      <c r="G2483" s="9" t="str">
        <f>IFERROR(VLOOKUP(표1[[#This Row],[명칭]],'문화권 정리'!C:D,2,FALSE),"-")</f>
        <v>동아시아</v>
      </c>
      <c r="H2483" s="38" t="str">
        <f>IFERROR(COUNTIF([2]OceanDoodad!$Y:$Y,표1[[#This Row],[명칭]]),"-")</f>
        <v>-</v>
      </c>
      <c r="I2483" s="38">
        <f>IFERROR(COUNTIF([1]AdventureDiscoveryGroup!$D$8:$AW$92,표1[[#This Row],[명칭]]),"-")</f>
        <v>0</v>
      </c>
      <c r="J2483" s="38">
        <f>IFERROR(COUNTIF([1]FishDiscoveryGroup!$A:$X,표1[[#This Row],[명칭]]),"-")</f>
        <v>0</v>
      </c>
      <c r="K2483" s="38" t="str">
        <f>IFERROR(COUNTIF([2]Town!$B:$B,표1[[#This Row],[명칭]]),"-")</f>
        <v>-</v>
      </c>
      <c r="L2483" s="38">
        <f>IFERROR(COUNTIF([1]Village!$BR:$BR,표1[[#This Row],[명칭]]),"-")</f>
        <v>0</v>
      </c>
      <c r="M2483" s="38">
        <f>COUNTIF(퀘스트!B:B,표1[[#This Row],[명칭]])</f>
        <v>0</v>
      </c>
      <c r="N2483" s="65">
        <f>COUNTIF([1]VillageDiscoveryGroup!$C:$C,표1[[#This Row],[명칭]])</f>
        <v>0</v>
      </c>
      <c r="O2483" s="65">
        <f>SUM(표1[[#This Row],[해양탐색]:[마을탐험]])</f>
        <v>0</v>
      </c>
    </row>
    <row r="2484" spans="2:15" ht="13.5" customHeight="1" x14ac:dyDescent="0.3">
      <c r="B2484" s="9">
        <f>[1]Discovery!A2490</f>
        <v>70416046</v>
      </c>
      <c r="C2484" s="9" t="str">
        <f>[1]Discovery!B2490</f>
        <v>아담과 이브</v>
      </c>
      <c r="D2484" s="9" t="str">
        <f>[1]Discovery!E2490</f>
        <v>보물</v>
      </c>
      <c r="E2484" s="9" t="str">
        <f>[1]Discovery!C2490</f>
        <v>미술품</v>
      </c>
      <c r="F2484" s="9" t="str">
        <f>[1]Discovery!G2490</f>
        <v>S</v>
      </c>
      <c r="G2484" s="9" t="str">
        <f>IFERROR(VLOOKUP(표1[[#This Row],[명칭]],'문화권 정리'!C:D,2,FALSE),"-")</f>
        <v>지중해</v>
      </c>
      <c r="H2484" s="38" t="str">
        <f>IFERROR(COUNTIF([2]OceanDoodad!$Y:$Y,표1[[#This Row],[명칭]]),"-")</f>
        <v>-</v>
      </c>
      <c r="I2484" s="38">
        <f>IFERROR(COUNTIF([1]AdventureDiscoveryGroup!$D$8:$AW$92,표1[[#This Row],[명칭]]),"-")</f>
        <v>0</v>
      </c>
      <c r="J2484" s="38">
        <f>IFERROR(COUNTIF([1]FishDiscoveryGroup!$A:$X,표1[[#This Row],[명칭]]),"-")</f>
        <v>0</v>
      </c>
      <c r="K2484" s="38" t="str">
        <f>IFERROR(COUNTIF([2]Town!$B:$B,표1[[#This Row],[명칭]]),"-")</f>
        <v>-</v>
      </c>
      <c r="L2484" s="38">
        <f>IFERROR(COUNTIF([1]Village!$BR:$BR,표1[[#This Row],[명칭]]),"-")</f>
        <v>0</v>
      </c>
      <c r="M2484" s="38">
        <f>COUNTIF(퀘스트!B:B,표1[[#This Row],[명칭]])</f>
        <v>0</v>
      </c>
      <c r="N2484" s="65">
        <f>COUNTIF([1]VillageDiscoveryGroup!$C:$C,표1[[#This Row],[명칭]])</f>
        <v>0</v>
      </c>
      <c r="O2484" s="65">
        <f>SUM(표1[[#This Row],[해양탐색]:[마을탐험]])</f>
        <v>0</v>
      </c>
    </row>
    <row r="2485" spans="2:15" ht="13.5" customHeight="1" x14ac:dyDescent="0.3">
      <c r="B2485" s="9">
        <f>[1]Discovery!A2491</f>
        <v>70416047</v>
      </c>
      <c r="C2485" s="9" t="str">
        <f>[1]Discovery!B2491</f>
        <v>아르놀피니의 결혼</v>
      </c>
      <c r="D2485" s="9" t="str">
        <f>[1]Discovery!E2491</f>
        <v>보물</v>
      </c>
      <c r="E2485" s="9" t="str">
        <f>[1]Discovery!C2491</f>
        <v>미술품</v>
      </c>
      <c r="F2485" s="9" t="str">
        <f>[1]Discovery!G2491</f>
        <v>C</v>
      </c>
      <c r="G2485" s="9" t="str">
        <f>IFERROR(VLOOKUP(표1[[#This Row],[명칭]],'문화권 정리'!C:D,2,FALSE),"-")</f>
        <v>지중해</v>
      </c>
      <c r="H2485" s="38" t="str">
        <f>IFERROR(COUNTIF([2]OceanDoodad!$Y:$Y,표1[[#This Row],[명칭]]),"-")</f>
        <v>-</v>
      </c>
      <c r="I2485" s="38">
        <f>IFERROR(COUNTIF([1]AdventureDiscoveryGroup!$D$8:$AW$92,표1[[#This Row],[명칭]]),"-")</f>
        <v>0</v>
      </c>
      <c r="J2485" s="38">
        <f>IFERROR(COUNTIF([1]FishDiscoveryGroup!$A:$X,표1[[#This Row],[명칭]]),"-")</f>
        <v>0</v>
      </c>
      <c r="K2485" s="38" t="str">
        <f>IFERROR(COUNTIF([2]Town!$B:$B,표1[[#This Row],[명칭]]),"-")</f>
        <v>-</v>
      </c>
      <c r="L2485" s="38">
        <f>IFERROR(COUNTIF([1]Village!$BR:$BR,표1[[#This Row],[명칭]]),"-")</f>
        <v>0</v>
      </c>
      <c r="M2485" s="38">
        <f>COUNTIF(퀘스트!B:B,표1[[#This Row],[명칭]])</f>
        <v>0</v>
      </c>
      <c r="N2485" s="65">
        <f>COUNTIF([1]VillageDiscoveryGroup!$C:$C,표1[[#This Row],[명칭]])</f>
        <v>0</v>
      </c>
      <c r="O2485" s="65">
        <f>SUM(표1[[#This Row],[해양탐색]:[마을탐험]])</f>
        <v>0</v>
      </c>
    </row>
    <row r="2486" spans="2:15" ht="13.5" customHeight="1" x14ac:dyDescent="0.3">
      <c r="B2486" s="9">
        <f>[1]Discovery!A2492</f>
        <v>70416048</v>
      </c>
      <c r="C2486" s="9" t="str">
        <f>[1]Discovery!B2492</f>
        <v>아마노하시다테도</v>
      </c>
      <c r="D2486" s="9" t="str">
        <f>[1]Discovery!E2492</f>
        <v>보물</v>
      </c>
      <c r="E2486" s="9" t="str">
        <f>[1]Discovery!C2492</f>
        <v>미술품</v>
      </c>
      <c r="F2486" s="9" t="str">
        <f>[1]Discovery!G2492</f>
        <v>S</v>
      </c>
      <c r="G2486" s="9" t="str">
        <f>IFERROR(VLOOKUP(표1[[#This Row],[명칭]],'문화권 정리'!C:D,2,FALSE),"-")</f>
        <v>동아시아</v>
      </c>
      <c r="H2486" s="38" t="str">
        <f>IFERROR(COUNTIF([2]OceanDoodad!$Y:$Y,표1[[#This Row],[명칭]]),"-")</f>
        <v>-</v>
      </c>
      <c r="I2486" s="38">
        <f>IFERROR(COUNTIF([1]AdventureDiscoveryGroup!$D$8:$AW$92,표1[[#This Row],[명칭]]),"-")</f>
        <v>1</v>
      </c>
      <c r="J2486" s="38">
        <f>IFERROR(COUNTIF([1]FishDiscoveryGroup!$A:$X,표1[[#This Row],[명칭]]),"-")</f>
        <v>0</v>
      </c>
      <c r="K2486" s="38" t="str">
        <f>IFERROR(COUNTIF([2]Town!$B:$B,표1[[#This Row],[명칭]]),"-")</f>
        <v>-</v>
      </c>
      <c r="L2486" s="38">
        <f>IFERROR(COUNTIF([1]Village!$BR:$BR,표1[[#This Row],[명칭]]),"-")</f>
        <v>0</v>
      </c>
      <c r="M2486" s="38">
        <f>COUNTIF(퀘스트!B:B,표1[[#This Row],[명칭]])</f>
        <v>0</v>
      </c>
      <c r="N2486" s="65">
        <f>COUNTIF([1]VillageDiscoveryGroup!$C:$C,표1[[#This Row],[명칭]])</f>
        <v>0</v>
      </c>
      <c r="O2486" s="65">
        <f>SUM(표1[[#This Row],[해양탐색]:[마을탐험]])</f>
        <v>1</v>
      </c>
    </row>
    <row r="2487" spans="2:15" ht="13.5" customHeight="1" x14ac:dyDescent="0.3">
      <c r="B2487" s="9">
        <f>[1]Discovery!A2493</f>
        <v>70416049</v>
      </c>
      <c r="C2487" s="9" t="str">
        <f>[1]Discovery!B2493</f>
        <v>아폭시오메노스</v>
      </c>
      <c r="D2487" s="9" t="str">
        <f>[1]Discovery!E2493</f>
        <v>보물</v>
      </c>
      <c r="E2487" s="9" t="str">
        <f>[1]Discovery!C2493</f>
        <v>미술품</v>
      </c>
      <c r="F2487" s="9" t="str">
        <f>[1]Discovery!G2493</f>
        <v>C</v>
      </c>
      <c r="G2487" s="9" t="str">
        <f>IFERROR(VLOOKUP(표1[[#This Row],[명칭]],'문화권 정리'!C:D,2,FALSE),"-")</f>
        <v>지중해</v>
      </c>
      <c r="H2487" s="38" t="str">
        <f>IFERROR(COUNTIF([2]OceanDoodad!$Y:$Y,표1[[#This Row],[명칭]]),"-")</f>
        <v>-</v>
      </c>
      <c r="I2487" s="38">
        <f>IFERROR(COUNTIF([1]AdventureDiscoveryGroup!$D$8:$AW$92,표1[[#This Row],[명칭]]),"-")</f>
        <v>0</v>
      </c>
      <c r="J2487" s="38">
        <f>IFERROR(COUNTIF([1]FishDiscoveryGroup!$A:$X,표1[[#This Row],[명칭]]),"-")</f>
        <v>0</v>
      </c>
      <c r="K2487" s="38" t="str">
        <f>IFERROR(COUNTIF([2]Town!$B:$B,표1[[#This Row],[명칭]]),"-")</f>
        <v>-</v>
      </c>
      <c r="L2487" s="38">
        <f>IFERROR(COUNTIF([1]Village!$BR:$BR,표1[[#This Row],[명칭]]),"-")</f>
        <v>0</v>
      </c>
      <c r="M2487" s="38">
        <f>COUNTIF(퀘스트!B:B,표1[[#This Row],[명칭]])</f>
        <v>0</v>
      </c>
      <c r="N2487" s="65">
        <f>COUNTIF([1]VillageDiscoveryGroup!$C:$C,표1[[#This Row],[명칭]])</f>
        <v>0</v>
      </c>
      <c r="O2487" s="65">
        <f>SUM(표1[[#This Row],[해양탐색]:[마을탐험]])</f>
        <v>0</v>
      </c>
    </row>
    <row r="2488" spans="2:15" ht="13.5" customHeight="1" x14ac:dyDescent="0.3">
      <c r="B2488" s="9">
        <f>[1]Discovery!A2494</f>
        <v>70416050</v>
      </c>
      <c r="C2488" s="9" t="str">
        <f>[1]Discovery!B2494</f>
        <v>알페의 성합</v>
      </c>
      <c r="D2488" s="9" t="str">
        <f>[1]Discovery!E2494</f>
        <v>보물</v>
      </c>
      <c r="E2488" s="9" t="str">
        <f>[1]Discovery!C2494</f>
        <v>미술품</v>
      </c>
      <c r="F2488" s="9" t="str">
        <f>[1]Discovery!G2494</f>
        <v>A</v>
      </c>
      <c r="G2488" s="9" t="str">
        <f>IFERROR(VLOOKUP(표1[[#This Row],[명칭]],'문화권 정리'!C:D,2,FALSE),"-")</f>
        <v>지중해</v>
      </c>
      <c r="H2488" s="38" t="str">
        <f>IFERROR(COUNTIF([2]OceanDoodad!$Y:$Y,표1[[#This Row],[명칭]]),"-")</f>
        <v>-</v>
      </c>
      <c r="I2488" s="38">
        <f>IFERROR(COUNTIF([1]AdventureDiscoveryGroup!$D$8:$AW$92,표1[[#This Row],[명칭]]),"-")</f>
        <v>0</v>
      </c>
      <c r="J2488" s="38">
        <f>IFERROR(COUNTIF([1]FishDiscoveryGroup!$A:$X,표1[[#This Row],[명칭]]),"-")</f>
        <v>0</v>
      </c>
      <c r="K2488" s="38" t="str">
        <f>IFERROR(COUNTIF([2]Town!$B:$B,표1[[#This Row],[명칭]]),"-")</f>
        <v>-</v>
      </c>
      <c r="L2488" s="38">
        <f>IFERROR(COUNTIF([1]Village!$BR:$BR,표1[[#This Row],[명칭]]),"-")</f>
        <v>0</v>
      </c>
      <c r="M2488" s="38">
        <f>COUNTIF(퀘스트!B:B,표1[[#This Row],[명칭]])</f>
        <v>0</v>
      </c>
      <c r="N2488" s="65">
        <f>COUNTIF([1]VillageDiscoveryGroup!$C:$C,표1[[#This Row],[명칭]])</f>
        <v>0</v>
      </c>
      <c r="O2488" s="65">
        <f>SUM(표1[[#This Row],[해양탐색]:[마을탐험]])</f>
        <v>0</v>
      </c>
    </row>
    <row r="2489" spans="2:15" ht="13.5" customHeight="1" x14ac:dyDescent="0.3">
      <c r="B2489" s="9">
        <f>[1]Discovery!A2495</f>
        <v>70416051</v>
      </c>
      <c r="C2489" s="9" t="str">
        <f>[1]Discovery!B2495</f>
        <v>암굴의 성모</v>
      </c>
      <c r="D2489" s="9" t="str">
        <f>[1]Discovery!E2495</f>
        <v>보물</v>
      </c>
      <c r="E2489" s="9" t="str">
        <f>[1]Discovery!C2495</f>
        <v>미술품</v>
      </c>
      <c r="F2489" s="9" t="str">
        <f>[1]Discovery!G2495</f>
        <v>A</v>
      </c>
      <c r="G2489" s="9" t="str">
        <f>IFERROR(VLOOKUP(표1[[#This Row],[명칭]],'문화권 정리'!C:D,2,FALSE),"-")</f>
        <v>지중해</v>
      </c>
      <c r="H2489" s="38" t="str">
        <f>IFERROR(COUNTIF([2]OceanDoodad!$Y:$Y,표1[[#This Row],[명칭]]),"-")</f>
        <v>-</v>
      </c>
      <c r="I2489" s="38">
        <f>IFERROR(COUNTIF([1]AdventureDiscoveryGroup!$D$8:$AW$92,표1[[#This Row],[명칭]]),"-")</f>
        <v>0</v>
      </c>
      <c r="J2489" s="38">
        <f>IFERROR(COUNTIF([1]FishDiscoveryGroup!$A:$X,표1[[#This Row],[명칭]]),"-")</f>
        <v>0</v>
      </c>
      <c r="K2489" s="38" t="str">
        <f>IFERROR(COUNTIF([2]Town!$B:$B,표1[[#This Row],[명칭]]),"-")</f>
        <v>-</v>
      </c>
      <c r="L2489" s="38">
        <f>IFERROR(COUNTIF([1]Village!$BR:$BR,표1[[#This Row],[명칭]]),"-")</f>
        <v>0</v>
      </c>
      <c r="M2489" s="38">
        <f>COUNTIF(퀘스트!B:B,표1[[#This Row],[명칭]])</f>
        <v>0</v>
      </c>
      <c r="N2489" s="65">
        <f>COUNTIF([1]VillageDiscoveryGroup!$C:$C,표1[[#This Row],[명칭]])</f>
        <v>0</v>
      </c>
      <c r="O2489" s="65">
        <f>SUM(표1[[#This Row],[해양탐색]:[마을탐험]])</f>
        <v>0</v>
      </c>
    </row>
    <row r="2490" spans="2:15" ht="13.5" customHeight="1" x14ac:dyDescent="0.3">
      <c r="B2490" s="9">
        <f>[1]Discovery!A2496</f>
        <v>70416052</v>
      </c>
      <c r="C2490" s="9" t="str">
        <f>[1]Discovery!B2496</f>
        <v>여사잠도</v>
      </c>
      <c r="D2490" s="9" t="str">
        <f>[1]Discovery!E2496</f>
        <v>보물</v>
      </c>
      <c r="E2490" s="9" t="str">
        <f>[1]Discovery!C2496</f>
        <v>미술품</v>
      </c>
      <c r="F2490" s="9" t="str">
        <f>[1]Discovery!G2496</f>
        <v>B</v>
      </c>
      <c r="G2490" s="9" t="str">
        <f>IFERROR(VLOOKUP(표1[[#This Row],[명칭]],'문화권 정리'!C:D,2,FALSE),"-")</f>
        <v>동아시아</v>
      </c>
      <c r="H2490" s="38" t="str">
        <f>IFERROR(COUNTIF([2]OceanDoodad!$Y:$Y,표1[[#This Row],[명칭]]),"-")</f>
        <v>-</v>
      </c>
      <c r="I2490" s="38">
        <f>IFERROR(COUNTIF([1]AdventureDiscoveryGroup!$D$8:$AW$92,표1[[#This Row],[명칭]]),"-")</f>
        <v>0</v>
      </c>
      <c r="J2490" s="38">
        <f>IFERROR(COUNTIF([1]FishDiscoveryGroup!$A:$X,표1[[#This Row],[명칭]]),"-")</f>
        <v>0</v>
      </c>
      <c r="K2490" s="38" t="str">
        <f>IFERROR(COUNTIF([2]Town!$B:$B,표1[[#This Row],[명칭]]),"-")</f>
        <v>-</v>
      </c>
      <c r="L2490" s="38">
        <f>IFERROR(COUNTIF([1]Village!$BR:$BR,표1[[#This Row],[명칭]]),"-")</f>
        <v>0</v>
      </c>
      <c r="M2490" s="38">
        <f>COUNTIF(퀘스트!B:B,표1[[#This Row],[명칭]])</f>
        <v>0</v>
      </c>
      <c r="N2490" s="65">
        <f>COUNTIF([1]VillageDiscoveryGroup!$C:$C,표1[[#This Row],[명칭]])</f>
        <v>0</v>
      </c>
      <c r="O2490" s="65">
        <f>SUM(표1[[#This Row],[해양탐색]:[마을탐험]])</f>
        <v>0</v>
      </c>
    </row>
    <row r="2491" spans="2:15" ht="13.5" customHeight="1" x14ac:dyDescent="0.3">
      <c r="B2491" s="9">
        <f>[1]Discovery!A2497</f>
        <v>70416053</v>
      </c>
      <c r="C2491" s="9" t="str">
        <f>[1]Discovery!B2497</f>
        <v>성 스테파노의 설교</v>
      </c>
      <c r="D2491" s="9" t="str">
        <f>[1]Discovery!E2497</f>
        <v>보물</v>
      </c>
      <c r="E2491" s="9" t="str">
        <f>[1]Discovery!C2497</f>
        <v>미술품</v>
      </c>
      <c r="F2491" s="9" t="str">
        <f>[1]Discovery!G2497</f>
        <v>C</v>
      </c>
      <c r="G2491" s="9" t="str">
        <f>IFERROR(VLOOKUP(표1[[#This Row],[명칭]],'문화권 정리'!C:D,2,FALSE),"-")</f>
        <v>지중해</v>
      </c>
      <c r="H2491" s="38" t="str">
        <f>IFERROR(COUNTIF([2]OceanDoodad!$Y:$Y,표1[[#This Row],[명칭]]),"-")</f>
        <v>-</v>
      </c>
      <c r="I2491" s="38">
        <f>IFERROR(COUNTIF([1]AdventureDiscoveryGroup!$D$8:$AW$92,표1[[#This Row],[명칭]]),"-")</f>
        <v>0</v>
      </c>
      <c r="J2491" s="38">
        <f>IFERROR(COUNTIF([1]FishDiscoveryGroup!$A:$X,표1[[#This Row],[명칭]]),"-")</f>
        <v>0</v>
      </c>
      <c r="K2491" s="38" t="str">
        <f>IFERROR(COUNTIF([2]Town!$B:$B,표1[[#This Row],[명칭]]),"-")</f>
        <v>-</v>
      </c>
      <c r="L2491" s="38">
        <f>IFERROR(COUNTIF([1]Village!$BR:$BR,표1[[#This Row],[명칭]]),"-")</f>
        <v>0</v>
      </c>
      <c r="M2491" s="38">
        <f>COUNTIF(퀘스트!B:B,표1[[#This Row],[명칭]])</f>
        <v>0</v>
      </c>
      <c r="N2491" s="65">
        <f>COUNTIF([1]VillageDiscoveryGroup!$C:$C,표1[[#This Row],[명칭]])</f>
        <v>0</v>
      </c>
      <c r="O2491" s="65">
        <f>SUM(표1[[#This Row],[해양탐색]:[마을탐험]])</f>
        <v>0</v>
      </c>
    </row>
    <row r="2492" spans="2:15" ht="13.5" customHeight="1" x14ac:dyDescent="0.3">
      <c r="B2492" s="9">
        <f>[1]Discovery!A2498</f>
        <v>70416054</v>
      </c>
      <c r="C2492" s="9" t="str">
        <f>[1]Discovery!B2498</f>
        <v>예수의 부활</v>
      </c>
      <c r="D2492" s="9" t="str">
        <f>[1]Discovery!E2498</f>
        <v>보물</v>
      </c>
      <c r="E2492" s="9" t="str">
        <f>[1]Discovery!C2498</f>
        <v>미술품</v>
      </c>
      <c r="F2492" s="9" t="str">
        <f>[1]Discovery!G2498</f>
        <v>B</v>
      </c>
      <c r="G2492" s="9" t="str">
        <f>IFERROR(VLOOKUP(표1[[#This Row],[명칭]],'문화권 정리'!C:D,2,FALSE),"-")</f>
        <v>지중해</v>
      </c>
      <c r="H2492" s="38" t="str">
        <f>IFERROR(COUNTIF([2]OceanDoodad!$Y:$Y,표1[[#This Row],[명칭]]),"-")</f>
        <v>-</v>
      </c>
      <c r="I2492" s="38">
        <f>IFERROR(COUNTIF([1]AdventureDiscoveryGroup!$D$8:$AW$92,표1[[#This Row],[명칭]]),"-")</f>
        <v>0</v>
      </c>
      <c r="J2492" s="38">
        <f>IFERROR(COUNTIF([1]FishDiscoveryGroup!$A:$X,표1[[#This Row],[명칭]]),"-")</f>
        <v>0</v>
      </c>
      <c r="K2492" s="38" t="str">
        <f>IFERROR(COUNTIF([2]Town!$B:$B,표1[[#This Row],[명칭]]),"-")</f>
        <v>-</v>
      </c>
      <c r="L2492" s="38">
        <f>IFERROR(COUNTIF([1]Village!$BR:$BR,표1[[#This Row],[명칭]]),"-")</f>
        <v>0</v>
      </c>
      <c r="M2492" s="38">
        <f>COUNTIF(퀘스트!B:B,표1[[#This Row],[명칭]])</f>
        <v>0</v>
      </c>
      <c r="N2492" s="65">
        <f>COUNTIF([1]VillageDiscoveryGroup!$C:$C,표1[[#This Row],[명칭]])</f>
        <v>0</v>
      </c>
      <c r="O2492" s="65">
        <f>SUM(표1[[#This Row],[해양탐색]:[마을탐험]])</f>
        <v>0</v>
      </c>
    </row>
    <row r="2493" spans="2:15" ht="13.5" customHeight="1" x14ac:dyDescent="0.3">
      <c r="B2493" s="9">
        <f>[1]Discovery!A2499</f>
        <v>70416055</v>
      </c>
      <c r="C2493" s="9" t="str">
        <f>[1]Discovery!B2499</f>
        <v>예수의 승천</v>
      </c>
      <c r="D2493" s="9" t="str">
        <f>[1]Discovery!E2499</f>
        <v>보물</v>
      </c>
      <c r="E2493" s="9" t="str">
        <f>[1]Discovery!C2499</f>
        <v>미술품</v>
      </c>
      <c r="F2493" s="9" t="str">
        <f>[1]Discovery!G2499</f>
        <v>B</v>
      </c>
      <c r="G2493" s="9" t="str">
        <f>IFERROR(VLOOKUP(표1[[#This Row],[명칭]],'문화권 정리'!C:D,2,FALSE),"-")</f>
        <v>지중해</v>
      </c>
      <c r="H2493" s="38" t="str">
        <f>IFERROR(COUNTIF([2]OceanDoodad!$Y:$Y,표1[[#This Row],[명칭]]),"-")</f>
        <v>-</v>
      </c>
      <c r="I2493" s="38">
        <f>IFERROR(COUNTIF([1]AdventureDiscoveryGroup!$D$8:$AW$92,표1[[#This Row],[명칭]]),"-")</f>
        <v>0</v>
      </c>
      <c r="J2493" s="38">
        <f>IFERROR(COUNTIF([1]FishDiscoveryGroup!$A:$X,표1[[#This Row],[명칭]]),"-")</f>
        <v>0</v>
      </c>
      <c r="K2493" s="38" t="str">
        <f>IFERROR(COUNTIF([2]Town!$B:$B,표1[[#This Row],[명칭]]),"-")</f>
        <v>-</v>
      </c>
      <c r="L2493" s="38">
        <f>IFERROR(COUNTIF([1]Village!$BR:$BR,표1[[#This Row],[명칭]]),"-")</f>
        <v>0</v>
      </c>
      <c r="M2493" s="38">
        <f>COUNTIF(퀘스트!B:B,표1[[#This Row],[명칭]])</f>
        <v>0</v>
      </c>
      <c r="N2493" s="65">
        <f>COUNTIF([1]VillageDiscoveryGroup!$C:$C,표1[[#This Row],[명칭]])</f>
        <v>0</v>
      </c>
      <c r="O2493" s="65">
        <f>SUM(표1[[#This Row],[해양탐색]:[마을탐험]])</f>
        <v>0</v>
      </c>
    </row>
    <row r="2494" spans="2:15" ht="13.5" customHeight="1" x14ac:dyDescent="0.3">
      <c r="B2494" s="9">
        <f>[1]Discovery!A2500</f>
        <v>70416056</v>
      </c>
      <c r="C2494" s="9" t="str">
        <f>[1]Discovery!B2500</f>
        <v>오마도권</v>
      </c>
      <c r="D2494" s="9" t="str">
        <f>[1]Discovery!E2500</f>
        <v>보물</v>
      </c>
      <c r="E2494" s="9" t="str">
        <f>[1]Discovery!C2500</f>
        <v>미술품</v>
      </c>
      <c r="F2494" s="9" t="str">
        <f>[1]Discovery!G2500</f>
        <v>B</v>
      </c>
      <c r="G2494" s="9" t="str">
        <f>IFERROR(VLOOKUP(표1[[#This Row],[명칭]],'문화권 정리'!C:D,2,FALSE),"-")</f>
        <v>동아시아</v>
      </c>
      <c r="H2494" s="38" t="str">
        <f>IFERROR(COUNTIF([2]OceanDoodad!$Y:$Y,표1[[#This Row],[명칭]]),"-")</f>
        <v>-</v>
      </c>
      <c r="I2494" s="38">
        <f>IFERROR(COUNTIF([1]AdventureDiscoveryGroup!$D$8:$AW$92,표1[[#This Row],[명칭]]),"-")</f>
        <v>0</v>
      </c>
      <c r="J2494" s="38">
        <f>IFERROR(COUNTIF([1]FishDiscoveryGroup!$A:$X,표1[[#This Row],[명칭]]),"-")</f>
        <v>0</v>
      </c>
      <c r="K2494" s="38" t="str">
        <f>IFERROR(COUNTIF([2]Town!$B:$B,표1[[#This Row],[명칭]]),"-")</f>
        <v>-</v>
      </c>
      <c r="L2494" s="38">
        <f>IFERROR(COUNTIF([1]Village!$BR:$BR,표1[[#This Row],[명칭]]),"-")</f>
        <v>0</v>
      </c>
      <c r="M2494" s="38">
        <f>COUNTIF(퀘스트!B:B,표1[[#This Row],[명칭]])</f>
        <v>0</v>
      </c>
      <c r="N2494" s="65">
        <f>COUNTIF([1]VillageDiscoveryGroup!$C:$C,표1[[#This Row],[명칭]])</f>
        <v>0</v>
      </c>
      <c r="O2494" s="65">
        <f>SUM(표1[[#This Row],[해양탐색]:[마을탐험]])</f>
        <v>0</v>
      </c>
    </row>
    <row r="2495" spans="2:15" ht="13.5" customHeight="1" x14ac:dyDescent="0.3">
      <c r="B2495" s="9">
        <f>[1]Discovery!A2501</f>
        <v>70416057</v>
      </c>
      <c r="C2495" s="9" t="str">
        <f>[1]Discovery!B2501</f>
        <v>우르비노의 비너스</v>
      </c>
      <c r="D2495" s="9" t="str">
        <f>[1]Discovery!E2501</f>
        <v>보물</v>
      </c>
      <c r="E2495" s="9" t="str">
        <f>[1]Discovery!C2501</f>
        <v>미술품</v>
      </c>
      <c r="F2495" s="9" t="str">
        <f>[1]Discovery!G2501</f>
        <v>B</v>
      </c>
      <c r="G2495" s="9" t="str">
        <f>IFERROR(VLOOKUP(표1[[#This Row],[명칭]],'문화권 정리'!C:D,2,FALSE),"-")</f>
        <v>지중해</v>
      </c>
      <c r="H2495" s="38" t="str">
        <f>IFERROR(COUNTIF([2]OceanDoodad!$Y:$Y,표1[[#This Row],[명칭]]),"-")</f>
        <v>-</v>
      </c>
      <c r="I2495" s="38">
        <f>IFERROR(COUNTIF([1]AdventureDiscoveryGroup!$D$8:$AW$92,표1[[#This Row],[명칭]]),"-")</f>
        <v>0</v>
      </c>
      <c r="J2495" s="38">
        <f>IFERROR(COUNTIF([1]FishDiscoveryGroup!$A:$X,표1[[#This Row],[명칭]]),"-")</f>
        <v>0</v>
      </c>
      <c r="K2495" s="38" t="str">
        <f>IFERROR(COUNTIF([2]Town!$B:$B,표1[[#This Row],[명칭]]),"-")</f>
        <v>-</v>
      </c>
      <c r="L2495" s="38">
        <f>IFERROR(COUNTIF([1]Village!$BR:$BR,표1[[#This Row],[명칭]]),"-")</f>
        <v>0</v>
      </c>
      <c r="M2495" s="38">
        <f>COUNTIF(퀘스트!B:B,표1[[#This Row],[명칭]])</f>
        <v>0</v>
      </c>
      <c r="N2495" s="65">
        <f>COUNTIF([1]VillageDiscoveryGroup!$C:$C,표1[[#This Row],[명칭]])</f>
        <v>0</v>
      </c>
      <c r="O2495" s="65">
        <f>SUM(표1[[#This Row],[해양탐색]:[마을탐험]])</f>
        <v>0</v>
      </c>
    </row>
    <row r="2496" spans="2:15" ht="13.5" customHeight="1" x14ac:dyDescent="0.3">
      <c r="B2496" s="9">
        <f>[1]Discovery!A2502</f>
        <v>70416058</v>
      </c>
      <c r="C2496" s="9" t="str">
        <f>[1]Discovery!B2502</f>
        <v>원반던지기</v>
      </c>
      <c r="D2496" s="9" t="str">
        <f>[1]Discovery!E2502</f>
        <v>보물</v>
      </c>
      <c r="E2496" s="9" t="str">
        <f>[1]Discovery!C2502</f>
        <v>미술품</v>
      </c>
      <c r="F2496" s="9" t="str">
        <f>[1]Discovery!G2502</f>
        <v>B</v>
      </c>
      <c r="G2496" s="9" t="str">
        <f>IFERROR(VLOOKUP(표1[[#This Row],[명칭]],'문화권 정리'!C:D,2,FALSE),"-")</f>
        <v>지중해</v>
      </c>
      <c r="H2496" s="38" t="str">
        <f>IFERROR(COUNTIF([2]OceanDoodad!$Y:$Y,표1[[#This Row],[명칭]]),"-")</f>
        <v>-</v>
      </c>
      <c r="I2496" s="38">
        <f>IFERROR(COUNTIF([1]AdventureDiscoveryGroup!$D$8:$AW$92,표1[[#This Row],[명칭]]),"-")</f>
        <v>0</v>
      </c>
      <c r="J2496" s="38">
        <f>IFERROR(COUNTIF([1]FishDiscoveryGroup!$A:$X,표1[[#This Row],[명칭]]),"-")</f>
        <v>0</v>
      </c>
      <c r="K2496" s="38" t="str">
        <f>IFERROR(COUNTIF([2]Town!$B:$B,표1[[#This Row],[명칭]]),"-")</f>
        <v>-</v>
      </c>
      <c r="L2496" s="38">
        <f>IFERROR(COUNTIF([1]Village!$BR:$BR,표1[[#This Row],[명칭]]),"-")</f>
        <v>0</v>
      </c>
      <c r="M2496" s="38">
        <f>COUNTIF(퀘스트!B:B,표1[[#This Row],[명칭]])</f>
        <v>0</v>
      </c>
      <c r="N2496" s="65">
        <f>COUNTIF([1]VillageDiscoveryGroup!$C:$C,표1[[#This Row],[명칭]])</f>
        <v>0</v>
      </c>
      <c r="O2496" s="65">
        <f>SUM(표1[[#This Row],[해양탐색]:[마을탐험]])</f>
        <v>0</v>
      </c>
    </row>
    <row r="2497" spans="2:15" ht="13.5" customHeight="1" x14ac:dyDescent="0.3">
      <c r="B2497" s="9">
        <f>[1]Discovery!A2503</f>
        <v>70416059</v>
      </c>
      <c r="C2497" s="9" t="str">
        <f>[1]Discovery!B2503</f>
        <v>유딧</v>
      </c>
      <c r="D2497" s="9" t="str">
        <f>[1]Discovery!E2503</f>
        <v>보물</v>
      </c>
      <c r="E2497" s="9" t="str">
        <f>[1]Discovery!C2503</f>
        <v>미술품</v>
      </c>
      <c r="F2497" s="9" t="str">
        <f>[1]Discovery!G2503</f>
        <v>C</v>
      </c>
      <c r="G2497" s="9" t="str">
        <f>IFERROR(VLOOKUP(표1[[#This Row],[명칭]],'문화권 정리'!C:D,2,FALSE),"-")</f>
        <v>지중해</v>
      </c>
      <c r="H2497" s="38" t="str">
        <f>IFERROR(COUNTIF([2]OceanDoodad!$Y:$Y,표1[[#This Row],[명칭]]),"-")</f>
        <v>-</v>
      </c>
      <c r="I2497" s="38">
        <f>IFERROR(COUNTIF([1]AdventureDiscoveryGroup!$D$8:$AW$92,표1[[#This Row],[명칭]]),"-")</f>
        <v>0</v>
      </c>
      <c r="J2497" s="38">
        <f>IFERROR(COUNTIF([1]FishDiscoveryGroup!$A:$X,표1[[#This Row],[명칭]]),"-")</f>
        <v>0</v>
      </c>
      <c r="K2497" s="38" t="str">
        <f>IFERROR(COUNTIF([2]Town!$B:$B,표1[[#This Row],[명칭]]),"-")</f>
        <v>-</v>
      </c>
      <c r="L2497" s="38">
        <f>IFERROR(COUNTIF([1]Village!$BR:$BR,표1[[#This Row],[명칭]]),"-")</f>
        <v>0</v>
      </c>
      <c r="M2497" s="38">
        <f>COUNTIF(퀘스트!B:B,표1[[#This Row],[명칭]])</f>
        <v>0</v>
      </c>
      <c r="N2497" s="65">
        <f>COUNTIF([1]VillageDiscoveryGroup!$C:$C,표1[[#This Row],[명칭]])</f>
        <v>0</v>
      </c>
      <c r="O2497" s="65">
        <f>SUM(표1[[#This Row],[해양탐색]:[마을탐험]])</f>
        <v>0</v>
      </c>
    </row>
    <row r="2498" spans="2:15" ht="13.5" customHeight="1" x14ac:dyDescent="0.3">
      <c r="B2498" s="9">
        <f>[1]Discovery!A2504</f>
        <v>70416060</v>
      </c>
      <c r="C2498" s="9" t="str">
        <f>[1]Discovery!B2504</f>
        <v>제왕도</v>
      </c>
      <c r="D2498" s="9" t="str">
        <f>[1]Discovery!E2504</f>
        <v>보물</v>
      </c>
      <c r="E2498" s="9" t="str">
        <f>[1]Discovery!C2504</f>
        <v>미술품</v>
      </c>
      <c r="F2498" s="9" t="str">
        <f>[1]Discovery!G2504</f>
        <v>C</v>
      </c>
      <c r="G2498" s="9" t="str">
        <f>IFERROR(VLOOKUP(표1[[#This Row],[명칭]],'문화권 정리'!C:D,2,FALSE),"-")</f>
        <v>동아시아</v>
      </c>
      <c r="H2498" s="38" t="str">
        <f>IFERROR(COUNTIF([2]OceanDoodad!$Y:$Y,표1[[#This Row],[명칭]]),"-")</f>
        <v>-</v>
      </c>
      <c r="I2498" s="38">
        <f>IFERROR(COUNTIF([1]AdventureDiscoveryGroup!$D$8:$AW$92,표1[[#This Row],[명칭]]),"-")</f>
        <v>1</v>
      </c>
      <c r="J2498" s="38">
        <f>IFERROR(COUNTIF([1]FishDiscoveryGroup!$A:$X,표1[[#This Row],[명칭]]),"-")</f>
        <v>0</v>
      </c>
      <c r="K2498" s="38" t="str">
        <f>IFERROR(COUNTIF([2]Town!$B:$B,표1[[#This Row],[명칭]]),"-")</f>
        <v>-</v>
      </c>
      <c r="L2498" s="38">
        <f>IFERROR(COUNTIF([1]Village!$BR:$BR,표1[[#This Row],[명칭]]),"-")</f>
        <v>0</v>
      </c>
      <c r="M2498" s="38">
        <f>COUNTIF(퀘스트!B:B,표1[[#This Row],[명칭]])</f>
        <v>0</v>
      </c>
      <c r="N2498" s="65">
        <f>COUNTIF([1]VillageDiscoveryGroup!$C:$C,표1[[#This Row],[명칭]])</f>
        <v>0</v>
      </c>
      <c r="O2498" s="65">
        <f>SUM(표1[[#This Row],[해양탐색]:[마을탐험]])</f>
        <v>1</v>
      </c>
    </row>
    <row r="2499" spans="2:15" ht="13.5" customHeight="1" x14ac:dyDescent="0.3">
      <c r="B2499" s="9">
        <f>[1]Discovery!A2505</f>
        <v>70416061</v>
      </c>
      <c r="C2499" s="9" t="str">
        <f>[1]Discovery!B2505</f>
        <v>조모입녀병풍</v>
      </c>
      <c r="D2499" s="9" t="str">
        <f>[1]Discovery!E2505</f>
        <v>보물</v>
      </c>
      <c r="E2499" s="9" t="str">
        <f>[1]Discovery!C2505</f>
        <v>미술품</v>
      </c>
      <c r="F2499" s="9" t="str">
        <f>[1]Discovery!G2505</f>
        <v>B</v>
      </c>
      <c r="G2499" s="9" t="str">
        <f>IFERROR(VLOOKUP(표1[[#This Row],[명칭]],'문화권 정리'!C:D,2,FALSE),"-")</f>
        <v>동아시아</v>
      </c>
      <c r="H2499" s="38" t="str">
        <f>IFERROR(COUNTIF([2]OceanDoodad!$Y:$Y,표1[[#This Row],[명칭]]),"-")</f>
        <v>-</v>
      </c>
      <c r="I2499" s="38">
        <f>IFERROR(COUNTIF([1]AdventureDiscoveryGroup!$D$8:$AW$92,표1[[#This Row],[명칭]]),"-")</f>
        <v>0</v>
      </c>
      <c r="J2499" s="38">
        <f>IFERROR(COUNTIF([1]FishDiscoveryGroup!$A:$X,표1[[#This Row],[명칭]]),"-")</f>
        <v>0</v>
      </c>
      <c r="K2499" s="38" t="str">
        <f>IFERROR(COUNTIF([2]Town!$B:$B,표1[[#This Row],[명칭]]),"-")</f>
        <v>-</v>
      </c>
      <c r="L2499" s="38">
        <f>IFERROR(COUNTIF([1]Village!$BR:$BR,표1[[#This Row],[명칭]]),"-")</f>
        <v>0</v>
      </c>
      <c r="M2499" s="38">
        <f>COUNTIF(퀘스트!B:B,표1[[#This Row],[명칭]])</f>
        <v>0</v>
      </c>
      <c r="N2499" s="65">
        <f>COUNTIF([1]VillageDiscoveryGroup!$C:$C,표1[[#This Row],[명칭]])</f>
        <v>0</v>
      </c>
      <c r="O2499" s="65">
        <f>SUM(표1[[#This Row],[해양탐색]:[마을탐험]])</f>
        <v>0</v>
      </c>
    </row>
    <row r="2500" spans="2:15" ht="13.5" customHeight="1" x14ac:dyDescent="0.3">
      <c r="B2500" s="9">
        <f>[1]Discovery!A2506</f>
        <v>70416062</v>
      </c>
      <c r="C2500" s="9" t="str">
        <f>[1]Discovery!B2506</f>
        <v>조춘도</v>
      </c>
      <c r="D2500" s="9" t="str">
        <f>[1]Discovery!E2506</f>
        <v>보물</v>
      </c>
      <c r="E2500" s="9" t="str">
        <f>[1]Discovery!C2506</f>
        <v>미술품</v>
      </c>
      <c r="F2500" s="9" t="str">
        <f>[1]Discovery!G2506</f>
        <v>A</v>
      </c>
      <c r="G2500" s="9" t="str">
        <f>IFERROR(VLOOKUP(표1[[#This Row],[명칭]],'문화권 정리'!C:D,2,FALSE),"-")</f>
        <v>동아시아</v>
      </c>
      <c r="H2500" s="38" t="str">
        <f>IFERROR(COUNTIF([2]OceanDoodad!$Y:$Y,표1[[#This Row],[명칭]]),"-")</f>
        <v>-</v>
      </c>
      <c r="I2500" s="38">
        <f>IFERROR(COUNTIF([1]AdventureDiscoveryGroup!$D$8:$AW$92,표1[[#This Row],[명칭]]),"-")</f>
        <v>0</v>
      </c>
      <c r="J2500" s="38">
        <f>IFERROR(COUNTIF([1]FishDiscoveryGroup!$A:$X,표1[[#This Row],[명칭]]),"-")</f>
        <v>0</v>
      </c>
      <c r="K2500" s="38" t="str">
        <f>IFERROR(COUNTIF([2]Town!$B:$B,표1[[#This Row],[명칭]]),"-")</f>
        <v>-</v>
      </c>
      <c r="L2500" s="38">
        <f>IFERROR(COUNTIF([1]Village!$BR:$BR,표1[[#This Row],[명칭]]),"-")</f>
        <v>0</v>
      </c>
      <c r="M2500" s="38">
        <f>COUNTIF(퀘스트!B:B,표1[[#This Row],[명칭]])</f>
        <v>0</v>
      </c>
      <c r="N2500" s="65">
        <f>COUNTIF([1]VillageDiscoveryGroup!$C:$C,표1[[#This Row],[명칭]])</f>
        <v>0</v>
      </c>
      <c r="O2500" s="65">
        <f>SUM(표1[[#This Row],[해양탐색]:[마을탐험]])</f>
        <v>0</v>
      </c>
    </row>
    <row r="2501" spans="2:15" ht="13.5" customHeight="1" x14ac:dyDescent="0.3">
      <c r="B2501" s="9">
        <f>[1]Discovery!A2507</f>
        <v>70416063</v>
      </c>
      <c r="C2501" s="9" t="str">
        <f>[1]Discovery!B2507</f>
        <v>천지창조</v>
      </c>
      <c r="D2501" s="9" t="str">
        <f>[1]Discovery!E2507</f>
        <v>보물</v>
      </c>
      <c r="E2501" s="9" t="str">
        <f>[1]Discovery!C2507</f>
        <v>미술품</v>
      </c>
      <c r="F2501" s="9" t="str">
        <f>[1]Discovery!G2507</f>
        <v>S</v>
      </c>
      <c r="G2501" s="9" t="str">
        <f>IFERROR(VLOOKUP(표1[[#This Row],[명칭]],'문화권 정리'!C:D,2,FALSE),"-")</f>
        <v>지중해</v>
      </c>
      <c r="H2501" s="38" t="str">
        <f>IFERROR(COUNTIF([2]OceanDoodad!$Y:$Y,표1[[#This Row],[명칭]]),"-")</f>
        <v>-</v>
      </c>
      <c r="I2501" s="38">
        <f>IFERROR(COUNTIF([1]AdventureDiscoveryGroup!$D$8:$AW$92,표1[[#This Row],[명칭]]),"-")</f>
        <v>0</v>
      </c>
      <c r="J2501" s="38">
        <f>IFERROR(COUNTIF([1]FishDiscoveryGroup!$A:$X,표1[[#This Row],[명칭]]),"-")</f>
        <v>0</v>
      </c>
      <c r="K2501" s="38" t="str">
        <f>IFERROR(COUNTIF([2]Town!$B:$B,표1[[#This Row],[명칭]]),"-")</f>
        <v>-</v>
      </c>
      <c r="L2501" s="38">
        <f>IFERROR(COUNTIF([1]Village!$BR:$BR,표1[[#This Row],[명칭]]),"-")</f>
        <v>0</v>
      </c>
      <c r="M2501" s="38">
        <f>COUNTIF(퀘스트!B:B,표1[[#This Row],[명칭]])</f>
        <v>1</v>
      </c>
      <c r="N2501" s="65">
        <f>COUNTIF([1]VillageDiscoveryGroup!$C:$C,표1[[#This Row],[명칭]])</f>
        <v>0</v>
      </c>
      <c r="O2501" s="65">
        <f>SUM(표1[[#This Row],[해양탐색]:[마을탐험]])</f>
        <v>1</v>
      </c>
    </row>
    <row r="2502" spans="2:15" ht="13.5" customHeight="1" x14ac:dyDescent="0.3">
      <c r="B2502" s="9">
        <f>[1]Discovery!A2508</f>
        <v>70416064</v>
      </c>
      <c r="C2502" s="9" t="str">
        <f>[1]Discovery!B2508</f>
        <v>초충도</v>
      </c>
      <c r="D2502" s="9" t="str">
        <f>[1]Discovery!E2508</f>
        <v>보물</v>
      </c>
      <c r="E2502" s="9" t="str">
        <f>[1]Discovery!C2508</f>
        <v>미술품</v>
      </c>
      <c r="F2502" s="9" t="str">
        <f>[1]Discovery!G2508</f>
        <v>B</v>
      </c>
      <c r="G2502" s="9" t="str">
        <f>IFERROR(VLOOKUP(표1[[#This Row],[명칭]],'문화권 정리'!C:D,2,FALSE),"-")</f>
        <v>동아시아</v>
      </c>
      <c r="H2502" s="38" t="str">
        <f>IFERROR(COUNTIF([2]OceanDoodad!$Y:$Y,표1[[#This Row],[명칭]]),"-")</f>
        <v>-</v>
      </c>
      <c r="I2502" s="38">
        <f>IFERROR(COUNTIF([1]AdventureDiscoveryGroup!$D$8:$AW$92,표1[[#This Row],[명칭]]),"-")</f>
        <v>0</v>
      </c>
      <c r="J2502" s="38">
        <f>IFERROR(COUNTIF([1]FishDiscoveryGroup!$A:$X,표1[[#This Row],[명칭]]),"-")</f>
        <v>0</v>
      </c>
      <c r="K2502" s="38" t="str">
        <f>IFERROR(COUNTIF([2]Town!$B:$B,표1[[#This Row],[명칭]]),"-")</f>
        <v>-</v>
      </c>
      <c r="L2502" s="38">
        <f>IFERROR(COUNTIF([1]Village!$BR:$BR,표1[[#This Row],[명칭]]),"-")</f>
        <v>0</v>
      </c>
      <c r="M2502" s="38">
        <f>COUNTIF(퀘스트!B:B,표1[[#This Row],[명칭]])</f>
        <v>0</v>
      </c>
      <c r="N2502" s="65">
        <f>COUNTIF([1]VillageDiscoveryGroup!$C:$C,표1[[#This Row],[명칭]])</f>
        <v>0</v>
      </c>
      <c r="O2502" s="65">
        <f>SUM(표1[[#This Row],[해양탐색]:[마을탐험]])</f>
        <v>0</v>
      </c>
    </row>
    <row r="2503" spans="2:15" ht="13.5" customHeight="1" x14ac:dyDescent="0.3">
      <c r="B2503" s="9">
        <f>[1]Discovery!A2509</f>
        <v>70416065</v>
      </c>
      <c r="C2503" s="9" t="str">
        <f>[1]Discovery!B2509</f>
        <v>최후의 만찬</v>
      </c>
      <c r="D2503" s="9" t="str">
        <f>[1]Discovery!E2509</f>
        <v>보물</v>
      </c>
      <c r="E2503" s="9" t="str">
        <f>[1]Discovery!C2509</f>
        <v>미술품</v>
      </c>
      <c r="F2503" s="9" t="str">
        <f>[1]Discovery!G2509</f>
        <v>S</v>
      </c>
      <c r="G2503" s="9" t="str">
        <f>IFERROR(VLOOKUP(표1[[#This Row],[명칭]],'문화권 정리'!C:D,2,FALSE),"-")</f>
        <v>지중해</v>
      </c>
      <c r="H2503" s="38" t="str">
        <f>IFERROR(COUNTIF([2]OceanDoodad!$Y:$Y,표1[[#This Row],[명칭]]),"-")</f>
        <v>-</v>
      </c>
      <c r="I2503" s="38">
        <f>IFERROR(COUNTIF([1]AdventureDiscoveryGroup!$D$8:$AW$92,표1[[#This Row],[명칭]]),"-")</f>
        <v>0</v>
      </c>
      <c r="J2503" s="38">
        <f>IFERROR(COUNTIF([1]FishDiscoveryGroup!$A:$X,표1[[#This Row],[명칭]]),"-")</f>
        <v>0</v>
      </c>
      <c r="K2503" s="38" t="str">
        <f>IFERROR(COUNTIF([2]Town!$B:$B,표1[[#This Row],[명칭]]),"-")</f>
        <v>-</v>
      </c>
      <c r="L2503" s="38">
        <f>IFERROR(COUNTIF([1]Village!$BR:$BR,표1[[#This Row],[명칭]]),"-")</f>
        <v>0</v>
      </c>
      <c r="M2503" s="38">
        <f>COUNTIF(퀘스트!B:B,표1[[#This Row],[명칭]])</f>
        <v>1</v>
      </c>
      <c r="N2503" s="65">
        <f>COUNTIF([1]VillageDiscoveryGroup!$C:$C,표1[[#This Row],[명칭]])</f>
        <v>0</v>
      </c>
      <c r="O2503" s="65">
        <f>SUM(표1[[#This Row],[해양탐색]:[마을탐험]])</f>
        <v>1</v>
      </c>
    </row>
    <row r="2504" spans="2:15" ht="13.5" customHeight="1" x14ac:dyDescent="0.3">
      <c r="B2504" s="9">
        <f>[1]Discovery!A2510</f>
        <v>70416066</v>
      </c>
      <c r="C2504" s="9" t="str">
        <f>[1]Discovery!B2510</f>
        <v>최후의 심판</v>
      </c>
      <c r="D2504" s="9" t="str">
        <f>[1]Discovery!E2510</f>
        <v>보물</v>
      </c>
      <c r="E2504" s="9" t="str">
        <f>[1]Discovery!C2510</f>
        <v>미술품</v>
      </c>
      <c r="F2504" s="9" t="str">
        <f>[1]Discovery!G2510</f>
        <v>B</v>
      </c>
      <c r="G2504" s="9" t="str">
        <f>IFERROR(VLOOKUP(표1[[#This Row],[명칭]],'문화권 정리'!C:D,2,FALSE),"-")</f>
        <v>지중해</v>
      </c>
      <c r="H2504" s="38" t="str">
        <f>IFERROR(COUNTIF([2]OceanDoodad!$Y:$Y,표1[[#This Row],[명칭]]),"-")</f>
        <v>-</v>
      </c>
      <c r="I2504" s="38">
        <f>IFERROR(COUNTIF([1]AdventureDiscoveryGroup!$D$8:$AW$92,표1[[#This Row],[명칭]]),"-")</f>
        <v>0</v>
      </c>
      <c r="J2504" s="38">
        <f>IFERROR(COUNTIF([1]FishDiscoveryGroup!$A:$X,표1[[#This Row],[명칭]]),"-")</f>
        <v>0</v>
      </c>
      <c r="K2504" s="38" t="str">
        <f>IFERROR(COUNTIF([2]Town!$B:$B,표1[[#This Row],[명칭]]),"-")</f>
        <v>-</v>
      </c>
      <c r="L2504" s="38">
        <f>IFERROR(COUNTIF([1]Village!$BR:$BR,표1[[#This Row],[명칭]]),"-")</f>
        <v>0</v>
      </c>
      <c r="M2504" s="38">
        <f>COUNTIF(퀘스트!B:B,표1[[#This Row],[명칭]])</f>
        <v>1</v>
      </c>
      <c r="N2504" s="65">
        <f>COUNTIF([1]VillageDiscoveryGroup!$C:$C,표1[[#This Row],[명칭]])</f>
        <v>0</v>
      </c>
      <c r="O2504" s="65">
        <f>SUM(표1[[#This Row],[해양탐색]:[마을탐험]])</f>
        <v>1</v>
      </c>
    </row>
    <row r="2505" spans="2:15" ht="13.5" customHeight="1" x14ac:dyDescent="0.3">
      <c r="B2505" s="9">
        <f>[1]Discovery!A2511</f>
        <v>70416067</v>
      </c>
      <c r="C2505" s="9" t="str">
        <f>[1]Discovery!B2511</f>
        <v>추림만학도</v>
      </c>
      <c r="D2505" s="9" t="str">
        <f>[1]Discovery!E2511</f>
        <v>보물</v>
      </c>
      <c r="E2505" s="9" t="str">
        <f>[1]Discovery!C2511</f>
        <v>미술품</v>
      </c>
      <c r="F2505" s="9" t="str">
        <f>[1]Discovery!G2511</f>
        <v>A</v>
      </c>
      <c r="G2505" s="9" t="str">
        <f>IFERROR(VLOOKUP(표1[[#This Row],[명칭]],'문화권 정리'!C:D,2,FALSE),"-")</f>
        <v>동아시아</v>
      </c>
      <c r="H2505" s="38" t="str">
        <f>IFERROR(COUNTIF([2]OceanDoodad!$Y:$Y,표1[[#This Row],[명칭]]),"-")</f>
        <v>-</v>
      </c>
      <c r="I2505" s="38">
        <f>IFERROR(COUNTIF([1]AdventureDiscoveryGroup!$D$8:$AW$92,표1[[#This Row],[명칭]]),"-")</f>
        <v>1</v>
      </c>
      <c r="J2505" s="38">
        <f>IFERROR(COUNTIF([1]FishDiscoveryGroup!$A:$X,표1[[#This Row],[명칭]]),"-")</f>
        <v>0</v>
      </c>
      <c r="K2505" s="38" t="str">
        <f>IFERROR(COUNTIF([2]Town!$B:$B,표1[[#This Row],[명칭]]),"-")</f>
        <v>-</v>
      </c>
      <c r="L2505" s="38">
        <f>IFERROR(COUNTIF([1]Village!$BR:$BR,표1[[#This Row],[명칭]]),"-")</f>
        <v>0</v>
      </c>
      <c r="M2505" s="38">
        <f>COUNTIF(퀘스트!B:B,표1[[#This Row],[명칭]])</f>
        <v>0</v>
      </c>
      <c r="N2505" s="65">
        <f>COUNTIF([1]VillageDiscoveryGroup!$C:$C,표1[[#This Row],[명칭]])</f>
        <v>0</v>
      </c>
      <c r="O2505" s="65">
        <f>SUM(표1[[#This Row],[해양탐색]:[마을탐험]])</f>
        <v>1</v>
      </c>
    </row>
    <row r="2506" spans="2:15" ht="13.5" customHeight="1" x14ac:dyDescent="0.3">
      <c r="B2506" s="9">
        <f>[1]Discovery!A2512</f>
        <v>70416068</v>
      </c>
      <c r="C2506" s="9" t="str">
        <f>[1]Discovery!B2512</f>
        <v>카피톨리나 늑대상</v>
      </c>
      <c r="D2506" s="9" t="str">
        <f>[1]Discovery!E2512</f>
        <v>보물</v>
      </c>
      <c r="E2506" s="9" t="str">
        <f>[1]Discovery!C2512</f>
        <v>미술품</v>
      </c>
      <c r="F2506" s="9" t="str">
        <f>[1]Discovery!G2512</f>
        <v>D</v>
      </c>
      <c r="G2506" s="9" t="str">
        <f>IFERROR(VLOOKUP(표1[[#This Row],[명칭]],'문화권 정리'!C:D,2,FALSE),"-")</f>
        <v>지중해</v>
      </c>
      <c r="H2506" s="38" t="str">
        <f>IFERROR(COUNTIF([2]OceanDoodad!$Y:$Y,표1[[#This Row],[명칭]]),"-")</f>
        <v>-</v>
      </c>
      <c r="I2506" s="38">
        <f>IFERROR(COUNTIF([1]AdventureDiscoveryGroup!$D$8:$AW$92,표1[[#This Row],[명칭]]),"-")</f>
        <v>1</v>
      </c>
      <c r="J2506" s="38">
        <f>IFERROR(COUNTIF([1]FishDiscoveryGroup!$A:$X,표1[[#This Row],[명칭]]),"-")</f>
        <v>0</v>
      </c>
      <c r="K2506" s="38" t="str">
        <f>IFERROR(COUNTIF([2]Town!$B:$B,표1[[#This Row],[명칭]]),"-")</f>
        <v>-</v>
      </c>
      <c r="L2506" s="38">
        <f>IFERROR(COUNTIF([1]Village!$BR:$BR,표1[[#This Row],[명칭]]),"-")</f>
        <v>0</v>
      </c>
      <c r="M2506" s="38">
        <f>COUNTIF(퀘스트!B:B,표1[[#This Row],[명칭]])</f>
        <v>0</v>
      </c>
      <c r="N2506" s="65">
        <f>COUNTIF([1]VillageDiscoveryGroup!$C:$C,표1[[#This Row],[명칭]])</f>
        <v>0</v>
      </c>
      <c r="O2506" s="65">
        <f>SUM(표1[[#This Row],[해양탐색]:[마을탐험]])</f>
        <v>1</v>
      </c>
    </row>
    <row r="2507" spans="2:15" ht="13.5" customHeight="1" x14ac:dyDescent="0.3">
      <c r="B2507" s="9">
        <f>[1]Discovery!A2513</f>
        <v>70416069</v>
      </c>
      <c r="C2507" s="9" t="str">
        <f>[1]Discovery!B2513</f>
        <v>뒤러의 코뿔소</v>
      </c>
      <c r="D2507" s="9" t="str">
        <f>[1]Discovery!E2513</f>
        <v>보물</v>
      </c>
      <c r="E2507" s="9" t="str">
        <f>[1]Discovery!C2513</f>
        <v>미술품</v>
      </c>
      <c r="F2507" s="9" t="str">
        <f>[1]Discovery!G2513</f>
        <v>D</v>
      </c>
      <c r="G2507" s="9" t="str">
        <f>IFERROR(VLOOKUP(표1[[#This Row],[명칭]],'문화권 정리'!C:D,2,FALSE),"-")</f>
        <v>지중해</v>
      </c>
      <c r="H2507" s="38" t="str">
        <f>IFERROR(COUNTIF([2]OceanDoodad!$Y:$Y,표1[[#This Row],[명칭]]),"-")</f>
        <v>-</v>
      </c>
      <c r="I2507" s="38">
        <f>IFERROR(COUNTIF([1]AdventureDiscoveryGroup!$D$8:$AW$92,표1[[#This Row],[명칭]]),"-")</f>
        <v>1</v>
      </c>
      <c r="J2507" s="38">
        <f>IFERROR(COUNTIF([1]FishDiscoveryGroup!$A:$X,표1[[#This Row],[명칭]]),"-")</f>
        <v>0</v>
      </c>
      <c r="K2507" s="38" t="str">
        <f>IFERROR(COUNTIF([2]Town!$B:$B,표1[[#This Row],[명칭]]),"-")</f>
        <v>-</v>
      </c>
      <c r="L2507" s="38">
        <f>IFERROR(COUNTIF([1]Village!$BR:$BR,표1[[#This Row],[명칭]]),"-")</f>
        <v>0</v>
      </c>
      <c r="M2507" s="38">
        <f>COUNTIF(퀘스트!B:B,표1[[#This Row],[명칭]])</f>
        <v>0</v>
      </c>
      <c r="N2507" s="65">
        <f>COUNTIF([1]VillageDiscoveryGroup!$C:$C,표1[[#This Row],[명칭]])</f>
        <v>0</v>
      </c>
      <c r="O2507" s="65">
        <f>SUM(표1[[#This Row],[해양탐색]:[마을탐험]])</f>
        <v>1</v>
      </c>
    </row>
    <row r="2508" spans="2:15" ht="13.5" customHeight="1" x14ac:dyDescent="0.3">
      <c r="B2508" s="9">
        <f>[1]Discovery!A2514</f>
        <v>70416070</v>
      </c>
      <c r="C2508" s="9" t="str">
        <f>[1]Discovery!B2514</f>
        <v>붉은 터번을 두른 남자의 초상</v>
      </c>
      <c r="D2508" s="9" t="str">
        <f>[1]Discovery!E2514</f>
        <v>보물</v>
      </c>
      <c r="E2508" s="9" t="str">
        <f>[1]Discovery!C2514</f>
        <v>미술품</v>
      </c>
      <c r="F2508" s="9" t="str">
        <f>[1]Discovery!G2514</f>
        <v>C</v>
      </c>
      <c r="G2508" s="9" t="str">
        <f>IFERROR(VLOOKUP(표1[[#This Row],[명칭]],'문화권 정리'!C:D,2,FALSE),"-")</f>
        <v>지중해</v>
      </c>
      <c r="H2508" s="38" t="str">
        <f>IFERROR(COUNTIF([2]OceanDoodad!$Y:$Y,표1[[#This Row],[명칭]]),"-")</f>
        <v>-</v>
      </c>
      <c r="I2508" s="38">
        <f>IFERROR(COUNTIF([1]AdventureDiscoveryGroup!$D$8:$AW$92,표1[[#This Row],[명칭]]),"-")</f>
        <v>0</v>
      </c>
      <c r="J2508" s="38">
        <f>IFERROR(COUNTIF([1]FishDiscoveryGroup!$A:$X,표1[[#This Row],[명칭]]),"-")</f>
        <v>0</v>
      </c>
      <c r="K2508" s="38" t="str">
        <f>IFERROR(COUNTIF([2]Town!$B:$B,표1[[#This Row],[명칭]]),"-")</f>
        <v>-</v>
      </c>
      <c r="L2508" s="38">
        <f>IFERROR(COUNTIF([1]Village!$BR:$BR,표1[[#This Row],[명칭]]),"-")</f>
        <v>0</v>
      </c>
      <c r="M2508" s="38">
        <f>COUNTIF(퀘스트!B:B,표1[[#This Row],[명칭]])</f>
        <v>0</v>
      </c>
      <c r="N2508" s="65">
        <f>COUNTIF([1]VillageDiscoveryGroup!$C:$C,표1[[#This Row],[명칭]])</f>
        <v>0</v>
      </c>
      <c r="O2508" s="65">
        <f>SUM(표1[[#This Row],[해양탐색]:[마을탐험]])</f>
        <v>0</v>
      </c>
    </row>
    <row r="2509" spans="2:15" ht="13.5" customHeight="1" x14ac:dyDescent="0.3">
      <c r="B2509" s="9">
        <f>[1]Discovery!A2515</f>
        <v>70416071</v>
      </c>
      <c r="C2509" s="9" t="str">
        <f>[1]Discovery!B2515</f>
        <v>풍우귀목도</v>
      </c>
      <c r="D2509" s="9" t="str">
        <f>[1]Discovery!E2515</f>
        <v>보물</v>
      </c>
      <c r="E2509" s="9" t="str">
        <f>[1]Discovery!C2515</f>
        <v>미술품</v>
      </c>
      <c r="F2509" s="9" t="str">
        <f>[1]Discovery!G2515</f>
        <v>A</v>
      </c>
      <c r="G2509" s="9" t="str">
        <f>IFERROR(VLOOKUP(표1[[#This Row],[명칭]],'문화권 정리'!C:D,2,FALSE),"-")</f>
        <v>동아시아</v>
      </c>
      <c r="H2509" s="38" t="str">
        <f>IFERROR(COUNTIF([2]OceanDoodad!$Y:$Y,표1[[#This Row],[명칭]]),"-")</f>
        <v>-</v>
      </c>
      <c r="I2509" s="38">
        <f>IFERROR(COUNTIF([1]AdventureDiscoveryGroup!$D$8:$AW$92,표1[[#This Row],[명칭]]),"-")</f>
        <v>0</v>
      </c>
      <c r="J2509" s="38">
        <f>IFERROR(COUNTIF([1]FishDiscoveryGroup!$A:$X,표1[[#This Row],[명칭]]),"-")</f>
        <v>0</v>
      </c>
      <c r="K2509" s="38" t="str">
        <f>IFERROR(COUNTIF([2]Town!$B:$B,표1[[#This Row],[명칭]]),"-")</f>
        <v>-</v>
      </c>
      <c r="L2509" s="38">
        <f>IFERROR(COUNTIF([1]Village!$BR:$BR,표1[[#This Row],[명칭]]),"-")</f>
        <v>0</v>
      </c>
      <c r="M2509" s="38">
        <f>COUNTIF(퀘스트!B:B,표1[[#This Row],[명칭]])</f>
        <v>0</v>
      </c>
      <c r="N2509" s="65">
        <f>COUNTIF([1]VillageDiscoveryGroup!$C:$C,표1[[#This Row],[명칭]])</f>
        <v>0</v>
      </c>
      <c r="O2509" s="65">
        <f>SUM(표1[[#This Row],[해양탐색]:[마을탐험]])</f>
        <v>0</v>
      </c>
    </row>
    <row r="2510" spans="2:15" ht="13.5" customHeight="1" x14ac:dyDescent="0.3">
      <c r="B2510" s="9">
        <f>[1]Discovery!A2516</f>
        <v>70416072</v>
      </c>
      <c r="C2510" s="9" t="str">
        <f>[1]Discovery!B2516</f>
        <v>프리마베라</v>
      </c>
      <c r="D2510" s="9" t="str">
        <f>[1]Discovery!E2516</f>
        <v>보물</v>
      </c>
      <c r="E2510" s="9" t="str">
        <f>[1]Discovery!C2516</f>
        <v>미술품</v>
      </c>
      <c r="F2510" s="9" t="str">
        <f>[1]Discovery!G2516</f>
        <v>S</v>
      </c>
      <c r="G2510" s="9" t="str">
        <f>IFERROR(VLOOKUP(표1[[#This Row],[명칭]],'문화권 정리'!C:D,2,FALSE),"-")</f>
        <v>지중해</v>
      </c>
      <c r="H2510" s="38" t="str">
        <f>IFERROR(COUNTIF([2]OceanDoodad!$Y:$Y,표1[[#This Row],[명칭]]),"-")</f>
        <v>-</v>
      </c>
      <c r="I2510" s="38">
        <f>IFERROR(COUNTIF([1]AdventureDiscoveryGroup!$D$8:$AW$92,표1[[#This Row],[명칭]]),"-")</f>
        <v>0</v>
      </c>
      <c r="J2510" s="38">
        <f>IFERROR(COUNTIF([1]FishDiscoveryGroup!$A:$X,표1[[#This Row],[명칭]]),"-")</f>
        <v>0</v>
      </c>
      <c r="K2510" s="38" t="str">
        <f>IFERROR(COUNTIF([2]Town!$B:$B,표1[[#This Row],[명칭]]),"-")</f>
        <v>-</v>
      </c>
      <c r="L2510" s="38">
        <f>IFERROR(COUNTIF([1]Village!$BR:$BR,표1[[#This Row],[명칭]]),"-")</f>
        <v>0</v>
      </c>
      <c r="M2510" s="38">
        <f>COUNTIF(퀘스트!B:B,표1[[#This Row],[명칭]])</f>
        <v>0</v>
      </c>
      <c r="N2510" s="65">
        <f>COUNTIF([1]VillageDiscoveryGroup!$C:$C,표1[[#This Row],[명칭]])</f>
        <v>0</v>
      </c>
      <c r="O2510" s="65">
        <f>SUM(표1[[#This Row],[해양탐색]:[마을탐험]])</f>
        <v>0</v>
      </c>
    </row>
    <row r="2511" spans="2:15" ht="13.5" customHeight="1" x14ac:dyDescent="0.3">
      <c r="B2511" s="9">
        <f>[1]Discovery!A2517</f>
        <v>70416073</v>
      </c>
      <c r="C2511" s="9" t="str">
        <f>[1]Discovery!B2517</f>
        <v>피에타</v>
      </c>
      <c r="D2511" s="9" t="str">
        <f>[1]Discovery!E2517</f>
        <v>보물</v>
      </c>
      <c r="E2511" s="9" t="str">
        <f>[1]Discovery!C2517</f>
        <v>미술품</v>
      </c>
      <c r="F2511" s="9" t="str">
        <f>[1]Discovery!G2517</f>
        <v>S</v>
      </c>
      <c r="G2511" s="9" t="str">
        <f>IFERROR(VLOOKUP(표1[[#This Row],[명칭]],'문화권 정리'!C:D,2,FALSE),"-")</f>
        <v>지중해</v>
      </c>
      <c r="H2511" s="38" t="str">
        <f>IFERROR(COUNTIF([2]OceanDoodad!$Y:$Y,표1[[#This Row],[명칭]]),"-")</f>
        <v>-</v>
      </c>
      <c r="I2511" s="38">
        <f>IFERROR(COUNTIF([1]AdventureDiscoveryGroup!$D$8:$AW$92,표1[[#This Row],[명칭]]),"-")</f>
        <v>0</v>
      </c>
      <c r="J2511" s="38">
        <f>IFERROR(COUNTIF([1]FishDiscoveryGroup!$A:$X,표1[[#This Row],[명칭]]),"-")</f>
        <v>0</v>
      </c>
      <c r="K2511" s="38" t="str">
        <f>IFERROR(COUNTIF([2]Town!$B:$B,표1[[#This Row],[명칭]]),"-")</f>
        <v>-</v>
      </c>
      <c r="L2511" s="38">
        <f>IFERROR(COUNTIF([1]Village!$BR:$BR,표1[[#This Row],[명칭]]),"-")</f>
        <v>0</v>
      </c>
      <c r="M2511" s="38">
        <f>COUNTIF(퀘스트!B:B,표1[[#This Row],[명칭]])</f>
        <v>0</v>
      </c>
      <c r="N2511" s="65">
        <f>COUNTIF([1]VillageDiscoveryGroup!$C:$C,표1[[#This Row],[명칭]])</f>
        <v>0</v>
      </c>
      <c r="O2511" s="65">
        <f>SUM(표1[[#This Row],[해양탐색]:[마을탐험]])</f>
        <v>0</v>
      </c>
    </row>
    <row r="2512" spans="2:15" ht="13.5" customHeight="1" x14ac:dyDescent="0.3">
      <c r="B2512" s="9">
        <f>[1]Discovery!A2518</f>
        <v>70416074</v>
      </c>
      <c r="C2512" s="9" t="str">
        <f>[1]Discovery!B2518</f>
        <v>홍백부용도</v>
      </c>
      <c r="D2512" s="9" t="str">
        <f>[1]Discovery!E2518</f>
        <v>보물</v>
      </c>
      <c r="E2512" s="9" t="str">
        <f>[1]Discovery!C2518</f>
        <v>미술품</v>
      </c>
      <c r="F2512" s="9" t="str">
        <f>[1]Discovery!G2518</f>
        <v>D</v>
      </c>
      <c r="G2512" s="9" t="str">
        <f>IFERROR(VLOOKUP(표1[[#This Row],[명칭]],'문화권 정리'!C:D,2,FALSE),"-")</f>
        <v>동아시아</v>
      </c>
      <c r="H2512" s="38" t="str">
        <f>IFERROR(COUNTIF([2]OceanDoodad!$Y:$Y,표1[[#This Row],[명칭]]),"-")</f>
        <v>-</v>
      </c>
      <c r="I2512" s="38">
        <f>IFERROR(COUNTIF([1]AdventureDiscoveryGroup!$D$8:$AW$92,표1[[#This Row],[명칭]]),"-")</f>
        <v>1</v>
      </c>
      <c r="J2512" s="38">
        <f>IFERROR(COUNTIF([1]FishDiscoveryGroup!$A:$X,표1[[#This Row],[명칭]]),"-")</f>
        <v>0</v>
      </c>
      <c r="K2512" s="38" t="str">
        <f>IFERROR(COUNTIF([2]Town!$B:$B,표1[[#This Row],[명칭]]),"-")</f>
        <v>-</v>
      </c>
      <c r="L2512" s="38">
        <f>IFERROR(COUNTIF([1]Village!$BR:$BR,표1[[#This Row],[명칭]]),"-")</f>
        <v>0</v>
      </c>
      <c r="M2512" s="38">
        <f>COUNTIF(퀘스트!B:B,표1[[#This Row],[명칭]])</f>
        <v>0</v>
      </c>
      <c r="N2512" s="65">
        <f>COUNTIF([1]VillageDiscoveryGroup!$C:$C,표1[[#This Row],[명칭]])</f>
        <v>0</v>
      </c>
      <c r="O2512" s="65">
        <f>SUM(표1[[#This Row],[해양탐색]:[마을탐험]])</f>
        <v>1</v>
      </c>
    </row>
    <row r="2513" spans="2:15" ht="13.5" customHeight="1" x14ac:dyDescent="0.3">
      <c r="B2513" s="9">
        <f>[1]Discovery!A2519</f>
        <v>70416075</v>
      </c>
      <c r="C2513" s="9" t="str">
        <f>[1]Discovery!B2519</f>
        <v>힌튼 세인트 메리 모자이크</v>
      </c>
      <c r="D2513" s="9" t="str">
        <f>[1]Discovery!E2519</f>
        <v>보물</v>
      </c>
      <c r="E2513" s="9" t="str">
        <f>[1]Discovery!C2519</f>
        <v>미술품</v>
      </c>
      <c r="F2513" s="9" t="str">
        <f>[1]Discovery!G2519</f>
        <v>C</v>
      </c>
      <c r="G2513" s="9" t="str">
        <f>IFERROR(VLOOKUP(표1[[#This Row],[명칭]],'문화권 정리'!C:D,2,FALSE),"-")</f>
        <v>브리튼</v>
      </c>
      <c r="H2513" s="38" t="str">
        <f>IFERROR(COUNTIF([2]OceanDoodad!$Y:$Y,표1[[#This Row],[명칭]]),"-")</f>
        <v>-</v>
      </c>
      <c r="I2513" s="38">
        <f>IFERROR(COUNTIF([1]AdventureDiscoveryGroup!$D$8:$AW$92,표1[[#This Row],[명칭]]),"-")</f>
        <v>1</v>
      </c>
      <c r="J2513" s="38">
        <f>IFERROR(COUNTIF([1]FishDiscoveryGroup!$A:$X,표1[[#This Row],[명칭]]),"-")</f>
        <v>0</v>
      </c>
      <c r="K2513" s="38" t="str">
        <f>IFERROR(COUNTIF([2]Town!$B:$B,표1[[#This Row],[명칭]]),"-")</f>
        <v>-</v>
      </c>
      <c r="L2513" s="38">
        <f>IFERROR(COUNTIF([1]Village!$BR:$BR,표1[[#This Row],[명칭]]),"-")</f>
        <v>0</v>
      </c>
      <c r="M2513" s="38">
        <f>COUNTIF(퀘스트!B:B,표1[[#This Row],[명칭]])</f>
        <v>0</v>
      </c>
      <c r="N2513" s="65">
        <f>COUNTIF([1]VillageDiscoveryGroup!$C:$C,표1[[#This Row],[명칭]])</f>
        <v>0</v>
      </c>
      <c r="O2513" s="65">
        <f>SUM(표1[[#This Row],[해양탐색]:[마을탐험]])</f>
        <v>1</v>
      </c>
    </row>
    <row r="2514" spans="2:15" ht="13.5" customHeight="1" x14ac:dyDescent="0.3">
      <c r="B2514" s="9">
        <f>[1]Discovery!A2520</f>
        <v>70417001</v>
      </c>
      <c r="C2514" s="9" t="str">
        <f>[1]Discovery!B2520</f>
        <v>게 볼그</v>
      </c>
      <c r="D2514" s="9" t="str">
        <f>[1]Discovery!E2520</f>
        <v>보물</v>
      </c>
      <c r="E2514" s="9" t="str">
        <f>[1]Discovery!C2520</f>
        <v>보물</v>
      </c>
      <c r="F2514" s="9" t="str">
        <f>[1]Discovery!G2520</f>
        <v>A</v>
      </c>
      <c r="G2514" s="9" t="str">
        <f>IFERROR(VLOOKUP(표1[[#This Row],[명칭]],'문화권 정리'!C:D,2,FALSE),"-")</f>
        <v>브리튼</v>
      </c>
      <c r="H2514" s="38" t="str">
        <f>IFERROR(COUNTIF([2]OceanDoodad!$Y:$Y,표1[[#This Row],[명칭]]),"-")</f>
        <v>-</v>
      </c>
      <c r="I2514" s="38">
        <f>IFERROR(COUNTIF([1]AdventureDiscoveryGroup!$D$8:$AW$92,표1[[#This Row],[명칭]]),"-")</f>
        <v>0</v>
      </c>
      <c r="J2514" s="38">
        <f>IFERROR(COUNTIF([1]FishDiscoveryGroup!$A:$X,표1[[#This Row],[명칭]]),"-")</f>
        <v>0</v>
      </c>
      <c r="K2514" s="38" t="str">
        <f>IFERROR(COUNTIF([2]Town!$B:$B,표1[[#This Row],[명칭]]),"-")</f>
        <v>-</v>
      </c>
      <c r="L2514" s="38">
        <f>IFERROR(COUNTIF([1]Village!$BR:$BR,표1[[#This Row],[명칭]]),"-")</f>
        <v>0</v>
      </c>
      <c r="M2514" s="38">
        <f>COUNTIF(퀘스트!B:B,표1[[#This Row],[명칭]])</f>
        <v>1</v>
      </c>
      <c r="N2514" s="65">
        <f>COUNTIF([1]VillageDiscoveryGroup!$C:$C,표1[[#This Row],[명칭]])</f>
        <v>0</v>
      </c>
      <c r="O2514" s="65">
        <f>SUM(표1[[#This Row],[해양탐색]:[마을탐험]])</f>
        <v>1</v>
      </c>
    </row>
    <row r="2515" spans="2:15" ht="13.5" customHeight="1" x14ac:dyDescent="0.3">
      <c r="B2515" s="9">
        <f>[1]Discovery!A2521</f>
        <v>70417002</v>
      </c>
      <c r="C2515" s="9" t="str">
        <f>[1]Discovery!B2521</f>
        <v>겐지 이야기</v>
      </c>
      <c r="D2515" s="9" t="str">
        <f>[1]Discovery!E2521</f>
        <v>보물</v>
      </c>
      <c r="E2515" s="9" t="str">
        <f>[1]Discovery!C2521</f>
        <v>보물</v>
      </c>
      <c r="F2515" s="9" t="str">
        <f>[1]Discovery!G2521</f>
        <v>B</v>
      </c>
      <c r="G2515" s="9" t="str">
        <f>IFERROR(VLOOKUP(표1[[#This Row],[명칭]],'문화권 정리'!C:D,2,FALSE),"-")</f>
        <v>동아시아</v>
      </c>
      <c r="H2515" s="38" t="str">
        <f>IFERROR(COUNTIF([2]OceanDoodad!$Y:$Y,표1[[#This Row],[명칭]]),"-")</f>
        <v>-</v>
      </c>
      <c r="I2515" s="38">
        <f>IFERROR(COUNTIF([1]AdventureDiscoveryGroup!$D$8:$AW$92,표1[[#This Row],[명칭]]),"-")</f>
        <v>0</v>
      </c>
      <c r="J2515" s="38">
        <f>IFERROR(COUNTIF([1]FishDiscoveryGroup!$A:$X,표1[[#This Row],[명칭]]),"-")</f>
        <v>0</v>
      </c>
      <c r="K2515" s="38" t="str">
        <f>IFERROR(COUNTIF([2]Town!$B:$B,표1[[#This Row],[명칭]]),"-")</f>
        <v>-</v>
      </c>
      <c r="L2515" s="38">
        <f>IFERROR(COUNTIF([1]Village!$BR:$BR,표1[[#This Row],[명칭]]),"-")</f>
        <v>0</v>
      </c>
      <c r="M2515" s="38">
        <f>COUNTIF(퀘스트!B:B,표1[[#This Row],[명칭]])</f>
        <v>0</v>
      </c>
      <c r="N2515" s="65">
        <f>COUNTIF([1]VillageDiscoveryGroup!$C:$C,표1[[#This Row],[명칭]])</f>
        <v>0</v>
      </c>
      <c r="O2515" s="65">
        <f>SUM(표1[[#This Row],[해양탐색]:[마을탐험]])</f>
        <v>0</v>
      </c>
    </row>
    <row r="2516" spans="2:15" ht="13.5" customHeight="1" x14ac:dyDescent="0.3">
      <c r="B2516" s="9">
        <f>[1]Discovery!A2522</f>
        <v>70417003</v>
      </c>
      <c r="C2516" s="9" t="str">
        <f>[1]Discovery!B2522</f>
        <v>경국대전</v>
      </c>
      <c r="D2516" s="9" t="str">
        <f>[1]Discovery!E2522</f>
        <v>유물</v>
      </c>
      <c r="E2516" s="9" t="str">
        <f>[1]Discovery!C2522</f>
        <v>역사유물</v>
      </c>
      <c r="F2516" s="9" t="str">
        <f>[1]Discovery!G2522</f>
        <v>A</v>
      </c>
      <c r="G2516" s="9" t="str">
        <f>IFERROR(VLOOKUP(표1[[#This Row],[명칭]],'문화권 정리'!C:D,2,FALSE),"-")</f>
        <v>동아시아</v>
      </c>
      <c r="H2516" s="38" t="str">
        <f>IFERROR(COUNTIF([2]OceanDoodad!$Y:$Y,표1[[#This Row],[명칭]]),"-")</f>
        <v>-</v>
      </c>
      <c r="I2516" s="38">
        <f>IFERROR(COUNTIF([1]AdventureDiscoveryGroup!$D$8:$AW$92,표1[[#This Row],[명칭]]),"-")</f>
        <v>0</v>
      </c>
      <c r="J2516" s="38">
        <f>IFERROR(COUNTIF([1]FishDiscoveryGroup!$A:$X,표1[[#This Row],[명칭]]),"-")</f>
        <v>0</v>
      </c>
      <c r="K2516" s="38" t="str">
        <f>IFERROR(COUNTIF([2]Town!$B:$B,표1[[#This Row],[명칭]]),"-")</f>
        <v>-</v>
      </c>
      <c r="L2516" s="38">
        <f>IFERROR(COUNTIF([1]Village!$BR:$BR,표1[[#This Row],[명칭]]),"-")</f>
        <v>0</v>
      </c>
      <c r="M2516" s="38">
        <f>COUNTIF(퀘스트!B:B,표1[[#This Row],[명칭]])</f>
        <v>0</v>
      </c>
      <c r="N2516" s="65">
        <f>COUNTIF([1]VillageDiscoveryGroup!$C:$C,표1[[#This Row],[명칭]])</f>
        <v>0</v>
      </c>
      <c r="O2516" s="65">
        <f>SUM(표1[[#This Row],[해양탐색]:[마을탐험]])</f>
        <v>0</v>
      </c>
    </row>
    <row r="2517" spans="2:15" ht="13.5" customHeight="1" x14ac:dyDescent="0.3">
      <c r="B2517" s="9">
        <f>[1]Discovery!A2523</f>
        <v>70417004</v>
      </c>
      <c r="C2517" s="9" t="str">
        <f>[1]Discovery!B2523</f>
        <v>경극 의상</v>
      </c>
      <c r="D2517" s="9" t="str">
        <f>[1]Discovery!E2523</f>
        <v>보물</v>
      </c>
      <c r="E2517" s="9" t="str">
        <f>[1]Discovery!C2523</f>
        <v>보물</v>
      </c>
      <c r="F2517" s="9" t="str">
        <f>[1]Discovery!G2523</f>
        <v>D</v>
      </c>
      <c r="G2517" s="9" t="str">
        <f>IFERROR(VLOOKUP(표1[[#This Row],[명칭]],'문화권 정리'!C:D,2,FALSE),"-")</f>
        <v>동아시아</v>
      </c>
      <c r="H2517" s="38" t="str">
        <f>IFERROR(COUNTIF([2]OceanDoodad!$Y:$Y,표1[[#This Row],[명칭]]),"-")</f>
        <v>-</v>
      </c>
      <c r="I2517" s="38">
        <f>IFERROR(COUNTIF([1]AdventureDiscoveryGroup!$D$8:$AW$92,표1[[#This Row],[명칭]]),"-")</f>
        <v>0</v>
      </c>
      <c r="J2517" s="38">
        <f>IFERROR(COUNTIF([1]FishDiscoveryGroup!$A:$X,표1[[#This Row],[명칭]]),"-")</f>
        <v>0</v>
      </c>
      <c r="K2517" s="38" t="str">
        <f>IFERROR(COUNTIF([2]Town!$B:$B,표1[[#This Row],[명칭]]),"-")</f>
        <v>-</v>
      </c>
      <c r="L2517" s="38">
        <f>IFERROR(COUNTIF([1]Village!$BR:$BR,표1[[#This Row],[명칭]]),"-")</f>
        <v>0</v>
      </c>
      <c r="M2517" s="38">
        <f>COUNTIF(퀘스트!B:B,표1[[#This Row],[명칭]])</f>
        <v>1</v>
      </c>
      <c r="N2517" s="65">
        <f>COUNTIF([1]VillageDiscoveryGroup!$C:$C,표1[[#This Row],[명칭]])</f>
        <v>0</v>
      </c>
      <c r="O2517" s="65">
        <f>SUM(표1[[#This Row],[해양탐색]:[마을탐험]])</f>
        <v>1</v>
      </c>
    </row>
    <row r="2518" spans="2:15" ht="13.5" customHeight="1" x14ac:dyDescent="0.3">
      <c r="B2518" s="9">
        <f>[1]Discovery!A2524</f>
        <v>70417005</v>
      </c>
      <c r="C2518" s="9" t="str">
        <f>[1]Discovery!B2524</f>
        <v>고가츠 인형</v>
      </c>
      <c r="D2518" s="9" t="str">
        <f>[1]Discovery!E2524</f>
        <v>보물</v>
      </c>
      <c r="E2518" s="9" t="str">
        <f>[1]Discovery!C2524</f>
        <v>보물</v>
      </c>
      <c r="F2518" s="9" t="str">
        <f>[1]Discovery!G2524</f>
        <v>C</v>
      </c>
      <c r="G2518" s="9" t="str">
        <f>IFERROR(VLOOKUP(표1[[#This Row],[명칭]],'문화권 정리'!C:D,2,FALSE),"-")</f>
        <v>동아시아</v>
      </c>
      <c r="H2518" s="38" t="str">
        <f>IFERROR(COUNTIF([2]OceanDoodad!$Y:$Y,표1[[#This Row],[명칭]]),"-")</f>
        <v>-</v>
      </c>
      <c r="I2518" s="38">
        <f>IFERROR(COUNTIF([1]AdventureDiscoveryGroup!$D$8:$AW$92,표1[[#This Row],[명칭]]),"-")</f>
        <v>0</v>
      </c>
      <c r="J2518" s="38">
        <f>IFERROR(COUNTIF([1]FishDiscoveryGroup!$A:$X,표1[[#This Row],[명칭]]),"-")</f>
        <v>0</v>
      </c>
      <c r="K2518" s="38" t="str">
        <f>IFERROR(COUNTIF([2]Town!$B:$B,표1[[#This Row],[명칭]]),"-")</f>
        <v>-</v>
      </c>
      <c r="L2518" s="38">
        <f>IFERROR(COUNTIF([1]Village!$BR:$BR,표1[[#This Row],[명칭]]),"-")</f>
        <v>0</v>
      </c>
      <c r="M2518" s="38">
        <f>COUNTIF(퀘스트!B:B,표1[[#This Row],[명칭]])</f>
        <v>0</v>
      </c>
      <c r="N2518" s="65">
        <f>COUNTIF([1]VillageDiscoveryGroup!$C:$C,표1[[#This Row],[명칭]])</f>
        <v>1</v>
      </c>
      <c r="O2518" s="65">
        <f>SUM(표1[[#This Row],[해양탐색]:[마을탐험]])</f>
        <v>1</v>
      </c>
    </row>
    <row r="2519" spans="2:15" ht="13.5" customHeight="1" x14ac:dyDescent="0.3">
      <c r="B2519" s="9">
        <f>[1]Discovery!A2525</f>
        <v>70417006</v>
      </c>
      <c r="C2519" s="9" t="str">
        <f>[1]Discovery!B2525</f>
        <v>고금 와카집</v>
      </c>
      <c r="D2519" s="9" t="str">
        <f>[1]Discovery!E2525</f>
        <v>보물</v>
      </c>
      <c r="E2519" s="9" t="str">
        <f>[1]Discovery!C2525</f>
        <v>보물</v>
      </c>
      <c r="F2519" s="9" t="str">
        <f>[1]Discovery!G2525</f>
        <v>B</v>
      </c>
      <c r="G2519" s="9" t="str">
        <f>IFERROR(VLOOKUP(표1[[#This Row],[명칭]],'문화권 정리'!C:D,2,FALSE),"-")</f>
        <v>동아시아</v>
      </c>
      <c r="H2519" s="38" t="str">
        <f>IFERROR(COUNTIF([2]OceanDoodad!$Y:$Y,표1[[#This Row],[명칭]]),"-")</f>
        <v>-</v>
      </c>
      <c r="I2519" s="38">
        <f>IFERROR(COUNTIF([1]AdventureDiscoveryGroup!$D$8:$AW$92,표1[[#This Row],[명칭]]),"-")</f>
        <v>1</v>
      </c>
      <c r="J2519" s="38">
        <f>IFERROR(COUNTIF([1]FishDiscoveryGroup!$A:$X,표1[[#This Row],[명칭]]),"-")</f>
        <v>0</v>
      </c>
      <c r="K2519" s="38" t="str">
        <f>IFERROR(COUNTIF([2]Town!$B:$B,표1[[#This Row],[명칭]]),"-")</f>
        <v>-</v>
      </c>
      <c r="L2519" s="38">
        <f>IFERROR(COUNTIF([1]Village!$BR:$BR,표1[[#This Row],[명칭]]),"-")</f>
        <v>0</v>
      </c>
      <c r="M2519" s="38">
        <f>COUNTIF(퀘스트!B:B,표1[[#This Row],[명칭]])</f>
        <v>0</v>
      </c>
      <c r="N2519" s="65">
        <f>COUNTIF([1]VillageDiscoveryGroup!$C:$C,표1[[#This Row],[명칭]])</f>
        <v>0</v>
      </c>
      <c r="O2519" s="65">
        <f>SUM(표1[[#This Row],[해양탐색]:[마을탐험]])</f>
        <v>1</v>
      </c>
    </row>
    <row r="2520" spans="2:15" ht="13.5" customHeight="1" x14ac:dyDescent="0.3">
      <c r="B2520" s="9">
        <f>[1]Discovery!A2526</f>
        <v>70417008</v>
      </c>
      <c r="C2520" s="9" t="str">
        <f>[1]Discovery!B2526</f>
        <v>고려도경</v>
      </c>
      <c r="D2520" s="9" t="str">
        <f>[1]Discovery!E2526</f>
        <v>보물</v>
      </c>
      <c r="E2520" s="9" t="str">
        <f>[1]Discovery!C2526</f>
        <v>보물</v>
      </c>
      <c r="F2520" s="9" t="str">
        <f>[1]Discovery!G2526</f>
        <v>C</v>
      </c>
      <c r="G2520" s="9" t="str">
        <f>IFERROR(VLOOKUP(표1[[#This Row],[명칭]],'문화권 정리'!C:D,2,FALSE),"-")</f>
        <v>동아시아</v>
      </c>
      <c r="H2520" s="38" t="str">
        <f>IFERROR(COUNTIF([2]OceanDoodad!$Y:$Y,표1[[#This Row],[명칭]]),"-")</f>
        <v>-</v>
      </c>
      <c r="I2520" s="38">
        <f>IFERROR(COUNTIF([1]AdventureDiscoveryGroup!$D$8:$AW$92,표1[[#This Row],[명칭]]),"-")</f>
        <v>0</v>
      </c>
      <c r="J2520" s="38">
        <f>IFERROR(COUNTIF([1]FishDiscoveryGroup!$A:$X,표1[[#This Row],[명칭]]),"-")</f>
        <v>0</v>
      </c>
      <c r="K2520" s="38" t="str">
        <f>IFERROR(COUNTIF([2]Town!$B:$B,표1[[#This Row],[명칭]]),"-")</f>
        <v>-</v>
      </c>
      <c r="L2520" s="38">
        <f>IFERROR(COUNTIF([1]Village!$BR:$BR,표1[[#This Row],[명칭]]),"-")</f>
        <v>0</v>
      </c>
      <c r="M2520" s="38">
        <f>COUNTIF(퀘스트!B:B,표1[[#This Row],[명칭]])</f>
        <v>0</v>
      </c>
      <c r="N2520" s="65">
        <f>COUNTIF([1]VillageDiscoveryGroup!$C:$C,표1[[#This Row],[명칭]])</f>
        <v>0</v>
      </c>
      <c r="O2520" s="65">
        <f>SUM(표1[[#This Row],[해양탐색]:[마을탐험]])</f>
        <v>0</v>
      </c>
    </row>
    <row r="2521" spans="2:15" ht="13.5" customHeight="1" x14ac:dyDescent="0.3">
      <c r="B2521" s="9">
        <f>[1]Discovery!A2527</f>
        <v>70417009</v>
      </c>
      <c r="C2521" s="9" t="str">
        <f>[1]Discovery!B2527</f>
        <v>고정핀</v>
      </c>
      <c r="D2521" s="9" t="str">
        <f>[1]Discovery!E2527</f>
        <v>보물</v>
      </c>
      <c r="E2521" s="9" t="str">
        <f>[1]Discovery!C2527</f>
        <v>보물</v>
      </c>
      <c r="F2521" s="9" t="str">
        <f>[1]Discovery!G2527</f>
        <v>D</v>
      </c>
      <c r="G2521" s="9" t="str">
        <f>IFERROR(VLOOKUP(표1[[#This Row],[명칭]],'문화권 정리'!C:D,2,FALSE),"-")</f>
        <v>지중해</v>
      </c>
      <c r="H2521" s="38" t="str">
        <f>IFERROR(COUNTIF([2]OceanDoodad!$Y:$Y,표1[[#This Row],[명칭]]),"-")</f>
        <v>-</v>
      </c>
      <c r="I2521" s="38">
        <f>IFERROR(COUNTIF([1]AdventureDiscoveryGroup!$D$8:$AW$92,표1[[#This Row],[명칭]]),"-")</f>
        <v>1</v>
      </c>
      <c r="J2521" s="38">
        <f>IFERROR(COUNTIF([1]FishDiscoveryGroup!$A:$X,표1[[#This Row],[명칭]]),"-")</f>
        <v>0</v>
      </c>
      <c r="K2521" s="38" t="str">
        <f>IFERROR(COUNTIF([2]Town!$B:$B,표1[[#This Row],[명칭]]),"-")</f>
        <v>-</v>
      </c>
      <c r="L2521" s="38">
        <f>IFERROR(COUNTIF([1]Village!$BR:$BR,표1[[#This Row],[명칭]]),"-")</f>
        <v>0</v>
      </c>
      <c r="M2521" s="38">
        <f>COUNTIF(퀘스트!B:B,표1[[#This Row],[명칭]])</f>
        <v>0</v>
      </c>
      <c r="N2521" s="65">
        <f>COUNTIF([1]VillageDiscoveryGroup!$C:$C,표1[[#This Row],[명칭]])</f>
        <v>0</v>
      </c>
      <c r="O2521" s="65">
        <f>SUM(표1[[#This Row],[해양탐색]:[마을탐험]])</f>
        <v>1</v>
      </c>
    </row>
    <row r="2522" spans="2:15" ht="13.5" customHeight="1" x14ac:dyDescent="0.3">
      <c r="B2522" s="9">
        <f>[1]Discovery!A2528</f>
        <v>70417010</v>
      </c>
      <c r="C2522" s="9" t="str">
        <f>[1]Discovery!B2528</f>
        <v>곤자쿠모노가타리슈</v>
      </c>
      <c r="D2522" s="9" t="str">
        <f>[1]Discovery!E2528</f>
        <v>보물</v>
      </c>
      <c r="E2522" s="9" t="str">
        <f>[1]Discovery!C2528</f>
        <v>보물</v>
      </c>
      <c r="F2522" s="9" t="str">
        <f>[1]Discovery!G2528</f>
        <v>B</v>
      </c>
      <c r="G2522" s="9" t="str">
        <f>IFERROR(VLOOKUP(표1[[#This Row],[명칭]],'문화권 정리'!C:D,2,FALSE),"-")</f>
        <v>동아시아</v>
      </c>
      <c r="H2522" s="38" t="str">
        <f>IFERROR(COUNTIF([2]OceanDoodad!$Y:$Y,표1[[#This Row],[명칭]]),"-")</f>
        <v>-</v>
      </c>
      <c r="I2522" s="38">
        <f>IFERROR(COUNTIF([1]AdventureDiscoveryGroup!$D$8:$AW$92,표1[[#This Row],[명칭]]),"-")</f>
        <v>0</v>
      </c>
      <c r="J2522" s="38">
        <f>IFERROR(COUNTIF([1]FishDiscoveryGroup!$A:$X,표1[[#This Row],[명칭]]),"-")</f>
        <v>0</v>
      </c>
      <c r="K2522" s="38" t="str">
        <f>IFERROR(COUNTIF([2]Town!$B:$B,표1[[#This Row],[명칭]]),"-")</f>
        <v>-</v>
      </c>
      <c r="L2522" s="38">
        <f>IFERROR(COUNTIF([1]Village!$BR:$BR,표1[[#This Row],[명칭]]),"-")</f>
        <v>0</v>
      </c>
      <c r="M2522" s="38">
        <f>COUNTIF(퀘스트!B:B,표1[[#This Row],[명칭]])</f>
        <v>0</v>
      </c>
      <c r="N2522" s="65">
        <f>COUNTIF([1]VillageDiscoveryGroup!$C:$C,표1[[#This Row],[명칭]])</f>
        <v>0</v>
      </c>
      <c r="O2522" s="65">
        <f>SUM(표1[[#This Row],[해양탐색]:[마을탐험]])</f>
        <v>0</v>
      </c>
    </row>
    <row r="2523" spans="2:15" ht="13.5" customHeight="1" x14ac:dyDescent="0.3">
      <c r="B2523" s="9">
        <f>[1]Discovery!A2529</f>
        <v>70417011</v>
      </c>
      <c r="C2523" s="9" t="str">
        <f>[1]Discovery!B2529</f>
        <v>공작 브로치</v>
      </c>
      <c r="D2523" s="9" t="str">
        <f>[1]Discovery!E2529</f>
        <v>보물</v>
      </c>
      <c r="E2523" s="9" t="str">
        <f>[1]Discovery!C2529</f>
        <v>보물</v>
      </c>
      <c r="F2523" s="9" t="str">
        <f>[1]Discovery!G2529</f>
        <v>C</v>
      </c>
      <c r="G2523" s="9" t="str">
        <f>IFERROR(VLOOKUP(표1[[#This Row],[명칭]],'문화권 정리'!C:D,2,FALSE),"-")</f>
        <v>지중해</v>
      </c>
      <c r="H2523" s="38" t="str">
        <f>IFERROR(COUNTIF([2]OceanDoodad!$Y:$Y,표1[[#This Row],[명칭]]),"-")</f>
        <v>-</v>
      </c>
      <c r="I2523" s="38">
        <f>IFERROR(COUNTIF([1]AdventureDiscoveryGroup!$D$8:$AW$92,표1[[#This Row],[명칭]]),"-")</f>
        <v>1</v>
      </c>
      <c r="J2523" s="38">
        <f>IFERROR(COUNTIF([1]FishDiscoveryGroup!$A:$X,표1[[#This Row],[명칭]]),"-")</f>
        <v>0</v>
      </c>
      <c r="K2523" s="38" t="str">
        <f>IFERROR(COUNTIF([2]Town!$B:$B,표1[[#This Row],[명칭]]),"-")</f>
        <v>-</v>
      </c>
      <c r="L2523" s="38">
        <f>IFERROR(COUNTIF([1]Village!$BR:$BR,표1[[#This Row],[명칭]]),"-")</f>
        <v>0</v>
      </c>
      <c r="M2523" s="38">
        <f>COUNTIF(퀘스트!B:B,표1[[#This Row],[명칭]])</f>
        <v>0</v>
      </c>
      <c r="N2523" s="65">
        <f>COUNTIF([1]VillageDiscoveryGroup!$C:$C,표1[[#This Row],[명칭]])</f>
        <v>0</v>
      </c>
      <c r="O2523" s="65">
        <f>SUM(표1[[#This Row],[해양탐색]:[마을탐험]])</f>
        <v>1</v>
      </c>
    </row>
    <row r="2524" spans="2:15" ht="13.5" customHeight="1" x14ac:dyDescent="0.3">
      <c r="B2524" s="9">
        <f>[1]Discovery!A2530</f>
        <v>70417013</v>
      </c>
      <c r="C2524" s="9" t="str">
        <f>[1]Discovery!B2530</f>
        <v>구슬레</v>
      </c>
      <c r="D2524" s="9" t="str">
        <f>[1]Discovery!E2530</f>
        <v>보물</v>
      </c>
      <c r="E2524" s="9" t="str">
        <f>[1]Discovery!C2530</f>
        <v>보물</v>
      </c>
      <c r="F2524" s="9" t="str">
        <f>[1]Discovery!G2530</f>
        <v>C</v>
      </c>
      <c r="G2524" s="9" t="str">
        <f>IFERROR(VLOOKUP(표1[[#This Row],[명칭]],'문화권 정리'!C:D,2,FALSE),"-")</f>
        <v>북유럽</v>
      </c>
      <c r="H2524" s="38" t="str">
        <f>IFERROR(COUNTIF([2]OceanDoodad!$Y:$Y,표1[[#This Row],[명칭]]),"-")</f>
        <v>-</v>
      </c>
      <c r="I2524" s="38">
        <f>IFERROR(COUNTIF([1]AdventureDiscoveryGroup!$D$8:$AW$92,표1[[#This Row],[명칭]]),"-")</f>
        <v>1</v>
      </c>
      <c r="J2524" s="38">
        <f>IFERROR(COUNTIF([1]FishDiscoveryGroup!$A:$X,표1[[#This Row],[명칭]]),"-")</f>
        <v>0</v>
      </c>
      <c r="K2524" s="38" t="str">
        <f>IFERROR(COUNTIF([2]Town!$B:$B,표1[[#This Row],[명칭]]),"-")</f>
        <v>-</v>
      </c>
      <c r="L2524" s="38">
        <f>IFERROR(COUNTIF([1]Village!$BR:$BR,표1[[#This Row],[명칭]]),"-")</f>
        <v>0</v>
      </c>
      <c r="M2524" s="38">
        <f>COUNTIF(퀘스트!B:B,표1[[#This Row],[명칭]])</f>
        <v>0</v>
      </c>
      <c r="N2524" s="65">
        <f>COUNTIF([1]VillageDiscoveryGroup!$C:$C,표1[[#This Row],[명칭]])</f>
        <v>0</v>
      </c>
      <c r="O2524" s="65">
        <f>SUM(표1[[#This Row],[해양탐색]:[마을탐험]])</f>
        <v>1</v>
      </c>
    </row>
    <row r="2525" spans="2:15" ht="13.5" customHeight="1" x14ac:dyDescent="0.3">
      <c r="B2525" s="9">
        <f>[1]Discovery!A2531</f>
        <v>70417014</v>
      </c>
      <c r="C2525" s="9" t="str">
        <f>[1]Discovery!B2531</f>
        <v>근데르</v>
      </c>
      <c r="D2525" s="9" t="str">
        <f>[1]Discovery!E2531</f>
        <v>보물</v>
      </c>
      <c r="E2525" s="9" t="str">
        <f>[1]Discovery!C2531</f>
        <v>보물</v>
      </c>
      <c r="F2525" s="9" t="str">
        <f>[1]Discovery!G2531</f>
        <v>C</v>
      </c>
      <c r="G2525" s="9" t="str">
        <f>IFERROR(VLOOKUP(표1[[#This Row],[명칭]],'문화권 정리'!C:D,2,FALSE),"-")</f>
        <v>동남아시아</v>
      </c>
      <c r="H2525" s="38" t="str">
        <f>IFERROR(COUNTIF([2]OceanDoodad!$Y:$Y,표1[[#This Row],[명칭]]),"-")</f>
        <v>-</v>
      </c>
      <c r="I2525" s="38">
        <f>IFERROR(COUNTIF([1]AdventureDiscoveryGroup!$D$8:$AW$92,표1[[#This Row],[명칭]]),"-")</f>
        <v>0</v>
      </c>
      <c r="J2525" s="38">
        <f>IFERROR(COUNTIF([1]FishDiscoveryGroup!$A:$X,표1[[#This Row],[명칭]]),"-")</f>
        <v>0</v>
      </c>
      <c r="K2525" s="38" t="str">
        <f>IFERROR(COUNTIF([2]Town!$B:$B,표1[[#This Row],[명칭]]),"-")</f>
        <v>-</v>
      </c>
      <c r="L2525" s="38">
        <f>IFERROR(COUNTIF([1]Village!$BR:$BR,표1[[#This Row],[명칭]]),"-")</f>
        <v>0</v>
      </c>
      <c r="M2525" s="38">
        <f>COUNTIF(퀘스트!B:B,표1[[#This Row],[명칭]])</f>
        <v>0</v>
      </c>
      <c r="N2525" s="65">
        <f>COUNTIF([1]VillageDiscoveryGroup!$C:$C,표1[[#This Row],[명칭]])</f>
        <v>0</v>
      </c>
      <c r="O2525" s="65">
        <f>SUM(표1[[#This Row],[해양탐색]:[마을탐험]])</f>
        <v>0</v>
      </c>
    </row>
    <row r="2526" spans="2:15" ht="13.5" customHeight="1" x14ac:dyDescent="0.3">
      <c r="B2526" s="9">
        <f>[1]Discovery!A2532</f>
        <v>70417015</v>
      </c>
      <c r="C2526" s="9" t="str">
        <f>[1]Discovery!B2532</f>
        <v>귀부인의 드레스</v>
      </c>
      <c r="D2526" s="9" t="str">
        <f>[1]Discovery!E2532</f>
        <v>보물</v>
      </c>
      <c r="E2526" s="9" t="str">
        <f>[1]Discovery!C2532</f>
        <v>보물</v>
      </c>
      <c r="F2526" s="9" t="str">
        <f>[1]Discovery!G2532</f>
        <v>C</v>
      </c>
      <c r="G2526" s="9" t="str">
        <f>IFERROR(VLOOKUP(표1[[#This Row],[명칭]],'문화권 정리'!C:D,2,FALSE),"-")</f>
        <v>지중해</v>
      </c>
      <c r="H2526" s="38" t="str">
        <f>IFERROR(COUNTIF([2]OceanDoodad!$Y:$Y,표1[[#This Row],[명칭]]),"-")</f>
        <v>-</v>
      </c>
      <c r="I2526" s="38">
        <f>IFERROR(COUNTIF([1]AdventureDiscoveryGroup!$D$8:$AW$92,표1[[#This Row],[명칭]]),"-")</f>
        <v>1</v>
      </c>
      <c r="J2526" s="38">
        <f>IFERROR(COUNTIF([1]FishDiscoveryGroup!$A:$X,표1[[#This Row],[명칭]]),"-")</f>
        <v>0</v>
      </c>
      <c r="K2526" s="38" t="str">
        <f>IFERROR(COUNTIF([2]Town!$B:$B,표1[[#This Row],[명칭]]),"-")</f>
        <v>-</v>
      </c>
      <c r="L2526" s="38">
        <f>IFERROR(COUNTIF([1]Village!$BR:$BR,표1[[#This Row],[명칭]]),"-")</f>
        <v>0</v>
      </c>
      <c r="M2526" s="38">
        <f>COUNTIF(퀘스트!B:B,표1[[#This Row],[명칭]])</f>
        <v>0</v>
      </c>
      <c r="N2526" s="65">
        <f>COUNTIF([1]VillageDiscoveryGroup!$C:$C,표1[[#This Row],[명칭]])</f>
        <v>0</v>
      </c>
      <c r="O2526" s="65">
        <f>SUM(표1[[#This Row],[해양탐색]:[마을탐험]])</f>
        <v>1</v>
      </c>
    </row>
    <row r="2527" spans="2:15" ht="13.5" customHeight="1" x14ac:dyDescent="0.3">
      <c r="B2527" s="9">
        <f>[1]Discovery!A2533</f>
        <v>70417016</v>
      </c>
      <c r="C2527" s="9" t="str">
        <f>[1]Discovery!B2533</f>
        <v>그리스 안내기</v>
      </c>
      <c r="D2527" s="9" t="str">
        <f>[1]Discovery!E2533</f>
        <v>보물</v>
      </c>
      <c r="E2527" s="9" t="str">
        <f>[1]Discovery!C2533</f>
        <v>보물</v>
      </c>
      <c r="F2527" s="9" t="str">
        <f>[1]Discovery!G2533</f>
        <v>B</v>
      </c>
      <c r="G2527" s="9" t="str">
        <f>IFERROR(VLOOKUP(표1[[#This Row],[명칭]],'문화권 정리'!C:D,2,FALSE),"-")</f>
        <v>지중해</v>
      </c>
      <c r="H2527" s="38" t="str">
        <f>IFERROR(COUNTIF([2]OceanDoodad!$Y:$Y,표1[[#This Row],[명칭]]),"-")</f>
        <v>-</v>
      </c>
      <c r="I2527" s="38">
        <f>IFERROR(COUNTIF([1]AdventureDiscoveryGroup!$D$8:$AW$92,표1[[#This Row],[명칭]]),"-")</f>
        <v>0</v>
      </c>
      <c r="J2527" s="38">
        <f>IFERROR(COUNTIF([1]FishDiscoveryGroup!$A:$X,표1[[#This Row],[명칭]]),"-")</f>
        <v>0</v>
      </c>
      <c r="K2527" s="38" t="str">
        <f>IFERROR(COUNTIF([2]Town!$B:$B,표1[[#This Row],[명칭]]),"-")</f>
        <v>-</v>
      </c>
      <c r="L2527" s="38">
        <f>IFERROR(COUNTIF([1]Village!$BR:$BR,표1[[#This Row],[명칭]]),"-")</f>
        <v>0</v>
      </c>
      <c r="M2527" s="38">
        <f>COUNTIF(퀘스트!B:B,표1[[#This Row],[명칭]])</f>
        <v>0</v>
      </c>
      <c r="N2527" s="65">
        <f>COUNTIF([1]VillageDiscoveryGroup!$C:$C,표1[[#This Row],[명칭]])</f>
        <v>0</v>
      </c>
      <c r="O2527" s="65">
        <f>SUM(표1[[#This Row],[해양탐색]:[마을탐험]])</f>
        <v>0</v>
      </c>
    </row>
    <row r="2528" spans="2:15" ht="13.5" customHeight="1" x14ac:dyDescent="0.3">
      <c r="B2528" s="9">
        <f>[1]Discovery!A2534</f>
        <v>70417017</v>
      </c>
      <c r="C2528" s="9" t="str">
        <f>[1]Discovery!B2534</f>
        <v>그린란드 사람들의 사가</v>
      </c>
      <c r="D2528" s="9" t="str">
        <f>[1]Discovery!E2534</f>
        <v>보물</v>
      </c>
      <c r="E2528" s="9" t="str">
        <f>[1]Discovery!C2534</f>
        <v>보물</v>
      </c>
      <c r="F2528" s="9" t="str">
        <f>[1]Discovery!G2534</f>
        <v>C</v>
      </c>
      <c r="G2528" s="9" t="str">
        <f>IFERROR(VLOOKUP(표1[[#This Row],[명칭]],'문화권 정리'!C:D,2,FALSE),"-")</f>
        <v>극지방</v>
      </c>
      <c r="H2528" s="38" t="str">
        <f>IFERROR(COUNTIF([2]OceanDoodad!$Y:$Y,표1[[#This Row],[명칭]]),"-")</f>
        <v>-</v>
      </c>
      <c r="I2528" s="38">
        <f>IFERROR(COUNTIF([1]AdventureDiscoveryGroup!$D$8:$AW$92,표1[[#This Row],[명칭]]),"-")</f>
        <v>1</v>
      </c>
      <c r="J2528" s="38">
        <f>IFERROR(COUNTIF([1]FishDiscoveryGroup!$A:$X,표1[[#This Row],[명칭]]),"-")</f>
        <v>0</v>
      </c>
      <c r="K2528" s="38" t="str">
        <f>IFERROR(COUNTIF([2]Town!$B:$B,표1[[#This Row],[명칭]]),"-")</f>
        <v>-</v>
      </c>
      <c r="L2528" s="38">
        <f>IFERROR(COUNTIF([1]Village!$BR:$BR,표1[[#This Row],[명칭]]),"-")</f>
        <v>0</v>
      </c>
      <c r="M2528" s="38">
        <f>COUNTIF(퀘스트!B:B,표1[[#This Row],[명칭]])</f>
        <v>0</v>
      </c>
      <c r="N2528" s="65">
        <f>COUNTIF([1]VillageDiscoveryGroup!$C:$C,표1[[#This Row],[명칭]])</f>
        <v>0</v>
      </c>
      <c r="O2528" s="65">
        <f>SUM(표1[[#This Row],[해양탐색]:[마을탐험]])</f>
        <v>1</v>
      </c>
    </row>
    <row r="2529" spans="2:15" ht="13.5" customHeight="1" x14ac:dyDescent="0.3">
      <c r="B2529" s="9">
        <f>[1]Discovery!A2535</f>
        <v>70417018</v>
      </c>
      <c r="C2529" s="9" t="str">
        <f>[1]Discovery!B2535</f>
        <v>금 그릇</v>
      </c>
      <c r="D2529" s="9" t="str">
        <f>[1]Discovery!E2535</f>
        <v>보물</v>
      </c>
      <c r="E2529" s="9" t="str">
        <f>[1]Discovery!C2535</f>
        <v>보물</v>
      </c>
      <c r="F2529" s="9" t="str">
        <f>[1]Discovery!G2535</f>
        <v>C</v>
      </c>
      <c r="G2529" s="9" t="str">
        <f>IFERROR(VLOOKUP(표1[[#This Row],[명칭]],'문화권 정리'!C:D,2,FALSE),"-")</f>
        <v>남아메리카</v>
      </c>
      <c r="H2529" s="38" t="str">
        <f>IFERROR(COUNTIF([2]OceanDoodad!$Y:$Y,표1[[#This Row],[명칭]]),"-")</f>
        <v>-</v>
      </c>
      <c r="I2529" s="38">
        <f>IFERROR(COUNTIF([1]AdventureDiscoveryGroup!$D$8:$AW$92,표1[[#This Row],[명칭]]),"-")</f>
        <v>1</v>
      </c>
      <c r="J2529" s="38">
        <f>IFERROR(COUNTIF([1]FishDiscoveryGroup!$A:$X,표1[[#This Row],[명칭]]),"-")</f>
        <v>0</v>
      </c>
      <c r="K2529" s="38" t="str">
        <f>IFERROR(COUNTIF([2]Town!$B:$B,표1[[#This Row],[명칭]]),"-")</f>
        <v>-</v>
      </c>
      <c r="L2529" s="38">
        <f>IFERROR(COUNTIF([1]Village!$BR:$BR,표1[[#This Row],[명칭]]),"-")</f>
        <v>0</v>
      </c>
      <c r="M2529" s="38">
        <f>COUNTIF(퀘스트!B:B,표1[[#This Row],[명칭]])</f>
        <v>0</v>
      </c>
      <c r="N2529" s="65">
        <f>COUNTIF([1]VillageDiscoveryGroup!$C:$C,표1[[#This Row],[명칭]])</f>
        <v>0</v>
      </c>
      <c r="O2529" s="65">
        <f>SUM(표1[[#This Row],[해양탐색]:[마을탐험]])</f>
        <v>1</v>
      </c>
    </row>
    <row r="2530" spans="2:15" ht="13.5" customHeight="1" x14ac:dyDescent="0.3">
      <c r="B2530" s="9">
        <f>[1]Discovery!A2536</f>
        <v>70417019</v>
      </c>
      <c r="C2530" s="9" t="str">
        <f>[1]Discovery!B2536</f>
        <v>금 나이프</v>
      </c>
      <c r="D2530" s="9" t="str">
        <f>[1]Discovery!E2536</f>
        <v>보물</v>
      </c>
      <c r="E2530" s="9" t="str">
        <f>[1]Discovery!C2536</f>
        <v>보물</v>
      </c>
      <c r="F2530" s="9" t="str">
        <f>[1]Discovery!G2536</f>
        <v>C</v>
      </c>
      <c r="G2530" s="9" t="str">
        <f>IFERROR(VLOOKUP(표1[[#This Row],[명칭]],'문화권 정리'!C:D,2,FALSE),"-")</f>
        <v>남아메리카</v>
      </c>
      <c r="H2530" s="38" t="str">
        <f>IFERROR(COUNTIF([2]OceanDoodad!$Y:$Y,표1[[#This Row],[명칭]]),"-")</f>
        <v>-</v>
      </c>
      <c r="I2530" s="38">
        <f>IFERROR(COUNTIF([1]AdventureDiscoveryGroup!$D$8:$AW$92,표1[[#This Row],[명칭]]),"-")</f>
        <v>0</v>
      </c>
      <c r="J2530" s="38">
        <f>IFERROR(COUNTIF([1]FishDiscoveryGroup!$A:$X,표1[[#This Row],[명칭]]),"-")</f>
        <v>0</v>
      </c>
      <c r="K2530" s="38" t="str">
        <f>IFERROR(COUNTIF([2]Town!$B:$B,표1[[#This Row],[명칭]]),"-")</f>
        <v>-</v>
      </c>
      <c r="L2530" s="38">
        <f>IFERROR(COUNTIF([1]Village!$BR:$BR,표1[[#This Row],[명칭]]),"-")</f>
        <v>0</v>
      </c>
      <c r="M2530" s="38">
        <f>COUNTIF(퀘스트!B:B,표1[[#This Row],[명칭]])</f>
        <v>0</v>
      </c>
      <c r="N2530" s="65">
        <f>COUNTIF([1]VillageDiscoveryGroup!$C:$C,표1[[#This Row],[명칭]])</f>
        <v>0</v>
      </c>
      <c r="O2530" s="65">
        <f>SUM(표1[[#This Row],[해양탐색]:[마을탐험]])</f>
        <v>0</v>
      </c>
    </row>
    <row r="2531" spans="2:15" ht="13.5" customHeight="1" x14ac:dyDescent="0.3">
      <c r="B2531" s="9">
        <f>[1]Discovery!A2537</f>
        <v>70417020</v>
      </c>
      <c r="C2531" s="9" t="str">
        <f>[1]Discovery!B2537</f>
        <v>금 머리 장식</v>
      </c>
      <c r="D2531" s="9" t="str">
        <f>[1]Discovery!E2537</f>
        <v>보물</v>
      </c>
      <c r="E2531" s="9" t="str">
        <f>[1]Discovery!C2537</f>
        <v>보물</v>
      </c>
      <c r="F2531" s="9" t="str">
        <f>[1]Discovery!G2537</f>
        <v>A</v>
      </c>
      <c r="G2531" s="9" t="str">
        <f>IFERROR(VLOOKUP(표1[[#This Row],[명칭]],'문화권 정리'!C:D,2,FALSE),"-")</f>
        <v>남아메리카</v>
      </c>
      <c r="H2531" s="38" t="str">
        <f>IFERROR(COUNTIF([2]OceanDoodad!$Y:$Y,표1[[#This Row],[명칭]]),"-")</f>
        <v>-</v>
      </c>
      <c r="I2531" s="38">
        <f>IFERROR(COUNTIF([1]AdventureDiscoveryGroup!$D$8:$AW$92,표1[[#This Row],[명칭]]),"-")</f>
        <v>0</v>
      </c>
      <c r="J2531" s="38">
        <f>IFERROR(COUNTIF([1]FishDiscoveryGroup!$A:$X,표1[[#This Row],[명칭]]),"-")</f>
        <v>0</v>
      </c>
      <c r="K2531" s="38" t="str">
        <f>IFERROR(COUNTIF([2]Town!$B:$B,표1[[#This Row],[명칭]]),"-")</f>
        <v>-</v>
      </c>
      <c r="L2531" s="38">
        <f>IFERROR(COUNTIF([1]Village!$BR:$BR,표1[[#This Row],[명칭]]),"-")</f>
        <v>0</v>
      </c>
      <c r="M2531" s="38">
        <f>COUNTIF(퀘스트!B:B,표1[[#This Row],[명칭]])</f>
        <v>0</v>
      </c>
      <c r="N2531" s="65">
        <f>COUNTIF([1]VillageDiscoveryGroup!$C:$C,표1[[#This Row],[명칭]])</f>
        <v>0</v>
      </c>
      <c r="O2531" s="65">
        <f>SUM(표1[[#This Row],[해양탐색]:[마을탐험]])</f>
        <v>0</v>
      </c>
    </row>
    <row r="2532" spans="2:15" ht="13.5" customHeight="1" x14ac:dyDescent="0.3">
      <c r="B2532" s="9">
        <f>[1]Discovery!A2538</f>
        <v>70417021</v>
      </c>
      <c r="C2532" s="9" t="str">
        <f>[1]Discovery!B2538</f>
        <v>나가라케르타가마</v>
      </c>
      <c r="D2532" s="9" t="str">
        <f>[1]Discovery!E2538</f>
        <v>보물</v>
      </c>
      <c r="E2532" s="9" t="str">
        <f>[1]Discovery!C2538</f>
        <v>보물</v>
      </c>
      <c r="F2532" s="9" t="str">
        <f>[1]Discovery!G2538</f>
        <v>A</v>
      </c>
      <c r="G2532" s="9" t="str">
        <f>IFERROR(VLOOKUP(표1[[#This Row],[명칭]],'문화권 정리'!C:D,2,FALSE),"-")</f>
        <v>동남아시아</v>
      </c>
      <c r="H2532" s="38" t="str">
        <f>IFERROR(COUNTIF([2]OceanDoodad!$Y:$Y,표1[[#This Row],[명칭]]),"-")</f>
        <v>-</v>
      </c>
      <c r="I2532" s="38">
        <f>IFERROR(COUNTIF([1]AdventureDiscoveryGroup!$D$8:$AW$92,표1[[#This Row],[명칭]]),"-")</f>
        <v>0</v>
      </c>
      <c r="J2532" s="38">
        <f>IFERROR(COUNTIF([1]FishDiscoveryGroup!$A:$X,표1[[#This Row],[명칭]]),"-")</f>
        <v>0</v>
      </c>
      <c r="K2532" s="38" t="str">
        <f>IFERROR(COUNTIF([2]Town!$B:$B,표1[[#This Row],[명칭]]),"-")</f>
        <v>-</v>
      </c>
      <c r="L2532" s="38">
        <f>IFERROR(COUNTIF([1]Village!$BR:$BR,표1[[#This Row],[명칭]]),"-")</f>
        <v>0</v>
      </c>
      <c r="M2532" s="38">
        <f>COUNTIF(퀘스트!B:B,표1[[#This Row],[명칭]])</f>
        <v>0</v>
      </c>
      <c r="N2532" s="65">
        <f>COUNTIF([1]VillageDiscoveryGroup!$C:$C,표1[[#This Row],[명칭]])</f>
        <v>0</v>
      </c>
      <c r="O2532" s="65">
        <f>SUM(표1[[#This Row],[해양탐색]:[마을탐험]])</f>
        <v>0</v>
      </c>
    </row>
    <row r="2533" spans="2:15" ht="13.5" customHeight="1" x14ac:dyDescent="0.3">
      <c r="B2533" s="9">
        <f>[1]Discovery!A2539</f>
        <v>70417022</v>
      </c>
      <c r="C2533" s="9" t="str">
        <f>[1]Discovery!B2539</f>
        <v>나각</v>
      </c>
      <c r="D2533" s="9" t="str">
        <f>[1]Discovery!E2539</f>
        <v>보물</v>
      </c>
      <c r="E2533" s="9" t="str">
        <f>[1]Discovery!C2539</f>
        <v>보물</v>
      </c>
      <c r="F2533" s="9" t="str">
        <f>[1]Discovery!G2539</f>
        <v>C</v>
      </c>
      <c r="G2533" s="9" t="str">
        <f>IFERROR(VLOOKUP(표1[[#This Row],[명칭]],'문화권 정리'!C:D,2,FALSE),"-")</f>
        <v>동아시아</v>
      </c>
      <c r="H2533" s="38" t="str">
        <f>IFERROR(COUNTIF([2]OceanDoodad!$Y:$Y,표1[[#This Row],[명칭]]),"-")</f>
        <v>-</v>
      </c>
      <c r="I2533" s="38">
        <f>IFERROR(COUNTIF([1]AdventureDiscoveryGroup!$D$8:$AW$92,표1[[#This Row],[명칭]]),"-")</f>
        <v>0</v>
      </c>
      <c r="J2533" s="38">
        <f>IFERROR(COUNTIF([1]FishDiscoveryGroup!$A:$X,표1[[#This Row],[명칭]]),"-")</f>
        <v>0</v>
      </c>
      <c r="K2533" s="38" t="str">
        <f>IFERROR(COUNTIF([2]Town!$B:$B,표1[[#This Row],[명칭]]),"-")</f>
        <v>-</v>
      </c>
      <c r="L2533" s="38">
        <f>IFERROR(COUNTIF([1]Village!$BR:$BR,표1[[#This Row],[명칭]]),"-")</f>
        <v>0</v>
      </c>
      <c r="M2533" s="38">
        <f>COUNTIF(퀘스트!B:B,표1[[#This Row],[명칭]])</f>
        <v>0</v>
      </c>
      <c r="N2533" s="65">
        <f>COUNTIF([1]VillageDiscoveryGroup!$C:$C,표1[[#This Row],[명칭]])</f>
        <v>0</v>
      </c>
      <c r="O2533" s="65">
        <f>SUM(표1[[#This Row],[해양탐색]:[마을탐험]])</f>
        <v>0</v>
      </c>
    </row>
    <row r="2534" spans="2:15" ht="13.5" customHeight="1" x14ac:dyDescent="0.3">
      <c r="B2534" s="9">
        <f>[1]Discovery!A2540</f>
        <v>70417023</v>
      </c>
      <c r="C2534" s="9" t="str">
        <f>[1]Discovery!B2540</f>
        <v>나자르 본주</v>
      </c>
      <c r="D2534" s="9" t="str">
        <f>[1]Discovery!E2540</f>
        <v>보물</v>
      </c>
      <c r="E2534" s="9" t="str">
        <f>[1]Discovery!C2540</f>
        <v>보물</v>
      </c>
      <c r="F2534" s="9" t="str">
        <f>[1]Discovery!G2540</f>
        <v>D</v>
      </c>
      <c r="G2534" s="9" t="str">
        <f>IFERROR(VLOOKUP(표1[[#This Row],[명칭]],'문화권 정리'!C:D,2,FALSE),"-")</f>
        <v>지중해</v>
      </c>
      <c r="H2534" s="38" t="str">
        <f>IFERROR(COUNTIF([2]OceanDoodad!$Y:$Y,표1[[#This Row],[명칭]]),"-")</f>
        <v>-</v>
      </c>
      <c r="I2534" s="38">
        <f>IFERROR(COUNTIF([1]AdventureDiscoveryGroup!$D$8:$AW$92,표1[[#This Row],[명칭]]),"-")</f>
        <v>1</v>
      </c>
      <c r="J2534" s="38">
        <f>IFERROR(COUNTIF([1]FishDiscoveryGroup!$A:$X,표1[[#This Row],[명칭]]),"-")</f>
        <v>0</v>
      </c>
      <c r="K2534" s="38" t="str">
        <f>IFERROR(COUNTIF([2]Town!$B:$B,표1[[#This Row],[명칭]]),"-")</f>
        <v>-</v>
      </c>
      <c r="L2534" s="38">
        <f>IFERROR(COUNTIF([1]Village!$BR:$BR,표1[[#This Row],[명칭]]),"-")</f>
        <v>0</v>
      </c>
      <c r="M2534" s="38">
        <f>COUNTIF(퀘스트!B:B,표1[[#This Row],[명칭]])</f>
        <v>0</v>
      </c>
      <c r="N2534" s="65">
        <f>COUNTIF([1]VillageDiscoveryGroup!$C:$C,표1[[#This Row],[명칭]])</f>
        <v>0</v>
      </c>
      <c r="O2534" s="65">
        <f>SUM(표1[[#This Row],[해양탐색]:[마을탐험]])</f>
        <v>1</v>
      </c>
    </row>
    <row r="2535" spans="2:15" ht="13.5" customHeight="1" x14ac:dyDescent="0.3">
      <c r="B2535" s="9">
        <f>[1]Discovery!A2541</f>
        <v>70417024</v>
      </c>
      <c r="C2535" s="9" t="str">
        <f>[1]Discovery!B2541</f>
        <v>난정서</v>
      </c>
      <c r="D2535" s="9" t="str">
        <f>[1]Discovery!E2541</f>
        <v>보물</v>
      </c>
      <c r="E2535" s="9" t="str">
        <f>[1]Discovery!C2541</f>
        <v>보물</v>
      </c>
      <c r="F2535" s="9" t="str">
        <f>[1]Discovery!G2541</f>
        <v>A</v>
      </c>
      <c r="G2535" s="9" t="str">
        <f>IFERROR(VLOOKUP(표1[[#This Row],[명칭]],'문화권 정리'!C:D,2,FALSE),"-")</f>
        <v>동아시아</v>
      </c>
      <c r="H2535" s="38" t="str">
        <f>IFERROR(COUNTIF([2]OceanDoodad!$Y:$Y,표1[[#This Row],[명칭]]),"-")</f>
        <v>-</v>
      </c>
      <c r="I2535" s="38">
        <f>IFERROR(COUNTIF([1]AdventureDiscoveryGroup!$D$8:$AW$92,표1[[#This Row],[명칭]]),"-")</f>
        <v>1</v>
      </c>
      <c r="J2535" s="38">
        <f>IFERROR(COUNTIF([1]FishDiscoveryGroup!$A:$X,표1[[#This Row],[명칭]]),"-")</f>
        <v>0</v>
      </c>
      <c r="K2535" s="38" t="str">
        <f>IFERROR(COUNTIF([2]Town!$B:$B,표1[[#This Row],[명칭]]),"-")</f>
        <v>-</v>
      </c>
      <c r="L2535" s="38">
        <f>IFERROR(COUNTIF([1]Village!$BR:$BR,표1[[#This Row],[명칭]]),"-")</f>
        <v>0</v>
      </c>
      <c r="M2535" s="38">
        <f>COUNTIF(퀘스트!B:B,표1[[#This Row],[명칭]])</f>
        <v>0</v>
      </c>
      <c r="N2535" s="65">
        <f>COUNTIF([1]VillageDiscoveryGroup!$C:$C,표1[[#This Row],[명칭]])</f>
        <v>0</v>
      </c>
      <c r="O2535" s="65">
        <f>SUM(표1[[#This Row],[해양탐색]:[마을탐험]])</f>
        <v>1</v>
      </c>
    </row>
    <row r="2536" spans="2:15" ht="13.5" customHeight="1" x14ac:dyDescent="0.3">
      <c r="B2536" s="9">
        <f>[1]Discovery!A2542</f>
        <v>70417026</v>
      </c>
      <c r="C2536" s="9" t="str">
        <f>[1]Discovery!B2542</f>
        <v>뇌절</v>
      </c>
      <c r="D2536" s="9" t="str">
        <f>[1]Discovery!E2542</f>
        <v>보물</v>
      </c>
      <c r="E2536" s="9" t="str">
        <f>[1]Discovery!C2542</f>
        <v>보물</v>
      </c>
      <c r="F2536" s="9" t="str">
        <f>[1]Discovery!G2542</f>
        <v>A</v>
      </c>
      <c r="G2536" s="9" t="str">
        <f>IFERROR(VLOOKUP(표1[[#This Row],[명칭]],'문화권 정리'!C:D,2,FALSE),"-")</f>
        <v>동아시아</v>
      </c>
      <c r="H2536" s="38" t="str">
        <f>IFERROR(COUNTIF([2]OceanDoodad!$Y:$Y,표1[[#This Row],[명칭]]),"-")</f>
        <v>-</v>
      </c>
      <c r="I2536" s="38">
        <f>IFERROR(COUNTIF([1]AdventureDiscoveryGroup!$D$8:$AW$92,표1[[#This Row],[명칭]]),"-")</f>
        <v>0</v>
      </c>
      <c r="J2536" s="38">
        <f>IFERROR(COUNTIF([1]FishDiscoveryGroup!$A:$X,표1[[#This Row],[명칭]]),"-")</f>
        <v>0</v>
      </c>
      <c r="K2536" s="38" t="str">
        <f>IFERROR(COUNTIF([2]Town!$B:$B,표1[[#This Row],[명칭]]),"-")</f>
        <v>-</v>
      </c>
      <c r="L2536" s="38">
        <f>IFERROR(COUNTIF([1]Village!$BR:$BR,표1[[#This Row],[명칭]]),"-")</f>
        <v>0</v>
      </c>
      <c r="M2536" s="38">
        <f>COUNTIF(퀘스트!B:B,표1[[#This Row],[명칭]])</f>
        <v>1</v>
      </c>
      <c r="N2536" s="65">
        <f>COUNTIF([1]VillageDiscoveryGroup!$C:$C,표1[[#This Row],[명칭]])</f>
        <v>0</v>
      </c>
      <c r="O2536" s="65">
        <f>SUM(표1[[#This Row],[해양탐색]:[마을탐험]])</f>
        <v>1</v>
      </c>
    </row>
    <row r="2537" spans="2:15" ht="13.5" customHeight="1" x14ac:dyDescent="0.3">
      <c r="B2537" s="9">
        <f>[1]Discovery!A2543</f>
        <v>70417027</v>
      </c>
      <c r="C2537" s="9" t="str">
        <f>[1]Discovery!B2543</f>
        <v>다리우리</v>
      </c>
      <c r="D2537" s="9" t="str">
        <f>[1]Discovery!E2543</f>
        <v>유물</v>
      </c>
      <c r="E2537" s="9" t="str">
        <f>[1]Discovery!C2543</f>
        <v>역사유물</v>
      </c>
      <c r="F2537" s="9" t="str">
        <f>[1]Discovery!G2543</f>
        <v>D</v>
      </c>
      <c r="G2537" s="9" t="str">
        <f>IFERROR(VLOOKUP(표1[[#This Row],[명칭]],'문화권 정리'!C:D,2,FALSE),"-")</f>
        <v>동아시아</v>
      </c>
      <c r="H2537" s="38" t="str">
        <f>IFERROR(COUNTIF([2]OceanDoodad!$Y:$Y,표1[[#This Row],[명칭]]),"-")</f>
        <v>-</v>
      </c>
      <c r="I2537" s="38">
        <f>IFERROR(COUNTIF([1]AdventureDiscoveryGroup!$D$8:$AW$92,표1[[#This Row],[명칭]]),"-")</f>
        <v>1</v>
      </c>
      <c r="J2537" s="38">
        <f>IFERROR(COUNTIF([1]FishDiscoveryGroup!$A:$X,표1[[#This Row],[명칭]]),"-")</f>
        <v>0</v>
      </c>
      <c r="K2537" s="38" t="str">
        <f>IFERROR(COUNTIF([2]Town!$B:$B,표1[[#This Row],[명칭]]),"-")</f>
        <v>-</v>
      </c>
      <c r="L2537" s="38">
        <f>IFERROR(COUNTIF([1]Village!$BR:$BR,표1[[#This Row],[명칭]]),"-")</f>
        <v>0</v>
      </c>
      <c r="M2537" s="38">
        <f>COUNTIF(퀘스트!B:B,표1[[#This Row],[명칭]])</f>
        <v>0</v>
      </c>
      <c r="N2537" s="65">
        <f>COUNTIF([1]VillageDiscoveryGroup!$C:$C,표1[[#This Row],[명칭]])</f>
        <v>0</v>
      </c>
      <c r="O2537" s="65">
        <f>SUM(표1[[#This Row],[해양탐색]:[마을탐험]])</f>
        <v>1</v>
      </c>
    </row>
    <row r="2538" spans="2:15" ht="13.5" customHeight="1" x14ac:dyDescent="0.3">
      <c r="B2538" s="9">
        <f>[1]Discovery!A2544</f>
        <v>70417028</v>
      </c>
      <c r="C2538" s="9" t="str">
        <f>[1]Discovery!B2544</f>
        <v>다빈치 노트</v>
      </c>
      <c r="D2538" s="9" t="str">
        <f>[1]Discovery!E2544</f>
        <v>보물</v>
      </c>
      <c r="E2538" s="9" t="str">
        <f>[1]Discovery!C2544</f>
        <v>보물</v>
      </c>
      <c r="F2538" s="9" t="str">
        <f>[1]Discovery!G2544</f>
        <v>A</v>
      </c>
      <c r="G2538" s="9" t="str">
        <f>IFERROR(VLOOKUP(표1[[#This Row],[명칭]],'문화권 정리'!C:D,2,FALSE),"-")</f>
        <v>지중해</v>
      </c>
      <c r="H2538" s="38" t="str">
        <f>IFERROR(COUNTIF([2]OceanDoodad!$Y:$Y,표1[[#This Row],[명칭]]),"-")</f>
        <v>-</v>
      </c>
      <c r="I2538" s="38">
        <f>IFERROR(COUNTIF([1]AdventureDiscoveryGroup!$D$8:$AW$92,표1[[#This Row],[명칭]]),"-")</f>
        <v>0</v>
      </c>
      <c r="J2538" s="38">
        <f>IFERROR(COUNTIF([1]FishDiscoveryGroup!$A:$X,표1[[#This Row],[명칭]]),"-")</f>
        <v>0</v>
      </c>
      <c r="K2538" s="38" t="str">
        <f>IFERROR(COUNTIF([2]Town!$B:$B,표1[[#This Row],[명칭]]),"-")</f>
        <v>-</v>
      </c>
      <c r="L2538" s="38">
        <f>IFERROR(COUNTIF([1]Village!$BR:$BR,표1[[#This Row],[명칭]]),"-")</f>
        <v>0</v>
      </c>
      <c r="M2538" s="38">
        <f>COUNTIF(퀘스트!B:B,표1[[#This Row],[명칭]])</f>
        <v>1</v>
      </c>
      <c r="N2538" s="65">
        <f>COUNTIF([1]VillageDiscoveryGroup!$C:$C,표1[[#This Row],[명칭]])</f>
        <v>0</v>
      </c>
      <c r="O2538" s="65">
        <f>SUM(표1[[#This Row],[해양탐색]:[마을탐험]])</f>
        <v>1</v>
      </c>
    </row>
    <row r="2539" spans="2:15" ht="13.5" customHeight="1" x14ac:dyDescent="0.3">
      <c r="B2539" s="9">
        <f>[1]Discovery!A2545</f>
        <v>70417029</v>
      </c>
      <c r="C2539" s="9" t="str">
        <f>[1]Discovery!B2545</f>
        <v>단가행</v>
      </c>
      <c r="D2539" s="9" t="str">
        <f>[1]Discovery!E2545</f>
        <v>보물</v>
      </c>
      <c r="E2539" s="9" t="str">
        <f>[1]Discovery!C2545</f>
        <v>보물</v>
      </c>
      <c r="F2539" s="9" t="str">
        <f>[1]Discovery!G2545</f>
        <v>B</v>
      </c>
      <c r="G2539" s="9" t="str">
        <f>IFERROR(VLOOKUP(표1[[#This Row],[명칭]],'문화권 정리'!C:D,2,FALSE),"-")</f>
        <v>동아시아</v>
      </c>
      <c r="H2539" s="38" t="str">
        <f>IFERROR(COUNTIF([2]OceanDoodad!$Y:$Y,표1[[#This Row],[명칭]]),"-")</f>
        <v>-</v>
      </c>
      <c r="I2539" s="38">
        <f>IFERROR(COUNTIF([1]AdventureDiscoveryGroup!$D$8:$AW$92,표1[[#This Row],[명칭]]),"-")</f>
        <v>0</v>
      </c>
      <c r="J2539" s="38">
        <f>IFERROR(COUNTIF([1]FishDiscoveryGroup!$A:$X,표1[[#This Row],[명칭]]),"-")</f>
        <v>0</v>
      </c>
      <c r="K2539" s="38" t="str">
        <f>IFERROR(COUNTIF([2]Town!$B:$B,표1[[#This Row],[명칭]]),"-")</f>
        <v>-</v>
      </c>
      <c r="L2539" s="38">
        <f>IFERROR(COUNTIF([1]Village!$BR:$BR,표1[[#This Row],[명칭]]),"-")</f>
        <v>0</v>
      </c>
      <c r="M2539" s="38">
        <f>COUNTIF(퀘스트!B:B,표1[[#This Row],[명칭]])</f>
        <v>0</v>
      </c>
      <c r="N2539" s="65">
        <f>COUNTIF([1]VillageDiscoveryGroup!$C:$C,표1[[#This Row],[명칭]])</f>
        <v>0</v>
      </c>
      <c r="O2539" s="65">
        <f>SUM(표1[[#This Row],[해양탐색]:[마을탐험]])</f>
        <v>0</v>
      </c>
    </row>
    <row r="2540" spans="2:15" ht="13.5" customHeight="1" x14ac:dyDescent="0.3">
      <c r="B2540" s="9">
        <f>[1]Discovery!A2546</f>
        <v>70417030</v>
      </c>
      <c r="C2540" s="9" t="str">
        <f>[1]Discovery!B2546</f>
        <v>당삼채</v>
      </c>
      <c r="D2540" s="9" t="str">
        <f>[1]Discovery!E2546</f>
        <v>보물</v>
      </c>
      <c r="E2540" s="9" t="str">
        <f>[1]Discovery!C2546</f>
        <v>보물</v>
      </c>
      <c r="F2540" s="9" t="str">
        <f>[1]Discovery!G2546</f>
        <v>C</v>
      </c>
      <c r="G2540" s="9" t="str">
        <f>IFERROR(VLOOKUP(표1[[#This Row],[명칭]],'문화권 정리'!C:D,2,FALSE),"-")</f>
        <v>동아시아</v>
      </c>
      <c r="H2540" s="38" t="str">
        <f>IFERROR(COUNTIF([2]OceanDoodad!$Y:$Y,표1[[#This Row],[명칭]]),"-")</f>
        <v>-</v>
      </c>
      <c r="I2540" s="38">
        <f>IFERROR(COUNTIF([1]AdventureDiscoveryGroup!$D$8:$AW$92,표1[[#This Row],[명칭]]),"-")</f>
        <v>1</v>
      </c>
      <c r="J2540" s="38">
        <f>IFERROR(COUNTIF([1]FishDiscoveryGroup!$A:$X,표1[[#This Row],[명칭]]),"-")</f>
        <v>0</v>
      </c>
      <c r="K2540" s="38" t="str">
        <f>IFERROR(COUNTIF([2]Town!$B:$B,표1[[#This Row],[명칭]]),"-")</f>
        <v>-</v>
      </c>
      <c r="L2540" s="38">
        <f>IFERROR(COUNTIF([1]Village!$BR:$BR,표1[[#This Row],[명칭]]),"-")</f>
        <v>0</v>
      </c>
      <c r="M2540" s="38">
        <f>COUNTIF(퀘스트!B:B,표1[[#This Row],[명칭]])</f>
        <v>0</v>
      </c>
      <c r="N2540" s="65">
        <f>COUNTIF([1]VillageDiscoveryGroup!$C:$C,표1[[#This Row],[명칭]])</f>
        <v>0</v>
      </c>
      <c r="O2540" s="65">
        <f>SUM(표1[[#This Row],[해양탐색]:[마을탐험]])</f>
        <v>1</v>
      </c>
    </row>
    <row r="2541" spans="2:15" ht="13.5" customHeight="1" x14ac:dyDescent="0.3">
      <c r="B2541" s="9">
        <f>[1]Discovery!A2547</f>
        <v>70417031</v>
      </c>
      <c r="C2541" s="9" t="str">
        <f>[1]Discovery!B2547</f>
        <v>대당서역기</v>
      </c>
      <c r="D2541" s="9" t="str">
        <f>[1]Discovery!E2547</f>
        <v>유물</v>
      </c>
      <c r="E2541" s="9" t="str">
        <f>[1]Discovery!C2547</f>
        <v>역사유물</v>
      </c>
      <c r="F2541" s="9" t="str">
        <f>[1]Discovery!G2547</f>
        <v>S</v>
      </c>
      <c r="G2541" s="9" t="str">
        <f>IFERROR(VLOOKUP(표1[[#This Row],[명칭]],'문화권 정리'!C:D,2,FALSE),"-")</f>
        <v>동아시아</v>
      </c>
      <c r="H2541" s="38" t="str">
        <f>IFERROR(COUNTIF([2]OceanDoodad!$Y:$Y,표1[[#This Row],[명칭]]),"-")</f>
        <v>-</v>
      </c>
      <c r="I2541" s="38">
        <f>IFERROR(COUNTIF([1]AdventureDiscoveryGroup!$D$8:$AW$92,표1[[#This Row],[명칭]]),"-")</f>
        <v>0</v>
      </c>
      <c r="J2541" s="38">
        <f>IFERROR(COUNTIF([1]FishDiscoveryGroup!$A:$X,표1[[#This Row],[명칭]]),"-")</f>
        <v>0</v>
      </c>
      <c r="K2541" s="38" t="str">
        <f>IFERROR(COUNTIF([2]Town!$B:$B,표1[[#This Row],[명칭]]),"-")</f>
        <v>-</v>
      </c>
      <c r="L2541" s="38">
        <f>IFERROR(COUNTIF([1]Village!$BR:$BR,표1[[#This Row],[명칭]]),"-")</f>
        <v>0</v>
      </c>
      <c r="M2541" s="38">
        <f>COUNTIF(퀘스트!B:B,표1[[#This Row],[명칭]])</f>
        <v>0</v>
      </c>
      <c r="N2541" s="65">
        <f>COUNTIF([1]VillageDiscoveryGroup!$C:$C,표1[[#This Row],[명칭]])</f>
        <v>0</v>
      </c>
      <c r="O2541" s="65">
        <f>SUM(표1[[#This Row],[해양탐색]:[마을탐험]])</f>
        <v>0</v>
      </c>
    </row>
    <row r="2542" spans="2:15" ht="13.5" customHeight="1" x14ac:dyDescent="0.3">
      <c r="B2542" s="9">
        <f>[1]Discovery!A2548</f>
        <v>70417032</v>
      </c>
      <c r="C2542" s="9" t="str">
        <f>[1]Discovery!B2548</f>
        <v>더로우의 서</v>
      </c>
      <c r="D2542" s="9" t="str">
        <f>[1]Discovery!E2548</f>
        <v>보물</v>
      </c>
      <c r="E2542" s="9" t="str">
        <f>[1]Discovery!C2548</f>
        <v>보물</v>
      </c>
      <c r="F2542" s="9" t="str">
        <f>[1]Discovery!G2548</f>
        <v>C</v>
      </c>
      <c r="G2542" s="9" t="str">
        <f>IFERROR(VLOOKUP(표1[[#This Row],[명칭]],'문화권 정리'!C:D,2,FALSE),"-")</f>
        <v>브리튼</v>
      </c>
      <c r="H2542" s="38" t="str">
        <f>IFERROR(COUNTIF([2]OceanDoodad!$Y:$Y,표1[[#This Row],[명칭]]),"-")</f>
        <v>-</v>
      </c>
      <c r="I2542" s="38">
        <f>IFERROR(COUNTIF([1]AdventureDiscoveryGroup!$D$8:$AW$92,표1[[#This Row],[명칭]]),"-")</f>
        <v>1</v>
      </c>
      <c r="J2542" s="38">
        <f>IFERROR(COUNTIF([1]FishDiscoveryGroup!$A:$X,표1[[#This Row],[명칭]]),"-")</f>
        <v>0</v>
      </c>
      <c r="K2542" s="38" t="str">
        <f>IFERROR(COUNTIF([2]Town!$B:$B,표1[[#This Row],[명칭]]),"-")</f>
        <v>-</v>
      </c>
      <c r="L2542" s="38">
        <f>IFERROR(COUNTIF([1]Village!$BR:$BR,표1[[#This Row],[명칭]]),"-")</f>
        <v>0</v>
      </c>
      <c r="M2542" s="38">
        <f>COUNTIF(퀘스트!B:B,표1[[#This Row],[명칭]])</f>
        <v>0</v>
      </c>
      <c r="N2542" s="65">
        <f>COUNTIF([1]VillageDiscoveryGroup!$C:$C,표1[[#This Row],[명칭]])</f>
        <v>0</v>
      </c>
      <c r="O2542" s="65">
        <f>SUM(표1[[#This Row],[해양탐색]:[마을탐험]])</f>
        <v>1</v>
      </c>
    </row>
    <row r="2543" spans="2:15" ht="13.5" customHeight="1" x14ac:dyDescent="0.3">
      <c r="B2543" s="9">
        <f>[1]Discovery!A2549</f>
        <v>70417034</v>
      </c>
      <c r="C2543" s="9" t="str">
        <f>[1]Discovery!B2549</f>
        <v>돌도끼</v>
      </c>
      <c r="D2543" s="9" t="str">
        <f>[1]Discovery!E2549</f>
        <v>유물</v>
      </c>
      <c r="E2543" s="9" t="str">
        <f>[1]Discovery!C2549</f>
        <v>역사유물</v>
      </c>
      <c r="F2543" s="9" t="str">
        <f>[1]Discovery!G2549</f>
        <v>D</v>
      </c>
      <c r="G2543" s="9" t="str">
        <f>IFERROR(VLOOKUP(표1[[#This Row],[명칭]],'문화권 정리'!C:D,2,FALSE),"-")</f>
        <v>동아시아</v>
      </c>
      <c r="H2543" s="38" t="str">
        <f>IFERROR(COUNTIF([2]OceanDoodad!$Y:$Y,표1[[#This Row],[명칭]]),"-")</f>
        <v>-</v>
      </c>
      <c r="I2543" s="38">
        <f>IFERROR(COUNTIF([1]AdventureDiscoveryGroup!$D$8:$AW$92,표1[[#This Row],[명칭]]),"-")</f>
        <v>0</v>
      </c>
      <c r="J2543" s="38">
        <f>IFERROR(COUNTIF([1]FishDiscoveryGroup!$A:$X,표1[[#This Row],[명칭]]),"-")</f>
        <v>0</v>
      </c>
      <c r="K2543" s="38" t="str">
        <f>IFERROR(COUNTIF([2]Town!$B:$B,표1[[#This Row],[명칭]]),"-")</f>
        <v>-</v>
      </c>
      <c r="L2543" s="38">
        <f>IFERROR(COUNTIF([1]Village!$BR:$BR,표1[[#This Row],[명칭]]),"-")</f>
        <v>0</v>
      </c>
      <c r="M2543" s="38">
        <f>COUNTIF(퀘스트!B:B,표1[[#This Row],[명칭]])</f>
        <v>0</v>
      </c>
      <c r="N2543" s="65">
        <f>COUNTIF([1]VillageDiscoveryGroup!$C:$C,표1[[#This Row],[명칭]])</f>
        <v>0</v>
      </c>
      <c r="O2543" s="65">
        <f>SUM(표1[[#This Row],[해양탐색]:[마을탐험]])</f>
        <v>0</v>
      </c>
    </row>
    <row r="2544" spans="2:15" ht="13.5" customHeight="1" x14ac:dyDescent="0.3">
      <c r="B2544" s="9">
        <f>[1]Discovery!A2550</f>
        <v>70417035</v>
      </c>
      <c r="C2544" s="9" t="str">
        <f>[1]Discovery!B2550</f>
        <v>동방견문록</v>
      </c>
      <c r="D2544" s="9" t="str">
        <f>[1]Discovery!E2550</f>
        <v>보물</v>
      </c>
      <c r="E2544" s="9" t="str">
        <f>[1]Discovery!C2550</f>
        <v>보물</v>
      </c>
      <c r="F2544" s="9" t="str">
        <f>[1]Discovery!G2550</f>
        <v>A</v>
      </c>
      <c r="G2544" s="9" t="str">
        <f>IFERROR(VLOOKUP(표1[[#This Row],[명칭]],'문화권 정리'!C:D,2,FALSE),"-")</f>
        <v>지중해</v>
      </c>
      <c r="H2544" s="38" t="str">
        <f>IFERROR(COUNTIF([2]OceanDoodad!$Y:$Y,표1[[#This Row],[명칭]]),"-")</f>
        <v>-</v>
      </c>
      <c r="I2544" s="38">
        <f>IFERROR(COUNTIF([1]AdventureDiscoveryGroup!$D$8:$AW$92,표1[[#This Row],[명칭]]),"-")</f>
        <v>0</v>
      </c>
      <c r="J2544" s="38">
        <f>IFERROR(COUNTIF([1]FishDiscoveryGroup!$A:$X,표1[[#This Row],[명칭]]),"-")</f>
        <v>0</v>
      </c>
      <c r="K2544" s="38" t="str">
        <f>IFERROR(COUNTIF([2]Town!$B:$B,표1[[#This Row],[명칭]]),"-")</f>
        <v>-</v>
      </c>
      <c r="L2544" s="38">
        <f>IFERROR(COUNTIF([1]Village!$BR:$BR,표1[[#This Row],[명칭]]),"-")</f>
        <v>0</v>
      </c>
      <c r="M2544" s="38">
        <f>COUNTIF(퀘스트!B:B,표1[[#This Row],[명칭]])</f>
        <v>1</v>
      </c>
      <c r="N2544" s="65">
        <f>COUNTIF([1]VillageDiscoveryGroup!$C:$C,표1[[#This Row],[명칭]])</f>
        <v>0</v>
      </c>
      <c r="O2544" s="65">
        <f>SUM(표1[[#This Row],[해양탐색]:[마을탐험]])</f>
        <v>1</v>
      </c>
    </row>
    <row r="2545" spans="2:15" ht="13.5" customHeight="1" x14ac:dyDescent="0.3">
      <c r="B2545" s="9">
        <f>[1]Discovery!A2551</f>
        <v>70417036</v>
      </c>
      <c r="C2545" s="9" t="str">
        <f>[1]Discovery!B2551</f>
        <v>듀란달</v>
      </c>
      <c r="D2545" s="9" t="str">
        <f>[1]Discovery!E2551</f>
        <v>보물</v>
      </c>
      <c r="E2545" s="9" t="str">
        <f>[1]Discovery!C2551</f>
        <v>보물</v>
      </c>
      <c r="F2545" s="9" t="str">
        <f>[1]Discovery!G2551</f>
        <v>S</v>
      </c>
      <c r="G2545" s="9" t="str">
        <f>IFERROR(VLOOKUP(표1[[#This Row],[명칭]],'문화권 정리'!C:D,2,FALSE),"-")</f>
        <v>지중해</v>
      </c>
      <c r="H2545" s="38" t="str">
        <f>IFERROR(COUNTIF([2]OceanDoodad!$Y:$Y,표1[[#This Row],[명칭]]),"-")</f>
        <v>-</v>
      </c>
      <c r="I2545" s="38">
        <f>IFERROR(COUNTIF([1]AdventureDiscoveryGroup!$D$8:$AW$92,표1[[#This Row],[명칭]]),"-")</f>
        <v>0</v>
      </c>
      <c r="J2545" s="38">
        <f>IFERROR(COUNTIF([1]FishDiscoveryGroup!$A:$X,표1[[#This Row],[명칭]]),"-")</f>
        <v>0</v>
      </c>
      <c r="K2545" s="38" t="str">
        <f>IFERROR(COUNTIF([2]Town!$B:$B,표1[[#This Row],[명칭]]),"-")</f>
        <v>-</v>
      </c>
      <c r="L2545" s="38">
        <f>IFERROR(COUNTIF([1]Village!$BR:$BR,표1[[#This Row],[명칭]]),"-")</f>
        <v>0</v>
      </c>
      <c r="M2545" s="38">
        <f>COUNTIF(퀘스트!B:B,표1[[#This Row],[명칭]])</f>
        <v>1</v>
      </c>
      <c r="N2545" s="65">
        <f>COUNTIF([1]VillageDiscoveryGroup!$C:$C,표1[[#This Row],[명칭]])</f>
        <v>0</v>
      </c>
      <c r="O2545" s="65">
        <f>SUM(표1[[#This Row],[해양탐색]:[마을탐험]])</f>
        <v>1</v>
      </c>
    </row>
    <row r="2546" spans="2:15" ht="13.5" customHeight="1" x14ac:dyDescent="0.3">
      <c r="B2546" s="9">
        <f>[1]Discovery!A2552</f>
        <v>70417037</v>
      </c>
      <c r="C2546" s="9" t="str">
        <f>[1]Discovery!B2552</f>
        <v>드라크마 은화</v>
      </c>
      <c r="D2546" s="9" t="str">
        <f>[1]Discovery!E2552</f>
        <v>보물</v>
      </c>
      <c r="E2546" s="9" t="str">
        <f>[1]Discovery!C2552</f>
        <v>보물</v>
      </c>
      <c r="F2546" s="9" t="str">
        <f>[1]Discovery!G2552</f>
        <v>D</v>
      </c>
      <c r="G2546" s="9" t="str">
        <f>IFERROR(VLOOKUP(표1[[#This Row],[명칭]],'문화권 정리'!C:D,2,FALSE),"-")</f>
        <v>지중해</v>
      </c>
      <c r="H2546" s="38" t="str">
        <f>IFERROR(COUNTIF([2]OceanDoodad!$Y:$Y,표1[[#This Row],[명칭]]),"-")</f>
        <v>-</v>
      </c>
      <c r="I2546" s="38">
        <f>IFERROR(COUNTIF([1]AdventureDiscoveryGroup!$D$8:$AW$92,표1[[#This Row],[명칭]]),"-")</f>
        <v>0</v>
      </c>
      <c r="J2546" s="38">
        <f>IFERROR(COUNTIF([1]FishDiscoveryGroup!$A:$X,표1[[#This Row],[명칭]]),"-")</f>
        <v>0</v>
      </c>
      <c r="K2546" s="38" t="str">
        <f>IFERROR(COUNTIF([2]Town!$B:$B,표1[[#This Row],[명칭]]),"-")</f>
        <v>-</v>
      </c>
      <c r="L2546" s="38">
        <f>IFERROR(COUNTIF([1]Village!$BR:$BR,표1[[#This Row],[명칭]]),"-")</f>
        <v>0</v>
      </c>
      <c r="M2546" s="38">
        <f>COUNTIF(퀘스트!B:B,표1[[#This Row],[명칭]])</f>
        <v>1</v>
      </c>
      <c r="N2546" s="65">
        <f>COUNTIF([1]VillageDiscoveryGroup!$C:$C,표1[[#This Row],[명칭]])</f>
        <v>0</v>
      </c>
      <c r="O2546" s="65">
        <f>SUM(표1[[#This Row],[해양탐색]:[마을탐험]])</f>
        <v>1</v>
      </c>
    </row>
    <row r="2547" spans="2:15" ht="13.5" customHeight="1" x14ac:dyDescent="0.3">
      <c r="B2547" s="9">
        <f>[1]Discovery!A2553</f>
        <v>70417038</v>
      </c>
      <c r="C2547" s="9" t="str">
        <f>[1]Discovery!B2553</f>
        <v>디저리두</v>
      </c>
      <c r="D2547" s="9" t="str">
        <f>[1]Discovery!E2553</f>
        <v>보물</v>
      </c>
      <c r="E2547" s="9" t="str">
        <f>[1]Discovery!C2553</f>
        <v>보물</v>
      </c>
      <c r="F2547" s="9" t="str">
        <f>[1]Discovery!G2553</f>
        <v>B</v>
      </c>
      <c r="G2547" s="9" t="str">
        <f>IFERROR(VLOOKUP(표1[[#This Row],[명칭]],'문화권 정리'!C:D,2,FALSE),"-")</f>
        <v>오세아니아</v>
      </c>
      <c r="H2547" s="38" t="str">
        <f>IFERROR(COUNTIF([2]OceanDoodad!$Y:$Y,표1[[#This Row],[명칭]]),"-")</f>
        <v>-</v>
      </c>
      <c r="I2547" s="38">
        <f>IFERROR(COUNTIF([1]AdventureDiscoveryGroup!$D$8:$AW$92,표1[[#This Row],[명칭]]),"-")</f>
        <v>1</v>
      </c>
      <c r="J2547" s="38">
        <f>IFERROR(COUNTIF([1]FishDiscoveryGroup!$A:$X,표1[[#This Row],[명칭]]),"-")</f>
        <v>0</v>
      </c>
      <c r="K2547" s="38" t="str">
        <f>IFERROR(COUNTIF([2]Town!$B:$B,표1[[#This Row],[명칭]]),"-")</f>
        <v>-</v>
      </c>
      <c r="L2547" s="38">
        <f>IFERROR(COUNTIF([1]Village!$BR:$BR,표1[[#This Row],[명칭]]),"-")</f>
        <v>0</v>
      </c>
      <c r="M2547" s="38">
        <f>COUNTIF(퀘스트!B:B,표1[[#This Row],[명칭]])</f>
        <v>0</v>
      </c>
      <c r="N2547" s="65">
        <f>COUNTIF([1]VillageDiscoveryGroup!$C:$C,표1[[#This Row],[명칭]])</f>
        <v>0</v>
      </c>
      <c r="O2547" s="65">
        <f>SUM(표1[[#This Row],[해양탐색]:[마을탐험]])</f>
        <v>1</v>
      </c>
    </row>
    <row r="2548" spans="2:15" ht="13.5" customHeight="1" x14ac:dyDescent="0.3">
      <c r="B2548" s="9">
        <f>[1]Discovery!A2554</f>
        <v>70417039</v>
      </c>
      <c r="C2548" s="9" t="str">
        <f>[1]Discovery!B2554</f>
        <v>라마야나</v>
      </c>
      <c r="D2548" s="9" t="str">
        <f>[1]Discovery!E2554</f>
        <v>보물</v>
      </c>
      <c r="E2548" s="9" t="str">
        <f>[1]Discovery!C2554</f>
        <v>보물</v>
      </c>
      <c r="F2548" s="9" t="str">
        <f>[1]Discovery!G2554</f>
        <v>B</v>
      </c>
      <c r="G2548" s="9" t="str">
        <f>IFERROR(VLOOKUP(표1[[#This Row],[명칭]],'문화권 정리'!C:D,2,FALSE),"-")</f>
        <v>남아시아</v>
      </c>
      <c r="H2548" s="38" t="str">
        <f>IFERROR(COUNTIF([2]OceanDoodad!$Y:$Y,표1[[#This Row],[명칭]]),"-")</f>
        <v>-</v>
      </c>
      <c r="I2548" s="38">
        <f>IFERROR(COUNTIF([1]AdventureDiscoveryGroup!$D$8:$AW$92,표1[[#This Row],[명칭]]),"-")</f>
        <v>0</v>
      </c>
      <c r="J2548" s="38">
        <f>IFERROR(COUNTIF([1]FishDiscoveryGroup!$A:$X,표1[[#This Row],[명칭]]),"-")</f>
        <v>0</v>
      </c>
      <c r="K2548" s="38" t="str">
        <f>IFERROR(COUNTIF([2]Town!$B:$B,표1[[#This Row],[명칭]]),"-")</f>
        <v>-</v>
      </c>
      <c r="L2548" s="38">
        <f>IFERROR(COUNTIF([1]Village!$BR:$BR,표1[[#This Row],[명칭]]),"-")</f>
        <v>0</v>
      </c>
      <c r="M2548" s="38">
        <f>COUNTIF(퀘스트!B:B,표1[[#This Row],[명칭]])</f>
        <v>0</v>
      </c>
      <c r="N2548" s="65">
        <f>COUNTIF([1]VillageDiscoveryGroup!$C:$C,표1[[#This Row],[명칭]])</f>
        <v>0</v>
      </c>
      <c r="O2548" s="65">
        <f>SUM(표1[[#This Row],[해양탐색]:[마을탐험]])</f>
        <v>0</v>
      </c>
    </row>
    <row r="2549" spans="2:15" ht="13.5" customHeight="1" x14ac:dyDescent="0.3">
      <c r="B2549" s="9">
        <f>[1]Discovery!A2555</f>
        <v>70417040</v>
      </c>
      <c r="C2549" s="9" t="str">
        <f>[1]Discovery!B2555</f>
        <v>람세스 2세의 강궁</v>
      </c>
      <c r="D2549" s="9" t="str">
        <f>[1]Discovery!E2555</f>
        <v>보물</v>
      </c>
      <c r="E2549" s="9" t="str">
        <f>[1]Discovery!C2555</f>
        <v>보물</v>
      </c>
      <c r="F2549" s="9" t="str">
        <f>[1]Discovery!G2555</f>
        <v>S</v>
      </c>
      <c r="G2549" s="9" t="str">
        <f>IFERROR(VLOOKUP(표1[[#This Row],[명칭]],'문화권 정리'!C:D,2,FALSE),"-")</f>
        <v>서남아시아</v>
      </c>
      <c r="H2549" s="38" t="str">
        <f>IFERROR(COUNTIF([2]OceanDoodad!$Y:$Y,표1[[#This Row],[명칭]]),"-")</f>
        <v>-</v>
      </c>
      <c r="I2549" s="38">
        <f>IFERROR(COUNTIF([1]AdventureDiscoveryGroup!$D$8:$AW$92,표1[[#This Row],[명칭]]),"-")</f>
        <v>0</v>
      </c>
      <c r="J2549" s="38">
        <f>IFERROR(COUNTIF([1]FishDiscoveryGroup!$A:$X,표1[[#This Row],[명칭]]),"-")</f>
        <v>0</v>
      </c>
      <c r="K2549" s="38" t="str">
        <f>IFERROR(COUNTIF([2]Town!$B:$B,표1[[#This Row],[명칭]]),"-")</f>
        <v>-</v>
      </c>
      <c r="L2549" s="38">
        <f>IFERROR(COUNTIF([1]Village!$BR:$BR,표1[[#This Row],[명칭]]),"-")</f>
        <v>0</v>
      </c>
      <c r="M2549" s="38">
        <f>COUNTIF(퀘스트!B:B,표1[[#This Row],[명칭]])</f>
        <v>0</v>
      </c>
      <c r="N2549" s="65">
        <f>COUNTIF([1]VillageDiscoveryGroup!$C:$C,표1[[#This Row],[명칭]])</f>
        <v>0</v>
      </c>
      <c r="O2549" s="65">
        <f>SUM(표1[[#This Row],[해양탐색]:[마을탐험]])</f>
        <v>0</v>
      </c>
    </row>
    <row r="2550" spans="2:15" ht="13.5" customHeight="1" x14ac:dyDescent="0.3">
      <c r="B2550" s="9">
        <f>[1]Discovery!A2556</f>
        <v>70417042</v>
      </c>
      <c r="C2550" s="9" t="str">
        <f>[1]Discovery!B2556</f>
        <v>로마법 대전</v>
      </c>
      <c r="D2550" s="9" t="str">
        <f>[1]Discovery!E2556</f>
        <v>유물</v>
      </c>
      <c r="E2550" s="9" t="str">
        <f>[1]Discovery!C2556</f>
        <v>역사유물</v>
      </c>
      <c r="F2550" s="9" t="str">
        <f>[1]Discovery!G2556</f>
        <v>S</v>
      </c>
      <c r="G2550" s="9" t="str">
        <f>IFERROR(VLOOKUP(표1[[#This Row],[명칭]],'문화권 정리'!C:D,2,FALSE),"-")</f>
        <v>지중해</v>
      </c>
      <c r="H2550" s="38" t="str">
        <f>IFERROR(COUNTIF([2]OceanDoodad!$Y:$Y,표1[[#This Row],[명칭]]),"-")</f>
        <v>-</v>
      </c>
      <c r="I2550" s="38">
        <f>IFERROR(COUNTIF([1]AdventureDiscoveryGroup!$D$8:$AW$92,표1[[#This Row],[명칭]]),"-")</f>
        <v>0</v>
      </c>
      <c r="J2550" s="38">
        <f>IFERROR(COUNTIF([1]FishDiscoveryGroup!$A:$X,표1[[#This Row],[명칭]]),"-")</f>
        <v>0</v>
      </c>
      <c r="K2550" s="38" t="str">
        <f>IFERROR(COUNTIF([2]Town!$B:$B,표1[[#This Row],[명칭]]),"-")</f>
        <v>-</v>
      </c>
      <c r="L2550" s="38">
        <f>IFERROR(COUNTIF([1]Village!$BR:$BR,표1[[#This Row],[명칭]]),"-")</f>
        <v>0</v>
      </c>
      <c r="M2550" s="38">
        <f>COUNTIF(퀘스트!B:B,표1[[#This Row],[명칭]])</f>
        <v>0</v>
      </c>
      <c r="N2550" s="65">
        <f>COUNTIF([1]VillageDiscoveryGroup!$C:$C,표1[[#This Row],[명칭]])</f>
        <v>0</v>
      </c>
      <c r="O2550" s="65">
        <f>SUM(표1[[#This Row],[해양탐색]:[마을탐험]])</f>
        <v>0</v>
      </c>
    </row>
    <row r="2551" spans="2:15" ht="13.5" customHeight="1" x14ac:dyDescent="0.3">
      <c r="B2551" s="9">
        <f>[1]Discovery!A2557</f>
        <v>70417043</v>
      </c>
      <c r="C2551" s="9" t="str">
        <f>[1]Discovery!B2557</f>
        <v>롤랑의 뿔나팔</v>
      </c>
      <c r="D2551" s="9" t="str">
        <f>[1]Discovery!E2557</f>
        <v>보물</v>
      </c>
      <c r="E2551" s="9" t="str">
        <f>[1]Discovery!C2557</f>
        <v>보물</v>
      </c>
      <c r="F2551" s="9" t="str">
        <f>[1]Discovery!G2557</f>
        <v>S</v>
      </c>
      <c r="G2551" s="9" t="str">
        <f>IFERROR(VLOOKUP(표1[[#This Row],[명칭]],'문화권 정리'!C:D,2,FALSE),"-")</f>
        <v>지중해</v>
      </c>
      <c r="H2551" s="38" t="str">
        <f>IFERROR(COUNTIF([2]OceanDoodad!$Y:$Y,표1[[#This Row],[명칭]]),"-")</f>
        <v>-</v>
      </c>
      <c r="I2551" s="38">
        <f>IFERROR(COUNTIF([1]AdventureDiscoveryGroup!$D$8:$AW$92,표1[[#This Row],[명칭]]),"-")</f>
        <v>0</v>
      </c>
      <c r="J2551" s="38">
        <f>IFERROR(COUNTIF([1]FishDiscoveryGroup!$A:$X,표1[[#This Row],[명칭]]),"-")</f>
        <v>0</v>
      </c>
      <c r="K2551" s="38" t="str">
        <f>IFERROR(COUNTIF([2]Town!$B:$B,표1[[#This Row],[명칭]]),"-")</f>
        <v>-</v>
      </c>
      <c r="L2551" s="38">
        <f>IFERROR(COUNTIF([1]Village!$BR:$BR,표1[[#This Row],[명칭]]),"-")</f>
        <v>0</v>
      </c>
      <c r="M2551" s="38">
        <f>COUNTIF(퀘스트!B:B,표1[[#This Row],[명칭]])</f>
        <v>1</v>
      </c>
      <c r="N2551" s="65">
        <f>COUNTIF([1]VillageDiscoveryGroup!$C:$C,표1[[#This Row],[명칭]])</f>
        <v>0</v>
      </c>
      <c r="O2551" s="65">
        <f>SUM(표1[[#This Row],[해양탐색]:[마을탐험]])</f>
        <v>1</v>
      </c>
    </row>
    <row r="2552" spans="2:15" ht="13.5" customHeight="1" x14ac:dyDescent="0.3">
      <c r="B2552" s="9">
        <f>[1]Discovery!A2558</f>
        <v>70417044</v>
      </c>
      <c r="C2552" s="9" t="str">
        <f>[1]Discovery!B2558</f>
        <v>루바이야트</v>
      </c>
      <c r="D2552" s="9" t="str">
        <f>[1]Discovery!E2558</f>
        <v>보물</v>
      </c>
      <c r="E2552" s="9" t="str">
        <f>[1]Discovery!C2558</f>
        <v>보물</v>
      </c>
      <c r="F2552" s="9" t="str">
        <f>[1]Discovery!G2558</f>
        <v>B</v>
      </c>
      <c r="G2552" s="9" t="str">
        <f>IFERROR(VLOOKUP(표1[[#This Row],[명칭]],'문화권 정리'!C:D,2,FALSE),"-")</f>
        <v>서남아시아</v>
      </c>
      <c r="H2552" s="38" t="str">
        <f>IFERROR(COUNTIF([2]OceanDoodad!$Y:$Y,표1[[#This Row],[명칭]]),"-")</f>
        <v>-</v>
      </c>
      <c r="I2552" s="38">
        <f>IFERROR(COUNTIF([1]AdventureDiscoveryGroup!$D$8:$AW$92,표1[[#This Row],[명칭]]),"-")</f>
        <v>1</v>
      </c>
      <c r="J2552" s="38">
        <f>IFERROR(COUNTIF([1]FishDiscoveryGroup!$A:$X,표1[[#This Row],[명칭]]),"-")</f>
        <v>0</v>
      </c>
      <c r="K2552" s="38" t="str">
        <f>IFERROR(COUNTIF([2]Town!$B:$B,표1[[#This Row],[명칭]]),"-")</f>
        <v>-</v>
      </c>
      <c r="L2552" s="38">
        <f>IFERROR(COUNTIF([1]Village!$BR:$BR,표1[[#This Row],[명칭]]),"-")</f>
        <v>0</v>
      </c>
      <c r="M2552" s="38">
        <f>COUNTIF(퀘스트!B:B,표1[[#This Row],[명칭]])</f>
        <v>0</v>
      </c>
      <c r="N2552" s="65">
        <f>COUNTIF([1]VillageDiscoveryGroup!$C:$C,표1[[#This Row],[명칭]])</f>
        <v>0</v>
      </c>
      <c r="O2552" s="65">
        <f>SUM(표1[[#This Row],[해양탐색]:[마을탐험]])</f>
        <v>1</v>
      </c>
    </row>
    <row r="2553" spans="2:15" ht="13.5" customHeight="1" x14ac:dyDescent="0.3">
      <c r="B2553" s="9">
        <f>[1]Discovery!A2559</f>
        <v>70417045</v>
      </c>
      <c r="C2553" s="9" t="str">
        <f>[1]Discovery!B2559</f>
        <v>루이스의 체스 기물</v>
      </c>
      <c r="D2553" s="9" t="str">
        <f>[1]Discovery!E2559</f>
        <v>보물</v>
      </c>
      <c r="E2553" s="9" t="str">
        <f>[1]Discovery!C2559</f>
        <v>보물</v>
      </c>
      <c r="F2553" s="9" t="str">
        <f>[1]Discovery!G2559</f>
        <v>C</v>
      </c>
      <c r="G2553" s="9" t="str">
        <f>IFERROR(VLOOKUP(표1[[#This Row],[명칭]],'문화권 정리'!C:D,2,FALSE),"-")</f>
        <v>브리튼</v>
      </c>
      <c r="H2553" s="38" t="str">
        <f>IFERROR(COUNTIF([2]OceanDoodad!$Y:$Y,표1[[#This Row],[명칭]]),"-")</f>
        <v>-</v>
      </c>
      <c r="I2553" s="38">
        <f>IFERROR(COUNTIF([1]AdventureDiscoveryGroup!$D$8:$AW$92,표1[[#This Row],[명칭]]),"-")</f>
        <v>1</v>
      </c>
      <c r="J2553" s="38">
        <f>IFERROR(COUNTIF([1]FishDiscoveryGroup!$A:$X,표1[[#This Row],[명칭]]),"-")</f>
        <v>0</v>
      </c>
      <c r="K2553" s="38" t="str">
        <f>IFERROR(COUNTIF([2]Town!$B:$B,표1[[#This Row],[명칭]]),"-")</f>
        <v>-</v>
      </c>
      <c r="L2553" s="38">
        <f>IFERROR(COUNTIF([1]Village!$BR:$BR,표1[[#This Row],[명칭]]),"-")</f>
        <v>0</v>
      </c>
      <c r="M2553" s="38">
        <f>COUNTIF(퀘스트!B:B,표1[[#This Row],[명칭]])</f>
        <v>0</v>
      </c>
      <c r="N2553" s="65">
        <f>COUNTIF([1]VillageDiscoveryGroup!$C:$C,표1[[#This Row],[명칭]])</f>
        <v>0</v>
      </c>
      <c r="O2553" s="65">
        <f>SUM(표1[[#This Row],[해양탐색]:[마을탐험]])</f>
        <v>1</v>
      </c>
    </row>
    <row r="2554" spans="2:15" ht="13.5" customHeight="1" x14ac:dyDescent="0.3">
      <c r="B2554" s="9">
        <f>[1]Discovery!A2560</f>
        <v>70417046</v>
      </c>
      <c r="C2554" s="9" t="str">
        <f>[1]Discovery!B2560</f>
        <v>리시마코스 동전</v>
      </c>
      <c r="D2554" s="9" t="str">
        <f>[1]Discovery!E2560</f>
        <v>보물</v>
      </c>
      <c r="E2554" s="9" t="str">
        <f>[1]Discovery!C2560</f>
        <v>보물</v>
      </c>
      <c r="F2554" s="9" t="str">
        <f>[1]Discovery!G2560</f>
        <v>B</v>
      </c>
      <c r="G2554" s="9" t="str">
        <f>IFERROR(VLOOKUP(표1[[#This Row],[명칭]],'문화권 정리'!C:D,2,FALSE),"-")</f>
        <v>지중해</v>
      </c>
      <c r="H2554" s="38" t="str">
        <f>IFERROR(COUNTIF([2]OceanDoodad!$Y:$Y,표1[[#This Row],[명칭]]),"-")</f>
        <v>-</v>
      </c>
      <c r="I2554" s="38">
        <f>IFERROR(COUNTIF([1]AdventureDiscoveryGroup!$D$8:$AW$92,표1[[#This Row],[명칭]]),"-")</f>
        <v>0</v>
      </c>
      <c r="J2554" s="38">
        <f>IFERROR(COUNTIF([1]FishDiscoveryGroup!$A:$X,표1[[#This Row],[명칭]]),"-")</f>
        <v>0</v>
      </c>
      <c r="K2554" s="38" t="str">
        <f>IFERROR(COUNTIF([2]Town!$B:$B,표1[[#This Row],[명칭]]),"-")</f>
        <v>-</v>
      </c>
      <c r="L2554" s="38">
        <f>IFERROR(COUNTIF([1]Village!$BR:$BR,표1[[#This Row],[명칭]]),"-")</f>
        <v>0</v>
      </c>
      <c r="M2554" s="38">
        <f>COUNTIF(퀘스트!B:B,표1[[#This Row],[명칭]])</f>
        <v>0</v>
      </c>
      <c r="N2554" s="65">
        <f>COUNTIF([1]VillageDiscoveryGroup!$C:$C,표1[[#This Row],[명칭]])</f>
        <v>0</v>
      </c>
      <c r="O2554" s="65">
        <f>SUM(표1[[#This Row],[해양탐색]:[마을탐험]])</f>
        <v>0</v>
      </c>
    </row>
    <row r="2555" spans="2:15" ht="13.5" customHeight="1" x14ac:dyDescent="0.3">
      <c r="B2555" s="9">
        <f>[1]Discovery!A2561</f>
        <v>70417047</v>
      </c>
      <c r="C2555" s="9" t="str">
        <f>[1]Discovery!B2561</f>
        <v>리어 팔</v>
      </c>
      <c r="D2555" s="9" t="str">
        <f>[1]Discovery!E2561</f>
        <v>보물</v>
      </c>
      <c r="E2555" s="9" t="str">
        <f>[1]Discovery!C2561</f>
        <v>보물</v>
      </c>
      <c r="F2555" s="9" t="str">
        <f>[1]Discovery!G2561</f>
        <v>C</v>
      </c>
      <c r="G2555" s="9" t="str">
        <f>IFERROR(VLOOKUP(표1[[#This Row],[명칭]],'문화권 정리'!C:D,2,FALSE),"-")</f>
        <v>브리튼</v>
      </c>
      <c r="H2555" s="38" t="str">
        <f>IFERROR(COUNTIF([2]OceanDoodad!$Y:$Y,표1[[#This Row],[명칭]]),"-")</f>
        <v>-</v>
      </c>
      <c r="I2555" s="38">
        <f>IFERROR(COUNTIF([1]AdventureDiscoveryGroup!$D$8:$AW$92,표1[[#This Row],[명칭]]),"-")</f>
        <v>1</v>
      </c>
      <c r="J2555" s="38">
        <f>IFERROR(COUNTIF([1]FishDiscoveryGroup!$A:$X,표1[[#This Row],[명칭]]),"-")</f>
        <v>0</v>
      </c>
      <c r="K2555" s="38" t="str">
        <f>IFERROR(COUNTIF([2]Town!$B:$B,표1[[#This Row],[명칭]]),"-")</f>
        <v>-</v>
      </c>
      <c r="L2555" s="38">
        <f>IFERROR(COUNTIF([1]Village!$BR:$BR,표1[[#This Row],[명칭]]),"-")</f>
        <v>0</v>
      </c>
      <c r="M2555" s="38">
        <f>COUNTIF(퀘스트!B:B,표1[[#This Row],[명칭]])</f>
        <v>0</v>
      </c>
      <c r="N2555" s="65">
        <f>COUNTIF([1]VillageDiscoveryGroup!$C:$C,표1[[#This Row],[명칭]])</f>
        <v>0</v>
      </c>
      <c r="O2555" s="65">
        <f>SUM(표1[[#This Row],[해양탐색]:[마을탐험]])</f>
        <v>1</v>
      </c>
    </row>
    <row r="2556" spans="2:15" ht="13.5" customHeight="1" x14ac:dyDescent="0.3">
      <c r="B2556" s="9">
        <f>[1]Discovery!A2562</f>
        <v>70417048</v>
      </c>
      <c r="C2556" s="9" t="str">
        <f>[1]Discovery!B2562</f>
        <v>린디스판 복음서</v>
      </c>
      <c r="D2556" s="9" t="str">
        <f>[1]Discovery!E2562</f>
        <v>유물</v>
      </c>
      <c r="E2556" s="9" t="str">
        <f>[1]Discovery!C2562</f>
        <v>종교유물</v>
      </c>
      <c r="F2556" s="9" t="str">
        <f>[1]Discovery!G2562</f>
        <v>A</v>
      </c>
      <c r="G2556" s="9" t="str">
        <f>IFERROR(VLOOKUP(표1[[#This Row],[명칭]],'문화권 정리'!C:D,2,FALSE),"-")</f>
        <v>북유럽</v>
      </c>
      <c r="H2556" s="38" t="str">
        <f>IFERROR(COUNTIF([2]OceanDoodad!$Y:$Y,표1[[#This Row],[명칭]]),"-")</f>
        <v>-</v>
      </c>
      <c r="I2556" s="38">
        <f>IFERROR(COUNTIF([1]AdventureDiscoveryGroup!$D$8:$AW$92,표1[[#This Row],[명칭]]),"-")</f>
        <v>1</v>
      </c>
      <c r="J2556" s="38">
        <f>IFERROR(COUNTIF([1]FishDiscoveryGroup!$A:$X,표1[[#This Row],[명칭]]),"-")</f>
        <v>0</v>
      </c>
      <c r="K2556" s="38" t="str">
        <f>IFERROR(COUNTIF([2]Town!$B:$B,표1[[#This Row],[명칭]]),"-")</f>
        <v>-</v>
      </c>
      <c r="L2556" s="38">
        <f>IFERROR(COUNTIF([1]Village!$BR:$BR,표1[[#This Row],[명칭]]),"-")</f>
        <v>0</v>
      </c>
      <c r="M2556" s="38">
        <f>COUNTIF(퀘스트!B:B,표1[[#This Row],[명칭]])</f>
        <v>0</v>
      </c>
      <c r="N2556" s="65">
        <f>COUNTIF([1]VillageDiscoveryGroup!$C:$C,표1[[#This Row],[명칭]])</f>
        <v>0</v>
      </c>
      <c r="O2556" s="65">
        <f>SUM(표1[[#This Row],[해양탐색]:[마을탐험]])</f>
        <v>1</v>
      </c>
    </row>
    <row r="2557" spans="2:15" ht="13.5" customHeight="1" x14ac:dyDescent="0.3">
      <c r="B2557" s="9">
        <f>[1]Discovery!A2563</f>
        <v>70417049</v>
      </c>
      <c r="C2557" s="9" t="str">
        <f>[1]Discovery!B2563</f>
        <v>마두금</v>
      </c>
      <c r="D2557" s="9" t="str">
        <f>[1]Discovery!E2563</f>
        <v>보물</v>
      </c>
      <c r="E2557" s="9" t="str">
        <f>[1]Discovery!C2563</f>
        <v>보물</v>
      </c>
      <c r="F2557" s="9" t="str">
        <f>[1]Discovery!G2563</f>
        <v>D</v>
      </c>
      <c r="G2557" s="9" t="str">
        <f>IFERROR(VLOOKUP(표1[[#This Row],[명칭]],'문화권 정리'!C:D,2,FALSE),"-")</f>
        <v>동아시아</v>
      </c>
      <c r="H2557" s="38" t="str">
        <f>IFERROR(COUNTIF([2]OceanDoodad!$Y:$Y,표1[[#This Row],[명칭]]),"-")</f>
        <v>-</v>
      </c>
      <c r="I2557" s="38">
        <f>IFERROR(COUNTIF([1]AdventureDiscoveryGroup!$D$8:$AW$92,표1[[#This Row],[명칭]]),"-")</f>
        <v>1</v>
      </c>
      <c r="J2557" s="38">
        <f>IFERROR(COUNTIF([1]FishDiscoveryGroup!$A:$X,표1[[#This Row],[명칭]]),"-")</f>
        <v>0</v>
      </c>
      <c r="K2557" s="38" t="str">
        <f>IFERROR(COUNTIF([2]Town!$B:$B,표1[[#This Row],[명칭]]),"-")</f>
        <v>-</v>
      </c>
      <c r="L2557" s="38">
        <f>IFERROR(COUNTIF([1]Village!$BR:$BR,표1[[#This Row],[명칭]]),"-")</f>
        <v>0</v>
      </c>
      <c r="M2557" s="38">
        <f>COUNTIF(퀘스트!B:B,표1[[#This Row],[명칭]])</f>
        <v>0</v>
      </c>
      <c r="N2557" s="65">
        <f>COUNTIF([1]VillageDiscoveryGroup!$C:$C,표1[[#This Row],[명칭]])</f>
        <v>0</v>
      </c>
      <c r="O2557" s="65">
        <f>SUM(표1[[#This Row],[해양탐색]:[마을탐험]])</f>
        <v>1</v>
      </c>
    </row>
    <row r="2558" spans="2:15" ht="13.5" customHeight="1" x14ac:dyDescent="0.3">
      <c r="B2558" s="9">
        <f>[1]Discovery!A2564</f>
        <v>70417050</v>
      </c>
      <c r="C2558" s="9" t="str">
        <f>[1]Discovery!B2564</f>
        <v>마쿠라노소시</v>
      </c>
      <c r="D2558" s="9" t="str">
        <f>[1]Discovery!E2564</f>
        <v>보물</v>
      </c>
      <c r="E2558" s="9" t="str">
        <f>[1]Discovery!C2564</f>
        <v>보물</v>
      </c>
      <c r="F2558" s="9" t="str">
        <f>[1]Discovery!G2564</f>
        <v>B</v>
      </c>
      <c r="G2558" s="9" t="str">
        <f>IFERROR(VLOOKUP(표1[[#This Row],[명칭]],'문화권 정리'!C:D,2,FALSE),"-")</f>
        <v>동아시아</v>
      </c>
      <c r="H2558" s="38" t="str">
        <f>IFERROR(COUNTIF([2]OceanDoodad!$Y:$Y,표1[[#This Row],[명칭]]),"-")</f>
        <v>-</v>
      </c>
      <c r="I2558" s="38">
        <f>IFERROR(COUNTIF([1]AdventureDiscoveryGroup!$D$8:$AW$92,표1[[#This Row],[명칭]]),"-")</f>
        <v>0</v>
      </c>
      <c r="J2558" s="38">
        <f>IFERROR(COUNTIF([1]FishDiscoveryGroup!$A:$X,표1[[#This Row],[명칭]]),"-")</f>
        <v>0</v>
      </c>
      <c r="K2558" s="38" t="str">
        <f>IFERROR(COUNTIF([2]Town!$B:$B,표1[[#This Row],[명칭]]),"-")</f>
        <v>-</v>
      </c>
      <c r="L2558" s="38">
        <f>IFERROR(COUNTIF([1]Village!$BR:$BR,표1[[#This Row],[명칭]]),"-")</f>
        <v>0</v>
      </c>
      <c r="M2558" s="38">
        <f>COUNTIF(퀘스트!B:B,표1[[#This Row],[명칭]])</f>
        <v>0</v>
      </c>
      <c r="N2558" s="65">
        <f>COUNTIF([1]VillageDiscoveryGroup!$C:$C,표1[[#This Row],[명칭]])</f>
        <v>0</v>
      </c>
      <c r="O2558" s="65">
        <f>SUM(표1[[#This Row],[해양탐색]:[마을탐험]])</f>
        <v>0</v>
      </c>
    </row>
    <row r="2559" spans="2:15" ht="13.5" customHeight="1" x14ac:dyDescent="0.3">
      <c r="B2559" s="9">
        <f>[1]Discovery!A2565</f>
        <v>70417051</v>
      </c>
      <c r="C2559" s="9" t="str">
        <f>[1]Discovery!B2565</f>
        <v>마하바라타</v>
      </c>
      <c r="D2559" s="9" t="str">
        <f>[1]Discovery!E2565</f>
        <v>보물</v>
      </c>
      <c r="E2559" s="9" t="str">
        <f>[1]Discovery!C2565</f>
        <v>보물</v>
      </c>
      <c r="F2559" s="9" t="str">
        <f>[1]Discovery!G2565</f>
        <v>B</v>
      </c>
      <c r="G2559" s="9" t="str">
        <f>IFERROR(VLOOKUP(표1[[#This Row],[명칭]],'문화권 정리'!C:D,2,FALSE),"-")</f>
        <v>남아시아</v>
      </c>
      <c r="H2559" s="38" t="str">
        <f>IFERROR(COUNTIF([2]OceanDoodad!$Y:$Y,표1[[#This Row],[명칭]]),"-")</f>
        <v>-</v>
      </c>
      <c r="I2559" s="38">
        <f>IFERROR(COUNTIF([1]AdventureDiscoveryGroup!$D$8:$AW$92,표1[[#This Row],[명칭]]),"-")</f>
        <v>0</v>
      </c>
      <c r="J2559" s="38">
        <f>IFERROR(COUNTIF([1]FishDiscoveryGroup!$A:$X,표1[[#This Row],[명칭]]),"-")</f>
        <v>0</v>
      </c>
      <c r="K2559" s="38" t="str">
        <f>IFERROR(COUNTIF([2]Town!$B:$B,표1[[#This Row],[명칭]]),"-")</f>
        <v>-</v>
      </c>
      <c r="L2559" s="38">
        <f>IFERROR(COUNTIF([1]Village!$BR:$BR,표1[[#This Row],[명칭]]),"-")</f>
        <v>0</v>
      </c>
      <c r="M2559" s="38">
        <f>COUNTIF(퀘스트!B:B,표1[[#This Row],[명칭]])</f>
        <v>0</v>
      </c>
      <c r="N2559" s="65">
        <f>COUNTIF([1]VillageDiscoveryGroup!$C:$C,표1[[#This Row],[명칭]])</f>
        <v>0</v>
      </c>
      <c r="O2559" s="65">
        <f>SUM(표1[[#This Row],[해양탐색]:[마을탐험]])</f>
        <v>0</v>
      </c>
    </row>
    <row r="2560" spans="2:15" ht="13.5" customHeight="1" x14ac:dyDescent="0.3">
      <c r="B2560" s="9">
        <f>[1]Discovery!A2566</f>
        <v>70417052</v>
      </c>
      <c r="C2560" s="9" t="str">
        <f>[1]Discovery!B2566</f>
        <v>만엽집</v>
      </c>
      <c r="D2560" s="9" t="str">
        <f>[1]Discovery!E2566</f>
        <v>보물</v>
      </c>
      <c r="E2560" s="9" t="str">
        <f>[1]Discovery!C2566</f>
        <v>보물</v>
      </c>
      <c r="F2560" s="9" t="str">
        <f>[1]Discovery!G2566</f>
        <v>C</v>
      </c>
      <c r="G2560" s="9" t="str">
        <f>IFERROR(VLOOKUP(표1[[#This Row],[명칭]],'문화권 정리'!C:D,2,FALSE),"-")</f>
        <v>동아시아</v>
      </c>
      <c r="H2560" s="38" t="str">
        <f>IFERROR(COUNTIF([2]OceanDoodad!$Y:$Y,표1[[#This Row],[명칭]]),"-")</f>
        <v>-</v>
      </c>
      <c r="I2560" s="38">
        <f>IFERROR(COUNTIF([1]AdventureDiscoveryGroup!$D$8:$AW$92,표1[[#This Row],[명칭]]),"-")</f>
        <v>1</v>
      </c>
      <c r="J2560" s="38">
        <f>IFERROR(COUNTIF([1]FishDiscoveryGroup!$A:$X,표1[[#This Row],[명칭]]),"-")</f>
        <v>0</v>
      </c>
      <c r="K2560" s="38" t="str">
        <f>IFERROR(COUNTIF([2]Town!$B:$B,표1[[#This Row],[명칭]]),"-")</f>
        <v>-</v>
      </c>
      <c r="L2560" s="38">
        <f>IFERROR(COUNTIF([1]Village!$BR:$BR,표1[[#This Row],[명칭]]),"-")</f>
        <v>0</v>
      </c>
      <c r="M2560" s="38">
        <f>COUNTIF(퀘스트!B:B,표1[[#This Row],[명칭]])</f>
        <v>0</v>
      </c>
      <c r="N2560" s="65">
        <f>COUNTIF([1]VillageDiscoveryGroup!$C:$C,표1[[#This Row],[명칭]])</f>
        <v>0</v>
      </c>
      <c r="O2560" s="65">
        <f>SUM(표1[[#This Row],[해양탐색]:[마을탐험]])</f>
        <v>1</v>
      </c>
    </row>
    <row r="2561" spans="2:15" ht="13.5" customHeight="1" x14ac:dyDescent="0.3">
      <c r="B2561" s="9">
        <f>[1]Discovery!A2567</f>
        <v>70417053</v>
      </c>
      <c r="C2561" s="9" t="str">
        <f>[1]Discovery!B2567</f>
        <v>말린체의 목걸이</v>
      </c>
      <c r="D2561" s="9" t="str">
        <f>[1]Discovery!E2567</f>
        <v>보물</v>
      </c>
      <c r="E2561" s="9" t="str">
        <f>[1]Discovery!C2567</f>
        <v>보물</v>
      </c>
      <c r="F2561" s="9" t="str">
        <f>[1]Discovery!G2567</f>
        <v>B</v>
      </c>
      <c r="G2561" s="9" t="str">
        <f>IFERROR(VLOOKUP(표1[[#This Row],[명칭]],'문화권 정리'!C:D,2,FALSE),"-")</f>
        <v>지중해</v>
      </c>
      <c r="H2561" s="38" t="str">
        <f>IFERROR(COUNTIF([2]OceanDoodad!$Y:$Y,표1[[#This Row],[명칭]]),"-")</f>
        <v>-</v>
      </c>
      <c r="I2561" s="38">
        <f>IFERROR(COUNTIF([1]AdventureDiscoveryGroup!$D$8:$AW$92,표1[[#This Row],[명칭]]),"-")</f>
        <v>0</v>
      </c>
      <c r="J2561" s="38">
        <f>IFERROR(COUNTIF([1]FishDiscoveryGroup!$A:$X,표1[[#This Row],[명칭]]),"-")</f>
        <v>0</v>
      </c>
      <c r="K2561" s="38" t="str">
        <f>IFERROR(COUNTIF([2]Town!$B:$B,표1[[#This Row],[명칭]]),"-")</f>
        <v>-</v>
      </c>
      <c r="L2561" s="38">
        <f>IFERROR(COUNTIF([1]Village!$BR:$BR,표1[[#This Row],[명칭]]),"-")</f>
        <v>0</v>
      </c>
      <c r="M2561" s="38">
        <f>COUNTIF(퀘스트!B:B,표1[[#This Row],[명칭]])</f>
        <v>1</v>
      </c>
      <c r="N2561" s="65">
        <f>COUNTIF([1]VillageDiscoveryGroup!$C:$C,표1[[#This Row],[명칭]])</f>
        <v>0</v>
      </c>
      <c r="O2561" s="65">
        <f>SUM(표1[[#This Row],[해양탐색]:[마을탐험]])</f>
        <v>1</v>
      </c>
    </row>
    <row r="2562" spans="2:15" ht="13.5" customHeight="1" x14ac:dyDescent="0.3">
      <c r="B2562" s="9">
        <f>[1]Discovery!A2568</f>
        <v>70417054</v>
      </c>
      <c r="C2562" s="9" t="str">
        <f>[1]Discovery!B2568</f>
        <v>맘루크의 커틀러스</v>
      </c>
      <c r="D2562" s="9" t="str">
        <f>[1]Discovery!E2568</f>
        <v>유물</v>
      </c>
      <c r="E2562" s="9" t="str">
        <f>[1]Discovery!C2568</f>
        <v>역사유물</v>
      </c>
      <c r="F2562" s="9" t="str">
        <f>[1]Discovery!G2568</f>
        <v>C</v>
      </c>
      <c r="G2562" s="9" t="str">
        <f>IFERROR(VLOOKUP(표1[[#This Row],[명칭]],'문화권 정리'!C:D,2,FALSE),"-")</f>
        <v>서남아시아</v>
      </c>
      <c r="H2562" s="38" t="str">
        <f>IFERROR(COUNTIF([2]OceanDoodad!$Y:$Y,표1[[#This Row],[명칭]]),"-")</f>
        <v>-</v>
      </c>
      <c r="I2562" s="38">
        <f>IFERROR(COUNTIF([1]AdventureDiscoveryGroup!$D$8:$AW$92,표1[[#This Row],[명칭]]),"-")</f>
        <v>0</v>
      </c>
      <c r="J2562" s="38">
        <f>IFERROR(COUNTIF([1]FishDiscoveryGroup!$A:$X,표1[[#This Row],[명칭]]),"-")</f>
        <v>0</v>
      </c>
      <c r="K2562" s="38" t="str">
        <f>IFERROR(COUNTIF([2]Town!$B:$B,표1[[#This Row],[명칭]]),"-")</f>
        <v>-</v>
      </c>
      <c r="L2562" s="38">
        <f>IFERROR(COUNTIF([1]Village!$BR:$BR,표1[[#This Row],[명칭]]),"-")</f>
        <v>0</v>
      </c>
      <c r="M2562" s="38">
        <f>COUNTIF(퀘스트!B:B,표1[[#This Row],[명칭]])</f>
        <v>0</v>
      </c>
      <c r="N2562" s="65">
        <f>COUNTIF([1]VillageDiscoveryGroup!$C:$C,표1[[#This Row],[명칭]])</f>
        <v>0</v>
      </c>
      <c r="O2562" s="65">
        <f>SUM(표1[[#This Row],[해양탐색]:[마을탐험]])</f>
        <v>0</v>
      </c>
    </row>
    <row r="2563" spans="2:15" ht="13.5" customHeight="1" x14ac:dyDescent="0.3">
      <c r="B2563" s="9">
        <f>[1]Discovery!A2569</f>
        <v>70417055</v>
      </c>
      <c r="C2563" s="9" t="str">
        <f>[1]Discovery!B2569</f>
        <v>멀린의 지팡이</v>
      </c>
      <c r="D2563" s="9" t="str">
        <f>[1]Discovery!E2569</f>
        <v>보물</v>
      </c>
      <c r="E2563" s="9" t="str">
        <f>[1]Discovery!C2569</f>
        <v>보물</v>
      </c>
      <c r="F2563" s="9" t="str">
        <f>[1]Discovery!G2569</f>
        <v>S</v>
      </c>
      <c r="G2563" s="9" t="str">
        <f>IFERROR(VLOOKUP(표1[[#This Row],[명칭]],'문화권 정리'!C:D,2,FALSE),"-")</f>
        <v>브리튼</v>
      </c>
      <c r="H2563" s="38" t="str">
        <f>IFERROR(COUNTIF([2]OceanDoodad!$Y:$Y,표1[[#This Row],[명칭]]),"-")</f>
        <v>-</v>
      </c>
      <c r="I2563" s="38">
        <f>IFERROR(COUNTIF([1]AdventureDiscoveryGroup!$D$8:$AW$92,표1[[#This Row],[명칭]]),"-")</f>
        <v>0</v>
      </c>
      <c r="J2563" s="38">
        <f>IFERROR(COUNTIF([1]FishDiscoveryGroup!$A:$X,표1[[#This Row],[명칭]]),"-")</f>
        <v>0</v>
      </c>
      <c r="K2563" s="38" t="str">
        <f>IFERROR(COUNTIF([2]Town!$B:$B,표1[[#This Row],[명칭]]),"-")</f>
        <v>-</v>
      </c>
      <c r="L2563" s="38">
        <f>IFERROR(COUNTIF([1]Village!$BR:$BR,표1[[#This Row],[명칭]]),"-")</f>
        <v>0</v>
      </c>
      <c r="M2563" s="38">
        <f>COUNTIF(퀘스트!B:B,표1[[#This Row],[명칭]])</f>
        <v>1</v>
      </c>
      <c r="N2563" s="65">
        <f>COUNTIF([1]VillageDiscoveryGroup!$C:$C,표1[[#This Row],[명칭]])</f>
        <v>0</v>
      </c>
      <c r="O2563" s="65">
        <f>SUM(표1[[#This Row],[해양탐색]:[마을탐험]])</f>
        <v>1</v>
      </c>
    </row>
    <row r="2564" spans="2:15" ht="13.5" customHeight="1" x14ac:dyDescent="0.3">
      <c r="B2564" s="9">
        <f>[1]Discovery!A2570</f>
        <v>70417059</v>
      </c>
      <c r="C2564" s="9" t="str">
        <f>[1]Discovery!B2570</f>
        <v>몬테수마 2세의 지팡이</v>
      </c>
      <c r="D2564" s="9" t="str">
        <f>[1]Discovery!E2570</f>
        <v>보물</v>
      </c>
      <c r="E2564" s="9" t="str">
        <f>[1]Discovery!C2570</f>
        <v>보물</v>
      </c>
      <c r="F2564" s="9" t="str">
        <f>[1]Discovery!G2570</f>
        <v>S</v>
      </c>
      <c r="G2564" s="9" t="str">
        <f>IFERROR(VLOOKUP(표1[[#This Row],[명칭]],'문화권 정리'!C:D,2,FALSE),"-")</f>
        <v>중앙아메리카</v>
      </c>
      <c r="H2564" s="38" t="str">
        <f>IFERROR(COUNTIF([2]OceanDoodad!$Y:$Y,표1[[#This Row],[명칭]]),"-")</f>
        <v>-</v>
      </c>
      <c r="I2564" s="38">
        <f>IFERROR(COUNTIF([1]AdventureDiscoveryGroup!$D$8:$AW$92,표1[[#This Row],[명칭]]),"-")</f>
        <v>0</v>
      </c>
      <c r="J2564" s="38">
        <f>IFERROR(COUNTIF([1]FishDiscoveryGroup!$A:$X,표1[[#This Row],[명칭]]),"-")</f>
        <v>0</v>
      </c>
      <c r="K2564" s="38" t="str">
        <f>IFERROR(COUNTIF([2]Town!$B:$B,표1[[#This Row],[명칭]]),"-")</f>
        <v>-</v>
      </c>
      <c r="L2564" s="38">
        <f>IFERROR(COUNTIF([1]Village!$BR:$BR,표1[[#This Row],[명칭]]),"-")</f>
        <v>0</v>
      </c>
      <c r="M2564" s="38">
        <f>COUNTIF(퀘스트!B:B,표1[[#This Row],[명칭]])</f>
        <v>0</v>
      </c>
      <c r="N2564" s="65">
        <f>COUNTIF([1]VillageDiscoveryGroup!$C:$C,표1[[#This Row],[명칭]])</f>
        <v>0</v>
      </c>
      <c r="O2564" s="65">
        <f>SUM(표1[[#This Row],[해양탐색]:[마을탐험]])</f>
        <v>0</v>
      </c>
    </row>
    <row r="2565" spans="2:15" ht="13.5" customHeight="1" x14ac:dyDescent="0.3">
      <c r="B2565" s="9">
        <f>[1]Discovery!A2571</f>
        <v>70417060</v>
      </c>
      <c r="C2565" s="9" t="str">
        <f>[1]Discovery!B2571</f>
        <v>무라마사</v>
      </c>
      <c r="D2565" s="9" t="str">
        <f>[1]Discovery!E2571</f>
        <v>보물</v>
      </c>
      <c r="E2565" s="9" t="str">
        <f>[1]Discovery!C2571</f>
        <v>보물</v>
      </c>
      <c r="F2565" s="9" t="str">
        <f>[1]Discovery!G2571</f>
        <v>S</v>
      </c>
      <c r="G2565" s="9" t="str">
        <f>IFERROR(VLOOKUP(표1[[#This Row],[명칭]],'문화권 정리'!C:D,2,FALSE),"-")</f>
        <v>동아시아</v>
      </c>
      <c r="H2565" s="38" t="str">
        <f>IFERROR(COUNTIF([2]OceanDoodad!$Y:$Y,표1[[#This Row],[명칭]]),"-")</f>
        <v>-</v>
      </c>
      <c r="I2565" s="38">
        <f>IFERROR(COUNTIF([1]AdventureDiscoveryGroup!$D$8:$AW$92,표1[[#This Row],[명칭]]),"-")</f>
        <v>0</v>
      </c>
      <c r="J2565" s="38">
        <f>IFERROR(COUNTIF([1]FishDiscoveryGroup!$A:$X,표1[[#This Row],[명칭]]),"-")</f>
        <v>0</v>
      </c>
      <c r="K2565" s="38" t="str">
        <f>IFERROR(COUNTIF([2]Town!$B:$B,표1[[#This Row],[명칭]]),"-")</f>
        <v>-</v>
      </c>
      <c r="L2565" s="38">
        <f>IFERROR(COUNTIF([1]Village!$BR:$BR,표1[[#This Row],[명칭]]),"-")</f>
        <v>0</v>
      </c>
      <c r="M2565" s="38">
        <f>COUNTIF(퀘스트!B:B,표1[[#This Row],[명칭]])</f>
        <v>0</v>
      </c>
      <c r="N2565" s="65">
        <f>COUNTIF([1]VillageDiscoveryGroup!$C:$C,표1[[#This Row],[명칭]])</f>
        <v>0</v>
      </c>
      <c r="O2565" s="65">
        <f>SUM(표1[[#This Row],[해양탐색]:[마을탐험]])</f>
        <v>0</v>
      </c>
    </row>
    <row r="2566" spans="2:15" ht="13.5" customHeight="1" x14ac:dyDescent="0.3">
      <c r="B2566" s="9">
        <f>[1]Discovery!A2572</f>
        <v>70417061</v>
      </c>
      <c r="C2566" s="9" t="str">
        <f>[1]Discovery!B2572</f>
        <v>무캇디마</v>
      </c>
      <c r="D2566" s="9" t="str">
        <f>[1]Discovery!E2572</f>
        <v>유물</v>
      </c>
      <c r="E2566" s="9" t="str">
        <f>[1]Discovery!C2572</f>
        <v>역사유물</v>
      </c>
      <c r="F2566" s="9" t="str">
        <f>[1]Discovery!G2572</f>
        <v>S</v>
      </c>
      <c r="G2566" s="9" t="str">
        <f>IFERROR(VLOOKUP(표1[[#This Row],[명칭]],'문화권 정리'!C:D,2,FALSE),"-")</f>
        <v>서남아시아</v>
      </c>
      <c r="H2566" s="38" t="str">
        <f>IFERROR(COUNTIF([2]OceanDoodad!$Y:$Y,표1[[#This Row],[명칭]]),"-")</f>
        <v>-</v>
      </c>
      <c r="I2566" s="38">
        <f>IFERROR(COUNTIF([1]AdventureDiscoveryGroup!$D$8:$AW$92,표1[[#This Row],[명칭]]),"-")</f>
        <v>1</v>
      </c>
      <c r="J2566" s="38">
        <f>IFERROR(COUNTIF([1]FishDiscoveryGroup!$A:$X,표1[[#This Row],[명칭]]),"-")</f>
        <v>0</v>
      </c>
      <c r="K2566" s="38" t="str">
        <f>IFERROR(COUNTIF([2]Town!$B:$B,표1[[#This Row],[명칭]]),"-")</f>
        <v>-</v>
      </c>
      <c r="L2566" s="38">
        <f>IFERROR(COUNTIF([1]Village!$BR:$BR,표1[[#This Row],[명칭]]),"-")</f>
        <v>0</v>
      </c>
      <c r="M2566" s="38">
        <f>COUNTIF(퀘스트!B:B,표1[[#This Row],[명칭]])</f>
        <v>0</v>
      </c>
      <c r="N2566" s="65">
        <f>COUNTIF([1]VillageDiscoveryGroup!$C:$C,표1[[#This Row],[명칭]])</f>
        <v>0</v>
      </c>
      <c r="O2566" s="65">
        <f>SUM(표1[[#This Row],[해양탐색]:[마을탐험]])</f>
        <v>1</v>
      </c>
    </row>
    <row r="2567" spans="2:15" ht="13.5" customHeight="1" x14ac:dyDescent="0.3">
      <c r="B2567" s="9">
        <f>[1]Discovery!A2573</f>
        <v>70417063</v>
      </c>
      <c r="C2567" s="9" t="str">
        <f>[1]Discovery!B2573</f>
        <v>미스테카의 귀걸이</v>
      </c>
      <c r="D2567" s="9" t="str">
        <f>[1]Discovery!E2573</f>
        <v>보물</v>
      </c>
      <c r="E2567" s="9" t="str">
        <f>[1]Discovery!C2573</f>
        <v>보물</v>
      </c>
      <c r="F2567" s="9" t="str">
        <f>[1]Discovery!G2573</f>
        <v>C</v>
      </c>
      <c r="G2567" s="9" t="str">
        <f>IFERROR(VLOOKUP(표1[[#This Row],[명칭]],'문화권 정리'!C:D,2,FALSE),"-")</f>
        <v>중앙아메리카</v>
      </c>
      <c r="H2567" s="38" t="str">
        <f>IFERROR(COUNTIF([2]OceanDoodad!$Y:$Y,표1[[#This Row],[명칭]]),"-")</f>
        <v>-</v>
      </c>
      <c r="I2567" s="38">
        <f>IFERROR(COUNTIF([1]AdventureDiscoveryGroup!$D$8:$AW$92,표1[[#This Row],[명칭]]),"-")</f>
        <v>0</v>
      </c>
      <c r="J2567" s="38">
        <f>IFERROR(COUNTIF([1]FishDiscoveryGroup!$A:$X,표1[[#This Row],[명칭]]),"-")</f>
        <v>0</v>
      </c>
      <c r="K2567" s="38" t="str">
        <f>IFERROR(COUNTIF([2]Town!$B:$B,표1[[#This Row],[명칭]]),"-")</f>
        <v>-</v>
      </c>
      <c r="L2567" s="38">
        <f>IFERROR(COUNTIF([1]Village!$BR:$BR,표1[[#This Row],[명칭]]),"-")</f>
        <v>0</v>
      </c>
      <c r="M2567" s="38">
        <f>COUNTIF(퀘스트!B:B,표1[[#This Row],[명칭]])</f>
        <v>0</v>
      </c>
      <c r="N2567" s="65">
        <f>COUNTIF([1]VillageDiscoveryGroup!$C:$C,표1[[#This Row],[명칭]])</f>
        <v>1</v>
      </c>
      <c r="O2567" s="65">
        <f>SUM(표1[[#This Row],[해양탐색]:[마을탐험]])</f>
        <v>1</v>
      </c>
    </row>
    <row r="2568" spans="2:15" ht="13.5" customHeight="1" x14ac:dyDescent="0.3">
      <c r="B2568" s="9">
        <f>[1]Discovery!A2574</f>
        <v>70417066</v>
      </c>
      <c r="C2568" s="9" t="str">
        <f>[1]Discovery!B2574</f>
        <v>발리하</v>
      </c>
      <c r="D2568" s="9" t="str">
        <f>[1]Discovery!E2574</f>
        <v>보물</v>
      </c>
      <c r="E2568" s="9" t="str">
        <f>[1]Discovery!C2574</f>
        <v>보물</v>
      </c>
      <c r="F2568" s="9" t="str">
        <f>[1]Discovery!G2574</f>
        <v>B</v>
      </c>
      <c r="G2568" s="9" t="str">
        <f>IFERROR(VLOOKUP(표1[[#This Row],[명칭]],'문화권 정리'!C:D,2,FALSE),"-")</f>
        <v>동아프리카</v>
      </c>
      <c r="H2568" s="38" t="str">
        <f>IFERROR(COUNTIF([2]OceanDoodad!$Y:$Y,표1[[#This Row],[명칭]]),"-")</f>
        <v>-</v>
      </c>
      <c r="I2568" s="38">
        <f>IFERROR(COUNTIF([1]AdventureDiscoveryGroup!$D$8:$AW$92,표1[[#This Row],[명칭]]),"-")</f>
        <v>0</v>
      </c>
      <c r="J2568" s="38">
        <f>IFERROR(COUNTIF([1]FishDiscoveryGroup!$A:$X,표1[[#This Row],[명칭]]),"-")</f>
        <v>0</v>
      </c>
      <c r="K2568" s="38" t="str">
        <f>IFERROR(COUNTIF([2]Town!$B:$B,표1[[#This Row],[명칭]]),"-")</f>
        <v>-</v>
      </c>
      <c r="L2568" s="38">
        <f>IFERROR(COUNTIF([1]Village!$BR:$BR,표1[[#This Row],[명칭]]),"-")</f>
        <v>0</v>
      </c>
      <c r="M2568" s="38">
        <f>COUNTIF(퀘스트!B:B,표1[[#This Row],[명칭]])</f>
        <v>0</v>
      </c>
      <c r="N2568" s="65">
        <f>COUNTIF([1]VillageDiscoveryGroup!$C:$C,표1[[#This Row],[명칭]])</f>
        <v>1</v>
      </c>
      <c r="O2568" s="65">
        <f>SUM(표1[[#This Row],[해양탐색]:[마을탐험]])</f>
        <v>1</v>
      </c>
    </row>
    <row r="2569" spans="2:15" ht="13.5" customHeight="1" x14ac:dyDescent="0.3">
      <c r="B2569" s="9">
        <f>[1]Discovery!A2575</f>
        <v>70417067</v>
      </c>
      <c r="C2569" s="9" t="str">
        <f>[1]Discovery!B2575</f>
        <v>발뭉</v>
      </c>
      <c r="D2569" s="9" t="str">
        <f>[1]Discovery!E2575</f>
        <v>보물</v>
      </c>
      <c r="E2569" s="9" t="str">
        <f>[1]Discovery!C2575</f>
        <v>보물</v>
      </c>
      <c r="F2569" s="9" t="str">
        <f>[1]Discovery!G2575</f>
        <v>S</v>
      </c>
      <c r="G2569" s="9" t="str">
        <f>IFERROR(VLOOKUP(표1[[#This Row],[명칭]],'문화권 정리'!C:D,2,FALSE),"-")</f>
        <v>북유럽</v>
      </c>
      <c r="H2569" s="38" t="str">
        <f>IFERROR(COUNTIF([2]OceanDoodad!$Y:$Y,표1[[#This Row],[명칭]]),"-")</f>
        <v>-</v>
      </c>
      <c r="I2569" s="38">
        <f>IFERROR(COUNTIF([1]AdventureDiscoveryGroup!$D$8:$AW$92,표1[[#This Row],[명칭]]),"-")</f>
        <v>0</v>
      </c>
      <c r="J2569" s="38">
        <f>IFERROR(COUNTIF([1]FishDiscoveryGroup!$A:$X,표1[[#This Row],[명칭]]),"-")</f>
        <v>0</v>
      </c>
      <c r="K2569" s="38" t="str">
        <f>IFERROR(COUNTIF([2]Town!$B:$B,표1[[#This Row],[명칭]]),"-")</f>
        <v>-</v>
      </c>
      <c r="L2569" s="38">
        <f>IFERROR(COUNTIF([1]Village!$BR:$BR,표1[[#This Row],[명칭]]),"-")</f>
        <v>0</v>
      </c>
      <c r="M2569" s="38">
        <f>COUNTIF(퀘스트!B:B,표1[[#This Row],[명칭]])</f>
        <v>1</v>
      </c>
      <c r="N2569" s="65">
        <f>COUNTIF([1]VillageDiscoveryGroup!$C:$C,표1[[#This Row],[명칭]])</f>
        <v>0</v>
      </c>
      <c r="O2569" s="65">
        <f>SUM(표1[[#This Row],[해양탐색]:[마을탐험]])</f>
        <v>1</v>
      </c>
    </row>
    <row r="2570" spans="2:15" ht="13.5" customHeight="1" x14ac:dyDescent="0.3">
      <c r="B2570" s="9">
        <f>[1]Discovery!A2576</f>
        <v>70417068</v>
      </c>
      <c r="C2570" s="9" t="str">
        <f>[1]Discovery!B2576</f>
        <v>방장기</v>
      </c>
      <c r="D2570" s="9" t="str">
        <f>[1]Discovery!E2576</f>
        <v>유물</v>
      </c>
      <c r="E2570" s="9" t="str">
        <f>[1]Discovery!C2576</f>
        <v>역사유물</v>
      </c>
      <c r="F2570" s="9" t="str">
        <f>[1]Discovery!G2576</f>
        <v>C</v>
      </c>
      <c r="G2570" s="9" t="str">
        <f>IFERROR(VLOOKUP(표1[[#This Row],[명칭]],'문화권 정리'!C:D,2,FALSE),"-")</f>
        <v>동아시아</v>
      </c>
      <c r="H2570" s="38" t="str">
        <f>IFERROR(COUNTIF([2]OceanDoodad!$Y:$Y,표1[[#This Row],[명칭]]),"-")</f>
        <v>-</v>
      </c>
      <c r="I2570" s="38">
        <f>IFERROR(COUNTIF([1]AdventureDiscoveryGroup!$D$8:$AW$92,표1[[#This Row],[명칭]]),"-")</f>
        <v>1</v>
      </c>
      <c r="J2570" s="38">
        <f>IFERROR(COUNTIF([1]FishDiscoveryGroup!$A:$X,표1[[#This Row],[명칭]]),"-")</f>
        <v>0</v>
      </c>
      <c r="K2570" s="38" t="str">
        <f>IFERROR(COUNTIF([2]Town!$B:$B,표1[[#This Row],[명칭]]),"-")</f>
        <v>-</v>
      </c>
      <c r="L2570" s="38">
        <f>IFERROR(COUNTIF([1]Village!$BR:$BR,표1[[#This Row],[명칭]]),"-")</f>
        <v>0</v>
      </c>
      <c r="M2570" s="38">
        <f>COUNTIF(퀘스트!B:B,표1[[#This Row],[명칭]])</f>
        <v>0</v>
      </c>
      <c r="N2570" s="65">
        <f>COUNTIF([1]VillageDiscoveryGroup!$C:$C,표1[[#This Row],[명칭]])</f>
        <v>0</v>
      </c>
      <c r="O2570" s="65">
        <f>SUM(표1[[#This Row],[해양탐색]:[마을탐험]])</f>
        <v>1</v>
      </c>
    </row>
    <row r="2571" spans="2:15" ht="13.5" customHeight="1" x14ac:dyDescent="0.3">
      <c r="B2571" s="9">
        <f>[1]Discovery!A2577</f>
        <v>70417071</v>
      </c>
      <c r="C2571" s="9" t="str">
        <f>[1]Discovery!B2577</f>
        <v>뱀의 여신상</v>
      </c>
      <c r="D2571" s="9" t="str">
        <f>[1]Discovery!E2577</f>
        <v>보물</v>
      </c>
      <c r="E2571" s="9" t="str">
        <f>[1]Discovery!C2577</f>
        <v>보물</v>
      </c>
      <c r="F2571" s="9" t="str">
        <f>[1]Discovery!G2577</f>
        <v>D</v>
      </c>
      <c r="G2571" s="9" t="str">
        <f>IFERROR(VLOOKUP(표1[[#This Row],[명칭]],'문화권 정리'!C:D,2,FALSE),"-")</f>
        <v>지중해</v>
      </c>
      <c r="H2571" s="38" t="str">
        <f>IFERROR(COUNTIF([2]OceanDoodad!$Y:$Y,표1[[#This Row],[명칭]]),"-")</f>
        <v>-</v>
      </c>
      <c r="I2571" s="38">
        <f>IFERROR(COUNTIF([1]AdventureDiscoveryGroup!$D$8:$AW$92,표1[[#This Row],[명칭]]),"-")</f>
        <v>1</v>
      </c>
      <c r="J2571" s="38">
        <f>IFERROR(COUNTIF([1]FishDiscoveryGroup!$A:$X,표1[[#This Row],[명칭]]),"-")</f>
        <v>0</v>
      </c>
      <c r="K2571" s="38" t="str">
        <f>IFERROR(COUNTIF([2]Town!$B:$B,표1[[#This Row],[명칭]]),"-")</f>
        <v>-</v>
      </c>
      <c r="L2571" s="38">
        <f>IFERROR(COUNTIF([1]Village!$BR:$BR,표1[[#This Row],[명칭]]),"-")</f>
        <v>0</v>
      </c>
      <c r="M2571" s="38">
        <f>COUNTIF(퀘스트!B:B,표1[[#This Row],[명칭]])</f>
        <v>0</v>
      </c>
      <c r="N2571" s="65">
        <f>COUNTIF([1]VillageDiscoveryGroup!$C:$C,표1[[#This Row],[명칭]])</f>
        <v>0</v>
      </c>
      <c r="O2571" s="65">
        <f>SUM(표1[[#This Row],[해양탐색]:[마을탐험]])</f>
        <v>1</v>
      </c>
    </row>
    <row r="2572" spans="2:15" ht="13.5" customHeight="1" x14ac:dyDescent="0.3">
      <c r="B2572" s="9">
        <f>[1]Discovery!A2578</f>
        <v>70417072</v>
      </c>
      <c r="C2572" s="9" t="str">
        <f>[1]Discovery!B2578</f>
        <v>벽사 조각상</v>
      </c>
      <c r="D2572" s="9" t="str">
        <f>[1]Discovery!E2578</f>
        <v>보물</v>
      </c>
      <c r="E2572" s="9" t="str">
        <f>[1]Discovery!C2578</f>
        <v>보물</v>
      </c>
      <c r="F2572" s="9" t="str">
        <f>[1]Discovery!G2578</f>
        <v>D</v>
      </c>
      <c r="G2572" s="9" t="str">
        <f>IFERROR(VLOOKUP(표1[[#This Row],[명칭]],'문화권 정리'!C:D,2,FALSE),"-")</f>
        <v>동아시아</v>
      </c>
      <c r="H2572" s="38" t="str">
        <f>IFERROR(COUNTIF([2]OceanDoodad!$Y:$Y,표1[[#This Row],[명칭]]),"-")</f>
        <v>-</v>
      </c>
      <c r="I2572" s="38">
        <f>IFERROR(COUNTIF([1]AdventureDiscoveryGroup!$D$8:$AW$92,표1[[#This Row],[명칭]]),"-")</f>
        <v>1</v>
      </c>
      <c r="J2572" s="38">
        <f>IFERROR(COUNTIF([1]FishDiscoveryGroup!$A:$X,표1[[#This Row],[명칭]]),"-")</f>
        <v>0</v>
      </c>
      <c r="K2572" s="38" t="str">
        <f>IFERROR(COUNTIF([2]Town!$B:$B,표1[[#This Row],[명칭]]),"-")</f>
        <v>-</v>
      </c>
      <c r="L2572" s="38">
        <f>IFERROR(COUNTIF([1]Village!$BR:$BR,표1[[#This Row],[명칭]]),"-")</f>
        <v>0</v>
      </c>
      <c r="M2572" s="38">
        <f>COUNTIF(퀘스트!B:B,표1[[#This Row],[명칭]])</f>
        <v>0</v>
      </c>
      <c r="N2572" s="65">
        <f>COUNTIF([1]VillageDiscoveryGroup!$C:$C,표1[[#This Row],[명칭]])</f>
        <v>0</v>
      </c>
      <c r="O2572" s="65">
        <f>SUM(표1[[#This Row],[해양탐색]:[마을탐험]])</f>
        <v>1</v>
      </c>
    </row>
    <row r="2573" spans="2:15" ht="13.5" customHeight="1" x14ac:dyDescent="0.3">
      <c r="B2573" s="9">
        <f>[1]Discovery!A2579</f>
        <v>70417074</v>
      </c>
      <c r="C2573" s="9" t="str">
        <f>[1]Discovery!B2579</f>
        <v>봄빌랴</v>
      </c>
      <c r="D2573" s="9" t="str">
        <f>[1]Discovery!E2579</f>
        <v>보물</v>
      </c>
      <c r="E2573" s="9" t="str">
        <f>[1]Discovery!C2579</f>
        <v>보물</v>
      </c>
      <c r="F2573" s="9" t="str">
        <f>[1]Discovery!G2579</f>
        <v>D</v>
      </c>
      <c r="G2573" s="9" t="str">
        <f>IFERROR(VLOOKUP(표1[[#This Row],[명칭]],'문화권 정리'!C:D,2,FALSE),"-")</f>
        <v>남아메리카</v>
      </c>
      <c r="H2573" s="38" t="str">
        <f>IFERROR(COUNTIF([2]OceanDoodad!$Y:$Y,표1[[#This Row],[명칭]]),"-")</f>
        <v>-</v>
      </c>
      <c r="I2573" s="38">
        <f>IFERROR(COUNTIF([1]AdventureDiscoveryGroup!$D$8:$AW$92,표1[[#This Row],[명칭]]),"-")</f>
        <v>1</v>
      </c>
      <c r="J2573" s="38">
        <f>IFERROR(COUNTIF([1]FishDiscoveryGroup!$A:$X,표1[[#This Row],[명칭]]),"-")</f>
        <v>0</v>
      </c>
      <c r="K2573" s="38" t="str">
        <f>IFERROR(COUNTIF([2]Town!$B:$B,표1[[#This Row],[명칭]]),"-")</f>
        <v>-</v>
      </c>
      <c r="L2573" s="38">
        <f>IFERROR(COUNTIF([1]Village!$BR:$BR,표1[[#This Row],[명칭]]),"-")</f>
        <v>0</v>
      </c>
      <c r="M2573" s="38">
        <f>COUNTIF(퀘스트!B:B,표1[[#This Row],[명칭]])</f>
        <v>0</v>
      </c>
      <c r="N2573" s="65">
        <f>COUNTIF([1]VillageDiscoveryGroup!$C:$C,표1[[#This Row],[명칭]])</f>
        <v>0</v>
      </c>
      <c r="O2573" s="65">
        <f>SUM(표1[[#This Row],[해양탐색]:[마을탐험]])</f>
        <v>1</v>
      </c>
    </row>
    <row r="2574" spans="2:15" ht="13.5" customHeight="1" x14ac:dyDescent="0.3">
      <c r="B2574" s="9">
        <f>[1]Discovery!A2580</f>
        <v>70417076</v>
      </c>
      <c r="C2574" s="9" t="str">
        <f>[1]Discovery!B2580</f>
        <v>불씨잡변</v>
      </c>
      <c r="D2574" s="9" t="str">
        <f>[1]Discovery!E2580</f>
        <v>유물</v>
      </c>
      <c r="E2574" s="9" t="str">
        <f>[1]Discovery!C2580</f>
        <v>종교유물</v>
      </c>
      <c r="F2574" s="9" t="str">
        <f>[1]Discovery!G2580</f>
        <v>C</v>
      </c>
      <c r="G2574" s="9" t="str">
        <f>IFERROR(VLOOKUP(표1[[#This Row],[명칭]],'문화권 정리'!C:D,2,FALSE),"-")</f>
        <v>동아시아</v>
      </c>
      <c r="H2574" s="38" t="str">
        <f>IFERROR(COUNTIF([2]OceanDoodad!$Y:$Y,표1[[#This Row],[명칭]]),"-")</f>
        <v>-</v>
      </c>
      <c r="I2574" s="38">
        <f>IFERROR(COUNTIF([1]AdventureDiscoveryGroup!$D$8:$AW$92,표1[[#This Row],[명칭]]),"-")</f>
        <v>1</v>
      </c>
      <c r="J2574" s="38">
        <f>IFERROR(COUNTIF([1]FishDiscoveryGroup!$A:$X,표1[[#This Row],[명칭]]),"-")</f>
        <v>0</v>
      </c>
      <c r="K2574" s="38" t="str">
        <f>IFERROR(COUNTIF([2]Town!$B:$B,표1[[#This Row],[명칭]]),"-")</f>
        <v>-</v>
      </c>
      <c r="L2574" s="38">
        <f>IFERROR(COUNTIF([1]Village!$BR:$BR,표1[[#This Row],[명칭]]),"-")</f>
        <v>0</v>
      </c>
      <c r="M2574" s="38">
        <f>COUNTIF(퀘스트!B:B,표1[[#This Row],[명칭]])</f>
        <v>0</v>
      </c>
      <c r="N2574" s="65">
        <f>COUNTIF([1]VillageDiscoveryGroup!$C:$C,표1[[#This Row],[명칭]])</f>
        <v>0</v>
      </c>
      <c r="O2574" s="65">
        <f>SUM(표1[[#This Row],[해양탐색]:[마을탐험]])</f>
        <v>1</v>
      </c>
    </row>
    <row r="2575" spans="2:15" ht="13.5" customHeight="1" x14ac:dyDescent="0.3">
      <c r="B2575" s="9">
        <f>[1]Discovery!A2581</f>
        <v>70417077</v>
      </c>
      <c r="C2575" s="9" t="str">
        <f>[1]Discovery!B2581</f>
        <v>붉은 에이리크 사가</v>
      </c>
      <c r="D2575" s="9" t="str">
        <f>[1]Discovery!E2581</f>
        <v>보물</v>
      </c>
      <c r="E2575" s="9" t="str">
        <f>[1]Discovery!C2581</f>
        <v>보물</v>
      </c>
      <c r="F2575" s="9" t="str">
        <f>[1]Discovery!G2581</f>
        <v>B</v>
      </c>
      <c r="G2575" s="9" t="str">
        <f>IFERROR(VLOOKUP(표1[[#This Row],[명칭]],'문화권 정리'!C:D,2,FALSE),"-")</f>
        <v>북유럽</v>
      </c>
      <c r="H2575" s="38" t="str">
        <f>IFERROR(COUNTIF([2]OceanDoodad!$Y:$Y,표1[[#This Row],[명칭]]),"-")</f>
        <v>-</v>
      </c>
      <c r="I2575" s="38">
        <f>IFERROR(COUNTIF([1]AdventureDiscoveryGroup!$D$8:$AW$92,표1[[#This Row],[명칭]]),"-")</f>
        <v>1</v>
      </c>
      <c r="J2575" s="38">
        <f>IFERROR(COUNTIF([1]FishDiscoveryGroup!$A:$X,표1[[#This Row],[명칭]]),"-")</f>
        <v>0</v>
      </c>
      <c r="K2575" s="38" t="str">
        <f>IFERROR(COUNTIF([2]Town!$B:$B,표1[[#This Row],[명칭]]),"-")</f>
        <v>-</v>
      </c>
      <c r="L2575" s="38">
        <f>IFERROR(COUNTIF([1]Village!$BR:$BR,표1[[#This Row],[명칭]]),"-")</f>
        <v>0</v>
      </c>
      <c r="M2575" s="38">
        <f>COUNTIF(퀘스트!B:B,표1[[#This Row],[명칭]])</f>
        <v>0</v>
      </c>
      <c r="N2575" s="65">
        <f>COUNTIF([1]VillageDiscoveryGroup!$C:$C,표1[[#This Row],[명칭]])</f>
        <v>0</v>
      </c>
      <c r="O2575" s="65">
        <f>SUM(표1[[#This Row],[해양탐색]:[마을탐험]])</f>
        <v>1</v>
      </c>
    </row>
    <row r="2576" spans="2:15" ht="13.5" customHeight="1" x14ac:dyDescent="0.3">
      <c r="B2576" s="9">
        <f>[1]Discovery!A2582</f>
        <v>70417078</v>
      </c>
      <c r="C2576" s="9" t="str">
        <f>[1]Discovery!B2582</f>
        <v>브류나크</v>
      </c>
      <c r="D2576" s="9" t="str">
        <f>[1]Discovery!E2582</f>
        <v>보물</v>
      </c>
      <c r="E2576" s="9" t="str">
        <f>[1]Discovery!C2582</f>
        <v>보물</v>
      </c>
      <c r="F2576" s="9" t="str">
        <f>[1]Discovery!G2582</f>
        <v>S</v>
      </c>
      <c r="G2576" s="9" t="str">
        <f>IFERROR(VLOOKUP(표1[[#This Row],[명칭]],'문화권 정리'!C:D,2,FALSE),"-")</f>
        <v>브리튼</v>
      </c>
      <c r="H2576" s="38" t="str">
        <f>IFERROR(COUNTIF([2]OceanDoodad!$Y:$Y,표1[[#This Row],[명칭]]),"-")</f>
        <v>-</v>
      </c>
      <c r="I2576" s="38">
        <f>IFERROR(COUNTIF([1]AdventureDiscoveryGroup!$D$8:$AW$92,표1[[#This Row],[명칭]]),"-")</f>
        <v>0</v>
      </c>
      <c r="J2576" s="38">
        <f>IFERROR(COUNTIF([1]FishDiscoveryGroup!$A:$X,표1[[#This Row],[명칭]]),"-")</f>
        <v>0</v>
      </c>
      <c r="K2576" s="38" t="str">
        <f>IFERROR(COUNTIF([2]Town!$B:$B,표1[[#This Row],[명칭]]),"-")</f>
        <v>-</v>
      </c>
      <c r="L2576" s="38">
        <f>IFERROR(COUNTIF([1]Village!$BR:$BR,표1[[#This Row],[명칭]]),"-")</f>
        <v>0</v>
      </c>
      <c r="M2576" s="38">
        <f>COUNTIF(퀘스트!B:B,표1[[#This Row],[명칭]])</f>
        <v>1</v>
      </c>
      <c r="N2576" s="65">
        <f>COUNTIF([1]VillageDiscoveryGroup!$C:$C,표1[[#This Row],[명칭]])</f>
        <v>0</v>
      </c>
      <c r="O2576" s="65">
        <f>SUM(표1[[#This Row],[해양탐색]:[마을탐험]])</f>
        <v>1</v>
      </c>
    </row>
    <row r="2577" spans="2:15" ht="13.5" customHeight="1" x14ac:dyDescent="0.3">
      <c r="B2577" s="9">
        <f>[1]Discovery!A2583</f>
        <v>70417079</v>
      </c>
      <c r="C2577" s="9" t="str">
        <f>[1]Discovery!B2583</f>
        <v>비블리오테카 히스토리카</v>
      </c>
      <c r="D2577" s="9" t="str">
        <f>[1]Discovery!E2583</f>
        <v>유물</v>
      </c>
      <c r="E2577" s="9" t="str">
        <f>[1]Discovery!C2583</f>
        <v>역사유물</v>
      </c>
      <c r="F2577" s="9" t="str">
        <f>[1]Discovery!G2583</f>
        <v>S</v>
      </c>
      <c r="G2577" s="9" t="str">
        <f>IFERROR(VLOOKUP(표1[[#This Row],[명칭]],'문화권 정리'!C:D,2,FALSE),"-")</f>
        <v>지중해</v>
      </c>
      <c r="H2577" s="38" t="str">
        <f>IFERROR(COUNTIF([2]OceanDoodad!$Y:$Y,표1[[#This Row],[명칭]]),"-")</f>
        <v>-</v>
      </c>
      <c r="I2577" s="38">
        <f>IFERROR(COUNTIF([1]AdventureDiscoveryGroup!$D$8:$AW$92,표1[[#This Row],[명칭]]),"-")</f>
        <v>0</v>
      </c>
      <c r="J2577" s="38">
        <f>IFERROR(COUNTIF([1]FishDiscoveryGroup!$A:$X,표1[[#This Row],[명칭]]),"-")</f>
        <v>0</v>
      </c>
      <c r="K2577" s="38" t="str">
        <f>IFERROR(COUNTIF([2]Town!$B:$B,표1[[#This Row],[명칭]]),"-")</f>
        <v>-</v>
      </c>
      <c r="L2577" s="38">
        <f>IFERROR(COUNTIF([1]Village!$BR:$BR,표1[[#This Row],[명칭]]),"-")</f>
        <v>0</v>
      </c>
      <c r="M2577" s="38">
        <f>COUNTIF(퀘스트!B:B,표1[[#This Row],[명칭]])</f>
        <v>0</v>
      </c>
      <c r="N2577" s="65">
        <f>COUNTIF([1]VillageDiscoveryGroup!$C:$C,표1[[#This Row],[명칭]])</f>
        <v>0</v>
      </c>
      <c r="O2577" s="65">
        <f>SUM(표1[[#This Row],[해양탐색]:[마을탐험]])</f>
        <v>0</v>
      </c>
    </row>
    <row r="2578" spans="2:15" ht="13.5" customHeight="1" x14ac:dyDescent="0.3">
      <c r="B2578" s="9">
        <f>[1]Discovery!A2584</f>
        <v>70417082</v>
      </c>
      <c r="C2578" s="9" t="str">
        <f>[1]Discovery!B2584</f>
        <v>사자왕의 갑옷</v>
      </c>
      <c r="D2578" s="9" t="str">
        <f>[1]Discovery!E2584</f>
        <v>보물</v>
      </c>
      <c r="E2578" s="9" t="str">
        <f>[1]Discovery!C2584</f>
        <v>보물</v>
      </c>
      <c r="F2578" s="9" t="str">
        <f>[1]Discovery!G2584</f>
        <v>A</v>
      </c>
      <c r="G2578" s="9" t="str">
        <f>IFERROR(VLOOKUP(표1[[#This Row],[명칭]],'문화권 정리'!C:D,2,FALSE),"-")</f>
        <v>브리튼</v>
      </c>
      <c r="H2578" s="38" t="str">
        <f>IFERROR(COUNTIF([2]OceanDoodad!$Y:$Y,표1[[#This Row],[명칭]]),"-")</f>
        <v>-</v>
      </c>
      <c r="I2578" s="38">
        <f>IFERROR(COUNTIF([1]AdventureDiscoveryGroup!$D$8:$AW$92,표1[[#This Row],[명칭]]),"-")</f>
        <v>0</v>
      </c>
      <c r="J2578" s="38">
        <f>IFERROR(COUNTIF([1]FishDiscoveryGroup!$A:$X,표1[[#This Row],[명칭]]),"-")</f>
        <v>0</v>
      </c>
      <c r="K2578" s="38" t="str">
        <f>IFERROR(COUNTIF([2]Town!$B:$B,표1[[#This Row],[명칭]]),"-")</f>
        <v>-</v>
      </c>
      <c r="L2578" s="38">
        <f>IFERROR(COUNTIF([1]Village!$BR:$BR,표1[[#This Row],[명칭]]),"-")</f>
        <v>0</v>
      </c>
      <c r="M2578" s="38">
        <f>COUNTIF(퀘스트!B:B,표1[[#This Row],[명칭]])</f>
        <v>1</v>
      </c>
      <c r="N2578" s="65">
        <f>COUNTIF([1]VillageDiscoveryGroup!$C:$C,표1[[#This Row],[명칭]])</f>
        <v>0</v>
      </c>
      <c r="O2578" s="65">
        <f>SUM(표1[[#This Row],[해양탐색]:[마을탐험]])</f>
        <v>1</v>
      </c>
    </row>
    <row r="2579" spans="2:15" ht="13.5" customHeight="1" x14ac:dyDescent="0.3">
      <c r="B2579" s="9">
        <f>[1]Discovery!A2585</f>
        <v>70417083</v>
      </c>
      <c r="C2579" s="9" t="str">
        <f>[1]Discovery!B2585</f>
        <v>산투르</v>
      </c>
      <c r="D2579" s="9" t="str">
        <f>[1]Discovery!E2585</f>
        <v>보물</v>
      </c>
      <c r="E2579" s="9" t="str">
        <f>[1]Discovery!C2585</f>
        <v>보물</v>
      </c>
      <c r="F2579" s="9" t="str">
        <f>[1]Discovery!G2585</f>
        <v>C</v>
      </c>
      <c r="G2579" s="9" t="str">
        <f>IFERROR(VLOOKUP(표1[[#This Row],[명칭]],'문화권 정리'!C:D,2,FALSE),"-")</f>
        <v>서남아시아</v>
      </c>
      <c r="H2579" s="38" t="str">
        <f>IFERROR(COUNTIF([2]OceanDoodad!$Y:$Y,표1[[#This Row],[명칭]]),"-")</f>
        <v>-</v>
      </c>
      <c r="I2579" s="38">
        <f>IFERROR(COUNTIF([1]AdventureDiscoveryGroup!$D$8:$AW$92,표1[[#This Row],[명칭]]),"-")</f>
        <v>1</v>
      </c>
      <c r="J2579" s="38">
        <f>IFERROR(COUNTIF([1]FishDiscoveryGroup!$A:$X,표1[[#This Row],[명칭]]),"-")</f>
        <v>0</v>
      </c>
      <c r="K2579" s="38" t="str">
        <f>IFERROR(COUNTIF([2]Town!$B:$B,표1[[#This Row],[명칭]]),"-")</f>
        <v>-</v>
      </c>
      <c r="L2579" s="38">
        <f>IFERROR(COUNTIF([1]Village!$BR:$BR,표1[[#This Row],[명칭]]),"-")</f>
        <v>0</v>
      </c>
      <c r="M2579" s="38">
        <f>COUNTIF(퀘스트!B:B,표1[[#This Row],[명칭]])</f>
        <v>0</v>
      </c>
      <c r="N2579" s="65">
        <f>COUNTIF([1]VillageDiscoveryGroup!$C:$C,표1[[#This Row],[명칭]])</f>
        <v>0</v>
      </c>
      <c r="O2579" s="65">
        <f>SUM(표1[[#This Row],[해양탐색]:[마을탐험]])</f>
        <v>1</v>
      </c>
    </row>
    <row r="2580" spans="2:15" ht="13.5" customHeight="1" x14ac:dyDescent="0.3">
      <c r="B2580" s="9">
        <f>[1]Discovery!A2586</f>
        <v>70417084</v>
      </c>
      <c r="C2580" s="9" t="str">
        <f>[1]Discovery!B2586</f>
        <v>살라딘의 검</v>
      </c>
      <c r="D2580" s="9" t="str">
        <f>[1]Discovery!E2586</f>
        <v>보물</v>
      </c>
      <c r="E2580" s="9" t="str">
        <f>[1]Discovery!C2586</f>
        <v>보물</v>
      </c>
      <c r="F2580" s="9" t="str">
        <f>[1]Discovery!G2586</f>
        <v>S</v>
      </c>
      <c r="G2580" s="9" t="str">
        <f>IFERROR(VLOOKUP(표1[[#This Row],[명칭]],'문화권 정리'!C:D,2,FALSE),"-")</f>
        <v>서남아시아</v>
      </c>
      <c r="H2580" s="38" t="str">
        <f>IFERROR(COUNTIF([2]OceanDoodad!$Y:$Y,표1[[#This Row],[명칭]]),"-")</f>
        <v>-</v>
      </c>
      <c r="I2580" s="38">
        <f>IFERROR(COUNTIF([1]AdventureDiscoveryGroup!$D$8:$AW$92,표1[[#This Row],[명칭]]),"-")</f>
        <v>0</v>
      </c>
      <c r="J2580" s="38">
        <f>IFERROR(COUNTIF([1]FishDiscoveryGroup!$A:$X,표1[[#This Row],[명칭]]),"-")</f>
        <v>0</v>
      </c>
      <c r="K2580" s="38" t="str">
        <f>IFERROR(COUNTIF([2]Town!$B:$B,표1[[#This Row],[명칭]]),"-")</f>
        <v>-</v>
      </c>
      <c r="L2580" s="38">
        <f>IFERROR(COUNTIF([1]Village!$BR:$BR,표1[[#This Row],[명칭]]),"-")</f>
        <v>0</v>
      </c>
      <c r="M2580" s="38">
        <f>COUNTIF(퀘스트!B:B,표1[[#This Row],[명칭]])</f>
        <v>1</v>
      </c>
      <c r="N2580" s="65">
        <f>COUNTIF([1]VillageDiscoveryGroup!$C:$C,표1[[#This Row],[명칭]])</f>
        <v>0</v>
      </c>
      <c r="O2580" s="65">
        <f>SUM(표1[[#This Row],[해양탐색]:[마을탐험]])</f>
        <v>1</v>
      </c>
    </row>
    <row r="2581" spans="2:15" ht="13.5" customHeight="1" x14ac:dyDescent="0.3">
      <c r="B2581" s="9">
        <f>[1]Discovery!A2587</f>
        <v>70417085</v>
      </c>
      <c r="C2581" s="9" t="str">
        <f>[1]Discovery!B2587</f>
        <v>살로메의 베일</v>
      </c>
      <c r="D2581" s="9" t="str">
        <f>[1]Discovery!E2587</f>
        <v>보물</v>
      </c>
      <c r="E2581" s="9" t="str">
        <f>[1]Discovery!C2587</f>
        <v>보물</v>
      </c>
      <c r="F2581" s="9" t="str">
        <f>[1]Discovery!G2587</f>
        <v>A</v>
      </c>
      <c r="G2581" s="9" t="str">
        <f>IFERROR(VLOOKUP(표1[[#This Row],[명칭]],'문화권 정리'!C:D,2,FALSE),"-")</f>
        <v>서남아시아</v>
      </c>
      <c r="H2581" s="38" t="str">
        <f>IFERROR(COUNTIF([2]OceanDoodad!$Y:$Y,표1[[#This Row],[명칭]]),"-")</f>
        <v>-</v>
      </c>
      <c r="I2581" s="38">
        <f>IFERROR(COUNTIF([1]AdventureDiscoveryGroup!$D$8:$AW$92,표1[[#This Row],[명칭]]),"-")</f>
        <v>0</v>
      </c>
      <c r="J2581" s="38">
        <f>IFERROR(COUNTIF([1]FishDiscoveryGroup!$A:$X,표1[[#This Row],[명칭]]),"-")</f>
        <v>0</v>
      </c>
      <c r="K2581" s="38" t="str">
        <f>IFERROR(COUNTIF([2]Town!$B:$B,표1[[#This Row],[명칭]]),"-")</f>
        <v>-</v>
      </c>
      <c r="L2581" s="38">
        <f>IFERROR(COUNTIF([1]Village!$BR:$BR,표1[[#This Row],[명칭]]),"-")</f>
        <v>0</v>
      </c>
      <c r="M2581" s="38">
        <f>COUNTIF(퀘스트!B:B,표1[[#This Row],[명칭]])</f>
        <v>0</v>
      </c>
      <c r="N2581" s="65">
        <f>COUNTIF([1]VillageDiscoveryGroup!$C:$C,표1[[#This Row],[명칭]])</f>
        <v>0</v>
      </c>
      <c r="O2581" s="65">
        <f>SUM(표1[[#This Row],[해양탐색]:[마을탐험]])</f>
        <v>0</v>
      </c>
    </row>
    <row r="2582" spans="2:15" ht="13.5" customHeight="1" x14ac:dyDescent="0.3">
      <c r="B2582" s="9">
        <f>[1]Discovery!A2588</f>
        <v>70417086</v>
      </c>
      <c r="C2582" s="9" t="str">
        <f>[1]Discovery!B2588</f>
        <v>삼국지</v>
      </c>
      <c r="D2582" s="9" t="str">
        <f>[1]Discovery!E2588</f>
        <v>유물</v>
      </c>
      <c r="E2582" s="9" t="str">
        <f>[1]Discovery!C2588</f>
        <v>역사유물</v>
      </c>
      <c r="F2582" s="9" t="str">
        <f>[1]Discovery!G2588</f>
        <v>A</v>
      </c>
      <c r="G2582" s="9" t="str">
        <f>IFERROR(VLOOKUP(표1[[#This Row],[명칭]],'문화권 정리'!C:D,2,FALSE),"-")</f>
        <v>동아시아</v>
      </c>
      <c r="H2582" s="38" t="str">
        <f>IFERROR(COUNTIF([2]OceanDoodad!$Y:$Y,표1[[#This Row],[명칭]]),"-")</f>
        <v>-</v>
      </c>
      <c r="I2582" s="38">
        <f>IFERROR(COUNTIF([1]AdventureDiscoveryGroup!$D$8:$AW$92,표1[[#This Row],[명칭]]),"-")</f>
        <v>0</v>
      </c>
      <c r="J2582" s="38">
        <f>IFERROR(COUNTIF([1]FishDiscoveryGroup!$A:$X,표1[[#This Row],[명칭]]),"-")</f>
        <v>0</v>
      </c>
      <c r="K2582" s="38" t="str">
        <f>IFERROR(COUNTIF([2]Town!$B:$B,표1[[#This Row],[명칭]]),"-")</f>
        <v>-</v>
      </c>
      <c r="L2582" s="38">
        <f>IFERROR(COUNTIF([1]Village!$BR:$BR,표1[[#This Row],[명칭]]),"-")</f>
        <v>0</v>
      </c>
      <c r="M2582" s="38">
        <f>COUNTIF(퀘스트!B:B,표1[[#This Row],[명칭]])</f>
        <v>1</v>
      </c>
      <c r="N2582" s="65">
        <f>COUNTIF([1]VillageDiscoveryGroup!$C:$C,표1[[#This Row],[명칭]])</f>
        <v>0</v>
      </c>
      <c r="O2582" s="65">
        <f>SUM(표1[[#This Row],[해양탐색]:[마을탐험]])</f>
        <v>1</v>
      </c>
    </row>
    <row r="2583" spans="2:15" ht="13.5" customHeight="1" x14ac:dyDescent="0.3">
      <c r="B2583" s="9">
        <f>[1]Discovery!A2589</f>
        <v>70417087</v>
      </c>
      <c r="C2583" s="9" t="str">
        <f>[1]Discovery!B2589</f>
        <v>삼국지연의</v>
      </c>
      <c r="D2583" s="9" t="str">
        <f>[1]Discovery!E2589</f>
        <v>유물</v>
      </c>
      <c r="E2583" s="9" t="str">
        <f>[1]Discovery!C2589</f>
        <v>역사유물</v>
      </c>
      <c r="F2583" s="9" t="str">
        <f>[1]Discovery!G2589</f>
        <v>B</v>
      </c>
      <c r="G2583" s="9" t="str">
        <f>IFERROR(VLOOKUP(표1[[#This Row],[명칭]],'문화권 정리'!C:D,2,FALSE),"-")</f>
        <v>동아시아</v>
      </c>
      <c r="H2583" s="38" t="str">
        <f>IFERROR(COUNTIF([2]OceanDoodad!$Y:$Y,표1[[#This Row],[명칭]]),"-")</f>
        <v>-</v>
      </c>
      <c r="I2583" s="38">
        <f>IFERROR(COUNTIF([1]AdventureDiscoveryGroup!$D$8:$AW$92,표1[[#This Row],[명칭]]),"-")</f>
        <v>0</v>
      </c>
      <c r="J2583" s="38">
        <f>IFERROR(COUNTIF([1]FishDiscoveryGroup!$A:$X,표1[[#This Row],[명칭]]),"-")</f>
        <v>0</v>
      </c>
      <c r="K2583" s="38" t="str">
        <f>IFERROR(COUNTIF([2]Town!$B:$B,표1[[#This Row],[명칭]]),"-")</f>
        <v>-</v>
      </c>
      <c r="L2583" s="38">
        <f>IFERROR(COUNTIF([1]Village!$BR:$BR,표1[[#This Row],[명칭]]),"-")</f>
        <v>0</v>
      </c>
      <c r="M2583" s="38">
        <f>COUNTIF(퀘스트!B:B,표1[[#This Row],[명칭]])</f>
        <v>1</v>
      </c>
      <c r="N2583" s="65">
        <f>COUNTIF([1]VillageDiscoveryGroup!$C:$C,표1[[#This Row],[명칭]])</f>
        <v>0</v>
      </c>
      <c r="O2583" s="65">
        <f>SUM(표1[[#This Row],[해양탐색]:[마을탐험]])</f>
        <v>1</v>
      </c>
    </row>
    <row r="2584" spans="2:15" ht="13.5" customHeight="1" x14ac:dyDescent="0.3">
      <c r="B2584" s="9">
        <f>[1]Discovery!A2590</f>
        <v>70417088</v>
      </c>
      <c r="C2584" s="9" t="str">
        <f>[1]Discovery!B2590</f>
        <v>상감세공 갑옷</v>
      </c>
      <c r="D2584" s="9" t="str">
        <f>[1]Discovery!E2590</f>
        <v>보물</v>
      </c>
      <c r="E2584" s="9" t="str">
        <f>[1]Discovery!C2590</f>
        <v>보물</v>
      </c>
      <c r="F2584" s="9" t="str">
        <f>[1]Discovery!G2590</f>
        <v>D</v>
      </c>
      <c r="G2584" s="9" t="str">
        <f>IFERROR(VLOOKUP(표1[[#This Row],[명칭]],'문화권 정리'!C:D,2,FALSE),"-")</f>
        <v>지중해</v>
      </c>
      <c r="H2584" s="38" t="str">
        <f>IFERROR(COUNTIF([2]OceanDoodad!$Y:$Y,표1[[#This Row],[명칭]]),"-")</f>
        <v>-</v>
      </c>
      <c r="I2584" s="38">
        <f>IFERROR(COUNTIF([1]AdventureDiscoveryGroup!$D$8:$AW$92,표1[[#This Row],[명칭]]),"-")</f>
        <v>1</v>
      </c>
      <c r="J2584" s="38">
        <f>IFERROR(COUNTIF([1]FishDiscoveryGroup!$A:$X,표1[[#This Row],[명칭]]),"-")</f>
        <v>0</v>
      </c>
      <c r="K2584" s="38" t="str">
        <f>IFERROR(COUNTIF([2]Town!$B:$B,표1[[#This Row],[명칭]]),"-")</f>
        <v>-</v>
      </c>
      <c r="L2584" s="38">
        <f>IFERROR(COUNTIF([1]Village!$BR:$BR,표1[[#This Row],[명칭]]),"-")</f>
        <v>0</v>
      </c>
      <c r="M2584" s="38">
        <f>COUNTIF(퀘스트!B:B,표1[[#This Row],[명칭]])</f>
        <v>0</v>
      </c>
      <c r="N2584" s="65">
        <f>COUNTIF([1]VillageDiscoveryGroup!$C:$C,표1[[#This Row],[명칭]])</f>
        <v>0</v>
      </c>
      <c r="O2584" s="65">
        <f>SUM(표1[[#This Row],[해양탐색]:[마을탐험]])</f>
        <v>1</v>
      </c>
    </row>
    <row r="2585" spans="2:15" ht="13.5" customHeight="1" x14ac:dyDescent="0.3">
      <c r="B2585" s="9">
        <f>[1]Discovery!A2591</f>
        <v>70417089</v>
      </c>
      <c r="C2585" s="9" t="str">
        <f>[1]Discovery!B2591</f>
        <v>상아 피리</v>
      </c>
      <c r="D2585" s="9" t="str">
        <f>[1]Discovery!E2591</f>
        <v>보물</v>
      </c>
      <c r="E2585" s="9" t="str">
        <f>[1]Discovery!C2591</f>
        <v>보물</v>
      </c>
      <c r="F2585" s="9" t="str">
        <f>[1]Discovery!G2591</f>
        <v>C</v>
      </c>
      <c r="G2585" s="9" t="str">
        <f>IFERROR(VLOOKUP(표1[[#This Row],[명칭]],'문화권 정리'!C:D,2,FALSE),"-")</f>
        <v>남아시아</v>
      </c>
      <c r="H2585" s="38" t="str">
        <f>IFERROR(COUNTIF([2]OceanDoodad!$Y:$Y,표1[[#This Row],[명칭]]),"-")</f>
        <v>-</v>
      </c>
      <c r="I2585" s="38">
        <f>IFERROR(COUNTIF([1]AdventureDiscoveryGroup!$D$8:$AW$92,표1[[#This Row],[명칭]]),"-")</f>
        <v>1</v>
      </c>
      <c r="J2585" s="38">
        <f>IFERROR(COUNTIF([1]FishDiscoveryGroup!$A:$X,표1[[#This Row],[명칭]]),"-")</f>
        <v>0</v>
      </c>
      <c r="K2585" s="38" t="str">
        <f>IFERROR(COUNTIF([2]Town!$B:$B,표1[[#This Row],[명칭]]),"-")</f>
        <v>-</v>
      </c>
      <c r="L2585" s="38">
        <f>IFERROR(COUNTIF([1]Village!$BR:$BR,표1[[#This Row],[명칭]]),"-")</f>
        <v>0</v>
      </c>
      <c r="M2585" s="38">
        <f>COUNTIF(퀘스트!B:B,표1[[#This Row],[명칭]])</f>
        <v>0</v>
      </c>
      <c r="N2585" s="65">
        <f>COUNTIF([1]VillageDiscoveryGroup!$C:$C,표1[[#This Row],[명칭]])</f>
        <v>0</v>
      </c>
      <c r="O2585" s="65">
        <f>SUM(표1[[#This Row],[해양탐색]:[마을탐험]])</f>
        <v>1</v>
      </c>
    </row>
    <row r="2586" spans="2:15" ht="13.5" customHeight="1" x14ac:dyDescent="0.3">
      <c r="B2586" s="9">
        <f>[1]Discovery!A2592</f>
        <v>70417090</v>
      </c>
      <c r="C2586" s="9" t="str">
        <f>[1]Discovery!B2592</f>
        <v>생황</v>
      </c>
      <c r="D2586" s="9" t="str">
        <f>[1]Discovery!E2592</f>
        <v>보물</v>
      </c>
      <c r="E2586" s="9" t="str">
        <f>[1]Discovery!C2592</f>
        <v>보물</v>
      </c>
      <c r="F2586" s="9" t="str">
        <f>[1]Discovery!G2592</f>
        <v>C</v>
      </c>
      <c r="G2586" s="9" t="str">
        <f>IFERROR(VLOOKUP(표1[[#This Row],[명칭]],'문화권 정리'!C:D,2,FALSE),"-")</f>
        <v>동아시아</v>
      </c>
      <c r="H2586" s="38" t="str">
        <f>IFERROR(COUNTIF([2]OceanDoodad!$Y:$Y,표1[[#This Row],[명칭]]),"-")</f>
        <v>-</v>
      </c>
      <c r="I2586" s="38">
        <f>IFERROR(COUNTIF([1]AdventureDiscoveryGroup!$D$8:$AW$92,표1[[#This Row],[명칭]]),"-")</f>
        <v>1</v>
      </c>
      <c r="J2586" s="38">
        <f>IFERROR(COUNTIF([1]FishDiscoveryGroup!$A:$X,표1[[#This Row],[명칭]]),"-")</f>
        <v>0</v>
      </c>
      <c r="K2586" s="38" t="str">
        <f>IFERROR(COUNTIF([2]Town!$B:$B,표1[[#This Row],[명칭]]),"-")</f>
        <v>-</v>
      </c>
      <c r="L2586" s="38">
        <f>IFERROR(COUNTIF([1]Village!$BR:$BR,표1[[#This Row],[명칭]]),"-")</f>
        <v>0</v>
      </c>
      <c r="M2586" s="38">
        <f>COUNTIF(퀘스트!B:B,표1[[#This Row],[명칭]])</f>
        <v>0</v>
      </c>
      <c r="N2586" s="65">
        <f>COUNTIF([1]VillageDiscoveryGroup!$C:$C,표1[[#This Row],[명칭]])</f>
        <v>0</v>
      </c>
      <c r="O2586" s="65">
        <f>SUM(표1[[#This Row],[해양탐색]:[마을탐험]])</f>
        <v>1</v>
      </c>
    </row>
    <row r="2587" spans="2:15" ht="13.5" customHeight="1" x14ac:dyDescent="0.3">
      <c r="B2587" s="9">
        <f>[1]Discovery!A2593</f>
        <v>70417091</v>
      </c>
      <c r="C2587" s="9" t="str">
        <f>[1]Discovery!B2593</f>
        <v>샤르카의 머리 장식</v>
      </c>
      <c r="D2587" s="9" t="str">
        <f>[1]Discovery!E2593</f>
        <v>보물</v>
      </c>
      <c r="E2587" s="9" t="str">
        <f>[1]Discovery!C2593</f>
        <v>보물</v>
      </c>
      <c r="F2587" s="9" t="str">
        <f>[1]Discovery!G2593</f>
        <v>A</v>
      </c>
      <c r="G2587" s="9" t="str">
        <f>IFERROR(VLOOKUP(표1[[#This Row],[명칭]],'문화권 정리'!C:D,2,FALSE),"-")</f>
        <v>지중해</v>
      </c>
      <c r="H2587" s="38" t="str">
        <f>IFERROR(COUNTIF([2]OceanDoodad!$Y:$Y,표1[[#This Row],[명칭]]),"-")</f>
        <v>-</v>
      </c>
      <c r="I2587" s="38">
        <f>IFERROR(COUNTIF([1]AdventureDiscoveryGroup!$D$8:$AW$92,표1[[#This Row],[명칭]]),"-")</f>
        <v>0</v>
      </c>
      <c r="J2587" s="38">
        <f>IFERROR(COUNTIF([1]FishDiscoveryGroup!$A:$X,표1[[#This Row],[명칭]]),"-")</f>
        <v>0</v>
      </c>
      <c r="K2587" s="38" t="str">
        <f>IFERROR(COUNTIF([2]Town!$B:$B,표1[[#This Row],[명칭]]),"-")</f>
        <v>-</v>
      </c>
      <c r="L2587" s="38">
        <f>IFERROR(COUNTIF([1]Village!$BR:$BR,표1[[#This Row],[명칭]]),"-")</f>
        <v>0</v>
      </c>
      <c r="M2587" s="38">
        <f>COUNTIF(퀘스트!B:B,표1[[#This Row],[명칭]])</f>
        <v>0</v>
      </c>
      <c r="N2587" s="65">
        <f>COUNTIF([1]VillageDiscoveryGroup!$C:$C,표1[[#This Row],[명칭]])</f>
        <v>0</v>
      </c>
      <c r="O2587" s="65">
        <f>SUM(표1[[#This Row],[해양탐색]:[마을탐험]])</f>
        <v>0</v>
      </c>
    </row>
    <row r="2588" spans="2:15" ht="13.5" customHeight="1" x14ac:dyDescent="0.3">
      <c r="B2588" s="9">
        <f>[1]Discovery!A2594</f>
        <v>70417093</v>
      </c>
      <c r="C2588" s="9" t="str">
        <f>[1]Discovery!B2594</f>
        <v>서유기</v>
      </c>
      <c r="D2588" s="9" t="str">
        <f>[1]Discovery!E2594</f>
        <v>유물</v>
      </c>
      <c r="E2588" s="9" t="str">
        <f>[1]Discovery!C2594</f>
        <v>역사유물</v>
      </c>
      <c r="F2588" s="9" t="str">
        <f>[1]Discovery!G2594</f>
        <v>B</v>
      </c>
      <c r="G2588" s="9" t="str">
        <f>IFERROR(VLOOKUP(표1[[#This Row],[명칭]],'문화권 정리'!C:D,2,FALSE),"-")</f>
        <v>동아시아</v>
      </c>
      <c r="H2588" s="38" t="str">
        <f>IFERROR(COUNTIF([2]OceanDoodad!$Y:$Y,표1[[#This Row],[명칭]]),"-")</f>
        <v>-</v>
      </c>
      <c r="I2588" s="38">
        <f>IFERROR(COUNTIF([1]AdventureDiscoveryGroup!$D$8:$AW$92,표1[[#This Row],[명칭]]),"-")</f>
        <v>0</v>
      </c>
      <c r="J2588" s="38">
        <f>IFERROR(COUNTIF([1]FishDiscoveryGroup!$A:$X,표1[[#This Row],[명칭]]),"-")</f>
        <v>0</v>
      </c>
      <c r="K2588" s="38" t="str">
        <f>IFERROR(COUNTIF([2]Town!$B:$B,표1[[#This Row],[명칭]]),"-")</f>
        <v>-</v>
      </c>
      <c r="L2588" s="38">
        <f>IFERROR(COUNTIF([1]Village!$BR:$BR,표1[[#This Row],[명칭]]),"-")</f>
        <v>0</v>
      </c>
      <c r="M2588" s="38">
        <f>COUNTIF(퀘스트!B:B,표1[[#This Row],[명칭]])</f>
        <v>1</v>
      </c>
      <c r="N2588" s="65">
        <f>COUNTIF([1]VillageDiscoveryGroup!$C:$C,표1[[#This Row],[명칭]])</f>
        <v>0</v>
      </c>
      <c r="O2588" s="65">
        <f>SUM(표1[[#This Row],[해양탐색]:[마을탐험]])</f>
        <v>1</v>
      </c>
    </row>
    <row r="2589" spans="2:15" ht="13.5" customHeight="1" x14ac:dyDescent="0.3">
      <c r="B2589" s="9">
        <f>[1]Discovery!A2595</f>
        <v>70417095</v>
      </c>
      <c r="C2589" s="9" t="str">
        <f>[1]Discovery!B2595</f>
        <v>선녀의 무용복</v>
      </c>
      <c r="D2589" s="9" t="str">
        <f>[1]Discovery!E2595</f>
        <v>보물</v>
      </c>
      <c r="E2589" s="9" t="str">
        <f>[1]Discovery!C2595</f>
        <v>보물</v>
      </c>
      <c r="F2589" s="9" t="str">
        <f>[1]Discovery!G2595</f>
        <v>C</v>
      </c>
      <c r="G2589" s="9" t="str">
        <f>IFERROR(VLOOKUP(표1[[#This Row],[명칭]],'문화권 정리'!C:D,2,FALSE),"-")</f>
        <v>남아시아</v>
      </c>
      <c r="H2589" s="38" t="str">
        <f>IFERROR(COUNTIF([2]OceanDoodad!$Y:$Y,표1[[#This Row],[명칭]]),"-")</f>
        <v>-</v>
      </c>
      <c r="I2589" s="38">
        <f>IFERROR(COUNTIF([1]AdventureDiscoveryGroup!$D$8:$AW$92,표1[[#This Row],[명칭]]),"-")</f>
        <v>0</v>
      </c>
      <c r="J2589" s="38">
        <f>IFERROR(COUNTIF([1]FishDiscoveryGroup!$A:$X,표1[[#This Row],[명칭]]),"-")</f>
        <v>0</v>
      </c>
      <c r="K2589" s="38" t="str">
        <f>IFERROR(COUNTIF([2]Town!$B:$B,표1[[#This Row],[명칭]]),"-")</f>
        <v>-</v>
      </c>
      <c r="L2589" s="38">
        <f>IFERROR(COUNTIF([1]Village!$BR:$BR,표1[[#This Row],[명칭]]),"-")</f>
        <v>0</v>
      </c>
      <c r="M2589" s="38">
        <f>COUNTIF(퀘스트!B:B,표1[[#This Row],[명칭]])</f>
        <v>0</v>
      </c>
      <c r="N2589" s="65">
        <f>COUNTIF([1]VillageDiscoveryGroup!$C:$C,표1[[#This Row],[명칭]])</f>
        <v>0</v>
      </c>
      <c r="O2589" s="65">
        <f>SUM(표1[[#This Row],[해양탐색]:[마을탐험]])</f>
        <v>0</v>
      </c>
    </row>
    <row r="2590" spans="2:15" ht="13.5" customHeight="1" x14ac:dyDescent="0.3">
      <c r="B2590" s="9">
        <f>[1]Discovery!A2596</f>
        <v>70417096</v>
      </c>
      <c r="C2590" s="9" t="str">
        <f>[1]Discovery!B2596</f>
        <v>성왕 갑옷</v>
      </c>
      <c r="D2590" s="9" t="str">
        <f>[1]Discovery!E2596</f>
        <v>보물</v>
      </c>
      <c r="E2590" s="9" t="str">
        <f>[1]Discovery!C2596</f>
        <v>보물</v>
      </c>
      <c r="F2590" s="9" t="str">
        <f>[1]Discovery!G2596</f>
        <v>A</v>
      </c>
      <c r="G2590" s="9" t="str">
        <f>IFERROR(VLOOKUP(표1[[#This Row],[명칭]],'문화권 정리'!C:D,2,FALSE),"-")</f>
        <v>지중해</v>
      </c>
      <c r="H2590" s="38" t="str">
        <f>IFERROR(COUNTIF([2]OceanDoodad!$Y:$Y,표1[[#This Row],[명칭]]),"-")</f>
        <v>-</v>
      </c>
      <c r="I2590" s="38">
        <f>IFERROR(COUNTIF([1]AdventureDiscoveryGroup!$D$8:$AW$92,표1[[#This Row],[명칭]]),"-")</f>
        <v>0</v>
      </c>
      <c r="J2590" s="38">
        <f>IFERROR(COUNTIF([1]FishDiscoveryGroup!$A:$X,표1[[#This Row],[명칭]]),"-")</f>
        <v>0</v>
      </c>
      <c r="K2590" s="38" t="str">
        <f>IFERROR(COUNTIF([2]Town!$B:$B,표1[[#This Row],[명칭]]),"-")</f>
        <v>-</v>
      </c>
      <c r="L2590" s="38">
        <f>IFERROR(COUNTIF([1]Village!$BR:$BR,표1[[#This Row],[명칭]]),"-")</f>
        <v>0</v>
      </c>
      <c r="M2590" s="38">
        <f>COUNTIF(퀘스트!B:B,표1[[#This Row],[명칭]])</f>
        <v>0</v>
      </c>
      <c r="N2590" s="65">
        <f>COUNTIF([1]VillageDiscoveryGroup!$C:$C,표1[[#This Row],[명칭]])</f>
        <v>0</v>
      </c>
      <c r="O2590" s="65">
        <f>SUM(표1[[#This Row],[해양탐색]:[마을탐험]])</f>
        <v>0</v>
      </c>
    </row>
    <row r="2591" spans="2:15" ht="13.5" customHeight="1" x14ac:dyDescent="0.3">
      <c r="B2591" s="9">
        <f>[1]Discovery!A2597</f>
        <v>70417097</v>
      </c>
      <c r="C2591" s="9" t="str">
        <f>[1]Discovery!B2597</f>
        <v>세네트</v>
      </c>
      <c r="D2591" s="9" t="str">
        <f>[1]Discovery!E2597</f>
        <v>보물</v>
      </c>
      <c r="E2591" s="9" t="str">
        <f>[1]Discovery!C2597</f>
        <v>보물</v>
      </c>
      <c r="F2591" s="9" t="str">
        <f>[1]Discovery!G2597</f>
        <v>C</v>
      </c>
      <c r="G2591" s="9" t="str">
        <f>IFERROR(VLOOKUP(표1[[#This Row],[명칭]],'문화권 정리'!C:D,2,FALSE),"-")</f>
        <v>북아프리카</v>
      </c>
      <c r="H2591" s="38" t="str">
        <f>IFERROR(COUNTIF([2]OceanDoodad!$Y:$Y,표1[[#This Row],[명칭]]),"-")</f>
        <v>-</v>
      </c>
      <c r="I2591" s="38">
        <f>IFERROR(COUNTIF([1]AdventureDiscoveryGroup!$D$8:$AW$92,표1[[#This Row],[명칭]]),"-")</f>
        <v>1</v>
      </c>
      <c r="J2591" s="38">
        <f>IFERROR(COUNTIF([1]FishDiscoveryGroup!$A:$X,표1[[#This Row],[명칭]]),"-")</f>
        <v>0</v>
      </c>
      <c r="K2591" s="38" t="str">
        <f>IFERROR(COUNTIF([2]Town!$B:$B,표1[[#This Row],[명칭]]),"-")</f>
        <v>-</v>
      </c>
      <c r="L2591" s="38">
        <f>IFERROR(COUNTIF([1]Village!$BR:$BR,표1[[#This Row],[명칭]]),"-")</f>
        <v>0</v>
      </c>
      <c r="M2591" s="38">
        <f>COUNTIF(퀘스트!B:B,표1[[#This Row],[명칭]])</f>
        <v>0</v>
      </c>
      <c r="N2591" s="65">
        <f>COUNTIF([1]VillageDiscoveryGroup!$C:$C,표1[[#This Row],[명칭]])</f>
        <v>0</v>
      </c>
      <c r="O2591" s="65">
        <f>SUM(표1[[#This Row],[해양탐색]:[마을탐험]])</f>
        <v>1</v>
      </c>
    </row>
    <row r="2592" spans="2:15" ht="13.5" customHeight="1" x14ac:dyDescent="0.3">
      <c r="B2592" s="9">
        <f>[1]Discovery!A2598</f>
        <v>70417098</v>
      </c>
      <c r="C2592" s="9" t="str">
        <f>[1]Discovery!B2598</f>
        <v>세이렌의 하프</v>
      </c>
      <c r="D2592" s="9" t="str">
        <f>[1]Discovery!E2598</f>
        <v>보물</v>
      </c>
      <c r="E2592" s="9" t="str">
        <f>[1]Discovery!C2598</f>
        <v>보물</v>
      </c>
      <c r="F2592" s="9" t="str">
        <f>[1]Discovery!G2598</f>
        <v>B</v>
      </c>
      <c r="G2592" s="9" t="str">
        <f>IFERROR(VLOOKUP(표1[[#This Row],[명칭]],'문화권 정리'!C:D,2,FALSE),"-")</f>
        <v>지중해</v>
      </c>
      <c r="H2592" s="38" t="str">
        <f>IFERROR(COUNTIF([2]OceanDoodad!$Y:$Y,표1[[#This Row],[명칭]]),"-")</f>
        <v>-</v>
      </c>
      <c r="I2592" s="38">
        <f>IFERROR(COUNTIF([1]AdventureDiscoveryGroup!$D$8:$AW$92,표1[[#This Row],[명칭]]),"-")</f>
        <v>0</v>
      </c>
      <c r="J2592" s="38">
        <f>IFERROR(COUNTIF([1]FishDiscoveryGroup!$A:$X,표1[[#This Row],[명칭]]),"-")</f>
        <v>0</v>
      </c>
      <c r="K2592" s="38" t="str">
        <f>IFERROR(COUNTIF([2]Town!$B:$B,표1[[#This Row],[명칭]]),"-")</f>
        <v>-</v>
      </c>
      <c r="L2592" s="38">
        <f>IFERROR(COUNTIF([1]Village!$BR:$BR,표1[[#This Row],[명칭]]),"-")</f>
        <v>0</v>
      </c>
      <c r="M2592" s="38">
        <f>COUNTIF(퀘스트!B:B,표1[[#This Row],[명칭]])</f>
        <v>1</v>
      </c>
      <c r="N2592" s="65">
        <f>COUNTIF([1]VillageDiscoveryGroup!$C:$C,표1[[#This Row],[명칭]])</f>
        <v>0</v>
      </c>
      <c r="O2592" s="65">
        <f>SUM(표1[[#This Row],[해양탐색]:[마을탐험]])</f>
        <v>1</v>
      </c>
    </row>
    <row r="2593" spans="2:15" ht="13.5" customHeight="1" x14ac:dyDescent="0.3">
      <c r="B2593" s="9">
        <f>[1]Discovery!A2599</f>
        <v>70417099</v>
      </c>
      <c r="C2593" s="9" t="str">
        <f>[1]Discovery!B2599</f>
        <v>소네트집</v>
      </c>
      <c r="D2593" s="9" t="str">
        <f>[1]Discovery!E2599</f>
        <v>보물</v>
      </c>
      <c r="E2593" s="9" t="str">
        <f>[1]Discovery!C2599</f>
        <v>보물</v>
      </c>
      <c r="F2593" s="9" t="str">
        <f>[1]Discovery!G2599</f>
        <v>A</v>
      </c>
      <c r="G2593" s="9" t="str">
        <f>IFERROR(VLOOKUP(표1[[#This Row],[명칭]],'문화권 정리'!C:D,2,FALSE),"-")</f>
        <v>브리튼</v>
      </c>
      <c r="H2593" s="38" t="str">
        <f>IFERROR(COUNTIF([2]OceanDoodad!$Y:$Y,표1[[#This Row],[명칭]]),"-")</f>
        <v>-</v>
      </c>
      <c r="I2593" s="38">
        <f>IFERROR(COUNTIF([1]AdventureDiscoveryGroup!$D$8:$AW$92,표1[[#This Row],[명칭]]),"-")</f>
        <v>1</v>
      </c>
      <c r="J2593" s="38">
        <f>IFERROR(COUNTIF([1]FishDiscoveryGroup!$A:$X,표1[[#This Row],[명칭]]),"-")</f>
        <v>0</v>
      </c>
      <c r="K2593" s="38" t="str">
        <f>IFERROR(COUNTIF([2]Town!$B:$B,표1[[#This Row],[명칭]]),"-")</f>
        <v>-</v>
      </c>
      <c r="L2593" s="38">
        <f>IFERROR(COUNTIF([1]Village!$BR:$BR,표1[[#This Row],[명칭]]),"-")</f>
        <v>0</v>
      </c>
      <c r="M2593" s="38">
        <f>COUNTIF(퀘스트!B:B,표1[[#This Row],[명칭]])</f>
        <v>0</v>
      </c>
      <c r="N2593" s="65">
        <f>COUNTIF([1]VillageDiscoveryGroup!$C:$C,표1[[#This Row],[명칭]])</f>
        <v>0</v>
      </c>
      <c r="O2593" s="65">
        <f>SUM(표1[[#This Row],[해양탐색]:[마을탐험]])</f>
        <v>1</v>
      </c>
    </row>
    <row r="2594" spans="2:15" ht="13.5" customHeight="1" x14ac:dyDescent="0.3">
      <c r="B2594" s="9">
        <f>[1]Discovery!A2600</f>
        <v>70417100</v>
      </c>
      <c r="C2594" s="9" t="str">
        <f>[1]Discovery!B2600</f>
        <v>손자병법</v>
      </c>
      <c r="D2594" s="9" t="str">
        <f>[1]Discovery!E2600</f>
        <v>보물</v>
      </c>
      <c r="E2594" s="9" t="str">
        <f>[1]Discovery!C2600</f>
        <v>보물</v>
      </c>
      <c r="F2594" s="9" t="str">
        <f>[1]Discovery!G2600</f>
        <v>S</v>
      </c>
      <c r="G2594" s="9" t="str">
        <f>IFERROR(VLOOKUP(표1[[#This Row],[명칭]],'문화권 정리'!C:D,2,FALSE),"-")</f>
        <v>동아시아</v>
      </c>
      <c r="H2594" s="38" t="str">
        <f>IFERROR(COUNTIF([2]OceanDoodad!$Y:$Y,표1[[#This Row],[명칭]]),"-")</f>
        <v>-</v>
      </c>
      <c r="I2594" s="38">
        <f>IFERROR(COUNTIF([1]AdventureDiscoveryGroup!$D$8:$AW$92,표1[[#This Row],[명칭]]),"-")</f>
        <v>0</v>
      </c>
      <c r="J2594" s="38">
        <f>IFERROR(COUNTIF([1]FishDiscoveryGroup!$A:$X,표1[[#This Row],[명칭]]),"-")</f>
        <v>0</v>
      </c>
      <c r="K2594" s="38" t="str">
        <f>IFERROR(COUNTIF([2]Town!$B:$B,표1[[#This Row],[명칭]]),"-")</f>
        <v>-</v>
      </c>
      <c r="L2594" s="38">
        <f>IFERROR(COUNTIF([1]Village!$BR:$BR,표1[[#This Row],[명칭]]),"-")</f>
        <v>0</v>
      </c>
      <c r="M2594" s="38">
        <f>COUNTIF(퀘스트!B:B,표1[[#This Row],[명칭]])</f>
        <v>1</v>
      </c>
      <c r="N2594" s="65">
        <f>COUNTIF([1]VillageDiscoveryGroup!$C:$C,표1[[#This Row],[명칭]])</f>
        <v>0</v>
      </c>
      <c r="O2594" s="65">
        <f>SUM(표1[[#This Row],[해양탐색]:[마을탐험]])</f>
        <v>1</v>
      </c>
    </row>
    <row r="2595" spans="2:15" ht="13.5" customHeight="1" x14ac:dyDescent="0.3">
      <c r="B2595" s="9">
        <f>[1]Discovery!A2601</f>
        <v>70417102</v>
      </c>
      <c r="C2595" s="9" t="str">
        <f>[1]Discovery!B2601</f>
        <v>수호전</v>
      </c>
      <c r="D2595" s="9" t="str">
        <f>[1]Discovery!E2601</f>
        <v>유물</v>
      </c>
      <c r="E2595" s="9" t="str">
        <f>[1]Discovery!C2601</f>
        <v>역사유물</v>
      </c>
      <c r="F2595" s="9" t="str">
        <f>[1]Discovery!G2601</f>
        <v>B</v>
      </c>
      <c r="G2595" s="9" t="str">
        <f>IFERROR(VLOOKUP(표1[[#This Row],[명칭]],'문화권 정리'!C:D,2,FALSE),"-")</f>
        <v>동아시아</v>
      </c>
      <c r="H2595" s="38" t="str">
        <f>IFERROR(COUNTIF([2]OceanDoodad!$Y:$Y,표1[[#This Row],[명칭]]),"-")</f>
        <v>-</v>
      </c>
      <c r="I2595" s="38">
        <f>IFERROR(COUNTIF([1]AdventureDiscoveryGroup!$D$8:$AW$92,표1[[#This Row],[명칭]]),"-")</f>
        <v>0</v>
      </c>
      <c r="J2595" s="38">
        <f>IFERROR(COUNTIF([1]FishDiscoveryGroup!$A:$X,표1[[#This Row],[명칭]]),"-")</f>
        <v>0</v>
      </c>
      <c r="K2595" s="38" t="str">
        <f>IFERROR(COUNTIF([2]Town!$B:$B,표1[[#This Row],[명칭]]),"-")</f>
        <v>-</v>
      </c>
      <c r="L2595" s="38">
        <f>IFERROR(COUNTIF([1]Village!$BR:$BR,표1[[#This Row],[명칭]]),"-")</f>
        <v>0</v>
      </c>
      <c r="M2595" s="38">
        <f>COUNTIF(퀘스트!B:B,표1[[#This Row],[명칭]])</f>
        <v>1</v>
      </c>
      <c r="N2595" s="65">
        <f>COUNTIF([1]VillageDiscoveryGroup!$C:$C,표1[[#This Row],[명칭]])</f>
        <v>0</v>
      </c>
      <c r="O2595" s="65">
        <f>SUM(표1[[#This Row],[해양탐색]:[마을탐험]])</f>
        <v>1</v>
      </c>
    </row>
    <row r="2596" spans="2:15" ht="13.5" customHeight="1" x14ac:dyDescent="0.3">
      <c r="B2596" s="9">
        <f>[1]Discovery!A2602</f>
        <v>70417107</v>
      </c>
      <c r="C2596" s="9" t="str">
        <f>[1]Discovery!B2602</f>
        <v>슬릿 드럼</v>
      </c>
      <c r="D2596" s="9" t="str">
        <f>[1]Discovery!E2602</f>
        <v>보물</v>
      </c>
      <c r="E2596" s="9" t="str">
        <f>[1]Discovery!C2602</f>
        <v>보물</v>
      </c>
      <c r="F2596" s="9" t="str">
        <f>[1]Discovery!G2602</f>
        <v>C</v>
      </c>
      <c r="G2596" s="9" t="str">
        <f>IFERROR(VLOOKUP(표1[[#This Row],[명칭]],'문화권 정리'!C:D,2,FALSE),"-")</f>
        <v>오세아니아</v>
      </c>
      <c r="H2596" s="38" t="str">
        <f>IFERROR(COUNTIF([2]OceanDoodad!$Y:$Y,표1[[#This Row],[명칭]]),"-")</f>
        <v>-</v>
      </c>
      <c r="I2596" s="38">
        <f>IFERROR(COUNTIF([1]AdventureDiscoveryGroup!$D$8:$AW$92,표1[[#This Row],[명칭]]),"-")</f>
        <v>1</v>
      </c>
      <c r="J2596" s="38">
        <f>IFERROR(COUNTIF([1]FishDiscoveryGroup!$A:$X,표1[[#This Row],[명칭]]),"-")</f>
        <v>0</v>
      </c>
      <c r="K2596" s="38" t="str">
        <f>IFERROR(COUNTIF([2]Town!$B:$B,표1[[#This Row],[명칭]]),"-")</f>
        <v>-</v>
      </c>
      <c r="L2596" s="38">
        <f>IFERROR(COUNTIF([1]Village!$BR:$BR,표1[[#This Row],[명칭]]),"-")</f>
        <v>0</v>
      </c>
      <c r="M2596" s="38">
        <f>COUNTIF(퀘스트!B:B,표1[[#This Row],[명칭]])</f>
        <v>0</v>
      </c>
      <c r="N2596" s="65">
        <f>COUNTIF([1]VillageDiscoveryGroup!$C:$C,표1[[#This Row],[명칭]])</f>
        <v>0</v>
      </c>
      <c r="O2596" s="65">
        <f>SUM(표1[[#This Row],[해양탐색]:[마을탐험]])</f>
        <v>1</v>
      </c>
    </row>
    <row r="2597" spans="2:15" ht="13.5" customHeight="1" x14ac:dyDescent="0.3">
      <c r="B2597" s="9">
        <f>[1]Discovery!A2603</f>
        <v>70417109</v>
      </c>
      <c r="C2597" s="9" t="str">
        <f>[1]Discovery!B2603</f>
        <v>시야사트 나메</v>
      </c>
      <c r="D2597" s="9" t="str">
        <f>[1]Discovery!E2603</f>
        <v>보물</v>
      </c>
      <c r="E2597" s="9" t="str">
        <f>[1]Discovery!C2603</f>
        <v>보물</v>
      </c>
      <c r="F2597" s="9" t="str">
        <f>[1]Discovery!G2603</f>
        <v>B</v>
      </c>
      <c r="G2597" s="9" t="str">
        <f>IFERROR(VLOOKUP(표1[[#This Row],[명칭]],'문화권 정리'!C:D,2,FALSE),"-")</f>
        <v>지중해</v>
      </c>
      <c r="H2597" s="38" t="str">
        <f>IFERROR(COUNTIF([2]OceanDoodad!$Y:$Y,표1[[#This Row],[명칭]]),"-")</f>
        <v>-</v>
      </c>
      <c r="I2597" s="38">
        <f>IFERROR(COUNTIF([1]AdventureDiscoveryGroup!$D$8:$AW$92,표1[[#This Row],[명칭]]),"-")</f>
        <v>0</v>
      </c>
      <c r="J2597" s="38">
        <f>IFERROR(COUNTIF([1]FishDiscoveryGroup!$A:$X,표1[[#This Row],[명칭]]),"-")</f>
        <v>0</v>
      </c>
      <c r="K2597" s="38" t="str">
        <f>IFERROR(COUNTIF([2]Town!$B:$B,표1[[#This Row],[명칭]]),"-")</f>
        <v>-</v>
      </c>
      <c r="L2597" s="38">
        <f>IFERROR(COUNTIF([1]Village!$BR:$BR,표1[[#This Row],[명칭]]),"-")</f>
        <v>0</v>
      </c>
      <c r="M2597" s="38">
        <f>COUNTIF(퀘스트!B:B,표1[[#This Row],[명칭]])</f>
        <v>0</v>
      </c>
      <c r="N2597" s="65">
        <f>COUNTIF([1]VillageDiscoveryGroup!$C:$C,표1[[#This Row],[명칭]])</f>
        <v>0</v>
      </c>
      <c r="O2597" s="65">
        <f>SUM(표1[[#This Row],[해양탐색]:[마을탐험]])</f>
        <v>0</v>
      </c>
    </row>
    <row r="2598" spans="2:15" ht="13.5" customHeight="1" x14ac:dyDescent="0.3">
      <c r="B2598" s="9">
        <f>[1]Discovery!A2604</f>
        <v>70417110</v>
      </c>
      <c r="C2598" s="9" t="str">
        <f>[1]Discovery!B2604</f>
        <v>신곡</v>
      </c>
      <c r="D2598" s="9" t="str">
        <f>[1]Discovery!E2604</f>
        <v>보물</v>
      </c>
      <c r="E2598" s="9" t="str">
        <f>[1]Discovery!C2604</f>
        <v>보물</v>
      </c>
      <c r="F2598" s="9" t="str">
        <f>[1]Discovery!G2604</f>
        <v>B</v>
      </c>
      <c r="G2598" s="9" t="str">
        <f>IFERROR(VLOOKUP(표1[[#This Row],[명칭]],'문화권 정리'!C:D,2,FALSE),"-")</f>
        <v>지중해</v>
      </c>
      <c r="H2598" s="38" t="str">
        <f>IFERROR(COUNTIF([2]OceanDoodad!$Y:$Y,표1[[#This Row],[명칭]]),"-")</f>
        <v>-</v>
      </c>
      <c r="I2598" s="38">
        <f>IFERROR(COUNTIF([1]AdventureDiscoveryGroup!$D$8:$AW$92,표1[[#This Row],[명칭]]),"-")</f>
        <v>0</v>
      </c>
      <c r="J2598" s="38">
        <f>IFERROR(COUNTIF([1]FishDiscoveryGroup!$A:$X,표1[[#This Row],[명칭]]),"-")</f>
        <v>0</v>
      </c>
      <c r="K2598" s="38" t="str">
        <f>IFERROR(COUNTIF([2]Town!$B:$B,표1[[#This Row],[명칭]]),"-")</f>
        <v>-</v>
      </c>
      <c r="L2598" s="38">
        <f>IFERROR(COUNTIF([1]Village!$BR:$BR,표1[[#This Row],[명칭]]),"-")</f>
        <v>0</v>
      </c>
      <c r="M2598" s="38">
        <f>COUNTIF(퀘스트!B:B,표1[[#This Row],[명칭]])</f>
        <v>0</v>
      </c>
      <c r="N2598" s="65">
        <f>COUNTIF([1]VillageDiscoveryGroup!$C:$C,표1[[#This Row],[명칭]])</f>
        <v>0</v>
      </c>
      <c r="O2598" s="65">
        <f>SUM(표1[[#This Row],[해양탐색]:[마을탐험]])</f>
        <v>0</v>
      </c>
    </row>
    <row r="2599" spans="2:15" ht="13.5" customHeight="1" x14ac:dyDescent="0.3">
      <c r="B2599" s="9">
        <f>[1]Discovery!A2605</f>
        <v>70417111</v>
      </c>
      <c r="C2599" s="9" t="str">
        <f>[1]Discovery!B2605</f>
        <v>신기한 투구 장식</v>
      </c>
      <c r="D2599" s="9" t="str">
        <f>[1]Discovery!E2605</f>
        <v>보물</v>
      </c>
      <c r="E2599" s="9" t="str">
        <f>[1]Discovery!C2605</f>
        <v>보물</v>
      </c>
      <c r="F2599" s="9" t="str">
        <f>[1]Discovery!G2605</f>
        <v>D</v>
      </c>
      <c r="G2599" s="9" t="str">
        <f>IFERROR(VLOOKUP(표1[[#This Row],[명칭]],'문화권 정리'!C:D,2,FALSE),"-")</f>
        <v>동아시아</v>
      </c>
      <c r="H2599" s="38" t="str">
        <f>IFERROR(COUNTIF([2]OceanDoodad!$Y:$Y,표1[[#This Row],[명칭]]),"-")</f>
        <v>-</v>
      </c>
      <c r="I2599" s="38">
        <f>IFERROR(COUNTIF([1]AdventureDiscoveryGroup!$D$8:$AW$92,표1[[#This Row],[명칭]]),"-")</f>
        <v>0</v>
      </c>
      <c r="J2599" s="38">
        <f>IFERROR(COUNTIF([1]FishDiscoveryGroup!$A:$X,표1[[#This Row],[명칭]]),"-")</f>
        <v>0</v>
      </c>
      <c r="K2599" s="38" t="str">
        <f>IFERROR(COUNTIF([2]Town!$B:$B,표1[[#This Row],[명칭]]),"-")</f>
        <v>-</v>
      </c>
      <c r="L2599" s="38">
        <f>IFERROR(COUNTIF([1]Village!$BR:$BR,표1[[#This Row],[명칭]]),"-")</f>
        <v>0</v>
      </c>
      <c r="M2599" s="38">
        <f>COUNTIF(퀘스트!B:B,표1[[#This Row],[명칭]])</f>
        <v>0</v>
      </c>
      <c r="N2599" s="65">
        <f>COUNTIF([1]VillageDiscoveryGroup!$C:$C,표1[[#This Row],[명칭]])</f>
        <v>0</v>
      </c>
      <c r="O2599" s="65">
        <f>SUM(표1[[#This Row],[해양탐색]:[마을탐험]])</f>
        <v>0</v>
      </c>
    </row>
    <row r="2600" spans="2:15" ht="13.5" customHeight="1" x14ac:dyDescent="0.3">
      <c r="B2600" s="9">
        <f>[1]Discovery!A2606</f>
        <v>70417112</v>
      </c>
      <c r="C2600" s="9" t="str">
        <f>[1]Discovery!B2606</f>
        <v>신농본초경</v>
      </c>
      <c r="D2600" s="9" t="str">
        <f>[1]Discovery!E2606</f>
        <v>보물</v>
      </c>
      <c r="E2600" s="9" t="str">
        <f>[1]Discovery!C2606</f>
        <v>보물</v>
      </c>
      <c r="F2600" s="9" t="str">
        <f>[1]Discovery!G2606</f>
        <v>A</v>
      </c>
      <c r="G2600" s="9" t="str">
        <f>IFERROR(VLOOKUP(표1[[#This Row],[명칭]],'문화권 정리'!C:D,2,FALSE),"-")</f>
        <v>동아시아</v>
      </c>
      <c r="H2600" s="38" t="str">
        <f>IFERROR(COUNTIF([2]OceanDoodad!$Y:$Y,표1[[#This Row],[명칭]]),"-")</f>
        <v>-</v>
      </c>
      <c r="I2600" s="38">
        <f>IFERROR(COUNTIF([1]AdventureDiscoveryGroup!$D$8:$AW$92,표1[[#This Row],[명칭]]),"-")</f>
        <v>0</v>
      </c>
      <c r="J2600" s="38">
        <f>IFERROR(COUNTIF([1]FishDiscoveryGroup!$A:$X,표1[[#This Row],[명칭]]),"-")</f>
        <v>0</v>
      </c>
      <c r="K2600" s="38" t="str">
        <f>IFERROR(COUNTIF([2]Town!$B:$B,표1[[#This Row],[명칭]]),"-")</f>
        <v>-</v>
      </c>
      <c r="L2600" s="38">
        <f>IFERROR(COUNTIF([1]Village!$BR:$BR,표1[[#This Row],[명칭]]),"-")</f>
        <v>0</v>
      </c>
      <c r="M2600" s="38">
        <f>COUNTIF(퀘스트!B:B,표1[[#This Row],[명칭]])</f>
        <v>0</v>
      </c>
      <c r="N2600" s="65">
        <f>COUNTIF([1]VillageDiscoveryGroup!$C:$C,표1[[#This Row],[명칭]])</f>
        <v>0</v>
      </c>
      <c r="O2600" s="65">
        <f>SUM(표1[[#This Row],[해양탐색]:[마을탐험]])</f>
        <v>0</v>
      </c>
    </row>
    <row r="2601" spans="2:15" ht="13.5" customHeight="1" x14ac:dyDescent="0.3">
      <c r="B2601" s="9">
        <f>[1]Discovery!A2607</f>
        <v>70417113</v>
      </c>
      <c r="C2601" s="9" t="str">
        <f>[1]Discovery!B2607</f>
        <v>신라 금관</v>
      </c>
      <c r="D2601" s="9" t="str">
        <f>[1]Discovery!E2607</f>
        <v>보물</v>
      </c>
      <c r="E2601" s="9" t="str">
        <f>[1]Discovery!C2607</f>
        <v>보물</v>
      </c>
      <c r="F2601" s="9" t="str">
        <f>[1]Discovery!G2607</f>
        <v>B</v>
      </c>
      <c r="G2601" s="9" t="str">
        <f>IFERROR(VLOOKUP(표1[[#This Row],[명칭]],'문화권 정리'!C:D,2,FALSE),"-")</f>
        <v>동아시아</v>
      </c>
      <c r="H2601" s="38" t="str">
        <f>IFERROR(COUNTIF([2]OceanDoodad!$Y:$Y,표1[[#This Row],[명칭]]),"-")</f>
        <v>-</v>
      </c>
      <c r="I2601" s="38">
        <f>IFERROR(COUNTIF([1]AdventureDiscoveryGroup!$D$8:$AW$92,표1[[#This Row],[명칭]]),"-")</f>
        <v>0</v>
      </c>
      <c r="J2601" s="38">
        <f>IFERROR(COUNTIF([1]FishDiscoveryGroup!$A:$X,표1[[#This Row],[명칭]]),"-")</f>
        <v>0</v>
      </c>
      <c r="K2601" s="38" t="str">
        <f>IFERROR(COUNTIF([2]Town!$B:$B,표1[[#This Row],[명칭]]),"-")</f>
        <v>-</v>
      </c>
      <c r="L2601" s="38">
        <f>IFERROR(COUNTIF([1]Village!$BR:$BR,표1[[#This Row],[명칭]]),"-")</f>
        <v>0</v>
      </c>
      <c r="M2601" s="38">
        <f>COUNTIF(퀘스트!B:B,표1[[#This Row],[명칭]])</f>
        <v>1</v>
      </c>
      <c r="N2601" s="65">
        <f>COUNTIF([1]VillageDiscoveryGroup!$C:$C,표1[[#This Row],[명칭]])</f>
        <v>0</v>
      </c>
      <c r="O2601" s="65">
        <f>SUM(표1[[#This Row],[해양탐색]:[마을탐험]])</f>
        <v>1</v>
      </c>
    </row>
    <row r="2602" spans="2:15" ht="13.5" customHeight="1" x14ac:dyDescent="0.3">
      <c r="B2602" s="9">
        <f>[1]Discovery!A2608</f>
        <v>70417114</v>
      </c>
      <c r="C2602" s="9" t="str">
        <f>[1]Discovery!B2608</f>
        <v>신문고</v>
      </c>
      <c r="D2602" s="9" t="str">
        <f>[1]Discovery!E2608</f>
        <v>유물</v>
      </c>
      <c r="E2602" s="9" t="str">
        <f>[1]Discovery!C2608</f>
        <v>역사유물</v>
      </c>
      <c r="F2602" s="9" t="str">
        <f>[1]Discovery!G2608</f>
        <v>C</v>
      </c>
      <c r="G2602" s="9" t="str">
        <f>IFERROR(VLOOKUP(표1[[#This Row],[명칭]],'문화권 정리'!C:D,2,FALSE),"-")</f>
        <v>동아시아</v>
      </c>
      <c r="H2602" s="38" t="str">
        <f>IFERROR(COUNTIF([2]OceanDoodad!$Y:$Y,표1[[#This Row],[명칭]]),"-")</f>
        <v>-</v>
      </c>
      <c r="I2602" s="38">
        <f>IFERROR(COUNTIF([1]AdventureDiscoveryGroup!$D$8:$AW$92,표1[[#This Row],[명칭]]),"-")</f>
        <v>0</v>
      </c>
      <c r="J2602" s="38">
        <f>IFERROR(COUNTIF([1]FishDiscoveryGroup!$A:$X,표1[[#This Row],[명칭]]),"-")</f>
        <v>0</v>
      </c>
      <c r="K2602" s="38" t="str">
        <f>IFERROR(COUNTIF([2]Town!$B:$B,표1[[#This Row],[명칭]]),"-")</f>
        <v>-</v>
      </c>
      <c r="L2602" s="38">
        <f>IFERROR(COUNTIF([1]Village!$BR:$BR,표1[[#This Row],[명칭]]),"-")</f>
        <v>0</v>
      </c>
      <c r="M2602" s="38">
        <f>COUNTIF(퀘스트!B:B,표1[[#This Row],[명칭]])</f>
        <v>0</v>
      </c>
      <c r="N2602" s="65">
        <f>COUNTIF([1]VillageDiscoveryGroup!$C:$C,표1[[#This Row],[명칭]])</f>
        <v>0</v>
      </c>
      <c r="O2602" s="65">
        <f>SUM(표1[[#This Row],[해양탐색]:[마을탐험]])</f>
        <v>0</v>
      </c>
    </row>
    <row r="2603" spans="2:15" ht="13.5" customHeight="1" x14ac:dyDescent="0.3">
      <c r="B2603" s="9">
        <f>[1]Discovery!A2609</f>
        <v>70417118</v>
      </c>
      <c r="C2603" s="9" t="str">
        <f>[1]Discovery!B2609</f>
        <v>아르페 성궤</v>
      </c>
      <c r="D2603" s="9" t="str">
        <f>[1]Discovery!E2609</f>
        <v>유물</v>
      </c>
      <c r="E2603" s="9" t="str">
        <f>[1]Discovery!C2609</f>
        <v>종교유물</v>
      </c>
      <c r="F2603" s="9" t="str">
        <f>[1]Discovery!G2609</f>
        <v>S</v>
      </c>
      <c r="G2603" s="9" t="str">
        <f>IFERROR(VLOOKUP(표1[[#This Row],[명칭]],'문화권 정리'!C:D,2,FALSE),"-")</f>
        <v>지중해</v>
      </c>
      <c r="H2603" s="38" t="str">
        <f>IFERROR(COUNTIF([2]OceanDoodad!$Y:$Y,표1[[#This Row],[명칭]]),"-")</f>
        <v>-</v>
      </c>
      <c r="I2603" s="38">
        <f>IFERROR(COUNTIF([1]AdventureDiscoveryGroup!$D$8:$AW$92,표1[[#This Row],[명칭]]),"-")</f>
        <v>0</v>
      </c>
      <c r="J2603" s="38">
        <f>IFERROR(COUNTIF([1]FishDiscoveryGroup!$A:$X,표1[[#This Row],[명칭]]),"-")</f>
        <v>0</v>
      </c>
      <c r="K2603" s="38" t="str">
        <f>IFERROR(COUNTIF([2]Town!$B:$B,표1[[#This Row],[명칭]]),"-")</f>
        <v>-</v>
      </c>
      <c r="L2603" s="38">
        <f>IFERROR(COUNTIF([1]Village!$BR:$BR,표1[[#This Row],[명칭]]),"-")</f>
        <v>0</v>
      </c>
      <c r="M2603" s="38">
        <f>COUNTIF(퀘스트!B:B,표1[[#This Row],[명칭]])</f>
        <v>0</v>
      </c>
      <c r="N2603" s="65">
        <f>COUNTIF([1]VillageDiscoveryGroup!$C:$C,표1[[#This Row],[명칭]])</f>
        <v>0</v>
      </c>
      <c r="O2603" s="65">
        <f>SUM(표1[[#This Row],[해양탐색]:[마을탐험]])</f>
        <v>0</v>
      </c>
    </row>
    <row r="2604" spans="2:15" ht="13.5" customHeight="1" x14ac:dyDescent="0.3">
      <c r="B2604" s="9">
        <f>[1]Discovery!A2610</f>
        <v>70417120</v>
      </c>
      <c r="C2604" s="9" t="str">
        <f>[1]Discovery!B2610</f>
        <v>아스맛족 머리 장식</v>
      </c>
      <c r="D2604" s="9" t="str">
        <f>[1]Discovery!E2610</f>
        <v>보물</v>
      </c>
      <c r="E2604" s="9" t="str">
        <f>[1]Discovery!C2610</f>
        <v>보물</v>
      </c>
      <c r="F2604" s="9" t="str">
        <f>[1]Discovery!G2610</f>
        <v>B</v>
      </c>
      <c r="G2604" s="9" t="str">
        <f>IFERROR(VLOOKUP(표1[[#This Row],[명칭]],'문화권 정리'!C:D,2,FALSE),"-")</f>
        <v>동남아시아</v>
      </c>
      <c r="H2604" s="38" t="str">
        <f>IFERROR(COUNTIF([2]OceanDoodad!$Y:$Y,표1[[#This Row],[명칭]]),"-")</f>
        <v>-</v>
      </c>
      <c r="I2604" s="38">
        <f>IFERROR(COUNTIF([1]AdventureDiscoveryGroup!$D$8:$AW$92,표1[[#This Row],[명칭]]),"-")</f>
        <v>1</v>
      </c>
      <c r="J2604" s="38">
        <f>IFERROR(COUNTIF([1]FishDiscoveryGroup!$A:$X,표1[[#This Row],[명칭]]),"-")</f>
        <v>0</v>
      </c>
      <c r="K2604" s="38" t="str">
        <f>IFERROR(COUNTIF([2]Town!$B:$B,표1[[#This Row],[명칭]]),"-")</f>
        <v>-</v>
      </c>
      <c r="L2604" s="38">
        <f>IFERROR(COUNTIF([1]Village!$BR:$BR,표1[[#This Row],[명칭]]),"-")</f>
        <v>0</v>
      </c>
      <c r="M2604" s="38">
        <f>COUNTIF(퀘스트!B:B,표1[[#This Row],[명칭]])</f>
        <v>0</v>
      </c>
      <c r="N2604" s="65">
        <f>COUNTIF([1]VillageDiscoveryGroup!$C:$C,표1[[#This Row],[명칭]])</f>
        <v>0</v>
      </c>
      <c r="O2604" s="65">
        <f>SUM(표1[[#This Row],[해양탐색]:[마을탐험]])</f>
        <v>1</v>
      </c>
    </row>
    <row r="2605" spans="2:15" ht="13.5" customHeight="1" x14ac:dyDescent="0.3">
      <c r="B2605" s="9">
        <f>[1]Discovery!A2611</f>
        <v>70417121</v>
      </c>
      <c r="C2605" s="9" t="str">
        <f>[1]Discovery!B2611</f>
        <v>아이올로스의 공</v>
      </c>
      <c r="D2605" s="9" t="str">
        <f>[1]Discovery!E2611</f>
        <v>보물</v>
      </c>
      <c r="E2605" s="9" t="str">
        <f>[1]Discovery!C2611</f>
        <v>보물</v>
      </c>
      <c r="F2605" s="9" t="str">
        <f>[1]Discovery!G2611</f>
        <v>B</v>
      </c>
      <c r="G2605" s="9" t="str">
        <f>IFERROR(VLOOKUP(표1[[#This Row],[명칭]],'문화권 정리'!C:D,2,FALSE),"-")</f>
        <v>지중해</v>
      </c>
      <c r="H2605" s="38" t="str">
        <f>IFERROR(COUNTIF([2]OceanDoodad!$Y:$Y,표1[[#This Row],[명칭]]),"-")</f>
        <v>-</v>
      </c>
      <c r="I2605" s="38">
        <f>IFERROR(COUNTIF([1]AdventureDiscoveryGroup!$D$8:$AW$92,표1[[#This Row],[명칭]]),"-")</f>
        <v>0</v>
      </c>
      <c r="J2605" s="38">
        <f>IFERROR(COUNTIF([1]FishDiscoveryGroup!$A:$X,표1[[#This Row],[명칭]]),"-")</f>
        <v>0</v>
      </c>
      <c r="K2605" s="38" t="str">
        <f>IFERROR(COUNTIF([2]Town!$B:$B,표1[[#This Row],[명칭]]),"-")</f>
        <v>-</v>
      </c>
      <c r="L2605" s="38">
        <f>IFERROR(COUNTIF([1]Village!$BR:$BR,표1[[#This Row],[명칭]]),"-")</f>
        <v>0</v>
      </c>
      <c r="M2605" s="38">
        <f>COUNTIF(퀘스트!B:B,표1[[#This Row],[명칭]])</f>
        <v>0</v>
      </c>
      <c r="N2605" s="65">
        <f>COUNTIF([1]VillageDiscoveryGroup!$C:$C,표1[[#This Row],[명칭]])</f>
        <v>0</v>
      </c>
      <c r="O2605" s="65">
        <f>SUM(표1[[#This Row],[해양탐색]:[마을탐험]])</f>
        <v>0</v>
      </c>
    </row>
    <row r="2606" spans="2:15" ht="13.5" customHeight="1" x14ac:dyDescent="0.3">
      <c r="B2606" s="9">
        <f>[1]Discovery!A2612</f>
        <v>70417122</v>
      </c>
      <c r="C2606" s="9" t="str">
        <f>[1]Discovery!B2612</f>
        <v>아프리카의 별</v>
      </c>
      <c r="D2606" s="9" t="str">
        <f>[1]Discovery!E2612</f>
        <v>보물</v>
      </c>
      <c r="E2606" s="9" t="str">
        <f>[1]Discovery!C2612</f>
        <v>보물</v>
      </c>
      <c r="F2606" s="9" t="str">
        <f>[1]Discovery!G2612</f>
        <v>A</v>
      </c>
      <c r="G2606" s="9" t="str">
        <f>IFERROR(VLOOKUP(표1[[#This Row],[명칭]],'문화권 정리'!C:D,2,FALSE),"-")</f>
        <v>남아프리카</v>
      </c>
      <c r="H2606" s="38" t="str">
        <f>IFERROR(COUNTIF([2]OceanDoodad!$Y:$Y,표1[[#This Row],[명칭]]),"-")</f>
        <v>-</v>
      </c>
      <c r="I2606" s="38">
        <f>IFERROR(COUNTIF([1]AdventureDiscoveryGroup!$D$8:$AW$92,표1[[#This Row],[명칭]]),"-")</f>
        <v>0</v>
      </c>
      <c r="J2606" s="38">
        <f>IFERROR(COUNTIF([1]FishDiscoveryGroup!$A:$X,표1[[#This Row],[명칭]]),"-")</f>
        <v>0</v>
      </c>
      <c r="K2606" s="38" t="str">
        <f>IFERROR(COUNTIF([2]Town!$B:$B,표1[[#This Row],[명칭]]),"-")</f>
        <v>-</v>
      </c>
      <c r="L2606" s="38">
        <f>IFERROR(COUNTIF([1]Village!$BR:$BR,표1[[#This Row],[명칭]]),"-")</f>
        <v>0</v>
      </c>
      <c r="M2606" s="38">
        <f>COUNTIF(퀘스트!B:B,표1[[#This Row],[명칭]])</f>
        <v>0</v>
      </c>
      <c r="N2606" s="65">
        <f>COUNTIF([1]VillageDiscoveryGroup!$C:$C,표1[[#This Row],[명칭]])</f>
        <v>0</v>
      </c>
      <c r="O2606" s="65">
        <f>SUM(표1[[#This Row],[해양탐색]:[마을탐험]])</f>
        <v>0</v>
      </c>
    </row>
    <row r="2607" spans="2:15" ht="13.5" customHeight="1" x14ac:dyDescent="0.3">
      <c r="B2607" s="9">
        <f>[1]Discovery!A2613</f>
        <v>70417124</v>
      </c>
      <c r="C2607" s="9" t="str">
        <f>[1]Discovery!B2613</f>
        <v>알마게스트</v>
      </c>
      <c r="D2607" s="9" t="str">
        <f>[1]Discovery!E2613</f>
        <v>보물</v>
      </c>
      <c r="E2607" s="9" t="str">
        <f>[1]Discovery!C2613</f>
        <v>보물</v>
      </c>
      <c r="F2607" s="9" t="str">
        <f>[1]Discovery!G2613</f>
        <v>S</v>
      </c>
      <c r="G2607" s="9" t="str">
        <f>IFERROR(VLOOKUP(표1[[#This Row],[명칭]],'문화권 정리'!C:D,2,FALSE),"-")</f>
        <v>지중해</v>
      </c>
      <c r="H2607" s="38" t="str">
        <f>IFERROR(COUNTIF([2]OceanDoodad!$Y:$Y,표1[[#This Row],[명칭]]),"-")</f>
        <v>-</v>
      </c>
      <c r="I2607" s="38">
        <f>IFERROR(COUNTIF([1]AdventureDiscoveryGroup!$D$8:$AW$92,표1[[#This Row],[명칭]]),"-")</f>
        <v>0</v>
      </c>
      <c r="J2607" s="38">
        <f>IFERROR(COUNTIF([1]FishDiscoveryGroup!$A:$X,표1[[#This Row],[명칭]]),"-")</f>
        <v>0</v>
      </c>
      <c r="K2607" s="38" t="str">
        <f>IFERROR(COUNTIF([2]Town!$B:$B,표1[[#This Row],[명칭]]),"-")</f>
        <v>-</v>
      </c>
      <c r="L2607" s="38">
        <f>IFERROR(COUNTIF([1]Village!$BR:$BR,표1[[#This Row],[명칭]]),"-")</f>
        <v>0</v>
      </c>
      <c r="M2607" s="38">
        <f>COUNTIF(퀘스트!B:B,표1[[#This Row],[명칭]])</f>
        <v>0</v>
      </c>
      <c r="N2607" s="65">
        <f>COUNTIF([1]VillageDiscoveryGroup!$C:$C,표1[[#This Row],[명칭]])</f>
        <v>0</v>
      </c>
      <c r="O2607" s="65">
        <f>SUM(표1[[#This Row],[해양탐색]:[마을탐험]])</f>
        <v>0</v>
      </c>
    </row>
    <row r="2608" spans="2:15" ht="13.5" customHeight="1" x14ac:dyDescent="0.3">
      <c r="B2608" s="9">
        <f>[1]Discovery!A2614</f>
        <v>70417127</v>
      </c>
      <c r="C2608" s="9" t="str">
        <f>[1]Discovery!B2614</f>
        <v>양금수수마노배</v>
      </c>
      <c r="D2608" s="9" t="str">
        <f>[1]Discovery!E2614</f>
        <v>보물</v>
      </c>
      <c r="E2608" s="9" t="str">
        <f>[1]Discovery!C2614</f>
        <v>보물</v>
      </c>
      <c r="F2608" s="9" t="str">
        <f>[1]Discovery!G2614</f>
        <v>B</v>
      </c>
      <c r="G2608" s="9" t="str">
        <f>IFERROR(VLOOKUP(표1[[#This Row],[명칭]],'문화권 정리'!C:D,2,FALSE),"-")</f>
        <v>동아시아</v>
      </c>
      <c r="H2608" s="38" t="str">
        <f>IFERROR(COUNTIF([2]OceanDoodad!$Y:$Y,표1[[#This Row],[명칭]]),"-")</f>
        <v>-</v>
      </c>
      <c r="I2608" s="38">
        <f>IFERROR(COUNTIF([1]AdventureDiscoveryGroup!$D$8:$AW$92,표1[[#This Row],[명칭]]),"-")</f>
        <v>0</v>
      </c>
      <c r="J2608" s="38">
        <f>IFERROR(COUNTIF([1]FishDiscoveryGroup!$A:$X,표1[[#This Row],[명칭]]),"-")</f>
        <v>0</v>
      </c>
      <c r="K2608" s="38" t="str">
        <f>IFERROR(COUNTIF([2]Town!$B:$B,표1[[#This Row],[명칭]]),"-")</f>
        <v>-</v>
      </c>
      <c r="L2608" s="38">
        <f>IFERROR(COUNTIF([1]Village!$BR:$BR,표1[[#This Row],[명칭]]),"-")</f>
        <v>0</v>
      </c>
      <c r="M2608" s="38">
        <f>COUNTIF(퀘스트!B:B,표1[[#This Row],[명칭]])</f>
        <v>0</v>
      </c>
      <c r="N2608" s="65">
        <f>COUNTIF([1]VillageDiscoveryGroup!$C:$C,표1[[#This Row],[명칭]])</f>
        <v>0</v>
      </c>
      <c r="O2608" s="65">
        <f>SUM(표1[[#This Row],[해양탐색]:[마을탐험]])</f>
        <v>0</v>
      </c>
    </row>
    <row r="2609" spans="2:15" ht="13.5" customHeight="1" x14ac:dyDescent="0.3">
      <c r="B2609" s="9">
        <f>[1]Discovery!A2615</f>
        <v>70417128</v>
      </c>
      <c r="C2609" s="9" t="str">
        <f>[1]Discovery!B2615</f>
        <v>에르난 코르테스의 총</v>
      </c>
      <c r="D2609" s="9" t="str">
        <f>[1]Discovery!E2615</f>
        <v>보물</v>
      </c>
      <c r="E2609" s="9" t="str">
        <f>[1]Discovery!C2615</f>
        <v>보물</v>
      </c>
      <c r="F2609" s="9" t="str">
        <f>[1]Discovery!G2615</f>
        <v>C</v>
      </c>
      <c r="G2609" s="9" t="str">
        <f>IFERROR(VLOOKUP(표1[[#This Row],[명칭]],'문화권 정리'!C:D,2,FALSE),"-")</f>
        <v>지중해</v>
      </c>
      <c r="H2609" s="38" t="str">
        <f>IFERROR(COUNTIF([2]OceanDoodad!$Y:$Y,표1[[#This Row],[명칭]]),"-")</f>
        <v>-</v>
      </c>
      <c r="I2609" s="38">
        <f>IFERROR(COUNTIF([1]AdventureDiscoveryGroup!$D$8:$AW$92,표1[[#This Row],[명칭]]),"-")</f>
        <v>0</v>
      </c>
      <c r="J2609" s="38">
        <f>IFERROR(COUNTIF([1]FishDiscoveryGroup!$A:$X,표1[[#This Row],[명칭]]),"-")</f>
        <v>0</v>
      </c>
      <c r="K2609" s="38" t="str">
        <f>IFERROR(COUNTIF([2]Town!$B:$B,표1[[#This Row],[명칭]]),"-")</f>
        <v>-</v>
      </c>
      <c r="L2609" s="38">
        <f>IFERROR(COUNTIF([1]Village!$BR:$BR,표1[[#This Row],[명칭]]),"-")</f>
        <v>0</v>
      </c>
      <c r="M2609" s="38">
        <f>COUNTIF(퀘스트!B:B,표1[[#This Row],[명칭]])</f>
        <v>1</v>
      </c>
      <c r="N2609" s="65">
        <f>COUNTIF([1]VillageDiscoveryGroup!$C:$C,표1[[#This Row],[명칭]])</f>
        <v>0</v>
      </c>
      <c r="O2609" s="65">
        <f>SUM(표1[[#This Row],[해양탐색]:[마을탐험]])</f>
        <v>1</v>
      </c>
    </row>
    <row r="2610" spans="2:15" ht="13.5" customHeight="1" x14ac:dyDescent="0.3">
      <c r="B2610" s="9">
        <f>[1]Discovery!A2616</f>
        <v>70417129</v>
      </c>
      <c r="C2610" s="9" t="str">
        <f>[1]Discovery!B2616</f>
        <v>엘 시드의 노래</v>
      </c>
      <c r="D2610" s="9" t="str">
        <f>[1]Discovery!E2616</f>
        <v>보물</v>
      </c>
      <c r="E2610" s="9" t="str">
        <f>[1]Discovery!C2616</f>
        <v>보물</v>
      </c>
      <c r="F2610" s="9" t="str">
        <f>[1]Discovery!G2616</f>
        <v>B</v>
      </c>
      <c r="G2610" s="9" t="str">
        <f>IFERROR(VLOOKUP(표1[[#This Row],[명칭]],'문화권 정리'!C:D,2,FALSE),"-")</f>
        <v>지중해</v>
      </c>
      <c r="H2610" s="38" t="str">
        <f>IFERROR(COUNTIF([2]OceanDoodad!$Y:$Y,표1[[#This Row],[명칭]]),"-")</f>
        <v>-</v>
      </c>
      <c r="I2610" s="38">
        <f>IFERROR(COUNTIF([1]AdventureDiscoveryGroup!$D$8:$AW$92,표1[[#This Row],[명칭]]),"-")</f>
        <v>0</v>
      </c>
      <c r="J2610" s="38">
        <f>IFERROR(COUNTIF([1]FishDiscoveryGroup!$A:$X,표1[[#This Row],[명칭]]),"-")</f>
        <v>0</v>
      </c>
      <c r="K2610" s="38" t="str">
        <f>IFERROR(COUNTIF([2]Town!$B:$B,표1[[#This Row],[명칭]]),"-")</f>
        <v>-</v>
      </c>
      <c r="L2610" s="38">
        <f>IFERROR(COUNTIF([1]Village!$BR:$BR,표1[[#This Row],[명칭]]),"-")</f>
        <v>0</v>
      </c>
      <c r="M2610" s="38">
        <f>COUNTIF(퀘스트!B:B,표1[[#This Row],[명칭]])</f>
        <v>1</v>
      </c>
      <c r="N2610" s="65">
        <f>COUNTIF([1]VillageDiscoveryGroup!$C:$C,표1[[#This Row],[명칭]])</f>
        <v>0</v>
      </c>
      <c r="O2610" s="65">
        <f>SUM(표1[[#This Row],[해양탐색]:[마을탐험]])</f>
        <v>1</v>
      </c>
    </row>
    <row r="2611" spans="2:15" ht="13.5" customHeight="1" x14ac:dyDescent="0.3">
      <c r="B2611" s="9">
        <f>[1]Discovery!A2617</f>
        <v>70417130</v>
      </c>
      <c r="C2611" s="9" t="str">
        <f>[1]Discovery!B2617</f>
        <v>역사</v>
      </c>
      <c r="D2611" s="9" t="str">
        <f>[1]Discovery!E2617</f>
        <v>유물</v>
      </c>
      <c r="E2611" s="9" t="str">
        <f>[1]Discovery!C2617</f>
        <v>역사유물</v>
      </c>
      <c r="F2611" s="9" t="str">
        <f>[1]Discovery!G2617</f>
        <v>B</v>
      </c>
      <c r="G2611" s="9" t="str">
        <f>IFERROR(VLOOKUP(표1[[#This Row],[명칭]],'문화권 정리'!C:D,2,FALSE),"-")</f>
        <v>지중해</v>
      </c>
      <c r="H2611" s="38" t="str">
        <f>IFERROR(COUNTIF([2]OceanDoodad!$Y:$Y,표1[[#This Row],[명칭]]),"-")</f>
        <v>-</v>
      </c>
      <c r="I2611" s="38">
        <f>IFERROR(COUNTIF([1]AdventureDiscoveryGroup!$D$8:$AW$92,표1[[#This Row],[명칭]]),"-")</f>
        <v>0</v>
      </c>
      <c r="J2611" s="38">
        <f>IFERROR(COUNTIF([1]FishDiscoveryGroup!$A:$X,표1[[#This Row],[명칭]]),"-")</f>
        <v>0</v>
      </c>
      <c r="K2611" s="38" t="str">
        <f>IFERROR(COUNTIF([2]Town!$B:$B,표1[[#This Row],[명칭]]),"-")</f>
        <v>-</v>
      </c>
      <c r="L2611" s="38">
        <f>IFERROR(COUNTIF([1]Village!$BR:$BR,표1[[#This Row],[명칭]]),"-")</f>
        <v>0</v>
      </c>
      <c r="M2611" s="38">
        <f>COUNTIF(퀘스트!B:B,표1[[#This Row],[명칭]])</f>
        <v>1</v>
      </c>
      <c r="N2611" s="65">
        <f>COUNTIF([1]VillageDiscoveryGroup!$C:$C,표1[[#This Row],[명칭]])</f>
        <v>0</v>
      </c>
      <c r="O2611" s="65">
        <f>SUM(표1[[#This Row],[해양탐색]:[마을탐험]])</f>
        <v>1</v>
      </c>
    </row>
    <row r="2612" spans="2:15" ht="13.5" customHeight="1" x14ac:dyDescent="0.3">
      <c r="B2612" s="9">
        <f>[1]Discovery!A2618</f>
        <v>70417131</v>
      </c>
      <c r="C2612" s="9" t="str">
        <f>[1]Discovery!B2618</f>
        <v>영락대전</v>
      </c>
      <c r="D2612" s="9" t="str">
        <f>[1]Discovery!E2618</f>
        <v>보물</v>
      </c>
      <c r="E2612" s="9" t="str">
        <f>[1]Discovery!C2618</f>
        <v>보물</v>
      </c>
      <c r="F2612" s="9" t="str">
        <f>[1]Discovery!G2618</f>
        <v>B</v>
      </c>
      <c r="G2612" s="9" t="str">
        <f>IFERROR(VLOOKUP(표1[[#This Row],[명칭]],'문화권 정리'!C:D,2,FALSE),"-")</f>
        <v>동아시아</v>
      </c>
      <c r="H2612" s="38" t="str">
        <f>IFERROR(COUNTIF([2]OceanDoodad!$Y:$Y,표1[[#This Row],[명칭]]),"-")</f>
        <v>-</v>
      </c>
      <c r="I2612" s="38">
        <f>IFERROR(COUNTIF([1]AdventureDiscoveryGroup!$D$8:$AW$92,표1[[#This Row],[명칭]]),"-")</f>
        <v>0</v>
      </c>
      <c r="J2612" s="38">
        <f>IFERROR(COUNTIF([1]FishDiscoveryGroup!$A:$X,표1[[#This Row],[명칭]]),"-")</f>
        <v>0</v>
      </c>
      <c r="K2612" s="38" t="str">
        <f>IFERROR(COUNTIF([2]Town!$B:$B,표1[[#This Row],[명칭]]),"-")</f>
        <v>-</v>
      </c>
      <c r="L2612" s="38">
        <f>IFERROR(COUNTIF([1]Village!$BR:$BR,표1[[#This Row],[명칭]]),"-")</f>
        <v>0</v>
      </c>
      <c r="M2612" s="38">
        <f>COUNTIF(퀘스트!B:B,표1[[#This Row],[명칭]])</f>
        <v>1</v>
      </c>
      <c r="N2612" s="65">
        <f>COUNTIF([1]VillageDiscoveryGroup!$C:$C,표1[[#This Row],[명칭]])</f>
        <v>0</v>
      </c>
      <c r="O2612" s="65">
        <f>SUM(표1[[#This Row],[해양탐색]:[마을탐험]])</f>
        <v>1</v>
      </c>
    </row>
    <row r="2613" spans="2:15" ht="13.5" customHeight="1" x14ac:dyDescent="0.3">
      <c r="B2613" s="9">
        <f>[1]Discovery!A2619</f>
        <v>70417132</v>
      </c>
      <c r="C2613" s="9" t="str">
        <f>[1]Discovery!B2619</f>
        <v>오디세이아</v>
      </c>
      <c r="D2613" s="9" t="str">
        <f>[1]Discovery!E2619</f>
        <v>보물</v>
      </c>
      <c r="E2613" s="9" t="str">
        <f>[1]Discovery!C2619</f>
        <v>보물</v>
      </c>
      <c r="F2613" s="9" t="str">
        <f>[1]Discovery!G2619</f>
        <v>A</v>
      </c>
      <c r="G2613" s="9" t="str">
        <f>IFERROR(VLOOKUP(표1[[#This Row],[명칭]],'문화권 정리'!C:D,2,FALSE),"-")</f>
        <v>지중해</v>
      </c>
      <c r="H2613" s="38" t="str">
        <f>IFERROR(COUNTIF([2]OceanDoodad!$Y:$Y,표1[[#This Row],[명칭]]),"-")</f>
        <v>-</v>
      </c>
      <c r="I2613" s="38">
        <f>IFERROR(COUNTIF([1]AdventureDiscoveryGroup!$D$8:$AW$92,표1[[#This Row],[명칭]]),"-")</f>
        <v>0</v>
      </c>
      <c r="J2613" s="38">
        <f>IFERROR(COUNTIF([1]FishDiscoveryGroup!$A:$X,표1[[#This Row],[명칭]]),"-")</f>
        <v>0</v>
      </c>
      <c r="K2613" s="38" t="str">
        <f>IFERROR(COUNTIF([2]Town!$B:$B,표1[[#This Row],[명칭]]),"-")</f>
        <v>-</v>
      </c>
      <c r="L2613" s="38">
        <f>IFERROR(COUNTIF([1]Village!$BR:$BR,표1[[#This Row],[명칭]]),"-")</f>
        <v>0</v>
      </c>
      <c r="M2613" s="38">
        <f>COUNTIF(퀘스트!B:B,표1[[#This Row],[명칭]])</f>
        <v>1</v>
      </c>
      <c r="N2613" s="65">
        <f>COUNTIF([1]VillageDiscoveryGroup!$C:$C,표1[[#This Row],[명칭]])</f>
        <v>0</v>
      </c>
      <c r="O2613" s="65">
        <f>SUM(표1[[#This Row],[해양탐색]:[마을탐험]])</f>
        <v>1</v>
      </c>
    </row>
    <row r="2614" spans="2:15" ht="13.5" customHeight="1" x14ac:dyDescent="0.3">
      <c r="B2614" s="9">
        <f>[1]Discovery!A2620</f>
        <v>70417133</v>
      </c>
      <c r="C2614" s="9" t="str">
        <f>[1]Discovery!B2620</f>
        <v>오토 1세의 왕관</v>
      </c>
      <c r="D2614" s="9" t="str">
        <f>[1]Discovery!E2620</f>
        <v>보물</v>
      </c>
      <c r="E2614" s="9" t="str">
        <f>[1]Discovery!C2620</f>
        <v>보물</v>
      </c>
      <c r="F2614" s="9" t="str">
        <f>[1]Discovery!G2620</f>
        <v>A</v>
      </c>
      <c r="G2614" s="9" t="str">
        <f>IFERROR(VLOOKUP(표1[[#This Row],[명칭]],'문화권 정리'!C:D,2,FALSE),"-")</f>
        <v>지중해</v>
      </c>
      <c r="H2614" s="38" t="str">
        <f>IFERROR(COUNTIF([2]OceanDoodad!$Y:$Y,표1[[#This Row],[명칭]]),"-")</f>
        <v>-</v>
      </c>
      <c r="I2614" s="38">
        <f>IFERROR(COUNTIF([1]AdventureDiscoveryGroup!$D$8:$AW$92,표1[[#This Row],[명칭]]),"-")</f>
        <v>0</v>
      </c>
      <c r="J2614" s="38">
        <f>IFERROR(COUNTIF([1]FishDiscoveryGroup!$A:$X,표1[[#This Row],[명칭]]),"-")</f>
        <v>0</v>
      </c>
      <c r="K2614" s="38" t="str">
        <f>IFERROR(COUNTIF([2]Town!$B:$B,표1[[#This Row],[명칭]]),"-")</f>
        <v>-</v>
      </c>
      <c r="L2614" s="38">
        <f>IFERROR(COUNTIF([1]Village!$BR:$BR,표1[[#This Row],[명칭]]),"-")</f>
        <v>0</v>
      </c>
      <c r="M2614" s="38">
        <f>COUNTIF(퀘스트!B:B,표1[[#This Row],[명칭]])</f>
        <v>1</v>
      </c>
      <c r="N2614" s="65">
        <f>COUNTIF([1]VillageDiscoveryGroup!$C:$C,표1[[#This Row],[명칭]])</f>
        <v>0</v>
      </c>
      <c r="O2614" s="65">
        <f>SUM(표1[[#This Row],[해양탐색]:[마을탐험]])</f>
        <v>1</v>
      </c>
    </row>
    <row r="2615" spans="2:15" ht="13.5" customHeight="1" x14ac:dyDescent="0.3">
      <c r="B2615" s="9">
        <f>[1]Discovery!A2621</f>
        <v>70417134</v>
      </c>
      <c r="C2615" s="9" t="str">
        <f>[1]Discovery!B2621</f>
        <v>오현비파</v>
      </c>
      <c r="D2615" s="9" t="str">
        <f>[1]Discovery!E2621</f>
        <v>보물</v>
      </c>
      <c r="E2615" s="9" t="str">
        <f>[1]Discovery!C2621</f>
        <v>보물</v>
      </c>
      <c r="F2615" s="9" t="str">
        <f>[1]Discovery!G2621</f>
        <v>C</v>
      </c>
      <c r="G2615" s="9" t="str">
        <f>IFERROR(VLOOKUP(표1[[#This Row],[명칭]],'문화권 정리'!C:D,2,FALSE),"-")</f>
        <v>동아시아</v>
      </c>
      <c r="H2615" s="38" t="str">
        <f>IFERROR(COUNTIF([2]OceanDoodad!$Y:$Y,표1[[#This Row],[명칭]]),"-")</f>
        <v>-</v>
      </c>
      <c r="I2615" s="38">
        <f>IFERROR(COUNTIF([1]AdventureDiscoveryGroup!$D$8:$AW$92,표1[[#This Row],[명칭]]),"-")</f>
        <v>1</v>
      </c>
      <c r="J2615" s="38">
        <f>IFERROR(COUNTIF([1]FishDiscoveryGroup!$A:$X,표1[[#This Row],[명칭]]),"-")</f>
        <v>0</v>
      </c>
      <c r="K2615" s="38" t="str">
        <f>IFERROR(COUNTIF([2]Town!$B:$B,표1[[#This Row],[명칭]]),"-")</f>
        <v>-</v>
      </c>
      <c r="L2615" s="38">
        <f>IFERROR(COUNTIF([1]Village!$BR:$BR,표1[[#This Row],[명칭]]),"-")</f>
        <v>0</v>
      </c>
      <c r="M2615" s="38">
        <f>COUNTIF(퀘스트!B:B,표1[[#This Row],[명칭]])</f>
        <v>0</v>
      </c>
      <c r="N2615" s="65">
        <f>COUNTIF([1]VillageDiscoveryGroup!$C:$C,표1[[#This Row],[명칭]])</f>
        <v>0</v>
      </c>
      <c r="O2615" s="65">
        <f>SUM(표1[[#This Row],[해양탐색]:[마을탐험]])</f>
        <v>1</v>
      </c>
    </row>
    <row r="2616" spans="2:15" ht="13.5" customHeight="1" x14ac:dyDescent="0.3">
      <c r="B2616" s="9">
        <f>[1]Discovery!A2622</f>
        <v>70417135</v>
      </c>
      <c r="C2616" s="9" t="str">
        <f>[1]Discovery!B2622</f>
        <v>옥새</v>
      </c>
      <c r="D2616" s="9" t="str">
        <f>[1]Discovery!E2622</f>
        <v>보물</v>
      </c>
      <c r="E2616" s="9" t="str">
        <f>[1]Discovery!C2622</f>
        <v>보물</v>
      </c>
      <c r="F2616" s="9" t="str">
        <f>[1]Discovery!G2622</f>
        <v>A</v>
      </c>
      <c r="G2616" s="9" t="str">
        <f>IFERROR(VLOOKUP(표1[[#This Row],[명칭]],'문화권 정리'!C:D,2,FALSE),"-")</f>
        <v>동아시아</v>
      </c>
      <c r="H2616" s="38" t="str">
        <f>IFERROR(COUNTIF([2]OceanDoodad!$Y:$Y,표1[[#This Row],[명칭]]),"-")</f>
        <v>-</v>
      </c>
      <c r="I2616" s="38">
        <f>IFERROR(COUNTIF([1]AdventureDiscoveryGroup!$D$8:$AW$92,표1[[#This Row],[명칭]]),"-")</f>
        <v>0</v>
      </c>
      <c r="J2616" s="38">
        <f>IFERROR(COUNTIF([1]FishDiscoveryGroup!$A:$X,표1[[#This Row],[명칭]]),"-")</f>
        <v>0</v>
      </c>
      <c r="K2616" s="38" t="str">
        <f>IFERROR(COUNTIF([2]Town!$B:$B,표1[[#This Row],[명칭]]),"-")</f>
        <v>-</v>
      </c>
      <c r="L2616" s="38">
        <f>IFERROR(COUNTIF([1]Village!$BR:$BR,표1[[#This Row],[명칭]]),"-")</f>
        <v>0</v>
      </c>
      <c r="M2616" s="38">
        <f>COUNTIF(퀘스트!B:B,표1[[#This Row],[명칭]])</f>
        <v>0</v>
      </c>
      <c r="N2616" s="65">
        <f>COUNTIF([1]VillageDiscoveryGroup!$C:$C,표1[[#This Row],[명칭]])</f>
        <v>0</v>
      </c>
      <c r="O2616" s="65">
        <f>SUM(표1[[#This Row],[해양탐색]:[마을탐험]])</f>
        <v>0</v>
      </c>
    </row>
    <row r="2617" spans="2:15" ht="13.5" customHeight="1" x14ac:dyDescent="0.3">
      <c r="B2617" s="9">
        <f>[1]Discovery!A2623</f>
        <v>70417136</v>
      </c>
      <c r="C2617" s="9" t="str">
        <f>[1]Discovery!B2623</f>
        <v>와레루 다함마트</v>
      </c>
      <c r="D2617" s="9" t="str">
        <f>[1]Discovery!E2623</f>
        <v>유물</v>
      </c>
      <c r="E2617" s="9" t="str">
        <f>[1]Discovery!C2623</f>
        <v>역사유물</v>
      </c>
      <c r="F2617" s="9" t="str">
        <f>[1]Discovery!G2623</f>
        <v>A</v>
      </c>
      <c r="G2617" s="9" t="str">
        <f>IFERROR(VLOOKUP(표1[[#This Row],[명칭]],'문화권 정리'!C:D,2,FALSE),"-")</f>
        <v>동남아시아</v>
      </c>
      <c r="H2617" s="38" t="str">
        <f>IFERROR(COUNTIF([2]OceanDoodad!$Y:$Y,표1[[#This Row],[명칭]]),"-")</f>
        <v>-</v>
      </c>
      <c r="I2617" s="38">
        <f>IFERROR(COUNTIF([1]AdventureDiscoveryGroup!$D$8:$AW$92,표1[[#This Row],[명칭]]),"-")</f>
        <v>0</v>
      </c>
      <c r="J2617" s="38">
        <f>IFERROR(COUNTIF([1]FishDiscoveryGroup!$A:$X,표1[[#This Row],[명칭]]),"-")</f>
        <v>0</v>
      </c>
      <c r="K2617" s="38" t="str">
        <f>IFERROR(COUNTIF([2]Town!$B:$B,표1[[#This Row],[명칭]]),"-")</f>
        <v>-</v>
      </c>
      <c r="L2617" s="38">
        <f>IFERROR(COUNTIF([1]Village!$BR:$BR,표1[[#This Row],[명칭]]),"-")</f>
        <v>0</v>
      </c>
      <c r="M2617" s="38">
        <f>COUNTIF(퀘스트!B:B,표1[[#This Row],[명칭]])</f>
        <v>0</v>
      </c>
      <c r="N2617" s="65">
        <f>COUNTIF([1]VillageDiscoveryGroup!$C:$C,표1[[#This Row],[명칭]])</f>
        <v>0</v>
      </c>
      <c r="O2617" s="65">
        <f>SUM(표1[[#This Row],[해양탐색]:[마을탐험]])</f>
        <v>0</v>
      </c>
    </row>
    <row r="2618" spans="2:15" ht="13.5" customHeight="1" x14ac:dyDescent="0.3">
      <c r="B2618" s="9">
        <f>[1]Discovery!A2624</f>
        <v>70417137</v>
      </c>
      <c r="C2618" s="9" t="str">
        <f>[1]Discovery!B2624</f>
        <v>와양 쿨릿</v>
      </c>
      <c r="D2618" s="9" t="str">
        <f>[1]Discovery!E2624</f>
        <v>보물</v>
      </c>
      <c r="E2618" s="9" t="str">
        <f>[1]Discovery!C2624</f>
        <v>보물</v>
      </c>
      <c r="F2618" s="9" t="str">
        <f>[1]Discovery!G2624</f>
        <v>C</v>
      </c>
      <c r="G2618" s="9" t="str">
        <f>IFERROR(VLOOKUP(표1[[#This Row],[명칭]],'문화권 정리'!C:D,2,FALSE),"-")</f>
        <v>동남아시아</v>
      </c>
      <c r="H2618" s="38" t="str">
        <f>IFERROR(COUNTIF([2]OceanDoodad!$Y:$Y,표1[[#This Row],[명칭]]),"-")</f>
        <v>-</v>
      </c>
      <c r="I2618" s="38">
        <f>IFERROR(COUNTIF([1]AdventureDiscoveryGroup!$D$8:$AW$92,표1[[#This Row],[명칭]]),"-")</f>
        <v>1</v>
      </c>
      <c r="J2618" s="38">
        <f>IFERROR(COUNTIF([1]FishDiscoveryGroup!$A:$X,표1[[#This Row],[명칭]]),"-")</f>
        <v>0</v>
      </c>
      <c r="K2618" s="38" t="str">
        <f>IFERROR(COUNTIF([2]Town!$B:$B,표1[[#This Row],[명칭]]),"-")</f>
        <v>-</v>
      </c>
      <c r="L2618" s="38">
        <f>IFERROR(COUNTIF([1]Village!$BR:$BR,표1[[#This Row],[명칭]]),"-")</f>
        <v>0</v>
      </c>
      <c r="M2618" s="38">
        <f>COUNTIF(퀘스트!B:B,표1[[#This Row],[명칭]])</f>
        <v>0</v>
      </c>
      <c r="N2618" s="65">
        <f>COUNTIF([1]VillageDiscoveryGroup!$C:$C,표1[[#This Row],[명칭]])</f>
        <v>0</v>
      </c>
      <c r="O2618" s="65">
        <f>SUM(표1[[#This Row],[해양탐색]:[마을탐험]])</f>
        <v>1</v>
      </c>
    </row>
    <row r="2619" spans="2:15" ht="13.5" customHeight="1" x14ac:dyDescent="0.3">
      <c r="B2619" s="9">
        <f>[1]Discovery!A2625</f>
        <v>70417139</v>
      </c>
      <c r="C2619" s="9" t="str">
        <f>[1]Discovery!B2625</f>
        <v>완함</v>
      </c>
      <c r="D2619" s="9" t="str">
        <f>[1]Discovery!E2625</f>
        <v>보물</v>
      </c>
      <c r="E2619" s="9" t="str">
        <f>[1]Discovery!C2625</f>
        <v>보물</v>
      </c>
      <c r="F2619" s="9" t="str">
        <f>[1]Discovery!G2625</f>
        <v>D</v>
      </c>
      <c r="G2619" s="9" t="str">
        <f>IFERROR(VLOOKUP(표1[[#This Row],[명칭]],'문화권 정리'!C:D,2,FALSE),"-")</f>
        <v>동아시아</v>
      </c>
      <c r="H2619" s="38" t="str">
        <f>IFERROR(COUNTIF([2]OceanDoodad!$Y:$Y,표1[[#This Row],[명칭]]),"-")</f>
        <v>-</v>
      </c>
      <c r="I2619" s="38">
        <f>IFERROR(COUNTIF([1]AdventureDiscoveryGroup!$D$8:$AW$92,표1[[#This Row],[명칭]]),"-")</f>
        <v>0</v>
      </c>
      <c r="J2619" s="38">
        <f>IFERROR(COUNTIF([1]FishDiscoveryGroup!$A:$X,표1[[#This Row],[명칭]]),"-")</f>
        <v>0</v>
      </c>
      <c r="K2619" s="38" t="str">
        <f>IFERROR(COUNTIF([2]Town!$B:$B,표1[[#This Row],[명칭]]),"-")</f>
        <v>-</v>
      </c>
      <c r="L2619" s="38">
        <f>IFERROR(COUNTIF([1]Village!$BR:$BR,표1[[#This Row],[명칭]]),"-")</f>
        <v>0</v>
      </c>
      <c r="M2619" s="38">
        <f>COUNTIF(퀘스트!B:B,표1[[#This Row],[명칭]])</f>
        <v>0</v>
      </c>
      <c r="N2619" s="65">
        <f>COUNTIF([1]VillageDiscoveryGroup!$C:$C,표1[[#This Row],[명칭]])</f>
        <v>0</v>
      </c>
      <c r="O2619" s="65">
        <f>SUM(표1[[#This Row],[해양탐색]:[마을탐험]])</f>
        <v>0</v>
      </c>
    </row>
    <row r="2620" spans="2:15" ht="13.5" customHeight="1" x14ac:dyDescent="0.3">
      <c r="B2620" s="9">
        <f>[1]Discovery!A2626</f>
        <v>70417140</v>
      </c>
      <c r="C2620" s="9" t="str">
        <f>[1]Discovery!B2626</f>
        <v>요한 기사단장의 방패</v>
      </c>
      <c r="D2620" s="9" t="str">
        <f>[1]Discovery!E2626</f>
        <v>유물</v>
      </c>
      <c r="E2620" s="9" t="str">
        <f>[1]Discovery!C2626</f>
        <v>종교유물</v>
      </c>
      <c r="F2620" s="9" t="str">
        <f>[1]Discovery!G2626</f>
        <v>A</v>
      </c>
      <c r="G2620" s="9" t="str">
        <f>IFERROR(VLOOKUP(표1[[#This Row],[명칭]],'문화권 정리'!C:D,2,FALSE),"-")</f>
        <v>지중해</v>
      </c>
      <c r="H2620" s="38" t="str">
        <f>IFERROR(COUNTIF([2]OceanDoodad!$Y:$Y,표1[[#This Row],[명칭]]),"-")</f>
        <v>-</v>
      </c>
      <c r="I2620" s="38">
        <f>IFERROR(COUNTIF([1]AdventureDiscoveryGroup!$D$8:$AW$92,표1[[#This Row],[명칭]]),"-")</f>
        <v>0</v>
      </c>
      <c r="J2620" s="38">
        <f>IFERROR(COUNTIF([1]FishDiscoveryGroup!$A:$X,표1[[#This Row],[명칭]]),"-")</f>
        <v>0</v>
      </c>
      <c r="K2620" s="38" t="str">
        <f>IFERROR(COUNTIF([2]Town!$B:$B,표1[[#This Row],[명칭]]),"-")</f>
        <v>-</v>
      </c>
      <c r="L2620" s="38">
        <f>IFERROR(COUNTIF([1]Village!$BR:$BR,표1[[#This Row],[명칭]]),"-")</f>
        <v>0</v>
      </c>
      <c r="M2620" s="38">
        <f>COUNTIF(퀘스트!B:B,표1[[#This Row],[명칭]])</f>
        <v>1</v>
      </c>
      <c r="N2620" s="65">
        <f>COUNTIF([1]VillageDiscoveryGroup!$C:$C,표1[[#This Row],[명칭]])</f>
        <v>0</v>
      </c>
      <c r="O2620" s="65">
        <f>SUM(표1[[#This Row],[해양탐색]:[마을탐험]])</f>
        <v>1</v>
      </c>
    </row>
    <row r="2621" spans="2:15" ht="13.5" customHeight="1" x14ac:dyDescent="0.3">
      <c r="B2621" s="9">
        <f>[1]Discovery!A2627</f>
        <v>70417141</v>
      </c>
      <c r="C2621" s="9" t="str">
        <f>[1]Discovery!B2627</f>
        <v>우라노메트리아</v>
      </c>
      <c r="D2621" s="9" t="str">
        <f>[1]Discovery!E2627</f>
        <v>보물</v>
      </c>
      <c r="E2621" s="9" t="str">
        <f>[1]Discovery!C2627</f>
        <v>보물</v>
      </c>
      <c r="F2621" s="9" t="str">
        <f>[1]Discovery!G2627</f>
        <v>B</v>
      </c>
      <c r="G2621" s="9" t="str">
        <f>IFERROR(VLOOKUP(표1[[#This Row],[명칭]],'문화권 정리'!C:D,2,FALSE),"-")</f>
        <v>지중해</v>
      </c>
      <c r="H2621" s="38" t="str">
        <f>IFERROR(COUNTIF([2]OceanDoodad!$Y:$Y,표1[[#This Row],[명칭]]),"-")</f>
        <v>-</v>
      </c>
      <c r="I2621" s="38">
        <f>IFERROR(COUNTIF([1]AdventureDiscoveryGroup!$D$8:$AW$92,표1[[#This Row],[명칭]]),"-")</f>
        <v>0</v>
      </c>
      <c r="J2621" s="38">
        <f>IFERROR(COUNTIF([1]FishDiscoveryGroup!$A:$X,표1[[#This Row],[명칭]]),"-")</f>
        <v>0</v>
      </c>
      <c r="K2621" s="38" t="str">
        <f>IFERROR(COUNTIF([2]Town!$B:$B,표1[[#This Row],[명칭]]),"-")</f>
        <v>-</v>
      </c>
      <c r="L2621" s="38">
        <f>IFERROR(COUNTIF([1]Village!$BR:$BR,표1[[#This Row],[명칭]]),"-")</f>
        <v>0</v>
      </c>
      <c r="M2621" s="38">
        <f>COUNTIF(퀘스트!B:B,표1[[#This Row],[명칭]])</f>
        <v>0</v>
      </c>
      <c r="N2621" s="65">
        <f>COUNTIF([1]VillageDiscoveryGroup!$C:$C,표1[[#This Row],[명칭]])</f>
        <v>0</v>
      </c>
      <c r="O2621" s="65">
        <f>SUM(표1[[#This Row],[해양탐색]:[마을탐험]])</f>
        <v>0</v>
      </c>
    </row>
    <row r="2622" spans="2:15" ht="13.5" customHeight="1" x14ac:dyDescent="0.3">
      <c r="B2622" s="9">
        <f>[1]Discovery!A2628</f>
        <v>70417142</v>
      </c>
      <c r="C2622" s="9" t="str">
        <f>[1]Discovery!B2628</f>
        <v>우치습유이야기</v>
      </c>
      <c r="D2622" s="9" t="str">
        <f>[1]Discovery!E2628</f>
        <v>보물</v>
      </c>
      <c r="E2622" s="9" t="str">
        <f>[1]Discovery!C2628</f>
        <v>보물</v>
      </c>
      <c r="F2622" s="9" t="str">
        <f>[1]Discovery!G2628</f>
        <v>B</v>
      </c>
      <c r="G2622" s="9" t="str">
        <f>IFERROR(VLOOKUP(표1[[#This Row],[명칭]],'문화권 정리'!C:D,2,FALSE),"-")</f>
        <v>동아시아</v>
      </c>
      <c r="H2622" s="38" t="str">
        <f>IFERROR(COUNTIF([2]OceanDoodad!$Y:$Y,표1[[#This Row],[명칭]]),"-")</f>
        <v>-</v>
      </c>
      <c r="I2622" s="38">
        <f>IFERROR(COUNTIF([1]AdventureDiscoveryGroup!$D$8:$AW$92,표1[[#This Row],[명칭]]),"-")</f>
        <v>0</v>
      </c>
      <c r="J2622" s="38">
        <f>IFERROR(COUNTIF([1]FishDiscoveryGroup!$A:$X,표1[[#This Row],[명칭]]),"-")</f>
        <v>0</v>
      </c>
      <c r="K2622" s="38" t="str">
        <f>IFERROR(COUNTIF([2]Town!$B:$B,표1[[#This Row],[명칭]]),"-")</f>
        <v>-</v>
      </c>
      <c r="L2622" s="38">
        <f>IFERROR(COUNTIF([1]Village!$BR:$BR,표1[[#This Row],[명칭]]),"-")</f>
        <v>0</v>
      </c>
      <c r="M2622" s="38">
        <f>COUNTIF(퀘스트!B:B,표1[[#This Row],[명칭]])</f>
        <v>0</v>
      </c>
      <c r="N2622" s="65">
        <f>COUNTIF([1]VillageDiscoveryGroup!$C:$C,표1[[#This Row],[명칭]])</f>
        <v>0</v>
      </c>
      <c r="O2622" s="65">
        <f>SUM(표1[[#This Row],[해양탐색]:[마을탐험]])</f>
        <v>0</v>
      </c>
    </row>
    <row r="2623" spans="2:15" ht="13.5" customHeight="1" x14ac:dyDescent="0.3">
      <c r="B2623" s="9">
        <f>[1]Discovery!A2629</f>
        <v>70417143</v>
      </c>
      <c r="C2623" s="9" t="str">
        <f>[1]Discovery!B2629</f>
        <v>운남 참마도</v>
      </c>
      <c r="D2623" s="9" t="str">
        <f>[1]Discovery!E2629</f>
        <v>유물</v>
      </c>
      <c r="E2623" s="9" t="str">
        <f>[1]Discovery!C2629</f>
        <v>역사유물</v>
      </c>
      <c r="F2623" s="9" t="str">
        <f>[1]Discovery!G2629</f>
        <v>C</v>
      </c>
      <c r="G2623" s="9" t="str">
        <f>IFERROR(VLOOKUP(표1[[#This Row],[명칭]],'문화권 정리'!C:D,2,FALSE),"-")</f>
        <v>동아시아</v>
      </c>
      <c r="H2623" s="38" t="str">
        <f>IFERROR(COUNTIF([2]OceanDoodad!$Y:$Y,표1[[#This Row],[명칭]]),"-")</f>
        <v>-</v>
      </c>
      <c r="I2623" s="38">
        <f>IFERROR(COUNTIF([1]AdventureDiscoveryGroup!$D$8:$AW$92,표1[[#This Row],[명칭]]),"-")</f>
        <v>1</v>
      </c>
      <c r="J2623" s="38">
        <f>IFERROR(COUNTIF([1]FishDiscoveryGroup!$A:$X,표1[[#This Row],[명칭]]),"-")</f>
        <v>0</v>
      </c>
      <c r="K2623" s="38" t="str">
        <f>IFERROR(COUNTIF([2]Town!$B:$B,표1[[#This Row],[명칭]]),"-")</f>
        <v>-</v>
      </c>
      <c r="L2623" s="38">
        <f>IFERROR(COUNTIF([1]Village!$BR:$BR,표1[[#This Row],[명칭]]),"-")</f>
        <v>0</v>
      </c>
      <c r="M2623" s="38">
        <f>COUNTIF(퀘스트!B:B,표1[[#This Row],[명칭]])</f>
        <v>0</v>
      </c>
      <c r="N2623" s="65">
        <f>COUNTIF([1]VillageDiscoveryGroup!$C:$C,표1[[#This Row],[명칭]])</f>
        <v>0</v>
      </c>
      <c r="O2623" s="65">
        <f>SUM(표1[[#This Row],[해양탐색]:[마을탐험]])</f>
        <v>1</v>
      </c>
    </row>
    <row r="2624" spans="2:15" ht="13.5" customHeight="1" x14ac:dyDescent="0.3">
      <c r="B2624" s="9">
        <f>[1]Discovery!A2630</f>
        <v>70417144</v>
      </c>
      <c r="C2624" s="9" t="str">
        <f>[1]Discovery!B2630</f>
        <v>울리울리</v>
      </c>
      <c r="D2624" s="9" t="str">
        <f>[1]Discovery!E2630</f>
        <v>보물</v>
      </c>
      <c r="E2624" s="9" t="str">
        <f>[1]Discovery!C2630</f>
        <v>보물</v>
      </c>
      <c r="F2624" s="9" t="str">
        <f>[1]Discovery!G2630</f>
        <v>D</v>
      </c>
      <c r="G2624" s="9" t="str">
        <f>IFERROR(VLOOKUP(표1[[#This Row],[명칭]],'문화권 정리'!C:D,2,FALSE),"-")</f>
        <v>태평양</v>
      </c>
      <c r="H2624" s="38" t="str">
        <f>IFERROR(COUNTIF([2]OceanDoodad!$Y:$Y,표1[[#This Row],[명칭]]),"-")</f>
        <v>-</v>
      </c>
      <c r="I2624" s="38">
        <f>IFERROR(COUNTIF([1]AdventureDiscoveryGroup!$D$8:$AW$92,표1[[#This Row],[명칭]]),"-")</f>
        <v>1</v>
      </c>
      <c r="J2624" s="38">
        <f>IFERROR(COUNTIF([1]FishDiscoveryGroup!$A:$X,표1[[#This Row],[명칭]]),"-")</f>
        <v>0</v>
      </c>
      <c r="K2624" s="38" t="str">
        <f>IFERROR(COUNTIF([2]Town!$B:$B,표1[[#This Row],[명칭]]),"-")</f>
        <v>-</v>
      </c>
      <c r="L2624" s="38">
        <f>IFERROR(COUNTIF([1]Village!$BR:$BR,표1[[#This Row],[명칭]]),"-")</f>
        <v>0</v>
      </c>
      <c r="M2624" s="38">
        <f>COUNTIF(퀘스트!B:B,표1[[#This Row],[명칭]])</f>
        <v>0</v>
      </c>
      <c r="N2624" s="65">
        <f>COUNTIF([1]VillageDiscoveryGroup!$C:$C,표1[[#This Row],[명칭]])</f>
        <v>0</v>
      </c>
      <c r="O2624" s="65">
        <f>SUM(표1[[#This Row],[해양탐색]:[마을탐험]])</f>
        <v>1</v>
      </c>
    </row>
    <row r="2625" spans="2:15" ht="13.5" customHeight="1" x14ac:dyDescent="0.3">
      <c r="B2625" s="9">
        <f>[1]Discovery!A2631</f>
        <v>70417145</v>
      </c>
      <c r="C2625" s="9" t="str">
        <f>[1]Discovery!B2631</f>
        <v>월계관</v>
      </c>
      <c r="D2625" s="9" t="str">
        <f>[1]Discovery!E2631</f>
        <v>보물</v>
      </c>
      <c r="E2625" s="9" t="str">
        <f>[1]Discovery!C2631</f>
        <v>보물</v>
      </c>
      <c r="F2625" s="9" t="str">
        <f>[1]Discovery!G2631</f>
        <v>S</v>
      </c>
      <c r="G2625" s="9" t="str">
        <f>IFERROR(VLOOKUP(표1[[#This Row],[명칭]],'문화권 정리'!C:D,2,FALSE),"-")</f>
        <v>지중해</v>
      </c>
      <c r="H2625" s="38" t="str">
        <f>IFERROR(COUNTIF([2]OceanDoodad!$Y:$Y,표1[[#This Row],[명칭]]),"-")</f>
        <v>-</v>
      </c>
      <c r="I2625" s="38">
        <f>IFERROR(COUNTIF([1]AdventureDiscoveryGroup!$D$8:$AW$92,표1[[#This Row],[명칭]]),"-")</f>
        <v>0</v>
      </c>
      <c r="J2625" s="38">
        <f>IFERROR(COUNTIF([1]FishDiscoveryGroup!$A:$X,표1[[#This Row],[명칭]]),"-")</f>
        <v>0</v>
      </c>
      <c r="K2625" s="38" t="str">
        <f>IFERROR(COUNTIF([2]Town!$B:$B,표1[[#This Row],[명칭]]),"-")</f>
        <v>-</v>
      </c>
      <c r="L2625" s="38">
        <f>IFERROR(COUNTIF([1]Village!$BR:$BR,표1[[#This Row],[명칭]]),"-")</f>
        <v>0</v>
      </c>
      <c r="M2625" s="38">
        <f>COUNTIF(퀘스트!B:B,표1[[#This Row],[명칭]])</f>
        <v>0</v>
      </c>
      <c r="N2625" s="65">
        <f>COUNTIF([1]VillageDiscoveryGroup!$C:$C,표1[[#This Row],[명칭]])</f>
        <v>0</v>
      </c>
      <c r="O2625" s="65">
        <f>SUM(표1[[#This Row],[해양탐색]:[마을탐험]])</f>
        <v>0</v>
      </c>
    </row>
    <row r="2626" spans="2:15" ht="13.5" customHeight="1" x14ac:dyDescent="0.3">
      <c r="B2626" s="9">
        <f>[1]Discovery!A2632</f>
        <v>70417148</v>
      </c>
      <c r="C2626" s="9" t="str">
        <f>[1]Discovery!B2632</f>
        <v>육임 식반</v>
      </c>
      <c r="D2626" s="9" t="str">
        <f>[1]Discovery!E2632</f>
        <v>보물</v>
      </c>
      <c r="E2626" s="9" t="str">
        <f>[1]Discovery!C2632</f>
        <v>보물</v>
      </c>
      <c r="F2626" s="9" t="str">
        <f>[1]Discovery!G2632</f>
        <v>C</v>
      </c>
      <c r="G2626" s="9" t="str">
        <f>IFERROR(VLOOKUP(표1[[#This Row],[명칭]],'문화권 정리'!C:D,2,FALSE),"-")</f>
        <v>동아시아</v>
      </c>
      <c r="H2626" s="38" t="str">
        <f>IFERROR(COUNTIF([2]OceanDoodad!$Y:$Y,표1[[#This Row],[명칭]]),"-")</f>
        <v>-</v>
      </c>
      <c r="I2626" s="38">
        <f>IFERROR(COUNTIF([1]AdventureDiscoveryGroup!$D$8:$AW$92,표1[[#This Row],[명칭]]),"-")</f>
        <v>1</v>
      </c>
      <c r="J2626" s="38">
        <f>IFERROR(COUNTIF([1]FishDiscoveryGroup!$A:$X,표1[[#This Row],[명칭]]),"-")</f>
        <v>0</v>
      </c>
      <c r="K2626" s="38" t="str">
        <f>IFERROR(COUNTIF([2]Town!$B:$B,표1[[#This Row],[명칭]]),"-")</f>
        <v>-</v>
      </c>
      <c r="L2626" s="38">
        <f>IFERROR(COUNTIF([1]Village!$BR:$BR,표1[[#This Row],[명칭]]),"-")</f>
        <v>0</v>
      </c>
      <c r="M2626" s="38">
        <f>COUNTIF(퀘스트!B:B,표1[[#This Row],[명칭]])</f>
        <v>0</v>
      </c>
      <c r="N2626" s="65">
        <f>COUNTIF([1]VillageDiscoveryGroup!$C:$C,표1[[#This Row],[명칭]])</f>
        <v>0</v>
      </c>
      <c r="O2626" s="65">
        <f>SUM(표1[[#This Row],[해양탐색]:[마을탐험]])</f>
        <v>1</v>
      </c>
    </row>
    <row r="2627" spans="2:15" ht="13.5" customHeight="1" x14ac:dyDescent="0.3">
      <c r="B2627" s="9">
        <f>[1]Discovery!A2633</f>
        <v>70417149</v>
      </c>
      <c r="C2627" s="9" t="str">
        <f>[1]Discovery!B2633</f>
        <v>의학 전범</v>
      </c>
      <c r="D2627" s="9" t="str">
        <f>[1]Discovery!E2633</f>
        <v>보물</v>
      </c>
      <c r="E2627" s="9" t="str">
        <f>[1]Discovery!C2633</f>
        <v>보물</v>
      </c>
      <c r="F2627" s="9" t="str">
        <f>[1]Discovery!G2633</f>
        <v>A</v>
      </c>
      <c r="G2627" s="9" t="str">
        <f>IFERROR(VLOOKUP(표1[[#This Row],[명칭]],'문화권 정리'!C:D,2,FALSE),"-")</f>
        <v>서남아시아</v>
      </c>
      <c r="H2627" s="38" t="str">
        <f>IFERROR(COUNTIF([2]OceanDoodad!$Y:$Y,표1[[#This Row],[명칭]]),"-")</f>
        <v>-</v>
      </c>
      <c r="I2627" s="38">
        <f>IFERROR(COUNTIF([1]AdventureDiscoveryGroup!$D$8:$AW$92,표1[[#This Row],[명칭]]),"-")</f>
        <v>0</v>
      </c>
      <c r="J2627" s="38">
        <f>IFERROR(COUNTIF([1]FishDiscoveryGroup!$A:$X,표1[[#This Row],[명칭]]),"-")</f>
        <v>0</v>
      </c>
      <c r="K2627" s="38" t="str">
        <f>IFERROR(COUNTIF([2]Town!$B:$B,표1[[#This Row],[명칭]]),"-")</f>
        <v>-</v>
      </c>
      <c r="L2627" s="38">
        <f>IFERROR(COUNTIF([1]Village!$BR:$BR,표1[[#This Row],[명칭]]),"-")</f>
        <v>0</v>
      </c>
      <c r="M2627" s="38">
        <f>COUNTIF(퀘스트!B:B,표1[[#This Row],[명칭]])</f>
        <v>0</v>
      </c>
      <c r="N2627" s="65">
        <f>COUNTIF([1]VillageDiscoveryGroup!$C:$C,표1[[#This Row],[명칭]])</f>
        <v>0</v>
      </c>
      <c r="O2627" s="65">
        <f>SUM(표1[[#This Row],[해양탐색]:[마을탐험]])</f>
        <v>0</v>
      </c>
    </row>
    <row r="2628" spans="2:15" ht="13.5" customHeight="1" x14ac:dyDescent="0.3">
      <c r="B2628" s="9">
        <f>[1]Discovery!A2634</f>
        <v>70417150</v>
      </c>
      <c r="C2628" s="9" t="str">
        <f>[1]Discovery!B2634</f>
        <v>의학 전서</v>
      </c>
      <c r="D2628" s="9" t="str">
        <f>[1]Discovery!E2634</f>
        <v>보물</v>
      </c>
      <c r="E2628" s="9" t="str">
        <f>[1]Discovery!C2634</f>
        <v>보물</v>
      </c>
      <c r="F2628" s="9" t="str">
        <f>[1]Discovery!G2634</f>
        <v>B</v>
      </c>
      <c r="G2628" s="9" t="str">
        <f>IFERROR(VLOOKUP(표1[[#This Row],[명칭]],'문화권 정리'!C:D,2,FALSE),"-")</f>
        <v>서남아시아</v>
      </c>
      <c r="H2628" s="38" t="str">
        <f>IFERROR(COUNTIF([2]OceanDoodad!$Y:$Y,표1[[#This Row],[명칭]]),"-")</f>
        <v>-</v>
      </c>
      <c r="I2628" s="38">
        <f>IFERROR(COUNTIF([1]AdventureDiscoveryGroup!$D$8:$AW$92,표1[[#This Row],[명칭]]),"-")</f>
        <v>1</v>
      </c>
      <c r="J2628" s="38">
        <f>IFERROR(COUNTIF([1]FishDiscoveryGroup!$A:$X,표1[[#This Row],[명칭]]),"-")</f>
        <v>0</v>
      </c>
      <c r="K2628" s="38" t="str">
        <f>IFERROR(COUNTIF([2]Town!$B:$B,표1[[#This Row],[명칭]]),"-")</f>
        <v>-</v>
      </c>
      <c r="L2628" s="38">
        <f>IFERROR(COUNTIF([1]Village!$BR:$BR,표1[[#This Row],[명칭]]),"-")</f>
        <v>0</v>
      </c>
      <c r="M2628" s="38">
        <f>COUNTIF(퀘스트!B:B,표1[[#This Row],[명칭]])</f>
        <v>0</v>
      </c>
      <c r="N2628" s="65">
        <f>COUNTIF([1]VillageDiscoveryGroup!$C:$C,표1[[#This Row],[명칭]])</f>
        <v>0</v>
      </c>
      <c r="O2628" s="65">
        <f>SUM(표1[[#This Row],[해양탐색]:[마을탐험]])</f>
        <v>1</v>
      </c>
    </row>
    <row r="2629" spans="2:15" ht="13.5" customHeight="1" x14ac:dyDescent="0.3">
      <c r="B2629" s="9">
        <f>[1]Discovery!A2635</f>
        <v>70417151</v>
      </c>
      <c r="C2629" s="9" t="str">
        <f>[1]Discovery!B2635</f>
        <v>이븐 바투타 여행기</v>
      </c>
      <c r="D2629" s="9" t="str">
        <f>[1]Discovery!E2635</f>
        <v>보물</v>
      </c>
      <c r="E2629" s="9" t="str">
        <f>[1]Discovery!C2635</f>
        <v>보물</v>
      </c>
      <c r="F2629" s="9" t="str">
        <f>[1]Discovery!G2635</f>
        <v>B</v>
      </c>
      <c r="G2629" s="9" t="str">
        <f>IFERROR(VLOOKUP(표1[[#This Row],[명칭]],'문화권 정리'!C:D,2,FALSE),"-")</f>
        <v>서남아시아</v>
      </c>
      <c r="H2629" s="38" t="str">
        <f>IFERROR(COUNTIF([2]OceanDoodad!$Y:$Y,표1[[#This Row],[명칭]]),"-")</f>
        <v>-</v>
      </c>
      <c r="I2629" s="38">
        <f>IFERROR(COUNTIF([1]AdventureDiscoveryGroup!$D$8:$AW$92,표1[[#This Row],[명칭]]),"-")</f>
        <v>0</v>
      </c>
      <c r="J2629" s="38">
        <f>IFERROR(COUNTIF([1]FishDiscoveryGroup!$A:$X,표1[[#This Row],[명칭]]),"-")</f>
        <v>0</v>
      </c>
      <c r="K2629" s="38" t="str">
        <f>IFERROR(COUNTIF([2]Town!$B:$B,표1[[#This Row],[명칭]]),"-")</f>
        <v>-</v>
      </c>
      <c r="L2629" s="38">
        <f>IFERROR(COUNTIF([1]Village!$BR:$BR,표1[[#This Row],[명칭]]),"-")</f>
        <v>0</v>
      </c>
      <c r="M2629" s="38">
        <f>COUNTIF(퀘스트!B:B,표1[[#This Row],[명칭]])</f>
        <v>1</v>
      </c>
      <c r="N2629" s="65">
        <f>COUNTIF([1]VillageDiscoveryGroup!$C:$C,표1[[#This Row],[명칭]])</f>
        <v>0</v>
      </c>
      <c r="O2629" s="65">
        <f>SUM(표1[[#This Row],[해양탐색]:[마을탐험]])</f>
        <v>1</v>
      </c>
    </row>
    <row r="2630" spans="2:15" ht="13.5" customHeight="1" x14ac:dyDescent="0.3">
      <c r="B2630" s="9">
        <f>[1]Discovery!A2636</f>
        <v>70417152</v>
      </c>
      <c r="C2630" s="9" t="str">
        <f>[1]Discovery!B2636</f>
        <v>이파치예프스키 사본</v>
      </c>
      <c r="D2630" s="9" t="str">
        <f>[1]Discovery!E2636</f>
        <v>유물</v>
      </c>
      <c r="E2630" s="9" t="str">
        <f>[1]Discovery!C2636</f>
        <v>역사유물</v>
      </c>
      <c r="F2630" s="9" t="str">
        <f>[1]Discovery!G2636</f>
        <v>A</v>
      </c>
      <c r="G2630" s="9" t="str">
        <f>IFERROR(VLOOKUP(표1[[#This Row],[명칭]],'문화권 정리'!C:D,2,FALSE),"-")</f>
        <v>유라시아</v>
      </c>
      <c r="H2630" s="38" t="str">
        <f>IFERROR(COUNTIF([2]OceanDoodad!$Y:$Y,표1[[#This Row],[명칭]]),"-")</f>
        <v>-</v>
      </c>
      <c r="I2630" s="38">
        <f>IFERROR(COUNTIF([1]AdventureDiscoveryGroup!$D$8:$AW$92,표1[[#This Row],[명칭]]),"-")</f>
        <v>1</v>
      </c>
      <c r="J2630" s="38">
        <f>IFERROR(COUNTIF([1]FishDiscoveryGroup!$A:$X,표1[[#This Row],[명칭]]),"-")</f>
        <v>0</v>
      </c>
      <c r="K2630" s="38" t="str">
        <f>IFERROR(COUNTIF([2]Town!$B:$B,표1[[#This Row],[명칭]]),"-")</f>
        <v>-</v>
      </c>
      <c r="L2630" s="38">
        <f>IFERROR(COUNTIF([1]Village!$BR:$BR,표1[[#This Row],[명칭]]),"-")</f>
        <v>0</v>
      </c>
      <c r="M2630" s="38">
        <f>COUNTIF(퀘스트!B:B,표1[[#This Row],[명칭]])</f>
        <v>0</v>
      </c>
      <c r="N2630" s="65">
        <f>COUNTIF([1]VillageDiscoveryGroup!$C:$C,표1[[#This Row],[명칭]])</f>
        <v>0</v>
      </c>
      <c r="O2630" s="65">
        <f>SUM(표1[[#This Row],[해양탐색]:[마을탐험]])</f>
        <v>1</v>
      </c>
    </row>
    <row r="2631" spans="2:15" ht="13.5" customHeight="1" x14ac:dyDescent="0.3">
      <c r="B2631" s="9">
        <f>[1]Discovery!A2637</f>
        <v>70417153</v>
      </c>
      <c r="C2631" s="9" t="str">
        <f>[1]Discovery!B2637</f>
        <v>이페왕의 두상</v>
      </c>
      <c r="D2631" s="9" t="str">
        <f>[1]Discovery!E2637</f>
        <v>유물</v>
      </c>
      <c r="E2631" s="9" t="str">
        <f>[1]Discovery!C2637</f>
        <v>역사유물</v>
      </c>
      <c r="F2631" s="9" t="str">
        <f>[1]Discovery!G2637</f>
        <v>S</v>
      </c>
      <c r="G2631" s="9" t="str">
        <f>IFERROR(VLOOKUP(표1[[#This Row],[명칭]],'문화권 정리'!C:D,2,FALSE),"-")</f>
        <v>서아프리카</v>
      </c>
      <c r="H2631" s="38" t="str">
        <f>IFERROR(COUNTIF([2]OceanDoodad!$Y:$Y,표1[[#This Row],[명칭]]),"-")</f>
        <v>-</v>
      </c>
      <c r="I2631" s="38">
        <f>IFERROR(COUNTIF([1]AdventureDiscoveryGroup!$D$8:$AW$92,표1[[#This Row],[명칭]]),"-")</f>
        <v>0</v>
      </c>
      <c r="J2631" s="38">
        <f>IFERROR(COUNTIF([1]FishDiscoveryGroup!$A:$X,표1[[#This Row],[명칭]]),"-")</f>
        <v>0</v>
      </c>
      <c r="K2631" s="38" t="str">
        <f>IFERROR(COUNTIF([2]Town!$B:$B,표1[[#This Row],[명칭]]),"-")</f>
        <v>-</v>
      </c>
      <c r="L2631" s="38">
        <f>IFERROR(COUNTIF([1]Village!$BR:$BR,표1[[#This Row],[명칭]]),"-")</f>
        <v>0</v>
      </c>
      <c r="M2631" s="38">
        <f>COUNTIF(퀘스트!B:B,표1[[#This Row],[명칭]])</f>
        <v>0</v>
      </c>
      <c r="N2631" s="65">
        <f>COUNTIF([1]VillageDiscoveryGroup!$C:$C,표1[[#This Row],[명칭]])</f>
        <v>0</v>
      </c>
      <c r="O2631" s="65">
        <f>SUM(표1[[#This Row],[해양탐색]:[마을탐험]])</f>
        <v>0</v>
      </c>
    </row>
    <row r="2632" spans="2:15" ht="13.5" customHeight="1" x14ac:dyDescent="0.3">
      <c r="B2632" s="9">
        <f>[1]Discovery!A2638</f>
        <v>70417155</v>
      </c>
      <c r="C2632" s="9" t="str">
        <f>[1]Discovery!B2638</f>
        <v>일리아스</v>
      </c>
      <c r="D2632" s="9" t="str">
        <f>[1]Discovery!E2638</f>
        <v>보물</v>
      </c>
      <c r="E2632" s="9" t="str">
        <f>[1]Discovery!C2638</f>
        <v>보물</v>
      </c>
      <c r="F2632" s="9" t="str">
        <f>[1]Discovery!G2638</f>
        <v>S</v>
      </c>
      <c r="G2632" s="9" t="str">
        <f>IFERROR(VLOOKUP(표1[[#This Row],[명칭]],'문화권 정리'!C:D,2,FALSE),"-")</f>
        <v>지중해</v>
      </c>
      <c r="H2632" s="38" t="str">
        <f>IFERROR(COUNTIF([2]OceanDoodad!$Y:$Y,표1[[#This Row],[명칭]]),"-")</f>
        <v>-</v>
      </c>
      <c r="I2632" s="38">
        <f>IFERROR(COUNTIF([1]AdventureDiscoveryGroup!$D$8:$AW$92,표1[[#This Row],[명칭]]),"-")</f>
        <v>0</v>
      </c>
      <c r="J2632" s="38">
        <f>IFERROR(COUNTIF([1]FishDiscoveryGroup!$A:$X,표1[[#This Row],[명칭]]),"-")</f>
        <v>0</v>
      </c>
      <c r="K2632" s="38" t="str">
        <f>IFERROR(COUNTIF([2]Town!$B:$B,표1[[#This Row],[명칭]]),"-")</f>
        <v>-</v>
      </c>
      <c r="L2632" s="38">
        <f>IFERROR(COUNTIF([1]Village!$BR:$BR,표1[[#This Row],[명칭]]),"-")</f>
        <v>0</v>
      </c>
      <c r="M2632" s="38">
        <f>COUNTIF(퀘스트!B:B,표1[[#This Row],[명칭]])</f>
        <v>1</v>
      </c>
      <c r="N2632" s="65">
        <f>COUNTIF([1]VillageDiscoveryGroup!$C:$C,표1[[#This Row],[명칭]])</f>
        <v>0</v>
      </c>
      <c r="O2632" s="65">
        <f>SUM(표1[[#This Row],[해양탐색]:[마을탐험]])</f>
        <v>1</v>
      </c>
    </row>
    <row r="2633" spans="2:15" ht="13.5" customHeight="1" x14ac:dyDescent="0.3">
      <c r="B2633" s="9">
        <f>[1]Discovery!A2639</f>
        <v>70417159</v>
      </c>
      <c r="C2633" s="9" t="str">
        <f>[1]Discovery!B2639</f>
        <v>자야바르만 7세의 두상</v>
      </c>
      <c r="D2633" s="9" t="str">
        <f>[1]Discovery!E2639</f>
        <v>유물</v>
      </c>
      <c r="E2633" s="9" t="str">
        <f>[1]Discovery!C2639</f>
        <v>역사유물</v>
      </c>
      <c r="F2633" s="9" t="str">
        <f>[1]Discovery!G2639</f>
        <v>B</v>
      </c>
      <c r="G2633" s="9" t="str">
        <f>IFERROR(VLOOKUP(표1[[#This Row],[명칭]],'문화권 정리'!C:D,2,FALSE),"-")</f>
        <v>동남아시아</v>
      </c>
      <c r="H2633" s="38" t="str">
        <f>IFERROR(COUNTIF([2]OceanDoodad!$Y:$Y,표1[[#This Row],[명칭]]),"-")</f>
        <v>-</v>
      </c>
      <c r="I2633" s="38">
        <f>IFERROR(COUNTIF([1]AdventureDiscoveryGroup!$D$8:$AW$92,표1[[#This Row],[명칭]]),"-")</f>
        <v>1</v>
      </c>
      <c r="J2633" s="38">
        <f>IFERROR(COUNTIF([1]FishDiscoveryGroup!$A:$X,표1[[#This Row],[명칭]]),"-")</f>
        <v>0</v>
      </c>
      <c r="K2633" s="38" t="str">
        <f>IFERROR(COUNTIF([2]Town!$B:$B,표1[[#This Row],[명칭]]),"-")</f>
        <v>-</v>
      </c>
      <c r="L2633" s="38">
        <f>IFERROR(COUNTIF([1]Village!$BR:$BR,표1[[#This Row],[명칭]]),"-")</f>
        <v>0</v>
      </c>
      <c r="M2633" s="38">
        <f>COUNTIF(퀘스트!B:B,표1[[#This Row],[명칭]])</f>
        <v>0</v>
      </c>
      <c r="N2633" s="65">
        <f>COUNTIF([1]VillageDiscoveryGroup!$C:$C,표1[[#This Row],[명칭]])</f>
        <v>0</v>
      </c>
      <c r="O2633" s="65">
        <f>SUM(표1[[#This Row],[해양탐색]:[마을탐험]])</f>
        <v>1</v>
      </c>
    </row>
    <row r="2634" spans="2:15" ht="13.5" customHeight="1" x14ac:dyDescent="0.3">
      <c r="B2634" s="9">
        <f>[1]Discovery!A2640</f>
        <v>70417160</v>
      </c>
      <c r="C2634" s="9" t="str">
        <f>[1]Discovery!B2640</f>
        <v>장궁</v>
      </c>
      <c r="D2634" s="9" t="str">
        <f>[1]Discovery!E2640</f>
        <v>유물</v>
      </c>
      <c r="E2634" s="9" t="str">
        <f>[1]Discovery!C2640</f>
        <v>역사유물</v>
      </c>
      <c r="F2634" s="9" t="str">
        <f>[1]Discovery!G2640</f>
        <v>D</v>
      </c>
      <c r="G2634" s="9" t="str">
        <f>IFERROR(VLOOKUP(표1[[#This Row],[명칭]],'문화권 정리'!C:D,2,FALSE),"-")</f>
        <v>브리튼</v>
      </c>
      <c r="H2634" s="38" t="str">
        <f>IFERROR(COUNTIF([2]OceanDoodad!$Y:$Y,표1[[#This Row],[명칭]]),"-")</f>
        <v>-</v>
      </c>
      <c r="I2634" s="38">
        <f>IFERROR(COUNTIF([1]AdventureDiscoveryGroup!$D$8:$AW$92,표1[[#This Row],[명칭]]),"-")</f>
        <v>1</v>
      </c>
      <c r="J2634" s="38">
        <f>IFERROR(COUNTIF([1]FishDiscoveryGroup!$A:$X,표1[[#This Row],[명칭]]),"-")</f>
        <v>0</v>
      </c>
      <c r="K2634" s="38" t="str">
        <f>IFERROR(COUNTIF([2]Town!$B:$B,표1[[#This Row],[명칭]]),"-")</f>
        <v>-</v>
      </c>
      <c r="L2634" s="38">
        <f>IFERROR(COUNTIF([1]Village!$BR:$BR,표1[[#This Row],[명칭]]),"-")</f>
        <v>0</v>
      </c>
      <c r="M2634" s="38">
        <f>COUNTIF(퀘스트!B:B,표1[[#This Row],[명칭]])</f>
        <v>0</v>
      </c>
      <c r="N2634" s="65">
        <f>COUNTIF([1]VillageDiscoveryGroup!$C:$C,표1[[#This Row],[명칭]])</f>
        <v>0</v>
      </c>
      <c r="O2634" s="65">
        <f>SUM(표1[[#This Row],[해양탐색]:[마을탐험]])</f>
        <v>1</v>
      </c>
    </row>
    <row r="2635" spans="2:15" ht="13.5" customHeight="1" x14ac:dyDescent="0.3">
      <c r="B2635" s="9">
        <f>[1]Discovery!A2641</f>
        <v>70417161</v>
      </c>
      <c r="C2635" s="9" t="str">
        <f>[1]Discovery!B2641</f>
        <v>장한가</v>
      </c>
      <c r="D2635" s="9" t="str">
        <f>[1]Discovery!E2641</f>
        <v>보물</v>
      </c>
      <c r="E2635" s="9" t="str">
        <f>[1]Discovery!C2641</f>
        <v>보물</v>
      </c>
      <c r="F2635" s="9" t="str">
        <f>[1]Discovery!G2641</f>
        <v>B</v>
      </c>
      <c r="G2635" s="9" t="str">
        <f>IFERROR(VLOOKUP(표1[[#This Row],[명칭]],'문화권 정리'!C:D,2,FALSE),"-")</f>
        <v>동아시아</v>
      </c>
      <c r="H2635" s="38" t="str">
        <f>IFERROR(COUNTIF([2]OceanDoodad!$Y:$Y,표1[[#This Row],[명칭]]),"-")</f>
        <v>-</v>
      </c>
      <c r="I2635" s="38">
        <f>IFERROR(COUNTIF([1]AdventureDiscoveryGroup!$D$8:$AW$92,표1[[#This Row],[명칭]]),"-")</f>
        <v>1</v>
      </c>
      <c r="J2635" s="38">
        <f>IFERROR(COUNTIF([1]FishDiscoveryGroup!$A:$X,표1[[#This Row],[명칭]]),"-")</f>
        <v>0</v>
      </c>
      <c r="K2635" s="38" t="str">
        <f>IFERROR(COUNTIF([2]Town!$B:$B,표1[[#This Row],[명칭]]),"-")</f>
        <v>-</v>
      </c>
      <c r="L2635" s="38">
        <f>IFERROR(COUNTIF([1]Village!$BR:$BR,표1[[#This Row],[명칭]]),"-")</f>
        <v>0</v>
      </c>
      <c r="M2635" s="38">
        <f>COUNTIF(퀘스트!B:B,표1[[#This Row],[명칭]])</f>
        <v>0</v>
      </c>
      <c r="N2635" s="65">
        <f>COUNTIF([1]VillageDiscoveryGroup!$C:$C,표1[[#This Row],[명칭]])</f>
        <v>0</v>
      </c>
      <c r="O2635" s="65">
        <f>SUM(표1[[#This Row],[해양탐색]:[마을탐험]])</f>
        <v>1</v>
      </c>
    </row>
    <row r="2636" spans="2:15" ht="13.5" customHeight="1" x14ac:dyDescent="0.3">
      <c r="B2636" s="9">
        <f>[1]Discovery!A2642</f>
        <v>70417162</v>
      </c>
      <c r="C2636" s="9" t="str">
        <f>[1]Discovery!B2642</f>
        <v>전립</v>
      </c>
      <c r="D2636" s="9" t="str">
        <f>[1]Discovery!E2642</f>
        <v>유물</v>
      </c>
      <c r="E2636" s="9" t="str">
        <f>[1]Discovery!C2642</f>
        <v>역사유물</v>
      </c>
      <c r="F2636" s="9" t="str">
        <f>[1]Discovery!G2642</f>
        <v>C</v>
      </c>
      <c r="G2636" s="9" t="str">
        <f>IFERROR(VLOOKUP(표1[[#This Row],[명칭]],'문화권 정리'!C:D,2,FALSE),"-")</f>
        <v>동아시아</v>
      </c>
      <c r="H2636" s="38" t="str">
        <f>IFERROR(COUNTIF([2]OceanDoodad!$Y:$Y,표1[[#This Row],[명칭]]),"-")</f>
        <v>-</v>
      </c>
      <c r="I2636" s="38">
        <f>IFERROR(COUNTIF([1]AdventureDiscoveryGroup!$D$8:$AW$92,표1[[#This Row],[명칭]]),"-")</f>
        <v>0</v>
      </c>
      <c r="J2636" s="38">
        <f>IFERROR(COUNTIF([1]FishDiscoveryGroup!$A:$X,표1[[#This Row],[명칭]]),"-")</f>
        <v>0</v>
      </c>
      <c r="K2636" s="38" t="str">
        <f>IFERROR(COUNTIF([2]Town!$B:$B,표1[[#This Row],[명칭]]),"-")</f>
        <v>-</v>
      </c>
      <c r="L2636" s="38">
        <f>IFERROR(COUNTIF([1]Village!$BR:$BR,표1[[#This Row],[명칭]]),"-")</f>
        <v>0</v>
      </c>
      <c r="M2636" s="38">
        <f>COUNTIF(퀘스트!B:B,표1[[#This Row],[명칭]])</f>
        <v>0</v>
      </c>
      <c r="N2636" s="65">
        <f>COUNTIF([1]VillageDiscoveryGroup!$C:$C,표1[[#This Row],[명칭]])</f>
        <v>0</v>
      </c>
      <c r="O2636" s="65">
        <f>SUM(표1[[#This Row],[해양탐색]:[마을탐험]])</f>
        <v>0</v>
      </c>
    </row>
    <row r="2637" spans="2:15" ht="13.5" customHeight="1" x14ac:dyDescent="0.3">
      <c r="B2637" s="9">
        <f>[1]Discovery!A2643</f>
        <v>70417163</v>
      </c>
      <c r="C2637" s="9" t="str">
        <f>[1]Discovery!B2643</f>
        <v>젬베</v>
      </c>
      <c r="D2637" s="9" t="str">
        <f>[1]Discovery!E2643</f>
        <v>보물</v>
      </c>
      <c r="E2637" s="9" t="str">
        <f>[1]Discovery!C2643</f>
        <v>보물</v>
      </c>
      <c r="F2637" s="9" t="str">
        <f>[1]Discovery!G2643</f>
        <v>A</v>
      </c>
      <c r="G2637" s="9" t="str">
        <f>IFERROR(VLOOKUP(표1[[#This Row],[명칭]],'문화권 정리'!C:D,2,FALSE),"-")</f>
        <v>남아프리카</v>
      </c>
      <c r="H2637" s="38" t="str">
        <f>IFERROR(COUNTIF([2]OceanDoodad!$Y:$Y,표1[[#This Row],[명칭]]),"-")</f>
        <v>-</v>
      </c>
      <c r="I2637" s="38">
        <f>IFERROR(COUNTIF([1]AdventureDiscoveryGroup!$D$8:$AW$92,표1[[#This Row],[명칭]]),"-")</f>
        <v>1</v>
      </c>
      <c r="J2637" s="38">
        <f>IFERROR(COUNTIF([1]FishDiscoveryGroup!$A:$X,표1[[#This Row],[명칭]]),"-")</f>
        <v>0</v>
      </c>
      <c r="K2637" s="38" t="str">
        <f>IFERROR(COUNTIF([2]Town!$B:$B,표1[[#This Row],[명칭]]),"-")</f>
        <v>-</v>
      </c>
      <c r="L2637" s="38">
        <f>IFERROR(COUNTIF([1]Village!$BR:$BR,표1[[#This Row],[명칭]]),"-")</f>
        <v>0</v>
      </c>
      <c r="M2637" s="38">
        <f>COUNTIF(퀘스트!B:B,표1[[#This Row],[명칭]])</f>
        <v>0</v>
      </c>
      <c r="N2637" s="65">
        <f>COUNTIF([1]VillageDiscoveryGroup!$C:$C,표1[[#This Row],[명칭]])</f>
        <v>0</v>
      </c>
      <c r="O2637" s="65">
        <f>SUM(표1[[#This Row],[해양탐색]:[마을탐험]])</f>
        <v>1</v>
      </c>
    </row>
    <row r="2638" spans="2:15" ht="13.5" customHeight="1" x14ac:dyDescent="0.3">
      <c r="B2638" s="9">
        <f>[1]Discovery!A2644</f>
        <v>70417164</v>
      </c>
      <c r="C2638" s="9" t="str">
        <f>[1]Discovery!B2644</f>
        <v>조선경국전</v>
      </c>
      <c r="D2638" s="9" t="str">
        <f>[1]Discovery!E2644</f>
        <v>유물</v>
      </c>
      <c r="E2638" s="9" t="str">
        <f>[1]Discovery!C2644</f>
        <v>역사유물</v>
      </c>
      <c r="F2638" s="9" t="str">
        <f>[1]Discovery!G2644</f>
        <v>B</v>
      </c>
      <c r="G2638" s="9" t="str">
        <f>IFERROR(VLOOKUP(표1[[#This Row],[명칭]],'문화권 정리'!C:D,2,FALSE),"-")</f>
        <v>동아시아</v>
      </c>
      <c r="H2638" s="38" t="str">
        <f>IFERROR(COUNTIF([2]OceanDoodad!$Y:$Y,표1[[#This Row],[명칭]]),"-")</f>
        <v>-</v>
      </c>
      <c r="I2638" s="38">
        <f>IFERROR(COUNTIF([1]AdventureDiscoveryGroup!$D$8:$AW$92,표1[[#This Row],[명칭]]),"-")</f>
        <v>0</v>
      </c>
      <c r="J2638" s="38">
        <f>IFERROR(COUNTIF([1]FishDiscoveryGroup!$A:$X,표1[[#This Row],[명칭]]),"-")</f>
        <v>0</v>
      </c>
      <c r="K2638" s="38" t="str">
        <f>IFERROR(COUNTIF([2]Town!$B:$B,표1[[#This Row],[명칭]]),"-")</f>
        <v>-</v>
      </c>
      <c r="L2638" s="38">
        <f>IFERROR(COUNTIF([1]Village!$BR:$BR,표1[[#This Row],[명칭]]),"-")</f>
        <v>0</v>
      </c>
      <c r="M2638" s="38">
        <f>COUNTIF(퀘스트!B:B,표1[[#This Row],[명칭]])</f>
        <v>1</v>
      </c>
      <c r="N2638" s="65">
        <f>COUNTIF([1]VillageDiscoveryGroup!$C:$C,표1[[#This Row],[명칭]])</f>
        <v>0</v>
      </c>
      <c r="O2638" s="65">
        <f>SUM(표1[[#This Row],[해양탐색]:[마을탐험]])</f>
        <v>1</v>
      </c>
    </row>
    <row r="2639" spans="2:15" ht="13.5" customHeight="1" x14ac:dyDescent="0.3">
      <c r="B2639" s="9">
        <f>[1]Discovery!A2645</f>
        <v>70417165</v>
      </c>
      <c r="C2639" s="9" t="str">
        <f>[1]Discovery!B2645</f>
        <v>주르나</v>
      </c>
      <c r="D2639" s="9" t="str">
        <f>[1]Discovery!E2645</f>
        <v>보물</v>
      </c>
      <c r="E2639" s="9" t="str">
        <f>[1]Discovery!C2645</f>
        <v>보물</v>
      </c>
      <c r="F2639" s="9" t="str">
        <f>[1]Discovery!G2645</f>
        <v>D</v>
      </c>
      <c r="G2639" s="9" t="str">
        <f>IFERROR(VLOOKUP(표1[[#This Row],[명칭]],'문화권 정리'!C:D,2,FALSE),"-")</f>
        <v>지중해</v>
      </c>
      <c r="H2639" s="38" t="str">
        <f>IFERROR(COUNTIF([2]OceanDoodad!$Y:$Y,표1[[#This Row],[명칭]]),"-")</f>
        <v>-</v>
      </c>
      <c r="I2639" s="38">
        <f>IFERROR(COUNTIF([1]AdventureDiscoveryGroup!$D$8:$AW$92,표1[[#This Row],[명칭]]),"-")</f>
        <v>1</v>
      </c>
      <c r="J2639" s="38">
        <f>IFERROR(COUNTIF([1]FishDiscoveryGroup!$A:$X,표1[[#This Row],[명칭]]),"-")</f>
        <v>0</v>
      </c>
      <c r="K2639" s="38" t="str">
        <f>IFERROR(COUNTIF([2]Town!$B:$B,표1[[#This Row],[명칭]]),"-")</f>
        <v>-</v>
      </c>
      <c r="L2639" s="38">
        <f>IFERROR(COUNTIF([1]Village!$BR:$BR,표1[[#This Row],[명칭]]),"-")</f>
        <v>0</v>
      </c>
      <c r="M2639" s="38">
        <f>COUNTIF(퀘스트!B:B,표1[[#This Row],[명칭]])</f>
        <v>0</v>
      </c>
      <c r="N2639" s="65">
        <f>COUNTIF([1]VillageDiscoveryGroup!$C:$C,표1[[#This Row],[명칭]])</f>
        <v>0</v>
      </c>
      <c r="O2639" s="65">
        <f>SUM(표1[[#This Row],[해양탐색]:[마을탐험]])</f>
        <v>1</v>
      </c>
    </row>
    <row r="2640" spans="2:15" ht="13.5" customHeight="1" x14ac:dyDescent="0.3">
      <c r="B2640" s="9">
        <f>[1]Discovery!A2646</f>
        <v>70417167</v>
      </c>
      <c r="C2640" s="9" t="str">
        <f>[1]Discovery!B2646</f>
        <v>중추첩</v>
      </c>
      <c r="D2640" s="9" t="str">
        <f>[1]Discovery!E2646</f>
        <v>보물</v>
      </c>
      <c r="E2640" s="9" t="str">
        <f>[1]Discovery!C2646</f>
        <v>보물</v>
      </c>
      <c r="F2640" s="9" t="str">
        <f>[1]Discovery!G2646</f>
        <v>B</v>
      </c>
      <c r="G2640" s="9" t="str">
        <f>IFERROR(VLOOKUP(표1[[#This Row],[명칭]],'문화권 정리'!C:D,2,FALSE),"-")</f>
        <v>동아시아</v>
      </c>
      <c r="H2640" s="38" t="str">
        <f>IFERROR(COUNTIF([2]OceanDoodad!$Y:$Y,표1[[#This Row],[명칭]]),"-")</f>
        <v>-</v>
      </c>
      <c r="I2640" s="38">
        <f>IFERROR(COUNTIF([1]AdventureDiscoveryGroup!$D$8:$AW$92,표1[[#This Row],[명칭]]),"-")</f>
        <v>0</v>
      </c>
      <c r="J2640" s="38">
        <f>IFERROR(COUNTIF([1]FishDiscoveryGroup!$A:$X,표1[[#This Row],[명칭]]),"-")</f>
        <v>0</v>
      </c>
      <c r="K2640" s="38" t="str">
        <f>IFERROR(COUNTIF([2]Town!$B:$B,표1[[#This Row],[명칭]]),"-")</f>
        <v>-</v>
      </c>
      <c r="L2640" s="38">
        <f>IFERROR(COUNTIF([1]Village!$BR:$BR,표1[[#This Row],[명칭]]),"-")</f>
        <v>0</v>
      </c>
      <c r="M2640" s="38">
        <f>COUNTIF(퀘스트!B:B,표1[[#This Row],[명칭]])</f>
        <v>0</v>
      </c>
      <c r="N2640" s="65">
        <f>COUNTIF([1]VillageDiscoveryGroup!$C:$C,표1[[#This Row],[명칭]])</f>
        <v>0</v>
      </c>
      <c r="O2640" s="65">
        <f>SUM(표1[[#This Row],[해양탐색]:[마을탐험]])</f>
        <v>0</v>
      </c>
    </row>
    <row r="2641" spans="2:15" ht="13.5" customHeight="1" x14ac:dyDescent="0.3">
      <c r="B2641" s="9">
        <f>[1]Discovery!A2647</f>
        <v>70417168</v>
      </c>
      <c r="C2641" s="9" t="str">
        <f>[1]Discovery!B2647</f>
        <v>챠후챠스</v>
      </c>
      <c r="D2641" s="9" t="str">
        <f>[1]Discovery!E2647</f>
        <v>보물</v>
      </c>
      <c r="E2641" s="9" t="str">
        <f>[1]Discovery!C2647</f>
        <v>보물</v>
      </c>
      <c r="F2641" s="9" t="str">
        <f>[1]Discovery!G2647</f>
        <v>A</v>
      </c>
      <c r="G2641" s="9" t="str">
        <f>IFERROR(VLOOKUP(표1[[#This Row],[명칭]],'문화권 정리'!C:D,2,FALSE),"-")</f>
        <v>남아메리카</v>
      </c>
      <c r="H2641" s="38" t="str">
        <f>IFERROR(COUNTIF([2]OceanDoodad!$Y:$Y,표1[[#This Row],[명칭]]),"-")</f>
        <v>-</v>
      </c>
      <c r="I2641" s="38">
        <f>IFERROR(COUNTIF([1]AdventureDiscoveryGroup!$D$8:$AW$92,표1[[#This Row],[명칭]]),"-")</f>
        <v>0</v>
      </c>
      <c r="J2641" s="38">
        <f>IFERROR(COUNTIF([1]FishDiscoveryGroup!$A:$X,표1[[#This Row],[명칭]]),"-")</f>
        <v>0</v>
      </c>
      <c r="K2641" s="38" t="str">
        <f>IFERROR(COUNTIF([2]Town!$B:$B,표1[[#This Row],[명칭]]),"-")</f>
        <v>-</v>
      </c>
      <c r="L2641" s="38">
        <f>IFERROR(COUNTIF([1]Village!$BR:$BR,표1[[#This Row],[명칭]]),"-")</f>
        <v>0</v>
      </c>
      <c r="M2641" s="38">
        <f>COUNTIF(퀘스트!B:B,표1[[#This Row],[명칭]])</f>
        <v>0</v>
      </c>
      <c r="N2641" s="65">
        <f>COUNTIF([1]VillageDiscoveryGroup!$C:$C,표1[[#This Row],[명칭]])</f>
        <v>0</v>
      </c>
      <c r="O2641" s="65">
        <f>SUM(표1[[#This Row],[해양탐색]:[마을탐험]])</f>
        <v>0</v>
      </c>
    </row>
    <row r="2642" spans="2:15" ht="13.5" customHeight="1" x14ac:dyDescent="0.3">
      <c r="B2642" s="9">
        <f>[1]Discovery!A2648</f>
        <v>70417170</v>
      </c>
      <c r="C2642" s="9" t="str">
        <f>[1]Discovery!B2648</f>
        <v>청룡언월도</v>
      </c>
      <c r="D2642" s="9" t="str">
        <f>[1]Discovery!E2648</f>
        <v>보물</v>
      </c>
      <c r="E2642" s="9" t="str">
        <f>[1]Discovery!C2648</f>
        <v>보물</v>
      </c>
      <c r="F2642" s="9" t="str">
        <f>[1]Discovery!G2648</f>
        <v>S</v>
      </c>
      <c r="G2642" s="9" t="str">
        <f>IFERROR(VLOOKUP(표1[[#This Row],[명칭]],'문화권 정리'!C:D,2,FALSE),"-")</f>
        <v>동아시아</v>
      </c>
      <c r="H2642" s="38" t="str">
        <f>IFERROR(COUNTIF([2]OceanDoodad!$Y:$Y,표1[[#This Row],[명칭]]),"-")</f>
        <v>-</v>
      </c>
      <c r="I2642" s="38">
        <f>IFERROR(COUNTIF([1]AdventureDiscoveryGroup!$D$8:$AW$92,표1[[#This Row],[명칭]]),"-")</f>
        <v>0</v>
      </c>
      <c r="J2642" s="38">
        <f>IFERROR(COUNTIF([1]FishDiscoveryGroup!$A:$X,표1[[#This Row],[명칭]]),"-")</f>
        <v>0</v>
      </c>
      <c r="K2642" s="38" t="str">
        <f>IFERROR(COUNTIF([2]Town!$B:$B,표1[[#This Row],[명칭]]),"-")</f>
        <v>-</v>
      </c>
      <c r="L2642" s="38">
        <f>IFERROR(COUNTIF([1]Village!$BR:$BR,표1[[#This Row],[명칭]]),"-")</f>
        <v>0</v>
      </c>
      <c r="M2642" s="38">
        <f>COUNTIF(퀘스트!B:B,표1[[#This Row],[명칭]])</f>
        <v>1</v>
      </c>
      <c r="N2642" s="65">
        <f>COUNTIF([1]VillageDiscoveryGroup!$C:$C,표1[[#This Row],[명칭]])</f>
        <v>0</v>
      </c>
      <c r="O2642" s="65">
        <f>SUM(표1[[#This Row],[해양탐색]:[마을탐험]])</f>
        <v>1</v>
      </c>
    </row>
    <row r="2643" spans="2:15" ht="13.5" customHeight="1" x14ac:dyDescent="0.3">
      <c r="B2643" s="9">
        <f>[1]Discovery!A2649</f>
        <v>70417173</v>
      </c>
      <c r="C2643" s="9" t="str">
        <f>[1]Discovery!B2649</f>
        <v>춘망</v>
      </c>
      <c r="D2643" s="9" t="str">
        <f>[1]Discovery!E2649</f>
        <v>보물</v>
      </c>
      <c r="E2643" s="9" t="str">
        <f>[1]Discovery!C2649</f>
        <v>보물</v>
      </c>
      <c r="F2643" s="9" t="str">
        <f>[1]Discovery!G2649</f>
        <v>B</v>
      </c>
      <c r="G2643" s="9" t="str">
        <f>IFERROR(VLOOKUP(표1[[#This Row],[명칭]],'문화권 정리'!C:D,2,FALSE),"-")</f>
        <v>동아시아</v>
      </c>
      <c r="H2643" s="38" t="str">
        <f>IFERROR(COUNTIF([2]OceanDoodad!$Y:$Y,표1[[#This Row],[명칭]]),"-")</f>
        <v>-</v>
      </c>
      <c r="I2643" s="38">
        <f>IFERROR(COUNTIF([1]AdventureDiscoveryGroup!$D$8:$AW$92,표1[[#This Row],[명칭]]),"-")</f>
        <v>0</v>
      </c>
      <c r="J2643" s="38">
        <f>IFERROR(COUNTIF([1]FishDiscoveryGroup!$A:$X,표1[[#This Row],[명칭]]),"-")</f>
        <v>0</v>
      </c>
      <c r="K2643" s="38" t="str">
        <f>IFERROR(COUNTIF([2]Town!$B:$B,표1[[#This Row],[명칭]]),"-")</f>
        <v>-</v>
      </c>
      <c r="L2643" s="38">
        <f>IFERROR(COUNTIF([1]Village!$BR:$BR,표1[[#This Row],[명칭]]),"-")</f>
        <v>0</v>
      </c>
      <c r="M2643" s="38">
        <f>COUNTIF(퀘스트!B:B,표1[[#This Row],[명칭]])</f>
        <v>0</v>
      </c>
      <c r="N2643" s="65">
        <f>COUNTIF([1]VillageDiscoveryGroup!$C:$C,표1[[#This Row],[명칭]])</f>
        <v>0</v>
      </c>
      <c r="O2643" s="65">
        <f>SUM(표1[[#This Row],[해양탐색]:[마을탐험]])</f>
        <v>0</v>
      </c>
    </row>
    <row r="2644" spans="2:15" ht="13.5" customHeight="1" x14ac:dyDescent="0.3">
      <c r="B2644" s="9">
        <f>[1]Discovery!A2650</f>
        <v>70417174</v>
      </c>
      <c r="C2644" s="9" t="str">
        <f>[1]Discovery!B2650</f>
        <v>칠지도</v>
      </c>
      <c r="D2644" s="9" t="str">
        <f>[1]Discovery!E2650</f>
        <v>보물</v>
      </c>
      <c r="E2644" s="9" t="str">
        <f>[1]Discovery!C2650</f>
        <v>보물</v>
      </c>
      <c r="F2644" s="9" t="str">
        <f>[1]Discovery!G2650</f>
        <v>S</v>
      </c>
      <c r="G2644" s="9" t="str">
        <f>IFERROR(VLOOKUP(표1[[#This Row],[명칭]],'문화권 정리'!C:D,2,FALSE),"-")</f>
        <v>동아시아</v>
      </c>
      <c r="H2644" s="38" t="str">
        <f>IFERROR(COUNTIF([2]OceanDoodad!$Y:$Y,표1[[#This Row],[명칭]]),"-")</f>
        <v>-</v>
      </c>
      <c r="I2644" s="38">
        <f>IFERROR(COUNTIF([1]AdventureDiscoveryGroup!$D$8:$AW$92,표1[[#This Row],[명칭]]),"-")</f>
        <v>0</v>
      </c>
      <c r="J2644" s="38">
        <f>IFERROR(COUNTIF([1]FishDiscoveryGroup!$A:$X,표1[[#This Row],[명칭]]),"-")</f>
        <v>0</v>
      </c>
      <c r="K2644" s="38" t="str">
        <f>IFERROR(COUNTIF([2]Town!$B:$B,표1[[#This Row],[명칭]]),"-")</f>
        <v>-</v>
      </c>
      <c r="L2644" s="38">
        <f>IFERROR(COUNTIF([1]Village!$BR:$BR,표1[[#This Row],[명칭]]),"-")</f>
        <v>0</v>
      </c>
      <c r="M2644" s="38">
        <f>COUNTIF(퀘스트!B:B,표1[[#This Row],[명칭]])</f>
        <v>1</v>
      </c>
      <c r="N2644" s="65">
        <f>COUNTIF([1]VillageDiscoveryGroup!$C:$C,표1[[#This Row],[명칭]])</f>
        <v>0</v>
      </c>
      <c r="O2644" s="65">
        <f>SUM(표1[[#This Row],[해양탐색]:[마을탐험]])</f>
        <v>1</v>
      </c>
    </row>
    <row r="2645" spans="2:15" ht="13.5" customHeight="1" x14ac:dyDescent="0.3">
      <c r="B2645" s="9">
        <f>[1]Discovery!A2651</f>
        <v>70417176</v>
      </c>
      <c r="C2645" s="9" t="str">
        <f>[1]Discovery!B2651</f>
        <v>카를대제의 왕관</v>
      </c>
      <c r="D2645" s="9" t="str">
        <f>[1]Discovery!E2651</f>
        <v>보물</v>
      </c>
      <c r="E2645" s="9" t="str">
        <f>[1]Discovery!C2651</f>
        <v>보물</v>
      </c>
      <c r="F2645" s="9" t="str">
        <f>[1]Discovery!G2651</f>
        <v>B</v>
      </c>
      <c r="G2645" s="9" t="str">
        <f>IFERROR(VLOOKUP(표1[[#This Row],[명칭]],'문화권 정리'!C:D,2,FALSE),"-")</f>
        <v>지중해</v>
      </c>
      <c r="H2645" s="38" t="str">
        <f>IFERROR(COUNTIF([2]OceanDoodad!$Y:$Y,표1[[#This Row],[명칭]]),"-")</f>
        <v>-</v>
      </c>
      <c r="I2645" s="38">
        <f>IFERROR(COUNTIF([1]AdventureDiscoveryGroup!$D$8:$AW$92,표1[[#This Row],[명칭]]),"-")</f>
        <v>0</v>
      </c>
      <c r="J2645" s="38">
        <f>IFERROR(COUNTIF([1]FishDiscoveryGroup!$A:$X,표1[[#This Row],[명칭]]),"-")</f>
        <v>0</v>
      </c>
      <c r="K2645" s="38" t="str">
        <f>IFERROR(COUNTIF([2]Town!$B:$B,표1[[#This Row],[명칭]]),"-")</f>
        <v>-</v>
      </c>
      <c r="L2645" s="38">
        <f>IFERROR(COUNTIF([1]Village!$BR:$BR,표1[[#This Row],[명칭]]),"-")</f>
        <v>0</v>
      </c>
      <c r="M2645" s="38">
        <f>COUNTIF(퀘스트!B:B,표1[[#This Row],[명칭]])</f>
        <v>1</v>
      </c>
      <c r="N2645" s="65">
        <f>COUNTIF([1]VillageDiscoveryGroup!$C:$C,표1[[#This Row],[명칭]])</f>
        <v>0</v>
      </c>
      <c r="O2645" s="65">
        <f>SUM(표1[[#This Row],[해양탐색]:[마을탐험]])</f>
        <v>1</v>
      </c>
    </row>
    <row r="2646" spans="2:15" ht="13.5" customHeight="1" x14ac:dyDescent="0.3">
      <c r="B2646" s="9">
        <f>[1]Discovery!A2652</f>
        <v>70417177</v>
      </c>
      <c r="C2646" s="9" t="str">
        <f>[1]Discovery!B2652</f>
        <v>카샤카</v>
      </c>
      <c r="D2646" s="9" t="str">
        <f>[1]Discovery!E2652</f>
        <v>보물</v>
      </c>
      <c r="E2646" s="9" t="str">
        <f>[1]Discovery!C2652</f>
        <v>보물</v>
      </c>
      <c r="F2646" s="9" t="str">
        <f>[1]Discovery!G2652</f>
        <v>B</v>
      </c>
      <c r="G2646" s="9" t="str">
        <f>IFERROR(VLOOKUP(표1[[#This Row],[명칭]],'문화권 정리'!C:D,2,FALSE),"-")</f>
        <v>동남아시아</v>
      </c>
      <c r="H2646" s="38" t="str">
        <f>IFERROR(COUNTIF([2]OceanDoodad!$Y:$Y,표1[[#This Row],[명칭]]),"-")</f>
        <v>-</v>
      </c>
      <c r="I2646" s="38">
        <f>IFERROR(COUNTIF([1]AdventureDiscoveryGroup!$D$8:$AW$92,표1[[#This Row],[명칭]]),"-")</f>
        <v>0</v>
      </c>
      <c r="J2646" s="38">
        <f>IFERROR(COUNTIF([1]FishDiscoveryGroup!$A:$X,표1[[#This Row],[명칭]]),"-")</f>
        <v>0</v>
      </c>
      <c r="K2646" s="38" t="str">
        <f>IFERROR(COUNTIF([2]Town!$B:$B,표1[[#This Row],[명칭]]),"-")</f>
        <v>-</v>
      </c>
      <c r="L2646" s="38">
        <f>IFERROR(COUNTIF([1]Village!$BR:$BR,표1[[#This Row],[명칭]]),"-")</f>
        <v>0</v>
      </c>
      <c r="M2646" s="38">
        <f>COUNTIF(퀘스트!B:B,표1[[#This Row],[명칭]])</f>
        <v>0</v>
      </c>
      <c r="N2646" s="65">
        <f>COUNTIF([1]VillageDiscoveryGroup!$C:$C,표1[[#This Row],[명칭]])</f>
        <v>0</v>
      </c>
      <c r="O2646" s="65">
        <f>SUM(표1[[#This Row],[해양탐색]:[마을탐험]])</f>
        <v>0</v>
      </c>
    </row>
    <row r="2647" spans="2:15" ht="13.5" customHeight="1" x14ac:dyDescent="0.3">
      <c r="B2647" s="9">
        <f>[1]Discovery!A2653</f>
        <v>70417178</v>
      </c>
      <c r="C2647" s="9" t="str">
        <f>[1]Discovery!B2653</f>
        <v>케나</v>
      </c>
      <c r="D2647" s="9" t="str">
        <f>[1]Discovery!E2653</f>
        <v>보물</v>
      </c>
      <c r="E2647" s="9" t="str">
        <f>[1]Discovery!C2653</f>
        <v>보물</v>
      </c>
      <c r="F2647" s="9" t="str">
        <f>[1]Discovery!G2653</f>
        <v>A</v>
      </c>
      <c r="G2647" s="9" t="str">
        <f>IFERROR(VLOOKUP(표1[[#This Row],[명칭]],'문화권 정리'!C:D,2,FALSE),"-")</f>
        <v>남아메리카</v>
      </c>
      <c r="H2647" s="38" t="str">
        <f>IFERROR(COUNTIF([2]OceanDoodad!$Y:$Y,표1[[#This Row],[명칭]]),"-")</f>
        <v>-</v>
      </c>
      <c r="I2647" s="38">
        <f>IFERROR(COUNTIF([1]AdventureDiscoveryGroup!$D$8:$AW$92,표1[[#This Row],[명칭]]),"-")</f>
        <v>1</v>
      </c>
      <c r="J2647" s="38">
        <f>IFERROR(COUNTIF([1]FishDiscoveryGroup!$A:$X,표1[[#This Row],[명칭]]),"-")</f>
        <v>0</v>
      </c>
      <c r="K2647" s="38" t="str">
        <f>IFERROR(COUNTIF([2]Town!$B:$B,표1[[#This Row],[명칭]]),"-")</f>
        <v>-</v>
      </c>
      <c r="L2647" s="38">
        <f>IFERROR(COUNTIF([1]Village!$BR:$BR,표1[[#This Row],[명칭]]),"-")</f>
        <v>0</v>
      </c>
      <c r="M2647" s="38">
        <f>COUNTIF(퀘스트!B:B,표1[[#This Row],[명칭]])</f>
        <v>0</v>
      </c>
      <c r="N2647" s="65">
        <f>COUNTIF([1]VillageDiscoveryGroup!$C:$C,표1[[#This Row],[명칭]])</f>
        <v>0</v>
      </c>
      <c r="O2647" s="65">
        <f>SUM(표1[[#This Row],[해양탐색]:[마을탐험]])</f>
        <v>1</v>
      </c>
    </row>
    <row r="2648" spans="2:15" ht="13.5" customHeight="1" x14ac:dyDescent="0.3">
      <c r="B2648" s="9">
        <f>[1]Discovery!A2654</f>
        <v>70417179</v>
      </c>
      <c r="C2648" s="9" t="str">
        <f>[1]Discovery!B2654</f>
        <v>켈스의 서</v>
      </c>
      <c r="D2648" s="9" t="str">
        <f>[1]Discovery!E2654</f>
        <v>유물</v>
      </c>
      <c r="E2648" s="9" t="str">
        <f>[1]Discovery!C2654</f>
        <v>종교유물</v>
      </c>
      <c r="F2648" s="9" t="str">
        <f>[1]Discovery!G2654</f>
        <v>B</v>
      </c>
      <c r="G2648" s="9" t="str">
        <f>IFERROR(VLOOKUP(표1[[#This Row],[명칭]],'문화권 정리'!C:D,2,FALSE),"-")</f>
        <v>브리튼</v>
      </c>
      <c r="H2648" s="38" t="str">
        <f>IFERROR(COUNTIF([2]OceanDoodad!$Y:$Y,표1[[#This Row],[명칭]]),"-")</f>
        <v>-</v>
      </c>
      <c r="I2648" s="38">
        <f>IFERROR(COUNTIF([1]AdventureDiscoveryGroup!$D$8:$AW$92,표1[[#This Row],[명칭]]),"-")</f>
        <v>0</v>
      </c>
      <c r="J2648" s="38">
        <f>IFERROR(COUNTIF([1]FishDiscoveryGroup!$A:$X,표1[[#This Row],[명칭]]),"-")</f>
        <v>0</v>
      </c>
      <c r="K2648" s="38" t="str">
        <f>IFERROR(COUNTIF([2]Town!$B:$B,표1[[#This Row],[명칭]]),"-")</f>
        <v>-</v>
      </c>
      <c r="L2648" s="38">
        <f>IFERROR(COUNTIF([1]Village!$BR:$BR,표1[[#This Row],[명칭]]),"-")</f>
        <v>0</v>
      </c>
      <c r="M2648" s="38">
        <f>COUNTIF(퀘스트!B:B,표1[[#This Row],[명칭]])</f>
        <v>0</v>
      </c>
      <c r="N2648" s="65">
        <f>COUNTIF([1]VillageDiscoveryGroup!$C:$C,표1[[#This Row],[명칭]])</f>
        <v>0</v>
      </c>
      <c r="O2648" s="65">
        <f>SUM(표1[[#This Row],[해양탐색]:[마을탐험]])</f>
        <v>0</v>
      </c>
    </row>
    <row r="2649" spans="2:15" ht="13.5" customHeight="1" x14ac:dyDescent="0.3">
      <c r="B2649" s="9">
        <f>[1]Discovery!A2655</f>
        <v>70417180</v>
      </c>
      <c r="C2649" s="9" t="str">
        <f>[1]Discovery!B2655</f>
        <v>코라</v>
      </c>
      <c r="D2649" s="9" t="str">
        <f>[1]Discovery!E2655</f>
        <v>보물</v>
      </c>
      <c r="E2649" s="9" t="str">
        <f>[1]Discovery!C2655</f>
        <v>보물</v>
      </c>
      <c r="F2649" s="9" t="str">
        <f>[1]Discovery!G2655</f>
        <v>C</v>
      </c>
      <c r="G2649" s="9" t="str">
        <f>IFERROR(VLOOKUP(표1[[#This Row],[명칭]],'문화권 정리'!C:D,2,FALSE),"-")</f>
        <v>서아프리카</v>
      </c>
      <c r="H2649" s="38" t="str">
        <f>IFERROR(COUNTIF([2]OceanDoodad!$Y:$Y,표1[[#This Row],[명칭]]),"-")</f>
        <v>-</v>
      </c>
      <c r="I2649" s="38">
        <f>IFERROR(COUNTIF([1]AdventureDiscoveryGroup!$D$8:$AW$92,표1[[#This Row],[명칭]]),"-")</f>
        <v>0</v>
      </c>
      <c r="J2649" s="38">
        <f>IFERROR(COUNTIF([1]FishDiscoveryGroup!$A:$X,표1[[#This Row],[명칭]]),"-")</f>
        <v>0</v>
      </c>
      <c r="K2649" s="38" t="str">
        <f>IFERROR(COUNTIF([2]Town!$B:$B,표1[[#This Row],[명칭]]),"-")</f>
        <v>-</v>
      </c>
      <c r="L2649" s="38">
        <f>IFERROR(COUNTIF([1]Village!$BR:$BR,표1[[#This Row],[명칭]]),"-")</f>
        <v>0</v>
      </c>
      <c r="M2649" s="38">
        <f>COUNTIF(퀘스트!B:B,표1[[#This Row],[명칭]])</f>
        <v>0</v>
      </c>
      <c r="N2649" s="65">
        <f>COUNTIF([1]VillageDiscoveryGroup!$C:$C,표1[[#This Row],[명칭]])</f>
        <v>1</v>
      </c>
      <c r="O2649" s="65">
        <f>SUM(표1[[#This Row],[해양탐색]:[마을탐험]])</f>
        <v>1</v>
      </c>
    </row>
    <row r="2650" spans="2:15" ht="13.5" customHeight="1" x14ac:dyDescent="0.3">
      <c r="B2650" s="9">
        <f>[1]Discovery!A2656</f>
        <v>70417181</v>
      </c>
      <c r="C2650" s="9" t="str">
        <f>[1]Discovery!B2656</f>
        <v>코시모의 메달</v>
      </c>
      <c r="D2650" s="9" t="str">
        <f>[1]Discovery!E2656</f>
        <v>보물</v>
      </c>
      <c r="E2650" s="9" t="str">
        <f>[1]Discovery!C2656</f>
        <v>보물</v>
      </c>
      <c r="F2650" s="9" t="str">
        <f>[1]Discovery!G2656</f>
        <v>C</v>
      </c>
      <c r="G2650" s="9" t="str">
        <f>IFERROR(VLOOKUP(표1[[#This Row],[명칭]],'문화권 정리'!C:D,2,FALSE),"-")</f>
        <v>지중해</v>
      </c>
      <c r="H2650" s="38" t="str">
        <f>IFERROR(COUNTIF([2]OceanDoodad!$Y:$Y,표1[[#This Row],[명칭]]),"-")</f>
        <v>-</v>
      </c>
      <c r="I2650" s="38">
        <f>IFERROR(COUNTIF([1]AdventureDiscoveryGroup!$D$8:$AW$92,표1[[#This Row],[명칭]]),"-")</f>
        <v>0</v>
      </c>
      <c r="J2650" s="38">
        <f>IFERROR(COUNTIF([1]FishDiscoveryGroup!$A:$X,표1[[#This Row],[명칭]]),"-")</f>
        <v>0</v>
      </c>
      <c r="K2650" s="38" t="str">
        <f>IFERROR(COUNTIF([2]Town!$B:$B,표1[[#This Row],[명칭]]),"-")</f>
        <v>-</v>
      </c>
      <c r="L2650" s="38">
        <f>IFERROR(COUNTIF([1]Village!$BR:$BR,표1[[#This Row],[명칭]]),"-")</f>
        <v>0</v>
      </c>
      <c r="M2650" s="38">
        <f>COUNTIF(퀘스트!B:B,표1[[#This Row],[명칭]])</f>
        <v>0</v>
      </c>
      <c r="N2650" s="65">
        <f>COUNTIF([1]VillageDiscoveryGroup!$C:$C,표1[[#This Row],[명칭]])</f>
        <v>0</v>
      </c>
      <c r="O2650" s="65">
        <f>SUM(표1[[#This Row],[해양탐색]:[마을탐험]])</f>
        <v>0</v>
      </c>
    </row>
    <row r="2651" spans="2:15" ht="13.5" customHeight="1" x14ac:dyDescent="0.3">
      <c r="B2651" s="9">
        <f>[1]Discovery!A2657</f>
        <v>70417182</v>
      </c>
      <c r="C2651" s="9" t="str">
        <f>[1]Discovery!B2657</f>
        <v>코이누르</v>
      </c>
      <c r="D2651" s="9" t="str">
        <f>[1]Discovery!E2657</f>
        <v>보물</v>
      </c>
      <c r="E2651" s="9" t="str">
        <f>[1]Discovery!C2657</f>
        <v>보물</v>
      </c>
      <c r="F2651" s="9" t="str">
        <f>[1]Discovery!G2657</f>
        <v>B</v>
      </c>
      <c r="G2651" s="9" t="str">
        <f>IFERROR(VLOOKUP(표1[[#This Row],[명칭]],'문화권 정리'!C:D,2,FALSE),"-")</f>
        <v>서남아시아</v>
      </c>
      <c r="H2651" s="38" t="str">
        <f>IFERROR(COUNTIF([2]OceanDoodad!$Y:$Y,표1[[#This Row],[명칭]]),"-")</f>
        <v>-</v>
      </c>
      <c r="I2651" s="38">
        <f>IFERROR(COUNTIF([1]AdventureDiscoveryGroup!$D$8:$AW$92,표1[[#This Row],[명칭]]),"-")</f>
        <v>0</v>
      </c>
      <c r="J2651" s="38">
        <f>IFERROR(COUNTIF([1]FishDiscoveryGroup!$A:$X,표1[[#This Row],[명칭]]),"-")</f>
        <v>0</v>
      </c>
      <c r="K2651" s="38" t="str">
        <f>IFERROR(COUNTIF([2]Town!$B:$B,표1[[#This Row],[명칭]]),"-")</f>
        <v>-</v>
      </c>
      <c r="L2651" s="38">
        <f>IFERROR(COUNTIF([1]Village!$BR:$BR,표1[[#This Row],[명칭]]),"-")</f>
        <v>0</v>
      </c>
      <c r="M2651" s="38">
        <f>COUNTIF(퀘스트!B:B,표1[[#This Row],[명칭]])</f>
        <v>0</v>
      </c>
      <c r="N2651" s="65">
        <f>COUNTIF([1]VillageDiscoveryGroup!$C:$C,표1[[#This Row],[명칭]])</f>
        <v>0</v>
      </c>
      <c r="O2651" s="65">
        <f>SUM(표1[[#This Row],[해양탐색]:[마을탐험]])</f>
        <v>0</v>
      </c>
    </row>
    <row r="2652" spans="2:15" ht="13.5" customHeight="1" x14ac:dyDescent="0.3">
      <c r="B2652" s="9">
        <f>[1]Discovery!A2658</f>
        <v>70417184</v>
      </c>
      <c r="C2652" s="9" t="str">
        <f>[1]Discovery!B2658</f>
        <v>콜라다</v>
      </c>
      <c r="D2652" s="9" t="str">
        <f>[1]Discovery!E2658</f>
        <v>보물</v>
      </c>
      <c r="E2652" s="9" t="str">
        <f>[1]Discovery!C2658</f>
        <v>보물</v>
      </c>
      <c r="F2652" s="9" t="str">
        <f>[1]Discovery!G2658</f>
        <v>S</v>
      </c>
      <c r="G2652" s="9" t="str">
        <f>IFERROR(VLOOKUP(표1[[#This Row],[명칭]],'문화권 정리'!C:D,2,FALSE),"-")</f>
        <v>지중해</v>
      </c>
      <c r="H2652" s="38" t="str">
        <f>IFERROR(COUNTIF([2]OceanDoodad!$Y:$Y,표1[[#This Row],[명칭]]),"-")</f>
        <v>-</v>
      </c>
      <c r="I2652" s="38">
        <f>IFERROR(COUNTIF([1]AdventureDiscoveryGroup!$D$8:$AW$92,표1[[#This Row],[명칭]]),"-")</f>
        <v>0</v>
      </c>
      <c r="J2652" s="38">
        <f>IFERROR(COUNTIF([1]FishDiscoveryGroup!$A:$X,표1[[#This Row],[명칭]]),"-")</f>
        <v>0</v>
      </c>
      <c r="K2652" s="38" t="str">
        <f>IFERROR(COUNTIF([2]Town!$B:$B,표1[[#This Row],[명칭]]),"-")</f>
        <v>-</v>
      </c>
      <c r="L2652" s="38">
        <f>IFERROR(COUNTIF([1]Village!$BR:$BR,표1[[#This Row],[명칭]]),"-")</f>
        <v>0</v>
      </c>
      <c r="M2652" s="38">
        <f>COUNTIF(퀘스트!B:B,표1[[#This Row],[명칭]])</f>
        <v>0</v>
      </c>
      <c r="N2652" s="65">
        <f>COUNTIF([1]VillageDiscoveryGroup!$C:$C,표1[[#This Row],[명칭]])</f>
        <v>0</v>
      </c>
      <c r="O2652" s="65">
        <f>SUM(표1[[#This Row],[해양탐색]:[마을탐험]])</f>
        <v>0</v>
      </c>
    </row>
    <row r="2653" spans="2:15" ht="13.5" customHeight="1" x14ac:dyDescent="0.3">
      <c r="B2653" s="9">
        <f>[1]Discovery!A2659</f>
        <v>70417186</v>
      </c>
      <c r="C2653" s="9" t="str">
        <f>[1]Discovery!B2659</f>
        <v>쿠아우테목의 창</v>
      </c>
      <c r="D2653" s="9" t="str">
        <f>[1]Discovery!E2659</f>
        <v>보물</v>
      </c>
      <c r="E2653" s="9" t="str">
        <f>[1]Discovery!C2659</f>
        <v>보물</v>
      </c>
      <c r="F2653" s="9" t="str">
        <f>[1]Discovery!G2659</f>
        <v>S</v>
      </c>
      <c r="G2653" s="9" t="str">
        <f>IFERROR(VLOOKUP(표1[[#This Row],[명칭]],'문화권 정리'!C:D,2,FALSE),"-")</f>
        <v>중앙아메리카</v>
      </c>
      <c r="H2653" s="38" t="str">
        <f>IFERROR(COUNTIF([2]OceanDoodad!$Y:$Y,표1[[#This Row],[명칭]]),"-")</f>
        <v>-</v>
      </c>
      <c r="I2653" s="38">
        <f>IFERROR(COUNTIF([1]AdventureDiscoveryGroup!$D$8:$AW$92,표1[[#This Row],[명칭]]),"-")</f>
        <v>0</v>
      </c>
      <c r="J2653" s="38">
        <f>IFERROR(COUNTIF([1]FishDiscoveryGroup!$A:$X,표1[[#This Row],[명칭]]),"-")</f>
        <v>0</v>
      </c>
      <c r="K2653" s="38" t="str">
        <f>IFERROR(COUNTIF([2]Town!$B:$B,표1[[#This Row],[명칭]]),"-")</f>
        <v>-</v>
      </c>
      <c r="L2653" s="38">
        <f>IFERROR(COUNTIF([1]Village!$BR:$BR,표1[[#This Row],[명칭]]),"-")</f>
        <v>0</v>
      </c>
      <c r="M2653" s="38">
        <f>COUNTIF(퀘스트!B:B,표1[[#This Row],[명칭]])</f>
        <v>1</v>
      </c>
      <c r="N2653" s="65">
        <f>COUNTIF([1]VillageDiscoveryGroup!$C:$C,표1[[#This Row],[명칭]])</f>
        <v>0</v>
      </c>
      <c r="O2653" s="65">
        <f>SUM(표1[[#This Row],[해양탐색]:[마을탐험]])</f>
        <v>1</v>
      </c>
    </row>
    <row r="2654" spans="2:15" ht="13.5" customHeight="1" x14ac:dyDescent="0.3">
      <c r="B2654" s="9">
        <f>[1]Discovery!A2660</f>
        <v>70417187</v>
      </c>
      <c r="C2654" s="9" t="str">
        <f>[1]Discovery!B2660</f>
        <v>쿠 스틱</v>
      </c>
      <c r="D2654" s="9" t="str">
        <f>[1]Discovery!E2660</f>
        <v>유물</v>
      </c>
      <c r="E2654" s="9" t="str">
        <f>[1]Discovery!C2660</f>
        <v>역사유물</v>
      </c>
      <c r="F2654" s="9" t="str">
        <f>[1]Discovery!G2660</f>
        <v>C</v>
      </c>
      <c r="G2654" s="9" t="str">
        <f>IFERROR(VLOOKUP(표1[[#This Row],[명칭]],'문화권 정리'!C:D,2,FALSE),"-")</f>
        <v>북아메리카</v>
      </c>
      <c r="H2654" s="38" t="str">
        <f>IFERROR(COUNTIF([2]OceanDoodad!$Y:$Y,표1[[#This Row],[명칭]]),"-")</f>
        <v>-</v>
      </c>
      <c r="I2654" s="38">
        <f>IFERROR(COUNTIF([1]AdventureDiscoveryGroup!$D$8:$AW$92,표1[[#This Row],[명칭]]),"-")</f>
        <v>1</v>
      </c>
      <c r="J2654" s="38">
        <f>IFERROR(COUNTIF([1]FishDiscoveryGroup!$A:$X,표1[[#This Row],[명칭]]),"-")</f>
        <v>0</v>
      </c>
      <c r="K2654" s="38" t="str">
        <f>IFERROR(COUNTIF([2]Town!$B:$B,표1[[#This Row],[명칭]]),"-")</f>
        <v>-</v>
      </c>
      <c r="L2654" s="38">
        <f>IFERROR(COUNTIF([1]Village!$BR:$BR,표1[[#This Row],[명칭]]),"-")</f>
        <v>0</v>
      </c>
      <c r="M2654" s="38">
        <f>COUNTIF(퀘스트!B:B,표1[[#This Row],[명칭]])</f>
        <v>0</v>
      </c>
      <c r="N2654" s="65">
        <f>COUNTIF([1]VillageDiscoveryGroup!$C:$C,표1[[#This Row],[명칭]])</f>
        <v>0</v>
      </c>
      <c r="O2654" s="65">
        <f>SUM(표1[[#This Row],[해양탐색]:[마을탐험]])</f>
        <v>1</v>
      </c>
    </row>
    <row r="2655" spans="2:15" ht="13.5" customHeight="1" x14ac:dyDescent="0.3">
      <c r="B2655" s="9">
        <f>[1]Discovery!A2661</f>
        <v>70417188</v>
      </c>
      <c r="C2655" s="9" t="str">
        <f>[1]Discovery!B2661</f>
        <v>클랩스틱</v>
      </c>
      <c r="D2655" s="9" t="str">
        <f>[1]Discovery!E2661</f>
        <v>보물</v>
      </c>
      <c r="E2655" s="9" t="str">
        <f>[1]Discovery!C2661</f>
        <v>보물</v>
      </c>
      <c r="F2655" s="9" t="str">
        <f>[1]Discovery!G2661</f>
        <v>D</v>
      </c>
      <c r="G2655" s="9" t="str">
        <f>IFERROR(VLOOKUP(표1[[#This Row],[명칭]],'문화권 정리'!C:D,2,FALSE),"-")</f>
        <v>오세아니아</v>
      </c>
      <c r="H2655" s="38" t="str">
        <f>IFERROR(COUNTIF([2]OceanDoodad!$Y:$Y,표1[[#This Row],[명칭]]),"-")</f>
        <v>-</v>
      </c>
      <c r="I2655" s="38">
        <f>IFERROR(COUNTIF([1]AdventureDiscoveryGroup!$D$8:$AW$92,표1[[#This Row],[명칭]]),"-")</f>
        <v>0</v>
      </c>
      <c r="J2655" s="38">
        <f>IFERROR(COUNTIF([1]FishDiscoveryGroup!$A:$X,표1[[#This Row],[명칭]]),"-")</f>
        <v>0</v>
      </c>
      <c r="K2655" s="38" t="str">
        <f>IFERROR(COUNTIF([2]Town!$B:$B,표1[[#This Row],[명칭]]),"-")</f>
        <v>-</v>
      </c>
      <c r="L2655" s="38">
        <f>IFERROR(COUNTIF([1]Village!$BR:$BR,표1[[#This Row],[명칭]]),"-")</f>
        <v>0</v>
      </c>
      <c r="M2655" s="38">
        <f>COUNTIF(퀘스트!B:B,표1[[#This Row],[명칭]])</f>
        <v>0</v>
      </c>
      <c r="N2655" s="65">
        <f>COUNTIF([1]VillageDiscoveryGroup!$C:$C,표1[[#This Row],[명칭]])</f>
        <v>1</v>
      </c>
      <c r="O2655" s="65">
        <f>SUM(표1[[#This Row],[해양탐색]:[마을탐험]])</f>
        <v>1</v>
      </c>
    </row>
    <row r="2656" spans="2:15" ht="13.5" customHeight="1" x14ac:dyDescent="0.3">
      <c r="B2656" s="9">
        <f>[1]Discovery!A2662</f>
        <v>70417189</v>
      </c>
      <c r="C2656" s="9" t="str">
        <f>[1]Discovery!B2662</f>
        <v>클리브 솔리스</v>
      </c>
      <c r="D2656" s="9" t="str">
        <f>[1]Discovery!E2662</f>
        <v>보물</v>
      </c>
      <c r="E2656" s="9" t="str">
        <f>[1]Discovery!C2662</f>
        <v>보물</v>
      </c>
      <c r="F2656" s="9" t="str">
        <f>[1]Discovery!G2662</f>
        <v>S</v>
      </c>
      <c r="G2656" s="9" t="str">
        <f>IFERROR(VLOOKUP(표1[[#This Row],[명칭]],'문화권 정리'!C:D,2,FALSE),"-")</f>
        <v>브리튼</v>
      </c>
      <c r="H2656" s="38" t="str">
        <f>IFERROR(COUNTIF([2]OceanDoodad!$Y:$Y,표1[[#This Row],[명칭]]),"-")</f>
        <v>-</v>
      </c>
      <c r="I2656" s="38">
        <f>IFERROR(COUNTIF([1]AdventureDiscoveryGroup!$D$8:$AW$92,표1[[#This Row],[명칭]]),"-")</f>
        <v>0</v>
      </c>
      <c r="J2656" s="38">
        <f>IFERROR(COUNTIF([1]FishDiscoveryGroup!$A:$X,표1[[#This Row],[명칭]]),"-")</f>
        <v>0</v>
      </c>
      <c r="K2656" s="38" t="str">
        <f>IFERROR(COUNTIF([2]Town!$B:$B,표1[[#This Row],[명칭]]),"-")</f>
        <v>-</v>
      </c>
      <c r="L2656" s="38">
        <f>IFERROR(COUNTIF([1]Village!$BR:$BR,표1[[#This Row],[명칭]]),"-")</f>
        <v>0</v>
      </c>
      <c r="M2656" s="38">
        <f>COUNTIF(퀘스트!B:B,표1[[#This Row],[명칭]])</f>
        <v>1</v>
      </c>
      <c r="N2656" s="65">
        <f>COUNTIF([1]VillageDiscoveryGroup!$C:$C,표1[[#This Row],[명칭]])</f>
        <v>0</v>
      </c>
      <c r="O2656" s="65">
        <f>SUM(표1[[#This Row],[해양탐색]:[마을탐험]])</f>
        <v>1</v>
      </c>
    </row>
    <row r="2657" spans="2:15" ht="13.5" customHeight="1" x14ac:dyDescent="0.3">
      <c r="B2657" s="9">
        <f>[1]Discovery!A2663</f>
        <v>70417190</v>
      </c>
      <c r="C2657" s="9" t="str">
        <f>[1]Discovery!B2663</f>
        <v>키푸</v>
      </c>
      <c r="D2657" s="9" t="str">
        <f>[1]Discovery!E2663</f>
        <v>보물</v>
      </c>
      <c r="E2657" s="9" t="str">
        <f>[1]Discovery!C2663</f>
        <v>보물</v>
      </c>
      <c r="F2657" s="9" t="str">
        <f>[1]Discovery!G2663</f>
        <v>B</v>
      </c>
      <c r="G2657" s="9" t="str">
        <f>IFERROR(VLOOKUP(표1[[#This Row],[명칭]],'문화권 정리'!C:D,2,FALSE),"-")</f>
        <v>남아메리카</v>
      </c>
      <c r="H2657" s="38" t="str">
        <f>IFERROR(COUNTIF([2]OceanDoodad!$Y:$Y,표1[[#This Row],[명칭]]),"-")</f>
        <v>-</v>
      </c>
      <c r="I2657" s="38">
        <f>IFERROR(COUNTIF([1]AdventureDiscoveryGroup!$D$8:$AW$92,표1[[#This Row],[명칭]]),"-")</f>
        <v>0</v>
      </c>
      <c r="J2657" s="38">
        <f>IFERROR(COUNTIF([1]FishDiscoveryGroup!$A:$X,표1[[#This Row],[명칭]]),"-")</f>
        <v>0</v>
      </c>
      <c r="K2657" s="38" t="str">
        <f>IFERROR(COUNTIF([2]Town!$B:$B,표1[[#This Row],[명칭]]),"-")</f>
        <v>-</v>
      </c>
      <c r="L2657" s="38">
        <f>IFERROR(COUNTIF([1]Village!$BR:$BR,표1[[#This Row],[명칭]]),"-")</f>
        <v>0</v>
      </c>
      <c r="M2657" s="38">
        <f>COUNTIF(퀘스트!B:B,표1[[#This Row],[명칭]])</f>
        <v>0</v>
      </c>
      <c r="N2657" s="65">
        <f>COUNTIF([1]VillageDiscoveryGroup!$C:$C,표1[[#This Row],[명칭]])</f>
        <v>1</v>
      </c>
      <c r="O2657" s="65">
        <f>SUM(표1[[#This Row],[해양탐색]:[마을탐험]])</f>
        <v>1</v>
      </c>
    </row>
    <row r="2658" spans="2:15" ht="13.5" customHeight="1" x14ac:dyDescent="0.3">
      <c r="B2658" s="9">
        <f>[1]Discovery!A2664</f>
        <v>70417191</v>
      </c>
      <c r="C2658" s="9" t="str">
        <f>[1]Discovery!B2664</f>
        <v>태공망의 낚싯대</v>
      </c>
      <c r="D2658" s="9" t="str">
        <f>[1]Discovery!E2664</f>
        <v>보물</v>
      </c>
      <c r="E2658" s="9" t="str">
        <f>[1]Discovery!C2664</f>
        <v>보물</v>
      </c>
      <c r="F2658" s="9" t="str">
        <f>[1]Discovery!G2664</f>
        <v>A</v>
      </c>
      <c r="G2658" s="9" t="str">
        <f>IFERROR(VLOOKUP(표1[[#This Row],[명칭]],'문화권 정리'!C:D,2,FALSE),"-")</f>
        <v>동아시아</v>
      </c>
      <c r="H2658" s="38" t="str">
        <f>IFERROR(COUNTIF([2]OceanDoodad!$Y:$Y,표1[[#This Row],[명칭]]),"-")</f>
        <v>-</v>
      </c>
      <c r="I2658" s="38">
        <f>IFERROR(COUNTIF([1]AdventureDiscoveryGroup!$D$8:$AW$92,표1[[#This Row],[명칭]]),"-")</f>
        <v>0</v>
      </c>
      <c r="J2658" s="38">
        <f>IFERROR(COUNTIF([1]FishDiscoveryGroup!$A:$X,표1[[#This Row],[명칭]]),"-")</f>
        <v>0</v>
      </c>
      <c r="K2658" s="38" t="str">
        <f>IFERROR(COUNTIF([2]Town!$B:$B,표1[[#This Row],[명칭]]),"-")</f>
        <v>-</v>
      </c>
      <c r="L2658" s="38">
        <f>IFERROR(COUNTIF([1]Village!$BR:$BR,표1[[#This Row],[명칭]]),"-")</f>
        <v>0</v>
      </c>
      <c r="M2658" s="38">
        <f>COUNTIF(퀘스트!B:B,표1[[#This Row],[명칭]])</f>
        <v>1</v>
      </c>
      <c r="N2658" s="65">
        <f>COUNTIF([1]VillageDiscoveryGroup!$C:$C,표1[[#This Row],[명칭]])</f>
        <v>0</v>
      </c>
      <c r="O2658" s="65">
        <f>SUM(표1[[#This Row],[해양탐색]:[마을탐험]])</f>
        <v>1</v>
      </c>
    </row>
    <row r="2659" spans="2:15" ht="13.5" customHeight="1" x14ac:dyDescent="0.3">
      <c r="B2659" s="9">
        <f>[1]Discovery!A2665</f>
        <v>70417192</v>
      </c>
      <c r="C2659" s="9" t="str">
        <f>[1]Discovery!B2665</f>
        <v>태양신조금식</v>
      </c>
      <c r="D2659" s="9" t="str">
        <f>[1]Discovery!E2665</f>
        <v>유물</v>
      </c>
      <c r="E2659" s="9" t="str">
        <f>[1]Discovery!C2665</f>
        <v>종교유물</v>
      </c>
      <c r="F2659" s="9" t="str">
        <f>[1]Discovery!G2665</f>
        <v>D</v>
      </c>
      <c r="G2659" s="9" t="str">
        <f>IFERROR(VLOOKUP(표1[[#This Row],[명칭]],'문화권 정리'!C:D,2,FALSE),"-")</f>
        <v>동아시아</v>
      </c>
      <c r="H2659" s="38" t="str">
        <f>IFERROR(COUNTIF([2]OceanDoodad!$Y:$Y,표1[[#This Row],[명칭]]),"-")</f>
        <v>-</v>
      </c>
      <c r="I2659" s="38">
        <f>IFERROR(COUNTIF([1]AdventureDiscoveryGroup!$D$8:$AW$92,표1[[#This Row],[명칭]]),"-")</f>
        <v>0</v>
      </c>
      <c r="J2659" s="38">
        <f>IFERROR(COUNTIF([1]FishDiscoveryGroup!$A:$X,표1[[#This Row],[명칭]]),"-")</f>
        <v>0</v>
      </c>
      <c r="K2659" s="38" t="str">
        <f>IFERROR(COUNTIF([2]Town!$B:$B,표1[[#This Row],[명칭]]),"-")</f>
        <v>-</v>
      </c>
      <c r="L2659" s="38">
        <f>IFERROR(COUNTIF([1]Village!$BR:$BR,표1[[#This Row],[명칭]]),"-")</f>
        <v>0</v>
      </c>
      <c r="M2659" s="38">
        <f>COUNTIF(퀘스트!B:B,표1[[#This Row],[명칭]])</f>
        <v>0</v>
      </c>
      <c r="N2659" s="65">
        <f>COUNTIF([1]VillageDiscoveryGroup!$C:$C,표1[[#This Row],[명칭]])</f>
        <v>0</v>
      </c>
      <c r="O2659" s="65">
        <f>SUM(표1[[#This Row],[해양탐색]:[마을탐험]])</f>
        <v>0</v>
      </c>
    </row>
    <row r="2660" spans="2:15" ht="13.5" customHeight="1" x14ac:dyDescent="0.3">
      <c r="B2660" s="9">
        <f>[1]Discovery!A2666</f>
        <v>70417193</v>
      </c>
      <c r="C2660" s="9" t="str">
        <f>[1]Discovery!B2666</f>
        <v>태평기</v>
      </c>
      <c r="D2660" s="9" t="str">
        <f>[1]Discovery!E2666</f>
        <v>보물</v>
      </c>
      <c r="E2660" s="9" t="str">
        <f>[1]Discovery!C2666</f>
        <v>보물</v>
      </c>
      <c r="F2660" s="9" t="str">
        <f>[1]Discovery!G2666</f>
        <v>D</v>
      </c>
      <c r="G2660" s="9" t="str">
        <f>IFERROR(VLOOKUP(표1[[#This Row],[명칭]],'문화권 정리'!C:D,2,FALSE),"-")</f>
        <v>동아시아</v>
      </c>
      <c r="H2660" s="38" t="str">
        <f>IFERROR(COUNTIF([2]OceanDoodad!$Y:$Y,표1[[#This Row],[명칭]]),"-")</f>
        <v>-</v>
      </c>
      <c r="I2660" s="38">
        <f>IFERROR(COUNTIF([1]AdventureDiscoveryGroup!$D$8:$AW$92,표1[[#This Row],[명칭]]),"-")</f>
        <v>1</v>
      </c>
      <c r="J2660" s="38">
        <f>IFERROR(COUNTIF([1]FishDiscoveryGroup!$A:$X,표1[[#This Row],[명칭]]),"-")</f>
        <v>0</v>
      </c>
      <c r="K2660" s="38" t="str">
        <f>IFERROR(COUNTIF([2]Town!$B:$B,표1[[#This Row],[명칭]]),"-")</f>
        <v>-</v>
      </c>
      <c r="L2660" s="38">
        <f>IFERROR(COUNTIF([1]Village!$BR:$BR,표1[[#This Row],[명칭]]),"-")</f>
        <v>0</v>
      </c>
      <c r="M2660" s="38">
        <f>COUNTIF(퀘스트!B:B,표1[[#This Row],[명칭]])</f>
        <v>0</v>
      </c>
      <c r="N2660" s="65">
        <f>COUNTIF([1]VillageDiscoveryGroup!$C:$C,표1[[#This Row],[명칭]])</f>
        <v>0</v>
      </c>
      <c r="O2660" s="65">
        <f>SUM(표1[[#This Row],[해양탐색]:[마을탐험]])</f>
        <v>1</v>
      </c>
    </row>
    <row r="2661" spans="2:15" ht="13.5" customHeight="1" x14ac:dyDescent="0.3">
      <c r="B2661" s="9">
        <f>[1]Discovery!A2667</f>
        <v>70417196</v>
      </c>
      <c r="C2661" s="9" t="str">
        <f>[1]Discovery!B2667</f>
        <v>테오도라의 무용 의상</v>
      </c>
      <c r="D2661" s="9" t="str">
        <f>[1]Discovery!E2667</f>
        <v>보물</v>
      </c>
      <c r="E2661" s="9" t="str">
        <f>[1]Discovery!C2667</f>
        <v>보물</v>
      </c>
      <c r="F2661" s="9" t="str">
        <f>[1]Discovery!G2667</f>
        <v>B</v>
      </c>
      <c r="G2661" s="9" t="str">
        <f>IFERROR(VLOOKUP(표1[[#This Row],[명칭]],'문화권 정리'!C:D,2,FALSE),"-")</f>
        <v>지중해</v>
      </c>
      <c r="H2661" s="38" t="str">
        <f>IFERROR(COUNTIF([2]OceanDoodad!$Y:$Y,표1[[#This Row],[명칭]]),"-")</f>
        <v>-</v>
      </c>
      <c r="I2661" s="38">
        <f>IFERROR(COUNTIF([1]AdventureDiscoveryGroup!$D$8:$AW$92,표1[[#This Row],[명칭]]),"-")</f>
        <v>0</v>
      </c>
      <c r="J2661" s="38">
        <f>IFERROR(COUNTIF([1]FishDiscoveryGroup!$A:$X,표1[[#This Row],[명칭]]),"-")</f>
        <v>0</v>
      </c>
      <c r="K2661" s="38" t="str">
        <f>IFERROR(COUNTIF([2]Town!$B:$B,표1[[#This Row],[명칭]]),"-")</f>
        <v>-</v>
      </c>
      <c r="L2661" s="38">
        <f>IFERROR(COUNTIF([1]Village!$BR:$BR,표1[[#This Row],[명칭]]),"-")</f>
        <v>0</v>
      </c>
      <c r="M2661" s="38">
        <f>COUNTIF(퀘스트!B:B,표1[[#This Row],[명칭]])</f>
        <v>0</v>
      </c>
      <c r="N2661" s="65">
        <f>COUNTIF([1]VillageDiscoveryGroup!$C:$C,표1[[#This Row],[명칭]])</f>
        <v>0</v>
      </c>
      <c r="O2661" s="65">
        <f>SUM(표1[[#This Row],[해양탐색]:[마을탐험]])</f>
        <v>0</v>
      </c>
    </row>
    <row r="2662" spans="2:15" ht="13.5" customHeight="1" x14ac:dyDescent="0.3">
      <c r="B2662" s="9">
        <f>[1]Discovery!A2668</f>
        <v>70417197</v>
      </c>
      <c r="C2662" s="9" t="str">
        <f>[1]Discovery!B2668</f>
        <v>튜턴 기사단장의 검</v>
      </c>
      <c r="D2662" s="9" t="str">
        <f>[1]Discovery!E2668</f>
        <v>유물</v>
      </c>
      <c r="E2662" s="9" t="str">
        <f>[1]Discovery!C2668</f>
        <v>종교유물</v>
      </c>
      <c r="F2662" s="9" t="str">
        <f>[1]Discovery!G2668</f>
        <v>A</v>
      </c>
      <c r="G2662" s="9" t="str">
        <f>IFERROR(VLOOKUP(표1[[#This Row],[명칭]],'문화권 정리'!C:D,2,FALSE),"-")</f>
        <v>지중해</v>
      </c>
      <c r="H2662" s="38" t="str">
        <f>IFERROR(COUNTIF([2]OceanDoodad!$Y:$Y,표1[[#This Row],[명칭]]),"-")</f>
        <v>-</v>
      </c>
      <c r="I2662" s="38">
        <f>IFERROR(COUNTIF([1]AdventureDiscoveryGroup!$D$8:$AW$92,표1[[#This Row],[명칭]]),"-")</f>
        <v>0</v>
      </c>
      <c r="J2662" s="38">
        <f>IFERROR(COUNTIF([1]FishDiscoveryGroup!$A:$X,표1[[#This Row],[명칭]]),"-")</f>
        <v>0</v>
      </c>
      <c r="K2662" s="38" t="str">
        <f>IFERROR(COUNTIF([2]Town!$B:$B,표1[[#This Row],[명칭]]),"-")</f>
        <v>-</v>
      </c>
      <c r="L2662" s="38">
        <f>IFERROR(COUNTIF([1]Village!$BR:$BR,표1[[#This Row],[명칭]]),"-")</f>
        <v>0</v>
      </c>
      <c r="M2662" s="38">
        <f>COUNTIF(퀘스트!B:B,표1[[#This Row],[명칭]])</f>
        <v>1</v>
      </c>
      <c r="N2662" s="65">
        <f>COUNTIF([1]VillageDiscoveryGroup!$C:$C,표1[[#This Row],[명칭]])</f>
        <v>0</v>
      </c>
      <c r="O2662" s="65">
        <f>SUM(표1[[#This Row],[해양탐색]:[마을탐험]])</f>
        <v>1</v>
      </c>
    </row>
    <row r="2663" spans="2:15" ht="13.5" customHeight="1" x14ac:dyDescent="0.3">
      <c r="B2663" s="9">
        <f>[1]Discovery!A2669</f>
        <v>70417198</v>
      </c>
      <c r="C2663" s="9" t="str">
        <f>[1]Discovery!B2669</f>
        <v>트리스탄의 검</v>
      </c>
      <c r="D2663" s="9" t="str">
        <f>[1]Discovery!E2669</f>
        <v>보물</v>
      </c>
      <c r="E2663" s="9" t="str">
        <f>[1]Discovery!C2669</f>
        <v>보물</v>
      </c>
      <c r="F2663" s="9" t="str">
        <f>[1]Discovery!G2669</f>
        <v>S</v>
      </c>
      <c r="G2663" s="9" t="str">
        <f>IFERROR(VLOOKUP(표1[[#This Row],[명칭]],'문화권 정리'!C:D,2,FALSE),"-")</f>
        <v>지중해</v>
      </c>
      <c r="H2663" s="38" t="str">
        <f>IFERROR(COUNTIF([2]OceanDoodad!$Y:$Y,표1[[#This Row],[명칭]]),"-")</f>
        <v>-</v>
      </c>
      <c r="I2663" s="38">
        <f>IFERROR(COUNTIF([1]AdventureDiscoveryGroup!$D$8:$AW$92,표1[[#This Row],[명칭]]),"-")</f>
        <v>0</v>
      </c>
      <c r="J2663" s="38">
        <f>IFERROR(COUNTIF([1]FishDiscoveryGroup!$A:$X,표1[[#This Row],[명칭]]),"-")</f>
        <v>0</v>
      </c>
      <c r="K2663" s="38" t="str">
        <f>IFERROR(COUNTIF([2]Town!$B:$B,표1[[#This Row],[명칭]]),"-")</f>
        <v>-</v>
      </c>
      <c r="L2663" s="38">
        <f>IFERROR(COUNTIF([1]Village!$BR:$BR,표1[[#This Row],[명칭]]),"-")</f>
        <v>0</v>
      </c>
      <c r="M2663" s="38">
        <f>COUNTIF(퀘스트!B:B,표1[[#This Row],[명칭]])</f>
        <v>0</v>
      </c>
      <c r="N2663" s="65">
        <f>COUNTIF([1]VillageDiscoveryGroup!$C:$C,표1[[#This Row],[명칭]])</f>
        <v>0</v>
      </c>
      <c r="O2663" s="65">
        <f>SUM(표1[[#This Row],[해양탐색]:[마을탐험]])</f>
        <v>0</v>
      </c>
    </row>
    <row r="2664" spans="2:15" ht="13.5" customHeight="1" x14ac:dyDescent="0.3">
      <c r="B2664" s="9">
        <f>[1]Discovery!A2670</f>
        <v>70417199</v>
      </c>
      <c r="C2664" s="9" t="str">
        <f>[1]Discovery!B2670</f>
        <v>틀라솔테오틀 여신상</v>
      </c>
      <c r="D2664" s="9" t="str">
        <f>[1]Discovery!E2670</f>
        <v>유물</v>
      </c>
      <c r="E2664" s="9" t="str">
        <f>[1]Discovery!C2670</f>
        <v>종교유물</v>
      </c>
      <c r="F2664" s="9" t="str">
        <f>[1]Discovery!G2670</f>
        <v>S</v>
      </c>
      <c r="G2664" s="9" t="str">
        <f>IFERROR(VLOOKUP(표1[[#This Row],[명칭]],'문화권 정리'!C:D,2,FALSE),"-")</f>
        <v>중앙아메리카</v>
      </c>
      <c r="H2664" s="38" t="str">
        <f>IFERROR(COUNTIF([2]OceanDoodad!$Y:$Y,표1[[#This Row],[명칭]]),"-")</f>
        <v>-</v>
      </c>
      <c r="I2664" s="38">
        <f>IFERROR(COUNTIF([1]AdventureDiscoveryGroup!$D$8:$AW$92,표1[[#This Row],[명칭]]),"-")</f>
        <v>1</v>
      </c>
      <c r="J2664" s="38">
        <f>IFERROR(COUNTIF([1]FishDiscoveryGroup!$A:$X,표1[[#This Row],[명칭]]),"-")</f>
        <v>0</v>
      </c>
      <c r="K2664" s="38" t="str">
        <f>IFERROR(COUNTIF([2]Town!$B:$B,표1[[#This Row],[명칭]]),"-")</f>
        <v>-</v>
      </c>
      <c r="L2664" s="38">
        <f>IFERROR(COUNTIF([1]Village!$BR:$BR,표1[[#This Row],[명칭]]),"-")</f>
        <v>0</v>
      </c>
      <c r="M2664" s="38">
        <f>COUNTIF(퀘스트!B:B,표1[[#This Row],[명칭]])</f>
        <v>0</v>
      </c>
      <c r="N2664" s="65">
        <f>COUNTIF([1]VillageDiscoveryGroup!$C:$C,표1[[#This Row],[명칭]])</f>
        <v>0</v>
      </c>
      <c r="O2664" s="65">
        <f>SUM(표1[[#This Row],[해양탐색]:[마을탐험]])</f>
        <v>1</v>
      </c>
    </row>
    <row r="2665" spans="2:15" ht="13.5" customHeight="1" x14ac:dyDescent="0.3">
      <c r="B2665" s="9">
        <f>[1]Discovery!A2671</f>
        <v>70417200</v>
      </c>
      <c r="C2665" s="9" t="str">
        <f>[1]Discovery!B2671</f>
        <v>티조나</v>
      </c>
      <c r="D2665" s="9" t="str">
        <f>[1]Discovery!E2671</f>
        <v>보물</v>
      </c>
      <c r="E2665" s="9" t="str">
        <f>[1]Discovery!C2671</f>
        <v>보물</v>
      </c>
      <c r="F2665" s="9" t="str">
        <f>[1]Discovery!G2671</f>
        <v>S</v>
      </c>
      <c r="G2665" s="9" t="str">
        <f>IFERROR(VLOOKUP(표1[[#This Row],[명칭]],'문화권 정리'!C:D,2,FALSE),"-")</f>
        <v>지중해</v>
      </c>
      <c r="H2665" s="38" t="str">
        <f>IFERROR(COUNTIF([2]OceanDoodad!$Y:$Y,표1[[#This Row],[명칭]]),"-")</f>
        <v>-</v>
      </c>
      <c r="I2665" s="38">
        <f>IFERROR(COUNTIF([1]AdventureDiscoveryGroup!$D$8:$AW$92,표1[[#This Row],[명칭]]),"-")</f>
        <v>0</v>
      </c>
      <c r="J2665" s="38">
        <f>IFERROR(COUNTIF([1]FishDiscoveryGroup!$A:$X,표1[[#This Row],[명칭]]),"-")</f>
        <v>0</v>
      </c>
      <c r="K2665" s="38" t="str">
        <f>IFERROR(COUNTIF([2]Town!$B:$B,표1[[#This Row],[명칭]]),"-")</f>
        <v>-</v>
      </c>
      <c r="L2665" s="38">
        <f>IFERROR(COUNTIF([1]Village!$BR:$BR,표1[[#This Row],[명칭]]),"-")</f>
        <v>0</v>
      </c>
      <c r="M2665" s="38">
        <f>COUNTIF(퀘스트!B:B,표1[[#This Row],[명칭]])</f>
        <v>0</v>
      </c>
      <c r="N2665" s="65">
        <f>COUNTIF([1]VillageDiscoveryGroup!$C:$C,표1[[#This Row],[명칭]])</f>
        <v>0</v>
      </c>
      <c r="O2665" s="65">
        <f>SUM(표1[[#This Row],[해양탐색]:[마을탐험]])</f>
        <v>0</v>
      </c>
    </row>
    <row r="2666" spans="2:15" ht="13.5" customHeight="1" x14ac:dyDescent="0.3">
      <c r="B2666" s="9">
        <f>[1]Discovery!A2672</f>
        <v>70417202</v>
      </c>
      <c r="C2666" s="9" t="str">
        <f>[1]Discovery!B2672</f>
        <v>파이완 민족의상</v>
      </c>
      <c r="D2666" s="9" t="str">
        <f>[1]Discovery!E2672</f>
        <v>보물</v>
      </c>
      <c r="E2666" s="9" t="str">
        <f>[1]Discovery!C2672</f>
        <v>보물</v>
      </c>
      <c r="F2666" s="9" t="str">
        <f>[1]Discovery!G2672</f>
        <v>C</v>
      </c>
      <c r="G2666" s="9" t="str">
        <f>IFERROR(VLOOKUP(표1[[#This Row],[명칭]],'문화권 정리'!C:D,2,FALSE),"-")</f>
        <v>동아시아</v>
      </c>
      <c r="H2666" s="38" t="str">
        <f>IFERROR(COUNTIF([2]OceanDoodad!$Y:$Y,표1[[#This Row],[명칭]]),"-")</f>
        <v>-</v>
      </c>
      <c r="I2666" s="38">
        <f>IFERROR(COUNTIF([1]AdventureDiscoveryGroup!$D$8:$AW$92,표1[[#This Row],[명칭]]),"-")</f>
        <v>0</v>
      </c>
      <c r="J2666" s="38">
        <f>IFERROR(COUNTIF([1]FishDiscoveryGroup!$A:$X,표1[[#This Row],[명칭]]),"-")</f>
        <v>0</v>
      </c>
      <c r="K2666" s="38" t="str">
        <f>IFERROR(COUNTIF([2]Town!$B:$B,표1[[#This Row],[명칭]]),"-")</f>
        <v>-</v>
      </c>
      <c r="L2666" s="38">
        <f>IFERROR(COUNTIF([1]Village!$BR:$BR,표1[[#This Row],[명칭]]),"-")</f>
        <v>0</v>
      </c>
      <c r="M2666" s="38">
        <f>COUNTIF(퀘스트!B:B,표1[[#This Row],[명칭]])</f>
        <v>0</v>
      </c>
      <c r="N2666" s="65">
        <f>COUNTIF([1]VillageDiscoveryGroup!$C:$C,표1[[#This Row],[명칭]])</f>
        <v>0</v>
      </c>
      <c r="O2666" s="65">
        <f>SUM(표1[[#This Row],[해양탐색]:[마을탐험]])</f>
        <v>0</v>
      </c>
    </row>
    <row r="2667" spans="2:15" ht="13.5" customHeight="1" x14ac:dyDescent="0.3">
      <c r="B2667" s="9">
        <f>[1]Discovery!A2673</f>
        <v>70417204</v>
      </c>
      <c r="C2667" s="9" t="str">
        <f>[1]Discovery!B2673</f>
        <v>포우나무</v>
      </c>
      <c r="D2667" s="9" t="str">
        <f>[1]Discovery!E2673</f>
        <v>보물</v>
      </c>
      <c r="E2667" s="9" t="str">
        <f>[1]Discovery!C2673</f>
        <v>보물</v>
      </c>
      <c r="F2667" s="9" t="str">
        <f>[1]Discovery!G2673</f>
        <v>C</v>
      </c>
      <c r="G2667" s="9" t="str">
        <f>IFERROR(VLOOKUP(표1[[#This Row],[명칭]],'문화권 정리'!C:D,2,FALSE),"-")</f>
        <v>오세아니아</v>
      </c>
      <c r="H2667" s="38" t="str">
        <f>IFERROR(COUNTIF([2]OceanDoodad!$Y:$Y,표1[[#This Row],[명칭]]),"-")</f>
        <v>-</v>
      </c>
      <c r="I2667" s="38">
        <f>IFERROR(COUNTIF([1]AdventureDiscoveryGroup!$D$8:$AW$92,표1[[#This Row],[명칭]]),"-")</f>
        <v>0</v>
      </c>
      <c r="J2667" s="38">
        <f>IFERROR(COUNTIF([1]FishDiscoveryGroup!$A:$X,표1[[#This Row],[명칭]]),"-")</f>
        <v>0</v>
      </c>
      <c r="K2667" s="38" t="str">
        <f>IFERROR(COUNTIF([2]Town!$B:$B,표1[[#This Row],[명칭]]),"-")</f>
        <v>-</v>
      </c>
      <c r="L2667" s="38">
        <f>IFERROR(COUNTIF([1]Village!$BR:$BR,표1[[#This Row],[명칭]]),"-")</f>
        <v>0</v>
      </c>
      <c r="M2667" s="38">
        <f>COUNTIF(퀘스트!B:B,표1[[#This Row],[명칭]])</f>
        <v>0</v>
      </c>
      <c r="N2667" s="65">
        <f>COUNTIF([1]VillageDiscoveryGroup!$C:$C,표1[[#This Row],[명칭]])</f>
        <v>1</v>
      </c>
      <c r="O2667" s="65">
        <f>SUM(표1[[#This Row],[해양탐색]:[마을탐험]])</f>
        <v>1</v>
      </c>
    </row>
    <row r="2668" spans="2:15" ht="13.5" customHeight="1" x14ac:dyDescent="0.3">
      <c r="B2668" s="9">
        <f>[1]Discovery!A2674</f>
        <v>70417205</v>
      </c>
      <c r="C2668" s="9" t="str">
        <f>[1]Discovery!B2674</f>
        <v>포이</v>
      </c>
      <c r="D2668" s="9" t="str">
        <f>[1]Discovery!E2674</f>
        <v>보물</v>
      </c>
      <c r="E2668" s="9" t="str">
        <f>[1]Discovery!C2674</f>
        <v>보물</v>
      </c>
      <c r="F2668" s="9" t="str">
        <f>[1]Discovery!G2674</f>
        <v>C</v>
      </c>
      <c r="G2668" s="9" t="str">
        <f>IFERROR(VLOOKUP(표1[[#This Row],[명칭]],'문화권 정리'!C:D,2,FALSE),"-")</f>
        <v>오세아니아</v>
      </c>
      <c r="H2668" s="38" t="str">
        <f>IFERROR(COUNTIF([2]OceanDoodad!$Y:$Y,표1[[#This Row],[명칭]]),"-")</f>
        <v>-</v>
      </c>
      <c r="I2668" s="38">
        <f>IFERROR(COUNTIF([1]AdventureDiscoveryGroup!$D$8:$AW$92,표1[[#This Row],[명칭]]),"-")</f>
        <v>1</v>
      </c>
      <c r="J2668" s="38">
        <f>IFERROR(COUNTIF([1]FishDiscoveryGroup!$A:$X,표1[[#This Row],[명칭]]),"-")</f>
        <v>0</v>
      </c>
      <c r="K2668" s="38" t="str">
        <f>IFERROR(COUNTIF([2]Town!$B:$B,표1[[#This Row],[명칭]]),"-")</f>
        <v>-</v>
      </c>
      <c r="L2668" s="38">
        <f>IFERROR(COUNTIF([1]Village!$BR:$BR,표1[[#This Row],[명칭]]),"-")</f>
        <v>0</v>
      </c>
      <c r="M2668" s="38">
        <f>COUNTIF(퀘스트!B:B,표1[[#This Row],[명칭]])</f>
        <v>0</v>
      </c>
      <c r="N2668" s="65">
        <f>COUNTIF([1]VillageDiscoveryGroup!$C:$C,표1[[#This Row],[명칭]])</f>
        <v>0</v>
      </c>
      <c r="O2668" s="65">
        <f>SUM(표1[[#This Row],[해양탐색]:[마을탐험]])</f>
        <v>1</v>
      </c>
    </row>
    <row r="2669" spans="2:15" ht="13.5" customHeight="1" x14ac:dyDescent="0.3">
      <c r="B2669" s="9">
        <f>[1]Discovery!A2675</f>
        <v>70417206</v>
      </c>
      <c r="C2669" s="9" t="str">
        <f>[1]Discovery!B2675</f>
        <v>폴리크라테스의 반지</v>
      </c>
      <c r="D2669" s="9" t="str">
        <f>[1]Discovery!E2675</f>
        <v>보물</v>
      </c>
      <c r="E2669" s="9" t="str">
        <f>[1]Discovery!C2675</f>
        <v>보물</v>
      </c>
      <c r="F2669" s="9" t="str">
        <f>[1]Discovery!G2675</f>
        <v>B</v>
      </c>
      <c r="G2669" s="9" t="str">
        <f>IFERROR(VLOOKUP(표1[[#This Row],[명칭]],'문화권 정리'!C:D,2,FALSE),"-")</f>
        <v>지중해</v>
      </c>
      <c r="H2669" s="38" t="str">
        <f>IFERROR(COUNTIF([2]OceanDoodad!$Y:$Y,표1[[#This Row],[명칭]]),"-")</f>
        <v>-</v>
      </c>
      <c r="I2669" s="38">
        <f>IFERROR(COUNTIF([1]AdventureDiscoveryGroup!$D$8:$AW$92,표1[[#This Row],[명칭]]),"-")</f>
        <v>0</v>
      </c>
      <c r="J2669" s="38">
        <f>IFERROR(COUNTIF([1]FishDiscoveryGroup!$A:$X,표1[[#This Row],[명칭]]),"-")</f>
        <v>0</v>
      </c>
      <c r="K2669" s="38" t="str">
        <f>IFERROR(COUNTIF([2]Town!$B:$B,표1[[#This Row],[명칭]]),"-")</f>
        <v>-</v>
      </c>
      <c r="L2669" s="38">
        <f>IFERROR(COUNTIF([1]Village!$BR:$BR,표1[[#This Row],[명칭]]),"-")</f>
        <v>0</v>
      </c>
      <c r="M2669" s="38">
        <f>COUNTIF(퀘스트!B:B,표1[[#This Row],[명칭]])</f>
        <v>1</v>
      </c>
      <c r="N2669" s="65">
        <f>COUNTIF([1]VillageDiscoveryGroup!$C:$C,표1[[#This Row],[명칭]])</f>
        <v>0</v>
      </c>
      <c r="O2669" s="65">
        <f>SUM(표1[[#This Row],[해양탐색]:[마을탐험]])</f>
        <v>1</v>
      </c>
    </row>
    <row r="2670" spans="2:15" ht="13.5" customHeight="1" x14ac:dyDescent="0.3">
      <c r="B2670" s="9">
        <f>[1]Discovery!A2676</f>
        <v>70417207</v>
      </c>
      <c r="C2670" s="9" t="str">
        <f>[1]Discovery!B2676</f>
        <v>풍신첩</v>
      </c>
      <c r="D2670" s="9" t="str">
        <f>[1]Discovery!E2676</f>
        <v>보물</v>
      </c>
      <c r="E2670" s="9" t="str">
        <f>[1]Discovery!C2676</f>
        <v>보물</v>
      </c>
      <c r="F2670" s="9" t="str">
        <f>[1]Discovery!G2676</f>
        <v>C</v>
      </c>
      <c r="G2670" s="9" t="str">
        <f>IFERROR(VLOOKUP(표1[[#This Row],[명칭]],'문화권 정리'!C:D,2,FALSE),"-")</f>
        <v>동아시아</v>
      </c>
      <c r="H2670" s="38" t="str">
        <f>IFERROR(COUNTIF([2]OceanDoodad!$Y:$Y,표1[[#This Row],[명칭]]),"-")</f>
        <v>-</v>
      </c>
      <c r="I2670" s="38">
        <f>IFERROR(COUNTIF([1]AdventureDiscoveryGroup!$D$8:$AW$92,표1[[#This Row],[명칭]]),"-")</f>
        <v>1</v>
      </c>
      <c r="J2670" s="38">
        <f>IFERROR(COUNTIF([1]FishDiscoveryGroup!$A:$X,표1[[#This Row],[명칭]]),"-")</f>
        <v>0</v>
      </c>
      <c r="K2670" s="38" t="str">
        <f>IFERROR(COUNTIF([2]Town!$B:$B,표1[[#This Row],[명칭]]),"-")</f>
        <v>-</v>
      </c>
      <c r="L2670" s="38">
        <f>IFERROR(COUNTIF([1]Village!$BR:$BR,표1[[#This Row],[명칭]]),"-")</f>
        <v>0</v>
      </c>
      <c r="M2670" s="38">
        <f>COUNTIF(퀘스트!B:B,표1[[#This Row],[명칭]])</f>
        <v>0</v>
      </c>
      <c r="N2670" s="65">
        <f>COUNTIF([1]VillageDiscoveryGroup!$C:$C,표1[[#This Row],[명칭]])</f>
        <v>0</v>
      </c>
      <c r="O2670" s="65">
        <f>SUM(표1[[#This Row],[해양탐색]:[마을탐험]])</f>
        <v>1</v>
      </c>
    </row>
    <row r="2671" spans="2:15" ht="13.5" customHeight="1" x14ac:dyDescent="0.3">
      <c r="B2671" s="9">
        <f>[1]Discovery!A2677</f>
        <v>70417208</v>
      </c>
      <c r="C2671" s="9" t="str">
        <f>[1]Discovery!B2677</f>
        <v>프라가라흐</v>
      </c>
      <c r="D2671" s="9" t="str">
        <f>[1]Discovery!E2677</f>
        <v>보물</v>
      </c>
      <c r="E2671" s="9" t="str">
        <f>[1]Discovery!C2677</f>
        <v>보물</v>
      </c>
      <c r="F2671" s="9" t="str">
        <f>[1]Discovery!G2677</f>
        <v>A</v>
      </c>
      <c r="G2671" s="9" t="str">
        <f>IFERROR(VLOOKUP(표1[[#This Row],[명칭]],'문화권 정리'!C:D,2,FALSE),"-")</f>
        <v>브리튼</v>
      </c>
      <c r="H2671" s="38" t="str">
        <f>IFERROR(COUNTIF([2]OceanDoodad!$Y:$Y,표1[[#This Row],[명칭]]),"-")</f>
        <v>-</v>
      </c>
      <c r="I2671" s="38">
        <f>IFERROR(COUNTIF([1]AdventureDiscoveryGroup!$D$8:$AW$92,표1[[#This Row],[명칭]]),"-")</f>
        <v>0</v>
      </c>
      <c r="J2671" s="38">
        <f>IFERROR(COUNTIF([1]FishDiscoveryGroup!$A:$X,표1[[#This Row],[명칭]]),"-")</f>
        <v>0</v>
      </c>
      <c r="K2671" s="38" t="str">
        <f>IFERROR(COUNTIF([2]Town!$B:$B,표1[[#This Row],[명칭]]),"-")</f>
        <v>-</v>
      </c>
      <c r="L2671" s="38">
        <f>IFERROR(COUNTIF([1]Village!$BR:$BR,표1[[#This Row],[명칭]]),"-")</f>
        <v>0</v>
      </c>
      <c r="M2671" s="38">
        <f>COUNTIF(퀘스트!B:B,표1[[#This Row],[명칭]])</f>
        <v>1</v>
      </c>
      <c r="N2671" s="65">
        <f>COUNTIF([1]VillageDiscoveryGroup!$C:$C,표1[[#This Row],[명칭]])</f>
        <v>0</v>
      </c>
      <c r="O2671" s="65">
        <f>SUM(표1[[#This Row],[해양탐색]:[마을탐험]])</f>
        <v>1</v>
      </c>
    </row>
    <row r="2672" spans="2:15" ht="13.5" customHeight="1" x14ac:dyDescent="0.3">
      <c r="B2672" s="9">
        <f>[1]Discovery!A2678</f>
        <v>70417209</v>
      </c>
      <c r="C2672" s="9" t="str">
        <f>[1]Discovery!B2678</f>
        <v>프리드리히 1세의 갑옷</v>
      </c>
      <c r="D2672" s="9" t="str">
        <f>[1]Discovery!E2678</f>
        <v>보물</v>
      </c>
      <c r="E2672" s="9" t="str">
        <f>[1]Discovery!C2678</f>
        <v>보물</v>
      </c>
      <c r="F2672" s="9" t="str">
        <f>[1]Discovery!G2678</f>
        <v>B</v>
      </c>
      <c r="G2672" s="9" t="str">
        <f>IFERROR(VLOOKUP(표1[[#This Row],[명칭]],'문화권 정리'!C:D,2,FALSE),"-")</f>
        <v>지중해</v>
      </c>
      <c r="H2672" s="38" t="str">
        <f>IFERROR(COUNTIF([2]OceanDoodad!$Y:$Y,표1[[#This Row],[명칭]]),"-")</f>
        <v>-</v>
      </c>
      <c r="I2672" s="38">
        <f>IFERROR(COUNTIF([1]AdventureDiscoveryGroup!$D$8:$AW$92,표1[[#This Row],[명칭]]),"-")</f>
        <v>0</v>
      </c>
      <c r="J2672" s="38">
        <f>IFERROR(COUNTIF([1]FishDiscoveryGroup!$A:$X,표1[[#This Row],[명칭]]),"-")</f>
        <v>0</v>
      </c>
      <c r="K2672" s="38" t="str">
        <f>IFERROR(COUNTIF([2]Town!$B:$B,표1[[#This Row],[명칭]]),"-")</f>
        <v>-</v>
      </c>
      <c r="L2672" s="38">
        <f>IFERROR(COUNTIF([1]Village!$BR:$BR,표1[[#This Row],[명칭]]),"-")</f>
        <v>0</v>
      </c>
      <c r="M2672" s="38">
        <f>COUNTIF(퀘스트!B:B,표1[[#This Row],[명칭]])</f>
        <v>0</v>
      </c>
      <c r="N2672" s="65">
        <f>COUNTIF([1]VillageDiscoveryGroup!$C:$C,표1[[#This Row],[명칭]])</f>
        <v>0</v>
      </c>
      <c r="O2672" s="65">
        <f>SUM(표1[[#This Row],[해양탐색]:[마을탐험]])</f>
        <v>0</v>
      </c>
    </row>
    <row r="2673" spans="2:15" ht="13.5" customHeight="1" x14ac:dyDescent="0.3">
      <c r="B2673" s="9">
        <f>[1]Discovery!A2679</f>
        <v>70417212</v>
      </c>
      <c r="C2673" s="9" t="str">
        <f>[1]Discovery!B2679</f>
        <v>합성궁</v>
      </c>
      <c r="D2673" s="9" t="str">
        <f>[1]Discovery!E2679</f>
        <v>유물</v>
      </c>
      <c r="E2673" s="9" t="str">
        <f>[1]Discovery!C2679</f>
        <v>역사유물</v>
      </c>
      <c r="F2673" s="9" t="str">
        <f>[1]Discovery!G2679</f>
        <v>D</v>
      </c>
      <c r="G2673" s="9" t="str">
        <f>IFERROR(VLOOKUP(표1[[#This Row],[명칭]],'문화권 정리'!C:D,2,FALSE),"-")</f>
        <v>동아시아</v>
      </c>
      <c r="H2673" s="38" t="str">
        <f>IFERROR(COUNTIF([2]OceanDoodad!$Y:$Y,표1[[#This Row],[명칭]]),"-")</f>
        <v>-</v>
      </c>
      <c r="I2673" s="38">
        <f>IFERROR(COUNTIF([1]AdventureDiscoveryGroup!$D$8:$AW$92,표1[[#This Row],[명칭]]),"-")</f>
        <v>0</v>
      </c>
      <c r="J2673" s="38">
        <f>IFERROR(COUNTIF([1]FishDiscoveryGroup!$A:$X,표1[[#This Row],[명칭]]),"-")</f>
        <v>0</v>
      </c>
      <c r="K2673" s="38" t="str">
        <f>IFERROR(COUNTIF([2]Town!$B:$B,표1[[#This Row],[명칭]]),"-")</f>
        <v>-</v>
      </c>
      <c r="L2673" s="38">
        <f>IFERROR(COUNTIF([1]Village!$BR:$BR,표1[[#This Row],[명칭]]),"-")</f>
        <v>0</v>
      </c>
      <c r="M2673" s="38">
        <f>COUNTIF(퀘스트!B:B,표1[[#This Row],[명칭]])</f>
        <v>0</v>
      </c>
      <c r="N2673" s="65">
        <f>COUNTIF([1]VillageDiscoveryGroup!$C:$C,표1[[#This Row],[명칭]])</f>
        <v>0</v>
      </c>
      <c r="O2673" s="65">
        <f>SUM(표1[[#This Row],[해양탐색]:[마을탐험]])</f>
        <v>0</v>
      </c>
    </row>
    <row r="2674" spans="2:15" ht="13.5" customHeight="1" x14ac:dyDescent="0.3">
      <c r="B2674" s="9">
        <f>[1]Discovery!A2680</f>
        <v>70417214</v>
      </c>
      <c r="C2674" s="9" t="str">
        <f>[1]Discovery!B2680</f>
        <v>헤르메스 문서</v>
      </c>
      <c r="D2674" s="9" t="str">
        <f>[1]Discovery!E2680</f>
        <v>보물</v>
      </c>
      <c r="E2674" s="9" t="str">
        <f>[1]Discovery!C2680</f>
        <v>보물</v>
      </c>
      <c r="F2674" s="9" t="str">
        <f>[1]Discovery!G2680</f>
        <v>D</v>
      </c>
      <c r="G2674" s="9" t="str">
        <f>IFERROR(VLOOKUP(표1[[#This Row],[명칭]],'문화권 정리'!C:D,2,FALSE),"-")</f>
        <v>서남아시아</v>
      </c>
      <c r="H2674" s="38" t="str">
        <f>IFERROR(COUNTIF([2]OceanDoodad!$Y:$Y,표1[[#This Row],[명칭]]),"-")</f>
        <v>-</v>
      </c>
      <c r="I2674" s="38">
        <f>IFERROR(COUNTIF([1]AdventureDiscoveryGroup!$D$8:$AW$92,표1[[#This Row],[명칭]]),"-")</f>
        <v>0</v>
      </c>
      <c r="J2674" s="38">
        <f>IFERROR(COUNTIF([1]FishDiscoveryGroup!$A:$X,표1[[#This Row],[명칭]]),"-")</f>
        <v>0</v>
      </c>
      <c r="K2674" s="38" t="str">
        <f>IFERROR(COUNTIF([2]Town!$B:$B,표1[[#This Row],[명칭]]),"-")</f>
        <v>-</v>
      </c>
      <c r="L2674" s="38">
        <f>IFERROR(COUNTIF([1]Village!$BR:$BR,표1[[#This Row],[명칭]]),"-")</f>
        <v>0</v>
      </c>
      <c r="M2674" s="38">
        <f>COUNTIF(퀘스트!B:B,표1[[#This Row],[명칭]])</f>
        <v>1</v>
      </c>
      <c r="N2674" s="65">
        <f>COUNTIF([1]VillageDiscoveryGroup!$C:$C,표1[[#This Row],[명칭]])</f>
        <v>0</v>
      </c>
      <c r="O2674" s="65">
        <f>SUM(표1[[#This Row],[해양탐색]:[마을탐험]])</f>
        <v>1</v>
      </c>
    </row>
    <row r="2675" spans="2:15" ht="13.5" customHeight="1" x14ac:dyDescent="0.3">
      <c r="B2675" s="9">
        <f>[1]Discovery!A2681</f>
        <v>70417215</v>
      </c>
      <c r="C2675" s="9" t="str">
        <f>[1]Discovery!B2681</f>
        <v>현자의 돌</v>
      </c>
      <c r="D2675" s="9" t="str">
        <f>[1]Discovery!E2681</f>
        <v>보물</v>
      </c>
      <c r="E2675" s="9" t="str">
        <f>[1]Discovery!C2681</f>
        <v>보물</v>
      </c>
      <c r="F2675" s="9" t="str">
        <f>[1]Discovery!G2681</f>
        <v>S</v>
      </c>
      <c r="G2675" s="9" t="str">
        <f>IFERROR(VLOOKUP(표1[[#This Row],[명칭]],'문화권 정리'!C:D,2,FALSE),"-")</f>
        <v>지중해</v>
      </c>
      <c r="H2675" s="38" t="str">
        <f>IFERROR(COUNTIF([2]OceanDoodad!$Y:$Y,표1[[#This Row],[명칭]]),"-")</f>
        <v>-</v>
      </c>
      <c r="I2675" s="38">
        <f>IFERROR(COUNTIF([1]AdventureDiscoveryGroup!$D$8:$AW$92,표1[[#This Row],[명칭]]),"-")</f>
        <v>0</v>
      </c>
      <c r="J2675" s="38">
        <f>IFERROR(COUNTIF([1]FishDiscoveryGroup!$A:$X,표1[[#This Row],[명칭]]),"-")</f>
        <v>0</v>
      </c>
      <c r="K2675" s="38" t="str">
        <f>IFERROR(COUNTIF([2]Town!$B:$B,표1[[#This Row],[명칭]]),"-")</f>
        <v>-</v>
      </c>
      <c r="L2675" s="38">
        <f>IFERROR(COUNTIF([1]Village!$BR:$BR,표1[[#This Row],[명칭]]),"-")</f>
        <v>0</v>
      </c>
      <c r="M2675" s="38">
        <f>COUNTIF(퀘스트!B:B,표1[[#This Row],[명칭]])</f>
        <v>1</v>
      </c>
      <c r="N2675" s="65">
        <f>COUNTIF([1]VillageDiscoveryGroup!$C:$C,표1[[#This Row],[명칭]])</f>
        <v>0</v>
      </c>
      <c r="O2675" s="65">
        <f>SUM(표1[[#This Row],[해양탐색]:[마을탐험]])</f>
        <v>1</v>
      </c>
    </row>
    <row r="2676" spans="2:15" ht="13.5" customHeight="1" x14ac:dyDescent="0.3">
      <c r="B2676" s="9">
        <f>[1]Discovery!A2682</f>
        <v>70417216</v>
      </c>
      <c r="C2676" s="9" t="str">
        <f>[1]Discovery!B2682</f>
        <v>황금야마상</v>
      </c>
      <c r="D2676" s="9" t="str">
        <f>[1]Discovery!E2682</f>
        <v>보물</v>
      </c>
      <c r="E2676" s="9" t="str">
        <f>[1]Discovery!C2682</f>
        <v>보물</v>
      </c>
      <c r="F2676" s="9" t="str">
        <f>[1]Discovery!G2682</f>
        <v>A</v>
      </c>
      <c r="G2676" s="9" t="str">
        <f>IFERROR(VLOOKUP(표1[[#This Row],[명칭]],'문화권 정리'!C:D,2,FALSE),"-")</f>
        <v>남아메리카</v>
      </c>
      <c r="H2676" s="38" t="str">
        <f>IFERROR(COUNTIF([2]OceanDoodad!$Y:$Y,표1[[#This Row],[명칭]]),"-")</f>
        <v>-</v>
      </c>
      <c r="I2676" s="38">
        <f>IFERROR(COUNTIF([1]AdventureDiscoveryGroup!$D$8:$AW$92,표1[[#This Row],[명칭]]),"-")</f>
        <v>0</v>
      </c>
      <c r="J2676" s="38">
        <f>IFERROR(COUNTIF([1]FishDiscoveryGroup!$A:$X,표1[[#This Row],[명칭]]),"-")</f>
        <v>0</v>
      </c>
      <c r="K2676" s="38" t="str">
        <f>IFERROR(COUNTIF([2]Town!$B:$B,표1[[#This Row],[명칭]]),"-")</f>
        <v>-</v>
      </c>
      <c r="L2676" s="38">
        <f>IFERROR(COUNTIF([1]Village!$BR:$BR,표1[[#This Row],[명칭]]),"-")</f>
        <v>0</v>
      </c>
      <c r="M2676" s="38">
        <f>COUNTIF(퀘스트!B:B,표1[[#This Row],[명칭]])</f>
        <v>0</v>
      </c>
      <c r="N2676" s="65">
        <f>COUNTIF([1]VillageDiscoveryGroup!$C:$C,표1[[#This Row],[명칭]])</f>
        <v>0</v>
      </c>
      <c r="O2676" s="65">
        <f>SUM(표1[[#This Row],[해양탐색]:[마을탐험]])</f>
        <v>0</v>
      </c>
    </row>
    <row r="2677" spans="2:15" ht="13.5" customHeight="1" x14ac:dyDescent="0.3">
      <c r="B2677" s="9">
        <f>[1]Discovery!A2683</f>
        <v>70417218</v>
      </c>
      <c r="C2677" s="9" t="str">
        <f>[1]Discovery!B2683</f>
        <v>황제내경</v>
      </c>
      <c r="D2677" s="9" t="str">
        <f>[1]Discovery!E2683</f>
        <v>보물</v>
      </c>
      <c r="E2677" s="9" t="str">
        <f>[1]Discovery!C2683</f>
        <v>보물</v>
      </c>
      <c r="F2677" s="9" t="str">
        <f>[1]Discovery!G2683</f>
        <v>B</v>
      </c>
      <c r="G2677" s="9" t="str">
        <f>IFERROR(VLOOKUP(표1[[#This Row],[명칭]],'문화권 정리'!C:D,2,FALSE),"-")</f>
        <v>동아시아</v>
      </c>
      <c r="H2677" s="38" t="str">
        <f>IFERROR(COUNTIF([2]OceanDoodad!$Y:$Y,표1[[#This Row],[명칭]]),"-")</f>
        <v>-</v>
      </c>
      <c r="I2677" s="38">
        <f>IFERROR(COUNTIF([1]AdventureDiscoveryGroup!$D$8:$AW$92,표1[[#This Row],[명칭]]),"-")</f>
        <v>0</v>
      </c>
      <c r="J2677" s="38">
        <f>IFERROR(COUNTIF([1]FishDiscoveryGroup!$A:$X,표1[[#This Row],[명칭]]),"-")</f>
        <v>0</v>
      </c>
      <c r="K2677" s="38" t="str">
        <f>IFERROR(COUNTIF([2]Town!$B:$B,표1[[#This Row],[명칭]]),"-")</f>
        <v>-</v>
      </c>
      <c r="L2677" s="38">
        <f>IFERROR(COUNTIF([1]Village!$BR:$BR,표1[[#This Row],[명칭]]),"-")</f>
        <v>0</v>
      </c>
      <c r="M2677" s="38">
        <f>COUNTIF(퀘스트!B:B,표1[[#This Row],[명칭]])</f>
        <v>1</v>
      </c>
      <c r="N2677" s="65">
        <f>COUNTIF([1]VillageDiscoveryGroup!$C:$C,표1[[#This Row],[명칭]])</f>
        <v>0</v>
      </c>
      <c r="O2677" s="65">
        <f>SUM(표1[[#This Row],[해양탐색]:[마을탐험]])</f>
        <v>1</v>
      </c>
    </row>
    <row r="2678" spans="2:15" ht="13.5" customHeight="1" x14ac:dyDescent="0.3">
      <c r="B2678" s="9">
        <f>[1]Discovery!A2684</f>
        <v>70417219</v>
      </c>
      <c r="C2678" s="9" t="str">
        <f>[1]Discovery!B2684</f>
        <v>훈민정음</v>
      </c>
      <c r="D2678" s="9" t="str">
        <f>[1]Discovery!E2684</f>
        <v>보물</v>
      </c>
      <c r="E2678" s="9" t="str">
        <f>[1]Discovery!C2684</f>
        <v>보물</v>
      </c>
      <c r="F2678" s="9" t="str">
        <f>[1]Discovery!G2684</f>
        <v>S</v>
      </c>
      <c r="G2678" s="9" t="str">
        <f>IFERROR(VLOOKUP(표1[[#This Row],[명칭]],'문화권 정리'!C:D,2,FALSE),"-")</f>
        <v>동아시아</v>
      </c>
      <c r="H2678" s="38" t="str">
        <f>IFERROR(COUNTIF([2]OceanDoodad!$Y:$Y,표1[[#This Row],[명칭]]),"-")</f>
        <v>-</v>
      </c>
      <c r="I2678" s="38">
        <f>IFERROR(COUNTIF([1]AdventureDiscoveryGroup!$D$8:$AW$92,표1[[#This Row],[명칭]]),"-")</f>
        <v>0</v>
      </c>
      <c r="J2678" s="38">
        <f>IFERROR(COUNTIF([1]FishDiscoveryGroup!$A:$X,표1[[#This Row],[명칭]]),"-")</f>
        <v>0</v>
      </c>
      <c r="K2678" s="38" t="str">
        <f>IFERROR(COUNTIF([2]Town!$B:$B,표1[[#This Row],[명칭]]),"-")</f>
        <v>-</v>
      </c>
      <c r="L2678" s="38">
        <f>IFERROR(COUNTIF([1]Village!$BR:$BR,표1[[#This Row],[명칭]]),"-")</f>
        <v>0</v>
      </c>
      <c r="M2678" s="38">
        <f>COUNTIF(퀘스트!B:B,표1[[#This Row],[명칭]])</f>
        <v>1</v>
      </c>
      <c r="N2678" s="65">
        <f>COUNTIF([1]VillageDiscoveryGroup!$C:$C,표1[[#This Row],[명칭]])</f>
        <v>0</v>
      </c>
      <c r="O2678" s="65">
        <f>SUM(표1[[#This Row],[해양탐색]:[마을탐험]])</f>
        <v>1</v>
      </c>
    </row>
    <row r="2679" spans="2:15" ht="13.5" customHeight="1" x14ac:dyDescent="0.3">
      <c r="B2679" s="9">
        <f>[1]Discovery!A2685</f>
        <v>70417221</v>
      </c>
      <c r="C2679" s="9" t="str">
        <f>[1]Discovery!B2685</f>
        <v>흑태자의 루비</v>
      </c>
      <c r="D2679" s="9" t="str">
        <f>[1]Discovery!E2685</f>
        <v>보물</v>
      </c>
      <c r="E2679" s="9" t="str">
        <f>[1]Discovery!C2685</f>
        <v>보물</v>
      </c>
      <c r="F2679" s="9" t="str">
        <f>[1]Discovery!G2685</f>
        <v>B</v>
      </c>
      <c r="G2679" s="9" t="str">
        <f>IFERROR(VLOOKUP(표1[[#This Row],[명칭]],'문화권 정리'!C:D,2,FALSE),"-")</f>
        <v>브리튼</v>
      </c>
      <c r="H2679" s="38" t="str">
        <f>IFERROR(COUNTIF([2]OceanDoodad!$Y:$Y,표1[[#This Row],[명칭]]),"-")</f>
        <v>-</v>
      </c>
      <c r="I2679" s="38">
        <f>IFERROR(COUNTIF([1]AdventureDiscoveryGroup!$D$8:$AW$92,표1[[#This Row],[명칭]]),"-")</f>
        <v>0</v>
      </c>
      <c r="J2679" s="38">
        <f>IFERROR(COUNTIF([1]FishDiscoveryGroup!$A:$X,표1[[#This Row],[명칭]]),"-")</f>
        <v>0</v>
      </c>
      <c r="K2679" s="38" t="str">
        <f>IFERROR(COUNTIF([2]Town!$B:$B,표1[[#This Row],[명칭]]),"-")</f>
        <v>-</v>
      </c>
      <c r="L2679" s="38">
        <f>IFERROR(COUNTIF([1]Village!$BR:$BR,표1[[#This Row],[명칭]]),"-")</f>
        <v>0</v>
      </c>
      <c r="M2679" s="38">
        <f>COUNTIF(퀘스트!B:B,표1[[#This Row],[명칭]])</f>
        <v>1</v>
      </c>
      <c r="N2679" s="65">
        <f>COUNTIF([1]VillageDiscoveryGroup!$C:$C,표1[[#This Row],[명칭]])</f>
        <v>0</v>
      </c>
      <c r="O2679" s="65">
        <f>SUM(표1[[#This Row],[해양탐색]:[마을탐험]])</f>
        <v>1</v>
      </c>
    </row>
    <row r="2680" spans="2:15" ht="13.5" customHeight="1" x14ac:dyDescent="0.3">
      <c r="B2680" s="9">
        <f>[1]Discovery!A2686</f>
        <v>70417223</v>
      </c>
      <c r="C2680" s="9" t="str">
        <f>[1]Discovery!B2686</f>
        <v>성자의 지팡이</v>
      </c>
      <c r="D2680" s="9" t="str">
        <f>[1]Discovery!E2686</f>
        <v>보물</v>
      </c>
      <c r="E2680" s="9" t="str">
        <f>[1]Discovery!C2686</f>
        <v>보물</v>
      </c>
      <c r="F2680" s="9" t="str">
        <f>[1]Discovery!G2686</f>
        <v>S</v>
      </c>
      <c r="G2680" s="9" t="str">
        <f>IFERROR(VLOOKUP(표1[[#This Row],[명칭]],'문화권 정리'!C:D,2,FALSE),"-")</f>
        <v>동아시아</v>
      </c>
      <c r="H2680" s="38" t="str">
        <f>IFERROR(COUNTIF([2]OceanDoodad!$Y:$Y,표1[[#This Row],[명칭]]),"-")</f>
        <v>-</v>
      </c>
      <c r="I2680" s="38">
        <f>IFERROR(COUNTIF([1]AdventureDiscoveryGroup!$D$8:$AW$92,표1[[#This Row],[명칭]]),"-")</f>
        <v>0</v>
      </c>
      <c r="J2680" s="38">
        <f>IFERROR(COUNTIF([1]FishDiscoveryGroup!$A:$X,표1[[#This Row],[명칭]]),"-")</f>
        <v>0</v>
      </c>
      <c r="K2680" s="38" t="str">
        <f>IFERROR(COUNTIF([2]Town!$B:$B,표1[[#This Row],[명칭]]),"-")</f>
        <v>-</v>
      </c>
      <c r="L2680" s="38">
        <f>IFERROR(COUNTIF([1]Village!$BR:$BR,표1[[#This Row],[명칭]]),"-")</f>
        <v>0</v>
      </c>
      <c r="M2680" s="38">
        <f>COUNTIF(퀘스트!B:B,표1[[#This Row],[명칭]])</f>
        <v>1</v>
      </c>
      <c r="N2680" s="65">
        <f>COUNTIF([1]VillageDiscoveryGroup!$C:$C,표1[[#This Row],[명칭]])</f>
        <v>0</v>
      </c>
      <c r="O2680" s="65">
        <f>SUM(표1[[#This Row],[해양탐색]:[마을탐험]])</f>
        <v>1</v>
      </c>
    </row>
    <row r="2681" spans="2:15" ht="13.5" customHeight="1" x14ac:dyDescent="0.3">
      <c r="B2681" s="9">
        <f>[1]Discovery!A2687</f>
        <v>70417224</v>
      </c>
      <c r="C2681" s="9" t="str">
        <f>[1]Discovery!B2687</f>
        <v>아서왕의 성배</v>
      </c>
      <c r="D2681" s="9" t="str">
        <f>[1]Discovery!E2687</f>
        <v>보물</v>
      </c>
      <c r="E2681" s="9" t="str">
        <f>[1]Discovery!C2687</f>
        <v>보물</v>
      </c>
      <c r="F2681" s="9" t="str">
        <f>[1]Discovery!G2687</f>
        <v>B</v>
      </c>
      <c r="G2681" s="9" t="str">
        <f>IFERROR(VLOOKUP(표1[[#This Row],[명칭]],'문화권 정리'!C:D,2,FALSE),"-")</f>
        <v>브리튼</v>
      </c>
      <c r="H2681" s="38" t="str">
        <f>IFERROR(COUNTIF([2]OceanDoodad!$Y:$Y,표1[[#This Row],[명칭]]),"-")</f>
        <v>-</v>
      </c>
      <c r="I2681" s="38">
        <f>IFERROR(COUNTIF([1]AdventureDiscoveryGroup!$D$8:$AW$92,표1[[#This Row],[명칭]]),"-")</f>
        <v>0</v>
      </c>
      <c r="J2681" s="38">
        <f>IFERROR(COUNTIF([1]FishDiscoveryGroup!$A:$X,표1[[#This Row],[명칭]]),"-")</f>
        <v>0</v>
      </c>
      <c r="K2681" s="38" t="str">
        <f>IFERROR(COUNTIF([2]Town!$B:$B,표1[[#This Row],[명칭]]),"-")</f>
        <v>-</v>
      </c>
      <c r="L2681" s="38">
        <f>IFERROR(COUNTIF([1]Village!$BR:$BR,표1[[#This Row],[명칭]]),"-")</f>
        <v>0</v>
      </c>
      <c r="M2681" s="38">
        <f>COUNTIF(퀘스트!B:B,표1[[#This Row],[명칭]])</f>
        <v>1</v>
      </c>
      <c r="N2681" s="65">
        <f>COUNTIF([1]VillageDiscoveryGroup!$C:$C,표1[[#This Row],[명칭]])</f>
        <v>0</v>
      </c>
      <c r="O2681" s="65">
        <f>SUM(표1[[#This Row],[해양탐색]:[마을탐험]])</f>
        <v>1</v>
      </c>
    </row>
    <row r="2682" spans="2:15" ht="13.5" customHeight="1" x14ac:dyDescent="0.3">
      <c r="B2682" s="9">
        <f>[1]Discovery!A2688</f>
        <v>70418000</v>
      </c>
      <c r="C2682" s="9" t="str">
        <f>[1]Discovery!B2688</f>
        <v>가리비류 화석</v>
      </c>
      <c r="D2682" s="9" t="str">
        <f>[1]Discovery!E2688</f>
        <v>자연</v>
      </c>
      <c r="E2682" s="9" t="str">
        <f>[1]Discovery!C2688</f>
        <v>화석</v>
      </c>
      <c r="F2682" s="9" t="str">
        <f>[1]Discovery!G2688</f>
        <v>B</v>
      </c>
      <c r="G2682" s="9" t="str">
        <f>IFERROR(VLOOKUP(표1[[#This Row],[명칭]],'문화권 정리'!C:D,2,FALSE),"-")</f>
        <v>화석</v>
      </c>
      <c r="H2682" s="38" t="str">
        <f>IFERROR(COUNTIF([2]OceanDoodad!$Y:$Y,표1[[#This Row],[명칭]]),"-")</f>
        <v>-</v>
      </c>
      <c r="I2682" s="38">
        <f>IFERROR(COUNTIF([1]AdventureDiscoveryGroup!$D$8:$AW$92,표1[[#This Row],[명칭]]),"-")</f>
        <v>1</v>
      </c>
      <c r="J2682" s="38">
        <f>IFERROR(COUNTIF([1]FishDiscoveryGroup!$A:$X,표1[[#This Row],[명칭]]),"-")</f>
        <v>0</v>
      </c>
      <c r="K2682" s="38" t="str">
        <f>IFERROR(COUNTIF([2]Town!$B:$B,표1[[#This Row],[명칭]]),"-")</f>
        <v>-</v>
      </c>
      <c r="L2682" s="38">
        <f>IFERROR(COUNTIF([1]Village!$BR:$BR,표1[[#This Row],[명칭]]),"-")</f>
        <v>0</v>
      </c>
      <c r="M2682" s="38">
        <f>COUNTIF(퀘스트!B:B,표1[[#This Row],[명칭]])</f>
        <v>0</v>
      </c>
      <c r="N2682" s="65">
        <f>COUNTIF([1]VillageDiscoveryGroup!$C:$C,표1[[#This Row],[명칭]])</f>
        <v>0</v>
      </c>
      <c r="O2682" s="65">
        <f>SUM(표1[[#This Row],[해양탐색]:[마을탐험]])</f>
        <v>1</v>
      </c>
    </row>
    <row r="2683" spans="2:15" ht="13.5" customHeight="1" x14ac:dyDescent="0.3">
      <c r="B2683" s="9">
        <f>[1]Discovery!A2689</f>
        <v>70418001</v>
      </c>
      <c r="C2683" s="9" t="str">
        <f>[1]Discovery!B2689</f>
        <v>갯가재 화석</v>
      </c>
      <c r="D2683" s="9" t="str">
        <f>[1]Discovery!E2689</f>
        <v>자연</v>
      </c>
      <c r="E2683" s="9" t="str">
        <f>[1]Discovery!C2689</f>
        <v>화석</v>
      </c>
      <c r="F2683" s="9" t="str">
        <f>[1]Discovery!G2689</f>
        <v>A</v>
      </c>
      <c r="G2683" s="9" t="str">
        <f>IFERROR(VLOOKUP(표1[[#This Row],[명칭]],'문화권 정리'!C:D,2,FALSE),"-")</f>
        <v>화석</v>
      </c>
      <c r="H2683" s="38" t="str">
        <f>IFERROR(COUNTIF([2]OceanDoodad!$Y:$Y,표1[[#This Row],[명칭]]),"-")</f>
        <v>-</v>
      </c>
      <c r="I2683" s="38">
        <f>IFERROR(COUNTIF([1]AdventureDiscoveryGroup!$D$8:$AW$92,표1[[#This Row],[명칭]]),"-")</f>
        <v>0</v>
      </c>
      <c r="J2683" s="38">
        <f>IFERROR(COUNTIF([1]FishDiscoveryGroup!$A:$X,표1[[#This Row],[명칭]]),"-")</f>
        <v>0</v>
      </c>
      <c r="K2683" s="38" t="str">
        <f>IFERROR(COUNTIF([2]Town!$B:$B,표1[[#This Row],[명칭]]),"-")</f>
        <v>-</v>
      </c>
      <c r="L2683" s="38">
        <f>IFERROR(COUNTIF([1]Village!$BR:$BR,표1[[#This Row],[명칭]]),"-")</f>
        <v>0</v>
      </c>
      <c r="M2683" s="38">
        <f>COUNTIF(퀘스트!B:B,표1[[#This Row],[명칭]])</f>
        <v>0</v>
      </c>
      <c r="N2683" s="65">
        <f>COUNTIF([1]VillageDiscoveryGroup!$C:$C,표1[[#This Row],[명칭]])</f>
        <v>0</v>
      </c>
      <c r="O2683" s="65">
        <f>SUM(표1[[#This Row],[해양탐색]:[마을탐험]])</f>
        <v>0</v>
      </c>
    </row>
    <row r="2684" spans="2:15" ht="13.5" customHeight="1" x14ac:dyDescent="0.3">
      <c r="B2684" s="9">
        <f>[1]Discovery!A2690</f>
        <v>70418002</v>
      </c>
      <c r="C2684" s="9" t="str">
        <f>[1]Discovery!B2690</f>
        <v>거미류 화석</v>
      </c>
      <c r="D2684" s="9" t="str">
        <f>[1]Discovery!E2690</f>
        <v>자연</v>
      </c>
      <c r="E2684" s="9" t="str">
        <f>[1]Discovery!C2690</f>
        <v>화석</v>
      </c>
      <c r="F2684" s="9" t="str">
        <f>[1]Discovery!G2690</f>
        <v>C</v>
      </c>
      <c r="G2684" s="9" t="str">
        <f>IFERROR(VLOOKUP(표1[[#This Row],[명칭]],'문화권 정리'!C:D,2,FALSE),"-")</f>
        <v>화석</v>
      </c>
      <c r="H2684" s="38" t="str">
        <f>IFERROR(COUNTIF([2]OceanDoodad!$Y:$Y,표1[[#This Row],[명칭]]),"-")</f>
        <v>-</v>
      </c>
      <c r="I2684" s="38">
        <f>IFERROR(COUNTIF([1]AdventureDiscoveryGroup!$D$8:$AW$92,표1[[#This Row],[명칭]]),"-")</f>
        <v>0</v>
      </c>
      <c r="J2684" s="38">
        <f>IFERROR(COUNTIF([1]FishDiscoveryGroup!$A:$X,표1[[#This Row],[명칭]]),"-")</f>
        <v>0</v>
      </c>
      <c r="K2684" s="38" t="str">
        <f>IFERROR(COUNTIF([2]Town!$B:$B,표1[[#This Row],[명칭]]),"-")</f>
        <v>-</v>
      </c>
      <c r="L2684" s="38">
        <f>IFERROR(COUNTIF([1]Village!$BR:$BR,표1[[#This Row],[명칭]]),"-")</f>
        <v>0</v>
      </c>
      <c r="M2684" s="38">
        <f>COUNTIF(퀘스트!B:B,표1[[#This Row],[명칭]])</f>
        <v>0</v>
      </c>
      <c r="N2684" s="65">
        <f>COUNTIF([1]VillageDiscoveryGroup!$C:$C,표1[[#This Row],[명칭]])</f>
        <v>0</v>
      </c>
      <c r="O2684" s="65">
        <f>SUM(표1[[#This Row],[해양탐색]:[마을탐험]])</f>
        <v>0</v>
      </c>
    </row>
    <row r="2685" spans="2:15" ht="13.5" customHeight="1" x14ac:dyDescent="0.3">
      <c r="B2685" s="9">
        <f>[1]Discovery!A2691</f>
        <v>70418003</v>
      </c>
      <c r="C2685" s="9" t="str">
        <f>[1]Discovery!B2691</f>
        <v>고래 화석</v>
      </c>
      <c r="D2685" s="9" t="str">
        <f>[1]Discovery!E2691</f>
        <v>자연</v>
      </c>
      <c r="E2685" s="9" t="str">
        <f>[1]Discovery!C2691</f>
        <v>화석</v>
      </c>
      <c r="F2685" s="9" t="str">
        <f>[1]Discovery!G2691</f>
        <v>A</v>
      </c>
      <c r="G2685" s="9" t="str">
        <f>IFERROR(VLOOKUP(표1[[#This Row],[명칭]],'문화권 정리'!C:D,2,FALSE),"-")</f>
        <v>화석</v>
      </c>
      <c r="H2685" s="38" t="str">
        <f>IFERROR(COUNTIF([2]OceanDoodad!$Y:$Y,표1[[#This Row],[명칭]]),"-")</f>
        <v>-</v>
      </c>
      <c r="I2685" s="38">
        <f>IFERROR(COUNTIF([1]AdventureDiscoveryGroup!$D$8:$AW$92,표1[[#This Row],[명칭]]),"-")</f>
        <v>1</v>
      </c>
      <c r="J2685" s="38">
        <f>IFERROR(COUNTIF([1]FishDiscoveryGroup!$A:$X,표1[[#This Row],[명칭]]),"-")</f>
        <v>0</v>
      </c>
      <c r="K2685" s="38" t="str">
        <f>IFERROR(COUNTIF([2]Town!$B:$B,표1[[#This Row],[명칭]]),"-")</f>
        <v>-</v>
      </c>
      <c r="L2685" s="38">
        <f>IFERROR(COUNTIF([1]Village!$BR:$BR,표1[[#This Row],[명칭]]),"-")</f>
        <v>0</v>
      </c>
      <c r="M2685" s="38">
        <f>COUNTIF(퀘스트!B:B,표1[[#This Row],[명칭]])</f>
        <v>0</v>
      </c>
      <c r="N2685" s="65">
        <f>COUNTIF([1]VillageDiscoveryGroup!$C:$C,표1[[#This Row],[명칭]])</f>
        <v>0</v>
      </c>
      <c r="O2685" s="65">
        <f>SUM(표1[[#This Row],[해양탐색]:[마을탐험]])</f>
        <v>1</v>
      </c>
    </row>
    <row r="2686" spans="2:15" ht="13.5" customHeight="1" x14ac:dyDescent="0.3">
      <c r="B2686" s="9">
        <f>[1]Discovery!A2692</f>
        <v>70418004</v>
      </c>
      <c r="C2686" s="9" t="str">
        <f>[1]Discovery!B2692</f>
        <v>고배류 화석</v>
      </c>
      <c r="D2686" s="9" t="str">
        <f>[1]Discovery!E2692</f>
        <v>자연</v>
      </c>
      <c r="E2686" s="9" t="str">
        <f>[1]Discovery!C2692</f>
        <v>화석</v>
      </c>
      <c r="F2686" s="9" t="str">
        <f>[1]Discovery!G2692</f>
        <v>B</v>
      </c>
      <c r="G2686" s="9" t="str">
        <f>IFERROR(VLOOKUP(표1[[#This Row],[명칭]],'문화권 정리'!C:D,2,FALSE),"-")</f>
        <v>화석</v>
      </c>
      <c r="H2686" s="38" t="str">
        <f>IFERROR(COUNTIF([2]OceanDoodad!$Y:$Y,표1[[#This Row],[명칭]]),"-")</f>
        <v>-</v>
      </c>
      <c r="I2686" s="38">
        <f>IFERROR(COUNTIF([1]AdventureDiscoveryGroup!$D$8:$AW$92,표1[[#This Row],[명칭]]),"-")</f>
        <v>0</v>
      </c>
      <c r="J2686" s="38">
        <f>IFERROR(COUNTIF([1]FishDiscoveryGroup!$A:$X,표1[[#This Row],[명칭]]),"-")</f>
        <v>0</v>
      </c>
      <c r="K2686" s="38" t="str">
        <f>IFERROR(COUNTIF([2]Town!$B:$B,표1[[#This Row],[명칭]]),"-")</f>
        <v>-</v>
      </c>
      <c r="L2686" s="38">
        <f>IFERROR(COUNTIF([1]Village!$BR:$BR,표1[[#This Row],[명칭]]),"-")</f>
        <v>0</v>
      </c>
      <c r="M2686" s="38">
        <f>COUNTIF(퀘스트!B:B,표1[[#This Row],[명칭]])</f>
        <v>0</v>
      </c>
      <c r="N2686" s="65">
        <f>COUNTIF([1]VillageDiscoveryGroup!$C:$C,표1[[#This Row],[명칭]])</f>
        <v>0</v>
      </c>
      <c r="O2686" s="65">
        <f>SUM(표1[[#This Row],[해양탐색]:[마을탐험]])</f>
        <v>0</v>
      </c>
    </row>
    <row r="2687" spans="2:15" ht="13.5" customHeight="1" x14ac:dyDescent="0.3">
      <c r="B2687" s="9">
        <f>[1]Discovery!A2693</f>
        <v>70418005</v>
      </c>
      <c r="C2687" s="9" t="str">
        <f>[1]Discovery!B2693</f>
        <v>공룡알 화석</v>
      </c>
      <c r="D2687" s="9" t="str">
        <f>[1]Discovery!E2693</f>
        <v>자연</v>
      </c>
      <c r="E2687" s="9" t="str">
        <f>[1]Discovery!C2693</f>
        <v>화석</v>
      </c>
      <c r="F2687" s="9" t="str">
        <f>[1]Discovery!G2693</f>
        <v>A</v>
      </c>
      <c r="G2687" s="9" t="str">
        <f>IFERROR(VLOOKUP(표1[[#This Row],[명칭]],'문화권 정리'!C:D,2,FALSE),"-")</f>
        <v>화석</v>
      </c>
      <c r="H2687" s="38" t="str">
        <f>IFERROR(COUNTIF([2]OceanDoodad!$Y:$Y,표1[[#This Row],[명칭]]),"-")</f>
        <v>-</v>
      </c>
      <c r="I2687" s="38">
        <f>IFERROR(COUNTIF([1]AdventureDiscoveryGroup!$D$8:$AW$92,표1[[#This Row],[명칭]]),"-")</f>
        <v>0</v>
      </c>
      <c r="J2687" s="38">
        <f>IFERROR(COUNTIF([1]FishDiscoveryGroup!$A:$X,표1[[#This Row],[명칭]]),"-")</f>
        <v>0</v>
      </c>
      <c r="K2687" s="38" t="str">
        <f>IFERROR(COUNTIF([2]Town!$B:$B,표1[[#This Row],[명칭]]),"-")</f>
        <v>-</v>
      </c>
      <c r="L2687" s="38">
        <f>IFERROR(COUNTIF([1]Village!$BR:$BR,표1[[#This Row],[명칭]]),"-")</f>
        <v>0</v>
      </c>
      <c r="M2687" s="38">
        <f>COUNTIF(퀘스트!B:B,표1[[#This Row],[명칭]])</f>
        <v>1</v>
      </c>
      <c r="N2687" s="65">
        <f>COUNTIF([1]VillageDiscoveryGroup!$C:$C,표1[[#This Row],[명칭]])</f>
        <v>0</v>
      </c>
      <c r="O2687" s="65">
        <f>SUM(표1[[#This Row],[해양탐색]:[마을탐험]])</f>
        <v>1</v>
      </c>
    </row>
    <row r="2688" spans="2:15" ht="13.5" customHeight="1" x14ac:dyDescent="0.3">
      <c r="B2688" s="9">
        <f>[1]Discovery!A2694</f>
        <v>70418006</v>
      </c>
      <c r="C2688" s="9" t="str">
        <f>[1]Discovery!B2694</f>
        <v>귀뚜라미류 화석</v>
      </c>
      <c r="D2688" s="9" t="str">
        <f>[1]Discovery!E2694</f>
        <v>자연</v>
      </c>
      <c r="E2688" s="9" t="str">
        <f>[1]Discovery!C2694</f>
        <v>화석</v>
      </c>
      <c r="F2688" s="9" t="str">
        <f>[1]Discovery!G2694</f>
        <v>C</v>
      </c>
      <c r="G2688" s="9" t="str">
        <f>IFERROR(VLOOKUP(표1[[#This Row],[명칭]],'문화권 정리'!C:D,2,FALSE),"-")</f>
        <v>화석</v>
      </c>
      <c r="H2688" s="38" t="str">
        <f>IFERROR(COUNTIF([2]OceanDoodad!$Y:$Y,표1[[#This Row],[명칭]]),"-")</f>
        <v>-</v>
      </c>
      <c r="I2688" s="38">
        <f>IFERROR(COUNTIF([1]AdventureDiscoveryGroup!$D$8:$AW$92,표1[[#This Row],[명칭]]),"-")</f>
        <v>0</v>
      </c>
      <c r="J2688" s="38">
        <f>IFERROR(COUNTIF([1]FishDiscoveryGroup!$A:$X,표1[[#This Row],[명칭]]),"-")</f>
        <v>0</v>
      </c>
      <c r="K2688" s="38" t="str">
        <f>IFERROR(COUNTIF([2]Town!$B:$B,표1[[#This Row],[명칭]]),"-")</f>
        <v>-</v>
      </c>
      <c r="L2688" s="38">
        <f>IFERROR(COUNTIF([1]Village!$BR:$BR,표1[[#This Row],[명칭]]),"-")</f>
        <v>0</v>
      </c>
      <c r="M2688" s="38">
        <f>COUNTIF(퀘스트!B:B,표1[[#This Row],[명칭]])</f>
        <v>0</v>
      </c>
      <c r="N2688" s="65">
        <f>COUNTIF([1]VillageDiscoveryGroup!$C:$C,표1[[#This Row],[명칭]])</f>
        <v>0</v>
      </c>
      <c r="O2688" s="65">
        <f>SUM(표1[[#This Row],[해양탐색]:[마을탐험]])</f>
        <v>0</v>
      </c>
    </row>
    <row r="2689" spans="2:15" ht="13.5" customHeight="1" x14ac:dyDescent="0.3">
      <c r="B2689" s="9">
        <f>[1]Discovery!A2695</f>
        <v>70418007</v>
      </c>
      <c r="C2689" s="9" t="str">
        <f>[1]Discovery!B2695</f>
        <v>규화목</v>
      </c>
      <c r="D2689" s="9" t="str">
        <f>[1]Discovery!E2695</f>
        <v>자연</v>
      </c>
      <c r="E2689" s="9" t="str">
        <f>[1]Discovery!C2695</f>
        <v>화석</v>
      </c>
      <c r="F2689" s="9" t="str">
        <f>[1]Discovery!G2695</f>
        <v>B</v>
      </c>
      <c r="G2689" s="9" t="str">
        <f>IFERROR(VLOOKUP(표1[[#This Row],[명칭]],'문화권 정리'!C:D,2,FALSE),"-")</f>
        <v>화석</v>
      </c>
      <c r="H2689" s="38" t="str">
        <f>IFERROR(COUNTIF([2]OceanDoodad!$Y:$Y,표1[[#This Row],[명칭]]),"-")</f>
        <v>-</v>
      </c>
      <c r="I2689" s="38">
        <f>IFERROR(COUNTIF([1]AdventureDiscoveryGroup!$D$8:$AW$92,표1[[#This Row],[명칭]]),"-")</f>
        <v>1</v>
      </c>
      <c r="J2689" s="38">
        <f>IFERROR(COUNTIF([1]FishDiscoveryGroup!$A:$X,표1[[#This Row],[명칭]]),"-")</f>
        <v>0</v>
      </c>
      <c r="K2689" s="38" t="str">
        <f>IFERROR(COUNTIF([2]Town!$B:$B,표1[[#This Row],[명칭]]),"-")</f>
        <v>-</v>
      </c>
      <c r="L2689" s="38">
        <f>IFERROR(COUNTIF([1]Village!$BR:$BR,표1[[#This Row],[명칭]]),"-")</f>
        <v>0</v>
      </c>
      <c r="M2689" s="38">
        <f>COUNTIF(퀘스트!B:B,표1[[#This Row],[명칭]])</f>
        <v>0</v>
      </c>
      <c r="N2689" s="65">
        <f>COUNTIF([1]VillageDiscoveryGroup!$C:$C,표1[[#This Row],[명칭]])</f>
        <v>0</v>
      </c>
      <c r="O2689" s="65">
        <f>SUM(표1[[#This Row],[해양탐색]:[마을탐험]])</f>
        <v>1</v>
      </c>
    </row>
    <row r="2690" spans="2:15" ht="13.5" customHeight="1" x14ac:dyDescent="0.3">
      <c r="B2690" s="9">
        <f>[1]Discovery!A2696</f>
        <v>70418008</v>
      </c>
      <c r="C2690" s="9" t="str">
        <f>[1]Discovery!B2696</f>
        <v>나뭇가지 화석</v>
      </c>
      <c r="D2690" s="9" t="str">
        <f>[1]Discovery!E2696</f>
        <v>자연</v>
      </c>
      <c r="E2690" s="9" t="str">
        <f>[1]Discovery!C2696</f>
        <v>화석</v>
      </c>
      <c r="F2690" s="9" t="str">
        <f>[1]Discovery!G2696</f>
        <v>D</v>
      </c>
      <c r="G2690" s="9" t="str">
        <f>IFERROR(VLOOKUP(표1[[#This Row],[명칭]],'문화권 정리'!C:D,2,FALSE),"-")</f>
        <v>화석</v>
      </c>
      <c r="H2690" s="38" t="str">
        <f>IFERROR(COUNTIF([2]OceanDoodad!$Y:$Y,표1[[#This Row],[명칭]]),"-")</f>
        <v>-</v>
      </c>
      <c r="I2690" s="38">
        <f>IFERROR(COUNTIF([1]AdventureDiscoveryGroup!$D$8:$AW$92,표1[[#This Row],[명칭]]),"-")</f>
        <v>0</v>
      </c>
      <c r="J2690" s="38">
        <f>IFERROR(COUNTIF([1]FishDiscoveryGroup!$A:$X,표1[[#This Row],[명칭]]),"-")</f>
        <v>0</v>
      </c>
      <c r="K2690" s="38" t="str">
        <f>IFERROR(COUNTIF([2]Town!$B:$B,표1[[#This Row],[명칭]]),"-")</f>
        <v>-</v>
      </c>
      <c r="L2690" s="38">
        <f>IFERROR(COUNTIF([1]Village!$BR:$BR,표1[[#This Row],[명칭]]),"-")</f>
        <v>0</v>
      </c>
      <c r="M2690" s="38">
        <f>COUNTIF(퀘스트!B:B,표1[[#This Row],[명칭]])</f>
        <v>0</v>
      </c>
      <c r="N2690" s="65">
        <f>COUNTIF([1]VillageDiscoveryGroup!$C:$C,표1[[#This Row],[명칭]])</f>
        <v>0</v>
      </c>
      <c r="O2690" s="65">
        <f>SUM(표1[[#This Row],[해양탐색]:[마을탐험]])</f>
        <v>0</v>
      </c>
    </row>
    <row r="2691" spans="2:15" ht="13.5" customHeight="1" x14ac:dyDescent="0.3">
      <c r="B2691" s="9">
        <f>[1]Discovery!A2697</f>
        <v>70418009</v>
      </c>
      <c r="C2691" s="9" t="str">
        <f>[1]Discovery!B2697</f>
        <v>나뭇잎 화석</v>
      </c>
      <c r="D2691" s="9" t="str">
        <f>[1]Discovery!E2697</f>
        <v>자연</v>
      </c>
      <c r="E2691" s="9" t="str">
        <f>[1]Discovery!C2697</f>
        <v>화석</v>
      </c>
      <c r="F2691" s="9" t="str">
        <f>[1]Discovery!G2697</f>
        <v>C</v>
      </c>
      <c r="G2691" s="9" t="str">
        <f>IFERROR(VLOOKUP(표1[[#This Row],[명칭]],'문화권 정리'!C:D,2,FALSE),"-")</f>
        <v>화석</v>
      </c>
      <c r="H2691" s="38" t="str">
        <f>IFERROR(COUNTIF([2]OceanDoodad!$Y:$Y,표1[[#This Row],[명칭]]),"-")</f>
        <v>-</v>
      </c>
      <c r="I2691" s="38">
        <f>IFERROR(COUNTIF([1]AdventureDiscoveryGroup!$D$8:$AW$92,표1[[#This Row],[명칭]]),"-")</f>
        <v>0</v>
      </c>
      <c r="J2691" s="38">
        <f>IFERROR(COUNTIF([1]FishDiscoveryGroup!$A:$X,표1[[#This Row],[명칭]]),"-")</f>
        <v>0</v>
      </c>
      <c r="K2691" s="38" t="str">
        <f>IFERROR(COUNTIF([2]Town!$B:$B,표1[[#This Row],[명칭]]),"-")</f>
        <v>-</v>
      </c>
      <c r="L2691" s="38">
        <f>IFERROR(COUNTIF([1]Village!$BR:$BR,표1[[#This Row],[명칭]]),"-")</f>
        <v>0</v>
      </c>
      <c r="M2691" s="38">
        <f>COUNTIF(퀘스트!B:B,표1[[#This Row],[명칭]])</f>
        <v>0</v>
      </c>
      <c r="N2691" s="65">
        <f>COUNTIF([1]VillageDiscoveryGroup!$C:$C,표1[[#This Row],[명칭]])</f>
        <v>0</v>
      </c>
      <c r="O2691" s="65">
        <f>SUM(표1[[#This Row],[해양탐색]:[마을탐험]])</f>
        <v>0</v>
      </c>
    </row>
    <row r="2692" spans="2:15" ht="13.5" customHeight="1" x14ac:dyDescent="0.3">
      <c r="B2692" s="9">
        <f>[1]Discovery!A2698</f>
        <v>70418010</v>
      </c>
      <c r="C2692" s="9" t="str">
        <f>[1]Discovery!B2698</f>
        <v>너스상어 이빨 화석</v>
      </c>
      <c r="D2692" s="9" t="str">
        <f>[1]Discovery!E2698</f>
        <v>자연</v>
      </c>
      <c r="E2692" s="9" t="str">
        <f>[1]Discovery!C2698</f>
        <v>화석</v>
      </c>
      <c r="F2692" s="9" t="str">
        <f>[1]Discovery!G2698</f>
        <v>A</v>
      </c>
      <c r="G2692" s="9" t="str">
        <f>IFERROR(VLOOKUP(표1[[#This Row],[명칭]],'문화권 정리'!C:D,2,FALSE),"-")</f>
        <v>화석</v>
      </c>
      <c r="H2692" s="38" t="str">
        <f>IFERROR(COUNTIF([2]OceanDoodad!$Y:$Y,표1[[#This Row],[명칭]]),"-")</f>
        <v>-</v>
      </c>
      <c r="I2692" s="38">
        <f>IFERROR(COUNTIF([1]AdventureDiscoveryGroup!$D$8:$AW$92,표1[[#This Row],[명칭]]),"-")</f>
        <v>0</v>
      </c>
      <c r="J2692" s="38">
        <f>IFERROR(COUNTIF([1]FishDiscoveryGroup!$A:$X,표1[[#This Row],[명칭]]),"-")</f>
        <v>0</v>
      </c>
      <c r="K2692" s="38" t="str">
        <f>IFERROR(COUNTIF([2]Town!$B:$B,표1[[#This Row],[명칭]]),"-")</f>
        <v>-</v>
      </c>
      <c r="L2692" s="38">
        <f>IFERROR(COUNTIF([1]Village!$BR:$BR,표1[[#This Row],[명칭]]),"-")</f>
        <v>0</v>
      </c>
      <c r="M2692" s="38">
        <f>COUNTIF(퀘스트!B:B,표1[[#This Row],[명칭]])</f>
        <v>0</v>
      </c>
      <c r="N2692" s="65">
        <f>COUNTIF([1]VillageDiscoveryGroup!$C:$C,표1[[#This Row],[명칭]])</f>
        <v>0</v>
      </c>
      <c r="O2692" s="65">
        <f>SUM(표1[[#This Row],[해양탐색]:[마을탐험]])</f>
        <v>0</v>
      </c>
    </row>
    <row r="2693" spans="2:15" ht="13.5" customHeight="1" x14ac:dyDescent="0.3">
      <c r="B2693" s="9">
        <f>[1]Discovery!A2699</f>
        <v>70418011</v>
      </c>
      <c r="C2693" s="9" t="str">
        <f>[1]Discovery!B2699</f>
        <v>동굴곰 화석</v>
      </c>
      <c r="D2693" s="9" t="str">
        <f>[1]Discovery!E2699</f>
        <v>자연</v>
      </c>
      <c r="E2693" s="9" t="str">
        <f>[1]Discovery!C2699</f>
        <v>화석</v>
      </c>
      <c r="F2693" s="9" t="str">
        <f>[1]Discovery!G2699</f>
        <v>A</v>
      </c>
      <c r="G2693" s="9" t="str">
        <f>IFERROR(VLOOKUP(표1[[#This Row],[명칭]],'문화권 정리'!C:D,2,FALSE),"-")</f>
        <v>화석</v>
      </c>
      <c r="H2693" s="38" t="str">
        <f>IFERROR(COUNTIF([2]OceanDoodad!$Y:$Y,표1[[#This Row],[명칭]]),"-")</f>
        <v>-</v>
      </c>
      <c r="I2693" s="38">
        <f>IFERROR(COUNTIF([1]AdventureDiscoveryGroup!$D$8:$AW$92,표1[[#This Row],[명칭]]),"-")</f>
        <v>0</v>
      </c>
      <c r="J2693" s="38">
        <f>IFERROR(COUNTIF([1]FishDiscoveryGroup!$A:$X,표1[[#This Row],[명칭]]),"-")</f>
        <v>0</v>
      </c>
      <c r="K2693" s="38" t="str">
        <f>IFERROR(COUNTIF([2]Town!$B:$B,표1[[#This Row],[명칭]]),"-")</f>
        <v>-</v>
      </c>
      <c r="L2693" s="38">
        <f>IFERROR(COUNTIF([1]Village!$BR:$BR,표1[[#This Row],[명칭]]),"-")</f>
        <v>0</v>
      </c>
      <c r="M2693" s="38">
        <f>COUNTIF(퀘스트!B:B,표1[[#This Row],[명칭]])</f>
        <v>0</v>
      </c>
      <c r="N2693" s="65">
        <f>COUNTIF([1]VillageDiscoveryGroup!$C:$C,표1[[#This Row],[명칭]])</f>
        <v>0</v>
      </c>
      <c r="O2693" s="65">
        <f>SUM(표1[[#This Row],[해양탐색]:[마을탐험]])</f>
        <v>0</v>
      </c>
    </row>
    <row r="2694" spans="2:15" ht="13.5" customHeight="1" x14ac:dyDescent="0.3">
      <c r="B2694" s="9">
        <f>[1]Discovery!A2700</f>
        <v>70418012</v>
      </c>
      <c r="C2694" s="9" t="str">
        <f>[1]Discovery!B2700</f>
        <v>매머드 화석</v>
      </c>
      <c r="D2694" s="9" t="str">
        <f>[1]Discovery!E2700</f>
        <v>자연</v>
      </c>
      <c r="E2694" s="9" t="str">
        <f>[1]Discovery!C2700</f>
        <v>화석</v>
      </c>
      <c r="F2694" s="9" t="str">
        <f>[1]Discovery!G2700</f>
        <v>A</v>
      </c>
      <c r="G2694" s="9" t="str">
        <f>IFERROR(VLOOKUP(표1[[#This Row],[명칭]],'문화권 정리'!C:D,2,FALSE),"-")</f>
        <v>화석</v>
      </c>
      <c r="H2694" s="38" t="str">
        <f>IFERROR(COUNTIF([2]OceanDoodad!$Y:$Y,표1[[#This Row],[명칭]]),"-")</f>
        <v>-</v>
      </c>
      <c r="I2694" s="38">
        <f>IFERROR(COUNTIF([1]AdventureDiscoveryGroup!$D$8:$AW$92,표1[[#This Row],[명칭]]),"-")</f>
        <v>0</v>
      </c>
      <c r="J2694" s="38">
        <f>IFERROR(COUNTIF([1]FishDiscoveryGroup!$A:$X,표1[[#This Row],[명칭]]),"-")</f>
        <v>0</v>
      </c>
      <c r="K2694" s="38" t="str">
        <f>IFERROR(COUNTIF([2]Town!$B:$B,표1[[#This Row],[명칭]]),"-")</f>
        <v>-</v>
      </c>
      <c r="L2694" s="38">
        <f>IFERROR(COUNTIF([1]Village!$BR:$BR,표1[[#This Row],[명칭]]),"-")</f>
        <v>0</v>
      </c>
      <c r="M2694" s="38">
        <f>COUNTIF(퀘스트!B:B,표1[[#This Row],[명칭]])</f>
        <v>0</v>
      </c>
      <c r="N2694" s="65">
        <f>COUNTIF([1]VillageDiscoveryGroup!$C:$C,표1[[#This Row],[명칭]])</f>
        <v>0</v>
      </c>
      <c r="O2694" s="65">
        <f>SUM(표1[[#This Row],[해양탐색]:[마을탐험]])</f>
        <v>0</v>
      </c>
    </row>
    <row r="2695" spans="2:15" ht="13.5" customHeight="1" x14ac:dyDescent="0.3">
      <c r="B2695" s="9">
        <f>[1]Discovery!A2701</f>
        <v>70418013</v>
      </c>
      <c r="C2695" s="9" t="str">
        <f>[1]Discovery!B2701</f>
        <v>물결 화석</v>
      </c>
      <c r="D2695" s="9" t="str">
        <f>[1]Discovery!E2701</f>
        <v>자연</v>
      </c>
      <c r="E2695" s="9" t="str">
        <f>[1]Discovery!C2701</f>
        <v>화석</v>
      </c>
      <c r="F2695" s="9" t="str">
        <f>[1]Discovery!G2701</f>
        <v>C</v>
      </c>
      <c r="G2695" s="9" t="str">
        <f>IFERROR(VLOOKUP(표1[[#This Row],[명칭]],'문화권 정리'!C:D,2,FALSE),"-")</f>
        <v>화석</v>
      </c>
      <c r="H2695" s="38" t="str">
        <f>IFERROR(COUNTIF([2]OceanDoodad!$Y:$Y,표1[[#This Row],[명칭]]),"-")</f>
        <v>-</v>
      </c>
      <c r="I2695" s="38">
        <f>IFERROR(COUNTIF([1]AdventureDiscoveryGroup!$D$8:$AW$92,표1[[#This Row],[명칭]]),"-")</f>
        <v>0</v>
      </c>
      <c r="J2695" s="38">
        <f>IFERROR(COUNTIF([1]FishDiscoveryGroup!$A:$X,표1[[#This Row],[명칭]]),"-")</f>
        <v>0</v>
      </c>
      <c r="K2695" s="38" t="str">
        <f>IFERROR(COUNTIF([2]Town!$B:$B,표1[[#This Row],[명칭]]),"-")</f>
        <v>-</v>
      </c>
      <c r="L2695" s="38">
        <f>IFERROR(COUNTIF([1]Village!$BR:$BR,표1[[#This Row],[명칭]]),"-")</f>
        <v>0</v>
      </c>
      <c r="M2695" s="38">
        <f>COUNTIF(퀘스트!B:B,표1[[#This Row],[명칭]])</f>
        <v>0</v>
      </c>
      <c r="N2695" s="65">
        <f>COUNTIF([1]VillageDiscoveryGroup!$C:$C,표1[[#This Row],[명칭]])</f>
        <v>0</v>
      </c>
      <c r="O2695" s="65">
        <f>SUM(표1[[#This Row],[해양탐색]:[마을탐험]])</f>
        <v>0</v>
      </c>
    </row>
    <row r="2696" spans="2:15" ht="13.5" customHeight="1" x14ac:dyDescent="0.3">
      <c r="B2696" s="9">
        <f>[1]Discovery!A2702</f>
        <v>70418014</v>
      </c>
      <c r="C2696" s="9" t="str">
        <f>[1]Discovery!B2702</f>
        <v>벨름나이트 화석</v>
      </c>
      <c r="D2696" s="9" t="str">
        <f>[1]Discovery!E2702</f>
        <v>자연</v>
      </c>
      <c r="E2696" s="9" t="str">
        <f>[1]Discovery!C2702</f>
        <v>화석</v>
      </c>
      <c r="F2696" s="9" t="str">
        <f>[1]Discovery!G2702</f>
        <v>S</v>
      </c>
      <c r="G2696" s="9" t="str">
        <f>IFERROR(VLOOKUP(표1[[#This Row],[명칭]],'문화권 정리'!C:D,2,FALSE),"-")</f>
        <v>화석</v>
      </c>
      <c r="H2696" s="38" t="str">
        <f>IFERROR(COUNTIF([2]OceanDoodad!$Y:$Y,표1[[#This Row],[명칭]]),"-")</f>
        <v>-</v>
      </c>
      <c r="I2696" s="38">
        <f>IFERROR(COUNTIF([1]AdventureDiscoveryGroup!$D$8:$AW$92,표1[[#This Row],[명칭]]),"-")</f>
        <v>0</v>
      </c>
      <c r="J2696" s="38">
        <f>IFERROR(COUNTIF([1]FishDiscoveryGroup!$A:$X,표1[[#This Row],[명칭]]),"-")</f>
        <v>0</v>
      </c>
      <c r="K2696" s="38" t="str">
        <f>IFERROR(COUNTIF([2]Town!$B:$B,표1[[#This Row],[명칭]]),"-")</f>
        <v>-</v>
      </c>
      <c r="L2696" s="38">
        <f>IFERROR(COUNTIF([1]Village!$BR:$BR,표1[[#This Row],[명칭]]),"-")</f>
        <v>0</v>
      </c>
      <c r="M2696" s="38">
        <f>COUNTIF(퀘스트!B:B,표1[[#This Row],[명칭]])</f>
        <v>0</v>
      </c>
      <c r="N2696" s="65">
        <f>COUNTIF([1]VillageDiscoveryGroup!$C:$C,표1[[#This Row],[명칭]])</f>
        <v>0</v>
      </c>
      <c r="O2696" s="65">
        <f>SUM(표1[[#This Row],[해양탐색]:[마을탐험]])</f>
        <v>0</v>
      </c>
    </row>
    <row r="2697" spans="2:15" ht="13.5" customHeight="1" x14ac:dyDescent="0.3">
      <c r="B2697" s="9">
        <f>[1]Discovery!A2703</f>
        <v>70418015</v>
      </c>
      <c r="C2697" s="9" t="str">
        <f>[1]Discovery!B2703</f>
        <v>불가사리류 화석</v>
      </c>
      <c r="D2697" s="9" t="str">
        <f>[1]Discovery!E2703</f>
        <v>자연</v>
      </c>
      <c r="E2697" s="9" t="str">
        <f>[1]Discovery!C2703</f>
        <v>화석</v>
      </c>
      <c r="F2697" s="9" t="str">
        <f>[1]Discovery!G2703</f>
        <v>C</v>
      </c>
      <c r="G2697" s="9" t="str">
        <f>IFERROR(VLOOKUP(표1[[#This Row],[명칭]],'문화권 정리'!C:D,2,FALSE),"-")</f>
        <v>화석</v>
      </c>
      <c r="H2697" s="38" t="str">
        <f>IFERROR(COUNTIF([2]OceanDoodad!$Y:$Y,표1[[#This Row],[명칭]]),"-")</f>
        <v>-</v>
      </c>
      <c r="I2697" s="38">
        <f>IFERROR(COUNTIF([1]AdventureDiscoveryGroup!$D$8:$AW$92,표1[[#This Row],[명칭]]),"-")</f>
        <v>0</v>
      </c>
      <c r="J2697" s="38">
        <f>IFERROR(COUNTIF([1]FishDiscoveryGroup!$A:$X,표1[[#This Row],[명칭]]),"-")</f>
        <v>0</v>
      </c>
      <c r="K2697" s="38" t="str">
        <f>IFERROR(COUNTIF([2]Town!$B:$B,표1[[#This Row],[명칭]]),"-")</f>
        <v>-</v>
      </c>
      <c r="L2697" s="38">
        <f>IFERROR(COUNTIF([1]Village!$BR:$BR,표1[[#This Row],[명칭]]),"-")</f>
        <v>0</v>
      </c>
      <c r="M2697" s="38">
        <f>COUNTIF(퀘스트!B:B,표1[[#This Row],[명칭]])</f>
        <v>0</v>
      </c>
      <c r="N2697" s="65">
        <f>COUNTIF([1]VillageDiscoveryGroup!$C:$C,표1[[#This Row],[명칭]])</f>
        <v>0</v>
      </c>
      <c r="O2697" s="65">
        <f>SUM(표1[[#This Row],[해양탐색]:[마을탐험]])</f>
        <v>0</v>
      </c>
    </row>
    <row r="2698" spans="2:15" ht="13.5" customHeight="1" x14ac:dyDescent="0.3">
      <c r="B2698" s="9">
        <f>[1]Discovery!A2704</f>
        <v>70418017</v>
      </c>
      <c r="C2698" s="9" t="str">
        <f>[1]Discovery!B2704</f>
        <v>삼엽충 화석</v>
      </c>
      <c r="D2698" s="9" t="str">
        <f>[1]Discovery!E2704</f>
        <v>자연</v>
      </c>
      <c r="E2698" s="9" t="str">
        <f>[1]Discovery!C2704</f>
        <v>화석</v>
      </c>
      <c r="F2698" s="9" t="str">
        <f>[1]Discovery!G2704</f>
        <v>B</v>
      </c>
      <c r="G2698" s="9" t="str">
        <f>IFERROR(VLOOKUP(표1[[#This Row],[명칭]],'문화권 정리'!C:D,2,FALSE),"-")</f>
        <v>화석</v>
      </c>
      <c r="H2698" s="38" t="str">
        <f>IFERROR(COUNTIF([2]OceanDoodad!$Y:$Y,표1[[#This Row],[명칭]]),"-")</f>
        <v>-</v>
      </c>
      <c r="I2698" s="38">
        <f>IFERROR(COUNTIF([1]AdventureDiscoveryGroup!$D$8:$AW$92,표1[[#This Row],[명칭]]),"-")</f>
        <v>0</v>
      </c>
      <c r="J2698" s="38">
        <f>IFERROR(COUNTIF([1]FishDiscoveryGroup!$A:$X,표1[[#This Row],[명칭]]),"-")</f>
        <v>0</v>
      </c>
      <c r="K2698" s="38" t="str">
        <f>IFERROR(COUNTIF([2]Town!$B:$B,표1[[#This Row],[명칭]]),"-")</f>
        <v>-</v>
      </c>
      <c r="L2698" s="38">
        <f>IFERROR(COUNTIF([1]Village!$BR:$BR,표1[[#This Row],[명칭]]),"-")</f>
        <v>0</v>
      </c>
      <c r="M2698" s="38">
        <f>COUNTIF(퀘스트!B:B,표1[[#This Row],[명칭]])</f>
        <v>1</v>
      </c>
      <c r="N2698" s="65">
        <f>COUNTIF([1]VillageDiscoveryGroup!$C:$C,표1[[#This Row],[명칭]])</f>
        <v>0</v>
      </c>
      <c r="O2698" s="65">
        <f>SUM(표1[[#This Row],[해양탐색]:[마을탐험]])</f>
        <v>1</v>
      </c>
    </row>
    <row r="2699" spans="2:15" ht="13.5" customHeight="1" x14ac:dyDescent="0.3">
      <c r="B2699" s="9">
        <f>[1]Discovery!A2705</f>
        <v>70418018</v>
      </c>
      <c r="C2699" s="9" t="str">
        <f>[1]Discovery!B2705</f>
        <v>새 발자국 화석</v>
      </c>
      <c r="D2699" s="9" t="str">
        <f>[1]Discovery!E2705</f>
        <v>자연</v>
      </c>
      <c r="E2699" s="9" t="str">
        <f>[1]Discovery!C2705</f>
        <v>화석</v>
      </c>
      <c r="F2699" s="9" t="str">
        <f>[1]Discovery!G2705</f>
        <v>B</v>
      </c>
      <c r="G2699" s="9" t="str">
        <f>IFERROR(VLOOKUP(표1[[#This Row],[명칭]],'문화권 정리'!C:D,2,FALSE),"-")</f>
        <v>화석</v>
      </c>
      <c r="H2699" s="38" t="str">
        <f>IFERROR(COUNTIF([2]OceanDoodad!$Y:$Y,표1[[#This Row],[명칭]]),"-")</f>
        <v>-</v>
      </c>
      <c r="I2699" s="38">
        <f>IFERROR(COUNTIF([1]AdventureDiscoveryGroup!$D$8:$AW$92,표1[[#This Row],[명칭]]),"-")</f>
        <v>0</v>
      </c>
      <c r="J2699" s="38">
        <f>IFERROR(COUNTIF([1]FishDiscoveryGroup!$A:$X,표1[[#This Row],[명칭]]),"-")</f>
        <v>0</v>
      </c>
      <c r="K2699" s="38" t="str">
        <f>IFERROR(COUNTIF([2]Town!$B:$B,표1[[#This Row],[명칭]]),"-")</f>
        <v>-</v>
      </c>
      <c r="L2699" s="38">
        <f>IFERROR(COUNTIF([1]Village!$BR:$BR,표1[[#This Row],[명칭]]),"-")</f>
        <v>0</v>
      </c>
      <c r="M2699" s="38">
        <f>COUNTIF(퀘스트!B:B,표1[[#This Row],[명칭]])</f>
        <v>0</v>
      </c>
      <c r="N2699" s="65">
        <f>COUNTIF([1]VillageDiscoveryGroup!$C:$C,표1[[#This Row],[명칭]])</f>
        <v>0</v>
      </c>
      <c r="O2699" s="65">
        <f>SUM(표1[[#This Row],[해양탐색]:[마을탐험]])</f>
        <v>0</v>
      </c>
    </row>
    <row r="2700" spans="2:15" ht="13.5" customHeight="1" x14ac:dyDescent="0.3">
      <c r="B2700" s="9">
        <f>[1]Discovery!A2706</f>
        <v>70418019</v>
      </c>
      <c r="C2700" s="9" t="str">
        <f>[1]Discovery!B2706</f>
        <v>새알 화석</v>
      </c>
      <c r="D2700" s="9" t="str">
        <f>[1]Discovery!E2706</f>
        <v>자연</v>
      </c>
      <c r="E2700" s="9" t="str">
        <f>[1]Discovery!C2706</f>
        <v>화석</v>
      </c>
      <c r="F2700" s="9" t="str">
        <f>[1]Discovery!G2706</f>
        <v>B</v>
      </c>
      <c r="G2700" s="9" t="str">
        <f>IFERROR(VLOOKUP(표1[[#This Row],[명칭]],'문화권 정리'!C:D,2,FALSE),"-")</f>
        <v>화석</v>
      </c>
      <c r="H2700" s="38" t="str">
        <f>IFERROR(COUNTIF([2]OceanDoodad!$Y:$Y,표1[[#This Row],[명칭]]),"-")</f>
        <v>-</v>
      </c>
      <c r="I2700" s="38">
        <f>IFERROR(COUNTIF([1]AdventureDiscoveryGroup!$D$8:$AW$92,표1[[#This Row],[명칭]]),"-")</f>
        <v>0</v>
      </c>
      <c r="J2700" s="38">
        <f>IFERROR(COUNTIF([1]FishDiscoveryGroup!$A:$X,표1[[#This Row],[명칭]]),"-")</f>
        <v>0</v>
      </c>
      <c r="K2700" s="38" t="str">
        <f>IFERROR(COUNTIF([2]Town!$B:$B,표1[[#This Row],[명칭]]),"-")</f>
        <v>-</v>
      </c>
      <c r="L2700" s="38">
        <f>IFERROR(COUNTIF([1]Village!$BR:$BR,표1[[#This Row],[명칭]]),"-")</f>
        <v>0</v>
      </c>
      <c r="M2700" s="38">
        <f>COUNTIF(퀘스트!B:B,표1[[#This Row],[명칭]])</f>
        <v>0</v>
      </c>
      <c r="N2700" s="65">
        <f>COUNTIF([1]VillageDiscoveryGroup!$C:$C,표1[[#This Row],[명칭]])</f>
        <v>0</v>
      </c>
      <c r="O2700" s="65">
        <f>SUM(표1[[#This Row],[해양탐색]:[마을탐험]])</f>
        <v>0</v>
      </c>
    </row>
    <row r="2701" spans="2:15" ht="13.5" customHeight="1" x14ac:dyDescent="0.3">
      <c r="B2701" s="9">
        <f>[1]Discovery!A2707</f>
        <v>70418020</v>
      </c>
      <c r="C2701" s="9" t="str">
        <f>[1]Discovery!B2707</f>
        <v>새우 화석</v>
      </c>
      <c r="D2701" s="9" t="str">
        <f>[1]Discovery!E2707</f>
        <v>자연</v>
      </c>
      <c r="E2701" s="9" t="str">
        <f>[1]Discovery!C2707</f>
        <v>화석</v>
      </c>
      <c r="F2701" s="9" t="str">
        <f>[1]Discovery!G2707</f>
        <v>D</v>
      </c>
      <c r="G2701" s="9" t="str">
        <f>IFERROR(VLOOKUP(표1[[#This Row],[명칭]],'문화권 정리'!C:D,2,FALSE),"-")</f>
        <v>화석</v>
      </c>
      <c r="H2701" s="38" t="str">
        <f>IFERROR(COUNTIF([2]OceanDoodad!$Y:$Y,표1[[#This Row],[명칭]]),"-")</f>
        <v>-</v>
      </c>
      <c r="I2701" s="38">
        <f>IFERROR(COUNTIF([1]AdventureDiscoveryGroup!$D$8:$AW$92,표1[[#This Row],[명칭]]),"-")</f>
        <v>1</v>
      </c>
      <c r="J2701" s="38">
        <f>IFERROR(COUNTIF([1]FishDiscoveryGroup!$A:$X,표1[[#This Row],[명칭]]),"-")</f>
        <v>0</v>
      </c>
      <c r="K2701" s="38" t="str">
        <f>IFERROR(COUNTIF([2]Town!$B:$B,표1[[#This Row],[명칭]]),"-")</f>
        <v>-</v>
      </c>
      <c r="L2701" s="38">
        <f>IFERROR(COUNTIF([1]Village!$BR:$BR,표1[[#This Row],[명칭]]),"-")</f>
        <v>0</v>
      </c>
      <c r="M2701" s="38">
        <f>COUNTIF(퀘스트!B:B,표1[[#This Row],[명칭]])</f>
        <v>0</v>
      </c>
      <c r="N2701" s="65">
        <f>COUNTIF([1]VillageDiscoveryGroup!$C:$C,표1[[#This Row],[명칭]])</f>
        <v>0</v>
      </c>
      <c r="O2701" s="65">
        <f>SUM(표1[[#This Row],[해양탐색]:[마을탐험]])</f>
        <v>1</v>
      </c>
    </row>
    <row r="2702" spans="2:15" ht="13.5" customHeight="1" x14ac:dyDescent="0.3">
      <c r="B2702" s="9">
        <f>[1]Discovery!A2708</f>
        <v>70418021</v>
      </c>
      <c r="C2702" s="9" t="str">
        <f>[1]Discovery!B2708</f>
        <v>솔방울 화석</v>
      </c>
      <c r="D2702" s="9" t="str">
        <f>[1]Discovery!E2708</f>
        <v>자연</v>
      </c>
      <c r="E2702" s="9" t="str">
        <f>[1]Discovery!C2708</f>
        <v>화석</v>
      </c>
      <c r="F2702" s="9" t="str">
        <f>[1]Discovery!G2708</f>
        <v>D</v>
      </c>
      <c r="G2702" s="9" t="str">
        <f>IFERROR(VLOOKUP(표1[[#This Row],[명칭]],'문화권 정리'!C:D,2,FALSE),"-")</f>
        <v>화석</v>
      </c>
      <c r="H2702" s="38" t="str">
        <f>IFERROR(COUNTIF([2]OceanDoodad!$Y:$Y,표1[[#This Row],[명칭]]),"-")</f>
        <v>-</v>
      </c>
      <c r="I2702" s="38">
        <f>IFERROR(COUNTIF([1]AdventureDiscoveryGroup!$D$8:$AW$92,표1[[#This Row],[명칭]]),"-")</f>
        <v>1</v>
      </c>
      <c r="J2702" s="38">
        <f>IFERROR(COUNTIF([1]FishDiscoveryGroup!$A:$X,표1[[#This Row],[명칭]]),"-")</f>
        <v>0</v>
      </c>
      <c r="K2702" s="38" t="str">
        <f>IFERROR(COUNTIF([2]Town!$B:$B,표1[[#This Row],[명칭]]),"-")</f>
        <v>-</v>
      </c>
      <c r="L2702" s="38">
        <f>IFERROR(COUNTIF([1]Village!$BR:$BR,표1[[#This Row],[명칭]]),"-")</f>
        <v>0</v>
      </c>
      <c r="M2702" s="38">
        <f>COUNTIF(퀘스트!B:B,표1[[#This Row],[명칭]])</f>
        <v>0</v>
      </c>
      <c r="N2702" s="65">
        <f>COUNTIF([1]VillageDiscoveryGroup!$C:$C,표1[[#This Row],[명칭]])</f>
        <v>0</v>
      </c>
      <c r="O2702" s="65">
        <f>SUM(표1[[#This Row],[해양탐색]:[마을탐험]])</f>
        <v>1</v>
      </c>
    </row>
    <row r="2703" spans="2:15" ht="13.5" customHeight="1" x14ac:dyDescent="0.3">
      <c r="B2703" s="9">
        <f>[1]Discovery!A2709</f>
        <v>70418022</v>
      </c>
      <c r="C2703" s="9" t="str">
        <f>[1]Discovery!B2709</f>
        <v>시조새 화석</v>
      </c>
      <c r="D2703" s="9" t="str">
        <f>[1]Discovery!E2709</f>
        <v>자연</v>
      </c>
      <c r="E2703" s="9" t="str">
        <f>[1]Discovery!C2709</f>
        <v>화석</v>
      </c>
      <c r="F2703" s="9" t="str">
        <f>[1]Discovery!G2709</f>
        <v>A</v>
      </c>
      <c r="G2703" s="9" t="str">
        <f>IFERROR(VLOOKUP(표1[[#This Row],[명칭]],'문화권 정리'!C:D,2,FALSE),"-")</f>
        <v>화석</v>
      </c>
      <c r="H2703" s="38" t="str">
        <f>IFERROR(COUNTIF([2]OceanDoodad!$Y:$Y,표1[[#This Row],[명칭]]),"-")</f>
        <v>-</v>
      </c>
      <c r="I2703" s="38">
        <f>IFERROR(COUNTIF([1]AdventureDiscoveryGroup!$D$8:$AW$92,표1[[#This Row],[명칭]]),"-")</f>
        <v>0</v>
      </c>
      <c r="J2703" s="38">
        <f>IFERROR(COUNTIF([1]FishDiscoveryGroup!$A:$X,표1[[#This Row],[명칭]]),"-")</f>
        <v>0</v>
      </c>
      <c r="K2703" s="38" t="str">
        <f>IFERROR(COUNTIF([2]Town!$B:$B,표1[[#This Row],[명칭]]),"-")</f>
        <v>-</v>
      </c>
      <c r="L2703" s="38">
        <f>IFERROR(COUNTIF([1]Village!$BR:$BR,표1[[#This Row],[명칭]]),"-")</f>
        <v>0</v>
      </c>
      <c r="M2703" s="38">
        <f>COUNTIF(퀘스트!B:B,표1[[#This Row],[명칭]])</f>
        <v>1</v>
      </c>
      <c r="N2703" s="65">
        <f>COUNTIF([1]VillageDiscoveryGroup!$C:$C,표1[[#This Row],[명칭]])</f>
        <v>0</v>
      </c>
      <c r="O2703" s="65">
        <f>SUM(표1[[#This Row],[해양탐색]:[마을탐험]])</f>
        <v>1</v>
      </c>
    </row>
    <row r="2704" spans="2:15" ht="13.5" customHeight="1" x14ac:dyDescent="0.3">
      <c r="B2704" s="9">
        <f>[1]Discovery!A2710</f>
        <v>70418023</v>
      </c>
      <c r="C2704" s="9" t="str">
        <f>[1]Discovery!B2710</f>
        <v>아로카리아 화석</v>
      </c>
      <c r="D2704" s="9" t="str">
        <f>[1]Discovery!E2710</f>
        <v>자연</v>
      </c>
      <c r="E2704" s="9" t="str">
        <f>[1]Discovery!C2710</f>
        <v>화석</v>
      </c>
      <c r="F2704" s="9" t="str">
        <f>[1]Discovery!G2710</f>
        <v>B</v>
      </c>
      <c r="G2704" s="9" t="str">
        <f>IFERROR(VLOOKUP(표1[[#This Row],[명칭]],'문화권 정리'!C:D,2,FALSE),"-")</f>
        <v>화석</v>
      </c>
      <c r="H2704" s="38" t="str">
        <f>IFERROR(COUNTIF([2]OceanDoodad!$Y:$Y,표1[[#This Row],[명칭]]),"-")</f>
        <v>-</v>
      </c>
      <c r="I2704" s="38">
        <f>IFERROR(COUNTIF([1]AdventureDiscoveryGroup!$D$8:$AW$92,표1[[#This Row],[명칭]]),"-")</f>
        <v>0</v>
      </c>
      <c r="J2704" s="38">
        <f>IFERROR(COUNTIF([1]FishDiscoveryGroup!$A:$X,표1[[#This Row],[명칭]]),"-")</f>
        <v>0</v>
      </c>
      <c r="K2704" s="38" t="str">
        <f>IFERROR(COUNTIF([2]Town!$B:$B,표1[[#This Row],[명칭]]),"-")</f>
        <v>-</v>
      </c>
      <c r="L2704" s="38">
        <f>IFERROR(COUNTIF([1]Village!$BR:$BR,표1[[#This Row],[명칭]]),"-")</f>
        <v>0</v>
      </c>
      <c r="M2704" s="38">
        <f>COUNTIF(퀘스트!B:B,표1[[#This Row],[명칭]])</f>
        <v>0</v>
      </c>
      <c r="N2704" s="65">
        <f>COUNTIF([1]VillageDiscoveryGroup!$C:$C,표1[[#This Row],[명칭]])</f>
        <v>0</v>
      </c>
      <c r="O2704" s="65">
        <f>SUM(표1[[#This Row],[해양탐색]:[마을탐험]])</f>
        <v>0</v>
      </c>
    </row>
    <row r="2705" spans="2:15" ht="13.5" customHeight="1" x14ac:dyDescent="0.3">
      <c r="B2705" s="9">
        <f>[1]Discovery!A2711</f>
        <v>70418024</v>
      </c>
      <c r="C2705" s="9" t="str">
        <f>[1]Discovery!B2711</f>
        <v>암모나이트류 화석</v>
      </c>
      <c r="D2705" s="9" t="str">
        <f>[1]Discovery!E2711</f>
        <v>자연</v>
      </c>
      <c r="E2705" s="9" t="str">
        <f>[1]Discovery!C2711</f>
        <v>화석</v>
      </c>
      <c r="F2705" s="9" t="str">
        <f>[1]Discovery!G2711</f>
        <v>B</v>
      </c>
      <c r="G2705" s="9" t="str">
        <f>IFERROR(VLOOKUP(표1[[#This Row],[명칭]],'문화권 정리'!C:D,2,FALSE),"-")</f>
        <v>화석</v>
      </c>
      <c r="H2705" s="38" t="str">
        <f>IFERROR(COUNTIF([2]OceanDoodad!$Y:$Y,표1[[#This Row],[명칭]]),"-")</f>
        <v>-</v>
      </c>
      <c r="I2705" s="38">
        <f>IFERROR(COUNTIF([1]AdventureDiscoveryGroup!$D$8:$AW$92,표1[[#This Row],[명칭]]),"-")</f>
        <v>1</v>
      </c>
      <c r="J2705" s="38">
        <f>IFERROR(COUNTIF([1]FishDiscoveryGroup!$A:$X,표1[[#This Row],[명칭]]),"-")</f>
        <v>0</v>
      </c>
      <c r="K2705" s="38" t="str">
        <f>IFERROR(COUNTIF([2]Town!$B:$B,표1[[#This Row],[명칭]]),"-")</f>
        <v>-</v>
      </c>
      <c r="L2705" s="38">
        <f>IFERROR(COUNTIF([1]Village!$BR:$BR,표1[[#This Row],[명칭]]),"-")</f>
        <v>0</v>
      </c>
      <c r="M2705" s="38">
        <f>COUNTIF(퀘스트!B:B,표1[[#This Row],[명칭]])</f>
        <v>0</v>
      </c>
      <c r="N2705" s="65">
        <f>COUNTIF([1]VillageDiscoveryGroup!$C:$C,표1[[#This Row],[명칭]])</f>
        <v>0</v>
      </c>
      <c r="O2705" s="65">
        <f>SUM(표1[[#This Row],[해양탐색]:[마을탐험]])</f>
        <v>1</v>
      </c>
    </row>
    <row r="2706" spans="2:15" ht="13.5" customHeight="1" x14ac:dyDescent="0.3">
      <c r="B2706" s="9">
        <f>[1]Discovery!A2712</f>
        <v>70418025</v>
      </c>
      <c r="C2706" s="9" t="str">
        <f>[1]Discovery!B2712</f>
        <v>어룡 화석</v>
      </c>
      <c r="D2706" s="9" t="str">
        <f>[1]Discovery!E2712</f>
        <v>자연</v>
      </c>
      <c r="E2706" s="9" t="str">
        <f>[1]Discovery!C2712</f>
        <v>화석</v>
      </c>
      <c r="F2706" s="9" t="str">
        <f>[1]Discovery!G2712</f>
        <v>B</v>
      </c>
      <c r="G2706" s="9" t="str">
        <f>IFERROR(VLOOKUP(표1[[#This Row],[명칭]],'문화권 정리'!C:D,2,FALSE),"-")</f>
        <v>화석</v>
      </c>
      <c r="H2706" s="38" t="str">
        <f>IFERROR(COUNTIF([2]OceanDoodad!$Y:$Y,표1[[#This Row],[명칭]]),"-")</f>
        <v>-</v>
      </c>
      <c r="I2706" s="38">
        <f>IFERROR(COUNTIF([1]AdventureDiscoveryGroup!$D$8:$AW$92,표1[[#This Row],[명칭]]),"-")</f>
        <v>0</v>
      </c>
      <c r="J2706" s="38">
        <f>IFERROR(COUNTIF([1]FishDiscoveryGroup!$A:$X,표1[[#This Row],[명칭]]),"-")</f>
        <v>0</v>
      </c>
      <c r="K2706" s="38" t="str">
        <f>IFERROR(COUNTIF([2]Town!$B:$B,표1[[#This Row],[명칭]]),"-")</f>
        <v>-</v>
      </c>
      <c r="L2706" s="38">
        <f>IFERROR(COUNTIF([1]Village!$BR:$BR,표1[[#This Row],[명칭]]),"-")</f>
        <v>0</v>
      </c>
      <c r="M2706" s="38">
        <f>COUNTIF(퀘스트!B:B,표1[[#This Row],[명칭]])</f>
        <v>0</v>
      </c>
      <c r="N2706" s="67">
        <f>COUNTIF([1]VillageDiscoveryGroup!$C:$C,표1[[#This Row],[명칭]])</f>
        <v>0</v>
      </c>
      <c r="O2706" s="67">
        <f>SUM(표1[[#This Row],[해양탐색]:[마을탐험]])</f>
        <v>0</v>
      </c>
    </row>
    <row r="2707" spans="2:15" ht="15" x14ac:dyDescent="0.3">
      <c r="B2707" s="9">
        <f>[1]Discovery!A2713</f>
        <v>70418026</v>
      </c>
      <c r="C2707" s="9" t="str">
        <f>[1]Discovery!B2713</f>
        <v>엔코페 성게 화석</v>
      </c>
      <c r="D2707" s="9" t="str">
        <f>[1]Discovery!E2713</f>
        <v>자연</v>
      </c>
      <c r="E2707" s="9" t="str">
        <f>[1]Discovery!C2713</f>
        <v>화석</v>
      </c>
      <c r="F2707" s="9" t="str">
        <f>[1]Discovery!G2713</f>
        <v>B</v>
      </c>
      <c r="G2707" s="9" t="str">
        <f>IFERROR(VLOOKUP(표1[[#This Row],[명칭]],'문화권 정리'!C:D,2,FALSE),"-")</f>
        <v>화석</v>
      </c>
      <c r="H2707" s="38" t="str">
        <f>IFERROR(COUNTIF([2]OceanDoodad!$Y:$Y,표1[[#This Row],[명칭]]),"-")</f>
        <v>-</v>
      </c>
      <c r="I2707" s="38">
        <f>IFERROR(COUNTIF([1]AdventureDiscoveryGroup!$D$8:$AW$92,표1[[#This Row],[명칭]]),"-")</f>
        <v>0</v>
      </c>
      <c r="J2707" s="38">
        <f>IFERROR(COUNTIF([1]FishDiscoveryGroup!$A:$X,표1[[#This Row],[명칭]]),"-")</f>
        <v>0</v>
      </c>
      <c r="K2707" s="38" t="str">
        <f>IFERROR(COUNTIF([2]Town!$B:$B,표1[[#This Row],[명칭]]),"-")</f>
        <v>-</v>
      </c>
      <c r="L2707" s="38">
        <f>IFERROR(COUNTIF([1]Village!$BR:$BR,표1[[#This Row],[명칭]]),"-")</f>
        <v>0</v>
      </c>
      <c r="M2707" s="38">
        <f>COUNTIF(퀘스트!B:B,표1[[#This Row],[명칭]])</f>
        <v>0</v>
      </c>
      <c r="N2707" s="67">
        <f>COUNTIF([1]VillageDiscoveryGroup!$C:$C,표1[[#This Row],[명칭]])</f>
        <v>0</v>
      </c>
      <c r="O2707" s="67">
        <f>SUM(표1[[#This Row],[해양탐색]:[마을탐험]])</f>
        <v>0</v>
      </c>
    </row>
    <row r="2708" spans="2:15" ht="15" x14ac:dyDescent="0.3">
      <c r="B2708" s="9">
        <f>[1]Discovery!A2714</f>
        <v>70418027</v>
      </c>
      <c r="C2708" s="9" t="str">
        <f>[1]Discovery!B2714</f>
        <v>여치류 화석</v>
      </c>
      <c r="D2708" s="9" t="str">
        <f>[1]Discovery!E2714</f>
        <v>자연</v>
      </c>
      <c r="E2708" s="9" t="str">
        <f>[1]Discovery!C2714</f>
        <v>화석</v>
      </c>
      <c r="F2708" s="9" t="str">
        <f>[1]Discovery!G2714</f>
        <v>C</v>
      </c>
      <c r="G2708" s="9" t="str">
        <f>IFERROR(VLOOKUP(표1[[#This Row],[명칭]],'문화권 정리'!C:D,2,FALSE),"-")</f>
        <v>화석</v>
      </c>
      <c r="H2708" s="38" t="str">
        <f>IFERROR(COUNTIF([2]OceanDoodad!$Y:$Y,표1[[#This Row],[명칭]]),"-")</f>
        <v>-</v>
      </c>
      <c r="I2708" s="38">
        <f>IFERROR(COUNTIF([1]AdventureDiscoveryGroup!$D$8:$AW$92,표1[[#This Row],[명칭]]),"-")</f>
        <v>0</v>
      </c>
      <c r="J2708" s="38">
        <f>IFERROR(COUNTIF([1]FishDiscoveryGroup!$A:$X,표1[[#This Row],[명칭]]),"-")</f>
        <v>0</v>
      </c>
      <c r="K2708" s="38" t="str">
        <f>IFERROR(COUNTIF([2]Town!$B:$B,표1[[#This Row],[명칭]]),"-")</f>
        <v>-</v>
      </c>
      <c r="L2708" s="38">
        <f>IFERROR(COUNTIF([1]Village!$BR:$BR,표1[[#This Row],[명칭]]),"-")</f>
        <v>0</v>
      </c>
      <c r="M2708" s="38">
        <f>COUNTIF(퀘스트!B:B,표1[[#This Row],[명칭]])</f>
        <v>0</v>
      </c>
      <c r="N2708" s="67">
        <f>COUNTIF([1]VillageDiscoveryGroup!$C:$C,표1[[#This Row],[명칭]])</f>
        <v>0</v>
      </c>
      <c r="O2708" s="67">
        <f>SUM(표1[[#This Row],[해양탐색]:[마을탐험]])</f>
        <v>0</v>
      </c>
    </row>
    <row r="2709" spans="2:15" ht="15" x14ac:dyDescent="0.3">
      <c r="B2709" s="9">
        <f>[1]Discovery!A2715</f>
        <v>70418028</v>
      </c>
      <c r="C2709" s="9" t="str">
        <f>[1]Discovery!B2715</f>
        <v>이카로닉테리스 화석</v>
      </c>
      <c r="D2709" s="9" t="str">
        <f>[1]Discovery!E2715</f>
        <v>자연</v>
      </c>
      <c r="E2709" s="9" t="str">
        <f>[1]Discovery!C2715</f>
        <v>화석</v>
      </c>
      <c r="F2709" s="9" t="str">
        <f>[1]Discovery!G2715</f>
        <v>A</v>
      </c>
      <c r="G2709" s="9" t="str">
        <f>IFERROR(VLOOKUP(표1[[#This Row],[명칭]],'문화권 정리'!C:D,2,FALSE),"-")</f>
        <v>화석</v>
      </c>
      <c r="H2709" s="38" t="str">
        <f>IFERROR(COUNTIF([2]OceanDoodad!$Y:$Y,표1[[#This Row],[명칭]]),"-")</f>
        <v>-</v>
      </c>
      <c r="I2709" s="38">
        <f>IFERROR(COUNTIF([1]AdventureDiscoveryGroup!$D$8:$AW$92,표1[[#This Row],[명칭]]),"-")</f>
        <v>0</v>
      </c>
      <c r="J2709" s="38">
        <f>IFERROR(COUNTIF([1]FishDiscoveryGroup!$A:$X,표1[[#This Row],[명칭]]),"-")</f>
        <v>0</v>
      </c>
      <c r="K2709" s="38" t="str">
        <f>IFERROR(COUNTIF([2]Town!$B:$B,표1[[#This Row],[명칭]]),"-")</f>
        <v>-</v>
      </c>
      <c r="L2709" s="38">
        <f>IFERROR(COUNTIF([1]Village!$BR:$BR,표1[[#This Row],[명칭]]),"-")</f>
        <v>0</v>
      </c>
      <c r="M2709" s="38">
        <f>COUNTIF(퀘스트!B:B,표1[[#This Row],[명칭]])</f>
        <v>0</v>
      </c>
      <c r="N2709" s="67">
        <f>COUNTIF([1]VillageDiscoveryGroup!$C:$C,표1[[#This Row],[명칭]])</f>
        <v>0</v>
      </c>
      <c r="O2709" s="67">
        <f>SUM(표1[[#This Row],[해양탐색]:[마을탐험]])</f>
        <v>0</v>
      </c>
    </row>
    <row r="2710" spans="2:15" ht="15" x14ac:dyDescent="0.3">
      <c r="B2710" s="9">
        <f>[1]Discovery!A2716</f>
        <v>70418029</v>
      </c>
      <c r="C2710" s="9" t="str">
        <f>[1]Discovery!B2716</f>
        <v>이크티오스테가 화석</v>
      </c>
      <c r="D2710" s="9" t="str">
        <f>[1]Discovery!E2716</f>
        <v>자연</v>
      </c>
      <c r="E2710" s="9" t="str">
        <f>[1]Discovery!C2716</f>
        <v>화석</v>
      </c>
      <c r="F2710" s="9" t="str">
        <f>[1]Discovery!G2716</f>
        <v>B</v>
      </c>
      <c r="G2710" s="9" t="str">
        <f>IFERROR(VLOOKUP(표1[[#This Row],[명칭]],'문화권 정리'!C:D,2,FALSE),"-")</f>
        <v>극지방</v>
      </c>
      <c r="H2710" s="38" t="str">
        <f>IFERROR(COUNTIF([2]OceanDoodad!$Y:$Y,표1[[#This Row],[명칭]]),"-")</f>
        <v>-</v>
      </c>
      <c r="I2710" s="38">
        <f>IFERROR(COUNTIF([1]AdventureDiscoveryGroup!$D$8:$AW$92,표1[[#This Row],[명칭]]),"-")</f>
        <v>0</v>
      </c>
      <c r="J2710" s="38">
        <f>IFERROR(COUNTIF([1]FishDiscoveryGroup!$A:$X,표1[[#This Row],[명칭]]),"-")</f>
        <v>0</v>
      </c>
      <c r="K2710" s="38" t="str">
        <f>IFERROR(COUNTIF([2]Town!$B:$B,표1[[#This Row],[명칭]]),"-")</f>
        <v>-</v>
      </c>
      <c r="L2710" s="38">
        <f>IFERROR(COUNTIF([1]Village!$BR:$BR,표1[[#This Row],[명칭]]),"-")</f>
        <v>0</v>
      </c>
      <c r="M2710" s="38">
        <f>COUNTIF(퀘스트!B:B,표1[[#This Row],[명칭]])</f>
        <v>0</v>
      </c>
      <c r="N2710" s="67">
        <f>COUNTIF([1]VillageDiscoveryGroup!$C:$C,표1[[#This Row],[명칭]])</f>
        <v>0</v>
      </c>
      <c r="O2710" s="67">
        <f>SUM(표1[[#This Row],[해양탐색]:[마을탐험]])</f>
        <v>0</v>
      </c>
    </row>
    <row r="2711" spans="2:15" ht="15" x14ac:dyDescent="0.3">
      <c r="B2711" s="9">
        <f>[1]Discovery!A2717</f>
        <v>70418030</v>
      </c>
      <c r="C2711" s="9" t="str">
        <f>[1]Discovery!B2717</f>
        <v>클리피스터 성게 화석</v>
      </c>
      <c r="D2711" s="9" t="str">
        <f>[1]Discovery!E2717</f>
        <v>자연</v>
      </c>
      <c r="E2711" s="9" t="str">
        <f>[1]Discovery!C2717</f>
        <v>화석</v>
      </c>
      <c r="F2711" s="9" t="str">
        <f>[1]Discovery!G2717</f>
        <v>D</v>
      </c>
      <c r="G2711" s="9" t="str">
        <f>IFERROR(VLOOKUP(표1[[#This Row],[명칭]],'문화권 정리'!C:D,2,FALSE),"-")</f>
        <v>화석</v>
      </c>
      <c r="H2711" s="38" t="str">
        <f>IFERROR(COUNTIF([2]OceanDoodad!$Y:$Y,표1[[#This Row],[명칭]]),"-")</f>
        <v>-</v>
      </c>
      <c r="I2711" s="38">
        <f>IFERROR(COUNTIF([1]AdventureDiscoveryGroup!$D$8:$AW$92,표1[[#This Row],[명칭]]),"-")</f>
        <v>0</v>
      </c>
      <c r="J2711" s="38">
        <f>IFERROR(COUNTIF([1]FishDiscoveryGroup!$A:$X,표1[[#This Row],[명칭]]),"-")</f>
        <v>0</v>
      </c>
      <c r="K2711" s="38" t="str">
        <f>IFERROR(COUNTIF([2]Town!$B:$B,표1[[#This Row],[명칭]]),"-")</f>
        <v>-</v>
      </c>
      <c r="L2711" s="38">
        <f>IFERROR(COUNTIF([1]Village!$BR:$BR,표1[[#This Row],[명칭]]),"-")</f>
        <v>0</v>
      </c>
      <c r="M2711" s="38">
        <f>COUNTIF(퀘스트!B:B,표1[[#This Row],[명칭]])</f>
        <v>0</v>
      </c>
      <c r="N2711" s="67">
        <f>COUNTIF([1]VillageDiscoveryGroup!$C:$C,표1[[#This Row],[명칭]])</f>
        <v>0</v>
      </c>
      <c r="O2711" s="67">
        <f>SUM(표1[[#This Row],[해양탐색]:[마을탐험]])</f>
        <v>0</v>
      </c>
    </row>
    <row r="2712" spans="2:15" ht="15" x14ac:dyDescent="0.3">
      <c r="B2712" s="9">
        <f>[1]Discovery!A2718</f>
        <v>70418031</v>
      </c>
      <c r="C2712" s="9" t="str">
        <f>[1]Discovery!B2718</f>
        <v>폼페이의 빵</v>
      </c>
      <c r="D2712" s="9" t="str">
        <f>[1]Discovery!E2718</f>
        <v>자연</v>
      </c>
      <c r="E2712" s="9" t="str">
        <f>[1]Discovery!C2718</f>
        <v>화석</v>
      </c>
      <c r="F2712" s="9" t="str">
        <f>[1]Discovery!G2718</f>
        <v>C</v>
      </c>
      <c r="G2712" s="9" t="str">
        <f>IFERROR(VLOOKUP(표1[[#This Row],[명칭]],'문화권 정리'!C:D,2,FALSE),"-")</f>
        <v>화석</v>
      </c>
      <c r="H2712" s="38" t="str">
        <f>IFERROR(COUNTIF([2]OceanDoodad!$Y:$Y,표1[[#This Row],[명칭]]),"-")</f>
        <v>-</v>
      </c>
      <c r="I2712" s="38">
        <f>IFERROR(COUNTIF([1]AdventureDiscoveryGroup!$D$8:$AW$92,표1[[#This Row],[명칭]]),"-")</f>
        <v>0</v>
      </c>
      <c r="J2712" s="38">
        <f>IFERROR(COUNTIF([1]FishDiscoveryGroup!$A:$X,표1[[#This Row],[명칭]]),"-")</f>
        <v>0</v>
      </c>
      <c r="K2712" s="38" t="str">
        <f>IFERROR(COUNTIF([2]Town!$B:$B,표1[[#This Row],[명칭]]),"-")</f>
        <v>-</v>
      </c>
      <c r="L2712" s="38">
        <f>IFERROR(COUNTIF([1]Village!$BR:$BR,표1[[#This Row],[명칭]]),"-")</f>
        <v>0</v>
      </c>
      <c r="M2712" s="38">
        <f>COUNTIF(퀘스트!B:B,표1[[#This Row],[명칭]])</f>
        <v>0</v>
      </c>
      <c r="N2712" s="67">
        <f>COUNTIF([1]VillageDiscoveryGroup!$C:$C,표1[[#This Row],[명칭]])</f>
        <v>0</v>
      </c>
      <c r="O2712" s="67">
        <f>SUM(표1[[#This Row],[해양탐색]:[마을탐험]])</f>
        <v>0</v>
      </c>
    </row>
    <row r="2713" spans="2:15" ht="15" x14ac:dyDescent="0.3">
      <c r="B2713" s="9">
        <f>[1]Discovery!A2719</f>
        <v>70418032</v>
      </c>
      <c r="C2713" s="9" t="str">
        <f>[1]Discovery!B2719</f>
        <v>플라타누스 화석</v>
      </c>
      <c r="D2713" s="9" t="str">
        <f>[1]Discovery!E2719</f>
        <v>자연</v>
      </c>
      <c r="E2713" s="9" t="str">
        <f>[1]Discovery!C2719</f>
        <v>화석</v>
      </c>
      <c r="F2713" s="9" t="str">
        <f>[1]Discovery!G2719</f>
        <v>C</v>
      </c>
      <c r="G2713" s="9" t="str">
        <f>IFERROR(VLOOKUP(표1[[#This Row],[명칭]],'문화권 정리'!C:D,2,FALSE),"-")</f>
        <v>화석</v>
      </c>
      <c r="H2713" s="38" t="str">
        <f>IFERROR(COUNTIF([2]OceanDoodad!$Y:$Y,표1[[#This Row],[명칭]]),"-")</f>
        <v>-</v>
      </c>
      <c r="I2713" s="38">
        <f>IFERROR(COUNTIF([1]AdventureDiscoveryGroup!$D$8:$AW$92,표1[[#This Row],[명칭]]),"-")</f>
        <v>0</v>
      </c>
      <c r="J2713" s="38">
        <f>IFERROR(COUNTIF([1]FishDiscoveryGroup!$A:$X,표1[[#This Row],[명칭]]),"-")</f>
        <v>0</v>
      </c>
      <c r="K2713" s="38" t="str">
        <f>IFERROR(COUNTIF([2]Town!$B:$B,표1[[#This Row],[명칭]]),"-")</f>
        <v>-</v>
      </c>
      <c r="L2713" s="38">
        <f>IFERROR(COUNTIF([1]Village!$BR:$BR,표1[[#This Row],[명칭]]),"-")</f>
        <v>0</v>
      </c>
      <c r="M2713" s="38">
        <f>COUNTIF(퀘스트!B:B,표1[[#This Row],[명칭]])</f>
        <v>0</v>
      </c>
      <c r="N2713" s="67">
        <f>COUNTIF([1]VillageDiscoveryGroup!$C:$C,표1[[#This Row],[명칭]])</f>
        <v>0</v>
      </c>
      <c r="O2713" s="67">
        <f>SUM(표1[[#This Row],[해양탐색]:[마을탐험]])</f>
        <v>0</v>
      </c>
    </row>
    <row r="2714" spans="2:15" ht="15" x14ac:dyDescent="0.3">
      <c r="B2714" s="9">
        <f>[1]Discovery!A2720</f>
        <v>70418033</v>
      </c>
      <c r="C2714" s="9" t="str">
        <f>[1]Discovery!B2720</f>
        <v>필석류 화석</v>
      </c>
      <c r="D2714" s="9" t="str">
        <f>[1]Discovery!E2720</f>
        <v>자연</v>
      </c>
      <c r="E2714" s="9" t="str">
        <f>[1]Discovery!C2720</f>
        <v>화석</v>
      </c>
      <c r="F2714" s="9" t="str">
        <f>[1]Discovery!G2720</f>
        <v>C</v>
      </c>
      <c r="G2714" s="9" t="str">
        <f>IFERROR(VLOOKUP(표1[[#This Row],[명칭]],'문화권 정리'!C:D,2,FALSE),"-")</f>
        <v>화석</v>
      </c>
      <c r="H2714" s="38" t="str">
        <f>IFERROR(COUNTIF([2]OceanDoodad!$Y:$Y,표1[[#This Row],[명칭]]),"-")</f>
        <v>-</v>
      </c>
      <c r="I2714" s="38">
        <f>IFERROR(COUNTIF([1]AdventureDiscoveryGroup!$D$8:$AW$92,표1[[#This Row],[명칭]]),"-")</f>
        <v>0</v>
      </c>
      <c r="J2714" s="38">
        <f>IFERROR(COUNTIF([1]FishDiscoveryGroup!$A:$X,표1[[#This Row],[명칭]]),"-")</f>
        <v>0</v>
      </c>
      <c r="K2714" s="38" t="str">
        <f>IFERROR(COUNTIF([2]Town!$B:$B,표1[[#This Row],[명칭]]),"-")</f>
        <v>-</v>
      </c>
      <c r="L2714" s="38">
        <f>IFERROR(COUNTIF([1]Village!$BR:$BR,표1[[#This Row],[명칭]]),"-")</f>
        <v>0</v>
      </c>
      <c r="M2714" s="38">
        <f>COUNTIF(퀘스트!B:B,표1[[#This Row],[명칭]])</f>
        <v>0</v>
      </c>
      <c r="N2714" s="67">
        <f>COUNTIF([1]VillageDiscoveryGroup!$C:$C,표1[[#This Row],[명칭]])</f>
        <v>0</v>
      </c>
      <c r="O2714" s="67">
        <f>SUM(표1[[#This Row],[해양탐색]:[마을탐험]])</f>
        <v>0</v>
      </c>
    </row>
    <row r="2715" spans="2:15" ht="15" x14ac:dyDescent="0.3">
      <c r="B2715" s="9">
        <f>[1]Discovery!A2721</f>
        <v>70418034</v>
      </c>
      <c r="C2715" s="9" t="str">
        <f>[1]Discovery!B2721</f>
        <v>해백합 화석</v>
      </c>
      <c r="D2715" s="9" t="str">
        <f>[1]Discovery!E2721</f>
        <v>자연</v>
      </c>
      <c r="E2715" s="9" t="str">
        <f>[1]Discovery!C2721</f>
        <v>화석</v>
      </c>
      <c r="F2715" s="9" t="str">
        <f>[1]Discovery!G2721</f>
        <v>A</v>
      </c>
      <c r="G2715" s="9" t="str">
        <f>IFERROR(VLOOKUP(표1[[#This Row],[명칭]],'문화권 정리'!C:D,2,FALSE),"-")</f>
        <v>화석</v>
      </c>
      <c r="H2715" s="38" t="str">
        <f>IFERROR(COUNTIF([2]OceanDoodad!$Y:$Y,표1[[#This Row],[명칭]]),"-")</f>
        <v>-</v>
      </c>
      <c r="I2715" s="38">
        <f>IFERROR(COUNTIF([1]AdventureDiscoveryGroup!$D$8:$AW$92,표1[[#This Row],[명칭]]),"-")</f>
        <v>0</v>
      </c>
      <c r="J2715" s="38">
        <f>IFERROR(COUNTIF([1]FishDiscoveryGroup!$A:$X,표1[[#This Row],[명칭]]),"-")</f>
        <v>0</v>
      </c>
      <c r="K2715" s="38" t="str">
        <f>IFERROR(COUNTIF([2]Town!$B:$B,표1[[#This Row],[명칭]]),"-")</f>
        <v>-</v>
      </c>
      <c r="L2715" s="38">
        <f>IFERROR(COUNTIF([1]Village!$BR:$BR,표1[[#This Row],[명칭]]),"-")</f>
        <v>0</v>
      </c>
      <c r="M2715" s="38">
        <f>COUNTIF(퀘스트!B:B,표1[[#This Row],[명칭]])</f>
        <v>0</v>
      </c>
      <c r="N2715" s="67">
        <f>COUNTIF([1]VillageDiscoveryGroup!$C:$C,표1[[#This Row],[명칭]])</f>
        <v>0</v>
      </c>
      <c r="O2715" s="67">
        <f>SUM(표1[[#This Row],[해양탐색]:[마을탐험]])</f>
        <v>0</v>
      </c>
    </row>
    <row r="2716" spans="2:15" ht="15" x14ac:dyDescent="0.3">
      <c r="B2716" s="9">
        <f>[1]Discovery!A2722</f>
        <v>70418035</v>
      </c>
      <c r="C2716" s="9" t="str">
        <f>[1]Discovery!B2722</f>
        <v>해파리 화석</v>
      </c>
      <c r="D2716" s="9" t="str">
        <f>[1]Discovery!E2722</f>
        <v>자연</v>
      </c>
      <c r="E2716" s="9" t="str">
        <f>[1]Discovery!C2722</f>
        <v>화석</v>
      </c>
      <c r="F2716" s="9" t="str">
        <f>[1]Discovery!G2722</f>
        <v>B</v>
      </c>
      <c r="G2716" s="9" t="str">
        <f>IFERROR(VLOOKUP(표1[[#This Row],[명칭]],'문화권 정리'!C:D,2,FALSE),"-")</f>
        <v>화석</v>
      </c>
      <c r="H2716" s="38" t="str">
        <f>IFERROR(COUNTIF([2]OceanDoodad!$Y:$Y,표1[[#This Row],[명칭]]),"-")</f>
        <v>-</v>
      </c>
      <c r="I2716" s="38">
        <f>IFERROR(COUNTIF([1]AdventureDiscoveryGroup!$D$8:$AW$92,표1[[#This Row],[명칭]]),"-")</f>
        <v>0</v>
      </c>
      <c r="J2716" s="38">
        <f>IFERROR(COUNTIF([1]FishDiscoveryGroup!$A:$X,표1[[#This Row],[명칭]]),"-")</f>
        <v>0</v>
      </c>
      <c r="K2716" s="38" t="str">
        <f>IFERROR(COUNTIF([2]Town!$B:$B,표1[[#This Row],[명칭]]),"-")</f>
        <v>-</v>
      </c>
      <c r="L2716" s="38">
        <f>IFERROR(COUNTIF([1]Village!$BR:$BR,표1[[#This Row],[명칭]]),"-")</f>
        <v>0</v>
      </c>
      <c r="M2716" s="38">
        <f>COUNTIF(퀘스트!B:B,표1[[#This Row],[명칭]])</f>
        <v>0</v>
      </c>
      <c r="N2716" s="67">
        <f>COUNTIF([1]VillageDiscoveryGroup!$C:$C,표1[[#This Row],[명칭]])</f>
        <v>0</v>
      </c>
      <c r="O2716" s="67">
        <f>SUM(표1[[#This Row],[해양탐색]:[마을탐험]])</f>
        <v>0</v>
      </c>
    </row>
    <row r="2717" spans="2:15" ht="15" x14ac:dyDescent="0.3">
      <c r="B2717" s="9" t="str">
        <f>[1]Discovery!A2723</f>
        <v>#70418036</v>
      </c>
      <c r="C2717" s="9" t="str">
        <f>[1]Discovery!B2723</f>
        <v>## 두다드 발견 테스트</v>
      </c>
      <c r="D2717" s="9" t="str">
        <f>[1]Discovery!E2723</f>
        <v>유물</v>
      </c>
      <c r="E2717" s="9" t="str">
        <f>[1]Discovery!C2723</f>
        <v>역사유물</v>
      </c>
      <c r="F2717" s="9" t="str">
        <f>[1]Discovery!G2723</f>
        <v>S</v>
      </c>
      <c r="G2717" s="9" t="str">
        <f>IFERROR(VLOOKUP(표1[[#This Row],[명칭]],'문화권 정리'!C:D,2,FALSE),"-")</f>
        <v>극지방</v>
      </c>
      <c r="H2717" s="38" t="str">
        <f>IFERROR(COUNTIF([2]OceanDoodad!$Y:$Y,표1[[#This Row],[명칭]]),"-")</f>
        <v>-</v>
      </c>
      <c r="I2717" s="38">
        <f>IFERROR(COUNTIF([1]AdventureDiscoveryGroup!$D$8:$AW$92,표1[[#This Row],[명칭]]),"-")</f>
        <v>0</v>
      </c>
      <c r="J2717" s="38">
        <f>IFERROR(COUNTIF([1]FishDiscoveryGroup!$A:$X,표1[[#This Row],[명칭]]),"-")</f>
        <v>0</v>
      </c>
      <c r="K2717" s="38" t="str">
        <f>IFERROR(COUNTIF([2]Town!$B:$B,표1[[#This Row],[명칭]]),"-")</f>
        <v>-</v>
      </c>
      <c r="L2717" s="38">
        <f>IFERROR(COUNTIF([1]Village!$BR:$BR,표1[[#This Row],[명칭]]),"-")</f>
        <v>0</v>
      </c>
      <c r="M2717" s="38">
        <f>COUNTIF(퀘스트!B:B,표1[[#This Row],[명칭]])</f>
        <v>0</v>
      </c>
      <c r="N2717" s="67">
        <f>COUNTIF([1]VillageDiscoveryGroup!$C:$C,표1[[#This Row],[명칭]])</f>
        <v>0</v>
      </c>
      <c r="O2717" s="67">
        <f>SUM(표1[[#This Row],[해양탐색]:[마을탐험]])</f>
        <v>0</v>
      </c>
    </row>
    <row r="2718" spans="2:15" ht="15" x14ac:dyDescent="0.3">
      <c r="B2718" s="9" t="str">
        <f>[1]Discovery!A2724</f>
        <v>#70418037</v>
      </c>
      <c r="C2718" s="9" t="str">
        <f>[1]Discovery!B2724</f>
        <v>## 아이템 발견 테스트02_아쿼버스</v>
      </c>
      <c r="D2718" s="9" t="str">
        <f>[1]Discovery!E2724</f>
        <v>유물</v>
      </c>
      <c r="E2718" s="9" t="str">
        <f>[1]Discovery!C2724</f>
        <v>종교유물</v>
      </c>
      <c r="F2718" s="9" t="str">
        <f>[1]Discovery!G2724</f>
        <v>A</v>
      </c>
      <c r="G2718" s="9" t="str">
        <f>IFERROR(VLOOKUP(표1[[#This Row],[명칭]],'문화권 정리'!C:D,2,FALSE),"-")</f>
        <v>극지방</v>
      </c>
      <c r="H2718" s="38" t="str">
        <f>IFERROR(COUNTIF([2]OceanDoodad!$Y:$Y,표1[[#This Row],[명칭]]),"-")</f>
        <v>-</v>
      </c>
      <c r="I2718" s="38">
        <f>IFERROR(COUNTIF([1]AdventureDiscoveryGroup!$D$8:$AW$92,표1[[#This Row],[명칭]]),"-")</f>
        <v>0</v>
      </c>
      <c r="J2718" s="38">
        <f>IFERROR(COUNTIF([1]FishDiscoveryGroup!$A:$X,표1[[#This Row],[명칭]]),"-")</f>
        <v>0</v>
      </c>
      <c r="K2718" s="38" t="str">
        <f>IFERROR(COUNTIF([2]Town!$B:$B,표1[[#This Row],[명칭]]),"-")</f>
        <v>-</v>
      </c>
      <c r="L2718" s="38">
        <f>IFERROR(COUNTIF([1]Village!$BR:$BR,표1[[#This Row],[명칭]]),"-")</f>
        <v>0</v>
      </c>
      <c r="M2718" s="38">
        <f>COUNTIF(퀘스트!B:B,표1[[#This Row],[명칭]])</f>
        <v>0</v>
      </c>
      <c r="N2718" s="67">
        <f>COUNTIF([1]VillageDiscoveryGroup!$C:$C,표1[[#This Row],[명칭]])</f>
        <v>0</v>
      </c>
      <c r="O2718" s="67">
        <f>SUM(표1[[#This Row],[해양탐색]:[마을탐험]])</f>
        <v>0</v>
      </c>
    </row>
    <row r="2719" spans="2:15" ht="15" x14ac:dyDescent="0.3">
      <c r="B2719" s="9" t="str">
        <f>[1]Discovery!A2725</f>
        <v>#70418038</v>
      </c>
      <c r="C2719" s="9" t="str">
        <f>[1]Discovery!B2725</f>
        <v>## 아이템 발견 테스트03_석궁</v>
      </c>
      <c r="D2719" s="9" t="str">
        <f>[1]Discovery!E2725</f>
        <v>보물</v>
      </c>
      <c r="E2719" s="9" t="str">
        <f>[1]Discovery!C2725</f>
        <v>보물</v>
      </c>
      <c r="F2719" s="9" t="str">
        <f>[1]Discovery!G2725</f>
        <v>B</v>
      </c>
      <c r="G2719" s="9" t="str">
        <f>IFERROR(VLOOKUP(표1[[#This Row],[명칭]],'문화권 정리'!C:D,2,FALSE),"-")</f>
        <v>극지방</v>
      </c>
      <c r="H2719" s="38" t="str">
        <f>IFERROR(COUNTIF([2]OceanDoodad!$Y:$Y,표1[[#This Row],[명칭]]),"-")</f>
        <v>-</v>
      </c>
      <c r="I2719" s="38">
        <f>IFERROR(COUNTIF([1]AdventureDiscoveryGroup!$D$8:$AW$92,표1[[#This Row],[명칭]]),"-")</f>
        <v>0</v>
      </c>
      <c r="J2719" s="38">
        <f>IFERROR(COUNTIF([1]FishDiscoveryGroup!$A:$X,표1[[#This Row],[명칭]]),"-")</f>
        <v>0</v>
      </c>
      <c r="K2719" s="38" t="str">
        <f>IFERROR(COUNTIF([2]Town!$B:$B,표1[[#This Row],[명칭]]),"-")</f>
        <v>-</v>
      </c>
      <c r="L2719" s="38">
        <f>IFERROR(COUNTIF([1]Village!$BR:$BR,표1[[#This Row],[명칭]]),"-")</f>
        <v>0</v>
      </c>
      <c r="M2719" s="38">
        <f>COUNTIF(퀘스트!B:B,표1[[#This Row],[명칭]])</f>
        <v>0</v>
      </c>
      <c r="N2719" s="67">
        <f>COUNTIF([1]VillageDiscoveryGroup!$C:$C,표1[[#This Row],[명칭]])</f>
        <v>0</v>
      </c>
      <c r="O2719" s="67">
        <f>SUM(표1[[#This Row],[해양탐색]:[마을탐험]])</f>
        <v>0</v>
      </c>
    </row>
    <row r="2720" spans="2:15" ht="15" x14ac:dyDescent="0.3">
      <c r="B2720" s="9" t="str">
        <f>[1]Discovery!A2726</f>
        <v>#70418039</v>
      </c>
      <c r="C2720" s="9" t="str">
        <f>[1]Discovery!B2726</f>
        <v>## 아이템 발견 테스트04_명조</v>
      </c>
      <c r="D2720" s="9" t="str">
        <f>[1]Discovery!E2726</f>
        <v>보물</v>
      </c>
      <c r="E2720" s="9" t="str">
        <f>[1]Discovery!C2726</f>
        <v>보물</v>
      </c>
      <c r="F2720" s="9" t="str">
        <f>[1]Discovery!G2726</f>
        <v>C</v>
      </c>
      <c r="G2720" s="9" t="str">
        <f>IFERROR(VLOOKUP(표1[[#This Row],[명칭]],'문화권 정리'!C:D,2,FALSE),"-")</f>
        <v>극지방</v>
      </c>
      <c r="H2720" s="38" t="str">
        <f>IFERROR(COUNTIF([2]OceanDoodad!$Y:$Y,표1[[#This Row],[명칭]]),"-")</f>
        <v>-</v>
      </c>
      <c r="I2720" s="38">
        <f>IFERROR(COUNTIF([1]AdventureDiscoveryGroup!$D$8:$AW$92,표1[[#This Row],[명칭]]),"-")</f>
        <v>0</v>
      </c>
      <c r="J2720" s="38">
        <f>IFERROR(COUNTIF([1]FishDiscoveryGroup!$A:$X,표1[[#This Row],[명칭]]),"-")</f>
        <v>0</v>
      </c>
      <c r="K2720" s="38" t="str">
        <f>IFERROR(COUNTIF([2]Town!$B:$B,표1[[#This Row],[명칭]]),"-")</f>
        <v>-</v>
      </c>
      <c r="L2720" s="38">
        <f>IFERROR(COUNTIF([1]Village!$BR:$BR,표1[[#This Row],[명칭]]),"-")</f>
        <v>0</v>
      </c>
      <c r="M2720" s="38">
        <f>COUNTIF(퀘스트!B:B,표1[[#This Row],[명칭]])</f>
        <v>0</v>
      </c>
      <c r="N2720" s="67">
        <f>COUNTIF([1]VillageDiscoveryGroup!$C:$C,표1[[#This Row],[명칭]])</f>
        <v>0</v>
      </c>
      <c r="O2720" s="67">
        <f>SUM(표1[[#This Row],[해양탐색]:[마을탐험]])</f>
        <v>0</v>
      </c>
    </row>
    <row r="2721" spans="2:15" ht="15" x14ac:dyDescent="0.3">
      <c r="B2721" s="9">
        <f>[1]Discovery!A2727</f>
        <v>70490000</v>
      </c>
      <c r="C2721" s="9" t="str">
        <f>[1]Discovery!B2727</f>
        <v>낡은 상자</v>
      </c>
      <c r="D2721" s="9" t="str">
        <f>[1]Discovery!E2727</f>
        <v>보물</v>
      </c>
      <c r="E2721" s="9" t="str">
        <f>[1]Discovery!C2727</f>
        <v>보물</v>
      </c>
      <c r="F2721" s="9" t="str">
        <f>[1]Discovery!G2727</f>
        <v>D</v>
      </c>
      <c r="G2721" s="9" t="str">
        <f>IFERROR(VLOOKUP(표1[[#This Row],[명칭]],'문화권 정리'!C:D,2,FALSE),"-")</f>
        <v>극지방</v>
      </c>
      <c r="H2721" s="38" t="str">
        <f>IFERROR(COUNTIF([2]OceanDoodad!$Y:$Y,표1[[#This Row],[명칭]]),"-")</f>
        <v>-</v>
      </c>
      <c r="I2721" s="38">
        <f>IFERROR(COUNTIF([1]AdventureDiscoveryGroup!$D$8:$AW$92,표1[[#This Row],[명칭]]),"-")</f>
        <v>0</v>
      </c>
      <c r="J2721" s="38">
        <f>IFERROR(COUNTIF([1]FishDiscoveryGroup!$A:$X,표1[[#This Row],[명칭]]),"-")</f>
        <v>0</v>
      </c>
      <c r="K2721" s="38" t="str">
        <f>IFERROR(COUNTIF([2]Town!$B:$B,표1[[#This Row],[명칭]]),"-")</f>
        <v>-</v>
      </c>
      <c r="L2721" s="38">
        <f>IFERROR(COUNTIF([1]Village!$BR:$BR,표1[[#This Row],[명칭]]),"-")</f>
        <v>0</v>
      </c>
      <c r="M2721" s="38">
        <f>COUNTIF(퀘스트!B:B,표1[[#This Row],[명칭]])</f>
        <v>0</v>
      </c>
      <c r="N2721" s="67">
        <f>COUNTIF([1]VillageDiscoveryGroup!$C:$C,표1[[#This Row],[명칭]])</f>
        <v>0</v>
      </c>
      <c r="O2721" s="67">
        <f>SUM(표1[[#This Row],[해양탐색]:[마을탐험]])</f>
        <v>0</v>
      </c>
    </row>
    <row r="2722" spans="2:15" ht="15" x14ac:dyDescent="0.3">
      <c r="B2722" s="9">
        <f>[1]Discovery!A2728</f>
        <v>0</v>
      </c>
      <c r="C2722" s="9">
        <f>[1]Discovery!B2728</f>
        <v>0</v>
      </c>
      <c r="D2722" s="9">
        <f>[1]Discovery!E2728</f>
        <v>0</v>
      </c>
      <c r="E2722" s="9">
        <f>[1]Discovery!C2728</f>
        <v>0</v>
      </c>
      <c r="F2722" s="9">
        <f>[1]Discovery!G2728</f>
        <v>0</v>
      </c>
      <c r="G2722" s="9" t="str">
        <f>IFERROR(VLOOKUP(표1[[#This Row],[명칭]],'문화권 정리'!C:D,2,FALSE),"-")</f>
        <v>-</v>
      </c>
      <c r="H2722" s="38" t="str">
        <f>IFERROR(COUNTIF([2]OceanDoodad!$Y:$Y,표1[[#This Row],[명칭]]),"-")</f>
        <v>-</v>
      </c>
      <c r="I2722" s="38">
        <f>IFERROR(COUNTIF([1]AdventureDiscoveryGroup!$D$8:$AW$92,표1[[#This Row],[명칭]]),"-")</f>
        <v>0</v>
      </c>
      <c r="J2722" s="38">
        <f>IFERROR(COUNTIF([1]FishDiscoveryGroup!$A:$X,표1[[#This Row],[명칭]]),"-")</f>
        <v>0</v>
      </c>
      <c r="K2722" s="38" t="str">
        <f>IFERROR(COUNTIF([2]Town!$B:$B,표1[[#This Row],[명칭]]),"-")</f>
        <v>-</v>
      </c>
      <c r="L2722" s="38">
        <f>IFERROR(COUNTIF([1]Village!$BR:$BR,표1[[#This Row],[명칭]]),"-")</f>
        <v>0</v>
      </c>
      <c r="M2722" s="38">
        <f>COUNTIF(퀘스트!B:B,표1[[#This Row],[명칭]])</f>
        <v>0</v>
      </c>
      <c r="N2722" s="67">
        <f>COUNTIF([1]VillageDiscoveryGroup!$C:$C,표1[[#This Row],[명칭]])</f>
        <v>0</v>
      </c>
      <c r="O2722" s="67">
        <f>SUM(표1[[#This Row],[해양탐색]:[마을탐험]])</f>
        <v>0</v>
      </c>
    </row>
    <row r="2723" spans="2:15" ht="15" x14ac:dyDescent="0.3">
      <c r="B2723" s="9">
        <f>[1]Discovery!A2729</f>
        <v>0</v>
      </c>
      <c r="C2723" s="9">
        <f>[1]Discovery!B2729</f>
        <v>0</v>
      </c>
      <c r="D2723" s="9">
        <f>[1]Discovery!E2729</f>
        <v>0</v>
      </c>
      <c r="E2723" s="9">
        <f>[1]Discovery!C2729</f>
        <v>0</v>
      </c>
      <c r="F2723" s="9">
        <f>[1]Discovery!G2729</f>
        <v>0</v>
      </c>
      <c r="G2723" s="9" t="str">
        <f>IFERROR(VLOOKUP(표1[[#This Row],[명칭]],'문화권 정리'!C:D,2,FALSE),"-")</f>
        <v>-</v>
      </c>
      <c r="H2723" s="38" t="str">
        <f>IFERROR(COUNTIF([2]OceanDoodad!$Y:$Y,표1[[#This Row],[명칭]]),"-")</f>
        <v>-</v>
      </c>
      <c r="I2723" s="38">
        <f>IFERROR(COUNTIF([1]AdventureDiscoveryGroup!$D$8:$AW$92,표1[[#This Row],[명칭]]),"-")</f>
        <v>0</v>
      </c>
      <c r="J2723" s="38">
        <f>IFERROR(COUNTIF([1]FishDiscoveryGroup!$A:$X,표1[[#This Row],[명칭]]),"-")</f>
        <v>0</v>
      </c>
      <c r="K2723" s="38" t="str">
        <f>IFERROR(COUNTIF([2]Town!$B:$B,표1[[#This Row],[명칭]]),"-")</f>
        <v>-</v>
      </c>
      <c r="L2723" s="38">
        <f>IFERROR(COUNTIF([1]Village!$BR:$BR,표1[[#This Row],[명칭]]),"-")</f>
        <v>0</v>
      </c>
      <c r="M2723" s="38">
        <f>COUNTIF(퀘스트!B:B,표1[[#This Row],[명칭]])</f>
        <v>0</v>
      </c>
      <c r="N2723" s="67">
        <f>COUNTIF([1]VillageDiscoveryGroup!$C:$C,표1[[#This Row],[명칭]])</f>
        <v>0</v>
      </c>
      <c r="O2723" s="67">
        <f>SUM(표1[[#This Row],[해양탐색]:[마을탐험]])</f>
        <v>0</v>
      </c>
    </row>
    <row r="2724" spans="2:15" ht="15" x14ac:dyDescent="0.3">
      <c r="B2724" s="9">
        <f>[1]Discovery!A2730</f>
        <v>0</v>
      </c>
      <c r="C2724" s="9">
        <f>[1]Discovery!B2730</f>
        <v>0</v>
      </c>
      <c r="D2724" s="9">
        <f>[1]Discovery!E2730</f>
        <v>0</v>
      </c>
      <c r="E2724" s="9">
        <f>[1]Discovery!C2730</f>
        <v>0</v>
      </c>
      <c r="F2724" s="9">
        <f>[1]Discovery!G2730</f>
        <v>0</v>
      </c>
      <c r="G2724" s="9" t="str">
        <f>IFERROR(VLOOKUP(표1[[#This Row],[명칭]],'문화권 정리'!C:D,2,FALSE),"-")</f>
        <v>-</v>
      </c>
      <c r="H2724" s="38" t="str">
        <f>IFERROR(COUNTIF([2]OceanDoodad!$Y:$Y,표1[[#This Row],[명칭]]),"-")</f>
        <v>-</v>
      </c>
      <c r="I2724" s="38">
        <f>IFERROR(COUNTIF([1]AdventureDiscoveryGroup!$D$8:$AW$92,표1[[#This Row],[명칭]]),"-")</f>
        <v>0</v>
      </c>
      <c r="J2724" s="38">
        <f>IFERROR(COUNTIF([1]FishDiscoveryGroup!$A:$X,표1[[#This Row],[명칭]]),"-")</f>
        <v>0</v>
      </c>
      <c r="K2724" s="38" t="str">
        <f>IFERROR(COUNTIF([2]Town!$B:$B,표1[[#This Row],[명칭]]),"-")</f>
        <v>-</v>
      </c>
      <c r="L2724" s="38">
        <f>IFERROR(COUNTIF([1]Village!$BR:$BR,표1[[#This Row],[명칭]]),"-")</f>
        <v>0</v>
      </c>
      <c r="M2724" s="38">
        <f>COUNTIF(퀘스트!B:B,표1[[#This Row],[명칭]])</f>
        <v>0</v>
      </c>
      <c r="N2724" s="67">
        <f>COUNTIF([1]VillageDiscoveryGroup!$C:$C,표1[[#This Row],[명칭]])</f>
        <v>0</v>
      </c>
      <c r="O2724" s="67">
        <f>SUM(표1[[#This Row],[해양탐색]:[마을탐험]])</f>
        <v>0</v>
      </c>
    </row>
    <row r="2725" spans="2:15" ht="15" x14ac:dyDescent="0.3">
      <c r="B2725" s="9">
        <f>[1]Discovery!A2731</f>
        <v>0</v>
      </c>
      <c r="C2725" s="9">
        <f>[1]Discovery!B2731</f>
        <v>0</v>
      </c>
      <c r="D2725" s="9">
        <f>[1]Discovery!E2731</f>
        <v>0</v>
      </c>
      <c r="E2725" s="9">
        <f>[1]Discovery!C2731</f>
        <v>0</v>
      </c>
      <c r="F2725" s="9">
        <f>[1]Discovery!G2731</f>
        <v>0</v>
      </c>
      <c r="G2725" s="9" t="str">
        <f>IFERROR(VLOOKUP(표1[[#This Row],[명칭]],'문화권 정리'!C:D,2,FALSE),"-")</f>
        <v>-</v>
      </c>
      <c r="H2725" s="38" t="str">
        <f>IFERROR(COUNTIF([2]OceanDoodad!$Y:$Y,표1[[#This Row],[명칭]]),"-")</f>
        <v>-</v>
      </c>
      <c r="I2725" s="38">
        <f>IFERROR(COUNTIF([1]AdventureDiscoveryGroup!$D$8:$AW$92,표1[[#This Row],[명칭]]),"-")</f>
        <v>0</v>
      </c>
      <c r="J2725" s="38">
        <f>IFERROR(COUNTIF([1]FishDiscoveryGroup!$A:$X,표1[[#This Row],[명칭]]),"-")</f>
        <v>0</v>
      </c>
      <c r="K2725" s="38" t="str">
        <f>IFERROR(COUNTIF([2]Town!$B:$B,표1[[#This Row],[명칭]]),"-")</f>
        <v>-</v>
      </c>
      <c r="L2725" s="38">
        <f>IFERROR(COUNTIF([1]Village!$BR:$BR,표1[[#This Row],[명칭]]),"-")</f>
        <v>0</v>
      </c>
      <c r="M2725" s="38">
        <f>COUNTIF(퀘스트!B:B,표1[[#This Row],[명칭]])</f>
        <v>0</v>
      </c>
      <c r="N2725" s="67">
        <f>COUNTIF([1]VillageDiscoveryGroup!$C:$C,표1[[#This Row],[명칭]])</f>
        <v>0</v>
      </c>
      <c r="O2725" s="67">
        <f>SUM(표1[[#This Row],[해양탐색]:[마을탐험]])</f>
        <v>0</v>
      </c>
    </row>
    <row r="2726" spans="2:15" ht="15" x14ac:dyDescent="0.3">
      <c r="B2726" s="9">
        <f>[1]Discovery!A2732</f>
        <v>0</v>
      </c>
      <c r="C2726" s="9">
        <f>[1]Discovery!B2732</f>
        <v>0</v>
      </c>
      <c r="D2726" s="9">
        <f>[1]Discovery!E2732</f>
        <v>0</v>
      </c>
      <c r="E2726" s="9">
        <f>[1]Discovery!C2732</f>
        <v>0</v>
      </c>
      <c r="F2726" s="9">
        <f>[1]Discovery!G2732</f>
        <v>0</v>
      </c>
      <c r="G2726" s="9" t="str">
        <f>IFERROR(VLOOKUP(표1[[#This Row],[명칭]],'문화권 정리'!C:D,2,FALSE),"-")</f>
        <v>-</v>
      </c>
      <c r="H2726" s="38" t="str">
        <f>IFERROR(COUNTIF([2]OceanDoodad!$Y:$Y,표1[[#This Row],[명칭]]),"-")</f>
        <v>-</v>
      </c>
      <c r="I2726" s="38">
        <f>IFERROR(COUNTIF([1]AdventureDiscoveryGroup!$D$8:$AW$92,표1[[#This Row],[명칭]]),"-")</f>
        <v>0</v>
      </c>
      <c r="J2726" s="38">
        <f>IFERROR(COUNTIF([1]FishDiscoveryGroup!$A:$X,표1[[#This Row],[명칭]]),"-")</f>
        <v>0</v>
      </c>
      <c r="K2726" s="38" t="str">
        <f>IFERROR(COUNTIF([2]Town!$B:$B,표1[[#This Row],[명칭]]),"-")</f>
        <v>-</v>
      </c>
      <c r="L2726" s="38">
        <f>IFERROR(COUNTIF([1]Village!$BR:$BR,표1[[#This Row],[명칭]]),"-")</f>
        <v>0</v>
      </c>
      <c r="M2726" s="38">
        <f>COUNTIF(퀘스트!B:B,표1[[#This Row],[명칭]])</f>
        <v>0</v>
      </c>
      <c r="N2726" s="67">
        <f>COUNTIF([1]VillageDiscoveryGroup!$C:$C,표1[[#This Row],[명칭]])</f>
        <v>0</v>
      </c>
      <c r="O2726" s="67">
        <f>SUM(표1[[#This Row],[해양탐색]:[마을탐험]])</f>
        <v>0</v>
      </c>
    </row>
    <row r="2727" spans="2:15" ht="15" x14ac:dyDescent="0.3">
      <c r="B2727" s="9">
        <f>[1]Discovery!A2733</f>
        <v>0</v>
      </c>
      <c r="C2727" s="9">
        <f>[1]Discovery!B2733</f>
        <v>0</v>
      </c>
      <c r="D2727" s="9">
        <f>[1]Discovery!E2733</f>
        <v>0</v>
      </c>
      <c r="E2727" s="9">
        <f>[1]Discovery!C2733</f>
        <v>0</v>
      </c>
      <c r="F2727" s="9">
        <f>[1]Discovery!G2733</f>
        <v>0</v>
      </c>
      <c r="G2727" s="9" t="str">
        <f>IFERROR(VLOOKUP(표1[[#This Row],[명칭]],'문화권 정리'!C:D,2,FALSE),"-")</f>
        <v>-</v>
      </c>
      <c r="H2727" s="38" t="str">
        <f>IFERROR(COUNTIF([2]OceanDoodad!$Y:$Y,표1[[#This Row],[명칭]]),"-")</f>
        <v>-</v>
      </c>
      <c r="I2727" s="38">
        <f>IFERROR(COUNTIF([1]AdventureDiscoveryGroup!$D$8:$AW$92,표1[[#This Row],[명칭]]),"-")</f>
        <v>0</v>
      </c>
      <c r="J2727" s="38">
        <f>IFERROR(COUNTIF([1]FishDiscoveryGroup!$A:$X,표1[[#This Row],[명칭]]),"-")</f>
        <v>0</v>
      </c>
      <c r="K2727" s="38" t="str">
        <f>IFERROR(COUNTIF([2]Town!$B:$B,표1[[#This Row],[명칭]]),"-")</f>
        <v>-</v>
      </c>
      <c r="L2727" s="38">
        <f>IFERROR(COUNTIF([1]Village!$BR:$BR,표1[[#This Row],[명칭]]),"-")</f>
        <v>0</v>
      </c>
      <c r="M2727" s="38">
        <f>COUNTIF(퀘스트!B:B,표1[[#This Row],[명칭]])</f>
        <v>0</v>
      </c>
      <c r="N2727" s="67">
        <f>COUNTIF([1]VillageDiscoveryGroup!$C:$C,표1[[#This Row],[명칭]])</f>
        <v>0</v>
      </c>
      <c r="O2727" s="67">
        <f>SUM(표1[[#This Row],[해양탐색]:[마을탐험]])</f>
        <v>0</v>
      </c>
    </row>
    <row r="2728" spans="2:15" ht="15" x14ac:dyDescent="0.3">
      <c r="B2728" s="9">
        <f>[1]Discovery!A2734</f>
        <v>0</v>
      </c>
      <c r="C2728" s="9">
        <f>[1]Discovery!B2734</f>
        <v>0</v>
      </c>
      <c r="D2728" s="9">
        <f>[1]Discovery!E2734</f>
        <v>0</v>
      </c>
      <c r="E2728" s="9">
        <f>[1]Discovery!C2734</f>
        <v>0</v>
      </c>
      <c r="F2728" s="9">
        <f>[1]Discovery!G2734</f>
        <v>0</v>
      </c>
      <c r="G2728" s="9" t="str">
        <f>IFERROR(VLOOKUP(표1[[#This Row],[명칭]],'문화권 정리'!C:D,2,FALSE),"-")</f>
        <v>-</v>
      </c>
      <c r="H2728" s="38" t="str">
        <f>IFERROR(COUNTIF([2]OceanDoodad!$Y:$Y,표1[[#This Row],[명칭]]),"-")</f>
        <v>-</v>
      </c>
      <c r="I2728" s="38">
        <f>IFERROR(COUNTIF([1]AdventureDiscoveryGroup!$D$8:$AW$92,표1[[#This Row],[명칭]]),"-")</f>
        <v>0</v>
      </c>
      <c r="J2728" s="38">
        <f>IFERROR(COUNTIF([1]FishDiscoveryGroup!$A:$X,표1[[#This Row],[명칭]]),"-")</f>
        <v>0</v>
      </c>
      <c r="K2728" s="38" t="str">
        <f>IFERROR(COUNTIF([2]Town!$B:$B,표1[[#This Row],[명칭]]),"-")</f>
        <v>-</v>
      </c>
      <c r="L2728" s="38">
        <f>IFERROR(COUNTIF([1]Village!$BR:$BR,표1[[#This Row],[명칭]]),"-")</f>
        <v>0</v>
      </c>
      <c r="M2728" s="38">
        <f>COUNTIF(퀘스트!B:B,표1[[#This Row],[명칭]])</f>
        <v>0</v>
      </c>
      <c r="N2728" s="67">
        <f>COUNTIF([1]VillageDiscoveryGroup!$C:$C,표1[[#This Row],[명칭]])</f>
        <v>0</v>
      </c>
      <c r="O2728" s="67">
        <f>SUM(표1[[#This Row],[해양탐색]:[마을탐험]])</f>
        <v>0</v>
      </c>
    </row>
  </sheetData>
  <mergeCells count="1">
    <mergeCell ref="H1:M1"/>
  </mergeCells>
  <phoneticPr fontId="1" type="noConversion"/>
  <conditionalFormatting sqref="H3:O2728">
    <cfRule type="cellIs" dxfId="17" priority="1" operator="equal">
      <formula>"-"</formula>
    </cfRule>
    <cfRule type="cellIs" dxfId="16" priority="2" operator="equal">
      <formula>0</formula>
    </cfRule>
    <cfRule type="cellIs" dxfId="15" priority="3" operator="greaterThanOr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A4559-A498-42AB-B782-70E3B4912947}">
  <dimension ref="C1:K2720"/>
  <sheetViews>
    <sheetView topLeftCell="A2669" workbookViewId="0">
      <selection activeCell="H2712" sqref="H2712"/>
    </sheetView>
  </sheetViews>
  <sheetFormatPr defaultRowHeight="16.5" x14ac:dyDescent="0.3"/>
  <cols>
    <col min="3" max="3" width="33.125" bestFit="1" customWidth="1"/>
    <col min="4" max="4" width="13" style="1" bestFit="1" customWidth="1"/>
    <col min="11" max="11" width="13" bestFit="1" customWidth="1"/>
  </cols>
  <sheetData>
    <row r="1" spans="3:11" x14ac:dyDescent="0.3">
      <c r="C1" s="1" t="s">
        <v>2846</v>
      </c>
      <c r="D1" s="1" t="s">
        <v>2847</v>
      </c>
      <c r="F1" s="77" t="s">
        <v>2848</v>
      </c>
    </row>
    <row r="2" spans="3:11" x14ac:dyDescent="0.3">
      <c r="C2" s="1" t="s">
        <v>362</v>
      </c>
      <c r="D2" s="1" t="s">
        <v>11</v>
      </c>
      <c r="K2" t="s">
        <v>2864</v>
      </c>
    </row>
    <row r="3" spans="3:11" x14ac:dyDescent="0.3">
      <c r="C3" s="1" t="s">
        <v>363</v>
      </c>
      <c r="D3" s="1" t="s">
        <v>12</v>
      </c>
      <c r="K3" t="s">
        <v>12</v>
      </c>
    </row>
    <row r="4" spans="3:11" x14ac:dyDescent="0.3">
      <c r="C4" s="1" t="s">
        <v>364</v>
      </c>
      <c r="D4" s="1" t="s">
        <v>12</v>
      </c>
      <c r="K4" t="s">
        <v>20</v>
      </c>
    </row>
    <row r="5" spans="3:11" x14ac:dyDescent="0.3">
      <c r="C5" s="1" t="s">
        <v>365</v>
      </c>
      <c r="D5" s="1" t="s">
        <v>11</v>
      </c>
      <c r="K5" t="s">
        <v>22</v>
      </c>
    </row>
    <row r="6" spans="3:11" x14ac:dyDescent="0.3">
      <c r="C6" s="1" t="s">
        <v>366</v>
      </c>
      <c r="D6" s="1" t="s">
        <v>12</v>
      </c>
      <c r="K6" t="s">
        <v>18</v>
      </c>
    </row>
    <row r="7" spans="3:11" x14ac:dyDescent="0.3">
      <c r="C7" s="1" t="s">
        <v>367</v>
      </c>
      <c r="D7" s="1" t="s">
        <v>13</v>
      </c>
      <c r="K7" t="s">
        <v>26</v>
      </c>
    </row>
    <row r="8" spans="3:11" x14ac:dyDescent="0.3">
      <c r="C8" s="1" t="s">
        <v>368</v>
      </c>
      <c r="D8" s="1" t="s">
        <v>14</v>
      </c>
      <c r="K8" t="s">
        <v>27</v>
      </c>
    </row>
    <row r="9" spans="3:11" x14ac:dyDescent="0.3">
      <c r="C9" s="1" t="s">
        <v>369</v>
      </c>
      <c r="D9" s="1" t="s">
        <v>15</v>
      </c>
      <c r="K9" t="s">
        <v>25</v>
      </c>
    </row>
    <row r="10" spans="3:11" x14ac:dyDescent="0.3">
      <c r="C10" s="1" t="s">
        <v>370</v>
      </c>
      <c r="D10" s="1" t="s">
        <v>12</v>
      </c>
      <c r="K10" t="s">
        <v>16</v>
      </c>
    </row>
    <row r="11" spans="3:11" x14ac:dyDescent="0.3">
      <c r="C11" s="1" t="s">
        <v>304</v>
      </c>
      <c r="D11" s="1" t="s">
        <v>12</v>
      </c>
      <c r="K11" t="s">
        <v>13</v>
      </c>
    </row>
    <row r="12" spans="3:11" x14ac:dyDescent="0.3">
      <c r="C12" s="1" t="s">
        <v>305</v>
      </c>
      <c r="D12" s="1" t="s">
        <v>12</v>
      </c>
      <c r="K12" t="s">
        <v>17</v>
      </c>
    </row>
    <row r="13" spans="3:11" x14ac:dyDescent="0.3">
      <c r="C13" s="1" t="s">
        <v>306</v>
      </c>
      <c r="D13" s="1" t="s">
        <v>11</v>
      </c>
      <c r="K13" t="s">
        <v>11</v>
      </c>
    </row>
    <row r="14" spans="3:11" x14ac:dyDescent="0.3">
      <c r="C14" s="1" t="s">
        <v>371</v>
      </c>
      <c r="D14" s="1" t="s">
        <v>16</v>
      </c>
      <c r="K14" t="s">
        <v>24</v>
      </c>
    </row>
    <row r="15" spans="3:11" x14ac:dyDescent="0.3">
      <c r="C15" s="1" t="s">
        <v>372</v>
      </c>
      <c r="D15" s="1" t="s">
        <v>17</v>
      </c>
      <c r="K15" t="s">
        <v>21</v>
      </c>
    </row>
    <row r="16" spans="3:11" x14ac:dyDescent="0.3">
      <c r="C16" s="1" t="s">
        <v>373</v>
      </c>
      <c r="D16" s="1" t="s">
        <v>18</v>
      </c>
      <c r="K16" t="s">
        <v>19</v>
      </c>
    </row>
    <row r="17" spans="3:11" x14ac:dyDescent="0.3">
      <c r="C17" s="1" t="s">
        <v>374</v>
      </c>
      <c r="D17" s="1" t="s">
        <v>18</v>
      </c>
      <c r="K17" t="s">
        <v>15</v>
      </c>
    </row>
    <row r="18" spans="3:11" x14ac:dyDescent="0.3">
      <c r="C18" s="1" t="s">
        <v>375</v>
      </c>
      <c r="D18" s="1" t="s">
        <v>12</v>
      </c>
      <c r="K18" t="s">
        <v>23</v>
      </c>
    </row>
    <row r="19" spans="3:11" x14ac:dyDescent="0.3">
      <c r="C19" s="1" t="s">
        <v>376</v>
      </c>
      <c r="D19" s="1" t="s">
        <v>12</v>
      </c>
      <c r="K19" t="s">
        <v>14</v>
      </c>
    </row>
    <row r="20" spans="3:11" x14ac:dyDescent="0.3">
      <c r="C20" s="1" t="s">
        <v>377</v>
      </c>
      <c r="D20" s="1" t="s">
        <v>16</v>
      </c>
      <c r="K20" t="s">
        <v>28</v>
      </c>
    </row>
    <row r="21" spans="3:11" x14ac:dyDescent="0.3">
      <c r="C21" s="1" t="s">
        <v>378</v>
      </c>
      <c r="D21" s="1" t="s">
        <v>16</v>
      </c>
    </row>
    <row r="22" spans="3:11" x14ac:dyDescent="0.3">
      <c r="C22" s="1" t="s">
        <v>379</v>
      </c>
      <c r="D22" s="1" t="s">
        <v>12</v>
      </c>
    </row>
    <row r="23" spans="3:11" x14ac:dyDescent="0.3">
      <c r="C23" s="1" t="s">
        <v>380</v>
      </c>
      <c r="D23" s="1" t="s">
        <v>17</v>
      </c>
    </row>
    <row r="24" spans="3:11" x14ac:dyDescent="0.3">
      <c r="C24" s="1" t="s">
        <v>381</v>
      </c>
      <c r="D24" s="1" t="s">
        <v>12</v>
      </c>
    </row>
    <row r="25" spans="3:11" x14ac:dyDescent="0.3">
      <c r="C25" s="1" t="s">
        <v>266</v>
      </c>
      <c r="D25" s="1" t="s">
        <v>19</v>
      </c>
    </row>
    <row r="26" spans="3:11" x14ac:dyDescent="0.3">
      <c r="C26" s="1" t="s">
        <v>382</v>
      </c>
      <c r="D26" s="1" t="s">
        <v>18</v>
      </c>
    </row>
    <row r="27" spans="3:11" x14ac:dyDescent="0.3">
      <c r="C27" s="1" t="s">
        <v>383</v>
      </c>
      <c r="D27" s="1" t="s">
        <v>18</v>
      </c>
    </row>
    <row r="28" spans="3:11" x14ac:dyDescent="0.3">
      <c r="C28" s="1" t="s">
        <v>384</v>
      </c>
      <c r="D28" s="1" t="s">
        <v>17</v>
      </c>
    </row>
    <row r="29" spans="3:11" x14ac:dyDescent="0.3">
      <c r="C29" s="1" t="s">
        <v>385</v>
      </c>
      <c r="D29" s="1" t="s">
        <v>18</v>
      </c>
    </row>
    <row r="30" spans="3:11" x14ac:dyDescent="0.3">
      <c r="C30" s="1" t="s">
        <v>267</v>
      </c>
      <c r="D30" s="1" t="s">
        <v>12</v>
      </c>
    </row>
    <row r="31" spans="3:11" x14ac:dyDescent="0.3">
      <c r="C31" s="1" t="s">
        <v>307</v>
      </c>
      <c r="D31" s="1" t="s">
        <v>18</v>
      </c>
    </row>
    <row r="32" spans="3:11" x14ac:dyDescent="0.3">
      <c r="C32" s="1" t="s">
        <v>386</v>
      </c>
      <c r="D32" s="1" t="s">
        <v>20</v>
      </c>
    </row>
    <row r="33" spans="3:4" x14ac:dyDescent="0.3">
      <c r="C33" s="1" t="s">
        <v>387</v>
      </c>
      <c r="D33" s="1" t="s">
        <v>12</v>
      </c>
    </row>
    <row r="34" spans="3:4" x14ac:dyDescent="0.3">
      <c r="C34" s="1" t="s">
        <v>388</v>
      </c>
      <c r="D34" s="1" t="s">
        <v>21</v>
      </c>
    </row>
    <row r="35" spans="3:4" x14ac:dyDescent="0.3">
      <c r="C35" s="1" t="s">
        <v>389</v>
      </c>
      <c r="D35" s="1" t="s">
        <v>20</v>
      </c>
    </row>
    <row r="36" spans="3:4" x14ac:dyDescent="0.3">
      <c r="C36" s="1" t="s">
        <v>390</v>
      </c>
      <c r="D36" s="1" t="s">
        <v>12</v>
      </c>
    </row>
    <row r="37" spans="3:4" x14ac:dyDescent="0.3">
      <c r="C37" s="1" t="s">
        <v>391</v>
      </c>
      <c r="D37" s="1" t="s">
        <v>12</v>
      </c>
    </row>
    <row r="38" spans="3:4" x14ac:dyDescent="0.3">
      <c r="C38" s="1" t="s">
        <v>392</v>
      </c>
      <c r="D38" s="1" t="s">
        <v>14</v>
      </c>
    </row>
    <row r="39" spans="3:4" x14ac:dyDescent="0.3">
      <c r="C39" s="1" t="s">
        <v>393</v>
      </c>
      <c r="D39" s="1" t="s">
        <v>18</v>
      </c>
    </row>
    <row r="40" spans="3:4" x14ac:dyDescent="0.3">
      <c r="C40" s="1" t="s">
        <v>394</v>
      </c>
      <c r="D40" s="1" t="s">
        <v>18</v>
      </c>
    </row>
    <row r="41" spans="3:4" x14ac:dyDescent="0.3">
      <c r="C41" s="1" t="s">
        <v>225</v>
      </c>
      <c r="D41" s="1" t="s">
        <v>20</v>
      </c>
    </row>
    <row r="42" spans="3:4" x14ac:dyDescent="0.3">
      <c r="C42" s="1" t="s">
        <v>395</v>
      </c>
      <c r="D42" s="1" t="s">
        <v>11</v>
      </c>
    </row>
    <row r="43" spans="3:4" x14ac:dyDescent="0.3">
      <c r="C43" s="1" t="s">
        <v>396</v>
      </c>
      <c r="D43" s="1" t="s">
        <v>18</v>
      </c>
    </row>
    <row r="44" spans="3:4" x14ac:dyDescent="0.3">
      <c r="C44" s="1" t="s">
        <v>397</v>
      </c>
      <c r="D44" s="1" t="s">
        <v>12</v>
      </c>
    </row>
    <row r="45" spans="3:4" x14ac:dyDescent="0.3">
      <c r="C45" s="1" t="s">
        <v>226</v>
      </c>
      <c r="D45" s="1" t="s">
        <v>12</v>
      </c>
    </row>
    <row r="46" spans="3:4" x14ac:dyDescent="0.3">
      <c r="C46" s="1" t="s">
        <v>398</v>
      </c>
      <c r="D46" s="1" t="s">
        <v>18</v>
      </c>
    </row>
    <row r="47" spans="3:4" x14ac:dyDescent="0.3">
      <c r="C47" s="1" t="s">
        <v>399</v>
      </c>
      <c r="D47" s="1" t="s">
        <v>20</v>
      </c>
    </row>
    <row r="48" spans="3:4" x14ac:dyDescent="0.3">
      <c r="C48" s="1" t="s">
        <v>400</v>
      </c>
      <c r="D48" s="1" t="s">
        <v>20</v>
      </c>
    </row>
    <row r="49" spans="3:4" x14ac:dyDescent="0.3">
      <c r="C49" s="1" t="s">
        <v>401</v>
      </c>
      <c r="D49" s="1" t="s">
        <v>22</v>
      </c>
    </row>
    <row r="50" spans="3:4" x14ac:dyDescent="0.3">
      <c r="C50" s="1" t="s">
        <v>308</v>
      </c>
      <c r="D50" s="1" t="s">
        <v>11</v>
      </c>
    </row>
    <row r="51" spans="3:4" x14ac:dyDescent="0.3">
      <c r="C51" s="1" t="s">
        <v>402</v>
      </c>
      <c r="D51" s="1" t="s">
        <v>16</v>
      </c>
    </row>
    <row r="52" spans="3:4" x14ac:dyDescent="0.3">
      <c r="C52" s="1" t="s">
        <v>403</v>
      </c>
      <c r="D52" s="1" t="s">
        <v>11</v>
      </c>
    </row>
    <row r="53" spans="3:4" x14ac:dyDescent="0.3">
      <c r="C53" s="1" t="s">
        <v>404</v>
      </c>
      <c r="D53" s="1" t="s">
        <v>16</v>
      </c>
    </row>
    <row r="54" spans="3:4" x14ac:dyDescent="0.3">
      <c r="C54" s="1" t="s">
        <v>405</v>
      </c>
      <c r="D54" s="1" t="s">
        <v>11</v>
      </c>
    </row>
    <row r="55" spans="3:4" x14ac:dyDescent="0.3">
      <c r="C55" s="1" t="s">
        <v>406</v>
      </c>
      <c r="D55" s="1" t="s">
        <v>16</v>
      </c>
    </row>
    <row r="56" spans="3:4" x14ac:dyDescent="0.3">
      <c r="C56" s="1" t="s">
        <v>407</v>
      </c>
      <c r="D56" s="1" t="s">
        <v>12</v>
      </c>
    </row>
    <row r="57" spans="3:4" x14ac:dyDescent="0.3">
      <c r="C57" s="1" t="s">
        <v>309</v>
      </c>
      <c r="D57" s="1" t="s">
        <v>18</v>
      </c>
    </row>
    <row r="58" spans="3:4" x14ac:dyDescent="0.3">
      <c r="C58" s="1" t="s">
        <v>408</v>
      </c>
      <c r="D58" s="1" t="s">
        <v>12</v>
      </c>
    </row>
    <row r="59" spans="3:4" x14ac:dyDescent="0.3">
      <c r="C59" s="1" t="s">
        <v>268</v>
      </c>
      <c r="D59" s="1" t="s">
        <v>11</v>
      </c>
    </row>
    <row r="60" spans="3:4" x14ac:dyDescent="0.3">
      <c r="C60" s="1" t="s">
        <v>269</v>
      </c>
      <c r="D60" s="1" t="s">
        <v>11</v>
      </c>
    </row>
    <row r="61" spans="3:4" x14ac:dyDescent="0.3">
      <c r="C61" s="1" t="s">
        <v>409</v>
      </c>
      <c r="D61" s="1" t="s">
        <v>16</v>
      </c>
    </row>
    <row r="62" spans="3:4" x14ac:dyDescent="0.3">
      <c r="C62" s="1" t="s">
        <v>410</v>
      </c>
      <c r="D62" s="1" t="s">
        <v>16</v>
      </c>
    </row>
    <row r="63" spans="3:4" x14ac:dyDescent="0.3">
      <c r="C63" s="1" t="s">
        <v>411</v>
      </c>
      <c r="D63" s="1" t="s">
        <v>16</v>
      </c>
    </row>
    <row r="64" spans="3:4" x14ac:dyDescent="0.3">
      <c r="C64" s="1" t="s">
        <v>310</v>
      </c>
      <c r="D64" s="1" t="s">
        <v>12</v>
      </c>
    </row>
    <row r="65" spans="3:4" x14ac:dyDescent="0.3">
      <c r="C65" s="1" t="s">
        <v>412</v>
      </c>
      <c r="D65" s="1" t="s">
        <v>16</v>
      </c>
    </row>
    <row r="66" spans="3:4" x14ac:dyDescent="0.3">
      <c r="C66" s="1" t="s">
        <v>311</v>
      </c>
      <c r="D66" s="1" t="s">
        <v>12</v>
      </c>
    </row>
    <row r="67" spans="3:4" x14ac:dyDescent="0.3">
      <c r="C67" s="1" t="s">
        <v>413</v>
      </c>
      <c r="D67" s="1" t="s">
        <v>12</v>
      </c>
    </row>
    <row r="68" spans="3:4" x14ac:dyDescent="0.3">
      <c r="C68" s="1" t="s">
        <v>414</v>
      </c>
      <c r="D68" s="1" t="s">
        <v>17</v>
      </c>
    </row>
    <row r="69" spans="3:4" x14ac:dyDescent="0.3">
      <c r="C69" s="1" t="s">
        <v>227</v>
      </c>
      <c r="D69" s="1" t="s">
        <v>12</v>
      </c>
    </row>
    <row r="70" spans="3:4" x14ac:dyDescent="0.3">
      <c r="C70" s="1" t="s">
        <v>415</v>
      </c>
      <c r="D70" s="1" t="s">
        <v>12</v>
      </c>
    </row>
    <row r="71" spans="3:4" x14ac:dyDescent="0.3">
      <c r="C71" s="1" t="s">
        <v>416</v>
      </c>
      <c r="D71" s="1" t="s">
        <v>17</v>
      </c>
    </row>
    <row r="72" spans="3:4" x14ac:dyDescent="0.3">
      <c r="C72" s="1" t="s">
        <v>417</v>
      </c>
      <c r="D72" s="1" t="s">
        <v>16</v>
      </c>
    </row>
    <row r="73" spans="3:4" x14ac:dyDescent="0.3">
      <c r="C73" s="1" t="s">
        <v>418</v>
      </c>
      <c r="D73" s="1" t="s">
        <v>18</v>
      </c>
    </row>
    <row r="74" spans="3:4" x14ac:dyDescent="0.3">
      <c r="C74" s="1" t="s">
        <v>419</v>
      </c>
      <c r="D74" s="1" t="s">
        <v>12</v>
      </c>
    </row>
    <row r="75" spans="3:4" x14ac:dyDescent="0.3">
      <c r="C75" s="1" t="s">
        <v>420</v>
      </c>
      <c r="D75" s="1" t="s">
        <v>12</v>
      </c>
    </row>
    <row r="76" spans="3:4" x14ac:dyDescent="0.3">
      <c r="C76" s="1" t="s">
        <v>421</v>
      </c>
      <c r="D76" s="1" t="s">
        <v>12</v>
      </c>
    </row>
    <row r="77" spans="3:4" x14ac:dyDescent="0.3">
      <c r="C77" s="1" t="s">
        <v>422</v>
      </c>
      <c r="D77" s="1" t="s">
        <v>16</v>
      </c>
    </row>
    <row r="78" spans="3:4" x14ac:dyDescent="0.3">
      <c r="C78" s="1" t="s">
        <v>423</v>
      </c>
      <c r="D78" s="1" t="s">
        <v>16</v>
      </c>
    </row>
    <row r="79" spans="3:4" x14ac:dyDescent="0.3">
      <c r="C79" s="1" t="s">
        <v>312</v>
      </c>
      <c r="D79" s="1" t="s">
        <v>12</v>
      </c>
    </row>
    <row r="80" spans="3:4" x14ac:dyDescent="0.3">
      <c r="C80" s="1" t="s">
        <v>424</v>
      </c>
      <c r="D80" s="1" t="s">
        <v>12</v>
      </c>
    </row>
    <row r="81" spans="3:4" x14ac:dyDescent="0.3">
      <c r="C81" s="1" t="s">
        <v>425</v>
      </c>
      <c r="D81" s="1" t="s">
        <v>12</v>
      </c>
    </row>
    <row r="82" spans="3:4" x14ac:dyDescent="0.3">
      <c r="C82" s="1" t="s">
        <v>313</v>
      </c>
      <c r="D82" s="1" t="s">
        <v>12</v>
      </c>
    </row>
    <row r="83" spans="3:4" x14ac:dyDescent="0.3">
      <c r="C83" s="1" t="s">
        <v>426</v>
      </c>
      <c r="D83" s="1" t="s">
        <v>11</v>
      </c>
    </row>
    <row r="84" spans="3:4" x14ac:dyDescent="0.3">
      <c r="C84" s="1" t="s">
        <v>427</v>
      </c>
      <c r="D84" s="1" t="s">
        <v>11</v>
      </c>
    </row>
    <row r="85" spans="3:4" x14ac:dyDescent="0.3">
      <c r="C85" s="1" t="s">
        <v>428</v>
      </c>
      <c r="D85" s="1" t="s">
        <v>11</v>
      </c>
    </row>
    <row r="86" spans="3:4" x14ac:dyDescent="0.3">
      <c r="C86" s="1" t="s">
        <v>429</v>
      </c>
      <c r="D86" s="1" t="s">
        <v>16</v>
      </c>
    </row>
    <row r="87" spans="3:4" x14ac:dyDescent="0.3">
      <c r="C87" s="1" t="s">
        <v>430</v>
      </c>
      <c r="D87" s="1" t="s">
        <v>16</v>
      </c>
    </row>
    <row r="88" spans="3:4" x14ac:dyDescent="0.3">
      <c r="C88" s="1" t="s">
        <v>431</v>
      </c>
      <c r="D88" s="1" t="s">
        <v>12</v>
      </c>
    </row>
    <row r="89" spans="3:4" x14ac:dyDescent="0.3">
      <c r="C89" s="1" t="s">
        <v>241</v>
      </c>
      <c r="D89" s="1" t="s">
        <v>22</v>
      </c>
    </row>
    <row r="90" spans="3:4" x14ac:dyDescent="0.3">
      <c r="C90" s="1" t="s">
        <v>432</v>
      </c>
      <c r="D90" s="1" t="s">
        <v>11</v>
      </c>
    </row>
    <row r="91" spans="3:4" x14ac:dyDescent="0.3">
      <c r="C91" s="1" t="s">
        <v>433</v>
      </c>
      <c r="D91" s="1" t="s">
        <v>11</v>
      </c>
    </row>
    <row r="92" spans="3:4" x14ac:dyDescent="0.3">
      <c r="C92" s="1" t="s">
        <v>315</v>
      </c>
      <c r="D92" s="1" t="s">
        <v>12</v>
      </c>
    </row>
    <row r="93" spans="3:4" x14ac:dyDescent="0.3">
      <c r="C93" s="1" t="s">
        <v>434</v>
      </c>
      <c r="D93" s="1" t="s">
        <v>15</v>
      </c>
    </row>
    <row r="94" spans="3:4" x14ac:dyDescent="0.3">
      <c r="C94" s="1" t="s">
        <v>316</v>
      </c>
      <c r="D94" s="1" t="s">
        <v>18</v>
      </c>
    </row>
    <row r="95" spans="3:4" x14ac:dyDescent="0.3">
      <c r="C95" s="1" t="s">
        <v>435</v>
      </c>
      <c r="D95" s="1" t="s">
        <v>12</v>
      </c>
    </row>
    <row r="96" spans="3:4" x14ac:dyDescent="0.3">
      <c r="C96" s="1" t="s">
        <v>317</v>
      </c>
      <c r="D96" s="1" t="s">
        <v>12</v>
      </c>
    </row>
    <row r="97" spans="3:4" x14ac:dyDescent="0.3">
      <c r="C97" s="1" t="s">
        <v>436</v>
      </c>
      <c r="D97" s="1" t="s">
        <v>23</v>
      </c>
    </row>
    <row r="98" spans="3:4" x14ac:dyDescent="0.3">
      <c r="C98" s="1" t="s">
        <v>437</v>
      </c>
      <c r="D98" s="1" t="s">
        <v>16</v>
      </c>
    </row>
    <row r="99" spans="3:4" x14ac:dyDescent="0.3">
      <c r="C99" s="1" t="s">
        <v>438</v>
      </c>
      <c r="D99" s="1" t="s">
        <v>11</v>
      </c>
    </row>
    <row r="100" spans="3:4" x14ac:dyDescent="0.3">
      <c r="C100" s="1" t="s">
        <v>439</v>
      </c>
      <c r="D100" s="1" t="s">
        <v>12</v>
      </c>
    </row>
    <row r="101" spans="3:4" x14ac:dyDescent="0.3">
      <c r="C101" s="1" t="s">
        <v>440</v>
      </c>
      <c r="D101" s="1" t="s">
        <v>16</v>
      </c>
    </row>
    <row r="102" spans="3:4" x14ac:dyDescent="0.3">
      <c r="C102" s="1" t="s">
        <v>441</v>
      </c>
      <c r="D102" s="1" t="s">
        <v>16</v>
      </c>
    </row>
    <row r="103" spans="3:4" x14ac:dyDescent="0.3">
      <c r="C103" s="1" t="s">
        <v>318</v>
      </c>
      <c r="D103" s="1" t="s">
        <v>12</v>
      </c>
    </row>
    <row r="104" spans="3:4" x14ac:dyDescent="0.3">
      <c r="C104" s="1" t="s">
        <v>442</v>
      </c>
      <c r="D104" s="1" t="s">
        <v>19</v>
      </c>
    </row>
    <row r="105" spans="3:4" x14ac:dyDescent="0.3">
      <c r="C105" s="1" t="s">
        <v>443</v>
      </c>
      <c r="D105" s="1" t="s">
        <v>18</v>
      </c>
    </row>
    <row r="106" spans="3:4" x14ac:dyDescent="0.3">
      <c r="C106" s="1" t="s">
        <v>444</v>
      </c>
      <c r="D106" s="1" t="s">
        <v>18</v>
      </c>
    </row>
    <row r="107" spans="3:4" x14ac:dyDescent="0.3">
      <c r="C107" s="1" t="s">
        <v>445</v>
      </c>
      <c r="D107" s="1" t="s">
        <v>18</v>
      </c>
    </row>
    <row r="108" spans="3:4" x14ac:dyDescent="0.3">
      <c r="C108" s="1" t="s">
        <v>446</v>
      </c>
      <c r="D108" s="1" t="s">
        <v>11</v>
      </c>
    </row>
    <row r="109" spans="3:4" x14ac:dyDescent="0.3">
      <c r="C109" s="1" t="s">
        <v>447</v>
      </c>
      <c r="D109" s="1" t="s">
        <v>14</v>
      </c>
    </row>
    <row r="110" spans="3:4" x14ac:dyDescent="0.3">
      <c r="C110" s="1" t="s">
        <v>319</v>
      </c>
      <c r="D110" s="1" t="s">
        <v>11</v>
      </c>
    </row>
    <row r="111" spans="3:4" x14ac:dyDescent="0.3">
      <c r="C111" s="1" t="s">
        <v>448</v>
      </c>
      <c r="D111" s="1" t="s">
        <v>11</v>
      </c>
    </row>
    <row r="112" spans="3:4" x14ac:dyDescent="0.3">
      <c r="C112" s="1" t="s">
        <v>449</v>
      </c>
      <c r="D112" s="1" t="s">
        <v>11</v>
      </c>
    </row>
    <row r="113" spans="3:4" x14ac:dyDescent="0.3">
      <c r="C113" s="1" t="s">
        <v>228</v>
      </c>
      <c r="D113" s="1" t="s">
        <v>11</v>
      </c>
    </row>
    <row r="114" spans="3:4" x14ac:dyDescent="0.3">
      <c r="C114" s="1" t="s">
        <v>450</v>
      </c>
      <c r="D114" s="1" t="s">
        <v>11</v>
      </c>
    </row>
    <row r="115" spans="3:4" x14ac:dyDescent="0.3">
      <c r="C115" s="1" t="s">
        <v>451</v>
      </c>
      <c r="D115" s="1" t="s">
        <v>16</v>
      </c>
    </row>
    <row r="116" spans="3:4" x14ac:dyDescent="0.3">
      <c r="C116" s="1" t="s">
        <v>452</v>
      </c>
      <c r="D116" s="1" t="s">
        <v>11</v>
      </c>
    </row>
    <row r="117" spans="3:4" x14ac:dyDescent="0.3">
      <c r="C117" s="1" t="s">
        <v>453</v>
      </c>
      <c r="D117" s="1" t="s">
        <v>14</v>
      </c>
    </row>
    <row r="118" spans="3:4" x14ac:dyDescent="0.3">
      <c r="C118" s="1" t="s">
        <v>242</v>
      </c>
      <c r="D118" s="1" t="s">
        <v>13</v>
      </c>
    </row>
    <row r="119" spans="3:4" x14ac:dyDescent="0.3">
      <c r="C119" s="1" t="s">
        <v>454</v>
      </c>
      <c r="D119" s="1" t="s">
        <v>11</v>
      </c>
    </row>
    <row r="120" spans="3:4" x14ac:dyDescent="0.3">
      <c r="C120" s="1" t="s">
        <v>455</v>
      </c>
      <c r="D120" s="1" t="s">
        <v>18</v>
      </c>
    </row>
    <row r="121" spans="3:4" x14ac:dyDescent="0.3">
      <c r="C121" s="1" t="s">
        <v>456</v>
      </c>
      <c r="D121" s="1" t="s">
        <v>12</v>
      </c>
    </row>
    <row r="122" spans="3:4" x14ac:dyDescent="0.3">
      <c r="C122" s="1" t="s">
        <v>457</v>
      </c>
      <c r="D122" s="1" t="s">
        <v>18</v>
      </c>
    </row>
    <row r="123" spans="3:4" x14ac:dyDescent="0.3">
      <c r="C123" s="1" t="s">
        <v>458</v>
      </c>
      <c r="D123" s="1" t="s">
        <v>12</v>
      </c>
    </row>
    <row r="124" spans="3:4" x14ac:dyDescent="0.3">
      <c r="C124" s="1" t="s">
        <v>459</v>
      </c>
      <c r="D124" s="1" t="s">
        <v>12</v>
      </c>
    </row>
    <row r="125" spans="3:4" x14ac:dyDescent="0.3">
      <c r="C125" s="1" t="s">
        <v>460</v>
      </c>
      <c r="D125" s="1" t="s">
        <v>23</v>
      </c>
    </row>
    <row r="126" spans="3:4" x14ac:dyDescent="0.3">
      <c r="C126" s="1" t="s">
        <v>461</v>
      </c>
      <c r="D126" s="1" t="s">
        <v>12</v>
      </c>
    </row>
    <row r="127" spans="3:4" x14ac:dyDescent="0.3">
      <c r="C127" s="1" t="s">
        <v>462</v>
      </c>
      <c r="D127" s="1" t="s">
        <v>12</v>
      </c>
    </row>
    <row r="128" spans="3:4" x14ac:dyDescent="0.3">
      <c r="C128" s="1" t="s">
        <v>321</v>
      </c>
      <c r="D128" s="1" t="s">
        <v>11</v>
      </c>
    </row>
    <row r="129" spans="3:4" x14ac:dyDescent="0.3">
      <c r="C129" s="1" t="s">
        <v>463</v>
      </c>
      <c r="D129" s="1" t="s">
        <v>24</v>
      </c>
    </row>
    <row r="130" spans="3:4" x14ac:dyDescent="0.3">
      <c r="C130" s="1" t="s">
        <v>464</v>
      </c>
      <c r="D130" s="1" t="s">
        <v>18</v>
      </c>
    </row>
    <row r="131" spans="3:4" x14ac:dyDescent="0.3">
      <c r="C131" s="1" t="s">
        <v>322</v>
      </c>
      <c r="D131" s="1" t="s">
        <v>18</v>
      </c>
    </row>
    <row r="132" spans="3:4" x14ac:dyDescent="0.3">
      <c r="C132" s="1" t="s">
        <v>465</v>
      </c>
      <c r="D132" s="1" t="s">
        <v>12</v>
      </c>
    </row>
    <row r="133" spans="3:4" x14ac:dyDescent="0.3">
      <c r="C133" s="1" t="s">
        <v>466</v>
      </c>
      <c r="D133" s="1" t="s">
        <v>12</v>
      </c>
    </row>
    <row r="134" spans="3:4" x14ac:dyDescent="0.3">
      <c r="C134" s="1" t="s">
        <v>467</v>
      </c>
      <c r="D134" s="1" t="s">
        <v>16</v>
      </c>
    </row>
    <row r="135" spans="3:4" x14ac:dyDescent="0.3">
      <c r="C135" s="1" t="s">
        <v>468</v>
      </c>
      <c r="D135" s="1" t="s">
        <v>18</v>
      </c>
    </row>
    <row r="136" spans="3:4" x14ac:dyDescent="0.3">
      <c r="C136" s="1" t="s">
        <v>469</v>
      </c>
      <c r="D136" s="1" t="s">
        <v>18</v>
      </c>
    </row>
    <row r="137" spans="3:4" x14ac:dyDescent="0.3">
      <c r="C137" s="1" t="s">
        <v>470</v>
      </c>
      <c r="D137" s="1" t="s">
        <v>15</v>
      </c>
    </row>
    <row r="138" spans="3:4" x14ac:dyDescent="0.3">
      <c r="C138" s="1" t="s">
        <v>471</v>
      </c>
      <c r="D138" s="1" t="s">
        <v>12</v>
      </c>
    </row>
    <row r="139" spans="3:4" x14ac:dyDescent="0.3">
      <c r="C139" s="1" t="s">
        <v>472</v>
      </c>
      <c r="D139" s="1" t="s">
        <v>15</v>
      </c>
    </row>
    <row r="140" spans="3:4" x14ac:dyDescent="0.3">
      <c r="C140" s="1" t="s">
        <v>473</v>
      </c>
      <c r="D140" s="1" t="s">
        <v>23</v>
      </c>
    </row>
    <row r="141" spans="3:4" x14ac:dyDescent="0.3">
      <c r="C141" s="1" t="s">
        <v>474</v>
      </c>
      <c r="D141" s="1" t="s">
        <v>16</v>
      </c>
    </row>
    <row r="142" spans="3:4" x14ac:dyDescent="0.3">
      <c r="C142" s="1" t="s">
        <v>323</v>
      </c>
      <c r="D142" s="1" t="s">
        <v>18</v>
      </c>
    </row>
    <row r="143" spans="3:4" x14ac:dyDescent="0.3">
      <c r="C143" s="1" t="s">
        <v>475</v>
      </c>
      <c r="D143" s="1" t="s">
        <v>18</v>
      </c>
    </row>
    <row r="144" spans="3:4" x14ac:dyDescent="0.3">
      <c r="C144" s="1" t="s">
        <v>476</v>
      </c>
      <c r="D144" s="1" t="s">
        <v>12</v>
      </c>
    </row>
    <row r="145" spans="3:4" x14ac:dyDescent="0.3">
      <c r="C145" s="1" t="s">
        <v>477</v>
      </c>
      <c r="D145" s="1" t="s">
        <v>11</v>
      </c>
    </row>
    <row r="146" spans="3:4" x14ac:dyDescent="0.3">
      <c r="C146" s="1" t="s">
        <v>478</v>
      </c>
      <c r="D146" s="1" t="s">
        <v>23</v>
      </c>
    </row>
    <row r="147" spans="3:4" x14ac:dyDescent="0.3">
      <c r="C147" s="1" t="s">
        <v>479</v>
      </c>
      <c r="D147" s="1" t="s">
        <v>23</v>
      </c>
    </row>
    <row r="148" spans="3:4" x14ac:dyDescent="0.3">
      <c r="C148" s="1" t="s">
        <v>480</v>
      </c>
      <c r="D148" s="1" t="s">
        <v>23</v>
      </c>
    </row>
    <row r="149" spans="3:4" x14ac:dyDescent="0.3">
      <c r="C149" s="1" t="s">
        <v>481</v>
      </c>
      <c r="D149" s="1" t="s">
        <v>18</v>
      </c>
    </row>
    <row r="150" spans="3:4" x14ac:dyDescent="0.3">
      <c r="C150" s="1" t="s">
        <v>482</v>
      </c>
      <c r="D150" s="1" t="s">
        <v>18</v>
      </c>
    </row>
    <row r="151" spans="3:4" x14ac:dyDescent="0.3">
      <c r="C151" s="1" t="s">
        <v>483</v>
      </c>
      <c r="D151" s="1" t="s">
        <v>12</v>
      </c>
    </row>
    <row r="152" spans="3:4" x14ac:dyDescent="0.3">
      <c r="C152" s="1" t="s">
        <v>484</v>
      </c>
      <c r="D152" s="1" t="s">
        <v>11</v>
      </c>
    </row>
    <row r="153" spans="3:4" x14ac:dyDescent="0.3">
      <c r="C153" s="1" t="s">
        <v>277</v>
      </c>
      <c r="D153" s="1" t="s">
        <v>16</v>
      </c>
    </row>
    <row r="154" spans="3:4" x14ac:dyDescent="0.3">
      <c r="C154" s="1" t="s">
        <v>281</v>
      </c>
      <c r="D154" s="1" t="s">
        <v>20</v>
      </c>
    </row>
    <row r="155" spans="3:4" x14ac:dyDescent="0.3">
      <c r="C155" s="1" t="s">
        <v>485</v>
      </c>
      <c r="D155" s="1" t="s">
        <v>11</v>
      </c>
    </row>
    <row r="156" spans="3:4" x14ac:dyDescent="0.3">
      <c r="C156" s="1" t="s">
        <v>486</v>
      </c>
      <c r="D156" s="1" t="s">
        <v>11</v>
      </c>
    </row>
    <row r="157" spans="3:4" x14ac:dyDescent="0.3">
      <c r="C157" s="1" t="s">
        <v>487</v>
      </c>
      <c r="D157" s="1" t="s">
        <v>11</v>
      </c>
    </row>
    <row r="158" spans="3:4" x14ac:dyDescent="0.3">
      <c r="C158" s="1" t="s">
        <v>288</v>
      </c>
      <c r="D158" s="1" t="s">
        <v>12</v>
      </c>
    </row>
    <row r="159" spans="3:4" x14ac:dyDescent="0.3">
      <c r="C159" s="1" t="s">
        <v>488</v>
      </c>
      <c r="D159" s="1" t="s">
        <v>12</v>
      </c>
    </row>
    <row r="160" spans="3:4" x14ac:dyDescent="0.3">
      <c r="C160" s="1" t="s">
        <v>489</v>
      </c>
      <c r="D160" s="1" t="s">
        <v>12</v>
      </c>
    </row>
    <row r="161" spans="3:4" x14ac:dyDescent="0.3">
      <c r="C161" s="1" t="s">
        <v>490</v>
      </c>
      <c r="D161" s="1" t="s">
        <v>12</v>
      </c>
    </row>
    <row r="162" spans="3:4" x14ac:dyDescent="0.3">
      <c r="C162" s="1" t="s">
        <v>327</v>
      </c>
      <c r="D162" s="1" t="s">
        <v>12</v>
      </c>
    </row>
    <row r="163" spans="3:4" x14ac:dyDescent="0.3">
      <c r="C163" s="1" t="s">
        <v>491</v>
      </c>
      <c r="D163" s="1" t="s">
        <v>22</v>
      </c>
    </row>
    <row r="164" spans="3:4" x14ac:dyDescent="0.3">
      <c r="C164" s="1" t="s">
        <v>314</v>
      </c>
      <c r="D164" s="1" t="s">
        <v>11</v>
      </c>
    </row>
    <row r="165" spans="3:4" x14ac:dyDescent="0.3">
      <c r="C165" s="1" t="s">
        <v>329</v>
      </c>
      <c r="D165" s="1" t="s">
        <v>17</v>
      </c>
    </row>
    <row r="166" spans="3:4" x14ac:dyDescent="0.3">
      <c r="C166" s="1" t="s">
        <v>330</v>
      </c>
      <c r="D166" s="1" t="s">
        <v>17</v>
      </c>
    </row>
    <row r="167" spans="3:4" x14ac:dyDescent="0.3">
      <c r="C167" s="1" t="s">
        <v>492</v>
      </c>
      <c r="D167" s="1" t="s">
        <v>11</v>
      </c>
    </row>
    <row r="168" spans="3:4" x14ac:dyDescent="0.3">
      <c r="C168" s="1" t="s">
        <v>493</v>
      </c>
      <c r="D168" s="1" t="s">
        <v>16</v>
      </c>
    </row>
    <row r="169" spans="3:4" x14ac:dyDescent="0.3">
      <c r="C169" s="1" t="s">
        <v>494</v>
      </c>
      <c r="D169" s="1" t="s">
        <v>13</v>
      </c>
    </row>
    <row r="170" spans="3:4" x14ac:dyDescent="0.3">
      <c r="C170" s="1" t="s">
        <v>495</v>
      </c>
      <c r="D170" s="1" t="s">
        <v>11</v>
      </c>
    </row>
    <row r="171" spans="3:4" x14ac:dyDescent="0.3">
      <c r="C171" s="1" t="s">
        <v>496</v>
      </c>
      <c r="D171" s="1" t="s">
        <v>16</v>
      </c>
    </row>
    <row r="172" spans="3:4" x14ac:dyDescent="0.3">
      <c r="C172" s="1" t="s">
        <v>497</v>
      </c>
      <c r="D172" s="1" t="s">
        <v>13</v>
      </c>
    </row>
    <row r="173" spans="3:4" x14ac:dyDescent="0.3">
      <c r="C173" s="1" t="s">
        <v>498</v>
      </c>
      <c r="D173" s="1" t="s">
        <v>11</v>
      </c>
    </row>
    <row r="174" spans="3:4" x14ac:dyDescent="0.3">
      <c r="C174" s="1" t="s">
        <v>499</v>
      </c>
      <c r="D174" s="1" t="s">
        <v>17</v>
      </c>
    </row>
    <row r="175" spans="3:4" x14ac:dyDescent="0.3">
      <c r="C175" s="1" t="s">
        <v>500</v>
      </c>
      <c r="D175" s="1" t="s">
        <v>17</v>
      </c>
    </row>
    <row r="176" spans="3:4" x14ac:dyDescent="0.3">
      <c r="C176" s="1" t="s">
        <v>501</v>
      </c>
      <c r="D176" s="1" t="s">
        <v>11</v>
      </c>
    </row>
    <row r="177" spans="3:4" x14ac:dyDescent="0.3">
      <c r="C177" s="1" t="s">
        <v>502</v>
      </c>
      <c r="D177" s="1" t="s">
        <v>25</v>
      </c>
    </row>
    <row r="178" spans="3:4" x14ac:dyDescent="0.3">
      <c r="C178" s="1" t="s">
        <v>503</v>
      </c>
      <c r="D178" s="1" t="s">
        <v>25</v>
      </c>
    </row>
    <row r="179" spans="3:4" x14ac:dyDescent="0.3">
      <c r="C179" s="1" t="s">
        <v>504</v>
      </c>
      <c r="D179" s="1" t="s">
        <v>18</v>
      </c>
    </row>
    <row r="180" spans="3:4" x14ac:dyDescent="0.3">
      <c r="C180" s="1" t="s">
        <v>270</v>
      </c>
      <c r="D180" s="1" t="s">
        <v>11</v>
      </c>
    </row>
    <row r="181" spans="3:4" x14ac:dyDescent="0.3">
      <c r="C181" s="1" t="s">
        <v>244</v>
      </c>
      <c r="D181" s="1" t="s">
        <v>20</v>
      </c>
    </row>
    <row r="182" spans="3:4" x14ac:dyDescent="0.3">
      <c r="C182" s="1" t="s">
        <v>505</v>
      </c>
      <c r="D182" s="1" t="s">
        <v>26</v>
      </c>
    </row>
    <row r="183" spans="3:4" x14ac:dyDescent="0.3">
      <c r="C183" s="1" t="s">
        <v>506</v>
      </c>
      <c r="D183" s="1" t="s">
        <v>16</v>
      </c>
    </row>
    <row r="184" spans="3:4" x14ac:dyDescent="0.3">
      <c r="C184" s="1" t="s">
        <v>507</v>
      </c>
      <c r="D184" s="1" t="s">
        <v>12</v>
      </c>
    </row>
    <row r="185" spans="3:4" x14ac:dyDescent="0.3">
      <c r="C185" s="1" t="s">
        <v>332</v>
      </c>
      <c r="D185" s="1" t="s">
        <v>11</v>
      </c>
    </row>
    <row r="186" spans="3:4" x14ac:dyDescent="0.3">
      <c r="C186" s="1" t="s">
        <v>508</v>
      </c>
      <c r="D186" s="1" t="s">
        <v>17</v>
      </c>
    </row>
    <row r="187" spans="3:4" x14ac:dyDescent="0.3">
      <c r="C187" s="1" t="s">
        <v>509</v>
      </c>
      <c r="D187" s="1" t="s">
        <v>17</v>
      </c>
    </row>
    <row r="188" spans="3:4" x14ac:dyDescent="0.3">
      <c r="C188" s="1" t="s">
        <v>510</v>
      </c>
      <c r="D188" s="1" t="s">
        <v>17</v>
      </c>
    </row>
    <row r="189" spans="3:4" x14ac:dyDescent="0.3">
      <c r="C189" s="1" t="s">
        <v>511</v>
      </c>
      <c r="D189" s="1" t="s">
        <v>14</v>
      </c>
    </row>
    <row r="190" spans="3:4" x14ac:dyDescent="0.3">
      <c r="C190" s="1" t="s">
        <v>229</v>
      </c>
      <c r="D190" s="1" t="s">
        <v>16</v>
      </c>
    </row>
    <row r="191" spans="3:4" x14ac:dyDescent="0.3">
      <c r="C191" s="1" t="s">
        <v>271</v>
      </c>
      <c r="D191" s="1" t="s">
        <v>17</v>
      </c>
    </row>
    <row r="192" spans="3:4" x14ac:dyDescent="0.3">
      <c r="C192" s="1" t="s">
        <v>512</v>
      </c>
      <c r="D192" s="1" t="s">
        <v>17</v>
      </c>
    </row>
    <row r="193" spans="3:4" x14ac:dyDescent="0.3">
      <c r="C193" s="1" t="s">
        <v>513</v>
      </c>
      <c r="D193" s="1" t="s">
        <v>11</v>
      </c>
    </row>
    <row r="194" spans="3:4" x14ac:dyDescent="0.3">
      <c r="C194" s="1" t="s">
        <v>514</v>
      </c>
      <c r="D194" s="1" t="s">
        <v>21</v>
      </c>
    </row>
    <row r="195" spans="3:4" x14ac:dyDescent="0.3">
      <c r="C195" s="1" t="s">
        <v>515</v>
      </c>
      <c r="D195" s="1" t="s">
        <v>13</v>
      </c>
    </row>
    <row r="196" spans="3:4" x14ac:dyDescent="0.3">
      <c r="C196" s="1" t="s">
        <v>516</v>
      </c>
      <c r="D196" s="1" t="s">
        <v>16</v>
      </c>
    </row>
    <row r="197" spans="3:4" x14ac:dyDescent="0.3">
      <c r="C197" s="1" t="s">
        <v>517</v>
      </c>
      <c r="D197" s="1" t="s">
        <v>23</v>
      </c>
    </row>
    <row r="198" spans="3:4" x14ac:dyDescent="0.3">
      <c r="C198" s="1" t="s">
        <v>518</v>
      </c>
      <c r="D198" s="1" t="s">
        <v>17</v>
      </c>
    </row>
    <row r="199" spans="3:4" x14ac:dyDescent="0.3">
      <c r="C199" s="1" t="s">
        <v>519</v>
      </c>
      <c r="D199" s="1" t="s">
        <v>18</v>
      </c>
    </row>
    <row r="200" spans="3:4" x14ac:dyDescent="0.3">
      <c r="C200" s="1" t="s">
        <v>520</v>
      </c>
      <c r="D200" s="1" t="s">
        <v>11</v>
      </c>
    </row>
    <row r="201" spans="3:4" x14ac:dyDescent="0.3">
      <c r="C201" s="1" t="s">
        <v>521</v>
      </c>
      <c r="D201" s="1" t="s">
        <v>11</v>
      </c>
    </row>
    <row r="202" spans="3:4" x14ac:dyDescent="0.3">
      <c r="C202" s="1" t="s">
        <v>522</v>
      </c>
      <c r="D202" s="1" t="s">
        <v>12</v>
      </c>
    </row>
    <row r="203" spans="3:4" x14ac:dyDescent="0.3">
      <c r="C203" s="1" t="s">
        <v>523</v>
      </c>
      <c r="D203" s="1" t="s">
        <v>11</v>
      </c>
    </row>
    <row r="204" spans="3:4" x14ac:dyDescent="0.3">
      <c r="C204" s="1" t="s">
        <v>524</v>
      </c>
      <c r="D204" s="1" t="s">
        <v>12</v>
      </c>
    </row>
    <row r="205" spans="3:4" x14ac:dyDescent="0.3">
      <c r="C205" s="1" t="s">
        <v>525</v>
      </c>
      <c r="D205" s="1" t="s">
        <v>11</v>
      </c>
    </row>
    <row r="206" spans="3:4" x14ac:dyDescent="0.3">
      <c r="C206" s="1" t="s">
        <v>526</v>
      </c>
      <c r="D206" s="1" t="s">
        <v>26</v>
      </c>
    </row>
    <row r="207" spans="3:4" x14ac:dyDescent="0.3">
      <c r="C207" s="1" t="s">
        <v>527</v>
      </c>
      <c r="D207" s="1" t="s">
        <v>26</v>
      </c>
    </row>
    <row r="208" spans="3:4" x14ac:dyDescent="0.3">
      <c r="C208" s="1" t="s">
        <v>528</v>
      </c>
      <c r="D208" s="1" t="s">
        <v>11</v>
      </c>
    </row>
    <row r="209" spans="3:4" x14ac:dyDescent="0.3">
      <c r="C209" s="1" t="s">
        <v>529</v>
      </c>
      <c r="D209" s="1" t="s">
        <v>13</v>
      </c>
    </row>
    <row r="210" spans="3:4" x14ac:dyDescent="0.3">
      <c r="C210" s="1" t="s">
        <v>530</v>
      </c>
      <c r="D210" s="1" t="s">
        <v>13</v>
      </c>
    </row>
    <row r="211" spans="3:4" x14ac:dyDescent="0.3">
      <c r="C211" s="1" t="s">
        <v>531</v>
      </c>
      <c r="D211" s="1" t="s">
        <v>14</v>
      </c>
    </row>
    <row r="212" spans="3:4" x14ac:dyDescent="0.3">
      <c r="C212" s="1" t="s">
        <v>532</v>
      </c>
      <c r="D212" s="1" t="s">
        <v>12</v>
      </c>
    </row>
    <row r="213" spans="3:4" x14ac:dyDescent="0.3">
      <c r="C213" s="1" t="s">
        <v>533</v>
      </c>
      <c r="D213" s="1" t="s">
        <v>13</v>
      </c>
    </row>
    <row r="214" spans="3:4" x14ac:dyDescent="0.3">
      <c r="C214" s="1" t="s">
        <v>534</v>
      </c>
      <c r="D214" s="1" t="s">
        <v>13</v>
      </c>
    </row>
    <row r="215" spans="3:4" x14ac:dyDescent="0.3">
      <c r="C215" s="1" t="s">
        <v>535</v>
      </c>
      <c r="D215" s="1" t="s">
        <v>13</v>
      </c>
    </row>
    <row r="216" spans="3:4" x14ac:dyDescent="0.3">
      <c r="C216" s="1" t="s">
        <v>272</v>
      </c>
      <c r="D216" s="1" t="s">
        <v>16</v>
      </c>
    </row>
    <row r="217" spans="3:4" x14ac:dyDescent="0.3">
      <c r="C217" s="1" t="s">
        <v>536</v>
      </c>
      <c r="D217" s="1" t="s">
        <v>13</v>
      </c>
    </row>
    <row r="218" spans="3:4" x14ac:dyDescent="0.3">
      <c r="C218" s="1" t="s">
        <v>537</v>
      </c>
      <c r="D218" s="1" t="s">
        <v>13</v>
      </c>
    </row>
    <row r="219" spans="3:4" x14ac:dyDescent="0.3">
      <c r="C219" s="1" t="s">
        <v>538</v>
      </c>
      <c r="D219" s="1" t="s">
        <v>13</v>
      </c>
    </row>
    <row r="220" spans="3:4" x14ac:dyDescent="0.3">
      <c r="C220" s="1" t="s">
        <v>539</v>
      </c>
      <c r="D220" s="1" t="s">
        <v>11</v>
      </c>
    </row>
    <row r="221" spans="3:4" x14ac:dyDescent="0.3">
      <c r="C221" s="1" t="s">
        <v>540</v>
      </c>
      <c r="D221" s="1" t="s">
        <v>16</v>
      </c>
    </row>
    <row r="222" spans="3:4" x14ac:dyDescent="0.3">
      <c r="C222" s="1" t="s">
        <v>541</v>
      </c>
      <c r="D222" s="1" t="s">
        <v>11</v>
      </c>
    </row>
    <row r="223" spans="3:4" x14ac:dyDescent="0.3">
      <c r="C223" s="1" t="s">
        <v>542</v>
      </c>
      <c r="D223" s="1" t="s">
        <v>18</v>
      </c>
    </row>
    <row r="224" spans="3:4" x14ac:dyDescent="0.3">
      <c r="C224" s="1" t="s">
        <v>543</v>
      </c>
      <c r="D224" s="1" t="s">
        <v>23</v>
      </c>
    </row>
    <row r="225" spans="3:4" x14ac:dyDescent="0.3">
      <c r="C225" s="1" t="s">
        <v>544</v>
      </c>
      <c r="D225" s="1" t="s">
        <v>26</v>
      </c>
    </row>
    <row r="226" spans="3:4" x14ac:dyDescent="0.3">
      <c r="C226" s="1" t="s">
        <v>230</v>
      </c>
      <c r="D226" s="1" t="s">
        <v>16</v>
      </c>
    </row>
    <row r="227" spans="3:4" x14ac:dyDescent="0.3">
      <c r="C227" s="1" t="s">
        <v>545</v>
      </c>
      <c r="D227" s="1" t="s">
        <v>17</v>
      </c>
    </row>
    <row r="228" spans="3:4" x14ac:dyDescent="0.3">
      <c r="C228" s="1" t="s">
        <v>546</v>
      </c>
      <c r="D228" s="1" t="s">
        <v>20</v>
      </c>
    </row>
    <row r="229" spans="3:4" x14ac:dyDescent="0.3">
      <c r="C229" s="1" t="s">
        <v>547</v>
      </c>
      <c r="D229" s="1" t="s">
        <v>12</v>
      </c>
    </row>
    <row r="230" spans="3:4" x14ac:dyDescent="0.3">
      <c r="C230" s="1" t="s">
        <v>333</v>
      </c>
      <c r="D230" s="1" t="s">
        <v>13</v>
      </c>
    </row>
    <row r="231" spans="3:4" x14ac:dyDescent="0.3">
      <c r="C231" s="1" t="s">
        <v>548</v>
      </c>
      <c r="D231" s="1" t="s">
        <v>23</v>
      </c>
    </row>
    <row r="232" spans="3:4" x14ac:dyDescent="0.3">
      <c r="C232" s="1" t="s">
        <v>549</v>
      </c>
      <c r="D232" s="1" t="s">
        <v>23</v>
      </c>
    </row>
    <row r="233" spans="3:4" x14ac:dyDescent="0.3">
      <c r="C233" s="1" t="s">
        <v>550</v>
      </c>
      <c r="D233" s="1" t="s">
        <v>23</v>
      </c>
    </row>
    <row r="234" spans="3:4" x14ac:dyDescent="0.3">
      <c r="C234" s="1" t="s">
        <v>551</v>
      </c>
      <c r="D234" s="1" t="s">
        <v>12</v>
      </c>
    </row>
    <row r="235" spans="3:4" x14ac:dyDescent="0.3">
      <c r="C235" s="1" t="s">
        <v>334</v>
      </c>
      <c r="D235" s="1" t="s">
        <v>16</v>
      </c>
    </row>
    <row r="236" spans="3:4" x14ac:dyDescent="0.3">
      <c r="C236" s="1" t="s">
        <v>552</v>
      </c>
      <c r="D236" s="1" t="s">
        <v>17</v>
      </c>
    </row>
    <row r="237" spans="3:4" x14ac:dyDescent="0.3">
      <c r="C237" s="1" t="s">
        <v>553</v>
      </c>
      <c r="D237" s="1" t="s">
        <v>18</v>
      </c>
    </row>
    <row r="238" spans="3:4" x14ac:dyDescent="0.3">
      <c r="C238" s="1" t="s">
        <v>554</v>
      </c>
      <c r="D238" s="1" t="s">
        <v>18</v>
      </c>
    </row>
    <row r="239" spans="3:4" x14ac:dyDescent="0.3">
      <c r="C239" s="1" t="s">
        <v>555</v>
      </c>
      <c r="D239" s="1" t="s">
        <v>12</v>
      </c>
    </row>
    <row r="240" spans="3:4" x14ac:dyDescent="0.3">
      <c r="C240" s="1" t="s">
        <v>556</v>
      </c>
      <c r="D240" s="1" t="s">
        <v>12</v>
      </c>
    </row>
    <row r="241" spans="3:4" x14ac:dyDescent="0.3">
      <c r="C241" s="1" t="s">
        <v>557</v>
      </c>
      <c r="D241" s="1" t="s">
        <v>12</v>
      </c>
    </row>
    <row r="242" spans="3:4" x14ac:dyDescent="0.3">
      <c r="C242" s="1" t="s">
        <v>558</v>
      </c>
      <c r="D242" s="1" t="s">
        <v>18</v>
      </c>
    </row>
    <row r="243" spans="3:4" x14ac:dyDescent="0.3">
      <c r="C243" s="1" t="s">
        <v>559</v>
      </c>
      <c r="D243" s="1" t="s">
        <v>13</v>
      </c>
    </row>
    <row r="244" spans="3:4" x14ac:dyDescent="0.3">
      <c r="C244" s="1" t="s">
        <v>273</v>
      </c>
      <c r="D244" s="1" t="s">
        <v>16</v>
      </c>
    </row>
    <row r="245" spans="3:4" x14ac:dyDescent="0.3">
      <c r="C245" s="1" t="s">
        <v>560</v>
      </c>
      <c r="D245" s="1" t="s">
        <v>13</v>
      </c>
    </row>
    <row r="246" spans="3:4" x14ac:dyDescent="0.3">
      <c r="C246" s="1" t="s">
        <v>561</v>
      </c>
      <c r="D246" s="1" t="s">
        <v>18</v>
      </c>
    </row>
    <row r="247" spans="3:4" x14ac:dyDescent="0.3">
      <c r="C247" s="1" t="s">
        <v>562</v>
      </c>
      <c r="D247" s="1" t="s">
        <v>13</v>
      </c>
    </row>
    <row r="248" spans="3:4" x14ac:dyDescent="0.3">
      <c r="C248" s="1" t="s">
        <v>563</v>
      </c>
      <c r="D248" s="1" t="s">
        <v>13</v>
      </c>
    </row>
    <row r="249" spans="3:4" x14ac:dyDescent="0.3">
      <c r="C249" s="1" t="s">
        <v>335</v>
      </c>
      <c r="D249" s="1" t="s">
        <v>12</v>
      </c>
    </row>
    <row r="250" spans="3:4" x14ac:dyDescent="0.3">
      <c r="C250" s="1" t="s">
        <v>336</v>
      </c>
      <c r="D250" s="1" t="s">
        <v>12</v>
      </c>
    </row>
    <row r="251" spans="3:4" x14ac:dyDescent="0.3">
      <c r="C251" s="1" t="s">
        <v>337</v>
      </c>
      <c r="D251" s="1" t="s">
        <v>12</v>
      </c>
    </row>
    <row r="252" spans="3:4" x14ac:dyDescent="0.3">
      <c r="C252" s="1" t="s">
        <v>564</v>
      </c>
      <c r="D252" s="1" t="s">
        <v>13</v>
      </c>
    </row>
    <row r="253" spans="3:4" x14ac:dyDescent="0.3">
      <c r="C253" s="1" t="s">
        <v>338</v>
      </c>
      <c r="D253" s="1" t="s">
        <v>16</v>
      </c>
    </row>
    <row r="254" spans="3:4" x14ac:dyDescent="0.3">
      <c r="C254" s="1" t="s">
        <v>565</v>
      </c>
      <c r="D254" s="1" t="s">
        <v>16</v>
      </c>
    </row>
    <row r="255" spans="3:4" x14ac:dyDescent="0.3">
      <c r="C255" s="1" t="s">
        <v>566</v>
      </c>
      <c r="D255" s="1" t="s">
        <v>16</v>
      </c>
    </row>
    <row r="256" spans="3:4" x14ac:dyDescent="0.3">
      <c r="C256" s="1" t="s">
        <v>567</v>
      </c>
      <c r="D256" s="1" t="s">
        <v>16</v>
      </c>
    </row>
    <row r="257" spans="3:4" x14ac:dyDescent="0.3">
      <c r="C257" s="1" t="s">
        <v>231</v>
      </c>
      <c r="D257" s="1" t="s">
        <v>12</v>
      </c>
    </row>
    <row r="258" spans="3:4" x14ac:dyDescent="0.3">
      <c r="C258" s="1" t="s">
        <v>568</v>
      </c>
      <c r="D258" s="1" t="s">
        <v>26</v>
      </c>
    </row>
    <row r="259" spans="3:4" x14ac:dyDescent="0.3">
      <c r="C259" s="1" t="s">
        <v>569</v>
      </c>
      <c r="D259" s="1" t="s">
        <v>26</v>
      </c>
    </row>
    <row r="260" spans="3:4" x14ac:dyDescent="0.3">
      <c r="C260" s="1" t="s">
        <v>570</v>
      </c>
      <c r="D260" s="1" t="s">
        <v>18</v>
      </c>
    </row>
    <row r="261" spans="3:4" x14ac:dyDescent="0.3">
      <c r="C261" s="1" t="s">
        <v>571</v>
      </c>
      <c r="D261" s="1" t="s">
        <v>26</v>
      </c>
    </row>
    <row r="262" spans="3:4" x14ac:dyDescent="0.3">
      <c r="C262" s="1" t="s">
        <v>572</v>
      </c>
      <c r="D262" s="1" t="s">
        <v>11</v>
      </c>
    </row>
    <row r="263" spans="3:4" x14ac:dyDescent="0.3">
      <c r="C263" s="1" t="s">
        <v>573</v>
      </c>
      <c r="D263" s="1" t="s">
        <v>17</v>
      </c>
    </row>
    <row r="264" spans="3:4" x14ac:dyDescent="0.3">
      <c r="C264" s="1" t="s">
        <v>574</v>
      </c>
      <c r="D264" s="1" t="s">
        <v>16</v>
      </c>
    </row>
    <row r="265" spans="3:4" x14ac:dyDescent="0.3">
      <c r="C265" s="1" t="s">
        <v>575</v>
      </c>
      <c r="D265" s="1" t="s">
        <v>13</v>
      </c>
    </row>
    <row r="266" spans="3:4" x14ac:dyDescent="0.3">
      <c r="C266" s="1" t="s">
        <v>576</v>
      </c>
      <c r="D266" s="1" t="s">
        <v>23</v>
      </c>
    </row>
    <row r="267" spans="3:4" x14ac:dyDescent="0.3">
      <c r="C267" s="1" t="s">
        <v>577</v>
      </c>
      <c r="D267" s="1" t="s">
        <v>17</v>
      </c>
    </row>
    <row r="268" spans="3:4" x14ac:dyDescent="0.3">
      <c r="C268" s="1" t="s">
        <v>578</v>
      </c>
      <c r="D268" s="1" t="s">
        <v>27</v>
      </c>
    </row>
    <row r="269" spans="3:4" x14ac:dyDescent="0.3">
      <c r="C269" s="1" t="s">
        <v>579</v>
      </c>
      <c r="D269" s="1" t="s">
        <v>13</v>
      </c>
    </row>
    <row r="270" spans="3:4" x14ac:dyDescent="0.3">
      <c r="C270" s="1" t="s">
        <v>580</v>
      </c>
      <c r="D270" s="1" t="s">
        <v>12</v>
      </c>
    </row>
    <row r="271" spans="3:4" x14ac:dyDescent="0.3">
      <c r="C271" s="1" t="s">
        <v>581</v>
      </c>
      <c r="D271" s="1" t="s">
        <v>26</v>
      </c>
    </row>
    <row r="272" spans="3:4" x14ac:dyDescent="0.3">
      <c r="C272" s="1" t="s">
        <v>582</v>
      </c>
      <c r="D272" s="1" t="s">
        <v>18</v>
      </c>
    </row>
    <row r="273" spans="3:4" x14ac:dyDescent="0.3">
      <c r="C273" s="1" t="s">
        <v>583</v>
      </c>
      <c r="D273" s="1" t="s">
        <v>13</v>
      </c>
    </row>
    <row r="274" spans="3:4" x14ac:dyDescent="0.3">
      <c r="C274" s="1" t="s">
        <v>584</v>
      </c>
      <c r="D274" s="1" t="s">
        <v>16</v>
      </c>
    </row>
    <row r="275" spans="3:4" x14ac:dyDescent="0.3">
      <c r="C275" s="1" t="s">
        <v>585</v>
      </c>
      <c r="D275" s="1" t="s">
        <v>14</v>
      </c>
    </row>
    <row r="276" spans="3:4" x14ac:dyDescent="0.3">
      <c r="C276" s="1" t="s">
        <v>586</v>
      </c>
      <c r="D276" s="1" t="s">
        <v>23</v>
      </c>
    </row>
    <row r="277" spans="3:4" x14ac:dyDescent="0.3">
      <c r="C277" s="1" t="s">
        <v>587</v>
      </c>
      <c r="D277" s="1" t="s">
        <v>23</v>
      </c>
    </row>
    <row r="278" spans="3:4" x14ac:dyDescent="0.3">
      <c r="C278" s="1" t="s">
        <v>588</v>
      </c>
      <c r="D278" s="1" t="s">
        <v>18</v>
      </c>
    </row>
    <row r="279" spans="3:4" x14ac:dyDescent="0.3">
      <c r="C279" s="1" t="s">
        <v>589</v>
      </c>
      <c r="D279" s="1" t="s">
        <v>12</v>
      </c>
    </row>
    <row r="280" spans="3:4" x14ac:dyDescent="0.3">
      <c r="C280" s="1" t="s">
        <v>590</v>
      </c>
      <c r="D280" s="1" t="s">
        <v>20</v>
      </c>
    </row>
    <row r="281" spans="3:4" x14ac:dyDescent="0.3">
      <c r="C281" s="1" t="s">
        <v>591</v>
      </c>
      <c r="D281" s="1" t="s">
        <v>11</v>
      </c>
    </row>
    <row r="282" spans="3:4" x14ac:dyDescent="0.3">
      <c r="C282" s="1" t="s">
        <v>592</v>
      </c>
      <c r="D282" s="1" t="s">
        <v>13</v>
      </c>
    </row>
    <row r="283" spans="3:4" x14ac:dyDescent="0.3">
      <c r="C283" s="1" t="s">
        <v>593</v>
      </c>
      <c r="D283" s="1" t="s">
        <v>23</v>
      </c>
    </row>
    <row r="284" spans="3:4" x14ac:dyDescent="0.3">
      <c r="C284" s="1" t="s">
        <v>274</v>
      </c>
      <c r="D284" s="1" t="s">
        <v>16</v>
      </c>
    </row>
    <row r="285" spans="3:4" x14ac:dyDescent="0.3">
      <c r="C285" s="1" t="s">
        <v>594</v>
      </c>
      <c r="D285" s="1" t="s">
        <v>17</v>
      </c>
    </row>
    <row r="286" spans="3:4" x14ac:dyDescent="0.3">
      <c r="C286" s="1" t="s">
        <v>595</v>
      </c>
      <c r="D286" s="1" t="s">
        <v>12</v>
      </c>
    </row>
    <row r="287" spans="3:4" x14ac:dyDescent="0.3">
      <c r="C287" s="1" t="s">
        <v>596</v>
      </c>
      <c r="D287" s="1" t="s">
        <v>21</v>
      </c>
    </row>
    <row r="288" spans="3:4" x14ac:dyDescent="0.3">
      <c r="C288" s="1" t="s">
        <v>597</v>
      </c>
      <c r="D288" s="1" t="s">
        <v>13</v>
      </c>
    </row>
    <row r="289" spans="3:4" x14ac:dyDescent="0.3">
      <c r="C289" s="1" t="s">
        <v>598</v>
      </c>
      <c r="D289" s="1" t="s">
        <v>21</v>
      </c>
    </row>
    <row r="290" spans="3:4" x14ac:dyDescent="0.3">
      <c r="C290" s="1" t="s">
        <v>339</v>
      </c>
      <c r="D290" s="1" t="s">
        <v>12</v>
      </c>
    </row>
    <row r="291" spans="3:4" x14ac:dyDescent="0.3">
      <c r="C291" s="1" t="s">
        <v>340</v>
      </c>
      <c r="D291" s="1" t="s">
        <v>12</v>
      </c>
    </row>
    <row r="292" spans="3:4" x14ac:dyDescent="0.3">
      <c r="C292" s="1" t="s">
        <v>599</v>
      </c>
      <c r="D292" s="1" t="s">
        <v>12</v>
      </c>
    </row>
    <row r="293" spans="3:4" x14ac:dyDescent="0.3">
      <c r="C293" s="1" t="s">
        <v>600</v>
      </c>
      <c r="D293" s="1" t="s">
        <v>14</v>
      </c>
    </row>
    <row r="294" spans="3:4" x14ac:dyDescent="0.3">
      <c r="C294" s="1" t="s">
        <v>601</v>
      </c>
      <c r="D294" s="1" t="s">
        <v>13</v>
      </c>
    </row>
    <row r="295" spans="3:4" x14ac:dyDescent="0.3">
      <c r="C295" s="1" t="s">
        <v>602</v>
      </c>
      <c r="D295" s="1" t="s">
        <v>13</v>
      </c>
    </row>
    <row r="296" spans="3:4" x14ac:dyDescent="0.3">
      <c r="C296" s="1" t="s">
        <v>603</v>
      </c>
      <c r="D296" s="1" t="s">
        <v>23</v>
      </c>
    </row>
    <row r="297" spans="3:4" x14ac:dyDescent="0.3">
      <c r="C297" s="1" t="s">
        <v>604</v>
      </c>
      <c r="D297" s="1" t="s">
        <v>15</v>
      </c>
    </row>
    <row r="298" spans="3:4" x14ac:dyDescent="0.3">
      <c r="C298" s="1" t="s">
        <v>605</v>
      </c>
      <c r="D298" s="1" t="s">
        <v>18</v>
      </c>
    </row>
    <row r="299" spans="3:4" x14ac:dyDescent="0.3">
      <c r="C299" s="1" t="s">
        <v>606</v>
      </c>
      <c r="D299" s="1" t="s">
        <v>17</v>
      </c>
    </row>
    <row r="300" spans="3:4" x14ac:dyDescent="0.3">
      <c r="C300" s="1" t="s">
        <v>607</v>
      </c>
      <c r="D300" s="1" t="s">
        <v>11</v>
      </c>
    </row>
    <row r="301" spans="3:4" x14ac:dyDescent="0.3">
      <c r="C301" s="1" t="s">
        <v>608</v>
      </c>
      <c r="D301" s="1" t="s">
        <v>18</v>
      </c>
    </row>
    <row r="302" spans="3:4" x14ac:dyDescent="0.3">
      <c r="C302" s="1" t="s">
        <v>275</v>
      </c>
      <c r="D302" s="1" t="s">
        <v>11</v>
      </c>
    </row>
    <row r="303" spans="3:4" x14ac:dyDescent="0.3">
      <c r="C303" s="1" t="s">
        <v>609</v>
      </c>
      <c r="D303" s="1" t="s">
        <v>23</v>
      </c>
    </row>
    <row r="304" spans="3:4" x14ac:dyDescent="0.3">
      <c r="C304" s="1" t="s">
        <v>245</v>
      </c>
      <c r="D304" s="1" t="s">
        <v>12</v>
      </c>
    </row>
    <row r="305" spans="3:4" x14ac:dyDescent="0.3">
      <c r="C305" s="1" t="s">
        <v>342</v>
      </c>
      <c r="D305" s="1" t="s">
        <v>16</v>
      </c>
    </row>
    <row r="306" spans="3:4" x14ac:dyDescent="0.3">
      <c r="C306" s="1" t="s">
        <v>610</v>
      </c>
      <c r="D306" s="1" t="s">
        <v>15</v>
      </c>
    </row>
    <row r="307" spans="3:4" x14ac:dyDescent="0.3">
      <c r="C307" s="1" t="s">
        <v>611</v>
      </c>
      <c r="D307" s="1" t="s">
        <v>14</v>
      </c>
    </row>
    <row r="308" spans="3:4" x14ac:dyDescent="0.3">
      <c r="C308" s="1" t="s">
        <v>612</v>
      </c>
      <c r="D308" s="1" t="s">
        <v>11</v>
      </c>
    </row>
    <row r="309" spans="3:4" x14ac:dyDescent="0.3">
      <c r="C309" s="1" t="s">
        <v>613</v>
      </c>
      <c r="D309" s="1" t="s">
        <v>12</v>
      </c>
    </row>
    <row r="310" spans="3:4" x14ac:dyDescent="0.3">
      <c r="C310" s="1" t="s">
        <v>614</v>
      </c>
      <c r="D310" s="1" t="s">
        <v>21</v>
      </c>
    </row>
    <row r="311" spans="3:4" x14ac:dyDescent="0.3">
      <c r="C311" s="1" t="s">
        <v>615</v>
      </c>
      <c r="D311" s="1" t="s">
        <v>12</v>
      </c>
    </row>
    <row r="312" spans="3:4" x14ac:dyDescent="0.3">
      <c r="C312" s="1" t="s">
        <v>616</v>
      </c>
      <c r="D312" s="1" t="s">
        <v>21</v>
      </c>
    </row>
    <row r="313" spans="3:4" x14ac:dyDescent="0.3">
      <c r="C313" s="1" t="s">
        <v>617</v>
      </c>
      <c r="D313" s="1" t="s">
        <v>12</v>
      </c>
    </row>
    <row r="314" spans="3:4" x14ac:dyDescent="0.3">
      <c r="C314" s="1" t="s">
        <v>618</v>
      </c>
      <c r="D314" s="1" t="s">
        <v>13</v>
      </c>
    </row>
    <row r="315" spans="3:4" x14ac:dyDescent="0.3">
      <c r="C315" s="1" t="s">
        <v>619</v>
      </c>
      <c r="D315" s="1" t="s">
        <v>13</v>
      </c>
    </row>
    <row r="316" spans="3:4" x14ac:dyDescent="0.3">
      <c r="C316" s="1" t="s">
        <v>620</v>
      </c>
      <c r="D316" s="1" t="s">
        <v>12</v>
      </c>
    </row>
    <row r="317" spans="3:4" x14ac:dyDescent="0.3">
      <c r="C317" s="1" t="s">
        <v>621</v>
      </c>
      <c r="D317" s="1" t="s">
        <v>18</v>
      </c>
    </row>
    <row r="318" spans="3:4" x14ac:dyDescent="0.3">
      <c r="C318" s="1" t="s">
        <v>320</v>
      </c>
      <c r="D318" s="1" t="s">
        <v>18</v>
      </c>
    </row>
    <row r="319" spans="3:4" x14ac:dyDescent="0.3">
      <c r="C319" s="1" t="s">
        <v>622</v>
      </c>
      <c r="D319" s="1" t="s">
        <v>12</v>
      </c>
    </row>
    <row r="320" spans="3:4" x14ac:dyDescent="0.3">
      <c r="C320" s="1" t="s">
        <v>344</v>
      </c>
      <c r="D320" s="1" t="s">
        <v>12</v>
      </c>
    </row>
    <row r="321" spans="3:4" x14ac:dyDescent="0.3">
      <c r="C321" s="1" t="s">
        <v>623</v>
      </c>
      <c r="D321" s="1" t="s">
        <v>12</v>
      </c>
    </row>
    <row r="322" spans="3:4" x14ac:dyDescent="0.3">
      <c r="C322" s="1" t="s">
        <v>624</v>
      </c>
      <c r="D322" s="1" t="s">
        <v>12</v>
      </c>
    </row>
    <row r="323" spans="3:4" x14ac:dyDescent="0.3">
      <c r="C323" s="1" t="s">
        <v>625</v>
      </c>
      <c r="D323" s="1" t="s">
        <v>11</v>
      </c>
    </row>
    <row r="324" spans="3:4" x14ac:dyDescent="0.3">
      <c r="C324" s="1" t="s">
        <v>626</v>
      </c>
      <c r="D324" s="1" t="s">
        <v>18</v>
      </c>
    </row>
    <row r="325" spans="3:4" x14ac:dyDescent="0.3">
      <c r="C325" s="1" t="s">
        <v>627</v>
      </c>
      <c r="D325" s="1" t="s">
        <v>11</v>
      </c>
    </row>
    <row r="326" spans="3:4" x14ac:dyDescent="0.3">
      <c r="C326" s="1" t="s">
        <v>628</v>
      </c>
      <c r="D326" s="1" t="s">
        <v>11</v>
      </c>
    </row>
    <row r="327" spans="3:4" x14ac:dyDescent="0.3">
      <c r="C327" s="1" t="s">
        <v>629</v>
      </c>
      <c r="D327" s="1" t="s">
        <v>11</v>
      </c>
    </row>
    <row r="328" spans="3:4" x14ac:dyDescent="0.3">
      <c r="C328" s="1" t="s">
        <v>630</v>
      </c>
      <c r="D328" s="1" t="s">
        <v>12</v>
      </c>
    </row>
    <row r="329" spans="3:4" x14ac:dyDescent="0.3">
      <c r="C329" s="1" t="s">
        <v>631</v>
      </c>
      <c r="D329" s="1" t="s">
        <v>11</v>
      </c>
    </row>
    <row r="330" spans="3:4" x14ac:dyDescent="0.3">
      <c r="C330" s="1" t="s">
        <v>632</v>
      </c>
      <c r="D330" s="1" t="s">
        <v>11</v>
      </c>
    </row>
    <row r="331" spans="3:4" x14ac:dyDescent="0.3">
      <c r="C331" s="1" t="s">
        <v>633</v>
      </c>
      <c r="D331" s="1" t="s">
        <v>11</v>
      </c>
    </row>
    <row r="332" spans="3:4" x14ac:dyDescent="0.3">
      <c r="C332" s="1" t="s">
        <v>634</v>
      </c>
      <c r="D332" s="1" t="s">
        <v>11</v>
      </c>
    </row>
    <row r="333" spans="3:4" x14ac:dyDescent="0.3">
      <c r="C333" s="1" t="s">
        <v>635</v>
      </c>
      <c r="D333" s="1" t="s">
        <v>11</v>
      </c>
    </row>
    <row r="334" spans="3:4" x14ac:dyDescent="0.3">
      <c r="C334" s="1" t="s">
        <v>636</v>
      </c>
      <c r="D334" s="1" t="s">
        <v>14</v>
      </c>
    </row>
    <row r="335" spans="3:4" x14ac:dyDescent="0.3">
      <c r="C335" s="1" t="s">
        <v>637</v>
      </c>
      <c r="D335" s="1" t="s">
        <v>23</v>
      </c>
    </row>
    <row r="336" spans="3:4" x14ac:dyDescent="0.3">
      <c r="C336" s="1" t="s">
        <v>638</v>
      </c>
      <c r="D336" s="1" t="s">
        <v>27</v>
      </c>
    </row>
    <row r="337" spans="3:4" x14ac:dyDescent="0.3">
      <c r="C337" s="1" t="s">
        <v>639</v>
      </c>
      <c r="D337" s="1" t="s">
        <v>24</v>
      </c>
    </row>
    <row r="338" spans="3:4" x14ac:dyDescent="0.3">
      <c r="C338" s="1" t="s">
        <v>640</v>
      </c>
      <c r="D338" s="1" t="s">
        <v>27</v>
      </c>
    </row>
    <row r="339" spans="3:4" x14ac:dyDescent="0.3">
      <c r="C339" s="1" t="s">
        <v>641</v>
      </c>
      <c r="D339" s="1" t="s">
        <v>11</v>
      </c>
    </row>
    <row r="340" spans="3:4" x14ac:dyDescent="0.3">
      <c r="C340" s="1" t="s">
        <v>642</v>
      </c>
      <c r="D340" s="1" t="s">
        <v>12</v>
      </c>
    </row>
    <row r="341" spans="3:4" x14ac:dyDescent="0.3">
      <c r="C341" s="1" t="s">
        <v>643</v>
      </c>
      <c r="D341" s="1" t="s">
        <v>15</v>
      </c>
    </row>
    <row r="342" spans="3:4" x14ac:dyDescent="0.3">
      <c r="C342" s="1" t="s">
        <v>345</v>
      </c>
      <c r="D342" s="1" t="s">
        <v>12</v>
      </c>
    </row>
    <row r="343" spans="3:4" x14ac:dyDescent="0.3">
      <c r="C343" s="1" t="s">
        <v>346</v>
      </c>
      <c r="D343" s="1" t="s">
        <v>17</v>
      </c>
    </row>
    <row r="344" spans="3:4" x14ac:dyDescent="0.3">
      <c r="C344" s="1" t="s">
        <v>644</v>
      </c>
      <c r="D344" s="1" t="s">
        <v>11</v>
      </c>
    </row>
    <row r="345" spans="3:4" x14ac:dyDescent="0.3">
      <c r="C345" s="1" t="s">
        <v>645</v>
      </c>
      <c r="D345" s="1" t="s">
        <v>12</v>
      </c>
    </row>
    <row r="346" spans="3:4" x14ac:dyDescent="0.3">
      <c r="C346" s="1" t="s">
        <v>646</v>
      </c>
      <c r="D346" s="1" t="s">
        <v>11</v>
      </c>
    </row>
    <row r="347" spans="3:4" x14ac:dyDescent="0.3">
      <c r="C347" s="1" t="s">
        <v>647</v>
      </c>
      <c r="D347" s="1" t="s">
        <v>11</v>
      </c>
    </row>
    <row r="348" spans="3:4" x14ac:dyDescent="0.3">
      <c r="C348" s="1" t="s">
        <v>648</v>
      </c>
      <c r="D348" s="1" t="s">
        <v>23</v>
      </c>
    </row>
    <row r="349" spans="3:4" x14ac:dyDescent="0.3">
      <c r="C349" s="1" t="s">
        <v>649</v>
      </c>
      <c r="D349" s="1" t="s">
        <v>11</v>
      </c>
    </row>
    <row r="350" spans="3:4" x14ac:dyDescent="0.3">
      <c r="C350" s="1" t="s">
        <v>650</v>
      </c>
      <c r="D350" s="1" t="s">
        <v>16</v>
      </c>
    </row>
    <row r="351" spans="3:4" x14ac:dyDescent="0.3">
      <c r="C351" s="1" t="s">
        <v>651</v>
      </c>
      <c r="D351" s="1" t="s">
        <v>12</v>
      </c>
    </row>
    <row r="352" spans="3:4" x14ac:dyDescent="0.3">
      <c r="C352" s="1" t="s">
        <v>652</v>
      </c>
      <c r="D352" s="1" t="s">
        <v>11</v>
      </c>
    </row>
    <row r="353" spans="3:4" x14ac:dyDescent="0.3">
      <c r="C353" s="1" t="s">
        <v>653</v>
      </c>
      <c r="D353" s="1" t="s">
        <v>16</v>
      </c>
    </row>
    <row r="354" spans="3:4" x14ac:dyDescent="0.3">
      <c r="C354" s="1" t="s">
        <v>654</v>
      </c>
      <c r="D354" s="1" t="s">
        <v>15</v>
      </c>
    </row>
    <row r="355" spans="3:4" x14ac:dyDescent="0.3">
      <c r="C355" s="1" t="s">
        <v>655</v>
      </c>
      <c r="D355" s="1" t="s">
        <v>11</v>
      </c>
    </row>
    <row r="356" spans="3:4" x14ac:dyDescent="0.3">
      <c r="C356" s="1" t="s">
        <v>656</v>
      </c>
      <c r="D356" s="1" t="s">
        <v>12</v>
      </c>
    </row>
    <row r="357" spans="3:4" x14ac:dyDescent="0.3">
      <c r="C357" s="1" t="s">
        <v>657</v>
      </c>
      <c r="D357" s="1" t="s">
        <v>14</v>
      </c>
    </row>
    <row r="358" spans="3:4" x14ac:dyDescent="0.3">
      <c r="C358" s="1" t="s">
        <v>658</v>
      </c>
      <c r="D358" s="1" t="s">
        <v>14</v>
      </c>
    </row>
    <row r="359" spans="3:4" x14ac:dyDescent="0.3">
      <c r="C359" s="1" t="s">
        <v>659</v>
      </c>
      <c r="D359" s="1" t="s">
        <v>15</v>
      </c>
    </row>
    <row r="360" spans="3:4" x14ac:dyDescent="0.3">
      <c r="C360" s="1" t="s">
        <v>660</v>
      </c>
      <c r="D360" s="1" t="s">
        <v>11</v>
      </c>
    </row>
    <row r="361" spans="3:4" x14ac:dyDescent="0.3">
      <c r="C361" s="1" t="s">
        <v>661</v>
      </c>
      <c r="D361" s="1" t="s">
        <v>11</v>
      </c>
    </row>
    <row r="362" spans="3:4" x14ac:dyDescent="0.3">
      <c r="C362" s="1" t="s">
        <v>662</v>
      </c>
      <c r="D362" s="1" t="s">
        <v>11</v>
      </c>
    </row>
    <row r="363" spans="3:4" x14ac:dyDescent="0.3">
      <c r="C363" s="1" t="s">
        <v>663</v>
      </c>
      <c r="D363" s="1" t="s">
        <v>11</v>
      </c>
    </row>
    <row r="364" spans="3:4" x14ac:dyDescent="0.3">
      <c r="C364" s="1" t="s">
        <v>664</v>
      </c>
      <c r="D364" s="1" t="s">
        <v>15</v>
      </c>
    </row>
    <row r="365" spans="3:4" x14ac:dyDescent="0.3">
      <c r="C365" s="1" t="s">
        <v>665</v>
      </c>
      <c r="D365" s="1" t="s">
        <v>15</v>
      </c>
    </row>
    <row r="366" spans="3:4" x14ac:dyDescent="0.3">
      <c r="C366" s="1" t="s">
        <v>324</v>
      </c>
      <c r="D366" s="1" t="s">
        <v>26</v>
      </c>
    </row>
    <row r="367" spans="3:4" x14ac:dyDescent="0.3">
      <c r="C367" s="1" t="s">
        <v>666</v>
      </c>
      <c r="D367" s="1" t="s">
        <v>24</v>
      </c>
    </row>
    <row r="368" spans="3:4" x14ac:dyDescent="0.3">
      <c r="C368" s="1" t="s">
        <v>667</v>
      </c>
      <c r="D368" s="1" t="s">
        <v>14</v>
      </c>
    </row>
    <row r="369" spans="3:4" x14ac:dyDescent="0.3">
      <c r="C369" s="1" t="s">
        <v>668</v>
      </c>
      <c r="D369" s="1" t="s">
        <v>15</v>
      </c>
    </row>
    <row r="370" spans="3:4" x14ac:dyDescent="0.3">
      <c r="C370" s="1" t="s">
        <v>669</v>
      </c>
      <c r="D370" s="1" t="s">
        <v>11</v>
      </c>
    </row>
    <row r="371" spans="3:4" x14ac:dyDescent="0.3">
      <c r="C371" s="1" t="s">
        <v>670</v>
      </c>
      <c r="D371" s="1" t="s">
        <v>24</v>
      </c>
    </row>
    <row r="372" spans="3:4" x14ac:dyDescent="0.3">
      <c r="C372" s="1" t="s">
        <v>671</v>
      </c>
      <c r="D372" s="1" t="s">
        <v>12</v>
      </c>
    </row>
    <row r="373" spans="3:4" x14ac:dyDescent="0.3">
      <c r="C373" s="1" t="s">
        <v>672</v>
      </c>
      <c r="D373" s="1" t="s">
        <v>14</v>
      </c>
    </row>
    <row r="374" spans="3:4" x14ac:dyDescent="0.3">
      <c r="C374" s="1" t="s">
        <v>673</v>
      </c>
      <c r="D374" s="1" t="s">
        <v>11</v>
      </c>
    </row>
    <row r="375" spans="3:4" x14ac:dyDescent="0.3">
      <c r="C375" s="1" t="s">
        <v>674</v>
      </c>
      <c r="D375" s="1" t="s">
        <v>11</v>
      </c>
    </row>
    <row r="376" spans="3:4" x14ac:dyDescent="0.3">
      <c r="C376" s="1" t="s">
        <v>675</v>
      </c>
      <c r="D376" s="1" t="s">
        <v>13</v>
      </c>
    </row>
    <row r="377" spans="3:4" x14ac:dyDescent="0.3">
      <c r="C377" s="1" t="s">
        <v>676</v>
      </c>
      <c r="D377" s="1" t="s">
        <v>11</v>
      </c>
    </row>
    <row r="378" spans="3:4" x14ac:dyDescent="0.3">
      <c r="C378" s="1" t="s">
        <v>677</v>
      </c>
      <c r="D378" s="1" t="s">
        <v>28</v>
      </c>
    </row>
    <row r="379" spans="3:4" x14ac:dyDescent="0.3">
      <c r="C379" s="1" t="s">
        <v>678</v>
      </c>
      <c r="D379" s="1" t="s">
        <v>11</v>
      </c>
    </row>
    <row r="380" spans="3:4" x14ac:dyDescent="0.3">
      <c r="C380" s="1" t="s">
        <v>679</v>
      </c>
      <c r="D380" s="1" t="s">
        <v>12</v>
      </c>
    </row>
    <row r="381" spans="3:4" x14ac:dyDescent="0.3">
      <c r="C381" s="1" t="s">
        <v>680</v>
      </c>
      <c r="D381" s="1" t="s">
        <v>14</v>
      </c>
    </row>
    <row r="382" spans="3:4" x14ac:dyDescent="0.3">
      <c r="C382" s="1" t="s">
        <v>681</v>
      </c>
      <c r="D382" s="1" t="s">
        <v>15</v>
      </c>
    </row>
    <row r="383" spans="3:4" x14ac:dyDescent="0.3">
      <c r="C383" s="1" t="s">
        <v>682</v>
      </c>
      <c r="D383" s="1" t="s">
        <v>24</v>
      </c>
    </row>
    <row r="384" spans="3:4" x14ac:dyDescent="0.3">
      <c r="C384" s="1" t="s">
        <v>683</v>
      </c>
      <c r="D384" s="1" t="s">
        <v>21</v>
      </c>
    </row>
    <row r="385" spans="3:4" x14ac:dyDescent="0.3">
      <c r="C385" s="1" t="s">
        <v>684</v>
      </c>
      <c r="D385" s="1" t="s">
        <v>11</v>
      </c>
    </row>
    <row r="386" spans="3:4" x14ac:dyDescent="0.3">
      <c r="C386" s="1" t="s">
        <v>685</v>
      </c>
      <c r="D386" s="1" t="s">
        <v>11</v>
      </c>
    </row>
    <row r="387" spans="3:4" x14ac:dyDescent="0.3">
      <c r="C387" s="1" t="s">
        <v>686</v>
      </c>
      <c r="D387" s="1" t="s">
        <v>23</v>
      </c>
    </row>
    <row r="388" spans="3:4" x14ac:dyDescent="0.3">
      <c r="C388" s="1" t="s">
        <v>687</v>
      </c>
      <c r="D388" s="1" t="s">
        <v>14</v>
      </c>
    </row>
    <row r="389" spans="3:4" x14ac:dyDescent="0.3">
      <c r="C389" s="1" t="s">
        <v>688</v>
      </c>
      <c r="D389" s="1" t="s">
        <v>15</v>
      </c>
    </row>
    <row r="390" spans="3:4" x14ac:dyDescent="0.3">
      <c r="C390" s="1" t="s">
        <v>689</v>
      </c>
      <c r="D390" s="1" t="s">
        <v>11</v>
      </c>
    </row>
    <row r="391" spans="3:4" x14ac:dyDescent="0.3">
      <c r="C391" s="1" t="s">
        <v>690</v>
      </c>
      <c r="D391" s="1" t="s">
        <v>11</v>
      </c>
    </row>
    <row r="392" spans="3:4" x14ac:dyDescent="0.3">
      <c r="C392" s="1" t="s">
        <v>691</v>
      </c>
      <c r="D392" s="1" t="s">
        <v>25</v>
      </c>
    </row>
    <row r="393" spans="3:4" x14ac:dyDescent="0.3">
      <c r="C393" s="1" t="s">
        <v>692</v>
      </c>
      <c r="D393" s="1" t="s">
        <v>15</v>
      </c>
    </row>
    <row r="394" spans="3:4" x14ac:dyDescent="0.3">
      <c r="C394" s="1" t="s">
        <v>693</v>
      </c>
      <c r="D394" s="1" t="s">
        <v>11</v>
      </c>
    </row>
    <row r="395" spans="3:4" x14ac:dyDescent="0.3">
      <c r="C395" s="1" t="s">
        <v>694</v>
      </c>
      <c r="D395" s="1" t="s">
        <v>12</v>
      </c>
    </row>
    <row r="396" spans="3:4" x14ac:dyDescent="0.3">
      <c r="C396" s="1" t="s">
        <v>695</v>
      </c>
      <c r="D396" s="1" t="s">
        <v>13</v>
      </c>
    </row>
    <row r="397" spans="3:4" x14ac:dyDescent="0.3">
      <c r="C397" s="1" t="s">
        <v>696</v>
      </c>
      <c r="D397" s="1" t="s">
        <v>11</v>
      </c>
    </row>
    <row r="398" spans="3:4" x14ac:dyDescent="0.3">
      <c r="C398" s="1" t="s">
        <v>697</v>
      </c>
      <c r="D398" s="1" t="s">
        <v>11</v>
      </c>
    </row>
    <row r="399" spans="3:4" x14ac:dyDescent="0.3">
      <c r="C399" s="1" t="s">
        <v>698</v>
      </c>
      <c r="D399" s="1" t="s">
        <v>14</v>
      </c>
    </row>
    <row r="400" spans="3:4" x14ac:dyDescent="0.3">
      <c r="C400" s="1" t="s">
        <v>699</v>
      </c>
      <c r="D400" s="1" t="s">
        <v>26</v>
      </c>
    </row>
    <row r="401" spans="3:4" x14ac:dyDescent="0.3">
      <c r="C401" s="1" t="s">
        <v>700</v>
      </c>
      <c r="D401" s="1" t="s">
        <v>12</v>
      </c>
    </row>
    <row r="402" spans="3:4" x14ac:dyDescent="0.3">
      <c r="C402" s="1" t="s">
        <v>701</v>
      </c>
      <c r="D402" s="1" t="s">
        <v>17</v>
      </c>
    </row>
    <row r="403" spans="3:4" x14ac:dyDescent="0.3">
      <c r="C403" s="1" t="s">
        <v>348</v>
      </c>
      <c r="D403" s="1" t="s">
        <v>11</v>
      </c>
    </row>
    <row r="404" spans="3:4" x14ac:dyDescent="0.3">
      <c r="C404" s="1" t="s">
        <v>702</v>
      </c>
      <c r="D404" s="1" t="s">
        <v>14</v>
      </c>
    </row>
    <row r="405" spans="3:4" x14ac:dyDescent="0.3">
      <c r="C405" s="1" t="s">
        <v>349</v>
      </c>
      <c r="D405" s="1" t="s">
        <v>12</v>
      </c>
    </row>
    <row r="406" spans="3:4" x14ac:dyDescent="0.3">
      <c r="C406" s="1" t="s">
        <v>703</v>
      </c>
      <c r="D406" s="1" t="s">
        <v>14</v>
      </c>
    </row>
    <row r="407" spans="3:4" x14ac:dyDescent="0.3">
      <c r="C407" s="1" t="s">
        <v>704</v>
      </c>
      <c r="D407" s="1" t="s">
        <v>17</v>
      </c>
    </row>
    <row r="408" spans="3:4" x14ac:dyDescent="0.3">
      <c r="C408" s="1" t="s">
        <v>705</v>
      </c>
      <c r="D408" s="1" t="s">
        <v>14</v>
      </c>
    </row>
    <row r="409" spans="3:4" x14ac:dyDescent="0.3">
      <c r="C409" s="1" t="s">
        <v>706</v>
      </c>
      <c r="D409" s="1" t="s">
        <v>12</v>
      </c>
    </row>
    <row r="410" spans="3:4" x14ac:dyDescent="0.3">
      <c r="C410" s="1" t="s">
        <v>707</v>
      </c>
      <c r="D410" s="1" t="s">
        <v>17</v>
      </c>
    </row>
    <row r="411" spans="3:4" x14ac:dyDescent="0.3">
      <c r="C411" s="1" t="s">
        <v>708</v>
      </c>
      <c r="D411" s="1" t="s">
        <v>12</v>
      </c>
    </row>
    <row r="412" spans="3:4" x14ac:dyDescent="0.3">
      <c r="C412" s="1" t="s">
        <v>709</v>
      </c>
      <c r="D412" s="1" t="s">
        <v>26</v>
      </c>
    </row>
    <row r="413" spans="3:4" x14ac:dyDescent="0.3">
      <c r="C413" s="1" t="s">
        <v>710</v>
      </c>
      <c r="D413" s="1" t="s">
        <v>12</v>
      </c>
    </row>
    <row r="414" spans="3:4" x14ac:dyDescent="0.3">
      <c r="C414" s="1" t="s">
        <v>711</v>
      </c>
      <c r="D414" s="1" t="s">
        <v>12</v>
      </c>
    </row>
    <row r="415" spans="3:4" x14ac:dyDescent="0.3">
      <c r="C415" s="1" t="s">
        <v>712</v>
      </c>
      <c r="D415" s="1" t="s">
        <v>14</v>
      </c>
    </row>
    <row r="416" spans="3:4" x14ac:dyDescent="0.3">
      <c r="C416" s="1" t="s">
        <v>713</v>
      </c>
      <c r="D416" s="1" t="s">
        <v>11</v>
      </c>
    </row>
    <row r="417" spans="3:4" x14ac:dyDescent="0.3">
      <c r="C417" s="1" t="s">
        <v>350</v>
      </c>
      <c r="D417" s="1" t="s">
        <v>12</v>
      </c>
    </row>
    <row r="418" spans="3:4" x14ac:dyDescent="0.3">
      <c r="C418" s="1" t="s">
        <v>351</v>
      </c>
      <c r="D418" s="1" t="s">
        <v>15</v>
      </c>
    </row>
    <row r="419" spans="3:4" x14ac:dyDescent="0.3">
      <c r="C419" s="1" t="s">
        <v>714</v>
      </c>
      <c r="D419" s="1" t="s">
        <v>13</v>
      </c>
    </row>
    <row r="420" spans="3:4" x14ac:dyDescent="0.3">
      <c r="C420" s="1" t="s">
        <v>715</v>
      </c>
      <c r="D420" s="1" t="s">
        <v>18</v>
      </c>
    </row>
    <row r="421" spans="3:4" x14ac:dyDescent="0.3">
      <c r="C421" s="1" t="s">
        <v>716</v>
      </c>
      <c r="D421" s="1" t="s">
        <v>14</v>
      </c>
    </row>
    <row r="422" spans="3:4" x14ac:dyDescent="0.3">
      <c r="C422" s="1" t="s">
        <v>717</v>
      </c>
      <c r="D422" s="1" t="s">
        <v>21</v>
      </c>
    </row>
    <row r="423" spans="3:4" x14ac:dyDescent="0.3">
      <c r="C423" s="1" t="s">
        <v>718</v>
      </c>
      <c r="D423" s="1" t="s">
        <v>24</v>
      </c>
    </row>
    <row r="424" spans="3:4" x14ac:dyDescent="0.3">
      <c r="C424" s="1" t="s">
        <v>352</v>
      </c>
      <c r="D424" s="1" t="s">
        <v>23</v>
      </c>
    </row>
    <row r="425" spans="3:4" x14ac:dyDescent="0.3">
      <c r="C425" s="1" t="s">
        <v>719</v>
      </c>
      <c r="D425" s="1" t="s">
        <v>11</v>
      </c>
    </row>
    <row r="426" spans="3:4" x14ac:dyDescent="0.3">
      <c r="C426" s="1" t="s">
        <v>720</v>
      </c>
      <c r="D426" s="1" t="s">
        <v>11</v>
      </c>
    </row>
    <row r="427" spans="3:4" x14ac:dyDescent="0.3">
      <c r="C427" s="1" t="s">
        <v>721</v>
      </c>
      <c r="D427" s="1" t="s">
        <v>12</v>
      </c>
    </row>
    <row r="428" spans="3:4" x14ac:dyDescent="0.3">
      <c r="C428" s="1" t="s">
        <v>325</v>
      </c>
      <c r="D428" s="1" t="s">
        <v>17</v>
      </c>
    </row>
    <row r="429" spans="3:4" x14ac:dyDescent="0.3">
      <c r="C429" s="1" t="s">
        <v>722</v>
      </c>
      <c r="D429" s="1" t="s">
        <v>26</v>
      </c>
    </row>
    <row r="430" spans="3:4" x14ac:dyDescent="0.3">
      <c r="C430" s="1" t="s">
        <v>326</v>
      </c>
      <c r="D430" s="1" t="s">
        <v>20</v>
      </c>
    </row>
    <row r="431" spans="3:4" x14ac:dyDescent="0.3">
      <c r="C431" s="1" t="s">
        <v>723</v>
      </c>
      <c r="D431" s="1" t="s">
        <v>14</v>
      </c>
    </row>
    <row r="432" spans="3:4" x14ac:dyDescent="0.3">
      <c r="C432" s="1" t="s">
        <v>724</v>
      </c>
      <c r="D432" s="1" t="s">
        <v>11</v>
      </c>
    </row>
    <row r="433" spans="3:4" x14ac:dyDescent="0.3">
      <c r="C433" s="1" t="s">
        <v>725</v>
      </c>
      <c r="D433" s="1" t="s">
        <v>11</v>
      </c>
    </row>
    <row r="434" spans="3:4" x14ac:dyDescent="0.3">
      <c r="C434" s="1" t="s">
        <v>726</v>
      </c>
      <c r="D434" s="1" t="s">
        <v>20</v>
      </c>
    </row>
    <row r="435" spans="3:4" x14ac:dyDescent="0.3">
      <c r="C435" s="1" t="s">
        <v>727</v>
      </c>
      <c r="D435" s="1" t="s">
        <v>15</v>
      </c>
    </row>
    <row r="436" spans="3:4" x14ac:dyDescent="0.3">
      <c r="C436" s="1" t="s">
        <v>728</v>
      </c>
      <c r="D436" s="1" t="s">
        <v>14</v>
      </c>
    </row>
    <row r="437" spans="3:4" x14ac:dyDescent="0.3">
      <c r="C437" s="1" t="s">
        <v>729</v>
      </c>
      <c r="D437" s="1" t="s">
        <v>11</v>
      </c>
    </row>
    <row r="438" spans="3:4" x14ac:dyDescent="0.3">
      <c r="C438" s="1" t="s">
        <v>730</v>
      </c>
      <c r="D438" s="1" t="s">
        <v>11</v>
      </c>
    </row>
    <row r="439" spans="3:4" x14ac:dyDescent="0.3">
      <c r="C439" s="1" t="s">
        <v>731</v>
      </c>
      <c r="D439" s="1" t="s">
        <v>12</v>
      </c>
    </row>
    <row r="440" spans="3:4" x14ac:dyDescent="0.3">
      <c r="C440" s="1" t="s">
        <v>732</v>
      </c>
      <c r="D440" s="1" t="s">
        <v>14</v>
      </c>
    </row>
    <row r="441" spans="3:4" x14ac:dyDescent="0.3">
      <c r="C441" s="1" t="s">
        <v>733</v>
      </c>
      <c r="D441" s="1" t="s">
        <v>12</v>
      </c>
    </row>
    <row r="442" spans="3:4" x14ac:dyDescent="0.3">
      <c r="C442" s="1" t="s">
        <v>734</v>
      </c>
      <c r="D442" s="1" t="s">
        <v>23</v>
      </c>
    </row>
    <row r="443" spans="3:4" x14ac:dyDescent="0.3">
      <c r="C443" s="1" t="s">
        <v>735</v>
      </c>
      <c r="D443" s="1" t="s">
        <v>14</v>
      </c>
    </row>
    <row r="444" spans="3:4" x14ac:dyDescent="0.3">
      <c r="C444" s="1" t="s">
        <v>736</v>
      </c>
      <c r="D444" s="1" t="s">
        <v>14</v>
      </c>
    </row>
    <row r="445" spans="3:4" x14ac:dyDescent="0.3">
      <c r="C445" s="1" t="s">
        <v>737</v>
      </c>
      <c r="D445" s="1" t="s">
        <v>15</v>
      </c>
    </row>
    <row r="446" spans="3:4" x14ac:dyDescent="0.3">
      <c r="C446" s="1" t="s">
        <v>738</v>
      </c>
      <c r="D446" s="1" t="s">
        <v>23</v>
      </c>
    </row>
    <row r="447" spans="3:4" x14ac:dyDescent="0.3">
      <c r="C447" s="1" t="s">
        <v>739</v>
      </c>
      <c r="D447" s="1" t="s">
        <v>14</v>
      </c>
    </row>
    <row r="448" spans="3:4" x14ac:dyDescent="0.3">
      <c r="C448" s="1" t="s">
        <v>740</v>
      </c>
      <c r="D448" s="1" t="s">
        <v>14</v>
      </c>
    </row>
    <row r="449" spans="3:4" x14ac:dyDescent="0.3">
      <c r="C449" s="1" t="s">
        <v>355</v>
      </c>
      <c r="D449" s="1" t="s">
        <v>25</v>
      </c>
    </row>
    <row r="450" spans="3:4" x14ac:dyDescent="0.3">
      <c r="C450" s="1" t="s">
        <v>741</v>
      </c>
      <c r="D450" s="1" t="s">
        <v>15</v>
      </c>
    </row>
    <row r="451" spans="3:4" x14ac:dyDescent="0.3">
      <c r="C451" s="1" t="s">
        <v>742</v>
      </c>
      <c r="D451" s="1" t="s">
        <v>22</v>
      </c>
    </row>
    <row r="452" spans="3:4" x14ac:dyDescent="0.3">
      <c r="C452" s="1" t="s">
        <v>743</v>
      </c>
      <c r="D452" s="1" t="s">
        <v>17</v>
      </c>
    </row>
    <row r="453" spans="3:4" x14ac:dyDescent="0.3">
      <c r="C453" s="1" t="s">
        <v>744</v>
      </c>
      <c r="D453" s="1" t="s">
        <v>12</v>
      </c>
    </row>
    <row r="454" spans="3:4" x14ac:dyDescent="0.3">
      <c r="C454" s="1" t="s">
        <v>745</v>
      </c>
      <c r="D454" s="1" t="s">
        <v>15</v>
      </c>
    </row>
    <row r="455" spans="3:4" x14ac:dyDescent="0.3">
      <c r="C455" s="1" t="s">
        <v>746</v>
      </c>
      <c r="D455" s="1" t="s">
        <v>15</v>
      </c>
    </row>
    <row r="456" spans="3:4" x14ac:dyDescent="0.3">
      <c r="C456" s="1" t="s">
        <v>747</v>
      </c>
      <c r="D456" s="1" t="s">
        <v>15</v>
      </c>
    </row>
    <row r="457" spans="3:4" x14ac:dyDescent="0.3">
      <c r="C457" s="1" t="s">
        <v>748</v>
      </c>
      <c r="D457" s="1" t="s">
        <v>11</v>
      </c>
    </row>
    <row r="458" spans="3:4" x14ac:dyDescent="0.3">
      <c r="C458" s="1" t="s">
        <v>749</v>
      </c>
      <c r="D458" s="1" t="s">
        <v>23</v>
      </c>
    </row>
    <row r="459" spans="3:4" x14ac:dyDescent="0.3">
      <c r="C459" s="1" t="s">
        <v>750</v>
      </c>
      <c r="D459" s="1" t="s">
        <v>27</v>
      </c>
    </row>
    <row r="460" spans="3:4" x14ac:dyDescent="0.3">
      <c r="C460" s="1" t="s">
        <v>751</v>
      </c>
      <c r="D460" s="1" t="s">
        <v>15</v>
      </c>
    </row>
    <row r="461" spans="3:4" x14ac:dyDescent="0.3">
      <c r="C461" s="1" t="s">
        <v>752</v>
      </c>
      <c r="D461" s="1" t="s">
        <v>11</v>
      </c>
    </row>
    <row r="462" spans="3:4" x14ac:dyDescent="0.3">
      <c r="C462" s="1" t="s">
        <v>753</v>
      </c>
      <c r="D462" s="1" t="s">
        <v>17</v>
      </c>
    </row>
    <row r="463" spans="3:4" x14ac:dyDescent="0.3">
      <c r="C463" s="1" t="s">
        <v>754</v>
      </c>
      <c r="D463" s="1" t="s">
        <v>11</v>
      </c>
    </row>
    <row r="464" spans="3:4" x14ac:dyDescent="0.3">
      <c r="C464" s="1" t="s">
        <v>755</v>
      </c>
      <c r="D464" s="1" t="s">
        <v>26</v>
      </c>
    </row>
    <row r="465" spans="3:4" x14ac:dyDescent="0.3">
      <c r="C465" s="1" t="s">
        <v>756</v>
      </c>
      <c r="D465" s="1" t="s">
        <v>11</v>
      </c>
    </row>
    <row r="466" spans="3:4" x14ac:dyDescent="0.3">
      <c r="C466" s="1" t="s">
        <v>757</v>
      </c>
      <c r="D466" s="1" t="s">
        <v>12</v>
      </c>
    </row>
    <row r="467" spans="3:4" x14ac:dyDescent="0.3">
      <c r="C467" s="1" t="s">
        <v>328</v>
      </c>
      <c r="D467" s="1" t="s">
        <v>27</v>
      </c>
    </row>
    <row r="468" spans="3:4" x14ac:dyDescent="0.3">
      <c r="C468" s="1" t="s">
        <v>331</v>
      </c>
      <c r="D468" s="1" t="s">
        <v>12</v>
      </c>
    </row>
    <row r="469" spans="3:4" x14ac:dyDescent="0.3">
      <c r="C469" s="1" t="s">
        <v>758</v>
      </c>
      <c r="D469" s="1" t="s">
        <v>28</v>
      </c>
    </row>
    <row r="470" spans="3:4" x14ac:dyDescent="0.3">
      <c r="C470" s="1" t="s">
        <v>759</v>
      </c>
      <c r="D470" s="1" t="s">
        <v>28</v>
      </c>
    </row>
    <row r="471" spans="3:4" x14ac:dyDescent="0.3">
      <c r="C471" s="1" t="s">
        <v>760</v>
      </c>
      <c r="D471" s="1" t="s">
        <v>28</v>
      </c>
    </row>
    <row r="472" spans="3:4" x14ac:dyDescent="0.3">
      <c r="C472" s="1" t="s">
        <v>761</v>
      </c>
      <c r="D472" s="1" t="s">
        <v>28</v>
      </c>
    </row>
    <row r="473" spans="3:4" x14ac:dyDescent="0.3">
      <c r="C473" s="1" t="s">
        <v>762</v>
      </c>
      <c r="D473" s="1" t="s">
        <v>28</v>
      </c>
    </row>
    <row r="474" spans="3:4" x14ac:dyDescent="0.3">
      <c r="C474" s="1" t="s">
        <v>763</v>
      </c>
      <c r="D474" s="1" t="s">
        <v>28</v>
      </c>
    </row>
    <row r="475" spans="3:4" x14ac:dyDescent="0.3">
      <c r="C475" s="1" t="s">
        <v>764</v>
      </c>
      <c r="D475" s="1" t="s">
        <v>28</v>
      </c>
    </row>
    <row r="476" spans="3:4" x14ac:dyDescent="0.3">
      <c r="C476" s="1" t="s">
        <v>765</v>
      </c>
      <c r="D476" s="1" t="s">
        <v>17</v>
      </c>
    </row>
    <row r="477" spans="3:4" x14ac:dyDescent="0.3">
      <c r="C477" s="1" t="s">
        <v>766</v>
      </c>
      <c r="D477" s="1" t="s">
        <v>19</v>
      </c>
    </row>
    <row r="478" spans="3:4" x14ac:dyDescent="0.3">
      <c r="C478" s="1" t="s">
        <v>767</v>
      </c>
      <c r="D478" s="1" t="s">
        <v>14</v>
      </c>
    </row>
    <row r="479" spans="3:4" x14ac:dyDescent="0.3">
      <c r="C479" s="1" t="s">
        <v>768</v>
      </c>
      <c r="D479" s="1" t="s">
        <v>17</v>
      </c>
    </row>
    <row r="480" spans="3:4" x14ac:dyDescent="0.3">
      <c r="C480" s="1" t="s">
        <v>769</v>
      </c>
      <c r="D480" s="1" t="s">
        <v>11</v>
      </c>
    </row>
    <row r="481" spans="3:4" x14ac:dyDescent="0.3">
      <c r="C481" s="1" t="s">
        <v>770</v>
      </c>
      <c r="D481" s="1" t="s">
        <v>11</v>
      </c>
    </row>
    <row r="482" spans="3:4" x14ac:dyDescent="0.3">
      <c r="C482" s="1" t="s">
        <v>771</v>
      </c>
      <c r="D482" s="1" t="s">
        <v>11</v>
      </c>
    </row>
    <row r="483" spans="3:4" x14ac:dyDescent="0.3">
      <c r="C483" s="1" t="s">
        <v>772</v>
      </c>
      <c r="D483" s="1" t="s">
        <v>14</v>
      </c>
    </row>
    <row r="484" spans="3:4" x14ac:dyDescent="0.3">
      <c r="C484" s="1" t="s">
        <v>773</v>
      </c>
      <c r="D484" s="1" t="s">
        <v>11</v>
      </c>
    </row>
    <row r="485" spans="3:4" x14ac:dyDescent="0.3">
      <c r="C485" s="1" t="s">
        <v>774</v>
      </c>
      <c r="D485" s="1" t="s">
        <v>11</v>
      </c>
    </row>
    <row r="486" spans="3:4" x14ac:dyDescent="0.3">
      <c r="C486" s="1" t="s">
        <v>775</v>
      </c>
      <c r="D486" s="1" t="s">
        <v>17</v>
      </c>
    </row>
    <row r="487" spans="3:4" x14ac:dyDescent="0.3">
      <c r="C487" s="1" t="s">
        <v>776</v>
      </c>
      <c r="D487" s="1" t="s">
        <v>11</v>
      </c>
    </row>
    <row r="488" spans="3:4" x14ac:dyDescent="0.3">
      <c r="C488" s="1" t="s">
        <v>777</v>
      </c>
      <c r="D488" s="1" t="s">
        <v>17</v>
      </c>
    </row>
    <row r="489" spans="3:4" x14ac:dyDescent="0.3">
      <c r="C489" s="1" t="s">
        <v>778</v>
      </c>
      <c r="D489" s="1" t="s">
        <v>11</v>
      </c>
    </row>
    <row r="490" spans="3:4" x14ac:dyDescent="0.3">
      <c r="C490" s="1" t="s">
        <v>779</v>
      </c>
      <c r="D490" s="1" t="s">
        <v>14</v>
      </c>
    </row>
    <row r="491" spans="3:4" x14ac:dyDescent="0.3">
      <c r="C491" s="1" t="s">
        <v>780</v>
      </c>
      <c r="D491" s="1" t="s">
        <v>26</v>
      </c>
    </row>
    <row r="492" spans="3:4" x14ac:dyDescent="0.3">
      <c r="C492" s="1" t="s">
        <v>781</v>
      </c>
      <c r="D492" s="1" t="s">
        <v>19</v>
      </c>
    </row>
    <row r="493" spans="3:4" x14ac:dyDescent="0.3">
      <c r="C493" s="1" t="s">
        <v>782</v>
      </c>
      <c r="D493" s="1" t="s">
        <v>14</v>
      </c>
    </row>
    <row r="494" spans="3:4" x14ac:dyDescent="0.3">
      <c r="C494" s="1" t="s">
        <v>783</v>
      </c>
      <c r="D494" s="1" t="s">
        <v>17</v>
      </c>
    </row>
    <row r="495" spans="3:4" x14ac:dyDescent="0.3">
      <c r="C495" s="1" t="s">
        <v>784</v>
      </c>
      <c r="D495" s="1" t="s">
        <v>25</v>
      </c>
    </row>
    <row r="496" spans="3:4" x14ac:dyDescent="0.3">
      <c r="C496" s="1" t="s">
        <v>785</v>
      </c>
      <c r="D496" s="1" t="s">
        <v>13</v>
      </c>
    </row>
    <row r="497" spans="3:4" x14ac:dyDescent="0.3">
      <c r="C497" s="1" t="s">
        <v>786</v>
      </c>
      <c r="D497" s="1" t="s">
        <v>25</v>
      </c>
    </row>
    <row r="498" spans="3:4" x14ac:dyDescent="0.3">
      <c r="C498" s="1" t="s">
        <v>787</v>
      </c>
      <c r="D498" s="1" t="s">
        <v>11</v>
      </c>
    </row>
    <row r="499" spans="3:4" x14ac:dyDescent="0.3">
      <c r="C499" s="1" t="s">
        <v>788</v>
      </c>
      <c r="D499" s="1" t="s">
        <v>15</v>
      </c>
    </row>
    <row r="500" spans="3:4" x14ac:dyDescent="0.3">
      <c r="C500" s="1" t="s">
        <v>789</v>
      </c>
      <c r="D500" s="1" t="s">
        <v>11</v>
      </c>
    </row>
    <row r="501" spans="3:4" x14ac:dyDescent="0.3">
      <c r="C501" s="1" t="s">
        <v>790</v>
      </c>
      <c r="D501" s="1" t="s">
        <v>17</v>
      </c>
    </row>
    <row r="502" spans="3:4" x14ac:dyDescent="0.3">
      <c r="C502" s="1" t="s">
        <v>791</v>
      </c>
      <c r="D502" s="1" t="s">
        <v>28</v>
      </c>
    </row>
    <row r="503" spans="3:4" x14ac:dyDescent="0.3">
      <c r="C503" s="1" t="s">
        <v>792</v>
      </c>
      <c r="D503" s="1" t="s">
        <v>14</v>
      </c>
    </row>
    <row r="504" spans="3:4" x14ac:dyDescent="0.3">
      <c r="C504" s="1" t="s">
        <v>793</v>
      </c>
      <c r="D504" s="1" t="s">
        <v>17</v>
      </c>
    </row>
    <row r="505" spans="3:4" x14ac:dyDescent="0.3">
      <c r="C505" s="1" t="s">
        <v>794</v>
      </c>
      <c r="D505" s="1" t="s">
        <v>17</v>
      </c>
    </row>
    <row r="506" spans="3:4" x14ac:dyDescent="0.3">
      <c r="C506" s="1" t="s">
        <v>795</v>
      </c>
      <c r="D506" s="1" t="s">
        <v>11</v>
      </c>
    </row>
    <row r="507" spans="3:4" x14ac:dyDescent="0.3">
      <c r="C507" s="1" t="s">
        <v>796</v>
      </c>
      <c r="D507" s="1" t="s">
        <v>17</v>
      </c>
    </row>
    <row r="508" spans="3:4" x14ac:dyDescent="0.3">
      <c r="C508" s="1" t="s">
        <v>797</v>
      </c>
      <c r="D508" s="1" t="s">
        <v>11</v>
      </c>
    </row>
    <row r="509" spans="3:4" x14ac:dyDescent="0.3">
      <c r="C509" s="1" t="s">
        <v>798</v>
      </c>
      <c r="D509" s="1" t="s">
        <v>26</v>
      </c>
    </row>
    <row r="510" spans="3:4" x14ac:dyDescent="0.3">
      <c r="C510" s="1" t="s">
        <v>799</v>
      </c>
      <c r="D510" s="1" t="s">
        <v>11</v>
      </c>
    </row>
    <row r="511" spans="3:4" x14ac:dyDescent="0.3">
      <c r="C511" s="1" t="s">
        <v>800</v>
      </c>
      <c r="D511" s="1" t="s">
        <v>11</v>
      </c>
    </row>
    <row r="512" spans="3:4" x14ac:dyDescent="0.3">
      <c r="C512" s="1" t="s">
        <v>801</v>
      </c>
      <c r="D512" s="1" t="s">
        <v>15</v>
      </c>
    </row>
    <row r="513" spans="3:4" x14ac:dyDescent="0.3">
      <c r="C513" s="1" t="s">
        <v>802</v>
      </c>
      <c r="D513" s="1" t="s">
        <v>17</v>
      </c>
    </row>
    <row r="514" spans="3:4" x14ac:dyDescent="0.3">
      <c r="C514" s="1" t="s">
        <v>803</v>
      </c>
      <c r="D514" s="1" t="s">
        <v>11</v>
      </c>
    </row>
    <row r="515" spans="3:4" x14ac:dyDescent="0.3">
      <c r="C515" s="1" t="s">
        <v>804</v>
      </c>
      <c r="D515" s="1" t="s">
        <v>14</v>
      </c>
    </row>
    <row r="516" spans="3:4" x14ac:dyDescent="0.3">
      <c r="C516" s="1" t="s">
        <v>805</v>
      </c>
      <c r="D516" s="1" t="s">
        <v>11</v>
      </c>
    </row>
    <row r="517" spans="3:4" x14ac:dyDescent="0.3">
      <c r="C517" s="1" t="s">
        <v>806</v>
      </c>
      <c r="D517" s="1" t="s">
        <v>17</v>
      </c>
    </row>
    <row r="518" spans="3:4" x14ac:dyDescent="0.3">
      <c r="C518" s="1" t="s">
        <v>807</v>
      </c>
      <c r="D518" s="1" t="s">
        <v>17</v>
      </c>
    </row>
    <row r="519" spans="3:4" x14ac:dyDescent="0.3">
      <c r="C519" s="1" t="s">
        <v>808</v>
      </c>
      <c r="D519" s="1" t="s">
        <v>14</v>
      </c>
    </row>
    <row r="520" spans="3:4" x14ac:dyDescent="0.3">
      <c r="C520" s="1" t="s">
        <v>809</v>
      </c>
      <c r="D520" s="1" t="s">
        <v>11</v>
      </c>
    </row>
    <row r="521" spans="3:4" x14ac:dyDescent="0.3">
      <c r="C521" s="1" t="s">
        <v>810</v>
      </c>
      <c r="D521" s="1" t="s">
        <v>23</v>
      </c>
    </row>
    <row r="522" spans="3:4" x14ac:dyDescent="0.3">
      <c r="C522" s="1" t="s">
        <v>811</v>
      </c>
      <c r="D522" s="1" t="s">
        <v>14</v>
      </c>
    </row>
    <row r="523" spans="3:4" x14ac:dyDescent="0.3">
      <c r="C523" s="1" t="s">
        <v>812</v>
      </c>
      <c r="D523" s="1" t="s">
        <v>14</v>
      </c>
    </row>
    <row r="524" spans="3:4" x14ac:dyDescent="0.3">
      <c r="C524" s="1" t="s">
        <v>813</v>
      </c>
      <c r="D524" s="1" t="s">
        <v>15</v>
      </c>
    </row>
    <row r="525" spans="3:4" x14ac:dyDescent="0.3">
      <c r="C525" s="1" t="s">
        <v>814</v>
      </c>
      <c r="D525" s="1" t="s">
        <v>14</v>
      </c>
    </row>
    <row r="526" spans="3:4" x14ac:dyDescent="0.3">
      <c r="C526" s="1" t="s">
        <v>815</v>
      </c>
      <c r="D526" s="1" t="s">
        <v>24</v>
      </c>
    </row>
    <row r="527" spans="3:4" x14ac:dyDescent="0.3">
      <c r="C527" s="1" t="s">
        <v>816</v>
      </c>
      <c r="D527" s="1" t="s">
        <v>15</v>
      </c>
    </row>
    <row r="528" spans="3:4" x14ac:dyDescent="0.3">
      <c r="C528" s="1" t="s">
        <v>817</v>
      </c>
      <c r="D528" s="1" t="s">
        <v>14</v>
      </c>
    </row>
    <row r="529" spans="3:4" x14ac:dyDescent="0.3">
      <c r="C529" s="1" t="s">
        <v>818</v>
      </c>
      <c r="D529" s="1" t="s">
        <v>19</v>
      </c>
    </row>
    <row r="530" spans="3:4" x14ac:dyDescent="0.3">
      <c r="C530" s="1" t="s">
        <v>819</v>
      </c>
      <c r="D530" s="1" t="s">
        <v>14</v>
      </c>
    </row>
    <row r="531" spans="3:4" x14ac:dyDescent="0.3">
      <c r="C531" s="1" t="s">
        <v>820</v>
      </c>
      <c r="D531" s="1" t="s">
        <v>13</v>
      </c>
    </row>
    <row r="532" spans="3:4" x14ac:dyDescent="0.3">
      <c r="C532" s="1" t="s">
        <v>36</v>
      </c>
      <c r="D532" s="1" t="s">
        <v>19</v>
      </c>
    </row>
    <row r="533" spans="3:4" x14ac:dyDescent="0.3">
      <c r="C533" s="1" t="s">
        <v>821</v>
      </c>
      <c r="D533" s="1" t="s">
        <v>13</v>
      </c>
    </row>
    <row r="534" spans="3:4" x14ac:dyDescent="0.3">
      <c r="C534" s="1" t="s">
        <v>822</v>
      </c>
      <c r="D534" s="1" t="s">
        <v>25</v>
      </c>
    </row>
    <row r="535" spans="3:4" x14ac:dyDescent="0.3">
      <c r="C535" s="1" t="s">
        <v>823</v>
      </c>
      <c r="D535" s="1" t="s">
        <v>11</v>
      </c>
    </row>
    <row r="536" spans="3:4" x14ac:dyDescent="0.3">
      <c r="C536" s="1" t="s">
        <v>824</v>
      </c>
      <c r="D536" s="1" t="s">
        <v>25</v>
      </c>
    </row>
    <row r="537" spans="3:4" x14ac:dyDescent="0.3">
      <c r="C537" s="1" t="s">
        <v>232</v>
      </c>
      <c r="D537" s="1" t="s">
        <v>17</v>
      </c>
    </row>
    <row r="538" spans="3:4" x14ac:dyDescent="0.3">
      <c r="C538" s="1" t="s">
        <v>825</v>
      </c>
      <c r="D538" s="1" t="s">
        <v>23</v>
      </c>
    </row>
    <row r="539" spans="3:4" x14ac:dyDescent="0.3">
      <c r="C539" s="1" t="s">
        <v>826</v>
      </c>
      <c r="D539" s="1" t="s">
        <v>11</v>
      </c>
    </row>
    <row r="540" spans="3:4" x14ac:dyDescent="0.3">
      <c r="C540" s="1" t="s">
        <v>827</v>
      </c>
      <c r="D540" s="1" t="s">
        <v>11</v>
      </c>
    </row>
    <row r="541" spans="3:4" x14ac:dyDescent="0.3">
      <c r="C541" s="1" t="s">
        <v>233</v>
      </c>
      <c r="D541" s="1" t="s">
        <v>11</v>
      </c>
    </row>
    <row r="542" spans="3:4" x14ac:dyDescent="0.3">
      <c r="C542" s="1" t="s">
        <v>828</v>
      </c>
      <c r="D542" s="1" t="s">
        <v>11</v>
      </c>
    </row>
    <row r="543" spans="3:4" x14ac:dyDescent="0.3">
      <c r="C543" s="1" t="s">
        <v>829</v>
      </c>
      <c r="D543" s="1" t="s">
        <v>24</v>
      </c>
    </row>
    <row r="544" spans="3:4" x14ac:dyDescent="0.3">
      <c r="C544" s="1" t="s">
        <v>830</v>
      </c>
      <c r="D544" s="1" t="s">
        <v>17</v>
      </c>
    </row>
    <row r="545" spans="3:4" x14ac:dyDescent="0.3">
      <c r="C545" s="1" t="s">
        <v>831</v>
      </c>
      <c r="D545" s="1" t="s">
        <v>28</v>
      </c>
    </row>
    <row r="546" spans="3:4" x14ac:dyDescent="0.3">
      <c r="C546" s="1" t="s">
        <v>341</v>
      </c>
      <c r="D546" s="1" t="s">
        <v>27</v>
      </c>
    </row>
    <row r="547" spans="3:4" x14ac:dyDescent="0.3">
      <c r="C547" s="1" t="s">
        <v>832</v>
      </c>
      <c r="D547" s="1" t="s">
        <v>25</v>
      </c>
    </row>
    <row r="548" spans="3:4" x14ac:dyDescent="0.3">
      <c r="C548" s="1" t="s">
        <v>833</v>
      </c>
      <c r="D548" s="1" t="s">
        <v>20</v>
      </c>
    </row>
    <row r="549" spans="3:4" x14ac:dyDescent="0.3">
      <c r="C549" s="1" t="s">
        <v>834</v>
      </c>
      <c r="D549" s="1" t="s">
        <v>14</v>
      </c>
    </row>
    <row r="550" spans="3:4" x14ac:dyDescent="0.3">
      <c r="C550" s="1" t="s">
        <v>835</v>
      </c>
      <c r="D550" s="1" t="s">
        <v>11</v>
      </c>
    </row>
    <row r="551" spans="3:4" x14ac:dyDescent="0.3">
      <c r="C551" s="1" t="s">
        <v>836</v>
      </c>
      <c r="D551" s="1" t="s">
        <v>11</v>
      </c>
    </row>
    <row r="552" spans="3:4" x14ac:dyDescent="0.3">
      <c r="C552" s="1" t="s">
        <v>837</v>
      </c>
      <c r="D552" s="1" t="s">
        <v>17</v>
      </c>
    </row>
    <row r="553" spans="3:4" x14ac:dyDescent="0.3">
      <c r="C553" s="1" t="s">
        <v>38</v>
      </c>
      <c r="D553" s="1" t="s">
        <v>25</v>
      </c>
    </row>
    <row r="554" spans="3:4" x14ac:dyDescent="0.3">
      <c r="C554" s="1" t="s">
        <v>838</v>
      </c>
      <c r="D554" s="1" t="s">
        <v>11</v>
      </c>
    </row>
    <row r="555" spans="3:4" x14ac:dyDescent="0.3">
      <c r="C555" s="1" t="s">
        <v>839</v>
      </c>
      <c r="D555" s="1" t="s">
        <v>11</v>
      </c>
    </row>
    <row r="556" spans="3:4" x14ac:dyDescent="0.3">
      <c r="C556" s="1" t="s">
        <v>840</v>
      </c>
      <c r="D556" s="1" t="s">
        <v>14</v>
      </c>
    </row>
    <row r="557" spans="3:4" x14ac:dyDescent="0.3">
      <c r="C557" s="1" t="s">
        <v>841</v>
      </c>
      <c r="D557" s="1" t="s">
        <v>26</v>
      </c>
    </row>
    <row r="558" spans="3:4" x14ac:dyDescent="0.3">
      <c r="C558" s="1" t="s">
        <v>842</v>
      </c>
      <c r="D558" s="1" t="s">
        <v>14</v>
      </c>
    </row>
    <row r="559" spans="3:4" x14ac:dyDescent="0.3">
      <c r="C559" s="1" t="s">
        <v>843</v>
      </c>
      <c r="D559" s="1" t="s">
        <v>14</v>
      </c>
    </row>
    <row r="560" spans="3:4" x14ac:dyDescent="0.3">
      <c r="C560" s="1" t="s">
        <v>844</v>
      </c>
      <c r="D560" s="1" t="s">
        <v>24</v>
      </c>
    </row>
    <row r="561" spans="3:4" x14ac:dyDescent="0.3">
      <c r="C561" s="1" t="s">
        <v>845</v>
      </c>
      <c r="D561" s="1" t="s">
        <v>15</v>
      </c>
    </row>
    <row r="562" spans="3:4" x14ac:dyDescent="0.3">
      <c r="C562" s="1" t="s">
        <v>846</v>
      </c>
      <c r="D562" s="1" t="s">
        <v>12</v>
      </c>
    </row>
    <row r="563" spans="3:4" x14ac:dyDescent="0.3">
      <c r="C563" s="1" t="s">
        <v>847</v>
      </c>
      <c r="D563" s="1" t="s">
        <v>11</v>
      </c>
    </row>
    <row r="564" spans="3:4" x14ac:dyDescent="0.3">
      <c r="C564" s="1" t="s">
        <v>848</v>
      </c>
      <c r="D564" s="1" t="s">
        <v>15</v>
      </c>
    </row>
    <row r="565" spans="3:4" x14ac:dyDescent="0.3">
      <c r="C565" s="1" t="s">
        <v>849</v>
      </c>
      <c r="D565" s="1" t="s">
        <v>14</v>
      </c>
    </row>
    <row r="566" spans="3:4" x14ac:dyDescent="0.3">
      <c r="C566" s="1" t="s">
        <v>850</v>
      </c>
      <c r="D566" s="1" t="s">
        <v>27</v>
      </c>
    </row>
    <row r="567" spans="3:4" x14ac:dyDescent="0.3">
      <c r="C567" s="1" t="s">
        <v>851</v>
      </c>
      <c r="D567" s="1" t="s">
        <v>25</v>
      </c>
    </row>
    <row r="568" spans="3:4" x14ac:dyDescent="0.3">
      <c r="C568" s="1" t="s">
        <v>852</v>
      </c>
      <c r="D568" s="1" t="s">
        <v>14</v>
      </c>
    </row>
    <row r="569" spans="3:4" x14ac:dyDescent="0.3">
      <c r="C569" s="1" t="s">
        <v>853</v>
      </c>
      <c r="D569" s="1" t="s">
        <v>24</v>
      </c>
    </row>
    <row r="570" spans="3:4" x14ac:dyDescent="0.3">
      <c r="C570" s="1" t="s">
        <v>854</v>
      </c>
      <c r="D570" s="1" t="s">
        <v>12</v>
      </c>
    </row>
    <row r="571" spans="3:4" x14ac:dyDescent="0.3">
      <c r="C571" s="1" t="s">
        <v>855</v>
      </c>
      <c r="D571" s="1" t="s">
        <v>15</v>
      </c>
    </row>
    <row r="572" spans="3:4" x14ac:dyDescent="0.3">
      <c r="C572" s="1" t="s">
        <v>856</v>
      </c>
      <c r="D572" s="1" t="s">
        <v>24</v>
      </c>
    </row>
    <row r="573" spans="3:4" x14ac:dyDescent="0.3">
      <c r="C573" s="1" t="s">
        <v>857</v>
      </c>
      <c r="D573" s="1" t="s">
        <v>17</v>
      </c>
    </row>
    <row r="574" spans="3:4" x14ac:dyDescent="0.3">
      <c r="C574" s="1" t="s">
        <v>858</v>
      </c>
      <c r="D574" s="1" t="s">
        <v>15</v>
      </c>
    </row>
    <row r="575" spans="3:4" x14ac:dyDescent="0.3">
      <c r="C575" s="1" t="s">
        <v>859</v>
      </c>
      <c r="D575" s="1" t="s">
        <v>24</v>
      </c>
    </row>
    <row r="576" spans="3:4" x14ac:dyDescent="0.3">
      <c r="C576" s="1" t="s">
        <v>860</v>
      </c>
      <c r="D576" s="1" t="s">
        <v>11</v>
      </c>
    </row>
    <row r="577" spans="3:4" x14ac:dyDescent="0.3">
      <c r="C577" s="1" t="s">
        <v>861</v>
      </c>
      <c r="D577" s="1" t="s">
        <v>11</v>
      </c>
    </row>
    <row r="578" spans="3:4" x14ac:dyDescent="0.3">
      <c r="C578" s="1" t="s">
        <v>862</v>
      </c>
      <c r="D578" s="1" t="s">
        <v>11</v>
      </c>
    </row>
    <row r="579" spans="3:4" x14ac:dyDescent="0.3">
      <c r="C579" s="1" t="s">
        <v>863</v>
      </c>
      <c r="D579" s="1" t="s">
        <v>21</v>
      </c>
    </row>
    <row r="580" spans="3:4" x14ac:dyDescent="0.3">
      <c r="C580" s="1" t="s">
        <v>864</v>
      </c>
      <c r="D580" s="1" t="s">
        <v>14</v>
      </c>
    </row>
    <row r="581" spans="3:4" x14ac:dyDescent="0.3">
      <c r="C581" s="1" t="s">
        <v>865</v>
      </c>
      <c r="D581" s="1" t="s">
        <v>15</v>
      </c>
    </row>
    <row r="582" spans="3:4" x14ac:dyDescent="0.3">
      <c r="C582" s="1" t="s">
        <v>866</v>
      </c>
      <c r="D582" s="1" t="s">
        <v>27</v>
      </c>
    </row>
    <row r="583" spans="3:4" x14ac:dyDescent="0.3">
      <c r="C583" s="1" t="s">
        <v>867</v>
      </c>
      <c r="D583" s="1" t="s">
        <v>23</v>
      </c>
    </row>
    <row r="584" spans="3:4" x14ac:dyDescent="0.3">
      <c r="C584" s="1" t="s">
        <v>868</v>
      </c>
      <c r="D584" s="1" t="s">
        <v>14</v>
      </c>
    </row>
    <row r="585" spans="3:4" x14ac:dyDescent="0.3">
      <c r="C585" s="1" t="s">
        <v>869</v>
      </c>
      <c r="D585" s="1" t="s">
        <v>11</v>
      </c>
    </row>
    <row r="586" spans="3:4" x14ac:dyDescent="0.3">
      <c r="C586" s="1" t="s">
        <v>870</v>
      </c>
      <c r="D586" s="1" t="s">
        <v>17</v>
      </c>
    </row>
    <row r="587" spans="3:4" x14ac:dyDescent="0.3">
      <c r="C587" s="1" t="s">
        <v>871</v>
      </c>
      <c r="D587" s="1" t="s">
        <v>17</v>
      </c>
    </row>
    <row r="588" spans="3:4" x14ac:dyDescent="0.3">
      <c r="C588" s="1" t="s">
        <v>872</v>
      </c>
      <c r="D588" s="1" t="s">
        <v>24</v>
      </c>
    </row>
    <row r="589" spans="3:4" x14ac:dyDescent="0.3">
      <c r="C589" s="1" t="s">
        <v>873</v>
      </c>
      <c r="D589" s="1" t="s">
        <v>25</v>
      </c>
    </row>
    <row r="590" spans="3:4" x14ac:dyDescent="0.3">
      <c r="C590" s="1" t="s">
        <v>874</v>
      </c>
      <c r="D590" s="1" t="s">
        <v>12</v>
      </c>
    </row>
    <row r="591" spans="3:4" x14ac:dyDescent="0.3">
      <c r="C591" s="1" t="s">
        <v>39</v>
      </c>
      <c r="D591" s="1" t="s">
        <v>15</v>
      </c>
    </row>
    <row r="592" spans="3:4" x14ac:dyDescent="0.3">
      <c r="C592" s="1" t="s">
        <v>875</v>
      </c>
      <c r="D592" s="1" t="s">
        <v>11</v>
      </c>
    </row>
    <row r="593" spans="3:4" x14ac:dyDescent="0.3">
      <c r="C593" s="1" t="s">
        <v>876</v>
      </c>
      <c r="D593" s="1" t="s">
        <v>17</v>
      </c>
    </row>
    <row r="594" spans="3:4" x14ac:dyDescent="0.3">
      <c r="C594" s="1" t="s">
        <v>877</v>
      </c>
      <c r="D594" s="1" t="s">
        <v>24</v>
      </c>
    </row>
    <row r="595" spans="3:4" x14ac:dyDescent="0.3">
      <c r="C595" s="1" t="s">
        <v>878</v>
      </c>
      <c r="D595" s="1" t="s">
        <v>14</v>
      </c>
    </row>
    <row r="596" spans="3:4" x14ac:dyDescent="0.3">
      <c r="C596" s="1" t="s">
        <v>879</v>
      </c>
      <c r="D596" s="1" t="s">
        <v>24</v>
      </c>
    </row>
    <row r="597" spans="3:4" x14ac:dyDescent="0.3">
      <c r="C597" s="1" t="s">
        <v>880</v>
      </c>
      <c r="D597" s="1" t="s">
        <v>11</v>
      </c>
    </row>
    <row r="598" spans="3:4" x14ac:dyDescent="0.3">
      <c r="C598" s="1" t="s">
        <v>881</v>
      </c>
      <c r="D598" s="1" t="s">
        <v>18</v>
      </c>
    </row>
    <row r="599" spans="3:4" x14ac:dyDescent="0.3">
      <c r="C599" s="1" t="s">
        <v>882</v>
      </c>
      <c r="D599" s="1" t="s">
        <v>14</v>
      </c>
    </row>
    <row r="600" spans="3:4" x14ac:dyDescent="0.3">
      <c r="C600" s="1" t="s">
        <v>883</v>
      </c>
      <c r="D600" s="1" t="s">
        <v>27</v>
      </c>
    </row>
    <row r="601" spans="3:4" x14ac:dyDescent="0.3">
      <c r="C601" s="1" t="s">
        <v>884</v>
      </c>
      <c r="D601" s="1" t="s">
        <v>24</v>
      </c>
    </row>
    <row r="602" spans="3:4" x14ac:dyDescent="0.3">
      <c r="C602" s="1" t="s">
        <v>885</v>
      </c>
      <c r="D602" s="1" t="s">
        <v>11</v>
      </c>
    </row>
    <row r="603" spans="3:4" x14ac:dyDescent="0.3">
      <c r="C603" s="1" t="s">
        <v>886</v>
      </c>
      <c r="D603" s="1" t="s">
        <v>11</v>
      </c>
    </row>
    <row r="604" spans="3:4" x14ac:dyDescent="0.3">
      <c r="C604" s="1" t="s">
        <v>887</v>
      </c>
      <c r="D604" s="1" t="s">
        <v>19</v>
      </c>
    </row>
    <row r="605" spans="3:4" x14ac:dyDescent="0.3">
      <c r="C605" s="1" t="s">
        <v>888</v>
      </c>
      <c r="D605" s="1" t="s">
        <v>15</v>
      </c>
    </row>
    <row r="606" spans="3:4" x14ac:dyDescent="0.3">
      <c r="C606" s="1" t="s">
        <v>889</v>
      </c>
      <c r="D606" s="1" t="s">
        <v>26</v>
      </c>
    </row>
    <row r="607" spans="3:4" x14ac:dyDescent="0.3">
      <c r="C607" s="1" t="s">
        <v>890</v>
      </c>
      <c r="D607" s="1" t="s">
        <v>14</v>
      </c>
    </row>
    <row r="608" spans="3:4" x14ac:dyDescent="0.3">
      <c r="C608" s="1" t="s">
        <v>891</v>
      </c>
      <c r="D608" s="1" t="s">
        <v>27</v>
      </c>
    </row>
    <row r="609" spans="3:4" x14ac:dyDescent="0.3">
      <c r="C609" s="1" t="s">
        <v>892</v>
      </c>
      <c r="D609" s="1" t="s">
        <v>15</v>
      </c>
    </row>
    <row r="610" spans="3:4" x14ac:dyDescent="0.3">
      <c r="C610" s="1" t="s">
        <v>893</v>
      </c>
      <c r="D610" s="1" t="s">
        <v>24</v>
      </c>
    </row>
    <row r="611" spans="3:4" x14ac:dyDescent="0.3">
      <c r="C611" s="1" t="s">
        <v>894</v>
      </c>
      <c r="D611" s="1" t="s">
        <v>14</v>
      </c>
    </row>
    <row r="612" spans="3:4" x14ac:dyDescent="0.3">
      <c r="C612" s="1" t="s">
        <v>895</v>
      </c>
      <c r="D612" s="1" t="s">
        <v>24</v>
      </c>
    </row>
    <row r="613" spans="3:4" x14ac:dyDescent="0.3">
      <c r="C613" s="1" t="s">
        <v>896</v>
      </c>
      <c r="D613" s="1" t="s">
        <v>14</v>
      </c>
    </row>
    <row r="614" spans="3:4" x14ac:dyDescent="0.3">
      <c r="C614" s="1" t="s">
        <v>897</v>
      </c>
      <c r="D614" s="1" t="s">
        <v>27</v>
      </c>
    </row>
    <row r="615" spans="3:4" x14ac:dyDescent="0.3">
      <c r="C615" s="1" t="s">
        <v>898</v>
      </c>
      <c r="D615" s="1" t="s">
        <v>23</v>
      </c>
    </row>
    <row r="616" spans="3:4" x14ac:dyDescent="0.3">
      <c r="C616" s="1" t="s">
        <v>899</v>
      </c>
      <c r="D616" s="1" t="s">
        <v>11</v>
      </c>
    </row>
    <row r="617" spans="3:4" x14ac:dyDescent="0.3">
      <c r="C617" s="1" t="s">
        <v>900</v>
      </c>
      <c r="D617" s="1" t="s">
        <v>20</v>
      </c>
    </row>
    <row r="618" spans="3:4" x14ac:dyDescent="0.3">
      <c r="C618" s="1" t="s">
        <v>901</v>
      </c>
      <c r="D618" s="1" t="s">
        <v>23</v>
      </c>
    </row>
    <row r="619" spans="3:4" x14ac:dyDescent="0.3">
      <c r="C619" s="1" t="s">
        <v>902</v>
      </c>
      <c r="D619" s="1" t="s">
        <v>17</v>
      </c>
    </row>
    <row r="620" spans="3:4" x14ac:dyDescent="0.3">
      <c r="C620" s="1" t="s">
        <v>903</v>
      </c>
      <c r="D620" s="1" t="s">
        <v>24</v>
      </c>
    </row>
    <row r="621" spans="3:4" x14ac:dyDescent="0.3">
      <c r="C621" s="1" t="s">
        <v>904</v>
      </c>
      <c r="D621" s="1" t="s">
        <v>24</v>
      </c>
    </row>
    <row r="622" spans="3:4" x14ac:dyDescent="0.3">
      <c r="C622" s="1" t="s">
        <v>905</v>
      </c>
      <c r="D622" s="1" t="s">
        <v>27</v>
      </c>
    </row>
    <row r="623" spans="3:4" x14ac:dyDescent="0.3">
      <c r="C623" s="1" t="s">
        <v>906</v>
      </c>
      <c r="D623" s="1" t="s">
        <v>14</v>
      </c>
    </row>
    <row r="624" spans="3:4" x14ac:dyDescent="0.3">
      <c r="C624" s="1" t="s">
        <v>907</v>
      </c>
      <c r="D624" s="1" t="s">
        <v>14</v>
      </c>
    </row>
    <row r="625" spans="3:4" x14ac:dyDescent="0.3">
      <c r="C625" s="1" t="s">
        <v>908</v>
      </c>
      <c r="D625" s="1" t="s">
        <v>15</v>
      </c>
    </row>
    <row r="626" spans="3:4" x14ac:dyDescent="0.3">
      <c r="C626" s="1" t="s">
        <v>909</v>
      </c>
      <c r="D626" s="1" t="s">
        <v>14</v>
      </c>
    </row>
    <row r="627" spans="3:4" x14ac:dyDescent="0.3">
      <c r="C627" s="1" t="s">
        <v>910</v>
      </c>
      <c r="D627" s="1" t="s">
        <v>14</v>
      </c>
    </row>
    <row r="628" spans="3:4" x14ac:dyDescent="0.3">
      <c r="C628" s="1" t="s">
        <v>911</v>
      </c>
      <c r="D628" s="1" t="s">
        <v>15</v>
      </c>
    </row>
    <row r="629" spans="3:4" x14ac:dyDescent="0.3">
      <c r="C629" s="1" t="s">
        <v>912</v>
      </c>
      <c r="D629" s="1" t="s">
        <v>24</v>
      </c>
    </row>
    <row r="630" spans="3:4" x14ac:dyDescent="0.3">
      <c r="C630" s="1" t="s">
        <v>913</v>
      </c>
      <c r="D630" s="1" t="s">
        <v>14</v>
      </c>
    </row>
    <row r="631" spans="3:4" x14ac:dyDescent="0.3">
      <c r="C631" s="1" t="s">
        <v>914</v>
      </c>
      <c r="D631" s="1" t="s">
        <v>21</v>
      </c>
    </row>
    <row r="632" spans="3:4" x14ac:dyDescent="0.3">
      <c r="C632" s="1" t="s">
        <v>915</v>
      </c>
      <c r="D632" s="1" t="s">
        <v>24</v>
      </c>
    </row>
    <row r="633" spans="3:4" x14ac:dyDescent="0.3">
      <c r="C633" s="1" t="s">
        <v>916</v>
      </c>
      <c r="D633" s="1" t="s">
        <v>26</v>
      </c>
    </row>
    <row r="634" spans="3:4" x14ac:dyDescent="0.3">
      <c r="C634" s="1" t="s">
        <v>917</v>
      </c>
      <c r="D634" s="1" t="s">
        <v>14</v>
      </c>
    </row>
    <row r="635" spans="3:4" x14ac:dyDescent="0.3">
      <c r="C635" s="1" t="s">
        <v>918</v>
      </c>
      <c r="D635" s="1" t="s">
        <v>28</v>
      </c>
    </row>
    <row r="636" spans="3:4" x14ac:dyDescent="0.3">
      <c r="C636" s="1" t="s">
        <v>919</v>
      </c>
      <c r="D636" s="1" t="s">
        <v>17</v>
      </c>
    </row>
    <row r="637" spans="3:4" x14ac:dyDescent="0.3">
      <c r="C637" s="1" t="s">
        <v>920</v>
      </c>
      <c r="D637" s="1" t="s">
        <v>18</v>
      </c>
    </row>
    <row r="638" spans="3:4" x14ac:dyDescent="0.3">
      <c r="C638" s="1" t="s">
        <v>921</v>
      </c>
      <c r="D638" s="1" t="s">
        <v>27</v>
      </c>
    </row>
    <row r="639" spans="3:4" x14ac:dyDescent="0.3">
      <c r="C639" s="1" t="s">
        <v>922</v>
      </c>
      <c r="D639" s="1" t="s">
        <v>14</v>
      </c>
    </row>
    <row r="640" spans="3:4" x14ac:dyDescent="0.3">
      <c r="C640" s="1" t="s">
        <v>923</v>
      </c>
      <c r="D640" s="1" t="s">
        <v>11</v>
      </c>
    </row>
    <row r="641" spans="3:4" x14ac:dyDescent="0.3">
      <c r="C641" s="1" t="s">
        <v>924</v>
      </c>
      <c r="D641" s="1" t="s">
        <v>24</v>
      </c>
    </row>
    <row r="642" spans="3:4" x14ac:dyDescent="0.3">
      <c r="C642" s="1" t="s">
        <v>925</v>
      </c>
      <c r="D642" s="1" t="s">
        <v>14</v>
      </c>
    </row>
    <row r="643" spans="3:4" x14ac:dyDescent="0.3">
      <c r="C643" s="1" t="s">
        <v>926</v>
      </c>
      <c r="D643" s="1" t="s">
        <v>11</v>
      </c>
    </row>
    <row r="644" spans="3:4" x14ac:dyDescent="0.3">
      <c r="C644" s="1" t="s">
        <v>927</v>
      </c>
      <c r="D644" s="1" t="s">
        <v>19</v>
      </c>
    </row>
    <row r="645" spans="3:4" x14ac:dyDescent="0.3">
      <c r="C645" s="1" t="s">
        <v>928</v>
      </c>
      <c r="D645" s="1" t="s">
        <v>11</v>
      </c>
    </row>
    <row r="646" spans="3:4" x14ac:dyDescent="0.3">
      <c r="C646" s="1" t="s">
        <v>929</v>
      </c>
      <c r="D646" s="1" t="s">
        <v>15</v>
      </c>
    </row>
    <row r="647" spans="3:4" x14ac:dyDescent="0.3">
      <c r="C647" s="1" t="s">
        <v>930</v>
      </c>
      <c r="D647" s="1" t="s">
        <v>15</v>
      </c>
    </row>
    <row r="648" spans="3:4" x14ac:dyDescent="0.3">
      <c r="C648" s="1" t="s">
        <v>931</v>
      </c>
      <c r="D648" s="1" t="s">
        <v>28</v>
      </c>
    </row>
    <row r="649" spans="3:4" x14ac:dyDescent="0.3">
      <c r="C649" s="1" t="s">
        <v>932</v>
      </c>
      <c r="D649" s="1" t="s">
        <v>24</v>
      </c>
    </row>
    <row r="650" spans="3:4" x14ac:dyDescent="0.3">
      <c r="C650" s="1" t="s">
        <v>933</v>
      </c>
      <c r="D650" s="1" t="s">
        <v>17</v>
      </c>
    </row>
    <row r="651" spans="3:4" x14ac:dyDescent="0.3">
      <c r="C651" s="1" t="s">
        <v>934</v>
      </c>
      <c r="D651" s="1" t="s">
        <v>27</v>
      </c>
    </row>
    <row r="652" spans="3:4" x14ac:dyDescent="0.3">
      <c r="C652" s="1" t="s">
        <v>935</v>
      </c>
      <c r="D652" s="1" t="s">
        <v>17</v>
      </c>
    </row>
    <row r="653" spans="3:4" x14ac:dyDescent="0.3">
      <c r="C653" s="1" t="s">
        <v>936</v>
      </c>
      <c r="D653" s="1" t="s">
        <v>15</v>
      </c>
    </row>
    <row r="654" spans="3:4" x14ac:dyDescent="0.3">
      <c r="C654" s="1" t="s">
        <v>937</v>
      </c>
      <c r="D654" s="1" t="s">
        <v>14</v>
      </c>
    </row>
    <row r="655" spans="3:4" x14ac:dyDescent="0.3">
      <c r="C655" s="1" t="s">
        <v>938</v>
      </c>
      <c r="D655" s="1" t="s">
        <v>19</v>
      </c>
    </row>
    <row r="656" spans="3:4" x14ac:dyDescent="0.3">
      <c r="C656" s="1" t="s">
        <v>939</v>
      </c>
      <c r="D656" s="1" t="s">
        <v>26</v>
      </c>
    </row>
    <row r="657" spans="3:4" x14ac:dyDescent="0.3">
      <c r="C657" s="1" t="s">
        <v>940</v>
      </c>
      <c r="D657" s="1" t="s">
        <v>27</v>
      </c>
    </row>
    <row r="658" spans="3:4" x14ac:dyDescent="0.3">
      <c r="C658" s="1" t="s">
        <v>941</v>
      </c>
      <c r="D658" s="1" t="s">
        <v>11</v>
      </c>
    </row>
    <row r="659" spans="3:4" x14ac:dyDescent="0.3">
      <c r="C659" s="1" t="s">
        <v>942</v>
      </c>
      <c r="D659" s="1" t="s">
        <v>12</v>
      </c>
    </row>
    <row r="660" spans="3:4" x14ac:dyDescent="0.3">
      <c r="C660" s="1" t="s">
        <v>943</v>
      </c>
      <c r="D660" s="1" t="s">
        <v>14</v>
      </c>
    </row>
    <row r="661" spans="3:4" x14ac:dyDescent="0.3">
      <c r="C661" s="1" t="s">
        <v>944</v>
      </c>
      <c r="D661" s="1" t="s">
        <v>26</v>
      </c>
    </row>
    <row r="662" spans="3:4" x14ac:dyDescent="0.3">
      <c r="C662" s="1" t="s">
        <v>945</v>
      </c>
      <c r="D662" s="1" t="s">
        <v>11</v>
      </c>
    </row>
    <row r="663" spans="3:4" x14ac:dyDescent="0.3">
      <c r="C663" s="1" t="s">
        <v>946</v>
      </c>
      <c r="D663" s="1" t="s">
        <v>18</v>
      </c>
    </row>
    <row r="664" spans="3:4" x14ac:dyDescent="0.3">
      <c r="C664" s="1" t="s">
        <v>947</v>
      </c>
      <c r="D664" s="1" t="s">
        <v>17</v>
      </c>
    </row>
    <row r="665" spans="3:4" x14ac:dyDescent="0.3">
      <c r="C665" s="1" t="s">
        <v>948</v>
      </c>
      <c r="D665" s="1" t="s">
        <v>17</v>
      </c>
    </row>
    <row r="666" spans="3:4" x14ac:dyDescent="0.3">
      <c r="C666" s="1" t="s">
        <v>949</v>
      </c>
      <c r="D666" s="1" t="s">
        <v>17</v>
      </c>
    </row>
    <row r="667" spans="3:4" x14ac:dyDescent="0.3">
      <c r="C667" s="1" t="s">
        <v>950</v>
      </c>
      <c r="D667" s="1" t="s">
        <v>14</v>
      </c>
    </row>
    <row r="668" spans="3:4" x14ac:dyDescent="0.3">
      <c r="C668" s="1" t="s">
        <v>951</v>
      </c>
      <c r="D668" s="1" t="s">
        <v>17</v>
      </c>
    </row>
    <row r="669" spans="3:4" x14ac:dyDescent="0.3">
      <c r="C669" s="1" t="s">
        <v>952</v>
      </c>
      <c r="D669" s="1" t="s">
        <v>17</v>
      </c>
    </row>
    <row r="670" spans="3:4" x14ac:dyDescent="0.3">
      <c r="C670" s="1" t="s">
        <v>953</v>
      </c>
      <c r="D670" s="1" t="s">
        <v>14</v>
      </c>
    </row>
    <row r="671" spans="3:4" x14ac:dyDescent="0.3">
      <c r="C671" s="1" t="s">
        <v>954</v>
      </c>
      <c r="D671" s="1" t="s">
        <v>11</v>
      </c>
    </row>
    <row r="672" spans="3:4" x14ac:dyDescent="0.3">
      <c r="C672" s="1" t="s">
        <v>955</v>
      </c>
      <c r="D672" s="1" t="s">
        <v>15</v>
      </c>
    </row>
    <row r="673" spans="3:4" x14ac:dyDescent="0.3">
      <c r="C673" s="1" t="s">
        <v>956</v>
      </c>
      <c r="D673" s="1" t="s">
        <v>14</v>
      </c>
    </row>
    <row r="674" spans="3:4" x14ac:dyDescent="0.3">
      <c r="C674" s="1" t="s">
        <v>957</v>
      </c>
      <c r="D674" s="1" t="s">
        <v>25</v>
      </c>
    </row>
    <row r="675" spans="3:4" x14ac:dyDescent="0.3">
      <c r="C675" s="1" t="s">
        <v>958</v>
      </c>
      <c r="D675" s="1" t="s">
        <v>17</v>
      </c>
    </row>
    <row r="676" spans="3:4" x14ac:dyDescent="0.3">
      <c r="C676" s="1" t="s">
        <v>959</v>
      </c>
      <c r="D676" s="1" t="s">
        <v>19</v>
      </c>
    </row>
    <row r="677" spans="3:4" x14ac:dyDescent="0.3">
      <c r="C677" s="1" t="s">
        <v>960</v>
      </c>
      <c r="D677" s="1" t="s">
        <v>20</v>
      </c>
    </row>
    <row r="678" spans="3:4" x14ac:dyDescent="0.3">
      <c r="C678" s="1" t="s">
        <v>961</v>
      </c>
      <c r="D678" s="1" t="s">
        <v>23</v>
      </c>
    </row>
    <row r="679" spans="3:4" x14ac:dyDescent="0.3">
      <c r="C679" s="1" t="s">
        <v>234</v>
      </c>
      <c r="D679" s="1" t="s">
        <v>17</v>
      </c>
    </row>
    <row r="680" spans="3:4" x14ac:dyDescent="0.3">
      <c r="C680" s="1" t="s">
        <v>962</v>
      </c>
      <c r="D680" s="1" t="s">
        <v>25</v>
      </c>
    </row>
    <row r="681" spans="3:4" x14ac:dyDescent="0.3">
      <c r="C681" s="1" t="s">
        <v>963</v>
      </c>
      <c r="D681" s="1" t="s">
        <v>15</v>
      </c>
    </row>
    <row r="682" spans="3:4" x14ac:dyDescent="0.3">
      <c r="C682" s="1" t="s">
        <v>964</v>
      </c>
      <c r="D682" s="1" t="s">
        <v>14</v>
      </c>
    </row>
    <row r="683" spans="3:4" x14ac:dyDescent="0.3">
      <c r="C683" s="1" t="s">
        <v>965</v>
      </c>
      <c r="D683" s="1" t="s">
        <v>24</v>
      </c>
    </row>
    <row r="684" spans="3:4" x14ac:dyDescent="0.3">
      <c r="C684" s="1" t="s">
        <v>966</v>
      </c>
      <c r="D684" s="1" t="s">
        <v>25</v>
      </c>
    </row>
    <row r="685" spans="3:4" x14ac:dyDescent="0.3">
      <c r="C685" s="1" t="s">
        <v>967</v>
      </c>
      <c r="D685" s="1" t="s">
        <v>27</v>
      </c>
    </row>
    <row r="686" spans="3:4" x14ac:dyDescent="0.3">
      <c r="C686" s="1" t="s">
        <v>968</v>
      </c>
      <c r="D686" s="1" t="s">
        <v>14</v>
      </c>
    </row>
    <row r="687" spans="3:4" x14ac:dyDescent="0.3">
      <c r="C687" s="1" t="s">
        <v>969</v>
      </c>
      <c r="D687" s="1" t="s">
        <v>27</v>
      </c>
    </row>
    <row r="688" spans="3:4" x14ac:dyDescent="0.3">
      <c r="C688" s="1" t="s">
        <v>970</v>
      </c>
      <c r="D688" s="1" t="s">
        <v>24</v>
      </c>
    </row>
    <row r="689" spans="3:4" x14ac:dyDescent="0.3">
      <c r="C689" s="1" t="s">
        <v>971</v>
      </c>
      <c r="D689" s="1" t="s">
        <v>17</v>
      </c>
    </row>
    <row r="690" spans="3:4" x14ac:dyDescent="0.3">
      <c r="C690" s="1" t="s">
        <v>972</v>
      </c>
      <c r="D690" s="1" t="s">
        <v>25</v>
      </c>
    </row>
    <row r="691" spans="3:4" x14ac:dyDescent="0.3">
      <c r="C691" s="1" t="s">
        <v>973</v>
      </c>
      <c r="D691" s="1" t="s">
        <v>14</v>
      </c>
    </row>
    <row r="692" spans="3:4" x14ac:dyDescent="0.3">
      <c r="C692" s="1" t="s">
        <v>974</v>
      </c>
      <c r="D692" s="1" t="s">
        <v>14</v>
      </c>
    </row>
    <row r="693" spans="3:4" x14ac:dyDescent="0.3">
      <c r="C693" s="1" t="s">
        <v>975</v>
      </c>
      <c r="D693" s="1" t="s">
        <v>11</v>
      </c>
    </row>
    <row r="694" spans="3:4" x14ac:dyDescent="0.3">
      <c r="C694" s="1" t="s">
        <v>976</v>
      </c>
      <c r="D694" s="1" t="s">
        <v>23</v>
      </c>
    </row>
    <row r="695" spans="3:4" x14ac:dyDescent="0.3">
      <c r="C695" s="1" t="s">
        <v>977</v>
      </c>
      <c r="D695" s="1" t="s">
        <v>27</v>
      </c>
    </row>
    <row r="696" spans="3:4" x14ac:dyDescent="0.3">
      <c r="C696" s="1" t="s">
        <v>978</v>
      </c>
      <c r="D696" s="1" t="s">
        <v>14</v>
      </c>
    </row>
    <row r="697" spans="3:4" x14ac:dyDescent="0.3">
      <c r="C697" s="1" t="s">
        <v>979</v>
      </c>
      <c r="D697" s="1" t="s">
        <v>24</v>
      </c>
    </row>
    <row r="698" spans="3:4" x14ac:dyDescent="0.3">
      <c r="C698" s="1" t="s">
        <v>980</v>
      </c>
      <c r="D698" s="1" t="s">
        <v>27</v>
      </c>
    </row>
    <row r="699" spans="3:4" x14ac:dyDescent="0.3">
      <c r="C699" s="1" t="s">
        <v>981</v>
      </c>
      <c r="D699" s="1" t="s">
        <v>25</v>
      </c>
    </row>
    <row r="700" spans="3:4" x14ac:dyDescent="0.3">
      <c r="C700" s="1" t="s">
        <v>982</v>
      </c>
      <c r="D700" s="1" t="s">
        <v>14</v>
      </c>
    </row>
    <row r="701" spans="3:4" x14ac:dyDescent="0.3">
      <c r="C701" s="1" t="s">
        <v>983</v>
      </c>
      <c r="D701" s="1" t="s">
        <v>11</v>
      </c>
    </row>
    <row r="702" spans="3:4" x14ac:dyDescent="0.3">
      <c r="C702" s="1" t="s">
        <v>984</v>
      </c>
      <c r="D702" s="1" t="s">
        <v>12</v>
      </c>
    </row>
    <row r="703" spans="3:4" x14ac:dyDescent="0.3">
      <c r="C703" s="1" t="s">
        <v>985</v>
      </c>
      <c r="D703" s="1" t="s">
        <v>15</v>
      </c>
    </row>
    <row r="704" spans="3:4" x14ac:dyDescent="0.3">
      <c r="C704" s="1" t="s">
        <v>986</v>
      </c>
      <c r="D704" s="1" t="s">
        <v>23</v>
      </c>
    </row>
    <row r="705" spans="3:4" x14ac:dyDescent="0.3">
      <c r="C705" s="1" t="s">
        <v>987</v>
      </c>
      <c r="D705" s="1" t="s">
        <v>15</v>
      </c>
    </row>
    <row r="706" spans="3:4" x14ac:dyDescent="0.3">
      <c r="C706" s="1" t="s">
        <v>988</v>
      </c>
      <c r="D706" s="1" t="s">
        <v>17</v>
      </c>
    </row>
    <row r="707" spans="3:4" x14ac:dyDescent="0.3">
      <c r="C707" s="1" t="s">
        <v>989</v>
      </c>
      <c r="D707" s="1" t="s">
        <v>11</v>
      </c>
    </row>
    <row r="708" spans="3:4" x14ac:dyDescent="0.3">
      <c r="C708" s="1" t="s">
        <v>990</v>
      </c>
      <c r="D708" s="1" t="s">
        <v>24</v>
      </c>
    </row>
    <row r="709" spans="3:4" x14ac:dyDescent="0.3">
      <c r="C709" s="1" t="s">
        <v>991</v>
      </c>
      <c r="D709" s="1" t="s">
        <v>26</v>
      </c>
    </row>
    <row r="710" spans="3:4" x14ac:dyDescent="0.3">
      <c r="C710" s="1" t="s">
        <v>992</v>
      </c>
      <c r="D710" s="1" t="s">
        <v>12</v>
      </c>
    </row>
    <row r="711" spans="3:4" x14ac:dyDescent="0.3">
      <c r="C711" s="1" t="s">
        <v>993</v>
      </c>
      <c r="D711" s="1" t="s">
        <v>14</v>
      </c>
    </row>
    <row r="712" spans="3:4" x14ac:dyDescent="0.3">
      <c r="C712" s="1" t="s">
        <v>994</v>
      </c>
      <c r="D712" s="1" t="s">
        <v>27</v>
      </c>
    </row>
    <row r="713" spans="3:4" x14ac:dyDescent="0.3">
      <c r="C713" s="1" t="s">
        <v>995</v>
      </c>
      <c r="D713" s="1" t="s">
        <v>15</v>
      </c>
    </row>
    <row r="714" spans="3:4" x14ac:dyDescent="0.3">
      <c r="C714" s="1" t="s">
        <v>996</v>
      </c>
      <c r="D714" s="1" t="s">
        <v>27</v>
      </c>
    </row>
    <row r="715" spans="3:4" x14ac:dyDescent="0.3">
      <c r="C715" s="1" t="s">
        <v>997</v>
      </c>
      <c r="D715" s="1" t="s">
        <v>23</v>
      </c>
    </row>
    <row r="716" spans="3:4" x14ac:dyDescent="0.3">
      <c r="C716" s="1" t="s">
        <v>998</v>
      </c>
      <c r="D716" s="1" t="s">
        <v>17</v>
      </c>
    </row>
    <row r="717" spans="3:4" x14ac:dyDescent="0.3">
      <c r="C717" s="1" t="s">
        <v>999</v>
      </c>
      <c r="D717" s="1" t="s">
        <v>11</v>
      </c>
    </row>
    <row r="718" spans="3:4" x14ac:dyDescent="0.3">
      <c r="C718" s="1" t="s">
        <v>1000</v>
      </c>
      <c r="D718" s="1" t="s">
        <v>14</v>
      </c>
    </row>
    <row r="719" spans="3:4" x14ac:dyDescent="0.3">
      <c r="C719" s="1" t="s">
        <v>1001</v>
      </c>
      <c r="D719" s="1" t="s">
        <v>15</v>
      </c>
    </row>
    <row r="720" spans="3:4" x14ac:dyDescent="0.3">
      <c r="C720" s="1" t="s">
        <v>1002</v>
      </c>
      <c r="D720" s="1" t="s">
        <v>12</v>
      </c>
    </row>
    <row r="721" spans="3:4" x14ac:dyDescent="0.3">
      <c r="C721" s="1" t="s">
        <v>1003</v>
      </c>
      <c r="D721" s="1" t="s">
        <v>20</v>
      </c>
    </row>
    <row r="722" spans="3:4" x14ac:dyDescent="0.3">
      <c r="C722" s="1" t="s">
        <v>1004</v>
      </c>
      <c r="D722" s="1" t="s">
        <v>14</v>
      </c>
    </row>
    <row r="723" spans="3:4" x14ac:dyDescent="0.3">
      <c r="C723" s="1" t="s">
        <v>1005</v>
      </c>
      <c r="D723" s="1" t="s">
        <v>11</v>
      </c>
    </row>
    <row r="724" spans="3:4" x14ac:dyDescent="0.3">
      <c r="C724" s="1" t="s">
        <v>1006</v>
      </c>
      <c r="D724" s="1" t="s">
        <v>11</v>
      </c>
    </row>
    <row r="725" spans="3:4" x14ac:dyDescent="0.3">
      <c r="C725" s="1" t="s">
        <v>235</v>
      </c>
      <c r="D725" s="1" t="s">
        <v>17</v>
      </c>
    </row>
    <row r="726" spans="3:4" x14ac:dyDescent="0.3">
      <c r="C726" s="1" t="s">
        <v>1007</v>
      </c>
      <c r="D726" s="1" t="s">
        <v>24</v>
      </c>
    </row>
    <row r="727" spans="3:4" x14ac:dyDescent="0.3">
      <c r="C727" s="1" t="s">
        <v>1008</v>
      </c>
      <c r="D727" s="1" t="s">
        <v>24</v>
      </c>
    </row>
    <row r="728" spans="3:4" x14ac:dyDescent="0.3">
      <c r="C728" s="1" t="s">
        <v>1009</v>
      </c>
      <c r="D728" s="1" t="s">
        <v>24</v>
      </c>
    </row>
    <row r="729" spans="3:4" x14ac:dyDescent="0.3">
      <c r="C729" s="1" t="s">
        <v>1010</v>
      </c>
      <c r="D729" s="1" t="s">
        <v>24</v>
      </c>
    </row>
    <row r="730" spans="3:4" x14ac:dyDescent="0.3">
      <c r="C730" s="1" t="s">
        <v>1011</v>
      </c>
      <c r="D730" s="1" t="s">
        <v>24</v>
      </c>
    </row>
    <row r="731" spans="3:4" x14ac:dyDescent="0.3">
      <c r="C731" s="1" t="s">
        <v>1012</v>
      </c>
      <c r="D731" s="1" t="s">
        <v>17</v>
      </c>
    </row>
    <row r="732" spans="3:4" x14ac:dyDescent="0.3">
      <c r="C732" s="1" t="s">
        <v>1013</v>
      </c>
      <c r="D732" s="1" t="s">
        <v>23</v>
      </c>
    </row>
    <row r="733" spans="3:4" x14ac:dyDescent="0.3">
      <c r="C733" s="1" t="s">
        <v>1014</v>
      </c>
      <c r="D733" s="1" t="s">
        <v>11</v>
      </c>
    </row>
    <row r="734" spans="3:4" x14ac:dyDescent="0.3">
      <c r="C734" s="1" t="s">
        <v>1015</v>
      </c>
      <c r="D734" s="1" t="s">
        <v>14</v>
      </c>
    </row>
    <row r="735" spans="3:4" x14ac:dyDescent="0.3">
      <c r="C735" s="1" t="s">
        <v>1016</v>
      </c>
      <c r="D735" s="1" t="s">
        <v>14</v>
      </c>
    </row>
    <row r="736" spans="3:4" x14ac:dyDescent="0.3">
      <c r="C736" s="1" t="s">
        <v>1017</v>
      </c>
      <c r="D736" s="1" t="s">
        <v>27</v>
      </c>
    </row>
    <row r="737" spans="3:4" x14ac:dyDescent="0.3">
      <c r="C737" s="1" t="s">
        <v>1018</v>
      </c>
      <c r="D737" s="1" t="s">
        <v>26</v>
      </c>
    </row>
    <row r="738" spans="3:4" x14ac:dyDescent="0.3">
      <c r="C738" s="1" t="s">
        <v>1019</v>
      </c>
      <c r="D738" s="1" t="s">
        <v>15</v>
      </c>
    </row>
    <row r="739" spans="3:4" x14ac:dyDescent="0.3">
      <c r="C739" s="1" t="s">
        <v>1020</v>
      </c>
      <c r="D739" s="1" t="s">
        <v>27</v>
      </c>
    </row>
    <row r="740" spans="3:4" x14ac:dyDescent="0.3">
      <c r="C740" s="1" t="s">
        <v>1021</v>
      </c>
      <c r="D740" s="1" t="s">
        <v>13</v>
      </c>
    </row>
    <row r="741" spans="3:4" x14ac:dyDescent="0.3">
      <c r="C741" s="1" t="s">
        <v>1022</v>
      </c>
      <c r="D741" s="1" t="s">
        <v>23</v>
      </c>
    </row>
    <row r="742" spans="3:4" x14ac:dyDescent="0.3">
      <c r="C742" s="1" t="s">
        <v>1023</v>
      </c>
      <c r="D742" s="1" t="s">
        <v>14</v>
      </c>
    </row>
    <row r="743" spans="3:4" x14ac:dyDescent="0.3">
      <c r="C743" s="1" t="s">
        <v>1024</v>
      </c>
      <c r="D743" s="1" t="s">
        <v>23</v>
      </c>
    </row>
    <row r="744" spans="3:4" x14ac:dyDescent="0.3">
      <c r="C744" s="1" t="s">
        <v>1025</v>
      </c>
      <c r="D744" s="1" t="s">
        <v>25</v>
      </c>
    </row>
    <row r="745" spans="3:4" x14ac:dyDescent="0.3">
      <c r="C745" s="1" t="s">
        <v>1026</v>
      </c>
      <c r="D745" s="1" t="s">
        <v>11</v>
      </c>
    </row>
    <row r="746" spans="3:4" x14ac:dyDescent="0.3">
      <c r="C746" s="1" t="s">
        <v>1027</v>
      </c>
      <c r="D746" s="1" t="s">
        <v>19</v>
      </c>
    </row>
    <row r="747" spans="3:4" x14ac:dyDescent="0.3">
      <c r="C747" s="1" t="s">
        <v>1028</v>
      </c>
      <c r="D747" s="1" t="s">
        <v>15</v>
      </c>
    </row>
    <row r="748" spans="3:4" x14ac:dyDescent="0.3">
      <c r="C748" s="1" t="s">
        <v>1029</v>
      </c>
      <c r="D748" s="1" t="s">
        <v>14</v>
      </c>
    </row>
    <row r="749" spans="3:4" x14ac:dyDescent="0.3">
      <c r="C749" s="1" t="s">
        <v>1030</v>
      </c>
      <c r="D749" s="1" t="s">
        <v>14</v>
      </c>
    </row>
    <row r="750" spans="3:4" x14ac:dyDescent="0.3">
      <c r="C750" s="1" t="s">
        <v>1031</v>
      </c>
      <c r="D750" s="1" t="s">
        <v>11</v>
      </c>
    </row>
    <row r="751" spans="3:4" x14ac:dyDescent="0.3">
      <c r="C751" s="1" t="s">
        <v>1032</v>
      </c>
      <c r="D751" s="1" t="s">
        <v>14</v>
      </c>
    </row>
    <row r="752" spans="3:4" x14ac:dyDescent="0.3">
      <c r="C752" s="1" t="s">
        <v>1033</v>
      </c>
      <c r="D752" s="1" t="s">
        <v>14</v>
      </c>
    </row>
    <row r="753" spans="3:4" x14ac:dyDescent="0.3">
      <c r="C753" s="1" t="s">
        <v>1034</v>
      </c>
      <c r="D753" s="1" t="s">
        <v>14</v>
      </c>
    </row>
    <row r="754" spans="3:4" x14ac:dyDescent="0.3">
      <c r="C754" s="1" t="s">
        <v>1035</v>
      </c>
      <c r="D754" s="1" t="s">
        <v>14</v>
      </c>
    </row>
    <row r="755" spans="3:4" x14ac:dyDescent="0.3">
      <c r="C755" s="1" t="s">
        <v>1036</v>
      </c>
      <c r="D755" s="1" t="s">
        <v>14</v>
      </c>
    </row>
    <row r="756" spans="3:4" x14ac:dyDescent="0.3">
      <c r="C756" s="1" t="s">
        <v>1037</v>
      </c>
      <c r="D756" s="1" t="s">
        <v>14</v>
      </c>
    </row>
    <row r="757" spans="3:4" x14ac:dyDescent="0.3">
      <c r="C757" s="1" t="s">
        <v>1038</v>
      </c>
      <c r="D757" s="1" t="s">
        <v>25</v>
      </c>
    </row>
    <row r="758" spans="3:4" x14ac:dyDescent="0.3">
      <c r="C758" s="1" t="s">
        <v>1039</v>
      </c>
      <c r="D758" s="1" t="s">
        <v>11</v>
      </c>
    </row>
    <row r="759" spans="3:4" x14ac:dyDescent="0.3">
      <c r="C759" s="1" t="s">
        <v>1040</v>
      </c>
      <c r="D759" s="1" t="s">
        <v>20</v>
      </c>
    </row>
    <row r="760" spans="3:4" x14ac:dyDescent="0.3">
      <c r="C760" s="1" t="s">
        <v>1041</v>
      </c>
      <c r="D760" s="1" t="s">
        <v>13</v>
      </c>
    </row>
    <row r="761" spans="3:4" x14ac:dyDescent="0.3">
      <c r="C761" s="1" t="s">
        <v>1042</v>
      </c>
      <c r="D761" s="1" t="s">
        <v>18</v>
      </c>
    </row>
    <row r="762" spans="3:4" x14ac:dyDescent="0.3">
      <c r="C762" s="1" t="s">
        <v>1043</v>
      </c>
      <c r="D762" s="1" t="s">
        <v>13</v>
      </c>
    </row>
    <row r="763" spans="3:4" x14ac:dyDescent="0.3">
      <c r="C763" s="1" t="s">
        <v>1044</v>
      </c>
      <c r="D763" s="1" t="s">
        <v>11</v>
      </c>
    </row>
    <row r="764" spans="3:4" x14ac:dyDescent="0.3">
      <c r="C764" s="1" t="s">
        <v>1045</v>
      </c>
      <c r="D764" s="1" t="s">
        <v>14</v>
      </c>
    </row>
    <row r="765" spans="3:4" x14ac:dyDescent="0.3">
      <c r="C765" s="1" t="s">
        <v>1046</v>
      </c>
      <c r="D765" s="1" t="s">
        <v>15</v>
      </c>
    </row>
    <row r="766" spans="3:4" x14ac:dyDescent="0.3">
      <c r="C766" s="1" t="s">
        <v>1047</v>
      </c>
      <c r="D766" s="1" t="s">
        <v>15</v>
      </c>
    </row>
    <row r="767" spans="3:4" x14ac:dyDescent="0.3">
      <c r="C767" s="1" t="s">
        <v>1048</v>
      </c>
      <c r="D767" s="1" t="s">
        <v>26</v>
      </c>
    </row>
    <row r="768" spans="3:4" x14ac:dyDescent="0.3">
      <c r="C768" s="1" t="s">
        <v>1049</v>
      </c>
      <c r="D768" s="1" t="s">
        <v>14</v>
      </c>
    </row>
    <row r="769" spans="3:4" x14ac:dyDescent="0.3">
      <c r="C769" s="1" t="s">
        <v>1050</v>
      </c>
      <c r="D769" s="1" t="s">
        <v>11</v>
      </c>
    </row>
    <row r="770" spans="3:4" x14ac:dyDescent="0.3">
      <c r="C770" s="1" t="s">
        <v>1051</v>
      </c>
      <c r="D770" s="1" t="s">
        <v>14</v>
      </c>
    </row>
    <row r="771" spans="3:4" x14ac:dyDescent="0.3">
      <c r="C771" s="1" t="s">
        <v>1052</v>
      </c>
      <c r="D771" s="1" t="s">
        <v>27</v>
      </c>
    </row>
    <row r="772" spans="3:4" x14ac:dyDescent="0.3">
      <c r="C772" s="1" t="s">
        <v>1053</v>
      </c>
      <c r="D772" s="1" t="s">
        <v>26</v>
      </c>
    </row>
    <row r="773" spans="3:4" x14ac:dyDescent="0.3">
      <c r="C773" s="1" t="s">
        <v>1054</v>
      </c>
      <c r="D773" s="1" t="s">
        <v>17</v>
      </c>
    </row>
    <row r="774" spans="3:4" x14ac:dyDescent="0.3">
      <c r="C774" s="1" t="s">
        <v>1055</v>
      </c>
      <c r="D774" s="1" t="s">
        <v>26</v>
      </c>
    </row>
    <row r="775" spans="3:4" x14ac:dyDescent="0.3">
      <c r="C775" s="1" t="s">
        <v>1056</v>
      </c>
      <c r="D775" s="1" t="s">
        <v>18</v>
      </c>
    </row>
    <row r="776" spans="3:4" x14ac:dyDescent="0.3">
      <c r="C776" s="1" t="s">
        <v>1057</v>
      </c>
      <c r="D776" s="1" t="s">
        <v>26</v>
      </c>
    </row>
    <row r="777" spans="3:4" x14ac:dyDescent="0.3">
      <c r="C777" s="1" t="s">
        <v>1058</v>
      </c>
      <c r="D777" s="1" t="s">
        <v>25</v>
      </c>
    </row>
    <row r="778" spans="3:4" x14ac:dyDescent="0.3">
      <c r="C778" s="1" t="s">
        <v>1059</v>
      </c>
      <c r="D778" s="1" t="s">
        <v>12</v>
      </c>
    </row>
    <row r="779" spans="3:4" x14ac:dyDescent="0.3">
      <c r="C779" s="1" t="s">
        <v>1060</v>
      </c>
      <c r="D779" s="1" t="s">
        <v>14</v>
      </c>
    </row>
    <row r="780" spans="3:4" x14ac:dyDescent="0.3">
      <c r="C780" s="1" t="s">
        <v>1061</v>
      </c>
      <c r="D780" s="1" t="s">
        <v>14</v>
      </c>
    </row>
    <row r="781" spans="3:4" x14ac:dyDescent="0.3">
      <c r="C781" s="1" t="s">
        <v>40</v>
      </c>
      <c r="D781" s="1" t="s">
        <v>19</v>
      </c>
    </row>
    <row r="782" spans="3:4" x14ac:dyDescent="0.3">
      <c r="C782" s="1" t="s">
        <v>1062</v>
      </c>
      <c r="D782" s="1" t="s">
        <v>21</v>
      </c>
    </row>
    <row r="783" spans="3:4" x14ac:dyDescent="0.3">
      <c r="C783" s="1" t="s">
        <v>1063</v>
      </c>
      <c r="D783" s="1" t="s">
        <v>18</v>
      </c>
    </row>
    <row r="784" spans="3:4" x14ac:dyDescent="0.3">
      <c r="C784" s="1" t="s">
        <v>1064</v>
      </c>
      <c r="D784" s="1" t="s">
        <v>17</v>
      </c>
    </row>
    <row r="785" spans="3:4" x14ac:dyDescent="0.3">
      <c r="C785" s="1" t="s">
        <v>1065</v>
      </c>
      <c r="D785" s="1" t="s">
        <v>13</v>
      </c>
    </row>
    <row r="786" spans="3:4" x14ac:dyDescent="0.3">
      <c r="C786" s="1" t="s">
        <v>1066</v>
      </c>
      <c r="D786" s="1" t="s">
        <v>19</v>
      </c>
    </row>
    <row r="787" spans="3:4" x14ac:dyDescent="0.3">
      <c r="C787" s="1" t="s">
        <v>1067</v>
      </c>
      <c r="D787" s="1" t="s">
        <v>25</v>
      </c>
    </row>
    <row r="788" spans="3:4" x14ac:dyDescent="0.3">
      <c r="C788" s="1" t="s">
        <v>1068</v>
      </c>
      <c r="D788" s="1" t="s">
        <v>19</v>
      </c>
    </row>
    <row r="789" spans="3:4" x14ac:dyDescent="0.3">
      <c r="C789" s="1" t="s">
        <v>1069</v>
      </c>
      <c r="D789" s="1" t="s">
        <v>15</v>
      </c>
    </row>
    <row r="790" spans="3:4" x14ac:dyDescent="0.3">
      <c r="C790" s="1" t="s">
        <v>1070</v>
      </c>
      <c r="D790" s="1" t="s">
        <v>15</v>
      </c>
    </row>
    <row r="791" spans="3:4" x14ac:dyDescent="0.3">
      <c r="C791" s="1" t="s">
        <v>1071</v>
      </c>
      <c r="D791" s="1" t="s">
        <v>22</v>
      </c>
    </row>
    <row r="792" spans="3:4" x14ac:dyDescent="0.3">
      <c r="C792" s="1" t="s">
        <v>1072</v>
      </c>
      <c r="D792" s="1" t="s">
        <v>15</v>
      </c>
    </row>
    <row r="793" spans="3:4" x14ac:dyDescent="0.3">
      <c r="C793" s="1" t="s">
        <v>1073</v>
      </c>
      <c r="D793" s="1" t="s">
        <v>19</v>
      </c>
    </row>
    <row r="794" spans="3:4" x14ac:dyDescent="0.3">
      <c r="C794" s="1" t="s">
        <v>41</v>
      </c>
      <c r="D794" s="1" t="s">
        <v>16</v>
      </c>
    </row>
    <row r="795" spans="3:4" x14ac:dyDescent="0.3">
      <c r="C795" s="1" t="s">
        <v>1074</v>
      </c>
      <c r="D795" s="1" t="s">
        <v>15</v>
      </c>
    </row>
    <row r="796" spans="3:4" x14ac:dyDescent="0.3">
      <c r="C796" s="1" t="s">
        <v>1075</v>
      </c>
      <c r="D796" s="1" t="s">
        <v>11</v>
      </c>
    </row>
    <row r="797" spans="3:4" x14ac:dyDescent="0.3">
      <c r="C797" s="1" t="s">
        <v>1076</v>
      </c>
      <c r="D797" s="1" t="s">
        <v>11</v>
      </c>
    </row>
    <row r="798" spans="3:4" x14ac:dyDescent="0.3">
      <c r="C798" s="1" t="s">
        <v>1077</v>
      </c>
      <c r="D798" s="1" t="s">
        <v>26</v>
      </c>
    </row>
    <row r="799" spans="3:4" x14ac:dyDescent="0.3">
      <c r="C799" s="1" t="s">
        <v>1078</v>
      </c>
      <c r="D799" s="1" t="s">
        <v>12</v>
      </c>
    </row>
    <row r="800" spans="3:4" x14ac:dyDescent="0.3">
      <c r="C800" s="1" t="s">
        <v>1079</v>
      </c>
      <c r="D800" s="1" t="s">
        <v>20</v>
      </c>
    </row>
    <row r="801" spans="3:4" x14ac:dyDescent="0.3">
      <c r="C801" s="1" t="s">
        <v>42</v>
      </c>
      <c r="D801" s="1" t="s">
        <v>19</v>
      </c>
    </row>
    <row r="802" spans="3:4" x14ac:dyDescent="0.3">
      <c r="C802" s="1" t="s">
        <v>1080</v>
      </c>
      <c r="D802" s="1" t="s">
        <v>25</v>
      </c>
    </row>
    <row r="803" spans="3:4" x14ac:dyDescent="0.3">
      <c r="C803" s="1" t="s">
        <v>1081</v>
      </c>
      <c r="D803" s="1" t="s">
        <v>11</v>
      </c>
    </row>
    <row r="804" spans="3:4" x14ac:dyDescent="0.3">
      <c r="C804" s="1" t="s">
        <v>1082</v>
      </c>
      <c r="D804" s="1" t="s">
        <v>16</v>
      </c>
    </row>
    <row r="805" spans="3:4" x14ac:dyDescent="0.3">
      <c r="C805" s="1" t="s">
        <v>1083</v>
      </c>
      <c r="D805" s="1" t="s">
        <v>11</v>
      </c>
    </row>
    <row r="806" spans="3:4" x14ac:dyDescent="0.3">
      <c r="C806" s="1" t="s">
        <v>1084</v>
      </c>
      <c r="D806" s="1" t="s">
        <v>23</v>
      </c>
    </row>
    <row r="807" spans="3:4" x14ac:dyDescent="0.3">
      <c r="C807" s="1" t="s">
        <v>1085</v>
      </c>
      <c r="D807" s="1" t="s">
        <v>26</v>
      </c>
    </row>
    <row r="808" spans="3:4" x14ac:dyDescent="0.3">
      <c r="C808" s="1" t="s">
        <v>1086</v>
      </c>
      <c r="D808" s="1" t="s">
        <v>18</v>
      </c>
    </row>
    <row r="809" spans="3:4" x14ac:dyDescent="0.3">
      <c r="C809" s="1" t="s">
        <v>1087</v>
      </c>
      <c r="D809" s="1" t="s">
        <v>26</v>
      </c>
    </row>
    <row r="810" spans="3:4" x14ac:dyDescent="0.3">
      <c r="C810" s="1" t="s">
        <v>1088</v>
      </c>
      <c r="D810" s="1" t="s">
        <v>11</v>
      </c>
    </row>
    <row r="811" spans="3:4" x14ac:dyDescent="0.3">
      <c r="C811" s="1" t="s">
        <v>1089</v>
      </c>
      <c r="D811" s="1" t="s">
        <v>27</v>
      </c>
    </row>
    <row r="812" spans="3:4" x14ac:dyDescent="0.3">
      <c r="C812" s="1" t="s">
        <v>236</v>
      </c>
      <c r="D812" s="1" t="s">
        <v>24</v>
      </c>
    </row>
    <row r="813" spans="3:4" x14ac:dyDescent="0.3">
      <c r="C813" s="1" t="s">
        <v>1090</v>
      </c>
      <c r="D813" s="1" t="s">
        <v>12</v>
      </c>
    </row>
    <row r="814" spans="3:4" x14ac:dyDescent="0.3">
      <c r="C814" s="1" t="s">
        <v>1091</v>
      </c>
      <c r="D814" s="1" t="s">
        <v>14</v>
      </c>
    </row>
    <row r="815" spans="3:4" x14ac:dyDescent="0.3">
      <c r="C815" s="1" t="s">
        <v>1092</v>
      </c>
      <c r="D815" s="1" t="s">
        <v>14</v>
      </c>
    </row>
    <row r="816" spans="3:4" x14ac:dyDescent="0.3">
      <c r="C816" s="1" t="s">
        <v>43</v>
      </c>
      <c r="D816" s="1" t="s">
        <v>20</v>
      </c>
    </row>
    <row r="817" spans="3:4" x14ac:dyDescent="0.3">
      <c r="C817" s="1" t="s">
        <v>1093</v>
      </c>
      <c r="D817" s="1" t="s">
        <v>24</v>
      </c>
    </row>
    <row r="818" spans="3:4" x14ac:dyDescent="0.3">
      <c r="C818" s="1" t="s">
        <v>1094</v>
      </c>
      <c r="D818" s="1" t="s">
        <v>13</v>
      </c>
    </row>
    <row r="819" spans="3:4" x14ac:dyDescent="0.3">
      <c r="C819" s="1" t="s">
        <v>1095</v>
      </c>
      <c r="D819" s="1" t="s">
        <v>13</v>
      </c>
    </row>
    <row r="820" spans="3:4" x14ac:dyDescent="0.3">
      <c r="C820" s="1" t="s">
        <v>1096</v>
      </c>
      <c r="D820" s="1" t="s">
        <v>25</v>
      </c>
    </row>
    <row r="821" spans="3:4" x14ac:dyDescent="0.3">
      <c r="C821" s="1" t="s">
        <v>1097</v>
      </c>
      <c r="D821" s="1" t="s">
        <v>11</v>
      </c>
    </row>
    <row r="822" spans="3:4" x14ac:dyDescent="0.3">
      <c r="C822" s="1" t="s">
        <v>1098</v>
      </c>
      <c r="D822" s="1" t="s">
        <v>11</v>
      </c>
    </row>
    <row r="823" spans="3:4" x14ac:dyDescent="0.3">
      <c r="C823" s="1" t="s">
        <v>1099</v>
      </c>
      <c r="D823" s="1" t="s">
        <v>11</v>
      </c>
    </row>
    <row r="824" spans="3:4" x14ac:dyDescent="0.3">
      <c r="C824" s="1" t="s">
        <v>1100</v>
      </c>
      <c r="D824" s="1" t="s">
        <v>27</v>
      </c>
    </row>
    <row r="825" spans="3:4" x14ac:dyDescent="0.3">
      <c r="C825" s="1" t="s">
        <v>1101</v>
      </c>
      <c r="D825" s="1" t="s">
        <v>13</v>
      </c>
    </row>
    <row r="826" spans="3:4" x14ac:dyDescent="0.3">
      <c r="C826" s="1" t="s">
        <v>1102</v>
      </c>
      <c r="D826" s="1" t="s">
        <v>25</v>
      </c>
    </row>
    <row r="827" spans="3:4" x14ac:dyDescent="0.3">
      <c r="C827" s="1" t="s">
        <v>1103</v>
      </c>
      <c r="D827" s="1" t="s">
        <v>14</v>
      </c>
    </row>
    <row r="828" spans="3:4" x14ac:dyDescent="0.3">
      <c r="C828" s="1" t="s">
        <v>1104</v>
      </c>
      <c r="D828" s="1" t="s">
        <v>20</v>
      </c>
    </row>
    <row r="829" spans="3:4" x14ac:dyDescent="0.3">
      <c r="C829" s="1" t="s">
        <v>1105</v>
      </c>
      <c r="D829" s="1" t="s">
        <v>24</v>
      </c>
    </row>
    <row r="830" spans="3:4" x14ac:dyDescent="0.3">
      <c r="C830" s="1" t="s">
        <v>237</v>
      </c>
      <c r="D830" s="1" t="s">
        <v>11</v>
      </c>
    </row>
    <row r="831" spans="3:4" x14ac:dyDescent="0.3">
      <c r="C831" s="1" t="s">
        <v>1106</v>
      </c>
      <c r="D831" s="1" t="s">
        <v>11</v>
      </c>
    </row>
    <row r="832" spans="3:4" x14ac:dyDescent="0.3">
      <c r="C832" s="1" t="s">
        <v>246</v>
      </c>
      <c r="D832" s="1" t="s">
        <v>17</v>
      </c>
    </row>
    <row r="833" spans="3:4" x14ac:dyDescent="0.3">
      <c r="C833" s="1" t="s">
        <v>1107</v>
      </c>
      <c r="D833" s="1" t="s">
        <v>26</v>
      </c>
    </row>
    <row r="834" spans="3:4" x14ac:dyDescent="0.3">
      <c r="C834" s="1" t="s">
        <v>1108</v>
      </c>
      <c r="D834" s="1" t="s">
        <v>16</v>
      </c>
    </row>
    <row r="835" spans="3:4" x14ac:dyDescent="0.3">
      <c r="C835" s="1" t="s">
        <v>1109</v>
      </c>
      <c r="D835" s="1" t="s">
        <v>14</v>
      </c>
    </row>
    <row r="836" spans="3:4" x14ac:dyDescent="0.3">
      <c r="C836" s="1" t="s">
        <v>1110</v>
      </c>
      <c r="D836" s="1" t="s">
        <v>24</v>
      </c>
    </row>
    <row r="837" spans="3:4" x14ac:dyDescent="0.3">
      <c r="C837" s="1" t="s">
        <v>1111</v>
      </c>
      <c r="D837" s="1" t="s">
        <v>24</v>
      </c>
    </row>
    <row r="838" spans="3:4" x14ac:dyDescent="0.3">
      <c r="C838" s="1" t="s">
        <v>1112</v>
      </c>
      <c r="D838" s="1" t="s">
        <v>15</v>
      </c>
    </row>
    <row r="839" spans="3:4" x14ac:dyDescent="0.3">
      <c r="C839" s="1" t="s">
        <v>1113</v>
      </c>
      <c r="D839" s="1" t="s">
        <v>17</v>
      </c>
    </row>
    <row r="840" spans="3:4" x14ac:dyDescent="0.3">
      <c r="C840" s="1" t="s">
        <v>1114</v>
      </c>
      <c r="D840" s="1" t="s">
        <v>27</v>
      </c>
    </row>
    <row r="841" spans="3:4" x14ac:dyDescent="0.3">
      <c r="C841" s="1" t="s">
        <v>1115</v>
      </c>
      <c r="D841" s="1" t="s">
        <v>14</v>
      </c>
    </row>
    <row r="842" spans="3:4" x14ac:dyDescent="0.3">
      <c r="C842" s="1" t="s">
        <v>1116</v>
      </c>
      <c r="D842" s="1" t="s">
        <v>24</v>
      </c>
    </row>
    <row r="843" spans="3:4" x14ac:dyDescent="0.3">
      <c r="C843" s="1" t="s">
        <v>1117</v>
      </c>
      <c r="D843" s="1" t="s">
        <v>27</v>
      </c>
    </row>
    <row r="844" spans="3:4" x14ac:dyDescent="0.3">
      <c r="C844" s="1" t="s">
        <v>1118</v>
      </c>
      <c r="D844" s="1" t="s">
        <v>27</v>
      </c>
    </row>
    <row r="845" spans="3:4" x14ac:dyDescent="0.3">
      <c r="C845" s="1" t="s">
        <v>1119</v>
      </c>
      <c r="D845" s="1" t="s">
        <v>24</v>
      </c>
    </row>
    <row r="846" spans="3:4" x14ac:dyDescent="0.3">
      <c r="C846" s="1" t="s">
        <v>1120</v>
      </c>
      <c r="D846" s="1" t="s">
        <v>26</v>
      </c>
    </row>
    <row r="847" spans="3:4" x14ac:dyDescent="0.3">
      <c r="C847" s="1" t="s">
        <v>1121</v>
      </c>
      <c r="D847" s="1" t="s">
        <v>18</v>
      </c>
    </row>
    <row r="848" spans="3:4" x14ac:dyDescent="0.3">
      <c r="C848" s="1" t="s">
        <v>1122</v>
      </c>
      <c r="D848" s="1" t="s">
        <v>23</v>
      </c>
    </row>
    <row r="849" spans="3:4" x14ac:dyDescent="0.3">
      <c r="C849" s="1" t="s">
        <v>1123</v>
      </c>
      <c r="D849" s="1" t="s">
        <v>25</v>
      </c>
    </row>
    <row r="850" spans="3:4" x14ac:dyDescent="0.3">
      <c r="C850" s="1" t="s">
        <v>1124</v>
      </c>
      <c r="D850" s="1" t="s">
        <v>14</v>
      </c>
    </row>
    <row r="851" spans="3:4" x14ac:dyDescent="0.3">
      <c r="C851" s="1" t="s">
        <v>343</v>
      </c>
      <c r="D851" s="1" t="s">
        <v>27</v>
      </c>
    </row>
    <row r="852" spans="3:4" x14ac:dyDescent="0.3">
      <c r="C852" s="1" t="s">
        <v>1125</v>
      </c>
      <c r="D852" s="1" t="s">
        <v>17</v>
      </c>
    </row>
    <row r="853" spans="3:4" x14ac:dyDescent="0.3">
      <c r="C853" s="1" t="s">
        <v>1126</v>
      </c>
      <c r="D853" s="1" t="s">
        <v>12</v>
      </c>
    </row>
    <row r="854" spans="3:4" x14ac:dyDescent="0.3">
      <c r="C854" s="1" t="s">
        <v>1127</v>
      </c>
      <c r="D854" s="1" t="s">
        <v>25</v>
      </c>
    </row>
    <row r="855" spans="3:4" x14ac:dyDescent="0.3">
      <c r="C855" s="1" t="s">
        <v>1128</v>
      </c>
      <c r="D855" s="1" t="s">
        <v>18</v>
      </c>
    </row>
    <row r="856" spans="3:4" x14ac:dyDescent="0.3">
      <c r="C856" s="1" t="s">
        <v>1129</v>
      </c>
      <c r="D856" s="1" t="s">
        <v>26</v>
      </c>
    </row>
    <row r="857" spans="3:4" x14ac:dyDescent="0.3">
      <c r="C857" s="1" t="s">
        <v>1130</v>
      </c>
      <c r="D857" s="1" t="s">
        <v>13</v>
      </c>
    </row>
    <row r="858" spans="3:4" x14ac:dyDescent="0.3">
      <c r="C858" s="1" t="s">
        <v>1131</v>
      </c>
      <c r="D858" s="1" t="s">
        <v>25</v>
      </c>
    </row>
    <row r="859" spans="3:4" x14ac:dyDescent="0.3">
      <c r="C859" s="1" t="s">
        <v>1132</v>
      </c>
      <c r="D859" s="1" t="s">
        <v>14</v>
      </c>
    </row>
    <row r="860" spans="3:4" x14ac:dyDescent="0.3">
      <c r="C860" s="1" t="s">
        <v>1133</v>
      </c>
      <c r="D860" s="1" t="s">
        <v>26</v>
      </c>
    </row>
    <row r="861" spans="3:4" x14ac:dyDescent="0.3">
      <c r="C861" s="1" t="s">
        <v>1134</v>
      </c>
      <c r="D861" s="1" t="s">
        <v>14</v>
      </c>
    </row>
    <row r="862" spans="3:4" x14ac:dyDescent="0.3">
      <c r="C862" s="1" t="s">
        <v>1135</v>
      </c>
      <c r="D862" s="1" t="s">
        <v>26</v>
      </c>
    </row>
    <row r="863" spans="3:4" x14ac:dyDescent="0.3">
      <c r="C863" s="1" t="s">
        <v>1136</v>
      </c>
      <c r="D863" s="1" t="s">
        <v>25</v>
      </c>
    </row>
    <row r="864" spans="3:4" x14ac:dyDescent="0.3">
      <c r="C864" s="1" t="s">
        <v>1137</v>
      </c>
      <c r="D864" s="1" t="s">
        <v>18</v>
      </c>
    </row>
    <row r="865" spans="3:4" x14ac:dyDescent="0.3">
      <c r="C865" s="1" t="s">
        <v>1138</v>
      </c>
      <c r="D865" s="1" t="s">
        <v>18</v>
      </c>
    </row>
    <row r="866" spans="3:4" x14ac:dyDescent="0.3">
      <c r="C866" s="1" t="s">
        <v>1139</v>
      </c>
      <c r="D866" s="1" t="s">
        <v>15</v>
      </c>
    </row>
    <row r="867" spans="3:4" x14ac:dyDescent="0.3">
      <c r="C867" s="1" t="s">
        <v>1140</v>
      </c>
      <c r="D867" s="1" t="s">
        <v>27</v>
      </c>
    </row>
    <row r="868" spans="3:4" x14ac:dyDescent="0.3">
      <c r="C868" s="1" t="s">
        <v>1141</v>
      </c>
      <c r="D868" s="1" t="s">
        <v>17</v>
      </c>
    </row>
    <row r="869" spans="3:4" x14ac:dyDescent="0.3">
      <c r="C869" s="1" t="s">
        <v>1142</v>
      </c>
      <c r="D869" s="1" t="s">
        <v>14</v>
      </c>
    </row>
    <row r="870" spans="3:4" x14ac:dyDescent="0.3">
      <c r="C870" s="1" t="s">
        <v>1143</v>
      </c>
      <c r="D870" s="1" t="s">
        <v>18</v>
      </c>
    </row>
    <row r="871" spans="3:4" x14ac:dyDescent="0.3">
      <c r="C871" s="1" t="s">
        <v>1144</v>
      </c>
      <c r="D871" s="1" t="s">
        <v>11</v>
      </c>
    </row>
    <row r="872" spans="3:4" x14ac:dyDescent="0.3">
      <c r="C872" s="1" t="s">
        <v>1145</v>
      </c>
      <c r="D872" s="1" t="s">
        <v>17</v>
      </c>
    </row>
    <row r="873" spans="3:4" x14ac:dyDescent="0.3">
      <c r="C873" s="1" t="s">
        <v>1146</v>
      </c>
      <c r="D873" s="1" t="s">
        <v>17</v>
      </c>
    </row>
    <row r="874" spans="3:4" x14ac:dyDescent="0.3">
      <c r="C874" s="1" t="s">
        <v>1147</v>
      </c>
      <c r="D874" s="1" t="s">
        <v>20</v>
      </c>
    </row>
    <row r="875" spans="3:4" x14ac:dyDescent="0.3">
      <c r="C875" s="1" t="s">
        <v>1148</v>
      </c>
      <c r="D875" s="1" t="s">
        <v>20</v>
      </c>
    </row>
    <row r="876" spans="3:4" x14ac:dyDescent="0.3">
      <c r="C876" s="1" t="s">
        <v>1149</v>
      </c>
      <c r="D876" s="1" t="s">
        <v>17</v>
      </c>
    </row>
    <row r="877" spans="3:4" x14ac:dyDescent="0.3">
      <c r="C877" s="1" t="s">
        <v>248</v>
      </c>
      <c r="D877" s="1" t="s">
        <v>17</v>
      </c>
    </row>
    <row r="878" spans="3:4" x14ac:dyDescent="0.3">
      <c r="C878" s="1" t="s">
        <v>1150</v>
      </c>
      <c r="D878" s="1" t="s">
        <v>17</v>
      </c>
    </row>
    <row r="879" spans="3:4" x14ac:dyDescent="0.3">
      <c r="C879" s="1" t="s">
        <v>1151</v>
      </c>
      <c r="D879" s="1" t="s">
        <v>14</v>
      </c>
    </row>
    <row r="880" spans="3:4" x14ac:dyDescent="0.3">
      <c r="C880" s="1" t="s">
        <v>1152</v>
      </c>
      <c r="D880" s="1" t="s">
        <v>14</v>
      </c>
    </row>
    <row r="881" spans="3:4" x14ac:dyDescent="0.3">
      <c r="C881" s="1" t="s">
        <v>347</v>
      </c>
      <c r="D881" s="1" t="s">
        <v>19</v>
      </c>
    </row>
    <row r="882" spans="3:4" x14ac:dyDescent="0.3">
      <c r="C882" s="1" t="s">
        <v>1153</v>
      </c>
      <c r="D882" s="1" t="s">
        <v>12</v>
      </c>
    </row>
    <row r="883" spans="3:4" x14ac:dyDescent="0.3">
      <c r="C883" s="1" t="s">
        <v>1154</v>
      </c>
      <c r="D883" s="1" t="s">
        <v>13</v>
      </c>
    </row>
    <row r="884" spans="3:4" x14ac:dyDescent="0.3">
      <c r="C884" s="1" t="s">
        <v>1155</v>
      </c>
      <c r="D884" s="1" t="s">
        <v>14</v>
      </c>
    </row>
    <row r="885" spans="3:4" x14ac:dyDescent="0.3">
      <c r="C885" s="1" t="s">
        <v>1156</v>
      </c>
      <c r="D885" s="1" t="s">
        <v>11</v>
      </c>
    </row>
    <row r="886" spans="3:4" x14ac:dyDescent="0.3">
      <c r="C886" s="1" t="s">
        <v>1157</v>
      </c>
      <c r="D886" s="1" t="s">
        <v>27</v>
      </c>
    </row>
    <row r="887" spans="3:4" x14ac:dyDescent="0.3">
      <c r="C887" s="1" t="s">
        <v>1158</v>
      </c>
      <c r="D887" s="1" t="s">
        <v>28</v>
      </c>
    </row>
    <row r="888" spans="3:4" x14ac:dyDescent="0.3">
      <c r="C888" s="1" t="s">
        <v>1159</v>
      </c>
      <c r="D888" s="1" t="s">
        <v>17</v>
      </c>
    </row>
    <row r="889" spans="3:4" x14ac:dyDescent="0.3">
      <c r="C889" s="1" t="s">
        <v>1160</v>
      </c>
      <c r="D889" s="1" t="s">
        <v>14</v>
      </c>
    </row>
    <row r="890" spans="3:4" x14ac:dyDescent="0.3">
      <c r="C890" s="1" t="s">
        <v>1161</v>
      </c>
      <c r="D890" s="1" t="s">
        <v>15</v>
      </c>
    </row>
    <row r="891" spans="3:4" x14ac:dyDescent="0.3">
      <c r="C891" s="1" t="s">
        <v>1162</v>
      </c>
      <c r="D891" s="1" t="s">
        <v>15</v>
      </c>
    </row>
    <row r="892" spans="3:4" x14ac:dyDescent="0.3">
      <c r="C892" s="1" t="s">
        <v>1163</v>
      </c>
      <c r="D892" s="1" t="s">
        <v>15</v>
      </c>
    </row>
    <row r="893" spans="3:4" x14ac:dyDescent="0.3">
      <c r="C893" s="1" t="s">
        <v>1164</v>
      </c>
      <c r="D893" s="1" t="s">
        <v>15</v>
      </c>
    </row>
    <row r="894" spans="3:4" x14ac:dyDescent="0.3">
      <c r="C894" s="1" t="s">
        <v>1165</v>
      </c>
      <c r="D894" s="1" t="s">
        <v>19</v>
      </c>
    </row>
    <row r="895" spans="3:4" x14ac:dyDescent="0.3">
      <c r="C895" s="1" t="s">
        <v>1166</v>
      </c>
      <c r="D895" s="1" t="s">
        <v>19</v>
      </c>
    </row>
    <row r="896" spans="3:4" x14ac:dyDescent="0.3">
      <c r="C896" s="1" t="s">
        <v>1167</v>
      </c>
      <c r="D896" s="1" t="s">
        <v>27</v>
      </c>
    </row>
    <row r="897" spans="3:4" x14ac:dyDescent="0.3">
      <c r="C897" s="1" t="s">
        <v>1168</v>
      </c>
      <c r="D897" s="1" t="s">
        <v>26</v>
      </c>
    </row>
    <row r="898" spans="3:4" x14ac:dyDescent="0.3">
      <c r="C898" s="1" t="s">
        <v>1169</v>
      </c>
      <c r="D898" s="1" t="s">
        <v>14</v>
      </c>
    </row>
    <row r="899" spans="3:4" x14ac:dyDescent="0.3">
      <c r="C899" s="1" t="s">
        <v>1170</v>
      </c>
      <c r="D899" s="1" t="s">
        <v>14</v>
      </c>
    </row>
    <row r="900" spans="3:4" x14ac:dyDescent="0.3">
      <c r="C900" s="1" t="s">
        <v>1171</v>
      </c>
      <c r="D900" s="1" t="s">
        <v>11</v>
      </c>
    </row>
    <row r="901" spans="3:4" x14ac:dyDescent="0.3">
      <c r="C901" s="1" t="s">
        <v>1172</v>
      </c>
      <c r="D901" s="1" t="s">
        <v>17</v>
      </c>
    </row>
    <row r="902" spans="3:4" x14ac:dyDescent="0.3">
      <c r="C902" s="1" t="s">
        <v>1173</v>
      </c>
      <c r="D902" s="1" t="s">
        <v>20</v>
      </c>
    </row>
    <row r="903" spans="3:4" x14ac:dyDescent="0.3">
      <c r="C903" s="1" t="s">
        <v>1174</v>
      </c>
      <c r="D903" s="1" t="s">
        <v>24</v>
      </c>
    </row>
    <row r="904" spans="3:4" x14ac:dyDescent="0.3">
      <c r="C904" s="1" t="s">
        <v>1175</v>
      </c>
      <c r="D904" s="1" t="s">
        <v>20</v>
      </c>
    </row>
    <row r="905" spans="3:4" x14ac:dyDescent="0.3">
      <c r="C905" s="1" t="s">
        <v>1176</v>
      </c>
      <c r="D905" s="1" t="s">
        <v>13</v>
      </c>
    </row>
    <row r="906" spans="3:4" x14ac:dyDescent="0.3">
      <c r="C906" s="1" t="s">
        <v>1177</v>
      </c>
      <c r="D906" s="1" t="s">
        <v>13</v>
      </c>
    </row>
    <row r="907" spans="3:4" x14ac:dyDescent="0.3">
      <c r="C907" s="1" t="s">
        <v>1178</v>
      </c>
      <c r="D907" s="1" t="s">
        <v>27</v>
      </c>
    </row>
    <row r="908" spans="3:4" x14ac:dyDescent="0.3">
      <c r="C908" s="1" t="s">
        <v>1179</v>
      </c>
      <c r="D908" s="1" t="s">
        <v>17</v>
      </c>
    </row>
    <row r="909" spans="3:4" x14ac:dyDescent="0.3">
      <c r="C909" s="1" t="s">
        <v>1180</v>
      </c>
      <c r="D909" s="1" t="s">
        <v>27</v>
      </c>
    </row>
    <row r="910" spans="3:4" x14ac:dyDescent="0.3">
      <c r="C910" s="1" t="s">
        <v>1181</v>
      </c>
      <c r="D910" s="1" t="s">
        <v>27</v>
      </c>
    </row>
    <row r="911" spans="3:4" x14ac:dyDescent="0.3">
      <c r="C911" s="1" t="s">
        <v>48</v>
      </c>
      <c r="D911" s="1" t="s">
        <v>14</v>
      </c>
    </row>
    <row r="912" spans="3:4" x14ac:dyDescent="0.3">
      <c r="C912" s="1" t="s">
        <v>1182</v>
      </c>
      <c r="D912" s="1" t="s">
        <v>15</v>
      </c>
    </row>
    <row r="913" spans="3:4" x14ac:dyDescent="0.3">
      <c r="C913" s="1" t="s">
        <v>49</v>
      </c>
      <c r="D913" s="1" t="s">
        <v>17</v>
      </c>
    </row>
    <row r="914" spans="3:4" x14ac:dyDescent="0.3">
      <c r="C914" s="1" t="s">
        <v>1183</v>
      </c>
      <c r="D914" s="1" t="s">
        <v>24</v>
      </c>
    </row>
    <row r="915" spans="3:4" x14ac:dyDescent="0.3">
      <c r="C915" s="1" t="s">
        <v>1184</v>
      </c>
      <c r="D915" s="1" t="s">
        <v>11</v>
      </c>
    </row>
    <row r="916" spans="3:4" x14ac:dyDescent="0.3">
      <c r="C916" s="1" t="s">
        <v>1185</v>
      </c>
      <c r="D916" s="1" t="s">
        <v>16</v>
      </c>
    </row>
    <row r="917" spans="3:4" x14ac:dyDescent="0.3">
      <c r="C917" s="1" t="s">
        <v>1186</v>
      </c>
      <c r="D917" s="1" t="s">
        <v>23</v>
      </c>
    </row>
    <row r="918" spans="3:4" x14ac:dyDescent="0.3">
      <c r="C918" s="1" t="s">
        <v>50</v>
      </c>
      <c r="D918" s="1" t="s">
        <v>27</v>
      </c>
    </row>
    <row r="919" spans="3:4" x14ac:dyDescent="0.3">
      <c r="C919" s="1" t="s">
        <v>1187</v>
      </c>
      <c r="D919" s="1" t="s">
        <v>24</v>
      </c>
    </row>
    <row r="920" spans="3:4" x14ac:dyDescent="0.3">
      <c r="C920" s="1" t="s">
        <v>1188</v>
      </c>
      <c r="D920" s="1" t="s">
        <v>15</v>
      </c>
    </row>
    <row r="921" spans="3:4" x14ac:dyDescent="0.3">
      <c r="C921" s="1" t="s">
        <v>51</v>
      </c>
      <c r="D921" s="1" t="s">
        <v>13</v>
      </c>
    </row>
    <row r="922" spans="3:4" x14ac:dyDescent="0.3">
      <c r="C922" s="1" t="s">
        <v>1189</v>
      </c>
      <c r="D922" s="1" t="s">
        <v>1190</v>
      </c>
    </row>
    <row r="923" spans="3:4" x14ac:dyDescent="0.3">
      <c r="C923" s="1" t="s">
        <v>52</v>
      </c>
      <c r="D923" s="1" t="s">
        <v>1190</v>
      </c>
    </row>
    <row r="924" spans="3:4" x14ac:dyDescent="0.3">
      <c r="C924" s="1" t="s">
        <v>1191</v>
      </c>
      <c r="D924" s="1" t="s">
        <v>1190</v>
      </c>
    </row>
    <row r="925" spans="3:4" x14ac:dyDescent="0.3">
      <c r="C925" s="1" t="s">
        <v>1192</v>
      </c>
      <c r="D925" s="1" t="s">
        <v>1190</v>
      </c>
    </row>
    <row r="926" spans="3:4" x14ac:dyDescent="0.3">
      <c r="C926" s="1" t="s">
        <v>1193</v>
      </c>
      <c r="D926" s="1" t="s">
        <v>1190</v>
      </c>
    </row>
    <row r="927" spans="3:4" x14ac:dyDescent="0.3">
      <c r="C927" s="1" t="s">
        <v>1194</v>
      </c>
      <c r="D927" s="1" t="s">
        <v>1190</v>
      </c>
    </row>
    <row r="928" spans="3:4" x14ac:dyDescent="0.3">
      <c r="C928" s="1" t="s">
        <v>1195</v>
      </c>
      <c r="D928" s="1" t="s">
        <v>1190</v>
      </c>
    </row>
    <row r="929" spans="3:4" x14ac:dyDescent="0.3">
      <c r="C929" s="1" t="s">
        <v>1196</v>
      </c>
      <c r="D929" s="1" t="s">
        <v>1190</v>
      </c>
    </row>
    <row r="930" spans="3:4" x14ac:dyDescent="0.3">
      <c r="C930" s="1" t="s">
        <v>1197</v>
      </c>
      <c r="D930" s="1" t="s">
        <v>1190</v>
      </c>
    </row>
    <row r="931" spans="3:4" x14ac:dyDescent="0.3">
      <c r="C931" s="1" t="s">
        <v>1198</v>
      </c>
      <c r="D931" s="1" t="s">
        <v>1190</v>
      </c>
    </row>
    <row r="932" spans="3:4" x14ac:dyDescent="0.3">
      <c r="C932" s="1" t="s">
        <v>1199</v>
      </c>
      <c r="D932" s="1" t="s">
        <v>1190</v>
      </c>
    </row>
    <row r="933" spans="3:4" x14ac:dyDescent="0.3">
      <c r="C933" s="1" t="s">
        <v>1200</v>
      </c>
      <c r="D933" s="1" t="s">
        <v>1190</v>
      </c>
    </row>
    <row r="934" spans="3:4" x14ac:dyDescent="0.3">
      <c r="C934" s="1" t="s">
        <v>1201</v>
      </c>
      <c r="D934" s="1" t="s">
        <v>1190</v>
      </c>
    </row>
    <row r="935" spans="3:4" x14ac:dyDescent="0.3">
      <c r="C935" s="1" t="s">
        <v>1202</v>
      </c>
      <c r="D935" s="1" t="s">
        <v>1190</v>
      </c>
    </row>
    <row r="936" spans="3:4" x14ac:dyDescent="0.3">
      <c r="C936" s="1" t="s">
        <v>1203</v>
      </c>
      <c r="D936" s="1" t="s">
        <v>1190</v>
      </c>
    </row>
    <row r="937" spans="3:4" x14ac:dyDescent="0.3">
      <c r="C937" s="1" t="s">
        <v>1204</v>
      </c>
      <c r="D937" s="1" t="s">
        <v>1190</v>
      </c>
    </row>
    <row r="938" spans="3:4" x14ac:dyDescent="0.3">
      <c r="C938" s="1" t="s">
        <v>1205</v>
      </c>
      <c r="D938" s="1" t="s">
        <v>1190</v>
      </c>
    </row>
    <row r="939" spans="3:4" x14ac:dyDescent="0.3">
      <c r="C939" s="1" t="s">
        <v>1206</v>
      </c>
      <c r="D939" s="1" t="s">
        <v>1190</v>
      </c>
    </row>
    <row r="940" spans="3:4" x14ac:dyDescent="0.3">
      <c r="C940" s="1" t="s">
        <v>1207</v>
      </c>
      <c r="D940" s="1" t="s">
        <v>1190</v>
      </c>
    </row>
    <row r="941" spans="3:4" x14ac:dyDescent="0.3">
      <c r="C941" s="1" t="s">
        <v>53</v>
      </c>
      <c r="D941" s="1" t="s">
        <v>1190</v>
      </c>
    </row>
    <row r="942" spans="3:4" x14ac:dyDescent="0.3">
      <c r="C942" s="1" t="s">
        <v>1208</v>
      </c>
      <c r="D942" s="1" t="s">
        <v>1190</v>
      </c>
    </row>
    <row r="943" spans="3:4" x14ac:dyDescent="0.3">
      <c r="C943" s="1" t="s">
        <v>1209</v>
      </c>
      <c r="D943" s="1" t="s">
        <v>1190</v>
      </c>
    </row>
    <row r="944" spans="3:4" x14ac:dyDescent="0.3">
      <c r="C944" s="1" t="s">
        <v>1210</v>
      </c>
      <c r="D944" s="1" t="s">
        <v>1190</v>
      </c>
    </row>
    <row r="945" spans="3:4" x14ac:dyDescent="0.3">
      <c r="C945" s="1" t="s">
        <v>1211</v>
      </c>
      <c r="D945" s="1" t="s">
        <v>1190</v>
      </c>
    </row>
    <row r="946" spans="3:4" x14ac:dyDescent="0.3">
      <c r="C946" s="1" t="s">
        <v>1212</v>
      </c>
      <c r="D946" s="1" t="s">
        <v>1190</v>
      </c>
    </row>
    <row r="947" spans="3:4" x14ac:dyDescent="0.3">
      <c r="C947" s="1" t="s">
        <v>1213</v>
      </c>
      <c r="D947" s="1" t="s">
        <v>1190</v>
      </c>
    </row>
    <row r="948" spans="3:4" x14ac:dyDescent="0.3">
      <c r="C948" s="1" t="s">
        <v>1214</v>
      </c>
      <c r="D948" s="1" t="s">
        <v>1190</v>
      </c>
    </row>
    <row r="949" spans="3:4" x14ac:dyDescent="0.3">
      <c r="C949" s="1" t="s">
        <v>1215</v>
      </c>
      <c r="D949" s="1" t="s">
        <v>1190</v>
      </c>
    </row>
    <row r="950" spans="3:4" x14ac:dyDescent="0.3">
      <c r="C950" s="1" t="s">
        <v>1216</v>
      </c>
      <c r="D950" s="1" t="s">
        <v>1190</v>
      </c>
    </row>
    <row r="951" spans="3:4" x14ac:dyDescent="0.3">
      <c r="C951" s="1" t="s">
        <v>1217</v>
      </c>
      <c r="D951" s="1" t="s">
        <v>1190</v>
      </c>
    </row>
    <row r="952" spans="3:4" x14ac:dyDescent="0.3">
      <c r="C952" s="1" t="s">
        <v>1218</v>
      </c>
      <c r="D952" s="1" t="s">
        <v>1190</v>
      </c>
    </row>
    <row r="953" spans="3:4" x14ac:dyDescent="0.3">
      <c r="C953" s="1" t="s">
        <v>1219</v>
      </c>
      <c r="D953" s="1" t="s">
        <v>1190</v>
      </c>
    </row>
    <row r="954" spans="3:4" x14ac:dyDescent="0.3">
      <c r="C954" s="1" t="s">
        <v>1220</v>
      </c>
      <c r="D954" s="1" t="s">
        <v>1190</v>
      </c>
    </row>
    <row r="955" spans="3:4" x14ac:dyDescent="0.3">
      <c r="C955" s="1" t="s">
        <v>1221</v>
      </c>
      <c r="D955" s="1" t="s">
        <v>1190</v>
      </c>
    </row>
    <row r="956" spans="3:4" x14ac:dyDescent="0.3">
      <c r="C956" s="1" t="s">
        <v>1222</v>
      </c>
      <c r="D956" s="1" t="s">
        <v>1190</v>
      </c>
    </row>
    <row r="957" spans="3:4" x14ac:dyDescent="0.3">
      <c r="C957" s="1" t="s">
        <v>1223</v>
      </c>
      <c r="D957" s="1" t="s">
        <v>1190</v>
      </c>
    </row>
    <row r="958" spans="3:4" x14ac:dyDescent="0.3">
      <c r="C958" s="1" t="s">
        <v>1224</v>
      </c>
      <c r="D958" s="1" t="s">
        <v>1190</v>
      </c>
    </row>
    <row r="959" spans="3:4" x14ac:dyDescent="0.3">
      <c r="C959" s="1" t="s">
        <v>1225</v>
      </c>
      <c r="D959" s="1" t="s">
        <v>1190</v>
      </c>
    </row>
    <row r="960" spans="3:4" x14ac:dyDescent="0.3">
      <c r="C960" s="1" t="s">
        <v>1226</v>
      </c>
      <c r="D960" s="1" t="s">
        <v>1190</v>
      </c>
    </row>
    <row r="961" spans="3:4" x14ac:dyDescent="0.3">
      <c r="C961" s="1" t="s">
        <v>1227</v>
      </c>
      <c r="D961" s="1" t="s">
        <v>1190</v>
      </c>
    </row>
    <row r="962" spans="3:4" x14ac:dyDescent="0.3">
      <c r="C962" s="1" t="s">
        <v>1228</v>
      </c>
      <c r="D962" s="1" t="s">
        <v>1190</v>
      </c>
    </row>
    <row r="963" spans="3:4" x14ac:dyDescent="0.3">
      <c r="C963" s="1" t="s">
        <v>1229</v>
      </c>
      <c r="D963" s="1" t="s">
        <v>1190</v>
      </c>
    </row>
    <row r="964" spans="3:4" x14ac:dyDescent="0.3">
      <c r="C964" s="1" t="s">
        <v>1230</v>
      </c>
      <c r="D964" s="1" t="s">
        <v>1190</v>
      </c>
    </row>
    <row r="965" spans="3:4" x14ac:dyDescent="0.3">
      <c r="C965" s="1" t="s">
        <v>1231</v>
      </c>
      <c r="D965" s="1" t="s">
        <v>1190</v>
      </c>
    </row>
    <row r="966" spans="3:4" x14ac:dyDescent="0.3">
      <c r="C966" s="1" t="s">
        <v>1232</v>
      </c>
      <c r="D966" s="1" t="s">
        <v>1190</v>
      </c>
    </row>
    <row r="967" spans="3:4" x14ac:dyDescent="0.3">
      <c r="C967" s="1" t="s">
        <v>1233</v>
      </c>
      <c r="D967" s="1" t="s">
        <v>1190</v>
      </c>
    </row>
    <row r="968" spans="3:4" x14ac:dyDescent="0.3">
      <c r="C968" s="1" t="s">
        <v>54</v>
      </c>
      <c r="D968" s="1" t="s">
        <v>1190</v>
      </c>
    </row>
    <row r="969" spans="3:4" x14ac:dyDescent="0.3">
      <c r="C969" s="1" t="s">
        <v>1234</v>
      </c>
      <c r="D969" s="1" t="s">
        <v>1190</v>
      </c>
    </row>
    <row r="970" spans="3:4" x14ac:dyDescent="0.3">
      <c r="C970" s="1" t="s">
        <v>1235</v>
      </c>
      <c r="D970" s="1" t="s">
        <v>1190</v>
      </c>
    </row>
    <row r="971" spans="3:4" x14ac:dyDescent="0.3">
      <c r="C971" s="1" t="s">
        <v>1236</v>
      </c>
      <c r="D971" s="1" t="s">
        <v>1190</v>
      </c>
    </row>
    <row r="972" spans="3:4" x14ac:dyDescent="0.3">
      <c r="C972" s="1" t="s">
        <v>1237</v>
      </c>
      <c r="D972" s="1" t="s">
        <v>1190</v>
      </c>
    </row>
    <row r="973" spans="3:4" x14ac:dyDescent="0.3">
      <c r="C973" s="1" t="s">
        <v>1238</v>
      </c>
      <c r="D973" s="1" t="s">
        <v>1190</v>
      </c>
    </row>
    <row r="974" spans="3:4" x14ac:dyDescent="0.3">
      <c r="C974" s="1" t="s">
        <v>1239</v>
      </c>
      <c r="D974" s="1" t="s">
        <v>1190</v>
      </c>
    </row>
    <row r="975" spans="3:4" x14ac:dyDescent="0.3">
      <c r="C975" s="1" t="s">
        <v>1240</v>
      </c>
      <c r="D975" s="1" t="s">
        <v>1190</v>
      </c>
    </row>
    <row r="976" spans="3:4" x14ac:dyDescent="0.3">
      <c r="C976" s="1" t="s">
        <v>1241</v>
      </c>
      <c r="D976" s="1" t="s">
        <v>1190</v>
      </c>
    </row>
    <row r="977" spans="3:4" x14ac:dyDescent="0.3">
      <c r="C977" s="1" t="s">
        <v>1242</v>
      </c>
      <c r="D977" s="1" t="s">
        <v>1190</v>
      </c>
    </row>
    <row r="978" spans="3:4" x14ac:dyDescent="0.3">
      <c r="C978" s="1" t="s">
        <v>1243</v>
      </c>
      <c r="D978" s="1" t="s">
        <v>1190</v>
      </c>
    </row>
    <row r="979" spans="3:4" x14ac:dyDescent="0.3">
      <c r="C979" s="1" t="s">
        <v>1244</v>
      </c>
      <c r="D979" s="1" t="s">
        <v>1190</v>
      </c>
    </row>
    <row r="980" spans="3:4" x14ac:dyDescent="0.3">
      <c r="C980" s="1" t="s">
        <v>1245</v>
      </c>
      <c r="D980" s="1" t="s">
        <v>1190</v>
      </c>
    </row>
    <row r="981" spans="3:4" x14ac:dyDescent="0.3">
      <c r="C981" s="1" t="s">
        <v>1246</v>
      </c>
      <c r="D981" s="1" t="s">
        <v>1190</v>
      </c>
    </row>
    <row r="982" spans="3:4" x14ac:dyDescent="0.3">
      <c r="C982" s="1" t="s">
        <v>1247</v>
      </c>
      <c r="D982" s="1" t="s">
        <v>1190</v>
      </c>
    </row>
    <row r="983" spans="3:4" x14ac:dyDescent="0.3">
      <c r="C983" s="1" t="s">
        <v>1248</v>
      </c>
      <c r="D983" s="1" t="s">
        <v>1190</v>
      </c>
    </row>
    <row r="984" spans="3:4" x14ac:dyDescent="0.3">
      <c r="C984" s="1" t="s">
        <v>1249</v>
      </c>
      <c r="D984" s="1" t="s">
        <v>1190</v>
      </c>
    </row>
    <row r="985" spans="3:4" x14ac:dyDescent="0.3">
      <c r="C985" s="1" t="s">
        <v>1250</v>
      </c>
      <c r="D985" s="1" t="s">
        <v>1190</v>
      </c>
    </row>
    <row r="986" spans="3:4" x14ac:dyDescent="0.3">
      <c r="C986" s="1" t="s">
        <v>1251</v>
      </c>
      <c r="D986" s="1" t="s">
        <v>1190</v>
      </c>
    </row>
    <row r="987" spans="3:4" x14ac:dyDescent="0.3">
      <c r="C987" s="1" t="s">
        <v>1252</v>
      </c>
      <c r="D987" s="1" t="s">
        <v>1190</v>
      </c>
    </row>
    <row r="988" spans="3:4" x14ac:dyDescent="0.3">
      <c r="C988" s="1" t="s">
        <v>1253</v>
      </c>
      <c r="D988" s="1" t="s">
        <v>1190</v>
      </c>
    </row>
    <row r="989" spans="3:4" x14ac:dyDescent="0.3">
      <c r="C989" s="1" t="s">
        <v>1254</v>
      </c>
      <c r="D989" s="1" t="s">
        <v>1190</v>
      </c>
    </row>
    <row r="990" spans="3:4" x14ac:dyDescent="0.3">
      <c r="C990" s="1" t="s">
        <v>1255</v>
      </c>
      <c r="D990" s="1" t="s">
        <v>1190</v>
      </c>
    </row>
    <row r="991" spans="3:4" x14ac:dyDescent="0.3">
      <c r="C991" s="1" t="s">
        <v>1256</v>
      </c>
      <c r="D991" s="1" t="s">
        <v>1190</v>
      </c>
    </row>
    <row r="992" spans="3:4" x14ac:dyDescent="0.3">
      <c r="C992" s="1" t="s">
        <v>1257</v>
      </c>
      <c r="D992" s="1" t="s">
        <v>1190</v>
      </c>
    </row>
    <row r="993" spans="3:4" x14ac:dyDescent="0.3">
      <c r="C993" s="1" t="s">
        <v>1258</v>
      </c>
      <c r="D993" s="1" t="s">
        <v>1190</v>
      </c>
    </row>
    <row r="994" spans="3:4" x14ac:dyDescent="0.3">
      <c r="C994" s="1" t="s">
        <v>1259</v>
      </c>
      <c r="D994" s="1" t="s">
        <v>1190</v>
      </c>
    </row>
    <row r="995" spans="3:4" x14ac:dyDescent="0.3">
      <c r="C995" s="1" t="s">
        <v>1260</v>
      </c>
      <c r="D995" s="1" t="s">
        <v>1190</v>
      </c>
    </row>
    <row r="996" spans="3:4" x14ac:dyDescent="0.3">
      <c r="C996" s="1" t="s">
        <v>1261</v>
      </c>
      <c r="D996" s="1" t="s">
        <v>1190</v>
      </c>
    </row>
    <row r="997" spans="3:4" x14ac:dyDescent="0.3">
      <c r="C997" s="1" t="s">
        <v>1262</v>
      </c>
      <c r="D997" s="1" t="s">
        <v>1190</v>
      </c>
    </row>
    <row r="998" spans="3:4" x14ac:dyDescent="0.3">
      <c r="C998" s="1" t="s">
        <v>1263</v>
      </c>
      <c r="D998" s="1" t="s">
        <v>1190</v>
      </c>
    </row>
    <row r="999" spans="3:4" x14ac:dyDescent="0.3">
      <c r="C999" s="1" t="s">
        <v>1264</v>
      </c>
      <c r="D999" s="1" t="s">
        <v>1190</v>
      </c>
    </row>
    <row r="1000" spans="3:4" x14ac:dyDescent="0.3">
      <c r="C1000" s="1" t="s">
        <v>1265</v>
      </c>
      <c r="D1000" s="1" t="s">
        <v>1190</v>
      </c>
    </row>
    <row r="1001" spans="3:4" x14ac:dyDescent="0.3">
      <c r="C1001" s="1" t="s">
        <v>1266</v>
      </c>
      <c r="D1001" s="1" t="s">
        <v>1190</v>
      </c>
    </row>
    <row r="1002" spans="3:4" x14ac:dyDescent="0.3">
      <c r="C1002" s="1" t="s">
        <v>1267</v>
      </c>
      <c r="D1002" s="1" t="s">
        <v>1190</v>
      </c>
    </row>
    <row r="1003" spans="3:4" x14ac:dyDescent="0.3">
      <c r="C1003" s="1" t="s">
        <v>1268</v>
      </c>
      <c r="D1003" s="1" t="s">
        <v>1190</v>
      </c>
    </row>
    <row r="1004" spans="3:4" x14ac:dyDescent="0.3">
      <c r="C1004" s="1" t="s">
        <v>1269</v>
      </c>
      <c r="D1004" s="1" t="s">
        <v>1190</v>
      </c>
    </row>
    <row r="1005" spans="3:4" x14ac:dyDescent="0.3">
      <c r="C1005" s="1" t="s">
        <v>55</v>
      </c>
      <c r="D1005" s="1" t="s">
        <v>1190</v>
      </c>
    </row>
    <row r="1006" spans="3:4" x14ac:dyDescent="0.3">
      <c r="C1006" s="1" t="s">
        <v>1270</v>
      </c>
      <c r="D1006" s="1" t="s">
        <v>1190</v>
      </c>
    </row>
    <row r="1007" spans="3:4" x14ac:dyDescent="0.3">
      <c r="C1007" s="1" t="s">
        <v>1271</v>
      </c>
      <c r="D1007" s="1" t="s">
        <v>1190</v>
      </c>
    </row>
    <row r="1008" spans="3:4" x14ac:dyDescent="0.3">
      <c r="C1008" s="1" t="s">
        <v>1272</v>
      </c>
      <c r="D1008" s="1" t="s">
        <v>1190</v>
      </c>
    </row>
    <row r="1009" spans="3:4" x14ac:dyDescent="0.3">
      <c r="C1009" s="1" t="s">
        <v>1273</v>
      </c>
      <c r="D1009" s="1" t="s">
        <v>1190</v>
      </c>
    </row>
    <row r="1010" spans="3:4" x14ac:dyDescent="0.3">
      <c r="C1010" s="1" t="s">
        <v>1274</v>
      </c>
      <c r="D1010" s="1" t="s">
        <v>1190</v>
      </c>
    </row>
    <row r="1011" spans="3:4" x14ac:dyDescent="0.3">
      <c r="C1011" s="1" t="s">
        <v>1275</v>
      </c>
      <c r="D1011" s="1" t="s">
        <v>1190</v>
      </c>
    </row>
    <row r="1012" spans="3:4" x14ac:dyDescent="0.3">
      <c r="C1012" s="1" t="s">
        <v>1276</v>
      </c>
      <c r="D1012" s="1" t="s">
        <v>1190</v>
      </c>
    </row>
    <row r="1013" spans="3:4" x14ac:dyDescent="0.3">
      <c r="C1013" s="1" t="s">
        <v>1277</v>
      </c>
      <c r="D1013" s="1" t="s">
        <v>1190</v>
      </c>
    </row>
    <row r="1014" spans="3:4" x14ac:dyDescent="0.3">
      <c r="C1014" s="1" t="s">
        <v>1278</v>
      </c>
      <c r="D1014" s="1" t="s">
        <v>1190</v>
      </c>
    </row>
    <row r="1015" spans="3:4" x14ac:dyDescent="0.3">
      <c r="C1015" s="1" t="s">
        <v>1279</v>
      </c>
      <c r="D1015" s="1" t="s">
        <v>1190</v>
      </c>
    </row>
    <row r="1016" spans="3:4" x14ac:dyDescent="0.3">
      <c r="C1016" s="1" t="s">
        <v>1280</v>
      </c>
      <c r="D1016" s="1" t="s">
        <v>1190</v>
      </c>
    </row>
    <row r="1017" spans="3:4" x14ac:dyDescent="0.3">
      <c r="C1017" s="1" t="s">
        <v>1281</v>
      </c>
      <c r="D1017" s="1" t="s">
        <v>1190</v>
      </c>
    </row>
    <row r="1018" spans="3:4" x14ac:dyDescent="0.3">
      <c r="C1018" s="1" t="s">
        <v>1282</v>
      </c>
      <c r="D1018" s="1" t="s">
        <v>1190</v>
      </c>
    </row>
    <row r="1019" spans="3:4" x14ac:dyDescent="0.3">
      <c r="C1019" s="1" t="s">
        <v>1283</v>
      </c>
      <c r="D1019" s="1" t="s">
        <v>1190</v>
      </c>
    </row>
    <row r="1020" spans="3:4" x14ac:dyDescent="0.3">
      <c r="C1020" s="1" t="s">
        <v>1284</v>
      </c>
      <c r="D1020" s="1" t="s">
        <v>1190</v>
      </c>
    </row>
    <row r="1021" spans="3:4" x14ac:dyDescent="0.3">
      <c r="C1021" s="1" t="s">
        <v>1285</v>
      </c>
      <c r="D1021" s="1" t="s">
        <v>1190</v>
      </c>
    </row>
    <row r="1022" spans="3:4" x14ac:dyDescent="0.3">
      <c r="C1022" s="1" t="s">
        <v>1286</v>
      </c>
      <c r="D1022" s="1" t="s">
        <v>1190</v>
      </c>
    </row>
    <row r="1023" spans="3:4" x14ac:dyDescent="0.3">
      <c r="C1023" s="1" t="s">
        <v>56</v>
      </c>
      <c r="D1023" s="1" t="s">
        <v>1190</v>
      </c>
    </row>
    <row r="1024" spans="3:4" x14ac:dyDescent="0.3">
      <c r="C1024" s="1" t="s">
        <v>1287</v>
      </c>
      <c r="D1024" s="1" t="s">
        <v>1190</v>
      </c>
    </row>
    <row r="1025" spans="3:4" x14ac:dyDescent="0.3">
      <c r="C1025" s="1" t="s">
        <v>1288</v>
      </c>
      <c r="D1025" s="1" t="s">
        <v>1190</v>
      </c>
    </row>
    <row r="1026" spans="3:4" x14ac:dyDescent="0.3">
      <c r="C1026" s="1" t="s">
        <v>1289</v>
      </c>
      <c r="D1026" s="1" t="s">
        <v>1190</v>
      </c>
    </row>
    <row r="1027" spans="3:4" x14ac:dyDescent="0.3">
      <c r="C1027" s="1" t="s">
        <v>1290</v>
      </c>
      <c r="D1027" s="1" t="s">
        <v>1190</v>
      </c>
    </row>
    <row r="1028" spans="3:4" x14ac:dyDescent="0.3">
      <c r="C1028" s="1" t="s">
        <v>1291</v>
      </c>
      <c r="D1028" s="1" t="s">
        <v>1190</v>
      </c>
    </row>
    <row r="1029" spans="3:4" x14ac:dyDescent="0.3">
      <c r="C1029" s="1" t="s">
        <v>1292</v>
      </c>
      <c r="D1029" s="1" t="s">
        <v>1190</v>
      </c>
    </row>
    <row r="1030" spans="3:4" x14ac:dyDescent="0.3">
      <c r="C1030" s="1" t="s">
        <v>1293</v>
      </c>
      <c r="D1030" s="1" t="s">
        <v>1190</v>
      </c>
    </row>
    <row r="1031" spans="3:4" x14ac:dyDescent="0.3">
      <c r="C1031" s="1" t="s">
        <v>1294</v>
      </c>
      <c r="D1031" s="1" t="s">
        <v>1190</v>
      </c>
    </row>
    <row r="1032" spans="3:4" x14ac:dyDescent="0.3">
      <c r="C1032" s="1" t="s">
        <v>1295</v>
      </c>
      <c r="D1032" s="1" t="s">
        <v>1190</v>
      </c>
    </row>
    <row r="1033" spans="3:4" x14ac:dyDescent="0.3">
      <c r="C1033" s="1" t="s">
        <v>57</v>
      </c>
      <c r="D1033" s="1" t="s">
        <v>1190</v>
      </c>
    </row>
    <row r="1034" spans="3:4" x14ac:dyDescent="0.3">
      <c r="C1034" s="1" t="s">
        <v>1296</v>
      </c>
      <c r="D1034" s="1" t="s">
        <v>1190</v>
      </c>
    </row>
    <row r="1035" spans="3:4" x14ac:dyDescent="0.3">
      <c r="C1035" s="1" t="s">
        <v>1297</v>
      </c>
      <c r="D1035" s="1" t="s">
        <v>1190</v>
      </c>
    </row>
    <row r="1036" spans="3:4" x14ac:dyDescent="0.3">
      <c r="C1036" s="1" t="s">
        <v>1298</v>
      </c>
      <c r="D1036" s="1" t="s">
        <v>1190</v>
      </c>
    </row>
    <row r="1037" spans="3:4" x14ac:dyDescent="0.3">
      <c r="C1037" s="1" t="s">
        <v>1299</v>
      </c>
      <c r="D1037" s="1" t="s">
        <v>1190</v>
      </c>
    </row>
    <row r="1038" spans="3:4" x14ac:dyDescent="0.3">
      <c r="C1038" s="1" t="s">
        <v>1300</v>
      </c>
      <c r="D1038" s="1" t="s">
        <v>1190</v>
      </c>
    </row>
    <row r="1039" spans="3:4" x14ac:dyDescent="0.3">
      <c r="C1039" s="1" t="s">
        <v>1301</v>
      </c>
      <c r="D1039" s="1" t="s">
        <v>1190</v>
      </c>
    </row>
    <row r="1040" spans="3:4" x14ac:dyDescent="0.3">
      <c r="C1040" s="1" t="s">
        <v>1302</v>
      </c>
      <c r="D1040" s="1" t="s">
        <v>1190</v>
      </c>
    </row>
    <row r="1041" spans="3:4" x14ac:dyDescent="0.3">
      <c r="C1041" s="1" t="s">
        <v>1303</v>
      </c>
      <c r="D1041" s="1" t="s">
        <v>1190</v>
      </c>
    </row>
    <row r="1042" spans="3:4" x14ac:dyDescent="0.3">
      <c r="C1042" s="1" t="s">
        <v>1304</v>
      </c>
      <c r="D1042" s="1" t="s">
        <v>1190</v>
      </c>
    </row>
    <row r="1043" spans="3:4" x14ac:dyDescent="0.3">
      <c r="C1043" s="1" t="s">
        <v>1305</v>
      </c>
      <c r="D1043" s="1" t="s">
        <v>1190</v>
      </c>
    </row>
    <row r="1044" spans="3:4" x14ac:dyDescent="0.3">
      <c r="C1044" s="1" t="s">
        <v>1306</v>
      </c>
      <c r="D1044" s="1" t="s">
        <v>1190</v>
      </c>
    </row>
    <row r="1045" spans="3:4" x14ac:dyDescent="0.3">
      <c r="C1045" s="1" t="s">
        <v>1307</v>
      </c>
      <c r="D1045" s="1" t="s">
        <v>1190</v>
      </c>
    </row>
    <row r="1046" spans="3:4" x14ac:dyDescent="0.3">
      <c r="C1046" s="1" t="s">
        <v>1308</v>
      </c>
      <c r="D1046" s="1" t="s">
        <v>1190</v>
      </c>
    </row>
    <row r="1047" spans="3:4" x14ac:dyDescent="0.3">
      <c r="C1047" s="1" t="s">
        <v>1309</v>
      </c>
      <c r="D1047" s="1" t="s">
        <v>1190</v>
      </c>
    </row>
    <row r="1048" spans="3:4" x14ac:dyDescent="0.3">
      <c r="C1048" s="1" t="s">
        <v>1310</v>
      </c>
      <c r="D1048" s="1" t="s">
        <v>1190</v>
      </c>
    </row>
    <row r="1049" spans="3:4" x14ac:dyDescent="0.3">
      <c r="C1049" s="1" t="s">
        <v>1311</v>
      </c>
      <c r="D1049" s="1" t="s">
        <v>1190</v>
      </c>
    </row>
    <row r="1050" spans="3:4" x14ac:dyDescent="0.3">
      <c r="C1050" s="1" t="s">
        <v>1312</v>
      </c>
      <c r="D1050" s="1" t="s">
        <v>1190</v>
      </c>
    </row>
    <row r="1051" spans="3:4" x14ac:dyDescent="0.3">
      <c r="C1051" s="1" t="s">
        <v>1313</v>
      </c>
      <c r="D1051" s="1" t="s">
        <v>1190</v>
      </c>
    </row>
    <row r="1052" spans="3:4" x14ac:dyDescent="0.3">
      <c r="C1052" s="1" t="s">
        <v>1314</v>
      </c>
      <c r="D1052" s="1" t="s">
        <v>1190</v>
      </c>
    </row>
    <row r="1053" spans="3:4" x14ac:dyDescent="0.3">
      <c r="C1053" s="1" t="s">
        <v>1315</v>
      </c>
      <c r="D1053" s="1" t="s">
        <v>1190</v>
      </c>
    </row>
    <row r="1054" spans="3:4" x14ac:dyDescent="0.3">
      <c r="C1054" s="1" t="s">
        <v>1316</v>
      </c>
      <c r="D1054" s="1" t="s">
        <v>1190</v>
      </c>
    </row>
    <row r="1055" spans="3:4" x14ac:dyDescent="0.3">
      <c r="C1055" s="1" t="s">
        <v>1317</v>
      </c>
      <c r="D1055" s="1" t="s">
        <v>1190</v>
      </c>
    </row>
    <row r="1056" spans="3:4" x14ac:dyDescent="0.3">
      <c r="C1056" s="1" t="s">
        <v>1318</v>
      </c>
      <c r="D1056" s="1" t="s">
        <v>1190</v>
      </c>
    </row>
    <row r="1057" spans="3:4" x14ac:dyDescent="0.3">
      <c r="C1057" s="1" t="s">
        <v>1319</v>
      </c>
      <c r="D1057" s="1" t="s">
        <v>1190</v>
      </c>
    </row>
    <row r="1058" spans="3:4" x14ac:dyDescent="0.3">
      <c r="C1058" s="1" t="s">
        <v>1320</v>
      </c>
      <c r="D1058" s="1" t="s">
        <v>1190</v>
      </c>
    </row>
    <row r="1059" spans="3:4" x14ac:dyDescent="0.3">
      <c r="C1059" s="1" t="s">
        <v>1321</v>
      </c>
      <c r="D1059" s="1" t="s">
        <v>1190</v>
      </c>
    </row>
    <row r="1060" spans="3:4" x14ac:dyDescent="0.3">
      <c r="C1060" s="1" t="s">
        <v>1322</v>
      </c>
      <c r="D1060" s="1" t="s">
        <v>1190</v>
      </c>
    </row>
    <row r="1061" spans="3:4" x14ac:dyDescent="0.3">
      <c r="C1061" s="1" t="s">
        <v>1323</v>
      </c>
      <c r="D1061" s="1" t="s">
        <v>1190</v>
      </c>
    </row>
    <row r="1062" spans="3:4" x14ac:dyDescent="0.3">
      <c r="C1062" s="1" t="s">
        <v>1324</v>
      </c>
      <c r="D1062" s="1" t="s">
        <v>1190</v>
      </c>
    </row>
    <row r="1063" spans="3:4" x14ac:dyDescent="0.3">
      <c r="C1063" s="1" t="s">
        <v>1325</v>
      </c>
      <c r="D1063" s="1" t="s">
        <v>1190</v>
      </c>
    </row>
    <row r="1064" spans="3:4" x14ac:dyDescent="0.3">
      <c r="C1064" s="1" t="s">
        <v>1326</v>
      </c>
      <c r="D1064" s="1" t="s">
        <v>1190</v>
      </c>
    </row>
    <row r="1065" spans="3:4" x14ac:dyDescent="0.3">
      <c r="C1065" s="1" t="s">
        <v>1327</v>
      </c>
      <c r="D1065" s="1" t="s">
        <v>1190</v>
      </c>
    </row>
    <row r="1066" spans="3:4" x14ac:dyDescent="0.3">
      <c r="C1066" s="1" t="s">
        <v>1328</v>
      </c>
      <c r="D1066" s="1" t="s">
        <v>1190</v>
      </c>
    </row>
    <row r="1067" spans="3:4" x14ac:dyDescent="0.3">
      <c r="C1067" s="1" t="s">
        <v>1329</v>
      </c>
      <c r="D1067" s="1" t="s">
        <v>1190</v>
      </c>
    </row>
    <row r="1068" spans="3:4" x14ac:dyDescent="0.3">
      <c r="C1068" s="1" t="s">
        <v>1330</v>
      </c>
      <c r="D1068" s="1" t="s">
        <v>1190</v>
      </c>
    </row>
    <row r="1069" spans="3:4" x14ac:dyDescent="0.3">
      <c r="C1069" s="1" t="s">
        <v>1331</v>
      </c>
      <c r="D1069" s="1" t="s">
        <v>1190</v>
      </c>
    </row>
    <row r="1070" spans="3:4" x14ac:dyDescent="0.3">
      <c r="C1070" s="1" t="s">
        <v>1332</v>
      </c>
      <c r="D1070" s="1" t="s">
        <v>1190</v>
      </c>
    </row>
    <row r="1071" spans="3:4" x14ac:dyDescent="0.3">
      <c r="C1071" s="1" t="s">
        <v>1333</v>
      </c>
      <c r="D1071" s="1" t="s">
        <v>1190</v>
      </c>
    </row>
    <row r="1072" spans="3:4" x14ac:dyDescent="0.3">
      <c r="C1072" s="1" t="s">
        <v>1334</v>
      </c>
      <c r="D1072" s="1" t="s">
        <v>1190</v>
      </c>
    </row>
    <row r="1073" spans="3:4" x14ac:dyDescent="0.3">
      <c r="C1073" s="1" t="s">
        <v>1335</v>
      </c>
      <c r="D1073" s="1" t="s">
        <v>1190</v>
      </c>
    </row>
    <row r="1074" spans="3:4" x14ac:dyDescent="0.3">
      <c r="C1074" s="1" t="s">
        <v>1336</v>
      </c>
      <c r="D1074" s="1" t="s">
        <v>1190</v>
      </c>
    </row>
    <row r="1075" spans="3:4" x14ac:dyDescent="0.3">
      <c r="C1075" s="1" t="s">
        <v>1337</v>
      </c>
      <c r="D1075" s="1" t="s">
        <v>1190</v>
      </c>
    </row>
    <row r="1076" spans="3:4" x14ac:dyDescent="0.3">
      <c r="C1076" s="1" t="s">
        <v>1338</v>
      </c>
      <c r="D1076" s="1" t="s">
        <v>1190</v>
      </c>
    </row>
    <row r="1077" spans="3:4" x14ac:dyDescent="0.3">
      <c r="C1077" s="1" t="s">
        <v>1339</v>
      </c>
      <c r="D1077" s="1" t="s">
        <v>1190</v>
      </c>
    </row>
    <row r="1078" spans="3:4" x14ac:dyDescent="0.3">
      <c r="C1078" s="1" t="s">
        <v>1340</v>
      </c>
      <c r="D1078" s="1" t="s">
        <v>1190</v>
      </c>
    </row>
    <row r="1079" spans="3:4" x14ac:dyDescent="0.3">
      <c r="C1079" s="1" t="s">
        <v>1341</v>
      </c>
      <c r="D1079" s="1" t="s">
        <v>1190</v>
      </c>
    </row>
    <row r="1080" spans="3:4" x14ac:dyDescent="0.3">
      <c r="C1080" s="1" t="s">
        <v>1342</v>
      </c>
      <c r="D1080" s="1" t="s">
        <v>1190</v>
      </c>
    </row>
    <row r="1081" spans="3:4" x14ac:dyDescent="0.3">
      <c r="C1081" s="1" t="s">
        <v>1343</v>
      </c>
      <c r="D1081" s="1" t="s">
        <v>1190</v>
      </c>
    </row>
    <row r="1082" spans="3:4" x14ac:dyDescent="0.3">
      <c r="C1082" s="1" t="s">
        <v>1344</v>
      </c>
      <c r="D1082" s="1" t="s">
        <v>1190</v>
      </c>
    </row>
    <row r="1083" spans="3:4" x14ac:dyDescent="0.3">
      <c r="C1083" s="1" t="s">
        <v>1345</v>
      </c>
      <c r="D1083" s="1" t="s">
        <v>1190</v>
      </c>
    </row>
    <row r="1084" spans="3:4" x14ac:dyDescent="0.3">
      <c r="C1084" s="1" t="s">
        <v>1346</v>
      </c>
      <c r="D1084" s="1" t="s">
        <v>1190</v>
      </c>
    </row>
    <row r="1085" spans="3:4" x14ac:dyDescent="0.3">
      <c r="C1085" s="1" t="s">
        <v>1347</v>
      </c>
      <c r="D1085" s="1" t="s">
        <v>1190</v>
      </c>
    </row>
    <row r="1086" spans="3:4" x14ac:dyDescent="0.3">
      <c r="C1086" s="1" t="s">
        <v>1348</v>
      </c>
      <c r="D1086" s="1" t="s">
        <v>1190</v>
      </c>
    </row>
    <row r="1087" spans="3:4" x14ac:dyDescent="0.3">
      <c r="C1087" s="1" t="s">
        <v>1349</v>
      </c>
      <c r="D1087" s="1" t="s">
        <v>1190</v>
      </c>
    </row>
    <row r="1088" spans="3:4" x14ac:dyDescent="0.3">
      <c r="C1088" s="1" t="s">
        <v>1350</v>
      </c>
      <c r="D1088" s="1" t="s">
        <v>1190</v>
      </c>
    </row>
    <row r="1089" spans="3:4" x14ac:dyDescent="0.3">
      <c r="C1089" s="1" t="s">
        <v>1351</v>
      </c>
      <c r="D1089" s="1" t="s">
        <v>1190</v>
      </c>
    </row>
    <row r="1090" spans="3:4" x14ac:dyDescent="0.3">
      <c r="C1090" s="1" t="s">
        <v>1352</v>
      </c>
      <c r="D1090" s="1" t="s">
        <v>1190</v>
      </c>
    </row>
    <row r="1091" spans="3:4" x14ac:dyDescent="0.3">
      <c r="C1091" s="1" t="s">
        <v>1353</v>
      </c>
      <c r="D1091" s="1" t="s">
        <v>1190</v>
      </c>
    </row>
    <row r="1092" spans="3:4" x14ac:dyDescent="0.3">
      <c r="C1092" s="1" t="s">
        <v>1354</v>
      </c>
      <c r="D1092" s="1" t="s">
        <v>1190</v>
      </c>
    </row>
    <row r="1093" spans="3:4" x14ac:dyDescent="0.3">
      <c r="C1093" s="1" t="s">
        <v>1355</v>
      </c>
      <c r="D1093" s="1" t="s">
        <v>1190</v>
      </c>
    </row>
    <row r="1094" spans="3:4" x14ac:dyDescent="0.3">
      <c r="C1094" s="1" t="s">
        <v>1356</v>
      </c>
      <c r="D1094" s="1" t="s">
        <v>1190</v>
      </c>
    </row>
    <row r="1095" spans="3:4" x14ac:dyDescent="0.3">
      <c r="C1095" s="1" t="s">
        <v>1357</v>
      </c>
      <c r="D1095" s="1" t="s">
        <v>1190</v>
      </c>
    </row>
    <row r="1096" spans="3:4" x14ac:dyDescent="0.3">
      <c r="C1096" s="1" t="s">
        <v>1358</v>
      </c>
      <c r="D1096" s="1" t="s">
        <v>1190</v>
      </c>
    </row>
    <row r="1097" spans="3:4" x14ac:dyDescent="0.3">
      <c r="C1097" s="1" t="s">
        <v>1359</v>
      </c>
      <c r="D1097" s="1" t="s">
        <v>1190</v>
      </c>
    </row>
    <row r="1098" spans="3:4" x14ac:dyDescent="0.3">
      <c r="C1098" s="1" t="s">
        <v>1360</v>
      </c>
      <c r="D1098" s="1" t="s">
        <v>1190</v>
      </c>
    </row>
    <row r="1099" spans="3:4" x14ac:dyDescent="0.3">
      <c r="C1099" s="1" t="s">
        <v>1361</v>
      </c>
      <c r="D1099" s="1" t="s">
        <v>1190</v>
      </c>
    </row>
    <row r="1100" spans="3:4" x14ac:dyDescent="0.3">
      <c r="C1100" s="1" t="s">
        <v>1362</v>
      </c>
      <c r="D1100" s="1" t="s">
        <v>1190</v>
      </c>
    </row>
    <row r="1101" spans="3:4" x14ac:dyDescent="0.3">
      <c r="C1101" s="1" t="s">
        <v>1363</v>
      </c>
      <c r="D1101" s="1" t="s">
        <v>1190</v>
      </c>
    </row>
    <row r="1102" spans="3:4" x14ac:dyDescent="0.3">
      <c r="C1102" s="1" t="s">
        <v>1364</v>
      </c>
      <c r="D1102" s="1" t="s">
        <v>1190</v>
      </c>
    </row>
    <row r="1103" spans="3:4" x14ac:dyDescent="0.3">
      <c r="C1103" s="1" t="s">
        <v>1365</v>
      </c>
      <c r="D1103" s="1" t="s">
        <v>1190</v>
      </c>
    </row>
    <row r="1104" spans="3:4" x14ac:dyDescent="0.3">
      <c r="C1104" s="1" t="s">
        <v>1366</v>
      </c>
      <c r="D1104" s="1" t="s">
        <v>1190</v>
      </c>
    </row>
    <row r="1105" spans="3:4" x14ac:dyDescent="0.3">
      <c r="C1105" s="1" t="s">
        <v>1367</v>
      </c>
      <c r="D1105" s="1" t="s">
        <v>1190</v>
      </c>
    </row>
    <row r="1106" spans="3:4" x14ac:dyDescent="0.3">
      <c r="C1106" s="1" t="s">
        <v>1368</v>
      </c>
      <c r="D1106" s="1" t="s">
        <v>1190</v>
      </c>
    </row>
    <row r="1107" spans="3:4" x14ac:dyDescent="0.3">
      <c r="C1107" s="1" t="s">
        <v>1369</v>
      </c>
      <c r="D1107" s="1" t="s">
        <v>1190</v>
      </c>
    </row>
    <row r="1108" spans="3:4" x14ac:dyDescent="0.3">
      <c r="C1108" s="1" t="s">
        <v>1370</v>
      </c>
      <c r="D1108" s="1" t="s">
        <v>1190</v>
      </c>
    </row>
    <row r="1109" spans="3:4" x14ac:dyDescent="0.3">
      <c r="C1109" s="1" t="s">
        <v>1371</v>
      </c>
      <c r="D1109" s="1" t="s">
        <v>1190</v>
      </c>
    </row>
    <row r="1110" spans="3:4" x14ac:dyDescent="0.3">
      <c r="C1110" s="1" t="s">
        <v>1372</v>
      </c>
      <c r="D1110" s="1" t="s">
        <v>1190</v>
      </c>
    </row>
    <row r="1111" spans="3:4" x14ac:dyDescent="0.3">
      <c r="C1111" s="1" t="s">
        <v>1373</v>
      </c>
      <c r="D1111" s="1" t="s">
        <v>1190</v>
      </c>
    </row>
    <row r="1112" spans="3:4" x14ac:dyDescent="0.3">
      <c r="C1112" s="1" t="s">
        <v>1374</v>
      </c>
      <c r="D1112" s="1" t="s">
        <v>1190</v>
      </c>
    </row>
    <row r="1113" spans="3:4" x14ac:dyDescent="0.3">
      <c r="C1113" s="1" t="s">
        <v>1375</v>
      </c>
      <c r="D1113" s="1" t="s">
        <v>1190</v>
      </c>
    </row>
    <row r="1114" spans="3:4" x14ac:dyDescent="0.3">
      <c r="C1114" s="1" t="s">
        <v>1376</v>
      </c>
      <c r="D1114" s="1" t="s">
        <v>1190</v>
      </c>
    </row>
    <row r="1115" spans="3:4" x14ac:dyDescent="0.3">
      <c r="C1115" s="1" t="s">
        <v>1377</v>
      </c>
      <c r="D1115" s="1" t="s">
        <v>1190</v>
      </c>
    </row>
    <row r="1116" spans="3:4" x14ac:dyDescent="0.3">
      <c r="C1116" s="1" t="s">
        <v>1378</v>
      </c>
      <c r="D1116" s="1" t="s">
        <v>1190</v>
      </c>
    </row>
    <row r="1117" spans="3:4" x14ac:dyDescent="0.3">
      <c r="C1117" s="1" t="s">
        <v>1379</v>
      </c>
      <c r="D1117" s="1" t="s">
        <v>1190</v>
      </c>
    </row>
    <row r="1118" spans="3:4" x14ac:dyDescent="0.3">
      <c r="C1118" s="1" t="s">
        <v>1380</v>
      </c>
      <c r="D1118" s="1" t="s">
        <v>1190</v>
      </c>
    </row>
    <row r="1119" spans="3:4" x14ac:dyDescent="0.3">
      <c r="C1119" s="1" t="s">
        <v>1381</v>
      </c>
      <c r="D1119" s="1" t="s">
        <v>1190</v>
      </c>
    </row>
    <row r="1120" spans="3:4" x14ac:dyDescent="0.3">
      <c r="C1120" s="1" t="s">
        <v>1382</v>
      </c>
      <c r="D1120" s="1" t="s">
        <v>1190</v>
      </c>
    </row>
    <row r="1121" spans="3:4" x14ac:dyDescent="0.3">
      <c r="C1121" s="1" t="s">
        <v>1383</v>
      </c>
      <c r="D1121" s="1" t="s">
        <v>1190</v>
      </c>
    </row>
    <row r="1122" spans="3:4" x14ac:dyDescent="0.3">
      <c r="C1122" s="1" t="s">
        <v>1384</v>
      </c>
      <c r="D1122" s="1" t="s">
        <v>1190</v>
      </c>
    </row>
    <row r="1123" spans="3:4" x14ac:dyDescent="0.3">
      <c r="C1123" s="1" t="s">
        <v>1385</v>
      </c>
      <c r="D1123" s="1" t="s">
        <v>1190</v>
      </c>
    </row>
    <row r="1124" spans="3:4" x14ac:dyDescent="0.3">
      <c r="C1124" s="1" t="s">
        <v>1386</v>
      </c>
      <c r="D1124" s="1" t="s">
        <v>1190</v>
      </c>
    </row>
    <row r="1125" spans="3:4" x14ac:dyDescent="0.3">
      <c r="C1125" s="1" t="s">
        <v>1387</v>
      </c>
      <c r="D1125" s="1" t="s">
        <v>1190</v>
      </c>
    </row>
    <row r="1126" spans="3:4" x14ac:dyDescent="0.3">
      <c r="C1126" s="1" t="s">
        <v>1388</v>
      </c>
      <c r="D1126" s="1" t="s">
        <v>1190</v>
      </c>
    </row>
    <row r="1127" spans="3:4" x14ac:dyDescent="0.3">
      <c r="C1127" s="1" t="s">
        <v>1389</v>
      </c>
      <c r="D1127" s="1" t="s">
        <v>1190</v>
      </c>
    </row>
    <row r="1128" spans="3:4" x14ac:dyDescent="0.3">
      <c r="C1128" s="1" t="s">
        <v>1390</v>
      </c>
      <c r="D1128" s="1" t="s">
        <v>1190</v>
      </c>
    </row>
    <row r="1129" spans="3:4" x14ac:dyDescent="0.3">
      <c r="C1129" s="1" t="s">
        <v>1391</v>
      </c>
      <c r="D1129" s="1" t="s">
        <v>1190</v>
      </c>
    </row>
    <row r="1130" spans="3:4" x14ac:dyDescent="0.3">
      <c r="C1130" s="1" t="s">
        <v>1392</v>
      </c>
      <c r="D1130" s="1" t="s">
        <v>1190</v>
      </c>
    </row>
    <row r="1131" spans="3:4" x14ac:dyDescent="0.3">
      <c r="C1131" s="1" t="s">
        <v>1393</v>
      </c>
      <c r="D1131" s="1" t="s">
        <v>1190</v>
      </c>
    </row>
    <row r="1132" spans="3:4" x14ac:dyDescent="0.3">
      <c r="C1132" s="1" t="s">
        <v>1394</v>
      </c>
      <c r="D1132" s="1" t="s">
        <v>1190</v>
      </c>
    </row>
    <row r="1133" spans="3:4" x14ac:dyDescent="0.3">
      <c r="C1133" s="1" t="s">
        <v>1395</v>
      </c>
      <c r="D1133" s="1" t="s">
        <v>1190</v>
      </c>
    </row>
    <row r="1134" spans="3:4" x14ac:dyDescent="0.3">
      <c r="C1134" s="1" t="s">
        <v>1396</v>
      </c>
      <c r="D1134" s="1" t="s">
        <v>1190</v>
      </c>
    </row>
    <row r="1135" spans="3:4" x14ac:dyDescent="0.3">
      <c r="C1135" s="1" t="s">
        <v>1397</v>
      </c>
      <c r="D1135" s="1" t="s">
        <v>1190</v>
      </c>
    </row>
    <row r="1136" spans="3:4" x14ac:dyDescent="0.3">
      <c r="C1136" s="1" t="s">
        <v>1398</v>
      </c>
      <c r="D1136" s="1" t="s">
        <v>1190</v>
      </c>
    </row>
    <row r="1137" spans="3:4" x14ac:dyDescent="0.3">
      <c r="C1137" s="1" t="s">
        <v>1399</v>
      </c>
      <c r="D1137" s="1" t="s">
        <v>1190</v>
      </c>
    </row>
    <row r="1138" spans="3:4" x14ac:dyDescent="0.3">
      <c r="C1138" s="1" t="s">
        <v>1400</v>
      </c>
      <c r="D1138" s="1" t="s">
        <v>1190</v>
      </c>
    </row>
    <row r="1139" spans="3:4" x14ac:dyDescent="0.3">
      <c r="C1139" s="1" t="s">
        <v>1401</v>
      </c>
      <c r="D1139" s="1" t="s">
        <v>1190</v>
      </c>
    </row>
    <row r="1140" spans="3:4" x14ac:dyDescent="0.3">
      <c r="C1140" s="1" t="s">
        <v>1402</v>
      </c>
      <c r="D1140" s="1" t="s">
        <v>1190</v>
      </c>
    </row>
    <row r="1141" spans="3:4" x14ac:dyDescent="0.3">
      <c r="C1141" s="1" t="s">
        <v>1403</v>
      </c>
      <c r="D1141" s="1" t="s">
        <v>1190</v>
      </c>
    </row>
    <row r="1142" spans="3:4" x14ac:dyDescent="0.3">
      <c r="C1142" s="1" t="s">
        <v>1404</v>
      </c>
      <c r="D1142" s="1" t="s">
        <v>1190</v>
      </c>
    </row>
    <row r="1143" spans="3:4" x14ac:dyDescent="0.3">
      <c r="C1143" s="1" t="s">
        <v>1405</v>
      </c>
      <c r="D1143" s="1" t="s">
        <v>1190</v>
      </c>
    </row>
    <row r="1144" spans="3:4" x14ac:dyDescent="0.3">
      <c r="C1144" s="1" t="s">
        <v>1406</v>
      </c>
      <c r="D1144" s="1" t="s">
        <v>1190</v>
      </c>
    </row>
    <row r="1145" spans="3:4" x14ac:dyDescent="0.3">
      <c r="C1145" s="1" t="s">
        <v>1407</v>
      </c>
      <c r="D1145" s="1" t="s">
        <v>1190</v>
      </c>
    </row>
    <row r="1146" spans="3:4" x14ac:dyDescent="0.3">
      <c r="C1146" s="1" t="s">
        <v>1408</v>
      </c>
      <c r="D1146" s="1" t="s">
        <v>1190</v>
      </c>
    </row>
    <row r="1147" spans="3:4" x14ac:dyDescent="0.3">
      <c r="C1147" s="1" t="s">
        <v>1409</v>
      </c>
      <c r="D1147" s="1" t="s">
        <v>1190</v>
      </c>
    </row>
    <row r="1148" spans="3:4" x14ac:dyDescent="0.3">
      <c r="C1148" s="1" t="s">
        <v>1410</v>
      </c>
      <c r="D1148" s="1" t="s">
        <v>1190</v>
      </c>
    </row>
    <row r="1149" spans="3:4" x14ac:dyDescent="0.3">
      <c r="C1149" s="1" t="s">
        <v>1411</v>
      </c>
      <c r="D1149" s="1" t="s">
        <v>1190</v>
      </c>
    </row>
    <row r="1150" spans="3:4" x14ac:dyDescent="0.3">
      <c r="C1150" s="1" t="s">
        <v>1412</v>
      </c>
      <c r="D1150" s="1" t="s">
        <v>1190</v>
      </c>
    </row>
    <row r="1151" spans="3:4" x14ac:dyDescent="0.3">
      <c r="C1151" s="1" t="s">
        <v>1413</v>
      </c>
      <c r="D1151" s="1" t="s">
        <v>1190</v>
      </c>
    </row>
    <row r="1152" spans="3:4" x14ac:dyDescent="0.3">
      <c r="C1152" s="1" t="s">
        <v>1414</v>
      </c>
      <c r="D1152" s="1" t="s">
        <v>1190</v>
      </c>
    </row>
    <row r="1153" spans="3:4" x14ac:dyDescent="0.3">
      <c r="C1153" s="1" t="s">
        <v>1415</v>
      </c>
      <c r="D1153" s="1" t="s">
        <v>1190</v>
      </c>
    </row>
    <row r="1154" spans="3:4" x14ac:dyDescent="0.3">
      <c r="C1154" s="1" t="s">
        <v>1416</v>
      </c>
      <c r="D1154" s="1" t="s">
        <v>1190</v>
      </c>
    </row>
    <row r="1155" spans="3:4" x14ac:dyDescent="0.3">
      <c r="C1155" s="1" t="s">
        <v>1417</v>
      </c>
      <c r="D1155" s="1" t="s">
        <v>1190</v>
      </c>
    </row>
    <row r="1156" spans="3:4" x14ac:dyDescent="0.3">
      <c r="C1156" s="1" t="s">
        <v>1418</v>
      </c>
      <c r="D1156" s="1" t="s">
        <v>1190</v>
      </c>
    </row>
    <row r="1157" spans="3:4" x14ac:dyDescent="0.3">
      <c r="C1157" s="1" t="s">
        <v>1419</v>
      </c>
      <c r="D1157" s="1" t="s">
        <v>1190</v>
      </c>
    </row>
    <row r="1158" spans="3:4" x14ac:dyDescent="0.3">
      <c r="C1158" s="1" t="s">
        <v>1420</v>
      </c>
      <c r="D1158" s="1" t="s">
        <v>1190</v>
      </c>
    </row>
    <row r="1159" spans="3:4" x14ac:dyDescent="0.3">
      <c r="C1159" s="1" t="s">
        <v>1421</v>
      </c>
      <c r="D1159" s="1" t="s">
        <v>1190</v>
      </c>
    </row>
    <row r="1160" spans="3:4" x14ac:dyDescent="0.3">
      <c r="C1160" s="1" t="s">
        <v>1422</v>
      </c>
      <c r="D1160" s="1" t="s">
        <v>1190</v>
      </c>
    </row>
    <row r="1161" spans="3:4" x14ac:dyDescent="0.3">
      <c r="C1161" s="1" t="s">
        <v>1423</v>
      </c>
      <c r="D1161" s="1" t="s">
        <v>1190</v>
      </c>
    </row>
    <row r="1162" spans="3:4" x14ac:dyDescent="0.3">
      <c r="C1162" s="1" t="s">
        <v>1424</v>
      </c>
      <c r="D1162" s="1" t="s">
        <v>1190</v>
      </c>
    </row>
    <row r="1163" spans="3:4" x14ac:dyDescent="0.3">
      <c r="C1163" s="1" t="s">
        <v>1425</v>
      </c>
      <c r="D1163" s="1" t="s">
        <v>1190</v>
      </c>
    </row>
    <row r="1164" spans="3:4" x14ac:dyDescent="0.3">
      <c r="C1164" s="1" t="s">
        <v>1426</v>
      </c>
      <c r="D1164" s="1" t="s">
        <v>1190</v>
      </c>
    </row>
    <row r="1165" spans="3:4" x14ac:dyDescent="0.3">
      <c r="C1165" s="1" t="s">
        <v>1427</v>
      </c>
      <c r="D1165" s="1" t="s">
        <v>1190</v>
      </c>
    </row>
    <row r="1166" spans="3:4" x14ac:dyDescent="0.3">
      <c r="C1166" s="1" t="s">
        <v>1428</v>
      </c>
      <c r="D1166" s="1" t="s">
        <v>1190</v>
      </c>
    </row>
    <row r="1167" spans="3:4" x14ac:dyDescent="0.3">
      <c r="C1167" s="1" t="s">
        <v>1429</v>
      </c>
      <c r="D1167" s="1" t="s">
        <v>1190</v>
      </c>
    </row>
    <row r="1168" spans="3:4" x14ac:dyDescent="0.3">
      <c r="C1168" s="1" t="s">
        <v>1430</v>
      </c>
      <c r="D1168" s="1" t="s">
        <v>1190</v>
      </c>
    </row>
    <row r="1169" spans="3:4" x14ac:dyDescent="0.3">
      <c r="C1169" s="1" t="s">
        <v>1431</v>
      </c>
      <c r="D1169" s="1" t="s">
        <v>1190</v>
      </c>
    </row>
    <row r="1170" spans="3:4" x14ac:dyDescent="0.3">
      <c r="C1170" s="1" t="s">
        <v>1432</v>
      </c>
      <c r="D1170" s="1" t="s">
        <v>1190</v>
      </c>
    </row>
    <row r="1171" spans="3:4" x14ac:dyDescent="0.3">
      <c r="C1171" s="1" t="s">
        <v>1433</v>
      </c>
      <c r="D1171" s="1" t="s">
        <v>1190</v>
      </c>
    </row>
    <row r="1172" spans="3:4" x14ac:dyDescent="0.3">
      <c r="C1172" s="1" t="s">
        <v>1434</v>
      </c>
      <c r="D1172" s="1" t="s">
        <v>1190</v>
      </c>
    </row>
    <row r="1173" spans="3:4" x14ac:dyDescent="0.3">
      <c r="C1173" s="1" t="s">
        <v>1435</v>
      </c>
      <c r="D1173" s="1" t="s">
        <v>1190</v>
      </c>
    </row>
    <row r="1174" spans="3:4" x14ac:dyDescent="0.3">
      <c r="C1174" s="1" t="s">
        <v>1436</v>
      </c>
      <c r="D1174" s="1" t="s">
        <v>1190</v>
      </c>
    </row>
    <row r="1175" spans="3:4" x14ac:dyDescent="0.3">
      <c r="C1175" s="1" t="s">
        <v>1437</v>
      </c>
      <c r="D1175" s="1" t="s">
        <v>1190</v>
      </c>
    </row>
    <row r="1176" spans="3:4" x14ac:dyDescent="0.3">
      <c r="C1176" s="1" t="s">
        <v>1438</v>
      </c>
      <c r="D1176" s="1" t="s">
        <v>1190</v>
      </c>
    </row>
    <row r="1177" spans="3:4" x14ac:dyDescent="0.3">
      <c r="C1177" s="1" t="s">
        <v>1439</v>
      </c>
      <c r="D1177" s="1" t="s">
        <v>1190</v>
      </c>
    </row>
    <row r="1178" spans="3:4" x14ac:dyDescent="0.3">
      <c r="C1178" s="1" t="s">
        <v>1440</v>
      </c>
      <c r="D1178" s="1" t="s">
        <v>1190</v>
      </c>
    </row>
    <row r="1179" spans="3:4" x14ac:dyDescent="0.3">
      <c r="C1179" s="1" t="s">
        <v>1441</v>
      </c>
      <c r="D1179" s="1" t="s">
        <v>1190</v>
      </c>
    </row>
    <row r="1180" spans="3:4" x14ac:dyDescent="0.3">
      <c r="C1180" s="1" t="s">
        <v>1442</v>
      </c>
      <c r="D1180" s="1" t="s">
        <v>1190</v>
      </c>
    </row>
    <row r="1181" spans="3:4" x14ac:dyDescent="0.3">
      <c r="C1181" s="1" t="s">
        <v>1443</v>
      </c>
      <c r="D1181" s="1" t="s">
        <v>1190</v>
      </c>
    </row>
    <row r="1182" spans="3:4" x14ac:dyDescent="0.3">
      <c r="C1182" s="1" t="s">
        <v>238</v>
      </c>
      <c r="D1182" s="1" t="s">
        <v>1190</v>
      </c>
    </row>
    <row r="1183" spans="3:4" x14ac:dyDescent="0.3">
      <c r="C1183" s="1" t="s">
        <v>1444</v>
      </c>
      <c r="D1183" s="1" t="s">
        <v>1190</v>
      </c>
    </row>
    <row r="1184" spans="3:4" x14ac:dyDescent="0.3">
      <c r="C1184" s="1" t="s">
        <v>1445</v>
      </c>
      <c r="D1184" s="1" t="s">
        <v>1190</v>
      </c>
    </row>
    <row r="1185" spans="3:4" x14ac:dyDescent="0.3">
      <c r="C1185" s="1" t="s">
        <v>1446</v>
      </c>
      <c r="D1185" s="1" t="s">
        <v>1190</v>
      </c>
    </row>
    <row r="1186" spans="3:4" x14ac:dyDescent="0.3">
      <c r="C1186" s="1" t="s">
        <v>1447</v>
      </c>
      <c r="D1186" s="1" t="s">
        <v>1190</v>
      </c>
    </row>
    <row r="1187" spans="3:4" x14ac:dyDescent="0.3">
      <c r="C1187" s="1" t="s">
        <v>1448</v>
      </c>
      <c r="D1187" s="1" t="s">
        <v>1190</v>
      </c>
    </row>
    <row r="1188" spans="3:4" x14ac:dyDescent="0.3">
      <c r="C1188" s="1" t="s">
        <v>1449</v>
      </c>
      <c r="D1188" s="1" t="s">
        <v>1190</v>
      </c>
    </row>
    <row r="1189" spans="3:4" x14ac:dyDescent="0.3">
      <c r="C1189" s="1" t="s">
        <v>1450</v>
      </c>
      <c r="D1189" s="1" t="s">
        <v>1190</v>
      </c>
    </row>
    <row r="1190" spans="3:4" x14ac:dyDescent="0.3">
      <c r="C1190" s="1" t="s">
        <v>1451</v>
      </c>
      <c r="D1190" s="1" t="s">
        <v>1190</v>
      </c>
    </row>
    <row r="1191" spans="3:4" x14ac:dyDescent="0.3">
      <c r="C1191" s="1" t="s">
        <v>1452</v>
      </c>
      <c r="D1191" s="1" t="s">
        <v>1190</v>
      </c>
    </row>
    <row r="1192" spans="3:4" x14ac:dyDescent="0.3">
      <c r="C1192" s="1" t="s">
        <v>1453</v>
      </c>
      <c r="D1192" s="1" t="s">
        <v>1190</v>
      </c>
    </row>
    <row r="1193" spans="3:4" x14ac:dyDescent="0.3">
      <c r="C1193" s="1" t="s">
        <v>1454</v>
      </c>
      <c r="D1193" s="1" t="s">
        <v>1190</v>
      </c>
    </row>
    <row r="1194" spans="3:4" x14ac:dyDescent="0.3">
      <c r="C1194" s="1" t="s">
        <v>1455</v>
      </c>
      <c r="D1194" s="1" t="s">
        <v>1190</v>
      </c>
    </row>
    <row r="1195" spans="3:4" x14ac:dyDescent="0.3">
      <c r="C1195" s="1" t="s">
        <v>1456</v>
      </c>
      <c r="D1195" s="1" t="s">
        <v>1190</v>
      </c>
    </row>
    <row r="1196" spans="3:4" x14ac:dyDescent="0.3">
      <c r="C1196" s="1" t="s">
        <v>1457</v>
      </c>
      <c r="D1196" s="1" t="s">
        <v>1190</v>
      </c>
    </row>
    <row r="1197" spans="3:4" x14ac:dyDescent="0.3">
      <c r="C1197" s="1" t="s">
        <v>1458</v>
      </c>
      <c r="D1197" s="1" t="s">
        <v>1190</v>
      </c>
    </row>
    <row r="1198" spans="3:4" x14ac:dyDescent="0.3">
      <c r="C1198" s="1" t="s">
        <v>1459</v>
      </c>
      <c r="D1198" s="1" t="s">
        <v>1190</v>
      </c>
    </row>
    <row r="1199" spans="3:4" x14ac:dyDescent="0.3">
      <c r="C1199" s="1" t="s">
        <v>1460</v>
      </c>
      <c r="D1199" s="1" t="s">
        <v>1190</v>
      </c>
    </row>
    <row r="1200" spans="3:4" x14ac:dyDescent="0.3">
      <c r="C1200" s="1" t="s">
        <v>1461</v>
      </c>
      <c r="D1200" s="1" t="s">
        <v>1190</v>
      </c>
    </row>
    <row r="1201" spans="3:4" x14ac:dyDescent="0.3">
      <c r="C1201" s="1" t="s">
        <v>1462</v>
      </c>
      <c r="D1201" s="1" t="s">
        <v>1190</v>
      </c>
    </row>
    <row r="1202" spans="3:4" x14ac:dyDescent="0.3">
      <c r="C1202" s="1" t="s">
        <v>1463</v>
      </c>
      <c r="D1202" s="1" t="s">
        <v>1190</v>
      </c>
    </row>
    <row r="1203" spans="3:4" x14ac:dyDescent="0.3">
      <c r="C1203" s="1" t="s">
        <v>1464</v>
      </c>
      <c r="D1203" s="1" t="s">
        <v>1190</v>
      </c>
    </row>
    <row r="1204" spans="3:4" x14ac:dyDescent="0.3">
      <c r="C1204" s="1" t="s">
        <v>1465</v>
      </c>
      <c r="D1204" s="1" t="s">
        <v>1190</v>
      </c>
    </row>
    <row r="1205" spans="3:4" x14ac:dyDescent="0.3">
      <c r="C1205" s="1" t="s">
        <v>1466</v>
      </c>
      <c r="D1205" s="1" t="s">
        <v>1190</v>
      </c>
    </row>
    <row r="1206" spans="3:4" x14ac:dyDescent="0.3">
      <c r="C1206" s="1" t="s">
        <v>1467</v>
      </c>
      <c r="D1206" s="1" t="s">
        <v>1190</v>
      </c>
    </row>
    <row r="1207" spans="3:4" x14ac:dyDescent="0.3">
      <c r="C1207" s="1" t="s">
        <v>1468</v>
      </c>
      <c r="D1207" s="1" t="s">
        <v>1190</v>
      </c>
    </row>
    <row r="1208" spans="3:4" x14ac:dyDescent="0.3">
      <c r="C1208" s="1" t="s">
        <v>1469</v>
      </c>
      <c r="D1208" s="1" t="s">
        <v>1190</v>
      </c>
    </row>
    <row r="1209" spans="3:4" x14ac:dyDescent="0.3">
      <c r="C1209" s="1" t="s">
        <v>1470</v>
      </c>
      <c r="D1209" s="1" t="s">
        <v>1190</v>
      </c>
    </row>
    <row r="1210" spans="3:4" x14ac:dyDescent="0.3">
      <c r="C1210" s="1" t="s">
        <v>1471</v>
      </c>
      <c r="D1210" s="1" t="s">
        <v>1190</v>
      </c>
    </row>
    <row r="1211" spans="3:4" x14ac:dyDescent="0.3">
      <c r="C1211" s="1" t="s">
        <v>1472</v>
      </c>
      <c r="D1211" s="1" t="s">
        <v>1190</v>
      </c>
    </row>
    <row r="1212" spans="3:4" x14ac:dyDescent="0.3">
      <c r="C1212" s="1" t="s">
        <v>1473</v>
      </c>
      <c r="D1212" s="1" t="s">
        <v>1190</v>
      </c>
    </row>
    <row r="1213" spans="3:4" x14ac:dyDescent="0.3">
      <c r="C1213" s="1" t="s">
        <v>1474</v>
      </c>
      <c r="D1213" s="1" t="s">
        <v>1190</v>
      </c>
    </row>
    <row r="1214" spans="3:4" x14ac:dyDescent="0.3">
      <c r="C1214" s="1" t="s">
        <v>1475</v>
      </c>
      <c r="D1214" s="1" t="s">
        <v>1190</v>
      </c>
    </row>
    <row r="1215" spans="3:4" x14ac:dyDescent="0.3">
      <c r="C1215" s="1" t="s">
        <v>1476</v>
      </c>
      <c r="D1215" s="1" t="s">
        <v>1190</v>
      </c>
    </row>
    <row r="1216" spans="3:4" x14ac:dyDescent="0.3">
      <c r="C1216" s="1" t="s">
        <v>1477</v>
      </c>
      <c r="D1216" s="1" t="s">
        <v>1190</v>
      </c>
    </row>
    <row r="1217" spans="3:4" x14ac:dyDescent="0.3">
      <c r="C1217" s="1" t="s">
        <v>1478</v>
      </c>
      <c r="D1217" s="1" t="s">
        <v>1190</v>
      </c>
    </row>
    <row r="1218" spans="3:4" x14ac:dyDescent="0.3">
      <c r="C1218" s="1" t="s">
        <v>1479</v>
      </c>
      <c r="D1218" s="1" t="s">
        <v>1190</v>
      </c>
    </row>
    <row r="1219" spans="3:4" x14ac:dyDescent="0.3">
      <c r="C1219" s="1" t="s">
        <v>1480</v>
      </c>
      <c r="D1219" s="1" t="s">
        <v>1190</v>
      </c>
    </row>
    <row r="1220" spans="3:4" x14ac:dyDescent="0.3">
      <c r="C1220" s="1" t="s">
        <v>1481</v>
      </c>
      <c r="D1220" s="1" t="s">
        <v>1190</v>
      </c>
    </row>
    <row r="1221" spans="3:4" x14ac:dyDescent="0.3">
      <c r="C1221" s="1" t="s">
        <v>1482</v>
      </c>
      <c r="D1221" s="1" t="s">
        <v>1190</v>
      </c>
    </row>
    <row r="1222" spans="3:4" x14ac:dyDescent="0.3">
      <c r="C1222" s="1" t="s">
        <v>1483</v>
      </c>
      <c r="D1222" s="1" t="s">
        <v>1190</v>
      </c>
    </row>
    <row r="1223" spans="3:4" x14ac:dyDescent="0.3">
      <c r="C1223" s="1" t="s">
        <v>1484</v>
      </c>
      <c r="D1223" s="1" t="s">
        <v>1190</v>
      </c>
    </row>
    <row r="1224" spans="3:4" x14ac:dyDescent="0.3">
      <c r="C1224" s="1" t="s">
        <v>1485</v>
      </c>
      <c r="D1224" s="1" t="s">
        <v>1190</v>
      </c>
    </row>
    <row r="1225" spans="3:4" x14ac:dyDescent="0.3">
      <c r="C1225" s="1" t="s">
        <v>1486</v>
      </c>
      <c r="D1225" s="1" t="s">
        <v>1190</v>
      </c>
    </row>
    <row r="1226" spans="3:4" x14ac:dyDescent="0.3">
      <c r="C1226" s="1" t="s">
        <v>1487</v>
      </c>
      <c r="D1226" s="1" t="s">
        <v>1190</v>
      </c>
    </row>
    <row r="1227" spans="3:4" x14ac:dyDescent="0.3">
      <c r="C1227" s="1" t="s">
        <v>1488</v>
      </c>
      <c r="D1227" s="1" t="s">
        <v>1190</v>
      </c>
    </row>
    <row r="1228" spans="3:4" x14ac:dyDescent="0.3">
      <c r="C1228" s="1" t="s">
        <v>1489</v>
      </c>
      <c r="D1228" s="1" t="s">
        <v>1190</v>
      </c>
    </row>
    <row r="1229" spans="3:4" x14ac:dyDescent="0.3">
      <c r="C1229" s="1" t="s">
        <v>1490</v>
      </c>
      <c r="D1229" s="1" t="s">
        <v>1190</v>
      </c>
    </row>
    <row r="1230" spans="3:4" x14ac:dyDescent="0.3">
      <c r="C1230" s="1" t="s">
        <v>1491</v>
      </c>
      <c r="D1230" s="1" t="s">
        <v>1190</v>
      </c>
    </row>
    <row r="1231" spans="3:4" x14ac:dyDescent="0.3">
      <c r="C1231" s="1" t="s">
        <v>1492</v>
      </c>
      <c r="D1231" s="1" t="s">
        <v>1190</v>
      </c>
    </row>
    <row r="1232" spans="3:4" x14ac:dyDescent="0.3">
      <c r="C1232" s="1" t="s">
        <v>1493</v>
      </c>
      <c r="D1232" s="1" t="s">
        <v>1190</v>
      </c>
    </row>
    <row r="1233" spans="3:4" x14ac:dyDescent="0.3">
      <c r="C1233" s="1" t="s">
        <v>1494</v>
      </c>
      <c r="D1233" s="1" t="s">
        <v>1190</v>
      </c>
    </row>
    <row r="1234" spans="3:4" x14ac:dyDescent="0.3">
      <c r="C1234" s="1" t="s">
        <v>1495</v>
      </c>
      <c r="D1234" s="1" t="s">
        <v>1190</v>
      </c>
    </row>
    <row r="1235" spans="3:4" x14ac:dyDescent="0.3">
      <c r="C1235" s="1" t="s">
        <v>1496</v>
      </c>
      <c r="D1235" s="1" t="s">
        <v>1190</v>
      </c>
    </row>
    <row r="1236" spans="3:4" x14ac:dyDescent="0.3">
      <c r="C1236" s="1" t="s">
        <v>1497</v>
      </c>
      <c r="D1236" s="1" t="s">
        <v>1190</v>
      </c>
    </row>
    <row r="1237" spans="3:4" x14ac:dyDescent="0.3">
      <c r="C1237" s="1" t="s">
        <v>1498</v>
      </c>
      <c r="D1237" s="1" t="s">
        <v>1190</v>
      </c>
    </row>
    <row r="1238" spans="3:4" x14ac:dyDescent="0.3">
      <c r="C1238" s="1" t="s">
        <v>1499</v>
      </c>
      <c r="D1238" s="1" t="s">
        <v>1190</v>
      </c>
    </row>
    <row r="1239" spans="3:4" x14ac:dyDescent="0.3">
      <c r="C1239" s="1" t="s">
        <v>1500</v>
      </c>
      <c r="D1239" s="1" t="s">
        <v>1190</v>
      </c>
    </row>
    <row r="1240" spans="3:4" x14ac:dyDescent="0.3">
      <c r="C1240" s="1" t="s">
        <v>1501</v>
      </c>
      <c r="D1240" s="1" t="s">
        <v>1190</v>
      </c>
    </row>
    <row r="1241" spans="3:4" x14ac:dyDescent="0.3">
      <c r="C1241" s="1" t="s">
        <v>1502</v>
      </c>
      <c r="D1241" s="1" t="s">
        <v>1190</v>
      </c>
    </row>
    <row r="1242" spans="3:4" x14ac:dyDescent="0.3">
      <c r="C1242" s="1" t="s">
        <v>1503</v>
      </c>
      <c r="D1242" s="1" t="s">
        <v>1190</v>
      </c>
    </row>
    <row r="1243" spans="3:4" x14ac:dyDescent="0.3">
      <c r="C1243" s="1" t="s">
        <v>1504</v>
      </c>
      <c r="D1243" s="1" t="s">
        <v>1190</v>
      </c>
    </row>
    <row r="1244" spans="3:4" x14ac:dyDescent="0.3">
      <c r="C1244" s="1" t="s">
        <v>1505</v>
      </c>
      <c r="D1244" s="1" t="s">
        <v>1190</v>
      </c>
    </row>
    <row r="1245" spans="3:4" x14ac:dyDescent="0.3">
      <c r="C1245" s="1" t="s">
        <v>1506</v>
      </c>
      <c r="D1245" s="1" t="s">
        <v>1190</v>
      </c>
    </row>
    <row r="1246" spans="3:4" x14ac:dyDescent="0.3">
      <c r="C1246" s="1" t="s">
        <v>1507</v>
      </c>
      <c r="D1246" s="1" t="s">
        <v>1190</v>
      </c>
    </row>
    <row r="1247" spans="3:4" x14ac:dyDescent="0.3">
      <c r="C1247" s="1" t="s">
        <v>1508</v>
      </c>
      <c r="D1247" s="1" t="s">
        <v>1190</v>
      </c>
    </row>
    <row r="1248" spans="3:4" x14ac:dyDescent="0.3">
      <c r="C1248" s="1" t="s">
        <v>1509</v>
      </c>
      <c r="D1248" s="1" t="s">
        <v>1190</v>
      </c>
    </row>
    <row r="1249" spans="3:4" x14ac:dyDescent="0.3">
      <c r="C1249" s="1" t="s">
        <v>1510</v>
      </c>
      <c r="D1249" s="1" t="s">
        <v>1190</v>
      </c>
    </row>
    <row r="1250" spans="3:4" x14ac:dyDescent="0.3">
      <c r="C1250" s="1" t="s">
        <v>1511</v>
      </c>
      <c r="D1250" s="1" t="s">
        <v>1190</v>
      </c>
    </row>
    <row r="1251" spans="3:4" x14ac:dyDescent="0.3">
      <c r="C1251" s="1" t="s">
        <v>1512</v>
      </c>
      <c r="D1251" s="1" t="s">
        <v>1190</v>
      </c>
    </row>
    <row r="1252" spans="3:4" x14ac:dyDescent="0.3">
      <c r="C1252" s="1" t="s">
        <v>1513</v>
      </c>
      <c r="D1252" s="1" t="s">
        <v>1190</v>
      </c>
    </row>
    <row r="1253" spans="3:4" x14ac:dyDescent="0.3">
      <c r="C1253" s="1" t="s">
        <v>1514</v>
      </c>
      <c r="D1253" s="1" t="s">
        <v>1190</v>
      </c>
    </row>
    <row r="1254" spans="3:4" x14ac:dyDescent="0.3">
      <c r="C1254" s="1" t="s">
        <v>1515</v>
      </c>
      <c r="D1254" s="1" t="s">
        <v>1190</v>
      </c>
    </row>
    <row r="1255" spans="3:4" x14ac:dyDescent="0.3">
      <c r="C1255" s="1" t="s">
        <v>1516</v>
      </c>
      <c r="D1255" s="1" t="s">
        <v>1190</v>
      </c>
    </row>
    <row r="1256" spans="3:4" x14ac:dyDescent="0.3">
      <c r="C1256" s="1" t="s">
        <v>1517</v>
      </c>
      <c r="D1256" s="1" t="s">
        <v>1190</v>
      </c>
    </row>
    <row r="1257" spans="3:4" x14ac:dyDescent="0.3">
      <c r="C1257" s="1" t="s">
        <v>1518</v>
      </c>
      <c r="D1257" s="1" t="s">
        <v>1190</v>
      </c>
    </row>
    <row r="1258" spans="3:4" x14ac:dyDescent="0.3">
      <c r="C1258" s="1" t="s">
        <v>1519</v>
      </c>
      <c r="D1258" s="1" t="s">
        <v>1190</v>
      </c>
    </row>
    <row r="1259" spans="3:4" x14ac:dyDescent="0.3">
      <c r="C1259" s="1" t="s">
        <v>1520</v>
      </c>
      <c r="D1259" s="1" t="s">
        <v>1190</v>
      </c>
    </row>
    <row r="1260" spans="3:4" x14ac:dyDescent="0.3">
      <c r="C1260" s="1" t="s">
        <v>1521</v>
      </c>
      <c r="D1260" s="1" t="s">
        <v>1190</v>
      </c>
    </row>
    <row r="1261" spans="3:4" x14ac:dyDescent="0.3">
      <c r="C1261" s="1" t="s">
        <v>1522</v>
      </c>
      <c r="D1261" s="1" t="s">
        <v>1190</v>
      </c>
    </row>
    <row r="1262" spans="3:4" x14ac:dyDescent="0.3">
      <c r="C1262" s="1" t="s">
        <v>1523</v>
      </c>
      <c r="D1262" s="1" t="s">
        <v>1190</v>
      </c>
    </row>
    <row r="1263" spans="3:4" x14ac:dyDescent="0.3">
      <c r="C1263" s="1" t="s">
        <v>1524</v>
      </c>
      <c r="D1263" s="1" t="s">
        <v>1190</v>
      </c>
    </row>
    <row r="1264" spans="3:4" x14ac:dyDescent="0.3">
      <c r="C1264" s="1" t="s">
        <v>1525</v>
      </c>
      <c r="D1264" s="1" t="s">
        <v>1190</v>
      </c>
    </row>
    <row r="1265" spans="3:4" x14ac:dyDescent="0.3">
      <c r="C1265" s="1" t="s">
        <v>1526</v>
      </c>
      <c r="D1265" s="1" t="s">
        <v>1190</v>
      </c>
    </row>
    <row r="1266" spans="3:4" x14ac:dyDescent="0.3">
      <c r="C1266" s="1" t="s">
        <v>1527</v>
      </c>
      <c r="D1266" s="1" t="s">
        <v>1190</v>
      </c>
    </row>
    <row r="1267" spans="3:4" x14ac:dyDescent="0.3">
      <c r="C1267" s="1" t="s">
        <v>1528</v>
      </c>
      <c r="D1267" s="1" t="s">
        <v>1190</v>
      </c>
    </row>
    <row r="1268" spans="3:4" x14ac:dyDescent="0.3">
      <c r="C1268" s="1" t="s">
        <v>1529</v>
      </c>
      <c r="D1268" s="1" t="s">
        <v>1190</v>
      </c>
    </row>
    <row r="1269" spans="3:4" x14ac:dyDescent="0.3">
      <c r="C1269" s="1" t="s">
        <v>1530</v>
      </c>
      <c r="D1269" s="1" t="s">
        <v>1190</v>
      </c>
    </row>
    <row r="1270" spans="3:4" x14ac:dyDescent="0.3">
      <c r="C1270" s="1" t="s">
        <v>1531</v>
      </c>
      <c r="D1270" s="1" t="s">
        <v>1190</v>
      </c>
    </row>
    <row r="1271" spans="3:4" x14ac:dyDescent="0.3">
      <c r="C1271" s="1" t="s">
        <v>1532</v>
      </c>
      <c r="D1271" s="1" t="s">
        <v>1190</v>
      </c>
    </row>
    <row r="1272" spans="3:4" x14ac:dyDescent="0.3">
      <c r="C1272" s="1" t="s">
        <v>1533</v>
      </c>
      <c r="D1272" s="1" t="s">
        <v>1190</v>
      </c>
    </row>
    <row r="1273" spans="3:4" x14ac:dyDescent="0.3">
      <c r="C1273" s="1" t="s">
        <v>1534</v>
      </c>
      <c r="D1273" s="1" t="s">
        <v>1190</v>
      </c>
    </row>
    <row r="1274" spans="3:4" x14ac:dyDescent="0.3">
      <c r="C1274" s="1" t="s">
        <v>1535</v>
      </c>
      <c r="D1274" s="1" t="s">
        <v>1190</v>
      </c>
    </row>
    <row r="1275" spans="3:4" x14ac:dyDescent="0.3">
      <c r="C1275" s="1" t="s">
        <v>1536</v>
      </c>
      <c r="D1275" s="1" t="s">
        <v>1190</v>
      </c>
    </row>
    <row r="1276" spans="3:4" x14ac:dyDescent="0.3">
      <c r="C1276" s="1" t="s">
        <v>1537</v>
      </c>
      <c r="D1276" s="1" t="s">
        <v>1190</v>
      </c>
    </row>
    <row r="1277" spans="3:4" x14ac:dyDescent="0.3">
      <c r="C1277" s="1" t="s">
        <v>1538</v>
      </c>
      <c r="D1277" s="1" t="s">
        <v>1190</v>
      </c>
    </row>
    <row r="1278" spans="3:4" x14ac:dyDescent="0.3">
      <c r="C1278" s="1" t="s">
        <v>1539</v>
      </c>
      <c r="D1278" s="1" t="s">
        <v>1190</v>
      </c>
    </row>
    <row r="1279" spans="3:4" x14ac:dyDescent="0.3">
      <c r="C1279" s="1" t="s">
        <v>1540</v>
      </c>
      <c r="D1279" s="1" t="s">
        <v>1190</v>
      </c>
    </row>
    <row r="1280" spans="3:4" x14ac:dyDescent="0.3">
      <c r="C1280" s="1" t="s">
        <v>1541</v>
      </c>
      <c r="D1280" s="1" t="s">
        <v>1190</v>
      </c>
    </row>
    <row r="1281" spans="3:4" x14ac:dyDescent="0.3">
      <c r="C1281" s="1" t="s">
        <v>1542</v>
      </c>
      <c r="D1281" s="1" t="s">
        <v>1190</v>
      </c>
    </row>
    <row r="1282" spans="3:4" x14ac:dyDescent="0.3">
      <c r="C1282" s="1" t="s">
        <v>1543</v>
      </c>
      <c r="D1282" s="1" t="s">
        <v>1190</v>
      </c>
    </row>
    <row r="1283" spans="3:4" x14ac:dyDescent="0.3">
      <c r="C1283" s="1" t="s">
        <v>1544</v>
      </c>
      <c r="D1283" s="1" t="s">
        <v>1190</v>
      </c>
    </row>
    <row r="1284" spans="3:4" x14ac:dyDescent="0.3">
      <c r="C1284" s="1" t="s">
        <v>1545</v>
      </c>
      <c r="D1284" s="1" t="s">
        <v>1190</v>
      </c>
    </row>
    <row r="1285" spans="3:4" x14ac:dyDescent="0.3">
      <c r="C1285" s="1" t="s">
        <v>1546</v>
      </c>
      <c r="D1285" s="1" t="s">
        <v>1190</v>
      </c>
    </row>
    <row r="1286" spans="3:4" x14ac:dyDescent="0.3">
      <c r="C1286" s="1" t="s">
        <v>1547</v>
      </c>
      <c r="D1286" s="1" t="s">
        <v>1190</v>
      </c>
    </row>
    <row r="1287" spans="3:4" x14ac:dyDescent="0.3">
      <c r="C1287" s="1" t="s">
        <v>1548</v>
      </c>
      <c r="D1287" s="1" t="s">
        <v>1190</v>
      </c>
    </row>
    <row r="1288" spans="3:4" x14ac:dyDescent="0.3">
      <c r="C1288" s="1" t="s">
        <v>1549</v>
      </c>
      <c r="D1288" s="1" t="s">
        <v>1190</v>
      </c>
    </row>
    <row r="1289" spans="3:4" x14ac:dyDescent="0.3">
      <c r="C1289" s="1" t="s">
        <v>1550</v>
      </c>
      <c r="D1289" s="1" t="s">
        <v>1190</v>
      </c>
    </row>
    <row r="1290" spans="3:4" x14ac:dyDescent="0.3">
      <c r="C1290" s="1" t="s">
        <v>1551</v>
      </c>
      <c r="D1290" s="1" t="s">
        <v>1190</v>
      </c>
    </row>
    <row r="1291" spans="3:4" x14ac:dyDescent="0.3">
      <c r="C1291" s="1" t="s">
        <v>239</v>
      </c>
      <c r="D1291" s="1" t="s">
        <v>1190</v>
      </c>
    </row>
    <row r="1292" spans="3:4" x14ac:dyDescent="0.3">
      <c r="C1292" s="1" t="s">
        <v>1552</v>
      </c>
      <c r="D1292" s="1" t="s">
        <v>1190</v>
      </c>
    </row>
    <row r="1293" spans="3:4" x14ac:dyDescent="0.3">
      <c r="C1293" s="1" t="s">
        <v>1553</v>
      </c>
      <c r="D1293" s="1" t="s">
        <v>1190</v>
      </c>
    </row>
    <row r="1294" spans="3:4" x14ac:dyDescent="0.3">
      <c r="C1294" s="1" t="s">
        <v>1554</v>
      </c>
      <c r="D1294" s="1" t="s">
        <v>1190</v>
      </c>
    </row>
    <row r="1295" spans="3:4" x14ac:dyDescent="0.3">
      <c r="C1295" s="1" t="s">
        <v>1555</v>
      </c>
      <c r="D1295" s="1" t="s">
        <v>1190</v>
      </c>
    </row>
    <row r="1296" spans="3:4" x14ac:dyDescent="0.3">
      <c r="C1296" s="1" t="s">
        <v>1556</v>
      </c>
      <c r="D1296" s="1" t="s">
        <v>1190</v>
      </c>
    </row>
    <row r="1297" spans="3:4" x14ac:dyDescent="0.3">
      <c r="C1297" s="1" t="s">
        <v>1557</v>
      </c>
      <c r="D1297" s="1" t="s">
        <v>1190</v>
      </c>
    </row>
    <row r="1298" spans="3:4" x14ac:dyDescent="0.3">
      <c r="C1298" s="1" t="s">
        <v>1558</v>
      </c>
      <c r="D1298" s="1" t="s">
        <v>1190</v>
      </c>
    </row>
    <row r="1299" spans="3:4" x14ac:dyDescent="0.3">
      <c r="C1299" s="1" t="s">
        <v>1559</v>
      </c>
      <c r="D1299" s="1" t="s">
        <v>1190</v>
      </c>
    </row>
    <row r="1300" spans="3:4" x14ac:dyDescent="0.3">
      <c r="C1300" s="1" t="s">
        <v>1560</v>
      </c>
      <c r="D1300" s="1" t="s">
        <v>1190</v>
      </c>
    </row>
    <row r="1301" spans="3:4" x14ac:dyDescent="0.3">
      <c r="C1301" s="1" t="s">
        <v>1561</v>
      </c>
      <c r="D1301" s="1" t="s">
        <v>1190</v>
      </c>
    </row>
    <row r="1302" spans="3:4" x14ac:dyDescent="0.3">
      <c r="C1302" s="1" t="s">
        <v>1562</v>
      </c>
      <c r="D1302" s="1" t="s">
        <v>1190</v>
      </c>
    </row>
    <row r="1303" spans="3:4" x14ac:dyDescent="0.3">
      <c r="C1303" s="1" t="s">
        <v>1563</v>
      </c>
      <c r="D1303" s="1" t="s">
        <v>1190</v>
      </c>
    </row>
    <row r="1304" spans="3:4" x14ac:dyDescent="0.3">
      <c r="C1304" s="1" t="s">
        <v>1564</v>
      </c>
      <c r="D1304" s="1" t="s">
        <v>1190</v>
      </c>
    </row>
    <row r="1305" spans="3:4" x14ac:dyDescent="0.3">
      <c r="C1305" s="1" t="s">
        <v>1565</v>
      </c>
      <c r="D1305" s="1" t="s">
        <v>1190</v>
      </c>
    </row>
    <row r="1306" spans="3:4" x14ac:dyDescent="0.3">
      <c r="C1306" s="1" t="s">
        <v>1566</v>
      </c>
      <c r="D1306" s="1" t="s">
        <v>1190</v>
      </c>
    </row>
    <row r="1307" spans="3:4" x14ac:dyDescent="0.3">
      <c r="C1307" s="1" t="s">
        <v>1567</v>
      </c>
      <c r="D1307" s="1" t="s">
        <v>1190</v>
      </c>
    </row>
    <row r="1308" spans="3:4" x14ac:dyDescent="0.3">
      <c r="C1308" s="1" t="s">
        <v>1568</v>
      </c>
      <c r="D1308" s="1" t="s">
        <v>1190</v>
      </c>
    </row>
    <row r="1309" spans="3:4" x14ac:dyDescent="0.3">
      <c r="C1309" s="1" t="s">
        <v>1569</v>
      </c>
      <c r="D1309" s="1" t="s">
        <v>1190</v>
      </c>
    </row>
    <row r="1310" spans="3:4" x14ac:dyDescent="0.3">
      <c r="C1310" s="1" t="s">
        <v>1570</v>
      </c>
      <c r="D1310" s="1" t="s">
        <v>1190</v>
      </c>
    </row>
    <row r="1311" spans="3:4" x14ac:dyDescent="0.3">
      <c r="C1311" s="1" t="s">
        <v>1571</v>
      </c>
      <c r="D1311" s="1" t="s">
        <v>1190</v>
      </c>
    </row>
    <row r="1312" spans="3:4" x14ac:dyDescent="0.3">
      <c r="C1312" s="1" t="s">
        <v>1572</v>
      </c>
      <c r="D1312" s="1" t="s">
        <v>1190</v>
      </c>
    </row>
    <row r="1313" spans="3:4" x14ac:dyDescent="0.3">
      <c r="C1313" s="1" t="s">
        <v>1573</v>
      </c>
      <c r="D1313" s="1" t="s">
        <v>1190</v>
      </c>
    </row>
    <row r="1314" spans="3:4" x14ac:dyDescent="0.3">
      <c r="C1314" s="1" t="s">
        <v>1574</v>
      </c>
      <c r="D1314" s="1" t="s">
        <v>1190</v>
      </c>
    </row>
    <row r="1315" spans="3:4" x14ac:dyDescent="0.3">
      <c r="C1315" s="1" t="s">
        <v>1575</v>
      </c>
      <c r="D1315" s="1" t="s">
        <v>1190</v>
      </c>
    </row>
    <row r="1316" spans="3:4" x14ac:dyDescent="0.3">
      <c r="C1316" s="1" t="s">
        <v>1576</v>
      </c>
      <c r="D1316" s="1" t="s">
        <v>1190</v>
      </c>
    </row>
    <row r="1317" spans="3:4" x14ac:dyDescent="0.3">
      <c r="C1317" s="1" t="s">
        <v>1577</v>
      </c>
      <c r="D1317" s="1" t="s">
        <v>1190</v>
      </c>
    </row>
    <row r="1318" spans="3:4" x14ac:dyDescent="0.3">
      <c r="C1318" s="1" t="s">
        <v>1578</v>
      </c>
      <c r="D1318" s="1" t="s">
        <v>1190</v>
      </c>
    </row>
    <row r="1319" spans="3:4" x14ac:dyDescent="0.3">
      <c r="C1319" s="1" t="s">
        <v>1579</v>
      </c>
      <c r="D1319" s="1" t="s">
        <v>1190</v>
      </c>
    </row>
    <row r="1320" spans="3:4" x14ac:dyDescent="0.3">
      <c r="C1320" s="1" t="s">
        <v>1580</v>
      </c>
      <c r="D1320" s="1" t="s">
        <v>1190</v>
      </c>
    </row>
    <row r="1321" spans="3:4" x14ac:dyDescent="0.3">
      <c r="C1321" s="1" t="s">
        <v>1581</v>
      </c>
      <c r="D1321" s="1" t="s">
        <v>1190</v>
      </c>
    </row>
    <row r="1322" spans="3:4" x14ac:dyDescent="0.3">
      <c r="C1322" s="1" t="s">
        <v>1582</v>
      </c>
      <c r="D1322" s="1" t="s">
        <v>1190</v>
      </c>
    </row>
    <row r="1323" spans="3:4" x14ac:dyDescent="0.3">
      <c r="C1323" s="1" t="s">
        <v>1583</v>
      </c>
      <c r="D1323" s="1" t="s">
        <v>1190</v>
      </c>
    </row>
    <row r="1324" spans="3:4" x14ac:dyDescent="0.3">
      <c r="C1324" s="1" t="s">
        <v>1584</v>
      </c>
      <c r="D1324" s="1" t="s">
        <v>1190</v>
      </c>
    </row>
    <row r="1325" spans="3:4" x14ac:dyDescent="0.3">
      <c r="C1325" s="1" t="s">
        <v>1585</v>
      </c>
      <c r="D1325" s="1" t="s">
        <v>1190</v>
      </c>
    </row>
    <row r="1326" spans="3:4" x14ac:dyDescent="0.3">
      <c r="C1326" s="1" t="s">
        <v>1586</v>
      </c>
      <c r="D1326" s="1" t="s">
        <v>1190</v>
      </c>
    </row>
    <row r="1327" spans="3:4" x14ac:dyDescent="0.3">
      <c r="C1327" s="1" t="s">
        <v>1587</v>
      </c>
      <c r="D1327" s="1" t="s">
        <v>1190</v>
      </c>
    </row>
    <row r="1328" spans="3:4" x14ac:dyDescent="0.3">
      <c r="C1328" s="1" t="s">
        <v>1588</v>
      </c>
      <c r="D1328" s="1" t="s">
        <v>1190</v>
      </c>
    </row>
    <row r="1329" spans="3:4" x14ac:dyDescent="0.3">
      <c r="C1329" s="1" t="s">
        <v>1589</v>
      </c>
      <c r="D1329" s="1" t="s">
        <v>1190</v>
      </c>
    </row>
    <row r="1330" spans="3:4" x14ac:dyDescent="0.3">
      <c r="C1330" s="1" t="s">
        <v>1590</v>
      </c>
      <c r="D1330" s="1" t="s">
        <v>1190</v>
      </c>
    </row>
    <row r="1331" spans="3:4" x14ac:dyDescent="0.3">
      <c r="C1331" s="1" t="s">
        <v>1591</v>
      </c>
      <c r="D1331" s="1" t="s">
        <v>1190</v>
      </c>
    </row>
    <row r="1332" spans="3:4" x14ac:dyDescent="0.3">
      <c r="C1332" s="1" t="s">
        <v>1592</v>
      </c>
      <c r="D1332" s="1" t="s">
        <v>1190</v>
      </c>
    </row>
    <row r="1333" spans="3:4" x14ac:dyDescent="0.3">
      <c r="C1333" s="1" t="s">
        <v>1593</v>
      </c>
      <c r="D1333" s="1" t="s">
        <v>1190</v>
      </c>
    </row>
    <row r="1334" spans="3:4" x14ac:dyDescent="0.3">
      <c r="C1334" s="1" t="s">
        <v>240</v>
      </c>
      <c r="D1334" s="1" t="s">
        <v>1190</v>
      </c>
    </row>
    <row r="1335" spans="3:4" x14ac:dyDescent="0.3">
      <c r="C1335" s="1" t="s">
        <v>1594</v>
      </c>
      <c r="D1335" s="1" t="s">
        <v>1190</v>
      </c>
    </row>
    <row r="1336" spans="3:4" x14ac:dyDescent="0.3">
      <c r="C1336" s="1" t="s">
        <v>1595</v>
      </c>
      <c r="D1336" s="1" t="s">
        <v>28</v>
      </c>
    </row>
    <row r="1337" spans="3:4" x14ac:dyDescent="0.3">
      <c r="C1337" s="1" t="s">
        <v>1596</v>
      </c>
      <c r="D1337" s="1" t="s">
        <v>28</v>
      </c>
    </row>
    <row r="1338" spans="3:4" x14ac:dyDescent="0.3">
      <c r="C1338" s="1" t="s">
        <v>1597</v>
      </c>
      <c r="D1338" s="1" t="s">
        <v>28</v>
      </c>
    </row>
    <row r="1339" spans="3:4" x14ac:dyDescent="0.3">
      <c r="C1339" s="1" t="s">
        <v>1598</v>
      </c>
      <c r="D1339" s="1" t="s">
        <v>28</v>
      </c>
    </row>
    <row r="1340" spans="3:4" x14ac:dyDescent="0.3">
      <c r="C1340" s="1" t="s">
        <v>1599</v>
      </c>
      <c r="D1340" s="1" t="s">
        <v>28</v>
      </c>
    </row>
    <row r="1341" spans="3:4" x14ac:dyDescent="0.3">
      <c r="C1341" s="1" t="s">
        <v>1600</v>
      </c>
      <c r="D1341" s="1" t="s">
        <v>28</v>
      </c>
    </row>
    <row r="1342" spans="3:4" x14ac:dyDescent="0.3">
      <c r="C1342" s="1" t="s">
        <v>1601</v>
      </c>
      <c r="D1342" s="1" t="s">
        <v>28</v>
      </c>
    </row>
    <row r="1343" spans="3:4" x14ac:dyDescent="0.3">
      <c r="C1343" s="1" t="s">
        <v>1602</v>
      </c>
      <c r="D1343" s="1" t="s">
        <v>1190</v>
      </c>
    </row>
    <row r="1344" spans="3:4" x14ac:dyDescent="0.3">
      <c r="C1344" s="1" t="s">
        <v>1603</v>
      </c>
      <c r="D1344" s="1" t="s">
        <v>1190</v>
      </c>
    </row>
    <row r="1345" spans="3:4" x14ac:dyDescent="0.3">
      <c r="C1345" s="1" t="s">
        <v>1604</v>
      </c>
      <c r="D1345" s="1" t="s">
        <v>1190</v>
      </c>
    </row>
    <row r="1346" spans="3:4" x14ac:dyDescent="0.3">
      <c r="C1346" s="1" t="s">
        <v>1605</v>
      </c>
      <c r="D1346" s="1" t="s">
        <v>1190</v>
      </c>
    </row>
    <row r="1347" spans="3:4" x14ac:dyDescent="0.3">
      <c r="C1347" s="1" t="s">
        <v>1606</v>
      </c>
      <c r="D1347" s="1" t="s">
        <v>1190</v>
      </c>
    </row>
    <row r="1348" spans="3:4" x14ac:dyDescent="0.3">
      <c r="C1348" s="1" t="s">
        <v>1607</v>
      </c>
      <c r="D1348" s="1" t="s">
        <v>1190</v>
      </c>
    </row>
    <row r="1349" spans="3:4" x14ac:dyDescent="0.3">
      <c r="C1349" s="1" t="s">
        <v>1608</v>
      </c>
      <c r="D1349" s="1" t="s">
        <v>1190</v>
      </c>
    </row>
    <row r="1350" spans="3:4" x14ac:dyDescent="0.3">
      <c r="C1350" s="1" t="s">
        <v>1609</v>
      </c>
      <c r="D1350" s="1" t="s">
        <v>1190</v>
      </c>
    </row>
    <row r="1351" spans="3:4" x14ac:dyDescent="0.3">
      <c r="C1351" s="1" t="s">
        <v>1610</v>
      </c>
      <c r="D1351" s="1" t="s">
        <v>1190</v>
      </c>
    </row>
    <row r="1352" spans="3:4" x14ac:dyDescent="0.3">
      <c r="C1352" s="1" t="s">
        <v>1611</v>
      </c>
      <c r="D1352" s="1" t="s">
        <v>1190</v>
      </c>
    </row>
    <row r="1353" spans="3:4" x14ac:dyDescent="0.3">
      <c r="C1353" s="1" t="s">
        <v>1612</v>
      </c>
      <c r="D1353" s="1" t="s">
        <v>1190</v>
      </c>
    </row>
    <row r="1354" spans="3:4" x14ac:dyDescent="0.3">
      <c r="C1354" s="1" t="s">
        <v>1613</v>
      </c>
      <c r="D1354" s="1" t="s">
        <v>11</v>
      </c>
    </row>
    <row r="1355" spans="3:4" x14ac:dyDescent="0.3">
      <c r="C1355" s="1" t="s">
        <v>1614</v>
      </c>
      <c r="D1355" s="1" t="s">
        <v>11</v>
      </c>
    </row>
    <row r="1356" spans="3:4" x14ac:dyDescent="0.3">
      <c r="C1356" s="1" t="s">
        <v>1615</v>
      </c>
      <c r="D1356" s="1" t="s">
        <v>11</v>
      </c>
    </row>
    <row r="1357" spans="3:4" x14ac:dyDescent="0.3">
      <c r="C1357" s="1" t="s">
        <v>353</v>
      </c>
      <c r="D1357" s="1" t="s">
        <v>11</v>
      </c>
    </row>
    <row r="1358" spans="3:4" x14ac:dyDescent="0.3">
      <c r="C1358" s="1" t="s">
        <v>1616</v>
      </c>
      <c r="D1358" s="1" t="s">
        <v>18</v>
      </c>
    </row>
    <row r="1359" spans="3:4" x14ac:dyDescent="0.3">
      <c r="C1359" s="1" t="s">
        <v>1617</v>
      </c>
      <c r="D1359" s="1" t="s">
        <v>27</v>
      </c>
    </row>
    <row r="1360" spans="3:4" x14ac:dyDescent="0.3">
      <c r="C1360" s="1" t="s">
        <v>1618</v>
      </c>
      <c r="D1360" s="1" t="s">
        <v>11</v>
      </c>
    </row>
    <row r="1361" spans="3:4" x14ac:dyDescent="0.3">
      <c r="C1361" s="1" t="s">
        <v>1619</v>
      </c>
      <c r="D1361" s="1" t="s">
        <v>16</v>
      </c>
    </row>
    <row r="1362" spans="3:4" x14ac:dyDescent="0.3">
      <c r="C1362" s="1" t="s">
        <v>1620</v>
      </c>
      <c r="D1362" s="1" t="s">
        <v>12</v>
      </c>
    </row>
    <row r="1363" spans="3:4" x14ac:dyDescent="0.3">
      <c r="C1363" s="1" t="s">
        <v>1621</v>
      </c>
      <c r="D1363" s="1" t="s">
        <v>18</v>
      </c>
    </row>
    <row r="1364" spans="3:4" x14ac:dyDescent="0.3">
      <c r="C1364" s="1" t="s">
        <v>1622</v>
      </c>
      <c r="D1364" s="1" t="s">
        <v>16</v>
      </c>
    </row>
    <row r="1365" spans="3:4" x14ac:dyDescent="0.3">
      <c r="C1365" s="1" t="s">
        <v>1623</v>
      </c>
      <c r="D1365" s="1" t="s">
        <v>12</v>
      </c>
    </row>
    <row r="1366" spans="3:4" x14ac:dyDescent="0.3">
      <c r="C1366" s="1" t="s">
        <v>1624</v>
      </c>
      <c r="D1366" s="1" t="s">
        <v>16</v>
      </c>
    </row>
    <row r="1367" spans="3:4" x14ac:dyDescent="0.3">
      <c r="C1367" s="1" t="s">
        <v>1625</v>
      </c>
      <c r="D1367" s="1" t="s">
        <v>15</v>
      </c>
    </row>
    <row r="1368" spans="3:4" x14ac:dyDescent="0.3">
      <c r="C1368" s="1" t="s">
        <v>1626</v>
      </c>
      <c r="D1368" s="1" t="s">
        <v>12</v>
      </c>
    </row>
    <row r="1369" spans="3:4" x14ac:dyDescent="0.3">
      <c r="C1369" s="1" t="s">
        <v>1627</v>
      </c>
      <c r="D1369" s="1" t="s">
        <v>12</v>
      </c>
    </row>
    <row r="1370" spans="3:4" x14ac:dyDescent="0.3">
      <c r="C1370" s="1" t="s">
        <v>1628</v>
      </c>
      <c r="D1370" s="1" t="s">
        <v>11</v>
      </c>
    </row>
    <row r="1371" spans="3:4" x14ac:dyDescent="0.3">
      <c r="C1371" s="1" t="s">
        <v>1629</v>
      </c>
      <c r="D1371" s="1" t="s">
        <v>12</v>
      </c>
    </row>
    <row r="1372" spans="3:4" x14ac:dyDescent="0.3">
      <c r="C1372" s="1" t="s">
        <v>1630</v>
      </c>
      <c r="D1372" s="1" t="s">
        <v>14</v>
      </c>
    </row>
    <row r="1373" spans="3:4" x14ac:dyDescent="0.3">
      <c r="C1373" s="1" t="s">
        <v>354</v>
      </c>
      <c r="D1373" s="1" t="s">
        <v>11</v>
      </c>
    </row>
    <row r="1374" spans="3:4" x14ac:dyDescent="0.3">
      <c r="C1374" s="1" t="s">
        <v>1631</v>
      </c>
      <c r="D1374" s="1" t="s">
        <v>22</v>
      </c>
    </row>
    <row r="1375" spans="3:4" x14ac:dyDescent="0.3">
      <c r="C1375" s="1" t="s">
        <v>60</v>
      </c>
      <c r="D1375" s="1" t="s">
        <v>13</v>
      </c>
    </row>
    <row r="1376" spans="3:4" x14ac:dyDescent="0.3">
      <c r="C1376" s="1" t="s">
        <v>1632</v>
      </c>
      <c r="D1376" s="1" t="s">
        <v>11</v>
      </c>
    </row>
    <row r="1377" spans="3:4" x14ac:dyDescent="0.3">
      <c r="C1377" s="1" t="s">
        <v>1633</v>
      </c>
      <c r="D1377" s="1" t="s">
        <v>11</v>
      </c>
    </row>
    <row r="1378" spans="3:4" x14ac:dyDescent="0.3">
      <c r="C1378" s="1" t="s">
        <v>1634</v>
      </c>
      <c r="D1378" s="1" t="s">
        <v>11</v>
      </c>
    </row>
    <row r="1379" spans="3:4" x14ac:dyDescent="0.3">
      <c r="C1379" s="1" t="s">
        <v>1635</v>
      </c>
      <c r="D1379" s="1" t="s">
        <v>12</v>
      </c>
    </row>
    <row r="1380" spans="3:4" x14ac:dyDescent="0.3">
      <c r="C1380" s="1" t="s">
        <v>1636</v>
      </c>
      <c r="D1380" s="1" t="s">
        <v>12</v>
      </c>
    </row>
    <row r="1381" spans="3:4" x14ac:dyDescent="0.3">
      <c r="C1381" s="1" t="s">
        <v>1637</v>
      </c>
      <c r="D1381" s="1" t="s">
        <v>16</v>
      </c>
    </row>
    <row r="1382" spans="3:4" x14ac:dyDescent="0.3">
      <c r="C1382" s="1" t="s">
        <v>1638</v>
      </c>
      <c r="D1382" s="1" t="s">
        <v>11</v>
      </c>
    </row>
    <row r="1383" spans="3:4" x14ac:dyDescent="0.3">
      <c r="C1383" s="1" t="s">
        <v>34</v>
      </c>
      <c r="D1383" s="1" t="s">
        <v>23</v>
      </c>
    </row>
    <row r="1384" spans="3:4" x14ac:dyDescent="0.3">
      <c r="C1384" s="1" t="s">
        <v>1639</v>
      </c>
      <c r="D1384" s="1" t="s">
        <v>12</v>
      </c>
    </row>
    <row r="1385" spans="3:4" x14ac:dyDescent="0.3">
      <c r="C1385" s="1" t="s">
        <v>1640</v>
      </c>
      <c r="D1385" s="1" t="s">
        <v>12</v>
      </c>
    </row>
    <row r="1386" spans="3:4" x14ac:dyDescent="0.3">
      <c r="C1386" s="1" t="s">
        <v>1641</v>
      </c>
      <c r="D1386" s="1" t="s">
        <v>11</v>
      </c>
    </row>
    <row r="1387" spans="3:4" x14ac:dyDescent="0.3">
      <c r="C1387" s="1" t="s">
        <v>1642</v>
      </c>
      <c r="D1387" s="1" t="s">
        <v>15</v>
      </c>
    </row>
    <row r="1388" spans="3:4" x14ac:dyDescent="0.3">
      <c r="C1388" s="1" t="s">
        <v>1643</v>
      </c>
      <c r="D1388" s="1" t="s">
        <v>11</v>
      </c>
    </row>
    <row r="1389" spans="3:4" x14ac:dyDescent="0.3">
      <c r="C1389" s="1" t="s">
        <v>1644</v>
      </c>
      <c r="D1389" s="1" t="s">
        <v>11</v>
      </c>
    </row>
    <row r="1390" spans="3:4" x14ac:dyDescent="0.3">
      <c r="C1390" s="1" t="s">
        <v>1645</v>
      </c>
      <c r="D1390" s="1" t="s">
        <v>11</v>
      </c>
    </row>
    <row r="1391" spans="3:4" x14ac:dyDescent="0.3">
      <c r="C1391" s="1" t="s">
        <v>1646</v>
      </c>
      <c r="D1391" s="1" t="s">
        <v>15</v>
      </c>
    </row>
    <row r="1392" spans="3:4" x14ac:dyDescent="0.3">
      <c r="C1392" s="1" t="s">
        <v>1647</v>
      </c>
      <c r="D1392" s="1" t="s">
        <v>12</v>
      </c>
    </row>
    <row r="1393" spans="3:4" x14ac:dyDescent="0.3">
      <c r="C1393" s="1" t="s">
        <v>1648</v>
      </c>
      <c r="D1393" s="1" t="s">
        <v>11</v>
      </c>
    </row>
    <row r="1394" spans="3:4" x14ac:dyDescent="0.3">
      <c r="C1394" s="1" t="s">
        <v>1649</v>
      </c>
      <c r="D1394" s="1" t="s">
        <v>25</v>
      </c>
    </row>
    <row r="1395" spans="3:4" x14ac:dyDescent="0.3">
      <c r="C1395" s="1" t="s">
        <v>1650</v>
      </c>
      <c r="D1395" s="1" t="s">
        <v>12</v>
      </c>
    </row>
    <row r="1396" spans="3:4" x14ac:dyDescent="0.3">
      <c r="C1396" s="1" t="s">
        <v>1651</v>
      </c>
      <c r="D1396" s="1" t="s">
        <v>12</v>
      </c>
    </row>
    <row r="1397" spans="3:4" x14ac:dyDescent="0.3">
      <c r="C1397" s="1" t="s">
        <v>1652</v>
      </c>
      <c r="D1397" s="1" t="s">
        <v>12</v>
      </c>
    </row>
    <row r="1398" spans="3:4" x14ac:dyDescent="0.3">
      <c r="C1398" s="1" t="s">
        <v>1653</v>
      </c>
      <c r="D1398" s="1" t="s">
        <v>12</v>
      </c>
    </row>
    <row r="1399" spans="3:4" x14ac:dyDescent="0.3">
      <c r="C1399" s="1" t="s">
        <v>1654</v>
      </c>
      <c r="D1399" s="1" t="s">
        <v>12</v>
      </c>
    </row>
    <row r="1400" spans="3:4" x14ac:dyDescent="0.3">
      <c r="C1400" s="1" t="s">
        <v>1655</v>
      </c>
      <c r="D1400" s="1" t="s">
        <v>12</v>
      </c>
    </row>
    <row r="1401" spans="3:4" x14ac:dyDescent="0.3">
      <c r="C1401" s="1" t="s">
        <v>1656</v>
      </c>
      <c r="D1401" s="1" t="s">
        <v>16</v>
      </c>
    </row>
    <row r="1402" spans="3:4" x14ac:dyDescent="0.3">
      <c r="C1402" s="1" t="s">
        <v>1657</v>
      </c>
      <c r="D1402" s="1" t="s">
        <v>16</v>
      </c>
    </row>
    <row r="1403" spans="3:4" x14ac:dyDescent="0.3">
      <c r="C1403" s="1" t="s">
        <v>1658</v>
      </c>
      <c r="D1403" s="1" t="s">
        <v>24</v>
      </c>
    </row>
    <row r="1404" spans="3:4" x14ac:dyDescent="0.3">
      <c r="C1404" s="1" t="s">
        <v>1659</v>
      </c>
      <c r="D1404" s="1" t="s">
        <v>11</v>
      </c>
    </row>
    <row r="1405" spans="3:4" x14ac:dyDescent="0.3">
      <c r="C1405" s="1" t="s">
        <v>1660</v>
      </c>
      <c r="D1405" s="1" t="s">
        <v>15</v>
      </c>
    </row>
    <row r="1406" spans="3:4" x14ac:dyDescent="0.3">
      <c r="C1406" s="1" t="s">
        <v>1661</v>
      </c>
      <c r="D1406" s="1" t="s">
        <v>15</v>
      </c>
    </row>
    <row r="1407" spans="3:4" x14ac:dyDescent="0.3">
      <c r="C1407" s="1" t="s">
        <v>62</v>
      </c>
      <c r="D1407" s="1" t="s">
        <v>11</v>
      </c>
    </row>
    <row r="1408" spans="3:4" x14ac:dyDescent="0.3">
      <c r="C1408" s="1" t="s">
        <v>1662</v>
      </c>
      <c r="D1408" s="1" t="s">
        <v>11</v>
      </c>
    </row>
    <row r="1409" spans="3:4" x14ac:dyDescent="0.3">
      <c r="C1409" s="1" t="s">
        <v>1663</v>
      </c>
      <c r="D1409" s="1" t="s">
        <v>11</v>
      </c>
    </row>
    <row r="1410" spans="3:4" x14ac:dyDescent="0.3">
      <c r="C1410" s="1" t="s">
        <v>1664</v>
      </c>
      <c r="D1410" s="1" t="s">
        <v>11</v>
      </c>
    </row>
    <row r="1411" spans="3:4" x14ac:dyDescent="0.3">
      <c r="C1411" s="1" t="s">
        <v>1665</v>
      </c>
      <c r="D1411" s="1" t="s">
        <v>11</v>
      </c>
    </row>
    <row r="1412" spans="3:4" x14ac:dyDescent="0.3">
      <c r="C1412" s="1" t="s">
        <v>1666</v>
      </c>
      <c r="D1412" s="1" t="s">
        <v>16</v>
      </c>
    </row>
    <row r="1413" spans="3:4" x14ac:dyDescent="0.3">
      <c r="C1413" s="1" t="s">
        <v>1667</v>
      </c>
      <c r="D1413" s="1" t="s">
        <v>27</v>
      </c>
    </row>
    <row r="1414" spans="3:4" x14ac:dyDescent="0.3">
      <c r="C1414" s="1" t="s">
        <v>1668</v>
      </c>
      <c r="D1414" s="1" t="s">
        <v>25</v>
      </c>
    </row>
    <row r="1415" spans="3:4" x14ac:dyDescent="0.3">
      <c r="C1415" s="1" t="s">
        <v>63</v>
      </c>
      <c r="D1415" s="1" t="s">
        <v>23</v>
      </c>
    </row>
    <row r="1416" spans="3:4" x14ac:dyDescent="0.3">
      <c r="C1416" s="1" t="s">
        <v>64</v>
      </c>
      <c r="D1416" s="1" t="s">
        <v>20</v>
      </c>
    </row>
    <row r="1417" spans="3:4" x14ac:dyDescent="0.3">
      <c r="C1417" s="1" t="s">
        <v>65</v>
      </c>
      <c r="D1417" s="1" t="s">
        <v>12</v>
      </c>
    </row>
    <row r="1418" spans="3:4" x14ac:dyDescent="0.3">
      <c r="C1418" s="1" t="s">
        <v>1669</v>
      </c>
      <c r="D1418" s="1" t="s">
        <v>12</v>
      </c>
    </row>
    <row r="1419" spans="3:4" x14ac:dyDescent="0.3">
      <c r="C1419" s="1" t="s">
        <v>1670</v>
      </c>
      <c r="D1419" s="1" t="s">
        <v>15</v>
      </c>
    </row>
    <row r="1420" spans="3:4" x14ac:dyDescent="0.3">
      <c r="C1420" s="1" t="s">
        <v>1671</v>
      </c>
      <c r="D1420" s="1" t="s">
        <v>23</v>
      </c>
    </row>
    <row r="1421" spans="3:4" x14ac:dyDescent="0.3">
      <c r="C1421" s="1" t="s">
        <v>1672</v>
      </c>
      <c r="D1421" s="1" t="s">
        <v>23</v>
      </c>
    </row>
    <row r="1422" spans="3:4" x14ac:dyDescent="0.3">
      <c r="C1422" s="1" t="s">
        <v>1673</v>
      </c>
      <c r="D1422" s="1" t="s">
        <v>12</v>
      </c>
    </row>
    <row r="1423" spans="3:4" x14ac:dyDescent="0.3">
      <c r="C1423" s="1" t="s">
        <v>66</v>
      </c>
      <c r="D1423" s="1" t="s">
        <v>12</v>
      </c>
    </row>
    <row r="1424" spans="3:4" x14ac:dyDescent="0.3">
      <c r="C1424" s="1" t="s">
        <v>67</v>
      </c>
      <c r="D1424" s="1" t="s">
        <v>14</v>
      </c>
    </row>
    <row r="1425" spans="3:4" x14ac:dyDescent="0.3">
      <c r="C1425" s="1" t="s">
        <v>68</v>
      </c>
      <c r="D1425" s="1" t="s">
        <v>12</v>
      </c>
    </row>
    <row r="1426" spans="3:4" x14ac:dyDescent="0.3">
      <c r="C1426" s="1" t="s">
        <v>1674</v>
      </c>
      <c r="D1426" s="1" t="s">
        <v>18</v>
      </c>
    </row>
    <row r="1427" spans="3:4" x14ac:dyDescent="0.3">
      <c r="C1427" s="1" t="s">
        <v>69</v>
      </c>
      <c r="D1427" s="1" t="s">
        <v>23</v>
      </c>
    </row>
    <row r="1428" spans="3:4" x14ac:dyDescent="0.3">
      <c r="C1428" s="1" t="s">
        <v>1675</v>
      </c>
      <c r="D1428" s="1" t="s">
        <v>23</v>
      </c>
    </row>
    <row r="1429" spans="3:4" x14ac:dyDescent="0.3">
      <c r="C1429" s="1" t="s">
        <v>1676</v>
      </c>
      <c r="D1429" s="1" t="s">
        <v>21</v>
      </c>
    </row>
    <row r="1430" spans="3:4" x14ac:dyDescent="0.3">
      <c r="C1430" s="1" t="s">
        <v>1677</v>
      </c>
      <c r="D1430" s="1" t="s">
        <v>11</v>
      </c>
    </row>
    <row r="1431" spans="3:4" x14ac:dyDescent="0.3">
      <c r="C1431" s="1" t="s">
        <v>1678</v>
      </c>
      <c r="D1431" s="1" t="s">
        <v>18</v>
      </c>
    </row>
    <row r="1432" spans="3:4" x14ac:dyDescent="0.3">
      <c r="C1432" s="1" t="s">
        <v>1679</v>
      </c>
      <c r="D1432" s="1" t="s">
        <v>23</v>
      </c>
    </row>
    <row r="1433" spans="3:4" x14ac:dyDescent="0.3">
      <c r="C1433" s="1" t="s">
        <v>70</v>
      </c>
      <c r="D1433" s="1" t="s">
        <v>12</v>
      </c>
    </row>
    <row r="1434" spans="3:4" x14ac:dyDescent="0.3">
      <c r="C1434" s="1" t="s">
        <v>1680</v>
      </c>
      <c r="D1434" s="1" t="s">
        <v>27</v>
      </c>
    </row>
    <row r="1435" spans="3:4" x14ac:dyDescent="0.3">
      <c r="C1435" s="1" t="s">
        <v>71</v>
      </c>
      <c r="D1435" s="1" t="s">
        <v>12</v>
      </c>
    </row>
    <row r="1436" spans="3:4" x14ac:dyDescent="0.3">
      <c r="C1436" s="1" t="s">
        <v>1681</v>
      </c>
      <c r="D1436" s="1" t="s">
        <v>12</v>
      </c>
    </row>
    <row r="1437" spans="3:4" x14ac:dyDescent="0.3">
      <c r="C1437" s="1" t="s">
        <v>72</v>
      </c>
      <c r="D1437" s="1" t="s">
        <v>23</v>
      </c>
    </row>
    <row r="1438" spans="3:4" x14ac:dyDescent="0.3">
      <c r="C1438" s="1" t="s">
        <v>1682</v>
      </c>
      <c r="D1438" s="1" t="s">
        <v>16</v>
      </c>
    </row>
    <row r="1439" spans="3:4" x14ac:dyDescent="0.3">
      <c r="C1439" s="1" t="s">
        <v>73</v>
      </c>
      <c r="D1439" s="1" t="s">
        <v>12</v>
      </c>
    </row>
    <row r="1440" spans="3:4" x14ac:dyDescent="0.3">
      <c r="C1440" s="1" t="s">
        <v>1683</v>
      </c>
      <c r="D1440" s="1" t="s">
        <v>12</v>
      </c>
    </row>
    <row r="1441" spans="3:4" x14ac:dyDescent="0.3">
      <c r="C1441" s="1" t="s">
        <v>1684</v>
      </c>
      <c r="D1441" s="1" t="s">
        <v>23</v>
      </c>
    </row>
    <row r="1442" spans="3:4" x14ac:dyDescent="0.3">
      <c r="C1442" s="1" t="s">
        <v>74</v>
      </c>
      <c r="D1442" s="1" t="s">
        <v>12</v>
      </c>
    </row>
    <row r="1443" spans="3:4" x14ac:dyDescent="0.3">
      <c r="C1443" s="1" t="s">
        <v>1685</v>
      </c>
      <c r="D1443" s="1" t="s">
        <v>15</v>
      </c>
    </row>
    <row r="1444" spans="3:4" x14ac:dyDescent="0.3">
      <c r="C1444" s="1" t="s">
        <v>1686</v>
      </c>
      <c r="D1444" s="1" t="s">
        <v>18</v>
      </c>
    </row>
    <row r="1445" spans="3:4" x14ac:dyDescent="0.3">
      <c r="C1445" s="1" t="s">
        <v>1687</v>
      </c>
      <c r="D1445" s="1" t="s">
        <v>22</v>
      </c>
    </row>
    <row r="1446" spans="3:4" x14ac:dyDescent="0.3">
      <c r="C1446" s="1" t="s">
        <v>75</v>
      </c>
      <c r="D1446" s="1" t="s">
        <v>16</v>
      </c>
    </row>
    <row r="1447" spans="3:4" x14ac:dyDescent="0.3">
      <c r="C1447" s="1" t="s">
        <v>1688</v>
      </c>
      <c r="D1447" s="1" t="s">
        <v>11</v>
      </c>
    </row>
    <row r="1448" spans="3:4" x14ac:dyDescent="0.3">
      <c r="C1448" s="1" t="s">
        <v>1689</v>
      </c>
      <c r="D1448" s="1" t="s">
        <v>21</v>
      </c>
    </row>
    <row r="1449" spans="3:4" x14ac:dyDescent="0.3">
      <c r="C1449" s="1" t="s">
        <v>1690</v>
      </c>
      <c r="D1449" s="1" t="s">
        <v>11</v>
      </c>
    </row>
    <row r="1450" spans="3:4" x14ac:dyDescent="0.3">
      <c r="C1450" s="1" t="s">
        <v>1691</v>
      </c>
      <c r="D1450" s="1" t="s">
        <v>14</v>
      </c>
    </row>
    <row r="1451" spans="3:4" x14ac:dyDescent="0.3">
      <c r="C1451" s="1" t="s">
        <v>35</v>
      </c>
      <c r="D1451" s="1" t="s">
        <v>16</v>
      </c>
    </row>
    <row r="1452" spans="3:4" x14ac:dyDescent="0.3">
      <c r="C1452" s="1" t="s">
        <v>1692</v>
      </c>
      <c r="D1452" s="1" t="s">
        <v>11</v>
      </c>
    </row>
    <row r="1453" spans="3:4" x14ac:dyDescent="0.3">
      <c r="C1453" s="1" t="s">
        <v>1693</v>
      </c>
      <c r="D1453" s="1" t="s">
        <v>24</v>
      </c>
    </row>
    <row r="1454" spans="3:4" x14ac:dyDescent="0.3">
      <c r="C1454" s="1" t="s">
        <v>1694</v>
      </c>
      <c r="D1454" s="1" t="s">
        <v>11</v>
      </c>
    </row>
    <row r="1455" spans="3:4" x14ac:dyDescent="0.3">
      <c r="C1455" s="1" t="s">
        <v>1695</v>
      </c>
      <c r="D1455" s="1" t="s">
        <v>12</v>
      </c>
    </row>
    <row r="1456" spans="3:4" x14ac:dyDescent="0.3">
      <c r="C1456" s="1" t="s">
        <v>1696</v>
      </c>
      <c r="D1456" s="1" t="s">
        <v>11</v>
      </c>
    </row>
    <row r="1457" spans="3:4" x14ac:dyDescent="0.3">
      <c r="C1457" s="1" t="s">
        <v>77</v>
      </c>
      <c r="D1457" s="1" t="s">
        <v>12</v>
      </c>
    </row>
    <row r="1458" spans="3:4" x14ac:dyDescent="0.3">
      <c r="C1458" s="1" t="s">
        <v>1697</v>
      </c>
      <c r="D1458" s="1" t="s">
        <v>23</v>
      </c>
    </row>
    <row r="1459" spans="3:4" x14ac:dyDescent="0.3">
      <c r="C1459" s="1" t="s">
        <v>1698</v>
      </c>
      <c r="D1459" s="1" t="s">
        <v>21</v>
      </c>
    </row>
    <row r="1460" spans="3:4" x14ac:dyDescent="0.3">
      <c r="C1460" s="1" t="s">
        <v>1699</v>
      </c>
      <c r="D1460" s="1" t="s">
        <v>18</v>
      </c>
    </row>
    <row r="1461" spans="3:4" x14ac:dyDescent="0.3">
      <c r="C1461" s="1" t="s">
        <v>1700</v>
      </c>
      <c r="D1461" s="1" t="s">
        <v>16</v>
      </c>
    </row>
    <row r="1462" spans="3:4" x14ac:dyDescent="0.3">
      <c r="C1462" s="1" t="s">
        <v>1701</v>
      </c>
      <c r="D1462" s="1" t="s">
        <v>12</v>
      </c>
    </row>
    <row r="1463" spans="3:4" x14ac:dyDescent="0.3">
      <c r="C1463" s="1" t="s">
        <v>1702</v>
      </c>
      <c r="D1463" s="1" t="s">
        <v>16</v>
      </c>
    </row>
    <row r="1464" spans="3:4" x14ac:dyDescent="0.3">
      <c r="C1464" s="1" t="s">
        <v>1703</v>
      </c>
      <c r="D1464" s="1" t="s">
        <v>17</v>
      </c>
    </row>
    <row r="1465" spans="3:4" x14ac:dyDescent="0.3">
      <c r="C1465" s="1" t="s">
        <v>78</v>
      </c>
      <c r="D1465" s="1" t="s">
        <v>11</v>
      </c>
    </row>
    <row r="1466" spans="3:4" x14ac:dyDescent="0.3">
      <c r="C1466" s="1" t="s">
        <v>1704</v>
      </c>
      <c r="D1466" s="1" t="s">
        <v>12</v>
      </c>
    </row>
    <row r="1467" spans="3:4" x14ac:dyDescent="0.3">
      <c r="C1467" s="1" t="s">
        <v>1705</v>
      </c>
      <c r="D1467" s="1" t="s">
        <v>12</v>
      </c>
    </row>
    <row r="1468" spans="3:4" x14ac:dyDescent="0.3">
      <c r="C1468" s="1" t="s">
        <v>79</v>
      </c>
      <c r="D1468" s="1" t="s">
        <v>11</v>
      </c>
    </row>
    <row r="1469" spans="3:4" x14ac:dyDescent="0.3">
      <c r="C1469" s="1" t="s">
        <v>80</v>
      </c>
      <c r="D1469" s="1" t="s">
        <v>11</v>
      </c>
    </row>
    <row r="1470" spans="3:4" x14ac:dyDescent="0.3">
      <c r="C1470" s="1" t="s">
        <v>81</v>
      </c>
      <c r="D1470" s="1" t="s">
        <v>22</v>
      </c>
    </row>
    <row r="1471" spans="3:4" x14ac:dyDescent="0.3">
      <c r="C1471" s="1" t="s">
        <v>37</v>
      </c>
      <c r="D1471" s="1" t="s">
        <v>16</v>
      </c>
    </row>
    <row r="1472" spans="3:4" x14ac:dyDescent="0.3">
      <c r="C1472" s="1" t="s">
        <v>1706</v>
      </c>
      <c r="D1472" s="1" t="s">
        <v>14</v>
      </c>
    </row>
    <row r="1473" spans="3:4" x14ac:dyDescent="0.3">
      <c r="C1473" s="1" t="s">
        <v>1707</v>
      </c>
      <c r="D1473" s="1" t="s">
        <v>14</v>
      </c>
    </row>
    <row r="1474" spans="3:4" x14ac:dyDescent="0.3">
      <c r="C1474" s="1" t="s">
        <v>1708</v>
      </c>
      <c r="D1474" s="1" t="s">
        <v>16</v>
      </c>
    </row>
    <row r="1475" spans="3:4" x14ac:dyDescent="0.3">
      <c r="C1475" s="1" t="s">
        <v>82</v>
      </c>
      <c r="D1475" s="1" t="s">
        <v>17</v>
      </c>
    </row>
    <row r="1476" spans="3:4" x14ac:dyDescent="0.3">
      <c r="C1476" s="1" t="s">
        <v>83</v>
      </c>
      <c r="D1476" s="1" t="s">
        <v>16</v>
      </c>
    </row>
    <row r="1477" spans="3:4" x14ac:dyDescent="0.3">
      <c r="C1477" s="1" t="s">
        <v>1709</v>
      </c>
      <c r="D1477" s="1" t="s">
        <v>12</v>
      </c>
    </row>
    <row r="1478" spans="3:4" x14ac:dyDescent="0.3">
      <c r="C1478" s="1" t="s">
        <v>44</v>
      </c>
      <c r="D1478" s="1" t="s">
        <v>12</v>
      </c>
    </row>
    <row r="1479" spans="3:4" x14ac:dyDescent="0.3">
      <c r="C1479" s="1" t="s">
        <v>1710</v>
      </c>
      <c r="D1479" s="1" t="s">
        <v>11</v>
      </c>
    </row>
    <row r="1480" spans="3:4" x14ac:dyDescent="0.3">
      <c r="C1480" s="1" t="s">
        <v>84</v>
      </c>
      <c r="D1480" s="1" t="s">
        <v>16</v>
      </c>
    </row>
    <row r="1481" spans="3:4" x14ac:dyDescent="0.3">
      <c r="C1481" s="1" t="s">
        <v>1711</v>
      </c>
      <c r="D1481" s="1" t="s">
        <v>13</v>
      </c>
    </row>
    <row r="1482" spans="3:4" x14ac:dyDescent="0.3">
      <c r="C1482" s="1" t="s">
        <v>1712</v>
      </c>
      <c r="D1482" s="1" t="s">
        <v>13</v>
      </c>
    </row>
    <row r="1483" spans="3:4" x14ac:dyDescent="0.3">
      <c r="C1483" s="1" t="s">
        <v>85</v>
      </c>
      <c r="D1483" s="1" t="s">
        <v>16</v>
      </c>
    </row>
    <row r="1484" spans="3:4" x14ac:dyDescent="0.3">
      <c r="C1484" s="1" t="s">
        <v>86</v>
      </c>
      <c r="D1484" s="1" t="s">
        <v>23</v>
      </c>
    </row>
    <row r="1485" spans="3:4" x14ac:dyDescent="0.3">
      <c r="C1485" s="1" t="s">
        <v>87</v>
      </c>
      <c r="D1485" s="1" t="s">
        <v>23</v>
      </c>
    </row>
    <row r="1486" spans="3:4" x14ac:dyDescent="0.3">
      <c r="C1486" s="1" t="s">
        <v>1713</v>
      </c>
      <c r="D1486" s="1" t="s">
        <v>16</v>
      </c>
    </row>
    <row r="1487" spans="3:4" x14ac:dyDescent="0.3">
      <c r="C1487" s="1" t="s">
        <v>1714</v>
      </c>
      <c r="D1487" s="1" t="s">
        <v>17</v>
      </c>
    </row>
    <row r="1488" spans="3:4" x14ac:dyDescent="0.3">
      <c r="C1488" s="1" t="s">
        <v>1715</v>
      </c>
      <c r="D1488" s="1" t="s">
        <v>12</v>
      </c>
    </row>
    <row r="1489" spans="3:4" x14ac:dyDescent="0.3">
      <c r="C1489" s="1" t="s">
        <v>1716</v>
      </c>
      <c r="D1489" s="1" t="s">
        <v>21</v>
      </c>
    </row>
    <row r="1490" spans="3:4" x14ac:dyDescent="0.3">
      <c r="C1490" s="1" t="s">
        <v>1717</v>
      </c>
      <c r="D1490" s="1" t="s">
        <v>16</v>
      </c>
    </row>
    <row r="1491" spans="3:4" x14ac:dyDescent="0.3">
      <c r="C1491" s="1" t="s">
        <v>1718</v>
      </c>
      <c r="D1491" s="1" t="s">
        <v>12</v>
      </c>
    </row>
    <row r="1492" spans="3:4" x14ac:dyDescent="0.3">
      <c r="C1492" s="1" t="s">
        <v>1719</v>
      </c>
      <c r="D1492" s="1" t="s">
        <v>18</v>
      </c>
    </row>
    <row r="1493" spans="3:4" x14ac:dyDescent="0.3">
      <c r="C1493" s="1" t="s">
        <v>1720</v>
      </c>
      <c r="D1493" s="1" t="s">
        <v>18</v>
      </c>
    </row>
    <row r="1494" spans="3:4" x14ac:dyDescent="0.3">
      <c r="C1494" s="1" t="s">
        <v>1721</v>
      </c>
      <c r="D1494" s="1" t="s">
        <v>17</v>
      </c>
    </row>
    <row r="1495" spans="3:4" x14ac:dyDescent="0.3">
      <c r="C1495" s="1" t="s">
        <v>1722</v>
      </c>
      <c r="D1495" s="1" t="s">
        <v>29</v>
      </c>
    </row>
    <row r="1496" spans="3:4" x14ac:dyDescent="0.3">
      <c r="C1496" s="1" t="s">
        <v>1723</v>
      </c>
      <c r="D1496" s="1" t="s">
        <v>29</v>
      </c>
    </row>
    <row r="1497" spans="3:4" x14ac:dyDescent="0.3">
      <c r="C1497" s="1" t="s">
        <v>1724</v>
      </c>
      <c r="D1497" s="1" t="s">
        <v>29</v>
      </c>
    </row>
    <row r="1498" spans="3:4" x14ac:dyDescent="0.3">
      <c r="C1498" s="1" t="s">
        <v>1725</v>
      </c>
      <c r="D1498" s="1" t="s">
        <v>29</v>
      </c>
    </row>
    <row r="1499" spans="3:4" x14ac:dyDescent="0.3">
      <c r="C1499" s="1" t="s">
        <v>1726</v>
      </c>
      <c r="D1499" s="1" t="s">
        <v>29</v>
      </c>
    </row>
    <row r="1500" spans="3:4" x14ac:dyDescent="0.3">
      <c r="C1500" s="1" t="s">
        <v>1727</v>
      </c>
      <c r="D1500" s="1" t="s">
        <v>29</v>
      </c>
    </row>
    <row r="1501" spans="3:4" x14ac:dyDescent="0.3">
      <c r="C1501" s="1" t="s">
        <v>1728</v>
      </c>
      <c r="D1501" s="1" t="s">
        <v>29</v>
      </c>
    </row>
    <row r="1502" spans="3:4" x14ac:dyDescent="0.3">
      <c r="C1502" s="1" t="s">
        <v>1729</v>
      </c>
      <c r="D1502" s="1" t="s">
        <v>29</v>
      </c>
    </row>
    <row r="1503" spans="3:4" x14ac:dyDescent="0.3">
      <c r="C1503" s="1" t="s">
        <v>1730</v>
      </c>
      <c r="D1503" s="1" t="s">
        <v>29</v>
      </c>
    </row>
    <row r="1504" spans="3:4" x14ac:dyDescent="0.3">
      <c r="C1504" s="1" t="s">
        <v>1731</v>
      </c>
      <c r="D1504" s="1" t="s">
        <v>29</v>
      </c>
    </row>
    <row r="1505" spans="3:4" x14ac:dyDescent="0.3">
      <c r="C1505" s="1" t="s">
        <v>1732</v>
      </c>
      <c r="D1505" s="1" t="s">
        <v>29</v>
      </c>
    </row>
    <row r="1506" spans="3:4" x14ac:dyDescent="0.3">
      <c r="C1506" s="1" t="s">
        <v>1733</v>
      </c>
      <c r="D1506" s="1" t="s">
        <v>29</v>
      </c>
    </row>
    <row r="1507" spans="3:4" x14ac:dyDescent="0.3">
      <c r="C1507" s="1" t="s">
        <v>1734</v>
      </c>
      <c r="D1507" s="1" t="s">
        <v>29</v>
      </c>
    </row>
    <row r="1508" spans="3:4" x14ac:dyDescent="0.3">
      <c r="C1508" s="1" t="s">
        <v>1735</v>
      </c>
      <c r="D1508" s="1" t="s">
        <v>29</v>
      </c>
    </row>
    <row r="1509" spans="3:4" x14ac:dyDescent="0.3">
      <c r="C1509" s="1" t="s">
        <v>1736</v>
      </c>
      <c r="D1509" s="1" t="s">
        <v>29</v>
      </c>
    </row>
    <row r="1510" spans="3:4" x14ac:dyDescent="0.3">
      <c r="C1510" s="1" t="s">
        <v>1737</v>
      </c>
      <c r="D1510" s="1" t="s">
        <v>29</v>
      </c>
    </row>
    <row r="1511" spans="3:4" x14ac:dyDescent="0.3">
      <c r="C1511" s="1" t="s">
        <v>1738</v>
      </c>
      <c r="D1511" s="1" t="s">
        <v>29</v>
      </c>
    </row>
    <row r="1512" spans="3:4" x14ac:dyDescent="0.3">
      <c r="C1512" s="1" t="s">
        <v>1739</v>
      </c>
      <c r="D1512" s="1" t="s">
        <v>29</v>
      </c>
    </row>
    <row r="1513" spans="3:4" x14ac:dyDescent="0.3">
      <c r="C1513" s="1" t="s">
        <v>1740</v>
      </c>
      <c r="D1513" s="1" t="s">
        <v>29</v>
      </c>
    </row>
    <row r="1514" spans="3:4" x14ac:dyDescent="0.3">
      <c r="C1514" s="1" t="s">
        <v>1741</v>
      </c>
      <c r="D1514" s="1" t="s">
        <v>29</v>
      </c>
    </row>
    <row r="1515" spans="3:4" x14ac:dyDescent="0.3">
      <c r="C1515" s="1" t="s">
        <v>1742</v>
      </c>
      <c r="D1515" s="1" t="s">
        <v>29</v>
      </c>
    </row>
    <row r="1516" spans="3:4" x14ac:dyDescent="0.3">
      <c r="C1516" s="1" t="s">
        <v>1743</v>
      </c>
      <c r="D1516" s="1" t="s">
        <v>29</v>
      </c>
    </row>
    <row r="1517" spans="3:4" x14ac:dyDescent="0.3">
      <c r="C1517" s="1" t="s">
        <v>1744</v>
      </c>
      <c r="D1517" s="1" t="s">
        <v>29</v>
      </c>
    </row>
    <row r="1518" spans="3:4" x14ac:dyDescent="0.3">
      <c r="C1518" s="1" t="s">
        <v>1745</v>
      </c>
      <c r="D1518" s="1" t="s">
        <v>29</v>
      </c>
    </row>
    <row r="1519" spans="3:4" x14ac:dyDescent="0.3">
      <c r="C1519" s="1" t="s">
        <v>1746</v>
      </c>
      <c r="D1519" s="1" t="s">
        <v>29</v>
      </c>
    </row>
    <row r="1520" spans="3:4" x14ac:dyDescent="0.3">
      <c r="C1520" s="1" t="s">
        <v>1747</v>
      </c>
      <c r="D1520" s="1" t="s">
        <v>29</v>
      </c>
    </row>
    <row r="1521" spans="3:4" x14ac:dyDescent="0.3">
      <c r="C1521" s="1" t="s">
        <v>1748</v>
      </c>
      <c r="D1521" s="1" t="s">
        <v>29</v>
      </c>
    </row>
    <row r="1522" spans="3:4" x14ac:dyDescent="0.3">
      <c r="C1522" s="1" t="s">
        <v>1749</v>
      </c>
      <c r="D1522" s="1" t="s">
        <v>29</v>
      </c>
    </row>
    <row r="1523" spans="3:4" x14ac:dyDescent="0.3">
      <c r="C1523" s="1" t="s">
        <v>1750</v>
      </c>
      <c r="D1523" s="1" t="s">
        <v>29</v>
      </c>
    </row>
    <row r="1524" spans="3:4" x14ac:dyDescent="0.3">
      <c r="C1524" s="1" t="s">
        <v>1751</v>
      </c>
      <c r="D1524" s="1" t="s">
        <v>29</v>
      </c>
    </row>
    <row r="1525" spans="3:4" x14ac:dyDescent="0.3">
      <c r="C1525" s="1" t="s">
        <v>1752</v>
      </c>
      <c r="D1525" s="1" t="s">
        <v>29</v>
      </c>
    </row>
    <row r="1526" spans="3:4" x14ac:dyDescent="0.3">
      <c r="C1526" s="1" t="s">
        <v>1753</v>
      </c>
      <c r="D1526" s="1" t="s">
        <v>29</v>
      </c>
    </row>
    <row r="1527" spans="3:4" x14ac:dyDescent="0.3">
      <c r="C1527" s="1" t="s">
        <v>1754</v>
      </c>
      <c r="D1527" s="1" t="s">
        <v>29</v>
      </c>
    </row>
    <row r="1528" spans="3:4" x14ac:dyDescent="0.3">
      <c r="C1528" s="1" t="s">
        <v>1755</v>
      </c>
      <c r="D1528" s="1" t="s">
        <v>29</v>
      </c>
    </row>
    <row r="1529" spans="3:4" x14ac:dyDescent="0.3">
      <c r="C1529" s="1" t="s">
        <v>1756</v>
      </c>
      <c r="D1529" s="1" t="s">
        <v>29</v>
      </c>
    </row>
    <row r="1530" spans="3:4" x14ac:dyDescent="0.3">
      <c r="C1530" s="1" t="s">
        <v>1757</v>
      </c>
      <c r="D1530" s="1" t="s">
        <v>29</v>
      </c>
    </row>
    <row r="1531" spans="3:4" x14ac:dyDescent="0.3">
      <c r="C1531" s="1" t="s">
        <v>1758</v>
      </c>
      <c r="D1531" s="1" t="s">
        <v>29</v>
      </c>
    </row>
    <row r="1532" spans="3:4" x14ac:dyDescent="0.3">
      <c r="C1532" s="1" t="s">
        <v>1759</v>
      </c>
      <c r="D1532" s="1" t="s">
        <v>29</v>
      </c>
    </row>
    <row r="1533" spans="3:4" x14ac:dyDescent="0.3">
      <c r="C1533" s="1" t="s">
        <v>1760</v>
      </c>
      <c r="D1533" s="1" t="s">
        <v>29</v>
      </c>
    </row>
    <row r="1534" spans="3:4" x14ac:dyDescent="0.3">
      <c r="C1534" s="1" t="s">
        <v>1761</v>
      </c>
      <c r="D1534" s="1" t="s">
        <v>29</v>
      </c>
    </row>
    <row r="1535" spans="3:4" x14ac:dyDescent="0.3">
      <c r="C1535" s="1" t="s">
        <v>1762</v>
      </c>
      <c r="D1535" s="1" t="s">
        <v>29</v>
      </c>
    </row>
    <row r="1536" spans="3:4" x14ac:dyDescent="0.3">
      <c r="C1536" s="1" t="s">
        <v>1763</v>
      </c>
      <c r="D1536" s="1" t="s">
        <v>29</v>
      </c>
    </row>
    <row r="1537" spans="3:4" x14ac:dyDescent="0.3">
      <c r="C1537" s="1" t="s">
        <v>1764</v>
      </c>
      <c r="D1537" s="1" t="s">
        <v>29</v>
      </c>
    </row>
    <row r="1538" spans="3:4" x14ac:dyDescent="0.3">
      <c r="C1538" s="1" t="s">
        <v>1765</v>
      </c>
      <c r="D1538" s="1" t="s">
        <v>29</v>
      </c>
    </row>
    <row r="1539" spans="3:4" x14ac:dyDescent="0.3">
      <c r="C1539" s="1" t="s">
        <v>1766</v>
      </c>
      <c r="D1539" s="1" t="s">
        <v>29</v>
      </c>
    </row>
    <row r="1540" spans="3:4" x14ac:dyDescent="0.3">
      <c r="C1540" s="1" t="s">
        <v>1767</v>
      </c>
      <c r="D1540" s="1" t="s">
        <v>29</v>
      </c>
    </row>
    <row r="1541" spans="3:4" x14ac:dyDescent="0.3">
      <c r="C1541" s="1" t="s">
        <v>1768</v>
      </c>
      <c r="D1541" s="1" t="s">
        <v>29</v>
      </c>
    </row>
    <row r="1542" spans="3:4" x14ac:dyDescent="0.3">
      <c r="C1542" s="1" t="s">
        <v>1769</v>
      </c>
      <c r="D1542" s="1" t="s">
        <v>29</v>
      </c>
    </row>
    <row r="1543" spans="3:4" x14ac:dyDescent="0.3">
      <c r="C1543" s="1" t="s">
        <v>1770</v>
      </c>
      <c r="D1543" s="1" t="s">
        <v>29</v>
      </c>
    </row>
    <row r="1544" spans="3:4" x14ac:dyDescent="0.3">
      <c r="C1544" s="1" t="s">
        <v>1771</v>
      </c>
      <c r="D1544" s="1" t="s">
        <v>29</v>
      </c>
    </row>
    <row r="1545" spans="3:4" x14ac:dyDescent="0.3">
      <c r="C1545" s="1" t="s">
        <v>1772</v>
      </c>
      <c r="D1545" s="1" t="s">
        <v>29</v>
      </c>
    </row>
    <row r="1546" spans="3:4" x14ac:dyDescent="0.3">
      <c r="C1546" s="1" t="s">
        <v>1773</v>
      </c>
      <c r="D1546" s="1" t="s">
        <v>29</v>
      </c>
    </row>
    <row r="1547" spans="3:4" x14ac:dyDescent="0.3">
      <c r="C1547" s="1" t="s">
        <v>1774</v>
      </c>
      <c r="D1547" s="1" t="s">
        <v>29</v>
      </c>
    </row>
    <row r="1548" spans="3:4" x14ac:dyDescent="0.3">
      <c r="C1548" s="1" t="s">
        <v>1775</v>
      </c>
      <c r="D1548" s="1" t="s">
        <v>29</v>
      </c>
    </row>
    <row r="1549" spans="3:4" x14ac:dyDescent="0.3">
      <c r="C1549" s="1" t="s">
        <v>1776</v>
      </c>
      <c r="D1549" s="1" t="s">
        <v>29</v>
      </c>
    </row>
    <row r="1550" spans="3:4" x14ac:dyDescent="0.3">
      <c r="C1550" s="1" t="s">
        <v>1777</v>
      </c>
      <c r="D1550" s="1" t="s">
        <v>29</v>
      </c>
    </row>
    <row r="1551" spans="3:4" x14ac:dyDescent="0.3">
      <c r="C1551" s="1" t="s">
        <v>1778</v>
      </c>
      <c r="D1551" s="1" t="s">
        <v>29</v>
      </c>
    </row>
    <row r="1552" spans="3:4" x14ac:dyDescent="0.3">
      <c r="C1552" s="1" t="s">
        <v>1779</v>
      </c>
      <c r="D1552" s="1" t="s">
        <v>29</v>
      </c>
    </row>
    <row r="1553" spans="3:4" x14ac:dyDescent="0.3">
      <c r="C1553" s="1" t="s">
        <v>1780</v>
      </c>
      <c r="D1553" s="1" t="s">
        <v>29</v>
      </c>
    </row>
    <row r="1554" spans="3:4" x14ac:dyDescent="0.3">
      <c r="C1554" s="1" t="s">
        <v>1781</v>
      </c>
      <c r="D1554" s="1" t="s">
        <v>29</v>
      </c>
    </row>
    <row r="1555" spans="3:4" x14ac:dyDescent="0.3">
      <c r="C1555" s="1" t="s">
        <v>1782</v>
      </c>
      <c r="D1555" s="1" t="s">
        <v>29</v>
      </c>
    </row>
    <row r="1556" spans="3:4" x14ac:dyDescent="0.3">
      <c r="C1556" s="1" t="s">
        <v>1783</v>
      </c>
      <c r="D1556" s="1" t="s">
        <v>29</v>
      </c>
    </row>
    <row r="1557" spans="3:4" x14ac:dyDescent="0.3">
      <c r="C1557" s="1" t="s">
        <v>1784</v>
      </c>
      <c r="D1557" s="1" t="s">
        <v>29</v>
      </c>
    </row>
    <row r="1558" spans="3:4" x14ac:dyDescent="0.3">
      <c r="C1558" s="1" t="s">
        <v>1785</v>
      </c>
      <c r="D1558" s="1" t="s">
        <v>29</v>
      </c>
    </row>
    <row r="1559" spans="3:4" x14ac:dyDescent="0.3">
      <c r="C1559" s="1" t="s">
        <v>1786</v>
      </c>
      <c r="D1559" s="1" t="s">
        <v>29</v>
      </c>
    </row>
    <row r="1560" spans="3:4" x14ac:dyDescent="0.3">
      <c r="C1560" s="1" t="s">
        <v>1787</v>
      </c>
      <c r="D1560" s="1" t="s">
        <v>29</v>
      </c>
    </row>
    <row r="1561" spans="3:4" x14ac:dyDescent="0.3">
      <c r="C1561" s="1" t="s">
        <v>1788</v>
      </c>
      <c r="D1561" s="1" t="s">
        <v>29</v>
      </c>
    </row>
    <row r="1562" spans="3:4" x14ac:dyDescent="0.3">
      <c r="C1562" s="1" t="s">
        <v>1789</v>
      </c>
      <c r="D1562" s="1" t="s">
        <v>29</v>
      </c>
    </row>
    <row r="1563" spans="3:4" x14ac:dyDescent="0.3">
      <c r="C1563" s="1" t="s">
        <v>1790</v>
      </c>
      <c r="D1563" s="1" t="s">
        <v>29</v>
      </c>
    </row>
    <row r="1564" spans="3:4" x14ac:dyDescent="0.3">
      <c r="C1564" s="1" t="s">
        <v>1791</v>
      </c>
      <c r="D1564" s="1" t="s">
        <v>29</v>
      </c>
    </row>
    <row r="1565" spans="3:4" x14ac:dyDescent="0.3">
      <c r="C1565" s="1" t="s">
        <v>1792</v>
      </c>
      <c r="D1565" s="1" t="s">
        <v>29</v>
      </c>
    </row>
    <row r="1566" spans="3:4" x14ac:dyDescent="0.3">
      <c r="C1566" s="1" t="s">
        <v>1793</v>
      </c>
      <c r="D1566" s="1" t="s">
        <v>29</v>
      </c>
    </row>
    <row r="1567" spans="3:4" x14ac:dyDescent="0.3">
      <c r="C1567" s="1" t="s">
        <v>1794</v>
      </c>
      <c r="D1567" s="1" t="s">
        <v>29</v>
      </c>
    </row>
    <row r="1568" spans="3:4" x14ac:dyDescent="0.3">
      <c r="C1568" s="1" t="s">
        <v>1795</v>
      </c>
      <c r="D1568" s="1" t="s">
        <v>29</v>
      </c>
    </row>
    <row r="1569" spans="3:4" x14ac:dyDescent="0.3">
      <c r="C1569" s="1" t="s">
        <v>1796</v>
      </c>
      <c r="D1569" s="1" t="s">
        <v>29</v>
      </c>
    </row>
    <row r="1570" spans="3:4" x14ac:dyDescent="0.3">
      <c r="C1570" s="1" t="s">
        <v>1797</v>
      </c>
      <c r="D1570" s="1" t="s">
        <v>29</v>
      </c>
    </row>
    <row r="1571" spans="3:4" x14ac:dyDescent="0.3">
      <c r="C1571" s="1" t="s">
        <v>1798</v>
      </c>
      <c r="D1571" s="1" t="s">
        <v>29</v>
      </c>
    </row>
    <row r="1572" spans="3:4" x14ac:dyDescent="0.3">
      <c r="C1572" s="1" t="s">
        <v>1799</v>
      </c>
      <c r="D1572" s="1" t="s">
        <v>29</v>
      </c>
    </row>
    <row r="1573" spans="3:4" x14ac:dyDescent="0.3">
      <c r="C1573" s="1" t="s">
        <v>1800</v>
      </c>
      <c r="D1573" s="1" t="s">
        <v>29</v>
      </c>
    </row>
    <row r="1574" spans="3:4" x14ac:dyDescent="0.3">
      <c r="C1574" s="1" t="s">
        <v>1801</v>
      </c>
      <c r="D1574" s="1" t="s">
        <v>29</v>
      </c>
    </row>
    <row r="1575" spans="3:4" x14ac:dyDescent="0.3">
      <c r="C1575" s="1" t="s">
        <v>1802</v>
      </c>
      <c r="D1575" s="1" t="s">
        <v>29</v>
      </c>
    </row>
    <row r="1576" spans="3:4" x14ac:dyDescent="0.3">
      <c r="C1576" s="1" t="s">
        <v>1803</v>
      </c>
      <c r="D1576" s="1" t="s">
        <v>29</v>
      </c>
    </row>
    <row r="1577" spans="3:4" x14ac:dyDescent="0.3">
      <c r="C1577" s="1" t="s">
        <v>1804</v>
      </c>
      <c r="D1577" s="1" t="s">
        <v>29</v>
      </c>
    </row>
    <row r="1578" spans="3:4" x14ac:dyDescent="0.3">
      <c r="C1578" s="1" t="s">
        <v>1805</v>
      </c>
      <c r="D1578" s="1" t="s">
        <v>29</v>
      </c>
    </row>
    <row r="1579" spans="3:4" x14ac:dyDescent="0.3">
      <c r="C1579" s="1" t="s">
        <v>1806</v>
      </c>
      <c r="D1579" s="1" t="s">
        <v>29</v>
      </c>
    </row>
    <row r="1580" spans="3:4" x14ac:dyDescent="0.3">
      <c r="C1580" s="1" t="s">
        <v>1807</v>
      </c>
      <c r="D1580" s="1" t="s">
        <v>29</v>
      </c>
    </row>
    <row r="1581" spans="3:4" x14ac:dyDescent="0.3">
      <c r="C1581" s="1" t="s">
        <v>1808</v>
      </c>
      <c r="D1581" s="1" t="s">
        <v>29</v>
      </c>
    </row>
    <row r="1582" spans="3:4" x14ac:dyDescent="0.3">
      <c r="C1582" s="1" t="s">
        <v>1809</v>
      </c>
      <c r="D1582" s="1" t="s">
        <v>29</v>
      </c>
    </row>
    <row r="1583" spans="3:4" x14ac:dyDescent="0.3">
      <c r="C1583" s="1" t="s">
        <v>1810</v>
      </c>
      <c r="D1583" s="1" t="s">
        <v>29</v>
      </c>
    </row>
    <row r="1584" spans="3:4" x14ac:dyDescent="0.3">
      <c r="C1584" s="1" t="s">
        <v>1811</v>
      </c>
      <c r="D1584" s="1" t="s">
        <v>29</v>
      </c>
    </row>
    <row r="1585" spans="3:4" x14ac:dyDescent="0.3">
      <c r="C1585" s="1" t="s">
        <v>1812</v>
      </c>
      <c r="D1585" s="1" t="s">
        <v>29</v>
      </c>
    </row>
    <row r="1586" spans="3:4" x14ac:dyDescent="0.3">
      <c r="C1586" s="1" t="s">
        <v>1813</v>
      </c>
      <c r="D1586" s="1" t="s">
        <v>29</v>
      </c>
    </row>
    <row r="1587" spans="3:4" x14ac:dyDescent="0.3">
      <c r="C1587" s="1" t="s">
        <v>1814</v>
      </c>
      <c r="D1587" s="1" t="s">
        <v>29</v>
      </c>
    </row>
    <row r="1588" spans="3:4" x14ac:dyDescent="0.3">
      <c r="C1588" s="1" t="s">
        <v>1815</v>
      </c>
      <c r="D1588" s="1" t="s">
        <v>29</v>
      </c>
    </row>
    <row r="1589" spans="3:4" x14ac:dyDescent="0.3">
      <c r="C1589" s="1" t="s">
        <v>1816</v>
      </c>
      <c r="D1589" s="1" t="s">
        <v>29</v>
      </c>
    </row>
    <row r="1590" spans="3:4" x14ac:dyDescent="0.3">
      <c r="C1590" s="1" t="s">
        <v>1817</v>
      </c>
      <c r="D1590" s="1" t="s">
        <v>29</v>
      </c>
    </row>
    <row r="1591" spans="3:4" x14ac:dyDescent="0.3">
      <c r="C1591" s="1" t="s">
        <v>1818</v>
      </c>
      <c r="D1591" s="1" t="s">
        <v>29</v>
      </c>
    </row>
    <row r="1592" spans="3:4" x14ac:dyDescent="0.3">
      <c r="C1592" s="1" t="s">
        <v>1819</v>
      </c>
      <c r="D1592" s="1" t="s">
        <v>29</v>
      </c>
    </row>
    <row r="1593" spans="3:4" x14ac:dyDescent="0.3">
      <c r="C1593" s="1" t="s">
        <v>1820</v>
      </c>
      <c r="D1593" s="1" t="s">
        <v>29</v>
      </c>
    </row>
    <row r="1594" spans="3:4" x14ac:dyDescent="0.3">
      <c r="C1594" s="1" t="s">
        <v>1821</v>
      </c>
      <c r="D1594" s="1" t="s">
        <v>29</v>
      </c>
    </row>
    <row r="1595" spans="3:4" x14ac:dyDescent="0.3">
      <c r="C1595" s="1" t="s">
        <v>1822</v>
      </c>
      <c r="D1595" s="1" t="s">
        <v>29</v>
      </c>
    </row>
    <row r="1596" spans="3:4" x14ac:dyDescent="0.3">
      <c r="C1596" s="1" t="s">
        <v>1823</v>
      </c>
      <c r="D1596" s="1" t="s">
        <v>29</v>
      </c>
    </row>
    <row r="1597" spans="3:4" x14ac:dyDescent="0.3">
      <c r="C1597" s="1" t="s">
        <v>1824</v>
      </c>
      <c r="D1597" s="1" t="s">
        <v>29</v>
      </c>
    </row>
    <row r="1598" spans="3:4" x14ac:dyDescent="0.3">
      <c r="C1598" s="1" t="s">
        <v>1825</v>
      </c>
      <c r="D1598" s="1" t="s">
        <v>29</v>
      </c>
    </row>
    <row r="1599" spans="3:4" x14ac:dyDescent="0.3">
      <c r="C1599" s="1" t="s">
        <v>1826</v>
      </c>
      <c r="D1599" s="1" t="s">
        <v>29</v>
      </c>
    </row>
    <row r="1600" spans="3:4" x14ac:dyDescent="0.3">
      <c r="C1600" s="1" t="s">
        <v>1827</v>
      </c>
      <c r="D1600" s="1" t="s">
        <v>29</v>
      </c>
    </row>
    <row r="1601" spans="3:4" x14ac:dyDescent="0.3">
      <c r="C1601" s="1" t="s">
        <v>1828</v>
      </c>
      <c r="D1601" s="1" t="s">
        <v>29</v>
      </c>
    </row>
    <row r="1602" spans="3:4" x14ac:dyDescent="0.3">
      <c r="C1602" s="1" t="s">
        <v>1829</v>
      </c>
      <c r="D1602" s="1" t="s">
        <v>29</v>
      </c>
    </row>
    <row r="1603" spans="3:4" x14ac:dyDescent="0.3">
      <c r="C1603" s="1" t="s">
        <v>1830</v>
      </c>
      <c r="D1603" s="1" t="s">
        <v>29</v>
      </c>
    </row>
    <row r="1604" spans="3:4" x14ac:dyDescent="0.3">
      <c r="C1604" s="1" t="s">
        <v>1831</v>
      </c>
      <c r="D1604" s="1" t="s">
        <v>29</v>
      </c>
    </row>
    <row r="1605" spans="3:4" x14ac:dyDescent="0.3">
      <c r="C1605" s="1" t="s">
        <v>1832</v>
      </c>
      <c r="D1605" s="1" t="s">
        <v>29</v>
      </c>
    </row>
    <row r="1606" spans="3:4" x14ac:dyDescent="0.3">
      <c r="C1606" s="1" t="s">
        <v>1833</v>
      </c>
      <c r="D1606" s="1" t="s">
        <v>29</v>
      </c>
    </row>
    <row r="1607" spans="3:4" x14ac:dyDescent="0.3">
      <c r="C1607" s="1" t="s">
        <v>1834</v>
      </c>
      <c r="D1607" s="1" t="s">
        <v>29</v>
      </c>
    </row>
    <row r="1608" spans="3:4" x14ac:dyDescent="0.3">
      <c r="C1608" s="1" t="s">
        <v>1835</v>
      </c>
      <c r="D1608" s="1" t="s">
        <v>29</v>
      </c>
    </row>
    <row r="1609" spans="3:4" x14ac:dyDescent="0.3">
      <c r="C1609" s="1" t="s">
        <v>1836</v>
      </c>
      <c r="D1609" s="1" t="s">
        <v>29</v>
      </c>
    </row>
    <row r="1610" spans="3:4" x14ac:dyDescent="0.3">
      <c r="C1610" s="1" t="s">
        <v>1837</v>
      </c>
      <c r="D1610" s="1" t="s">
        <v>29</v>
      </c>
    </row>
    <row r="1611" spans="3:4" x14ac:dyDescent="0.3">
      <c r="C1611" s="1" t="s">
        <v>1838</v>
      </c>
      <c r="D1611" s="1" t="s">
        <v>29</v>
      </c>
    </row>
    <row r="1612" spans="3:4" x14ac:dyDescent="0.3">
      <c r="C1612" s="1" t="s">
        <v>1839</v>
      </c>
      <c r="D1612" s="1" t="s">
        <v>29</v>
      </c>
    </row>
    <row r="1613" spans="3:4" x14ac:dyDescent="0.3">
      <c r="C1613" s="1" t="s">
        <v>1840</v>
      </c>
      <c r="D1613" s="1" t="s">
        <v>29</v>
      </c>
    </row>
    <row r="1614" spans="3:4" x14ac:dyDescent="0.3">
      <c r="C1614" s="1" t="s">
        <v>1841</v>
      </c>
      <c r="D1614" s="1" t="s">
        <v>29</v>
      </c>
    </row>
    <row r="1615" spans="3:4" x14ac:dyDescent="0.3">
      <c r="C1615" s="1" t="s">
        <v>1842</v>
      </c>
      <c r="D1615" s="1" t="s">
        <v>29</v>
      </c>
    </row>
    <row r="1616" spans="3:4" x14ac:dyDescent="0.3">
      <c r="C1616" s="1" t="s">
        <v>1843</v>
      </c>
      <c r="D1616" s="1" t="s">
        <v>29</v>
      </c>
    </row>
    <row r="1617" spans="3:4" x14ac:dyDescent="0.3">
      <c r="C1617" s="1" t="s">
        <v>1844</v>
      </c>
      <c r="D1617" s="1" t="s">
        <v>29</v>
      </c>
    </row>
    <row r="1618" spans="3:4" x14ac:dyDescent="0.3">
      <c r="C1618" s="1" t="s">
        <v>1845</v>
      </c>
      <c r="D1618" s="1" t="s">
        <v>29</v>
      </c>
    </row>
    <row r="1619" spans="3:4" x14ac:dyDescent="0.3">
      <c r="C1619" s="1" t="s">
        <v>1846</v>
      </c>
      <c r="D1619" s="1" t="s">
        <v>29</v>
      </c>
    </row>
    <row r="1620" spans="3:4" x14ac:dyDescent="0.3">
      <c r="C1620" s="1" t="s">
        <v>1847</v>
      </c>
      <c r="D1620" s="1" t="s">
        <v>29</v>
      </c>
    </row>
    <row r="1621" spans="3:4" x14ac:dyDescent="0.3">
      <c r="C1621" s="1" t="s">
        <v>1848</v>
      </c>
      <c r="D1621" s="1" t="s">
        <v>29</v>
      </c>
    </row>
    <row r="1622" spans="3:4" x14ac:dyDescent="0.3">
      <c r="C1622" s="1" t="s">
        <v>1849</v>
      </c>
      <c r="D1622" s="1" t="s">
        <v>29</v>
      </c>
    </row>
    <row r="1623" spans="3:4" x14ac:dyDescent="0.3">
      <c r="C1623" s="1" t="s">
        <v>1850</v>
      </c>
      <c r="D1623" s="1" t="s">
        <v>29</v>
      </c>
    </row>
    <row r="1624" spans="3:4" x14ac:dyDescent="0.3">
      <c r="C1624" s="1" t="s">
        <v>1851</v>
      </c>
      <c r="D1624" s="1" t="s">
        <v>29</v>
      </c>
    </row>
    <row r="1625" spans="3:4" x14ac:dyDescent="0.3">
      <c r="C1625" s="1" t="s">
        <v>1852</v>
      </c>
      <c r="D1625" s="1" t="s">
        <v>29</v>
      </c>
    </row>
    <row r="1626" spans="3:4" x14ac:dyDescent="0.3">
      <c r="C1626" s="1" t="s">
        <v>1853</v>
      </c>
      <c r="D1626" s="1" t="s">
        <v>29</v>
      </c>
    </row>
    <row r="1627" spans="3:4" x14ac:dyDescent="0.3">
      <c r="C1627" s="1" t="s">
        <v>1854</v>
      </c>
      <c r="D1627" s="1" t="s">
        <v>29</v>
      </c>
    </row>
    <row r="1628" spans="3:4" x14ac:dyDescent="0.3">
      <c r="C1628" s="1" t="s">
        <v>1855</v>
      </c>
      <c r="D1628" s="1" t="s">
        <v>29</v>
      </c>
    </row>
    <row r="1629" spans="3:4" x14ac:dyDescent="0.3">
      <c r="C1629" s="1" t="s">
        <v>1856</v>
      </c>
      <c r="D1629" s="1" t="s">
        <v>29</v>
      </c>
    </row>
    <row r="1630" spans="3:4" x14ac:dyDescent="0.3">
      <c r="C1630" s="1" t="s">
        <v>1857</v>
      </c>
      <c r="D1630" s="1" t="s">
        <v>29</v>
      </c>
    </row>
    <row r="1631" spans="3:4" x14ac:dyDescent="0.3">
      <c r="C1631" s="1" t="s">
        <v>1858</v>
      </c>
      <c r="D1631" s="1" t="s">
        <v>29</v>
      </c>
    </row>
    <row r="1632" spans="3:4" x14ac:dyDescent="0.3">
      <c r="C1632" s="1" t="s">
        <v>1859</v>
      </c>
      <c r="D1632" s="1" t="s">
        <v>29</v>
      </c>
    </row>
    <row r="1633" spans="3:4" x14ac:dyDescent="0.3">
      <c r="C1633" s="1" t="s">
        <v>1860</v>
      </c>
      <c r="D1633" s="1" t="s">
        <v>29</v>
      </c>
    </row>
    <row r="1634" spans="3:4" x14ac:dyDescent="0.3">
      <c r="C1634" s="1" t="s">
        <v>1861</v>
      </c>
      <c r="D1634" s="1" t="s">
        <v>29</v>
      </c>
    </row>
    <row r="1635" spans="3:4" x14ac:dyDescent="0.3">
      <c r="C1635" s="1" t="s">
        <v>1862</v>
      </c>
      <c r="D1635" s="1" t="s">
        <v>29</v>
      </c>
    </row>
    <row r="1636" spans="3:4" x14ac:dyDescent="0.3">
      <c r="C1636" s="1" t="s">
        <v>1863</v>
      </c>
      <c r="D1636" s="1" t="s">
        <v>29</v>
      </c>
    </row>
    <row r="1637" spans="3:4" x14ac:dyDescent="0.3">
      <c r="C1637" s="1" t="s">
        <v>1864</v>
      </c>
      <c r="D1637" s="1" t="s">
        <v>29</v>
      </c>
    </row>
    <row r="1638" spans="3:4" x14ac:dyDescent="0.3">
      <c r="C1638" s="1" t="s">
        <v>1865</v>
      </c>
      <c r="D1638" s="1" t="s">
        <v>29</v>
      </c>
    </row>
    <row r="1639" spans="3:4" x14ac:dyDescent="0.3">
      <c r="C1639" s="1" t="s">
        <v>1866</v>
      </c>
      <c r="D1639" s="1" t="s">
        <v>29</v>
      </c>
    </row>
    <row r="1640" spans="3:4" x14ac:dyDescent="0.3">
      <c r="C1640" s="1" t="s">
        <v>2842</v>
      </c>
      <c r="D1640" s="1" t="s">
        <v>29</v>
      </c>
    </row>
    <row r="1641" spans="3:4" x14ac:dyDescent="0.3">
      <c r="C1641" s="1" t="s">
        <v>1867</v>
      </c>
      <c r="D1641" s="1" t="s">
        <v>29</v>
      </c>
    </row>
    <row r="1642" spans="3:4" x14ac:dyDescent="0.3">
      <c r="C1642" s="1" t="s">
        <v>1868</v>
      </c>
      <c r="D1642" s="1" t="s">
        <v>29</v>
      </c>
    </row>
    <row r="1643" spans="3:4" x14ac:dyDescent="0.3">
      <c r="C1643" s="1" t="s">
        <v>1869</v>
      </c>
      <c r="D1643" s="1" t="s">
        <v>29</v>
      </c>
    </row>
    <row r="1644" spans="3:4" x14ac:dyDescent="0.3">
      <c r="C1644" s="1" t="s">
        <v>1870</v>
      </c>
      <c r="D1644" s="1" t="s">
        <v>29</v>
      </c>
    </row>
    <row r="1645" spans="3:4" x14ac:dyDescent="0.3">
      <c r="C1645" s="1" t="s">
        <v>2843</v>
      </c>
      <c r="D1645" s="1" t="s">
        <v>29</v>
      </c>
    </row>
    <row r="1646" spans="3:4" x14ac:dyDescent="0.3">
      <c r="C1646" s="1" t="s">
        <v>1871</v>
      </c>
      <c r="D1646" s="1" t="s">
        <v>29</v>
      </c>
    </row>
    <row r="1647" spans="3:4" x14ac:dyDescent="0.3">
      <c r="C1647" s="1" t="s">
        <v>1872</v>
      </c>
      <c r="D1647" s="1" t="s">
        <v>29</v>
      </c>
    </row>
    <row r="1648" spans="3:4" x14ac:dyDescent="0.3">
      <c r="C1648" s="1" t="s">
        <v>1873</v>
      </c>
      <c r="D1648" s="1" t="s">
        <v>29</v>
      </c>
    </row>
    <row r="1649" spans="3:4" x14ac:dyDescent="0.3">
      <c r="C1649" s="1" t="s">
        <v>1874</v>
      </c>
      <c r="D1649" s="1" t="s">
        <v>29</v>
      </c>
    </row>
    <row r="1650" spans="3:4" x14ac:dyDescent="0.3">
      <c r="C1650" s="1" t="s">
        <v>1875</v>
      </c>
      <c r="D1650" s="1" t="s">
        <v>29</v>
      </c>
    </row>
    <row r="1651" spans="3:4" x14ac:dyDescent="0.3">
      <c r="C1651" s="1" t="s">
        <v>1876</v>
      </c>
      <c r="D1651" s="1" t="s">
        <v>29</v>
      </c>
    </row>
    <row r="1652" spans="3:4" x14ac:dyDescent="0.3">
      <c r="C1652" s="1" t="s">
        <v>1877</v>
      </c>
      <c r="D1652" s="1" t="s">
        <v>29</v>
      </c>
    </row>
    <row r="1653" spans="3:4" x14ac:dyDescent="0.3">
      <c r="C1653" s="1" t="s">
        <v>1878</v>
      </c>
      <c r="D1653" s="1" t="s">
        <v>29</v>
      </c>
    </row>
    <row r="1654" spans="3:4" x14ac:dyDescent="0.3">
      <c r="C1654" s="1" t="s">
        <v>1879</v>
      </c>
      <c r="D1654" s="1" t="s">
        <v>29</v>
      </c>
    </row>
    <row r="1655" spans="3:4" x14ac:dyDescent="0.3">
      <c r="C1655" s="1" t="s">
        <v>1880</v>
      </c>
      <c r="D1655" s="1" t="s">
        <v>29</v>
      </c>
    </row>
    <row r="1656" spans="3:4" x14ac:dyDescent="0.3">
      <c r="C1656" s="1" t="s">
        <v>1881</v>
      </c>
      <c r="D1656" s="1" t="s">
        <v>29</v>
      </c>
    </row>
    <row r="1657" spans="3:4" x14ac:dyDescent="0.3">
      <c r="C1657" s="1" t="s">
        <v>1882</v>
      </c>
      <c r="D1657" s="1" t="s">
        <v>29</v>
      </c>
    </row>
    <row r="1658" spans="3:4" x14ac:dyDescent="0.3">
      <c r="C1658" s="1" t="s">
        <v>1883</v>
      </c>
      <c r="D1658" s="1" t="s">
        <v>29</v>
      </c>
    </row>
    <row r="1659" spans="3:4" x14ac:dyDescent="0.3">
      <c r="C1659" s="1" t="s">
        <v>1884</v>
      </c>
      <c r="D1659" s="1" t="s">
        <v>29</v>
      </c>
    </row>
    <row r="1660" spans="3:4" x14ac:dyDescent="0.3">
      <c r="C1660" s="1" t="s">
        <v>1885</v>
      </c>
      <c r="D1660" s="1" t="s">
        <v>29</v>
      </c>
    </row>
    <row r="1661" spans="3:4" x14ac:dyDescent="0.3">
      <c r="C1661" s="1" t="s">
        <v>1886</v>
      </c>
      <c r="D1661" s="1" t="s">
        <v>29</v>
      </c>
    </row>
    <row r="1662" spans="3:4" x14ac:dyDescent="0.3">
      <c r="C1662" s="1" t="s">
        <v>1887</v>
      </c>
      <c r="D1662" s="1" t="s">
        <v>29</v>
      </c>
    </row>
    <row r="1663" spans="3:4" x14ac:dyDescent="0.3">
      <c r="C1663" s="1" t="s">
        <v>1888</v>
      </c>
      <c r="D1663" s="1" t="s">
        <v>29</v>
      </c>
    </row>
    <row r="1664" spans="3:4" x14ac:dyDescent="0.3">
      <c r="C1664" s="1" t="s">
        <v>1889</v>
      </c>
      <c r="D1664" s="1" t="s">
        <v>29</v>
      </c>
    </row>
    <row r="1665" spans="3:4" x14ac:dyDescent="0.3">
      <c r="C1665" s="1" t="s">
        <v>1890</v>
      </c>
      <c r="D1665" s="1" t="s">
        <v>29</v>
      </c>
    </row>
    <row r="1666" spans="3:4" x14ac:dyDescent="0.3">
      <c r="C1666" s="1" t="s">
        <v>1891</v>
      </c>
      <c r="D1666" s="1" t="s">
        <v>29</v>
      </c>
    </row>
    <row r="1667" spans="3:4" x14ac:dyDescent="0.3">
      <c r="C1667" s="1" t="s">
        <v>1892</v>
      </c>
      <c r="D1667" s="1" t="s">
        <v>29</v>
      </c>
    </row>
    <row r="1668" spans="3:4" x14ac:dyDescent="0.3">
      <c r="C1668" s="1" t="s">
        <v>1893</v>
      </c>
      <c r="D1668" s="1" t="s">
        <v>29</v>
      </c>
    </row>
    <row r="1669" spans="3:4" x14ac:dyDescent="0.3">
      <c r="C1669" s="1" t="s">
        <v>1894</v>
      </c>
      <c r="D1669" s="1" t="s">
        <v>29</v>
      </c>
    </row>
    <row r="1670" spans="3:4" x14ac:dyDescent="0.3">
      <c r="C1670" s="1" t="s">
        <v>1895</v>
      </c>
      <c r="D1670" s="1" t="s">
        <v>29</v>
      </c>
    </row>
    <row r="1671" spans="3:4" x14ac:dyDescent="0.3">
      <c r="C1671" s="1" t="s">
        <v>1896</v>
      </c>
      <c r="D1671" s="1" t="s">
        <v>29</v>
      </c>
    </row>
    <row r="1672" spans="3:4" x14ac:dyDescent="0.3">
      <c r="C1672" s="1" t="s">
        <v>1897</v>
      </c>
      <c r="D1672" s="1" t="s">
        <v>29</v>
      </c>
    </row>
    <row r="1673" spans="3:4" x14ac:dyDescent="0.3">
      <c r="C1673" s="1" t="s">
        <v>1898</v>
      </c>
      <c r="D1673" s="1" t="s">
        <v>29</v>
      </c>
    </row>
    <row r="1674" spans="3:4" x14ac:dyDescent="0.3">
      <c r="C1674" s="1" t="s">
        <v>1899</v>
      </c>
      <c r="D1674" s="1" t="s">
        <v>29</v>
      </c>
    </row>
    <row r="1675" spans="3:4" x14ac:dyDescent="0.3">
      <c r="C1675" s="1" t="s">
        <v>1900</v>
      </c>
      <c r="D1675" s="1" t="s">
        <v>29</v>
      </c>
    </row>
    <row r="1676" spans="3:4" x14ac:dyDescent="0.3">
      <c r="C1676" s="1" t="s">
        <v>1901</v>
      </c>
      <c r="D1676" s="1" t="s">
        <v>29</v>
      </c>
    </row>
    <row r="1677" spans="3:4" x14ac:dyDescent="0.3">
      <c r="C1677" s="1" t="s">
        <v>1902</v>
      </c>
      <c r="D1677" s="1" t="s">
        <v>29</v>
      </c>
    </row>
    <row r="1678" spans="3:4" x14ac:dyDescent="0.3">
      <c r="C1678" s="1" t="s">
        <v>1903</v>
      </c>
      <c r="D1678" s="1" t="s">
        <v>29</v>
      </c>
    </row>
    <row r="1679" spans="3:4" x14ac:dyDescent="0.3">
      <c r="C1679" s="1" t="s">
        <v>1904</v>
      </c>
      <c r="D1679" s="1" t="s">
        <v>29</v>
      </c>
    </row>
    <row r="1680" spans="3:4" x14ac:dyDescent="0.3">
      <c r="C1680" s="1" t="s">
        <v>1905</v>
      </c>
      <c r="D1680" s="1" t="s">
        <v>29</v>
      </c>
    </row>
    <row r="1681" spans="3:4" x14ac:dyDescent="0.3">
      <c r="C1681" s="1" t="s">
        <v>1906</v>
      </c>
      <c r="D1681" s="1" t="s">
        <v>29</v>
      </c>
    </row>
    <row r="1682" spans="3:4" x14ac:dyDescent="0.3">
      <c r="C1682" s="1" t="s">
        <v>1907</v>
      </c>
      <c r="D1682" s="1" t="s">
        <v>29</v>
      </c>
    </row>
    <row r="1683" spans="3:4" x14ac:dyDescent="0.3">
      <c r="C1683" s="1" t="s">
        <v>1908</v>
      </c>
      <c r="D1683" s="1" t="s">
        <v>29</v>
      </c>
    </row>
    <row r="1684" spans="3:4" x14ac:dyDescent="0.3">
      <c r="C1684" s="1" t="s">
        <v>1909</v>
      </c>
      <c r="D1684" s="1" t="s">
        <v>29</v>
      </c>
    </row>
    <row r="1685" spans="3:4" x14ac:dyDescent="0.3">
      <c r="C1685" s="1" t="s">
        <v>1910</v>
      </c>
      <c r="D1685" s="1" t="s">
        <v>29</v>
      </c>
    </row>
    <row r="1686" spans="3:4" x14ac:dyDescent="0.3">
      <c r="C1686" s="1" t="s">
        <v>1911</v>
      </c>
      <c r="D1686" s="1" t="s">
        <v>29</v>
      </c>
    </row>
    <row r="1687" spans="3:4" x14ac:dyDescent="0.3">
      <c r="C1687" s="1" t="s">
        <v>1912</v>
      </c>
      <c r="D1687" s="1" t="s">
        <v>29</v>
      </c>
    </row>
    <row r="1688" spans="3:4" x14ac:dyDescent="0.3">
      <c r="C1688" s="1" t="s">
        <v>1913</v>
      </c>
      <c r="D1688" s="1" t="s">
        <v>29</v>
      </c>
    </row>
    <row r="1689" spans="3:4" x14ac:dyDescent="0.3">
      <c r="C1689" s="1" t="s">
        <v>1914</v>
      </c>
      <c r="D1689" s="1" t="s">
        <v>29</v>
      </c>
    </row>
    <row r="1690" spans="3:4" x14ac:dyDescent="0.3">
      <c r="C1690" s="1" t="s">
        <v>1915</v>
      </c>
      <c r="D1690" s="1" t="s">
        <v>29</v>
      </c>
    </row>
    <row r="1691" spans="3:4" x14ac:dyDescent="0.3">
      <c r="C1691" s="1" t="s">
        <v>1916</v>
      </c>
      <c r="D1691" s="1" t="s">
        <v>29</v>
      </c>
    </row>
    <row r="1692" spans="3:4" x14ac:dyDescent="0.3">
      <c r="C1692" s="1" t="s">
        <v>1917</v>
      </c>
      <c r="D1692" s="1" t="s">
        <v>29</v>
      </c>
    </row>
    <row r="1693" spans="3:4" x14ac:dyDescent="0.3">
      <c r="C1693" s="1" t="s">
        <v>1918</v>
      </c>
      <c r="D1693" s="1" t="s">
        <v>29</v>
      </c>
    </row>
    <row r="1694" spans="3:4" x14ac:dyDescent="0.3">
      <c r="C1694" s="1" t="s">
        <v>1919</v>
      </c>
      <c r="D1694" s="1" t="s">
        <v>29</v>
      </c>
    </row>
    <row r="1695" spans="3:4" x14ac:dyDescent="0.3">
      <c r="C1695" s="1" t="s">
        <v>1920</v>
      </c>
      <c r="D1695" s="1" t="s">
        <v>29</v>
      </c>
    </row>
    <row r="1696" spans="3:4" x14ac:dyDescent="0.3">
      <c r="C1696" s="1" t="s">
        <v>1921</v>
      </c>
      <c r="D1696" s="1" t="s">
        <v>29</v>
      </c>
    </row>
    <row r="1697" spans="3:4" x14ac:dyDescent="0.3">
      <c r="C1697" s="1" t="s">
        <v>1922</v>
      </c>
      <c r="D1697" s="1" t="s">
        <v>29</v>
      </c>
    </row>
    <row r="1698" spans="3:4" x14ac:dyDescent="0.3">
      <c r="C1698" s="1" t="s">
        <v>1923</v>
      </c>
      <c r="D1698" s="1" t="s">
        <v>29</v>
      </c>
    </row>
    <row r="1699" spans="3:4" x14ac:dyDescent="0.3">
      <c r="C1699" s="1" t="s">
        <v>1924</v>
      </c>
      <c r="D1699" s="1" t="s">
        <v>29</v>
      </c>
    </row>
    <row r="1700" spans="3:4" x14ac:dyDescent="0.3">
      <c r="C1700" s="1" t="s">
        <v>1925</v>
      </c>
      <c r="D1700" s="1" t="s">
        <v>29</v>
      </c>
    </row>
    <row r="1701" spans="3:4" x14ac:dyDescent="0.3">
      <c r="C1701" s="1" t="s">
        <v>1926</v>
      </c>
      <c r="D1701" s="1" t="s">
        <v>29</v>
      </c>
    </row>
    <row r="1702" spans="3:4" x14ac:dyDescent="0.3">
      <c r="C1702" s="1" t="s">
        <v>1927</v>
      </c>
      <c r="D1702" s="1" t="s">
        <v>29</v>
      </c>
    </row>
    <row r="1703" spans="3:4" x14ac:dyDescent="0.3">
      <c r="C1703" s="1" t="s">
        <v>1928</v>
      </c>
      <c r="D1703" s="1" t="s">
        <v>29</v>
      </c>
    </row>
    <row r="1704" spans="3:4" x14ac:dyDescent="0.3">
      <c r="C1704" s="1" t="s">
        <v>1929</v>
      </c>
      <c r="D1704" s="1" t="s">
        <v>29</v>
      </c>
    </row>
    <row r="1705" spans="3:4" x14ac:dyDescent="0.3">
      <c r="C1705" s="1" t="s">
        <v>1930</v>
      </c>
      <c r="D1705" s="1" t="s">
        <v>29</v>
      </c>
    </row>
    <row r="1706" spans="3:4" x14ac:dyDescent="0.3">
      <c r="C1706" s="1" t="s">
        <v>1931</v>
      </c>
      <c r="D1706" s="1" t="s">
        <v>29</v>
      </c>
    </row>
    <row r="1707" spans="3:4" x14ac:dyDescent="0.3">
      <c r="C1707" s="1" t="s">
        <v>1932</v>
      </c>
      <c r="D1707" s="1" t="s">
        <v>29</v>
      </c>
    </row>
    <row r="1708" spans="3:4" x14ac:dyDescent="0.3">
      <c r="C1708" s="1" t="s">
        <v>1933</v>
      </c>
      <c r="D1708" s="1" t="s">
        <v>29</v>
      </c>
    </row>
    <row r="1709" spans="3:4" x14ac:dyDescent="0.3">
      <c r="C1709" s="1" t="s">
        <v>1934</v>
      </c>
      <c r="D1709" s="1" t="s">
        <v>29</v>
      </c>
    </row>
    <row r="1710" spans="3:4" x14ac:dyDescent="0.3">
      <c r="C1710" s="1" t="s">
        <v>1935</v>
      </c>
      <c r="D1710" s="1" t="s">
        <v>29</v>
      </c>
    </row>
    <row r="1711" spans="3:4" x14ac:dyDescent="0.3">
      <c r="C1711" s="1" t="s">
        <v>1936</v>
      </c>
      <c r="D1711" s="1" t="s">
        <v>29</v>
      </c>
    </row>
    <row r="1712" spans="3:4" x14ac:dyDescent="0.3">
      <c r="C1712" s="1" t="s">
        <v>1937</v>
      </c>
      <c r="D1712" s="1" t="s">
        <v>1938</v>
      </c>
    </row>
    <row r="1713" spans="3:4" x14ac:dyDescent="0.3">
      <c r="C1713" s="1" t="s">
        <v>1939</v>
      </c>
      <c r="D1713" s="1" t="s">
        <v>1938</v>
      </c>
    </row>
    <row r="1714" spans="3:4" x14ac:dyDescent="0.3">
      <c r="C1714" s="1" t="s">
        <v>1940</v>
      </c>
      <c r="D1714" s="1" t="s">
        <v>1938</v>
      </c>
    </row>
    <row r="1715" spans="3:4" x14ac:dyDescent="0.3">
      <c r="C1715" s="1" t="s">
        <v>1941</v>
      </c>
      <c r="D1715" s="1" t="s">
        <v>1938</v>
      </c>
    </row>
    <row r="1716" spans="3:4" x14ac:dyDescent="0.3">
      <c r="C1716" s="1" t="s">
        <v>1942</v>
      </c>
      <c r="D1716" s="1" t="s">
        <v>1938</v>
      </c>
    </row>
    <row r="1717" spans="3:4" x14ac:dyDescent="0.3">
      <c r="C1717" s="1" t="s">
        <v>1943</v>
      </c>
      <c r="D1717" s="1" t="s">
        <v>1938</v>
      </c>
    </row>
    <row r="1718" spans="3:4" x14ac:dyDescent="0.3">
      <c r="C1718" s="1" t="s">
        <v>1944</v>
      </c>
      <c r="D1718" s="1" t="s">
        <v>1938</v>
      </c>
    </row>
    <row r="1719" spans="3:4" x14ac:dyDescent="0.3">
      <c r="C1719" s="1" t="s">
        <v>1945</v>
      </c>
      <c r="D1719" s="1" t="s">
        <v>1938</v>
      </c>
    </row>
    <row r="1720" spans="3:4" x14ac:dyDescent="0.3">
      <c r="C1720" s="1" t="s">
        <v>1946</v>
      </c>
      <c r="D1720" s="1" t="s">
        <v>1938</v>
      </c>
    </row>
    <row r="1721" spans="3:4" x14ac:dyDescent="0.3">
      <c r="C1721" s="1" t="s">
        <v>1947</v>
      </c>
      <c r="D1721" s="1" t="s">
        <v>1938</v>
      </c>
    </row>
    <row r="1722" spans="3:4" x14ac:dyDescent="0.3">
      <c r="C1722" s="1" t="s">
        <v>1948</v>
      </c>
      <c r="D1722" s="1" t="s">
        <v>1938</v>
      </c>
    </row>
    <row r="1723" spans="3:4" x14ac:dyDescent="0.3">
      <c r="C1723" s="1" t="s">
        <v>1949</v>
      </c>
      <c r="D1723" s="1" t="s">
        <v>1938</v>
      </c>
    </row>
    <row r="1724" spans="3:4" x14ac:dyDescent="0.3">
      <c r="C1724" s="1" t="s">
        <v>1950</v>
      </c>
      <c r="D1724" s="1" t="s">
        <v>1938</v>
      </c>
    </row>
    <row r="1725" spans="3:4" x14ac:dyDescent="0.3">
      <c r="C1725" s="1" t="s">
        <v>1951</v>
      </c>
      <c r="D1725" s="1" t="s">
        <v>1938</v>
      </c>
    </row>
    <row r="1726" spans="3:4" x14ac:dyDescent="0.3">
      <c r="C1726" s="1" t="s">
        <v>1952</v>
      </c>
      <c r="D1726" s="1" t="s">
        <v>1938</v>
      </c>
    </row>
    <row r="1727" spans="3:4" x14ac:dyDescent="0.3">
      <c r="C1727" s="1" t="s">
        <v>1953</v>
      </c>
      <c r="D1727" s="1" t="s">
        <v>1938</v>
      </c>
    </row>
    <row r="1728" spans="3:4" x14ac:dyDescent="0.3">
      <c r="C1728" s="1" t="s">
        <v>1954</v>
      </c>
      <c r="D1728" s="1" t="s">
        <v>1938</v>
      </c>
    </row>
    <row r="1729" spans="3:4" x14ac:dyDescent="0.3">
      <c r="C1729" s="1" t="s">
        <v>1955</v>
      </c>
      <c r="D1729" s="1" t="s">
        <v>1938</v>
      </c>
    </row>
    <row r="1730" spans="3:4" x14ac:dyDescent="0.3">
      <c r="C1730" s="1" t="s">
        <v>1956</v>
      </c>
      <c r="D1730" s="1" t="s">
        <v>1938</v>
      </c>
    </row>
    <row r="1731" spans="3:4" x14ac:dyDescent="0.3">
      <c r="C1731" s="1" t="s">
        <v>1957</v>
      </c>
      <c r="D1731" s="1" t="s">
        <v>1938</v>
      </c>
    </row>
    <row r="1732" spans="3:4" x14ac:dyDescent="0.3">
      <c r="C1732" s="1" t="s">
        <v>1958</v>
      </c>
      <c r="D1732" s="1" t="s">
        <v>1938</v>
      </c>
    </row>
    <row r="1733" spans="3:4" x14ac:dyDescent="0.3">
      <c r="C1733" s="1" t="s">
        <v>1959</v>
      </c>
      <c r="D1733" s="1" t="s">
        <v>1938</v>
      </c>
    </row>
    <row r="1734" spans="3:4" x14ac:dyDescent="0.3">
      <c r="C1734" s="1" t="s">
        <v>1960</v>
      </c>
      <c r="D1734" s="1" t="s">
        <v>1938</v>
      </c>
    </row>
    <row r="1735" spans="3:4" x14ac:dyDescent="0.3">
      <c r="C1735" s="1" t="s">
        <v>1961</v>
      </c>
      <c r="D1735" s="1" t="s">
        <v>1938</v>
      </c>
    </row>
    <row r="1736" spans="3:4" x14ac:dyDescent="0.3">
      <c r="C1736" s="1" t="s">
        <v>1962</v>
      </c>
      <c r="D1736" s="1" t="s">
        <v>1938</v>
      </c>
    </row>
    <row r="1737" spans="3:4" x14ac:dyDescent="0.3">
      <c r="C1737" s="1" t="s">
        <v>1963</v>
      </c>
      <c r="D1737" s="1" t="s">
        <v>1938</v>
      </c>
    </row>
    <row r="1738" spans="3:4" x14ac:dyDescent="0.3">
      <c r="C1738" s="1" t="s">
        <v>1964</v>
      </c>
      <c r="D1738" s="1" t="s">
        <v>1938</v>
      </c>
    </row>
    <row r="1739" spans="3:4" x14ac:dyDescent="0.3">
      <c r="C1739" s="1" t="s">
        <v>1965</v>
      </c>
      <c r="D1739" s="1" t="s">
        <v>1938</v>
      </c>
    </row>
    <row r="1740" spans="3:4" x14ac:dyDescent="0.3">
      <c r="C1740" s="1" t="s">
        <v>1966</v>
      </c>
      <c r="D1740" s="1" t="s">
        <v>1938</v>
      </c>
    </row>
    <row r="1741" spans="3:4" x14ac:dyDescent="0.3">
      <c r="C1741" s="1" t="s">
        <v>1967</v>
      </c>
      <c r="D1741" s="1" t="s">
        <v>1938</v>
      </c>
    </row>
    <row r="1742" spans="3:4" x14ac:dyDescent="0.3">
      <c r="C1742" s="1" t="s">
        <v>1968</v>
      </c>
      <c r="D1742" s="1" t="s">
        <v>1938</v>
      </c>
    </row>
    <row r="1743" spans="3:4" x14ac:dyDescent="0.3">
      <c r="C1743" s="1" t="s">
        <v>1969</v>
      </c>
      <c r="D1743" s="1" t="s">
        <v>1938</v>
      </c>
    </row>
    <row r="1744" spans="3:4" x14ac:dyDescent="0.3">
      <c r="C1744" s="1" t="s">
        <v>1970</v>
      </c>
      <c r="D1744" s="1" t="s">
        <v>1938</v>
      </c>
    </row>
    <row r="1745" spans="3:4" x14ac:dyDescent="0.3">
      <c r="C1745" s="1" t="s">
        <v>1971</v>
      </c>
      <c r="D1745" s="1" t="s">
        <v>1938</v>
      </c>
    </row>
    <row r="1746" spans="3:4" x14ac:dyDescent="0.3">
      <c r="C1746" s="1" t="s">
        <v>1972</v>
      </c>
      <c r="D1746" s="1" t="s">
        <v>1938</v>
      </c>
    </row>
    <row r="1747" spans="3:4" x14ac:dyDescent="0.3">
      <c r="C1747" s="1" t="s">
        <v>1973</v>
      </c>
      <c r="D1747" s="1" t="s">
        <v>1938</v>
      </c>
    </row>
    <row r="1748" spans="3:4" x14ac:dyDescent="0.3">
      <c r="C1748" s="1" t="s">
        <v>1974</v>
      </c>
      <c r="D1748" s="1" t="s">
        <v>1938</v>
      </c>
    </row>
    <row r="1749" spans="3:4" x14ac:dyDescent="0.3">
      <c r="C1749" s="1" t="s">
        <v>1975</v>
      </c>
      <c r="D1749" s="1" t="s">
        <v>1938</v>
      </c>
    </row>
    <row r="1750" spans="3:4" x14ac:dyDescent="0.3">
      <c r="C1750" s="1" t="s">
        <v>1976</v>
      </c>
      <c r="D1750" s="1" t="s">
        <v>1938</v>
      </c>
    </row>
    <row r="1751" spans="3:4" x14ac:dyDescent="0.3">
      <c r="C1751" s="1" t="s">
        <v>1977</v>
      </c>
      <c r="D1751" s="1" t="s">
        <v>1938</v>
      </c>
    </row>
    <row r="1752" spans="3:4" x14ac:dyDescent="0.3">
      <c r="C1752" s="1" t="s">
        <v>1978</v>
      </c>
      <c r="D1752" s="1" t="s">
        <v>1938</v>
      </c>
    </row>
    <row r="1753" spans="3:4" x14ac:dyDescent="0.3">
      <c r="C1753" s="1" t="s">
        <v>1979</v>
      </c>
      <c r="D1753" s="1" t="s">
        <v>1938</v>
      </c>
    </row>
    <row r="1754" spans="3:4" x14ac:dyDescent="0.3">
      <c r="C1754" s="1" t="s">
        <v>1980</v>
      </c>
      <c r="D1754" s="1" t="s">
        <v>1938</v>
      </c>
    </row>
    <row r="1755" spans="3:4" x14ac:dyDescent="0.3">
      <c r="C1755" s="1" t="s">
        <v>1981</v>
      </c>
      <c r="D1755" s="1" t="s">
        <v>1938</v>
      </c>
    </row>
    <row r="1756" spans="3:4" x14ac:dyDescent="0.3">
      <c r="C1756" s="1" t="s">
        <v>1982</v>
      </c>
      <c r="D1756" s="1" t="s">
        <v>1938</v>
      </c>
    </row>
    <row r="1757" spans="3:4" x14ac:dyDescent="0.3">
      <c r="C1757" s="1" t="s">
        <v>1983</v>
      </c>
      <c r="D1757" s="1" t="s">
        <v>1938</v>
      </c>
    </row>
    <row r="1758" spans="3:4" x14ac:dyDescent="0.3">
      <c r="C1758" s="1" t="s">
        <v>1984</v>
      </c>
      <c r="D1758" s="1" t="s">
        <v>1938</v>
      </c>
    </row>
    <row r="1759" spans="3:4" x14ac:dyDescent="0.3">
      <c r="C1759" s="1" t="s">
        <v>1985</v>
      </c>
      <c r="D1759" s="1" t="s">
        <v>1938</v>
      </c>
    </row>
    <row r="1760" spans="3:4" x14ac:dyDescent="0.3">
      <c r="C1760" s="1" t="s">
        <v>1986</v>
      </c>
      <c r="D1760" s="1" t="s">
        <v>1938</v>
      </c>
    </row>
    <row r="1761" spans="3:4" x14ac:dyDescent="0.3">
      <c r="C1761" s="1" t="s">
        <v>1987</v>
      </c>
      <c r="D1761" s="1" t="s">
        <v>1938</v>
      </c>
    </row>
    <row r="1762" spans="3:4" x14ac:dyDescent="0.3">
      <c r="C1762" s="1" t="s">
        <v>1988</v>
      </c>
      <c r="D1762" s="1" t="s">
        <v>1938</v>
      </c>
    </row>
    <row r="1763" spans="3:4" x14ac:dyDescent="0.3">
      <c r="C1763" s="1" t="s">
        <v>1989</v>
      </c>
      <c r="D1763" s="1" t="s">
        <v>1938</v>
      </c>
    </row>
    <row r="1764" spans="3:4" x14ac:dyDescent="0.3">
      <c r="C1764" s="1" t="s">
        <v>1990</v>
      </c>
      <c r="D1764" s="1" t="s">
        <v>1938</v>
      </c>
    </row>
    <row r="1765" spans="3:4" x14ac:dyDescent="0.3">
      <c r="C1765" s="1" t="s">
        <v>1991</v>
      </c>
      <c r="D1765" s="1" t="s">
        <v>1938</v>
      </c>
    </row>
    <row r="1766" spans="3:4" x14ac:dyDescent="0.3">
      <c r="C1766" s="1" t="s">
        <v>1992</v>
      </c>
      <c r="D1766" s="1" t="s">
        <v>1938</v>
      </c>
    </row>
    <row r="1767" spans="3:4" x14ac:dyDescent="0.3">
      <c r="C1767" s="1" t="s">
        <v>1993</v>
      </c>
      <c r="D1767" s="1" t="s">
        <v>1938</v>
      </c>
    </row>
    <row r="1768" spans="3:4" x14ac:dyDescent="0.3">
      <c r="C1768" s="1" t="s">
        <v>1994</v>
      </c>
      <c r="D1768" s="1" t="s">
        <v>1938</v>
      </c>
    </row>
    <row r="1769" spans="3:4" x14ac:dyDescent="0.3">
      <c r="C1769" s="1" t="s">
        <v>1995</v>
      </c>
      <c r="D1769" s="1" t="s">
        <v>1938</v>
      </c>
    </row>
    <row r="1770" spans="3:4" x14ac:dyDescent="0.3">
      <c r="C1770" s="1" t="s">
        <v>1996</v>
      </c>
      <c r="D1770" s="1" t="s">
        <v>1938</v>
      </c>
    </row>
    <row r="1771" spans="3:4" x14ac:dyDescent="0.3">
      <c r="C1771" s="1" t="s">
        <v>1997</v>
      </c>
      <c r="D1771" s="1" t="s">
        <v>1938</v>
      </c>
    </row>
    <row r="1772" spans="3:4" x14ac:dyDescent="0.3">
      <c r="C1772" s="1" t="s">
        <v>1998</v>
      </c>
      <c r="D1772" s="1" t="s">
        <v>1938</v>
      </c>
    </row>
    <row r="1773" spans="3:4" x14ac:dyDescent="0.3">
      <c r="C1773" s="1" t="s">
        <v>1999</v>
      </c>
      <c r="D1773" s="1" t="s">
        <v>1938</v>
      </c>
    </row>
    <row r="1774" spans="3:4" x14ac:dyDescent="0.3">
      <c r="C1774" s="1" t="s">
        <v>2000</v>
      </c>
      <c r="D1774" s="1" t="s">
        <v>1938</v>
      </c>
    </row>
    <row r="1775" spans="3:4" x14ac:dyDescent="0.3">
      <c r="C1775" s="1" t="s">
        <v>2001</v>
      </c>
      <c r="D1775" s="1" t="s">
        <v>1938</v>
      </c>
    </row>
    <row r="1776" spans="3:4" x14ac:dyDescent="0.3">
      <c r="C1776" s="1" t="s">
        <v>2002</v>
      </c>
      <c r="D1776" s="1" t="s">
        <v>1938</v>
      </c>
    </row>
    <row r="1777" spans="3:4" x14ac:dyDescent="0.3">
      <c r="C1777" s="1" t="s">
        <v>2003</v>
      </c>
      <c r="D1777" s="1" t="s">
        <v>1938</v>
      </c>
    </row>
    <row r="1778" spans="3:4" x14ac:dyDescent="0.3">
      <c r="C1778" s="1" t="s">
        <v>2004</v>
      </c>
      <c r="D1778" s="1" t="s">
        <v>29</v>
      </c>
    </row>
    <row r="1779" spans="3:4" x14ac:dyDescent="0.3">
      <c r="C1779" s="1" t="s">
        <v>2005</v>
      </c>
      <c r="D1779" s="1" t="s">
        <v>15</v>
      </c>
    </row>
    <row r="1780" spans="3:4" x14ac:dyDescent="0.3">
      <c r="C1780" s="1" t="s">
        <v>2006</v>
      </c>
      <c r="D1780" s="1" t="s">
        <v>14</v>
      </c>
    </row>
    <row r="1781" spans="3:4" x14ac:dyDescent="0.3">
      <c r="C1781" s="1" t="s">
        <v>276</v>
      </c>
      <c r="D1781" s="1" t="s">
        <v>14</v>
      </c>
    </row>
    <row r="1782" spans="3:4" x14ac:dyDescent="0.3">
      <c r="C1782" s="1" t="s">
        <v>88</v>
      </c>
      <c r="D1782" s="1" t="s">
        <v>13</v>
      </c>
    </row>
    <row r="1783" spans="3:4" x14ac:dyDescent="0.3">
      <c r="C1783" s="1" t="s">
        <v>2007</v>
      </c>
      <c r="D1783" s="1" t="s">
        <v>11</v>
      </c>
    </row>
    <row r="1784" spans="3:4" x14ac:dyDescent="0.3">
      <c r="C1784" s="1" t="s">
        <v>89</v>
      </c>
      <c r="D1784" s="1" t="s">
        <v>11</v>
      </c>
    </row>
    <row r="1785" spans="3:4" x14ac:dyDescent="0.3">
      <c r="C1785" s="1" t="s">
        <v>2008</v>
      </c>
      <c r="D1785" s="1" t="s">
        <v>11</v>
      </c>
    </row>
    <row r="1786" spans="3:4" x14ac:dyDescent="0.3">
      <c r="C1786" s="1" t="s">
        <v>2009</v>
      </c>
      <c r="D1786" s="1" t="s">
        <v>20</v>
      </c>
    </row>
    <row r="1787" spans="3:4" x14ac:dyDescent="0.3">
      <c r="C1787" s="1" t="s">
        <v>2010</v>
      </c>
      <c r="D1787" s="1" t="s">
        <v>14</v>
      </c>
    </row>
    <row r="1788" spans="3:4" x14ac:dyDescent="0.3">
      <c r="C1788" s="1" t="s">
        <v>2011</v>
      </c>
      <c r="D1788" s="1" t="s">
        <v>21</v>
      </c>
    </row>
    <row r="1789" spans="3:4" x14ac:dyDescent="0.3">
      <c r="C1789" s="1" t="s">
        <v>2012</v>
      </c>
      <c r="D1789" s="1" t="s">
        <v>11</v>
      </c>
    </row>
    <row r="1790" spans="3:4" x14ac:dyDescent="0.3">
      <c r="C1790" s="1" t="s">
        <v>2013</v>
      </c>
      <c r="D1790" s="1" t="s">
        <v>11</v>
      </c>
    </row>
    <row r="1791" spans="3:4" x14ac:dyDescent="0.3">
      <c r="C1791" s="1" t="s">
        <v>2014</v>
      </c>
      <c r="D1791" s="1" t="s">
        <v>15</v>
      </c>
    </row>
    <row r="1792" spans="3:4" x14ac:dyDescent="0.3">
      <c r="C1792" s="1" t="s">
        <v>2015</v>
      </c>
      <c r="D1792" s="1" t="s">
        <v>23</v>
      </c>
    </row>
    <row r="1793" spans="3:4" x14ac:dyDescent="0.3">
      <c r="C1793" s="1" t="s">
        <v>2016</v>
      </c>
      <c r="D1793" s="1" t="s">
        <v>24</v>
      </c>
    </row>
    <row r="1794" spans="3:4" x14ac:dyDescent="0.3">
      <c r="C1794" s="1" t="s">
        <v>2017</v>
      </c>
      <c r="D1794" s="1" t="s">
        <v>15</v>
      </c>
    </row>
    <row r="1795" spans="3:4" x14ac:dyDescent="0.3">
      <c r="C1795" s="1" t="s">
        <v>2018</v>
      </c>
      <c r="D1795" s="1" t="s">
        <v>20</v>
      </c>
    </row>
    <row r="1796" spans="3:4" x14ac:dyDescent="0.3">
      <c r="C1796" s="1" t="s">
        <v>2019</v>
      </c>
      <c r="D1796" s="1" t="s">
        <v>15</v>
      </c>
    </row>
    <row r="1797" spans="3:4" x14ac:dyDescent="0.3">
      <c r="C1797" s="1" t="s">
        <v>2020</v>
      </c>
      <c r="D1797" s="1" t="s">
        <v>24</v>
      </c>
    </row>
    <row r="1798" spans="3:4" x14ac:dyDescent="0.3">
      <c r="C1798" s="1" t="s">
        <v>2021</v>
      </c>
      <c r="D1798" s="1" t="s">
        <v>28</v>
      </c>
    </row>
    <row r="1799" spans="3:4" x14ac:dyDescent="0.3">
      <c r="C1799" s="1" t="s">
        <v>2022</v>
      </c>
      <c r="D1799" s="1" t="s">
        <v>28</v>
      </c>
    </row>
    <row r="1800" spans="3:4" x14ac:dyDescent="0.3">
      <c r="C1800" s="1" t="s">
        <v>2023</v>
      </c>
      <c r="D1800" s="1" t="s">
        <v>21</v>
      </c>
    </row>
    <row r="1801" spans="3:4" x14ac:dyDescent="0.3">
      <c r="C1801" s="1" t="s">
        <v>45</v>
      </c>
      <c r="D1801" s="1" t="s">
        <v>11</v>
      </c>
    </row>
    <row r="1802" spans="3:4" x14ac:dyDescent="0.3">
      <c r="C1802" s="1" t="s">
        <v>2024</v>
      </c>
      <c r="D1802" s="1" t="s">
        <v>11</v>
      </c>
    </row>
    <row r="1803" spans="3:4" x14ac:dyDescent="0.3">
      <c r="C1803" s="1" t="s">
        <v>2025</v>
      </c>
      <c r="D1803" s="1" t="s">
        <v>17</v>
      </c>
    </row>
    <row r="1804" spans="3:4" x14ac:dyDescent="0.3">
      <c r="C1804" s="1" t="s">
        <v>2026</v>
      </c>
      <c r="D1804" s="1" t="s">
        <v>11</v>
      </c>
    </row>
    <row r="1805" spans="3:4" x14ac:dyDescent="0.3">
      <c r="C1805" s="1" t="s">
        <v>2027</v>
      </c>
      <c r="D1805" s="1" t="s">
        <v>12</v>
      </c>
    </row>
    <row r="1806" spans="3:4" x14ac:dyDescent="0.3">
      <c r="C1806" s="1" t="s">
        <v>2028</v>
      </c>
      <c r="D1806" s="1" t="s">
        <v>15</v>
      </c>
    </row>
    <row r="1807" spans="3:4" x14ac:dyDescent="0.3">
      <c r="C1807" s="1" t="s">
        <v>90</v>
      </c>
      <c r="D1807" s="1" t="s">
        <v>26</v>
      </c>
    </row>
    <row r="1808" spans="3:4" x14ac:dyDescent="0.3">
      <c r="C1808" s="1" t="s">
        <v>2029</v>
      </c>
      <c r="D1808" s="1" t="s">
        <v>18</v>
      </c>
    </row>
    <row r="1809" spans="3:4" x14ac:dyDescent="0.3">
      <c r="C1809" s="1" t="s">
        <v>2030</v>
      </c>
      <c r="D1809" s="1" t="s">
        <v>15</v>
      </c>
    </row>
    <row r="1810" spans="3:4" x14ac:dyDescent="0.3">
      <c r="C1810" s="1" t="s">
        <v>91</v>
      </c>
      <c r="D1810" s="1" t="s">
        <v>22</v>
      </c>
    </row>
    <row r="1811" spans="3:4" x14ac:dyDescent="0.3">
      <c r="C1811" s="1" t="s">
        <v>2031</v>
      </c>
      <c r="D1811" s="1" t="s">
        <v>12</v>
      </c>
    </row>
    <row r="1812" spans="3:4" x14ac:dyDescent="0.3">
      <c r="C1812" s="1" t="s">
        <v>2032</v>
      </c>
      <c r="D1812" s="1" t="s">
        <v>14</v>
      </c>
    </row>
    <row r="1813" spans="3:4" x14ac:dyDescent="0.3">
      <c r="C1813" s="1" t="s">
        <v>2033</v>
      </c>
      <c r="D1813" s="1" t="s">
        <v>20</v>
      </c>
    </row>
    <row r="1814" spans="3:4" x14ac:dyDescent="0.3">
      <c r="C1814" s="1" t="s">
        <v>2034</v>
      </c>
      <c r="D1814" s="1" t="s">
        <v>17</v>
      </c>
    </row>
    <row r="1815" spans="3:4" x14ac:dyDescent="0.3">
      <c r="C1815" s="1" t="s">
        <v>2035</v>
      </c>
      <c r="D1815" s="1" t="s">
        <v>17</v>
      </c>
    </row>
    <row r="1816" spans="3:4" x14ac:dyDescent="0.3">
      <c r="C1816" s="1" t="s">
        <v>2036</v>
      </c>
      <c r="D1816" s="1" t="s">
        <v>24</v>
      </c>
    </row>
    <row r="1817" spans="3:4" x14ac:dyDescent="0.3">
      <c r="C1817" s="1" t="s">
        <v>2037</v>
      </c>
      <c r="D1817" s="1" t="s">
        <v>24</v>
      </c>
    </row>
    <row r="1818" spans="3:4" x14ac:dyDescent="0.3">
      <c r="C1818" s="1" t="s">
        <v>2038</v>
      </c>
      <c r="D1818" s="1" t="s">
        <v>12</v>
      </c>
    </row>
    <row r="1819" spans="3:4" x14ac:dyDescent="0.3">
      <c r="C1819" s="1" t="s">
        <v>2039</v>
      </c>
      <c r="D1819" s="1" t="s">
        <v>23</v>
      </c>
    </row>
    <row r="1820" spans="3:4" x14ac:dyDescent="0.3">
      <c r="C1820" s="1" t="s">
        <v>2040</v>
      </c>
      <c r="D1820" s="1" t="s">
        <v>23</v>
      </c>
    </row>
    <row r="1821" spans="3:4" x14ac:dyDescent="0.3">
      <c r="C1821" s="1" t="s">
        <v>2041</v>
      </c>
      <c r="D1821" s="1" t="s">
        <v>21</v>
      </c>
    </row>
    <row r="1822" spans="3:4" x14ac:dyDescent="0.3">
      <c r="C1822" s="1" t="s">
        <v>2042</v>
      </c>
      <c r="D1822" s="1" t="s">
        <v>11</v>
      </c>
    </row>
    <row r="1823" spans="3:4" x14ac:dyDescent="0.3">
      <c r="C1823" s="1" t="s">
        <v>2043</v>
      </c>
      <c r="D1823" s="1" t="s">
        <v>14</v>
      </c>
    </row>
    <row r="1824" spans="3:4" x14ac:dyDescent="0.3">
      <c r="C1824" s="1" t="s">
        <v>2044</v>
      </c>
      <c r="D1824" s="1" t="s">
        <v>17</v>
      </c>
    </row>
    <row r="1825" spans="3:4" x14ac:dyDescent="0.3">
      <c r="C1825" s="1" t="s">
        <v>2045</v>
      </c>
      <c r="D1825" s="1" t="s">
        <v>18</v>
      </c>
    </row>
    <row r="1826" spans="3:4" x14ac:dyDescent="0.3">
      <c r="C1826" s="1" t="s">
        <v>2046</v>
      </c>
      <c r="D1826" s="1" t="s">
        <v>20</v>
      </c>
    </row>
    <row r="1827" spans="3:4" x14ac:dyDescent="0.3">
      <c r="C1827" s="1" t="s">
        <v>2047</v>
      </c>
      <c r="D1827" s="1" t="s">
        <v>14</v>
      </c>
    </row>
    <row r="1828" spans="3:4" x14ac:dyDescent="0.3">
      <c r="C1828" s="1" t="s">
        <v>2048</v>
      </c>
      <c r="D1828" s="1" t="s">
        <v>15</v>
      </c>
    </row>
    <row r="1829" spans="3:4" x14ac:dyDescent="0.3">
      <c r="C1829" s="1" t="s">
        <v>2049</v>
      </c>
      <c r="D1829" s="1" t="s">
        <v>11</v>
      </c>
    </row>
    <row r="1830" spans="3:4" x14ac:dyDescent="0.3">
      <c r="C1830" s="1" t="s">
        <v>2050</v>
      </c>
      <c r="D1830" s="1" t="s">
        <v>13</v>
      </c>
    </row>
    <row r="1831" spans="3:4" x14ac:dyDescent="0.3">
      <c r="C1831" s="1" t="s">
        <v>2051</v>
      </c>
      <c r="D1831" s="1" t="s">
        <v>11</v>
      </c>
    </row>
    <row r="1832" spans="3:4" x14ac:dyDescent="0.3">
      <c r="C1832" s="1" t="s">
        <v>2052</v>
      </c>
      <c r="D1832" s="1" t="s">
        <v>14</v>
      </c>
    </row>
    <row r="1833" spans="3:4" x14ac:dyDescent="0.3">
      <c r="C1833" s="1" t="s">
        <v>2053</v>
      </c>
      <c r="D1833" s="1" t="s">
        <v>23</v>
      </c>
    </row>
    <row r="1834" spans="3:4" x14ac:dyDescent="0.3">
      <c r="C1834" s="1" t="s">
        <v>2054</v>
      </c>
      <c r="D1834" s="1" t="s">
        <v>12</v>
      </c>
    </row>
    <row r="1835" spans="3:4" x14ac:dyDescent="0.3">
      <c r="C1835" s="1" t="s">
        <v>2055</v>
      </c>
      <c r="D1835" s="1" t="s">
        <v>14</v>
      </c>
    </row>
    <row r="1836" spans="3:4" x14ac:dyDescent="0.3">
      <c r="C1836" s="1" t="s">
        <v>2056</v>
      </c>
      <c r="D1836" s="1" t="s">
        <v>11</v>
      </c>
    </row>
    <row r="1837" spans="3:4" x14ac:dyDescent="0.3">
      <c r="C1837" s="1" t="s">
        <v>2057</v>
      </c>
      <c r="D1837" s="1" t="s">
        <v>15</v>
      </c>
    </row>
    <row r="1838" spans="3:4" x14ac:dyDescent="0.3">
      <c r="C1838" s="1" t="s">
        <v>2058</v>
      </c>
      <c r="D1838" s="1" t="s">
        <v>15</v>
      </c>
    </row>
    <row r="1839" spans="3:4" x14ac:dyDescent="0.3">
      <c r="C1839" s="1" t="s">
        <v>2059</v>
      </c>
      <c r="D1839" s="1" t="s">
        <v>13</v>
      </c>
    </row>
    <row r="1840" spans="3:4" x14ac:dyDescent="0.3">
      <c r="C1840" s="1" t="s">
        <v>2060</v>
      </c>
      <c r="D1840" s="1" t="s">
        <v>22</v>
      </c>
    </row>
    <row r="1841" spans="3:4" x14ac:dyDescent="0.3">
      <c r="C1841" s="1" t="s">
        <v>2061</v>
      </c>
      <c r="D1841" s="1" t="s">
        <v>15</v>
      </c>
    </row>
    <row r="1842" spans="3:4" x14ac:dyDescent="0.3">
      <c r="C1842" s="1" t="s">
        <v>2062</v>
      </c>
      <c r="D1842" s="1" t="s">
        <v>15</v>
      </c>
    </row>
    <row r="1843" spans="3:4" x14ac:dyDescent="0.3">
      <c r="C1843" s="1" t="s">
        <v>2063</v>
      </c>
      <c r="D1843" s="1" t="s">
        <v>12</v>
      </c>
    </row>
    <row r="1844" spans="3:4" x14ac:dyDescent="0.3">
      <c r="C1844" s="1" t="s">
        <v>2064</v>
      </c>
      <c r="D1844" s="1" t="s">
        <v>24</v>
      </c>
    </row>
    <row r="1845" spans="3:4" x14ac:dyDescent="0.3">
      <c r="C1845" s="1" t="s">
        <v>2065</v>
      </c>
      <c r="D1845" s="1" t="s">
        <v>26</v>
      </c>
    </row>
    <row r="1846" spans="3:4" x14ac:dyDescent="0.3">
      <c r="C1846" s="1" t="s">
        <v>2066</v>
      </c>
      <c r="D1846" s="1" t="s">
        <v>12</v>
      </c>
    </row>
    <row r="1847" spans="3:4" x14ac:dyDescent="0.3">
      <c r="C1847" s="1" t="s">
        <v>2067</v>
      </c>
      <c r="D1847" s="1" t="s">
        <v>12</v>
      </c>
    </row>
    <row r="1848" spans="3:4" x14ac:dyDescent="0.3">
      <c r="C1848" s="1" t="s">
        <v>2068</v>
      </c>
      <c r="D1848" s="1" t="s">
        <v>15</v>
      </c>
    </row>
    <row r="1849" spans="3:4" x14ac:dyDescent="0.3">
      <c r="C1849" s="1" t="s">
        <v>2069</v>
      </c>
      <c r="D1849" s="1" t="s">
        <v>15</v>
      </c>
    </row>
    <row r="1850" spans="3:4" x14ac:dyDescent="0.3">
      <c r="C1850" s="1" t="s">
        <v>2070</v>
      </c>
      <c r="D1850" s="1" t="s">
        <v>15</v>
      </c>
    </row>
    <row r="1851" spans="3:4" x14ac:dyDescent="0.3">
      <c r="C1851" s="1" t="s">
        <v>2071</v>
      </c>
      <c r="D1851" s="1" t="s">
        <v>17</v>
      </c>
    </row>
    <row r="1852" spans="3:4" x14ac:dyDescent="0.3">
      <c r="C1852" s="1" t="s">
        <v>2072</v>
      </c>
      <c r="D1852" s="1" t="s">
        <v>24</v>
      </c>
    </row>
    <row r="1853" spans="3:4" x14ac:dyDescent="0.3">
      <c r="C1853" s="1" t="s">
        <v>2073</v>
      </c>
      <c r="D1853" s="1" t="s">
        <v>22</v>
      </c>
    </row>
    <row r="1854" spans="3:4" x14ac:dyDescent="0.3">
      <c r="C1854" s="1" t="s">
        <v>2074</v>
      </c>
      <c r="D1854" s="1" t="s">
        <v>11</v>
      </c>
    </row>
    <row r="1855" spans="3:4" x14ac:dyDescent="0.3">
      <c r="C1855" s="1" t="s">
        <v>2075</v>
      </c>
      <c r="D1855" s="1" t="s">
        <v>27</v>
      </c>
    </row>
    <row r="1856" spans="3:4" x14ac:dyDescent="0.3">
      <c r="C1856" s="1" t="s">
        <v>2076</v>
      </c>
      <c r="D1856" s="1" t="s">
        <v>14</v>
      </c>
    </row>
    <row r="1857" spans="3:4" x14ac:dyDescent="0.3">
      <c r="C1857" s="1" t="s">
        <v>2077</v>
      </c>
      <c r="D1857" s="1" t="s">
        <v>23</v>
      </c>
    </row>
    <row r="1858" spans="3:4" x14ac:dyDescent="0.3">
      <c r="C1858" s="1" t="s">
        <v>2078</v>
      </c>
      <c r="D1858" s="1" t="s">
        <v>14</v>
      </c>
    </row>
    <row r="1859" spans="3:4" x14ac:dyDescent="0.3">
      <c r="C1859" s="1" t="s">
        <v>2079</v>
      </c>
      <c r="D1859" s="1" t="s">
        <v>14</v>
      </c>
    </row>
    <row r="1860" spans="3:4" x14ac:dyDescent="0.3">
      <c r="C1860" s="1" t="s">
        <v>2080</v>
      </c>
      <c r="D1860" s="1" t="s">
        <v>21</v>
      </c>
    </row>
    <row r="1861" spans="3:4" x14ac:dyDescent="0.3">
      <c r="C1861" s="1" t="s">
        <v>2081</v>
      </c>
      <c r="D1861" s="1" t="s">
        <v>23</v>
      </c>
    </row>
    <row r="1862" spans="3:4" x14ac:dyDescent="0.3">
      <c r="C1862" s="1" t="s">
        <v>2082</v>
      </c>
      <c r="D1862" s="1" t="s">
        <v>27</v>
      </c>
    </row>
    <row r="1863" spans="3:4" x14ac:dyDescent="0.3">
      <c r="C1863" s="1" t="s">
        <v>2083</v>
      </c>
      <c r="D1863" s="1" t="s">
        <v>21</v>
      </c>
    </row>
    <row r="1864" spans="3:4" x14ac:dyDescent="0.3">
      <c r="C1864" s="1" t="s">
        <v>2084</v>
      </c>
      <c r="D1864" s="1" t="s">
        <v>21</v>
      </c>
    </row>
    <row r="1865" spans="3:4" x14ac:dyDescent="0.3">
      <c r="C1865" s="1" t="s">
        <v>2085</v>
      </c>
      <c r="D1865" s="1" t="s">
        <v>15</v>
      </c>
    </row>
    <row r="1866" spans="3:4" x14ac:dyDescent="0.3">
      <c r="C1866" s="1" t="s">
        <v>2086</v>
      </c>
      <c r="D1866" s="1" t="s">
        <v>17</v>
      </c>
    </row>
    <row r="1867" spans="3:4" x14ac:dyDescent="0.3">
      <c r="C1867" s="1" t="s">
        <v>2087</v>
      </c>
      <c r="D1867" s="1" t="s">
        <v>27</v>
      </c>
    </row>
    <row r="1868" spans="3:4" x14ac:dyDescent="0.3">
      <c r="C1868" s="1" t="s">
        <v>2088</v>
      </c>
      <c r="D1868" s="1" t="s">
        <v>17</v>
      </c>
    </row>
    <row r="1869" spans="3:4" x14ac:dyDescent="0.3">
      <c r="C1869" s="1" t="s">
        <v>2089</v>
      </c>
      <c r="D1869" s="1" t="s">
        <v>17</v>
      </c>
    </row>
    <row r="1870" spans="3:4" x14ac:dyDescent="0.3">
      <c r="C1870" s="1" t="s">
        <v>92</v>
      </c>
      <c r="D1870" s="1" t="s">
        <v>15</v>
      </c>
    </row>
    <row r="1871" spans="3:4" x14ac:dyDescent="0.3">
      <c r="C1871" s="1" t="s">
        <v>2090</v>
      </c>
      <c r="D1871" s="1" t="s">
        <v>22</v>
      </c>
    </row>
    <row r="1872" spans="3:4" x14ac:dyDescent="0.3">
      <c r="C1872" s="1" t="s">
        <v>2091</v>
      </c>
      <c r="D1872" s="1" t="s">
        <v>15</v>
      </c>
    </row>
    <row r="1873" spans="3:4" x14ac:dyDescent="0.3">
      <c r="C1873" s="1" t="s">
        <v>2092</v>
      </c>
      <c r="D1873" s="1" t="s">
        <v>22</v>
      </c>
    </row>
    <row r="1874" spans="3:4" x14ac:dyDescent="0.3">
      <c r="C1874" s="1" t="s">
        <v>2093</v>
      </c>
      <c r="D1874" s="1" t="s">
        <v>12</v>
      </c>
    </row>
    <row r="1875" spans="3:4" x14ac:dyDescent="0.3">
      <c r="C1875" s="1" t="s">
        <v>2094</v>
      </c>
      <c r="D1875" s="1" t="s">
        <v>15</v>
      </c>
    </row>
    <row r="1876" spans="3:4" x14ac:dyDescent="0.3">
      <c r="C1876" s="1" t="s">
        <v>2095</v>
      </c>
      <c r="D1876" s="1" t="s">
        <v>12</v>
      </c>
    </row>
    <row r="1877" spans="3:4" x14ac:dyDescent="0.3">
      <c r="C1877" s="1" t="s">
        <v>2096</v>
      </c>
      <c r="D1877" s="1" t="s">
        <v>17</v>
      </c>
    </row>
    <row r="1878" spans="3:4" x14ac:dyDescent="0.3">
      <c r="C1878" s="1" t="s">
        <v>2097</v>
      </c>
      <c r="D1878" s="1" t="s">
        <v>17</v>
      </c>
    </row>
    <row r="1879" spans="3:4" x14ac:dyDescent="0.3">
      <c r="C1879" s="1" t="s">
        <v>2098</v>
      </c>
      <c r="D1879" s="1" t="s">
        <v>23</v>
      </c>
    </row>
    <row r="1880" spans="3:4" x14ac:dyDescent="0.3">
      <c r="C1880" s="1" t="s">
        <v>2099</v>
      </c>
      <c r="D1880" s="1" t="s">
        <v>23</v>
      </c>
    </row>
    <row r="1881" spans="3:4" x14ac:dyDescent="0.3">
      <c r="C1881" s="1" t="s">
        <v>2100</v>
      </c>
      <c r="D1881" s="1" t="s">
        <v>24</v>
      </c>
    </row>
    <row r="1882" spans="3:4" x14ac:dyDescent="0.3">
      <c r="C1882" s="1" t="s">
        <v>2101</v>
      </c>
      <c r="D1882" s="1" t="s">
        <v>12</v>
      </c>
    </row>
    <row r="1883" spans="3:4" x14ac:dyDescent="0.3">
      <c r="C1883" s="1" t="s">
        <v>2102</v>
      </c>
      <c r="D1883" s="1" t="s">
        <v>15</v>
      </c>
    </row>
    <row r="1884" spans="3:4" x14ac:dyDescent="0.3">
      <c r="C1884" s="1" t="s">
        <v>2103</v>
      </c>
      <c r="D1884" s="1" t="s">
        <v>24</v>
      </c>
    </row>
    <row r="1885" spans="3:4" x14ac:dyDescent="0.3">
      <c r="C1885" s="1" t="s">
        <v>2104</v>
      </c>
      <c r="D1885" s="1" t="s">
        <v>22</v>
      </c>
    </row>
    <row r="1886" spans="3:4" x14ac:dyDescent="0.3">
      <c r="C1886" s="1" t="s">
        <v>2105</v>
      </c>
      <c r="D1886" s="1" t="s">
        <v>17</v>
      </c>
    </row>
    <row r="1887" spans="3:4" x14ac:dyDescent="0.3">
      <c r="C1887" s="1" t="s">
        <v>2106</v>
      </c>
      <c r="D1887" s="1" t="s">
        <v>17</v>
      </c>
    </row>
    <row r="1888" spans="3:4" x14ac:dyDescent="0.3">
      <c r="C1888" s="1" t="s">
        <v>2107</v>
      </c>
      <c r="D1888" s="1" t="s">
        <v>17</v>
      </c>
    </row>
    <row r="1889" spans="3:4" x14ac:dyDescent="0.3">
      <c r="C1889" s="1" t="s">
        <v>2108</v>
      </c>
      <c r="D1889" s="1" t="s">
        <v>17</v>
      </c>
    </row>
    <row r="1890" spans="3:4" x14ac:dyDescent="0.3">
      <c r="C1890" s="1" t="s">
        <v>2109</v>
      </c>
      <c r="D1890" s="1" t="s">
        <v>12</v>
      </c>
    </row>
    <row r="1891" spans="3:4" x14ac:dyDescent="0.3">
      <c r="C1891" s="1" t="s">
        <v>2110</v>
      </c>
      <c r="D1891" s="1" t="s">
        <v>11</v>
      </c>
    </row>
    <row r="1892" spans="3:4" x14ac:dyDescent="0.3">
      <c r="C1892" s="1" t="s">
        <v>93</v>
      </c>
      <c r="D1892" s="1" t="s">
        <v>11</v>
      </c>
    </row>
    <row r="1893" spans="3:4" x14ac:dyDescent="0.3">
      <c r="C1893" s="1" t="s">
        <v>2111</v>
      </c>
      <c r="D1893" s="1" t="s">
        <v>11</v>
      </c>
    </row>
    <row r="1894" spans="3:4" x14ac:dyDescent="0.3">
      <c r="C1894" s="1" t="s">
        <v>2112</v>
      </c>
      <c r="D1894" s="1" t="s">
        <v>15</v>
      </c>
    </row>
    <row r="1895" spans="3:4" x14ac:dyDescent="0.3">
      <c r="C1895" s="1" t="s">
        <v>2113</v>
      </c>
      <c r="D1895" s="1" t="s">
        <v>17</v>
      </c>
    </row>
    <row r="1896" spans="3:4" x14ac:dyDescent="0.3">
      <c r="C1896" s="1" t="s">
        <v>2114</v>
      </c>
      <c r="D1896" s="1" t="s">
        <v>16</v>
      </c>
    </row>
    <row r="1897" spans="3:4" x14ac:dyDescent="0.3">
      <c r="C1897" s="1" t="s">
        <v>2115</v>
      </c>
      <c r="D1897" s="1" t="s">
        <v>19</v>
      </c>
    </row>
    <row r="1898" spans="3:4" x14ac:dyDescent="0.3">
      <c r="C1898" s="1" t="s">
        <v>2116</v>
      </c>
      <c r="D1898" s="1" t="s">
        <v>23</v>
      </c>
    </row>
    <row r="1899" spans="3:4" x14ac:dyDescent="0.3">
      <c r="C1899" s="1" t="s">
        <v>2117</v>
      </c>
      <c r="D1899" s="1" t="s">
        <v>24</v>
      </c>
    </row>
    <row r="1900" spans="3:4" x14ac:dyDescent="0.3">
      <c r="C1900" s="1" t="s">
        <v>2118</v>
      </c>
      <c r="D1900" s="1" t="s">
        <v>14</v>
      </c>
    </row>
    <row r="1901" spans="3:4" x14ac:dyDescent="0.3">
      <c r="C1901" s="1" t="s">
        <v>2119</v>
      </c>
      <c r="D1901" s="1" t="s">
        <v>17</v>
      </c>
    </row>
    <row r="1902" spans="3:4" x14ac:dyDescent="0.3">
      <c r="C1902" s="1" t="s">
        <v>2120</v>
      </c>
      <c r="D1902" s="1" t="s">
        <v>17</v>
      </c>
    </row>
    <row r="1903" spans="3:4" x14ac:dyDescent="0.3">
      <c r="C1903" s="1" t="s">
        <v>2121</v>
      </c>
      <c r="D1903" s="1" t="s">
        <v>24</v>
      </c>
    </row>
    <row r="1904" spans="3:4" x14ac:dyDescent="0.3">
      <c r="C1904" s="1" t="s">
        <v>2122</v>
      </c>
      <c r="D1904" s="1" t="s">
        <v>28</v>
      </c>
    </row>
    <row r="1905" spans="3:4" x14ac:dyDescent="0.3">
      <c r="C1905" s="1" t="s">
        <v>2123</v>
      </c>
      <c r="D1905" s="1" t="s">
        <v>11</v>
      </c>
    </row>
    <row r="1906" spans="3:4" x14ac:dyDescent="0.3">
      <c r="C1906" s="1" t="s">
        <v>2124</v>
      </c>
      <c r="D1906" s="1" t="s">
        <v>15</v>
      </c>
    </row>
    <row r="1907" spans="3:4" x14ac:dyDescent="0.3">
      <c r="C1907" s="1" t="s">
        <v>2125</v>
      </c>
      <c r="D1907" s="1" t="s">
        <v>22</v>
      </c>
    </row>
    <row r="1908" spans="3:4" x14ac:dyDescent="0.3">
      <c r="C1908" s="1" t="s">
        <v>243</v>
      </c>
      <c r="D1908" s="1" t="s">
        <v>15</v>
      </c>
    </row>
    <row r="1909" spans="3:4" x14ac:dyDescent="0.3">
      <c r="C1909" s="1" t="s">
        <v>2126</v>
      </c>
      <c r="D1909" s="1" t="s">
        <v>17</v>
      </c>
    </row>
    <row r="1910" spans="3:4" x14ac:dyDescent="0.3">
      <c r="C1910" s="1" t="s">
        <v>2127</v>
      </c>
      <c r="D1910" s="1" t="s">
        <v>26</v>
      </c>
    </row>
    <row r="1911" spans="3:4" x14ac:dyDescent="0.3">
      <c r="C1911" s="1" t="s">
        <v>2128</v>
      </c>
      <c r="D1911" s="1" t="s">
        <v>15</v>
      </c>
    </row>
    <row r="1912" spans="3:4" x14ac:dyDescent="0.3">
      <c r="C1912" s="1" t="s">
        <v>2129</v>
      </c>
      <c r="D1912" s="1" t="s">
        <v>12</v>
      </c>
    </row>
    <row r="1913" spans="3:4" x14ac:dyDescent="0.3">
      <c r="C1913" s="1" t="s">
        <v>2130</v>
      </c>
      <c r="D1913" s="1" t="s">
        <v>15</v>
      </c>
    </row>
    <row r="1914" spans="3:4" x14ac:dyDescent="0.3">
      <c r="C1914" s="1" t="s">
        <v>2131</v>
      </c>
      <c r="D1914" s="1" t="s">
        <v>27</v>
      </c>
    </row>
    <row r="1915" spans="3:4" x14ac:dyDescent="0.3">
      <c r="C1915" s="1" t="s">
        <v>2132</v>
      </c>
      <c r="D1915" s="1" t="s">
        <v>13</v>
      </c>
    </row>
    <row r="1916" spans="3:4" x14ac:dyDescent="0.3">
      <c r="C1916" s="1" t="s">
        <v>2133</v>
      </c>
      <c r="D1916" s="1" t="s">
        <v>12</v>
      </c>
    </row>
    <row r="1917" spans="3:4" x14ac:dyDescent="0.3">
      <c r="C1917" s="1" t="s">
        <v>2134</v>
      </c>
      <c r="D1917" s="1" t="s">
        <v>17</v>
      </c>
    </row>
    <row r="1918" spans="3:4" x14ac:dyDescent="0.3">
      <c r="C1918" s="1" t="s">
        <v>2135</v>
      </c>
      <c r="D1918" s="1" t="s">
        <v>12</v>
      </c>
    </row>
    <row r="1919" spans="3:4" x14ac:dyDescent="0.3">
      <c r="C1919" s="1" t="s">
        <v>2136</v>
      </c>
      <c r="D1919" s="1" t="s">
        <v>20</v>
      </c>
    </row>
    <row r="1920" spans="3:4" x14ac:dyDescent="0.3">
      <c r="C1920" s="1" t="s">
        <v>2137</v>
      </c>
      <c r="D1920" s="1" t="s">
        <v>19</v>
      </c>
    </row>
    <row r="1921" spans="3:4" x14ac:dyDescent="0.3">
      <c r="C1921" s="1" t="s">
        <v>2138</v>
      </c>
      <c r="D1921" s="1" t="s">
        <v>14</v>
      </c>
    </row>
    <row r="1922" spans="3:4" x14ac:dyDescent="0.3">
      <c r="C1922" s="1" t="s">
        <v>2139</v>
      </c>
      <c r="D1922" s="1" t="s">
        <v>15</v>
      </c>
    </row>
    <row r="1923" spans="3:4" x14ac:dyDescent="0.3">
      <c r="C1923" s="1" t="s">
        <v>2140</v>
      </c>
      <c r="D1923" s="1" t="s">
        <v>26</v>
      </c>
    </row>
    <row r="1924" spans="3:4" x14ac:dyDescent="0.3">
      <c r="C1924" s="1" t="s">
        <v>2141</v>
      </c>
      <c r="D1924" s="1" t="s">
        <v>23</v>
      </c>
    </row>
    <row r="1925" spans="3:4" x14ac:dyDescent="0.3">
      <c r="C1925" s="1" t="s">
        <v>2142</v>
      </c>
      <c r="D1925" s="1" t="s">
        <v>17</v>
      </c>
    </row>
    <row r="1926" spans="3:4" x14ac:dyDescent="0.3">
      <c r="C1926" s="1" t="s">
        <v>2143</v>
      </c>
      <c r="D1926" s="1" t="s">
        <v>12</v>
      </c>
    </row>
    <row r="1927" spans="3:4" x14ac:dyDescent="0.3">
      <c r="C1927" s="1" t="s">
        <v>2144</v>
      </c>
      <c r="D1927" s="1" t="s">
        <v>26</v>
      </c>
    </row>
    <row r="1928" spans="3:4" x14ac:dyDescent="0.3">
      <c r="C1928" s="1" t="s">
        <v>2145</v>
      </c>
      <c r="D1928" s="1" t="s">
        <v>25</v>
      </c>
    </row>
    <row r="1929" spans="3:4" x14ac:dyDescent="0.3">
      <c r="C1929" s="1" t="s">
        <v>278</v>
      </c>
      <c r="D1929" s="1" t="s">
        <v>27</v>
      </c>
    </row>
    <row r="1930" spans="3:4" x14ac:dyDescent="0.3">
      <c r="C1930" s="1" t="s">
        <v>2146</v>
      </c>
      <c r="D1930" s="1" t="s">
        <v>28</v>
      </c>
    </row>
    <row r="1931" spans="3:4" x14ac:dyDescent="0.3">
      <c r="C1931" s="1" t="s">
        <v>2147</v>
      </c>
      <c r="D1931" s="1" t="s">
        <v>28</v>
      </c>
    </row>
    <row r="1932" spans="3:4" x14ac:dyDescent="0.3">
      <c r="C1932" s="1" t="s">
        <v>2148</v>
      </c>
      <c r="D1932" s="1" t="s">
        <v>12</v>
      </c>
    </row>
    <row r="1933" spans="3:4" x14ac:dyDescent="0.3">
      <c r="C1933" s="1" t="s">
        <v>2149</v>
      </c>
      <c r="D1933" s="1" t="s">
        <v>21</v>
      </c>
    </row>
    <row r="1934" spans="3:4" x14ac:dyDescent="0.3">
      <c r="C1934" s="1" t="s">
        <v>2150</v>
      </c>
      <c r="D1934" s="1" t="s">
        <v>25</v>
      </c>
    </row>
    <row r="1935" spans="3:4" x14ac:dyDescent="0.3">
      <c r="C1935" s="1" t="s">
        <v>2151</v>
      </c>
      <c r="D1935" s="1" t="s">
        <v>14</v>
      </c>
    </row>
    <row r="1936" spans="3:4" x14ac:dyDescent="0.3">
      <c r="C1936" s="1" t="s">
        <v>2152</v>
      </c>
      <c r="D1936" s="1" t="s">
        <v>23</v>
      </c>
    </row>
    <row r="1937" spans="3:4" x14ac:dyDescent="0.3">
      <c r="C1937" s="1" t="s">
        <v>2153</v>
      </c>
      <c r="D1937" s="1" t="s">
        <v>14</v>
      </c>
    </row>
    <row r="1938" spans="3:4" x14ac:dyDescent="0.3">
      <c r="C1938" s="1" t="s">
        <v>2154</v>
      </c>
      <c r="D1938" s="1" t="s">
        <v>12</v>
      </c>
    </row>
    <row r="1939" spans="3:4" x14ac:dyDescent="0.3">
      <c r="C1939" s="1" t="s">
        <v>2155</v>
      </c>
      <c r="D1939" s="1" t="s">
        <v>14</v>
      </c>
    </row>
    <row r="1940" spans="3:4" x14ac:dyDescent="0.3">
      <c r="C1940" s="1" t="s">
        <v>2156</v>
      </c>
      <c r="D1940" s="1" t="s">
        <v>24</v>
      </c>
    </row>
    <row r="1941" spans="3:4" x14ac:dyDescent="0.3">
      <c r="C1941" s="1" t="s">
        <v>2157</v>
      </c>
      <c r="D1941" s="1" t="s">
        <v>2158</v>
      </c>
    </row>
    <row r="1942" spans="3:4" x14ac:dyDescent="0.3">
      <c r="C1942" s="1" t="s">
        <v>2159</v>
      </c>
      <c r="D1942" s="1" t="s">
        <v>11</v>
      </c>
    </row>
    <row r="1943" spans="3:4" x14ac:dyDescent="0.3">
      <c r="C1943" s="1" t="s">
        <v>2160</v>
      </c>
      <c r="D1943" s="1" t="s">
        <v>26</v>
      </c>
    </row>
    <row r="1944" spans="3:4" x14ac:dyDescent="0.3">
      <c r="C1944" s="1" t="s">
        <v>2161</v>
      </c>
      <c r="D1944" s="1" t="s">
        <v>12</v>
      </c>
    </row>
    <row r="1945" spans="3:4" x14ac:dyDescent="0.3">
      <c r="C1945" s="1" t="s">
        <v>2162</v>
      </c>
      <c r="D1945" s="1" t="s">
        <v>24</v>
      </c>
    </row>
    <row r="1946" spans="3:4" x14ac:dyDescent="0.3">
      <c r="C1946" s="1" t="s">
        <v>2163</v>
      </c>
      <c r="D1946" s="1" t="s">
        <v>11</v>
      </c>
    </row>
    <row r="1947" spans="3:4" x14ac:dyDescent="0.3">
      <c r="C1947" s="1" t="s">
        <v>2164</v>
      </c>
      <c r="D1947" s="1" t="s">
        <v>11</v>
      </c>
    </row>
    <row r="1948" spans="3:4" x14ac:dyDescent="0.3">
      <c r="C1948" s="1" t="s">
        <v>2844</v>
      </c>
      <c r="D1948" s="1" t="s">
        <v>12</v>
      </c>
    </row>
    <row r="1949" spans="3:4" x14ac:dyDescent="0.3">
      <c r="C1949" s="1" t="s">
        <v>2165</v>
      </c>
      <c r="D1949" s="1" t="s">
        <v>26</v>
      </c>
    </row>
    <row r="1950" spans="3:4" x14ac:dyDescent="0.3">
      <c r="C1950" s="1" t="s">
        <v>2166</v>
      </c>
      <c r="D1950" s="1" t="s">
        <v>23</v>
      </c>
    </row>
    <row r="1951" spans="3:4" x14ac:dyDescent="0.3">
      <c r="C1951" s="1" t="s">
        <v>2167</v>
      </c>
      <c r="D1951" s="1" t="s">
        <v>14</v>
      </c>
    </row>
    <row r="1952" spans="3:4" x14ac:dyDescent="0.3">
      <c r="C1952" s="1" t="s">
        <v>2168</v>
      </c>
      <c r="D1952" s="1" t="s">
        <v>17</v>
      </c>
    </row>
    <row r="1953" spans="3:4" x14ac:dyDescent="0.3">
      <c r="C1953" s="1" t="s">
        <v>2169</v>
      </c>
      <c r="D1953" s="1" t="s">
        <v>25</v>
      </c>
    </row>
    <row r="1954" spans="3:4" x14ac:dyDescent="0.3">
      <c r="C1954" s="1" t="s">
        <v>2170</v>
      </c>
      <c r="D1954" s="1" t="s">
        <v>15</v>
      </c>
    </row>
    <row r="1955" spans="3:4" x14ac:dyDescent="0.3">
      <c r="C1955" s="1" t="s">
        <v>2171</v>
      </c>
      <c r="D1955" s="1" t="s">
        <v>15</v>
      </c>
    </row>
    <row r="1956" spans="3:4" x14ac:dyDescent="0.3">
      <c r="C1956" s="1" t="s">
        <v>2172</v>
      </c>
      <c r="D1956" s="1" t="s">
        <v>26</v>
      </c>
    </row>
    <row r="1957" spans="3:4" x14ac:dyDescent="0.3">
      <c r="C1957" s="1" t="s">
        <v>2173</v>
      </c>
      <c r="D1957" s="1" t="s">
        <v>17</v>
      </c>
    </row>
    <row r="1958" spans="3:4" x14ac:dyDescent="0.3">
      <c r="C1958" s="1" t="s">
        <v>2174</v>
      </c>
      <c r="D1958" s="1" t="s">
        <v>17</v>
      </c>
    </row>
    <row r="1959" spans="3:4" x14ac:dyDescent="0.3">
      <c r="C1959" s="1" t="s">
        <v>2175</v>
      </c>
      <c r="D1959" s="1" t="s">
        <v>20</v>
      </c>
    </row>
    <row r="1960" spans="3:4" x14ac:dyDescent="0.3">
      <c r="C1960" s="1" t="s">
        <v>2176</v>
      </c>
      <c r="D1960" s="1" t="s">
        <v>24</v>
      </c>
    </row>
    <row r="1961" spans="3:4" x14ac:dyDescent="0.3">
      <c r="C1961" s="1" t="s">
        <v>94</v>
      </c>
      <c r="D1961" s="1" t="s">
        <v>17</v>
      </c>
    </row>
    <row r="1962" spans="3:4" x14ac:dyDescent="0.3">
      <c r="C1962" s="1" t="s">
        <v>2177</v>
      </c>
      <c r="D1962" s="1" t="s">
        <v>16</v>
      </c>
    </row>
    <row r="1963" spans="3:4" x14ac:dyDescent="0.3">
      <c r="C1963" s="1" t="s">
        <v>2178</v>
      </c>
      <c r="D1963" s="1" t="s">
        <v>21</v>
      </c>
    </row>
    <row r="1964" spans="3:4" x14ac:dyDescent="0.3">
      <c r="C1964" s="1" t="s">
        <v>2179</v>
      </c>
      <c r="D1964" s="1" t="s">
        <v>17</v>
      </c>
    </row>
    <row r="1965" spans="3:4" x14ac:dyDescent="0.3">
      <c r="C1965" s="1" t="s">
        <v>2180</v>
      </c>
      <c r="D1965" s="1" t="s">
        <v>17</v>
      </c>
    </row>
    <row r="1966" spans="3:4" x14ac:dyDescent="0.3">
      <c r="C1966" s="1" t="s">
        <v>2181</v>
      </c>
      <c r="D1966" s="1" t="s">
        <v>17</v>
      </c>
    </row>
    <row r="1967" spans="3:4" x14ac:dyDescent="0.3">
      <c r="C1967" s="1" t="s">
        <v>2182</v>
      </c>
      <c r="D1967" s="1" t="s">
        <v>17</v>
      </c>
    </row>
    <row r="1968" spans="3:4" x14ac:dyDescent="0.3">
      <c r="C1968" s="1" t="s">
        <v>2183</v>
      </c>
      <c r="D1968" s="1" t="s">
        <v>11</v>
      </c>
    </row>
    <row r="1969" spans="3:4" x14ac:dyDescent="0.3">
      <c r="C1969" s="1" t="s">
        <v>2184</v>
      </c>
      <c r="D1969" s="1" t="s">
        <v>15</v>
      </c>
    </row>
    <row r="1970" spans="3:4" x14ac:dyDescent="0.3">
      <c r="C1970" s="1" t="s">
        <v>2185</v>
      </c>
      <c r="D1970" s="1" t="s">
        <v>22</v>
      </c>
    </row>
    <row r="1971" spans="3:4" x14ac:dyDescent="0.3">
      <c r="C1971" s="1" t="s">
        <v>95</v>
      </c>
      <c r="D1971" s="1" t="s">
        <v>20</v>
      </c>
    </row>
    <row r="1972" spans="3:4" x14ac:dyDescent="0.3">
      <c r="C1972" s="1" t="s">
        <v>2186</v>
      </c>
      <c r="D1972" s="1" t="s">
        <v>22</v>
      </c>
    </row>
    <row r="1973" spans="3:4" x14ac:dyDescent="0.3">
      <c r="C1973" s="1" t="s">
        <v>2187</v>
      </c>
      <c r="D1973" s="1" t="s">
        <v>24</v>
      </c>
    </row>
    <row r="1974" spans="3:4" x14ac:dyDescent="0.3">
      <c r="C1974" s="1" t="s">
        <v>2188</v>
      </c>
      <c r="D1974" s="1" t="s">
        <v>15</v>
      </c>
    </row>
    <row r="1975" spans="3:4" x14ac:dyDescent="0.3">
      <c r="C1975" s="1" t="s">
        <v>2189</v>
      </c>
      <c r="D1975" s="1" t="s">
        <v>17</v>
      </c>
    </row>
    <row r="1976" spans="3:4" x14ac:dyDescent="0.3">
      <c r="C1976" s="1" t="s">
        <v>2190</v>
      </c>
      <c r="D1976" s="1" t="s">
        <v>13</v>
      </c>
    </row>
    <row r="1977" spans="3:4" x14ac:dyDescent="0.3">
      <c r="C1977" s="1" t="s">
        <v>2191</v>
      </c>
      <c r="D1977" s="1" t="s">
        <v>27</v>
      </c>
    </row>
    <row r="1978" spans="3:4" x14ac:dyDescent="0.3">
      <c r="C1978" s="1" t="s">
        <v>2192</v>
      </c>
      <c r="D1978" s="1" t="s">
        <v>19</v>
      </c>
    </row>
    <row r="1979" spans="3:4" x14ac:dyDescent="0.3">
      <c r="C1979" s="1" t="s">
        <v>2193</v>
      </c>
      <c r="D1979" s="1" t="s">
        <v>24</v>
      </c>
    </row>
    <row r="1980" spans="3:4" x14ac:dyDescent="0.3">
      <c r="C1980" s="1" t="s">
        <v>2194</v>
      </c>
      <c r="D1980" s="1" t="s">
        <v>16</v>
      </c>
    </row>
    <row r="1981" spans="3:4" x14ac:dyDescent="0.3">
      <c r="C1981" s="1" t="s">
        <v>2195</v>
      </c>
      <c r="D1981" s="1" t="s">
        <v>16</v>
      </c>
    </row>
    <row r="1982" spans="3:4" x14ac:dyDescent="0.3">
      <c r="C1982" s="1" t="s">
        <v>2196</v>
      </c>
      <c r="D1982" s="1" t="s">
        <v>17</v>
      </c>
    </row>
    <row r="1983" spans="3:4" x14ac:dyDescent="0.3">
      <c r="C1983" s="1" t="s">
        <v>2197</v>
      </c>
      <c r="D1983" s="1" t="s">
        <v>11</v>
      </c>
    </row>
    <row r="1984" spans="3:4" x14ac:dyDescent="0.3">
      <c r="C1984" s="1" t="s">
        <v>2198</v>
      </c>
      <c r="D1984" s="1" t="s">
        <v>14</v>
      </c>
    </row>
    <row r="1985" spans="3:4" x14ac:dyDescent="0.3">
      <c r="C1985" s="1" t="s">
        <v>2199</v>
      </c>
      <c r="D1985" s="1" t="s">
        <v>15</v>
      </c>
    </row>
    <row r="1986" spans="3:4" x14ac:dyDescent="0.3">
      <c r="C1986" s="1" t="s">
        <v>2200</v>
      </c>
      <c r="D1986" s="1" t="s">
        <v>11</v>
      </c>
    </row>
    <row r="1987" spans="3:4" x14ac:dyDescent="0.3">
      <c r="C1987" s="1" t="s">
        <v>2201</v>
      </c>
      <c r="D1987" s="1" t="s">
        <v>23</v>
      </c>
    </row>
    <row r="1988" spans="3:4" x14ac:dyDescent="0.3">
      <c r="C1988" s="1" t="s">
        <v>2202</v>
      </c>
      <c r="D1988" s="1" t="s">
        <v>24</v>
      </c>
    </row>
    <row r="1989" spans="3:4" x14ac:dyDescent="0.3">
      <c r="C1989" s="1" t="s">
        <v>2203</v>
      </c>
      <c r="D1989" s="1" t="s">
        <v>15</v>
      </c>
    </row>
    <row r="1990" spans="3:4" x14ac:dyDescent="0.3">
      <c r="C1990" s="1" t="s">
        <v>2204</v>
      </c>
      <c r="D1990" s="1" t="s">
        <v>22</v>
      </c>
    </row>
    <row r="1991" spans="3:4" x14ac:dyDescent="0.3">
      <c r="C1991" s="1" t="s">
        <v>2205</v>
      </c>
      <c r="D1991" s="1" t="s">
        <v>28</v>
      </c>
    </row>
    <row r="1992" spans="3:4" x14ac:dyDescent="0.3">
      <c r="C1992" s="1" t="s">
        <v>2206</v>
      </c>
      <c r="D1992" s="1" t="s">
        <v>22</v>
      </c>
    </row>
    <row r="1993" spans="3:4" x14ac:dyDescent="0.3">
      <c r="C1993" s="1" t="s">
        <v>2207</v>
      </c>
      <c r="D1993" s="1" t="s">
        <v>12</v>
      </c>
    </row>
    <row r="1994" spans="3:4" x14ac:dyDescent="0.3">
      <c r="C1994" s="1" t="s">
        <v>96</v>
      </c>
      <c r="D1994" s="1" t="s">
        <v>12</v>
      </c>
    </row>
    <row r="1995" spans="3:4" x14ac:dyDescent="0.3">
      <c r="C1995" s="1" t="s">
        <v>2208</v>
      </c>
      <c r="D1995" s="1" t="s">
        <v>14</v>
      </c>
    </row>
    <row r="1996" spans="3:4" x14ac:dyDescent="0.3">
      <c r="C1996" s="1" t="s">
        <v>97</v>
      </c>
      <c r="D1996" s="1" t="s">
        <v>14</v>
      </c>
    </row>
    <row r="1997" spans="3:4" x14ac:dyDescent="0.3">
      <c r="C1997" s="1" t="s">
        <v>2209</v>
      </c>
      <c r="D1997" s="1" t="s">
        <v>14</v>
      </c>
    </row>
    <row r="1998" spans="3:4" x14ac:dyDescent="0.3">
      <c r="C1998" s="1" t="s">
        <v>2210</v>
      </c>
      <c r="D1998" s="1" t="s">
        <v>18</v>
      </c>
    </row>
    <row r="1999" spans="3:4" x14ac:dyDescent="0.3">
      <c r="C1999" s="1" t="s">
        <v>2211</v>
      </c>
      <c r="D1999" s="1" t="s">
        <v>13</v>
      </c>
    </row>
    <row r="2000" spans="3:4" x14ac:dyDescent="0.3">
      <c r="C2000" s="1" t="s">
        <v>2212</v>
      </c>
      <c r="D2000" s="1" t="s">
        <v>13</v>
      </c>
    </row>
    <row r="2001" spans="3:4" x14ac:dyDescent="0.3">
      <c r="C2001" s="1" t="s">
        <v>2213</v>
      </c>
      <c r="D2001" s="1" t="s">
        <v>14</v>
      </c>
    </row>
    <row r="2002" spans="3:4" x14ac:dyDescent="0.3">
      <c r="C2002" s="1" t="s">
        <v>2214</v>
      </c>
      <c r="D2002" s="1" t="s">
        <v>25</v>
      </c>
    </row>
    <row r="2003" spans="3:4" x14ac:dyDescent="0.3">
      <c r="C2003" s="1" t="s">
        <v>2215</v>
      </c>
      <c r="D2003" s="1" t="s">
        <v>15</v>
      </c>
    </row>
    <row r="2004" spans="3:4" x14ac:dyDescent="0.3">
      <c r="C2004" s="1" t="s">
        <v>2216</v>
      </c>
      <c r="D2004" s="1" t="s">
        <v>11</v>
      </c>
    </row>
    <row r="2005" spans="3:4" x14ac:dyDescent="0.3">
      <c r="C2005" s="1" t="s">
        <v>2217</v>
      </c>
      <c r="D2005" s="1" t="s">
        <v>14</v>
      </c>
    </row>
    <row r="2006" spans="3:4" x14ac:dyDescent="0.3">
      <c r="C2006" s="1" t="s">
        <v>2218</v>
      </c>
      <c r="D2006" s="1" t="s">
        <v>15</v>
      </c>
    </row>
    <row r="2007" spans="3:4" x14ac:dyDescent="0.3">
      <c r="C2007" s="1" t="s">
        <v>2219</v>
      </c>
      <c r="D2007" s="1" t="s">
        <v>15</v>
      </c>
    </row>
    <row r="2008" spans="3:4" x14ac:dyDescent="0.3">
      <c r="C2008" s="1" t="s">
        <v>2220</v>
      </c>
      <c r="D2008" s="1" t="s">
        <v>11</v>
      </c>
    </row>
    <row r="2009" spans="3:4" x14ac:dyDescent="0.3">
      <c r="C2009" s="1" t="s">
        <v>2221</v>
      </c>
      <c r="D2009" s="1" t="s">
        <v>15</v>
      </c>
    </row>
    <row r="2010" spans="3:4" x14ac:dyDescent="0.3">
      <c r="C2010" s="1" t="s">
        <v>2222</v>
      </c>
      <c r="D2010" s="1" t="s">
        <v>12</v>
      </c>
    </row>
    <row r="2011" spans="3:4" x14ac:dyDescent="0.3">
      <c r="C2011" s="1" t="s">
        <v>2223</v>
      </c>
      <c r="D2011" s="1" t="s">
        <v>24</v>
      </c>
    </row>
    <row r="2012" spans="3:4" x14ac:dyDescent="0.3">
      <c r="C2012" s="1" t="s">
        <v>98</v>
      </c>
      <c r="D2012" s="1" t="s">
        <v>12</v>
      </c>
    </row>
    <row r="2013" spans="3:4" x14ac:dyDescent="0.3">
      <c r="C2013" s="1" t="s">
        <v>2224</v>
      </c>
      <c r="D2013" s="1" t="s">
        <v>23</v>
      </c>
    </row>
    <row r="2014" spans="3:4" x14ac:dyDescent="0.3">
      <c r="C2014" s="1" t="s">
        <v>2225</v>
      </c>
      <c r="D2014" s="1" t="s">
        <v>23</v>
      </c>
    </row>
    <row r="2015" spans="3:4" x14ac:dyDescent="0.3">
      <c r="C2015" s="1" t="s">
        <v>2226</v>
      </c>
      <c r="D2015" s="1" t="s">
        <v>27</v>
      </c>
    </row>
    <row r="2016" spans="3:4" x14ac:dyDescent="0.3">
      <c r="C2016" s="1" t="s">
        <v>2227</v>
      </c>
      <c r="D2016" s="1" t="s">
        <v>14</v>
      </c>
    </row>
    <row r="2017" spans="3:4" x14ac:dyDescent="0.3">
      <c r="C2017" s="1" t="s">
        <v>2228</v>
      </c>
      <c r="D2017" s="1" t="s">
        <v>11</v>
      </c>
    </row>
    <row r="2018" spans="3:4" x14ac:dyDescent="0.3">
      <c r="C2018" s="1" t="s">
        <v>2229</v>
      </c>
      <c r="D2018" s="1" t="s">
        <v>26</v>
      </c>
    </row>
    <row r="2019" spans="3:4" x14ac:dyDescent="0.3">
      <c r="C2019" s="1" t="s">
        <v>2230</v>
      </c>
      <c r="D2019" s="1" t="s">
        <v>27</v>
      </c>
    </row>
    <row r="2020" spans="3:4" x14ac:dyDescent="0.3">
      <c r="C2020" s="1" t="s">
        <v>2231</v>
      </c>
      <c r="D2020" s="1" t="s">
        <v>14</v>
      </c>
    </row>
    <row r="2021" spans="3:4" x14ac:dyDescent="0.3">
      <c r="C2021" s="1" t="s">
        <v>2232</v>
      </c>
      <c r="D2021" s="1" t="s">
        <v>23</v>
      </c>
    </row>
    <row r="2022" spans="3:4" x14ac:dyDescent="0.3">
      <c r="C2022" s="1" t="s">
        <v>2233</v>
      </c>
      <c r="D2022" s="1" t="s">
        <v>15</v>
      </c>
    </row>
    <row r="2023" spans="3:4" x14ac:dyDescent="0.3">
      <c r="C2023" s="1" t="s">
        <v>279</v>
      </c>
      <c r="D2023" s="1" t="s">
        <v>12</v>
      </c>
    </row>
    <row r="2024" spans="3:4" x14ac:dyDescent="0.3">
      <c r="C2024" s="1" t="s">
        <v>2234</v>
      </c>
      <c r="D2024" s="1" t="s">
        <v>14</v>
      </c>
    </row>
    <row r="2025" spans="3:4" x14ac:dyDescent="0.3">
      <c r="C2025" s="1" t="s">
        <v>2235</v>
      </c>
      <c r="D2025" s="1" t="s">
        <v>11</v>
      </c>
    </row>
    <row r="2026" spans="3:4" x14ac:dyDescent="0.3">
      <c r="C2026" s="1" t="s">
        <v>2236</v>
      </c>
      <c r="D2026" s="1" t="s">
        <v>11</v>
      </c>
    </row>
    <row r="2027" spans="3:4" x14ac:dyDescent="0.3">
      <c r="C2027" s="1" t="s">
        <v>2237</v>
      </c>
      <c r="D2027" s="1" t="s">
        <v>11</v>
      </c>
    </row>
    <row r="2028" spans="3:4" x14ac:dyDescent="0.3">
      <c r="C2028" s="1" t="s">
        <v>2238</v>
      </c>
      <c r="D2028" s="1" t="s">
        <v>23</v>
      </c>
    </row>
    <row r="2029" spans="3:4" x14ac:dyDescent="0.3">
      <c r="C2029" s="1" t="s">
        <v>2239</v>
      </c>
      <c r="D2029" s="1" t="s">
        <v>16</v>
      </c>
    </row>
    <row r="2030" spans="3:4" x14ac:dyDescent="0.3">
      <c r="C2030" s="1" t="s">
        <v>2240</v>
      </c>
      <c r="D2030" s="1" t="s">
        <v>25</v>
      </c>
    </row>
    <row r="2031" spans="3:4" x14ac:dyDescent="0.3">
      <c r="C2031" s="1" t="s">
        <v>2241</v>
      </c>
      <c r="D2031" s="1" t="s">
        <v>14</v>
      </c>
    </row>
    <row r="2032" spans="3:4" x14ac:dyDescent="0.3">
      <c r="C2032" s="1" t="s">
        <v>2242</v>
      </c>
      <c r="D2032" s="1" t="s">
        <v>15</v>
      </c>
    </row>
    <row r="2033" spans="3:4" x14ac:dyDescent="0.3">
      <c r="C2033" s="1" t="s">
        <v>99</v>
      </c>
      <c r="D2033" s="1" t="s">
        <v>12</v>
      </c>
    </row>
    <row r="2034" spans="3:4" x14ac:dyDescent="0.3">
      <c r="C2034" s="1" t="s">
        <v>2243</v>
      </c>
      <c r="D2034" s="1" t="s">
        <v>21</v>
      </c>
    </row>
    <row r="2035" spans="3:4" x14ac:dyDescent="0.3">
      <c r="C2035" s="1" t="s">
        <v>2244</v>
      </c>
      <c r="D2035" s="1" t="s">
        <v>12</v>
      </c>
    </row>
    <row r="2036" spans="3:4" x14ac:dyDescent="0.3">
      <c r="C2036" s="1" t="s">
        <v>2245</v>
      </c>
      <c r="D2036" s="1" t="s">
        <v>22</v>
      </c>
    </row>
    <row r="2037" spans="3:4" x14ac:dyDescent="0.3">
      <c r="C2037" s="1" t="s">
        <v>2246</v>
      </c>
      <c r="D2037" s="1" t="s">
        <v>11</v>
      </c>
    </row>
    <row r="2038" spans="3:4" x14ac:dyDescent="0.3">
      <c r="C2038" s="1" t="s">
        <v>2247</v>
      </c>
      <c r="D2038" s="1" t="s">
        <v>11</v>
      </c>
    </row>
    <row r="2039" spans="3:4" x14ac:dyDescent="0.3">
      <c r="C2039" s="1" t="s">
        <v>2248</v>
      </c>
      <c r="D2039" s="1" t="s">
        <v>13</v>
      </c>
    </row>
    <row r="2040" spans="3:4" x14ac:dyDescent="0.3">
      <c r="C2040" s="1" t="s">
        <v>2249</v>
      </c>
      <c r="D2040" s="1" t="s">
        <v>13</v>
      </c>
    </row>
    <row r="2041" spans="3:4" x14ac:dyDescent="0.3">
      <c r="C2041" s="1" t="s">
        <v>2250</v>
      </c>
      <c r="D2041" s="1" t="s">
        <v>16</v>
      </c>
    </row>
    <row r="2042" spans="3:4" x14ac:dyDescent="0.3">
      <c r="C2042" s="1" t="s">
        <v>2251</v>
      </c>
      <c r="D2042" s="1" t="s">
        <v>11</v>
      </c>
    </row>
    <row r="2043" spans="3:4" x14ac:dyDescent="0.3">
      <c r="C2043" s="1" t="s">
        <v>2252</v>
      </c>
      <c r="D2043" s="1" t="s">
        <v>23</v>
      </c>
    </row>
    <row r="2044" spans="3:4" x14ac:dyDescent="0.3">
      <c r="C2044" s="1" t="s">
        <v>280</v>
      </c>
      <c r="D2044" s="1" t="s">
        <v>17</v>
      </c>
    </row>
    <row r="2045" spans="3:4" x14ac:dyDescent="0.3">
      <c r="C2045" s="1" t="s">
        <v>2253</v>
      </c>
      <c r="D2045" s="1" t="s">
        <v>17</v>
      </c>
    </row>
    <row r="2046" spans="3:4" x14ac:dyDescent="0.3">
      <c r="C2046" s="1" t="s">
        <v>2254</v>
      </c>
      <c r="D2046" s="1" t="s">
        <v>25</v>
      </c>
    </row>
    <row r="2047" spans="3:4" x14ac:dyDescent="0.3">
      <c r="C2047" s="1" t="s">
        <v>2255</v>
      </c>
      <c r="D2047" s="1" t="s">
        <v>11</v>
      </c>
    </row>
    <row r="2048" spans="3:4" x14ac:dyDescent="0.3">
      <c r="C2048" s="1" t="s">
        <v>2256</v>
      </c>
      <c r="D2048" s="1" t="s">
        <v>11</v>
      </c>
    </row>
    <row r="2049" spans="3:4" x14ac:dyDescent="0.3">
      <c r="C2049" s="1" t="s">
        <v>2257</v>
      </c>
      <c r="D2049" s="1" t="s">
        <v>11</v>
      </c>
    </row>
    <row r="2050" spans="3:4" x14ac:dyDescent="0.3">
      <c r="C2050" s="1" t="s">
        <v>2258</v>
      </c>
      <c r="D2050" s="1" t="s">
        <v>11</v>
      </c>
    </row>
    <row r="2051" spans="3:4" x14ac:dyDescent="0.3">
      <c r="C2051" s="1" t="s">
        <v>2259</v>
      </c>
      <c r="D2051" s="1" t="s">
        <v>11</v>
      </c>
    </row>
    <row r="2052" spans="3:4" x14ac:dyDescent="0.3">
      <c r="C2052" s="1" t="s">
        <v>2260</v>
      </c>
      <c r="D2052" s="1" t="s">
        <v>13</v>
      </c>
    </row>
    <row r="2053" spans="3:4" x14ac:dyDescent="0.3">
      <c r="C2053" s="1" t="s">
        <v>2261</v>
      </c>
      <c r="D2053" s="1" t="s">
        <v>23</v>
      </c>
    </row>
    <row r="2054" spans="3:4" x14ac:dyDescent="0.3">
      <c r="C2054" s="1" t="s">
        <v>2262</v>
      </c>
      <c r="D2054" s="1" t="s">
        <v>17</v>
      </c>
    </row>
    <row r="2055" spans="3:4" x14ac:dyDescent="0.3">
      <c r="C2055" s="1" t="s">
        <v>2263</v>
      </c>
      <c r="D2055" s="1" t="s">
        <v>25</v>
      </c>
    </row>
    <row r="2056" spans="3:4" x14ac:dyDescent="0.3">
      <c r="C2056" s="1" t="s">
        <v>2264</v>
      </c>
      <c r="D2056" s="1" t="s">
        <v>11</v>
      </c>
    </row>
    <row r="2057" spans="3:4" x14ac:dyDescent="0.3">
      <c r="C2057" s="1" t="s">
        <v>2265</v>
      </c>
      <c r="D2057" s="1" t="s">
        <v>11</v>
      </c>
    </row>
    <row r="2058" spans="3:4" x14ac:dyDescent="0.3">
      <c r="C2058" s="1" t="s">
        <v>2266</v>
      </c>
      <c r="D2058" s="1" t="s">
        <v>19</v>
      </c>
    </row>
    <row r="2059" spans="3:4" x14ac:dyDescent="0.3">
      <c r="C2059" s="1" t="s">
        <v>2267</v>
      </c>
      <c r="D2059" s="1" t="s">
        <v>19</v>
      </c>
    </row>
    <row r="2060" spans="3:4" x14ac:dyDescent="0.3">
      <c r="C2060" s="1" t="s">
        <v>2268</v>
      </c>
      <c r="D2060" s="1" t="s">
        <v>17</v>
      </c>
    </row>
    <row r="2061" spans="3:4" x14ac:dyDescent="0.3">
      <c r="C2061" s="1" t="s">
        <v>2269</v>
      </c>
      <c r="D2061" s="1" t="s">
        <v>23</v>
      </c>
    </row>
    <row r="2062" spans="3:4" x14ac:dyDescent="0.3">
      <c r="C2062" s="1" t="s">
        <v>2270</v>
      </c>
      <c r="D2062" s="1" t="s">
        <v>26</v>
      </c>
    </row>
    <row r="2063" spans="3:4" x14ac:dyDescent="0.3">
      <c r="C2063" s="1" t="s">
        <v>2271</v>
      </c>
      <c r="D2063" s="1" t="s">
        <v>19</v>
      </c>
    </row>
    <row r="2064" spans="3:4" x14ac:dyDescent="0.3">
      <c r="C2064" s="1" t="s">
        <v>2272</v>
      </c>
      <c r="D2064" s="1" t="s">
        <v>14</v>
      </c>
    </row>
    <row r="2065" spans="3:4" x14ac:dyDescent="0.3">
      <c r="C2065" s="1" t="s">
        <v>2273</v>
      </c>
      <c r="D2065" s="1" t="s">
        <v>23</v>
      </c>
    </row>
    <row r="2066" spans="3:4" x14ac:dyDescent="0.3">
      <c r="C2066" s="1" t="s">
        <v>2274</v>
      </c>
      <c r="D2066" s="1" t="s">
        <v>24</v>
      </c>
    </row>
    <row r="2067" spans="3:4" x14ac:dyDescent="0.3">
      <c r="C2067" s="1" t="s">
        <v>2275</v>
      </c>
      <c r="D2067" s="1" t="s">
        <v>12</v>
      </c>
    </row>
    <row r="2068" spans="3:4" x14ac:dyDescent="0.3">
      <c r="C2068" s="1" t="s">
        <v>2276</v>
      </c>
      <c r="D2068" s="1" t="s">
        <v>27</v>
      </c>
    </row>
    <row r="2069" spans="3:4" x14ac:dyDescent="0.3">
      <c r="C2069" s="1" t="s">
        <v>2277</v>
      </c>
      <c r="D2069" s="1" t="s">
        <v>15</v>
      </c>
    </row>
    <row r="2070" spans="3:4" x14ac:dyDescent="0.3">
      <c r="C2070" s="1" t="s">
        <v>2278</v>
      </c>
      <c r="D2070" s="1" t="s">
        <v>23</v>
      </c>
    </row>
    <row r="2071" spans="3:4" x14ac:dyDescent="0.3">
      <c r="C2071" s="1" t="s">
        <v>2279</v>
      </c>
      <c r="D2071" s="1" t="s">
        <v>15</v>
      </c>
    </row>
    <row r="2072" spans="3:4" x14ac:dyDescent="0.3">
      <c r="C2072" s="1" t="s">
        <v>2280</v>
      </c>
      <c r="D2072" s="1" t="s">
        <v>15</v>
      </c>
    </row>
    <row r="2073" spans="3:4" x14ac:dyDescent="0.3">
      <c r="C2073" s="1" t="s">
        <v>2281</v>
      </c>
      <c r="D2073" s="1" t="s">
        <v>24</v>
      </c>
    </row>
    <row r="2074" spans="3:4" x14ac:dyDescent="0.3">
      <c r="C2074" s="1" t="s">
        <v>2845</v>
      </c>
      <c r="D2074" s="1" t="s">
        <v>12</v>
      </c>
    </row>
    <row r="2075" spans="3:4" x14ac:dyDescent="0.3">
      <c r="C2075" s="1" t="s">
        <v>2282</v>
      </c>
      <c r="D2075" s="1" t="s">
        <v>12</v>
      </c>
    </row>
    <row r="2076" spans="3:4" x14ac:dyDescent="0.3">
      <c r="C2076" s="1" t="s">
        <v>2283</v>
      </c>
      <c r="D2076" s="1" t="s">
        <v>23</v>
      </c>
    </row>
    <row r="2077" spans="3:4" x14ac:dyDescent="0.3">
      <c r="C2077" s="1" t="s">
        <v>2284</v>
      </c>
      <c r="D2077" s="1" t="s">
        <v>24</v>
      </c>
    </row>
    <row r="2078" spans="3:4" x14ac:dyDescent="0.3">
      <c r="C2078" s="1" t="s">
        <v>2285</v>
      </c>
      <c r="D2078" s="1" t="s">
        <v>15</v>
      </c>
    </row>
    <row r="2079" spans="3:4" x14ac:dyDescent="0.3">
      <c r="C2079" s="1" t="s">
        <v>2286</v>
      </c>
      <c r="D2079" s="1" t="s">
        <v>21</v>
      </c>
    </row>
    <row r="2080" spans="3:4" x14ac:dyDescent="0.3">
      <c r="C2080" s="1" t="s">
        <v>2287</v>
      </c>
      <c r="D2080" s="1" t="s">
        <v>12</v>
      </c>
    </row>
    <row r="2081" spans="3:4" x14ac:dyDescent="0.3">
      <c r="C2081" s="1" t="s">
        <v>2288</v>
      </c>
      <c r="D2081" s="1" t="s">
        <v>26</v>
      </c>
    </row>
    <row r="2082" spans="3:4" x14ac:dyDescent="0.3">
      <c r="C2082" s="1" t="s">
        <v>2289</v>
      </c>
      <c r="D2082" s="1" t="s">
        <v>23</v>
      </c>
    </row>
    <row r="2083" spans="3:4" x14ac:dyDescent="0.3">
      <c r="C2083" s="1" t="s">
        <v>2290</v>
      </c>
      <c r="D2083" s="1" t="s">
        <v>12</v>
      </c>
    </row>
    <row r="2084" spans="3:4" x14ac:dyDescent="0.3">
      <c r="C2084" s="1" t="s">
        <v>2291</v>
      </c>
      <c r="D2084" s="1" t="s">
        <v>12</v>
      </c>
    </row>
    <row r="2085" spans="3:4" x14ac:dyDescent="0.3">
      <c r="C2085" s="1" t="s">
        <v>2292</v>
      </c>
      <c r="D2085" s="1" t="s">
        <v>26</v>
      </c>
    </row>
    <row r="2086" spans="3:4" x14ac:dyDescent="0.3">
      <c r="C2086" s="1" t="s">
        <v>2293</v>
      </c>
      <c r="D2086" s="1" t="s">
        <v>23</v>
      </c>
    </row>
    <row r="2087" spans="3:4" x14ac:dyDescent="0.3">
      <c r="C2087" s="1" t="s">
        <v>2294</v>
      </c>
      <c r="D2087" s="1" t="s">
        <v>12</v>
      </c>
    </row>
    <row r="2088" spans="3:4" x14ac:dyDescent="0.3">
      <c r="C2088" s="1" t="s">
        <v>2295</v>
      </c>
      <c r="D2088" s="1" t="s">
        <v>17</v>
      </c>
    </row>
    <row r="2089" spans="3:4" x14ac:dyDescent="0.3">
      <c r="C2089" s="1" t="s">
        <v>2296</v>
      </c>
      <c r="D2089" s="1" t="s">
        <v>12</v>
      </c>
    </row>
    <row r="2090" spans="3:4" x14ac:dyDescent="0.3">
      <c r="C2090" s="1" t="s">
        <v>2297</v>
      </c>
      <c r="D2090" s="1" t="s">
        <v>12</v>
      </c>
    </row>
    <row r="2091" spans="3:4" x14ac:dyDescent="0.3">
      <c r="C2091" s="1" t="s">
        <v>2298</v>
      </c>
      <c r="D2091" s="1" t="s">
        <v>12</v>
      </c>
    </row>
    <row r="2092" spans="3:4" x14ac:dyDescent="0.3">
      <c r="C2092" s="1" t="s">
        <v>2299</v>
      </c>
      <c r="D2092" s="1" t="s">
        <v>21</v>
      </c>
    </row>
    <row r="2093" spans="3:4" x14ac:dyDescent="0.3">
      <c r="C2093" s="1" t="s">
        <v>2300</v>
      </c>
      <c r="D2093" s="1" t="s">
        <v>24</v>
      </c>
    </row>
    <row r="2094" spans="3:4" x14ac:dyDescent="0.3">
      <c r="C2094" s="1" t="s">
        <v>2301</v>
      </c>
      <c r="D2094" s="1" t="s">
        <v>19</v>
      </c>
    </row>
    <row r="2095" spans="3:4" x14ac:dyDescent="0.3">
      <c r="C2095" s="1" t="s">
        <v>2302</v>
      </c>
      <c r="D2095" s="1" t="s">
        <v>11</v>
      </c>
    </row>
    <row r="2096" spans="3:4" x14ac:dyDescent="0.3">
      <c r="C2096" s="1" t="s">
        <v>2303</v>
      </c>
      <c r="D2096" s="1" t="s">
        <v>28</v>
      </c>
    </row>
    <row r="2097" spans="3:4" x14ac:dyDescent="0.3">
      <c r="C2097" s="1" t="s">
        <v>2304</v>
      </c>
      <c r="D2097" s="1" t="s">
        <v>14</v>
      </c>
    </row>
    <row r="2098" spans="3:4" x14ac:dyDescent="0.3">
      <c r="C2098" s="1" t="s">
        <v>2305</v>
      </c>
      <c r="D2098" s="1" t="s">
        <v>17</v>
      </c>
    </row>
    <row r="2099" spans="3:4" x14ac:dyDescent="0.3">
      <c r="C2099" s="1" t="s">
        <v>2306</v>
      </c>
      <c r="D2099" s="1" t="s">
        <v>21</v>
      </c>
    </row>
    <row r="2100" spans="3:4" x14ac:dyDescent="0.3">
      <c r="C2100" s="1" t="s">
        <v>2307</v>
      </c>
      <c r="D2100" s="1" t="s">
        <v>11</v>
      </c>
    </row>
    <row r="2101" spans="3:4" x14ac:dyDescent="0.3">
      <c r="C2101" s="1" t="s">
        <v>2308</v>
      </c>
      <c r="D2101" s="1" t="s">
        <v>24</v>
      </c>
    </row>
    <row r="2102" spans="3:4" x14ac:dyDescent="0.3">
      <c r="C2102" s="1" t="s">
        <v>21</v>
      </c>
      <c r="D2102" s="1" t="s">
        <v>21</v>
      </c>
    </row>
    <row r="2103" spans="3:4" x14ac:dyDescent="0.3">
      <c r="C2103" s="1" t="s">
        <v>2309</v>
      </c>
      <c r="D2103" s="1" t="s">
        <v>22</v>
      </c>
    </row>
    <row r="2104" spans="3:4" x14ac:dyDescent="0.3">
      <c r="C2104" s="1" t="s">
        <v>2310</v>
      </c>
      <c r="D2104" s="1" t="s">
        <v>26</v>
      </c>
    </row>
    <row r="2105" spans="3:4" x14ac:dyDescent="0.3">
      <c r="C2105" s="1" t="s">
        <v>2311</v>
      </c>
      <c r="D2105" s="1" t="s">
        <v>15</v>
      </c>
    </row>
    <row r="2106" spans="3:4" x14ac:dyDescent="0.3">
      <c r="C2106" s="1" t="s">
        <v>2312</v>
      </c>
      <c r="D2106" s="1" t="s">
        <v>17</v>
      </c>
    </row>
    <row r="2107" spans="3:4" x14ac:dyDescent="0.3">
      <c r="C2107" s="1" t="s">
        <v>2313</v>
      </c>
      <c r="D2107" s="1" t="s">
        <v>18</v>
      </c>
    </row>
    <row r="2108" spans="3:4" x14ac:dyDescent="0.3">
      <c r="C2108" s="1" t="s">
        <v>2314</v>
      </c>
      <c r="D2108" s="1" t="s">
        <v>14</v>
      </c>
    </row>
    <row r="2109" spans="3:4" x14ac:dyDescent="0.3">
      <c r="C2109" s="1" t="s">
        <v>2315</v>
      </c>
      <c r="D2109" s="1" t="s">
        <v>15</v>
      </c>
    </row>
    <row r="2110" spans="3:4" x14ac:dyDescent="0.3">
      <c r="C2110" s="1" t="s">
        <v>100</v>
      </c>
      <c r="D2110" s="1" t="s">
        <v>16</v>
      </c>
    </row>
    <row r="2111" spans="3:4" x14ac:dyDescent="0.3">
      <c r="C2111" s="1" t="s">
        <v>2316</v>
      </c>
      <c r="D2111" s="1" t="s">
        <v>17</v>
      </c>
    </row>
    <row r="2112" spans="3:4" x14ac:dyDescent="0.3">
      <c r="C2112" s="1" t="s">
        <v>2317</v>
      </c>
      <c r="D2112" s="1" t="s">
        <v>14</v>
      </c>
    </row>
    <row r="2113" spans="3:4" x14ac:dyDescent="0.3">
      <c r="C2113" s="1" t="s">
        <v>2318</v>
      </c>
      <c r="D2113" s="1" t="s">
        <v>24</v>
      </c>
    </row>
    <row r="2114" spans="3:4" x14ac:dyDescent="0.3">
      <c r="C2114" s="1" t="s">
        <v>2319</v>
      </c>
      <c r="D2114" s="1" t="s">
        <v>14</v>
      </c>
    </row>
    <row r="2115" spans="3:4" x14ac:dyDescent="0.3">
      <c r="C2115" s="1" t="s">
        <v>2320</v>
      </c>
      <c r="D2115" s="1" t="s">
        <v>23</v>
      </c>
    </row>
    <row r="2116" spans="3:4" x14ac:dyDescent="0.3">
      <c r="C2116" s="1" t="s">
        <v>2321</v>
      </c>
      <c r="D2116" s="1" t="s">
        <v>23</v>
      </c>
    </row>
    <row r="2117" spans="3:4" x14ac:dyDescent="0.3">
      <c r="C2117" s="1" t="s">
        <v>2322</v>
      </c>
      <c r="D2117" s="1" t="s">
        <v>14</v>
      </c>
    </row>
    <row r="2118" spans="3:4" x14ac:dyDescent="0.3">
      <c r="C2118" s="1" t="s">
        <v>2323</v>
      </c>
      <c r="D2118" s="1" t="s">
        <v>14</v>
      </c>
    </row>
    <row r="2119" spans="3:4" x14ac:dyDescent="0.3">
      <c r="C2119" s="1" t="s">
        <v>2324</v>
      </c>
      <c r="D2119" s="1" t="s">
        <v>11</v>
      </c>
    </row>
    <row r="2120" spans="3:4" x14ac:dyDescent="0.3">
      <c r="C2120" s="1" t="s">
        <v>2325</v>
      </c>
      <c r="D2120" s="1" t="s">
        <v>14</v>
      </c>
    </row>
    <row r="2121" spans="3:4" x14ac:dyDescent="0.3">
      <c r="C2121" s="1" t="s">
        <v>2326</v>
      </c>
      <c r="D2121" s="1" t="s">
        <v>12</v>
      </c>
    </row>
    <row r="2122" spans="3:4" x14ac:dyDescent="0.3">
      <c r="C2122" s="1" t="s">
        <v>2327</v>
      </c>
      <c r="D2122" s="1" t="s">
        <v>11</v>
      </c>
    </row>
    <row r="2123" spans="3:4" x14ac:dyDescent="0.3">
      <c r="C2123" s="1" t="s">
        <v>2328</v>
      </c>
      <c r="D2123" s="1" t="s">
        <v>15</v>
      </c>
    </row>
    <row r="2124" spans="3:4" x14ac:dyDescent="0.3">
      <c r="C2124" s="1" t="s">
        <v>2329</v>
      </c>
      <c r="D2124" s="1" t="s">
        <v>15</v>
      </c>
    </row>
    <row r="2125" spans="3:4" x14ac:dyDescent="0.3">
      <c r="C2125" s="1" t="s">
        <v>2330</v>
      </c>
      <c r="D2125" s="1" t="s">
        <v>11</v>
      </c>
    </row>
    <row r="2126" spans="3:4" x14ac:dyDescent="0.3">
      <c r="C2126" s="1" t="s">
        <v>2331</v>
      </c>
      <c r="D2126" s="1" t="s">
        <v>16</v>
      </c>
    </row>
    <row r="2127" spans="3:4" x14ac:dyDescent="0.3">
      <c r="C2127" s="1" t="s">
        <v>2332</v>
      </c>
      <c r="D2127" s="1" t="s">
        <v>28</v>
      </c>
    </row>
    <row r="2128" spans="3:4" x14ac:dyDescent="0.3">
      <c r="C2128" s="1" t="s">
        <v>2333</v>
      </c>
      <c r="D2128" s="1" t="s">
        <v>17</v>
      </c>
    </row>
    <row r="2129" spans="3:4" x14ac:dyDescent="0.3">
      <c r="C2129" s="1" t="s">
        <v>2334</v>
      </c>
      <c r="D2129" s="1" t="s">
        <v>13</v>
      </c>
    </row>
    <row r="2130" spans="3:4" x14ac:dyDescent="0.3">
      <c r="C2130" s="1" t="s">
        <v>2335</v>
      </c>
      <c r="D2130" s="1" t="s">
        <v>21</v>
      </c>
    </row>
    <row r="2131" spans="3:4" x14ac:dyDescent="0.3">
      <c r="C2131" s="1" t="s">
        <v>2336</v>
      </c>
      <c r="D2131" s="1" t="s">
        <v>21</v>
      </c>
    </row>
    <row r="2132" spans="3:4" x14ac:dyDescent="0.3">
      <c r="C2132" s="1" t="s">
        <v>2337</v>
      </c>
      <c r="D2132" s="1" t="s">
        <v>26</v>
      </c>
    </row>
    <row r="2133" spans="3:4" x14ac:dyDescent="0.3">
      <c r="C2133" s="1" t="s">
        <v>2338</v>
      </c>
      <c r="D2133" s="1" t="s">
        <v>15</v>
      </c>
    </row>
    <row r="2134" spans="3:4" x14ac:dyDescent="0.3">
      <c r="C2134" s="1" t="s">
        <v>2339</v>
      </c>
      <c r="D2134" s="1" t="s">
        <v>15</v>
      </c>
    </row>
    <row r="2135" spans="3:4" x14ac:dyDescent="0.3">
      <c r="C2135" s="1" t="s">
        <v>2340</v>
      </c>
      <c r="D2135" s="1" t="s">
        <v>26</v>
      </c>
    </row>
    <row r="2136" spans="3:4" x14ac:dyDescent="0.3">
      <c r="C2136" s="1" t="s">
        <v>2341</v>
      </c>
      <c r="D2136" s="1" t="s">
        <v>24</v>
      </c>
    </row>
    <row r="2137" spans="3:4" x14ac:dyDescent="0.3">
      <c r="C2137" s="1" t="s">
        <v>2342</v>
      </c>
      <c r="D2137" s="1" t="s">
        <v>17</v>
      </c>
    </row>
    <row r="2138" spans="3:4" x14ac:dyDescent="0.3">
      <c r="C2138" s="1" t="s">
        <v>2343</v>
      </c>
      <c r="D2138" s="1" t="s">
        <v>15</v>
      </c>
    </row>
    <row r="2139" spans="3:4" x14ac:dyDescent="0.3">
      <c r="C2139" s="1" t="s">
        <v>2344</v>
      </c>
      <c r="D2139" s="1" t="s">
        <v>20</v>
      </c>
    </row>
    <row r="2140" spans="3:4" x14ac:dyDescent="0.3">
      <c r="C2140" s="1" t="s">
        <v>2345</v>
      </c>
      <c r="D2140" s="1" t="s">
        <v>21</v>
      </c>
    </row>
    <row r="2141" spans="3:4" x14ac:dyDescent="0.3">
      <c r="C2141" s="1" t="s">
        <v>2346</v>
      </c>
      <c r="D2141" s="1" t="s">
        <v>12</v>
      </c>
    </row>
    <row r="2142" spans="3:4" x14ac:dyDescent="0.3">
      <c r="C2142" s="1" t="s">
        <v>2347</v>
      </c>
      <c r="D2142" s="1" t="s">
        <v>12</v>
      </c>
    </row>
    <row r="2143" spans="3:4" x14ac:dyDescent="0.3">
      <c r="C2143" s="1" t="s">
        <v>2348</v>
      </c>
      <c r="D2143" s="1" t="s">
        <v>17</v>
      </c>
    </row>
    <row r="2144" spans="3:4" x14ac:dyDescent="0.3">
      <c r="C2144" s="1" t="s">
        <v>2349</v>
      </c>
      <c r="D2144" s="1" t="s">
        <v>23</v>
      </c>
    </row>
    <row r="2145" spans="3:4" x14ac:dyDescent="0.3">
      <c r="C2145" s="1" t="s">
        <v>2350</v>
      </c>
      <c r="D2145" s="1" t="s">
        <v>21</v>
      </c>
    </row>
    <row r="2146" spans="3:4" x14ac:dyDescent="0.3">
      <c r="C2146" s="1" t="s">
        <v>2351</v>
      </c>
      <c r="D2146" s="1" t="s">
        <v>24</v>
      </c>
    </row>
    <row r="2147" spans="3:4" x14ac:dyDescent="0.3">
      <c r="C2147" s="1" t="s">
        <v>2352</v>
      </c>
      <c r="D2147" s="1" t="s">
        <v>11</v>
      </c>
    </row>
    <row r="2148" spans="3:4" x14ac:dyDescent="0.3">
      <c r="C2148" s="1" t="s">
        <v>2353</v>
      </c>
      <c r="D2148" s="1" t="s">
        <v>17</v>
      </c>
    </row>
    <row r="2149" spans="3:4" x14ac:dyDescent="0.3">
      <c r="C2149" s="1" t="s">
        <v>2354</v>
      </c>
      <c r="D2149" s="1" t="s">
        <v>15</v>
      </c>
    </row>
    <row r="2150" spans="3:4" x14ac:dyDescent="0.3">
      <c r="C2150" s="1" t="s">
        <v>2355</v>
      </c>
      <c r="D2150" s="1" t="s">
        <v>28</v>
      </c>
    </row>
    <row r="2151" spans="3:4" x14ac:dyDescent="0.3">
      <c r="C2151" s="1" t="s">
        <v>2356</v>
      </c>
      <c r="D2151" s="1" t="s">
        <v>16</v>
      </c>
    </row>
    <row r="2152" spans="3:4" x14ac:dyDescent="0.3">
      <c r="C2152" s="1" t="s">
        <v>2357</v>
      </c>
      <c r="D2152" s="1" t="s">
        <v>15</v>
      </c>
    </row>
    <row r="2153" spans="3:4" x14ac:dyDescent="0.3">
      <c r="C2153" s="1" t="s">
        <v>2358</v>
      </c>
      <c r="D2153" s="1" t="s">
        <v>16</v>
      </c>
    </row>
    <row r="2154" spans="3:4" x14ac:dyDescent="0.3">
      <c r="C2154" s="1" t="s">
        <v>2359</v>
      </c>
      <c r="D2154" s="1" t="s">
        <v>11</v>
      </c>
    </row>
    <row r="2155" spans="3:4" x14ac:dyDescent="0.3">
      <c r="C2155" s="1" t="s">
        <v>2360</v>
      </c>
      <c r="D2155" s="1" t="s">
        <v>11</v>
      </c>
    </row>
    <row r="2156" spans="3:4" x14ac:dyDescent="0.3">
      <c r="C2156" s="1" t="s">
        <v>2361</v>
      </c>
      <c r="D2156" s="1" t="s">
        <v>23</v>
      </c>
    </row>
    <row r="2157" spans="3:4" x14ac:dyDescent="0.3">
      <c r="C2157" s="1" t="s">
        <v>2362</v>
      </c>
      <c r="D2157" s="1" t="s">
        <v>11</v>
      </c>
    </row>
    <row r="2158" spans="3:4" x14ac:dyDescent="0.3">
      <c r="C2158" s="1" t="s">
        <v>2363</v>
      </c>
      <c r="D2158" s="1" t="s">
        <v>14</v>
      </c>
    </row>
    <row r="2159" spans="3:4" x14ac:dyDescent="0.3">
      <c r="C2159" s="1" t="s">
        <v>2364</v>
      </c>
      <c r="D2159" s="1" t="s">
        <v>15</v>
      </c>
    </row>
    <row r="2160" spans="3:4" x14ac:dyDescent="0.3">
      <c r="C2160" s="1" t="s">
        <v>2365</v>
      </c>
      <c r="D2160" s="1" t="s">
        <v>27</v>
      </c>
    </row>
    <row r="2161" spans="3:4" x14ac:dyDescent="0.3">
      <c r="C2161" s="1" t="s">
        <v>124</v>
      </c>
      <c r="D2161" s="1" t="s">
        <v>14</v>
      </c>
    </row>
    <row r="2162" spans="3:4" x14ac:dyDescent="0.3">
      <c r="C2162" s="1" t="s">
        <v>2366</v>
      </c>
      <c r="D2162" s="1" t="s">
        <v>12</v>
      </c>
    </row>
    <row r="2163" spans="3:4" x14ac:dyDescent="0.3">
      <c r="C2163" s="1" t="s">
        <v>2367</v>
      </c>
      <c r="D2163" s="1" t="s">
        <v>28</v>
      </c>
    </row>
    <row r="2164" spans="3:4" x14ac:dyDescent="0.3">
      <c r="C2164" s="1" t="s">
        <v>2368</v>
      </c>
      <c r="D2164" s="1" t="s">
        <v>28</v>
      </c>
    </row>
    <row r="2165" spans="3:4" x14ac:dyDescent="0.3">
      <c r="C2165" s="1" t="s">
        <v>2369</v>
      </c>
      <c r="D2165" s="1" t="s">
        <v>24</v>
      </c>
    </row>
    <row r="2166" spans="3:4" x14ac:dyDescent="0.3">
      <c r="C2166" s="1" t="s">
        <v>2370</v>
      </c>
      <c r="D2166" s="1" t="s">
        <v>28</v>
      </c>
    </row>
    <row r="2167" spans="3:4" x14ac:dyDescent="0.3">
      <c r="C2167" s="1" t="s">
        <v>2371</v>
      </c>
      <c r="D2167" s="1" t="s">
        <v>28</v>
      </c>
    </row>
    <row r="2168" spans="3:4" x14ac:dyDescent="0.3">
      <c r="C2168" s="1" t="s">
        <v>2372</v>
      </c>
      <c r="D2168" s="1" t="s">
        <v>20</v>
      </c>
    </row>
    <row r="2169" spans="3:4" x14ac:dyDescent="0.3">
      <c r="C2169" s="1" t="s">
        <v>2373</v>
      </c>
      <c r="D2169" s="1" t="s">
        <v>28</v>
      </c>
    </row>
    <row r="2170" spans="3:4" x14ac:dyDescent="0.3">
      <c r="C2170" s="1" t="s">
        <v>2374</v>
      </c>
      <c r="D2170" s="1" t="s">
        <v>14</v>
      </c>
    </row>
    <row r="2171" spans="3:4" x14ac:dyDescent="0.3">
      <c r="C2171" s="1" t="s">
        <v>2375</v>
      </c>
      <c r="D2171" s="1" t="s">
        <v>15</v>
      </c>
    </row>
    <row r="2172" spans="3:4" x14ac:dyDescent="0.3">
      <c r="C2172" s="1" t="s">
        <v>2376</v>
      </c>
      <c r="D2172" s="1" t="s">
        <v>15</v>
      </c>
    </row>
    <row r="2173" spans="3:4" x14ac:dyDescent="0.3">
      <c r="C2173" s="1" t="s">
        <v>2377</v>
      </c>
      <c r="D2173" s="1" t="s">
        <v>17</v>
      </c>
    </row>
    <row r="2174" spans="3:4" x14ac:dyDescent="0.3">
      <c r="C2174" s="1" t="s">
        <v>2378</v>
      </c>
      <c r="D2174" s="1" t="s">
        <v>12</v>
      </c>
    </row>
    <row r="2175" spans="3:4" x14ac:dyDescent="0.3">
      <c r="C2175" s="1" t="s">
        <v>2379</v>
      </c>
      <c r="D2175" s="1" t="s">
        <v>24</v>
      </c>
    </row>
    <row r="2176" spans="3:4" x14ac:dyDescent="0.3">
      <c r="C2176" s="1" t="s">
        <v>2380</v>
      </c>
      <c r="D2176" s="1" t="s">
        <v>15</v>
      </c>
    </row>
    <row r="2177" spans="3:4" x14ac:dyDescent="0.3">
      <c r="C2177" s="1" t="s">
        <v>2381</v>
      </c>
      <c r="D2177" s="1" t="s">
        <v>21</v>
      </c>
    </row>
    <row r="2178" spans="3:4" x14ac:dyDescent="0.3">
      <c r="C2178" s="1" t="s">
        <v>2382</v>
      </c>
      <c r="D2178" s="1" t="s">
        <v>20</v>
      </c>
    </row>
    <row r="2179" spans="3:4" x14ac:dyDescent="0.3">
      <c r="C2179" s="1" t="s">
        <v>2383</v>
      </c>
      <c r="D2179" s="1" t="s">
        <v>20</v>
      </c>
    </row>
    <row r="2180" spans="3:4" x14ac:dyDescent="0.3">
      <c r="C2180" s="1" t="s">
        <v>2384</v>
      </c>
      <c r="D2180" s="1" t="s">
        <v>14</v>
      </c>
    </row>
    <row r="2181" spans="3:4" x14ac:dyDescent="0.3">
      <c r="C2181" s="1" t="s">
        <v>2385</v>
      </c>
      <c r="D2181" s="1" t="s">
        <v>14</v>
      </c>
    </row>
    <row r="2182" spans="3:4" x14ac:dyDescent="0.3">
      <c r="C2182" s="1" t="s">
        <v>2386</v>
      </c>
      <c r="D2182" s="1" t="s">
        <v>27</v>
      </c>
    </row>
    <row r="2183" spans="3:4" x14ac:dyDescent="0.3">
      <c r="C2183" s="1" t="s">
        <v>2387</v>
      </c>
      <c r="D2183" s="1" t="s">
        <v>11</v>
      </c>
    </row>
    <row r="2184" spans="3:4" x14ac:dyDescent="0.3">
      <c r="C2184" s="1" t="s">
        <v>2388</v>
      </c>
      <c r="D2184" s="1" t="s">
        <v>15</v>
      </c>
    </row>
    <row r="2185" spans="3:4" x14ac:dyDescent="0.3">
      <c r="C2185" s="1" t="s">
        <v>2389</v>
      </c>
      <c r="D2185" s="1" t="s">
        <v>15</v>
      </c>
    </row>
    <row r="2186" spans="3:4" x14ac:dyDescent="0.3">
      <c r="C2186" s="1" t="s">
        <v>2390</v>
      </c>
      <c r="D2186" s="1" t="s">
        <v>17</v>
      </c>
    </row>
    <row r="2187" spans="3:4" x14ac:dyDescent="0.3">
      <c r="C2187" s="1" t="s">
        <v>2391</v>
      </c>
      <c r="D2187" s="1" t="s">
        <v>13</v>
      </c>
    </row>
    <row r="2188" spans="3:4" x14ac:dyDescent="0.3">
      <c r="C2188" s="1" t="s">
        <v>2392</v>
      </c>
      <c r="D2188" s="1" t="s">
        <v>11</v>
      </c>
    </row>
    <row r="2189" spans="3:4" x14ac:dyDescent="0.3">
      <c r="C2189" s="1" t="s">
        <v>2393</v>
      </c>
      <c r="D2189" s="1" t="s">
        <v>11</v>
      </c>
    </row>
    <row r="2190" spans="3:4" x14ac:dyDescent="0.3">
      <c r="C2190" s="1" t="s">
        <v>2394</v>
      </c>
      <c r="D2190" s="1" t="s">
        <v>24</v>
      </c>
    </row>
    <row r="2191" spans="3:4" x14ac:dyDescent="0.3">
      <c r="C2191" s="1" t="s">
        <v>2395</v>
      </c>
      <c r="D2191" s="1" t="s">
        <v>24</v>
      </c>
    </row>
    <row r="2192" spans="3:4" x14ac:dyDescent="0.3">
      <c r="C2192" s="1" t="s">
        <v>2396</v>
      </c>
      <c r="D2192" s="1" t="s">
        <v>21</v>
      </c>
    </row>
    <row r="2193" spans="3:4" x14ac:dyDescent="0.3">
      <c r="C2193" s="1" t="s">
        <v>2397</v>
      </c>
      <c r="D2193" s="1" t="s">
        <v>11</v>
      </c>
    </row>
    <row r="2194" spans="3:4" x14ac:dyDescent="0.3">
      <c r="C2194" s="1" t="s">
        <v>2398</v>
      </c>
      <c r="D2194" s="1" t="s">
        <v>27</v>
      </c>
    </row>
    <row r="2195" spans="3:4" x14ac:dyDescent="0.3">
      <c r="C2195" s="1" t="s">
        <v>2399</v>
      </c>
      <c r="D2195" s="1" t="s">
        <v>24</v>
      </c>
    </row>
    <row r="2196" spans="3:4" x14ac:dyDescent="0.3">
      <c r="C2196" s="1" t="s">
        <v>2400</v>
      </c>
      <c r="D2196" s="1" t="s">
        <v>28</v>
      </c>
    </row>
    <row r="2197" spans="3:4" x14ac:dyDescent="0.3">
      <c r="C2197" s="1" t="s">
        <v>2401</v>
      </c>
      <c r="D2197" s="1" t="s">
        <v>11</v>
      </c>
    </row>
    <row r="2198" spans="3:4" x14ac:dyDescent="0.3">
      <c r="C2198" s="1" t="s">
        <v>2402</v>
      </c>
      <c r="D2198" s="1" t="s">
        <v>11</v>
      </c>
    </row>
    <row r="2199" spans="3:4" x14ac:dyDescent="0.3">
      <c r="C2199" s="1" t="s">
        <v>2403</v>
      </c>
      <c r="D2199" s="1" t="s">
        <v>11</v>
      </c>
    </row>
    <row r="2200" spans="3:4" x14ac:dyDescent="0.3">
      <c r="C2200" s="1" t="s">
        <v>2404</v>
      </c>
      <c r="D2200" s="1" t="s">
        <v>12</v>
      </c>
    </row>
    <row r="2201" spans="3:4" x14ac:dyDescent="0.3">
      <c r="C2201" s="1" t="s">
        <v>2405</v>
      </c>
      <c r="D2201" s="1" t="s">
        <v>17</v>
      </c>
    </row>
    <row r="2202" spans="3:4" x14ac:dyDescent="0.3">
      <c r="C2202" s="1" t="s">
        <v>2406</v>
      </c>
      <c r="D2202" s="1" t="s">
        <v>15</v>
      </c>
    </row>
    <row r="2203" spans="3:4" x14ac:dyDescent="0.3">
      <c r="C2203" s="1" t="s">
        <v>2407</v>
      </c>
      <c r="D2203" s="1" t="s">
        <v>17</v>
      </c>
    </row>
    <row r="2204" spans="3:4" x14ac:dyDescent="0.3">
      <c r="C2204" s="1" t="s">
        <v>2408</v>
      </c>
      <c r="D2204" s="1" t="s">
        <v>17</v>
      </c>
    </row>
    <row r="2205" spans="3:4" x14ac:dyDescent="0.3">
      <c r="C2205" s="1" t="s">
        <v>2409</v>
      </c>
      <c r="D2205" s="1" t="s">
        <v>17</v>
      </c>
    </row>
    <row r="2206" spans="3:4" x14ac:dyDescent="0.3">
      <c r="C2206" s="1" t="s">
        <v>2410</v>
      </c>
      <c r="D2206" s="1" t="s">
        <v>28</v>
      </c>
    </row>
    <row r="2207" spans="3:4" x14ac:dyDescent="0.3">
      <c r="C2207" s="1" t="s">
        <v>2411</v>
      </c>
      <c r="D2207" s="1" t="s">
        <v>12</v>
      </c>
    </row>
    <row r="2208" spans="3:4" x14ac:dyDescent="0.3">
      <c r="C2208" s="1" t="s">
        <v>2412</v>
      </c>
      <c r="D2208" s="1" t="s">
        <v>28</v>
      </c>
    </row>
    <row r="2209" spans="3:4" x14ac:dyDescent="0.3">
      <c r="C2209" s="1" t="s">
        <v>2413</v>
      </c>
      <c r="D2209" s="1" t="s">
        <v>11</v>
      </c>
    </row>
    <row r="2210" spans="3:4" x14ac:dyDescent="0.3">
      <c r="C2210" s="1" t="s">
        <v>2414</v>
      </c>
      <c r="D2210" s="1" t="s">
        <v>14</v>
      </c>
    </row>
    <row r="2211" spans="3:4" x14ac:dyDescent="0.3">
      <c r="C2211" s="1" t="s">
        <v>2415</v>
      </c>
      <c r="D2211" s="1" t="s">
        <v>24</v>
      </c>
    </row>
    <row r="2212" spans="3:4" x14ac:dyDescent="0.3">
      <c r="C2212" s="1" t="s">
        <v>2416</v>
      </c>
      <c r="D2212" s="1" t="s">
        <v>17</v>
      </c>
    </row>
    <row r="2213" spans="3:4" x14ac:dyDescent="0.3">
      <c r="C2213" s="1" t="s">
        <v>2417</v>
      </c>
      <c r="D2213" s="1" t="s">
        <v>17</v>
      </c>
    </row>
    <row r="2214" spans="3:4" x14ac:dyDescent="0.3">
      <c r="C2214" s="1" t="s">
        <v>2418</v>
      </c>
      <c r="D2214" s="1" t="s">
        <v>24</v>
      </c>
    </row>
    <row r="2215" spans="3:4" x14ac:dyDescent="0.3">
      <c r="C2215" s="1" t="s">
        <v>2419</v>
      </c>
      <c r="D2215" s="1" t="s">
        <v>12</v>
      </c>
    </row>
    <row r="2216" spans="3:4" x14ac:dyDescent="0.3">
      <c r="C2216" s="1" t="s">
        <v>2420</v>
      </c>
      <c r="D2216" s="1" t="s">
        <v>20</v>
      </c>
    </row>
    <row r="2217" spans="3:4" x14ac:dyDescent="0.3">
      <c r="C2217" s="1" t="s">
        <v>2421</v>
      </c>
      <c r="D2217" s="1" t="s">
        <v>24</v>
      </c>
    </row>
    <row r="2218" spans="3:4" x14ac:dyDescent="0.3">
      <c r="C2218" s="1" t="s">
        <v>2422</v>
      </c>
      <c r="D2218" s="1" t="s">
        <v>15</v>
      </c>
    </row>
    <row r="2219" spans="3:4" x14ac:dyDescent="0.3">
      <c r="C2219" s="1" t="s">
        <v>2423</v>
      </c>
      <c r="D2219" s="1" t="s">
        <v>11</v>
      </c>
    </row>
    <row r="2220" spans="3:4" x14ac:dyDescent="0.3">
      <c r="C2220" s="1" t="s">
        <v>2424</v>
      </c>
      <c r="D2220" s="1" t="s">
        <v>11</v>
      </c>
    </row>
    <row r="2221" spans="3:4" x14ac:dyDescent="0.3">
      <c r="C2221" s="1" t="s">
        <v>2425</v>
      </c>
      <c r="D2221" s="1" t="s">
        <v>21</v>
      </c>
    </row>
    <row r="2222" spans="3:4" x14ac:dyDescent="0.3">
      <c r="C2222" s="1" t="s">
        <v>2426</v>
      </c>
      <c r="D2222" s="1" t="s">
        <v>21</v>
      </c>
    </row>
    <row r="2223" spans="3:4" x14ac:dyDescent="0.3">
      <c r="C2223" s="1" t="s">
        <v>2427</v>
      </c>
      <c r="D2223" s="1" t="s">
        <v>11</v>
      </c>
    </row>
    <row r="2224" spans="3:4" x14ac:dyDescent="0.3">
      <c r="C2224" s="1" t="s">
        <v>2428</v>
      </c>
      <c r="D2224" s="1" t="s">
        <v>23</v>
      </c>
    </row>
    <row r="2225" spans="3:4" x14ac:dyDescent="0.3">
      <c r="C2225" s="1" t="s">
        <v>2429</v>
      </c>
      <c r="D2225" s="1" t="s">
        <v>28</v>
      </c>
    </row>
    <row r="2226" spans="3:4" x14ac:dyDescent="0.3">
      <c r="C2226" s="1" t="s">
        <v>2430</v>
      </c>
      <c r="D2226" s="1" t="s">
        <v>12</v>
      </c>
    </row>
    <row r="2227" spans="3:4" x14ac:dyDescent="0.3">
      <c r="C2227" s="1" t="s">
        <v>2431</v>
      </c>
      <c r="D2227" s="1" t="s">
        <v>24</v>
      </c>
    </row>
    <row r="2228" spans="3:4" x14ac:dyDescent="0.3">
      <c r="C2228" s="1" t="s">
        <v>2432</v>
      </c>
      <c r="D2228" s="1" t="s">
        <v>11</v>
      </c>
    </row>
    <row r="2229" spans="3:4" x14ac:dyDescent="0.3">
      <c r="C2229" s="1" t="s">
        <v>2433</v>
      </c>
      <c r="D2229" s="1" t="s">
        <v>18</v>
      </c>
    </row>
    <row r="2230" spans="3:4" x14ac:dyDescent="0.3">
      <c r="C2230" s="1" t="s">
        <v>2434</v>
      </c>
      <c r="D2230" s="1" t="s">
        <v>23</v>
      </c>
    </row>
    <row r="2231" spans="3:4" x14ac:dyDescent="0.3">
      <c r="C2231" s="1" t="s">
        <v>2435</v>
      </c>
      <c r="D2231" s="1" t="s">
        <v>15</v>
      </c>
    </row>
    <row r="2232" spans="3:4" x14ac:dyDescent="0.3">
      <c r="C2232" s="1" t="s">
        <v>2436</v>
      </c>
      <c r="D2232" s="1" t="s">
        <v>27</v>
      </c>
    </row>
    <row r="2233" spans="3:4" x14ac:dyDescent="0.3">
      <c r="C2233" s="1" t="s">
        <v>2437</v>
      </c>
      <c r="D2233" s="1" t="s">
        <v>20</v>
      </c>
    </row>
    <row r="2234" spans="3:4" x14ac:dyDescent="0.3">
      <c r="C2234" s="1" t="s">
        <v>2438</v>
      </c>
      <c r="D2234" s="1" t="s">
        <v>20</v>
      </c>
    </row>
    <row r="2235" spans="3:4" x14ac:dyDescent="0.3">
      <c r="C2235" s="1" t="s">
        <v>2439</v>
      </c>
      <c r="D2235" s="1" t="s">
        <v>26</v>
      </c>
    </row>
    <row r="2236" spans="3:4" x14ac:dyDescent="0.3">
      <c r="C2236" s="1" t="s">
        <v>2440</v>
      </c>
      <c r="D2236" s="1" t="s">
        <v>12</v>
      </c>
    </row>
    <row r="2237" spans="3:4" x14ac:dyDescent="0.3">
      <c r="C2237" s="1" t="s">
        <v>2441</v>
      </c>
      <c r="D2237" s="1" t="s">
        <v>26</v>
      </c>
    </row>
    <row r="2238" spans="3:4" x14ac:dyDescent="0.3">
      <c r="C2238" s="1" t="s">
        <v>2442</v>
      </c>
      <c r="D2238" s="1" t="s">
        <v>16</v>
      </c>
    </row>
    <row r="2239" spans="3:4" x14ac:dyDescent="0.3">
      <c r="C2239" s="1" t="s">
        <v>2443</v>
      </c>
      <c r="D2239" s="1" t="s">
        <v>14</v>
      </c>
    </row>
    <row r="2240" spans="3:4" x14ac:dyDescent="0.3">
      <c r="C2240" s="1" t="s">
        <v>2444</v>
      </c>
      <c r="D2240" s="1" t="s">
        <v>17</v>
      </c>
    </row>
    <row r="2241" spans="3:4" x14ac:dyDescent="0.3">
      <c r="C2241" s="1" t="s">
        <v>2445</v>
      </c>
      <c r="D2241" s="1" t="s">
        <v>19</v>
      </c>
    </row>
    <row r="2242" spans="3:4" x14ac:dyDescent="0.3">
      <c r="C2242" s="1" t="s">
        <v>2446</v>
      </c>
      <c r="D2242" s="1" t="s">
        <v>19</v>
      </c>
    </row>
    <row r="2243" spans="3:4" x14ac:dyDescent="0.3">
      <c r="C2243" s="1" t="s">
        <v>2447</v>
      </c>
      <c r="D2243" s="1" t="s">
        <v>15</v>
      </c>
    </row>
    <row r="2244" spans="3:4" x14ac:dyDescent="0.3">
      <c r="C2244" s="1" t="s">
        <v>2448</v>
      </c>
      <c r="D2244" s="1" t="s">
        <v>17</v>
      </c>
    </row>
    <row r="2245" spans="3:4" x14ac:dyDescent="0.3">
      <c r="C2245" s="1" t="s">
        <v>2449</v>
      </c>
      <c r="D2245" s="1" t="s">
        <v>16</v>
      </c>
    </row>
    <row r="2246" spans="3:4" x14ac:dyDescent="0.3">
      <c r="C2246" s="1" t="s">
        <v>2450</v>
      </c>
      <c r="D2246" s="1" t="s">
        <v>26</v>
      </c>
    </row>
    <row r="2247" spans="3:4" x14ac:dyDescent="0.3">
      <c r="C2247" s="1" t="s">
        <v>2451</v>
      </c>
      <c r="D2247" s="1" t="s">
        <v>14</v>
      </c>
    </row>
    <row r="2248" spans="3:4" x14ac:dyDescent="0.3">
      <c r="C2248" s="1" t="s">
        <v>2452</v>
      </c>
      <c r="D2248" s="1" t="s">
        <v>15</v>
      </c>
    </row>
    <row r="2249" spans="3:4" x14ac:dyDescent="0.3">
      <c r="C2249" s="1" t="s">
        <v>2453</v>
      </c>
      <c r="D2249" s="1" t="s">
        <v>11</v>
      </c>
    </row>
    <row r="2250" spans="3:4" x14ac:dyDescent="0.3">
      <c r="C2250" s="1" t="s">
        <v>2454</v>
      </c>
      <c r="D2250" s="1" t="s">
        <v>28</v>
      </c>
    </row>
    <row r="2251" spans="3:4" x14ac:dyDescent="0.3">
      <c r="C2251" s="1" t="s">
        <v>2455</v>
      </c>
      <c r="D2251" s="1" t="s">
        <v>28</v>
      </c>
    </row>
    <row r="2252" spans="3:4" x14ac:dyDescent="0.3">
      <c r="C2252" s="1" t="s">
        <v>2456</v>
      </c>
      <c r="D2252" s="1" t="s">
        <v>28</v>
      </c>
    </row>
    <row r="2253" spans="3:4" x14ac:dyDescent="0.3">
      <c r="C2253" s="1" t="s">
        <v>2457</v>
      </c>
      <c r="D2253" s="1" t="s">
        <v>28</v>
      </c>
    </row>
    <row r="2254" spans="3:4" x14ac:dyDescent="0.3">
      <c r="C2254" s="1" t="s">
        <v>2458</v>
      </c>
      <c r="D2254" s="1" t="s">
        <v>28</v>
      </c>
    </row>
    <row r="2255" spans="3:4" x14ac:dyDescent="0.3">
      <c r="C2255" s="1" t="s">
        <v>2459</v>
      </c>
      <c r="D2255" s="1" t="s">
        <v>28</v>
      </c>
    </row>
    <row r="2256" spans="3:4" x14ac:dyDescent="0.3">
      <c r="C2256" s="1" t="s">
        <v>2460</v>
      </c>
      <c r="D2256" s="1" t="s">
        <v>28</v>
      </c>
    </row>
    <row r="2257" spans="3:4" x14ac:dyDescent="0.3">
      <c r="C2257" s="1" t="s">
        <v>2461</v>
      </c>
      <c r="D2257" s="1" t="s">
        <v>28</v>
      </c>
    </row>
    <row r="2258" spans="3:4" x14ac:dyDescent="0.3">
      <c r="C2258" s="1" t="s">
        <v>2462</v>
      </c>
      <c r="D2258" s="1" t="s">
        <v>28</v>
      </c>
    </row>
    <row r="2259" spans="3:4" x14ac:dyDescent="0.3">
      <c r="C2259" s="1" t="s">
        <v>2463</v>
      </c>
      <c r="D2259" s="1" t="s">
        <v>28</v>
      </c>
    </row>
    <row r="2260" spans="3:4" x14ac:dyDescent="0.3">
      <c r="C2260" s="1" t="s">
        <v>2464</v>
      </c>
      <c r="D2260" s="1" t="s">
        <v>28</v>
      </c>
    </row>
    <row r="2261" spans="3:4" x14ac:dyDescent="0.3">
      <c r="C2261" s="1" t="s">
        <v>2465</v>
      </c>
      <c r="D2261" s="1" t="s">
        <v>28</v>
      </c>
    </row>
    <row r="2262" spans="3:4" x14ac:dyDescent="0.3">
      <c r="C2262" s="1" t="s">
        <v>2466</v>
      </c>
      <c r="D2262" s="1" t="s">
        <v>28</v>
      </c>
    </row>
    <row r="2263" spans="3:4" x14ac:dyDescent="0.3">
      <c r="C2263" s="1" t="s">
        <v>2467</v>
      </c>
      <c r="D2263" s="1" t="s">
        <v>28</v>
      </c>
    </row>
    <row r="2264" spans="3:4" x14ac:dyDescent="0.3">
      <c r="C2264" s="1" t="s">
        <v>2468</v>
      </c>
      <c r="D2264" s="1" t="s">
        <v>28</v>
      </c>
    </row>
    <row r="2265" spans="3:4" x14ac:dyDescent="0.3">
      <c r="C2265" s="1" t="s">
        <v>2469</v>
      </c>
      <c r="D2265" s="1" t="s">
        <v>28</v>
      </c>
    </row>
    <row r="2266" spans="3:4" x14ac:dyDescent="0.3">
      <c r="C2266" s="1" t="s">
        <v>2470</v>
      </c>
      <c r="D2266" s="1" t="s">
        <v>28</v>
      </c>
    </row>
    <row r="2267" spans="3:4" x14ac:dyDescent="0.3">
      <c r="C2267" s="1" t="s">
        <v>2471</v>
      </c>
      <c r="D2267" s="1" t="s">
        <v>28</v>
      </c>
    </row>
    <row r="2268" spans="3:4" x14ac:dyDescent="0.3">
      <c r="C2268" s="1" t="s">
        <v>2472</v>
      </c>
      <c r="D2268" s="1" t="s">
        <v>28</v>
      </c>
    </row>
    <row r="2269" spans="3:4" x14ac:dyDescent="0.3">
      <c r="C2269" s="1" t="s">
        <v>2473</v>
      </c>
      <c r="D2269" s="1" t="s">
        <v>28</v>
      </c>
    </row>
    <row r="2270" spans="3:4" x14ac:dyDescent="0.3">
      <c r="C2270" s="1" t="s">
        <v>2474</v>
      </c>
      <c r="D2270" s="1" t="s">
        <v>28</v>
      </c>
    </row>
    <row r="2271" spans="3:4" x14ac:dyDescent="0.3">
      <c r="C2271" s="1" t="s">
        <v>2475</v>
      </c>
      <c r="D2271" s="1" t="s">
        <v>28</v>
      </c>
    </row>
    <row r="2272" spans="3:4" x14ac:dyDescent="0.3">
      <c r="C2272" s="1" t="s">
        <v>2476</v>
      </c>
      <c r="D2272" s="1" t="s">
        <v>28</v>
      </c>
    </row>
    <row r="2273" spans="3:4" x14ac:dyDescent="0.3">
      <c r="C2273" s="1" t="s">
        <v>2477</v>
      </c>
      <c r="D2273" s="1" t="s">
        <v>28</v>
      </c>
    </row>
    <row r="2274" spans="3:4" x14ac:dyDescent="0.3">
      <c r="C2274" s="1" t="s">
        <v>2478</v>
      </c>
      <c r="D2274" s="1" t="s">
        <v>28</v>
      </c>
    </row>
    <row r="2275" spans="3:4" x14ac:dyDescent="0.3">
      <c r="C2275" s="1" t="s">
        <v>2479</v>
      </c>
      <c r="D2275" s="1" t="s">
        <v>28</v>
      </c>
    </row>
    <row r="2276" spans="3:4" x14ac:dyDescent="0.3">
      <c r="C2276" s="1" t="s">
        <v>2480</v>
      </c>
      <c r="D2276" s="1" t="s">
        <v>28</v>
      </c>
    </row>
    <row r="2277" spans="3:4" x14ac:dyDescent="0.3">
      <c r="C2277" s="1" t="s">
        <v>2481</v>
      </c>
      <c r="D2277" s="1" t="s">
        <v>28</v>
      </c>
    </row>
    <row r="2278" spans="3:4" x14ac:dyDescent="0.3">
      <c r="C2278" s="1" t="s">
        <v>2482</v>
      </c>
      <c r="D2278" s="1" t="s">
        <v>28</v>
      </c>
    </row>
    <row r="2279" spans="3:4" x14ac:dyDescent="0.3">
      <c r="C2279" s="1" t="s">
        <v>2483</v>
      </c>
      <c r="D2279" s="1" t="s">
        <v>30</v>
      </c>
    </row>
    <row r="2280" spans="3:4" x14ac:dyDescent="0.3">
      <c r="C2280" s="1" t="s">
        <v>2484</v>
      </c>
      <c r="D2280" s="1" t="s">
        <v>30</v>
      </c>
    </row>
    <row r="2281" spans="3:4" x14ac:dyDescent="0.3">
      <c r="C2281" s="1" t="s">
        <v>2485</v>
      </c>
      <c r="D2281" s="1" t="s">
        <v>30</v>
      </c>
    </row>
    <row r="2282" spans="3:4" x14ac:dyDescent="0.3">
      <c r="C2282" s="1" t="s">
        <v>2486</v>
      </c>
      <c r="D2282" s="1" t="s">
        <v>30</v>
      </c>
    </row>
    <row r="2283" spans="3:4" x14ac:dyDescent="0.3">
      <c r="C2283" s="1" t="s">
        <v>2487</v>
      </c>
      <c r="D2283" s="1" t="s">
        <v>30</v>
      </c>
    </row>
    <row r="2284" spans="3:4" x14ac:dyDescent="0.3">
      <c r="C2284" s="1" t="s">
        <v>2488</v>
      </c>
      <c r="D2284" s="1" t="s">
        <v>30</v>
      </c>
    </row>
    <row r="2285" spans="3:4" x14ac:dyDescent="0.3">
      <c r="C2285" s="1" t="s">
        <v>2489</v>
      </c>
      <c r="D2285" s="1" t="s">
        <v>30</v>
      </c>
    </row>
    <row r="2286" spans="3:4" x14ac:dyDescent="0.3">
      <c r="C2286" s="1" t="s">
        <v>2490</v>
      </c>
      <c r="D2286" s="1" t="s">
        <v>30</v>
      </c>
    </row>
    <row r="2287" spans="3:4" x14ac:dyDescent="0.3">
      <c r="C2287" s="1" t="s">
        <v>2491</v>
      </c>
      <c r="D2287" s="1" t="s">
        <v>30</v>
      </c>
    </row>
    <row r="2288" spans="3:4" x14ac:dyDescent="0.3">
      <c r="C2288" s="1" t="s">
        <v>46</v>
      </c>
      <c r="D2288" s="1" t="s">
        <v>30</v>
      </c>
    </row>
    <row r="2289" spans="3:4" x14ac:dyDescent="0.3">
      <c r="C2289" s="1" t="s">
        <v>2492</v>
      </c>
      <c r="D2289" s="1" t="s">
        <v>30</v>
      </c>
    </row>
    <row r="2290" spans="3:4" x14ac:dyDescent="0.3">
      <c r="C2290" s="1" t="s">
        <v>2493</v>
      </c>
      <c r="D2290" s="1" t="s">
        <v>30</v>
      </c>
    </row>
    <row r="2291" spans="3:4" x14ac:dyDescent="0.3">
      <c r="C2291" s="1" t="s">
        <v>2494</v>
      </c>
      <c r="D2291" s="1" t="s">
        <v>30</v>
      </c>
    </row>
    <row r="2292" spans="3:4" x14ac:dyDescent="0.3">
      <c r="C2292" s="1" t="s">
        <v>2495</v>
      </c>
      <c r="D2292" s="1" t="s">
        <v>30</v>
      </c>
    </row>
    <row r="2293" spans="3:4" x14ac:dyDescent="0.3">
      <c r="C2293" s="1" t="s">
        <v>2496</v>
      </c>
      <c r="D2293" s="1" t="s">
        <v>30</v>
      </c>
    </row>
    <row r="2294" spans="3:4" x14ac:dyDescent="0.3">
      <c r="C2294" s="1" t="s">
        <v>101</v>
      </c>
      <c r="D2294" s="1" t="s">
        <v>30</v>
      </c>
    </row>
    <row r="2295" spans="3:4" x14ac:dyDescent="0.3">
      <c r="C2295" s="1" t="s">
        <v>2497</v>
      </c>
      <c r="D2295" s="1" t="s">
        <v>30</v>
      </c>
    </row>
    <row r="2296" spans="3:4" x14ac:dyDescent="0.3">
      <c r="C2296" s="1" t="s">
        <v>2498</v>
      </c>
      <c r="D2296" s="1" t="s">
        <v>30</v>
      </c>
    </row>
    <row r="2297" spans="3:4" x14ac:dyDescent="0.3">
      <c r="C2297" s="1" t="s">
        <v>2499</v>
      </c>
      <c r="D2297" s="1" t="s">
        <v>30</v>
      </c>
    </row>
    <row r="2298" spans="3:4" x14ac:dyDescent="0.3">
      <c r="C2298" s="1" t="s">
        <v>2500</v>
      </c>
      <c r="D2298" s="1" t="s">
        <v>30</v>
      </c>
    </row>
    <row r="2299" spans="3:4" x14ac:dyDescent="0.3">
      <c r="C2299" s="1" t="s">
        <v>2501</v>
      </c>
      <c r="D2299" s="1" t="s">
        <v>30</v>
      </c>
    </row>
    <row r="2300" spans="3:4" x14ac:dyDescent="0.3">
      <c r="C2300" s="1" t="s">
        <v>2502</v>
      </c>
      <c r="D2300" s="1" t="s">
        <v>30</v>
      </c>
    </row>
    <row r="2301" spans="3:4" x14ac:dyDescent="0.3">
      <c r="C2301" s="1" t="s">
        <v>2503</v>
      </c>
      <c r="D2301" s="1" t="s">
        <v>30</v>
      </c>
    </row>
    <row r="2302" spans="3:4" x14ac:dyDescent="0.3">
      <c r="C2302" s="1" t="s">
        <v>2504</v>
      </c>
      <c r="D2302" s="1" t="s">
        <v>30</v>
      </c>
    </row>
    <row r="2303" spans="3:4" x14ac:dyDescent="0.3">
      <c r="C2303" s="1" t="s">
        <v>2505</v>
      </c>
      <c r="D2303" s="1" t="s">
        <v>30</v>
      </c>
    </row>
    <row r="2304" spans="3:4" x14ac:dyDescent="0.3">
      <c r="C2304" s="1" t="s">
        <v>2506</v>
      </c>
      <c r="D2304" s="1" t="s">
        <v>30</v>
      </c>
    </row>
    <row r="2305" spans="3:4" x14ac:dyDescent="0.3">
      <c r="C2305" s="1" t="s">
        <v>2507</v>
      </c>
      <c r="D2305" s="1" t="s">
        <v>30</v>
      </c>
    </row>
    <row r="2306" spans="3:4" x14ac:dyDescent="0.3">
      <c r="C2306" s="1" t="s">
        <v>2508</v>
      </c>
      <c r="D2306" s="1" t="s">
        <v>30</v>
      </c>
    </row>
    <row r="2307" spans="3:4" x14ac:dyDescent="0.3">
      <c r="C2307" s="1" t="s">
        <v>2509</v>
      </c>
      <c r="D2307" s="1" t="s">
        <v>30</v>
      </c>
    </row>
    <row r="2308" spans="3:4" x14ac:dyDescent="0.3">
      <c r="C2308" s="1" t="s">
        <v>2510</v>
      </c>
      <c r="D2308" s="1" t="s">
        <v>30</v>
      </c>
    </row>
    <row r="2309" spans="3:4" x14ac:dyDescent="0.3">
      <c r="C2309" s="1" t="s">
        <v>2511</v>
      </c>
      <c r="D2309" s="1" t="s">
        <v>30</v>
      </c>
    </row>
    <row r="2310" spans="3:4" x14ac:dyDescent="0.3">
      <c r="C2310" s="1" t="s">
        <v>2512</v>
      </c>
      <c r="D2310" s="1" t="s">
        <v>30</v>
      </c>
    </row>
    <row r="2311" spans="3:4" x14ac:dyDescent="0.3">
      <c r="C2311" s="1" t="s">
        <v>2513</v>
      </c>
      <c r="D2311" s="1" t="s">
        <v>30</v>
      </c>
    </row>
    <row r="2312" spans="3:4" x14ac:dyDescent="0.3">
      <c r="C2312" s="1" t="s">
        <v>2514</v>
      </c>
      <c r="D2312" s="1" t="s">
        <v>30</v>
      </c>
    </row>
    <row r="2313" spans="3:4" x14ac:dyDescent="0.3">
      <c r="C2313" s="1" t="s">
        <v>2515</v>
      </c>
      <c r="D2313" s="1" t="s">
        <v>30</v>
      </c>
    </row>
    <row r="2314" spans="3:4" x14ac:dyDescent="0.3">
      <c r="C2314" s="1" t="s">
        <v>2516</v>
      </c>
      <c r="D2314" s="1" t="s">
        <v>30</v>
      </c>
    </row>
    <row r="2315" spans="3:4" x14ac:dyDescent="0.3">
      <c r="C2315" s="1" t="s">
        <v>2517</v>
      </c>
      <c r="D2315" s="1" t="s">
        <v>30</v>
      </c>
    </row>
    <row r="2316" spans="3:4" x14ac:dyDescent="0.3">
      <c r="C2316" s="1" t="s">
        <v>2518</v>
      </c>
      <c r="D2316" s="1" t="s">
        <v>30</v>
      </c>
    </row>
    <row r="2317" spans="3:4" x14ac:dyDescent="0.3">
      <c r="C2317" s="1" t="s">
        <v>2519</v>
      </c>
      <c r="D2317" s="1" t="s">
        <v>30</v>
      </c>
    </row>
    <row r="2318" spans="3:4" x14ac:dyDescent="0.3">
      <c r="C2318" s="1" t="s">
        <v>2520</v>
      </c>
      <c r="D2318" s="1" t="s">
        <v>30</v>
      </c>
    </row>
    <row r="2319" spans="3:4" x14ac:dyDescent="0.3">
      <c r="C2319" s="1" t="s">
        <v>2521</v>
      </c>
      <c r="D2319" s="1" t="s">
        <v>30</v>
      </c>
    </row>
    <row r="2320" spans="3:4" x14ac:dyDescent="0.3">
      <c r="C2320" s="1" t="s">
        <v>282</v>
      </c>
      <c r="D2320" s="1" t="s">
        <v>30</v>
      </c>
    </row>
    <row r="2321" spans="3:4" x14ac:dyDescent="0.3">
      <c r="C2321" s="1" t="s">
        <v>283</v>
      </c>
      <c r="D2321" s="1" t="s">
        <v>30</v>
      </c>
    </row>
    <row r="2322" spans="3:4" x14ac:dyDescent="0.3">
      <c r="C2322" s="1" t="s">
        <v>2522</v>
      </c>
      <c r="D2322" s="1" t="s">
        <v>30</v>
      </c>
    </row>
    <row r="2323" spans="3:4" x14ac:dyDescent="0.3">
      <c r="C2323" s="1" t="s">
        <v>2523</v>
      </c>
      <c r="D2323" s="1" t="s">
        <v>30</v>
      </c>
    </row>
    <row r="2324" spans="3:4" x14ac:dyDescent="0.3">
      <c r="C2324" s="1" t="s">
        <v>2524</v>
      </c>
      <c r="D2324" s="1" t="s">
        <v>30</v>
      </c>
    </row>
    <row r="2325" spans="3:4" x14ac:dyDescent="0.3">
      <c r="C2325" s="1" t="s">
        <v>2525</v>
      </c>
      <c r="D2325" s="1" t="s">
        <v>30</v>
      </c>
    </row>
    <row r="2326" spans="3:4" x14ac:dyDescent="0.3">
      <c r="C2326" s="1" t="s">
        <v>2526</v>
      </c>
      <c r="D2326" s="1" t="s">
        <v>30</v>
      </c>
    </row>
    <row r="2327" spans="3:4" x14ac:dyDescent="0.3">
      <c r="C2327" s="1" t="s">
        <v>2527</v>
      </c>
      <c r="D2327" s="1" t="s">
        <v>30</v>
      </c>
    </row>
    <row r="2328" spans="3:4" x14ac:dyDescent="0.3">
      <c r="C2328" s="1" t="s">
        <v>2528</v>
      </c>
      <c r="D2328" s="1" t="s">
        <v>30</v>
      </c>
    </row>
    <row r="2329" spans="3:4" x14ac:dyDescent="0.3">
      <c r="C2329" s="1" t="s">
        <v>2529</v>
      </c>
      <c r="D2329" s="1" t="s">
        <v>30</v>
      </c>
    </row>
    <row r="2330" spans="3:4" x14ac:dyDescent="0.3">
      <c r="C2330" s="1" t="s">
        <v>2530</v>
      </c>
      <c r="D2330" s="1" t="s">
        <v>30</v>
      </c>
    </row>
    <row r="2331" spans="3:4" x14ac:dyDescent="0.3">
      <c r="C2331" s="1" t="s">
        <v>2531</v>
      </c>
      <c r="D2331" s="1" t="s">
        <v>30</v>
      </c>
    </row>
    <row r="2332" spans="3:4" x14ac:dyDescent="0.3">
      <c r="C2332" s="1" t="s">
        <v>284</v>
      </c>
      <c r="D2332" s="1" t="s">
        <v>30</v>
      </c>
    </row>
    <row r="2333" spans="3:4" x14ac:dyDescent="0.3">
      <c r="C2333" s="1" t="s">
        <v>2532</v>
      </c>
      <c r="D2333" s="1" t="s">
        <v>30</v>
      </c>
    </row>
    <row r="2334" spans="3:4" x14ac:dyDescent="0.3">
      <c r="C2334" s="1" t="s">
        <v>2533</v>
      </c>
      <c r="D2334" s="1" t="s">
        <v>30</v>
      </c>
    </row>
    <row r="2335" spans="3:4" x14ac:dyDescent="0.3">
      <c r="C2335" s="1" t="s">
        <v>2534</v>
      </c>
      <c r="D2335" s="1" t="s">
        <v>30</v>
      </c>
    </row>
    <row r="2336" spans="3:4" x14ac:dyDescent="0.3">
      <c r="C2336" s="1" t="s">
        <v>2535</v>
      </c>
      <c r="D2336" s="1" t="s">
        <v>30</v>
      </c>
    </row>
    <row r="2337" spans="3:4" x14ac:dyDescent="0.3">
      <c r="C2337" s="1" t="s">
        <v>285</v>
      </c>
      <c r="D2337" s="1" t="s">
        <v>30</v>
      </c>
    </row>
    <row r="2338" spans="3:4" x14ac:dyDescent="0.3">
      <c r="C2338" s="1" t="s">
        <v>2536</v>
      </c>
      <c r="D2338" s="1" t="s">
        <v>30</v>
      </c>
    </row>
    <row r="2339" spans="3:4" x14ac:dyDescent="0.3">
      <c r="C2339" s="1" t="s">
        <v>286</v>
      </c>
      <c r="D2339" s="1" t="s">
        <v>30</v>
      </c>
    </row>
    <row r="2340" spans="3:4" x14ac:dyDescent="0.3">
      <c r="C2340" s="1" t="s">
        <v>287</v>
      </c>
      <c r="D2340" s="1" t="s">
        <v>30</v>
      </c>
    </row>
    <row r="2341" spans="3:4" x14ac:dyDescent="0.3">
      <c r="C2341" s="1" t="s">
        <v>2537</v>
      </c>
      <c r="D2341" s="1" t="s">
        <v>30</v>
      </c>
    </row>
    <row r="2342" spans="3:4" x14ac:dyDescent="0.3">
      <c r="C2342" s="1" t="s">
        <v>2538</v>
      </c>
      <c r="D2342" s="1" t="s">
        <v>30</v>
      </c>
    </row>
    <row r="2343" spans="3:4" x14ac:dyDescent="0.3">
      <c r="C2343" s="1" t="s">
        <v>2539</v>
      </c>
      <c r="D2343" s="1" t="s">
        <v>30</v>
      </c>
    </row>
    <row r="2344" spans="3:4" x14ac:dyDescent="0.3">
      <c r="C2344" s="1" t="s">
        <v>2540</v>
      </c>
      <c r="D2344" s="1" t="s">
        <v>30</v>
      </c>
    </row>
    <row r="2345" spans="3:4" x14ac:dyDescent="0.3">
      <c r="C2345" s="1" t="s">
        <v>2541</v>
      </c>
      <c r="D2345" s="1" t="s">
        <v>30</v>
      </c>
    </row>
    <row r="2346" spans="3:4" x14ac:dyDescent="0.3">
      <c r="C2346" s="1" t="s">
        <v>2542</v>
      </c>
      <c r="D2346" s="1" t="s">
        <v>30</v>
      </c>
    </row>
    <row r="2347" spans="3:4" x14ac:dyDescent="0.3">
      <c r="C2347" s="1" t="s">
        <v>2543</v>
      </c>
      <c r="D2347" s="1" t="s">
        <v>30</v>
      </c>
    </row>
    <row r="2348" spans="3:4" x14ac:dyDescent="0.3">
      <c r="C2348" s="1" t="s">
        <v>2544</v>
      </c>
      <c r="D2348" s="1" t="s">
        <v>30</v>
      </c>
    </row>
    <row r="2349" spans="3:4" x14ac:dyDescent="0.3">
      <c r="C2349" s="1" t="s">
        <v>2545</v>
      </c>
      <c r="D2349" s="1" t="s">
        <v>30</v>
      </c>
    </row>
    <row r="2350" spans="3:4" x14ac:dyDescent="0.3">
      <c r="C2350" s="1" t="s">
        <v>2546</v>
      </c>
      <c r="D2350" s="1" t="s">
        <v>30</v>
      </c>
    </row>
    <row r="2351" spans="3:4" x14ac:dyDescent="0.3">
      <c r="C2351" s="1" t="s">
        <v>2547</v>
      </c>
      <c r="D2351" s="1" t="s">
        <v>30</v>
      </c>
    </row>
    <row r="2352" spans="3:4" x14ac:dyDescent="0.3">
      <c r="C2352" s="1" t="s">
        <v>2548</v>
      </c>
      <c r="D2352" s="1" t="s">
        <v>30</v>
      </c>
    </row>
    <row r="2353" spans="3:4" x14ac:dyDescent="0.3">
      <c r="C2353" s="1" t="s">
        <v>2549</v>
      </c>
      <c r="D2353" s="1" t="s">
        <v>30</v>
      </c>
    </row>
    <row r="2354" spans="3:4" x14ac:dyDescent="0.3">
      <c r="C2354" s="1" t="s">
        <v>2550</v>
      </c>
      <c r="D2354" s="1" t="s">
        <v>30</v>
      </c>
    </row>
    <row r="2355" spans="3:4" x14ac:dyDescent="0.3">
      <c r="C2355" s="1" t="s">
        <v>2551</v>
      </c>
      <c r="D2355" s="1" t="s">
        <v>30</v>
      </c>
    </row>
    <row r="2356" spans="3:4" x14ac:dyDescent="0.3">
      <c r="C2356" s="1" t="s">
        <v>2552</v>
      </c>
      <c r="D2356" s="1" t="s">
        <v>30</v>
      </c>
    </row>
    <row r="2357" spans="3:4" x14ac:dyDescent="0.3">
      <c r="C2357" s="1" t="s">
        <v>2553</v>
      </c>
      <c r="D2357" s="1" t="s">
        <v>30</v>
      </c>
    </row>
    <row r="2358" spans="3:4" x14ac:dyDescent="0.3">
      <c r="C2358" s="1" t="s">
        <v>2554</v>
      </c>
      <c r="D2358" s="1" t="s">
        <v>30</v>
      </c>
    </row>
    <row r="2359" spans="3:4" x14ac:dyDescent="0.3">
      <c r="C2359" s="1" t="s">
        <v>2555</v>
      </c>
      <c r="D2359" s="1" t="s">
        <v>30</v>
      </c>
    </row>
    <row r="2360" spans="3:4" x14ac:dyDescent="0.3">
      <c r="C2360" s="1" t="s">
        <v>2556</v>
      </c>
      <c r="D2360" s="1" t="s">
        <v>30</v>
      </c>
    </row>
    <row r="2361" spans="3:4" x14ac:dyDescent="0.3">
      <c r="C2361" s="1" t="s">
        <v>2557</v>
      </c>
      <c r="D2361" s="1" t="s">
        <v>30</v>
      </c>
    </row>
    <row r="2362" spans="3:4" x14ac:dyDescent="0.3">
      <c r="C2362" s="1" t="s">
        <v>2558</v>
      </c>
      <c r="D2362" s="1" t="s">
        <v>30</v>
      </c>
    </row>
    <row r="2363" spans="3:4" x14ac:dyDescent="0.3">
      <c r="C2363" s="1" t="s">
        <v>47</v>
      </c>
      <c r="D2363" s="1" t="s">
        <v>30</v>
      </c>
    </row>
    <row r="2364" spans="3:4" x14ac:dyDescent="0.3">
      <c r="C2364" s="1" t="s">
        <v>2559</v>
      </c>
      <c r="D2364" s="1" t="s">
        <v>30</v>
      </c>
    </row>
    <row r="2365" spans="3:4" x14ac:dyDescent="0.3">
      <c r="C2365" s="1" t="s">
        <v>2560</v>
      </c>
      <c r="D2365" s="1" t="s">
        <v>30</v>
      </c>
    </row>
    <row r="2366" spans="3:4" x14ac:dyDescent="0.3">
      <c r="C2366" s="1" t="s">
        <v>2561</v>
      </c>
      <c r="D2366" s="1" t="s">
        <v>30</v>
      </c>
    </row>
    <row r="2367" spans="3:4" x14ac:dyDescent="0.3">
      <c r="C2367" s="1" t="s">
        <v>2562</v>
      </c>
      <c r="D2367" s="1" t="s">
        <v>30</v>
      </c>
    </row>
    <row r="2368" spans="3:4" x14ac:dyDescent="0.3">
      <c r="C2368" s="1" t="s">
        <v>2563</v>
      </c>
      <c r="D2368" s="1" t="s">
        <v>30</v>
      </c>
    </row>
    <row r="2369" spans="3:4" x14ac:dyDescent="0.3">
      <c r="C2369" s="1" t="s">
        <v>2564</v>
      </c>
      <c r="D2369" s="1" t="s">
        <v>30</v>
      </c>
    </row>
    <row r="2370" spans="3:4" x14ac:dyDescent="0.3">
      <c r="C2370" s="1" t="s">
        <v>2565</v>
      </c>
      <c r="D2370" s="1" t="s">
        <v>30</v>
      </c>
    </row>
    <row r="2371" spans="3:4" x14ac:dyDescent="0.3">
      <c r="C2371" s="1" t="s">
        <v>2566</v>
      </c>
      <c r="D2371" s="1" t="s">
        <v>30</v>
      </c>
    </row>
    <row r="2372" spans="3:4" x14ac:dyDescent="0.3">
      <c r="C2372" s="1" t="s">
        <v>2567</v>
      </c>
      <c r="D2372" s="1" t="s">
        <v>30</v>
      </c>
    </row>
    <row r="2373" spans="3:4" x14ac:dyDescent="0.3">
      <c r="C2373" s="1" t="s">
        <v>2568</v>
      </c>
      <c r="D2373" s="1" t="s">
        <v>30</v>
      </c>
    </row>
    <row r="2374" spans="3:4" x14ac:dyDescent="0.3">
      <c r="C2374" s="1" t="s">
        <v>2569</v>
      </c>
      <c r="D2374" s="1" t="s">
        <v>30</v>
      </c>
    </row>
    <row r="2375" spans="3:4" x14ac:dyDescent="0.3">
      <c r="C2375" s="1" t="s">
        <v>2570</v>
      </c>
      <c r="D2375" s="1" t="s">
        <v>30</v>
      </c>
    </row>
    <row r="2376" spans="3:4" x14ac:dyDescent="0.3">
      <c r="C2376" s="1" t="s">
        <v>2571</v>
      </c>
      <c r="D2376" s="1" t="s">
        <v>30</v>
      </c>
    </row>
    <row r="2377" spans="3:4" x14ac:dyDescent="0.3">
      <c r="C2377" s="1" t="s">
        <v>2572</v>
      </c>
      <c r="D2377" s="1" t="s">
        <v>30</v>
      </c>
    </row>
    <row r="2378" spans="3:4" x14ac:dyDescent="0.3">
      <c r="C2378" s="1" t="s">
        <v>2573</v>
      </c>
      <c r="D2378" s="1" t="s">
        <v>30</v>
      </c>
    </row>
    <row r="2379" spans="3:4" x14ac:dyDescent="0.3">
      <c r="C2379" s="1" t="s">
        <v>2574</v>
      </c>
      <c r="D2379" s="1" t="s">
        <v>30</v>
      </c>
    </row>
    <row r="2380" spans="3:4" x14ac:dyDescent="0.3">
      <c r="C2380" s="1" t="s">
        <v>58</v>
      </c>
      <c r="D2380" s="1" t="s">
        <v>30</v>
      </c>
    </row>
    <row r="2381" spans="3:4" x14ac:dyDescent="0.3">
      <c r="C2381" s="1" t="s">
        <v>2575</v>
      </c>
      <c r="D2381" s="1" t="s">
        <v>30</v>
      </c>
    </row>
    <row r="2382" spans="3:4" x14ac:dyDescent="0.3">
      <c r="C2382" s="1" t="s">
        <v>2576</v>
      </c>
      <c r="D2382" s="1" t="s">
        <v>30</v>
      </c>
    </row>
    <row r="2383" spans="3:4" x14ac:dyDescent="0.3">
      <c r="C2383" s="1" t="s">
        <v>2577</v>
      </c>
      <c r="D2383" s="1" t="s">
        <v>30</v>
      </c>
    </row>
    <row r="2384" spans="3:4" x14ac:dyDescent="0.3">
      <c r="C2384" s="1" t="s">
        <v>2578</v>
      </c>
      <c r="D2384" s="1" t="s">
        <v>30</v>
      </c>
    </row>
    <row r="2385" spans="3:4" x14ac:dyDescent="0.3">
      <c r="C2385" s="1" t="s">
        <v>2579</v>
      </c>
      <c r="D2385" s="1" t="s">
        <v>30</v>
      </c>
    </row>
    <row r="2386" spans="3:4" x14ac:dyDescent="0.3">
      <c r="C2386" s="1" t="s">
        <v>2580</v>
      </c>
      <c r="D2386" s="1" t="s">
        <v>30</v>
      </c>
    </row>
    <row r="2387" spans="3:4" x14ac:dyDescent="0.3">
      <c r="C2387" s="1" t="s">
        <v>2581</v>
      </c>
      <c r="D2387" s="1" t="s">
        <v>30</v>
      </c>
    </row>
    <row r="2388" spans="3:4" x14ac:dyDescent="0.3">
      <c r="C2388" s="1" t="s">
        <v>2582</v>
      </c>
      <c r="D2388" s="1" t="s">
        <v>30</v>
      </c>
    </row>
    <row r="2389" spans="3:4" x14ac:dyDescent="0.3">
      <c r="C2389" s="1" t="s">
        <v>2583</v>
      </c>
      <c r="D2389" s="1" t="s">
        <v>30</v>
      </c>
    </row>
    <row r="2390" spans="3:4" x14ac:dyDescent="0.3">
      <c r="C2390" s="1" t="s">
        <v>2584</v>
      </c>
      <c r="D2390" s="1" t="s">
        <v>30</v>
      </c>
    </row>
    <row r="2391" spans="3:4" x14ac:dyDescent="0.3">
      <c r="C2391" s="1" t="s">
        <v>2585</v>
      </c>
      <c r="D2391" s="1" t="s">
        <v>30</v>
      </c>
    </row>
    <row r="2392" spans="3:4" x14ac:dyDescent="0.3">
      <c r="C2392" s="1" t="s">
        <v>2586</v>
      </c>
      <c r="D2392" s="1" t="s">
        <v>30</v>
      </c>
    </row>
    <row r="2393" spans="3:4" x14ac:dyDescent="0.3">
      <c r="C2393" s="1" t="s">
        <v>2587</v>
      </c>
      <c r="D2393" s="1" t="s">
        <v>30</v>
      </c>
    </row>
    <row r="2394" spans="3:4" x14ac:dyDescent="0.3">
      <c r="C2394" s="1" t="s">
        <v>2588</v>
      </c>
      <c r="D2394" s="1" t="s">
        <v>30</v>
      </c>
    </row>
    <row r="2395" spans="3:4" x14ac:dyDescent="0.3">
      <c r="C2395" s="1" t="s">
        <v>2589</v>
      </c>
      <c r="D2395" s="1" t="s">
        <v>30</v>
      </c>
    </row>
    <row r="2396" spans="3:4" x14ac:dyDescent="0.3">
      <c r="C2396" s="1" t="s">
        <v>2590</v>
      </c>
      <c r="D2396" s="1" t="s">
        <v>30</v>
      </c>
    </row>
    <row r="2397" spans="3:4" x14ac:dyDescent="0.3">
      <c r="C2397" s="1" t="s">
        <v>2591</v>
      </c>
      <c r="D2397" s="1" t="s">
        <v>30</v>
      </c>
    </row>
    <row r="2398" spans="3:4" x14ac:dyDescent="0.3">
      <c r="C2398" s="1" t="s">
        <v>2592</v>
      </c>
      <c r="D2398" s="1" t="s">
        <v>30</v>
      </c>
    </row>
    <row r="2399" spans="3:4" x14ac:dyDescent="0.3">
      <c r="C2399" s="1" t="s">
        <v>2593</v>
      </c>
      <c r="D2399" s="1" t="s">
        <v>30</v>
      </c>
    </row>
    <row r="2400" spans="3:4" x14ac:dyDescent="0.3">
      <c r="C2400" s="1" t="s">
        <v>2594</v>
      </c>
      <c r="D2400" s="1" t="s">
        <v>30</v>
      </c>
    </row>
    <row r="2401" spans="3:4" x14ac:dyDescent="0.3">
      <c r="C2401" s="1" t="s">
        <v>2595</v>
      </c>
      <c r="D2401" s="1" t="s">
        <v>30</v>
      </c>
    </row>
    <row r="2402" spans="3:4" x14ac:dyDescent="0.3">
      <c r="C2402" s="1" t="s">
        <v>2596</v>
      </c>
      <c r="D2402" s="1" t="s">
        <v>30</v>
      </c>
    </row>
    <row r="2403" spans="3:4" x14ac:dyDescent="0.3">
      <c r="C2403" s="1" t="s">
        <v>102</v>
      </c>
      <c r="D2403" s="1" t="s">
        <v>30</v>
      </c>
    </row>
    <row r="2404" spans="3:4" x14ac:dyDescent="0.3">
      <c r="C2404" s="1" t="s">
        <v>2597</v>
      </c>
      <c r="D2404" s="1" t="s">
        <v>30</v>
      </c>
    </row>
    <row r="2405" spans="3:4" x14ac:dyDescent="0.3">
      <c r="C2405" s="1" t="s">
        <v>2598</v>
      </c>
      <c r="D2405" s="1" t="s">
        <v>30</v>
      </c>
    </row>
    <row r="2406" spans="3:4" x14ac:dyDescent="0.3">
      <c r="C2406" s="1" t="s">
        <v>2599</v>
      </c>
      <c r="D2406" s="1" t="s">
        <v>30</v>
      </c>
    </row>
    <row r="2407" spans="3:4" x14ac:dyDescent="0.3">
      <c r="C2407" s="1" t="s">
        <v>2600</v>
      </c>
      <c r="D2407" s="1" t="s">
        <v>30</v>
      </c>
    </row>
    <row r="2408" spans="3:4" x14ac:dyDescent="0.3">
      <c r="C2408" s="1" t="s">
        <v>2601</v>
      </c>
      <c r="D2408" s="1" t="s">
        <v>30</v>
      </c>
    </row>
    <row r="2409" spans="3:4" x14ac:dyDescent="0.3">
      <c r="C2409" s="1" t="s">
        <v>2602</v>
      </c>
      <c r="D2409" s="1" t="s">
        <v>30</v>
      </c>
    </row>
    <row r="2410" spans="3:4" x14ac:dyDescent="0.3">
      <c r="C2410" s="1" t="s">
        <v>2603</v>
      </c>
      <c r="D2410" s="1" t="s">
        <v>30</v>
      </c>
    </row>
    <row r="2411" spans="3:4" x14ac:dyDescent="0.3">
      <c r="C2411" s="1" t="s">
        <v>2604</v>
      </c>
      <c r="D2411" s="1" t="s">
        <v>30</v>
      </c>
    </row>
    <row r="2412" spans="3:4" x14ac:dyDescent="0.3">
      <c r="C2412" s="1" t="s">
        <v>2605</v>
      </c>
      <c r="D2412" s="1" t="s">
        <v>30</v>
      </c>
    </row>
    <row r="2413" spans="3:4" x14ac:dyDescent="0.3">
      <c r="C2413" s="1" t="s">
        <v>2606</v>
      </c>
      <c r="D2413" s="1" t="s">
        <v>30</v>
      </c>
    </row>
    <row r="2414" spans="3:4" x14ac:dyDescent="0.3">
      <c r="C2414" s="1" t="s">
        <v>2607</v>
      </c>
      <c r="D2414" s="1" t="s">
        <v>30</v>
      </c>
    </row>
    <row r="2415" spans="3:4" x14ac:dyDescent="0.3">
      <c r="C2415" s="1" t="s">
        <v>2608</v>
      </c>
      <c r="D2415" s="1" t="s">
        <v>30</v>
      </c>
    </row>
    <row r="2416" spans="3:4" x14ac:dyDescent="0.3">
      <c r="C2416" s="1" t="s">
        <v>2609</v>
      </c>
      <c r="D2416" s="1" t="s">
        <v>30</v>
      </c>
    </row>
    <row r="2417" spans="3:4" x14ac:dyDescent="0.3">
      <c r="C2417" s="1" t="s">
        <v>2610</v>
      </c>
      <c r="D2417" s="1" t="s">
        <v>30</v>
      </c>
    </row>
    <row r="2418" spans="3:4" x14ac:dyDescent="0.3">
      <c r="C2418" s="1" t="s">
        <v>2611</v>
      </c>
      <c r="D2418" s="1" t="s">
        <v>30</v>
      </c>
    </row>
    <row r="2419" spans="3:4" x14ac:dyDescent="0.3">
      <c r="C2419" s="1" t="s">
        <v>2612</v>
      </c>
      <c r="D2419" s="1" t="s">
        <v>30</v>
      </c>
    </row>
    <row r="2420" spans="3:4" x14ac:dyDescent="0.3">
      <c r="C2420" s="1" t="s">
        <v>2613</v>
      </c>
      <c r="D2420" s="1" t="s">
        <v>30</v>
      </c>
    </row>
    <row r="2421" spans="3:4" x14ac:dyDescent="0.3">
      <c r="C2421" s="1" t="s">
        <v>2614</v>
      </c>
      <c r="D2421" s="1" t="s">
        <v>30</v>
      </c>
    </row>
    <row r="2422" spans="3:4" x14ac:dyDescent="0.3">
      <c r="C2422" s="1" t="s">
        <v>2615</v>
      </c>
      <c r="D2422" s="1" t="s">
        <v>30</v>
      </c>
    </row>
    <row r="2423" spans="3:4" x14ac:dyDescent="0.3">
      <c r="C2423" s="1" t="s">
        <v>2616</v>
      </c>
      <c r="D2423" s="1" t="s">
        <v>30</v>
      </c>
    </row>
    <row r="2424" spans="3:4" x14ac:dyDescent="0.3">
      <c r="C2424" s="1" t="s">
        <v>2617</v>
      </c>
      <c r="D2424" s="1" t="s">
        <v>12</v>
      </c>
    </row>
    <row r="2425" spans="3:4" x14ac:dyDescent="0.3">
      <c r="C2425" s="1" t="s">
        <v>2618</v>
      </c>
      <c r="D2425" s="1" t="s">
        <v>12</v>
      </c>
    </row>
    <row r="2426" spans="3:4" x14ac:dyDescent="0.3">
      <c r="C2426" s="1" t="s">
        <v>2619</v>
      </c>
      <c r="D2426" s="1" t="s">
        <v>11</v>
      </c>
    </row>
    <row r="2427" spans="3:4" x14ac:dyDescent="0.3">
      <c r="C2427" s="1" t="s">
        <v>2620</v>
      </c>
      <c r="D2427" s="1" t="s">
        <v>11</v>
      </c>
    </row>
    <row r="2428" spans="3:4" x14ac:dyDescent="0.3">
      <c r="C2428" s="1" t="s">
        <v>2621</v>
      </c>
      <c r="D2428" s="1" t="s">
        <v>12</v>
      </c>
    </row>
    <row r="2429" spans="3:4" x14ac:dyDescent="0.3">
      <c r="C2429" s="1" t="s">
        <v>2622</v>
      </c>
      <c r="D2429" s="1" t="s">
        <v>12</v>
      </c>
    </row>
    <row r="2430" spans="3:4" x14ac:dyDescent="0.3">
      <c r="C2430" s="1" t="s">
        <v>2623</v>
      </c>
      <c r="D2430" s="1" t="s">
        <v>11</v>
      </c>
    </row>
    <row r="2431" spans="3:4" x14ac:dyDescent="0.3">
      <c r="C2431" s="1" t="s">
        <v>2624</v>
      </c>
      <c r="D2431" s="1" t="s">
        <v>12</v>
      </c>
    </row>
    <row r="2432" spans="3:4" x14ac:dyDescent="0.3">
      <c r="C2432" s="1" t="s">
        <v>2625</v>
      </c>
      <c r="D2432" s="1" t="s">
        <v>20</v>
      </c>
    </row>
    <row r="2433" spans="3:4" x14ac:dyDescent="0.3">
      <c r="C2433" s="1" t="s">
        <v>2626</v>
      </c>
      <c r="D2433" s="1" t="s">
        <v>12</v>
      </c>
    </row>
    <row r="2434" spans="3:4" x14ac:dyDescent="0.3">
      <c r="C2434" s="1" t="s">
        <v>2627</v>
      </c>
      <c r="D2434" s="1" t="s">
        <v>12</v>
      </c>
    </row>
    <row r="2435" spans="3:4" x14ac:dyDescent="0.3">
      <c r="C2435" s="1" t="s">
        <v>59</v>
      </c>
      <c r="D2435" s="1" t="s">
        <v>12</v>
      </c>
    </row>
    <row r="2436" spans="3:4" x14ac:dyDescent="0.3">
      <c r="C2436" s="1" t="s">
        <v>2628</v>
      </c>
      <c r="D2436" s="1" t="s">
        <v>12</v>
      </c>
    </row>
    <row r="2437" spans="3:4" x14ac:dyDescent="0.3">
      <c r="C2437" s="1" t="s">
        <v>2629</v>
      </c>
      <c r="D2437" s="1" t="s">
        <v>12</v>
      </c>
    </row>
    <row r="2438" spans="3:4" x14ac:dyDescent="0.3">
      <c r="C2438" s="1" t="s">
        <v>2630</v>
      </c>
      <c r="D2438" s="1" t="s">
        <v>12</v>
      </c>
    </row>
    <row r="2439" spans="3:4" x14ac:dyDescent="0.3">
      <c r="C2439" s="1" t="s">
        <v>2631</v>
      </c>
      <c r="D2439" s="1" t="s">
        <v>11</v>
      </c>
    </row>
    <row r="2440" spans="3:4" x14ac:dyDescent="0.3">
      <c r="C2440" s="1" t="s">
        <v>2632</v>
      </c>
      <c r="D2440" s="1" t="s">
        <v>11</v>
      </c>
    </row>
    <row r="2441" spans="3:4" x14ac:dyDescent="0.3">
      <c r="C2441" s="1" t="s">
        <v>103</v>
      </c>
      <c r="D2441" s="1" t="s">
        <v>12</v>
      </c>
    </row>
    <row r="2442" spans="3:4" x14ac:dyDescent="0.3">
      <c r="C2442" s="1" t="s">
        <v>2633</v>
      </c>
      <c r="D2442" s="1" t="s">
        <v>12</v>
      </c>
    </row>
    <row r="2443" spans="3:4" x14ac:dyDescent="0.3">
      <c r="C2443" s="1" t="s">
        <v>2634</v>
      </c>
      <c r="D2443" s="1" t="s">
        <v>11</v>
      </c>
    </row>
    <row r="2444" spans="3:4" x14ac:dyDescent="0.3">
      <c r="C2444" s="1" t="s">
        <v>2635</v>
      </c>
      <c r="D2444" s="1" t="s">
        <v>11</v>
      </c>
    </row>
    <row r="2445" spans="3:4" x14ac:dyDescent="0.3">
      <c r="C2445" s="1" t="s">
        <v>2636</v>
      </c>
      <c r="D2445" s="1" t="s">
        <v>12</v>
      </c>
    </row>
    <row r="2446" spans="3:4" x14ac:dyDescent="0.3">
      <c r="C2446" s="1" t="s">
        <v>2637</v>
      </c>
      <c r="D2446" s="1" t="s">
        <v>12</v>
      </c>
    </row>
    <row r="2447" spans="3:4" x14ac:dyDescent="0.3">
      <c r="C2447" s="1" t="s">
        <v>2638</v>
      </c>
      <c r="D2447" s="1" t="s">
        <v>12</v>
      </c>
    </row>
    <row r="2448" spans="3:4" x14ac:dyDescent="0.3">
      <c r="C2448" s="1" t="s">
        <v>2639</v>
      </c>
      <c r="D2448" s="1" t="s">
        <v>11</v>
      </c>
    </row>
    <row r="2449" spans="3:4" x14ac:dyDescent="0.3">
      <c r="C2449" s="1" t="s">
        <v>2640</v>
      </c>
      <c r="D2449" s="1" t="s">
        <v>12</v>
      </c>
    </row>
    <row r="2450" spans="3:4" x14ac:dyDescent="0.3">
      <c r="C2450" s="1" t="s">
        <v>2641</v>
      </c>
      <c r="D2450" s="1" t="s">
        <v>12</v>
      </c>
    </row>
    <row r="2451" spans="3:4" x14ac:dyDescent="0.3">
      <c r="C2451" s="1" t="s">
        <v>2642</v>
      </c>
      <c r="D2451" s="1" t="s">
        <v>11</v>
      </c>
    </row>
    <row r="2452" spans="3:4" x14ac:dyDescent="0.3">
      <c r="C2452" s="1" t="s">
        <v>2643</v>
      </c>
      <c r="D2452" s="1" t="s">
        <v>12</v>
      </c>
    </row>
    <row r="2453" spans="3:4" x14ac:dyDescent="0.3">
      <c r="C2453" s="1" t="s">
        <v>2644</v>
      </c>
      <c r="D2453" s="1" t="s">
        <v>12</v>
      </c>
    </row>
    <row r="2454" spans="3:4" x14ac:dyDescent="0.3">
      <c r="C2454" s="1" t="s">
        <v>2645</v>
      </c>
      <c r="D2454" s="1" t="s">
        <v>12</v>
      </c>
    </row>
    <row r="2455" spans="3:4" x14ac:dyDescent="0.3">
      <c r="C2455" s="1" t="s">
        <v>2646</v>
      </c>
      <c r="D2455" s="1" t="s">
        <v>12</v>
      </c>
    </row>
    <row r="2456" spans="3:4" x14ac:dyDescent="0.3">
      <c r="C2456" s="1" t="s">
        <v>2647</v>
      </c>
      <c r="D2456" s="1" t="s">
        <v>12</v>
      </c>
    </row>
    <row r="2457" spans="3:4" x14ac:dyDescent="0.3">
      <c r="C2457" s="1" t="s">
        <v>2648</v>
      </c>
      <c r="D2457" s="1" t="s">
        <v>12</v>
      </c>
    </row>
    <row r="2458" spans="3:4" x14ac:dyDescent="0.3">
      <c r="C2458" s="1" t="s">
        <v>2649</v>
      </c>
      <c r="D2458" s="1" t="s">
        <v>12</v>
      </c>
    </row>
    <row r="2459" spans="3:4" x14ac:dyDescent="0.3">
      <c r="C2459" s="1" t="s">
        <v>2650</v>
      </c>
      <c r="D2459" s="1" t="s">
        <v>12</v>
      </c>
    </row>
    <row r="2460" spans="3:4" x14ac:dyDescent="0.3">
      <c r="C2460" s="1" t="s">
        <v>2651</v>
      </c>
      <c r="D2460" s="1" t="s">
        <v>12</v>
      </c>
    </row>
    <row r="2461" spans="3:4" x14ac:dyDescent="0.3">
      <c r="C2461" s="1" t="s">
        <v>2652</v>
      </c>
      <c r="D2461" s="1" t="s">
        <v>12</v>
      </c>
    </row>
    <row r="2462" spans="3:4" x14ac:dyDescent="0.3">
      <c r="C2462" s="1" t="s">
        <v>2653</v>
      </c>
      <c r="D2462" s="1" t="s">
        <v>12</v>
      </c>
    </row>
    <row r="2463" spans="3:4" x14ac:dyDescent="0.3">
      <c r="C2463" s="1" t="s">
        <v>2654</v>
      </c>
      <c r="D2463" s="1" t="s">
        <v>12</v>
      </c>
    </row>
    <row r="2464" spans="3:4" x14ac:dyDescent="0.3">
      <c r="C2464" s="1" t="s">
        <v>2655</v>
      </c>
      <c r="D2464" s="1" t="s">
        <v>11</v>
      </c>
    </row>
    <row r="2465" spans="3:4" x14ac:dyDescent="0.3">
      <c r="C2465" s="1" t="s">
        <v>256</v>
      </c>
      <c r="D2465" s="1" t="s">
        <v>12</v>
      </c>
    </row>
    <row r="2466" spans="3:4" x14ac:dyDescent="0.3">
      <c r="C2466" s="1" t="s">
        <v>2656</v>
      </c>
      <c r="D2466" s="1" t="s">
        <v>12</v>
      </c>
    </row>
    <row r="2467" spans="3:4" x14ac:dyDescent="0.3">
      <c r="C2467" s="1" t="s">
        <v>2657</v>
      </c>
      <c r="D2467" s="1" t="s">
        <v>11</v>
      </c>
    </row>
    <row r="2468" spans="3:4" x14ac:dyDescent="0.3">
      <c r="C2468" s="1" t="s">
        <v>2658</v>
      </c>
      <c r="D2468" s="1" t="s">
        <v>12</v>
      </c>
    </row>
    <row r="2469" spans="3:4" x14ac:dyDescent="0.3">
      <c r="C2469" s="1" t="s">
        <v>2659</v>
      </c>
      <c r="D2469" s="1" t="s">
        <v>12</v>
      </c>
    </row>
    <row r="2470" spans="3:4" x14ac:dyDescent="0.3">
      <c r="C2470" s="1" t="s">
        <v>2660</v>
      </c>
      <c r="D2470" s="1" t="s">
        <v>11</v>
      </c>
    </row>
    <row r="2471" spans="3:4" x14ac:dyDescent="0.3">
      <c r="C2471" s="1" t="s">
        <v>2661</v>
      </c>
      <c r="D2471" s="1" t="s">
        <v>12</v>
      </c>
    </row>
    <row r="2472" spans="3:4" x14ac:dyDescent="0.3">
      <c r="C2472" s="1" t="s">
        <v>2662</v>
      </c>
      <c r="D2472" s="1" t="s">
        <v>12</v>
      </c>
    </row>
    <row r="2473" spans="3:4" x14ac:dyDescent="0.3">
      <c r="C2473" s="1" t="s">
        <v>2663</v>
      </c>
      <c r="D2473" s="1" t="s">
        <v>12</v>
      </c>
    </row>
    <row r="2474" spans="3:4" x14ac:dyDescent="0.3">
      <c r="C2474" s="1" t="s">
        <v>2664</v>
      </c>
      <c r="D2474" s="1" t="s">
        <v>11</v>
      </c>
    </row>
    <row r="2475" spans="3:4" x14ac:dyDescent="0.3">
      <c r="C2475" s="1" t="s">
        <v>2665</v>
      </c>
      <c r="D2475" s="1" t="s">
        <v>12</v>
      </c>
    </row>
    <row r="2476" spans="3:4" x14ac:dyDescent="0.3">
      <c r="C2476" s="1" t="s">
        <v>2666</v>
      </c>
      <c r="D2476" s="1" t="s">
        <v>12</v>
      </c>
    </row>
    <row r="2477" spans="3:4" x14ac:dyDescent="0.3">
      <c r="C2477" s="1" t="s">
        <v>2667</v>
      </c>
      <c r="D2477" s="1" t="s">
        <v>12</v>
      </c>
    </row>
    <row r="2478" spans="3:4" x14ac:dyDescent="0.3">
      <c r="C2478" s="1" t="s">
        <v>2668</v>
      </c>
      <c r="D2478" s="1" t="s">
        <v>11</v>
      </c>
    </row>
    <row r="2479" spans="3:4" x14ac:dyDescent="0.3">
      <c r="C2479" s="1" t="s">
        <v>2669</v>
      </c>
      <c r="D2479" s="1" t="s">
        <v>12</v>
      </c>
    </row>
    <row r="2480" spans="3:4" x14ac:dyDescent="0.3">
      <c r="C2480" s="1" t="s">
        <v>2670</v>
      </c>
      <c r="D2480" s="1" t="s">
        <v>12</v>
      </c>
    </row>
    <row r="2481" spans="3:4" x14ac:dyDescent="0.3">
      <c r="C2481" s="1" t="s">
        <v>2671</v>
      </c>
      <c r="D2481" s="1" t="s">
        <v>12</v>
      </c>
    </row>
    <row r="2482" spans="3:4" x14ac:dyDescent="0.3">
      <c r="C2482" s="1" t="s">
        <v>2672</v>
      </c>
      <c r="D2482" s="1" t="s">
        <v>11</v>
      </c>
    </row>
    <row r="2483" spans="3:4" x14ac:dyDescent="0.3">
      <c r="C2483" s="1" t="s">
        <v>2673</v>
      </c>
      <c r="D2483" s="1" t="s">
        <v>11</v>
      </c>
    </row>
    <row r="2484" spans="3:4" x14ac:dyDescent="0.3">
      <c r="C2484" s="1" t="s">
        <v>2674</v>
      </c>
      <c r="D2484" s="1" t="s">
        <v>11</v>
      </c>
    </row>
    <row r="2485" spans="3:4" x14ac:dyDescent="0.3">
      <c r="C2485" s="1" t="s">
        <v>247</v>
      </c>
      <c r="D2485" s="1" t="s">
        <v>12</v>
      </c>
    </row>
    <row r="2486" spans="3:4" x14ac:dyDescent="0.3">
      <c r="C2486" s="1" t="s">
        <v>2675</v>
      </c>
      <c r="D2486" s="1" t="s">
        <v>11</v>
      </c>
    </row>
    <row r="2487" spans="3:4" x14ac:dyDescent="0.3">
      <c r="C2487" s="1" t="s">
        <v>61</v>
      </c>
      <c r="D2487" s="1" t="s">
        <v>12</v>
      </c>
    </row>
    <row r="2488" spans="3:4" x14ac:dyDescent="0.3">
      <c r="C2488" s="1" t="s">
        <v>104</v>
      </c>
      <c r="D2488" s="1" t="s">
        <v>12</v>
      </c>
    </row>
    <row r="2489" spans="3:4" x14ac:dyDescent="0.3">
      <c r="C2489" s="1" t="s">
        <v>2676</v>
      </c>
      <c r="D2489" s="1" t="s">
        <v>11</v>
      </c>
    </row>
    <row r="2490" spans="3:4" x14ac:dyDescent="0.3">
      <c r="C2490" s="1" t="s">
        <v>2677</v>
      </c>
      <c r="D2490" s="1" t="s">
        <v>12</v>
      </c>
    </row>
    <row r="2491" spans="3:4" x14ac:dyDescent="0.3">
      <c r="C2491" s="1" t="s">
        <v>2678</v>
      </c>
      <c r="D2491" s="1" t="s">
        <v>12</v>
      </c>
    </row>
    <row r="2492" spans="3:4" x14ac:dyDescent="0.3">
      <c r="C2492" s="1" t="s">
        <v>2679</v>
      </c>
      <c r="D2492" s="1" t="s">
        <v>12</v>
      </c>
    </row>
    <row r="2493" spans="3:4" x14ac:dyDescent="0.3">
      <c r="C2493" s="1" t="s">
        <v>2680</v>
      </c>
      <c r="D2493" s="1" t="s">
        <v>11</v>
      </c>
    </row>
    <row r="2494" spans="3:4" x14ac:dyDescent="0.3">
      <c r="C2494" s="1" t="s">
        <v>2681</v>
      </c>
      <c r="D2494" s="1" t="s">
        <v>12</v>
      </c>
    </row>
    <row r="2495" spans="3:4" x14ac:dyDescent="0.3">
      <c r="C2495" s="1" t="s">
        <v>2682</v>
      </c>
      <c r="D2495" s="1" t="s">
        <v>12</v>
      </c>
    </row>
    <row r="2496" spans="3:4" x14ac:dyDescent="0.3">
      <c r="C2496" s="1" t="s">
        <v>2683</v>
      </c>
      <c r="D2496" s="1" t="s">
        <v>11</v>
      </c>
    </row>
    <row r="2497" spans="3:4" x14ac:dyDescent="0.3">
      <c r="C2497" s="1" t="s">
        <v>2684</v>
      </c>
      <c r="D2497" s="1" t="s">
        <v>22</v>
      </c>
    </row>
    <row r="2498" spans="3:4" x14ac:dyDescent="0.3">
      <c r="C2498" s="1" t="s">
        <v>249</v>
      </c>
      <c r="D2498" s="1" t="s">
        <v>22</v>
      </c>
    </row>
    <row r="2499" spans="3:4" x14ac:dyDescent="0.3">
      <c r="C2499" s="1" t="s">
        <v>2685</v>
      </c>
      <c r="D2499" s="1" t="s">
        <v>11</v>
      </c>
    </row>
    <row r="2500" spans="3:4" x14ac:dyDescent="0.3">
      <c r="C2500" s="1" t="s">
        <v>2686</v>
      </c>
      <c r="D2500" s="1" t="s">
        <v>11</v>
      </c>
    </row>
    <row r="2501" spans="3:4" x14ac:dyDescent="0.3">
      <c r="C2501" s="1" t="s">
        <v>105</v>
      </c>
      <c r="D2501" s="1" t="s">
        <v>11</v>
      </c>
    </row>
    <row r="2502" spans="3:4" x14ac:dyDescent="0.3">
      <c r="C2502" s="1" t="s">
        <v>2687</v>
      </c>
      <c r="D2502" s="1" t="s">
        <v>11</v>
      </c>
    </row>
    <row r="2503" spans="3:4" x14ac:dyDescent="0.3">
      <c r="C2503" s="1" t="s">
        <v>2688</v>
      </c>
      <c r="D2503" s="1" t="s">
        <v>11</v>
      </c>
    </row>
    <row r="2504" spans="3:4" x14ac:dyDescent="0.3">
      <c r="C2504" s="1" t="s">
        <v>2689</v>
      </c>
      <c r="D2504" s="1" t="s">
        <v>11</v>
      </c>
    </row>
    <row r="2505" spans="3:4" x14ac:dyDescent="0.3">
      <c r="C2505" s="1" t="s">
        <v>2690</v>
      </c>
      <c r="D2505" s="1" t="s">
        <v>12</v>
      </c>
    </row>
    <row r="2506" spans="3:4" x14ac:dyDescent="0.3">
      <c r="C2506" s="1" t="s">
        <v>2691</v>
      </c>
      <c r="D2506" s="1" t="s">
        <v>11</v>
      </c>
    </row>
    <row r="2507" spans="3:4" x14ac:dyDescent="0.3">
      <c r="C2507" s="1" t="s">
        <v>2692</v>
      </c>
      <c r="D2507" s="1" t="s">
        <v>12</v>
      </c>
    </row>
    <row r="2508" spans="3:4" x14ac:dyDescent="0.3">
      <c r="C2508" s="1" t="s">
        <v>2693</v>
      </c>
      <c r="D2508" s="1" t="s">
        <v>20</v>
      </c>
    </row>
    <row r="2509" spans="3:4" x14ac:dyDescent="0.3">
      <c r="C2509" s="1" t="s">
        <v>2694</v>
      </c>
      <c r="D2509" s="1" t="s">
        <v>17</v>
      </c>
    </row>
    <row r="2510" spans="3:4" x14ac:dyDescent="0.3">
      <c r="C2510" s="1" t="s">
        <v>2695</v>
      </c>
      <c r="D2510" s="1" t="s">
        <v>12</v>
      </c>
    </row>
    <row r="2511" spans="3:4" x14ac:dyDescent="0.3">
      <c r="C2511" s="1" t="s">
        <v>2696</v>
      </c>
      <c r="D2511" s="1" t="s">
        <v>12</v>
      </c>
    </row>
    <row r="2512" spans="3:4" x14ac:dyDescent="0.3">
      <c r="C2512" s="1" t="s">
        <v>2697</v>
      </c>
      <c r="D2512" s="1" t="s">
        <v>28</v>
      </c>
    </row>
    <row r="2513" spans="3:4" x14ac:dyDescent="0.3">
      <c r="C2513" s="1" t="s">
        <v>2698</v>
      </c>
      <c r="D2513" s="1" t="s">
        <v>14</v>
      </c>
    </row>
    <row r="2514" spans="3:4" x14ac:dyDescent="0.3">
      <c r="C2514" s="1" t="s">
        <v>2699</v>
      </c>
      <c r="D2514" s="1" t="s">
        <v>14</v>
      </c>
    </row>
    <row r="2515" spans="3:4" x14ac:dyDescent="0.3">
      <c r="C2515" s="1" t="s">
        <v>2700</v>
      </c>
      <c r="D2515" s="1" t="s">
        <v>14</v>
      </c>
    </row>
    <row r="2516" spans="3:4" x14ac:dyDescent="0.3">
      <c r="C2516" s="1" t="s">
        <v>2701</v>
      </c>
      <c r="D2516" s="1" t="s">
        <v>17</v>
      </c>
    </row>
    <row r="2517" spans="3:4" x14ac:dyDescent="0.3">
      <c r="C2517" s="1" t="s">
        <v>2702</v>
      </c>
      <c r="D2517" s="1" t="s">
        <v>11</v>
      </c>
    </row>
    <row r="2518" spans="3:4" x14ac:dyDescent="0.3">
      <c r="C2518" s="1" t="s">
        <v>2703</v>
      </c>
      <c r="D2518" s="1" t="s">
        <v>12</v>
      </c>
    </row>
    <row r="2519" spans="3:4" x14ac:dyDescent="0.3">
      <c r="C2519" s="1" t="s">
        <v>2704</v>
      </c>
      <c r="D2519" s="1" t="s">
        <v>11</v>
      </c>
    </row>
    <row r="2520" spans="3:4" x14ac:dyDescent="0.3">
      <c r="C2520" s="1" t="s">
        <v>106</v>
      </c>
      <c r="D2520" s="1" t="s">
        <v>11</v>
      </c>
    </row>
    <row r="2521" spans="3:4" x14ac:dyDescent="0.3">
      <c r="C2521" s="1" t="s">
        <v>2705</v>
      </c>
      <c r="D2521" s="1" t="s">
        <v>11</v>
      </c>
    </row>
    <row r="2522" spans="3:4" x14ac:dyDescent="0.3">
      <c r="C2522" s="1" t="s">
        <v>107</v>
      </c>
      <c r="D2522" s="1" t="s">
        <v>12</v>
      </c>
    </row>
    <row r="2523" spans="3:4" x14ac:dyDescent="0.3">
      <c r="C2523" s="1" t="s">
        <v>2706</v>
      </c>
      <c r="D2523" s="1" t="s">
        <v>11</v>
      </c>
    </row>
    <row r="2524" spans="3:4" x14ac:dyDescent="0.3">
      <c r="C2524" s="1" t="s">
        <v>2707</v>
      </c>
      <c r="D2524" s="1" t="s">
        <v>11</v>
      </c>
    </row>
    <row r="2525" spans="3:4" x14ac:dyDescent="0.3">
      <c r="C2525" s="1" t="s">
        <v>2708</v>
      </c>
      <c r="D2525" s="1" t="s">
        <v>11</v>
      </c>
    </row>
    <row r="2526" spans="3:4" x14ac:dyDescent="0.3">
      <c r="C2526" s="1" t="s">
        <v>2709</v>
      </c>
      <c r="D2526" s="1" t="s">
        <v>22</v>
      </c>
    </row>
    <row r="2527" spans="3:4" x14ac:dyDescent="0.3">
      <c r="C2527" s="1" t="s">
        <v>2710</v>
      </c>
      <c r="D2527" s="1" t="s">
        <v>11</v>
      </c>
    </row>
    <row r="2528" spans="3:4" x14ac:dyDescent="0.3">
      <c r="C2528" s="1" t="s">
        <v>108</v>
      </c>
      <c r="D2528" s="1" t="s">
        <v>12</v>
      </c>
    </row>
    <row r="2529" spans="3:4" x14ac:dyDescent="0.3">
      <c r="C2529" s="1" t="s">
        <v>250</v>
      </c>
      <c r="D2529" s="1" t="s">
        <v>12</v>
      </c>
    </row>
    <row r="2530" spans="3:4" x14ac:dyDescent="0.3">
      <c r="C2530" s="1" t="s">
        <v>109</v>
      </c>
      <c r="D2530" s="1" t="s">
        <v>12</v>
      </c>
    </row>
    <row r="2531" spans="3:4" x14ac:dyDescent="0.3">
      <c r="C2531" s="1" t="s">
        <v>2711</v>
      </c>
      <c r="D2531" s="1" t="s">
        <v>24</v>
      </c>
    </row>
    <row r="2532" spans="3:4" x14ac:dyDescent="0.3">
      <c r="C2532" s="1" t="s">
        <v>2712</v>
      </c>
      <c r="D2532" s="1" t="s">
        <v>13</v>
      </c>
    </row>
    <row r="2533" spans="3:4" x14ac:dyDescent="0.3">
      <c r="C2533" s="1" t="s">
        <v>2713</v>
      </c>
      <c r="D2533" s="1" t="s">
        <v>16</v>
      </c>
    </row>
    <row r="2534" spans="3:4" x14ac:dyDescent="0.3">
      <c r="C2534" s="1" t="s">
        <v>2714</v>
      </c>
      <c r="D2534" s="1" t="s">
        <v>12</v>
      </c>
    </row>
    <row r="2535" spans="3:4" x14ac:dyDescent="0.3">
      <c r="C2535" s="1" t="s">
        <v>110</v>
      </c>
      <c r="D2535" s="1" t="s">
        <v>12</v>
      </c>
    </row>
    <row r="2536" spans="3:4" x14ac:dyDescent="0.3">
      <c r="C2536" s="1" t="s">
        <v>2715</v>
      </c>
      <c r="D2536" s="1" t="s">
        <v>16</v>
      </c>
    </row>
    <row r="2537" spans="3:4" x14ac:dyDescent="0.3">
      <c r="C2537" s="1" t="s">
        <v>2716</v>
      </c>
      <c r="D2537" s="1" t="s">
        <v>22</v>
      </c>
    </row>
    <row r="2538" spans="3:4" x14ac:dyDescent="0.3">
      <c r="C2538" s="1" t="s">
        <v>2717</v>
      </c>
      <c r="D2538" s="1" t="s">
        <v>12</v>
      </c>
    </row>
    <row r="2539" spans="3:4" x14ac:dyDescent="0.3">
      <c r="C2539" s="1" t="s">
        <v>2718</v>
      </c>
      <c r="D2539" s="1" t="s">
        <v>22</v>
      </c>
    </row>
    <row r="2540" spans="3:4" x14ac:dyDescent="0.3">
      <c r="C2540" s="1" t="s">
        <v>2719</v>
      </c>
      <c r="D2540" s="1" t="s">
        <v>20</v>
      </c>
    </row>
    <row r="2541" spans="3:4" x14ac:dyDescent="0.3">
      <c r="C2541" s="1" t="s">
        <v>2720</v>
      </c>
      <c r="D2541" s="1" t="s">
        <v>11</v>
      </c>
    </row>
    <row r="2542" spans="3:4" x14ac:dyDescent="0.3">
      <c r="C2542" s="1" t="s">
        <v>2721</v>
      </c>
      <c r="D2542" s="1" t="s">
        <v>11</v>
      </c>
    </row>
    <row r="2543" spans="3:4" x14ac:dyDescent="0.3">
      <c r="C2543" s="1" t="s">
        <v>2722</v>
      </c>
      <c r="D2543" s="1" t="s">
        <v>13</v>
      </c>
    </row>
    <row r="2544" spans="3:4" x14ac:dyDescent="0.3">
      <c r="C2544" s="1" t="s">
        <v>2723</v>
      </c>
      <c r="D2544" s="1" t="s">
        <v>11</v>
      </c>
    </row>
    <row r="2545" spans="3:4" x14ac:dyDescent="0.3">
      <c r="C2545" s="1" t="s">
        <v>251</v>
      </c>
      <c r="D2545" s="1" t="s">
        <v>12</v>
      </c>
    </row>
    <row r="2546" spans="3:4" x14ac:dyDescent="0.3">
      <c r="C2546" s="1" t="s">
        <v>2724</v>
      </c>
      <c r="D2546" s="1" t="s">
        <v>16</v>
      </c>
    </row>
    <row r="2547" spans="3:4" x14ac:dyDescent="0.3">
      <c r="C2547" s="1" t="s">
        <v>252</v>
      </c>
      <c r="D2547" s="1" t="s">
        <v>22</v>
      </c>
    </row>
    <row r="2548" spans="3:4" x14ac:dyDescent="0.3">
      <c r="C2548" s="1" t="s">
        <v>2725</v>
      </c>
      <c r="D2548" s="1" t="s">
        <v>23</v>
      </c>
    </row>
    <row r="2549" spans="3:4" x14ac:dyDescent="0.3">
      <c r="C2549" s="1" t="s">
        <v>2726</v>
      </c>
      <c r="D2549" s="1" t="s">
        <v>11</v>
      </c>
    </row>
    <row r="2550" spans="3:4" x14ac:dyDescent="0.3">
      <c r="C2550" s="1" t="s">
        <v>2727</v>
      </c>
      <c r="D2550" s="1" t="s">
        <v>16</v>
      </c>
    </row>
    <row r="2551" spans="3:4" x14ac:dyDescent="0.3">
      <c r="C2551" s="1" t="s">
        <v>2728</v>
      </c>
      <c r="D2551" s="1" t="s">
        <v>23</v>
      </c>
    </row>
    <row r="2552" spans="3:4" x14ac:dyDescent="0.3">
      <c r="C2552" s="1" t="s">
        <v>2729</v>
      </c>
      <c r="D2552" s="1" t="s">
        <v>25</v>
      </c>
    </row>
    <row r="2553" spans="3:4" x14ac:dyDescent="0.3">
      <c r="C2553" s="1" t="s">
        <v>253</v>
      </c>
      <c r="D2553" s="1" t="s">
        <v>20</v>
      </c>
    </row>
    <row r="2554" spans="3:4" x14ac:dyDescent="0.3">
      <c r="C2554" s="1" t="s">
        <v>2730</v>
      </c>
      <c r="D2554" s="1" t="s">
        <v>11</v>
      </c>
    </row>
    <row r="2555" spans="3:4" x14ac:dyDescent="0.3">
      <c r="C2555" s="1" t="s">
        <v>2731</v>
      </c>
      <c r="D2555" s="1" t="s">
        <v>12</v>
      </c>
    </row>
    <row r="2556" spans="3:4" x14ac:dyDescent="0.3">
      <c r="C2556" s="1" t="s">
        <v>2732</v>
      </c>
      <c r="D2556" s="1" t="s">
        <v>11</v>
      </c>
    </row>
    <row r="2557" spans="3:4" x14ac:dyDescent="0.3">
      <c r="C2557" s="1" t="s">
        <v>2733</v>
      </c>
      <c r="D2557" s="1" t="s">
        <v>14</v>
      </c>
    </row>
    <row r="2558" spans="3:4" x14ac:dyDescent="0.3">
      <c r="C2558" s="1" t="s">
        <v>2734</v>
      </c>
      <c r="D2558" s="1" t="s">
        <v>11</v>
      </c>
    </row>
    <row r="2559" spans="3:4" x14ac:dyDescent="0.3">
      <c r="C2559" s="1" t="s">
        <v>2735</v>
      </c>
      <c r="D2559" s="1" t="s">
        <v>20</v>
      </c>
    </row>
    <row r="2560" spans="3:4" x14ac:dyDescent="0.3">
      <c r="C2560" s="1" t="s">
        <v>254</v>
      </c>
      <c r="D2560" s="1" t="s">
        <v>22</v>
      </c>
    </row>
    <row r="2561" spans="3:4" x14ac:dyDescent="0.3">
      <c r="C2561" s="1" t="s">
        <v>2736</v>
      </c>
      <c r="D2561" s="1" t="s">
        <v>12</v>
      </c>
    </row>
    <row r="2562" spans="3:4" x14ac:dyDescent="0.3">
      <c r="C2562" s="1" t="s">
        <v>111</v>
      </c>
      <c r="D2562" s="1" t="s">
        <v>22</v>
      </c>
    </row>
    <row r="2563" spans="3:4" x14ac:dyDescent="0.3">
      <c r="C2563" s="1" t="s">
        <v>2737</v>
      </c>
      <c r="D2563" s="1" t="s">
        <v>16</v>
      </c>
    </row>
    <row r="2564" spans="3:4" x14ac:dyDescent="0.3">
      <c r="C2564" s="1" t="s">
        <v>255</v>
      </c>
      <c r="D2564" s="1" t="s">
        <v>16</v>
      </c>
    </row>
    <row r="2565" spans="3:4" x14ac:dyDescent="0.3">
      <c r="C2565" s="1" t="s">
        <v>2738</v>
      </c>
      <c r="D2565" s="1" t="s">
        <v>16</v>
      </c>
    </row>
    <row r="2566" spans="3:4" x14ac:dyDescent="0.3">
      <c r="C2566" s="1" t="s">
        <v>289</v>
      </c>
      <c r="D2566" s="1" t="s">
        <v>11</v>
      </c>
    </row>
    <row r="2567" spans="3:4" x14ac:dyDescent="0.3">
      <c r="C2567" s="1" t="s">
        <v>290</v>
      </c>
      <c r="D2567" s="1" t="s">
        <v>11</v>
      </c>
    </row>
    <row r="2568" spans="3:4" x14ac:dyDescent="0.3">
      <c r="C2568" s="1" t="s">
        <v>2739</v>
      </c>
      <c r="D2568" s="1" t="s">
        <v>12</v>
      </c>
    </row>
    <row r="2569" spans="3:4" x14ac:dyDescent="0.3">
      <c r="C2569" s="1" t="s">
        <v>2740</v>
      </c>
      <c r="D2569" s="1" t="s">
        <v>13</v>
      </c>
    </row>
    <row r="2570" spans="3:4" x14ac:dyDescent="0.3">
      <c r="C2570" s="1" t="s">
        <v>2741</v>
      </c>
      <c r="D2570" s="1" t="s">
        <v>11</v>
      </c>
    </row>
    <row r="2571" spans="3:4" x14ac:dyDescent="0.3">
      <c r="C2571" s="1" t="s">
        <v>2742</v>
      </c>
      <c r="D2571" s="1" t="s">
        <v>12</v>
      </c>
    </row>
    <row r="2572" spans="3:4" x14ac:dyDescent="0.3">
      <c r="C2572" s="1" t="s">
        <v>291</v>
      </c>
      <c r="D2572" s="1" t="s">
        <v>11</v>
      </c>
    </row>
    <row r="2573" spans="3:4" x14ac:dyDescent="0.3">
      <c r="C2573" s="1" t="s">
        <v>2743</v>
      </c>
      <c r="D2573" s="1" t="s">
        <v>13</v>
      </c>
    </row>
    <row r="2574" spans="3:4" x14ac:dyDescent="0.3">
      <c r="C2574" s="1" t="s">
        <v>2744</v>
      </c>
      <c r="D2574" s="1" t="s">
        <v>12</v>
      </c>
    </row>
    <row r="2575" spans="3:4" x14ac:dyDescent="0.3">
      <c r="C2575" s="1" t="s">
        <v>2745</v>
      </c>
      <c r="D2575" s="1" t="s">
        <v>18</v>
      </c>
    </row>
    <row r="2576" spans="3:4" x14ac:dyDescent="0.3">
      <c r="C2576" s="1" t="s">
        <v>112</v>
      </c>
      <c r="D2576" s="1" t="s">
        <v>12</v>
      </c>
    </row>
    <row r="2577" spans="3:4" x14ac:dyDescent="0.3">
      <c r="C2577" s="1" t="s">
        <v>2746</v>
      </c>
      <c r="D2577" s="1" t="s">
        <v>22</v>
      </c>
    </row>
    <row r="2578" spans="3:4" x14ac:dyDescent="0.3">
      <c r="C2578" s="1" t="s">
        <v>292</v>
      </c>
      <c r="D2578" s="1" t="s">
        <v>11</v>
      </c>
    </row>
    <row r="2579" spans="3:4" x14ac:dyDescent="0.3">
      <c r="C2579" s="1" t="s">
        <v>293</v>
      </c>
      <c r="D2579" s="1" t="s">
        <v>11</v>
      </c>
    </row>
    <row r="2580" spans="3:4" x14ac:dyDescent="0.3">
      <c r="C2580" s="1" t="s">
        <v>2747</v>
      </c>
      <c r="D2580" s="1" t="s">
        <v>24</v>
      </c>
    </row>
    <row r="2581" spans="3:4" x14ac:dyDescent="0.3">
      <c r="C2581" s="1" t="s">
        <v>2748</v>
      </c>
      <c r="D2581" s="1" t="s">
        <v>12</v>
      </c>
    </row>
    <row r="2582" spans="3:4" x14ac:dyDescent="0.3">
      <c r="C2582" s="1" t="s">
        <v>2749</v>
      </c>
      <c r="D2582" s="1" t="s">
        <v>12</v>
      </c>
    </row>
    <row r="2583" spans="3:4" x14ac:dyDescent="0.3">
      <c r="C2583" s="1" t="s">
        <v>2750</v>
      </c>
      <c r="D2583" s="1" t="s">
        <v>11</v>
      </c>
    </row>
    <row r="2584" spans="3:4" x14ac:dyDescent="0.3">
      <c r="C2584" s="1" t="s">
        <v>2751</v>
      </c>
      <c r="D2584" s="1" t="s">
        <v>11</v>
      </c>
    </row>
    <row r="2585" spans="3:4" x14ac:dyDescent="0.3">
      <c r="C2585" s="1" t="s">
        <v>113</v>
      </c>
      <c r="D2585" s="1" t="s">
        <v>11</v>
      </c>
    </row>
    <row r="2586" spans="3:4" x14ac:dyDescent="0.3">
      <c r="C2586" s="1" t="s">
        <v>2752</v>
      </c>
      <c r="D2586" s="1" t="s">
        <v>11</v>
      </c>
    </row>
    <row r="2587" spans="3:4" x14ac:dyDescent="0.3">
      <c r="C2587" s="1" t="s">
        <v>2753</v>
      </c>
      <c r="D2587" s="1" t="s">
        <v>12</v>
      </c>
    </row>
    <row r="2588" spans="3:4" x14ac:dyDescent="0.3">
      <c r="C2588" s="1" t="s">
        <v>2754</v>
      </c>
      <c r="D2588" s="1" t="s">
        <v>17</v>
      </c>
    </row>
    <row r="2589" spans="3:4" x14ac:dyDescent="0.3">
      <c r="C2589" s="1" t="s">
        <v>2755</v>
      </c>
      <c r="D2589" s="1" t="s">
        <v>12</v>
      </c>
    </row>
    <row r="2590" spans="3:4" x14ac:dyDescent="0.3">
      <c r="C2590" s="1" t="s">
        <v>2756</v>
      </c>
      <c r="D2590" s="1" t="s">
        <v>27</v>
      </c>
    </row>
    <row r="2591" spans="3:4" x14ac:dyDescent="0.3">
      <c r="C2591" s="1" t="s">
        <v>2757</v>
      </c>
      <c r="D2591" s="1" t="s">
        <v>12</v>
      </c>
    </row>
    <row r="2592" spans="3:4" x14ac:dyDescent="0.3">
      <c r="C2592" s="1" t="s">
        <v>2758</v>
      </c>
      <c r="D2592" s="1" t="s">
        <v>11</v>
      </c>
    </row>
    <row r="2593" spans="3:4" x14ac:dyDescent="0.3">
      <c r="C2593" s="1" t="s">
        <v>114</v>
      </c>
      <c r="D2593" s="1" t="s">
        <v>12</v>
      </c>
    </row>
    <row r="2594" spans="3:4" x14ac:dyDescent="0.3">
      <c r="C2594" s="1" t="s">
        <v>294</v>
      </c>
      <c r="D2594" s="1" t="s">
        <v>12</v>
      </c>
    </row>
    <row r="2595" spans="3:4" x14ac:dyDescent="0.3">
      <c r="C2595" s="1" t="s">
        <v>295</v>
      </c>
      <c r="D2595" s="1" t="s">
        <v>12</v>
      </c>
    </row>
    <row r="2596" spans="3:4" x14ac:dyDescent="0.3">
      <c r="C2596" s="1" t="s">
        <v>296</v>
      </c>
      <c r="D2596" s="1" t="s">
        <v>11</v>
      </c>
    </row>
    <row r="2597" spans="3:4" x14ac:dyDescent="0.3">
      <c r="C2597" s="1" t="s">
        <v>298</v>
      </c>
      <c r="D2597" s="1" t="s">
        <v>12</v>
      </c>
    </row>
    <row r="2598" spans="3:4" x14ac:dyDescent="0.3">
      <c r="C2598" s="1" t="s">
        <v>257</v>
      </c>
      <c r="D2598" s="1" t="s">
        <v>12</v>
      </c>
    </row>
    <row r="2599" spans="3:4" x14ac:dyDescent="0.3">
      <c r="C2599" s="1" t="s">
        <v>2759</v>
      </c>
      <c r="D2599" s="1" t="s">
        <v>11</v>
      </c>
    </row>
    <row r="2600" spans="3:4" x14ac:dyDescent="0.3">
      <c r="C2600" s="1" t="s">
        <v>2760</v>
      </c>
      <c r="D2600" s="1" t="s">
        <v>11</v>
      </c>
    </row>
    <row r="2601" spans="3:4" x14ac:dyDescent="0.3">
      <c r="C2601" s="1" t="s">
        <v>2761</v>
      </c>
      <c r="D2601" s="1" t="s">
        <v>17</v>
      </c>
    </row>
    <row r="2602" spans="3:4" x14ac:dyDescent="0.3">
      <c r="C2602" s="1" t="s">
        <v>2762</v>
      </c>
      <c r="D2602" s="1" t="s">
        <v>17</v>
      </c>
    </row>
    <row r="2603" spans="3:4" x14ac:dyDescent="0.3">
      <c r="C2603" s="1" t="s">
        <v>2763</v>
      </c>
      <c r="D2603" s="1" t="s">
        <v>11</v>
      </c>
    </row>
    <row r="2604" spans="3:4" x14ac:dyDescent="0.3">
      <c r="C2604" s="1" t="s">
        <v>115</v>
      </c>
      <c r="D2604" s="1" t="s">
        <v>12</v>
      </c>
    </row>
    <row r="2605" spans="3:4" x14ac:dyDescent="0.3">
      <c r="C2605" s="1" t="s">
        <v>2764</v>
      </c>
      <c r="D2605" s="1" t="s">
        <v>12</v>
      </c>
    </row>
    <row r="2606" spans="3:4" x14ac:dyDescent="0.3">
      <c r="C2606" s="1" t="s">
        <v>2765</v>
      </c>
      <c r="D2606" s="1" t="s">
        <v>11</v>
      </c>
    </row>
    <row r="2607" spans="3:4" x14ac:dyDescent="0.3">
      <c r="C2607" s="1" t="s">
        <v>2766</v>
      </c>
      <c r="D2607" s="1" t="s">
        <v>11</v>
      </c>
    </row>
    <row r="2608" spans="3:4" x14ac:dyDescent="0.3">
      <c r="C2608" s="1" t="s">
        <v>2767</v>
      </c>
      <c r="D2608" s="1" t="s">
        <v>21</v>
      </c>
    </row>
    <row r="2609" spans="3:4" x14ac:dyDescent="0.3">
      <c r="C2609" s="1" t="s">
        <v>2768</v>
      </c>
      <c r="D2609" s="1" t="s">
        <v>12</v>
      </c>
    </row>
    <row r="2610" spans="3:4" x14ac:dyDescent="0.3">
      <c r="C2610" s="1" t="s">
        <v>2769</v>
      </c>
      <c r="D2610" s="1" t="s">
        <v>11</v>
      </c>
    </row>
    <row r="2611" spans="3:4" x14ac:dyDescent="0.3">
      <c r="C2611" s="1" t="s">
        <v>2770</v>
      </c>
      <c r="D2611" s="1" t="s">
        <v>16</v>
      </c>
    </row>
    <row r="2612" spans="3:4" x14ac:dyDescent="0.3">
      <c r="C2612" s="1" t="s">
        <v>2771</v>
      </c>
      <c r="D2612" s="1" t="s">
        <v>16</v>
      </c>
    </row>
    <row r="2613" spans="3:4" x14ac:dyDescent="0.3">
      <c r="C2613" s="1" t="s">
        <v>297</v>
      </c>
      <c r="D2613" s="1" t="s">
        <v>16</v>
      </c>
    </row>
    <row r="2614" spans="3:4" x14ac:dyDescent="0.3">
      <c r="C2614" s="1" t="s">
        <v>2772</v>
      </c>
      <c r="D2614" s="1" t="s">
        <v>19</v>
      </c>
    </row>
    <row r="2615" spans="3:4" x14ac:dyDescent="0.3">
      <c r="C2615" s="1" t="s">
        <v>2773</v>
      </c>
      <c r="D2615" s="1" t="s">
        <v>26</v>
      </c>
    </row>
    <row r="2616" spans="3:4" x14ac:dyDescent="0.3">
      <c r="C2616" s="1" t="s">
        <v>300</v>
      </c>
      <c r="D2616" s="1" t="s">
        <v>12</v>
      </c>
    </row>
    <row r="2617" spans="3:4" x14ac:dyDescent="0.3">
      <c r="C2617" s="1" t="s">
        <v>2774</v>
      </c>
      <c r="D2617" s="1" t="s">
        <v>17</v>
      </c>
    </row>
    <row r="2618" spans="3:4" x14ac:dyDescent="0.3">
      <c r="C2618" s="1" t="s">
        <v>2775</v>
      </c>
      <c r="D2618" s="1" t="s">
        <v>22</v>
      </c>
    </row>
    <row r="2619" spans="3:4" x14ac:dyDescent="0.3">
      <c r="C2619" s="1" t="s">
        <v>2776</v>
      </c>
      <c r="D2619" s="1" t="s">
        <v>11</v>
      </c>
    </row>
    <row r="2620" spans="3:4" x14ac:dyDescent="0.3">
      <c r="C2620" s="1" t="s">
        <v>2777</v>
      </c>
      <c r="D2620" s="1" t="s">
        <v>11</v>
      </c>
    </row>
    <row r="2621" spans="3:4" x14ac:dyDescent="0.3">
      <c r="C2621" s="1" t="s">
        <v>2778</v>
      </c>
      <c r="D2621" s="1" t="s">
        <v>27</v>
      </c>
    </row>
    <row r="2622" spans="3:4" x14ac:dyDescent="0.3">
      <c r="C2622" s="1" t="s">
        <v>299</v>
      </c>
      <c r="D2622" s="1" t="s">
        <v>11</v>
      </c>
    </row>
    <row r="2623" spans="3:4" x14ac:dyDescent="0.3">
      <c r="C2623" s="1" t="s">
        <v>2779</v>
      </c>
      <c r="D2623" s="1" t="s">
        <v>12</v>
      </c>
    </row>
    <row r="2624" spans="3:4" x14ac:dyDescent="0.3">
      <c r="C2624" s="1" t="s">
        <v>2780</v>
      </c>
      <c r="D2624" s="1" t="s">
        <v>11</v>
      </c>
    </row>
    <row r="2625" spans="3:4" x14ac:dyDescent="0.3">
      <c r="C2625" s="1" t="s">
        <v>2781</v>
      </c>
      <c r="D2625" s="1" t="s">
        <v>14</v>
      </c>
    </row>
    <row r="2626" spans="3:4" x14ac:dyDescent="0.3">
      <c r="C2626" s="1" t="s">
        <v>258</v>
      </c>
      <c r="D2626" s="1" t="s">
        <v>11</v>
      </c>
    </row>
    <row r="2627" spans="3:4" x14ac:dyDescent="0.3">
      <c r="C2627" s="1" t="s">
        <v>2782</v>
      </c>
      <c r="D2627" s="1" t="s">
        <v>11</v>
      </c>
    </row>
    <row r="2628" spans="3:4" x14ac:dyDescent="0.3">
      <c r="C2628" s="1" t="s">
        <v>259</v>
      </c>
      <c r="D2628" s="1" t="s">
        <v>11</v>
      </c>
    </row>
    <row r="2629" spans="3:4" x14ac:dyDescent="0.3">
      <c r="C2629" s="1" t="s">
        <v>265</v>
      </c>
      <c r="D2629" s="1" t="s">
        <v>12</v>
      </c>
    </row>
    <row r="2630" spans="3:4" x14ac:dyDescent="0.3">
      <c r="C2630" s="1" t="s">
        <v>2783</v>
      </c>
      <c r="D2630" s="1" t="s">
        <v>17</v>
      </c>
    </row>
    <row r="2631" spans="3:4" x14ac:dyDescent="0.3">
      <c r="C2631" s="1" t="s">
        <v>2784</v>
      </c>
      <c r="D2631" s="1" t="s">
        <v>14</v>
      </c>
    </row>
    <row r="2632" spans="3:4" x14ac:dyDescent="0.3">
      <c r="C2632" s="1" t="s">
        <v>2785</v>
      </c>
      <c r="D2632" s="1" t="s">
        <v>22</v>
      </c>
    </row>
    <row r="2633" spans="3:4" x14ac:dyDescent="0.3">
      <c r="C2633" s="1" t="s">
        <v>2786</v>
      </c>
      <c r="D2633" s="1" t="s">
        <v>26</v>
      </c>
    </row>
    <row r="2634" spans="3:4" x14ac:dyDescent="0.3">
      <c r="C2634" s="1" t="s">
        <v>2787</v>
      </c>
      <c r="D2634" s="1" t="s">
        <v>12</v>
      </c>
    </row>
    <row r="2635" spans="3:4" x14ac:dyDescent="0.3">
      <c r="C2635" s="1" t="s">
        <v>2788</v>
      </c>
      <c r="D2635" s="1" t="s">
        <v>16</v>
      </c>
    </row>
    <row r="2636" spans="3:4" x14ac:dyDescent="0.3">
      <c r="C2636" s="1" t="s">
        <v>2789</v>
      </c>
      <c r="D2636" s="1" t="s">
        <v>12</v>
      </c>
    </row>
    <row r="2637" spans="3:4" x14ac:dyDescent="0.3">
      <c r="C2637" s="1" t="s">
        <v>260</v>
      </c>
      <c r="D2637" s="1" t="s">
        <v>23</v>
      </c>
    </row>
    <row r="2638" spans="3:4" x14ac:dyDescent="0.3">
      <c r="C2638" s="1" t="s">
        <v>2790</v>
      </c>
      <c r="D2638" s="1" t="s">
        <v>15</v>
      </c>
    </row>
    <row r="2639" spans="3:4" x14ac:dyDescent="0.3">
      <c r="C2639" s="1" t="s">
        <v>2791</v>
      </c>
      <c r="D2639" s="1" t="s">
        <v>24</v>
      </c>
    </row>
    <row r="2640" spans="3:4" x14ac:dyDescent="0.3">
      <c r="C2640" s="1" t="s">
        <v>261</v>
      </c>
      <c r="D2640" s="1" t="s">
        <v>22</v>
      </c>
    </row>
    <row r="2641" spans="3:4" x14ac:dyDescent="0.3">
      <c r="C2641" s="1" t="s">
        <v>2792</v>
      </c>
      <c r="D2641" s="1" t="s">
        <v>14</v>
      </c>
    </row>
    <row r="2642" spans="3:4" x14ac:dyDescent="0.3">
      <c r="C2642" s="1" t="s">
        <v>116</v>
      </c>
      <c r="D2642" s="1" t="s">
        <v>11</v>
      </c>
    </row>
    <row r="2643" spans="3:4" x14ac:dyDescent="0.3">
      <c r="C2643" s="1" t="s">
        <v>2793</v>
      </c>
      <c r="D2643" s="1" t="s">
        <v>11</v>
      </c>
    </row>
    <row r="2644" spans="3:4" x14ac:dyDescent="0.3">
      <c r="C2644" s="1" t="s">
        <v>2794</v>
      </c>
      <c r="D2644" s="1" t="s">
        <v>11</v>
      </c>
    </row>
    <row r="2645" spans="3:4" x14ac:dyDescent="0.3">
      <c r="C2645" s="1" t="s">
        <v>2795</v>
      </c>
      <c r="D2645" s="1" t="s">
        <v>12</v>
      </c>
    </row>
    <row r="2646" spans="3:4" x14ac:dyDescent="0.3">
      <c r="C2646" s="1" t="s">
        <v>262</v>
      </c>
      <c r="D2646" s="1" t="s">
        <v>12</v>
      </c>
    </row>
    <row r="2647" spans="3:4" x14ac:dyDescent="0.3">
      <c r="C2647" s="1" t="s">
        <v>2796</v>
      </c>
      <c r="D2647" s="1" t="s">
        <v>12</v>
      </c>
    </row>
    <row r="2648" spans="3:4" x14ac:dyDescent="0.3">
      <c r="C2648" s="1" t="s">
        <v>2797</v>
      </c>
      <c r="D2648" s="1" t="s">
        <v>23</v>
      </c>
    </row>
    <row r="2649" spans="3:4" x14ac:dyDescent="0.3">
      <c r="C2649" s="1" t="s">
        <v>2798</v>
      </c>
      <c r="D2649" s="1" t="s">
        <v>12</v>
      </c>
    </row>
    <row r="2650" spans="3:4" x14ac:dyDescent="0.3">
      <c r="C2650" s="1" t="s">
        <v>2799</v>
      </c>
      <c r="D2650" s="1" t="s">
        <v>11</v>
      </c>
    </row>
    <row r="2651" spans="3:4" x14ac:dyDescent="0.3">
      <c r="C2651" s="1" t="s">
        <v>2800</v>
      </c>
      <c r="D2651" s="1" t="s">
        <v>24</v>
      </c>
    </row>
    <row r="2652" spans="3:4" x14ac:dyDescent="0.3">
      <c r="C2652" s="1" t="s">
        <v>2801</v>
      </c>
      <c r="D2652" s="1" t="s">
        <v>24</v>
      </c>
    </row>
    <row r="2653" spans="3:4" x14ac:dyDescent="0.3">
      <c r="C2653" s="1" t="s">
        <v>263</v>
      </c>
      <c r="D2653" s="1" t="s">
        <v>12</v>
      </c>
    </row>
    <row r="2654" spans="3:4" x14ac:dyDescent="0.3">
      <c r="C2654" s="1" t="s">
        <v>2802</v>
      </c>
      <c r="D2654" s="1" t="s">
        <v>11</v>
      </c>
    </row>
    <row r="2655" spans="3:4" x14ac:dyDescent="0.3">
      <c r="C2655" s="1" t="s">
        <v>264</v>
      </c>
      <c r="D2655" s="1" t="s">
        <v>22</v>
      </c>
    </row>
    <row r="2656" spans="3:4" x14ac:dyDescent="0.3">
      <c r="C2656" s="1" t="s">
        <v>2803</v>
      </c>
      <c r="D2656" s="1" t="s">
        <v>12</v>
      </c>
    </row>
    <row r="2657" spans="3:4" x14ac:dyDescent="0.3">
      <c r="C2657" s="1" t="s">
        <v>2804</v>
      </c>
      <c r="D2657" s="1" t="s">
        <v>11</v>
      </c>
    </row>
    <row r="2658" spans="3:4" x14ac:dyDescent="0.3">
      <c r="C2658" s="1" t="s">
        <v>301</v>
      </c>
      <c r="D2658" s="1" t="s">
        <v>16</v>
      </c>
    </row>
    <row r="2659" spans="3:4" x14ac:dyDescent="0.3">
      <c r="C2659" s="1" t="s">
        <v>117</v>
      </c>
      <c r="D2659" s="1" t="s">
        <v>12</v>
      </c>
    </row>
    <row r="2660" spans="3:4" x14ac:dyDescent="0.3">
      <c r="C2660" s="1" t="s">
        <v>2805</v>
      </c>
      <c r="D2660" s="1" t="s">
        <v>14</v>
      </c>
    </row>
    <row r="2661" spans="3:4" x14ac:dyDescent="0.3">
      <c r="C2661" s="1" t="s">
        <v>302</v>
      </c>
      <c r="D2661" s="1" t="s">
        <v>11</v>
      </c>
    </row>
    <row r="2662" spans="3:4" x14ac:dyDescent="0.3">
      <c r="C2662" s="1" t="s">
        <v>303</v>
      </c>
      <c r="D2662" s="1" t="s">
        <v>11</v>
      </c>
    </row>
    <row r="2663" spans="3:4" x14ac:dyDescent="0.3">
      <c r="C2663" s="1" t="s">
        <v>118</v>
      </c>
      <c r="D2663" s="1" t="s">
        <v>22</v>
      </c>
    </row>
    <row r="2664" spans="3:4" x14ac:dyDescent="0.3">
      <c r="C2664" s="1" t="s">
        <v>119</v>
      </c>
      <c r="D2664" s="1" t="s">
        <v>11</v>
      </c>
    </row>
    <row r="2665" spans="3:4" x14ac:dyDescent="0.3">
      <c r="C2665" s="1" t="s">
        <v>123</v>
      </c>
      <c r="D2665" s="1" t="s">
        <v>22</v>
      </c>
    </row>
    <row r="2666" spans="3:4" x14ac:dyDescent="0.3">
      <c r="C2666" s="1" t="s">
        <v>2806</v>
      </c>
      <c r="D2666" s="1" t="s">
        <v>31</v>
      </c>
    </row>
    <row r="2667" spans="3:4" x14ac:dyDescent="0.3">
      <c r="C2667" s="1" t="s">
        <v>2807</v>
      </c>
      <c r="D2667" s="1" t="s">
        <v>31</v>
      </c>
    </row>
    <row r="2668" spans="3:4" x14ac:dyDescent="0.3">
      <c r="C2668" s="1" t="s">
        <v>2808</v>
      </c>
      <c r="D2668" s="1" t="s">
        <v>31</v>
      </c>
    </row>
    <row r="2669" spans="3:4" x14ac:dyDescent="0.3">
      <c r="C2669" s="1" t="s">
        <v>2809</v>
      </c>
      <c r="D2669" s="1" t="s">
        <v>31</v>
      </c>
    </row>
    <row r="2670" spans="3:4" x14ac:dyDescent="0.3">
      <c r="C2670" s="1" t="s">
        <v>2810</v>
      </c>
      <c r="D2670" s="1" t="s">
        <v>31</v>
      </c>
    </row>
    <row r="2671" spans="3:4" x14ac:dyDescent="0.3">
      <c r="C2671" s="1" t="s">
        <v>120</v>
      </c>
      <c r="D2671" s="1" t="s">
        <v>31</v>
      </c>
    </row>
    <row r="2672" spans="3:4" x14ac:dyDescent="0.3">
      <c r="C2672" s="1" t="s">
        <v>2811</v>
      </c>
      <c r="D2672" s="1" t="s">
        <v>31</v>
      </c>
    </row>
    <row r="2673" spans="3:4" x14ac:dyDescent="0.3">
      <c r="C2673" s="1" t="s">
        <v>2812</v>
      </c>
      <c r="D2673" s="1" t="s">
        <v>31</v>
      </c>
    </row>
    <row r="2674" spans="3:4" x14ac:dyDescent="0.3">
      <c r="C2674" s="1" t="s">
        <v>2813</v>
      </c>
      <c r="D2674" s="1" t="s">
        <v>31</v>
      </c>
    </row>
    <row r="2675" spans="3:4" x14ac:dyDescent="0.3">
      <c r="C2675" s="1" t="s">
        <v>2814</v>
      </c>
      <c r="D2675" s="1" t="s">
        <v>31</v>
      </c>
    </row>
    <row r="2676" spans="3:4" x14ac:dyDescent="0.3">
      <c r="C2676" s="1" t="s">
        <v>2815</v>
      </c>
      <c r="D2676" s="1" t="s">
        <v>31</v>
      </c>
    </row>
    <row r="2677" spans="3:4" x14ac:dyDescent="0.3">
      <c r="C2677" s="1" t="s">
        <v>2816</v>
      </c>
      <c r="D2677" s="1" t="s">
        <v>31</v>
      </c>
    </row>
    <row r="2678" spans="3:4" x14ac:dyDescent="0.3">
      <c r="C2678" s="1" t="s">
        <v>2817</v>
      </c>
      <c r="D2678" s="1" t="s">
        <v>31</v>
      </c>
    </row>
    <row r="2679" spans="3:4" x14ac:dyDescent="0.3">
      <c r="C2679" s="1" t="s">
        <v>2818</v>
      </c>
      <c r="D2679" s="1" t="s">
        <v>31</v>
      </c>
    </row>
    <row r="2680" spans="3:4" x14ac:dyDescent="0.3">
      <c r="C2680" s="1" t="s">
        <v>2819</v>
      </c>
      <c r="D2680" s="1" t="s">
        <v>31</v>
      </c>
    </row>
    <row r="2681" spans="3:4" x14ac:dyDescent="0.3">
      <c r="C2681" s="1" t="s">
        <v>2820</v>
      </c>
      <c r="D2681" s="1" t="s">
        <v>31</v>
      </c>
    </row>
    <row r="2682" spans="3:4" x14ac:dyDescent="0.3">
      <c r="C2682" s="1" t="s">
        <v>121</v>
      </c>
      <c r="D2682" s="1" t="s">
        <v>31</v>
      </c>
    </row>
    <row r="2683" spans="3:4" x14ac:dyDescent="0.3">
      <c r="C2683" s="1" t="s">
        <v>2821</v>
      </c>
      <c r="D2683" s="1" t="s">
        <v>31</v>
      </c>
    </row>
    <row r="2684" spans="3:4" x14ac:dyDescent="0.3">
      <c r="C2684" s="1" t="s">
        <v>2822</v>
      </c>
      <c r="D2684" s="1" t="s">
        <v>31</v>
      </c>
    </row>
    <row r="2685" spans="3:4" x14ac:dyDescent="0.3">
      <c r="C2685" s="1" t="s">
        <v>2823</v>
      </c>
      <c r="D2685" s="1" t="s">
        <v>31</v>
      </c>
    </row>
    <row r="2686" spans="3:4" x14ac:dyDescent="0.3">
      <c r="C2686" s="1" t="s">
        <v>2824</v>
      </c>
      <c r="D2686" s="1" t="s">
        <v>31</v>
      </c>
    </row>
    <row r="2687" spans="3:4" x14ac:dyDescent="0.3">
      <c r="C2687" s="1" t="s">
        <v>122</v>
      </c>
      <c r="D2687" s="1" t="s">
        <v>31</v>
      </c>
    </row>
    <row r="2688" spans="3:4" x14ac:dyDescent="0.3">
      <c r="C2688" s="1" t="s">
        <v>2825</v>
      </c>
      <c r="D2688" s="1" t="s">
        <v>31</v>
      </c>
    </row>
    <row r="2689" spans="3:4" x14ac:dyDescent="0.3">
      <c r="C2689" s="1" t="s">
        <v>2826</v>
      </c>
      <c r="D2689" s="1" t="s">
        <v>31</v>
      </c>
    </row>
    <row r="2690" spans="3:4" x14ac:dyDescent="0.3">
      <c r="C2690" s="1" t="s">
        <v>2827</v>
      </c>
      <c r="D2690" s="1" t="s">
        <v>31</v>
      </c>
    </row>
    <row r="2691" spans="3:4" x14ac:dyDescent="0.3">
      <c r="C2691" s="1" t="s">
        <v>2828</v>
      </c>
      <c r="D2691" s="1" t="s">
        <v>31</v>
      </c>
    </row>
    <row r="2692" spans="3:4" x14ac:dyDescent="0.3">
      <c r="C2692" s="1" t="s">
        <v>2829</v>
      </c>
      <c r="D2692" s="1" t="s">
        <v>31</v>
      </c>
    </row>
    <row r="2693" spans="3:4" x14ac:dyDescent="0.3">
      <c r="C2693" s="1" t="s">
        <v>2830</v>
      </c>
      <c r="D2693" s="1" t="s">
        <v>31</v>
      </c>
    </row>
    <row r="2694" spans="3:4" x14ac:dyDescent="0.3">
      <c r="C2694" s="1" t="s">
        <v>2831</v>
      </c>
      <c r="D2694" s="1" t="s">
        <v>28</v>
      </c>
    </row>
    <row r="2695" spans="3:4" x14ac:dyDescent="0.3">
      <c r="C2695" s="1" t="s">
        <v>2832</v>
      </c>
      <c r="D2695" s="1" t="s">
        <v>31</v>
      </c>
    </row>
    <row r="2696" spans="3:4" x14ac:dyDescent="0.3">
      <c r="C2696" s="1" t="s">
        <v>76</v>
      </c>
      <c r="D2696" s="1" t="s">
        <v>31</v>
      </c>
    </row>
    <row r="2697" spans="3:4" x14ac:dyDescent="0.3">
      <c r="C2697" s="1" t="s">
        <v>2833</v>
      </c>
      <c r="D2697" s="1" t="s">
        <v>31</v>
      </c>
    </row>
    <row r="2698" spans="3:4" x14ac:dyDescent="0.3">
      <c r="C2698" s="1" t="s">
        <v>2834</v>
      </c>
      <c r="D2698" s="1" t="s">
        <v>31</v>
      </c>
    </row>
    <row r="2699" spans="3:4" x14ac:dyDescent="0.3">
      <c r="C2699" s="1" t="s">
        <v>2835</v>
      </c>
      <c r="D2699" s="1" t="s">
        <v>31</v>
      </c>
    </row>
    <row r="2700" spans="3:4" x14ac:dyDescent="0.3">
      <c r="C2700" s="1" t="s">
        <v>2836</v>
      </c>
      <c r="D2700" s="1" t="s">
        <v>31</v>
      </c>
    </row>
    <row r="2701" spans="3:4" x14ac:dyDescent="0.3">
      <c r="C2701" s="1" t="s">
        <v>2837</v>
      </c>
      <c r="D2701" s="1" t="s">
        <v>28</v>
      </c>
    </row>
    <row r="2702" spans="3:4" x14ac:dyDescent="0.3">
      <c r="C2702" s="1" t="s">
        <v>2838</v>
      </c>
      <c r="D2702" s="1" t="s">
        <v>28</v>
      </c>
    </row>
    <row r="2703" spans="3:4" x14ac:dyDescent="0.3">
      <c r="C2703" s="1" t="s">
        <v>2839</v>
      </c>
      <c r="D2703" s="1" t="s">
        <v>28</v>
      </c>
    </row>
    <row r="2704" spans="3:4" x14ac:dyDescent="0.3">
      <c r="C2704" s="1" t="s">
        <v>2840</v>
      </c>
      <c r="D2704" s="1" t="s">
        <v>176</v>
      </c>
    </row>
    <row r="2705" spans="3:4" x14ac:dyDescent="0.3">
      <c r="C2705" s="1" t="s">
        <v>2841</v>
      </c>
      <c r="D2705" s="1" t="s">
        <v>28</v>
      </c>
    </row>
    <row r="2706" spans="3:4" x14ac:dyDescent="0.3">
      <c r="C2706" s="1" t="s">
        <v>2849</v>
      </c>
      <c r="D2706" s="1" t="s">
        <v>18</v>
      </c>
    </row>
    <row r="2707" spans="3:4" x14ac:dyDescent="0.3">
      <c r="C2707" s="1" t="s">
        <v>2850</v>
      </c>
      <c r="D2707" s="1" t="s">
        <v>18</v>
      </c>
    </row>
    <row r="2708" spans="3:4" x14ac:dyDescent="0.3">
      <c r="C2708" s="1" t="s">
        <v>2851</v>
      </c>
      <c r="D2708" s="1" t="s">
        <v>26</v>
      </c>
    </row>
    <row r="2709" spans="3:4" x14ac:dyDescent="0.3">
      <c r="C2709" s="1" t="s">
        <v>2852</v>
      </c>
      <c r="D2709" s="1" t="s">
        <v>16</v>
      </c>
    </row>
    <row r="2710" spans="3:4" x14ac:dyDescent="0.3">
      <c r="C2710" s="1" t="s">
        <v>2853</v>
      </c>
      <c r="D2710" s="1" t="s">
        <v>18</v>
      </c>
    </row>
    <row r="2711" spans="3:4" x14ac:dyDescent="0.3">
      <c r="C2711" s="1" t="s">
        <v>2854</v>
      </c>
      <c r="D2711" s="1" t="s">
        <v>26</v>
      </c>
    </row>
    <row r="2712" spans="3:4" x14ac:dyDescent="0.3">
      <c r="C2712" s="1" t="s">
        <v>2855</v>
      </c>
      <c r="D2712" s="1" t="s">
        <v>26</v>
      </c>
    </row>
    <row r="2713" spans="3:4" x14ac:dyDescent="0.3">
      <c r="C2713" s="1" t="s">
        <v>2856</v>
      </c>
      <c r="D2713" s="1" t="s">
        <v>26</v>
      </c>
    </row>
    <row r="2714" spans="3:4" x14ac:dyDescent="0.3">
      <c r="C2714" s="1" t="s">
        <v>2857</v>
      </c>
      <c r="D2714" s="1" t="s">
        <v>25</v>
      </c>
    </row>
    <row r="2715" spans="3:4" x14ac:dyDescent="0.3">
      <c r="C2715" s="1" t="s">
        <v>2858</v>
      </c>
      <c r="D2715" s="1" t="s">
        <v>12</v>
      </c>
    </row>
    <row r="2716" spans="3:4" x14ac:dyDescent="0.3">
      <c r="C2716" s="1" t="s">
        <v>2859</v>
      </c>
      <c r="D2716" s="1" t="s">
        <v>16</v>
      </c>
    </row>
    <row r="2717" spans="3:4" x14ac:dyDescent="0.3">
      <c r="C2717" s="1" t="s">
        <v>2860</v>
      </c>
      <c r="D2717" s="1" t="s">
        <v>12</v>
      </c>
    </row>
    <row r="2718" spans="3:4" x14ac:dyDescent="0.3">
      <c r="C2718" s="1" t="s">
        <v>2861</v>
      </c>
      <c r="D2718" s="1" t="s">
        <v>26</v>
      </c>
    </row>
    <row r="2719" spans="3:4" x14ac:dyDescent="0.3">
      <c r="C2719" s="1" t="s">
        <v>2862</v>
      </c>
      <c r="D2719" s="1" t="s">
        <v>25</v>
      </c>
    </row>
    <row r="2720" spans="3:4" x14ac:dyDescent="0.3">
      <c r="C2720" s="1" t="s">
        <v>2863</v>
      </c>
      <c r="D2720" s="1" t="s">
        <v>27</v>
      </c>
    </row>
  </sheetData>
  <phoneticPr fontId="1" type="noConversion"/>
  <dataValidations count="1">
    <dataValidation type="list" allowBlank="1" showInputMessage="1" showErrorMessage="1" sqref="D1:D2720" xr:uid="{0C89DE28-3EF7-4770-A4D6-618666FC9DF9}">
      <formula1>$K$3:$K$20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4584-A10C-4744-990A-6782771EF03A}">
  <dimension ref="B2:AP44"/>
  <sheetViews>
    <sheetView showGridLines="0" zoomScale="85" zoomScaleNormal="85" workbookViewId="0">
      <selection activeCell="B6" sqref="B6:B23"/>
    </sheetView>
  </sheetViews>
  <sheetFormatPr defaultRowHeight="13.5" x14ac:dyDescent="0.3"/>
  <cols>
    <col min="1" max="1" width="3.75" style="5" customWidth="1"/>
    <col min="2" max="2" width="11.375" style="5" bestFit="1" customWidth="1"/>
    <col min="3" max="4" width="9" style="5"/>
    <col min="5" max="7" width="9" style="5" customWidth="1"/>
    <col min="8" max="8" width="3.75" style="5" customWidth="1"/>
    <col min="9" max="9" width="10.875" style="5" customWidth="1"/>
    <col min="10" max="10" width="8.75" style="5" bestFit="1" customWidth="1"/>
    <col min="11" max="12" width="9.625" style="5" bestFit="1" customWidth="1"/>
    <col min="13" max="13" width="12.625" style="5" customWidth="1"/>
    <col min="14" max="14" width="3.75" style="5" customWidth="1"/>
    <col min="15" max="15" width="9" style="5" customWidth="1"/>
    <col min="16" max="21" width="9" style="5"/>
    <col min="22" max="22" width="3.75" style="5" customWidth="1"/>
    <col min="23" max="23" width="11.125" style="5" customWidth="1"/>
    <col min="24" max="29" width="9" style="5"/>
    <col min="30" max="30" width="3.75" style="5" customWidth="1"/>
    <col min="31" max="37" width="9" style="5" customWidth="1"/>
    <col min="38" max="38" width="3.75" style="5" customWidth="1"/>
    <col min="39" max="39" width="11.375" style="5" bestFit="1" customWidth="1"/>
    <col min="40" max="42" width="9" style="5"/>
    <col min="43" max="43" width="3.75" style="5" customWidth="1"/>
    <col min="44" max="16384" width="9" style="5"/>
  </cols>
  <sheetData>
    <row r="2" spans="2:42" x14ac:dyDescent="0.3">
      <c r="B2" s="24" t="s">
        <v>125</v>
      </c>
      <c r="I2" s="21" t="s">
        <v>131</v>
      </c>
      <c r="O2" s="21" t="s">
        <v>133</v>
      </c>
      <c r="W2" s="21" t="s">
        <v>134</v>
      </c>
      <c r="AE2" s="21" t="s">
        <v>150</v>
      </c>
      <c r="AM2" s="21" t="s">
        <v>151</v>
      </c>
    </row>
    <row r="3" spans="2:42" x14ac:dyDescent="0.3">
      <c r="B3" s="76" t="s">
        <v>169</v>
      </c>
      <c r="C3" s="76"/>
      <c r="D3" s="46">
        <v>5</v>
      </c>
    </row>
    <row r="4" spans="2:42" x14ac:dyDescent="0.3">
      <c r="B4" s="23"/>
      <c r="D4" s="15"/>
    </row>
    <row r="5" spans="2:42" x14ac:dyDescent="0.3">
      <c r="B5" s="6" t="s">
        <v>126</v>
      </c>
      <c r="C5" s="7" t="s">
        <v>127</v>
      </c>
      <c r="D5" s="7" t="s">
        <v>128</v>
      </c>
      <c r="E5" s="7" t="s">
        <v>129</v>
      </c>
      <c r="F5" s="8" t="s">
        <v>168</v>
      </c>
      <c r="G5" s="7" t="s">
        <v>130</v>
      </c>
      <c r="I5" s="6" t="s">
        <v>132</v>
      </c>
      <c r="J5" s="7" t="s">
        <v>163</v>
      </c>
      <c r="K5" s="7" t="s">
        <v>128</v>
      </c>
      <c r="L5" s="7" t="s">
        <v>10</v>
      </c>
      <c r="M5" s="8" t="s">
        <v>129</v>
      </c>
      <c r="N5" s="30"/>
      <c r="O5" s="9" t="s">
        <v>135</v>
      </c>
      <c r="P5" s="9" t="s">
        <v>136</v>
      </c>
      <c r="Q5" s="9" t="s">
        <v>137</v>
      </c>
      <c r="R5" s="9" t="s">
        <v>138</v>
      </c>
      <c r="S5" s="9" t="s">
        <v>139</v>
      </c>
      <c r="T5" s="9" t="s">
        <v>140</v>
      </c>
      <c r="U5" s="32" t="s">
        <v>147</v>
      </c>
      <c r="W5" s="9" t="s">
        <v>126</v>
      </c>
      <c r="X5" s="9" t="s">
        <v>136</v>
      </c>
      <c r="Y5" s="9" t="s">
        <v>137</v>
      </c>
      <c r="Z5" s="9" t="s">
        <v>138</v>
      </c>
      <c r="AA5" s="9" t="s">
        <v>139</v>
      </c>
      <c r="AB5" s="9" t="s">
        <v>140</v>
      </c>
      <c r="AC5" s="32" t="s">
        <v>147</v>
      </c>
      <c r="AE5" s="32" t="s">
        <v>5</v>
      </c>
      <c r="AF5" s="32" t="s">
        <v>136</v>
      </c>
      <c r="AG5" s="32" t="s">
        <v>137</v>
      </c>
      <c r="AH5" s="32" t="s">
        <v>138</v>
      </c>
      <c r="AI5" s="32" t="s">
        <v>139</v>
      </c>
      <c r="AJ5" s="32" t="s">
        <v>140</v>
      </c>
      <c r="AK5" s="32" t="s">
        <v>147</v>
      </c>
      <c r="AM5" s="15" t="s">
        <v>126</v>
      </c>
      <c r="AN5" s="15" t="s">
        <v>148</v>
      </c>
      <c r="AO5" s="15" t="s">
        <v>149</v>
      </c>
      <c r="AP5" s="48" t="s">
        <v>147</v>
      </c>
    </row>
    <row r="6" spans="2:42" x14ac:dyDescent="0.25">
      <c r="B6" s="3" t="s">
        <v>12</v>
      </c>
      <c r="C6" s="9">
        <f>COUNTIF([1]Village!$C:$C,표2[[#This Row],[문화권]])</f>
        <v>0</v>
      </c>
      <c r="D6" s="9">
        <f>COUNTIF([1]LandExplore!$C:$C,표2[[#This Row],[문화권]])</f>
        <v>0</v>
      </c>
      <c r="E6" s="9">
        <f>(표2[[#This Row],[마을]]+표2[[#This Row],[육지]])*$D$3</f>
        <v>0</v>
      </c>
      <c r="F6" s="10">
        <f>COUNTIF(표1[문화권],표2[[#This Row],[문화권]])</f>
        <v>292</v>
      </c>
      <c r="G6" s="22">
        <f>표2[[#This Row],[전체 발견물]]-표2[[#This Row],[필요 발견물]]</f>
        <v>292</v>
      </c>
      <c r="I6" s="11">
        <v>0</v>
      </c>
      <c r="J6" s="9">
        <v>1</v>
      </c>
      <c r="K6" s="9">
        <f>COUNTIF([3]!표1_6[선단 LV],표3[[#This Row],[레벨 제한]])</f>
        <v>13</v>
      </c>
      <c r="L6" s="9">
        <f>COUNTIF([3]!표8[선단 LV],표3[[#This Row],[레벨 제한]])</f>
        <v>3</v>
      </c>
      <c r="M6" s="10">
        <f>SUM(표3[[#This Row],[육지]:[마을]])*$D$3</f>
        <v>80</v>
      </c>
      <c r="N6" s="30"/>
      <c r="O6" s="9" t="s">
        <v>141</v>
      </c>
      <c r="P6" s="9">
        <f>COUNTIFS(표1[대분류],표4[[#This Row],[분류]],표1[등급],"D")</f>
        <v>165</v>
      </c>
      <c r="Q6" s="9">
        <f>COUNTIFS(표1[대분류],표4[[#This Row],[분류]],표1[등급],"C")</f>
        <v>174</v>
      </c>
      <c r="R6" s="9">
        <f>COUNTIFS(표1[대분류],표4[[#This Row],[분류]],표1[등급],"B")</f>
        <v>264</v>
      </c>
      <c r="S6" s="9">
        <f>COUNTIFS(표1[대분류],표4[[#This Row],[분류]],표1[등급],"A")</f>
        <v>173</v>
      </c>
      <c r="T6" s="9">
        <f>COUNTIFS(표1[대분류],표4[[#This Row],[분류]],표1[등급],"S")</f>
        <v>102</v>
      </c>
      <c r="U6" s="9">
        <f>SUM(표4[[#This Row],[D]:[S]])</f>
        <v>878</v>
      </c>
      <c r="W6" s="2" t="s">
        <v>12</v>
      </c>
      <c r="X6" s="9">
        <f>COUNTIFS(표1[문화권],표5[[#This Row],[문화권]],표1[등급],표5[[#Headers],[D]])</f>
        <v>38</v>
      </c>
      <c r="Y6" s="9">
        <f>COUNTIFS(표1[문화권],표5[[#This Row],[문화권]],표1[등급],표5[[#Headers],[C]])</f>
        <v>60</v>
      </c>
      <c r="Z6" s="9">
        <f>COUNTIFS(표1[문화권],표5[[#This Row],[문화권]],표1[등급],표5[[#Headers],[B]])</f>
        <v>83</v>
      </c>
      <c r="AA6" s="9">
        <f>COUNTIFS(표1[문화권],표5[[#This Row],[문화권]],표1[등급],표5[[#Headers],[A]])</f>
        <v>66</v>
      </c>
      <c r="AB6" s="9">
        <f>COUNTIFS(표1[문화권],표5[[#This Row],[문화권]],표1[등급],표5[[#Headers],[S]])</f>
        <v>45</v>
      </c>
      <c r="AC6" s="9">
        <f>SUM(표5[[#This Row],[문화권]:[S]])</f>
        <v>292</v>
      </c>
      <c r="AE6" s="49" t="s">
        <v>6</v>
      </c>
      <c r="AF6" s="9">
        <f>COUNTIFS(표1[해양탐색],"&gt;=1",표1[등급],AF5)</f>
        <v>0</v>
      </c>
      <c r="AG6" s="9">
        <f>COUNTIFS(표1[해양탐색],"&gt;=1",표1[등급],AG5)</f>
        <v>0</v>
      </c>
      <c r="AH6" s="9">
        <f>COUNTIFS(표1[해양탐색],"&gt;=1",표1[등급],AH5)</f>
        <v>0</v>
      </c>
      <c r="AI6" s="9">
        <f>COUNTIFS(표1[해양탐색],"&gt;=1",표1[등급],AI5)</f>
        <v>0</v>
      </c>
      <c r="AJ6" s="9">
        <f>COUNTIFS(표1[해양탐색],"&gt;=1",표1[등급],AJ5)</f>
        <v>0</v>
      </c>
      <c r="AK6" s="9">
        <f>SUM(AF6:AJ6)</f>
        <v>0</v>
      </c>
      <c r="AM6" s="2" t="s">
        <v>12</v>
      </c>
      <c r="AN6" s="9">
        <f>COUNTIFS(표1[해양탐색],1,표1[문화권],표6[[#This Row],[문화권]])</f>
        <v>0</v>
      </c>
      <c r="AO6" s="10">
        <f>COUNTIFS(표1[육지탐험],"&gt;=1",표1[문화권],표6[[#This Row],[문화권]])</f>
        <v>44</v>
      </c>
      <c r="AP6" s="47">
        <f>SUM(표6[[#This Row],[해양 탐색]:[육지 탐험]])</f>
        <v>44</v>
      </c>
    </row>
    <row r="7" spans="2:42" x14ac:dyDescent="0.25">
      <c r="B7" s="3" t="s">
        <v>20</v>
      </c>
      <c r="C7" s="9">
        <f>COUNTIF([1]Village!$C:$C,표2[[#This Row],[문화권]])</f>
        <v>3</v>
      </c>
      <c r="D7" s="9">
        <f>COUNTIF([1]LandExplore!$C:$C,표2[[#This Row],[문화권]])</f>
        <v>0</v>
      </c>
      <c r="E7" s="9">
        <f>(표2[[#This Row],[마을]]+표2[[#This Row],[육지]])*$D$3</f>
        <v>15</v>
      </c>
      <c r="F7" s="10">
        <f>COUNTIF(표1[문화권],표2[[#This Row],[문화권]])</f>
        <v>43</v>
      </c>
      <c r="G7" s="16">
        <f>표2[[#This Row],[전체 발견물]]-표2[[#This Row],[필요 발견물]]</f>
        <v>28</v>
      </c>
      <c r="I7" s="11">
        <v>20</v>
      </c>
      <c r="J7" s="9">
        <v>2</v>
      </c>
      <c r="K7" s="9">
        <f>COUNTIF([3]!표1_6[선단 LV],표3[[#This Row],[레벨 제한]])</f>
        <v>8</v>
      </c>
      <c r="L7" s="9">
        <f>COUNTIF([3]!표8[선단 LV],표3[[#This Row],[레벨 제한]])</f>
        <v>10</v>
      </c>
      <c r="M7" s="10">
        <f>SUM(표3[[#This Row],[육지]:[마을]])*$D$3</f>
        <v>90</v>
      </c>
      <c r="N7" s="30"/>
      <c r="O7" s="9" t="s">
        <v>142</v>
      </c>
      <c r="P7" s="9">
        <f>COUNTIFS(표1[대분류],표4[[#This Row],[분류]],표1[등급],"D")</f>
        <v>304</v>
      </c>
      <c r="Q7" s="9">
        <f>COUNTIFS(표1[대분류],표4[[#This Row],[분류]],표1[등급],"C")</f>
        <v>30</v>
      </c>
      <c r="R7" s="9">
        <f>COUNTIFS(표1[대분류],표4[[#This Row],[분류]],표1[등급],"B")</f>
        <v>46</v>
      </c>
      <c r="S7" s="9">
        <f>COUNTIFS(표1[대분류],표4[[#This Row],[분류]],표1[등급],"A")</f>
        <v>34</v>
      </c>
      <c r="T7" s="9">
        <f>COUNTIFS(표1[대분류],표4[[#This Row],[분류]],표1[등급],"S")</f>
        <v>19</v>
      </c>
      <c r="U7" s="9">
        <f>SUM(표4[[#This Row],[D]:[S]])</f>
        <v>433</v>
      </c>
      <c r="W7" s="2" t="s">
        <v>20</v>
      </c>
      <c r="X7" s="9">
        <f>COUNTIFS(표1[문화권],표5[[#This Row],[문화권]],표1[등급],표5[[#Headers],[D]])</f>
        <v>6</v>
      </c>
      <c r="Y7" s="9">
        <f>COUNTIFS(표1[문화권],표5[[#This Row],[문화권]],표1[등급],표5[[#Headers],[C]])</f>
        <v>8</v>
      </c>
      <c r="Z7" s="9">
        <f>COUNTIFS(표1[문화권],표5[[#This Row],[문화권]],표1[등급],표5[[#Headers],[B]])</f>
        <v>14</v>
      </c>
      <c r="AA7" s="9">
        <f>COUNTIFS(표1[문화권],표5[[#This Row],[문화권]],표1[등급],표5[[#Headers],[A]])</f>
        <v>9</v>
      </c>
      <c r="AB7" s="9">
        <f>COUNTIFS(표1[문화권],표5[[#This Row],[문화권]],표1[등급],표5[[#Headers],[S]])</f>
        <v>6</v>
      </c>
      <c r="AC7" s="9">
        <f>SUM(표5[[#This Row],[문화권]:[S]])</f>
        <v>43</v>
      </c>
      <c r="AE7" s="49" t="s">
        <v>7</v>
      </c>
      <c r="AF7" s="9">
        <f>COUNTIFS(표1[육지탐험],"&gt;=1",표1[등급],AF5)</f>
        <v>125</v>
      </c>
      <c r="AG7" s="9">
        <f>COUNTIFS(표1[육지탐험],"&gt;=1",표1[등급],AG5)</f>
        <v>112</v>
      </c>
      <c r="AH7" s="9">
        <f>COUNTIFS(표1[육지탐험],"&gt;=1",표1[등급],AH5)</f>
        <v>105</v>
      </c>
      <c r="AI7" s="9">
        <f>COUNTIFS(표1[육지탐험],"&gt;=1",표1[등급],AI5)</f>
        <v>87</v>
      </c>
      <c r="AJ7" s="9">
        <f>COUNTIFS(표1[육지탐험],"&gt;=1",표1[등급],AJ5)</f>
        <v>34</v>
      </c>
      <c r="AK7" s="9">
        <f t="shared" ref="AK7:AK11" si="0">SUM(AF7:AJ7)</f>
        <v>463</v>
      </c>
      <c r="AM7" s="2" t="s">
        <v>20</v>
      </c>
      <c r="AN7" s="9">
        <f>COUNTIFS(표1[해양탐색],1,표1[문화권],표6[[#This Row],[문화권]])</f>
        <v>0</v>
      </c>
      <c r="AO7" s="10">
        <f>COUNTIFS(표1[육지탐험],"&gt;=1",표1[문화권],표6[[#This Row],[문화권]])</f>
        <v>19</v>
      </c>
      <c r="AP7" s="47">
        <f>SUM(표6[[#This Row],[해양 탐색]:[육지 탐험]])</f>
        <v>19</v>
      </c>
    </row>
    <row r="8" spans="2:42" x14ac:dyDescent="0.25">
      <c r="B8" s="3" t="s">
        <v>22</v>
      </c>
      <c r="C8" s="9">
        <f>COUNTIF([1]Village!$C:$C,표2[[#This Row],[문화권]])</f>
        <v>0</v>
      </c>
      <c r="D8" s="9">
        <f>COUNTIF([1]LandExplore!$C:$C,표2[[#This Row],[문화권]])</f>
        <v>0</v>
      </c>
      <c r="E8" s="9">
        <f>(표2[[#This Row],[마을]]+표2[[#This Row],[육지]])*$D$3</f>
        <v>0</v>
      </c>
      <c r="F8" s="10">
        <f>COUNTIF(표1[문화권],표2[[#This Row],[문화권]])</f>
        <v>36</v>
      </c>
      <c r="G8" s="16">
        <f>표2[[#This Row],[전체 발견물]]-표2[[#This Row],[필요 발견물]]</f>
        <v>36</v>
      </c>
      <c r="I8" s="11">
        <v>25</v>
      </c>
      <c r="J8" s="9">
        <v>3</v>
      </c>
      <c r="K8" s="9">
        <f>COUNTIF([3]!표1_6[선단 LV],표3[[#This Row],[레벨 제한]])</f>
        <v>2</v>
      </c>
      <c r="L8" s="9">
        <f>COUNTIF([3]!표8[선단 LV],표3[[#This Row],[레벨 제한]])</f>
        <v>3</v>
      </c>
      <c r="M8" s="10">
        <f>SUM(표3[[#This Row],[육지]:[마을]])*$D$3</f>
        <v>25</v>
      </c>
      <c r="N8" s="30"/>
      <c r="O8" s="9" t="s">
        <v>143</v>
      </c>
      <c r="P8" s="9">
        <f>COUNTIFS(표1[대분류],표4[[#This Row],[분류]],표1[등급],"D")</f>
        <v>35</v>
      </c>
      <c r="Q8" s="9">
        <f>COUNTIFS(표1[대분류],표4[[#This Row],[분류]],표1[등급],"C")</f>
        <v>57</v>
      </c>
      <c r="R8" s="9">
        <f>COUNTIFS(표1[대분류],표4[[#This Row],[분류]],표1[등급],"B")</f>
        <v>85</v>
      </c>
      <c r="S8" s="9">
        <f>COUNTIFS(표1[대분류],표4[[#This Row],[분류]],표1[등급],"A")</f>
        <v>67</v>
      </c>
      <c r="T8" s="9">
        <f>COUNTIFS(표1[대분류],표4[[#This Row],[분류]],표1[등급],"S")</f>
        <v>60</v>
      </c>
      <c r="U8" s="9">
        <f>SUM(표4[[#This Row],[D]:[S]])</f>
        <v>304</v>
      </c>
      <c r="W8" s="2" t="s">
        <v>22</v>
      </c>
      <c r="X8" s="9">
        <f>COUNTIFS(표1[문화권],표5[[#This Row],[문화권]],표1[등급],표5[[#Headers],[D]])</f>
        <v>6</v>
      </c>
      <c r="Y8" s="9">
        <f>COUNTIFS(표1[문화권],표5[[#This Row],[문화권]],표1[등급],표5[[#Headers],[C]])</f>
        <v>6</v>
      </c>
      <c r="Z8" s="9">
        <f>COUNTIFS(표1[문화권],표5[[#This Row],[문화권]],표1[등급],표5[[#Headers],[B]])</f>
        <v>12</v>
      </c>
      <c r="AA8" s="9">
        <f>COUNTIFS(표1[문화권],표5[[#This Row],[문화권]],표1[등급],표5[[#Headers],[A]])</f>
        <v>7</v>
      </c>
      <c r="AB8" s="9">
        <f>COUNTIFS(표1[문화권],표5[[#This Row],[문화권]],표1[등급],표5[[#Headers],[S]])</f>
        <v>5</v>
      </c>
      <c r="AC8" s="9">
        <f>SUM(표5[[#This Row],[문화권]:[S]])</f>
        <v>36</v>
      </c>
      <c r="AE8" s="49" t="s">
        <v>8</v>
      </c>
      <c r="AF8" s="9">
        <f>COUNTIFS(표1[낚시],"&gt;=1",표1[등급],AF5)</f>
        <v>64</v>
      </c>
      <c r="AG8" s="9">
        <f>COUNTIFS(표1[낚시],"&gt;=1",표1[등급],AG5)</f>
        <v>64</v>
      </c>
      <c r="AH8" s="9">
        <f>COUNTIFS(표1[낚시],"&gt;=1",표1[등급],AH5)</f>
        <v>89</v>
      </c>
      <c r="AI8" s="9">
        <f>COUNTIFS(표1[낚시],"&gt;=1",표1[등급],AI5)</f>
        <v>50</v>
      </c>
      <c r="AJ8" s="9">
        <f>COUNTIFS(표1[낚시],"&gt;=1",표1[등급],AJ5)</f>
        <v>51</v>
      </c>
      <c r="AK8" s="9">
        <f t="shared" si="0"/>
        <v>318</v>
      </c>
      <c r="AM8" s="2" t="s">
        <v>22</v>
      </c>
      <c r="AN8" s="9">
        <f>COUNTIFS(표1[해양탐색],1,표1[문화권],표6[[#This Row],[문화권]])</f>
        <v>0</v>
      </c>
      <c r="AO8" s="10">
        <f>COUNTIFS(표1[육지탐험],"&gt;=1",표1[문화권],표6[[#This Row],[문화권]])</f>
        <v>9</v>
      </c>
      <c r="AP8" s="47">
        <f>SUM(표6[[#This Row],[해양 탐색]:[육지 탐험]])</f>
        <v>9</v>
      </c>
    </row>
    <row r="9" spans="2:42" x14ac:dyDescent="0.25">
      <c r="B9" s="3" t="s">
        <v>18</v>
      </c>
      <c r="C9" s="9">
        <f>COUNTIF([1]Village!$C:$C,표2[[#This Row],[문화권]])</f>
        <v>0</v>
      </c>
      <c r="D9" s="9">
        <f>COUNTIF([1]LandExplore!$C:$C,표2[[#This Row],[문화권]])</f>
        <v>0</v>
      </c>
      <c r="E9" s="9">
        <f>(표2[[#This Row],[마을]]+표2[[#This Row],[육지]])*$D$3</f>
        <v>0</v>
      </c>
      <c r="F9" s="10">
        <f>COUNTIF(표1[문화권],표2[[#This Row],[문화권]])</f>
        <v>71</v>
      </c>
      <c r="G9" s="16">
        <f>표2[[#This Row],[전체 발견물]]-표2[[#This Row],[필요 발견물]]</f>
        <v>71</v>
      </c>
      <c r="I9" s="11">
        <v>30</v>
      </c>
      <c r="J9" s="9">
        <v>4</v>
      </c>
      <c r="K9" s="9">
        <f>COUNTIF([3]!표1_6[선단 LV],표3[[#This Row],[레벨 제한]])</f>
        <v>3</v>
      </c>
      <c r="L9" s="9">
        <f>COUNTIF([3]!표8[선단 LV],표3[[#This Row],[레벨 제한]])</f>
        <v>5</v>
      </c>
      <c r="M9" s="10">
        <f>SUM(표3[[#This Row],[육지]:[마을]])*$D$3</f>
        <v>40</v>
      </c>
      <c r="N9" s="30"/>
      <c r="O9" s="9" t="s">
        <v>144</v>
      </c>
      <c r="P9" s="9">
        <f>COUNTIFS(표1[대분류],표4[[#This Row],[분류]],표1[등급],"D")</f>
        <v>25</v>
      </c>
      <c r="Q9" s="9">
        <f>COUNTIFS(표1[대분류],표4[[#This Row],[분류]],표1[등급],"C")</f>
        <v>48</v>
      </c>
      <c r="R9" s="9">
        <f>COUNTIFS(표1[대분류],표4[[#This Row],[분류]],표1[등급],"B")</f>
        <v>78</v>
      </c>
      <c r="S9" s="9">
        <f>COUNTIFS(표1[대분류],표4[[#This Row],[분류]],표1[등급],"A")</f>
        <v>59</v>
      </c>
      <c r="T9" s="9">
        <f>COUNTIFS(표1[대분류],표4[[#This Row],[분류]],표1[등급],"S")</f>
        <v>51</v>
      </c>
      <c r="U9" s="9">
        <f>SUM(표4[[#This Row],[D]:[S]])</f>
        <v>261</v>
      </c>
      <c r="W9" s="2" t="s">
        <v>18</v>
      </c>
      <c r="X9" s="9">
        <f>COUNTIFS(표1[문화권],표5[[#This Row],[문화권]],표1[등급],표5[[#Headers],[D]])</f>
        <v>11</v>
      </c>
      <c r="Y9" s="9">
        <f>COUNTIFS(표1[문화권],표5[[#This Row],[문화권]],표1[등급],표5[[#Headers],[C]])</f>
        <v>13</v>
      </c>
      <c r="Z9" s="9">
        <f>COUNTIFS(표1[문화권],표5[[#This Row],[문화권]],표1[등급],표5[[#Headers],[B]])</f>
        <v>21</v>
      </c>
      <c r="AA9" s="9">
        <f>COUNTIFS(표1[문화권],표5[[#This Row],[문화권]],표1[등급],표5[[#Headers],[A]])</f>
        <v>15</v>
      </c>
      <c r="AB9" s="9">
        <f>COUNTIFS(표1[문화권],표5[[#This Row],[문화권]],표1[등급],표5[[#Headers],[S]])</f>
        <v>11</v>
      </c>
      <c r="AC9" s="9">
        <f>SUM(표5[[#This Row],[문화권]:[S]])</f>
        <v>71</v>
      </c>
      <c r="AE9" s="49" t="s">
        <v>9</v>
      </c>
      <c r="AF9" s="9">
        <f>COUNTIFS(표1[항구],"&gt;=1",표1[등급],AF5)</f>
        <v>0</v>
      </c>
      <c r="AG9" s="9">
        <f>COUNTIFS(표1[항구],"&gt;=1",표1[등급],AG5)</f>
        <v>0</v>
      </c>
      <c r="AH9" s="9">
        <f>COUNTIFS(표1[항구],"&gt;=1",표1[등급],AH5)</f>
        <v>0</v>
      </c>
      <c r="AI9" s="9">
        <f>COUNTIFS(표1[항구],"&gt;=1",표1[등급],AI5)</f>
        <v>0</v>
      </c>
      <c r="AJ9" s="9">
        <f>COUNTIFS(표1[항구],"&gt;=1",표1[등급],AJ5)</f>
        <v>0</v>
      </c>
      <c r="AK9" s="9">
        <f t="shared" si="0"/>
        <v>0</v>
      </c>
      <c r="AM9" s="2" t="s">
        <v>18</v>
      </c>
      <c r="AN9" s="9">
        <f>COUNTIFS(표1[해양탐색],1,표1[문화권],표6[[#This Row],[문화권]])</f>
        <v>0</v>
      </c>
      <c r="AO9" s="10">
        <f>COUNTIFS(표1[육지탐험],"&gt;=1",표1[문화권],표6[[#This Row],[문화권]])</f>
        <v>19</v>
      </c>
      <c r="AP9" s="47">
        <f>SUM(표6[[#This Row],[해양 탐색]:[육지 탐험]])</f>
        <v>19</v>
      </c>
    </row>
    <row r="10" spans="2:42" x14ac:dyDescent="0.25">
      <c r="B10" s="3" t="s">
        <v>26</v>
      </c>
      <c r="C10" s="9">
        <f>COUNTIF([1]Village!$C:$C,표2[[#This Row],[문화권]])</f>
        <v>1</v>
      </c>
      <c r="D10" s="9">
        <f>COUNTIF([1]LandExplore!$C:$C,표2[[#This Row],[문화권]])</f>
        <v>0</v>
      </c>
      <c r="E10" s="9">
        <f>(표2[[#This Row],[마을]]+표2[[#This Row],[육지]])*$D$3</f>
        <v>5</v>
      </c>
      <c r="F10" s="10">
        <f>COUNTIF(표1[문화권],표2[[#This Row],[문화권]])</f>
        <v>60</v>
      </c>
      <c r="G10" s="16">
        <f>표2[[#This Row],[전체 발견물]]-표2[[#This Row],[필요 발견물]]</f>
        <v>55</v>
      </c>
      <c r="I10" s="11">
        <v>35</v>
      </c>
      <c r="J10" s="9">
        <v>5</v>
      </c>
      <c r="K10" s="9">
        <f>COUNTIF([3]!표1_6[선단 LV],표3[[#This Row],[레벨 제한]])</f>
        <v>8</v>
      </c>
      <c r="L10" s="9">
        <f>COUNTIF([3]!표8[선단 LV],표3[[#This Row],[레벨 제한]])</f>
        <v>6</v>
      </c>
      <c r="M10" s="10">
        <f>SUM(표3[[#This Row],[육지]:[마을]])*$D$3</f>
        <v>70</v>
      </c>
      <c r="N10" s="30"/>
      <c r="O10" s="9" t="s">
        <v>145</v>
      </c>
      <c r="P10" s="9">
        <f>COUNTIFS(표1[대분류],표4[[#This Row],[분류]],표1[등급],"D")</f>
        <v>20</v>
      </c>
      <c r="Q10" s="9">
        <f>COUNTIFS(표1[대분류],표4[[#This Row],[분류]],표1[등급],"C")</f>
        <v>33</v>
      </c>
      <c r="R10" s="9">
        <f>COUNTIFS(표1[대분류],표4[[#This Row],[분류]],표1[등급],"B")</f>
        <v>47</v>
      </c>
      <c r="S10" s="9">
        <f>COUNTIFS(표1[대분류],표4[[#This Row],[분류]],표1[등급],"A")</f>
        <v>37</v>
      </c>
      <c r="T10" s="9">
        <f>COUNTIFS(표1[대분류],표4[[#This Row],[분류]],표1[등급],"S")</f>
        <v>13</v>
      </c>
      <c r="U10" s="9">
        <f>SUM(표4[[#This Row],[D]:[S]])</f>
        <v>150</v>
      </c>
      <c r="W10" s="2" t="s">
        <v>26</v>
      </c>
      <c r="X10" s="9">
        <f>COUNTIFS(표1[문화권],표5[[#This Row],[문화권]],표1[등급],표5[[#Headers],[D]])</f>
        <v>8</v>
      </c>
      <c r="Y10" s="9">
        <f>COUNTIFS(표1[문화권],표5[[#This Row],[문화권]],표1[등급],표5[[#Headers],[C]])</f>
        <v>12</v>
      </c>
      <c r="Z10" s="9">
        <f>COUNTIFS(표1[문화권],표5[[#This Row],[문화권]],표1[등급],표5[[#Headers],[B]])</f>
        <v>21</v>
      </c>
      <c r="AA10" s="9">
        <f>COUNTIFS(표1[문화권],표5[[#This Row],[문화권]],표1[등급],표5[[#Headers],[A]])</f>
        <v>13</v>
      </c>
      <c r="AB10" s="9">
        <f>COUNTIFS(표1[문화권],표5[[#This Row],[문화권]],표1[등급],표5[[#Headers],[S]])</f>
        <v>6</v>
      </c>
      <c r="AC10" s="9">
        <f>SUM(표5[[#This Row],[문화권]:[S]])</f>
        <v>60</v>
      </c>
      <c r="AE10" s="49" t="s">
        <v>10</v>
      </c>
      <c r="AF10" s="9">
        <f>COUNTIFS(표1[마을],"&gt;=1",표1[등급],AF5)</f>
        <v>0</v>
      </c>
      <c r="AG10" s="9">
        <f>COUNTIFS(표1[마을],"&gt;=1",표1[등급],AG5)</f>
        <v>0</v>
      </c>
      <c r="AH10" s="9">
        <f>COUNTIFS(표1[마을],"&gt;=1",표1[등급],AH5)</f>
        <v>0</v>
      </c>
      <c r="AI10" s="9">
        <f>COUNTIFS(표1[마을],"&gt;=1",표1[등급],AI5)</f>
        <v>0</v>
      </c>
      <c r="AJ10" s="9">
        <f>COUNTIFS(표1[마을],"&gt;=1",표1[등급],AJ5)</f>
        <v>0</v>
      </c>
      <c r="AK10" s="9">
        <f t="shared" si="0"/>
        <v>0</v>
      </c>
      <c r="AM10" s="2" t="s">
        <v>26</v>
      </c>
      <c r="AN10" s="9">
        <f>COUNTIFS(표1[해양탐색],1,표1[문화권],표6[[#This Row],[문화권]])</f>
        <v>0</v>
      </c>
      <c r="AO10" s="10">
        <f>COUNTIFS(표1[육지탐험],"&gt;=1",표1[문화권],표6[[#This Row],[문화권]])</f>
        <v>14</v>
      </c>
      <c r="AP10" s="47">
        <f>SUM(표6[[#This Row],[해양 탐색]:[육지 탐험]])</f>
        <v>14</v>
      </c>
    </row>
    <row r="11" spans="2:42" x14ac:dyDescent="0.25">
      <c r="B11" s="3" t="s">
        <v>27</v>
      </c>
      <c r="C11" s="9">
        <f>COUNTIF([1]Village!$C:$C,표2[[#This Row],[문화권]])</f>
        <v>0</v>
      </c>
      <c r="D11" s="9">
        <f>COUNTIF([1]LandExplore!$C:$C,표2[[#This Row],[문화권]])</f>
        <v>0</v>
      </c>
      <c r="E11" s="9">
        <f>(표2[[#This Row],[마을]]+표2[[#This Row],[육지]])*$D$3</f>
        <v>0</v>
      </c>
      <c r="F11" s="10">
        <f>COUNTIF(표1[문화권],표2[[#This Row],[문화권]])</f>
        <v>56</v>
      </c>
      <c r="G11" s="16">
        <f>표2[[#This Row],[전체 발견물]]-표2[[#This Row],[필요 발견물]]</f>
        <v>56</v>
      </c>
      <c r="I11" s="11">
        <v>40</v>
      </c>
      <c r="J11" s="9">
        <v>6</v>
      </c>
      <c r="K11" s="9">
        <f>COUNTIF([3]!표1_6[선단 LV],표3[[#This Row],[레벨 제한]])</f>
        <v>10</v>
      </c>
      <c r="L11" s="9">
        <f>COUNTIF([3]!표8[선단 LV],표3[[#This Row],[레벨 제한]])</f>
        <v>11</v>
      </c>
      <c r="M11" s="10">
        <f>SUM(표3[[#This Row],[육지]:[마을]])*$D$3</f>
        <v>105</v>
      </c>
      <c r="N11" s="30"/>
      <c r="O11" s="9" t="s">
        <v>146</v>
      </c>
      <c r="P11" s="9">
        <f>COUNTIFS(표1[대분류],표4[[#This Row],[분류]],표1[등급],"D")</f>
        <v>79</v>
      </c>
      <c r="Q11" s="9">
        <f>COUNTIFS(표1[대분류],표4[[#This Row],[분류]],표1[등급],"C")</f>
        <v>134</v>
      </c>
      <c r="R11" s="9">
        <f>COUNTIFS(표1[대분류],표4[[#This Row],[분류]],표1[등급],"B")</f>
        <v>277</v>
      </c>
      <c r="S11" s="9">
        <f>COUNTIFS(표1[대분류],표4[[#This Row],[분류]],표1[등급],"A")</f>
        <v>143</v>
      </c>
      <c r="T11" s="9">
        <f>COUNTIFS(표1[대분류],표4[[#This Row],[분류]],표1[등급],"S")</f>
        <v>60</v>
      </c>
      <c r="U11" s="9">
        <f>SUM(표4[[#This Row],[D]:[S]])</f>
        <v>693</v>
      </c>
      <c r="W11" s="2" t="s">
        <v>27</v>
      </c>
      <c r="X11" s="9">
        <f>COUNTIFS(표1[문화권],표5[[#This Row],[문화권]],표1[등급],표5[[#Headers],[D]])</f>
        <v>9</v>
      </c>
      <c r="Y11" s="9">
        <f>COUNTIFS(표1[문화권],표5[[#This Row],[문화권]],표1[등급],표5[[#Headers],[C]])</f>
        <v>8</v>
      </c>
      <c r="Z11" s="9">
        <f>COUNTIFS(표1[문화권],표5[[#This Row],[문화권]],표1[등급],표5[[#Headers],[B]])</f>
        <v>23</v>
      </c>
      <c r="AA11" s="9">
        <f>COUNTIFS(표1[문화권],표5[[#This Row],[문화권]],표1[등급],표5[[#Headers],[A]])</f>
        <v>12</v>
      </c>
      <c r="AB11" s="9">
        <f>COUNTIFS(표1[문화권],표5[[#This Row],[문화권]],표1[등급],표5[[#Headers],[S]])</f>
        <v>4</v>
      </c>
      <c r="AC11" s="9">
        <f>SUM(표5[[#This Row],[문화권]:[S]])</f>
        <v>56</v>
      </c>
      <c r="AE11" s="49" t="s">
        <v>32</v>
      </c>
      <c r="AF11" s="9">
        <f>COUNTIFS(표1[퀘스트],"&gt;=1",표1[등급],AF5)</f>
        <v>15</v>
      </c>
      <c r="AG11" s="9">
        <f>COUNTIFS(표1[퀘스트],"&gt;=1",표1[등급],AG5)</f>
        <v>25</v>
      </c>
      <c r="AH11" s="9">
        <f>COUNTIFS(표1[퀘스트],"&gt;=1",표1[등급],AH5)</f>
        <v>64</v>
      </c>
      <c r="AI11" s="9">
        <f>COUNTIFS(표1[퀘스트],"&gt;=1",표1[등급],AI5)</f>
        <v>52</v>
      </c>
      <c r="AJ11" s="9">
        <f>COUNTIFS(표1[퀘스트],"&gt;=1",표1[등급],AJ5)</f>
        <v>65</v>
      </c>
      <c r="AK11" s="9">
        <f t="shared" si="0"/>
        <v>221</v>
      </c>
      <c r="AM11" s="2" t="s">
        <v>27</v>
      </c>
      <c r="AN11" s="9">
        <f>COUNTIFS(표1[해양탐색],1,표1[문화권],표6[[#This Row],[문화권]])</f>
        <v>0</v>
      </c>
      <c r="AO11" s="10">
        <f>COUNTIFS(표1[육지탐험],"&gt;=1",표1[문화권],표6[[#This Row],[문화권]])</f>
        <v>24</v>
      </c>
      <c r="AP11" s="47">
        <f>SUM(표6[[#This Row],[해양 탐색]:[육지 탐험]])</f>
        <v>24</v>
      </c>
    </row>
    <row r="12" spans="2:42" x14ac:dyDescent="0.25">
      <c r="B12" s="3" t="s">
        <v>25</v>
      </c>
      <c r="C12" s="9">
        <f>COUNTIF([1]Village!$C:$C,표2[[#This Row],[문화권]])</f>
        <v>0</v>
      </c>
      <c r="D12" s="9">
        <f>COUNTIF([1]LandExplore!$C:$C,표2[[#This Row],[문화권]])</f>
        <v>0</v>
      </c>
      <c r="E12" s="9">
        <f>(표2[[#This Row],[마을]]+표2[[#This Row],[육지]])*$D$3</f>
        <v>0</v>
      </c>
      <c r="F12" s="10">
        <f>COUNTIF(표1[문화권],표2[[#This Row],[문화권]])</f>
        <v>40</v>
      </c>
      <c r="G12" s="16">
        <f>표2[[#This Row],[전체 발견물]]-표2[[#This Row],[필요 발견물]]</f>
        <v>40</v>
      </c>
      <c r="I12" s="11">
        <v>45</v>
      </c>
      <c r="J12" s="9">
        <v>7</v>
      </c>
      <c r="K12" s="9">
        <f>COUNTIF([3]!표1_6[선단 LV],표3[[#This Row],[레벨 제한]])</f>
        <v>6</v>
      </c>
      <c r="L12" s="9">
        <f>COUNTIF([3]!표8[선단 LV],표3[[#This Row],[레벨 제한]])</f>
        <v>1</v>
      </c>
      <c r="M12" s="10">
        <f>SUM(표3[[#This Row],[육지]:[마을]])*$D$3</f>
        <v>35</v>
      </c>
      <c r="N12" s="30"/>
      <c r="O12" s="9" t="s">
        <v>147</v>
      </c>
      <c r="P12" s="9">
        <f>SUM(표4[D])</f>
        <v>628</v>
      </c>
      <c r="Q12" s="9">
        <f>SUM(표4[C])</f>
        <v>476</v>
      </c>
      <c r="R12" s="9">
        <f>SUM(표4[B])</f>
        <v>797</v>
      </c>
      <c r="S12" s="9">
        <f>SUM(표4[A])</f>
        <v>513</v>
      </c>
      <c r="T12" s="9">
        <f>SUM(표4[S])</f>
        <v>305</v>
      </c>
      <c r="U12" s="9">
        <f>SUM(U6:U11)</f>
        <v>2719</v>
      </c>
      <c r="W12" s="2" t="s">
        <v>25</v>
      </c>
      <c r="X12" s="9">
        <f>COUNTIFS(표1[문화권],표5[[#This Row],[문화권]],표1[등급],표5[[#Headers],[D]])</f>
        <v>7</v>
      </c>
      <c r="Y12" s="9">
        <f>COUNTIFS(표1[문화권],표5[[#This Row],[문화권]],표1[등급],표5[[#Headers],[C]])</f>
        <v>9</v>
      </c>
      <c r="Z12" s="9">
        <f>COUNTIFS(표1[문화권],표5[[#This Row],[문화권]],표1[등급],표5[[#Headers],[B]])</f>
        <v>13</v>
      </c>
      <c r="AA12" s="9">
        <f>COUNTIFS(표1[문화권],표5[[#This Row],[문화권]],표1[등급],표5[[#Headers],[A]])</f>
        <v>6</v>
      </c>
      <c r="AB12" s="9">
        <f>COUNTIFS(표1[문화권],표5[[#This Row],[문화권]],표1[등급],표5[[#Headers],[S]])</f>
        <v>5</v>
      </c>
      <c r="AC12" s="9">
        <f>SUM(표5[[#This Row],[문화권]:[S]])</f>
        <v>40</v>
      </c>
      <c r="AE12" s="9" t="s">
        <v>147</v>
      </c>
      <c r="AF12" s="9">
        <f>SUM(AF6:AF11)</f>
        <v>204</v>
      </c>
      <c r="AG12" s="9">
        <f t="shared" ref="AG12:AJ12" si="1">SUM(AG6:AG11)</f>
        <v>201</v>
      </c>
      <c r="AH12" s="9">
        <f t="shared" si="1"/>
        <v>258</v>
      </c>
      <c r="AI12" s="9">
        <f t="shared" si="1"/>
        <v>189</v>
      </c>
      <c r="AJ12" s="9">
        <f t="shared" si="1"/>
        <v>150</v>
      </c>
      <c r="AK12" s="9">
        <f>SUM(AF12:AJ12)</f>
        <v>1002</v>
      </c>
      <c r="AM12" s="2" t="s">
        <v>25</v>
      </c>
      <c r="AN12" s="9">
        <f>COUNTIFS(표1[해양탐색],1,표1[문화권],표6[[#This Row],[문화권]])</f>
        <v>0</v>
      </c>
      <c r="AO12" s="10">
        <f>COUNTIFS(표1[육지탐험],"&gt;=1",표1[문화권],표6[[#This Row],[문화권]])</f>
        <v>18</v>
      </c>
      <c r="AP12" s="47">
        <f>SUM(표6[[#This Row],[해양 탐색]:[육지 탐험]])</f>
        <v>18</v>
      </c>
    </row>
    <row r="13" spans="2:42" x14ac:dyDescent="0.25">
      <c r="B13" s="3" t="s">
        <v>16</v>
      </c>
      <c r="C13" s="9">
        <f>COUNTIF([1]Village!$C:$C,표2[[#This Row],[문화권]])</f>
        <v>0</v>
      </c>
      <c r="D13" s="9">
        <f>COUNTIF([1]LandExplore!$C:$C,표2[[#This Row],[문화권]])</f>
        <v>0</v>
      </c>
      <c r="E13" s="9">
        <f>(표2[[#This Row],[마을]]+표2[[#This Row],[육지]])*$D$3</f>
        <v>0</v>
      </c>
      <c r="F13" s="10">
        <f>COUNTIF(표1[문화권],표2[[#This Row],[문화권]])</f>
        <v>91</v>
      </c>
      <c r="G13" s="16">
        <f>표2[[#This Row],[전체 발견물]]-표2[[#This Row],[필요 발견물]]</f>
        <v>91</v>
      </c>
      <c r="I13" s="11">
        <v>50</v>
      </c>
      <c r="J13" s="9">
        <v>8</v>
      </c>
      <c r="K13" s="9">
        <f>COUNTIF([3]!표1_6[선단 LV],표3[[#This Row],[레벨 제한]])</f>
        <v>14</v>
      </c>
      <c r="L13" s="9">
        <f>COUNTIF([3]!표8[선단 LV],표3[[#This Row],[레벨 제한]])</f>
        <v>9</v>
      </c>
      <c r="M13" s="10">
        <f>SUM(표3[[#This Row],[육지]:[마을]])*$D$3</f>
        <v>115</v>
      </c>
      <c r="N13" s="30"/>
      <c r="W13" s="2" t="s">
        <v>16</v>
      </c>
      <c r="X13" s="9">
        <f>COUNTIFS(표1[문화권],표5[[#This Row],[문화권]],표1[등급],표5[[#Headers],[D]])</f>
        <v>5</v>
      </c>
      <c r="Y13" s="9">
        <f>COUNTIFS(표1[문화권],표5[[#This Row],[문화권]],표1[등급],표5[[#Headers],[C]])</f>
        <v>14</v>
      </c>
      <c r="Z13" s="9">
        <f>COUNTIFS(표1[문화권],표5[[#This Row],[문화권]],표1[등급],표5[[#Headers],[B]])</f>
        <v>28</v>
      </c>
      <c r="AA13" s="9">
        <f>COUNTIFS(표1[문화권],표5[[#This Row],[문화권]],표1[등급],표5[[#Headers],[A]])</f>
        <v>21</v>
      </c>
      <c r="AB13" s="9">
        <f>COUNTIFS(표1[문화권],표5[[#This Row],[문화권]],표1[등급],표5[[#Headers],[S]])</f>
        <v>23</v>
      </c>
      <c r="AC13" s="9">
        <f>SUM(표5[[#This Row],[문화권]:[S]])</f>
        <v>91</v>
      </c>
      <c r="AM13" s="2" t="s">
        <v>16</v>
      </c>
      <c r="AN13" s="9">
        <f>COUNTIFS(표1[해양탐색],1,표1[문화권],표6[[#This Row],[문화권]])</f>
        <v>0</v>
      </c>
      <c r="AO13" s="10">
        <f>COUNTIFS(표1[육지탐험],"&gt;=1",표1[문화권],표6[[#This Row],[문화권]])</f>
        <v>13</v>
      </c>
      <c r="AP13" s="47">
        <f>SUM(표6[[#This Row],[해양 탐색]:[육지 탐험]])</f>
        <v>13</v>
      </c>
    </row>
    <row r="14" spans="2:42" x14ac:dyDescent="0.25">
      <c r="B14" s="3" t="s">
        <v>13</v>
      </c>
      <c r="C14" s="9">
        <f>COUNTIF([1]Village!$C:$C,표2[[#This Row],[문화권]])</f>
        <v>2</v>
      </c>
      <c r="D14" s="9">
        <f>COUNTIF([1]LandExplore!$C:$C,표2[[#This Row],[문화권]])</f>
        <v>0</v>
      </c>
      <c r="E14" s="9">
        <f>(표2[[#This Row],[마을]]+표2[[#This Row],[육지]])*$D$3</f>
        <v>10</v>
      </c>
      <c r="F14" s="10">
        <f>COUNTIF(표1[문화권],표2[[#This Row],[문화권]])</f>
        <v>65</v>
      </c>
      <c r="G14" s="16">
        <f>표2[[#This Row],[전체 발견물]]-표2[[#This Row],[필요 발견물]]</f>
        <v>55</v>
      </c>
      <c r="I14" s="11">
        <v>55</v>
      </c>
      <c r="J14" s="9">
        <v>9</v>
      </c>
      <c r="K14" s="9">
        <f>COUNTIF([3]!표1_6[선단 LV],표3[[#This Row],[레벨 제한]])</f>
        <v>2</v>
      </c>
      <c r="L14" s="9">
        <f>COUNTIF([3]!표8[선단 LV],표3[[#This Row],[레벨 제한]])</f>
        <v>3</v>
      </c>
      <c r="M14" s="10">
        <f>SUM(표3[[#This Row],[육지]:[마을]])*$D$3</f>
        <v>25</v>
      </c>
      <c r="N14" s="30"/>
      <c r="W14" s="2" t="s">
        <v>13</v>
      </c>
      <c r="X14" s="9">
        <f>COUNTIFS(표1[문화권],표5[[#This Row],[문화권]],표1[등급],표5[[#Headers],[D]])</f>
        <v>6</v>
      </c>
      <c r="Y14" s="9">
        <f>COUNTIFS(표1[문화권],표5[[#This Row],[문화권]],표1[등급],표5[[#Headers],[C]])</f>
        <v>11</v>
      </c>
      <c r="Z14" s="9">
        <f>COUNTIFS(표1[문화권],표5[[#This Row],[문화권]],표1[등급],표5[[#Headers],[B]])</f>
        <v>24</v>
      </c>
      <c r="AA14" s="9">
        <f>COUNTIFS(표1[문화권],표5[[#This Row],[문화권]],표1[등급],표5[[#Headers],[A]])</f>
        <v>14</v>
      </c>
      <c r="AB14" s="9">
        <f>COUNTIFS(표1[문화권],표5[[#This Row],[문화권]],표1[등급],표5[[#Headers],[S]])</f>
        <v>10</v>
      </c>
      <c r="AC14" s="9">
        <f>SUM(표5[[#This Row],[문화권]:[S]])</f>
        <v>65</v>
      </c>
      <c r="AM14" s="2" t="s">
        <v>13</v>
      </c>
      <c r="AN14" s="9">
        <f>COUNTIFS(표1[해양탐색],1,표1[문화권],표6[[#This Row],[문화권]])</f>
        <v>0</v>
      </c>
      <c r="AO14" s="10">
        <f>COUNTIFS(표1[육지탐험],"&gt;=1",표1[문화권],표6[[#This Row],[문화권]])</f>
        <v>14</v>
      </c>
      <c r="AP14" s="47">
        <f>SUM(표6[[#This Row],[해양 탐색]:[육지 탐험]])</f>
        <v>14</v>
      </c>
    </row>
    <row r="15" spans="2:42" x14ac:dyDescent="0.25">
      <c r="B15" s="3" t="s">
        <v>17</v>
      </c>
      <c r="C15" s="9">
        <f>COUNTIF([1]Village!$C:$C,표2[[#This Row],[문화권]])</f>
        <v>4</v>
      </c>
      <c r="D15" s="9">
        <f>COUNTIF([1]LandExplore!$C:$C,표2[[#This Row],[문화권]])</f>
        <v>0</v>
      </c>
      <c r="E15" s="9">
        <f>(표2[[#This Row],[마을]]+표2[[#This Row],[육지]])*$D$3</f>
        <v>20</v>
      </c>
      <c r="F15" s="10">
        <f>COUNTIF(표1[문화권],표2[[#This Row],[문화권]])</f>
        <v>141</v>
      </c>
      <c r="G15" s="16">
        <f>표2[[#This Row],[전체 발견물]]-표2[[#This Row],[필요 발견물]]</f>
        <v>121</v>
      </c>
      <c r="I15" s="11">
        <v>80</v>
      </c>
      <c r="J15" s="9">
        <v>10</v>
      </c>
      <c r="K15" s="9">
        <f>COUNTIF([3]!표1_6[선단 LV],표3[[#This Row],[레벨 제한]])</f>
        <v>18</v>
      </c>
      <c r="L15" s="9">
        <f>COUNTIF([3]!표8[선단 LV],표3[[#This Row],[레벨 제한]])</f>
        <v>14</v>
      </c>
      <c r="M15" s="10">
        <f>SUM(표3[[#This Row],[육지]:[마을]])*$D$3</f>
        <v>160</v>
      </c>
      <c r="N15" s="30"/>
      <c r="W15" s="2" t="s">
        <v>17</v>
      </c>
      <c r="X15" s="9">
        <f>COUNTIFS(표1[문화권],표5[[#This Row],[문화권]],표1[등급],표5[[#Headers],[D]])</f>
        <v>18</v>
      </c>
      <c r="Y15" s="9">
        <f>COUNTIFS(표1[문화권],표5[[#This Row],[문화권]],표1[등급],표5[[#Headers],[C]])</f>
        <v>32</v>
      </c>
      <c r="Z15" s="9">
        <f>COUNTIFS(표1[문화권],표5[[#This Row],[문화권]],표1[등급],표5[[#Headers],[B]])</f>
        <v>43</v>
      </c>
      <c r="AA15" s="9">
        <f>COUNTIFS(표1[문화권],표5[[#This Row],[문화권]],표1[등급],표5[[#Headers],[A]])</f>
        <v>33</v>
      </c>
      <c r="AB15" s="9">
        <f>COUNTIFS(표1[문화권],표5[[#This Row],[문화권]],표1[등급],표5[[#Headers],[S]])</f>
        <v>15</v>
      </c>
      <c r="AC15" s="9">
        <f>SUM(표5[[#This Row],[문화권]:[S]])</f>
        <v>141</v>
      </c>
      <c r="AM15" s="2" t="s">
        <v>17</v>
      </c>
      <c r="AN15" s="9">
        <f>COUNTIFS(표1[해양탐색],1,표1[문화권],표6[[#This Row],[문화권]])</f>
        <v>0</v>
      </c>
      <c r="AO15" s="10">
        <f>COUNTIFS(표1[육지탐험],"&gt;=1",표1[문화권],표6[[#This Row],[문화권]])</f>
        <v>43</v>
      </c>
      <c r="AP15" s="47">
        <f>SUM(표6[[#This Row],[해양 탐색]:[육지 탐험]])</f>
        <v>43</v>
      </c>
    </row>
    <row r="16" spans="2:42" x14ac:dyDescent="0.25">
      <c r="B16" s="3" t="s">
        <v>11</v>
      </c>
      <c r="C16" s="9">
        <f>COUNTIF([1]Village!$C:$C,표2[[#This Row],[문화권]])</f>
        <v>15</v>
      </c>
      <c r="D16" s="9">
        <f>COUNTIF([1]LandExplore!$C:$C,표2[[#This Row],[문화권]])</f>
        <v>0</v>
      </c>
      <c r="E16" s="9">
        <f>(표2[[#This Row],[마을]]+표2[[#This Row],[육지]])*$D$3</f>
        <v>75</v>
      </c>
      <c r="F16" s="10">
        <f>COUNTIF(표1[문화권],표2[[#This Row],[문화권]])</f>
        <v>330</v>
      </c>
      <c r="G16" s="16">
        <f>표2[[#This Row],[전체 발견물]]-표2[[#This Row],[필요 발견물]]</f>
        <v>255</v>
      </c>
      <c r="I16" s="11">
        <v>80</v>
      </c>
      <c r="J16" s="9">
        <v>11</v>
      </c>
      <c r="K16" s="9">
        <f>COUNTIF([3]!표1_6[선단 LV],표3[[#This Row],[레벨 제한]])</f>
        <v>18</v>
      </c>
      <c r="L16" s="9">
        <f>COUNTIF([3]!표8[선단 LV],표3[[#This Row],[레벨 제한]])</f>
        <v>14</v>
      </c>
      <c r="M16" s="10">
        <f>SUM(표3[[#This Row],[육지]:[마을]])*$D$3</f>
        <v>160</v>
      </c>
      <c r="N16" s="30"/>
      <c r="W16" s="2" t="s">
        <v>11</v>
      </c>
      <c r="X16" s="9">
        <f>COUNTIFS(표1[문화권],표5[[#This Row],[문화권]],표1[등급],표5[[#Headers],[D]])</f>
        <v>43</v>
      </c>
      <c r="Y16" s="9">
        <f>COUNTIFS(표1[문화권],표5[[#This Row],[문화권]],표1[등급],표5[[#Headers],[C]])</f>
        <v>77</v>
      </c>
      <c r="Z16" s="9">
        <f>COUNTIFS(표1[문화권],표5[[#This Row],[문화권]],표1[등급],표5[[#Headers],[B]])</f>
        <v>111</v>
      </c>
      <c r="AA16" s="9">
        <f>COUNTIFS(표1[문화권],표5[[#This Row],[문화권]],표1[등급],표5[[#Headers],[A]])</f>
        <v>65</v>
      </c>
      <c r="AB16" s="9">
        <f>COUNTIFS(표1[문화권],표5[[#This Row],[문화권]],표1[등급],표5[[#Headers],[S]])</f>
        <v>34</v>
      </c>
      <c r="AC16" s="9">
        <f>SUM(표5[[#This Row],[문화권]:[S]])</f>
        <v>330</v>
      </c>
      <c r="AM16" s="2" t="s">
        <v>11</v>
      </c>
      <c r="AN16" s="9">
        <f>COUNTIFS(표1[해양탐색],1,표1[문화권],표6[[#This Row],[문화권]])</f>
        <v>0</v>
      </c>
      <c r="AO16" s="10">
        <f>COUNTIFS(표1[육지탐험],"&gt;=1",표1[문화권],표6[[#This Row],[문화권]])</f>
        <v>84</v>
      </c>
      <c r="AP16" s="47">
        <f>SUM(표6[[#This Row],[해양 탐색]:[육지 탐험]])</f>
        <v>84</v>
      </c>
    </row>
    <row r="17" spans="2:42" x14ac:dyDescent="0.25">
      <c r="B17" s="3" t="s">
        <v>24</v>
      </c>
      <c r="C17" s="9">
        <f>COUNTIF([1]Village!$C:$C,표2[[#This Row],[문화권]])</f>
        <v>6</v>
      </c>
      <c r="D17" s="9">
        <f>COUNTIF([1]LandExplore!$C:$C,표2[[#This Row],[문화권]])</f>
        <v>0</v>
      </c>
      <c r="E17" s="9">
        <f>(표2[[#This Row],[마을]]+표2[[#This Row],[육지]])*$D$3</f>
        <v>30</v>
      </c>
      <c r="F17" s="10">
        <f>COUNTIF(표1[문화권],표2[[#This Row],[문화권]])</f>
        <v>84</v>
      </c>
      <c r="G17" s="16">
        <f>표2[[#This Row],[전체 발견물]]-표2[[#This Row],[필요 발견물]]</f>
        <v>54</v>
      </c>
      <c r="I17" s="12">
        <v>80</v>
      </c>
      <c r="J17" s="13">
        <v>12</v>
      </c>
      <c r="K17" s="9">
        <f>COUNTIF([3]!표1_6[선단 LV],표3[[#This Row],[레벨 제한]])</f>
        <v>18</v>
      </c>
      <c r="L17" s="13">
        <f>COUNTIF([3]!표8[선단 LV],표3[[#This Row],[레벨 제한]])</f>
        <v>14</v>
      </c>
      <c r="M17" s="14">
        <f>SUM(표3[[#This Row],[육지]:[마을]])*$D$3</f>
        <v>160</v>
      </c>
      <c r="N17" s="30"/>
      <c r="W17" s="2" t="s">
        <v>24</v>
      </c>
      <c r="X17" s="9">
        <f>COUNTIFS(표1[문화권],표5[[#This Row],[문화권]],표1[등급],표5[[#Headers],[D]])</f>
        <v>19</v>
      </c>
      <c r="Y17" s="9">
        <f>COUNTIFS(표1[문화권],표5[[#This Row],[문화권]],표1[등급],표5[[#Headers],[C]])</f>
        <v>16</v>
      </c>
      <c r="Z17" s="9">
        <f>COUNTIFS(표1[문화권],표5[[#This Row],[문화권]],표1[등급],표5[[#Headers],[B]])</f>
        <v>23</v>
      </c>
      <c r="AA17" s="9">
        <f>COUNTIFS(표1[문화권],표5[[#This Row],[문화권]],표1[등급],표5[[#Headers],[A]])</f>
        <v>17</v>
      </c>
      <c r="AB17" s="9">
        <f>COUNTIFS(표1[문화권],표5[[#This Row],[문화권]],표1[등급],표5[[#Headers],[S]])</f>
        <v>9</v>
      </c>
      <c r="AC17" s="9">
        <f>SUM(표5[[#This Row],[문화권]:[S]])</f>
        <v>84</v>
      </c>
      <c r="AM17" s="2" t="s">
        <v>24</v>
      </c>
      <c r="AN17" s="9">
        <f>COUNTIFS(표1[해양탐색],1,표1[문화권],표6[[#This Row],[문화권]])</f>
        <v>0</v>
      </c>
      <c r="AO17" s="10">
        <f>COUNTIFS(표1[육지탐험],"&gt;=1",표1[문화권],표6[[#This Row],[문화권]])</f>
        <v>24</v>
      </c>
      <c r="AP17" s="47">
        <f>SUM(표6[[#This Row],[해양 탐색]:[육지 탐험]])</f>
        <v>24</v>
      </c>
    </row>
    <row r="18" spans="2:42" x14ac:dyDescent="0.25">
      <c r="B18" s="3" t="s">
        <v>21</v>
      </c>
      <c r="C18" s="9">
        <f>COUNTIF([1]Village!$C:$C,표2[[#This Row],[문화권]])</f>
        <v>3</v>
      </c>
      <c r="D18" s="9">
        <f>COUNTIF([1]LandExplore!$C:$C,표2[[#This Row],[문화권]])</f>
        <v>0</v>
      </c>
      <c r="E18" s="9">
        <f>(표2[[#This Row],[마을]]+표2[[#This Row],[육지]])*$D$3</f>
        <v>15</v>
      </c>
      <c r="F18" s="10">
        <f>COUNTIF(표1[문화권],표2[[#This Row],[문화권]])</f>
        <v>37</v>
      </c>
      <c r="G18" s="16">
        <f>표2[[#This Row],[전체 발견물]]-표2[[#This Row],[필요 발견물]]</f>
        <v>22</v>
      </c>
      <c r="I18" s="9" t="s">
        <v>147</v>
      </c>
      <c r="J18" s="9" t="s">
        <v>177</v>
      </c>
      <c r="K18" s="16">
        <f>SUM(표3[육지])-SUM(K16:K17)</f>
        <v>84</v>
      </c>
      <c r="L18" s="9">
        <f>SUM(표3[마을])-SUM(L16:L17)</f>
        <v>65</v>
      </c>
      <c r="M18" s="9">
        <f>SUM(표3[필요 발견물])-SUM(M16:M17)</f>
        <v>745</v>
      </c>
      <c r="N18" s="30"/>
      <c r="W18" s="2" t="s">
        <v>21</v>
      </c>
      <c r="X18" s="9">
        <f>COUNTIFS(표1[문화권],표5[[#This Row],[문화권]],표1[등급],표5[[#Headers],[D]])</f>
        <v>4</v>
      </c>
      <c r="Y18" s="9">
        <f>COUNTIFS(표1[문화권],표5[[#This Row],[문화권]],표1[등급],표5[[#Headers],[C]])</f>
        <v>5</v>
      </c>
      <c r="Z18" s="9">
        <f>COUNTIFS(표1[문화권],표5[[#This Row],[문화권]],표1[등급],표5[[#Headers],[B]])</f>
        <v>14</v>
      </c>
      <c r="AA18" s="9">
        <f>COUNTIFS(표1[문화권],표5[[#This Row],[문화권]],표1[등급],표5[[#Headers],[A]])</f>
        <v>7</v>
      </c>
      <c r="AB18" s="9">
        <f>COUNTIFS(표1[문화권],표5[[#This Row],[문화권]],표1[등급],표5[[#Headers],[S]])</f>
        <v>7</v>
      </c>
      <c r="AC18" s="9">
        <f>SUM(표5[[#This Row],[문화권]:[S]])</f>
        <v>37</v>
      </c>
      <c r="AM18" s="2" t="s">
        <v>21</v>
      </c>
      <c r="AN18" s="9">
        <f>COUNTIFS(표1[해양탐색],1,표1[문화권],표6[[#This Row],[문화권]])</f>
        <v>0</v>
      </c>
      <c r="AO18" s="10">
        <f>COUNTIFS(표1[육지탐험],"&gt;=1",표1[문화권],표6[[#This Row],[문화권]])</f>
        <v>6</v>
      </c>
      <c r="AP18" s="47">
        <f>SUM(표6[[#This Row],[해양 탐색]:[육지 탐험]])</f>
        <v>6</v>
      </c>
    </row>
    <row r="19" spans="2:42" x14ac:dyDescent="0.25">
      <c r="B19" s="3" t="s">
        <v>19</v>
      </c>
      <c r="C19" s="9">
        <f>COUNTIF([1]Village!$C:$C,표2[[#This Row],[문화권]])</f>
        <v>5</v>
      </c>
      <c r="D19" s="9">
        <f>COUNTIF([1]LandExplore!$C:$C,표2[[#This Row],[문화권]])</f>
        <v>0</v>
      </c>
      <c r="E19" s="9">
        <f>(표2[[#This Row],[마을]]+표2[[#This Row],[육지]])*$D$3</f>
        <v>25</v>
      </c>
      <c r="F19" s="10">
        <f>COUNTIF(표1[문화권],표2[[#This Row],[문화권]])</f>
        <v>29</v>
      </c>
      <c r="G19" s="16">
        <f>표2[[#This Row],[전체 발견물]]-표2[[#This Row],[필요 발견물]]</f>
        <v>4</v>
      </c>
      <c r="W19" s="2" t="s">
        <v>19</v>
      </c>
      <c r="X19" s="9">
        <f>COUNTIFS(표1[문화권],표5[[#This Row],[문화권]],표1[등급],표5[[#Headers],[D]])</f>
        <v>2</v>
      </c>
      <c r="Y19" s="9">
        <f>COUNTIFS(표1[문화권],표5[[#This Row],[문화권]],표1[등급],표5[[#Headers],[C]])</f>
        <v>4</v>
      </c>
      <c r="Z19" s="9">
        <f>COUNTIFS(표1[문화권],표5[[#This Row],[문화권]],표1[등급],표5[[#Headers],[B]])</f>
        <v>13</v>
      </c>
      <c r="AA19" s="9">
        <f>COUNTIFS(표1[문화권],표5[[#This Row],[문화권]],표1[등급],표5[[#Headers],[A]])</f>
        <v>7</v>
      </c>
      <c r="AB19" s="9">
        <f>COUNTIFS(표1[문화권],표5[[#This Row],[문화권]],표1[등급],표5[[#Headers],[S]])</f>
        <v>3</v>
      </c>
      <c r="AC19" s="9">
        <f>SUM(표5[[#This Row],[문화권]:[S]])</f>
        <v>29</v>
      </c>
      <c r="AM19" s="2" t="s">
        <v>19</v>
      </c>
      <c r="AN19" s="9">
        <f>COUNTIFS(표1[해양탐색],1,표1[문화권],표6[[#This Row],[문화권]])</f>
        <v>0</v>
      </c>
      <c r="AO19" s="10">
        <f>COUNTIFS(표1[육지탐험],"&gt;=1",표1[문화권],표6[[#This Row],[문화권]])</f>
        <v>11</v>
      </c>
      <c r="AP19" s="47">
        <f>SUM(표6[[#This Row],[해양 탐색]:[육지 탐험]])</f>
        <v>11</v>
      </c>
    </row>
    <row r="20" spans="2:42" x14ac:dyDescent="0.25">
      <c r="B20" s="3" t="s">
        <v>15</v>
      </c>
      <c r="C20" s="9">
        <f>COUNTIF([1]Village!$C:$C,표2[[#This Row],[문화권]])</f>
        <v>11</v>
      </c>
      <c r="D20" s="9">
        <f>COUNTIF([1]LandExplore!$C:$C,표2[[#This Row],[문화권]])</f>
        <v>0</v>
      </c>
      <c r="E20" s="9">
        <f>(표2[[#This Row],[마을]]+표2[[#This Row],[육지]])*$D$3</f>
        <v>55</v>
      </c>
      <c r="F20" s="10">
        <f>COUNTIF(표1[문화권],표2[[#This Row],[문화권]])</f>
        <v>131</v>
      </c>
      <c r="G20" s="16">
        <f>표2[[#This Row],[전체 발견물]]-표2[[#This Row],[필요 발견물]]</f>
        <v>76</v>
      </c>
      <c r="W20" s="2" t="s">
        <v>15</v>
      </c>
      <c r="X20" s="9">
        <f>COUNTIFS(표1[문화권],표5[[#This Row],[문화권]],표1[등급],표5[[#Headers],[D]])</f>
        <v>12</v>
      </c>
      <c r="Y20" s="9">
        <f>COUNTIFS(표1[문화권],표5[[#This Row],[문화권]],표1[등급],표5[[#Headers],[C]])</f>
        <v>26</v>
      </c>
      <c r="Z20" s="9">
        <f>COUNTIFS(표1[문화권],표5[[#This Row],[문화권]],표1[등급],표5[[#Headers],[B]])</f>
        <v>56</v>
      </c>
      <c r="AA20" s="9">
        <f>COUNTIFS(표1[문화권],표5[[#This Row],[문화권]],표1[등급],표5[[#Headers],[A]])</f>
        <v>31</v>
      </c>
      <c r="AB20" s="9">
        <f>COUNTIFS(표1[문화권],표5[[#This Row],[문화권]],표1[등급],표5[[#Headers],[S]])</f>
        <v>6</v>
      </c>
      <c r="AC20" s="9">
        <f>SUM(표5[[#This Row],[문화권]:[S]])</f>
        <v>131</v>
      </c>
      <c r="AM20" s="2" t="s">
        <v>15</v>
      </c>
      <c r="AN20" s="9">
        <f>COUNTIFS(표1[해양탐색],1,표1[문화권],표6[[#This Row],[문화권]])</f>
        <v>0</v>
      </c>
      <c r="AO20" s="10">
        <f>COUNTIFS(표1[육지탐험],"&gt;=1",표1[문화권],표6[[#This Row],[문화권]])</f>
        <v>35</v>
      </c>
      <c r="AP20" s="47">
        <f>SUM(표6[[#This Row],[해양 탐색]:[육지 탐험]])</f>
        <v>35</v>
      </c>
    </row>
    <row r="21" spans="2:42" x14ac:dyDescent="0.25">
      <c r="B21" s="3" t="s">
        <v>23</v>
      </c>
      <c r="C21" s="9">
        <f>COUNTIF([1]Village!$C:$C,표2[[#This Row],[문화권]])</f>
        <v>3</v>
      </c>
      <c r="D21" s="9">
        <f>COUNTIF([1]LandExplore!$C:$C,표2[[#This Row],[문화권]])</f>
        <v>0</v>
      </c>
      <c r="E21" s="9">
        <f>(표2[[#This Row],[마을]]+표2[[#This Row],[육지]])*$D$3</f>
        <v>15</v>
      </c>
      <c r="F21" s="10">
        <f>COUNTIF(표1[문화권],표2[[#This Row],[문화권]])</f>
        <v>86</v>
      </c>
      <c r="G21" s="16">
        <f>표2[[#This Row],[전체 발견물]]-표2[[#This Row],[필요 발견물]]</f>
        <v>71</v>
      </c>
      <c r="W21" s="2" t="s">
        <v>23</v>
      </c>
      <c r="X21" s="9">
        <f>COUNTIFS(표1[문화권],표5[[#This Row],[문화권]],표1[등급],표5[[#Headers],[D]])</f>
        <v>10</v>
      </c>
      <c r="Y21" s="9">
        <f>COUNTIFS(표1[문화권],표5[[#This Row],[문화권]],표1[등급],표5[[#Headers],[C]])</f>
        <v>12</v>
      </c>
      <c r="Z21" s="9">
        <f>COUNTIFS(표1[문화권],표5[[#This Row],[문화권]],표1[등급],표5[[#Headers],[B]])</f>
        <v>34</v>
      </c>
      <c r="AA21" s="9">
        <f>COUNTIFS(표1[문화권],표5[[#This Row],[문화권]],표1[등급],표5[[#Headers],[A]])</f>
        <v>22</v>
      </c>
      <c r="AB21" s="9">
        <f>COUNTIFS(표1[문화권],표5[[#This Row],[문화권]],표1[등급],표5[[#Headers],[S]])</f>
        <v>8</v>
      </c>
      <c r="AC21" s="9">
        <f>SUM(표5[[#This Row],[문화권]:[S]])</f>
        <v>86</v>
      </c>
      <c r="AM21" s="2" t="s">
        <v>23</v>
      </c>
      <c r="AN21" s="9">
        <f>COUNTIFS(표1[해양탐색],1,표1[문화권],표6[[#This Row],[문화권]])</f>
        <v>0</v>
      </c>
      <c r="AO21" s="10">
        <f>COUNTIFS(표1[육지탐험],"&gt;=1",표1[문화권],표6[[#This Row],[문화권]])</f>
        <v>18</v>
      </c>
      <c r="AP21" s="47">
        <f>SUM(표6[[#This Row],[해양 탐색]:[육지 탐험]])</f>
        <v>18</v>
      </c>
    </row>
    <row r="22" spans="2:42" x14ac:dyDescent="0.25">
      <c r="B22" s="3" t="s">
        <v>14</v>
      </c>
      <c r="C22" s="9">
        <f>COUNTIF([1]Village!$C:$C,표2[[#This Row],[문화권]])</f>
        <v>7</v>
      </c>
      <c r="D22" s="9">
        <f>COUNTIF([1]LandExplore!$C:$C,표2[[#This Row],[문화권]])</f>
        <v>0</v>
      </c>
      <c r="E22" s="9">
        <f>(표2[[#This Row],[마을]]+표2[[#This Row],[육지]])*$D$3</f>
        <v>35</v>
      </c>
      <c r="F22" s="10">
        <f>COUNTIF(표1[문화권],표2[[#This Row],[문화권]])</f>
        <v>164</v>
      </c>
      <c r="G22" s="16">
        <f>표2[[#This Row],[전체 발견물]]-표2[[#This Row],[필요 발견물]]</f>
        <v>129</v>
      </c>
      <c r="W22" s="2" t="s">
        <v>14</v>
      </c>
      <c r="X22" s="9">
        <f>COUNTIFS(표1[문화권],표5[[#This Row],[문화권]],표1[등급],표5[[#Headers],[D]])</f>
        <v>20</v>
      </c>
      <c r="Y22" s="9">
        <f>COUNTIFS(표1[문화권],표5[[#This Row],[문화권]],표1[등급],표5[[#Headers],[C]])</f>
        <v>34</v>
      </c>
      <c r="Z22" s="9">
        <f>COUNTIFS(표1[문화권],표5[[#This Row],[문화권]],표1[등급],표5[[#Headers],[B]])</f>
        <v>53</v>
      </c>
      <c r="AA22" s="9">
        <f>COUNTIFS(표1[문화권],표5[[#This Row],[문화권]],표1[등급],표5[[#Headers],[A]])</f>
        <v>41</v>
      </c>
      <c r="AB22" s="9">
        <f>COUNTIFS(표1[문화권],표5[[#This Row],[문화권]],표1[등급],표5[[#Headers],[S]])</f>
        <v>16</v>
      </c>
      <c r="AC22" s="9">
        <f>SUM(표5[[#This Row],[문화권]:[S]])</f>
        <v>164</v>
      </c>
      <c r="AM22" s="2" t="s">
        <v>14</v>
      </c>
      <c r="AN22" s="9">
        <f>COUNTIFS(표1[해양탐색],1,표1[문화권],표6[[#This Row],[문화권]])</f>
        <v>0</v>
      </c>
      <c r="AO22" s="10">
        <f>COUNTIFS(표1[육지탐험],"&gt;=1",표1[문화권],표6[[#This Row],[문화권]])</f>
        <v>53</v>
      </c>
      <c r="AP22" s="47">
        <f>SUM(표6[[#This Row],[해양 탐색]:[육지 탐험]])</f>
        <v>53</v>
      </c>
    </row>
    <row r="23" spans="2:42" x14ac:dyDescent="0.25">
      <c r="B23" s="4" t="s">
        <v>28</v>
      </c>
      <c r="C23" s="13">
        <f>COUNTIF([1]Village!$C:$C,표2[[#This Row],[문화권]])</f>
        <v>6</v>
      </c>
      <c r="D23" s="13">
        <f>COUNTIF([1]LandExplore!$C:$C,표2[[#This Row],[문화권]])</f>
        <v>0</v>
      </c>
      <c r="E23" s="13">
        <f>(표2[[#This Row],[마을]]+표2[[#This Row],[육지]])*$D$3</f>
        <v>30</v>
      </c>
      <c r="F23" s="14">
        <f>COUNTIF(표1[문화권],표2[[#This Row],[문화권]])</f>
        <v>74</v>
      </c>
      <c r="G23" s="17">
        <f>표2[[#This Row],[전체 발견물]]-표2[[#This Row],[필요 발견물]]</f>
        <v>44</v>
      </c>
      <c r="W23" s="2" t="s">
        <v>28</v>
      </c>
      <c r="X23" s="9">
        <f>COUNTIFS(표1[문화권],표5[[#This Row],[문화권]],표1[등급],표5[[#Headers],[D]])</f>
        <v>1</v>
      </c>
      <c r="Y23" s="9">
        <f>COUNTIFS(표1[문화권],표5[[#This Row],[문화권]],표1[등급],표5[[#Headers],[C]])</f>
        <v>12</v>
      </c>
      <c r="Z23" s="9">
        <f>COUNTIFS(표1[문화권],표5[[#This Row],[문화권]],표1[등급],표5[[#Headers],[B]])</f>
        <v>37</v>
      </c>
      <c r="AA23" s="9">
        <f>COUNTIFS(표1[문화권],표5[[#This Row],[문화권]],표1[등급],표5[[#Headers],[A]])</f>
        <v>19</v>
      </c>
      <c r="AB23" s="9">
        <f>COUNTIFS(표1[문화권],표5[[#This Row],[문화권]],표1[등급],표5[[#Headers],[S]])</f>
        <v>5</v>
      </c>
      <c r="AC23" s="9">
        <f>SUM(표5[[#This Row],[문화권]:[S]])</f>
        <v>74</v>
      </c>
      <c r="AM23" s="2" t="s">
        <v>28</v>
      </c>
      <c r="AN23" s="9">
        <f>COUNTIFS(표1[해양탐색],1,표1[문화권],표6[[#This Row],[문화권]])</f>
        <v>0</v>
      </c>
      <c r="AO23" s="10">
        <f>COUNTIFS(표1[육지탐험],"&gt;=1",표1[문화권],표6[[#This Row],[문화권]])</f>
        <v>8</v>
      </c>
      <c r="AP23" s="47">
        <f>SUM(표6[[#This Row],[해양 탐색]:[육지 탐험]])</f>
        <v>8</v>
      </c>
    </row>
    <row r="24" spans="2:42" x14ac:dyDescent="0.25">
      <c r="B24" s="28" t="s">
        <v>10</v>
      </c>
      <c r="C24" s="17">
        <f>COUNTIF([1]Village!$C:$C,표2[[#This Row],[문화권]])</f>
        <v>0</v>
      </c>
      <c r="D24" s="17">
        <f>COUNTIF([1]LandExplore!$C:$C,표2[[#This Row],[문화권]])</f>
        <v>0</v>
      </c>
      <c r="E24" s="17">
        <f>(표2[[#This Row],[마을]]+표2[[#This Row],[육지]])*$D$3</f>
        <v>0</v>
      </c>
      <c r="F24" s="27">
        <f>COUNTIF(표1[문화권],표2[[#This Row],[문화권]])</f>
        <v>66</v>
      </c>
      <c r="G24" s="17">
        <f>표2[[#This Row],[전체 발견물]]-표2[[#This Row],[필요 발견물]]</f>
        <v>66</v>
      </c>
      <c r="W24" s="31" t="s">
        <v>10</v>
      </c>
      <c r="X24" s="16">
        <f>COUNTIFS(표1[문화권],표5[[#This Row],[문화권]],표1[등급],표5[[#Headers],[D]])</f>
        <v>66</v>
      </c>
      <c r="Y24" s="16">
        <f>COUNTIFS(표1[문화권],표5[[#This Row],[문화권]],표1[등급],표5[[#Headers],[C]])</f>
        <v>0</v>
      </c>
      <c r="Z24" s="16">
        <f>COUNTIFS(표1[문화권],표5[[#This Row],[문화권]],표1[등급],표5[[#Headers],[B]])</f>
        <v>0</v>
      </c>
      <c r="AA24" s="16">
        <f>COUNTIFS(표1[문화권],표5[[#This Row],[문화권]],표1[등급],표5[[#Headers],[A]])</f>
        <v>0</v>
      </c>
      <c r="AB24" s="16">
        <f>COUNTIFS(표1[문화권],표5[[#This Row],[문화권]],표1[등급],표5[[#Headers],[S]])</f>
        <v>0</v>
      </c>
      <c r="AC24" s="9">
        <f>SUM(표5[[#This Row],[문화권]:[S]])</f>
        <v>66</v>
      </c>
      <c r="AM24" s="9" t="s">
        <v>147</v>
      </c>
      <c r="AN24" s="9">
        <f>SUM(표6[해양 탐색])</f>
        <v>0</v>
      </c>
      <c r="AO24" s="10">
        <f>SUM(표6[육지 탐험])</f>
        <v>456</v>
      </c>
      <c r="AP24" s="47">
        <f>SUM(AN24:AO24)</f>
        <v>456</v>
      </c>
    </row>
    <row r="25" spans="2:42" x14ac:dyDescent="0.25">
      <c r="B25" s="28" t="s">
        <v>9</v>
      </c>
      <c r="C25" s="17">
        <f>COUNTIF([1]Village!$C:$C,표2[[#This Row],[문화권]])</f>
        <v>0</v>
      </c>
      <c r="D25" s="17">
        <f>COUNTIF([1]LandExplore!$C:$C,표2[[#This Row],[문화권]])</f>
        <v>0</v>
      </c>
      <c r="E25" s="17">
        <f>(표2[[#This Row],[마을]]+표2[[#This Row],[육지]])*$D$3</f>
        <v>0</v>
      </c>
      <c r="F25" s="27">
        <f>COUNTIF(표1[문화권],표2[[#This Row],[문화권]])</f>
        <v>218</v>
      </c>
      <c r="G25" s="17">
        <f>표2[[#This Row],[전체 발견물]]-표2[[#This Row],[필요 발견물]]</f>
        <v>218</v>
      </c>
      <c r="W25" s="31" t="s">
        <v>9</v>
      </c>
      <c r="X25" s="16">
        <f>COUNTIFS(표1[문화권],표5[[#This Row],[문화권]],표1[등급],표5[[#Headers],[D]])</f>
        <v>218</v>
      </c>
      <c r="Y25" s="16">
        <f>COUNTIFS(표1[문화권],표5[[#This Row],[문화권]],표1[등급],표5[[#Headers],[C]])</f>
        <v>0</v>
      </c>
      <c r="Z25" s="16">
        <f>COUNTIFS(표1[문화권],표5[[#This Row],[문화권]],표1[등급],표5[[#Headers],[B]])</f>
        <v>0</v>
      </c>
      <c r="AA25" s="16">
        <f>COUNTIFS(표1[문화권],표5[[#This Row],[문화권]],표1[등급],표5[[#Headers],[A]])</f>
        <v>0</v>
      </c>
      <c r="AB25" s="16">
        <f>COUNTIFS(표1[문화권],표5[[#This Row],[문화권]],표1[등급],표5[[#Headers],[S]])</f>
        <v>0</v>
      </c>
      <c r="AC25" s="9">
        <f>SUM(표5[[#This Row],[문화권]:[S]])</f>
        <v>218</v>
      </c>
    </row>
    <row r="26" spans="2:42" x14ac:dyDescent="0.25">
      <c r="B26" s="28" t="s">
        <v>173</v>
      </c>
      <c r="C26" s="17">
        <f>COUNTIF([1]Village!$C:$C,표2[[#This Row],[문화권]])</f>
        <v>0</v>
      </c>
      <c r="D26" s="17">
        <f>COUNTIF([1]LandExplore!$C:$C,표2[[#This Row],[문화권]])</f>
        <v>0</v>
      </c>
      <c r="E26" s="17">
        <f>(표2[[#This Row],[마을]]+표2[[#This Row],[육지]])*$D$3</f>
        <v>0</v>
      </c>
      <c r="F26" s="27">
        <f>COUNTIF(표1[문화권],표2[[#This Row],[문화권]])</f>
        <v>425</v>
      </c>
      <c r="G26" s="17">
        <f>표2[[#This Row],[전체 발견물]]-표2[[#This Row],[필요 발견물]]</f>
        <v>425</v>
      </c>
      <c r="W26" s="31" t="s">
        <v>173</v>
      </c>
      <c r="X26" s="16">
        <f>COUNTIFS(표1[문화권],표5[[#This Row],[문화권]],표1[등급],표5[[#Headers],[D]])</f>
        <v>79</v>
      </c>
      <c r="Y26" s="16">
        <f>COUNTIFS(표1[문화권],표5[[#This Row],[문화권]],표1[등급],표5[[#Headers],[C]])</f>
        <v>84</v>
      </c>
      <c r="Z26" s="16">
        <f>COUNTIFS(표1[문화권],표5[[#This Row],[문화권]],표1[등급],표5[[#Headers],[B]])</f>
        <v>129</v>
      </c>
      <c r="AA26" s="16">
        <f>COUNTIFS(표1[문화권],표5[[#This Row],[문화권]],표1[등급],표5[[#Headers],[A]])</f>
        <v>64</v>
      </c>
      <c r="AB26" s="16">
        <f>COUNTIFS(표1[문화권],표5[[#This Row],[문화권]],표1[등급],표5[[#Headers],[S]])</f>
        <v>69</v>
      </c>
      <c r="AC26" s="9">
        <f>SUM(표5[[#This Row],[문화권]:[S]])</f>
        <v>425</v>
      </c>
    </row>
    <row r="27" spans="2:42" x14ac:dyDescent="0.25">
      <c r="B27" s="28" t="s">
        <v>174</v>
      </c>
      <c r="C27" s="17">
        <f>COUNTIF([1]Village!$C:$C,표2[[#This Row],[문화권]])</f>
        <v>0</v>
      </c>
      <c r="D27" s="17">
        <f>COUNTIF([1]LandExplore!$C:$C,표2[[#This Row],[문화권]])</f>
        <v>0</v>
      </c>
      <c r="E27" s="17">
        <f>(표2[[#This Row],[마을]]+표2[[#This Row],[육지]])*$D$3</f>
        <v>0</v>
      </c>
      <c r="F27" s="27">
        <f>COUNTIF(표1[문화권],표2[[#This Row],[문화권]])</f>
        <v>145</v>
      </c>
      <c r="G27" s="17">
        <f>표2[[#This Row],[전체 발견물]]-표2[[#This Row],[필요 발견물]]</f>
        <v>145</v>
      </c>
      <c r="W27" s="31" t="s">
        <v>174</v>
      </c>
      <c r="X27" s="16">
        <f>COUNTIFS(표1[문화권],표5[[#This Row],[문화권]],표1[등급],표5[[#Headers],[D]])</f>
        <v>35</v>
      </c>
      <c r="Y27" s="16">
        <f>COUNTIFS(표1[문화권],표5[[#This Row],[문화권]],표1[등급],표5[[#Headers],[C]])</f>
        <v>24</v>
      </c>
      <c r="Z27" s="16">
        <f>COUNTIFS(표1[문화권],표5[[#This Row],[문화권]],표1[등급],표5[[#Headers],[B]])</f>
        <v>34</v>
      </c>
      <c r="AA27" s="16">
        <f>COUNTIFS(표1[문화권],표5[[#This Row],[문화권]],표1[등급],표5[[#Headers],[A]])</f>
        <v>35</v>
      </c>
      <c r="AB27" s="16">
        <f>COUNTIFS(표1[문화권],표5[[#This Row],[문화권]],표1[등급],표5[[#Headers],[S]])</f>
        <v>17</v>
      </c>
      <c r="AC27" s="9">
        <f>SUM(표5[[#This Row],[문화권]:[S]])</f>
        <v>145</v>
      </c>
    </row>
    <row r="28" spans="2:42" x14ac:dyDescent="0.25">
      <c r="B28" s="28" t="s">
        <v>175</v>
      </c>
      <c r="C28" s="17">
        <f>COUNTIF([1]Village!$C:$C,표2[[#This Row],[문화권]])</f>
        <v>0</v>
      </c>
      <c r="D28" s="17">
        <f>COUNTIF([1]LandExplore!$C:$C,표2[[#This Row],[문화권]])</f>
        <v>0</v>
      </c>
      <c r="E28" s="17">
        <f>(표2[[#This Row],[마을]]+표2[[#This Row],[육지]])*$D$3</f>
        <v>0</v>
      </c>
      <c r="F28" s="27">
        <f>COUNTIF(표1[문화권],표2[[#This Row],[문화권]])</f>
        <v>34</v>
      </c>
      <c r="G28" s="17">
        <f>표2[[#This Row],[전체 발견물]]-표2[[#This Row],[필요 발견물]]</f>
        <v>34</v>
      </c>
      <c r="W28" s="31" t="s">
        <v>175</v>
      </c>
      <c r="X28" s="16">
        <f>COUNTIFS(표1[문화권],표5[[#This Row],[문화권]],표1[등급],표5[[#Headers],[D]])</f>
        <v>4</v>
      </c>
      <c r="Y28" s="16">
        <f>COUNTIFS(표1[문화권],표5[[#This Row],[문화권]],표1[등급],표5[[#Headers],[C]])</f>
        <v>9</v>
      </c>
      <c r="Z28" s="16">
        <f>COUNTIFS(표1[문화권],표5[[#This Row],[문화권]],표1[등급],표5[[#Headers],[B]])</f>
        <v>11</v>
      </c>
      <c r="AA28" s="16">
        <f>COUNTIFS(표1[문화권],표5[[#This Row],[문화권]],표1[등급],표5[[#Headers],[A]])</f>
        <v>9</v>
      </c>
      <c r="AB28" s="16">
        <f>COUNTIFS(표1[문화권],표5[[#This Row],[문화권]],표1[등급],표5[[#Headers],[S]])</f>
        <v>1</v>
      </c>
      <c r="AC28" s="9">
        <f>SUM(표5[[#This Row],[문화권]:[S]])</f>
        <v>34</v>
      </c>
    </row>
    <row r="29" spans="2:42" x14ac:dyDescent="0.3">
      <c r="B29" s="9" t="s">
        <v>147</v>
      </c>
      <c r="C29" s="9">
        <f>SUM(표2[마을])</f>
        <v>66</v>
      </c>
      <c r="D29" s="9">
        <f>SUM(표2[육지])</f>
        <v>0</v>
      </c>
      <c r="E29" s="9">
        <f>SUM(표2[필요 발견물])</f>
        <v>330</v>
      </c>
      <c r="F29" s="9">
        <f>SUM(표2[전체 발견물])</f>
        <v>2718</v>
      </c>
      <c r="G29" s="9"/>
      <c r="W29" s="9" t="s">
        <v>147</v>
      </c>
      <c r="X29" s="9">
        <f>SUM(표5[D])</f>
        <v>627</v>
      </c>
      <c r="Y29" s="9">
        <f>SUM(표5[C])</f>
        <v>476</v>
      </c>
      <c r="Z29" s="9">
        <f>SUM(표5[B])</f>
        <v>797</v>
      </c>
      <c r="AA29" s="9">
        <f>SUM(표5[A])</f>
        <v>513</v>
      </c>
      <c r="AB29" s="9">
        <f>SUM(표5[S])</f>
        <v>305</v>
      </c>
      <c r="AC29" s="9">
        <f>SUM(X29:AB29)</f>
        <v>2718</v>
      </c>
    </row>
    <row r="31" spans="2:42" x14ac:dyDescent="0.3">
      <c r="B31" s="21" t="s">
        <v>222</v>
      </c>
    </row>
    <row r="32" spans="2:42" x14ac:dyDescent="0.3">
      <c r="B32" s="15" t="s">
        <v>163</v>
      </c>
      <c r="C32" s="15" t="s">
        <v>223</v>
      </c>
    </row>
    <row r="33" spans="2:3" x14ac:dyDescent="0.3">
      <c r="B33" s="63">
        <v>1</v>
      </c>
      <c r="C33" s="63" t="s">
        <v>138</v>
      </c>
    </row>
    <row r="34" spans="2:3" x14ac:dyDescent="0.3">
      <c r="B34" s="63">
        <v>2</v>
      </c>
      <c r="C34" s="63" t="s">
        <v>138</v>
      </c>
    </row>
    <row r="35" spans="2:3" x14ac:dyDescent="0.3">
      <c r="B35" s="63">
        <v>3</v>
      </c>
      <c r="C35" s="63" t="s">
        <v>138</v>
      </c>
    </row>
    <row r="36" spans="2:3" x14ac:dyDescent="0.3">
      <c r="B36" s="63">
        <v>4</v>
      </c>
      <c r="C36" s="63" t="s">
        <v>138</v>
      </c>
    </row>
    <row r="37" spans="2:3" x14ac:dyDescent="0.3">
      <c r="B37" s="63">
        <v>5</v>
      </c>
      <c r="C37" s="63" t="s">
        <v>138</v>
      </c>
    </row>
    <row r="38" spans="2:3" x14ac:dyDescent="0.3">
      <c r="B38" s="63">
        <v>6</v>
      </c>
      <c r="C38" s="63" t="s">
        <v>138</v>
      </c>
    </row>
    <row r="39" spans="2:3" x14ac:dyDescent="0.3">
      <c r="B39" s="63">
        <v>7</v>
      </c>
      <c r="C39" s="63" t="s">
        <v>139</v>
      </c>
    </row>
    <row r="40" spans="2:3" x14ac:dyDescent="0.3">
      <c r="B40" s="63">
        <v>8</v>
      </c>
      <c r="C40" s="63" t="s">
        <v>139</v>
      </c>
    </row>
    <row r="41" spans="2:3" x14ac:dyDescent="0.3">
      <c r="B41" s="63">
        <v>9</v>
      </c>
      <c r="C41" s="63" t="s">
        <v>139</v>
      </c>
    </row>
    <row r="42" spans="2:3" x14ac:dyDescent="0.3">
      <c r="B42" s="63">
        <v>10</v>
      </c>
      <c r="C42" s="63" t="s">
        <v>140</v>
      </c>
    </row>
    <row r="43" spans="2:3" x14ac:dyDescent="0.3">
      <c r="B43" s="63">
        <v>11</v>
      </c>
      <c r="C43" s="63" t="s">
        <v>140</v>
      </c>
    </row>
    <row r="44" spans="2:3" x14ac:dyDescent="0.3">
      <c r="B44" s="63">
        <v>12</v>
      </c>
      <c r="C44" s="63" t="s">
        <v>140</v>
      </c>
    </row>
  </sheetData>
  <mergeCells count="1">
    <mergeCell ref="B3:C3"/>
  </mergeCells>
  <phoneticPr fontId="1" type="noConversion"/>
  <conditionalFormatting sqref="G6:G23">
    <cfRule type="dataBar" priority="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{5D54DC31-D775-4EE3-A87B-12040A8BE519}</x14:id>
        </ext>
      </extLst>
    </cfRule>
  </conditionalFormatting>
  <conditionalFormatting sqref="E6:E2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{5D6A9EB3-645B-4F5F-9E81-AFB58167E9AA}</x14:id>
        </ext>
      </extLst>
    </cfRule>
  </conditionalFormatting>
  <conditionalFormatting sqref="F6:F23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{45E977B6-37A0-4A9B-AF10-8ABD28FB6668}</x14:id>
        </ext>
      </extLst>
    </cfRule>
  </conditionalFormatting>
  <conditionalFormatting sqref="AC6:AC23">
    <cfRule type="dataBar" priority="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{993198A7-0B9E-4822-AFFA-7913DA585E18}</x14:id>
        </ext>
      </extLst>
    </cfRule>
  </conditionalFormatting>
  <conditionalFormatting sqref="X29:AB29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{EC1E668E-B66B-4EFD-964A-80CF38C3D117}</x14:id>
        </ext>
      </extLst>
    </cfRule>
  </conditionalFormatting>
  <conditionalFormatting sqref="M6:M15">
    <cfRule type="dataBar" priority="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{6FE4C8AB-B01B-49F6-A5F4-654CABDB9A78}</x14:id>
        </ext>
      </extLst>
    </cfRule>
  </conditionalFormatting>
  <conditionalFormatting sqref="M6:M17">
    <cfRule type="dataBar" priority="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{65E632F5-4D2C-4FE8-AF0C-581BF8ECADA8}</x14:id>
        </ext>
      </extLst>
    </cfRule>
  </conditionalFormatting>
  <conditionalFormatting sqref="AN6:AN23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{F50DE362-95A2-4342-BAF4-6D221C36AC40}</x14:id>
        </ext>
      </extLst>
    </cfRule>
  </conditionalFormatting>
  <conditionalFormatting sqref="AO6:AO23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{4C713DF4-E057-484C-96CB-21171A640994}</x14:id>
        </ext>
      </extLst>
    </cfRule>
  </conditionalFormatting>
  <conditionalFormatting sqref="AP6:AP23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{8516A216-B734-42A7-B9FA-DAF09DCDFF46}</x14:id>
        </ext>
      </extLst>
    </cfRule>
  </conditionalFormatting>
  <conditionalFormatting sqref="X6:AB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{19877010-D936-4689-93A4-2E436CF0F253}</x14:id>
        </ext>
      </extLst>
    </cfRule>
  </conditionalFormatting>
  <conditionalFormatting sqref="X7:AB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{5B2148DD-F79B-4163-9419-518E8E1B17B4}</x14:id>
        </ext>
      </extLst>
    </cfRule>
  </conditionalFormatting>
  <conditionalFormatting sqref="X8:AB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{E3DCC49E-D810-478F-A7AE-FDB38298802E}</x14:id>
        </ext>
      </extLst>
    </cfRule>
  </conditionalFormatting>
  <conditionalFormatting sqref="X9:AB9">
    <cfRule type="dataBar" priority="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{473FD495-8871-40BD-85DB-064C70E8B1DB}</x14:id>
        </ext>
      </extLst>
    </cfRule>
  </conditionalFormatting>
  <conditionalFormatting sqref="X10:AB10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{6E0A9BB4-7A47-4DCC-933F-9BD59BF7F0F8}</x14:id>
        </ext>
      </extLst>
    </cfRule>
  </conditionalFormatting>
  <conditionalFormatting sqref="X11:AB11">
    <cfRule type="dataBar" priority="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{3790932B-C855-49B7-B415-930C9C223BD8}</x14:id>
        </ext>
      </extLst>
    </cfRule>
  </conditionalFormatting>
  <conditionalFormatting sqref="X12:AB12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{A5A89649-5F85-47A8-BEDD-02F5890C0D12}</x14:id>
        </ext>
      </extLst>
    </cfRule>
  </conditionalFormatting>
  <conditionalFormatting sqref="X13:AB13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{8E610E6F-AEAD-4010-AA95-1D26761E4D49}</x14:id>
        </ext>
      </extLst>
    </cfRule>
  </conditionalFormatting>
  <conditionalFormatting sqref="X14:AB14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{BD5914F5-9876-4842-A425-3BB25DEC0E8A}</x14:id>
        </ext>
      </extLst>
    </cfRule>
  </conditionalFormatting>
  <conditionalFormatting sqref="X15:AB15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{3231E7D8-B0FE-45A2-93E1-77A08CAA887B}</x14:id>
        </ext>
      </extLst>
    </cfRule>
  </conditionalFormatting>
  <conditionalFormatting sqref="X16:AB16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{0D87C41B-092C-4795-8A1A-55CBAB8A9DDD}</x14:id>
        </ext>
      </extLst>
    </cfRule>
  </conditionalFormatting>
  <conditionalFormatting sqref="X17:AB17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{B8F0EAE9-E392-4333-9E54-365A043E892C}</x14:id>
        </ext>
      </extLst>
    </cfRule>
  </conditionalFormatting>
  <conditionalFormatting sqref="X18:AB1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{20D387C6-BC45-4987-9CE7-9CAD87CB8138}</x14:id>
        </ext>
      </extLst>
    </cfRule>
  </conditionalFormatting>
  <conditionalFormatting sqref="X19:AB19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{469AD6A2-6F23-4FAB-97FA-C6EE72312E00}</x14:id>
        </ext>
      </extLst>
    </cfRule>
  </conditionalFormatting>
  <conditionalFormatting sqref="X20:AB20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{B82B6D0A-2894-4CD1-9AFC-020261D72EC1}</x14:id>
        </ext>
      </extLst>
    </cfRule>
  </conditionalFormatting>
  <conditionalFormatting sqref="X21:AB21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{97F51DAE-5082-45D0-81D1-29124955FBD1}</x14:id>
        </ext>
      </extLst>
    </cfRule>
  </conditionalFormatting>
  <conditionalFormatting sqref="X22:AB22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{1CCE48AF-6249-4C8D-A476-5F3588674567}</x14:id>
        </ext>
      </extLst>
    </cfRule>
  </conditionalFormatting>
  <conditionalFormatting sqref="X23:AB23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{CC28FD17-0CA2-4C9C-98D5-75F60DF5F4E6}</x14:id>
        </ext>
      </extLst>
    </cfRule>
  </conditionalFormatting>
  <conditionalFormatting sqref="P6:T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{47BFF898-1587-4298-8703-18F4A6B017C2}</x14:id>
        </ext>
      </extLst>
    </cfRule>
  </conditionalFormatting>
  <conditionalFormatting sqref="P7:T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{8E189F66-A343-4FF9-A473-0408F5AC1053}</x14:id>
        </ext>
      </extLst>
    </cfRule>
  </conditionalFormatting>
  <conditionalFormatting sqref="P8:T8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{A1E0D529-D3DD-470F-B105-23CF7A95C117}</x14:id>
        </ext>
      </extLst>
    </cfRule>
  </conditionalFormatting>
  <conditionalFormatting sqref="P9:T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{D2D43E68-C9A8-417C-A6FE-4C17642B9AB0}</x14:id>
        </ext>
      </extLst>
    </cfRule>
  </conditionalFormatting>
  <conditionalFormatting sqref="P10:T10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{9B6ECB58-14F3-4186-899F-909691C1F219}</x14:id>
        </ext>
      </extLst>
    </cfRule>
  </conditionalFormatting>
  <conditionalFormatting sqref="P11:T11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{B04076E8-28F7-42BB-B286-02F807912A24}</x14:id>
        </ext>
      </extLst>
    </cfRule>
  </conditionalFormatting>
  <conditionalFormatting sqref="U6:U1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{2E5C8DF2-7403-49DD-8B5F-436AB298E4F3}</x14:id>
        </ext>
      </extLst>
    </cfRule>
  </conditionalFormatting>
  <conditionalFormatting sqref="AK6:AK1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{CB4C7264-A9CF-48F6-A661-D19B31ED3E0D}</x14:id>
        </ext>
      </extLst>
    </cfRule>
  </conditionalFormatting>
  <conditionalFormatting sqref="AF12:AJ1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{05BF0F67-4E19-4DF9-BE8D-3C7F456D04E4}</x14:id>
        </ext>
      </extLst>
    </cfRule>
  </conditionalFormatting>
  <conditionalFormatting sqref="AF6:AJ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{2E93E4BC-F32D-4E6D-8E0B-D7CAA665FEEC}</x14:id>
        </ext>
      </extLst>
    </cfRule>
  </conditionalFormatting>
  <conditionalFormatting sqref="AF7:AJ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{B00D5D56-1530-4985-8F45-40063E7AE374}</x14:id>
        </ext>
      </extLst>
    </cfRule>
  </conditionalFormatting>
  <conditionalFormatting sqref="AF8:AJ8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{0E6ED313-A491-43F9-A809-946D279E2D8B}</x14:id>
        </ext>
      </extLst>
    </cfRule>
  </conditionalFormatting>
  <conditionalFormatting sqref="AF9:AJ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{3C793018-35C5-4BD4-A138-1A0AFFEA2EBA}</x14:id>
        </ext>
      </extLst>
    </cfRule>
  </conditionalFormatting>
  <conditionalFormatting sqref="AF10:AJ10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{1AF593E7-FBF2-4006-ABEA-9A52BA555203}</x14:id>
        </ext>
      </extLst>
    </cfRule>
  </conditionalFormatting>
  <conditionalFormatting sqref="AF11:AJ1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{735C0119-1869-4183-BAF6-AF29D63F6DC0}</x14:id>
        </ext>
      </extLst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54DC31-D775-4EE3-A87B-12040A8BE5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G6:G23</xm:sqref>
        </x14:conditionalFormatting>
        <x14:conditionalFormatting xmlns:xm="http://schemas.microsoft.com/office/excel/2006/main">
          <x14:cfRule type="dataBar" id="{5D6A9EB3-645B-4F5F-9E81-AFB58167E9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E6:E23</xm:sqref>
        </x14:conditionalFormatting>
        <x14:conditionalFormatting xmlns:xm="http://schemas.microsoft.com/office/excel/2006/main">
          <x14:cfRule type="dataBar" id="{45E977B6-37A0-4A9B-AF10-8ABD28FB66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F6:F23</xm:sqref>
        </x14:conditionalFormatting>
        <x14:conditionalFormatting xmlns:xm="http://schemas.microsoft.com/office/excel/2006/main">
          <x14:cfRule type="dataBar" id="{993198A7-0B9E-4822-AFFA-7913DA585E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AC6:AC23</xm:sqref>
        </x14:conditionalFormatting>
        <x14:conditionalFormatting xmlns:xm="http://schemas.microsoft.com/office/excel/2006/main">
          <x14:cfRule type="dataBar" id="{EC1E668E-B66B-4EFD-964A-80CF38C3D1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X29:AB29</xm:sqref>
        </x14:conditionalFormatting>
        <x14:conditionalFormatting xmlns:xm="http://schemas.microsoft.com/office/excel/2006/main">
          <x14:cfRule type="dataBar" id="{6FE4C8AB-B01B-49F6-A5F4-654CABDB9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M6:M15</xm:sqref>
        </x14:conditionalFormatting>
        <x14:conditionalFormatting xmlns:xm="http://schemas.microsoft.com/office/excel/2006/main">
          <x14:cfRule type="dataBar" id="{65E632F5-4D2C-4FE8-AF0C-581BF8ECAD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M6:M17</xm:sqref>
        </x14:conditionalFormatting>
        <x14:conditionalFormatting xmlns:xm="http://schemas.microsoft.com/office/excel/2006/main">
          <x14:cfRule type="dataBar" id="{F50DE362-95A2-4342-BAF4-6D221C36AC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AN6:AN23</xm:sqref>
        </x14:conditionalFormatting>
        <x14:conditionalFormatting xmlns:xm="http://schemas.microsoft.com/office/excel/2006/main">
          <x14:cfRule type="dataBar" id="{4C713DF4-E057-484C-96CB-21171A6409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AO6:AO23</xm:sqref>
        </x14:conditionalFormatting>
        <x14:conditionalFormatting xmlns:xm="http://schemas.microsoft.com/office/excel/2006/main">
          <x14:cfRule type="dataBar" id="{8516A216-B734-42A7-B9FA-DAF09DCDFF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AP6:AP23</xm:sqref>
        </x14:conditionalFormatting>
        <x14:conditionalFormatting xmlns:xm="http://schemas.microsoft.com/office/excel/2006/main">
          <x14:cfRule type="dataBar" id="{19877010-D936-4689-93A4-2E436CF0F2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X6:AB6</xm:sqref>
        </x14:conditionalFormatting>
        <x14:conditionalFormatting xmlns:xm="http://schemas.microsoft.com/office/excel/2006/main">
          <x14:cfRule type="dataBar" id="{5B2148DD-F79B-4163-9419-518E8E1B17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X7:AB7</xm:sqref>
        </x14:conditionalFormatting>
        <x14:conditionalFormatting xmlns:xm="http://schemas.microsoft.com/office/excel/2006/main">
          <x14:cfRule type="dataBar" id="{E3DCC49E-D810-478F-A7AE-FDB3829880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X8:AB8</xm:sqref>
        </x14:conditionalFormatting>
        <x14:conditionalFormatting xmlns:xm="http://schemas.microsoft.com/office/excel/2006/main">
          <x14:cfRule type="dataBar" id="{473FD495-8871-40BD-85DB-064C70E8B1D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X9:AB9</xm:sqref>
        </x14:conditionalFormatting>
        <x14:conditionalFormatting xmlns:xm="http://schemas.microsoft.com/office/excel/2006/main">
          <x14:cfRule type="dataBar" id="{6E0A9BB4-7A47-4DCC-933F-9BD59BF7F0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X10:AB10</xm:sqref>
        </x14:conditionalFormatting>
        <x14:conditionalFormatting xmlns:xm="http://schemas.microsoft.com/office/excel/2006/main">
          <x14:cfRule type="dataBar" id="{3790932B-C855-49B7-B415-930C9C223B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X11:AB11</xm:sqref>
        </x14:conditionalFormatting>
        <x14:conditionalFormatting xmlns:xm="http://schemas.microsoft.com/office/excel/2006/main">
          <x14:cfRule type="dataBar" id="{A5A89649-5F85-47A8-BEDD-02F5890C0D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X12:AB12</xm:sqref>
        </x14:conditionalFormatting>
        <x14:conditionalFormatting xmlns:xm="http://schemas.microsoft.com/office/excel/2006/main">
          <x14:cfRule type="dataBar" id="{8E610E6F-AEAD-4010-AA95-1D26761E4D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X13:AB13</xm:sqref>
        </x14:conditionalFormatting>
        <x14:conditionalFormatting xmlns:xm="http://schemas.microsoft.com/office/excel/2006/main">
          <x14:cfRule type="dataBar" id="{BD5914F5-9876-4842-A425-3BB25DEC0E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X14:AB14</xm:sqref>
        </x14:conditionalFormatting>
        <x14:conditionalFormatting xmlns:xm="http://schemas.microsoft.com/office/excel/2006/main">
          <x14:cfRule type="dataBar" id="{3231E7D8-B0FE-45A2-93E1-77A08CAA887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X15:AB15</xm:sqref>
        </x14:conditionalFormatting>
        <x14:conditionalFormatting xmlns:xm="http://schemas.microsoft.com/office/excel/2006/main">
          <x14:cfRule type="dataBar" id="{0D87C41B-092C-4795-8A1A-55CBAB8A9DD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X16:AB16</xm:sqref>
        </x14:conditionalFormatting>
        <x14:conditionalFormatting xmlns:xm="http://schemas.microsoft.com/office/excel/2006/main">
          <x14:cfRule type="dataBar" id="{B8F0EAE9-E392-4333-9E54-365A043E89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X17:AB17</xm:sqref>
        </x14:conditionalFormatting>
        <x14:conditionalFormatting xmlns:xm="http://schemas.microsoft.com/office/excel/2006/main">
          <x14:cfRule type="dataBar" id="{20D387C6-BC45-4987-9CE7-9CAD87CB81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X18:AB18</xm:sqref>
        </x14:conditionalFormatting>
        <x14:conditionalFormatting xmlns:xm="http://schemas.microsoft.com/office/excel/2006/main">
          <x14:cfRule type="dataBar" id="{469AD6A2-6F23-4FAB-97FA-C6EE72312E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X19:AB19</xm:sqref>
        </x14:conditionalFormatting>
        <x14:conditionalFormatting xmlns:xm="http://schemas.microsoft.com/office/excel/2006/main">
          <x14:cfRule type="dataBar" id="{B82B6D0A-2894-4CD1-9AFC-020261D72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X20:AB20</xm:sqref>
        </x14:conditionalFormatting>
        <x14:conditionalFormatting xmlns:xm="http://schemas.microsoft.com/office/excel/2006/main">
          <x14:cfRule type="dataBar" id="{97F51DAE-5082-45D0-81D1-29124955FBD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X21:AB21</xm:sqref>
        </x14:conditionalFormatting>
        <x14:conditionalFormatting xmlns:xm="http://schemas.microsoft.com/office/excel/2006/main">
          <x14:cfRule type="dataBar" id="{1CCE48AF-6249-4C8D-A476-5F358867456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X22:AB22</xm:sqref>
        </x14:conditionalFormatting>
        <x14:conditionalFormatting xmlns:xm="http://schemas.microsoft.com/office/excel/2006/main">
          <x14:cfRule type="dataBar" id="{CC28FD17-0CA2-4C9C-98D5-75F60DF5F4E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X23:AB23</xm:sqref>
        </x14:conditionalFormatting>
        <x14:conditionalFormatting xmlns:xm="http://schemas.microsoft.com/office/excel/2006/main">
          <x14:cfRule type="dataBar" id="{47BFF898-1587-4298-8703-18F4A6B017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P6:T6</xm:sqref>
        </x14:conditionalFormatting>
        <x14:conditionalFormatting xmlns:xm="http://schemas.microsoft.com/office/excel/2006/main">
          <x14:cfRule type="dataBar" id="{8E189F66-A343-4FF9-A473-0408F5AC10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P7:T7</xm:sqref>
        </x14:conditionalFormatting>
        <x14:conditionalFormatting xmlns:xm="http://schemas.microsoft.com/office/excel/2006/main">
          <x14:cfRule type="dataBar" id="{A1E0D529-D3DD-470F-B105-23CF7A95C1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P8:T8</xm:sqref>
        </x14:conditionalFormatting>
        <x14:conditionalFormatting xmlns:xm="http://schemas.microsoft.com/office/excel/2006/main">
          <x14:cfRule type="dataBar" id="{D2D43E68-C9A8-417C-A6FE-4C17642B9A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P9:T9</xm:sqref>
        </x14:conditionalFormatting>
        <x14:conditionalFormatting xmlns:xm="http://schemas.microsoft.com/office/excel/2006/main">
          <x14:cfRule type="dataBar" id="{9B6ECB58-14F3-4186-899F-909691C1F2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P10:T10</xm:sqref>
        </x14:conditionalFormatting>
        <x14:conditionalFormatting xmlns:xm="http://schemas.microsoft.com/office/excel/2006/main">
          <x14:cfRule type="dataBar" id="{B04076E8-28F7-42BB-B286-02F807912A2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P11:T11</xm:sqref>
        </x14:conditionalFormatting>
        <x14:conditionalFormatting xmlns:xm="http://schemas.microsoft.com/office/excel/2006/main">
          <x14:cfRule type="dataBar" id="{2E5C8DF2-7403-49DD-8B5F-436AB298E4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U6:U11</xm:sqref>
        </x14:conditionalFormatting>
        <x14:conditionalFormatting xmlns:xm="http://schemas.microsoft.com/office/excel/2006/main">
          <x14:cfRule type="dataBar" id="{CB4C7264-A9CF-48F6-A661-D19B31ED3E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AK6:AK11</xm:sqref>
        </x14:conditionalFormatting>
        <x14:conditionalFormatting xmlns:xm="http://schemas.microsoft.com/office/excel/2006/main">
          <x14:cfRule type="dataBar" id="{05BF0F67-4E19-4DF9-BE8D-3C7F456D04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AF12:AJ12</xm:sqref>
        </x14:conditionalFormatting>
        <x14:conditionalFormatting xmlns:xm="http://schemas.microsoft.com/office/excel/2006/main">
          <x14:cfRule type="dataBar" id="{2E93E4BC-F32D-4E6D-8E0B-D7CAA665FE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AF6:AJ6</xm:sqref>
        </x14:conditionalFormatting>
        <x14:conditionalFormatting xmlns:xm="http://schemas.microsoft.com/office/excel/2006/main">
          <x14:cfRule type="dataBar" id="{B00D5D56-1530-4985-8F45-40063E7AE3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AF7:AJ7</xm:sqref>
        </x14:conditionalFormatting>
        <x14:conditionalFormatting xmlns:xm="http://schemas.microsoft.com/office/excel/2006/main">
          <x14:cfRule type="dataBar" id="{0E6ED313-A491-43F9-A809-946D279E2D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AF8:AJ8</xm:sqref>
        </x14:conditionalFormatting>
        <x14:conditionalFormatting xmlns:xm="http://schemas.microsoft.com/office/excel/2006/main">
          <x14:cfRule type="dataBar" id="{3C793018-35C5-4BD4-A138-1A0AFFEA2EB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AF9:AJ9</xm:sqref>
        </x14:conditionalFormatting>
        <x14:conditionalFormatting xmlns:xm="http://schemas.microsoft.com/office/excel/2006/main">
          <x14:cfRule type="dataBar" id="{1AF593E7-FBF2-4006-ABEA-9A52BA555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AF10:AJ10</xm:sqref>
        </x14:conditionalFormatting>
        <x14:conditionalFormatting xmlns:xm="http://schemas.microsoft.com/office/excel/2006/main">
          <x14:cfRule type="dataBar" id="{735C0119-1869-4183-BAF6-AF29D63F6D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AF11:AJ11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B06E-EBD7-443E-8849-E4CBC9E91197}">
  <sheetPr>
    <tabColor rgb="FFFFC000"/>
  </sheetPr>
  <dimension ref="B2:H307"/>
  <sheetViews>
    <sheetView showGridLines="0" workbookViewId="0">
      <selection activeCell="F54" sqref="F54"/>
    </sheetView>
  </sheetViews>
  <sheetFormatPr defaultRowHeight="16.5" x14ac:dyDescent="0.3"/>
  <cols>
    <col min="1" max="1" width="3.75" style="1" customWidth="1"/>
    <col min="2" max="2" width="24.875" style="1" bestFit="1" customWidth="1"/>
    <col min="3" max="3" width="10.875" style="1" customWidth="1"/>
    <col min="4" max="5" width="9" style="1"/>
    <col min="6" max="6" width="21.75" style="1" customWidth="1"/>
    <col min="7" max="7" width="25.875" style="1" customWidth="1"/>
    <col min="8" max="8" width="25.5" style="1" customWidth="1"/>
    <col min="9" max="16384" width="9" style="1"/>
  </cols>
  <sheetData>
    <row r="2" spans="2:8" x14ac:dyDescent="0.3">
      <c r="B2" s="1" t="s">
        <v>178</v>
      </c>
      <c r="C2" s="1" t="s">
        <v>213</v>
      </c>
      <c r="D2" s="1" t="s">
        <v>179</v>
      </c>
      <c r="E2" s="1" t="s">
        <v>180</v>
      </c>
      <c r="F2" s="1" t="s">
        <v>214</v>
      </c>
      <c r="G2" s="1" t="s">
        <v>215</v>
      </c>
      <c r="H2" s="1" t="s">
        <v>216</v>
      </c>
    </row>
    <row r="3" spans="2:8" hidden="1" x14ac:dyDescent="0.3">
      <c r="B3" s="61">
        <f>[2]OceanDoodad!Z8</f>
        <v>0</v>
      </c>
      <c r="C3" s="61" t="str">
        <f>IFERROR(VLOOKUP(표11[[#This Row],[해양 오브젝트]],[3]!표1[[이름]:[선단 LV]],6,FALSE),"-")</f>
        <v>-</v>
      </c>
      <c r="D3" s="61" t="str">
        <f>IFERROR(VLOOKUP(표11[[#This Row],[해양 오브젝트]],[3]!표1[[이름]:[위도]],3,FALSE),"-")</f>
        <v>-</v>
      </c>
      <c r="E3" s="61" t="str">
        <f>IFERROR(VLOOKUP(표11[[#This Row],[해양 오브젝트]],[3]!표1[[이름]:[위도]],2,FALSE),"-")</f>
        <v>-</v>
      </c>
      <c r="F3" s="61" t="str">
        <f>IFERROR(INDEX([1]Discovery!$AW:$AW,MATCH(표11[[#This Row],[해양 오브젝트]],[1]Discovery!$B:$B,0)),"-")</f>
        <v>-</v>
      </c>
      <c r="G3" s="61" t="str">
        <f>IFERROR(INDEX([1]Discovery!$AY:$AY,MATCH(표11[[#This Row],[해양 오브젝트]],[1]Discovery!$B:$B,0)),"-")</f>
        <v>-</v>
      </c>
      <c r="H3" s="61" t="str">
        <f>IFERROR(INDEX([1]Discovery!$BA:$BA,MATCH(표11[[#This Row],[해양 오브젝트]],[1]Discovery!$B:$B,0)),"-")</f>
        <v>-</v>
      </c>
    </row>
    <row r="4" spans="2:8" hidden="1" x14ac:dyDescent="0.3">
      <c r="B4" s="61">
        <f>[2]OceanDoodad!Z9</f>
        <v>0</v>
      </c>
      <c r="C4" s="61" t="str">
        <f>IFERROR(VLOOKUP(표11[[#This Row],[해양 오브젝트]],[3]!표1[[이름]:[선단 LV]],6,FALSE),"-")</f>
        <v>-</v>
      </c>
      <c r="D4" s="61" t="str">
        <f>IFERROR(VLOOKUP(표11[[#This Row],[해양 오브젝트]],[3]!표1[[이름]:[위도]],3,FALSE),"-")</f>
        <v>-</v>
      </c>
      <c r="E4" s="61" t="str">
        <f>IFERROR(VLOOKUP(표11[[#This Row],[해양 오브젝트]],[3]!표1[[이름]:[위도]],2,FALSE),"-")</f>
        <v>-</v>
      </c>
      <c r="F4" s="61" t="str">
        <f>IFERROR(INDEX([1]Discovery!$AW:$AW,MATCH(표11[[#This Row],[해양 오브젝트]],[1]Discovery!$B:$B,0)),"-")</f>
        <v>-</v>
      </c>
      <c r="G4" s="61" t="str">
        <f>IFERROR(INDEX([1]Discovery!$AY:$AY,MATCH(표11[[#This Row],[해양 오브젝트]],[1]Discovery!$B:$B,0)),"-")</f>
        <v>-</v>
      </c>
      <c r="H4" s="61" t="str">
        <f>IFERROR(INDEX([1]Discovery!$BA:$BA,MATCH(표11[[#This Row],[해양 오브젝트]],[1]Discovery!$B:$B,0)),"-")</f>
        <v>-</v>
      </c>
    </row>
    <row r="5" spans="2:8" hidden="1" x14ac:dyDescent="0.3">
      <c r="B5" s="61">
        <f>[2]OceanDoodad!Z10</f>
        <v>0</v>
      </c>
      <c r="C5" s="61" t="str">
        <f>IFERROR(VLOOKUP(표11[[#This Row],[해양 오브젝트]],[3]!표1[[이름]:[선단 LV]],6,FALSE),"-")</f>
        <v>-</v>
      </c>
      <c r="D5" s="61" t="str">
        <f>IFERROR(VLOOKUP(표11[[#This Row],[해양 오브젝트]],[3]!표1[[이름]:[위도]],3,FALSE),"-")</f>
        <v>-</v>
      </c>
      <c r="E5" s="61" t="str">
        <f>IFERROR(VLOOKUP(표11[[#This Row],[해양 오브젝트]],[3]!표1[[이름]:[위도]],2,FALSE),"-")</f>
        <v>-</v>
      </c>
      <c r="F5" s="61" t="str">
        <f>IFERROR(INDEX([1]Discovery!$AW:$AW,MATCH(표11[[#This Row],[해양 오브젝트]],[1]Discovery!$B:$B,0)),"-")</f>
        <v>-</v>
      </c>
      <c r="G5" s="61" t="str">
        <f>IFERROR(INDEX([1]Discovery!$AY:$AY,MATCH(표11[[#This Row],[해양 오브젝트]],[1]Discovery!$B:$B,0)),"-")</f>
        <v>-</v>
      </c>
      <c r="H5" s="61" t="str">
        <f>IFERROR(INDEX([1]Discovery!$BA:$BA,MATCH(표11[[#This Row],[해양 오브젝트]],[1]Discovery!$B:$B,0)),"-")</f>
        <v>-</v>
      </c>
    </row>
    <row r="6" spans="2:8" hidden="1" x14ac:dyDescent="0.3">
      <c r="B6" s="61">
        <f>[2]OceanDoodad!Z11</f>
        <v>0</v>
      </c>
      <c r="C6" s="61" t="str">
        <f>IFERROR(VLOOKUP(표11[[#This Row],[해양 오브젝트]],[3]!표1[[이름]:[선단 LV]],6,FALSE),"-")</f>
        <v>-</v>
      </c>
      <c r="D6" s="61" t="str">
        <f>IFERROR(VLOOKUP(표11[[#This Row],[해양 오브젝트]],[3]!표1[[이름]:[위도]],3,FALSE),"-")</f>
        <v>-</v>
      </c>
      <c r="E6" s="61" t="str">
        <f>IFERROR(VLOOKUP(표11[[#This Row],[해양 오브젝트]],[3]!표1[[이름]:[위도]],2,FALSE),"-")</f>
        <v>-</v>
      </c>
      <c r="F6" s="61" t="str">
        <f>IFERROR(INDEX([1]Discovery!$AW:$AW,MATCH(표11[[#This Row],[해양 오브젝트]],[1]Discovery!$B:$B,0)),"-")</f>
        <v>-</v>
      </c>
      <c r="G6" s="61" t="str">
        <f>IFERROR(INDEX([1]Discovery!$AY:$AY,MATCH(표11[[#This Row],[해양 오브젝트]],[1]Discovery!$B:$B,0)),"-")</f>
        <v>-</v>
      </c>
      <c r="H6" s="61" t="str">
        <f>IFERROR(INDEX([1]Discovery!$BA:$BA,MATCH(표11[[#This Row],[해양 오브젝트]],[1]Discovery!$B:$B,0)),"-")</f>
        <v>-</v>
      </c>
    </row>
    <row r="7" spans="2:8" hidden="1" x14ac:dyDescent="0.3">
      <c r="B7" s="61">
        <f>[2]OceanDoodad!Z12</f>
        <v>0</v>
      </c>
      <c r="C7" s="61" t="str">
        <f>IFERROR(VLOOKUP(표11[[#This Row],[해양 오브젝트]],[3]!표1[[이름]:[선단 LV]],6,FALSE),"-")</f>
        <v>-</v>
      </c>
      <c r="D7" s="61" t="str">
        <f>IFERROR(VLOOKUP(표11[[#This Row],[해양 오브젝트]],[3]!표1[[이름]:[위도]],3,FALSE),"-")</f>
        <v>-</v>
      </c>
      <c r="E7" s="61" t="str">
        <f>IFERROR(VLOOKUP(표11[[#This Row],[해양 오브젝트]],[3]!표1[[이름]:[위도]],2,FALSE),"-")</f>
        <v>-</v>
      </c>
      <c r="F7" s="61" t="str">
        <f>IFERROR(INDEX([1]Discovery!$AW:$AW,MATCH(표11[[#This Row],[해양 오브젝트]],[1]Discovery!$B:$B,0)),"-")</f>
        <v>-</v>
      </c>
      <c r="G7" s="61" t="str">
        <f>IFERROR(INDEX([1]Discovery!$AY:$AY,MATCH(표11[[#This Row],[해양 오브젝트]],[1]Discovery!$B:$B,0)),"-")</f>
        <v>-</v>
      </c>
      <c r="H7" s="61" t="str">
        <f>IFERROR(INDEX([1]Discovery!$BA:$BA,MATCH(표11[[#This Row],[해양 오브젝트]],[1]Discovery!$B:$B,0)),"-")</f>
        <v>-</v>
      </c>
    </row>
    <row r="8" spans="2:8" hidden="1" x14ac:dyDescent="0.3">
      <c r="B8" s="61">
        <f>[2]OceanDoodad!Z13</f>
        <v>0</v>
      </c>
      <c r="C8" s="61" t="str">
        <f>IFERROR(VLOOKUP(표11[[#This Row],[해양 오브젝트]],[3]!표1[[이름]:[선단 LV]],6,FALSE),"-")</f>
        <v>-</v>
      </c>
      <c r="D8" s="61" t="str">
        <f>IFERROR(VLOOKUP(표11[[#This Row],[해양 오브젝트]],[3]!표1[[이름]:[위도]],3,FALSE),"-")</f>
        <v>-</v>
      </c>
      <c r="E8" s="61" t="str">
        <f>IFERROR(VLOOKUP(표11[[#This Row],[해양 오브젝트]],[3]!표1[[이름]:[위도]],2,FALSE),"-")</f>
        <v>-</v>
      </c>
      <c r="F8" s="61" t="str">
        <f>IFERROR(INDEX([1]Discovery!$AW:$AW,MATCH(표11[[#This Row],[해양 오브젝트]],[1]Discovery!$B:$B,0)),"-")</f>
        <v>-</v>
      </c>
      <c r="G8" s="61" t="str">
        <f>IFERROR(INDEX([1]Discovery!$AY:$AY,MATCH(표11[[#This Row],[해양 오브젝트]],[1]Discovery!$B:$B,0)),"-")</f>
        <v>-</v>
      </c>
      <c r="H8" s="61" t="str">
        <f>IFERROR(INDEX([1]Discovery!$BA:$BA,MATCH(표11[[#This Row],[해양 오브젝트]],[1]Discovery!$B:$B,0)),"-")</f>
        <v>-</v>
      </c>
    </row>
    <row r="9" spans="2:8" hidden="1" x14ac:dyDescent="0.3">
      <c r="B9" s="61">
        <f>[2]OceanDoodad!Z14</f>
        <v>0</v>
      </c>
      <c r="C9" s="61" t="str">
        <f>IFERROR(VLOOKUP(표11[[#This Row],[해양 오브젝트]],[3]!표1[[이름]:[선단 LV]],6,FALSE),"-")</f>
        <v>-</v>
      </c>
      <c r="D9" s="61" t="str">
        <f>IFERROR(VLOOKUP(표11[[#This Row],[해양 오브젝트]],[3]!표1[[이름]:[위도]],3,FALSE),"-")</f>
        <v>-</v>
      </c>
      <c r="E9" s="61" t="str">
        <f>IFERROR(VLOOKUP(표11[[#This Row],[해양 오브젝트]],[3]!표1[[이름]:[위도]],2,FALSE),"-")</f>
        <v>-</v>
      </c>
      <c r="F9" s="61" t="str">
        <f>IFERROR(INDEX([1]Discovery!$AW:$AW,MATCH(표11[[#This Row],[해양 오브젝트]],[1]Discovery!$B:$B,0)),"-")</f>
        <v>-</v>
      </c>
      <c r="G9" s="61" t="str">
        <f>IFERROR(INDEX([1]Discovery!$AY:$AY,MATCH(표11[[#This Row],[해양 오브젝트]],[1]Discovery!$B:$B,0)),"-")</f>
        <v>-</v>
      </c>
      <c r="H9" s="61" t="str">
        <f>IFERROR(INDEX([1]Discovery!$BA:$BA,MATCH(표11[[#This Row],[해양 오브젝트]],[1]Discovery!$B:$B,0)),"-")</f>
        <v>-</v>
      </c>
    </row>
    <row r="10" spans="2:8" hidden="1" x14ac:dyDescent="0.3">
      <c r="B10" s="61">
        <f>[2]OceanDoodad!Z15</f>
        <v>0</v>
      </c>
      <c r="C10" s="61" t="str">
        <f>IFERROR(VLOOKUP(표11[[#This Row],[해양 오브젝트]],[3]!표1[[이름]:[선단 LV]],6,FALSE),"-")</f>
        <v>-</v>
      </c>
      <c r="D10" s="61" t="str">
        <f>IFERROR(VLOOKUP(표11[[#This Row],[해양 오브젝트]],[3]!표1[[이름]:[위도]],3,FALSE),"-")</f>
        <v>-</v>
      </c>
      <c r="E10" s="61" t="str">
        <f>IFERROR(VLOOKUP(표11[[#This Row],[해양 오브젝트]],[3]!표1[[이름]:[위도]],2,FALSE),"-")</f>
        <v>-</v>
      </c>
      <c r="F10" s="61" t="str">
        <f>IFERROR(INDEX([1]Discovery!$AW:$AW,MATCH(표11[[#This Row],[해양 오브젝트]],[1]Discovery!$B:$B,0)),"-")</f>
        <v>-</v>
      </c>
      <c r="G10" s="61" t="str">
        <f>IFERROR(INDEX([1]Discovery!$AY:$AY,MATCH(표11[[#This Row],[해양 오브젝트]],[1]Discovery!$B:$B,0)),"-")</f>
        <v>-</v>
      </c>
      <c r="H10" s="61" t="str">
        <f>IFERROR(INDEX([1]Discovery!$BA:$BA,MATCH(표11[[#This Row],[해양 오브젝트]],[1]Discovery!$B:$B,0)),"-")</f>
        <v>-</v>
      </c>
    </row>
    <row r="11" spans="2:8" hidden="1" x14ac:dyDescent="0.3">
      <c r="B11" s="61">
        <f>[2]OceanDoodad!Z16</f>
        <v>0</v>
      </c>
      <c r="C11" s="61" t="str">
        <f>IFERROR(VLOOKUP(표11[[#This Row],[해양 오브젝트]],[3]!표1[[이름]:[선단 LV]],6,FALSE),"-")</f>
        <v>-</v>
      </c>
      <c r="D11" s="61" t="str">
        <f>IFERROR(VLOOKUP(표11[[#This Row],[해양 오브젝트]],[3]!표1[[이름]:[위도]],3,FALSE),"-")</f>
        <v>-</v>
      </c>
      <c r="E11" s="61" t="str">
        <f>IFERROR(VLOOKUP(표11[[#This Row],[해양 오브젝트]],[3]!표1[[이름]:[위도]],2,FALSE),"-")</f>
        <v>-</v>
      </c>
      <c r="F11" s="61" t="str">
        <f>IFERROR(INDEX([1]Discovery!$AW:$AW,MATCH(표11[[#This Row],[해양 오브젝트]],[1]Discovery!$B:$B,0)),"-")</f>
        <v>-</v>
      </c>
      <c r="G11" s="61" t="str">
        <f>IFERROR(INDEX([1]Discovery!$AY:$AY,MATCH(표11[[#This Row],[해양 오브젝트]],[1]Discovery!$B:$B,0)),"-")</f>
        <v>-</v>
      </c>
      <c r="H11" s="61" t="str">
        <f>IFERROR(INDEX([1]Discovery!$BA:$BA,MATCH(표11[[#This Row],[해양 오브젝트]],[1]Discovery!$B:$B,0)),"-")</f>
        <v>-</v>
      </c>
    </row>
    <row r="12" spans="2:8" hidden="1" x14ac:dyDescent="0.3">
      <c r="B12" s="61">
        <f>[2]OceanDoodad!Z17</f>
        <v>0</v>
      </c>
      <c r="C12" s="61" t="str">
        <f>IFERROR(VLOOKUP(표11[[#This Row],[해양 오브젝트]],[3]!표1[[이름]:[선단 LV]],6,FALSE),"-")</f>
        <v>-</v>
      </c>
      <c r="D12" s="61" t="str">
        <f>IFERROR(VLOOKUP(표11[[#This Row],[해양 오브젝트]],[3]!표1[[이름]:[위도]],3,FALSE),"-")</f>
        <v>-</v>
      </c>
      <c r="E12" s="61" t="str">
        <f>IFERROR(VLOOKUP(표11[[#This Row],[해양 오브젝트]],[3]!표1[[이름]:[위도]],2,FALSE),"-")</f>
        <v>-</v>
      </c>
      <c r="F12" s="61" t="str">
        <f>IFERROR(INDEX([1]Discovery!$AW:$AW,MATCH(표11[[#This Row],[해양 오브젝트]],[1]Discovery!$B:$B,0)),"-")</f>
        <v>-</v>
      </c>
      <c r="G12" s="61" t="str">
        <f>IFERROR(INDEX([1]Discovery!$AY:$AY,MATCH(표11[[#This Row],[해양 오브젝트]],[1]Discovery!$B:$B,0)),"-")</f>
        <v>-</v>
      </c>
      <c r="H12" s="61" t="str">
        <f>IFERROR(INDEX([1]Discovery!$BA:$BA,MATCH(표11[[#This Row],[해양 오브젝트]],[1]Discovery!$B:$B,0)),"-")</f>
        <v>-</v>
      </c>
    </row>
    <row r="13" spans="2:8" hidden="1" x14ac:dyDescent="0.3">
      <c r="B13" s="61">
        <f>[2]OceanDoodad!Z18</f>
        <v>0</v>
      </c>
      <c r="C13" s="61" t="str">
        <f>IFERROR(VLOOKUP(표11[[#This Row],[해양 오브젝트]],[3]!표1[[이름]:[선단 LV]],6,FALSE),"-")</f>
        <v>-</v>
      </c>
      <c r="D13" s="61" t="str">
        <f>IFERROR(VLOOKUP(표11[[#This Row],[해양 오브젝트]],[3]!표1[[이름]:[위도]],3,FALSE),"-")</f>
        <v>-</v>
      </c>
      <c r="E13" s="61" t="str">
        <f>IFERROR(VLOOKUP(표11[[#This Row],[해양 오브젝트]],[3]!표1[[이름]:[위도]],2,FALSE),"-")</f>
        <v>-</v>
      </c>
      <c r="F13" s="61" t="str">
        <f>IFERROR(INDEX([1]Discovery!$AW:$AW,MATCH(표11[[#This Row],[해양 오브젝트]],[1]Discovery!$B:$B,0)),"-")</f>
        <v>-</v>
      </c>
      <c r="G13" s="61" t="str">
        <f>IFERROR(INDEX([1]Discovery!$AY:$AY,MATCH(표11[[#This Row],[해양 오브젝트]],[1]Discovery!$B:$B,0)),"-")</f>
        <v>-</v>
      </c>
      <c r="H13" s="61" t="str">
        <f>IFERROR(INDEX([1]Discovery!$BA:$BA,MATCH(표11[[#This Row],[해양 오브젝트]],[1]Discovery!$B:$B,0)),"-")</f>
        <v>-</v>
      </c>
    </row>
    <row r="14" spans="2:8" hidden="1" x14ac:dyDescent="0.3">
      <c r="B14" s="61">
        <f>[2]OceanDoodad!Z19</f>
        <v>0</v>
      </c>
      <c r="C14" s="61" t="str">
        <f>IFERROR(VLOOKUP(표11[[#This Row],[해양 오브젝트]],[3]!표1[[이름]:[선단 LV]],6,FALSE),"-")</f>
        <v>-</v>
      </c>
      <c r="D14" s="61" t="str">
        <f>IFERROR(VLOOKUP(표11[[#This Row],[해양 오브젝트]],[3]!표1[[이름]:[위도]],3,FALSE),"-")</f>
        <v>-</v>
      </c>
      <c r="E14" s="61" t="str">
        <f>IFERROR(VLOOKUP(표11[[#This Row],[해양 오브젝트]],[3]!표1[[이름]:[위도]],2,FALSE),"-")</f>
        <v>-</v>
      </c>
      <c r="F14" s="61" t="str">
        <f>IFERROR(INDEX([1]Discovery!$AW:$AW,MATCH(표11[[#This Row],[해양 오브젝트]],[1]Discovery!$B:$B,0)),"-")</f>
        <v>-</v>
      </c>
      <c r="G14" s="61" t="str">
        <f>IFERROR(INDEX([1]Discovery!$AY:$AY,MATCH(표11[[#This Row],[해양 오브젝트]],[1]Discovery!$B:$B,0)),"-")</f>
        <v>-</v>
      </c>
      <c r="H14" s="61" t="str">
        <f>IFERROR(INDEX([1]Discovery!$BA:$BA,MATCH(표11[[#This Row],[해양 오브젝트]],[1]Discovery!$B:$B,0)),"-")</f>
        <v>-</v>
      </c>
    </row>
    <row r="15" spans="2:8" hidden="1" x14ac:dyDescent="0.3">
      <c r="B15" s="61">
        <f>[2]OceanDoodad!Z20</f>
        <v>0</v>
      </c>
      <c r="C15" s="61" t="str">
        <f>IFERROR(VLOOKUP(표11[[#This Row],[해양 오브젝트]],[3]!표1[[이름]:[선단 LV]],6,FALSE),"-")</f>
        <v>-</v>
      </c>
      <c r="D15" s="61" t="str">
        <f>IFERROR(VLOOKUP(표11[[#This Row],[해양 오브젝트]],[3]!표1[[이름]:[위도]],3,FALSE),"-")</f>
        <v>-</v>
      </c>
      <c r="E15" s="61" t="str">
        <f>IFERROR(VLOOKUP(표11[[#This Row],[해양 오브젝트]],[3]!표1[[이름]:[위도]],2,FALSE),"-")</f>
        <v>-</v>
      </c>
      <c r="F15" s="61" t="str">
        <f>IFERROR(INDEX([1]Discovery!$AW:$AW,MATCH(표11[[#This Row],[해양 오브젝트]],[1]Discovery!$B:$B,0)),"-")</f>
        <v>-</v>
      </c>
      <c r="G15" s="61" t="str">
        <f>IFERROR(INDEX([1]Discovery!$AY:$AY,MATCH(표11[[#This Row],[해양 오브젝트]],[1]Discovery!$B:$B,0)),"-")</f>
        <v>-</v>
      </c>
      <c r="H15" s="61" t="str">
        <f>IFERROR(INDEX([1]Discovery!$BA:$BA,MATCH(표11[[#This Row],[해양 오브젝트]],[1]Discovery!$B:$B,0)),"-")</f>
        <v>-</v>
      </c>
    </row>
    <row r="16" spans="2:8" hidden="1" x14ac:dyDescent="0.3">
      <c r="B16" s="61">
        <f>[2]OceanDoodad!Z21</f>
        <v>0</v>
      </c>
      <c r="C16" s="61" t="str">
        <f>IFERROR(VLOOKUP(표11[[#This Row],[해양 오브젝트]],[3]!표1[[이름]:[선단 LV]],6,FALSE),"-")</f>
        <v>-</v>
      </c>
      <c r="D16" s="61" t="str">
        <f>IFERROR(VLOOKUP(표11[[#This Row],[해양 오브젝트]],[3]!표1[[이름]:[위도]],3,FALSE),"-")</f>
        <v>-</v>
      </c>
      <c r="E16" s="61" t="str">
        <f>IFERROR(VLOOKUP(표11[[#This Row],[해양 오브젝트]],[3]!표1[[이름]:[위도]],2,FALSE),"-")</f>
        <v>-</v>
      </c>
      <c r="F16" s="61" t="str">
        <f>IFERROR(INDEX([1]Discovery!$AW:$AW,MATCH(표11[[#This Row],[해양 오브젝트]],[1]Discovery!$B:$B,0)),"-")</f>
        <v>-</v>
      </c>
      <c r="G16" s="61" t="str">
        <f>IFERROR(INDEX([1]Discovery!$AY:$AY,MATCH(표11[[#This Row],[해양 오브젝트]],[1]Discovery!$B:$B,0)),"-")</f>
        <v>-</v>
      </c>
      <c r="H16" s="61" t="str">
        <f>IFERROR(INDEX([1]Discovery!$BA:$BA,MATCH(표11[[#This Row],[해양 오브젝트]],[1]Discovery!$B:$B,0)),"-")</f>
        <v>-</v>
      </c>
    </row>
    <row r="17" spans="2:8" hidden="1" x14ac:dyDescent="0.3">
      <c r="B17" s="61">
        <f>[2]OceanDoodad!Z22</f>
        <v>0</v>
      </c>
      <c r="C17" s="61" t="str">
        <f>IFERROR(VLOOKUP(표11[[#This Row],[해양 오브젝트]],[3]!표1[[이름]:[선단 LV]],6,FALSE),"-")</f>
        <v>-</v>
      </c>
      <c r="D17" s="61" t="str">
        <f>IFERROR(VLOOKUP(표11[[#This Row],[해양 오브젝트]],[3]!표1[[이름]:[위도]],3,FALSE),"-")</f>
        <v>-</v>
      </c>
      <c r="E17" s="61" t="str">
        <f>IFERROR(VLOOKUP(표11[[#This Row],[해양 오브젝트]],[3]!표1[[이름]:[위도]],2,FALSE),"-")</f>
        <v>-</v>
      </c>
      <c r="F17" s="61" t="str">
        <f>IFERROR(INDEX([1]Discovery!$AW:$AW,MATCH(표11[[#This Row],[해양 오브젝트]],[1]Discovery!$B:$B,0)),"-")</f>
        <v>-</v>
      </c>
      <c r="G17" s="61" t="str">
        <f>IFERROR(INDEX([1]Discovery!$AY:$AY,MATCH(표11[[#This Row],[해양 오브젝트]],[1]Discovery!$B:$B,0)),"-")</f>
        <v>-</v>
      </c>
      <c r="H17" s="61" t="str">
        <f>IFERROR(INDEX([1]Discovery!$BA:$BA,MATCH(표11[[#This Row],[해양 오브젝트]],[1]Discovery!$B:$B,0)),"-")</f>
        <v>-</v>
      </c>
    </row>
    <row r="18" spans="2:8" hidden="1" x14ac:dyDescent="0.3">
      <c r="B18" s="61">
        <f>[2]OceanDoodad!Z23</f>
        <v>0</v>
      </c>
      <c r="C18" s="61" t="str">
        <f>IFERROR(VLOOKUP(표11[[#This Row],[해양 오브젝트]],[3]!표1[[이름]:[선단 LV]],6,FALSE),"-")</f>
        <v>-</v>
      </c>
      <c r="D18" s="61" t="str">
        <f>IFERROR(VLOOKUP(표11[[#This Row],[해양 오브젝트]],[3]!표1[[이름]:[위도]],3,FALSE),"-")</f>
        <v>-</v>
      </c>
      <c r="E18" s="61" t="str">
        <f>IFERROR(VLOOKUP(표11[[#This Row],[해양 오브젝트]],[3]!표1[[이름]:[위도]],2,FALSE),"-")</f>
        <v>-</v>
      </c>
      <c r="F18" s="61" t="str">
        <f>IFERROR(INDEX([1]Discovery!$AW:$AW,MATCH(표11[[#This Row],[해양 오브젝트]],[1]Discovery!$B:$B,0)),"-")</f>
        <v>-</v>
      </c>
      <c r="G18" s="61" t="str">
        <f>IFERROR(INDEX([1]Discovery!$AY:$AY,MATCH(표11[[#This Row],[해양 오브젝트]],[1]Discovery!$B:$B,0)),"-")</f>
        <v>-</v>
      </c>
      <c r="H18" s="61" t="str">
        <f>IFERROR(INDEX([1]Discovery!$BA:$BA,MATCH(표11[[#This Row],[해양 오브젝트]],[1]Discovery!$B:$B,0)),"-")</f>
        <v>-</v>
      </c>
    </row>
    <row r="19" spans="2:8" hidden="1" x14ac:dyDescent="0.3">
      <c r="B19" s="61">
        <f>[2]OceanDoodad!Z24</f>
        <v>0</v>
      </c>
      <c r="C19" s="61" t="str">
        <f>IFERROR(VLOOKUP(표11[[#This Row],[해양 오브젝트]],[3]!표1[[이름]:[선단 LV]],6,FALSE),"-")</f>
        <v>-</v>
      </c>
      <c r="D19" s="61" t="str">
        <f>IFERROR(VLOOKUP(표11[[#This Row],[해양 오브젝트]],[3]!표1[[이름]:[위도]],3,FALSE),"-")</f>
        <v>-</v>
      </c>
      <c r="E19" s="61" t="str">
        <f>IFERROR(VLOOKUP(표11[[#This Row],[해양 오브젝트]],[3]!표1[[이름]:[위도]],2,FALSE),"-")</f>
        <v>-</v>
      </c>
      <c r="F19" s="61" t="str">
        <f>IFERROR(INDEX([1]Discovery!$AW:$AW,MATCH(표11[[#This Row],[해양 오브젝트]],[1]Discovery!$B:$B,0)),"-")</f>
        <v>-</v>
      </c>
      <c r="G19" s="61" t="str">
        <f>IFERROR(INDEX([1]Discovery!$AY:$AY,MATCH(표11[[#This Row],[해양 오브젝트]],[1]Discovery!$B:$B,0)),"-")</f>
        <v>-</v>
      </c>
      <c r="H19" s="61" t="str">
        <f>IFERROR(INDEX([1]Discovery!$BA:$BA,MATCH(표11[[#This Row],[해양 오브젝트]],[1]Discovery!$B:$B,0)),"-")</f>
        <v>-</v>
      </c>
    </row>
    <row r="20" spans="2:8" hidden="1" x14ac:dyDescent="0.3">
      <c r="B20" s="61">
        <f>[2]OceanDoodad!Z25</f>
        <v>0</v>
      </c>
      <c r="C20" s="61" t="str">
        <f>IFERROR(VLOOKUP(표11[[#This Row],[해양 오브젝트]],[3]!표1[[이름]:[선단 LV]],6,FALSE),"-")</f>
        <v>-</v>
      </c>
      <c r="D20" s="61" t="str">
        <f>IFERROR(VLOOKUP(표11[[#This Row],[해양 오브젝트]],[3]!표1[[이름]:[위도]],3,FALSE),"-")</f>
        <v>-</v>
      </c>
      <c r="E20" s="61" t="str">
        <f>IFERROR(VLOOKUP(표11[[#This Row],[해양 오브젝트]],[3]!표1[[이름]:[위도]],2,FALSE),"-")</f>
        <v>-</v>
      </c>
      <c r="F20" s="61" t="str">
        <f>IFERROR(INDEX([1]Discovery!$AW:$AW,MATCH(표11[[#This Row],[해양 오브젝트]],[1]Discovery!$B:$B,0)),"-")</f>
        <v>-</v>
      </c>
      <c r="G20" s="61" t="str">
        <f>IFERROR(INDEX([1]Discovery!$AY:$AY,MATCH(표11[[#This Row],[해양 오브젝트]],[1]Discovery!$B:$B,0)),"-")</f>
        <v>-</v>
      </c>
      <c r="H20" s="61" t="str">
        <f>IFERROR(INDEX([1]Discovery!$BA:$BA,MATCH(표11[[#This Row],[해양 오브젝트]],[1]Discovery!$B:$B,0)),"-")</f>
        <v>-</v>
      </c>
    </row>
    <row r="21" spans="2:8" hidden="1" x14ac:dyDescent="0.3">
      <c r="B21" s="61">
        <f>[2]OceanDoodad!Z26</f>
        <v>0</v>
      </c>
      <c r="C21" s="61" t="str">
        <f>IFERROR(VLOOKUP(표11[[#This Row],[해양 오브젝트]],[3]!표1[[이름]:[선단 LV]],6,FALSE),"-")</f>
        <v>-</v>
      </c>
      <c r="D21" s="61" t="str">
        <f>IFERROR(VLOOKUP(표11[[#This Row],[해양 오브젝트]],[3]!표1[[이름]:[위도]],3,FALSE),"-")</f>
        <v>-</v>
      </c>
      <c r="E21" s="61" t="str">
        <f>IFERROR(VLOOKUP(표11[[#This Row],[해양 오브젝트]],[3]!표1[[이름]:[위도]],2,FALSE),"-")</f>
        <v>-</v>
      </c>
      <c r="F21" s="61" t="str">
        <f>IFERROR(INDEX([1]Discovery!$AW:$AW,MATCH(표11[[#This Row],[해양 오브젝트]],[1]Discovery!$B:$B,0)),"-")</f>
        <v>-</v>
      </c>
      <c r="G21" s="61" t="str">
        <f>IFERROR(INDEX([1]Discovery!$AY:$AY,MATCH(표11[[#This Row],[해양 오브젝트]],[1]Discovery!$B:$B,0)),"-")</f>
        <v>-</v>
      </c>
      <c r="H21" s="61" t="str">
        <f>IFERROR(INDEX([1]Discovery!$BA:$BA,MATCH(표11[[#This Row],[해양 오브젝트]],[1]Discovery!$B:$B,0)),"-")</f>
        <v>-</v>
      </c>
    </row>
    <row r="22" spans="2:8" hidden="1" x14ac:dyDescent="0.3">
      <c r="B22" s="61">
        <f>[2]OceanDoodad!Z27</f>
        <v>0</v>
      </c>
      <c r="C22" s="61" t="str">
        <f>IFERROR(VLOOKUP(표11[[#This Row],[해양 오브젝트]],[3]!표1[[이름]:[선단 LV]],6,FALSE),"-")</f>
        <v>-</v>
      </c>
      <c r="D22" s="61" t="str">
        <f>IFERROR(VLOOKUP(표11[[#This Row],[해양 오브젝트]],[3]!표1[[이름]:[위도]],3,FALSE),"-")</f>
        <v>-</v>
      </c>
      <c r="E22" s="61" t="str">
        <f>IFERROR(VLOOKUP(표11[[#This Row],[해양 오브젝트]],[3]!표1[[이름]:[위도]],2,FALSE),"-")</f>
        <v>-</v>
      </c>
      <c r="F22" s="61" t="str">
        <f>IFERROR(INDEX([1]Discovery!$AW:$AW,MATCH(표11[[#This Row],[해양 오브젝트]],[1]Discovery!$B:$B,0)),"-")</f>
        <v>-</v>
      </c>
      <c r="G22" s="61" t="str">
        <f>IFERROR(INDEX([1]Discovery!$AY:$AY,MATCH(표11[[#This Row],[해양 오브젝트]],[1]Discovery!$B:$B,0)),"-")</f>
        <v>-</v>
      </c>
      <c r="H22" s="61" t="str">
        <f>IFERROR(INDEX([1]Discovery!$BA:$BA,MATCH(표11[[#This Row],[해양 오브젝트]],[1]Discovery!$B:$B,0)),"-")</f>
        <v>-</v>
      </c>
    </row>
    <row r="23" spans="2:8" hidden="1" x14ac:dyDescent="0.3">
      <c r="B23" s="61">
        <f>[2]OceanDoodad!Z28</f>
        <v>0</v>
      </c>
      <c r="C23" s="61" t="str">
        <f>IFERROR(VLOOKUP(표11[[#This Row],[해양 오브젝트]],[3]!표1[[이름]:[선단 LV]],6,FALSE),"-")</f>
        <v>-</v>
      </c>
      <c r="D23" s="61" t="str">
        <f>IFERROR(VLOOKUP(표11[[#This Row],[해양 오브젝트]],[3]!표1[[이름]:[위도]],3,FALSE),"-")</f>
        <v>-</v>
      </c>
      <c r="E23" s="61" t="str">
        <f>IFERROR(VLOOKUP(표11[[#This Row],[해양 오브젝트]],[3]!표1[[이름]:[위도]],2,FALSE),"-")</f>
        <v>-</v>
      </c>
      <c r="F23" s="61" t="str">
        <f>IFERROR(INDEX([1]Discovery!$AW:$AW,MATCH(표11[[#This Row],[해양 오브젝트]],[1]Discovery!$B:$B,0)),"-")</f>
        <v>-</v>
      </c>
      <c r="G23" s="61" t="str">
        <f>IFERROR(INDEX([1]Discovery!$AY:$AY,MATCH(표11[[#This Row],[해양 오브젝트]],[1]Discovery!$B:$B,0)),"-")</f>
        <v>-</v>
      </c>
      <c r="H23" s="61" t="str">
        <f>IFERROR(INDEX([1]Discovery!$BA:$BA,MATCH(표11[[#This Row],[해양 오브젝트]],[1]Discovery!$B:$B,0)),"-")</f>
        <v>-</v>
      </c>
    </row>
    <row r="24" spans="2:8" hidden="1" x14ac:dyDescent="0.3">
      <c r="B24" s="61">
        <f>[2]OceanDoodad!Z29</f>
        <v>0</v>
      </c>
      <c r="C24" s="61" t="str">
        <f>IFERROR(VLOOKUP(표11[[#This Row],[해양 오브젝트]],[3]!표1[[이름]:[선단 LV]],6,FALSE),"-")</f>
        <v>-</v>
      </c>
      <c r="D24" s="61" t="str">
        <f>IFERROR(VLOOKUP(표11[[#This Row],[해양 오브젝트]],[3]!표1[[이름]:[위도]],3,FALSE),"-")</f>
        <v>-</v>
      </c>
      <c r="E24" s="61" t="str">
        <f>IFERROR(VLOOKUP(표11[[#This Row],[해양 오브젝트]],[3]!표1[[이름]:[위도]],2,FALSE),"-")</f>
        <v>-</v>
      </c>
      <c r="F24" s="61" t="str">
        <f>IFERROR(INDEX([1]Discovery!$AW:$AW,MATCH(표11[[#This Row],[해양 오브젝트]],[1]Discovery!$B:$B,0)),"-")</f>
        <v>-</v>
      </c>
      <c r="G24" s="61" t="str">
        <f>IFERROR(INDEX([1]Discovery!$AY:$AY,MATCH(표11[[#This Row],[해양 오브젝트]],[1]Discovery!$B:$B,0)),"-")</f>
        <v>-</v>
      </c>
      <c r="H24" s="61" t="str">
        <f>IFERROR(INDEX([1]Discovery!$BA:$BA,MATCH(표11[[#This Row],[해양 오브젝트]],[1]Discovery!$B:$B,0)),"-")</f>
        <v>-</v>
      </c>
    </row>
    <row r="25" spans="2:8" hidden="1" x14ac:dyDescent="0.3">
      <c r="B25" s="61" t="str">
        <f>[2]OceanDoodad!Z30</f>
        <v>청새치</v>
      </c>
      <c r="C25" s="61" t="str">
        <f>IFERROR(VLOOKUP(표11[[#This Row],[해양 오브젝트]],[3]!표1[[이름]:[선단 LV]],6,FALSE),"-")</f>
        <v>-</v>
      </c>
      <c r="D25" s="61" t="str">
        <f>IFERROR(VLOOKUP(표11[[#This Row],[해양 오브젝트]],[3]!표1[[이름]:[위도]],3,FALSE),"-")</f>
        <v>-</v>
      </c>
      <c r="E25" s="61" t="str">
        <f>IFERROR(VLOOKUP(표11[[#This Row],[해양 오브젝트]],[3]!표1[[이름]:[위도]],2,FALSE),"-")</f>
        <v>-</v>
      </c>
      <c r="F25" s="61">
        <f>IFERROR(INDEX([1]Discovery!$AW:$AW,MATCH(표11[[#This Row],[해양 오브젝트]],[1]Discovery!$B:$B,0)),"-")</f>
        <v>0</v>
      </c>
      <c r="G25" s="61">
        <f>IFERROR(INDEX([1]Discovery!$AY:$AY,MATCH(표11[[#This Row],[해양 오브젝트]],[1]Discovery!$B:$B,0)),"-")</f>
        <v>0</v>
      </c>
      <c r="H25" s="61">
        <f>IFERROR(INDEX([1]Discovery!$BA:$BA,MATCH(표11[[#This Row],[해양 오브젝트]],[1]Discovery!$B:$B,0)),"-")</f>
        <v>0</v>
      </c>
    </row>
    <row r="26" spans="2:8" hidden="1" x14ac:dyDescent="0.3">
      <c r="B26" s="61">
        <f>[2]OceanDoodad!Z31</f>
        <v>0</v>
      </c>
      <c r="C26" s="61" t="str">
        <f>IFERROR(VLOOKUP(표11[[#This Row],[해양 오브젝트]],[3]!표1[[이름]:[선단 LV]],6,FALSE),"-")</f>
        <v>-</v>
      </c>
      <c r="D26" s="61" t="str">
        <f>IFERROR(VLOOKUP(표11[[#This Row],[해양 오브젝트]],[3]!표1[[이름]:[위도]],3,FALSE),"-")</f>
        <v>-</v>
      </c>
      <c r="E26" s="61" t="str">
        <f>IFERROR(VLOOKUP(표11[[#This Row],[해양 오브젝트]],[3]!표1[[이름]:[위도]],2,FALSE),"-")</f>
        <v>-</v>
      </c>
      <c r="F26" s="61" t="str">
        <f>IFERROR(INDEX([1]Discovery!$AW:$AW,MATCH(표11[[#This Row],[해양 오브젝트]],[1]Discovery!$B:$B,0)),"-")</f>
        <v>-</v>
      </c>
      <c r="G26" s="61" t="str">
        <f>IFERROR(INDEX([1]Discovery!$AY:$AY,MATCH(표11[[#This Row],[해양 오브젝트]],[1]Discovery!$B:$B,0)),"-")</f>
        <v>-</v>
      </c>
      <c r="H26" s="61" t="str">
        <f>IFERROR(INDEX([1]Discovery!$BA:$BA,MATCH(표11[[#This Row],[해양 오브젝트]],[1]Discovery!$B:$B,0)),"-")</f>
        <v>-</v>
      </c>
    </row>
    <row r="27" spans="2:8" hidden="1" x14ac:dyDescent="0.3">
      <c r="B27" s="61">
        <f>[2]OceanDoodad!Z32</f>
        <v>0</v>
      </c>
      <c r="C27" s="61" t="str">
        <f>IFERROR(VLOOKUP(표11[[#This Row],[해양 오브젝트]],[3]!표1[[이름]:[선단 LV]],6,FALSE),"-")</f>
        <v>-</v>
      </c>
      <c r="D27" s="61" t="str">
        <f>IFERROR(VLOOKUP(표11[[#This Row],[해양 오브젝트]],[3]!표1[[이름]:[위도]],3,FALSE),"-")</f>
        <v>-</v>
      </c>
      <c r="E27" s="61" t="str">
        <f>IFERROR(VLOOKUP(표11[[#This Row],[해양 오브젝트]],[3]!표1[[이름]:[위도]],2,FALSE),"-")</f>
        <v>-</v>
      </c>
      <c r="F27" s="61" t="str">
        <f>IFERROR(INDEX([1]Discovery!$AW:$AW,MATCH(표11[[#This Row],[해양 오브젝트]],[1]Discovery!$B:$B,0)),"-")</f>
        <v>-</v>
      </c>
      <c r="G27" s="61" t="str">
        <f>IFERROR(INDEX([1]Discovery!$AY:$AY,MATCH(표11[[#This Row],[해양 오브젝트]],[1]Discovery!$B:$B,0)),"-")</f>
        <v>-</v>
      </c>
      <c r="H27" s="61" t="str">
        <f>IFERROR(INDEX([1]Discovery!$BA:$BA,MATCH(표11[[#This Row],[해양 오브젝트]],[1]Discovery!$B:$B,0)),"-")</f>
        <v>-</v>
      </c>
    </row>
    <row r="28" spans="2:8" hidden="1" x14ac:dyDescent="0.3">
      <c r="B28" s="61">
        <f>[2]OceanDoodad!Z33</f>
        <v>0</v>
      </c>
      <c r="C28" s="61" t="str">
        <f>IFERROR(VLOOKUP(표11[[#This Row],[해양 오브젝트]],[3]!표1[[이름]:[선단 LV]],6,FALSE),"-")</f>
        <v>-</v>
      </c>
      <c r="D28" s="61" t="str">
        <f>IFERROR(VLOOKUP(표11[[#This Row],[해양 오브젝트]],[3]!표1[[이름]:[위도]],3,FALSE),"-")</f>
        <v>-</v>
      </c>
      <c r="E28" s="61" t="str">
        <f>IFERROR(VLOOKUP(표11[[#This Row],[해양 오브젝트]],[3]!표1[[이름]:[위도]],2,FALSE),"-")</f>
        <v>-</v>
      </c>
      <c r="F28" s="61" t="str">
        <f>IFERROR(INDEX([1]Discovery!$AW:$AW,MATCH(표11[[#This Row],[해양 오브젝트]],[1]Discovery!$B:$B,0)),"-")</f>
        <v>-</v>
      </c>
      <c r="G28" s="61" t="str">
        <f>IFERROR(INDEX([1]Discovery!$AY:$AY,MATCH(표11[[#This Row],[해양 오브젝트]],[1]Discovery!$B:$B,0)),"-")</f>
        <v>-</v>
      </c>
      <c r="H28" s="61" t="str">
        <f>IFERROR(INDEX([1]Discovery!$BA:$BA,MATCH(표11[[#This Row],[해양 오브젝트]],[1]Discovery!$B:$B,0)),"-")</f>
        <v>-</v>
      </c>
    </row>
    <row r="29" spans="2:8" hidden="1" x14ac:dyDescent="0.3">
      <c r="B29" s="61" t="str">
        <f>[2]OceanDoodad!Z34</f>
        <v>고깔해파리</v>
      </c>
      <c r="C29" s="61" t="str">
        <f>IFERROR(VLOOKUP(표11[[#This Row],[해양 오브젝트]],[3]!표1[[이름]:[선단 LV]],6,FALSE),"-")</f>
        <v>-</v>
      </c>
      <c r="D29" s="61" t="str">
        <f>IFERROR(VLOOKUP(표11[[#This Row],[해양 오브젝트]],[3]!표1[[이름]:[위도]],3,FALSE),"-")</f>
        <v>-</v>
      </c>
      <c r="E29" s="61" t="str">
        <f>IFERROR(VLOOKUP(표11[[#This Row],[해양 오브젝트]],[3]!표1[[이름]:[위도]],2,FALSE),"-")</f>
        <v>-</v>
      </c>
      <c r="F29" s="61">
        <f>IFERROR(INDEX([1]Discovery!$AW:$AW,MATCH(표11[[#This Row],[해양 오브젝트]],[1]Discovery!$B:$B,0)),"-")</f>
        <v>0</v>
      </c>
      <c r="G29" s="61">
        <f>IFERROR(INDEX([1]Discovery!$AY:$AY,MATCH(표11[[#This Row],[해양 오브젝트]],[1]Discovery!$B:$B,0)),"-")</f>
        <v>0</v>
      </c>
      <c r="H29" s="61">
        <f>IFERROR(INDEX([1]Discovery!$BA:$BA,MATCH(표11[[#This Row],[해양 오브젝트]],[1]Discovery!$B:$B,0)),"-")</f>
        <v>0</v>
      </c>
    </row>
    <row r="30" spans="2:8" hidden="1" x14ac:dyDescent="0.3">
      <c r="B30" s="61">
        <f>[2]OceanDoodad!Z35</f>
        <v>0</v>
      </c>
      <c r="C30" s="61" t="str">
        <f>IFERROR(VLOOKUP(표11[[#This Row],[해양 오브젝트]],[3]!표1[[이름]:[선단 LV]],6,FALSE),"-")</f>
        <v>-</v>
      </c>
      <c r="D30" s="61" t="str">
        <f>IFERROR(VLOOKUP(표11[[#This Row],[해양 오브젝트]],[3]!표1[[이름]:[위도]],3,FALSE),"-")</f>
        <v>-</v>
      </c>
      <c r="E30" s="61" t="str">
        <f>IFERROR(VLOOKUP(표11[[#This Row],[해양 오브젝트]],[3]!표1[[이름]:[위도]],2,FALSE),"-")</f>
        <v>-</v>
      </c>
      <c r="F30" s="61" t="str">
        <f>IFERROR(INDEX([1]Discovery!$AW:$AW,MATCH(표11[[#This Row],[해양 오브젝트]],[1]Discovery!$B:$B,0)),"-")</f>
        <v>-</v>
      </c>
      <c r="G30" s="61" t="str">
        <f>IFERROR(INDEX([1]Discovery!$AY:$AY,MATCH(표11[[#This Row],[해양 오브젝트]],[1]Discovery!$B:$B,0)),"-")</f>
        <v>-</v>
      </c>
      <c r="H30" s="61" t="str">
        <f>IFERROR(INDEX([1]Discovery!$BA:$BA,MATCH(표11[[#This Row],[해양 오브젝트]],[1]Discovery!$B:$B,0)),"-")</f>
        <v>-</v>
      </c>
    </row>
    <row r="31" spans="2:8" hidden="1" x14ac:dyDescent="0.3">
      <c r="B31" s="61">
        <f>[2]OceanDoodad!Z36</f>
        <v>0</v>
      </c>
      <c r="C31" s="61" t="str">
        <f>IFERROR(VLOOKUP(표11[[#This Row],[해양 오브젝트]],[3]!표1[[이름]:[선단 LV]],6,FALSE),"-")</f>
        <v>-</v>
      </c>
      <c r="D31" s="61" t="str">
        <f>IFERROR(VLOOKUP(표11[[#This Row],[해양 오브젝트]],[3]!표1[[이름]:[위도]],3,FALSE),"-")</f>
        <v>-</v>
      </c>
      <c r="E31" s="61" t="str">
        <f>IFERROR(VLOOKUP(표11[[#This Row],[해양 오브젝트]],[3]!표1[[이름]:[위도]],2,FALSE),"-")</f>
        <v>-</v>
      </c>
      <c r="F31" s="61" t="str">
        <f>IFERROR(INDEX([1]Discovery!$AW:$AW,MATCH(표11[[#This Row],[해양 오브젝트]],[1]Discovery!$B:$B,0)),"-")</f>
        <v>-</v>
      </c>
      <c r="G31" s="61" t="str">
        <f>IFERROR(INDEX([1]Discovery!$AY:$AY,MATCH(표11[[#This Row],[해양 오브젝트]],[1]Discovery!$B:$B,0)),"-")</f>
        <v>-</v>
      </c>
      <c r="H31" s="61" t="str">
        <f>IFERROR(INDEX([1]Discovery!$BA:$BA,MATCH(표11[[#This Row],[해양 오브젝트]],[1]Discovery!$B:$B,0)),"-")</f>
        <v>-</v>
      </c>
    </row>
    <row r="32" spans="2:8" hidden="1" x14ac:dyDescent="0.3">
      <c r="B32" s="61">
        <f>[2]OceanDoodad!Z37</f>
        <v>0</v>
      </c>
      <c r="C32" s="61" t="str">
        <f>IFERROR(VLOOKUP(표11[[#This Row],[해양 오브젝트]],[3]!표1[[이름]:[선단 LV]],6,FALSE),"-")</f>
        <v>-</v>
      </c>
      <c r="D32" s="61" t="str">
        <f>IFERROR(VLOOKUP(표11[[#This Row],[해양 오브젝트]],[3]!표1[[이름]:[위도]],3,FALSE),"-")</f>
        <v>-</v>
      </c>
      <c r="E32" s="61" t="str">
        <f>IFERROR(VLOOKUP(표11[[#This Row],[해양 오브젝트]],[3]!표1[[이름]:[위도]],2,FALSE),"-")</f>
        <v>-</v>
      </c>
      <c r="F32" s="61" t="str">
        <f>IFERROR(INDEX([1]Discovery!$AW:$AW,MATCH(표11[[#This Row],[해양 오브젝트]],[1]Discovery!$B:$B,0)),"-")</f>
        <v>-</v>
      </c>
      <c r="G32" s="61" t="str">
        <f>IFERROR(INDEX([1]Discovery!$AY:$AY,MATCH(표11[[#This Row],[해양 오브젝트]],[1]Discovery!$B:$B,0)),"-")</f>
        <v>-</v>
      </c>
      <c r="H32" s="61" t="str">
        <f>IFERROR(INDEX([1]Discovery!$BA:$BA,MATCH(표11[[#This Row],[해양 오브젝트]],[1]Discovery!$B:$B,0)),"-")</f>
        <v>-</v>
      </c>
    </row>
    <row r="33" spans="2:8" hidden="1" x14ac:dyDescent="0.3">
      <c r="B33" s="61">
        <f>[2]OceanDoodad!Z38</f>
        <v>0</v>
      </c>
      <c r="C33" s="61" t="str">
        <f>IFERROR(VLOOKUP(표11[[#This Row],[해양 오브젝트]],[3]!표1[[이름]:[선단 LV]],6,FALSE),"-")</f>
        <v>-</v>
      </c>
      <c r="D33" s="61" t="str">
        <f>IFERROR(VLOOKUP(표11[[#This Row],[해양 오브젝트]],[3]!표1[[이름]:[위도]],3,FALSE),"-")</f>
        <v>-</v>
      </c>
      <c r="E33" s="61" t="str">
        <f>IFERROR(VLOOKUP(표11[[#This Row],[해양 오브젝트]],[3]!표1[[이름]:[위도]],2,FALSE),"-")</f>
        <v>-</v>
      </c>
      <c r="F33" s="61" t="str">
        <f>IFERROR(INDEX([1]Discovery!$AW:$AW,MATCH(표11[[#This Row],[해양 오브젝트]],[1]Discovery!$B:$B,0)),"-")</f>
        <v>-</v>
      </c>
      <c r="G33" s="61" t="str">
        <f>IFERROR(INDEX([1]Discovery!$AY:$AY,MATCH(표11[[#This Row],[해양 오브젝트]],[1]Discovery!$B:$B,0)),"-")</f>
        <v>-</v>
      </c>
      <c r="H33" s="61" t="str">
        <f>IFERROR(INDEX([1]Discovery!$BA:$BA,MATCH(표11[[#This Row],[해양 오브젝트]],[1]Discovery!$B:$B,0)),"-")</f>
        <v>-</v>
      </c>
    </row>
    <row r="34" spans="2:8" hidden="1" x14ac:dyDescent="0.3">
      <c r="B34" s="61">
        <f>[2]OceanDoodad!Z39</f>
        <v>0</v>
      </c>
      <c r="C34" s="61" t="str">
        <f>IFERROR(VLOOKUP(표11[[#This Row],[해양 오브젝트]],[3]!표1[[이름]:[선단 LV]],6,FALSE),"-")</f>
        <v>-</v>
      </c>
      <c r="D34" s="61" t="str">
        <f>IFERROR(VLOOKUP(표11[[#This Row],[해양 오브젝트]],[3]!표1[[이름]:[위도]],3,FALSE),"-")</f>
        <v>-</v>
      </c>
      <c r="E34" s="61" t="str">
        <f>IFERROR(VLOOKUP(표11[[#This Row],[해양 오브젝트]],[3]!표1[[이름]:[위도]],2,FALSE),"-")</f>
        <v>-</v>
      </c>
      <c r="F34" s="61" t="str">
        <f>IFERROR(INDEX([1]Discovery!$AW:$AW,MATCH(표11[[#This Row],[해양 오브젝트]],[1]Discovery!$B:$B,0)),"-")</f>
        <v>-</v>
      </c>
      <c r="G34" s="61" t="str">
        <f>IFERROR(INDEX([1]Discovery!$AY:$AY,MATCH(표11[[#This Row],[해양 오브젝트]],[1]Discovery!$B:$B,0)),"-")</f>
        <v>-</v>
      </c>
      <c r="H34" s="61" t="str">
        <f>IFERROR(INDEX([1]Discovery!$BA:$BA,MATCH(표11[[#This Row],[해양 오브젝트]],[1]Discovery!$B:$B,0)),"-")</f>
        <v>-</v>
      </c>
    </row>
    <row r="35" spans="2:8" hidden="1" x14ac:dyDescent="0.3">
      <c r="B35" s="61">
        <f>[2]OceanDoodad!Z40</f>
        <v>0</v>
      </c>
      <c r="C35" s="61" t="str">
        <f>IFERROR(VLOOKUP(표11[[#This Row],[해양 오브젝트]],[3]!표1[[이름]:[선단 LV]],6,FALSE),"-")</f>
        <v>-</v>
      </c>
      <c r="D35" s="61" t="str">
        <f>IFERROR(VLOOKUP(표11[[#This Row],[해양 오브젝트]],[3]!표1[[이름]:[위도]],3,FALSE),"-")</f>
        <v>-</v>
      </c>
      <c r="E35" s="61" t="str">
        <f>IFERROR(VLOOKUP(표11[[#This Row],[해양 오브젝트]],[3]!표1[[이름]:[위도]],2,FALSE),"-")</f>
        <v>-</v>
      </c>
      <c r="F35" s="61" t="str">
        <f>IFERROR(INDEX([1]Discovery!$AW:$AW,MATCH(표11[[#This Row],[해양 오브젝트]],[1]Discovery!$B:$B,0)),"-")</f>
        <v>-</v>
      </c>
      <c r="G35" s="61" t="str">
        <f>IFERROR(INDEX([1]Discovery!$AY:$AY,MATCH(표11[[#This Row],[해양 오브젝트]],[1]Discovery!$B:$B,0)),"-")</f>
        <v>-</v>
      </c>
      <c r="H35" s="61" t="str">
        <f>IFERROR(INDEX([1]Discovery!$BA:$BA,MATCH(표11[[#This Row],[해양 오브젝트]],[1]Discovery!$B:$B,0)),"-")</f>
        <v>-</v>
      </c>
    </row>
    <row r="36" spans="2:8" hidden="1" x14ac:dyDescent="0.3">
      <c r="B36" s="61">
        <f>[2]OceanDoodad!Z41</f>
        <v>0</v>
      </c>
      <c r="C36" s="61" t="str">
        <f>IFERROR(VLOOKUP(표11[[#This Row],[해양 오브젝트]],[3]!표1[[이름]:[선단 LV]],6,FALSE),"-")</f>
        <v>-</v>
      </c>
      <c r="D36" s="61" t="str">
        <f>IFERROR(VLOOKUP(표11[[#This Row],[해양 오브젝트]],[3]!표1[[이름]:[위도]],3,FALSE),"-")</f>
        <v>-</v>
      </c>
      <c r="E36" s="61" t="str">
        <f>IFERROR(VLOOKUP(표11[[#This Row],[해양 오브젝트]],[3]!표1[[이름]:[위도]],2,FALSE),"-")</f>
        <v>-</v>
      </c>
      <c r="F36" s="61" t="str">
        <f>IFERROR(INDEX([1]Discovery!$AW:$AW,MATCH(표11[[#This Row],[해양 오브젝트]],[1]Discovery!$B:$B,0)),"-")</f>
        <v>-</v>
      </c>
      <c r="G36" s="61" t="str">
        <f>IFERROR(INDEX([1]Discovery!$AY:$AY,MATCH(표11[[#This Row],[해양 오브젝트]],[1]Discovery!$B:$B,0)),"-")</f>
        <v>-</v>
      </c>
      <c r="H36" s="61" t="str">
        <f>IFERROR(INDEX([1]Discovery!$BA:$BA,MATCH(표11[[#This Row],[해양 오브젝트]],[1]Discovery!$B:$B,0)),"-")</f>
        <v>-</v>
      </c>
    </row>
    <row r="37" spans="2:8" hidden="1" x14ac:dyDescent="0.3">
      <c r="B37" s="61">
        <f>[2]OceanDoodad!Z42</f>
        <v>0</v>
      </c>
      <c r="C37" s="61" t="str">
        <f>IFERROR(VLOOKUP(표11[[#This Row],[해양 오브젝트]],[3]!표1[[이름]:[선단 LV]],6,FALSE),"-")</f>
        <v>-</v>
      </c>
      <c r="D37" s="61" t="str">
        <f>IFERROR(VLOOKUP(표11[[#This Row],[해양 오브젝트]],[3]!표1[[이름]:[위도]],3,FALSE),"-")</f>
        <v>-</v>
      </c>
      <c r="E37" s="61" t="str">
        <f>IFERROR(VLOOKUP(표11[[#This Row],[해양 오브젝트]],[3]!표1[[이름]:[위도]],2,FALSE),"-")</f>
        <v>-</v>
      </c>
      <c r="F37" s="61" t="str">
        <f>IFERROR(INDEX([1]Discovery!$AW:$AW,MATCH(표11[[#This Row],[해양 오브젝트]],[1]Discovery!$B:$B,0)),"-")</f>
        <v>-</v>
      </c>
      <c r="G37" s="61" t="str">
        <f>IFERROR(INDEX([1]Discovery!$AY:$AY,MATCH(표11[[#This Row],[해양 오브젝트]],[1]Discovery!$B:$B,0)),"-")</f>
        <v>-</v>
      </c>
      <c r="H37" s="61" t="str">
        <f>IFERROR(INDEX([1]Discovery!$BA:$BA,MATCH(표11[[#This Row],[해양 오브젝트]],[1]Discovery!$B:$B,0)),"-")</f>
        <v>-</v>
      </c>
    </row>
    <row r="38" spans="2:8" hidden="1" x14ac:dyDescent="0.3">
      <c r="B38" s="61">
        <f>[2]OceanDoodad!Z43</f>
        <v>0</v>
      </c>
      <c r="C38" s="61" t="str">
        <f>IFERROR(VLOOKUP(표11[[#This Row],[해양 오브젝트]],[3]!표1[[이름]:[선단 LV]],6,FALSE),"-")</f>
        <v>-</v>
      </c>
      <c r="D38" s="61" t="str">
        <f>IFERROR(VLOOKUP(표11[[#This Row],[해양 오브젝트]],[3]!표1[[이름]:[위도]],3,FALSE),"-")</f>
        <v>-</v>
      </c>
      <c r="E38" s="61" t="str">
        <f>IFERROR(VLOOKUP(표11[[#This Row],[해양 오브젝트]],[3]!표1[[이름]:[위도]],2,FALSE),"-")</f>
        <v>-</v>
      </c>
      <c r="F38" s="61" t="str">
        <f>IFERROR(INDEX([1]Discovery!$AW:$AW,MATCH(표11[[#This Row],[해양 오브젝트]],[1]Discovery!$B:$B,0)),"-")</f>
        <v>-</v>
      </c>
      <c r="G38" s="61" t="str">
        <f>IFERROR(INDEX([1]Discovery!$AY:$AY,MATCH(표11[[#This Row],[해양 오브젝트]],[1]Discovery!$B:$B,0)),"-")</f>
        <v>-</v>
      </c>
      <c r="H38" s="61" t="str">
        <f>IFERROR(INDEX([1]Discovery!$BA:$BA,MATCH(표11[[#This Row],[해양 오브젝트]],[1]Discovery!$B:$B,0)),"-")</f>
        <v>-</v>
      </c>
    </row>
    <row r="39" spans="2:8" hidden="1" x14ac:dyDescent="0.3">
      <c r="B39" s="61">
        <f>[2]OceanDoodad!Z44</f>
        <v>0</v>
      </c>
      <c r="C39" s="61" t="str">
        <f>IFERROR(VLOOKUP(표11[[#This Row],[해양 오브젝트]],[3]!표1[[이름]:[선단 LV]],6,FALSE),"-")</f>
        <v>-</v>
      </c>
      <c r="D39" s="61" t="str">
        <f>IFERROR(VLOOKUP(표11[[#This Row],[해양 오브젝트]],[3]!표1[[이름]:[위도]],3,FALSE),"-")</f>
        <v>-</v>
      </c>
      <c r="E39" s="61" t="str">
        <f>IFERROR(VLOOKUP(표11[[#This Row],[해양 오브젝트]],[3]!표1[[이름]:[위도]],2,FALSE),"-")</f>
        <v>-</v>
      </c>
      <c r="F39" s="61" t="str">
        <f>IFERROR(INDEX([1]Discovery!$AW:$AW,MATCH(표11[[#This Row],[해양 오브젝트]],[1]Discovery!$B:$B,0)),"-")</f>
        <v>-</v>
      </c>
      <c r="G39" s="61" t="str">
        <f>IFERROR(INDEX([1]Discovery!$AY:$AY,MATCH(표11[[#This Row],[해양 오브젝트]],[1]Discovery!$B:$B,0)),"-")</f>
        <v>-</v>
      </c>
      <c r="H39" s="61" t="str">
        <f>IFERROR(INDEX([1]Discovery!$BA:$BA,MATCH(표11[[#This Row],[해양 오브젝트]],[1]Discovery!$B:$B,0)),"-")</f>
        <v>-</v>
      </c>
    </row>
    <row r="40" spans="2:8" hidden="1" x14ac:dyDescent="0.3">
      <c r="B40" s="61">
        <f>[2]OceanDoodad!Z45</f>
        <v>0</v>
      </c>
      <c r="C40" s="61" t="str">
        <f>IFERROR(VLOOKUP(표11[[#This Row],[해양 오브젝트]],[3]!표1[[이름]:[선단 LV]],6,FALSE),"-")</f>
        <v>-</v>
      </c>
      <c r="D40" s="61" t="str">
        <f>IFERROR(VLOOKUP(표11[[#This Row],[해양 오브젝트]],[3]!표1[[이름]:[위도]],3,FALSE),"-")</f>
        <v>-</v>
      </c>
      <c r="E40" s="61" t="str">
        <f>IFERROR(VLOOKUP(표11[[#This Row],[해양 오브젝트]],[3]!표1[[이름]:[위도]],2,FALSE),"-")</f>
        <v>-</v>
      </c>
      <c r="F40" s="61" t="str">
        <f>IFERROR(INDEX([1]Discovery!$AW:$AW,MATCH(표11[[#This Row],[해양 오브젝트]],[1]Discovery!$B:$B,0)),"-")</f>
        <v>-</v>
      </c>
      <c r="G40" s="61" t="str">
        <f>IFERROR(INDEX([1]Discovery!$AY:$AY,MATCH(표11[[#This Row],[해양 오브젝트]],[1]Discovery!$B:$B,0)),"-")</f>
        <v>-</v>
      </c>
      <c r="H40" s="61" t="str">
        <f>IFERROR(INDEX([1]Discovery!$BA:$BA,MATCH(표11[[#This Row],[해양 오브젝트]],[1]Discovery!$B:$B,0)),"-")</f>
        <v>-</v>
      </c>
    </row>
    <row r="41" spans="2:8" x14ac:dyDescent="0.3">
      <c r="B41" s="61">
        <f>[2]OceanDoodad!Z46</f>
        <v>0</v>
      </c>
      <c r="C41" s="61" t="str">
        <f>IFERROR(VLOOKUP(표11[[#This Row],[해양 오브젝트]],[3]!표1[[이름]:[선단 LV]],6,FALSE),"-")</f>
        <v>-</v>
      </c>
      <c r="D41" s="61" t="str">
        <f>IFERROR(VLOOKUP(표11[[#This Row],[해양 오브젝트]],[3]!표1[[이름]:[위도]],3,FALSE),"-")</f>
        <v>-</v>
      </c>
      <c r="E41" s="61" t="str">
        <f>IFERROR(VLOOKUP(표11[[#This Row],[해양 오브젝트]],[3]!표1[[이름]:[위도]],2,FALSE),"-")</f>
        <v>-</v>
      </c>
      <c r="F41" s="61" t="str">
        <f>IFERROR(INDEX([1]Discovery!$AW:$AW,MATCH(표11[[#This Row],[해양 오브젝트]],[1]Discovery!$B:$B,0)),"-")</f>
        <v>-</v>
      </c>
      <c r="G41" s="61" t="str">
        <f>IFERROR(INDEX([1]Discovery!$AY:$AY,MATCH(표11[[#This Row],[해양 오브젝트]],[1]Discovery!$B:$B,0)),"-")</f>
        <v>-</v>
      </c>
      <c r="H41" s="61" t="str">
        <f>IFERROR(INDEX([1]Discovery!$BA:$BA,MATCH(표11[[#This Row],[해양 오브젝트]],[1]Discovery!$B:$B,0)),"-")</f>
        <v>-</v>
      </c>
    </row>
    <row r="42" spans="2:8" x14ac:dyDescent="0.3">
      <c r="B42" s="61">
        <f>[2]OceanDoodad!Z47</f>
        <v>0</v>
      </c>
      <c r="C42" s="61" t="str">
        <f>IFERROR(VLOOKUP(표11[[#This Row],[해양 오브젝트]],[3]!표1[[이름]:[선단 LV]],6,FALSE),"-")</f>
        <v>-</v>
      </c>
      <c r="D42" s="61" t="str">
        <f>IFERROR(VLOOKUP(표11[[#This Row],[해양 오브젝트]],[3]!표1[[이름]:[위도]],3,FALSE),"-")</f>
        <v>-</v>
      </c>
      <c r="E42" s="61" t="str">
        <f>IFERROR(VLOOKUP(표11[[#This Row],[해양 오브젝트]],[3]!표1[[이름]:[위도]],2,FALSE),"-")</f>
        <v>-</v>
      </c>
      <c r="F42" s="61" t="str">
        <f>IFERROR(INDEX([1]Discovery!$AW:$AW,MATCH(표11[[#This Row],[해양 오브젝트]],[1]Discovery!$B:$B,0)),"-")</f>
        <v>-</v>
      </c>
      <c r="G42" s="61" t="str">
        <f>IFERROR(INDEX([1]Discovery!$AY:$AY,MATCH(표11[[#This Row],[해양 오브젝트]],[1]Discovery!$B:$B,0)),"-")</f>
        <v>-</v>
      </c>
      <c r="H42" s="61" t="str">
        <f>IFERROR(INDEX([1]Discovery!$BA:$BA,MATCH(표11[[#This Row],[해양 오브젝트]],[1]Discovery!$B:$B,0)),"-")</f>
        <v>-</v>
      </c>
    </row>
    <row r="43" spans="2:8" x14ac:dyDescent="0.3">
      <c r="B43" s="61">
        <f>[2]OceanDoodad!Z48</f>
        <v>0</v>
      </c>
      <c r="C43" s="61" t="str">
        <f>IFERROR(VLOOKUP(표11[[#This Row],[해양 오브젝트]],[3]!표1[[이름]:[선단 LV]],6,FALSE),"-")</f>
        <v>-</v>
      </c>
      <c r="D43" s="61" t="str">
        <f>IFERROR(VLOOKUP(표11[[#This Row],[해양 오브젝트]],[3]!표1[[이름]:[위도]],3,FALSE),"-")</f>
        <v>-</v>
      </c>
      <c r="E43" s="61" t="str">
        <f>IFERROR(VLOOKUP(표11[[#This Row],[해양 오브젝트]],[3]!표1[[이름]:[위도]],2,FALSE),"-")</f>
        <v>-</v>
      </c>
      <c r="F43" s="61" t="str">
        <f>IFERROR(INDEX([1]Discovery!$AW:$AW,MATCH(표11[[#This Row],[해양 오브젝트]],[1]Discovery!$B:$B,0)),"-")</f>
        <v>-</v>
      </c>
      <c r="G43" s="61" t="str">
        <f>IFERROR(INDEX([1]Discovery!$AY:$AY,MATCH(표11[[#This Row],[해양 오브젝트]],[1]Discovery!$B:$B,0)),"-")</f>
        <v>-</v>
      </c>
      <c r="H43" s="61" t="str">
        <f>IFERROR(INDEX([1]Discovery!$BA:$BA,MATCH(표11[[#This Row],[해양 오브젝트]],[1]Discovery!$B:$B,0)),"-")</f>
        <v>-</v>
      </c>
    </row>
    <row r="44" spans="2:8" x14ac:dyDescent="0.3">
      <c r="B44" s="61">
        <f>[2]OceanDoodad!Z49</f>
        <v>0</v>
      </c>
      <c r="C44" s="61" t="str">
        <f>IFERROR(VLOOKUP(표11[[#This Row],[해양 오브젝트]],[3]!표1[[이름]:[선단 LV]],6,FALSE),"-")</f>
        <v>-</v>
      </c>
      <c r="D44" s="61" t="str">
        <f>IFERROR(VLOOKUP(표11[[#This Row],[해양 오브젝트]],[3]!표1[[이름]:[위도]],3,FALSE),"-")</f>
        <v>-</v>
      </c>
      <c r="E44" s="61" t="str">
        <f>IFERROR(VLOOKUP(표11[[#This Row],[해양 오브젝트]],[3]!표1[[이름]:[위도]],2,FALSE),"-")</f>
        <v>-</v>
      </c>
      <c r="F44" s="61" t="str">
        <f>IFERROR(INDEX([1]Discovery!$AW:$AW,MATCH(표11[[#This Row],[해양 오브젝트]],[1]Discovery!$B:$B,0)),"-")</f>
        <v>-</v>
      </c>
      <c r="G44" s="61" t="str">
        <f>IFERROR(INDEX([1]Discovery!$AY:$AY,MATCH(표11[[#This Row],[해양 오브젝트]],[1]Discovery!$B:$B,0)),"-")</f>
        <v>-</v>
      </c>
      <c r="H44" s="61" t="str">
        <f>IFERROR(INDEX([1]Discovery!$BA:$BA,MATCH(표11[[#This Row],[해양 오브젝트]],[1]Discovery!$B:$B,0)),"-")</f>
        <v>-</v>
      </c>
    </row>
    <row r="45" spans="2:8" x14ac:dyDescent="0.3">
      <c r="B45" s="61" t="str">
        <f>[2]OceanDoodad!Z50</f>
        <v>구룡폭포</v>
      </c>
      <c r="C45" s="61" t="str">
        <f>IFERROR(VLOOKUP(표11[[#This Row],[해양 오브젝트]],[3]!표1[[이름]:[선단 LV]],6,FALSE),"-")</f>
        <v>-</v>
      </c>
      <c r="D45" s="61" t="str">
        <f>IFERROR(VLOOKUP(표11[[#This Row],[해양 오브젝트]],[3]!표1[[이름]:[위도]],3,FALSE),"-")</f>
        <v>-</v>
      </c>
      <c r="E45" s="61" t="str">
        <f>IFERROR(VLOOKUP(표11[[#This Row],[해양 오브젝트]],[3]!표1[[이름]:[위도]],2,FALSE),"-")</f>
        <v>-</v>
      </c>
      <c r="F45" s="61" t="str">
        <f>IFERROR(INDEX([1]Discovery!$AW:$AW,MATCH(표11[[#This Row],[해양 오브젝트]],[1]Discovery!$B:$B,0)),"-")</f>
        <v>특정 계절</v>
      </c>
      <c r="G45" s="61" t="str">
        <f>IFERROR(INDEX([1]Discovery!$AY:$AY,MATCH(표11[[#This Row],[해양 오브젝트]],[1]Discovery!$B:$B,0)),"-")</f>
        <v>여름</v>
      </c>
      <c r="H45" s="61">
        <f>IFERROR(INDEX([1]Discovery!$BA:$BA,MATCH(표11[[#This Row],[해양 오브젝트]],[1]Discovery!$B:$B,0)),"-")</f>
        <v>1</v>
      </c>
    </row>
    <row r="46" spans="2:8" x14ac:dyDescent="0.3">
      <c r="B46" s="61" t="str">
        <f>[2]OceanDoodad!Z51</f>
        <v>나이아가라폭포</v>
      </c>
      <c r="C46" s="61" t="str">
        <f>IFERROR(VLOOKUP(표11[[#This Row],[해양 오브젝트]],[3]!표1[[이름]:[선단 LV]],6,FALSE),"-")</f>
        <v>-</v>
      </c>
      <c r="D46" s="61" t="str">
        <f>IFERROR(VLOOKUP(표11[[#This Row],[해양 오브젝트]],[3]!표1[[이름]:[위도]],3,FALSE),"-")</f>
        <v>-</v>
      </c>
      <c r="E46" s="61" t="str">
        <f>IFERROR(VLOOKUP(표11[[#This Row],[해양 오브젝트]],[3]!표1[[이름]:[위도]],2,FALSE),"-")</f>
        <v>-</v>
      </c>
      <c r="F46" s="61" t="str">
        <f>IFERROR(INDEX([1]Discovery!$AW:$AW,MATCH(표11[[#This Row],[해양 오브젝트]],[1]Discovery!$B:$B,0)),"-")</f>
        <v>무조건 실패</v>
      </c>
      <c r="G46" s="61">
        <f>IFERROR(INDEX([1]Discovery!$AY:$AY,MATCH(표11[[#This Row],[해양 오브젝트]],[1]Discovery!$B:$B,0)),"-")</f>
        <v>0</v>
      </c>
      <c r="H46" s="61">
        <f>IFERROR(INDEX([1]Discovery!$BA:$BA,MATCH(표11[[#This Row],[해양 오브젝트]],[1]Discovery!$B:$B,0)),"-")</f>
        <v>1</v>
      </c>
    </row>
    <row r="47" spans="2:8" x14ac:dyDescent="0.3">
      <c r="B47" s="61" t="str">
        <f>[2]OceanDoodad!Z52</f>
        <v>빅토리아폭포</v>
      </c>
      <c r="C47" s="61" t="str">
        <f>IFERROR(VLOOKUP(표11[[#This Row],[해양 오브젝트]],[3]!표1[[이름]:[선단 LV]],6,FALSE),"-")</f>
        <v>-</v>
      </c>
      <c r="D47" s="61" t="str">
        <f>IFERROR(VLOOKUP(표11[[#This Row],[해양 오브젝트]],[3]!표1[[이름]:[위도]],3,FALSE),"-")</f>
        <v>-</v>
      </c>
      <c r="E47" s="61" t="str">
        <f>IFERROR(VLOOKUP(표11[[#This Row],[해양 오브젝트]],[3]!표1[[이름]:[위도]],2,FALSE),"-")</f>
        <v>-</v>
      </c>
      <c r="F47" s="61" t="str">
        <f>IFERROR(INDEX([1]Discovery!$AW:$AW,MATCH(표11[[#This Row],[해양 오브젝트]],[1]Discovery!$B:$B,0)),"-")</f>
        <v>무조건 실패</v>
      </c>
      <c r="G47" s="61">
        <f>IFERROR(INDEX([1]Discovery!$AY:$AY,MATCH(표11[[#This Row],[해양 오브젝트]],[1]Discovery!$B:$B,0)),"-")</f>
        <v>0</v>
      </c>
      <c r="H47" s="61">
        <f>IFERROR(INDEX([1]Discovery!$BA:$BA,MATCH(표11[[#This Row],[해양 오브젝트]],[1]Discovery!$B:$B,0)),"-")</f>
        <v>1</v>
      </c>
    </row>
    <row r="48" spans="2:8" x14ac:dyDescent="0.3">
      <c r="B48" s="61" t="str">
        <f>[2]OceanDoodad!Z53</f>
        <v>앙헬폭포</v>
      </c>
      <c r="C48" s="61" t="str">
        <f>IFERROR(VLOOKUP(표11[[#This Row],[해양 오브젝트]],[3]!표1[[이름]:[선단 LV]],6,FALSE),"-")</f>
        <v>-</v>
      </c>
      <c r="D48" s="61" t="str">
        <f>IFERROR(VLOOKUP(표11[[#This Row],[해양 오브젝트]],[3]!표1[[이름]:[위도]],3,FALSE),"-")</f>
        <v>-</v>
      </c>
      <c r="E48" s="61" t="str">
        <f>IFERROR(VLOOKUP(표11[[#This Row],[해양 오브젝트]],[3]!표1[[이름]:[위도]],2,FALSE),"-")</f>
        <v>-</v>
      </c>
      <c r="F48" s="61" t="str">
        <f>IFERROR(INDEX([1]Discovery!$AW:$AW,MATCH(표11[[#This Row],[해양 오브젝트]],[1]Discovery!$B:$B,0)),"-")</f>
        <v>특정 국가 항해사 보유</v>
      </c>
      <c r="G48" s="61" t="str">
        <f>IFERROR(INDEX([1]Discovery!$AY:$AY,MATCH(표11[[#This Row],[해양 오브젝트]],[1]Discovery!$B:$B,0)),"-")</f>
        <v>에스파냐</v>
      </c>
      <c r="H48" s="61">
        <f>IFERROR(INDEX([1]Discovery!$BA:$BA,MATCH(표11[[#This Row],[해양 오브젝트]],[1]Discovery!$B:$B,0)),"-")</f>
        <v>8</v>
      </c>
    </row>
    <row r="49" spans="2:8" x14ac:dyDescent="0.3">
      <c r="B49" s="61" t="str">
        <f>[2]OceanDoodad!Z54</f>
        <v>엘 리몬의 폭포</v>
      </c>
      <c r="C49" s="61" t="str">
        <f>IFERROR(VLOOKUP(표11[[#This Row],[해양 오브젝트]],[3]!표1[[이름]:[선단 LV]],6,FALSE),"-")</f>
        <v>-</v>
      </c>
      <c r="D49" s="61" t="str">
        <f>IFERROR(VLOOKUP(표11[[#This Row],[해양 오브젝트]],[3]!표1[[이름]:[위도]],3,FALSE),"-")</f>
        <v>-</v>
      </c>
      <c r="E49" s="61" t="str">
        <f>IFERROR(VLOOKUP(표11[[#This Row],[해양 오브젝트]],[3]!표1[[이름]:[위도]],2,FALSE),"-")</f>
        <v>-</v>
      </c>
      <c r="F49" s="61">
        <f>IFERROR(INDEX([1]Discovery!$AW:$AW,MATCH(표11[[#This Row],[해양 오브젝트]],[1]Discovery!$B:$B,0)),"-")</f>
        <v>0</v>
      </c>
      <c r="G49" s="61">
        <f>IFERROR(INDEX([1]Discovery!$AY:$AY,MATCH(표11[[#This Row],[해양 오브젝트]],[1]Discovery!$B:$B,0)),"-")</f>
        <v>0</v>
      </c>
      <c r="H49" s="61">
        <f>IFERROR(INDEX([1]Discovery!$BA:$BA,MATCH(표11[[#This Row],[해양 오브젝트]],[1]Discovery!$B:$B,0)),"-")</f>
        <v>0</v>
      </c>
    </row>
    <row r="50" spans="2:8" x14ac:dyDescent="0.3">
      <c r="B50" s="61" t="str">
        <f>[2]OceanDoodad!Z55</f>
        <v>이구아수폭포</v>
      </c>
      <c r="C50" s="61" t="str">
        <f>IFERROR(VLOOKUP(표11[[#This Row],[해양 오브젝트]],[3]!표1[[이름]:[선단 LV]],6,FALSE),"-")</f>
        <v>-</v>
      </c>
      <c r="D50" s="61" t="str">
        <f>IFERROR(VLOOKUP(표11[[#This Row],[해양 오브젝트]],[3]!표1[[이름]:[위도]],3,FALSE),"-")</f>
        <v>-</v>
      </c>
      <c r="E50" s="61" t="str">
        <f>IFERROR(VLOOKUP(표11[[#This Row],[해양 오브젝트]],[3]!표1[[이름]:[위도]],2,FALSE),"-")</f>
        <v>-</v>
      </c>
      <c r="F50" s="61" t="str">
        <f>IFERROR(INDEX([1]Discovery!$AW:$AW,MATCH(표11[[#This Row],[해양 오브젝트]],[1]Discovery!$B:$B,0)),"-")</f>
        <v>특정 직업 항해사 보유</v>
      </c>
      <c r="G50" s="61" t="str">
        <f>IFERROR(INDEX([1]Discovery!$AY:$AY,MATCH(표11[[#This Row],[해양 오브젝트]],[1]Discovery!$B:$B,0)),"-")</f>
        <v>지리학자</v>
      </c>
      <c r="H50" s="61">
        <f>IFERROR(INDEX([1]Discovery!$BA:$BA,MATCH(표11[[#This Row],[해양 오브젝트]],[1]Discovery!$B:$B,0)),"-")</f>
        <v>6</v>
      </c>
    </row>
    <row r="51" spans="2:8" x14ac:dyDescent="0.3">
      <c r="B51" s="61" t="str">
        <f>[2]OceanDoodad!Z56</f>
        <v>청나일폭포</v>
      </c>
      <c r="C51" s="61" t="str">
        <f>IFERROR(VLOOKUP(표11[[#This Row],[해양 오브젝트]],[3]!표1[[이름]:[선단 LV]],6,FALSE),"-")</f>
        <v>-</v>
      </c>
      <c r="D51" s="61" t="str">
        <f>IFERROR(VLOOKUP(표11[[#This Row],[해양 오브젝트]],[3]!표1[[이름]:[위도]],3,FALSE),"-")</f>
        <v>-</v>
      </c>
      <c r="E51" s="61" t="str">
        <f>IFERROR(VLOOKUP(표11[[#This Row],[해양 오브젝트]],[3]!표1[[이름]:[위도]],2,FALSE),"-")</f>
        <v>-</v>
      </c>
      <c r="F51" s="61">
        <f>IFERROR(INDEX([1]Discovery!$AW:$AW,MATCH(표11[[#This Row],[해양 오브젝트]],[1]Discovery!$B:$B,0)),"-")</f>
        <v>0</v>
      </c>
      <c r="G51" s="61">
        <f>IFERROR(INDEX([1]Discovery!$AY:$AY,MATCH(표11[[#This Row],[해양 오브젝트]],[1]Discovery!$B:$B,0)),"-")</f>
        <v>0</v>
      </c>
      <c r="H51" s="61">
        <f>IFERROR(INDEX([1]Discovery!$BA:$BA,MATCH(표11[[#This Row],[해양 오브젝트]],[1]Discovery!$B:$B,0)),"-")</f>
        <v>0</v>
      </c>
    </row>
    <row r="52" spans="2:8" x14ac:dyDescent="0.3">
      <c r="B52" s="61" t="str">
        <f>[2]OceanDoodad!Z57</f>
        <v>카이에테우르폭포</v>
      </c>
      <c r="C52" s="61" t="str">
        <f>IFERROR(VLOOKUP(표11[[#This Row],[해양 오브젝트]],[3]!표1[[이름]:[선단 LV]],6,FALSE),"-")</f>
        <v>-</v>
      </c>
      <c r="D52" s="61" t="str">
        <f>IFERROR(VLOOKUP(표11[[#This Row],[해양 오브젝트]],[3]!표1[[이름]:[위도]],3,FALSE),"-")</f>
        <v>-</v>
      </c>
      <c r="E52" s="61" t="str">
        <f>IFERROR(VLOOKUP(표11[[#This Row],[해양 오브젝트]],[3]!표1[[이름]:[위도]],2,FALSE),"-")</f>
        <v>-</v>
      </c>
      <c r="F52" s="61" t="str">
        <f>IFERROR(INDEX([1]Discovery!$AW:$AW,MATCH(표11[[#This Row],[해양 오브젝트]],[1]Discovery!$B:$B,0)),"-")</f>
        <v>특정 직업 항해사 보유</v>
      </c>
      <c r="G52" s="61" t="str">
        <f>IFERROR(INDEX([1]Discovery!$AY:$AY,MATCH(표11[[#This Row],[해양 오브젝트]],[1]Discovery!$B:$B,0)),"-")</f>
        <v>지리학자</v>
      </c>
      <c r="H52" s="61">
        <f>IFERROR(INDEX([1]Discovery!$BA:$BA,MATCH(표11[[#This Row],[해양 오브젝트]],[1]Discovery!$B:$B,0)),"-")</f>
        <v>7</v>
      </c>
    </row>
    <row r="53" spans="2:8" x14ac:dyDescent="0.3">
      <c r="B53" s="61" t="str">
        <f>[2]OceanDoodad!Z58</f>
        <v>호스테일폭포</v>
      </c>
      <c r="C53" s="61" t="str">
        <f>IFERROR(VLOOKUP(표11[[#This Row],[해양 오브젝트]],[3]!표1[[이름]:[선단 LV]],6,FALSE),"-")</f>
        <v>-</v>
      </c>
      <c r="D53" s="61" t="str">
        <f>IFERROR(VLOOKUP(표11[[#This Row],[해양 오브젝트]],[3]!표1[[이름]:[위도]],3,FALSE),"-")</f>
        <v>-</v>
      </c>
      <c r="E53" s="61" t="str">
        <f>IFERROR(VLOOKUP(표11[[#This Row],[해양 오브젝트]],[3]!표1[[이름]:[위도]],2,FALSE),"-")</f>
        <v>-</v>
      </c>
      <c r="F53" s="61" t="str">
        <f>IFERROR(INDEX([1]Discovery!$AW:$AW,MATCH(표11[[#This Row],[해양 오브젝트]],[1]Discovery!$B:$B,0)),"-")</f>
        <v>특정 직업 항해사 보유</v>
      </c>
      <c r="G53" s="61" t="str">
        <f>IFERROR(INDEX([1]Discovery!$AY:$AY,MATCH(표11[[#This Row],[해양 오브젝트]],[1]Discovery!$B:$B,0)),"-")</f>
        <v>지리학자</v>
      </c>
      <c r="H53" s="61">
        <f>IFERROR(INDEX([1]Discovery!$BA:$BA,MATCH(표11[[#This Row],[해양 오브젝트]],[1]Discovery!$B:$B,0)),"-")</f>
        <v>7</v>
      </c>
    </row>
    <row r="54" spans="2:8" x14ac:dyDescent="0.3">
      <c r="B54" s="61" t="str">
        <f>[2]OceanDoodad!Z59</f>
        <v>플리트비체 폭포</v>
      </c>
      <c r="C54" s="61" t="str">
        <f>IFERROR(VLOOKUP(표11[[#This Row],[해양 오브젝트]],[3]!표1[[이름]:[선단 LV]],6,FALSE),"-")</f>
        <v>-</v>
      </c>
      <c r="D54" s="61" t="str">
        <f>IFERROR(VLOOKUP(표11[[#This Row],[해양 오브젝트]],[3]!표1[[이름]:[위도]],3,FALSE),"-")</f>
        <v>-</v>
      </c>
      <c r="E54" s="61" t="str">
        <f>IFERROR(VLOOKUP(표11[[#This Row],[해양 오브젝트]],[3]!표1[[이름]:[위도]],2,FALSE),"-")</f>
        <v>-</v>
      </c>
      <c r="F54" s="61" t="str">
        <f>IFERROR(INDEX([1]Discovery!$AW:$AW,MATCH(표11[[#This Row],[해양 오브젝트]],[1]Discovery!$B:$B,0)),"-")</f>
        <v>특정 계절</v>
      </c>
      <c r="G54" s="61" t="str">
        <f>IFERROR(INDEX([1]Discovery!$AY:$AY,MATCH(표11[[#This Row],[해양 오브젝트]],[1]Discovery!$B:$B,0)),"-")</f>
        <v>여름</v>
      </c>
      <c r="H54" s="61">
        <f>IFERROR(INDEX([1]Discovery!$BA:$BA,MATCH(표11[[#This Row],[해양 오브젝트]],[1]Discovery!$B:$B,0)),"-")</f>
        <v>1</v>
      </c>
    </row>
    <row r="55" spans="2:8" x14ac:dyDescent="0.3">
      <c r="B55" s="61" t="str">
        <f>[2]OceanDoodad!Z60</f>
        <v>요세미티폭포</v>
      </c>
      <c r="C55" s="61" t="str">
        <f>IFERROR(VLOOKUP(표11[[#This Row],[해양 오브젝트]],[3]!표1[[이름]:[선단 LV]],6,FALSE),"-")</f>
        <v>-</v>
      </c>
      <c r="D55" s="61" t="str">
        <f>IFERROR(VLOOKUP(표11[[#This Row],[해양 오브젝트]],[3]!표1[[이름]:[위도]],3,FALSE),"-")</f>
        <v>-</v>
      </c>
      <c r="E55" s="61" t="str">
        <f>IFERROR(VLOOKUP(표11[[#This Row],[해양 오브젝트]],[3]!표1[[이름]:[위도]],2,FALSE),"-")</f>
        <v>-</v>
      </c>
      <c r="F55" s="61" t="str">
        <f>IFERROR(INDEX([1]Discovery!$AW:$AW,MATCH(표11[[#This Row],[해양 오브젝트]],[1]Discovery!$B:$B,0)),"-")</f>
        <v>-</v>
      </c>
      <c r="G55" s="61" t="str">
        <f>IFERROR(INDEX([1]Discovery!$AY:$AY,MATCH(표11[[#This Row],[해양 오브젝트]],[1]Discovery!$B:$B,0)),"-")</f>
        <v>-</v>
      </c>
      <c r="H55" s="61" t="str">
        <f>IFERROR(INDEX([1]Discovery!$BA:$BA,MATCH(표11[[#This Row],[해양 오브젝트]],[1]Discovery!$B:$B,0)),"-")</f>
        <v>-</v>
      </c>
    </row>
    <row r="56" spans="2:8" x14ac:dyDescent="0.3">
      <c r="B56" s="61" t="str">
        <f>[2]OceanDoodad!Z61</f>
        <v>굴포스 폭포</v>
      </c>
      <c r="C56" s="61" t="str">
        <f>IFERROR(VLOOKUP(표11[[#This Row],[해양 오브젝트]],[3]!표1[[이름]:[선단 LV]],6,FALSE),"-")</f>
        <v>-</v>
      </c>
      <c r="D56" s="61" t="str">
        <f>IFERROR(VLOOKUP(표11[[#This Row],[해양 오브젝트]],[3]!표1[[이름]:[위도]],3,FALSE),"-")</f>
        <v>-</v>
      </c>
      <c r="E56" s="61" t="str">
        <f>IFERROR(VLOOKUP(표11[[#This Row],[해양 오브젝트]],[3]!표1[[이름]:[위도]],2,FALSE),"-")</f>
        <v>-</v>
      </c>
      <c r="F56" s="61">
        <f>IFERROR(INDEX([1]Discovery!$AW:$AW,MATCH(표11[[#This Row],[해양 오브젝트]],[1]Discovery!$B:$B,0)),"-")</f>
        <v>0</v>
      </c>
      <c r="G56" s="61">
        <f>IFERROR(INDEX([1]Discovery!$AY:$AY,MATCH(표11[[#This Row],[해양 오브젝트]],[1]Discovery!$B:$B,0)),"-")</f>
        <v>0</v>
      </c>
      <c r="H56" s="61">
        <f>IFERROR(INDEX([1]Discovery!$BA:$BA,MATCH(표11[[#This Row],[해양 오브젝트]],[1]Discovery!$B:$B,0)),"-")</f>
        <v>0</v>
      </c>
    </row>
    <row r="57" spans="2:8" x14ac:dyDescent="0.3">
      <c r="B57" s="61" t="str">
        <f>[2]OceanDoodad!Z62</f>
        <v>데티포스 폭포</v>
      </c>
      <c r="C57" s="61" t="str">
        <f>IFERROR(VLOOKUP(표11[[#This Row],[해양 오브젝트]],[3]!표1[[이름]:[선단 LV]],6,FALSE),"-")</f>
        <v>-</v>
      </c>
      <c r="D57" s="61" t="str">
        <f>IFERROR(VLOOKUP(표11[[#This Row],[해양 오브젝트]],[3]!표1[[이름]:[위도]],3,FALSE),"-")</f>
        <v>-</v>
      </c>
      <c r="E57" s="61" t="str">
        <f>IFERROR(VLOOKUP(표11[[#This Row],[해양 오브젝트]],[3]!표1[[이름]:[위도]],2,FALSE),"-")</f>
        <v>-</v>
      </c>
      <c r="F57" s="61">
        <f>IFERROR(INDEX([1]Discovery!$AW:$AW,MATCH(표11[[#This Row],[해양 오브젝트]],[1]Discovery!$B:$B,0)),"-")</f>
        <v>0</v>
      </c>
      <c r="G57" s="61">
        <f>IFERROR(INDEX([1]Discovery!$AY:$AY,MATCH(표11[[#This Row],[해양 오브젝트]],[1]Discovery!$B:$B,0)),"-")</f>
        <v>0</v>
      </c>
      <c r="H57" s="61">
        <f>IFERROR(INDEX([1]Discovery!$BA:$BA,MATCH(표11[[#This Row],[해양 오브젝트]],[1]Discovery!$B:$B,0)),"-")</f>
        <v>0</v>
      </c>
    </row>
    <row r="58" spans="2:8" x14ac:dyDescent="0.3">
      <c r="B58" s="61" t="str">
        <f>[2]OceanDoodad!Z63</f>
        <v>서덜랜드폭포</v>
      </c>
      <c r="C58" s="61" t="str">
        <f>IFERROR(VLOOKUP(표11[[#This Row],[해양 오브젝트]],[3]!표1[[이름]:[선단 LV]],6,FALSE),"-")</f>
        <v>-</v>
      </c>
      <c r="D58" s="61" t="str">
        <f>IFERROR(VLOOKUP(표11[[#This Row],[해양 오브젝트]],[3]!표1[[이름]:[위도]],3,FALSE),"-")</f>
        <v>-</v>
      </c>
      <c r="E58" s="61" t="str">
        <f>IFERROR(VLOOKUP(표11[[#This Row],[해양 오브젝트]],[3]!표1[[이름]:[위도]],2,FALSE),"-")</f>
        <v>-</v>
      </c>
      <c r="F58" s="61">
        <f>IFERROR(INDEX([1]Discovery!$AW:$AW,MATCH(표11[[#This Row],[해양 오브젝트]],[1]Discovery!$B:$B,0)),"-")</f>
        <v>0</v>
      </c>
      <c r="G58" s="61">
        <f>IFERROR(INDEX([1]Discovery!$AY:$AY,MATCH(표11[[#This Row],[해양 오브젝트]],[1]Discovery!$B:$B,0)),"-")</f>
        <v>0</v>
      </c>
      <c r="H58" s="61">
        <f>IFERROR(INDEX([1]Discovery!$BA:$BA,MATCH(표11[[#This Row],[해양 오브젝트]],[1]Discovery!$B:$B,0)),"-")</f>
        <v>0</v>
      </c>
    </row>
    <row r="59" spans="2:8" x14ac:dyDescent="0.3">
      <c r="B59" s="61" t="str">
        <f>[2]OceanDoodad!Z64</f>
        <v>딘얀디 폭포</v>
      </c>
      <c r="C59" s="61" t="str">
        <f>IFERROR(VLOOKUP(표11[[#This Row],[해양 오브젝트]],[3]!표1[[이름]:[선단 LV]],6,FALSE),"-")</f>
        <v>-</v>
      </c>
      <c r="D59" s="61" t="str">
        <f>IFERROR(VLOOKUP(표11[[#This Row],[해양 오브젝트]],[3]!표1[[이름]:[위도]],3,FALSE),"-")</f>
        <v>-</v>
      </c>
      <c r="E59" s="61" t="str">
        <f>IFERROR(VLOOKUP(표11[[#This Row],[해양 오브젝트]],[3]!표1[[이름]:[위도]],2,FALSE),"-")</f>
        <v>-</v>
      </c>
      <c r="F59" s="61">
        <f>IFERROR(INDEX([1]Discovery!$AW:$AW,MATCH(표11[[#This Row],[해양 오브젝트]],[1]Discovery!$B:$B,0)),"-")</f>
        <v>0</v>
      </c>
      <c r="G59" s="61">
        <f>IFERROR(INDEX([1]Discovery!$AY:$AY,MATCH(표11[[#This Row],[해양 오브젝트]],[1]Discovery!$B:$B,0)),"-")</f>
        <v>0</v>
      </c>
      <c r="H59" s="61">
        <f>IFERROR(INDEX([1]Discovery!$BA:$BA,MATCH(표11[[#This Row],[해양 오브젝트]],[1]Discovery!$B:$B,0)),"-")</f>
        <v>0</v>
      </c>
    </row>
    <row r="60" spans="2:8" x14ac:dyDescent="0.3">
      <c r="B60" s="61" t="str">
        <f>[2]OceanDoodad!Z65</f>
        <v>고다포스 폭포</v>
      </c>
      <c r="C60" s="61" t="str">
        <f>IFERROR(VLOOKUP(표11[[#This Row],[해양 오브젝트]],[3]!표1[[이름]:[선단 LV]],6,FALSE),"-")</f>
        <v>-</v>
      </c>
      <c r="D60" s="61" t="str">
        <f>IFERROR(VLOOKUP(표11[[#This Row],[해양 오브젝트]],[3]!표1[[이름]:[위도]],3,FALSE),"-")</f>
        <v>-</v>
      </c>
      <c r="E60" s="61" t="str">
        <f>IFERROR(VLOOKUP(표11[[#This Row],[해양 오브젝트]],[3]!표1[[이름]:[위도]],2,FALSE),"-")</f>
        <v>-</v>
      </c>
      <c r="F60" s="61">
        <f>IFERROR(INDEX([1]Discovery!$AW:$AW,MATCH(표11[[#This Row],[해양 오브젝트]],[1]Discovery!$B:$B,0)),"-")</f>
        <v>0</v>
      </c>
      <c r="G60" s="61">
        <f>IFERROR(INDEX([1]Discovery!$AY:$AY,MATCH(표11[[#This Row],[해양 오브젝트]],[1]Discovery!$B:$B,0)),"-")</f>
        <v>0</v>
      </c>
      <c r="H60" s="61">
        <f>IFERROR(INDEX([1]Discovery!$BA:$BA,MATCH(표11[[#This Row],[해양 오브젝트]],[1]Discovery!$B:$B,0)),"-")</f>
        <v>0</v>
      </c>
    </row>
    <row r="61" spans="2:8" x14ac:dyDescent="0.3">
      <c r="B61" s="61" t="str">
        <f>[2]OceanDoodad!Z66</f>
        <v>크레비아 폭포</v>
      </c>
      <c r="C61" s="61" t="str">
        <f>IFERROR(VLOOKUP(표11[[#This Row],[해양 오브젝트]],[3]!표1[[이름]:[선단 LV]],6,FALSE),"-")</f>
        <v>-</v>
      </c>
      <c r="D61" s="61" t="str">
        <f>IFERROR(VLOOKUP(표11[[#This Row],[해양 오브젝트]],[3]!표1[[이름]:[위도]],3,FALSE),"-")</f>
        <v>-</v>
      </c>
      <c r="E61" s="61" t="str">
        <f>IFERROR(VLOOKUP(표11[[#This Row],[해양 오브젝트]],[3]!표1[[이름]:[위도]],2,FALSE),"-")</f>
        <v>-</v>
      </c>
      <c r="F61" s="61">
        <f>IFERROR(INDEX([1]Discovery!$AW:$AW,MATCH(표11[[#This Row],[해양 오브젝트]],[1]Discovery!$B:$B,0)),"-")</f>
        <v>0</v>
      </c>
      <c r="G61" s="61">
        <f>IFERROR(INDEX([1]Discovery!$AY:$AY,MATCH(표11[[#This Row],[해양 오브젝트]],[1]Discovery!$B:$B,0)),"-")</f>
        <v>0</v>
      </c>
      <c r="H61" s="61">
        <f>IFERROR(INDEX([1]Discovery!$BA:$BA,MATCH(표11[[#This Row],[해양 오브젝트]],[1]Discovery!$B:$B,0)),"-")</f>
        <v>0</v>
      </c>
    </row>
    <row r="62" spans="2:8" x14ac:dyDescent="0.3">
      <c r="B62" s="61" t="str">
        <f>[2]OceanDoodad!Z67</f>
        <v>하이포스 폭포</v>
      </c>
      <c r="C62" s="61" t="str">
        <f>IFERROR(VLOOKUP(표11[[#This Row],[해양 오브젝트]],[3]!표1[[이름]:[선단 LV]],6,FALSE),"-")</f>
        <v>-</v>
      </c>
      <c r="D62" s="61" t="str">
        <f>IFERROR(VLOOKUP(표11[[#This Row],[해양 오브젝트]],[3]!표1[[이름]:[위도]],3,FALSE),"-")</f>
        <v>-</v>
      </c>
      <c r="E62" s="61" t="str">
        <f>IFERROR(VLOOKUP(표11[[#This Row],[해양 오브젝트]],[3]!표1[[이름]:[위도]],2,FALSE),"-")</f>
        <v>-</v>
      </c>
      <c r="F62" s="61">
        <f>IFERROR(INDEX([1]Discovery!$AW:$AW,MATCH(표11[[#This Row],[해양 오브젝트]],[1]Discovery!$B:$B,0)),"-")</f>
        <v>0</v>
      </c>
      <c r="G62" s="61">
        <f>IFERROR(INDEX([1]Discovery!$AY:$AY,MATCH(표11[[#This Row],[해양 오브젝트]],[1]Discovery!$B:$B,0)),"-")</f>
        <v>0</v>
      </c>
      <c r="H62" s="61">
        <f>IFERROR(INDEX([1]Discovery!$BA:$BA,MATCH(표11[[#This Row],[해양 오브젝트]],[1]Discovery!$B:$B,0)),"-")</f>
        <v>0</v>
      </c>
    </row>
    <row r="63" spans="2:8" x14ac:dyDescent="0.3">
      <c r="B63" s="61" t="str">
        <f>[2]OceanDoodad!Z68</f>
        <v>벤티스쿠에로 콜간테 폭포</v>
      </c>
      <c r="C63" s="61" t="str">
        <f>IFERROR(VLOOKUP(표11[[#This Row],[해양 오브젝트]],[3]!표1[[이름]:[선단 LV]],6,FALSE),"-")</f>
        <v>-</v>
      </c>
      <c r="D63" s="61" t="str">
        <f>IFERROR(VLOOKUP(표11[[#This Row],[해양 오브젝트]],[3]!표1[[이름]:[위도]],3,FALSE),"-")</f>
        <v>-</v>
      </c>
      <c r="E63" s="61" t="str">
        <f>IFERROR(VLOOKUP(표11[[#This Row],[해양 오브젝트]],[3]!표1[[이름]:[위도]],2,FALSE),"-")</f>
        <v>-</v>
      </c>
      <c r="F63" s="61">
        <f>IFERROR(INDEX([1]Discovery!$AW:$AW,MATCH(표11[[#This Row],[해양 오브젝트]],[1]Discovery!$B:$B,0)),"-")</f>
        <v>0</v>
      </c>
      <c r="G63" s="61">
        <f>IFERROR(INDEX([1]Discovery!$AY:$AY,MATCH(표11[[#This Row],[해양 오브젝트]],[1]Discovery!$B:$B,0)),"-")</f>
        <v>0</v>
      </c>
      <c r="H63" s="61">
        <f>IFERROR(INDEX([1]Discovery!$BA:$BA,MATCH(표11[[#This Row],[해양 오브젝트]],[1]Discovery!$B:$B,0)),"-")</f>
        <v>0</v>
      </c>
    </row>
    <row r="64" spans="2:8" x14ac:dyDescent="0.3">
      <c r="B64" s="61" t="str">
        <f>[2]OceanDoodad!Z69</f>
        <v>팔루스 폭포</v>
      </c>
      <c r="C64" s="61" t="str">
        <f>IFERROR(VLOOKUP(표11[[#This Row],[해양 오브젝트]],[3]!표1[[이름]:[선단 LV]],6,FALSE),"-")</f>
        <v>-</v>
      </c>
      <c r="D64" s="61" t="str">
        <f>IFERROR(VLOOKUP(표11[[#This Row],[해양 오브젝트]],[3]!표1[[이름]:[위도]],3,FALSE),"-")</f>
        <v>-</v>
      </c>
      <c r="E64" s="61" t="str">
        <f>IFERROR(VLOOKUP(표11[[#This Row],[해양 오브젝트]],[3]!표1[[이름]:[위도]],2,FALSE),"-")</f>
        <v>-</v>
      </c>
      <c r="F64" s="61">
        <f>IFERROR(INDEX([1]Discovery!$AW:$AW,MATCH(표11[[#This Row],[해양 오브젝트]],[1]Discovery!$B:$B,0)),"-")</f>
        <v>0</v>
      </c>
      <c r="G64" s="61">
        <f>IFERROR(INDEX([1]Discovery!$AY:$AY,MATCH(표11[[#This Row],[해양 오브젝트]],[1]Discovery!$B:$B,0)),"-")</f>
        <v>0</v>
      </c>
      <c r="H64" s="61">
        <f>IFERROR(INDEX([1]Discovery!$BA:$BA,MATCH(표11[[#This Row],[해양 오브젝트]],[1]Discovery!$B:$B,0)),"-")</f>
        <v>0</v>
      </c>
    </row>
    <row r="65" spans="2:8" x14ac:dyDescent="0.3">
      <c r="B65" s="61" t="str">
        <f>[2]OceanDoodad!Z70</f>
        <v>터재넉 폭포</v>
      </c>
      <c r="C65" s="61" t="str">
        <f>IFERROR(VLOOKUP(표11[[#This Row],[해양 오브젝트]],[3]!표1[[이름]:[선단 LV]],6,FALSE),"-")</f>
        <v>-</v>
      </c>
      <c r="D65" s="61" t="str">
        <f>IFERROR(VLOOKUP(표11[[#This Row],[해양 오브젝트]],[3]!표1[[이름]:[위도]],3,FALSE),"-")</f>
        <v>-</v>
      </c>
      <c r="E65" s="61" t="str">
        <f>IFERROR(VLOOKUP(표11[[#This Row],[해양 오브젝트]],[3]!표1[[이름]:[위도]],2,FALSE),"-")</f>
        <v>-</v>
      </c>
      <c r="F65" s="61">
        <f>IFERROR(INDEX([1]Discovery!$AW:$AW,MATCH(표11[[#This Row],[해양 오브젝트]],[1]Discovery!$B:$B,0)),"-")</f>
        <v>0</v>
      </c>
      <c r="G65" s="61">
        <f>IFERROR(INDEX([1]Discovery!$AY:$AY,MATCH(표11[[#This Row],[해양 오브젝트]],[1]Discovery!$B:$B,0)),"-")</f>
        <v>0</v>
      </c>
      <c r="H65" s="61">
        <f>IFERROR(INDEX([1]Discovery!$BA:$BA,MATCH(표11[[#This Row],[해양 오브젝트]],[1]Discovery!$B:$B,0)),"-")</f>
        <v>0</v>
      </c>
    </row>
    <row r="66" spans="2:8" x14ac:dyDescent="0.3">
      <c r="B66" s="61" t="str">
        <f>[2]OceanDoodad!Z71</f>
        <v>반지옥 폭포</v>
      </c>
      <c r="C66" s="61" t="str">
        <f>IFERROR(VLOOKUP(표11[[#This Row],[해양 오브젝트]],[3]!표1[[이름]:[선단 LV]],6,FALSE),"-")</f>
        <v>-</v>
      </c>
      <c r="D66" s="61" t="str">
        <f>IFERROR(VLOOKUP(표11[[#This Row],[해양 오브젝트]],[3]!표1[[이름]:[위도]],3,FALSE),"-")</f>
        <v>-</v>
      </c>
      <c r="E66" s="61" t="str">
        <f>IFERROR(VLOOKUP(표11[[#This Row],[해양 오브젝트]],[3]!표1[[이름]:[위도]],2,FALSE),"-")</f>
        <v>-</v>
      </c>
      <c r="F66" s="61">
        <f>IFERROR(INDEX([1]Discovery!$AW:$AW,MATCH(표11[[#This Row],[해양 오브젝트]],[1]Discovery!$B:$B,0)),"-")</f>
        <v>0</v>
      </c>
      <c r="G66" s="61">
        <f>IFERROR(INDEX([1]Discovery!$AY:$AY,MATCH(표11[[#This Row],[해양 오브젝트]],[1]Discovery!$B:$B,0)),"-")</f>
        <v>0</v>
      </c>
      <c r="H66" s="61">
        <f>IFERROR(INDEX([1]Discovery!$BA:$BA,MATCH(표11[[#This Row],[해양 오브젝트]],[1]Discovery!$B:$B,0)),"-")</f>
        <v>0</v>
      </c>
    </row>
    <row r="67" spans="2:8" x14ac:dyDescent="0.3">
      <c r="B67" s="61" t="str">
        <f>[2]OceanDoodad!Z72</f>
        <v>바타라 폭포</v>
      </c>
      <c r="C67" s="61" t="str">
        <f>IFERROR(VLOOKUP(표11[[#This Row],[해양 오브젝트]],[3]!표1[[이름]:[선단 LV]],6,FALSE),"-")</f>
        <v>-</v>
      </c>
      <c r="D67" s="61" t="str">
        <f>IFERROR(VLOOKUP(표11[[#This Row],[해양 오브젝트]],[3]!표1[[이름]:[위도]],3,FALSE),"-")</f>
        <v>-</v>
      </c>
      <c r="E67" s="61" t="str">
        <f>IFERROR(VLOOKUP(표11[[#This Row],[해양 오브젝트]],[3]!표1[[이름]:[위도]],2,FALSE),"-")</f>
        <v>-</v>
      </c>
      <c r="F67" s="61">
        <f>IFERROR(INDEX([1]Discovery!$AW:$AW,MATCH(표11[[#This Row],[해양 오브젝트]],[1]Discovery!$B:$B,0)),"-")</f>
        <v>0</v>
      </c>
      <c r="G67" s="61">
        <f>IFERROR(INDEX([1]Discovery!$AY:$AY,MATCH(표11[[#This Row],[해양 오브젝트]],[1]Discovery!$B:$B,0)),"-")</f>
        <v>0</v>
      </c>
      <c r="H67" s="61">
        <f>IFERROR(INDEX([1]Discovery!$BA:$BA,MATCH(표11[[#This Row],[해양 오브젝트]],[1]Discovery!$B:$B,0)),"-")</f>
        <v>0</v>
      </c>
    </row>
    <row r="68" spans="2:8" x14ac:dyDescent="0.3">
      <c r="B68" s="61" t="str">
        <f>[2]OceanDoodad!Z73</f>
        <v>브라운 폭포</v>
      </c>
      <c r="C68" s="61" t="str">
        <f>IFERROR(VLOOKUP(표11[[#This Row],[해양 오브젝트]],[3]!표1[[이름]:[선단 LV]],6,FALSE),"-")</f>
        <v>-</v>
      </c>
      <c r="D68" s="61" t="str">
        <f>IFERROR(VLOOKUP(표11[[#This Row],[해양 오브젝트]],[3]!표1[[이름]:[위도]],3,FALSE),"-")</f>
        <v>-</v>
      </c>
      <c r="E68" s="61" t="str">
        <f>IFERROR(VLOOKUP(표11[[#This Row],[해양 오브젝트]],[3]!표1[[이름]:[위도]],2,FALSE),"-")</f>
        <v>-</v>
      </c>
      <c r="F68" s="61">
        <f>IFERROR(INDEX([1]Discovery!$AW:$AW,MATCH(표11[[#This Row],[해양 오브젝트]],[1]Discovery!$B:$B,0)),"-")</f>
        <v>0</v>
      </c>
      <c r="G68" s="61">
        <f>IFERROR(INDEX([1]Discovery!$AY:$AY,MATCH(표11[[#This Row],[해양 오브젝트]],[1]Discovery!$B:$B,0)),"-")</f>
        <v>0</v>
      </c>
      <c r="H68" s="61">
        <f>IFERROR(INDEX([1]Discovery!$BA:$BA,MATCH(표11[[#This Row],[해양 오브젝트]],[1]Discovery!$B:$B,0)),"-")</f>
        <v>0</v>
      </c>
    </row>
    <row r="69" spans="2:8" x14ac:dyDescent="0.3">
      <c r="B69" s="61" t="str">
        <f>[2]OceanDoodad!Z74</f>
        <v>제임스브루스폭포</v>
      </c>
      <c r="C69" s="61" t="str">
        <f>IFERROR(VLOOKUP(표11[[#This Row],[해양 오브젝트]],[3]!표1[[이름]:[선단 LV]],6,FALSE),"-")</f>
        <v>-</v>
      </c>
      <c r="D69" s="61" t="str">
        <f>IFERROR(VLOOKUP(표11[[#This Row],[해양 오브젝트]],[3]!표1[[이름]:[위도]],3,FALSE),"-")</f>
        <v>-</v>
      </c>
      <c r="E69" s="61" t="str">
        <f>IFERROR(VLOOKUP(표11[[#This Row],[해양 오브젝트]],[3]!표1[[이름]:[위도]],2,FALSE),"-")</f>
        <v>-</v>
      </c>
      <c r="F69" s="61">
        <f>IFERROR(INDEX([1]Discovery!$AW:$AW,MATCH(표11[[#This Row],[해양 오브젝트]],[1]Discovery!$B:$B,0)),"-")</f>
        <v>0</v>
      </c>
      <c r="G69" s="61">
        <f>IFERROR(INDEX([1]Discovery!$AY:$AY,MATCH(표11[[#This Row],[해양 오브젝트]],[1]Discovery!$B:$B,0)),"-")</f>
        <v>0</v>
      </c>
      <c r="H69" s="61">
        <f>IFERROR(INDEX([1]Discovery!$BA:$BA,MATCH(표11[[#This Row],[해양 오브젝트]],[1]Discovery!$B:$B,0)),"-")</f>
        <v>0</v>
      </c>
    </row>
    <row r="70" spans="2:8" x14ac:dyDescent="0.3">
      <c r="B70" s="61" t="str">
        <f>[2]OceanDoodad!Z75</f>
        <v>푸카오쿠폭포</v>
      </c>
      <c r="C70" s="61" t="str">
        <f>IFERROR(VLOOKUP(표11[[#This Row],[해양 오브젝트]],[3]!표1[[이름]:[선단 LV]],6,FALSE),"-")</f>
        <v>-</v>
      </c>
      <c r="D70" s="61" t="str">
        <f>IFERROR(VLOOKUP(표11[[#This Row],[해양 오브젝트]],[3]!표1[[이름]:[위도]],3,FALSE),"-")</f>
        <v>-</v>
      </c>
      <c r="E70" s="61" t="str">
        <f>IFERROR(VLOOKUP(표11[[#This Row],[해양 오브젝트]],[3]!표1[[이름]:[위도]],2,FALSE),"-")</f>
        <v>-</v>
      </c>
      <c r="F70" s="61">
        <f>IFERROR(INDEX([1]Discovery!$AW:$AW,MATCH(표11[[#This Row],[해양 오브젝트]],[1]Discovery!$B:$B,0)),"-")</f>
        <v>0</v>
      </c>
      <c r="G70" s="61">
        <f>IFERROR(INDEX([1]Discovery!$AY:$AY,MATCH(표11[[#This Row],[해양 오브젝트]],[1]Discovery!$B:$B,0)),"-")</f>
        <v>0</v>
      </c>
      <c r="H70" s="61">
        <f>IFERROR(INDEX([1]Discovery!$BA:$BA,MATCH(표11[[#This Row],[해양 오브젝트]],[1]Discovery!$B:$B,0)),"-")</f>
        <v>0</v>
      </c>
    </row>
    <row r="71" spans="2:8" x14ac:dyDescent="0.3">
      <c r="B71" s="61" t="str">
        <f>[2]OceanDoodad!Z76</f>
        <v>스코지폭포</v>
      </c>
      <c r="C71" s="61" t="str">
        <f>IFERROR(VLOOKUP(표11[[#This Row],[해양 오브젝트]],[3]!표1[[이름]:[선단 LV]],6,FALSE),"-")</f>
        <v>-</v>
      </c>
      <c r="D71" s="61" t="str">
        <f>IFERROR(VLOOKUP(표11[[#This Row],[해양 오브젝트]],[3]!표1[[이름]:[위도]],3,FALSE),"-")</f>
        <v>-</v>
      </c>
      <c r="E71" s="61" t="str">
        <f>IFERROR(VLOOKUP(표11[[#This Row],[해양 오브젝트]],[3]!표1[[이름]:[위도]],2,FALSE),"-")</f>
        <v>-</v>
      </c>
      <c r="F71" s="61">
        <f>IFERROR(INDEX([1]Discovery!$AW:$AW,MATCH(표11[[#This Row],[해양 오브젝트]],[1]Discovery!$B:$B,0)),"-")</f>
        <v>0</v>
      </c>
      <c r="G71" s="61">
        <f>IFERROR(INDEX([1]Discovery!$AY:$AY,MATCH(표11[[#This Row],[해양 오브젝트]],[1]Discovery!$B:$B,0)),"-")</f>
        <v>0</v>
      </c>
      <c r="H71" s="61">
        <f>IFERROR(INDEX([1]Discovery!$BA:$BA,MATCH(표11[[#This Row],[해양 오브젝트]],[1]Discovery!$B:$B,0)),"-")</f>
        <v>0</v>
      </c>
    </row>
    <row r="72" spans="2:8" x14ac:dyDescent="0.3">
      <c r="B72" s="61" t="str">
        <f>[2]OceanDoodad!Z77</f>
        <v>빈누폭포</v>
      </c>
      <c r="C72" s="61" t="str">
        <f>IFERROR(VLOOKUP(표11[[#This Row],[해양 오브젝트]],[3]!표1[[이름]:[선단 LV]],6,FALSE),"-")</f>
        <v>-</v>
      </c>
      <c r="D72" s="61" t="str">
        <f>IFERROR(VLOOKUP(표11[[#This Row],[해양 오브젝트]],[3]!표1[[이름]:[위도]],3,FALSE),"-")</f>
        <v>-</v>
      </c>
      <c r="E72" s="61" t="str">
        <f>IFERROR(VLOOKUP(표11[[#This Row],[해양 오브젝트]],[3]!표1[[이름]:[위도]],2,FALSE),"-")</f>
        <v>-</v>
      </c>
      <c r="F72" s="61">
        <f>IFERROR(INDEX([1]Discovery!$AW:$AW,MATCH(표11[[#This Row],[해양 오브젝트]],[1]Discovery!$B:$B,0)),"-")</f>
        <v>0</v>
      </c>
      <c r="G72" s="61">
        <f>IFERROR(INDEX([1]Discovery!$AY:$AY,MATCH(표11[[#This Row],[해양 오브젝트]],[1]Discovery!$B:$B,0)),"-")</f>
        <v>0</v>
      </c>
      <c r="H72" s="61">
        <f>IFERROR(INDEX([1]Discovery!$BA:$BA,MATCH(표11[[#This Row],[해양 오브젝트]],[1]Discovery!$B:$B,0)),"-")</f>
        <v>0</v>
      </c>
    </row>
    <row r="73" spans="2:8" x14ac:dyDescent="0.3">
      <c r="B73" s="61" t="str">
        <f>[2]OceanDoodad!Z78</f>
        <v>윰빌라폭포</v>
      </c>
      <c r="C73" s="61" t="str">
        <f>IFERROR(VLOOKUP(표11[[#This Row],[해양 오브젝트]],[3]!표1[[이름]:[선단 LV]],6,FALSE),"-")</f>
        <v>-</v>
      </c>
      <c r="D73" s="61" t="str">
        <f>IFERROR(VLOOKUP(표11[[#This Row],[해양 오브젝트]],[3]!표1[[이름]:[위도]],3,FALSE),"-")</f>
        <v>-</v>
      </c>
      <c r="E73" s="61" t="str">
        <f>IFERROR(VLOOKUP(표11[[#This Row],[해양 오브젝트]],[3]!표1[[이름]:[위도]],2,FALSE),"-")</f>
        <v>-</v>
      </c>
      <c r="F73" s="61">
        <f>IFERROR(INDEX([1]Discovery!$AW:$AW,MATCH(표11[[#This Row],[해양 오브젝트]],[1]Discovery!$B:$B,0)),"-")</f>
        <v>0</v>
      </c>
      <c r="G73" s="61">
        <f>IFERROR(INDEX([1]Discovery!$AY:$AY,MATCH(표11[[#This Row],[해양 오브젝트]],[1]Discovery!$B:$B,0)),"-")</f>
        <v>0</v>
      </c>
      <c r="H73" s="61">
        <f>IFERROR(INDEX([1]Discovery!$BA:$BA,MATCH(표11[[#This Row],[해양 오브젝트]],[1]Discovery!$B:$B,0)),"-")</f>
        <v>0</v>
      </c>
    </row>
    <row r="74" spans="2:8" x14ac:dyDescent="0.3">
      <c r="B74" s="61" t="str">
        <f>[2]OceanDoodad!Z79</f>
        <v>트레스에르마나스폭포</v>
      </c>
      <c r="C74" s="61" t="str">
        <f>IFERROR(VLOOKUP(표11[[#This Row],[해양 오브젝트]],[3]!표1[[이름]:[선단 LV]],6,FALSE),"-")</f>
        <v>-</v>
      </c>
      <c r="D74" s="61" t="str">
        <f>IFERROR(VLOOKUP(표11[[#This Row],[해양 오브젝트]],[3]!표1[[이름]:[위도]],3,FALSE),"-")</f>
        <v>-</v>
      </c>
      <c r="E74" s="61" t="str">
        <f>IFERROR(VLOOKUP(표11[[#This Row],[해양 오브젝트]],[3]!표1[[이름]:[위도]],2,FALSE),"-")</f>
        <v>-</v>
      </c>
      <c r="F74" s="61">
        <f>IFERROR(INDEX([1]Discovery!$AW:$AW,MATCH(표11[[#This Row],[해양 오브젝트]],[1]Discovery!$B:$B,0)),"-")</f>
        <v>0</v>
      </c>
      <c r="G74" s="61">
        <f>IFERROR(INDEX([1]Discovery!$AY:$AY,MATCH(표11[[#This Row],[해양 오브젝트]],[1]Discovery!$B:$B,0)),"-")</f>
        <v>0</v>
      </c>
      <c r="H74" s="61">
        <f>IFERROR(INDEX([1]Discovery!$BA:$BA,MATCH(표11[[#This Row],[해양 오브젝트]],[1]Discovery!$B:$B,0)),"-")</f>
        <v>0</v>
      </c>
    </row>
    <row r="75" spans="2:8" x14ac:dyDescent="0.3">
      <c r="B75" s="61" t="str">
        <f>[2]OceanDoodad!Z80</f>
        <v>투겔라 폭포</v>
      </c>
      <c r="C75" s="61" t="str">
        <f>IFERROR(VLOOKUP(표11[[#This Row],[해양 오브젝트]],[3]!표1[[이름]:[선단 LV]],6,FALSE),"-")</f>
        <v>-</v>
      </c>
      <c r="D75" s="61" t="str">
        <f>IFERROR(VLOOKUP(표11[[#This Row],[해양 오브젝트]],[3]!표1[[이름]:[위도]],3,FALSE),"-")</f>
        <v>-</v>
      </c>
      <c r="E75" s="61" t="str">
        <f>IFERROR(VLOOKUP(표11[[#This Row],[해양 오브젝트]],[3]!표1[[이름]:[위도]],2,FALSE),"-")</f>
        <v>-</v>
      </c>
      <c r="F75" s="61">
        <f>IFERROR(INDEX([1]Discovery!$AW:$AW,MATCH(표11[[#This Row],[해양 오브젝트]],[1]Discovery!$B:$B,0)),"-")</f>
        <v>0</v>
      </c>
      <c r="G75" s="61">
        <f>IFERROR(INDEX([1]Discovery!$AY:$AY,MATCH(표11[[#This Row],[해양 오브젝트]],[1]Discovery!$B:$B,0)),"-")</f>
        <v>0</v>
      </c>
      <c r="H75" s="61">
        <f>IFERROR(INDEX([1]Discovery!$BA:$BA,MATCH(표11[[#This Row],[해양 오브젝트]],[1]Discovery!$B:$B,0)),"-")</f>
        <v>0</v>
      </c>
    </row>
    <row r="76" spans="2:8" x14ac:dyDescent="0.3">
      <c r="B76" s="61" t="str">
        <f>[2]OceanDoodad!Z81</f>
        <v>정방폭포</v>
      </c>
      <c r="C76" s="61" t="str">
        <f>IFERROR(VLOOKUP(표11[[#This Row],[해양 오브젝트]],[3]!표1[[이름]:[선단 LV]],6,FALSE),"-")</f>
        <v>-</v>
      </c>
      <c r="D76" s="61" t="str">
        <f>IFERROR(VLOOKUP(표11[[#This Row],[해양 오브젝트]],[3]!표1[[이름]:[위도]],3,FALSE),"-")</f>
        <v>-</v>
      </c>
      <c r="E76" s="61" t="str">
        <f>IFERROR(VLOOKUP(표11[[#This Row],[해양 오브젝트]],[3]!표1[[이름]:[위도]],2,FALSE),"-")</f>
        <v>-</v>
      </c>
      <c r="F76" s="61" t="str">
        <f>IFERROR(INDEX([1]Discovery!$AW:$AW,MATCH(표11[[#This Row],[해양 오브젝트]],[1]Discovery!$B:$B,0)),"-")</f>
        <v>무조건 실패</v>
      </c>
      <c r="G76" s="61">
        <f>IFERROR(INDEX([1]Discovery!$AY:$AY,MATCH(표11[[#This Row],[해양 오브젝트]],[1]Discovery!$B:$B,0)),"-")</f>
        <v>0</v>
      </c>
      <c r="H76" s="61">
        <f>IFERROR(INDEX([1]Discovery!$BA:$BA,MATCH(표11[[#This Row],[해양 오브젝트]],[1]Discovery!$B:$B,0)),"-")</f>
        <v>1</v>
      </c>
    </row>
    <row r="77" spans="2:8" x14ac:dyDescent="0.3">
      <c r="B77" s="61" t="str">
        <f>[2]OceanDoodad!Z82</f>
        <v>알라미어 폭포</v>
      </c>
      <c r="C77" s="61" t="str">
        <f>IFERROR(VLOOKUP(표11[[#This Row],[해양 오브젝트]],[3]!표1[[이름]:[선단 LV]],6,FALSE),"-")</f>
        <v>-</v>
      </c>
      <c r="D77" s="61" t="str">
        <f>IFERROR(VLOOKUP(표11[[#This Row],[해양 오브젝트]],[3]!표1[[이름]:[위도]],3,FALSE),"-")</f>
        <v>-</v>
      </c>
      <c r="E77" s="61" t="str">
        <f>IFERROR(VLOOKUP(표11[[#This Row],[해양 오브젝트]],[3]!표1[[이름]:[위도]],2,FALSE),"-")</f>
        <v>-</v>
      </c>
      <c r="F77" s="61">
        <f>IFERROR(INDEX([1]Discovery!$AW:$AW,MATCH(표11[[#This Row],[해양 오브젝트]],[1]Discovery!$B:$B,0)),"-")</f>
        <v>0</v>
      </c>
      <c r="G77" s="61">
        <f>IFERROR(INDEX([1]Discovery!$AY:$AY,MATCH(표11[[#This Row],[해양 오브젝트]],[1]Discovery!$B:$B,0)),"-")</f>
        <v>0</v>
      </c>
      <c r="H77" s="61">
        <f>IFERROR(INDEX([1]Discovery!$BA:$BA,MATCH(표11[[#This Row],[해양 오브젝트]],[1]Discovery!$B:$B,0)),"-")</f>
        <v>0</v>
      </c>
    </row>
    <row r="78" spans="2:8" x14ac:dyDescent="0.3">
      <c r="B78" s="61" t="str">
        <f>[2]OceanDoodad!Z83</f>
        <v>하바수 폭포</v>
      </c>
      <c r="C78" s="61" t="str">
        <f>IFERROR(VLOOKUP(표11[[#This Row],[해양 오브젝트]],[3]!표1[[이름]:[선단 LV]],6,FALSE),"-")</f>
        <v>-</v>
      </c>
      <c r="D78" s="61" t="str">
        <f>IFERROR(VLOOKUP(표11[[#This Row],[해양 오브젝트]],[3]!표1[[이름]:[위도]],3,FALSE),"-")</f>
        <v>-</v>
      </c>
      <c r="E78" s="61" t="str">
        <f>IFERROR(VLOOKUP(표11[[#This Row],[해양 오브젝트]],[3]!표1[[이름]:[위도]],2,FALSE),"-")</f>
        <v>-</v>
      </c>
      <c r="F78" s="61">
        <f>IFERROR(INDEX([1]Discovery!$AW:$AW,MATCH(표11[[#This Row],[해양 오브젝트]],[1]Discovery!$B:$B,0)),"-")</f>
        <v>0</v>
      </c>
      <c r="G78" s="61">
        <f>IFERROR(INDEX([1]Discovery!$AY:$AY,MATCH(표11[[#This Row],[해양 오브젝트]],[1]Discovery!$B:$B,0)),"-")</f>
        <v>0</v>
      </c>
      <c r="H78" s="61">
        <f>IFERROR(INDEX([1]Discovery!$BA:$BA,MATCH(표11[[#This Row],[해양 오브젝트]],[1]Discovery!$B:$B,0)),"-")</f>
        <v>0</v>
      </c>
    </row>
    <row r="79" spans="2:8" x14ac:dyDescent="0.3">
      <c r="B79" s="61" t="str">
        <f>[2]OceanDoodad!Z84</f>
        <v>꽝시 폭포</v>
      </c>
      <c r="C79" s="61" t="str">
        <f>IFERROR(VLOOKUP(표11[[#This Row],[해양 오브젝트]],[3]!표1[[이름]:[선단 LV]],6,FALSE),"-")</f>
        <v>-</v>
      </c>
      <c r="D79" s="61" t="str">
        <f>IFERROR(VLOOKUP(표11[[#This Row],[해양 오브젝트]],[3]!표1[[이름]:[위도]],3,FALSE),"-")</f>
        <v>-</v>
      </c>
      <c r="E79" s="61" t="str">
        <f>IFERROR(VLOOKUP(표11[[#This Row],[해양 오브젝트]],[3]!표1[[이름]:[위도]],2,FALSE),"-")</f>
        <v>-</v>
      </c>
      <c r="F79" s="61" t="str">
        <f>IFERROR(INDEX([1]Discovery!$AW:$AW,MATCH(표11[[#This Row],[해양 오브젝트]],[1]Discovery!$B:$B,0)),"-")</f>
        <v>특정 직업 항해사 보유</v>
      </c>
      <c r="G79" s="61" t="str">
        <f>IFERROR(INDEX([1]Discovery!$AY:$AY,MATCH(표11[[#This Row],[해양 오브젝트]],[1]Discovery!$B:$B,0)),"-")</f>
        <v>지리학자</v>
      </c>
      <c r="H79" s="61">
        <f>IFERROR(INDEX([1]Discovery!$BA:$BA,MATCH(표11[[#This Row],[해양 오브젝트]],[1]Discovery!$B:$B,0)),"-")</f>
        <v>7</v>
      </c>
    </row>
    <row r="80" spans="2:8" x14ac:dyDescent="0.3">
      <c r="B80" s="61" t="str">
        <f>[2]OceanDoodad!Z85</f>
        <v>조그 폭포</v>
      </c>
      <c r="C80" s="61" t="str">
        <f>IFERROR(VLOOKUP(표11[[#This Row],[해양 오브젝트]],[3]!표1[[이름]:[선단 LV]],6,FALSE),"-")</f>
        <v>-</v>
      </c>
      <c r="D80" s="61" t="str">
        <f>IFERROR(VLOOKUP(표11[[#This Row],[해양 오브젝트]],[3]!표1[[이름]:[위도]],3,FALSE),"-")</f>
        <v>-</v>
      </c>
      <c r="E80" s="61" t="str">
        <f>IFERROR(VLOOKUP(표11[[#This Row],[해양 오브젝트]],[3]!표1[[이름]:[위도]],2,FALSE),"-")</f>
        <v>-</v>
      </c>
      <c r="F80" s="61">
        <f>IFERROR(INDEX([1]Discovery!$AW:$AW,MATCH(표11[[#This Row],[해양 오브젝트]],[1]Discovery!$B:$B,0)),"-")</f>
        <v>0</v>
      </c>
      <c r="G80" s="61">
        <f>IFERROR(INDEX([1]Discovery!$AY:$AY,MATCH(표11[[#This Row],[해양 오브젝트]],[1]Discovery!$B:$B,0)),"-")</f>
        <v>0</v>
      </c>
      <c r="H80" s="61">
        <f>IFERROR(INDEX([1]Discovery!$BA:$BA,MATCH(표11[[#This Row],[해양 오브젝트]],[1]Discovery!$B:$B,0)),"-")</f>
        <v>0</v>
      </c>
    </row>
    <row r="81" spans="2:8" x14ac:dyDescent="0.3">
      <c r="B81" s="61" t="str">
        <f>[2]OceanDoodad!Z86</f>
        <v>장백폭포</v>
      </c>
      <c r="C81" s="61" t="str">
        <f>IFERROR(VLOOKUP(표11[[#This Row],[해양 오브젝트]],[3]!표1[[이름]:[선단 LV]],6,FALSE),"-")</f>
        <v>-</v>
      </c>
      <c r="D81" s="61" t="str">
        <f>IFERROR(VLOOKUP(표11[[#This Row],[해양 오브젝트]],[3]!표1[[이름]:[위도]],3,FALSE),"-")</f>
        <v>-</v>
      </c>
      <c r="E81" s="61" t="str">
        <f>IFERROR(VLOOKUP(표11[[#This Row],[해양 오브젝트]],[3]!표1[[이름]:[위도]],2,FALSE),"-")</f>
        <v>-</v>
      </c>
      <c r="F81" s="61">
        <f>IFERROR(INDEX([1]Discovery!$AW:$AW,MATCH(표11[[#This Row],[해양 오브젝트]],[1]Discovery!$B:$B,0)),"-")</f>
        <v>0</v>
      </c>
      <c r="G81" s="61">
        <f>IFERROR(INDEX([1]Discovery!$AY:$AY,MATCH(표11[[#This Row],[해양 오브젝트]],[1]Discovery!$B:$B,0)),"-")</f>
        <v>0</v>
      </c>
      <c r="H81" s="61">
        <f>IFERROR(INDEX([1]Discovery!$BA:$BA,MATCH(표11[[#This Row],[해양 오브젝트]],[1]Discovery!$B:$B,0)),"-")</f>
        <v>0</v>
      </c>
    </row>
    <row r="82" spans="2:8" x14ac:dyDescent="0.3">
      <c r="B82" s="61" t="str">
        <f>[2]OceanDoodad!Z87</f>
        <v>나치폭포</v>
      </c>
      <c r="C82" s="61" t="str">
        <f>IFERROR(VLOOKUP(표11[[#This Row],[해양 오브젝트]],[3]!표1[[이름]:[선단 LV]],6,FALSE),"-")</f>
        <v>-</v>
      </c>
      <c r="D82" s="61" t="str">
        <f>IFERROR(VLOOKUP(표11[[#This Row],[해양 오브젝트]],[3]!표1[[이름]:[위도]],3,FALSE),"-")</f>
        <v>-</v>
      </c>
      <c r="E82" s="61" t="str">
        <f>IFERROR(VLOOKUP(표11[[#This Row],[해양 오브젝트]],[3]!표1[[이름]:[위도]],2,FALSE),"-")</f>
        <v>-</v>
      </c>
      <c r="F82" s="61">
        <f>IFERROR(INDEX([1]Discovery!$AW:$AW,MATCH(표11[[#This Row],[해양 오브젝트]],[1]Discovery!$B:$B,0)),"-")</f>
        <v>0</v>
      </c>
      <c r="G82" s="61">
        <f>IFERROR(INDEX([1]Discovery!$AY:$AY,MATCH(표11[[#This Row],[해양 오브젝트]],[1]Discovery!$B:$B,0)),"-")</f>
        <v>0</v>
      </c>
      <c r="H82" s="61">
        <f>IFERROR(INDEX([1]Discovery!$BA:$BA,MATCH(표11[[#This Row],[해양 오브젝트]],[1]Discovery!$B:$B,0)),"-")</f>
        <v>0</v>
      </c>
    </row>
    <row r="83" spans="2:8" x14ac:dyDescent="0.3">
      <c r="B83" s="61" t="str">
        <f>[2]OceanDoodad!Z88</f>
        <v>마로코파 폭포</v>
      </c>
      <c r="C83" s="61" t="str">
        <f>IFERROR(VLOOKUP(표11[[#This Row],[해양 오브젝트]],[3]!표1[[이름]:[선단 LV]],6,FALSE),"-")</f>
        <v>-</v>
      </c>
      <c r="D83" s="61" t="str">
        <f>IFERROR(VLOOKUP(표11[[#This Row],[해양 오브젝트]],[3]!표1[[이름]:[위도]],3,FALSE),"-")</f>
        <v>-</v>
      </c>
      <c r="E83" s="61" t="str">
        <f>IFERROR(VLOOKUP(표11[[#This Row],[해양 오브젝트]],[3]!표1[[이름]:[위도]],2,FALSE),"-")</f>
        <v>-</v>
      </c>
      <c r="F83" s="61" t="str">
        <f>IFERROR(INDEX([1]Discovery!$AW:$AW,MATCH(표11[[#This Row],[해양 오브젝트]],[1]Discovery!$B:$B,0)),"-")</f>
        <v>특정 직업 항해사 보유</v>
      </c>
      <c r="G83" s="61" t="str">
        <f>IFERROR(INDEX([1]Discovery!$AY:$AY,MATCH(표11[[#This Row],[해양 오브젝트]],[1]Discovery!$B:$B,0)),"-")</f>
        <v>지리학자</v>
      </c>
      <c r="H83" s="61">
        <f>IFERROR(INDEX([1]Discovery!$BA:$BA,MATCH(표11[[#This Row],[해양 오브젝트]],[1]Discovery!$B:$B,0)),"-")</f>
        <v>7</v>
      </c>
    </row>
    <row r="84" spans="2:8" x14ac:dyDescent="0.3">
      <c r="B84" s="61" t="str">
        <f>[2]OceanDoodad!Z89</f>
        <v>핏츠로이 폭포</v>
      </c>
      <c r="C84" s="61" t="str">
        <f>IFERROR(VLOOKUP(표11[[#This Row],[해양 오브젝트]],[3]!표1[[이름]:[선단 LV]],6,FALSE),"-")</f>
        <v>-</v>
      </c>
      <c r="D84" s="61" t="str">
        <f>IFERROR(VLOOKUP(표11[[#This Row],[해양 오브젝트]],[3]!표1[[이름]:[위도]],3,FALSE),"-")</f>
        <v>-</v>
      </c>
      <c r="E84" s="61" t="str">
        <f>IFERROR(VLOOKUP(표11[[#This Row],[해양 오브젝트]],[3]!표1[[이름]:[위도]],2,FALSE),"-")</f>
        <v>-</v>
      </c>
      <c r="F84" s="61">
        <f>IFERROR(INDEX([1]Discovery!$AW:$AW,MATCH(표11[[#This Row],[해양 오브젝트]],[1]Discovery!$B:$B,0)),"-")</f>
        <v>0</v>
      </c>
      <c r="G84" s="61">
        <f>IFERROR(INDEX([1]Discovery!$AY:$AY,MATCH(표11[[#This Row],[해양 오브젝트]],[1]Discovery!$B:$B,0)),"-")</f>
        <v>0</v>
      </c>
      <c r="H84" s="61">
        <f>IFERROR(INDEX([1]Discovery!$BA:$BA,MATCH(표11[[#This Row],[해양 오브젝트]],[1]Discovery!$B:$B,0)),"-")</f>
        <v>0</v>
      </c>
    </row>
    <row r="85" spans="2:8" x14ac:dyDescent="0.3">
      <c r="B85" s="61" t="str">
        <f>[2]OceanDoodad!Z90</f>
        <v>레인보우 폭포</v>
      </c>
      <c r="C85" s="61" t="str">
        <f>IFERROR(VLOOKUP(표11[[#This Row],[해양 오브젝트]],[3]!표1[[이름]:[선단 LV]],6,FALSE),"-")</f>
        <v>-</v>
      </c>
      <c r="D85" s="61" t="str">
        <f>IFERROR(VLOOKUP(표11[[#This Row],[해양 오브젝트]],[3]!표1[[이름]:[위도]],3,FALSE),"-")</f>
        <v>-</v>
      </c>
      <c r="E85" s="61" t="str">
        <f>IFERROR(VLOOKUP(표11[[#This Row],[해양 오브젝트]],[3]!표1[[이름]:[위도]],2,FALSE),"-")</f>
        <v>-</v>
      </c>
      <c r="F85" s="61">
        <f>IFERROR(INDEX([1]Discovery!$AW:$AW,MATCH(표11[[#This Row],[해양 오브젝트]],[1]Discovery!$B:$B,0)),"-")</f>
        <v>0</v>
      </c>
      <c r="G85" s="61">
        <f>IFERROR(INDEX([1]Discovery!$AY:$AY,MATCH(표11[[#This Row],[해양 오브젝트]],[1]Discovery!$B:$B,0)),"-")</f>
        <v>0</v>
      </c>
      <c r="H85" s="61">
        <f>IFERROR(INDEX([1]Discovery!$BA:$BA,MATCH(표11[[#This Row],[해양 오브젝트]],[1]Discovery!$B:$B,0)),"-")</f>
        <v>0</v>
      </c>
    </row>
    <row r="86" spans="2:8" x14ac:dyDescent="0.3">
      <c r="B86" s="61" t="str">
        <f>[2]OceanDoodad!Z91</f>
        <v>시라이토 폭포</v>
      </c>
      <c r="C86" s="61" t="str">
        <f>IFERROR(VLOOKUP(표11[[#This Row],[해양 오브젝트]],[3]!표1[[이름]:[선단 LV]],6,FALSE),"-")</f>
        <v>-</v>
      </c>
      <c r="D86" s="61" t="str">
        <f>IFERROR(VLOOKUP(표11[[#This Row],[해양 오브젝트]],[3]!표1[[이름]:[위도]],3,FALSE),"-")</f>
        <v>-</v>
      </c>
      <c r="E86" s="61" t="str">
        <f>IFERROR(VLOOKUP(표11[[#This Row],[해양 오브젝트]],[3]!표1[[이름]:[위도]],2,FALSE),"-")</f>
        <v>-</v>
      </c>
      <c r="F86" s="61">
        <f>IFERROR(INDEX([1]Discovery!$AW:$AW,MATCH(표11[[#This Row],[해양 오브젝트]],[1]Discovery!$B:$B,0)),"-")</f>
        <v>0</v>
      </c>
      <c r="G86" s="61">
        <f>IFERROR(INDEX([1]Discovery!$AY:$AY,MATCH(표11[[#This Row],[해양 오브젝트]],[1]Discovery!$B:$B,0)),"-")</f>
        <v>0</v>
      </c>
      <c r="H86" s="61">
        <f>IFERROR(INDEX([1]Discovery!$BA:$BA,MATCH(표11[[#This Row],[해양 오브젝트]],[1]Discovery!$B:$B,0)),"-")</f>
        <v>0</v>
      </c>
    </row>
    <row r="87" spans="2:8" x14ac:dyDescent="0.3">
      <c r="B87" s="61" t="str">
        <f>[2]OceanDoodad!Z92</f>
        <v>말레추냐네 폭포</v>
      </c>
      <c r="C87" s="61" t="str">
        <f>IFERROR(VLOOKUP(표11[[#This Row],[해양 오브젝트]],[3]!표1[[이름]:[선단 LV]],6,FALSE),"-")</f>
        <v>-</v>
      </c>
      <c r="D87" s="61" t="str">
        <f>IFERROR(VLOOKUP(표11[[#This Row],[해양 오브젝트]],[3]!표1[[이름]:[위도]],3,FALSE),"-")</f>
        <v>-</v>
      </c>
      <c r="E87" s="61" t="str">
        <f>IFERROR(VLOOKUP(표11[[#This Row],[해양 오브젝트]],[3]!표1[[이름]:[위도]],2,FALSE),"-")</f>
        <v>-</v>
      </c>
      <c r="F87" s="61">
        <f>IFERROR(INDEX([1]Discovery!$AW:$AW,MATCH(표11[[#This Row],[해양 오브젝트]],[1]Discovery!$B:$B,0)),"-")</f>
        <v>0</v>
      </c>
      <c r="G87" s="61">
        <f>IFERROR(INDEX([1]Discovery!$AY:$AY,MATCH(표11[[#This Row],[해양 오브젝트]],[1]Discovery!$B:$B,0)),"-")</f>
        <v>0</v>
      </c>
      <c r="H87" s="61">
        <f>IFERROR(INDEX([1]Discovery!$BA:$BA,MATCH(표11[[#This Row],[해양 오브젝트]],[1]Discovery!$B:$B,0)),"-")</f>
        <v>0</v>
      </c>
    </row>
    <row r="88" spans="2:8" x14ac:dyDescent="0.3">
      <c r="B88" s="61" t="str">
        <f>[2]OceanDoodad!Z93</f>
        <v>스털링 폭포</v>
      </c>
      <c r="C88" s="61" t="str">
        <f>IFERROR(VLOOKUP(표11[[#This Row],[해양 오브젝트]],[3]!표1[[이름]:[선단 LV]],6,FALSE),"-")</f>
        <v>-</v>
      </c>
      <c r="D88" s="61" t="str">
        <f>IFERROR(VLOOKUP(표11[[#This Row],[해양 오브젝트]],[3]!표1[[이름]:[위도]],3,FALSE),"-")</f>
        <v>-</v>
      </c>
      <c r="E88" s="61" t="str">
        <f>IFERROR(VLOOKUP(표11[[#This Row],[해양 오브젝트]],[3]!표1[[이름]:[위도]],2,FALSE),"-")</f>
        <v>-</v>
      </c>
      <c r="F88" s="61">
        <f>IFERROR(INDEX([1]Discovery!$AW:$AW,MATCH(표11[[#This Row],[해양 오브젝트]],[1]Discovery!$B:$B,0)),"-")</f>
        <v>0</v>
      </c>
      <c r="G88" s="61">
        <f>IFERROR(INDEX([1]Discovery!$AY:$AY,MATCH(표11[[#This Row],[해양 오브젝트]],[1]Discovery!$B:$B,0)),"-")</f>
        <v>0</v>
      </c>
      <c r="H88" s="61">
        <f>IFERROR(INDEX([1]Discovery!$BA:$BA,MATCH(표11[[#This Row],[해양 오브젝트]],[1]Discovery!$B:$B,0)),"-")</f>
        <v>0</v>
      </c>
    </row>
    <row r="89" spans="2:8" x14ac:dyDescent="0.3">
      <c r="B89" s="61" t="str">
        <f>[2]OceanDoodad!Z94</f>
        <v>스코아 폭포</v>
      </c>
      <c r="C89" s="61" t="str">
        <f>IFERROR(VLOOKUP(표11[[#This Row],[해양 오브젝트]],[3]!표1[[이름]:[선단 LV]],6,FALSE),"-")</f>
        <v>-</v>
      </c>
      <c r="D89" s="61" t="str">
        <f>IFERROR(VLOOKUP(표11[[#This Row],[해양 오브젝트]],[3]!표1[[이름]:[위도]],3,FALSE),"-")</f>
        <v>-</v>
      </c>
      <c r="E89" s="61" t="str">
        <f>IFERROR(VLOOKUP(표11[[#This Row],[해양 오브젝트]],[3]!표1[[이름]:[위도]],2,FALSE),"-")</f>
        <v>-</v>
      </c>
      <c r="F89" s="61">
        <f>IFERROR(INDEX([1]Discovery!$AW:$AW,MATCH(표11[[#This Row],[해양 오브젝트]],[1]Discovery!$B:$B,0)),"-")</f>
        <v>0</v>
      </c>
      <c r="G89" s="61">
        <f>IFERROR(INDEX([1]Discovery!$AY:$AY,MATCH(표11[[#This Row],[해양 오브젝트]],[1]Discovery!$B:$B,0)),"-")</f>
        <v>0</v>
      </c>
      <c r="H89" s="61">
        <f>IFERROR(INDEX([1]Discovery!$BA:$BA,MATCH(표11[[#This Row],[해양 오브젝트]],[1]Discovery!$B:$B,0)),"-")</f>
        <v>0</v>
      </c>
    </row>
    <row r="90" spans="2:8" x14ac:dyDescent="0.3">
      <c r="B90" s="61" t="str">
        <f>[2]OceanDoodad!Z95</f>
        <v>스펀 폭포</v>
      </c>
      <c r="C90" s="61" t="str">
        <f>IFERROR(VLOOKUP(표11[[#This Row],[해양 오브젝트]],[3]!표1[[이름]:[선단 LV]],6,FALSE),"-")</f>
        <v>-</v>
      </c>
      <c r="D90" s="61" t="str">
        <f>IFERROR(VLOOKUP(표11[[#This Row],[해양 오브젝트]],[3]!표1[[이름]:[위도]],3,FALSE),"-")</f>
        <v>-</v>
      </c>
      <c r="E90" s="61" t="str">
        <f>IFERROR(VLOOKUP(표11[[#This Row],[해양 오브젝트]],[3]!표1[[이름]:[위도]],2,FALSE),"-")</f>
        <v>-</v>
      </c>
      <c r="F90" s="61">
        <f>IFERROR(INDEX([1]Discovery!$AW:$AW,MATCH(표11[[#This Row],[해양 오브젝트]],[1]Discovery!$B:$B,0)),"-")</f>
        <v>0</v>
      </c>
      <c r="G90" s="61">
        <f>IFERROR(INDEX([1]Discovery!$AY:$AY,MATCH(표11[[#This Row],[해양 오브젝트]],[1]Discovery!$B:$B,0)),"-")</f>
        <v>0</v>
      </c>
      <c r="H90" s="61">
        <f>IFERROR(INDEX([1]Discovery!$BA:$BA,MATCH(표11[[#This Row],[해양 오브젝트]],[1]Discovery!$B:$B,0)),"-")</f>
        <v>0</v>
      </c>
    </row>
    <row r="91" spans="2:8" x14ac:dyDescent="0.3">
      <c r="B91" s="61" t="str">
        <f>[2]OceanDoodad!Z96</f>
        <v>게곤 폭포</v>
      </c>
      <c r="C91" s="61" t="str">
        <f>IFERROR(VLOOKUP(표11[[#This Row],[해양 오브젝트]],[3]!표1[[이름]:[선단 LV]],6,FALSE),"-")</f>
        <v>-</v>
      </c>
      <c r="D91" s="61" t="str">
        <f>IFERROR(VLOOKUP(표11[[#This Row],[해양 오브젝트]],[3]!표1[[이름]:[위도]],3,FALSE),"-")</f>
        <v>-</v>
      </c>
      <c r="E91" s="61" t="str">
        <f>IFERROR(VLOOKUP(표11[[#This Row],[해양 오브젝트]],[3]!표1[[이름]:[위도]],2,FALSE),"-")</f>
        <v>-</v>
      </c>
      <c r="F91" s="61" t="str">
        <f>IFERROR(INDEX([1]Discovery!$AW:$AW,MATCH(표11[[#This Row],[해양 오브젝트]],[1]Discovery!$B:$B,0)),"-")</f>
        <v>특정 국가 항해사 보유</v>
      </c>
      <c r="G91" s="61" t="str">
        <f>IFERROR(INDEX([1]Discovery!$AY:$AY,MATCH(표11[[#This Row],[해양 오브젝트]],[1]Discovery!$B:$B,0)),"-")</f>
        <v>일본</v>
      </c>
      <c r="H91" s="61">
        <f>IFERROR(INDEX([1]Discovery!$BA:$BA,MATCH(표11[[#This Row],[해양 오브젝트]],[1]Discovery!$B:$B,0)),"-")</f>
        <v>8</v>
      </c>
    </row>
    <row r="92" spans="2:8" x14ac:dyDescent="0.3">
      <c r="B92" s="61" t="str">
        <f>[2]OceanDoodad!Z97</f>
        <v>베수비오산</v>
      </c>
      <c r="C92" s="61" t="str">
        <f>IFERROR(VLOOKUP(표11[[#This Row],[해양 오브젝트]],[3]!표1[[이름]:[선단 LV]],6,FALSE),"-")</f>
        <v>-</v>
      </c>
      <c r="D92" s="61" t="str">
        <f>IFERROR(VLOOKUP(표11[[#This Row],[해양 오브젝트]],[3]!표1[[이름]:[위도]],3,FALSE),"-")</f>
        <v>-</v>
      </c>
      <c r="E92" s="61" t="str">
        <f>IFERROR(VLOOKUP(표11[[#This Row],[해양 오브젝트]],[3]!표1[[이름]:[위도]],2,FALSE),"-")</f>
        <v>-</v>
      </c>
      <c r="F92" s="61" t="str">
        <f>IFERROR(INDEX([1]Discovery!$AW:$AW,MATCH(표11[[#This Row],[해양 오브젝트]],[1]Discovery!$B:$B,0)),"-")</f>
        <v>특정 직업 항해사 보유</v>
      </c>
      <c r="G92" s="61" t="str">
        <f>IFERROR(INDEX([1]Discovery!$AY:$AY,MATCH(표11[[#This Row],[해양 오브젝트]],[1]Discovery!$B:$B,0)),"-")</f>
        <v>지리학자</v>
      </c>
      <c r="H92" s="61">
        <f>IFERROR(INDEX([1]Discovery!$BA:$BA,MATCH(표11[[#This Row],[해양 오브젝트]],[1]Discovery!$B:$B,0)),"-")</f>
        <v>6</v>
      </c>
    </row>
    <row r="93" spans="2:8" x14ac:dyDescent="0.3">
      <c r="B93" s="61" t="str">
        <f>[2]OceanDoodad!Z98</f>
        <v>에트나산</v>
      </c>
      <c r="C93" s="61" t="str">
        <f>IFERROR(VLOOKUP(표11[[#This Row],[해양 오브젝트]],[3]!표1[[이름]:[선단 LV]],6,FALSE),"-")</f>
        <v>-</v>
      </c>
      <c r="D93" s="61" t="str">
        <f>IFERROR(VLOOKUP(표11[[#This Row],[해양 오브젝트]],[3]!표1[[이름]:[위도]],3,FALSE),"-")</f>
        <v>-</v>
      </c>
      <c r="E93" s="61" t="str">
        <f>IFERROR(VLOOKUP(표11[[#This Row],[해양 오브젝트]],[3]!표1[[이름]:[위도]],2,FALSE),"-")</f>
        <v>-</v>
      </c>
      <c r="F93" s="61" t="str">
        <f>IFERROR(INDEX([1]Discovery!$AW:$AW,MATCH(표11[[#This Row],[해양 오브젝트]],[1]Discovery!$B:$B,0)),"-")</f>
        <v>특정 직업 항해사 보유</v>
      </c>
      <c r="G93" s="61" t="str">
        <f>IFERROR(INDEX([1]Discovery!$AY:$AY,MATCH(표11[[#This Row],[해양 오브젝트]],[1]Discovery!$B:$B,0)),"-")</f>
        <v>지리학자</v>
      </c>
      <c r="H93" s="61">
        <f>IFERROR(INDEX([1]Discovery!$BA:$BA,MATCH(표11[[#This Row],[해양 오브젝트]],[1]Discovery!$B:$B,0)),"-")</f>
        <v>6</v>
      </c>
    </row>
    <row r="94" spans="2:8" x14ac:dyDescent="0.3">
      <c r="B94" s="61" t="str">
        <f>[2]OceanDoodad!Z99</f>
        <v>한라산</v>
      </c>
      <c r="C94" s="61" t="str">
        <f>IFERROR(VLOOKUP(표11[[#This Row],[해양 오브젝트]],[3]!표1[[이름]:[선단 LV]],6,FALSE),"-")</f>
        <v>-</v>
      </c>
      <c r="D94" s="61" t="str">
        <f>IFERROR(VLOOKUP(표11[[#This Row],[해양 오브젝트]],[3]!표1[[이름]:[위도]],3,FALSE),"-")</f>
        <v>-</v>
      </c>
      <c r="E94" s="61" t="str">
        <f>IFERROR(VLOOKUP(표11[[#This Row],[해양 오브젝트]],[3]!표1[[이름]:[위도]],2,FALSE),"-")</f>
        <v>-</v>
      </c>
      <c r="F94" s="61" t="str">
        <f>IFERROR(INDEX([1]Discovery!$AW:$AW,MATCH(표11[[#This Row],[해양 오브젝트]],[1]Discovery!$B:$B,0)),"-")</f>
        <v>특정 계절</v>
      </c>
      <c r="G94" s="61" t="str">
        <f>IFERROR(INDEX([1]Discovery!$AY:$AY,MATCH(표11[[#This Row],[해양 오브젝트]],[1]Discovery!$B:$B,0)),"-")</f>
        <v>가을</v>
      </c>
      <c r="H94" s="61">
        <f>IFERROR(INDEX([1]Discovery!$BA:$BA,MATCH(표11[[#This Row],[해양 오브젝트]],[1]Discovery!$B:$B,0)),"-")</f>
        <v>1</v>
      </c>
    </row>
    <row r="95" spans="2:8" x14ac:dyDescent="0.3">
      <c r="B95" s="61" t="str">
        <f>[2]OceanDoodad!Z100</f>
        <v>백두산</v>
      </c>
      <c r="C95" s="61" t="str">
        <f>IFERROR(VLOOKUP(표11[[#This Row],[해양 오브젝트]],[3]!표1[[이름]:[선단 LV]],6,FALSE),"-")</f>
        <v>-</v>
      </c>
      <c r="D95" s="61" t="str">
        <f>IFERROR(VLOOKUP(표11[[#This Row],[해양 오브젝트]],[3]!표1[[이름]:[위도]],3,FALSE),"-")</f>
        <v>-</v>
      </c>
      <c r="E95" s="61" t="str">
        <f>IFERROR(VLOOKUP(표11[[#This Row],[해양 오브젝트]],[3]!표1[[이름]:[위도]],2,FALSE),"-")</f>
        <v>-</v>
      </c>
      <c r="F95" s="61" t="str">
        <f>IFERROR(INDEX([1]Discovery!$AW:$AW,MATCH(표11[[#This Row],[해양 오브젝트]],[1]Discovery!$B:$B,0)),"-")</f>
        <v>무조건 실패</v>
      </c>
      <c r="G95" s="61">
        <f>IFERROR(INDEX([1]Discovery!$AY:$AY,MATCH(표11[[#This Row],[해양 오브젝트]],[1]Discovery!$B:$B,0)),"-")</f>
        <v>0</v>
      </c>
      <c r="H95" s="61">
        <f>IFERROR(INDEX([1]Discovery!$BA:$BA,MATCH(표11[[#This Row],[해양 오브젝트]],[1]Discovery!$B:$B,0)),"-")</f>
        <v>1</v>
      </c>
    </row>
    <row r="96" spans="2:8" x14ac:dyDescent="0.3">
      <c r="B96" s="61" t="str">
        <f>[2]OceanDoodad!Z101</f>
        <v>스메루산</v>
      </c>
      <c r="C96" s="61" t="str">
        <f>IFERROR(VLOOKUP(표11[[#This Row],[해양 오브젝트]],[3]!표1[[이름]:[선단 LV]],6,FALSE),"-")</f>
        <v>-</v>
      </c>
      <c r="D96" s="61" t="str">
        <f>IFERROR(VLOOKUP(표11[[#This Row],[해양 오브젝트]],[3]!표1[[이름]:[위도]],3,FALSE),"-")</f>
        <v>-</v>
      </c>
      <c r="E96" s="61" t="str">
        <f>IFERROR(VLOOKUP(표11[[#This Row],[해양 오브젝트]],[3]!표1[[이름]:[위도]],2,FALSE),"-")</f>
        <v>-</v>
      </c>
      <c r="F96" s="61" t="str">
        <f>IFERROR(INDEX([1]Discovery!$AW:$AW,MATCH(표11[[#This Row],[해양 오브젝트]],[1]Discovery!$B:$B,0)),"-")</f>
        <v>특정 직업 항해사 보유</v>
      </c>
      <c r="G96" s="61" t="str">
        <f>IFERROR(INDEX([1]Discovery!$AY:$AY,MATCH(표11[[#This Row],[해양 오브젝트]],[1]Discovery!$B:$B,0)),"-")</f>
        <v>탐험가</v>
      </c>
      <c r="H96" s="61">
        <f>IFERROR(INDEX([1]Discovery!$BA:$BA,MATCH(표11[[#This Row],[해양 오브젝트]],[1]Discovery!$B:$B,0)),"-")</f>
        <v>3</v>
      </c>
    </row>
    <row r="97" spans="2:8" x14ac:dyDescent="0.3">
      <c r="B97" s="61" t="str">
        <f>[2]OceanDoodad!Z102</f>
        <v>마우나 케아</v>
      </c>
      <c r="C97" s="61" t="str">
        <f>IFERROR(VLOOKUP(표11[[#This Row],[해양 오브젝트]],[3]!표1[[이름]:[선단 LV]],6,FALSE),"-")</f>
        <v>-</v>
      </c>
      <c r="D97" s="61" t="str">
        <f>IFERROR(VLOOKUP(표11[[#This Row],[해양 오브젝트]],[3]!표1[[이름]:[위도]],3,FALSE),"-")</f>
        <v>-</v>
      </c>
      <c r="E97" s="61" t="str">
        <f>IFERROR(VLOOKUP(표11[[#This Row],[해양 오브젝트]],[3]!표1[[이름]:[위도]],2,FALSE),"-")</f>
        <v>-</v>
      </c>
      <c r="F97" s="61" t="str">
        <f>IFERROR(INDEX([1]Discovery!$AW:$AW,MATCH(표11[[#This Row],[해양 오브젝트]],[1]Discovery!$B:$B,0)),"-")</f>
        <v>무조건 실패</v>
      </c>
      <c r="G97" s="61">
        <f>IFERROR(INDEX([1]Discovery!$AY:$AY,MATCH(표11[[#This Row],[해양 오브젝트]],[1]Discovery!$B:$B,0)),"-")</f>
        <v>0</v>
      </c>
      <c r="H97" s="61">
        <f>IFERROR(INDEX([1]Discovery!$BA:$BA,MATCH(표11[[#This Row],[해양 오브젝트]],[1]Discovery!$B:$B,0)),"-")</f>
        <v>1</v>
      </c>
    </row>
    <row r="98" spans="2:8" x14ac:dyDescent="0.3">
      <c r="B98" s="61" t="str">
        <f>[2]OceanDoodad!Z103</f>
        <v>다이아몬드 헤드</v>
      </c>
      <c r="C98" s="61" t="str">
        <f>IFERROR(VLOOKUP(표11[[#This Row],[해양 오브젝트]],[3]!표1[[이름]:[선단 LV]],6,FALSE),"-")</f>
        <v>-</v>
      </c>
      <c r="D98" s="61" t="str">
        <f>IFERROR(VLOOKUP(표11[[#This Row],[해양 오브젝트]],[3]!표1[[이름]:[위도]],3,FALSE),"-")</f>
        <v>-</v>
      </c>
      <c r="E98" s="61" t="str">
        <f>IFERROR(VLOOKUP(표11[[#This Row],[해양 오브젝트]],[3]!표1[[이름]:[위도]],2,FALSE),"-")</f>
        <v>-</v>
      </c>
      <c r="F98" s="61" t="str">
        <f>IFERROR(INDEX([1]Discovery!$AW:$AW,MATCH(표11[[#This Row],[해양 오브젝트]],[1]Discovery!$B:$B,0)),"-")</f>
        <v>무조건 실패</v>
      </c>
      <c r="G98" s="61">
        <f>IFERROR(INDEX([1]Discovery!$AY:$AY,MATCH(표11[[#This Row],[해양 오브젝트]],[1]Discovery!$B:$B,0)),"-")</f>
        <v>0</v>
      </c>
      <c r="H98" s="61">
        <f>IFERROR(INDEX([1]Discovery!$BA:$BA,MATCH(표11[[#This Row],[해양 오브젝트]],[1]Discovery!$B:$B,0)),"-")</f>
        <v>1</v>
      </c>
    </row>
    <row r="99" spans="2:8" x14ac:dyDescent="0.3">
      <c r="B99" s="61" t="str">
        <f>[2]OceanDoodad!Z104</f>
        <v>후지산</v>
      </c>
      <c r="C99" s="61" t="str">
        <f>IFERROR(VLOOKUP(표11[[#This Row],[해양 오브젝트]],[3]!표1[[이름]:[선단 LV]],6,FALSE),"-")</f>
        <v>-</v>
      </c>
      <c r="D99" s="61" t="str">
        <f>IFERROR(VLOOKUP(표11[[#This Row],[해양 오브젝트]],[3]!표1[[이름]:[위도]],3,FALSE),"-")</f>
        <v>-</v>
      </c>
      <c r="E99" s="61" t="str">
        <f>IFERROR(VLOOKUP(표11[[#This Row],[해양 오브젝트]],[3]!표1[[이름]:[위도]],2,FALSE),"-")</f>
        <v>-</v>
      </c>
      <c r="F99" s="61" t="str">
        <f>IFERROR(INDEX([1]Discovery!$AW:$AW,MATCH(표11[[#This Row],[해양 오브젝트]],[1]Discovery!$B:$B,0)),"-")</f>
        <v>무조건 실패</v>
      </c>
      <c r="G99" s="61">
        <f>IFERROR(INDEX([1]Discovery!$AY:$AY,MATCH(표11[[#This Row],[해양 오브젝트]],[1]Discovery!$B:$B,0)),"-")</f>
        <v>0</v>
      </c>
      <c r="H99" s="61">
        <f>IFERROR(INDEX([1]Discovery!$BA:$BA,MATCH(표11[[#This Row],[해양 오브젝트]],[1]Discovery!$B:$B,0)),"-")</f>
        <v>1</v>
      </c>
    </row>
    <row r="100" spans="2:8" x14ac:dyDescent="0.3">
      <c r="B100" s="61" t="str">
        <f>[2]OceanDoodad!Z105</f>
        <v>아소산</v>
      </c>
      <c r="C100" s="61" t="str">
        <f>IFERROR(VLOOKUP(표11[[#This Row],[해양 오브젝트]],[3]!표1[[이름]:[선단 LV]],6,FALSE),"-")</f>
        <v>-</v>
      </c>
      <c r="D100" s="61" t="str">
        <f>IFERROR(VLOOKUP(표11[[#This Row],[해양 오브젝트]],[3]!표1[[이름]:[위도]],3,FALSE),"-")</f>
        <v>-</v>
      </c>
      <c r="E100" s="61" t="str">
        <f>IFERROR(VLOOKUP(표11[[#This Row],[해양 오브젝트]],[3]!표1[[이름]:[위도]],2,FALSE),"-")</f>
        <v>-</v>
      </c>
      <c r="F100" s="61" t="str">
        <f>IFERROR(INDEX([1]Discovery!$AW:$AW,MATCH(표11[[#This Row],[해양 오브젝트]],[1]Discovery!$B:$B,0)),"-")</f>
        <v>특정 직업 항해사 보유</v>
      </c>
      <c r="G100" s="61" t="str">
        <f>IFERROR(INDEX([1]Discovery!$AY:$AY,MATCH(표11[[#This Row],[해양 오브젝트]],[1]Discovery!$B:$B,0)),"-")</f>
        <v>지리학자</v>
      </c>
      <c r="H100" s="61">
        <f>IFERROR(INDEX([1]Discovery!$BA:$BA,MATCH(표11[[#This Row],[해양 오브젝트]],[1]Discovery!$B:$B,0)),"-")</f>
        <v>4</v>
      </c>
    </row>
    <row r="101" spans="2:8" x14ac:dyDescent="0.3">
      <c r="B101" s="61" t="str">
        <f>[2]OceanDoodad!Z106</f>
        <v>세인트헬렌스산</v>
      </c>
      <c r="C101" s="61" t="str">
        <f>IFERROR(VLOOKUP(표11[[#This Row],[해양 오브젝트]],[3]!표1[[이름]:[선단 LV]],6,FALSE),"-")</f>
        <v>-</v>
      </c>
      <c r="D101" s="61" t="str">
        <f>IFERROR(VLOOKUP(표11[[#This Row],[해양 오브젝트]],[3]!표1[[이름]:[위도]],3,FALSE),"-")</f>
        <v>-</v>
      </c>
      <c r="E101" s="61" t="str">
        <f>IFERROR(VLOOKUP(표11[[#This Row],[해양 오브젝트]],[3]!표1[[이름]:[위도]],2,FALSE),"-")</f>
        <v>-</v>
      </c>
      <c r="F101" s="61" t="str">
        <f>IFERROR(INDEX([1]Discovery!$AW:$AW,MATCH(표11[[#This Row],[해양 오브젝트]],[1]Discovery!$B:$B,0)),"-")</f>
        <v>특정 직업 항해사 보유</v>
      </c>
      <c r="G101" s="61" t="str">
        <f>IFERROR(INDEX([1]Discovery!$AY:$AY,MATCH(표11[[#This Row],[해양 오브젝트]],[1]Discovery!$B:$B,0)),"-")</f>
        <v>지리학자</v>
      </c>
      <c r="H101" s="61">
        <f>IFERROR(INDEX([1]Discovery!$BA:$BA,MATCH(표11[[#This Row],[해양 오브젝트]],[1]Discovery!$B:$B,0)),"-")</f>
        <v>7</v>
      </c>
    </row>
    <row r="102" spans="2:8" x14ac:dyDescent="0.3">
      <c r="B102" s="61" t="str">
        <f>[2]OceanDoodad!Z107</f>
        <v>아궁산</v>
      </c>
      <c r="C102" s="61" t="str">
        <f>IFERROR(VLOOKUP(표11[[#This Row],[해양 오브젝트]],[3]!표1[[이름]:[선단 LV]],6,FALSE),"-")</f>
        <v>-</v>
      </c>
      <c r="D102" s="61" t="str">
        <f>IFERROR(VLOOKUP(표11[[#This Row],[해양 오브젝트]],[3]!표1[[이름]:[위도]],3,FALSE),"-")</f>
        <v>-</v>
      </c>
      <c r="E102" s="61" t="str">
        <f>IFERROR(VLOOKUP(표11[[#This Row],[해양 오브젝트]],[3]!표1[[이름]:[위도]],2,FALSE),"-")</f>
        <v>-</v>
      </c>
      <c r="F102" s="61">
        <f>IFERROR(INDEX([1]Discovery!$AW:$AW,MATCH(표11[[#This Row],[해양 오브젝트]],[1]Discovery!$B:$B,0)),"-")</f>
        <v>0</v>
      </c>
      <c r="G102" s="61">
        <f>IFERROR(INDEX([1]Discovery!$AY:$AY,MATCH(표11[[#This Row],[해양 오브젝트]],[1]Discovery!$B:$B,0)),"-")</f>
        <v>0</v>
      </c>
      <c r="H102" s="61">
        <f>IFERROR(INDEX([1]Discovery!$BA:$BA,MATCH(표11[[#This Row],[해양 오브젝트]],[1]Discovery!$B:$B,0)),"-")</f>
        <v>0</v>
      </c>
    </row>
    <row r="103" spans="2:8" x14ac:dyDescent="0.3">
      <c r="B103" s="61" t="str">
        <f>[2]OceanDoodad!Z108</f>
        <v>클리무투산</v>
      </c>
      <c r="C103" s="61" t="str">
        <f>IFERROR(VLOOKUP(표11[[#This Row],[해양 오브젝트]],[3]!표1[[이름]:[선단 LV]],6,FALSE),"-")</f>
        <v>-</v>
      </c>
      <c r="D103" s="61" t="str">
        <f>IFERROR(VLOOKUP(표11[[#This Row],[해양 오브젝트]],[3]!표1[[이름]:[위도]],3,FALSE),"-")</f>
        <v>-</v>
      </c>
      <c r="E103" s="61" t="str">
        <f>IFERROR(VLOOKUP(표11[[#This Row],[해양 오브젝트]],[3]!표1[[이름]:[위도]],2,FALSE),"-")</f>
        <v>-</v>
      </c>
      <c r="F103" s="61" t="str">
        <f>IFERROR(INDEX([1]Discovery!$AW:$AW,MATCH(표11[[#This Row],[해양 오브젝트]],[1]Discovery!$B:$B,0)),"-")</f>
        <v>-</v>
      </c>
      <c r="G103" s="61" t="str">
        <f>IFERROR(INDEX([1]Discovery!$AY:$AY,MATCH(표11[[#This Row],[해양 오브젝트]],[1]Discovery!$B:$B,0)),"-")</f>
        <v>-</v>
      </c>
      <c r="H103" s="61" t="str">
        <f>IFERROR(INDEX([1]Discovery!$BA:$BA,MATCH(표11[[#This Row],[해양 오브젝트]],[1]Discovery!$B:$B,0)),"-")</f>
        <v>-</v>
      </c>
    </row>
    <row r="104" spans="2:8" hidden="1" x14ac:dyDescent="0.3">
      <c r="B104" s="61" t="str">
        <f>[2]OceanDoodad!Z109</f>
        <v>피나투보산</v>
      </c>
      <c r="C104" s="61" t="str">
        <f>IFERROR(VLOOKUP(표11[[#This Row],[해양 오브젝트]],[3]!표1[[이름]:[선단 LV]],6,FALSE),"-")</f>
        <v>-</v>
      </c>
      <c r="D104" s="61" t="str">
        <f>IFERROR(VLOOKUP(표11[[#This Row],[해양 오브젝트]],[3]!표1[[이름]:[위도]],3,FALSE),"-")</f>
        <v>-</v>
      </c>
      <c r="E104" s="61" t="str">
        <f>IFERROR(VLOOKUP(표11[[#This Row],[해양 오브젝트]],[3]!표1[[이름]:[위도]],2,FALSE),"-")</f>
        <v>-</v>
      </c>
      <c r="F104" s="61">
        <f>IFERROR(INDEX([1]Discovery!$AW:$AW,MATCH(표11[[#This Row],[해양 오브젝트]],[1]Discovery!$B:$B,0)),"-")</f>
        <v>0</v>
      </c>
      <c r="G104" s="61">
        <f>IFERROR(INDEX([1]Discovery!$AY:$AY,MATCH(표11[[#This Row],[해양 오브젝트]],[1]Discovery!$B:$B,0)),"-")</f>
        <v>0</v>
      </c>
      <c r="H104" s="61">
        <f>IFERROR(INDEX([1]Discovery!$BA:$BA,MATCH(표11[[#This Row],[해양 오브젝트]],[1]Discovery!$B:$B,0)),"-")</f>
        <v>0</v>
      </c>
    </row>
    <row r="105" spans="2:8" x14ac:dyDescent="0.3">
      <c r="B105" s="61" t="str">
        <f>[2]OceanDoodad!Z110</f>
        <v>마욘산</v>
      </c>
      <c r="C105" s="61" t="str">
        <f>IFERROR(VLOOKUP(표11[[#This Row],[해양 오브젝트]],[3]!표1[[이름]:[선단 LV]],6,FALSE),"-")</f>
        <v>-</v>
      </c>
      <c r="D105" s="61" t="str">
        <f>IFERROR(VLOOKUP(표11[[#This Row],[해양 오브젝트]],[3]!표1[[이름]:[위도]],3,FALSE),"-")</f>
        <v>-</v>
      </c>
      <c r="E105" s="61" t="str">
        <f>IFERROR(VLOOKUP(표11[[#This Row],[해양 오브젝트]],[3]!표1[[이름]:[위도]],2,FALSE),"-")</f>
        <v>-</v>
      </c>
      <c r="F105" s="61" t="str">
        <f>IFERROR(INDEX([1]Discovery!$AW:$AW,MATCH(표11[[#This Row],[해양 오브젝트]],[1]Discovery!$B:$B,0)),"-")</f>
        <v>특정 직업 항해사 보유</v>
      </c>
      <c r="G105" s="61" t="str">
        <f>IFERROR(INDEX([1]Discovery!$AY:$AY,MATCH(표11[[#This Row],[해양 오브젝트]],[1]Discovery!$B:$B,0)),"-")</f>
        <v>지리학자</v>
      </c>
      <c r="H105" s="61">
        <f>IFERROR(INDEX([1]Discovery!$BA:$BA,MATCH(표11[[#This Row],[해양 오브젝트]],[1]Discovery!$B:$B,0)),"-")</f>
        <v>6</v>
      </c>
    </row>
    <row r="106" spans="2:8" x14ac:dyDescent="0.3">
      <c r="B106" s="61" t="str">
        <f>[2]OceanDoodad!Z111</f>
        <v>그림스뵈튼산</v>
      </c>
      <c r="C106" s="61" t="str">
        <f>IFERROR(VLOOKUP(표11[[#This Row],[해양 오브젝트]],[3]!표1[[이름]:[선단 LV]],6,FALSE),"-")</f>
        <v>-</v>
      </c>
      <c r="D106" s="61" t="str">
        <f>IFERROR(VLOOKUP(표11[[#This Row],[해양 오브젝트]],[3]!표1[[이름]:[위도]],3,FALSE),"-")</f>
        <v>-</v>
      </c>
      <c r="E106" s="61" t="str">
        <f>IFERROR(VLOOKUP(표11[[#This Row],[해양 오브젝트]],[3]!표1[[이름]:[위도]],2,FALSE),"-")</f>
        <v>-</v>
      </c>
      <c r="F106" s="61">
        <f>IFERROR(INDEX([1]Discovery!$AW:$AW,MATCH(표11[[#This Row],[해양 오브젝트]],[1]Discovery!$B:$B,0)),"-")</f>
        <v>0</v>
      </c>
      <c r="G106" s="61">
        <f>IFERROR(INDEX([1]Discovery!$AY:$AY,MATCH(표11[[#This Row],[해양 오브젝트]],[1]Discovery!$B:$B,0)),"-")</f>
        <v>0</v>
      </c>
      <c r="H106" s="61">
        <f>IFERROR(INDEX([1]Discovery!$BA:$BA,MATCH(표11[[#This Row],[해양 오브젝트]],[1]Discovery!$B:$B,0)),"-")</f>
        <v>0</v>
      </c>
    </row>
    <row r="107" spans="2:8" x14ac:dyDescent="0.3">
      <c r="B107" s="61" t="str">
        <f>[2]OceanDoodad!Z112</f>
        <v>제이타 동굴</v>
      </c>
      <c r="C107" s="61" t="str">
        <f>IFERROR(VLOOKUP(표11[[#This Row],[해양 오브젝트]],[3]!표1[[이름]:[선단 LV]],6,FALSE),"-")</f>
        <v>-</v>
      </c>
      <c r="D107" s="61" t="str">
        <f>IFERROR(VLOOKUP(표11[[#This Row],[해양 오브젝트]],[3]!표1[[이름]:[위도]],3,FALSE),"-")</f>
        <v>-</v>
      </c>
      <c r="E107" s="61" t="str">
        <f>IFERROR(VLOOKUP(표11[[#This Row],[해양 오브젝트]],[3]!표1[[이름]:[위도]],2,FALSE),"-")</f>
        <v>-</v>
      </c>
      <c r="F107" s="61">
        <f>IFERROR(INDEX([1]Discovery!$AW:$AW,MATCH(표11[[#This Row],[해양 오브젝트]],[1]Discovery!$B:$B,0)),"-")</f>
        <v>0</v>
      </c>
      <c r="G107" s="61">
        <f>IFERROR(INDEX([1]Discovery!$AY:$AY,MATCH(표11[[#This Row],[해양 오브젝트]],[1]Discovery!$B:$B,0)),"-")</f>
        <v>0</v>
      </c>
      <c r="H107" s="61">
        <f>IFERROR(INDEX([1]Discovery!$BA:$BA,MATCH(표11[[#This Row],[해양 오브젝트]],[1]Discovery!$B:$B,0)),"-")</f>
        <v>0</v>
      </c>
    </row>
    <row r="108" spans="2:8" x14ac:dyDescent="0.3">
      <c r="B108" s="61">
        <f>[2]OceanDoodad!Z113</f>
        <v>0</v>
      </c>
      <c r="C108" s="61" t="str">
        <f>IFERROR(VLOOKUP(표11[[#This Row],[해양 오브젝트]],[3]!표1[[이름]:[선단 LV]],6,FALSE),"-")</f>
        <v>-</v>
      </c>
      <c r="D108" s="61" t="str">
        <f>IFERROR(VLOOKUP(표11[[#This Row],[해양 오브젝트]],[3]!표1[[이름]:[위도]],3,FALSE),"-")</f>
        <v>-</v>
      </c>
      <c r="E108" s="61" t="str">
        <f>IFERROR(VLOOKUP(표11[[#This Row],[해양 오브젝트]],[3]!표1[[이름]:[위도]],2,FALSE),"-")</f>
        <v>-</v>
      </c>
      <c r="F108" s="61" t="str">
        <f>IFERROR(INDEX([1]Discovery!$AW:$AW,MATCH(표11[[#This Row],[해양 오브젝트]],[1]Discovery!$B:$B,0)),"-")</f>
        <v>-</v>
      </c>
      <c r="G108" s="61" t="str">
        <f>IFERROR(INDEX([1]Discovery!$AY:$AY,MATCH(표11[[#This Row],[해양 오브젝트]],[1]Discovery!$B:$B,0)),"-")</f>
        <v>-</v>
      </c>
      <c r="H108" s="61" t="str">
        <f>IFERROR(INDEX([1]Discovery!$BA:$BA,MATCH(표11[[#This Row],[해양 오브젝트]],[1]Discovery!$B:$B,0)),"-")</f>
        <v>-</v>
      </c>
    </row>
    <row r="109" spans="2:8" x14ac:dyDescent="0.3">
      <c r="B109" s="61" t="str">
        <f>[2]OceanDoodad!Z114</f>
        <v>스카프타펠 동굴</v>
      </c>
      <c r="C109" s="61" t="str">
        <f>IFERROR(VLOOKUP(표11[[#This Row],[해양 오브젝트]],[3]!표1[[이름]:[선단 LV]],6,FALSE),"-")</f>
        <v>-</v>
      </c>
      <c r="D109" s="61" t="str">
        <f>IFERROR(VLOOKUP(표11[[#This Row],[해양 오브젝트]],[3]!표1[[이름]:[위도]],3,FALSE),"-")</f>
        <v>-</v>
      </c>
      <c r="E109" s="61" t="str">
        <f>IFERROR(VLOOKUP(표11[[#This Row],[해양 오브젝트]],[3]!표1[[이름]:[위도]],2,FALSE),"-")</f>
        <v>-</v>
      </c>
      <c r="F109" s="61">
        <f>IFERROR(INDEX([1]Discovery!$AW:$AW,MATCH(표11[[#This Row],[해양 오브젝트]],[1]Discovery!$B:$B,0)),"-")</f>
        <v>0</v>
      </c>
      <c r="G109" s="61">
        <f>IFERROR(INDEX([1]Discovery!$AY:$AY,MATCH(표11[[#This Row],[해양 오브젝트]],[1]Discovery!$B:$B,0)),"-")</f>
        <v>0</v>
      </c>
      <c r="H109" s="61">
        <f>IFERROR(INDEX([1]Discovery!$BA:$BA,MATCH(표11[[#This Row],[해양 오브젝트]],[1]Discovery!$B:$B,0)),"-")</f>
        <v>0</v>
      </c>
    </row>
    <row r="110" spans="2:8" x14ac:dyDescent="0.3">
      <c r="B110" s="61" t="str">
        <f>[2]OceanDoodad!Z115</f>
        <v>용암 동굴</v>
      </c>
      <c r="C110" s="61" t="str">
        <f>IFERROR(VLOOKUP(표11[[#This Row],[해양 오브젝트]],[3]!표1[[이름]:[선단 LV]],6,FALSE),"-")</f>
        <v>-</v>
      </c>
      <c r="D110" s="61" t="str">
        <f>IFERROR(VLOOKUP(표11[[#This Row],[해양 오브젝트]],[3]!표1[[이름]:[위도]],3,FALSE),"-")</f>
        <v>-</v>
      </c>
      <c r="E110" s="61" t="str">
        <f>IFERROR(VLOOKUP(표11[[#This Row],[해양 오브젝트]],[3]!표1[[이름]:[위도]],2,FALSE),"-")</f>
        <v>-</v>
      </c>
      <c r="F110" s="61">
        <f>IFERROR(INDEX([1]Discovery!$AW:$AW,MATCH(표11[[#This Row],[해양 오브젝트]],[1]Discovery!$B:$B,0)),"-")</f>
        <v>0</v>
      </c>
      <c r="G110" s="61">
        <f>IFERROR(INDEX([1]Discovery!$AY:$AY,MATCH(표11[[#This Row],[해양 오브젝트]],[1]Discovery!$B:$B,0)),"-")</f>
        <v>0</v>
      </c>
      <c r="H110" s="61">
        <f>IFERROR(INDEX([1]Discovery!$BA:$BA,MATCH(표11[[#This Row],[해양 오브젝트]],[1]Discovery!$B:$B,0)),"-")</f>
        <v>0</v>
      </c>
    </row>
    <row r="111" spans="2:8" x14ac:dyDescent="0.3">
      <c r="B111" s="61" t="str">
        <f>[2]OceanDoodad!Z116</f>
        <v>아비스모 아뉴마스</v>
      </c>
      <c r="C111" s="61" t="str">
        <f>IFERROR(VLOOKUP(표11[[#This Row],[해양 오브젝트]],[3]!표1[[이름]:[선단 LV]],6,FALSE),"-")</f>
        <v>-</v>
      </c>
      <c r="D111" s="61" t="str">
        <f>IFERROR(VLOOKUP(표11[[#This Row],[해양 오브젝트]],[3]!표1[[이름]:[위도]],3,FALSE),"-")</f>
        <v>-</v>
      </c>
      <c r="E111" s="61" t="str">
        <f>IFERROR(VLOOKUP(표11[[#This Row],[해양 오브젝트]],[3]!표1[[이름]:[위도]],2,FALSE),"-")</f>
        <v>-</v>
      </c>
      <c r="F111" s="61">
        <f>IFERROR(INDEX([1]Discovery!$AW:$AW,MATCH(표11[[#This Row],[해양 오브젝트]],[1]Discovery!$B:$B,0)),"-")</f>
        <v>0</v>
      </c>
      <c r="G111" s="61">
        <f>IFERROR(INDEX([1]Discovery!$AY:$AY,MATCH(표11[[#This Row],[해양 오브젝트]],[1]Discovery!$B:$B,0)),"-")</f>
        <v>0</v>
      </c>
      <c r="H111" s="61">
        <f>IFERROR(INDEX([1]Discovery!$BA:$BA,MATCH(표11[[#This Row],[해양 오브젝트]],[1]Discovery!$B:$B,0)),"-")</f>
        <v>0</v>
      </c>
    </row>
    <row r="112" spans="2:8" x14ac:dyDescent="0.3">
      <c r="B112" s="61" t="str">
        <f>[2]OceanDoodad!Z117</f>
        <v>제놀란 동굴</v>
      </c>
      <c r="C112" s="61" t="str">
        <f>IFERROR(VLOOKUP(표11[[#This Row],[해양 오브젝트]],[3]!표1[[이름]:[선단 LV]],6,FALSE),"-")</f>
        <v>-</v>
      </c>
      <c r="D112" s="61" t="str">
        <f>IFERROR(VLOOKUP(표11[[#This Row],[해양 오브젝트]],[3]!표1[[이름]:[위도]],3,FALSE),"-")</f>
        <v>-</v>
      </c>
      <c r="E112" s="61" t="str">
        <f>IFERROR(VLOOKUP(표11[[#This Row],[해양 오브젝트]],[3]!표1[[이름]:[위도]],2,FALSE),"-")</f>
        <v>-</v>
      </c>
      <c r="F112" s="61">
        <f>IFERROR(INDEX([1]Discovery!$AW:$AW,MATCH(표11[[#This Row],[해양 오브젝트]],[1]Discovery!$B:$B,0)),"-")</f>
        <v>0</v>
      </c>
      <c r="G112" s="61">
        <f>IFERROR(INDEX([1]Discovery!$AY:$AY,MATCH(표11[[#This Row],[해양 오브젝트]],[1]Discovery!$B:$B,0)),"-")</f>
        <v>0</v>
      </c>
      <c r="H112" s="61">
        <f>IFERROR(INDEX([1]Discovery!$BA:$BA,MATCH(표11[[#This Row],[해양 오브젝트]],[1]Discovery!$B:$B,0)),"-")</f>
        <v>0</v>
      </c>
    </row>
    <row r="113" spans="2:8" x14ac:dyDescent="0.3">
      <c r="B113" s="61" t="str">
        <f>[2]OceanDoodad!Z118</f>
        <v>좀블랑 동굴</v>
      </c>
      <c r="C113" s="61" t="str">
        <f>IFERROR(VLOOKUP(표11[[#This Row],[해양 오브젝트]],[3]!표1[[이름]:[선단 LV]],6,FALSE),"-")</f>
        <v>-</v>
      </c>
      <c r="D113" s="61" t="str">
        <f>IFERROR(VLOOKUP(표11[[#This Row],[해양 오브젝트]],[3]!표1[[이름]:[위도]],3,FALSE),"-")</f>
        <v>-</v>
      </c>
      <c r="E113" s="61" t="str">
        <f>IFERROR(VLOOKUP(표11[[#This Row],[해양 오브젝트]],[3]!표1[[이름]:[위도]],2,FALSE),"-")</f>
        <v>-</v>
      </c>
      <c r="F113" s="61">
        <f>IFERROR(INDEX([1]Discovery!$AW:$AW,MATCH(표11[[#This Row],[해양 오브젝트]],[1]Discovery!$B:$B,0)),"-")</f>
        <v>0</v>
      </c>
      <c r="G113" s="61">
        <f>IFERROR(INDEX([1]Discovery!$AY:$AY,MATCH(표11[[#This Row],[해양 오브젝트]],[1]Discovery!$B:$B,0)),"-")</f>
        <v>0</v>
      </c>
      <c r="H113" s="61">
        <f>IFERROR(INDEX([1]Discovery!$BA:$BA,MATCH(표11[[#This Row],[해양 오브젝트]],[1]Discovery!$B:$B,0)),"-")</f>
        <v>0</v>
      </c>
    </row>
    <row r="114" spans="2:8" x14ac:dyDescent="0.3">
      <c r="B114" s="61" t="str">
        <f>[2]OceanDoodad!Z119</f>
        <v>산동 동굴</v>
      </c>
      <c r="C114" s="61" t="str">
        <f>IFERROR(VLOOKUP(표11[[#This Row],[해양 오브젝트]],[3]!표1[[이름]:[선단 LV]],6,FALSE),"-")</f>
        <v>-</v>
      </c>
      <c r="D114" s="61" t="str">
        <f>IFERROR(VLOOKUP(표11[[#This Row],[해양 오브젝트]],[3]!표1[[이름]:[위도]],3,FALSE),"-")</f>
        <v>-</v>
      </c>
      <c r="E114" s="61" t="str">
        <f>IFERROR(VLOOKUP(표11[[#This Row],[해양 오브젝트]],[3]!표1[[이름]:[위도]],2,FALSE),"-")</f>
        <v>-</v>
      </c>
      <c r="F114" s="61">
        <f>IFERROR(INDEX([1]Discovery!$AW:$AW,MATCH(표11[[#This Row],[해양 오브젝트]],[1]Discovery!$B:$B,0)),"-")</f>
        <v>0</v>
      </c>
      <c r="G114" s="61">
        <f>IFERROR(INDEX([1]Discovery!$AY:$AY,MATCH(표11[[#This Row],[해양 오브젝트]],[1]Discovery!$B:$B,0)),"-")</f>
        <v>0</v>
      </c>
      <c r="H114" s="61">
        <f>IFERROR(INDEX([1]Discovery!$BA:$BA,MATCH(표11[[#This Row],[해양 오브젝트]],[1]Discovery!$B:$B,0)),"-")</f>
        <v>0</v>
      </c>
    </row>
    <row r="115" spans="2:8" x14ac:dyDescent="0.3">
      <c r="B115" s="61" t="str">
        <f>[2]OceanDoodad!Z120</f>
        <v>애드미럴스 아치</v>
      </c>
      <c r="C115" s="61" t="str">
        <f>IFERROR(VLOOKUP(표11[[#This Row],[해양 오브젝트]],[3]!표1[[이름]:[선단 LV]],6,FALSE),"-")</f>
        <v>-</v>
      </c>
      <c r="D115" s="61" t="str">
        <f>IFERROR(VLOOKUP(표11[[#This Row],[해양 오브젝트]],[3]!표1[[이름]:[위도]],3,FALSE),"-")</f>
        <v>-</v>
      </c>
      <c r="E115" s="61" t="str">
        <f>IFERROR(VLOOKUP(표11[[#This Row],[해양 오브젝트]],[3]!표1[[이름]:[위도]],2,FALSE),"-")</f>
        <v>-</v>
      </c>
      <c r="F115" s="61">
        <f>IFERROR(INDEX([1]Discovery!$AW:$AW,MATCH(표11[[#This Row],[해양 오브젝트]],[1]Discovery!$B:$B,0)),"-")</f>
        <v>0</v>
      </c>
      <c r="G115" s="61">
        <f>IFERROR(INDEX([1]Discovery!$AY:$AY,MATCH(표11[[#This Row],[해양 오브젝트]],[1]Discovery!$B:$B,0)),"-")</f>
        <v>0</v>
      </c>
      <c r="H115" s="61">
        <f>IFERROR(INDEX([1]Discovery!$BA:$BA,MATCH(표11[[#This Row],[해양 오브젝트]],[1]Discovery!$B:$B,0)),"-")</f>
        <v>0</v>
      </c>
    </row>
    <row r="116" spans="2:8" x14ac:dyDescent="0.3">
      <c r="B116" s="61" t="str">
        <f>[2]OceanDoodad!Z121</f>
        <v>담라타쉬 석회동굴</v>
      </c>
      <c r="C116" s="61" t="str">
        <f>IFERROR(VLOOKUP(표11[[#This Row],[해양 오브젝트]],[3]!표1[[이름]:[선단 LV]],6,FALSE),"-")</f>
        <v>-</v>
      </c>
      <c r="D116" s="61" t="str">
        <f>IFERROR(VLOOKUP(표11[[#This Row],[해양 오브젝트]],[3]!표1[[이름]:[위도]],3,FALSE),"-")</f>
        <v>-</v>
      </c>
      <c r="E116" s="61" t="str">
        <f>IFERROR(VLOOKUP(표11[[#This Row],[해양 오브젝트]],[3]!표1[[이름]:[위도]],2,FALSE),"-")</f>
        <v>-</v>
      </c>
      <c r="F116" s="61" t="str">
        <f>IFERROR(INDEX([1]Discovery!$AW:$AW,MATCH(표11[[#This Row],[해양 오브젝트]],[1]Discovery!$B:$B,0)),"-")</f>
        <v>특정 직업 항해사 보유</v>
      </c>
      <c r="G116" s="61" t="str">
        <f>IFERROR(INDEX([1]Discovery!$AY:$AY,MATCH(표11[[#This Row],[해양 오브젝트]],[1]Discovery!$B:$B,0)),"-")</f>
        <v>고고학자</v>
      </c>
      <c r="H116" s="61">
        <f>IFERROR(INDEX([1]Discovery!$BA:$BA,MATCH(표11[[#This Row],[해양 오브젝트]],[1]Discovery!$B:$B,0)),"-")</f>
        <v>1</v>
      </c>
    </row>
    <row r="117" spans="2:8" x14ac:dyDescent="0.3">
      <c r="B117" s="61" t="str">
        <f>[2]OceanDoodad!Z122</f>
        <v>핑갈 동굴</v>
      </c>
      <c r="C117" s="61" t="str">
        <f>IFERROR(VLOOKUP(표11[[#This Row],[해양 오브젝트]],[3]!표1[[이름]:[선단 LV]],6,FALSE),"-")</f>
        <v>-</v>
      </c>
      <c r="D117" s="61" t="str">
        <f>IFERROR(VLOOKUP(표11[[#This Row],[해양 오브젝트]],[3]!표1[[이름]:[위도]],3,FALSE),"-")</f>
        <v>-</v>
      </c>
      <c r="E117" s="61" t="str">
        <f>IFERROR(VLOOKUP(표11[[#This Row],[해양 오브젝트]],[3]!표1[[이름]:[위도]],2,FALSE),"-")</f>
        <v>-</v>
      </c>
      <c r="F117" s="61">
        <f>IFERROR(INDEX([1]Discovery!$AW:$AW,MATCH(표11[[#This Row],[해양 오브젝트]],[1]Discovery!$B:$B,0)),"-")</f>
        <v>0</v>
      </c>
      <c r="G117" s="61">
        <f>IFERROR(INDEX([1]Discovery!$AY:$AY,MATCH(표11[[#This Row],[해양 오브젝트]],[1]Discovery!$B:$B,0)),"-")</f>
        <v>0</v>
      </c>
      <c r="H117" s="61">
        <f>IFERROR(INDEX([1]Discovery!$BA:$BA,MATCH(표11[[#This Row],[해양 오브젝트]],[1]Discovery!$B:$B,0)),"-")</f>
        <v>0</v>
      </c>
    </row>
    <row r="118" spans="2:8" x14ac:dyDescent="0.3">
      <c r="B118" s="61" t="str">
        <f>[2]OceanDoodad!Z123</f>
        <v>커시드럴 동굴</v>
      </c>
      <c r="C118" s="61" t="str">
        <f>IFERROR(VLOOKUP(표11[[#This Row],[해양 오브젝트]],[3]!표1[[이름]:[선단 LV]],6,FALSE),"-")</f>
        <v>-</v>
      </c>
      <c r="D118" s="61" t="str">
        <f>IFERROR(VLOOKUP(표11[[#This Row],[해양 오브젝트]],[3]!표1[[이름]:[위도]],3,FALSE),"-")</f>
        <v>-</v>
      </c>
      <c r="E118" s="61" t="str">
        <f>IFERROR(VLOOKUP(표11[[#This Row],[해양 오브젝트]],[3]!표1[[이름]:[위도]],2,FALSE),"-")</f>
        <v>-</v>
      </c>
      <c r="F118" s="61">
        <f>IFERROR(INDEX([1]Discovery!$AW:$AW,MATCH(표11[[#This Row],[해양 오브젝트]],[1]Discovery!$B:$B,0)),"-")</f>
        <v>0</v>
      </c>
      <c r="G118" s="61">
        <f>IFERROR(INDEX([1]Discovery!$AY:$AY,MATCH(표11[[#This Row],[해양 오브젝트]],[1]Discovery!$B:$B,0)),"-")</f>
        <v>0</v>
      </c>
      <c r="H118" s="61">
        <f>IFERROR(INDEX([1]Discovery!$BA:$BA,MATCH(표11[[#This Row],[해양 오브젝트]],[1]Discovery!$B:$B,0)),"-")</f>
        <v>0</v>
      </c>
    </row>
    <row r="119" spans="2:8" x14ac:dyDescent="0.3">
      <c r="B119" s="61" t="str">
        <f>[2]OceanDoodad!Z124</f>
        <v>바다 사자 동굴</v>
      </c>
      <c r="C119" s="61" t="str">
        <f>IFERROR(VLOOKUP(표11[[#This Row],[해양 오브젝트]],[3]!표1[[이름]:[선단 LV]],6,FALSE),"-")</f>
        <v>-</v>
      </c>
      <c r="D119" s="61" t="str">
        <f>IFERROR(VLOOKUP(표11[[#This Row],[해양 오브젝트]],[3]!표1[[이름]:[위도]],3,FALSE),"-")</f>
        <v>-</v>
      </c>
      <c r="E119" s="61" t="str">
        <f>IFERROR(VLOOKUP(표11[[#This Row],[해양 오브젝트]],[3]!표1[[이름]:[위도]],2,FALSE),"-")</f>
        <v>-</v>
      </c>
      <c r="F119" s="61">
        <f>IFERROR(INDEX([1]Discovery!$AW:$AW,MATCH(표11[[#This Row],[해양 오브젝트]],[1]Discovery!$B:$B,0)),"-")</f>
        <v>0</v>
      </c>
      <c r="G119" s="61">
        <f>IFERROR(INDEX([1]Discovery!$AY:$AY,MATCH(표11[[#This Row],[해양 오브젝트]],[1]Discovery!$B:$B,0)),"-")</f>
        <v>0</v>
      </c>
      <c r="H119" s="61">
        <f>IFERROR(INDEX([1]Discovery!$BA:$BA,MATCH(표11[[#This Row],[해양 오브젝트]],[1]Discovery!$B:$B,0)),"-")</f>
        <v>0</v>
      </c>
    </row>
    <row r="120" spans="2:8" x14ac:dyDescent="0.3">
      <c r="B120" s="61" t="str">
        <f>[2]OceanDoodad!Z125</f>
        <v>부안 해식동굴</v>
      </c>
      <c r="C120" s="61" t="str">
        <f>IFERROR(VLOOKUP(표11[[#This Row],[해양 오브젝트]],[3]!표1[[이름]:[선단 LV]],6,FALSE),"-")</f>
        <v>-</v>
      </c>
      <c r="D120" s="61" t="str">
        <f>IFERROR(VLOOKUP(표11[[#This Row],[해양 오브젝트]],[3]!표1[[이름]:[위도]],3,FALSE),"-")</f>
        <v>-</v>
      </c>
      <c r="E120" s="61" t="str">
        <f>IFERROR(VLOOKUP(표11[[#This Row],[해양 오브젝트]],[3]!표1[[이름]:[위도]],2,FALSE),"-")</f>
        <v>-</v>
      </c>
      <c r="F120" s="61">
        <f>IFERROR(INDEX([1]Discovery!$AW:$AW,MATCH(표11[[#This Row],[해양 오브젝트]],[1]Discovery!$B:$B,0)),"-")</f>
        <v>0</v>
      </c>
      <c r="G120" s="61">
        <f>IFERROR(INDEX([1]Discovery!$AY:$AY,MATCH(표11[[#This Row],[해양 오브젝트]],[1]Discovery!$B:$B,0)),"-")</f>
        <v>0</v>
      </c>
      <c r="H120" s="61">
        <f>IFERROR(INDEX([1]Discovery!$BA:$BA,MATCH(표11[[#This Row],[해양 오브젝트]],[1]Discovery!$B:$B,0)),"-")</f>
        <v>0</v>
      </c>
    </row>
    <row r="121" spans="2:8" x14ac:dyDescent="0.3">
      <c r="B121" s="61" t="str">
        <f>[2]OceanDoodad!Z126</f>
        <v>아추라 동굴</v>
      </c>
      <c r="C121" s="61" t="str">
        <f>IFERROR(VLOOKUP(표11[[#This Row],[해양 오브젝트]],[3]!표1[[이름]:[선단 LV]],6,FALSE),"-")</f>
        <v>-</v>
      </c>
      <c r="D121" s="61" t="str">
        <f>IFERROR(VLOOKUP(표11[[#This Row],[해양 오브젝트]],[3]!표1[[이름]:[위도]],3,FALSE),"-")</f>
        <v>-</v>
      </c>
      <c r="E121" s="61" t="str">
        <f>IFERROR(VLOOKUP(표11[[#This Row],[해양 오브젝트]],[3]!표1[[이름]:[위도]],2,FALSE),"-")</f>
        <v>-</v>
      </c>
      <c r="F121" s="61" t="str">
        <f>IFERROR(INDEX([1]Discovery!$AW:$AW,MATCH(표11[[#This Row],[해양 오브젝트]],[1]Discovery!$B:$B,0)),"-")</f>
        <v>특정 퀘스트</v>
      </c>
      <c r="G121" s="61" t="str">
        <f>IFERROR(INDEX([1]Discovery!$AY:$AY,MATCH(표11[[#This Row],[해양 오브젝트]],[1]Discovery!$B:$B,0)),"-")</f>
        <v>에르네스트 로페스 시나리오</v>
      </c>
      <c r="H121" s="61" t="str">
        <f>IFERROR(INDEX([1]Discovery!$BA:$BA,MATCH(표11[[#This Row],[해양 오브젝트]],[1]Discovery!$B:$B,0)),"-")</f>
        <v>에르네스트 로페스05_03</v>
      </c>
    </row>
    <row r="122" spans="2:8" x14ac:dyDescent="0.3">
      <c r="B122" s="61" t="str">
        <f>[2]OceanDoodad!Z127</f>
        <v>간몬 해식 동굴</v>
      </c>
      <c r="C122" s="61" t="str">
        <f>IFERROR(VLOOKUP(표11[[#This Row],[해양 오브젝트]],[3]!표1[[이름]:[선단 LV]],6,FALSE),"-")</f>
        <v>-</v>
      </c>
      <c r="D122" s="61" t="str">
        <f>IFERROR(VLOOKUP(표11[[#This Row],[해양 오브젝트]],[3]!표1[[이름]:[위도]],3,FALSE),"-")</f>
        <v>-</v>
      </c>
      <c r="E122" s="61" t="str">
        <f>IFERROR(VLOOKUP(표11[[#This Row],[해양 오브젝트]],[3]!표1[[이름]:[위도]],2,FALSE),"-")</f>
        <v>-</v>
      </c>
      <c r="F122" s="61">
        <f>IFERROR(INDEX([1]Discovery!$AW:$AW,MATCH(표11[[#This Row],[해양 오브젝트]],[1]Discovery!$B:$B,0)),"-")</f>
        <v>0</v>
      </c>
      <c r="G122" s="61">
        <f>IFERROR(INDEX([1]Discovery!$AY:$AY,MATCH(표11[[#This Row],[해양 오브젝트]],[1]Discovery!$B:$B,0)),"-")</f>
        <v>0</v>
      </c>
      <c r="H122" s="61">
        <f>IFERROR(INDEX([1]Discovery!$BA:$BA,MATCH(표11[[#This Row],[해양 오브젝트]],[1]Discovery!$B:$B,0)),"-")</f>
        <v>0</v>
      </c>
    </row>
    <row r="123" spans="2:8" x14ac:dyDescent="0.3">
      <c r="B123" s="61" t="str">
        <f>[2]OceanDoodad!Z128</f>
        <v>해식 동굴</v>
      </c>
      <c r="C123" s="61" t="str">
        <f>IFERROR(VLOOKUP(표11[[#This Row],[해양 오브젝트]],[3]!표1[[이름]:[선단 LV]],6,FALSE),"-")</f>
        <v>-</v>
      </c>
      <c r="D123" s="61" t="str">
        <f>IFERROR(VLOOKUP(표11[[#This Row],[해양 오브젝트]],[3]!표1[[이름]:[위도]],3,FALSE),"-")</f>
        <v>-</v>
      </c>
      <c r="E123" s="61" t="str">
        <f>IFERROR(VLOOKUP(표11[[#This Row],[해양 오브젝트]],[3]!표1[[이름]:[위도]],2,FALSE),"-")</f>
        <v>-</v>
      </c>
      <c r="F123" s="61">
        <f>IFERROR(INDEX([1]Discovery!$AW:$AW,MATCH(표11[[#This Row],[해양 오브젝트]],[1]Discovery!$B:$B,0)),"-")</f>
        <v>0</v>
      </c>
      <c r="G123" s="61">
        <f>IFERROR(INDEX([1]Discovery!$AY:$AY,MATCH(표11[[#This Row],[해양 오브젝트]],[1]Discovery!$B:$B,0)),"-")</f>
        <v>0</v>
      </c>
      <c r="H123" s="61">
        <f>IFERROR(INDEX([1]Discovery!$BA:$BA,MATCH(표11[[#This Row],[해양 오브젝트]],[1]Discovery!$B:$B,0)),"-")</f>
        <v>0</v>
      </c>
    </row>
    <row r="124" spans="2:8" x14ac:dyDescent="0.3">
      <c r="B124" s="61" t="str">
        <f>[2]OceanDoodad!Z129</f>
        <v>갠지스 삼각주</v>
      </c>
      <c r="C124" s="61" t="str">
        <f>IFERROR(VLOOKUP(표11[[#This Row],[해양 오브젝트]],[3]!표1[[이름]:[선단 LV]],6,FALSE),"-")</f>
        <v>-</v>
      </c>
      <c r="D124" s="61" t="str">
        <f>IFERROR(VLOOKUP(표11[[#This Row],[해양 오브젝트]],[3]!표1[[이름]:[위도]],3,FALSE),"-")</f>
        <v>-</v>
      </c>
      <c r="E124" s="61" t="str">
        <f>IFERROR(VLOOKUP(표11[[#This Row],[해양 오브젝트]],[3]!표1[[이름]:[위도]],2,FALSE),"-")</f>
        <v>-</v>
      </c>
      <c r="F124" s="61" t="str">
        <f>IFERROR(INDEX([1]Discovery!$AW:$AW,MATCH(표11[[#This Row],[해양 오브젝트]],[1]Discovery!$B:$B,0)),"-")</f>
        <v>특정 직업 항해사 보유</v>
      </c>
      <c r="G124" s="61" t="str">
        <f>IFERROR(INDEX([1]Discovery!$AY:$AY,MATCH(표11[[#This Row],[해양 오브젝트]],[1]Discovery!$B:$B,0)),"-")</f>
        <v>지리학자</v>
      </c>
      <c r="H124" s="61">
        <f>IFERROR(INDEX([1]Discovery!$BA:$BA,MATCH(표11[[#This Row],[해양 오브젝트]],[1]Discovery!$B:$B,0)),"-")</f>
        <v>2</v>
      </c>
    </row>
    <row r="125" spans="2:8" x14ac:dyDescent="0.3">
      <c r="B125" s="61" t="str">
        <f>[2]OceanDoodad!Z130</f>
        <v>나일강 삼각주</v>
      </c>
      <c r="C125" s="61" t="str">
        <f>IFERROR(VLOOKUP(표11[[#This Row],[해양 오브젝트]],[3]!표1[[이름]:[선단 LV]],6,FALSE),"-")</f>
        <v>-</v>
      </c>
      <c r="D125" s="61" t="str">
        <f>IFERROR(VLOOKUP(표11[[#This Row],[해양 오브젝트]],[3]!표1[[이름]:[위도]],3,FALSE),"-")</f>
        <v>-</v>
      </c>
      <c r="E125" s="61" t="str">
        <f>IFERROR(VLOOKUP(표11[[#This Row],[해양 오브젝트]],[3]!표1[[이름]:[위도]],2,FALSE),"-")</f>
        <v>-</v>
      </c>
      <c r="F125" s="61">
        <f>IFERROR(INDEX([1]Discovery!$AW:$AW,MATCH(표11[[#This Row],[해양 오브젝트]],[1]Discovery!$B:$B,0)),"-")</f>
        <v>0</v>
      </c>
      <c r="G125" s="61">
        <f>IFERROR(INDEX([1]Discovery!$AY:$AY,MATCH(표11[[#This Row],[해양 오브젝트]],[1]Discovery!$B:$B,0)),"-")</f>
        <v>0</v>
      </c>
      <c r="H125" s="61">
        <f>IFERROR(INDEX([1]Discovery!$BA:$BA,MATCH(표11[[#This Row],[해양 오브젝트]],[1]Discovery!$B:$B,0)),"-")</f>
        <v>0</v>
      </c>
    </row>
    <row r="126" spans="2:8" x14ac:dyDescent="0.3">
      <c r="B126" s="61" t="str">
        <f>[2]OceanDoodad!Z131</f>
        <v>나이저강 삼각주</v>
      </c>
      <c r="C126" s="61" t="str">
        <f>IFERROR(VLOOKUP(표11[[#This Row],[해양 오브젝트]],[3]!표1[[이름]:[선단 LV]],6,FALSE),"-")</f>
        <v>-</v>
      </c>
      <c r="D126" s="61" t="str">
        <f>IFERROR(VLOOKUP(표11[[#This Row],[해양 오브젝트]],[3]!표1[[이름]:[위도]],3,FALSE),"-")</f>
        <v>-</v>
      </c>
      <c r="E126" s="61" t="str">
        <f>IFERROR(VLOOKUP(표11[[#This Row],[해양 오브젝트]],[3]!표1[[이름]:[위도]],2,FALSE),"-")</f>
        <v>-</v>
      </c>
      <c r="F126" s="61">
        <f>IFERROR(INDEX([1]Discovery!$AW:$AW,MATCH(표11[[#This Row],[해양 오브젝트]],[1]Discovery!$B:$B,0)),"-")</f>
        <v>0</v>
      </c>
      <c r="G126" s="61">
        <f>IFERROR(INDEX([1]Discovery!$AY:$AY,MATCH(표11[[#This Row],[해양 오브젝트]],[1]Discovery!$B:$B,0)),"-")</f>
        <v>0</v>
      </c>
      <c r="H126" s="61">
        <f>IFERROR(INDEX([1]Discovery!$BA:$BA,MATCH(표11[[#This Row],[해양 오브젝트]],[1]Discovery!$B:$B,0)),"-")</f>
        <v>0</v>
      </c>
    </row>
    <row r="127" spans="2:8" x14ac:dyDescent="0.3">
      <c r="B127" s="61" t="str">
        <f>[2]OceanDoodad!Z132</f>
        <v>메콩삼각주</v>
      </c>
      <c r="C127" s="61" t="str">
        <f>IFERROR(VLOOKUP(표11[[#This Row],[해양 오브젝트]],[3]!표1[[이름]:[선단 LV]],6,FALSE),"-")</f>
        <v>-</v>
      </c>
      <c r="D127" s="61" t="str">
        <f>IFERROR(VLOOKUP(표11[[#This Row],[해양 오브젝트]],[3]!표1[[이름]:[위도]],3,FALSE),"-")</f>
        <v>-</v>
      </c>
      <c r="E127" s="61" t="str">
        <f>IFERROR(VLOOKUP(표11[[#This Row],[해양 오브젝트]],[3]!표1[[이름]:[위도]],2,FALSE),"-")</f>
        <v>-</v>
      </c>
      <c r="F127" s="61" t="str">
        <f>IFERROR(INDEX([1]Discovery!$AW:$AW,MATCH(표11[[#This Row],[해양 오브젝트]],[1]Discovery!$B:$B,0)),"-")</f>
        <v>특정 직업 항해사 보유</v>
      </c>
      <c r="G127" s="61" t="str">
        <f>IFERROR(INDEX([1]Discovery!$AY:$AY,MATCH(표11[[#This Row],[해양 오브젝트]],[1]Discovery!$B:$B,0)),"-")</f>
        <v>지리학자</v>
      </c>
      <c r="H127" s="61">
        <f>IFERROR(INDEX([1]Discovery!$BA:$BA,MATCH(표11[[#This Row],[해양 오브젝트]],[1]Discovery!$B:$B,0)),"-")</f>
        <v>3</v>
      </c>
    </row>
    <row r="128" spans="2:8" x14ac:dyDescent="0.3">
      <c r="B128" s="61" t="str">
        <f>[2]OceanDoodad!Z133</f>
        <v>아마존강 삼각주</v>
      </c>
      <c r="C128" s="61" t="str">
        <f>IFERROR(VLOOKUP(표11[[#This Row],[해양 오브젝트]],[3]!표1[[이름]:[선단 LV]],6,FALSE),"-")</f>
        <v>-</v>
      </c>
      <c r="D128" s="61" t="str">
        <f>IFERROR(VLOOKUP(표11[[#This Row],[해양 오브젝트]],[3]!표1[[이름]:[위도]],3,FALSE),"-")</f>
        <v>-</v>
      </c>
      <c r="E128" s="61" t="str">
        <f>IFERROR(VLOOKUP(표11[[#This Row],[해양 오브젝트]],[3]!표1[[이름]:[위도]],2,FALSE),"-")</f>
        <v>-</v>
      </c>
      <c r="F128" s="61" t="str">
        <f>IFERROR(INDEX([1]Discovery!$AW:$AW,MATCH(표11[[#This Row],[해양 오브젝트]],[1]Discovery!$B:$B,0)),"-")</f>
        <v>특정 직업 항해사 보유</v>
      </c>
      <c r="G128" s="61" t="str">
        <f>IFERROR(INDEX([1]Discovery!$AY:$AY,MATCH(표11[[#This Row],[해양 오브젝트]],[1]Discovery!$B:$B,0)),"-")</f>
        <v>지리학자</v>
      </c>
      <c r="H128" s="61">
        <f>IFERROR(INDEX([1]Discovery!$BA:$BA,MATCH(표11[[#This Row],[해양 오브젝트]],[1]Discovery!$B:$B,0)),"-")</f>
        <v>2</v>
      </c>
    </row>
    <row r="129" spans="2:8" x14ac:dyDescent="0.3">
      <c r="B129" s="61" t="str">
        <f>[2]OceanDoodad!Z134</f>
        <v>미시시피강 삼각주</v>
      </c>
      <c r="C129" s="61" t="str">
        <f>IFERROR(VLOOKUP(표11[[#This Row],[해양 오브젝트]],[3]!표1[[이름]:[선단 LV]],6,FALSE),"-")</f>
        <v>-</v>
      </c>
      <c r="D129" s="61" t="str">
        <f>IFERROR(VLOOKUP(표11[[#This Row],[해양 오브젝트]],[3]!표1[[이름]:[위도]],3,FALSE),"-")</f>
        <v>-</v>
      </c>
      <c r="E129" s="61" t="str">
        <f>IFERROR(VLOOKUP(표11[[#This Row],[해양 오브젝트]],[3]!표1[[이름]:[위도]],2,FALSE),"-")</f>
        <v>-</v>
      </c>
      <c r="F129" s="61" t="str">
        <f>IFERROR(INDEX([1]Discovery!$AW:$AW,MATCH(표11[[#This Row],[해양 오브젝트]],[1]Discovery!$B:$B,0)),"-")</f>
        <v>특정 직업 항해사 보유</v>
      </c>
      <c r="G129" s="61" t="str">
        <f>IFERROR(INDEX([1]Discovery!$AY:$AY,MATCH(표11[[#This Row],[해양 오브젝트]],[1]Discovery!$B:$B,0)),"-")</f>
        <v>지리학자</v>
      </c>
      <c r="H129" s="61">
        <f>IFERROR(INDEX([1]Discovery!$BA:$BA,MATCH(표11[[#This Row],[해양 오브젝트]],[1]Discovery!$B:$B,0)),"-")</f>
        <v>2</v>
      </c>
    </row>
    <row r="130" spans="2:8" x14ac:dyDescent="0.3">
      <c r="B130" s="61" t="str">
        <f>[2]OceanDoodad!Z135</f>
        <v>황허 삼각주</v>
      </c>
      <c r="C130" s="61" t="str">
        <f>IFERROR(VLOOKUP(표11[[#This Row],[해양 오브젝트]],[3]!표1[[이름]:[선단 LV]],6,FALSE),"-")</f>
        <v>-</v>
      </c>
      <c r="D130" s="61" t="str">
        <f>IFERROR(VLOOKUP(표11[[#This Row],[해양 오브젝트]],[3]!표1[[이름]:[위도]],3,FALSE),"-")</f>
        <v>-</v>
      </c>
      <c r="E130" s="61" t="str">
        <f>IFERROR(VLOOKUP(표11[[#This Row],[해양 오브젝트]],[3]!표1[[이름]:[위도]],2,FALSE),"-")</f>
        <v>-</v>
      </c>
      <c r="F130" s="61" t="str">
        <f>IFERROR(INDEX([1]Discovery!$AW:$AW,MATCH(표11[[#This Row],[해양 오브젝트]],[1]Discovery!$B:$B,0)),"-")</f>
        <v>특정 직업 항해사 보유</v>
      </c>
      <c r="G130" s="61" t="str">
        <f>IFERROR(INDEX([1]Discovery!$AY:$AY,MATCH(표11[[#This Row],[해양 오브젝트]],[1]Discovery!$B:$B,0)),"-")</f>
        <v>지리학자</v>
      </c>
      <c r="H130" s="61">
        <f>IFERROR(INDEX([1]Discovery!$BA:$BA,MATCH(표11[[#This Row],[해양 오브젝트]],[1]Discovery!$B:$B,0)),"-")</f>
        <v>2</v>
      </c>
    </row>
    <row r="131" spans="2:8" hidden="1" x14ac:dyDescent="0.3">
      <c r="B131" s="61" t="str">
        <f>[2]OceanDoodad!Z136</f>
        <v>그레이트 블루홀</v>
      </c>
      <c r="C131" s="61" t="str">
        <f>IFERROR(VLOOKUP(표11[[#This Row],[해양 오브젝트]],[3]!표1[[이름]:[선단 LV]],6,FALSE),"-")</f>
        <v>-</v>
      </c>
      <c r="D131" s="61" t="str">
        <f>IFERROR(VLOOKUP(표11[[#This Row],[해양 오브젝트]],[3]!표1[[이름]:[위도]],3,FALSE),"-")</f>
        <v>-</v>
      </c>
      <c r="E131" s="61" t="str">
        <f>IFERROR(VLOOKUP(표11[[#This Row],[해양 오브젝트]],[3]!표1[[이름]:[위도]],2,FALSE),"-")</f>
        <v>-</v>
      </c>
      <c r="F131" s="61" t="str">
        <f>IFERROR(INDEX([1]Discovery!$AW:$AW,MATCH(표11[[#This Row],[해양 오브젝트]],[1]Discovery!$B:$B,0)),"-")</f>
        <v>특정 직업 항해사 보유</v>
      </c>
      <c r="G131" s="61" t="str">
        <f>IFERROR(INDEX([1]Discovery!$AY:$AY,MATCH(표11[[#This Row],[해양 오브젝트]],[1]Discovery!$B:$B,0)),"-")</f>
        <v>항해장</v>
      </c>
      <c r="H131" s="61">
        <f>IFERROR(INDEX([1]Discovery!$BA:$BA,MATCH(표11[[#This Row],[해양 오브젝트]],[1]Discovery!$B:$B,0)),"-")</f>
        <v>2</v>
      </c>
    </row>
    <row r="132" spans="2:8" hidden="1" x14ac:dyDescent="0.3">
      <c r="B132" s="61" t="str">
        <f>[2]OceanDoodad!Z137</f>
        <v>스란다 블루홀</v>
      </c>
      <c r="C132" s="61" t="str">
        <f>IFERROR(VLOOKUP(표11[[#This Row],[해양 오브젝트]],[3]!표1[[이름]:[선단 LV]],6,FALSE),"-")</f>
        <v>-</v>
      </c>
      <c r="D132" s="61" t="str">
        <f>IFERROR(VLOOKUP(표11[[#This Row],[해양 오브젝트]],[3]!표1[[이름]:[위도]],3,FALSE),"-")</f>
        <v>-</v>
      </c>
      <c r="E132" s="61" t="str">
        <f>IFERROR(VLOOKUP(표11[[#This Row],[해양 오브젝트]],[3]!표1[[이름]:[위도]],2,FALSE),"-")</f>
        <v>-</v>
      </c>
      <c r="F132" s="61">
        <f>IFERROR(INDEX([1]Discovery!$AW:$AW,MATCH(표11[[#This Row],[해양 오브젝트]],[1]Discovery!$B:$B,0)),"-")</f>
        <v>0</v>
      </c>
      <c r="G132" s="61">
        <f>IFERROR(INDEX([1]Discovery!$AY:$AY,MATCH(표11[[#This Row],[해양 오브젝트]],[1]Discovery!$B:$B,0)),"-")</f>
        <v>0</v>
      </c>
      <c r="H132" s="61">
        <f>IFERROR(INDEX([1]Discovery!$BA:$BA,MATCH(표11[[#This Row],[해양 오브젝트]],[1]Discovery!$B:$B,0)),"-")</f>
        <v>0</v>
      </c>
    </row>
    <row r="133" spans="2:8" hidden="1" x14ac:dyDescent="0.3">
      <c r="B133" s="61" t="str">
        <f>[2]OceanDoodad!Z138</f>
        <v>룽둥 블루홀</v>
      </c>
      <c r="C133" s="61" t="str">
        <f>IFERROR(VLOOKUP(표11[[#This Row],[해양 오브젝트]],[3]!표1[[이름]:[선단 LV]],6,FALSE),"-")</f>
        <v>-</v>
      </c>
      <c r="D133" s="61" t="str">
        <f>IFERROR(VLOOKUP(표11[[#This Row],[해양 오브젝트]],[3]!표1[[이름]:[위도]],3,FALSE),"-")</f>
        <v>-</v>
      </c>
      <c r="E133" s="61" t="str">
        <f>IFERROR(VLOOKUP(표11[[#This Row],[해양 오브젝트]],[3]!표1[[이름]:[위도]],2,FALSE),"-")</f>
        <v>-</v>
      </c>
      <c r="F133" s="61">
        <f>IFERROR(INDEX([1]Discovery!$AW:$AW,MATCH(표11[[#This Row],[해양 오브젝트]],[1]Discovery!$B:$B,0)),"-")</f>
        <v>0</v>
      </c>
      <c r="G133" s="61">
        <f>IFERROR(INDEX([1]Discovery!$AY:$AY,MATCH(표11[[#This Row],[해양 오브젝트]],[1]Discovery!$B:$B,0)),"-")</f>
        <v>0</v>
      </c>
      <c r="H133" s="61">
        <f>IFERROR(INDEX([1]Discovery!$BA:$BA,MATCH(표11[[#This Row],[해양 오브젝트]],[1]Discovery!$B:$B,0)),"-")</f>
        <v>0</v>
      </c>
    </row>
    <row r="134" spans="2:8" hidden="1" x14ac:dyDescent="0.3">
      <c r="B134" s="61" t="str">
        <f>[2]OceanDoodad!Z139</f>
        <v>딘즈 블루홀</v>
      </c>
      <c r="C134" s="61" t="str">
        <f>IFERROR(VLOOKUP(표11[[#This Row],[해양 오브젝트]],[3]!표1[[이름]:[선단 LV]],6,FALSE),"-")</f>
        <v>-</v>
      </c>
      <c r="D134" s="61" t="str">
        <f>IFERROR(VLOOKUP(표11[[#This Row],[해양 오브젝트]],[3]!표1[[이름]:[위도]],3,FALSE),"-")</f>
        <v>-</v>
      </c>
      <c r="E134" s="61" t="str">
        <f>IFERROR(VLOOKUP(표11[[#This Row],[해양 오브젝트]],[3]!표1[[이름]:[위도]],2,FALSE),"-")</f>
        <v>-</v>
      </c>
      <c r="F134" s="61" t="str">
        <f>IFERROR(INDEX([1]Discovery!$AW:$AW,MATCH(표11[[#This Row],[해양 오브젝트]],[1]Discovery!$B:$B,0)),"-")</f>
        <v>특정 직업 항해사 보유</v>
      </c>
      <c r="G134" s="61" t="str">
        <f>IFERROR(INDEX([1]Discovery!$AY:$AY,MATCH(표11[[#This Row],[해양 오브젝트]],[1]Discovery!$B:$B,0)),"-")</f>
        <v>항해장</v>
      </c>
      <c r="H134" s="61">
        <f>IFERROR(INDEX([1]Discovery!$BA:$BA,MATCH(표11[[#This Row],[해양 오브젝트]],[1]Discovery!$B:$B,0)),"-")</f>
        <v>1</v>
      </c>
    </row>
    <row r="135" spans="2:8" hidden="1" x14ac:dyDescent="0.3">
      <c r="B135" s="61">
        <f>[2]OceanDoodad!Z140</f>
        <v>0</v>
      </c>
      <c r="C135" s="61" t="str">
        <f>IFERROR(VLOOKUP(표11[[#This Row],[해양 오브젝트]],[3]!표1[[이름]:[선단 LV]],6,FALSE),"-")</f>
        <v>-</v>
      </c>
      <c r="D135" s="61" t="str">
        <f>IFERROR(VLOOKUP(표11[[#This Row],[해양 오브젝트]],[3]!표1[[이름]:[위도]],3,FALSE),"-")</f>
        <v>-</v>
      </c>
      <c r="E135" s="61" t="str">
        <f>IFERROR(VLOOKUP(표11[[#This Row],[해양 오브젝트]],[3]!표1[[이름]:[위도]],2,FALSE),"-")</f>
        <v>-</v>
      </c>
      <c r="F135" s="61" t="str">
        <f>IFERROR(INDEX([1]Discovery!$AW:$AW,MATCH(표11[[#This Row],[해양 오브젝트]],[1]Discovery!$B:$B,0)),"-")</f>
        <v>-</v>
      </c>
      <c r="G135" s="61" t="str">
        <f>IFERROR(INDEX([1]Discovery!$AY:$AY,MATCH(표11[[#This Row],[해양 오브젝트]],[1]Discovery!$B:$B,0)),"-")</f>
        <v>-</v>
      </c>
      <c r="H135" s="61" t="str">
        <f>IFERROR(INDEX([1]Discovery!$BA:$BA,MATCH(표11[[#This Row],[해양 오브젝트]],[1]Discovery!$B:$B,0)),"-")</f>
        <v>-</v>
      </c>
    </row>
    <row r="136" spans="2:8" hidden="1" x14ac:dyDescent="0.3">
      <c r="B136" s="61">
        <f>[2]OceanDoodad!Z141</f>
        <v>0</v>
      </c>
      <c r="C136" s="61" t="str">
        <f>IFERROR(VLOOKUP(표11[[#This Row],[해양 오브젝트]],[3]!표1[[이름]:[선단 LV]],6,FALSE),"-")</f>
        <v>-</v>
      </c>
      <c r="D136" s="61" t="str">
        <f>IFERROR(VLOOKUP(표11[[#This Row],[해양 오브젝트]],[3]!표1[[이름]:[위도]],3,FALSE),"-")</f>
        <v>-</v>
      </c>
      <c r="E136" s="61" t="str">
        <f>IFERROR(VLOOKUP(표11[[#This Row],[해양 오브젝트]],[3]!표1[[이름]:[위도]],2,FALSE),"-")</f>
        <v>-</v>
      </c>
      <c r="F136" s="61" t="str">
        <f>IFERROR(INDEX([1]Discovery!$AW:$AW,MATCH(표11[[#This Row],[해양 오브젝트]],[1]Discovery!$B:$B,0)),"-")</f>
        <v>-</v>
      </c>
      <c r="G136" s="61" t="str">
        <f>IFERROR(INDEX([1]Discovery!$AY:$AY,MATCH(표11[[#This Row],[해양 오브젝트]],[1]Discovery!$B:$B,0)),"-")</f>
        <v>-</v>
      </c>
      <c r="H136" s="61" t="str">
        <f>IFERROR(INDEX([1]Discovery!$BA:$BA,MATCH(표11[[#This Row],[해양 오브젝트]],[1]Discovery!$B:$B,0)),"-")</f>
        <v>-</v>
      </c>
    </row>
    <row r="137" spans="2:8" hidden="1" x14ac:dyDescent="0.3">
      <c r="B137" s="61">
        <f>[2]OceanDoodad!Z142</f>
        <v>0</v>
      </c>
      <c r="C137" s="61" t="str">
        <f>IFERROR(VLOOKUP(표11[[#This Row],[해양 오브젝트]],[3]!표1[[이름]:[선단 LV]],6,FALSE),"-")</f>
        <v>-</v>
      </c>
      <c r="D137" s="61" t="str">
        <f>IFERROR(VLOOKUP(표11[[#This Row],[해양 오브젝트]],[3]!표1[[이름]:[위도]],3,FALSE),"-")</f>
        <v>-</v>
      </c>
      <c r="E137" s="61" t="str">
        <f>IFERROR(VLOOKUP(표11[[#This Row],[해양 오브젝트]],[3]!표1[[이름]:[위도]],2,FALSE),"-")</f>
        <v>-</v>
      </c>
      <c r="F137" s="61" t="str">
        <f>IFERROR(INDEX([1]Discovery!$AW:$AW,MATCH(표11[[#This Row],[해양 오브젝트]],[1]Discovery!$B:$B,0)),"-")</f>
        <v>-</v>
      </c>
      <c r="G137" s="61" t="str">
        <f>IFERROR(INDEX([1]Discovery!$AY:$AY,MATCH(표11[[#This Row],[해양 오브젝트]],[1]Discovery!$B:$B,0)),"-")</f>
        <v>-</v>
      </c>
      <c r="H137" s="61" t="str">
        <f>IFERROR(INDEX([1]Discovery!$BA:$BA,MATCH(표11[[#This Row],[해양 오브젝트]],[1]Discovery!$B:$B,0)),"-")</f>
        <v>-</v>
      </c>
    </row>
    <row r="138" spans="2:8" hidden="1" x14ac:dyDescent="0.3">
      <c r="B138" s="61">
        <f>[2]OceanDoodad!Z143</f>
        <v>0</v>
      </c>
      <c r="C138" s="61" t="str">
        <f>IFERROR(VLOOKUP(표11[[#This Row],[해양 오브젝트]],[3]!표1[[이름]:[선단 LV]],6,FALSE),"-")</f>
        <v>-</v>
      </c>
      <c r="D138" s="61" t="str">
        <f>IFERROR(VLOOKUP(표11[[#This Row],[해양 오브젝트]],[3]!표1[[이름]:[위도]],3,FALSE),"-")</f>
        <v>-</v>
      </c>
      <c r="E138" s="61" t="str">
        <f>IFERROR(VLOOKUP(표11[[#This Row],[해양 오브젝트]],[3]!표1[[이름]:[위도]],2,FALSE),"-")</f>
        <v>-</v>
      </c>
      <c r="F138" s="61" t="str">
        <f>IFERROR(INDEX([1]Discovery!$AW:$AW,MATCH(표11[[#This Row],[해양 오브젝트]],[1]Discovery!$B:$B,0)),"-")</f>
        <v>-</v>
      </c>
      <c r="G138" s="61" t="str">
        <f>IFERROR(INDEX([1]Discovery!$AY:$AY,MATCH(표11[[#This Row],[해양 오브젝트]],[1]Discovery!$B:$B,0)),"-")</f>
        <v>-</v>
      </c>
      <c r="H138" s="61" t="str">
        <f>IFERROR(INDEX([1]Discovery!$BA:$BA,MATCH(표11[[#This Row],[해양 오브젝트]],[1]Discovery!$B:$B,0)),"-")</f>
        <v>-</v>
      </c>
    </row>
    <row r="139" spans="2:8" hidden="1" x14ac:dyDescent="0.3">
      <c r="B139" s="61">
        <f>[2]OceanDoodad!Z144</f>
        <v>0</v>
      </c>
      <c r="C139" s="61" t="str">
        <f>IFERROR(VLOOKUP(표11[[#This Row],[해양 오브젝트]],[3]!표1[[이름]:[선단 LV]],6,FALSE),"-")</f>
        <v>-</v>
      </c>
      <c r="D139" s="61" t="str">
        <f>IFERROR(VLOOKUP(표11[[#This Row],[해양 오브젝트]],[3]!표1[[이름]:[위도]],3,FALSE),"-")</f>
        <v>-</v>
      </c>
      <c r="E139" s="61" t="str">
        <f>IFERROR(VLOOKUP(표11[[#This Row],[해양 오브젝트]],[3]!표1[[이름]:[위도]],2,FALSE),"-")</f>
        <v>-</v>
      </c>
      <c r="F139" s="61" t="str">
        <f>IFERROR(INDEX([1]Discovery!$AW:$AW,MATCH(표11[[#This Row],[해양 오브젝트]],[1]Discovery!$B:$B,0)),"-")</f>
        <v>-</v>
      </c>
      <c r="G139" s="61" t="str">
        <f>IFERROR(INDEX([1]Discovery!$AY:$AY,MATCH(표11[[#This Row],[해양 오브젝트]],[1]Discovery!$B:$B,0)),"-")</f>
        <v>-</v>
      </c>
      <c r="H139" s="61" t="str">
        <f>IFERROR(INDEX([1]Discovery!$BA:$BA,MATCH(표11[[#This Row],[해양 오브젝트]],[1]Discovery!$B:$B,0)),"-")</f>
        <v>-</v>
      </c>
    </row>
    <row r="140" spans="2:8" hidden="1" x14ac:dyDescent="0.3">
      <c r="B140" s="61">
        <f>[2]OceanDoodad!Z145</f>
        <v>0</v>
      </c>
      <c r="C140" s="61" t="str">
        <f>IFERROR(VLOOKUP(표11[[#This Row],[해양 오브젝트]],[3]!표1[[이름]:[선단 LV]],6,FALSE),"-")</f>
        <v>-</v>
      </c>
      <c r="D140" s="61" t="str">
        <f>IFERROR(VLOOKUP(표11[[#This Row],[해양 오브젝트]],[3]!표1[[이름]:[위도]],3,FALSE),"-")</f>
        <v>-</v>
      </c>
      <c r="E140" s="61" t="str">
        <f>IFERROR(VLOOKUP(표11[[#This Row],[해양 오브젝트]],[3]!표1[[이름]:[위도]],2,FALSE),"-")</f>
        <v>-</v>
      </c>
      <c r="F140" s="61" t="str">
        <f>IFERROR(INDEX([1]Discovery!$AW:$AW,MATCH(표11[[#This Row],[해양 오브젝트]],[1]Discovery!$B:$B,0)),"-")</f>
        <v>-</v>
      </c>
      <c r="G140" s="61" t="str">
        <f>IFERROR(INDEX([1]Discovery!$AY:$AY,MATCH(표11[[#This Row],[해양 오브젝트]],[1]Discovery!$B:$B,0)),"-")</f>
        <v>-</v>
      </c>
      <c r="H140" s="61" t="str">
        <f>IFERROR(INDEX([1]Discovery!$BA:$BA,MATCH(표11[[#This Row],[해양 오브젝트]],[1]Discovery!$B:$B,0)),"-")</f>
        <v>-</v>
      </c>
    </row>
    <row r="141" spans="2:8" hidden="1" x14ac:dyDescent="0.3">
      <c r="B141" s="61">
        <f>[2]OceanDoodad!Z146</f>
        <v>0</v>
      </c>
      <c r="C141" s="61" t="str">
        <f>IFERROR(VLOOKUP(표11[[#This Row],[해양 오브젝트]],[3]!표1[[이름]:[선단 LV]],6,FALSE),"-")</f>
        <v>-</v>
      </c>
      <c r="D141" s="61" t="str">
        <f>IFERROR(VLOOKUP(표11[[#This Row],[해양 오브젝트]],[3]!표1[[이름]:[위도]],3,FALSE),"-")</f>
        <v>-</v>
      </c>
      <c r="E141" s="61" t="str">
        <f>IFERROR(VLOOKUP(표11[[#This Row],[해양 오브젝트]],[3]!표1[[이름]:[위도]],2,FALSE),"-")</f>
        <v>-</v>
      </c>
      <c r="F141" s="61" t="str">
        <f>IFERROR(INDEX([1]Discovery!$AW:$AW,MATCH(표11[[#This Row],[해양 오브젝트]],[1]Discovery!$B:$B,0)),"-")</f>
        <v>-</v>
      </c>
      <c r="G141" s="61" t="str">
        <f>IFERROR(INDEX([1]Discovery!$AY:$AY,MATCH(표11[[#This Row],[해양 오브젝트]],[1]Discovery!$B:$B,0)),"-")</f>
        <v>-</v>
      </c>
      <c r="H141" s="61" t="str">
        <f>IFERROR(INDEX([1]Discovery!$BA:$BA,MATCH(표11[[#This Row],[해양 오브젝트]],[1]Discovery!$B:$B,0)),"-")</f>
        <v>-</v>
      </c>
    </row>
    <row r="142" spans="2:8" hidden="1" x14ac:dyDescent="0.3">
      <c r="B142" s="61">
        <f>[2]OceanDoodad!Z147</f>
        <v>0</v>
      </c>
      <c r="C142" s="61" t="str">
        <f>IFERROR(VLOOKUP(표11[[#This Row],[해양 오브젝트]],[3]!표1[[이름]:[선단 LV]],6,FALSE),"-")</f>
        <v>-</v>
      </c>
      <c r="D142" s="61" t="str">
        <f>IFERROR(VLOOKUP(표11[[#This Row],[해양 오브젝트]],[3]!표1[[이름]:[위도]],3,FALSE),"-")</f>
        <v>-</v>
      </c>
      <c r="E142" s="61" t="str">
        <f>IFERROR(VLOOKUP(표11[[#This Row],[해양 오브젝트]],[3]!표1[[이름]:[위도]],2,FALSE),"-")</f>
        <v>-</v>
      </c>
      <c r="F142" s="61" t="str">
        <f>IFERROR(INDEX([1]Discovery!$AW:$AW,MATCH(표11[[#This Row],[해양 오브젝트]],[1]Discovery!$B:$B,0)),"-")</f>
        <v>-</v>
      </c>
      <c r="G142" s="61" t="str">
        <f>IFERROR(INDEX([1]Discovery!$AY:$AY,MATCH(표11[[#This Row],[해양 오브젝트]],[1]Discovery!$B:$B,0)),"-")</f>
        <v>-</v>
      </c>
      <c r="H142" s="61" t="str">
        <f>IFERROR(INDEX([1]Discovery!$BA:$BA,MATCH(표11[[#This Row],[해양 오브젝트]],[1]Discovery!$B:$B,0)),"-")</f>
        <v>-</v>
      </c>
    </row>
    <row r="143" spans="2:8" hidden="1" x14ac:dyDescent="0.3">
      <c r="B143" s="61">
        <f>[2]OceanDoodad!Z148</f>
        <v>0</v>
      </c>
      <c r="C143" s="61" t="str">
        <f>IFERROR(VLOOKUP(표11[[#This Row],[해양 오브젝트]],[3]!표1[[이름]:[선단 LV]],6,FALSE),"-")</f>
        <v>-</v>
      </c>
      <c r="D143" s="61" t="str">
        <f>IFERROR(VLOOKUP(표11[[#This Row],[해양 오브젝트]],[3]!표1[[이름]:[위도]],3,FALSE),"-")</f>
        <v>-</v>
      </c>
      <c r="E143" s="61" t="str">
        <f>IFERROR(VLOOKUP(표11[[#This Row],[해양 오브젝트]],[3]!표1[[이름]:[위도]],2,FALSE),"-")</f>
        <v>-</v>
      </c>
      <c r="F143" s="61" t="str">
        <f>IFERROR(INDEX([1]Discovery!$AW:$AW,MATCH(표11[[#This Row],[해양 오브젝트]],[1]Discovery!$B:$B,0)),"-")</f>
        <v>-</v>
      </c>
      <c r="G143" s="61" t="str">
        <f>IFERROR(INDEX([1]Discovery!$AY:$AY,MATCH(표11[[#This Row],[해양 오브젝트]],[1]Discovery!$B:$B,0)),"-")</f>
        <v>-</v>
      </c>
      <c r="H143" s="61" t="str">
        <f>IFERROR(INDEX([1]Discovery!$BA:$BA,MATCH(표11[[#This Row],[해양 오브젝트]],[1]Discovery!$B:$B,0)),"-")</f>
        <v>-</v>
      </c>
    </row>
    <row r="144" spans="2:8" x14ac:dyDescent="0.3">
      <c r="B144" s="61">
        <f>[2]OceanDoodad!Z149</f>
        <v>0</v>
      </c>
      <c r="C144" s="61" t="str">
        <f>IFERROR(VLOOKUP(표11[[#This Row],[해양 오브젝트]],[3]!표1[[이름]:[선단 LV]],6,FALSE),"-")</f>
        <v>-</v>
      </c>
      <c r="D144" s="61" t="str">
        <f>IFERROR(VLOOKUP(표11[[#This Row],[해양 오브젝트]],[3]!표1[[이름]:[위도]],3,FALSE),"-")</f>
        <v>-</v>
      </c>
      <c r="E144" s="61" t="str">
        <f>IFERROR(VLOOKUP(표11[[#This Row],[해양 오브젝트]],[3]!표1[[이름]:[위도]],2,FALSE),"-")</f>
        <v>-</v>
      </c>
      <c r="F144" s="61" t="str">
        <f>IFERROR(INDEX([1]Discovery!$AW:$AW,MATCH(표11[[#This Row],[해양 오브젝트]],[1]Discovery!$B:$B,0)),"-")</f>
        <v>-</v>
      </c>
      <c r="G144" s="61" t="str">
        <f>IFERROR(INDEX([1]Discovery!$AY:$AY,MATCH(표11[[#This Row],[해양 오브젝트]],[1]Discovery!$B:$B,0)),"-")</f>
        <v>-</v>
      </c>
      <c r="H144" s="61" t="str">
        <f>IFERROR(INDEX([1]Discovery!$BA:$BA,MATCH(표11[[#This Row],[해양 오브젝트]],[1]Discovery!$B:$B,0)),"-")</f>
        <v>-</v>
      </c>
    </row>
    <row r="145" spans="2:8" x14ac:dyDescent="0.3">
      <c r="B145" s="61">
        <f>[2]OceanDoodad!Z150</f>
        <v>0</v>
      </c>
      <c r="C145" s="61" t="str">
        <f>IFERROR(VLOOKUP(표11[[#This Row],[해양 오브젝트]],[3]!표1[[이름]:[선단 LV]],6,FALSE),"-")</f>
        <v>-</v>
      </c>
      <c r="D145" s="61" t="str">
        <f>IFERROR(VLOOKUP(표11[[#This Row],[해양 오브젝트]],[3]!표1[[이름]:[위도]],3,FALSE),"-")</f>
        <v>-</v>
      </c>
      <c r="E145" s="61" t="str">
        <f>IFERROR(VLOOKUP(표11[[#This Row],[해양 오브젝트]],[3]!표1[[이름]:[위도]],2,FALSE),"-")</f>
        <v>-</v>
      </c>
      <c r="F145" s="61" t="str">
        <f>IFERROR(INDEX([1]Discovery!$AW:$AW,MATCH(표11[[#This Row],[해양 오브젝트]],[1]Discovery!$B:$B,0)),"-")</f>
        <v>-</v>
      </c>
      <c r="G145" s="61" t="str">
        <f>IFERROR(INDEX([1]Discovery!$AY:$AY,MATCH(표11[[#This Row],[해양 오브젝트]],[1]Discovery!$B:$B,0)),"-")</f>
        <v>-</v>
      </c>
      <c r="H145" s="61" t="str">
        <f>IFERROR(INDEX([1]Discovery!$BA:$BA,MATCH(표11[[#This Row],[해양 오브젝트]],[1]Discovery!$B:$B,0)),"-")</f>
        <v>-</v>
      </c>
    </row>
    <row r="146" spans="2:8" x14ac:dyDescent="0.3">
      <c r="B146" s="61">
        <f>[2]OceanDoodad!Z151</f>
        <v>0</v>
      </c>
      <c r="C146" s="61" t="str">
        <f>IFERROR(VLOOKUP(표11[[#This Row],[해양 오브젝트]],[3]!표1[[이름]:[선단 LV]],6,FALSE),"-")</f>
        <v>-</v>
      </c>
      <c r="D146" s="61" t="str">
        <f>IFERROR(VLOOKUP(표11[[#This Row],[해양 오브젝트]],[3]!표1[[이름]:[위도]],3,FALSE),"-")</f>
        <v>-</v>
      </c>
      <c r="E146" s="61" t="str">
        <f>IFERROR(VLOOKUP(표11[[#This Row],[해양 오브젝트]],[3]!표1[[이름]:[위도]],2,FALSE),"-")</f>
        <v>-</v>
      </c>
      <c r="F146" s="61" t="str">
        <f>IFERROR(INDEX([1]Discovery!$AW:$AW,MATCH(표11[[#This Row],[해양 오브젝트]],[1]Discovery!$B:$B,0)),"-")</f>
        <v>-</v>
      </c>
      <c r="G146" s="61" t="str">
        <f>IFERROR(INDEX([1]Discovery!$AY:$AY,MATCH(표11[[#This Row],[해양 오브젝트]],[1]Discovery!$B:$B,0)),"-")</f>
        <v>-</v>
      </c>
      <c r="H146" s="61" t="str">
        <f>IFERROR(INDEX([1]Discovery!$BA:$BA,MATCH(표11[[#This Row],[해양 오브젝트]],[1]Discovery!$B:$B,0)),"-")</f>
        <v>-</v>
      </c>
    </row>
    <row r="147" spans="2:8" x14ac:dyDescent="0.3">
      <c r="B147" s="61">
        <f>[2]OceanDoodad!Z152</f>
        <v>0</v>
      </c>
      <c r="C147" s="61" t="str">
        <f>IFERROR(VLOOKUP(표11[[#This Row],[해양 오브젝트]],[3]!표1[[이름]:[선단 LV]],6,FALSE),"-")</f>
        <v>-</v>
      </c>
      <c r="D147" s="61" t="str">
        <f>IFERROR(VLOOKUP(표11[[#This Row],[해양 오브젝트]],[3]!표1[[이름]:[위도]],3,FALSE),"-")</f>
        <v>-</v>
      </c>
      <c r="E147" s="61" t="str">
        <f>IFERROR(VLOOKUP(표11[[#This Row],[해양 오브젝트]],[3]!표1[[이름]:[위도]],2,FALSE),"-")</f>
        <v>-</v>
      </c>
      <c r="F147" s="61" t="str">
        <f>IFERROR(INDEX([1]Discovery!$AW:$AW,MATCH(표11[[#This Row],[해양 오브젝트]],[1]Discovery!$B:$B,0)),"-")</f>
        <v>-</v>
      </c>
      <c r="G147" s="61" t="str">
        <f>IFERROR(INDEX([1]Discovery!$AY:$AY,MATCH(표11[[#This Row],[해양 오브젝트]],[1]Discovery!$B:$B,0)),"-")</f>
        <v>-</v>
      </c>
      <c r="H147" s="61" t="str">
        <f>IFERROR(INDEX([1]Discovery!$BA:$BA,MATCH(표11[[#This Row],[해양 오브젝트]],[1]Discovery!$B:$B,0)),"-")</f>
        <v>-</v>
      </c>
    </row>
    <row r="148" spans="2:8" x14ac:dyDescent="0.3">
      <c r="B148" s="61" t="str">
        <f>[2]OceanDoodad!Z153</f>
        <v>핑크 샌드 비치</v>
      </c>
      <c r="C148" s="61" t="str">
        <f>IFERROR(VLOOKUP(표11[[#This Row],[해양 오브젝트]],[3]!표1[[이름]:[선단 LV]],6,FALSE),"-")</f>
        <v>-</v>
      </c>
      <c r="D148" s="61" t="str">
        <f>IFERROR(VLOOKUP(표11[[#This Row],[해양 오브젝트]],[3]!표1[[이름]:[위도]],3,FALSE),"-")</f>
        <v>-</v>
      </c>
      <c r="E148" s="61" t="str">
        <f>IFERROR(VLOOKUP(표11[[#This Row],[해양 오브젝트]],[3]!표1[[이름]:[위도]],2,FALSE),"-")</f>
        <v>-</v>
      </c>
      <c r="F148" s="61" t="str">
        <f>IFERROR(INDEX([1]Discovery!$AW:$AW,MATCH(표11[[#This Row],[해양 오브젝트]],[1]Discovery!$B:$B,0)),"-")</f>
        <v>특정 직업 항해사 보유</v>
      </c>
      <c r="G148" s="61" t="str">
        <f>IFERROR(INDEX([1]Discovery!$AY:$AY,MATCH(표11[[#This Row],[해양 오브젝트]],[1]Discovery!$B:$B,0)),"-")</f>
        <v>항해장</v>
      </c>
      <c r="H148" s="61">
        <f>IFERROR(INDEX([1]Discovery!$BA:$BA,MATCH(표11[[#This Row],[해양 오브젝트]],[1]Discovery!$B:$B,0)),"-")</f>
        <v>4</v>
      </c>
    </row>
    <row r="149" spans="2:8" x14ac:dyDescent="0.3">
      <c r="B149" s="61" t="str">
        <f>[2]OceanDoodad!Z154</f>
        <v>파파콜레아 해변</v>
      </c>
      <c r="C149" s="61" t="str">
        <f>IFERROR(VLOOKUP(표11[[#This Row],[해양 오브젝트]],[3]!표1[[이름]:[선단 LV]],6,FALSE),"-")</f>
        <v>-</v>
      </c>
      <c r="D149" s="61" t="str">
        <f>IFERROR(VLOOKUP(표11[[#This Row],[해양 오브젝트]],[3]!표1[[이름]:[위도]],3,FALSE),"-")</f>
        <v>-</v>
      </c>
      <c r="E149" s="61" t="str">
        <f>IFERROR(VLOOKUP(표11[[#This Row],[해양 오브젝트]],[3]!표1[[이름]:[위도]],2,FALSE),"-")</f>
        <v>-</v>
      </c>
      <c r="F149" s="61" t="str">
        <f>IFERROR(INDEX([1]Discovery!$AW:$AW,MATCH(표11[[#This Row],[해양 오브젝트]],[1]Discovery!$B:$B,0)),"-")</f>
        <v>-</v>
      </c>
      <c r="G149" s="61" t="str">
        <f>IFERROR(INDEX([1]Discovery!$AY:$AY,MATCH(표11[[#This Row],[해양 오브젝트]],[1]Discovery!$B:$B,0)),"-")</f>
        <v>-</v>
      </c>
      <c r="H149" s="61" t="str">
        <f>IFERROR(INDEX([1]Discovery!$BA:$BA,MATCH(표11[[#This Row],[해양 오브젝트]],[1]Discovery!$B:$B,0)),"-")</f>
        <v>-</v>
      </c>
    </row>
    <row r="150" spans="2:8" x14ac:dyDescent="0.3">
      <c r="B150" s="61" t="str">
        <f>[2]OceanDoodad!Z155</f>
        <v>블랙 다이아몬드 비치</v>
      </c>
      <c r="C150" s="61" t="str">
        <f>IFERROR(VLOOKUP(표11[[#This Row],[해양 오브젝트]],[3]!표1[[이름]:[선단 LV]],6,FALSE),"-")</f>
        <v>-</v>
      </c>
      <c r="D150" s="61" t="str">
        <f>IFERROR(VLOOKUP(표11[[#This Row],[해양 오브젝트]],[3]!표1[[이름]:[위도]],3,FALSE),"-")</f>
        <v>-</v>
      </c>
      <c r="E150" s="61" t="str">
        <f>IFERROR(VLOOKUP(표11[[#This Row],[해양 오브젝트]],[3]!표1[[이름]:[위도]],2,FALSE),"-")</f>
        <v>-</v>
      </c>
      <c r="F150" s="61">
        <f>IFERROR(INDEX([1]Discovery!$AW:$AW,MATCH(표11[[#This Row],[해양 오브젝트]],[1]Discovery!$B:$B,0)),"-")</f>
        <v>0</v>
      </c>
      <c r="G150" s="61">
        <f>IFERROR(INDEX([1]Discovery!$AY:$AY,MATCH(표11[[#This Row],[해양 오브젝트]],[1]Discovery!$B:$B,0)),"-")</f>
        <v>0</v>
      </c>
      <c r="H150" s="61">
        <f>IFERROR(INDEX([1]Discovery!$BA:$BA,MATCH(표11[[#This Row],[해양 오브젝트]],[1]Discovery!$B:$B,0)),"-")</f>
        <v>0</v>
      </c>
    </row>
    <row r="151" spans="2:8" x14ac:dyDescent="0.3">
      <c r="B151" s="61" t="str">
        <f>[2]OceanDoodad!Z156</f>
        <v>터키인의 계단</v>
      </c>
      <c r="C151" s="61" t="str">
        <f>IFERROR(VLOOKUP(표11[[#This Row],[해양 오브젝트]],[3]!표1[[이름]:[선단 LV]],6,FALSE),"-")</f>
        <v>-</v>
      </c>
      <c r="D151" s="61" t="str">
        <f>IFERROR(VLOOKUP(표11[[#This Row],[해양 오브젝트]],[3]!표1[[이름]:[위도]],3,FALSE),"-")</f>
        <v>-</v>
      </c>
      <c r="E151" s="61" t="str">
        <f>IFERROR(VLOOKUP(표11[[#This Row],[해양 오브젝트]],[3]!표1[[이름]:[위도]],2,FALSE),"-")</f>
        <v>-</v>
      </c>
      <c r="F151" s="61">
        <f>IFERROR(INDEX([1]Discovery!$AW:$AW,MATCH(표11[[#This Row],[해양 오브젝트]],[1]Discovery!$B:$B,0)),"-")</f>
        <v>0</v>
      </c>
      <c r="G151" s="61">
        <f>IFERROR(INDEX([1]Discovery!$AY:$AY,MATCH(표11[[#This Row],[해양 오브젝트]],[1]Discovery!$B:$B,0)),"-")</f>
        <v>0</v>
      </c>
      <c r="H151" s="61">
        <f>IFERROR(INDEX([1]Discovery!$BA:$BA,MATCH(표11[[#This Row],[해양 오브젝트]],[1]Discovery!$B:$B,0)),"-")</f>
        <v>0</v>
      </c>
    </row>
    <row r="152" spans="2:8" x14ac:dyDescent="0.3">
      <c r="B152" s="61" t="str">
        <f>[2]OceanDoodad!Z157</f>
        <v>라비다 붉은 모래 해변</v>
      </c>
      <c r="C152" s="61" t="str">
        <f>IFERROR(VLOOKUP(표11[[#This Row],[해양 오브젝트]],[3]!표1[[이름]:[선단 LV]],6,FALSE),"-")</f>
        <v>-</v>
      </c>
      <c r="D152" s="61" t="str">
        <f>IFERROR(VLOOKUP(표11[[#This Row],[해양 오브젝트]],[3]!표1[[이름]:[위도]],3,FALSE),"-")</f>
        <v>-</v>
      </c>
      <c r="E152" s="61" t="str">
        <f>IFERROR(VLOOKUP(표11[[#This Row],[해양 오브젝트]],[3]!표1[[이름]:[위도]],2,FALSE),"-")</f>
        <v>-</v>
      </c>
      <c r="F152" s="61" t="str">
        <f>IFERROR(INDEX([1]Discovery!$AW:$AW,MATCH(표11[[#This Row],[해양 오브젝트]],[1]Discovery!$B:$B,0)),"-")</f>
        <v>-</v>
      </c>
      <c r="G152" s="61" t="str">
        <f>IFERROR(INDEX([1]Discovery!$AY:$AY,MATCH(표11[[#This Row],[해양 오브젝트]],[1]Discovery!$B:$B,0)),"-")</f>
        <v>-</v>
      </c>
      <c r="H152" s="61" t="str">
        <f>IFERROR(INDEX([1]Discovery!$BA:$BA,MATCH(표11[[#This Row],[해양 오브젝트]],[1]Discovery!$B:$B,0)),"-")</f>
        <v>-</v>
      </c>
    </row>
    <row r="153" spans="2:8" x14ac:dyDescent="0.3">
      <c r="B153" s="61" t="str">
        <f>[2]OceanDoodad!Z158</f>
        <v>용의 알 해변</v>
      </c>
      <c r="C153" s="61" t="str">
        <f>IFERROR(VLOOKUP(표11[[#This Row],[해양 오브젝트]],[3]!표1[[이름]:[선단 LV]],6,FALSE),"-")</f>
        <v>-</v>
      </c>
      <c r="D153" s="61" t="str">
        <f>IFERROR(VLOOKUP(표11[[#This Row],[해양 오브젝트]],[3]!표1[[이름]:[위도]],3,FALSE),"-")</f>
        <v>-</v>
      </c>
      <c r="E153" s="61" t="str">
        <f>IFERROR(VLOOKUP(표11[[#This Row],[해양 오브젝트]],[3]!표1[[이름]:[위도]],2,FALSE),"-")</f>
        <v>-</v>
      </c>
      <c r="F153" s="61" t="str">
        <f>IFERROR(INDEX([1]Discovery!$AW:$AW,MATCH(표11[[#This Row],[해양 오브젝트]],[1]Discovery!$B:$B,0)),"-")</f>
        <v>특정 직업 항해사 보유</v>
      </c>
      <c r="G153" s="61" t="str">
        <f>IFERROR(INDEX([1]Discovery!$AY:$AY,MATCH(표11[[#This Row],[해양 오브젝트]],[1]Discovery!$B:$B,0)),"-")</f>
        <v>항해장</v>
      </c>
      <c r="H153" s="61">
        <f>IFERROR(INDEX([1]Discovery!$BA:$BA,MATCH(표11[[#This Row],[해양 오브젝트]],[1]Discovery!$B:$B,0)),"-")</f>
        <v>2</v>
      </c>
    </row>
    <row r="154" spans="2:8" x14ac:dyDescent="0.3">
      <c r="B154" s="61" t="str">
        <f>[2]OceanDoodad!Z159</f>
        <v>수중 폭포</v>
      </c>
      <c r="C154" s="61" t="str">
        <f>IFERROR(VLOOKUP(표11[[#This Row],[해양 오브젝트]],[3]!표1[[이름]:[선단 LV]],6,FALSE),"-")</f>
        <v>-</v>
      </c>
      <c r="D154" s="61" t="str">
        <f>IFERROR(VLOOKUP(표11[[#This Row],[해양 오브젝트]],[3]!표1[[이름]:[위도]],3,FALSE),"-")</f>
        <v>-</v>
      </c>
      <c r="E154" s="61" t="str">
        <f>IFERROR(VLOOKUP(표11[[#This Row],[해양 오브젝트]],[3]!표1[[이름]:[위도]],2,FALSE),"-")</f>
        <v>-</v>
      </c>
      <c r="F154" s="61" t="str">
        <f>IFERROR(INDEX([1]Discovery!$AW:$AW,MATCH(표11[[#This Row],[해양 오브젝트]],[1]Discovery!$B:$B,0)),"-")</f>
        <v>-</v>
      </c>
      <c r="G154" s="61" t="str">
        <f>IFERROR(INDEX([1]Discovery!$AY:$AY,MATCH(표11[[#This Row],[해양 오브젝트]],[1]Discovery!$B:$B,0)),"-")</f>
        <v>-</v>
      </c>
      <c r="H154" s="61" t="str">
        <f>IFERROR(INDEX([1]Discovery!$BA:$BA,MATCH(표11[[#This Row],[해양 오브젝트]],[1]Discovery!$B:$B,0)),"-")</f>
        <v>-</v>
      </c>
    </row>
    <row r="155" spans="2:8" x14ac:dyDescent="0.3">
      <c r="B155" s="61" t="str">
        <f>[2]OceanDoodad!Z160</f>
        <v>핑갈의 동굴</v>
      </c>
      <c r="C155" s="61" t="str">
        <f>IFERROR(VLOOKUP(표11[[#This Row],[해양 오브젝트]],[3]!표1[[이름]:[선단 LV]],6,FALSE),"-")</f>
        <v>-</v>
      </c>
      <c r="D155" s="61" t="str">
        <f>IFERROR(VLOOKUP(표11[[#This Row],[해양 오브젝트]],[3]!표1[[이름]:[위도]],3,FALSE),"-")</f>
        <v>-</v>
      </c>
      <c r="E155" s="61" t="str">
        <f>IFERROR(VLOOKUP(표11[[#This Row],[해양 오브젝트]],[3]!표1[[이름]:[위도]],2,FALSE),"-")</f>
        <v>-</v>
      </c>
      <c r="F155" s="61" t="str">
        <f>IFERROR(INDEX([1]Discovery!$AW:$AW,MATCH(표11[[#This Row],[해양 오브젝트]],[1]Discovery!$B:$B,0)),"-")</f>
        <v>-</v>
      </c>
      <c r="G155" s="61" t="str">
        <f>IFERROR(INDEX([1]Discovery!$AY:$AY,MATCH(표11[[#This Row],[해양 오브젝트]],[1]Discovery!$B:$B,0)),"-")</f>
        <v>-</v>
      </c>
      <c r="H155" s="61" t="str">
        <f>IFERROR(INDEX([1]Discovery!$BA:$BA,MATCH(표11[[#This Row],[해양 오브젝트]],[1]Discovery!$B:$B,0)),"-")</f>
        <v>-</v>
      </c>
    </row>
    <row r="156" spans="2:8" x14ac:dyDescent="0.3">
      <c r="B156" s="61" t="str">
        <f>[2]OceanDoodad!Z161</f>
        <v>쿠푸왕의 피라미드</v>
      </c>
      <c r="C156" s="61" t="str">
        <f>IFERROR(VLOOKUP(표11[[#This Row],[해양 오브젝트]],[3]!표1[[이름]:[선단 LV]],6,FALSE),"-")</f>
        <v>-</v>
      </c>
      <c r="D156" s="61" t="str">
        <f>IFERROR(VLOOKUP(표11[[#This Row],[해양 오브젝트]],[3]!표1[[이름]:[위도]],3,FALSE),"-")</f>
        <v>-</v>
      </c>
      <c r="E156" s="61" t="str">
        <f>IFERROR(VLOOKUP(표11[[#This Row],[해양 오브젝트]],[3]!표1[[이름]:[위도]],2,FALSE),"-")</f>
        <v>-</v>
      </c>
      <c r="F156" s="61" t="str">
        <f>IFERROR(INDEX([1]Discovery!$AW:$AW,MATCH(표11[[#This Row],[해양 오브젝트]],[1]Discovery!$B:$B,0)),"-")</f>
        <v>무조건 실패</v>
      </c>
      <c r="G156" s="61">
        <f>IFERROR(INDEX([1]Discovery!$AY:$AY,MATCH(표11[[#This Row],[해양 오브젝트]],[1]Discovery!$B:$B,0)),"-")</f>
        <v>0</v>
      </c>
      <c r="H156" s="61">
        <f>IFERROR(INDEX([1]Discovery!$BA:$BA,MATCH(표11[[#This Row],[해양 오브젝트]],[1]Discovery!$B:$B,0)),"-")</f>
        <v>1</v>
      </c>
    </row>
    <row r="157" spans="2:8" x14ac:dyDescent="0.3">
      <c r="B157" s="61" t="str">
        <f>[2]OceanDoodad!Z162</f>
        <v>대운하</v>
      </c>
      <c r="C157" s="61" t="str">
        <f>IFERROR(VLOOKUP(표11[[#This Row],[해양 오브젝트]],[3]!표1[[이름]:[선단 LV]],6,FALSE),"-")</f>
        <v>-</v>
      </c>
      <c r="D157" s="61" t="str">
        <f>IFERROR(VLOOKUP(표11[[#This Row],[해양 오브젝트]],[3]!표1[[이름]:[위도]],3,FALSE),"-")</f>
        <v>-</v>
      </c>
      <c r="E157" s="61" t="str">
        <f>IFERROR(VLOOKUP(표11[[#This Row],[해양 오브젝트]],[3]!표1[[이름]:[위도]],2,FALSE),"-")</f>
        <v>-</v>
      </c>
      <c r="F157" s="61" t="str">
        <f>IFERROR(INDEX([1]Discovery!$AW:$AW,MATCH(표11[[#This Row],[해양 오브젝트]],[1]Discovery!$B:$B,0)),"-")</f>
        <v>-</v>
      </c>
      <c r="G157" s="61" t="str">
        <f>IFERROR(INDEX([1]Discovery!$AY:$AY,MATCH(표11[[#This Row],[해양 오브젝트]],[1]Discovery!$B:$B,0)),"-")</f>
        <v>-</v>
      </c>
      <c r="H157" s="61" t="str">
        <f>IFERROR(INDEX([1]Discovery!$BA:$BA,MATCH(표11[[#This Row],[해양 오브젝트]],[1]Discovery!$B:$B,0)),"-")</f>
        <v>-</v>
      </c>
    </row>
    <row r="158" spans="2:8" x14ac:dyDescent="0.3">
      <c r="B158" s="61" t="str">
        <f>[2]OceanDoodad!Z163</f>
        <v>만리장성</v>
      </c>
      <c r="C158" s="61" t="str">
        <f>IFERROR(VLOOKUP(표11[[#This Row],[해양 오브젝트]],[3]!표1[[이름]:[선단 LV]],6,FALSE),"-")</f>
        <v>-</v>
      </c>
      <c r="D158" s="61" t="str">
        <f>IFERROR(VLOOKUP(표11[[#This Row],[해양 오브젝트]],[3]!표1[[이름]:[위도]],3,FALSE),"-")</f>
        <v>-</v>
      </c>
      <c r="E158" s="61" t="str">
        <f>IFERROR(VLOOKUP(표11[[#This Row],[해양 오브젝트]],[3]!표1[[이름]:[위도]],2,FALSE),"-")</f>
        <v>-</v>
      </c>
      <c r="F158" s="61" t="str">
        <f>IFERROR(INDEX([1]Discovery!$AW:$AW,MATCH(표11[[#This Row],[해양 오브젝트]],[1]Discovery!$B:$B,0)),"-")</f>
        <v>특정 퀘스트</v>
      </c>
      <c r="G158" s="61" t="str">
        <f>IFERROR(INDEX([1]Discovery!$AY:$AY,MATCH(표11[[#This Row],[해양 오브젝트]],[1]Discovery!$B:$B,0)),"-")</f>
        <v>끝없는 요새</v>
      </c>
      <c r="H158" s="61">
        <f>IFERROR(INDEX([1]Discovery!$BA:$BA,MATCH(표11[[#This Row],[해양 오브젝트]],[1]Discovery!$B:$B,0)),"-")</f>
        <v>3</v>
      </c>
    </row>
    <row r="159" spans="2:8" x14ac:dyDescent="0.3">
      <c r="B159" s="61" t="str">
        <f>[2]OceanDoodad!Z164</f>
        <v>호투 마투아 왕의 모아이</v>
      </c>
      <c r="C159" s="61" t="str">
        <f>IFERROR(VLOOKUP(표11[[#This Row],[해양 오브젝트]],[3]!표1[[이름]:[선단 LV]],6,FALSE),"-")</f>
        <v>-</v>
      </c>
      <c r="D159" s="61" t="str">
        <f>IFERROR(VLOOKUP(표11[[#This Row],[해양 오브젝트]],[3]!표1[[이름]:[위도]],3,FALSE),"-")</f>
        <v>-</v>
      </c>
      <c r="E159" s="61" t="str">
        <f>IFERROR(VLOOKUP(표11[[#This Row],[해양 오브젝트]],[3]!표1[[이름]:[위도]],2,FALSE),"-")</f>
        <v>-</v>
      </c>
      <c r="F159" s="61" t="str">
        <f>IFERROR(INDEX([1]Discovery!$AW:$AW,MATCH(표11[[#This Row],[해양 오브젝트]],[1]Discovery!$B:$B,0)),"-")</f>
        <v>무조건 실패</v>
      </c>
      <c r="G159" s="61">
        <f>IFERROR(INDEX([1]Discovery!$AY:$AY,MATCH(표11[[#This Row],[해양 오브젝트]],[1]Discovery!$B:$B,0)),"-")</f>
        <v>0</v>
      </c>
      <c r="H159" s="61">
        <f>IFERROR(INDEX([1]Discovery!$BA:$BA,MATCH(표11[[#This Row],[해양 오브젝트]],[1]Discovery!$B:$B,0)),"-")</f>
        <v>1</v>
      </c>
    </row>
    <row r="160" spans="2:8" hidden="1" x14ac:dyDescent="0.3">
      <c r="B160" s="61" t="str">
        <f>[2]OceanDoodad!Z165</f>
        <v>이눅슈크</v>
      </c>
      <c r="C160" s="61" t="str">
        <f>IFERROR(VLOOKUP(표11[[#This Row],[해양 오브젝트]],[3]!표1[[이름]:[선단 LV]],6,FALSE),"-")</f>
        <v>-</v>
      </c>
      <c r="D160" s="61" t="str">
        <f>IFERROR(VLOOKUP(표11[[#This Row],[해양 오브젝트]],[3]!표1[[이름]:[위도]],3,FALSE),"-")</f>
        <v>-</v>
      </c>
      <c r="E160" s="61" t="str">
        <f>IFERROR(VLOOKUP(표11[[#This Row],[해양 오브젝트]],[3]!표1[[이름]:[위도]],2,FALSE),"-")</f>
        <v>-</v>
      </c>
      <c r="F160" s="61" t="str">
        <f>IFERROR(INDEX([1]Discovery!$AW:$AW,MATCH(표11[[#This Row],[해양 오브젝트]],[1]Discovery!$B:$B,0)),"-")</f>
        <v>-</v>
      </c>
      <c r="G160" s="61" t="str">
        <f>IFERROR(INDEX([1]Discovery!$AY:$AY,MATCH(표11[[#This Row],[해양 오브젝트]],[1]Discovery!$B:$B,0)),"-")</f>
        <v>-</v>
      </c>
      <c r="H160" s="61" t="str">
        <f>IFERROR(INDEX([1]Discovery!$BA:$BA,MATCH(표11[[#This Row],[해양 오브젝트]],[1]Discovery!$B:$B,0)),"-")</f>
        <v>-</v>
      </c>
    </row>
    <row r="161" spans="2:8" hidden="1" x14ac:dyDescent="0.3">
      <c r="B161" s="61" t="str">
        <f>[2]OceanDoodad!Z166</f>
        <v>하드리아누스의 성벽</v>
      </c>
      <c r="C161" s="61" t="str">
        <f>IFERROR(VLOOKUP(표11[[#This Row],[해양 오브젝트]],[3]!표1[[이름]:[선단 LV]],6,FALSE),"-")</f>
        <v>-</v>
      </c>
      <c r="D161" s="61" t="str">
        <f>IFERROR(VLOOKUP(표11[[#This Row],[해양 오브젝트]],[3]!표1[[이름]:[위도]],3,FALSE),"-")</f>
        <v>-</v>
      </c>
      <c r="E161" s="61" t="str">
        <f>IFERROR(VLOOKUP(표11[[#This Row],[해양 오브젝트]],[3]!표1[[이름]:[위도]],2,FALSE),"-")</f>
        <v>-</v>
      </c>
      <c r="F161" s="61" t="str">
        <f>IFERROR(INDEX([1]Discovery!$AW:$AW,MATCH(표11[[#This Row],[해양 오브젝트]],[1]Discovery!$B:$B,0)),"-")</f>
        <v>특정 국가 항해사 보유</v>
      </c>
      <c r="G161" s="61" t="str">
        <f>IFERROR(INDEX([1]Discovery!$AY:$AY,MATCH(표11[[#This Row],[해양 오브젝트]],[1]Discovery!$B:$B,0)),"-")</f>
        <v>잉글랜드</v>
      </c>
      <c r="H161" s="61">
        <f>IFERROR(INDEX([1]Discovery!$BA:$BA,MATCH(표11[[#This Row],[해양 오브젝트]],[1]Discovery!$B:$B,0)),"-")</f>
        <v>1</v>
      </c>
    </row>
    <row r="162" spans="2:8" hidden="1" x14ac:dyDescent="0.3">
      <c r="B162" s="61" t="str">
        <f>[2]OceanDoodad!Z167</f>
        <v>12사도 바위</v>
      </c>
      <c r="C162" s="61" t="str">
        <f>IFERROR(VLOOKUP(표11[[#This Row],[해양 오브젝트]],[3]!표1[[이름]:[선단 LV]],6,FALSE),"-")</f>
        <v>-</v>
      </c>
      <c r="D162" s="61" t="str">
        <f>IFERROR(VLOOKUP(표11[[#This Row],[해양 오브젝트]],[3]!표1[[이름]:[위도]],3,FALSE),"-")</f>
        <v>-</v>
      </c>
      <c r="E162" s="61" t="str">
        <f>IFERROR(VLOOKUP(표11[[#This Row],[해양 오브젝트]],[3]!표1[[이름]:[위도]],2,FALSE),"-")</f>
        <v>-</v>
      </c>
      <c r="F162" s="61" t="str">
        <f>IFERROR(INDEX([1]Discovery!$AW:$AW,MATCH(표11[[#This Row],[해양 오브젝트]],[1]Discovery!$B:$B,0)),"-")</f>
        <v>-</v>
      </c>
      <c r="G162" s="61" t="str">
        <f>IFERROR(INDEX([1]Discovery!$AY:$AY,MATCH(표11[[#This Row],[해양 오브젝트]],[1]Discovery!$B:$B,0)),"-")</f>
        <v>-</v>
      </c>
      <c r="H162" s="61" t="str">
        <f>IFERROR(INDEX([1]Discovery!$BA:$BA,MATCH(표11[[#This Row],[해양 오브젝트]],[1]Discovery!$B:$B,0)),"-")</f>
        <v>-</v>
      </c>
    </row>
    <row r="163" spans="2:8" hidden="1" x14ac:dyDescent="0.3">
      <c r="B163" s="61" t="str">
        <f>[2]OceanDoodad!Z168</f>
        <v>코끼리 바위</v>
      </c>
      <c r="C163" s="61" t="str">
        <f>IFERROR(VLOOKUP(표11[[#This Row],[해양 오브젝트]],[3]!표1[[이름]:[선단 LV]],6,FALSE),"-")</f>
        <v>-</v>
      </c>
      <c r="D163" s="61" t="str">
        <f>IFERROR(VLOOKUP(표11[[#This Row],[해양 오브젝트]],[3]!표1[[이름]:[위도]],3,FALSE),"-")</f>
        <v>-</v>
      </c>
      <c r="E163" s="61" t="str">
        <f>IFERROR(VLOOKUP(표11[[#This Row],[해양 오브젝트]],[3]!표1[[이름]:[위도]],2,FALSE),"-")</f>
        <v>-</v>
      </c>
      <c r="F163" s="61">
        <f>IFERROR(INDEX([1]Discovery!$AW:$AW,MATCH(표11[[#This Row],[해양 오브젝트]],[1]Discovery!$B:$B,0)),"-")</f>
        <v>0</v>
      </c>
      <c r="G163" s="61">
        <f>IFERROR(INDEX([1]Discovery!$AY:$AY,MATCH(표11[[#This Row],[해양 오브젝트]],[1]Discovery!$B:$B,0)),"-")</f>
        <v>0</v>
      </c>
      <c r="H163" s="61">
        <f>IFERROR(INDEX([1]Discovery!$BA:$BA,MATCH(표11[[#This Row],[해양 오브젝트]],[1]Discovery!$B:$B,0)),"-")</f>
        <v>0</v>
      </c>
    </row>
    <row r="164" spans="2:8" hidden="1" x14ac:dyDescent="0.3">
      <c r="B164" s="61" t="str">
        <f>[2]OceanDoodad!Z169</f>
        <v>무지개</v>
      </c>
      <c r="C164" s="61" t="str">
        <f>IFERROR(VLOOKUP(표11[[#This Row],[해양 오브젝트]],[3]!표1[[이름]:[선단 LV]],6,FALSE),"-")</f>
        <v>-</v>
      </c>
      <c r="D164" s="61" t="str">
        <f>IFERROR(VLOOKUP(표11[[#This Row],[해양 오브젝트]],[3]!표1[[이름]:[위도]],3,FALSE),"-")</f>
        <v>-</v>
      </c>
      <c r="E164" s="61" t="str">
        <f>IFERROR(VLOOKUP(표11[[#This Row],[해양 오브젝트]],[3]!표1[[이름]:[위도]],2,FALSE),"-")</f>
        <v>-</v>
      </c>
      <c r="F164" s="61">
        <f>IFERROR(INDEX([1]Discovery!$AW:$AW,MATCH(표11[[#This Row],[해양 오브젝트]],[1]Discovery!$B:$B,0)),"-")</f>
        <v>0</v>
      </c>
      <c r="G164" s="61">
        <f>IFERROR(INDEX([1]Discovery!$AY:$AY,MATCH(표11[[#This Row],[해양 오브젝트]],[1]Discovery!$B:$B,0)),"-")</f>
        <v>0</v>
      </c>
      <c r="H164" s="61">
        <f>IFERROR(INDEX([1]Discovery!$BA:$BA,MATCH(표11[[#This Row],[해양 오브젝트]],[1]Discovery!$B:$B,0)),"-")</f>
        <v>0</v>
      </c>
    </row>
    <row r="165" spans="2:8" hidden="1" x14ac:dyDescent="0.3">
      <c r="B165" s="61" t="str">
        <f>[2]OceanDoodad!Z170</f>
        <v>무지갯빛 구름</v>
      </c>
      <c r="C165" s="61" t="str">
        <f>IFERROR(VLOOKUP(표11[[#This Row],[해양 오브젝트]],[3]!표1[[이름]:[선단 LV]],6,FALSE),"-")</f>
        <v>-</v>
      </c>
      <c r="D165" s="61" t="str">
        <f>IFERROR(VLOOKUP(표11[[#This Row],[해양 오브젝트]],[3]!표1[[이름]:[위도]],3,FALSE),"-")</f>
        <v>-</v>
      </c>
      <c r="E165" s="61" t="str">
        <f>IFERROR(VLOOKUP(표11[[#This Row],[해양 오브젝트]],[3]!표1[[이름]:[위도]],2,FALSE),"-")</f>
        <v>-</v>
      </c>
      <c r="F165" s="61" t="str">
        <f>IFERROR(INDEX([1]Discovery!$AW:$AW,MATCH(표11[[#This Row],[해양 오브젝트]],[1]Discovery!$B:$B,0)),"-")</f>
        <v/>
      </c>
      <c r="G165" s="61">
        <f>IFERROR(INDEX([1]Discovery!$AY:$AY,MATCH(표11[[#This Row],[해양 오브젝트]],[1]Discovery!$B:$B,0)),"-")</f>
        <v>0</v>
      </c>
      <c r="H165" s="61" t="str">
        <f>IFERROR(INDEX([1]Discovery!$BA:$BA,MATCH(표11[[#This Row],[해양 오브젝트]],[1]Discovery!$B:$B,0)),"-")</f>
        <v>-</v>
      </c>
    </row>
    <row r="166" spans="2:8" hidden="1" x14ac:dyDescent="0.3">
      <c r="B166" s="61" t="str">
        <f>[2]OceanDoodad!Z171</f>
        <v>블러드문</v>
      </c>
      <c r="C166" s="61" t="str">
        <f>IFERROR(VLOOKUP(표11[[#This Row],[해양 오브젝트]],[3]!표1[[이름]:[선단 LV]],6,FALSE),"-")</f>
        <v>-</v>
      </c>
      <c r="D166" s="61" t="str">
        <f>IFERROR(VLOOKUP(표11[[#This Row],[해양 오브젝트]],[3]!표1[[이름]:[위도]],3,FALSE),"-")</f>
        <v>-</v>
      </c>
      <c r="E166" s="61" t="str">
        <f>IFERROR(VLOOKUP(표11[[#This Row],[해양 오브젝트]],[3]!표1[[이름]:[위도]],2,FALSE),"-")</f>
        <v>-</v>
      </c>
      <c r="F166" s="61">
        <f>IFERROR(INDEX([1]Discovery!$AW:$AW,MATCH(표11[[#This Row],[해양 오브젝트]],[1]Discovery!$B:$B,0)),"-")</f>
        <v>0</v>
      </c>
      <c r="G166" s="61">
        <f>IFERROR(INDEX([1]Discovery!$AY:$AY,MATCH(표11[[#This Row],[해양 오브젝트]],[1]Discovery!$B:$B,0)),"-")</f>
        <v>0</v>
      </c>
      <c r="H166" s="61">
        <f>IFERROR(INDEX([1]Discovery!$BA:$BA,MATCH(표11[[#This Row],[해양 오브젝트]],[1]Discovery!$B:$B,0)),"-")</f>
        <v>0</v>
      </c>
    </row>
    <row r="167" spans="2:8" hidden="1" x14ac:dyDescent="0.3">
      <c r="B167" s="61" t="str">
        <f>[2]OceanDoodad!Z172</f>
        <v>월식</v>
      </c>
      <c r="C167" s="61" t="str">
        <f>IFERROR(VLOOKUP(표11[[#This Row],[해양 오브젝트]],[3]!표1[[이름]:[선단 LV]],6,FALSE),"-")</f>
        <v>-</v>
      </c>
      <c r="D167" s="61" t="str">
        <f>IFERROR(VLOOKUP(표11[[#This Row],[해양 오브젝트]],[3]!표1[[이름]:[위도]],3,FALSE),"-")</f>
        <v>-</v>
      </c>
      <c r="E167" s="61" t="str">
        <f>IFERROR(VLOOKUP(표11[[#This Row],[해양 오브젝트]],[3]!표1[[이름]:[위도]],2,FALSE),"-")</f>
        <v>-</v>
      </c>
      <c r="F167" s="61">
        <f>IFERROR(INDEX([1]Discovery!$AW:$AW,MATCH(표11[[#This Row],[해양 오브젝트]],[1]Discovery!$B:$B,0)),"-")</f>
        <v>0</v>
      </c>
      <c r="G167" s="61">
        <f>IFERROR(INDEX([1]Discovery!$AY:$AY,MATCH(표11[[#This Row],[해양 오브젝트]],[1]Discovery!$B:$B,0)),"-")</f>
        <v>0</v>
      </c>
      <c r="H167" s="61">
        <f>IFERROR(INDEX([1]Discovery!$BA:$BA,MATCH(표11[[#This Row],[해양 오브젝트]],[1]Discovery!$B:$B,0)),"-")</f>
        <v>0</v>
      </c>
    </row>
    <row r="168" spans="2:8" hidden="1" x14ac:dyDescent="0.3">
      <c r="B168" s="61" t="str">
        <f>[2]OceanDoodad!Z173</f>
        <v>일식</v>
      </c>
      <c r="C168" s="61" t="str">
        <f>IFERROR(VLOOKUP(표11[[#This Row],[해양 오브젝트]],[3]!표1[[이름]:[선단 LV]],6,FALSE),"-")</f>
        <v>-</v>
      </c>
      <c r="D168" s="61" t="str">
        <f>IFERROR(VLOOKUP(표11[[#This Row],[해양 오브젝트]],[3]!표1[[이름]:[위도]],3,FALSE),"-")</f>
        <v>-</v>
      </c>
      <c r="E168" s="61" t="str">
        <f>IFERROR(VLOOKUP(표11[[#This Row],[해양 오브젝트]],[3]!표1[[이름]:[위도]],2,FALSE),"-")</f>
        <v>-</v>
      </c>
      <c r="F168" s="61">
        <f>IFERROR(INDEX([1]Discovery!$AW:$AW,MATCH(표11[[#This Row],[해양 오브젝트]],[1]Discovery!$B:$B,0)),"-")</f>
        <v>0</v>
      </c>
      <c r="G168" s="61">
        <f>IFERROR(INDEX([1]Discovery!$AY:$AY,MATCH(표11[[#This Row],[해양 오브젝트]],[1]Discovery!$B:$B,0)),"-")</f>
        <v>0</v>
      </c>
      <c r="H168" s="61">
        <f>IFERROR(INDEX([1]Discovery!$BA:$BA,MATCH(표11[[#This Row],[해양 오브젝트]],[1]Discovery!$B:$B,0)),"-")</f>
        <v>0</v>
      </c>
    </row>
    <row r="169" spans="2:8" hidden="1" x14ac:dyDescent="0.3">
      <c r="B169" s="61" t="str">
        <f>[2]OceanDoodad!Z174</f>
        <v>구멍 구름</v>
      </c>
      <c r="C169" s="61" t="str">
        <f>IFERROR(VLOOKUP(표11[[#This Row],[해양 오브젝트]],[3]!표1[[이름]:[선단 LV]],6,FALSE),"-")</f>
        <v>-</v>
      </c>
      <c r="D169" s="61" t="str">
        <f>IFERROR(VLOOKUP(표11[[#This Row],[해양 오브젝트]],[3]!표1[[이름]:[위도]],3,FALSE),"-")</f>
        <v>-</v>
      </c>
      <c r="E169" s="61" t="str">
        <f>IFERROR(VLOOKUP(표11[[#This Row],[해양 오브젝트]],[3]!표1[[이름]:[위도]],2,FALSE),"-")</f>
        <v>-</v>
      </c>
      <c r="F169" s="61">
        <f>IFERROR(INDEX([1]Discovery!$AW:$AW,MATCH(표11[[#This Row],[해양 오브젝트]],[1]Discovery!$B:$B,0)),"-")</f>
        <v>0</v>
      </c>
      <c r="G169" s="61">
        <f>IFERROR(INDEX([1]Discovery!$AY:$AY,MATCH(표11[[#This Row],[해양 오브젝트]],[1]Discovery!$B:$B,0)),"-")</f>
        <v>0</v>
      </c>
      <c r="H169" s="61">
        <f>IFERROR(INDEX([1]Discovery!$BA:$BA,MATCH(표11[[#This Row],[해양 오브젝트]],[1]Discovery!$B:$B,0)),"-")</f>
        <v>0</v>
      </c>
    </row>
    <row r="170" spans="2:8" hidden="1" x14ac:dyDescent="0.3">
      <c r="B170" s="61" t="str">
        <f>[2]OceanDoodad!Z175</f>
        <v>달무리</v>
      </c>
      <c r="C170" s="61" t="str">
        <f>IFERROR(VLOOKUP(표11[[#This Row],[해양 오브젝트]],[3]!표1[[이름]:[선단 LV]],6,FALSE),"-")</f>
        <v>-</v>
      </c>
      <c r="D170" s="61" t="str">
        <f>IFERROR(VLOOKUP(표11[[#This Row],[해양 오브젝트]],[3]!표1[[이름]:[위도]],3,FALSE),"-")</f>
        <v>-</v>
      </c>
      <c r="E170" s="61" t="str">
        <f>IFERROR(VLOOKUP(표11[[#This Row],[해양 오브젝트]],[3]!표1[[이름]:[위도]],2,FALSE),"-")</f>
        <v>-</v>
      </c>
      <c r="F170" s="61">
        <f>IFERROR(INDEX([1]Discovery!$AW:$AW,MATCH(표11[[#This Row],[해양 오브젝트]],[1]Discovery!$B:$B,0)),"-")</f>
        <v>0</v>
      </c>
      <c r="G170" s="61">
        <f>IFERROR(INDEX([1]Discovery!$AY:$AY,MATCH(표11[[#This Row],[해양 오브젝트]],[1]Discovery!$B:$B,0)),"-")</f>
        <v>0</v>
      </c>
      <c r="H170" s="61">
        <f>IFERROR(INDEX([1]Discovery!$BA:$BA,MATCH(표11[[#This Row],[해양 오브젝트]],[1]Discovery!$B:$B,0)),"-")</f>
        <v>0</v>
      </c>
    </row>
    <row r="171" spans="2:8" hidden="1" x14ac:dyDescent="0.3">
      <c r="B171" s="61" t="str">
        <f>[2]OceanDoodad!Z176</f>
        <v>렌즈구름</v>
      </c>
      <c r="C171" s="61" t="str">
        <f>IFERROR(VLOOKUP(표11[[#This Row],[해양 오브젝트]],[3]!표1[[이름]:[선단 LV]],6,FALSE),"-")</f>
        <v>-</v>
      </c>
      <c r="D171" s="61" t="str">
        <f>IFERROR(VLOOKUP(표11[[#This Row],[해양 오브젝트]],[3]!표1[[이름]:[위도]],3,FALSE),"-")</f>
        <v>-</v>
      </c>
      <c r="E171" s="61" t="str">
        <f>IFERROR(VLOOKUP(표11[[#This Row],[해양 오브젝트]],[3]!표1[[이름]:[위도]],2,FALSE),"-")</f>
        <v>-</v>
      </c>
      <c r="F171" s="61">
        <f>IFERROR(INDEX([1]Discovery!$AW:$AW,MATCH(표11[[#This Row],[해양 오브젝트]],[1]Discovery!$B:$B,0)),"-")</f>
        <v>0</v>
      </c>
      <c r="G171" s="61">
        <f>IFERROR(INDEX([1]Discovery!$AY:$AY,MATCH(표11[[#This Row],[해양 오브젝트]],[1]Discovery!$B:$B,0)),"-")</f>
        <v>0</v>
      </c>
      <c r="H171" s="61">
        <f>IFERROR(INDEX([1]Discovery!$BA:$BA,MATCH(표11[[#This Row],[해양 오브젝트]],[1]Discovery!$B:$B,0)),"-")</f>
        <v>0</v>
      </c>
    </row>
    <row r="172" spans="2:8" hidden="1" x14ac:dyDescent="0.3">
      <c r="B172" s="61" t="str">
        <f>[2]OceanDoodad!Z177</f>
        <v>토네이도</v>
      </c>
      <c r="C172" s="61" t="str">
        <f>IFERROR(VLOOKUP(표11[[#This Row],[해양 오브젝트]],[3]!표1[[이름]:[선단 LV]],6,FALSE),"-")</f>
        <v>-</v>
      </c>
      <c r="D172" s="61" t="str">
        <f>IFERROR(VLOOKUP(표11[[#This Row],[해양 오브젝트]],[3]!표1[[이름]:[위도]],3,FALSE),"-")</f>
        <v>-</v>
      </c>
      <c r="E172" s="61" t="str">
        <f>IFERROR(VLOOKUP(표11[[#This Row],[해양 오브젝트]],[3]!표1[[이름]:[위도]],2,FALSE),"-")</f>
        <v>-</v>
      </c>
      <c r="F172" s="61">
        <f>IFERROR(INDEX([1]Discovery!$AW:$AW,MATCH(표11[[#This Row],[해양 오브젝트]],[1]Discovery!$B:$B,0)),"-")</f>
        <v>0</v>
      </c>
      <c r="G172" s="61">
        <f>IFERROR(INDEX([1]Discovery!$AY:$AY,MATCH(표11[[#This Row],[해양 오브젝트]],[1]Discovery!$B:$B,0)),"-")</f>
        <v>0</v>
      </c>
      <c r="H172" s="61">
        <f>IFERROR(INDEX([1]Discovery!$BA:$BA,MATCH(표11[[#This Row],[해양 오브젝트]],[1]Discovery!$B:$B,0)),"-")</f>
        <v>0</v>
      </c>
    </row>
    <row r="173" spans="2:8" hidden="1" x14ac:dyDescent="0.3">
      <c r="B173" s="61" t="str">
        <f>[2]OceanDoodad!Z178</f>
        <v>양형 번개</v>
      </c>
      <c r="C173" s="61" t="str">
        <f>IFERROR(VLOOKUP(표11[[#This Row],[해양 오브젝트]],[3]!표1[[이름]:[선단 LV]],6,FALSE),"-")</f>
        <v>-</v>
      </c>
      <c r="D173" s="61" t="str">
        <f>IFERROR(VLOOKUP(표11[[#This Row],[해양 오브젝트]],[3]!표1[[이름]:[위도]],3,FALSE),"-")</f>
        <v>-</v>
      </c>
      <c r="E173" s="61" t="str">
        <f>IFERROR(VLOOKUP(표11[[#This Row],[해양 오브젝트]],[3]!표1[[이름]:[위도]],2,FALSE),"-")</f>
        <v>-</v>
      </c>
      <c r="F173" s="61">
        <f>IFERROR(INDEX([1]Discovery!$AW:$AW,MATCH(표11[[#This Row],[해양 오브젝트]],[1]Discovery!$B:$B,0)),"-")</f>
        <v>0</v>
      </c>
      <c r="G173" s="61">
        <f>IFERROR(INDEX([1]Discovery!$AY:$AY,MATCH(표11[[#This Row],[해양 오브젝트]],[1]Discovery!$B:$B,0)),"-")</f>
        <v>0</v>
      </c>
      <c r="H173" s="61">
        <f>IFERROR(INDEX([1]Discovery!$BA:$BA,MATCH(표11[[#This Row],[해양 오브젝트]],[1]Discovery!$B:$B,0)),"-")</f>
        <v>0</v>
      </c>
    </row>
    <row r="174" spans="2:8" hidden="1" x14ac:dyDescent="0.3">
      <c r="B174" s="61" t="str">
        <f>[2]OceanDoodad!Z179</f>
        <v>카타툼보 번개</v>
      </c>
      <c r="C174" s="61" t="str">
        <f>IFERROR(VLOOKUP(표11[[#This Row],[해양 오브젝트]],[3]!표1[[이름]:[선단 LV]],6,FALSE),"-")</f>
        <v>-</v>
      </c>
      <c r="D174" s="61" t="str">
        <f>IFERROR(VLOOKUP(표11[[#This Row],[해양 오브젝트]],[3]!표1[[이름]:[위도]],3,FALSE),"-")</f>
        <v>-</v>
      </c>
      <c r="E174" s="61" t="str">
        <f>IFERROR(VLOOKUP(표11[[#This Row],[해양 오브젝트]],[3]!표1[[이름]:[위도]],2,FALSE),"-")</f>
        <v>-</v>
      </c>
      <c r="F174" s="61">
        <f>IFERROR(INDEX([1]Discovery!$AW:$AW,MATCH(표11[[#This Row],[해양 오브젝트]],[1]Discovery!$B:$B,0)),"-")</f>
        <v>0</v>
      </c>
      <c r="G174" s="61">
        <f>IFERROR(INDEX([1]Discovery!$AY:$AY,MATCH(표11[[#This Row],[해양 오브젝트]],[1]Discovery!$B:$B,0)),"-")</f>
        <v>0</v>
      </c>
      <c r="H174" s="61">
        <f>IFERROR(INDEX([1]Discovery!$BA:$BA,MATCH(표11[[#This Row],[해양 오브젝트]],[1]Discovery!$B:$B,0)),"-")</f>
        <v>0</v>
      </c>
    </row>
    <row r="175" spans="2:8" hidden="1" x14ac:dyDescent="0.3">
      <c r="B175" s="61" t="str">
        <f>[2]OceanDoodad!Z180</f>
        <v>해기둥</v>
      </c>
      <c r="C175" s="61" t="str">
        <f>IFERROR(VLOOKUP(표11[[#This Row],[해양 오브젝트]],[3]!표1[[이름]:[선단 LV]],6,FALSE),"-")</f>
        <v>-</v>
      </c>
      <c r="D175" s="61" t="str">
        <f>IFERROR(VLOOKUP(표11[[#This Row],[해양 오브젝트]],[3]!표1[[이름]:[위도]],3,FALSE),"-")</f>
        <v>-</v>
      </c>
      <c r="E175" s="61" t="str">
        <f>IFERROR(VLOOKUP(표11[[#This Row],[해양 오브젝트]],[3]!표1[[이름]:[위도]],2,FALSE),"-")</f>
        <v>-</v>
      </c>
      <c r="F175" s="61">
        <f>IFERROR(INDEX([1]Discovery!$AW:$AW,MATCH(표11[[#This Row],[해양 오브젝트]],[1]Discovery!$B:$B,0)),"-")</f>
        <v>0</v>
      </c>
      <c r="G175" s="61">
        <f>IFERROR(INDEX([1]Discovery!$AY:$AY,MATCH(표11[[#This Row],[해양 오브젝트]],[1]Discovery!$B:$B,0)),"-")</f>
        <v>0</v>
      </c>
      <c r="H175" s="61">
        <f>IFERROR(INDEX([1]Discovery!$BA:$BA,MATCH(표11[[#This Row],[해양 오브젝트]],[1]Discovery!$B:$B,0)),"-")</f>
        <v>0</v>
      </c>
    </row>
    <row r="176" spans="2:8" hidden="1" x14ac:dyDescent="0.3">
      <c r="B176" s="61" t="str">
        <f>[2]OceanDoodad!Z181</f>
        <v>화구</v>
      </c>
      <c r="C176" s="61" t="str">
        <f>IFERROR(VLOOKUP(표11[[#This Row],[해양 오브젝트]],[3]!표1[[이름]:[선단 LV]],6,FALSE),"-")</f>
        <v>-</v>
      </c>
      <c r="D176" s="61" t="str">
        <f>IFERROR(VLOOKUP(표11[[#This Row],[해양 오브젝트]],[3]!표1[[이름]:[위도]],3,FALSE),"-")</f>
        <v>-</v>
      </c>
      <c r="E176" s="61" t="str">
        <f>IFERROR(VLOOKUP(표11[[#This Row],[해양 오브젝트]],[3]!표1[[이름]:[위도]],2,FALSE),"-")</f>
        <v>-</v>
      </c>
      <c r="F176" s="61">
        <f>IFERROR(INDEX([1]Discovery!$AW:$AW,MATCH(표11[[#This Row],[해양 오브젝트]],[1]Discovery!$B:$B,0)),"-")</f>
        <v>0</v>
      </c>
      <c r="G176" s="61">
        <f>IFERROR(INDEX([1]Discovery!$AY:$AY,MATCH(표11[[#This Row],[해양 오브젝트]],[1]Discovery!$B:$B,0)),"-")</f>
        <v>0</v>
      </c>
      <c r="H176" s="61">
        <f>IFERROR(INDEX([1]Discovery!$BA:$BA,MATCH(표11[[#This Row],[해양 오브젝트]],[1]Discovery!$B:$B,0)),"-")</f>
        <v>0</v>
      </c>
    </row>
    <row r="177" spans="2:8" hidden="1" x14ac:dyDescent="0.3">
      <c r="B177" s="61" t="str">
        <f>[2]OceanDoodad!Z182</f>
        <v>나가 화구</v>
      </c>
      <c r="C177" s="61" t="str">
        <f>IFERROR(VLOOKUP(표11[[#This Row],[해양 오브젝트]],[3]!표1[[이름]:[선단 LV]],6,FALSE),"-")</f>
        <v>-</v>
      </c>
      <c r="D177" s="61" t="str">
        <f>IFERROR(VLOOKUP(표11[[#This Row],[해양 오브젝트]],[3]!표1[[이름]:[위도]],3,FALSE),"-")</f>
        <v>-</v>
      </c>
      <c r="E177" s="61" t="str">
        <f>IFERROR(VLOOKUP(표11[[#This Row],[해양 오브젝트]],[3]!표1[[이름]:[위도]],2,FALSE),"-")</f>
        <v>-</v>
      </c>
      <c r="F177" s="61" t="str">
        <f>IFERROR(INDEX([1]Discovery!$AW:$AW,MATCH(표11[[#This Row],[해양 오브젝트]],[1]Discovery!$B:$B,0)),"-")</f>
        <v>-</v>
      </c>
      <c r="G177" s="61" t="str">
        <f>IFERROR(INDEX([1]Discovery!$AY:$AY,MATCH(표11[[#This Row],[해양 오브젝트]],[1]Discovery!$B:$B,0)),"-")</f>
        <v>-</v>
      </c>
      <c r="H177" s="61" t="str">
        <f>IFERROR(INDEX([1]Discovery!$BA:$BA,MATCH(표11[[#This Row],[해양 오브젝트]],[1]Discovery!$B:$B,0)),"-")</f>
        <v>-</v>
      </c>
    </row>
    <row r="178" spans="2:8" hidden="1" x14ac:dyDescent="0.3">
      <c r="B178" s="61" t="str">
        <f>[2]OceanDoodad!Z183</f>
        <v>모닝글로리</v>
      </c>
      <c r="C178" s="61" t="str">
        <f>IFERROR(VLOOKUP(표11[[#This Row],[해양 오브젝트]],[3]!표1[[이름]:[선단 LV]],6,FALSE),"-")</f>
        <v>-</v>
      </c>
      <c r="D178" s="61" t="str">
        <f>IFERROR(VLOOKUP(표11[[#This Row],[해양 오브젝트]],[3]!표1[[이름]:[위도]],3,FALSE),"-")</f>
        <v>-</v>
      </c>
      <c r="E178" s="61" t="str">
        <f>IFERROR(VLOOKUP(표11[[#This Row],[해양 오브젝트]],[3]!표1[[이름]:[위도]],2,FALSE),"-")</f>
        <v>-</v>
      </c>
      <c r="F178" s="61">
        <f>IFERROR(INDEX([1]Discovery!$AW:$AW,MATCH(표11[[#This Row],[해양 오브젝트]],[1]Discovery!$B:$B,0)),"-")</f>
        <v>0</v>
      </c>
      <c r="G178" s="61">
        <f>IFERROR(INDEX([1]Discovery!$AY:$AY,MATCH(표11[[#This Row],[해양 오브젝트]],[1]Discovery!$B:$B,0)),"-")</f>
        <v>0</v>
      </c>
      <c r="H178" s="61">
        <f>IFERROR(INDEX([1]Discovery!$BA:$BA,MATCH(표11[[#This Row],[해양 오브젝트]],[1]Discovery!$B:$B,0)),"-")</f>
        <v>0</v>
      </c>
    </row>
    <row r="179" spans="2:8" hidden="1" x14ac:dyDescent="0.3">
      <c r="B179" s="61" t="str">
        <f>[2]OceanDoodad!Z184</f>
        <v>소용돌이</v>
      </c>
      <c r="C179" s="61" t="str">
        <f>IFERROR(VLOOKUP(표11[[#This Row],[해양 오브젝트]],[3]!표1[[이름]:[선단 LV]],6,FALSE),"-")</f>
        <v>-</v>
      </c>
      <c r="D179" s="61" t="str">
        <f>IFERROR(VLOOKUP(표11[[#This Row],[해양 오브젝트]],[3]!표1[[이름]:[위도]],3,FALSE),"-")</f>
        <v>-</v>
      </c>
      <c r="E179" s="61" t="str">
        <f>IFERROR(VLOOKUP(표11[[#This Row],[해양 오브젝트]],[3]!표1[[이름]:[위도]],2,FALSE),"-")</f>
        <v>-</v>
      </c>
      <c r="F179" s="61">
        <f>IFERROR(INDEX([1]Discovery!$AW:$AW,MATCH(표11[[#This Row],[해양 오브젝트]],[1]Discovery!$B:$B,0)),"-")</f>
        <v>0</v>
      </c>
      <c r="G179" s="61">
        <f>IFERROR(INDEX([1]Discovery!$AY:$AY,MATCH(표11[[#This Row],[해양 오브젝트]],[1]Discovery!$B:$B,0)),"-")</f>
        <v>0</v>
      </c>
      <c r="H179" s="61">
        <f>IFERROR(INDEX([1]Discovery!$BA:$BA,MATCH(표11[[#This Row],[해양 오브젝트]],[1]Discovery!$B:$B,0)),"-")</f>
        <v>0</v>
      </c>
    </row>
    <row r="180" spans="2:8" hidden="1" x14ac:dyDescent="0.3">
      <c r="B180" s="61" t="str">
        <f>[2]OceanDoodad!Z185</f>
        <v>오로라</v>
      </c>
      <c r="C180" s="61" t="str">
        <f>IFERROR(VLOOKUP(표11[[#This Row],[해양 오브젝트]],[3]!표1[[이름]:[선단 LV]],6,FALSE),"-")</f>
        <v>-</v>
      </c>
      <c r="D180" s="61" t="str">
        <f>IFERROR(VLOOKUP(표11[[#This Row],[해양 오브젝트]],[3]!표1[[이름]:[위도]],3,FALSE),"-")</f>
        <v>-</v>
      </c>
      <c r="E180" s="61" t="str">
        <f>IFERROR(VLOOKUP(표11[[#This Row],[해양 오브젝트]],[3]!표1[[이름]:[위도]],2,FALSE),"-")</f>
        <v>-</v>
      </c>
      <c r="F180" s="61">
        <f>IFERROR(INDEX([1]Discovery!$AW:$AW,MATCH(표11[[#This Row],[해양 오브젝트]],[1]Discovery!$B:$B,0)),"-")</f>
        <v>0</v>
      </c>
      <c r="G180" s="61">
        <f>IFERROR(INDEX([1]Discovery!$AY:$AY,MATCH(표11[[#This Row],[해양 오브젝트]],[1]Discovery!$B:$B,0)),"-")</f>
        <v>0</v>
      </c>
      <c r="H180" s="61">
        <f>IFERROR(INDEX([1]Discovery!$BA:$BA,MATCH(표11[[#This Row],[해양 오브젝트]],[1]Discovery!$B:$B,0)),"-")</f>
        <v>0</v>
      </c>
    </row>
    <row r="181" spans="2:8" hidden="1" x14ac:dyDescent="0.3">
      <c r="B181" s="61" t="str">
        <f>[2]OceanDoodad!Z186</f>
        <v>슈퍼셀</v>
      </c>
      <c r="C181" s="61" t="str">
        <f>IFERROR(VLOOKUP(표11[[#This Row],[해양 오브젝트]],[3]!표1[[이름]:[선단 LV]],6,FALSE),"-")</f>
        <v>-</v>
      </c>
      <c r="D181" s="61" t="str">
        <f>IFERROR(VLOOKUP(표11[[#This Row],[해양 오브젝트]],[3]!표1[[이름]:[위도]],3,FALSE),"-")</f>
        <v>-</v>
      </c>
      <c r="E181" s="61" t="str">
        <f>IFERROR(VLOOKUP(표11[[#This Row],[해양 오브젝트]],[3]!표1[[이름]:[위도]],2,FALSE),"-")</f>
        <v>-</v>
      </c>
      <c r="F181" s="61">
        <f>IFERROR(INDEX([1]Discovery!$AW:$AW,MATCH(표11[[#This Row],[해양 오브젝트]],[1]Discovery!$B:$B,0)),"-")</f>
        <v>0</v>
      </c>
      <c r="G181" s="61">
        <f>IFERROR(INDEX([1]Discovery!$AY:$AY,MATCH(표11[[#This Row],[해양 오브젝트]],[1]Discovery!$B:$B,0)),"-")</f>
        <v>0</v>
      </c>
      <c r="H181" s="61">
        <f>IFERROR(INDEX([1]Discovery!$BA:$BA,MATCH(표11[[#This Row],[해양 오브젝트]],[1]Discovery!$B:$B,0)),"-")</f>
        <v>0</v>
      </c>
    </row>
    <row r="182" spans="2:8" hidden="1" x14ac:dyDescent="0.3">
      <c r="B182" s="61" t="str">
        <f>[2]OceanDoodad!Z187</f>
        <v>나가의 화염구</v>
      </c>
      <c r="C182" s="61" t="str">
        <f>IFERROR(VLOOKUP(표11[[#This Row],[해양 오브젝트]],[3]!표1[[이름]:[선단 LV]],6,FALSE),"-")</f>
        <v>-</v>
      </c>
      <c r="D182" s="61" t="str">
        <f>IFERROR(VLOOKUP(표11[[#This Row],[해양 오브젝트]],[3]!표1[[이름]:[위도]],3,FALSE),"-")</f>
        <v>-</v>
      </c>
      <c r="E182" s="61" t="str">
        <f>IFERROR(VLOOKUP(표11[[#This Row],[해양 오브젝트]],[3]!표1[[이름]:[위도]],2,FALSE),"-")</f>
        <v>-</v>
      </c>
      <c r="F182" s="61">
        <f>IFERROR(INDEX([1]Discovery!$AW:$AW,MATCH(표11[[#This Row],[해양 오브젝트]],[1]Discovery!$B:$B,0)),"-")</f>
        <v>0</v>
      </c>
      <c r="G182" s="61">
        <f>IFERROR(INDEX([1]Discovery!$AY:$AY,MATCH(표11[[#This Row],[해양 오브젝트]],[1]Discovery!$B:$B,0)),"-")</f>
        <v>0</v>
      </c>
      <c r="H182" s="61">
        <f>IFERROR(INDEX([1]Discovery!$BA:$BA,MATCH(표11[[#This Row],[해양 오브젝트]],[1]Discovery!$B:$B,0)),"-")</f>
        <v>0</v>
      </c>
    </row>
    <row r="183" spans="2:8" hidden="1" x14ac:dyDescent="0.3">
      <c r="B183" s="61" t="str">
        <f>[2]OceanDoodad!Z188</f>
        <v>우박</v>
      </c>
      <c r="C183" s="61" t="str">
        <f>IFERROR(VLOOKUP(표11[[#This Row],[해양 오브젝트]],[3]!표1[[이름]:[선단 LV]],6,FALSE),"-")</f>
        <v>-</v>
      </c>
      <c r="D183" s="61" t="str">
        <f>IFERROR(VLOOKUP(표11[[#This Row],[해양 오브젝트]],[3]!표1[[이름]:[위도]],3,FALSE),"-")</f>
        <v>-</v>
      </c>
      <c r="E183" s="61" t="str">
        <f>IFERROR(VLOOKUP(표11[[#This Row],[해양 오브젝트]],[3]!표1[[이름]:[위도]],2,FALSE),"-")</f>
        <v>-</v>
      </c>
      <c r="F183" s="61">
        <f>IFERROR(INDEX([1]Discovery!$AW:$AW,MATCH(표11[[#This Row],[해양 오브젝트]],[1]Discovery!$B:$B,0)),"-")</f>
        <v>0</v>
      </c>
      <c r="G183" s="61">
        <f>IFERROR(INDEX([1]Discovery!$AY:$AY,MATCH(표11[[#This Row],[해양 오브젝트]],[1]Discovery!$B:$B,0)),"-")</f>
        <v>0</v>
      </c>
      <c r="H183" s="61">
        <f>IFERROR(INDEX([1]Discovery!$BA:$BA,MATCH(표11[[#This Row],[해양 오브젝트]],[1]Discovery!$B:$B,0)),"-")</f>
        <v>0</v>
      </c>
    </row>
    <row r="184" spans="2:8" hidden="1" x14ac:dyDescent="0.3">
      <c r="B184" s="61" t="str">
        <f>[2]OceanDoodad!Z189</f>
        <v>황사</v>
      </c>
      <c r="C184" s="61" t="str">
        <f>IFERROR(VLOOKUP(표11[[#This Row],[해양 오브젝트]],[3]!표1[[이름]:[선단 LV]],6,FALSE),"-")</f>
        <v>-</v>
      </c>
      <c r="D184" s="61" t="str">
        <f>IFERROR(VLOOKUP(표11[[#This Row],[해양 오브젝트]],[3]!표1[[이름]:[위도]],3,FALSE),"-")</f>
        <v>-</v>
      </c>
      <c r="E184" s="61" t="str">
        <f>IFERROR(VLOOKUP(표11[[#This Row],[해양 오브젝트]],[3]!표1[[이름]:[위도]],2,FALSE),"-")</f>
        <v>-</v>
      </c>
      <c r="F184" s="61" t="str">
        <f>IFERROR(INDEX([1]Discovery!$AW:$AW,MATCH(표11[[#This Row],[해양 오브젝트]],[1]Discovery!$B:$B,0)),"-")</f>
        <v/>
      </c>
      <c r="G184" s="61">
        <f>IFERROR(INDEX([1]Discovery!$AY:$AY,MATCH(표11[[#This Row],[해양 오브젝트]],[1]Discovery!$B:$B,0)),"-")</f>
        <v>0</v>
      </c>
      <c r="H184" s="61" t="str">
        <f>IFERROR(INDEX([1]Discovery!$BA:$BA,MATCH(표11[[#This Row],[해양 오브젝트]],[1]Discovery!$B:$B,0)),"-")</f>
        <v>-</v>
      </c>
    </row>
    <row r="185" spans="2:8" hidden="1" x14ac:dyDescent="0.3">
      <c r="B185" s="61" t="str">
        <f>[2]OceanDoodad!Z190</f>
        <v>대혜성</v>
      </c>
      <c r="C185" s="61" t="str">
        <f>IFERROR(VLOOKUP(표11[[#This Row],[해양 오브젝트]],[3]!표1[[이름]:[선단 LV]],6,FALSE),"-")</f>
        <v>-</v>
      </c>
      <c r="D185" s="61" t="str">
        <f>IFERROR(VLOOKUP(표11[[#This Row],[해양 오브젝트]],[3]!표1[[이름]:[위도]],3,FALSE),"-")</f>
        <v>-</v>
      </c>
      <c r="E185" s="61" t="str">
        <f>IFERROR(VLOOKUP(표11[[#This Row],[해양 오브젝트]],[3]!표1[[이름]:[위도]],2,FALSE),"-")</f>
        <v>-</v>
      </c>
      <c r="F185" s="61">
        <f>IFERROR(INDEX([1]Discovery!$AW:$AW,MATCH(표11[[#This Row],[해양 오브젝트]],[1]Discovery!$B:$B,0)),"-")</f>
        <v>0</v>
      </c>
      <c r="G185" s="61">
        <f>IFERROR(INDEX([1]Discovery!$AY:$AY,MATCH(표11[[#This Row],[해양 오브젝트]],[1]Discovery!$B:$B,0)),"-")</f>
        <v>0</v>
      </c>
      <c r="H185" s="61">
        <f>IFERROR(INDEX([1]Discovery!$BA:$BA,MATCH(표11[[#This Row],[해양 오브젝트]],[1]Discovery!$B:$B,0)),"-")</f>
        <v>0</v>
      </c>
    </row>
    <row r="186" spans="2:8" hidden="1" x14ac:dyDescent="0.3">
      <c r="B186" s="61" t="str">
        <f>[2]OceanDoodad!Z191</f>
        <v>북극성</v>
      </c>
      <c r="C186" s="61" t="str">
        <f>IFERROR(VLOOKUP(표11[[#This Row],[해양 오브젝트]],[3]!표1[[이름]:[선단 LV]],6,FALSE),"-")</f>
        <v>-</v>
      </c>
      <c r="D186" s="61" t="str">
        <f>IFERROR(VLOOKUP(표11[[#This Row],[해양 오브젝트]],[3]!표1[[이름]:[위도]],3,FALSE),"-")</f>
        <v>-</v>
      </c>
      <c r="E186" s="61" t="str">
        <f>IFERROR(VLOOKUP(표11[[#This Row],[해양 오브젝트]],[3]!표1[[이름]:[위도]],2,FALSE),"-")</f>
        <v>-</v>
      </c>
      <c r="F186" s="61">
        <f>IFERROR(INDEX([1]Discovery!$AW:$AW,MATCH(표11[[#This Row],[해양 오브젝트]],[1]Discovery!$B:$B,0)),"-")</f>
        <v>0</v>
      </c>
      <c r="G186" s="61">
        <f>IFERROR(INDEX([1]Discovery!$AY:$AY,MATCH(표11[[#This Row],[해양 오브젝트]],[1]Discovery!$B:$B,0)),"-")</f>
        <v>0</v>
      </c>
      <c r="H186" s="61">
        <f>IFERROR(INDEX([1]Discovery!$BA:$BA,MATCH(표11[[#This Row],[해양 오브젝트]],[1]Discovery!$B:$B,0)),"-")</f>
        <v>0</v>
      </c>
    </row>
    <row r="187" spans="2:8" hidden="1" x14ac:dyDescent="0.3">
      <c r="B187" s="61" t="str">
        <f>[2]OceanDoodad!Z192</f>
        <v>케플러의 신성</v>
      </c>
      <c r="C187" s="61" t="str">
        <f>IFERROR(VLOOKUP(표11[[#This Row],[해양 오브젝트]],[3]!표1[[이름]:[선단 LV]],6,FALSE),"-")</f>
        <v>-</v>
      </c>
      <c r="D187" s="61" t="str">
        <f>IFERROR(VLOOKUP(표11[[#This Row],[해양 오브젝트]],[3]!표1[[이름]:[위도]],3,FALSE),"-")</f>
        <v>-</v>
      </c>
      <c r="E187" s="61" t="str">
        <f>IFERROR(VLOOKUP(표11[[#This Row],[해양 오브젝트]],[3]!표1[[이름]:[위도]],2,FALSE),"-")</f>
        <v>-</v>
      </c>
      <c r="F187" s="61" t="str">
        <f>IFERROR(INDEX([1]Discovery!$AW:$AW,MATCH(표11[[#This Row],[해양 오브젝트]],[1]Discovery!$B:$B,0)),"-")</f>
        <v>특정 퀘스트(=)</v>
      </c>
      <c r="G187" s="61" t="str">
        <f>IFERROR(INDEX([1]Discovery!$AY:$AY,MATCH(표11[[#This Row],[해양 오브젝트]],[1]Discovery!$B:$B,0)),"-")</f>
        <v>가장 빛나는 별</v>
      </c>
      <c r="H187" s="61">
        <f>IFERROR(INDEX([1]Discovery!$BA:$BA,MATCH(표11[[#This Row],[해양 오브젝트]],[1]Discovery!$B:$B,0)),"-")</f>
        <v>3</v>
      </c>
    </row>
    <row r="188" spans="2:8" hidden="1" x14ac:dyDescent="0.3">
      <c r="B188" s="61" t="str">
        <f>[2]OceanDoodad!Z193</f>
        <v>거문고자리 유성군</v>
      </c>
      <c r="C188" s="61" t="str">
        <f>IFERROR(VLOOKUP(표11[[#This Row],[해양 오브젝트]],[3]!표1[[이름]:[선단 LV]],6,FALSE),"-")</f>
        <v>-</v>
      </c>
      <c r="D188" s="61" t="str">
        <f>IFERROR(VLOOKUP(표11[[#This Row],[해양 오브젝트]],[3]!표1[[이름]:[위도]],3,FALSE),"-")</f>
        <v>-</v>
      </c>
      <c r="E188" s="61" t="str">
        <f>IFERROR(VLOOKUP(표11[[#This Row],[해양 오브젝트]],[3]!표1[[이름]:[위도]],2,FALSE),"-")</f>
        <v>-</v>
      </c>
      <c r="F188" s="61">
        <f>IFERROR(INDEX([1]Discovery!$AW:$AW,MATCH(표11[[#This Row],[해양 오브젝트]],[1]Discovery!$B:$B,0)),"-")</f>
        <v>0</v>
      </c>
      <c r="G188" s="61">
        <f>IFERROR(INDEX([1]Discovery!$AY:$AY,MATCH(표11[[#This Row],[해양 오브젝트]],[1]Discovery!$B:$B,0)),"-")</f>
        <v>0</v>
      </c>
      <c r="H188" s="61">
        <f>IFERROR(INDEX([1]Discovery!$BA:$BA,MATCH(표11[[#This Row],[해양 오브젝트]],[1]Discovery!$B:$B,0)),"-")</f>
        <v>0</v>
      </c>
    </row>
    <row r="189" spans="2:8" hidden="1" x14ac:dyDescent="0.3">
      <c r="B189" s="61" t="str">
        <f>[2]OceanDoodad!Z194</f>
        <v>겨울의 대삼각형</v>
      </c>
      <c r="C189" s="61" t="str">
        <f>IFERROR(VLOOKUP(표11[[#This Row],[해양 오브젝트]],[3]!표1[[이름]:[선단 LV]],6,FALSE),"-")</f>
        <v>-</v>
      </c>
      <c r="D189" s="61" t="str">
        <f>IFERROR(VLOOKUP(표11[[#This Row],[해양 오브젝트]],[3]!표1[[이름]:[위도]],3,FALSE),"-")</f>
        <v>-</v>
      </c>
      <c r="E189" s="61" t="str">
        <f>IFERROR(VLOOKUP(표11[[#This Row],[해양 오브젝트]],[3]!표1[[이름]:[위도]],2,FALSE),"-")</f>
        <v>-</v>
      </c>
      <c r="F189" s="61">
        <f>IFERROR(INDEX([1]Discovery!$AW:$AW,MATCH(표11[[#This Row],[해양 오브젝트]],[1]Discovery!$B:$B,0)),"-")</f>
        <v>0</v>
      </c>
      <c r="G189" s="61">
        <f>IFERROR(INDEX([1]Discovery!$AY:$AY,MATCH(표11[[#This Row],[해양 오브젝트]],[1]Discovery!$B:$B,0)),"-")</f>
        <v>0</v>
      </c>
      <c r="H189" s="61">
        <f>IFERROR(INDEX([1]Discovery!$BA:$BA,MATCH(표11[[#This Row],[해양 오브젝트]],[1]Discovery!$B:$B,0)),"-")</f>
        <v>0</v>
      </c>
    </row>
    <row r="190" spans="2:8" hidden="1" x14ac:dyDescent="0.3">
      <c r="B190" s="61" t="str">
        <f>[2]OceanDoodad!Z195</f>
        <v>금성의 영휴</v>
      </c>
      <c r="C190" s="61" t="str">
        <f>IFERROR(VLOOKUP(표11[[#This Row],[해양 오브젝트]],[3]!표1[[이름]:[선단 LV]],6,FALSE),"-")</f>
        <v>-</v>
      </c>
      <c r="D190" s="61" t="str">
        <f>IFERROR(VLOOKUP(표11[[#This Row],[해양 오브젝트]],[3]!표1[[이름]:[위도]],3,FALSE),"-")</f>
        <v>-</v>
      </c>
      <c r="E190" s="61" t="str">
        <f>IFERROR(VLOOKUP(표11[[#This Row],[해양 오브젝트]],[3]!표1[[이름]:[위도]],2,FALSE),"-")</f>
        <v>-</v>
      </c>
      <c r="F190" s="61">
        <f>IFERROR(INDEX([1]Discovery!$AW:$AW,MATCH(표11[[#This Row],[해양 오브젝트]],[1]Discovery!$B:$B,0)),"-")</f>
        <v>0</v>
      </c>
      <c r="G190" s="61">
        <f>IFERROR(INDEX([1]Discovery!$AY:$AY,MATCH(표11[[#This Row],[해양 오브젝트]],[1]Discovery!$B:$B,0)),"-")</f>
        <v>0</v>
      </c>
      <c r="H190" s="61">
        <f>IFERROR(INDEX([1]Discovery!$BA:$BA,MATCH(표11[[#This Row],[해양 오브젝트]],[1]Discovery!$B:$B,0)),"-")</f>
        <v>0</v>
      </c>
    </row>
    <row r="191" spans="2:8" hidden="1" x14ac:dyDescent="0.3">
      <c r="B191" s="61" t="str">
        <f>[2]OceanDoodad!Z196</f>
        <v>물병자리 유성우</v>
      </c>
      <c r="C191" s="61" t="str">
        <f>IFERROR(VLOOKUP(표11[[#This Row],[해양 오브젝트]],[3]!표1[[이름]:[선단 LV]],6,FALSE),"-")</f>
        <v>-</v>
      </c>
      <c r="D191" s="61" t="str">
        <f>IFERROR(VLOOKUP(표11[[#This Row],[해양 오브젝트]],[3]!표1[[이름]:[위도]],3,FALSE),"-")</f>
        <v>-</v>
      </c>
      <c r="E191" s="61" t="str">
        <f>IFERROR(VLOOKUP(표11[[#This Row],[해양 오브젝트]],[3]!표1[[이름]:[위도]],2,FALSE),"-")</f>
        <v>-</v>
      </c>
      <c r="F191" s="61">
        <f>IFERROR(INDEX([1]Discovery!$AW:$AW,MATCH(표11[[#This Row],[해양 오브젝트]],[1]Discovery!$B:$B,0)),"-")</f>
        <v>0</v>
      </c>
      <c r="G191" s="61">
        <f>IFERROR(INDEX([1]Discovery!$AY:$AY,MATCH(표11[[#This Row],[해양 오브젝트]],[1]Discovery!$B:$B,0)),"-")</f>
        <v>0</v>
      </c>
      <c r="H191" s="61">
        <f>IFERROR(INDEX([1]Discovery!$BA:$BA,MATCH(표11[[#This Row],[해양 오브젝트]],[1]Discovery!$B:$B,0)),"-")</f>
        <v>0</v>
      </c>
    </row>
    <row r="192" spans="2:8" hidden="1" x14ac:dyDescent="0.3">
      <c r="B192" s="61" t="str">
        <f>[2]OceanDoodad!Z197</f>
        <v>시리우스</v>
      </c>
      <c r="C192" s="61" t="str">
        <f>IFERROR(VLOOKUP(표11[[#This Row],[해양 오브젝트]],[3]!표1[[이름]:[선단 LV]],6,FALSE),"-")</f>
        <v>-</v>
      </c>
      <c r="D192" s="61" t="str">
        <f>IFERROR(VLOOKUP(표11[[#This Row],[해양 오브젝트]],[3]!표1[[이름]:[위도]],3,FALSE),"-")</f>
        <v>-</v>
      </c>
      <c r="E192" s="61" t="str">
        <f>IFERROR(VLOOKUP(표11[[#This Row],[해양 오브젝트]],[3]!표1[[이름]:[위도]],2,FALSE),"-")</f>
        <v>-</v>
      </c>
      <c r="F192" s="61">
        <f>IFERROR(INDEX([1]Discovery!$AW:$AW,MATCH(표11[[#This Row],[해양 오브젝트]],[1]Discovery!$B:$B,0)),"-")</f>
        <v>0</v>
      </c>
      <c r="G192" s="61">
        <f>IFERROR(INDEX([1]Discovery!$AY:$AY,MATCH(표11[[#This Row],[해양 오브젝트]],[1]Discovery!$B:$B,0)),"-")</f>
        <v>0</v>
      </c>
      <c r="H192" s="61">
        <f>IFERROR(INDEX([1]Discovery!$BA:$BA,MATCH(표11[[#This Row],[해양 오브젝트]],[1]Discovery!$B:$B,0)),"-")</f>
        <v>0</v>
      </c>
    </row>
    <row r="193" spans="2:8" hidden="1" x14ac:dyDescent="0.3">
      <c r="B193" s="61" t="str">
        <f>[2]OceanDoodad!Z198</f>
        <v>여름의 대삼각형</v>
      </c>
      <c r="C193" s="61" t="str">
        <f>IFERROR(VLOOKUP(표11[[#This Row],[해양 오브젝트]],[3]!표1[[이름]:[선단 LV]],6,FALSE),"-")</f>
        <v>-</v>
      </c>
      <c r="D193" s="61" t="str">
        <f>IFERROR(VLOOKUP(표11[[#This Row],[해양 오브젝트]],[3]!표1[[이름]:[위도]],3,FALSE),"-")</f>
        <v>-</v>
      </c>
      <c r="E193" s="61" t="str">
        <f>IFERROR(VLOOKUP(표11[[#This Row],[해양 오브젝트]],[3]!표1[[이름]:[위도]],2,FALSE),"-")</f>
        <v>-</v>
      </c>
      <c r="F193" s="61">
        <f>IFERROR(INDEX([1]Discovery!$AW:$AW,MATCH(표11[[#This Row],[해양 오브젝트]],[1]Discovery!$B:$B,0)),"-")</f>
        <v>0</v>
      </c>
      <c r="G193" s="61">
        <f>IFERROR(INDEX([1]Discovery!$AY:$AY,MATCH(표11[[#This Row],[해양 오브젝트]],[1]Discovery!$B:$B,0)),"-")</f>
        <v>0</v>
      </c>
      <c r="H193" s="61">
        <f>IFERROR(INDEX([1]Discovery!$BA:$BA,MATCH(표11[[#This Row],[해양 오브젝트]],[1]Discovery!$B:$B,0)),"-")</f>
        <v>0</v>
      </c>
    </row>
    <row r="194" spans="2:8" hidden="1" x14ac:dyDescent="0.3">
      <c r="B194" s="61" t="str">
        <f>[2]OceanDoodad!Z199</f>
        <v>오리온자리 유성우</v>
      </c>
      <c r="C194" s="61" t="str">
        <f>IFERROR(VLOOKUP(표11[[#This Row],[해양 오브젝트]],[3]!표1[[이름]:[선단 LV]],6,FALSE),"-")</f>
        <v>-</v>
      </c>
      <c r="D194" s="61" t="str">
        <f>IFERROR(VLOOKUP(표11[[#This Row],[해양 오브젝트]],[3]!표1[[이름]:[위도]],3,FALSE),"-")</f>
        <v>-</v>
      </c>
      <c r="E194" s="61" t="str">
        <f>IFERROR(VLOOKUP(표11[[#This Row],[해양 오브젝트]],[3]!표1[[이름]:[위도]],2,FALSE),"-")</f>
        <v>-</v>
      </c>
      <c r="F194" s="61">
        <f>IFERROR(INDEX([1]Discovery!$AW:$AW,MATCH(표11[[#This Row],[해양 오브젝트]],[1]Discovery!$B:$B,0)),"-")</f>
        <v>0</v>
      </c>
      <c r="G194" s="61">
        <f>IFERROR(INDEX([1]Discovery!$AY:$AY,MATCH(표11[[#This Row],[해양 오브젝트]],[1]Discovery!$B:$B,0)),"-")</f>
        <v>0</v>
      </c>
      <c r="H194" s="61">
        <f>IFERROR(INDEX([1]Discovery!$BA:$BA,MATCH(표11[[#This Row],[해양 오브젝트]],[1]Discovery!$B:$B,0)),"-")</f>
        <v>0</v>
      </c>
    </row>
    <row r="195" spans="2:8" hidden="1" x14ac:dyDescent="0.3">
      <c r="B195" s="61" t="str">
        <f>[2]OceanDoodad!Z200</f>
        <v>태양흑점</v>
      </c>
      <c r="C195" s="61" t="str">
        <f>IFERROR(VLOOKUP(표11[[#This Row],[해양 오브젝트]],[3]!표1[[이름]:[선단 LV]],6,FALSE),"-")</f>
        <v>-</v>
      </c>
      <c r="D195" s="61" t="str">
        <f>IFERROR(VLOOKUP(표11[[#This Row],[해양 오브젝트]],[3]!표1[[이름]:[위도]],3,FALSE),"-")</f>
        <v>-</v>
      </c>
      <c r="E195" s="61" t="str">
        <f>IFERROR(VLOOKUP(표11[[#This Row],[해양 오브젝트]],[3]!표1[[이름]:[위도]],2,FALSE),"-")</f>
        <v>-</v>
      </c>
      <c r="F195" s="61">
        <f>IFERROR(INDEX([1]Discovery!$AW:$AW,MATCH(표11[[#This Row],[해양 오브젝트]],[1]Discovery!$B:$B,0)),"-")</f>
        <v>0</v>
      </c>
      <c r="G195" s="61">
        <f>IFERROR(INDEX([1]Discovery!$AY:$AY,MATCH(표11[[#This Row],[해양 오브젝트]],[1]Discovery!$B:$B,0)),"-")</f>
        <v>0</v>
      </c>
      <c r="H195" s="61">
        <f>IFERROR(INDEX([1]Discovery!$BA:$BA,MATCH(표11[[#This Row],[해양 오브젝트]],[1]Discovery!$B:$B,0)),"-")</f>
        <v>0</v>
      </c>
    </row>
    <row r="196" spans="2:8" hidden="1" x14ac:dyDescent="0.3">
      <c r="B196" s="61" t="str">
        <f>[2]OceanDoodad!Z201</f>
        <v>페르세우스자리 유성군</v>
      </c>
      <c r="C196" s="61" t="str">
        <f>IFERROR(VLOOKUP(표11[[#This Row],[해양 오브젝트]],[3]!표1[[이름]:[선단 LV]],6,FALSE),"-")</f>
        <v>-</v>
      </c>
      <c r="D196" s="61" t="str">
        <f>IFERROR(VLOOKUP(표11[[#This Row],[해양 오브젝트]],[3]!표1[[이름]:[위도]],3,FALSE),"-")</f>
        <v>-</v>
      </c>
      <c r="E196" s="61" t="str">
        <f>IFERROR(VLOOKUP(표11[[#This Row],[해양 오브젝트]],[3]!표1[[이름]:[위도]],2,FALSE),"-")</f>
        <v>-</v>
      </c>
      <c r="F196" s="61">
        <f>IFERROR(INDEX([1]Discovery!$AW:$AW,MATCH(표11[[#This Row],[해양 오브젝트]],[1]Discovery!$B:$B,0)),"-")</f>
        <v>0</v>
      </c>
      <c r="G196" s="61">
        <f>IFERROR(INDEX([1]Discovery!$AY:$AY,MATCH(표11[[#This Row],[해양 오브젝트]],[1]Discovery!$B:$B,0)),"-")</f>
        <v>0</v>
      </c>
      <c r="H196" s="61">
        <f>IFERROR(INDEX([1]Discovery!$BA:$BA,MATCH(표11[[#This Row],[해양 오브젝트]],[1]Discovery!$B:$B,0)),"-")</f>
        <v>0</v>
      </c>
    </row>
    <row r="197" spans="2:8" hidden="1" x14ac:dyDescent="0.3">
      <c r="B197" s="61" t="str">
        <f>[2]OceanDoodad!Z202</f>
        <v>갈릴레이 위성</v>
      </c>
      <c r="C197" s="61" t="str">
        <f>IFERROR(VLOOKUP(표11[[#This Row],[해양 오브젝트]],[3]!표1[[이름]:[선단 LV]],6,FALSE),"-")</f>
        <v>-</v>
      </c>
      <c r="D197" s="61" t="str">
        <f>IFERROR(VLOOKUP(표11[[#This Row],[해양 오브젝트]],[3]!표1[[이름]:[위도]],3,FALSE),"-")</f>
        <v>-</v>
      </c>
      <c r="E197" s="61" t="str">
        <f>IFERROR(VLOOKUP(표11[[#This Row],[해양 오브젝트]],[3]!표1[[이름]:[위도]],2,FALSE),"-")</f>
        <v>-</v>
      </c>
      <c r="F197" s="61">
        <f>IFERROR(INDEX([1]Discovery!$AW:$AW,MATCH(표11[[#This Row],[해양 오브젝트]],[1]Discovery!$B:$B,0)),"-")</f>
        <v>0</v>
      </c>
      <c r="G197" s="61">
        <f>IFERROR(INDEX([1]Discovery!$AY:$AY,MATCH(표11[[#This Row],[해양 오브젝트]],[1]Discovery!$B:$B,0)),"-")</f>
        <v>0</v>
      </c>
      <c r="H197" s="61">
        <f>IFERROR(INDEX([1]Discovery!$BA:$BA,MATCH(표11[[#This Row],[해양 오브젝트]],[1]Discovery!$B:$B,0)),"-")</f>
        <v>0</v>
      </c>
    </row>
    <row r="198" spans="2:8" hidden="1" x14ac:dyDescent="0.3">
      <c r="B198" s="61" t="str">
        <f>[2]OceanDoodad!Z203</f>
        <v>금성</v>
      </c>
      <c r="C198" s="61" t="str">
        <f>IFERROR(VLOOKUP(표11[[#This Row],[해양 오브젝트]],[3]!표1[[이름]:[선단 LV]],6,FALSE),"-")</f>
        <v>-</v>
      </c>
      <c r="D198" s="61" t="str">
        <f>IFERROR(VLOOKUP(표11[[#This Row],[해양 오브젝트]],[3]!표1[[이름]:[위도]],3,FALSE),"-")</f>
        <v>-</v>
      </c>
      <c r="E198" s="61" t="str">
        <f>IFERROR(VLOOKUP(표11[[#This Row],[해양 오브젝트]],[3]!표1[[이름]:[위도]],2,FALSE),"-")</f>
        <v>-</v>
      </c>
      <c r="F198" s="61">
        <f>IFERROR(INDEX([1]Discovery!$AW:$AW,MATCH(표11[[#This Row],[해양 오브젝트]],[1]Discovery!$B:$B,0)),"-")</f>
        <v>0</v>
      </c>
      <c r="G198" s="61">
        <f>IFERROR(INDEX([1]Discovery!$AY:$AY,MATCH(표11[[#This Row],[해양 오브젝트]],[1]Discovery!$B:$B,0)),"-")</f>
        <v>0</v>
      </c>
      <c r="H198" s="61">
        <f>IFERROR(INDEX([1]Discovery!$BA:$BA,MATCH(표11[[#This Row],[해양 오브젝트]],[1]Discovery!$B:$B,0)),"-")</f>
        <v>0</v>
      </c>
    </row>
    <row r="199" spans="2:8" hidden="1" x14ac:dyDescent="0.3">
      <c r="B199" s="61" t="str">
        <f>[2]OceanDoodad!Z204</f>
        <v>목성</v>
      </c>
      <c r="C199" s="61" t="str">
        <f>IFERROR(VLOOKUP(표11[[#This Row],[해양 오브젝트]],[3]!표1[[이름]:[선단 LV]],6,FALSE),"-")</f>
        <v>-</v>
      </c>
      <c r="D199" s="61" t="str">
        <f>IFERROR(VLOOKUP(표11[[#This Row],[해양 오브젝트]],[3]!표1[[이름]:[위도]],3,FALSE),"-")</f>
        <v>-</v>
      </c>
      <c r="E199" s="61" t="str">
        <f>IFERROR(VLOOKUP(표11[[#This Row],[해양 오브젝트]],[3]!표1[[이름]:[위도]],2,FALSE),"-")</f>
        <v>-</v>
      </c>
      <c r="F199" s="61">
        <f>IFERROR(INDEX([1]Discovery!$AW:$AW,MATCH(표11[[#This Row],[해양 오브젝트]],[1]Discovery!$B:$B,0)),"-")</f>
        <v>0</v>
      </c>
      <c r="G199" s="61">
        <f>IFERROR(INDEX([1]Discovery!$AY:$AY,MATCH(표11[[#This Row],[해양 오브젝트]],[1]Discovery!$B:$B,0)),"-")</f>
        <v>0</v>
      </c>
      <c r="H199" s="61">
        <f>IFERROR(INDEX([1]Discovery!$BA:$BA,MATCH(표11[[#This Row],[해양 오브젝트]],[1]Discovery!$B:$B,0)),"-")</f>
        <v>0</v>
      </c>
    </row>
    <row r="200" spans="2:8" hidden="1" x14ac:dyDescent="0.3">
      <c r="B200" s="61" t="str">
        <f>[2]OceanDoodad!Z205</f>
        <v>방패자리의 산개성단</v>
      </c>
      <c r="C200" s="61" t="str">
        <f>IFERROR(VLOOKUP(표11[[#This Row],[해양 오브젝트]],[3]!표1[[이름]:[선단 LV]],6,FALSE),"-")</f>
        <v>-</v>
      </c>
      <c r="D200" s="61" t="str">
        <f>IFERROR(VLOOKUP(표11[[#This Row],[해양 오브젝트]],[3]!표1[[이름]:[위도]],3,FALSE),"-")</f>
        <v>-</v>
      </c>
      <c r="E200" s="61" t="str">
        <f>IFERROR(VLOOKUP(표11[[#This Row],[해양 오브젝트]],[3]!표1[[이름]:[위도]],2,FALSE),"-")</f>
        <v>-</v>
      </c>
      <c r="F200" s="61">
        <f>IFERROR(INDEX([1]Discovery!$AW:$AW,MATCH(표11[[#This Row],[해양 오브젝트]],[1]Discovery!$B:$B,0)),"-")</f>
        <v>0</v>
      </c>
      <c r="G200" s="61">
        <f>IFERROR(INDEX([1]Discovery!$AY:$AY,MATCH(표11[[#This Row],[해양 오브젝트]],[1]Discovery!$B:$B,0)),"-")</f>
        <v>0</v>
      </c>
      <c r="H200" s="61">
        <f>IFERROR(INDEX([1]Discovery!$BA:$BA,MATCH(표11[[#This Row],[해양 오브젝트]],[1]Discovery!$B:$B,0)),"-")</f>
        <v>0</v>
      </c>
    </row>
    <row r="201" spans="2:8" hidden="1" x14ac:dyDescent="0.3">
      <c r="B201" s="61" t="str">
        <f>[2]OceanDoodad!Z206</f>
        <v>수성</v>
      </c>
      <c r="C201" s="61" t="str">
        <f>IFERROR(VLOOKUP(표11[[#This Row],[해양 오브젝트]],[3]!표1[[이름]:[선단 LV]],6,FALSE),"-")</f>
        <v>-</v>
      </c>
      <c r="D201" s="61" t="str">
        <f>IFERROR(VLOOKUP(표11[[#This Row],[해양 오브젝트]],[3]!표1[[이름]:[위도]],3,FALSE),"-")</f>
        <v>-</v>
      </c>
      <c r="E201" s="61" t="str">
        <f>IFERROR(VLOOKUP(표11[[#This Row],[해양 오브젝트]],[3]!표1[[이름]:[위도]],2,FALSE),"-")</f>
        <v>-</v>
      </c>
      <c r="F201" s="61">
        <f>IFERROR(INDEX([1]Discovery!$AW:$AW,MATCH(표11[[#This Row],[해양 오브젝트]],[1]Discovery!$B:$B,0)),"-")</f>
        <v>0</v>
      </c>
      <c r="G201" s="61">
        <f>IFERROR(INDEX([1]Discovery!$AY:$AY,MATCH(표11[[#This Row],[해양 오브젝트]],[1]Discovery!$B:$B,0)),"-")</f>
        <v>0</v>
      </c>
      <c r="H201" s="61">
        <f>IFERROR(INDEX([1]Discovery!$BA:$BA,MATCH(표11[[#This Row],[해양 오브젝트]],[1]Discovery!$B:$B,0)),"-")</f>
        <v>0</v>
      </c>
    </row>
    <row r="202" spans="2:8" hidden="1" x14ac:dyDescent="0.3">
      <c r="B202" s="61" t="str">
        <f>[2]OceanDoodad!Z207</f>
        <v>오리온의 허리띠</v>
      </c>
      <c r="C202" s="61" t="str">
        <f>IFERROR(VLOOKUP(표11[[#This Row],[해양 오브젝트]],[3]!표1[[이름]:[선단 LV]],6,FALSE),"-")</f>
        <v>-</v>
      </c>
      <c r="D202" s="61" t="str">
        <f>IFERROR(VLOOKUP(표11[[#This Row],[해양 오브젝트]],[3]!표1[[이름]:[위도]],3,FALSE),"-")</f>
        <v>-</v>
      </c>
      <c r="E202" s="61" t="str">
        <f>IFERROR(VLOOKUP(표11[[#This Row],[해양 오브젝트]],[3]!표1[[이름]:[위도]],2,FALSE),"-")</f>
        <v>-</v>
      </c>
      <c r="F202" s="61">
        <f>IFERROR(INDEX([1]Discovery!$AW:$AW,MATCH(표11[[#This Row],[해양 오브젝트]],[1]Discovery!$B:$B,0)),"-")</f>
        <v>0</v>
      </c>
      <c r="G202" s="61">
        <f>IFERROR(INDEX([1]Discovery!$AY:$AY,MATCH(표11[[#This Row],[해양 오브젝트]],[1]Discovery!$B:$B,0)),"-")</f>
        <v>0</v>
      </c>
      <c r="H202" s="61">
        <f>IFERROR(INDEX([1]Discovery!$BA:$BA,MATCH(표11[[#This Row],[해양 오브젝트]],[1]Discovery!$B:$B,0)),"-")</f>
        <v>0</v>
      </c>
    </row>
    <row r="203" spans="2:8" hidden="1" x14ac:dyDescent="0.3">
      <c r="B203" s="61" t="str">
        <f>[2]OceanDoodad!Z208</f>
        <v>토성</v>
      </c>
      <c r="C203" s="61" t="str">
        <f>IFERROR(VLOOKUP(표11[[#This Row],[해양 오브젝트]],[3]!표1[[이름]:[선단 LV]],6,FALSE),"-")</f>
        <v>-</v>
      </c>
      <c r="D203" s="61" t="str">
        <f>IFERROR(VLOOKUP(표11[[#This Row],[해양 오브젝트]],[3]!표1[[이름]:[위도]],3,FALSE),"-")</f>
        <v>-</v>
      </c>
      <c r="E203" s="61" t="str">
        <f>IFERROR(VLOOKUP(표11[[#This Row],[해양 오브젝트]],[3]!표1[[이름]:[위도]],2,FALSE),"-")</f>
        <v>-</v>
      </c>
      <c r="F203" s="61">
        <f>IFERROR(INDEX([1]Discovery!$AW:$AW,MATCH(표11[[#This Row],[해양 오브젝트]],[1]Discovery!$B:$B,0)),"-")</f>
        <v>0</v>
      </c>
      <c r="G203" s="61">
        <f>IFERROR(INDEX([1]Discovery!$AY:$AY,MATCH(표11[[#This Row],[해양 오브젝트]],[1]Discovery!$B:$B,0)),"-")</f>
        <v>0</v>
      </c>
      <c r="H203" s="61">
        <f>IFERROR(INDEX([1]Discovery!$BA:$BA,MATCH(표11[[#This Row],[해양 오브젝트]],[1]Discovery!$B:$B,0)),"-")</f>
        <v>0</v>
      </c>
    </row>
    <row r="204" spans="2:8" hidden="1" x14ac:dyDescent="0.3">
      <c r="B204" s="61" t="str">
        <f>[2]OceanDoodad!Z209</f>
        <v>튀코 브라헤의 신성</v>
      </c>
      <c r="C204" s="61" t="str">
        <f>IFERROR(VLOOKUP(표11[[#This Row],[해양 오브젝트]],[3]!표1[[이름]:[선단 LV]],6,FALSE),"-")</f>
        <v>-</v>
      </c>
      <c r="D204" s="61" t="str">
        <f>IFERROR(VLOOKUP(표11[[#This Row],[해양 오브젝트]],[3]!표1[[이름]:[위도]],3,FALSE),"-")</f>
        <v>-</v>
      </c>
      <c r="E204" s="61" t="str">
        <f>IFERROR(VLOOKUP(표11[[#This Row],[해양 오브젝트]],[3]!표1[[이름]:[위도]],2,FALSE),"-")</f>
        <v>-</v>
      </c>
      <c r="F204" s="61">
        <f>IFERROR(INDEX([1]Discovery!$AW:$AW,MATCH(표11[[#This Row],[해양 오브젝트]],[1]Discovery!$B:$B,0)),"-")</f>
        <v>0</v>
      </c>
      <c r="G204" s="61">
        <f>IFERROR(INDEX([1]Discovery!$AY:$AY,MATCH(표11[[#This Row],[해양 오브젝트]],[1]Discovery!$B:$B,0)),"-")</f>
        <v>0</v>
      </c>
      <c r="H204" s="61">
        <f>IFERROR(INDEX([1]Discovery!$BA:$BA,MATCH(표11[[#This Row],[해양 오브젝트]],[1]Discovery!$B:$B,0)),"-")</f>
        <v>0</v>
      </c>
    </row>
    <row r="205" spans="2:8" hidden="1" x14ac:dyDescent="0.3">
      <c r="B205" s="61" t="str">
        <f>[2]OceanDoodad!Z210</f>
        <v>프로키온</v>
      </c>
      <c r="C205" s="61" t="str">
        <f>IFERROR(VLOOKUP(표11[[#This Row],[해양 오브젝트]],[3]!표1[[이름]:[선단 LV]],6,FALSE),"-")</f>
        <v>-</v>
      </c>
      <c r="D205" s="61" t="str">
        <f>IFERROR(VLOOKUP(표11[[#This Row],[해양 오브젝트]],[3]!표1[[이름]:[위도]],3,FALSE),"-")</f>
        <v>-</v>
      </c>
      <c r="E205" s="61" t="str">
        <f>IFERROR(VLOOKUP(표11[[#This Row],[해양 오브젝트]],[3]!표1[[이름]:[위도]],2,FALSE),"-")</f>
        <v>-</v>
      </c>
      <c r="F205" s="61">
        <f>IFERROR(INDEX([1]Discovery!$AW:$AW,MATCH(표11[[#This Row],[해양 오브젝트]],[1]Discovery!$B:$B,0)),"-")</f>
        <v>0</v>
      </c>
      <c r="G205" s="61">
        <f>IFERROR(INDEX([1]Discovery!$AY:$AY,MATCH(표11[[#This Row],[해양 오브젝트]],[1]Discovery!$B:$B,0)),"-")</f>
        <v>0</v>
      </c>
      <c r="H205" s="61">
        <f>IFERROR(INDEX([1]Discovery!$BA:$BA,MATCH(표11[[#This Row],[해양 오브젝트]],[1]Discovery!$B:$B,0)),"-")</f>
        <v>0</v>
      </c>
    </row>
    <row r="206" spans="2:8" hidden="1" x14ac:dyDescent="0.3">
      <c r="B206" s="61" t="str">
        <f>[2]OceanDoodad!Z211</f>
        <v>하다르</v>
      </c>
      <c r="C206" s="61" t="str">
        <f>IFERROR(VLOOKUP(표11[[#This Row],[해양 오브젝트]],[3]!표1[[이름]:[선단 LV]],6,FALSE),"-")</f>
        <v>-</v>
      </c>
      <c r="D206" s="61" t="str">
        <f>IFERROR(VLOOKUP(표11[[#This Row],[해양 오브젝트]],[3]!표1[[이름]:[위도]],3,FALSE),"-")</f>
        <v>-</v>
      </c>
      <c r="E206" s="61" t="str">
        <f>IFERROR(VLOOKUP(표11[[#This Row],[해양 오브젝트]],[3]!표1[[이름]:[위도]],2,FALSE),"-")</f>
        <v>-</v>
      </c>
      <c r="F206" s="61">
        <f>IFERROR(INDEX([1]Discovery!$AW:$AW,MATCH(표11[[#This Row],[해양 오브젝트]],[1]Discovery!$B:$B,0)),"-")</f>
        <v>0</v>
      </c>
      <c r="G206" s="61">
        <f>IFERROR(INDEX([1]Discovery!$AY:$AY,MATCH(표11[[#This Row],[해양 오브젝트]],[1]Discovery!$B:$B,0)),"-")</f>
        <v>0</v>
      </c>
      <c r="H206" s="61">
        <f>IFERROR(INDEX([1]Discovery!$BA:$BA,MATCH(표11[[#This Row],[해양 오브젝트]],[1]Discovery!$B:$B,0)),"-")</f>
        <v>0</v>
      </c>
    </row>
    <row r="207" spans="2:8" hidden="1" x14ac:dyDescent="0.3">
      <c r="B207" s="61" t="str">
        <f>[2]OceanDoodad!Z212</f>
        <v>화성</v>
      </c>
      <c r="C207" s="61" t="str">
        <f>IFERROR(VLOOKUP(표11[[#This Row],[해양 오브젝트]],[3]!표1[[이름]:[선단 LV]],6,FALSE),"-")</f>
        <v>-</v>
      </c>
      <c r="D207" s="61" t="str">
        <f>IFERROR(VLOOKUP(표11[[#This Row],[해양 오브젝트]],[3]!표1[[이름]:[위도]],3,FALSE),"-")</f>
        <v>-</v>
      </c>
      <c r="E207" s="61" t="str">
        <f>IFERROR(VLOOKUP(표11[[#This Row],[해양 오브젝트]],[3]!표1[[이름]:[위도]],2,FALSE),"-")</f>
        <v>-</v>
      </c>
      <c r="F207" s="61">
        <f>IFERROR(INDEX([1]Discovery!$AW:$AW,MATCH(표11[[#This Row],[해양 오브젝트]],[1]Discovery!$B:$B,0)),"-")</f>
        <v>0</v>
      </c>
      <c r="G207" s="61">
        <f>IFERROR(INDEX([1]Discovery!$AY:$AY,MATCH(표11[[#This Row],[해양 오브젝트]],[1]Discovery!$B:$B,0)),"-")</f>
        <v>0</v>
      </c>
      <c r="H207" s="61">
        <f>IFERROR(INDEX([1]Discovery!$BA:$BA,MATCH(표11[[#This Row],[해양 오브젝트]],[1]Discovery!$B:$B,0)),"-")</f>
        <v>0</v>
      </c>
    </row>
    <row r="208" spans="2:8" hidden="1" x14ac:dyDescent="0.3">
      <c r="B208" s="61" t="str">
        <f>[2]OceanDoodad!Z213</f>
        <v>거문고자리</v>
      </c>
      <c r="C208" s="61" t="str">
        <f>IFERROR(VLOOKUP(표11[[#This Row],[해양 오브젝트]],[3]!표1[[이름]:[선단 LV]],6,FALSE),"-")</f>
        <v>-</v>
      </c>
      <c r="D208" s="61" t="str">
        <f>IFERROR(VLOOKUP(표11[[#This Row],[해양 오브젝트]],[3]!표1[[이름]:[위도]],3,FALSE),"-")</f>
        <v>-</v>
      </c>
      <c r="E208" s="61" t="str">
        <f>IFERROR(VLOOKUP(표11[[#This Row],[해양 오브젝트]],[3]!표1[[이름]:[위도]],2,FALSE),"-")</f>
        <v>-</v>
      </c>
      <c r="F208" s="61" t="str">
        <f>IFERROR(INDEX([1]Discovery!$AW:$AW,MATCH(표11[[#This Row],[해양 오브젝트]],[1]Discovery!$B:$B,0)),"-")</f>
        <v/>
      </c>
      <c r="G208" s="61">
        <f>IFERROR(INDEX([1]Discovery!$AY:$AY,MATCH(표11[[#This Row],[해양 오브젝트]],[1]Discovery!$B:$B,0)),"-")</f>
        <v>0</v>
      </c>
      <c r="H208" s="61" t="str">
        <f>IFERROR(INDEX([1]Discovery!$BA:$BA,MATCH(표11[[#This Row],[해양 오브젝트]],[1]Discovery!$B:$B,0)),"-")</f>
        <v>-</v>
      </c>
    </row>
    <row r="209" spans="2:8" hidden="1" x14ac:dyDescent="0.3">
      <c r="B209" s="61" t="str">
        <f>[2]OceanDoodad!Z214</f>
        <v>게자리</v>
      </c>
      <c r="C209" s="61" t="str">
        <f>IFERROR(VLOOKUP(표11[[#This Row],[해양 오브젝트]],[3]!표1[[이름]:[선단 LV]],6,FALSE),"-")</f>
        <v>-</v>
      </c>
      <c r="D209" s="61" t="str">
        <f>IFERROR(VLOOKUP(표11[[#This Row],[해양 오브젝트]],[3]!표1[[이름]:[위도]],3,FALSE),"-")</f>
        <v>-</v>
      </c>
      <c r="E209" s="61" t="str">
        <f>IFERROR(VLOOKUP(표11[[#This Row],[해양 오브젝트]],[3]!표1[[이름]:[위도]],2,FALSE),"-")</f>
        <v>-</v>
      </c>
      <c r="F209" s="61" t="str">
        <f>IFERROR(INDEX([1]Discovery!$AW:$AW,MATCH(표11[[#This Row],[해양 오브젝트]],[1]Discovery!$B:$B,0)),"-")</f>
        <v/>
      </c>
      <c r="G209" s="61">
        <f>IFERROR(INDEX([1]Discovery!$AY:$AY,MATCH(표11[[#This Row],[해양 오브젝트]],[1]Discovery!$B:$B,0)),"-")</f>
        <v>0</v>
      </c>
      <c r="H209" s="61" t="str">
        <f>IFERROR(INDEX([1]Discovery!$BA:$BA,MATCH(표11[[#This Row],[해양 오브젝트]],[1]Discovery!$B:$B,0)),"-")</f>
        <v>-</v>
      </c>
    </row>
    <row r="210" spans="2:8" hidden="1" x14ac:dyDescent="0.3">
      <c r="B210" s="61" t="str">
        <f>[2]OceanDoodad!Z215</f>
        <v>고래자리</v>
      </c>
      <c r="C210" s="61" t="str">
        <f>IFERROR(VLOOKUP(표11[[#This Row],[해양 오브젝트]],[3]!표1[[이름]:[선단 LV]],6,FALSE),"-")</f>
        <v>-</v>
      </c>
      <c r="D210" s="61" t="str">
        <f>IFERROR(VLOOKUP(표11[[#This Row],[해양 오브젝트]],[3]!표1[[이름]:[위도]],3,FALSE),"-")</f>
        <v>-</v>
      </c>
      <c r="E210" s="61" t="str">
        <f>IFERROR(VLOOKUP(표11[[#This Row],[해양 오브젝트]],[3]!표1[[이름]:[위도]],2,FALSE),"-")</f>
        <v>-</v>
      </c>
      <c r="F210" s="61">
        <f>IFERROR(INDEX([1]Discovery!$AW:$AW,MATCH(표11[[#This Row],[해양 오브젝트]],[1]Discovery!$B:$B,0)),"-")</f>
        <v>0</v>
      </c>
      <c r="G210" s="61">
        <f>IFERROR(INDEX([1]Discovery!$AY:$AY,MATCH(표11[[#This Row],[해양 오브젝트]],[1]Discovery!$B:$B,0)),"-")</f>
        <v>0</v>
      </c>
      <c r="H210" s="61">
        <f>IFERROR(INDEX([1]Discovery!$BA:$BA,MATCH(표11[[#This Row],[해양 오브젝트]],[1]Discovery!$B:$B,0)),"-")</f>
        <v>0</v>
      </c>
    </row>
    <row r="211" spans="2:8" hidden="1" x14ac:dyDescent="0.3">
      <c r="B211" s="61" t="str">
        <f>[2]OceanDoodad!Z216</f>
        <v>고물자리</v>
      </c>
      <c r="C211" s="61" t="str">
        <f>IFERROR(VLOOKUP(표11[[#This Row],[해양 오브젝트]],[3]!표1[[이름]:[선단 LV]],6,FALSE),"-")</f>
        <v>-</v>
      </c>
      <c r="D211" s="61" t="str">
        <f>IFERROR(VLOOKUP(표11[[#This Row],[해양 오브젝트]],[3]!표1[[이름]:[위도]],3,FALSE),"-")</f>
        <v>-</v>
      </c>
      <c r="E211" s="61" t="str">
        <f>IFERROR(VLOOKUP(표11[[#This Row],[해양 오브젝트]],[3]!표1[[이름]:[위도]],2,FALSE),"-")</f>
        <v>-</v>
      </c>
      <c r="F211" s="61" t="str">
        <f>IFERROR(INDEX([1]Discovery!$AW:$AW,MATCH(표11[[#This Row],[해양 오브젝트]],[1]Discovery!$B:$B,0)),"-")</f>
        <v/>
      </c>
      <c r="G211" s="61">
        <f>IFERROR(INDEX([1]Discovery!$AY:$AY,MATCH(표11[[#This Row],[해양 오브젝트]],[1]Discovery!$B:$B,0)),"-")</f>
        <v>0</v>
      </c>
      <c r="H211" s="61" t="str">
        <f>IFERROR(INDEX([1]Discovery!$BA:$BA,MATCH(표11[[#This Row],[해양 오브젝트]],[1]Discovery!$B:$B,0)),"-")</f>
        <v>-</v>
      </c>
    </row>
    <row r="212" spans="2:8" hidden="1" x14ac:dyDescent="0.3">
      <c r="B212" s="61" t="str">
        <f>[2]OceanDoodad!Z217</f>
        <v>공작자리</v>
      </c>
      <c r="C212" s="61" t="str">
        <f>IFERROR(VLOOKUP(표11[[#This Row],[해양 오브젝트]],[3]!표1[[이름]:[선단 LV]],6,FALSE),"-")</f>
        <v>-</v>
      </c>
      <c r="D212" s="61" t="str">
        <f>IFERROR(VLOOKUP(표11[[#This Row],[해양 오브젝트]],[3]!표1[[이름]:[위도]],3,FALSE),"-")</f>
        <v>-</v>
      </c>
      <c r="E212" s="61" t="str">
        <f>IFERROR(VLOOKUP(표11[[#This Row],[해양 오브젝트]],[3]!표1[[이름]:[위도]],2,FALSE),"-")</f>
        <v>-</v>
      </c>
      <c r="F212" s="61" t="str">
        <f>IFERROR(INDEX([1]Discovery!$AW:$AW,MATCH(표11[[#This Row],[해양 오브젝트]],[1]Discovery!$B:$B,0)),"-")</f>
        <v/>
      </c>
      <c r="G212" s="61">
        <f>IFERROR(INDEX([1]Discovery!$AY:$AY,MATCH(표11[[#This Row],[해양 오브젝트]],[1]Discovery!$B:$B,0)),"-")</f>
        <v>0</v>
      </c>
      <c r="H212" s="61" t="str">
        <f>IFERROR(INDEX([1]Discovery!$BA:$BA,MATCH(표11[[#This Row],[해양 오브젝트]],[1]Discovery!$B:$B,0)),"-")</f>
        <v>-</v>
      </c>
    </row>
    <row r="213" spans="2:8" hidden="1" x14ac:dyDescent="0.3">
      <c r="B213" s="61" t="str">
        <f>[2]OceanDoodad!Z218</f>
        <v>궁수자리</v>
      </c>
      <c r="C213" s="61" t="str">
        <f>IFERROR(VLOOKUP(표11[[#This Row],[해양 오브젝트]],[3]!표1[[이름]:[선단 LV]],6,FALSE),"-")</f>
        <v>-</v>
      </c>
      <c r="D213" s="61" t="str">
        <f>IFERROR(VLOOKUP(표11[[#This Row],[해양 오브젝트]],[3]!표1[[이름]:[위도]],3,FALSE),"-")</f>
        <v>-</v>
      </c>
      <c r="E213" s="61" t="str">
        <f>IFERROR(VLOOKUP(표11[[#This Row],[해양 오브젝트]],[3]!표1[[이름]:[위도]],2,FALSE),"-")</f>
        <v>-</v>
      </c>
      <c r="F213" s="61" t="str">
        <f>IFERROR(INDEX([1]Discovery!$AW:$AW,MATCH(표11[[#This Row],[해양 오브젝트]],[1]Discovery!$B:$B,0)),"-")</f>
        <v>특정 퀘스트(=)</v>
      </c>
      <c r="G213" s="61" t="str">
        <f>IFERROR(INDEX([1]Discovery!$AY:$AY,MATCH(표11[[#This Row],[해양 오브젝트]],[1]Discovery!$B:$B,0)),"-")</f>
        <v>신화 속 최고의 스승</v>
      </c>
      <c r="H213" s="61">
        <f>IFERROR(INDEX([1]Discovery!$BA:$BA,MATCH(표11[[#This Row],[해양 오브젝트]],[1]Discovery!$B:$B,0)),"-")</f>
        <v>2</v>
      </c>
    </row>
    <row r="214" spans="2:8" hidden="1" x14ac:dyDescent="0.3">
      <c r="B214" s="61" t="str">
        <f>[2]OceanDoodad!Z219</f>
        <v>그물자리</v>
      </c>
      <c r="C214" s="61" t="str">
        <f>IFERROR(VLOOKUP(표11[[#This Row],[해양 오브젝트]],[3]!표1[[이름]:[선단 LV]],6,FALSE),"-")</f>
        <v>-</v>
      </c>
      <c r="D214" s="61" t="str">
        <f>IFERROR(VLOOKUP(표11[[#This Row],[해양 오브젝트]],[3]!표1[[이름]:[위도]],3,FALSE),"-")</f>
        <v>-</v>
      </c>
      <c r="E214" s="61" t="str">
        <f>IFERROR(VLOOKUP(표11[[#This Row],[해양 오브젝트]],[3]!표1[[이름]:[위도]],2,FALSE),"-")</f>
        <v>-</v>
      </c>
      <c r="F214" s="61" t="str">
        <f>IFERROR(INDEX([1]Discovery!$AW:$AW,MATCH(표11[[#This Row],[해양 오브젝트]],[1]Discovery!$B:$B,0)),"-")</f>
        <v/>
      </c>
      <c r="G214" s="61">
        <f>IFERROR(INDEX([1]Discovery!$AY:$AY,MATCH(표11[[#This Row],[해양 오브젝트]],[1]Discovery!$B:$B,0)),"-")</f>
        <v>0</v>
      </c>
      <c r="H214" s="61" t="str">
        <f>IFERROR(INDEX([1]Discovery!$BA:$BA,MATCH(표11[[#This Row],[해양 오브젝트]],[1]Discovery!$B:$B,0)),"-")</f>
        <v>-</v>
      </c>
    </row>
    <row r="215" spans="2:8" hidden="1" x14ac:dyDescent="0.3">
      <c r="B215" s="61" t="str">
        <f>[2]OceanDoodad!Z220</f>
        <v>까마귀자리</v>
      </c>
      <c r="C215" s="61" t="str">
        <f>IFERROR(VLOOKUP(표11[[#This Row],[해양 오브젝트]],[3]!표1[[이름]:[선단 LV]],6,FALSE),"-")</f>
        <v>-</v>
      </c>
      <c r="D215" s="61" t="str">
        <f>IFERROR(VLOOKUP(표11[[#This Row],[해양 오브젝트]],[3]!표1[[이름]:[위도]],3,FALSE),"-")</f>
        <v>-</v>
      </c>
      <c r="E215" s="61" t="str">
        <f>IFERROR(VLOOKUP(표11[[#This Row],[해양 오브젝트]],[3]!표1[[이름]:[위도]],2,FALSE),"-")</f>
        <v>-</v>
      </c>
      <c r="F215" s="61" t="str">
        <f>IFERROR(INDEX([1]Discovery!$AW:$AW,MATCH(표11[[#This Row],[해양 오브젝트]],[1]Discovery!$B:$B,0)),"-")</f>
        <v/>
      </c>
      <c r="G215" s="61">
        <f>IFERROR(INDEX([1]Discovery!$AY:$AY,MATCH(표11[[#This Row],[해양 오브젝트]],[1]Discovery!$B:$B,0)),"-")</f>
        <v>0</v>
      </c>
      <c r="H215" s="61" t="str">
        <f>IFERROR(INDEX([1]Discovery!$BA:$BA,MATCH(표11[[#This Row],[해양 오브젝트]],[1]Discovery!$B:$B,0)),"-")</f>
        <v>-</v>
      </c>
    </row>
    <row r="216" spans="2:8" hidden="1" x14ac:dyDescent="0.3">
      <c r="B216" s="61" t="str">
        <f>[2]OceanDoodad!Z221</f>
        <v>날치자리</v>
      </c>
      <c r="C216" s="61" t="str">
        <f>IFERROR(VLOOKUP(표11[[#This Row],[해양 오브젝트]],[3]!표1[[이름]:[선단 LV]],6,FALSE),"-")</f>
        <v>-</v>
      </c>
      <c r="D216" s="61" t="str">
        <f>IFERROR(VLOOKUP(표11[[#This Row],[해양 오브젝트]],[3]!표1[[이름]:[위도]],3,FALSE),"-")</f>
        <v>-</v>
      </c>
      <c r="E216" s="61" t="str">
        <f>IFERROR(VLOOKUP(표11[[#This Row],[해양 오브젝트]],[3]!표1[[이름]:[위도]],2,FALSE),"-")</f>
        <v>-</v>
      </c>
      <c r="F216" s="61">
        <f>IFERROR(INDEX([1]Discovery!$AW:$AW,MATCH(표11[[#This Row],[해양 오브젝트]],[1]Discovery!$B:$B,0)),"-")</f>
        <v>0</v>
      </c>
      <c r="G216" s="61">
        <f>IFERROR(INDEX([1]Discovery!$AY:$AY,MATCH(표11[[#This Row],[해양 오브젝트]],[1]Discovery!$B:$B,0)),"-")</f>
        <v>0</v>
      </c>
      <c r="H216" s="61">
        <f>IFERROR(INDEX([1]Discovery!$BA:$BA,MATCH(표11[[#This Row],[해양 오브젝트]],[1]Discovery!$B:$B,0)),"-")</f>
        <v>0</v>
      </c>
    </row>
    <row r="217" spans="2:8" hidden="1" x14ac:dyDescent="0.3">
      <c r="B217" s="61" t="str">
        <f>[2]OceanDoodad!Z222</f>
        <v>남십자자리</v>
      </c>
      <c r="C217" s="61" t="str">
        <f>IFERROR(VLOOKUP(표11[[#This Row],[해양 오브젝트]],[3]!표1[[이름]:[선단 LV]],6,FALSE),"-")</f>
        <v>-</v>
      </c>
      <c r="D217" s="61" t="str">
        <f>IFERROR(VLOOKUP(표11[[#This Row],[해양 오브젝트]],[3]!표1[[이름]:[위도]],3,FALSE),"-")</f>
        <v>-</v>
      </c>
      <c r="E217" s="61" t="str">
        <f>IFERROR(VLOOKUP(표11[[#This Row],[해양 오브젝트]],[3]!표1[[이름]:[위도]],2,FALSE),"-")</f>
        <v>-</v>
      </c>
      <c r="F217" s="61" t="str">
        <f>IFERROR(INDEX([1]Discovery!$AW:$AW,MATCH(표11[[#This Row],[해양 오브젝트]],[1]Discovery!$B:$B,0)),"-")</f>
        <v/>
      </c>
      <c r="G217" s="61">
        <f>IFERROR(INDEX([1]Discovery!$AY:$AY,MATCH(표11[[#This Row],[해양 오브젝트]],[1]Discovery!$B:$B,0)),"-")</f>
        <v>0</v>
      </c>
      <c r="H217" s="61" t="str">
        <f>IFERROR(INDEX([1]Discovery!$BA:$BA,MATCH(표11[[#This Row],[해양 오브젝트]],[1]Discovery!$B:$B,0)),"-")</f>
        <v>-</v>
      </c>
    </row>
    <row r="218" spans="2:8" hidden="1" x14ac:dyDescent="0.3">
      <c r="B218" s="61" t="str">
        <f>[2]OceanDoodad!Z223</f>
        <v>남쪽물고기자리</v>
      </c>
      <c r="C218" s="61" t="str">
        <f>IFERROR(VLOOKUP(표11[[#This Row],[해양 오브젝트]],[3]!표1[[이름]:[선단 LV]],6,FALSE),"-")</f>
        <v>-</v>
      </c>
      <c r="D218" s="61" t="str">
        <f>IFERROR(VLOOKUP(표11[[#This Row],[해양 오브젝트]],[3]!표1[[이름]:[위도]],3,FALSE),"-")</f>
        <v>-</v>
      </c>
      <c r="E218" s="61" t="str">
        <f>IFERROR(VLOOKUP(표11[[#This Row],[해양 오브젝트]],[3]!표1[[이름]:[위도]],2,FALSE),"-")</f>
        <v>-</v>
      </c>
      <c r="F218" s="61" t="str">
        <f>IFERROR(INDEX([1]Discovery!$AW:$AW,MATCH(표11[[#This Row],[해양 오브젝트]],[1]Discovery!$B:$B,0)),"-")</f>
        <v/>
      </c>
      <c r="G218" s="61">
        <f>IFERROR(INDEX([1]Discovery!$AY:$AY,MATCH(표11[[#This Row],[해양 오브젝트]],[1]Discovery!$B:$B,0)),"-")</f>
        <v>0</v>
      </c>
      <c r="H218" s="61" t="str">
        <f>IFERROR(INDEX([1]Discovery!$BA:$BA,MATCH(표11[[#This Row],[해양 오브젝트]],[1]Discovery!$B:$B,0)),"-")</f>
        <v>-</v>
      </c>
    </row>
    <row r="219" spans="2:8" hidden="1" x14ac:dyDescent="0.3">
      <c r="B219" s="61" t="str">
        <f>[2]OceanDoodad!Z224</f>
        <v>남쪽삼각형자리</v>
      </c>
      <c r="C219" s="61" t="str">
        <f>IFERROR(VLOOKUP(표11[[#This Row],[해양 오브젝트]],[3]!표1[[이름]:[선단 LV]],6,FALSE),"-")</f>
        <v>-</v>
      </c>
      <c r="D219" s="61" t="str">
        <f>IFERROR(VLOOKUP(표11[[#This Row],[해양 오브젝트]],[3]!표1[[이름]:[위도]],3,FALSE),"-")</f>
        <v>-</v>
      </c>
      <c r="E219" s="61" t="str">
        <f>IFERROR(VLOOKUP(표11[[#This Row],[해양 오브젝트]],[3]!표1[[이름]:[위도]],2,FALSE),"-")</f>
        <v>-</v>
      </c>
      <c r="F219" s="61" t="str">
        <f>IFERROR(INDEX([1]Discovery!$AW:$AW,MATCH(표11[[#This Row],[해양 오브젝트]],[1]Discovery!$B:$B,0)),"-")</f>
        <v/>
      </c>
      <c r="G219" s="61">
        <f>IFERROR(INDEX([1]Discovery!$AY:$AY,MATCH(표11[[#This Row],[해양 오브젝트]],[1]Discovery!$B:$B,0)),"-")</f>
        <v>0</v>
      </c>
      <c r="H219" s="61" t="str">
        <f>IFERROR(INDEX([1]Discovery!$BA:$BA,MATCH(표11[[#This Row],[해양 오브젝트]],[1]Discovery!$B:$B,0)),"-")</f>
        <v>-</v>
      </c>
    </row>
    <row r="220" spans="2:8" hidden="1" x14ac:dyDescent="0.3">
      <c r="B220" s="61" t="str">
        <f>[2]OceanDoodad!Z225</f>
        <v>독수리자리</v>
      </c>
      <c r="C220" s="61" t="str">
        <f>IFERROR(VLOOKUP(표11[[#This Row],[해양 오브젝트]],[3]!표1[[이름]:[선단 LV]],6,FALSE),"-")</f>
        <v>-</v>
      </c>
      <c r="D220" s="61" t="str">
        <f>IFERROR(VLOOKUP(표11[[#This Row],[해양 오브젝트]],[3]!표1[[이름]:[위도]],3,FALSE),"-")</f>
        <v>-</v>
      </c>
      <c r="E220" s="61" t="str">
        <f>IFERROR(VLOOKUP(표11[[#This Row],[해양 오브젝트]],[3]!표1[[이름]:[위도]],2,FALSE),"-")</f>
        <v>-</v>
      </c>
      <c r="F220" s="61">
        <f>IFERROR(INDEX([1]Discovery!$AW:$AW,MATCH(표11[[#This Row],[해양 오브젝트]],[1]Discovery!$B:$B,0)),"-")</f>
        <v>0</v>
      </c>
      <c r="G220" s="61">
        <f>IFERROR(INDEX([1]Discovery!$AY:$AY,MATCH(표11[[#This Row],[해양 오브젝트]],[1]Discovery!$B:$B,0)),"-")</f>
        <v>0</v>
      </c>
      <c r="H220" s="61">
        <f>IFERROR(INDEX([1]Discovery!$BA:$BA,MATCH(표11[[#This Row],[해양 오브젝트]],[1]Discovery!$B:$B,0)),"-")</f>
        <v>0</v>
      </c>
    </row>
    <row r="221" spans="2:8" hidden="1" x14ac:dyDescent="0.3">
      <c r="B221" s="61" t="str">
        <f>[2]OceanDoodad!Z226</f>
        <v>돌고래자리</v>
      </c>
      <c r="C221" s="61" t="str">
        <f>IFERROR(VLOOKUP(표11[[#This Row],[해양 오브젝트]],[3]!표1[[이름]:[선단 LV]],6,FALSE),"-")</f>
        <v>-</v>
      </c>
      <c r="D221" s="61" t="str">
        <f>IFERROR(VLOOKUP(표11[[#This Row],[해양 오브젝트]],[3]!표1[[이름]:[위도]],3,FALSE),"-")</f>
        <v>-</v>
      </c>
      <c r="E221" s="61" t="str">
        <f>IFERROR(VLOOKUP(표11[[#This Row],[해양 오브젝트]],[3]!표1[[이름]:[위도]],2,FALSE),"-")</f>
        <v>-</v>
      </c>
      <c r="F221" s="61" t="str">
        <f>IFERROR(INDEX([1]Discovery!$AW:$AW,MATCH(표11[[#This Row],[해양 오브젝트]],[1]Discovery!$B:$B,0)),"-")</f>
        <v/>
      </c>
      <c r="G221" s="61">
        <f>IFERROR(INDEX([1]Discovery!$AY:$AY,MATCH(표11[[#This Row],[해양 오브젝트]],[1]Discovery!$B:$B,0)),"-")</f>
        <v>0</v>
      </c>
      <c r="H221" s="61" t="str">
        <f>IFERROR(INDEX([1]Discovery!$BA:$BA,MATCH(표11[[#This Row],[해양 오브젝트]],[1]Discovery!$B:$B,0)),"-")</f>
        <v>-</v>
      </c>
    </row>
    <row r="222" spans="2:8" hidden="1" x14ac:dyDescent="0.3">
      <c r="B222" s="61" t="str">
        <f>[2]OceanDoodad!Z227</f>
        <v>돛자리</v>
      </c>
      <c r="C222" s="61" t="str">
        <f>IFERROR(VLOOKUP(표11[[#This Row],[해양 오브젝트]],[3]!표1[[이름]:[선단 LV]],6,FALSE),"-")</f>
        <v>-</v>
      </c>
      <c r="D222" s="61" t="str">
        <f>IFERROR(VLOOKUP(표11[[#This Row],[해양 오브젝트]],[3]!표1[[이름]:[위도]],3,FALSE),"-")</f>
        <v>-</v>
      </c>
      <c r="E222" s="61" t="str">
        <f>IFERROR(VLOOKUP(표11[[#This Row],[해양 오브젝트]],[3]!표1[[이름]:[위도]],2,FALSE),"-")</f>
        <v>-</v>
      </c>
      <c r="F222" s="61" t="str">
        <f>IFERROR(INDEX([1]Discovery!$AW:$AW,MATCH(표11[[#This Row],[해양 오브젝트]],[1]Discovery!$B:$B,0)),"-")</f>
        <v/>
      </c>
      <c r="G222" s="61">
        <f>IFERROR(INDEX([1]Discovery!$AY:$AY,MATCH(표11[[#This Row],[해양 오브젝트]],[1]Discovery!$B:$B,0)),"-")</f>
        <v>0</v>
      </c>
      <c r="H222" s="61" t="str">
        <f>IFERROR(INDEX([1]Discovery!$BA:$BA,MATCH(표11[[#This Row],[해양 오브젝트]],[1]Discovery!$B:$B,0)),"-")</f>
        <v>-</v>
      </c>
    </row>
    <row r="223" spans="2:8" hidden="1" x14ac:dyDescent="0.3">
      <c r="B223" s="61" t="str">
        <f>[2]OceanDoodad!Z228</f>
        <v>두루미자리</v>
      </c>
      <c r="C223" s="61" t="str">
        <f>IFERROR(VLOOKUP(표11[[#This Row],[해양 오브젝트]],[3]!표1[[이름]:[선단 LV]],6,FALSE),"-")</f>
        <v>-</v>
      </c>
      <c r="D223" s="61" t="str">
        <f>IFERROR(VLOOKUP(표11[[#This Row],[해양 오브젝트]],[3]!표1[[이름]:[위도]],3,FALSE),"-")</f>
        <v>-</v>
      </c>
      <c r="E223" s="61" t="str">
        <f>IFERROR(VLOOKUP(표11[[#This Row],[해양 오브젝트]],[3]!표1[[이름]:[위도]],2,FALSE),"-")</f>
        <v>-</v>
      </c>
      <c r="F223" s="61" t="str">
        <f>IFERROR(INDEX([1]Discovery!$AW:$AW,MATCH(표11[[#This Row],[해양 오브젝트]],[1]Discovery!$B:$B,0)),"-")</f>
        <v/>
      </c>
      <c r="G223" s="61">
        <f>IFERROR(INDEX([1]Discovery!$AY:$AY,MATCH(표11[[#This Row],[해양 오브젝트]],[1]Discovery!$B:$B,0)),"-")</f>
        <v>0</v>
      </c>
      <c r="H223" s="61" t="str">
        <f>IFERROR(INDEX([1]Discovery!$BA:$BA,MATCH(표11[[#This Row],[해양 오브젝트]],[1]Discovery!$B:$B,0)),"-")</f>
        <v>-</v>
      </c>
    </row>
    <row r="224" spans="2:8" hidden="1" x14ac:dyDescent="0.3">
      <c r="B224" s="61" t="str">
        <f>[2]OceanDoodad!Z229</f>
        <v>마차부자리</v>
      </c>
      <c r="C224" s="61" t="str">
        <f>IFERROR(VLOOKUP(표11[[#This Row],[해양 오브젝트]],[3]!표1[[이름]:[선단 LV]],6,FALSE),"-")</f>
        <v>-</v>
      </c>
      <c r="D224" s="61" t="str">
        <f>IFERROR(VLOOKUP(표11[[#This Row],[해양 오브젝트]],[3]!표1[[이름]:[위도]],3,FALSE),"-")</f>
        <v>-</v>
      </c>
      <c r="E224" s="61" t="str">
        <f>IFERROR(VLOOKUP(표11[[#This Row],[해양 오브젝트]],[3]!표1[[이름]:[위도]],2,FALSE),"-")</f>
        <v>-</v>
      </c>
      <c r="F224" s="61">
        <f>IFERROR(INDEX([1]Discovery!$AW:$AW,MATCH(표11[[#This Row],[해양 오브젝트]],[1]Discovery!$B:$B,0)),"-")</f>
        <v>0</v>
      </c>
      <c r="G224" s="61">
        <f>IFERROR(INDEX([1]Discovery!$AY:$AY,MATCH(표11[[#This Row],[해양 오브젝트]],[1]Discovery!$B:$B,0)),"-")</f>
        <v>0</v>
      </c>
      <c r="H224" s="61">
        <f>IFERROR(INDEX([1]Discovery!$BA:$BA,MATCH(표11[[#This Row],[해양 오브젝트]],[1]Discovery!$B:$B,0)),"-")</f>
        <v>0</v>
      </c>
    </row>
    <row r="225" spans="2:8" hidden="1" x14ac:dyDescent="0.3">
      <c r="B225" s="61" t="str">
        <f>[2]OceanDoodad!Z230</f>
        <v>머리털자리</v>
      </c>
      <c r="C225" s="61" t="str">
        <f>IFERROR(VLOOKUP(표11[[#This Row],[해양 오브젝트]],[3]!표1[[이름]:[선단 LV]],6,FALSE),"-")</f>
        <v>-</v>
      </c>
      <c r="D225" s="61" t="str">
        <f>IFERROR(VLOOKUP(표11[[#This Row],[해양 오브젝트]],[3]!표1[[이름]:[위도]],3,FALSE),"-")</f>
        <v>-</v>
      </c>
      <c r="E225" s="61" t="str">
        <f>IFERROR(VLOOKUP(표11[[#This Row],[해양 오브젝트]],[3]!표1[[이름]:[위도]],2,FALSE),"-")</f>
        <v>-</v>
      </c>
      <c r="F225" s="61">
        <f>IFERROR(INDEX([1]Discovery!$AW:$AW,MATCH(표11[[#This Row],[해양 오브젝트]],[1]Discovery!$B:$B,0)),"-")</f>
        <v>0</v>
      </c>
      <c r="G225" s="61">
        <f>IFERROR(INDEX([1]Discovery!$AY:$AY,MATCH(표11[[#This Row],[해양 오브젝트]],[1]Discovery!$B:$B,0)),"-")</f>
        <v>0</v>
      </c>
      <c r="H225" s="61">
        <f>IFERROR(INDEX([1]Discovery!$BA:$BA,MATCH(표11[[#This Row],[해양 오브젝트]],[1]Discovery!$B:$B,0)),"-")</f>
        <v>0</v>
      </c>
    </row>
    <row r="226" spans="2:8" hidden="1" x14ac:dyDescent="0.3">
      <c r="B226" s="61" t="str">
        <f>[2]OceanDoodad!Z231</f>
        <v>목동자리</v>
      </c>
      <c r="C226" s="61" t="str">
        <f>IFERROR(VLOOKUP(표11[[#This Row],[해양 오브젝트]],[3]!표1[[이름]:[선단 LV]],6,FALSE),"-")</f>
        <v>-</v>
      </c>
      <c r="D226" s="61" t="str">
        <f>IFERROR(VLOOKUP(표11[[#This Row],[해양 오브젝트]],[3]!표1[[이름]:[위도]],3,FALSE),"-")</f>
        <v>-</v>
      </c>
      <c r="E226" s="61" t="str">
        <f>IFERROR(VLOOKUP(표11[[#This Row],[해양 오브젝트]],[3]!표1[[이름]:[위도]],2,FALSE),"-")</f>
        <v>-</v>
      </c>
      <c r="F226" s="61" t="str">
        <f>IFERROR(INDEX([1]Discovery!$AW:$AW,MATCH(표11[[#This Row],[해양 오브젝트]],[1]Discovery!$B:$B,0)),"-")</f>
        <v/>
      </c>
      <c r="G226" s="61">
        <f>IFERROR(INDEX([1]Discovery!$AY:$AY,MATCH(표11[[#This Row],[해양 오브젝트]],[1]Discovery!$B:$B,0)),"-")</f>
        <v>0</v>
      </c>
      <c r="H226" s="61" t="str">
        <f>IFERROR(INDEX([1]Discovery!$BA:$BA,MATCH(표11[[#This Row],[해양 오브젝트]],[1]Discovery!$B:$B,0)),"-")</f>
        <v>-</v>
      </c>
    </row>
    <row r="227" spans="2:8" hidden="1" x14ac:dyDescent="0.3">
      <c r="B227" s="61" t="str">
        <f>[2]OceanDoodad!Z232</f>
        <v>물고기자리</v>
      </c>
      <c r="C227" s="61" t="str">
        <f>IFERROR(VLOOKUP(표11[[#This Row],[해양 오브젝트]],[3]!표1[[이름]:[선단 LV]],6,FALSE),"-")</f>
        <v>-</v>
      </c>
      <c r="D227" s="61" t="str">
        <f>IFERROR(VLOOKUP(표11[[#This Row],[해양 오브젝트]],[3]!표1[[이름]:[위도]],3,FALSE),"-")</f>
        <v>-</v>
      </c>
      <c r="E227" s="61" t="str">
        <f>IFERROR(VLOOKUP(표11[[#This Row],[해양 오브젝트]],[3]!표1[[이름]:[위도]],2,FALSE),"-")</f>
        <v>-</v>
      </c>
      <c r="F227" s="61" t="str">
        <f>IFERROR(INDEX([1]Discovery!$AW:$AW,MATCH(표11[[#This Row],[해양 오브젝트]],[1]Discovery!$B:$B,0)),"-")</f>
        <v/>
      </c>
      <c r="G227" s="61">
        <f>IFERROR(INDEX([1]Discovery!$AY:$AY,MATCH(표11[[#This Row],[해양 오브젝트]],[1]Discovery!$B:$B,0)),"-")</f>
        <v>0</v>
      </c>
      <c r="H227" s="61" t="str">
        <f>IFERROR(INDEX([1]Discovery!$BA:$BA,MATCH(표11[[#This Row],[해양 오브젝트]],[1]Discovery!$B:$B,0)),"-")</f>
        <v>-</v>
      </c>
    </row>
    <row r="228" spans="2:8" hidden="1" x14ac:dyDescent="0.3">
      <c r="B228" s="61" t="str">
        <f>[2]OceanDoodad!Z233</f>
        <v>물병자리</v>
      </c>
      <c r="C228" s="61" t="str">
        <f>IFERROR(VLOOKUP(표11[[#This Row],[해양 오브젝트]],[3]!표1[[이름]:[선단 LV]],6,FALSE),"-")</f>
        <v>-</v>
      </c>
      <c r="D228" s="61" t="str">
        <f>IFERROR(VLOOKUP(표11[[#This Row],[해양 오브젝트]],[3]!표1[[이름]:[위도]],3,FALSE),"-")</f>
        <v>-</v>
      </c>
      <c r="E228" s="61" t="str">
        <f>IFERROR(VLOOKUP(표11[[#This Row],[해양 오브젝트]],[3]!표1[[이름]:[위도]],2,FALSE),"-")</f>
        <v>-</v>
      </c>
      <c r="F228" s="61">
        <f>IFERROR(INDEX([1]Discovery!$AW:$AW,MATCH(표11[[#This Row],[해양 오브젝트]],[1]Discovery!$B:$B,0)),"-")</f>
        <v>0</v>
      </c>
      <c r="G228" s="61">
        <f>IFERROR(INDEX([1]Discovery!$AY:$AY,MATCH(표11[[#This Row],[해양 오브젝트]],[1]Discovery!$B:$B,0)),"-")</f>
        <v>0</v>
      </c>
      <c r="H228" s="61">
        <f>IFERROR(INDEX([1]Discovery!$BA:$BA,MATCH(표11[[#This Row],[해양 오브젝트]],[1]Discovery!$B:$B,0)),"-")</f>
        <v>0</v>
      </c>
    </row>
    <row r="229" spans="2:8" hidden="1" x14ac:dyDescent="0.3">
      <c r="B229" s="61" t="str">
        <f>[2]OceanDoodad!Z234</f>
        <v>바다뱀자리</v>
      </c>
      <c r="C229" s="61" t="str">
        <f>IFERROR(VLOOKUP(표11[[#This Row],[해양 오브젝트]],[3]!표1[[이름]:[선단 LV]],6,FALSE),"-")</f>
        <v>-</v>
      </c>
      <c r="D229" s="61" t="str">
        <f>IFERROR(VLOOKUP(표11[[#This Row],[해양 오브젝트]],[3]!표1[[이름]:[위도]],3,FALSE),"-")</f>
        <v>-</v>
      </c>
      <c r="E229" s="61" t="str">
        <f>IFERROR(VLOOKUP(표11[[#This Row],[해양 오브젝트]],[3]!표1[[이름]:[위도]],2,FALSE),"-")</f>
        <v>-</v>
      </c>
      <c r="F229" s="61" t="str">
        <f>IFERROR(INDEX([1]Discovery!$AW:$AW,MATCH(표11[[#This Row],[해양 오브젝트]],[1]Discovery!$B:$B,0)),"-")</f>
        <v/>
      </c>
      <c r="G229" s="61">
        <f>IFERROR(INDEX([1]Discovery!$AY:$AY,MATCH(표11[[#This Row],[해양 오브젝트]],[1]Discovery!$B:$B,0)),"-")</f>
        <v>0</v>
      </c>
      <c r="H229" s="61" t="str">
        <f>IFERROR(INDEX([1]Discovery!$BA:$BA,MATCH(표11[[#This Row],[해양 오브젝트]],[1]Discovery!$B:$B,0)),"-")</f>
        <v>-</v>
      </c>
    </row>
    <row r="230" spans="2:8" hidden="1" x14ac:dyDescent="0.3">
      <c r="B230" s="61" t="str">
        <f>[2]OceanDoodad!Z235</f>
        <v>방패자리</v>
      </c>
      <c r="C230" s="61" t="str">
        <f>IFERROR(VLOOKUP(표11[[#This Row],[해양 오브젝트]],[3]!표1[[이름]:[선단 LV]],6,FALSE),"-")</f>
        <v>-</v>
      </c>
      <c r="D230" s="61" t="str">
        <f>IFERROR(VLOOKUP(표11[[#This Row],[해양 오브젝트]],[3]!표1[[이름]:[위도]],3,FALSE),"-")</f>
        <v>-</v>
      </c>
      <c r="E230" s="61" t="str">
        <f>IFERROR(VLOOKUP(표11[[#This Row],[해양 오브젝트]],[3]!표1[[이름]:[위도]],2,FALSE),"-")</f>
        <v>-</v>
      </c>
      <c r="F230" s="61">
        <f>IFERROR(INDEX([1]Discovery!$AW:$AW,MATCH(표11[[#This Row],[해양 오브젝트]],[1]Discovery!$B:$B,0)),"-")</f>
        <v>0</v>
      </c>
      <c r="G230" s="61">
        <f>IFERROR(INDEX([1]Discovery!$AY:$AY,MATCH(표11[[#This Row],[해양 오브젝트]],[1]Discovery!$B:$B,0)),"-")</f>
        <v>0</v>
      </c>
      <c r="H230" s="61">
        <f>IFERROR(INDEX([1]Discovery!$BA:$BA,MATCH(표11[[#This Row],[해양 오브젝트]],[1]Discovery!$B:$B,0)),"-")</f>
        <v>0</v>
      </c>
    </row>
    <row r="231" spans="2:8" hidden="1" x14ac:dyDescent="0.3">
      <c r="B231" s="61" t="str">
        <f>[2]OceanDoodad!Z236</f>
        <v>백조자리</v>
      </c>
      <c r="C231" s="61" t="str">
        <f>IFERROR(VLOOKUP(표11[[#This Row],[해양 오브젝트]],[3]!표1[[이름]:[선단 LV]],6,FALSE),"-")</f>
        <v>-</v>
      </c>
      <c r="D231" s="61" t="str">
        <f>IFERROR(VLOOKUP(표11[[#This Row],[해양 오브젝트]],[3]!표1[[이름]:[위도]],3,FALSE),"-")</f>
        <v>-</v>
      </c>
      <c r="E231" s="61" t="str">
        <f>IFERROR(VLOOKUP(표11[[#This Row],[해양 오브젝트]],[3]!표1[[이름]:[위도]],2,FALSE),"-")</f>
        <v>-</v>
      </c>
      <c r="F231" s="61">
        <f>IFERROR(INDEX([1]Discovery!$AW:$AW,MATCH(표11[[#This Row],[해양 오브젝트]],[1]Discovery!$B:$B,0)),"-")</f>
        <v>0</v>
      </c>
      <c r="G231" s="61">
        <f>IFERROR(INDEX([1]Discovery!$AY:$AY,MATCH(표11[[#This Row],[해양 오브젝트]],[1]Discovery!$B:$B,0)),"-")</f>
        <v>0</v>
      </c>
      <c r="H231" s="61">
        <f>IFERROR(INDEX([1]Discovery!$BA:$BA,MATCH(표11[[#This Row],[해양 오브젝트]],[1]Discovery!$B:$B,0)),"-")</f>
        <v>0</v>
      </c>
    </row>
    <row r="232" spans="2:8" hidden="1" x14ac:dyDescent="0.3">
      <c r="B232" s="61" t="str">
        <f>[2]OceanDoodad!Z237</f>
        <v>뱀주인자리</v>
      </c>
      <c r="C232" s="61" t="str">
        <f>IFERROR(VLOOKUP(표11[[#This Row],[해양 오브젝트]],[3]!표1[[이름]:[선단 LV]],6,FALSE),"-")</f>
        <v>-</v>
      </c>
      <c r="D232" s="61" t="str">
        <f>IFERROR(VLOOKUP(표11[[#This Row],[해양 오브젝트]],[3]!표1[[이름]:[위도]],3,FALSE),"-")</f>
        <v>-</v>
      </c>
      <c r="E232" s="61" t="str">
        <f>IFERROR(VLOOKUP(표11[[#This Row],[해양 오브젝트]],[3]!표1[[이름]:[위도]],2,FALSE),"-")</f>
        <v>-</v>
      </c>
      <c r="F232" s="61">
        <f>IFERROR(INDEX([1]Discovery!$AW:$AW,MATCH(표11[[#This Row],[해양 오브젝트]],[1]Discovery!$B:$B,0)),"-")</f>
        <v>0</v>
      </c>
      <c r="G232" s="61">
        <f>IFERROR(INDEX([1]Discovery!$AY:$AY,MATCH(표11[[#This Row],[해양 오브젝트]],[1]Discovery!$B:$B,0)),"-")</f>
        <v>0</v>
      </c>
      <c r="H232" s="61">
        <f>IFERROR(INDEX([1]Discovery!$BA:$BA,MATCH(표11[[#This Row],[해양 오브젝트]],[1]Discovery!$B:$B,0)),"-")</f>
        <v>0</v>
      </c>
    </row>
    <row r="233" spans="2:8" hidden="1" x14ac:dyDescent="0.3">
      <c r="B233" s="61" t="str">
        <f>[2]OceanDoodad!Z238</f>
        <v>봄의 대삼각형</v>
      </c>
      <c r="C233" s="61" t="str">
        <f>IFERROR(VLOOKUP(표11[[#This Row],[해양 오브젝트]],[3]!표1[[이름]:[선단 LV]],6,FALSE),"-")</f>
        <v>-</v>
      </c>
      <c r="D233" s="61" t="str">
        <f>IFERROR(VLOOKUP(표11[[#This Row],[해양 오브젝트]],[3]!표1[[이름]:[위도]],3,FALSE),"-")</f>
        <v>-</v>
      </c>
      <c r="E233" s="61" t="str">
        <f>IFERROR(VLOOKUP(표11[[#This Row],[해양 오브젝트]],[3]!표1[[이름]:[위도]],2,FALSE),"-")</f>
        <v>-</v>
      </c>
      <c r="F233" s="61" t="str">
        <f>IFERROR(INDEX([1]Discovery!$AW:$AW,MATCH(표11[[#This Row],[해양 오브젝트]],[1]Discovery!$B:$B,0)),"-")</f>
        <v/>
      </c>
      <c r="G233" s="61">
        <f>IFERROR(INDEX([1]Discovery!$AY:$AY,MATCH(표11[[#This Row],[해양 오브젝트]],[1]Discovery!$B:$B,0)),"-")</f>
        <v>0</v>
      </c>
      <c r="H233" s="61" t="str">
        <f>IFERROR(INDEX([1]Discovery!$BA:$BA,MATCH(표11[[#This Row],[해양 오브젝트]],[1]Discovery!$B:$B,0)),"-")</f>
        <v>-</v>
      </c>
    </row>
    <row r="234" spans="2:8" hidden="1" x14ac:dyDescent="0.3">
      <c r="B234" s="61" t="str">
        <f>[2]OceanDoodad!Z239</f>
        <v>북쪽왕관자리</v>
      </c>
      <c r="C234" s="61" t="str">
        <f>IFERROR(VLOOKUP(표11[[#This Row],[해양 오브젝트]],[3]!표1[[이름]:[선단 LV]],6,FALSE),"-")</f>
        <v>-</v>
      </c>
      <c r="D234" s="61" t="str">
        <f>IFERROR(VLOOKUP(표11[[#This Row],[해양 오브젝트]],[3]!표1[[이름]:[위도]],3,FALSE),"-")</f>
        <v>-</v>
      </c>
      <c r="E234" s="61" t="str">
        <f>IFERROR(VLOOKUP(표11[[#This Row],[해양 오브젝트]],[3]!표1[[이름]:[위도]],2,FALSE),"-")</f>
        <v>-</v>
      </c>
      <c r="F234" s="61">
        <f>IFERROR(INDEX([1]Discovery!$AW:$AW,MATCH(표11[[#This Row],[해양 오브젝트]],[1]Discovery!$B:$B,0)),"-")</f>
        <v>0</v>
      </c>
      <c r="G234" s="61">
        <f>IFERROR(INDEX([1]Discovery!$AY:$AY,MATCH(표11[[#This Row],[해양 오브젝트]],[1]Discovery!$B:$B,0)),"-")</f>
        <v>0</v>
      </c>
      <c r="H234" s="61">
        <f>IFERROR(INDEX([1]Discovery!$BA:$BA,MATCH(표11[[#This Row],[해양 오브젝트]],[1]Discovery!$B:$B,0)),"-")</f>
        <v>0</v>
      </c>
    </row>
    <row r="235" spans="2:8" hidden="1" x14ac:dyDescent="0.3">
      <c r="B235" s="61" t="str">
        <f>[2]OceanDoodad!Z240</f>
        <v>사냥개자리</v>
      </c>
      <c r="C235" s="61" t="str">
        <f>IFERROR(VLOOKUP(표11[[#This Row],[해양 오브젝트]],[3]!표1[[이름]:[선단 LV]],6,FALSE),"-")</f>
        <v>-</v>
      </c>
      <c r="D235" s="61" t="str">
        <f>IFERROR(VLOOKUP(표11[[#This Row],[해양 오브젝트]],[3]!표1[[이름]:[위도]],3,FALSE),"-")</f>
        <v>-</v>
      </c>
      <c r="E235" s="61" t="str">
        <f>IFERROR(VLOOKUP(표11[[#This Row],[해양 오브젝트]],[3]!표1[[이름]:[위도]],2,FALSE),"-")</f>
        <v>-</v>
      </c>
      <c r="F235" s="61" t="str">
        <f>IFERROR(INDEX([1]Discovery!$AW:$AW,MATCH(표11[[#This Row],[해양 오브젝트]],[1]Discovery!$B:$B,0)),"-")</f>
        <v/>
      </c>
      <c r="G235" s="61">
        <f>IFERROR(INDEX([1]Discovery!$AY:$AY,MATCH(표11[[#This Row],[해양 오브젝트]],[1]Discovery!$B:$B,0)),"-")</f>
        <v>0</v>
      </c>
      <c r="H235" s="61" t="str">
        <f>IFERROR(INDEX([1]Discovery!$BA:$BA,MATCH(표11[[#This Row],[해양 오브젝트]],[1]Discovery!$B:$B,0)),"-")</f>
        <v>-</v>
      </c>
    </row>
    <row r="236" spans="2:8" hidden="1" x14ac:dyDescent="0.3">
      <c r="B236" s="61" t="str">
        <f>[2]OceanDoodad!Z241</f>
        <v>사자자리</v>
      </c>
      <c r="C236" s="61" t="str">
        <f>IFERROR(VLOOKUP(표11[[#This Row],[해양 오브젝트]],[3]!표1[[이름]:[선단 LV]],6,FALSE),"-")</f>
        <v>-</v>
      </c>
      <c r="D236" s="61" t="str">
        <f>IFERROR(VLOOKUP(표11[[#This Row],[해양 오브젝트]],[3]!표1[[이름]:[위도]],3,FALSE),"-")</f>
        <v>-</v>
      </c>
      <c r="E236" s="61" t="str">
        <f>IFERROR(VLOOKUP(표11[[#This Row],[해양 오브젝트]],[3]!표1[[이름]:[위도]],2,FALSE),"-")</f>
        <v>-</v>
      </c>
      <c r="F236" s="61">
        <f>IFERROR(INDEX([1]Discovery!$AW:$AW,MATCH(표11[[#This Row],[해양 오브젝트]],[1]Discovery!$B:$B,0)),"-")</f>
        <v>0</v>
      </c>
      <c r="G236" s="61">
        <f>IFERROR(INDEX([1]Discovery!$AY:$AY,MATCH(표11[[#This Row],[해양 오브젝트]],[1]Discovery!$B:$B,0)),"-")</f>
        <v>0</v>
      </c>
      <c r="H236" s="61">
        <f>IFERROR(INDEX([1]Discovery!$BA:$BA,MATCH(표11[[#This Row],[해양 오브젝트]],[1]Discovery!$B:$B,0)),"-")</f>
        <v>0</v>
      </c>
    </row>
    <row r="237" spans="2:8" hidden="1" x14ac:dyDescent="0.3">
      <c r="B237" s="61" t="str">
        <f>[2]OceanDoodad!Z242</f>
        <v>삼각형자리</v>
      </c>
      <c r="C237" s="61" t="str">
        <f>IFERROR(VLOOKUP(표11[[#This Row],[해양 오브젝트]],[3]!표1[[이름]:[선단 LV]],6,FALSE),"-")</f>
        <v>-</v>
      </c>
      <c r="D237" s="61" t="str">
        <f>IFERROR(VLOOKUP(표11[[#This Row],[해양 오브젝트]],[3]!표1[[이름]:[위도]],3,FALSE),"-")</f>
        <v>-</v>
      </c>
      <c r="E237" s="61" t="str">
        <f>IFERROR(VLOOKUP(표11[[#This Row],[해양 오브젝트]],[3]!표1[[이름]:[위도]],2,FALSE),"-")</f>
        <v>-</v>
      </c>
      <c r="F237" s="61" t="str">
        <f>IFERROR(INDEX([1]Discovery!$AW:$AW,MATCH(표11[[#This Row],[해양 오브젝트]],[1]Discovery!$B:$B,0)),"-")</f>
        <v/>
      </c>
      <c r="G237" s="61">
        <f>IFERROR(INDEX([1]Discovery!$AY:$AY,MATCH(표11[[#This Row],[해양 오브젝트]],[1]Discovery!$B:$B,0)),"-")</f>
        <v>0</v>
      </c>
      <c r="H237" s="61" t="str">
        <f>IFERROR(INDEX([1]Discovery!$BA:$BA,MATCH(표11[[#This Row],[해양 오브젝트]],[1]Discovery!$B:$B,0)),"-")</f>
        <v>-</v>
      </c>
    </row>
    <row r="238" spans="2:8" hidden="1" x14ac:dyDescent="0.3">
      <c r="B238" s="61" t="str">
        <f>[2]OceanDoodad!Z243</f>
        <v>쌍둥이자리</v>
      </c>
      <c r="C238" s="61" t="str">
        <f>IFERROR(VLOOKUP(표11[[#This Row],[해양 오브젝트]],[3]!표1[[이름]:[선단 LV]],6,FALSE),"-")</f>
        <v>-</v>
      </c>
      <c r="D238" s="61" t="str">
        <f>IFERROR(VLOOKUP(표11[[#This Row],[해양 오브젝트]],[3]!표1[[이름]:[위도]],3,FALSE),"-")</f>
        <v>-</v>
      </c>
      <c r="E238" s="61" t="str">
        <f>IFERROR(VLOOKUP(표11[[#This Row],[해양 오브젝트]],[3]!표1[[이름]:[위도]],2,FALSE),"-")</f>
        <v>-</v>
      </c>
      <c r="F238" s="61" t="str">
        <f>IFERROR(INDEX([1]Discovery!$AW:$AW,MATCH(표11[[#This Row],[해양 오브젝트]],[1]Discovery!$B:$B,0)),"-")</f>
        <v/>
      </c>
      <c r="G238" s="61">
        <f>IFERROR(INDEX([1]Discovery!$AY:$AY,MATCH(표11[[#This Row],[해양 오브젝트]],[1]Discovery!$B:$B,0)),"-")</f>
        <v>0</v>
      </c>
      <c r="H238" s="61" t="str">
        <f>IFERROR(INDEX([1]Discovery!$BA:$BA,MATCH(표11[[#This Row],[해양 오브젝트]],[1]Discovery!$B:$B,0)),"-")</f>
        <v>-</v>
      </c>
    </row>
    <row r="239" spans="2:8" hidden="1" x14ac:dyDescent="0.3">
      <c r="B239" s="61" t="str">
        <f>[2]OceanDoodad!Z244</f>
        <v>안드로메다자리</v>
      </c>
      <c r="C239" s="61" t="str">
        <f>IFERROR(VLOOKUP(표11[[#This Row],[해양 오브젝트]],[3]!표1[[이름]:[선단 LV]],6,FALSE),"-")</f>
        <v>-</v>
      </c>
      <c r="D239" s="61" t="str">
        <f>IFERROR(VLOOKUP(표11[[#This Row],[해양 오브젝트]],[3]!표1[[이름]:[위도]],3,FALSE),"-")</f>
        <v>-</v>
      </c>
      <c r="E239" s="61" t="str">
        <f>IFERROR(VLOOKUP(표11[[#This Row],[해양 오브젝트]],[3]!표1[[이름]:[위도]],2,FALSE),"-")</f>
        <v>-</v>
      </c>
      <c r="F239" s="61" t="str">
        <f>IFERROR(INDEX([1]Discovery!$AW:$AW,MATCH(표11[[#This Row],[해양 오브젝트]],[1]Discovery!$B:$B,0)),"-")</f>
        <v/>
      </c>
      <c r="G239" s="61">
        <f>IFERROR(INDEX([1]Discovery!$AY:$AY,MATCH(표11[[#This Row],[해양 오브젝트]],[1]Discovery!$B:$B,0)),"-")</f>
        <v>0</v>
      </c>
      <c r="H239" s="61" t="str">
        <f>IFERROR(INDEX([1]Discovery!$BA:$BA,MATCH(표11[[#This Row],[해양 오브젝트]],[1]Discovery!$B:$B,0)),"-")</f>
        <v>-</v>
      </c>
    </row>
    <row r="240" spans="2:8" hidden="1" x14ac:dyDescent="0.3">
      <c r="B240" s="61" t="str">
        <f>[2]OceanDoodad!Z245</f>
        <v>양자리</v>
      </c>
      <c r="C240" s="61" t="str">
        <f>IFERROR(VLOOKUP(표11[[#This Row],[해양 오브젝트]],[3]!표1[[이름]:[선단 LV]],6,FALSE),"-")</f>
        <v>-</v>
      </c>
      <c r="D240" s="61" t="str">
        <f>IFERROR(VLOOKUP(표11[[#This Row],[해양 오브젝트]],[3]!표1[[이름]:[위도]],3,FALSE),"-")</f>
        <v>-</v>
      </c>
      <c r="E240" s="61" t="str">
        <f>IFERROR(VLOOKUP(표11[[#This Row],[해양 오브젝트]],[3]!표1[[이름]:[위도]],2,FALSE),"-")</f>
        <v>-</v>
      </c>
      <c r="F240" s="61">
        <f>IFERROR(INDEX([1]Discovery!$AW:$AW,MATCH(표11[[#This Row],[해양 오브젝트]],[1]Discovery!$B:$B,0)),"-")</f>
        <v>0</v>
      </c>
      <c r="G240" s="61">
        <f>IFERROR(INDEX([1]Discovery!$AY:$AY,MATCH(표11[[#This Row],[해양 오브젝트]],[1]Discovery!$B:$B,0)),"-")</f>
        <v>0</v>
      </c>
      <c r="H240" s="61">
        <f>IFERROR(INDEX([1]Discovery!$BA:$BA,MATCH(표11[[#This Row],[해양 오브젝트]],[1]Discovery!$B:$B,0)),"-")</f>
        <v>0</v>
      </c>
    </row>
    <row r="241" spans="2:8" hidden="1" x14ac:dyDescent="0.3">
      <c r="B241" s="61" t="str">
        <f>[2]OceanDoodad!Z246</f>
        <v>에리다누스자리</v>
      </c>
      <c r="C241" s="61" t="str">
        <f>IFERROR(VLOOKUP(표11[[#This Row],[해양 오브젝트]],[3]!표1[[이름]:[선단 LV]],6,FALSE),"-")</f>
        <v>-</v>
      </c>
      <c r="D241" s="61" t="str">
        <f>IFERROR(VLOOKUP(표11[[#This Row],[해양 오브젝트]],[3]!표1[[이름]:[위도]],3,FALSE),"-")</f>
        <v>-</v>
      </c>
      <c r="E241" s="61" t="str">
        <f>IFERROR(VLOOKUP(표11[[#This Row],[해양 오브젝트]],[3]!표1[[이름]:[위도]],2,FALSE),"-")</f>
        <v>-</v>
      </c>
      <c r="F241" s="61">
        <f>IFERROR(INDEX([1]Discovery!$AW:$AW,MATCH(표11[[#This Row],[해양 오브젝트]],[1]Discovery!$B:$B,0)),"-")</f>
        <v>0</v>
      </c>
      <c r="G241" s="61">
        <f>IFERROR(INDEX([1]Discovery!$AY:$AY,MATCH(표11[[#This Row],[해양 오브젝트]],[1]Discovery!$B:$B,0)),"-")</f>
        <v>0</v>
      </c>
      <c r="H241" s="61">
        <f>IFERROR(INDEX([1]Discovery!$BA:$BA,MATCH(표11[[#This Row],[해양 오브젝트]],[1]Discovery!$B:$B,0)),"-")</f>
        <v>0</v>
      </c>
    </row>
    <row r="242" spans="2:8" hidden="1" x14ac:dyDescent="0.3">
      <c r="B242" s="61" t="str">
        <f>[2]OceanDoodad!Z247</f>
        <v>염소자리</v>
      </c>
      <c r="C242" s="61" t="str">
        <f>IFERROR(VLOOKUP(표11[[#This Row],[해양 오브젝트]],[3]!표1[[이름]:[선단 LV]],6,FALSE),"-")</f>
        <v>-</v>
      </c>
      <c r="D242" s="61" t="str">
        <f>IFERROR(VLOOKUP(표11[[#This Row],[해양 오브젝트]],[3]!표1[[이름]:[위도]],3,FALSE),"-")</f>
        <v>-</v>
      </c>
      <c r="E242" s="61" t="str">
        <f>IFERROR(VLOOKUP(표11[[#This Row],[해양 오브젝트]],[3]!표1[[이름]:[위도]],2,FALSE),"-")</f>
        <v>-</v>
      </c>
      <c r="F242" s="61">
        <f>IFERROR(INDEX([1]Discovery!$AW:$AW,MATCH(표11[[#This Row],[해양 오브젝트]],[1]Discovery!$B:$B,0)),"-")</f>
        <v>0</v>
      </c>
      <c r="G242" s="61">
        <f>IFERROR(INDEX([1]Discovery!$AY:$AY,MATCH(표11[[#This Row],[해양 오브젝트]],[1]Discovery!$B:$B,0)),"-")</f>
        <v>0</v>
      </c>
      <c r="H242" s="61">
        <f>IFERROR(INDEX([1]Discovery!$BA:$BA,MATCH(표11[[#This Row],[해양 오브젝트]],[1]Discovery!$B:$B,0)),"-")</f>
        <v>0</v>
      </c>
    </row>
    <row r="243" spans="2:8" hidden="1" x14ac:dyDescent="0.3">
      <c r="B243" s="61" t="str">
        <f>[2]OceanDoodad!Z248</f>
        <v>오리온자리</v>
      </c>
      <c r="C243" s="61" t="str">
        <f>IFERROR(VLOOKUP(표11[[#This Row],[해양 오브젝트]],[3]!표1[[이름]:[선단 LV]],6,FALSE),"-")</f>
        <v>-</v>
      </c>
      <c r="D243" s="61" t="str">
        <f>IFERROR(VLOOKUP(표11[[#This Row],[해양 오브젝트]],[3]!표1[[이름]:[위도]],3,FALSE),"-")</f>
        <v>-</v>
      </c>
      <c r="E243" s="61" t="str">
        <f>IFERROR(VLOOKUP(표11[[#This Row],[해양 오브젝트]],[3]!표1[[이름]:[위도]],2,FALSE),"-")</f>
        <v>-</v>
      </c>
      <c r="F243" s="61">
        <f>IFERROR(INDEX([1]Discovery!$AW:$AW,MATCH(표11[[#This Row],[해양 오브젝트]],[1]Discovery!$B:$B,0)),"-")</f>
        <v>0</v>
      </c>
      <c r="G243" s="61">
        <f>IFERROR(INDEX([1]Discovery!$AY:$AY,MATCH(표11[[#This Row],[해양 오브젝트]],[1]Discovery!$B:$B,0)),"-")</f>
        <v>0</v>
      </c>
      <c r="H243" s="61">
        <f>IFERROR(INDEX([1]Discovery!$BA:$BA,MATCH(표11[[#This Row],[해양 오브젝트]],[1]Discovery!$B:$B,0)),"-")</f>
        <v>0</v>
      </c>
    </row>
    <row r="244" spans="2:8" hidden="1" x14ac:dyDescent="0.3">
      <c r="B244" s="61" t="str">
        <f>[2]OceanDoodad!Z249</f>
        <v>외뿔소자리</v>
      </c>
      <c r="C244" s="61" t="str">
        <f>IFERROR(VLOOKUP(표11[[#This Row],[해양 오브젝트]],[3]!표1[[이름]:[선단 LV]],6,FALSE),"-")</f>
        <v>-</v>
      </c>
      <c r="D244" s="61" t="str">
        <f>IFERROR(VLOOKUP(표11[[#This Row],[해양 오브젝트]],[3]!표1[[이름]:[위도]],3,FALSE),"-")</f>
        <v>-</v>
      </c>
      <c r="E244" s="61" t="str">
        <f>IFERROR(VLOOKUP(표11[[#This Row],[해양 오브젝트]],[3]!표1[[이름]:[위도]],2,FALSE),"-")</f>
        <v>-</v>
      </c>
      <c r="F244" s="61">
        <f>IFERROR(INDEX([1]Discovery!$AW:$AW,MATCH(표11[[#This Row],[해양 오브젝트]],[1]Discovery!$B:$B,0)),"-")</f>
        <v>0</v>
      </c>
      <c r="G244" s="61">
        <f>IFERROR(INDEX([1]Discovery!$AY:$AY,MATCH(표11[[#This Row],[해양 오브젝트]],[1]Discovery!$B:$B,0)),"-")</f>
        <v>0</v>
      </c>
      <c r="H244" s="61">
        <f>IFERROR(INDEX([1]Discovery!$BA:$BA,MATCH(표11[[#This Row],[해양 오브젝트]],[1]Discovery!$B:$B,0)),"-")</f>
        <v>0</v>
      </c>
    </row>
    <row r="245" spans="2:8" hidden="1" x14ac:dyDescent="0.3">
      <c r="B245" s="61" t="str">
        <f>[2]OceanDoodad!Z250</f>
        <v>용골자리</v>
      </c>
      <c r="C245" s="61" t="str">
        <f>IFERROR(VLOOKUP(표11[[#This Row],[해양 오브젝트]],[3]!표1[[이름]:[선단 LV]],6,FALSE),"-")</f>
        <v>-</v>
      </c>
      <c r="D245" s="61" t="str">
        <f>IFERROR(VLOOKUP(표11[[#This Row],[해양 오브젝트]],[3]!표1[[이름]:[위도]],3,FALSE),"-")</f>
        <v>-</v>
      </c>
      <c r="E245" s="61" t="str">
        <f>IFERROR(VLOOKUP(표11[[#This Row],[해양 오브젝트]],[3]!표1[[이름]:[위도]],2,FALSE),"-")</f>
        <v>-</v>
      </c>
      <c r="F245" s="61" t="str">
        <f>IFERROR(INDEX([1]Discovery!$AW:$AW,MATCH(표11[[#This Row],[해양 오브젝트]],[1]Discovery!$B:$B,0)),"-")</f>
        <v/>
      </c>
      <c r="G245" s="61">
        <f>IFERROR(INDEX([1]Discovery!$AY:$AY,MATCH(표11[[#This Row],[해양 오브젝트]],[1]Discovery!$B:$B,0)),"-")</f>
        <v>0</v>
      </c>
      <c r="H245" s="61" t="str">
        <f>IFERROR(INDEX([1]Discovery!$BA:$BA,MATCH(표11[[#This Row],[해양 오브젝트]],[1]Discovery!$B:$B,0)),"-")</f>
        <v>-</v>
      </c>
    </row>
    <row r="246" spans="2:8" hidden="1" x14ac:dyDescent="0.3">
      <c r="B246" s="61" t="str">
        <f>[2]OceanDoodad!Z251</f>
        <v>용자리</v>
      </c>
      <c r="C246" s="61" t="str">
        <f>IFERROR(VLOOKUP(표11[[#This Row],[해양 오브젝트]],[3]!표1[[이름]:[선단 LV]],6,FALSE),"-")</f>
        <v>-</v>
      </c>
      <c r="D246" s="61" t="str">
        <f>IFERROR(VLOOKUP(표11[[#This Row],[해양 오브젝트]],[3]!표1[[이름]:[위도]],3,FALSE),"-")</f>
        <v>-</v>
      </c>
      <c r="E246" s="61" t="str">
        <f>IFERROR(VLOOKUP(표11[[#This Row],[해양 오브젝트]],[3]!표1[[이름]:[위도]],2,FALSE),"-")</f>
        <v>-</v>
      </c>
      <c r="F246" s="61">
        <f>IFERROR(INDEX([1]Discovery!$AW:$AW,MATCH(표11[[#This Row],[해양 오브젝트]],[1]Discovery!$B:$B,0)),"-")</f>
        <v>0</v>
      </c>
      <c r="G246" s="61">
        <f>IFERROR(INDEX([1]Discovery!$AY:$AY,MATCH(표11[[#This Row],[해양 오브젝트]],[1]Discovery!$B:$B,0)),"-")</f>
        <v>0</v>
      </c>
      <c r="H246" s="61">
        <f>IFERROR(INDEX([1]Discovery!$BA:$BA,MATCH(표11[[#This Row],[해양 오브젝트]],[1]Discovery!$B:$B,0)),"-")</f>
        <v>0</v>
      </c>
    </row>
    <row r="247" spans="2:8" hidden="1" x14ac:dyDescent="0.3">
      <c r="B247" s="61" t="str">
        <f>[2]OceanDoodad!Z252</f>
        <v>이리자리</v>
      </c>
      <c r="C247" s="61" t="str">
        <f>IFERROR(VLOOKUP(표11[[#This Row],[해양 오브젝트]],[3]!표1[[이름]:[선단 LV]],6,FALSE),"-")</f>
        <v>-</v>
      </c>
      <c r="D247" s="61" t="str">
        <f>IFERROR(VLOOKUP(표11[[#This Row],[해양 오브젝트]],[3]!표1[[이름]:[위도]],3,FALSE),"-")</f>
        <v>-</v>
      </c>
      <c r="E247" s="61" t="str">
        <f>IFERROR(VLOOKUP(표11[[#This Row],[해양 오브젝트]],[3]!표1[[이름]:[위도]],2,FALSE),"-")</f>
        <v>-</v>
      </c>
      <c r="F247" s="61" t="str">
        <f>IFERROR(INDEX([1]Discovery!$AW:$AW,MATCH(표11[[#This Row],[해양 오브젝트]],[1]Discovery!$B:$B,0)),"-")</f>
        <v/>
      </c>
      <c r="G247" s="61">
        <f>IFERROR(INDEX([1]Discovery!$AY:$AY,MATCH(표11[[#This Row],[해양 오브젝트]],[1]Discovery!$B:$B,0)),"-")</f>
        <v>0</v>
      </c>
      <c r="H247" s="61" t="str">
        <f>IFERROR(INDEX([1]Discovery!$BA:$BA,MATCH(표11[[#This Row],[해양 오브젝트]],[1]Discovery!$B:$B,0)),"-")</f>
        <v>-</v>
      </c>
    </row>
    <row r="248" spans="2:8" hidden="1" x14ac:dyDescent="0.3">
      <c r="B248" s="61" t="str">
        <f>[2]OceanDoodad!Z253</f>
        <v>작은개자리</v>
      </c>
      <c r="C248" s="61" t="str">
        <f>IFERROR(VLOOKUP(표11[[#This Row],[해양 오브젝트]],[3]!표1[[이름]:[선단 LV]],6,FALSE),"-")</f>
        <v>-</v>
      </c>
      <c r="D248" s="61" t="str">
        <f>IFERROR(VLOOKUP(표11[[#This Row],[해양 오브젝트]],[3]!표1[[이름]:[위도]],3,FALSE),"-")</f>
        <v>-</v>
      </c>
      <c r="E248" s="61" t="str">
        <f>IFERROR(VLOOKUP(표11[[#This Row],[해양 오브젝트]],[3]!표1[[이름]:[위도]],2,FALSE),"-")</f>
        <v>-</v>
      </c>
      <c r="F248" s="61">
        <f>IFERROR(INDEX([1]Discovery!$AW:$AW,MATCH(표11[[#This Row],[해양 오브젝트]],[1]Discovery!$B:$B,0)),"-")</f>
        <v>0</v>
      </c>
      <c r="G248" s="61">
        <f>IFERROR(INDEX([1]Discovery!$AY:$AY,MATCH(표11[[#This Row],[해양 오브젝트]],[1]Discovery!$B:$B,0)),"-")</f>
        <v>0</v>
      </c>
      <c r="H248" s="61">
        <f>IFERROR(INDEX([1]Discovery!$BA:$BA,MATCH(표11[[#This Row],[해양 오브젝트]],[1]Discovery!$B:$B,0)),"-")</f>
        <v>0</v>
      </c>
    </row>
    <row r="249" spans="2:8" hidden="1" x14ac:dyDescent="0.3">
      <c r="B249" s="61" t="str">
        <f>[2]OceanDoodad!Z254</f>
        <v>작은곰자리</v>
      </c>
      <c r="C249" s="61" t="str">
        <f>IFERROR(VLOOKUP(표11[[#This Row],[해양 오브젝트]],[3]!표1[[이름]:[선단 LV]],6,FALSE),"-")</f>
        <v>-</v>
      </c>
      <c r="D249" s="61" t="str">
        <f>IFERROR(VLOOKUP(표11[[#This Row],[해양 오브젝트]],[3]!표1[[이름]:[위도]],3,FALSE),"-")</f>
        <v>-</v>
      </c>
      <c r="E249" s="61" t="str">
        <f>IFERROR(VLOOKUP(표11[[#This Row],[해양 오브젝트]],[3]!표1[[이름]:[위도]],2,FALSE),"-")</f>
        <v>-</v>
      </c>
      <c r="F249" s="61">
        <f>IFERROR(INDEX([1]Discovery!$AW:$AW,MATCH(표11[[#This Row],[해양 오브젝트]],[1]Discovery!$B:$B,0)),"-")</f>
        <v>0</v>
      </c>
      <c r="G249" s="61">
        <f>IFERROR(INDEX([1]Discovery!$AY:$AY,MATCH(표11[[#This Row],[해양 오브젝트]],[1]Discovery!$B:$B,0)),"-")</f>
        <v>0</v>
      </c>
      <c r="H249" s="61">
        <f>IFERROR(INDEX([1]Discovery!$BA:$BA,MATCH(표11[[#This Row],[해양 오브젝트]],[1]Discovery!$B:$B,0)),"-")</f>
        <v>0</v>
      </c>
    </row>
    <row r="250" spans="2:8" hidden="1" x14ac:dyDescent="0.3">
      <c r="B250" s="61" t="str">
        <f>[2]OceanDoodad!Z255</f>
        <v>전갈자리</v>
      </c>
      <c r="C250" s="61" t="str">
        <f>IFERROR(VLOOKUP(표11[[#This Row],[해양 오브젝트]],[3]!표1[[이름]:[선단 LV]],6,FALSE),"-")</f>
        <v>-</v>
      </c>
      <c r="D250" s="61" t="str">
        <f>IFERROR(VLOOKUP(표11[[#This Row],[해양 오브젝트]],[3]!표1[[이름]:[위도]],3,FALSE),"-")</f>
        <v>-</v>
      </c>
      <c r="E250" s="61" t="str">
        <f>IFERROR(VLOOKUP(표11[[#This Row],[해양 오브젝트]],[3]!표1[[이름]:[위도]],2,FALSE),"-")</f>
        <v>-</v>
      </c>
      <c r="F250" s="61" t="str">
        <f>IFERROR(INDEX([1]Discovery!$AW:$AW,MATCH(표11[[#This Row],[해양 오브젝트]],[1]Discovery!$B:$B,0)),"-")</f>
        <v/>
      </c>
      <c r="G250" s="61">
        <f>IFERROR(INDEX([1]Discovery!$AY:$AY,MATCH(표11[[#This Row],[해양 오브젝트]],[1]Discovery!$B:$B,0)),"-")</f>
        <v>0</v>
      </c>
      <c r="H250" s="61" t="str">
        <f>IFERROR(INDEX([1]Discovery!$BA:$BA,MATCH(표11[[#This Row],[해양 오브젝트]],[1]Discovery!$B:$B,0)),"-")</f>
        <v>-</v>
      </c>
    </row>
    <row r="251" spans="2:8" hidden="1" x14ac:dyDescent="0.3">
      <c r="B251" s="61" t="str">
        <f>[2]OceanDoodad!Z256</f>
        <v>처녀자리</v>
      </c>
      <c r="C251" s="61" t="str">
        <f>IFERROR(VLOOKUP(표11[[#This Row],[해양 오브젝트]],[3]!표1[[이름]:[선단 LV]],6,FALSE),"-")</f>
        <v>-</v>
      </c>
      <c r="D251" s="61" t="str">
        <f>IFERROR(VLOOKUP(표11[[#This Row],[해양 오브젝트]],[3]!표1[[이름]:[위도]],3,FALSE),"-")</f>
        <v>-</v>
      </c>
      <c r="E251" s="61" t="str">
        <f>IFERROR(VLOOKUP(표11[[#This Row],[해양 오브젝트]],[3]!표1[[이름]:[위도]],2,FALSE),"-")</f>
        <v>-</v>
      </c>
      <c r="F251" s="61">
        <f>IFERROR(INDEX([1]Discovery!$AW:$AW,MATCH(표11[[#This Row],[해양 오브젝트]],[1]Discovery!$B:$B,0)),"-")</f>
        <v>0</v>
      </c>
      <c r="G251" s="61">
        <f>IFERROR(INDEX([1]Discovery!$AY:$AY,MATCH(표11[[#This Row],[해양 오브젝트]],[1]Discovery!$B:$B,0)),"-")</f>
        <v>0</v>
      </c>
      <c r="H251" s="61">
        <f>IFERROR(INDEX([1]Discovery!$BA:$BA,MATCH(표11[[#This Row],[해양 오브젝트]],[1]Discovery!$B:$B,0)),"-")</f>
        <v>0</v>
      </c>
    </row>
    <row r="252" spans="2:8" hidden="1" x14ac:dyDescent="0.3">
      <c r="B252" s="61" t="str">
        <f>[2]OceanDoodad!Z257</f>
        <v>천칭자리</v>
      </c>
      <c r="C252" s="61" t="str">
        <f>IFERROR(VLOOKUP(표11[[#This Row],[해양 오브젝트]],[3]!표1[[이름]:[선단 LV]],6,FALSE),"-")</f>
        <v>-</v>
      </c>
      <c r="D252" s="61" t="str">
        <f>IFERROR(VLOOKUP(표11[[#This Row],[해양 오브젝트]],[3]!표1[[이름]:[위도]],3,FALSE),"-")</f>
        <v>-</v>
      </c>
      <c r="E252" s="61" t="str">
        <f>IFERROR(VLOOKUP(표11[[#This Row],[해양 오브젝트]],[3]!표1[[이름]:[위도]],2,FALSE),"-")</f>
        <v>-</v>
      </c>
      <c r="F252" s="61">
        <f>IFERROR(INDEX([1]Discovery!$AW:$AW,MATCH(표11[[#This Row],[해양 오브젝트]],[1]Discovery!$B:$B,0)),"-")</f>
        <v>0</v>
      </c>
      <c r="G252" s="61">
        <f>IFERROR(INDEX([1]Discovery!$AY:$AY,MATCH(표11[[#This Row],[해양 오브젝트]],[1]Discovery!$B:$B,0)),"-")</f>
        <v>0</v>
      </c>
      <c r="H252" s="61">
        <f>IFERROR(INDEX([1]Discovery!$BA:$BA,MATCH(표11[[#This Row],[해양 오브젝트]],[1]Discovery!$B:$B,0)),"-")</f>
        <v>0</v>
      </c>
    </row>
    <row r="253" spans="2:8" hidden="1" x14ac:dyDescent="0.3">
      <c r="B253" s="61" t="str">
        <f>[2]OceanDoodad!Z258</f>
        <v>카시오페이아자리</v>
      </c>
      <c r="C253" s="61" t="str">
        <f>IFERROR(VLOOKUP(표11[[#This Row],[해양 오브젝트]],[3]!표1[[이름]:[선단 LV]],6,FALSE),"-")</f>
        <v>-</v>
      </c>
      <c r="D253" s="61" t="str">
        <f>IFERROR(VLOOKUP(표11[[#This Row],[해양 오브젝트]],[3]!표1[[이름]:[위도]],3,FALSE),"-")</f>
        <v>-</v>
      </c>
      <c r="E253" s="61" t="str">
        <f>IFERROR(VLOOKUP(표11[[#This Row],[해양 오브젝트]],[3]!표1[[이름]:[위도]],2,FALSE),"-")</f>
        <v>-</v>
      </c>
      <c r="F253" s="61" t="str">
        <f>IFERROR(INDEX([1]Discovery!$AW:$AW,MATCH(표11[[#This Row],[해양 오브젝트]],[1]Discovery!$B:$B,0)),"-")</f>
        <v/>
      </c>
      <c r="G253" s="61">
        <f>IFERROR(INDEX([1]Discovery!$AY:$AY,MATCH(표11[[#This Row],[해양 오브젝트]],[1]Discovery!$B:$B,0)),"-")</f>
        <v>0</v>
      </c>
      <c r="H253" s="61" t="str">
        <f>IFERROR(INDEX([1]Discovery!$BA:$BA,MATCH(표11[[#This Row],[해양 오브젝트]],[1]Discovery!$B:$B,0)),"-")</f>
        <v>-</v>
      </c>
    </row>
    <row r="254" spans="2:8" hidden="1" x14ac:dyDescent="0.3">
      <c r="B254" s="61" t="str">
        <f>[2]OceanDoodad!Z259</f>
        <v>컵자리</v>
      </c>
      <c r="C254" s="61" t="str">
        <f>IFERROR(VLOOKUP(표11[[#This Row],[해양 오브젝트]],[3]!표1[[이름]:[선단 LV]],6,FALSE),"-")</f>
        <v>-</v>
      </c>
      <c r="D254" s="61" t="str">
        <f>IFERROR(VLOOKUP(표11[[#This Row],[해양 오브젝트]],[3]!표1[[이름]:[위도]],3,FALSE),"-")</f>
        <v>-</v>
      </c>
      <c r="E254" s="61" t="str">
        <f>IFERROR(VLOOKUP(표11[[#This Row],[해양 오브젝트]],[3]!표1[[이름]:[위도]],2,FALSE),"-")</f>
        <v>-</v>
      </c>
      <c r="F254" s="61">
        <f>IFERROR(INDEX([1]Discovery!$AW:$AW,MATCH(표11[[#This Row],[해양 오브젝트]],[1]Discovery!$B:$B,0)),"-")</f>
        <v>0</v>
      </c>
      <c r="G254" s="61">
        <f>IFERROR(INDEX([1]Discovery!$AY:$AY,MATCH(표11[[#This Row],[해양 오브젝트]],[1]Discovery!$B:$B,0)),"-")</f>
        <v>0</v>
      </c>
      <c r="H254" s="61">
        <f>IFERROR(INDEX([1]Discovery!$BA:$BA,MATCH(표11[[#This Row],[해양 오브젝트]],[1]Discovery!$B:$B,0)),"-")</f>
        <v>0</v>
      </c>
    </row>
    <row r="255" spans="2:8" hidden="1" x14ac:dyDescent="0.3">
      <c r="B255" s="61" t="str">
        <f>[2]OceanDoodad!Z260</f>
        <v>케페우스자리</v>
      </c>
      <c r="C255" s="61" t="str">
        <f>IFERROR(VLOOKUP(표11[[#This Row],[해양 오브젝트]],[3]!표1[[이름]:[선단 LV]],6,FALSE),"-")</f>
        <v>-</v>
      </c>
      <c r="D255" s="61" t="str">
        <f>IFERROR(VLOOKUP(표11[[#This Row],[해양 오브젝트]],[3]!표1[[이름]:[위도]],3,FALSE),"-")</f>
        <v>-</v>
      </c>
      <c r="E255" s="61" t="str">
        <f>IFERROR(VLOOKUP(표11[[#This Row],[해양 오브젝트]],[3]!표1[[이름]:[위도]],2,FALSE),"-")</f>
        <v>-</v>
      </c>
      <c r="F255" s="61" t="str">
        <f>IFERROR(INDEX([1]Discovery!$AW:$AW,MATCH(표11[[#This Row],[해양 오브젝트]],[1]Discovery!$B:$B,0)),"-")</f>
        <v/>
      </c>
      <c r="G255" s="61">
        <f>IFERROR(INDEX([1]Discovery!$AY:$AY,MATCH(표11[[#This Row],[해양 오브젝트]],[1]Discovery!$B:$B,0)),"-")</f>
        <v>0</v>
      </c>
      <c r="H255" s="61" t="str">
        <f>IFERROR(INDEX([1]Discovery!$BA:$BA,MATCH(표11[[#This Row],[해양 오브젝트]],[1]Discovery!$B:$B,0)),"-")</f>
        <v>-</v>
      </c>
    </row>
    <row r="256" spans="2:8" hidden="1" x14ac:dyDescent="0.3">
      <c r="B256" s="61" t="str">
        <f>[2]OceanDoodad!Z261</f>
        <v>센타우루스자리</v>
      </c>
      <c r="C256" s="61" t="str">
        <f>IFERROR(VLOOKUP(표11[[#This Row],[해양 오브젝트]],[3]!표1[[이름]:[선단 LV]],6,FALSE),"-")</f>
        <v>-</v>
      </c>
      <c r="D256" s="61" t="str">
        <f>IFERROR(VLOOKUP(표11[[#This Row],[해양 오브젝트]],[3]!표1[[이름]:[위도]],3,FALSE),"-")</f>
        <v>-</v>
      </c>
      <c r="E256" s="61" t="str">
        <f>IFERROR(VLOOKUP(표11[[#This Row],[해양 오브젝트]],[3]!표1[[이름]:[위도]],2,FALSE),"-")</f>
        <v>-</v>
      </c>
      <c r="F256" s="61">
        <f>IFERROR(INDEX([1]Discovery!$AW:$AW,MATCH(표11[[#This Row],[해양 오브젝트]],[1]Discovery!$B:$B,0)),"-")</f>
        <v>0</v>
      </c>
      <c r="G256" s="61">
        <f>IFERROR(INDEX([1]Discovery!$AY:$AY,MATCH(표11[[#This Row],[해양 오브젝트]],[1]Discovery!$B:$B,0)),"-")</f>
        <v>0</v>
      </c>
      <c r="H256" s="61">
        <f>IFERROR(INDEX([1]Discovery!$BA:$BA,MATCH(표11[[#This Row],[해양 오브젝트]],[1]Discovery!$B:$B,0)),"-")</f>
        <v>0</v>
      </c>
    </row>
    <row r="257" spans="2:8" hidden="1" x14ac:dyDescent="0.3">
      <c r="B257" s="61" t="str">
        <f>[2]OceanDoodad!Z262</f>
        <v>큰개자리</v>
      </c>
      <c r="C257" s="61" t="str">
        <f>IFERROR(VLOOKUP(표11[[#This Row],[해양 오브젝트]],[3]!표1[[이름]:[선단 LV]],6,FALSE),"-")</f>
        <v>-</v>
      </c>
      <c r="D257" s="61" t="str">
        <f>IFERROR(VLOOKUP(표11[[#This Row],[해양 오브젝트]],[3]!표1[[이름]:[위도]],3,FALSE),"-")</f>
        <v>-</v>
      </c>
      <c r="E257" s="61" t="str">
        <f>IFERROR(VLOOKUP(표11[[#This Row],[해양 오브젝트]],[3]!표1[[이름]:[위도]],2,FALSE),"-")</f>
        <v>-</v>
      </c>
      <c r="F257" s="61">
        <f>IFERROR(INDEX([1]Discovery!$AW:$AW,MATCH(표11[[#This Row],[해양 오브젝트]],[1]Discovery!$B:$B,0)),"-")</f>
        <v>0</v>
      </c>
      <c r="G257" s="61">
        <f>IFERROR(INDEX([1]Discovery!$AY:$AY,MATCH(표11[[#This Row],[해양 오브젝트]],[1]Discovery!$B:$B,0)),"-")</f>
        <v>0</v>
      </c>
      <c r="H257" s="61">
        <f>IFERROR(INDEX([1]Discovery!$BA:$BA,MATCH(표11[[#This Row],[해양 오브젝트]],[1]Discovery!$B:$B,0)),"-")</f>
        <v>0</v>
      </c>
    </row>
    <row r="258" spans="2:8" hidden="1" x14ac:dyDescent="0.3">
      <c r="B258" s="61" t="str">
        <f>[2]OceanDoodad!Z263</f>
        <v>큰곰자리</v>
      </c>
      <c r="C258" s="61" t="str">
        <f>IFERROR(VLOOKUP(표11[[#This Row],[해양 오브젝트]],[3]!표1[[이름]:[선단 LV]],6,FALSE),"-")</f>
        <v>-</v>
      </c>
      <c r="D258" s="61" t="str">
        <f>IFERROR(VLOOKUP(표11[[#This Row],[해양 오브젝트]],[3]!표1[[이름]:[위도]],3,FALSE),"-")</f>
        <v>-</v>
      </c>
      <c r="E258" s="61" t="str">
        <f>IFERROR(VLOOKUP(표11[[#This Row],[해양 오브젝트]],[3]!표1[[이름]:[위도]],2,FALSE),"-")</f>
        <v>-</v>
      </c>
      <c r="F258" s="61">
        <f>IFERROR(INDEX([1]Discovery!$AW:$AW,MATCH(표11[[#This Row],[해양 오브젝트]],[1]Discovery!$B:$B,0)),"-")</f>
        <v>0</v>
      </c>
      <c r="G258" s="61">
        <f>IFERROR(INDEX([1]Discovery!$AY:$AY,MATCH(표11[[#This Row],[해양 오브젝트]],[1]Discovery!$B:$B,0)),"-")</f>
        <v>0</v>
      </c>
      <c r="H258" s="61">
        <f>IFERROR(INDEX([1]Discovery!$BA:$BA,MATCH(표11[[#This Row],[해양 오브젝트]],[1]Discovery!$B:$B,0)),"-")</f>
        <v>0</v>
      </c>
    </row>
    <row r="259" spans="2:8" hidden="1" x14ac:dyDescent="0.3">
      <c r="B259" s="61" t="str">
        <f>[2]OceanDoodad!Z264</f>
        <v>타이탄</v>
      </c>
      <c r="C259" s="61" t="str">
        <f>IFERROR(VLOOKUP(표11[[#This Row],[해양 오브젝트]],[3]!표1[[이름]:[선단 LV]],6,FALSE),"-")</f>
        <v>-</v>
      </c>
      <c r="D259" s="61" t="str">
        <f>IFERROR(VLOOKUP(표11[[#This Row],[해양 오브젝트]],[3]!표1[[이름]:[위도]],3,FALSE),"-")</f>
        <v>-</v>
      </c>
      <c r="E259" s="61" t="str">
        <f>IFERROR(VLOOKUP(표11[[#This Row],[해양 오브젝트]],[3]!표1[[이름]:[위도]],2,FALSE),"-")</f>
        <v>-</v>
      </c>
      <c r="F259" s="61" t="str">
        <f>IFERROR(INDEX([1]Discovery!$AW:$AW,MATCH(표11[[#This Row],[해양 오브젝트]],[1]Discovery!$B:$B,0)),"-")</f>
        <v/>
      </c>
      <c r="G259" s="61">
        <f>IFERROR(INDEX([1]Discovery!$AY:$AY,MATCH(표11[[#This Row],[해양 오브젝트]],[1]Discovery!$B:$B,0)),"-")</f>
        <v>0</v>
      </c>
      <c r="H259" s="61" t="str">
        <f>IFERROR(INDEX([1]Discovery!$BA:$BA,MATCH(표11[[#This Row],[해양 오브젝트]],[1]Discovery!$B:$B,0)),"-")</f>
        <v>-</v>
      </c>
    </row>
    <row r="260" spans="2:8" hidden="1" x14ac:dyDescent="0.3">
      <c r="B260" s="61" t="str">
        <f>[2]OceanDoodad!Z265</f>
        <v>페가수스자리</v>
      </c>
      <c r="C260" s="61" t="str">
        <f>IFERROR(VLOOKUP(표11[[#This Row],[해양 오브젝트]],[3]!표1[[이름]:[선단 LV]],6,FALSE),"-")</f>
        <v>-</v>
      </c>
      <c r="D260" s="61" t="str">
        <f>IFERROR(VLOOKUP(표11[[#This Row],[해양 오브젝트]],[3]!표1[[이름]:[위도]],3,FALSE),"-")</f>
        <v>-</v>
      </c>
      <c r="E260" s="61" t="str">
        <f>IFERROR(VLOOKUP(표11[[#This Row],[해양 오브젝트]],[3]!표1[[이름]:[위도]],2,FALSE),"-")</f>
        <v>-</v>
      </c>
      <c r="F260" s="61" t="str">
        <f>IFERROR(INDEX([1]Discovery!$AW:$AW,MATCH(표11[[#This Row],[해양 오브젝트]],[1]Discovery!$B:$B,0)),"-")</f>
        <v/>
      </c>
      <c r="G260" s="61">
        <f>IFERROR(INDEX([1]Discovery!$AY:$AY,MATCH(표11[[#This Row],[해양 오브젝트]],[1]Discovery!$B:$B,0)),"-")</f>
        <v>0</v>
      </c>
      <c r="H260" s="61" t="str">
        <f>IFERROR(INDEX([1]Discovery!$BA:$BA,MATCH(표11[[#This Row],[해양 오브젝트]],[1]Discovery!$B:$B,0)),"-")</f>
        <v>-</v>
      </c>
    </row>
    <row r="261" spans="2:8" hidden="1" x14ac:dyDescent="0.3">
      <c r="B261" s="61" t="str">
        <f>[2]OceanDoodad!Z266</f>
        <v>페르세우스자리</v>
      </c>
      <c r="C261" s="61" t="str">
        <f>IFERROR(VLOOKUP(표11[[#This Row],[해양 오브젝트]],[3]!표1[[이름]:[선단 LV]],6,FALSE),"-")</f>
        <v>-</v>
      </c>
      <c r="D261" s="61" t="str">
        <f>IFERROR(VLOOKUP(표11[[#This Row],[해양 오브젝트]],[3]!표1[[이름]:[위도]],3,FALSE),"-")</f>
        <v>-</v>
      </c>
      <c r="E261" s="61" t="str">
        <f>IFERROR(VLOOKUP(표11[[#This Row],[해양 오브젝트]],[3]!표1[[이름]:[위도]],2,FALSE),"-")</f>
        <v>-</v>
      </c>
      <c r="F261" s="61">
        <f>IFERROR(INDEX([1]Discovery!$AW:$AW,MATCH(표11[[#This Row],[해양 오브젝트]],[1]Discovery!$B:$B,0)),"-")</f>
        <v>0</v>
      </c>
      <c r="G261" s="61">
        <f>IFERROR(INDEX([1]Discovery!$AY:$AY,MATCH(표11[[#This Row],[해양 오브젝트]],[1]Discovery!$B:$B,0)),"-")</f>
        <v>0</v>
      </c>
      <c r="H261" s="61">
        <f>IFERROR(INDEX([1]Discovery!$BA:$BA,MATCH(표11[[#This Row],[해양 오브젝트]],[1]Discovery!$B:$B,0)),"-")</f>
        <v>0</v>
      </c>
    </row>
    <row r="262" spans="2:8" hidden="1" x14ac:dyDescent="0.3">
      <c r="B262" s="61" t="str">
        <f>[2]OceanDoodad!Z267</f>
        <v>헤르쿨레스자리</v>
      </c>
      <c r="C262" s="61" t="str">
        <f>IFERROR(VLOOKUP(표11[[#This Row],[해양 오브젝트]],[3]!표1[[이름]:[선단 LV]],6,FALSE),"-")</f>
        <v>-</v>
      </c>
      <c r="D262" s="61" t="str">
        <f>IFERROR(VLOOKUP(표11[[#This Row],[해양 오브젝트]],[3]!표1[[이름]:[위도]],3,FALSE),"-")</f>
        <v>-</v>
      </c>
      <c r="E262" s="61" t="str">
        <f>IFERROR(VLOOKUP(표11[[#This Row],[해양 오브젝트]],[3]!표1[[이름]:[위도]],2,FALSE),"-")</f>
        <v>-</v>
      </c>
      <c r="F262" s="61">
        <f>IFERROR(INDEX([1]Discovery!$AW:$AW,MATCH(표11[[#This Row],[해양 오브젝트]],[1]Discovery!$B:$B,0)),"-")</f>
        <v>0</v>
      </c>
      <c r="G262" s="61">
        <f>IFERROR(INDEX([1]Discovery!$AY:$AY,MATCH(표11[[#This Row],[해양 오브젝트]],[1]Discovery!$B:$B,0)),"-")</f>
        <v>0</v>
      </c>
      <c r="H262" s="61">
        <f>IFERROR(INDEX([1]Discovery!$BA:$BA,MATCH(표11[[#This Row],[해양 오브젝트]],[1]Discovery!$B:$B,0)),"-")</f>
        <v>0</v>
      </c>
    </row>
    <row r="263" spans="2:8" x14ac:dyDescent="0.3">
      <c r="B263" s="61" t="str">
        <f>[2]OceanDoodad!Z268</f>
        <v>화살자리</v>
      </c>
      <c r="C263" s="61" t="str">
        <f>IFERROR(VLOOKUP(표11[[#This Row],[해양 오브젝트]],[3]!표1[[이름]:[선단 LV]],6,FALSE),"-")</f>
        <v>-</v>
      </c>
      <c r="D263" s="61" t="str">
        <f>IFERROR(VLOOKUP(표11[[#This Row],[해양 오브젝트]],[3]!표1[[이름]:[위도]],3,FALSE),"-")</f>
        <v>-</v>
      </c>
      <c r="E263" s="61" t="str">
        <f>IFERROR(VLOOKUP(표11[[#This Row],[해양 오브젝트]],[3]!표1[[이름]:[위도]],2,FALSE),"-")</f>
        <v>-</v>
      </c>
      <c r="F263" s="61" t="str">
        <f>IFERROR(INDEX([1]Discovery!$AW:$AW,MATCH(표11[[#This Row],[해양 오브젝트]],[1]Discovery!$B:$B,0)),"-")</f>
        <v/>
      </c>
      <c r="G263" s="61">
        <f>IFERROR(INDEX([1]Discovery!$AY:$AY,MATCH(표11[[#This Row],[해양 오브젝트]],[1]Discovery!$B:$B,0)),"-")</f>
        <v>0</v>
      </c>
      <c r="H263" s="61" t="str">
        <f>IFERROR(INDEX([1]Discovery!$BA:$BA,MATCH(표11[[#This Row],[해양 오브젝트]],[1]Discovery!$B:$B,0)),"-")</f>
        <v>-</v>
      </c>
    </row>
    <row r="264" spans="2:8" x14ac:dyDescent="0.3">
      <c r="B264" s="61" t="str">
        <f>[2]OceanDoodad!Z269</f>
        <v>황소자리</v>
      </c>
      <c r="C264" s="61" t="str">
        <f>IFERROR(VLOOKUP(표11[[#This Row],[해양 오브젝트]],[3]!표1[[이름]:[선단 LV]],6,FALSE),"-")</f>
        <v>-</v>
      </c>
      <c r="D264" s="61" t="str">
        <f>IFERROR(VLOOKUP(표11[[#This Row],[해양 오브젝트]],[3]!표1[[이름]:[위도]],3,FALSE),"-")</f>
        <v>-</v>
      </c>
      <c r="E264" s="61" t="str">
        <f>IFERROR(VLOOKUP(표11[[#This Row],[해양 오브젝트]],[3]!표1[[이름]:[위도]],2,FALSE),"-")</f>
        <v>-</v>
      </c>
      <c r="F264" s="61">
        <f>IFERROR(INDEX([1]Discovery!$AW:$AW,MATCH(표11[[#This Row],[해양 오브젝트]],[1]Discovery!$B:$B,0)),"-")</f>
        <v>0</v>
      </c>
      <c r="G264" s="61">
        <f>IFERROR(INDEX([1]Discovery!$AY:$AY,MATCH(표11[[#This Row],[해양 오브젝트]],[1]Discovery!$B:$B,0)),"-")</f>
        <v>0</v>
      </c>
      <c r="H264" s="61">
        <f>IFERROR(INDEX([1]Discovery!$BA:$BA,MATCH(표11[[#This Row],[해양 오브젝트]],[1]Discovery!$B:$B,0)),"-")</f>
        <v>0</v>
      </c>
    </row>
    <row r="265" spans="2:8" x14ac:dyDescent="0.3">
      <c r="B265" s="61" t="str">
        <f>[2]OceanDoodad!Z270</f>
        <v>겨울의 다이아몬드</v>
      </c>
      <c r="C265" s="61" t="str">
        <f>IFERROR(VLOOKUP(표11[[#This Row],[해양 오브젝트]],[3]!표1[[이름]:[선단 LV]],6,FALSE),"-")</f>
        <v>-</v>
      </c>
      <c r="D265" s="61" t="str">
        <f>IFERROR(VLOOKUP(표11[[#This Row],[해양 오브젝트]],[3]!표1[[이름]:[위도]],3,FALSE),"-")</f>
        <v>-</v>
      </c>
      <c r="E265" s="61" t="str">
        <f>IFERROR(VLOOKUP(표11[[#This Row],[해양 오브젝트]],[3]!표1[[이름]:[위도]],2,FALSE),"-")</f>
        <v>-</v>
      </c>
      <c r="F265" s="61">
        <f>IFERROR(INDEX([1]Discovery!$AW:$AW,MATCH(표11[[#This Row],[해양 오브젝트]],[1]Discovery!$B:$B,0)),"-")</f>
        <v>0</v>
      </c>
      <c r="G265" s="61">
        <f>IFERROR(INDEX([1]Discovery!$AY:$AY,MATCH(표11[[#This Row],[해양 오브젝트]],[1]Discovery!$B:$B,0)),"-")</f>
        <v>0</v>
      </c>
      <c r="H265" s="61">
        <f>IFERROR(INDEX([1]Discovery!$BA:$BA,MATCH(표11[[#This Row],[해양 오브젝트]],[1]Discovery!$B:$B,0)),"-")</f>
        <v>0</v>
      </c>
    </row>
    <row r="266" spans="2:8" x14ac:dyDescent="0.3">
      <c r="B266" s="61" t="str">
        <f>[2]OceanDoodad!Z271</f>
        <v>핼리 혜성</v>
      </c>
      <c r="C266" s="61" t="str">
        <f>IFERROR(VLOOKUP(표11[[#This Row],[해양 오브젝트]],[3]!표1[[이름]:[선단 LV]],6,FALSE),"-")</f>
        <v>-</v>
      </c>
      <c r="D266" s="61" t="str">
        <f>IFERROR(VLOOKUP(표11[[#This Row],[해양 오브젝트]],[3]!표1[[이름]:[위도]],3,FALSE),"-")</f>
        <v>-</v>
      </c>
      <c r="E266" s="61" t="str">
        <f>IFERROR(VLOOKUP(표11[[#This Row],[해양 오브젝트]],[3]!표1[[이름]:[위도]],2,FALSE),"-")</f>
        <v>-</v>
      </c>
      <c r="F266" s="61" t="str">
        <f>IFERROR(INDEX([1]Discovery!$AW:$AW,MATCH(표11[[#This Row],[해양 오브젝트]],[1]Discovery!$B:$B,0)),"-")</f>
        <v>특정 퀘스트(=)</v>
      </c>
      <c r="G266" s="61" t="str">
        <f>IFERROR(INDEX([1]Discovery!$AY:$AY,MATCH(표11[[#This Row],[해양 오브젝트]],[1]Discovery!$B:$B,0)),"-")</f>
        <v>예언의 별</v>
      </c>
      <c r="H266" s="61">
        <f>IFERROR(INDEX([1]Discovery!$BA:$BA,MATCH(표11[[#This Row],[해양 오브젝트]],[1]Discovery!$B:$B,0)),"-")</f>
        <v>3</v>
      </c>
    </row>
    <row r="267" spans="2:8" x14ac:dyDescent="0.3">
      <c r="B267" s="61" t="str">
        <f>[2]OceanDoodad!Z272</f>
        <v>카이르완 대 모스크</v>
      </c>
      <c r="C267" s="61" t="str">
        <f>IFERROR(VLOOKUP(표11[[#This Row],[해양 오브젝트]],[3]!표1[[이름]:[선단 LV]],6,FALSE),"-")</f>
        <v>-</v>
      </c>
      <c r="D267" s="61" t="str">
        <f>IFERROR(VLOOKUP(표11[[#This Row],[해양 오브젝트]],[3]!표1[[이름]:[위도]],3,FALSE),"-")</f>
        <v>-</v>
      </c>
      <c r="E267" s="61" t="str">
        <f>IFERROR(VLOOKUP(표11[[#This Row],[해양 오브젝트]],[3]!표1[[이름]:[위도]],2,FALSE),"-")</f>
        <v>-</v>
      </c>
      <c r="F267" s="61" t="str">
        <f>IFERROR(INDEX([1]Discovery!$AW:$AW,MATCH(표11[[#This Row],[해양 오브젝트]],[1]Discovery!$B:$B,0)),"-")</f>
        <v>무조건 실패</v>
      </c>
      <c r="G267" s="61">
        <f>IFERROR(INDEX([1]Discovery!$AY:$AY,MATCH(표11[[#This Row],[해양 오브젝트]],[1]Discovery!$B:$B,0)),"-")</f>
        <v>0</v>
      </c>
      <c r="H267" s="61">
        <f>IFERROR(INDEX([1]Discovery!$BA:$BA,MATCH(표11[[#This Row],[해양 오브젝트]],[1]Discovery!$B:$B,0)),"-")</f>
        <v>1</v>
      </c>
    </row>
    <row r="268" spans="2:8" x14ac:dyDescent="0.3">
      <c r="B268" s="61" t="str">
        <f>[2]OceanDoodad!Z273</f>
        <v>벨렝탑</v>
      </c>
      <c r="C268" s="61" t="str">
        <f>IFERROR(VLOOKUP(표11[[#This Row],[해양 오브젝트]],[3]!표1[[이름]:[선단 LV]],6,FALSE),"-")</f>
        <v>-</v>
      </c>
      <c r="D268" s="61" t="str">
        <f>IFERROR(VLOOKUP(표11[[#This Row],[해양 오브젝트]],[3]!표1[[이름]:[위도]],3,FALSE),"-")</f>
        <v>-</v>
      </c>
      <c r="E268" s="61" t="str">
        <f>IFERROR(VLOOKUP(표11[[#This Row],[해양 오브젝트]],[3]!표1[[이름]:[위도]],2,FALSE),"-")</f>
        <v>-</v>
      </c>
      <c r="F268" s="61" t="str">
        <f>IFERROR(INDEX([1]Discovery!$AW:$AW,MATCH(표11[[#This Row],[해양 오브젝트]],[1]Discovery!$B:$B,0)),"-")</f>
        <v>특정 국가 항해사 보유</v>
      </c>
      <c r="G268" s="61" t="str">
        <f>IFERROR(INDEX([1]Discovery!$AY:$AY,MATCH(표11[[#This Row],[해양 오브젝트]],[1]Discovery!$B:$B,0)),"-")</f>
        <v>포르투갈</v>
      </c>
      <c r="H268" s="61">
        <f>IFERROR(INDEX([1]Discovery!$BA:$BA,MATCH(표11[[#This Row],[해양 오브젝트]],[1]Discovery!$B:$B,0)),"-")</f>
        <v>3</v>
      </c>
    </row>
    <row r="269" spans="2:8" x14ac:dyDescent="0.3">
      <c r="B269" s="61" t="str">
        <f>[2]OceanDoodad!Z274</f>
        <v>마추픽추</v>
      </c>
      <c r="C269" s="61" t="str">
        <f>IFERROR(VLOOKUP(표11[[#This Row],[해양 오브젝트]],[3]!표1[[이름]:[선단 LV]],6,FALSE),"-")</f>
        <v>-</v>
      </c>
      <c r="D269" s="61" t="str">
        <f>IFERROR(VLOOKUP(표11[[#This Row],[해양 오브젝트]],[3]!표1[[이름]:[위도]],3,FALSE),"-")</f>
        <v>-</v>
      </c>
      <c r="E269" s="61" t="str">
        <f>IFERROR(VLOOKUP(표11[[#This Row],[해양 오브젝트]],[3]!표1[[이름]:[위도]],2,FALSE),"-")</f>
        <v>-</v>
      </c>
      <c r="F269" s="61" t="str">
        <f>IFERROR(INDEX([1]Discovery!$AW:$AW,MATCH(표11[[#This Row],[해양 오브젝트]],[1]Discovery!$B:$B,0)),"-")</f>
        <v>무조건 실패</v>
      </c>
      <c r="G269" s="61">
        <f>IFERROR(INDEX([1]Discovery!$AY:$AY,MATCH(표11[[#This Row],[해양 오브젝트]],[1]Discovery!$B:$B,0)),"-")</f>
        <v>0</v>
      </c>
      <c r="H269" s="61">
        <f>IFERROR(INDEX([1]Discovery!$BA:$BA,MATCH(표11[[#This Row],[해양 오브젝트]],[1]Discovery!$B:$B,0)),"-")</f>
        <v>1</v>
      </c>
    </row>
    <row r="270" spans="2:8" x14ac:dyDescent="0.3">
      <c r="B270" s="61" t="str">
        <f>[2]OceanDoodad!Z275</f>
        <v>우르</v>
      </c>
      <c r="C270" s="61" t="str">
        <f>IFERROR(VLOOKUP(표11[[#This Row],[해양 오브젝트]],[3]!표1[[이름]:[선단 LV]],6,FALSE),"-")</f>
        <v>-</v>
      </c>
      <c r="D270" s="61" t="str">
        <f>IFERROR(VLOOKUP(표11[[#This Row],[해양 오브젝트]],[3]!표1[[이름]:[위도]],3,FALSE),"-")</f>
        <v>-</v>
      </c>
      <c r="E270" s="61" t="str">
        <f>IFERROR(VLOOKUP(표11[[#This Row],[해양 오브젝트]],[3]!표1[[이름]:[위도]],2,FALSE),"-")</f>
        <v>-</v>
      </c>
      <c r="F270" s="61" t="str">
        <f>IFERROR(INDEX([1]Discovery!$AW:$AW,MATCH(표11[[#This Row],[해양 오브젝트]],[1]Discovery!$B:$B,0)),"-")</f>
        <v>특정 국가 항해사 보유</v>
      </c>
      <c r="G270" s="61" t="str">
        <f>IFERROR(INDEX([1]Discovery!$AY:$AY,MATCH(표11[[#This Row],[해양 오브젝트]],[1]Discovery!$B:$B,0)),"-")</f>
        <v>오스만</v>
      </c>
      <c r="H270" s="61">
        <f>IFERROR(INDEX([1]Discovery!$BA:$BA,MATCH(표11[[#This Row],[해양 오브젝트]],[1]Discovery!$B:$B,0)),"-")</f>
        <v>2</v>
      </c>
    </row>
    <row r="271" spans="2:8" x14ac:dyDescent="0.3">
      <c r="B271" s="61" t="str">
        <f>[2]OceanDoodad!Z276</f>
        <v>페르세폴리스</v>
      </c>
      <c r="C271" s="61" t="str">
        <f>IFERROR(VLOOKUP(표11[[#This Row],[해양 오브젝트]],[3]!표1[[이름]:[선단 LV]],6,FALSE),"-")</f>
        <v>-</v>
      </c>
      <c r="D271" s="61" t="str">
        <f>IFERROR(VLOOKUP(표11[[#This Row],[해양 오브젝트]],[3]!표1[[이름]:[위도]],3,FALSE),"-")</f>
        <v>-</v>
      </c>
      <c r="E271" s="61" t="str">
        <f>IFERROR(VLOOKUP(표11[[#This Row],[해양 오브젝트]],[3]!표1[[이름]:[위도]],2,FALSE),"-")</f>
        <v>-</v>
      </c>
      <c r="F271" s="61" t="str">
        <f>IFERROR(INDEX([1]Discovery!$AW:$AW,MATCH(표11[[#This Row],[해양 오브젝트]],[1]Discovery!$B:$B,0)),"-")</f>
        <v>무조건 실패</v>
      </c>
      <c r="G271" s="61">
        <f>IFERROR(INDEX([1]Discovery!$AY:$AY,MATCH(표11[[#This Row],[해양 오브젝트]],[1]Discovery!$B:$B,0)),"-")</f>
        <v>0</v>
      </c>
      <c r="H271" s="61">
        <f>IFERROR(INDEX([1]Discovery!$BA:$BA,MATCH(표11[[#This Row],[해양 오브젝트]],[1]Discovery!$B:$B,0)),"-")</f>
        <v>1</v>
      </c>
    </row>
    <row r="272" spans="2:8" x14ac:dyDescent="0.3">
      <c r="B272" s="61" t="str">
        <f>[2]OceanDoodad!Z277</f>
        <v>말위야 미나렛</v>
      </c>
      <c r="C272" s="61" t="str">
        <f>IFERROR(VLOOKUP(표11[[#This Row],[해양 오브젝트]],[3]!표1[[이름]:[선단 LV]],6,FALSE),"-")</f>
        <v>-</v>
      </c>
      <c r="D272" s="61" t="str">
        <f>IFERROR(VLOOKUP(표11[[#This Row],[해양 오브젝트]],[3]!표1[[이름]:[위도]],3,FALSE),"-")</f>
        <v>-</v>
      </c>
      <c r="E272" s="61" t="str">
        <f>IFERROR(VLOOKUP(표11[[#This Row],[해양 오브젝트]],[3]!표1[[이름]:[위도]],2,FALSE),"-")</f>
        <v>-</v>
      </c>
      <c r="F272" s="61" t="str">
        <f>IFERROR(INDEX([1]Discovery!$AW:$AW,MATCH(표11[[#This Row],[해양 오브젝트]],[1]Discovery!$B:$B,0)),"-")</f>
        <v>무조건 실패</v>
      </c>
      <c r="G272" s="61">
        <f>IFERROR(INDEX([1]Discovery!$AY:$AY,MATCH(표11[[#This Row],[해양 오브젝트]],[1]Discovery!$B:$B,0)),"-")</f>
        <v>0</v>
      </c>
      <c r="H272" s="61">
        <f>IFERROR(INDEX([1]Discovery!$BA:$BA,MATCH(표11[[#This Row],[해양 오브젝트]],[1]Discovery!$B:$B,0)),"-")</f>
        <v>1</v>
      </c>
    </row>
    <row r="273" spans="2:8" x14ac:dyDescent="0.3">
      <c r="B273" s="61" t="str">
        <f>[2]OceanDoodad!Z278</f>
        <v>러산 대불</v>
      </c>
      <c r="C273" s="61" t="str">
        <f>IFERROR(VLOOKUP(표11[[#This Row],[해양 오브젝트]],[3]!표1[[이름]:[선단 LV]],6,FALSE),"-")</f>
        <v>-</v>
      </c>
      <c r="D273" s="61" t="str">
        <f>IFERROR(VLOOKUP(표11[[#This Row],[해양 오브젝트]],[3]!표1[[이름]:[위도]],3,FALSE),"-")</f>
        <v>-</v>
      </c>
      <c r="E273" s="61" t="str">
        <f>IFERROR(VLOOKUP(표11[[#This Row],[해양 오브젝트]],[3]!표1[[이름]:[위도]],2,FALSE),"-")</f>
        <v>-</v>
      </c>
      <c r="F273" s="61" t="str">
        <f>IFERROR(INDEX([1]Discovery!$AW:$AW,MATCH(표11[[#This Row],[해양 오브젝트]],[1]Discovery!$B:$B,0)),"-")</f>
        <v>특정 국가 항해사 보유</v>
      </c>
      <c r="G273" s="61" t="str">
        <f>IFERROR(INDEX([1]Discovery!$AY:$AY,MATCH(표11[[#This Row],[해양 오브젝트]],[1]Discovery!$B:$B,0)),"-")</f>
        <v>명</v>
      </c>
      <c r="H273" s="61">
        <f>IFERROR(INDEX([1]Discovery!$BA:$BA,MATCH(표11[[#This Row],[해양 오브젝트]],[1]Discovery!$B:$B,0)),"-")</f>
        <v>4</v>
      </c>
    </row>
    <row r="274" spans="2:8" x14ac:dyDescent="0.3">
      <c r="B274" s="61" t="str">
        <f>[2]OceanDoodad!Z279</f>
        <v>메테오라</v>
      </c>
      <c r="C274" s="61" t="str">
        <f>IFERROR(VLOOKUP(표11[[#This Row],[해양 오브젝트]],[3]!표1[[이름]:[선단 LV]],6,FALSE),"-")</f>
        <v>-</v>
      </c>
      <c r="D274" s="61" t="str">
        <f>IFERROR(VLOOKUP(표11[[#This Row],[해양 오브젝트]],[3]!표1[[이름]:[위도]],3,FALSE),"-")</f>
        <v>-</v>
      </c>
      <c r="E274" s="61" t="str">
        <f>IFERROR(VLOOKUP(표11[[#This Row],[해양 오브젝트]],[3]!표1[[이름]:[위도]],2,FALSE),"-")</f>
        <v>-</v>
      </c>
      <c r="F274" s="61" t="str">
        <f>IFERROR(INDEX([1]Discovery!$AW:$AW,MATCH(표11[[#This Row],[해양 오브젝트]],[1]Discovery!$B:$B,0)),"-")</f>
        <v>특정 계절</v>
      </c>
      <c r="G274" s="61" t="str">
        <f>IFERROR(INDEX([1]Discovery!$AY:$AY,MATCH(표11[[#This Row],[해양 오브젝트]],[1]Discovery!$B:$B,0)),"-")</f>
        <v>가을</v>
      </c>
      <c r="H274" s="61">
        <f>IFERROR(INDEX([1]Discovery!$BA:$BA,MATCH(표11[[#This Row],[해양 오브젝트]],[1]Discovery!$B:$B,0)),"-")</f>
        <v>1</v>
      </c>
    </row>
    <row r="275" spans="2:8" x14ac:dyDescent="0.3">
      <c r="B275" s="61" t="str">
        <f>[2]OceanDoodad!Z280</f>
        <v>경복궁</v>
      </c>
      <c r="C275" s="61" t="str">
        <f>IFERROR(VLOOKUP(표11[[#This Row],[해양 오브젝트]],[3]!표1[[이름]:[선단 LV]],6,FALSE),"-")</f>
        <v>-</v>
      </c>
      <c r="D275" s="61" t="str">
        <f>IFERROR(VLOOKUP(표11[[#This Row],[해양 오브젝트]],[3]!표1[[이름]:[위도]],3,FALSE),"-")</f>
        <v>-</v>
      </c>
      <c r="E275" s="61" t="str">
        <f>IFERROR(VLOOKUP(표11[[#This Row],[해양 오브젝트]],[3]!표1[[이름]:[위도]],2,FALSE),"-")</f>
        <v>-</v>
      </c>
      <c r="F275" s="61" t="str">
        <f>IFERROR(INDEX([1]Discovery!$AW:$AW,MATCH(표11[[#This Row],[해양 오브젝트]],[1]Discovery!$B:$B,0)),"-")</f>
        <v>특정 국가 항해사 보유</v>
      </c>
      <c r="G275" s="61" t="str">
        <f>IFERROR(INDEX([1]Discovery!$AY:$AY,MATCH(표11[[#This Row],[해양 오브젝트]],[1]Discovery!$B:$B,0)),"-")</f>
        <v>조선</v>
      </c>
      <c r="H275" s="61">
        <f>IFERROR(INDEX([1]Discovery!$BA:$BA,MATCH(표11[[#This Row],[해양 오브젝트]],[1]Discovery!$B:$B,0)),"-")</f>
        <v>3</v>
      </c>
    </row>
    <row r="276" spans="2:8" x14ac:dyDescent="0.3">
      <c r="B276" s="61" t="str">
        <f>[2]OceanDoodad!Z281</f>
        <v>보르시파</v>
      </c>
      <c r="C276" s="61" t="str">
        <f>IFERROR(VLOOKUP(표11[[#This Row],[해양 오브젝트]],[3]!표1[[이름]:[선단 LV]],6,FALSE),"-")</f>
        <v>-</v>
      </c>
      <c r="D276" s="61" t="str">
        <f>IFERROR(VLOOKUP(표11[[#This Row],[해양 오브젝트]],[3]!표1[[이름]:[위도]],3,FALSE),"-")</f>
        <v>-</v>
      </c>
      <c r="E276" s="61" t="str">
        <f>IFERROR(VLOOKUP(표11[[#This Row],[해양 오브젝트]],[3]!표1[[이름]:[위도]],2,FALSE),"-")</f>
        <v>-</v>
      </c>
      <c r="F276" s="61" t="str">
        <f>IFERROR(INDEX([1]Discovery!$AW:$AW,MATCH(표11[[#This Row],[해양 오브젝트]],[1]Discovery!$B:$B,0)),"-")</f>
        <v>무조건 실패</v>
      </c>
      <c r="G276" s="61">
        <f>IFERROR(INDEX([1]Discovery!$AY:$AY,MATCH(표11[[#This Row],[해양 오브젝트]],[1]Discovery!$B:$B,0)),"-")</f>
        <v>0</v>
      </c>
      <c r="H276" s="61">
        <f>IFERROR(INDEX([1]Discovery!$BA:$BA,MATCH(표11[[#This Row],[해양 오브젝트]],[1]Discovery!$B:$B,0)),"-")</f>
        <v>1</v>
      </c>
    </row>
    <row r="277" spans="2:8" x14ac:dyDescent="0.3">
      <c r="B277" s="61" t="str">
        <f>[2]OceanDoodad!Z282</f>
        <v>보로부두르</v>
      </c>
      <c r="C277" s="61" t="str">
        <f>IFERROR(VLOOKUP(표11[[#This Row],[해양 오브젝트]],[3]!표1[[이름]:[선단 LV]],6,FALSE),"-")</f>
        <v>-</v>
      </c>
      <c r="D277" s="61" t="str">
        <f>IFERROR(VLOOKUP(표11[[#This Row],[해양 오브젝트]],[3]!표1[[이름]:[위도]],3,FALSE),"-")</f>
        <v>-</v>
      </c>
      <c r="E277" s="61" t="str">
        <f>IFERROR(VLOOKUP(표11[[#This Row],[해양 오브젝트]],[3]!표1[[이름]:[위도]],2,FALSE),"-")</f>
        <v>-</v>
      </c>
      <c r="F277" s="61" t="str">
        <f>IFERROR(INDEX([1]Discovery!$AW:$AW,MATCH(표11[[#This Row],[해양 오브젝트]],[1]Discovery!$B:$B,0)),"-")</f>
        <v>무조건 실패</v>
      </c>
      <c r="G277" s="61">
        <f>IFERROR(INDEX([1]Discovery!$AY:$AY,MATCH(표11[[#This Row],[해양 오브젝트]],[1]Discovery!$B:$B,0)),"-")</f>
        <v>0</v>
      </c>
      <c r="H277" s="61">
        <f>IFERROR(INDEX([1]Discovery!$BA:$BA,MATCH(표11[[#This Row],[해양 오브젝트]],[1]Discovery!$B:$B,0)),"-")</f>
        <v>1</v>
      </c>
    </row>
    <row r="278" spans="2:8" x14ac:dyDescent="0.3">
      <c r="B278" s="61" t="str">
        <f>[2]OceanDoodad!Z283</f>
        <v>자금성</v>
      </c>
      <c r="C278" s="61" t="str">
        <f>IFERROR(VLOOKUP(표11[[#This Row],[해양 오브젝트]],[3]!표1[[이름]:[선단 LV]],6,FALSE),"-")</f>
        <v>-</v>
      </c>
      <c r="D278" s="61" t="str">
        <f>IFERROR(VLOOKUP(표11[[#This Row],[해양 오브젝트]],[3]!표1[[이름]:[위도]],3,FALSE),"-")</f>
        <v>-</v>
      </c>
      <c r="E278" s="61" t="str">
        <f>IFERROR(VLOOKUP(표11[[#This Row],[해양 오브젝트]],[3]!표1[[이름]:[위도]],2,FALSE),"-")</f>
        <v>-</v>
      </c>
      <c r="F278" s="61" t="str">
        <f>IFERROR(INDEX([1]Discovery!$AW:$AW,MATCH(표11[[#This Row],[해양 오브젝트]],[1]Discovery!$B:$B,0)),"-")</f>
        <v>특정 국가 항해사 보유</v>
      </c>
      <c r="G278" s="61" t="str">
        <f>IFERROR(INDEX([1]Discovery!$AY:$AY,MATCH(표11[[#This Row],[해양 오브젝트]],[1]Discovery!$B:$B,0)),"-")</f>
        <v>명</v>
      </c>
      <c r="H278" s="61">
        <f>IFERROR(INDEX([1]Discovery!$BA:$BA,MATCH(표11[[#This Row],[해양 오브젝트]],[1]Discovery!$B:$B,0)),"-")</f>
        <v>4</v>
      </c>
    </row>
    <row r="279" spans="2:8" x14ac:dyDescent="0.3">
      <c r="B279" s="61" t="str">
        <f>[2]OceanDoodad!Z284</f>
        <v>천마총</v>
      </c>
      <c r="C279" s="61" t="str">
        <f>IFERROR(VLOOKUP(표11[[#This Row],[해양 오브젝트]],[3]!표1[[이름]:[선단 LV]],6,FALSE),"-")</f>
        <v>-</v>
      </c>
      <c r="D279" s="61" t="str">
        <f>IFERROR(VLOOKUP(표11[[#This Row],[해양 오브젝트]],[3]!표1[[이름]:[위도]],3,FALSE),"-")</f>
        <v>-</v>
      </c>
      <c r="E279" s="61" t="str">
        <f>IFERROR(VLOOKUP(표11[[#This Row],[해양 오브젝트]],[3]!표1[[이름]:[위도]],2,FALSE),"-")</f>
        <v>-</v>
      </c>
      <c r="F279" s="61" t="str">
        <f>IFERROR(INDEX([1]Discovery!$AW:$AW,MATCH(표11[[#This Row],[해양 오브젝트]],[1]Discovery!$B:$B,0)),"-")</f>
        <v>특정 직업 항해사 보유</v>
      </c>
      <c r="G279" s="61" t="str">
        <f>IFERROR(INDEX([1]Discovery!$AY:$AY,MATCH(표11[[#This Row],[해양 오브젝트]],[1]Discovery!$B:$B,0)),"-")</f>
        <v>고고학자</v>
      </c>
      <c r="H279" s="61">
        <f>IFERROR(INDEX([1]Discovery!$BA:$BA,MATCH(표11[[#This Row],[해양 오브젝트]],[1]Discovery!$B:$B,0)),"-")</f>
        <v>4</v>
      </c>
    </row>
    <row r="280" spans="2:8" x14ac:dyDescent="0.3">
      <c r="B280" s="61" t="str">
        <f>[2]OceanDoodad!Z285</f>
        <v>올림피아 유적</v>
      </c>
      <c r="C280" s="61" t="str">
        <f>IFERROR(VLOOKUP(표11[[#This Row],[해양 오브젝트]],[3]!표1[[이름]:[선단 LV]],6,FALSE),"-")</f>
        <v>-</v>
      </c>
      <c r="D280" s="61" t="str">
        <f>IFERROR(VLOOKUP(표11[[#This Row],[해양 오브젝트]],[3]!표1[[이름]:[위도]],3,FALSE),"-")</f>
        <v>-</v>
      </c>
      <c r="E280" s="61" t="str">
        <f>IFERROR(VLOOKUP(표11[[#This Row],[해양 오브젝트]],[3]!표1[[이름]:[위도]],2,FALSE),"-")</f>
        <v>-</v>
      </c>
      <c r="F280" s="61" t="str">
        <f>IFERROR(INDEX([1]Discovery!$AW:$AW,MATCH(표11[[#This Row],[해양 오브젝트]],[1]Discovery!$B:$B,0)),"-")</f>
        <v>무조건 실패</v>
      </c>
      <c r="G280" s="61">
        <f>IFERROR(INDEX([1]Discovery!$AY:$AY,MATCH(표11[[#This Row],[해양 오브젝트]],[1]Discovery!$B:$B,0)),"-")</f>
        <v>0</v>
      </c>
      <c r="H280" s="61">
        <f>IFERROR(INDEX([1]Discovery!$BA:$BA,MATCH(표11[[#This Row],[해양 오브젝트]],[1]Discovery!$B:$B,0)),"-")</f>
        <v>1</v>
      </c>
    </row>
    <row r="281" spans="2:8" x14ac:dyDescent="0.3">
      <c r="B281" s="61" t="str">
        <f>[2]OceanDoodad!Z286</f>
        <v>울루루</v>
      </c>
      <c r="C281" s="61" t="str">
        <f>IFERROR(VLOOKUP(표11[[#This Row],[해양 오브젝트]],[3]!표1[[이름]:[선단 LV]],6,FALSE),"-")</f>
        <v>-</v>
      </c>
      <c r="D281" s="61" t="str">
        <f>IFERROR(VLOOKUP(표11[[#This Row],[해양 오브젝트]],[3]!표1[[이름]:[위도]],3,FALSE),"-")</f>
        <v>-</v>
      </c>
      <c r="E281" s="61" t="str">
        <f>IFERROR(VLOOKUP(표11[[#This Row],[해양 오브젝트]],[3]!표1[[이름]:[위도]],2,FALSE),"-")</f>
        <v>-</v>
      </c>
      <c r="F281" s="61" t="str">
        <f>IFERROR(INDEX([1]Discovery!$AW:$AW,MATCH(표11[[#This Row],[해양 오브젝트]],[1]Discovery!$B:$B,0)),"-")</f>
        <v>무조건 실패</v>
      </c>
      <c r="G281" s="61">
        <f>IFERROR(INDEX([1]Discovery!$AY:$AY,MATCH(표11[[#This Row],[해양 오브젝트]],[1]Discovery!$B:$B,0)),"-")</f>
        <v>0</v>
      </c>
      <c r="H281" s="61">
        <f>IFERROR(INDEX([1]Discovery!$BA:$BA,MATCH(표11[[#This Row],[해양 오브젝트]],[1]Discovery!$B:$B,0)),"-")</f>
        <v>1</v>
      </c>
    </row>
    <row r="282" spans="2:8" x14ac:dyDescent="0.3">
      <c r="B282" s="61" t="str">
        <f>[2]OceanDoodad!Z287</f>
        <v>그린샌드 비치</v>
      </c>
      <c r="C282" s="61" t="str">
        <f>IFERROR(VLOOKUP(표11[[#This Row],[해양 오브젝트]],[3]!표1[[이름]:[선단 LV]],6,FALSE),"-")</f>
        <v>-</v>
      </c>
      <c r="D282" s="61" t="str">
        <f>IFERROR(VLOOKUP(표11[[#This Row],[해양 오브젝트]],[3]!표1[[이름]:[위도]],3,FALSE),"-")</f>
        <v>-</v>
      </c>
      <c r="E282" s="61" t="str">
        <f>IFERROR(VLOOKUP(표11[[#This Row],[해양 오브젝트]],[3]!표1[[이름]:[위도]],2,FALSE),"-")</f>
        <v>-</v>
      </c>
      <c r="F282" s="61" t="str">
        <f>IFERROR(INDEX([1]Discovery!$AW:$AW,MATCH(표11[[#This Row],[해양 오브젝트]],[1]Discovery!$B:$B,0)),"-")</f>
        <v>특정 직업 항해사 보유</v>
      </c>
      <c r="G282" s="61" t="str">
        <f>IFERROR(INDEX([1]Discovery!$AY:$AY,MATCH(표11[[#This Row],[해양 오브젝트]],[1]Discovery!$B:$B,0)),"-")</f>
        <v>항해장</v>
      </c>
      <c r="H282" s="61">
        <f>IFERROR(INDEX([1]Discovery!$BA:$BA,MATCH(표11[[#This Row],[해양 오브젝트]],[1]Discovery!$B:$B,0)),"-")</f>
        <v>4</v>
      </c>
    </row>
    <row r="283" spans="2:8" x14ac:dyDescent="0.3">
      <c r="B283" s="61" t="str">
        <f>[2]OceanDoodad!Z288</f>
        <v>푸날루우 블랙샌드 비치</v>
      </c>
      <c r="C283" s="61" t="str">
        <f>IFERROR(VLOOKUP(표11[[#This Row],[해양 오브젝트]],[3]!표1[[이름]:[선단 LV]],6,FALSE),"-")</f>
        <v>-</v>
      </c>
      <c r="D283" s="61" t="str">
        <f>IFERROR(VLOOKUP(표11[[#This Row],[해양 오브젝트]],[3]!표1[[이름]:[위도]],3,FALSE),"-")</f>
        <v>-</v>
      </c>
      <c r="E283" s="61" t="str">
        <f>IFERROR(VLOOKUP(표11[[#This Row],[해양 오브젝트]],[3]!표1[[이름]:[위도]],2,FALSE),"-")</f>
        <v>-</v>
      </c>
      <c r="F283" s="61" t="str">
        <f>IFERROR(INDEX([1]Discovery!$AW:$AW,MATCH(표11[[#This Row],[해양 오브젝트]],[1]Discovery!$B:$B,0)),"-")</f>
        <v>특정 직업 항해사 보유</v>
      </c>
      <c r="G283" s="61" t="str">
        <f>IFERROR(INDEX([1]Discovery!$AY:$AY,MATCH(표11[[#This Row],[해양 오브젝트]],[1]Discovery!$B:$B,0)),"-")</f>
        <v>지리학자</v>
      </c>
      <c r="H283" s="61">
        <f>IFERROR(INDEX([1]Discovery!$BA:$BA,MATCH(표11[[#This Row],[해양 오브젝트]],[1]Discovery!$B:$B,0)),"-")</f>
        <v>7</v>
      </c>
    </row>
    <row r="284" spans="2:8" x14ac:dyDescent="0.3">
      <c r="B284" s="61" t="str">
        <f>[2]OceanDoodad!Z289</f>
        <v>앨버트산</v>
      </c>
      <c r="C284" s="61" t="str">
        <f>IFERROR(VLOOKUP(표11[[#This Row],[해양 오브젝트]],[3]!표1[[이름]:[선단 LV]],6,FALSE),"-")</f>
        <v>-</v>
      </c>
      <c r="D284" s="61" t="str">
        <f>IFERROR(VLOOKUP(표11[[#This Row],[해양 오브젝트]],[3]!표1[[이름]:[위도]],3,FALSE),"-")</f>
        <v>-</v>
      </c>
      <c r="E284" s="61" t="str">
        <f>IFERROR(VLOOKUP(표11[[#This Row],[해양 오브젝트]],[3]!표1[[이름]:[위도]],2,FALSE),"-")</f>
        <v>-</v>
      </c>
      <c r="F284" s="61" t="str">
        <f>IFERROR(INDEX([1]Discovery!$AW:$AW,MATCH(표11[[#This Row],[해양 오브젝트]],[1]Discovery!$B:$B,0)),"-")</f>
        <v>특정 직업 항해사 보유</v>
      </c>
      <c r="G284" s="61" t="str">
        <f>IFERROR(INDEX([1]Discovery!$AY:$AY,MATCH(표11[[#This Row],[해양 오브젝트]],[1]Discovery!$B:$B,0)),"-")</f>
        <v>탐험가</v>
      </c>
      <c r="H284" s="61">
        <f>IFERROR(INDEX([1]Discovery!$BA:$BA,MATCH(표11[[#This Row],[해양 오브젝트]],[1]Discovery!$B:$B,0)),"-")</f>
        <v>3</v>
      </c>
    </row>
    <row r="285" spans="2:8" x14ac:dyDescent="0.3">
      <c r="B285" s="61" t="str">
        <f>[2]OceanDoodad!Z290</f>
        <v>그린란드 빙상</v>
      </c>
      <c r="C285" s="61" t="str">
        <f>IFERROR(VLOOKUP(표11[[#This Row],[해양 오브젝트]],[3]!표1[[이름]:[선단 LV]],6,FALSE),"-")</f>
        <v>-</v>
      </c>
      <c r="D285" s="61" t="str">
        <f>IFERROR(VLOOKUP(표11[[#This Row],[해양 오브젝트]],[3]!표1[[이름]:[위도]],3,FALSE),"-")</f>
        <v>-</v>
      </c>
      <c r="E285" s="61" t="str">
        <f>IFERROR(VLOOKUP(표11[[#This Row],[해양 오브젝트]],[3]!표1[[이름]:[위도]],2,FALSE),"-")</f>
        <v>-</v>
      </c>
      <c r="F285" s="61" t="str">
        <f>IFERROR(INDEX([1]Discovery!$AW:$AW,MATCH(표11[[#This Row],[해양 오브젝트]],[1]Discovery!$B:$B,0)),"-")</f>
        <v>특정 직업 항해사 보유</v>
      </c>
      <c r="G285" s="61" t="str">
        <f>IFERROR(INDEX([1]Discovery!$AY:$AY,MATCH(표11[[#This Row],[해양 오브젝트]],[1]Discovery!$B:$B,0)),"-")</f>
        <v>항해장</v>
      </c>
      <c r="H285" s="61">
        <f>IFERROR(INDEX([1]Discovery!$BA:$BA,MATCH(표11[[#This Row],[해양 오브젝트]],[1]Discovery!$B:$B,0)),"-")</f>
        <v>2</v>
      </c>
    </row>
    <row r="286" spans="2:8" x14ac:dyDescent="0.3">
      <c r="B286" s="61" t="str">
        <f>[2]OceanDoodad!Z291</f>
        <v>황산</v>
      </c>
      <c r="C286" s="61" t="str">
        <f>IFERROR(VLOOKUP(표11[[#This Row],[해양 오브젝트]],[3]!표1[[이름]:[선단 LV]],6,FALSE),"-")</f>
        <v>-</v>
      </c>
      <c r="D286" s="61" t="str">
        <f>IFERROR(VLOOKUP(표11[[#This Row],[해양 오브젝트]],[3]!표1[[이름]:[위도]],3,FALSE),"-")</f>
        <v>-</v>
      </c>
      <c r="E286" s="61" t="str">
        <f>IFERROR(VLOOKUP(표11[[#This Row],[해양 오브젝트]],[3]!표1[[이름]:[위도]],2,FALSE),"-")</f>
        <v>-</v>
      </c>
      <c r="F286" s="61" t="str">
        <f>IFERROR(INDEX([1]Discovery!$AW:$AW,MATCH(표11[[#This Row],[해양 오브젝트]],[1]Discovery!$B:$B,0)),"-")</f>
        <v>특정 계절</v>
      </c>
      <c r="G286" s="61" t="str">
        <f>IFERROR(INDEX([1]Discovery!$AY:$AY,MATCH(표11[[#This Row],[해양 오브젝트]],[1]Discovery!$B:$B,0)),"-")</f>
        <v>가을</v>
      </c>
      <c r="H286" s="61">
        <f>IFERROR(INDEX([1]Discovery!$BA:$BA,MATCH(표11[[#This Row],[해양 오브젝트]],[1]Discovery!$B:$B,0)),"-")</f>
        <v>1</v>
      </c>
    </row>
    <row r="287" spans="2:8" x14ac:dyDescent="0.3">
      <c r="B287" s="61" t="str">
        <f>[2]OceanDoodad!Z292</f>
        <v>밸런스드 락</v>
      </c>
      <c r="C287" s="61" t="str">
        <f>IFERROR(VLOOKUP(표11[[#This Row],[해양 오브젝트]],[3]!표1[[이름]:[선단 LV]],6,FALSE),"-")</f>
        <v>-</v>
      </c>
      <c r="D287" s="61" t="str">
        <f>IFERROR(VLOOKUP(표11[[#This Row],[해양 오브젝트]],[3]!표1[[이름]:[위도]],3,FALSE),"-")</f>
        <v>-</v>
      </c>
      <c r="E287" s="61" t="str">
        <f>IFERROR(VLOOKUP(표11[[#This Row],[해양 오브젝트]],[3]!표1[[이름]:[위도]],2,FALSE),"-")</f>
        <v>-</v>
      </c>
      <c r="F287" s="61" t="str">
        <f>IFERROR(INDEX([1]Discovery!$AW:$AW,MATCH(표11[[#This Row],[해양 오브젝트]],[1]Discovery!$B:$B,0)),"-")</f>
        <v>무조건 실패</v>
      </c>
      <c r="G287" s="61">
        <f>IFERROR(INDEX([1]Discovery!$AY:$AY,MATCH(표11[[#This Row],[해양 오브젝트]],[1]Discovery!$B:$B,0)),"-")</f>
        <v>0</v>
      </c>
      <c r="H287" s="61">
        <f>IFERROR(INDEX([1]Discovery!$BA:$BA,MATCH(표11[[#This Row],[해양 오브젝트]],[1]Discovery!$B:$B,0)),"-")</f>
        <v>1</v>
      </c>
    </row>
    <row r="288" spans="2:8" x14ac:dyDescent="0.3">
      <c r="B288" s="61" t="str">
        <f>[2]OceanDoodad!Z293</f>
        <v>달의 계곡</v>
      </c>
      <c r="C288" s="61" t="str">
        <f>IFERROR(VLOOKUP(표11[[#This Row],[해양 오브젝트]],[3]!표1[[이름]:[선단 LV]],6,FALSE),"-")</f>
        <v>-</v>
      </c>
      <c r="D288" s="61" t="str">
        <f>IFERROR(VLOOKUP(표11[[#This Row],[해양 오브젝트]],[3]!표1[[이름]:[위도]],3,FALSE),"-")</f>
        <v>-</v>
      </c>
      <c r="E288" s="61" t="str">
        <f>IFERROR(VLOOKUP(표11[[#This Row],[해양 오브젝트]],[3]!표1[[이름]:[위도]],2,FALSE),"-")</f>
        <v>-</v>
      </c>
      <c r="F288" s="61" t="str">
        <f>IFERROR(INDEX([1]Discovery!$AW:$AW,MATCH(표11[[#This Row],[해양 오브젝트]],[1]Discovery!$B:$B,0)),"-")</f>
        <v>특정 직업 항해사 보유</v>
      </c>
      <c r="G288" s="61" t="str">
        <f>IFERROR(INDEX([1]Discovery!$AY:$AY,MATCH(표11[[#This Row],[해양 오브젝트]],[1]Discovery!$B:$B,0)),"-")</f>
        <v>지리학자</v>
      </c>
      <c r="H288" s="61">
        <f>IFERROR(INDEX([1]Discovery!$BA:$BA,MATCH(표11[[#This Row],[해양 오브젝트]],[1]Discovery!$B:$B,0)),"-")</f>
        <v>7</v>
      </c>
    </row>
    <row r="289" spans="2:8" x14ac:dyDescent="0.3">
      <c r="B289" s="61" t="str">
        <f>[2]OceanDoodad!Z294</f>
        <v>스켈리그 마이클</v>
      </c>
      <c r="C289" s="61" t="str">
        <f>IFERROR(VLOOKUP(표11[[#This Row],[해양 오브젝트]],[3]!표1[[이름]:[선단 LV]],6,FALSE),"-")</f>
        <v>-</v>
      </c>
      <c r="D289" s="61" t="str">
        <f>IFERROR(VLOOKUP(표11[[#This Row],[해양 오브젝트]],[3]!표1[[이름]:[위도]],3,FALSE),"-")</f>
        <v>-</v>
      </c>
      <c r="E289" s="61" t="str">
        <f>IFERROR(VLOOKUP(표11[[#This Row],[해양 오브젝트]],[3]!표1[[이름]:[위도]],2,FALSE),"-")</f>
        <v>-</v>
      </c>
      <c r="F289" s="61" t="str">
        <f>IFERROR(INDEX([1]Discovery!$AW:$AW,MATCH(표11[[#This Row],[해양 오브젝트]],[1]Discovery!$B:$B,0)),"-")</f>
        <v>특정 직업 항해사 보유</v>
      </c>
      <c r="G289" s="61" t="str">
        <f>IFERROR(INDEX([1]Discovery!$AY:$AY,MATCH(표11[[#This Row],[해양 오브젝트]],[1]Discovery!$B:$B,0)),"-")</f>
        <v>지리학자</v>
      </c>
      <c r="H289" s="61">
        <f>IFERROR(INDEX([1]Discovery!$BA:$BA,MATCH(표11[[#This Row],[해양 오브젝트]],[1]Discovery!$B:$B,0)),"-")</f>
        <v>6</v>
      </c>
    </row>
    <row r="290" spans="2:8" x14ac:dyDescent="0.3">
      <c r="B290" s="61" t="str">
        <f>[2]OceanDoodad!Z295</f>
        <v>태산</v>
      </c>
      <c r="C290" s="61" t="str">
        <f>IFERROR(VLOOKUP(표11[[#This Row],[해양 오브젝트]],[3]!표1[[이름]:[선단 LV]],6,FALSE),"-")</f>
        <v>-</v>
      </c>
      <c r="D290" s="61" t="str">
        <f>IFERROR(VLOOKUP(표11[[#This Row],[해양 오브젝트]],[3]!표1[[이름]:[위도]],3,FALSE),"-")</f>
        <v>-</v>
      </c>
      <c r="E290" s="61" t="str">
        <f>IFERROR(VLOOKUP(표11[[#This Row],[해양 오브젝트]],[3]!표1[[이름]:[위도]],2,FALSE),"-")</f>
        <v>-</v>
      </c>
      <c r="F290" s="61" t="str">
        <f>IFERROR(INDEX([1]Discovery!$AW:$AW,MATCH(표11[[#This Row],[해양 오브젝트]],[1]Discovery!$B:$B,0)),"-")</f>
        <v>특정 직업 항해사 보유</v>
      </c>
      <c r="G290" s="61" t="str">
        <f>IFERROR(INDEX([1]Discovery!$AY:$AY,MATCH(표11[[#This Row],[해양 오브젝트]],[1]Discovery!$B:$B,0)),"-")</f>
        <v>탐험가</v>
      </c>
      <c r="H290" s="61">
        <f>IFERROR(INDEX([1]Discovery!$BA:$BA,MATCH(표11[[#This Row],[해양 오브젝트]],[1]Discovery!$B:$B,0)),"-")</f>
        <v>4</v>
      </c>
    </row>
    <row r="291" spans="2:8" x14ac:dyDescent="0.3">
      <c r="B291" s="61" t="str">
        <f>[2]OceanDoodad!Z296</f>
        <v>왓 프라시산펫</v>
      </c>
      <c r="C291" s="61" t="str">
        <f>IFERROR(VLOOKUP(표11[[#This Row],[해양 오브젝트]],[3]!표1[[이름]:[선단 LV]],6,FALSE),"-")</f>
        <v>-</v>
      </c>
      <c r="D291" s="61" t="str">
        <f>IFERROR(VLOOKUP(표11[[#This Row],[해양 오브젝트]],[3]!표1[[이름]:[위도]],3,FALSE),"-")</f>
        <v>-</v>
      </c>
      <c r="E291" s="61" t="str">
        <f>IFERROR(VLOOKUP(표11[[#This Row],[해양 오브젝트]],[3]!표1[[이름]:[위도]],2,FALSE),"-")</f>
        <v>-</v>
      </c>
      <c r="F291" s="61" t="str">
        <f>IFERROR(INDEX([1]Discovery!$AW:$AW,MATCH(표11[[#This Row],[해양 오브젝트]],[1]Discovery!$B:$B,0)),"-")</f>
        <v>특정 직업 항해사 보유</v>
      </c>
      <c r="G291" s="61" t="str">
        <f>IFERROR(INDEX([1]Discovery!$AY:$AY,MATCH(표11[[#This Row],[해양 오브젝트]],[1]Discovery!$B:$B,0)),"-")</f>
        <v>고고학자</v>
      </c>
      <c r="H291" s="61">
        <f>IFERROR(INDEX([1]Discovery!$BA:$BA,MATCH(표11[[#This Row],[해양 오브젝트]],[1]Discovery!$B:$B,0)),"-")</f>
        <v>1</v>
      </c>
    </row>
    <row r="292" spans="2:8" x14ac:dyDescent="0.3">
      <c r="B292" s="61" t="str">
        <f>[2]OceanDoodad!Z297</f>
        <v>슈웨다곤 파고다</v>
      </c>
      <c r="C292" s="61" t="str">
        <f>IFERROR(VLOOKUP(표11[[#This Row],[해양 오브젝트]],[3]!표1[[이름]:[선단 LV]],6,FALSE),"-")</f>
        <v>-</v>
      </c>
      <c r="D292" s="61" t="str">
        <f>IFERROR(VLOOKUP(표11[[#This Row],[해양 오브젝트]],[3]!표1[[이름]:[위도]],3,FALSE),"-")</f>
        <v>-</v>
      </c>
      <c r="E292" s="61" t="str">
        <f>IFERROR(VLOOKUP(표11[[#This Row],[해양 오브젝트]],[3]!표1[[이름]:[위도]],2,FALSE),"-")</f>
        <v>-</v>
      </c>
      <c r="F292" s="61" t="str">
        <f>IFERROR(INDEX([1]Discovery!$AW:$AW,MATCH(표11[[#This Row],[해양 오브젝트]],[1]Discovery!$B:$B,0)),"-")</f>
        <v>무조건 실패</v>
      </c>
      <c r="G292" s="61">
        <f>IFERROR(INDEX([1]Discovery!$AY:$AY,MATCH(표11[[#This Row],[해양 오브젝트]],[1]Discovery!$B:$B,0)),"-")</f>
        <v>0</v>
      </c>
      <c r="H292" s="61">
        <f>IFERROR(INDEX([1]Discovery!$BA:$BA,MATCH(표11[[#This Row],[해양 오브젝트]],[1]Discovery!$B:$B,0)),"-")</f>
        <v>1</v>
      </c>
    </row>
    <row r="293" spans="2:8" x14ac:dyDescent="0.3">
      <c r="B293" s="61" t="str">
        <f>[2]OceanDoodad!Z298</f>
        <v>아즈치성</v>
      </c>
      <c r="C293" s="61" t="str">
        <f>IFERROR(VLOOKUP(표11[[#This Row],[해양 오브젝트]],[3]!표1[[이름]:[선단 LV]],6,FALSE),"-")</f>
        <v>-</v>
      </c>
      <c r="D293" s="61" t="str">
        <f>IFERROR(VLOOKUP(표11[[#This Row],[해양 오브젝트]],[3]!표1[[이름]:[위도]],3,FALSE),"-")</f>
        <v>-</v>
      </c>
      <c r="E293" s="61" t="str">
        <f>IFERROR(VLOOKUP(표11[[#This Row],[해양 오브젝트]],[3]!표1[[이름]:[위도]],2,FALSE),"-")</f>
        <v>-</v>
      </c>
      <c r="F293" s="61" t="str">
        <f>IFERROR(INDEX([1]Discovery!$AW:$AW,MATCH(표11[[#This Row],[해양 오브젝트]],[1]Discovery!$B:$B,0)),"-")</f>
        <v>특정 국가 항해사 보유</v>
      </c>
      <c r="G293" s="61" t="str">
        <f>IFERROR(INDEX([1]Discovery!$AY:$AY,MATCH(표11[[#This Row],[해양 오브젝트]],[1]Discovery!$B:$B,0)),"-")</f>
        <v>일본</v>
      </c>
      <c r="H293" s="61">
        <f>IFERROR(INDEX([1]Discovery!$BA:$BA,MATCH(표11[[#This Row],[해양 오브젝트]],[1]Discovery!$B:$B,0)),"-")</f>
        <v>4</v>
      </c>
    </row>
    <row r="294" spans="2:8" x14ac:dyDescent="0.3">
      <c r="B294" s="61" t="str">
        <f>[2]OceanDoodad!Z299</f>
        <v>카파도키아 동굴수도원</v>
      </c>
      <c r="C294" s="61" t="str">
        <f>IFERROR(VLOOKUP(표11[[#This Row],[해양 오브젝트]],[3]!표1[[이름]:[선단 LV]],6,FALSE),"-")</f>
        <v>-</v>
      </c>
      <c r="D294" s="61" t="str">
        <f>IFERROR(VLOOKUP(표11[[#This Row],[해양 오브젝트]],[3]!표1[[이름]:[위도]],3,FALSE),"-")</f>
        <v>-</v>
      </c>
      <c r="E294" s="61" t="str">
        <f>IFERROR(VLOOKUP(표11[[#This Row],[해양 오브젝트]],[3]!표1[[이름]:[위도]],2,FALSE),"-")</f>
        <v>-</v>
      </c>
      <c r="F294" s="61">
        <f>IFERROR(INDEX([1]Discovery!$AW:$AW,MATCH(표11[[#This Row],[해양 오브젝트]],[1]Discovery!$B:$B,0)),"-")</f>
        <v>0</v>
      </c>
      <c r="G294" s="61">
        <f>IFERROR(INDEX([1]Discovery!$AY:$AY,MATCH(표11[[#This Row],[해양 오브젝트]],[1]Discovery!$B:$B,0)),"-")</f>
        <v>0</v>
      </c>
      <c r="H294" s="61">
        <f>IFERROR(INDEX([1]Discovery!$BA:$BA,MATCH(표11[[#This Row],[해양 오브젝트]],[1]Discovery!$B:$B,0)),"-")</f>
        <v>0</v>
      </c>
    </row>
    <row r="295" spans="2:8" x14ac:dyDescent="0.3">
      <c r="B295" s="61" t="str">
        <f>[2]OceanDoodad!Z300</f>
        <v>파르테논 신전</v>
      </c>
      <c r="C295" s="61" t="str">
        <f>IFERROR(VLOOKUP(표11[[#This Row],[해양 오브젝트]],[3]!표1[[이름]:[선단 LV]],6,FALSE),"-")</f>
        <v>-</v>
      </c>
      <c r="D295" s="61" t="str">
        <f>IFERROR(VLOOKUP(표11[[#This Row],[해양 오브젝트]],[3]!표1[[이름]:[위도]],3,FALSE),"-")</f>
        <v>-</v>
      </c>
      <c r="E295" s="61" t="str">
        <f>IFERROR(VLOOKUP(표11[[#This Row],[해양 오브젝트]],[3]!표1[[이름]:[위도]],2,FALSE),"-")</f>
        <v>-</v>
      </c>
      <c r="F295" s="61" t="str">
        <f>IFERROR(INDEX([1]Discovery!$AW:$AW,MATCH(표11[[#This Row],[해양 오브젝트]],[1]Discovery!$B:$B,0)),"-")</f>
        <v>무조건 실패</v>
      </c>
      <c r="G295" s="61">
        <f>IFERROR(INDEX([1]Discovery!$AY:$AY,MATCH(표11[[#This Row],[해양 오브젝트]],[1]Discovery!$B:$B,0)),"-")</f>
        <v>0</v>
      </c>
      <c r="H295" s="61">
        <f>IFERROR(INDEX([1]Discovery!$BA:$BA,MATCH(표11[[#This Row],[해양 오브젝트]],[1]Discovery!$B:$B,0)),"-")</f>
        <v>1</v>
      </c>
    </row>
    <row r="296" spans="2:8" x14ac:dyDescent="0.3">
      <c r="B296" s="61" t="str">
        <f>[2]OceanDoodad!Z301</f>
        <v>마니오의 거석</v>
      </c>
      <c r="C296" s="61" t="str">
        <f>IFERROR(VLOOKUP(표11[[#This Row],[해양 오브젝트]],[3]!표1[[이름]:[선단 LV]],6,FALSE),"-")</f>
        <v>-</v>
      </c>
      <c r="D296" s="61" t="str">
        <f>IFERROR(VLOOKUP(표11[[#This Row],[해양 오브젝트]],[3]!표1[[이름]:[위도]],3,FALSE),"-")</f>
        <v>-</v>
      </c>
      <c r="E296" s="61" t="str">
        <f>IFERROR(VLOOKUP(표11[[#This Row],[해양 오브젝트]],[3]!표1[[이름]:[위도]],2,FALSE),"-")</f>
        <v>-</v>
      </c>
      <c r="F296" s="61" t="str">
        <f>IFERROR(INDEX([1]Discovery!$AW:$AW,MATCH(표11[[#This Row],[해양 오브젝트]],[1]Discovery!$B:$B,0)),"-")</f>
        <v>특정 직업 항해사 보유</v>
      </c>
      <c r="G296" s="61" t="str">
        <f>IFERROR(INDEX([1]Discovery!$AY:$AY,MATCH(표11[[#This Row],[해양 오브젝트]],[1]Discovery!$B:$B,0)),"-")</f>
        <v>고고학자</v>
      </c>
      <c r="H296" s="61">
        <f>IFERROR(INDEX([1]Discovery!$BA:$BA,MATCH(표11[[#This Row],[해양 오브젝트]],[1]Discovery!$B:$B,0)),"-")</f>
        <v>1</v>
      </c>
    </row>
    <row r="297" spans="2:8" x14ac:dyDescent="0.3">
      <c r="B297" s="61" t="str">
        <f>[2]OceanDoodad!Z302</f>
        <v>누라게</v>
      </c>
      <c r="C297" s="61" t="str">
        <f>IFERROR(VLOOKUP(표11[[#This Row],[해양 오브젝트]],[3]!표1[[이름]:[선단 LV]],6,FALSE),"-")</f>
        <v>-</v>
      </c>
      <c r="D297" s="61" t="str">
        <f>IFERROR(VLOOKUP(표11[[#This Row],[해양 오브젝트]],[3]!표1[[이름]:[위도]],3,FALSE),"-")</f>
        <v>-</v>
      </c>
      <c r="E297" s="61" t="str">
        <f>IFERROR(VLOOKUP(표11[[#This Row],[해양 오브젝트]],[3]!표1[[이름]:[위도]],2,FALSE),"-")</f>
        <v>-</v>
      </c>
      <c r="F297" s="61">
        <f>IFERROR(INDEX([1]Discovery!$AW:$AW,MATCH(표11[[#This Row],[해양 오브젝트]],[1]Discovery!$B:$B,0)),"-")</f>
        <v>0</v>
      </c>
      <c r="G297" s="61">
        <f>IFERROR(INDEX([1]Discovery!$AY:$AY,MATCH(표11[[#This Row],[해양 오브젝트]],[1]Discovery!$B:$B,0)),"-")</f>
        <v>0</v>
      </c>
      <c r="H297" s="61">
        <f>IFERROR(INDEX([1]Discovery!$BA:$BA,MATCH(표11[[#This Row],[해양 오브젝트]],[1]Discovery!$B:$B,0)),"-")</f>
        <v>0</v>
      </c>
    </row>
    <row r="298" spans="2:8" x14ac:dyDescent="0.3">
      <c r="B298" s="61" t="str">
        <f>[2]OceanDoodad!Z303</f>
        <v>알타미라 동굴</v>
      </c>
      <c r="C298" s="61" t="str">
        <f>IFERROR(VLOOKUP(표11[[#This Row],[해양 오브젝트]],[3]!표1[[이름]:[선단 LV]],6,FALSE),"-")</f>
        <v>-</v>
      </c>
      <c r="D298" s="61" t="str">
        <f>IFERROR(VLOOKUP(표11[[#This Row],[해양 오브젝트]],[3]!표1[[이름]:[위도]],3,FALSE),"-")</f>
        <v>-</v>
      </c>
      <c r="E298" s="61" t="str">
        <f>IFERROR(VLOOKUP(표11[[#This Row],[해양 오브젝트]],[3]!표1[[이름]:[위도]],2,FALSE),"-")</f>
        <v>-</v>
      </c>
      <c r="F298" s="61" t="str">
        <f>IFERROR(INDEX([1]Discovery!$AW:$AW,MATCH(표11[[#This Row],[해양 오브젝트]],[1]Discovery!$B:$B,0)),"-")</f>
        <v>특정 직업 항해사 보유</v>
      </c>
      <c r="G298" s="61" t="str">
        <f>IFERROR(INDEX([1]Discovery!$AY:$AY,MATCH(표11[[#This Row],[해양 오브젝트]],[1]Discovery!$B:$B,0)),"-")</f>
        <v>고고학자</v>
      </c>
      <c r="H298" s="61">
        <f>IFERROR(INDEX([1]Discovery!$BA:$BA,MATCH(표11[[#This Row],[해양 오브젝트]],[1]Discovery!$B:$B,0)),"-")</f>
        <v>1</v>
      </c>
    </row>
    <row r="299" spans="2:8" x14ac:dyDescent="0.3">
      <c r="B299" s="61" t="str">
        <f>[2]OceanDoodad!Z304</f>
        <v>알다브라 환초</v>
      </c>
      <c r="C299" s="61" t="str">
        <f>IFERROR(VLOOKUP(표11[[#This Row],[해양 오브젝트]],[3]!표1[[이름]:[선단 LV]],6,FALSE),"-")</f>
        <v>-</v>
      </c>
      <c r="D299" s="61" t="str">
        <f>IFERROR(VLOOKUP(표11[[#This Row],[해양 오브젝트]],[3]!표1[[이름]:[위도]],3,FALSE),"-")</f>
        <v>-</v>
      </c>
      <c r="E299" s="61" t="str">
        <f>IFERROR(VLOOKUP(표11[[#This Row],[해양 오브젝트]],[3]!표1[[이름]:[위도]],2,FALSE),"-")</f>
        <v>-</v>
      </c>
      <c r="F299" s="61" t="str">
        <f>IFERROR(INDEX([1]Discovery!$AW:$AW,MATCH(표11[[#This Row],[해양 오브젝트]],[1]Discovery!$B:$B,0)),"-")</f>
        <v>무조건 실패</v>
      </c>
      <c r="G299" s="61">
        <f>IFERROR(INDEX([1]Discovery!$AY:$AY,MATCH(표11[[#This Row],[해양 오브젝트]],[1]Discovery!$B:$B,0)),"-")</f>
        <v>0</v>
      </c>
      <c r="H299" s="61">
        <f>IFERROR(INDEX([1]Discovery!$BA:$BA,MATCH(표11[[#This Row],[해양 오브젝트]],[1]Discovery!$B:$B,0)),"-")</f>
        <v>1</v>
      </c>
    </row>
    <row r="300" spans="2:8" x14ac:dyDescent="0.3">
      <c r="B300" s="61" t="str">
        <f>[2]OceanDoodad!Z305</f>
        <v>악숨 석주군</v>
      </c>
      <c r="C300" s="61" t="str">
        <f>IFERROR(VLOOKUP(표11[[#This Row],[해양 오브젝트]],[3]!표1[[이름]:[선단 LV]],6,FALSE),"-")</f>
        <v>-</v>
      </c>
      <c r="D300" s="61" t="str">
        <f>IFERROR(VLOOKUP(표11[[#This Row],[해양 오브젝트]],[3]!표1[[이름]:[위도]],3,FALSE),"-")</f>
        <v>-</v>
      </c>
      <c r="E300" s="61" t="str">
        <f>IFERROR(VLOOKUP(표11[[#This Row],[해양 오브젝트]],[3]!표1[[이름]:[위도]],2,FALSE),"-")</f>
        <v>-</v>
      </c>
      <c r="F300" s="61" t="str">
        <f>IFERROR(INDEX([1]Discovery!$AW:$AW,MATCH(표11[[#This Row],[해양 오브젝트]],[1]Discovery!$B:$B,0)),"-")</f>
        <v>무조건 실패</v>
      </c>
      <c r="G300" s="61">
        <f>IFERROR(INDEX([1]Discovery!$AY:$AY,MATCH(표11[[#This Row],[해양 오브젝트]],[1]Discovery!$B:$B,0)),"-")</f>
        <v>0</v>
      </c>
      <c r="H300" s="61">
        <f>IFERROR(INDEX([1]Discovery!$BA:$BA,MATCH(표11[[#This Row],[해양 오브젝트]],[1]Discovery!$B:$B,0)),"-")</f>
        <v>1</v>
      </c>
    </row>
    <row r="301" spans="2:8" x14ac:dyDescent="0.3">
      <c r="B301" s="61" t="str">
        <f>[2]OceanDoodad!Z306</f>
        <v>리스타팔렛 폭포</v>
      </c>
      <c r="C301" s="61" t="str">
        <f>IFERROR(VLOOKUP(표11[[#This Row],[해양 오브젝트]],[3]!표1[[이름]:[선단 LV]],6,FALSE),"-")</f>
        <v>-</v>
      </c>
      <c r="D301" s="61" t="str">
        <f>IFERROR(VLOOKUP(표11[[#This Row],[해양 오브젝트]],[3]!표1[[이름]:[위도]],3,FALSE),"-")</f>
        <v>-</v>
      </c>
      <c r="E301" s="61" t="str">
        <f>IFERROR(VLOOKUP(표11[[#This Row],[해양 오브젝트]],[3]!표1[[이름]:[위도]],2,FALSE),"-")</f>
        <v>-</v>
      </c>
      <c r="F301" s="61" t="str">
        <f>IFERROR(INDEX([1]Discovery!$AW:$AW,MATCH(표11[[#This Row],[해양 오브젝트]],[1]Discovery!$B:$B,0)),"-")</f>
        <v>특정 직업 항해사 보유</v>
      </c>
      <c r="G301" s="61" t="str">
        <f>IFERROR(INDEX([1]Discovery!$AY:$AY,MATCH(표11[[#This Row],[해양 오브젝트]],[1]Discovery!$B:$B,0)),"-")</f>
        <v>지리학자</v>
      </c>
      <c r="H301" s="61">
        <f>IFERROR(INDEX([1]Discovery!$BA:$BA,MATCH(표11[[#This Row],[해양 오브젝트]],[1]Discovery!$B:$B,0)),"-")</f>
        <v>6</v>
      </c>
    </row>
    <row r="302" spans="2:8" x14ac:dyDescent="0.3">
      <c r="B302" s="61" t="str">
        <f>[2]OceanDoodad!Z307</f>
        <v>테노치티틀란</v>
      </c>
      <c r="C302" s="61" t="str">
        <f>IFERROR(VLOOKUP(표11[[#This Row],[해양 오브젝트]],[3]!표1[[이름]:[선단 LV]],6,FALSE),"-")</f>
        <v>-</v>
      </c>
      <c r="D302" s="61" t="str">
        <f>IFERROR(VLOOKUP(표11[[#This Row],[해양 오브젝트]],[3]!표1[[이름]:[위도]],3,FALSE),"-")</f>
        <v>-</v>
      </c>
      <c r="E302" s="61" t="str">
        <f>IFERROR(VLOOKUP(표11[[#This Row],[해양 오브젝트]],[3]!표1[[이름]:[위도]],2,FALSE),"-")</f>
        <v>-</v>
      </c>
      <c r="F302" s="61">
        <f>IFERROR(INDEX([1]Discovery!$AW:$AW,MATCH(표11[[#This Row],[해양 오브젝트]],[1]Discovery!$B:$B,0)),"-")</f>
        <v>0</v>
      </c>
      <c r="G302" s="61">
        <f>IFERROR(INDEX([1]Discovery!$AY:$AY,MATCH(표11[[#This Row],[해양 오브젝트]],[1]Discovery!$B:$B,0)),"-")</f>
        <v>0</v>
      </c>
      <c r="H302" s="61">
        <f>IFERROR(INDEX([1]Discovery!$BA:$BA,MATCH(표11[[#This Row],[해양 오브젝트]],[1]Discovery!$B:$B,0)),"-")</f>
        <v>0</v>
      </c>
    </row>
    <row r="303" spans="2:8" x14ac:dyDescent="0.3">
      <c r="B303" s="61" t="str">
        <f>[2]OceanDoodad!Z308</f>
        <v>콜로세움</v>
      </c>
      <c r="C303" s="61" t="str">
        <f>IFERROR(VLOOKUP(표11[[#This Row],[해양 오브젝트]],[3]!표1[[이름]:[선단 LV]],6,FALSE),"-")</f>
        <v>-</v>
      </c>
      <c r="D303" s="61" t="str">
        <f>IFERROR(VLOOKUP(표11[[#This Row],[해양 오브젝트]],[3]!표1[[이름]:[위도]],3,FALSE),"-")</f>
        <v>-</v>
      </c>
      <c r="E303" s="61" t="str">
        <f>IFERROR(VLOOKUP(표11[[#This Row],[해양 오브젝트]],[3]!표1[[이름]:[위도]],2,FALSE),"-")</f>
        <v>-</v>
      </c>
      <c r="F303" s="61" t="str">
        <f>IFERROR(INDEX([1]Discovery!$AW:$AW,MATCH(표11[[#This Row],[해양 오브젝트]],[1]Discovery!$B:$B,0)),"-")</f>
        <v>특정 직업 항해사 보유</v>
      </c>
      <c r="G303" s="61" t="str">
        <f>IFERROR(INDEX([1]Discovery!$AY:$AY,MATCH(표11[[#This Row],[해양 오브젝트]],[1]Discovery!$B:$B,0)),"-")</f>
        <v>고고학자</v>
      </c>
      <c r="H303" s="61">
        <f>IFERROR(INDEX([1]Discovery!$BA:$BA,MATCH(표11[[#This Row],[해양 오브젝트]],[1]Discovery!$B:$B,0)),"-")</f>
        <v>2</v>
      </c>
    </row>
    <row r="304" spans="2:8" x14ac:dyDescent="0.3">
      <c r="B304" s="61" t="str">
        <f>[2]OceanDoodad!Z309</f>
        <v>보링 포센</v>
      </c>
      <c r="C304" s="61" t="str">
        <f>IFERROR(VLOOKUP(표11[[#This Row],[해양 오브젝트]],[3]!표1[[이름]:[선단 LV]],6,FALSE),"-")</f>
        <v>-</v>
      </c>
      <c r="D304" s="61" t="str">
        <f>IFERROR(VLOOKUP(표11[[#This Row],[해양 오브젝트]],[3]!표1[[이름]:[위도]],3,FALSE),"-")</f>
        <v>-</v>
      </c>
      <c r="E304" s="61" t="str">
        <f>IFERROR(VLOOKUP(표11[[#This Row],[해양 오브젝트]],[3]!표1[[이름]:[위도]],2,FALSE),"-")</f>
        <v>-</v>
      </c>
      <c r="F304" s="61">
        <f>IFERROR(INDEX([1]Discovery!$AW:$AW,MATCH(표11[[#This Row],[해양 오브젝트]],[1]Discovery!$B:$B,0)),"-")</f>
        <v>0</v>
      </c>
      <c r="G304" s="61">
        <f>IFERROR(INDEX([1]Discovery!$AY:$AY,MATCH(표11[[#This Row],[해양 오브젝트]],[1]Discovery!$B:$B,0)),"-")</f>
        <v>0</v>
      </c>
      <c r="H304" s="61">
        <f>IFERROR(INDEX([1]Discovery!$BA:$BA,MATCH(표11[[#This Row],[해양 오브젝트]],[1]Discovery!$B:$B,0)),"-")</f>
        <v>0</v>
      </c>
    </row>
    <row r="305" spans="2:8" x14ac:dyDescent="0.3">
      <c r="B305" s="61" t="str">
        <f>[2]OceanDoodad!Z310</f>
        <v>에러버스 산</v>
      </c>
      <c r="C305" s="61" t="str">
        <f>IFERROR(VLOOKUP(표11[[#This Row],[해양 오브젝트]],[3]!표1[[이름]:[선단 LV]],6,FALSE),"-")</f>
        <v>-</v>
      </c>
      <c r="D305" s="61" t="str">
        <f>IFERROR(VLOOKUP(표11[[#This Row],[해양 오브젝트]],[3]!표1[[이름]:[위도]],3,FALSE),"-")</f>
        <v>-</v>
      </c>
      <c r="E305" s="61" t="str">
        <f>IFERROR(VLOOKUP(표11[[#This Row],[해양 오브젝트]],[3]!표1[[이름]:[위도]],2,FALSE),"-")</f>
        <v>-</v>
      </c>
      <c r="F305" s="61" t="str">
        <f>IFERROR(INDEX([1]Discovery!$AW:$AW,MATCH(표11[[#This Row],[해양 오브젝트]],[1]Discovery!$B:$B,0)),"-")</f>
        <v>특정 직업 항해사 보유</v>
      </c>
      <c r="G305" s="61" t="str">
        <f>IFERROR(INDEX([1]Discovery!$AY:$AY,MATCH(표11[[#This Row],[해양 오브젝트]],[1]Discovery!$B:$B,0)),"-")</f>
        <v>탐험가</v>
      </c>
      <c r="H305" s="61">
        <f>IFERROR(INDEX([1]Discovery!$BA:$BA,MATCH(표11[[#This Row],[해양 오브젝트]],[1]Discovery!$B:$B,0)),"-")</f>
        <v>5</v>
      </c>
    </row>
    <row r="306" spans="2:8" x14ac:dyDescent="0.3">
      <c r="B306" s="61" t="str">
        <f>[2]OceanDoodad!Z311</f>
        <v>시들리 산</v>
      </c>
      <c r="C306" s="61" t="str">
        <f>IFERROR(VLOOKUP(표11[[#This Row],[해양 오브젝트]],[3]!표1[[이름]:[선단 LV]],6,FALSE),"-")</f>
        <v>-</v>
      </c>
      <c r="D306" s="61" t="str">
        <f>IFERROR(VLOOKUP(표11[[#This Row],[해양 오브젝트]],[3]!표1[[이름]:[위도]],3,FALSE),"-")</f>
        <v>-</v>
      </c>
      <c r="E306" s="61" t="str">
        <f>IFERROR(VLOOKUP(표11[[#This Row],[해양 오브젝트]],[3]!표1[[이름]:[위도]],2,FALSE),"-")</f>
        <v>-</v>
      </c>
      <c r="F306" s="61" t="str">
        <f>IFERROR(INDEX([1]Discovery!$AW:$AW,MATCH(표11[[#This Row],[해양 오브젝트]],[1]Discovery!$B:$B,0)),"-")</f>
        <v>무조건 실패</v>
      </c>
      <c r="G306" s="61">
        <f>IFERROR(INDEX([1]Discovery!$AY:$AY,MATCH(표11[[#This Row],[해양 오브젝트]],[1]Discovery!$B:$B,0)),"-")</f>
        <v>0</v>
      </c>
      <c r="H306" s="61">
        <f>IFERROR(INDEX([1]Discovery!$BA:$BA,MATCH(표11[[#This Row],[해양 오브젝트]],[1]Discovery!$B:$B,0)),"-")</f>
        <v>1</v>
      </c>
    </row>
    <row r="307" spans="2:8" x14ac:dyDescent="0.3">
      <c r="B307" s="61" t="str">
        <f>[2]OceanDoodad!Z312</f>
        <v>신비한 장벽</v>
      </c>
      <c r="C307" s="61" t="str">
        <f>IFERROR(VLOOKUP(표11[[#This Row],[해양 오브젝트]],[3]!표1[[이름]:[선단 LV]],6,FALSE),"-")</f>
        <v>-</v>
      </c>
      <c r="D307" s="61" t="str">
        <f>IFERROR(VLOOKUP(표11[[#This Row],[해양 오브젝트]],[3]!표1[[이름]:[위도]],3,FALSE),"-")</f>
        <v>-</v>
      </c>
      <c r="E307" s="61" t="str">
        <f>IFERROR(VLOOKUP(표11[[#This Row],[해양 오브젝트]],[3]!표1[[이름]:[위도]],2,FALSE),"-")</f>
        <v>-</v>
      </c>
      <c r="F307" s="61" t="str">
        <f>IFERROR(INDEX([1]Discovery!$AW:$AW,MATCH(표11[[#This Row],[해양 오브젝트]],[1]Discovery!$B:$B,0)),"-")</f>
        <v>무조건 실패</v>
      </c>
      <c r="G307" s="61">
        <f>IFERROR(INDEX([1]Discovery!$AY:$AY,MATCH(표11[[#This Row],[해양 오브젝트]],[1]Discovery!$B:$B,0)),"-")</f>
        <v>0</v>
      </c>
      <c r="H307" s="61">
        <f>IFERROR(INDEX([1]Discovery!$BA:$BA,MATCH(표11[[#This Row],[해양 오브젝트]],[1]Discovery!$B:$B,0)),"-")</f>
        <v>1</v>
      </c>
    </row>
  </sheetData>
  <phoneticPr fontId="1" type="noConversion"/>
  <conditionalFormatting sqref="C3:C30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A152-7357-4CDE-9DC7-02B4076C0446}">
  <sheetPr>
    <tabColor rgb="FFFFC000"/>
  </sheetPr>
  <dimension ref="B2:AB136"/>
  <sheetViews>
    <sheetView showGridLines="0" workbookViewId="0">
      <selection activeCell="E19" sqref="E19"/>
    </sheetView>
  </sheetViews>
  <sheetFormatPr defaultRowHeight="16.5" x14ac:dyDescent="0.3"/>
  <cols>
    <col min="1" max="1" width="3.75" customWidth="1"/>
    <col min="2" max="2" width="22" bestFit="1" customWidth="1"/>
    <col min="3" max="3" width="22" hidden="1" customWidth="1"/>
    <col min="4" max="4" width="13.875" bestFit="1" customWidth="1"/>
    <col min="7" max="7" width="24.125" customWidth="1"/>
    <col min="8" max="8" width="13.75" hidden="1" customWidth="1"/>
    <col min="9" max="9" width="13.75" customWidth="1"/>
    <col min="10" max="10" width="24.125" customWidth="1"/>
    <col min="11" max="11" width="24.125" hidden="1" customWidth="1"/>
    <col min="12" max="12" width="11.875" bestFit="1" customWidth="1"/>
    <col min="13" max="13" width="24.125" customWidth="1"/>
    <col min="14" max="14" width="13.75" hidden="1" customWidth="1"/>
    <col min="15" max="15" width="11.875" bestFit="1" customWidth="1"/>
    <col min="16" max="16" width="24.125" customWidth="1"/>
    <col min="17" max="17" width="13.75" hidden="1" customWidth="1"/>
    <col min="18" max="18" width="11.875" bestFit="1" customWidth="1"/>
    <col min="19" max="19" width="24.125" customWidth="1"/>
    <col min="20" max="20" width="0" hidden="1" customWidth="1"/>
    <col min="21" max="21" width="11.875" bestFit="1" customWidth="1"/>
    <col min="22" max="22" width="20.375" bestFit="1" customWidth="1"/>
    <col min="23" max="23" width="0" hidden="1" customWidth="1"/>
    <col min="24" max="24" width="11.875" bestFit="1" customWidth="1"/>
    <col min="25" max="25" width="17.5" bestFit="1" customWidth="1"/>
    <col min="26" max="26" width="0" hidden="1" customWidth="1"/>
    <col min="27" max="27" width="11.875" bestFit="1" customWidth="1"/>
  </cols>
  <sheetData>
    <row r="2" spans="2:28" x14ac:dyDescent="0.3">
      <c r="B2" s="1" t="s">
        <v>128</v>
      </c>
      <c r="C2" s="1" t="s">
        <v>357</v>
      </c>
      <c r="D2" s="1" t="s">
        <v>132</v>
      </c>
      <c r="E2" s="1" t="s">
        <v>153</v>
      </c>
      <c r="F2" s="1" t="s">
        <v>152</v>
      </c>
      <c r="G2" s="1" t="s">
        <v>154</v>
      </c>
      <c r="H2" s="1" t="s">
        <v>358</v>
      </c>
      <c r="I2" s="1" t="s">
        <v>359</v>
      </c>
      <c r="J2" s="1" t="s">
        <v>155</v>
      </c>
      <c r="K2" s="1" t="s">
        <v>194</v>
      </c>
      <c r="L2" s="1" t="s">
        <v>188</v>
      </c>
      <c r="M2" s="1" t="s">
        <v>156</v>
      </c>
      <c r="N2" s="1" t="s">
        <v>195</v>
      </c>
      <c r="O2" s="1" t="s">
        <v>189</v>
      </c>
      <c r="P2" s="1" t="s">
        <v>157</v>
      </c>
      <c r="Q2" s="1" t="s">
        <v>196</v>
      </c>
      <c r="R2" s="1" t="s">
        <v>190</v>
      </c>
      <c r="S2" s="1" t="s">
        <v>158</v>
      </c>
      <c r="T2" s="1" t="s">
        <v>197</v>
      </c>
      <c r="U2" s="1" t="s">
        <v>191</v>
      </c>
      <c r="V2" s="1" t="s">
        <v>159</v>
      </c>
      <c r="W2" s="1" t="s">
        <v>198</v>
      </c>
      <c r="X2" s="1" t="s">
        <v>192</v>
      </c>
      <c r="Y2" s="1" t="s">
        <v>160</v>
      </c>
      <c r="Z2" s="1" t="s">
        <v>360</v>
      </c>
      <c r="AA2" s="1" t="s">
        <v>361</v>
      </c>
    </row>
    <row r="3" spans="2:28" x14ac:dyDescent="0.3">
      <c r="B3" s="39" t="str">
        <f>[1]LandExplore!E9</f>
        <v>리스보아 부근</v>
      </c>
      <c r="C3" s="39" t="str">
        <f>INDEX([1]LandExplore!$B:$B,MATCH(표8[[#This Row],[육지]],[1]LandExplore!$E:$E,0))</f>
        <v>##이베리아</v>
      </c>
      <c r="D3" s="39" t="str">
        <f>IFERROR(VLOOKUP(표8[[#This Row],[육지]],[3]!표1_6[[이름]:[선단 LV]],6,FALSE),"-")</f>
        <v>-</v>
      </c>
      <c r="E3" s="39" t="str">
        <f>IFERROR(VLOOKUP(표8[[#This Row],[육지]],[3]!표1_6[[이름]:[위도]],3,FALSE),"-")</f>
        <v>-</v>
      </c>
      <c r="F3" s="39" t="str">
        <f>IFERROR(VLOOKUP(표8[[#This Row],[육지]],[3]!표1_6[[이름]:[위도]],2,FALSE),"-")</f>
        <v>-</v>
      </c>
      <c r="G3" s="39" t="str">
        <f>INDEX([1]AdventureDiscoveryGroup!$D:$D,MATCH(표8[[#This Row],[열1]],[1]AdventureDiscoveryGroup!$B:$B,0))</f>
        <v>리스보아 부근</v>
      </c>
      <c r="H3" s="70" t="str">
        <f>IFERROR(INT(1000/POWER(1.5,VLOOKUP(G3,[1]Discovery!$B:$H,7,FALSE)^1.6)),"-")</f>
        <v>-</v>
      </c>
      <c r="I3" s="71" t="str">
        <f>IFERROR(표8[[#This Row],[배당'[0']]]/$AB3,"-")</f>
        <v>-</v>
      </c>
      <c r="J3" s="39" t="b">
        <f>INDEX([1]AdventureDiscoveryGroup!$I:$I,MATCH(표8[[#This Row],[열1]],[1]AdventureDiscoveryGroup!$B:$B,0))</f>
        <v>0</v>
      </c>
      <c r="K3" s="70" t="str">
        <f>IFERROR(INT(1000/POWER(1.5,VLOOKUP(J3,[1]Discovery!$B:$H,7,FALSE)^1.6)),"-")</f>
        <v>-</v>
      </c>
      <c r="L3" s="71" t="str">
        <f>IFERROR(표8[[#This Row],[배당'[1']]]/$AB3,"-")</f>
        <v>-</v>
      </c>
      <c r="M3" s="39" t="b">
        <f>INDEX([1]AdventureDiscoveryGroup!$N:$N,MATCH(표8[[#This Row],[열1]],[1]AdventureDiscoveryGroup!$B:$B,0))</f>
        <v>0</v>
      </c>
      <c r="N3" s="70" t="str">
        <f>IFERROR(INT(1000/POWER(1.5,VLOOKUP(M3,[1]Discovery!$B:$H,7,FALSE)^1.6)),"-")</f>
        <v>-</v>
      </c>
      <c r="O3" s="71" t="str">
        <f>IFERROR(표8[[#This Row],[배당'[2']]]/$AB3,"-")</f>
        <v>-</v>
      </c>
      <c r="P3" s="39" t="b">
        <f>INDEX([1]AdventureDiscoveryGroup!$S:$S,MATCH(표8[[#This Row],[열1]],[1]AdventureDiscoveryGroup!$B:$B,0))</f>
        <v>0</v>
      </c>
      <c r="Q3" s="70" t="str">
        <f>IFERROR(INT(1000/POWER(1.5,VLOOKUP(P3,[1]Discovery!$B:$H,7,FALSE)^1.6)),"-")</f>
        <v>-</v>
      </c>
      <c r="R3" s="71" t="str">
        <f>IFERROR(표8[[#This Row],[배당'[3']]]/$AB3,"-")</f>
        <v>-</v>
      </c>
      <c r="S3" s="39" t="b">
        <f>INDEX([1]AdventureDiscoveryGroup!$X:$X,MATCH(표8[[#This Row],[열1]],[1]AdventureDiscoveryGroup!$B:$B,0))</f>
        <v>0</v>
      </c>
      <c r="T3" s="70" t="str">
        <f>IFERROR(INT(1000/POWER(1.5,VLOOKUP(S3,[1]Discovery!$B:$H,7,FALSE)^1.6)),"-")</f>
        <v>-</v>
      </c>
      <c r="U3" s="71" t="str">
        <f>IFERROR(표8[[#This Row],[배당'[4']]]/$AB3,"-")</f>
        <v>-</v>
      </c>
      <c r="V3" s="69" t="b">
        <f>INDEX([1]AdventureDiscoveryGroup!$AC:$AC,MATCH(표8[[#This Row],[열1]],[1]AdventureDiscoveryGroup!$B:$B,0))</f>
        <v>0</v>
      </c>
      <c r="W3" s="70" t="str">
        <f>IFERROR(INT(1000/POWER(1.5,VLOOKUP(V3,[1]Discovery!$B:$H,7,FALSE)^1.6)),"-")</f>
        <v>-</v>
      </c>
      <c r="X3" s="71" t="str">
        <f>IFERROR(표8[[#This Row],[배당'[5']]]/$AB3,"-")</f>
        <v>-</v>
      </c>
      <c r="Y3" s="69" t="b">
        <f>INDEX([1]AdventureDiscoveryGroup!$AH:$AH,MATCH(표8[[#This Row],[열1]],[1]AdventureDiscoveryGroup!$B:$B,0))</f>
        <v>0</v>
      </c>
      <c r="Z3" s="70" t="str">
        <f>IFERROR(INT(1000/POWER(1.5,VLOOKUP(Y3,[1]Discovery!$B:$H,7,FALSE)^1.6)),"-")</f>
        <v>-</v>
      </c>
      <c r="AA3" s="74" t="str">
        <f>IFERROR(표8[[#This Row],[배당'[6']]]/$AB3,"-")</f>
        <v>-</v>
      </c>
      <c r="AB3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4" spans="2:28" x14ac:dyDescent="0.3">
      <c r="B4" s="39" t="str">
        <f>[1]LandExplore!E10</f>
        <v>마르세유 부근</v>
      </c>
      <c r="C4" s="39" t="str">
        <f>INDEX([1]LandExplore!$B:$B,MATCH(표8[[#This Row],[육지]],[1]LandExplore!$E:$E,0))</f>
        <v>##남프랑스</v>
      </c>
      <c r="D4" s="39" t="str">
        <f>IFERROR(VLOOKUP(표8[[#This Row],[육지]],[3]!표1_6[[이름]:[선단 LV]],6,FALSE),"-")</f>
        <v>-</v>
      </c>
      <c r="E4" s="39" t="str">
        <f>IFERROR(VLOOKUP(표8[[#This Row],[육지]],[3]!표1_6[[이름]:[위도]],3,FALSE),"-")</f>
        <v>-</v>
      </c>
      <c r="F4" s="39" t="str">
        <f>IFERROR(VLOOKUP(표8[[#This Row],[육지]],[3]!표1_6[[이름]:[위도]],2,FALSE),"-")</f>
        <v>-</v>
      </c>
      <c r="G4" s="39" t="str">
        <f>INDEX([1]AdventureDiscoveryGroup!$D:$D,MATCH(표8[[#This Row],[열1]],[1]AdventureDiscoveryGroup!$B:$B,0))</f>
        <v>마르세유 부근</v>
      </c>
      <c r="H4" s="39" t="str">
        <f>IFERROR(INT(1000/POWER(1.5,VLOOKUP(G4,[1]Discovery!$B:$H,7,FALSE)^1.6)),"-")</f>
        <v>-</v>
      </c>
      <c r="I4" s="72" t="str">
        <f>IFERROR(표8[[#This Row],[배당'[0']]]/$AB4,"-")</f>
        <v>-</v>
      </c>
      <c r="J4" s="39" t="b">
        <f>INDEX([1]AdventureDiscoveryGroup!$I:$I,MATCH(표8[[#This Row],[열1]],[1]AdventureDiscoveryGroup!$B:$B,0))</f>
        <v>0</v>
      </c>
      <c r="K4" s="39" t="str">
        <f>IFERROR(INT(1000/POWER(1.5,VLOOKUP(J4,[1]Discovery!$B:$H,7,FALSE)^1.6)),"-")</f>
        <v>-</v>
      </c>
      <c r="L4" s="72" t="str">
        <f>IFERROR(표8[[#This Row],[배당'[1']]]/$AB4,"-")</f>
        <v>-</v>
      </c>
      <c r="M4" s="39" t="b">
        <f>INDEX([1]AdventureDiscoveryGroup!$N:$N,MATCH(표8[[#This Row],[열1]],[1]AdventureDiscoveryGroup!$B:$B,0))</f>
        <v>0</v>
      </c>
      <c r="N4" s="39" t="str">
        <f>IFERROR(INT(1000/POWER(1.5,VLOOKUP(M4,[1]Discovery!$B:$H,7,FALSE)^1.6)),"-")</f>
        <v>-</v>
      </c>
      <c r="O4" s="72" t="str">
        <f>IFERROR(표8[[#This Row],[배당'[2']]]/$AB4,"-")</f>
        <v>-</v>
      </c>
      <c r="P4" s="39" t="b">
        <f>INDEX([1]AdventureDiscoveryGroup!$S:$S,MATCH(표8[[#This Row],[열1]],[1]AdventureDiscoveryGroup!$B:$B,0))</f>
        <v>0</v>
      </c>
      <c r="Q4" s="39" t="str">
        <f>IFERROR(INT(1000/POWER(1.5,VLOOKUP(P4,[1]Discovery!$B:$H,7,FALSE)^1.6)),"-")</f>
        <v>-</v>
      </c>
      <c r="R4" s="72" t="str">
        <f>IFERROR(표8[[#This Row],[배당'[3']]]/$AB4,"-")</f>
        <v>-</v>
      </c>
      <c r="S4" s="40" t="b">
        <f>INDEX([1]AdventureDiscoveryGroup!$X:$X,MATCH(표8[[#This Row],[열1]],[1]AdventureDiscoveryGroup!$B:$B,0))</f>
        <v>0</v>
      </c>
      <c r="T4" s="40" t="str">
        <f>IFERROR(INT(1000/POWER(1.5,VLOOKUP(S4,[1]Discovery!$B:$H,7,FALSE)^1.6)),"-")</f>
        <v>-</v>
      </c>
      <c r="U4" s="72" t="str">
        <f>IFERROR(표8[[#This Row],[배당'[4']]]/$AB4,"-")</f>
        <v>-</v>
      </c>
      <c r="V4" s="40" t="b">
        <f>INDEX([1]AdventureDiscoveryGroup!$AC:$AC,MATCH(표8[[#This Row],[열1]],[1]AdventureDiscoveryGroup!$B:$B,0))</f>
        <v>0</v>
      </c>
      <c r="W4" s="40" t="str">
        <f>IFERROR(INT(1000/POWER(1.5,VLOOKUP(V4,[1]Discovery!$B:$H,7,FALSE)^1.6)),"-")</f>
        <v>-</v>
      </c>
      <c r="X4" s="72" t="str">
        <f>IFERROR(표8[[#This Row],[배당'[5']]]/$AB4,"-")</f>
        <v>-</v>
      </c>
      <c r="Y4" s="40" t="b">
        <f>INDEX([1]AdventureDiscoveryGroup!$AH:$AH,MATCH(표8[[#This Row],[열1]],[1]AdventureDiscoveryGroup!$B:$B,0))</f>
        <v>0</v>
      </c>
      <c r="Z4" s="40" t="str">
        <f>IFERROR(INT(1000/POWER(1.5,VLOOKUP(Y4,[1]Discovery!$B:$H,7,FALSE)^1.6)),"-")</f>
        <v>-</v>
      </c>
      <c r="AA4" s="72" t="str">
        <f>IFERROR(표8[[#This Row],[배당'[6']]]/$AB4,"-")</f>
        <v>-</v>
      </c>
      <c r="AB4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5" spans="2:28" x14ac:dyDescent="0.3">
      <c r="B5" s="39" t="str">
        <f>[1]LandExplore!E11</f>
        <v>나폴리 부근</v>
      </c>
      <c r="C5" s="39" t="str">
        <f>INDEX([1]LandExplore!$B:$B,MATCH(표8[[#This Row],[육지]],[1]LandExplore!$E:$E,0))</f>
        <v>##이탈리아</v>
      </c>
      <c r="D5" s="39" t="str">
        <f>IFERROR(VLOOKUP(표8[[#This Row],[육지]],[3]!표1_6[[이름]:[선단 LV]],6,FALSE),"-")</f>
        <v>-</v>
      </c>
      <c r="E5" s="39" t="str">
        <f>IFERROR(VLOOKUP(표8[[#This Row],[육지]],[3]!표1_6[[이름]:[위도]],3,FALSE),"-")</f>
        <v>-</v>
      </c>
      <c r="F5" s="39" t="str">
        <f>IFERROR(VLOOKUP(표8[[#This Row],[육지]],[3]!표1_6[[이름]:[위도]],2,FALSE),"-")</f>
        <v>-</v>
      </c>
      <c r="G5" s="39" t="str">
        <f>INDEX([1]AdventureDiscoveryGroup!$D:$D,MATCH(표8[[#This Row],[열1]],[1]AdventureDiscoveryGroup!$B:$B,0))</f>
        <v>나폴리 부근</v>
      </c>
      <c r="H5" s="39" t="str">
        <f>IFERROR(INT(1000/POWER(1.5,VLOOKUP(G5,[1]Discovery!$B:$H,7,FALSE)^1.6)),"-")</f>
        <v>-</v>
      </c>
      <c r="I5" s="72" t="str">
        <f>IFERROR(표8[[#This Row],[배당'[0']]]/$AB5,"-")</f>
        <v>-</v>
      </c>
      <c r="J5" s="39" t="b">
        <f>INDEX([1]AdventureDiscoveryGroup!$I:$I,MATCH(표8[[#This Row],[열1]],[1]AdventureDiscoveryGroup!$B:$B,0))</f>
        <v>0</v>
      </c>
      <c r="K5" s="39" t="str">
        <f>IFERROR(INT(1000/POWER(1.5,VLOOKUP(J5,[1]Discovery!$B:$H,7,FALSE)^1.6)),"-")</f>
        <v>-</v>
      </c>
      <c r="L5" s="72" t="str">
        <f>IFERROR(표8[[#This Row],[배당'[1']]]/$AB5,"-")</f>
        <v>-</v>
      </c>
      <c r="M5" s="39" t="b">
        <f>INDEX([1]AdventureDiscoveryGroup!$N:$N,MATCH(표8[[#This Row],[열1]],[1]AdventureDiscoveryGroup!$B:$B,0))</f>
        <v>0</v>
      </c>
      <c r="N5" s="39" t="str">
        <f>IFERROR(INT(1000/POWER(1.5,VLOOKUP(M5,[1]Discovery!$B:$H,7,FALSE)^1.6)),"-")</f>
        <v>-</v>
      </c>
      <c r="O5" s="72" t="str">
        <f>IFERROR(표8[[#This Row],[배당'[2']]]/$AB5,"-")</f>
        <v>-</v>
      </c>
      <c r="P5" s="39" t="b">
        <f>INDEX([1]AdventureDiscoveryGroup!$S:$S,MATCH(표8[[#This Row],[열1]],[1]AdventureDiscoveryGroup!$B:$B,0))</f>
        <v>0</v>
      </c>
      <c r="Q5" s="39" t="str">
        <f>IFERROR(INT(1000/POWER(1.5,VLOOKUP(P5,[1]Discovery!$B:$H,7,FALSE)^1.6)),"-")</f>
        <v>-</v>
      </c>
      <c r="R5" s="72" t="str">
        <f>IFERROR(표8[[#This Row],[배당'[3']]]/$AB5,"-")</f>
        <v>-</v>
      </c>
      <c r="S5" s="40" t="b">
        <f>INDEX([1]AdventureDiscoveryGroup!$X:$X,MATCH(표8[[#This Row],[열1]],[1]AdventureDiscoveryGroup!$B:$B,0))</f>
        <v>0</v>
      </c>
      <c r="T5" s="40" t="str">
        <f>IFERROR(INT(1000/POWER(1.5,VLOOKUP(S5,[1]Discovery!$B:$H,7,FALSE)^1.6)),"-")</f>
        <v>-</v>
      </c>
      <c r="U5" s="72" t="str">
        <f>IFERROR(표8[[#This Row],[배당'[4']]]/$AB5,"-")</f>
        <v>-</v>
      </c>
      <c r="V5" s="40" t="b">
        <f>INDEX([1]AdventureDiscoveryGroup!$AC:$AC,MATCH(표8[[#This Row],[열1]],[1]AdventureDiscoveryGroup!$B:$B,0))</f>
        <v>0</v>
      </c>
      <c r="W5" s="40" t="str">
        <f>IFERROR(INT(1000/POWER(1.5,VLOOKUP(V5,[1]Discovery!$B:$H,7,FALSE)^1.6)),"-")</f>
        <v>-</v>
      </c>
      <c r="X5" s="72" t="str">
        <f>IFERROR(표8[[#This Row],[배당'[5']]]/$AB5,"-")</f>
        <v>-</v>
      </c>
      <c r="Y5" s="40" t="b">
        <f>INDEX([1]AdventureDiscoveryGroup!$AH:$AH,MATCH(표8[[#This Row],[열1]],[1]AdventureDiscoveryGroup!$B:$B,0))</f>
        <v>0</v>
      </c>
      <c r="Z5" s="40" t="str">
        <f>IFERROR(INT(1000/POWER(1.5,VLOOKUP(Y5,[1]Discovery!$B:$H,7,FALSE)^1.6)),"-")</f>
        <v>-</v>
      </c>
      <c r="AA5" s="72" t="str">
        <f>IFERROR(표8[[#This Row],[배당'[6']]]/$AB5,"-")</f>
        <v>-</v>
      </c>
      <c r="AB5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6" spans="2:28" x14ac:dyDescent="0.3">
      <c r="B6" s="39" t="str">
        <f>[1]LandExplore!E12</f>
        <v>아티나 부근</v>
      </c>
      <c r="C6" s="39" t="str">
        <f>INDEX([1]LandExplore!$B:$B,MATCH(표8[[#This Row],[육지]],[1]LandExplore!$E:$E,0))</f>
        <v>##발칸</v>
      </c>
      <c r="D6" s="39" t="str">
        <f>IFERROR(VLOOKUP(표8[[#This Row],[육지]],[3]!표1_6[[이름]:[선단 LV]],6,FALSE),"-")</f>
        <v>-</v>
      </c>
      <c r="E6" s="39" t="str">
        <f>IFERROR(VLOOKUP(표8[[#This Row],[육지]],[3]!표1_6[[이름]:[위도]],3,FALSE),"-")</f>
        <v>-</v>
      </c>
      <c r="F6" s="39" t="str">
        <f>IFERROR(VLOOKUP(표8[[#This Row],[육지]],[3]!표1_6[[이름]:[위도]],2,FALSE),"-")</f>
        <v>-</v>
      </c>
      <c r="G6" s="39" t="str">
        <f>INDEX([1]AdventureDiscoveryGroup!$D:$D,MATCH(표8[[#This Row],[열1]],[1]AdventureDiscoveryGroup!$B:$B,0))</f>
        <v>아티나 부근</v>
      </c>
      <c r="H6" s="39" t="str">
        <f>IFERROR(INT(1000/POWER(1.5,VLOOKUP(G6,[1]Discovery!$B:$H,7,FALSE)^1.6)),"-")</f>
        <v>-</v>
      </c>
      <c r="I6" s="72" t="str">
        <f>IFERROR(표8[[#This Row],[배당'[0']]]/$AB6,"-")</f>
        <v>-</v>
      </c>
      <c r="J6" s="39" t="b">
        <f>INDEX([1]AdventureDiscoveryGroup!$I:$I,MATCH(표8[[#This Row],[열1]],[1]AdventureDiscoveryGroup!$B:$B,0))</f>
        <v>0</v>
      </c>
      <c r="K6" s="39" t="str">
        <f>IFERROR(INT(1000/POWER(1.5,VLOOKUP(J6,[1]Discovery!$B:$H,7,FALSE)^1.6)),"-")</f>
        <v>-</v>
      </c>
      <c r="L6" s="72" t="str">
        <f>IFERROR(표8[[#This Row],[배당'[1']]]/$AB6,"-")</f>
        <v>-</v>
      </c>
      <c r="M6" s="39" t="b">
        <f>INDEX([1]AdventureDiscoveryGroup!$N:$N,MATCH(표8[[#This Row],[열1]],[1]AdventureDiscoveryGroup!$B:$B,0))</f>
        <v>0</v>
      </c>
      <c r="N6" s="39" t="str">
        <f>IFERROR(INT(1000/POWER(1.5,VLOOKUP(M6,[1]Discovery!$B:$H,7,FALSE)^1.6)),"-")</f>
        <v>-</v>
      </c>
      <c r="O6" s="72" t="str">
        <f>IFERROR(표8[[#This Row],[배당'[2']]]/$AB6,"-")</f>
        <v>-</v>
      </c>
      <c r="P6" s="39" t="b">
        <f>INDEX([1]AdventureDiscoveryGroup!$S:$S,MATCH(표8[[#This Row],[열1]],[1]AdventureDiscoveryGroup!$B:$B,0))</f>
        <v>0</v>
      </c>
      <c r="Q6" s="39" t="str">
        <f>IFERROR(INT(1000/POWER(1.5,VLOOKUP(P6,[1]Discovery!$B:$H,7,FALSE)^1.6)),"-")</f>
        <v>-</v>
      </c>
      <c r="R6" s="72" t="str">
        <f>IFERROR(표8[[#This Row],[배당'[3']]]/$AB6,"-")</f>
        <v>-</v>
      </c>
      <c r="S6" s="40" t="b">
        <f>INDEX([1]AdventureDiscoveryGroup!$X:$X,MATCH(표8[[#This Row],[열1]],[1]AdventureDiscoveryGroup!$B:$B,0))</f>
        <v>0</v>
      </c>
      <c r="T6" s="40" t="str">
        <f>IFERROR(INT(1000/POWER(1.5,VLOOKUP(S6,[1]Discovery!$B:$H,7,FALSE)^1.6)),"-")</f>
        <v>-</v>
      </c>
      <c r="U6" s="72" t="str">
        <f>IFERROR(표8[[#This Row],[배당'[4']]]/$AB6,"-")</f>
        <v>-</v>
      </c>
      <c r="V6" s="40" t="b">
        <f>INDEX([1]AdventureDiscoveryGroup!$AC:$AC,MATCH(표8[[#This Row],[열1]],[1]AdventureDiscoveryGroup!$B:$B,0))</f>
        <v>0</v>
      </c>
      <c r="W6" s="40" t="str">
        <f>IFERROR(INT(1000/POWER(1.5,VLOOKUP(V6,[1]Discovery!$B:$H,7,FALSE)^1.6)),"-")</f>
        <v>-</v>
      </c>
      <c r="X6" s="72" t="str">
        <f>IFERROR(표8[[#This Row],[배당'[5']]]/$AB6,"-")</f>
        <v>-</v>
      </c>
      <c r="Y6" s="40" t="b">
        <f>INDEX([1]AdventureDiscoveryGroup!$AH:$AH,MATCH(표8[[#This Row],[열1]],[1]AdventureDiscoveryGroup!$B:$B,0))</f>
        <v>0</v>
      </c>
      <c r="Z6" s="40" t="str">
        <f>IFERROR(INT(1000/POWER(1.5,VLOOKUP(Y6,[1]Discovery!$B:$H,7,FALSE)^1.6)),"-")</f>
        <v>-</v>
      </c>
      <c r="AA6" s="72" t="str">
        <f>IFERROR(표8[[#This Row],[배당'[6']]]/$AB6,"-")</f>
        <v>-</v>
      </c>
      <c r="AB6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7" spans="2:28" x14ac:dyDescent="0.3">
      <c r="B7" s="39" t="str">
        <f>[1]LandExplore!E13</f>
        <v>트라브존 부근</v>
      </c>
      <c r="C7" s="39" t="str">
        <f>INDEX([1]LandExplore!$B:$B,MATCH(표8[[#This Row],[육지]],[1]LandExplore!$E:$E,0))</f>
        <v>##터키</v>
      </c>
      <c r="D7" s="39" t="str">
        <f>IFERROR(VLOOKUP(표8[[#This Row],[육지]],[3]!표1_6[[이름]:[선단 LV]],6,FALSE),"-")</f>
        <v>-</v>
      </c>
      <c r="E7" s="39" t="str">
        <f>IFERROR(VLOOKUP(표8[[#This Row],[육지]],[3]!표1_6[[이름]:[위도]],3,FALSE),"-")</f>
        <v>-</v>
      </c>
      <c r="F7" s="39" t="str">
        <f>IFERROR(VLOOKUP(표8[[#This Row],[육지]],[3]!표1_6[[이름]:[위도]],2,FALSE),"-")</f>
        <v>-</v>
      </c>
      <c r="G7" s="39" t="str">
        <f>INDEX([1]AdventureDiscoveryGroup!$D:$D,MATCH(표8[[#This Row],[열1]],[1]AdventureDiscoveryGroup!$B:$B,0))</f>
        <v>트라브존 부근</v>
      </c>
      <c r="H7" s="39" t="str">
        <f>IFERROR(INT(1000/POWER(1.5,VLOOKUP(G7,[1]Discovery!$B:$H,7,FALSE)^1.6)),"-")</f>
        <v>-</v>
      </c>
      <c r="I7" s="72" t="str">
        <f>IFERROR(표8[[#This Row],[배당'[0']]]/$AB7,"-")</f>
        <v>-</v>
      </c>
      <c r="J7" s="39" t="b">
        <f>INDEX([1]AdventureDiscoveryGroup!$I:$I,MATCH(표8[[#This Row],[열1]],[1]AdventureDiscoveryGroup!$B:$B,0))</f>
        <v>0</v>
      </c>
      <c r="K7" s="39" t="str">
        <f>IFERROR(INT(1000/POWER(1.5,VLOOKUP(J7,[1]Discovery!$B:$H,7,FALSE)^1.6)),"-")</f>
        <v>-</v>
      </c>
      <c r="L7" s="72" t="str">
        <f>IFERROR(표8[[#This Row],[배당'[1']]]/$AB7,"-")</f>
        <v>-</v>
      </c>
      <c r="M7" s="39" t="b">
        <f>INDEX([1]AdventureDiscoveryGroup!$N:$N,MATCH(표8[[#This Row],[열1]],[1]AdventureDiscoveryGroup!$B:$B,0))</f>
        <v>0</v>
      </c>
      <c r="N7" s="39" t="str">
        <f>IFERROR(INT(1000/POWER(1.5,VLOOKUP(M7,[1]Discovery!$B:$H,7,FALSE)^1.6)),"-")</f>
        <v>-</v>
      </c>
      <c r="O7" s="72" t="str">
        <f>IFERROR(표8[[#This Row],[배당'[2']]]/$AB7,"-")</f>
        <v>-</v>
      </c>
      <c r="P7" s="39" t="b">
        <f>INDEX([1]AdventureDiscoveryGroup!$S:$S,MATCH(표8[[#This Row],[열1]],[1]AdventureDiscoveryGroup!$B:$B,0))</f>
        <v>0</v>
      </c>
      <c r="Q7" s="39" t="str">
        <f>IFERROR(INT(1000/POWER(1.5,VLOOKUP(P7,[1]Discovery!$B:$H,7,FALSE)^1.6)),"-")</f>
        <v>-</v>
      </c>
      <c r="R7" s="72" t="str">
        <f>IFERROR(표8[[#This Row],[배당'[3']]]/$AB7,"-")</f>
        <v>-</v>
      </c>
      <c r="S7" s="40" t="b">
        <f>INDEX([1]AdventureDiscoveryGroup!$X:$X,MATCH(표8[[#This Row],[열1]],[1]AdventureDiscoveryGroup!$B:$B,0))</f>
        <v>0</v>
      </c>
      <c r="T7" s="40" t="str">
        <f>IFERROR(INT(1000/POWER(1.5,VLOOKUP(S7,[1]Discovery!$B:$H,7,FALSE)^1.6)),"-")</f>
        <v>-</v>
      </c>
      <c r="U7" s="72" t="str">
        <f>IFERROR(표8[[#This Row],[배당'[4']]]/$AB7,"-")</f>
        <v>-</v>
      </c>
      <c r="V7" s="40" t="b">
        <f>INDEX([1]AdventureDiscoveryGroup!$AC:$AC,MATCH(표8[[#This Row],[열1]],[1]AdventureDiscoveryGroup!$B:$B,0))</f>
        <v>0</v>
      </c>
      <c r="W7" s="40" t="str">
        <f>IFERROR(INT(1000/POWER(1.5,VLOOKUP(V7,[1]Discovery!$B:$H,7,FALSE)^1.6)),"-")</f>
        <v>-</v>
      </c>
      <c r="X7" s="72" t="str">
        <f>IFERROR(표8[[#This Row],[배당'[5']]]/$AB7,"-")</f>
        <v>-</v>
      </c>
      <c r="Y7" s="40" t="b">
        <f>INDEX([1]AdventureDiscoveryGroup!$AH:$AH,MATCH(표8[[#This Row],[열1]],[1]AdventureDiscoveryGroup!$B:$B,0))</f>
        <v>0</v>
      </c>
      <c r="Z7" s="40" t="str">
        <f>IFERROR(INT(1000/POWER(1.5,VLOOKUP(Y7,[1]Discovery!$B:$H,7,FALSE)^1.6)),"-")</f>
        <v>-</v>
      </c>
      <c r="AA7" s="72" t="str">
        <f>IFERROR(표8[[#This Row],[배당'[6']]]/$AB7,"-")</f>
        <v>-</v>
      </c>
      <c r="AB7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8" spans="2:28" x14ac:dyDescent="0.3">
      <c r="B8" s="39" t="str">
        <f>[1]LandExplore!E14</f>
        <v>낭트 부근</v>
      </c>
      <c r="C8" s="39" t="str">
        <f>INDEX([1]LandExplore!$B:$B,MATCH(표8[[#This Row],[육지]],[1]LandExplore!$E:$E,0))</f>
        <v>##북프랑스</v>
      </c>
      <c r="D8" s="39" t="str">
        <f>IFERROR(VLOOKUP(표8[[#This Row],[육지]],[3]!표1_6[[이름]:[선단 LV]],6,FALSE),"-")</f>
        <v>-</v>
      </c>
      <c r="E8" s="39" t="str">
        <f>IFERROR(VLOOKUP(표8[[#This Row],[육지]],[3]!표1_6[[이름]:[위도]],3,FALSE),"-")</f>
        <v>-</v>
      </c>
      <c r="F8" s="39" t="str">
        <f>IFERROR(VLOOKUP(표8[[#This Row],[육지]],[3]!표1_6[[이름]:[위도]],2,FALSE),"-")</f>
        <v>-</v>
      </c>
      <c r="G8" s="39" t="str">
        <f>INDEX([1]AdventureDiscoveryGroup!$D:$D,MATCH(표8[[#This Row],[열1]],[1]AdventureDiscoveryGroup!$B:$B,0))</f>
        <v>낭트 부근</v>
      </c>
      <c r="H8" s="39" t="str">
        <f>IFERROR(INT(1000/POWER(1.5,VLOOKUP(G8,[1]Discovery!$B:$H,7,FALSE)^1.6)),"-")</f>
        <v>-</v>
      </c>
      <c r="I8" s="72" t="str">
        <f>IFERROR(표8[[#This Row],[배당'[0']]]/$AB8,"-")</f>
        <v>-</v>
      </c>
      <c r="J8" s="39" t="b">
        <f>INDEX([1]AdventureDiscoveryGroup!$I:$I,MATCH(표8[[#This Row],[열1]],[1]AdventureDiscoveryGroup!$B:$B,0))</f>
        <v>0</v>
      </c>
      <c r="K8" s="39" t="str">
        <f>IFERROR(INT(1000/POWER(1.5,VLOOKUP(J8,[1]Discovery!$B:$H,7,FALSE)^1.6)),"-")</f>
        <v>-</v>
      </c>
      <c r="L8" s="72" t="str">
        <f>IFERROR(표8[[#This Row],[배당'[1']]]/$AB8,"-")</f>
        <v>-</v>
      </c>
      <c r="M8" s="39" t="b">
        <f>INDEX([1]AdventureDiscoveryGroup!$N:$N,MATCH(표8[[#This Row],[열1]],[1]AdventureDiscoveryGroup!$B:$B,0))</f>
        <v>0</v>
      </c>
      <c r="N8" s="39" t="str">
        <f>IFERROR(INT(1000/POWER(1.5,VLOOKUP(M8,[1]Discovery!$B:$H,7,FALSE)^1.6)),"-")</f>
        <v>-</v>
      </c>
      <c r="O8" s="72" t="str">
        <f>IFERROR(표8[[#This Row],[배당'[2']]]/$AB8,"-")</f>
        <v>-</v>
      </c>
      <c r="P8" s="39" t="b">
        <f>INDEX([1]AdventureDiscoveryGroup!$S:$S,MATCH(표8[[#This Row],[열1]],[1]AdventureDiscoveryGroup!$B:$B,0))</f>
        <v>0</v>
      </c>
      <c r="Q8" s="39" t="str">
        <f>IFERROR(INT(1000/POWER(1.5,VLOOKUP(P8,[1]Discovery!$B:$H,7,FALSE)^1.6)),"-")</f>
        <v>-</v>
      </c>
      <c r="R8" s="72" t="str">
        <f>IFERROR(표8[[#This Row],[배당'[3']]]/$AB8,"-")</f>
        <v>-</v>
      </c>
      <c r="S8" s="40" t="b">
        <f>INDEX([1]AdventureDiscoveryGroup!$X:$X,MATCH(표8[[#This Row],[열1]],[1]AdventureDiscoveryGroup!$B:$B,0))</f>
        <v>0</v>
      </c>
      <c r="T8" s="40" t="str">
        <f>IFERROR(INT(1000/POWER(1.5,VLOOKUP(S8,[1]Discovery!$B:$H,7,FALSE)^1.6)),"-")</f>
        <v>-</v>
      </c>
      <c r="U8" s="72" t="str">
        <f>IFERROR(표8[[#This Row],[배당'[4']]]/$AB8,"-")</f>
        <v>-</v>
      </c>
      <c r="V8" s="40" t="b">
        <f>INDEX([1]AdventureDiscoveryGroup!$AC:$AC,MATCH(표8[[#This Row],[열1]],[1]AdventureDiscoveryGroup!$B:$B,0))</f>
        <v>0</v>
      </c>
      <c r="W8" s="40" t="str">
        <f>IFERROR(INT(1000/POWER(1.5,VLOOKUP(V8,[1]Discovery!$B:$H,7,FALSE)^1.6)),"-")</f>
        <v>-</v>
      </c>
      <c r="X8" s="72" t="str">
        <f>IFERROR(표8[[#This Row],[배당'[5']]]/$AB8,"-")</f>
        <v>-</v>
      </c>
      <c r="Y8" s="40" t="b">
        <f>INDEX([1]AdventureDiscoveryGroup!$AH:$AH,MATCH(표8[[#This Row],[열1]],[1]AdventureDiscoveryGroup!$B:$B,0))</f>
        <v>0</v>
      </c>
      <c r="Z8" s="40" t="str">
        <f>IFERROR(INT(1000/POWER(1.5,VLOOKUP(Y8,[1]Discovery!$B:$H,7,FALSE)^1.6)),"-")</f>
        <v>-</v>
      </c>
      <c r="AA8" s="72" t="str">
        <f>IFERROR(표8[[#This Row],[배당'[6']]]/$AB8,"-")</f>
        <v>-</v>
      </c>
      <c r="AB8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9" spans="2:28" x14ac:dyDescent="0.3">
      <c r="B9" s="39" t="str">
        <f>[1]LandExplore!E15</f>
        <v>딕손 부근</v>
      </c>
      <c r="C9" s="39" t="str">
        <f>INDEX([1]LandExplore!$B:$B,MATCH(표8[[#This Row],[육지]],[1]LandExplore!$E:$E,0))</f>
        <v>##러시아</v>
      </c>
      <c r="D9" s="39" t="str">
        <f>IFERROR(VLOOKUP(표8[[#This Row],[육지]],[3]!표1_6[[이름]:[선단 LV]],6,FALSE),"-")</f>
        <v>-</v>
      </c>
      <c r="E9" s="39" t="str">
        <f>IFERROR(VLOOKUP(표8[[#This Row],[육지]],[3]!표1_6[[이름]:[위도]],3,FALSE),"-")</f>
        <v>-</v>
      </c>
      <c r="F9" s="39" t="str">
        <f>IFERROR(VLOOKUP(표8[[#This Row],[육지]],[3]!표1_6[[이름]:[위도]],2,FALSE),"-")</f>
        <v>-</v>
      </c>
      <c r="G9" s="39" t="str">
        <f>INDEX([1]AdventureDiscoveryGroup!$D:$D,MATCH(표8[[#This Row],[열1]],[1]AdventureDiscoveryGroup!$B:$B,0))</f>
        <v>딕손 부근</v>
      </c>
      <c r="H9" s="39" t="str">
        <f>IFERROR(INT(1000/POWER(1.5,VLOOKUP(G9,[1]Discovery!$B:$H,7,FALSE)^1.6)),"-")</f>
        <v>-</v>
      </c>
      <c r="I9" s="72" t="str">
        <f>IFERROR(표8[[#This Row],[배당'[0']]]/$AB9,"-")</f>
        <v>-</v>
      </c>
      <c r="J9" s="39" t="b">
        <f>INDEX([1]AdventureDiscoveryGroup!$I:$I,MATCH(표8[[#This Row],[열1]],[1]AdventureDiscoveryGroup!$B:$B,0))</f>
        <v>0</v>
      </c>
      <c r="K9" s="39" t="str">
        <f>IFERROR(INT(1000/POWER(1.5,VLOOKUP(J9,[1]Discovery!$B:$H,7,FALSE)^1.6)),"-")</f>
        <v>-</v>
      </c>
      <c r="L9" s="72" t="str">
        <f>IFERROR(표8[[#This Row],[배당'[1']]]/$AB9,"-")</f>
        <v>-</v>
      </c>
      <c r="M9" s="39" t="b">
        <f>INDEX([1]AdventureDiscoveryGroup!$N:$N,MATCH(표8[[#This Row],[열1]],[1]AdventureDiscoveryGroup!$B:$B,0))</f>
        <v>0</v>
      </c>
      <c r="N9" s="39" t="str">
        <f>IFERROR(INT(1000/POWER(1.5,VLOOKUP(M9,[1]Discovery!$B:$H,7,FALSE)^1.6)),"-")</f>
        <v>-</v>
      </c>
      <c r="O9" s="72" t="str">
        <f>IFERROR(표8[[#This Row],[배당'[2']]]/$AB9,"-")</f>
        <v>-</v>
      </c>
      <c r="P9" s="39" t="b">
        <f>INDEX([1]AdventureDiscoveryGroup!$S:$S,MATCH(표8[[#This Row],[열1]],[1]AdventureDiscoveryGroup!$B:$B,0))</f>
        <v>0</v>
      </c>
      <c r="Q9" s="39" t="str">
        <f>IFERROR(INT(1000/POWER(1.5,VLOOKUP(P9,[1]Discovery!$B:$H,7,FALSE)^1.6)),"-")</f>
        <v>-</v>
      </c>
      <c r="R9" s="72" t="str">
        <f>IFERROR(표8[[#This Row],[배당'[3']]]/$AB9,"-")</f>
        <v>-</v>
      </c>
      <c r="S9" s="40" t="b">
        <f>INDEX([1]AdventureDiscoveryGroup!$X:$X,MATCH(표8[[#This Row],[열1]],[1]AdventureDiscoveryGroup!$B:$B,0))</f>
        <v>0</v>
      </c>
      <c r="T9" s="40" t="str">
        <f>IFERROR(INT(1000/POWER(1.5,VLOOKUP(S9,[1]Discovery!$B:$H,7,FALSE)^1.6)),"-")</f>
        <v>-</v>
      </c>
      <c r="U9" s="72" t="str">
        <f>IFERROR(표8[[#This Row],[배당'[4']]]/$AB9,"-")</f>
        <v>-</v>
      </c>
      <c r="V9" s="40" t="b">
        <f>INDEX([1]AdventureDiscoveryGroup!$AC:$AC,MATCH(표8[[#This Row],[열1]],[1]AdventureDiscoveryGroup!$B:$B,0))</f>
        <v>0</v>
      </c>
      <c r="W9" s="40" t="str">
        <f>IFERROR(INT(1000/POWER(1.5,VLOOKUP(V9,[1]Discovery!$B:$H,7,FALSE)^1.6)),"-")</f>
        <v>-</v>
      </c>
      <c r="X9" s="72" t="str">
        <f>IFERROR(표8[[#This Row],[배당'[5']]]/$AB9,"-")</f>
        <v>-</v>
      </c>
      <c r="Y9" s="40" t="b">
        <f>INDEX([1]AdventureDiscoveryGroup!$AH:$AH,MATCH(표8[[#This Row],[열1]],[1]AdventureDiscoveryGroup!$B:$B,0))</f>
        <v>0</v>
      </c>
      <c r="Z9" s="40" t="str">
        <f>IFERROR(INT(1000/POWER(1.5,VLOOKUP(Y9,[1]Discovery!$B:$H,7,FALSE)^1.6)),"-")</f>
        <v>-</v>
      </c>
      <c r="AA9" s="72" t="str">
        <f>IFERROR(표8[[#This Row],[배당'[6']]]/$AB9,"-")</f>
        <v>-</v>
      </c>
      <c r="AB9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0" spans="2:28" x14ac:dyDescent="0.3">
      <c r="B10" s="39" t="str">
        <f>[1]LandExplore!E16</f>
        <v>베르겐 부근</v>
      </c>
      <c r="C10" s="39" t="str">
        <f>INDEX([1]LandExplore!$B:$B,MATCH(표8[[#This Row],[육지]],[1]LandExplore!$E:$E,0))</f>
        <v>##북유럽</v>
      </c>
      <c r="D10" s="39" t="str">
        <f>IFERROR(VLOOKUP(표8[[#This Row],[육지]],[3]!표1_6[[이름]:[선단 LV]],6,FALSE),"-")</f>
        <v>-</v>
      </c>
      <c r="E10" s="39" t="str">
        <f>IFERROR(VLOOKUP(표8[[#This Row],[육지]],[3]!표1_6[[이름]:[위도]],3,FALSE),"-")</f>
        <v>-</v>
      </c>
      <c r="F10" s="39" t="str">
        <f>IFERROR(VLOOKUP(표8[[#This Row],[육지]],[3]!표1_6[[이름]:[위도]],2,FALSE),"-")</f>
        <v>-</v>
      </c>
      <c r="G10" s="39" t="str">
        <f>INDEX([1]AdventureDiscoveryGroup!$D:$D,MATCH(표8[[#This Row],[열1]],[1]AdventureDiscoveryGroup!$B:$B,0))</f>
        <v>베르겐 부근</v>
      </c>
      <c r="H10" s="39" t="str">
        <f>IFERROR(INT(1000/POWER(1.5,VLOOKUP(G10,[1]Discovery!$B:$H,7,FALSE)^1.6)),"-")</f>
        <v>-</v>
      </c>
      <c r="I10" s="72" t="str">
        <f>IFERROR(표8[[#This Row],[배당'[0']]]/$AB10,"-")</f>
        <v>-</v>
      </c>
      <c r="J10" s="39" t="b">
        <f>INDEX([1]AdventureDiscoveryGroup!$I:$I,MATCH(표8[[#This Row],[열1]],[1]AdventureDiscoveryGroup!$B:$B,0))</f>
        <v>0</v>
      </c>
      <c r="K10" s="39" t="str">
        <f>IFERROR(INT(1000/POWER(1.5,VLOOKUP(J10,[1]Discovery!$B:$H,7,FALSE)^1.6)),"-")</f>
        <v>-</v>
      </c>
      <c r="L10" s="72" t="str">
        <f>IFERROR(표8[[#This Row],[배당'[1']]]/$AB10,"-")</f>
        <v>-</v>
      </c>
      <c r="M10" s="39" t="b">
        <f>INDEX([1]AdventureDiscoveryGroup!$N:$N,MATCH(표8[[#This Row],[열1]],[1]AdventureDiscoveryGroup!$B:$B,0))</f>
        <v>0</v>
      </c>
      <c r="N10" s="39" t="str">
        <f>IFERROR(INT(1000/POWER(1.5,VLOOKUP(M10,[1]Discovery!$B:$H,7,FALSE)^1.6)),"-")</f>
        <v>-</v>
      </c>
      <c r="O10" s="72" t="str">
        <f>IFERROR(표8[[#This Row],[배당'[2']]]/$AB10,"-")</f>
        <v>-</v>
      </c>
      <c r="P10" s="39" t="b">
        <f>INDEX([1]AdventureDiscoveryGroup!$S:$S,MATCH(표8[[#This Row],[열1]],[1]AdventureDiscoveryGroup!$B:$B,0))</f>
        <v>0</v>
      </c>
      <c r="Q10" s="39" t="str">
        <f>IFERROR(INT(1000/POWER(1.5,VLOOKUP(P10,[1]Discovery!$B:$H,7,FALSE)^1.6)),"-")</f>
        <v>-</v>
      </c>
      <c r="R10" s="72" t="str">
        <f>IFERROR(표8[[#This Row],[배당'[3']]]/$AB10,"-")</f>
        <v>-</v>
      </c>
      <c r="S10" s="40" t="b">
        <f>INDEX([1]AdventureDiscoveryGroup!$X:$X,MATCH(표8[[#This Row],[열1]],[1]AdventureDiscoveryGroup!$B:$B,0))</f>
        <v>0</v>
      </c>
      <c r="T10" s="40" t="str">
        <f>IFERROR(INT(1000/POWER(1.5,VLOOKUP(S10,[1]Discovery!$B:$H,7,FALSE)^1.6)),"-")</f>
        <v>-</v>
      </c>
      <c r="U10" s="72" t="str">
        <f>IFERROR(표8[[#This Row],[배당'[4']]]/$AB10,"-")</f>
        <v>-</v>
      </c>
      <c r="V10" s="40" t="b">
        <f>INDEX([1]AdventureDiscoveryGroup!$AC:$AC,MATCH(표8[[#This Row],[열1]],[1]AdventureDiscoveryGroup!$B:$B,0))</f>
        <v>0</v>
      </c>
      <c r="W10" s="40" t="str">
        <f>IFERROR(INT(1000/POWER(1.5,VLOOKUP(V10,[1]Discovery!$B:$H,7,FALSE)^1.6)),"-")</f>
        <v>-</v>
      </c>
      <c r="X10" s="72" t="str">
        <f>IFERROR(표8[[#This Row],[배당'[5']]]/$AB10,"-")</f>
        <v>-</v>
      </c>
      <c r="Y10" s="40" t="b">
        <f>INDEX([1]AdventureDiscoveryGroup!$AH:$AH,MATCH(표8[[#This Row],[열1]],[1]AdventureDiscoveryGroup!$B:$B,0))</f>
        <v>0</v>
      </c>
      <c r="Z10" s="40" t="str">
        <f>IFERROR(INT(1000/POWER(1.5,VLOOKUP(Y10,[1]Discovery!$B:$H,7,FALSE)^1.6)),"-")</f>
        <v>-</v>
      </c>
      <c r="AA10" s="72" t="str">
        <f>IFERROR(표8[[#This Row],[배당'[6']]]/$AB10,"-")</f>
        <v>-</v>
      </c>
      <c r="AB10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1" spans="2:28" x14ac:dyDescent="0.3">
      <c r="B11" s="39" t="str">
        <f>[1]LandExplore!E17</f>
        <v>나르비크 부근</v>
      </c>
      <c r="C11" s="39" t="str">
        <f>INDEX([1]LandExplore!$B:$B,MATCH(표8[[#This Row],[육지]],[1]LandExplore!$E:$E,0))</f>
        <v>##스칸디나비아 반도 북부</v>
      </c>
      <c r="D11" s="39" t="str">
        <f>IFERROR(VLOOKUP(표8[[#This Row],[육지]],[3]!표1_6[[이름]:[선단 LV]],6,FALSE),"-")</f>
        <v>-</v>
      </c>
      <c r="E11" s="39" t="str">
        <f>IFERROR(VLOOKUP(표8[[#This Row],[육지]],[3]!표1_6[[이름]:[위도]],3,FALSE),"-")</f>
        <v>-</v>
      </c>
      <c r="F11" s="39" t="str">
        <f>IFERROR(VLOOKUP(표8[[#This Row],[육지]],[3]!표1_6[[이름]:[위도]],2,FALSE),"-")</f>
        <v>-</v>
      </c>
      <c r="G11" s="39" t="str">
        <f>INDEX([1]AdventureDiscoveryGroup!$D:$D,MATCH(표8[[#This Row],[열1]],[1]AdventureDiscoveryGroup!$B:$B,0))</f>
        <v>나르비크 부근</v>
      </c>
      <c r="H11" s="39" t="str">
        <f>IFERROR(INT(1000/POWER(1.5,VLOOKUP(G11,[1]Discovery!$B:$H,7,FALSE)^1.6)),"-")</f>
        <v>-</v>
      </c>
      <c r="I11" s="72" t="str">
        <f>IFERROR(표8[[#This Row],[배당'[0']]]/$AB11,"-")</f>
        <v>-</v>
      </c>
      <c r="J11" s="39" t="b">
        <f>INDEX([1]AdventureDiscoveryGroup!$I:$I,MATCH(표8[[#This Row],[열1]],[1]AdventureDiscoveryGroup!$B:$B,0))</f>
        <v>0</v>
      </c>
      <c r="K11" s="39" t="str">
        <f>IFERROR(INT(1000/POWER(1.5,VLOOKUP(J11,[1]Discovery!$B:$H,7,FALSE)^1.6)),"-")</f>
        <v>-</v>
      </c>
      <c r="L11" s="72" t="str">
        <f>IFERROR(표8[[#This Row],[배당'[1']]]/$AB11,"-")</f>
        <v>-</v>
      </c>
      <c r="M11" s="39" t="b">
        <f>INDEX([1]AdventureDiscoveryGroup!$N:$N,MATCH(표8[[#This Row],[열1]],[1]AdventureDiscoveryGroup!$B:$B,0))</f>
        <v>0</v>
      </c>
      <c r="N11" s="39" t="str">
        <f>IFERROR(INT(1000/POWER(1.5,VLOOKUP(M11,[1]Discovery!$B:$H,7,FALSE)^1.6)),"-")</f>
        <v>-</v>
      </c>
      <c r="O11" s="72" t="str">
        <f>IFERROR(표8[[#This Row],[배당'[2']]]/$AB11,"-")</f>
        <v>-</v>
      </c>
      <c r="P11" s="39" t="b">
        <f>INDEX([1]AdventureDiscoveryGroup!$S:$S,MATCH(표8[[#This Row],[열1]],[1]AdventureDiscoveryGroup!$B:$B,0))</f>
        <v>0</v>
      </c>
      <c r="Q11" s="39" t="str">
        <f>IFERROR(INT(1000/POWER(1.5,VLOOKUP(P11,[1]Discovery!$B:$H,7,FALSE)^1.6)),"-")</f>
        <v>-</v>
      </c>
      <c r="R11" s="72" t="str">
        <f>IFERROR(표8[[#This Row],[배당'[3']]]/$AB11,"-")</f>
        <v>-</v>
      </c>
      <c r="S11" s="40" t="b">
        <f>INDEX([1]AdventureDiscoveryGroup!$X:$X,MATCH(표8[[#This Row],[열1]],[1]AdventureDiscoveryGroup!$B:$B,0))</f>
        <v>0</v>
      </c>
      <c r="T11" s="40" t="str">
        <f>IFERROR(INT(1000/POWER(1.5,VLOOKUP(S11,[1]Discovery!$B:$H,7,FALSE)^1.6)),"-")</f>
        <v>-</v>
      </c>
      <c r="U11" s="72" t="str">
        <f>IFERROR(표8[[#This Row],[배당'[4']]]/$AB11,"-")</f>
        <v>-</v>
      </c>
      <c r="V11" s="40" t="b">
        <f>INDEX([1]AdventureDiscoveryGroup!$AC:$AC,MATCH(표8[[#This Row],[열1]],[1]AdventureDiscoveryGroup!$B:$B,0))</f>
        <v>0</v>
      </c>
      <c r="W11" s="40" t="str">
        <f>IFERROR(INT(1000/POWER(1.5,VLOOKUP(V11,[1]Discovery!$B:$H,7,FALSE)^1.6)),"-")</f>
        <v>-</v>
      </c>
      <c r="X11" s="72" t="str">
        <f>IFERROR(표8[[#This Row],[배당'[5']]]/$AB11,"-")</f>
        <v>-</v>
      </c>
      <c r="Y11" s="40" t="b">
        <f>INDEX([1]AdventureDiscoveryGroup!$AH:$AH,MATCH(표8[[#This Row],[열1]],[1]AdventureDiscoveryGroup!$B:$B,0))</f>
        <v>0</v>
      </c>
      <c r="Z11" s="40" t="str">
        <f>IFERROR(INT(1000/POWER(1.5,VLOOKUP(Y11,[1]Discovery!$B:$H,7,FALSE)^1.6)),"-")</f>
        <v>-</v>
      </c>
      <c r="AA11" s="72" t="str">
        <f>IFERROR(표8[[#This Row],[배당'[6']]]/$AB11,"-")</f>
        <v>-</v>
      </c>
      <c r="AB11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2" spans="2:28" x14ac:dyDescent="0.3">
      <c r="B12" s="39" t="str">
        <f>[1]LandExplore!E18</f>
        <v>런던 부근</v>
      </c>
      <c r="C12" s="39" t="str">
        <f>INDEX([1]LandExplore!$B:$B,MATCH(표8[[#This Row],[육지]],[1]LandExplore!$E:$E,0))</f>
        <v>##브리튼</v>
      </c>
      <c r="D12" s="39" t="str">
        <f>IFERROR(VLOOKUP(표8[[#This Row],[육지]],[3]!표1_6[[이름]:[선단 LV]],6,FALSE),"-")</f>
        <v>-</v>
      </c>
      <c r="E12" s="39" t="str">
        <f>IFERROR(VLOOKUP(표8[[#This Row],[육지]],[3]!표1_6[[이름]:[위도]],3,FALSE),"-")</f>
        <v>-</v>
      </c>
      <c r="F12" s="39" t="str">
        <f>IFERROR(VLOOKUP(표8[[#This Row],[육지]],[3]!표1_6[[이름]:[위도]],2,FALSE),"-")</f>
        <v>-</v>
      </c>
      <c r="G12" s="39" t="str">
        <f>INDEX([1]AdventureDiscoveryGroup!$D:$D,MATCH(표8[[#This Row],[열1]],[1]AdventureDiscoveryGroup!$B:$B,0))</f>
        <v>런던 부근</v>
      </c>
      <c r="H12" s="39" t="str">
        <f>IFERROR(INT(1000/POWER(1.5,VLOOKUP(G12,[1]Discovery!$B:$H,7,FALSE)^1.6)),"-")</f>
        <v>-</v>
      </c>
      <c r="I12" s="72" t="str">
        <f>IFERROR(표8[[#This Row],[배당'[0']]]/$AB12,"-")</f>
        <v>-</v>
      </c>
      <c r="J12" s="39" t="b">
        <f>INDEX([1]AdventureDiscoveryGroup!$I:$I,MATCH(표8[[#This Row],[열1]],[1]AdventureDiscoveryGroup!$B:$B,0))</f>
        <v>0</v>
      </c>
      <c r="K12" s="39" t="str">
        <f>IFERROR(INT(1000/POWER(1.5,VLOOKUP(J12,[1]Discovery!$B:$H,7,FALSE)^1.6)),"-")</f>
        <v>-</v>
      </c>
      <c r="L12" s="72" t="str">
        <f>IFERROR(표8[[#This Row],[배당'[1']]]/$AB12,"-")</f>
        <v>-</v>
      </c>
      <c r="M12" s="39" t="b">
        <f>INDEX([1]AdventureDiscoveryGroup!$N:$N,MATCH(표8[[#This Row],[열1]],[1]AdventureDiscoveryGroup!$B:$B,0))</f>
        <v>0</v>
      </c>
      <c r="N12" s="39" t="str">
        <f>IFERROR(INT(1000/POWER(1.5,VLOOKUP(M12,[1]Discovery!$B:$H,7,FALSE)^1.6)),"-")</f>
        <v>-</v>
      </c>
      <c r="O12" s="72" t="str">
        <f>IFERROR(표8[[#This Row],[배당'[2']]]/$AB12,"-")</f>
        <v>-</v>
      </c>
      <c r="P12" s="39" t="b">
        <f>INDEX([1]AdventureDiscoveryGroup!$S:$S,MATCH(표8[[#This Row],[열1]],[1]AdventureDiscoveryGroup!$B:$B,0))</f>
        <v>0</v>
      </c>
      <c r="Q12" s="39" t="str">
        <f>IFERROR(INT(1000/POWER(1.5,VLOOKUP(P12,[1]Discovery!$B:$H,7,FALSE)^1.6)),"-")</f>
        <v>-</v>
      </c>
      <c r="R12" s="72" t="str">
        <f>IFERROR(표8[[#This Row],[배당'[3']]]/$AB12,"-")</f>
        <v>-</v>
      </c>
      <c r="S12" s="40" t="b">
        <f>INDEX([1]AdventureDiscoveryGroup!$X:$X,MATCH(표8[[#This Row],[열1]],[1]AdventureDiscoveryGroup!$B:$B,0))</f>
        <v>0</v>
      </c>
      <c r="T12" s="40" t="str">
        <f>IFERROR(INT(1000/POWER(1.5,VLOOKUP(S12,[1]Discovery!$B:$H,7,FALSE)^1.6)),"-")</f>
        <v>-</v>
      </c>
      <c r="U12" s="72" t="str">
        <f>IFERROR(표8[[#This Row],[배당'[4']]]/$AB12,"-")</f>
        <v>-</v>
      </c>
      <c r="V12" s="40" t="b">
        <f>INDEX([1]AdventureDiscoveryGroup!$AC:$AC,MATCH(표8[[#This Row],[열1]],[1]AdventureDiscoveryGroup!$B:$B,0))</f>
        <v>0</v>
      </c>
      <c r="W12" s="40" t="str">
        <f>IFERROR(INT(1000/POWER(1.5,VLOOKUP(V12,[1]Discovery!$B:$H,7,FALSE)^1.6)),"-")</f>
        <v>-</v>
      </c>
      <c r="X12" s="72" t="str">
        <f>IFERROR(표8[[#This Row],[배당'[5']]]/$AB12,"-")</f>
        <v>-</v>
      </c>
      <c r="Y12" s="40" t="b">
        <f>INDEX([1]AdventureDiscoveryGroup!$AH:$AH,MATCH(표8[[#This Row],[열1]],[1]AdventureDiscoveryGroup!$B:$B,0))</f>
        <v>0</v>
      </c>
      <c r="Z12" s="40" t="str">
        <f>IFERROR(INT(1000/POWER(1.5,VLOOKUP(Y12,[1]Discovery!$B:$H,7,FALSE)^1.6)),"-")</f>
        <v>-</v>
      </c>
      <c r="AA12" s="72" t="str">
        <f>IFERROR(표8[[#This Row],[배당'[6']]]/$AB12,"-")</f>
        <v>-</v>
      </c>
      <c r="AB12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3" spans="2:28" x14ac:dyDescent="0.3">
      <c r="B13" s="39" t="str">
        <f>[1]LandExplore!E19</f>
        <v>암스테르담 부근</v>
      </c>
      <c r="C13" s="39" t="str">
        <f>INDEX([1]LandExplore!$B:$B,MATCH(표8[[#This Row],[육지]],[1]LandExplore!$E:$E,0))</f>
        <v>##독일</v>
      </c>
      <c r="D13" s="39" t="str">
        <f>IFERROR(VLOOKUP(표8[[#This Row],[육지]],[3]!표1_6[[이름]:[선단 LV]],6,FALSE),"-")</f>
        <v>-</v>
      </c>
      <c r="E13" s="39" t="str">
        <f>IFERROR(VLOOKUP(표8[[#This Row],[육지]],[3]!표1_6[[이름]:[위도]],3,FALSE),"-")</f>
        <v>-</v>
      </c>
      <c r="F13" s="39" t="str">
        <f>IFERROR(VLOOKUP(표8[[#This Row],[육지]],[3]!표1_6[[이름]:[위도]],2,FALSE),"-")</f>
        <v>-</v>
      </c>
      <c r="G13" s="39" t="str">
        <f>INDEX([1]AdventureDiscoveryGroup!$D:$D,MATCH(표8[[#This Row],[열1]],[1]AdventureDiscoveryGroup!$B:$B,0))</f>
        <v>암스테르담 부근</v>
      </c>
      <c r="H13" s="39" t="str">
        <f>IFERROR(INT(1000/POWER(1.5,VLOOKUP(G13,[1]Discovery!$B:$H,7,FALSE)^1.6)),"-")</f>
        <v>-</v>
      </c>
      <c r="I13" s="72" t="str">
        <f>IFERROR(표8[[#This Row],[배당'[0']]]/$AB13,"-")</f>
        <v>-</v>
      </c>
      <c r="J13" s="39" t="b">
        <f>INDEX([1]AdventureDiscoveryGroup!$I:$I,MATCH(표8[[#This Row],[열1]],[1]AdventureDiscoveryGroup!$B:$B,0))</f>
        <v>0</v>
      </c>
      <c r="K13" s="39" t="str">
        <f>IFERROR(INT(1000/POWER(1.5,VLOOKUP(J13,[1]Discovery!$B:$H,7,FALSE)^1.6)),"-")</f>
        <v>-</v>
      </c>
      <c r="L13" s="72" t="str">
        <f>IFERROR(표8[[#This Row],[배당'[1']]]/$AB13,"-")</f>
        <v>-</v>
      </c>
      <c r="M13" s="39" t="b">
        <f>INDEX([1]AdventureDiscoveryGroup!$N:$N,MATCH(표8[[#This Row],[열1]],[1]AdventureDiscoveryGroup!$B:$B,0))</f>
        <v>0</v>
      </c>
      <c r="N13" s="39" t="str">
        <f>IFERROR(INT(1000/POWER(1.5,VLOOKUP(M13,[1]Discovery!$B:$H,7,FALSE)^1.6)),"-")</f>
        <v>-</v>
      </c>
      <c r="O13" s="72" t="str">
        <f>IFERROR(표8[[#This Row],[배당'[2']]]/$AB13,"-")</f>
        <v>-</v>
      </c>
      <c r="P13" s="39" t="b">
        <f>INDEX([1]AdventureDiscoveryGroup!$S:$S,MATCH(표8[[#This Row],[열1]],[1]AdventureDiscoveryGroup!$B:$B,0))</f>
        <v>0</v>
      </c>
      <c r="Q13" s="39" t="str">
        <f>IFERROR(INT(1000/POWER(1.5,VLOOKUP(P13,[1]Discovery!$B:$H,7,FALSE)^1.6)),"-")</f>
        <v>-</v>
      </c>
      <c r="R13" s="72" t="str">
        <f>IFERROR(표8[[#This Row],[배당'[3']]]/$AB13,"-")</f>
        <v>-</v>
      </c>
      <c r="S13" s="40" t="b">
        <f>INDEX([1]AdventureDiscoveryGroup!$X:$X,MATCH(표8[[#This Row],[열1]],[1]AdventureDiscoveryGroup!$B:$B,0))</f>
        <v>0</v>
      </c>
      <c r="T13" s="40" t="str">
        <f>IFERROR(INT(1000/POWER(1.5,VLOOKUP(S13,[1]Discovery!$B:$H,7,FALSE)^1.6)),"-")</f>
        <v>-</v>
      </c>
      <c r="U13" s="72" t="str">
        <f>IFERROR(표8[[#This Row],[배당'[4']]]/$AB13,"-")</f>
        <v>-</v>
      </c>
      <c r="V13" s="40" t="b">
        <f>INDEX([1]AdventureDiscoveryGroup!$AC:$AC,MATCH(표8[[#This Row],[열1]],[1]AdventureDiscoveryGroup!$B:$B,0))</f>
        <v>0</v>
      </c>
      <c r="W13" s="40" t="str">
        <f>IFERROR(INT(1000/POWER(1.5,VLOOKUP(V13,[1]Discovery!$B:$H,7,FALSE)^1.6)),"-")</f>
        <v>-</v>
      </c>
      <c r="X13" s="72" t="str">
        <f>IFERROR(표8[[#This Row],[배당'[5']]]/$AB13,"-")</f>
        <v>-</v>
      </c>
      <c r="Y13" s="40" t="b">
        <f>INDEX([1]AdventureDiscoveryGroup!$AH:$AH,MATCH(표8[[#This Row],[열1]],[1]AdventureDiscoveryGroup!$B:$B,0))</f>
        <v>0</v>
      </c>
      <c r="Z13" s="40" t="str">
        <f>IFERROR(INT(1000/POWER(1.5,VLOOKUP(Y13,[1]Discovery!$B:$H,7,FALSE)^1.6)),"-")</f>
        <v>-</v>
      </c>
      <c r="AA13" s="72" t="str">
        <f>IFERROR(표8[[#This Row],[배당'[6']]]/$AB13,"-")</f>
        <v>-</v>
      </c>
      <c r="AB13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4" spans="2:28" x14ac:dyDescent="0.3">
      <c r="B14" s="39" t="str">
        <f>[1]LandExplore!E20</f>
        <v>아이슬란드 북부</v>
      </c>
      <c r="C14" s="39" t="str">
        <f>INDEX([1]LandExplore!$B:$B,MATCH(표8[[#This Row],[육지]],[1]LandExplore!$E:$E,0))</f>
        <v>##아이슬란드 북부</v>
      </c>
      <c r="D14" s="39" t="str">
        <f>IFERROR(VLOOKUP(표8[[#This Row],[육지]],[3]!표1_6[[이름]:[선단 LV]],6,FALSE),"-")</f>
        <v>-</v>
      </c>
      <c r="E14" s="39" t="str">
        <f>IFERROR(VLOOKUP(표8[[#This Row],[육지]],[3]!표1_6[[이름]:[위도]],3,FALSE),"-")</f>
        <v>-</v>
      </c>
      <c r="F14" s="39" t="str">
        <f>IFERROR(VLOOKUP(표8[[#This Row],[육지]],[3]!표1_6[[이름]:[위도]],2,FALSE),"-")</f>
        <v>-</v>
      </c>
      <c r="G14" s="39" t="str">
        <f>INDEX([1]AdventureDiscoveryGroup!$D:$D,MATCH(표8[[#This Row],[열1]],[1]AdventureDiscoveryGroup!$B:$B,0))</f>
        <v>아이슬란드 북부</v>
      </c>
      <c r="H14" s="39" t="str">
        <f>IFERROR(INT(1000/POWER(1.5,VLOOKUP(G14,[1]Discovery!$B:$H,7,FALSE)^1.6)),"-")</f>
        <v>-</v>
      </c>
      <c r="I14" s="72" t="str">
        <f>IFERROR(표8[[#This Row],[배당'[0']]]/$AB14,"-")</f>
        <v>-</v>
      </c>
      <c r="J14" s="39" t="b">
        <f>INDEX([1]AdventureDiscoveryGroup!$I:$I,MATCH(표8[[#This Row],[열1]],[1]AdventureDiscoveryGroup!$B:$B,0))</f>
        <v>0</v>
      </c>
      <c r="K14" s="39" t="str">
        <f>IFERROR(INT(1000/POWER(1.5,VLOOKUP(J14,[1]Discovery!$B:$H,7,FALSE)^1.6)),"-")</f>
        <v>-</v>
      </c>
      <c r="L14" s="72" t="str">
        <f>IFERROR(표8[[#This Row],[배당'[1']]]/$AB14,"-")</f>
        <v>-</v>
      </c>
      <c r="M14" s="39" t="str">
        <f>INDEX([1]AdventureDiscoveryGroup!$N:$N,MATCH(표8[[#This Row],[열1]],[1]AdventureDiscoveryGroup!$B:$B,0))</f>
        <v>-</v>
      </c>
      <c r="N14" s="39" t="str">
        <f>IFERROR(INT(1000/POWER(1.5,VLOOKUP(M14,[1]Discovery!$B:$H,7,FALSE)^1.6)),"-")</f>
        <v>-</v>
      </c>
      <c r="O14" s="72" t="str">
        <f>IFERROR(표8[[#This Row],[배당'[2']]]/$AB14,"-")</f>
        <v>-</v>
      </c>
      <c r="P14" s="39" t="str">
        <f>INDEX([1]AdventureDiscoveryGroup!$S:$S,MATCH(표8[[#This Row],[열1]],[1]AdventureDiscoveryGroup!$B:$B,0))</f>
        <v>-</v>
      </c>
      <c r="Q14" s="39" t="str">
        <f>IFERROR(INT(1000/POWER(1.5,VLOOKUP(P14,[1]Discovery!$B:$H,7,FALSE)^1.6)),"-")</f>
        <v>-</v>
      </c>
      <c r="R14" s="72" t="str">
        <f>IFERROR(표8[[#This Row],[배당'[3']]]/$AB14,"-")</f>
        <v>-</v>
      </c>
      <c r="S14" s="40" t="str">
        <f>INDEX([1]AdventureDiscoveryGroup!$X:$X,MATCH(표8[[#This Row],[열1]],[1]AdventureDiscoveryGroup!$B:$B,0))</f>
        <v>-</v>
      </c>
      <c r="T14" s="40" t="str">
        <f>IFERROR(INT(1000/POWER(1.5,VLOOKUP(S14,[1]Discovery!$B:$H,7,FALSE)^1.6)),"-")</f>
        <v>-</v>
      </c>
      <c r="U14" s="72" t="str">
        <f>IFERROR(표8[[#This Row],[배당'[4']]]/$AB14,"-")</f>
        <v>-</v>
      </c>
      <c r="V14" s="40" t="str">
        <f>INDEX([1]AdventureDiscoveryGroup!$AC:$AC,MATCH(표8[[#This Row],[열1]],[1]AdventureDiscoveryGroup!$B:$B,0))</f>
        <v>-</v>
      </c>
      <c r="W14" s="40" t="str">
        <f>IFERROR(INT(1000/POWER(1.5,VLOOKUP(V14,[1]Discovery!$B:$H,7,FALSE)^1.6)),"-")</f>
        <v>-</v>
      </c>
      <c r="X14" s="72" t="str">
        <f>IFERROR(표8[[#This Row],[배당'[5']]]/$AB14,"-")</f>
        <v>-</v>
      </c>
      <c r="Y14" s="40" t="str">
        <f>INDEX([1]AdventureDiscoveryGroup!$AH:$AH,MATCH(표8[[#This Row],[열1]],[1]AdventureDiscoveryGroup!$B:$B,0))</f>
        <v>-</v>
      </c>
      <c r="Z14" s="40" t="str">
        <f>IFERROR(INT(1000/POWER(1.5,VLOOKUP(Y14,[1]Discovery!$B:$H,7,FALSE)^1.6)),"-")</f>
        <v>-</v>
      </c>
      <c r="AA14" s="72" t="str">
        <f>IFERROR(표8[[#This Row],[배당'[6']]]/$AB14,"-")</f>
        <v>-</v>
      </c>
      <c r="AB14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5" spans="2:28" x14ac:dyDescent="0.3">
      <c r="B15" s="39" t="str">
        <f>[1]LandExplore!E21</f>
        <v>케르치 부근</v>
      </c>
      <c r="C15" s="39" t="str">
        <f>INDEX([1]LandExplore!$B:$B,MATCH(표8[[#This Row],[육지]],[1]LandExplore!$E:$E,0))</f>
        <v>##흑해</v>
      </c>
      <c r="D15" s="39" t="str">
        <f>IFERROR(VLOOKUP(표8[[#This Row],[육지]],[3]!표1_6[[이름]:[선단 LV]],6,FALSE),"-")</f>
        <v>-</v>
      </c>
      <c r="E15" s="39" t="str">
        <f>IFERROR(VLOOKUP(표8[[#This Row],[육지]],[3]!표1_6[[이름]:[위도]],3,FALSE),"-")</f>
        <v>-</v>
      </c>
      <c r="F15" s="39" t="str">
        <f>IFERROR(VLOOKUP(표8[[#This Row],[육지]],[3]!표1_6[[이름]:[위도]],2,FALSE),"-")</f>
        <v>-</v>
      </c>
      <c r="G15" s="39" t="str">
        <f>INDEX([1]AdventureDiscoveryGroup!$D:$D,MATCH(표8[[#This Row],[열1]],[1]AdventureDiscoveryGroup!$B:$B,0))</f>
        <v>케르치 부근</v>
      </c>
      <c r="H15" s="39" t="str">
        <f>IFERROR(INT(1000/POWER(1.5,VLOOKUP(G15,[1]Discovery!$B:$H,7,FALSE)^1.6)),"-")</f>
        <v>-</v>
      </c>
      <c r="I15" s="72" t="str">
        <f>IFERROR(표8[[#This Row],[배당'[0']]]/$AB15,"-")</f>
        <v>-</v>
      </c>
      <c r="J15" s="39" t="b">
        <f>INDEX([1]AdventureDiscoveryGroup!$I:$I,MATCH(표8[[#This Row],[열1]],[1]AdventureDiscoveryGroup!$B:$B,0))</f>
        <v>0</v>
      </c>
      <c r="K15" s="39" t="str">
        <f>IFERROR(INT(1000/POWER(1.5,VLOOKUP(J15,[1]Discovery!$B:$H,7,FALSE)^1.6)),"-")</f>
        <v>-</v>
      </c>
      <c r="L15" s="72" t="str">
        <f>IFERROR(표8[[#This Row],[배당'[1']]]/$AB15,"-")</f>
        <v>-</v>
      </c>
      <c r="M15" s="39" t="b">
        <f>INDEX([1]AdventureDiscoveryGroup!$N:$N,MATCH(표8[[#This Row],[열1]],[1]AdventureDiscoveryGroup!$B:$B,0))</f>
        <v>0</v>
      </c>
      <c r="N15" s="39" t="str">
        <f>IFERROR(INT(1000/POWER(1.5,VLOOKUP(M15,[1]Discovery!$B:$H,7,FALSE)^1.6)),"-")</f>
        <v>-</v>
      </c>
      <c r="O15" s="72" t="str">
        <f>IFERROR(표8[[#This Row],[배당'[2']]]/$AB15,"-")</f>
        <v>-</v>
      </c>
      <c r="P15" s="39" t="b">
        <f>INDEX([1]AdventureDiscoveryGroup!$S:$S,MATCH(표8[[#This Row],[열1]],[1]AdventureDiscoveryGroup!$B:$B,0))</f>
        <v>0</v>
      </c>
      <c r="Q15" s="39" t="str">
        <f>IFERROR(INT(1000/POWER(1.5,VLOOKUP(P15,[1]Discovery!$B:$H,7,FALSE)^1.6)),"-")</f>
        <v>-</v>
      </c>
      <c r="R15" s="72" t="str">
        <f>IFERROR(표8[[#This Row],[배당'[3']]]/$AB15,"-")</f>
        <v>-</v>
      </c>
      <c r="S15" s="40" t="b">
        <f>INDEX([1]AdventureDiscoveryGroup!$X:$X,MATCH(표8[[#This Row],[열1]],[1]AdventureDiscoveryGroup!$B:$B,0))</f>
        <v>0</v>
      </c>
      <c r="T15" s="40" t="str">
        <f>IFERROR(INT(1000/POWER(1.5,VLOOKUP(S15,[1]Discovery!$B:$H,7,FALSE)^1.6)),"-")</f>
        <v>-</v>
      </c>
      <c r="U15" s="72" t="str">
        <f>IFERROR(표8[[#This Row],[배당'[4']]]/$AB15,"-")</f>
        <v>-</v>
      </c>
      <c r="V15" s="40" t="b">
        <f>INDEX([1]AdventureDiscoveryGroup!$AC:$AC,MATCH(표8[[#This Row],[열1]],[1]AdventureDiscoveryGroup!$B:$B,0))</f>
        <v>0</v>
      </c>
      <c r="W15" s="40" t="str">
        <f>IFERROR(INT(1000/POWER(1.5,VLOOKUP(V15,[1]Discovery!$B:$H,7,FALSE)^1.6)),"-")</f>
        <v>-</v>
      </c>
      <c r="X15" s="72" t="str">
        <f>IFERROR(표8[[#This Row],[배당'[5']]]/$AB15,"-")</f>
        <v>-</v>
      </c>
      <c r="Y15" s="40" t="str">
        <f>INDEX([1]AdventureDiscoveryGroup!$AH:$AH,MATCH(표8[[#This Row],[열1]],[1]AdventureDiscoveryGroup!$B:$B,0))</f>
        <v>-</v>
      </c>
      <c r="Z15" s="40" t="str">
        <f>IFERROR(INT(1000/POWER(1.5,VLOOKUP(Y15,[1]Discovery!$B:$H,7,FALSE)^1.6)),"-")</f>
        <v>-</v>
      </c>
      <c r="AA15" s="72" t="str">
        <f>IFERROR(표8[[#This Row],[배당'[6']]]/$AB15,"-")</f>
        <v>-</v>
      </c>
      <c r="AB15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6" spans="2:28" x14ac:dyDescent="0.3">
      <c r="B16" s="39" t="str">
        <f>[1]LandExplore!E22</f>
        <v>스톡홀름 부근</v>
      </c>
      <c r="C16" s="39" t="str">
        <f>INDEX([1]LandExplore!$B:$B,MATCH(표8[[#This Row],[육지]],[1]LandExplore!$E:$E,0))</f>
        <v>##발트해</v>
      </c>
      <c r="D16" s="39" t="str">
        <f>IFERROR(VLOOKUP(표8[[#This Row],[육지]],[3]!표1_6[[이름]:[선단 LV]],6,FALSE),"-")</f>
        <v>-</v>
      </c>
      <c r="E16" s="39" t="str">
        <f>IFERROR(VLOOKUP(표8[[#This Row],[육지]],[3]!표1_6[[이름]:[위도]],3,FALSE),"-")</f>
        <v>-</v>
      </c>
      <c r="F16" s="39" t="str">
        <f>IFERROR(VLOOKUP(표8[[#This Row],[육지]],[3]!표1_6[[이름]:[위도]],2,FALSE),"-")</f>
        <v>-</v>
      </c>
      <c r="G16" s="39" t="str">
        <f>INDEX([1]AdventureDiscoveryGroup!$D:$D,MATCH(표8[[#This Row],[열1]],[1]AdventureDiscoveryGroup!$B:$B,0))</f>
        <v>스톡홀름 부근</v>
      </c>
      <c r="H16" s="39" t="str">
        <f>IFERROR(INT(1000/POWER(1.5,VLOOKUP(G16,[1]Discovery!$B:$H,7,FALSE)^1.6)),"-")</f>
        <v>-</v>
      </c>
      <c r="I16" s="72" t="str">
        <f>IFERROR(표8[[#This Row],[배당'[0']]]/$AB16,"-")</f>
        <v>-</v>
      </c>
      <c r="J16" s="39" t="b">
        <f>INDEX([1]AdventureDiscoveryGroup!$I:$I,MATCH(표8[[#This Row],[열1]],[1]AdventureDiscoveryGroup!$B:$B,0))</f>
        <v>0</v>
      </c>
      <c r="K16" s="39" t="str">
        <f>IFERROR(INT(1000/POWER(1.5,VLOOKUP(J16,[1]Discovery!$B:$H,7,FALSE)^1.6)),"-")</f>
        <v>-</v>
      </c>
      <c r="L16" s="72" t="str">
        <f>IFERROR(표8[[#This Row],[배당'[1']]]/$AB16,"-")</f>
        <v>-</v>
      </c>
      <c r="M16" s="39" t="b">
        <f>INDEX([1]AdventureDiscoveryGroup!$N:$N,MATCH(표8[[#This Row],[열1]],[1]AdventureDiscoveryGroup!$B:$B,0))</f>
        <v>0</v>
      </c>
      <c r="N16" s="39" t="str">
        <f>IFERROR(INT(1000/POWER(1.5,VLOOKUP(M16,[1]Discovery!$B:$H,7,FALSE)^1.6)),"-")</f>
        <v>-</v>
      </c>
      <c r="O16" s="72" t="str">
        <f>IFERROR(표8[[#This Row],[배당'[2']]]/$AB16,"-")</f>
        <v>-</v>
      </c>
      <c r="P16" s="39" t="b">
        <f>INDEX([1]AdventureDiscoveryGroup!$S:$S,MATCH(표8[[#This Row],[열1]],[1]AdventureDiscoveryGroup!$B:$B,0))</f>
        <v>0</v>
      </c>
      <c r="Q16" s="39" t="str">
        <f>IFERROR(INT(1000/POWER(1.5,VLOOKUP(P16,[1]Discovery!$B:$H,7,FALSE)^1.6)),"-")</f>
        <v>-</v>
      </c>
      <c r="R16" s="72" t="str">
        <f>IFERROR(표8[[#This Row],[배당'[3']]]/$AB16,"-")</f>
        <v>-</v>
      </c>
      <c r="S16" s="40" t="b">
        <f>INDEX([1]AdventureDiscoveryGroup!$X:$X,MATCH(표8[[#This Row],[열1]],[1]AdventureDiscoveryGroup!$B:$B,0))</f>
        <v>0</v>
      </c>
      <c r="T16" s="40" t="str">
        <f>IFERROR(INT(1000/POWER(1.5,VLOOKUP(S16,[1]Discovery!$B:$H,7,FALSE)^1.6)),"-")</f>
        <v>-</v>
      </c>
      <c r="U16" s="72" t="str">
        <f>IFERROR(표8[[#This Row],[배당'[4']]]/$AB16,"-")</f>
        <v>-</v>
      </c>
      <c r="V16" s="40" t="b">
        <f>INDEX([1]AdventureDiscoveryGroup!$AC:$AC,MATCH(표8[[#This Row],[열1]],[1]AdventureDiscoveryGroup!$B:$B,0))</f>
        <v>0</v>
      </c>
      <c r="W16" s="40" t="str">
        <f>IFERROR(INT(1000/POWER(1.5,VLOOKUP(V16,[1]Discovery!$B:$H,7,FALSE)^1.6)),"-")</f>
        <v>-</v>
      </c>
      <c r="X16" s="72" t="str">
        <f>IFERROR(표8[[#This Row],[배당'[5']]]/$AB16,"-")</f>
        <v>-</v>
      </c>
      <c r="Y16" s="40" t="b">
        <f>INDEX([1]AdventureDiscoveryGroup!$AH:$AH,MATCH(표8[[#This Row],[열1]],[1]AdventureDiscoveryGroup!$B:$B,0))</f>
        <v>0</v>
      </c>
      <c r="Z16" s="40" t="str">
        <f>IFERROR(INT(1000/POWER(1.5,VLOOKUP(Y16,[1]Discovery!$B:$H,7,FALSE)^1.6)),"-")</f>
        <v>-</v>
      </c>
      <c r="AA16" s="72" t="str">
        <f>IFERROR(표8[[#This Row],[배당'[6']]]/$AB16,"-")</f>
        <v>-</v>
      </c>
      <c r="AB16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7" spans="2:28" x14ac:dyDescent="0.3">
      <c r="B17" s="39" t="str">
        <f>[1]LandExplore!E23</f>
        <v>카사블랑카 부근</v>
      </c>
      <c r="C17" s="39" t="str">
        <f>INDEX([1]LandExplore!$B:$B,MATCH(표8[[#This Row],[육지]],[1]LandExplore!$E:$E,0))</f>
        <v>##북아프리카(서)</v>
      </c>
      <c r="D17" s="39" t="str">
        <f>IFERROR(VLOOKUP(표8[[#This Row],[육지]],[3]!표1_6[[이름]:[선단 LV]],6,FALSE),"-")</f>
        <v>-</v>
      </c>
      <c r="E17" s="39" t="str">
        <f>IFERROR(VLOOKUP(표8[[#This Row],[육지]],[3]!표1_6[[이름]:[위도]],3,FALSE),"-")</f>
        <v>-</v>
      </c>
      <c r="F17" s="39" t="str">
        <f>IFERROR(VLOOKUP(표8[[#This Row],[육지]],[3]!표1_6[[이름]:[위도]],2,FALSE),"-")</f>
        <v>-</v>
      </c>
      <c r="G17" s="39" t="str">
        <f>INDEX([1]AdventureDiscoveryGroup!$D:$D,MATCH(표8[[#This Row],[열1]],[1]AdventureDiscoveryGroup!$B:$B,0))</f>
        <v>카사블랑카 부근</v>
      </c>
      <c r="H17" s="39" t="str">
        <f>IFERROR(INT(1000/POWER(1.5,VLOOKUP(G17,[1]Discovery!$B:$H,7,FALSE)^1.6)),"-")</f>
        <v>-</v>
      </c>
      <c r="I17" s="72" t="str">
        <f>IFERROR(표8[[#This Row],[배당'[0']]]/$AB17,"-")</f>
        <v>-</v>
      </c>
      <c r="J17" s="39" t="b">
        <f>INDEX([1]AdventureDiscoveryGroup!$I:$I,MATCH(표8[[#This Row],[열1]],[1]AdventureDiscoveryGroup!$B:$B,0))</f>
        <v>0</v>
      </c>
      <c r="K17" s="39" t="str">
        <f>IFERROR(INT(1000/POWER(1.5,VLOOKUP(J17,[1]Discovery!$B:$H,7,FALSE)^1.6)),"-")</f>
        <v>-</v>
      </c>
      <c r="L17" s="72" t="str">
        <f>IFERROR(표8[[#This Row],[배당'[1']]]/$AB17,"-")</f>
        <v>-</v>
      </c>
      <c r="M17" s="39" t="b">
        <f>INDEX([1]AdventureDiscoveryGroup!$N:$N,MATCH(표8[[#This Row],[열1]],[1]AdventureDiscoveryGroup!$B:$B,0))</f>
        <v>0</v>
      </c>
      <c r="N17" s="39" t="str">
        <f>IFERROR(INT(1000/POWER(1.5,VLOOKUP(M17,[1]Discovery!$B:$H,7,FALSE)^1.6)),"-")</f>
        <v>-</v>
      </c>
      <c r="O17" s="72" t="str">
        <f>IFERROR(표8[[#This Row],[배당'[2']]]/$AB17,"-")</f>
        <v>-</v>
      </c>
      <c r="P17" s="39" t="b">
        <f>INDEX([1]AdventureDiscoveryGroup!$S:$S,MATCH(표8[[#This Row],[열1]],[1]AdventureDiscoveryGroup!$B:$B,0))</f>
        <v>0</v>
      </c>
      <c r="Q17" s="39" t="str">
        <f>IFERROR(INT(1000/POWER(1.5,VLOOKUP(P17,[1]Discovery!$B:$H,7,FALSE)^1.6)),"-")</f>
        <v>-</v>
      </c>
      <c r="R17" s="72" t="str">
        <f>IFERROR(표8[[#This Row],[배당'[3']]]/$AB17,"-")</f>
        <v>-</v>
      </c>
      <c r="S17" s="40" t="b">
        <f>INDEX([1]AdventureDiscoveryGroup!$X:$X,MATCH(표8[[#This Row],[열1]],[1]AdventureDiscoveryGroup!$B:$B,0))</f>
        <v>0</v>
      </c>
      <c r="T17" s="40" t="str">
        <f>IFERROR(INT(1000/POWER(1.5,VLOOKUP(S17,[1]Discovery!$B:$H,7,FALSE)^1.6)),"-")</f>
        <v>-</v>
      </c>
      <c r="U17" s="72" t="str">
        <f>IFERROR(표8[[#This Row],[배당'[4']]]/$AB17,"-")</f>
        <v>-</v>
      </c>
      <c r="V17" s="40" t="b">
        <f>INDEX([1]AdventureDiscoveryGroup!$AC:$AC,MATCH(표8[[#This Row],[열1]],[1]AdventureDiscoveryGroup!$B:$B,0))</f>
        <v>0</v>
      </c>
      <c r="W17" s="40" t="str">
        <f>IFERROR(INT(1000/POWER(1.5,VLOOKUP(V17,[1]Discovery!$B:$H,7,FALSE)^1.6)),"-")</f>
        <v>-</v>
      </c>
      <c r="X17" s="72" t="str">
        <f>IFERROR(표8[[#This Row],[배당'[5']]]/$AB17,"-")</f>
        <v>-</v>
      </c>
      <c r="Y17" s="40" t="b">
        <f>INDEX([1]AdventureDiscoveryGroup!$AH:$AH,MATCH(표8[[#This Row],[열1]],[1]AdventureDiscoveryGroup!$B:$B,0))</f>
        <v>0</v>
      </c>
      <c r="Z17" s="40" t="str">
        <f>IFERROR(INT(1000/POWER(1.5,VLOOKUP(Y17,[1]Discovery!$B:$H,7,FALSE)^1.6)),"-")</f>
        <v>-</v>
      </c>
      <c r="AA17" s="72" t="str">
        <f>IFERROR(표8[[#This Row],[배당'[6']]]/$AB17,"-")</f>
        <v>-</v>
      </c>
      <c r="AB17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8" spans="2:28" x14ac:dyDescent="0.3">
      <c r="B18" s="39" t="str">
        <f>[1]LandExplore!E24</f>
        <v>알이스칸다리야 부근</v>
      </c>
      <c r="C18" s="39" t="str">
        <f>INDEX([1]LandExplore!$B:$B,MATCH(표8[[#This Row],[육지]],[1]LandExplore!$E:$E,0))</f>
        <v>##북아프리카(동)</v>
      </c>
      <c r="D18" s="39" t="str">
        <f>IFERROR(VLOOKUP(표8[[#This Row],[육지]],[3]!표1_6[[이름]:[선단 LV]],6,FALSE),"-")</f>
        <v>-</v>
      </c>
      <c r="E18" s="39" t="str">
        <f>IFERROR(VLOOKUP(표8[[#This Row],[육지]],[3]!표1_6[[이름]:[위도]],3,FALSE),"-")</f>
        <v>-</v>
      </c>
      <c r="F18" s="39" t="str">
        <f>IFERROR(VLOOKUP(표8[[#This Row],[육지]],[3]!표1_6[[이름]:[위도]],2,FALSE),"-")</f>
        <v>-</v>
      </c>
      <c r="G18" s="39" t="str">
        <f>INDEX([1]AdventureDiscoveryGroup!$D:$D,MATCH(표8[[#This Row],[열1]],[1]AdventureDiscoveryGroup!$B:$B,0))</f>
        <v>알이스칸다리야 부근</v>
      </c>
      <c r="H18" s="39" t="str">
        <f>IFERROR(INT(1000/POWER(1.5,VLOOKUP(G18,[1]Discovery!$B:$H,7,FALSE)^1.6)),"-")</f>
        <v>-</v>
      </c>
      <c r="I18" s="72" t="str">
        <f>IFERROR(표8[[#This Row],[배당'[0']]]/$AB18,"-")</f>
        <v>-</v>
      </c>
      <c r="J18" s="39" t="b">
        <f>INDEX([1]AdventureDiscoveryGroup!$I:$I,MATCH(표8[[#This Row],[열1]],[1]AdventureDiscoveryGroup!$B:$B,0))</f>
        <v>0</v>
      </c>
      <c r="K18" s="39" t="str">
        <f>IFERROR(INT(1000/POWER(1.5,VLOOKUP(J18,[1]Discovery!$B:$H,7,FALSE)^1.6)),"-")</f>
        <v>-</v>
      </c>
      <c r="L18" s="72" t="str">
        <f>IFERROR(표8[[#This Row],[배당'[1']]]/$AB18,"-")</f>
        <v>-</v>
      </c>
      <c r="M18" s="39" t="b">
        <f>INDEX([1]AdventureDiscoveryGroup!$N:$N,MATCH(표8[[#This Row],[열1]],[1]AdventureDiscoveryGroup!$B:$B,0))</f>
        <v>0</v>
      </c>
      <c r="N18" s="39" t="str">
        <f>IFERROR(INT(1000/POWER(1.5,VLOOKUP(M18,[1]Discovery!$B:$H,7,FALSE)^1.6)),"-")</f>
        <v>-</v>
      </c>
      <c r="O18" s="72" t="str">
        <f>IFERROR(표8[[#This Row],[배당'[2']]]/$AB18,"-")</f>
        <v>-</v>
      </c>
      <c r="P18" s="39" t="b">
        <f>INDEX([1]AdventureDiscoveryGroup!$S:$S,MATCH(표8[[#This Row],[열1]],[1]AdventureDiscoveryGroup!$B:$B,0))</f>
        <v>0</v>
      </c>
      <c r="Q18" s="39" t="str">
        <f>IFERROR(INT(1000/POWER(1.5,VLOOKUP(P18,[1]Discovery!$B:$H,7,FALSE)^1.6)),"-")</f>
        <v>-</v>
      </c>
      <c r="R18" s="72" t="str">
        <f>IFERROR(표8[[#This Row],[배당'[3']]]/$AB18,"-")</f>
        <v>-</v>
      </c>
      <c r="S18" s="40" t="b">
        <f>INDEX([1]AdventureDiscoveryGroup!$X:$X,MATCH(표8[[#This Row],[열1]],[1]AdventureDiscoveryGroup!$B:$B,0))</f>
        <v>0</v>
      </c>
      <c r="T18" s="40" t="str">
        <f>IFERROR(INT(1000/POWER(1.5,VLOOKUP(S18,[1]Discovery!$B:$H,7,FALSE)^1.6)),"-")</f>
        <v>-</v>
      </c>
      <c r="U18" s="72" t="str">
        <f>IFERROR(표8[[#This Row],[배당'[4']]]/$AB18,"-")</f>
        <v>-</v>
      </c>
      <c r="V18" s="40" t="b">
        <f>INDEX([1]AdventureDiscoveryGroup!$AC:$AC,MATCH(표8[[#This Row],[열1]],[1]AdventureDiscoveryGroup!$B:$B,0))</f>
        <v>0</v>
      </c>
      <c r="W18" s="40" t="str">
        <f>IFERROR(INT(1000/POWER(1.5,VLOOKUP(V18,[1]Discovery!$B:$H,7,FALSE)^1.6)),"-")</f>
        <v>-</v>
      </c>
      <c r="X18" s="72" t="str">
        <f>IFERROR(표8[[#This Row],[배당'[5']]]/$AB18,"-")</f>
        <v>-</v>
      </c>
      <c r="Y18" s="40" t="b">
        <f>INDEX([1]AdventureDiscoveryGroup!$AH:$AH,MATCH(표8[[#This Row],[열1]],[1]AdventureDiscoveryGroup!$B:$B,0))</f>
        <v>0</v>
      </c>
      <c r="Z18" s="40" t="str">
        <f>IFERROR(INT(1000/POWER(1.5,VLOOKUP(Y18,[1]Discovery!$B:$H,7,FALSE)^1.6)),"-")</f>
        <v>-</v>
      </c>
      <c r="AA18" s="72" t="str">
        <f>IFERROR(표8[[#This Row],[배당'[6']]]/$AB18,"-")</f>
        <v>-</v>
      </c>
      <c r="AB18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9" spans="2:28" x14ac:dyDescent="0.3">
      <c r="B19" s="39" t="str">
        <f>[1]LandExplore!E25</f>
        <v>아르김 부근</v>
      </c>
      <c r="C19" s="39" t="str">
        <f>INDEX([1]LandExplore!$B:$B,MATCH(표8[[#This Row],[육지]],[1]LandExplore!$E:$E,0))</f>
        <v>##서아프리카(북)</v>
      </c>
      <c r="D19" s="39" t="str">
        <f>IFERROR(VLOOKUP(표8[[#This Row],[육지]],[3]!표1_6[[이름]:[선단 LV]],6,FALSE),"-")</f>
        <v>-</v>
      </c>
      <c r="E19" s="39" t="str">
        <f>IFERROR(VLOOKUP(표8[[#This Row],[육지]],[3]!표1_6[[이름]:[위도]],3,FALSE),"-")</f>
        <v>-</v>
      </c>
      <c r="F19" s="39" t="str">
        <f>IFERROR(VLOOKUP(표8[[#This Row],[육지]],[3]!표1_6[[이름]:[위도]],2,FALSE),"-")</f>
        <v>-</v>
      </c>
      <c r="G19" s="39" t="str">
        <f>INDEX([1]AdventureDiscoveryGroup!$D:$D,MATCH(표8[[#This Row],[열1]],[1]AdventureDiscoveryGroup!$B:$B,0))</f>
        <v>아르김 부근</v>
      </c>
      <c r="H19" s="39" t="str">
        <f>IFERROR(INT(1000/POWER(1.5,VLOOKUP(G19,[1]Discovery!$B:$H,7,FALSE)^1.6)),"-")</f>
        <v>-</v>
      </c>
      <c r="I19" s="72" t="str">
        <f>IFERROR(표8[[#This Row],[배당'[0']]]/$AB19,"-")</f>
        <v>-</v>
      </c>
      <c r="J19" s="39" t="b">
        <f>INDEX([1]AdventureDiscoveryGroup!$I:$I,MATCH(표8[[#This Row],[열1]],[1]AdventureDiscoveryGroup!$B:$B,0))</f>
        <v>0</v>
      </c>
      <c r="K19" s="39" t="str">
        <f>IFERROR(INT(1000/POWER(1.5,VLOOKUP(J19,[1]Discovery!$B:$H,7,FALSE)^1.6)),"-")</f>
        <v>-</v>
      </c>
      <c r="L19" s="72" t="str">
        <f>IFERROR(표8[[#This Row],[배당'[1']]]/$AB19,"-")</f>
        <v>-</v>
      </c>
      <c r="M19" s="39" t="b">
        <f>INDEX([1]AdventureDiscoveryGroup!$N:$N,MATCH(표8[[#This Row],[열1]],[1]AdventureDiscoveryGroup!$B:$B,0))</f>
        <v>0</v>
      </c>
      <c r="N19" s="39" t="str">
        <f>IFERROR(INT(1000/POWER(1.5,VLOOKUP(M19,[1]Discovery!$B:$H,7,FALSE)^1.6)),"-")</f>
        <v>-</v>
      </c>
      <c r="O19" s="72" t="str">
        <f>IFERROR(표8[[#This Row],[배당'[2']]]/$AB19,"-")</f>
        <v>-</v>
      </c>
      <c r="P19" s="39" t="b">
        <f>INDEX([1]AdventureDiscoveryGroup!$S:$S,MATCH(표8[[#This Row],[열1]],[1]AdventureDiscoveryGroup!$B:$B,0))</f>
        <v>0</v>
      </c>
      <c r="Q19" s="39" t="str">
        <f>IFERROR(INT(1000/POWER(1.5,VLOOKUP(P19,[1]Discovery!$B:$H,7,FALSE)^1.6)),"-")</f>
        <v>-</v>
      </c>
      <c r="R19" s="72" t="str">
        <f>IFERROR(표8[[#This Row],[배당'[3']]]/$AB19,"-")</f>
        <v>-</v>
      </c>
      <c r="S19" s="40" t="b">
        <f>INDEX([1]AdventureDiscoveryGroup!$X:$X,MATCH(표8[[#This Row],[열1]],[1]AdventureDiscoveryGroup!$B:$B,0))</f>
        <v>0</v>
      </c>
      <c r="T19" s="40" t="str">
        <f>IFERROR(INT(1000/POWER(1.5,VLOOKUP(S19,[1]Discovery!$B:$H,7,FALSE)^1.6)),"-")</f>
        <v>-</v>
      </c>
      <c r="U19" s="72" t="str">
        <f>IFERROR(표8[[#This Row],[배당'[4']]]/$AB19,"-")</f>
        <v>-</v>
      </c>
      <c r="V19" s="40" t="b">
        <f>INDEX([1]AdventureDiscoveryGroup!$AC:$AC,MATCH(표8[[#This Row],[열1]],[1]AdventureDiscoveryGroup!$B:$B,0))</f>
        <v>0</v>
      </c>
      <c r="W19" s="40" t="str">
        <f>IFERROR(INT(1000/POWER(1.5,VLOOKUP(V19,[1]Discovery!$B:$H,7,FALSE)^1.6)),"-")</f>
        <v>-</v>
      </c>
      <c r="X19" s="72" t="str">
        <f>IFERROR(표8[[#This Row],[배당'[5']]]/$AB19,"-")</f>
        <v>-</v>
      </c>
      <c r="Y19" s="40" t="b">
        <f>INDEX([1]AdventureDiscoveryGroup!$AH:$AH,MATCH(표8[[#This Row],[열1]],[1]AdventureDiscoveryGroup!$B:$B,0))</f>
        <v>0</v>
      </c>
      <c r="Z19" s="40" t="str">
        <f>IFERROR(INT(1000/POWER(1.5,VLOOKUP(Y19,[1]Discovery!$B:$H,7,FALSE)^1.6)),"-")</f>
        <v>-</v>
      </c>
      <c r="AA19" s="72" t="str">
        <f>IFERROR(표8[[#This Row],[배당'[6']]]/$AB19,"-")</f>
        <v>-</v>
      </c>
      <c r="AB19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20" spans="2:28" x14ac:dyDescent="0.3">
      <c r="B20" s="39" t="str">
        <f>[1]LandExplore!E26</f>
        <v>베냉 부근</v>
      </c>
      <c r="C20" s="39" t="str">
        <f>INDEX([1]LandExplore!$B:$B,MATCH(표8[[#This Row],[육지]],[1]LandExplore!$E:$E,0))</f>
        <v>##서아프리카</v>
      </c>
      <c r="D20" s="39" t="str">
        <f>IFERROR(VLOOKUP(표8[[#This Row],[육지]],[3]!표1_6[[이름]:[선단 LV]],6,FALSE),"-")</f>
        <v>-</v>
      </c>
      <c r="E20" s="39" t="str">
        <f>IFERROR(VLOOKUP(표8[[#This Row],[육지]],[3]!표1_6[[이름]:[위도]],3,FALSE),"-")</f>
        <v>-</v>
      </c>
      <c r="F20" s="39" t="str">
        <f>IFERROR(VLOOKUP(표8[[#This Row],[육지]],[3]!표1_6[[이름]:[위도]],2,FALSE),"-")</f>
        <v>-</v>
      </c>
      <c r="G20" s="39" t="str">
        <f>INDEX([1]AdventureDiscoveryGroup!$D:$D,MATCH(표8[[#This Row],[열1]],[1]AdventureDiscoveryGroup!$B:$B,0))</f>
        <v>베냉 부근</v>
      </c>
      <c r="H20" s="39" t="str">
        <f>IFERROR(INT(1000/POWER(1.5,VLOOKUP(G20,[1]Discovery!$B:$H,7,FALSE)^1.6)),"-")</f>
        <v>-</v>
      </c>
      <c r="I20" s="72" t="str">
        <f>IFERROR(표8[[#This Row],[배당'[0']]]/$AB20,"-")</f>
        <v>-</v>
      </c>
      <c r="J20" s="39" t="b">
        <f>INDEX([1]AdventureDiscoveryGroup!$I:$I,MATCH(표8[[#This Row],[열1]],[1]AdventureDiscoveryGroup!$B:$B,0))</f>
        <v>0</v>
      </c>
      <c r="K20" s="39" t="str">
        <f>IFERROR(INT(1000/POWER(1.5,VLOOKUP(J20,[1]Discovery!$B:$H,7,FALSE)^1.6)),"-")</f>
        <v>-</v>
      </c>
      <c r="L20" s="72" t="str">
        <f>IFERROR(표8[[#This Row],[배당'[1']]]/$AB20,"-")</f>
        <v>-</v>
      </c>
      <c r="M20" s="39" t="b">
        <f>INDEX([1]AdventureDiscoveryGroup!$N:$N,MATCH(표8[[#This Row],[열1]],[1]AdventureDiscoveryGroup!$B:$B,0))</f>
        <v>0</v>
      </c>
      <c r="N20" s="39" t="str">
        <f>IFERROR(INT(1000/POWER(1.5,VLOOKUP(M20,[1]Discovery!$B:$H,7,FALSE)^1.6)),"-")</f>
        <v>-</v>
      </c>
      <c r="O20" s="72" t="str">
        <f>IFERROR(표8[[#This Row],[배당'[2']]]/$AB20,"-")</f>
        <v>-</v>
      </c>
      <c r="P20" s="39" t="b">
        <f>INDEX([1]AdventureDiscoveryGroup!$S:$S,MATCH(표8[[#This Row],[열1]],[1]AdventureDiscoveryGroup!$B:$B,0))</f>
        <v>0</v>
      </c>
      <c r="Q20" s="39" t="str">
        <f>IFERROR(INT(1000/POWER(1.5,VLOOKUP(P20,[1]Discovery!$B:$H,7,FALSE)^1.6)),"-")</f>
        <v>-</v>
      </c>
      <c r="R20" s="72" t="str">
        <f>IFERROR(표8[[#This Row],[배당'[3']]]/$AB20,"-")</f>
        <v>-</v>
      </c>
      <c r="S20" s="40" t="b">
        <f>INDEX([1]AdventureDiscoveryGroup!$X:$X,MATCH(표8[[#This Row],[열1]],[1]AdventureDiscoveryGroup!$B:$B,0))</f>
        <v>0</v>
      </c>
      <c r="T20" s="40" t="str">
        <f>IFERROR(INT(1000/POWER(1.5,VLOOKUP(S20,[1]Discovery!$B:$H,7,FALSE)^1.6)),"-")</f>
        <v>-</v>
      </c>
      <c r="U20" s="72" t="str">
        <f>IFERROR(표8[[#This Row],[배당'[4']]]/$AB20,"-")</f>
        <v>-</v>
      </c>
      <c r="V20" s="40" t="b">
        <f>INDEX([1]AdventureDiscoveryGroup!$AC:$AC,MATCH(표8[[#This Row],[열1]],[1]AdventureDiscoveryGroup!$B:$B,0))</f>
        <v>0</v>
      </c>
      <c r="W20" s="40" t="str">
        <f>IFERROR(INT(1000/POWER(1.5,VLOOKUP(V20,[1]Discovery!$B:$H,7,FALSE)^1.6)),"-")</f>
        <v>-</v>
      </c>
      <c r="X20" s="72" t="str">
        <f>IFERROR(표8[[#This Row],[배당'[5']]]/$AB20,"-")</f>
        <v>-</v>
      </c>
      <c r="Y20" s="40" t="b">
        <f>INDEX([1]AdventureDiscoveryGroup!$AH:$AH,MATCH(표8[[#This Row],[열1]],[1]AdventureDiscoveryGroup!$B:$B,0))</f>
        <v>0</v>
      </c>
      <c r="Z20" s="40" t="str">
        <f>IFERROR(INT(1000/POWER(1.5,VLOOKUP(Y20,[1]Discovery!$B:$H,7,FALSE)^1.6)),"-")</f>
        <v>-</v>
      </c>
      <c r="AA20" s="72" t="str">
        <f>IFERROR(표8[[#This Row],[배당'[6']]]/$AB20,"-")</f>
        <v>-</v>
      </c>
      <c r="AB20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21" spans="2:28" x14ac:dyDescent="0.3">
      <c r="B21" s="39" t="str">
        <f>[1]LandExplore!E27</f>
        <v>나이저강</v>
      </c>
      <c r="C21" s="39" t="str">
        <f>INDEX([1]LandExplore!$B:$B,MATCH(표8[[#This Row],[육지]],[1]LandExplore!$E:$E,0))</f>
        <v>##나이저강</v>
      </c>
      <c r="D21" s="39" t="str">
        <f>IFERROR(VLOOKUP(표8[[#This Row],[육지]],[3]!표1_6[[이름]:[선단 LV]],6,FALSE),"-")</f>
        <v>-</v>
      </c>
      <c r="E21" s="39" t="str">
        <f>IFERROR(VLOOKUP(표8[[#This Row],[육지]],[3]!표1_6[[이름]:[위도]],3,FALSE),"-")</f>
        <v>-</v>
      </c>
      <c r="F21" s="39" t="str">
        <f>IFERROR(VLOOKUP(표8[[#This Row],[육지]],[3]!표1_6[[이름]:[위도]],2,FALSE),"-")</f>
        <v>-</v>
      </c>
      <c r="G21" s="39" t="str">
        <f>INDEX([1]AdventureDiscoveryGroup!$D:$D,MATCH(표8[[#This Row],[열1]],[1]AdventureDiscoveryGroup!$B:$B,0))</f>
        <v>팀북투 부근</v>
      </c>
      <c r="H21" s="39" t="str">
        <f>IFERROR(INT(1000/POWER(1.5,VLOOKUP(G21,[1]Discovery!$B:$H,7,FALSE)^1.6)),"-")</f>
        <v>-</v>
      </c>
      <c r="I21" s="72" t="str">
        <f>IFERROR(표8[[#This Row],[배당'[0']]]/$AB21,"-")</f>
        <v>-</v>
      </c>
      <c r="J21" s="39" t="b">
        <f>INDEX([1]AdventureDiscoveryGroup!$I:$I,MATCH(표8[[#This Row],[열1]],[1]AdventureDiscoveryGroup!$B:$B,0))</f>
        <v>0</v>
      </c>
      <c r="K21" s="39" t="str">
        <f>IFERROR(INT(1000/POWER(1.5,VLOOKUP(J21,[1]Discovery!$B:$H,7,FALSE)^1.6)),"-")</f>
        <v>-</v>
      </c>
      <c r="L21" s="72" t="str">
        <f>IFERROR(표8[[#This Row],[배당'[1']]]/$AB21,"-")</f>
        <v>-</v>
      </c>
      <c r="M21" s="39" t="b">
        <f>INDEX([1]AdventureDiscoveryGroup!$N:$N,MATCH(표8[[#This Row],[열1]],[1]AdventureDiscoveryGroup!$B:$B,0))</f>
        <v>0</v>
      </c>
      <c r="N21" s="39" t="str">
        <f>IFERROR(INT(1000/POWER(1.5,VLOOKUP(M21,[1]Discovery!$B:$H,7,FALSE)^1.6)),"-")</f>
        <v>-</v>
      </c>
      <c r="O21" s="72" t="str">
        <f>IFERROR(표8[[#This Row],[배당'[2']]]/$AB21,"-")</f>
        <v>-</v>
      </c>
      <c r="P21" s="39" t="b">
        <f>INDEX([1]AdventureDiscoveryGroup!$S:$S,MATCH(표8[[#This Row],[열1]],[1]AdventureDiscoveryGroup!$B:$B,0))</f>
        <v>0</v>
      </c>
      <c r="Q21" s="39" t="str">
        <f>IFERROR(INT(1000/POWER(1.5,VLOOKUP(P21,[1]Discovery!$B:$H,7,FALSE)^1.6)),"-")</f>
        <v>-</v>
      </c>
      <c r="R21" s="72" t="str">
        <f>IFERROR(표8[[#This Row],[배당'[3']]]/$AB21,"-")</f>
        <v>-</v>
      </c>
      <c r="S21" s="40" t="b">
        <f>INDEX([1]AdventureDiscoveryGroup!$X:$X,MATCH(표8[[#This Row],[열1]],[1]AdventureDiscoveryGroup!$B:$B,0))</f>
        <v>0</v>
      </c>
      <c r="T21" s="40" t="str">
        <f>IFERROR(INT(1000/POWER(1.5,VLOOKUP(S21,[1]Discovery!$B:$H,7,FALSE)^1.6)),"-")</f>
        <v>-</v>
      </c>
      <c r="U21" s="72" t="str">
        <f>IFERROR(표8[[#This Row],[배당'[4']]]/$AB21,"-")</f>
        <v>-</v>
      </c>
      <c r="V21" s="40" t="b">
        <f>INDEX([1]AdventureDiscoveryGroup!$AC:$AC,MATCH(표8[[#This Row],[열1]],[1]AdventureDiscoveryGroup!$B:$B,0))</f>
        <v>0</v>
      </c>
      <c r="W21" s="40" t="str">
        <f>IFERROR(INT(1000/POWER(1.5,VLOOKUP(V21,[1]Discovery!$B:$H,7,FALSE)^1.6)),"-")</f>
        <v>-</v>
      </c>
      <c r="X21" s="72" t="str">
        <f>IFERROR(표8[[#This Row],[배당'[5']]]/$AB21,"-")</f>
        <v>-</v>
      </c>
      <c r="Y21" s="40" t="b">
        <f>INDEX([1]AdventureDiscoveryGroup!$AH:$AH,MATCH(표8[[#This Row],[열1]],[1]AdventureDiscoveryGroup!$B:$B,0))</f>
        <v>0</v>
      </c>
      <c r="Z21" s="40" t="str">
        <f>IFERROR(INT(1000/POWER(1.5,VLOOKUP(Y21,[1]Discovery!$B:$H,7,FALSE)^1.6)),"-")</f>
        <v>-</v>
      </c>
      <c r="AA21" s="72" t="str">
        <f>IFERROR(표8[[#This Row],[배당'[6']]]/$AB21,"-")</f>
        <v>-</v>
      </c>
      <c r="AB21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22" spans="2:28" x14ac:dyDescent="0.3">
      <c r="B22" s="39" t="str">
        <f>[1]LandExplore!E28</f>
        <v>콩고강</v>
      </c>
      <c r="C22" s="39" t="str">
        <f>INDEX([1]LandExplore!$B:$B,MATCH(표8[[#This Row],[육지]],[1]LandExplore!$E:$E,0))</f>
        <v>##콩고강</v>
      </c>
      <c r="D22" s="39" t="str">
        <f>IFERROR(VLOOKUP(표8[[#This Row],[육지]],[3]!표1_6[[이름]:[선단 LV]],6,FALSE),"-")</f>
        <v>-</v>
      </c>
      <c r="E22" s="39" t="str">
        <f>IFERROR(VLOOKUP(표8[[#This Row],[육지]],[3]!표1_6[[이름]:[위도]],3,FALSE),"-")</f>
        <v>-</v>
      </c>
      <c r="F22" s="39" t="str">
        <f>IFERROR(VLOOKUP(표8[[#This Row],[육지]],[3]!표1_6[[이름]:[위도]],2,FALSE),"-")</f>
        <v>-</v>
      </c>
      <c r="G22" s="39" t="str">
        <f>INDEX([1]AdventureDiscoveryGroup!$D:$D,MATCH(표8[[#This Row],[열1]],[1]AdventureDiscoveryGroup!$B:$B,0))</f>
        <v>카리비브 부근</v>
      </c>
      <c r="H22" s="39" t="str">
        <f>IFERROR(INT(1000/POWER(1.5,VLOOKUP(G22,[1]Discovery!$B:$H,7,FALSE)^1.6)),"-")</f>
        <v>-</v>
      </c>
      <c r="I22" s="72" t="str">
        <f>IFERROR(표8[[#This Row],[배당'[0']]]/$AB22,"-")</f>
        <v>-</v>
      </c>
      <c r="J22" s="39" t="b">
        <f>INDEX([1]AdventureDiscoveryGroup!$I:$I,MATCH(표8[[#This Row],[열1]],[1]AdventureDiscoveryGroup!$B:$B,0))</f>
        <v>0</v>
      </c>
      <c r="K22" s="39" t="str">
        <f>IFERROR(INT(1000/POWER(1.5,VLOOKUP(J22,[1]Discovery!$B:$H,7,FALSE)^1.6)),"-")</f>
        <v>-</v>
      </c>
      <c r="L22" s="72" t="str">
        <f>IFERROR(표8[[#This Row],[배당'[1']]]/$AB22,"-")</f>
        <v>-</v>
      </c>
      <c r="M22" s="39" t="b">
        <f>INDEX([1]AdventureDiscoveryGroup!$N:$N,MATCH(표8[[#This Row],[열1]],[1]AdventureDiscoveryGroup!$B:$B,0))</f>
        <v>0</v>
      </c>
      <c r="N22" s="39" t="str">
        <f>IFERROR(INT(1000/POWER(1.5,VLOOKUP(M22,[1]Discovery!$B:$H,7,FALSE)^1.6)),"-")</f>
        <v>-</v>
      </c>
      <c r="O22" s="72" t="str">
        <f>IFERROR(표8[[#This Row],[배당'[2']]]/$AB22,"-")</f>
        <v>-</v>
      </c>
      <c r="P22" s="39" t="b">
        <f>INDEX([1]AdventureDiscoveryGroup!$S:$S,MATCH(표8[[#This Row],[열1]],[1]AdventureDiscoveryGroup!$B:$B,0))</f>
        <v>0</v>
      </c>
      <c r="Q22" s="39" t="str">
        <f>IFERROR(INT(1000/POWER(1.5,VLOOKUP(P22,[1]Discovery!$B:$H,7,FALSE)^1.6)),"-")</f>
        <v>-</v>
      </c>
      <c r="R22" s="72" t="str">
        <f>IFERROR(표8[[#This Row],[배당'[3']]]/$AB22,"-")</f>
        <v>-</v>
      </c>
      <c r="S22" s="40" t="b">
        <f>INDEX([1]AdventureDiscoveryGroup!$X:$X,MATCH(표8[[#This Row],[열1]],[1]AdventureDiscoveryGroup!$B:$B,0))</f>
        <v>0</v>
      </c>
      <c r="T22" s="40" t="str">
        <f>IFERROR(INT(1000/POWER(1.5,VLOOKUP(S22,[1]Discovery!$B:$H,7,FALSE)^1.6)),"-")</f>
        <v>-</v>
      </c>
      <c r="U22" s="72" t="str">
        <f>IFERROR(표8[[#This Row],[배당'[4']]]/$AB22,"-")</f>
        <v>-</v>
      </c>
      <c r="V22" s="40" t="b">
        <f>INDEX([1]AdventureDiscoveryGroup!$AC:$AC,MATCH(표8[[#This Row],[열1]],[1]AdventureDiscoveryGroup!$B:$B,0))</f>
        <v>0</v>
      </c>
      <c r="W22" s="40" t="str">
        <f>IFERROR(INT(1000/POWER(1.5,VLOOKUP(V22,[1]Discovery!$B:$H,7,FALSE)^1.6)),"-")</f>
        <v>-</v>
      </c>
      <c r="X22" s="72" t="str">
        <f>IFERROR(표8[[#This Row],[배당'[5']]]/$AB22,"-")</f>
        <v>-</v>
      </c>
      <c r="Y22" s="40" t="b">
        <f>INDEX([1]AdventureDiscoveryGroup!$AH:$AH,MATCH(표8[[#This Row],[열1]],[1]AdventureDiscoveryGroup!$B:$B,0))</f>
        <v>0</v>
      </c>
      <c r="Z22" s="40" t="str">
        <f>IFERROR(INT(1000/POWER(1.5,VLOOKUP(Y22,[1]Discovery!$B:$H,7,FALSE)^1.6)),"-")</f>
        <v>-</v>
      </c>
      <c r="AA22" s="72" t="str">
        <f>IFERROR(표8[[#This Row],[배당'[6']]]/$AB22,"-")</f>
        <v>-</v>
      </c>
      <c r="AB22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23" spans="2:28" x14ac:dyDescent="0.3">
      <c r="B23" s="39" t="str">
        <f>[1]LandExplore!E29</f>
        <v>벵겔라 부근</v>
      </c>
      <c r="C23" s="39" t="str">
        <f>INDEX([1]LandExplore!$B:$B,MATCH(표8[[#This Row],[육지]],[1]LandExplore!$E:$E,0))</f>
        <v>##서아프리카(남)</v>
      </c>
      <c r="D23" s="39" t="str">
        <f>IFERROR(VLOOKUP(표8[[#This Row],[육지]],[3]!표1_6[[이름]:[선단 LV]],6,FALSE),"-")</f>
        <v>-</v>
      </c>
      <c r="E23" s="39" t="str">
        <f>IFERROR(VLOOKUP(표8[[#This Row],[육지]],[3]!표1_6[[이름]:[위도]],3,FALSE),"-")</f>
        <v>-</v>
      </c>
      <c r="F23" s="39" t="str">
        <f>IFERROR(VLOOKUP(표8[[#This Row],[육지]],[3]!표1_6[[이름]:[위도]],2,FALSE),"-")</f>
        <v>-</v>
      </c>
      <c r="G23" s="39" t="str">
        <f>INDEX([1]AdventureDiscoveryGroup!$D:$D,MATCH(표8[[#This Row],[열1]],[1]AdventureDiscoveryGroup!$B:$B,0))</f>
        <v>벵겔라 부근</v>
      </c>
      <c r="H23" s="39" t="str">
        <f>IFERROR(INT(1000/POWER(1.5,VLOOKUP(G23,[1]Discovery!$B:$H,7,FALSE)^1.6)),"-")</f>
        <v>-</v>
      </c>
      <c r="I23" s="72" t="str">
        <f>IFERROR(표8[[#This Row],[배당'[0']]]/$AB23,"-")</f>
        <v>-</v>
      </c>
      <c r="J23" s="39" t="b">
        <f>INDEX([1]AdventureDiscoveryGroup!$I:$I,MATCH(표8[[#This Row],[열1]],[1]AdventureDiscoveryGroup!$B:$B,0))</f>
        <v>0</v>
      </c>
      <c r="K23" s="39" t="str">
        <f>IFERROR(INT(1000/POWER(1.5,VLOOKUP(J23,[1]Discovery!$B:$H,7,FALSE)^1.6)),"-")</f>
        <v>-</v>
      </c>
      <c r="L23" s="72" t="str">
        <f>IFERROR(표8[[#This Row],[배당'[1']]]/$AB23,"-")</f>
        <v>-</v>
      </c>
      <c r="M23" s="39" t="b">
        <f>INDEX([1]AdventureDiscoveryGroup!$N:$N,MATCH(표8[[#This Row],[열1]],[1]AdventureDiscoveryGroup!$B:$B,0))</f>
        <v>0</v>
      </c>
      <c r="N23" s="39" t="str">
        <f>IFERROR(INT(1000/POWER(1.5,VLOOKUP(M23,[1]Discovery!$B:$H,7,FALSE)^1.6)),"-")</f>
        <v>-</v>
      </c>
      <c r="O23" s="72" t="str">
        <f>IFERROR(표8[[#This Row],[배당'[2']]]/$AB23,"-")</f>
        <v>-</v>
      </c>
      <c r="P23" s="39" t="b">
        <f>INDEX([1]AdventureDiscoveryGroup!$S:$S,MATCH(표8[[#This Row],[열1]],[1]AdventureDiscoveryGroup!$B:$B,0))</f>
        <v>0</v>
      </c>
      <c r="Q23" s="39" t="str">
        <f>IFERROR(INT(1000/POWER(1.5,VLOOKUP(P23,[1]Discovery!$B:$H,7,FALSE)^1.6)),"-")</f>
        <v>-</v>
      </c>
      <c r="R23" s="72" t="str">
        <f>IFERROR(표8[[#This Row],[배당'[3']]]/$AB23,"-")</f>
        <v>-</v>
      </c>
      <c r="S23" s="40" t="b">
        <f>INDEX([1]AdventureDiscoveryGroup!$X:$X,MATCH(표8[[#This Row],[열1]],[1]AdventureDiscoveryGroup!$B:$B,0))</f>
        <v>0</v>
      </c>
      <c r="T23" s="40" t="str">
        <f>IFERROR(INT(1000/POWER(1.5,VLOOKUP(S23,[1]Discovery!$B:$H,7,FALSE)^1.6)),"-")</f>
        <v>-</v>
      </c>
      <c r="U23" s="72" t="str">
        <f>IFERROR(표8[[#This Row],[배당'[4']]]/$AB23,"-")</f>
        <v>-</v>
      </c>
      <c r="V23" s="40" t="b">
        <f>INDEX([1]AdventureDiscoveryGroup!$AC:$AC,MATCH(표8[[#This Row],[열1]],[1]AdventureDiscoveryGroup!$B:$B,0))</f>
        <v>0</v>
      </c>
      <c r="W23" s="40" t="str">
        <f>IFERROR(INT(1000/POWER(1.5,VLOOKUP(V23,[1]Discovery!$B:$H,7,FALSE)^1.6)),"-")</f>
        <v>-</v>
      </c>
      <c r="X23" s="72" t="str">
        <f>IFERROR(표8[[#This Row],[배당'[5']]]/$AB23,"-")</f>
        <v>-</v>
      </c>
      <c r="Y23" s="40" t="b">
        <f>INDEX([1]AdventureDiscoveryGroup!$AH:$AH,MATCH(표8[[#This Row],[열1]],[1]AdventureDiscoveryGroup!$B:$B,0))</f>
        <v>0</v>
      </c>
      <c r="Z23" s="40" t="str">
        <f>IFERROR(INT(1000/POWER(1.5,VLOOKUP(Y23,[1]Discovery!$B:$H,7,FALSE)^1.6)),"-")</f>
        <v>-</v>
      </c>
      <c r="AA23" s="72" t="str">
        <f>IFERROR(표8[[#This Row],[배당'[6']]]/$AB23,"-")</f>
        <v>-</v>
      </c>
      <c r="AB23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24" spans="2:28" x14ac:dyDescent="0.3">
      <c r="B24" s="39" t="str">
        <f>[1]LandExplore!E30</f>
        <v>나탈 부근</v>
      </c>
      <c r="C24" s="39" t="str">
        <f>INDEX([1]LandExplore!$B:$B,MATCH(표8[[#This Row],[육지]],[1]LandExplore!$E:$E,0))</f>
        <v>##동아프리카(남)</v>
      </c>
      <c r="D24" s="39" t="str">
        <f>IFERROR(VLOOKUP(표8[[#This Row],[육지]],[3]!표1_6[[이름]:[선단 LV]],6,FALSE),"-")</f>
        <v>-</v>
      </c>
      <c r="E24" s="39" t="str">
        <f>IFERROR(VLOOKUP(표8[[#This Row],[육지]],[3]!표1_6[[이름]:[위도]],3,FALSE),"-")</f>
        <v>-</v>
      </c>
      <c r="F24" s="39" t="str">
        <f>IFERROR(VLOOKUP(표8[[#This Row],[육지]],[3]!표1_6[[이름]:[위도]],2,FALSE),"-")</f>
        <v>-</v>
      </c>
      <c r="G24" s="39" t="str">
        <f>INDEX([1]AdventureDiscoveryGroup!$D:$D,MATCH(표8[[#This Row],[열1]],[1]AdventureDiscoveryGroup!$B:$B,0))</f>
        <v>나탈 부근</v>
      </c>
      <c r="H24" s="39" t="str">
        <f>IFERROR(INT(1000/POWER(1.5,VLOOKUP(G24,[1]Discovery!$B:$H,7,FALSE)^1.6)),"-")</f>
        <v>-</v>
      </c>
      <c r="I24" s="72" t="str">
        <f>IFERROR(표8[[#This Row],[배당'[0']]]/$AB24,"-")</f>
        <v>-</v>
      </c>
      <c r="J24" s="39" t="b">
        <f>INDEX([1]AdventureDiscoveryGroup!$I:$I,MATCH(표8[[#This Row],[열1]],[1]AdventureDiscoveryGroup!$B:$B,0))</f>
        <v>0</v>
      </c>
      <c r="K24" s="39" t="str">
        <f>IFERROR(INT(1000/POWER(1.5,VLOOKUP(J24,[1]Discovery!$B:$H,7,FALSE)^1.6)),"-")</f>
        <v>-</v>
      </c>
      <c r="L24" s="72" t="str">
        <f>IFERROR(표8[[#This Row],[배당'[1']]]/$AB24,"-")</f>
        <v>-</v>
      </c>
      <c r="M24" s="39" t="b">
        <f>INDEX([1]AdventureDiscoveryGroup!$N:$N,MATCH(표8[[#This Row],[열1]],[1]AdventureDiscoveryGroup!$B:$B,0))</f>
        <v>0</v>
      </c>
      <c r="N24" s="39" t="str">
        <f>IFERROR(INT(1000/POWER(1.5,VLOOKUP(M24,[1]Discovery!$B:$H,7,FALSE)^1.6)),"-")</f>
        <v>-</v>
      </c>
      <c r="O24" s="72" t="str">
        <f>IFERROR(표8[[#This Row],[배당'[2']]]/$AB24,"-")</f>
        <v>-</v>
      </c>
      <c r="P24" s="39" t="b">
        <f>INDEX([1]AdventureDiscoveryGroup!$S:$S,MATCH(표8[[#This Row],[열1]],[1]AdventureDiscoveryGroup!$B:$B,0))</f>
        <v>0</v>
      </c>
      <c r="Q24" s="39" t="str">
        <f>IFERROR(INT(1000/POWER(1.5,VLOOKUP(P24,[1]Discovery!$B:$H,7,FALSE)^1.6)),"-")</f>
        <v>-</v>
      </c>
      <c r="R24" s="72" t="str">
        <f>IFERROR(표8[[#This Row],[배당'[3']]]/$AB24,"-")</f>
        <v>-</v>
      </c>
      <c r="S24" s="40" t="b">
        <f>INDEX([1]AdventureDiscoveryGroup!$X:$X,MATCH(표8[[#This Row],[열1]],[1]AdventureDiscoveryGroup!$B:$B,0))</f>
        <v>0</v>
      </c>
      <c r="T24" s="40" t="str">
        <f>IFERROR(INT(1000/POWER(1.5,VLOOKUP(S24,[1]Discovery!$B:$H,7,FALSE)^1.6)),"-")</f>
        <v>-</v>
      </c>
      <c r="U24" s="72" t="str">
        <f>IFERROR(표8[[#This Row],[배당'[4']]]/$AB24,"-")</f>
        <v>-</v>
      </c>
      <c r="V24" s="40" t="b">
        <f>INDEX([1]AdventureDiscoveryGroup!$AC:$AC,MATCH(표8[[#This Row],[열1]],[1]AdventureDiscoveryGroup!$B:$B,0))</f>
        <v>0</v>
      </c>
      <c r="W24" s="40" t="str">
        <f>IFERROR(INT(1000/POWER(1.5,VLOOKUP(V24,[1]Discovery!$B:$H,7,FALSE)^1.6)),"-")</f>
        <v>-</v>
      </c>
      <c r="X24" s="72" t="str">
        <f>IFERROR(표8[[#This Row],[배당'[5']]]/$AB24,"-")</f>
        <v>-</v>
      </c>
      <c r="Y24" s="40" t="b">
        <f>INDEX([1]AdventureDiscoveryGroup!$AH:$AH,MATCH(표8[[#This Row],[열1]],[1]AdventureDiscoveryGroup!$B:$B,0))</f>
        <v>0</v>
      </c>
      <c r="Z24" s="40" t="str">
        <f>IFERROR(INT(1000/POWER(1.5,VLOOKUP(Y24,[1]Discovery!$B:$H,7,FALSE)^1.6)),"-")</f>
        <v>-</v>
      </c>
      <c r="AA24" s="72" t="str">
        <f>IFERROR(표8[[#This Row],[배당'[6']]]/$AB24,"-")</f>
        <v>-</v>
      </c>
      <c r="AB24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25" spans="2:28" x14ac:dyDescent="0.3">
      <c r="B25" s="39" t="str">
        <f>[1]LandExplore!E31</f>
        <v>잠베지강</v>
      </c>
      <c r="C25" s="39" t="str">
        <f>INDEX([1]LandExplore!$B:$B,MATCH(표8[[#This Row],[육지]],[1]LandExplore!$E:$E,0))</f>
        <v>##짐베지강</v>
      </c>
      <c r="D25" s="39" t="str">
        <f>IFERROR(VLOOKUP(표8[[#This Row],[육지]],[3]!표1_6[[이름]:[선단 LV]],6,FALSE),"-")</f>
        <v>-</v>
      </c>
      <c r="E25" s="39" t="str">
        <f>IFERROR(VLOOKUP(표8[[#This Row],[육지]],[3]!표1_6[[이름]:[위도]],3,FALSE),"-")</f>
        <v>-</v>
      </c>
      <c r="F25" s="39" t="str">
        <f>IFERROR(VLOOKUP(표8[[#This Row],[육지]],[3]!표1_6[[이름]:[위도]],2,FALSE),"-")</f>
        <v>-</v>
      </c>
      <c r="G25" s="39" t="str">
        <f>INDEX([1]AdventureDiscoveryGroup!$D:$D,MATCH(표8[[#This Row],[열1]],[1]AdventureDiscoveryGroup!$B:$B,0))</f>
        <v>소팔라 부근</v>
      </c>
      <c r="H25" s="39" t="str">
        <f>IFERROR(INT(1000/POWER(1.5,VLOOKUP(G25,[1]Discovery!$B:$H,7,FALSE)^1.6)),"-")</f>
        <v>-</v>
      </c>
      <c r="I25" s="72" t="str">
        <f>IFERROR(표8[[#This Row],[배당'[0']]]/$AB25,"-")</f>
        <v>-</v>
      </c>
      <c r="J25" s="39" t="b">
        <f>INDEX([1]AdventureDiscoveryGroup!$I:$I,MATCH(표8[[#This Row],[열1]],[1]AdventureDiscoveryGroup!$B:$B,0))</f>
        <v>0</v>
      </c>
      <c r="K25" s="39" t="str">
        <f>IFERROR(INT(1000/POWER(1.5,VLOOKUP(J25,[1]Discovery!$B:$H,7,FALSE)^1.6)),"-")</f>
        <v>-</v>
      </c>
      <c r="L25" s="72" t="str">
        <f>IFERROR(표8[[#This Row],[배당'[1']]]/$AB25,"-")</f>
        <v>-</v>
      </c>
      <c r="M25" s="39" t="b">
        <f>INDEX([1]AdventureDiscoveryGroup!$N:$N,MATCH(표8[[#This Row],[열1]],[1]AdventureDiscoveryGroup!$B:$B,0))</f>
        <v>0</v>
      </c>
      <c r="N25" s="39" t="str">
        <f>IFERROR(INT(1000/POWER(1.5,VLOOKUP(M25,[1]Discovery!$B:$H,7,FALSE)^1.6)),"-")</f>
        <v>-</v>
      </c>
      <c r="O25" s="72" t="str">
        <f>IFERROR(표8[[#This Row],[배당'[2']]]/$AB25,"-")</f>
        <v>-</v>
      </c>
      <c r="P25" s="39" t="b">
        <f>INDEX([1]AdventureDiscoveryGroup!$S:$S,MATCH(표8[[#This Row],[열1]],[1]AdventureDiscoveryGroup!$B:$B,0))</f>
        <v>0</v>
      </c>
      <c r="Q25" s="39" t="str">
        <f>IFERROR(INT(1000/POWER(1.5,VLOOKUP(P25,[1]Discovery!$B:$H,7,FALSE)^1.6)),"-")</f>
        <v>-</v>
      </c>
      <c r="R25" s="72" t="str">
        <f>IFERROR(표8[[#This Row],[배당'[3']]]/$AB25,"-")</f>
        <v>-</v>
      </c>
      <c r="S25" s="40" t="b">
        <f>INDEX([1]AdventureDiscoveryGroup!$X:$X,MATCH(표8[[#This Row],[열1]],[1]AdventureDiscoveryGroup!$B:$B,0))</f>
        <v>0</v>
      </c>
      <c r="T25" s="40" t="str">
        <f>IFERROR(INT(1000/POWER(1.5,VLOOKUP(S25,[1]Discovery!$B:$H,7,FALSE)^1.6)),"-")</f>
        <v>-</v>
      </c>
      <c r="U25" s="72" t="str">
        <f>IFERROR(표8[[#This Row],[배당'[4']]]/$AB25,"-")</f>
        <v>-</v>
      </c>
      <c r="V25" s="40" t="b">
        <f>INDEX([1]AdventureDiscoveryGroup!$AC:$AC,MATCH(표8[[#This Row],[열1]],[1]AdventureDiscoveryGroup!$B:$B,0))</f>
        <v>0</v>
      </c>
      <c r="W25" s="40" t="str">
        <f>IFERROR(INT(1000/POWER(1.5,VLOOKUP(V25,[1]Discovery!$B:$H,7,FALSE)^1.6)),"-")</f>
        <v>-</v>
      </c>
      <c r="X25" s="72" t="str">
        <f>IFERROR(표8[[#This Row],[배당'[5']]]/$AB25,"-")</f>
        <v>-</v>
      </c>
      <c r="Y25" s="40" t="b">
        <f>INDEX([1]AdventureDiscoveryGroup!$AH:$AH,MATCH(표8[[#This Row],[열1]],[1]AdventureDiscoveryGroup!$B:$B,0))</f>
        <v>0</v>
      </c>
      <c r="Z25" s="40" t="str">
        <f>IFERROR(INT(1000/POWER(1.5,VLOOKUP(Y25,[1]Discovery!$B:$H,7,FALSE)^1.6)),"-")</f>
        <v>-</v>
      </c>
      <c r="AA25" s="72" t="str">
        <f>IFERROR(표8[[#This Row],[배당'[6']]]/$AB25,"-")</f>
        <v>-</v>
      </c>
      <c r="AB25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26" spans="2:28" x14ac:dyDescent="0.3">
      <c r="B26" s="39" t="str">
        <f>[1]LandExplore!E32</f>
        <v>토아마시나 부근</v>
      </c>
      <c r="C26" s="39" t="str">
        <f>INDEX([1]LandExplore!$B:$B,MATCH(표8[[#This Row],[육지]],[1]LandExplore!$E:$E,0))</f>
        <v>##동아프리카(마다)</v>
      </c>
      <c r="D26" s="39" t="str">
        <f>IFERROR(VLOOKUP(표8[[#This Row],[육지]],[3]!표1_6[[이름]:[선단 LV]],6,FALSE),"-")</f>
        <v>-</v>
      </c>
      <c r="E26" s="39" t="str">
        <f>IFERROR(VLOOKUP(표8[[#This Row],[육지]],[3]!표1_6[[이름]:[위도]],3,FALSE),"-")</f>
        <v>-</v>
      </c>
      <c r="F26" s="39" t="str">
        <f>IFERROR(VLOOKUP(표8[[#This Row],[육지]],[3]!표1_6[[이름]:[위도]],2,FALSE),"-")</f>
        <v>-</v>
      </c>
      <c r="G26" s="39" t="str">
        <f>INDEX([1]AdventureDiscoveryGroup!$D:$D,MATCH(표8[[#This Row],[열1]],[1]AdventureDiscoveryGroup!$B:$B,0))</f>
        <v>토아마시나 부근</v>
      </c>
      <c r="H26" s="39" t="str">
        <f>IFERROR(INT(1000/POWER(1.5,VLOOKUP(G26,[1]Discovery!$B:$H,7,FALSE)^1.6)),"-")</f>
        <v>-</v>
      </c>
      <c r="I26" s="72" t="str">
        <f>IFERROR(표8[[#This Row],[배당'[0']]]/$AB26,"-")</f>
        <v>-</v>
      </c>
      <c r="J26" s="39" t="b">
        <f>INDEX([1]AdventureDiscoveryGroup!$I:$I,MATCH(표8[[#This Row],[열1]],[1]AdventureDiscoveryGroup!$B:$B,0))</f>
        <v>0</v>
      </c>
      <c r="K26" s="39" t="str">
        <f>IFERROR(INT(1000/POWER(1.5,VLOOKUP(J26,[1]Discovery!$B:$H,7,FALSE)^1.6)),"-")</f>
        <v>-</v>
      </c>
      <c r="L26" s="72" t="str">
        <f>IFERROR(표8[[#This Row],[배당'[1']]]/$AB26,"-")</f>
        <v>-</v>
      </c>
      <c r="M26" s="39" t="b">
        <f>INDEX([1]AdventureDiscoveryGroup!$N:$N,MATCH(표8[[#This Row],[열1]],[1]AdventureDiscoveryGroup!$B:$B,0))</f>
        <v>0</v>
      </c>
      <c r="N26" s="39" t="str">
        <f>IFERROR(INT(1000/POWER(1.5,VLOOKUP(M26,[1]Discovery!$B:$H,7,FALSE)^1.6)),"-")</f>
        <v>-</v>
      </c>
      <c r="O26" s="72" t="str">
        <f>IFERROR(표8[[#This Row],[배당'[2']]]/$AB26,"-")</f>
        <v>-</v>
      </c>
      <c r="P26" s="39" t="b">
        <f>INDEX([1]AdventureDiscoveryGroup!$S:$S,MATCH(표8[[#This Row],[열1]],[1]AdventureDiscoveryGroup!$B:$B,0))</f>
        <v>0</v>
      </c>
      <c r="Q26" s="39" t="str">
        <f>IFERROR(INT(1000/POWER(1.5,VLOOKUP(P26,[1]Discovery!$B:$H,7,FALSE)^1.6)),"-")</f>
        <v>-</v>
      </c>
      <c r="R26" s="72" t="str">
        <f>IFERROR(표8[[#This Row],[배당'[3']]]/$AB26,"-")</f>
        <v>-</v>
      </c>
      <c r="S26" s="40" t="b">
        <f>INDEX([1]AdventureDiscoveryGroup!$X:$X,MATCH(표8[[#This Row],[열1]],[1]AdventureDiscoveryGroup!$B:$B,0))</f>
        <v>0</v>
      </c>
      <c r="T26" s="40" t="str">
        <f>IFERROR(INT(1000/POWER(1.5,VLOOKUP(S26,[1]Discovery!$B:$H,7,FALSE)^1.6)),"-")</f>
        <v>-</v>
      </c>
      <c r="U26" s="72" t="str">
        <f>IFERROR(표8[[#This Row],[배당'[4']]]/$AB26,"-")</f>
        <v>-</v>
      </c>
      <c r="V26" s="40" t="b">
        <f>INDEX([1]AdventureDiscoveryGroup!$AC:$AC,MATCH(표8[[#This Row],[열1]],[1]AdventureDiscoveryGroup!$B:$B,0))</f>
        <v>0</v>
      </c>
      <c r="W26" s="40" t="str">
        <f>IFERROR(INT(1000/POWER(1.5,VLOOKUP(V26,[1]Discovery!$B:$H,7,FALSE)^1.6)),"-")</f>
        <v>-</v>
      </c>
      <c r="X26" s="72" t="str">
        <f>IFERROR(표8[[#This Row],[배당'[5']]]/$AB26,"-")</f>
        <v>-</v>
      </c>
      <c r="Y26" s="40" t="b">
        <f>INDEX([1]AdventureDiscoveryGroup!$AH:$AH,MATCH(표8[[#This Row],[열1]],[1]AdventureDiscoveryGroup!$B:$B,0))</f>
        <v>0</v>
      </c>
      <c r="Z26" s="40" t="str">
        <f>IFERROR(INT(1000/POWER(1.5,VLOOKUP(Y26,[1]Discovery!$B:$H,7,FALSE)^1.6)),"-")</f>
        <v>-</v>
      </c>
      <c r="AA26" s="72" t="str">
        <f>IFERROR(표8[[#This Row],[배당'[6']]]/$AB26,"-")</f>
        <v>-</v>
      </c>
      <c r="AB26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27" spans="2:28" x14ac:dyDescent="0.3">
      <c r="B27" s="39" t="str">
        <f>[1]LandExplore!E33</f>
        <v>마사와 부근</v>
      </c>
      <c r="C27" s="39" t="str">
        <f>INDEX([1]LandExplore!$B:$B,MATCH(표8[[#This Row],[육지]],[1]LandExplore!$E:$E,0))</f>
        <v>##동아프리카(북)</v>
      </c>
      <c r="D27" s="39" t="str">
        <f>IFERROR(VLOOKUP(표8[[#This Row],[육지]],[3]!표1_6[[이름]:[선단 LV]],6,FALSE),"-")</f>
        <v>-</v>
      </c>
      <c r="E27" s="39" t="str">
        <f>IFERROR(VLOOKUP(표8[[#This Row],[육지]],[3]!표1_6[[이름]:[위도]],3,FALSE),"-")</f>
        <v>-</v>
      </c>
      <c r="F27" s="39" t="str">
        <f>IFERROR(VLOOKUP(표8[[#This Row],[육지]],[3]!표1_6[[이름]:[위도]],2,FALSE),"-")</f>
        <v>-</v>
      </c>
      <c r="G27" s="39" t="str">
        <f>INDEX([1]AdventureDiscoveryGroup!$D:$D,MATCH(표8[[#This Row],[열1]],[1]AdventureDiscoveryGroup!$B:$B,0))</f>
        <v>마사와 부근</v>
      </c>
      <c r="H27" s="39" t="str">
        <f>IFERROR(INT(1000/POWER(1.5,VLOOKUP(G27,[1]Discovery!$B:$H,7,FALSE)^1.6)),"-")</f>
        <v>-</v>
      </c>
      <c r="I27" s="72" t="str">
        <f>IFERROR(표8[[#This Row],[배당'[0']]]/$AB27,"-")</f>
        <v>-</v>
      </c>
      <c r="J27" s="39" t="b">
        <f>INDEX([1]AdventureDiscoveryGroup!$I:$I,MATCH(표8[[#This Row],[열1]],[1]AdventureDiscoveryGroup!$B:$B,0))</f>
        <v>0</v>
      </c>
      <c r="K27" s="39" t="str">
        <f>IFERROR(INT(1000/POWER(1.5,VLOOKUP(J27,[1]Discovery!$B:$H,7,FALSE)^1.6)),"-")</f>
        <v>-</v>
      </c>
      <c r="L27" s="72" t="str">
        <f>IFERROR(표8[[#This Row],[배당'[1']]]/$AB27,"-")</f>
        <v>-</v>
      </c>
      <c r="M27" s="39" t="b">
        <f>INDEX([1]AdventureDiscoveryGroup!$N:$N,MATCH(표8[[#This Row],[열1]],[1]AdventureDiscoveryGroup!$B:$B,0))</f>
        <v>0</v>
      </c>
      <c r="N27" s="39" t="str">
        <f>IFERROR(INT(1000/POWER(1.5,VLOOKUP(M27,[1]Discovery!$B:$H,7,FALSE)^1.6)),"-")</f>
        <v>-</v>
      </c>
      <c r="O27" s="72" t="str">
        <f>IFERROR(표8[[#This Row],[배당'[2']]]/$AB27,"-")</f>
        <v>-</v>
      </c>
      <c r="P27" s="39" t="b">
        <f>INDEX([1]AdventureDiscoveryGroup!$S:$S,MATCH(표8[[#This Row],[열1]],[1]AdventureDiscoveryGroup!$B:$B,0))</f>
        <v>0</v>
      </c>
      <c r="Q27" s="39" t="str">
        <f>IFERROR(INT(1000/POWER(1.5,VLOOKUP(P27,[1]Discovery!$B:$H,7,FALSE)^1.6)),"-")</f>
        <v>-</v>
      </c>
      <c r="R27" s="72" t="str">
        <f>IFERROR(표8[[#This Row],[배당'[3']]]/$AB27,"-")</f>
        <v>-</v>
      </c>
      <c r="S27" s="40" t="b">
        <f>INDEX([1]AdventureDiscoveryGroup!$X:$X,MATCH(표8[[#This Row],[열1]],[1]AdventureDiscoveryGroup!$B:$B,0))</f>
        <v>0</v>
      </c>
      <c r="T27" s="40" t="str">
        <f>IFERROR(INT(1000/POWER(1.5,VLOOKUP(S27,[1]Discovery!$B:$H,7,FALSE)^1.6)),"-")</f>
        <v>-</v>
      </c>
      <c r="U27" s="72" t="str">
        <f>IFERROR(표8[[#This Row],[배당'[4']]]/$AB27,"-")</f>
        <v>-</v>
      </c>
      <c r="V27" s="40" t="b">
        <f>INDEX([1]AdventureDiscoveryGroup!$AC:$AC,MATCH(표8[[#This Row],[열1]],[1]AdventureDiscoveryGroup!$B:$B,0))</f>
        <v>0</v>
      </c>
      <c r="W27" s="40" t="str">
        <f>IFERROR(INT(1000/POWER(1.5,VLOOKUP(V27,[1]Discovery!$B:$H,7,FALSE)^1.6)),"-")</f>
        <v>-</v>
      </c>
      <c r="X27" s="72" t="str">
        <f>IFERROR(표8[[#This Row],[배당'[5']]]/$AB27,"-")</f>
        <v>-</v>
      </c>
      <c r="Y27" s="40" t="b">
        <f>INDEX([1]AdventureDiscoveryGroup!$AH:$AH,MATCH(표8[[#This Row],[열1]],[1]AdventureDiscoveryGroup!$B:$B,0))</f>
        <v>0</v>
      </c>
      <c r="Z27" s="40" t="str">
        <f>IFERROR(INT(1000/POWER(1.5,VLOOKUP(Y27,[1]Discovery!$B:$H,7,FALSE)^1.6)),"-")</f>
        <v>-</v>
      </c>
      <c r="AA27" s="72" t="str">
        <f>IFERROR(표8[[#This Row],[배당'[6']]]/$AB27,"-")</f>
        <v>-</v>
      </c>
      <c r="AB27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28" spans="2:28" x14ac:dyDescent="0.3">
      <c r="B28" s="39" t="str">
        <f>[1]LandExplore!E34</f>
        <v>나일강</v>
      </c>
      <c r="C28" s="39" t="str">
        <f>INDEX([1]LandExplore!$B:$B,MATCH(표8[[#This Row],[육지]],[1]LandExplore!$E:$E,0))</f>
        <v>##나일강</v>
      </c>
      <c r="D28" s="39" t="str">
        <f>IFERROR(VLOOKUP(표8[[#This Row],[육지]],[3]!표1_6[[이름]:[선단 LV]],6,FALSE),"-")</f>
        <v>-</v>
      </c>
      <c r="E28" s="39" t="str">
        <f>IFERROR(VLOOKUP(표8[[#This Row],[육지]],[3]!표1_6[[이름]:[위도]],3,FALSE),"-")</f>
        <v>-</v>
      </c>
      <c r="F28" s="39" t="str">
        <f>IFERROR(VLOOKUP(표8[[#This Row],[육지]],[3]!표1_6[[이름]:[위도]],2,FALSE),"-")</f>
        <v>-</v>
      </c>
      <c r="G28" s="39" t="str">
        <f>INDEX([1]AdventureDiscoveryGroup!$D:$D,MATCH(표8[[#This Row],[열1]],[1]AdventureDiscoveryGroup!$B:$B,0))</f>
        <v>알카히라 부근</v>
      </c>
      <c r="H28" s="39" t="str">
        <f>IFERROR(INT(1000/POWER(1.5,VLOOKUP(G28,[1]Discovery!$B:$H,7,FALSE)^1.6)),"-")</f>
        <v>-</v>
      </c>
      <c r="I28" s="72" t="str">
        <f>IFERROR(표8[[#This Row],[배당'[0']]]/$AB28,"-")</f>
        <v>-</v>
      </c>
      <c r="J28" s="39" t="b">
        <f>INDEX([1]AdventureDiscoveryGroup!$I:$I,MATCH(표8[[#This Row],[열1]],[1]AdventureDiscoveryGroup!$B:$B,0))</f>
        <v>0</v>
      </c>
      <c r="K28" s="39" t="str">
        <f>IFERROR(INT(1000/POWER(1.5,VLOOKUP(J28,[1]Discovery!$B:$H,7,FALSE)^1.6)),"-")</f>
        <v>-</v>
      </c>
      <c r="L28" s="72" t="str">
        <f>IFERROR(표8[[#This Row],[배당'[1']]]/$AB28,"-")</f>
        <v>-</v>
      </c>
      <c r="M28" s="39" t="b">
        <f>INDEX([1]AdventureDiscoveryGroup!$N:$N,MATCH(표8[[#This Row],[열1]],[1]AdventureDiscoveryGroup!$B:$B,0))</f>
        <v>0</v>
      </c>
      <c r="N28" s="39" t="str">
        <f>IFERROR(INT(1000/POWER(1.5,VLOOKUP(M28,[1]Discovery!$B:$H,7,FALSE)^1.6)),"-")</f>
        <v>-</v>
      </c>
      <c r="O28" s="72" t="str">
        <f>IFERROR(표8[[#This Row],[배당'[2']]]/$AB28,"-")</f>
        <v>-</v>
      </c>
      <c r="P28" s="39" t="b">
        <f>INDEX([1]AdventureDiscoveryGroup!$S:$S,MATCH(표8[[#This Row],[열1]],[1]AdventureDiscoveryGroup!$B:$B,0))</f>
        <v>0</v>
      </c>
      <c r="Q28" s="39" t="str">
        <f>IFERROR(INT(1000/POWER(1.5,VLOOKUP(P28,[1]Discovery!$B:$H,7,FALSE)^1.6)),"-")</f>
        <v>-</v>
      </c>
      <c r="R28" s="72" t="str">
        <f>IFERROR(표8[[#This Row],[배당'[3']]]/$AB28,"-")</f>
        <v>-</v>
      </c>
      <c r="S28" s="40" t="b">
        <f>INDEX([1]AdventureDiscoveryGroup!$X:$X,MATCH(표8[[#This Row],[열1]],[1]AdventureDiscoveryGroup!$B:$B,0))</f>
        <v>0</v>
      </c>
      <c r="T28" s="40" t="str">
        <f>IFERROR(INT(1000/POWER(1.5,VLOOKUP(S28,[1]Discovery!$B:$H,7,FALSE)^1.6)),"-")</f>
        <v>-</v>
      </c>
      <c r="U28" s="72" t="str">
        <f>IFERROR(표8[[#This Row],[배당'[4']]]/$AB28,"-")</f>
        <v>-</v>
      </c>
      <c r="V28" s="40" t="b">
        <f>INDEX([1]AdventureDiscoveryGroup!$AC:$AC,MATCH(표8[[#This Row],[열1]],[1]AdventureDiscoveryGroup!$B:$B,0))</f>
        <v>0</v>
      </c>
      <c r="W28" s="40" t="str">
        <f>IFERROR(INT(1000/POWER(1.5,VLOOKUP(V28,[1]Discovery!$B:$H,7,FALSE)^1.6)),"-")</f>
        <v>-</v>
      </c>
      <c r="X28" s="72" t="str">
        <f>IFERROR(표8[[#This Row],[배당'[5']]]/$AB28,"-")</f>
        <v>-</v>
      </c>
      <c r="Y28" s="40" t="b">
        <f>INDEX([1]AdventureDiscoveryGroup!$AH:$AH,MATCH(표8[[#This Row],[열1]],[1]AdventureDiscoveryGroup!$B:$B,0))</f>
        <v>0</v>
      </c>
      <c r="Z28" s="40" t="str">
        <f>IFERROR(INT(1000/POWER(1.5,VLOOKUP(Y28,[1]Discovery!$B:$H,7,FALSE)^1.6)),"-")</f>
        <v>-</v>
      </c>
      <c r="AA28" s="72" t="str">
        <f>IFERROR(표8[[#This Row],[배당'[6']]]/$AB28,"-")</f>
        <v>-</v>
      </c>
      <c r="AB28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29" spans="2:28" x14ac:dyDescent="0.3">
      <c r="B29" s="39" t="str">
        <f>[1]LandExplore!E35</f>
        <v>영일 부근</v>
      </c>
      <c r="C29" s="39" t="str">
        <f>INDEX([1]LandExplore!$B:$B,MATCH(표8[[#This Row],[육지]],[1]LandExplore!$E:$E,0))</f>
        <v>##조선 동해안</v>
      </c>
      <c r="D29" s="39" t="str">
        <f>IFERROR(VLOOKUP(표8[[#This Row],[육지]],[3]!표1_6[[이름]:[선단 LV]],6,FALSE),"-")</f>
        <v>-</v>
      </c>
      <c r="E29" s="39" t="str">
        <f>IFERROR(VLOOKUP(표8[[#This Row],[육지]],[3]!표1_6[[이름]:[위도]],3,FALSE),"-")</f>
        <v>-</v>
      </c>
      <c r="F29" s="39" t="str">
        <f>IFERROR(VLOOKUP(표8[[#This Row],[육지]],[3]!표1_6[[이름]:[위도]],2,FALSE),"-")</f>
        <v>-</v>
      </c>
      <c r="G29" s="39" t="str">
        <f>INDEX([1]AdventureDiscoveryGroup!$D:$D,MATCH(표8[[#This Row],[열1]],[1]AdventureDiscoveryGroup!$B:$B,0))</f>
        <v>영일 부근</v>
      </c>
      <c r="H29" s="39" t="str">
        <f>IFERROR(INT(1000/POWER(1.5,VLOOKUP(G29,[1]Discovery!$B:$H,7,FALSE)^1.6)),"-")</f>
        <v>-</v>
      </c>
      <c r="I29" s="72" t="str">
        <f>IFERROR(표8[[#This Row],[배당'[0']]]/$AB29,"-")</f>
        <v>-</v>
      </c>
      <c r="J29" s="39" t="b">
        <f>INDEX([1]AdventureDiscoveryGroup!$I:$I,MATCH(표8[[#This Row],[열1]],[1]AdventureDiscoveryGroup!$B:$B,0))</f>
        <v>0</v>
      </c>
      <c r="K29" s="39" t="str">
        <f>IFERROR(INT(1000/POWER(1.5,VLOOKUP(J29,[1]Discovery!$B:$H,7,FALSE)^1.6)),"-")</f>
        <v>-</v>
      </c>
      <c r="L29" s="72" t="str">
        <f>IFERROR(표8[[#This Row],[배당'[1']]]/$AB29,"-")</f>
        <v>-</v>
      </c>
      <c r="M29" s="39" t="b">
        <f>INDEX([1]AdventureDiscoveryGroup!$N:$N,MATCH(표8[[#This Row],[열1]],[1]AdventureDiscoveryGroup!$B:$B,0))</f>
        <v>0</v>
      </c>
      <c r="N29" s="39" t="str">
        <f>IFERROR(INT(1000/POWER(1.5,VLOOKUP(M29,[1]Discovery!$B:$H,7,FALSE)^1.6)),"-")</f>
        <v>-</v>
      </c>
      <c r="O29" s="72" t="str">
        <f>IFERROR(표8[[#This Row],[배당'[2']]]/$AB29,"-")</f>
        <v>-</v>
      </c>
      <c r="P29" s="39" t="b">
        <f>INDEX([1]AdventureDiscoveryGroup!$S:$S,MATCH(표8[[#This Row],[열1]],[1]AdventureDiscoveryGroup!$B:$B,0))</f>
        <v>0</v>
      </c>
      <c r="Q29" s="39" t="str">
        <f>IFERROR(INT(1000/POWER(1.5,VLOOKUP(P29,[1]Discovery!$B:$H,7,FALSE)^1.6)),"-")</f>
        <v>-</v>
      </c>
      <c r="R29" s="72" t="str">
        <f>IFERROR(표8[[#This Row],[배당'[3']]]/$AB29,"-")</f>
        <v>-</v>
      </c>
      <c r="S29" s="40" t="b">
        <f>INDEX([1]AdventureDiscoveryGroup!$X:$X,MATCH(표8[[#This Row],[열1]],[1]AdventureDiscoveryGroup!$B:$B,0))</f>
        <v>0</v>
      </c>
      <c r="T29" s="40" t="str">
        <f>IFERROR(INT(1000/POWER(1.5,VLOOKUP(S29,[1]Discovery!$B:$H,7,FALSE)^1.6)),"-")</f>
        <v>-</v>
      </c>
      <c r="U29" s="72" t="str">
        <f>IFERROR(표8[[#This Row],[배당'[4']]]/$AB29,"-")</f>
        <v>-</v>
      </c>
      <c r="V29" s="40" t="b">
        <f>INDEX([1]AdventureDiscoveryGroup!$AC:$AC,MATCH(표8[[#This Row],[열1]],[1]AdventureDiscoveryGroup!$B:$B,0))</f>
        <v>0</v>
      </c>
      <c r="W29" s="40" t="str">
        <f>IFERROR(INT(1000/POWER(1.5,VLOOKUP(V29,[1]Discovery!$B:$H,7,FALSE)^1.6)),"-")</f>
        <v>-</v>
      </c>
      <c r="X29" s="72" t="str">
        <f>IFERROR(표8[[#This Row],[배당'[5']]]/$AB29,"-")</f>
        <v>-</v>
      </c>
      <c r="Y29" s="40" t="b">
        <f>INDEX([1]AdventureDiscoveryGroup!$AH:$AH,MATCH(표8[[#This Row],[열1]],[1]AdventureDiscoveryGroup!$B:$B,0))</f>
        <v>0</v>
      </c>
      <c r="Z29" s="40" t="str">
        <f>IFERROR(INT(1000/POWER(1.5,VLOOKUP(Y29,[1]Discovery!$B:$H,7,FALSE)^1.6)),"-")</f>
        <v>-</v>
      </c>
      <c r="AA29" s="72" t="str">
        <f>IFERROR(표8[[#This Row],[배당'[6']]]/$AB29,"-")</f>
        <v>-</v>
      </c>
      <c r="AB29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30" spans="2:28" x14ac:dyDescent="0.3">
      <c r="B30" s="39" t="str">
        <f>[1]LandExplore!E36</f>
        <v>한양 부근</v>
      </c>
      <c r="C30" s="39" t="str">
        <f>INDEX([1]LandExplore!$B:$B,MATCH(표8[[#This Row],[육지]],[1]LandExplore!$E:$E,0))</f>
        <v>##조선 서해안</v>
      </c>
      <c r="D30" s="39" t="str">
        <f>IFERROR(VLOOKUP(표8[[#This Row],[육지]],[3]!표1_6[[이름]:[선단 LV]],6,FALSE),"-")</f>
        <v>-</v>
      </c>
      <c r="E30" s="39" t="str">
        <f>IFERROR(VLOOKUP(표8[[#This Row],[육지]],[3]!표1_6[[이름]:[위도]],3,FALSE),"-")</f>
        <v>-</v>
      </c>
      <c r="F30" s="39" t="str">
        <f>IFERROR(VLOOKUP(표8[[#This Row],[육지]],[3]!표1_6[[이름]:[위도]],2,FALSE),"-")</f>
        <v>-</v>
      </c>
      <c r="G30" s="39" t="str">
        <f>INDEX([1]AdventureDiscoveryGroup!$D:$D,MATCH(표8[[#This Row],[열1]],[1]AdventureDiscoveryGroup!$B:$B,0))</f>
        <v>한양 부근</v>
      </c>
      <c r="H30" s="39" t="str">
        <f>IFERROR(INT(1000/POWER(1.5,VLOOKUP(G30,[1]Discovery!$B:$H,7,FALSE)^1.6)),"-")</f>
        <v>-</v>
      </c>
      <c r="I30" s="72" t="str">
        <f>IFERROR(표8[[#This Row],[배당'[0']]]/$AB30,"-")</f>
        <v>-</v>
      </c>
      <c r="J30" s="39" t="b">
        <f>INDEX([1]AdventureDiscoveryGroup!$I:$I,MATCH(표8[[#This Row],[열1]],[1]AdventureDiscoveryGroup!$B:$B,0))</f>
        <v>0</v>
      </c>
      <c r="K30" s="39" t="str">
        <f>IFERROR(INT(1000/POWER(1.5,VLOOKUP(J30,[1]Discovery!$B:$H,7,FALSE)^1.6)),"-")</f>
        <v>-</v>
      </c>
      <c r="L30" s="72" t="str">
        <f>IFERROR(표8[[#This Row],[배당'[1']]]/$AB30,"-")</f>
        <v>-</v>
      </c>
      <c r="M30" s="39" t="b">
        <f>INDEX([1]AdventureDiscoveryGroup!$N:$N,MATCH(표8[[#This Row],[열1]],[1]AdventureDiscoveryGroup!$B:$B,0))</f>
        <v>0</v>
      </c>
      <c r="N30" s="39" t="str">
        <f>IFERROR(INT(1000/POWER(1.5,VLOOKUP(M30,[1]Discovery!$B:$H,7,FALSE)^1.6)),"-")</f>
        <v>-</v>
      </c>
      <c r="O30" s="72" t="str">
        <f>IFERROR(표8[[#This Row],[배당'[2']]]/$AB30,"-")</f>
        <v>-</v>
      </c>
      <c r="P30" s="39" t="b">
        <f>INDEX([1]AdventureDiscoveryGroup!$S:$S,MATCH(표8[[#This Row],[열1]],[1]AdventureDiscoveryGroup!$B:$B,0))</f>
        <v>0</v>
      </c>
      <c r="Q30" s="39" t="str">
        <f>IFERROR(INT(1000/POWER(1.5,VLOOKUP(P30,[1]Discovery!$B:$H,7,FALSE)^1.6)),"-")</f>
        <v>-</v>
      </c>
      <c r="R30" s="72" t="str">
        <f>IFERROR(표8[[#This Row],[배당'[3']]]/$AB30,"-")</f>
        <v>-</v>
      </c>
      <c r="S30" s="40" t="b">
        <f>INDEX([1]AdventureDiscoveryGroup!$X:$X,MATCH(표8[[#This Row],[열1]],[1]AdventureDiscoveryGroup!$B:$B,0))</f>
        <v>0</v>
      </c>
      <c r="T30" s="40" t="str">
        <f>IFERROR(INT(1000/POWER(1.5,VLOOKUP(S30,[1]Discovery!$B:$H,7,FALSE)^1.6)),"-")</f>
        <v>-</v>
      </c>
      <c r="U30" s="72" t="str">
        <f>IFERROR(표8[[#This Row],[배당'[4']]]/$AB30,"-")</f>
        <v>-</v>
      </c>
      <c r="V30" s="40" t="b">
        <f>INDEX([1]AdventureDiscoveryGroup!$AC:$AC,MATCH(표8[[#This Row],[열1]],[1]AdventureDiscoveryGroup!$B:$B,0))</f>
        <v>0</v>
      </c>
      <c r="W30" s="40" t="str">
        <f>IFERROR(INT(1000/POWER(1.5,VLOOKUP(V30,[1]Discovery!$B:$H,7,FALSE)^1.6)),"-")</f>
        <v>-</v>
      </c>
      <c r="X30" s="72" t="str">
        <f>IFERROR(표8[[#This Row],[배당'[5']]]/$AB30,"-")</f>
        <v>-</v>
      </c>
      <c r="Y30" s="40" t="b">
        <f>INDEX([1]AdventureDiscoveryGroup!$AH:$AH,MATCH(표8[[#This Row],[열1]],[1]AdventureDiscoveryGroup!$B:$B,0))</f>
        <v>0</v>
      </c>
      <c r="Z30" s="40" t="str">
        <f>IFERROR(INT(1000/POWER(1.5,VLOOKUP(Y30,[1]Discovery!$B:$H,7,FALSE)^1.6)),"-")</f>
        <v>-</v>
      </c>
      <c r="AA30" s="72" t="str">
        <f>IFERROR(표8[[#This Row],[배당'[6']]]/$AB30,"-")</f>
        <v>-</v>
      </c>
      <c r="AB30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31" spans="2:28" x14ac:dyDescent="0.3">
      <c r="B31" s="39" t="str">
        <f>[1]LandExplore!E37</f>
        <v>제주 부근</v>
      </c>
      <c r="C31" s="39" t="str">
        <f>INDEX([1]LandExplore!$B:$B,MATCH(표8[[#This Row],[육지]],[1]LandExplore!$E:$E,0))</f>
        <v>##조선 제주도</v>
      </c>
      <c r="D31" s="39" t="str">
        <f>IFERROR(VLOOKUP(표8[[#This Row],[육지]],[3]!표1_6[[이름]:[선단 LV]],6,FALSE),"-")</f>
        <v>-</v>
      </c>
      <c r="E31" s="39" t="str">
        <f>IFERROR(VLOOKUP(표8[[#This Row],[육지]],[3]!표1_6[[이름]:[위도]],3,FALSE),"-")</f>
        <v>-</v>
      </c>
      <c r="F31" s="39" t="str">
        <f>IFERROR(VLOOKUP(표8[[#This Row],[육지]],[3]!표1_6[[이름]:[위도]],2,FALSE),"-")</f>
        <v>-</v>
      </c>
      <c r="G31" s="39" t="str">
        <f>INDEX([1]AdventureDiscoveryGroup!$D:$D,MATCH(표8[[#This Row],[열1]],[1]AdventureDiscoveryGroup!$B:$B,0))</f>
        <v>제주 부근</v>
      </c>
      <c r="H31" s="39" t="str">
        <f>IFERROR(INT(1000/POWER(1.5,VLOOKUP(G31,[1]Discovery!$B:$H,7,FALSE)^1.6)),"-")</f>
        <v>-</v>
      </c>
      <c r="I31" s="72" t="str">
        <f>IFERROR(표8[[#This Row],[배당'[0']]]/$AB31,"-")</f>
        <v>-</v>
      </c>
      <c r="J31" s="39" t="b">
        <f>INDEX([1]AdventureDiscoveryGroup!$I:$I,MATCH(표8[[#This Row],[열1]],[1]AdventureDiscoveryGroup!$B:$B,0))</f>
        <v>0</v>
      </c>
      <c r="K31" s="39" t="str">
        <f>IFERROR(INT(1000/POWER(1.5,VLOOKUP(J31,[1]Discovery!$B:$H,7,FALSE)^1.6)),"-")</f>
        <v>-</v>
      </c>
      <c r="L31" s="72" t="str">
        <f>IFERROR(표8[[#This Row],[배당'[1']]]/$AB31,"-")</f>
        <v>-</v>
      </c>
      <c r="M31" s="39" t="b">
        <f>INDEX([1]AdventureDiscoveryGroup!$N:$N,MATCH(표8[[#This Row],[열1]],[1]AdventureDiscoveryGroup!$B:$B,0))</f>
        <v>0</v>
      </c>
      <c r="N31" s="39" t="str">
        <f>IFERROR(INT(1000/POWER(1.5,VLOOKUP(M31,[1]Discovery!$B:$H,7,FALSE)^1.6)),"-")</f>
        <v>-</v>
      </c>
      <c r="O31" s="72" t="str">
        <f>IFERROR(표8[[#This Row],[배당'[2']]]/$AB31,"-")</f>
        <v>-</v>
      </c>
      <c r="P31" s="39" t="b">
        <f>INDEX([1]AdventureDiscoveryGroup!$S:$S,MATCH(표8[[#This Row],[열1]],[1]AdventureDiscoveryGroup!$B:$B,0))</f>
        <v>0</v>
      </c>
      <c r="Q31" s="39" t="str">
        <f>IFERROR(INT(1000/POWER(1.5,VLOOKUP(P31,[1]Discovery!$B:$H,7,FALSE)^1.6)),"-")</f>
        <v>-</v>
      </c>
      <c r="R31" s="72" t="str">
        <f>IFERROR(표8[[#This Row],[배당'[3']]]/$AB31,"-")</f>
        <v>-</v>
      </c>
      <c r="S31" s="40" t="b">
        <f>INDEX([1]AdventureDiscoveryGroup!$X:$X,MATCH(표8[[#This Row],[열1]],[1]AdventureDiscoveryGroup!$B:$B,0))</f>
        <v>0</v>
      </c>
      <c r="T31" s="40" t="str">
        <f>IFERROR(INT(1000/POWER(1.5,VLOOKUP(S31,[1]Discovery!$B:$H,7,FALSE)^1.6)),"-")</f>
        <v>-</v>
      </c>
      <c r="U31" s="72" t="str">
        <f>IFERROR(표8[[#This Row],[배당'[4']]]/$AB31,"-")</f>
        <v>-</v>
      </c>
      <c r="V31" s="40" t="b">
        <f>INDEX([1]AdventureDiscoveryGroup!$AC:$AC,MATCH(표8[[#This Row],[열1]],[1]AdventureDiscoveryGroup!$B:$B,0))</f>
        <v>0</v>
      </c>
      <c r="W31" s="40" t="str">
        <f>IFERROR(INT(1000/POWER(1.5,VLOOKUP(V31,[1]Discovery!$B:$H,7,FALSE)^1.6)),"-")</f>
        <v>-</v>
      </c>
      <c r="X31" s="72" t="str">
        <f>IFERROR(표8[[#This Row],[배당'[5']]]/$AB31,"-")</f>
        <v>-</v>
      </c>
      <c r="Y31" s="40" t="b">
        <f>INDEX([1]AdventureDiscoveryGroup!$AH:$AH,MATCH(표8[[#This Row],[열1]],[1]AdventureDiscoveryGroup!$B:$B,0))</f>
        <v>0</v>
      </c>
      <c r="Z31" s="40" t="str">
        <f>IFERROR(INT(1000/POWER(1.5,VLOOKUP(Y31,[1]Discovery!$B:$H,7,FALSE)^1.6)),"-")</f>
        <v>-</v>
      </c>
      <c r="AA31" s="72" t="str">
        <f>IFERROR(표8[[#This Row],[배당'[6']]]/$AB31,"-")</f>
        <v>-</v>
      </c>
      <c r="AB31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32" spans="2:28" x14ac:dyDescent="0.3">
      <c r="B32" s="39" t="str">
        <f>[1]LandExplore!E38</f>
        <v>에도 부근</v>
      </c>
      <c r="C32" s="39" t="str">
        <f>INDEX([1]LandExplore!$B:$B,MATCH(표8[[#This Row],[육지]],[1]LandExplore!$E:$E,0))</f>
        <v>##일본</v>
      </c>
      <c r="D32" s="39" t="str">
        <f>IFERROR(VLOOKUP(표8[[#This Row],[육지]],[3]!표1_6[[이름]:[선단 LV]],6,FALSE),"-")</f>
        <v>-</v>
      </c>
      <c r="E32" s="39" t="str">
        <f>IFERROR(VLOOKUP(표8[[#This Row],[육지]],[3]!표1_6[[이름]:[위도]],3,FALSE),"-")</f>
        <v>-</v>
      </c>
      <c r="F32" s="39" t="str">
        <f>IFERROR(VLOOKUP(표8[[#This Row],[육지]],[3]!표1_6[[이름]:[위도]],2,FALSE),"-")</f>
        <v>-</v>
      </c>
      <c r="G32" s="39" t="str">
        <f>INDEX([1]AdventureDiscoveryGroup!$D:$D,MATCH(표8[[#This Row],[열1]],[1]AdventureDiscoveryGroup!$B:$B,0))</f>
        <v>에도 부근</v>
      </c>
      <c r="H32" s="39" t="str">
        <f>IFERROR(INT(1000/POWER(1.5,VLOOKUP(G32,[1]Discovery!$B:$H,7,FALSE)^1.6)),"-")</f>
        <v>-</v>
      </c>
      <c r="I32" s="72" t="str">
        <f>IFERROR(표8[[#This Row],[배당'[0']]]/$AB32,"-")</f>
        <v>-</v>
      </c>
      <c r="J32" s="39" t="b">
        <f>INDEX([1]AdventureDiscoveryGroup!$I:$I,MATCH(표8[[#This Row],[열1]],[1]AdventureDiscoveryGroup!$B:$B,0))</f>
        <v>0</v>
      </c>
      <c r="K32" s="39" t="str">
        <f>IFERROR(INT(1000/POWER(1.5,VLOOKUP(J32,[1]Discovery!$B:$H,7,FALSE)^1.6)),"-")</f>
        <v>-</v>
      </c>
      <c r="L32" s="72" t="str">
        <f>IFERROR(표8[[#This Row],[배당'[1']]]/$AB32,"-")</f>
        <v>-</v>
      </c>
      <c r="M32" s="39" t="b">
        <f>INDEX([1]AdventureDiscoveryGroup!$N:$N,MATCH(표8[[#This Row],[열1]],[1]AdventureDiscoveryGroup!$B:$B,0))</f>
        <v>0</v>
      </c>
      <c r="N32" s="39" t="str">
        <f>IFERROR(INT(1000/POWER(1.5,VLOOKUP(M32,[1]Discovery!$B:$H,7,FALSE)^1.6)),"-")</f>
        <v>-</v>
      </c>
      <c r="O32" s="72" t="str">
        <f>IFERROR(표8[[#This Row],[배당'[2']]]/$AB32,"-")</f>
        <v>-</v>
      </c>
      <c r="P32" s="39" t="b">
        <f>INDEX([1]AdventureDiscoveryGroup!$S:$S,MATCH(표8[[#This Row],[열1]],[1]AdventureDiscoveryGroup!$B:$B,0))</f>
        <v>0</v>
      </c>
      <c r="Q32" s="39" t="str">
        <f>IFERROR(INT(1000/POWER(1.5,VLOOKUP(P32,[1]Discovery!$B:$H,7,FALSE)^1.6)),"-")</f>
        <v>-</v>
      </c>
      <c r="R32" s="72" t="str">
        <f>IFERROR(표8[[#This Row],[배당'[3']]]/$AB32,"-")</f>
        <v>-</v>
      </c>
      <c r="S32" s="40" t="b">
        <f>INDEX([1]AdventureDiscoveryGroup!$X:$X,MATCH(표8[[#This Row],[열1]],[1]AdventureDiscoveryGroup!$B:$B,0))</f>
        <v>0</v>
      </c>
      <c r="T32" s="40" t="str">
        <f>IFERROR(INT(1000/POWER(1.5,VLOOKUP(S32,[1]Discovery!$B:$H,7,FALSE)^1.6)),"-")</f>
        <v>-</v>
      </c>
      <c r="U32" s="72" t="str">
        <f>IFERROR(표8[[#This Row],[배당'[4']]]/$AB32,"-")</f>
        <v>-</v>
      </c>
      <c r="V32" s="40" t="b">
        <f>INDEX([1]AdventureDiscoveryGroup!$AC:$AC,MATCH(표8[[#This Row],[열1]],[1]AdventureDiscoveryGroup!$B:$B,0))</f>
        <v>0</v>
      </c>
      <c r="W32" s="40" t="str">
        <f>IFERROR(INT(1000/POWER(1.5,VLOOKUP(V32,[1]Discovery!$B:$H,7,FALSE)^1.6)),"-")</f>
        <v>-</v>
      </c>
      <c r="X32" s="72" t="str">
        <f>IFERROR(표8[[#This Row],[배당'[5']]]/$AB32,"-")</f>
        <v>-</v>
      </c>
      <c r="Y32" s="40" t="b">
        <f>INDEX([1]AdventureDiscoveryGroup!$AH:$AH,MATCH(표8[[#This Row],[열1]],[1]AdventureDiscoveryGroup!$B:$B,0))</f>
        <v>0</v>
      </c>
      <c r="Z32" s="40" t="str">
        <f>IFERROR(INT(1000/POWER(1.5,VLOOKUP(Y32,[1]Discovery!$B:$H,7,FALSE)^1.6)),"-")</f>
        <v>-</v>
      </c>
      <c r="AA32" s="72" t="str">
        <f>IFERROR(표8[[#This Row],[배당'[6']]]/$AB32,"-")</f>
        <v>-</v>
      </c>
      <c r="AB32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33" spans="2:28" x14ac:dyDescent="0.3">
      <c r="B33" s="39" t="str">
        <f>[1]LandExplore!E39</f>
        <v>에조 부근</v>
      </c>
      <c r="C33" s="39" t="str">
        <f>INDEX([1]LandExplore!$B:$B,MATCH(표8[[#This Row],[육지]],[1]LandExplore!$E:$E,0))</f>
        <v>##쿠릴 열도</v>
      </c>
      <c r="D33" s="39" t="str">
        <f>IFERROR(VLOOKUP(표8[[#This Row],[육지]],[3]!표1_6[[이름]:[선단 LV]],6,FALSE),"-")</f>
        <v>-</v>
      </c>
      <c r="E33" s="39" t="str">
        <f>IFERROR(VLOOKUP(표8[[#This Row],[육지]],[3]!표1_6[[이름]:[위도]],3,FALSE),"-")</f>
        <v>-</v>
      </c>
      <c r="F33" s="39" t="str">
        <f>IFERROR(VLOOKUP(표8[[#This Row],[육지]],[3]!표1_6[[이름]:[위도]],2,FALSE),"-")</f>
        <v>-</v>
      </c>
      <c r="G33" s="39" t="str">
        <f>INDEX([1]AdventureDiscoveryGroup!$D:$D,MATCH(표8[[#This Row],[열1]],[1]AdventureDiscoveryGroup!$B:$B,0))</f>
        <v>에조 부근2</v>
      </c>
      <c r="H33" s="39" t="str">
        <f>IFERROR(INT(1000/POWER(1.5,VLOOKUP(G33,[1]Discovery!$B:$H,7,FALSE)^1.6)),"-")</f>
        <v>-</v>
      </c>
      <c r="I33" s="72" t="str">
        <f>IFERROR(표8[[#This Row],[배당'[0']]]/$AB33,"-")</f>
        <v>-</v>
      </c>
      <c r="J33" s="39" t="b">
        <f>INDEX([1]AdventureDiscoveryGroup!$I:$I,MATCH(표8[[#This Row],[열1]],[1]AdventureDiscoveryGroup!$B:$B,0))</f>
        <v>0</v>
      </c>
      <c r="K33" s="39" t="str">
        <f>IFERROR(INT(1000/POWER(1.5,VLOOKUP(J33,[1]Discovery!$B:$H,7,FALSE)^1.6)),"-")</f>
        <v>-</v>
      </c>
      <c r="L33" s="72" t="str">
        <f>IFERROR(표8[[#This Row],[배당'[1']]]/$AB33,"-")</f>
        <v>-</v>
      </c>
      <c r="M33" s="39" t="b">
        <f>INDEX([1]AdventureDiscoveryGroup!$N:$N,MATCH(표8[[#This Row],[열1]],[1]AdventureDiscoveryGroup!$B:$B,0))</f>
        <v>0</v>
      </c>
      <c r="N33" s="39" t="str">
        <f>IFERROR(INT(1000/POWER(1.5,VLOOKUP(M33,[1]Discovery!$B:$H,7,FALSE)^1.6)),"-")</f>
        <v>-</v>
      </c>
      <c r="O33" s="72" t="str">
        <f>IFERROR(표8[[#This Row],[배당'[2']]]/$AB33,"-")</f>
        <v>-</v>
      </c>
      <c r="P33" s="39" t="b">
        <f>INDEX([1]AdventureDiscoveryGroup!$S:$S,MATCH(표8[[#This Row],[열1]],[1]AdventureDiscoveryGroup!$B:$B,0))</f>
        <v>0</v>
      </c>
      <c r="Q33" s="39" t="str">
        <f>IFERROR(INT(1000/POWER(1.5,VLOOKUP(P33,[1]Discovery!$B:$H,7,FALSE)^1.6)),"-")</f>
        <v>-</v>
      </c>
      <c r="R33" s="72" t="str">
        <f>IFERROR(표8[[#This Row],[배당'[3']]]/$AB33,"-")</f>
        <v>-</v>
      </c>
      <c r="S33" s="40" t="b">
        <f>INDEX([1]AdventureDiscoveryGroup!$X:$X,MATCH(표8[[#This Row],[열1]],[1]AdventureDiscoveryGroup!$B:$B,0))</f>
        <v>0</v>
      </c>
      <c r="T33" s="40" t="str">
        <f>IFERROR(INT(1000/POWER(1.5,VLOOKUP(S33,[1]Discovery!$B:$H,7,FALSE)^1.6)),"-")</f>
        <v>-</v>
      </c>
      <c r="U33" s="72" t="str">
        <f>IFERROR(표8[[#This Row],[배당'[4']]]/$AB33,"-")</f>
        <v>-</v>
      </c>
      <c r="V33" s="40" t="b">
        <f>INDEX([1]AdventureDiscoveryGroup!$AC:$AC,MATCH(표8[[#This Row],[열1]],[1]AdventureDiscoveryGroup!$B:$B,0))</f>
        <v>0</v>
      </c>
      <c r="W33" s="40" t="str">
        <f>IFERROR(INT(1000/POWER(1.5,VLOOKUP(V33,[1]Discovery!$B:$H,7,FALSE)^1.6)),"-")</f>
        <v>-</v>
      </c>
      <c r="X33" s="72" t="str">
        <f>IFERROR(표8[[#This Row],[배당'[5']]]/$AB33,"-")</f>
        <v>-</v>
      </c>
      <c r="Y33" s="40" t="b">
        <f>INDEX([1]AdventureDiscoveryGroup!$AH:$AH,MATCH(표8[[#This Row],[열1]],[1]AdventureDiscoveryGroup!$B:$B,0))</f>
        <v>0</v>
      </c>
      <c r="Z33" s="40" t="str">
        <f>IFERROR(INT(1000/POWER(1.5,VLOOKUP(Y33,[1]Discovery!$B:$H,7,FALSE)^1.6)),"-")</f>
        <v>-</v>
      </c>
      <c r="AA33" s="72" t="str">
        <f>IFERROR(표8[[#This Row],[배당'[6']]]/$AB33,"-")</f>
        <v>-</v>
      </c>
      <c r="AB33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34" spans="2:28" x14ac:dyDescent="0.3">
      <c r="B34" s="39" t="str">
        <f>[1]LandExplore!E40</f>
        <v>에조 부근</v>
      </c>
      <c r="C34" s="39" t="str">
        <f>INDEX([1]LandExplore!$B:$B,MATCH(표8[[#This Row],[육지]],[1]LandExplore!$E:$E,0))</f>
        <v>##쿠릴 열도</v>
      </c>
      <c r="D34" s="39" t="str">
        <f>IFERROR(VLOOKUP(표8[[#This Row],[육지]],[3]!표1_6[[이름]:[선단 LV]],6,FALSE),"-")</f>
        <v>-</v>
      </c>
      <c r="E34" s="39" t="str">
        <f>IFERROR(VLOOKUP(표8[[#This Row],[육지]],[3]!표1_6[[이름]:[위도]],3,FALSE),"-")</f>
        <v>-</v>
      </c>
      <c r="F34" s="39" t="str">
        <f>IFERROR(VLOOKUP(표8[[#This Row],[육지]],[3]!표1_6[[이름]:[위도]],2,FALSE),"-")</f>
        <v>-</v>
      </c>
      <c r="G34" s="39" t="str">
        <f>INDEX([1]AdventureDiscoveryGroup!$D:$D,MATCH(표8[[#This Row],[열1]],[1]AdventureDiscoveryGroup!$B:$B,0))</f>
        <v>에조 부근2</v>
      </c>
      <c r="H34" s="39" t="str">
        <f>IFERROR(INT(1000/POWER(1.5,VLOOKUP(G34,[1]Discovery!$B:$H,7,FALSE)^1.6)),"-")</f>
        <v>-</v>
      </c>
      <c r="I34" s="72" t="str">
        <f>IFERROR(표8[[#This Row],[배당'[0']]]/$AB34,"-")</f>
        <v>-</v>
      </c>
      <c r="J34" s="39" t="b">
        <f>INDEX([1]AdventureDiscoveryGroup!$I:$I,MATCH(표8[[#This Row],[열1]],[1]AdventureDiscoveryGroup!$B:$B,0))</f>
        <v>0</v>
      </c>
      <c r="K34" s="39" t="str">
        <f>IFERROR(INT(1000/POWER(1.5,VLOOKUP(J34,[1]Discovery!$B:$H,7,FALSE)^1.6)),"-")</f>
        <v>-</v>
      </c>
      <c r="L34" s="72" t="str">
        <f>IFERROR(표8[[#This Row],[배당'[1']]]/$AB34,"-")</f>
        <v>-</v>
      </c>
      <c r="M34" s="39" t="b">
        <f>INDEX([1]AdventureDiscoveryGroup!$N:$N,MATCH(표8[[#This Row],[열1]],[1]AdventureDiscoveryGroup!$B:$B,0))</f>
        <v>0</v>
      </c>
      <c r="N34" s="39" t="str">
        <f>IFERROR(INT(1000/POWER(1.5,VLOOKUP(M34,[1]Discovery!$B:$H,7,FALSE)^1.6)),"-")</f>
        <v>-</v>
      </c>
      <c r="O34" s="72" t="str">
        <f>IFERROR(표8[[#This Row],[배당'[2']]]/$AB34,"-")</f>
        <v>-</v>
      </c>
      <c r="P34" s="39" t="b">
        <f>INDEX([1]AdventureDiscoveryGroup!$S:$S,MATCH(표8[[#This Row],[열1]],[1]AdventureDiscoveryGroup!$B:$B,0))</f>
        <v>0</v>
      </c>
      <c r="Q34" s="39" t="str">
        <f>IFERROR(INT(1000/POWER(1.5,VLOOKUP(P34,[1]Discovery!$B:$H,7,FALSE)^1.6)),"-")</f>
        <v>-</v>
      </c>
      <c r="R34" s="72" t="str">
        <f>IFERROR(표8[[#This Row],[배당'[3']]]/$AB34,"-")</f>
        <v>-</v>
      </c>
      <c r="S34" s="40" t="b">
        <f>INDEX([1]AdventureDiscoveryGroup!$X:$X,MATCH(표8[[#This Row],[열1]],[1]AdventureDiscoveryGroup!$B:$B,0))</f>
        <v>0</v>
      </c>
      <c r="T34" s="40" t="str">
        <f>IFERROR(INT(1000/POWER(1.5,VLOOKUP(S34,[1]Discovery!$B:$H,7,FALSE)^1.6)),"-")</f>
        <v>-</v>
      </c>
      <c r="U34" s="72" t="str">
        <f>IFERROR(표8[[#This Row],[배당'[4']]]/$AB34,"-")</f>
        <v>-</v>
      </c>
      <c r="V34" s="40" t="b">
        <f>INDEX([1]AdventureDiscoveryGroup!$AC:$AC,MATCH(표8[[#This Row],[열1]],[1]AdventureDiscoveryGroup!$B:$B,0))</f>
        <v>0</v>
      </c>
      <c r="W34" s="40" t="str">
        <f>IFERROR(INT(1000/POWER(1.5,VLOOKUP(V34,[1]Discovery!$B:$H,7,FALSE)^1.6)),"-")</f>
        <v>-</v>
      </c>
      <c r="X34" s="72" t="str">
        <f>IFERROR(표8[[#This Row],[배당'[5']]]/$AB34,"-")</f>
        <v>-</v>
      </c>
      <c r="Y34" s="40" t="b">
        <f>INDEX([1]AdventureDiscoveryGroup!$AH:$AH,MATCH(표8[[#This Row],[열1]],[1]AdventureDiscoveryGroup!$B:$B,0))</f>
        <v>0</v>
      </c>
      <c r="Z34" s="40" t="str">
        <f>IFERROR(INT(1000/POWER(1.5,VLOOKUP(Y34,[1]Discovery!$B:$H,7,FALSE)^1.6)),"-")</f>
        <v>-</v>
      </c>
      <c r="AA34" s="72" t="str">
        <f>IFERROR(표8[[#This Row],[배당'[6']]]/$AB34,"-")</f>
        <v>-</v>
      </c>
      <c r="AB34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35" spans="2:28" x14ac:dyDescent="0.3">
      <c r="B35" s="39" t="str">
        <f>[1]LandExplore!E41</f>
        <v>나가사키 부근</v>
      </c>
      <c r="C35" s="39" t="str">
        <f>INDEX([1]LandExplore!$B:$B,MATCH(표8[[#This Row],[육지]],[1]LandExplore!$E:$E,0))</f>
        <v>##후쿠오카</v>
      </c>
      <c r="D35" s="39" t="str">
        <f>IFERROR(VLOOKUP(표8[[#This Row],[육지]],[3]!표1_6[[이름]:[선단 LV]],6,FALSE),"-")</f>
        <v>-</v>
      </c>
      <c r="E35" s="39" t="str">
        <f>IFERROR(VLOOKUP(표8[[#This Row],[육지]],[3]!표1_6[[이름]:[위도]],3,FALSE),"-")</f>
        <v>-</v>
      </c>
      <c r="F35" s="39" t="str">
        <f>IFERROR(VLOOKUP(표8[[#This Row],[육지]],[3]!표1_6[[이름]:[위도]],2,FALSE),"-")</f>
        <v>-</v>
      </c>
      <c r="G35" s="39" t="str">
        <f>INDEX([1]AdventureDiscoveryGroup!$D:$D,MATCH(표8[[#This Row],[열1]],[1]AdventureDiscoveryGroup!$B:$B,0))</f>
        <v>나가사키 부근</v>
      </c>
      <c r="H35" s="39" t="str">
        <f>IFERROR(INT(1000/POWER(1.5,VLOOKUP(G35,[1]Discovery!$B:$H,7,FALSE)^1.6)),"-")</f>
        <v>-</v>
      </c>
      <c r="I35" s="72" t="str">
        <f>IFERROR(표8[[#This Row],[배당'[0']]]/$AB35,"-")</f>
        <v>-</v>
      </c>
      <c r="J35" s="39" t="b">
        <f>INDEX([1]AdventureDiscoveryGroup!$I:$I,MATCH(표8[[#This Row],[열1]],[1]AdventureDiscoveryGroup!$B:$B,0))</f>
        <v>0</v>
      </c>
      <c r="K35" s="39" t="str">
        <f>IFERROR(INT(1000/POWER(1.5,VLOOKUP(J35,[1]Discovery!$B:$H,7,FALSE)^1.6)),"-")</f>
        <v>-</v>
      </c>
      <c r="L35" s="72" t="str">
        <f>IFERROR(표8[[#This Row],[배당'[1']]]/$AB35,"-")</f>
        <v>-</v>
      </c>
      <c r="M35" s="39" t="b">
        <f>INDEX([1]AdventureDiscoveryGroup!$N:$N,MATCH(표8[[#This Row],[열1]],[1]AdventureDiscoveryGroup!$B:$B,0))</f>
        <v>0</v>
      </c>
      <c r="N35" s="39" t="str">
        <f>IFERROR(INT(1000/POWER(1.5,VLOOKUP(M35,[1]Discovery!$B:$H,7,FALSE)^1.6)),"-")</f>
        <v>-</v>
      </c>
      <c r="O35" s="72" t="str">
        <f>IFERROR(표8[[#This Row],[배당'[2']]]/$AB35,"-")</f>
        <v>-</v>
      </c>
      <c r="P35" s="39" t="b">
        <f>INDEX([1]AdventureDiscoveryGroup!$S:$S,MATCH(표8[[#This Row],[열1]],[1]AdventureDiscoveryGroup!$B:$B,0))</f>
        <v>0</v>
      </c>
      <c r="Q35" s="39" t="str">
        <f>IFERROR(INT(1000/POWER(1.5,VLOOKUP(P35,[1]Discovery!$B:$H,7,FALSE)^1.6)),"-")</f>
        <v>-</v>
      </c>
      <c r="R35" s="72" t="str">
        <f>IFERROR(표8[[#This Row],[배당'[3']]]/$AB35,"-")</f>
        <v>-</v>
      </c>
      <c r="S35" s="40" t="b">
        <f>INDEX([1]AdventureDiscoveryGroup!$X:$X,MATCH(표8[[#This Row],[열1]],[1]AdventureDiscoveryGroup!$B:$B,0))</f>
        <v>0</v>
      </c>
      <c r="T35" s="40" t="str">
        <f>IFERROR(INT(1000/POWER(1.5,VLOOKUP(S35,[1]Discovery!$B:$H,7,FALSE)^1.6)),"-")</f>
        <v>-</v>
      </c>
      <c r="U35" s="72" t="str">
        <f>IFERROR(표8[[#This Row],[배당'[4']]]/$AB35,"-")</f>
        <v>-</v>
      </c>
      <c r="V35" s="40" t="b">
        <f>INDEX([1]AdventureDiscoveryGroup!$AC:$AC,MATCH(표8[[#This Row],[열1]],[1]AdventureDiscoveryGroup!$B:$B,0))</f>
        <v>0</v>
      </c>
      <c r="W35" s="40" t="str">
        <f>IFERROR(INT(1000/POWER(1.5,VLOOKUP(V35,[1]Discovery!$B:$H,7,FALSE)^1.6)),"-")</f>
        <v>-</v>
      </c>
      <c r="X35" s="72" t="str">
        <f>IFERROR(표8[[#This Row],[배당'[5']]]/$AB35,"-")</f>
        <v>-</v>
      </c>
      <c r="Y35" s="40" t="b">
        <f>INDEX([1]AdventureDiscoveryGroup!$AH:$AH,MATCH(표8[[#This Row],[열1]],[1]AdventureDiscoveryGroup!$B:$B,0))</f>
        <v>0</v>
      </c>
      <c r="Z35" s="40" t="str">
        <f>IFERROR(INT(1000/POWER(1.5,VLOOKUP(Y35,[1]Discovery!$B:$H,7,FALSE)^1.6)),"-")</f>
        <v>-</v>
      </c>
      <c r="AA35" s="72" t="str">
        <f>IFERROR(표8[[#This Row],[배당'[6']]]/$AB35,"-")</f>
        <v>-</v>
      </c>
      <c r="AB35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36" spans="2:28" x14ac:dyDescent="0.3">
      <c r="B36" s="39" t="str">
        <f>[1]LandExplore!E42</f>
        <v>항주 부근</v>
      </c>
      <c r="C36" s="39" t="str">
        <f>INDEX([1]LandExplore!$B:$B,MATCH(표8[[#This Row],[육지]],[1]LandExplore!$E:$E,0))</f>
        <v>##중국</v>
      </c>
      <c r="D36" s="39" t="str">
        <f>IFERROR(VLOOKUP(표8[[#This Row],[육지]],[3]!표1_6[[이름]:[선단 LV]],6,FALSE),"-")</f>
        <v>-</v>
      </c>
      <c r="E36" s="39" t="str">
        <f>IFERROR(VLOOKUP(표8[[#This Row],[육지]],[3]!표1_6[[이름]:[위도]],3,FALSE),"-")</f>
        <v>-</v>
      </c>
      <c r="F36" s="39" t="str">
        <f>IFERROR(VLOOKUP(표8[[#This Row],[육지]],[3]!표1_6[[이름]:[위도]],2,FALSE),"-")</f>
        <v>-</v>
      </c>
      <c r="G36" s="39" t="str">
        <f>INDEX([1]AdventureDiscoveryGroup!$D:$D,MATCH(표8[[#This Row],[열1]],[1]AdventureDiscoveryGroup!$B:$B,0))</f>
        <v>항주 부군</v>
      </c>
      <c r="H36" s="39" t="str">
        <f>IFERROR(INT(1000/POWER(1.5,VLOOKUP(G36,[1]Discovery!$B:$H,7,FALSE)^1.6)),"-")</f>
        <v>-</v>
      </c>
      <c r="I36" s="72" t="str">
        <f>IFERROR(표8[[#This Row],[배당'[0']]]/$AB36,"-")</f>
        <v>-</v>
      </c>
      <c r="J36" s="39" t="b">
        <f>INDEX([1]AdventureDiscoveryGroup!$I:$I,MATCH(표8[[#This Row],[열1]],[1]AdventureDiscoveryGroup!$B:$B,0))</f>
        <v>0</v>
      </c>
      <c r="K36" s="39" t="str">
        <f>IFERROR(INT(1000/POWER(1.5,VLOOKUP(J36,[1]Discovery!$B:$H,7,FALSE)^1.6)),"-")</f>
        <v>-</v>
      </c>
      <c r="L36" s="72" t="str">
        <f>IFERROR(표8[[#This Row],[배당'[1']]]/$AB36,"-")</f>
        <v>-</v>
      </c>
      <c r="M36" s="39" t="b">
        <f>INDEX([1]AdventureDiscoveryGroup!$N:$N,MATCH(표8[[#This Row],[열1]],[1]AdventureDiscoveryGroup!$B:$B,0))</f>
        <v>0</v>
      </c>
      <c r="N36" s="39" t="str">
        <f>IFERROR(INT(1000/POWER(1.5,VLOOKUP(M36,[1]Discovery!$B:$H,7,FALSE)^1.6)),"-")</f>
        <v>-</v>
      </c>
      <c r="O36" s="72" t="str">
        <f>IFERROR(표8[[#This Row],[배당'[2']]]/$AB36,"-")</f>
        <v>-</v>
      </c>
      <c r="P36" s="39" t="b">
        <f>INDEX([1]AdventureDiscoveryGroup!$S:$S,MATCH(표8[[#This Row],[열1]],[1]AdventureDiscoveryGroup!$B:$B,0))</f>
        <v>0</v>
      </c>
      <c r="Q36" s="39" t="str">
        <f>IFERROR(INT(1000/POWER(1.5,VLOOKUP(P36,[1]Discovery!$B:$H,7,FALSE)^1.6)),"-")</f>
        <v>-</v>
      </c>
      <c r="R36" s="72" t="str">
        <f>IFERROR(표8[[#This Row],[배당'[3']]]/$AB36,"-")</f>
        <v>-</v>
      </c>
      <c r="S36" s="40" t="b">
        <f>INDEX([1]AdventureDiscoveryGroup!$X:$X,MATCH(표8[[#This Row],[열1]],[1]AdventureDiscoveryGroup!$B:$B,0))</f>
        <v>0</v>
      </c>
      <c r="T36" s="40" t="str">
        <f>IFERROR(INT(1000/POWER(1.5,VLOOKUP(S36,[1]Discovery!$B:$H,7,FALSE)^1.6)),"-")</f>
        <v>-</v>
      </c>
      <c r="U36" s="72" t="str">
        <f>IFERROR(표8[[#This Row],[배당'[4']]]/$AB36,"-")</f>
        <v>-</v>
      </c>
      <c r="V36" s="40" t="b">
        <f>INDEX([1]AdventureDiscoveryGroup!$AC:$AC,MATCH(표8[[#This Row],[열1]],[1]AdventureDiscoveryGroup!$B:$B,0))</f>
        <v>0</v>
      </c>
      <c r="W36" s="40" t="str">
        <f>IFERROR(INT(1000/POWER(1.5,VLOOKUP(V36,[1]Discovery!$B:$H,7,FALSE)^1.6)),"-")</f>
        <v>-</v>
      </c>
      <c r="X36" s="72" t="str">
        <f>IFERROR(표8[[#This Row],[배당'[5']]]/$AB36,"-")</f>
        <v>-</v>
      </c>
      <c r="Y36" s="40" t="b">
        <f>INDEX([1]AdventureDiscoveryGroup!$AH:$AH,MATCH(표8[[#This Row],[열1]],[1]AdventureDiscoveryGroup!$B:$B,0))</f>
        <v>0</v>
      </c>
      <c r="Z36" s="40" t="str">
        <f>IFERROR(INT(1000/POWER(1.5,VLOOKUP(Y36,[1]Discovery!$B:$H,7,FALSE)^1.6)),"-")</f>
        <v>-</v>
      </c>
      <c r="AA36" s="72" t="str">
        <f>IFERROR(표8[[#This Row],[배당'[6']]]/$AB36,"-")</f>
        <v>-</v>
      </c>
      <c r="AB36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37" spans="2:28" x14ac:dyDescent="0.3">
      <c r="B37" s="39" t="str">
        <f>[1]LandExplore!E43</f>
        <v>마카오 부근</v>
      </c>
      <c r="C37" s="39" t="str">
        <f>INDEX([1]LandExplore!$B:$B,MATCH(표8[[#This Row],[육지]],[1]LandExplore!$E:$E,0))</f>
        <v>##중국 남부</v>
      </c>
      <c r="D37" s="39" t="str">
        <f>IFERROR(VLOOKUP(표8[[#This Row],[육지]],[3]!표1_6[[이름]:[선단 LV]],6,FALSE),"-")</f>
        <v>-</v>
      </c>
      <c r="E37" s="39" t="str">
        <f>IFERROR(VLOOKUP(표8[[#This Row],[육지]],[3]!표1_6[[이름]:[위도]],3,FALSE),"-")</f>
        <v>-</v>
      </c>
      <c r="F37" s="39" t="str">
        <f>IFERROR(VLOOKUP(표8[[#This Row],[육지]],[3]!표1_6[[이름]:[위도]],2,FALSE),"-")</f>
        <v>-</v>
      </c>
      <c r="G37" s="39" t="str">
        <f>INDEX([1]AdventureDiscoveryGroup!$D:$D,MATCH(표8[[#This Row],[열1]],[1]AdventureDiscoveryGroup!$B:$B,0))</f>
        <v>마카오 부근</v>
      </c>
      <c r="H37" s="39" t="str">
        <f>IFERROR(INT(1000/POWER(1.5,VLOOKUP(G37,[1]Discovery!$B:$H,7,FALSE)^1.6)),"-")</f>
        <v>-</v>
      </c>
      <c r="I37" s="72" t="str">
        <f>IFERROR(표8[[#This Row],[배당'[0']]]/$AB37,"-")</f>
        <v>-</v>
      </c>
      <c r="J37" s="39" t="b">
        <f>INDEX([1]AdventureDiscoveryGroup!$I:$I,MATCH(표8[[#This Row],[열1]],[1]AdventureDiscoveryGroup!$B:$B,0))</f>
        <v>0</v>
      </c>
      <c r="K37" s="39" t="str">
        <f>IFERROR(INT(1000/POWER(1.5,VLOOKUP(J37,[1]Discovery!$B:$H,7,FALSE)^1.6)),"-")</f>
        <v>-</v>
      </c>
      <c r="L37" s="72" t="str">
        <f>IFERROR(표8[[#This Row],[배당'[1']]]/$AB37,"-")</f>
        <v>-</v>
      </c>
      <c r="M37" s="39" t="b">
        <f>INDEX([1]AdventureDiscoveryGroup!$N:$N,MATCH(표8[[#This Row],[열1]],[1]AdventureDiscoveryGroup!$B:$B,0))</f>
        <v>0</v>
      </c>
      <c r="N37" s="39" t="str">
        <f>IFERROR(INT(1000/POWER(1.5,VLOOKUP(M37,[1]Discovery!$B:$H,7,FALSE)^1.6)),"-")</f>
        <v>-</v>
      </c>
      <c r="O37" s="72" t="str">
        <f>IFERROR(표8[[#This Row],[배당'[2']]]/$AB37,"-")</f>
        <v>-</v>
      </c>
      <c r="P37" s="39" t="b">
        <f>INDEX([1]AdventureDiscoveryGroup!$S:$S,MATCH(표8[[#This Row],[열1]],[1]AdventureDiscoveryGroup!$B:$B,0))</f>
        <v>0</v>
      </c>
      <c r="Q37" s="39" t="str">
        <f>IFERROR(INT(1000/POWER(1.5,VLOOKUP(P37,[1]Discovery!$B:$H,7,FALSE)^1.6)),"-")</f>
        <v>-</v>
      </c>
      <c r="R37" s="72" t="str">
        <f>IFERROR(표8[[#This Row],[배당'[3']]]/$AB37,"-")</f>
        <v>-</v>
      </c>
      <c r="S37" s="40" t="b">
        <f>INDEX([1]AdventureDiscoveryGroup!$X:$X,MATCH(표8[[#This Row],[열1]],[1]AdventureDiscoveryGroup!$B:$B,0))</f>
        <v>0</v>
      </c>
      <c r="T37" s="40" t="str">
        <f>IFERROR(INT(1000/POWER(1.5,VLOOKUP(S37,[1]Discovery!$B:$H,7,FALSE)^1.6)),"-")</f>
        <v>-</v>
      </c>
      <c r="U37" s="72" t="str">
        <f>IFERROR(표8[[#This Row],[배당'[4']]]/$AB37,"-")</f>
        <v>-</v>
      </c>
      <c r="V37" s="40" t="b">
        <f>INDEX([1]AdventureDiscoveryGroup!$AC:$AC,MATCH(표8[[#This Row],[열1]],[1]AdventureDiscoveryGroup!$B:$B,0))</f>
        <v>0</v>
      </c>
      <c r="W37" s="40" t="str">
        <f>IFERROR(INT(1000/POWER(1.5,VLOOKUP(V37,[1]Discovery!$B:$H,7,FALSE)^1.6)),"-")</f>
        <v>-</v>
      </c>
      <c r="X37" s="72" t="str">
        <f>IFERROR(표8[[#This Row],[배당'[5']]]/$AB37,"-")</f>
        <v>-</v>
      </c>
      <c r="Y37" s="40" t="b">
        <f>INDEX([1]AdventureDiscoveryGroup!$AH:$AH,MATCH(표8[[#This Row],[열1]],[1]AdventureDiscoveryGroup!$B:$B,0))</f>
        <v>0</v>
      </c>
      <c r="Z37" s="40" t="str">
        <f>IFERROR(INT(1000/POWER(1.5,VLOOKUP(Y37,[1]Discovery!$B:$H,7,FALSE)^1.6)),"-")</f>
        <v>-</v>
      </c>
      <c r="AA37" s="72" t="str">
        <f>IFERROR(표8[[#This Row],[배당'[6']]]/$AB37,"-")</f>
        <v>-</v>
      </c>
      <c r="AB37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38" spans="2:28" x14ac:dyDescent="0.3">
      <c r="B38" s="39" t="str">
        <f>[1]LandExplore!E44</f>
        <v>장강</v>
      </c>
      <c r="C38" s="39" t="str">
        <f>INDEX([1]LandExplore!$B:$B,MATCH(표8[[#This Row],[육지]],[1]LandExplore!$E:$E,0))</f>
        <v>##장강</v>
      </c>
      <c r="D38" s="39" t="str">
        <f>IFERROR(VLOOKUP(표8[[#This Row],[육지]],[3]!표1_6[[이름]:[선단 LV]],6,FALSE),"-")</f>
        <v>-</v>
      </c>
      <c r="E38" s="39" t="str">
        <f>IFERROR(VLOOKUP(표8[[#This Row],[육지]],[3]!표1_6[[이름]:[위도]],3,FALSE),"-")</f>
        <v>-</v>
      </c>
      <c r="F38" s="39" t="str">
        <f>IFERROR(VLOOKUP(표8[[#This Row],[육지]],[3]!표1_6[[이름]:[위도]],2,FALSE),"-")</f>
        <v>-</v>
      </c>
      <c r="G38" s="39" t="str">
        <f>INDEX([1]AdventureDiscoveryGroup!$D:$D,MATCH(표8[[#This Row],[열1]],[1]AdventureDiscoveryGroup!$B:$B,0))</f>
        <v>중경 부근</v>
      </c>
      <c r="H38" s="39" t="str">
        <f>IFERROR(INT(1000/POWER(1.5,VLOOKUP(G38,[1]Discovery!$B:$H,7,FALSE)^1.6)),"-")</f>
        <v>-</v>
      </c>
      <c r="I38" s="72" t="str">
        <f>IFERROR(표8[[#This Row],[배당'[0']]]/$AB38,"-")</f>
        <v>-</v>
      </c>
      <c r="J38" s="39" t="b">
        <f>INDEX([1]AdventureDiscoveryGroup!$I:$I,MATCH(표8[[#This Row],[열1]],[1]AdventureDiscoveryGroup!$B:$B,0))</f>
        <v>0</v>
      </c>
      <c r="K38" s="39" t="str">
        <f>IFERROR(INT(1000/POWER(1.5,VLOOKUP(J38,[1]Discovery!$B:$H,7,FALSE)^1.6)),"-")</f>
        <v>-</v>
      </c>
      <c r="L38" s="72" t="str">
        <f>IFERROR(표8[[#This Row],[배당'[1']]]/$AB38,"-")</f>
        <v>-</v>
      </c>
      <c r="M38" s="39" t="b">
        <f>INDEX([1]AdventureDiscoveryGroup!$N:$N,MATCH(표8[[#This Row],[열1]],[1]AdventureDiscoveryGroup!$B:$B,0))</f>
        <v>0</v>
      </c>
      <c r="N38" s="39" t="str">
        <f>IFERROR(INT(1000/POWER(1.5,VLOOKUP(M38,[1]Discovery!$B:$H,7,FALSE)^1.6)),"-")</f>
        <v>-</v>
      </c>
      <c r="O38" s="72" t="str">
        <f>IFERROR(표8[[#This Row],[배당'[2']]]/$AB38,"-")</f>
        <v>-</v>
      </c>
      <c r="P38" s="39" t="b">
        <f>INDEX([1]AdventureDiscoveryGroup!$S:$S,MATCH(표8[[#This Row],[열1]],[1]AdventureDiscoveryGroup!$B:$B,0))</f>
        <v>0</v>
      </c>
      <c r="Q38" s="39" t="str">
        <f>IFERROR(INT(1000/POWER(1.5,VLOOKUP(P38,[1]Discovery!$B:$H,7,FALSE)^1.6)),"-")</f>
        <v>-</v>
      </c>
      <c r="R38" s="72" t="str">
        <f>IFERROR(표8[[#This Row],[배당'[3']]]/$AB38,"-")</f>
        <v>-</v>
      </c>
      <c r="S38" s="40" t="b">
        <f>INDEX([1]AdventureDiscoveryGroup!$X:$X,MATCH(표8[[#This Row],[열1]],[1]AdventureDiscoveryGroup!$B:$B,0))</f>
        <v>0</v>
      </c>
      <c r="T38" s="40" t="str">
        <f>IFERROR(INT(1000/POWER(1.5,VLOOKUP(S38,[1]Discovery!$B:$H,7,FALSE)^1.6)),"-")</f>
        <v>-</v>
      </c>
      <c r="U38" s="72" t="str">
        <f>IFERROR(표8[[#This Row],[배당'[4']]]/$AB38,"-")</f>
        <v>-</v>
      </c>
      <c r="V38" s="40" t="b">
        <f>INDEX([1]AdventureDiscoveryGroup!$AC:$AC,MATCH(표8[[#This Row],[열1]],[1]AdventureDiscoveryGroup!$B:$B,0))</f>
        <v>0</v>
      </c>
      <c r="W38" s="40" t="str">
        <f>IFERROR(INT(1000/POWER(1.5,VLOOKUP(V38,[1]Discovery!$B:$H,7,FALSE)^1.6)),"-")</f>
        <v>-</v>
      </c>
      <c r="X38" s="72" t="str">
        <f>IFERROR(표8[[#This Row],[배당'[5']]]/$AB38,"-")</f>
        <v>-</v>
      </c>
      <c r="Y38" s="40" t="b">
        <f>INDEX([1]AdventureDiscoveryGroup!$AH:$AH,MATCH(표8[[#This Row],[열1]],[1]AdventureDiscoveryGroup!$B:$B,0))</f>
        <v>0</v>
      </c>
      <c r="Z38" s="40" t="str">
        <f>IFERROR(INT(1000/POWER(1.5,VLOOKUP(Y38,[1]Discovery!$B:$H,7,FALSE)^1.6)),"-")</f>
        <v>-</v>
      </c>
      <c r="AA38" s="72" t="str">
        <f>IFERROR(표8[[#This Row],[배당'[6']]]/$AB38,"-")</f>
        <v>-</v>
      </c>
      <c r="AB38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39" spans="2:28" x14ac:dyDescent="0.3">
      <c r="B39" s="39" t="str">
        <f>[1]LandExplore!E45</f>
        <v>황허</v>
      </c>
      <c r="C39" s="39" t="str">
        <f>INDEX([1]LandExplore!$B:$B,MATCH(표8[[#This Row],[육지]],[1]LandExplore!$E:$E,0))</f>
        <v>##황허</v>
      </c>
      <c r="D39" s="39" t="str">
        <f>IFERROR(VLOOKUP(표8[[#This Row],[육지]],[3]!표1_6[[이름]:[선단 LV]],6,FALSE),"-")</f>
        <v>-</v>
      </c>
      <c r="E39" s="39" t="str">
        <f>IFERROR(VLOOKUP(표8[[#This Row],[육지]],[3]!표1_6[[이름]:[위도]],3,FALSE),"-")</f>
        <v>-</v>
      </c>
      <c r="F39" s="39" t="str">
        <f>IFERROR(VLOOKUP(표8[[#This Row],[육지]],[3]!표1_6[[이름]:[위도]],2,FALSE),"-")</f>
        <v>-</v>
      </c>
      <c r="G39" s="39" t="str">
        <f>INDEX([1]AdventureDiscoveryGroup!$D:$D,MATCH(표8[[#This Row],[열1]],[1]AdventureDiscoveryGroup!$B:$B,0))</f>
        <v>북경 부근</v>
      </c>
      <c r="H39" s="39" t="str">
        <f>IFERROR(INT(1000/POWER(1.5,VLOOKUP(G39,[1]Discovery!$B:$H,7,FALSE)^1.6)),"-")</f>
        <v>-</v>
      </c>
      <c r="I39" s="72" t="str">
        <f>IFERROR(표8[[#This Row],[배당'[0']]]/$AB39,"-")</f>
        <v>-</v>
      </c>
      <c r="J39" s="39" t="b">
        <f>INDEX([1]AdventureDiscoveryGroup!$I:$I,MATCH(표8[[#This Row],[열1]],[1]AdventureDiscoveryGroup!$B:$B,0))</f>
        <v>0</v>
      </c>
      <c r="K39" s="39" t="str">
        <f>IFERROR(INT(1000/POWER(1.5,VLOOKUP(J39,[1]Discovery!$B:$H,7,FALSE)^1.6)),"-")</f>
        <v>-</v>
      </c>
      <c r="L39" s="72" t="str">
        <f>IFERROR(표8[[#This Row],[배당'[1']]]/$AB39,"-")</f>
        <v>-</v>
      </c>
      <c r="M39" s="39" t="b">
        <f>INDEX([1]AdventureDiscoveryGroup!$N:$N,MATCH(표8[[#This Row],[열1]],[1]AdventureDiscoveryGroup!$B:$B,0))</f>
        <v>0</v>
      </c>
      <c r="N39" s="39" t="str">
        <f>IFERROR(INT(1000/POWER(1.5,VLOOKUP(M39,[1]Discovery!$B:$H,7,FALSE)^1.6)),"-")</f>
        <v>-</v>
      </c>
      <c r="O39" s="72" t="str">
        <f>IFERROR(표8[[#This Row],[배당'[2']]]/$AB39,"-")</f>
        <v>-</v>
      </c>
      <c r="P39" s="39" t="b">
        <f>INDEX([1]AdventureDiscoveryGroup!$S:$S,MATCH(표8[[#This Row],[열1]],[1]AdventureDiscoveryGroup!$B:$B,0))</f>
        <v>0</v>
      </c>
      <c r="Q39" s="39" t="str">
        <f>IFERROR(INT(1000/POWER(1.5,VLOOKUP(P39,[1]Discovery!$B:$H,7,FALSE)^1.6)),"-")</f>
        <v>-</v>
      </c>
      <c r="R39" s="72" t="str">
        <f>IFERROR(표8[[#This Row],[배당'[3']]]/$AB39,"-")</f>
        <v>-</v>
      </c>
      <c r="S39" s="40" t="b">
        <f>INDEX([1]AdventureDiscoveryGroup!$X:$X,MATCH(표8[[#This Row],[열1]],[1]AdventureDiscoveryGroup!$B:$B,0))</f>
        <v>0</v>
      </c>
      <c r="T39" s="40" t="str">
        <f>IFERROR(INT(1000/POWER(1.5,VLOOKUP(S39,[1]Discovery!$B:$H,7,FALSE)^1.6)),"-")</f>
        <v>-</v>
      </c>
      <c r="U39" s="72" t="str">
        <f>IFERROR(표8[[#This Row],[배당'[4']]]/$AB39,"-")</f>
        <v>-</v>
      </c>
      <c r="V39" s="40" t="b">
        <f>INDEX([1]AdventureDiscoveryGroup!$AC:$AC,MATCH(표8[[#This Row],[열1]],[1]AdventureDiscoveryGroup!$B:$B,0))</f>
        <v>0</v>
      </c>
      <c r="W39" s="40" t="str">
        <f>IFERROR(INT(1000/POWER(1.5,VLOOKUP(V39,[1]Discovery!$B:$H,7,FALSE)^1.6)),"-")</f>
        <v>-</v>
      </c>
      <c r="X39" s="72" t="str">
        <f>IFERROR(표8[[#This Row],[배당'[5']]]/$AB39,"-")</f>
        <v>-</v>
      </c>
      <c r="Y39" s="40" t="b">
        <f>INDEX([1]AdventureDiscoveryGroup!$AH:$AH,MATCH(표8[[#This Row],[열1]],[1]AdventureDiscoveryGroup!$B:$B,0))</f>
        <v>0</v>
      </c>
      <c r="Z39" s="40" t="str">
        <f>IFERROR(INT(1000/POWER(1.5,VLOOKUP(Y39,[1]Discovery!$B:$H,7,FALSE)^1.6)),"-")</f>
        <v>-</v>
      </c>
      <c r="AA39" s="72" t="str">
        <f>IFERROR(표8[[#This Row],[배당'[6']]]/$AB39,"-")</f>
        <v>-</v>
      </c>
      <c r="AB39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40" spans="2:28" x14ac:dyDescent="0.3">
      <c r="B40" s="39" t="str">
        <f>[1]LandExplore!E46</f>
        <v>하노이 부근</v>
      </c>
      <c r="C40" s="39" t="str">
        <f>INDEX([1]LandExplore!$B:$B,MATCH(표8[[#This Row],[육지]],[1]LandExplore!$E:$E,0))</f>
        <v>##인도차이나</v>
      </c>
      <c r="D40" s="39" t="str">
        <f>IFERROR(VLOOKUP(표8[[#This Row],[육지]],[3]!표1_6[[이름]:[선단 LV]],6,FALSE),"-")</f>
        <v>-</v>
      </c>
      <c r="E40" s="39" t="str">
        <f>IFERROR(VLOOKUP(표8[[#This Row],[육지]],[3]!표1_6[[이름]:[위도]],3,FALSE),"-")</f>
        <v>-</v>
      </c>
      <c r="F40" s="39" t="str">
        <f>IFERROR(VLOOKUP(표8[[#This Row],[육지]],[3]!표1_6[[이름]:[위도]],2,FALSE),"-")</f>
        <v>-</v>
      </c>
      <c r="G40" s="39" t="str">
        <f>INDEX([1]AdventureDiscoveryGroup!$D:$D,MATCH(표8[[#This Row],[열1]],[1]AdventureDiscoveryGroup!$B:$B,0))</f>
        <v>하노이 부근</v>
      </c>
      <c r="H40" s="39" t="str">
        <f>IFERROR(INT(1000/POWER(1.5,VLOOKUP(G40,[1]Discovery!$B:$H,7,FALSE)^1.6)),"-")</f>
        <v>-</v>
      </c>
      <c r="I40" s="72" t="str">
        <f>IFERROR(표8[[#This Row],[배당'[0']]]/$AB40,"-")</f>
        <v>-</v>
      </c>
      <c r="J40" s="39" t="b">
        <f>INDEX([1]AdventureDiscoveryGroup!$I:$I,MATCH(표8[[#This Row],[열1]],[1]AdventureDiscoveryGroup!$B:$B,0))</f>
        <v>0</v>
      </c>
      <c r="K40" s="39" t="str">
        <f>IFERROR(INT(1000/POWER(1.5,VLOOKUP(J40,[1]Discovery!$B:$H,7,FALSE)^1.6)),"-")</f>
        <v>-</v>
      </c>
      <c r="L40" s="72" t="str">
        <f>IFERROR(표8[[#This Row],[배당'[1']]]/$AB40,"-")</f>
        <v>-</v>
      </c>
      <c r="M40" s="39" t="b">
        <f>INDEX([1]AdventureDiscoveryGroup!$N:$N,MATCH(표8[[#This Row],[열1]],[1]AdventureDiscoveryGroup!$B:$B,0))</f>
        <v>0</v>
      </c>
      <c r="N40" s="39" t="str">
        <f>IFERROR(INT(1000/POWER(1.5,VLOOKUP(M40,[1]Discovery!$B:$H,7,FALSE)^1.6)),"-")</f>
        <v>-</v>
      </c>
      <c r="O40" s="72" t="str">
        <f>IFERROR(표8[[#This Row],[배당'[2']]]/$AB40,"-")</f>
        <v>-</v>
      </c>
      <c r="P40" s="39" t="b">
        <f>INDEX([1]AdventureDiscoveryGroup!$S:$S,MATCH(표8[[#This Row],[열1]],[1]AdventureDiscoveryGroup!$B:$B,0))</f>
        <v>0</v>
      </c>
      <c r="Q40" s="39" t="str">
        <f>IFERROR(INT(1000/POWER(1.5,VLOOKUP(P40,[1]Discovery!$B:$H,7,FALSE)^1.6)),"-")</f>
        <v>-</v>
      </c>
      <c r="R40" s="72" t="str">
        <f>IFERROR(표8[[#This Row],[배당'[3']]]/$AB40,"-")</f>
        <v>-</v>
      </c>
      <c r="S40" s="40" t="b">
        <f>INDEX([1]AdventureDiscoveryGroup!$X:$X,MATCH(표8[[#This Row],[열1]],[1]AdventureDiscoveryGroup!$B:$B,0))</f>
        <v>0</v>
      </c>
      <c r="T40" s="40" t="str">
        <f>IFERROR(INT(1000/POWER(1.5,VLOOKUP(S40,[1]Discovery!$B:$H,7,FALSE)^1.6)),"-")</f>
        <v>-</v>
      </c>
      <c r="U40" s="72" t="str">
        <f>IFERROR(표8[[#This Row],[배당'[4']]]/$AB40,"-")</f>
        <v>-</v>
      </c>
      <c r="V40" s="40" t="b">
        <f>INDEX([1]AdventureDiscoveryGroup!$AC:$AC,MATCH(표8[[#This Row],[열1]],[1]AdventureDiscoveryGroup!$B:$B,0))</f>
        <v>0</v>
      </c>
      <c r="W40" s="40" t="str">
        <f>IFERROR(INT(1000/POWER(1.5,VLOOKUP(V40,[1]Discovery!$B:$H,7,FALSE)^1.6)),"-")</f>
        <v>-</v>
      </c>
      <c r="X40" s="72" t="str">
        <f>IFERROR(표8[[#This Row],[배당'[5']]]/$AB40,"-")</f>
        <v>-</v>
      </c>
      <c r="Y40" s="40" t="b">
        <f>INDEX([1]AdventureDiscoveryGroup!$AH:$AH,MATCH(표8[[#This Row],[열1]],[1]AdventureDiscoveryGroup!$B:$B,0))</f>
        <v>0</v>
      </c>
      <c r="Z40" s="40" t="str">
        <f>IFERROR(INT(1000/POWER(1.5,VLOOKUP(Y40,[1]Discovery!$B:$H,7,FALSE)^1.6)),"-")</f>
        <v>-</v>
      </c>
      <c r="AA40" s="72" t="str">
        <f>IFERROR(표8[[#This Row],[배당'[6']]]/$AB40,"-")</f>
        <v>-</v>
      </c>
      <c r="AB40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41" spans="2:28" x14ac:dyDescent="0.3">
      <c r="B41" s="39" t="str">
        <f>[1]LandExplore!E47</f>
        <v>페구 부근</v>
      </c>
      <c r="C41" s="39" t="str">
        <f>INDEX([1]LandExplore!$B:$B,MATCH(표8[[#This Row],[육지]],[1]LandExplore!$E:$E,0))</f>
        <v>##파간유적</v>
      </c>
      <c r="D41" s="39" t="str">
        <f>IFERROR(VLOOKUP(표8[[#This Row],[육지]],[3]!표1_6[[이름]:[선단 LV]],6,FALSE),"-")</f>
        <v>-</v>
      </c>
      <c r="E41" s="39" t="str">
        <f>IFERROR(VLOOKUP(표8[[#This Row],[육지]],[3]!표1_6[[이름]:[위도]],3,FALSE),"-")</f>
        <v>-</v>
      </c>
      <c r="F41" s="39" t="str">
        <f>IFERROR(VLOOKUP(표8[[#This Row],[육지]],[3]!표1_6[[이름]:[위도]],2,FALSE),"-")</f>
        <v>-</v>
      </c>
      <c r="G41" s="39" t="str">
        <f>INDEX([1]AdventureDiscoveryGroup!$D:$D,MATCH(표8[[#This Row],[열1]],[1]AdventureDiscoveryGroup!$B:$B,0))</f>
        <v>페구 부근</v>
      </c>
      <c r="H41" s="39" t="str">
        <f>IFERROR(INT(1000/POWER(1.5,VLOOKUP(G41,[1]Discovery!$B:$H,7,FALSE)^1.6)),"-")</f>
        <v>-</v>
      </c>
      <c r="I41" s="72" t="str">
        <f>IFERROR(표8[[#This Row],[배당'[0']]]/$AB41,"-")</f>
        <v>-</v>
      </c>
      <c r="J41" s="39" t="b">
        <f>INDEX([1]AdventureDiscoveryGroup!$I:$I,MATCH(표8[[#This Row],[열1]],[1]AdventureDiscoveryGroup!$B:$B,0))</f>
        <v>0</v>
      </c>
      <c r="K41" s="39" t="str">
        <f>IFERROR(INT(1000/POWER(1.5,VLOOKUP(J41,[1]Discovery!$B:$H,7,FALSE)^1.6)),"-")</f>
        <v>-</v>
      </c>
      <c r="L41" s="72" t="str">
        <f>IFERROR(표8[[#This Row],[배당'[1']]]/$AB41,"-")</f>
        <v>-</v>
      </c>
      <c r="M41" s="39" t="b">
        <f>INDEX([1]AdventureDiscoveryGroup!$N:$N,MATCH(표8[[#This Row],[열1]],[1]AdventureDiscoveryGroup!$B:$B,0))</f>
        <v>0</v>
      </c>
      <c r="N41" s="39" t="str">
        <f>IFERROR(INT(1000/POWER(1.5,VLOOKUP(M41,[1]Discovery!$B:$H,7,FALSE)^1.6)),"-")</f>
        <v>-</v>
      </c>
      <c r="O41" s="72" t="str">
        <f>IFERROR(표8[[#This Row],[배당'[2']]]/$AB41,"-")</f>
        <v>-</v>
      </c>
      <c r="P41" s="39" t="b">
        <f>INDEX([1]AdventureDiscoveryGroup!$S:$S,MATCH(표8[[#This Row],[열1]],[1]AdventureDiscoveryGroup!$B:$B,0))</f>
        <v>0</v>
      </c>
      <c r="Q41" s="39" t="str">
        <f>IFERROR(INT(1000/POWER(1.5,VLOOKUP(P41,[1]Discovery!$B:$H,7,FALSE)^1.6)),"-")</f>
        <v>-</v>
      </c>
      <c r="R41" s="72" t="str">
        <f>IFERROR(표8[[#This Row],[배당'[3']]]/$AB41,"-")</f>
        <v>-</v>
      </c>
      <c r="S41" s="40" t="b">
        <f>INDEX([1]AdventureDiscoveryGroup!$X:$X,MATCH(표8[[#This Row],[열1]],[1]AdventureDiscoveryGroup!$B:$B,0))</f>
        <v>0</v>
      </c>
      <c r="T41" s="40" t="str">
        <f>IFERROR(INT(1000/POWER(1.5,VLOOKUP(S41,[1]Discovery!$B:$H,7,FALSE)^1.6)),"-")</f>
        <v>-</v>
      </c>
      <c r="U41" s="72" t="str">
        <f>IFERROR(표8[[#This Row],[배당'[4']]]/$AB41,"-")</f>
        <v>-</v>
      </c>
      <c r="V41" s="40" t="b">
        <f>INDEX([1]AdventureDiscoveryGroup!$AC:$AC,MATCH(표8[[#This Row],[열1]],[1]AdventureDiscoveryGroup!$B:$B,0))</f>
        <v>0</v>
      </c>
      <c r="W41" s="40" t="str">
        <f>IFERROR(INT(1000/POWER(1.5,VLOOKUP(V41,[1]Discovery!$B:$H,7,FALSE)^1.6)),"-")</f>
        <v>-</v>
      </c>
      <c r="X41" s="72" t="str">
        <f>IFERROR(표8[[#This Row],[배당'[5']]]/$AB41,"-")</f>
        <v>-</v>
      </c>
      <c r="Y41" s="40" t="b">
        <f>INDEX([1]AdventureDiscoveryGroup!$AH:$AH,MATCH(표8[[#This Row],[열1]],[1]AdventureDiscoveryGroup!$B:$B,0))</f>
        <v>0</v>
      </c>
      <c r="Z41" s="40" t="str">
        <f>IFERROR(INT(1000/POWER(1.5,VLOOKUP(Y41,[1]Discovery!$B:$H,7,FALSE)^1.6)),"-")</f>
        <v>-</v>
      </c>
      <c r="AA41" s="72" t="str">
        <f>IFERROR(표8[[#This Row],[배당'[6']]]/$AB41,"-")</f>
        <v>-</v>
      </c>
      <c r="AB41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42" spans="2:28" x14ac:dyDescent="0.3">
      <c r="B42" s="39" t="str">
        <f>[1]LandExplore!E48</f>
        <v>도파르 부근</v>
      </c>
      <c r="C42" s="39" t="str">
        <f>INDEX([1]LandExplore!$B:$B,MATCH(표8[[#This Row],[육지]],[1]LandExplore!$E:$E,0))</f>
        <v>##아랍</v>
      </c>
      <c r="D42" s="39" t="str">
        <f>IFERROR(VLOOKUP(표8[[#This Row],[육지]],[3]!표1_6[[이름]:[선단 LV]],6,FALSE),"-")</f>
        <v>-</v>
      </c>
      <c r="E42" s="39" t="str">
        <f>IFERROR(VLOOKUP(표8[[#This Row],[육지]],[3]!표1_6[[이름]:[위도]],3,FALSE),"-")</f>
        <v>-</v>
      </c>
      <c r="F42" s="39" t="str">
        <f>IFERROR(VLOOKUP(표8[[#This Row],[육지]],[3]!표1_6[[이름]:[위도]],2,FALSE),"-")</f>
        <v>-</v>
      </c>
      <c r="G42" s="39" t="str">
        <f>INDEX([1]AdventureDiscoveryGroup!$D:$D,MATCH(표8[[#This Row],[열1]],[1]AdventureDiscoveryGroup!$B:$B,0))</f>
        <v>도파르 부근</v>
      </c>
      <c r="H42" s="39" t="str">
        <f>IFERROR(INT(1000/POWER(1.5,VLOOKUP(G42,[1]Discovery!$B:$H,7,FALSE)^1.6)),"-")</f>
        <v>-</v>
      </c>
      <c r="I42" s="72" t="str">
        <f>IFERROR(표8[[#This Row],[배당'[0']]]/$AB42,"-")</f>
        <v>-</v>
      </c>
      <c r="J42" s="39" t="b">
        <f>INDEX([1]AdventureDiscoveryGroup!$I:$I,MATCH(표8[[#This Row],[열1]],[1]AdventureDiscoveryGroup!$B:$B,0))</f>
        <v>0</v>
      </c>
      <c r="K42" s="39" t="str">
        <f>IFERROR(INT(1000/POWER(1.5,VLOOKUP(J42,[1]Discovery!$B:$H,7,FALSE)^1.6)),"-")</f>
        <v>-</v>
      </c>
      <c r="L42" s="72" t="str">
        <f>IFERROR(표8[[#This Row],[배당'[1']]]/$AB42,"-")</f>
        <v>-</v>
      </c>
      <c r="M42" s="39" t="b">
        <f>INDEX([1]AdventureDiscoveryGroup!$N:$N,MATCH(표8[[#This Row],[열1]],[1]AdventureDiscoveryGroup!$B:$B,0))</f>
        <v>0</v>
      </c>
      <c r="N42" s="39" t="str">
        <f>IFERROR(INT(1000/POWER(1.5,VLOOKUP(M42,[1]Discovery!$B:$H,7,FALSE)^1.6)),"-")</f>
        <v>-</v>
      </c>
      <c r="O42" s="72" t="str">
        <f>IFERROR(표8[[#This Row],[배당'[2']]]/$AB42,"-")</f>
        <v>-</v>
      </c>
      <c r="P42" s="39" t="b">
        <f>INDEX([1]AdventureDiscoveryGroup!$S:$S,MATCH(표8[[#This Row],[열1]],[1]AdventureDiscoveryGroup!$B:$B,0))</f>
        <v>0</v>
      </c>
      <c r="Q42" s="39" t="str">
        <f>IFERROR(INT(1000/POWER(1.5,VLOOKUP(P42,[1]Discovery!$B:$H,7,FALSE)^1.6)),"-")</f>
        <v>-</v>
      </c>
      <c r="R42" s="72" t="str">
        <f>IFERROR(표8[[#This Row],[배당'[3']]]/$AB42,"-")</f>
        <v>-</v>
      </c>
      <c r="S42" s="40" t="b">
        <f>INDEX([1]AdventureDiscoveryGroup!$X:$X,MATCH(표8[[#This Row],[열1]],[1]AdventureDiscoveryGroup!$B:$B,0))</f>
        <v>0</v>
      </c>
      <c r="T42" s="40" t="str">
        <f>IFERROR(INT(1000/POWER(1.5,VLOOKUP(S42,[1]Discovery!$B:$H,7,FALSE)^1.6)),"-")</f>
        <v>-</v>
      </c>
      <c r="U42" s="72" t="str">
        <f>IFERROR(표8[[#This Row],[배당'[4']]]/$AB42,"-")</f>
        <v>-</v>
      </c>
      <c r="V42" s="40" t="b">
        <f>INDEX([1]AdventureDiscoveryGroup!$AC:$AC,MATCH(표8[[#This Row],[열1]],[1]AdventureDiscoveryGroup!$B:$B,0))</f>
        <v>0</v>
      </c>
      <c r="W42" s="40" t="str">
        <f>IFERROR(INT(1000/POWER(1.5,VLOOKUP(V42,[1]Discovery!$B:$H,7,FALSE)^1.6)),"-")</f>
        <v>-</v>
      </c>
      <c r="X42" s="72" t="str">
        <f>IFERROR(표8[[#This Row],[배당'[5']]]/$AB42,"-")</f>
        <v>-</v>
      </c>
      <c r="Y42" s="40" t="b">
        <f>INDEX([1]AdventureDiscoveryGroup!$AH:$AH,MATCH(표8[[#This Row],[열1]],[1]AdventureDiscoveryGroup!$B:$B,0))</f>
        <v>0</v>
      </c>
      <c r="Z42" s="40" t="str">
        <f>IFERROR(INT(1000/POWER(1.5,VLOOKUP(Y42,[1]Discovery!$B:$H,7,FALSE)^1.6)),"-")</f>
        <v>-</v>
      </c>
      <c r="AA42" s="72" t="str">
        <f>IFERROR(표8[[#This Row],[배당'[6']]]/$AB42,"-")</f>
        <v>-</v>
      </c>
      <c r="AB42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43" spans="2:28" x14ac:dyDescent="0.3">
      <c r="B43" s="39" t="str">
        <f>[1]LandExplore!E49</f>
        <v>하라무즈 부근</v>
      </c>
      <c r="C43" s="39" t="str">
        <f>INDEX([1]LandExplore!$B:$B,MATCH(표8[[#This Row],[육지]],[1]LandExplore!$E:$E,0))</f>
        <v>##페르시아</v>
      </c>
      <c r="D43" s="39" t="str">
        <f>IFERROR(VLOOKUP(표8[[#This Row],[육지]],[3]!표1_6[[이름]:[선단 LV]],6,FALSE),"-")</f>
        <v>-</v>
      </c>
      <c r="E43" s="39" t="str">
        <f>IFERROR(VLOOKUP(표8[[#This Row],[육지]],[3]!표1_6[[이름]:[위도]],3,FALSE),"-")</f>
        <v>-</v>
      </c>
      <c r="F43" s="39" t="str">
        <f>IFERROR(VLOOKUP(표8[[#This Row],[육지]],[3]!표1_6[[이름]:[위도]],2,FALSE),"-")</f>
        <v>-</v>
      </c>
      <c r="G43" s="39" t="str">
        <f>INDEX([1]AdventureDiscoveryGroup!$D:$D,MATCH(표8[[#This Row],[열1]],[1]AdventureDiscoveryGroup!$B:$B,0))</f>
        <v>하라무즈 부근</v>
      </c>
      <c r="H43" s="39" t="str">
        <f>IFERROR(INT(1000/POWER(1.5,VLOOKUP(G43,[1]Discovery!$B:$H,7,FALSE)^1.6)),"-")</f>
        <v>-</v>
      </c>
      <c r="I43" s="72" t="str">
        <f>IFERROR(표8[[#This Row],[배당'[0']]]/$AB43,"-")</f>
        <v>-</v>
      </c>
      <c r="J43" s="39" t="b">
        <f>INDEX([1]AdventureDiscoveryGroup!$I:$I,MATCH(표8[[#This Row],[열1]],[1]AdventureDiscoveryGroup!$B:$B,0))</f>
        <v>0</v>
      </c>
      <c r="K43" s="39" t="str">
        <f>IFERROR(INT(1000/POWER(1.5,VLOOKUP(J43,[1]Discovery!$B:$H,7,FALSE)^1.6)),"-")</f>
        <v>-</v>
      </c>
      <c r="L43" s="72" t="str">
        <f>IFERROR(표8[[#This Row],[배당'[1']]]/$AB43,"-")</f>
        <v>-</v>
      </c>
      <c r="M43" s="39" t="b">
        <f>INDEX([1]AdventureDiscoveryGroup!$N:$N,MATCH(표8[[#This Row],[열1]],[1]AdventureDiscoveryGroup!$B:$B,0))</f>
        <v>0</v>
      </c>
      <c r="N43" s="39" t="str">
        <f>IFERROR(INT(1000/POWER(1.5,VLOOKUP(M43,[1]Discovery!$B:$H,7,FALSE)^1.6)),"-")</f>
        <v>-</v>
      </c>
      <c r="O43" s="72" t="str">
        <f>IFERROR(표8[[#This Row],[배당'[2']]]/$AB43,"-")</f>
        <v>-</v>
      </c>
      <c r="P43" s="39" t="b">
        <f>INDEX([1]AdventureDiscoveryGroup!$S:$S,MATCH(표8[[#This Row],[열1]],[1]AdventureDiscoveryGroup!$B:$B,0))</f>
        <v>0</v>
      </c>
      <c r="Q43" s="39" t="str">
        <f>IFERROR(INT(1000/POWER(1.5,VLOOKUP(P43,[1]Discovery!$B:$H,7,FALSE)^1.6)),"-")</f>
        <v>-</v>
      </c>
      <c r="R43" s="72" t="str">
        <f>IFERROR(표8[[#This Row],[배당'[3']]]/$AB43,"-")</f>
        <v>-</v>
      </c>
      <c r="S43" s="40" t="b">
        <f>INDEX([1]AdventureDiscoveryGroup!$X:$X,MATCH(표8[[#This Row],[열1]],[1]AdventureDiscoveryGroup!$B:$B,0))</f>
        <v>0</v>
      </c>
      <c r="T43" s="40" t="str">
        <f>IFERROR(INT(1000/POWER(1.5,VLOOKUP(S43,[1]Discovery!$B:$H,7,FALSE)^1.6)),"-")</f>
        <v>-</v>
      </c>
      <c r="U43" s="72" t="str">
        <f>IFERROR(표8[[#This Row],[배당'[4']]]/$AB43,"-")</f>
        <v>-</v>
      </c>
      <c r="V43" s="40" t="b">
        <f>INDEX([1]AdventureDiscoveryGroup!$AC:$AC,MATCH(표8[[#This Row],[열1]],[1]AdventureDiscoveryGroup!$B:$B,0))</f>
        <v>0</v>
      </c>
      <c r="W43" s="40" t="str">
        <f>IFERROR(INT(1000/POWER(1.5,VLOOKUP(V43,[1]Discovery!$B:$H,7,FALSE)^1.6)),"-")</f>
        <v>-</v>
      </c>
      <c r="X43" s="72" t="str">
        <f>IFERROR(표8[[#This Row],[배당'[5']]]/$AB43,"-")</f>
        <v>-</v>
      </c>
      <c r="Y43" s="40" t="b">
        <f>INDEX([1]AdventureDiscoveryGroup!$AH:$AH,MATCH(표8[[#This Row],[열1]],[1]AdventureDiscoveryGroup!$B:$B,0))</f>
        <v>0</v>
      </c>
      <c r="Z43" s="40" t="str">
        <f>IFERROR(INT(1000/POWER(1.5,VLOOKUP(Y43,[1]Discovery!$B:$H,7,FALSE)^1.6)),"-")</f>
        <v>-</v>
      </c>
      <c r="AA43" s="72" t="str">
        <f>IFERROR(표8[[#This Row],[배당'[6']]]/$AB43,"-")</f>
        <v>-</v>
      </c>
      <c r="AB43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44" spans="2:28" x14ac:dyDescent="0.3">
      <c r="B44" s="39" t="str">
        <f>[1]LandExplore!E50</f>
        <v>고아 부근</v>
      </c>
      <c r="C44" s="39" t="str">
        <f>INDEX([1]LandExplore!$B:$B,MATCH(표8[[#This Row],[육지]],[1]LandExplore!$E:$E,0))</f>
        <v>##인도</v>
      </c>
      <c r="D44" s="39" t="str">
        <f>IFERROR(VLOOKUP(표8[[#This Row],[육지]],[3]!표1_6[[이름]:[선단 LV]],6,FALSE),"-")</f>
        <v>-</v>
      </c>
      <c r="E44" s="39" t="str">
        <f>IFERROR(VLOOKUP(표8[[#This Row],[육지]],[3]!표1_6[[이름]:[위도]],3,FALSE),"-")</f>
        <v>-</v>
      </c>
      <c r="F44" s="39" t="str">
        <f>IFERROR(VLOOKUP(표8[[#This Row],[육지]],[3]!표1_6[[이름]:[위도]],2,FALSE),"-")</f>
        <v>-</v>
      </c>
      <c r="G44" s="39" t="str">
        <f>INDEX([1]AdventureDiscoveryGroup!$D:$D,MATCH(표8[[#This Row],[열1]],[1]AdventureDiscoveryGroup!$B:$B,0))</f>
        <v>고아 부근</v>
      </c>
      <c r="H44" s="39" t="str">
        <f>IFERROR(INT(1000/POWER(1.5,VLOOKUP(G44,[1]Discovery!$B:$H,7,FALSE)^1.6)),"-")</f>
        <v>-</v>
      </c>
      <c r="I44" s="72" t="str">
        <f>IFERROR(표8[[#This Row],[배당'[0']]]/$AB44,"-")</f>
        <v>-</v>
      </c>
      <c r="J44" s="39" t="b">
        <f>INDEX([1]AdventureDiscoveryGroup!$I:$I,MATCH(표8[[#This Row],[열1]],[1]AdventureDiscoveryGroup!$B:$B,0))</f>
        <v>0</v>
      </c>
      <c r="K44" s="39" t="str">
        <f>IFERROR(INT(1000/POWER(1.5,VLOOKUP(J44,[1]Discovery!$B:$H,7,FALSE)^1.6)),"-")</f>
        <v>-</v>
      </c>
      <c r="L44" s="72" t="str">
        <f>IFERROR(표8[[#This Row],[배당'[1']]]/$AB44,"-")</f>
        <v>-</v>
      </c>
      <c r="M44" s="39" t="b">
        <f>INDEX([1]AdventureDiscoveryGroup!$N:$N,MATCH(표8[[#This Row],[열1]],[1]AdventureDiscoveryGroup!$B:$B,0))</f>
        <v>0</v>
      </c>
      <c r="N44" s="39" t="str">
        <f>IFERROR(INT(1000/POWER(1.5,VLOOKUP(M44,[1]Discovery!$B:$H,7,FALSE)^1.6)),"-")</f>
        <v>-</v>
      </c>
      <c r="O44" s="72" t="str">
        <f>IFERROR(표8[[#This Row],[배당'[2']]]/$AB44,"-")</f>
        <v>-</v>
      </c>
      <c r="P44" s="39" t="b">
        <f>INDEX([1]AdventureDiscoveryGroup!$S:$S,MATCH(표8[[#This Row],[열1]],[1]AdventureDiscoveryGroup!$B:$B,0))</f>
        <v>0</v>
      </c>
      <c r="Q44" s="39" t="str">
        <f>IFERROR(INT(1000/POWER(1.5,VLOOKUP(P44,[1]Discovery!$B:$H,7,FALSE)^1.6)),"-")</f>
        <v>-</v>
      </c>
      <c r="R44" s="72" t="str">
        <f>IFERROR(표8[[#This Row],[배당'[3']]]/$AB44,"-")</f>
        <v>-</v>
      </c>
      <c r="S44" s="40" t="b">
        <f>INDEX([1]AdventureDiscoveryGroup!$X:$X,MATCH(표8[[#This Row],[열1]],[1]AdventureDiscoveryGroup!$B:$B,0))</f>
        <v>0</v>
      </c>
      <c r="T44" s="40" t="str">
        <f>IFERROR(INT(1000/POWER(1.5,VLOOKUP(S44,[1]Discovery!$B:$H,7,FALSE)^1.6)),"-")</f>
        <v>-</v>
      </c>
      <c r="U44" s="72" t="str">
        <f>IFERROR(표8[[#This Row],[배당'[4']]]/$AB44,"-")</f>
        <v>-</v>
      </c>
      <c r="V44" s="40" t="b">
        <f>INDEX([1]AdventureDiscoveryGroup!$AC:$AC,MATCH(표8[[#This Row],[열1]],[1]AdventureDiscoveryGroup!$B:$B,0))</f>
        <v>0</v>
      </c>
      <c r="W44" s="40" t="str">
        <f>IFERROR(INT(1000/POWER(1.5,VLOOKUP(V44,[1]Discovery!$B:$H,7,FALSE)^1.6)),"-")</f>
        <v>-</v>
      </c>
      <c r="X44" s="72" t="str">
        <f>IFERROR(표8[[#This Row],[배당'[5']]]/$AB44,"-")</f>
        <v>-</v>
      </c>
      <c r="Y44" s="40" t="b">
        <f>INDEX([1]AdventureDiscoveryGroup!$AH:$AH,MATCH(표8[[#This Row],[열1]],[1]AdventureDiscoveryGroup!$B:$B,0))</f>
        <v>0</v>
      </c>
      <c r="Z44" s="40" t="str">
        <f>IFERROR(INT(1000/POWER(1.5,VLOOKUP(Y44,[1]Discovery!$B:$H,7,FALSE)^1.6)),"-")</f>
        <v>-</v>
      </c>
      <c r="AA44" s="72" t="str">
        <f>IFERROR(표8[[#This Row],[배당'[6']]]/$AB44,"-")</f>
        <v>-</v>
      </c>
      <c r="AB44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45" spans="2:28" x14ac:dyDescent="0.3">
      <c r="B45" s="39" t="str">
        <f>[1]LandExplore!E51</f>
        <v>마실리파트남 부근</v>
      </c>
      <c r="C45" s="39" t="str">
        <f>INDEX([1]LandExplore!$B:$B,MATCH(표8[[#This Row],[육지]],[1]LandExplore!$E:$E,0))</f>
        <v>##인도 동부</v>
      </c>
      <c r="D45" s="39" t="str">
        <f>IFERROR(VLOOKUP(표8[[#This Row],[육지]],[3]!표1_6[[이름]:[선단 LV]],6,FALSE),"-")</f>
        <v>-</v>
      </c>
      <c r="E45" s="39" t="str">
        <f>IFERROR(VLOOKUP(표8[[#This Row],[육지]],[3]!표1_6[[이름]:[위도]],3,FALSE),"-")</f>
        <v>-</v>
      </c>
      <c r="F45" s="39" t="str">
        <f>IFERROR(VLOOKUP(표8[[#This Row],[육지]],[3]!표1_6[[이름]:[위도]],2,FALSE),"-")</f>
        <v>-</v>
      </c>
      <c r="G45" s="39" t="str">
        <f>INDEX([1]AdventureDiscoveryGroup!$D:$D,MATCH(표8[[#This Row],[열1]],[1]AdventureDiscoveryGroup!$B:$B,0))</f>
        <v>마실리파트남 부근</v>
      </c>
      <c r="H45" s="39" t="str">
        <f>IFERROR(INT(1000/POWER(1.5,VLOOKUP(G45,[1]Discovery!$B:$H,7,FALSE)^1.6)),"-")</f>
        <v>-</v>
      </c>
      <c r="I45" s="72" t="str">
        <f>IFERROR(표8[[#This Row],[배당'[0']]]/$AB45,"-")</f>
        <v>-</v>
      </c>
      <c r="J45" s="39" t="b">
        <f>INDEX([1]AdventureDiscoveryGroup!$I:$I,MATCH(표8[[#This Row],[열1]],[1]AdventureDiscoveryGroup!$B:$B,0))</f>
        <v>0</v>
      </c>
      <c r="K45" s="39" t="str">
        <f>IFERROR(INT(1000/POWER(1.5,VLOOKUP(J45,[1]Discovery!$B:$H,7,FALSE)^1.6)),"-")</f>
        <v>-</v>
      </c>
      <c r="L45" s="72" t="str">
        <f>IFERROR(표8[[#This Row],[배당'[1']]]/$AB45,"-")</f>
        <v>-</v>
      </c>
      <c r="M45" s="39" t="b">
        <f>INDEX([1]AdventureDiscoveryGroup!$N:$N,MATCH(표8[[#This Row],[열1]],[1]AdventureDiscoveryGroup!$B:$B,0))</f>
        <v>0</v>
      </c>
      <c r="N45" s="39" t="str">
        <f>IFERROR(INT(1000/POWER(1.5,VLOOKUP(M45,[1]Discovery!$B:$H,7,FALSE)^1.6)),"-")</f>
        <v>-</v>
      </c>
      <c r="O45" s="72" t="str">
        <f>IFERROR(표8[[#This Row],[배당'[2']]]/$AB45,"-")</f>
        <v>-</v>
      </c>
      <c r="P45" s="39" t="b">
        <f>INDEX([1]AdventureDiscoveryGroup!$S:$S,MATCH(표8[[#This Row],[열1]],[1]AdventureDiscoveryGroup!$B:$B,0))</f>
        <v>0</v>
      </c>
      <c r="Q45" s="39" t="str">
        <f>IFERROR(INT(1000/POWER(1.5,VLOOKUP(P45,[1]Discovery!$B:$H,7,FALSE)^1.6)),"-")</f>
        <v>-</v>
      </c>
      <c r="R45" s="72" t="str">
        <f>IFERROR(표8[[#This Row],[배당'[3']]]/$AB45,"-")</f>
        <v>-</v>
      </c>
      <c r="S45" s="40" t="b">
        <f>INDEX([1]AdventureDiscoveryGroup!$X:$X,MATCH(표8[[#This Row],[열1]],[1]AdventureDiscoveryGroup!$B:$B,0))</f>
        <v>0</v>
      </c>
      <c r="T45" s="40" t="str">
        <f>IFERROR(INT(1000/POWER(1.5,VLOOKUP(S45,[1]Discovery!$B:$H,7,FALSE)^1.6)),"-")</f>
        <v>-</v>
      </c>
      <c r="U45" s="72" t="str">
        <f>IFERROR(표8[[#This Row],[배당'[4']]]/$AB45,"-")</f>
        <v>-</v>
      </c>
      <c r="V45" s="40" t="b">
        <f>INDEX([1]AdventureDiscoveryGroup!$AC:$AC,MATCH(표8[[#This Row],[열1]],[1]AdventureDiscoveryGroup!$B:$B,0))</f>
        <v>0</v>
      </c>
      <c r="W45" s="40" t="str">
        <f>IFERROR(INT(1000/POWER(1.5,VLOOKUP(V45,[1]Discovery!$B:$H,7,FALSE)^1.6)),"-")</f>
        <v>-</v>
      </c>
      <c r="X45" s="72" t="str">
        <f>IFERROR(표8[[#This Row],[배당'[5']]]/$AB45,"-")</f>
        <v>-</v>
      </c>
      <c r="Y45" s="40" t="b">
        <f>INDEX([1]AdventureDiscoveryGroup!$AH:$AH,MATCH(표8[[#This Row],[열1]],[1]AdventureDiscoveryGroup!$B:$B,0))</f>
        <v>0</v>
      </c>
      <c r="Z45" s="40" t="str">
        <f>IFERROR(INT(1000/POWER(1.5,VLOOKUP(Y45,[1]Discovery!$B:$H,7,FALSE)^1.6)),"-")</f>
        <v>-</v>
      </c>
      <c r="AA45" s="72" t="str">
        <f>IFERROR(표8[[#This Row],[배당'[6']]]/$AB45,"-")</f>
        <v>-</v>
      </c>
      <c r="AB45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46" spans="2:28" x14ac:dyDescent="0.3">
      <c r="B46" s="39" t="str">
        <f>[1]LandExplore!E52</f>
        <v>브루네이 부근</v>
      </c>
      <c r="C46" s="39" t="str">
        <f>INDEX([1]LandExplore!$B:$B,MATCH(표8[[#This Row],[육지]],[1]LandExplore!$E:$E,0))</f>
        <v>##동남아군도</v>
      </c>
      <c r="D46" s="39" t="str">
        <f>IFERROR(VLOOKUP(표8[[#This Row],[육지]],[3]!표1_6[[이름]:[선단 LV]],6,FALSE),"-")</f>
        <v>-</v>
      </c>
      <c r="E46" s="39" t="str">
        <f>IFERROR(VLOOKUP(표8[[#This Row],[육지]],[3]!표1_6[[이름]:[위도]],3,FALSE),"-")</f>
        <v>-</v>
      </c>
      <c r="F46" s="39" t="str">
        <f>IFERROR(VLOOKUP(표8[[#This Row],[육지]],[3]!표1_6[[이름]:[위도]],2,FALSE),"-")</f>
        <v>-</v>
      </c>
      <c r="G46" s="39" t="str">
        <f>INDEX([1]AdventureDiscoveryGroup!$D:$D,MATCH(표8[[#This Row],[열1]],[1]AdventureDiscoveryGroup!$B:$B,0))</f>
        <v>브루네이 부근</v>
      </c>
      <c r="H46" s="39" t="str">
        <f>IFERROR(INT(1000/POWER(1.5,VLOOKUP(G46,[1]Discovery!$B:$H,7,FALSE)^1.6)),"-")</f>
        <v>-</v>
      </c>
      <c r="I46" s="72" t="str">
        <f>IFERROR(표8[[#This Row],[배당'[0']]]/$AB46,"-")</f>
        <v>-</v>
      </c>
      <c r="J46" s="39" t="b">
        <f>INDEX([1]AdventureDiscoveryGroup!$I:$I,MATCH(표8[[#This Row],[열1]],[1]AdventureDiscoveryGroup!$B:$B,0))</f>
        <v>0</v>
      </c>
      <c r="K46" s="39" t="str">
        <f>IFERROR(INT(1000/POWER(1.5,VLOOKUP(J46,[1]Discovery!$B:$H,7,FALSE)^1.6)),"-")</f>
        <v>-</v>
      </c>
      <c r="L46" s="72" t="str">
        <f>IFERROR(표8[[#This Row],[배당'[1']]]/$AB46,"-")</f>
        <v>-</v>
      </c>
      <c r="M46" s="39" t="b">
        <f>INDEX([1]AdventureDiscoveryGroup!$N:$N,MATCH(표8[[#This Row],[열1]],[1]AdventureDiscoveryGroup!$B:$B,0))</f>
        <v>0</v>
      </c>
      <c r="N46" s="39" t="str">
        <f>IFERROR(INT(1000/POWER(1.5,VLOOKUP(M46,[1]Discovery!$B:$H,7,FALSE)^1.6)),"-")</f>
        <v>-</v>
      </c>
      <c r="O46" s="72" t="str">
        <f>IFERROR(표8[[#This Row],[배당'[2']]]/$AB46,"-")</f>
        <v>-</v>
      </c>
      <c r="P46" s="39" t="b">
        <f>INDEX([1]AdventureDiscoveryGroup!$S:$S,MATCH(표8[[#This Row],[열1]],[1]AdventureDiscoveryGroup!$B:$B,0))</f>
        <v>0</v>
      </c>
      <c r="Q46" s="39" t="str">
        <f>IFERROR(INT(1000/POWER(1.5,VLOOKUP(P46,[1]Discovery!$B:$H,7,FALSE)^1.6)),"-")</f>
        <v>-</v>
      </c>
      <c r="R46" s="72" t="str">
        <f>IFERROR(표8[[#This Row],[배당'[3']]]/$AB46,"-")</f>
        <v>-</v>
      </c>
      <c r="S46" s="40" t="b">
        <f>INDEX([1]AdventureDiscoveryGroup!$X:$X,MATCH(표8[[#This Row],[열1]],[1]AdventureDiscoveryGroup!$B:$B,0))</f>
        <v>0</v>
      </c>
      <c r="T46" s="40" t="str">
        <f>IFERROR(INT(1000/POWER(1.5,VLOOKUP(S46,[1]Discovery!$B:$H,7,FALSE)^1.6)),"-")</f>
        <v>-</v>
      </c>
      <c r="U46" s="72" t="str">
        <f>IFERROR(표8[[#This Row],[배당'[4']]]/$AB46,"-")</f>
        <v>-</v>
      </c>
      <c r="V46" s="40" t="b">
        <f>INDEX([1]AdventureDiscoveryGroup!$AC:$AC,MATCH(표8[[#This Row],[열1]],[1]AdventureDiscoveryGroup!$B:$B,0))</f>
        <v>0</v>
      </c>
      <c r="W46" s="40" t="str">
        <f>IFERROR(INT(1000/POWER(1.5,VLOOKUP(V46,[1]Discovery!$B:$H,7,FALSE)^1.6)),"-")</f>
        <v>-</v>
      </c>
      <c r="X46" s="72" t="str">
        <f>IFERROR(표8[[#This Row],[배당'[5']]]/$AB46,"-")</f>
        <v>-</v>
      </c>
      <c r="Y46" s="40" t="b">
        <f>INDEX([1]AdventureDiscoveryGroup!$AH:$AH,MATCH(표8[[#This Row],[열1]],[1]AdventureDiscoveryGroup!$B:$B,0))</f>
        <v>0</v>
      </c>
      <c r="Z46" s="40" t="str">
        <f>IFERROR(INT(1000/POWER(1.5,VLOOKUP(Y46,[1]Discovery!$B:$H,7,FALSE)^1.6)),"-")</f>
        <v>-</v>
      </c>
      <c r="AA46" s="72" t="str">
        <f>IFERROR(표8[[#This Row],[배당'[6']]]/$AB46,"-")</f>
        <v>-</v>
      </c>
      <c r="AB46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47" spans="2:28" x14ac:dyDescent="0.3">
      <c r="B47" s="39" t="str">
        <f>[1]LandExplore!E53</f>
        <v>수라바야 부근</v>
      </c>
      <c r="C47" s="39" t="str">
        <f>INDEX([1]LandExplore!$B:$B,MATCH(표8[[#This Row],[육지]],[1]LandExplore!$E:$E,0))</f>
        <v>##소순다 열도</v>
      </c>
      <c r="D47" s="39" t="str">
        <f>IFERROR(VLOOKUP(표8[[#This Row],[육지]],[3]!표1_6[[이름]:[선단 LV]],6,FALSE),"-")</f>
        <v>-</v>
      </c>
      <c r="E47" s="39" t="str">
        <f>IFERROR(VLOOKUP(표8[[#This Row],[육지]],[3]!표1_6[[이름]:[위도]],3,FALSE),"-")</f>
        <v>-</v>
      </c>
      <c r="F47" s="39" t="str">
        <f>IFERROR(VLOOKUP(표8[[#This Row],[육지]],[3]!표1_6[[이름]:[위도]],2,FALSE),"-")</f>
        <v>-</v>
      </c>
      <c r="G47" s="39" t="str">
        <f>INDEX([1]AdventureDiscoveryGroup!$D:$D,MATCH(표8[[#This Row],[열1]],[1]AdventureDiscoveryGroup!$B:$B,0))</f>
        <v>수라바야 부근</v>
      </c>
      <c r="H47" s="39" t="str">
        <f>IFERROR(INT(1000/POWER(1.5,VLOOKUP(G47,[1]Discovery!$B:$H,7,FALSE)^1.6)),"-")</f>
        <v>-</v>
      </c>
      <c r="I47" s="72" t="str">
        <f>IFERROR(표8[[#This Row],[배당'[0']]]/$AB47,"-")</f>
        <v>-</v>
      </c>
      <c r="J47" s="39" t="b">
        <f>INDEX([1]AdventureDiscoveryGroup!$I:$I,MATCH(표8[[#This Row],[열1]],[1]AdventureDiscoveryGroup!$B:$B,0))</f>
        <v>0</v>
      </c>
      <c r="K47" s="39" t="str">
        <f>IFERROR(INT(1000/POWER(1.5,VLOOKUP(J47,[1]Discovery!$B:$H,7,FALSE)^1.6)),"-")</f>
        <v>-</v>
      </c>
      <c r="L47" s="72" t="str">
        <f>IFERROR(표8[[#This Row],[배당'[1']]]/$AB47,"-")</f>
        <v>-</v>
      </c>
      <c r="M47" s="39" t="b">
        <f>INDEX([1]AdventureDiscoveryGroup!$N:$N,MATCH(표8[[#This Row],[열1]],[1]AdventureDiscoveryGroup!$B:$B,0))</f>
        <v>0</v>
      </c>
      <c r="N47" s="39" t="str">
        <f>IFERROR(INT(1000/POWER(1.5,VLOOKUP(M47,[1]Discovery!$B:$H,7,FALSE)^1.6)),"-")</f>
        <v>-</v>
      </c>
      <c r="O47" s="72" t="str">
        <f>IFERROR(표8[[#This Row],[배당'[2']]]/$AB47,"-")</f>
        <v>-</v>
      </c>
      <c r="P47" s="39" t="b">
        <f>INDEX([1]AdventureDiscoveryGroup!$S:$S,MATCH(표8[[#This Row],[열1]],[1]AdventureDiscoveryGroup!$B:$B,0))</f>
        <v>0</v>
      </c>
      <c r="Q47" s="39" t="str">
        <f>IFERROR(INT(1000/POWER(1.5,VLOOKUP(P47,[1]Discovery!$B:$H,7,FALSE)^1.6)),"-")</f>
        <v>-</v>
      </c>
      <c r="R47" s="72" t="str">
        <f>IFERROR(표8[[#This Row],[배당'[3']]]/$AB47,"-")</f>
        <v>-</v>
      </c>
      <c r="S47" s="40" t="b">
        <f>INDEX([1]AdventureDiscoveryGroup!$X:$X,MATCH(표8[[#This Row],[열1]],[1]AdventureDiscoveryGroup!$B:$B,0))</f>
        <v>0</v>
      </c>
      <c r="T47" s="40" t="str">
        <f>IFERROR(INT(1000/POWER(1.5,VLOOKUP(S47,[1]Discovery!$B:$H,7,FALSE)^1.6)),"-")</f>
        <v>-</v>
      </c>
      <c r="U47" s="72" t="str">
        <f>IFERROR(표8[[#This Row],[배당'[4']]]/$AB47,"-")</f>
        <v>-</v>
      </c>
      <c r="V47" s="40" t="b">
        <f>INDEX([1]AdventureDiscoveryGroup!$AC:$AC,MATCH(표8[[#This Row],[열1]],[1]AdventureDiscoveryGroup!$B:$B,0))</f>
        <v>0</v>
      </c>
      <c r="W47" s="40" t="str">
        <f>IFERROR(INT(1000/POWER(1.5,VLOOKUP(V47,[1]Discovery!$B:$H,7,FALSE)^1.6)),"-")</f>
        <v>-</v>
      </c>
      <c r="X47" s="72" t="str">
        <f>IFERROR(표8[[#This Row],[배당'[5']]]/$AB47,"-")</f>
        <v>-</v>
      </c>
      <c r="Y47" s="40" t="b">
        <f>INDEX([1]AdventureDiscoveryGroup!$AH:$AH,MATCH(표8[[#This Row],[열1]],[1]AdventureDiscoveryGroup!$B:$B,0))</f>
        <v>0</v>
      </c>
      <c r="Z47" s="40" t="str">
        <f>IFERROR(INT(1000/POWER(1.5,VLOOKUP(Y47,[1]Discovery!$B:$H,7,FALSE)^1.6)),"-")</f>
        <v>-</v>
      </c>
      <c r="AA47" s="72" t="str">
        <f>IFERROR(표8[[#This Row],[배당'[6']]]/$AB47,"-")</f>
        <v>-</v>
      </c>
      <c r="AB47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48" spans="2:28" x14ac:dyDescent="0.3">
      <c r="B48" s="39" t="str">
        <f>[1]LandExplore!E54</f>
        <v>쿠칭 부근</v>
      </c>
      <c r="C48" s="39" t="str">
        <f>INDEX([1]LandExplore!$B:$B,MATCH(표8[[#This Row],[육지]],[1]LandExplore!$E:$E,0))</f>
        <v>##보르네오 섬</v>
      </c>
      <c r="D48" s="39" t="str">
        <f>IFERROR(VLOOKUP(표8[[#This Row],[육지]],[3]!표1_6[[이름]:[선단 LV]],6,FALSE),"-")</f>
        <v>-</v>
      </c>
      <c r="E48" s="39" t="str">
        <f>IFERROR(VLOOKUP(표8[[#This Row],[육지]],[3]!표1_6[[이름]:[위도]],3,FALSE),"-")</f>
        <v>-</v>
      </c>
      <c r="F48" s="39" t="str">
        <f>IFERROR(VLOOKUP(표8[[#This Row],[육지]],[3]!표1_6[[이름]:[위도]],2,FALSE),"-")</f>
        <v>-</v>
      </c>
      <c r="G48" s="39" t="str">
        <f>INDEX([1]AdventureDiscoveryGroup!$D:$D,MATCH(표8[[#This Row],[열1]],[1]AdventureDiscoveryGroup!$B:$B,0))</f>
        <v>쿠칭 부근</v>
      </c>
      <c r="H48" s="39" t="str">
        <f>IFERROR(INT(1000/POWER(1.5,VLOOKUP(G48,[1]Discovery!$B:$H,7,FALSE)^1.6)),"-")</f>
        <v>-</v>
      </c>
      <c r="I48" s="72" t="str">
        <f>IFERROR(표8[[#This Row],[배당'[0']]]/$AB48,"-")</f>
        <v>-</v>
      </c>
      <c r="J48" s="39" t="b">
        <f>INDEX([1]AdventureDiscoveryGroup!$I:$I,MATCH(표8[[#This Row],[열1]],[1]AdventureDiscoveryGroup!$B:$B,0))</f>
        <v>0</v>
      </c>
      <c r="K48" s="39" t="str">
        <f>IFERROR(INT(1000/POWER(1.5,VLOOKUP(J48,[1]Discovery!$B:$H,7,FALSE)^1.6)),"-")</f>
        <v>-</v>
      </c>
      <c r="L48" s="72" t="str">
        <f>IFERROR(표8[[#This Row],[배당'[1']]]/$AB48,"-")</f>
        <v>-</v>
      </c>
      <c r="M48" s="39" t="b">
        <f>INDEX([1]AdventureDiscoveryGroup!$N:$N,MATCH(표8[[#This Row],[열1]],[1]AdventureDiscoveryGroup!$B:$B,0))</f>
        <v>0</v>
      </c>
      <c r="N48" s="39" t="str">
        <f>IFERROR(INT(1000/POWER(1.5,VLOOKUP(M48,[1]Discovery!$B:$H,7,FALSE)^1.6)),"-")</f>
        <v>-</v>
      </c>
      <c r="O48" s="72" t="str">
        <f>IFERROR(표8[[#This Row],[배당'[2']]]/$AB48,"-")</f>
        <v>-</v>
      </c>
      <c r="P48" s="39" t="b">
        <f>INDEX([1]AdventureDiscoveryGroup!$S:$S,MATCH(표8[[#This Row],[열1]],[1]AdventureDiscoveryGroup!$B:$B,0))</f>
        <v>0</v>
      </c>
      <c r="Q48" s="39" t="str">
        <f>IFERROR(INT(1000/POWER(1.5,VLOOKUP(P48,[1]Discovery!$B:$H,7,FALSE)^1.6)),"-")</f>
        <v>-</v>
      </c>
      <c r="R48" s="72" t="str">
        <f>IFERROR(표8[[#This Row],[배당'[3']]]/$AB48,"-")</f>
        <v>-</v>
      </c>
      <c r="S48" s="40" t="b">
        <f>INDEX([1]AdventureDiscoveryGroup!$X:$X,MATCH(표8[[#This Row],[열1]],[1]AdventureDiscoveryGroup!$B:$B,0))</f>
        <v>0</v>
      </c>
      <c r="T48" s="40" t="str">
        <f>IFERROR(INT(1000/POWER(1.5,VLOOKUP(S48,[1]Discovery!$B:$H,7,FALSE)^1.6)),"-")</f>
        <v>-</v>
      </c>
      <c r="U48" s="72" t="str">
        <f>IFERROR(표8[[#This Row],[배당'[4']]]/$AB48,"-")</f>
        <v>-</v>
      </c>
      <c r="V48" s="40" t="b">
        <f>INDEX([1]AdventureDiscoveryGroup!$AC:$AC,MATCH(표8[[#This Row],[열1]],[1]AdventureDiscoveryGroup!$B:$B,0))</f>
        <v>0</v>
      </c>
      <c r="W48" s="40" t="str">
        <f>IFERROR(INT(1000/POWER(1.5,VLOOKUP(V48,[1]Discovery!$B:$H,7,FALSE)^1.6)),"-")</f>
        <v>-</v>
      </c>
      <c r="X48" s="72" t="str">
        <f>IFERROR(표8[[#This Row],[배당'[5']]]/$AB48,"-")</f>
        <v>-</v>
      </c>
      <c r="Y48" s="40" t="b">
        <f>INDEX([1]AdventureDiscoveryGroup!$AH:$AH,MATCH(표8[[#This Row],[열1]],[1]AdventureDiscoveryGroup!$B:$B,0))</f>
        <v>0</v>
      </c>
      <c r="Z48" s="40" t="str">
        <f>IFERROR(INT(1000/POWER(1.5,VLOOKUP(Y48,[1]Discovery!$B:$H,7,FALSE)^1.6)),"-")</f>
        <v>-</v>
      </c>
      <c r="AA48" s="72" t="str">
        <f>IFERROR(표8[[#This Row],[배당'[6']]]/$AB48,"-")</f>
        <v>-</v>
      </c>
      <c r="AB48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49" spans="2:28" x14ac:dyDescent="0.3">
      <c r="B49" s="39" t="str">
        <f>[1]LandExplore!E55</f>
        <v>타이난 부근</v>
      </c>
      <c r="C49" s="39" t="str">
        <f>INDEX([1]LandExplore!$B:$B,MATCH(표8[[#This Row],[육지]],[1]LandExplore!$E:$E,0))</f>
        <v>##대만</v>
      </c>
      <c r="D49" s="39" t="str">
        <f>IFERROR(VLOOKUP(표8[[#This Row],[육지]],[3]!표1_6[[이름]:[선단 LV]],6,FALSE),"-")</f>
        <v>-</v>
      </c>
      <c r="E49" s="39" t="str">
        <f>IFERROR(VLOOKUP(표8[[#This Row],[육지]],[3]!표1_6[[이름]:[위도]],3,FALSE),"-")</f>
        <v>-</v>
      </c>
      <c r="F49" s="39" t="str">
        <f>IFERROR(VLOOKUP(표8[[#This Row],[육지]],[3]!표1_6[[이름]:[위도]],2,FALSE),"-")</f>
        <v>-</v>
      </c>
      <c r="G49" s="39" t="str">
        <f>INDEX([1]AdventureDiscoveryGroup!$D:$D,MATCH(표8[[#This Row],[열1]],[1]AdventureDiscoveryGroup!$B:$B,0))</f>
        <v>타이난 부근</v>
      </c>
      <c r="H49" s="39" t="str">
        <f>IFERROR(INT(1000/POWER(1.5,VLOOKUP(G49,[1]Discovery!$B:$H,7,FALSE)^1.6)),"-")</f>
        <v>-</v>
      </c>
      <c r="I49" s="72" t="str">
        <f>IFERROR(표8[[#This Row],[배당'[0']]]/$AB49,"-")</f>
        <v>-</v>
      </c>
      <c r="J49" s="39" t="b">
        <f>INDEX([1]AdventureDiscoveryGroup!$I:$I,MATCH(표8[[#This Row],[열1]],[1]AdventureDiscoveryGroup!$B:$B,0))</f>
        <v>0</v>
      </c>
      <c r="K49" s="39" t="str">
        <f>IFERROR(INT(1000/POWER(1.5,VLOOKUP(J49,[1]Discovery!$B:$H,7,FALSE)^1.6)),"-")</f>
        <v>-</v>
      </c>
      <c r="L49" s="72" t="str">
        <f>IFERROR(표8[[#This Row],[배당'[1']]]/$AB49,"-")</f>
        <v>-</v>
      </c>
      <c r="M49" s="39" t="b">
        <f>INDEX([1]AdventureDiscoveryGroup!$N:$N,MATCH(표8[[#This Row],[열1]],[1]AdventureDiscoveryGroup!$B:$B,0))</f>
        <v>0</v>
      </c>
      <c r="N49" s="39" t="str">
        <f>IFERROR(INT(1000/POWER(1.5,VLOOKUP(M49,[1]Discovery!$B:$H,7,FALSE)^1.6)),"-")</f>
        <v>-</v>
      </c>
      <c r="O49" s="72" t="str">
        <f>IFERROR(표8[[#This Row],[배당'[2']]]/$AB49,"-")</f>
        <v>-</v>
      </c>
      <c r="P49" s="39" t="b">
        <f>INDEX([1]AdventureDiscoveryGroup!$S:$S,MATCH(표8[[#This Row],[열1]],[1]AdventureDiscoveryGroup!$B:$B,0))</f>
        <v>0</v>
      </c>
      <c r="Q49" s="39" t="str">
        <f>IFERROR(INT(1000/POWER(1.5,VLOOKUP(P49,[1]Discovery!$B:$H,7,FALSE)^1.6)),"-")</f>
        <v>-</v>
      </c>
      <c r="R49" s="72" t="str">
        <f>IFERROR(표8[[#This Row],[배당'[3']]]/$AB49,"-")</f>
        <v>-</v>
      </c>
      <c r="S49" s="40" t="b">
        <f>INDEX([1]AdventureDiscoveryGroup!$X:$X,MATCH(표8[[#This Row],[열1]],[1]AdventureDiscoveryGroup!$B:$B,0))</f>
        <v>0</v>
      </c>
      <c r="T49" s="40" t="str">
        <f>IFERROR(INT(1000/POWER(1.5,VLOOKUP(S49,[1]Discovery!$B:$H,7,FALSE)^1.6)),"-")</f>
        <v>-</v>
      </c>
      <c r="U49" s="72" t="str">
        <f>IFERROR(표8[[#This Row],[배당'[4']]]/$AB49,"-")</f>
        <v>-</v>
      </c>
      <c r="V49" s="40" t="b">
        <f>INDEX([1]AdventureDiscoveryGroup!$AC:$AC,MATCH(표8[[#This Row],[열1]],[1]AdventureDiscoveryGroup!$B:$B,0))</f>
        <v>0</v>
      </c>
      <c r="W49" s="40" t="str">
        <f>IFERROR(INT(1000/POWER(1.5,VLOOKUP(V49,[1]Discovery!$B:$H,7,FALSE)^1.6)),"-")</f>
        <v>-</v>
      </c>
      <c r="X49" s="72" t="str">
        <f>IFERROR(표8[[#This Row],[배당'[5']]]/$AB49,"-")</f>
        <v>-</v>
      </c>
      <c r="Y49" s="40" t="b">
        <f>INDEX([1]AdventureDiscoveryGroup!$AH:$AH,MATCH(표8[[#This Row],[열1]],[1]AdventureDiscoveryGroup!$B:$B,0))</f>
        <v>0</v>
      </c>
      <c r="Z49" s="40" t="str">
        <f>IFERROR(INT(1000/POWER(1.5,VLOOKUP(Y49,[1]Discovery!$B:$H,7,FALSE)^1.6)),"-")</f>
        <v>-</v>
      </c>
      <c r="AA49" s="72" t="str">
        <f>IFERROR(표8[[#This Row],[배당'[6']]]/$AB49,"-")</f>
        <v>-</v>
      </c>
      <c r="AB49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50" spans="2:28" x14ac:dyDescent="0.3">
      <c r="B50" s="39" t="str">
        <f>[1]LandExplore!E56</f>
        <v>수이 부근</v>
      </c>
      <c r="C50" s="39" t="str">
        <f>INDEX([1]LandExplore!$B:$B,MATCH(표8[[#This Row],[육지]],[1]LandExplore!$E:$E,0))</f>
        <v>##류큐</v>
      </c>
      <c r="D50" s="39" t="str">
        <f>IFERROR(VLOOKUP(표8[[#This Row],[육지]],[3]!표1_6[[이름]:[선단 LV]],6,FALSE),"-")</f>
        <v>-</v>
      </c>
      <c r="E50" s="39" t="str">
        <f>IFERROR(VLOOKUP(표8[[#This Row],[육지]],[3]!표1_6[[이름]:[위도]],3,FALSE),"-")</f>
        <v>-</v>
      </c>
      <c r="F50" s="39" t="str">
        <f>IFERROR(VLOOKUP(표8[[#This Row],[육지]],[3]!표1_6[[이름]:[위도]],2,FALSE),"-")</f>
        <v>-</v>
      </c>
      <c r="G50" s="39" t="str">
        <f>INDEX([1]AdventureDiscoveryGroup!$D:$D,MATCH(표8[[#This Row],[열1]],[1]AdventureDiscoveryGroup!$B:$B,0))</f>
        <v>수이 부근</v>
      </c>
      <c r="H50" s="39" t="str">
        <f>IFERROR(INT(1000/POWER(1.5,VLOOKUP(G50,[1]Discovery!$B:$H,7,FALSE)^1.6)),"-")</f>
        <v>-</v>
      </c>
      <c r="I50" s="72" t="str">
        <f>IFERROR(표8[[#This Row],[배당'[0']]]/$AB50,"-")</f>
        <v>-</v>
      </c>
      <c r="J50" s="39" t="b">
        <f>INDEX([1]AdventureDiscoveryGroup!$I:$I,MATCH(표8[[#This Row],[열1]],[1]AdventureDiscoveryGroup!$B:$B,0))</f>
        <v>0</v>
      </c>
      <c r="K50" s="39" t="str">
        <f>IFERROR(INT(1000/POWER(1.5,VLOOKUP(J50,[1]Discovery!$B:$H,7,FALSE)^1.6)),"-")</f>
        <v>-</v>
      </c>
      <c r="L50" s="72" t="str">
        <f>IFERROR(표8[[#This Row],[배당'[1']]]/$AB50,"-")</f>
        <v>-</v>
      </c>
      <c r="M50" s="39" t="b">
        <f>INDEX([1]AdventureDiscoveryGroup!$N:$N,MATCH(표8[[#This Row],[열1]],[1]AdventureDiscoveryGroup!$B:$B,0))</f>
        <v>0</v>
      </c>
      <c r="N50" s="39" t="str">
        <f>IFERROR(INT(1000/POWER(1.5,VLOOKUP(M50,[1]Discovery!$B:$H,7,FALSE)^1.6)),"-")</f>
        <v>-</v>
      </c>
      <c r="O50" s="72" t="str">
        <f>IFERROR(표8[[#This Row],[배당'[2']]]/$AB50,"-")</f>
        <v>-</v>
      </c>
      <c r="P50" s="39" t="b">
        <f>INDEX([1]AdventureDiscoveryGroup!$S:$S,MATCH(표8[[#This Row],[열1]],[1]AdventureDiscoveryGroup!$B:$B,0))</f>
        <v>0</v>
      </c>
      <c r="Q50" s="39" t="str">
        <f>IFERROR(INT(1000/POWER(1.5,VLOOKUP(P50,[1]Discovery!$B:$H,7,FALSE)^1.6)),"-")</f>
        <v>-</v>
      </c>
      <c r="R50" s="72" t="str">
        <f>IFERROR(표8[[#This Row],[배당'[3']]]/$AB50,"-")</f>
        <v>-</v>
      </c>
      <c r="S50" s="40" t="b">
        <f>INDEX([1]AdventureDiscoveryGroup!$X:$X,MATCH(표8[[#This Row],[열1]],[1]AdventureDiscoveryGroup!$B:$B,0))</f>
        <v>0</v>
      </c>
      <c r="T50" s="40" t="str">
        <f>IFERROR(INT(1000/POWER(1.5,VLOOKUP(S50,[1]Discovery!$B:$H,7,FALSE)^1.6)),"-")</f>
        <v>-</v>
      </c>
      <c r="U50" s="72" t="str">
        <f>IFERROR(표8[[#This Row],[배당'[4']]]/$AB50,"-")</f>
        <v>-</v>
      </c>
      <c r="V50" s="40" t="b">
        <f>INDEX([1]AdventureDiscoveryGroup!$AC:$AC,MATCH(표8[[#This Row],[열1]],[1]AdventureDiscoveryGroup!$B:$B,0))</f>
        <v>0</v>
      </c>
      <c r="W50" s="40" t="str">
        <f>IFERROR(INT(1000/POWER(1.5,VLOOKUP(V50,[1]Discovery!$B:$H,7,FALSE)^1.6)),"-")</f>
        <v>-</v>
      </c>
      <c r="X50" s="72" t="str">
        <f>IFERROR(표8[[#This Row],[배당'[5']]]/$AB50,"-")</f>
        <v>-</v>
      </c>
      <c r="Y50" s="40" t="b">
        <f>INDEX([1]AdventureDiscoveryGroup!$AH:$AH,MATCH(표8[[#This Row],[열1]],[1]AdventureDiscoveryGroup!$B:$B,0))</f>
        <v>0</v>
      </c>
      <c r="Z50" s="40" t="str">
        <f>IFERROR(INT(1000/POWER(1.5,VLOOKUP(Y50,[1]Discovery!$B:$H,7,FALSE)^1.6)),"-")</f>
        <v>-</v>
      </c>
      <c r="AA50" s="72" t="str">
        <f>IFERROR(표8[[#This Row],[배당'[6']]]/$AB50,"-")</f>
        <v>-</v>
      </c>
      <c r="AB50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51" spans="2:28" x14ac:dyDescent="0.3">
      <c r="B51" s="39" t="str">
        <f>[1]LandExplore!E57</f>
        <v>코르프 부근</v>
      </c>
      <c r="C51" s="39" t="str">
        <f>INDEX([1]LandExplore!$B:$B,MATCH(표8[[#This Row],[육지]],[1]LandExplore!$E:$E,0))</f>
        <v>##동동북방</v>
      </c>
      <c r="D51" s="39" t="str">
        <f>IFERROR(VLOOKUP(표8[[#This Row],[육지]],[3]!표1_6[[이름]:[선단 LV]],6,FALSE),"-")</f>
        <v>-</v>
      </c>
      <c r="E51" s="39" t="str">
        <f>IFERROR(VLOOKUP(표8[[#This Row],[육지]],[3]!표1_6[[이름]:[위도]],3,FALSE),"-")</f>
        <v>-</v>
      </c>
      <c r="F51" s="39" t="str">
        <f>IFERROR(VLOOKUP(표8[[#This Row],[육지]],[3]!표1_6[[이름]:[위도]],2,FALSE),"-")</f>
        <v>-</v>
      </c>
      <c r="G51" s="39" t="str">
        <f>INDEX([1]AdventureDiscoveryGroup!$D:$D,MATCH(표8[[#This Row],[열1]],[1]AdventureDiscoveryGroup!$B:$B,0))</f>
        <v>코르프 부근</v>
      </c>
      <c r="H51" s="39" t="str">
        <f>IFERROR(INT(1000/POWER(1.5,VLOOKUP(G51,[1]Discovery!$B:$H,7,FALSE)^1.6)),"-")</f>
        <v>-</v>
      </c>
      <c r="I51" s="72" t="str">
        <f>IFERROR(표8[[#This Row],[배당'[0']]]/$AB51,"-")</f>
        <v>-</v>
      </c>
      <c r="J51" s="39" t="b">
        <f>INDEX([1]AdventureDiscoveryGroup!$I:$I,MATCH(표8[[#This Row],[열1]],[1]AdventureDiscoveryGroup!$B:$B,0))</f>
        <v>0</v>
      </c>
      <c r="K51" s="39" t="str">
        <f>IFERROR(INT(1000/POWER(1.5,VLOOKUP(J51,[1]Discovery!$B:$H,7,FALSE)^1.6)),"-")</f>
        <v>-</v>
      </c>
      <c r="L51" s="72" t="str">
        <f>IFERROR(표8[[#This Row],[배당'[1']]]/$AB51,"-")</f>
        <v>-</v>
      </c>
      <c r="M51" s="39" t="b">
        <f>INDEX([1]AdventureDiscoveryGroup!$N:$N,MATCH(표8[[#This Row],[열1]],[1]AdventureDiscoveryGroup!$B:$B,0))</f>
        <v>0</v>
      </c>
      <c r="N51" s="39" t="str">
        <f>IFERROR(INT(1000/POWER(1.5,VLOOKUP(M51,[1]Discovery!$B:$H,7,FALSE)^1.6)),"-")</f>
        <v>-</v>
      </c>
      <c r="O51" s="72" t="str">
        <f>IFERROR(표8[[#This Row],[배당'[2']]]/$AB51,"-")</f>
        <v>-</v>
      </c>
      <c r="P51" s="39" t="b">
        <f>INDEX([1]AdventureDiscoveryGroup!$S:$S,MATCH(표8[[#This Row],[열1]],[1]AdventureDiscoveryGroup!$B:$B,0))</f>
        <v>0</v>
      </c>
      <c r="Q51" s="39" t="str">
        <f>IFERROR(INT(1000/POWER(1.5,VLOOKUP(P51,[1]Discovery!$B:$H,7,FALSE)^1.6)),"-")</f>
        <v>-</v>
      </c>
      <c r="R51" s="72" t="str">
        <f>IFERROR(표8[[#This Row],[배당'[3']]]/$AB51,"-")</f>
        <v>-</v>
      </c>
      <c r="S51" s="40" t="b">
        <f>INDEX([1]AdventureDiscoveryGroup!$X:$X,MATCH(표8[[#This Row],[열1]],[1]AdventureDiscoveryGroup!$B:$B,0))</f>
        <v>0</v>
      </c>
      <c r="T51" s="40" t="str">
        <f>IFERROR(INT(1000/POWER(1.5,VLOOKUP(S51,[1]Discovery!$B:$H,7,FALSE)^1.6)),"-")</f>
        <v>-</v>
      </c>
      <c r="U51" s="72" t="str">
        <f>IFERROR(표8[[#This Row],[배당'[4']]]/$AB51,"-")</f>
        <v>-</v>
      </c>
      <c r="V51" s="40" t="str">
        <f>INDEX([1]AdventureDiscoveryGroup!$AC:$AC,MATCH(표8[[#This Row],[열1]],[1]AdventureDiscoveryGroup!$B:$B,0))</f>
        <v>-</v>
      </c>
      <c r="W51" s="40" t="str">
        <f>IFERROR(INT(1000/POWER(1.5,VLOOKUP(V51,[1]Discovery!$B:$H,7,FALSE)^1.6)),"-")</f>
        <v>-</v>
      </c>
      <c r="X51" s="72" t="str">
        <f>IFERROR(표8[[#This Row],[배당'[5']]]/$AB51,"-")</f>
        <v>-</v>
      </c>
      <c r="Y51" s="40" t="str">
        <f>INDEX([1]AdventureDiscoveryGroup!$AH:$AH,MATCH(표8[[#This Row],[열1]],[1]AdventureDiscoveryGroup!$B:$B,0))</f>
        <v>-</v>
      </c>
      <c r="Z51" s="40" t="str">
        <f>IFERROR(INT(1000/POWER(1.5,VLOOKUP(Y51,[1]Discovery!$B:$H,7,FALSE)^1.6)),"-")</f>
        <v>-</v>
      </c>
      <c r="AA51" s="72" t="str">
        <f>IFERROR(표8[[#This Row],[배당'[6']]]/$AB51,"-")</f>
        <v>-</v>
      </c>
      <c r="AB51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52" spans="2:28" x14ac:dyDescent="0.3">
      <c r="B52" s="39" t="str">
        <f>[1]LandExplore!E58</f>
        <v>코하셋 부근</v>
      </c>
      <c r="C52" s="39" t="str">
        <f>INDEX([1]LandExplore!$B:$B,MATCH(표8[[#This Row],[육지]],[1]LandExplore!$E:$E,0))</f>
        <v>##북아메리카 동북</v>
      </c>
      <c r="D52" s="39" t="str">
        <f>IFERROR(VLOOKUP(표8[[#This Row],[육지]],[3]!표1_6[[이름]:[선단 LV]],6,FALSE),"-")</f>
        <v>-</v>
      </c>
      <c r="E52" s="39" t="str">
        <f>IFERROR(VLOOKUP(표8[[#This Row],[육지]],[3]!표1_6[[이름]:[위도]],3,FALSE),"-")</f>
        <v>-</v>
      </c>
      <c r="F52" s="39" t="str">
        <f>IFERROR(VLOOKUP(표8[[#This Row],[육지]],[3]!표1_6[[이름]:[위도]],2,FALSE),"-")</f>
        <v>-</v>
      </c>
      <c r="G52" s="39" t="str">
        <f>INDEX([1]AdventureDiscoveryGroup!$D:$D,MATCH(표8[[#This Row],[열1]],[1]AdventureDiscoveryGroup!$B:$B,0))</f>
        <v>누탁 부근</v>
      </c>
      <c r="H52" s="39" t="str">
        <f>IFERROR(INT(1000/POWER(1.5,VLOOKUP(G52,[1]Discovery!$B:$H,7,FALSE)^1.6)),"-")</f>
        <v>-</v>
      </c>
      <c r="I52" s="72" t="str">
        <f>IFERROR(표8[[#This Row],[배당'[0']]]/$AB52,"-")</f>
        <v>-</v>
      </c>
      <c r="J52" s="39" t="b">
        <f>INDEX([1]AdventureDiscoveryGroup!$I:$I,MATCH(표8[[#This Row],[열1]],[1]AdventureDiscoveryGroup!$B:$B,0))</f>
        <v>0</v>
      </c>
      <c r="K52" s="39" t="str">
        <f>IFERROR(INT(1000/POWER(1.5,VLOOKUP(J52,[1]Discovery!$B:$H,7,FALSE)^1.6)),"-")</f>
        <v>-</v>
      </c>
      <c r="L52" s="72" t="str">
        <f>IFERROR(표8[[#This Row],[배당'[1']]]/$AB52,"-")</f>
        <v>-</v>
      </c>
      <c r="M52" s="39" t="b">
        <f>INDEX([1]AdventureDiscoveryGroup!$N:$N,MATCH(표8[[#This Row],[열1]],[1]AdventureDiscoveryGroup!$B:$B,0))</f>
        <v>0</v>
      </c>
      <c r="N52" s="39" t="str">
        <f>IFERROR(INT(1000/POWER(1.5,VLOOKUP(M52,[1]Discovery!$B:$H,7,FALSE)^1.6)),"-")</f>
        <v>-</v>
      </c>
      <c r="O52" s="72" t="str">
        <f>IFERROR(표8[[#This Row],[배당'[2']]]/$AB52,"-")</f>
        <v>-</v>
      </c>
      <c r="P52" s="39" t="b">
        <f>INDEX([1]AdventureDiscoveryGroup!$S:$S,MATCH(표8[[#This Row],[열1]],[1]AdventureDiscoveryGroup!$B:$B,0))</f>
        <v>0</v>
      </c>
      <c r="Q52" s="39" t="str">
        <f>IFERROR(INT(1000/POWER(1.5,VLOOKUP(P52,[1]Discovery!$B:$H,7,FALSE)^1.6)),"-")</f>
        <v>-</v>
      </c>
      <c r="R52" s="72" t="str">
        <f>IFERROR(표8[[#This Row],[배당'[3']]]/$AB52,"-")</f>
        <v>-</v>
      </c>
      <c r="S52" s="40" t="b">
        <f>INDEX([1]AdventureDiscoveryGroup!$X:$X,MATCH(표8[[#This Row],[열1]],[1]AdventureDiscoveryGroup!$B:$B,0))</f>
        <v>0</v>
      </c>
      <c r="T52" s="40" t="str">
        <f>IFERROR(INT(1000/POWER(1.5,VLOOKUP(S52,[1]Discovery!$B:$H,7,FALSE)^1.6)),"-")</f>
        <v>-</v>
      </c>
      <c r="U52" s="72" t="str">
        <f>IFERROR(표8[[#This Row],[배당'[4']]]/$AB52,"-")</f>
        <v>-</v>
      </c>
      <c r="V52" s="40" t="b">
        <f>INDEX([1]AdventureDiscoveryGroup!$AC:$AC,MATCH(표8[[#This Row],[열1]],[1]AdventureDiscoveryGroup!$B:$B,0))</f>
        <v>0</v>
      </c>
      <c r="W52" s="40" t="str">
        <f>IFERROR(INT(1000/POWER(1.5,VLOOKUP(V52,[1]Discovery!$B:$H,7,FALSE)^1.6)),"-")</f>
        <v>-</v>
      </c>
      <c r="X52" s="72" t="str">
        <f>IFERROR(표8[[#This Row],[배당'[5']]]/$AB52,"-")</f>
        <v>-</v>
      </c>
      <c r="Y52" s="40" t="b">
        <f>INDEX([1]AdventureDiscoveryGroup!$AH:$AH,MATCH(표8[[#This Row],[열1]],[1]AdventureDiscoveryGroup!$B:$B,0))</f>
        <v>0</v>
      </c>
      <c r="Z52" s="40" t="str">
        <f>IFERROR(INT(1000/POWER(1.5,VLOOKUP(Y52,[1]Discovery!$B:$H,7,FALSE)^1.6)),"-")</f>
        <v>-</v>
      </c>
      <c r="AA52" s="72" t="str">
        <f>IFERROR(표8[[#This Row],[배당'[6']]]/$AB52,"-")</f>
        <v>-</v>
      </c>
      <c r="AB52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53" spans="2:28" x14ac:dyDescent="0.3">
      <c r="B53" s="39" t="str">
        <f>[1]LandExplore!E59</f>
        <v>미시시피강 하류</v>
      </c>
      <c r="C53" s="39" t="str">
        <f>INDEX([1]LandExplore!$B:$B,MATCH(표8[[#This Row],[육지]],[1]LandExplore!$E:$E,0))</f>
        <v>##북아메리카 동남</v>
      </c>
      <c r="D53" s="39" t="str">
        <f>IFERROR(VLOOKUP(표8[[#This Row],[육지]],[3]!표1_6[[이름]:[선단 LV]],6,FALSE),"-")</f>
        <v>-</v>
      </c>
      <c r="E53" s="39" t="str">
        <f>IFERROR(VLOOKUP(표8[[#This Row],[육지]],[3]!표1_6[[이름]:[위도]],3,FALSE),"-")</f>
        <v>-</v>
      </c>
      <c r="F53" s="39" t="str">
        <f>IFERROR(VLOOKUP(표8[[#This Row],[육지]],[3]!표1_6[[이름]:[위도]],2,FALSE),"-")</f>
        <v>-</v>
      </c>
      <c r="G53" s="39" t="str">
        <f>INDEX([1]AdventureDiscoveryGroup!$D:$D,MATCH(표8[[#This Row],[열1]],[1]AdventureDiscoveryGroup!$B:$B,0))</f>
        <v>코하셋 부근</v>
      </c>
      <c r="H53" s="39" t="str">
        <f>IFERROR(INT(1000/POWER(1.5,VLOOKUP(G53,[1]Discovery!$B:$H,7,FALSE)^1.6)),"-")</f>
        <v>-</v>
      </c>
      <c r="I53" s="72" t="str">
        <f>IFERROR(표8[[#This Row],[배당'[0']]]/$AB53,"-")</f>
        <v>-</v>
      </c>
      <c r="J53" s="39" t="b">
        <f>INDEX([1]AdventureDiscoveryGroup!$I:$I,MATCH(표8[[#This Row],[열1]],[1]AdventureDiscoveryGroup!$B:$B,0))</f>
        <v>0</v>
      </c>
      <c r="K53" s="39" t="str">
        <f>IFERROR(INT(1000/POWER(1.5,VLOOKUP(J53,[1]Discovery!$B:$H,7,FALSE)^1.6)),"-")</f>
        <v>-</v>
      </c>
      <c r="L53" s="72" t="str">
        <f>IFERROR(표8[[#This Row],[배당'[1']]]/$AB53,"-")</f>
        <v>-</v>
      </c>
      <c r="M53" s="39" t="b">
        <f>INDEX([1]AdventureDiscoveryGroup!$N:$N,MATCH(표8[[#This Row],[열1]],[1]AdventureDiscoveryGroup!$B:$B,0))</f>
        <v>0</v>
      </c>
      <c r="N53" s="39" t="str">
        <f>IFERROR(INT(1000/POWER(1.5,VLOOKUP(M53,[1]Discovery!$B:$H,7,FALSE)^1.6)),"-")</f>
        <v>-</v>
      </c>
      <c r="O53" s="72" t="str">
        <f>IFERROR(표8[[#This Row],[배당'[2']]]/$AB53,"-")</f>
        <v>-</v>
      </c>
      <c r="P53" s="39" t="b">
        <f>INDEX([1]AdventureDiscoveryGroup!$S:$S,MATCH(표8[[#This Row],[열1]],[1]AdventureDiscoveryGroup!$B:$B,0))</f>
        <v>0</v>
      </c>
      <c r="Q53" s="39" t="str">
        <f>IFERROR(INT(1000/POWER(1.5,VLOOKUP(P53,[1]Discovery!$B:$H,7,FALSE)^1.6)),"-")</f>
        <v>-</v>
      </c>
      <c r="R53" s="72" t="str">
        <f>IFERROR(표8[[#This Row],[배당'[3']]]/$AB53,"-")</f>
        <v>-</v>
      </c>
      <c r="S53" s="40" t="b">
        <f>INDEX([1]AdventureDiscoveryGroup!$X:$X,MATCH(표8[[#This Row],[열1]],[1]AdventureDiscoveryGroup!$B:$B,0))</f>
        <v>0</v>
      </c>
      <c r="T53" s="40" t="str">
        <f>IFERROR(INT(1000/POWER(1.5,VLOOKUP(S53,[1]Discovery!$B:$H,7,FALSE)^1.6)),"-")</f>
        <v>-</v>
      </c>
      <c r="U53" s="72" t="str">
        <f>IFERROR(표8[[#This Row],[배당'[4']]]/$AB53,"-")</f>
        <v>-</v>
      </c>
      <c r="V53" s="40" t="b">
        <f>INDEX([1]AdventureDiscoveryGroup!$AC:$AC,MATCH(표8[[#This Row],[열1]],[1]AdventureDiscoveryGroup!$B:$B,0))</f>
        <v>0</v>
      </c>
      <c r="W53" s="40" t="str">
        <f>IFERROR(INT(1000/POWER(1.5,VLOOKUP(V53,[1]Discovery!$B:$H,7,FALSE)^1.6)),"-")</f>
        <v>-</v>
      </c>
      <c r="X53" s="72" t="str">
        <f>IFERROR(표8[[#This Row],[배당'[5']]]/$AB53,"-")</f>
        <v>-</v>
      </c>
      <c r="Y53" s="40" t="b">
        <f>INDEX([1]AdventureDiscoveryGroup!$AH:$AH,MATCH(표8[[#This Row],[열1]],[1]AdventureDiscoveryGroup!$B:$B,0))</f>
        <v>0</v>
      </c>
      <c r="Z53" s="40" t="str">
        <f>IFERROR(INT(1000/POWER(1.5,VLOOKUP(Y53,[1]Discovery!$B:$H,7,FALSE)^1.6)),"-")</f>
        <v>-</v>
      </c>
      <c r="AA53" s="72" t="str">
        <f>IFERROR(표8[[#This Row],[배당'[6']]]/$AB53,"-")</f>
        <v>-</v>
      </c>
      <c r="AB53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54" spans="2:28" x14ac:dyDescent="0.3">
      <c r="B54" s="39" t="str">
        <f>[1]LandExplore!E60</f>
        <v>미시시피강</v>
      </c>
      <c r="C54" s="39" t="str">
        <f>INDEX([1]LandExplore!$B:$B,MATCH(표8[[#This Row],[육지]],[1]LandExplore!$E:$E,0))</f>
        <v>##미시시피강</v>
      </c>
      <c r="D54" s="39" t="str">
        <f>IFERROR(VLOOKUP(표8[[#This Row],[육지]],[3]!표1_6[[이름]:[선단 LV]],6,FALSE),"-")</f>
        <v>-</v>
      </c>
      <c r="E54" s="39" t="str">
        <f>IFERROR(VLOOKUP(표8[[#This Row],[육지]],[3]!표1_6[[이름]:[위도]],3,FALSE),"-")</f>
        <v>-</v>
      </c>
      <c r="F54" s="39" t="str">
        <f>IFERROR(VLOOKUP(표8[[#This Row],[육지]],[3]!표1_6[[이름]:[위도]],2,FALSE),"-")</f>
        <v>-</v>
      </c>
      <c r="G54" s="39" t="str">
        <f>INDEX([1]AdventureDiscoveryGroup!$D:$D,MATCH(표8[[#This Row],[열1]],[1]AdventureDiscoveryGroup!$B:$B,0))</f>
        <v>미시시피강</v>
      </c>
      <c r="H54" s="39">
        <f>IFERROR(INT(1000/POWER(1.5,VLOOKUP(G54,[1]Discovery!$B:$H,7,FALSE)^1.6)),"-")</f>
        <v>24</v>
      </c>
      <c r="I54" s="72">
        <f>IFERROR(표8[[#This Row],[배당'[0']]]/$AB54,"-")</f>
        <v>1</v>
      </c>
      <c r="J54" s="39" t="b">
        <f>INDEX([1]AdventureDiscoveryGroup!$I:$I,MATCH(표8[[#This Row],[열1]],[1]AdventureDiscoveryGroup!$B:$B,0))</f>
        <v>0</v>
      </c>
      <c r="K54" s="39" t="str">
        <f>IFERROR(INT(1000/POWER(1.5,VLOOKUP(J54,[1]Discovery!$B:$H,7,FALSE)^1.6)),"-")</f>
        <v>-</v>
      </c>
      <c r="L54" s="72" t="str">
        <f>IFERROR(표8[[#This Row],[배당'[1']]]/$AB54,"-")</f>
        <v>-</v>
      </c>
      <c r="M54" s="39" t="b">
        <f>INDEX([1]AdventureDiscoveryGroup!$N:$N,MATCH(표8[[#This Row],[열1]],[1]AdventureDiscoveryGroup!$B:$B,0))</f>
        <v>0</v>
      </c>
      <c r="N54" s="39" t="str">
        <f>IFERROR(INT(1000/POWER(1.5,VLOOKUP(M54,[1]Discovery!$B:$H,7,FALSE)^1.6)),"-")</f>
        <v>-</v>
      </c>
      <c r="O54" s="72" t="str">
        <f>IFERROR(표8[[#This Row],[배당'[2']]]/$AB54,"-")</f>
        <v>-</v>
      </c>
      <c r="P54" s="39" t="b">
        <f>INDEX([1]AdventureDiscoveryGroup!$S:$S,MATCH(표8[[#This Row],[열1]],[1]AdventureDiscoveryGroup!$B:$B,0))</f>
        <v>0</v>
      </c>
      <c r="Q54" s="39" t="str">
        <f>IFERROR(INT(1000/POWER(1.5,VLOOKUP(P54,[1]Discovery!$B:$H,7,FALSE)^1.6)),"-")</f>
        <v>-</v>
      </c>
      <c r="R54" s="72" t="str">
        <f>IFERROR(표8[[#This Row],[배당'[3']]]/$AB54,"-")</f>
        <v>-</v>
      </c>
      <c r="S54" s="40" t="b">
        <f>INDEX([1]AdventureDiscoveryGroup!$X:$X,MATCH(표8[[#This Row],[열1]],[1]AdventureDiscoveryGroup!$B:$B,0))</f>
        <v>0</v>
      </c>
      <c r="T54" s="40" t="str">
        <f>IFERROR(INT(1000/POWER(1.5,VLOOKUP(S54,[1]Discovery!$B:$H,7,FALSE)^1.6)),"-")</f>
        <v>-</v>
      </c>
      <c r="U54" s="72" t="str">
        <f>IFERROR(표8[[#This Row],[배당'[4']]]/$AB54,"-")</f>
        <v>-</v>
      </c>
      <c r="V54" s="40" t="b">
        <f>INDEX([1]AdventureDiscoveryGroup!$AC:$AC,MATCH(표8[[#This Row],[열1]],[1]AdventureDiscoveryGroup!$B:$B,0))</f>
        <v>0</v>
      </c>
      <c r="W54" s="40" t="str">
        <f>IFERROR(INT(1000/POWER(1.5,VLOOKUP(V54,[1]Discovery!$B:$H,7,FALSE)^1.6)),"-")</f>
        <v>-</v>
      </c>
      <c r="X54" s="72" t="str">
        <f>IFERROR(표8[[#This Row],[배당'[5']]]/$AB54,"-")</f>
        <v>-</v>
      </c>
      <c r="Y54" s="40" t="b">
        <f>INDEX([1]AdventureDiscoveryGroup!$AH:$AH,MATCH(표8[[#This Row],[열1]],[1]AdventureDiscoveryGroup!$B:$B,0))</f>
        <v>0</v>
      </c>
      <c r="Z54" s="40" t="str">
        <f>IFERROR(INT(1000/POWER(1.5,VLOOKUP(Y54,[1]Discovery!$B:$H,7,FALSE)^1.6)),"-")</f>
        <v>-</v>
      </c>
      <c r="AA54" s="72" t="str">
        <f>IFERROR(표8[[#This Row],[배당'[6']]]/$AB54,"-")</f>
        <v>-</v>
      </c>
      <c r="AB54">
        <f>SUM(표8[[#This Row],[배당'[0']]],표8[[#This Row],[배당'[1']]],표8[[#This Row],[배당'[2']]],표8[[#This Row],[배당'[3']]],표8[[#This Row],[배당'[4']]],표8[[#This Row],[배당'[5']]],표8[[#This Row],[배당'[6']]])</f>
        <v>24</v>
      </c>
    </row>
    <row r="55" spans="2:28" x14ac:dyDescent="0.3">
      <c r="B55" s="39" t="str">
        <f>[1]LandExplore!E61</f>
        <v>오흘론 부근</v>
      </c>
      <c r="C55" s="39" t="str">
        <f>INDEX([1]LandExplore!$B:$B,MATCH(표8[[#This Row],[육지]],[1]LandExplore!$E:$E,0))</f>
        <v>##북아메리카 서북</v>
      </c>
      <c r="D55" s="39" t="str">
        <f>IFERROR(VLOOKUP(표8[[#This Row],[육지]],[3]!표1_6[[이름]:[선단 LV]],6,FALSE),"-")</f>
        <v>-</v>
      </c>
      <c r="E55" s="39" t="str">
        <f>IFERROR(VLOOKUP(표8[[#This Row],[육지]],[3]!표1_6[[이름]:[위도]],3,FALSE),"-")</f>
        <v>-</v>
      </c>
      <c r="F55" s="39" t="str">
        <f>IFERROR(VLOOKUP(표8[[#This Row],[육지]],[3]!표1_6[[이름]:[위도]],2,FALSE),"-")</f>
        <v>-</v>
      </c>
      <c r="G55" s="39" t="str">
        <f>INDEX([1]AdventureDiscoveryGroup!$D:$D,MATCH(표8[[#This Row],[열1]],[1]AdventureDiscoveryGroup!$B:$B,0))</f>
        <v>오흘론 부근</v>
      </c>
      <c r="H55" s="39" t="str">
        <f>IFERROR(INT(1000/POWER(1.5,VLOOKUP(G55,[1]Discovery!$B:$H,7,FALSE)^1.6)),"-")</f>
        <v>-</v>
      </c>
      <c r="I55" s="72" t="str">
        <f>IFERROR(표8[[#This Row],[배당'[0']]]/$AB55,"-")</f>
        <v>-</v>
      </c>
      <c r="J55" s="39" t="b">
        <f>INDEX([1]AdventureDiscoveryGroup!$I:$I,MATCH(표8[[#This Row],[열1]],[1]AdventureDiscoveryGroup!$B:$B,0))</f>
        <v>0</v>
      </c>
      <c r="K55" s="39" t="str">
        <f>IFERROR(INT(1000/POWER(1.5,VLOOKUP(J55,[1]Discovery!$B:$H,7,FALSE)^1.6)),"-")</f>
        <v>-</v>
      </c>
      <c r="L55" s="72" t="str">
        <f>IFERROR(표8[[#This Row],[배당'[1']]]/$AB55,"-")</f>
        <v>-</v>
      </c>
      <c r="M55" s="39" t="b">
        <f>INDEX([1]AdventureDiscoveryGroup!$N:$N,MATCH(표8[[#This Row],[열1]],[1]AdventureDiscoveryGroup!$B:$B,0))</f>
        <v>0</v>
      </c>
      <c r="N55" s="39" t="str">
        <f>IFERROR(INT(1000/POWER(1.5,VLOOKUP(M55,[1]Discovery!$B:$H,7,FALSE)^1.6)),"-")</f>
        <v>-</v>
      </c>
      <c r="O55" s="72" t="str">
        <f>IFERROR(표8[[#This Row],[배당'[2']]]/$AB55,"-")</f>
        <v>-</v>
      </c>
      <c r="P55" s="39" t="b">
        <f>INDEX([1]AdventureDiscoveryGroup!$S:$S,MATCH(표8[[#This Row],[열1]],[1]AdventureDiscoveryGroup!$B:$B,0))</f>
        <v>0</v>
      </c>
      <c r="Q55" s="39" t="str">
        <f>IFERROR(INT(1000/POWER(1.5,VLOOKUP(P55,[1]Discovery!$B:$H,7,FALSE)^1.6)),"-")</f>
        <v>-</v>
      </c>
      <c r="R55" s="72" t="str">
        <f>IFERROR(표8[[#This Row],[배당'[3']]]/$AB55,"-")</f>
        <v>-</v>
      </c>
      <c r="S55" s="40" t="b">
        <f>INDEX([1]AdventureDiscoveryGroup!$X:$X,MATCH(표8[[#This Row],[열1]],[1]AdventureDiscoveryGroup!$B:$B,0))</f>
        <v>0</v>
      </c>
      <c r="T55" s="40" t="str">
        <f>IFERROR(INT(1000/POWER(1.5,VLOOKUP(S55,[1]Discovery!$B:$H,7,FALSE)^1.6)),"-")</f>
        <v>-</v>
      </c>
      <c r="U55" s="72" t="str">
        <f>IFERROR(표8[[#This Row],[배당'[4']]]/$AB55,"-")</f>
        <v>-</v>
      </c>
      <c r="V55" s="40" t="b">
        <f>INDEX([1]AdventureDiscoveryGroup!$AC:$AC,MATCH(표8[[#This Row],[열1]],[1]AdventureDiscoveryGroup!$B:$B,0))</f>
        <v>0</v>
      </c>
      <c r="W55" s="40" t="str">
        <f>IFERROR(INT(1000/POWER(1.5,VLOOKUP(V55,[1]Discovery!$B:$H,7,FALSE)^1.6)),"-")</f>
        <v>-</v>
      </c>
      <c r="X55" s="72" t="str">
        <f>IFERROR(표8[[#This Row],[배당'[5']]]/$AB55,"-")</f>
        <v>-</v>
      </c>
      <c r="Y55" s="40" t="b">
        <f>INDEX([1]AdventureDiscoveryGroup!$AH:$AH,MATCH(표8[[#This Row],[열1]],[1]AdventureDiscoveryGroup!$B:$B,0))</f>
        <v>0</v>
      </c>
      <c r="Z55" s="40" t="str">
        <f>IFERROR(INT(1000/POWER(1.5,VLOOKUP(Y55,[1]Discovery!$B:$H,7,FALSE)^1.6)),"-")</f>
        <v>-</v>
      </c>
      <c r="AA55" s="72" t="str">
        <f>IFERROR(표8[[#This Row],[배당'[6']]]/$AB55,"-")</f>
        <v>-</v>
      </c>
      <c r="AB55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56" spans="2:28" x14ac:dyDescent="0.3">
      <c r="B56" s="39" t="str">
        <f>[1]LandExplore!E62</f>
        <v>아카풀코 부근</v>
      </c>
      <c r="C56" s="39" t="str">
        <f>INDEX([1]LandExplore!$B:$B,MATCH(표8[[#This Row],[육지]],[1]LandExplore!$E:$E,0))</f>
        <v>##북아메리카 서남</v>
      </c>
      <c r="D56" s="39" t="str">
        <f>IFERROR(VLOOKUP(표8[[#This Row],[육지]],[3]!표1_6[[이름]:[선단 LV]],6,FALSE),"-")</f>
        <v>-</v>
      </c>
      <c r="E56" s="39" t="str">
        <f>IFERROR(VLOOKUP(표8[[#This Row],[육지]],[3]!표1_6[[이름]:[위도]],3,FALSE),"-")</f>
        <v>-</v>
      </c>
      <c r="F56" s="39" t="str">
        <f>IFERROR(VLOOKUP(표8[[#This Row],[육지]],[3]!표1_6[[이름]:[위도]],2,FALSE),"-")</f>
        <v>-</v>
      </c>
      <c r="G56" s="39" t="str">
        <f>INDEX([1]AdventureDiscoveryGroup!$D:$D,MATCH(표8[[#This Row],[열1]],[1]AdventureDiscoveryGroup!$B:$B,0))</f>
        <v>아카풀코 부근</v>
      </c>
      <c r="H56" s="39" t="str">
        <f>IFERROR(INT(1000/POWER(1.5,VLOOKUP(G56,[1]Discovery!$B:$H,7,FALSE)^1.6)),"-")</f>
        <v>-</v>
      </c>
      <c r="I56" s="72" t="str">
        <f>IFERROR(표8[[#This Row],[배당'[0']]]/$AB56,"-")</f>
        <v>-</v>
      </c>
      <c r="J56" s="39" t="b">
        <f>INDEX([1]AdventureDiscoveryGroup!$I:$I,MATCH(표8[[#This Row],[열1]],[1]AdventureDiscoveryGroup!$B:$B,0))</f>
        <v>0</v>
      </c>
      <c r="K56" s="39" t="str">
        <f>IFERROR(INT(1000/POWER(1.5,VLOOKUP(J56,[1]Discovery!$B:$H,7,FALSE)^1.6)),"-")</f>
        <v>-</v>
      </c>
      <c r="L56" s="72" t="str">
        <f>IFERROR(표8[[#This Row],[배당'[1']]]/$AB56,"-")</f>
        <v>-</v>
      </c>
      <c r="M56" s="39" t="b">
        <f>INDEX([1]AdventureDiscoveryGroup!$N:$N,MATCH(표8[[#This Row],[열1]],[1]AdventureDiscoveryGroup!$B:$B,0))</f>
        <v>0</v>
      </c>
      <c r="N56" s="39" t="str">
        <f>IFERROR(INT(1000/POWER(1.5,VLOOKUP(M56,[1]Discovery!$B:$H,7,FALSE)^1.6)),"-")</f>
        <v>-</v>
      </c>
      <c r="O56" s="72" t="str">
        <f>IFERROR(표8[[#This Row],[배당'[2']]]/$AB56,"-")</f>
        <v>-</v>
      </c>
      <c r="P56" s="39" t="b">
        <f>INDEX([1]AdventureDiscoveryGroup!$S:$S,MATCH(표8[[#This Row],[열1]],[1]AdventureDiscoveryGroup!$B:$B,0))</f>
        <v>0</v>
      </c>
      <c r="Q56" s="39" t="str">
        <f>IFERROR(INT(1000/POWER(1.5,VLOOKUP(P56,[1]Discovery!$B:$H,7,FALSE)^1.6)),"-")</f>
        <v>-</v>
      </c>
      <c r="R56" s="72" t="str">
        <f>IFERROR(표8[[#This Row],[배당'[3']]]/$AB56,"-")</f>
        <v>-</v>
      </c>
      <c r="S56" s="40" t="b">
        <f>INDEX([1]AdventureDiscoveryGroup!$X:$X,MATCH(표8[[#This Row],[열1]],[1]AdventureDiscoveryGroup!$B:$B,0))</f>
        <v>0</v>
      </c>
      <c r="T56" s="40" t="str">
        <f>IFERROR(INT(1000/POWER(1.5,VLOOKUP(S56,[1]Discovery!$B:$H,7,FALSE)^1.6)),"-")</f>
        <v>-</v>
      </c>
      <c r="U56" s="72" t="str">
        <f>IFERROR(표8[[#This Row],[배당'[4']]]/$AB56,"-")</f>
        <v>-</v>
      </c>
      <c r="V56" s="40" t="b">
        <f>INDEX([1]AdventureDiscoveryGroup!$AC:$AC,MATCH(표8[[#This Row],[열1]],[1]AdventureDiscoveryGroup!$B:$B,0))</f>
        <v>0</v>
      </c>
      <c r="W56" s="40" t="str">
        <f>IFERROR(INT(1000/POWER(1.5,VLOOKUP(V56,[1]Discovery!$B:$H,7,FALSE)^1.6)),"-")</f>
        <v>-</v>
      </c>
      <c r="X56" s="72" t="str">
        <f>IFERROR(표8[[#This Row],[배당'[5']]]/$AB56,"-")</f>
        <v>-</v>
      </c>
      <c r="Y56" s="40" t="b">
        <f>INDEX([1]AdventureDiscoveryGroup!$AH:$AH,MATCH(표8[[#This Row],[열1]],[1]AdventureDiscoveryGroup!$B:$B,0))</f>
        <v>0</v>
      </c>
      <c r="Z56" s="40" t="str">
        <f>IFERROR(INT(1000/POWER(1.5,VLOOKUP(Y56,[1]Discovery!$B:$H,7,FALSE)^1.6)),"-")</f>
        <v>-</v>
      </c>
      <c r="AA56" s="72" t="str">
        <f>IFERROR(표8[[#This Row],[배당'[6']]]/$AB56,"-")</f>
        <v>-</v>
      </c>
      <c r="AB56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57" spans="2:28" x14ac:dyDescent="0.3">
      <c r="B57" s="39" t="str">
        <f>[1]LandExplore!E63</f>
        <v>카라카스 부근</v>
      </c>
      <c r="C57" s="39" t="str">
        <f>INDEX([1]LandExplore!$B:$B,MATCH(표8[[#This Row],[육지]],[1]LandExplore!$E:$E,0))</f>
        <v>##남아메리카 동북</v>
      </c>
      <c r="D57" s="39" t="str">
        <f>IFERROR(VLOOKUP(표8[[#This Row],[육지]],[3]!표1_6[[이름]:[선단 LV]],6,FALSE),"-")</f>
        <v>-</v>
      </c>
      <c r="E57" s="39" t="str">
        <f>IFERROR(VLOOKUP(표8[[#This Row],[육지]],[3]!표1_6[[이름]:[위도]],3,FALSE),"-")</f>
        <v>-</v>
      </c>
      <c r="F57" s="39" t="str">
        <f>IFERROR(VLOOKUP(표8[[#This Row],[육지]],[3]!표1_6[[이름]:[위도]],2,FALSE),"-")</f>
        <v>-</v>
      </c>
      <c r="G57" s="39" t="str">
        <f>INDEX([1]AdventureDiscoveryGroup!$D:$D,MATCH(표8[[#This Row],[열1]],[1]AdventureDiscoveryGroup!$B:$B,0))</f>
        <v>카라카스 부근</v>
      </c>
      <c r="H57" s="39" t="str">
        <f>IFERROR(INT(1000/POWER(1.5,VLOOKUP(G57,[1]Discovery!$B:$H,7,FALSE)^1.6)),"-")</f>
        <v>-</v>
      </c>
      <c r="I57" s="72" t="str">
        <f>IFERROR(표8[[#This Row],[배당'[0']]]/$AB57,"-")</f>
        <v>-</v>
      </c>
      <c r="J57" s="39" t="b">
        <f>INDEX([1]AdventureDiscoveryGroup!$I:$I,MATCH(표8[[#This Row],[열1]],[1]AdventureDiscoveryGroup!$B:$B,0))</f>
        <v>0</v>
      </c>
      <c r="K57" s="39" t="str">
        <f>IFERROR(INT(1000/POWER(1.5,VLOOKUP(J57,[1]Discovery!$B:$H,7,FALSE)^1.6)),"-")</f>
        <v>-</v>
      </c>
      <c r="L57" s="72" t="str">
        <f>IFERROR(표8[[#This Row],[배당'[1']]]/$AB57,"-")</f>
        <v>-</v>
      </c>
      <c r="M57" s="39" t="b">
        <f>INDEX([1]AdventureDiscoveryGroup!$N:$N,MATCH(표8[[#This Row],[열1]],[1]AdventureDiscoveryGroup!$B:$B,0))</f>
        <v>0</v>
      </c>
      <c r="N57" s="39" t="str">
        <f>IFERROR(INT(1000/POWER(1.5,VLOOKUP(M57,[1]Discovery!$B:$H,7,FALSE)^1.6)),"-")</f>
        <v>-</v>
      </c>
      <c r="O57" s="72" t="str">
        <f>IFERROR(표8[[#This Row],[배당'[2']]]/$AB57,"-")</f>
        <v>-</v>
      </c>
      <c r="P57" s="39" t="b">
        <f>INDEX([1]AdventureDiscoveryGroup!$S:$S,MATCH(표8[[#This Row],[열1]],[1]AdventureDiscoveryGroup!$B:$B,0))</f>
        <v>0</v>
      </c>
      <c r="Q57" s="39" t="str">
        <f>IFERROR(INT(1000/POWER(1.5,VLOOKUP(P57,[1]Discovery!$B:$H,7,FALSE)^1.6)),"-")</f>
        <v>-</v>
      </c>
      <c r="R57" s="72" t="str">
        <f>IFERROR(표8[[#This Row],[배당'[3']]]/$AB57,"-")</f>
        <v>-</v>
      </c>
      <c r="S57" s="40" t="b">
        <f>INDEX([1]AdventureDiscoveryGroup!$X:$X,MATCH(표8[[#This Row],[열1]],[1]AdventureDiscoveryGroup!$B:$B,0))</f>
        <v>0</v>
      </c>
      <c r="T57" s="40" t="str">
        <f>IFERROR(INT(1000/POWER(1.5,VLOOKUP(S57,[1]Discovery!$B:$H,7,FALSE)^1.6)),"-")</f>
        <v>-</v>
      </c>
      <c r="U57" s="72" t="str">
        <f>IFERROR(표8[[#This Row],[배당'[4']]]/$AB57,"-")</f>
        <v>-</v>
      </c>
      <c r="V57" s="40" t="b">
        <f>INDEX([1]AdventureDiscoveryGroup!$AC:$AC,MATCH(표8[[#This Row],[열1]],[1]AdventureDiscoveryGroup!$B:$B,0))</f>
        <v>0</v>
      </c>
      <c r="W57" s="40" t="str">
        <f>IFERROR(INT(1000/POWER(1.5,VLOOKUP(V57,[1]Discovery!$B:$H,7,FALSE)^1.6)),"-")</f>
        <v>-</v>
      </c>
      <c r="X57" s="72" t="str">
        <f>IFERROR(표8[[#This Row],[배당'[5']]]/$AB57,"-")</f>
        <v>-</v>
      </c>
      <c r="Y57" s="40" t="b">
        <f>INDEX([1]AdventureDiscoveryGroup!$AH:$AH,MATCH(표8[[#This Row],[열1]],[1]AdventureDiscoveryGroup!$B:$B,0))</f>
        <v>0</v>
      </c>
      <c r="Z57" s="40" t="str">
        <f>IFERROR(INT(1000/POWER(1.5,VLOOKUP(Y57,[1]Discovery!$B:$H,7,FALSE)^1.6)),"-")</f>
        <v>-</v>
      </c>
      <c r="AA57" s="72" t="str">
        <f>IFERROR(표8[[#This Row],[배당'[6']]]/$AB57,"-")</f>
        <v>-</v>
      </c>
      <c r="AB57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58" spans="2:28" x14ac:dyDescent="0.3">
      <c r="B58" s="39" t="str">
        <f>[1]LandExplore!E64</f>
        <v>아마존 하류</v>
      </c>
      <c r="C58" s="39" t="str">
        <f>INDEX([1]LandExplore!$B:$B,MATCH(표8[[#This Row],[육지]],[1]LandExplore!$E:$E,0))</f>
        <v>##아마존강 하류</v>
      </c>
      <c r="D58" s="39" t="str">
        <f>IFERROR(VLOOKUP(표8[[#This Row],[육지]],[3]!표1_6[[이름]:[선단 LV]],6,FALSE),"-")</f>
        <v>-</v>
      </c>
      <c r="E58" s="39" t="str">
        <f>IFERROR(VLOOKUP(표8[[#This Row],[육지]],[3]!표1_6[[이름]:[위도]],3,FALSE),"-")</f>
        <v>-</v>
      </c>
      <c r="F58" s="39" t="str">
        <f>IFERROR(VLOOKUP(표8[[#This Row],[육지]],[3]!표1_6[[이름]:[위도]],2,FALSE),"-")</f>
        <v>-</v>
      </c>
      <c r="G58" s="39" t="str">
        <f>INDEX([1]AdventureDiscoveryGroup!$D:$D,MATCH(표8[[#This Row],[열1]],[1]AdventureDiscoveryGroup!$B:$B,0))</f>
        <v>아마존 하류</v>
      </c>
      <c r="H58" s="39" t="str">
        <f>IFERROR(INT(1000/POWER(1.5,VLOOKUP(G58,[1]Discovery!$B:$H,7,FALSE)^1.6)),"-")</f>
        <v>-</v>
      </c>
      <c r="I58" s="72" t="str">
        <f>IFERROR(표8[[#This Row],[배당'[0']]]/$AB58,"-")</f>
        <v>-</v>
      </c>
      <c r="J58" s="39" t="b">
        <f>INDEX([1]AdventureDiscoveryGroup!$I:$I,MATCH(표8[[#This Row],[열1]],[1]AdventureDiscoveryGroup!$B:$B,0))</f>
        <v>0</v>
      </c>
      <c r="K58" s="39" t="str">
        <f>IFERROR(INT(1000/POWER(1.5,VLOOKUP(J58,[1]Discovery!$B:$H,7,FALSE)^1.6)),"-")</f>
        <v>-</v>
      </c>
      <c r="L58" s="72" t="str">
        <f>IFERROR(표8[[#This Row],[배당'[1']]]/$AB58,"-")</f>
        <v>-</v>
      </c>
      <c r="M58" s="39" t="b">
        <f>INDEX([1]AdventureDiscoveryGroup!$N:$N,MATCH(표8[[#This Row],[열1]],[1]AdventureDiscoveryGroup!$B:$B,0))</f>
        <v>0</v>
      </c>
      <c r="N58" s="39" t="str">
        <f>IFERROR(INT(1000/POWER(1.5,VLOOKUP(M58,[1]Discovery!$B:$H,7,FALSE)^1.6)),"-")</f>
        <v>-</v>
      </c>
      <c r="O58" s="72" t="str">
        <f>IFERROR(표8[[#This Row],[배당'[2']]]/$AB58,"-")</f>
        <v>-</v>
      </c>
      <c r="P58" s="39" t="b">
        <f>INDEX([1]AdventureDiscoveryGroup!$S:$S,MATCH(표8[[#This Row],[열1]],[1]AdventureDiscoveryGroup!$B:$B,0))</f>
        <v>0</v>
      </c>
      <c r="Q58" s="39" t="str">
        <f>IFERROR(INT(1000/POWER(1.5,VLOOKUP(P58,[1]Discovery!$B:$H,7,FALSE)^1.6)),"-")</f>
        <v>-</v>
      </c>
      <c r="R58" s="72" t="str">
        <f>IFERROR(표8[[#This Row],[배당'[3']]]/$AB58,"-")</f>
        <v>-</v>
      </c>
      <c r="S58" s="40" t="b">
        <f>INDEX([1]AdventureDiscoveryGroup!$X:$X,MATCH(표8[[#This Row],[열1]],[1]AdventureDiscoveryGroup!$B:$B,0))</f>
        <v>0</v>
      </c>
      <c r="T58" s="40" t="str">
        <f>IFERROR(INT(1000/POWER(1.5,VLOOKUP(S58,[1]Discovery!$B:$H,7,FALSE)^1.6)),"-")</f>
        <v>-</v>
      </c>
      <c r="U58" s="72" t="str">
        <f>IFERROR(표8[[#This Row],[배당'[4']]]/$AB58,"-")</f>
        <v>-</v>
      </c>
      <c r="V58" s="40" t="b">
        <f>INDEX([1]AdventureDiscoveryGroup!$AC:$AC,MATCH(표8[[#This Row],[열1]],[1]AdventureDiscoveryGroup!$B:$B,0))</f>
        <v>0</v>
      </c>
      <c r="W58" s="40" t="str">
        <f>IFERROR(INT(1000/POWER(1.5,VLOOKUP(V58,[1]Discovery!$B:$H,7,FALSE)^1.6)),"-")</f>
        <v>-</v>
      </c>
      <c r="X58" s="72" t="str">
        <f>IFERROR(표8[[#This Row],[배당'[5']]]/$AB58,"-")</f>
        <v>-</v>
      </c>
      <c r="Y58" s="40" t="b">
        <f>INDEX([1]AdventureDiscoveryGroup!$AH:$AH,MATCH(표8[[#This Row],[열1]],[1]AdventureDiscoveryGroup!$B:$B,0))</f>
        <v>0</v>
      </c>
      <c r="Z58" s="40" t="str">
        <f>IFERROR(INT(1000/POWER(1.5,VLOOKUP(Y58,[1]Discovery!$B:$H,7,FALSE)^1.6)),"-")</f>
        <v>-</v>
      </c>
      <c r="AA58" s="72" t="str">
        <f>IFERROR(표8[[#This Row],[배당'[6']]]/$AB58,"-")</f>
        <v>-</v>
      </c>
      <c r="AB58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59" spans="2:28" x14ac:dyDescent="0.3">
      <c r="B59" s="39" t="str">
        <f>[1]LandExplore!E65</f>
        <v>아마존 상류</v>
      </c>
      <c r="C59" s="39" t="str">
        <f>INDEX([1]LandExplore!$B:$B,MATCH(표8[[#This Row],[육지]],[1]LandExplore!$E:$E,0))</f>
        <v>##아마존강 상류</v>
      </c>
      <c r="D59" s="39" t="str">
        <f>IFERROR(VLOOKUP(표8[[#This Row],[육지]],[3]!표1_6[[이름]:[선단 LV]],6,FALSE),"-")</f>
        <v>-</v>
      </c>
      <c r="E59" s="39" t="str">
        <f>IFERROR(VLOOKUP(표8[[#This Row],[육지]],[3]!표1_6[[이름]:[위도]],3,FALSE),"-")</f>
        <v>-</v>
      </c>
      <c r="F59" s="39" t="str">
        <f>IFERROR(VLOOKUP(표8[[#This Row],[육지]],[3]!표1_6[[이름]:[위도]],2,FALSE),"-")</f>
        <v>-</v>
      </c>
      <c r="G59" s="39" t="str">
        <f>INDEX([1]AdventureDiscoveryGroup!$D:$D,MATCH(표8[[#This Row],[열1]],[1]AdventureDiscoveryGroup!$B:$B,0))</f>
        <v>아마존 상류</v>
      </c>
      <c r="H59" s="39" t="str">
        <f>IFERROR(INT(1000/POWER(1.5,VLOOKUP(G59,[1]Discovery!$B:$H,7,FALSE)^1.6)),"-")</f>
        <v>-</v>
      </c>
      <c r="I59" s="72" t="str">
        <f>IFERROR(표8[[#This Row],[배당'[0']]]/$AB59,"-")</f>
        <v>-</v>
      </c>
      <c r="J59" s="39" t="b">
        <f>INDEX([1]AdventureDiscoveryGroup!$I:$I,MATCH(표8[[#This Row],[열1]],[1]AdventureDiscoveryGroup!$B:$B,0))</f>
        <v>0</v>
      </c>
      <c r="K59" s="39" t="str">
        <f>IFERROR(INT(1000/POWER(1.5,VLOOKUP(J59,[1]Discovery!$B:$H,7,FALSE)^1.6)),"-")</f>
        <v>-</v>
      </c>
      <c r="L59" s="72" t="str">
        <f>IFERROR(표8[[#This Row],[배당'[1']]]/$AB59,"-")</f>
        <v>-</v>
      </c>
      <c r="M59" s="39" t="b">
        <f>INDEX([1]AdventureDiscoveryGroup!$N:$N,MATCH(표8[[#This Row],[열1]],[1]AdventureDiscoveryGroup!$B:$B,0))</f>
        <v>0</v>
      </c>
      <c r="N59" s="39" t="str">
        <f>IFERROR(INT(1000/POWER(1.5,VLOOKUP(M59,[1]Discovery!$B:$H,7,FALSE)^1.6)),"-")</f>
        <v>-</v>
      </c>
      <c r="O59" s="72" t="str">
        <f>IFERROR(표8[[#This Row],[배당'[2']]]/$AB59,"-")</f>
        <v>-</v>
      </c>
      <c r="P59" s="39" t="b">
        <f>INDEX([1]AdventureDiscoveryGroup!$S:$S,MATCH(표8[[#This Row],[열1]],[1]AdventureDiscoveryGroup!$B:$B,0))</f>
        <v>0</v>
      </c>
      <c r="Q59" s="39" t="str">
        <f>IFERROR(INT(1000/POWER(1.5,VLOOKUP(P59,[1]Discovery!$B:$H,7,FALSE)^1.6)),"-")</f>
        <v>-</v>
      </c>
      <c r="R59" s="72" t="str">
        <f>IFERROR(표8[[#This Row],[배당'[3']]]/$AB59,"-")</f>
        <v>-</v>
      </c>
      <c r="S59" s="40" t="b">
        <f>INDEX([1]AdventureDiscoveryGroup!$X:$X,MATCH(표8[[#This Row],[열1]],[1]AdventureDiscoveryGroup!$B:$B,0))</f>
        <v>0</v>
      </c>
      <c r="T59" s="40" t="str">
        <f>IFERROR(INT(1000/POWER(1.5,VLOOKUP(S59,[1]Discovery!$B:$H,7,FALSE)^1.6)),"-")</f>
        <v>-</v>
      </c>
      <c r="U59" s="72" t="str">
        <f>IFERROR(표8[[#This Row],[배당'[4']]]/$AB59,"-")</f>
        <v>-</v>
      </c>
      <c r="V59" s="40" t="b">
        <f>INDEX([1]AdventureDiscoveryGroup!$AC:$AC,MATCH(표8[[#This Row],[열1]],[1]AdventureDiscoveryGroup!$B:$B,0))</f>
        <v>0</v>
      </c>
      <c r="W59" s="40" t="str">
        <f>IFERROR(INT(1000/POWER(1.5,VLOOKUP(V59,[1]Discovery!$B:$H,7,FALSE)^1.6)),"-")</f>
        <v>-</v>
      </c>
      <c r="X59" s="72" t="str">
        <f>IFERROR(표8[[#This Row],[배당'[5']]]/$AB59,"-")</f>
        <v>-</v>
      </c>
      <c r="Y59" s="40" t="b">
        <f>INDEX([1]AdventureDiscoveryGroup!$AH:$AH,MATCH(표8[[#This Row],[열1]],[1]AdventureDiscoveryGroup!$B:$B,0))</f>
        <v>0</v>
      </c>
      <c r="Z59" s="40" t="str">
        <f>IFERROR(INT(1000/POWER(1.5,VLOOKUP(Y59,[1]Discovery!$B:$H,7,FALSE)^1.6)),"-")</f>
        <v>-</v>
      </c>
      <c r="AA59" s="72" t="str">
        <f>IFERROR(표8[[#This Row],[배당'[6']]]/$AB59,"-")</f>
        <v>-</v>
      </c>
      <c r="AB59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60" spans="2:28" x14ac:dyDescent="0.3">
      <c r="B60" s="39" t="str">
        <f>[1]LandExplore!E66</f>
        <v>바이아 부근</v>
      </c>
      <c r="C60" s="39" t="str">
        <f>INDEX([1]LandExplore!$B:$B,MATCH(표8[[#This Row],[육지]],[1]LandExplore!$E:$E,0))</f>
        <v>##남아메리카 동남</v>
      </c>
      <c r="D60" s="39" t="str">
        <f>IFERROR(VLOOKUP(표8[[#This Row],[육지]],[3]!표1_6[[이름]:[선단 LV]],6,FALSE),"-")</f>
        <v>-</v>
      </c>
      <c r="E60" s="39" t="str">
        <f>IFERROR(VLOOKUP(표8[[#This Row],[육지]],[3]!표1_6[[이름]:[위도]],3,FALSE),"-")</f>
        <v>-</v>
      </c>
      <c r="F60" s="39" t="str">
        <f>IFERROR(VLOOKUP(표8[[#This Row],[육지]],[3]!표1_6[[이름]:[위도]],2,FALSE),"-")</f>
        <v>-</v>
      </c>
      <c r="G60" s="39" t="str">
        <f>INDEX([1]AdventureDiscoveryGroup!$D:$D,MATCH(표8[[#This Row],[열1]],[1]AdventureDiscoveryGroup!$B:$B,0))</f>
        <v>바이아 부근</v>
      </c>
      <c r="H60" s="39" t="str">
        <f>IFERROR(INT(1000/POWER(1.5,VLOOKUP(G60,[1]Discovery!$B:$H,7,FALSE)^1.6)),"-")</f>
        <v>-</v>
      </c>
      <c r="I60" s="72" t="str">
        <f>IFERROR(표8[[#This Row],[배당'[0']]]/$AB60,"-")</f>
        <v>-</v>
      </c>
      <c r="J60" s="39" t="b">
        <f>INDEX([1]AdventureDiscoveryGroup!$I:$I,MATCH(표8[[#This Row],[열1]],[1]AdventureDiscoveryGroup!$B:$B,0))</f>
        <v>0</v>
      </c>
      <c r="K60" s="39" t="str">
        <f>IFERROR(INT(1000/POWER(1.5,VLOOKUP(J60,[1]Discovery!$B:$H,7,FALSE)^1.6)),"-")</f>
        <v>-</v>
      </c>
      <c r="L60" s="72" t="str">
        <f>IFERROR(표8[[#This Row],[배당'[1']]]/$AB60,"-")</f>
        <v>-</v>
      </c>
      <c r="M60" s="39" t="b">
        <f>INDEX([1]AdventureDiscoveryGroup!$N:$N,MATCH(표8[[#This Row],[열1]],[1]AdventureDiscoveryGroup!$B:$B,0))</f>
        <v>0</v>
      </c>
      <c r="N60" s="39" t="str">
        <f>IFERROR(INT(1000/POWER(1.5,VLOOKUP(M60,[1]Discovery!$B:$H,7,FALSE)^1.6)),"-")</f>
        <v>-</v>
      </c>
      <c r="O60" s="72" t="str">
        <f>IFERROR(표8[[#This Row],[배당'[2']]]/$AB60,"-")</f>
        <v>-</v>
      </c>
      <c r="P60" s="39" t="b">
        <f>INDEX([1]AdventureDiscoveryGroup!$S:$S,MATCH(표8[[#This Row],[열1]],[1]AdventureDiscoveryGroup!$B:$B,0))</f>
        <v>0</v>
      </c>
      <c r="Q60" s="39" t="str">
        <f>IFERROR(INT(1000/POWER(1.5,VLOOKUP(P60,[1]Discovery!$B:$H,7,FALSE)^1.6)),"-")</f>
        <v>-</v>
      </c>
      <c r="R60" s="72" t="str">
        <f>IFERROR(표8[[#This Row],[배당'[3']]]/$AB60,"-")</f>
        <v>-</v>
      </c>
      <c r="S60" s="40" t="b">
        <f>INDEX([1]AdventureDiscoveryGroup!$X:$X,MATCH(표8[[#This Row],[열1]],[1]AdventureDiscoveryGroup!$B:$B,0))</f>
        <v>0</v>
      </c>
      <c r="T60" s="40" t="str">
        <f>IFERROR(INT(1000/POWER(1.5,VLOOKUP(S60,[1]Discovery!$B:$H,7,FALSE)^1.6)),"-")</f>
        <v>-</v>
      </c>
      <c r="U60" s="72" t="str">
        <f>IFERROR(표8[[#This Row],[배당'[4']]]/$AB60,"-")</f>
        <v>-</v>
      </c>
      <c r="V60" s="40" t="b">
        <f>INDEX([1]AdventureDiscoveryGroup!$AC:$AC,MATCH(표8[[#This Row],[열1]],[1]AdventureDiscoveryGroup!$B:$B,0))</f>
        <v>0</v>
      </c>
      <c r="W60" s="40" t="str">
        <f>IFERROR(INT(1000/POWER(1.5,VLOOKUP(V60,[1]Discovery!$B:$H,7,FALSE)^1.6)),"-")</f>
        <v>-</v>
      </c>
      <c r="X60" s="72" t="str">
        <f>IFERROR(표8[[#This Row],[배당'[5']]]/$AB60,"-")</f>
        <v>-</v>
      </c>
      <c r="Y60" s="40" t="b">
        <f>INDEX([1]AdventureDiscoveryGroup!$AH:$AH,MATCH(표8[[#This Row],[열1]],[1]AdventureDiscoveryGroup!$B:$B,0))</f>
        <v>0</v>
      </c>
      <c r="Z60" s="40" t="str">
        <f>IFERROR(INT(1000/POWER(1.5,VLOOKUP(Y60,[1]Discovery!$B:$H,7,FALSE)^1.6)),"-")</f>
        <v>-</v>
      </c>
      <c r="AA60" s="72" t="str">
        <f>IFERROR(표8[[#This Row],[배당'[6']]]/$AB60,"-")</f>
        <v>-</v>
      </c>
      <c r="AB60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61" spans="2:28" x14ac:dyDescent="0.3">
      <c r="B61" s="39" t="str">
        <f>[1]LandExplore!E67</f>
        <v>라플라타강</v>
      </c>
      <c r="C61" s="39" t="str">
        <f>INDEX([1]LandExplore!$B:$B,MATCH(표8[[#This Row],[육지]],[1]LandExplore!$E:$E,0))</f>
        <v>##우루과이강</v>
      </c>
      <c r="D61" s="39" t="str">
        <f>IFERROR(VLOOKUP(표8[[#This Row],[육지]],[3]!표1_6[[이름]:[선단 LV]],6,FALSE),"-")</f>
        <v>-</v>
      </c>
      <c r="E61" s="39" t="str">
        <f>IFERROR(VLOOKUP(표8[[#This Row],[육지]],[3]!표1_6[[이름]:[위도]],3,FALSE),"-")</f>
        <v>-</v>
      </c>
      <c r="F61" s="39" t="str">
        <f>IFERROR(VLOOKUP(표8[[#This Row],[육지]],[3]!표1_6[[이름]:[위도]],2,FALSE),"-")</f>
        <v>-</v>
      </c>
      <c r="G61" s="39" t="str">
        <f>INDEX([1]AdventureDiscoveryGroup!$D:$D,MATCH(표8[[#This Row],[열1]],[1]AdventureDiscoveryGroup!$B:$B,0))</f>
        <v>부에노스아이레스 부근</v>
      </c>
      <c r="H61" s="39" t="str">
        <f>IFERROR(INT(1000/POWER(1.5,VLOOKUP(G61,[1]Discovery!$B:$H,7,FALSE)^1.6)),"-")</f>
        <v>-</v>
      </c>
      <c r="I61" s="72" t="str">
        <f>IFERROR(표8[[#This Row],[배당'[0']]]/$AB61,"-")</f>
        <v>-</v>
      </c>
      <c r="J61" s="39" t="b">
        <f>INDEX([1]AdventureDiscoveryGroup!$I:$I,MATCH(표8[[#This Row],[열1]],[1]AdventureDiscoveryGroup!$B:$B,0))</f>
        <v>0</v>
      </c>
      <c r="K61" s="39" t="str">
        <f>IFERROR(INT(1000/POWER(1.5,VLOOKUP(J61,[1]Discovery!$B:$H,7,FALSE)^1.6)),"-")</f>
        <v>-</v>
      </c>
      <c r="L61" s="72" t="str">
        <f>IFERROR(표8[[#This Row],[배당'[1']]]/$AB61,"-")</f>
        <v>-</v>
      </c>
      <c r="M61" s="39" t="b">
        <f>INDEX([1]AdventureDiscoveryGroup!$N:$N,MATCH(표8[[#This Row],[열1]],[1]AdventureDiscoveryGroup!$B:$B,0))</f>
        <v>0</v>
      </c>
      <c r="N61" s="39" t="str">
        <f>IFERROR(INT(1000/POWER(1.5,VLOOKUP(M61,[1]Discovery!$B:$H,7,FALSE)^1.6)),"-")</f>
        <v>-</v>
      </c>
      <c r="O61" s="72" t="str">
        <f>IFERROR(표8[[#This Row],[배당'[2']]]/$AB61,"-")</f>
        <v>-</v>
      </c>
      <c r="P61" s="39" t="b">
        <f>INDEX([1]AdventureDiscoveryGroup!$S:$S,MATCH(표8[[#This Row],[열1]],[1]AdventureDiscoveryGroup!$B:$B,0))</f>
        <v>0</v>
      </c>
      <c r="Q61" s="39" t="str">
        <f>IFERROR(INT(1000/POWER(1.5,VLOOKUP(P61,[1]Discovery!$B:$H,7,FALSE)^1.6)),"-")</f>
        <v>-</v>
      </c>
      <c r="R61" s="72" t="str">
        <f>IFERROR(표8[[#This Row],[배당'[3']]]/$AB61,"-")</f>
        <v>-</v>
      </c>
      <c r="S61" s="40" t="b">
        <f>INDEX([1]AdventureDiscoveryGroup!$X:$X,MATCH(표8[[#This Row],[열1]],[1]AdventureDiscoveryGroup!$B:$B,0))</f>
        <v>0</v>
      </c>
      <c r="T61" s="40" t="str">
        <f>IFERROR(INT(1000/POWER(1.5,VLOOKUP(S61,[1]Discovery!$B:$H,7,FALSE)^1.6)),"-")</f>
        <v>-</v>
      </c>
      <c r="U61" s="72" t="str">
        <f>IFERROR(표8[[#This Row],[배당'[4']]]/$AB61,"-")</f>
        <v>-</v>
      </c>
      <c r="V61" s="40" t="b">
        <f>INDEX([1]AdventureDiscoveryGroup!$AC:$AC,MATCH(표8[[#This Row],[열1]],[1]AdventureDiscoveryGroup!$B:$B,0))</f>
        <v>0</v>
      </c>
      <c r="W61" s="40" t="str">
        <f>IFERROR(INT(1000/POWER(1.5,VLOOKUP(V61,[1]Discovery!$B:$H,7,FALSE)^1.6)),"-")</f>
        <v>-</v>
      </c>
      <c r="X61" s="72" t="str">
        <f>IFERROR(표8[[#This Row],[배당'[5']]]/$AB61,"-")</f>
        <v>-</v>
      </c>
      <c r="Y61" s="40" t="b">
        <f>INDEX([1]AdventureDiscoveryGroup!$AH:$AH,MATCH(표8[[#This Row],[열1]],[1]AdventureDiscoveryGroup!$B:$B,0))</f>
        <v>0</v>
      </c>
      <c r="Z61" s="40" t="str">
        <f>IFERROR(INT(1000/POWER(1.5,VLOOKUP(Y61,[1]Discovery!$B:$H,7,FALSE)^1.6)),"-")</f>
        <v>-</v>
      </c>
      <c r="AA61" s="72" t="str">
        <f>IFERROR(표8[[#This Row],[배당'[6']]]/$AB61,"-")</f>
        <v>-</v>
      </c>
      <c r="AB61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62" spans="2:28" x14ac:dyDescent="0.3">
      <c r="B62" s="39" t="str">
        <f>[1]LandExplore!E68</f>
        <v>툼베스 부근</v>
      </c>
      <c r="C62" s="39" t="str">
        <f>INDEX([1]LandExplore!$B:$B,MATCH(표8[[#This Row],[육지]],[1]LandExplore!$E:$E,0))</f>
        <v>##남아메리카 서북</v>
      </c>
      <c r="D62" s="39" t="str">
        <f>IFERROR(VLOOKUP(표8[[#This Row],[육지]],[3]!표1_6[[이름]:[선단 LV]],6,FALSE),"-")</f>
        <v>-</v>
      </c>
      <c r="E62" s="39" t="str">
        <f>IFERROR(VLOOKUP(표8[[#This Row],[육지]],[3]!표1_6[[이름]:[위도]],3,FALSE),"-")</f>
        <v>-</v>
      </c>
      <c r="F62" s="39" t="str">
        <f>IFERROR(VLOOKUP(표8[[#This Row],[육지]],[3]!표1_6[[이름]:[위도]],2,FALSE),"-")</f>
        <v>-</v>
      </c>
      <c r="G62" s="39" t="str">
        <f>INDEX([1]AdventureDiscoveryGroup!$D:$D,MATCH(표8[[#This Row],[열1]],[1]AdventureDiscoveryGroup!$B:$B,0))</f>
        <v>툼베스 부근</v>
      </c>
      <c r="H62" s="39" t="str">
        <f>IFERROR(INT(1000/POWER(1.5,VLOOKUP(G62,[1]Discovery!$B:$H,7,FALSE)^1.6)),"-")</f>
        <v>-</v>
      </c>
      <c r="I62" s="72" t="str">
        <f>IFERROR(표8[[#This Row],[배당'[0']]]/$AB62,"-")</f>
        <v>-</v>
      </c>
      <c r="J62" s="39" t="b">
        <f>INDEX([1]AdventureDiscoveryGroup!$I:$I,MATCH(표8[[#This Row],[열1]],[1]AdventureDiscoveryGroup!$B:$B,0))</f>
        <v>0</v>
      </c>
      <c r="K62" s="39" t="str">
        <f>IFERROR(INT(1000/POWER(1.5,VLOOKUP(J62,[1]Discovery!$B:$H,7,FALSE)^1.6)),"-")</f>
        <v>-</v>
      </c>
      <c r="L62" s="72" t="str">
        <f>IFERROR(표8[[#This Row],[배당'[1']]]/$AB62,"-")</f>
        <v>-</v>
      </c>
      <c r="M62" s="39" t="b">
        <f>INDEX([1]AdventureDiscoveryGroup!$N:$N,MATCH(표8[[#This Row],[열1]],[1]AdventureDiscoveryGroup!$B:$B,0))</f>
        <v>0</v>
      </c>
      <c r="N62" s="39" t="str">
        <f>IFERROR(INT(1000/POWER(1.5,VLOOKUP(M62,[1]Discovery!$B:$H,7,FALSE)^1.6)),"-")</f>
        <v>-</v>
      </c>
      <c r="O62" s="72" t="str">
        <f>IFERROR(표8[[#This Row],[배당'[2']]]/$AB62,"-")</f>
        <v>-</v>
      </c>
      <c r="P62" s="39" t="b">
        <f>INDEX([1]AdventureDiscoveryGroup!$S:$S,MATCH(표8[[#This Row],[열1]],[1]AdventureDiscoveryGroup!$B:$B,0))</f>
        <v>0</v>
      </c>
      <c r="Q62" s="39" t="str">
        <f>IFERROR(INT(1000/POWER(1.5,VLOOKUP(P62,[1]Discovery!$B:$H,7,FALSE)^1.6)),"-")</f>
        <v>-</v>
      </c>
      <c r="R62" s="72" t="str">
        <f>IFERROR(표8[[#This Row],[배당'[3']]]/$AB62,"-")</f>
        <v>-</v>
      </c>
      <c r="S62" s="40" t="b">
        <f>INDEX([1]AdventureDiscoveryGroup!$X:$X,MATCH(표8[[#This Row],[열1]],[1]AdventureDiscoveryGroup!$B:$B,0))</f>
        <v>0</v>
      </c>
      <c r="T62" s="40" t="str">
        <f>IFERROR(INT(1000/POWER(1.5,VLOOKUP(S62,[1]Discovery!$B:$H,7,FALSE)^1.6)),"-")</f>
        <v>-</v>
      </c>
      <c r="U62" s="72" t="str">
        <f>IFERROR(표8[[#This Row],[배당'[4']]]/$AB62,"-")</f>
        <v>-</v>
      </c>
      <c r="V62" s="40" t="b">
        <f>INDEX([1]AdventureDiscoveryGroup!$AC:$AC,MATCH(표8[[#This Row],[열1]],[1]AdventureDiscoveryGroup!$B:$B,0))</f>
        <v>0</v>
      </c>
      <c r="W62" s="40" t="str">
        <f>IFERROR(INT(1000/POWER(1.5,VLOOKUP(V62,[1]Discovery!$B:$H,7,FALSE)^1.6)),"-")</f>
        <v>-</v>
      </c>
      <c r="X62" s="72" t="str">
        <f>IFERROR(표8[[#This Row],[배당'[5']]]/$AB62,"-")</f>
        <v>-</v>
      </c>
      <c r="Y62" s="40" t="b">
        <f>INDEX([1]AdventureDiscoveryGroup!$AH:$AH,MATCH(표8[[#This Row],[열1]],[1]AdventureDiscoveryGroup!$B:$B,0))</f>
        <v>0</v>
      </c>
      <c r="Z62" s="40" t="str">
        <f>IFERROR(INT(1000/POWER(1.5,VLOOKUP(Y62,[1]Discovery!$B:$H,7,FALSE)^1.6)),"-")</f>
        <v>-</v>
      </c>
      <c r="AA62" s="72" t="str">
        <f>IFERROR(표8[[#This Row],[배당'[6']]]/$AB62,"-")</f>
        <v>-</v>
      </c>
      <c r="AB62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63" spans="2:28" x14ac:dyDescent="0.3">
      <c r="B63" s="39" t="str">
        <f>[1]LandExplore!E69</f>
        <v>발파라이소 부근</v>
      </c>
      <c r="C63" s="39" t="str">
        <f>INDEX([1]LandExplore!$B:$B,MATCH(표8[[#This Row],[육지]],[1]LandExplore!$E:$E,0))</f>
        <v>##남아메리카 서남</v>
      </c>
      <c r="D63" s="39" t="str">
        <f>IFERROR(VLOOKUP(표8[[#This Row],[육지]],[3]!표1_6[[이름]:[선단 LV]],6,FALSE),"-")</f>
        <v>-</v>
      </c>
      <c r="E63" s="39" t="str">
        <f>IFERROR(VLOOKUP(표8[[#This Row],[육지]],[3]!표1_6[[이름]:[위도]],3,FALSE),"-")</f>
        <v>-</v>
      </c>
      <c r="F63" s="39" t="str">
        <f>IFERROR(VLOOKUP(표8[[#This Row],[육지]],[3]!표1_6[[이름]:[위도]],2,FALSE),"-")</f>
        <v>-</v>
      </c>
      <c r="G63" s="39" t="str">
        <f>INDEX([1]AdventureDiscoveryGroup!$D:$D,MATCH(표8[[#This Row],[열1]],[1]AdventureDiscoveryGroup!$B:$B,0))</f>
        <v>발파라이소 부근</v>
      </c>
      <c r="H63" s="39" t="str">
        <f>IFERROR(INT(1000/POWER(1.5,VLOOKUP(G63,[1]Discovery!$B:$H,7,FALSE)^1.6)),"-")</f>
        <v>-</v>
      </c>
      <c r="I63" s="72" t="str">
        <f>IFERROR(표8[[#This Row],[배당'[0']]]/$AB63,"-")</f>
        <v>-</v>
      </c>
      <c r="J63" s="39" t="b">
        <f>INDEX([1]AdventureDiscoveryGroup!$I:$I,MATCH(표8[[#This Row],[열1]],[1]AdventureDiscoveryGroup!$B:$B,0))</f>
        <v>0</v>
      </c>
      <c r="K63" s="39" t="str">
        <f>IFERROR(INT(1000/POWER(1.5,VLOOKUP(J63,[1]Discovery!$B:$H,7,FALSE)^1.6)),"-")</f>
        <v>-</v>
      </c>
      <c r="L63" s="72" t="str">
        <f>IFERROR(표8[[#This Row],[배당'[1']]]/$AB63,"-")</f>
        <v>-</v>
      </c>
      <c r="M63" s="39" t="b">
        <f>INDEX([1]AdventureDiscoveryGroup!$N:$N,MATCH(표8[[#This Row],[열1]],[1]AdventureDiscoveryGroup!$B:$B,0))</f>
        <v>0</v>
      </c>
      <c r="N63" s="39" t="str">
        <f>IFERROR(INT(1000/POWER(1.5,VLOOKUP(M63,[1]Discovery!$B:$H,7,FALSE)^1.6)),"-")</f>
        <v>-</v>
      </c>
      <c r="O63" s="72" t="str">
        <f>IFERROR(표8[[#This Row],[배당'[2']]]/$AB63,"-")</f>
        <v>-</v>
      </c>
      <c r="P63" s="39" t="b">
        <f>INDEX([1]AdventureDiscoveryGroup!$S:$S,MATCH(표8[[#This Row],[열1]],[1]AdventureDiscoveryGroup!$B:$B,0))</f>
        <v>0</v>
      </c>
      <c r="Q63" s="39" t="str">
        <f>IFERROR(INT(1000/POWER(1.5,VLOOKUP(P63,[1]Discovery!$B:$H,7,FALSE)^1.6)),"-")</f>
        <v>-</v>
      </c>
      <c r="R63" s="72" t="str">
        <f>IFERROR(표8[[#This Row],[배당'[3']]]/$AB63,"-")</f>
        <v>-</v>
      </c>
      <c r="S63" s="40" t="b">
        <f>INDEX([1]AdventureDiscoveryGroup!$X:$X,MATCH(표8[[#This Row],[열1]],[1]AdventureDiscoveryGroup!$B:$B,0))</f>
        <v>0</v>
      </c>
      <c r="T63" s="40" t="str">
        <f>IFERROR(INT(1000/POWER(1.5,VLOOKUP(S63,[1]Discovery!$B:$H,7,FALSE)^1.6)),"-")</f>
        <v>-</v>
      </c>
      <c r="U63" s="72" t="str">
        <f>IFERROR(표8[[#This Row],[배당'[4']]]/$AB63,"-")</f>
        <v>-</v>
      </c>
      <c r="V63" s="40" t="b">
        <f>INDEX([1]AdventureDiscoveryGroup!$AC:$AC,MATCH(표8[[#This Row],[열1]],[1]AdventureDiscoveryGroup!$B:$B,0))</f>
        <v>0</v>
      </c>
      <c r="W63" s="40" t="str">
        <f>IFERROR(INT(1000/POWER(1.5,VLOOKUP(V63,[1]Discovery!$B:$H,7,FALSE)^1.6)),"-")</f>
        <v>-</v>
      </c>
      <c r="X63" s="72" t="str">
        <f>IFERROR(표8[[#This Row],[배당'[5']]]/$AB63,"-")</f>
        <v>-</v>
      </c>
      <c r="Y63" s="40" t="b">
        <f>INDEX([1]AdventureDiscoveryGroup!$AH:$AH,MATCH(표8[[#This Row],[열1]],[1]AdventureDiscoveryGroup!$B:$B,0))</f>
        <v>0</v>
      </c>
      <c r="Z63" s="40" t="str">
        <f>IFERROR(INT(1000/POWER(1.5,VLOOKUP(Y63,[1]Discovery!$B:$H,7,FALSE)^1.6)),"-")</f>
        <v>-</v>
      </c>
      <c r="AA63" s="72" t="str">
        <f>IFERROR(표8[[#This Row],[배당'[6']]]/$AB63,"-")</f>
        <v>-</v>
      </c>
      <c r="AB63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64" spans="2:28" x14ac:dyDescent="0.3">
      <c r="B64" s="39" t="str">
        <f>[1]LandExplore!E70</f>
        <v>우수아이아 부근</v>
      </c>
      <c r="C64" s="39" t="str">
        <f>INDEX([1]LandExplore!$B:$B,MATCH(표8[[#This Row],[육지]],[1]LandExplore!$E:$E,0))</f>
        <v>##남아메리카 극남</v>
      </c>
      <c r="D64" s="39" t="str">
        <f>IFERROR(VLOOKUP(표8[[#This Row],[육지]],[3]!표1_6[[이름]:[선단 LV]],6,FALSE),"-")</f>
        <v>-</v>
      </c>
      <c r="E64" s="39" t="str">
        <f>IFERROR(VLOOKUP(표8[[#This Row],[육지]],[3]!표1_6[[이름]:[위도]],3,FALSE),"-")</f>
        <v>-</v>
      </c>
      <c r="F64" s="39" t="str">
        <f>IFERROR(VLOOKUP(표8[[#This Row],[육지]],[3]!표1_6[[이름]:[위도]],2,FALSE),"-")</f>
        <v>-</v>
      </c>
      <c r="G64" s="39" t="str">
        <f>INDEX([1]AdventureDiscoveryGroup!$D:$D,MATCH(표8[[#This Row],[열1]],[1]AdventureDiscoveryGroup!$B:$B,0))</f>
        <v>우수아이아 부근</v>
      </c>
      <c r="H64" s="39" t="str">
        <f>IFERROR(INT(1000/POWER(1.5,VLOOKUP(G64,[1]Discovery!$B:$H,7,FALSE)^1.6)),"-")</f>
        <v>-</v>
      </c>
      <c r="I64" s="72" t="str">
        <f>IFERROR(표8[[#This Row],[배당'[0']]]/$AB64,"-")</f>
        <v>-</v>
      </c>
      <c r="J64" s="39" t="b">
        <f>INDEX([1]AdventureDiscoveryGroup!$I:$I,MATCH(표8[[#This Row],[열1]],[1]AdventureDiscoveryGroup!$B:$B,0))</f>
        <v>0</v>
      </c>
      <c r="K64" s="39" t="str">
        <f>IFERROR(INT(1000/POWER(1.5,VLOOKUP(J64,[1]Discovery!$B:$H,7,FALSE)^1.6)),"-")</f>
        <v>-</v>
      </c>
      <c r="L64" s="72" t="str">
        <f>IFERROR(표8[[#This Row],[배당'[1']]]/$AB64,"-")</f>
        <v>-</v>
      </c>
      <c r="M64" s="39" t="b">
        <f>INDEX([1]AdventureDiscoveryGroup!$N:$N,MATCH(표8[[#This Row],[열1]],[1]AdventureDiscoveryGroup!$B:$B,0))</f>
        <v>0</v>
      </c>
      <c r="N64" s="39" t="str">
        <f>IFERROR(INT(1000/POWER(1.5,VLOOKUP(M64,[1]Discovery!$B:$H,7,FALSE)^1.6)),"-")</f>
        <v>-</v>
      </c>
      <c r="O64" s="72" t="str">
        <f>IFERROR(표8[[#This Row],[배당'[2']]]/$AB64,"-")</f>
        <v>-</v>
      </c>
      <c r="P64" s="39" t="b">
        <f>INDEX([1]AdventureDiscoveryGroup!$S:$S,MATCH(표8[[#This Row],[열1]],[1]AdventureDiscoveryGroup!$B:$B,0))</f>
        <v>0</v>
      </c>
      <c r="Q64" s="39" t="str">
        <f>IFERROR(INT(1000/POWER(1.5,VLOOKUP(P64,[1]Discovery!$B:$H,7,FALSE)^1.6)),"-")</f>
        <v>-</v>
      </c>
      <c r="R64" s="72" t="str">
        <f>IFERROR(표8[[#This Row],[배당'[3']]]/$AB64,"-")</f>
        <v>-</v>
      </c>
      <c r="S64" s="40" t="b">
        <f>INDEX([1]AdventureDiscoveryGroup!$X:$X,MATCH(표8[[#This Row],[열1]],[1]AdventureDiscoveryGroup!$B:$B,0))</f>
        <v>0</v>
      </c>
      <c r="T64" s="40" t="str">
        <f>IFERROR(INT(1000/POWER(1.5,VLOOKUP(S64,[1]Discovery!$B:$H,7,FALSE)^1.6)),"-")</f>
        <v>-</v>
      </c>
      <c r="U64" s="72" t="str">
        <f>IFERROR(표8[[#This Row],[배당'[4']]]/$AB64,"-")</f>
        <v>-</v>
      </c>
      <c r="V64" s="40" t="b">
        <f>INDEX([1]AdventureDiscoveryGroup!$AC:$AC,MATCH(표8[[#This Row],[열1]],[1]AdventureDiscoveryGroup!$B:$B,0))</f>
        <v>0</v>
      </c>
      <c r="W64" s="40" t="str">
        <f>IFERROR(INT(1000/POWER(1.5,VLOOKUP(V64,[1]Discovery!$B:$H,7,FALSE)^1.6)),"-")</f>
        <v>-</v>
      </c>
      <c r="X64" s="72" t="str">
        <f>IFERROR(표8[[#This Row],[배당'[5']]]/$AB64,"-")</f>
        <v>-</v>
      </c>
      <c r="Y64" s="40" t="b">
        <f>INDEX([1]AdventureDiscoveryGroup!$AH:$AH,MATCH(표8[[#This Row],[열1]],[1]AdventureDiscoveryGroup!$B:$B,0))</f>
        <v>0</v>
      </c>
      <c r="Z64" s="40" t="str">
        <f>IFERROR(INT(1000/POWER(1.5,VLOOKUP(Y64,[1]Discovery!$B:$H,7,FALSE)^1.6)),"-")</f>
        <v>-</v>
      </c>
      <c r="AA64" s="72" t="str">
        <f>IFERROR(표8[[#This Row],[배당'[6']]]/$AB64,"-")</f>
        <v>-</v>
      </c>
      <c r="AB64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65" spans="2:28" x14ac:dyDescent="0.3">
      <c r="B65" s="39" t="str">
        <f>[1]LandExplore!E71</f>
        <v>트루히요 부근</v>
      </c>
      <c r="C65" s="39" t="str">
        <f>INDEX([1]LandExplore!$B:$B,MATCH(표8[[#This Row],[육지]],[1]LandExplore!$E:$E,0))</f>
        <v>##중앙아메리카(동)</v>
      </c>
      <c r="D65" s="39" t="str">
        <f>IFERROR(VLOOKUP(표8[[#This Row],[육지]],[3]!표1_6[[이름]:[선단 LV]],6,FALSE),"-")</f>
        <v>-</v>
      </c>
      <c r="E65" s="39" t="str">
        <f>IFERROR(VLOOKUP(표8[[#This Row],[육지]],[3]!표1_6[[이름]:[위도]],3,FALSE),"-")</f>
        <v>-</v>
      </c>
      <c r="F65" s="39" t="str">
        <f>IFERROR(VLOOKUP(표8[[#This Row],[육지]],[3]!표1_6[[이름]:[위도]],2,FALSE),"-")</f>
        <v>-</v>
      </c>
      <c r="G65" s="39" t="str">
        <f>INDEX([1]AdventureDiscoveryGroup!$D:$D,MATCH(표8[[#This Row],[열1]],[1]AdventureDiscoveryGroup!$B:$B,0))</f>
        <v>트루히요 부근</v>
      </c>
      <c r="H65" s="39" t="str">
        <f>IFERROR(INT(1000/POWER(1.5,VLOOKUP(G65,[1]Discovery!$B:$H,7,FALSE)^1.6)),"-")</f>
        <v>-</v>
      </c>
      <c r="I65" s="72" t="str">
        <f>IFERROR(표8[[#This Row],[배당'[0']]]/$AB65,"-")</f>
        <v>-</v>
      </c>
      <c r="J65" s="39" t="b">
        <f>INDEX([1]AdventureDiscoveryGroup!$I:$I,MATCH(표8[[#This Row],[열1]],[1]AdventureDiscoveryGroup!$B:$B,0))</f>
        <v>0</v>
      </c>
      <c r="K65" s="39" t="str">
        <f>IFERROR(INT(1000/POWER(1.5,VLOOKUP(J65,[1]Discovery!$B:$H,7,FALSE)^1.6)),"-")</f>
        <v>-</v>
      </c>
      <c r="L65" s="72" t="str">
        <f>IFERROR(표8[[#This Row],[배당'[1']]]/$AB65,"-")</f>
        <v>-</v>
      </c>
      <c r="M65" s="39" t="b">
        <f>INDEX([1]AdventureDiscoveryGroup!$N:$N,MATCH(표8[[#This Row],[열1]],[1]AdventureDiscoveryGroup!$B:$B,0))</f>
        <v>0</v>
      </c>
      <c r="N65" s="39" t="str">
        <f>IFERROR(INT(1000/POWER(1.5,VLOOKUP(M65,[1]Discovery!$B:$H,7,FALSE)^1.6)),"-")</f>
        <v>-</v>
      </c>
      <c r="O65" s="72" t="str">
        <f>IFERROR(표8[[#This Row],[배당'[2']]]/$AB65,"-")</f>
        <v>-</v>
      </c>
      <c r="P65" s="39" t="b">
        <f>INDEX([1]AdventureDiscoveryGroup!$S:$S,MATCH(표8[[#This Row],[열1]],[1]AdventureDiscoveryGroup!$B:$B,0))</f>
        <v>0</v>
      </c>
      <c r="Q65" s="39" t="str">
        <f>IFERROR(INT(1000/POWER(1.5,VLOOKUP(P65,[1]Discovery!$B:$H,7,FALSE)^1.6)),"-")</f>
        <v>-</v>
      </c>
      <c r="R65" s="72" t="str">
        <f>IFERROR(표8[[#This Row],[배당'[3']]]/$AB65,"-")</f>
        <v>-</v>
      </c>
      <c r="S65" s="40" t="b">
        <f>INDEX([1]AdventureDiscoveryGroup!$X:$X,MATCH(표8[[#This Row],[열1]],[1]AdventureDiscoveryGroup!$B:$B,0))</f>
        <v>0</v>
      </c>
      <c r="T65" s="40" t="str">
        <f>IFERROR(INT(1000/POWER(1.5,VLOOKUP(S65,[1]Discovery!$B:$H,7,FALSE)^1.6)),"-")</f>
        <v>-</v>
      </c>
      <c r="U65" s="72" t="str">
        <f>IFERROR(표8[[#This Row],[배당'[4']]]/$AB65,"-")</f>
        <v>-</v>
      </c>
      <c r="V65" s="40" t="b">
        <f>INDEX([1]AdventureDiscoveryGroup!$AC:$AC,MATCH(표8[[#This Row],[열1]],[1]AdventureDiscoveryGroup!$B:$B,0))</f>
        <v>0</v>
      </c>
      <c r="W65" s="40" t="str">
        <f>IFERROR(INT(1000/POWER(1.5,VLOOKUP(V65,[1]Discovery!$B:$H,7,FALSE)^1.6)),"-")</f>
        <v>-</v>
      </c>
      <c r="X65" s="72" t="str">
        <f>IFERROR(표8[[#This Row],[배당'[5']]]/$AB65,"-")</f>
        <v>-</v>
      </c>
      <c r="Y65" s="40" t="b">
        <f>INDEX([1]AdventureDiscoveryGroup!$AH:$AH,MATCH(표8[[#This Row],[열1]],[1]AdventureDiscoveryGroup!$B:$B,0))</f>
        <v>0</v>
      </c>
      <c r="Z65" s="40" t="str">
        <f>IFERROR(INT(1000/POWER(1.5,VLOOKUP(Y65,[1]Discovery!$B:$H,7,FALSE)^1.6)),"-")</f>
        <v>-</v>
      </c>
      <c r="AA65" s="72" t="str">
        <f>IFERROR(표8[[#This Row],[배당'[6']]]/$AB65,"-")</f>
        <v>-</v>
      </c>
      <c r="AB65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66" spans="2:28" x14ac:dyDescent="0.3">
      <c r="B66" s="39" t="str">
        <f>[1]LandExplore!E72</f>
        <v>산티아고 부근</v>
      </c>
      <c r="C66" s="39" t="str">
        <f>INDEX([1]LandExplore!$B:$B,MATCH(표8[[#This Row],[육지]],[1]LandExplore!$E:$E,0))</f>
        <v>##카리브</v>
      </c>
      <c r="D66" s="39" t="str">
        <f>IFERROR(VLOOKUP(표8[[#This Row],[육지]],[3]!표1_6[[이름]:[선단 LV]],6,FALSE),"-")</f>
        <v>-</v>
      </c>
      <c r="E66" s="39" t="str">
        <f>IFERROR(VLOOKUP(표8[[#This Row],[육지]],[3]!표1_6[[이름]:[위도]],3,FALSE),"-")</f>
        <v>-</v>
      </c>
      <c r="F66" s="39" t="str">
        <f>IFERROR(VLOOKUP(표8[[#This Row],[육지]],[3]!표1_6[[이름]:[위도]],2,FALSE),"-")</f>
        <v>-</v>
      </c>
      <c r="G66" s="39" t="str">
        <f>INDEX([1]AdventureDiscoveryGroup!$D:$D,MATCH(표8[[#This Row],[열1]],[1]AdventureDiscoveryGroup!$B:$B,0))</f>
        <v>산티아고 부근</v>
      </c>
      <c r="H66" s="39" t="str">
        <f>IFERROR(INT(1000/POWER(1.5,VLOOKUP(G66,[1]Discovery!$B:$H,7,FALSE)^1.6)),"-")</f>
        <v>-</v>
      </c>
      <c r="I66" s="72" t="str">
        <f>IFERROR(표8[[#This Row],[배당'[0']]]/$AB66,"-")</f>
        <v>-</v>
      </c>
      <c r="J66" s="39" t="b">
        <f>INDEX([1]AdventureDiscoveryGroup!$I:$I,MATCH(표8[[#This Row],[열1]],[1]AdventureDiscoveryGroup!$B:$B,0))</f>
        <v>0</v>
      </c>
      <c r="K66" s="39" t="str">
        <f>IFERROR(INT(1000/POWER(1.5,VLOOKUP(J66,[1]Discovery!$B:$H,7,FALSE)^1.6)),"-")</f>
        <v>-</v>
      </c>
      <c r="L66" s="72" t="str">
        <f>IFERROR(표8[[#This Row],[배당'[1']]]/$AB66,"-")</f>
        <v>-</v>
      </c>
      <c r="M66" s="39" t="b">
        <f>INDEX([1]AdventureDiscoveryGroup!$N:$N,MATCH(표8[[#This Row],[열1]],[1]AdventureDiscoveryGroup!$B:$B,0))</f>
        <v>0</v>
      </c>
      <c r="N66" s="39" t="str">
        <f>IFERROR(INT(1000/POWER(1.5,VLOOKUP(M66,[1]Discovery!$B:$H,7,FALSE)^1.6)),"-")</f>
        <v>-</v>
      </c>
      <c r="O66" s="72" t="str">
        <f>IFERROR(표8[[#This Row],[배당'[2']]]/$AB66,"-")</f>
        <v>-</v>
      </c>
      <c r="P66" s="39" t="b">
        <f>INDEX([1]AdventureDiscoveryGroup!$S:$S,MATCH(표8[[#This Row],[열1]],[1]AdventureDiscoveryGroup!$B:$B,0))</f>
        <v>0</v>
      </c>
      <c r="Q66" s="39" t="str">
        <f>IFERROR(INT(1000/POWER(1.5,VLOOKUP(P66,[1]Discovery!$B:$H,7,FALSE)^1.6)),"-")</f>
        <v>-</v>
      </c>
      <c r="R66" s="72" t="str">
        <f>IFERROR(표8[[#This Row],[배당'[3']]]/$AB66,"-")</f>
        <v>-</v>
      </c>
      <c r="S66" s="40" t="b">
        <f>INDEX([1]AdventureDiscoveryGroup!$X:$X,MATCH(표8[[#This Row],[열1]],[1]AdventureDiscoveryGroup!$B:$B,0))</f>
        <v>0</v>
      </c>
      <c r="T66" s="40" t="str">
        <f>IFERROR(INT(1000/POWER(1.5,VLOOKUP(S66,[1]Discovery!$B:$H,7,FALSE)^1.6)),"-")</f>
        <v>-</v>
      </c>
      <c r="U66" s="72" t="str">
        <f>IFERROR(표8[[#This Row],[배당'[4']]]/$AB66,"-")</f>
        <v>-</v>
      </c>
      <c r="V66" s="40" t="b">
        <f>INDEX([1]AdventureDiscoveryGroup!$AC:$AC,MATCH(표8[[#This Row],[열1]],[1]AdventureDiscoveryGroup!$B:$B,0))</f>
        <v>0</v>
      </c>
      <c r="W66" s="40" t="str">
        <f>IFERROR(INT(1000/POWER(1.5,VLOOKUP(V66,[1]Discovery!$B:$H,7,FALSE)^1.6)),"-")</f>
        <v>-</v>
      </c>
      <c r="X66" s="72" t="str">
        <f>IFERROR(표8[[#This Row],[배당'[5']]]/$AB66,"-")</f>
        <v>-</v>
      </c>
      <c r="Y66" s="40" t="b">
        <f>INDEX([1]AdventureDiscoveryGroup!$AH:$AH,MATCH(표8[[#This Row],[열1]],[1]AdventureDiscoveryGroup!$B:$B,0))</f>
        <v>0</v>
      </c>
      <c r="Z66" s="40" t="str">
        <f>IFERROR(INT(1000/POWER(1.5,VLOOKUP(Y66,[1]Discovery!$B:$H,7,FALSE)^1.6)),"-")</f>
        <v>-</v>
      </c>
      <c r="AA66" s="72" t="str">
        <f>IFERROR(표8[[#This Row],[배당'[6']]]/$AB66,"-")</f>
        <v>-</v>
      </c>
      <c r="AB66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67" spans="2:28" x14ac:dyDescent="0.3">
      <c r="B67" s="39" t="str">
        <f>[1]LandExplore!E73</f>
        <v>핀자라 부근</v>
      </c>
      <c r="C67" s="39" t="str">
        <f>INDEX([1]LandExplore!$B:$B,MATCH(표8[[#This Row],[육지]],[1]LandExplore!$E:$E,0))</f>
        <v>##오세아니아(동)</v>
      </c>
      <c r="D67" s="39" t="str">
        <f>IFERROR(VLOOKUP(표8[[#This Row],[육지]],[3]!표1_6[[이름]:[선단 LV]],6,FALSE),"-")</f>
        <v>-</v>
      </c>
      <c r="E67" s="39" t="str">
        <f>IFERROR(VLOOKUP(표8[[#This Row],[육지]],[3]!표1_6[[이름]:[위도]],3,FALSE),"-")</f>
        <v>-</v>
      </c>
      <c r="F67" s="39" t="str">
        <f>IFERROR(VLOOKUP(표8[[#This Row],[육지]],[3]!표1_6[[이름]:[위도]],2,FALSE),"-")</f>
        <v>-</v>
      </c>
      <c r="G67" s="39" t="str">
        <f>INDEX([1]AdventureDiscoveryGroup!$D:$D,MATCH(표8[[#This Row],[열1]],[1]AdventureDiscoveryGroup!$B:$B,0))</f>
        <v>핀자라 부근</v>
      </c>
      <c r="H67" s="39" t="str">
        <f>IFERROR(INT(1000/POWER(1.5,VLOOKUP(G67,[1]Discovery!$B:$H,7,FALSE)^1.6)),"-")</f>
        <v>-</v>
      </c>
      <c r="I67" s="72" t="str">
        <f>IFERROR(표8[[#This Row],[배당'[0']]]/$AB67,"-")</f>
        <v>-</v>
      </c>
      <c r="J67" s="39" t="b">
        <f>INDEX([1]AdventureDiscoveryGroup!$I:$I,MATCH(표8[[#This Row],[열1]],[1]AdventureDiscoveryGroup!$B:$B,0))</f>
        <v>0</v>
      </c>
      <c r="K67" s="39" t="str">
        <f>IFERROR(INT(1000/POWER(1.5,VLOOKUP(J67,[1]Discovery!$B:$H,7,FALSE)^1.6)),"-")</f>
        <v>-</v>
      </c>
      <c r="L67" s="72" t="str">
        <f>IFERROR(표8[[#This Row],[배당'[1']]]/$AB67,"-")</f>
        <v>-</v>
      </c>
      <c r="M67" s="39" t="b">
        <f>INDEX([1]AdventureDiscoveryGroup!$N:$N,MATCH(표8[[#This Row],[열1]],[1]AdventureDiscoveryGroup!$B:$B,0))</f>
        <v>0</v>
      </c>
      <c r="N67" s="39" t="str">
        <f>IFERROR(INT(1000/POWER(1.5,VLOOKUP(M67,[1]Discovery!$B:$H,7,FALSE)^1.6)),"-")</f>
        <v>-</v>
      </c>
      <c r="O67" s="72" t="str">
        <f>IFERROR(표8[[#This Row],[배당'[2']]]/$AB67,"-")</f>
        <v>-</v>
      </c>
      <c r="P67" s="39" t="b">
        <f>INDEX([1]AdventureDiscoveryGroup!$S:$S,MATCH(표8[[#This Row],[열1]],[1]AdventureDiscoveryGroup!$B:$B,0))</f>
        <v>0</v>
      </c>
      <c r="Q67" s="39" t="str">
        <f>IFERROR(INT(1000/POWER(1.5,VLOOKUP(P67,[1]Discovery!$B:$H,7,FALSE)^1.6)),"-")</f>
        <v>-</v>
      </c>
      <c r="R67" s="72" t="str">
        <f>IFERROR(표8[[#This Row],[배당'[3']]]/$AB67,"-")</f>
        <v>-</v>
      </c>
      <c r="S67" s="40" t="b">
        <f>INDEX([1]AdventureDiscoveryGroup!$X:$X,MATCH(표8[[#This Row],[열1]],[1]AdventureDiscoveryGroup!$B:$B,0))</f>
        <v>0</v>
      </c>
      <c r="T67" s="40" t="str">
        <f>IFERROR(INT(1000/POWER(1.5,VLOOKUP(S67,[1]Discovery!$B:$H,7,FALSE)^1.6)),"-")</f>
        <v>-</v>
      </c>
      <c r="U67" s="72" t="str">
        <f>IFERROR(표8[[#This Row],[배당'[4']]]/$AB67,"-")</f>
        <v>-</v>
      </c>
      <c r="V67" s="40" t="str">
        <f>INDEX([1]AdventureDiscoveryGroup!$AC:$AC,MATCH(표8[[#This Row],[열1]],[1]AdventureDiscoveryGroup!$B:$B,0))</f>
        <v>-</v>
      </c>
      <c r="W67" s="40" t="str">
        <f>IFERROR(INT(1000/POWER(1.5,VLOOKUP(V67,[1]Discovery!$B:$H,7,FALSE)^1.6)),"-")</f>
        <v>-</v>
      </c>
      <c r="X67" s="72" t="str">
        <f>IFERROR(표8[[#This Row],[배당'[5']]]/$AB67,"-")</f>
        <v>-</v>
      </c>
      <c r="Y67" s="40" t="str">
        <f>INDEX([1]AdventureDiscoveryGroup!$AH:$AH,MATCH(표8[[#This Row],[열1]],[1]AdventureDiscoveryGroup!$B:$B,0))</f>
        <v>-</v>
      </c>
      <c r="Z67" s="40" t="str">
        <f>IFERROR(INT(1000/POWER(1.5,VLOOKUP(Y67,[1]Discovery!$B:$H,7,FALSE)^1.6)),"-")</f>
        <v>-</v>
      </c>
      <c r="AA67" s="72" t="str">
        <f>IFERROR(표8[[#This Row],[배당'[6']]]/$AB67,"-")</f>
        <v>-</v>
      </c>
      <c r="AB67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68" spans="2:28" x14ac:dyDescent="0.3">
      <c r="B68" s="39" t="str">
        <f>[1]LandExplore!E74</f>
        <v>가리 부근</v>
      </c>
      <c r="C68" s="39" t="str">
        <f>INDEX([1]LandExplore!$B:$B,MATCH(표8[[#This Row],[육지]],[1]LandExplore!$E:$E,0))</f>
        <v>##오세아니아(서)</v>
      </c>
      <c r="D68" s="39" t="str">
        <f>IFERROR(VLOOKUP(표8[[#This Row],[육지]],[3]!표1_6[[이름]:[선단 LV]],6,FALSE),"-")</f>
        <v>-</v>
      </c>
      <c r="E68" s="39" t="str">
        <f>IFERROR(VLOOKUP(표8[[#This Row],[육지]],[3]!표1_6[[이름]:[위도]],3,FALSE),"-")</f>
        <v>-</v>
      </c>
      <c r="F68" s="39" t="str">
        <f>IFERROR(VLOOKUP(표8[[#This Row],[육지]],[3]!표1_6[[이름]:[위도]],2,FALSE),"-")</f>
        <v>-</v>
      </c>
      <c r="G68" s="39" t="str">
        <f>INDEX([1]AdventureDiscoveryGroup!$D:$D,MATCH(표8[[#This Row],[열1]],[1]AdventureDiscoveryGroup!$B:$B,0))</f>
        <v>가리 부근</v>
      </c>
      <c r="H68" s="39" t="str">
        <f>IFERROR(INT(1000/POWER(1.5,VLOOKUP(G68,[1]Discovery!$B:$H,7,FALSE)^1.6)),"-")</f>
        <v>-</v>
      </c>
      <c r="I68" s="72" t="str">
        <f>IFERROR(표8[[#This Row],[배당'[0']]]/$AB68,"-")</f>
        <v>-</v>
      </c>
      <c r="J68" s="39" t="b">
        <f>INDEX([1]AdventureDiscoveryGroup!$I:$I,MATCH(표8[[#This Row],[열1]],[1]AdventureDiscoveryGroup!$B:$B,0))</f>
        <v>0</v>
      </c>
      <c r="K68" s="39" t="str">
        <f>IFERROR(INT(1000/POWER(1.5,VLOOKUP(J68,[1]Discovery!$B:$H,7,FALSE)^1.6)),"-")</f>
        <v>-</v>
      </c>
      <c r="L68" s="72" t="str">
        <f>IFERROR(표8[[#This Row],[배당'[1']]]/$AB68,"-")</f>
        <v>-</v>
      </c>
      <c r="M68" s="39" t="b">
        <f>INDEX([1]AdventureDiscoveryGroup!$N:$N,MATCH(표8[[#This Row],[열1]],[1]AdventureDiscoveryGroup!$B:$B,0))</f>
        <v>0</v>
      </c>
      <c r="N68" s="39" t="str">
        <f>IFERROR(INT(1000/POWER(1.5,VLOOKUP(M68,[1]Discovery!$B:$H,7,FALSE)^1.6)),"-")</f>
        <v>-</v>
      </c>
      <c r="O68" s="72" t="str">
        <f>IFERROR(표8[[#This Row],[배당'[2']]]/$AB68,"-")</f>
        <v>-</v>
      </c>
      <c r="P68" s="39" t="b">
        <f>INDEX([1]AdventureDiscoveryGroup!$S:$S,MATCH(표8[[#This Row],[열1]],[1]AdventureDiscoveryGroup!$B:$B,0))</f>
        <v>0</v>
      </c>
      <c r="Q68" s="39" t="str">
        <f>IFERROR(INT(1000/POWER(1.5,VLOOKUP(P68,[1]Discovery!$B:$H,7,FALSE)^1.6)),"-")</f>
        <v>-</v>
      </c>
      <c r="R68" s="72" t="str">
        <f>IFERROR(표8[[#This Row],[배당'[3']]]/$AB68,"-")</f>
        <v>-</v>
      </c>
      <c r="S68" s="40" t="b">
        <f>INDEX([1]AdventureDiscoveryGroup!$X:$X,MATCH(표8[[#This Row],[열1]],[1]AdventureDiscoveryGroup!$B:$B,0))</f>
        <v>0</v>
      </c>
      <c r="T68" s="40" t="str">
        <f>IFERROR(INT(1000/POWER(1.5,VLOOKUP(S68,[1]Discovery!$B:$H,7,FALSE)^1.6)),"-")</f>
        <v>-</v>
      </c>
      <c r="U68" s="72" t="str">
        <f>IFERROR(표8[[#This Row],[배당'[4']]]/$AB68,"-")</f>
        <v>-</v>
      </c>
      <c r="V68" s="40" t="b">
        <f>INDEX([1]AdventureDiscoveryGroup!$AC:$AC,MATCH(표8[[#This Row],[열1]],[1]AdventureDiscoveryGroup!$B:$B,0))</f>
        <v>0</v>
      </c>
      <c r="W68" s="40" t="str">
        <f>IFERROR(INT(1000/POWER(1.5,VLOOKUP(V68,[1]Discovery!$B:$H,7,FALSE)^1.6)),"-")</f>
        <v>-</v>
      </c>
      <c r="X68" s="72" t="str">
        <f>IFERROR(표8[[#This Row],[배당'[5']]]/$AB68,"-")</f>
        <v>-</v>
      </c>
      <c r="Y68" s="40" t="str">
        <f>INDEX([1]AdventureDiscoveryGroup!$AH:$AH,MATCH(표8[[#This Row],[열1]],[1]AdventureDiscoveryGroup!$B:$B,0))</f>
        <v>-</v>
      </c>
      <c r="Z68" s="40" t="str">
        <f>IFERROR(INT(1000/POWER(1.5,VLOOKUP(Y68,[1]Discovery!$B:$H,7,FALSE)^1.6)),"-")</f>
        <v>-</v>
      </c>
      <c r="AA68" s="72" t="str">
        <f>IFERROR(표8[[#This Row],[배당'[6']]]/$AB68,"-")</f>
        <v>-</v>
      </c>
      <c r="AB68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69" spans="2:28" x14ac:dyDescent="0.3">
      <c r="B69" s="39" t="str">
        <f>[1]LandExplore!E75</f>
        <v>포트피리 부근</v>
      </c>
      <c r="C69" s="39" t="str">
        <f>INDEX([1]LandExplore!$B:$B,MATCH(표8[[#This Row],[육지]],[1]LandExplore!$E:$E,0))</f>
        <v>##오세아니아(남)</v>
      </c>
      <c r="D69" s="39" t="str">
        <f>IFERROR(VLOOKUP(표8[[#This Row],[육지]],[3]!표1_6[[이름]:[선단 LV]],6,FALSE),"-")</f>
        <v>-</v>
      </c>
      <c r="E69" s="39" t="str">
        <f>IFERROR(VLOOKUP(표8[[#This Row],[육지]],[3]!표1_6[[이름]:[위도]],3,FALSE),"-")</f>
        <v>-</v>
      </c>
      <c r="F69" s="39" t="str">
        <f>IFERROR(VLOOKUP(표8[[#This Row],[육지]],[3]!표1_6[[이름]:[위도]],2,FALSE),"-")</f>
        <v>-</v>
      </c>
      <c r="G69" s="39" t="str">
        <f>INDEX([1]AdventureDiscoveryGroup!$D:$D,MATCH(표8[[#This Row],[열1]],[1]AdventureDiscoveryGroup!$B:$B,0))</f>
        <v>포트피리 부근</v>
      </c>
      <c r="H69" s="39" t="str">
        <f>IFERROR(INT(1000/POWER(1.5,VLOOKUP(G69,[1]Discovery!$B:$H,7,FALSE)^1.6)),"-")</f>
        <v>-</v>
      </c>
      <c r="I69" s="72" t="str">
        <f>IFERROR(표8[[#This Row],[배당'[0']]]/$AB69,"-")</f>
        <v>-</v>
      </c>
      <c r="J69" s="39" t="b">
        <f>INDEX([1]AdventureDiscoveryGroup!$I:$I,MATCH(표8[[#This Row],[열1]],[1]AdventureDiscoveryGroup!$B:$B,0))</f>
        <v>0</v>
      </c>
      <c r="K69" s="39" t="str">
        <f>IFERROR(INT(1000/POWER(1.5,VLOOKUP(J69,[1]Discovery!$B:$H,7,FALSE)^1.6)),"-")</f>
        <v>-</v>
      </c>
      <c r="L69" s="72" t="str">
        <f>IFERROR(표8[[#This Row],[배당'[1']]]/$AB69,"-")</f>
        <v>-</v>
      </c>
      <c r="M69" s="39" t="b">
        <f>INDEX([1]AdventureDiscoveryGroup!$N:$N,MATCH(표8[[#This Row],[열1]],[1]AdventureDiscoveryGroup!$B:$B,0))</f>
        <v>0</v>
      </c>
      <c r="N69" s="39" t="str">
        <f>IFERROR(INT(1000/POWER(1.5,VLOOKUP(M69,[1]Discovery!$B:$H,7,FALSE)^1.6)),"-")</f>
        <v>-</v>
      </c>
      <c r="O69" s="72" t="str">
        <f>IFERROR(표8[[#This Row],[배당'[2']]]/$AB69,"-")</f>
        <v>-</v>
      </c>
      <c r="P69" s="39" t="str">
        <f>INDEX([1]AdventureDiscoveryGroup!$S:$S,MATCH(표8[[#This Row],[열1]],[1]AdventureDiscoveryGroup!$B:$B,0))</f>
        <v>-</v>
      </c>
      <c r="Q69" s="39" t="str">
        <f>IFERROR(INT(1000/POWER(1.5,VLOOKUP(P69,[1]Discovery!$B:$H,7,FALSE)^1.6)),"-")</f>
        <v>-</v>
      </c>
      <c r="R69" s="72" t="str">
        <f>IFERROR(표8[[#This Row],[배당'[3']]]/$AB69,"-")</f>
        <v>-</v>
      </c>
      <c r="S69" s="40" t="str">
        <f>INDEX([1]AdventureDiscoveryGroup!$X:$X,MATCH(표8[[#This Row],[열1]],[1]AdventureDiscoveryGroup!$B:$B,0))</f>
        <v>-</v>
      </c>
      <c r="T69" s="40" t="str">
        <f>IFERROR(INT(1000/POWER(1.5,VLOOKUP(S69,[1]Discovery!$B:$H,7,FALSE)^1.6)),"-")</f>
        <v>-</v>
      </c>
      <c r="U69" s="72" t="str">
        <f>IFERROR(표8[[#This Row],[배당'[4']]]/$AB69,"-")</f>
        <v>-</v>
      </c>
      <c r="V69" s="40" t="str">
        <f>INDEX([1]AdventureDiscoveryGroup!$AC:$AC,MATCH(표8[[#This Row],[열1]],[1]AdventureDiscoveryGroup!$B:$B,0))</f>
        <v>-</v>
      </c>
      <c r="W69" s="40" t="str">
        <f>IFERROR(INT(1000/POWER(1.5,VLOOKUP(V69,[1]Discovery!$B:$H,7,FALSE)^1.6)),"-")</f>
        <v>-</v>
      </c>
      <c r="X69" s="72" t="str">
        <f>IFERROR(표8[[#This Row],[배당'[5']]]/$AB69,"-")</f>
        <v>-</v>
      </c>
      <c r="Y69" s="40" t="str">
        <f>INDEX([1]AdventureDiscoveryGroup!$AH:$AH,MATCH(표8[[#This Row],[열1]],[1]AdventureDiscoveryGroup!$B:$B,0))</f>
        <v>-</v>
      </c>
      <c r="Z69" s="40" t="str">
        <f>IFERROR(INT(1000/POWER(1.5,VLOOKUP(Y69,[1]Discovery!$B:$H,7,FALSE)^1.6)),"-")</f>
        <v>-</v>
      </c>
      <c r="AA69" s="72" t="str">
        <f>IFERROR(표8[[#This Row],[배당'[6']]]/$AB69,"-")</f>
        <v>-</v>
      </c>
      <c r="AB69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70" spans="2:28" x14ac:dyDescent="0.3">
      <c r="B70" s="39" t="str">
        <f>[1]LandExplore!E76</f>
        <v>카카투와 부근</v>
      </c>
      <c r="C70" s="39" t="str">
        <f>INDEX([1]LandExplore!$B:$B,MATCH(표8[[#This Row],[육지]],[1]LandExplore!$E:$E,0))</f>
        <v>##오세아니아(북)</v>
      </c>
      <c r="D70" s="39" t="str">
        <f>IFERROR(VLOOKUP(표8[[#This Row],[육지]],[3]!표1_6[[이름]:[선단 LV]],6,FALSE),"-")</f>
        <v>-</v>
      </c>
      <c r="E70" s="39" t="str">
        <f>IFERROR(VLOOKUP(표8[[#This Row],[육지]],[3]!표1_6[[이름]:[위도]],3,FALSE),"-")</f>
        <v>-</v>
      </c>
      <c r="F70" s="39" t="str">
        <f>IFERROR(VLOOKUP(표8[[#This Row],[육지]],[3]!표1_6[[이름]:[위도]],2,FALSE),"-")</f>
        <v>-</v>
      </c>
      <c r="G70" s="39" t="str">
        <f>INDEX([1]AdventureDiscoveryGroup!$D:$D,MATCH(표8[[#This Row],[열1]],[1]AdventureDiscoveryGroup!$B:$B,0))</f>
        <v>카카투와 부근</v>
      </c>
      <c r="H70" s="39" t="str">
        <f>IFERROR(INT(1000/POWER(1.5,VLOOKUP(G70,[1]Discovery!$B:$H,7,FALSE)^1.6)),"-")</f>
        <v>-</v>
      </c>
      <c r="I70" s="72" t="str">
        <f>IFERROR(표8[[#This Row],[배당'[0']]]/$AB70,"-")</f>
        <v>-</v>
      </c>
      <c r="J70" s="39" t="b">
        <f>INDEX([1]AdventureDiscoveryGroup!$I:$I,MATCH(표8[[#This Row],[열1]],[1]AdventureDiscoveryGroup!$B:$B,0))</f>
        <v>0</v>
      </c>
      <c r="K70" s="39" t="str">
        <f>IFERROR(INT(1000/POWER(1.5,VLOOKUP(J70,[1]Discovery!$B:$H,7,FALSE)^1.6)),"-")</f>
        <v>-</v>
      </c>
      <c r="L70" s="72" t="str">
        <f>IFERROR(표8[[#This Row],[배당'[1']]]/$AB70,"-")</f>
        <v>-</v>
      </c>
      <c r="M70" s="39" t="b">
        <f>INDEX([1]AdventureDiscoveryGroup!$N:$N,MATCH(표8[[#This Row],[열1]],[1]AdventureDiscoveryGroup!$B:$B,0))</f>
        <v>0</v>
      </c>
      <c r="N70" s="39" t="str">
        <f>IFERROR(INT(1000/POWER(1.5,VLOOKUP(M70,[1]Discovery!$B:$H,7,FALSE)^1.6)),"-")</f>
        <v>-</v>
      </c>
      <c r="O70" s="72" t="str">
        <f>IFERROR(표8[[#This Row],[배당'[2']]]/$AB70,"-")</f>
        <v>-</v>
      </c>
      <c r="P70" s="39" t="b">
        <f>INDEX([1]AdventureDiscoveryGroup!$S:$S,MATCH(표8[[#This Row],[열1]],[1]AdventureDiscoveryGroup!$B:$B,0))</f>
        <v>0</v>
      </c>
      <c r="Q70" s="39" t="str">
        <f>IFERROR(INT(1000/POWER(1.5,VLOOKUP(P70,[1]Discovery!$B:$H,7,FALSE)^1.6)),"-")</f>
        <v>-</v>
      </c>
      <c r="R70" s="72" t="str">
        <f>IFERROR(표8[[#This Row],[배당'[3']]]/$AB70,"-")</f>
        <v>-</v>
      </c>
      <c r="S70" s="40" t="b">
        <f>INDEX([1]AdventureDiscoveryGroup!$X:$X,MATCH(표8[[#This Row],[열1]],[1]AdventureDiscoveryGroup!$B:$B,0))</f>
        <v>0</v>
      </c>
      <c r="T70" s="40" t="str">
        <f>IFERROR(INT(1000/POWER(1.5,VLOOKUP(S70,[1]Discovery!$B:$H,7,FALSE)^1.6)),"-")</f>
        <v>-</v>
      </c>
      <c r="U70" s="72" t="str">
        <f>IFERROR(표8[[#This Row],[배당'[4']]]/$AB70,"-")</f>
        <v>-</v>
      </c>
      <c r="V70" s="40" t="str">
        <f>INDEX([1]AdventureDiscoveryGroup!$AC:$AC,MATCH(표8[[#This Row],[열1]],[1]AdventureDiscoveryGroup!$B:$B,0))</f>
        <v>-</v>
      </c>
      <c r="W70" s="40" t="str">
        <f>IFERROR(INT(1000/POWER(1.5,VLOOKUP(V70,[1]Discovery!$B:$H,7,FALSE)^1.6)),"-")</f>
        <v>-</v>
      </c>
      <c r="X70" s="72" t="str">
        <f>IFERROR(표8[[#This Row],[배당'[5']]]/$AB70,"-")</f>
        <v>-</v>
      </c>
      <c r="Y70" s="40" t="str">
        <f>INDEX([1]AdventureDiscoveryGroup!$AH:$AH,MATCH(표8[[#This Row],[열1]],[1]AdventureDiscoveryGroup!$B:$B,0))</f>
        <v>-</v>
      </c>
      <c r="Z70" s="40" t="str">
        <f>IFERROR(INT(1000/POWER(1.5,VLOOKUP(Y70,[1]Discovery!$B:$H,7,FALSE)^1.6)),"-")</f>
        <v>-</v>
      </c>
      <c r="AA70" s="72" t="str">
        <f>IFERROR(표8[[#This Row],[배당'[6']]]/$AB70,"-")</f>
        <v>-</v>
      </c>
      <c r="AB70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71" spans="2:28" x14ac:dyDescent="0.3">
      <c r="B71" s="39" t="str">
        <f>[1]LandExplore!E77</f>
        <v>반다 부근</v>
      </c>
      <c r="C71" s="39" t="str">
        <f>INDEX([1]LandExplore!$B:$B,MATCH(표8[[#This Row],[육지]],[1]LandExplore!$E:$E,0))</f>
        <v>##뉴기니</v>
      </c>
      <c r="D71" s="39" t="str">
        <f>IFERROR(VLOOKUP(표8[[#This Row],[육지]],[3]!표1_6[[이름]:[선단 LV]],6,FALSE),"-")</f>
        <v>-</v>
      </c>
      <c r="E71" s="39" t="str">
        <f>IFERROR(VLOOKUP(표8[[#This Row],[육지]],[3]!표1_6[[이름]:[위도]],3,FALSE),"-")</f>
        <v>-</v>
      </c>
      <c r="F71" s="39" t="str">
        <f>IFERROR(VLOOKUP(표8[[#This Row],[육지]],[3]!표1_6[[이름]:[위도]],2,FALSE),"-")</f>
        <v>-</v>
      </c>
      <c r="G71" s="39" t="str">
        <f>INDEX([1]AdventureDiscoveryGroup!$D:$D,MATCH(표8[[#This Row],[열1]],[1]AdventureDiscoveryGroup!$B:$B,0))</f>
        <v>반다 부근</v>
      </c>
      <c r="H71" s="39" t="str">
        <f>IFERROR(INT(1000/POWER(1.5,VLOOKUP(G71,[1]Discovery!$B:$H,7,FALSE)^1.6)),"-")</f>
        <v>-</v>
      </c>
      <c r="I71" s="72" t="str">
        <f>IFERROR(표8[[#This Row],[배당'[0']]]/$AB71,"-")</f>
        <v>-</v>
      </c>
      <c r="J71" s="39" t="b">
        <f>INDEX([1]AdventureDiscoveryGroup!$I:$I,MATCH(표8[[#This Row],[열1]],[1]AdventureDiscoveryGroup!$B:$B,0))</f>
        <v>0</v>
      </c>
      <c r="K71" s="39" t="str">
        <f>IFERROR(INT(1000/POWER(1.5,VLOOKUP(J71,[1]Discovery!$B:$H,7,FALSE)^1.6)),"-")</f>
        <v>-</v>
      </c>
      <c r="L71" s="72" t="str">
        <f>IFERROR(표8[[#This Row],[배당'[1']]]/$AB71,"-")</f>
        <v>-</v>
      </c>
      <c r="M71" s="39" t="b">
        <f>INDEX([1]AdventureDiscoveryGroup!$N:$N,MATCH(표8[[#This Row],[열1]],[1]AdventureDiscoveryGroup!$B:$B,0))</f>
        <v>0</v>
      </c>
      <c r="N71" s="39" t="str">
        <f>IFERROR(INT(1000/POWER(1.5,VLOOKUP(M71,[1]Discovery!$B:$H,7,FALSE)^1.6)),"-")</f>
        <v>-</v>
      </c>
      <c r="O71" s="72" t="str">
        <f>IFERROR(표8[[#This Row],[배당'[2']]]/$AB71,"-")</f>
        <v>-</v>
      </c>
      <c r="P71" s="39" t="b">
        <f>INDEX([1]AdventureDiscoveryGroup!$S:$S,MATCH(표8[[#This Row],[열1]],[1]AdventureDiscoveryGroup!$B:$B,0))</f>
        <v>0</v>
      </c>
      <c r="Q71" s="39" t="str">
        <f>IFERROR(INT(1000/POWER(1.5,VLOOKUP(P71,[1]Discovery!$B:$H,7,FALSE)^1.6)),"-")</f>
        <v>-</v>
      </c>
      <c r="R71" s="72" t="str">
        <f>IFERROR(표8[[#This Row],[배당'[3']]]/$AB71,"-")</f>
        <v>-</v>
      </c>
      <c r="S71" s="40" t="b">
        <f>INDEX([1]AdventureDiscoveryGroup!$X:$X,MATCH(표8[[#This Row],[열1]],[1]AdventureDiscoveryGroup!$B:$B,0))</f>
        <v>0</v>
      </c>
      <c r="T71" s="40" t="str">
        <f>IFERROR(INT(1000/POWER(1.5,VLOOKUP(S71,[1]Discovery!$B:$H,7,FALSE)^1.6)),"-")</f>
        <v>-</v>
      </c>
      <c r="U71" s="72" t="str">
        <f>IFERROR(표8[[#This Row],[배당'[4']]]/$AB71,"-")</f>
        <v>-</v>
      </c>
      <c r="V71" s="40" t="b">
        <f>INDEX([1]AdventureDiscoveryGroup!$AC:$AC,MATCH(표8[[#This Row],[열1]],[1]AdventureDiscoveryGroup!$B:$B,0))</f>
        <v>0</v>
      </c>
      <c r="W71" s="40" t="str">
        <f>IFERROR(INT(1000/POWER(1.5,VLOOKUP(V71,[1]Discovery!$B:$H,7,FALSE)^1.6)),"-")</f>
        <v>-</v>
      </c>
      <c r="X71" s="72" t="str">
        <f>IFERROR(표8[[#This Row],[배당'[5']]]/$AB71,"-")</f>
        <v>-</v>
      </c>
      <c r="Y71" s="40" t="b">
        <f>INDEX([1]AdventureDiscoveryGroup!$AH:$AH,MATCH(표8[[#This Row],[열1]],[1]AdventureDiscoveryGroup!$B:$B,0))</f>
        <v>0</v>
      </c>
      <c r="Z71" s="40" t="str">
        <f>IFERROR(INT(1000/POWER(1.5,VLOOKUP(Y71,[1]Discovery!$B:$H,7,FALSE)^1.6)),"-")</f>
        <v>-</v>
      </c>
      <c r="AA71" s="72" t="str">
        <f>IFERROR(표8[[#This Row],[배당'[6']]]/$AB71,"-")</f>
        <v>-</v>
      </c>
      <c r="AB71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72" spans="2:28" x14ac:dyDescent="0.3">
      <c r="B72" s="39" t="str">
        <f>[1]LandExplore!E78</f>
        <v>사마라이 부근</v>
      </c>
      <c r="C72" s="39" t="str">
        <f>INDEX([1]LandExplore!$B:$B,MATCH(표8[[#This Row],[육지]],[1]LandExplore!$E:$E,0))</f>
        <v>##동뉴기니</v>
      </c>
      <c r="D72" s="39" t="str">
        <f>IFERROR(VLOOKUP(표8[[#This Row],[육지]],[3]!표1_6[[이름]:[선단 LV]],6,FALSE),"-")</f>
        <v>-</v>
      </c>
      <c r="E72" s="39" t="str">
        <f>IFERROR(VLOOKUP(표8[[#This Row],[육지]],[3]!표1_6[[이름]:[위도]],3,FALSE),"-")</f>
        <v>-</v>
      </c>
      <c r="F72" s="39" t="str">
        <f>IFERROR(VLOOKUP(표8[[#This Row],[육지]],[3]!표1_6[[이름]:[위도]],2,FALSE),"-")</f>
        <v>-</v>
      </c>
      <c r="G72" s="39" t="str">
        <f>INDEX([1]AdventureDiscoveryGroup!$D:$D,MATCH(표8[[#This Row],[열1]],[1]AdventureDiscoveryGroup!$B:$B,0))</f>
        <v>사마라이 부근</v>
      </c>
      <c r="H72" s="39" t="str">
        <f>IFERROR(INT(1000/POWER(1.5,VLOOKUP(G72,[1]Discovery!$B:$H,7,FALSE)^1.6)),"-")</f>
        <v>-</v>
      </c>
      <c r="I72" s="72" t="str">
        <f>IFERROR(표8[[#This Row],[배당'[0']]]/$AB72,"-")</f>
        <v>-</v>
      </c>
      <c r="J72" s="39" t="b">
        <f>INDEX([1]AdventureDiscoveryGroup!$I:$I,MATCH(표8[[#This Row],[열1]],[1]AdventureDiscoveryGroup!$B:$B,0))</f>
        <v>0</v>
      </c>
      <c r="K72" s="39" t="str">
        <f>IFERROR(INT(1000/POWER(1.5,VLOOKUP(J72,[1]Discovery!$B:$H,7,FALSE)^1.6)),"-")</f>
        <v>-</v>
      </c>
      <c r="L72" s="72" t="str">
        <f>IFERROR(표8[[#This Row],[배당'[1']]]/$AB72,"-")</f>
        <v>-</v>
      </c>
      <c r="M72" s="39" t="b">
        <f>INDEX([1]AdventureDiscoveryGroup!$N:$N,MATCH(표8[[#This Row],[열1]],[1]AdventureDiscoveryGroup!$B:$B,0))</f>
        <v>0</v>
      </c>
      <c r="N72" s="39" t="str">
        <f>IFERROR(INT(1000/POWER(1.5,VLOOKUP(M72,[1]Discovery!$B:$H,7,FALSE)^1.6)),"-")</f>
        <v>-</v>
      </c>
      <c r="O72" s="72" t="str">
        <f>IFERROR(표8[[#This Row],[배당'[2']]]/$AB72,"-")</f>
        <v>-</v>
      </c>
      <c r="P72" s="39" t="b">
        <f>INDEX([1]AdventureDiscoveryGroup!$S:$S,MATCH(표8[[#This Row],[열1]],[1]AdventureDiscoveryGroup!$B:$B,0))</f>
        <v>0</v>
      </c>
      <c r="Q72" s="39" t="str">
        <f>IFERROR(INT(1000/POWER(1.5,VLOOKUP(P72,[1]Discovery!$B:$H,7,FALSE)^1.6)),"-")</f>
        <v>-</v>
      </c>
      <c r="R72" s="72" t="str">
        <f>IFERROR(표8[[#This Row],[배당'[3']]]/$AB72,"-")</f>
        <v>-</v>
      </c>
      <c r="S72" s="40" t="b">
        <f>INDEX([1]AdventureDiscoveryGroup!$X:$X,MATCH(표8[[#This Row],[열1]],[1]AdventureDiscoveryGroup!$B:$B,0))</f>
        <v>0</v>
      </c>
      <c r="T72" s="40" t="str">
        <f>IFERROR(INT(1000/POWER(1.5,VLOOKUP(S72,[1]Discovery!$B:$H,7,FALSE)^1.6)),"-")</f>
        <v>-</v>
      </c>
      <c r="U72" s="72" t="str">
        <f>IFERROR(표8[[#This Row],[배당'[4']]]/$AB72,"-")</f>
        <v>-</v>
      </c>
      <c r="V72" s="40" t="b">
        <f>INDEX([1]AdventureDiscoveryGroup!$AC:$AC,MATCH(표8[[#This Row],[열1]],[1]AdventureDiscoveryGroup!$B:$B,0))</f>
        <v>0</v>
      </c>
      <c r="W72" s="40" t="str">
        <f>IFERROR(INT(1000/POWER(1.5,VLOOKUP(V72,[1]Discovery!$B:$H,7,FALSE)^1.6)),"-")</f>
        <v>-</v>
      </c>
      <c r="X72" s="72" t="str">
        <f>IFERROR(표8[[#This Row],[배당'[5']]]/$AB72,"-")</f>
        <v>-</v>
      </c>
      <c r="Y72" s="40" t="str">
        <f>INDEX([1]AdventureDiscoveryGroup!$AH:$AH,MATCH(표8[[#This Row],[열1]],[1]AdventureDiscoveryGroup!$B:$B,0))</f>
        <v>-</v>
      </c>
      <c r="Z72" s="40" t="str">
        <f>IFERROR(INT(1000/POWER(1.5,VLOOKUP(Y72,[1]Discovery!$B:$H,7,FALSE)^1.6)),"-")</f>
        <v>-</v>
      </c>
      <c r="AA72" s="72" t="str">
        <f>IFERROR(표8[[#This Row],[배당'[6']]]/$AB72,"-")</f>
        <v>-</v>
      </c>
      <c r="AB72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73" spans="2:28" x14ac:dyDescent="0.3">
      <c r="B73" s="39" t="str">
        <f>[1]LandExplore!E79</f>
        <v>수바 부근</v>
      </c>
      <c r="C73" s="39" t="str">
        <f>INDEX([1]LandExplore!$B:$B,MATCH(표8[[#This Row],[육지]],[1]LandExplore!$E:$E,0))</f>
        <v>##폴리네시아</v>
      </c>
      <c r="D73" s="39" t="str">
        <f>IFERROR(VLOOKUP(표8[[#This Row],[육지]],[3]!표1_6[[이름]:[선단 LV]],6,FALSE),"-")</f>
        <v>-</v>
      </c>
      <c r="E73" s="39" t="str">
        <f>IFERROR(VLOOKUP(표8[[#This Row],[육지]],[3]!표1_6[[이름]:[위도]],3,FALSE),"-")</f>
        <v>-</v>
      </c>
      <c r="F73" s="39" t="str">
        <f>IFERROR(VLOOKUP(표8[[#This Row],[육지]],[3]!표1_6[[이름]:[위도]],2,FALSE),"-")</f>
        <v>-</v>
      </c>
      <c r="G73" s="39" t="str">
        <f>INDEX([1]AdventureDiscoveryGroup!$D:$D,MATCH(표8[[#This Row],[열1]],[1]AdventureDiscoveryGroup!$B:$B,0))</f>
        <v>수바 부근</v>
      </c>
      <c r="H73" s="39" t="str">
        <f>IFERROR(INT(1000/POWER(1.5,VLOOKUP(G73,[1]Discovery!$B:$H,7,FALSE)^1.6)),"-")</f>
        <v>-</v>
      </c>
      <c r="I73" s="72" t="str">
        <f>IFERROR(표8[[#This Row],[배당'[0']]]/$AB73,"-")</f>
        <v>-</v>
      </c>
      <c r="J73" s="39" t="b">
        <f>INDEX([1]AdventureDiscoveryGroup!$I:$I,MATCH(표8[[#This Row],[열1]],[1]AdventureDiscoveryGroup!$B:$B,0))</f>
        <v>0</v>
      </c>
      <c r="K73" s="39" t="str">
        <f>IFERROR(INT(1000/POWER(1.5,VLOOKUP(J73,[1]Discovery!$B:$H,7,FALSE)^1.6)),"-")</f>
        <v>-</v>
      </c>
      <c r="L73" s="72" t="str">
        <f>IFERROR(표8[[#This Row],[배당'[1']]]/$AB73,"-")</f>
        <v>-</v>
      </c>
      <c r="M73" s="39" t="b">
        <f>INDEX([1]AdventureDiscoveryGroup!$N:$N,MATCH(표8[[#This Row],[열1]],[1]AdventureDiscoveryGroup!$B:$B,0))</f>
        <v>0</v>
      </c>
      <c r="N73" s="39" t="str">
        <f>IFERROR(INT(1000/POWER(1.5,VLOOKUP(M73,[1]Discovery!$B:$H,7,FALSE)^1.6)),"-")</f>
        <v>-</v>
      </c>
      <c r="O73" s="72" t="str">
        <f>IFERROR(표8[[#This Row],[배당'[2']]]/$AB73,"-")</f>
        <v>-</v>
      </c>
      <c r="P73" s="39" t="b">
        <f>INDEX([1]AdventureDiscoveryGroup!$S:$S,MATCH(표8[[#This Row],[열1]],[1]AdventureDiscoveryGroup!$B:$B,0))</f>
        <v>0</v>
      </c>
      <c r="Q73" s="39" t="str">
        <f>IFERROR(INT(1000/POWER(1.5,VLOOKUP(P73,[1]Discovery!$B:$H,7,FALSE)^1.6)),"-")</f>
        <v>-</v>
      </c>
      <c r="R73" s="72" t="str">
        <f>IFERROR(표8[[#This Row],[배당'[3']]]/$AB73,"-")</f>
        <v>-</v>
      </c>
      <c r="S73" s="40" t="b">
        <f>INDEX([1]AdventureDiscoveryGroup!$X:$X,MATCH(표8[[#This Row],[열1]],[1]AdventureDiscoveryGroup!$B:$B,0))</f>
        <v>0</v>
      </c>
      <c r="T73" s="40" t="str">
        <f>IFERROR(INT(1000/POWER(1.5,VLOOKUP(S73,[1]Discovery!$B:$H,7,FALSE)^1.6)),"-")</f>
        <v>-</v>
      </c>
      <c r="U73" s="72" t="str">
        <f>IFERROR(표8[[#This Row],[배당'[4']]]/$AB73,"-")</f>
        <v>-</v>
      </c>
      <c r="V73" s="40" t="str">
        <f>INDEX([1]AdventureDiscoveryGroup!$AC:$AC,MATCH(표8[[#This Row],[열1]],[1]AdventureDiscoveryGroup!$B:$B,0))</f>
        <v>-</v>
      </c>
      <c r="W73" s="40" t="str">
        <f>IFERROR(INT(1000/POWER(1.5,VLOOKUP(V73,[1]Discovery!$B:$H,7,FALSE)^1.6)),"-")</f>
        <v>-</v>
      </c>
      <c r="X73" s="72" t="str">
        <f>IFERROR(표8[[#This Row],[배당'[5']]]/$AB73,"-")</f>
        <v>-</v>
      </c>
      <c r="Y73" s="40" t="str">
        <f>INDEX([1]AdventureDiscoveryGroup!$AH:$AH,MATCH(표8[[#This Row],[열1]],[1]AdventureDiscoveryGroup!$B:$B,0))</f>
        <v>-</v>
      </c>
      <c r="Z73" s="40" t="str">
        <f>IFERROR(INT(1000/POWER(1.5,VLOOKUP(Y73,[1]Discovery!$B:$H,7,FALSE)^1.6)),"-")</f>
        <v>-</v>
      </c>
      <c r="AA73" s="72" t="str">
        <f>IFERROR(표8[[#This Row],[배당'[6']]]/$AB73,"-")</f>
        <v>-</v>
      </c>
      <c r="AB73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74" spans="2:28" x14ac:dyDescent="0.3">
      <c r="B74" s="39" t="str">
        <f>[1]LandExplore!E80</f>
        <v>왕거누이 부근</v>
      </c>
      <c r="C74" s="39" t="str">
        <f>INDEX([1]LandExplore!$B:$B,MATCH(표8[[#This Row],[육지]],[1]LandExplore!$E:$E,0))</f>
        <v>##뉴질랜드</v>
      </c>
      <c r="D74" s="39" t="str">
        <f>IFERROR(VLOOKUP(표8[[#This Row],[육지]],[3]!표1_6[[이름]:[선단 LV]],6,FALSE),"-")</f>
        <v>-</v>
      </c>
      <c r="E74" s="39" t="str">
        <f>IFERROR(VLOOKUP(표8[[#This Row],[육지]],[3]!표1_6[[이름]:[위도]],3,FALSE),"-")</f>
        <v>-</v>
      </c>
      <c r="F74" s="39" t="str">
        <f>IFERROR(VLOOKUP(표8[[#This Row],[육지]],[3]!표1_6[[이름]:[위도]],2,FALSE),"-")</f>
        <v>-</v>
      </c>
      <c r="G74" s="39" t="str">
        <f>INDEX([1]AdventureDiscoveryGroup!$D:$D,MATCH(표8[[#This Row],[열1]],[1]AdventureDiscoveryGroup!$B:$B,0))</f>
        <v>왕거누이 부근</v>
      </c>
      <c r="H74" s="39" t="str">
        <f>IFERROR(INT(1000/POWER(1.5,VLOOKUP(G74,[1]Discovery!$B:$H,7,FALSE)^1.6)),"-")</f>
        <v>-</v>
      </c>
      <c r="I74" s="72" t="str">
        <f>IFERROR(표8[[#This Row],[배당'[0']]]/$AB74,"-")</f>
        <v>-</v>
      </c>
      <c r="J74" s="39" t="b">
        <f>INDEX([1]AdventureDiscoveryGroup!$I:$I,MATCH(표8[[#This Row],[열1]],[1]AdventureDiscoveryGroup!$B:$B,0))</f>
        <v>0</v>
      </c>
      <c r="K74" s="39" t="str">
        <f>IFERROR(INT(1000/POWER(1.5,VLOOKUP(J74,[1]Discovery!$B:$H,7,FALSE)^1.6)),"-")</f>
        <v>-</v>
      </c>
      <c r="L74" s="72" t="str">
        <f>IFERROR(표8[[#This Row],[배당'[1']]]/$AB74,"-")</f>
        <v>-</v>
      </c>
      <c r="M74" s="39" t="b">
        <f>INDEX([1]AdventureDiscoveryGroup!$N:$N,MATCH(표8[[#This Row],[열1]],[1]AdventureDiscoveryGroup!$B:$B,0))</f>
        <v>0</v>
      </c>
      <c r="N74" s="39" t="str">
        <f>IFERROR(INT(1000/POWER(1.5,VLOOKUP(M74,[1]Discovery!$B:$H,7,FALSE)^1.6)),"-")</f>
        <v>-</v>
      </c>
      <c r="O74" s="72" t="str">
        <f>IFERROR(표8[[#This Row],[배당'[2']]]/$AB74,"-")</f>
        <v>-</v>
      </c>
      <c r="P74" s="39" t="b">
        <f>INDEX([1]AdventureDiscoveryGroup!$S:$S,MATCH(표8[[#This Row],[열1]],[1]AdventureDiscoveryGroup!$B:$B,0))</f>
        <v>0</v>
      </c>
      <c r="Q74" s="39" t="str">
        <f>IFERROR(INT(1000/POWER(1.5,VLOOKUP(P74,[1]Discovery!$B:$H,7,FALSE)^1.6)),"-")</f>
        <v>-</v>
      </c>
      <c r="R74" s="72" t="str">
        <f>IFERROR(표8[[#This Row],[배당'[3']]]/$AB74,"-")</f>
        <v>-</v>
      </c>
      <c r="S74" s="40" t="b">
        <f>INDEX([1]AdventureDiscoveryGroup!$X:$X,MATCH(표8[[#This Row],[열1]],[1]AdventureDiscoveryGroup!$B:$B,0))</f>
        <v>0</v>
      </c>
      <c r="T74" s="40" t="str">
        <f>IFERROR(INT(1000/POWER(1.5,VLOOKUP(S74,[1]Discovery!$B:$H,7,FALSE)^1.6)),"-")</f>
        <v>-</v>
      </c>
      <c r="U74" s="72" t="str">
        <f>IFERROR(표8[[#This Row],[배당'[4']]]/$AB74,"-")</f>
        <v>-</v>
      </c>
      <c r="V74" s="40" t="b">
        <f>INDEX([1]AdventureDiscoveryGroup!$AC:$AC,MATCH(표8[[#This Row],[열1]],[1]AdventureDiscoveryGroup!$B:$B,0))</f>
        <v>0</v>
      </c>
      <c r="W74" s="40" t="str">
        <f>IFERROR(INT(1000/POWER(1.5,VLOOKUP(V74,[1]Discovery!$B:$H,7,FALSE)^1.6)),"-")</f>
        <v>-</v>
      </c>
      <c r="X74" s="72" t="str">
        <f>IFERROR(표8[[#This Row],[배당'[5']]]/$AB74,"-")</f>
        <v>-</v>
      </c>
      <c r="Y74" s="40" t="str">
        <f>INDEX([1]AdventureDiscoveryGroup!$AH:$AH,MATCH(표8[[#This Row],[열1]],[1]AdventureDiscoveryGroup!$B:$B,0))</f>
        <v>-</v>
      </c>
      <c r="Z74" s="40" t="str">
        <f>IFERROR(INT(1000/POWER(1.5,VLOOKUP(Y74,[1]Discovery!$B:$H,7,FALSE)^1.6)),"-")</f>
        <v>-</v>
      </c>
      <c r="AA74" s="72" t="str">
        <f>IFERROR(표8[[#This Row],[배당'[6']]]/$AB74,"-")</f>
        <v>-</v>
      </c>
      <c r="AB74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75" spans="2:28" x14ac:dyDescent="0.3">
      <c r="B75" s="39" t="str">
        <f>[1]LandExplore!E81</f>
        <v>호놀룰루 부근</v>
      </c>
      <c r="C75" s="39" t="str">
        <f>INDEX([1]LandExplore!$B:$B,MATCH(표8[[#This Row],[육지]],[1]LandExplore!$E:$E,0))</f>
        <v>##태평양(하와이)</v>
      </c>
      <c r="D75" s="39" t="str">
        <f>IFERROR(VLOOKUP(표8[[#This Row],[육지]],[3]!표1_6[[이름]:[선단 LV]],6,FALSE),"-")</f>
        <v>-</v>
      </c>
      <c r="E75" s="39" t="str">
        <f>IFERROR(VLOOKUP(표8[[#This Row],[육지]],[3]!표1_6[[이름]:[위도]],3,FALSE),"-")</f>
        <v>-</v>
      </c>
      <c r="F75" s="39" t="str">
        <f>IFERROR(VLOOKUP(표8[[#This Row],[육지]],[3]!표1_6[[이름]:[위도]],2,FALSE),"-")</f>
        <v>-</v>
      </c>
      <c r="G75" s="39" t="str">
        <f>INDEX([1]AdventureDiscoveryGroup!$D:$D,MATCH(표8[[#This Row],[열1]],[1]AdventureDiscoveryGroup!$B:$B,0))</f>
        <v>호놀룰루 부근</v>
      </c>
      <c r="H75" s="39" t="str">
        <f>IFERROR(INT(1000/POWER(1.5,VLOOKUP(G75,[1]Discovery!$B:$H,7,FALSE)^1.6)),"-")</f>
        <v>-</v>
      </c>
      <c r="I75" s="72" t="str">
        <f>IFERROR(표8[[#This Row],[배당'[0']]]/$AB75,"-")</f>
        <v>-</v>
      </c>
      <c r="J75" s="39" t="b">
        <f>INDEX([1]AdventureDiscoveryGroup!$I:$I,MATCH(표8[[#This Row],[열1]],[1]AdventureDiscoveryGroup!$B:$B,0))</f>
        <v>0</v>
      </c>
      <c r="K75" s="39" t="str">
        <f>IFERROR(INT(1000/POWER(1.5,VLOOKUP(J75,[1]Discovery!$B:$H,7,FALSE)^1.6)),"-")</f>
        <v>-</v>
      </c>
      <c r="L75" s="72" t="str">
        <f>IFERROR(표8[[#This Row],[배당'[1']]]/$AB75,"-")</f>
        <v>-</v>
      </c>
      <c r="M75" s="39" t="b">
        <f>INDEX([1]AdventureDiscoveryGroup!$N:$N,MATCH(표8[[#This Row],[열1]],[1]AdventureDiscoveryGroup!$B:$B,0))</f>
        <v>0</v>
      </c>
      <c r="N75" s="39" t="str">
        <f>IFERROR(INT(1000/POWER(1.5,VLOOKUP(M75,[1]Discovery!$B:$H,7,FALSE)^1.6)),"-")</f>
        <v>-</v>
      </c>
      <c r="O75" s="72" t="str">
        <f>IFERROR(표8[[#This Row],[배당'[2']]]/$AB75,"-")</f>
        <v>-</v>
      </c>
      <c r="P75" s="39" t="b">
        <f>INDEX([1]AdventureDiscoveryGroup!$S:$S,MATCH(표8[[#This Row],[열1]],[1]AdventureDiscoveryGroup!$B:$B,0))</f>
        <v>0</v>
      </c>
      <c r="Q75" s="39" t="str">
        <f>IFERROR(INT(1000/POWER(1.5,VLOOKUP(P75,[1]Discovery!$B:$H,7,FALSE)^1.6)),"-")</f>
        <v>-</v>
      </c>
      <c r="R75" s="72" t="str">
        <f>IFERROR(표8[[#This Row],[배당'[3']]]/$AB75,"-")</f>
        <v>-</v>
      </c>
      <c r="S75" s="40" t="b">
        <f>INDEX([1]AdventureDiscoveryGroup!$X:$X,MATCH(표8[[#This Row],[열1]],[1]AdventureDiscoveryGroup!$B:$B,0))</f>
        <v>0</v>
      </c>
      <c r="T75" s="40" t="str">
        <f>IFERROR(INT(1000/POWER(1.5,VLOOKUP(S75,[1]Discovery!$B:$H,7,FALSE)^1.6)),"-")</f>
        <v>-</v>
      </c>
      <c r="U75" s="72" t="str">
        <f>IFERROR(표8[[#This Row],[배당'[4']]]/$AB75,"-")</f>
        <v>-</v>
      </c>
      <c r="V75" s="40" t="b">
        <f>INDEX([1]AdventureDiscoveryGroup!$AC:$AC,MATCH(표8[[#This Row],[열1]],[1]AdventureDiscoveryGroup!$B:$B,0))</f>
        <v>0</v>
      </c>
      <c r="W75" s="40" t="str">
        <f>IFERROR(INT(1000/POWER(1.5,VLOOKUP(V75,[1]Discovery!$B:$H,7,FALSE)^1.6)),"-")</f>
        <v>-</v>
      </c>
      <c r="X75" s="72" t="str">
        <f>IFERROR(표8[[#This Row],[배당'[5']]]/$AB75,"-")</f>
        <v>-</v>
      </c>
      <c r="Y75" s="40" t="b">
        <f>INDEX([1]AdventureDiscoveryGroup!$AH:$AH,MATCH(표8[[#This Row],[열1]],[1]AdventureDiscoveryGroup!$B:$B,0))</f>
        <v>0</v>
      </c>
      <c r="Z75" s="40" t="str">
        <f>IFERROR(INT(1000/POWER(1.5,VLOOKUP(Y75,[1]Discovery!$B:$H,7,FALSE)^1.6)),"-")</f>
        <v>-</v>
      </c>
      <c r="AA75" s="72" t="str">
        <f>IFERROR(표8[[#This Row],[배당'[6']]]/$AB75,"-")</f>
        <v>-</v>
      </c>
      <c r="AB75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76" spans="2:28" x14ac:dyDescent="0.3">
      <c r="B76" s="39" t="str">
        <f>[1]LandExplore!E82</f>
        <v>배로우 부근</v>
      </c>
      <c r="C76" s="39" t="str">
        <f>INDEX([1]LandExplore!$B:$B,MATCH(표8[[#This Row],[육지]],[1]LandExplore!$E:$E,0))</f>
        <v>##극지방(북극)</v>
      </c>
      <c r="D76" s="39" t="str">
        <f>IFERROR(VLOOKUP(표8[[#This Row],[육지]],[3]!표1_6[[이름]:[선단 LV]],6,FALSE),"-")</f>
        <v>-</v>
      </c>
      <c r="E76" s="39" t="str">
        <f>IFERROR(VLOOKUP(표8[[#This Row],[육지]],[3]!표1_6[[이름]:[위도]],3,FALSE),"-")</f>
        <v>-</v>
      </c>
      <c r="F76" s="39" t="str">
        <f>IFERROR(VLOOKUP(표8[[#This Row],[육지]],[3]!표1_6[[이름]:[위도]],2,FALSE),"-")</f>
        <v>-</v>
      </c>
      <c r="G76" s="39" t="str">
        <f>INDEX([1]AdventureDiscoveryGroup!$D:$D,MATCH(표8[[#This Row],[열1]],[1]AdventureDiscoveryGroup!$B:$B,0))</f>
        <v>배로우 부근</v>
      </c>
      <c r="H76" s="39" t="str">
        <f>IFERROR(INT(1000/POWER(1.5,VLOOKUP(G76,[1]Discovery!$B:$H,7,FALSE)^1.6)),"-")</f>
        <v>-</v>
      </c>
      <c r="I76" s="72" t="str">
        <f>IFERROR(표8[[#This Row],[배당'[0']]]/$AB76,"-")</f>
        <v>-</v>
      </c>
      <c r="J76" s="39" t="b">
        <f>INDEX([1]AdventureDiscoveryGroup!$I:$I,MATCH(표8[[#This Row],[열1]],[1]AdventureDiscoveryGroup!$B:$B,0))</f>
        <v>0</v>
      </c>
      <c r="K76" s="39" t="str">
        <f>IFERROR(INT(1000/POWER(1.5,VLOOKUP(J76,[1]Discovery!$B:$H,7,FALSE)^1.6)),"-")</f>
        <v>-</v>
      </c>
      <c r="L76" s="72" t="str">
        <f>IFERROR(표8[[#This Row],[배당'[1']]]/$AB76,"-")</f>
        <v>-</v>
      </c>
      <c r="M76" s="39" t="b">
        <f>INDEX([1]AdventureDiscoveryGroup!$N:$N,MATCH(표8[[#This Row],[열1]],[1]AdventureDiscoveryGroup!$B:$B,0))</f>
        <v>0</v>
      </c>
      <c r="N76" s="39" t="str">
        <f>IFERROR(INT(1000/POWER(1.5,VLOOKUP(M76,[1]Discovery!$B:$H,7,FALSE)^1.6)),"-")</f>
        <v>-</v>
      </c>
      <c r="O76" s="72" t="str">
        <f>IFERROR(표8[[#This Row],[배당'[2']]]/$AB76,"-")</f>
        <v>-</v>
      </c>
      <c r="P76" s="39" t="str">
        <f>INDEX([1]AdventureDiscoveryGroup!$S:$S,MATCH(표8[[#This Row],[열1]],[1]AdventureDiscoveryGroup!$B:$B,0))</f>
        <v>-</v>
      </c>
      <c r="Q76" s="39" t="str">
        <f>IFERROR(INT(1000/POWER(1.5,VLOOKUP(P76,[1]Discovery!$B:$H,7,FALSE)^1.6)),"-")</f>
        <v>-</v>
      </c>
      <c r="R76" s="72" t="str">
        <f>IFERROR(표8[[#This Row],[배당'[3']]]/$AB76,"-")</f>
        <v>-</v>
      </c>
      <c r="S76" s="40" t="str">
        <f>INDEX([1]AdventureDiscoveryGroup!$X:$X,MATCH(표8[[#This Row],[열1]],[1]AdventureDiscoveryGroup!$B:$B,0))</f>
        <v>-</v>
      </c>
      <c r="T76" s="40" t="str">
        <f>IFERROR(INT(1000/POWER(1.5,VLOOKUP(S76,[1]Discovery!$B:$H,7,FALSE)^1.6)),"-")</f>
        <v>-</v>
      </c>
      <c r="U76" s="72" t="str">
        <f>IFERROR(표8[[#This Row],[배당'[4']]]/$AB76,"-")</f>
        <v>-</v>
      </c>
      <c r="V76" s="40" t="str">
        <f>INDEX([1]AdventureDiscoveryGroup!$AC:$AC,MATCH(표8[[#This Row],[열1]],[1]AdventureDiscoveryGroup!$B:$B,0))</f>
        <v>-</v>
      </c>
      <c r="W76" s="40" t="str">
        <f>IFERROR(INT(1000/POWER(1.5,VLOOKUP(V76,[1]Discovery!$B:$H,7,FALSE)^1.6)),"-")</f>
        <v>-</v>
      </c>
      <c r="X76" s="72" t="str">
        <f>IFERROR(표8[[#This Row],[배당'[5']]]/$AB76,"-")</f>
        <v>-</v>
      </c>
      <c r="Y76" s="40" t="str">
        <f>INDEX([1]AdventureDiscoveryGroup!$AH:$AH,MATCH(표8[[#This Row],[열1]],[1]AdventureDiscoveryGroup!$B:$B,0))</f>
        <v>-</v>
      </c>
      <c r="Z76" s="40" t="str">
        <f>IFERROR(INT(1000/POWER(1.5,VLOOKUP(Y76,[1]Discovery!$B:$H,7,FALSE)^1.6)),"-")</f>
        <v>-</v>
      </c>
      <c r="AA76" s="72" t="str">
        <f>IFERROR(표8[[#This Row],[배당'[6']]]/$AB76,"-")</f>
        <v>-</v>
      </c>
      <c r="AB76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77" spans="2:28" x14ac:dyDescent="0.3">
      <c r="B77" s="39" t="str">
        <f>[1]LandExplore!E83</f>
        <v>이콸룩투티악 부근</v>
      </c>
      <c r="C77" s="39" t="str">
        <f>INDEX([1]LandExplore!$B:$B,MATCH(표8[[#This Row],[육지]],[1]LandExplore!$E:$E,0))</f>
        <v>##북아메리카(북극)</v>
      </c>
      <c r="D77" s="39" t="str">
        <f>IFERROR(VLOOKUP(표8[[#This Row],[육지]],[3]!표1_6[[이름]:[선단 LV]],6,FALSE),"-")</f>
        <v>-</v>
      </c>
      <c r="E77" s="39" t="str">
        <f>IFERROR(VLOOKUP(표8[[#This Row],[육지]],[3]!표1_6[[이름]:[위도]],3,FALSE),"-")</f>
        <v>-</v>
      </c>
      <c r="F77" s="39" t="str">
        <f>IFERROR(VLOOKUP(표8[[#This Row],[육지]],[3]!표1_6[[이름]:[위도]],2,FALSE),"-")</f>
        <v>-</v>
      </c>
      <c r="G77" s="39" t="str">
        <f>INDEX([1]AdventureDiscoveryGroup!$D:$D,MATCH(표8[[#This Row],[열1]],[1]AdventureDiscoveryGroup!$B:$B,0))</f>
        <v>이콸룩투티악 부근</v>
      </c>
      <c r="H77" s="39" t="str">
        <f>IFERROR(INT(1000/POWER(1.5,VLOOKUP(G77,[1]Discovery!$B:$H,7,FALSE)^1.6)),"-")</f>
        <v>-</v>
      </c>
      <c r="I77" s="72" t="str">
        <f>IFERROR(표8[[#This Row],[배당'[0']]]/$AB77,"-")</f>
        <v>-</v>
      </c>
      <c r="J77" s="39" t="b">
        <f>INDEX([1]AdventureDiscoveryGroup!$I:$I,MATCH(표8[[#This Row],[열1]],[1]AdventureDiscoveryGroup!$B:$B,0))</f>
        <v>0</v>
      </c>
      <c r="K77" s="39" t="str">
        <f>IFERROR(INT(1000/POWER(1.5,VLOOKUP(J77,[1]Discovery!$B:$H,7,FALSE)^1.6)),"-")</f>
        <v>-</v>
      </c>
      <c r="L77" s="72" t="str">
        <f>IFERROR(표8[[#This Row],[배당'[1']]]/$AB77,"-")</f>
        <v>-</v>
      </c>
      <c r="M77" s="39" t="b">
        <f>INDEX([1]AdventureDiscoveryGroup!$N:$N,MATCH(표8[[#This Row],[열1]],[1]AdventureDiscoveryGroup!$B:$B,0))</f>
        <v>0</v>
      </c>
      <c r="N77" s="39" t="str">
        <f>IFERROR(INT(1000/POWER(1.5,VLOOKUP(M77,[1]Discovery!$B:$H,7,FALSE)^1.6)),"-")</f>
        <v>-</v>
      </c>
      <c r="O77" s="72" t="str">
        <f>IFERROR(표8[[#This Row],[배당'[2']]]/$AB77,"-")</f>
        <v>-</v>
      </c>
      <c r="P77" s="39" t="b">
        <f>INDEX([1]AdventureDiscoveryGroup!$S:$S,MATCH(표8[[#This Row],[열1]],[1]AdventureDiscoveryGroup!$B:$B,0))</f>
        <v>0</v>
      </c>
      <c r="Q77" s="39" t="str">
        <f>IFERROR(INT(1000/POWER(1.5,VLOOKUP(P77,[1]Discovery!$B:$H,7,FALSE)^1.6)),"-")</f>
        <v>-</v>
      </c>
      <c r="R77" s="72" t="str">
        <f>IFERROR(표8[[#This Row],[배당'[3']]]/$AB77,"-")</f>
        <v>-</v>
      </c>
      <c r="S77" s="40" t="str">
        <f>INDEX([1]AdventureDiscoveryGroup!$X:$X,MATCH(표8[[#This Row],[열1]],[1]AdventureDiscoveryGroup!$B:$B,0))</f>
        <v>-</v>
      </c>
      <c r="T77" s="40" t="str">
        <f>IFERROR(INT(1000/POWER(1.5,VLOOKUP(S77,[1]Discovery!$B:$H,7,FALSE)^1.6)),"-")</f>
        <v>-</v>
      </c>
      <c r="U77" s="72" t="str">
        <f>IFERROR(표8[[#This Row],[배당'[4']]]/$AB77,"-")</f>
        <v>-</v>
      </c>
      <c r="V77" s="40" t="str">
        <f>INDEX([1]AdventureDiscoveryGroup!$AC:$AC,MATCH(표8[[#This Row],[열1]],[1]AdventureDiscoveryGroup!$B:$B,0))</f>
        <v>-</v>
      </c>
      <c r="W77" s="40" t="str">
        <f>IFERROR(INT(1000/POWER(1.5,VLOOKUP(V77,[1]Discovery!$B:$H,7,FALSE)^1.6)),"-")</f>
        <v>-</v>
      </c>
      <c r="X77" s="72" t="str">
        <f>IFERROR(표8[[#This Row],[배당'[5']]]/$AB77,"-")</f>
        <v>-</v>
      </c>
      <c r="Y77" s="40" t="str">
        <f>INDEX([1]AdventureDiscoveryGroup!$AH:$AH,MATCH(표8[[#This Row],[열1]],[1]AdventureDiscoveryGroup!$B:$B,0))</f>
        <v>-</v>
      </c>
      <c r="Z77" s="40" t="str">
        <f>IFERROR(INT(1000/POWER(1.5,VLOOKUP(Y77,[1]Discovery!$B:$H,7,FALSE)^1.6)),"-")</f>
        <v>-</v>
      </c>
      <c r="AA77" s="72" t="str">
        <f>IFERROR(표8[[#This Row],[배당'[6']]]/$AB77,"-")</f>
        <v>-</v>
      </c>
      <c r="AB77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78" spans="2:28" x14ac:dyDescent="0.3">
      <c r="B78" s="39" t="str">
        <f>[1]LandExplore!E84</f>
        <v>그린란드 북부</v>
      </c>
      <c r="C78" s="39" t="str">
        <f>INDEX([1]LandExplore!$B:$B,MATCH(표8[[#This Row],[육지]],[1]LandExplore!$E:$E,0))</f>
        <v>##극지방(그린란드)</v>
      </c>
      <c r="D78" s="39" t="str">
        <f>IFERROR(VLOOKUP(표8[[#This Row],[육지]],[3]!표1_6[[이름]:[선단 LV]],6,FALSE),"-")</f>
        <v>-</v>
      </c>
      <c r="E78" s="39" t="str">
        <f>IFERROR(VLOOKUP(표8[[#This Row],[육지]],[3]!표1_6[[이름]:[위도]],3,FALSE),"-")</f>
        <v>-</v>
      </c>
      <c r="F78" s="39" t="str">
        <f>IFERROR(VLOOKUP(표8[[#This Row],[육지]],[3]!표1_6[[이름]:[위도]],2,FALSE),"-")</f>
        <v>-</v>
      </c>
      <c r="G78" s="39" t="str">
        <f>INDEX([1]AdventureDiscoveryGroup!$D:$D,MATCH(표8[[#This Row],[열1]],[1]AdventureDiscoveryGroup!$B:$B,0))</f>
        <v>카나크 부근</v>
      </c>
      <c r="H78" s="39" t="str">
        <f>IFERROR(INT(1000/POWER(1.5,VLOOKUP(G78,[1]Discovery!$B:$H,7,FALSE)^1.6)),"-")</f>
        <v>-</v>
      </c>
      <c r="I78" s="72" t="str">
        <f>IFERROR(표8[[#This Row],[배당'[0']]]/$AB78,"-")</f>
        <v>-</v>
      </c>
      <c r="J78" s="39" t="b">
        <f>INDEX([1]AdventureDiscoveryGroup!$I:$I,MATCH(표8[[#This Row],[열1]],[1]AdventureDiscoveryGroup!$B:$B,0))</f>
        <v>0</v>
      </c>
      <c r="K78" s="39" t="str">
        <f>IFERROR(INT(1000/POWER(1.5,VLOOKUP(J78,[1]Discovery!$B:$H,7,FALSE)^1.6)),"-")</f>
        <v>-</v>
      </c>
      <c r="L78" s="72" t="str">
        <f>IFERROR(표8[[#This Row],[배당'[1']]]/$AB78,"-")</f>
        <v>-</v>
      </c>
      <c r="M78" s="39" t="str">
        <f>INDEX([1]AdventureDiscoveryGroup!$N:$N,MATCH(표8[[#This Row],[열1]],[1]AdventureDiscoveryGroup!$B:$B,0))</f>
        <v>-</v>
      </c>
      <c r="N78" s="39" t="str">
        <f>IFERROR(INT(1000/POWER(1.5,VLOOKUP(M78,[1]Discovery!$B:$H,7,FALSE)^1.6)),"-")</f>
        <v>-</v>
      </c>
      <c r="O78" s="72" t="str">
        <f>IFERROR(표8[[#This Row],[배당'[2']]]/$AB78,"-")</f>
        <v>-</v>
      </c>
      <c r="P78" s="39" t="str">
        <f>INDEX([1]AdventureDiscoveryGroup!$S:$S,MATCH(표8[[#This Row],[열1]],[1]AdventureDiscoveryGroup!$B:$B,0))</f>
        <v>-</v>
      </c>
      <c r="Q78" s="39" t="str">
        <f>IFERROR(INT(1000/POWER(1.5,VLOOKUP(P78,[1]Discovery!$B:$H,7,FALSE)^1.6)),"-")</f>
        <v>-</v>
      </c>
      <c r="R78" s="72" t="str">
        <f>IFERROR(표8[[#This Row],[배당'[3']]]/$AB78,"-")</f>
        <v>-</v>
      </c>
      <c r="S78" s="40" t="str">
        <f>INDEX([1]AdventureDiscoveryGroup!$X:$X,MATCH(표8[[#This Row],[열1]],[1]AdventureDiscoveryGroup!$B:$B,0))</f>
        <v>-</v>
      </c>
      <c r="T78" s="40" t="str">
        <f>IFERROR(INT(1000/POWER(1.5,VLOOKUP(S78,[1]Discovery!$B:$H,7,FALSE)^1.6)),"-")</f>
        <v>-</v>
      </c>
      <c r="U78" s="72" t="str">
        <f>IFERROR(표8[[#This Row],[배당'[4']]]/$AB78,"-")</f>
        <v>-</v>
      </c>
      <c r="V78" s="40" t="str">
        <f>INDEX([1]AdventureDiscoveryGroup!$AC:$AC,MATCH(표8[[#This Row],[열1]],[1]AdventureDiscoveryGroup!$B:$B,0))</f>
        <v>-</v>
      </c>
      <c r="W78" s="40" t="str">
        <f>IFERROR(INT(1000/POWER(1.5,VLOOKUP(V78,[1]Discovery!$B:$H,7,FALSE)^1.6)),"-")</f>
        <v>-</v>
      </c>
      <c r="X78" s="72" t="str">
        <f>IFERROR(표8[[#This Row],[배당'[5']]]/$AB78,"-")</f>
        <v>-</v>
      </c>
      <c r="Y78" s="40" t="str">
        <f>INDEX([1]AdventureDiscoveryGroup!$AH:$AH,MATCH(표8[[#This Row],[열1]],[1]AdventureDiscoveryGroup!$B:$B,0))</f>
        <v>-</v>
      </c>
      <c r="Z78" s="40" t="str">
        <f>IFERROR(INT(1000/POWER(1.5,VLOOKUP(Y78,[1]Discovery!$B:$H,7,FALSE)^1.6)),"-")</f>
        <v>-</v>
      </c>
      <c r="AA78" s="72" t="str">
        <f>IFERROR(표8[[#This Row],[배당'[6']]]/$AB78,"-")</f>
        <v>-</v>
      </c>
      <c r="AB78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79" spans="2:28" x14ac:dyDescent="0.3">
      <c r="B79" s="39" t="str">
        <f>[1]LandExplore!E85</f>
        <v>아비앗 부근</v>
      </c>
      <c r="C79" s="39" t="str">
        <f>INDEX([1]LandExplore!$B:$B,MATCH(표8[[#This Row],[육지]],[1]LandExplore!$E:$E,0))</f>
        <v>##극지방(북미북동)</v>
      </c>
      <c r="D79" s="39" t="str">
        <f>IFERROR(VLOOKUP(표8[[#This Row],[육지]],[3]!표1_6[[이름]:[선단 LV]],6,FALSE),"-")</f>
        <v>-</v>
      </c>
      <c r="E79" s="39" t="str">
        <f>IFERROR(VLOOKUP(표8[[#This Row],[육지]],[3]!표1_6[[이름]:[위도]],3,FALSE),"-")</f>
        <v>-</v>
      </c>
      <c r="F79" s="39" t="str">
        <f>IFERROR(VLOOKUP(표8[[#This Row],[육지]],[3]!표1_6[[이름]:[위도]],2,FALSE),"-")</f>
        <v>-</v>
      </c>
      <c r="G79" s="39" t="str">
        <f>INDEX([1]AdventureDiscoveryGroup!$D:$D,MATCH(표8[[#This Row],[열1]],[1]AdventureDiscoveryGroup!$B:$B,0))</f>
        <v>아비앗 부근</v>
      </c>
      <c r="H79" s="39" t="str">
        <f>IFERROR(INT(1000/POWER(1.5,VLOOKUP(G79,[1]Discovery!$B:$H,7,FALSE)^1.6)),"-")</f>
        <v>-</v>
      </c>
      <c r="I79" s="72" t="str">
        <f>IFERROR(표8[[#This Row],[배당'[0']]]/$AB79,"-")</f>
        <v>-</v>
      </c>
      <c r="J79" s="39" t="b">
        <f>INDEX([1]AdventureDiscoveryGroup!$I:$I,MATCH(표8[[#This Row],[열1]],[1]AdventureDiscoveryGroup!$B:$B,0))</f>
        <v>0</v>
      </c>
      <c r="K79" s="39" t="str">
        <f>IFERROR(INT(1000/POWER(1.5,VLOOKUP(J79,[1]Discovery!$B:$H,7,FALSE)^1.6)),"-")</f>
        <v>-</v>
      </c>
      <c r="L79" s="72" t="str">
        <f>IFERROR(표8[[#This Row],[배당'[1']]]/$AB79,"-")</f>
        <v>-</v>
      </c>
      <c r="M79" s="39" t="b">
        <f>INDEX([1]AdventureDiscoveryGroup!$N:$N,MATCH(표8[[#This Row],[열1]],[1]AdventureDiscoveryGroup!$B:$B,0))</f>
        <v>0</v>
      </c>
      <c r="N79" s="39" t="str">
        <f>IFERROR(INT(1000/POWER(1.5,VLOOKUP(M79,[1]Discovery!$B:$H,7,FALSE)^1.6)),"-")</f>
        <v>-</v>
      </c>
      <c r="O79" s="72" t="str">
        <f>IFERROR(표8[[#This Row],[배당'[2']]]/$AB79,"-")</f>
        <v>-</v>
      </c>
      <c r="P79" s="39" t="b">
        <f>INDEX([1]AdventureDiscoveryGroup!$S:$S,MATCH(표8[[#This Row],[열1]],[1]AdventureDiscoveryGroup!$B:$B,0))</f>
        <v>0</v>
      </c>
      <c r="Q79" s="39" t="str">
        <f>IFERROR(INT(1000/POWER(1.5,VLOOKUP(P79,[1]Discovery!$B:$H,7,FALSE)^1.6)),"-")</f>
        <v>-</v>
      </c>
      <c r="R79" s="72" t="str">
        <f>IFERROR(표8[[#This Row],[배당'[3']]]/$AB79,"-")</f>
        <v>-</v>
      </c>
      <c r="S79" s="40" t="b">
        <f>INDEX([1]AdventureDiscoveryGroup!$X:$X,MATCH(표8[[#This Row],[열1]],[1]AdventureDiscoveryGroup!$B:$B,0))</f>
        <v>0</v>
      </c>
      <c r="T79" s="40" t="str">
        <f>IFERROR(INT(1000/POWER(1.5,VLOOKUP(S79,[1]Discovery!$B:$H,7,FALSE)^1.6)),"-")</f>
        <v>-</v>
      </c>
      <c r="U79" s="72" t="str">
        <f>IFERROR(표8[[#This Row],[배당'[4']]]/$AB79,"-")</f>
        <v>-</v>
      </c>
      <c r="V79" s="40" t="b">
        <f>INDEX([1]AdventureDiscoveryGroup!$AC:$AC,MATCH(표8[[#This Row],[열1]],[1]AdventureDiscoveryGroup!$B:$B,0))</f>
        <v>0</v>
      </c>
      <c r="W79" s="40" t="str">
        <f>IFERROR(INT(1000/POWER(1.5,VLOOKUP(V79,[1]Discovery!$B:$H,7,FALSE)^1.6)),"-")</f>
        <v>-</v>
      </c>
      <c r="X79" s="72" t="str">
        <f>IFERROR(표8[[#This Row],[배당'[5']]]/$AB79,"-")</f>
        <v>-</v>
      </c>
      <c r="Y79" s="40" t="b">
        <f>INDEX([1]AdventureDiscoveryGroup!$AH:$AH,MATCH(표8[[#This Row],[열1]],[1]AdventureDiscoveryGroup!$B:$B,0))</f>
        <v>0</v>
      </c>
      <c r="Z79" s="40" t="str">
        <f>IFERROR(INT(1000/POWER(1.5,VLOOKUP(Y79,[1]Discovery!$B:$H,7,FALSE)^1.6)),"-")</f>
        <v>-</v>
      </c>
      <c r="AA79" s="72" t="str">
        <f>IFERROR(표8[[#This Row],[배당'[6']]]/$AB79,"-")</f>
        <v>-</v>
      </c>
      <c r="AB79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80" spans="2:28" x14ac:dyDescent="0.3">
      <c r="B80" s="39" t="str">
        <f>[1]LandExplore!E86</f>
        <v>체르스키 부근</v>
      </c>
      <c r="C80" s="39" t="str">
        <f>INDEX([1]LandExplore!$B:$B,MATCH(표8[[#This Row],[육지]],[1]LandExplore!$E:$E,0))</f>
        <v>##극지방(유라시아극북)</v>
      </c>
      <c r="D80" s="39" t="str">
        <f>IFERROR(VLOOKUP(표8[[#This Row],[육지]],[3]!표1_6[[이름]:[선단 LV]],6,FALSE),"-")</f>
        <v>-</v>
      </c>
      <c r="E80" s="39" t="str">
        <f>IFERROR(VLOOKUP(표8[[#This Row],[육지]],[3]!표1_6[[이름]:[위도]],3,FALSE),"-")</f>
        <v>-</v>
      </c>
      <c r="F80" s="39" t="str">
        <f>IFERROR(VLOOKUP(표8[[#This Row],[육지]],[3]!표1_6[[이름]:[위도]],2,FALSE),"-")</f>
        <v>-</v>
      </c>
      <c r="G80" s="39" t="str">
        <f>INDEX([1]AdventureDiscoveryGroup!$D:$D,MATCH(표8[[#This Row],[열1]],[1]AdventureDiscoveryGroup!$B:$B,0))</f>
        <v>체르스키 부근</v>
      </c>
      <c r="H80" s="39" t="str">
        <f>IFERROR(INT(1000/POWER(1.5,VLOOKUP(G80,[1]Discovery!$B:$H,7,FALSE)^1.6)),"-")</f>
        <v>-</v>
      </c>
      <c r="I80" s="72" t="str">
        <f>IFERROR(표8[[#This Row],[배당'[0']]]/$AB80,"-")</f>
        <v>-</v>
      </c>
      <c r="J80" s="39" t="b">
        <f>INDEX([1]AdventureDiscoveryGroup!$I:$I,MATCH(표8[[#This Row],[열1]],[1]AdventureDiscoveryGroup!$B:$B,0))</f>
        <v>0</v>
      </c>
      <c r="K80" s="39" t="str">
        <f>IFERROR(INT(1000/POWER(1.5,VLOOKUP(J80,[1]Discovery!$B:$H,7,FALSE)^1.6)),"-")</f>
        <v>-</v>
      </c>
      <c r="L80" s="72" t="str">
        <f>IFERROR(표8[[#This Row],[배당'[1']]]/$AB80,"-")</f>
        <v>-</v>
      </c>
      <c r="M80" s="39" t="b">
        <f>INDEX([1]AdventureDiscoveryGroup!$N:$N,MATCH(표8[[#This Row],[열1]],[1]AdventureDiscoveryGroup!$B:$B,0))</f>
        <v>0</v>
      </c>
      <c r="N80" s="39" t="str">
        <f>IFERROR(INT(1000/POWER(1.5,VLOOKUP(M80,[1]Discovery!$B:$H,7,FALSE)^1.6)),"-")</f>
        <v>-</v>
      </c>
      <c r="O80" s="72" t="str">
        <f>IFERROR(표8[[#This Row],[배당'[2']]]/$AB80,"-")</f>
        <v>-</v>
      </c>
      <c r="P80" s="39" t="b">
        <f>INDEX([1]AdventureDiscoveryGroup!$S:$S,MATCH(표8[[#This Row],[열1]],[1]AdventureDiscoveryGroup!$B:$B,0))</f>
        <v>0</v>
      </c>
      <c r="Q80" s="39" t="str">
        <f>IFERROR(INT(1000/POWER(1.5,VLOOKUP(P80,[1]Discovery!$B:$H,7,FALSE)^1.6)),"-")</f>
        <v>-</v>
      </c>
      <c r="R80" s="72" t="str">
        <f>IFERROR(표8[[#This Row],[배당'[3']]]/$AB80,"-")</f>
        <v>-</v>
      </c>
      <c r="S80" s="40" t="str">
        <f>INDEX([1]AdventureDiscoveryGroup!$X:$X,MATCH(표8[[#This Row],[열1]],[1]AdventureDiscoveryGroup!$B:$B,0))</f>
        <v>-</v>
      </c>
      <c r="T80" s="40" t="str">
        <f>IFERROR(INT(1000/POWER(1.5,VLOOKUP(S80,[1]Discovery!$B:$H,7,FALSE)^1.6)),"-")</f>
        <v>-</v>
      </c>
      <c r="U80" s="72" t="str">
        <f>IFERROR(표8[[#This Row],[배당'[4']]]/$AB80,"-")</f>
        <v>-</v>
      </c>
      <c r="V80" s="40" t="str">
        <f>INDEX([1]AdventureDiscoveryGroup!$AC:$AC,MATCH(표8[[#This Row],[열1]],[1]AdventureDiscoveryGroup!$B:$B,0))</f>
        <v>-</v>
      </c>
      <c r="W80" s="40" t="str">
        <f>IFERROR(INT(1000/POWER(1.5,VLOOKUP(V80,[1]Discovery!$B:$H,7,FALSE)^1.6)),"-")</f>
        <v>-</v>
      </c>
      <c r="X80" s="72" t="str">
        <f>IFERROR(표8[[#This Row],[배당'[5']]]/$AB80,"-")</f>
        <v>-</v>
      </c>
      <c r="Y80" s="40" t="str">
        <f>INDEX([1]AdventureDiscoveryGroup!$AH:$AH,MATCH(표8[[#This Row],[열1]],[1]AdventureDiscoveryGroup!$B:$B,0))</f>
        <v>-</v>
      </c>
      <c r="Z80" s="40" t="str">
        <f>IFERROR(INT(1000/POWER(1.5,VLOOKUP(Y80,[1]Discovery!$B:$H,7,FALSE)^1.6)),"-")</f>
        <v>-</v>
      </c>
      <c r="AA80" s="72" t="str">
        <f>IFERROR(표8[[#This Row],[배당'[6']]]/$AB80,"-")</f>
        <v>-</v>
      </c>
      <c r="AB80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81" spans="2:28" x14ac:dyDescent="0.3">
      <c r="B81" s="39" t="str">
        <f>[1]LandExplore!E87</f>
        <v>로스 만 부근</v>
      </c>
      <c r="C81" s="39" t="str">
        <f>INDEX([1]LandExplore!$B:$B,MATCH(표8[[#This Row],[육지]],[1]LandExplore!$E:$E,0))</f>
        <v>##극지방(남극)</v>
      </c>
      <c r="D81" s="39" t="str">
        <f>IFERROR(VLOOKUP(표8[[#This Row],[육지]],[3]!표1_6[[이름]:[선단 LV]],6,FALSE),"-")</f>
        <v>-</v>
      </c>
      <c r="E81" s="39" t="str">
        <f>IFERROR(VLOOKUP(표8[[#This Row],[육지]],[3]!표1_6[[이름]:[위도]],3,FALSE),"-")</f>
        <v>-</v>
      </c>
      <c r="F81" s="39" t="str">
        <f>IFERROR(VLOOKUP(표8[[#This Row],[육지]],[3]!표1_6[[이름]:[위도]],2,FALSE),"-")</f>
        <v>-</v>
      </c>
      <c r="G81" s="39" t="str">
        <f>INDEX([1]AdventureDiscoveryGroup!$D:$D,MATCH(표8[[#This Row],[열1]],[1]AdventureDiscoveryGroup!$B:$B,0))</f>
        <v>로스 만 부근</v>
      </c>
      <c r="H81" s="39" t="str">
        <f>IFERROR(INT(1000/POWER(1.5,VLOOKUP(G81,[1]Discovery!$B:$H,7,FALSE)^1.6)),"-")</f>
        <v>-</v>
      </c>
      <c r="I81" s="72" t="str">
        <f>IFERROR(표8[[#This Row],[배당'[0']]]/$AB81,"-")</f>
        <v>-</v>
      </c>
      <c r="J81" s="39" t="b">
        <f>INDEX([1]AdventureDiscoveryGroup!$I:$I,MATCH(표8[[#This Row],[열1]],[1]AdventureDiscoveryGroup!$B:$B,0))</f>
        <v>0</v>
      </c>
      <c r="K81" s="39" t="str">
        <f>IFERROR(INT(1000/POWER(1.5,VLOOKUP(J81,[1]Discovery!$B:$H,7,FALSE)^1.6)),"-")</f>
        <v>-</v>
      </c>
      <c r="L81" s="72" t="str">
        <f>IFERROR(표8[[#This Row],[배당'[1']]]/$AB81,"-")</f>
        <v>-</v>
      </c>
      <c r="M81" s="39" t="b">
        <f>INDEX([1]AdventureDiscoveryGroup!$N:$N,MATCH(표8[[#This Row],[열1]],[1]AdventureDiscoveryGroup!$B:$B,0))</f>
        <v>0</v>
      </c>
      <c r="N81" s="39" t="str">
        <f>IFERROR(INT(1000/POWER(1.5,VLOOKUP(M81,[1]Discovery!$B:$H,7,FALSE)^1.6)),"-")</f>
        <v>-</v>
      </c>
      <c r="O81" s="72" t="str">
        <f>IFERROR(표8[[#This Row],[배당'[2']]]/$AB81,"-")</f>
        <v>-</v>
      </c>
      <c r="P81" s="39" t="str">
        <f>INDEX([1]AdventureDiscoveryGroup!$S:$S,MATCH(표8[[#This Row],[열1]],[1]AdventureDiscoveryGroup!$B:$B,0))</f>
        <v>-</v>
      </c>
      <c r="Q81" s="39" t="str">
        <f>IFERROR(INT(1000/POWER(1.5,VLOOKUP(P81,[1]Discovery!$B:$H,7,FALSE)^1.6)),"-")</f>
        <v>-</v>
      </c>
      <c r="R81" s="72" t="str">
        <f>IFERROR(표8[[#This Row],[배당'[3']]]/$AB81,"-")</f>
        <v>-</v>
      </c>
      <c r="S81" s="40" t="str">
        <f>INDEX([1]AdventureDiscoveryGroup!$X:$X,MATCH(표8[[#This Row],[열1]],[1]AdventureDiscoveryGroup!$B:$B,0))</f>
        <v>-</v>
      </c>
      <c r="T81" s="40" t="str">
        <f>IFERROR(INT(1000/POWER(1.5,VLOOKUP(S81,[1]Discovery!$B:$H,7,FALSE)^1.6)),"-")</f>
        <v>-</v>
      </c>
      <c r="U81" s="72" t="str">
        <f>IFERROR(표8[[#This Row],[배당'[4']]]/$AB81,"-")</f>
        <v>-</v>
      </c>
      <c r="V81" s="40" t="str">
        <f>INDEX([1]AdventureDiscoveryGroup!$AC:$AC,MATCH(표8[[#This Row],[열1]],[1]AdventureDiscoveryGroup!$B:$B,0))</f>
        <v>-</v>
      </c>
      <c r="W81" s="40" t="str">
        <f>IFERROR(INT(1000/POWER(1.5,VLOOKUP(V81,[1]Discovery!$B:$H,7,FALSE)^1.6)),"-")</f>
        <v>-</v>
      </c>
      <c r="X81" s="72" t="str">
        <f>IFERROR(표8[[#This Row],[배당'[5']]]/$AB81,"-")</f>
        <v>-</v>
      </c>
      <c r="Y81" s="40" t="str">
        <f>INDEX([1]AdventureDiscoveryGroup!$AH:$AH,MATCH(표8[[#This Row],[열1]],[1]AdventureDiscoveryGroup!$B:$B,0))</f>
        <v>-</v>
      </c>
      <c r="Z81" s="40" t="str">
        <f>IFERROR(INT(1000/POWER(1.5,VLOOKUP(Y81,[1]Discovery!$B:$H,7,FALSE)^1.6)),"-")</f>
        <v>-</v>
      </c>
      <c r="AA81" s="72" t="str">
        <f>IFERROR(표8[[#This Row],[배당'[6']]]/$AB81,"-")</f>
        <v>-</v>
      </c>
      <c r="AB81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82" spans="2:28" x14ac:dyDescent="0.3">
      <c r="B82" s="39" t="str">
        <f>[1]LandExplore!E88</f>
        <v>남극 대륙</v>
      </c>
      <c r="C82" s="39" t="str">
        <f>INDEX([1]LandExplore!$B:$B,MATCH(표8[[#This Row],[육지]],[1]LandExplore!$E:$E,0))</f>
        <v>##극지방(남극)2</v>
      </c>
      <c r="D82" s="39" t="str">
        <f>IFERROR(VLOOKUP(표8[[#This Row],[육지]],[3]!표1_6[[이름]:[선단 LV]],6,FALSE),"-")</f>
        <v>-</v>
      </c>
      <c r="E82" s="39" t="str">
        <f>IFERROR(VLOOKUP(표8[[#This Row],[육지]],[3]!표1_6[[이름]:[위도]],3,FALSE),"-")</f>
        <v>-</v>
      </c>
      <c r="F82" s="39" t="str">
        <f>IFERROR(VLOOKUP(표8[[#This Row],[육지]],[3]!표1_6[[이름]:[위도]],2,FALSE),"-")</f>
        <v>-</v>
      </c>
      <c r="G82" s="39" t="str">
        <f>INDEX([1]AdventureDiscoveryGroup!$D:$D,MATCH(표8[[#This Row],[열1]],[1]AdventureDiscoveryGroup!$B:$B,0))</f>
        <v>남극 대륙</v>
      </c>
      <c r="H82" s="39" t="str">
        <f>IFERROR(INT(1000/POWER(1.5,VLOOKUP(G82,[1]Discovery!$B:$H,7,FALSE)^1.6)),"-")</f>
        <v>-</v>
      </c>
      <c r="I82" s="72" t="str">
        <f>IFERROR(표8[[#This Row],[배당'[0']]]/$AB82,"-")</f>
        <v>-</v>
      </c>
      <c r="J82" s="39" t="b">
        <f>INDEX([1]AdventureDiscoveryGroup!$I:$I,MATCH(표8[[#This Row],[열1]],[1]AdventureDiscoveryGroup!$B:$B,0))</f>
        <v>0</v>
      </c>
      <c r="K82" s="39" t="str">
        <f>IFERROR(INT(1000/POWER(1.5,VLOOKUP(J82,[1]Discovery!$B:$H,7,FALSE)^1.6)),"-")</f>
        <v>-</v>
      </c>
      <c r="L82" s="72" t="str">
        <f>IFERROR(표8[[#This Row],[배당'[1']]]/$AB82,"-")</f>
        <v>-</v>
      </c>
      <c r="M82" s="39" t="str">
        <f>INDEX([1]AdventureDiscoveryGroup!$N:$N,MATCH(표8[[#This Row],[열1]],[1]AdventureDiscoveryGroup!$B:$B,0))</f>
        <v>-</v>
      </c>
      <c r="N82" s="39" t="str">
        <f>IFERROR(INT(1000/POWER(1.5,VLOOKUP(M82,[1]Discovery!$B:$H,7,FALSE)^1.6)),"-")</f>
        <v>-</v>
      </c>
      <c r="O82" s="72" t="str">
        <f>IFERROR(표8[[#This Row],[배당'[2']]]/$AB82,"-")</f>
        <v>-</v>
      </c>
      <c r="P82" s="39" t="str">
        <f>INDEX([1]AdventureDiscoveryGroup!$S:$S,MATCH(표8[[#This Row],[열1]],[1]AdventureDiscoveryGroup!$B:$B,0))</f>
        <v>-</v>
      </c>
      <c r="Q82" s="39" t="str">
        <f>IFERROR(INT(1000/POWER(1.5,VLOOKUP(P82,[1]Discovery!$B:$H,7,FALSE)^1.6)),"-")</f>
        <v>-</v>
      </c>
      <c r="R82" s="72" t="str">
        <f>IFERROR(표8[[#This Row],[배당'[3']]]/$AB82,"-")</f>
        <v>-</v>
      </c>
      <c r="S82" s="40" t="str">
        <f>INDEX([1]AdventureDiscoveryGroup!$X:$X,MATCH(표8[[#This Row],[열1]],[1]AdventureDiscoveryGroup!$B:$B,0))</f>
        <v>-</v>
      </c>
      <c r="T82" s="40" t="str">
        <f>IFERROR(INT(1000/POWER(1.5,VLOOKUP(S82,[1]Discovery!$B:$H,7,FALSE)^1.6)),"-")</f>
        <v>-</v>
      </c>
      <c r="U82" s="72" t="str">
        <f>IFERROR(표8[[#This Row],[배당'[4']]]/$AB82,"-")</f>
        <v>-</v>
      </c>
      <c r="V82" s="40" t="str">
        <f>INDEX([1]AdventureDiscoveryGroup!$AC:$AC,MATCH(표8[[#This Row],[열1]],[1]AdventureDiscoveryGroup!$B:$B,0))</f>
        <v>-</v>
      </c>
      <c r="W82" s="40" t="str">
        <f>IFERROR(INT(1000/POWER(1.5,VLOOKUP(V82,[1]Discovery!$B:$H,7,FALSE)^1.6)),"-")</f>
        <v>-</v>
      </c>
      <c r="X82" s="72" t="str">
        <f>IFERROR(표8[[#This Row],[배당'[5']]]/$AB82,"-")</f>
        <v>-</v>
      </c>
      <c r="Y82" s="40" t="str">
        <f>INDEX([1]AdventureDiscoveryGroup!$AH:$AH,MATCH(표8[[#This Row],[열1]],[1]AdventureDiscoveryGroup!$B:$B,0))</f>
        <v>-</v>
      </c>
      <c r="Z82" s="40" t="str">
        <f>IFERROR(INT(1000/POWER(1.5,VLOOKUP(Y82,[1]Discovery!$B:$H,7,FALSE)^1.6)),"-")</f>
        <v>-</v>
      </c>
      <c r="AA82" s="72" t="str">
        <f>IFERROR(표8[[#This Row],[배당'[6']]]/$AB82,"-")</f>
        <v>-</v>
      </c>
      <c r="AB82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83" spans="2:28" x14ac:dyDescent="0.3">
      <c r="B83" s="39" t="str">
        <f>[1]LandExplore!E89</f>
        <v>시들리 산 부근</v>
      </c>
      <c r="C83" s="39" t="str">
        <f>INDEX([1]LandExplore!$B:$B,MATCH(표8[[#This Row],[육지]],[1]LandExplore!$E:$E,0))</f>
        <v>##극지방(남극)3</v>
      </c>
      <c r="D83" s="39" t="str">
        <f>IFERROR(VLOOKUP(표8[[#This Row],[육지]],[3]!표1_6[[이름]:[선단 LV]],6,FALSE),"-")</f>
        <v>-</v>
      </c>
      <c r="E83" s="39" t="str">
        <f>IFERROR(VLOOKUP(표8[[#This Row],[육지]],[3]!표1_6[[이름]:[위도]],3,FALSE),"-")</f>
        <v>-</v>
      </c>
      <c r="F83" s="39" t="str">
        <f>IFERROR(VLOOKUP(표8[[#This Row],[육지]],[3]!표1_6[[이름]:[위도]],2,FALSE),"-")</f>
        <v>-</v>
      </c>
      <c r="G83" s="39" t="str">
        <f>INDEX([1]AdventureDiscoveryGroup!$D:$D,MATCH(표8[[#This Row],[열1]],[1]AdventureDiscoveryGroup!$B:$B,0))</f>
        <v>시들리 산 부근</v>
      </c>
      <c r="H83" s="39" t="str">
        <f>IFERROR(INT(1000/POWER(1.5,VLOOKUP(G83,[1]Discovery!$B:$H,7,FALSE)^1.6)),"-")</f>
        <v>-</v>
      </c>
      <c r="I83" s="72" t="str">
        <f>IFERROR(표8[[#This Row],[배당'[0']]]/$AB83,"-")</f>
        <v>-</v>
      </c>
      <c r="J83" s="39" t="b">
        <f>INDEX([1]AdventureDiscoveryGroup!$I:$I,MATCH(표8[[#This Row],[열1]],[1]AdventureDiscoveryGroup!$B:$B,0))</f>
        <v>0</v>
      </c>
      <c r="K83" s="39" t="str">
        <f>IFERROR(INT(1000/POWER(1.5,VLOOKUP(J83,[1]Discovery!$B:$H,7,FALSE)^1.6)),"-")</f>
        <v>-</v>
      </c>
      <c r="L83" s="72" t="str">
        <f>IFERROR(표8[[#This Row],[배당'[1']]]/$AB83,"-")</f>
        <v>-</v>
      </c>
      <c r="M83" s="39" t="str">
        <f>INDEX([1]AdventureDiscoveryGroup!$N:$N,MATCH(표8[[#This Row],[열1]],[1]AdventureDiscoveryGroup!$B:$B,0))</f>
        <v>-</v>
      </c>
      <c r="N83" s="39" t="str">
        <f>IFERROR(INT(1000/POWER(1.5,VLOOKUP(M83,[1]Discovery!$B:$H,7,FALSE)^1.6)),"-")</f>
        <v>-</v>
      </c>
      <c r="O83" s="72" t="str">
        <f>IFERROR(표8[[#This Row],[배당'[2']]]/$AB83,"-")</f>
        <v>-</v>
      </c>
      <c r="P83" s="39" t="str">
        <f>INDEX([1]AdventureDiscoveryGroup!$S:$S,MATCH(표8[[#This Row],[열1]],[1]AdventureDiscoveryGroup!$B:$B,0))</f>
        <v>-</v>
      </c>
      <c r="Q83" s="39" t="str">
        <f>IFERROR(INT(1000/POWER(1.5,VLOOKUP(P83,[1]Discovery!$B:$H,7,FALSE)^1.6)),"-")</f>
        <v>-</v>
      </c>
      <c r="R83" s="72" t="str">
        <f>IFERROR(표8[[#This Row],[배당'[3']]]/$AB83,"-")</f>
        <v>-</v>
      </c>
      <c r="S83" s="40" t="str">
        <f>INDEX([1]AdventureDiscoveryGroup!$X:$X,MATCH(표8[[#This Row],[열1]],[1]AdventureDiscoveryGroup!$B:$B,0))</f>
        <v>-</v>
      </c>
      <c r="T83" s="40" t="str">
        <f>IFERROR(INT(1000/POWER(1.5,VLOOKUP(S83,[1]Discovery!$B:$H,7,FALSE)^1.6)),"-")</f>
        <v>-</v>
      </c>
      <c r="U83" s="72" t="str">
        <f>IFERROR(표8[[#This Row],[배당'[4']]]/$AB83,"-")</f>
        <v>-</v>
      </c>
      <c r="V83" s="40" t="str">
        <f>INDEX([1]AdventureDiscoveryGroup!$AC:$AC,MATCH(표8[[#This Row],[열1]],[1]AdventureDiscoveryGroup!$B:$B,0))</f>
        <v>-</v>
      </c>
      <c r="W83" s="40" t="str">
        <f>IFERROR(INT(1000/POWER(1.5,VLOOKUP(V83,[1]Discovery!$B:$H,7,FALSE)^1.6)),"-")</f>
        <v>-</v>
      </c>
      <c r="X83" s="72" t="str">
        <f>IFERROR(표8[[#This Row],[배당'[5']]]/$AB83,"-")</f>
        <v>-</v>
      </c>
      <c r="Y83" s="40" t="str">
        <f>INDEX([1]AdventureDiscoveryGroup!$AH:$AH,MATCH(표8[[#This Row],[열1]],[1]AdventureDiscoveryGroup!$B:$B,0))</f>
        <v>-</v>
      </c>
      <c r="Z83" s="40" t="str">
        <f>IFERROR(INT(1000/POWER(1.5,VLOOKUP(Y83,[1]Discovery!$B:$H,7,FALSE)^1.6)),"-")</f>
        <v>-</v>
      </c>
      <c r="AA83" s="72" t="str">
        <f>IFERROR(표8[[#This Row],[배당'[6']]]/$AB83,"-")</f>
        <v>-</v>
      </c>
      <c r="AB83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84" spans="2:28" x14ac:dyDescent="0.3">
      <c r="B84" s="39" t="str">
        <f>[1]LandExplore!E90</f>
        <v>남극 반도</v>
      </c>
      <c r="C84" s="39" t="str">
        <f>INDEX([1]LandExplore!$B:$B,MATCH(표8[[#This Row],[육지]],[1]LandExplore!$E:$E,0))</f>
        <v>##극지방(남극)4</v>
      </c>
      <c r="D84" s="39" t="str">
        <f>IFERROR(VLOOKUP(표8[[#This Row],[육지]],[3]!표1_6[[이름]:[선단 LV]],6,FALSE),"-")</f>
        <v>-</v>
      </c>
      <c r="E84" s="39" t="str">
        <f>IFERROR(VLOOKUP(표8[[#This Row],[육지]],[3]!표1_6[[이름]:[위도]],3,FALSE),"-")</f>
        <v>-</v>
      </c>
      <c r="F84" s="39" t="str">
        <f>IFERROR(VLOOKUP(표8[[#This Row],[육지]],[3]!표1_6[[이름]:[위도]],2,FALSE),"-")</f>
        <v>-</v>
      </c>
      <c r="G84" s="39" t="str">
        <f>INDEX([1]AdventureDiscoveryGroup!$D:$D,MATCH(표8[[#This Row],[열1]],[1]AdventureDiscoveryGroup!$B:$B,0))</f>
        <v>남극 반도</v>
      </c>
      <c r="H84" s="39" t="str">
        <f>IFERROR(INT(1000/POWER(1.5,VLOOKUP(G84,[1]Discovery!$B:$H,7,FALSE)^1.6)),"-")</f>
        <v>-</v>
      </c>
      <c r="I84" s="72" t="str">
        <f>IFERROR(표8[[#This Row],[배당'[0']]]/$AB84,"-")</f>
        <v>-</v>
      </c>
      <c r="J84" s="39" t="b">
        <f>INDEX([1]AdventureDiscoveryGroup!$I:$I,MATCH(표8[[#This Row],[열1]],[1]AdventureDiscoveryGroup!$B:$B,0))</f>
        <v>0</v>
      </c>
      <c r="K84" s="39" t="str">
        <f>IFERROR(INT(1000/POWER(1.5,VLOOKUP(J84,[1]Discovery!$B:$H,7,FALSE)^1.6)),"-")</f>
        <v>-</v>
      </c>
      <c r="L84" s="72" t="str">
        <f>IFERROR(표8[[#This Row],[배당'[1']]]/$AB84,"-")</f>
        <v>-</v>
      </c>
      <c r="M84" s="39" t="str">
        <f>INDEX([1]AdventureDiscoveryGroup!$N:$N,MATCH(표8[[#This Row],[열1]],[1]AdventureDiscoveryGroup!$B:$B,0))</f>
        <v>-</v>
      </c>
      <c r="N84" s="39" t="str">
        <f>IFERROR(INT(1000/POWER(1.5,VLOOKUP(M84,[1]Discovery!$B:$H,7,FALSE)^1.6)),"-")</f>
        <v>-</v>
      </c>
      <c r="O84" s="72" t="str">
        <f>IFERROR(표8[[#This Row],[배당'[2']]]/$AB84,"-")</f>
        <v>-</v>
      </c>
      <c r="P84" s="39" t="str">
        <f>INDEX([1]AdventureDiscoveryGroup!$S:$S,MATCH(표8[[#This Row],[열1]],[1]AdventureDiscoveryGroup!$B:$B,0))</f>
        <v>-</v>
      </c>
      <c r="Q84" s="39" t="str">
        <f>IFERROR(INT(1000/POWER(1.5,VLOOKUP(P84,[1]Discovery!$B:$H,7,FALSE)^1.6)),"-")</f>
        <v>-</v>
      </c>
      <c r="R84" s="72" t="str">
        <f>IFERROR(표8[[#This Row],[배당'[3']]]/$AB84,"-")</f>
        <v>-</v>
      </c>
      <c r="S84" s="40" t="str">
        <f>INDEX([1]AdventureDiscoveryGroup!$X:$X,MATCH(표8[[#This Row],[열1]],[1]AdventureDiscoveryGroup!$B:$B,0))</f>
        <v>-</v>
      </c>
      <c r="T84" s="40" t="str">
        <f>IFERROR(INT(1000/POWER(1.5,VLOOKUP(S84,[1]Discovery!$B:$H,7,FALSE)^1.6)),"-")</f>
        <v>-</v>
      </c>
      <c r="U84" s="72" t="str">
        <f>IFERROR(표8[[#This Row],[배당'[4']]]/$AB84,"-")</f>
        <v>-</v>
      </c>
      <c r="V84" s="40" t="str">
        <f>INDEX([1]AdventureDiscoveryGroup!$AC:$AC,MATCH(표8[[#This Row],[열1]],[1]AdventureDiscoveryGroup!$B:$B,0))</f>
        <v>-</v>
      </c>
      <c r="W84" s="40" t="str">
        <f>IFERROR(INT(1000/POWER(1.5,VLOOKUP(V84,[1]Discovery!$B:$H,7,FALSE)^1.6)),"-")</f>
        <v>-</v>
      </c>
      <c r="X84" s="72" t="str">
        <f>IFERROR(표8[[#This Row],[배당'[5']]]/$AB84,"-")</f>
        <v>-</v>
      </c>
      <c r="Y84" s="40" t="str">
        <f>INDEX([1]AdventureDiscoveryGroup!$AH:$AH,MATCH(표8[[#This Row],[열1]],[1]AdventureDiscoveryGroup!$B:$B,0))</f>
        <v>-</v>
      </c>
      <c r="Z84" s="40" t="str">
        <f>IFERROR(INT(1000/POWER(1.5,VLOOKUP(Y84,[1]Discovery!$B:$H,7,FALSE)^1.6)),"-")</f>
        <v>-</v>
      </c>
      <c r="AA84" s="72" t="str">
        <f>IFERROR(표8[[#This Row],[배당'[6']]]/$AB84,"-")</f>
        <v>-</v>
      </c>
      <c r="AB84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85" spans="2:28" x14ac:dyDescent="0.3">
      <c r="B85" s="39" t="str">
        <f>[1]LandExplore!E91</f>
        <v>과테말라 부근</v>
      </c>
      <c r="C85" s="39" t="str">
        <f>INDEX([1]LandExplore!$B:$B,MATCH(표8[[#This Row],[육지]],[1]LandExplore!$E:$E,0))</f>
        <v>##중앙아메리카(서)</v>
      </c>
      <c r="D85" s="39" t="str">
        <f>IFERROR(VLOOKUP(표8[[#This Row],[육지]],[3]!표1_6[[이름]:[선단 LV]],6,FALSE),"-")</f>
        <v>-</v>
      </c>
      <c r="E85" s="39" t="str">
        <f>IFERROR(VLOOKUP(표8[[#This Row],[육지]],[3]!표1_6[[이름]:[위도]],3,FALSE),"-")</f>
        <v>-</v>
      </c>
      <c r="F85" s="39" t="str">
        <f>IFERROR(VLOOKUP(표8[[#This Row],[육지]],[3]!표1_6[[이름]:[위도]],2,FALSE),"-")</f>
        <v>-</v>
      </c>
      <c r="G85" s="39" t="str">
        <f>INDEX([1]AdventureDiscoveryGroup!$D:$D,MATCH(표8[[#This Row],[열1]],[1]AdventureDiscoveryGroup!$B:$B,0))</f>
        <v>과테말라 부근</v>
      </c>
      <c r="H85" s="39" t="str">
        <f>IFERROR(INT(1000/POWER(1.5,VLOOKUP(G85,[1]Discovery!$B:$H,7,FALSE)^1.6)),"-")</f>
        <v>-</v>
      </c>
      <c r="I85" s="72" t="str">
        <f>IFERROR(표8[[#This Row],[배당'[0']]]/$AB85,"-")</f>
        <v>-</v>
      </c>
      <c r="J85" s="39" t="b">
        <f>INDEX([1]AdventureDiscoveryGroup!$I:$I,MATCH(표8[[#This Row],[열1]],[1]AdventureDiscoveryGroup!$B:$B,0))</f>
        <v>0</v>
      </c>
      <c r="K85" s="39" t="str">
        <f>IFERROR(INT(1000/POWER(1.5,VLOOKUP(J85,[1]Discovery!$B:$H,7,FALSE)^1.6)),"-")</f>
        <v>-</v>
      </c>
      <c r="L85" s="72" t="str">
        <f>IFERROR(표8[[#This Row],[배당'[1']]]/$AB85,"-")</f>
        <v>-</v>
      </c>
      <c r="M85" s="39" t="b">
        <f>INDEX([1]AdventureDiscoveryGroup!$N:$N,MATCH(표8[[#This Row],[열1]],[1]AdventureDiscoveryGroup!$B:$B,0))</f>
        <v>0</v>
      </c>
      <c r="N85" s="39" t="str">
        <f>IFERROR(INT(1000/POWER(1.5,VLOOKUP(M85,[1]Discovery!$B:$H,7,FALSE)^1.6)),"-")</f>
        <v>-</v>
      </c>
      <c r="O85" s="72" t="str">
        <f>IFERROR(표8[[#This Row],[배당'[2']]]/$AB85,"-")</f>
        <v>-</v>
      </c>
      <c r="P85" s="39" t="b">
        <f>INDEX([1]AdventureDiscoveryGroup!$S:$S,MATCH(표8[[#This Row],[열1]],[1]AdventureDiscoveryGroup!$B:$B,0))</f>
        <v>0</v>
      </c>
      <c r="Q85" s="39" t="str">
        <f>IFERROR(INT(1000/POWER(1.5,VLOOKUP(P85,[1]Discovery!$B:$H,7,FALSE)^1.6)),"-")</f>
        <v>-</v>
      </c>
      <c r="R85" s="72" t="str">
        <f>IFERROR(표8[[#This Row],[배당'[3']]]/$AB85,"-")</f>
        <v>-</v>
      </c>
      <c r="S85" s="40" t="b">
        <f>INDEX([1]AdventureDiscoveryGroup!$X:$X,MATCH(표8[[#This Row],[열1]],[1]AdventureDiscoveryGroup!$B:$B,0))</f>
        <v>0</v>
      </c>
      <c r="T85" s="40" t="str">
        <f>IFERROR(INT(1000/POWER(1.5,VLOOKUP(S85,[1]Discovery!$B:$H,7,FALSE)^1.6)),"-")</f>
        <v>-</v>
      </c>
      <c r="U85" s="72" t="str">
        <f>IFERROR(표8[[#This Row],[배당'[4']]]/$AB85,"-")</f>
        <v>-</v>
      </c>
      <c r="V85" s="40" t="b">
        <f>INDEX([1]AdventureDiscoveryGroup!$AC:$AC,MATCH(표8[[#This Row],[열1]],[1]AdventureDiscoveryGroup!$B:$B,0))</f>
        <v>0</v>
      </c>
      <c r="W85" s="40" t="str">
        <f>IFERROR(INT(1000/POWER(1.5,VLOOKUP(V85,[1]Discovery!$B:$H,7,FALSE)^1.6)),"-")</f>
        <v>-</v>
      </c>
      <c r="X85" s="72" t="str">
        <f>IFERROR(표8[[#This Row],[배당'[5']]]/$AB85,"-")</f>
        <v>-</v>
      </c>
      <c r="Y85" s="40" t="b">
        <f>INDEX([1]AdventureDiscoveryGroup!$AH:$AH,MATCH(표8[[#This Row],[열1]],[1]AdventureDiscoveryGroup!$B:$B,0))</f>
        <v>0</v>
      </c>
      <c r="Z85" s="40" t="str">
        <f>IFERROR(INT(1000/POWER(1.5,VLOOKUP(Y85,[1]Discovery!$B:$H,7,FALSE)^1.6)),"-")</f>
        <v>-</v>
      </c>
      <c r="AA85" s="72" t="str">
        <f>IFERROR(표8[[#This Row],[배당'[6']]]/$AB85,"-")</f>
        <v>-</v>
      </c>
      <c r="AB85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86" spans="2:28" x14ac:dyDescent="0.3">
      <c r="B86" s="39" t="str">
        <f>[1]LandExplore!E92</f>
        <v>그린란드 남부</v>
      </c>
      <c r="C86" s="39" t="str">
        <f>INDEX([1]LandExplore!$B:$B,MATCH(표8[[#This Row],[육지]],[1]LandExplore!$E:$E,0))</f>
        <v>##극지방(그린란드)(남)</v>
      </c>
      <c r="D86" s="39" t="str">
        <f>IFERROR(VLOOKUP(표8[[#This Row],[육지]],[3]!표1_6[[이름]:[선단 LV]],6,FALSE),"-")</f>
        <v>-</v>
      </c>
      <c r="E86" s="39" t="str">
        <f>IFERROR(VLOOKUP(표8[[#This Row],[육지]],[3]!표1_6[[이름]:[위도]],3,FALSE),"-")</f>
        <v>-</v>
      </c>
      <c r="F86" s="39" t="str">
        <f>IFERROR(VLOOKUP(표8[[#This Row],[육지]],[3]!표1_6[[이름]:[위도]],2,FALSE),"-")</f>
        <v>-</v>
      </c>
      <c r="G86" s="39" t="str">
        <f>INDEX([1]AdventureDiscoveryGroup!$D:$D,MATCH(표8[[#This Row],[열1]],[1]AdventureDiscoveryGroup!$B:$B,0))</f>
        <v>카나크 부근</v>
      </c>
      <c r="H86" s="39" t="str">
        <f>IFERROR(INT(1000/POWER(1.5,VLOOKUP(G86,[1]Discovery!$B:$H,7,FALSE)^1.6)),"-")</f>
        <v>-</v>
      </c>
      <c r="I86" s="72" t="str">
        <f>IFERROR(표8[[#This Row],[배당'[0']]]/$AB86,"-")</f>
        <v>-</v>
      </c>
      <c r="J86" s="39" t="b">
        <f>INDEX([1]AdventureDiscoveryGroup!$I:$I,MATCH(표8[[#This Row],[열1]],[1]AdventureDiscoveryGroup!$B:$B,0))</f>
        <v>0</v>
      </c>
      <c r="K86" s="39" t="str">
        <f>IFERROR(INT(1000/POWER(1.5,VLOOKUP(J86,[1]Discovery!$B:$H,7,FALSE)^1.6)),"-")</f>
        <v>-</v>
      </c>
      <c r="L86" s="72" t="str">
        <f>IFERROR(표8[[#This Row],[배당'[1']]]/$AB86,"-")</f>
        <v>-</v>
      </c>
      <c r="M86" s="39" t="b">
        <f>INDEX([1]AdventureDiscoveryGroup!$N:$N,MATCH(표8[[#This Row],[열1]],[1]AdventureDiscoveryGroup!$B:$B,0))</f>
        <v>0</v>
      </c>
      <c r="N86" s="39" t="str">
        <f>IFERROR(INT(1000/POWER(1.5,VLOOKUP(M86,[1]Discovery!$B:$H,7,FALSE)^1.6)),"-")</f>
        <v>-</v>
      </c>
      <c r="O86" s="72" t="str">
        <f>IFERROR(표8[[#This Row],[배당'[2']]]/$AB86,"-")</f>
        <v>-</v>
      </c>
      <c r="P86" s="39" t="b">
        <f>INDEX([1]AdventureDiscoveryGroup!$S:$S,MATCH(표8[[#This Row],[열1]],[1]AdventureDiscoveryGroup!$B:$B,0))</f>
        <v>0</v>
      </c>
      <c r="Q86" s="39" t="str">
        <f>IFERROR(INT(1000/POWER(1.5,VLOOKUP(P86,[1]Discovery!$B:$H,7,FALSE)^1.6)),"-")</f>
        <v>-</v>
      </c>
      <c r="R86" s="72" t="str">
        <f>IFERROR(표8[[#This Row],[배당'[3']]]/$AB86,"-")</f>
        <v>-</v>
      </c>
      <c r="S86" s="40" t="b">
        <f>INDEX([1]AdventureDiscoveryGroup!$X:$X,MATCH(표8[[#This Row],[열1]],[1]AdventureDiscoveryGroup!$B:$B,0))</f>
        <v>0</v>
      </c>
      <c r="T86" s="40" t="str">
        <f>IFERROR(INT(1000/POWER(1.5,VLOOKUP(S86,[1]Discovery!$B:$H,7,FALSE)^1.6)),"-")</f>
        <v>-</v>
      </c>
      <c r="U86" s="72" t="str">
        <f>IFERROR(표8[[#This Row],[배당'[4']]]/$AB86,"-")</f>
        <v>-</v>
      </c>
      <c r="V86" s="40" t="str">
        <f>INDEX([1]AdventureDiscoveryGroup!$AC:$AC,MATCH(표8[[#This Row],[열1]],[1]AdventureDiscoveryGroup!$B:$B,0))</f>
        <v>-</v>
      </c>
      <c r="W86" s="40" t="str">
        <f>IFERROR(INT(1000/POWER(1.5,VLOOKUP(V86,[1]Discovery!$B:$H,7,FALSE)^1.6)),"-")</f>
        <v>-</v>
      </c>
      <c r="X86" s="72" t="str">
        <f>IFERROR(표8[[#This Row],[배당'[5']]]/$AB86,"-")</f>
        <v>-</v>
      </c>
      <c r="Y86" s="40" t="str">
        <f>INDEX([1]AdventureDiscoveryGroup!$AH:$AH,MATCH(표8[[#This Row],[열1]],[1]AdventureDiscoveryGroup!$B:$B,0))</f>
        <v>-</v>
      </c>
      <c r="Z86" s="40" t="str">
        <f>IFERROR(INT(1000/POWER(1.5,VLOOKUP(Y86,[1]Discovery!$B:$H,7,FALSE)^1.6)),"-")</f>
        <v>-</v>
      </c>
      <c r="AA86" s="72" t="str">
        <f>IFERROR(표8[[#This Row],[배당'[6']]]/$AB86,"-")</f>
        <v>-</v>
      </c>
      <c r="AB86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87" spans="2:28" x14ac:dyDescent="0.3">
      <c r="B87" s="39" t="str">
        <f>[1]LandExplore!E93</f>
        <v>아이슬란드 남부</v>
      </c>
      <c r="C87" s="39" t="str">
        <f>INDEX([1]LandExplore!$B:$B,MATCH(표8[[#This Row],[육지]],[1]LandExplore!$E:$E,0))</f>
        <v>##아이슬란드 남부</v>
      </c>
      <c r="D87" s="39" t="str">
        <f>IFERROR(VLOOKUP(표8[[#This Row],[육지]],[3]!표1_6[[이름]:[선단 LV]],6,FALSE),"-")</f>
        <v>-</v>
      </c>
      <c r="E87" s="39" t="str">
        <f>IFERROR(VLOOKUP(표8[[#This Row],[육지]],[3]!표1_6[[이름]:[위도]],3,FALSE),"-")</f>
        <v>-</v>
      </c>
      <c r="F87" s="39" t="str">
        <f>IFERROR(VLOOKUP(표8[[#This Row],[육지]],[3]!표1_6[[이름]:[위도]],2,FALSE),"-")</f>
        <v>-</v>
      </c>
      <c r="G87" s="39" t="str">
        <f>INDEX([1]AdventureDiscoveryGroup!$D:$D,MATCH(표8[[#This Row],[열1]],[1]AdventureDiscoveryGroup!$B:$B,0))</f>
        <v>아이슬란드 남부</v>
      </c>
      <c r="H87" s="39" t="str">
        <f>IFERROR(INT(1000/POWER(1.5,VLOOKUP(G87,[1]Discovery!$B:$H,7,FALSE)^1.6)),"-")</f>
        <v>-</v>
      </c>
      <c r="I87" s="72" t="str">
        <f>IFERROR(표8[[#This Row],[배당'[0']]]/$AB87,"-")</f>
        <v>-</v>
      </c>
      <c r="J87" s="39" t="b">
        <f>INDEX([1]AdventureDiscoveryGroup!$I:$I,MATCH(표8[[#This Row],[열1]],[1]AdventureDiscoveryGroup!$B:$B,0))</f>
        <v>0</v>
      </c>
      <c r="K87" s="39" t="str">
        <f>IFERROR(INT(1000/POWER(1.5,VLOOKUP(J87,[1]Discovery!$B:$H,7,FALSE)^1.6)),"-")</f>
        <v>-</v>
      </c>
      <c r="L87" s="72" t="str">
        <f>IFERROR(표8[[#This Row],[배당'[1']]]/$AB87,"-")</f>
        <v>-</v>
      </c>
      <c r="M87" s="39" t="b">
        <f>INDEX([1]AdventureDiscoveryGroup!$N:$N,MATCH(표8[[#This Row],[열1]],[1]AdventureDiscoveryGroup!$B:$B,0))</f>
        <v>0</v>
      </c>
      <c r="N87" s="39" t="str">
        <f>IFERROR(INT(1000/POWER(1.5,VLOOKUP(M87,[1]Discovery!$B:$H,7,FALSE)^1.6)),"-")</f>
        <v>-</v>
      </c>
      <c r="O87" s="72" t="str">
        <f>IFERROR(표8[[#This Row],[배당'[2']]]/$AB87,"-")</f>
        <v>-</v>
      </c>
      <c r="P87" s="39" t="b">
        <f>INDEX([1]AdventureDiscoveryGroup!$S:$S,MATCH(표8[[#This Row],[열1]],[1]AdventureDiscoveryGroup!$B:$B,0))</f>
        <v>0</v>
      </c>
      <c r="Q87" s="39" t="str">
        <f>IFERROR(INT(1000/POWER(1.5,VLOOKUP(P87,[1]Discovery!$B:$H,7,FALSE)^1.6)),"-")</f>
        <v>-</v>
      </c>
      <c r="R87" s="72" t="str">
        <f>IFERROR(표8[[#This Row],[배당'[3']]]/$AB87,"-")</f>
        <v>-</v>
      </c>
      <c r="S87" s="40" t="str">
        <f>INDEX([1]AdventureDiscoveryGroup!$X:$X,MATCH(표8[[#This Row],[열1]],[1]AdventureDiscoveryGroup!$B:$B,0))</f>
        <v>-</v>
      </c>
      <c r="T87" s="40" t="str">
        <f>IFERROR(INT(1000/POWER(1.5,VLOOKUP(S87,[1]Discovery!$B:$H,7,FALSE)^1.6)),"-")</f>
        <v>-</v>
      </c>
      <c r="U87" s="72" t="str">
        <f>IFERROR(표8[[#This Row],[배당'[4']]]/$AB87,"-")</f>
        <v>-</v>
      </c>
      <c r="V87" s="40" t="str">
        <f>INDEX([1]AdventureDiscoveryGroup!$AC:$AC,MATCH(표8[[#This Row],[열1]],[1]AdventureDiscoveryGroup!$B:$B,0))</f>
        <v>-</v>
      </c>
      <c r="W87" s="40" t="str">
        <f>IFERROR(INT(1000/POWER(1.5,VLOOKUP(V87,[1]Discovery!$B:$H,7,FALSE)^1.6)),"-")</f>
        <v>-</v>
      </c>
      <c r="X87" s="72" t="str">
        <f>IFERROR(표8[[#This Row],[배당'[5']]]/$AB87,"-")</f>
        <v>-</v>
      </c>
      <c r="Y87" s="40" t="str">
        <f>INDEX([1]AdventureDiscoveryGroup!$AH:$AH,MATCH(표8[[#This Row],[열1]],[1]AdventureDiscoveryGroup!$B:$B,0))</f>
        <v>-</v>
      </c>
      <c r="Z87" s="40" t="str">
        <f>IFERROR(INT(1000/POWER(1.5,VLOOKUP(Y87,[1]Discovery!$B:$H,7,FALSE)^1.6)),"-")</f>
        <v>-</v>
      </c>
      <c r="AA87" s="72" t="str">
        <f>IFERROR(표8[[#This Row],[배당'[6']]]/$AB87,"-")</f>
        <v>-</v>
      </c>
      <c r="AB87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88" spans="2:28" x14ac:dyDescent="0.3">
      <c r="B88" s="39" t="str">
        <f>[1]LandExplore!E94</f>
        <v>시들리 산 부근</v>
      </c>
      <c r="C88" s="39" t="str">
        <f>INDEX([1]LandExplore!$B:$B,MATCH(표8[[#This Row],[육지]],[1]LandExplore!$E:$E,0))</f>
        <v>##극지방(남극)3</v>
      </c>
      <c r="D88" s="39" t="str">
        <f>IFERROR(VLOOKUP(표8[[#This Row],[육지]],[3]!표1_6[[이름]:[선단 LV]],6,FALSE),"-")</f>
        <v>-</v>
      </c>
      <c r="E88" s="39" t="str">
        <f>IFERROR(VLOOKUP(표8[[#This Row],[육지]],[3]!표1_6[[이름]:[위도]],3,FALSE),"-")</f>
        <v>-</v>
      </c>
      <c r="F88" s="39" t="str">
        <f>IFERROR(VLOOKUP(표8[[#This Row],[육지]],[3]!표1_6[[이름]:[위도]],2,FALSE),"-")</f>
        <v>-</v>
      </c>
      <c r="G88" s="39" t="str">
        <f>INDEX([1]AdventureDiscoveryGroup!$D:$D,MATCH(표8[[#This Row],[열1]],[1]AdventureDiscoveryGroup!$B:$B,0))</f>
        <v>시들리 산 부근</v>
      </c>
      <c r="H88" s="39" t="str">
        <f>IFERROR(INT(1000/POWER(1.5,VLOOKUP(G88,[1]Discovery!$B:$H,7,FALSE)^1.6)),"-")</f>
        <v>-</v>
      </c>
      <c r="I88" s="72" t="str">
        <f>IFERROR(표8[[#This Row],[배당'[0']]]/$AB88,"-")</f>
        <v>-</v>
      </c>
      <c r="J88" s="39" t="b">
        <f>INDEX([1]AdventureDiscoveryGroup!$I:$I,MATCH(표8[[#This Row],[열1]],[1]AdventureDiscoveryGroup!$B:$B,0))</f>
        <v>0</v>
      </c>
      <c r="K88" s="39" t="str">
        <f>IFERROR(INT(1000/POWER(1.5,VLOOKUP(J88,[1]Discovery!$B:$H,7,FALSE)^1.6)),"-")</f>
        <v>-</v>
      </c>
      <c r="L88" s="72" t="str">
        <f>IFERROR(표8[[#This Row],[배당'[1']]]/$AB88,"-")</f>
        <v>-</v>
      </c>
      <c r="M88" s="39" t="str">
        <f>INDEX([1]AdventureDiscoveryGroup!$N:$N,MATCH(표8[[#This Row],[열1]],[1]AdventureDiscoveryGroup!$B:$B,0))</f>
        <v>-</v>
      </c>
      <c r="N88" s="39" t="str">
        <f>IFERROR(INT(1000/POWER(1.5,VLOOKUP(M88,[1]Discovery!$B:$H,7,FALSE)^1.6)),"-")</f>
        <v>-</v>
      </c>
      <c r="O88" s="72" t="str">
        <f>IFERROR(표8[[#This Row],[배당'[2']]]/$AB88,"-")</f>
        <v>-</v>
      </c>
      <c r="P88" s="39" t="str">
        <f>INDEX([1]AdventureDiscoveryGroup!$S:$S,MATCH(표8[[#This Row],[열1]],[1]AdventureDiscoveryGroup!$B:$B,0))</f>
        <v>-</v>
      </c>
      <c r="Q88" s="39" t="str">
        <f>IFERROR(INT(1000/POWER(1.5,VLOOKUP(P88,[1]Discovery!$B:$H,7,FALSE)^1.6)),"-")</f>
        <v>-</v>
      </c>
      <c r="R88" s="72" t="str">
        <f>IFERROR(표8[[#This Row],[배당'[3']]]/$AB88,"-")</f>
        <v>-</v>
      </c>
      <c r="S88" s="40" t="str">
        <f>INDEX([1]AdventureDiscoveryGroup!$X:$X,MATCH(표8[[#This Row],[열1]],[1]AdventureDiscoveryGroup!$B:$B,0))</f>
        <v>-</v>
      </c>
      <c r="T88" s="40" t="str">
        <f>IFERROR(INT(1000/POWER(1.5,VLOOKUP(S88,[1]Discovery!$B:$H,7,FALSE)^1.6)),"-")</f>
        <v>-</v>
      </c>
      <c r="U88" s="72" t="str">
        <f>IFERROR(표8[[#This Row],[배당'[4']]]/$AB88,"-")</f>
        <v>-</v>
      </c>
      <c r="V88" s="40" t="str">
        <f>INDEX([1]AdventureDiscoveryGroup!$AC:$AC,MATCH(표8[[#This Row],[열1]],[1]AdventureDiscoveryGroup!$B:$B,0))</f>
        <v>-</v>
      </c>
      <c r="W88" s="40" t="str">
        <f>IFERROR(INT(1000/POWER(1.5,VLOOKUP(V88,[1]Discovery!$B:$H,7,FALSE)^1.6)),"-")</f>
        <v>-</v>
      </c>
      <c r="X88" s="72" t="str">
        <f>IFERROR(표8[[#This Row],[배당'[5']]]/$AB88,"-")</f>
        <v>-</v>
      </c>
      <c r="Y88" s="40" t="str">
        <f>INDEX([1]AdventureDiscoveryGroup!$AH:$AH,MATCH(표8[[#This Row],[열1]],[1]AdventureDiscoveryGroup!$B:$B,0))</f>
        <v>-</v>
      </c>
      <c r="Z88" s="40" t="str">
        <f>IFERROR(INT(1000/POWER(1.5,VLOOKUP(Y88,[1]Discovery!$B:$H,7,FALSE)^1.6)),"-")</f>
        <v>-</v>
      </c>
      <c r="AA88" s="72" t="str">
        <f>IFERROR(표8[[#This Row],[배당'[6']]]/$AB88,"-")</f>
        <v>-</v>
      </c>
      <c r="AB88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89" spans="2:28" x14ac:dyDescent="0.3">
      <c r="B89" s="39" t="str">
        <f>[1]LandExplore!E95</f>
        <v>그린란드 북부</v>
      </c>
      <c r="C89" s="39" t="str">
        <f>INDEX([1]LandExplore!$B:$B,MATCH(표8[[#This Row],[육지]],[1]LandExplore!$E:$E,0))</f>
        <v>##극지방(그린란드)</v>
      </c>
      <c r="D89" s="39" t="str">
        <f>IFERROR(VLOOKUP(표8[[#This Row],[육지]],[3]!표1_6[[이름]:[선단 LV]],6,FALSE),"-")</f>
        <v>-</v>
      </c>
      <c r="E89" s="39" t="str">
        <f>IFERROR(VLOOKUP(표8[[#This Row],[육지]],[3]!표1_6[[이름]:[위도]],3,FALSE),"-")</f>
        <v>-</v>
      </c>
      <c r="F89" s="39" t="str">
        <f>IFERROR(VLOOKUP(표8[[#This Row],[육지]],[3]!표1_6[[이름]:[위도]],2,FALSE),"-")</f>
        <v>-</v>
      </c>
      <c r="G89" s="39" t="str">
        <f>INDEX([1]AdventureDiscoveryGroup!$D:$D,MATCH(표8[[#This Row],[열1]],[1]AdventureDiscoveryGroup!$B:$B,0))</f>
        <v>카나크 부근</v>
      </c>
      <c r="H89" s="39" t="str">
        <f>IFERROR(INT(1000/POWER(1.5,VLOOKUP(G89,[1]Discovery!$B:$H,7,FALSE)^1.6)),"-")</f>
        <v>-</v>
      </c>
      <c r="I89" s="72" t="str">
        <f>IFERROR(표8[[#This Row],[배당'[0']]]/$AB89,"-")</f>
        <v>-</v>
      </c>
      <c r="J89" s="39" t="b">
        <f>INDEX([1]AdventureDiscoveryGroup!$I:$I,MATCH(표8[[#This Row],[열1]],[1]AdventureDiscoveryGroup!$B:$B,0))</f>
        <v>0</v>
      </c>
      <c r="K89" s="39" t="str">
        <f>IFERROR(INT(1000/POWER(1.5,VLOOKUP(J89,[1]Discovery!$B:$H,7,FALSE)^1.6)),"-")</f>
        <v>-</v>
      </c>
      <c r="L89" s="72" t="str">
        <f>IFERROR(표8[[#This Row],[배당'[1']]]/$AB89,"-")</f>
        <v>-</v>
      </c>
      <c r="M89" s="39" t="str">
        <f>INDEX([1]AdventureDiscoveryGroup!$N:$N,MATCH(표8[[#This Row],[열1]],[1]AdventureDiscoveryGroup!$B:$B,0))</f>
        <v>-</v>
      </c>
      <c r="N89" s="39" t="str">
        <f>IFERROR(INT(1000/POWER(1.5,VLOOKUP(M89,[1]Discovery!$B:$H,7,FALSE)^1.6)),"-")</f>
        <v>-</v>
      </c>
      <c r="O89" s="72" t="str">
        <f>IFERROR(표8[[#This Row],[배당'[2']]]/$AB89,"-")</f>
        <v>-</v>
      </c>
      <c r="P89" s="39" t="str">
        <f>INDEX([1]AdventureDiscoveryGroup!$S:$S,MATCH(표8[[#This Row],[열1]],[1]AdventureDiscoveryGroup!$B:$B,0))</f>
        <v>-</v>
      </c>
      <c r="Q89" s="39" t="str">
        <f>IFERROR(INT(1000/POWER(1.5,VLOOKUP(P89,[1]Discovery!$B:$H,7,FALSE)^1.6)),"-")</f>
        <v>-</v>
      </c>
      <c r="R89" s="72" t="str">
        <f>IFERROR(표8[[#This Row],[배당'[3']]]/$AB89,"-")</f>
        <v>-</v>
      </c>
      <c r="S89" s="40" t="str">
        <f>INDEX([1]AdventureDiscoveryGroup!$X:$X,MATCH(표8[[#This Row],[열1]],[1]AdventureDiscoveryGroup!$B:$B,0))</f>
        <v>-</v>
      </c>
      <c r="T89" s="40" t="str">
        <f>IFERROR(INT(1000/POWER(1.5,VLOOKUP(S89,[1]Discovery!$B:$H,7,FALSE)^1.6)),"-")</f>
        <v>-</v>
      </c>
      <c r="U89" s="72" t="str">
        <f>IFERROR(표8[[#This Row],[배당'[4']]]/$AB89,"-")</f>
        <v>-</v>
      </c>
      <c r="V89" s="40" t="str">
        <f>INDEX([1]AdventureDiscoveryGroup!$AC:$AC,MATCH(표8[[#This Row],[열1]],[1]AdventureDiscoveryGroup!$B:$B,0))</f>
        <v>-</v>
      </c>
      <c r="W89" s="40" t="str">
        <f>IFERROR(INT(1000/POWER(1.5,VLOOKUP(V89,[1]Discovery!$B:$H,7,FALSE)^1.6)),"-")</f>
        <v>-</v>
      </c>
      <c r="X89" s="72" t="str">
        <f>IFERROR(표8[[#This Row],[배당'[5']]]/$AB89,"-")</f>
        <v>-</v>
      </c>
      <c r="Y89" s="40" t="str">
        <f>INDEX([1]AdventureDiscoveryGroup!$AH:$AH,MATCH(표8[[#This Row],[열1]],[1]AdventureDiscoveryGroup!$B:$B,0))</f>
        <v>-</v>
      </c>
      <c r="Z89" s="40" t="str">
        <f>IFERROR(INT(1000/POWER(1.5,VLOOKUP(Y89,[1]Discovery!$B:$H,7,FALSE)^1.6)),"-")</f>
        <v>-</v>
      </c>
      <c r="AA89" s="72" t="str">
        <f>IFERROR(표8[[#This Row],[배당'[6']]]/$AB89,"-")</f>
        <v>-</v>
      </c>
      <c r="AB89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90" spans="2:28" x14ac:dyDescent="0.3">
      <c r="B90" s="39" t="str">
        <f>[1]LandExplore!E96</f>
        <v>카사블랑카 부근</v>
      </c>
      <c r="C90" s="39" t="str">
        <f>INDEX([1]LandExplore!$B:$B,MATCH(표8[[#This Row],[육지]],[1]LandExplore!$E:$E,0))</f>
        <v>##북아프리카(서)</v>
      </c>
      <c r="D90" s="39" t="str">
        <f>IFERROR(VLOOKUP(표8[[#This Row],[육지]],[3]!표1_6[[이름]:[선단 LV]],6,FALSE),"-")</f>
        <v>-</v>
      </c>
      <c r="E90" s="39" t="str">
        <f>IFERROR(VLOOKUP(표8[[#This Row],[육지]],[3]!표1_6[[이름]:[위도]],3,FALSE),"-")</f>
        <v>-</v>
      </c>
      <c r="F90" s="39" t="str">
        <f>IFERROR(VLOOKUP(표8[[#This Row],[육지]],[3]!표1_6[[이름]:[위도]],2,FALSE),"-")</f>
        <v>-</v>
      </c>
      <c r="G90" s="39" t="str">
        <f>INDEX([1]AdventureDiscoveryGroup!$D:$D,MATCH(표8[[#This Row],[열1]],[1]AdventureDiscoveryGroup!$B:$B,0))</f>
        <v>카사블랑카 부근</v>
      </c>
      <c r="H90" s="39" t="str">
        <f>IFERROR(INT(1000/POWER(1.5,VLOOKUP(G90,[1]Discovery!$B:$H,7,FALSE)^1.6)),"-")</f>
        <v>-</v>
      </c>
      <c r="I90" s="72" t="str">
        <f>IFERROR(표8[[#This Row],[배당'[0']]]/$AB90,"-")</f>
        <v>-</v>
      </c>
      <c r="J90" s="39" t="b">
        <f>INDEX([1]AdventureDiscoveryGroup!$I:$I,MATCH(표8[[#This Row],[열1]],[1]AdventureDiscoveryGroup!$B:$B,0))</f>
        <v>0</v>
      </c>
      <c r="K90" s="39" t="str">
        <f>IFERROR(INT(1000/POWER(1.5,VLOOKUP(J90,[1]Discovery!$B:$H,7,FALSE)^1.6)),"-")</f>
        <v>-</v>
      </c>
      <c r="L90" s="72" t="str">
        <f>IFERROR(표8[[#This Row],[배당'[1']]]/$AB90,"-")</f>
        <v>-</v>
      </c>
      <c r="M90" s="39" t="b">
        <f>INDEX([1]AdventureDiscoveryGroup!$N:$N,MATCH(표8[[#This Row],[열1]],[1]AdventureDiscoveryGroup!$B:$B,0))</f>
        <v>0</v>
      </c>
      <c r="N90" s="39" t="str">
        <f>IFERROR(INT(1000/POWER(1.5,VLOOKUP(M90,[1]Discovery!$B:$H,7,FALSE)^1.6)),"-")</f>
        <v>-</v>
      </c>
      <c r="O90" s="72" t="str">
        <f>IFERROR(표8[[#This Row],[배당'[2']]]/$AB90,"-")</f>
        <v>-</v>
      </c>
      <c r="P90" s="39" t="b">
        <f>INDEX([1]AdventureDiscoveryGroup!$S:$S,MATCH(표8[[#This Row],[열1]],[1]AdventureDiscoveryGroup!$B:$B,0))</f>
        <v>0</v>
      </c>
      <c r="Q90" s="39" t="str">
        <f>IFERROR(INT(1000/POWER(1.5,VLOOKUP(P90,[1]Discovery!$B:$H,7,FALSE)^1.6)),"-")</f>
        <v>-</v>
      </c>
      <c r="R90" s="72" t="str">
        <f>IFERROR(표8[[#This Row],[배당'[3']]]/$AB90,"-")</f>
        <v>-</v>
      </c>
      <c r="S90" s="40" t="b">
        <f>INDEX([1]AdventureDiscoveryGroup!$X:$X,MATCH(표8[[#This Row],[열1]],[1]AdventureDiscoveryGroup!$B:$B,0))</f>
        <v>0</v>
      </c>
      <c r="T90" s="40" t="str">
        <f>IFERROR(INT(1000/POWER(1.5,VLOOKUP(S90,[1]Discovery!$B:$H,7,FALSE)^1.6)),"-")</f>
        <v>-</v>
      </c>
      <c r="U90" s="72" t="str">
        <f>IFERROR(표8[[#This Row],[배당'[4']]]/$AB90,"-")</f>
        <v>-</v>
      </c>
      <c r="V90" s="40" t="b">
        <f>INDEX([1]AdventureDiscoveryGroup!$AC:$AC,MATCH(표8[[#This Row],[열1]],[1]AdventureDiscoveryGroup!$B:$B,0))</f>
        <v>0</v>
      </c>
      <c r="W90" s="40" t="str">
        <f>IFERROR(INT(1000/POWER(1.5,VLOOKUP(V90,[1]Discovery!$B:$H,7,FALSE)^1.6)),"-")</f>
        <v>-</v>
      </c>
      <c r="X90" s="72" t="str">
        <f>IFERROR(표8[[#This Row],[배당'[5']]]/$AB90,"-")</f>
        <v>-</v>
      </c>
      <c r="Y90" s="40" t="b">
        <f>INDEX([1]AdventureDiscoveryGroup!$AH:$AH,MATCH(표8[[#This Row],[열1]],[1]AdventureDiscoveryGroup!$B:$B,0))</f>
        <v>0</v>
      </c>
      <c r="Z90" s="40" t="str">
        <f>IFERROR(INT(1000/POWER(1.5,VLOOKUP(Y90,[1]Discovery!$B:$H,7,FALSE)^1.6)),"-")</f>
        <v>-</v>
      </c>
      <c r="AA90" s="72" t="str">
        <f>IFERROR(표8[[#This Row],[배당'[6']]]/$AB90,"-")</f>
        <v>-</v>
      </c>
      <c r="AB90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91" spans="2:28" x14ac:dyDescent="0.3">
      <c r="B91" s="39" t="str">
        <f>[1]LandExplore!E97</f>
        <v>아티나 부근</v>
      </c>
      <c r="C91" s="39" t="str">
        <f>INDEX([1]LandExplore!$B:$B,MATCH(표8[[#This Row],[육지]],[1]LandExplore!$E:$E,0))</f>
        <v>##발칸</v>
      </c>
      <c r="D91" s="39" t="str">
        <f>IFERROR(VLOOKUP(표8[[#This Row],[육지]],[3]!표1_6[[이름]:[선단 LV]],6,FALSE),"-")</f>
        <v>-</v>
      </c>
      <c r="E91" s="39" t="str">
        <f>IFERROR(VLOOKUP(표8[[#This Row],[육지]],[3]!표1_6[[이름]:[위도]],3,FALSE),"-")</f>
        <v>-</v>
      </c>
      <c r="F91" s="39" t="str">
        <f>IFERROR(VLOOKUP(표8[[#This Row],[육지]],[3]!표1_6[[이름]:[위도]],2,FALSE),"-")</f>
        <v>-</v>
      </c>
      <c r="G91" s="39" t="str">
        <f>INDEX([1]AdventureDiscoveryGroup!$D:$D,MATCH(표8[[#This Row],[열1]],[1]AdventureDiscoveryGroup!$B:$B,0))</f>
        <v>아티나 부근</v>
      </c>
      <c r="H91" s="39" t="str">
        <f>IFERROR(INT(1000/POWER(1.5,VLOOKUP(G91,[1]Discovery!$B:$H,7,FALSE)^1.6)),"-")</f>
        <v>-</v>
      </c>
      <c r="I91" s="72" t="str">
        <f>IFERROR(표8[[#This Row],[배당'[0']]]/$AB91,"-")</f>
        <v>-</v>
      </c>
      <c r="J91" s="39" t="b">
        <f>INDEX([1]AdventureDiscoveryGroup!$I:$I,MATCH(표8[[#This Row],[열1]],[1]AdventureDiscoveryGroup!$B:$B,0))</f>
        <v>0</v>
      </c>
      <c r="K91" s="39" t="str">
        <f>IFERROR(INT(1000/POWER(1.5,VLOOKUP(J91,[1]Discovery!$B:$H,7,FALSE)^1.6)),"-")</f>
        <v>-</v>
      </c>
      <c r="L91" s="72" t="str">
        <f>IFERROR(표8[[#This Row],[배당'[1']]]/$AB91,"-")</f>
        <v>-</v>
      </c>
      <c r="M91" s="39" t="b">
        <f>INDEX([1]AdventureDiscoveryGroup!$N:$N,MATCH(표8[[#This Row],[열1]],[1]AdventureDiscoveryGroup!$B:$B,0))</f>
        <v>0</v>
      </c>
      <c r="N91" s="39" t="str">
        <f>IFERROR(INT(1000/POWER(1.5,VLOOKUP(M91,[1]Discovery!$B:$H,7,FALSE)^1.6)),"-")</f>
        <v>-</v>
      </c>
      <c r="O91" s="72" t="str">
        <f>IFERROR(표8[[#This Row],[배당'[2']]]/$AB91,"-")</f>
        <v>-</v>
      </c>
      <c r="P91" s="39" t="b">
        <f>INDEX([1]AdventureDiscoveryGroup!$S:$S,MATCH(표8[[#This Row],[열1]],[1]AdventureDiscoveryGroup!$B:$B,0))</f>
        <v>0</v>
      </c>
      <c r="Q91" s="39" t="str">
        <f>IFERROR(INT(1000/POWER(1.5,VLOOKUP(P91,[1]Discovery!$B:$H,7,FALSE)^1.6)),"-")</f>
        <v>-</v>
      </c>
      <c r="R91" s="72" t="str">
        <f>IFERROR(표8[[#This Row],[배당'[3']]]/$AB91,"-")</f>
        <v>-</v>
      </c>
      <c r="S91" s="40" t="b">
        <f>INDEX([1]AdventureDiscoveryGroup!$X:$X,MATCH(표8[[#This Row],[열1]],[1]AdventureDiscoveryGroup!$B:$B,0))</f>
        <v>0</v>
      </c>
      <c r="T91" s="40" t="str">
        <f>IFERROR(INT(1000/POWER(1.5,VLOOKUP(S91,[1]Discovery!$B:$H,7,FALSE)^1.6)),"-")</f>
        <v>-</v>
      </c>
      <c r="U91" s="72" t="str">
        <f>IFERROR(표8[[#This Row],[배당'[4']]]/$AB91,"-")</f>
        <v>-</v>
      </c>
      <c r="V91" s="40" t="b">
        <f>INDEX([1]AdventureDiscoveryGroup!$AC:$AC,MATCH(표8[[#This Row],[열1]],[1]AdventureDiscoveryGroup!$B:$B,0))</f>
        <v>0</v>
      </c>
      <c r="W91" s="40" t="str">
        <f>IFERROR(INT(1000/POWER(1.5,VLOOKUP(V91,[1]Discovery!$B:$H,7,FALSE)^1.6)),"-")</f>
        <v>-</v>
      </c>
      <c r="X91" s="72" t="str">
        <f>IFERROR(표8[[#This Row],[배당'[5']]]/$AB91,"-")</f>
        <v>-</v>
      </c>
      <c r="Y91" s="40" t="b">
        <f>INDEX([1]AdventureDiscoveryGroup!$AH:$AH,MATCH(표8[[#This Row],[열1]],[1]AdventureDiscoveryGroup!$B:$B,0))</f>
        <v>0</v>
      </c>
      <c r="Z91" s="40" t="str">
        <f>IFERROR(INT(1000/POWER(1.5,VLOOKUP(Y91,[1]Discovery!$B:$H,7,FALSE)^1.6)),"-")</f>
        <v>-</v>
      </c>
      <c r="AA91" s="72" t="str">
        <f>IFERROR(표8[[#This Row],[배당'[6']]]/$AB91,"-")</f>
        <v>-</v>
      </c>
      <c r="AB91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92" spans="2:28" x14ac:dyDescent="0.3">
      <c r="B92" s="39" t="str">
        <f>[1]LandExplore!E98</f>
        <v>벵겔라 부근</v>
      </c>
      <c r="C92" s="39" t="str">
        <f>INDEX([1]LandExplore!$B:$B,MATCH(표8[[#This Row],[육지]],[1]LandExplore!$E:$E,0))</f>
        <v>##서아프리카(남)</v>
      </c>
      <c r="D92" s="39" t="str">
        <f>IFERROR(VLOOKUP(표8[[#This Row],[육지]],[3]!표1_6[[이름]:[선단 LV]],6,FALSE),"-")</f>
        <v>-</v>
      </c>
      <c r="E92" s="39" t="str">
        <f>IFERROR(VLOOKUP(표8[[#This Row],[육지]],[3]!표1_6[[이름]:[위도]],3,FALSE),"-")</f>
        <v>-</v>
      </c>
      <c r="F92" s="39" t="str">
        <f>IFERROR(VLOOKUP(표8[[#This Row],[육지]],[3]!표1_6[[이름]:[위도]],2,FALSE),"-")</f>
        <v>-</v>
      </c>
      <c r="G92" s="39" t="str">
        <f>INDEX([1]AdventureDiscoveryGroup!$D:$D,MATCH(표8[[#This Row],[열1]],[1]AdventureDiscoveryGroup!$B:$B,0))</f>
        <v>벵겔라 부근</v>
      </c>
      <c r="H92" s="39" t="str">
        <f>IFERROR(INT(1000/POWER(1.5,VLOOKUP(G92,[1]Discovery!$B:$H,7,FALSE)^1.6)),"-")</f>
        <v>-</v>
      </c>
      <c r="I92" s="72" t="str">
        <f>IFERROR(표8[[#This Row],[배당'[0']]]/$AB92,"-")</f>
        <v>-</v>
      </c>
      <c r="J92" s="39" t="b">
        <f>INDEX([1]AdventureDiscoveryGroup!$I:$I,MATCH(표8[[#This Row],[열1]],[1]AdventureDiscoveryGroup!$B:$B,0))</f>
        <v>0</v>
      </c>
      <c r="K92" s="39" t="str">
        <f>IFERROR(INT(1000/POWER(1.5,VLOOKUP(J92,[1]Discovery!$B:$H,7,FALSE)^1.6)),"-")</f>
        <v>-</v>
      </c>
      <c r="L92" s="72" t="str">
        <f>IFERROR(표8[[#This Row],[배당'[1']]]/$AB92,"-")</f>
        <v>-</v>
      </c>
      <c r="M92" s="39" t="b">
        <f>INDEX([1]AdventureDiscoveryGroup!$N:$N,MATCH(표8[[#This Row],[열1]],[1]AdventureDiscoveryGroup!$B:$B,0))</f>
        <v>0</v>
      </c>
      <c r="N92" s="39" t="str">
        <f>IFERROR(INT(1000/POWER(1.5,VLOOKUP(M92,[1]Discovery!$B:$H,7,FALSE)^1.6)),"-")</f>
        <v>-</v>
      </c>
      <c r="O92" s="72" t="str">
        <f>IFERROR(표8[[#This Row],[배당'[2']]]/$AB92,"-")</f>
        <v>-</v>
      </c>
      <c r="P92" s="39" t="b">
        <f>INDEX([1]AdventureDiscoveryGroup!$S:$S,MATCH(표8[[#This Row],[열1]],[1]AdventureDiscoveryGroup!$B:$B,0))</f>
        <v>0</v>
      </c>
      <c r="Q92" s="39" t="str">
        <f>IFERROR(INT(1000/POWER(1.5,VLOOKUP(P92,[1]Discovery!$B:$H,7,FALSE)^1.6)),"-")</f>
        <v>-</v>
      </c>
      <c r="R92" s="72" t="str">
        <f>IFERROR(표8[[#This Row],[배당'[3']]]/$AB92,"-")</f>
        <v>-</v>
      </c>
      <c r="S92" s="40" t="b">
        <f>INDEX([1]AdventureDiscoveryGroup!$X:$X,MATCH(표8[[#This Row],[열1]],[1]AdventureDiscoveryGroup!$B:$B,0))</f>
        <v>0</v>
      </c>
      <c r="T92" s="40" t="str">
        <f>IFERROR(INT(1000/POWER(1.5,VLOOKUP(S92,[1]Discovery!$B:$H,7,FALSE)^1.6)),"-")</f>
        <v>-</v>
      </c>
      <c r="U92" s="72" t="str">
        <f>IFERROR(표8[[#This Row],[배당'[4']]]/$AB92,"-")</f>
        <v>-</v>
      </c>
      <c r="V92" s="40" t="b">
        <f>INDEX([1]AdventureDiscoveryGroup!$AC:$AC,MATCH(표8[[#This Row],[열1]],[1]AdventureDiscoveryGroup!$B:$B,0))</f>
        <v>0</v>
      </c>
      <c r="W92" s="40" t="str">
        <f>IFERROR(INT(1000/POWER(1.5,VLOOKUP(V92,[1]Discovery!$B:$H,7,FALSE)^1.6)),"-")</f>
        <v>-</v>
      </c>
      <c r="X92" s="72" t="str">
        <f>IFERROR(표8[[#This Row],[배당'[5']]]/$AB92,"-")</f>
        <v>-</v>
      </c>
      <c r="Y92" s="40" t="b">
        <f>INDEX([1]AdventureDiscoveryGroup!$AH:$AH,MATCH(표8[[#This Row],[열1]],[1]AdventureDiscoveryGroup!$B:$B,0))</f>
        <v>0</v>
      </c>
      <c r="Z92" s="40" t="str">
        <f>IFERROR(INT(1000/POWER(1.5,VLOOKUP(Y92,[1]Discovery!$B:$H,7,FALSE)^1.6)),"-")</f>
        <v>-</v>
      </c>
      <c r="AA92" s="72" t="str">
        <f>IFERROR(표8[[#This Row],[배당'[6']]]/$AB92,"-")</f>
        <v>-</v>
      </c>
      <c r="AB92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93" spans="2:28" x14ac:dyDescent="0.3">
      <c r="B93" s="39" t="str">
        <f>[1]LandExplore!E99</f>
        <v>트라브존 부근</v>
      </c>
      <c r="C93" s="39" t="str">
        <f>INDEX([1]LandExplore!$B:$B,MATCH(표8[[#This Row],[육지]],[1]LandExplore!$E:$E,0))</f>
        <v>##터키</v>
      </c>
      <c r="D93" s="39" t="str">
        <f>IFERROR(VLOOKUP(표8[[#This Row],[육지]],[3]!표1_6[[이름]:[선단 LV]],6,FALSE),"-")</f>
        <v>-</v>
      </c>
      <c r="E93" s="39" t="str">
        <f>IFERROR(VLOOKUP(표8[[#This Row],[육지]],[3]!표1_6[[이름]:[위도]],3,FALSE),"-")</f>
        <v>-</v>
      </c>
      <c r="F93" s="39" t="str">
        <f>IFERROR(VLOOKUP(표8[[#This Row],[육지]],[3]!표1_6[[이름]:[위도]],2,FALSE),"-")</f>
        <v>-</v>
      </c>
      <c r="G93" s="39" t="str">
        <f>INDEX([1]AdventureDiscoveryGroup!$D:$D,MATCH(표8[[#This Row],[열1]],[1]AdventureDiscoveryGroup!$B:$B,0))</f>
        <v>트라브존 부근</v>
      </c>
      <c r="H93" s="39" t="str">
        <f>IFERROR(INT(1000/POWER(1.5,VLOOKUP(G93,[1]Discovery!$B:$H,7,FALSE)^1.6)),"-")</f>
        <v>-</v>
      </c>
      <c r="I93" s="72" t="str">
        <f>IFERROR(표8[[#This Row],[배당'[0']]]/$AB93,"-")</f>
        <v>-</v>
      </c>
      <c r="J93" s="39" t="b">
        <f>INDEX([1]AdventureDiscoveryGroup!$I:$I,MATCH(표8[[#This Row],[열1]],[1]AdventureDiscoveryGroup!$B:$B,0))</f>
        <v>0</v>
      </c>
      <c r="K93" s="39" t="str">
        <f>IFERROR(INT(1000/POWER(1.5,VLOOKUP(J93,[1]Discovery!$B:$H,7,FALSE)^1.6)),"-")</f>
        <v>-</v>
      </c>
      <c r="L93" s="72" t="str">
        <f>IFERROR(표8[[#This Row],[배당'[1']]]/$AB93,"-")</f>
        <v>-</v>
      </c>
      <c r="M93" s="39" t="b">
        <f>INDEX([1]AdventureDiscoveryGroup!$N:$N,MATCH(표8[[#This Row],[열1]],[1]AdventureDiscoveryGroup!$B:$B,0))</f>
        <v>0</v>
      </c>
      <c r="N93" s="39" t="str">
        <f>IFERROR(INT(1000/POWER(1.5,VLOOKUP(M93,[1]Discovery!$B:$H,7,FALSE)^1.6)),"-")</f>
        <v>-</v>
      </c>
      <c r="O93" s="72" t="str">
        <f>IFERROR(표8[[#This Row],[배당'[2']]]/$AB93,"-")</f>
        <v>-</v>
      </c>
      <c r="P93" s="39" t="b">
        <f>INDEX([1]AdventureDiscoveryGroup!$S:$S,MATCH(표8[[#This Row],[열1]],[1]AdventureDiscoveryGroup!$B:$B,0))</f>
        <v>0</v>
      </c>
      <c r="Q93" s="39" t="str">
        <f>IFERROR(INT(1000/POWER(1.5,VLOOKUP(P93,[1]Discovery!$B:$H,7,FALSE)^1.6)),"-")</f>
        <v>-</v>
      </c>
      <c r="R93" s="72" t="str">
        <f>IFERROR(표8[[#This Row],[배당'[3']]]/$AB93,"-")</f>
        <v>-</v>
      </c>
      <c r="S93" s="40" t="b">
        <f>INDEX([1]AdventureDiscoveryGroup!$X:$X,MATCH(표8[[#This Row],[열1]],[1]AdventureDiscoveryGroup!$B:$B,0))</f>
        <v>0</v>
      </c>
      <c r="T93" s="40" t="str">
        <f>IFERROR(INT(1000/POWER(1.5,VLOOKUP(S93,[1]Discovery!$B:$H,7,FALSE)^1.6)),"-")</f>
        <v>-</v>
      </c>
      <c r="U93" s="72" t="str">
        <f>IFERROR(표8[[#This Row],[배당'[4']]]/$AB93,"-")</f>
        <v>-</v>
      </c>
      <c r="V93" s="40" t="b">
        <f>INDEX([1]AdventureDiscoveryGroup!$AC:$AC,MATCH(표8[[#This Row],[열1]],[1]AdventureDiscoveryGroup!$B:$B,0))</f>
        <v>0</v>
      </c>
      <c r="W93" s="40" t="str">
        <f>IFERROR(INT(1000/POWER(1.5,VLOOKUP(V93,[1]Discovery!$B:$H,7,FALSE)^1.6)),"-")</f>
        <v>-</v>
      </c>
      <c r="X93" s="72" t="str">
        <f>IFERROR(표8[[#This Row],[배당'[5']]]/$AB93,"-")</f>
        <v>-</v>
      </c>
      <c r="Y93" s="40" t="b">
        <f>INDEX([1]AdventureDiscoveryGroup!$AH:$AH,MATCH(표8[[#This Row],[열1]],[1]AdventureDiscoveryGroup!$B:$B,0))</f>
        <v>0</v>
      </c>
      <c r="Z93" s="40" t="str">
        <f>IFERROR(INT(1000/POWER(1.5,VLOOKUP(Y93,[1]Discovery!$B:$H,7,FALSE)^1.6)),"-")</f>
        <v>-</v>
      </c>
      <c r="AA93" s="72" t="str">
        <f>IFERROR(표8[[#This Row],[배당'[6']]]/$AB93,"-")</f>
        <v>-</v>
      </c>
      <c r="AB93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94" spans="2:28" x14ac:dyDescent="0.3">
      <c r="B94" s="39" t="str">
        <f>[1]LandExplore!E100</f>
        <v>알이스칸다리야 부근</v>
      </c>
      <c r="C94" s="39" t="str">
        <f>INDEX([1]LandExplore!$B:$B,MATCH(표8[[#This Row],[육지]],[1]LandExplore!$E:$E,0))</f>
        <v>##북아프리카(동)</v>
      </c>
      <c r="D94" s="39" t="str">
        <f>IFERROR(VLOOKUP(표8[[#This Row],[육지]],[3]!표1_6[[이름]:[선단 LV]],6,FALSE),"-")</f>
        <v>-</v>
      </c>
      <c r="E94" s="39" t="str">
        <f>IFERROR(VLOOKUP(표8[[#This Row],[육지]],[3]!표1_6[[이름]:[위도]],3,FALSE),"-")</f>
        <v>-</v>
      </c>
      <c r="F94" s="39" t="str">
        <f>IFERROR(VLOOKUP(표8[[#This Row],[육지]],[3]!표1_6[[이름]:[위도]],2,FALSE),"-")</f>
        <v>-</v>
      </c>
      <c r="G94" s="39" t="str">
        <f>INDEX([1]AdventureDiscoveryGroup!$D:$D,MATCH(표8[[#This Row],[열1]],[1]AdventureDiscoveryGroup!$B:$B,0))</f>
        <v>알이스칸다리야 부근</v>
      </c>
      <c r="H94" s="39" t="str">
        <f>IFERROR(INT(1000/POWER(1.5,VLOOKUP(G94,[1]Discovery!$B:$H,7,FALSE)^1.6)),"-")</f>
        <v>-</v>
      </c>
      <c r="I94" s="72" t="str">
        <f>IFERROR(표8[[#This Row],[배당'[0']]]/$AB94,"-")</f>
        <v>-</v>
      </c>
      <c r="J94" s="39" t="b">
        <f>INDEX([1]AdventureDiscoveryGroup!$I:$I,MATCH(표8[[#This Row],[열1]],[1]AdventureDiscoveryGroup!$B:$B,0))</f>
        <v>0</v>
      </c>
      <c r="K94" s="39" t="str">
        <f>IFERROR(INT(1000/POWER(1.5,VLOOKUP(J94,[1]Discovery!$B:$H,7,FALSE)^1.6)),"-")</f>
        <v>-</v>
      </c>
      <c r="L94" s="72" t="str">
        <f>IFERROR(표8[[#This Row],[배당'[1']]]/$AB94,"-")</f>
        <v>-</v>
      </c>
      <c r="M94" s="39" t="b">
        <f>INDEX([1]AdventureDiscoveryGroup!$N:$N,MATCH(표8[[#This Row],[열1]],[1]AdventureDiscoveryGroup!$B:$B,0))</f>
        <v>0</v>
      </c>
      <c r="N94" s="39" t="str">
        <f>IFERROR(INT(1000/POWER(1.5,VLOOKUP(M94,[1]Discovery!$B:$H,7,FALSE)^1.6)),"-")</f>
        <v>-</v>
      </c>
      <c r="O94" s="72" t="str">
        <f>IFERROR(표8[[#This Row],[배당'[2']]]/$AB94,"-")</f>
        <v>-</v>
      </c>
      <c r="P94" s="39" t="b">
        <f>INDEX([1]AdventureDiscoveryGroup!$S:$S,MATCH(표8[[#This Row],[열1]],[1]AdventureDiscoveryGroup!$B:$B,0))</f>
        <v>0</v>
      </c>
      <c r="Q94" s="39" t="str">
        <f>IFERROR(INT(1000/POWER(1.5,VLOOKUP(P94,[1]Discovery!$B:$H,7,FALSE)^1.6)),"-")</f>
        <v>-</v>
      </c>
      <c r="R94" s="72" t="str">
        <f>IFERROR(표8[[#This Row],[배당'[3']]]/$AB94,"-")</f>
        <v>-</v>
      </c>
      <c r="S94" s="40" t="b">
        <f>INDEX([1]AdventureDiscoveryGroup!$X:$X,MATCH(표8[[#This Row],[열1]],[1]AdventureDiscoveryGroup!$B:$B,0))</f>
        <v>0</v>
      </c>
      <c r="T94" s="40" t="str">
        <f>IFERROR(INT(1000/POWER(1.5,VLOOKUP(S94,[1]Discovery!$B:$H,7,FALSE)^1.6)),"-")</f>
        <v>-</v>
      </c>
      <c r="U94" s="72" t="str">
        <f>IFERROR(표8[[#This Row],[배당'[4']]]/$AB94,"-")</f>
        <v>-</v>
      </c>
      <c r="V94" s="40" t="b">
        <f>INDEX([1]AdventureDiscoveryGroup!$AC:$AC,MATCH(표8[[#This Row],[열1]],[1]AdventureDiscoveryGroup!$B:$B,0))</f>
        <v>0</v>
      </c>
      <c r="W94" s="40" t="str">
        <f>IFERROR(INT(1000/POWER(1.5,VLOOKUP(V94,[1]Discovery!$B:$H,7,FALSE)^1.6)),"-")</f>
        <v>-</v>
      </c>
      <c r="X94" s="72" t="str">
        <f>IFERROR(표8[[#This Row],[배당'[5']]]/$AB94,"-")</f>
        <v>-</v>
      </c>
      <c r="Y94" s="40" t="b">
        <f>INDEX([1]AdventureDiscoveryGroup!$AH:$AH,MATCH(표8[[#This Row],[열1]],[1]AdventureDiscoveryGroup!$B:$B,0))</f>
        <v>0</v>
      </c>
      <c r="Z94" s="40" t="str">
        <f>IFERROR(INT(1000/POWER(1.5,VLOOKUP(Y94,[1]Discovery!$B:$H,7,FALSE)^1.6)),"-")</f>
        <v>-</v>
      </c>
      <c r="AA94" s="72" t="str">
        <f>IFERROR(표8[[#This Row],[배당'[6']]]/$AB94,"-")</f>
        <v>-</v>
      </c>
      <c r="AB94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95" spans="2:28" x14ac:dyDescent="0.3">
      <c r="B95" s="39" t="str">
        <f>[1]LandExplore!E101</f>
        <v>고아 부근</v>
      </c>
      <c r="C95" s="39" t="str">
        <f>INDEX([1]LandExplore!$B:$B,MATCH(표8[[#This Row],[육지]],[1]LandExplore!$E:$E,0))</f>
        <v>##인도</v>
      </c>
      <c r="D95" s="39" t="str">
        <f>IFERROR(VLOOKUP(표8[[#This Row],[육지]],[3]!표1_6[[이름]:[선단 LV]],6,FALSE),"-")</f>
        <v>-</v>
      </c>
      <c r="E95" s="39" t="str">
        <f>IFERROR(VLOOKUP(표8[[#This Row],[육지]],[3]!표1_6[[이름]:[위도]],3,FALSE),"-")</f>
        <v>-</v>
      </c>
      <c r="F95" s="39" t="str">
        <f>IFERROR(VLOOKUP(표8[[#This Row],[육지]],[3]!표1_6[[이름]:[위도]],2,FALSE),"-")</f>
        <v>-</v>
      </c>
      <c r="G95" s="39" t="str">
        <f>INDEX([1]AdventureDiscoveryGroup!$D:$D,MATCH(표8[[#This Row],[열1]],[1]AdventureDiscoveryGroup!$B:$B,0))</f>
        <v>고아 부근</v>
      </c>
      <c r="H95" s="39" t="str">
        <f>IFERROR(INT(1000/POWER(1.5,VLOOKUP(G95,[1]Discovery!$B:$H,7,FALSE)^1.6)),"-")</f>
        <v>-</v>
      </c>
      <c r="I95" s="72" t="str">
        <f>IFERROR(표8[[#This Row],[배당'[0']]]/$AB95,"-")</f>
        <v>-</v>
      </c>
      <c r="J95" s="39" t="b">
        <f>INDEX([1]AdventureDiscoveryGroup!$I:$I,MATCH(표8[[#This Row],[열1]],[1]AdventureDiscoveryGroup!$B:$B,0))</f>
        <v>0</v>
      </c>
      <c r="K95" s="39" t="str">
        <f>IFERROR(INT(1000/POWER(1.5,VLOOKUP(J95,[1]Discovery!$B:$H,7,FALSE)^1.6)),"-")</f>
        <v>-</v>
      </c>
      <c r="L95" s="72" t="str">
        <f>IFERROR(표8[[#This Row],[배당'[1']]]/$AB95,"-")</f>
        <v>-</v>
      </c>
      <c r="M95" s="39" t="b">
        <f>INDEX([1]AdventureDiscoveryGroup!$N:$N,MATCH(표8[[#This Row],[열1]],[1]AdventureDiscoveryGroup!$B:$B,0))</f>
        <v>0</v>
      </c>
      <c r="N95" s="39" t="str">
        <f>IFERROR(INT(1000/POWER(1.5,VLOOKUP(M95,[1]Discovery!$B:$H,7,FALSE)^1.6)),"-")</f>
        <v>-</v>
      </c>
      <c r="O95" s="72" t="str">
        <f>IFERROR(표8[[#This Row],[배당'[2']]]/$AB95,"-")</f>
        <v>-</v>
      </c>
      <c r="P95" s="39" t="b">
        <f>INDEX([1]AdventureDiscoveryGroup!$S:$S,MATCH(표8[[#This Row],[열1]],[1]AdventureDiscoveryGroup!$B:$B,0))</f>
        <v>0</v>
      </c>
      <c r="Q95" s="39" t="str">
        <f>IFERROR(INT(1000/POWER(1.5,VLOOKUP(P95,[1]Discovery!$B:$H,7,FALSE)^1.6)),"-")</f>
        <v>-</v>
      </c>
      <c r="R95" s="72" t="str">
        <f>IFERROR(표8[[#This Row],[배당'[3']]]/$AB95,"-")</f>
        <v>-</v>
      </c>
      <c r="S95" s="40" t="b">
        <f>INDEX([1]AdventureDiscoveryGroup!$X:$X,MATCH(표8[[#This Row],[열1]],[1]AdventureDiscoveryGroup!$B:$B,0))</f>
        <v>0</v>
      </c>
      <c r="T95" s="40" t="str">
        <f>IFERROR(INT(1000/POWER(1.5,VLOOKUP(S95,[1]Discovery!$B:$H,7,FALSE)^1.6)),"-")</f>
        <v>-</v>
      </c>
      <c r="U95" s="72" t="str">
        <f>IFERROR(표8[[#This Row],[배당'[4']]]/$AB95,"-")</f>
        <v>-</v>
      </c>
      <c r="V95" s="40" t="b">
        <f>INDEX([1]AdventureDiscoveryGroup!$AC:$AC,MATCH(표8[[#This Row],[열1]],[1]AdventureDiscoveryGroup!$B:$B,0))</f>
        <v>0</v>
      </c>
      <c r="W95" s="40" t="str">
        <f>IFERROR(INT(1000/POWER(1.5,VLOOKUP(V95,[1]Discovery!$B:$H,7,FALSE)^1.6)),"-")</f>
        <v>-</v>
      </c>
      <c r="X95" s="72" t="str">
        <f>IFERROR(표8[[#This Row],[배당'[5']]]/$AB95,"-")</f>
        <v>-</v>
      </c>
      <c r="Y95" s="40" t="b">
        <f>INDEX([1]AdventureDiscoveryGroup!$AH:$AH,MATCH(표8[[#This Row],[열1]],[1]AdventureDiscoveryGroup!$B:$B,0))</f>
        <v>0</v>
      </c>
      <c r="Z95" s="40" t="str">
        <f>IFERROR(INT(1000/POWER(1.5,VLOOKUP(Y95,[1]Discovery!$B:$H,7,FALSE)^1.6)),"-")</f>
        <v>-</v>
      </c>
      <c r="AA95" s="72" t="str">
        <f>IFERROR(표8[[#This Row],[배당'[6']]]/$AB95,"-")</f>
        <v>-</v>
      </c>
      <c r="AB95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96" spans="2:28" x14ac:dyDescent="0.3">
      <c r="B96" s="39" t="str">
        <f>[1]LandExplore!E102</f>
        <v>나폴리 부근</v>
      </c>
      <c r="C96" s="39" t="str">
        <f>INDEX([1]LandExplore!$B:$B,MATCH(표8[[#This Row],[육지]],[1]LandExplore!$E:$E,0))</f>
        <v>##이탈리아</v>
      </c>
      <c r="D96" s="39" t="str">
        <f>IFERROR(VLOOKUP(표8[[#This Row],[육지]],[3]!표1_6[[이름]:[선단 LV]],6,FALSE),"-")</f>
        <v>-</v>
      </c>
      <c r="E96" s="39" t="str">
        <f>IFERROR(VLOOKUP(표8[[#This Row],[육지]],[3]!표1_6[[이름]:[위도]],3,FALSE),"-")</f>
        <v>-</v>
      </c>
      <c r="F96" s="39" t="str">
        <f>IFERROR(VLOOKUP(표8[[#This Row],[육지]],[3]!표1_6[[이름]:[위도]],2,FALSE),"-")</f>
        <v>-</v>
      </c>
      <c r="G96" s="39" t="str">
        <f>INDEX([1]AdventureDiscoveryGroup!$D:$D,MATCH(표8[[#This Row],[열1]],[1]AdventureDiscoveryGroup!$B:$B,0))</f>
        <v>나폴리 부근</v>
      </c>
      <c r="H96" s="39" t="str">
        <f>IFERROR(INT(1000/POWER(1.5,VLOOKUP(G96,[1]Discovery!$B:$H,7,FALSE)^1.6)),"-")</f>
        <v>-</v>
      </c>
      <c r="I96" s="72" t="str">
        <f>IFERROR(표8[[#This Row],[배당'[0']]]/$AB96,"-")</f>
        <v>-</v>
      </c>
      <c r="J96" s="39" t="b">
        <f>INDEX([1]AdventureDiscoveryGroup!$I:$I,MATCH(표8[[#This Row],[열1]],[1]AdventureDiscoveryGroup!$B:$B,0))</f>
        <v>0</v>
      </c>
      <c r="K96" s="39" t="str">
        <f>IFERROR(INT(1000/POWER(1.5,VLOOKUP(J96,[1]Discovery!$B:$H,7,FALSE)^1.6)),"-")</f>
        <v>-</v>
      </c>
      <c r="L96" s="72" t="str">
        <f>IFERROR(표8[[#This Row],[배당'[1']]]/$AB96,"-")</f>
        <v>-</v>
      </c>
      <c r="M96" s="39" t="b">
        <f>INDEX([1]AdventureDiscoveryGroup!$N:$N,MATCH(표8[[#This Row],[열1]],[1]AdventureDiscoveryGroup!$B:$B,0))</f>
        <v>0</v>
      </c>
      <c r="N96" s="39" t="str">
        <f>IFERROR(INT(1000/POWER(1.5,VLOOKUP(M96,[1]Discovery!$B:$H,7,FALSE)^1.6)),"-")</f>
        <v>-</v>
      </c>
      <c r="O96" s="72" t="str">
        <f>IFERROR(표8[[#This Row],[배당'[2']]]/$AB96,"-")</f>
        <v>-</v>
      </c>
      <c r="P96" s="39" t="b">
        <f>INDEX([1]AdventureDiscoveryGroup!$S:$S,MATCH(표8[[#This Row],[열1]],[1]AdventureDiscoveryGroup!$B:$B,0))</f>
        <v>0</v>
      </c>
      <c r="Q96" s="39" t="str">
        <f>IFERROR(INT(1000/POWER(1.5,VLOOKUP(P96,[1]Discovery!$B:$H,7,FALSE)^1.6)),"-")</f>
        <v>-</v>
      </c>
      <c r="R96" s="72" t="str">
        <f>IFERROR(표8[[#This Row],[배당'[3']]]/$AB96,"-")</f>
        <v>-</v>
      </c>
      <c r="S96" s="40" t="b">
        <f>INDEX([1]AdventureDiscoveryGroup!$X:$X,MATCH(표8[[#This Row],[열1]],[1]AdventureDiscoveryGroup!$B:$B,0))</f>
        <v>0</v>
      </c>
      <c r="T96" s="40" t="str">
        <f>IFERROR(INT(1000/POWER(1.5,VLOOKUP(S96,[1]Discovery!$B:$H,7,FALSE)^1.6)),"-")</f>
        <v>-</v>
      </c>
      <c r="U96" s="72" t="str">
        <f>IFERROR(표8[[#This Row],[배당'[4']]]/$AB96,"-")</f>
        <v>-</v>
      </c>
      <c r="V96" s="40" t="b">
        <f>INDEX([1]AdventureDiscoveryGroup!$AC:$AC,MATCH(표8[[#This Row],[열1]],[1]AdventureDiscoveryGroup!$B:$B,0))</f>
        <v>0</v>
      </c>
      <c r="W96" s="40" t="str">
        <f>IFERROR(INT(1000/POWER(1.5,VLOOKUP(V96,[1]Discovery!$B:$H,7,FALSE)^1.6)),"-")</f>
        <v>-</v>
      </c>
      <c r="X96" s="72" t="str">
        <f>IFERROR(표8[[#This Row],[배당'[5']]]/$AB96,"-")</f>
        <v>-</v>
      </c>
      <c r="Y96" s="40" t="b">
        <f>INDEX([1]AdventureDiscoveryGroup!$AH:$AH,MATCH(표8[[#This Row],[열1]],[1]AdventureDiscoveryGroup!$B:$B,0))</f>
        <v>0</v>
      </c>
      <c r="Z96" s="40" t="str">
        <f>IFERROR(INT(1000/POWER(1.5,VLOOKUP(Y96,[1]Discovery!$B:$H,7,FALSE)^1.6)),"-")</f>
        <v>-</v>
      </c>
      <c r="AA96" s="72" t="str">
        <f>IFERROR(표8[[#This Row],[배당'[6']]]/$AB96,"-")</f>
        <v>-</v>
      </c>
      <c r="AB96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97" spans="2:28" x14ac:dyDescent="0.3">
      <c r="B97" s="39" t="str">
        <f>[1]LandExplore!E103</f>
        <v>과테말라 부근</v>
      </c>
      <c r="C97" s="39" t="str">
        <f>INDEX([1]LandExplore!$B:$B,MATCH(표8[[#This Row],[육지]],[1]LandExplore!$E:$E,0))</f>
        <v>##중앙아메리카(서)</v>
      </c>
      <c r="D97" s="39" t="str">
        <f>IFERROR(VLOOKUP(표8[[#This Row],[육지]],[3]!표1_6[[이름]:[선단 LV]],6,FALSE),"-")</f>
        <v>-</v>
      </c>
      <c r="E97" s="39" t="str">
        <f>IFERROR(VLOOKUP(표8[[#This Row],[육지]],[3]!표1_6[[이름]:[위도]],3,FALSE),"-")</f>
        <v>-</v>
      </c>
      <c r="F97" s="39" t="str">
        <f>IFERROR(VLOOKUP(표8[[#This Row],[육지]],[3]!표1_6[[이름]:[위도]],2,FALSE),"-")</f>
        <v>-</v>
      </c>
      <c r="G97" s="39" t="str">
        <f>INDEX([1]AdventureDiscoveryGroup!$D:$D,MATCH(표8[[#This Row],[열1]],[1]AdventureDiscoveryGroup!$B:$B,0))</f>
        <v>과테말라 부근</v>
      </c>
      <c r="H97" s="39" t="str">
        <f>IFERROR(INT(1000/POWER(1.5,VLOOKUP(G97,[1]Discovery!$B:$H,7,FALSE)^1.6)),"-")</f>
        <v>-</v>
      </c>
      <c r="I97" s="72" t="str">
        <f>IFERROR(표8[[#This Row],[배당'[0']]]/$AB97,"-")</f>
        <v>-</v>
      </c>
      <c r="J97" s="39" t="b">
        <f>INDEX([1]AdventureDiscoveryGroup!$I:$I,MATCH(표8[[#This Row],[열1]],[1]AdventureDiscoveryGroup!$B:$B,0))</f>
        <v>0</v>
      </c>
      <c r="K97" s="39" t="str">
        <f>IFERROR(INT(1000/POWER(1.5,VLOOKUP(J97,[1]Discovery!$B:$H,7,FALSE)^1.6)),"-")</f>
        <v>-</v>
      </c>
      <c r="L97" s="72" t="str">
        <f>IFERROR(표8[[#This Row],[배당'[1']]]/$AB97,"-")</f>
        <v>-</v>
      </c>
      <c r="M97" s="39" t="b">
        <f>INDEX([1]AdventureDiscoveryGroup!$N:$N,MATCH(표8[[#This Row],[열1]],[1]AdventureDiscoveryGroup!$B:$B,0))</f>
        <v>0</v>
      </c>
      <c r="N97" s="39" t="str">
        <f>IFERROR(INT(1000/POWER(1.5,VLOOKUP(M97,[1]Discovery!$B:$H,7,FALSE)^1.6)),"-")</f>
        <v>-</v>
      </c>
      <c r="O97" s="72" t="str">
        <f>IFERROR(표8[[#This Row],[배당'[2']]]/$AB97,"-")</f>
        <v>-</v>
      </c>
      <c r="P97" s="39" t="b">
        <f>INDEX([1]AdventureDiscoveryGroup!$S:$S,MATCH(표8[[#This Row],[열1]],[1]AdventureDiscoveryGroup!$B:$B,0))</f>
        <v>0</v>
      </c>
      <c r="Q97" s="39" t="str">
        <f>IFERROR(INT(1000/POWER(1.5,VLOOKUP(P97,[1]Discovery!$B:$H,7,FALSE)^1.6)),"-")</f>
        <v>-</v>
      </c>
      <c r="R97" s="72" t="str">
        <f>IFERROR(표8[[#This Row],[배당'[3']]]/$AB97,"-")</f>
        <v>-</v>
      </c>
      <c r="S97" s="40" t="b">
        <f>INDEX([1]AdventureDiscoveryGroup!$X:$X,MATCH(표8[[#This Row],[열1]],[1]AdventureDiscoveryGroup!$B:$B,0))</f>
        <v>0</v>
      </c>
      <c r="T97" s="40" t="str">
        <f>IFERROR(INT(1000/POWER(1.5,VLOOKUP(S97,[1]Discovery!$B:$H,7,FALSE)^1.6)),"-")</f>
        <v>-</v>
      </c>
      <c r="U97" s="72" t="str">
        <f>IFERROR(표8[[#This Row],[배당'[4']]]/$AB97,"-")</f>
        <v>-</v>
      </c>
      <c r="V97" s="40" t="b">
        <f>INDEX([1]AdventureDiscoveryGroup!$AC:$AC,MATCH(표8[[#This Row],[열1]],[1]AdventureDiscoveryGroup!$B:$B,0))</f>
        <v>0</v>
      </c>
      <c r="W97" s="40" t="str">
        <f>IFERROR(INT(1000/POWER(1.5,VLOOKUP(V97,[1]Discovery!$B:$H,7,FALSE)^1.6)),"-")</f>
        <v>-</v>
      </c>
      <c r="X97" s="72" t="str">
        <f>IFERROR(표8[[#This Row],[배당'[5']]]/$AB97,"-")</f>
        <v>-</v>
      </c>
      <c r="Y97" s="40" t="b">
        <f>INDEX([1]AdventureDiscoveryGroup!$AH:$AH,MATCH(표8[[#This Row],[열1]],[1]AdventureDiscoveryGroup!$B:$B,0))</f>
        <v>0</v>
      </c>
      <c r="Z97" s="40" t="str">
        <f>IFERROR(INT(1000/POWER(1.5,VLOOKUP(Y97,[1]Discovery!$B:$H,7,FALSE)^1.6)),"-")</f>
        <v>-</v>
      </c>
      <c r="AA97" s="72" t="str">
        <f>IFERROR(표8[[#This Row],[배당'[6']]]/$AB97,"-")</f>
        <v>-</v>
      </c>
      <c r="AB97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98" spans="2:28" x14ac:dyDescent="0.3">
      <c r="B98" s="39" t="str">
        <f>[1]LandExplore!E104</f>
        <v>스톡홀름 부근</v>
      </c>
      <c r="C98" s="39" t="str">
        <f>INDEX([1]LandExplore!$B:$B,MATCH(표8[[#This Row],[육지]],[1]LandExplore!$E:$E,0))</f>
        <v>##발트해</v>
      </c>
      <c r="D98" s="39" t="str">
        <f>IFERROR(VLOOKUP(표8[[#This Row],[육지]],[3]!표1_6[[이름]:[선단 LV]],6,FALSE),"-")</f>
        <v>-</v>
      </c>
      <c r="E98" s="39" t="str">
        <f>IFERROR(VLOOKUP(표8[[#This Row],[육지]],[3]!표1_6[[이름]:[위도]],3,FALSE),"-")</f>
        <v>-</v>
      </c>
      <c r="F98" s="39" t="str">
        <f>IFERROR(VLOOKUP(표8[[#This Row],[육지]],[3]!표1_6[[이름]:[위도]],2,FALSE),"-")</f>
        <v>-</v>
      </c>
      <c r="G98" s="39" t="str">
        <f>INDEX([1]AdventureDiscoveryGroup!$D:$D,MATCH(표8[[#This Row],[열1]],[1]AdventureDiscoveryGroup!$B:$B,0))</f>
        <v>스톡홀름 부근</v>
      </c>
      <c r="H98" s="39" t="str">
        <f>IFERROR(INT(1000/POWER(1.5,VLOOKUP(G98,[1]Discovery!$B:$H,7,FALSE)^1.6)),"-")</f>
        <v>-</v>
      </c>
      <c r="I98" s="72" t="str">
        <f>IFERROR(표8[[#This Row],[배당'[0']]]/$AB98,"-")</f>
        <v>-</v>
      </c>
      <c r="J98" s="39" t="b">
        <f>INDEX([1]AdventureDiscoveryGroup!$I:$I,MATCH(표8[[#This Row],[열1]],[1]AdventureDiscoveryGroup!$B:$B,0))</f>
        <v>0</v>
      </c>
      <c r="K98" s="39" t="str">
        <f>IFERROR(INT(1000/POWER(1.5,VLOOKUP(J98,[1]Discovery!$B:$H,7,FALSE)^1.6)),"-")</f>
        <v>-</v>
      </c>
      <c r="L98" s="72" t="str">
        <f>IFERROR(표8[[#This Row],[배당'[1']]]/$AB98,"-")</f>
        <v>-</v>
      </c>
      <c r="M98" s="39" t="b">
        <f>INDEX([1]AdventureDiscoveryGroup!$N:$N,MATCH(표8[[#This Row],[열1]],[1]AdventureDiscoveryGroup!$B:$B,0))</f>
        <v>0</v>
      </c>
      <c r="N98" s="39" t="str">
        <f>IFERROR(INT(1000/POWER(1.5,VLOOKUP(M98,[1]Discovery!$B:$H,7,FALSE)^1.6)),"-")</f>
        <v>-</v>
      </c>
      <c r="O98" s="72" t="str">
        <f>IFERROR(표8[[#This Row],[배당'[2']]]/$AB98,"-")</f>
        <v>-</v>
      </c>
      <c r="P98" s="39" t="b">
        <f>INDEX([1]AdventureDiscoveryGroup!$S:$S,MATCH(표8[[#This Row],[열1]],[1]AdventureDiscoveryGroup!$B:$B,0))</f>
        <v>0</v>
      </c>
      <c r="Q98" s="39" t="str">
        <f>IFERROR(INT(1000/POWER(1.5,VLOOKUP(P98,[1]Discovery!$B:$H,7,FALSE)^1.6)),"-")</f>
        <v>-</v>
      </c>
      <c r="R98" s="72" t="str">
        <f>IFERROR(표8[[#This Row],[배당'[3']]]/$AB98,"-")</f>
        <v>-</v>
      </c>
      <c r="S98" s="40" t="b">
        <f>INDEX([1]AdventureDiscoveryGroup!$X:$X,MATCH(표8[[#This Row],[열1]],[1]AdventureDiscoveryGroup!$B:$B,0))</f>
        <v>0</v>
      </c>
      <c r="T98" s="40" t="str">
        <f>IFERROR(INT(1000/POWER(1.5,VLOOKUP(S98,[1]Discovery!$B:$H,7,FALSE)^1.6)),"-")</f>
        <v>-</v>
      </c>
      <c r="U98" s="72" t="str">
        <f>IFERROR(표8[[#This Row],[배당'[4']]]/$AB98,"-")</f>
        <v>-</v>
      </c>
      <c r="V98" s="40" t="b">
        <f>INDEX([1]AdventureDiscoveryGroup!$AC:$AC,MATCH(표8[[#This Row],[열1]],[1]AdventureDiscoveryGroup!$B:$B,0))</f>
        <v>0</v>
      </c>
      <c r="W98" s="40" t="str">
        <f>IFERROR(INT(1000/POWER(1.5,VLOOKUP(V98,[1]Discovery!$B:$H,7,FALSE)^1.6)),"-")</f>
        <v>-</v>
      </c>
      <c r="X98" s="72" t="str">
        <f>IFERROR(표8[[#This Row],[배당'[5']]]/$AB98,"-")</f>
        <v>-</v>
      </c>
      <c r="Y98" s="40" t="b">
        <f>INDEX([1]AdventureDiscoveryGroup!$AH:$AH,MATCH(표8[[#This Row],[열1]],[1]AdventureDiscoveryGroup!$B:$B,0))</f>
        <v>0</v>
      </c>
      <c r="Z98" s="40" t="str">
        <f>IFERROR(INT(1000/POWER(1.5,VLOOKUP(Y98,[1]Discovery!$B:$H,7,FALSE)^1.6)),"-")</f>
        <v>-</v>
      </c>
      <c r="AA98" s="72" t="str">
        <f>IFERROR(표8[[#This Row],[배당'[6']]]/$AB98,"-")</f>
        <v>-</v>
      </c>
      <c r="AB98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99" spans="2:28" x14ac:dyDescent="0.3">
      <c r="B99" s="39" t="str">
        <f>[1]LandExplore!E105</f>
        <v>도파르 부근</v>
      </c>
      <c r="C99" s="39" t="str">
        <f>INDEX([1]LandExplore!$B:$B,MATCH(표8[[#This Row],[육지]],[1]LandExplore!$E:$E,0))</f>
        <v>##아랍</v>
      </c>
      <c r="D99" s="39" t="str">
        <f>IFERROR(VLOOKUP(표8[[#This Row],[육지]],[3]!표1_6[[이름]:[선단 LV]],6,FALSE),"-")</f>
        <v>-</v>
      </c>
      <c r="E99" s="39" t="str">
        <f>IFERROR(VLOOKUP(표8[[#This Row],[육지]],[3]!표1_6[[이름]:[위도]],3,FALSE),"-")</f>
        <v>-</v>
      </c>
      <c r="F99" s="39" t="str">
        <f>IFERROR(VLOOKUP(표8[[#This Row],[육지]],[3]!표1_6[[이름]:[위도]],2,FALSE),"-")</f>
        <v>-</v>
      </c>
      <c r="G99" s="39" t="str">
        <f>INDEX([1]AdventureDiscoveryGroup!$D:$D,MATCH(표8[[#This Row],[열1]],[1]AdventureDiscoveryGroup!$B:$B,0))</f>
        <v>도파르 부근</v>
      </c>
      <c r="H99" s="39" t="str">
        <f>IFERROR(INT(1000/POWER(1.5,VLOOKUP(G99,[1]Discovery!$B:$H,7,FALSE)^1.6)),"-")</f>
        <v>-</v>
      </c>
      <c r="I99" s="72" t="str">
        <f>IFERROR(표8[[#This Row],[배당'[0']]]/$AB99,"-")</f>
        <v>-</v>
      </c>
      <c r="J99" s="39" t="b">
        <f>INDEX([1]AdventureDiscoveryGroup!$I:$I,MATCH(표8[[#This Row],[열1]],[1]AdventureDiscoveryGroup!$B:$B,0))</f>
        <v>0</v>
      </c>
      <c r="K99" s="39" t="str">
        <f>IFERROR(INT(1000/POWER(1.5,VLOOKUP(J99,[1]Discovery!$B:$H,7,FALSE)^1.6)),"-")</f>
        <v>-</v>
      </c>
      <c r="L99" s="72" t="str">
        <f>IFERROR(표8[[#This Row],[배당'[1']]]/$AB99,"-")</f>
        <v>-</v>
      </c>
      <c r="M99" s="39" t="b">
        <f>INDEX([1]AdventureDiscoveryGroup!$N:$N,MATCH(표8[[#This Row],[열1]],[1]AdventureDiscoveryGroup!$B:$B,0))</f>
        <v>0</v>
      </c>
      <c r="N99" s="39" t="str">
        <f>IFERROR(INT(1000/POWER(1.5,VLOOKUP(M99,[1]Discovery!$B:$H,7,FALSE)^1.6)),"-")</f>
        <v>-</v>
      </c>
      <c r="O99" s="72" t="str">
        <f>IFERROR(표8[[#This Row],[배당'[2']]]/$AB99,"-")</f>
        <v>-</v>
      </c>
      <c r="P99" s="39" t="b">
        <f>INDEX([1]AdventureDiscoveryGroup!$S:$S,MATCH(표8[[#This Row],[열1]],[1]AdventureDiscoveryGroup!$B:$B,0))</f>
        <v>0</v>
      </c>
      <c r="Q99" s="39" t="str">
        <f>IFERROR(INT(1000/POWER(1.5,VLOOKUP(P99,[1]Discovery!$B:$H,7,FALSE)^1.6)),"-")</f>
        <v>-</v>
      </c>
      <c r="R99" s="72" t="str">
        <f>IFERROR(표8[[#This Row],[배당'[3']]]/$AB99,"-")</f>
        <v>-</v>
      </c>
      <c r="S99" s="40" t="b">
        <f>INDEX([1]AdventureDiscoveryGroup!$X:$X,MATCH(표8[[#This Row],[열1]],[1]AdventureDiscoveryGroup!$B:$B,0))</f>
        <v>0</v>
      </c>
      <c r="T99" s="40" t="str">
        <f>IFERROR(INT(1000/POWER(1.5,VLOOKUP(S99,[1]Discovery!$B:$H,7,FALSE)^1.6)),"-")</f>
        <v>-</v>
      </c>
      <c r="U99" s="72" t="str">
        <f>IFERROR(표8[[#This Row],[배당'[4']]]/$AB99,"-")</f>
        <v>-</v>
      </c>
      <c r="V99" s="40" t="b">
        <f>INDEX([1]AdventureDiscoveryGroup!$AC:$AC,MATCH(표8[[#This Row],[열1]],[1]AdventureDiscoveryGroup!$B:$B,0))</f>
        <v>0</v>
      </c>
      <c r="W99" s="40" t="str">
        <f>IFERROR(INT(1000/POWER(1.5,VLOOKUP(V99,[1]Discovery!$B:$H,7,FALSE)^1.6)),"-")</f>
        <v>-</v>
      </c>
      <c r="X99" s="72" t="str">
        <f>IFERROR(표8[[#This Row],[배당'[5']]]/$AB99,"-")</f>
        <v>-</v>
      </c>
      <c r="Y99" s="40" t="b">
        <f>INDEX([1]AdventureDiscoveryGroup!$AH:$AH,MATCH(표8[[#This Row],[열1]],[1]AdventureDiscoveryGroup!$B:$B,0))</f>
        <v>0</v>
      </c>
      <c r="Z99" s="40" t="str">
        <f>IFERROR(INT(1000/POWER(1.5,VLOOKUP(Y99,[1]Discovery!$B:$H,7,FALSE)^1.6)),"-")</f>
        <v>-</v>
      </c>
      <c r="AA99" s="72" t="str">
        <f>IFERROR(표8[[#This Row],[배당'[6']]]/$AB99,"-")</f>
        <v>-</v>
      </c>
      <c r="AB99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00" spans="2:28" x14ac:dyDescent="0.3">
      <c r="B100" s="39" t="str">
        <f>[1]LandExplore!E106</f>
        <v>알이스칸다리야 부근</v>
      </c>
      <c r="C100" s="39" t="str">
        <f>INDEX([1]LandExplore!$B:$B,MATCH(표8[[#This Row],[육지]],[1]LandExplore!$E:$E,0))</f>
        <v>##북아프리카(동)</v>
      </c>
      <c r="D100" s="39" t="str">
        <f>IFERROR(VLOOKUP(표8[[#This Row],[육지]],[3]!표1_6[[이름]:[선단 LV]],6,FALSE),"-")</f>
        <v>-</v>
      </c>
      <c r="E100" s="39" t="str">
        <f>IFERROR(VLOOKUP(표8[[#This Row],[육지]],[3]!표1_6[[이름]:[위도]],3,FALSE),"-")</f>
        <v>-</v>
      </c>
      <c r="F100" s="39" t="str">
        <f>IFERROR(VLOOKUP(표8[[#This Row],[육지]],[3]!표1_6[[이름]:[위도]],2,FALSE),"-")</f>
        <v>-</v>
      </c>
      <c r="G100" s="39" t="str">
        <f>INDEX([1]AdventureDiscoveryGroup!$D:$D,MATCH(표8[[#This Row],[열1]],[1]AdventureDiscoveryGroup!$B:$B,0))</f>
        <v>알이스칸다리야 부근</v>
      </c>
      <c r="H100" s="39" t="str">
        <f>IFERROR(INT(1000/POWER(1.5,VLOOKUP(G100,[1]Discovery!$B:$H,7,FALSE)^1.6)),"-")</f>
        <v>-</v>
      </c>
      <c r="I100" s="72" t="str">
        <f>IFERROR(표8[[#This Row],[배당'[0']]]/$AB100,"-")</f>
        <v>-</v>
      </c>
      <c r="J100" s="39" t="b">
        <f>INDEX([1]AdventureDiscoveryGroup!$I:$I,MATCH(표8[[#This Row],[열1]],[1]AdventureDiscoveryGroup!$B:$B,0))</f>
        <v>0</v>
      </c>
      <c r="K100" s="39" t="str">
        <f>IFERROR(INT(1000/POWER(1.5,VLOOKUP(J100,[1]Discovery!$B:$H,7,FALSE)^1.6)),"-")</f>
        <v>-</v>
      </c>
      <c r="L100" s="72" t="str">
        <f>IFERROR(표8[[#This Row],[배당'[1']]]/$AB100,"-")</f>
        <v>-</v>
      </c>
      <c r="M100" s="39" t="b">
        <f>INDEX([1]AdventureDiscoveryGroup!$N:$N,MATCH(표8[[#This Row],[열1]],[1]AdventureDiscoveryGroup!$B:$B,0))</f>
        <v>0</v>
      </c>
      <c r="N100" s="39" t="str">
        <f>IFERROR(INT(1000/POWER(1.5,VLOOKUP(M100,[1]Discovery!$B:$H,7,FALSE)^1.6)),"-")</f>
        <v>-</v>
      </c>
      <c r="O100" s="72" t="str">
        <f>IFERROR(표8[[#This Row],[배당'[2']]]/$AB100,"-")</f>
        <v>-</v>
      </c>
      <c r="P100" s="39" t="b">
        <f>INDEX([1]AdventureDiscoveryGroup!$S:$S,MATCH(표8[[#This Row],[열1]],[1]AdventureDiscoveryGroup!$B:$B,0))</f>
        <v>0</v>
      </c>
      <c r="Q100" s="39" t="str">
        <f>IFERROR(INT(1000/POWER(1.5,VLOOKUP(P100,[1]Discovery!$B:$H,7,FALSE)^1.6)),"-")</f>
        <v>-</v>
      </c>
      <c r="R100" s="72" t="str">
        <f>IFERROR(표8[[#This Row],[배당'[3']]]/$AB100,"-")</f>
        <v>-</v>
      </c>
      <c r="S100" s="40" t="b">
        <f>INDEX([1]AdventureDiscoveryGroup!$X:$X,MATCH(표8[[#This Row],[열1]],[1]AdventureDiscoveryGroup!$B:$B,0))</f>
        <v>0</v>
      </c>
      <c r="T100" s="40" t="str">
        <f>IFERROR(INT(1000/POWER(1.5,VLOOKUP(S100,[1]Discovery!$B:$H,7,FALSE)^1.6)),"-")</f>
        <v>-</v>
      </c>
      <c r="U100" s="72" t="str">
        <f>IFERROR(표8[[#This Row],[배당'[4']]]/$AB100,"-")</f>
        <v>-</v>
      </c>
      <c r="V100" s="40" t="b">
        <f>INDEX([1]AdventureDiscoveryGroup!$AC:$AC,MATCH(표8[[#This Row],[열1]],[1]AdventureDiscoveryGroup!$B:$B,0))</f>
        <v>0</v>
      </c>
      <c r="W100" s="40" t="str">
        <f>IFERROR(INT(1000/POWER(1.5,VLOOKUP(V100,[1]Discovery!$B:$H,7,FALSE)^1.6)),"-")</f>
        <v>-</v>
      </c>
      <c r="X100" s="72" t="str">
        <f>IFERROR(표8[[#This Row],[배당'[5']]]/$AB100,"-")</f>
        <v>-</v>
      </c>
      <c r="Y100" s="40" t="b">
        <f>INDEX([1]AdventureDiscoveryGroup!$AH:$AH,MATCH(표8[[#This Row],[열1]],[1]AdventureDiscoveryGroup!$B:$B,0))</f>
        <v>0</v>
      </c>
      <c r="Z100" s="40" t="str">
        <f>IFERROR(INT(1000/POWER(1.5,VLOOKUP(Y100,[1]Discovery!$B:$H,7,FALSE)^1.6)),"-")</f>
        <v>-</v>
      </c>
      <c r="AA100" s="72" t="str">
        <f>IFERROR(표8[[#This Row],[배당'[6']]]/$AB100,"-")</f>
        <v>-</v>
      </c>
      <c r="AB100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01" spans="2:28" x14ac:dyDescent="0.3">
      <c r="B101" s="39" t="str">
        <f>[1]LandExplore!E107</f>
        <v>나폴리 부근</v>
      </c>
      <c r="C101" s="39" t="str">
        <f>INDEX([1]LandExplore!$B:$B,MATCH(표8[[#This Row],[육지]],[1]LandExplore!$E:$E,0))</f>
        <v>##이탈리아</v>
      </c>
      <c r="D101" s="39" t="str">
        <f>IFERROR(VLOOKUP(표8[[#This Row],[육지]],[3]!표1_6[[이름]:[선단 LV]],6,FALSE),"-")</f>
        <v>-</v>
      </c>
      <c r="E101" s="39" t="str">
        <f>IFERROR(VLOOKUP(표8[[#This Row],[육지]],[3]!표1_6[[이름]:[위도]],3,FALSE),"-")</f>
        <v>-</v>
      </c>
      <c r="F101" s="39" t="str">
        <f>IFERROR(VLOOKUP(표8[[#This Row],[육지]],[3]!표1_6[[이름]:[위도]],2,FALSE),"-")</f>
        <v>-</v>
      </c>
      <c r="G101" s="39" t="str">
        <f>INDEX([1]AdventureDiscoveryGroup!$D:$D,MATCH(표8[[#This Row],[열1]],[1]AdventureDiscoveryGroup!$B:$B,0))</f>
        <v>나폴리 부근</v>
      </c>
      <c r="H101" s="39" t="str">
        <f>IFERROR(INT(1000/POWER(1.5,VLOOKUP(G101,[1]Discovery!$B:$H,7,FALSE)^1.6)),"-")</f>
        <v>-</v>
      </c>
      <c r="I101" s="72" t="str">
        <f>IFERROR(표8[[#This Row],[배당'[0']]]/$AB101,"-")</f>
        <v>-</v>
      </c>
      <c r="J101" s="39" t="b">
        <f>INDEX([1]AdventureDiscoveryGroup!$I:$I,MATCH(표8[[#This Row],[열1]],[1]AdventureDiscoveryGroup!$B:$B,0))</f>
        <v>0</v>
      </c>
      <c r="K101" s="39" t="str">
        <f>IFERROR(INT(1000/POWER(1.5,VLOOKUP(J101,[1]Discovery!$B:$H,7,FALSE)^1.6)),"-")</f>
        <v>-</v>
      </c>
      <c r="L101" s="72" t="str">
        <f>IFERROR(표8[[#This Row],[배당'[1']]]/$AB101,"-")</f>
        <v>-</v>
      </c>
      <c r="M101" s="39" t="b">
        <f>INDEX([1]AdventureDiscoveryGroup!$N:$N,MATCH(표8[[#This Row],[열1]],[1]AdventureDiscoveryGroup!$B:$B,0))</f>
        <v>0</v>
      </c>
      <c r="N101" s="39" t="str">
        <f>IFERROR(INT(1000/POWER(1.5,VLOOKUP(M101,[1]Discovery!$B:$H,7,FALSE)^1.6)),"-")</f>
        <v>-</v>
      </c>
      <c r="O101" s="72" t="str">
        <f>IFERROR(표8[[#This Row],[배당'[2']]]/$AB101,"-")</f>
        <v>-</v>
      </c>
      <c r="P101" s="39" t="b">
        <f>INDEX([1]AdventureDiscoveryGroup!$S:$S,MATCH(표8[[#This Row],[열1]],[1]AdventureDiscoveryGroup!$B:$B,0))</f>
        <v>0</v>
      </c>
      <c r="Q101" s="39" t="str">
        <f>IFERROR(INT(1000/POWER(1.5,VLOOKUP(P101,[1]Discovery!$B:$H,7,FALSE)^1.6)),"-")</f>
        <v>-</v>
      </c>
      <c r="R101" s="72" t="str">
        <f>IFERROR(표8[[#This Row],[배당'[3']]]/$AB101,"-")</f>
        <v>-</v>
      </c>
      <c r="S101" s="40" t="b">
        <f>INDEX([1]AdventureDiscoveryGroup!$X:$X,MATCH(표8[[#This Row],[열1]],[1]AdventureDiscoveryGroup!$B:$B,0))</f>
        <v>0</v>
      </c>
      <c r="T101" s="40" t="str">
        <f>IFERROR(INT(1000/POWER(1.5,VLOOKUP(S101,[1]Discovery!$B:$H,7,FALSE)^1.6)),"-")</f>
        <v>-</v>
      </c>
      <c r="U101" s="72" t="str">
        <f>IFERROR(표8[[#This Row],[배당'[4']]]/$AB101,"-")</f>
        <v>-</v>
      </c>
      <c r="V101" s="40" t="b">
        <f>INDEX([1]AdventureDiscoveryGroup!$AC:$AC,MATCH(표8[[#This Row],[열1]],[1]AdventureDiscoveryGroup!$B:$B,0))</f>
        <v>0</v>
      </c>
      <c r="W101" s="40" t="str">
        <f>IFERROR(INT(1000/POWER(1.5,VLOOKUP(V101,[1]Discovery!$B:$H,7,FALSE)^1.6)),"-")</f>
        <v>-</v>
      </c>
      <c r="X101" s="72" t="str">
        <f>IFERROR(표8[[#This Row],[배당'[5']]]/$AB101,"-")</f>
        <v>-</v>
      </c>
      <c r="Y101" s="40" t="b">
        <f>INDEX([1]AdventureDiscoveryGroup!$AH:$AH,MATCH(표8[[#This Row],[열1]],[1]AdventureDiscoveryGroup!$B:$B,0))</f>
        <v>0</v>
      </c>
      <c r="Z101" s="40" t="str">
        <f>IFERROR(INT(1000/POWER(1.5,VLOOKUP(Y101,[1]Discovery!$B:$H,7,FALSE)^1.6)),"-")</f>
        <v>-</v>
      </c>
      <c r="AA101" s="72" t="str">
        <f>IFERROR(표8[[#This Row],[배당'[6']]]/$AB101,"-")</f>
        <v>-</v>
      </c>
      <c r="AB101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02" spans="2:28" x14ac:dyDescent="0.3">
      <c r="B102" s="39" t="str">
        <f>[1]LandExplore!E108</f>
        <v>영일 부근</v>
      </c>
      <c r="C102" s="39" t="str">
        <f>INDEX([1]LandExplore!$B:$B,MATCH(표8[[#This Row],[육지]],[1]LandExplore!$E:$E,0))</f>
        <v>##조선 동해안</v>
      </c>
      <c r="D102" s="39" t="str">
        <f>IFERROR(VLOOKUP(표8[[#This Row],[육지]],[3]!표1_6[[이름]:[선단 LV]],6,FALSE),"-")</f>
        <v>-</v>
      </c>
      <c r="E102" s="39" t="str">
        <f>IFERROR(VLOOKUP(표8[[#This Row],[육지]],[3]!표1_6[[이름]:[위도]],3,FALSE),"-")</f>
        <v>-</v>
      </c>
      <c r="F102" s="39" t="str">
        <f>IFERROR(VLOOKUP(표8[[#This Row],[육지]],[3]!표1_6[[이름]:[위도]],2,FALSE),"-")</f>
        <v>-</v>
      </c>
      <c r="G102" s="39" t="str">
        <f>INDEX([1]AdventureDiscoveryGroup!$D:$D,MATCH(표8[[#This Row],[열1]],[1]AdventureDiscoveryGroup!$B:$B,0))</f>
        <v>영일 부근</v>
      </c>
      <c r="H102" s="39" t="str">
        <f>IFERROR(INT(1000/POWER(1.5,VLOOKUP(G102,[1]Discovery!$B:$H,7,FALSE)^1.6)),"-")</f>
        <v>-</v>
      </c>
      <c r="I102" s="72" t="str">
        <f>IFERROR(표8[[#This Row],[배당'[0']]]/$AB102,"-")</f>
        <v>-</v>
      </c>
      <c r="J102" s="39" t="b">
        <f>INDEX([1]AdventureDiscoveryGroup!$I:$I,MATCH(표8[[#This Row],[열1]],[1]AdventureDiscoveryGroup!$B:$B,0))</f>
        <v>0</v>
      </c>
      <c r="K102" s="39" t="str">
        <f>IFERROR(INT(1000/POWER(1.5,VLOOKUP(J102,[1]Discovery!$B:$H,7,FALSE)^1.6)),"-")</f>
        <v>-</v>
      </c>
      <c r="L102" s="72" t="str">
        <f>IFERROR(표8[[#This Row],[배당'[1']]]/$AB102,"-")</f>
        <v>-</v>
      </c>
      <c r="M102" s="39" t="b">
        <f>INDEX([1]AdventureDiscoveryGroup!$N:$N,MATCH(표8[[#This Row],[열1]],[1]AdventureDiscoveryGroup!$B:$B,0))</f>
        <v>0</v>
      </c>
      <c r="N102" s="39" t="str">
        <f>IFERROR(INT(1000/POWER(1.5,VLOOKUP(M102,[1]Discovery!$B:$H,7,FALSE)^1.6)),"-")</f>
        <v>-</v>
      </c>
      <c r="O102" s="72" t="str">
        <f>IFERROR(표8[[#This Row],[배당'[2']]]/$AB102,"-")</f>
        <v>-</v>
      </c>
      <c r="P102" s="39" t="b">
        <f>INDEX([1]AdventureDiscoveryGroup!$S:$S,MATCH(표8[[#This Row],[열1]],[1]AdventureDiscoveryGroup!$B:$B,0))</f>
        <v>0</v>
      </c>
      <c r="Q102" s="39" t="str">
        <f>IFERROR(INT(1000/POWER(1.5,VLOOKUP(P102,[1]Discovery!$B:$H,7,FALSE)^1.6)),"-")</f>
        <v>-</v>
      </c>
      <c r="R102" s="72" t="str">
        <f>IFERROR(표8[[#This Row],[배당'[3']]]/$AB102,"-")</f>
        <v>-</v>
      </c>
      <c r="S102" s="40" t="b">
        <f>INDEX([1]AdventureDiscoveryGroup!$X:$X,MATCH(표8[[#This Row],[열1]],[1]AdventureDiscoveryGroup!$B:$B,0))</f>
        <v>0</v>
      </c>
      <c r="T102" s="40" t="str">
        <f>IFERROR(INT(1000/POWER(1.5,VLOOKUP(S102,[1]Discovery!$B:$H,7,FALSE)^1.6)),"-")</f>
        <v>-</v>
      </c>
      <c r="U102" s="72" t="str">
        <f>IFERROR(표8[[#This Row],[배당'[4']]]/$AB102,"-")</f>
        <v>-</v>
      </c>
      <c r="V102" s="40" t="b">
        <f>INDEX([1]AdventureDiscoveryGroup!$AC:$AC,MATCH(표8[[#This Row],[열1]],[1]AdventureDiscoveryGroup!$B:$B,0))</f>
        <v>0</v>
      </c>
      <c r="W102" s="40" t="str">
        <f>IFERROR(INT(1000/POWER(1.5,VLOOKUP(V102,[1]Discovery!$B:$H,7,FALSE)^1.6)),"-")</f>
        <v>-</v>
      </c>
      <c r="X102" s="72" t="str">
        <f>IFERROR(표8[[#This Row],[배당'[5']]]/$AB102,"-")</f>
        <v>-</v>
      </c>
      <c r="Y102" s="40" t="b">
        <f>INDEX([1]AdventureDiscoveryGroup!$AH:$AH,MATCH(표8[[#This Row],[열1]],[1]AdventureDiscoveryGroup!$B:$B,0))</f>
        <v>0</v>
      </c>
      <c r="Z102" s="40" t="str">
        <f>IFERROR(INT(1000/POWER(1.5,VLOOKUP(Y102,[1]Discovery!$B:$H,7,FALSE)^1.6)),"-")</f>
        <v>-</v>
      </c>
      <c r="AA102" s="72" t="str">
        <f>IFERROR(표8[[#This Row],[배당'[6']]]/$AB102,"-")</f>
        <v>-</v>
      </c>
      <c r="AB102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03" spans="2:28" x14ac:dyDescent="0.3">
      <c r="B103" s="39" t="str">
        <f>[1]LandExplore!E109</f>
        <v>고아 부근</v>
      </c>
      <c r="C103" s="39" t="str">
        <f>INDEX([1]LandExplore!$B:$B,MATCH(표8[[#This Row],[육지]],[1]LandExplore!$E:$E,0))</f>
        <v>##인도</v>
      </c>
      <c r="D103" s="39" t="str">
        <f>IFERROR(VLOOKUP(표8[[#This Row],[육지]],[3]!표1_6[[이름]:[선단 LV]],6,FALSE),"-")</f>
        <v>-</v>
      </c>
      <c r="E103" s="39" t="str">
        <f>IFERROR(VLOOKUP(표8[[#This Row],[육지]],[3]!표1_6[[이름]:[위도]],3,FALSE),"-")</f>
        <v>-</v>
      </c>
      <c r="F103" s="39" t="str">
        <f>IFERROR(VLOOKUP(표8[[#This Row],[육지]],[3]!표1_6[[이름]:[위도]],2,FALSE),"-")</f>
        <v>-</v>
      </c>
      <c r="G103" s="39" t="str">
        <f>INDEX([1]AdventureDiscoveryGroup!$D:$D,MATCH(표8[[#This Row],[열1]],[1]AdventureDiscoveryGroup!$B:$B,0))</f>
        <v>고아 부근</v>
      </c>
      <c r="H103" s="39" t="str">
        <f>IFERROR(INT(1000/POWER(1.5,VLOOKUP(G103,[1]Discovery!$B:$H,7,FALSE)^1.6)),"-")</f>
        <v>-</v>
      </c>
      <c r="I103" s="72" t="str">
        <f>IFERROR(표8[[#This Row],[배당'[0']]]/$AB103,"-")</f>
        <v>-</v>
      </c>
      <c r="J103" s="39" t="b">
        <f>INDEX([1]AdventureDiscoveryGroup!$I:$I,MATCH(표8[[#This Row],[열1]],[1]AdventureDiscoveryGroup!$B:$B,0))</f>
        <v>0</v>
      </c>
      <c r="K103" s="39" t="str">
        <f>IFERROR(INT(1000/POWER(1.5,VLOOKUP(J103,[1]Discovery!$B:$H,7,FALSE)^1.6)),"-")</f>
        <v>-</v>
      </c>
      <c r="L103" s="72" t="str">
        <f>IFERROR(표8[[#This Row],[배당'[1']]]/$AB103,"-")</f>
        <v>-</v>
      </c>
      <c r="M103" s="39" t="b">
        <f>INDEX([1]AdventureDiscoveryGroup!$N:$N,MATCH(표8[[#This Row],[열1]],[1]AdventureDiscoveryGroup!$B:$B,0))</f>
        <v>0</v>
      </c>
      <c r="N103" s="39" t="str">
        <f>IFERROR(INT(1000/POWER(1.5,VLOOKUP(M103,[1]Discovery!$B:$H,7,FALSE)^1.6)),"-")</f>
        <v>-</v>
      </c>
      <c r="O103" s="72" t="str">
        <f>IFERROR(표8[[#This Row],[배당'[2']]]/$AB103,"-")</f>
        <v>-</v>
      </c>
      <c r="P103" s="39" t="b">
        <f>INDEX([1]AdventureDiscoveryGroup!$S:$S,MATCH(표8[[#This Row],[열1]],[1]AdventureDiscoveryGroup!$B:$B,0))</f>
        <v>0</v>
      </c>
      <c r="Q103" s="39" t="str">
        <f>IFERROR(INT(1000/POWER(1.5,VLOOKUP(P103,[1]Discovery!$B:$H,7,FALSE)^1.6)),"-")</f>
        <v>-</v>
      </c>
      <c r="R103" s="72" t="str">
        <f>IFERROR(표8[[#This Row],[배당'[3']]]/$AB103,"-")</f>
        <v>-</v>
      </c>
      <c r="S103" s="40" t="b">
        <f>INDEX([1]AdventureDiscoveryGroup!$X:$X,MATCH(표8[[#This Row],[열1]],[1]AdventureDiscoveryGroup!$B:$B,0))</f>
        <v>0</v>
      </c>
      <c r="T103" s="40" t="str">
        <f>IFERROR(INT(1000/POWER(1.5,VLOOKUP(S103,[1]Discovery!$B:$H,7,FALSE)^1.6)),"-")</f>
        <v>-</v>
      </c>
      <c r="U103" s="72" t="str">
        <f>IFERROR(표8[[#This Row],[배당'[4']]]/$AB103,"-")</f>
        <v>-</v>
      </c>
      <c r="V103" s="40" t="b">
        <f>INDEX([1]AdventureDiscoveryGroup!$AC:$AC,MATCH(표8[[#This Row],[열1]],[1]AdventureDiscoveryGroup!$B:$B,0))</f>
        <v>0</v>
      </c>
      <c r="W103" s="40" t="str">
        <f>IFERROR(INT(1000/POWER(1.5,VLOOKUP(V103,[1]Discovery!$B:$H,7,FALSE)^1.6)),"-")</f>
        <v>-</v>
      </c>
      <c r="X103" s="72" t="str">
        <f>IFERROR(표8[[#This Row],[배당'[5']]]/$AB103,"-")</f>
        <v>-</v>
      </c>
      <c r="Y103" s="40" t="b">
        <f>INDEX([1]AdventureDiscoveryGroup!$AH:$AH,MATCH(표8[[#This Row],[열1]],[1]AdventureDiscoveryGroup!$B:$B,0))</f>
        <v>0</v>
      </c>
      <c r="Z103" s="40" t="str">
        <f>IFERROR(INT(1000/POWER(1.5,VLOOKUP(Y103,[1]Discovery!$B:$H,7,FALSE)^1.6)),"-")</f>
        <v>-</v>
      </c>
      <c r="AA103" s="72" t="str">
        <f>IFERROR(표8[[#This Row],[배당'[6']]]/$AB103,"-")</f>
        <v>-</v>
      </c>
      <c r="AB103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04" spans="2:28" x14ac:dyDescent="0.3">
      <c r="B104" s="39" t="str">
        <f>[1]LandExplore!E110</f>
        <v>산티아고 부근</v>
      </c>
      <c r="C104" s="39" t="str">
        <f>INDEX([1]LandExplore!$B:$B,MATCH(표8[[#This Row],[육지]],[1]LandExplore!$E:$E,0))</f>
        <v>##카리브</v>
      </c>
      <c r="D104" s="39" t="str">
        <f>IFERROR(VLOOKUP(표8[[#This Row],[육지]],[3]!표1_6[[이름]:[선단 LV]],6,FALSE),"-")</f>
        <v>-</v>
      </c>
      <c r="E104" s="39" t="str">
        <f>IFERROR(VLOOKUP(표8[[#This Row],[육지]],[3]!표1_6[[이름]:[위도]],3,FALSE),"-")</f>
        <v>-</v>
      </c>
      <c r="F104" s="39" t="str">
        <f>IFERROR(VLOOKUP(표8[[#This Row],[육지]],[3]!표1_6[[이름]:[위도]],2,FALSE),"-")</f>
        <v>-</v>
      </c>
      <c r="G104" s="39" t="str">
        <f>INDEX([1]AdventureDiscoveryGroup!$D:$D,MATCH(표8[[#This Row],[열1]],[1]AdventureDiscoveryGroup!$B:$B,0))</f>
        <v>산티아고 부근</v>
      </c>
      <c r="H104" s="39" t="str">
        <f>IFERROR(INT(1000/POWER(1.5,VLOOKUP(G104,[1]Discovery!$B:$H,7,FALSE)^1.6)),"-")</f>
        <v>-</v>
      </c>
      <c r="I104" s="72" t="str">
        <f>IFERROR(표8[[#This Row],[배당'[0']]]/$AB104,"-")</f>
        <v>-</v>
      </c>
      <c r="J104" s="39" t="b">
        <f>INDEX([1]AdventureDiscoveryGroup!$I:$I,MATCH(표8[[#This Row],[열1]],[1]AdventureDiscoveryGroup!$B:$B,0))</f>
        <v>0</v>
      </c>
      <c r="K104" s="39" t="str">
        <f>IFERROR(INT(1000/POWER(1.5,VLOOKUP(J104,[1]Discovery!$B:$H,7,FALSE)^1.6)),"-")</f>
        <v>-</v>
      </c>
      <c r="L104" s="72" t="str">
        <f>IFERROR(표8[[#This Row],[배당'[1']]]/$AB104,"-")</f>
        <v>-</v>
      </c>
      <c r="M104" s="39" t="b">
        <f>INDEX([1]AdventureDiscoveryGroup!$N:$N,MATCH(표8[[#This Row],[열1]],[1]AdventureDiscoveryGroup!$B:$B,0))</f>
        <v>0</v>
      </c>
      <c r="N104" s="39" t="str">
        <f>IFERROR(INT(1000/POWER(1.5,VLOOKUP(M104,[1]Discovery!$B:$H,7,FALSE)^1.6)),"-")</f>
        <v>-</v>
      </c>
      <c r="O104" s="72" t="str">
        <f>IFERROR(표8[[#This Row],[배당'[2']]]/$AB104,"-")</f>
        <v>-</v>
      </c>
      <c r="P104" s="39" t="b">
        <f>INDEX([1]AdventureDiscoveryGroup!$S:$S,MATCH(표8[[#This Row],[열1]],[1]AdventureDiscoveryGroup!$B:$B,0))</f>
        <v>0</v>
      </c>
      <c r="Q104" s="39" t="str">
        <f>IFERROR(INT(1000/POWER(1.5,VLOOKUP(P104,[1]Discovery!$B:$H,7,FALSE)^1.6)),"-")</f>
        <v>-</v>
      </c>
      <c r="R104" s="72" t="str">
        <f>IFERROR(표8[[#This Row],[배당'[3']]]/$AB104,"-")</f>
        <v>-</v>
      </c>
      <c r="S104" s="40" t="b">
        <f>INDEX([1]AdventureDiscoveryGroup!$X:$X,MATCH(표8[[#This Row],[열1]],[1]AdventureDiscoveryGroup!$B:$B,0))</f>
        <v>0</v>
      </c>
      <c r="T104" s="40" t="str">
        <f>IFERROR(INT(1000/POWER(1.5,VLOOKUP(S104,[1]Discovery!$B:$H,7,FALSE)^1.6)),"-")</f>
        <v>-</v>
      </c>
      <c r="U104" s="72" t="str">
        <f>IFERROR(표8[[#This Row],[배당'[4']]]/$AB104,"-")</f>
        <v>-</v>
      </c>
      <c r="V104" s="40" t="b">
        <f>INDEX([1]AdventureDiscoveryGroup!$AC:$AC,MATCH(표8[[#This Row],[열1]],[1]AdventureDiscoveryGroup!$B:$B,0))</f>
        <v>0</v>
      </c>
      <c r="W104" s="40" t="str">
        <f>IFERROR(INT(1000/POWER(1.5,VLOOKUP(V104,[1]Discovery!$B:$H,7,FALSE)^1.6)),"-")</f>
        <v>-</v>
      </c>
      <c r="X104" s="72" t="str">
        <f>IFERROR(표8[[#This Row],[배당'[5']]]/$AB104,"-")</f>
        <v>-</v>
      </c>
      <c r="Y104" s="40" t="b">
        <f>INDEX([1]AdventureDiscoveryGroup!$AH:$AH,MATCH(표8[[#This Row],[열1]],[1]AdventureDiscoveryGroup!$B:$B,0))</f>
        <v>0</v>
      </c>
      <c r="Z104" s="40" t="str">
        <f>IFERROR(INT(1000/POWER(1.5,VLOOKUP(Y104,[1]Discovery!$B:$H,7,FALSE)^1.6)),"-")</f>
        <v>-</v>
      </c>
      <c r="AA104" s="72" t="str">
        <f>IFERROR(표8[[#This Row],[배당'[6']]]/$AB104,"-")</f>
        <v>-</v>
      </c>
      <c r="AB104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05" spans="2:28" x14ac:dyDescent="0.3">
      <c r="B105" s="39" t="str">
        <f>[1]LandExplore!E111</f>
        <v>영일 부근</v>
      </c>
      <c r="C105" s="39" t="str">
        <f>INDEX([1]LandExplore!$B:$B,MATCH(표8[[#This Row],[육지]],[1]LandExplore!$E:$E,0))</f>
        <v>##조선 동해안</v>
      </c>
      <c r="D105" s="39" t="str">
        <f>IFERROR(VLOOKUP(표8[[#This Row],[육지]],[3]!표1_6[[이름]:[선단 LV]],6,FALSE),"-")</f>
        <v>-</v>
      </c>
      <c r="E105" s="39" t="str">
        <f>IFERROR(VLOOKUP(표8[[#This Row],[육지]],[3]!표1_6[[이름]:[위도]],3,FALSE),"-")</f>
        <v>-</v>
      </c>
      <c r="F105" s="39" t="str">
        <f>IFERROR(VLOOKUP(표8[[#This Row],[육지]],[3]!표1_6[[이름]:[위도]],2,FALSE),"-")</f>
        <v>-</v>
      </c>
      <c r="G105" s="39" t="str">
        <f>INDEX([1]AdventureDiscoveryGroup!$D:$D,MATCH(표8[[#This Row],[열1]],[1]AdventureDiscoveryGroup!$B:$B,0))</f>
        <v>영일 부근</v>
      </c>
      <c r="H105" s="39" t="str">
        <f>IFERROR(INT(1000/POWER(1.5,VLOOKUP(G105,[1]Discovery!$B:$H,7,FALSE)^1.6)),"-")</f>
        <v>-</v>
      </c>
      <c r="I105" s="72" t="str">
        <f>IFERROR(표8[[#This Row],[배당'[0']]]/$AB105,"-")</f>
        <v>-</v>
      </c>
      <c r="J105" s="39" t="b">
        <f>INDEX([1]AdventureDiscoveryGroup!$I:$I,MATCH(표8[[#This Row],[열1]],[1]AdventureDiscoveryGroup!$B:$B,0))</f>
        <v>0</v>
      </c>
      <c r="K105" s="39" t="str">
        <f>IFERROR(INT(1000/POWER(1.5,VLOOKUP(J105,[1]Discovery!$B:$H,7,FALSE)^1.6)),"-")</f>
        <v>-</v>
      </c>
      <c r="L105" s="72" t="str">
        <f>IFERROR(표8[[#This Row],[배당'[1']]]/$AB105,"-")</f>
        <v>-</v>
      </c>
      <c r="M105" s="39" t="b">
        <f>INDEX([1]AdventureDiscoveryGroup!$N:$N,MATCH(표8[[#This Row],[열1]],[1]AdventureDiscoveryGroup!$B:$B,0))</f>
        <v>0</v>
      </c>
      <c r="N105" s="39" t="str">
        <f>IFERROR(INT(1000/POWER(1.5,VLOOKUP(M105,[1]Discovery!$B:$H,7,FALSE)^1.6)),"-")</f>
        <v>-</v>
      </c>
      <c r="O105" s="72" t="str">
        <f>IFERROR(표8[[#This Row],[배당'[2']]]/$AB105,"-")</f>
        <v>-</v>
      </c>
      <c r="P105" s="39" t="b">
        <f>INDEX([1]AdventureDiscoveryGroup!$S:$S,MATCH(표8[[#This Row],[열1]],[1]AdventureDiscoveryGroup!$B:$B,0))</f>
        <v>0</v>
      </c>
      <c r="Q105" s="39" t="str">
        <f>IFERROR(INT(1000/POWER(1.5,VLOOKUP(P105,[1]Discovery!$B:$H,7,FALSE)^1.6)),"-")</f>
        <v>-</v>
      </c>
      <c r="R105" s="72" t="str">
        <f>IFERROR(표8[[#This Row],[배당'[3']]]/$AB105,"-")</f>
        <v>-</v>
      </c>
      <c r="S105" s="40" t="b">
        <f>INDEX([1]AdventureDiscoveryGroup!$X:$X,MATCH(표8[[#This Row],[열1]],[1]AdventureDiscoveryGroup!$B:$B,0))</f>
        <v>0</v>
      </c>
      <c r="T105" s="40" t="str">
        <f>IFERROR(INT(1000/POWER(1.5,VLOOKUP(S105,[1]Discovery!$B:$H,7,FALSE)^1.6)),"-")</f>
        <v>-</v>
      </c>
      <c r="U105" s="72" t="str">
        <f>IFERROR(표8[[#This Row],[배당'[4']]]/$AB105,"-")</f>
        <v>-</v>
      </c>
      <c r="V105" s="40" t="b">
        <f>INDEX([1]AdventureDiscoveryGroup!$AC:$AC,MATCH(표8[[#This Row],[열1]],[1]AdventureDiscoveryGroup!$B:$B,0))</f>
        <v>0</v>
      </c>
      <c r="W105" s="40" t="str">
        <f>IFERROR(INT(1000/POWER(1.5,VLOOKUP(V105,[1]Discovery!$B:$H,7,FALSE)^1.6)),"-")</f>
        <v>-</v>
      </c>
      <c r="X105" s="72" t="str">
        <f>IFERROR(표8[[#This Row],[배당'[5']]]/$AB105,"-")</f>
        <v>-</v>
      </c>
      <c r="Y105" s="40" t="b">
        <f>INDEX([1]AdventureDiscoveryGroup!$AH:$AH,MATCH(표8[[#This Row],[열1]],[1]AdventureDiscoveryGroup!$B:$B,0))</f>
        <v>0</v>
      </c>
      <c r="Z105" s="40" t="str">
        <f>IFERROR(INT(1000/POWER(1.5,VLOOKUP(Y105,[1]Discovery!$B:$H,7,FALSE)^1.6)),"-")</f>
        <v>-</v>
      </c>
      <c r="AA105" s="72" t="str">
        <f>IFERROR(표8[[#This Row],[배당'[6']]]/$AB105,"-")</f>
        <v>-</v>
      </c>
      <c r="AB105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06" spans="2:28" x14ac:dyDescent="0.3">
      <c r="B106" s="39" t="str">
        <f>[1]LandExplore!E112</f>
        <v>배로우 부근</v>
      </c>
      <c r="C106" s="39" t="str">
        <f>INDEX([1]LandExplore!$B:$B,MATCH(표8[[#This Row],[육지]],[1]LandExplore!$E:$E,0))</f>
        <v>##극지방(북극)</v>
      </c>
      <c r="D106" s="39" t="str">
        <f>IFERROR(VLOOKUP(표8[[#This Row],[육지]],[3]!표1_6[[이름]:[선단 LV]],6,FALSE),"-")</f>
        <v>-</v>
      </c>
      <c r="E106" s="39" t="str">
        <f>IFERROR(VLOOKUP(표8[[#This Row],[육지]],[3]!표1_6[[이름]:[위도]],3,FALSE),"-")</f>
        <v>-</v>
      </c>
      <c r="F106" s="39" t="str">
        <f>IFERROR(VLOOKUP(표8[[#This Row],[육지]],[3]!표1_6[[이름]:[위도]],2,FALSE),"-")</f>
        <v>-</v>
      </c>
      <c r="G106" s="39" t="str">
        <f>INDEX([1]AdventureDiscoveryGroup!$D:$D,MATCH(표8[[#This Row],[열1]],[1]AdventureDiscoveryGroup!$B:$B,0))</f>
        <v>배로우 부근</v>
      </c>
      <c r="H106" s="39" t="str">
        <f>IFERROR(INT(1000/POWER(1.5,VLOOKUP(G106,[1]Discovery!$B:$H,7,FALSE)^1.6)),"-")</f>
        <v>-</v>
      </c>
      <c r="I106" s="72" t="str">
        <f>IFERROR(표8[[#This Row],[배당'[0']]]/$AB106,"-")</f>
        <v>-</v>
      </c>
      <c r="J106" s="39" t="b">
        <f>INDEX([1]AdventureDiscoveryGroup!$I:$I,MATCH(표8[[#This Row],[열1]],[1]AdventureDiscoveryGroup!$B:$B,0))</f>
        <v>0</v>
      </c>
      <c r="K106" s="39" t="str">
        <f>IFERROR(INT(1000/POWER(1.5,VLOOKUP(J106,[1]Discovery!$B:$H,7,FALSE)^1.6)),"-")</f>
        <v>-</v>
      </c>
      <c r="L106" s="72" t="str">
        <f>IFERROR(표8[[#This Row],[배당'[1']]]/$AB106,"-")</f>
        <v>-</v>
      </c>
      <c r="M106" s="39" t="b">
        <f>INDEX([1]AdventureDiscoveryGroup!$N:$N,MATCH(표8[[#This Row],[열1]],[1]AdventureDiscoveryGroup!$B:$B,0))</f>
        <v>0</v>
      </c>
      <c r="N106" s="39" t="str">
        <f>IFERROR(INT(1000/POWER(1.5,VLOOKUP(M106,[1]Discovery!$B:$H,7,FALSE)^1.6)),"-")</f>
        <v>-</v>
      </c>
      <c r="O106" s="72" t="str">
        <f>IFERROR(표8[[#This Row],[배당'[2']]]/$AB106,"-")</f>
        <v>-</v>
      </c>
      <c r="P106" s="39" t="str">
        <f>INDEX([1]AdventureDiscoveryGroup!$S:$S,MATCH(표8[[#This Row],[열1]],[1]AdventureDiscoveryGroup!$B:$B,0))</f>
        <v>-</v>
      </c>
      <c r="Q106" s="39" t="str">
        <f>IFERROR(INT(1000/POWER(1.5,VLOOKUP(P106,[1]Discovery!$B:$H,7,FALSE)^1.6)),"-")</f>
        <v>-</v>
      </c>
      <c r="R106" s="72" t="str">
        <f>IFERROR(표8[[#This Row],[배당'[3']]]/$AB106,"-")</f>
        <v>-</v>
      </c>
      <c r="S106" s="40" t="str">
        <f>INDEX([1]AdventureDiscoveryGroup!$X:$X,MATCH(표8[[#This Row],[열1]],[1]AdventureDiscoveryGroup!$B:$B,0))</f>
        <v>-</v>
      </c>
      <c r="T106" s="40" t="str">
        <f>IFERROR(INT(1000/POWER(1.5,VLOOKUP(S106,[1]Discovery!$B:$H,7,FALSE)^1.6)),"-")</f>
        <v>-</v>
      </c>
      <c r="U106" s="72" t="str">
        <f>IFERROR(표8[[#This Row],[배당'[4']]]/$AB106,"-")</f>
        <v>-</v>
      </c>
      <c r="V106" s="40" t="str">
        <f>INDEX([1]AdventureDiscoveryGroup!$AC:$AC,MATCH(표8[[#This Row],[열1]],[1]AdventureDiscoveryGroup!$B:$B,0))</f>
        <v>-</v>
      </c>
      <c r="W106" s="40" t="str">
        <f>IFERROR(INT(1000/POWER(1.5,VLOOKUP(V106,[1]Discovery!$B:$H,7,FALSE)^1.6)),"-")</f>
        <v>-</v>
      </c>
      <c r="X106" s="72" t="str">
        <f>IFERROR(표8[[#This Row],[배당'[5']]]/$AB106,"-")</f>
        <v>-</v>
      </c>
      <c r="Y106" s="40" t="str">
        <f>INDEX([1]AdventureDiscoveryGroup!$AH:$AH,MATCH(표8[[#This Row],[열1]],[1]AdventureDiscoveryGroup!$B:$B,0))</f>
        <v>-</v>
      </c>
      <c r="Z106" s="40" t="str">
        <f>IFERROR(INT(1000/POWER(1.5,VLOOKUP(Y106,[1]Discovery!$B:$H,7,FALSE)^1.6)),"-")</f>
        <v>-</v>
      </c>
      <c r="AA106" s="72" t="str">
        <f>IFERROR(표8[[#This Row],[배당'[6']]]/$AB106,"-")</f>
        <v>-</v>
      </c>
      <c r="AB106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07" spans="2:28" x14ac:dyDescent="0.3">
      <c r="B107" s="39" t="str">
        <f>[1]LandExplore!E113</f>
        <v>하라무즈 부근</v>
      </c>
      <c r="C107" s="39" t="str">
        <f>INDEX([1]LandExplore!$B:$B,MATCH(표8[[#This Row],[육지]],[1]LandExplore!$E:$E,0))</f>
        <v>##페르시아</v>
      </c>
      <c r="D107" s="39" t="str">
        <f>IFERROR(VLOOKUP(표8[[#This Row],[육지]],[3]!표1_6[[이름]:[선단 LV]],6,FALSE),"-")</f>
        <v>-</v>
      </c>
      <c r="E107" s="39" t="str">
        <f>IFERROR(VLOOKUP(표8[[#This Row],[육지]],[3]!표1_6[[이름]:[위도]],3,FALSE),"-")</f>
        <v>-</v>
      </c>
      <c r="F107" s="39" t="str">
        <f>IFERROR(VLOOKUP(표8[[#This Row],[육지]],[3]!표1_6[[이름]:[위도]],2,FALSE),"-")</f>
        <v>-</v>
      </c>
      <c r="G107" s="39" t="str">
        <f>INDEX([1]AdventureDiscoveryGroup!$D:$D,MATCH(표8[[#This Row],[열1]],[1]AdventureDiscoveryGroup!$B:$B,0))</f>
        <v>하라무즈 부근</v>
      </c>
      <c r="H107" s="39" t="str">
        <f>IFERROR(INT(1000/POWER(1.5,VLOOKUP(G107,[1]Discovery!$B:$H,7,FALSE)^1.6)),"-")</f>
        <v>-</v>
      </c>
      <c r="I107" s="72" t="str">
        <f>IFERROR(표8[[#This Row],[배당'[0']]]/$AB107,"-")</f>
        <v>-</v>
      </c>
      <c r="J107" s="39" t="b">
        <f>INDEX([1]AdventureDiscoveryGroup!$I:$I,MATCH(표8[[#This Row],[열1]],[1]AdventureDiscoveryGroup!$B:$B,0))</f>
        <v>0</v>
      </c>
      <c r="K107" s="39" t="str">
        <f>IFERROR(INT(1000/POWER(1.5,VLOOKUP(J107,[1]Discovery!$B:$H,7,FALSE)^1.6)),"-")</f>
        <v>-</v>
      </c>
      <c r="L107" s="72" t="str">
        <f>IFERROR(표8[[#This Row],[배당'[1']]]/$AB107,"-")</f>
        <v>-</v>
      </c>
      <c r="M107" s="39" t="b">
        <f>INDEX([1]AdventureDiscoveryGroup!$N:$N,MATCH(표8[[#This Row],[열1]],[1]AdventureDiscoveryGroup!$B:$B,0))</f>
        <v>0</v>
      </c>
      <c r="N107" s="39" t="str">
        <f>IFERROR(INT(1000/POWER(1.5,VLOOKUP(M107,[1]Discovery!$B:$H,7,FALSE)^1.6)),"-")</f>
        <v>-</v>
      </c>
      <c r="O107" s="72" t="str">
        <f>IFERROR(표8[[#This Row],[배당'[2']]]/$AB107,"-")</f>
        <v>-</v>
      </c>
      <c r="P107" s="39" t="b">
        <f>INDEX([1]AdventureDiscoveryGroup!$S:$S,MATCH(표8[[#This Row],[열1]],[1]AdventureDiscoveryGroup!$B:$B,0))</f>
        <v>0</v>
      </c>
      <c r="Q107" s="39" t="str">
        <f>IFERROR(INT(1000/POWER(1.5,VLOOKUP(P107,[1]Discovery!$B:$H,7,FALSE)^1.6)),"-")</f>
        <v>-</v>
      </c>
      <c r="R107" s="72" t="str">
        <f>IFERROR(표8[[#This Row],[배당'[3']]]/$AB107,"-")</f>
        <v>-</v>
      </c>
      <c r="S107" s="40" t="b">
        <f>INDEX([1]AdventureDiscoveryGroup!$X:$X,MATCH(표8[[#This Row],[열1]],[1]AdventureDiscoveryGroup!$B:$B,0))</f>
        <v>0</v>
      </c>
      <c r="T107" s="40" t="str">
        <f>IFERROR(INT(1000/POWER(1.5,VLOOKUP(S107,[1]Discovery!$B:$H,7,FALSE)^1.6)),"-")</f>
        <v>-</v>
      </c>
      <c r="U107" s="72" t="str">
        <f>IFERROR(표8[[#This Row],[배당'[4']]]/$AB107,"-")</f>
        <v>-</v>
      </c>
      <c r="V107" s="40" t="b">
        <f>INDEX([1]AdventureDiscoveryGroup!$AC:$AC,MATCH(표8[[#This Row],[열1]],[1]AdventureDiscoveryGroup!$B:$B,0))</f>
        <v>0</v>
      </c>
      <c r="W107" s="40" t="str">
        <f>IFERROR(INT(1000/POWER(1.5,VLOOKUP(V107,[1]Discovery!$B:$H,7,FALSE)^1.6)),"-")</f>
        <v>-</v>
      </c>
      <c r="X107" s="72" t="str">
        <f>IFERROR(표8[[#This Row],[배당'[5']]]/$AB107,"-")</f>
        <v>-</v>
      </c>
      <c r="Y107" s="40" t="b">
        <f>INDEX([1]AdventureDiscoveryGroup!$AH:$AH,MATCH(표8[[#This Row],[열1]],[1]AdventureDiscoveryGroup!$B:$B,0))</f>
        <v>0</v>
      </c>
      <c r="Z107" s="40" t="str">
        <f>IFERROR(INT(1000/POWER(1.5,VLOOKUP(Y107,[1]Discovery!$B:$H,7,FALSE)^1.6)),"-")</f>
        <v>-</v>
      </c>
      <c r="AA107" s="72" t="str">
        <f>IFERROR(표8[[#This Row],[배당'[6']]]/$AB107,"-")</f>
        <v>-</v>
      </c>
      <c r="AB107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08" spans="2:28" x14ac:dyDescent="0.3">
      <c r="B108" s="39" t="str">
        <f>[1]LandExplore!E114</f>
        <v>산티아고 부근</v>
      </c>
      <c r="C108" s="39" t="str">
        <f>INDEX([1]LandExplore!$B:$B,MATCH(표8[[#This Row],[육지]],[1]LandExplore!$E:$E,0))</f>
        <v>##카리브</v>
      </c>
      <c r="D108" s="39" t="str">
        <f>IFERROR(VLOOKUP(표8[[#This Row],[육지]],[3]!표1_6[[이름]:[선단 LV]],6,FALSE),"-")</f>
        <v>-</v>
      </c>
      <c r="E108" s="39" t="str">
        <f>IFERROR(VLOOKUP(표8[[#This Row],[육지]],[3]!표1_6[[이름]:[위도]],3,FALSE),"-")</f>
        <v>-</v>
      </c>
      <c r="F108" s="39" t="str">
        <f>IFERROR(VLOOKUP(표8[[#This Row],[육지]],[3]!표1_6[[이름]:[위도]],2,FALSE),"-")</f>
        <v>-</v>
      </c>
      <c r="G108" s="39" t="str">
        <f>INDEX([1]AdventureDiscoveryGroup!$D:$D,MATCH(표8[[#This Row],[열1]],[1]AdventureDiscoveryGroup!$B:$B,0))</f>
        <v>산티아고 부근</v>
      </c>
      <c r="H108" s="39" t="str">
        <f>IFERROR(INT(1000/POWER(1.5,VLOOKUP(G108,[1]Discovery!$B:$H,7,FALSE)^1.6)),"-")</f>
        <v>-</v>
      </c>
      <c r="I108" s="72" t="str">
        <f>IFERROR(표8[[#This Row],[배당'[0']]]/$AB108,"-")</f>
        <v>-</v>
      </c>
      <c r="J108" s="39" t="b">
        <f>INDEX([1]AdventureDiscoveryGroup!$I:$I,MATCH(표8[[#This Row],[열1]],[1]AdventureDiscoveryGroup!$B:$B,0))</f>
        <v>0</v>
      </c>
      <c r="K108" s="39" t="str">
        <f>IFERROR(INT(1000/POWER(1.5,VLOOKUP(J108,[1]Discovery!$B:$H,7,FALSE)^1.6)),"-")</f>
        <v>-</v>
      </c>
      <c r="L108" s="72" t="str">
        <f>IFERROR(표8[[#This Row],[배당'[1']]]/$AB108,"-")</f>
        <v>-</v>
      </c>
      <c r="M108" s="39" t="b">
        <f>INDEX([1]AdventureDiscoveryGroup!$N:$N,MATCH(표8[[#This Row],[열1]],[1]AdventureDiscoveryGroup!$B:$B,0))</f>
        <v>0</v>
      </c>
      <c r="N108" s="39" t="str">
        <f>IFERROR(INT(1000/POWER(1.5,VLOOKUP(M108,[1]Discovery!$B:$H,7,FALSE)^1.6)),"-")</f>
        <v>-</v>
      </c>
      <c r="O108" s="72" t="str">
        <f>IFERROR(표8[[#This Row],[배당'[2']]]/$AB108,"-")</f>
        <v>-</v>
      </c>
      <c r="P108" s="39" t="b">
        <f>INDEX([1]AdventureDiscoveryGroup!$S:$S,MATCH(표8[[#This Row],[열1]],[1]AdventureDiscoveryGroup!$B:$B,0))</f>
        <v>0</v>
      </c>
      <c r="Q108" s="39" t="str">
        <f>IFERROR(INT(1000/POWER(1.5,VLOOKUP(P108,[1]Discovery!$B:$H,7,FALSE)^1.6)),"-")</f>
        <v>-</v>
      </c>
      <c r="R108" s="72" t="str">
        <f>IFERROR(표8[[#This Row],[배당'[3']]]/$AB108,"-")</f>
        <v>-</v>
      </c>
      <c r="S108" s="40" t="b">
        <f>INDEX([1]AdventureDiscoveryGroup!$X:$X,MATCH(표8[[#This Row],[열1]],[1]AdventureDiscoveryGroup!$B:$B,0))</f>
        <v>0</v>
      </c>
      <c r="T108" s="40" t="str">
        <f>IFERROR(INT(1000/POWER(1.5,VLOOKUP(S108,[1]Discovery!$B:$H,7,FALSE)^1.6)),"-")</f>
        <v>-</v>
      </c>
      <c r="U108" s="72" t="str">
        <f>IFERROR(표8[[#This Row],[배당'[4']]]/$AB108,"-")</f>
        <v>-</v>
      </c>
      <c r="V108" s="40" t="b">
        <f>INDEX([1]AdventureDiscoveryGroup!$AC:$AC,MATCH(표8[[#This Row],[열1]],[1]AdventureDiscoveryGroup!$B:$B,0))</f>
        <v>0</v>
      </c>
      <c r="W108" s="40" t="str">
        <f>IFERROR(INT(1000/POWER(1.5,VLOOKUP(V108,[1]Discovery!$B:$H,7,FALSE)^1.6)),"-")</f>
        <v>-</v>
      </c>
      <c r="X108" s="72" t="str">
        <f>IFERROR(표8[[#This Row],[배당'[5']]]/$AB108,"-")</f>
        <v>-</v>
      </c>
      <c r="Y108" s="40" t="b">
        <f>INDEX([1]AdventureDiscoveryGroup!$AH:$AH,MATCH(표8[[#This Row],[열1]],[1]AdventureDiscoveryGroup!$B:$B,0))</f>
        <v>0</v>
      </c>
      <c r="Z108" s="40" t="str">
        <f>IFERROR(INT(1000/POWER(1.5,VLOOKUP(Y108,[1]Discovery!$B:$H,7,FALSE)^1.6)),"-")</f>
        <v>-</v>
      </c>
      <c r="AA108" s="72" t="str">
        <f>IFERROR(표8[[#This Row],[배당'[6']]]/$AB108,"-")</f>
        <v>-</v>
      </c>
      <c r="AB108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09" spans="2:28" x14ac:dyDescent="0.3">
      <c r="B109" s="39" t="str">
        <f>[1]LandExplore!E115</f>
        <v>벵겔라 부근</v>
      </c>
      <c r="C109" s="39" t="str">
        <f>INDEX([1]LandExplore!$B:$B,MATCH(표8[[#This Row],[육지]],[1]LandExplore!$E:$E,0))</f>
        <v>##서아프리카(남)</v>
      </c>
      <c r="D109" s="39" t="str">
        <f>IFERROR(VLOOKUP(표8[[#This Row],[육지]],[3]!표1_6[[이름]:[선단 LV]],6,FALSE),"-")</f>
        <v>-</v>
      </c>
      <c r="E109" s="39" t="str">
        <f>IFERROR(VLOOKUP(표8[[#This Row],[육지]],[3]!표1_6[[이름]:[위도]],3,FALSE),"-")</f>
        <v>-</v>
      </c>
      <c r="F109" s="39" t="str">
        <f>IFERROR(VLOOKUP(표8[[#This Row],[육지]],[3]!표1_6[[이름]:[위도]],2,FALSE),"-")</f>
        <v>-</v>
      </c>
      <c r="G109" s="39" t="str">
        <f>INDEX([1]AdventureDiscoveryGroup!$D:$D,MATCH(표8[[#This Row],[열1]],[1]AdventureDiscoveryGroup!$B:$B,0))</f>
        <v>벵겔라 부근</v>
      </c>
      <c r="H109" s="39" t="str">
        <f>IFERROR(INT(1000/POWER(1.5,VLOOKUP(G109,[1]Discovery!$B:$H,7,FALSE)^1.6)),"-")</f>
        <v>-</v>
      </c>
      <c r="I109" s="72" t="str">
        <f>IFERROR(표8[[#This Row],[배당'[0']]]/$AB109,"-")</f>
        <v>-</v>
      </c>
      <c r="J109" s="39" t="b">
        <f>INDEX([1]AdventureDiscoveryGroup!$I:$I,MATCH(표8[[#This Row],[열1]],[1]AdventureDiscoveryGroup!$B:$B,0))</f>
        <v>0</v>
      </c>
      <c r="K109" s="39" t="str">
        <f>IFERROR(INT(1000/POWER(1.5,VLOOKUP(J109,[1]Discovery!$B:$H,7,FALSE)^1.6)),"-")</f>
        <v>-</v>
      </c>
      <c r="L109" s="72" t="str">
        <f>IFERROR(표8[[#This Row],[배당'[1']]]/$AB109,"-")</f>
        <v>-</v>
      </c>
      <c r="M109" s="39" t="b">
        <f>INDEX([1]AdventureDiscoveryGroup!$N:$N,MATCH(표8[[#This Row],[열1]],[1]AdventureDiscoveryGroup!$B:$B,0))</f>
        <v>0</v>
      </c>
      <c r="N109" s="39" t="str">
        <f>IFERROR(INT(1000/POWER(1.5,VLOOKUP(M109,[1]Discovery!$B:$H,7,FALSE)^1.6)),"-")</f>
        <v>-</v>
      </c>
      <c r="O109" s="72" t="str">
        <f>IFERROR(표8[[#This Row],[배당'[2']]]/$AB109,"-")</f>
        <v>-</v>
      </c>
      <c r="P109" s="39" t="b">
        <f>INDEX([1]AdventureDiscoveryGroup!$S:$S,MATCH(표8[[#This Row],[열1]],[1]AdventureDiscoveryGroup!$B:$B,0))</f>
        <v>0</v>
      </c>
      <c r="Q109" s="39" t="str">
        <f>IFERROR(INT(1000/POWER(1.5,VLOOKUP(P109,[1]Discovery!$B:$H,7,FALSE)^1.6)),"-")</f>
        <v>-</v>
      </c>
      <c r="R109" s="72" t="str">
        <f>IFERROR(표8[[#This Row],[배당'[3']]]/$AB109,"-")</f>
        <v>-</v>
      </c>
      <c r="S109" s="40" t="b">
        <f>INDEX([1]AdventureDiscoveryGroup!$X:$X,MATCH(표8[[#This Row],[열1]],[1]AdventureDiscoveryGroup!$B:$B,0))</f>
        <v>0</v>
      </c>
      <c r="T109" s="40" t="str">
        <f>IFERROR(INT(1000/POWER(1.5,VLOOKUP(S109,[1]Discovery!$B:$H,7,FALSE)^1.6)),"-")</f>
        <v>-</v>
      </c>
      <c r="U109" s="72" t="str">
        <f>IFERROR(표8[[#This Row],[배당'[4']]]/$AB109,"-")</f>
        <v>-</v>
      </c>
      <c r="V109" s="40" t="b">
        <f>INDEX([1]AdventureDiscoveryGroup!$AC:$AC,MATCH(표8[[#This Row],[열1]],[1]AdventureDiscoveryGroup!$B:$B,0))</f>
        <v>0</v>
      </c>
      <c r="W109" s="40" t="str">
        <f>IFERROR(INT(1000/POWER(1.5,VLOOKUP(V109,[1]Discovery!$B:$H,7,FALSE)^1.6)),"-")</f>
        <v>-</v>
      </c>
      <c r="X109" s="72" t="str">
        <f>IFERROR(표8[[#This Row],[배당'[5']]]/$AB109,"-")</f>
        <v>-</v>
      </c>
      <c r="Y109" s="40" t="b">
        <f>INDEX([1]AdventureDiscoveryGroup!$AH:$AH,MATCH(표8[[#This Row],[열1]],[1]AdventureDiscoveryGroup!$B:$B,0))</f>
        <v>0</v>
      </c>
      <c r="Z109" s="40" t="str">
        <f>IFERROR(INT(1000/POWER(1.5,VLOOKUP(Y109,[1]Discovery!$B:$H,7,FALSE)^1.6)),"-")</f>
        <v>-</v>
      </c>
      <c r="AA109" s="72" t="str">
        <f>IFERROR(표8[[#This Row],[배당'[6']]]/$AB109,"-")</f>
        <v>-</v>
      </c>
      <c r="AB109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10" spans="2:28" x14ac:dyDescent="0.3">
      <c r="B110" s="39" t="str">
        <f>[1]LandExplore!E116</f>
        <v>마실리파트남 부근</v>
      </c>
      <c r="C110" s="39" t="str">
        <f>INDEX([1]LandExplore!$B:$B,MATCH(표8[[#This Row],[육지]],[1]LandExplore!$E:$E,0))</f>
        <v>##인도 동부</v>
      </c>
      <c r="D110" s="39" t="str">
        <f>IFERROR(VLOOKUP(표8[[#This Row],[육지]],[3]!표1_6[[이름]:[선단 LV]],6,FALSE),"-")</f>
        <v>-</v>
      </c>
      <c r="E110" s="39" t="str">
        <f>IFERROR(VLOOKUP(표8[[#This Row],[육지]],[3]!표1_6[[이름]:[위도]],3,FALSE),"-")</f>
        <v>-</v>
      </c>
      <c r="F110" s="39" t="str">
        <f>IFERROR(VLOOKUP(표8[[#This Row],[육지]],[3]!표1_6[[이름]:[위도]],2,FALSE),"-")</f>
        <v>-</v>
      </c>
      <c r="G110" s="39" t="str">
        <f>INDEX([1]AdventureDiscoveryGroup!$D:$D,MATCH(표8[[#This Row],[열1]],[1]AdventureDiscoveryGroup!$B:$B,0))</f>
        <v>마실리파트남 부근</v>
      </c>
      <c r="H110" s="39" t="str">
        <f>IFERROR(INT(1000/POWER(1.5,VLOOKUP(G110,[1]Discovery!$B:$H,7,FALSE)^1.6)),"-")</f>
        <v>-</v>
      </c>
      <c r="I110" s="72" t="str">
        <f>IFERROR(표8[[#This Row],[배당'[0']]]/$AB110,"-")</f>
        <v>-</v>
      </c>
      <c r="J110" s="39" t="b">
        <f>INDEX([1]AdventureDiscoveryGroup!$I:$I,MATCH(표8[[#This Row],[열1]],[1]AdventureDiscoveryGroup!$B:$B,0))</f>
        <v>0</v>
      </c>
      <c r="K110" s="39" t="str">
        <f>IFERROR(INT(1000/POWER(1.5,VLOOKUP(J110,[1]Discovery!$B:$H,7,FALSE)^1.6)),"-")</f>
        <v>-</v>
      </c>
      <c r="L110" s="72" t="str">
        <f>IFERROR(표8[[#This Row],[배당'[1']]]/$AB110,"-")</f>
        <v>-</v>
      </c>
      <c r="M110" s="39" t="b">
        <f>INDEX([1]AdventureDiscoveryGroup!$N:$N,MATCH(표8[[#This Row],[열1]],[1]AdventureDiscoveryGroup!$B:$B,0))</f>
        <v>0</v>
      </c>
      <c r="N110" s="39" t="str">
        <f>IFERROR(INT(1000/POWER(1.5,VLOOKUP(M110,[1]Discovery!$B:$H,7,FALSE)^1.6)),"-")</f>
        <v>-</v>
      </c>
      <c r="O110" s="72" t="str">
        <f>IFERROR(표8[[#This Row],[배당'[2']]]/$AB110,"-")</f>
        <v>-</v>
      </c>
      <c r="P110" s="39" t="b">
        <f>INDEX([1]AdventureDiscoveryGroup!$S:$S,MATCH(표8[[#This Row],[열1]],[1]AdventureDiscoveryGroup!$B:$B,0))</f>
        <v>0</v>
      </c>
      <c r="Q110" s="39" t="str">
        <f>IFERROR(INT(1000/POWER(1.5,VLOOKUP(P110,[1]Discovery!$B:$H,7,FALSE)^1.6)),"-")</f>
        <v>-</v>
      </c>
      <c r="R110" s="72" t="str">
        <f>IFERROR(표8[[#This Row],[배당'[3']]]/$AB110,"-")</f>
        <v>-</v>
      </c>
      <c r="S110" s="40" t="b">
        <f>INDEX([1]AdventureDiscoveryGroup!$X:$X,MATCH(표8[[#This Row],[열1]],[1]AdventureDiscoveryGroup!$B:$B,0))</f>
        <v>0</v>
      </c>
      <c r="T110" s="40" t="str">
        <f>IFERROR(INT(1000/POWER(1.5,VLOOKUP(S110,[1]Discovery!$B:$H,7,FALSE)^1.6)),"-")</f>
        <v>-</v>
      </c>
      <c r="U110" s="72" t="str">
        <f>IFERROR(표8[[#This Row],[배당'[4']]]/$AB110,"-")</f>
        <v>-</v>
      </c>
      <c r="V110" s="40" t="b">
        <f>INDEX([1]AdventureDiscoveryGroup!$AC:$AC,MATCH(표8[[#This Row],[열1]],[1]AdventureDiscoveryGroup!$B:$B,0))</f>
        <v>0</v>
      </c>
      <c r="W110" s="40" t="str">
        <f>IFERROR(INT(1000/POWER(1.5,VLOOKUP(V110,[1]Discovery!$B:$H,7,FALSE)^1.6)),"-")</f>
        <v>-</v>
      </c>
      <c r="X110" s="72" t="str">
        <f>IFERROR(표8[[#This Row],[배당'[5']]]/$AB110,"-")</f>
        <v>-</v>
      </c>
      <c r="Y110" s="40" t="b">
        <f>INDEX([1]AdventureDiscoveryGroup!$AH:$AH,MATCH(표8[[#This Row],[열1]],[1]AdventureDiscoveryGroup!$B:$B,0))</f>
        <v>0</v>
      </c>
      <c r="Z110" s="40" t="str">
        <f>IFERROR(INT(1000/POWER(1.5,VLOOKUP(Y110,[1]Discovery!$B:$H,7,FALSE)^1.6)),"-")</f>
        <v>-</v>
      </c>
      <c r="AA110" s="72" t="str">
        <f>IFERROR(표8[[#This Row],[배당'[6']]]/$AB110,"-")</f>
        <v>-</v>
      </c>
      <c r="AB110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11" spans="2:28" x14ac:dyDescent="0.3">
      <c r="B111" s="39" t="str">
        <f>[1]LandExplore!E117</f>
        <v>벵겔라 부근</v>
      </c>
      <c r="C111" s="39" t="str">
        <f>INDEX([1]LandExplore!$B:$B,MATCH(표8[[#This Row],[육지]],[1]LandExplore!$E:$E,0))</f>
        <v>##서아프리카(남)</v>
      </c>
      <c r="D111" s="39" t="str">
        <f>IFERROR(VLOOKUP(표8[[#This Row],[육지]],[3]!표1_6[[이름]:[선단 LV]],6,FALSE),"-")</f>
        <v>-</v>
      </c>
      <c r="E111" s="39" t="str">
        <f>IFERROR(VLOOKUP(표8[[#This Row],[육지]],[3]!표1_6[[이름]:[위도]],3,FALSE),"-")</f>
        <v>-</v>
      </c>
      <c r="F111" s="39" t="str">
        <f>IFERROR(VLOOKUP(표8[[#This Row],[육지]],[3]!표1_6[[이름]:[위도]],2,FALSE),"-")</f>
        <v>-</v>
      </c>
      <c r="G111" s="39" t="str">
        <f>INDEX([1]AdventureDiscoveryGroup!$D:$D,MATCH(표8[[#This Row],[열1]],[1]AdventureDiscoveryGroup!$B:$B,0))</f>
        <v>벵겔라 부근</v>
      </c>
      <c r="H111" s="39" t="str">
        <f>IFERROR(INT(1000/POWER(1.5,VLOOKUP(G111,[1]Discovery!$B:$H,7,FALSE)^1.6)),"-")</f>
        <v>-</v>
      </c>
      <c r="I111" s="72" t="str">
        <f>IFERROR(표8[[#This Row],[배당'[0']]]/$AB111,"-")</f>
        <v>-</v>
      </c>
      <c r="J111" s="39" t="b">
        <f>INDEX([1]AdventureDiscoveryGroup!$I:$I,MATCH(표8[[#This Row],[열1]],[1]AdventureDiscoveryGroup!$B:$B,0))</f>
        <v>0</v>
      </c>
      <c r="K111" s="39" t="str">
        <f>IFERROR(INT(1000/POWER(1.5,VLOOKUP(J111,[1]Discovery!$B:$H,7,FALSE)^1.6)),"-")</f>
        <v>-</v>
      </c>
      <c r="L111" s="72" t="str">
        <f>IFERROR(표8[[#This Row],[배당'[1']]]/$AB111,"-")</f>
        <v>-</v>
      </c>
      <c r="M111" s="39" t="b">
        <f>INDEX([1]AdventureDiscoveryGroup!$N:$N,MATCH(표8[[#This Row],[열1]],[1]AdventureDiscoveryGroup!$B:$B,0))</f>
        <v>0</v>
      </c>
      <c r="N111" s="39" t="str">
        <f>IFERROR(INT(1000/POWER(1.5,VLOOKUP(M111,[1]Discovery!$B:$H,7,FALSE)^1.6)),"-")</f>
        <v>-</v>
      </c>
      <c r="O111" s="72" t="str">
        <f>IFERROR(표8[[#This Row],[배당'[2']]]/$AB111,"-")</f>
        <v>-</v>
      </c>
      <c r="P111" s="39" t="b">
        <f>INDEX([1]AdventureDiscoveryGroup!$S:$S,MATCH(표8[[#This Row],[열1]],[1]AdventureDiscoveryGroup!$B:$B,0))</f>
        <v>0</v>
      </c>
      <c r="Q111" s="39" t="str">
        <f>IFERROR(INT(1000/POWER(1.5,VLOOKUP(P111,[1]Discovery!$B:$H,7,FALSE)^1.6)),"-")</f>
        <v>-</v>
      </c>
      <c r="R111" s="72" t="str">
        <f>IFERROR(표8[[#This Row],[배당'[3']]]/$AB111,"-")</f>
        <v>-</v>
      </c>
      <c r="S111" s="40" t="b">
        <f>INDEX([1]AdventureDiscoveryGroup!$X:$X,MATCH(표8[[#This Row],[열1]],[1]AdventureDiscoveryGroup!$B:$B,0))</f>
        <v>0</v>
      </c>
      <c r="T111" s="40" t="str">
        <f>IFERROR(INT(1000/POWER(1.5,VLOOKUP(S111,[1]Discovery!$B:$H,7,FALSE)^1.6)),"-")</f>
        <v>-</v>
      </c>
      <c r="U111" s="72" t="str">
        <f>IFERROR(표8[[#This Row],[배당'[4']]]/$AB111,"-")</f>
        <v>-</v>
      </c>
      <c r="V111" s="40" t="b">
        <f>INDEX([1]AdventureDiscoveryGroup!$AC:$AC,MATCH(표8[[#This Row],[열1]],[1]AdventureDiscoveryGroup!$B:$B,0))</f>
        <v>0</v>
      </c>
      <c r="W111" s="40" t="str">
        <f>IFERROR(INT(1000/POWER(1.5,VLOOKUP(V111,[1]Discovery!$B:$H,7,FALSE)^1.6)),"-")</f>
        <v>-</v>
      </c>
      <c r="X111" s="72" t="str">
        <f>IFERROR(표8[[#This Row],[배당'[5']]]/$AB111,"-")</f>
        <v>-</v>
      </c>
      <c r="Y111" s="40" t="b">
        <f>INDEX([1]AdventureDiscoveryGroup!$AH:$AH,MATCH(표8[[#This Row],[열1]],[1]AdventureDiscoveryGroup!$B:$B,0))</f>
        <v>0</v>
      </c>
      <c r="Z111" s="40" t="str">
        <f>IFERROR(INT(1000/POWER(1.5,VLOOKUP(Y111,[1]Discovery!$B:$H,7,FALSE)^1.6)),"-")</f>
        <v>-</v>
      </c>
      <c r="AA111" s="72" t="str">
        <f>IFERROR(표8[[#This Row],[배당'[6']]]/$AB111,"-")</f>
        <v>-</v>
      </c>
      <c r="AB111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12" spans="2:28" x14ac:dyDescent="0.3">
      <c r="B112" s="39" t="str">
        <f>[1]LandExplore!E118</f>
        <v>산티아고 부근</v>
      </c>
      <c r="C112" s="39" t="str">
        <f>INDEX([1]LandExplore!$B:$B,MATCH(표8[[#This Row],[육지]],[1]LandExplore!$E:$E,0))</f>
        <v>##카리브</v>
      </c>
      <c r="D112" s="39" t="str">
        <f>IFERROR(VLOOKUP(표8[[#This Row],[육지]],[3]!표1_6[[이름]:[선단 LV]],6,FALSE),"-")</f>
        <v>-</v>
      </c>
      <c r="E112" s="39" t="str">
        <f>IFERROR(VLOOKUP(표8[[#This Row],[육지]],[3]!표1_6[[이름]:[위도]],3,FALSE),"-")</f>
        <v>-</v>
      </c>
      <c r="F112" s="39" t="str">
        <f>IFERROR(VLOOKUP(표8[[#This Row],[육지]],[3]!표1_6[[이름]:[위도]],2,FALSE),"-")</f>
        <v>-</v>
      </c>
      <c r="G112" s="39" t="str">
        <f>INDEX([1]AdventureDiscoveryGroup!$D:$D,MATCH(표8[[#This Row],[열1]],[1]AdventureDiscoveryGroup!$B:$B,0))</f>
        <v>산티아고 부근</v>
      </c>
      <c r="H112" s="39" t="str">
        <f>IFERROR(INT(1000/POWER(1.5,VLOOKUP(G112,[1]Discovery!$B:$H,7,FALSE)^1.6)),"-")</f>
        <v>-</v>
      </c>
      <c r="I112" s="72" t="str">
        <f>IFERROR(표8[[#This Row],[배당'[0']]]/$AB112,"-")</f>
        <v>-</v>
      </c>
      <c r="J112" s="39" t="b">
        <f>INDEX([1]AdventureDiscoveryGroup!$I:$I,MATCH(표8[[#This Row],[열1]],[1]AdventureDiscoveryGroup!$B:$B,0))</f>
        <v>0</v>
      </c>
      <c r="K112" s="39" t="str">
        <f>IFERROR(INT(1000/POWER(1.5,VLOOKUP(J112,[1]Discovery!$B:$H,7,FALSE)^1.6)),"-")</f>
        <v>-</v>
      </c>
      <c r="L112" s="72" t="str">
        <f>IFERROR(표8[[#This Row],[배당'[1']]]/$AB112,"-")</f>
        <v>-</v>
      </c>
      <c r="M112" s="39" t="b">
        <f>INDEX([1]AdventureDiscoveryGroup!$N:$N,MATCH(표8[[#This Row],[열1]],[1]AdventureDiscoveryGroup!$B:$B,0))</f>
        <v>0</v>
      </c>
      <c r="N112" s="39" t="str">
        <f>IFERROR(INT(1000/POWER(1.5,VLOOKUP(M112,[1]Discovery!$B:$H,7,FALSE)^1.6)),"-")</f>
        <v>-</v>
      </c>
      <c r="O112" s="72" t="str">
        <f>IFERROR(표8[[#This Row],[배당'[2']]]/$AB112,"-")</f>
        <v>-</v>
      </c>
      <c r="P112" s="39" t="b">
        <f>INDEX([1]AdventureDiscoveryGroup!$S:$S,MATCH(표8[[#This Row],[열1]],[1]AdventureDiscoveryGroup!$B:$B,0))</f>
        <v>0</v>
      </c>
      <c r="Q112" s="39" t="str">
        <f>IFERROR(INT(1000/POWER(1.5,VLOOKUP(P112,[1]Discovery!$B:$H,7,FALSE)^1.6)),"-")</f>
        <v>-</v>
      </c>
      <c r="R112" s="72" t="str">
        <f>IFERROR(표8[[#This Row],[배당'[3']]]/$AB112,"-")</f>
        <v>-</v>
      </c>
      <c r="S112" s="40" t="b">
        <f>INDEX([1]AdventureDiscoveryGroup!$X:$X,MATCH(표8[[#This Row],[열1]],[1]AdventureDiscoveryGroup!$B:$B,0))</f>
        <v>0</v>
      </c>
      <c r="T112" s="40" t="str">
        <f>IFERROR(INT(1000/POWER(1.5,VLOOKUP(S112,[1]Discovery!$B:$H,7,FALSE)^1.6)),"-")</f>
        <v>-</v>
      </c>
      <c r="U112" s="72" t="str">
        <f>IFERROR(표8[[#This Row],[배당'[4']]]/$AB112,"-")</f>
        <v>-</v>
      </c>
      <c r="V112" s="40" t="b">
        <f>INDEX([1]AdventureDiscoveryGroup!$AC:$AC,MATCH(표8[[#This Row],[열1]],[1]AdventureDiscoveryGroup!$B:$B,0))</f>
        <v>0</v>
      </c>
      <c r="W112" s="40" t="str">
        <f>IFERROR(INT(1000/POWER(1.5,VLOOKUP(V112,[1]Discovery!$B:$H,7,FALSE)^1.6)),"-")</f>
        <v>-</v>
      </c>
      <c r="X112" s="72" t="str">
        <f>IFERROR(표8[[#This Row],[배당'[5']]]/$AB112,"-")</f>
        <v>-</v>
      </c>
      <c r="Y112" s="40" t="b">
        <f>INDEX([1]AdventureDiscoveryGroup!$AH:$AH,MATCH(표8[[#This Row],[열1]],[1]AdventureDiscoveryGroup!$B:$B,0))</f>
        <v>0</v>
      </c>
      <c r="Z112" s="40" t="str">
        <f>IFERROR(INT(1000/POWER(1.5,VLOOKUP(Y112,[1]Discovery!$B:$H,7,FALSE)^1.6)),"-")</f>
        <v>-</v>
      </c>
      <c r="AA112" s="72" t="str">
        <f>IFERROR(표8[[#This Row],[배당'[6']]]/$AB112,"-")</f>
        <v>-</v>
      </c>
      <c r="AB112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13" spans="2:28" x14ac:dyDescent="0.3">
      <c r="B113" s="39" t="str">
        <f>[1]LandExplore!E119</f>
        <v>런던 부근</v>
      </c>
      <c r="C113" s="39" t="str">
        <f>INDEX([1]LandExplore!$B:$B,MATCH(표8[[#This Row],[육지]],[1]LandExplore!$E:$E,0))</f>
        <v>##브리튼</v>
      </c>
      <c r="D113" s="39" t="str">
        <f>IFERROR(VLOOKUP(표8[[#This Row],[육지]],[3]!표1_6[[이름]:[선단 LV]],6,FALSE),"-")</f>
        <v>-</v>
      </c>
      <c r="E113" s="39" t="str">
        <f>IFERROR(VLOOKUP(표8[[#This Row],[육지]],[3]!표1_6[[이름]:[위도]],3,FALSE),"-")</f>
        <v>-</v>
      </c>
      <c r="F113" s="39" t="str">
        <f>IFERROR(VLOOKUP(표8[[#This Row],[육지]],[3]!표1_6[[이름]:[위도]],2,FALSE),"-")</f>
        <v>-</v>
      </c>
      <c r="G113" s="39" t="str">
        <f>INDEX([1]AdventureDiscoveryGroup!$D:$D,MATCH(표8[[#This Row],[열1]],[1]AdventureDiscoveryGroup!$B:$B,0))</f>
        <v>런던 부근</v>
      </c>
      <c r="H113" s="39" t="str">
        <f>IFERROR(INT(1000/POWER(1.5,VLOOKUP(G113,[1]Discovery!$B:$H,7,FALSE)^1.6)),"-")</f>
        <v>-</v>
      </c>
      <c r="I113" s="72" t="str">
        <f>IFERROR(표8[[#This Row],[배당'[0']]]/$AB113,"-")</f>
        <v>-</v>
      </c>
      <c r="J113" s="39" t="b">
        <f>INDEX([1]AdventureDiscoveryGroup!$I:$I,MATCH(표8[[#This Row],[열1]],[1]AdventureDiscoveryGroup!$B:$B,0))</f>
        <v>0</v>
      </c>
      <c r="K113" s="39" t="str">
        <f>IFERROR(INT(1000/POWER(1.5,VLOOKUP(J113,[1]Discovery!$B:$H,7,FALSE)^1.6)),"-")</f>
        <v>-</v>
      </c>
      <c r="L113" s="72" t="str">
        <f>IFERROR(표8[[#This Row],[배당'[1']]]/$AB113,"-")</f>
        <v>-</v>
      </c>
      <c r="M113" s="39" t="b">
        <f>INDEX([1]AdventureDiscoveryGroup!$N:$N,MATCH(표8[[#This Row],[열1]],[1]AdventureDiscoveryGroup!$B:$B,0))</f>
        <v>0</v>
      </c>
      <c r="N113" s="39" t="str">
        <f>IFERROR(INT(1000/POWER(1.5,VLOOKUP(M113,[1]Discovery!$B:$H,7,FALSE)^1.6)),"-")</f>
        <v>-</v>
      </c>
      <c r="O113" s="72" t="str">
        <f>IFERROR(표8[[#This Row],[배당'[2']]]/$AB113,"-")</f>
        <v>-</v>
      </c>
      <c r="P113" s="39" t="b">
        <f>INDEX([1]AdventureDiscoveryGroup!$S:$S,MATCH(표8[[#This Row],[열1]],[1]AdventureDiscoveryGroup!$B:$B,0))</f>
        <v>0</v>
      </c>
      <c r="Q113" s="39" t="str">
        <f>IFERROR(INT(1000/POWER(1.5,VLOOKUP(P113,[1]Discovery!$B:$H,7,FALSE)^1.6)),"-")</f>
        <v>-</v>
      </c>
      <c r="R113" s="72" t="str">
        <f>IFERROR(표8[[#This Row],[배당'[3']]]/$AB113,"-")</f>
        <v>-</v>
      </c>
      <c r="S113" s="40" t="b">
        <f>INDEX([1]AdventureDiscoveryGroup!$X:$X,MATCH(표8[[#This Row],[열1]],[1]AdventureDiscoveryGroup!$B:$B,0))</f>
        <v>0</v>
      </c>
      <c r="T113" s="40" t="str">
        <f>IFERROR(INT(1000/POWER(1.5,VLOOKUP(S113,[1]Discovery!$B:$H,7,FALSE)^1.6)),"-")</f>
        <v>-</v>
      </c>
      <c r="U113" s="72" t="str">
        <f>IFERROR(표8[[#This Row],[배당'[4']]]/$AB113,"-")</f>
        <v>-</v>
      </c>
      <c r="V113" s="40" t="b">
        <f>INDEX([1]AdventureDiscoveryGroup!$AC:$AC,MATCH(표8[[#This Row],[열1]],[1]AdventureDiscoveryGroup!$B:$B,0))</f>
        <v>0</v>
      </c>
      <c r="W113" s="40" t="str">
        <f>IFERROR(INT(1000/POWER(1.5,VLOOKUP(V113,[1]Discovery!$B:$H,7,FALSE)^1.6)),"-")</f>
        <v>-</v>
      </c>
      <c r="X113" s="72" t="str">
        <f>IFERROR(표8[[#This Row],[배당'[5']]]/$AB113,"-")</f>
        <v>-</v>
      </c>
      <c r="Y113" s="40" t="b">
        <f>INDEX([1]AdventureDiscoveryGroup!$AH:$AH,MATCH(표8[[#This Row],[열1]],[1]AdventureDiscoveryGroup!$B:$B,0))</f>
        <v>0</v>
      </c>
      <c r="Z113" s="40" t="str">
        <f>IFERROR(INT(1000/POWER(1.5,VLOOKUP(Y113,[1]Discovery!$B:$H,7,FALSE)^1.6)),"-")</f>
        <v>-</v>
      </c>
      <c r="AA113" s="72" t="str">
        <f>IFERROR(표8[[#This Row],[배당'[6']]]/$AB113,"-")</f>
        <v>-</v>
      </c>
      <c r="AB113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14" spans="2:28" x14ac:dyDescent="0.3">
      <c r="B114" s="39" t="str">
        <f>[1]LandExplore!E120</f>
        <v>나일강</v>
      </c>
      <c r="C114" s="39" t="str">
        <f>INDEX([1]LandExplore!$B:$B,MATCH(표8[[#This Row],[육지]],[1]LandExplore!$E:$E,0))</f>
        <v>##나일강</v>
      </c>
      <c r="D114" s="39" t="str">
        <f>IFERROR(VLOOKUP(표8[[#This Row],[육지]],[3]!표1_6[[이름]:[선단 LV]],6,FALSE),"-")</f>
        <v>-</v>
      </c>
      <c r="E114" s="39" t="str">
        <f>IFERROR(VLOOKUP(표8[[#This Row],[육지]],[3]!표1_6[[이름]:[위도]],3,FALSE),"-")</f>
        <v>-</v>
      </c>
      <c r="F114" s="39" t="str">
        <f>IFERROR(VLOOKUP(표8[[#This Row],[육지]],[3]!표1_6[[이름]:[위도]],2,FALSE),"-")</f>
        <v>-</v>
      </c>
      <c r="G114" s="39" t="str">
        <f>INDEX([1]AdventureDiscoveryGroup!$D:$D,MATCH(표8[[#This Row],[열1]],[1]AdventureDiscoveryGroup!$B:$B,0))</f>
        <v>알카히라 부근</v>
      </c>
      <c r="H114" s="39" t="str">
        <f>IFERROR(INT(1000/POWER(1.5,VLOOKUP(G114,[1]Discovery!$B:$H,7,FALSE)^1.6)),"-")</f>
        <v>-</v>
      </c>
      <c r="I114" s="72" t="str">
        <f>IFERROR(표8[[#This Row],[배당'[0']]]/$AB114,"-")</f>
        <v>-</v>
      </c>
      <c r="J114" s="39" t="b">
        <f>INDEX([1]AdventureDiscoveryGroup!$I:$I,MATCH(표8[[#This Row],[열1]],[1]AdventureDiscoveryGroup!$B:$B,0))</f>
        <v>0</v>
      </c>
      <c r="K114" s="39" t="str">
        <f>IFERROR(INT(1000/POWER(1.5,VLOOKUP(J114,[1]Discovery!$B:$H,7,FALSE)^1.6)),"-")</f>
        <v>-</v>
      </c>
      <c r="L114" s="72" t="str">
        <f>IFERROR(표8[[#This Row],[배당'[1']]]/$AB114,"-")</f>
        <v>-</v>
      </c>
      <c r="M114" s="39" t="b">
        <f>INDEX([1]AdventureDiscoveryGroup!$N:$N,MATCH(표8[[#This Row],[열1]],[1]AdventureDiscoveryGroup!$B:$B,0))</f>
        <v>0</v>
      </c>
      <c r="N114" s="39" t="str">
        <f>IFERROR(INT(1000/POWER(1.5,VLOOKUP(M114,[1]Discovery!$B:$H,7,FALSE)^1.6)),"-")</f>
        <v>-</v>
      </c>
      <c r="O114" s="72" t="str">
        <f>IFERROR(표8[[#This Row],[배당'[2']]]/$AB114,"-")</f>
        <v>-</v>
      </c>
      <c r="P114" s="39" t="b">
        <f>INDEX([1]AdventureDiscoveryGroup!$S:$S,MATCH(표8[[#This Row],[열1]],[1]AdventureDiscoveryGroup!$B:$B,0))</f>
        <v>0</v>
      </c>
      <c r="Q114" s="39" t="str">
        <f>IFERROR(INT(1000/POWER(1.5,VLOOKUP(P114,[1]Discovery!$B:$H,7,FALSE)^1.6)),"-")</f>
        <v>-</v>
      </c>
      <c r="R114" s="72" t="str">
        <f>IFERROR(표8[[#This Row],[배당'[3']]]/$AB114,"-")</f>
        <v>-</v>
      </c>
      <c r="S114" s="40" t="b">
        <f>INDEX([1]AdventureDiscoveryGroup!$X:$X,MATCH(표8[[#This Row],[열1]],[1]AdventureDiscoveryGroup!$B:$B,0))</f>
        <v>0</v>
      </c>
      <c r="T114" s="40" t="str">
        <f>IFERROR(INT(1000/POWER(1.5,VLOOKUP(S114,[1]Discovery!$B:$H,7,FALSE)^1.6)),"-")</f>
        <v>-</v>
      </c>
      <c r="U114" s="72" t="str">
        <f>IFERROR(표8[[#This Row],[배당'[4']]]/$AB114,"-")</f>
        <v>-</v>
      </c>
      <c r="V114" s="40" t="b">
        <f>INDEX([1]AdventureDiscoveryGroup!$AC:$AC,MATCH(표8[[#This Row],[열1]],[1]AdventureDiscoveryGroup!$B:$B,0))</f>
        <v>0</v>
      </c>
      <c r="W114" s="40" t="str">
        <f>IFERROR(INT(1000/POWER(1.5,VLOOKUP(V114,[1]Discovery!$B:$H,7,FALSE)^1.6)),"-")</f>
        <v>-</v>
      </c>
      <c r="X114" s="72" t="str">
        <f>IFERROR(표8[[#This Row],[배당'[5']]]/$AB114,"-")</f>
        <v>-</v>
      </c>
      <c r="Y114" s="40" t="b">
        <f>INDEX([1]AdventureDiscoveryGroup!$AH:$AH,MATCH(표8[[#This Row],[열1]],[1]AdventureDiscoveryGroup!$B:$B,0))</f>
        <v>0</v>
      </c>
      <c r="Z114" s="40" t="str">
        <f>IFERROR(INT(1000/POWER(1.5,VLOOKUP(Y114,[1]Discovery!$B:$H,7,FALSE)^1.6)),"-")</f>
        <v>-</v>
      </c>
      <c r="AA114" s="72" t="str">
        <f>IFERROR(표8[[#This Row],[배당'[6']]]/$AB114,"-")</f>
        <v>-</v>
      </c>
      <c r="AB114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15" spans="2:28" x14ac:dyDescent="0.3">
      <c r="B115" s="39" t="str">
        <f>[1]LandExplore!E121</f>
        <v>항주 부근</v>
      </c>
      <c r="C115" s="39" t="str">
        <f>INDEX([1]LandExplore!$B:$B,MATCH(표8[[#This Row],[육지]],[1]LandExplore!$E:$E,0))</f>
        <v>##중국</v>
      </c>
      <c r="D115" s="39" t="str">
        <f>IFERROR(VLOOKUP(표8[[#This Row],[육지]],[3]!표1_6[[이름]:[선단 LV]],6,FALSE),"-")</f>
        <v>-</v>
      </c>
      <c r="E115" s="39" t="str">
        <f>IFERROR(VLOOKUP(표8[[#This Row],[육지]],[3]!표1_6[[이름]:[위도]],3,FALSE),"-")</f>
        <v>-</v>
      </c>
      <c r="F115" s="39" t="str">
        <f>IFERROR(VLOOKUP(표8[[#This Row],[육지]],[3]!표1_6[[이름]:[위도]],2,FALSE),"-")</f>
        <v>-</v>
      </c>
      <c r="G115" s="39" t="str">
        <f>INDEX([1]AdventureDiscoveryGroup!$D:$D,MATCH(표8[[#This Row],[열1]],[1]AdventureDiscoveryGroup!$B:$B,0))</f>
        <v>항주 부군</v>
      </c>
      <c r="H115" s="39" t="str">
        <f>IFERROR(INT(1000/POWER(1.5,VLOOKUP(G115,[1]Discovery!$B:$H,7,FALSE)^1.6)),"-")</f>
        <v>-</v>
      </c>
      <c r="I115" s="72" t="str">
        <f>IFERROR(표8[[#This Row],[배당'[0']]]/$AB115,"-")</f>
        <v>-</v>
      </c>
      <c r="J115" s="39" t="b">
        <f>INDEX([1]AdventureDiscoveryGroup!$I:$I,MATCH(표8[[#This Row],[열1]],[1]AdventureDiscoveryGroup!$B:$B,0))</f>
        <v>0</v>
      </c>
      <c r="K115" s="39" t="str">
        <f>IFERROR(INT(1000/POWER(1.5,VLOOKUP(J115,[1]Discovery!$B:$H,7,FALSE)^1.6)),"-")</f>
        <v>-</v>
      </c>
      <c r="L115" s="72" t="str">
        <f>IFERROR(표8[[#This Row],[배당'[1']]]/$AB115,"-")</f>
        <v>-</v>
      </c>
      <c r="M115" s="39" t="b">
        <f>INDEX([1]AdventureDiscoveryGroup!$N:$N,MATCH(표8[[#This Row],[열1]],[1]AdventureDiscoveryGroup!$B:$B,0))</f>
        <v>0</v>
      </c>
      <c r="N115" s="39" t="str">
        <f>IFERROR(INT(1000/POWER(1.5,VLOOKUP(M115,[1]Discovery!$B:$H,7,FALSE)^1.6)),"-")</f>
        <v>-</v>
      </c>
      <c r="O115" s="72" t="str">
        <f>IFERROR(표8[[#This Row],[배당'[2']]]/$AB115,"-")</f>
        <v>-</v>
      </c>
      <c r="P115" s="39" t="b">
        <f>INDEX([1]AdventureDiscoveryGroup!$S:$S,MATCH(표8[[#This Row],[열1]],[1]AdventureDiscoveryGroup!$B:$B,0))</f>
        <v>0</v>
      </c>
      <c r="Q115" s="39" t="str">
        <f>IFERROR(INT(1000/POWER(1.5,VLOOKUP(P115,[1]Discovery!$B:$H,7,FALSE)^1.6)),"-")</f>
        <v>-</v>
      </c>
      <c r="R115" s="72" t="str">
        <f>IFERROR(표8[[#This Row],[배당'[3']]]/$AB115,"-")</f>
        <v>-</v>
      </c>
      <c r="S115" s="40" t="b">
        <f>INDEX([1]AdventureDiscoveryGroup!$X:$X,MATCH(표8[[#This Row],[열1]],[1]AdventureDiscoveryGroup!$B:$B,0))</f>
        <v>0</v>
      </c>
      <c r="T115" s="40" t="str">
        <f>IFERROR(INT(1000/POWER(1.5,VLOOKUP(S115,[1]Discovery!$B:$H,7,FALSE)^1.6)),"-")</f>
        <v>-</v>
      </c>
      <c r="U115" s="72" t="str">
        <f>IFERROR(표8[[#This Row],[배당'[4']]]/$AB115,"-")</f>
        <v>-</v>
      </c>
      <c r="V115" s="40" t="b">
        <f>INDEX([1]AdventureDiscoveryGroup!$AC:$AC,MATCH(표8[[#This Row],[열1]],[1]AdventureDiscoveryGroup!$B:$B,0))</f>
        <v>0</v>
      </c>
      <c r="W115" s="40" t="str">
        <f>IFERROR(INT(1000/POWER(1.5,VLOOKUP(V115,[1]Discovery!$B:$H,7,FALSE)^1.6)),"-")</f>
        <v>-</v>
      </c>
      <c r="X115" s="72" t="str">
        <f>IFERROR(표8[[#This Row],[배당'[5']]]/$AB115,"-")</f>
        <v>-</v>
      </c>
      <c r="Y115" s="40" t="b">
        <f>INDEX([1]AdventureDiscoveryGroup!$AH:$AH,MATCH(표8[[#This Row],[열1]],[1]AdventureDiscoveryGroup!$B:$B,0))</f>
        <v>0</v>
      </c>
      <c r="Z115" s="40" t="str">
        <f>IFERROR(INT(1000/POWER(1.5,VLOOKUP(Y115,[1]Discovery!$B:$H,7,FALSE)^1.6)),"-")</f>
        <v>-</v>
      </c>
      <c r="AA115" s="72" t="str">
        <f>IFERROR(표8[[#This Row],[배당'[6']]]/$AB115,"-")</f>
        <v>-</v>
      </c>
      <c r="AB115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16" spans="2:28" x14ac:dyDescent="0.3">
      <c r="B116" s="39" t="str">
        <f>[1]LandExplore!E122</f>
        <v>마르세유 부근</v>
      </c>
      <c r="C116" s="39" t="str">
        <f>INDEX([1]LandExplore!$B:$B,MATCH(표8[[#This Row],[육지]],[1]LandExplore!$E:$E,0))</f>
        <v>##남프랑스</v>
      </c>
      <c r="D116" s="39" t="str">
        <f>IFERROR(VLOOKUP(표8[[#This Row],[육지]],[3]!표1_6[[이름]:[선단 LV]],6,FALSE),"-")</f>
        <v>-</v>
      </c>
      <c r="E116" s="39" t="str">
        <f>IFERROR(VLOOKUP(표8[[#This Row],[육지]],[3]!표1_6[[이름]:[위도]],3,FALSE),"-")</f>
        <v>-</v>
      </c>
      <c r="F116" s="39" t="str">
        <f>IFERROR(VLOOKUP(표8[[#This Row],[육지]],[3]!표1_6[[이름]:[위도]],2,FALSE),"-")</f>
        <v>-</v>
      </c>
      <c r="G116" s="39" t="str">
        <f>INDEX([1]AdventureDiscoveryGroup!$D:$D,MATCH(표8[[#This Row],[열1]],[1]AdventureDiscoveryGroup!$B:$B,0))</f>
        <v>마르세유 부근</v>
      </c>
      <c r="H116" s="39" t="str">
        <f>IFERROR(INT(1000/POWER(1.5,VLOOKUP(G116,[1]Discovery!$B:$H,7,FALSE)^1.6)),"-")</f>
        <v>-</v>
      </c>
      <c r="I116" s="72" t="str">
        <f>IFERROR(표8[[#This Row],[배당'[0']]]/$AB116,"-")</f>
        <v>-</v>
      </c>
      <c r="J116" s="39" t="b">
        <f>INDEX([1]AdventureDiscoveryGroup!$I:$I,MATCH(표8[[#This Row],[열1]],[1]AdventureDiscoveryGroup!$B:$B,0))</f>
        <v>0</v>
      </c>
      <c r="K116" s="39" t="str">
        <f>IFERROR(INT(1000/POWER(1.5,VLOOKUP(J116,[1]Discovery!$B:$H,7,FALSE)^1.6)),"-")</f>
        <v>-</v>
      </c>
      <c r="L116" s="72" t="str">
        <f>IFERROR(표8[[#This Row],[배당'[1']]]/$AB116,"-")</f>
        <v>-</v>
      </c>
      <c r="M116" s="39" t="b">
        <f>INDEX([1]AdventureDiscoveryGroup!$N:$N,MATCH(표8[[#This Row],[열1]],[1]AdventureDiscoveryGroup!$B:$B,0))</f>
        <v>0</v>
      </c>
      <c r="N116" s="39" t="str">
        <f>IFERROR(INT(1000/POWER(1.5,VLOOKUP(M116,[1]Discovery!$B:$H,7,FALSE)^1.6)),"-")</f>
        <v>-</v>
      </c>
      <c r="O116" s="72" t="str">
        <f>IFERROR(표8[[#This Row],[배당'[2']]]/$AB116,"-")</f>
        <v>-</v>
      </c>
      <c r="P116" s="39" t="b">
        <f>INDEX([1]AdventureDiscoveryGroup!$S:$S,MATCH(표8[[#This Row],[열1]],[1]AdventureDiscoveryGroup!$B:$B,0))</f>
        <v>0</v>
      </c>
      <c r="Q116" s="39" t="str">
        <f>IFERROR(INT(1000/POWER(1.5,VLOOKUP(P116,[1]Discovery!$B:$H,7,FALSE)^1.6)),"-")</f>
        <v>-</v>
      </c>
      <c r="R116" s="72" t="str">
        <f>IFERROR(표8[[#This Row],[배당'[3']]]/$AB116,"-")</f>
        <v>-</v>
      </c>
      <c r="S116" s="40" t="b">
        <f>INDEX([1]AdventureDiscoveryGroup!$X:$X,MATCH(표8[[#This Row],[열1]],[1]AdventureDiscoveryGroup!$B:$B,0))</f>
        <v>0</v>
      </c>
      <c r="T116" s="40" t="str">
        <f>IFERROR(INT(1000/POWER(1.5,VLOOKUP(S116,[1]Discovery!$B:$H,7,FALSE)^1.6)),"-")</f>
        <v>-</v>
      </c>
      <c r="U116" s="72" t="str">
        <f>IFERROR(표8[[#This Row],[배당'[4']]]/$AB116,"-")</f>
        <v>-</v>
      </c>
      <c r="V116" s="40" t="b">
        <f>INDEX([1]AdventureDiscoveryGroup!$AC:$AC,MATCH(표8[[#This Row],[열1]],[1]AdventureDiscoveryGroup!$B:$B,0))</f>
        <v>0</v>
      </c>
      <c r="W116" s="40" t="str">
        <f>IFERROR(INT(1000/POWER(1.5,VLOOKUP(V116,[1]Discovery!$B:$H,7,FALSE)^1.6)),"-")</f>
        <v>-</v>
      </c>
      <c r="X116" s="72" t="str">
        <f>IFERROR(표8[[#This Row],[배당'[5']]]/$AB116,"-")</f>
        <v>-</v>
      </c>
      <c r="Y116" s="40" t="b">
        <f>INDEX([1]AdventureDiscoveryGroup!$AH:$AH,MATCH(표8[[#This Row],[열1]],[1]AdventureDiscoveryGroup!$B:$B,0))</f>
        <v>0</v>
      </c>
      <c r="Z116" s="40" t="str">
        <f>IFERROR(INT(1000/POWER(1.5,VLOOKUP(Y116,[1]Discovery!$B:$H,7,FALSE)^1.6)),"-")</f>
        <v>-</v>
      </c>
      <c r="AA116" s="72" t="str">
        <f>IFERROR(표8[[#This Row],[배당'[6']]]/$AB116,"-")</f>
        <v>-</v>
      </c>
      <c r="AB116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17" spans="2:28" x14ac:dyDescent="0.3">
      <c r="B117" s="39" t="str">
        <f>[1]LandExplore!E123</f>
        <v>알이스칸다리야 부근</v>
      </c>
      <c r="C117" s="39" t="str">
        <f>INDEX([1]LandExplore!$B:$B,MATCH(표8[[#This Row],[육지]],[1]LandExplore!$E:$E,0))</f>
        <v>##북아프리카(동)</v>
      </c>
      <c r="D117" s="39" t="str">
        <f>IFERROR(VLOOKUP(표8[[#This Row],[육지]],[3]!표1_6[[이름]:[선단 LV]],6,FALSE),"-")</f>
        <v>-</v>
      </c>
      <c r="E117" s="39" t="str">
        <f>IFERROR(VLOOKUP(표8[[#This Row],[육지]],[3]!표1_6[[이름]:[위도]],3,FALSE),"-")</f>
        <v>-</v>
      </c>
      <c r="F117" s="39" t="str">
        <f>IFERROR(VLOOKUP(표8[[#This Row],[육지]],[3]!표1_6[[이름]:[위도]],2,FALSE),"-")</f>
        <v>-</v>
      </c>
      <c r="G117" s="39" t="str">
        <f>INDEX([1]AdventureDiscoveryGroup!$D:$D,MATCH(표8[[#This Row],[열1]],[1]AdventureDiscoveryGroup!$B:$B,0))</f>
        <v>알이스칸다리야 부근</v>
      </c>
      <c r="H117" s="39" t="str">
        <f>IFERROR(INT(1000/POWER(1.5,VLOOKUP(G117,[1]Discovery!$B:$H,7,FALSE)^1.6)),"-")</f>
        <v>-</v>
      </c>
      <c r="I117" s="72" t="str">
        <f>IFERROR(표8[[#This Row],[배당'[0']]]/$AB117,"-")</f>
        <v>-</v>
      </c>
      <c r="J117" s="39" t="b">
        <f>INDEX([1]AdventureDiscoveryGroup!$I:$I,MATCH(표8[[#This Row],[열1]],[1]AdventureDiscoveryGroup!$B:$B,0))</f>
        <v>0</v>
      </c>
      <c r="K117" s="39" t="str">
        <f>IFERROR(INT(1000/POWER(1.5,VLOOKUP(J117,[1]Discovery!$B:$H,7,FALSE)^1.6)),"-")</f>
        <v>-</v>
      </c>
      <c r="L117" s="72" t="str">
        <f>IFERROR(표8[[#This Row],[배당'[1']]]/$AB117,"-")</f>
        <v>-</v>
      </c>
      <c r="M117" s="39" t="b">
        <f>INDEX([1]AdventureDiscoveryGroup!$N:$N,MATCH(표8[[#This Row],[열1]],[1]AdventureDiscoveryGroup!$B:$B,0))</f>
        <v>0</v>
      </c>
      <c r="N117" s="39" t="str">
        <f>IFERROR(INT(1000/POWER(1.5,VLOOKUP(M117,[1]Discovery!$B:$H,7,FALSE)^1.6)),"-")</f>
        <v>-</v>
      </c>
      <c r="O117" s="72" t="str">
        <f>IFERROR(표8[[#This Row],[배당'[2']]]/$AB117,"-")</f>
        <v>-</v>
      </c>
      <c r="P117" s="39" t="b">
        <f>INDEX([1]AdventureDiscoveryGroup!$S:$S,MATCH(표8[[#This Row],[열1]],[1]AdventureDiscoveryGroup!$B:$B,0))</f>
        <v>0</v>
      </c>
      <c r="Q117" s="39" t="str">
        <f>IFERROR(INT(1000/POWER(1.5,VLOOKUP(P117,[1]Discovery!$B:$H,7,FALSE)^1.6)),"-")</f>
        <v>-</v>
      </c>
      <c r="R117" s="72" t="str">
        <f>IFERROR(표8[[#This Row],[배당'[3']]]/$AB117,"-")</f>
        <v>-</v>
      </c>
      <c r="S117" s="40" t="b">
        <f>INDEX([1]AdventureDiscoveryGroup!$X:$X,MATCH(표8[[#This Row],[열1]],[1]AdventureDiscoveryGroup!$B:$B,0))</f>
        <v>0</v>
      </c>
      <c r="T117" s="40" t="str">
        <f>IFERROR(INT(1000/POWER(1.5,VLOOKUP(S117,[1]Discovery!$B:$H,7,FALSE)^1.6)),"-")</f>
        <v>-</v>
      </c>
      <c r="U117" s="72" t="str">
        <f>IFERROR(표8[[#This Row],[배당'[4']]]/$AB117,"-")</f>
        <v>-</v>
      </c>
      <c r="V117" s="40" t="b">
        <f>INDEX([1]AdventureDiscoveryGroup!$AC:$AC,MATCH(표8[[#This Row],[열1]],[1]AdventureDiscoveryGroup!$B:$B,0))</f>
        <v>0</v>
      </c>
      <c r="W117" s="40" t="str">
        <f>IFERROR(INT(1000/POWER(1.5,VLOOKUP(V117,[1]Discovery!$B:$H,7,FALSE)^1.6)),"-")</f>
        <v>-</v>
      </c>
      <c r="X117" s="72" t="str">
        <f>IFERROR(표8[[#This Row],[배당'[5']]]/$AB117,"-")</f>
        <v>-</v>
      </c>
      <c r="Y117" s="40" t="b">
        <f>INDEX([1]AdventureDiscoveryGroup!$AH:$AH,MATCH(표8[[#This Row],[열1]],[1]AdventureDiscoveryGroup!$B:$B,0))</f>
        <v>0</v>
      </c>
      <c r="Z117" s="40" t="str">
        <f>IFERROR(INT(1000/POWER(1.5,VLOOKUP(Y117,[1]Discovery!$B:$H,7,FALSE)^1.6)),"-")</f>
        <v>-</v>
      </c>
      <c r="AA117" s="72" t="str">
        <f>IFERROR(표8[[#This Row],[배당'[6']]]/$AB117,"-")</f>
        <v>-</v>
      </c>
      <c r="AB117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18" spans="2:28" x14ac:dyDescent="0.3">
      <c r="B118" s="39" t="str">
        <f>[1]LandExplore!E124</f>
        <v>카나크 부근</v>
      </c>
      <c r="C118" s="39" t="str">
        <f>INDEX([1]LandExplore!$B:$B,MATCH(표8[[#This Row],[육지]],[1]LandExplore!$E:$E,0))</f>
        <v>##세이렌의 하프</v>
      </c>
      <c r="D118" s="39" t="str">
        <f>IFERROR(VLOOKUP(표8[[#This Row],[육지]],[3]!표1_6[[이름]:[선단 LV]],6,FALSE),"-")</f>
        <v>-</v>
      </c>
      <c r="E118" s="39" t="str">
        <f>IFERROR(VLOOKUP(표8[[#This Row],[육지]],[3]!표1_6[[이름]:[위도]],3,FALSE),"-")</f>
        <v>-</v>
      </c>
      <c r="F118" s="39" t="str">
        <f>IFERROR(VLOOKUP(표8[[#This Row],[육지]],[3]!표1_6[[이름]:[위도]],2,FALSE),"-")</f>
        <v>-</v>
      </c>
      <c r="G118" s="39" t="str">
        <f>INDEX([1]AdventureDiscoveryGroup!$D:$D,MATCH(표8[[#This Row],[열1]],[1]AdventureDiscoveryGroup!$B:$B,0))</f>
        <v>카나크 부근</v>
      </c>
      <c r="H118" s="39" t="str">
        <f>IFERROR(INT(1000/POWER(1.5,VLOOKUP(G118,[1]Discovery!$B:$H,7,FALSE)^1.6)),"-")</f>
        <v>-</v>
      </c>
      <c r="I118" s="72" t="str">
        <f>IFERROR(표8[[#This Row],[배당'[0']]]/$AB118,"-")</f>
        <v>-</v>
      </c>
      <c r="J118" s="39" t="b">
        <f>INDEX([1]AdventureDiscoveryGroup!$I:$I,MATCH(표8[[#This Row],[열1]],[1]AdventureDiscoveryGroup!$B:$B,0))</f>
        <v>0</v>
      </c>
      <c r="K118" s="39" t="str">
        <f>IFERROR(INT(1000/POWER(1.5,VLOOKUP(J118,[1]Discovery!$B:$H,7,FALSE)^1.6)),"-")</f>
        <v>-</v>
      </c>
      <c r="L118" s="72" t="str">
        <f>IFERROR(표8[[#This Row],[배당'[1']]]/$AB118,"-")</f>
        <v>-</v>
      </c>
      <c r="M118" s="39" t="b">
        <f>INDEX([1]AdventureDiscoveryGroup!$N:$N,MATCH(표8[[#This Row],[열1]],[1]AdventureDiscoveryGroup!$B:$B,0))</f>
        <v>1</v>
      </c>
      <c r="N118" s="39" t="str">
        <f>IFERROR(INT(1000/POWER(1.5,VLOOKUP(M118,[1]Discovery!$B:$H,7,FALSE)^1.6)),"-")</f>
        <v>-</v>
      </c>
      <c r="O118" s="72" t="str">
        <f>IFERROR(표8[[#This Row],[배당'[2']]]/$AB118,"-")</f>
        <v>-</v>
      </c>
      <c r="P118" s="39" t="str">
        <f>INDEX([1]AdventureDiscoveryGroup!$S:$S,MATCH(표8[[#This Row],[열1]],[1]AdventureDiscoveryGroup!$B:$B,0))</f>
        <v>-</v>
      </c>
      <c r="Q118" s="39" t="str">
        <f>IFERROR(INT(1000/POWER(1.5,VLOOKUP(P118,[1]Discovery!$B:$H,7,FALSE)^1.6)),"-")</f>
        <v>-</v>
      </c>
      <c r="R118" s="72" t="str">
        <f>IFERROR(표8[[#This Row],[배당'[3']]]/$AB118,"-")</f>
        <v>-</v>
      </c>
      <c r="S118" s="40" t="str">
        <f>INDEX([1]AdventureDiscoveryGroup!$X:$X,MATCH(표8[[#This Row],[열1]],[1]AdventureDiscoveryGroup!$B:$B,0))</f>
        <v>-</v>
      </c>
      <c r="T118" s="40" t="str">
        <f>IFERROR(INT(1000/POWER(1.5,VLOOKUP(S118,[1]Discovery!$B:$H,7,FALSE)^1.6)),"-")</f>
        <v>-</v>
      </c>
      <c r="U118" s="72" t="str">
        <f>IFERROR(표8[[#This Row],[배당'[4']]]/$AB118,"-")</f>
        <v>-</v>
      </c>
      <c r="V118" s="40" t="str">
        <f>INDEX([1]AdventureDiscoveryGroup!$AC:$AC,MATCH(표8[[#This Row],[열1]],[1]AdventureDiscoveryGroup!$B:$B,0))</f>
        <v>-</v>
      </c>
      <c r="W118" s="40" t="str">
        <f>IFERROR(INT(1000/POWER(1.5,VLOOKUP(V118,[1]Discovery!$B:$H,7,FALSE)^1.6)),"-")</f>
        <v>-</v>
      </c>
      <c r="X118" s="72" t="str">
        <f>IFERROR(표8[[#This Row],[배당'[5']]]/$AB118,"-")</f>
        <v>-</v>
      </c>
      <c r="Y118" s="40" t="str">
        <f>INDEX([1]AdventureDiscoveryGroup!$AH:$AH,MATCH(표8[[#This Row],[열1]],[1]AdventureDiscoveryGroup!$B:$B,0))</f>
        <v>-</v>
      </c>
      <c r="Z118" s="40" t="str">
        <f>IFERROR(INT(1000/POWER(1.5,VLOOKUP(Y118,[1]Discovery!$B:$H,7,FALSE)^1.6)),"-")</f>
        <v>-</v>
      </c>
      <c r="AA118" s="72" t="str">
        <f>IFERROR(표8[[#This Row],[배당'[6']]]/$AB118,"-")</f>
        <v>-</v>
      </c>
      <c r="AB118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19" spans="2:28" x14ac:dyDescent="0.3">
      <c r="B119" s="39" t="str">
        <f>[1]LandExplore!E125</f>
        <v>수바 부근</v>
      </c>
      <c r="C119" s="39" t="str">
        <f>INDEX([1]LandExplore!$B:$B,MATCH(표8[[#This Row],[육지]],[1]LandExplore!$E:$E,0))</f>
        <v>##폴리네시아</v>
      </c>
      <c r="D119" s="39" t="str">
        <f>IFERROR(VLOOKUP(표8[[#This Row],[육지]],[3]!표1_6[[이름]:[선단 LV]],6,FALSE),"-")</f>
        <v>-</v>
      </c>
      <c r="E119" s="39" t="str">
        <f>IFERROR(VLOOKUP(표8[[#This Row],[육지]],[3]!표1_6[[이름]:[위도]],3,FALSE),"-")</f>
        <v>-</v>
      </c>
      <c r="F119" s="39" t="str">
        <f>IFERROR(VLOOKUP(표8[[#This Row],[육지]],[3]!표1_6[[이름]:[위도]],2,FALSE),"-")</f>
        <v>-</v>
      </c>
      <c r="G119" s="39" t="str">
        <f>INDEX([1]AdventureDiscoveryGroup!$D:$D,MATCH(표8[[#This Row],[열1]],[1]AdventureDiscoveryGroup!$B:$B,0))</f>
        <v>수바 부근</v>
      </c>
      <c r="H119" s="39" t="str">
        <f>IFERROR(INT(1000/POWER(1.5,VLOOKUP(G119,[1]Discovery!$B:$H,7,FALSE)^1.6)),"-")</f>
        <v>-</v>
      </c>
      <c r="I119" s="72" t="str">
        <f>IFERROR(표8[[#This Row],[배당'[0']]]/$AB119,"-")</f>
        <v>-</v>
      </c>
      <c r="J119" s="39" t="b">
        <f>INDEX([1]AdventureDiscoveryGroup!$I:$I,MATCH(표8[[#This Row],[열1]],[1]AdventureDiscoveryGroup!$B:$B,0))</f>
        <v>0</v>
      </c>
      <c r="K119" s="39" t="str">
        <f>IFERROR(INT(1000/POWER(1.5,VLOOKUP(J119,[1]Discovery!$B:$H,7,FALSE)^1.6)),"-")</f>
        <v>-</v>
      </c>
      <c r="L119" s="72" t="str">
        <f>IFERROR(표8[[#This Row],[배당'[1']]]/$AB119,"-")</f>
        <v>-</v>
      </c>
      <c r="M119" s="39" t="b">
        <f>INDEX([1]AdventureDiscoveryGroup!$N:$N,MATCH(표8[[#This Row],[열1]],[1]AdventureDiscoveryGroup!$B:$B,0))</f>
        <v>0</v>
      </c>
      <c r="N119" s="39" t="str">
        <f>IFERROR(INT(1000/POWER(1.5,VLOOKUP(M119,[1]Discovery!$B:$H,7,FALSE)^1.6)),"-")</f>
        <v>-</v>
      </c>
      <c r="O119" s="72" t="str">
        <f>IFERROR(표8[[#This Row],[배당'[2']]]/$AB119,"-")</f>
        <v>-</v>
      </c>
      <c r="P119" s="39" t="b">
        <f>INDEX([1]AdventureDiscoveryGroup!$S:$S,MATCH(표8[[#This Row],[열1]],[1]AdventureDiscoveryGroup!$B:$B,0))</f>
        <v>0</v>
      </c>
      <c r="Q119" s="39" t="str">
        <f>IFERROR(INT(1000/POWER(1.5,VLOOKUP(P119,[1]Discovery!$B:$H,7,FALSE)^1.6)),"-")</f>
        <v>-</v>
      </c>
      <c r="R119" s="72" t="str">
        <f>IFERROR(표8[[#This Row],[배당'[3']]]/$AB119,"-")</f>
        <v>-</v>
      </c>
      <c r="S119" s="40" t="b">
        <f>INDEX([1]AdventureDiscoveryGroup!$X:$X,MATCH(표8[[#This Row],[열1]],[1]AdventureDiscoveryGroup!$B:$B,0))</f>
        <v>0</v>
      </c>
      <c r="T119" s="40" t="str">
        <f>IFERROR(INT(1000/POWER(1.5,VLOOKUP(S119,[1]Discovery!$B:$H,7,FALSE)^1.6)),"-")</f>
        <v>-</v>
      </c>
      <c r="U119" s="72" t="str">
        <f>IFERROR(표8[[#This Row],[배당'[4']]]/$AB119,"-")</f>
        <v>-</v>
      </c>
      <c r="V119" s="40" t="str">
        <f>INDEX([1]AdventureDiscoveryGroup!$AC:$AC,MATCH(표8[[#This Row],[열1]],[1]AdventureDiscoveryGroup!$B:$B,0))</f>
        <v>-</v>
      </c>
      <c r="W119" s="40" t="str">
        <f>IFERROR(INT(1000/POWER(1.5,VLOOKUP(V119,[1]Discovery!$B:$H,7,FALSE)^1.6)),"-")</f>
        <v>-</v>
      </c>
      <c r="X119" s="72" t="str">
        <f>IFERROR(표8[[#This Row],[배당'[5']]]/$AB119,"-")</f>
        <v>-</v>
      </c>
      <c r="Y119" s="40" t="str">
        <f>INDEX([1]AdventureDiscoveryGroup!$AH:$AH,MATCH(표8[[#This Row],[열1]],[1]AdventureDiscoveryGroup!$B:$B,0))</f>
        <v>-</v>
      </c>
      <c r="Z119" s="40" t="str">
        <f>IFERROR(INT(1000/POWER(1.5,VLOOKUP(Y119,[1]Discovery!$B:$H,7,FALSE)^1.6)),"-")</f>
        <v>-</v>
      </c>
      <c r="AA119" s="72" t="str">
        <f>IFERROR(표8[[#This Row],[배당'[6']]]/$AB119,"-")</f>
        <v>-</v>
      </c>
      <c r="AB119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20" spans="2:28" x14ac:dyDescent="0.3">
      <c r="B120" s="39" t="str">
        <f>[1]LandExplore!E126</f>
        <v>나일강</v>
      </c>
      <c r="C120" s="39" t="str">
        <f>INDEX([1]LandExplore!$B:$B,MATCH(표8[[#This Row],[육지]],[1]LandExplore!$E:$E,0))</f>
        <v>##나일강</v>
      </c>
      <c r="D120" s="39" t="str">
        <f>IFERROR(VLOOKUP(표8[[#This Row],[육지]],[3]!표1_6[[이름]:[선단 LV]],6,FALSE),"-")</f>
        <v>-</v>
      </c>
      <c r="E120" s="39" t="str">
        <f>IFERROR(VLOOKUP(표8[[#This Row],[육지]],[3]!표1_6[[이름]:[위도]],3,FALSE),"-")</f>
        <v>-</v>
      </c>
      <c r="F120" s="39" t="str">
        <f>IFERROR(VLOOKUP(표8[[#This Row],[육지]],[3]!표1_6[[이름]:[위도]],2,FALSE),"-")</f>
        <v>-</v>
      </c>
      <c r="G120" s="39" t="str">
        <f>INDEX([1]AdventureDiscoveryGroup!$D:$D,MATCH(표8[[#This Row],[열1]],[1]AdventureDiscoveryGroup!$B:$B,0))</f>
        <v>알카히라 부근</v>
      </c>
      <c r="H120" s="39" t="str">
        <f>IFERROR(INT(1000/POWER(1.5,VLOOKUP(G120,[1]Discovery!$B:$H,7,FALSE)^1.6)),"-")</f>
        <v>-</v>
      </c>
      <c r="I120" s="72" t="str">
        <f>IFERROR(표8[[#This Row],[배당'[0']]]/$AB120,"-")</f>
        <v>-</v>
      </c>
      <c r="J120" s="39" t="b">
        <f>INDEX([1]AdventureDiscoveryGroup!$I:$I,MATCH(표8[[#This Row],[열1]],[1]AdventureDiscoveryGroup!$B:$B,0))</f>
        <v>0</v>
      </c>
      <c r="K120" s="39" t="str">
        <f>IFERROR(INT(1000/POWER(1.5,VLOOKUP(J120,[1]Discovery!$B:$H,7,FALSE)^1.6)),"-")</f>
        <v>-</v>
      </c>
      <c r="L120" s="72" t="str">
        <f>IFERROR(표8[[#This Row],[배당'[1']]]/$AB120,"-")</f>
        <v>-</v>
      </c>
      <c r="M120" s="39" t="b">
        <f>INDEX([1]AdventureDiscoveryGroup!$N:$N,MATCH(표8[[#This Row],[열1]],[1]AdventureDiscoveryGroup!$B:$B,0))</f>
        <v>0</v>
      </c>
      <c r="N120" s="39" t="str">
        <f>IFERROR(INT(1000/POWER(1.5,VLOOKUP(M120,[1]Discovery!$B:$H,7,FALSE)^1.6)),"-")</f>
        <v>-</v>
      </c>
      <c r="O120" s="72" t="str">
        <f>IFERROR(표8[[#This Row],[배당'[2']]]/$AB120,"-")</f>
        <v>-</v>
      </c>
      <c r="P120" s="39" t="b">
        <f>INDEX([1]AdventureDiscoveryGroup!$S:$S,MATCH(표8[[#This Row],[열1]],[1]AdventureDiscoveryGroup!$B:$B,0))</f>
        <v>0</v>
      </c>
      <c r="Q120" s="39" t="str">
        <f>IFERROR(INT(1000/POWER(1.5,VLOOKUP(P120,[1]Discovery!$B:$H,7,FALSE)^1.6)),"-")</f>
        <v>-</v>
      </c>
      <c r="R120" s="72" t="str">
        <f>IFERROR(표8[[#This Row],[배당'[3']]]/$AB120,"-")</f>
        <v>-</v>
      </c>
      <c r="S120" s="40" t="b">
        <f>INDEX([1]AdventureDiscoveryGroup!$X:$X,MATCH(표8[[#This Row],[열1]],[1]AdventureDiscoveryGroup!$B:$B,0))</f>
        <v>0</v>
      </c>
      <c r="T120" s="40" t="str">
        <f>IFERROR(INT(1000/POWER(1.5,VLOOKUP(S120,[1]Discovery!$B:$H,7,FALSE)^1.6)),"-")</f>
        <v>-</v>
      </c>
      <c r="U120" s="72" t="str">
        <f>IFERROR(표8[[#This Row],[배당'[4']]]/$AB120,"-")</f>
        <v>-</v>
      </c>
      <c r="V120" s="40" t="b">
        <f>INDEX([1]AdventureDiscoveryGroup!$AC:$AC,MATCH(표8[[#This Row],[열1]],[1]AdventureDiscoveryGroup!$B:$B,0))</f>
        <v>0</v>
      </c>
      <c r="W120" s="40" t="str">
        <f>IFERROR(INT(1000/POWER(1.5,VLOOKUP(V120,[1]Discovery!$B:$H,7,FALSE)^1.6)),"-")</f>
        <v>-</v>
      </c>
      <c r="X120" s="72" t="str">
        <f>IFERROR(표8[[#This Row],[배당'[5']]]/$AB120,"-")</f>
        <v>-</v>
      </c>
      <c r="Y120" s="40" t="b">
        <f>INDEX([1]AdventureDiscoveryGroup!$AH:$AH,MATCH(표8[[#This Row],[열1]],[1]AdventureDiscoveryGroup!$B:$B,0))</f>
        <v>0</v>
      </c>
      <c r="Z120" s="40" t="str">
        <f>IFERROR(INT(1000/POWER(1.5,VLOOKUP(Y120,[1]Discovery!$B:$H,7,FALSE)^1.6)),"-")</f>
        <v>-</v>
      </c>
      <c r="AA120" s="72" t="str">
        <f>IFERROR(표8[[#This Row],[배당'[6']]]/$AB120,"-")</f>
        <v>-</v>
      </c>
      <c r="AB120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21" spans="2:28" x14ac:dyDescent="0.3">
      <c r="B121" s="39" t="str">
        <f>[1]LandExplore!E127</f>
        <v>그린란드 남부</v>
      </c>
      <c r="C121" s="39" t="str">
        <f>INDEX([1]LandExplore!$B:$B,MATCH(표8[[#This Row],[육지]],[1]LandExplore!$E:$E,0))</f>
        <v>##극지방(그린란드)(남)</v>
      </c>
      <c r="D121" s="39" t="str">
        <f>IFERROR(VLOOKUP(표8[[#This Row],[육지]],[3]!표1_6[[이름]:[선단 LV]],6,FALSE),"-")</f>
        <v>-</v>
      </c>
      <c r="E121" s="39" t="str">
        <f>IFERROR(VLOOKUP(표8[[#This Row],[육지]],[3]!표1_6[[이름]:[위도]],3,FALSE),"-")</f>
        <v>-</v>
      </c>
      <c r="F121" s="39" t="str">
        <f>IFERROR(VLOOKUP(표8[[#This Row],[육지]],[3]!표1_6[[이름]:[위도]],2,FALSE),"-")</f>
        <v>-</v>
      </c>
      <c r="G121" s="39" t="str">
        <f>INDEX([1]AdventureDiscoveryGroup!$D:$D,MATCH(표8[[#This Row],[열1]],[1]AdventureDiscoveryGroup!$B:$B,0))</f>
        <v>카나크 부근</v>
      </c>
      <c r="H121" s="39" t="str">
        <f>IFERROR(INT(1000/POWER(1.5,VLOOKUP(G121,[1]Discovery!$B:$H,7,FALSE)^1.6)),"-")</f>
        <v>-</v>
      </c>
      <c r="I121" s="72" t="str">
        <f>IFERROR(표8[[#This Row],[배당'[0']]]/$AB121,"-")</f>
        <v>-</v>
      </c>
      <c r="J121" s="39" t="b">
        <f>INDEX([1]AdventureDiscoveryGroup!$I:$I,MATCH(표8[[#This Row],[열1]],[1]AdventureDiscoveryGroup!$B:$B,0))</f>
        <v>0</v>
      </c>
      <c r="K121" s="39" t="str">
        <f>IFERROR(INT(1000/POWER(1.5,VLOOKUP(J121,[1]Discovery!$B:$H,7,FALSE)^1.6)),"-")</f>
        <v>-</v>
      </c>
      <c r="L121" s="72" t="str">
        <f>IFERROR(표8[[#This Row],[배당'[1']]]/$AB121,"-")</f>
        <v>-</v>
      </c>
      <c r="M121" s="39" t="b">
        <f>INDEX([1]AdventureDiscoveryGroup!$N:$N,MATCH(표8[[#This Row],[열1]],[1]AdventureDiscoveryGroup!$B:$B,0))</f>
        <v>0</v>
      </c>
      <c r="N121" s="39" t="str">
        <f>IFERROR(INT(1000/POWER(1.5,VLOOKUP(M121,[1]Discovery!$B:$H,7,FALSE)^1.6)),"-")</f>
        <v>-</v>
      </c>
      <c r="O121" s="72" t="str">
        <f>IFERROR(표8[[#This Row],[배당'[2']]]/$AB121,"-")</f>
        <v>-</v>
      </c>
      <c r="P121" s="39" t="b">
        <f>INDEX([1]AdventureDiscoveryGroup!$S:$S,MATCH(표8[[#This Row],[열1]],[1]AdventureDiscoveryGroup!$B:$B,0))</f>
        <v>0</v>
      </c>
      <c r="Q121" s="39" t="str">
        <f>IFERROR(INT(1000/POWER(1.5,VLOOKUP(P121,[1]Discovery!$B:$H,7,FALSE)^1.6)),"-")</f>
        <v>-</v>
      </c>
      <c r="R121" s="72" t="str">
        <f>IFERROR(표8[[#This Row],[배당'[3']]]/$AB121,"-")</f>
        <v>-</v>
      </c>
      <c r="S121" s="40" t="b">
        <f>INDEX([1]AdventureDiscoveryGroup!$X:$X,MATCH(표8[[#This Row],[열1]],[1]AdventureDiscoveryGroup!$B:$B,0))</f>
        <v>0</v>
      </c>
      <c r="T121" s="40" t="str">
        <f>IFERROR(INT(1000/POWER(1.5,VLOOKUP(S121,[1]Discovery!$B:$H,7,FALSE)^1.6)),"-")</f>
        <v>-</v>
      </c>
      <c r="U121" s="72" t="str">
        <f>IFERROR(표8[[#This Row],[배당'[4']]]/$AB121,"-")</f>
        <v>-</v>
      </c>
      <c r="V121" s="40" t="str">
        <f>INDEX([1]AdventureDiscoveryGroup!$AC:$AC,MATCH(표8[[#This Row],[열1]],[1]AdventureDiscoveryGroup!$B:$B,0))</f>
        <v>-</v>
      </c>
      <c r="W121" s="40" t="str">
        <f>IFERROR(INT(1000/POWER(1.5,VLOOKUP(V121,[1]Discovery!$B:$H,7,FALSE)^1.6)),"-")</f>
        <v>-</v>
      </c>
      <c r="X121" s="72" t="str">
        <f>IFERROR(표8[[#This Row],[배당'[5']]]/$AB121,"-")</f>
        <v>-</v>
      </c>
      <c r="Y121" s="40" t="str">
        <f>INDEX([1]AdventureDiscoveryGroup!$AH:$AH,MATCH(표8[[#This Row],[열1]],[1]AdventureDiscoveryGroup!$B:$B,0))</f>
        <v>-</v>
      </c>
      <c r="Z121" s="40" t="str">
        <f>IFERROR(INT(1000/POWER(1.5,VLOOKUP(Y121,[1]Discovery!$B:$H,7,FALSE)^1.6)),"-")</f>
        <v>-</v>
      </c>
      <c r="AA121" s="72" t="str">
        <f>IFERROR(표8[[#This Row],[배당'[6']]]/$AB121,"-")</f>
        <v>-</v>
      </c>
      <c r="AB121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22" spans="2:28" x14ac:dyDescent="0.3">
      <c r="B122" s="39" t="str">
        <f>[1]LandExplore!E128</f>
        <v>발파라이소 부근</v>
      </c>
      <c r="C122" s="39" t="str">
        <f>INDEX([1]LandExplore!$B:$B,MATCH(표8[[#This Row],[육지]],[1]LandExplore!$E:$E,0))</f>
        <v>##남아메리카 서남</v>
      </c>
      <c r="D122" s="39" t="str">
        <f>IFERROR(VLOOKUP(표8[[#This Row],[육지]],[3]!표1_6[[이름]:[선단 LV]],6,FALSE),"-")</f>
        <v>-</v>
      </c>
      <c r="E122" s="39" t="str">
        <f>IFERROR(VLOOKUP(표8[[#This Row],[육지]],[3]!표1_6[[이름]:[위도]],3,FALSE),"-")</f>
        <v>-</v>
      </c>
      <c r="F122" s="39" t="str">
        <f>IFERROR(VLOOKUP(표8[[#This Row],[육지]],[3]!표1_6[[이름]:[위도]],2,FALSE),"-")</f>
        <v>-</v>
      </c>
      <c r="G122" s="39" t="str">
        <f>INDEX([1]AdventureDiscoveryGroup!$D:$D,MATCH(표8[[#This Row],[열1]],[1]AdventureDiscoveryGroup!$B:$B,0))</f>
        <v>발파라이소 부근</v>
      </c>
      <c r="H122" s="39" t="str">
        <f>IFERROR(INT(1000/POWER(1.5,VLOOKUP(G122,[1]Discovery!$B:$H,7,FALSE)^1.6)),"-")</f>
        <v>-</v>
      </c>
      <c r="I122" s="72" t="str">
        <f>IFERROR(표8[[#This Row],[배당'[0']]]/$AB122,"-")</f>
        <v>-</v>
      </c>
      <c r="J122" s="39" t="b">
        <f>INDEX([1]AdventureDiscoveryGroup!$I:$I,MATCH(표8[[#This Row],[열1]],[1]AdventureDiscoveryGroup!$B:$B,0))</f>
        <v>0</v>
      </c>
      <c r="K122" s="39" t="str">
        <f>IFERROR(INT(1000/POWER(1.5,VLOOKUP(J122,[1]Discovery!$B:$H,7,FALSE)^1.6)),"-")</f>
        <v>-</v>
      </c>
      <c r="L122" s="72" t="str">
        <f>IFERROR(표8[[#This Row],[배당'[1']]]/$AB122,"-")</f>
        <v>-</v>
      </c>
      <c r="M122" s="39" t="b">
        <f>INDEX([1]AdventureDiscoveryGroup!$N:$N,MATCH(표8[[#This Row],[열1]],[1]AdventureDiscoveryGroup!$B:$B,0))</f>
        <v>0</v>
      </c>
      <c r="N122" s="39" t="str">
        <f>IFERROR(INT(1000/POWER(1.5,VLOOKUP(M122,[1]Discovery!$B:$H,7,FALSE)^1.6)),"-")</f>
        <v>-</v>
      </c>
      <c r="O122" s="72" t="str">
        <f>IFERROR(표8[[#This Row],[배당'[2']]]/$AB122,"-")</f>
        <v>-</v>
      </c>
      <c r="P122" s="39" t="b">
        <f>INDEX([1]AdventureDiscoveryGroup!$S:$S,MATCH(표8[[#This Row],[열1]],[1]AdventureDiscoveryGroup!$B:$B,0))</f>
        <v>0</v>
      </c>
      <c r="Q122" s="39" t="str">
        <f>IFERROR(INT(1000/POWER(1.5,VLOOKUP(P122,[1]Discovery!$B:$H,7,FALSE)^1.6)),"-")</f>
        <v>-</v>
      </c>
      <c r="R122" s="72" t="str">
        <f>IFERROR(표8[[#This Row],[배당'[3']]]/$AB122,"-")</f>
        <v>-</v>
      </c>
      <c r="S122" s="40" t="b">
        <f>INDEX([1]AdventureDiscoveryGroup!$X:$X,MATCH(표8[[#This Row],[열1]],[1]AdventureDiscoveryGroup!$B:$B,0))</f>
        <v>0</v>
      </c>
      <c r="T122" s="40" t="str">
        <f>IFERROR(INT(1000/POWER(1.5,VLOOKUP(S122,[1]Discovery!$B:$H,7,FALSE)^1.6)),"-")</f>
        <v>-</v>
      </c>
      <c r="U122" s="72" t="str">
        <f>IFERROR(표8[[#This Row],[배당'[4']]]/$AB122,"-")</f>
        <v>-</v>
      </c>
      <c r="V122" s="40" t="b">
        <f>INDEX([1]AdventureDiscoveryGroup!$AC:$AC,MATCH(표8[[#This Row],[열1]],[1]AdventureDiscoveryGroup!$B:$B,0))</f>
        <v>0</v>
      </c>
      <c r="W122" s="40" t="str">
        <f>IFERROR(INT(1000/POWER(1.5,VLOOKUP(V122,[1]Discovery!$B:$H,7,FALSE)^1.6)),"-")</f>
        <v>-</v>
      </c>
      <c r="X122" s="72" t="str">
        <f>IFERROR(표8[[#This Row],[배당'[5']]]/$AB122,"-")</f>
        <v>-</v>
      </c>
      <c r="Y122" s="40" t="b">
        <f>INDEX([1]AdventureDiscoveryGroup!$AH:$AH,MATCH(표8[[#This Row],[열1]],[1]AdventureDiscoveryGroup!$B:$B,0))</f>
        <v>0</v>
      </c>
      <c r="Z122" s="40" t="str">
        <f>IFERROR(INT(1000/POWER(1.5,VLOOKUP(Y122,[1]Discovery!$B:$H,7,FALSE)^1.6)),"-")</f>
        <v>-</v>
      </c>
      <c r="AA122" s="72" t="str">
        <f>IFERROR(표8[[#This Row],[배당'[6']]]/$AB122,"-")</f>
        <v>-</v>
      </c>
      <c r="AB122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23" spans="2:28" x14ac:dyDescent="0.3">
      <c r="B123" s="39" t="str">
        <f>[1]LandExplore!E129</f>
        <v>고아 부근</v>
      </c>
      <c r="C123" s="39" t="str">
        <f>INDEX([1]LandExplore!$B:$B,MATCH(표8[[#This Row],[육지]],[1]LandExplore!$E:$E,0))</f>
        <v>##인도</v>
      </c>
      <c r="D123" s="39" t="str">
        <f>IFERROR(VLOOKUP(표8[[#This Row],[육지]],[3]!표1_6[[이름]:[선단 LV]],6,FALSE),"-")</f>
        <v>-</v>
      </c>
      <c r="E123" s="39" t="str">
        <f>IFERROR(VLOOKUP(표8[[#This Row],[육지]],[3]!표1_6[[이름]:[위도]],3,FALSE),"-")</f>
        <v>-</v>
      </c>
      <c r="F123" s="39" t="str">
        <f>IFERROR(VLOOKUP(표8[[#This Row],[육지]],[3]!표1_6[[이름]:[위도]],2,FALSE),"-")</f>
        <v>-</v>
      </c>
      <c r="G123" s="39" t="str">
        <f>INDEX([1]AdventureDiscoveryGroup!$D:$D,MATCH(표8[[#This Row],[열1]],[1]AdventureDiscoveryGroup!$B:$B,0))</f>
        <v>고아 부근</v>
      </c>
      <c r="H123" s="39" t="str">
        <f>IFERROR(INT(1000/POWER(1.5,VLOOKUP(G123,[1]Discovery!$B:$H,7,FALSE)^1.6)),"-")</f>
        <v>-</v>
      </c>
      <c r="I123" s="72" t="str">
        <f>IFERROR(표8[[#This Row],[배당'[0']]]/$AB123,"-")</f>
        <v>-</v>
      </c>
      <c r="J123" s="39" t="b">
        <f>INDEX([1]AdventureDiscoveryGroup!$I:$I,MATCH(표8[[#This Row],[열1]],[1]AdventureDiscoveryGroup!$B:$B,0))</f>
        <v>0</v>
      </c>
      <c r="K123" s="39" t="str">
        <f>IFERROR(INT(1000/POWER(1.5,VLOOKUP(J123,[1]Discovery!$B:$H,7,FALSE)^1.6)),"-")</f>
        <v>-</v>
      </c>
      <c r="L123" s="72" t="str">
        <f>IFERROR(표8[[#This Row],[배당'[1']]]/$AB123,"-")</f>
        <v>-</v>
      </c>
      <c r="M123" s="39" t="b">
        <f>INDEX([1]AdventureDiscoveryGroup!$N:$N,MATCH(표8[[#This Row],[열1]],[1]AdventureDiscoveryGroup!$B:$B,0))</f>
        <v>0</v>
      </c>
      <c r="N123" s="39" t="str">
        <f>IFERROR(INT(1000/POWER(1.5,VLOOKUP(M123,[1]Discovery!$B:$H,7,FALSE)^1.6)),"-")</f>
        <v>-</v>
      </c>
      <c r="O123" s="72" t="str">
        <f>IFERROR(표8[[#This Row],[배당'[2']]]/$AB123,"-")</f>
        <v>-</v>
      </c>
      <c r="P123" s="39" t="b">
        <f>INDEX([1]AdventureDiscoveryGroup!$S:$S,MATCH(표8[[#This Row],[열1]],[1]AdventureDiscoveryGroup!$B:$B,0))</f>
        <v>0</v>
      </c>
      <c r="Q123" s="39" t="str">
        <f>IFERROR(INT(1000/POWER(1.5,VLOOKUP(P123,[1]Discovery!$B:$H,7,FALSE)^1.6)),"-")</f>
        <v>-</v>
      </c>
      <c r="R123" s="72" t="str">
        <f>IFERROR(표8[[#This Row],[배당'[3']]]/$AB123,"-")</f>
        <v>-</v>
      </c>
      <c r="S123" s="40" t="b">
        <f>INDEX([1]AdventureDiscoveryGroup!$X:$X,MATCH(표8[[#This Row],[열1]],[1]AdventureDiscoveryGroup!$B:$B,0))</f>
        <v>0</v>
      </c>
      <c r="T123" s="40" t="str">
        <f>IFERROR(INT(1000/POWER(1.5,VLOOKUP(S123,[1]Discovery!$B:$H,7,FALSE)^1.6)),"-")</f>
        <v>-</v>
      </c>
      <c r="U123" s="72" t="str">
        <f>IFERROR(표8[[#This Row],[배당'[4']]]/$AB123,"-")</f>
        <v>-</v>
      </c>
      <c r="V123" s="40" t="b">
        <f>INDEX([1]AdventureDiscoveryGroup!$AC:$AC,MATCH(표8[[#This Row],[열1]],[1]AdventureDiscoveryGroup!$B:$B,0))</f>
        <v>0</v>
      </c>
      <c r="W123" s="40" t="str">
        <f>IFERROR(INT(1000/POWER(1.5,VLOOKUP(V123,[1]Discovery!$B:$H,7,FALSE)^1.6)),"-")</f>
        <v>-</v>
      </c>
      <c r="X123" s="72" t="str">
        <f>IFERROR(표8[[#This Row],[배당'[5']]]/$AB123,"-")</f>
        <v>-</v>
      </c>
      <c r="Y123" s="40" t="b">
        <f>INDEX([1]AdventureDiscoveryGroup!$AH:$AH,MATCH(표8[[#This Row],[열1]],[1]AdventureDiscoveryGroup!$B:$B,0))</f>
        <v>0</v>
      </c>
      <c r="Z123" s="40" t="str">
        <f>IFERROR(INT(1000/POWER(1.5,VLOOKUP(Y123,[1]Discovery!$B:$H,7,FALSE)^1.6)),"-")</f>
        <v>-</v>
      </c>
      <c r="AA123" s="72" t="str">
        <f>IFERROR(표8[[#This Row],[배당'[6']]]/$AB123,"-")</f>
        <v>-</v>
      </c>
      <c r="AB123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24" spans="2:28" x14ac:dyDescent="0.3">
      <c r="B124" s="39" t="str">
        <f>[1]LandExplore!E130</f>
        <v>브루네이 부근</v>
      </c>
      <c r="C124" s="39" t="str">
        <f>INDEX([1]LandExplore!$B:$B,MATCH(표8[[#This Row],[육지]],[1]LandExplore!$E:$E,0))</f>
        <v>##동남아군도</v>
      </c>
      <c r="D124" s="39" t="str">
        <f>IFERROR(VLOOKUP(표8[[#This Row],[육지]],[3]!표1_6[[이름]:[선단 LV]],6,FALSE),"-")</f>
        <v>-</v>
      </c>
      <c r="E124" s="39" t="str">
        <f>IFERROR(VLOOKUP(표8[[#This Row],[육지]],[3]!표1_6[[이름]:[위도]],3,FALSE),"-")</f>
        <v>-</v>
      </c>
      <c r="F124" s="39" t="str">
        <f>IFERROR(VLOOKUP(표8[[#This Row],[육지]],[3]!표1_6[[이름]:[위도]],2,FALSE),"-")</f>
        <v>-</v>
      </c>
      <c r="G124" s="39" t="str">
        <f>INDEX([1]AdventureDiscoveryGroup!$D:$D,MATCH(표8[[#This Row],[열1]],[1]AdventureDiscoveryGroup!$B:$B,0))</f>
        <v>브루네이 부근</v>
      </c>
      <c r="H124" s="39" t="str">
        <f>IFERROR(INT(1000/POWER(1.5,VLOOKUP(G124,[1]Discovery!$B:$H,7,FALSE)^1.6)),"-")</f>
        <v>-</v>
      </c>
      <c r="I124" s="72" t="str">
        <f>IFERROR(표8[[#This Row],[배당'[0']]]/$AB124,"-")</f>
        <v>-</v>
      </c>
      <c r="J124" s="39" t="b">
        <f>INDEX([1]AdventureDiscoveryGroup!$I:$I,MATCH(표8[[#This Row],[열1]],[1]AdventureDiscoveryGroup!$B:$B,0))</f>
        <v>0</v>
      </c>
      <c r="K124" s="39" t="str">
        <f>IFERROR(INT(1000/POWER(1.5,VLOOKUP(J124,[1]Discovery!$B:$H,7,FALSE)^1.6)),"-")</f>
        <v>-</v>
      </c>
      <c r="L124" s="72" t="str">
        <f>IFERROR(표8[[#This Row],[배당'[1']]]/$AB124,"-")</f>
        <v>-</v>
      </c>
      <c r="M124" s="39" t="b">
        <f>INDEX([1]AdventureDiscoveryGroup!$N:$N,MATCH(표8[[#This Row],[열1]],[1]AdventureDiscoveryGroup!$B:$B,0))</f>
        <v>0</v>
      </c>
      <c r="N124" s="39" t="str">
        <f>IFERROR(INT(1000/POWER(1.5,VLOOKUP(M124,[1]Discovery!$B:$H,7,FALSE)^1.6)),"-")</f>
        <v>-</v>
      </c>
      <c r="O124" s="72" t="str">
        <f>IFERROR(표8[[#This Row],[배당'[2']]]/$AB124,"-")</f>
        <v>-</v>
      </c>
      <c r="P124" s="39" t="b">
        <f>INDEX([1]AdventureDiscoveryGroup!$S:$S,MATCH(표8[[#This Row],[열1]],[1]AdventureDiscoveryGroup!$B:$B,0))</f>
        <v>0</v>
      </c>
      <c r="Q124" s="39" t="str">
        <f>IFERROR(INT(1000/POWER(1.5,VLOOKUP(P124,[1]Discovery!$B:$H,7,FALSE)^1.6)),"-")</f>
        <v>-</v>
      </c>
      <c r="R124" s="72" t="str">
        <f>IFERROR(표8[[#This Row],[배당'[3']]]/$AB124,"-")</f>
        <v>-</v>
      </c>
      <c r="S124" s="40" t="b">
        <f>INDEX([1]AdventureDiscoveryGroup!$X:$X,MATCH(표8[[#This Row],[열1]],[1]AdventureDiscoveryGroup!$B:$B,0))</f>
        <v>0</v>
      </c>
      <c r="T124" s="40" t="str">
        <f>IFERROR(INT(1000/POWER(1.5,VLOOKUP(S124,[1]Discovery!$B:$H,7,FALSE)^1.6)),"-")</f>
        <v>-</v>
      </c>
      <c r="U124" s="72" t="str">
        <f>IFERROR(표8[[#This Row],[배당'[4']]]/$AB124,"-")</f>
        <v>-</v>
      </c>
      <c r="V124" s="40" t="b">
        <f>INDEX([1]AdventureDiscoveryGroup!$AC:$AC,MATCH(표8[[#This Row],[열1]],[1]AdventureDiscoveryGroup!$B:$B,0))</f>
        <v>0</v>
      </c>
      <c r="W124" s="40" t="str">
        <f>IFERROR(INT(1000/POWER(1.5,VLOOKUP(V124,[1]Discovery!$B:$H,7,FALSE)^1.6)),"-")</f>
        <v>-</v>
      </c>
      <c r="X124" s="72" t="str">
        <f>IFERROR(표8[[#This Row],[배당'[5']]]/$AB124,"-")</f>
        <v>-</v>
      </c>
      <c r="Y124" s="40" t="b">
        <f>INDEX([1]AdventureDiscoveryGroup!$AH:$AH,MATCH(표8[[#This Row],[열1]],[1]AdventureDiscoveryGroup!$B:$B,0))</f>
        <v>0</v>
      </c>
      <c r="Z124" s="40" t="str">
        <f>IFERROR(INT(1000/POWER(1.5,VLOOKUP(Y124,[1]Discovery!$B:$H,7,FALSE)^1.6)),"-")</f>
        <v>-</v>
      </c>
      <c r="AA124" s="72" t="str">
        <f>IFERROR(표8[[#This Row],[배당'[6']]]/$AB124,"-")</f>
        <v>-</v>
      </c>
      <c r="AB124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25" spans="2:28" x14ac:dyDescent="0.3">
      <c r="B125" s="39" t="str">
        <f>[1]LandExplore!E131</f>
        <v>황허</v>
      </c>
      <c r="C125" s="39" t="str">
        <f>INDEX([1]LandExplore!$B:$B,MATCH(표8[[#This Row],[육지]],[1]LandExplore!$E:$E,0))</f>
        <v>##황허</v>
      </c>
      <c r="D125" s="39" t="str">
        <f>IFERROR(VLOOKUP(표8[[#This Row],[육지]],[3]!표1_6[[이름]:[선단 LV]],6,FALSE),"-")</f>
        <v>-</v>
      </c>
      <c r="E125" s="39" t="str">
        <f>IFERROR(VLOOKUP(표8[[#This Row],[육지]],[3]!표1_6[[이름]:[위도]],3,FALSE),"-")</f>
        <v>-</v>
      </c>
      <c r="F125" s="39" t="str">
        <f>IFERROR(VLOOKUP(표8[[#This Row],[육지]],[3]!표1_6[[이름]:[위도]],2,FALSE),"-")</f>
        <v>-</v>
      </c>
      <c r="G125" s="39" t="str">
        <f>INDEX([1]AdventureDiscoveryGroup!$D:$D,MATCH(표8[[#This Row],[열1]],[1]AdventureDiscoveryGroup!$B:$B,0))</f>
        <v>북경 부근</v>
      </c>
      <c r="H125" s="39" t="str">
        <f>IFERROR(INT(1000/POWER(1.5,VLOOKUP(G125,[1]Discovery!$B:$H,7,FALSE)^1.6)),"-")</f>
        <v>-</v>
      </c>
      <c r="I125" s="72" t="str">
        <f>IFERROR(표8[[#This Row],[배당'[0']]]/$AB125,"-")</f>
        <v>-</v>
      </c>
      <c r="J125" s="39" t="b">
        <f>INDEX([1]AdventureDiscoveryGroup!$I:$I,MATCH(표8[[#This Row],[열1]],[1]AdventureDiscoveryGroup!$B:$B,0))</f>
        <v>0</v>
      </c>
      <c r="K125" s="39" t="str">
        <f>IFERROR(INT(1000/POWER(1.5,VLOOKUP(J125,[1]Discovery!$B:$H,7,FALSE)^1.6)),"-")</f>
        <v>-</v>
      </c>
      <c r="L125" s="72" t="str">
        <f>IFERROR(표8[[#This Row],[배당'[1']]]/$AB125,"-")</f>
        <v>-</v>
      </c>
      <c r="M125" s="39" t="b">
        <f>INDEX([1]AdventureDiscoveryGroup!$N:$N,MATCH(표8[[#This Row],[열1]],[1]AdventureDiscoveryGroup!$B:$B,0))</f>
        <v>0</v>
      </c>
      <c r="N125" s="39" t="str">
        <f>IFERROR(INT(1000/POWER(1.5,VLOOKUP(M125,[1]Discovery!$B:$H,7,FALSE)^1.6)),"-")</f>
        <v>-</v>
      </c>
      <c r="O125" s="72" t="str">
        <f>IFERROR(표8[[#This Row],[배당'[2']]]/$AB125,"-")</f>
        <v>-</v>
      </c>
      <c r="P125" s="39" t="b">
        <f>INDEX([1]AdventureDiscoveryGroup!$S:$S,MATCH(표8[[#This Row],[열1]],[1]AdventureDiscoveryGroup!$B:$B,0))</f>
        <v>0</v>
      </c>
      <c r="Q125" s="39" t="str">
        <f>IFERROR(INT(1000/POWER(1.5,VLOOKUP(P125,[1]Discovery!$B:$H,7,FALSE)^1.6)),"-")</f>
        <v>-</v>
      </c>
      <c r="R125" s="72" t="str">
        <f>IFERROR(표8[[#This Row],[배당'[3']]]/$AB125,"-")</f>
        <v>-</v>
      </c>
      <c r="S125" s="40" t="b">
        <f>INDEX([1]AdventureDiscoveryGroup!$X:$X,MATCH(표8[[#This Row],[열1]],[1]AdventureDiscoveryGroup!$B:$B,0))</f>
        <v>0</v>
      </c>
      <c r="T125" s="40" t="str">
        <f>IFERROR(INT(1000/POWER(1.5,VLOOKUP(S125,[1]Discovery!$B:$H,7,FALSE)^1.6)),"-")</f>
        <v>-</v>
      </c>
      <c r="U125" s="72" t="str">
        <f>IFERROR(표8[[#This Row],[배당'[4']]]/$AB125,"-")</f>
        <v>-</v>
      </c>
      <c r="V125" s="40" t="b">
        <f>INDEX([1]AdventureDiscoveryGroup!$AC:$AC,MATCH(표8[[#This Row],[열1]],[1]AdventureDiscoveryGroup!$B:$B,0))</f>
        <v>0</v>
      </c>
      <c r="W125" s="40" t="str">
        <f>IFERROR(INT(1000/POWER(1.5,VLOOKUP(V125,[1]Discovery!$B:$H,7,FALSE)^1.6)),"-")</f>
        <v>-</v>
      </c>
      <c r="X125" s="72" t="str">
        <f>IFERROR(표8[[#This Row],[배당'[5']]]/$AB125,"-")</f>
        <v>-</v>
      </c>
      <c r="Y125" s="40" t="b">
        <f>INDEX([1]AdventureDiscoveryGroup!$AH:$AH,MATCH(표8[[#This Row],[열1]],[1]AdventureDiscoveryGroup!$B:$B,0))</f>
        <v>0</v>
      </c>
      <c r="Z125" s="40" t="str">
        <f>IFERROR(INT(1000/POWER(1.5,VLOOKUP(Y125,[1]Discovery!$B:$H,7,FALSE)^1.6)),"-")</f>
        <v>-</v>
      </c>
      <c r="AA125" s="72" t="str">
        <f>IFERROR(표8[[#This Row],[배당'[6']]]/$AB125,"-")</f>
        <v>-</v>
      </c>
      <c r="AB125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26" spans="2:28" x14ac:dyDescent="0.3">
      <c r="B126" s="39" t="str">
        <f>[1]LandExplore!E132</f>
        <v>포트피리 부근</v>
      </c>
      <c r="C126" s="39" t="str">
        <f>INDEX([1]LandExplore!$B:$B,MATCH(표8[[#This Row],[육지]],[1]LandExplore!$E:$E,0))</f>
        <v>##오세아니아(남)</v>
      </c>
      <c r="D126" s="39" t="str">
        <f>IFERROR(VLOOKUP(표8[[#This Row],[육지]],[3]!표1_6[[이름]:[선단 LV]],6,FALSE),"-")</f>
        <v>-</v>
      </c>
      <c r="E126" s="39" t="str">
        <f>IFERROR(VLOOKUP(표8[[#This Row],[육지]],[3]!표1_6[[이름]:[위도]],3,FALSE),"-")</f>
        <v>-</v>
      </c>
      <c r="F126" s="39" t="str">
        <f>IFERROR(VLOOKUP(표8[[#This Row],[육지]],[3]!표1_6[[이름]:[위도]],2,FALSE),"-")</f>
        <v>-</v>
      </c>
      <c r="G126" s="39" t="str">
        <f>INDEX([1]AdventureDiscoveryGroup!$D:$D,MATCH(표8[[#This Row],[열1]],[1]AdventureDiscoveryGroup!$B:$B,0))</f>
        <v>포트피리 부근</v>
      </c>
      <c r="H126" s="39" t="str">
        <f>IFERROR(INT(1000/POWER(1.5,VLOOKUP(G126,[1]Discovery!$B:$H,7,FALSE)^1.6)),"-")</f>
        <v>-</v>
      </c>
      <c r="I126" s="72" t="str">
        <f>IFERROR(표8[[#This Row],[배당'[0']]]/$AB126,"-")</f>
        <v>-</v>
      </c>
      <c r="J126" s="39" t="b">
        <f>INDEX([1]AdventureDiscoveryGroup!$I:$I,MATCH(표8[[#This Row],[열1]],[1]AdventureDiscoveryGroup!$B:$B,0))</f>
        <v>0</v>
      </c>
      <c r="K126" s="39" t="str">
        <f>IFERROR(INT(1000/POWER(1.5,VLOOKUP(J126,[1]Discovery!$B:$H,7,FALSE)^1.6)),"-")</f>
        <v>-</v>
      </c>
      <c r="L126" s="72" t="str">
        <f>IFERROR(표8[[#This Row],[배당'[1']]]/$AB126,"-")</f>
        <v>-</v>
      </c>
      <c r="M126" s="39" t="b">
        <f>INDEX([1]AdventureDiscoveryGroup!$N:$N,MATCH(표8[[#This Row],[열1]],[1]AdventureDiscoveryGroup!$B:$B,0))</f>
        <v>0</v>
      </c>
      <c r="N126" s="39" t="str">
        <f>IFERROR(INT(1000/POWER(1.5,VLOOKUP(M126,[1]Discovery!$B:$H,7,FALSE)^1.6)),"-")</f>
        <v>-</v>
      </c>
      <c r="O126" s="72" t="str">
        <f>IFERROR(표8[[#This Row],[배당'[2']]]/$AB126,"-")</f>
        <v>-</v>
      </c>
      <c r="P126" s="39" t="str">
        <f>INDEX([1]AdventureDiscoveryGroup!$S:$S,MATCH(표8[[#This Row],[열1]],[1]AdventureDiscoveryGroup!$B:$B,0))</f>
        <v>-</v>
      </c>
      <c r="Q126" s="39" t="str">
        <f>IFERROR(INT(1000/POWER(1.5,VLOOKUP(P126,[1]Discovery!$B:$H,7,FALSE)^1.6)),"-")</f>
        <v>-</v>
      </c>
      <c r="R126" s="72" t="str">
        <f>IFERROR(표8[[#This Row],[배당'[3']]]/$AB126,"-")</f>
        <v>-</v>
      </c>
      <c r="S126" s="40" t="str">
        <f>INDEX([1]AdventureDiscoveryGroup!$X:$X,MATCH(표8[[#This Row],[열1]],[1]AdventureDiscoveryGroup!$B:$B,0))</f>
        <v>-</v>
      </c>
      <c r="T126" s="40" t="str">
        <f>IFERROR(INT(1000/POWER(1.5,VLOOKUP(S126,[1]Discovery!$B:$H,7,FALSE)^1.6)),"-")</f>
        <v>-</v>
      </c>
      <c r="U126" s="72" t="str">
        <f>IFERROR(표8[[#This Row],[배당'[4']]]/$AB126,"-")</f>
        <v>-</v>
      </c>
      <c r="V126" s="40" t="str">
        <f>INDEX([1]AdventureDiscoveryGroup!$AC:$AC,MATCH(표8[[#This Row],[열1]],[1]AdventureDiscoveryGroup!$B:$B,0))</f>
        <v>-</v>
      </c>
      <c r="W126" s="40" t="str">
        <f>IFERROR(INT(1000/POWER(1.5,VLOOKUP(V126,[1]Discovery!$B:$H,7,FALSE)^1.6)),"-")</f>
        <v>-</v>
      </c>
      <c r="X126" s="72" t="str">
        <f>IFERROR(표8[[#This Row],[배당'[5']]]/$AB126,"-")</f>
        <v>-</v>
      </c>
      <c r="Y126" s="40" t="str">
        <f>INDEX([1]AdventureDiscoveryGroup!$AH:$AH,MATCH(표8[[#This Row],[열1]],[1]AdventureDiscoveryGroup!$B:$B,0))</f>
        <v>-</v>
      </c>
      <c r="Z126" s="40" t="str">
        <f>IFERROR(INT(1000/POWER(1.5,VLOOKUP(Y126,[1]Discovery!$B:$H,7,FALSE)^1.6)),"-")</f>
        <v>-</v>
      </c>
      <c r="AA126" s="72" t="str">
        <f>IFERROR(표8[[#This Row],[배당'[6']]]/$AB126,"-")</f>
        <v>-</v>
      </c>
      <c r="AB126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27" spans="2:28" x14ac:dyDescent="0.3">
      <c r="B127" s="39" t="str">
        <f>[1]LandExplore!E133</f>
        <v>코하셋 부근</v>
      </c>
      <c r="C127" s="39" t="str">
        <f>INDEX([1]LandExplore!$B:$B,MATCH(표8[[#This Row],[육지]],[1]LandExplore!$E:$E,0))</f>
        <v>##북아메리카 동북</v>
      </c>
      <c r="D127" s="39" t="str">
        <f>IFERROR(VLOOKUP(표8[[#This Row],[육지]],[3]!표1_6[[이름]:[선단 LV]],6,FALSE),"-")</f>
        <v>-</v>
      </c>
      <c r="E127" s="39" t="str">
        <f>IFERROR(VLOOKUP(표8[[#This Row],[육지]],[3]!표1_6[[이름]:[위도]],3,FALSE),"-")</f>
        <v>-</v>
      </c>
      <c r="F127" s="39" t="str">
        <f>IFERROR(VLOOKUP(표8[[#This Row],[육지]],[3]!표1_6[[이름]:[위도]],2,FALSE),"-")</f>
        <v>-</v>
      </c>
      <c r="G127" s="39" t="str">
        <f>INDEX([1]AdventureDiscoveryGroup!$D:$D,MATCH(표8[[#This Row],[열1]],[1]AdventureDiscoveryGroup!$B:$B,0))</f>
        <v>누탁 부근</v>
      </c>
      <c r="H127" s="39" t="str">
        <f>IFERROR(INT(1000/POWER(1.5,VLOOKUP(G127,[1]Discovery!$B:$H,7,FALSE)^1.6)),"-")</f>
        <v>-</v>
      </c>
      <c r="I127" s="72" t="str">
        <f>IFERROR(표8[[#This Row],[배당'[0']]]/$AB127,"-")</f>
        <v>-</v>
      </c>
      <c r="J127" s="39" t="b">
        <f>INDEX([1]AdventureDiscoveryGroup!$I:$I,MATCH(표8[[#This Row],[열1]],[1]AdventureDiscoveryGroup!$B:$B,0))</f>
        <v>0</v>
      </c>
      <c r="K127" s="39" t="str">
        <f>IFERROR(INT(1000/POWER(1.5,VLOOKUP(J127,[1]Discovery!$B:$H,7,FALSE)^1.6)),"-")</f>
        <v>-</v>
      </c>
      <c r="L127" s="72" t="str">
        <f>IFERROR(표8[[#This Row],[배당'[1']]]/$AB127,"-")</f>
        <v>-</v>
      </c>
      <c r="M127" s="39" t="b">
        <f>INDEX([1]AdventureDiscoveryGroup!$N:$N,MATCH(표8[[#This Row],[열1]],[1]AdventureDiscoveryGroup!$B:$B,0))</f>
        <v>0</v>
      </c>
      <c r="N127" s="39" t="str">
        <f>IFERROR(INT(1000/POWER(1.5,VLOOKUP(M127,[1]Discovery!$B:$H,7,FALSE)^1.6)),"-")</f>
        <v>-</v>
      </c>
      <c r="O127" s="72" t="str">
        <f>IFERROR(표8[[#This Row],[배당'[2']]]/$AB127,"-")</f>
        <v>-</v>
      </c>
      <c r="P127" s="39" t="b">
        <f>INDEX([1]AdventureDiscoveryGroup!$S:$S,MATCH(표8[[#This Row],[열1]],[1]AdventureDiscoveryGroup!$B:$B,0))</f>
        <v>0</v>
      </c>
      <c r="Q127" s="39" t="str">
        <f>IFERROR(INT(1000/POWER(1.5,VLOOKUP(P127,[1]Discovery!$B:$H,7,FALSE)^1.6)),"-")</f>
        <v>-</v>
      </c>
      <c r="R127" s="72" t="str">
        <f>IFERROR(표8[[#This Row],[배당'[3']]]/$AB127,"-")</f>
        <v>-</v>
      </c>
      <c r="S127" s="40" t="b">
        <f>INDEX([1]AdventureDiscoveryGroup!$X:$X,MATCH(표8[[#This Row],[열1]],[1]AdventureDiscoveryGroup!$B:$B,0))</f>
        <v>0</v>
      </c>
      <c r="T127" s="40" t="str">
        <f>IFERROR(INT(1000/POWER(1.5,VLOOKUP(S127,[1]Discovery!$B:$H,7,FALSE)^1.6)),"-")</f>
        <v>-</v>
      </c>
      <c r="U127" s="72" t="str">
        <f>IFERROR(표8[[#This Row],[배당'[4']]]/$AB127,"-")</f>
        <v>-</v>
      </c>
      <c r="V127" s="40" t="b">
        <f>INDEX([1]AdventureDiscoveryGroup!$AC:$AC,MATCH(표8[[#This Row],[열1]],[1]AdventureDiscoveryGroup!$B:$B,0))</f>
        <v>0</v>
      </c>
      <c r="W127" s="40" t="str">
        <f>IFERROR(INT(1000/POWER(1.5,VLOOKUP(V127,[1]Discovery!$B:$H,7,FALSE)^1.6)),"-")</f>
        <v>-</v>
      </c>
      <c r="X127" s="72" t="str">
        <f>IFERROR(표8[[#This Row],[배당'[5']]]/$AB127,"-")</f>
        <v>-</v>
      </c>
      <c r="Y127" s="40" t="b">
        <f>INDEX([1]AdventureDiscoveryGroup!$AH:$AH,MATCH(표8[[#This Row],[열1]],[1]AdventureDiscoveryGroup!$B:$B,0))</f>
        <v>0</v>
      </c>
      <c r="Z127" s="40" t="str">
        <f>IFERROR(INT(1000/POWER(1.5,VLOOKUP(Y127,[1]Discovery!$B:$H,7,FALSE)^1.6)),"-")</f>
        <v>-</v>
      </c>
      <c r="AA127" s="72" t="str">
        <f>IFERROR(표8[[#This Row],[배당'[6']]]/$AB127,"-")</f>
        <v>-</v>
      </c>
      <c r="AB127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28" spans="2:28" x14ac:dyDescent="0.3">
      <c r="B128" s="39" t="str">
        <f>[1]LandExplore!E134</f>
        <v>나일강</v>
      </c>
      <c r="C128" s="39" t="str">
        <f>INDEX([1]LandExplore!$B:$B,MATCH(표8[[#This Row],[육지]],[1]LandExplore!$E:$E,0))</f>
        <v>##나일강</v>
      </c>
      <c r="D128" s="39" t="str">
        <f>IFERROR(VLOOKUP(표8[[#This Row],[육지]],[3]!표1_6[[이름]:[선단 LV]],6,FALSE),"-")</f>
        <v>-</v>
      </c>
      <c r="E128" s="39" t="str">
        <f>IFERROR(VLOOKUP(표8[[#This Row],[육지]],[3]!표1_6[[이름]:[위도]],3,FALSE),"-")</f>
        <v>-</v>
      </c>
      <c r="F128" s="39" t="str">
        <f>IFERROR(VLOOKUP(표8[[#This Row],[육지]],[3]!표1_6[[이름]:[위도]],2,FALSE),"-")</f>
        <v>-</v>
      </c>
      <c r="G128" s="39" t="str">
        <f>INDEX([1]AdventureDiscoveryGroup!$D:$D,MATCH(표8[[#This Row],[열1]],[1]AdventureDiscoveryGroup!$B:$B,0))</f>
        <v>알카히라 부근</v>
      </c>
      <c r="H128" s="39" t="str">
        <f>IFERROR(INT(1000/POWER(1.5,VLOOKUP(G128,[1]Discovery!$B:$H,7,FALSE)^1.6)),"-")</f>
        <v>-</v>
      </c>
      <c r="I128" s="72" t="str">
        <f>IFERROR(표8[[#This Row],[배당'[0']]]/$AB128,"-")</f>
        <v>-</v>
      </c>
      <c r="J128" s="39" t="b">
        <f>INDEX([1]AdventureDiscoveryGroup!$I:$I,MATCH(표8[[#This Row],[열1]],[1]AdventureDiscoveryGroup!$B:$B,0))</f>
        <v>0</v>
      </c>
      <c r="K128" s="39" t="str">
        <f>IFERROR(INT(1000/POWER(1.5,VLOOKUP(J128,[1]Discovery!$B:$H,7,FALSE)^1.6)),"-")</f>
        <v>-</v>
      </c>
      <c r="L128" s="72" t="str">
        <f>IFERROR(표8[[#This Row],[배당'[1']]]/$AB128,"-")</f>
        <v>-</v>
      </c>
      <c r="M128" s="39" t="b">
        <f>INDEX([1]AdventureDiscoveryGroup!$N:$N,MATCH(표8[[#This Row],[열1]],[1]AdventureDiscoveryGroup!$B:$B,0))</f>
        <v>0</v>
      </c>
      <c r="N128" s="39" t="str">
        <f>IFERROR(INT(1000/POWER(1.5,VLOOKUP(M128,[1]Discovery!$B:$H,7,FALSE)^1.6)),"-")</f>
        <v>-</v>
      </c>
      <c r="O128" s="72" t="str">
        <f>IFERROR(표8[[#This Row],[배당'[2']]]/$AB128,"-")</f>
        <v>-</v>
      </c>
      <c r="P128" s="39" t="b">
        <f>INDEX([1]AdventureDiscoveryGroup!$S:$S,MATCH(표8[[#This Row],[열1]],[1]AdventureDiscoveryGroup!$B:$B,0))</f>
        <v>0</v>
      </c>
      <c r="Q128" s="39" t="str">
        <f>IFERROR(INT(1000/POWER(1.5,VLOOKUP(P128,[1]Discovery!$B:$H,7,FALSE)^1.6)),"-")</f>
        <v>-</v>
      </c>
      <c r="R128" s="72" t="str">
        <f>IFERROR(표8[[#This Row],[배당'[3']]]/$AB128,"-")</f>
        <v>-</v>
      </c>
      <c r="S128" s="40" t="b">
        <f>INDEX([1]AdventureDiscoveryGroup!$X:$X,MATCH(표8[[#This Row],[열1]],[1]AdventureDiscoveryGroup!$B:$B,0))</f>
        <v>0</v>
      </c>
      <c r="T128" s="40" t="str">
        <f>IFERROR(INT(1000/POWER(1.5,VLOOKUP(S128,[1]Discovery!$B:$H,7,FALSE)^1.6)),"-")</f>
        <v>-</v>
      </c>
      <c r="U128" s="72" t="str">
        <f>IFERROR(표8[[#This Row],[배당'[4']]]/$AB128,"-")</f>
        <v>-</v>
      </c>
      <c r="V128" s="40" t="b">
        <f>INDEX([1]AdventureDiscoveryGroup!$AC:$AC,MATCH(표8[[#This Row],[열1]],[1]AdventureDiscoveryGroup!$B:$B,0))</f>
        <v>0</v>
      </c>
      <c r="W128" s="40" t="str">
        <f>IFERROR(INT(1000/POWER(1.5,VLOOKUP(V128,[1]Discovery!$B:$H,7,FALSE)^1.6)),"-")</f>
        <v>-</v>
      </c>
      <c r="X128" s="72" t="str">
        <f>IFERROR(표8[[#This Row],[배당'[5']]]/$AB128,"-")</f>
        <v>-</v>
      </c>
      <c r="Y128" s="40" t="b">
        <f>INDEX([1]AdventureDiscoveryGroup!$AH:$AH,MATCH(표8[[#This Row],[열1]],[1]AdventureDiscoveryGroup!$B:$B,0))</f>
        <v>0</v>
      </c>
      <c r="Z128" s="40" t="str">
        <f>IFERROR(INT(1000/POWER(1.5,VLOOKUP(Y128,[1]Discovery!$B:$H,7,FALSE)^1.6)),"-")</f>
        <v>-</v>
      </c>
      <c r="AA128" s="72" t="str">
        <f>IFERROR(표8[[#This Row],[배당'[6']]]/$AB128,"-")</f>
        <v>-</v>
      </c>
      <c r="AB128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29" spans="2:28" x14ac:dyDescent="0.3">
      <c r="B129" s="39" t="str">
        <f>[1]LandExplore!E135</f>
        <v>콩고강</v>
      </c>
      <c r="C129" s="39" t="str">
        <f>INDEX([1]LandExplore!$B:$B,MATCH(표8[[#This Row],[육지]],[1]LandExplore!$E:$E,0))</f>
        <v>##콩고강</v>
      </c>
      <c r="D129" s="39" t="str">
        <f>IFERROR(VLOOKUP(표8[[#This Row],[육지]],[3]!표1_6[[이름]:[선단 LV]],6,FALSE),"-")</f>
        <v>-</v>
      </c>
      <c r="E129" s="39" t="str">
        <f>IFERROR(VLOOKUP(표8[[#This Row],[육지]],[3]!표1_6[[이름]:[위도]],3,FALSE),"-")</f>
        <v>-</v>
      </c>
      <c r="F129" s="39" t="str">
        <f>IFERROR(VLOOKUP(표8[[#This Row],[육지]],[3]!표1_6[[이름]:[위도]],2,FALSE),"-")</f>
        <v>-</v>
      </c>
      <c r="G129" s="39" t="str">
        <f>INDEX([1]AdventureDiscoveryGroup!$D:$D,MATCH(표8[[#This Row],[열1]],[1]AdventureDiscoveryGroup!$B:$B,0))</f>
        <v>카리비브 부근</v>
      </c>
      <c r="H129" s="39" t="str">
        <f>IFERROR(INT(1000/POWER(1.5,VLOOKUP(G129,[1]Discovery!$B:$H,7,FALSE)^1.6)),"-")</f>
        <v>-</v>
      </c>
      <c r="I129" s="72" t="str">
        <f>IFERROR(표8[[#This Row],[배당'[0']]]/$AB129,"-")</f>
        <v>-</v>
      </c>
      <c r="J129" s="39" t="b">
        <f>INDEX([1]AdventureDiscoveryGroup!$I:$I,MATCH(표8[[#This Row],[열1]],[1]AdventureDiscoveryGroup!$B:$B,0))</f>
        <v>0</v>
      </c>
      <c r="K129" s="39" t="str">
        <f>IFERROR(INT(1000/POWER(1.5,VLOOKUP(J129,[1]Discovery!$B:$H,7,FALSE)^1.6)),"-")</f>
        <v>-</v>
      </c>
      <c r="L129" s="72" t="str">
        <f>IFERROR(표8[[#This Row],[배당'[1']]]/$AB129,"-")</f>
        <v>-</v>
      </c>
      <c r="M129" s="39" t="b">
        <f>INDEX([1]AdventureDiscoveryGroup!$N:$N,MATCH(표8[[#This Row],[열1]],[1]AdventureDiscoveryGroup!$B:$B,0))</f>
        <v>0</v>
      </c>
      <c r="N129" s="39" t="str">
        <f>IFERROR(INT(1000/POWER(1.5,VLOOKUP(M129,[1]Discovery!$B:$H,7,FALSE)^1.6)),"-")</f>
        <v>-</v>
      </c>
      <c r="O129" s="72" t="str">
        <f>IFERROR(표8[[#This Row],[배당'[2']]]/$AB129,"-")</f>
        <v>-</v>
      </c>
      <c r="P129" s="39" t="b">
        <f>INDEX([1]AdventureDiscoveryGroup!$S:$S,MATCH(표8[[#This Row],[열1]],[1]AdventureDiscoveryGroup!$B:$B,0))</f>
        <v>0</v>
      </c>
      <c r="Q129" s="39" t="str">
        <f>IFERROR(INT(1000/POWER(1.5,VLOOKUP(P129,[1]Discovery!$B:$H,7,FALSE)^1.6)),"-")</f>
        <v>-</v>
      </c>
      <c r="R129" s="72" t="str">
        <f>IFERROR(표8[[#This Row],[배당'[3']]]/$AB129,"-")</f>
        <v>-</v>
      </c>
      <c r="S129" s="40" t="b">
        <f>INDEX([1]AdventureDiscoveryGroup!$X:$X,MATCH(표8[[#This Row],[열1]],[1]AdventureDiscoveryGroup!$B:$B,0))</f>
        <v>0</v>
      </c>
      <c r="T129" s="40" t="str">
        <f>IFERROR(INT(1000/POWER(1.5,VLOOKUP(S129,[1]Discovery!$B:$H,7,FALSE)^1.6)),"-")</f>
        <v>-</v>
      </c>
      <c r="U129" s="72" t="str">
        <f>IFERROR(표8[[#This Row],[배당'[4']]]/$AB129,"-")</f>
        <v>-</v>
      </c>
      <c r="V129" s="40" t="b">
        <f>INDEX([1]AdventureDiscoveryGroup!$AC:$AC,MATCH(표8[[#This Row],[열1]],[1]AdventureDiscoveryGroup!$B:$B,0))</f>
        <v>0</v>
      </c>
      <c r="W129" s="40" t="str">
        <f>IFERROR(INT(1000/POWER(1.5,VLOOKUP(V129,[1]Discovery!$B:$H,7,FALSE)^1.6)),"-")</f>
        <v>-</v>
      </c>
      <c r="X129" s="72" t="str">
        <f>IFERROR(표8[[#This Row],[배당'[5']]]/$AB129,"-")</f>
        <v>-</v>
      </c>
      <c r="Y129" s="40" t="b">
        <f>INDEX([1]AdventureDiscoveryGroup!$AH:$AH,MATCH(표8[[#This Row],[열1]],[1]AdventureDiscoveryGroup!$B:$B,0))</f>
        <v>0</v>
      </c>
      <c r="Z129" s="40" t="str">
        <f>IFERROR(INT(1000/POWER(1.5,VLOOKUP(Y129,[1]Discovery!$B:$H,7,FALSE)^1.6)),"-")</f>
        <v>-</v>
      </c>
      <c r="AA129" s="72" t="str">
        <f>IFERROR(표8[[#This Row],[배당'[6']]]/$AB129,"-")</f>
        <v>-</v>
      </c>
      <c r="AB129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30" spans="2:28" x14ac:dyDescent="0.3">
      <c r="B130" s="39" t="str">
        <f>[1]LandExplore!E136</f>
        <v>베르겐 부근</v>
      </c>
      <c r="C130" s="39" t="str">
        <f>INDEX([1]LandExplore!$B:$B,MATCH(표8[[#This Row],[육지]],[1]LandExplore!$E:$E,0))</f>
        <v>##북유럽</v>
      </c>
      <c r="D130" s="39" t="str">
        <f>IFERROR(VLOOKUP(표8[[#This Row],[육지]],[3]!표1_6[[이름]:[선단 LV]],6,FALSE),"-")</f>
        <v>-</v>
      </c>
      <c r="E130" s="39" t="str">
        <f>IFERROR(VLOOKUP(표8[[#This Row],[육지]],[3]!표1_6[[이름]:[위도]],3,FALSE),"-")</f>
        <v>-</v>
      </c>
      <c r="F130" s="39" t="str">
        <f>IFERROR(VLOOKUP(표8[[#This Row],[육지]],[3]!표1_6[[이름]:[위도]],2,FALSE),"-")</f>
        <v>-</v>
      </c>
      <c r="G130" s="39" t="str">
        <f>INDEX([1]AdventureDiscoveryGroup!$D:$D,MATCH(표8[[#This Row],[열1]],[1]AdventureDiscoveryGroup!$B:$B,0))</f>
        <v>베르겐 부근</v>
      </c>
      <c r="H130" s="39" t="str">
        <f>IFERROR(INT(1000/POWER(1.5,VLOOKUP(G130,[1]Discovery!$B:$H,7,FALSE)^1.6)),"-")</f>
        <v>-</v>
      </c>
      <c r="I130" s="72" t="str">
        <f>IFERROR(표8[[#This Row],[배당'[0']]]/$AB130,"-")</f>
        <v>-</v>
      </c>
      <c r="J130" s="39" t="b">
        <f>INDEX([1]AdventureDiscoveryGroup!$I:$I,MATCH(표8[[#This Row],[열1]],[1]AdventureDiscoveryGroup!$B:$B,0))</f>
        <v>0</v>
      </c>
      <c r="K130" s="39" t="str">
        <f>IFERROR(INT(1000/POWER(1.5,VLOOKUP(J130,[1]Discovery!$B:$H,7,FALSE)^1.6)),"-")</f>
        <v>-</v>
      </c>
      <c r="L130" s="72" t="str">
        <f>IFERROR(표8[[#This Row],[배당'[1']]]/$AB130,"-")</f>
        <v>-</v>
      </c>
      <c r="M130" s="39" t="b">
        <f>INDEX([1]AdventureDiscoveryGroup!$N:$N,MATCH(표8[[#This Row],[열1]],[1]AdventureDiscoveryGroup!$B:$B,0))</f>
        <v>0</v>
      </c>
      <c r="N130" s="39" t="str">
        <f>IFERROR(INT(1000/POWER(1.5,VLOOKUP(M130,[1]Discovery!$B:$H,7,FALSE)^1.6)),"-")</f>
        <v>-</v>
      </c>
      <c r="O130" s="72" t="str">
        <f>IFERROR(표8[[#This Row],[배당'[2']]]/$AB130,"-")</f>
        <v>-</v>
      </c>
      <c r="P130" s="39" t="b">
        <f>INDEX([1]AdventureDiscoveryGroup!$S:$S,MATCH(표8[[#This Row],[열1]],[1]AdventureDiscoveryGroup!$B:$B,0))</f>
        <v>0</v>
      </c>
      <c r="Q130" s="39" t="str">
        <f>IFERROR(INT(1000/POWER(1.5,VLOOKUP(P130,[1]Discovery!$B:$H,7,FALSE)^1.6)),"-")</f>
        <v>-</v>
      </c>
      <c r="R130" s="72" t="str">
        <f>IFERROR(표8[[#This Row],[배당'[3']]]/$AB130,"-")</f>
        <v>-</v>
      </c>
      <c r="S130" s="40" t="b">
        <f>INDEX([1]AdventureDiscoveryGroup!$X:$X,MATCH(표8[[#This Row],[열1]],[1]AdventureDiscoveryGroup!$B:$B,0))</f>
        <v>0</v>
      </c>
      <c r="T130" s="40" t="str">
        <f>IFERROR(INT(1000/POWER(1.5,VLOOKUP(S130,[1]Discovery!$B:$H,7,FALSE)^1.6)),"-")</f>
        <v>-</v>
      </c>
      <c r="U130" s="72" t="str">
        <f>IFERROR(표8[[#This Row],[배당'[4']]]/$AB130,"-")</f>
        <v>-</v>
      </c>
      <c r="V130" s="40" t="b">
        <f>INDEX([1]AdventureDiscoveryGroup!$AC:$AC,MATCH(표8[[#This Row],[열1]],[1]AdventureDiscoveryGroup!$B:$B,0))</f>
        <v>0</v>
      </c>
      <c r="W130" s="40" t="str">
        <f>IFERROR(INT(1000/POWER(1.5,VLOOKUP(V130,[1]Discovery!$B:$H,7,FALSE)^1.6)),"-")</f>
        <v>-</v>
      </c>
      <c r="X130" s="72" t="str">
        <f>IFERROR(표8[[#This Row],[배당'[5']]]/$AB130,"-")</f>
        <v>-</v>
      </c>
      <c r="Y130" s="40" t="b">
        <f>INDEX([1]AdventureDiscoveryGroup!$AH:$AH,MATCH(표8[[#This Row],[열1]],[1]AdventureDiscoveryGroup!$B:$B,0))</f>
        <v>0</v>
      </c>
      <c r="Z130" s="40" t="str">
        <f>IFERROR(INT(1000/POWER(1.5,VLOOKUP(Y130,[1]Discovery!$B:$H,7,FALSE)^1.6)),"-")</f>
        <v>-</v>
      </c>
      <c r="AA130" s="72" t="str">
        <f>IFERROR(표8[[#This Row],[배당'[6']]]/$AB130,"-")</f>
        <v>-</v>
      </c>
      <c r="AB130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31" spans="2:28" x14ac:dyDescent="0.3">
      <c r="B131" s="39" t="str">
        <f>[1]LandExplore!E137</f>
        <v>리스보아 부근</v>
      </c>
      <c r="C131" s="39" t="str">
        <f>INDEX([1]LandExplore!$B:$B,MATCH(표8[[#This Row],[육지]],[1]LandExplore!$E:$E,0))</f>
        <v>##이베리아</v>
      </c>
      <c r="D131" s="39" t="str">
        <f>IFERROR(VLOOKUP(표8[[#This Row],[육지]],[3]!표1_6[[이름]:[선단 LV]],6,FALSE),"-")</f>
        <v>-</v>
      </c>
      <c r="E131" s="39" t="str">
        <f>IFERROR(VLOOKUP(표8[[#This Row],[육지]],[3]!표1_6[[이름]:[위도]],3,FALSE),"-")</f>
        <v>-</v>
      </c>
      <c r="F131" s="39" t="str">
        <f>IFERROR(VLOOKUP(표8[[#This Row],[육지]],[3]!표1_6[[이름]:[위도]],2,FALSE),"-")</f>
        <v>-</v>
      </c>
      <c r="G131" s="39" t="str">
        <f>INDEX([1]AdventureDiscoveryGroup!$D:$D,MATCH(표8[[#This Row],[열1]],[1]AdventureDiscoveryGroup!$B:$B,0))</f>
        <v>리스보아 부근</v>
      </c>
      <c r="H131" s="39" t="str">
        <f>IFERROR(INT(1000/POWER(1.5,VLOOKUP(G131,[1]Discovery!$B:$H,7,FALSE)^1.6)),"-")</f>
        <v>-</v>
      </c>
      <c r="I131" s="72" t="str">
        <f>IFERROR(표8[[#This Row],[배당'[0']]]/$AB131,"-")</f>
        <v>-</v>
      </c>
      <c r="J131" s="39" t="b">
        <f>INDEX([1]AdventureDiscoveryGroup!$I:$I,MATCH(표8[[#This Row],[열1]],[1]AdventureDiscoveryGroup!$B:$B,0))</f>
        <v>0</v>
      </c>
      <c r="K131" s="39" t="str">
        <f>IFERROR(INT(1000/POWER(1.5,VLOOKUP(J131,[1]Discovery!$B:$H,7,FALSE)^1.6)),"-")</f>
        <v>-</v>
      </c>
      <c r="L131" s="72" t="str">
        <f>IFERROR(표8[[#This Row],[배당'[1']]]/$AB131,"-")</f>
        <v>-</v>
      </c>
      <c r="M131" s="39" t="b">
        <f>INDEX([1]AdventureDiscoveryGroup!$N:$N,MATCH(표8[[#This Row],[열1]],[1]AdventureDiscoveryGroup!$B:$B,0))</f>
        <v>0</v>
      </c>
      <c r="N131" s="39" t="str">
        <f>IFERROR(INT(1000/POWER(1.5,VLOOKUP(M131,[1]Discovery!$B:$H,7,FALSE)^1.6)),"-")</f>
        <v>-</v>
      </c>
      <c r="O131" s="72" t="str">
        <f>IFERROR(표8[[#This Row],[배당'[2']]]/$AB131,"-")</f>
        <v>-</v>
      </c>
      <c r="P131" s="39" t="b">
        <f>INDEX([1]AdventureDiscoveryGroup!$S:$S,MATCH(표8[[#This Row],[열1]],[1]AdventureDiscoveryGroup!$B:$B,0))</f>
        <v>0</v>
      </c>
      <c r="Q131" s="39" t="str">
        <f>IFERROR(INT(1000/POWER(1.5,VLOOKUP(P131,[1]Discovery!$B:$H,7,FALSE)^1.6)),"-")</f>
        <v>-</v>
      </c>
      <c r="R131" s="72" t="str">
        <f>IFERROR(표8[[#This Row],[배당'[3']]]/$AB131,"-")</f>
        <v>-</v>
      </c>
      <c r="S131" s="40" t="b">
        <f>INDEX([1]AdventureDiscoveryGroup!$X:$X,MATCH(표8[[#This Row],[열1]],[1]AdventureDiscoveryGroup!$B:$B,0))</f>
        <v>0</v>
      </c>
      <c r="T131" s="40" t="str">
        <f>IFERROR(INT(1000/POWER(1.5,VLOOKUP(S131,[1]Discovery!$B:$H,7,FALSE)^1.6)),"-")</f>
        <v>-</v>
      </c>
      <c r="U131" s="72" t="str">
        <f>IFERROR(표8[[#This Row],[배당'[4']]]/$AB131,"-")</f>
        <v>-</v>
      </c>
      <c r="V131" s="40" t="b">
        <f>INDEX([1]AdventureDiscoveryGroup!$AC:$AC,MATCH(표8[[#This Row],[열1]],[1]AdventureDiscoveryGroup!$B:$B,0))</f>
        <v>0</v>
      </c>
      <c r="W131" s="40" t="str">
        <f>IFERROR(INT(1000/POWER(1.5,VLOOKUP(V131,[1]Discovery!$B:$H,7,FALSE)^1.6)),"-")</f>
        <v>-</v>
      </c>
      <c r="X131" s="72" t="str">
        <f>IFERROR(표8[[#This Row],[배당'[5']]]/$AB131,"-")</f>
        <v>-</v>
      </c>
      <c r="Y131" s="40" t="b">
        <f>INDEX([1]AdventureDiscoveryGroup!$AH:$AH,MATCH(표8[[#This Row],[열1]],[1]AdventureDiscoveryGroup!$B:$B,0))</f>
        <v>0</v>
      </c>
      <c r="Z131" s="40" t="str">
        <f>IFERROR(INT(1000/POWER(1.5,VLOOKUP(Y131,[1]Discovery!$B:$H,7,FALSE)^1.6)),"-")</f>
        <v>-</v>
      </c>
      <c r="AA131" s="72" t="str">
        <f>IFERROR(표8[[#This Row],[배당'[6']]]/$AB131,"-")</f>
        <v>-</v>
      </c>
      <c r="AB131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32" spans="2:28" x14ac:dyDescent="0.3">
      <c r="B132" s="39" t="str">
        <f>[1]LandExplore!E138</f>
        <v>나이저강</v>
      </c>
      <c r="C132" s="39" t="str">
        <f>INDEX([1]LandExplore!$B:$B,MATCH(표8[[#This Row],[육지]],[1]LandExplore!$E:$E,0))</f>
        <v>##나이저강</v>
      </c>
      <c r="D132" s="39" t="str">
        <f>IFERROR(VLOOKUP(표8[[#This Row],[육지]],[3]!표1_6[[이름]:[선단 LV]],6,FALSE),"-")</f>
        <v>-</v>
      </c>
      <c r="E132" s="39" t="str">
        <f>IFERROR(VLOOKUP(표8[[#This Row],[육지]],[3]!표1_6[[이름]:[위도]],3,FALSE),"-")</f>
        <v>-</v>
      </c>
      <c r="F132" s="39" t="str">
        <f>IFERROR(VLOOKUP(표8[[#This Row],[육지]],[3]!표1_6[[이름]:[위도]],2,FALSE),"-")</f>
        <v>-</v>
      </c>
      <c r="G132" s="39" t="str">
        <f>INDEX([1]AdventureDiscoveryGroup!$D:$D,MATCH(표8[[#This Row],[열1]],[1]AdventureDiscoveryGroup!$B:$B,0))</f>
        <v>팀북투 부근</v>
      </c>
      <c r="H132" s="39" t="str">
        <f>IFERROR(INT(1000/POWER(1.5,VLOOKUP(G132,[1]Discovery!$B:$H,7,FALSE)^1.6)),"-")</f>
        <v>-</v>
      </c>
      <c r="I132" s="72" t="str">
        <f>IFERROR(표8[[#This Row],[배당'[0']]]/$AB132,"-")</f>
        <v>-</v>
      </c>
      <c r="J132" s="39" t="b">
        <f>INDEX([1]AdventureDiscoveryGroup!$I:$I,MATCH(표8[[#This Row],[열1]],[1]AdventureDiscoveryGroup!$B:$B,0))</f>
        <v>0</v>
      </c>
      <c r="K132" s="39" t="str">
        <f>IFERROR(INT(1000/POWER(1.5,VLOOKUP(J132,[1]Discovery!$B:$H,7,FALSE)^1.6)),"-")</f>
        <v>-</v>
      </c>
      <c r="L132" s="72" t="str">
        <f>IFERROR(표8[[#This Row],[배당'[1']]]/$AB132,"-")</f>
        <v>-</v>
      </c>
      <c r="M132" s="39" t="b">
        <f>INDEX([1]AdventureDiscoveryGroup!$N:$N,MATCH(표8[[#This Row],[열1]],[1]AdventureDiscoveryGroup!$B:$B,0))</f>
        <v>0</v>
      </c>
      <c r="N132" s="39" t="str">
        <f>IFERROR(INT(1000/POWER(1.5,VLOOKUP(M132,[1]Discovery!$B:$H,7,FALSE)^1.6)),"-")</f>
        <v>-</v>
      </c>
      <c r="O132" s="72" t="str">
        <f>IFERROR(표8[[#This Row],[배당'[2']]]/$AB132,"-")</f>
        <v>-</v>
      </c>
      <c r="P132" s="39" t="b">
        <f>INDEX([1]AdventureDiscoveryGroup!$S:$S,MATCH(표8[[#This Row],[열1]],[1]AdventureDiscoveryGroup!$B:$B,0))</f>
        <v>0</v>
      </c>
      <c r="Q132" s="39" t="str">
        <f>IFERROR(INT(1000/POWER(1.5,VLOOKUP(P132,[1]Discovery!$B:$H,7,FALSE)^1.6)),"-")</f>
        <v>-</v>
      </c>
      <c r="R132" s="72" t="str">
        <f>IFERROR(표8[[#This Row],[배당'[3']]]/$AB132,"-")</f>
        <v>-</v>
      </c>
      <c r="S132" s="40" t="b">
        <f>INDEX([1]AdventureDiscoveryGroup!$X:$X,MATCH(표8[[#This Row],[열1]],[1]AdventureDiscoveryGroup!$B:$B,0))</f>
        <v>0</v>
      </c>
      <c r="T132" s="40" t="str">
        <f>IFERROR(INT(1000/POWER(1.5,VLOOKUP(S132,[1]Discovery!$B:$H,7,FALSE)^1.6)),"-")</f>
        <v>-</v>
      </c>
      <c r="U132" s="72" t="str">
        <f>IFERROR(표8[[#This Row],[배당'[4']]]/$AB132,"-")</f>
        <v>-</v>
      </c>
      <c r="V132" s="40" t="b">
        <f>INDEX([1]AdventureDiscoveryGroup!$AC:$AC,MATCH(표8[[#This Row],[열1]],[1]AdventureDiscoveryGroup!$B:$B,0))</f>
        <v>0</v>
      </c>
      <c r="W132" s="40" t="str">
        <f>IFERROR(INT(1000/POWER(1.5,VLOOKUP(V132,[1]Discovery!$B:$H,7,FALSE)^1.6)),"-")</f>
        <v>-</v>
      </c>
      <c r="X132" s="72" t="str">
        <f>IFERROR(표8[[#This Row],[배당'[5']]]/$AB132,"-")</f>
        <v>-</v>
      </c>
      <c r="Y132" s="40" t="b">
        <f>INDEX([1]AdventureDiscoveryGroup!$AH:$AH,MATCH(표8[[#This Row],[열1]],[1]AdventureDiscoveryGroup!$B:$B,0))</f>
        <v>0</v>
      </c>
      <c r="Z132" s="40" t="str">
        <f>IFERROR(INT(1000/POWER(1.5,VLOOKUP(Y132,[1]Discovery!$B:$H,7,FALSE)^1.6)),"-")</f>
        <v>-</v>
      </c>
      <c r="AA132" s="72" t="str">
        <f>IFERROR(표8[[#This Row],[배당'[6']]]/$AB132,"-")</f>
        <v>-</v>
      </c>
      <c r="AB132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33" spans="2:28" x14ac:dyDescent="0.3">
      <c r="B133" s="39" t="str">
        <f>[1]LandExplore!E139</f>
        <v>수라바야 부근</v>
      </c>
      <c r="C133" s="39" t="str">
        <f>INDEX([1]LandExplore!$B:$B,MATCH(표8[[#This Row],[육지]],[1]LandExplore!$E:$E,0))</f>
        <v>##소순다 열도</v>
      </c>
      <c r="D133" s="39" t="str">
        <f>IFERROR(VLOOKUP(표8[[#This Row],[육지]],[3]!표1_6[[이름]:[선단 LV]],6,FALSE),"-")</f>
        <v>-</v>
      </c>
      <c r="E133" s="39" t="str">
        <f>IFERROR(VLOOKUP(표8[[#This Row],[육지]],[3]!표1_6[[이름]:[위도]],3,FALSE),"-")</f>
        <v>-</v>
      </c>
      <c r="F133" s="39" t="str">
        <f>IFERROR(VLOOKUP(표8[[#This Row],[육지]],[3]!표1_6[[이름]:[위도]],2,FALSE),"-")</f>
        <v>-</v>
      </c>
      <c r="G133" s="39" t="str">
        <f>INDEX([1]AdventureDiscoveryGroup!$D:$D,MATCH(표8[[#This Row],[열1]],[1]AdventureDiscoveryGroup!$B:$B,0))</f>
        <v>수라바야 부근</v>
      </c>
      <c r="H133" s="39" t="str">
        <f>IFERROR(INT(1000/POWER(1.5,VLOOKUP(G133,[1]Discovery!$B:$H,7,FALSE)^1.6)),"-")</f>
        <v>-</v>
      </c>
      <c r="I133" s="72" t="str">
        <f>IFERROR(표8[[#This Row],[배당'[0']]]/$AB133,"-")</f>
        <v>-</v>
      </c>
      <c r="J133" s="39" t="b">
        <f>INDEX([1]AdventureDiscoveryGroup!$I:$I,MATCH(표8[[#This Row],[열1]],[1]AdventureDiscoveryGroup!$B:$B,0))</f>
        <v>0</v>
      </c>
      <c r="K133" s="39" t="str">
        <f>IFERROR(INT(1000/POWER(1.5,VLOOKUP(J133,[1]Discovery!$B:$H,7,FALSE)^1.6)),"-")</f>
        <v>-</v>
      </c>
      <c r="L133" s="72" t="str">
        <f>IFERROR(표8[[#This Row],[배당'[1']]]/$AB133,"-")</f>
        <v>-</v>
      </c>
      <c r="M133" s="39" t="b">
        <f>INDEX([1]AdventureDiscoveryGroup!$N:$N,MATCH(표8[[#This Row],[열1]],[1]AdventureDiscoveryGroup!$B:$B,0))</f>
        <v>0</v>
      </c>
      <c r="N133" s="39" t="str">
        <f>IFERROR(INT(1000/POWER(1.5,VLOOKUP(M133,[1]Discovery!$B:$H,7,FALSE)^1.6)),"-")</f>
        <v>-</v>
      </c>
      <c r="O133" s="72" t="str">
        <f>IFERROR(표8[[#This Row],[배당'[2']]]/$AB133,"-")</f>
        <v>-</v>
      </c>
      <c r="P133" s="39" t="b">
        <f>INDEX([1]AdventureDiscoveryGroup!$S:$S,MATCH(표8[[#This Row],[열1]],[1]AdventureDiscoveryGroup!$B:$B,0))</f>
        <v>0</v>
      </c>
      <c r="Q133" s="39" t="str">
        <f>IFERROR(INT(1000/POWER(1.5,VLOOKUP(P133,[1]Discovery!$B:$H,7,FALSE)^1.6)),"-")</f>
        <v>-</v>
      </c>
      <c r="R133" s="72" t="str">
        <f>IFERROR(표8[[#This Row],[배당'[3']]]/$AB133,"-")</f>
        <v>-</v>
      </c>
      <c r="S133" s="40" t="b">
        <f>INDEX([1]AdventureDiscoveryGroup!$X:$X,MATCH(표8[[#This Row],[열1]],[1]AdventureDiscoveryGroup!$B:$B,0))</f>
        <v>0</v>
      </c>
      <c r="T133" s="40" t="str">
        <f>IFERROR(INT(1000/POWER(1.5,VLOOKUP(S133,[1]Discovery!$B:$H,7,FALSE)^1.6)),"-")</f>
        <v>-</v>
      </c>
      <c r="U133" s="72" t="str">
        <f>IFERROR(표8[[#This Row],[배당'[4']]]/$AB133,"-")</f>
        <v>-</v>
      </c>
      <c r="V133" s="40" t="b">
        <f>INDEX([1]AdventureDiscoveryGroup!$AC:$AC,MATCH(표8[[#This Row],[열1]],[1]AdventureDiscoveryGroup!$B:$B,0))</f>
        <v>0</v>
      </c>
      <c r="W133" s="40" t="str">
        <f>IFERROR(INT(1000/POWER(1.5,VLOOKUP(V133,[1]Discovery!$B:$H,7,FALSE)^1.6)),"-")</f>
        <v>-</v>
      </c>
      <c r="X133" s="72" t="str">
        <f>IFERROR(표8[[#This Row],[배당'[5']]]/$AB133,"-")</f>
        <v>-</v>
      </c>
      <c r="Y133" s="40" t="b">
        <f>INDEX([1]AdventureDiscoveryGroup!$AH:$AH,MATCH(표8[[#This Row],[열1]],[1]AdventureDiscoveryGroup!$B:$B,0))</f>
        <v>0</v>
      </c>
      <c r="Z133" s="40" t="str">
        <f>IFERROR(INT(1000/POWER(1.5,VLOOKUP(Y133,[1]Discovery!$B:$H,7,FALSE)^1.6)),"-")</f>
        <v>-</v>
      </c>
      <c r="AA133" s="72" t="str">
        <f>IFERROR(표8[[#This Row],[배당'[6']]]/$AB133,"-")</f>
        <v>-</v>
      </c>
      <c r="AB133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34" spans="2:28" x14ac:dyDescent="0.3">
      <c r="B134" s="39" t="str">
        <f>[1]LandExplore!E140</f>
        <v>수라바야 부근</v>
      </c>
      <c r="C134" s="39" t="str">
        <f>INDEX([1]LandExplore!$B:$B,MATCH(표8[[#This Row],[육지]],[1]LandExplore!$E:$E,0))</f>
        <v>##소순다 열도</v>
      </c>
      <c r="D134" s="39" t="str">
        <f>IFERROR(VLOOKUP(표8[[#This Row],[육지]],[3]!표1_6[[이름]:[선단 LV]],6,FALSE),"-")</f>
        <v>-</v>
      </c>
      <c r="E134" s="39" t="str">
        <f>IFERROR(VLOOKUP(표8[[#This Row],[육지]],[3]!표1_6[[이름]:[위도]],3,FALSE),"-")</f>
        <v>-</v>
      </c>
      <c r="F134" s="39" t="str">
        <f>IFERROR(VLOOKUP(표8[[#This Row],[육지]],[3]!표1_6[[이름]:[위도]],2,FALSE),"-")</f>
        <v>-</v>
      </c>
      <c r="G134" s="39" t="str">
        <f>INDEX([1]AdventureDiscoveryGroup!$D:$D,MATCH(표8[[#This Row],[열1]],[1]AdventureDiscoveryGroup!$B:$B,0))</f>
        <v>수라바야 부근</v>
      </c>
      <c r="H134" s="39" t="str">
        <f>IFERROR(INT(1000/POWER(1.5,VLOOKUP(G134,[1]Discovery!$B:$H,7,FALSE)^1.6)),"-")</f>
        <v>-</v>
      </c>
      <c r="I134" s="72" t="str">
        <f>IFERROR(표8[[#This Row],[배당'[0']]]/$AB134,"-")</f>
        <v>-</v>
      </c>
      <c r="J134" s="39" t="b">
        <f>INDEX([1]AdventureDiscoveryGroup!$I:$I,MATCH(표8[[#This Row],[열1]],[1]AdventureDiscoveryGroup!$B:$B,0))</f>
        <v>0</v>
      </c>
      <c r="K134" s="39" t="str">
        <f>IFERROR(INT(1000/POWER(1.5,VLOOKUP(J134,[1]Discovery!$B:$H,7,FALSE)^1.6)),"-")</f>
        <v>-</v>
      </c>
      <c r="L134" s="72" t="str">
        <f>IFERROR(표8[[#This Row],[배당'[1']]]/$AB134,"-")</f>
        <v>-</v>
      </c>
      <c r="M134" s="39" t="b">
        <f>INDEX([1]AdventureDiscoveryGroup!$N:$N,MATCH(표8[[#This Row],[열1]],[1]AdventureDiscoveryGroup!$B:$B,0))</f>
        <v>0</v>
      </c>
      <c r="N134" s="39" t="str">
        <f>IFERROR(INT(1000/POWER(1.5,VLOOKUP(M134,[1]Discovery!$B:$H,7,FALSE)^1.6)),"-")</f>
        <v>-</v>
      </c>
      <c r="O134" s="72" t="str">
        <f>IFERROR(표8[[#This Row],[배당'[2']]]/$AB134,"-")</f>
        <v>-</v>
      </c>
      <c r="P134" s="39" t="b">
        <f>INDEX([1]AdventureDiscoveryGroup!$S:$S,MATCH(표8[[#This Row],[열1]],[1]AdventureDiscoveryGroup!$B:$B,0))</f>
        <v>0</v>
      </c>
      <c r="Q134" s="39" t="str">
        <f>IFERROR(INT(1000/POWER(1.5,VLOOKUP(P134,[1]Discovery!$B:$H,7,FALSE)^1.6)),"-")</f>
        <v>-</v>
      </c>
      <c r="R134" s="72" t="str">
        <f>IFERROR(표8[[#This Row],[배당'[3']]]/$AB134,"-")</f>
        <v>-</v>
      </c>
      <c r="S134" s="40" t="b">
        <f>INDEX([1]AdventureDiscoveryGroup!$X:$X,MATCH(표8[[#This Row],[열1]],[1]AdventureDiscoveryGroup!$B:$B,0))</f>
        <v>0</v>
      </c>
      <c r="T134" s="40" t="str">
        <f>IFERROR(INT(1000/POWER(1.5,VLOOKUP(S134,[1]Discovery!$B:$H,7,FALSE)^1.6)),"-")</f>
        <v>-</v>
      </c>
      <c r="U134" s="72" t="str">
        <f>IFERROR(표8[[#This Row],[배당'[4']]]/$AB134,"-")</f>
        <v>-</v>
      </c>
      <c r="V134" s="40" t="b">
        <f>INDEX([1]AdventureDiscoveryGroup!$AC:$AC,MATCH(표8[[#This Row],[열1]],[1]AdventureDiscoveryGroup!$B:$B,0))</f>
        <v>0</v>
      </c>
      <c r="W134" s="40" t="str">
        <f>IFERROR(INT(1000/POWER(1.5,VLOOKUP(V134,[1]Discovery!$B:$H,7,FALSE)^1.6)),"-")</f>
        <v>-</v>
      </c>
      <c r="X134" s="72" t="str">
        <f>IFERROR(표8[[#This Row],[배당'[5']]]/$AB134,"-")</f>
        <v>-</v>
      </c>
      <c r="Y134" s="40" t="b">
        <f>INDEX([1]AdventureDiscoveryGroup!$AH:$AH,MATCH(표8[[#This Row],[열1]],[1]AdventureDiscoveryGroup!$B:$B,0))</f>
        <v>0</v>
      </c>
      <c r="Z134" s="40" t="str">
        <f>IFERROR(INT(1000/POWER(1.5,VLOOKUP(Y134,[1]Discovery!$B:$H,7,FALSE)^1.6)),"-")</f>
        <v>-</v>
      </c>
      <c r="AA134" s="72" t="str">
        <f>IFERROR(표8[[#This Row],[배당'[6']]]/$AB134,"-")</f>
        <v>-</v>
      </c>
      <c r="AB134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35" spans="2:28" x14ac:dyDescent="0.3">
      <c r="B135" s="39" t="str">
        <f>[1]LandExplore!E141</f>
        <v>하라무즈 부근</v>
      </c>
      <c r="C135" s="39" t="str">
        <f>INDEX([1]LandExplore!$B:$B,MATCH(표8[[#This Row],[육지]],[1]LandExplore!$E:$E,0))</f>
        <v>##페르시아</v>
      </c>
      <c r="D135" s="39" t="str">
        <f>IFERROR(VLOOKUP(표8[[#This Row],[육지]],[3]!표1_6[[이름]:[선단 LV]],6,FALSE),"-")</f>
        <v>-</v>
      </c>
      <c r="E135" s="39" t="str">
        <f>IFERROR(VLOOKUP(표8[[#This Row],[육지]],[3]!표1_6[[이름]:[위도]],3,FALSE),"-")</f>
        <v>-</v>
      </c>
      <c r="F135" s="39" t="str">
        <f>IFERROR(VLOOKUP(표8[[#This Row],[육지]],[3]!표1_6[[이름]:[위도]],2,FALSE),"-")</f>
        <v>-</v>
      </c>
      <c r="G135" s="39" t="str">
        <f>INDEX([1]AdventureDiscoveryGroup!$D:$D,MATCH(표8[[#This Row],[열1]],[1]AdventureDiscoveryGroup!$B:$B,0))</f>
        <v>하라무즈 부근</v>
      </c>
      <c r="H135" s="39" t="str">
        <f>IFERROR(INT(1000/POWER(1.5,VLOOKUP(G135,[1]Discovery!$B:$H,7,FALSE)^1.6)),"-")</f>
        <v>-</v>
      </c>
      <c r="I135" s="72" t="str">
        <f>IFERROR(표8[[#This Row],[배당'[0']]]/$AB135,"-")</f>
        <v>-</v>
      </c>
      <c r="J135" s="39" t="b">
        <f>INDEX([1]AdventureDiscoveryGroup!$I:$I,MATCH(표8[[#This Row],[열1]],[1]AdventureDiscoveryGroup!$B:$B,0))</f>
        <v>0</v>
      </c>
      <c r="K135" s="39" t="str">
        <f>IFERROR(INT(1000/POWER(1.5,VLOOKUP(J135,[1]Discovery!$B:$H,7,FALSE)^1.6)),"-")</f>
        <v>-</v>
      </c>
      <c r="L135" s="72" t="str">
        <f>IFERROR(표8[[#This Row],[배당'[1']]]/$AB135,"-")</f>
        <v>-</v>
      </c>
      <c r="M135" s="39" t="b">
        <f>INDEX([1]AdventureDiscoveryGroup!$N:$N,MATCH(표8[[#This Row],[열1]],[1]AdventureDiscoveryGroup!$B:$B,0))</f>
        <v>0</v>
      </c>
      <c r="N135" s="39" t="str">
        <f>IFERROR(INT(1000/POWER(1.5,VLOOKUP(M135,[1]Discovery!$B:$H,7,FALSE)^1.6)),"-")</f>
        <v>-</v>
      </c>
      <c r="O135" s="72" t="str">
        <f>IFERROR(표8[[#This Row],[배당'[2']]]/$AB135,"-")</f>
        <v>-</v>
      </c>
      <c r="P135" s="39" t="b">
        <f>INDEX([1]AdventureDiscoveryGroup!$S:$S,MATCH(표8[[#This Row],[열1]],[1]AdventureDiscoveryGroup!$B:$B,0))</f>
        <v>0</v>
      </c>
      <c r="Q135" s="39" t="str">
        <f>IFERROR(INT(1000/POWER(1.5,VLOOKUP(P135,[1]Discovery!$B:$H,7,FALSE)^1.6)),"-")</f>
        <v>-</v>
      </c>
      <c r="R135" s="72" t="str">
        <f>IFERROR(표8[[#This Row],[배당'[3']]]/$AB135,"-")</f>
        <v>-</v>
      </c>
      <c r="S135" s="40" t="b">
        <f>INDEX([1]AdventureDiscoveryGroup!$X:$X,MATCH(표8[[#This Row],[열1]],[1]AdventureDiscoveryGroup!$B:$B,0))</f>
        <v>0</v>
      </c>
      <c r="T135" s="40" t="str">
        <f>IFERROR(INT(1000/POWER(1.5,VLOOKUP(S135,[1]Discovery!$B:$H,7,FALSE)^1.6)),"-")</f>
        <v>-</v>
      </c>
      <c r="U135" s="72" t="str">
        <f>IFERROR(표8[[#This Row],[배당'[4']]]/$AB135,"-")</f>
        <v>-</v>
      </c>
      <c r="V135" s="40" t="b">
        <f>INDEX([1]AdventureDiscoveryGroup!$AC:$AC,MATCH(표8[[#This Row],[열1]],[1]AdventureDiscoveryGroup!$B:$B,0))</f>
        <v>0</v>
      </c>
      <c r="W135" s="40" t="str">
        <f>IFERROR(INT(1000/POWER(1.5,VLOOKUP(V135,[1]Discovery!$B:$H,7,FALSE)^1.6)),"-")</f>
        <v>-</v>
      </c>
      <c r="X135" s="72" t="str">
        <f>IFERROR(표8[[#This Row],[배당'[5']]]/$AB135,"-")</f>
        <v>-</v>
      </c>
      <c r="Y135" s="40" t="b">
        <f>INDEX([1]AdventureDiscoveryGroup!$AH:$AH,MATCH(표8[[#This Row],[열1]],[1]AdventureDiscoveryGroup!$B:$B,0))</f>
        <v>0</v>
      </c>
      <c r="Z135" s="40" t="str">
        <f>IFERROR(INT(1000/POWER(1.5,VLOOKUP(Y135,[1]Discovery!$B:$H,7,FALSE)^1.6)),"-")</f>
        <v>-</v>
      </c>
      <c r="AA135" s="72" t="str">
        <f>IFERROR(표8[[#This Row],[배당'[6']]]/$AB135,"-")</f>
        <v>-</v>
      </c>
      <c r="AB135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  <row r="136" spans="2:28" x14ac:dyDescent="0.3">
      <c r="B136" s="39" t="str">
        <f>[1]LandExplore!E142</f>
        <v>런던 부근</v>
      </c>
      <c r="C136" s="39" t="str">
        <f>INDEX([1]LandExplore!$B:$B,MATCH(표8[[#This Row],[육지]],[1]LandExplore!$E:$E,0))</f>
        <v>##브리튼</v>
      </c>
      <c r="D136" s="39" t="str">
        <f>IFERROR(VLOOKUP(표8[[#This Row],[육지]],[3]!표1_6[[이름]:[선단 LV]],6,FALSE),"-")</f>
        <v>-</v>
      </c>
      <c r="E136" s="39" t="str">
        <f>IFERROR(VLOOKUP(표8[[#This Row],[육지]],[3]!표1_6[[이름]:[위도]],3,FALSE),"-")</f>
        <v>-</v>
      </c>
      <c r="F136" s="39" t="str">
        <f>IFERROR(VLOOKUP(표8[[#This Row],[육지]],[3]!표1_6[[이름]:[위도]],2,FALSE),"-")</f>
        <v>-</v>
      </c>
      <c r="G136" s="39" t="str">
        <f>INDEX([1]AdventureDiscoveryGroup!$D:$D,MATCH(표8[[#This Row],[열1]],[1]AdventureDiscoveryGroup!$B:$B,0))</f>
        <v>런던 부근</v>
      </c>
      <c r="H136" s="39" t="str">
        <f>IFERROR(INT(1000/POWER(1.5,VLOOKUP(G136,[1]Discovery!$B:$H,7,FALSE)^1.6)),"-")</f>
        <v>-</v>
      </c>
      <c r="I136" s="72" t="str">
        <f>IFERROR(표8[[#This Row],[배당'[0']]]/$AB136,"-")</f>
        <v>-</v>
      </c>
      <c r="J136" s="39" t="b">
        <f>INDEX([1]AdventureDiscoveryGroup!$I:$I,MATCH(표8[[#This Row],[열1]],[1]AdventureDiscoveryGroup!$B:$B,0))</f>
        <v>0</v>
      </c>
      <c r="K136" s="39" t="str">
        <f>IFERROR(INT(1000/POWER(1.5,VLOOKUP(J136,[1]Discovery!$B:$H,7,FALSE)^1.6)),"-")</f>
        <v>-</v>
      </c>
      <c r="L136" s="72" t="str">
        <f>IFERROR(표8[[#This Row],[배당'[1']]]/$AB136,"-")</f>
        <v>-</v>
      </c>
      <c r="M136" s="39" t="b">
        <f>INDEX([1]AdventureDiscoveryGroup!$N:$N,MATCH(표8[[#This Row],[열1]],[1]AdventureDiscoveryGroup!$B:$B,0))</f>
        <v>0</v>
      </c>
      <c r="N136" s="39" t="str">
        <f>IFERROR(INT(1000/POWER(1.5,VLOOKUP(M136,[1]Discovery!$B:$H,7,FALSE)^1.6)),"-")</f>
        <v>-</v>
      </c>
      <c r="O136" s="72" t="str">
        <f>IFERROR(표8[[#This Row],[배당'[2']]]/$AB136,"-")</f>
        <v>-</v>
      </c>
      <c r="P136" s="39" t="b">
        <f>INDEX([1]AdventureDiscoveryGroup!$S:$S,MATCH(표8[[#This Row],[열1]],[1]AdventureDiscoveryGroup!$B:$B,0))</f>
        <v>0</v>
      </c>
      <c r="Q136" s="39" t="str">
        <f>IFERROR(INT(1000/POWER(1.5,VLOOKUP(P136,[1]Discovery!$B:$H,7,FALSE)^1.6)),"-")</f>
        <v>-</v>
      </c>
      <c r="R136" s="73" t="str">
        <f>IFERROR(표8[[#This Row],[배당'[3']]]/$AB136,"-")</f>
        <v>-</v>
      </c>
      <c r="S136" s="41" t="b">
        <f>INDEX([1]AdventureDiscoveryGroup!$X:$X,MATCH(표8[[#This Row],[열1]],[1]AdventureDiscoveryGroup!$B:$B,0))</f>
        <v>0</v>
      </c>
      <c r="T136" s="41" t="str">
        <f>IFERROR(INT(1000/POWER(1.5,VLOOKUP(S136,[1]Discovery!$B:$H,7,FALSE)^1.6)),"-")</f>
        <v>-</v>
      </c>
      <c r="U136" s="73" t="str">
        <f>IFERROR(표8[[#This Row],[배당'[4']]]/$AB136,"-")</f>
        <v>-</v>
      </c>
      <c r="V136" s="41" t="b">
        <f>INDEX([1]AdventureDiscoveryGroup!$AC:$AC,MATCH(표8[[#This Row],[열1]],[1]AdventureDiscoveryGroup!$B:$B,0))</f>
        <v>0</v>
      </c>
      <c r="W136" s="41" t="str">
        <f>IFERROR(INT(1000/POWER(1.5,VLOOKUP(V136,[1]Discovery!$B:$H,7,FALSE)^1.6)),"-")</f>
        <v>-</v>
      </c>
      <c r="X136" s="73" t="str">
        <f>IFERROR(표8[[#This Row],[배당'[5']]]/$AB136,"-")</f>
        <v>-</v>
      </c>
      <c r="Y136" s="41" t="b">
        <f>INDEX([1]AdventureDiscoveryGroup!$AH:$AH,MATCH(표8[[#This Row],[열1]],[1]AdventureDiscoveryGroup!$B:$B,0))</f>
        <v>0</v>
      </c>
      <c r="Z136" s="41" t="str">
        <f>IFERROR(INT(1000/POWER(1.5,VLOOKUP(Y136,[1]Discovery!$B:$H,7,FALSE)^1.6)),"-")</f>
        <v>-</v>
      </c>
      <c r="AA136" s="73" t="str">
        <f>IFERROR(표8[[#This Row],[배당'[6']]]/$AB136,"-")</f>
        <v>-</v>
      </c>
      <c r="AB136">
        <f>SUM(표8[[#This Row],[배당'[0']]],표8[[#This Row],[배당'[1']]],표8[[#This Row],[배당'[2']]],표8[[#This Row],[배당'[3']]],표8[[#This Row],[배당'[4']]],표8[[#This Row],[배당'[5']]],표8[[#This Row],[배당'[6']]])</f>
        <v>0</v>
      </c>
    </row>
  </sheetData>
  <phoneticPr fontId="1" type="noConversion"/>
  <conditionalFormatting sqref="D3:D13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S136 G3 J3 M3 P3 S3 V3 Y3">
    <cfRule type="cellIs" dxfId="14" priority="16" operator="equal">
      <formula>0</formula>
    </cfRule>
  </conditionalFormatting>
  <conditionalFormatting sqref="H3:I3">
    <cfRule type="cellIs" dxfId="13" priority="15" operator="equal">
      <formula>"종류:지리"</formula>
    </cfRule>
  </conditionalFormatting>
  <conditionalFormatting sqref="K3">
    <cfRule type="cellIs" dxfId="12" priority="14" operator="equal">
      <formula>"종류:지리"</formula>
    </cfRule>
  </conditionalFormatting>
  <conditionalFormatting sqref="N3">
    <cfRule type="cellIs" dxfId="11" priority="13" operator="equal">
      <formula>"종류:지리"</formula>
    </cfRule>
  </conditionalFormatting>
  <conditionalFormatting sqref="Q3">
    <cfRule type="cellIs" dxfId="10" priority="12" operator="equal">
      <formula>"종류:지리"</formula>
    </cfRule>
  </conditionalFormatting>
  <conditionalFormatting sqref="T3">
    <cfRule type="cellIs" dxfId="9" priority="11" operator="equal">
      <formula>"종류:지리"</formula>
    </cfRule>
  </conditionalFormatting>
  <conditionalFormatting sqref="W3">
    <cfRule type="cellIs" dxfId="8" priority="10" operator="equal">
      <formula>"종류:지리"</formula>
    </cfRule>
  </conditionalFormatting>
  <conditionalFormatting sqref="Z3">
    <cfRule type="cellIs" dxfId="7" priority="9" operator="equal">
      <formula>"종류:지리"</formula>
    </cfRule>
  </conditionalFormatting>
  <conditionalFormatting sqref="L3">
    <cfRule type="cellIs" dxfId="6" priority="6" operator="equal">
      <formula>"종류:지리"</formula>
    </cfRule>
  </conditionalFormatting>
  <conditionalFormatting sqref="O3">
    <cfRule type="cellIs" dxfId="5" priority="5" operator="equal">
      <formula>"종류:지리"</formula>
    </cfRule>
  </conditionalFormatting>
  <conditionalFormatting sqref="R3">
    <cfRule type="cellIs" dxfId="4" priority="4" operator="equal">
      <formula>"종류:지리"</formula>
    </cfRule>
  </conditionalFormatting>
  <conditionalFormatting sqref="U3">
    <cfRule type="cellIs" dxfId="3" priority="3" operator="equal">
      <formula>"종류:지리"</formula>
    </cfRule>
  </conditionalFormatting>
  <conditionalFormatting sqref="X3">
    <cfRule type="cellIs" dxfId="2" priority="2" operator="equal">
      <formula>"종류:지리"</formula>
    </cfRule>
  </conditionalFormatting>
  <conditionalFormatting sqref="AA3">
    <cfRule type="cellIs" dxfId="1" priority="1" operator="equal">
      <formula>"종류:지리"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8E2F-90AB-4CD8-8981-BC325CEC1784}">
  <sheetPr>
    <tabColor rgb="FFFFC000"/>
  </sheetPr>
  <dimension ref="B2:N69"/>
  <sheetViews>
    <sheetView showGridLines="0" workbookViewId="0">
      <selection activeCell="H35" sqref="H35"/>
    </sheetView>
  </sheetViews>
  <sheetFormatPr defaultRowHeight="16.5" x14ac:dyDescent="0.3"/>
  <cols>
    <col min="1" max="1" width="3.75" style="1" customWidth="1"/>
    <col min="2" max="2" width="22" style="1" bestFit="1" customWidth="1"/>
    <col min="3" max="3" width="13.875" style="1" bestFit="1" customWidth="1"/>
    <col min="4" max="5" width="9" style="1"/>
    <col min="6" max="13" width="10.75" style="1" customWidth="1"/>
    <col min="14" max="16384" width="9" style="1"/>
  </cols>
  <sheetData>
    <row r="2" spans="2:14" x14ac:dyDescent="0.3">
      <c r="B2" s="1" t="s">
        <v>10</v>
      </c>
      <c r="C2" s="1" t="s">
        <v>171</v>
      </c>
      <c r="D2" s="1" t="s">
        <v>153</v>
      </c>
      <c r="E2" s="1" t="s">
        <v>152</v>
      </c>
      <c r="F2" s="1" t="s">
        <v>154</v>
      </c>
      <c r="G2" s="1" t="s">
        <v>155</v>
      </c>
      <c r="H2" s="1" t="s">
        <v>156</v>
      </c>
      <c r="I2" s="1" t="s">
        <v>157</v>
      </c>
      <c r="J2" s="1" t="s">
        <v>158</v>
      </c>
      <c r="K2" s="1" t="s">
        <v>159</v>
      </c>
      <c r="L2" s="1" t="s">
        <v>160</v>
      </c>
      <c r="M2" s="1" t="s">
        <v>161</v>
      </c>
      <c r="N2" s="1" t="s">
        <v>172</v>
      </c>
    </row>
    <row r="3" spans="2:14" x14ac:dyDescent="0.3">
      <c r="B3" s="39" t="str">
        <f>[1]Village!B9</f>
        <v>스비아인의 마을</v>
      </c>
      <c r="C3" s="39" t="str">
        <f>IFERROR(VLOOKUP(표9[[#This Row],[마을]],[3]!표8[[이름]:[선단 LV]],6,FALSE),"-")</f>
        <v>-</v>
      </c>
      <c r="D3" s="39" t="str">
        <f>IFERROR(VLOOKUP(표9[[#This Row],[마을]],[3]!표8[[이름]:[위도]],3,FALSE),"-")</f>
        <v>-</v>
      </c>
      <c r="E3" s="39" t="str">
        <f>IFERROR(VLOOKUP(표9[[#This Row],[마을]],[3]!표8[[이름]:[위도]],2,FALSE),"-")</f>
        <v>-</v>
      </c>
      <c r="F3" s="39" t="str">
        <f>IFERROR(INDEX([1]AdventureDiscoveryGroup!$D:$D,MATCH(표9[[#This Row],[마을]],[1]AdventureDiscoveryGroup!$C:$C,)),"-")</f>
        <v>-</v>
      </c>
      <c r="G3" s="39" t="str">
        <f>IFERROR(INDEX([1]AdventureDiscoveryGroup!$G:$G,MATCH(표9[[#This Row],[마을]],[1]AdventureDiscoveryGroup!$C:$C,)),"-")</f>
        <v>-</v>
      </c>
      <c r="H3" s="39" t="str">
        <f>IFERROR(INDEX([1]AdventureDiscoveryGroup!$J:$J,MATCH(표9[[#This Row],[마을]],[1]AdventureDiscoveryGroup!$C:$C,)),"-")</f>
        <v>-</v>
      </c>
      <c r="I3" s="39" t="str">
        <f>IFERROR(INDEX([1]AdventureDiscoveryGroup!$M:$M,MATCH(표9[[#This Row],[마을]],[1]AdventureDiscoveryGroup!$C:$C,)),"-")</f>
        <v>-</v>
      </c>
      <c r="J3" s="39" t="str">
        <f>IFERROR(INDEX([1]AdventureDiscoveryGroup!$P:$P,MATCH(표9[[#This Row],[마을]],[1]AdventureDiscoveryGroup!$C:$C,)),"-")</f>
        <v>-</v>
      </c>
      <c r="K3" s="39" t="str">
        <f>IFERROR(INDEX([1]AdventureDiscoveryGroup!$S:$S,MATCH(표9[[#This Row],[마을]],[1]AdventureDiscoveryGroup!$C:$C,)),"-")</f>
        <v>-</v>
      </c>
      <c r="L3" s="39" t="str">
        <f>IFERROR(INDEX([1]AdventureDiscoveryGroup!$V:$V,MATCH(표9[[#This Row],[마을]],[1]AdventureDiscoveryGroup!$C:$C,)),"-")</f>
        <v>-</v>
      </c>
      <c r="M3" s="39" t="str">
        <f>IFERROR(INDEX([1]AdventureDiscoveryGroup!$Y:$Y,MATCH(표9[[#This Row],[마을]],[1]AdventureDiscoveryGroup!$C:$C,)),"-")</f>
        <v>-</v>
      </c>
      <c r="N3" s="42" t="str">
        <f>IFERROR(INDEX([1]AdventureDiscoveryGroup!$AB:$AB,MATCH(표9[[#This Row],[마을]],[1]AdventureDiscoveryGroup!$C:$C,)),"-")</f>
        <v>-</v>
      </c>
    </row>
    <row r="4" spans="2:14" x14ac:dyDescent="0.3">
      <c r="B4" s="39" t="str">
        <f>[1]Village!B10</f>
        <v>쿠르드인의 마을</v>
      </c>
      <c r="C4" s="39" t="str">
        <f>IFERROR(VLOOKUP(표9[[#This Row],[마을]],[3]!표8[[이름]:[선단 LV]],6,FALSE),"-")</f>
        <v>-</v>
      </c>
      <c r="D4" s="39" t="str">
        <f>IFERROR(VLOOKUP(표9[[#This Row],[마을]],[3]!표8[[이름]:[위도]],3,FALSE),"-")</f>
        <v>-</v>
      </c>
      <c r="E4" s="39" t="str">
        <f>IFERROR(VLOOKUP(표9[[#This Row],[마을]],[3]!표8[[이름]:[위도]],2,FALSE),"-")</f>
        <v>-</v>
      </c>
      <c r="F4" s="39" t="str">
        <f>IFERROR(INDEX([1]AdventureDiscoveryGroup!$D:$D,MATCH(표9[[#This Row],[마을]],[1]AdventureDiscoveryGroup!$C:$C,)),"-")</f>
        <v>-</v>
      </c>
      <c r="G4" s="39" t="str">
        <f>IFERROR(INDEX([1]AdventureDiscoveryGroup!$G:$G,MATCH(표9[[#This Row],[마을]],[1]AdventureDiscoveryGroup!$C:$C,)),"-")</f>
        <v>-</v>
      </c>
      <c r="H4" s="39" t="str">
        <f>IFERROR(INDEX([1]AdventureDiscoveryGroup!$J:$J,MATCH(표9[[#This Row],[마을]],[1]AdventureDiscoveryGroup!$C:$C,)),"-")</f>
        <v>-</v>
      </c>
      <c r="I4" s="39" t="str">
        <f>IFERROR(INDEX([1]AdventureDiscoveryGroup!$M:$M,MATCH(표9[[#This Row],[마을]],[1]AdventureDiscoveryGroup!$C:$C,)),"-")</f>
        <v>-</v>
      </c>
      <c r="J4" s="39" t="str">
        <f>IFERROR(INDEX([1]AdventureDiscoveryGroup!$P:$P,MATCH(표9[[#This Row],[마을]],[1]AdventureDiscoveryGroup!$C:$C,)),"-")</f>
        <v>-</v>
      </c>
      <c r="K4" s="39" t="str">
        <f>IFERROR(INDEX([1]AdventureDiscoveryGroup!$S:$S,MATCH(표9[[#This Row],[마을]],[1]AdventureDiscoveryGroup!$C:$C,)),"-")</f>
        <v>-</v>
      </c>
      <c r="L4" s="39" t="str">
        <f>IFERROR(INDEX([1]AdventureDiscoveryGroup!$V:$V,MATCH(표9[[#This Row],[마을]],[1]AdventureDiscoveryGroup!$C:$C,)),"-")</f>
        <v>-</v>
      </c>
      <c r="M4" s="39" t="str">
        <f>IFERROR(INDEX([1]AdventureDiscoveryGroup!$Y:$Y,MATCH(표9[[#This Row],[마을]],[1]AdventureDiscoveryGroup!$C:$C,)),"-")</f>
        <v>-</v>
      </c>
      <c r="N4" s="39" t="str">
        <f>IFERROR(INDEX([1]AdventureDiscoveryGroup!$AB:$AB,MATCH(표9[[#This Row],[마을]],[1]AdventureDiscoveryGroup!$C:$C,)),"-")</f>
        <v>-</v>
      </c>
    </row>
    <row r="5" spans="2:14" x14ac:dyDescent="0.3">
      <c r="B5" s="39" t="str">
        <f>[1]Village!B11</f>
        <v>튀르크족의 마을</v>
      </c>
      <c r="C5" s="39" t="str">
        <f>IFERROR(VLOOKUP(표9[[#This Row],[마을]],[3]!표8[[이름]:[선단 LV]],6,FALSE),"-")</f>
        <v>-</v>
      </c>
      <c r="D5" s="39" t="str">
        <f>IFERROR(VLOOKUP(표9[[#This Row],[마을]],[3]!표8[[이름]:[위도]],3,FALSE),"-")</f>
        <v>-</v>
      </c>
      <c r="E5" s="39" t="str">
        <f>IFERROR(VLOOKUP(표9[[#This Row],[마을]],[3]!표8[[이름]:[위도]],2,FALSE),"-")</f>
        <v>-</v>
      </c>
      <c r="F5" s="39" t="str">
        <f>IFERROR(INDEX([1]AdventureDiscoveryGroup!$D:$D,MATCH(표9[[#This Row],[마을]],[1]AdventureDiscoveryGroup!$C:$C,)),"-")</f>
        <v>-</v>
      </c>
      <c r="G5" s="39" t="str">
        <f>IFERROR(INDEX([1]AdventureDiscoveryGroup!$G:$G,MATCH(표9[[#This Row],[마을]],[1]AdventureDiscoveryGroup!$C:$C,)),"-")</f>
        <v>-</v>
      </c>
      <c r="H5" s="39" t="str">
        <f>IFERROR(INDEX([1]AdventureDiscoveryGroup!$J:$J,MATCH(표9[[#This Row],[마을]],[1]AdventureDiscoveryGroup!$C:$C,)),"-")</f>
        <v>-</v>
      </c>
      <c r="I5" s="39" t="str">
        <f>IFERROR(INDEX([1]AdventureDiscoveryGroup!$M:$M,MATCH(표9[[#This Row],[마을]],[1]AdventureDiscoveryGroup!$C:$C,)),"-")</f>
        <v>-</v>
      </c>
      <c r="J5" s="39" t="str">
        <f>IFERROR(INDEX([1]AdventureDiscoveryGroup!$P:$P,MATCH(표9[[#This Row],[마을]],[1]AdventureDiscoveryGroup!$C:$C,)),"-")</f>
        <v>-</v>
      </c>
      <c r="K5" s="39" t="str">
        <f>IFERROR(INDEX([1]AdventureDiscoveryGroup!$S:$S,MATCH(표9[[#This Row],[마을]],[1]AdventureDiscoveryGroup!$C:$C,)),"-")</f>
        <v>-</v>
      </c>
      <c r="L5" s="39" t="str">
        <f>IFERROR(INDEX([1]AdventureDiscoveryGroup!$V:$V,MATCH(표9[[#This Row],[마을]],[1]AdventureDiscoveryGroup!$C:$C,)),"-")</f>
        <v>-</v>
      </c>
      <c r="M5" s="39" t="str">
        <f>IFERROR(INDEX([1]AdventureDiscoveryGroup!$Y:$Y,MATCH(표9[[#This Row],[마을]],[1]AdventureDiscoveryGroup!$C:$C,)),"-")</f>
        <v>-</v>
      </c>
      <c r="N5" s="39" t="str">
        <f>IFERROR(INDEX([1]AdventureDiscoveryGroup!$AB:$AB,MATCH(표9[[#This Row],[마을]],[1]AdventureDiscoveryGroup!$C:$C,)),"-")</f>
        <v>-</v>
      </c>
    </row>
    <row r="6" spans="2:14" x14ac:dyDescent="0.3">
      <c r="B6" s="39" t="str">
        <f>[1]Village!B12</f>
        <v>루르인의 마을</v>
      </c>
      <c r="C6" s="39" t="str">
        <f>IFERROR(VLOOKUP(표9[[#This Row],[마을]],[3]!표8[[이름]:[선단 LV]],6,FALSE),"-")</f>
        <v>-</v>
      </c>
      <c r="D6" s="39" t="str">
        <f>IFERROR(VLOOKUP(표9[[#This Row],[마을]],[3]!표8[[이름]:[위도]],3,FALSE),"-")</f>
        <v>-</v>
      </c>
      <c r="E6" s="39" t="str">
        <f>IFERROR(VLOOKUP(표9[[#This Row],[마을]],[3]!표8[[이름]:[위도]],2,FALSE),"-")</f>
        <v>-</v>
      </c>
      <c r="F6" s="39" t="str">
        <f>IFERROR(INDEX([1]AdventureDiscoveryGroup!$D:$D,MATCH(표9[[#This Row],[마을]],[1]AdventureDiscoveryGroup!$C:$C,)),"-")</f>
        <v>-</v>
      </c>
      <c r="G6" s="39" t="str">
        <f>IFERROR(INDEX([1]AdventureDiscoveryGroup!$G:$G,MATCH(표9[[#This Row],[마을]],[1]AdventureDiscoveryGroup!$C:$C,)),"-")</f>
        <v>-</v>
      </c>
      <c r="H6" s="39" t="str">
        <f>IFERROR(INDEX([1]AdventureDiscoveryGroup!$J:$J,MATCH(표9[[#This Row],[마을]],[1]AdventureDiscoveryGroup!$C:$C,)),"-")</f>
        <v>-</v>
      </c>
      <c r="I6" s="39" t="str">
        <f>IFERROR(INDEX([1]AdventureDiscoveryGroup!$M:$M,MATCH(표9[[#This Row],[마을]],[1]AdventureDiscoveryGroup!$C:$C,)),"-")</f>
        <v>-</v>
      </c>
      <c r="J6" s="39" t="str">
        <f>IFERROR(INDEX([1]AdventureDiscoveryGroup!$P:$P,MATCH(표9[[#This Row],[마을]],[1]AdventureDiscoveryGroup!$C:$C,)),"-")</f>
        <v>-</v>
      </c>
      <c r="K6" s="39" t="str">
        <f>IFERROR(INDEX([1]AdventureDiscoveryGroup!$S:$S,MATCH(표9[[#This Row],[마을]],[1]AdventureDiscoveryGroup!$C:$C,)),"-")</f>
        <v>-</v>
      </c>
      <c r="L6" s="39" t="str">
        <f>IFERROR(INDEX([1]AdventureDiscoveryGroup!$V:$V,MATCH(표9[[#This Row],[마을]],[1]AdventureDiscoveryGroup!$C:$C,)),"-")</f>
        <v>-</v>
      </c>
      <c r="M6" s="39" t="str">
        <f>IFERROR(INDEX([1]AdventureDiscoveryGroup!$Y:$Y,MATCH(표9[[#This Row],[마을]],[1]AdventureDiscoveryGroup!$C:$C,)),"-")</f>
        <v>-</v>
      </c>
      <c r="N6" s="39" t="str">
        <f>IFERROR(INDEX([1]AdventureDiscoveryGroup!$AB:$AB,MATCH(표9[[#This Row],[마을]],[1]AdventureDiscoveryGroup!$C:$C,)),"-")</f>
        <v>-</v>
      </c>
    </row>
    <row r="7" spans="2:14" x14ac:dyDescent="0.3">
      <c r="B7" s="39" t="str">
        <f>[1]Village!B13</f>
        <v>카슈카이족의 마을</v>
      </c>
      <c r="C7" s="39" t="str">
        <f>IFERROR(VLOOKUP(표9[[#This Row],[마을]],[3]!표8[[이름]:[선단 LV]],6,FALSE),"-")</f>
        <v>-</v>
      </c>
      <c r="D7" s="39" t="str">
        <f>IFERROR(VLOOKUP(표9[[#This Row],[마을]],[3]!표8[[이름]:[위도]],3,FALSE),"-")</f>
        <v>-</v>
      </c>
      <c r="E7" s="39" t="str">
        <f>IFERROR(VLOOKUP(표9[[#This Row],[마을]],[3]!표8[[이름]:[위도]],2,FALSE),"-")</f>
        <v>-</v>
      </c>
      <c r="F7" s="39" t="str">
        <f>IFERROR(INDEX([1]AdventureDiscoveryGroup!$D:$D,MATCH(표9[[#This Row],[마을]],[1]AdventureDiscoveryGroup!$C:$C,)),"-")</f>
        <v>-</v>
      </c>
      <c r="G7" s="39" t="str">
        <f>IFERROR(INDEX([1]AdventureDiscoveryGroup!$G:$G,MATCH(표9[[#This Row],[마을]],[1]AdventureDiscoveryGroup!$C:$C,)),"-")</f>
        <v>-</v>
      </c>
      <c r="H7" s="39" t="str">
        <f>IFERROR(INDEX([1]AdventureDiscoveryGroup!$J:$J,MATCH(표9[[#This Row],[마을]],[1]AdventureDiscoveryGroup!$C:$C,)),"-")</f>
        <v>-</v>
      </c>
      <c r="I7" s="39" t="str">
        <f>IFERROR(INDEX([1]AdventureDiscoveryGroup!$M:$M,MATCH(표9[[#This Row],[마을]],[1]AdventureDiscoveryGroup!$C:$C,)),"-")</f>
        <v>-</v>
      </c>
      <c r="J7" s="39" t="str">
        <f>IFERROR(INDEX([1]AdventureDiscoveryGroup!$P:$P,MATCH(표9[[#This Row],[마을]],[1]AdventureDiscoveryGroup!$C:$C,)),"-")</f>
        <v>-</v>
      </c>
      <c r="K7" s="39" t="str">
        <f>IFERROR(INDEX([1]AdventureDiscoveryGroup!$S:$S,MATCH(표9[[#This Row],[마을]],[1]AdventureDiscoveryGroup!$C:$C,)),"-")</f>
        <v>-</v>
      </c>
      <c r="L7" s="39" t="str">
        <f>IFERROR(INDEX([1]AdventureDiscoveryGroup!$V:$V,MATCH(표9[[#This Row],[마을]],[1]AdventureDiscoveryGroup!$C:$C,)),"-")</f>
        <v>-</v>
      </c>
      <c r="M7" s="39" t="str">
        <f>IFERROR(INDEX([1]AdventureDiscoveryGroup!$Y:$Y,MATCH(표9[[#This Row],[마을]],[1]AdventureDiscoveryGroup!$C:$C,)),"-")</f>
        <v>-</v>
      </c>
      <c r="N7" s="39" t="str">
        <f>IFERROR(INDEX([1]AdventureDiscoveryGroup!$AB:$AB,MATCH(표9[[#This Row],[마을]],[1]AdventureDiscoveryGroup!$C:$C,)),"-")</f>
        <v>-</v>
      </c>
    </row>
    <row r="8" spans="2:14" x14ac:dyDescent="0.3">
      <c r="B8" s="39" t="str">
        <f>[1]Village!B14</f>
        <v>베르베르인의 마을</v>
      </c>
      <c r="C8" s="39" t="str">
        <f>IFERROR(VLOOKUP(표9[[#This Row],[마을]],[3]!표8[[이름]:[선단 LV]],6,FALSE),"-")</f>
        <v>-</v>
      </c>
      <c r="D8" s="39" t="str">
        <f>IFERROR(VLOOKUP(표9[[#This Row],[마을]],[3]!표8[[이름]:[위도]],3,FALSE),"-")</f>
        <v>-</v>
      </c>
      <c r="E8" s="39" t="str">
        <f>IFERROR(VLOOKUP(표9[[#This Row],[마을]],[3]!표8[[이름]:[위도]],2,FALSE),"-")</f>
        <v>-</v>
      </c>
      <c r="F8" s="39" t="str">
        <f>IFERROR(INDEX([1]AdventureDiscoveryGroup!$D:$D,MATCH(표9[[#This Row],[마을]],[1]AdventureDiscoveryGroup!$C:$C,)),"-")</f>
        <v>-</v>
      </c>
      <c r="G8" s="39" t="str">
        <f>IFERROR(INDEX([1]AdventureDiscoveryGroup!$G:$G,MATCH(표9[[#This Row],[마을]],[1]AdventureDiscoveryGroup!$C:$C,)),"-")</f>
        <v>-</v>
      </c>
      <c r="H8" s="39" t="str">
        <f>IFERROR(INDEX([1]AdventureDiscoveryGroup!$J:$J,MATCH(표9[[#This Row],[마을]],[1]AdventureDiscoveryGroup!$C:$C,)),"-")</f>
        <v>-</v>
      </c>
      <c r="I8" s="39" t="str">
        <f>IFERROR(INDEX([1]AdventureDiscoveryGroup!$M:$M,MATCH(표9[[#This Row],[마을]],[1]AdventureDiscoveryGroup!$C:$C,)),"-")</f>
        <v>-</v>
      </c>
      <c r="J8" s="39" t="str">
        <f>IFERROR(INDEX([1]AdventureDiscoveryGroup!$P:$P,MATCH(표9[[#This Row],[마을]],[1]AdventureDiscoveryGroup!$C:$C,)),"-")</f>
        <v>-</v>
      </c>
      <c r="K8" s="39" t="str">
        <f>IFERROR(INDEX([1]AdventureDiscoveryGroup!$S:$S,MATCH(표9[[#This Row],[마을]],[1]AdventureDiscoveryGroup!$C:$C,)),"-")</f>
        <v>-</v>
      </c>
      <c r="L8" s="39" t="str">
        <f>IFERROR(INDEX([1]AdventureDiscoveryGroup!$V:$V,MATCH(표9[[#This Row],[마을]],[1]AdventureDiscoveryGroup!$C:$C,)),"-")</f>
        <v>-</v>
      </c>
      <c r="M8" s="39" t="str">
        <f>IFERROR(INDEX([1]AdventureDiscoveryGroup!$Y:$Y,MATCH(표9[[#This Row],[마을]],[1]AdventureDiscoveryGroup!$C:$C,)),"-")</f>
        <v>-</v>
      </c>
      <c r="N8" s="39" t="str">
        <f>IFERROR(INDEX([1]AdventureDiscoveryGroup!$AB:$AB,MATCH(표9[[#This Row],[마을]],[1]AdventureDiscoveryGroup!$C:$C,)),"-")</f>
        <v>-</v>
      </c>
    </row>
    <row r="9" spans="2:14" x14ac:dyDescent="0.3">
      <c r="B9" s="39" t="str">
        <f>[1]Village!B15</f>
        <v>누비아인의 마을</v>
      </c>
      <c r="C9" s="39" t="str">
        <f>IFERROR(VLOOKUP(표9[[#This Row],[마을]],[3]!표8[[이름]:[선단 LV]],6,FALSE),"-")</f>
        <v>-</v>
      </c>
      <c r="D9" s="39" t="str">
        <f>IFERROR(VLOOKUP(표9[[#This Row],[마을]],[3]!표8[[이름]:[위도]],3,FALSE),"-")</f>
        <v>-</v>
      </c>
      <c r="E9" s="39" t="str">
        <f>IFERROR(VLOOKUP(표9[[#This Row],[마을]],[3]!표8[[이름]:[위도]],2,FALSE),"-")</f>
        <v>-</v>
      </c>
      <c r="F9" s="39" t="str">
        <f>IFERROR(INDEX([1]AdventureDiscoveryGroup!$D:$D,MATCH(표9[[#This Row],[마을]],[1]AdventureDiscoveryGroup!$C:$C,)),"-")</f>
        <v>-</v>
      </c>
      <c r="G9" s="39" t="str">
        <f>IFERROR(INDEX([1]AdventureDiscoveryGroup!$G:$G,MATCH(표9[[#This Row],[마을]],[1]AdventureDiscoveryGroup!$C:$C,)),"-")</f>
        <v>-</v>
      </c>
      <c r="H9" s="39" t="str">
        <f>IFERROR(INDEX([1]AdventureDiscoveryGroup!$J:$J,MATCH(표9[[#This Row],[마을]],[1]AdventureDiscoveryGroup!$C:$C,)),"-")</f>
        <v>-</v>
      </c>
      <c r="I9" s="39" t="str">
        <f>IFERROR(INDEX([1]AdventureDiscoveryGroup!$M:$M,MATCH(표9[[#This Row],[마을]],[1]AdventureDiscoveryGroup!$C:$C,)),"-")</f>
        <v>-</v>
      </c>
      <c r="J9" s="39" t="str">
        <f>IFERROR(INDEX([1]AdventureDiscoveryGroup!$P:$P,MATCH(표9[[#This Row],[마을]],[1]AdventureDiscoveryGroup!$C:$C,)),"-")</f>
        <v>-</v>
      </c>
      <c r="K9" s="39" t="str">
        <f>IFERROR(INDEX([1]AdventureDiscoveryGroup!$S:$S,MATCH(표9[[#This Row],[마을]],[1]AdventureDiscoveryGroup!$C:$C,)),"-")</f>
        <v>-</v>
      </c>
      <c r="L9" s="39" t="str">
        <f>IFERROR(INDEX([1]AdventureDiscoveryGroup!$V:$V,MATCH(표9[[#This Row],[마을]],[1]AdventureDiscoveryGroup!$C:$C,)),"-")</f>
        <v>-</v>
      </c>
      <c r="M9" s="39" t="str">
        <f>IFERROR(INDEX([1]AdventureDiscoveryGroup!$Y:$Y,MATCH(표9[[#This Row],[마을]],[1]AdventureDiscoveryGroup!$C:$C,)),"-")</f>
        <v>-</v>
      </c>
      <c r="N9" s="39" t="str">
        <f>IFERROR(INDEX([1]AdventureDiscoveryGroup!$AB:$AB,MATCH(표9[[#This Row],[마을]],[1]AdventureDiscoveryGroup!$C:$C,)),"-")</f>
        <v>-</v>
      </c>
    </row>
    <row r="10" spans="2:14" x14ac:dyDescent="0.3">
      <c r="B10" s="39" t="str">
        <f>[1]Village!B16</f>
        <v>바리족의 마을</v>
      </c>
      <c r="C10" s="39" t="str">
        <f>IFERROR(VLOOKUP(표9[[#This Row],[마을]],[3]!표8[[이름]:[선단 LV]],6,FALSE),"-")</f>
        <v>-</v>
      </c>
      <c r="D10" s="39" t="str">
        <f>IFERROR(VLOOKUP(표9[[#This Row],[마을]],[3]!표8[[이름]:[위도]],3,FALSE),"-")</f>
        <v>-</v>
      </c>
      <c r="E10" s="39" t="str">
        <f>IFERROR(VLOOKUP(표9[[#This Row],[마을]],[3]!표8[[이름]:[위도]],2,FALSE),"-")</f>
        <v>-</v>
      </c>
      <c r="F10" s="39" t="str">
        <f>IFERROR(INDEX([1]AdventureDiscoveryGroup!$D:$D,MATCH(표9[[#This Row],[마을]],[1]AdventureDiscoveryGroup!$C:$C,)),"-")</f>
        <v>-</v>
      </c>
      <c r="G10" s="39" t="str">
        <f>IFERROR(INDEX([1]AdventureDiscoveryGroup!$G:$G,MATCH(표9[[#This Row],[마을]],[1]AdventureDiscoveryGroup!$C:$C,)),"-")</f>
        <v>-</v>
      </c>
      <c r="H10" s="39" t="str">
        <f>IFERROR(INDEX([1]AdventureDiscoveryGroup!$J:$J,MATCH(표9[[#This Row],[마을]],[1]AdventureDiscoveryGroup!$C:$C,)),"-")</f>
        <v>-</v>
      </c>
      <c r="I10" s="39" t="str">
        <f>IFERROR(INDEX([1]AdventureDiscoveryGroup!$M:$M,MATCH(표9[[#This Row],[마을]],[1]AdventureDiscoveryGroup!$C:$C,)),"-")</f>
        <v>-</v>
      </c>
      <c r="J10" s="39" t="str">
        <f>IFERROR(INDEX([1]AdventureDiscoveryGroup!$P:$P,MATCH(표9[[#This Row],[마을]],[1]AdventureDiscoveryGroup!$C:$C,)),"-")</f>
        <v>-</v>
      </c>
      <c r="K10" s="39" t="str">
        <f>IFERROR(INDEX([1]AdventureDiscoveryGroup!$S:$S,MATCH(표9[[#This Row],[마을]],[1]AdventureDiscoveryGroup!$C:$C,)),"-")</f>
        <v>-</v>
      </c>
      <c r="L10" s="39" t="str">
        <f>IFERROR(INDEX([1]AdventureDiscoveryGroup!$V:$V,MATCH(표9[[#This Row],[마을]],[1]AdventureDiscoveryGroup!$C:$C,)),"-")</f>
        <v>-</v>
      </c>
      <c r="M10" s="39" t="str">
        <f>IFERROR(INDEX([1]AdventureDiscoveryGroup!$Y:$Y,MATCH(표9[[#This Row],[마을]],[1]AdventureDiscoveryGroup!$C:$C,)),"-")</f>
        <v>-</v>
      </c>
      <c r="N10" s="39" t="str">
        <f>IFERROR(INDEX([1]AdventureDiscoveryGroup!$AB:$AB,MATCH(표9[[#This Row],[마을]],[1]AdventureDiscoveryGroup!$C:$C,)),"-")</f>
        <v>-</v>
      </c>
    </row>
    <row r="11" spans="2:14" x14ac:dyDescent="0.3">
      <c r="B11" s="39" t="str">
        <f>[1]Village!B17</f>
        <v>바간다족의 마을</v>
      </c>
      <c r="C11" s="39" t="str">
        <f>IFERROR(VLOOKUP(표9[[#This Row],[마을]],[3]!표8[[이름]:[선단 LV]],6,FALSE),"-")</f>
        <v>-</v>
      </c>
      <c r="D11" s="39" t="str">
        <f>IFERROR(VLOOKUP(표9[[#This Row],[마을]],[3]!표8[[이름]:[위도]],3,FALSE),"-")</f>
        <v>-</v>
      </c>
      <c r="E11" s="39" t="str">
        <f>IFERROR(VLOOKUP(표9[[#This Row],[마을]],[3]!표8[[이름]:[위도]],2,FALSE),"-")</f>
        <v>-</v>
      </c>
      <c r="F11" s="39" t="str">
        <f>IFERROR(INDEX([1]AdventureDiscoveryGroup!$D:$D,MATCH(표9[[#This Row],[마을]],[1]AdventureDiscoveryGroup!$C:$C,)),"-")</f>
        <v>-</v>
      </c>
      <c r="G11" s="39" t="str">
        <f>IFERROR(INDEX([1]AdventureDiscoveryGroup!$G:$G,MATCH(표9[[#This Row],[마을]],[1]AdventureDiscoveryGroup!$C:$C,)),"-")</f>
        <v>-</v>
      </c>
      <c r="H11" s="39" t="str">
        <f>IFERROR(INDEX([1]AdventureDiscoveryGroup!$J:$J,MATCH(표9[[#This Row],[마을]],[1]AdventureDiscoveryGroup!$C:$C,)),"-")</f>
        <v>-</v>
      </c>
      <c r="I11" s="39" t="str">
        <f>IFERROR(INDEX([1]AdventureDiscoveryGroup!$M:$M,MATCH(표9[[#This Row],[마을]],[1]AdventureDiscoveryGroup!$C:$C,)),"-")</f>
        <v>-</v>
      </c>
      <c r="J11" s="39" t="str">
        <f>IFERROR(INDEX([1]AdventureDiscoveryGroup!$P:$P,MATCH(표9[[#This Row],[마을]],[1]AdventureDiscoveryGroup!$C:$C,)),"-")</f>
        <v>-</v>
      </c>
      <c r="K11" s="39" t="str">
        <f>IFERROR(INDEX([1]AdventureDiscoveryGroup!$S:$S,MATCH(표9[[#This Row],[마을]],[1]AdventureDiscoveryGroup!$C:$C,)),"-")</f>
        <v>-</v>
      </c>
      <c r="L11" s="39" t="str">
        <f>IFERROR(INDEX([1]AdventureDiscoveryGroup!$V:$V,MATCH(표9[[#This Row],[마을]],[1]AdventureDiscoveryGroup!$C:$C,)),"-")</f>
        <v>-</v>
      </c>
      <c r="M11" s="39" t="str">
        <f>IFERROR(INDEX([1]AdventureDiscoveryGroup!$Y:$Y,MATCH(표9[[#This Row],[마을]],[1]AdventureDiscoveryGroup!$C:$C,)),"-")</f>
        <v>-</v>
      </c>
      <c r="N11" s="39" t="str">
        <f>IFERROR(INDEX([1]AdventureDiscoveryGroup!$AB:$AB,MATCH(표9[[#This Row],[마을]],[1]AdventureDiscoveryGroup!$C:$C,)),"-")</f>
        <v>-</v>
      </c>
    </row>
    <row r="12" spans="2:14" x14ac:dyDescent="0.3">
      <c r="B12" s="39" t="str">
        <f>[1]Village!B18</f>
        <v>말링케족의 마을</v>
      </c>
      <c r="C12" s="39" t="str">
        <f>IFERROR(VLOOKUP(표9[[#This Row],[마을]],[3]!표8[[이름]:[선단 LV]],6,FALSE),"-")</f>
        <v>-</v>
      </c>
      <c r="D12" s="39" t="str">
        <f>IFERROR(VLOOKUP(표9[[#This Row],[마을]],[3]!표8[[이름]:[위도]],3,FALSE),"-")</f>
        <v>-</v>
      </c>
      <c r="E12" s="39" t="str">
        <f>IFERROR(VLOOKUP(표9[[#This Row],[마을]],[3]!표8[[이름]:[위도]],2,FALSE),"-")</f>
        <v>-</v>
      </c>
      <c r="F12" s="39" t="str">
        <f>IFERROR(INDEX([1]AdventureDiscoveryGroup!$D:$D,MATCH(표9[[#This Row],[마을]],[1]AdventureDiscoveryGroup!$C:$C,)),"-")</f>
        <v>-</v>
      </c>
      <c r="G12" s="39" t="str">
        <f>IFERROR(INDEX([1]AdventureDiscoveryGroup!$G:$G,MATCH(표9[[#This Row],[마을]],[1]AdventureDiscoveryGroup!$C:$C,)),"-")</f>
        <v>-</v>
      </c>
      <c r="H12" s="39" t="str">
        <f>IFERROR(INDEX([1]AdventureDiscoveryGroup!$J:$J,MATCH(표9[[#This Row],[마을]],[1]AdventureDiscoveryGroup!$C:$C,)),"-")</f>
        <v>-</v>
      </c>
      <c r="I12" s="39" t="str">
        <f>IFERROR(INDEX([1]AdventureDiscoveryGroup!$M:$M,MATCH(표9[[#This Row],[마을]],[1]AdventureDiscoveryGroup!$C:$C,)),"-")</f>
        <v>-</v>
      </c>
      <c r="J12" s="39" t="str">
        <f>IFERROR(INDEX([1]AdventureDiscoveryGroup!$P:$P,MATCH(표9[[#This Row],[마을]],[1]AdventureDiscoveryGroup!$C:$C,)),"-")</f>
        <v>-</v>
      </c>
      <c r="K12" s="39" t="str">
        <f>IFERROR(INDEX([1]AdventureDiscoveryGroup!$S:$S,MATCH(표9[[#This Row],[마을]],[1]AdventureDiscoveryGroup!$C:$C,)),"-")</f>
        <v>-</v>
      </c>
      <c r="L12" s="39" t="str">
        <f>IFERROR(INDEX([1]AdventureDiscoveryGroup!$V:$V,MATCH(표9[[#This Row],[마을]],[1]AdventureDiscoveryGroup!$C:$C,)),"-")</f>
        <v>-</v>
      </c>
      <c r="M12" s="39" t="str">
        <f>IFERROR(INDEX([1]AdventureDiscoveryGroup!$Y:$Y,MATCH(표9[[#This Row],[마을]],[1]AdventureDiscoveryGroup!$C:$C,)),"-")</f>
        <v>-</v>
      </c>
      <c r="N12" s="39" t="str">
        <f>IFERROR(INDEX([1]AdventureDiscoveryGroup!$AB:$AB,MATCH(표9[[#This Row],[마을]],[1]AdventureDiscoveryGroup!$C:$C,)),"-")</f>
        <v>-</v>
      </c>
    </row>
    <row r="13" spans="2:14" x14ac:dyDescent="0.3">
      <c r="B13" s="39" t="str">
        <f>[1]Village!B19</f>
        <v>요루바족의 마을</v>
      </c>
      <c r="C13" s="39" t="str">
        <f>IFERROR(VLOOKUP(표9[[#This Row],[마을]],[3]!표8[[이름]:[선단 LV]],6,FALSE),"-")</f>
        <v>-</v>
      </c>
      <c r="D13" s="39" t="str">
        <f>IFERROR(VLOOKUP(표9[[#This Row],[마을]],[3]!표8[[이름]:[위도]],3,FALSE),"-")</f>
        <v>-</v>
      </c>
      <c r="E13" s="39" t="str">
        <f>IFERROR(VLOOKUP(표9[[#This Row],[마을]],[3]!표8[[이름]:[위도]],2,FALSE),"-")</f>
        <v>-</v>
      </c>
      <c r="F13" s="39" t="str">
        <f>IFERROR(INDEX([1]AdventureDiscoveryGroup!$D:$D,MATCH(표9[[#This Row],[마을]],[1]AdventureDiscoveryGroup!$C:$C,)),"-")</f>
        <v>-</v>
      </c>
      <c r="G13" s="39" t="str">
        <f>IFERROR(INDEX([1]AdventureDiscoveryGroup!$G:$G,MATCH(표9[[#This Row],[마을]],[1]AdventureDiscoveryGroup!$C:$C,)),"-")</f>
        <v>-</v>
      </c>
      <c r="H13" s="39" t="str">
        <f>IFERROR(INDEX([1]AdventureDiscoveryGroup!$J:$J,MATCH(표9[[#This Row],[마을]],[1]AdventureDiscoveryGroup!$C:$C,)),"-")</f>
        <v>-</v>
      </c>
      <c r="I13" s="39" t="str">
        <f>IFERROR(INDEX([1]AdventureDiscoveryGroup!$M:$M,MATCH(표9[[#This Row],[마을]],[1]AdventureDiscoveryGroup!$C:$C,)),"-")</f>
        <v>-</v>
      </c>
      <c r="J13" s="39" t="str">
        <f>IFERROR(INDEX([1]AdventureDiscoveryGroup!$P:$P,MATCH(표9[[#This Row],[마을]],[1]AdventureDiscoveryGroup!$C:$C,)),"-")</f>
        <v>-</v>
      </c>
      <c r="K13" s="39" t="str">
        <f>IFERROR(INDEX([1]AdventureDiscoveryGroup!$S:$S,MATCH(표9[[#This Row],[마을]],[1]AdventureDiscoveryGroup!$C:$C,)),"-")</f>
        <v>-</v>
      </c>
      <c r="L13" s="39" t="str">
        <f>IFERROR(INDEX([1]AdventureDiscoveryGroup!$V:$V,MATCH(표9[[#This Row],[마을]],[1]AdventureDiscoveryGroup!$C:$C,)),"-")</f>
        <v>-</v>
      </c>
      <c r="M13" s="39" t="str">
        <f>IFERROR(INDEX([1]AdventureDiscoveryGroup!$Y:$Y,MATCH(표9[[#This Row],[마을]],[1]AdventureDiscoveryGroup!$C:$C,)),"-")</f>
        <v>-</v>
      </c>
      <c r="N13" s="39" t="str">
        <f>IFERROR(INDEX([1]AdventureDiscoveryGroup!$AB:$AB,MATCH(표9[[#This Row],[마을]],[1]AdventureDiscoveryGroup!$C:$C,)),"-")</f>
        <v>-</v>
      </c>
    </row>
    <row r="14" spans="2:14" x14ac:dyDescent="0.3">
      <c r="B14" s="39" t="str">
        <f>[1]Village!B20</f>
        <v>반투족의 마을</v>
      </c>
      <c r="C14" s="39" t="str">
        <f>IFERROR(VLOOKUP(표9[[#This Row],[마을]],[3]!표8[[이름]:[선단 LV]],6,FALSE),"-")</f>
        <v>-</v>
      </c>
      <c r="D14" s="39" t="str">
        <f>IFERROR(VLOOKUP(표9[[#This Row],[마을]],[3]!표8[[이름]:[위도]],3,FALSE),"-")</f>
        <v>-</v>
      </c>
      <c r="E14" s="39" t="str">
        <f>IFERROR(VLOOKUP(표9[[#This Row],[마을]],[3]!표8[[이름]:[위도]],2,FALSE),"-")</f>
        <v>-</v>
      </c>
      <c r="F14" s="39" t="str">
        <f>IFERROR(INDEX([1]AdventureDiscoveryGroup!$D:$D,MATCH(표9[[#This Row],[마을]],[1]AdventureDiscoveryGroup!$C:$C,)),"-")</f>
        <v>-</v>
      </c>
      <c r="G14" s="39" t="str">
        <f>IFERROR(INDEX([1]AdventureDiscoveryGroup!$G:$G,MATCH(표9[[#This Row],[마을]],[1]AdventureDiscoveryGroup!$C:$C,)),"-")</f>
        <v>-</v>
      </c>
      <c r="H14" s="39" t="str">
        <f>IFERROR(INDEX([1]AdventureDiscoveryGroup!$J:$J,MATCH(표9[[#This Row],[마을]],[1]AdventureDiscoveryGroup!$C:$C,)),"-")</f>
        <v>-</v>
      </c>
      <c r="I14" s="39" t="str">
        <f>IFERROR(INDEX([1]AdventureDiscoveryGroup!$M:$M,MATCH(표9[[#This Row],[마을]],[1]AdventureDiscoveryGroup!$C:$C,)),"-")</f>
        <v>-</v>
      </c>
      <c r="J14" s="39" t="str">
        <f>IFERROR(INDEX([1]AdventureDiscoveryGroup!$P:$P,MATCH(표9[[#This Row],[마을]],[1]AdventureDiscoveryGroup!$C:$C,)),"-")</f>
        <v>-</v>
      </c>
      <c r="K14" s="39" t="str">
        <f>IFERROR(INDEX([1]AdventureDiscoveryGroup!$S:$S,MATCH(표9[[#This Row],[마을]],[1]AdventureDiscoveryGroup!$C:$C,)),"-")</f>
        <v>-</v>
      </c>
      <c r="L14" s="39" t="str">
        <f>IFERROR(INDEX([1]AdventureDiscoveryGroup!$V:$V,MATCH(표9[[#This Row],[마을]],[1]AdventureDiscoveryGroup!$C:$C,)),"-")</f>
        <v>-</v>
      </c>
      <c r="M14" s="39" t="str">
        <f>IFERROR(INDEX([1]AdventureDiscoveryGroup!$Y:$Y,MATCH(표9[[#This Row],[마을]],[1]AdventureDiscoveryGroup!$C:$C,)),"-")</f>
        <v>-</v>
      </c>
      <c r="N14" s="39" t="str">
        <f>IFERROR(INDEX([1]AdventureDiscoveryGroup!$AB:$AB,MATCH(표9[[#This Row],[마을]],[1]AdventureDiscoveryGroup!$C:$C,)),"-")</f>
        <v>-</v>
      </c>
    </row>
    <row r="15" spans="2:14" x14ac:dyDescent="0.3">
      <c r="B15" s="39" t="str">
        <f>[1]Village!B21</f>
        <v>후투족의 마을</v>
      </c>
      <c r="C15" s="39" t="str">
        <f>IFERROR(VLOOKUP(표9[[#This Row],[마을]],[3]!표8[[이름]:[선단 LV]],6,FALSE),"-")</f>
        <v>-</v>
      </c>
      <c r="D15" s="39" t="str">
        <f>IFERROR(VLOOKUP(표9[[#This Row],[마을]],[3]!표8[[이름]:[위도]],3,FALSE),"-")</f>
        <v>-</v>
      </c>
      <c r="E15" s="39" t="str">
        <f>IFERROR(VLOOKUP(표9[[#This Row],[마을]],[3]!표8[[이름]:[위도]],2,FALSE),"-")</f>
        <v>-</v>
      </c>
      <c r="F15" s="39" t="str">
        <f>IFERROR(INDEX([1]AdventureDiscoveryGroup!$D:$D,MATCH(표9[[#This Row],[마을]],[1]AdventureDiscoveryGroup!$C:$C,)),"-")</f>
        <v>-</v>
      </c>
      <c r="G15" s="39" t="str">
        <f>IFERROR(INDEX([1]AdventureDiscoveryGroup!$G:$G,MATCH(표9[[#This Row],[마을]],[1]AdventureDiscoveryGroup!$C:$C,)),"-")</f>
        <v>-</v>
      </c>
      <c r="H15" s="39" t="str">
        <f>IFERROR(INDEX([1]AdventureDiscoveryGroup!$J:$J,MATCH(표9[[#This Row],[마을]],[1]AdventureDiscoveryGroup!$C:$C,)),"-")</f>
        <v>-</v>
      </c>
      <c r="I15" s="39" t="str">
        <f>IFERROR(INDEX([1]AdventureDiscoveryGroup!$M:$M,MATCH(표9[[#This Row],[마을]],[1]AdventureDiscoveryGroup!$C:$C,)),"-")</f>
        <v>-</v>
      </c>
      <c r="J15" s="39" t="str">
        <f>IFERROR(INDEX([1]AdventureDiscoveryGroup!$P:$P,MATCH(표9[[#This Row],[마을]],[1]AdventureDiscoveryGroup!$C:$C,)),"-")</f>
        <v>-</v>
      </c>
      <c r="K15" s="39" t="str">
        <f>IFERROR(INDEX([1]AdventureDiscoveryGroup!$S:$S,MATCH(표9[[#This Row],[마을]],[1]AdventureDiscoveryGroup!$C:$C,)),"-")</f>
        <v>-</v>
      </c>
      <c r="L15" s="39" t="str">
        <f>IFERROR(INDEX([1]AdventureDiscoveryGroup!$V:$V,MATCH(표9[[#This Row],[마을]],[1]AdventureDiscoveryGroup!$C:$C,)),"-")</f>
        <v>-</v>
      </c>
      <c r="M15" s="39" t="str">
        <f>IFERROR(INDEX([1]AdventureDiscoveryGroup!$Y:$Y,MATCH(표9[[#This Row],[마을]],[1]AdventureDiscoveryGroup!$C:$C,)),"-")</f>
        <v>-</v>
      </c>
      <c r="N15" s="39" t="str">
        <f>IFERROR(INDEX([1]AdventureDiscoveryGroup!$AB:$AB,MATCH(표9[[#This Row],[마을]],[1]AdventureDiscoveryGroup!$C:$C,)),"-")</f>
        <v>-</v>
      </c>
    </row>
    <row r="16" spans="2:14" x14ac:dyDescent="0.3">
      <c r="B16" s="39" t="str">
        <f>[1]Village!B22</f>
        <v>산족의 마을</v>
      </c>
      <c r="C16" s="39" t="str">
        <f>IFERROR(VLOOKUP(표9[[#This Row],[마을]],[3]!표8[[이름]:[선단 LV]],6,FALSE),"-")</f>
        <v>-</v>
      </c>
      <c r="D16" s="39" t="str">
        <f>IFERROR(VLOOKUP(표9[[#This Row],[마을]],[3]!표8[[이름]:[위도]],3,FALSE),"-")</f>
        <v>-</v>
      </c>
      <c r="E16" s="39" t="str">
        <f>IFERROR(VLOOKUP(표9[[#This Row],[마을]],[3]!표8[[이름]:[위도]],2,FALSE),"-")</f>
        <v>-</v>
      </c>
      <c r="F16" s="39" t="str">
        <f>IFERROR(INDEX([1]AdventureDiscoveryGroup!$D:$D,MATCH(표9[[#This Row],[마을]],[1]AdventureDiscoveryGroup!$C:$C,)),"-")</f>
        <v>-</v>
      </c>
      <c r="G16" s="39" t="str">
        <f>IFERROR(INDEX([1]AdventureDiscoveryGroup!$G:$G,MATCH(표9[[#This Row],[마을]],[1]AdventureDiscoveryGroup!$C:$C,)),"-")</f>
        <v>-</v>
      </c>
      <c r="H16" s="39" t="str">
        <f>IFERROR(INDEX([1]AdventureDiscoveryGroup!$J:$J,MATCH(표9[[#This Row],[마을]],[1]AdventureDiscoveryGroup!$C:$C,)),"-")</f>
        <v>-</v>
      </c>
      <c r="I16" s="39" t="str">
        <f>IFERROR(INDEX([1]AdventureDiscoveryGroup!$M:$M,MATCH(표9[[#This Row],[마을]],[1]AdventureDiscoveryGroup!$C:$C,)),"-")</f>
        <v>-</v>
      </c>
      <c r="J16" s="39" t="str">
        <f>IFERROR(INDEX([1]AdventureDiscoveryGroup!$P:$P,MATCH(표9[[#This Row],[마을]],[1]AdventureDiscoveryGroup!$C:$C,)),"-")</f>
        <v>-</v>
      </c>
      <c r="K16" s="39" t="str">
        <f>IFERROR(INDEX([1]AdventureDiscoveryGroup!$S:$S,MATCH(표9[[#This Row],[마을]],[1]AdventureDiscoveryGroup!$C:$C,)),"-")</f>
        <v>-</v>
      </c>
      <c r="L16" s="39" t="str">
        <f>IFERROR(INDEX([1]AdventureDiscoveryGroup!$V:$V,MATCH(표9[[#This Row],[마을]],[1]AdventureDiscoveryGroup!$C:$C,)),"-")</f>
        <v>-</v>
      </c>
      <c r="M16" s="39" t="str">
        <f>IFERROR(INDEX([1]AdventureDiscoveryGroup!$Y:$Y,MATCH(표9[[#This Row],[마을]],[1]AdventureDiscoveryGroup!$C:$C,)),"-")</f>
        <v>-</v>
      </c>
      <c r="N16" s="39" t="str">
        <f>IFERROR(INDEX([1]AdventureDiscoveryGroup!$AB:$AB,MATCH(표9[[#This Row],[마을]],[1]AdventureDiscoveryGroup!$C:$C,)),"-")</f>
        <v>-</v>
      </c>
    </row>
    <row r="17" spans="2:14" x14ac:dyDescent="0.3">
      <c r="B17" s="39" t="str">
        <f>[1]Village!B23</f>
        <v>쇼나족의 마을</v>
      </c>
      <c r="C17" s="39" t="str">
        <f>IFERROR(VLOOKUP(표9[[#This Row],[마을]],[3]!표8[[이름]:[선단 LV]],6,FALSE),"-")</f>
        <v>-</v>
      </c>
      <c r="D17" s="39" t="str">
        <f>IFERROR(VLOOKUP(표9[[#This Row],[마을]],[3]!표8[[이름]:[위도]],3,FALSE),"-")</f>
        <v>-</v>
      </c>
      <c r="E17" s="39" t="str">
        <f>IFERROR(VLOOKUP(표9[[#This Row],[마을]],[3]!표8[[이름]:[위도]],2,FALSE),"-")</f>
        <v>-</v>
      </c>
      <c r="F17" s="39" t="str">
        <f>IFERROR(INDEX([1]AdventureDiscoveryGroup!$D:$D,MATCH(표9[[#This Row],[마을]],[1]AdventureDiscoveryGroup!$C:$C,)),"-")</f>
        <v>-</v>
      </c>
      <c r="G17" s="39" t="str">
        <f>IFERROR(INDEX([1]AdventureDiscoveryGroup!$G:$G,MATCH(표9[[#This Row],[마을]],[1]AdventureDiscoveryGroup!$C:$C,)),"-")</f>
        <v>-</v>
      </c>
      <c r="H17" s="39" t="str">
        <f>IFERROR(INDEX([1]AdventureDiscoveryGroup!$J:$J,MATCH(표9[[#This Row],[마을]],[1]AdventureDiscoveryGroup!$C:$C,)),"-")</f>
        <v>-</v>
      </c>
      <c r="I17" s="39" t="str">
        <f>IFERROR(INDEX([1]AdventureDiscoveryGroup!$M:$M,MATCH(표9[[#This Row],[마을]],[1]AdventureDiscoveryGroup!$C:$C,)),"-")</f>
        <v>-</v>
      </c>
      <c r="J17" s="39" t="str">
        <f>IFERROR(INDEX([1]AdventureDiscoveryGroup!$P:$P,MATCH(표9[[#This Row],[마을]],[1]AdventureDiscoveryGroup!$C:$C,)),"-")</f>
        <v>-</v>
      </c>
      <c r="K17" s="39" t="str">
        <f>IFERROR(INDEX([1]AdventureDiscoveryGroup!$S:$S,MATCH(표9[[#This Row],[마을]],[1]AdventureDiscoveryGroup!$C:$C,)),"-")</f>
        <v>-</v>
      </c>
      <c r="L17" s="39" t="str">
        <f>IFERROR(INDEX([1]AdventureDiscoveryGroup!$V:$V,MATCH(표9[[#This Row],[마을]],[1]AdventureDiscoveryGroup!$C:$C,)),"-")</f>
        <v>-</v>
      </c>
      <c r="M17" s="39" t="str">
        <f>IFERROR(INDEX([1]AdventureDiscoveryGroup!$Y:$Y,MATCH(표9[[#This Row],[마을]],[1]AdventureDiscoveryGroup!$C:$C,)),"-")</f>
        <v>-</v>
      </c>
      <c r="N17" s="39" t="str">
        <f>IFERROR(INDEX([1]AdventureDiscoveryGroup!$AB:$AB,MATCH(표9[[#This Row],[마을]],[1]AdventureDiscoveryGroup!$C:$C,)),"-")</f>
        <v>-</v>
      </c>
    </row>
    <row r="18" spans="2:14" x14ac:dyDescent="0.3">
      <c r="B18" s="39" t="str">
        <f>[1]Village!B24</f>
        <v>말라가시인의 마을</v>
      </c>
      <c r="C18" s="39" t="str">
        <f>IFERROR(VLOOKUP(표9[[#This Row],[마을]],[3]!표8[[이름]:[선단 LV]],6,FALSE),"-")</f>
        <v>-</v>
      </c>
      <c r="D18" s="39" t="str">
        <f>IFERROR(VLOOKUP(표9[[#This Row],[마을]],[3]!표8[[이름]:[위도]],3,FALSE),"-")</f>
        <v>-</v>
      </c>
      <c r="E18" s="39" t="str">
        <f>IFERROR(VLOOKUP(표9[[#This Row],[마을]],[3]!표8[[이름]:[위도]],2,FALSE),"-")</f>
        <v>-</v>
      </c>
      <c r="F18" s="39" t="str">
        <f>IFERROR(INDEX([1]AdventureDiscoveryGroup!$D:$D,MATCH(표9[[#This Row],[마을]],[1]AdventureDiscoveryGroup!$C:$C,)),"-")</f>
        <v>-</v>
      </c>
      <c r="G18" s="39" t="str">
        <f>IFERROR(INDEX([1]AdventureDiscoveryGroup!$G:$G,MATCH(표9[[#This Row],[마을]],[1]AdventureDiscoveryGroup!$C:$C,)),"-")</f>
        <v>-</v>
      </c>
      <c r="H18" s="39" t="str">
        <f>IFERROR(INDEX([1]AdventureDiscoveryGroup!$J:$J,MATCH(표9[[#This Row],[마을]],[1]AdventureDiscoveryGroup!$C:$C,)),"-")</f>
        <v>-</v>
      </c>
      <c r="I18" s="39" t="str">
        <f>IFERROR(INDEX([1]AdventureDiscoveryGroup!$M:$M,MATCH(표9[[#This Row],[마을]],[1]AdventureDiscoveryGroup!$C:$C,)),"-")</f>
        <v>-</v>
      </c>
      <c r="J18" s="39" t="str">
        <f>IFERROR(INDEX([1]AdventureDiscoveryGroup!$P:$P,MATCH(표9[[#This Row],[마을]],[1]AdventureDiscoveryGroup!$C:$C,)),"-")</f>
        <v>-</v>
      </c>
      <c r="K18" s="39" t="str">
        <f>IFERROR(INDEX([1]AdventureDiscoveryGroup!$S:$S,MATCH(표9[[#This Row],[마을]],[1]AdventureDiscoveryGroup!$C:$C,)),"-")</f>
        <v>-</v>
      </c>
      <c r="L18" s="39" t="str">
        <f>IFERROR(INDEX([1]AdventureDiscoveryGroup!$V:$V,MATCH(표9[[#This Row],[마을]],[1]AdventureDiscoveryGroup!$C:$C,)),"-")</f>
        <v>-</v>
      </c>
      <c r="M18" s="39" t="str">
        <f>IFERROR(INDEX([1]AdventureDiscoveryGroup!$Y:$Y,MATCH(표9[[#This Row],[마을]],[1]AdventureDiscoveryGroup!$C:$C,)),"-")</f>
        <v>-</v>
      </c>
      <c r="N18" s="39" t="str">
        <f>IFERROR(INDEX([1]AdventureDiscoveryGroup!$AB:$AB,MATCH(표9[[#This Row],[마을]],[1]AdventureDiscoveryGroup!$C:$C,)),"-")</f>
        <v>-</v>
      </c>
    </row>
    <row r="19" spans="2:14" x14ac:dyDescent="0.3">
      <c r="B19" s="39" t="str">
        <f>[1]Village!B25</f>
        <v>인도양, 서쪽의 섬</v>
      </c>
      <c r="C19" s="39" t="str">
        <f>IFERROR(VLOOKUP(표9[[#This Row],[마을]],[3]!표8[[이름]:[선단 LV]],6,FALSE),"-")</f>
        <v>-</v>
      </c>
      <c r="D19" s="39" t="str">
        <f>IFERROR(VLOOKUP(표9[[#This Row],[마을]],[3]!표8[[이름]:[위도]],3,FALSE),"-")</f>
        <v>-</v>
      </c>
      <c r="E19" s="39" t="str">
        <f>IFERROR(VLOOKUP(표9[[#This Row],[마을]],[3]!표8[[이름]:[위도]],2,FALSE),"-")</f>
        <v>-</v>
      </c>
      <c r="F19" s="39" t="str">
        <f>IFERROR(INDEX([1]AdventureDiscoveryGroup!$D:$D,MATCH(표9[[#This Row],[마을]],[1]AdventureDiscoveryGroup!$C:$C,)),"-")</f>
        <v>-</v>
      </c>
      <c r="G19" s="39" t="str">
        <f>IFERROR(INDEX([1]AdventureDiscoveryGroup!$G:$G,MATCH(표9[[#This Row],[마을]],[1]AdventureDiscoveryGroup!$C:$C,)),"-")</f>
        <v>-</v>
      </c>
      <c r="H19" s="39" t="str">
        <f>IFERROR(INDEX([1]AdventureDiscoveryGroup!$J:$J,MATCH(표9[[#This Row],[마을]],[1]AdventureDiscoveryGroup!$C:$C,)),"-")</f>
        <v>-</v>
      </c>
      <c r="I19" s="39" t="str">
        <f>IFERROR(INDEX([1]AdventureDiscoveryGroup!$M:$M,MATCH(표9[[#This Row],[마을]],[1]AdventureDiscoveryGroup!$C:$C,)),"-")</f>
        <v>-</v>
      </c>
      <c r="J19" s="39" t="str">
        <f>IFERROR(INDEX([1]AdventureDiscoveryGroup!$P:$P,MATCH(표9[[#This Row],[마을]],[1]AdventureDiscoveryGroup!$C:$C,)),"-")</f>
        <v>-</v>
      </c>
      <c r="K19" s="39" t="str">
        <f>IFERROR(INDEX([1]AdventureDiscoveryGroup!$S:$S,MATCH(표9[[#This Row],[마을]],[1]AdventureDiscoveryGroup!$C:$C,)),"-")</f>
        <v>-</v>
      </c>
      <c r="L19" s="39" t="str">
        <f>IFERROR(INDEX([1]AdventureDiscoveryGroup!$V:$V,MATCH(표9[[#This Row],[마을]],[1]AdventureDiscoveryGroup!$C:$C,)),"-")</f>
        <v>-</v>
      </c>
      <c r="M19" s="39" t="str">
        <f>IFERROR(INDEX([1]AdventureDiscoveryGroup!$Y:$Y,MATCH(표9[[#This Row],[마을]],[1]AdventureDiscoveryGroup!$C:$C,)),"-")</f>
        <v>-</v>
      </c>
      <c r="N19" s="39" t="str">
        <f>IFERROR(INDEX([1]AdventureDiscoveryGroup!$AB:$AB,MATCH(표9[[#This Row],[마을]],[1]AdventureDiscoveryGroup!$C:$C,)),"-")</f>
        <v>-</v>
      </c>
    </row>
    <row r="20" spans="2:14" x14ac:dyDescent="0.3">
      <c r="B20" s="39" t="str">
        <f>[1]Village!B26</f>
        <v>대서양, 남쪽의 섬</v>
      </c>
      <c r="C20" s="39" t="str">
        <f>IFERROR(VLOOKUP(표9[[#This Row],[마을]],[3]!표8[[이름]:[선단 LV]],6,FALSE),"-")</f>
        <v>-</v>
      </c>
      <c r="D20" s="39" t="str">
        <f>IFERROR(VLOOKUP(표9[[#This Row],[마을]],[3]!표8[[이름]:[위도]],3,FALSE),"-")</f>
        <v>-</v>
      </c>
      <c r="E20" s="39" t="str">
        <f>IFERROR(VLOOKUP(표9[[#This Row],[마을]],[3]!표8[[이름]:[위도]],2,FALSE),"-")</f>
        <v>-</v>
      </c>
      <c r="F20" s="39" t="str">
        <f>IFERROR(INDEX([1]AdventureDiscoveryGroup!$D:$D,MATCH(표9[[#This Row],[마을]],[1]AdventureDiscoveryGroup!$C:$C,)),"-")</f>
        <v>-</v>
      </c>
      <c r="G20" s="39" t="str">
        <f>IFERROR(INDEX([1]AdventureDiscoveryGroup!$G:$G,MATCH(표9[[#This Row],[마을]],[1]AdventureDiscoveryGroup!$C:$C,)),"-")</f>
        <v>-</v>
      </c>
      <c r="H20" s="39" t="str">
        <f>IFERROR(INDEX([1]AdventureDiscoveryGroup!$J:$J,MATCH(표9[[#This Row],[마을]],[1]AdventureDiscoveryGroup!$C:$C,)),"-")</f>
        <v>-</v>
      </c>
      <c r="I20" s="39" t="str">
        <f>IFERROR(INDEX([1]AdventureDiscoveryGroup!$M:$M,MATCH(표9[[#This Row],[마을]],[1]AdventureDiscoveryGroup!$C:$C,)),"-")</f>
        <v>-</v>
      </c>
      <c r="J20" s="39" t="str">
        <f>IFERROR(INDEX([1]AdventureDiscoveryGroup!$P:$P,MATCH(표9[[#This Row],[마을]],[1]AdventureDiscoveryGroup!$C:$C,)),"-")</f>
        <v>-</v>
      </c>
      <c r="K20" s="39" t="str">
        <f>IFERROR(INDEX([1]AdventureDiscoveryGroup!$S:$S,MATCH(표9[[#This Row],[마을]],[1]AdventureDiscoveryGroup!$C:$C,)),"-")</f>
        <v>-</v>
      </c>
      <c r="L20" s="39" t="str">
        <f>IFERROR(INDEX([1]AdventureDiscoveryGroup!$V:$V,MATCH(표9[[#This Row],[마을]],[1]AdventureDiscoveryGroup!$C:$C,)),"-")</f>
        <v>-</v>
      </c>
      <c r="M20" s="39" t="str">
        <f>IFERROR(INDEX([1]AdventureDiscoveryGroup!$Y:$Y,MATCH(표9[[#This Row],[마을]],[1]AdventureDiscoveryGroup!$C:$C,)),"-")</f>
        <v>-</v>
      </c>
      <c r="N20" s="39" t="str">
        <f>IFERROR(INDEX([1]AdventureDiscoveryGroup!$AB:$AB,MATCH(표9[[#This Row],[마을]],[1]AdventureDiscoveryGroup!$C:$C,)),"-")</f>
        <v>-</v>
      </c>
    </row>
    <row r="21" spans="2:14" x14ac:dyDescent="0.3">
      <c r="B21" s="39" t="str">
        <f>[1]Village!B27</f>
        <v>과라니족의 마을</v>
      </c>
      <c r="C21" s="39" t="str">
        <f>IFERROR(VLOOKUP(표9[[#This Row],[마을]],[3]!표8[[이름]:[선단 LV]],6,FALSE),"-")</f>
        <v>-</v>
      </c>
      <c r="D21" s="39" t="str">
        <f>IFERROR(VLOOKUP(표9[[#This Row],[마을]],[3]!표8[[이름]:[위도]],3,FALSE),"-")</f>
        <v>-</v>
      </c>
      <c r="E21" s="39" t="str">
        <f>IFERROR(VLOOKUP(표9[[#This Row],[마을]],[3]!표8[[이름]:[위도]],2,FALSE),"-")</f>
        <v>-</v>
      </c>
      <c r="F21" s="39" t="str">
        <f>IFERROR(INDEX([1]AdventureDiscoveryGroup!$D:$D,MATCH(표9[[#This Row],[마을]],[1]AdventureDiscoveryGroup!$C:$C,)),"-")</f>
        <v>-</v>
      </c>
      <c r="G21" s="39" t="str">
        <f>IFERROR(INDEX([1]AdventureDiscoveryGroup!$G:$G,MATCH(표9[[#This Row],[마을]],[1]AdventureDiscoveryGroup!$C:$C,)),"-")</f>
        <v>-</v>
      </c>
      <c r="H21" s="39" t="str">
        <f>IFERROR(INDEX([1]AdventureDiscoveryGroup!$J:$J,MATCH(표9[[#This Row],[마을]],[1]AdventureDiscoveryGroup!$C:$C,)),"-")</f>
        <v>-</v>
      </c>
      <c r="I21" s="39" t="str">
        <f>IFERROR(INDEX([1]AdventureDiscoveryGroup!$M:$M,MATCH(표9[[#This Row],[마을]],[1]AdventureDiscoveryGroup!$C:$C,)),"-")</f>
        <v>-</v>
      </c>
      <c r="J21" s="39" t="str">
        <f>IFERROR(INDEX([1]AdventureDiscoveryGroup!$P:$P,MATCH(표9[[#This Row],[마을]],[1]AdventureDiscoveryGroup!$C:$C,)),"-")</f>
        <v>-</v>
      </c>
      <c r="K21" s="39" t="str">
        <f>IFERROR(INDEX([1]AdventureDiscoveryGroup!$S:$S,MATCH(표9[[#This Row],[마을]],[1]AdventureDiscoveryGroup!$C:$C,)),"-")</f>
        <v>-</v>
      </c>
      <c r="L21" s="39" t="str">
        <f>IFERROR(INDEX([1]AdventureDiscoveryGroup!$V:$V,MATCH(표9[[#This Row],[마을]],[1]AdventureDiscoveryGroup!$C:$C,)),"-")</f>
        <v>-</v>
      </c>
      <c r="M21" s="39" t="str">
        <f>IFERROR(INDEX([1]AdventureDiscoveryGroup!$Y:$Y,MATCH(표9[[#This Row],[마을]],[1]AdventureDiscoveryGroup!$C:$C,)),"-")</f>
        <v>-</v>
      </c>
      <c r="N21" s="39" t="str">
        <f>IFERROR(INDEX([1]AdventureDiscoveryGroup!$AB:$AB,MATCH(표9[[#This Row],[마을]],[1]AdventureDiscoveryGroup!$C:$C,)),"-")</f>
        <v>-</v>
      </c>
    </row>
    <row r="22" spans="2:14" x14ac:dyDescent="0.3">
      <c r="B22" s="39" t="str">
        <f>[1]Village!B28</f>
        <v>보로로족의 마을</v>
      </c>
      <c r="C22" s="39" t="str">
        <f>IFERROR(VLOOKUP(표9[[#This Row],[마을]],[3]!표8[[이름]:[선단 LV]],6,FALSE),"-")</f>
        <v>-</v>
      </c>
      <c r="D22" s="39" t="str">
        <f>IFERROR(VLOOKUP(표9[[#This Row],[마을]],[3]!표8[[이름]:[위도]],3,FALSE),"-")</f>
        <v>-</v>
      </c>
      <c r="E22" s="39" t="str">
        <f>IFERROR(VLOOKUP(표9[[#This Row],[마을]],[3]!표8[[이름]:[위도]],2,FALSE),"-")</f>
        <v>-</v>
      </c>
      <c r="F22" s="39" t="str">
        <f>IFERROR(INDEX([1]AdventureDiscoveryGroup!$D:$D,MATCH(표9[[#This Row],[마을]],[1]AdventureDiscoveryGroup!$C:$C,)),"-")</f>
        <v>-</v>
      </c>
      <c r="G22" s="39" t="str">
        <f>IFERROR(INDEX([1]AdventureDiscoveryGroup!$G:$G,MATCH(표9[[#This Row],[마을]],[1]AdventureDiscoveryGroup!$C:$C,)),"-")</f>
        <v>-</v>
      </c>
      <c r="H22" s="39" t="str">
        <f>IFERROR(INDEX([1]AdventureDiscoveryGroup!$J:$J,MATCH(표9[[#This Row],[마을]],[1]AdventureDiscoveryGroup!$C:$C,)),"-")</f>
        <v>-</v>
      </c>
      <c r="I22" s="39" t="str">
        <f>IFERROR(INDEX([1]AdventureDiscoveryGroup!$M:$M,MATCH(표9[[#This Row],[마을]],[1]AdventureDiscoveryGroup!$C:$C,)),"-")</f>
        <v>-</v>
      </c>
      <c r="J22" s="39" t="str">
        <f>IFERROR(INDEX([1]AdventureDiscoveryGroup!$P:$P,MATCH(표9[[#This Row],[마을]],[1]AdventureDiscoveryGroup!$C:$C,)),"-")</f>
        <v>-</v>
      </c>
      <c r="K22" s="39" t="str">
        <f>IFERROR(INDEX([1]AdventureDiscoveryGroup!$S:$S,MATCH(표9[[#This Row],[마을]],[1]AdventureDiscoveryGroup!$C:$C,)),"-")</f>
        <v>-</v>
      </c>
      <c r="L22" s="39" t="str">
        <f>IFERROR(INDEX([1]AdventureDiscoveryGroup!$V:$V,MATCH(표9[[#This Row],[마을]],[1]AdventureDiscoveryGroup!$C:$C,)),"-")</f>
        <v>-</v>
      </c>
      <c r="M22" s="39" t="str">
        <f>IFERROR(INDEX([1]AdventureDiscoveryGroup!$Y:$Y,MATCH(표9[[#This Row],[마을]],[1]AdventureDiscoveryGroup!$C:$C,)),"-")</f>
        <v>-</v>
      </c>
      <c r="N22" s="39" t="str">
        <f>IFERROR(INDEX([1]AdventureDiscoveryGroup!$AB:$AB,MATCH(표9[[#This Row],[마을]],[1]AdventureDiscoveryGroup!$C:$C,)),"-")</f>
        <v>-</v>
      </c>
    </row>
    <row r="23" spans="2:14" x14ac:dyDescent="0.3">
      <c r="B23" s="39" t="str">
        <f>[1]Village!B29</f>
        <v>시리오노족의 마을</v>
      </c>
      <c r="C23" s="39" t="str">
        <f>IFERROR(VLOOKUP(표9[[#This Row],[마을]],[3]!표8[[이름]:[선단 LV]],6,FALSE),"-")</f>
        <v>-</v>
      </c>
      <c r="D23" s="39" t="str">
        <f>IFERROR(VLOOKUP(표9[[#This Row],[마을]],[3]!표8[[이름]:[위도]],3,FALSE),"-")</f>
        <v>-</v>
      </c>
      <c r="E23" s="39" t="str">
        <f>IFERROR(VLOOKUP(표9[[#This Row],[마을]],[3]!표8[[이름]:[위도]],2,FALSE),"-")</f>
        <v>-</v>
      </c>
      <c r="F23" s="39" t="str">
        <f>IFERROR(INDEX([1]AdventureDiscoveryGroup!$D:$D,MATCH(표9[[#This Row],[마을]],[1]AdventureDiscoveryGroup!$C:$C,)),"-")</f>
        <v>-</v>
      </c>
      <c r="G23" s="39" t="str">
        <f>IFERROR(INDEX([1]AdventureDiscoveryGroup!$G:$G,MATCH(표9[[#This Row],[마을]],[1]AdventureDiscoveryGroup!$C:$C,)),"-")</f>
        <v>-</v>
      </c>
      <c r="H23" s="39" t="str">
        <f>IFERROR(INDEX([1]AdventureDiscoveryGroup!$J:$J,MATCH(표9[[#This Row],[마을]],[1]AdventureDiscoveryGroup!$C:$C,)),"-")</f>
        <v>-</v>
      </c>
      <c r="I23" s="39" t="str">
        <f>IFERROR(INDEX([1]AdventureDiscoveryGroup!$M:$M,MATCH(표9[[#This Row],[마을]],[1]AdventureDiscoveryGroup!$C:$C,)),"-")</f>
        <v>-</v>
      </c>
      <c r="J23" s="39" t="str">
        <f>IFERROR(INDEX([1]AdventureDiscoveryGroup!$P:$P,MATCH(표9[[#This Row],[마을]],[1]AdventureDiscoveryGroup!$C:$C,)),"-")</f>
        <v>-</v>
      </c>
      <c r="K23" s="39" t="str">
        <f>IFERROR(INDEX([1]AdventureDiscoveryGroup!$S:$S,MATCH(표9[[#This Row],[마을]],[1]AdventureDiscoveryGroup!$C:$C,)),"-")</f>
        <v>-</v>
      </c>
      <c r="L23" s="39" t="str">
        <f>IFERROR(INDEX([1]AdventureDiscoveryGroup!$V:$V,MATCH(표9[[#This Row],[마을]],[1]AdventureDiscoveryGroup!$C:$C,)),"-")</f>
        <v>-</v>
      </c>
      <c r="M23" s="39" t="str">
        <f>IFERROR(INDEX([1]AdventureDiscoveryGroup!$Y:$Y,MATCH(표9[[#This Row],[마을]],[1]AdventureDiscoveryGroup!$C:$C,)),"-")</f>
        <v>-</v>
      </c>
      <c r="N23" s="39" t="str">
        <f>IFERROR(INDEX([1]AdventureDiscoveryGroup!$AB:$AB,MATCH(표9[[#This Row],[마을]],[1]AdventureDiscoveryGroup!$C:$C,)),"-")</f>
        <v>-</v>
      </c>
    </row>
    <row r="24" spans="2:14" x14ac:dyDescent="0.3">
      <c r="B24" s="39" t="str">
        <f>[1]Village!B30</f>
        <v>케추아족의 마을</v>
      </c>
      <c r="C24" s="39" t="str">
        <f>IFERROR(VLOOKUP(표9[[#This Row],[마을]],[3]!표8[[이름]:[선단 LV]],6,FALSE),"-")</f>
        <v>-</v>
      </c>
      <c r="D24" s="39" t="str">
        <f>IFERROR(VLOOKUP(표9[[#This Row],[마을]],[3]!표8[[이름]:[위도]],3,FALSE),"-")</f>
        <v>-</v>
      </c>
      <c r="E24" s="39" t="str">
        <f>IFERROR(VLOOKUP(표9[[#This Row],[마을]],[3]!표8[[이름]:[위도]],2,FALSE),"-")</f>
        <v>-</v>
      </c>
      <c r="F24" s="39" t="str">
        <f>IFERROR(INDEX([1]AdventureDiscoveryGroup!$D:$D,MATCH(표9[[#This Row],[마을]],[1]AdventureDiscoveryGroup!$C:$C,)),"-")</f>
        <v>-</v>
      </c>
      <c r="G24" s="39" t="str">
        <f>IFERROR(INDEX([1]AdventureDiscoveryGroup!$G:$G,MATCH(표9[[#This Row],[마을]],[1]AdventureDiscoveryGroup!$C:$C,)),"-")</f>
        <v>-</v>
      </c>
      <c r="H24" s="39" t="str">
        <f>IFERROR(INDEX([1]AdventureDiscoveryGroup!$J:$J,MATCH(표9[[#This Row],[마을]],[1]AdventureDiscoveryGroup!$C:$C,)),"-")</f>
        <v>-</v>
      </c>
      <c r="I24" s="39" t="str">
        <f>IFERROR(INDEX([1]AdventureDiscoveryGroup!$M:$M,MATCH(표9[[#This Row],[마을]],[1]AdventureDiscoveryGroup!$C:$C,)),"-")</f>
        <v>-</v>
      </c>
      <c r="J24" s="39" t="str">
        <f>IFERROR(INDEX([1]AdventureDiscoveryGroup!$P:$P,MATCH(표9[[#This Row],[마을]],[1]AdventureDiscoveryGroup!$C:$C,)),"-")</f>
        <v>-</v>
      </c>
      <c r="K24" s="39" t="str">
        <f>IFERROR(INDEX([1]AdventureDiscoveryGroup!$S:$S,MATCH(표9[[#This Row],[마을]],[1]AdventureDiscoveryGroup!$C:$C,)),"-")</f>
        <v>-</v>
      </c>
      <c r="L24" s="39" t="str">
        <f>IFERROR(INDEX([1]AdventureDiscoveryGroup!$V:$V,MATCH(표9[[#This Row],[마을]],[1]AdventureDiscoveryGroup!$C:$C,)),"-")</f>
        <v>-</v>
      </c>
      <c r="M24" s="39" t="str">
        <f>IFERROR(INDEX([1]AdventureDiscoveryGroup!$Y:$Y,MATCH(표9[[#This Row],[마을]],[1]AdventureDiscoveryGroup!$C:$C,)),"-")</f>
        <v>-</v>
      </c>
      <c r="N24" s="39" t="str">
        <f>IFERROR(INDEX([1]AdventureDiscoveryGroup!$AB:$AB,MATCH(표9[[#This Row],[마을]],[1]AdventureDiscoveryGroup!$C:$C,)),"-")</f>
        <v>-</v>
      </c>
    </row>
    <row r="25" spans="2:14" x14ac:dyDescent="0.3">
      <c r="B25" s="39" t="str">
        <f>[1]Village!B31</f>
        <v>히바로족의 마을</v>
      </c>
      <c r="C25" s="39" t="str">
        <f>IFERROR(VLOOKUP(표9[[#This Row],[마을]],[3]!표8[[이름]:[선단 LV]],6,FALSE),"-")</f>
        <v>-</v>
      </c>
      <c r="D25" s="39" t="str">
        <f>IFERROR(VLOOKUP(표9[[#This Row],[마을]],[3]!표8[[이름]:[위도]],3,FALSE),"-")</f>
        <v>-</v>
      </c>
      <c r="E25" s="39" t="str">
        <f>IFERROR(VLOOKUP(표9[[#This Row],[마을]],[3]!표8[[이름]:[위도]],2,FALSE),"-")</f>
        <v>-</v>
      </c>
      <c r="F25" s="39" t="str">
        <f>IFERROR(INDEX([1]AdventureDiscoveryGroup!$D:$D,MATCH(표9[[#This Row],[마을]],[1]AdventureDiscoveryGroup!$C:$C,)),"-")</f>
        <v>-</v>
      </c>
      <c r="G25" s="39" t="str">
        <f>IFERROR(INDEX([1]AdventureDiscoveryGroup!$G:$G,MATCH(표9[[#This Row],[마을]],[1]AdventureDiscoveryGroup!$C:$C,)),"-")</f>
        <v>-</v>
      </c>
      <c r="H25" s="39" t="str">
        <f>IFERROR(INDEX([1]AdventureDiscoveryGroup!$J:$J,MATCH(표9[[#This Row],[마을]],[1]AdventureDiscoveryGroup!$C:$C,)),"-")</f>
        <v>-</v>
      </c>
      <c r="I25" s="39" t="str">
        <f>IFERROR(INDEX([1]AdventureDiscoveryGroup!$M:$M,MATCH(표9[[#This Row],[마을]],[1]AdventureDiscoveryGroup!$C:$C,)),"-")</f>
        <v>-</v>
      </c>
      <c r="J25" s="39" t="str">
        <f>IFERROR(INDEX([1]AdventureDiscoveryGroup!$P:$P,MATCH(표9[[#This Row],[마을]],[1]AdventureDiscoveryGroup!$C:$C,)),"-")</f>
        <v>-</v>
      </c>
      <c r="K25" s="39" t="str">
        <f>IFERROR(INDEX([1]AdventureDiscoveryGroup!$S:$S,MATCH(표9[[#This Row],[마을]],[1]AdventureDiscoveryGroup!$C:$C,)),"-")</f>
        <v>-</v>
      </c>
      <c r="L25" s="39" t="str">
        <f>IFERROR(INDEX([1]AdventureDiscoveryGroup!$V:$V,MATCH(표9[[#This Row],[마을]],[1]AdventureDiscoveryGroup!$C:$C,)),"-")</f>
        <v>-</v>
      </c>
      <c r="M25" s="39" t="str">
        <f>IFERROR(INDEX([1]AdventureDiscoveryGroup!$Y:$Y,MATCH(표9[[#This Row],[마을]],[1]AdventureDiscoveryGroup!$C:$C,)),"-")</f>
        <v>-</v>
      </c>
      <c r="N25" s="39" t="str">
        <f>IFERROR(INDEX([1]AdventureDiscoveryGroup!$AB:$AB,MATCH(표9[[#This Row],[마을]],[1]AdventureDiscoveryGroup!$C:$C,)),"-")</f>
        <v>-</v>
      </c>
    </row>
    <row r="26" spans="2:14" x14ac:dyDescent="0.3">
      <c r="B26" s="39" t="str">
        <f>[1]Village!B32</f>
        <v>위토토족의 마을</v>
      </c>
      <c r="C26" s="39" t="str">
        <f>IFERROR(VLOOKUP(표9[[#This Row],[마을]],[3]!표8[[이름]:[선단 LV]],6,FALSE),"-")</f>
        <v>-</v>
      </c>
      <c r="D26" s="39" t="str">
        <f>IFERROR(VLOOKUP(표9[[#This Row],[마을]],[3]!표8[[이름]:[위도]],3,FALSE),"-")</f>
        <v>-</v>
      </c>
      <c r="E26" s="39" t="str">
        <f>IFERROR(VLOOKUP(표9[[#This Row],[마을]],[3]!표8[[이름]:[위도]],2,FALSE),"-")</f>
        <v>-</v>
      </c>
      <c r="F26" s="39" t="str">
        <f>IFERROR(INDEX([1]AdventureDiscoveryGroup!$D:$D,MATCH(표9[[#This Row],[마을]],[1]AdventureDiscoveryGroup!$C:$C,)),"-")</f>
        <v>-</v>
      </c>
      <c r="G26" s="39" t="str">
        <f>IFERROR(INDEX([1]AdventureDiscoveryGroup!$G:$G,MATCH(표9[[#This Row],[마을]],[1]AdventureDiscoveryGroup!$C:$C,)),"-")</f>
        <v>-</v>
      </c>
      <c r="H26" s="39" t="str">
        <f>IFERROR(INDEX([1]AdventureDiscoveryGroup!$J:$J,MATCH(표9[[#This Row],[마을]],[1]AdventureDiscoveryGroup!$C:$C,)),"-")</f>
        <v>-</v>
      </c>
      <c r="I26" s="39" t="str">
        <f>IFERROR(INDEX([1]AdventureDiscoveryGroup!$M:$M,MATCH(표9[[#This Row],[마을]],[1]AdventureDiscoveryGroup!$C:$C,)),"-")</f>
        <v>-</v>
      </c>
      <c r="J26" s="39" t="str">
        <f>IFERROR(INDEX([1]AdventureDiscoveryGroup!$P:$P,MATCH(표9[[#This Row],[마을]],[1]AdventureDiscoveryGroup!$C:$C,)),"-")</f>
        <v>-</v>
      </c>
      <c r="K26" s="39" t="str">
        <f>IFERROR(INDEX([1]AdventureDiscoveryGroup!$S:$S,MATCH(표9[[#This Row],[마을]],[1]AdventureDiscoveryGroup!$C:$C,)),"-")</f>
        <v>-</v>
      </c>
      <c r="L26" s="39" t="str">
        <f>IFERROR(INDEX([1]AdventureDiscoveryGroup!$V:$V,MATCH(표9[[#This Row],[마을]],[1]AdventureDiscoveryGroup!$C:$C,)),"-")</f>
        <v>-</v>
      </c>
      <c r="M26" s="39" t="str">
        <f>IFERROR(INDEX([1]AdventureDiscoveryGroup!$Y:$Y,MATCH(표9[[#This Row],[마을]],[1]AdventureDiscoveryGroup!$C:$C,)),"-")</f>
        <v>-</v>
      </c>
      <c r="N26" s="39" t="str">
        <f>IFERROR(INDEX([1]AdventureDiscoveryGroup!$AB:$AB,MATCH(표9[[#This Row],[마을]],[1]AdventureDiscoveryGroup!$C:$C,)),"-")</f>
        <v>-</v>
      </c>
    </row>
    <row r="27" spans="2:14" x14ac:dyDescent="0.3">
      <c r="B27" s="39" t="str">
        <f>[1]Village!B33</f>
        <v>투카노족의 마을</v>
      </c>
      <c r="C27" s="39" t="str">
        <f>IFERROR(VLOOKUP(표9[[#This Row],[마을]],[3]!표8[[이름]:[선단 LV]],6,FALSE),"-")</f>
        <v>-</v>
      </c>
      <c r="D27" s="39" t="str">
        <f>IFERROR(VLOOKUP(표9[[#This Row],[마을]],[3]!표8[[이름]:[위도]],3,FALSE),"-")</f>
        <v>-</v>
      </c>
      <c r="E27" s="39" t="str">
        <f>IFERROR(VLOOKUP(표9[[#This Row],[마을]],[3]!표8[[이름]:[위도]],2,FALSE),"-")</f>
        <v>-</v>
      </c>
      <c r="F27" s="39" t="str">
        <f>IFERROR(INDEX([1]AdventureDiscoveryGroup!$D:$D,MATCH(표9[[#This Row],[마을]],[1]AdventureDiscoveryGroup!$C:$C,)),"-")</f>
        <v>-</v>
      </c>
      <c r="G27" s="39" t="str">
        <f>IFERROR(INDEX([1]AdventureDiscoveryGroup!$G:$G,MATCH(표9[[#This Row],[마을]],[1]AdventureDiscoveryGroup!$C:$C,)),"-")</f>
        <v>-</v>
      </c>
      <c r="H27" s="39" t="str">
        <f>IFERROR(INDEX([1]AdventureDiscoveryGroup!$J:$J,MATCH(표9[[#This Row],[마을]],[1]AdventureDiscoveryGroup!$C:$C,)),"-")</f>
        <v>-</v>
      </c>
      <c r="I27" s="39" t="str">
        <f>IFERROR(INDEX([1]AdventureDiscoveryGroup!$M:$M,MATCH(표9[[#This Row],[마을]],[1]AdventureDiscoveryGroup!$C:$C,)),"-")</f>
        <v>-</v>
      </c>
      <c r="J27" s="39" t="str">
        <f>IFERROR(INDEX([1]AdventureDiscoveryGroup!$P:$P,MATCH(표9[[#This Row],[마을]],[1]AdventureDiscoveryGroup!$C:$C,)),"-")</f>
        <v>-</v>
      </c>
      <c r="K27" s="39" t="str">
        <f>IFERROR(INDEX([1]AdventureDiscoveryGroup!$S:$S,MATCH(표9[[#This Row],[마을]],[1]AdventureDiscoveryGroup!$C:$C,)),"-")</f>
        <v>-</v>
      </c>
      <c r="L27" s="39" t="str">
        <f>IFERROR(INDEX([1]AdventureDiscoveryGroup!$V:$V,MATCH(표9[[#This Row],[마을]],[1]AdventureDiscoveryGroup!$C:$C,)),"-")</f>
        <v>-</v>
      </c>
      <c r="M27" s="39" t="str">
        <f>IFERROR(INDEX([1]AdventureDiscoveryGroup!$Y:$Y,MATCH(표9[[#This Row],[마을]],[1]AdventureDiscoveryGroup!$C:$C,)),"-")</f>
        <v>-</v>
      </c>
      <c r="N27" s="39" t="str">
        <f>IFERROR(INDEX([1]AdventureDiscoveryGroup!$AB:$AB,MATCH(표9[[#This Row],[마을]],[1]AdventureDiscoveryGroup!$C:$C,)),"-")</f>
        <v>-</v>
      </c>
    </row>
    <row r="28" spans="2:14" x14ac:dyDescent="0.3">
      <c r="B28" s="39" t="str">
        <f>[1]Village!B34</f>
        <v>무라족의 마을</v>
      </c>
      <c r="C28" s="39" t="str">
        <f>IFERROR(VLOOKUP(표9[[#This Row],[마을]],[3]!표8[[이름]:[선단 LV]],6,FALSE),"-")</f>
        <v>-</v>
      </c>
      <c r="D28" s="39" t="str">
        <f>IFERROR(VLOOKUP(표9[[#This Row],[마을]],[3]!표8[[이름]:[위도]],3,FALSE),"-")</f>
        <v>-</v>
      </c>
      <c r="E28" s="39" t="str">
        <f>IFERROR(VLOOKUP(표9[[#This Row],[마을]],[3]!표8[[이름]:[위도]],2,FALSE),"-")</f>
        <v>-</v>
      </c>
      <c r="F28" s="39" t="str">
        <f>IFERROR(INDEX([1]AdventureDiscoveryGroup!$D:$D,MATCH(표9[[#This Row],[마을]],[1]AdventureDiscoveryGroup!$C:$C,)),"-")</f>
        <v>-</v>
      </c>
      <c r="G28" s="39" t="str">
        <f>IFERROR(INDEX([1]AdventureDiscoveryGroup!$G:$G,MATCH(표9[[#This Row],[마을]],[1]AdventureDiscoveryGroup!$C:$C,)),"-")</f>
        <v>-</v>
      </c>
      <c r="H28" s="39" t="str">
        <f>IFERROR(INDEX([1]AdventureDiscoveryGroup!$J:$J,MATCH(표9[[#This Row],[마을]],[1]AdventureDiscoveryGroup!$C:$C,)),"-")</f>
        <v>-</v>
      </c>
      <c r="I28" s="39" t="str">
        <f>IFERROR(INDEX([1]AdventureDiscoveryGroup!$M:$M,MATCH(표9[[#This Row],[마을]],[1]AdventureDiscoveryGroup!$C:$C,)),"-")</f>
        <v>-</v>
      </c>
      <c r="J28" s="39" t="str">
        <f>IFERROR(INDEX([1]AdventureDiscoveryGroup!$P:$P,MATCH(표9[[#This Row],[마을]],[1]AdventureDiscoveryGroup!$C:$C,)),"-")</f>
        <v>-</v>
      </c>
      <c r="K28" s="39" t="str">
        <f>IFERROR(INDEX([1]AdventureDiscoveryGroup!$S:$S,MATCH(표9[[#This Row],[마을]],[1]AdventureDiscoveryGroup!$C:$C,)),"-")</f>
        <v>-</v>
      </c>
      <c r="L28" s="39" t="str">
        <f>IFERROR(INDEX([1]AdventureDiscoveryGroup!$V:$V,MATCH(표9[[#This Row],[마을]],[1]AdventureDiscoveryGroup!$C:$C,)),"-")</f>
        <v>-</v>
      </c>
      <c r="M28" s="39" t="str">
        <f>IFERROR(INDEX([1]AdventureDiscoveryGroup!$Y:$Y,MATCH(표9[[#This Row],[마을]],[1]AdventureDiscoveryGroup!$C:$C,)),"-")</f>
        <v>-</v>
      </c>
      <c r="N28" s="39" t="str">
        <f>IFERROR(INDEX([1]AdventureDiscoveryGroup!$AB:$AB,MATCH(표9[[#This Row],[마을]],[1]AdventureDiscoveryGroup!$C:$C,)),"-")</f>
        <v>-</v>
      </c>
    </row>
    <row r="29" spans="2:14" x14ac:dyDescent="0.3">
      <c r="B29" s="39" t="str">
        <f>[1]Village!B35</f>
        <v>신대륙, 서쪽의 섬</v>
      </c>
      <c r="C29" s="39" t="str">
        <f>IFERROR(VLOOKUP(표9[[#This Row],[마을]],[3]!표8[[이름]:[선단 LV]],6,FALSE),"-")</f>
        <v>-</v>
      </c>
      <c r="D29" s="39" t="str">
        <f>IFERROR(VLOOKUP(표9[[#This Row],[마을]],[3]!표8[[이름]:[위도]],3,FALSE),"-")</f>
        <v>-</v>
      </c>
      <c r="E29" s="39" t="str">
        <f>IFERROR(VLOOKUP(표9[[#This Row],[마을]],[3]!표8[[이름]:[위도]],2,FALSE),"-")</f>
        <v>-</v>
      </c>
      <c r="F29" s="39" t="str">
        <f>IFERROR(INDEX([1]AdventureDiscoveryGroup!$D:$D,MATCH(표9[[#This Row],[마을]],[1]AdventureDiscoveryGroup!$C:$C,)),"-")</f>
        <v>-</v>
      </c>
      <c r="G29" s="39" t="str">
        <f>IFERROR(INDEX([1]AdventureDiscoveryGroup!$G:$G,MATCH(표9[[#This Row],[마을]],[1]AdventureDiscoveryGroup!$C:$C,)),"-")</f>
        <v>-</v>
      </c>
      <c r="H29" s="39" t="str">
        <f>IFERROR(INDEX([1]AdventureDiscoveryGroup!$J:$J,MATCH(표9[[#This Row],[마을]],[1]AdventureDiscoveryGroup!$C:$C,)),"-")</f>
        <v>-</v>
      </c>
      <c r="I29" s="39" t="str">
        <f>IFERROR(INDEX([1]AdventureDiscoveryGroup!$M:$M,MATCH(표9[[#This Row],[마을]],[1]AdventureDiscoveryGroup!$C:$C,)),"-")</f>
        <v>-</v>
      </c>
      <c r="J29" s="39" t="str">
        <f>IFERROR(INDEX([1]AdventureDiscoveryGroup!$P:$P,MATCH(표9[[#This Row],[마을]],[1]AdventureDiscoveryGroup!$C:$C,)),"-")</f>
        <v>-</v>
      </c>
      <c r="K29" s="39" t="str">
        <f>IFERROR(INDEX([1]AdventureDiscoveryGroup!$S:$S,MATCH(표9[[#This Row],[마을]],[1]AdventureDiscoveryGroup!$C:$C,)),"-")</f>
        <v>-</v>
      </c>
      <c r="L29" s="39" t="str">
        <f>IFERROR(INDEX([1]AdventureDiscoveryGroup!$V:$V,MATCH(표9[[#This Row],[마을]],[1]AdventureDiscoveryGroup!$C:$C,)),"-")</f>
        <v>-</v>
      </c>
      <c r="M29" s="39" t="str">
        <f>IFERROR(INDEX([1]AdventureDiscoveryGroup!$Y:$Y,MATCH(표9[[#This Row],[마을]],[1]AdventureDiscoveryGroup!$C:$C,)),"-")</f>
        <v>-</v>
      </c>
      <c r="N29" s="39" t="str">
        <f>IFERROR(INDEX([1]AdventureDiscoveryGroup!$AB:$AB,MATCH(표9[[#This Row],[마을]],[1]AdventureDiscoveryGroup!$C:$C,)),"-")</f>
        <v>-</v>
      </c>
    </row>
    <row r="30" spans="2:14" x14ac:dyDescent="0.3">
      <c r="B30" s="39" t="str">
        <f>[1]Village!B36</f>
        <v>긴 귀족의 마을</v>
      </c>
      <c r="C30" s="39" t="str">
        <f>IFERROR(VLOOKUP(표9[[#This Row],[마을]],[3]!표8[[이름]:[선단 LV]],6,FALSE),"-")</f>
        <v>-</v>
      </c>
      <c r="D30" s="39" t="str">
        <f>IFERROR(VLOOKUP(표9[[#This Row],[마을]],[3]!표8[[이름]:[위도]],3,FALSE),"-")</f>
        <v>-</v>
      </c>
      <c r="E30" s="39" t="str">
        <f>IFERROR(VLOOKUP(표9[[#This Row],[마을]],[3]!표8[[이름]:[위도]],2,FALSE),"-")</f>
        <v>-</v>
      </c>
      <c r="F30" s="39" t="str">
        <f>IFERROR(INDEX([1]AdventureDiscoveryGroup!$D:$D,MATCH(표9[[#This Row],[마을]],[1]AdventureDiscoveryGroup!$C:$C,)),"-")</f>
        <v>-</v>
      </c>
      <c r="G30" s="39" t="str">
        <f>IFERROR(INDEX([1]AdventureDiscoveryGroup!$G:$G,MATCH(표9[[#This Row],[마을]],[1]AdventureDiscoveryGroup!$C:$C,)),"-")</f>
        <v>-</v>
      </c>
      <c r="H30" s="39" t="str">
        <f>IFERROR(INDEX([1]AdventureDiscoveryGroup!$J:$J,MATCH(표9[[#This Row],[마을]],[1]AdventureDiscoveryGroup!$C:$C,)),"-")</f>
        <v>-</v>
      </c>
      <c r="I30" s="39" t="str">
        <f>IFERROR(INDEX([1]AdventureDiscoveryGroup!$M:$M,MATCH(표9[[#This Row],[마을]],[1]AdventureDiscoveryGroup!$C:$C,)),"-")</f>
        <v>-</v>
      </c>
      <c r="J30" s="39" t="str">
        <f>IFERROR(INDEX([1]AdventureDiscoveryGroup!$P:$P,MATCH(표9[[#This Row],[마을]],[1]AdventureDiscoveryGroup!$C:$C,)),"-")</f>
        <v>-</v>
      </c>
      <c r="K30" s="39" t="str">
        <f>IFERROR(INDEX([1]AdventureDiscoveryGroup!$S:$S,MATCH(표9[[#This Row],[마을]],[1]AdventureDiscoveryGroup!$C:$C,)),"-")</f>
        <v>-</v>
      </c>
      <c r="L30" s="39" t="str">
        <f>IFERROR(INDEX([1]AdventureDiscoveryGroup!$V:$V,MATCH(표9[[#This Row],[마을]],[1]AdventureDiscoveryGroup!$C:$C,)),"-")</f>
        <v>-</v>
      </c>
      <c r="M30" s="39" t="str">
        <f>IFERROR(INDEX([1]AdventureDiscoveryGroup!$Y:$Y,MATCH(표9[[#This Row],[마을]],[1]AdventureDiscoveryGroup!$C:$C,)),"-")</f>
        <v>-</v>
      </c>
      <c r="N30" s="39" t="str">
        <f>IFERROR(INDEX([1]AdventureDiscoveryGroup!$AB:$AB,MATCH(표9[[#This Row],[마을]],[1]AdventureDiscoveryGroup!$C:$C,)),"-")</f>
        <v>-</v>
      </c>
    </row>
    <row r="31" spans="2:14" x14ac:dyDescent="0.3">
      <c r="B31" s="39" t="str">
        <f>[1]Village!B37</f>
        <v>코아우일테칸족의 마을</v>
      </c>
      <c r="C31" s="39" t="str">
        <f>IFERROR(VLOOKUP(표9[[#This Row],[마을]],[3]!표8[[이름]:[선단 LV]],6,FALSE),"-")</f>
        <v>-</v>
      </c>
      <c r="D31" s="39" t="str">
        <f>IFERROR(VLOOKUP(표9[[#This Row],[마을]],[3]!표8[[이름]:[위도]],3,FALSE),"-")</f>
        <v>-</v>
      </c>
      <c r="E31" s="39" t="str">
        <f>IFERROR(VLOOKUP(표9[[#This Row],[마을]],[3]!표8[[이름]:[위도]],2,FALSE),"-")</f>
        <v>-</v>
      </c>
      <c r="F31" s="39" t="str">
        <f>IFERROR(INDEX([1]AdventureDiscoveryGroup!$D:$D,MATCH(표9[[#This Row],[마을]],[1]AdventureDiscoveryGroup!$C:$C,)),"-")</f>
        <v>-</v>
      </c>
      <c r="G31" s="39" t="str">
        <f>IFERROR(INDEX([1]AdventureDiscoveryGroup!$G:$G,MATCH(표9[[#This Row],[마을]],[1]AdventureDiscoveryGroup!$C:$C,)),"-")</f>
        <v>-</v>
      </c>
      <c r="H31" s="39" t="str">
        <f>IFERROR(INDEX([1]AdventureDiscoveryGroup!$J:$J,MATCH(표9[[#This Row],[마을]],[1]AdventureDiscoveryGroup!$C:$C,)),"-")</f>
        <v>-</v>
      </c>
      <c r="I31" s="39" t="str">
        <f>IFERROR(INDEX([1]AdventureDiscoveryGroup!$M:$M,MATCH(표9[[#This Row],[마을]],[1]AdventureDiscoveryGroup!$C:$C,)),"-")</f>
        <v>-</v>
      </c>
      <c r="J31" s="39" t="str">
        <f>IFERROR(INDEX([1]AdventureDiscoveryGroup!$P:$P,MATCH(표9[[#This Row],[마을]],[1]AdventureDiscoveryGroup!$C:$C,)),"-")</f>
        <v>-</v>
      </c>
      <c r="K31" s="39" t="str">
        <f>IFERROR(INDEX([1]AdventureDiscoveryGroup!$S:$S,MATCH(표9[[#This Row],[마을]],[1]AdventureDiscoveryGroup!$C:$C,)),"-")</f>
        <v>-</v>
      </c>
      <c r="L31" s="39" t="str">
        <f>IFERROR(INDEX([1]AdventureDiscoveryGroup!$V:$V,MATCH(표9[[#This Row],[마을]],[1]AdventureDiscoveryGroup!$C:$C,)),"-")</f>
        <v>-</v>
      </c>
      <c r="M31" s="39" t="str">
        <f>IFERROR(INDEX([1]AdventureDiscoveryGroup!$Y:$Y,MATCH(표9[[#This Row],[마을]],[1]AdventureDiscoveryGroup!$C:$C,)),"-")</f>
        <v>-</v>
      </c>
      <c r="N31" s="39" t="str">
        <f>IFERROR(INDEX([1]AdventureDiscoveryGroup!$AB:$AB,MATCH(표9[[#This Row],[마을]],[1]AdventureDiscoveryGroup!$C:$C,)),"-")</f>
        <v>-</v>
      </c>
    </row>
    <row r="32" spans="2:14" x14ac:dyDescent="0.3">
      <c r="B32" s="39" t="str">
        <f>[1]Village!B38</f>
        <v>코만치족의 마을</v>
      </c>
      <c r="C32" s="39" t="str">
        <f>IFERROR(VLOOKUP(표9[[#This Row],[마을]],[3]!표8[[이름]:[선단 LV]],6,FALSE),"-")</f>
        <v>-</v>
      </c>
      <c r="D32" s="39" t="str">
        <f>IFERROR(VLOOKUP(표9[[#This Row],[마을]],[3]!표8[[이름]:[위도]],3,FALSE),"-")</f>
        <v>-</v>
      </c>
      <c r="E32" s="39" t="str">
        <f>IFERROR(VLOOKUP(표9[[#This Row],[마을]],[3]!표8[[이름]:[위도]],2,FALSE),"-")</f>
        <v>-</v>
      </c>
      <c r="F32" s="39" t="str">
        <f>IFERROR(INDEX([1]AdventureDiscoveryGroup!$D:$D,MATCH(표9[[#This Row],[마을]],[1]AdventureDiscoveryGroup!$C:$C,)),"-")</f>
        <v>-</v>
      </c>
      <c r="G32" s="39" t="str">
        <f>IFERROR(INDEX([1]AdventureDiscoveryGroup!$G:$G,MATCH(표9[[#This Row],[마을]],[1]AdventureDiscoveryGroup!$C:$C,)),"-")</f>
        <v>-</v>
      </c>
      <c r="H32" s="39" t="str">
        <f>IFERROR(INDEX([1]AdventureDiscoveryGroup!$J:$J,MATCH(표9[[#This Row],[마을]],[1]AdventureDiscoveryGroup!$C:$C,)),"-")</f>
        <v>-</v>
      </c>
      <c r="I32" s="39" t="str">
        <f>IFERROR(INDEX([1]AdventureDiscoveryGroup!$M:$M,MATCH(표9[[#This Row],[마을]],[1]AdventureDiscoveryGroup!$C:$C,)),"-")</f>
        <v>-</v>
      </c>
      <c r="J32" s="39" t="str">
        <f>IFERROR(INDEX([1]AdventureDiscoveryGroup!$P:$P,MATCH(표9[[#This Row],[마을]],[1]AdventureDiscoveryGroup!$C:$C,)),"-")</f>
        <v>-</v>
      </c>
      <c r="K32" s="39" t="str">
        <f>IFERROR(INDEX([1]AdventureDiscoveryGroup!$S:$S,MATCH(표9[[#This Row],[마을]],[1]AdventureDiscoveryGroup!$C:$C,)),"-")</f>
        <v>-</v>
      </c>
      <c r="L32" s="39" t="str">
        <f>IFERROR(INDEX([1]AdventureDiscoveryGroup!$V:$V,MATCH(표9[[#This Row],[마을]],[1]AdventureDiscoveryGroup!$C:$C,)),"-")</f>
        <v>-</v>
      </c>
      <c r="M32" s="39" t="str">
        <f>IFERROR(INDEX([1]AdventureDiscoveryGroup!$Y:$Y,MATCH(표9[[#This Row],[마을]],[1]AdventureDiscoveryGroup!$C:$C,)),"-")</f>
        <v>-</v>
      </c>
      <c r="N32" s="39" t="str">
        <f>IFERROR(INDEX([1]AdventureDiscoveryGroup!$AB:$AB,MATCH(표9[[#This Row],[마을]],[1]AdventureDiscoveryGroup!$C:$C,)),"-")</f>
        <v>-</v>
      </c>
    </row>
    <row r="33" spans="2:14" x14ac:dyDescent="0.3">
      <c r="B33" s="39" t="str">
        <f>[1]Village!B39</f>
        <v>아파치족의 마을</v>
      </c>
      <c r="C33" s="39" t="str">
        <f>IFERROR(VLOOKUP(표9[[#This Row],[마을]],[3]!표8[[이름]:[선단 LV]],6,FALSE),"-")</f>
        <v>-</v>
      </c>
      <c r="D33" s="39" t="str">
        <f>IFERROR(VLOOKUP(표9[[#This Row],[마을]],[3]!표8[[이름]:[위도]],3,FALSE),"-")</f>
        <v>-</v>
      </c>
      <c r="E33" s="39" t="str">
        <f>IFERROR(VLOOKUP(표9[[#This Row],[마을]],[3]!표8[[이름]:[위도]],2,FALSE),"-")</f>
        <v>-</v>
      </c>
      <c r="F33" s="39" t="str">
        <f>IFERROR(INDEX([1]AdventureDiscoveryGroup!$D:$D,MATCH(표9[[#This Row],[마을]],[1]AdventureDiscoveryGroup!$C:$C,)),"-")</f>
        <v>-</v>
      </c>
      <c r="G33" s="39" t="str">
        <f>IFERROR(INDEX([1]AdventureDiscoveryGroup!$G:$G,MATCH(표9[[#This Row],[마을]],[1]AdventureDiscoveryGroup!$C:$C,)),"-")</f>
        <v>-</v>
      </c>
      <c r="H33" s="39" t="str">
        <f>IFERROR(INDEX([1]AdventureDiscoveryGroup!$J:$J,MATCH(표9[[#This Row],[마을]],[1]AdventureDiscoveryGroup!$C:$C,)),"-")</f>
        <v>-</v>
      </c>
      <c r="I33" s="39" t="str">
        <f>IFERROR(INDEX([1]AdventureDiscoveryGroup!$M:$M,MATCH(표9[[#This Row],[마을]],[1]AdventureDiscoveryGroup!$C:$C,)),"-")</f>
        <v>-</v>
      </c>
      <c r="J33" s="39" t="str">
        <f>IFERROR(INDEX([1]AdventureDiscoveryGroup!$P:$P,MATCH(표9[[#This Row],[마을]],[1]AdventureDiscoveryGroup!$C:$C,)),"-")</f>
        <v>-</v>
      </c>
      <c r="K33" s="39" t="str">
        <f>IFERROR(INDEX([1]AdventureDiscoveryGroup!$S:$S,MATCH(표9[[#This Row],[마을]],[1]AdventureDiscoveryGroup!$C:$C,)),"-")</f>
        <v>-</v>
      </c>
      <c r="L33" s="39" t="str">
        <f>IFERROR(INDEX([1]AdventureDiscoveryGroup!$V:$V,MATCH(표9[[#This Row],[마을]],[1]AdventureDiscoveryGroup!$C:$C,)),"-")</f>
        <v>-</v>
      </c>
      <c r="M33" s="39" t="str">
        <f>IFERROR(INDEX([1]AdventureDiscoveryGroup!$Y:$Y,MATCH(표9[[#This Row],[마을]],[1]AdventureDiscoveryGroup!$C:$C,)),"-")</f>
        <v>-</v>
      </c>
      <c r="N33" s="39" t="str">
        <f>IFERROR(INDEX([1]AdventureDiscoveryGroup!$AB:$AB,MATCH(표9[[#This Row],[마을]],[1]AdventureDiscoveryGroup!$C:$C,)),"-")</f>
        <v>-</v>
      </c>
    </row>
    <row r="34" spans="2:14" x14ac:dyDescent="0.3">
      <c r="B34" s="39" t="str">
        <f>[1]Village!B40</f>
        <v>치누크족의 마을</v>
      </c>
      <c r="C34" s="39" t="str">
        <f>IFERROR(VLOOKUP(표9[[#This Row],[마을]],[3]!표8[[이름]:[선단 LV]],6,FALSE),"-")</f>
        <v>-</v>
      </c>
      <c r="D34" s="39" t="str">
        <f>IFERROR(VLOOKUP(표9[[#This Row],[마을]],[3]!표8[[이름]:[위도]],3,FALSE),"-")</f>
        <v>-</v>
      </c>
      <c r="E34" s="39" t="str">
        <f>IFERROR(VLOOKUP(표9[[#This Row],[마을]],[3]!표8[[이름]:[위도]],2,FALSE),"-")</f>
        <v>-</v>
      </c>
      <c r="F34" s="39" t="str">
        <f>IFERROR(INDEX([1]AdventureDiscoveryGroup!$D:$D,MATCH(표9[[#This Row],[마을]],[1]AdventureDiscoveryGroup!$C:$C,)),"-")</f>
        <v>-</v>
      </c>
      <c r="G34" s="39" t="str">
        <f>IFERROR(INDEX([1]AdventureDiscoveryGroup!$G:$G,MATCH(표9[[#This Row],[마을]],[1]AdventureDiscoveryGroup!$C:$C,)),"-")</f>
        <v>-</v>
      </c>
      <c r="H34" s="39" t="str">
        <f>IFERROR(INDEX([1]AdventureDiscoveryGroup!$J:$J,MATCH(표9[[#This Row],[마을]],[1]AdventureDiscoveryGroup!$C:$C,)),"-")</f>
        <v>-</v>
      </c>
      <c r="I34" s="39" t="str">
        <f>IFERROR(INDEX([1]AdventureDiscoveryGroup!$M:$M,MATCH(표9[[#This Row],[마을]],[1]AdventureDiscoveryGroup!$C:$C,)),"-")</f>
        <v>-</v>
      </c>
      <c r="J34" s="39" t="str">
        <f>IFERROR(INDEX([1]AdventureDiscoveryGroup!$P:$P,MATCH(표9[[#This Row],[마을]],[1]AdventureDiscoveryGroup!$C:$C,)),"-")</f>
        <v>-</v>
      </c>
      <c r="K34" s="39" t="str">
        <f>IFERROR(INDEX([1]AdventureDiscoveryGroup!$S:$S,MATCH(표9[[#This Row],[마을]],[1]AdventureDiscoveryGroup!$C:$C,)),"-")</f>
        <v>-</v>
      </c>
      <c r="L34" s="39" t="str">
        <f>IFERROR(INDEX([1]AdventureDiscoveryGroup!$V:$V,MATCH(표9[[#This Row],[마을]],[1]AdventureDiscoveryGroup!$C:$C,)),"-")</f>
        <v>-</v>
      </c>
      <c r="M34" s="39" t="str">
        <f>IFERROR(INDEX([1]AdventureDiscoveryGroup!$Y:$Y,MATCH(표9[[#This Row],[마을]],[1]AdventureDiscoveryGroup!$C:$C,)),"-")</f>
        <v>-</v>
      </c>
      <c r="N34" s="39" t="str">
        <f>IFERROR(INDEX([1]AdventureDiscoveryGroup!$AB:$AB,MATCH(표9[[#This Row],[마을]],[1]AdventureDiscoveryGroup!$C:$C,)),"-")</f>
        <v>-</v>
      </c>
    </row>
    <row r="35" spans="2:14" x14ac:dyDescent="0.3">
      <c r="B35" s="39" t="str">
        <f>[1]Village!B41</f>
        <v>샤이엔족의 마을</v>
      </c>
      <c r="C35" s="39" t="str">
        <f>IFERROR(VLOOKUP(표9[[#This Row],[마을]],[3]!표8[[이름]:[선단 LV]],6,FALSE),"-")</f>
        <v>-</v>
      </c>
      <c r="D35" s="39" t="str">
        <f>IFERROR(VLOOKUP(표9[[#This Row],[마을]],[3]!표8[[이름]:[위도]],3,FALSE),"-")</f>
        <v>-</v>
      </c>
      <c r="E35" s="39" t="str">
        <f>IFERROR(VLOOKUP(표9[[#This Row],[마을]],[3]!표8[[이름]:[위도]],2,FALSE),"-")</f>
        <v>-</v>
      </c>
      <c r="F35" s="39" t="str">
        <f>IFERROR(INDEX([1]AdventureDiscoveryGroup!$D:$D,MATCH(표9[[#This Row],[마을]],[1]AdventureDiscoveryGroup!$C:$C,)),"-")</f>
        <v>-</v>
      </c>
      <c r="G35" s="39" t="str">
        <f>IFERROR(INDEX([1]AdventureDiscoveryGroup!$G:$G,MATCH(표9[[#This Row],[마을]],[1]AdventureDiscoveryGroup!$C:$C,)),"-")</f>
        <v>-</v>
      </c>
      <c r="H35" s="39" t="str">
        <f>IFERROR(INDEX([1]AdventureDiscoveryGroup!$J:$J,MATCH(표9[[#This Row],[마을]],[1]AdventureDiscoveryGroup!$C:$C,)),"-")</f>
        <v>-</v>
      </c>
      <c r="I35" s="39" t="str">
        <f>IFERROR(INDEX([1]AdventureDiscoveryGroup!$M:$M,MATCH(표9[[#This Row],[마을]],[1]AdventureDiscoveryGroup!$C:$C,)),"-")</f>
        <v>-</v>
      </c>
      <c r="J35" s="39" t="str">
        <f>IFERROR(INDEX([1]AdventureDiscoveryGroup!$P:$P,MATCH(표9[[#This Row],[마을]],[1]AdventureDiscoveryGroup!$C:$C,)),"-")</f>
        <v>-</v>
      </c>
      <c r="K35" s="39" t="str">
        <f>IFERROR(INDEX([1]AdventureDiscoveryGroup!$S:$S,MATCH(표9[[#This Row],[마을]],[1]AdventureDiscoveryGroup!$C:$C,)),"-")</f>
        <v>-</v>
      </c>
      <c r="L35" s="39" t="str">
        <f>IFERROR(INDEX([1]AdventureDiscoveryGroup!$V:$V,MATCH(표9[[#This Row],[마을]],[1]AdventureDiscoveryGroup!$C:$C,)),"-")</f>
        <v>-</v>
      </c>
      <c r="M35" s="39" t="str">
        <f>IFERROR(INDEX([1]AdventureDiscoveryGroup!$Y:$Y,MATCH(표9[[#This Row],[마을]],[1]AdventureDiscoveryGroup!$C:$C,)),"-")</f>
        <v>-</v>
      </c>
      <c r="N35" s="39" t="str">
        <f>IFERROR(INDEX([1]AdventureDiscoveryGroup!$AB:$AB,MATCH(표9[[#This Row],[마을]],[1]AdventureDiscoveryGroup!$C:$C,)),"-")</f>
        <v>-</v>
      </c>
    </row>
    <row r="36" spans="2:14" x14ac:dyDescent="0.3">
      <c r="B36" s="39" t="str">
        <f>[1]Village!B42</f>
        <v>포니족의 마을</v>
      </c>
      <c r="C36" s="39" t="str">
        <f>IFERROR(VLOOKUP(표9[[#This Row],[마을]],[3]!표8[[이름]:[선단 LV]],6,FALSE),"-")</f>
        <v>-</v>
      </c>
      <c r="D36" s="39" t="str">
        <f>IFERROR(VLOOKUP(표9[[#This Row],[마을]],[3]!표8[[이름]:[위도]],3,FALSE),"-")</f>
        <v>-</v>
      </c>
      <c r="E36" s="39" t="str">
        <f>IFERROR(VLOOKUP(표9[[#This Row],[마을]],[3]!표8[[이름]:[위도]],2,FALSE),"-")</f>
        <v>-</v>
      </c>
      <c r="F36" s="39" t="str">
        <f>IFERROR(INDEX([1]AdventureDiscoveryGroup!$D:$D,MATCH(표9[[#This Row],[마을]],[1]AdventureDiscoveryGroup!$C:$C,)),"-")</f>
        <v>-</v>
      </c>
      <c r="G36" s="39" t="str">
        <f>IFERROR(INDEX([1]AdventureDiscoveryGroup!$G:$G,MATCH(표9[[#This Row],[마을]],[1]AdventureDiscoveryGroup!$C:$C,)),"-")</f>
        <v>-</v>
      </c>
      <c r="H36" s="39" t="str">
        <f>IFERROR(INDEX([1]AdventureDiscoveryGroup!$J:$J,MATCH(표9[[#This Row],[마을]],[1]AdventureDiscoveryGroup!$C:$C,)),"-")</f>
        <v>-</v>
      </c>
      <c r="I36" s="39" t="str">
        <f>IFERROR(INDEX([1]AdventureDiscoveryGroup!$M:$M,MATCH(표9[[#This Row],[마을]],[1]AdventureDiscoveryGroup!$C:$C,)),"-")</f>
        <v>-</v>
      </c>
      <c r="J36" s="39" t="str">
        <f>IFERROR(INDEX([1]AdventureDiscoveryGroup!$P:$P,MATCH(표9[[#This Row],[마을]],[1]AdventureDiscoveryGroup!$C:$C,)),"-")</f>
        <v>-</v>
      </c>
      <c r="K36" s="39" t="str">
        <f>IFERROR(INDEX([1]AdventureDiscoveryGroup!$S:$S,MATCH(표9[[#This Row],[마을]],[1]AdventureDiscoveryGroup!$C:$C,)),"-")</f>
        <v>-</v>
      </c>
      <c r="L36" s="39" t="str">
        <f>IFERROR(INDEX([1]AdventureDiscoveryGroup!$V:$V,MATCH(표9[[#This Row],[마을]],[1]AdventureDiscoveryGroup!$C:$C,)),"-")</f>
        <v>-</v>
      </c>
      <c r="M36" s="39" t="str">
        <f>IFERROR(INDEX([1]AdventureDiscoveryGroup!$Y:$Y,MATCH(표9[[#This Row],[마을]],[1]AdventureDiscoveryGroup!$C:$C,)),"-")</f>
        <v>-</v>
      </c>
      <c r="N36" s="39" t="str">
        <f>IFERROR(INDEX([1]AdventureDiscoveryGroup!$AB:$AB,MATCH(표9[[#This Row],[마을]],[1]AdventureDiscoveryGroup!$C:$C,)),"-")</f>
        <v>-</v>
      </c>
    </row>
    <row r="37" spans="2:14" x14ac:dyDescent="0.3">
      <c r="B37" s="39" t="str">
        <f>[1]Village!B43</f>
        <v>수족의 마을</v>
      </c>
      <c r="C37" s="39" t="str">
        <f>IFERROR(VLOOKUP(표9[[#This Row],[마을]],[3]!표8[[이름]:[선단 LV]],6,FALSE),"-")</f>
        <v>-</v>
      </c>
      <c r="D37" s="39" t="str">
        <f>IFERROR(VLOOKUP(표9[[#This Row],[마을]],[3]!표8[[이름]:[위도]],3,FALSE),"-")</f>
        <v>-</v>
      </c>
      <c r="E37" s="39" t="str">
        <f>IFERROR(VLOOKUP(표9[[#This Row],[마을]],[3]!표8[[이름]:[위도]],2,FALSE),"-")</f>
        <v>-</v>
      </c>
      <c r="F37" s="39" t="str">
        <f>IFERROR(INDEX([1]AdventureDiscoveryGroup!$D:$D,MATCH(표9[[#This Row],[마을]],[1]AdventureDiscoveryGroup!$C:$C,)),"-")</f>
        <v>-</v>
      </c>
      <c r="G37" s="39" t="str">
        <f>IFERROR(INDEX([1]AdventureDiscoveryGroup!$G:$G,MATCH(표9[[#This Row],[마을]],[1]AdventureDiscoveryGroup!$C:$C,)),"-")</f>
        <v>-</v>
      </c>
      <c r="H37" s="39" t="str">
        <f>IFERROR(INDEX([1]AdventureDiscoveryGroup!$J:$J,MATCH(표9[[#This Row],[마을]],[1]AdventureDiscoveryGroup!$C:$C,)),"-")</f>
        <v>-</v>
      </c>
      <c r="I37" s="39" t="str">
        <f>IFERROR(INDEX([1]AdventureDiscoveryGroup!$M:$M,MATCH(표9[[#This Row],[마을]],[1]AdventureDiscoveryGroup!$C:$C,)),"-")</f>
        <v>-</v>
      </c>
      <c r="J37" s="39" t="str">
        <f>IFERROR(INDEX([1]AdventureDiscoveryGroup!$P:$P,MATCH(표9[[#This Row],[마을]],[1]AdventureDiscoveryGroup!$C:$C,)),"-")</f>
        <v>-</v>
      </c>
      <c r="K37" s="39" t="str">
        <f>IFERROR(INDEX([1]AdventureDiscoveryGroup!$S:$S,MATCH(표9[[#This Row],[마을]],[1]AdventureDiscoveryGroup!$C:$C,)),"-")</f>
        <v>-</v>
      </c>
      <c r="L37" s="39" t="str">
        <f>IFERROR(INDEX([1]AdventureDiscoveryGroup!$V:$V,MATCH(표9[[#This Row],[마을]],[1]AdventureDiscoveryGroup!$C:$C,)),"-")</f>
        <v>-</v>
      </c>
      <c r="M37" s="39" t="str">
        <f>IFERROR(INDEX([1]AdventureDiscoveryGroup!$Y:$Y,MATCH(표9[[#This Row],[마을]],[1]AdventureDiscoveryGroup!$C:$C,)),"-")</f>
        <v>-</v>
      </c>
      <c r="N37" s="39" t="str">
        <f>IFERROR(INDEX([1]AdventureDiscoveryGroup!$AB:$AB,MATCH(표9[[#This Row],[마을]],[1]AdventureDiscoveryGroup!$C:$C,)),"-")</f>
        <v>-</v>
      </c>
    </row>
    <row r="38" spans="2:14" x14ac:dyDescent="0.3">
      <c r="B38" s="39" t="str">
        <f>[1]Village!B44</f>
        <v>극지, 설산의 만</v>
      </c>
      <c r="C38" s="39" t="str">
        <f>IFERROR(VLOOKUP(표9[[#This Row],[마을]],[3]!표8[[이름]:[선단 LV]],6,FALSE),"-")</f>
        <v>-</v>
      </c>
      <c r="D38" s="39" t="str">
        <f>IFERROR(VLOOKUP(표9[[#This Row],[마을]],[3]!표8[[이름]:[위도]],3,FALSE),"-")</f>
        <v>-</v>
      </c>
      <c r="E38" s="39" t="str">
        <f>IFERROR(VLOOKUP(표9[[#This Row],[마을]],[3]!표8[[이름]:[위도]],2,FALSE),"-")</f>
        <v>-</v>
      </c>
      <c r="F38" s="39" t="str">
        <f>IFERROR(INDEX([1]AdventureDiscoveryGroup!$D:$D,MATCH(표9[[#This Row],[마을]],[1]AdventureDiscoveryGroup!$C:$C,)),"-")</f>
        <v>-</v>
      </c>
      <c r="G38" s="39" t="str">
        <f>IFERROR(INDEX([1]AdventureDiscoveryGroup!$G:$G,MATCH(표9[[#This Row],[마을]],[1]AdventureDiscoveryGroup!$C:$C,)),"-")</f>
        <v>-</v>
      </c>
      <c r="H38" s="39" t="str">
        <f>IFERROR(INDEX([1]AdventureDiscoveryGroup!$J:$J,MATCH(표9[[#This Row],[마을]],[1]AdventureDiscoveryGroup!$C:$C,)),"-")</f>
        <v>-</v>
      </c>
      <c r="I38" s="39" t="str">
        <f>IFERROR(INDEX([1]AdventureDiscoveryGroup!$M:$M,MATCH(표9[[#This Row],[마을]],[1]AdventureDiscoveryGroup!$C:$C,)),"-")</f>
        <v>-</v>
      </c>
      <c r="J38" s="39" t="str">
        <f>IFERROR(INDEX([1]AdventureDiscoveryGroup!$P:$P,MATCH(표9[[#This Row],[마을]],[1]AdventureDiscoveryGroup!$C:$C,)),"-")</f>
        <v>-</v>
      </c>
      <c r="K38" s="39" t="str">
        <f>IFERROR(INDEX([1]AdventureDiscoveryGroup!$S:$S,MATCH(표9[[#This Row],[마을]],[1]AdventureDiscoveryGroup!$C:$C,)),"-")</f>
        <v>-</v>
      </c>
      <c r="L38" s="39" t="str">
        <f>IFERROR(INDEX([1]AdventureDiscoveryGroup!$V:$V,MATCH(표9[[#This Row],[마을]],[1]AdventureDiscoveryGroup!$C:$C,)),"-")</f>
        <v>-</v>
      </c>
      <c r="M38" s="39" t="str">
        <f>IFERROR(INDEX([1]AdventureDiscoveryGroup!$Y:$Y,MATCH(표9[[#This Row],[마을]],[1]AdventureDiscoveryGroup!$C:$C,)),"-")</f>
        <v>-</v>
      </c>
      <c r="N38" s="39" t="str">
        <f>IFERROR(INDEX([1]AdventureDiscoveryGroup!$AB:$AB,MATCH(표9[[#This Row],[마을]],[1]AdventureDiscoveryGroup!$C:$C,)),"-")</f>
        <v>-</v>
      </c>
    </row>
    <row r="39" spans="2:14" x14ac:dyDescent="0.3">
      <c r="B39" s="39" t="str">
        <f>[1]Village!B45</f>
        <v>이누이트족의 마을</v>
      </c>
      <c r="C39" s="39" t="str">
        <f>IFERROR(VLOOKUP(표9[[#This Row],[마을]],[3]!표8[[이름]:[선단 LV]],6,FALSE),"-")</f>
        <v>-</v>
      </c>
      <c r="D39" s="39" t="str">
        <f>IFERROR(VLOOKUP(표9[[#This Row],[마을]],[3]!표8[[이름]:[위도]],3,FALSE),"-")</f>
        <v>-</v>
      </c>
      <c r="E39" s="39" t="str">
        <f>IFERROR(VLOOKUP(표9[[#This Row],[마을]],[3]!표8[[이름]:[위도]],2,FALSE),"-")</f>
        <v>-</v>
      </c>
      <c r="F39" s="39" t="str">
        <f>IFERROR(INDEX([1]AdventureDiscoveryGroup!$D:$D,MATCH(표9[[#This Row],[마을]],[1]AdventureDiscoveryGroup!$C:$C,)),"-")</f>
        <v>-</v>
      </c>
      <c r="G39" s="39" t="str">
        <f>IFERROR(INDEX([1]AdventureDiscoveryGroup!$G:$G,MATCH(표9[[#This Row],[마을]],[1]AdventureDiscoveryGroup!$C:$C,)),"-")</f>
        <v>-</v>
      </c>
      <c r="H39" s="39" t="str">
        <f>IFERROR(INDEX([1]AdventureDiscoveryGroup!$J:$J,MATCH(표9[[#This Row],[마을]],[1]AdventureDiscoveryGroup!$C:$C,)),"-")</f>
        <v>-</v>
      </c>
      <c r="I39" s="39" t="str">
        <f>IFERROR(INDEX([1]AdventureDiscoveryGroup!$M:$M,MATCH(표9[[#This Row],[마을]],[1]AdventureDiscoveryGroup!$C:$C,)),"-")</f>
        <v>-</v>
      </c>
      <c r="J39" s="39" t="str">
        <f>IFERROR(INDEX([1]AdventureDiscoveryGroup!$P:$P,MATCH(표9[[#This Row],[마을]],[1]AdventureDiscoveryGroup!$C:$C,)),"-")</f>
        <v>-</v>
      </c>
      <c r="K39" s="39" t="str">
        <f>IFERROR(INDEX([1]AdventureDiscoveryGroup!$S:$S,MATCH(표9[[#This Row],[마을]],[1]AdventureDiscoveryGroup!$C:$C,)),"-")</f>
        <v>-</v>
      </c>
      <c r="L39" s="39" t="str">
        <f>IFERROR(INDEX([1]AdventureDiscoveryGroup!$V:$V,MATCH(표9[[#This Row],[마을]],[1]AdventureDiscoveryGroup!$C:$C,)),"-")</f>
        <v>-</v>
      </c>
      <c r="M39" s="39" t="str">
        <f>IFERROR(INDEX([1]AdventureDiscoveryGroup!$Y:$Y,MATCH(표9[[#This Row],[마을]],[1]AdventureDiscoveryGroup!$C:$C,)),"-")</f>
        <v>-</v>
      </c>
      <c r="N39" s="39" t="str">
        <f>IFERROR(INDEX([1]AdventureDiscoveryGroup!$AB:$AB,MATCH(표9[[#This Row],[마을]],[1]AdventureDiscoveryGroup!$C:$C,)),"-")</f>
        <v>-</v>
      </c>
    </row>
    <row r="40" spans="2:14" x14ac:dyDescent="0.3">
      <c r="B40" s="39" t="str">
        <f>[1]Village!B46</f>
        <v>네네츠인의 마을</v>
      </c>
      <c r="C40" s="39" t="str">
        <f>IFERROR(VLOOKUP(표9[[#This Row],[마을]],[3]!표8[[이름]:[선단 LV]],6,FALSE),"-")</f>
        <v>-</v>
      </c>
      <c r="D40" s="39" t="str">
        <f>IFERROR(VLOOKUP(표9[[#This Row],[마을]],[3]!표8[[이름]:[위도]],3,FALSE),"-")</f>
        <v>-</v>
      </c>
      <c r="E40" s="39" t="str">
        <f>IFERROR(VLOOKUP(표9[[#This Row],[마을]],[3]!표8[[이름]:[위도]],2,FALSE),"-")</f>
        <v>-</v>
      </c>
      <c r="F40" s="39" t="str">
        <f>IFERROR(INDEX([1]AdventureDiscoveryGroup!$D:$D,MATCH(표9[[#This Row],[마을]],[1]AdventureDiscoveryGroup!$C:$C,)),"-")</f>
        <v>-</v>
      </c>
      <c r="G40" s="39" t="str">
        <f>IFERROR(INDEX([1]AdventureDiscoveryGroup!$G:$G,MATCH(표9[[#This Row],[마을]],[1]AdventureDiscoveryGroup!$C:$C,)),"-")</f>
        <v>-</v>
      </c>
      <c r="H40" s="39" t="str">
        <f>IFERROR(INDEX([1]AdventureDiscoveryGroup!$J:$J,MATCH(표9[[#This Row],[마을]],[1]AdventureDiscoveryGroup!$C:$C,)),"-")</f>
        <v>-</v>
      </c>
      <c r="I40" s="39" t="str">
        <f>IFERROR(INDEX([1]AdventureDiscoveryGroup!$M:$M,MATCH(표9[[#This Row],[마을]],[1]AdventureDiscoveryGroup!$C:$C,)),"-")</f>
        <v>-</v>
      </c>
      <c r="J40" s="39" t="str">
        <f>IFERROR(INDEX([1]AdventureDiscoveryGroup!$P:$P,MATCH(표9[[#This Row],[마을]],[1]AdventureDiscoveryGroup!$C:$C,)),"-")</f>
        <v>-</v>
      </c>
      <c r="K40" s="39" t="str">
        <f>IFERROR(INDEX([1]AdventureDiscoveryGroup!$S:$S,MATCH(표9[[#This Row],[마을]],[1]AdventureDiscoveryGroup!$C:$C,)),"-")</f>
        <v>-</v>
      </c>
      <c r="L40" s="39" t="str">
        <f>IFERROR(INDEX([1]AdventureDiscoveryGroup!$V:$V,MATCH(표9[[#This Row],[마을]],[1]AdventureDiscoveryGroup!$C:$C,)),"-")</f>
        <v>-</v>
      </c>
      <c r="M40" s="39" t="str">
        <f>IFERROR(INDEX([1]AdventureDiscoveryGroup!$Y:$Y,MATCH(표9[[#This Row],[마을]],[1]AdventureDiscoveryGroup!$C:$C,)),"-")</f>
        <v>-</v>
      </c>
      <c r="N40" s="39" t="str">
        <f>IFERROR(INDEX([1]AdventureDiscoveryGroup!$AB:$AB,MATCH(표9[[#This Row],[마을]],[1]AdventureDiscoveryGroup!$C:$C,)),"-")</f>
        <v>-</v>
      </c>
    </row>
    <row r="41" spans="2:14" x14ac:dyDescent="0.3">
      <c r="B41" s="39" t="str">
        <f>[1]Village!B47</f>
        <v>극지, 빙하의 섬</v>
      </c>
      <c r="C41" s="39" t="str">
        <f>IFERROR(VLOOKUP(표9[[#This Row],[마을]],[3]!표8[[이름]:[선단 LV]],6,FALSE),"-")</f>
        <v>-</v>
      </c>
      <c r="D41" s="39" t="str">
        <f>IFERROR(VLOOKUP(표9[[#This Row],[마을]],[3]!표8[[이름]:[위도]],3,FALSE),"-")</f>
        <v>-</v>
      </c>
      <c r="E41" s="39" t="str">
        <f>IFERROR(VLOOKUP(표9[[#This Row],[마을]],[3]!표8[[이름]:[위도]],2,FALSE),"-")</f>
        <v>-</v>
      </c>
      <c r="F41" s="39" t="str">
        <f>IFERROR(INDEX([1]AdventureDiscoveryGroup!$D:$D,MATCH(표9[[#This Row],[마을]],[1]AdventureDiscoveryGroup!$C:$C,)),"-")</f>
        <v>-</v>
      </c>
      <c r="G41" s="39" t="str">
        <f>IFERROR(INDEX([1]AdventureDiscoveryGroup!$G:$G,MATCH(표9[[#This Row],[마을]],[1]AdventureDiscoveryGroup!$C:$C,)),"-")</f>
        <v>-</v>
      </c>
      <c r="H41" s="39" t="str">
        <f>IFERROR(INDEX([1]AdventureDiscoveryGroup!$J:$J,MATCH(표9[[#This Row],[마을]],[1]AdventureDiscoveryGroup!$C:$C,)),"-")</f>
        <v>-</v>
      </c>
      <c r="I41" s="39" t="str">
        <f>IFERROR(INDEX([1]AdventureDiscoveryGroup!$M:$M,MATCH(표9[[#This Row],[마을]],[1]AdventureDiscoveryGroup!$C:$C,)),"-")</f>
        <v>-</v>
      </c>
      <c r="J41" s="39" t="str">
        <f>IFERROR(INDEX([1]AdventureDiscoveryGroup!$P:$P,MATCH(표9[[#This Row],[마을]],[1]AdventureDiscoveryGroup!$C:$C,)),"-")</f>
        <v>-</v>
      </c>
      <c r="K41" s="39" t="str">
        <f>IFERROR(INDEX([1]AdventureDiscoveryGroup!$S:$S,MATCH(표9[[#This Row],[마을]],[1]AdventureDiscoveryGroup!$C:$C,)),"-")</f>
        <v>-</v>
      </c>
      <c r="L41" s="39" t="str">
        <f>IFERROR(INDEX([1]AdventureDiscoveryGroup!$V:$V,MATCH(표9[[#This Row],[마을]],[1]AdventureDiscoveryGroup!$C:$C,)),"-")</f>
        <v>-</v>
      </c>
      <c r="M41" s="39" t="str">
        <f>IFERROR(INDEX([1]AdventureDiscoveryGroup!$Y:$Y,MATCH(표9[[#This Row],[마을]],[1]AdventureDiscoveryGroup!$C:$C,)),"-")</f>
        <v>-</v>
      </c>
      <c r="N41" s="39" t="str">
        <f>IFERROR(INDEX([1]AdventureDiscoveryGroup!$AB:$AB,MATCH(표9[[#This Row],[마을]],[1]AdventureDiscoveryGroup!$C:$C,)),"-")</f>
        <v>-</v>
      </c>
    </row>
    <row r="42" spans="2:14" x14ac:dyDescent="0.3">
      <c r="B42" s="39" t="str">
        <f>[1]Village!B48</f>
        <v>극지, 설산의 섬</v>
      </c>
      <c r="C42" s="39" t="str">
        <f>IFERROR(VLOOKUP(표9[[#This Row],[마을]],[3]!표8[[이름]:[선단 LV]],6,FALSE),"-")</f>
        <v>-</v>
      </c>
      <c r="D42" s="39" t="str">
        <f>IFERROR(VLOOKUP(표9[[#This Row],[마을]],[3]!표8[[이름]:[위도]],3,FALSE),"-")</f>
        <v>-</v>
      </c>
      <c r="E42" s="39" t="str">
        <f>IFERROR(VLOOKUP(표9[[#This Row],[마을]],[3]!표8[[이름]:[위도]],2,FALSE),"-")</f>
        <v>-</v>
      </c>
      <c r="F42" s="39" t="str">
        <f>IFERROR(INDEX([1]AdventureDiscoveryGroup!$D:$D,MATCH(표9[[#This Row],[마을]],[1]AdventureDiscoveryGroup!$C:$C,)),"-")</f>
        <v>-</v>
      </c>
      <c r="G42" s="39" t="str">
        <f>IFERROR(INDEX([1]AdventureDiscoveryGroup!$G:$G,MATCH(표9[[#This Row],[마을]],[1]AdventureDiscoveryGroup!$C:$C,)),"-")</f>
        <v>-</v>
      </c>
      <c r="H42" s="39" t="str">
        <f>IFERROR(INDEX([1]AdventureDiscoveryGroup!$J:$J,MATCH(표9[[#This Row],[마을]],[1]AdventureDiscoveryGroup!$C:$C,)),"-")</f>
        <v>-</v>
      </c>
      <c r="I42" s="39" t="str">
        <f>IFERROR(INDEX([1]AdventureDiscoveryGroup!$M:$M,MATCH(표9[[#This Row],[마을]],[1]AdventureDiscoveryGroup!$C:$C,)),"-")</f>
        <v>-</v>
      </c>
      <c r="J42" s="39" t="str">
        <f>IFERROR(INDEX([1]AdventureDiscoveryGroup!$P:$P,MATCH(표9[[#This Row],[마을]],[1]AdventureDiscoveryGroup!$C:$C,)),"-")</f>
        <v>-</v>
      </c>
      <c r="K42" s="39" t="str">
        <f>IFERROR(INDEX([1]AdventureDiscoveryGroup!$S:$S,MATCH(표9[[#This Row],[마을]],[1]AdventureDiscoveryGroup!$C:$C,)),"-")</f>
        <v>-</v>
      </c>
      <c r="L42" s="39" t="str">
        <f>IFERROR(INDEX([1]AdventureDiscoveryGroup!$V:$V,MATCH(표9[[#This Row],[마을]],[1]AdventureDiscoveryGroup!$C:$C,)),"-")</f>
        <v>-</v>
      </c>
      <c r="M42" s="39" t="str">
        <f>IFERROR(INDEX([1]AdventureDiscoveryGroup!$Y:$Y,MATCH(표9[[#This Row],[마을]],[1]AdventureDiscoveryGroup!$C:$C,)),"-")</f>
        <v>-</v>
      </c>
      <c r="N42" s="39" t="str">
        <f>IFERROR(INDEX([1]AdventureDiscoveryGroup!$AB:$AB,MATCH(표9[[#This Row],[마을]],[1]AdventureDiscoveryGroup!$C:$C,)),"-")</f>
        <v>-</v>
      </c>
    </row>
    <row r="43" spans="2:14" x14ac:dyDescent="0.3">
      <c r="B43" s="39" t="str">
        <f>[1]Village!B49</f>
        <v>야쿠트인의 마을</v>
      </c>
      <c r="C43" s="39" t="str">
        <f>IFERROR(VLOOKUP(표9[[#This Row],[마을]],[3]!표8[[이름]:[선단 LV]],6,FALSE),"-")</f>
        <v>-</v>
      </c>
      <c r="D43" s="39" t="str">
        <f>IFERROR(VLOOKUP(표9[[#This Row],[마을]],[3]!표8[[이름]:[위도]],3,FALSE),"-")</f>
        <v>-</v>
      </c>
      <c r="E43" s="39" t="str">
        <f>IFERROR(VLOOKUP(표9[[#This Row],[마을]],[3]!표8[[이름]:[위도]],2,FALSE),"-")</f>
        <v>-</v>
      </c>
      <c r="F43" s="39" t="str">
        <f>IFERROR(INDEX([1]AdventureDiscoveryGroup!$D:$D,MATCH(표9[[#This Row],[마을]],[1]AdventureDiscoveryGroup!$C:$C,)),"-")</f>
        <v>-</v>
      </c>
      <c r="G43" s="39" t="str">
        <f>IFERROR(INDEX([1]AdventureDiscoveryGroup!$G:$G,MATCH(표9[[#This Row],[마을]],[1]AdventureDiscoveryGroup!$C:$C,)),"-")</f>
        <v>-</v>
      </c>
      <c r="H43" s="39" t="str">
        <f>IFERROR(INDEX([1]AdventureDiscoveryGroup!$J:$J,MATCH(표9[[#This Row],[마을]],[1]AdventureDiscoveryGroup!$C:$C,)),"-")</f>
        <v>-</v>
      </c>
      <c r="I43" s="39" t="str">
        <f>IFERROR(INDEX([1]AdventureDiscoveryGroup!$M:$M,MATCH(표9[[#This Row],[마을]],[1]AdventureDiscoveryGroup!$C:$C,)),"-")</f>
        <v>-</v>
      </c>
      <c r="J43" s="39" t="str">
        <f>IFERROR(INDEX([1]AdventureDiscoveryGroup!$P:$P,MATCH(표9[[#This Row],[마을]],[1]AdventureDiscoveryGroup!$C:$C,)),"-")</f>
        <v>-</v>
      </c>
      <c r="K43" s="39" t="str">
        <f>IFERROR(INDEX([1]AdventureDiscoveryGroup!$S:$S,MATCH(표9[[#This Row],[마을]],[1]AdventureDiscoveryGroup!$C:$C,)),"-")</f>
        <v>-</v>
      </c>
      <c r="L43" s="39" t="str">
        <f>IFERROR(INDEX([1]AdventureDiscoveryGroup!$V:$V,MATCH(표9[[#This Row],[마을]],[1]AdventureDiscoveryGroup!$C:$C,)),"-")</f>
        <v>-</v>
      </c>
      <c r="M43" s="39" t="str">
        <f>IFERROR(INDEX([1]AdventureDiscoveryGroup!$Y:$Y,MATCH(표9[[#This Row],[마을]],[1]AdventureDiscoveryGroup!$C:$C,)),"-")</f>
        <v>-</v>
      </c>
      <c r="N43" s="39" t="str">
        <f>IFERROR(INDEX([1]AdventureDiscoveryGroup!$AB:$AB,MATCH(표9[[#This Row],[마을]],[1]AdventureDiscoveryGroup!$C:$C,)),"-")</f>
        <v>-</v>
      </c>
    </row>
    <row r="44" spans="2:14" x14ac:dyDescent="0.3">
      <c r="B44" s="39" t="str">
        <f>[1]Village!B50</f>
        <v>축치인의 마을</v>
      </c>
      <c r="C44" s="39" t="str">
        <f>IFERROR(VLOOKUP(표9[[#This Row],[마을]],[3]!표8[[이름]:[선단 LV]],6,FALSE),"-")</f>
        <v>-</v>
      </c>
      <c r="D44" s="39" t="str">
        <f>IFERROR(VLOOKUP(표9[[#This Row],[마을]],[3]!표8[[이름]:[위도]],3,FALSE),"-")</f>
        <v>-</v>
      </c>
      <c r="E44" s="39" t="str">
        <f>IFERROR(VLOOKUP(표9[[#This Row],[마을]],[3]!표8[[이름]:[위도]],2,FALSE),"-")</f>
        <v>-</v>
      </c>
      <c r="F44" s="39" t="str">
        <f>IFERROR(INDEX([1]AdventureDiscoveryGroup!$D:$D,MATCH(표9[[#This Row],[마을]],[1]AdventureDiscoveryGroup!$C:$C,)),"-")</f>
        <v>-</v>
      </c>
      <c r="G44" s="39" t="str">
        <f>IFERROR(INDEX([1]AdventureDiscoveryGroup!$G:$G,MATCH(표9[[#This Row],[마을]],[1]AdventureDiscoveryGroup!$C:$C,)),"-")</f>
        <v>-</v>
      </c>
      <c r="H44" s="39" t="str">
        <f>IFERROR(INDEX([1]AdventureDiscoveryGroup!$J:$J,MATCH(표9[[#This Row],[마을]],[1]AdventureDiscoveryGroup!$C:$C,)),"-")</f>
        <v>-</v>
      </c>
      <c r="I44" s="39" t="str">
        <f>IFERROR(INDEX([1]AdventureDiscoveryGroup!$M:$M,MATCH(표9[[#This Row],[마을]],[1]AdventureDiscoveryGroup!$C:$C,)),"-")</f>
        <v>-</v>
      </c>
      <c r="J44" s="39" t="str">
        <f>IFERROR(INDEX([1]AdventureDiscoveryGroup!$P:$P,MATCH(표9[[#This Row],[마을]],[1]AdventureDiscoveryGroup!$C:$C,)),"-")</f>
        <v>-</v>
      </c>
      <c r="K44" s="39" t="str">
        <f>IFERROR(INDEX([1]AdventureDiscoveryGroup!$S:$S,MATCH(표9[[#This Row],[마을]],[1]AdventureDiscoveryGroup!$C:$C,)),"-")</f>
        <v>-</v>
      </c>
      <c r="L44" s="39" t="str">
        <f>IFERROR(INDEX([1]AdventureDiscoveryGroup!$V:$V,MATCH(표9[[#This Row],[마을]],[1]AdventureDiscoveryGroup!$C:$C,)),"-")</f>
        <v>-</v>
      </c>
      <c r="M44" s="39" t="str">
        <f>IFERROR(INDEX([1]AdventureDiscoveryGroup!$Y:$Y,MATCH(표9[[#This Row],[마을]],[1]AdventureDiscoveryGroup!$C:$C,)),"-")</f>
        <v>-</v>
      </c>
      <c r="N44" s="39" t="str">
        <f>IFERROR(INDEX([1]AdventureDiscoveryGroup!$AB:$AB,MATCH(표9[[#This Row],[마을]],[1]AdventureDiscoveryGroup!$C:$C,)),"-")</f>
        <v>-</v>
      </c>
    </row>
    <row r="45" spans="2:14" x14ac:dyDescent="0.3">
      <c r="B45" s="39" t="str">
        <f>[1]Village!B51</f>
        <v>경흥의 마을</v>
      </c>
      <c r="C45" s="39" t="str">
        <f>IFERROR(VLOOKUP(표9[[#This Row],[마을]],[3]!표8[[이름]:[선단 LV]],6,FALSE),"-")</f>
        <v>-</v>
      </c>
      <c r="D45" s="39" t="str">
        <f>IFERROR(VLOOKUP(표9[[#This Row],[마을]],[3]!표8[[이름]:[위도]],3,FALSE),"-")</f>
        <v>-</v>
      </c>
      <c r="E45" s="39" t="str">
        <f>IFERROR(VLOOKUP(표9[[#This Row],[마을]],[3]!표8[[이름]:[위도]],2,FALSE),"-")</f>
        <v>-</v>
      </c>
      <c r="F45" s="39" t="str">
        <f>IFERROR(INDEX([1]AdventureDiscoveryGroup!$D:$D,MATCH(표9[[#This Row],[마을]],[1]AdventureDiscoveryGroup!$C:$C,)),"-")</f>
        <v>-</v>
      </c>
      <c r="G45" s="39" t="str">
        <f>IFERROR(INDEX([1]AdventureDiscoveryGroup!$G:$G,MATCH(표9[[#This Row],[마을]],[1]AdventureDiscoveryGroup!$C:$C,)),"-")</f>
        <v>-</v>
      </c>
      <c r="H45" s="39" t="str">
        <f>IFERROR(INDEX([1]AdventureDiscoveryGroup!$J:$J,MATCH(표9[[#This Row],[마을]],[1]AdventureDiscoveryGroup!$C:$C,)),"-")</f>
        <v>-</v>
      </c>
      <c r="I45" s="39" t="str">
        <f>IFERROR(INDEX([1]AdventureDiscoveryGroup!$M:$M,MATCH(표9[[#This Row],[마을]],[1]AdventureDiscoveryGroup!$C:$C,)),"-")</f>
        <v>-</v>
      </c>
      <c r="J45" s="39" t="str">
        <f>IFERROR(INDEX([1]AdventureDiscoveryGroup!$P:$P,MATCH(표9[[#This Row],[마을]],[1]AdventureDiscoveryGroup!$C:$C,)),"-")</f>
        <v>-</v>
      </c>
      <c r="K45" s="39" t="str">
        <f>IFERROR(INDEX([1]AdventureDiscoveryGroup!$S:$S,MATCH(표9[[#This Row],[마을]],[1]AdventureDiscoveryGroup!$C:$C,)),"-")</f>
        <v>-</v>
      </c>
      <c r="L45" s="39" t="str">
        <f>IFERROR(INDEX([1]AdventureDiscoveryGroup!$V:$V,MATCH(표9[[#This Row],[마을]],[1]AdventureDiscoveryGroup!$C:$C,)),"-")</f>
        <v>-</v>
      </c>
      <c r="M45" s="39" t="str">
        <f>IFERROR(INDEX([1]AdventureDiscoveryGroup!$Y:$Y,MATCH(표9[[#This Row],[마을]],[1]AdventureDiscoveryGroup!$C:$C,)),"-")</f>
        <v>-</v>
      </c>
      <c r="N45" s="39" t="str">
        <f>IFERROR(INDEX([1]AdventureDiscoveryGroup!$AB:$AB,MATCH(표9[[#This Row],[마을]],[1]AdventureDiscoveryGroup!$C:$C,)),"-")</f>
        <v>-</v>
      </c>
    </row>
    <row r="46" spans="2:14" x14ac:dyDescent="0.3">
      <c r="B46" s="39" t="str">
        <f>[1]Village!B52</f>
        <v>부안의 마을</v>
      </c>
      <c r="C46" s="39" t="str">
        <f>IFERROR(VLOOKUP(표9[[#This Row],[마을]],[3]!표8[[이름]:[선단 LV]],6,FALSE),"-")</f>
        <v>-</v>
      </c>
      <c r="D46" s="39" t="str">
        <f>IFERROR(VLOOKUP(표9[[#This Row],[마을]],[3]!표8[[이름]:[위도]],3,FALSE),"-")</f>
        <v>-</v>
      </c>
      <c r="E46" s="39" t="str">
        <f>IFERROR(VLOOKUP(표9[[#This Row],[마을]],[3]!표8[[이름]:[위도]],2,FALSE),"-")</f>
        <v>-</v>
      </c>
      <c r="F46" s="39" t="str">
        <f>IFERROR(INDEX([1]AdventureDiscoveryGroup!$D:$D,MATCH(표9[[#This Row],[마을]],[1]AdventureDiscoveryGroup!$C:$C,)),"-")</f>
        <v>-</v>
      </c>
      <c r="G46" s="39" t="str">
        <f>IFERROR(INDEX([1]AdventureDiscoveryGroup!$G:$G,MATCH(표9[[#This Row],[마을]],[1]AdventureDiscoveryGroup!$C:$C,)),"-")</f>
        <v>-</v>
      </c>
      <c r="H46" s="39" t="str">
        <f>IFERROR(INDEX([1]AdventureDiscoveryGroup!$J:$J,MATCH(표9[[#This Row],[마을]],[1]AdventureDiscoveryGroup!$C:$C,)),"-")</f>
        <v>-</v>
      </c>
      <c r="I46" s="39" t="str">
        <f>IFERROR(INDEX([1]AdventureDiscoveryGroup!$M:$M,MATCH(표9[[#This Row],[마을]],[1]AdventureDiscoveryGroup!$C:$C,)),"-")</f>
        <v>-</v>
      </c>
      <c r="J46" s="39" t="str">
        <f>IFERROR(INDEX([1]AdventureDiscoveryGroup!$P:$P,MATCH(표9[[#This Row],[마을]],[1]AdventureDiscoveryGroup!$C:$C,)),"-")</f>
        <v>-</v>
      </c>
      <c r="K46" s="39" t="str">
        <f>IFERROR(INDEX([1]AdventureDiscoveryGroup!$S:$S,MATCH(표9[[#This Row],[마을]],[1]AdventureDiscoveryGroup!$C:$C,)),"-")</f>
        <v>-</v>
      </c>
      <c r="L46" s="39" t="str">
        <f>IFERROR(INDEX([1]AdventureDiscoveryGroup!$V:$V,MATCH(표9[[#This Row],[마을]],[1]AdventureDiscoveryGroup!$C:$C,)),"-")</f>
        <v>-</v>
      </c>
      <c r="M46" s="39" t="str">
        <f>IFERROR(INDEX([1]AdventureDiscoveryGroup!$Y:$Y,MATCH(표9[[#This Row],[마을]],[1]AdventureDiscoveryGroup!$C:$C,)),"-")</f>
        <v>-</v>
      </c>
      <c r="N46" s="39" t="str">
        <f>IFERROR(INDEX([1]AdventureDiscoveryGroup!$AB:$AB,MATCH(표9[[#This Row],[마을]],[1]AdventureDiscoveryGroup!$C:$C,)),"-")</f>
        <v>-</v>
      </c>
    </row>
    <row r="47" spans="2:14" x14ac:dyDescent="0.3">
      <c r="B47" s="39" t="str">
        <f>[1]Village!B53</f>
        <v>에미시의 마을</v>
      </c>
      <c r="C47" s="39" t="str">
        <f>IFERROR(VLOOKUP(표9[[#This Row],[마을]],[3]!표8[[이름]:[선단 LV]],6,FALSE),"-")</f>
        <v>-</v>
      </c>
      <c r="D47" s="39" t="str">
        <f>IFERROR(VLOOKUP(표9[[#This Row],[마을]],[3]!표8[[이름]:[위도]],3,FALSE),"-")</f>
        <v>-</v>
      </c>
      <c r="E47" s="39" t="str">
        <f>IFERROR(VLOOKUP(표9[[#This Row],[마을]],[3]!표8[[이름]:[위도]],2,FALSE),"-")</f>
        <v>-</v>
      </c>
      <c r="F47" s="39" t="str">
        <f>IFERROR(INDEX([1]AdventureDiscoveryGroup!$D:$D,MATCH(표9[[#This Row],[마을]],[1]AdventureDiscoveryGroup!$C:$C,)),"-")</f>
        <v>-</v>
      </c>
      <c r="G47" s="39" t="str">
        <f>IFERROR(INDEX([1]AdventureDiscoveryGroup!$G:$G,MATCH(표9[[#This Row],[마을]],[1]AdventureDiscoveryGroup!$C:$C,)),"-")</f>
        <v>-</v>
      </c>
      <c r="H47" s="39" t="str">
        <f>IFERROR(INDEX([1]AdventureDiscoveryGroup!$J:$J,MATCH(표9[[#This Row],[마을]],[1]AdventureDiscoveryGroup!$C:$C,)),"-")</f>
        <v>-</v>
      </c>
      <c r="I47" s="39" t="str">
        <f>IFERROR(INDEX([1]AdventureDiscoveryGroup!$M:$M,MATCH(표9[[#This Row],[마을]],[1]AdventureDiscoveryGroup!$C:$C,)),"-")</f>
        <v>-</v>
      </c>
      <c r="J47" s="39" t="str">
        <f>IFERROR(INDEX([1]AdventureDiscoveryGroup!$P:$P,MATCH(표9[[#This Row],[마을]],[1]AdventureDiscoveryGroup!$C:$C,)),"-")</f>
        <v>-</v>
      </c>
      <c r="K47" s="39" t="str">
        <f>IFERROR(INDEX([1]AdventureDiscoveryGroup!$S:$S,MATCH(표9[[#This Row],[마을]],[1]AdventureDiscoveryGroup!$C:$C,)),"-")</f>
        <v>-</v>
      </c>
      <c r="L47" s="39" t="str">
        <f>IFERROR(INDEX([1]AdventureDiscoveryGroup!$V:$V,MATCH(표9[[#This Row],[마을]],[1]AdventureDiscoveryGroup!$C:$C,)),"-")</f>
        <v>-</v>
      </c>
      <c r="M47" s="39" t="str">
        <f>IFERROR(INDEX([1]AdventureDiscoveryGroup!$Y:$Y,MATCH(표9[[#This Row],[마을]],[1]AdventureDiscoveryGroup!$C:$C,)),"-")</f>
        <v>-</v>
      </c>
      <c r="N47" s="39" t="str">
        <f>IFERROR(INDEX([1]AdventureDiscoveryGroup!$AB:$AB,MATCH(표9[[#This Row],[마을]],[1]AdventureDiscoveryGroup!$C:$C,)),"-")</f>
        <v>-</v>
      </c>
    </row>
    <row r="48" spans="2:14" x14ac:dyDescent="0.3">
      <c r="B48" s="39" t="str">
        <f>[1]Village!B54</f>
        <v>에치젠의 마을</v>
      </c>
      <c r="C48" s="39" t="str">
        <f>IFERROR(VLOOKUP(표9[[#This Row],[마을]],[3]!표8[[이름]:[선단 LV]],6,FALSE),"-")</f>
        <v>-</v>
      </c>
      <c r="D48" s="39" t="str">
        <f>IFERROR(VLOOKUP(표9[[#This Row],[마을]],[3]!표8[[이름]:[위도]],3,FALSE),"-")</f>
        <v>-</v>
      </c>
      <c r="E48" s="39" t="str">
        <f>IFERROR(VLOOKUP(표9[[#This Row],[마을]],[3]!표8[[이름]:[위도]],2,FALSE),"-")</f>
        <v>-</v>
      </c>
      <c r="F48" s="39" t="str">
        <f>IFERROR(INDEX([1]AdventureDiscoveryGroup!$D:$D,MATCH(표9[[#This Row],[마을]],[1]AdventureDiscoveryGroup!$C:$C,)),"-")</f>
        <v>-</v>
      </c>
      <c r="G48" s="39" t="str">
        <f>IFERROR(INDEX([1]AdventureDiscoveryGroup!$G:$G,MATCH(표9[[#This Row],[마을]],[1]AdventureDiscoveryGroup!$C:$C,)),"-")</f>
        <v>-</v>
      </c>
      <c r="H48" s="39" t="str">
        <f>IFERROR(INDEX([1]AdventureDiscoveryGroup!$J:$J,MATCH(표9[[#This Row],[마을]],[1]AdventureDiscoveryGroup!$C:$C,)),"-")</f>
        <v>-</v>
      </c>
      <c r="I48" s="39" t="str">
        <f>IFERROR(INDEX([1]AdventureDiscoveryGroup!$M:$M,MATCH(표9[[#This Row],[마을]],[1]AdventureDiscoveryGroup!$C:$C,)),"-")</f>
        <v>-</v>
      </c>
      <c r="J48" s="39" t="str">
        <f>IFERROR(INDEX([1]AdventureDiscoveryGroup!$P:$P,MATCH(표9[[#This Row],[마을]],[1]AdventureDiscoveryGroup!$C:$C,)),"-")</f>
        <v>-</v>
      </c>
      <c r="K48" s="39" t="str">
        <f>IFERROR(INDEX([1]AdventureDiscoveryGroup!$S:$S,MATCH(표9[[#This Row],[마을]],[1]AdventureDiscoveryGroup!$C:$C,)),"-")</f>
        <v>-</v>
      </c>
      <c r="L48" s="39" t="str">
        <f>IFERROR(INDEX([1]AdventureDiscoveryGroup!$V:$V,MATCH(표9[[#This Row],[마을]],[1]AdventureDiscoveryGroup!$C:$C,)),"-")</f>
        <v>-</v>
      </c>
      <c r="M48" s="39" t="str">
        <f>IFERROR(INDEX([1]AdventureDiscoveryGroup!$Y:$Y,MATCH(표9[[#This Row],[마을]],[1]AdventureDiscoveryGroup!$C:$C,)),"-")</f>
        <v>-</v>
      </c>
      <c r="N48" s="39" t="str">
        <f>IFERROR(INDEX([1]AdventureDiscoveryGroup!$AB:$AB,MATCH(표9[[#This Row],[마을]],[1]AdventureDiscoveryGroup!$C:$C,)),"-")</f>
        <v>-</v>
      </c>
    </row>
    <row r="49" spans="2:14" x14ac:dyDescent="0.3">
      <c r="B49" s="39" t="str">
        <f>[1]Village!B55</f>
        <v>규슈의 마을</v>
      </c>
      <c r="C49" s="39" t="str">
        <f>IFERROR(VLOOKUP(표9[[#This Row],[마을]],[3]!표8[[이름]:[선단 LV]],6,FALSE),"-")</f>
        <v>-</v>
      </c>
      <c r="D49" s="39" t="str">
        <f>IFERROR(VLOOKUP(표9[[#This Row],[마을]],[3]!표8[[이름]:[위도]],3,FALSE),"-")</f>
        <v>-</v>
      </c>
      <c r="E49" s="39" t="str">
        <f>IFERROR(VLOOKUP(표9[[#This Row],[마을]],[3]!표8[[이름]:[위도]],2,FALSE),"-")</f>
        <v>-</v>
      </c>
      <c r="F49" s="39" t="str">
        <f>IFERROR(INDEX([1]AdventureDiscoveryGroup!$D:$D,MATCH(표9[[#This Row],[마을]],[1]AdventureDiscoveryGroup!$C:$C,)),"-")</f>
        <v>-</v>
      </c>
      <c r="G49" s="39" t="str">
        <f>IFERROR(INDEX([1]AdventureDiscoveryGroup!$G:$G,MATCH(표9[[#This Row],[마을]],[1]AdventureDiscoveryGroup!$C:$C,)),"-")</f>
        <v>-</v>
      </c>
      <c r="H49" s="39" t="str">
        <f>IFERROR(INDEX([1]AdventureDiscoveryGroup!$J:$J,MATCH(표9[[#This Row],[마을]],[1]AdventureDiscoveryGroup!$C:$C,)),"-")</f>
        <v>-</v>
      </c>
      <c r="I49" s="39" t="str">
        <f>IFERROR(INDEX([1]AdventureDiscoveryGroup!$M:$M,MATCH(표9[[#This Row],[마을]],[1]AdventureDiscoveryGroup!$C:$C,)),"-")</f>
        <v>-</v>
      </c>
      <c r="J49" s="39" t="str">
        <f>IFERROR(INDEX([1]AdventureDiscoveryGroup!$P:$P,MATCH(표9[[#This Row],[마을]],[1]AdventureDiscoveryGroup!$C:$C,)),"-")</f>
        <v>-</v>
      </c>
      <c r="K49" s="39" t="str">
        <f>IFERROR(INDEX([1]AdventureDiscoveryGroup!$S:$S,MATCH(표9[[#This Row],[마을]],[1]AdventureDiscoveryGroup!$C:$C,)),"-")</f>
        <v>-</v>
      </c>
      <c r="L49" s="39" t="str">
        <f>IFERROR(INDEX([1]AdventureDiscoveryGroup!$V:$V,MATCH(표9[[#This Row],[마을]],[1]AdventureDiscoveryGroup!$C:$C,)),"-")</f>
        <v>-</v>
      </c>
      <c r="M49" s="39" t="str">
        <f>IFERROR(INDEX([1]AdventureDiscoveryGroup!$Y:$Y,MATCH(표9[[#This Row],[마을]],[1]AdventureDiscoveryGroup!$C:$C,)),"-")</f>
        <v>-</v>
      </c>
      <c r="N49" s="39" t="str">
        <f>IFERROR(INDEX([1]AdventureDiscoveryGroup!$AB:$AB,MATCH(표9[[#This Row],[마을]],[1]AdventureDiscoveryGroup!$C:$C,)),"-")</f>
        <v>-</v>
      </c>
    </row>
    <row r="50" spans="2:14" x14ac:dyDescent="0.3">
      <c r="B50" s="39" t="str">
        <f>[1]Village!B56</f>
        <v>황허, 한족의 마을</v>
      </c>
      <c r="C50" s="39" t="str">
        <f>IFERROR(VLOOKUP(표9[[#This Row],[마을]],[3]!표8[[이름]:[선단 LV]],6,FALSE),"-")</f>
        <v>-</v>
      </c>
      <c r="D50" s="39" t="str">
        <f>IFERROR(VLOOKUP(표9[[#This Row],[마을]],[3]!표8[[이름]:[위도]],3,FALSE),"-")</f>
        <v>-</v>
      </c>
      <c r="E50" s="39" t="str">
        <f>IFERROR(VLOOKUP(표9[[#This Row],[마을]],[3]!표8[[이름]:[위도]],2,FALSE),"-")</f>
        <v>-</v>
      </c>
      <c r="F50" s="39" t="str">
        <f>IFERROR(INDEX([1]AdventureDiscoveryGroup!$D:$D,MATCH(표9[[#This Row],[마을]],[1]AdventureDiscoveryGroup!$C:$C,)),"-")</f>
        <v>-</v>
      </c>
      <c r="G50" s="39" t="str">
        <f>IFERROR(INDEX([1]AdventureDiscoveryGroup!$G:$G,MATCH(표9[[#This Row],[마을]],[1]AdventureDiscoveryGroup!$C:$C,)),"-")</f>
        <v>-</v>
      </c>
      <c r="H50" s="39" t="str">
        <f>IFERROR(INDEX([1]AdventureDiscoveryGroup!$J:$J,MATCH(표9[[#This Row],[마을]],[1]AdventureDiscoveryGroup!$C:$C,)),"-")</f>
        <v>-</v>
      </c>
      <c r="I50" s="39" t="str">
        <f>IFERROR(INDEX([1]AdventureDiscoveryGroup!$M:$M,MATCH(표9[[#This Row],[마을]],[1]AdventureDiscoveryGroup!$C:$C,)),"-")</f>
        <v>-</v>
      </c>
      <c r="J50" s="39" t="str">
        <f>IFERROR(INDEX([1]AdventureDiscoveryGroup!$P:$P,MATCH(표9[[#This Row],[마을]],[1]AdventureDiscoveryGroup!$C:$C,)),"-")</f>
        <v>-</v>
      </c>
      <c r="K50" s="39" t="str">
        <f>IFERROR(INDEX([1]AdventureDiscoveryGroup!$S:$S,MATCH(표9[[#This Row],[마을]],[1]AdventureDiscoveryGroup!$C:$C,)),"-")</f>
        <v>-</v>
      </c>
      <c r="L50" s="39" t="str">
        <f>IFERROR(INDEX([1]AdventureDiscoveryGroup!$V:$V,MATCH(표9[[#This Row],[마을]],[1]AdventureDiscoveryGroup!$C:$C,)),"-")</f>
        <v>-</v>
      </c>
      <c r="M50" s="39" t="str">
        <f>IFERROR(INDEX([1]AdventureDiscoveryGroup!$Y:$Y,MATCH(표9[[#This Row],[마을]],[1]AdventureDiscoveryGroup!$C:$C,)),"-")</f>
        <v>-</v>
      </c>
      <c r="N50" s="39" t="str">
        <f>IFERROR(INDEX([1]AdventureDiscoveryGroup!$AB:$AB,MATCH(표9[[#This Row],[마을]],[1]AdventureDiscoveryGroup!$C:$C,)),"-")</f>
        <v>-</v>
      </c>
    </row>
    <row r="51" spans="2:14" x14ac:dyDescent="0.3">
      <c r="B51" s="39" t="str">
        <f>[1]Village!B57</f>
        <v>장강, 투자족의 마을</v>
      </c>
      <c r="C51" s="39" t="str">
        <f>IFERROR(VLOOKUP(표9[[#This Row],[마을]],[3]!표8[[이름]:[선단 LV]],6,FALSE),"-")</f>
        <v>-</v>
      </c>
      <c r="D51" s="39" t="str">
        <f>IFERROR(VLOOKUP(표9[[#This Row],[마을]],[3]!표8[[이름]:[위도]],3,FALSE),"-")</f>
        <v>-</v>
      </c>
      <c r="E51" s="39" t="str">
        <f>IFERROR(VLOOKUP(표9[[#This Row],[마을]],[3]!표8[[이름]:[위도]],2,FALSE),"-")</f>
        <v>-</v>
      </c>
      <c r="F51" s="39" t="str">
        <f>IFERROR(INDEX([1]AdventureDiscoveryGroup!$D:$D,MATCH(표9[[#This Row],[마을]],[1]AdventureDiscoveryGroup!$C:$C,)),"-")</f>
        <v>-</v>
      </c>
      <c r="G51" s="39" t="str">
        <f>IFERROR(INDEX([1]AdventureDiscoveryGroup!$G:$G,MATCH(표9[[#This Row],[마을]],[1]AdventureDiscoveryGroup!$C:$C,)),"-")</f>
        <v>-</v>
      </c>
      <c r="H51" s="39" t="str">
        <f>IFERROR(INDEX([1]AdventureDiscoveryGroup!$J:$J,MATCH(표9[[#This Row],[마을]],[1]AdventureDiscoveryGroup!$C:$C,)),"-")</f>
        <v>-</v>
      </c>
      <c r="I51" s="39" t="str">
        <f>IFERROR(INDEX([1]AdventureDiscoveryGroup!$M:$M,MATCH(표9[[#This Row],[마을]],[1]AdventureDiscoveryGroup!$C:$C,)),"-")</f>
        <v>-</v>
      </c>
      <c r="J51" s="39" t="str">
        <f>IFERROR(INDEX([1]AdventureDiscoveryGroup!$P:$P,MATCH(표9[[#This Row],[마을]],[1]AdventureDiscoveryGroup!$C:$C,)),"-")</f>
        <v>-</v>
      </c>
      <c r="K51" s="39" t="str">
        <f>IFERROR(INDEX([1]AdventureDiscoveryGroup!$S:$S,MATCH(표9[[#This Row],[마을]],[1]AdventureDiscoveryGroup!$C:$C,)),"-")</f>
        <v>-</v>
      </c>
      <c r="L51" s="39" t="str">
        <f>IFERROR(INDEX([1]AdventureDiscoveryGroup!$V:$V,MATCH(표9[[#This Row],[마을]],[1]AdventureDiscoveryGroup!$C:$C,)),"-")</f>
        <v>-</v>
      </c>
      <c r="M51" s="39" t="str">
        <f>IFERROR(INDEX([1]AdventureDiscoveryGroup!$Y:$Y,MATCH(표9[[#This Row],[마을]],[1]AdventureDiscoveryGroup!$C:$C,)),"-")</f>
        <v>-</v>
      </c>
      <c r="N51" s="39" t="str">
        <f>IFERROR(INDEX([1]AdventureDiscoveryGroup!$AB:$AB,MATCH(표9[[#This Row],[마을]],[1]AdventureDiscoveryGroup!$C:$C,)),"-")</f>
        <v>-</v>
      </c>
    </row>
    <row r="52" spans="2:14" x14ac:dyDescent="0.3">
      <c r="B52" s="39" t="str">
        <f>[1]Village!B58</f>
        <v>아미족의 마을</v>
      </c>
      <c r="C52" s="39" t="str">
        <f>IFERROR(VLOOKUP(표9[[#This Row],[마을]],[3]!표8[[이름]:[선단 LV]],6,FALSE),"-")</f>
        <v>-</v>
      </c>
      <c r="D52" s="39" t="str">
        <f>IFERROR(VLOOKUP(표9[[#This Row],[마을]],[3]!표8[[이름]:[위도]],3,FALSE),"-")</f>
        <v>-</v>
      </c>
      <c r="E52" s="39" t="str">
        <f>IFERROR(VLOOKUP(표9[[#This Row],[마을]],[3]!표8[[이름]:[위도]],2,FALSE),"-")</f>
        <v>-</v>
      </c>
      <c r="F52" s="39" t="str">
        <f>IFERROR(INDEX([1]AdventureDiscoveryGroup!$D:$D,MATCH(표9[[#This Row],[마을]],[1]AdventureDiscoveryGroup!$C:$C,)),"-")</f>
        <v>-</v>
      </c>
      <c r="G52" s="39" t="str">
        <f>IFERROR(INDEX([1]AdventureDiscoveryGroup!$G:$G,MATCH(표9[[#This Row],[마을]],[1]AdventureDiscoveryGroup!$C:$C,)),"-")</f>
        <v>-</v>
      </c>
      <c r="H52" s="39" t="str">
        <f>IFERROR(INDEX([1]AdventureDiscoveryGroup!$J:$J,MATCH(표9[[#This Row],[마을]],[1]AdventureDiscoveryGroup!$C:$C,)),"-")</f>
        <v>-</v>
      </c>
      <c r="I52" s="39" t="str">
        <f>IFERROR(INDEX([1]AdventureDiscoveryGroup!$M:$M,MATCH(표9[[#This Row],[마을]],[1]AdventureDiscoveryGroup!$C:$C,)),"-")</f>
        <v>-</v>
      </c>
      <c r="J52" s="39" t="str">
        <f>IFERROR(INDEX([1]AdventureDiscoveryGroup!$P:$P,MATCH(표9[[#This Row],[마을]],[1]AdventureDiscoveryGroup!$C:$C,)),"-")</f>
        <v>-</v>
      </c>
      <c r="K52" s="39" t="str">
        <f>IFERROR(INDEX([1]AdventureDiscoveryGroup!$S:$S,MATCH(표9[[#This Row],[마을]],[1]AdventureDiscoveryGroup!$C:$C,)),"-")</f>
        <v>-</v>
      </c>
      <c r="L52" s="39" t="str">
        <f>IFERROR(INDEX([1]AdventureDiscoveryGroup!$V:$V,MATCH(표9[[#This Row],[마을]],[1]AdventureDiscoveryGroup!$C:$C,)),"-")</f>
        <v>-</v>
      </c>
      <c r="M52" s="39" t="str">
        <f>IFERROR(INDEX([1]AdventureDiscoveryGroup!$Y:$Y,MATCH(표9[[#This Row],[마을]],[1]AdventureDiscoveryGroup!$C:$C,)),"-")</f>
        <v>-</v>
      </c>
      <c r="N52" s="39" t="str">
        <f>IFERROR(INDEX([1]AdventureDiscoveryGroup!$AB:$AB,MATCH(표9[[#This Row],[마을]],[1]AdventureDiscoveryGroup!$C:$C,)),"-")</f>
        <v>-</v>
      </c>
    </row>
    <row r="53" spans="2:14" x14ac:dyDescent="0.3">
      <c r="B53" s="39" t="str">
        <f>[1]Village!B59</f>
        <v>오리야인의 마을</v>
      </c>
      <c r="C53" s="39" t="str">
        <f>IFERROR(VLOOKUP(표9[[#This Row],[마을]],[3]!표8[[이름]:[선단 LV]],6,FALSE),"-")</f>
        <v>-</v>
      </c>
      <c r="D53" s="39" t="str">
        <f>IFERROR(VLOOKUP(표9[[#This Row],[마을]],[3]!표8[[이름]:[위도]],3,FALSE),"-")</f>
        <v>-</v>
      </c>
      <c r="E53" s="39" t="str">
        <f>IFERROR(VLOOKUP(표9[[#This Row],[마을]],[3]!표8[[이름]:[위도]],2,FALSE),"-")</f>
        <v>-</v>
      </c>
      <c r="F53" s="39" t="str">
        <f>IFERROR(INDEX([1]AdventureDiscoveryGroup!$D:$D,MATCH(표9[[#This Row],[마을]],[1]AdventureDiscoveryGroup!$C:$C,)),"-")</f>
        <v>-</v>
      </c>
      <c r="G53" s="39" t="str">
        <f>IFERROR(INDEX([1]AdventureDiscoveryGroup!$G:$G,MATCH(표9[[#This Row],[마을]],[1]AdventureDiscoveryGroup!$C:$C,)),"-")</f>
        <v>-</v>
      </c>
      <c r="H53" s="39" t="str">
        <f>IFERROR(INDEX([1]AdventureDiscoveryGroup!$J:$J,MATCH(표9[[#This Row],[마을]],[1]AdventureDiscoveryGroup!$C:$C,)),"-")</f>
        <v>-</v>
      </c>
      <c r="I53" s="39" t="str">
        <f>IFERROR(INDEX([1]AdventureDiscoveryGroup!$M:$M,MATCH(표9[[#This Row],[마을]],[1]AdventureDiscoveryGroup!$C:$C,)),"-")</f>
        <v>-</v>
      </c>
      <c r="J53" s="39" t="str">
        <f>IFERROR(INDEX([1]AdventureDiscoveryGroup!$P:$P,MATCH(표9[[#This Row],[마을]],[1]AdventureDiscoveryGroup!$C:$C,)),"-")</f>
        <v>-</v>
      </c>
      <c r="K53" s="39" t="str">
        <f>IFERROR(INDEX([1]AdventureDiscoveryGroup!$S:$S,MATCH(표9[[#This Row],[마을]],[1]AdventureDiscoveryGroup!$C:$C,)),"-")</f>
        <v>-</v>
      </c>
      <c r="L53" s="39" t="str">
        <f>IFERROR(INDEX([1]AdventureDiscoveryGroup!$V:$V,MATCH(표9[[#This Row],[마을]],[1]AdventureDiscoveryGroup!$C:$C,)),"-")</f>
        <v>-</v>
      </c>
      <c r="M53" s="39" t="str">
        <f>IFERROR(INDEX([1]AdventureDiscoveryGroup!$Y:$Y,MATCH(표9[[#This Row],[마을]],[1]AdventureDiscoveryGroup!$C:$C,)),"-")</f>
        <v>-</v>
      </c>
      <c r="N53" s="39" t="str">
        <f>IFERROR(INDEX([1]AdventureDiscoveryGroup!$AB:$AB,MATCH(표9[[#This Row],[마을]],[1]AdventureDiscoveryGroup!$C:$C,)),"-")</f>
        <v>-</v>
      </c>
    </row>
    <row r="54" spans="2:14" x14ac:dyDescent="0.3">
      <c r="B54" s="39" t="str">
        <f>[1]Village!B60</f>
        <v>버마족의 마을</v>
      </c>
      <c r="C54" s="39" t="str">
        <f>IFERROR(VLOOKUP(표9[[#This Row],[마을]],[3]!표8[[이름]:[선단 LV]],6,FALSE),"-")</f>
        <v>-</v>
      </c>
      <c r="D54" s="39" t="str">
        <f>IFERROR(VLOOKUP(표9[[#This Row],[마을]],[3]!표8[[이름]:[위도]],3,FALSE),"-")</f>
        <v>-</v>
      </c>
      <c r="E54" s="39" t="str">
        <f>IFERROR(VLOOKUP(표9[[#This Row],[마을]],[3]!표8[[이름]:[위도]],2,FALSE),"-")</f>
        <v>-</v>
      </c>
      <c r="F54" s="39" t="str">
        <f>IFERROR(INDEX([1]AdventureDiscoveryGroup!$D:$D,MATCH(표9[[#This Row],[마을]],[1]AdventureDiscoveryGroup!$C:$C,)),"-")</f>
        <v>-</v>
      </c>
      <c r="G54" s="39" t="str">
        <f>IFERROR(INDEX([1]AdventureDiscoveryGroup!$G:$G,MATCH(표9[[#This Row],[마을]],[1]AdventureDiscoveryGroup!$C:$C,)),"-")</f>
        <v>-</v>
      </c>
      <c r="H54" s="39" t="str">
        <f>IFERROR(INDEX([1]AdventureDiscoveryGroup!$J:$J,MATCH(표9[[#This Row],[마을]],[1]AdventureDiscoveryGroup!$C:$C,)),"-")</f>
        <v>-</v>
      </c>
      <c r="I54" s="39" t="str">
        <f>IFERROR(INDEX([1]AdventureDiscoveryGroup!$M:$M,MATCH(표9[[#This Row],[마을]],[1]AdventureDiscoveryGroup!$C:$C,)),"-")</f>
        <v>-</v>
      </c>
      <c r="J54" s="39" t="str">
        <f>IFERROR(INDEX([1]AdventureDiscoveryGroup!$P:$P,MATCH(표9[[#This Row],[마을]],[1]AdventureDiscoveryGroup!$C:$C,)),"-")</f>
        <v>-</v>
      </c>
      <c r="K54" s="39" t="str">
        <f>IFERROR(INDEX([1]AdventureDiscoveryGroup!$S:$S,MATCH(표9[[#This Row],[마을]],[1]AdventureDiscoveryGroup!$C:$C,)),"-")</f>
        <v>-</v>
      </c>
      <c r="L54" s="39" t="str">
        <f>IFERROR(INDEX([1]AdventureDiscoveryGroup!$V:$V,MATCH(표9[[#This Row],[마을]],[1]AdventureDiscoveryGroup!$C:$C,)),"-")</f>
        <v>-</v>
      </c>
      <c r="M54" s="39" t="str">
        <f>IFERROR(INDEX([1]AdventureDiscoveryGroup!$Y:$Y,MATCH(표9[[#This Row],[마을]],[1]AdventureDiscoveryGroup!$C:$C,)),"-")</f>
        <v>-</v>
      </c>
      <c r="N54" s="39" t="str">
        <f>IFERROR(INDEX([1]AdventureDiscoveryGroup!$AB:$AB,MATCH(표9[[#This Row],[마을]],[1]AdventureDiscoveryGroup!$C:$C,)),"-")</f>
        <v>-</v>
      </c>
    </row>
    <row r="55" spans="2:14" x14ac:dyDescent="0.3">
      <c r="B55" s="39" t="str">
        <f>[1]Village!B61</f>
        <v>크메르족의 마을</v>
      </c>
      <c r="C55" s="39" t="str">
        <f>IFERROR(VLOOKUP(표9[[#This Row],[마을]],[3]!표8[[이름]:[선단 LV]],6,FALSE),"-")</f>
        <v>-</v>
      </c>
      <c r="D55" s="39" t="str">
        <f>IFERROR(VLOOKUP(표9[[#This Row],[마을]],[3]!표8[[이름]:[위도]],3,FALSE),"-")</f>
        <v>-</v>
      </c>
      <c r="E55" s="39" t="str">
        <f>IFERROR(VLOOKUP(표9[[#This Row],[마을]],[3]!표8[[이름]:[위도]],2,FALSE),"-")</f>
        <v>-</v>
      </c>
      <c r="F55" s="39" t="str">
        <f>IFERROR(INDEX([1]AdventureDiscoveryGroup!$D:$D,MATCH(표9[[#This Row],[마을]],[1]AdventureDiscoveryGroup!$C:$C,)),"-")</f>
        <v>-</v>
      </c>
      <c r="G55" s="39" t="str">
        <f>IFERROR(INDEX([1]AdventureDiscoveryGroup!$G:$G,MATCH(표9[[#This Row],[마을]],[1]AdventureDiscoveryGroup!$C:$C,)),"-")</f>
        <v>-</v>
      </c>
      <c r="H55" s="39" t="str">
        <f>IFERROR(INDEX([1]AdventureDiscoveryGroup!$J:$J,MATCH(표9[[#This Row],[마을]],[1]AdventureDiscoveryGroup!$C:$C,)),"-")</f>
        <v>-</v>
      </c>
      <c r="I55" s="39" t="str">
        <f>IFERROR(INDEX([1]AdventureDiscoveryGroup!$M:$M,MATCH(표9[[#This Row],[마을]],[1]AdventureDiscoveryGroup!$C:$C,)),"-")</f>
        <v>-</v>
      </c>
      <c r="J55" s="39" t="str">
        <f>IFERROR(INDEX([1]AdventureDiscoveryGroup!$P:$P,MATCH(표9[[#This Row],[마을]],[1]AdventureDiscoveryGroup!$C:$C,)),"-")</f>
        <v>-</v>
      </c>
      <c r="K55" s="39" t="str">
        <f>IFERROR(INDEX([1]AdventureDiscoveryGroup!$S:$S,MATCH(표9[[#This Row],[마을]],[1]AdventureDiscoveryGroup!$C:$C,)),"-")</f>
        <v>-</v>
      </c>
      <c r="L55" s="39" t="str">
        <f>IFERROR(INDEX([1]AdventureDiscoveryGroup!$V:$V,MATCH(표9[[#This Row],[마을]],[1]AdventureDiscoveryGroup!$C:$C,)),"-")</f>
        <v>-</v>
      </c>
      <c r="M55" s="39" t="str">
        <f>IFERROR(INDEX([1]AdventureDiscoveryGroup!$Y:$Y,MATCH(표9[[#This Row],[마을]],[1]AdventureDiscoveryGroup!$C:$C,)),"-")</f>
        <v>-</v>
      </c>
      <c r="N55" s="39" t="str">
        <f>IFERROR(INDEX([1]AdventureDiscoveryGroup!$AB:$AB,MATCH(표9[[#This Row],[마을]],[1]AdventureDiscoveryGroup!$C:$C,)),"-")</f>
        <v>-</v>
      </c>
    </row>
    <row r="56" spans="2:14" x14ac:dyDescent="0.3">
      <c r="B56" s="39" t="str">
        <f>[1]Village!B62</f>
        <v>말레이족의 마을</v>
      </c>
      <c r="C56" s="39" t="str">
        <f>IFERROR(VLOOKUP(표9[[#This Row],[마을]],[3]!표8[[이름]:[선단 LV]],6,FALSE),"-")</f>
        <v>-</v>
      </c>
      <c r="D56" s="39" t="str">
        <f>IFERROR(VLOOKUP(표9[[#This Row],[마을]],[3]!표8[[이름]:[위도]],3,FALSE),"-")</f>
        <v>-</v>
      </c>
      <c r="E56" s="39" t="str">
        <f>IFERROR(VLOOKUP(표9[[#This Row],[마을]],[3]!표8[[이름]:[위도]],2,FALSE),"-")</f>
        <v>-</v>
      </c>
      <c r="F56" s="39" t="str">
        <f>IFERROR(INDEX([1]AdventureDiscoveryGroup!$D:$D,MATCH(표9[[#This Row],[마을]],[1]AdventureDiscoveryGroup!$C:$C,)),"-")</f>
        <v>-</v>
      </c>
      <c r="G56" s="39" t="str">
        <f>IFERROR(INDEX([1]AdventureDiscoveryGroup!$G:$G,MATCH(표9[[#This Row],[마을]],[1]AdventureDiscoveryGroup!$C:$C,)),"-")</f>
        <v>-</v>
      </c>
      <c r="H56" s="39" t="str">
        <f>IFERROR(INDEX([1]AdventureDiscoveryGroup!$J:$J,MATCH(표9[[#This Row],[마을]],[1]AdventureDiscoveryGroup!$C:$C,)),"-")</f>
        <v>-</v>
      </c>
      <c r="I56" s="39" t="str">
        <f>IFERROR(INDEX([1]AdventureDiscoveryGroup!$M:$M,MATCH(표9[[#This Row],[마을]],[1]AdventureDiscoveryGroup!$C:$C,)),"-")</f>
        <v>-</v>
      </c>
      <c r="J56" s="39" t="str">
        <f>IFERROR(INDEX([1]AdventureDiscoveryGroup!$P:$P,MATCH(표9[[#This Row],[마을]],[1]AdventureDiscoveryGroup!$C:$C,)),"-")</f>
        <v>-</v>
      </c>
      <c r="K56" s="39" t="str">
        <f>IFERROR(INDEX([1]AdventureDiscoveryGroup!$S:$S,MATCH(표9[[#This Row],[마을]],[1]AdventureDiscoveryGroup!$C:$C,)),"-")</f>
        <v>-</v>
      </c>
      <c r="L56" s="39" t="str">
        <f>IFERROR(INDEX([1]AdventureDiscoveryGroup!$V:$V,MATCH(표9[[#This Row],[마을]],[1]AdventureDiscoveryGroup!$C:$C,)),"-")</f>
        <v>-</v>
      </c>
      <c r="M56" s="39" t="str">
        <f>IFERROR(INDEX([1]AdventureDiscoveryGroup!$Y:$Y,MATCH(표9[[#This Row],[마을]],[1]AdventureDiscoveryGroup!$C:$C,)),"-")</f>
        <v>-</v>
      </c>
      <c r="N56" s="39" t="str">
        <f>IFERROR(INDEX([1]AdventureDiscoveryGroup!$AB:$AB,MATCH(표9[[#This Row],[마을]],[1]AdventureDiscoveryGroup!$C:$C,)),"-")</f>
        <v>-</v>
      </c>
    </row>
    <row r="57" spans="2:14" x14ac:dyDescent="0.3">
      <c r="B57" s="39" t="str">
        <f>[1]Village!B63</f>
        <v>멜라네시아인의 마을</v>
      </c>
      <c r="C57" s="39" t="str">
        <f>IFERROR(VLOOKUP(표9[[#This Row],[마을]],[3]!표8[[이름]:[선단 LV]],6,FALSE),"-")</f>
        <v>-</v>
      </c>
      <c r="D57" s="39" t="str">
        <f>IFERROR(VLOOKUP(표9[[#This Row],[마을]],[3]!표8[[이름]:[위도]],3,FALSE),"-")</f>
        <v>-</v>
      </c>
      <c r="E57" s="39" t="str">
        <f>IFERROR(VLOOKUP(표9[[#This Row],[마을]],[3]!표8[[이름]:[위도]],2,FALSE),"-")</f>
        <v>-</v>
      </c>
      <c r="F57" s="39" t="str">
        <f>IFERROR(INDEX([1]AdventureDiscoveryGroup!$D:$D,MATCH(표9[[#This Row],[마을]],[1]AdventureDiscoveryGroup!$C:$C,)),"-")</f>
        <v>-</v>
      </c>
      <c r="G57" s="39" t="str">
        <f>IFERROR(INDEX([1]AdventureDiscoveryGroup!$G:$G,MATCH(표9[[#This Row],[마을]],[1]AdventureDiscoveryGroup!$C:$C,)),"-")</f>
        <v>-</v>
      </c>
      <c r="H57" s="39" t="str">
        <f>IFERROR(INDEX([1]AdventureDiscoveryGroup!$J:$J,MATCH(표9[[#This Row],[마을]],[1]AdventureDiscoveryGroup!$C:$C,)),"-")</f>
        <v>-</v>
      </c>
      <c r="I57" s="39" t="str">
        <f>IFERROR(INDEX([1]AdventureDiscoveryGroup!$M:$M,MATCH(표9[[#This Row],[마을]],[1]AdventureDiscoveryGroup!$C:$C,)),"-")</f>
        <v>-</v>
      </c>
      <c r="J57" s="39" t="str">
        <f>IFERROR(INDEX([1]AdventureDiscoveryGroup!$P:$P,MATCH(표9[[#This Row],[마을]],[1]AdventureDiscoveryGroup!$C:$C,)),"-")</f>
        <v>-</v>
      </c>
      <c r="K57" s="39" t="str">
        <f>IFERROR(INDEX([1]AdventureDiscoveryGroup!$S:$S,MATCH(표9[[#This Row],[마을]],[1]AdventureDiscoveryGroup!$C:$C,)),"-")</f>
        <v>-</v>
      </c>
      <c r="L57" s="39" t="str">
        <f>IFERROR(INDEX([1]AdventureDiscoveryGroup!$V:$V,MATCH(표9[[#This Row],[마을]],[1]AdventureDiscoveryGroup!$C:$C,)),"-")</f>
        <v>-</v>
      </c>
      <c r="M57" s="39" t="str">
        <f>IFERROR(INDEX([1]AdventureDiscoveryGroup!$Y:$Y,MATCH(표9[[#This Row],[마을]],[1]AdventureDiscoveryGroup!$C:$C,)),"-")</f>
        <v>-</v>
      </c>
      <c r="N57" s="39" t="str">
        <f>IFERROR(INDEX([1]AdventureDiscoveryGroup!$AB:$AB,MATCH(표9[[#This Row],[마을]],[1]AdventureDiscoveryGroup!$C:$C,)),"-")</f>
        <v>-</v>
      </c>
    </row>
    <row r="58" spans="2:14" x14ac:dyDescent="0.3">
      <c r="B58" s="39" t="str">
        <f>[1]Village!B64</f>
        <v>야우루족의 마을</v>
      </c>
      <c r="C58" s="39" t="str">
        <f>IFERROR(VLOOKUP(표9[[#This Row],[마을]],[3]!표8[[이름]:[선단 LV]],6,FALSE),"-")</f>
        <v>-</v>
      </c>
      <c r="D58" s="39" t="str">
        <f>IFERROR(VLOOKUP(표9[[#This Row],[마을]],[3]!표8[[이름]:[위도]],3,FALSE),"-")</f>
        <v>-</v>
      </c>
      <c r="E58" s="39" t="str">
        <f>IFERROR(VLOOKUP(표9[[#This Row],[마을]],[3]!표8[[이름]:[위도]],2,FALSE),"-")</f>
        <v>-</v>
      </c>
      <c r="F58" s="39" t="str">
        <f>IFERROR(INDEX([1]AdventureDiscoveryGroup!$D:$D,MATCH(표9[[#This Row],[마을]],[1]AdventureDiscoveryGroup!$C:$C,)),"-")</f>
        <v>-</v>
      </c>
      <c r="G58" s="39" t="str">
        <f>IFERROR(INDEX([1]AdventureDiscoveryGroup!$G:$G,MATCH(표9[[#This Row],[마을]],[1]AdventureDiscoveryGroup!$C:$C,)),"-")</f>
        <v>-</v>
      </c>
      <c r="H58" s="39" t="str">
        <f>IFERROR(INDEX([1]AdventureDiscoveryGroup!$J:$J,MATCH(표9[[#This Row],[마을]],[1]AdventureDiscoveryGroup!$C:$C,)),"-")</f>
        <v>-</v>
      </c>
      <c r="I58" s="39" t="str">
        <f>IFERROR(INDEX([1]AdventureDiscoveryGroup!$M:$M,MATCH(표9[[#This Row],[마을]],[1]AdventureDiscoveryGroup!$C:$C,)),"-")</f>
        <v>-</v>
      </c>
      <c r="J58" s="39" t="str">
        <f>IFERROR(INDEX([1]AdventureDiscoveryGroup!$P:$P,MATCH(표9[[#This Row],[마을]],[1]AdventureDiscoveryGroup!$C:$C,)),"-")</f>
        <v>-</v>
      </c>
      <c r="K58" s="39" t="str">
        <f>IFERROR(INDEX([1]AdventureDiscoveryGroup!$S:$S,MATCH(표9[[#This Row],[마을]],[1]AdventureDiscoveryGroup!$C:$C,)),"-")</f>
        <v>-</v>
      </c>
      <c r="L58" s="39" t="str">
        <f>IFERROR(INDEX([1]AdventureDiscoveryGroup!$V:$V,MATCH(표9[[#This Row],[마을]],[1]AdventureDiscoveryGroup!$C:$C,)),"-")</f>
        <v>-</v>
      </c>
      <c r="M58" s="39" t="str">
        <f>IFERROR(INDEX([1]AdventureDiscoveryGroup!$Y:$Y,MATCH(표9[[#This Row],[마을]],[1]AdventureDiscoveryGroup!$C:$C,)),"-")</f>
        <v>-</v>
      </c>
      <c r="N58" s="39" t="str">
        <f>IFERROR(INDEX([1]AdventureDiscoveryGroup!$AB:$AB,MATCH(표9[[#This Row],[마을]],[1]AdventureDiscoveryGroup!$C:$C,)),"-")</f>
        <v>-</v>
      </c>
    </row>
    <row r="59" spans="2:14" x14ac:dyDescent="0.3">
      <c r="B59" s="39" t="str">
        <f>[1]Village!B65</f>
        <v>나우오족의 마을</v>
      </c>
      <c r="C59" s="39" t="str">
        <f>IFERROR(VLOOKUP(표9[[#This Row],[마을]],[3]!표8[[이름]:[선단 LV]],6,FALSE),"-")</f>
        <v>-</v>
      </c>
      <c r="D59" s="39" t="str">
        <f>IFERROR(VLOOKUP(표9[[#This Row],[마을]],[3]!표8[[이름]:[위도]],3,FALSE),"-")</f>
        <v>-</v>
      </c>
      <c r="E59" s="39" t="str">
        <f>IFERROR(VLOOKUP(표9[[#This Row],[마을]],[3]!표8[[이름]:[위도]],2,FALSE),"-")</f>
        <v>-</v>
      </c>
      <c r="F59" s="39" t="str">
        <f>IFERROR(INDEX([1]AdventureDiscoveryGroup!$D:$D,MATCH(표9[[#This Row],[마을]],[1]AdventureDiscoveryGroup!$C:$C,)),"-")</f>
        <v>-</v>
      </c>
      <c r="G59" s="39" t="str">
        <f>IFERROR(INDEX([1]AdventureDiscoveryGroup!$G:$G,MATCH(표9[[#This Row],[마을]],[1]AdventureDiscoveryGroup!$C:$C,)),"-")</f>
        <v>-</v>
      </c>
      <c r="H59" s="39" t="str">
        <f>IFERROR(INDEX([1]AdventureDiscoveryGroup!$J:$J,MATCH(표9[[#This Row],[마을]],[1]AdventureDiscoveryGroup!$C:$C,)),"-")</f>
        <v>-</v>
      </c>
      <c r="I59" s="39" t="str">
        <f>IFERROR(INDEX([1]AdventureDiscoveryGroup!$M:$M,MATCH(표9[[#This Row],[마을]],[1]AdventureDiscoveryGroup!$C:$C,)),"-")</f>
        <v>-</v>
      </c>
      <c r="J59" s="39" t="str">
        <f>IFERROR(INDEX([1]AdventureDiscoveryGroup!$P:$P,MATCH(표9[[#This Row],[마을]],[1]AdventureDiscoveryGroup!$C:$C,)),"-")</f>
        <v>-</v>
      </c>
      <c r="K59" s="39" t="str">
        <f>IFERROR(INDEX([1]AdventureDiscoveryGroup!$S:$S,MATCH(표9[[#This Row],[마을]],[1]AdventureDiscoveryGroup!$C:$C,)),"-")</f>
        <v>-</v>
      </c>
      <c r="L59" s="39" t="str">
        <f>IFERROR(INDEX([1]AdventureDiscoveryGroup!$V:$V,MATCH(표9[[#This Row],[마을]],[1]AdventureDiscoveryGroup!$C:$C,)),"-")</f>
        <v>-</v>
      </c>
      <c r="M59" s="39" t="str">
        <f>IFERROR(INDEX([1]AdventureDiscoveryGroup!$Y:$Y,MATCH(표9[[#This Row],[마을]],[1]AdventureDiscoveryGroup!$C:$C,)),"-")</f>
        <v>-</v>
      </c>
      <c r="N59" s="39" t="str">
        <f>IFERROR(INDEX([1]AdventureDiscoveryGroup!$AB:$AB,MATCH(표9[[#This Row],[마을]],[1]AdventureDiscoveryGroup!$C:$C,)),"-")</f>
        <v>-</v>
      </c>
    </row>
    <row r="60" spans="2:14" x14ac:dyDescent="0.3">
      <c r="B60" s="39" t="str">
        <f>[1]Village!B66</f>
        <v>칼 카툰 구족의 마을</v>
      </c>
      <c r="C60" s="39" t="str">
        <f>IFERROR(VLOOKUP(표9[[#This Row],[마을]],[3]!표8[[이름]:[선단 LV]],6,FALSE),"-")</f>
        <v>-</v>
      </c>
      <c r="D60" s="39" t="str">
        <f>IFERROR(VLOOKUP(표9[[#This Row],[마을]],[3]!표8[[이름]:[위도]],3,FALSE),"-")</f>
        <v>-</v>
      </c>
      <c r="E60" s="39" t="str">
        <f>IFERROR(VLOOKUP(표9[[#This Row],[마을]],[3]!표8[[이름]:[위도]],2,FALSE),"-")</f>
        <v>-</v>
      </c>
      <c r="F60" s="39" t="str">
        <f>IFERROR(INDEX([1]AdventureDiscoveryGroup!$D:$D,MATCH(표9[[#This Row],[마을]],[1]AdventureDiscoveryGroup!$C:$C,)),"-")</f>
        <v>-</v>
      </c>
      <c r="G60" s="39" t="str">
        <f>IFERROR(INDEX([1]AdventureDiscoveryGroup!$G:$G,MATCH(표9[[#This Row],[마을]],[1]AdventureDiscoveryGroup!$C:$C,)),"-")</f>
        <v>-</v>
      </c>
      <c r="H60" s="39" t="str">
        <f>IFERROR(INDEX([1]AdventureDiscoveryGroup!$J:$J,MATCH(표9[[#This Row],[마을]],[1]AdventureDiscoveryGroup!$C:$C,)),"-")</f>
        <v>-</v>
      </c>
      <c r="I60" s="39" t="str">
        <f>IFERROR(INDEX([1]AdventureDiscoveryGroup!$M:$M,MATCH(표9[[#This Row],[마을]],[1]AdventureDiscoveryGroup!$C:$C,)),"-")</f>
        <v>-</v>
      </c>
      <c r="J60" s="39" t="str">
        <f>IFERROR(INDEX([1]AdventureDiscoveryGroup!$P:$P,MATCH(표9[[#This Row],[마을]],[1]AdventureDiscoveryGroup!$C:$C,)),"-")</f>
        <v>-</v>
      </c>
      <c r="K60" s="39" t="str">
        <f>IFERROR(INDEX([1]AdventureDiscoveryGroup!$S:$S,MATCH(표9[[#This Row],[마을]],[1]AdventureDiscoveryGroup!$C:$C,)),"-")</f>
        <v>-</v>
      </c>
      <c r="L60" s="39" t="str">
        <f>IFERROR(INDEX([1]AdventureDiscoveryGroup!$V:$V,MATCH(표9[[#This Row],[마을]],[1]AdventureDiscoveryGroup!$C:$C,)),"-")</f>
        <v>-</v>
      </c>
      <c r="M60" s="39" t="str">
        <f>IFERROR(INDEX([1]AdventureDiscoveryGroup!$Y:$Y,MATCH(표9[[#This Row],[마을]],[1]AdventureDiscoveryGroup!$C:$C,)),"-")</f>
        <v>-</v>
      </c>
      <c r="N60" s="39" t="str">
        <f>IFERROR(INDEX([1]AdventureDiscoveryGroup!$AB:$AB,MATCH(표9[[#This Row],[마을]],[1]AdventureDiscoveryGroup!$C:$C,)),"-")</f>
        <v>-</v>
      </c>
    </row>
    <row r="61" spans="2:14" x14ac:dyDescent="0.3">
      <c r="B61" s="39" t="str">
        <f>[1]Village!B67</f>
        <v>마오리족의 마을</v>
      </c>
      <c r="C61" s="39" t="str">
        <f>IFERROR(VLOOKUP(표9[[#This Row],[마을]],[3]!표8[[이름]:[선단 LV]],6,FALSE),"-")</f>
        <v>-</v>
      </c>
      <c r="D61" s="39" t="str">
        <f>IFERROR(VLOOKUP(표9[[#This Row],[마을]],[3]!표8[[이름]:[위도]],3,FALSE),"-")</f>
        <v>-</v>
      </c>
      <c r="E61" s="39" t="str">
        <f>IFERROR(VLOOKUP(표9[[#This Row],[마을]],[3]!표8[[이름]:[위도]],2,FALSE),"-")</f>
        <v>-</v>
      </c>
      <c r="F61" s="39" t="str">
        <f>IFERROR(INDEX([1]AdventureDiscoveryGroup!$D:$D,MATCH(표9[[#This Row],[마을]],[1]AdventureDiscoveryGroup!$C:$C,)),"-")</f>
        <v>-</v>
      </c>
      <c r="G61" s="39" t="str">
        <f>IFERROR(INDEX([1]AdventureDiscoveryGroup!$G:$G,MATCH(표9[[#This Row],[마을]],[1]AdventureDiscoveryGroup!$C:$C,)),"-")</f>
        <v>-</v>
      </c>
      <c r="H61" s="39" t="str">
        <f>IFERROR(INDEX([1]AdventureDiscoveryGroup!$J:$J,MATCH(표9[[#This Row],[마을]],[1]AdventureDiscoveryGroup!$C:$C,)),"-")</f>
        <v>-</v>
      </c>
      <c r="I61" s="39" t="str">
        <f>IFERROR(INDEX([1]AdventureDiscoveryGroup!$M:$M,MATCH(표9[[#This Row],[마을]],[1]AdventureDiscoveryGroup!$C:$C,)),"-")</f>
        <v>-</v>
      </c>
      <c r="J61" s="39" t="str">
        <f>IFERROR(INDEX([1]AdventureDiscoveryGroup!$P:$P,MATCH(표9[[#This Row],[마을]],[1]AdventureDiscoveryGroup!$C:$C,)),"-")</f>
        <v>-</v>
      </c>
      <c r="K61" s="39" t="str">
        <f>IFERROR(INDEX([1]AdventureDiscoveryGroup!$S:$S,MATCH(표9[[#This Row],[마을]],[1]AdventureDiscoveryGroup!$C:$C,)),"-")</f>
        <v>-</v>
      </c>
      <c r="L61" s="39" t="str">
        <f>IFERROR(INDEX([1]AdventureDiscoveryGroup!$V:$V,MATCH(표9[[#This Row],[마을]],[1]AdventureDiscoveryGroup!$C:$C,)),"-")</f>
        <v>-</v>
      </c>
      <c r="M61" s="39" t="str">
        <f>IFERROR(INDEX([1]AdventureDiscoveryGroup!$Y:$Y,MATCH(표9[[#This Row],[마을]],[1]AdventureDiscoveryGroup!$C:$C,)),"-")</f>
        <v>-</v>
      </c>
      <c r="N61" s="39" t="str">
        <f>IFERROR(INDEX([1]AdventureDiscoveryGroup!$AB:$AB,MATCH(표9[[#This Row],[마을]],[1]AdventureDiscoveryGroup!$C:$C,)),"-")</f>
        <v>-</v>
      </c>
    </row>
    <row r="62" spans="2:14" x14ac:dyDescent="0.3">
      <c r="B62" s="39" t="str">
        <f>[1]Village!B68</f>
        <v>하와이 선주민의 마을</v>
      </c>
      <c r="C62" s="39" t="str">
        <f>IFERROR(VLOOKUP(표9[[#This Row],[마을]],[3]!표8[[이름]:[선단 LV]],6,FALSE),"-")</f>
        <v>-</v>
      </c>
      <c r="D62" s="39" t="str">
        <f>IFERROR(VLOOKUP(표9[[#This Row],[마을]],[3]!표8[[이름]:[위도]],3,FALSE),"-")</f>
        <v>-</v>
      </c>
      <c r="E62" s="39" t="str">
        <f>IFERROR(VLOOKUP(표9[[#This Row],[마을]],[3]!표8[[이름]:[위도]],2,FALSE),"-")</f>
        <v>-</v>
      </c>
      <c r="F62" s="39" t="str">
        <f>IFERROR(INDEX([1]AdventureDiscoveryGroup!$D:$D,MATCH(표9[[#This Row],[마을]],[1]AdventureDiscoveryGroup!$C:$C,)),"-")</f>
        <v>-</v>
      </c>
      <c r="G62" s="39" t="str">
        <f>IFERROR(INDEX([1]AdventureDiscoveryGroup!$G:$G,MATCH(표9[[#This Row],[마을]],[1]AdventureDiscoveryGroup!$C:$C,)),"-")</f>
        <v>-</v>
      </c>
      <c r="H62" s="39" t="str">
        <f>IFERROR(INDEX([1]AdventureDiscoveryGroup!$J:$J,MATCH(표9[[#This Row],[마을]],[1]AdventureDiscoveryGroup!$C:$C,)),"-")</f>
        <v>-</v>
      </c>
      <c r="I62" s="39" t="str">
        <f>IFERROR(INDEX([1]AdventureDiscoveryGroup!$M:$M,MATCH(표9[[#This Row],[마을]],[1]AdventureDiscoveryGroup!$C:$C,)),"-")</f>
        <v>-</v>
      </c>
      <c r="J62" s="39" t="str">
        <f>IFERROR(INDEX([1]AdventureDiscoveryGroup!$P:$P,MATCH(표9[[#This Row],[마을]],[1]AdventureDiscoveryGroup!$C:$C,)),"-")</f>
        <v>-</v>
      </c>
      <c r="K62" s="39" t="str">
        <f>IFERROR(INDEX([1]AdventureDiscoveryGroup!$S:$S,MATCH(표9[[#This Row],[마을]],[1]AdventureDiscoveryGroup!$C:$C,)),"-")</f>
        <v>-</v>
      </c>
      <c r="L62" s="39" t="str">
        <f>IFERROR(INDEX([1]AdventureDiscoveryGroup!$V:$V,MATCH(표9[[#This Row],[마을]],[1]AdventureDiscoveryGroup!$C:$C,)),"-")</f>
        <v>-</v>
      </c>
      <c r="M62" s="39" t="str">
        <f>IFERROR(INDEX([1]AdventureDiscoveryGroup!$Y:$Y,MATCH(표9[[#This Row],[마을]],[1]AdventureDiscoveryGroup!$C:$C,)),"-")</f>
        <v>-</v>
      </c>
      <c r="N62" s="39" t="str">
        <f>IFERROR(INDEX([1]AdventureDiscoveryGroup!$AB:$AB,MATCH(표9[[#This Row],[마을]],[1]AdventureDiscoveryGroup!$C:$C,)),"-")</f>
        <v>-</v>
      </c>
    </row>
    <row r="63" spans="2:14" x14ac:dyDescent="0.3">
      <c r="B63" s="39" t="str">
        <f>[1]Village!B69</f>
        <v>시과요족의 마을</v>
      </c>
      <c r="C63" s="39" t="str">
        <f>IFERROR(VLOOKUP(표9[[#This Row],[마을]],[3]!표8[[이름]:[선단 LV]],6,FALSE),"-")</f>
        <v>-</v>
      </c>
      <c r="D63" s="39" t="str">
        <f>IFERROR(VLOOKUP(표9[[#This Row],[마을]],[3]!표8[[이름]:[위도]],3,FALSE),"-")</f>
        <v>-</v>
      </c>
      <c r="E63" s="39" t="str">
        <f>IFERROR(VLOOKUP(표9[[#This Row],[마을]],[3]!표8[[이름]:[위도]],2,FALSE),"-")</f>
        <v>-</v>
      </c>
      <c r="F63" s="39" t="str">
        <f>IFERROR(INDEX([1]AdventureDiscoveryGroup!$D:$D,MATCH(표9[[#This Row],[마을]],[1]AdventureDiscoveryGroup!$C:$C,)),"-")</f>
        <v>-</v>
      </c>
      <c r="G63" s="39" t="str">
        <f>IFERROR(INDEX([1]AdventureDiscoveryGroup!$G:$G,MATCH(표9[[#This Row],[마을]],[1]AdventureDiscoveryGroup!$C:$C,)),"-")</f>
        <v>-</v>
      </c>
      <c r="H63" s="39" t="str">
        <f>IFERROR(INDEX([1]AdventureDiscoveryGroup!$J:$J,MATCH(표9[[#This Row],[마을]],[1]AdventureDiscoveryGroup!$C:$C,)),"-")</f>
        <v>-</v>
      </c>
      <c r="I63" s="39" t="str">
        <f>IFERROR(INDEX([1]AdventureDiscoveryGroup!$M:$M,MATCH(표9[[#This Row],[마을]],[1]AdventureDiscoveryGroup!$C:$C,)),"-")</f>
        <v>-</v>
      </c>
      <c r="J63" s="39" t="str">
        <f>IFERROR(INDEX([1]AdventureDiscoveryGroup!$P:$P,MATCH(표9[[#This Row],[마을]],[1]AdventureDiscoveryGroup!$C:$C,)),"-")</f>
        <v>-</v>
      </c>
      <c r="K63" s="39" t="str">
        <f>IFERROR(INDEX([1]AdventureDiscoveryGroup!$S:$S,MATCH(표9[[#This Row],[마을]],[1]AdventureDiscoveryGroup!$C:$C,)),"-")</f>
        <v>-</v>
      </c>
      <c r="L63" s="39" t="str">
        <f>IFERROR(INDEX([1]AdventureDiscoveryGroup!$V:$V,MATCH(표9[[#This Row],[마을]],[1]AdventureDiscoveryGroup!$C:$C,)),"-")</f>
        <v>-</v>
      </c>
      <c r="M63" s="39" t="str">
        <f>IFERROR(INDEX([1]AdventureDiscoveryGroup!$Y:$Y,MATCH(표9[[#This Row],[마을]],[1]AdventureDiscoveryGroup!$C:$C,)),"-")</f>
        <v>-</v>
      </c>
      <c r="N63" s="39" t="str">
        <f>IFERROR(INDEX([1]AdventureDiscoveryGroup!$AB:$AB,MATCH(표9[[#This Row],[마을]],[1]AdventureDiscoveryGroup!$C:$C,)),"-")</f>
        <v>-</v>
      </c>
    </row>
    <row r="64" spans="2:14" x14ac:dyDescent="0.3">
      <c r="B64" s="39" t="str">
        <f>[1]Village!B70</f>
        <v>야간족의 마을</v>
      </c>
      <c r="C64" s="39" t="str">
        <f>IFERROR(VLOOKUP(표9[[#This Row],[마을]],[3]!표8[[이름]:[선단 LV]],6,FALSE),"-")</f>
        <v>-</v>
      </c>
      <c r="D64" s="39" t="str">
        <f>IFERROR(VLOOKUP(표9[[#This Row],[마을]],[3]!표8[[이름]:[위도]],3,FALSE),"-")</f>
        <v>-</v>
      </c>
      <c r="E64" s="39" t="str">
        <f>IFERROR(VLOOKUP(표9[[#This Row],[마을]],[3]!표8[[이름]:[위도]],2,FALSE),"-")</f>
        <v>-</v>
      </c>
      <c r="F64" s="39" t="str">
        <f>IFERROR(INDEX([1]AdventureDiscoveryGroup!$D:$D,MATCH(표9[[#This Row],[마을]],[1]AdventureDiscoveryGroup!$C:$C,)),"-")</f>
        <v>-</v>
      </c>
      <c r="G64" s="39" t="str">
        <f>IFERROR(INDEX([1]AdventureDiscoveryGroup!$G:$G,MATCH(표9[[#This Row],[마을]],[1]AdventureDiscoveryGroup!$C:$C,)),"-")</f>
        <v>-</v>
      </c>
      <c r="H64" s="39" t="str">
        <f>IFERROR(INDEX([1]AdventureDiscoveryGroup!$J:$J,MATCH(표9[[#This Row],[마을]],[1]AdventureDiscoveryGroup!$C:$C,)),"-")</f>
        <v>-</v>
      </c>
      <c r="I64" s="39" t="str">
        <f>IFERROR(INDEX([1]AdventureDiscoveryGroup!$M:$M,MATCH(표9[[#This Row],[마을]],[1]AdventureDiscoveryGroup!$C:$C,)),"-")</f>
        <v>-</v>
      </c>
      <c r="J64" s="39" t="str">
        <f>IFERROR(INDEX([1]AdventureDiscoveryGroup!$P:$P,MATCH(표9[[#This Row],[마을]],[1]AdventureDiscoveryGroup!$C:$C,)),"-")</f>
        <v>-</v>
      </c>
      <c r="K64" s="39" t="str">
        <f>IFERROR(INDEX([1]AdventureDiscoveryGroup!$S:$S,MATCH(표9[[#This Row],[마을]],[1]AdventureDiscoveryGroup!$C:$C,)),"-")</f>
        <v>-</v>
      </c>
      <c r="L64" s="39" t="str">
        <f>IFERROR(INDEX([1]AdventureDiscoveryGroup!$V:$V,MATCH(표9[[#This Row],[마을]],[1]AdventureDiscoveryGroup!$C:$C,)),"-")</f>
        <v>-</v>
      </c>
      <c r="M64" s="39" t="str">
        <f>IFERROR(INDEX([1]AdventureDiscoveryGroup!$Y:$Y,MATCH(표9[[#This Row],[마을]],[1]AdventureDiscoveryGroup!$C:$C,)),"-")</f>
        <v>-</v>
      </c>
      <c r="N64" s="39" t="str">
        <f>IFERROR(INDEX([1]AdventureDiscoveryGroup!$AB:$AB,MATCH(표9[[#This Row],[마을]],[1]AdventureDiscoveryGroup!$C:$C,)),"-")</f>
        <v>-</v>
      </c>
    </row>
    <row r="65" spans="2:14" x14ac:dyDescent="0.3">
      <c r="B65" s="39" t="str">
        <f>[1]Village!B71</f>
        <v>극지, 신대륙의 남쪽</v>
      </c>
      <c r="C65" s="39" t="str">
        <f>IFERROR(VLOOKUP(표9[[#This Row],[마을]],[3]!표8[[이름]:[선단 LV]],6,FALSE),"-")</f>
        <v>-</v>
      </c>
      <c r="D65" s="39" t="str">
        <f>IFERROR(VLOOKUP(표9[[#This Row],[마을]],[3]!표8[[이름]:[위도]],3,FALSE),"-")</f>
        <v>-</v>
      </c>
      <c r="E65" s="39" t="str">
        <f>IFERROR(VLOOKUP(표9[[#This Row],[마을]],[3]!표8[[이름]:[위도]],2,FALSE),"-")</f>
        <v>-</v>
      </c>
      <c r="F65" s="39" t="str">
        <f>IFERROR(INDEX([1]AdventureDiscoveryGroup!$D:$D,MATCH(표9[[#This Row],[마을]],[1]AdventureDiscoveryGroup!$C:$C,)),"-")</f>
        <v>-</v>
      </c>
      <c r="G65" s="39" t="str">
        <f>IFERROR(INDEX([1]AdventureDiscoveryGroup!$G:$G,MATCH(표9[[#This Row],[마을]],[1]AdventureDiscoveryGroup!$C:$C,)),"-")</f>
        <v>-</v>
      </c>
      <c r="H65" s="39" t="str">
        <f>IFERROR(INDEX([1]AdventureDiscoveryGroup!$J:$J,MATCH(표9[[#This Row],[마을]],[1]AdventureDiscoveryGroup!$C:$C,)),"-")</f>
        <v>-</v>
      </c>
      <c r="I65" s="39" t="str">
        <f>IFERROR(INDEX([1]AdventureDiscoveryGroup!$M:$M,MATCH(표9[[#This Row],[마을]],[1]AdventureDiscoveryGroup!$C:$C,)),"-")</f>
        <v>-</v>
      </c>
      <c r="J65" s="39" t="str">
        <f>IFERROR(INDEX([1]AdventureDiscoveryGroup!$P:$P,MATCH(표9[[#This Row],[마을]],[1]AdventureDiscoveryGroup!$C:$C,)),"-")</f>
        <v>-</v>
      </c>
      <c r="K65" s="39" t="str">
        <f>IFERROR(INDEX([1]AdventureDiscoveryGroup!$S:$S,MATCH(표9[[#This Row],[마을]],[1]AdventureDiscoveryGroup!$C:$C,)),"-")</f>
        <v>-</v>
      </c>
      <c r="L65" s="39" t="str">
        <f>IFERROR(INDEX([1]AdventureDiscoveryGroup!$V:$V,MATCH(표9[[#This Row],[마을]],[1]AdventureDiscoveryGroup!$C:$C,)),"-")</f>
        <v>-</v>
      </c>
      <c r="M65" s="39" t="str">
        <f>IFERROR(INDEX([1]AdventureDiscoveryGroup!$Y:$Y,MATCH(표9[[#This Row],[마을]],[1]AdventureDiscoveryGroup!$C:$C,)),"-")</f>
        <v>-</v>
      </c>
      <c r="N65" s="39" t="str">
        <f>IFERROR(INDEX([1]AdventureDiscoveryGroup!$AB:$AB,MATCH(표9[[#This Row],[마을]],[1]AdventureDiscoveryGroup!$C:$C,)),"-")</f>
        <v>-</v>
      </c>
    </row>
    <row r="66" spans="2:14" x14ac:dyDescent="0.3">
      <c r="B66" s="39" t="str">
        <f>[1]Village!B72</f>
        <v>극지, 아프리카의 남쪽</v>
      </c>
      <c r="C66" s="39" t="str">
        <f>IFERROR(VLOOKUP(표9[[#This Row],[마을]],[3]!표8[[이름]:[선단 LV]],6,FALSE),"-")</f>
        <v>-</v>
      </c>
      <c r="D66" s="39" t="str">
        <f>IFERROR(VLOOKUP(표9[[#This Row],[마을]],[3]!표8[[이름]:[위도]],3,FALSE),"-")</f>
        <v>-</v>
      </c>
      <c r="E66" s="39" t="str">
        <f>IFERROR(VLOOKUP(표9[[#This Row],[마을]],[3]!표8[[이름]:[위도]],2,FALSE),"-")</f>
        <v>-</v>
      </c>
      <c r="F66" s="39" t="str">
        <f>IFERROR(INDEX([1]AdventureDiscoveryGroup!$D:$D,MATCH(표9[[#This Row],[마을]],[1]AdventureDiscoveryGroup!$C:$C,)),"-")</f>
        <v>-</v>
      </c>
      <c r="G66" s="39" t="str">
        <f>IFERROR(INDEX([1]AdventureDiscoveryGroup!$G:$G,MATCH(표9[[#This Row],[마을]],[1]AdventureDiscoveryGroup!$C:$C,)),"-")</f>
        <v>-</v>
      </c>
      <c r="H66" s="39" t="str">
        <f>IFERROR(INDEX([1]AdventureDiscoveryGroup!$J:$J,MATCH(표9[[#This Row],[마을]],[1]AdventureDiscoveryGroup!$C:$C,)),"-")</f>
        <v>-</v>
      </c>
      <c r="I66" s="39" t="str">
        <f>IFERROR(INDEX([1]AdventureDiscoveryGroup!$M:$M,MATCH(표9[[#This Row],[마을]],[1]AdventureDiscoveryGroup!$C:$C,)),"-")</f>
        <v>-</v>
      </c>
      <c r="J66" s="39" t="str">
        <f>IFERROR(INDEX([1]AdventureDiscoveryGroup!$P:$P,MATCH(표9[[#This Row],[마을]],[1]AdventureDiscoveryGroup!$C:$C,)),"-")</f>
        <v>-</v>
      </c>
      <c r="K66" s="39" t="str">
        <f>IFERROR(INDEX([1]AdventureDiscoveryGroup!$S:$S,MATCH(표9[[#This Row],[마을]],[1]AdventureDiscoveryGroup!$C:$C,)),"-")</f>
        <v>-</v>
      </c>
      <c r="L66" s="39" t="str">
        <f>IFERROR(INDEX([1]AdventureDiscoveryGroup!$V:$V,MATCH(표9[[#This Row],[마을]],[1]AdventureDiscoveryGroup!$C:$C,)),"-")</f>
        <v>-</v>
      </c>
      <c r="M66" s="39" t="str">
        <f>IFERROR(INDEX([1]AdventureDiscoveryGroup!$Y:$Y,MATCH(표9[[#This Row],[마을]],[1]AdventureDiscoveryGroup!$C:$C,)),"-")</f>
        <v>-</v>
      </c>
      <c r="N66" s="39" t="str">
        <f>IFERROR(INDEX([1]AdventureDiscoveryGroup!$AB:$AB,MATCH(표9[[#This Row],[마을]],[1]AdventureDiscoveryGroup!$C:$C,)),"-")</f>
        <v>-</v>
      </c>
    </row>
    <row r="67" spans="2:14" x14ac:dyDescent="0.3">
      <c r="B67" s="39" t="str">
        <f>[1]Village!B73</f>
        <v>사미족의 마을</v>
      </c>
      <c r="C67" s="39" t="str">
        <f>IFERROR(VLOOKUP(표9[[#This Row],[마을]],[3]!표8[[이름]:[선단 LV]],6,FALSE),"-")</f>
        <v>-</v>
      </c>
      <c r="D67" s="39" t="str">
        <f>IFERROR(VLOOKUP(표9[[#This Row],[마을]],[3]!표8[[이름]:[위도]],3,FALSE),"-")</f>
        <v>-</v>
      </c>
      <c r="E67" s="39" t="str">
        <f>IFERROR(VLOOKUP(표9[[#This Row],[마을]],[3]!표8[[이름]:[위도]],2,FALSE),"-")</f>
        <v>-</v>
      </c>
      <c r="F67" s="39" t="str">
        <f>IFERROR(INDEX([1]AdventureDiscoveryGroup!$D:$D,MATCH(표9[[#This Row],[마을]],[1]AdventureDiscoveryGroup!$C:$C,)),"-")</f>
        <v>-</v>
      </c>
      <c r="G67" s="39" t="str">
        <f>IFERROR(INDEX([1]AdventureDiscoveryGroup!$G:$G,MATCH(표9[[#This Row],[마을]],[1]AdventureDiscoveryGroup!$C:$C,)),"-")</f>
        <v>-</v>
      </c>
      <c r="H67" s="39" t="str">
        <f>IFERROR(INDEX([1]AdventureDiscoveryGroup!$J:$J,MATCH(표9[[#This Row],[마을]],[1]AdventureDiscoveryGroup!$C:$C,)),"-")</f>
        <v>-</v>
      </c>
      <c r="I67" s="39" t="str">
        <f>IFERROR(INDEX([1]AdventureDiscoveryGroup!$M:$M,MATCH(표9[[#This Row],[마을]],[1]AdventureDiscoveryGroup!$C:$C,)),"-")</f>
        <v>-</v>
      </c>
      <c r="J67" s="39" t="str">
        <f>IFERROR(INDEX([1]AdventureDiscoveryGroup!$P:$P,MATCH(표9[[#This Row],[마을]],[1]AdventureDiscoveryGroup!$C:$C,)),"-")</f>
        <v>-</v>
      </c>
      <c r="K67" s="39" t="str">
        <f>IFERROR(INDEX([1]AdventureDiscoveryGroup!$S:$S,MATCH(표9[[#This Row],[마을]],[1]AdventureDiscoveryGroup!$C:$C,)),"-")</f>
        <v>-</v>
      </c>
      <c r="L67" s="39" t="str">
        <f>IFERROR(INDEX([1]AdventureDiscoveryGroup!$V:$V,MATCH(표9[[#This Row],[마을]],[1]AdventureDiscoveryGroup!$C:$C,)),"-")</f>
        <v>-</v>
      </c>
      <c r="M67" s="39" t="str">
        <f>IFERROR(INDEX([1]AdventureDiscoveryGroup!$Y:$Y,MATCH(표9[[#This Row],[마을]],[1]AdventureDiscoveryGroup!$C:$C,)),"-")</f>
        <v>-</v>
      </c>
      <c r="N67" s="39" t="str">
        <f>IFERROR(INDEX([1]AdventureDiscoveryGroup!$AB:$AB,MATCH(표9[[#This Row],[마을]],[1]AdventureDiscoveryGroup!$C:$C,)),"-")</f>
        <v>-</v>
      </c>
    </row>
    <row r="68" spans="2:14" x14ac:dyDescent="0.3">
      <c r="B68" s="39" t="str">
        <f>[1]Village!B74</f>
        <v>케트인의 마을</v>
      </c>
      <c r="C68" s="39" t="str">
        <f>IFERROR(VLOOKUP(표9[[#This Row],[마을]],[3]!표8[[이름]:[선단 LV]],6,FALSE),"-")</f>
        <v>-</v>
      </c>
      <c r="D68" s="39" t="str">
        <f>IFERROR(VLOOKUP(표9[[#This Row],[마을]],[3]!표8[[이름]:[위도]],3,FALSE),"-")</f>
        <v>-</v>
      </c>
      <c r="E68" s="39" t="str">
        <f>IFERROR(VLOOKUP(표9[[#This Row],[마을]],[3]!표8[[이름]:[위도]],2,FALSE),"-")</f>
        <v>-</v>
      </c>
      <c r="F68" s="39" t="str">
        <f>IFERROR(INDEX([1]AdventureDiscoveryGroup!$D:$D,MATCH(표9[[#This Row],[마을]],[1]AdventureDiscoveryGroup!$C:$C,)),"-")</f>
        <v>-</v>
      </c>
      <c r="G68" s="39" t="str">
        <f>IFERROR(INDEX([1]AdventureDiscoveryGroup!$G:$G,MATCH(표9[[#This Row],[마을]],[1]AdventureDiscoveryGroup!$C:$C,)),"-")</f>
        <v>-</v>
      </c>
      <c r="H68" s="39" t="str">
        <f>IFERROR(INDEX([1]AdventureDiscoveryGroup!$J:$J,MATCH(표9[[#This Row],[마을]],[1]AdventureDiscoveryGroup!$C:$C,)),"-")</f>
        <v>-</v>
      </c>
      <c r="I68" s="39" t="str">
        <f>IFERROR(INDEX([1]AdventureDiscoveryGroup!$M:$M,MATCH(표9[[#This Row],[마을]],[1]AdventureDiscoveryGroup!$C:$C,)),"-")</f>
        <v>-</v>
      </c>
      <c r="J68" s="39" t="str">
        <f>IFERROR(INDEX([1]AdventureDiscoveryGroup!$P:$P,MATCH(표9[[#This Row],[마을]],[1]AdventureDiscoveryGroup!$C:$C,)),"-")</f>
        <v>-</v>
      </c>
      <c r="K68" s="39" t="str">
        <f>IFERROR(INDEX([1]AdventureDiscoveryGroup!$S:$S,MATCH(표9[[#This Row],[마을]],[1]AdventureDiscoveryGroup!$C:$C,)),"-")</f>
        <v>-</v>
      </c>
      <c r="L68" s="39" t="str">
        <f>IFERROR(INDEX([1]AdventureDiscoveryGroup!$V:$V,MATCH(표9[[#This Row],[마을]],[1]AdventureDiscoveryGroup!$C:$C,)),"-")</f>
        <v>-</v>
      </c>
      <c r="M68" s="39" t="str">
        <f>IFERROR(INDEX([1]AdventureDiscoveryGroup!$Y:$Y,MATCH(표9[[#This Row],[마을]],[1]AdventureDiscoveryGroup!$C:$C,)),"-")</f>
        <v>-</v>
      </c>
      <c r="N68" s="39" t="str">
        <f>IFERROR(INDEX([1]AdventureDiscoveryGroup!$AB:$AB,MATCH(표9[[#This Row],[마을]],[1]AdventureDiscoveryGroup!$C:$C,)),"-")</f>
        <v>-</v>
      </c>
    </row>
    <row r="69" spans="2:14" x14ac:dyDescent="0.3">
      <c r="B69" s="39" t="str">
        <f>[1]Village!B75</f>
        <v>##village66</v>
      </c>
      <c r="C69" s="39" t="str">
        <f>IFERROR(VLOOKUP(표9[[#This Row],[마을]],[3]!표8[[이름]:[선단 LV]],6,FALSE),"-")</f>
        <v>-</v>
      </c>
      <c r="D69" s="39" t="str">
        <f>IFERROR(VLOOKUP(표9[[#This Row],[마을]],[3]!표8[[이름]:[위도]],3,FALSE),"-")</f>
        <v>-</v>
      </c>
      <c r="E69" s="39" t="str">
        <f>IFERROR(VLOOKUP(표9[[#This Row],[마을]],[3]!표8[[이름]:[위도]],2,FALSE),"-")</f>
        <v>-</v>
      </c>
      <c r="F69" s="39" t="str">
        <f>IFERROR(INDEX([1]AdventureDiscoveryGroup!$D:$D,MATCH(표9[[#This Row],[마을]],[1]AdventureDiscoveryGroup!$C:$C,)),"-")</f>
        <v>-</v>
      </c>
      <c r="G69" s="39" t="str">
        <f>IFERROR(INDEX([1]AdventureDiscoveryGroup!$G:$G,MATCH(표9[[#This Row],[마을]],[1]AdventureDiscoveryGroup!$C:$C,)),"-")</f>
        <v>-</v>
      </c>
      <c r="H69" s="39" t="str">
        <f>IFERROR(INDEX([1]AdventureDiscoveryGroup!$J:$J,MATCH(표9[[#This Row],[마을]],[1]AdventureDiscoveryGroup!$C:$C,)),"-")</f>
        <v>-</v>
      </c>
      <c r="I69" s="39" t="str">
        <f>IFERROR(INDEX([1]AdventureDiscoveryGroup!$M:$M,MATCH(표9[[#This Row],[마을]],[1]AdventureDiscoveryGroup!$C:$C,)),"-")</f>
        <v>-</v>
      </c>
      <c r="J69" s="39" t="str">
        <f>IFERROR(INDEX([1]AdventureDiscoveryGroup!$P:$P,MATCH(표9[[#This Row],[마을]],[1]AdventureDiscoveryGroup!$C:$C,)),"-")</f>
        <v>-</v>
      </c>
      <c r="K69" s="39" t="str">
        <f>IFERROR(INDEX([1]AdventureDiscoveryGroup!$S:$S,MATCH(표9[[#This Row],[마을]],[1]AdventureDiscoveryGroup!$C:$C,)),"-")</f>
        <v>-</v>
      </c>
      <c r="L69" s="39" t="str">
        <f>IFERROR(INDEX([1]AdventureDiscoveryGroup!$V:$V,MATCH(표9[[#This Row],[마을]],[1]AdventureDiscoveryGroup!$C:$C,)),"-")</f>
        <v>-</v>
      </c>
      <c r="M69" s="39" t="str">
        <f>IFERROR(INDEX([1]AdventureDiscoveryGroup!$Y:$Y,MATCH(표9[[#This Row],[마을]],[1]AdventureDiscoveryGroup!$C:$C,)),"-")</f>
        <v>-</v>
      </c>
      <c r="N69" s="43" t="str">
        <f>IFERROR(INDEX([1]AdventureDiscoveryGroup!$AB:$AB,MATCH(표9[[#This Row],[마을]],[1]AdventureDiscoveryGroup!$C:$C,)),"-")</f>
        <v>-</v>
      </c>
    </row>
  </sheetData>
  <phoneticPr fontId="1" type="noConversion"/>
  <conditionalFormatting sqref="C3:C6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B846-3AF6-4BA5-86A3-6900E1B2D2DE}">
  <sheetPr>
    <tabColor rgb="FFFFC000"/>
  </sheetPr>
  <dimension ref="B2:AQ115"/>
  <sheetViews>
    <sheetView showGridLines="0" workbookViewId="0">
      <selection activeCell="G26" sqref="G26"/>
    </sheetView>
  </sheetViews>
  <sheetFormatPr defaultRowHeight="13.5" x14ac:dyDescent="0.3"/>
  <cols>
    <col min="1" max="1" width="3.75" style="44" customWidth="1"/>
    <col min="2" max="2" width="20.625" style="44" bestFit="1" customWidth="1"/>
    <col min="3" max="3" width="12.625" style="52" bestFit="1" customWidth="1"/>
    <col min="4" max="5" width="9" style="44"/>
    <col min="6" max="6" width="9.875" style="44" customWidth="1"/>
    <col min="7" max="7" width="9.875" style="45" customWidth="1"/>
    <col min="8" max="8" width="9.875" style="44" customWidth="1"/>
    <col min="9" max="9" width="9.875" style="45" customWidth="1"/>
    <col min="10" max="10" width="9.875" style="44" customWidth="1"/>
    <col min="11" max="11" width="9.875" style="45" customWidth="1"/>
    <col min="12" max="12" width="9.875" style="44" customWidth="1"/>
    <col min="13" max="13" width="9.875" style="45" customWidth="1"/>
    <col min="14" max="14" width="9.875" style="44" customWidth="1"/>
    <col min="15" max="15" width="9.875" style="45" customWidth="1"/>
    <col min="16" max="16" width="9.875" style="44" customWidth="1"/>
    <col min="17" max="17" width="9.875" style="45" customWidth="1"/>
    <col min="18" max="18" width="9" style="45"/>
    <col min="19" max="24" width="0" style="44" hidden="1" customWidth="1"/>
    <col min="25" max="30" width="9.875" style="44" hidden="1" customWidth="1"/>
    <col min="31" max="43" width="0" style="44" hidden="1" customWidth="1"/>
    <col min="44" max="16384" width="9" style="44"/>
  </cols>
  <sheetData>
    <row r="2" spans="2:43" x14ac:dyDescent="0.3">
      <c r="B2" s="55" t="s">
        <v>162</v>
      </c>
      <c r="C2" s="55" t="s">
        <v>132</v>
      </c>
      <c r="D2" s="54" t="s">
        <v>153</v>
      </c>
      <c r="E2" s="54" t="s">
        <v>152</v>
      </c>
      <c r="F2" s="54" t="s">
        <v>154</v>
      </c>
      <c r="G2" s="54" t="s">
        <v>187</v>
      </c>
      <c r="H2" s="54" t="s">
        <v>155</v>
      </c>
      <c r="I2" s="54" t="s">
        <v>188</v>
      </c>
      <c r="J2" s="54" t="s">
        <v>156</v>
      </c>
      <c r="K2" s="54" t="s">
        <v>189</v>
      </c>
      <c r="L2" s="54" t="s">
        <v>157</v>
      </c>
      <c r="M2" s="54" t="s">
        <v>190</v>
      </c>
      <c r="N2" s="54" t="s">
        <v>158</v>
      </c>
      <c r="O2" s="54" t="s">
        <v>191</v>
      </c>
      <c r="P2" s="54" t="s">
        <v>159</v>
      </c>
      <c r="Q2" s="54" t="s">
        <v>192</v>
      </c>
      <c r="R2" s="53"/>
      <c r="S2" s="44" t="s">
        <v>181</v>
      </c>
      <c r="T2" s="45" t="s">
        <v>182</v>
      </c>
      <c r="U2" s="45" t="s">
        <v>183</v>
      </c>
      <c r="V2" s="45" t="s">
        <v>184</v>
      </c>
      <c r="W2" s="45" t="s">
        <v>185</v>
      </c>
      <c r="X2" s="45" t="s">
        <v>186</v>
      </c>
      <c r="Y2" s="44" t="s">
        <v>193</v>
      </c>
      <c r="Z2" s="45" t="s">
        <v>194</v>
      </c>
      <c r="AA2" s="45" t="s">
        <v>195</v>
      </c>
      <c r="AB2" s="45" t="s">
        <v>196</v>
      </c>
      <c r="AC2" s="45" t="s">
        <v>197</v>
      </c>
      <c r="AD2" s="45" t="s">
        <v>198</v>
      </c>
      <c r="AE2" s="44" t="s">
        <v>199</v>
      </c>
      <c r="AF2" s="52" t="s">
        <v>200</v>
      </c>
      <c r="AG2" s="52" t="s">
        <v>201</v>
      </c>
      <c r="AH2" s="52" t="s">
        <v>202</v>
      </c>
      <c r="AI2" s="52" t="s">
        <v>203</v>
      </c>
      <c r="AJ2" s="52" t="s">
        <v>204</v>
      </c>
      <c r="AK2" s="52" t="s">
        <v>205</v>
      </c>
      <c r="AL2" s="52" t="s">
        <v>206</v>
      </c>
      <c r="AM2" s="15" t="s">
        <v>207</v>
      </c>
      <c r="AN2" s="15" t="s">
        <v>208</v>
      </c>
      <c r="AO2" s="15" t="s">
        <v>209</v>
      </c>
      <c r="AP2" s="15" t="s">
        <v>210</v>
      </c>
      <c r="AQ2" s="52" t="s">
        <v>211</v>
      </c>
    </row>
    <row r="3" spans="2:43" x14ac:dyDescent="0.3">
      <c r="B3" s="56" t="str">
        <f>[1]FishOceanTile!B8</f>
        <v>추크치해</v>
      </c>
      <c r="C3" s="56" t="str">
        <f>IFERROR(VLOOKUP(표7[[#This Row],[낚시 타일]],[3]!표1_67[[이름]:[선단 LV]],6,FALSE),"-")</f>
        <v>-</v>
      </c>
      <c r="D3" s="56" t="str">
        <f>IFERROR(VLOOKUP(표7[[#This Row],[낚시 타일]],[3]!표1_67[[이름]:[위도]],3,FALSE),"-")</f>
        <v>-</v>
      </c>
      <c r="E3" s="56" t="str">
        <f>IFERROR(VLOOKUP(표7[[#This Row],[낚시 타일]],[3]!표1_67[[이름]:[위도]],2,FALSE),"-")</f>
        <v>-</v>
      </c>
      <c r="F3" s="56"/>
      <c r="G3" s="56" t="str">
        <f>IFERROR(ROUNDDOWN(표10[[#This Row],[최종배당'[0']]]/표10[[#This Row],[분모]]*100,0)&amp;"%","-")</f>
        <v>-</v>
      </c>
      <c r="H3" s="56"/>
      <c r="I3" s="56" t="str">
        <f>IFERROR(ROUNDDOWN(표10[[#This Row],[최종배당'[1']]]/표10[[#This Row],[분모]]*100,0)&amp;"%","-")</f>
        <v>-</v>
      </c>
      <c r="J3" s="56"/>
      <c r="K3" s="56" t="str">
        <f>IFERROR(ROUNDDOWN(표10[[#This Row],[최종배당'[2']]]/표10[[#This Row],[분모]]*100,0)&amp;"%","-")</f>
        <v>-</v>
      </c>
      <c r="L3" s="56"/>
      <c r="M3" s="56" t="str">
        <f>IFERROR(ROUNDDOWN(표10[[#This Row],[최종배당'[3']]]/표10[[#This Row],[분모]]*100,0)&amp;"%","-")</f>
        <v>-</v>
      </c>
      <c r="N3" s="56"/>
      <c r="O3" s="56" t="str">
        <f>IFERROR(ROUNDDOWN(표10[[#This Row],[최종배당'[4']]]/표10[[#This Row],[분모]]*100,0)&amp;"%","-")</f>
        <v>-</v>
      </c>
      <c r="P3" s="56"/>
      <c r="Q3" s="56" t="str">
        <f>IFERROR(ROUNDDOWN(표10[[#This Row],[최종배당'[5']]]/표10[[#This Row],[분모]]*100,0)&amp;"%","-")</f>
        <v>-</v>
      </c>
      <c r="S3" s="56" t="str">
        <f>IFERROR(VLOOKUP(표7[발견물'[0']],표1[[명칭]:[등급]],4,FALSE),"-")&amp;"급"</f>
        <v>0급</v>
      </c>
      <c r="T3" s="56" t="str">
        <f>IFERROR(VLOOKUP(표7[발견물'[1']],표1[[명칭]:[등급]],4,FALSE),"-")&amp;"급"</f>
        <v>0급</v>
      </c>
      <c r="U3" s="56" t="str">
        <f>IFERROR(VLOOKUP(표7[발견물'[2']],표1[[명칭]:[등급]],4,FALSE),"-")&amp;"급"</f>
        <v>0급</v>
      </c>
      <c r="V3" s="56" t="str">
        <f>IFERROR(VLOOKUP(표7[발견물'[3']],표1[[명칭]:[등급]],4,FALSE),"-")&amp;"급"</f>
        <v>0급</v>
      </c>
      <c r="W3" s="56" t="str">
        <f>IFERROR(VLOOKUP(표7[발견물'[4']],표1[[명칭]:[등급]],4,FALSE),"-")&amp;"급"</f>
        <v>0급</v>
      </c>
      <c r="X3" s="56" t="str">
        <f>IFERROR(VLOOKUP(표7[발견물'[5']],표1[[명칭]:[등급]],4,FALSE),"-")&amp;"급"</f>
        <v>0급</v>
      </c>
      <c r="Y3" s="56" t="str">
        <f>IFERROR(INDEX([1]FishGrade!$I:$I,MATCH(표10[[#This Row],[등급'[0']]],[1]FishGrade!$B:$B,0)),"-")</f>
        <v>-</v>
      </c>
      <c r="Z3" s="56" t="str">
        <f>IFERROR(INDEX([1]FishGrade!$I:$I,MATCH(표10[[#This Row],[등급'[1']]],[1]FishGrade!$B:$B,0)),"-")</f>
        <v>-</v>
      </c>
      <c r="AA3" s="56" t="str">
        <f>IFERROR(INDEX([1]FishGrade!$I:$I,MATCH(표10[[#This Row],[등급'[2']]],[1]FishGrade!$B:$B,0)),"-")</f>
        <v>-</v>
      </c>
      <c r="AB3" s="56" t="str">
        <f>IFERROR(INDEX([1]FishGrade!$I:$I,MATCH(표10[[#This Row],[등급'[3']]],[1]FishGrade!$B:$B,0)),"-")</f>
        <v>-</v>
      </c>
      <c r="AC3" s="56" t="str">
        <f>IFERROR(INDEX([1]FishGrade!$I:$I,MATCH(표10[[#This Row],[등급'[4']]],[1]FishGrade!$B:$B,0)),"-")</f>
        <v>-</v>
      </c>
      <c r="AD3" s="56" t="str">
        <f>IFERROR(INDEX([1]FishGrade!$I:$I,MATCH(표10[[#This Row],[등급'[5']]],[1]FishGrade!$B:$B,0)),"-")</f>
        <v>-</v>
      </c>
      <c r="AE3" s="56">
        <f>IF([1]FishDiscoveryGroup!$I$8="-",0,[1]FishDiscoveryGroup!$I$8)</f>
        <v>0</v>
      </c>
      <c r="AF3" s="56">
        <f>IF([1]FishDiscoveryGroup!$I$8="-",0,[1]FishDiscoveryGroup!$L$8)</f>
        <v>0</v>
      </c>
      <c r="AG3" s="56">
        <f>IF([1]FishDiscoveryGroup!$I$8="-",0,[1]FishDiscoveryGroup!$O$8)</f>
        <v>0</v>
      </c>
      <c r="AH3" s="56">
        <f>IF([1]FishDiscoveryGroup!$I$8="-",0,[1]FishDiscoveryGroup!$R$8)</f>
        <v>0</v>
      </c>
      <c r="AI3" s="56">
        <f>IF([1]FishDiscoveryGroup!$I$8="-",0,[1]FishDiscoveryGroup!$U$8)</f>
        <v>0</v>
      </c>
      <c r="AJ3" s="56">
        <f>IF([1]FishDiscoveryGroup!$I$8="-",0,[1]FishDiscoveryGroup!$X$8)</f>
        <v>0</v>
      </c>
      <c r="AK3" s="56">
        <f>IF(표10[[#This Row],[배당'[0']]]="-",0,표10[[#This Row],[배당'[0']]])+표10[[#This Row],[PROB'[0']]]</f>
        <v>0</v>
      </c>
      <c r="AL3" s="56">
        <f>IF(표10[[#This Row],[배당'[1']]]="-",0,표10[[#This Row],[배당'[1']]])+표10[[#This Row],[PROB'[1']]]</f>
        <v>0</v>
      </c>
      <c r="AM3" s="56">
        <f>IF(표10[[#This Row],[배당'[2']]]="-",0,표10[[#This Row],[배당'[2']]])+표10[[#This Row],[PROB'[2']]]</f>
        <v>0</v>
      </c>
      <c r="AN3" s="56">
        <f>IF(표10[[#This Row],[배당'[3']]]="-",0,표10[[#This Row],[배당'[3']]])+표10[[#This Row],[PROB'[3']]]</f>
        <v>0</v>
      </c>
      <c r="AO3" s="56">
        <f>IF(표10[[#This Row],[배당'[4']]]="-",0,표10[[#This Row],[배당'[4']]])+표10[[#This Row],[PROB'[4']]]</f>
        <v>0</v>
      </c>
      <c r="AP3" s="56">
        <f>IF(표10[[#This Row],[배당'[5']]]="-",0,표10[[#This Row],[배당'[5']]])+표10[[#This Row],[PROB'[5']]]</f>
        <v>0</v>
      </c>
      <c r="AQ3" s="56">
        <f>SUM(표10[[#This Row],[최종배당'[0']]:[최종배당'[5']]])</f>
        <v>0</v>
      </c>
    </row>
    <row r="4" spans="2:43" x14ac:dyDescent="0.3">
      <c r="B4" s="56" t="str">
        <f>[1]FishOceanTile!B9</f>
        <v>보버트해</v>
      </c>
      <c r="C4" s="56" t="str">
        <f>IFERROR(VLOOKUP(표7[[#This Row],[낚시 타일]],[3]!표1_67[[이름]:[선단 LV]],6,FALSE),"-")</f>
        <v>-</v>
      </c>
      <c r="D4" s="56" t="str">
        <f>IFERROR(VLOOKUP(표7[[#This Row],[낚시 타일]],[3]!표1_67[[이름]:[위도]],3,FALSE),"-")</f>
        <v>-</v>
      </c>
      <c r="E4" s="56" t="str">
        <f>IFERROR(VLOOKUP(표7[[#This Row],[낚시 타일]],[3]!표1_67[[이름]:[위도]],2,FALSE),"-")</f>
        <v>-</v>
      </c>
      <c r="F4" s="56"/>
      <c r="G4" s="56" t="str">
        <f>IFERROR(ROUNDDOWN(표10[[#This Row],[최종배당'[0']]]/표10[[#This Row],[분모]]*100,0)&amp;"%","-")</f>
        <v>-</v>
      </c>
      <c r="H4" s="56"/>
      <c r="I4" s="56" t="str">
        <f>IFERROR(ROUNDDOWN(표10[[#This Row],[최종배당'[1']]]/표10[[#This Row],[분모]]*100,0)&amp;"%","-")</f>
        <v>-</v>
      </c>
      <c r="J4" s="56"/>
      <c r="K4" s="56" t="str">
        <f>IFERROR(ROUNDDOWN(표10[[#This Row],[최종배당'[2']]]/표10[[#This Row],[분모]]*100,0)&amp;"%","-")</f>
        <v>-</v>
      </c>
      <c r="L4" s="56"/>
      <c r="M4" s="56" t="str">
        <f>IFERROR(ROUNDDOWN(표10[[#This Row],[최종배당'[3']]]/표10[[#This Row],[분모]]*100,0)&amp;"%","-")</f>
        <v>-</v>
      </c>
      <c r="N4" s="56"/>
      <c r="O4" s="56" t="str">
        <f>IFERROR(ROUNDDOWN(표10[[#This Row],[최종배당'[4']]]/표10[[#This Row],[분모]]*100,0)&amp;"%","-")</f>
        <v>-</v>
      </c>
      <c r="P4" s="56"/>
      <c r="Q4" s="56" t="str">
        <f>IFERROR(ROUNDDOWN(표10[[#This Row],[최종배당'[5']]]/표10[[#This Row],[분모]]*100,0)&amp;"%","-")</f>
        <v>-</v>
      </c>
      <c r="S4" s="56" t="str">
        <f>IFERROR(VLOOKUP(표7[발견물'[0']],표1[[명칭]:[등급]],4,FALSE),"-")&amp;"급"</f>
        <v>0급</v>
      </c>
      <c r="T4" s="56" t="str">
        <f>IFERROR(VLOOKUP(표7[발견물'[1']],표1[[명칭]:[등급]],4,FALSE),"-")&amp;"급"</f>
        <v>0급</v>
      </c>
      <c r="U4" s="56" t="str">
        <f>IFERROR(VLOOKUP(표7[발견물'[2']],표1[[명칭]:[등급]],4,FALSE),"-")&amp;"급"</f>
        <v>0급</v>
      </c>
      <c r="V4" s="56" t="str">
        <f>IFERROR(VLOOKUP(표7[발견물'[3']],표1[[명칭]:[등급]],4,FALSE),"-")&amp;"급"</f>
        <v>0급</v>
      </c>
      <c r="W4" s="56" t="str">
        <f>IFERROR(VLOOKUP(표7[발견물'[4']],표1[[명칭]:[등급]],4,FALSE),"-")&amp;"급"</f>
        <v>0급</v>
      </c>
      <c r="X4" s="56" t="str">
        <f>IFERROR(VLOOKUP(표7[발견물'[5']],표1[[명칭]:[등급]],4,FALSE),"-")&amp;"급"</f>
        <v>0급</v>
      </c>
      <c r="Y4" s="56" t="str">
        <f>IFERROR(INDEX([1]FishGrade!$I:$I,MATCH(표10[[#This Row],[등급'[0']]],[1]FishGrade!$B:$B,0)),"-")</f>
        <v>-</v>
      </c>
      <c r="Z4" s="56" t="str">
        <f>IFERROR(INDEX([1]FishGrade!$I:$I,MATCH(표10[[#This Row],[등급'[1']]],[1]FishGrade!$B:$B,0)),"-")</f>
        <v>-</v>
      </c>
      <c r="AA4" s="56" t="str">
        <f>IFERROR(INDEX([1]FishGrade!$I:$I,MATCH(표10[[#This Row],[등급'[2']]],[1]FishGrade!$B:$B,0)),"-")</f>
        <v>-</v>
      </c>
      <c r="AB4" s="56" t="str">
        <f>IFERROR(INDEX([1]FishGrade!$I:$I,MATCH(표10[[#This Row],[등급'[3']]],[1]FishGrade!$B:$B,0)),"-")</f>
        <v>-</v>
      </c>
      <c r="AC4" s="56" t="str">
        <f>IFERROR(INDEX([1]FishGrade!$I:$I,MATCH(표10[[#This Row],[등급'[4']]],[1]FishGrade!$B:$B,0)),"-")</f>
        <v>-</v>
      </c>
      <c r="AD4" s="56" t="str">
        <f>IFERROR(INDEX([1]FishGrade!$I:$I,MATCH(표10[[#This Row],[등급'[5']]],[1]FishGrade!$B:$B,0)),"-")</f>
        <v>-</v>
      </c>
      <c r="AE4" s="56">
        <f>IF([1]FishDiscoveryGroup!$I$8="-",0,[1]FishDiscoveryGroup!$I$8)</f>
        <v>0</v>
      </c>
      <c r="AF4" s="56">
        <f>IF([1]FishDiscoveryGroup!$I$8="-",0,[1]FishDiscoveryGroup!$L$8)</f>
        <v>0</v>
      </c>
      <c r="AG4" s="56">
        <f>IF([1]FishDiscoveryGroup!$I$8="-",0,[1]FishDiscoveryGroup!$O$8)</f>
        <v>0</v>
      </c>
      <c r="AH4" s="56">
        <f>IF([1]FishDiscoveryGroup!$I$8="-",0,[1]FishDiscoveryGroup!$R$8)</f>
        <v>0</v>
      </c>
      <c r="AI4" s="56">
        <f>IF([1]FishDiscoveryGroup!$I$8="-",0,[1]FishDiscoveryGroup!$U$8)</f>
        <v>0</v>
      </c>
      <c r="AJ4" s="56">
        <f>IF([1]FishDiscoveryGroup!$I$8="-",0,[1]FishDiscoveryGroup!$X$8)</f>
        <v>0</v>
      </c>
      <c r="AK4" s="56">
        <f>IF(표10[[#This Row],[배당'[0']]]="-",0,표10[[#This Row],[배당'[0']]])+표10[[#This Row],[PROB'[0']]]</f>
        <v>0</v>
      </c>
      <c r="AL4" s="56">
        <f>IF(표10[[#This Row],[배당'[1']]]="-",0,표10[[#This Row],[배당'[1']]])+표10[[#This Row],[PROB'[1']]]</f>
        <v>0</v>
      </c>
      <c r="AM4" s="56">
        <f>IF(표10[[#This Row],[배당'[2']]]="-",0,표10[[#This Row],[배당'[2']]])+표10[[#This Row],[PROB'[2']]]</f>
        <v>0</v>
      </c>
      <c r="AN4" s="56">
        <f>IF(표10[[#This Row],[배당'[3']]]="-",0,표10[[#This Row],[배당'[3']]])+표10[[#This Row],[PROB'[3']]]</f>
        <v>0</v>
      </c>
      <c r="AO4" s="56">
        <f>IF(표10[[#This Row],[배당'[4']]]="-",0,표10[[#This Row],[배당'[4']]])+표10[[#This Row],[PROB'[4']]]</f>
        <v>0</v>
      </c>
      <c r="AP4" s="56">
        <f>IF(표10[[#This Row],[배당'[5']]]="-",0,표10[[#This Row],[배당'[5']]])+표10[[#This Row],[PROB'[5']]]</f>
        <v>0</v>
      </c>
      <c r="AQ4" s="56">
        <f>SUM(표10[[#This Row],[최종배당'[0']]:[최종배당'[5']]])</f>
        <v>0</v>
      </c>
    </row>
    <row r="5" spans="2:43" x14ac:dyDescent="0.3">
      <c r="B5" s="56" t="str">
        <f>[1]FishOceanTile!B10</f>
        <v>알레스카만</v>
      </c>
      <c r="C5" s="56" t="str">
        <f>IFERROR(VLOOKUP(표7[[#This Row],[낚시 타일]],[3]!표1_67[[이름]:[선단 LV]],6,FALSE),"-")</f>
        <v>-</v>
      </c>
      <c r="D5" s="56" t="str">
        <f>IFERROR(VLOOKUP(표7[[#This Row],[낚시 타일]],[3]!표1_67[[이름]:[위도]],3,FALSE),"-")</f>
        <v>-</v>
      </c>
      <c r="E5" s="56" t="str">
        <f>IFERROR(VLOOKUP(표7[[#This Row],[낚시 타일]],[3]!표1_67[[이름]:[위도]],2,FALSE),"-")</f>
        <v>-</v>
      </c>
      <c r="F5" s="56"/>
      <c r="G5" s="56" t="str">
        <f>IFERROR(ROUNDDOWN(표10[[#This Row],[최종배당'[0']]]/표10[[#This Row],[분모]]*100,0)&amp;"%","-")</f>
        <v>-</v>
      </c>
      <c r="H5" s="56"/>
      <c r="I5" s="56" t="str">
        <f>IFERROR(ROUNDDOWN(표10[[#This Row],[최종배당'[1']]]/표10[[#This Row],[분모]]*100,0)&amp;"%","-")</f>
        <v>-</v>
      </c>
      <c r="J5" s="56"/>
      <c r="K5" s="56" t="str">
        <f>IFERROR(ROUNDDOWN(표10[[#This Row],[최종배당'[2']]]/표10[[#This Row],[분모]]*100,0)&amp;"%","-")</f>
        <v>-</v>
      </c>
      <c r="L5" s="56"/>
      <c r="M5" s="56" t="str">
        <f>IFERROR(ROUNDDOWN(표10[[#This Row],[최종배당'[3']]]/표10[[#This Row],[분모]]*100,0)&amp;"%","-")</f>
        <v>-</v>
      </c>
      <c r="N5" s="56"/>
      <c r="O5" s="56" t="str">
        <f>IFERROR(ROUNDDOWN(표10[[#This Row],[최종배당'[4']]]/표10[[#This Row],[분모]]*100,0)&amp;"%","-")</f>
        <v>-</v>
      </c>
      <c r="P5" s="56"/>
      <c r="Q5" s="56" t="str">
        <f>IFERROR(ROUNDDOWN(표10[[#This Row],[최종배당'[5']]]/표10[[#This Row],[분모]]*100,0)&amp;"%","-")</f>
        <v>-</v>
      </c>
      <c r="S5" s="56" t="str">
        <f>IFERROR(VLOOKUP(표7[발견물'[0']],표1[[명칭]:[등급]],4,FALSE),"-")&amp;"급"</f>
        <v>0급</v>
      </c>
      <c r="T5" s="56" t="str">
        <f>IFERROR(VLOOKUP(표7[발견물'[1']],표1[[명칭]:[등급]],4,FALSE),"-")&amp;"급"</f>
        <v>0급</v>
      </c>
      <c r="U5" s="56" t="str">
        <f>IFERROR(VLOOKUP(표7[발견물'[2']],표1[[명칭]:[등급]],4,FALSE),"-")&amp;"급"</f>
        <v>0급</v>
      </c>
      <c r="V5" s="56" t="str">
        <f>IFERROR(VLOOKUP(표7[발견물'[3']],표1[[명칭]:[등급]],4,FALSE),"-")&amp;"급"</f>
        <v>0급</v>
      </c>
      <c r="W5" s="56" t="str">
        <f>IFERROR(VLOOKUP(표7[발견물'[4']],표1[[명칭]:[등급]],4,FALSE),"-")&amp;"급"</f>
        <v>0급</v>
      </c>
      <c r="X5" s="56" t="str">
        <f>IFERROR(VLOOKUP(표7[발견물'[5']],표1[[명칭]:[등급]],4,FALSE),"-")&amp;"급"</f>
        <v>0급</v>
      </c>
      <c r="Y5" s="56" t="str">
        <f>IFERROR(INDEX([1]FishGrade!$I:$I,MATCH(표10[[#This Row],[등급'[0']]],[1]FishGrade!$B:$B,0)),"-")</f>
        <v>-</v>
      </c>
      <c r="Z5" s="56" t="str">
        <f>IFERROR(INDEX([1]FishGrade!$I:$I,MATCH(표10[[#This Row],[등급'[1']]],[1]FishGrade!$B:$B,0)),"-")</f>
        <v>-</v>
      </c>
      <c r="AA5" s="56" t="str">
        <f>IFERROR(INDEX([1]FishGrade!$I:$I,MATCH(표10[[#This Row],[등급'[2']]],[1]FishGrade!$B:$B,0)),"-")</f>
        <v>-</v>
      </c>
      <c r="AB5" s="56" t="str">
        <f>IFERROR(INDEX([1]FishGrade!$I:$I,MATCH(표10[[#This Row],[등급'[3']]],[1]FishGrade!$B:$B,0)),"-")</f>
        <v>-</v>
      </c>
      <c r="AC5" s="56" t="str">
        <f>IFERROR(INDEX([1]FishGrade!$I:$I,MATCH(표10[[#This Row],[등급'[4']]],[1]FishGrade!$B:$B,0)),"-")</f>
        <v>-</v>
      </c>
      <c r="AD5" s="56" t="str">
        <f>IFERROR(INDEX([1]FishGrade!$I:$I,MATCH(표10[[#This Row],[등급'[5']]],[1]FishGrade!$B:$B,0)),"-")</f>
        <v>-</v>
      </c>
      <c r="AE5" s="56">
        <f>IF([1]FishDiscoveryGroup!$I$8="-",0,[1]FishDiscoveryGroup!$I$8)</f>
        <v>0</v>
      </c>
      <c r="AF5" s="56">
        <f>IF([1]FishDiscoveryGroup!$I$8="-",0,[1]FishDiscoveryGroup!$L$8)</f>
        <v>0</v>
      </c>
      <c r="AG5" s="56">
        <f>IF([1]FishDiscoveryGroup!$I$8="-",0,[1]FishDiscoveryGroup!$O$8)</f>
        <v>0</v>
      </c>
      <c r="AH5" s="56">
        <f>IF([1]FishDiscoveryGroup!$I$8="-",0,[1]FishDiscoveryGroup!$R$8)</f>
        <v>0</v>
      </c>
      <c r="AI5" s="56">
        <f>IF([1]FishDiscoveryGroup!$I$8="-",0,[1]FishDiscoveryGroup!$U$8)</f>
        <v>0</v>
      </c>
      <c r="AJ5" s="56">
        <f>IF([1]FishDiscoveryGroup!$I$8="-",0,[1]FishDiscoveryGroup!$X$8)</f>
        <v>0</v>
      </c>
      <c r="AK5" s="56">
        <f>IF(표10[[#This Row],[배당'[0']]]="-",0,표10[[#This Row],[배당'[0']]])+표10[[#This Row],[PROB'[0']]]</f>
        <v>0</v>
      </c>
      <c r="AL5" s="56">
        <f>IF(표10[[#This Row],[배당'[1']]]="-",0,표10[[#This Row],[배당'[1']]])+표10[[#This Row],[PROB'[1']]]</f>
        <v>0</v>
      </c>
      <c r="AM5" s="56">
        <f>IF(표10[[#This Row],[배당'[2']]]="-",0,표10[[#This Row],[배당'[2']]])+표10[[#This Row],[PROB'[2']]]</f>
        <v>0</v>
      </c>
      <c r="AN5" s="56">
        <f>IF(표10[[#This Row],[배당'[3']]]="-",0,표10[[#This Row],[배당'[3']]])+표10[[#This Row],[PROB'[3']]]</f>
        <v>0</v>
      </c>
      <c r="AO5" s="56">
        <f>IF(표10[[#This Row],[배당'[4']]]="-",0,표10[[#This Row],[배당'[4']]])+표10[[#This Row],[PROB'[4']]]</f>
        <v>0</v>
      </c>
      <c r="AP5" s="56">
        <f>IF(표10[[#This Row],[배당'[5']]]="-",0,표10[[#This Row],[배당'[5']]])+표10[[#This Row],[PROB'[5']]]</f>
        <v>0</v>
      </c>
      <c r="AQ5" s="56">
        <f>SUM(표10[[#This Row],[최종배당'[0']]:[최종배당'[5']]])</f>
        <v>0</v>
      </c>
    </row>
    <row r="6" spans="2:43" x14ac:dyDescent="0.3">
      <c r="B6" s="56" t="str">
        <f>[1]FishOceanTile!B11</f>
        <v>북 태평양</v>
      </c>
      <c r="C6" s="56" t="str">
        <f>IFERROR(VLOOKUP(표7[[#This Row],[낚시 타일]],[3]!표1_67[[이름]:[선단 LV]],6,FALSE),"-")</f>
        <v>-</v>
      </c>
      <c r="D6" s="56" t="str">
        <f>IFERROR(VLOOKUP(표7[[#This Row],[낚시 타일]],[3]!표1_67[[이름]:[위도]],3,FALSE),"-")</f>
        <v>-</v>
      </c>
      <c r="E6" s="56" t="str">
        <f>IFERROR(VLOOKUP(표7[[#This Row],[낚시 타일]],[3]!표1_67[[이름]:[위도]],2,FALSE),"-")</f>
        <v>-</v>
      </c>
      <c r="F6" s="56"/>
      <c r="G6" s="56" t="str">
        <f>IFERROR(ROUNDDOWN(표10[[#This Row],[최종배당'[0']]]/표10[[#This Row],[분모]]*100,0)&amp;"%","-")</f>
        <v>-</v>
      </c>
      <c r="H6" s="56"/>
      <c r="I6" s="56" t="str">
        <f>IFERROR(ROUNDDOWN(표10[[#This Row],[최종배당'[1']]]/표10[[#This Row],[분모]]*100,0)&amp;"%","-")</f>
        <v>-</v>
      </c>
      <c r="J6" s="56"/>
      <c r="K6" s="56" t="str">
        <f>IFERROR(ROUNDDOWN(표10[[#This Row],[최종배당'[2']]]/표10[[#This Row],[분모]]*100,0)&amp;"%","-")</f>
        <v>-</v>
      </c>
      <c r="L6" s="56"/>
      <c r="M6" s="56" t="str">
        <f>IFERROR(ROUNDDOWN(표10[[#This Row],[최종배당'[3']]]/표10[[#This Row],[분모]]*100,0)&amp;"%","-")</f>
        <v>-</v>
      </c>
      <c r="N6" s="56"/>
      <c r="O6" s="56" t="str">
        <f>IFERROR(ROUNDDOWN(표10[[#This Row],[최종배당'[4']]]/표10[[#This Row],[분모]]*100,0)&amp;"%","-")</f>
        <v>-</v>
      </c>
      <c r="P6" s="56"/>
      <c r="Q6" s="56" t="str">
        <f>IFERROR(ROUNDDOWN(표10[[#This Row],[최종배당'[5']]]/표10[[#This Row],[분모]]*100,0)&amp;"%","-")</f>
        <v>-</v>
      </c>
      <c r="S6" s="56" t="str">
        <f>IFERROR(VLOOKUP(표7[발견물'[0']],표1[[명칭]:[등급]],4,FALSE),"-")&amp;"급"</f>
        <v>0급</v>
      </c>
      <c r="T6" s="56" t="str">
        <f>IFERROR(VLOOKUP(표7[발견물'[1']],표1[[명칭]:[등급]],4,FALSE),"-")&amp;"급"</f>
        <v>0급</v>
      </c>
      <c r="U6" s="56" t="str">
        <f>IFERROR(VLOOKUP(표7[발견물'[2']],표1[[명칭]:[등급]],4,FALSE),"-")&amp;"급"</f>
        <v>0급</v>
      </c>
      <c r="V6" s="56" t="str">
        <f>IFERROR(VLOOKUP(표7[발견물'[3']],표1[[명칭]:[등급]],4,FALSE),"-")&amp;"급"</f>
        <v>0급</v>
      </c>
      <c r="W6" s="56" t="str">
        <f>IFERROR(VLOOKUP(표7[발견물'[4']],표1[[명칭]:[등급]],4,FALSE),"-")&amp;"급"</f>
        <v>0급</v>
      </c>
      <c r="X6" s="56" t="str">
        <f>IFERROR(VLOOKUP(표7[발견물'[5']],표1[[명칭]:[등급]],4,FALSE),"-")&amp;"급"</f>
        <v>0급</v>
      </c>
      <c r="Y6" s="56" t="str">
        <f>IFERROR(INDEX([1]FishGrade!$I:$I,MATCH(표10[[#This Row],[등급'[0']]],[1]FishGrade!$B:$B,0)),"-")</f>
        <v>-</v>
      </c>
      <c r="Z6" s="56" t="str">
        <f>IFERROR(INDEX([1]FishGrade!$I:$I,MATCH(표10[[#This Row],[등급'[1']]],[1]FishGrade!$B:$B,0)),"-")</f>
        <v>-</v>
      </c>
      <c r="AA6" s="56" t="str">
        <f>IFERROR(INDEX([1]FishGrade!$I:$I,MATCH(표10[[#This Row],[등급'[2']]],[1]FishGrade!$B:$B,0)),"-")</f>
        <v>-</v>
      </c>
      <c r="AB6" s="56" t="str">
        <f>IFERROR(INDEX([1]FishGrade!$I:$I,MATCH(표10[[#This Row],[등급'[3']]],[1]FishGrade!$B:$B,0)),"-")</f>
        <v>-</v>
      </c>
      <c r="AC6" s="56" t="str">
        <f>IFERROR(INDEX([1]FishGrade!$I:$I,MATCH(표10[[#This Row],[등급'[4']]],[1]FishGrade!$B:$B,0)),"-")</f>
        <v>-</v>
      </c>
      <c r="AD6" s="56" t="str">
        <f>IFERROR(INDEX([1]FishGrade!$I:$I,MATCH(표10[[#This Row],[등급'[5']]],[1]FishGrade!$B:$B,0)),"-")</f>
        <v>-</v>
      </c>
      <c r="AE6" s="56">
        <f>IF([1]FishDiscoveryGroup!$I$8="-",0,[1]FishDiscoveryGroup!$I$8)</f>
        <v>0</v>
      </c>
      <c r="AF6" s="56">
        <f>IF([1]FishDiscoveryGroup!$I$8="-",0,[1]FishDiscoveryGroup!$L$8)</f>
        <v>0</v>
      </c>
      <c r="AG6" s="56">
        <f>IF([1]FishDiscoveryGroup!$I$8="-",0,[1]FishDiscoveryGroup!$O$8)</f>
        <v>0</v>
      </c>
      <c r="AH6" s="56">
        <f>IF([1]FishDiscoveryGroup!$I$8="-",0,[1]FishDiscoveryGroup!$R$8)</f>
        <v>0</v>
      </c>
      <c r="AI6" s="56">
        <f>IF([1]FishDiscoveryGroup!$I$8="-",0,[1]FishDiscoveryGroup!$U$8)</f>
        <v>0</v>
      </c>
      <c r="AJ6" s="56">
        <f>IF([1]FishDiscoveryGroup!$I$8="-",0,[1]FishDiscoveryGroup!$X$8)</f>
        <v>0</v>
      </c>
      <c r="AK6" s="56">
        <f>IF(표10[[#This Row],[배당'[0']]]="-",0,표10[[#This Row],[배당'[0']]])+표10[[#This Row],[PROB'[0']]]</f>
        <v>0</v>
      </c>
      <c r="AL6" s="56">
        <f>IF(표10[[#This Row],[배당'[1']]]="-",0,표10[[#This Row],[배당'[1']]])+표10[[#This Row],[PROB'[1']]]</f>
        <v>0</v>
      </c>
      <c r="AM6" s="56">
        <f>IF(표10[[#This Row],[배당'[2']]]="-",0,표10[[#This Row],[배당'[2']]])+표10[[#This Row],[PROB'[2']]]</f>
        <v>0</v>
      </c>
      <c r="AN6" s="56">
        <f>IF(표10[[#This Row],[배당'[3']]]="-",0,표10[[#This Row],[배당'[3']]])+표10[[#This Row],[PROB'[3']]]</f>
        <v>0</v>
      </c>
      <c r="AO6" s="56">
        <f>IF(표10[[#This Row],[배당'[4']]]="-",0,표10[[#This Row],[배당'[4']]])+표10[[#This Row],[PROB'[4']]]</f>
        <v>0</v>
      </c>
      <c r="AP6" s="56">
        <f>IF(표10[[#This Row],[배당'[5']]]="-",0,표10[[#This Row],[배당'[5']]])+표10[[#This Row],[PROB'[5']]]</f>
        <v>0</v>
      </c>
      <c r="AQ6" s="56">
        <f>SUM(표10[[#This Row],[최종배당'[0']]:[최종배당'[5']]])</f>
        <v>0</v>
      </c>
    </row>
    <row r="7" spans="2:43" x14ac:dyDescent="0.3">
      <c r="B7" s="56" t="str">
        <f>[1]FishOceanTile!B12</f>
        <v>북동 태평양</v>
      </c>
      <c r="C7" s="56" t="str">
        <f>IFERROR(VLOOKUP(표7[[#This Row],[낚시 타일]],[3]!표1_67[[이름]:[선단 LV]],6,FALSE),"-")</f>
        <v>-</v>
      </c>
      <c r="D7" s="56" t="str">
        <f>IFERROR(VLOOKUP(표7[[#This Row],[낚시 타일]],[3]!표1_67[[이름]:[위도]],3,FALSE),"-")</f>
        <v>-</v>
      </c>
      <c r="E7" s="56" t="str">
        <f>IFERROR(VLOOKUP(표7[[#This Row],[낚시 타일]],[3]!표1_67[[이름]:[위도]],2,FALSE),"-")</f>
        <v>-</v>
      </c>
      <c r="F7" s="56"/>
      <c r="G7" s="56" t="str">
        <f>IFERROR(ROUNDDOWN(표10[[#This Row],[최종배당'[0']]]/표10[[#This Row],[분모]]*100,0)&amp;"%","-")</f>
        <v>-</v>
      </c>
      <c r="H7" s="56"/>
      <c r="I7" s="56" t="str">
        <f>IFERROR(ROUNDDOWN(표10[[#This Row],[최종배당'[1']]]/표10[[#This Row],[분모]]*100,0)&amp;"%","-")</f>
        <v>-</v>
      </c>
      <c r="J7" s="56"/>
      <c r="K7" s="56" t="str">
        <f>IFERROR(ROUNDDOWN(표10[[#This Row],[최종배당'[2']]]/표10[[#This Row],[분모]]*100,0)&amp;"%","-")</f>
        <v>-</v>
      </c>
      <c r="L7" s="56"/>
      <c r="M7" s="56" t="str">
        <f>IFERROR(ROUNDDOWN(표10[[#This Row],[최종배당'[3']]]/표10[[#This Row],[분모]]*100,0)&amp;"%","-")</f>
        <v>-</v>
      </c>
      <c r="N7" s="56"/>
      <c r="O7" s="56" t="str">
        <f>IFERROR(ROUNDDOWN(표10[[#This Row],[최종배당'[4']]]/표10[[#This Row],[분모]]*100,0)&amp;"%","-")</f>
        <v>-</v>
      </c>
      <c r="P7" s="56"/>
      <c r="Q7" s="56" t="str">
        <f>IFERROR(ROUNDDOWN(표10[[#This Row],[최종배당'[5']]]/표10[[#This Row],[분모]]*100,0)&amp;"%","-")</f>
        <v>-</v>
      </c>
      <c r="S7" s="56" t="str">
        <f>IFERROR(VLOOKUP(표7[발견물'[0']],표1[[명칭]:[등급]],4,FALSE),"-")&amp;"급"</f>
        <v>0급</v>
      </c>
      <c r="T7" s="56" t="str">
        <f>IFERROR(VLOOKUP(표7[발견물'[1']],표1[[명칭]:[등급]],4,FALSE),"-")&amp;"급"</f>
        <v>0급</v>
      </c>
      <c r="U7" s="56" t="str">
        <f>IFERROR(VLOOKUP(표7[발견물'[2']],표1[[명칭]:[등급]],4,FALSE),"-")&amp;"급"</f>
        <v>0급</v>
      </c>
      <c r="V7" s="56" t="str">
        <f>IFERROR(VLOOKUP(표7[발견물'[3']],표1[[명칭]:[등급]],4,FALSE),"-")&amp;"급"</f>
        <v>0급</v>
      </c>
      <c r="W7" s="56" t="str">
        <f>IFERROR(VLOOKUP(표7[발견물'[4']],표1[[명칭]:[등급]],4,FALSE),"-")&amp;"급"</f>
        <v>0급</v>
      </c>
      <c r="X7" s="56" t="str">
        <f>IFERROR(VLOOKUP(표7[발견물'[5']],표1[[명칭]:[등급]],4,FALSE),"-")&amp;"급"</f>
        <v>0급</v>
      </c>
      <c r="Y7" s="56" t="str">
        <f>IFERROR(INDEX([1]FishGrade!$I:$I,MATCH(표10[[#This Row],[등급'[0']]],[1]FishGrade!$B:$B,0)),"-")</f>
        <v>-</v>
      </c>
      <c r="Z7" s="56" t="str">
        <f>IFERROR(INDEX([1]FishGrade!$I:$I,MATCH(표10[[#This Row],[등급'[1']]],[1]FishGrade!$B:$B,0)),"-")</f>
        <v>-</v>
      </c>
      <c r="AA7" s="56" t="str">
        <f>IFERROR(INDEX([1]FishGrade!$I:$I,MATCH(표10[[#This Row],[등급'[2']]],[1]FishGrade!$B:$B,0)),"-")</f>
        <v>-</v>
      </c>
      <c r="AB7" s="56" t="str">
        <f>IFERROR(INDEX([1]FishGrade!$I:$I,MATCH(표10[[#This Row],[등급'[3']]],[1]FishGrade!$B:$B,0)),"-")</f>
        <v>-</v>
      </c>
      <c r="AC7" s="56" t="str">
        <f>IFERROR(INDEX([1]FishGrade!$I:$I,MATCH(표10[[#This Row],[등급'[4']]],[1]FishGrade!$B:$B,0)),"-")</f>
        <v>-</v>
      </c>
      <c r="AD7" s="56" t="str">
        <f>IFERROR(INDEX([1]FishGrade!$I:$I,MATCH(표10[[#This Row],[등급'[5']]],[1]FishGrade!$B:$B,0)),"-")</f>
        <v>-</v>
      </c>
      <c r="AE7" s="56">
        <f>IF([1]FishDiscoveryGroup!$I$8="-",0,[1]FishDiscoveryGroup!$I$8)</f>
        <v>0</v>
      </c>
      <c r="AF7" s="56">
        <f>IF([1]FishDiscoveryGroup!$I$8="-",0,[1]FishDiscoveryGroup!$L$8)</f>
        <v>0</v>
      </c>
      <c r="AG7" s="56">
        <f>IF([1]FishDiscoveryGroup!$I$8="-",0,[1]FishDiscoveryGroup!$O$8)</f>
        <v>0</v>
      </c>
      <c r="AH7" s="56">
        <f>IF([1]FishDiscoveryGroup!$I$8="-",0,[1]FishDiscoveryGroup!$R$8)</f>
        <v>0</v>
      </c>
      <c r="AI7" s="56">
        <f>IF([1]FishDiscoveryGroup!$I$8="-",0,[1]FishDiscoveryGroup!$U$8)</f>
        <v>0</v>
      </c>
      <c r="AJ7" s="56">
        <f>IF([1]FishDiscoveryGroup!$I$8="-",0,[1]FishDiscoveryGroup!$X$8)</f>
        <v>0</v>
      </c>
      <c r="AK7" s="56">
        <f>IF(표10[[#This Row],[배당'[0']]]="-",0,표10[[#This Row],[배당'[0']]])+표10[[#This Row],[PROB'[0']]]</f>
        <v>0</v>
      </c>
      <c r="AL7" s="56">
        <f>IF(표10[[#This Row],[배당'[1']]]="-",0,표10[[#This Row],[배당'[1']]])+표10[[#This Row],[PROB'[1']]]</f>
        <v>0</v>
      </c>
      <c r="AM7" s="56">
        <f>IF(표10[[#This Row],[배당'[2']]]="-",0,표10[[#This Row],[배당'[2']]])+표10[[#This Row],[PROB'[2']]]</f>
        <v>0</v>
      </c>
      <c r="AN7" s="56">
        <f>IF(표10[[#This Row],[배당'[3']]]="-",0,표10[[#This Row],[배당'[3']]])+표10[[#This Row],[PROB'[3']]]</f>
        <v>0</v>
      </c>
      <c r="AO7" s="56">
        <f>IF(표10[[#This Row],[배당'[4']]]="-",0,표10[[#This Row],[배당'[4']]])+표10[[#This Row],[PROB'[4']]]</f>
        <v>0</v>
      </c>
      <c r="AP7" s="56">
        <f>IF(표10[[#This Row],[배당'[5']]]="-",0,표10[[#This Row],[배당'[5']]])+표10[[#This Row],[PROB'[5']]]</f>
        <v>0</v>
      </c>
      <c r="AQ7" s="56">
        <f>SUM(표10[[#This Row],[최종배당'[0']]:[최종배당'[5']]])</f>
        <v>0</v>
      </c>
    </row>
    <row r="8" spans="2:43" x14ac:dyDescent="0.3">
      <c r="B8" s="56" t="str">
        <f>[1]FishOceanTile!B13</f>
        <v>북미 서해안</v>
      </c>
      <c r="C8" s="56" t="str">
        <f>IFERROR(VLOOKUP(표7[[#This Row],[낚시 타일]],[3]!표1_67[[이름]:[선단 LV]],6,FALSE),"-")</f>
        <v>-</v>
      </c>
      <c r="D8" s="56" t="str">
        <f>IFERROR(VLOOKUP(표7[[#This Row],[낚시 타일]],[3]!표1_67[[이름]:[위도]],3,FALSE),"-")</f>
        <v>-</v>
      </c>
      <c r="E8" s="56" t="str">
        <f>IFERROR(VLOOKUP(표7[[#This Row],[낚시 타일]],[3]!표1_67[[이름]:[위도]],2,FALSE),"-")</f>
        <v>-</v>
      </c>
      <c r="F8" s="56"/>
      <c r="G8" s="56" t="str">
        <f>IFERROR(ROUNDDOWN(표10[[#This Row],[최종배당'[0']]]/표10[[#This Row],[분모]]*100,0)&amp;"%","-")</f>
        <v>-</v>
      </c>
      <c r="H8" s="56"/>
      <c r="I8" s="56" t="str">
        <f>IFERROR(ROUNDDOWN(표10[[#This Row],[최종배당'[1']]]/표10[[#This Row],[분모]]*100,0)&amp;"%","-")</f>
        <v>-</v>
      </c>
      <c r="J8" s="56"/>
      <c r="K8" s="56" t="str">
        <f>IFERROR(ROUNDDOWN(표10[[#This Row],[최종배당'[2']]]/표10[[#This Row],[분모]]*100,0)&amp;"%","-")</f>
        <v>-</v>
      </c>
      <c r="L8" s="56"/>
      <c r="M8" s="56" t="str">
        <f>IFERROR(ROUNDDOWN(표10[[#This Row],[최종배당'[3']]]/표10[[#This Row],[분모]]*100,0)&amp;"%","-")</f>
        <v>-</v>
      </c>
      <c r="N8" s="56"/>
      <c r="O8" s="56" t="str">
        <f>IFERROR(ROUNDDOWN(표10[[#This Row],[최종배당'[4']]]/표10[[#This Row],[분모]]*100,0)&amp;"%","-")</f>
        <v>-</v>
      </c>
      <c r="P8" s="56"/>
      <c r="Q8" s="56" t="str">
        <f>IFERROR(ROUNDDOWN(표10[[#This Row],[최종배당'[5']]]/표10[[#This Row],[분모]]*100,0)&amp;"%","-")</f>
        <v>-</v>
      </c>
      <c r="S8" s="56" t="str">
        <f>IFERROR(VLOOKUP(표7[발견물'[0']],표1[[명칭]:[등급]],4,FALSE),"-")&amp;"급"</f>
        <v>0급</v>
      </c>
      <c r="T8" s="56" t="str">
        <f>IFERROR(VLOOKUP(표7[발견물'[1']],표1[[명칭]:[등급]],4,FALSE),"-")&amp;"급"</f>
        <v>0급</v>
      </c>
      <c r="U8" s="56" t="str">
        <f>IFERROR(VLOOKUP(표7[발견물'[2']],표1[[명칭]:[등급]],4,FALSE),"-")&amp;"급"</f>
        <v>0급</v>
      </c>
      <c r="V8" s="56" t="str">
        <f>IFERROR(VLOOKUP(표7[발견물'[3']],표1[[명칭]:[등급]],4,FALSE),"-")&amp;"급"</f>
        <v>0급</v>
      </c>
      <c r="W8" s="56" t="str">
        <f>IFERROR(VLOOKUP(표7[발견물'[4']],표1[[명칭]:[등급]],4,FALSE),"-")&amp;"급"</f>
        <v>0급</v>
      </c>
      <c r="X8" s="56" t="str">
        <f>IFERROR(VLOOKUP(표7[발견물'[5']],표1[[명칭]:[등급]],4,FALSE),"-")&amp;"급"</f>
        <v>0급</v>
      </c>
      <c r="Y8" s="56" t="str">
        <f>IFERROR(INDEX([1]FishGrade!$I:$I,MATCH(표10[[#This Row],[등급'[0']]],[1]FishGrade!$B:$B,0)),"-")</f>
        <v>-</v>
      </c>
      <c r="Z8" s="56" t="str">
        <f>IFERROR(INDEX([1]FishGrade!$I:$I,MATCH(표10[[#This Row],[등급'[1']]],[1]FishGrade!$B:$B,0)),"-")</f>
        <v>-</v>
      </c>
      <c r="AA8" s="56" t="str">
        <f>IFERROR(INDEX([1]FishGrade!$I:$I,MATCH(표10[[#This Row],[등급'[2']]],[1]FishGrade!$B:$B,0)),"-")</f>
        <v>-</v>
      </c>
      <c r="AB8" s="56" t="str">
        <f>IFERROR(INDEX([1]FishGrade!$I:$I,MATCH(표10[[#This Row],[등급'[3']]],[1]FishGrade!$B:$B,0)),"-")</f>
        <v>-</v>
      </c>
      <c r="AC8" s="56" t="str">
        <f>IFERROR(INDEX([1]FishGrade!$I:$I,MATCH(표10[[#This Row],[등급'[4']]],[1]FishGrade!$B:$B,0)),"-")</f>
        <v>-</v>
      </c>
      <c r="AD8" s="56" t="str">
        <f>IFERROR(INDEX([1]FishGrade!$I:$I,MATCH(표10[[#This Row],[등급'[5']]],[1]FishGrade!$B:$B,0)),"-")</f>
        <v>-</v>
      </c>
      <c r="AE8" s="56">
        <f>IF([1]FishDiscoveryGroup!$I$8="-",0,[1]FishDiscoveryGroup!$I$8)</f>
        <v>0</v>
      </c>
      <c r="AF8" s="56">
        <f>IF([1]FishDiscoveryGroup!$I$8="-",0,[1]FishDiscoveryGroup!$L$8)</f>
        <v>0</v>
      </c>
      <c r="AG8" s="56">
        <f>IF([1]FishDiscoveryGroup!$I$8="-",0,[1]FishDiscoveryGroup!$O$8)</f>
        <v>0</v>
      </c>
      <c r="AH8" s="56">
        <f>IF([1]FishDiscoveryGroup!$I$8="-",0,[1]FishDiscoveryGroup!$R$8)</f>
        <v>0</v>
      </c>
      <c r="AI8" s="56">
        <f>IF([1]FishDiscoveryGroup!$I$8="-",0,[1]FishDiscoveryGroup!$U$8)</f>
        <v>0</v>
      </c>
      <c r="AJ8" s="56">
        <f>IF([1]FishDiscoveryGroup!$I$8="-",0,[1]FishDiscoveryGroup!$X$8)</f>
        <v>0</v>
      </c>
      <c r="AK8" s="56">
        <f>IF(표10[[#This Row],[배당'[0']]]="-",0,표10[[#This Row],[배당'[0']]])+표10[[#This Row],[PROB'[0']]]</f>
        <v>0</v>
      </c>
      <c r="AL8" s="56">
        <f>IF(표10[[#This Row],[배당'[1']]]="-",0,표10[[#This Row],[배당'[1']]])+표10[[#This Row],[PROB'[1']]]</f>
        <v>0</v>
      </c>
      <c r="AM8" s="56">
        <f>IF(표10[[#This Row],[배당'[2']]]="-",0,표10[[#This Row],[배당'[2']]])+표10[[#This Row],[PROB'[2']]]</f>
        <v>0</v>
      </c>
      <c r="AN8" s="56">
        <f>IF(표10[[#This Row],[배당'[3']]]="-",0,표10[[#This Row],[배당'[3']]])+표10[[#This Row],[PROB'[3']]]</f>
        <v>0</v>
      </c>
      <c r="AO8" s="56">
        <f>IF(표10[[#This Row],[배당'[4']]]="-",0,표10[[#This Row],[배당'[4']]])+표10[[#This Row],[PROB'[4']]]</f>
        <v>0</v>
      </c>
      <c r="AP8" s="56">
        <f>IF(표10[[#This Row],[배당'[5']]]="-",0,표10[[#This Row],[배당'[5']]])+표10[[#This Row],[PROB'[5']]]</f>
        <v>0</v>
      </c>
      <c r="AQ8" s="56">
        <f>SUM(표10[[#This Row],[최종배당'[0']]:[최종배당'[5']]])</f>
        <v>0</v>
      </c>
    </row>
    <row r="9" spans="2:43" x14ac:dyDescent="0.3">
      <c r="B9" s="56" t="str">
        <f>[1]FishOceanTile!B14</f>
        <v>샌프란시스코 앞바다</v>
      </c>
      <c r="C9" s="56" t="str">
        <f>IFERROR(VLOOKUP(표7[[#This Row],[낚시 타일]],[3]!표1_67[[이름]:[선단 LV]],6,FALSE),"-")</f>
        <v>-</v>
      </c>
      <c r="D9" s="56" t="str">
        <f>IFERROR(VLOOKUP(표7[[#This Row],[낚시 타일]],[3]!표1_67[[이름]:[위도]],3,FALSE),"-")</f>
        <v>-</v>
      </c>
      <c r="E9" s="56" t="str">
        <f>IFERROR(VLOOKUP(표7[[#This Row],[낚시 타일]],[3]!표1_67[[이름]:[위도]],2,FALSE),"-")</f>
        <v>-</v>
      </c>
      <c r="F9" s="56"/>
      <c r="G9" s="56" t="str">
        <f>IFERROR(ROUNDDOWN(표10[[#This Row],[최종배당'[0']]]/표10[[#This Row],[분모]]*100,0)&amp;"%","-")</f>
        <v>-</v>
      </c>
      <c r="H9" s="56"/>
      <c r="I9" s="56" t="str">
        <f>IFERROR(ROUNDDOWN(표10[[#This Row],[최종배당'[1']]]/표10[[#This Row],[분모]]*100,0)&amp;"%","-")</f>
        <v>-</v>
      </c>
      <c r="J9" s="56"/>
      <c r="K9" s="56" t="str">
        <f>IFERROR(ROUNDDOWN(표10[[#This Row],[최종배당'[2']]]/표10[[#This Row],[분모]]*100,0)&amp;"%","-")</f>
        <v>-</v>
      </c>
      <c r="L9" s="56"/>
      <c r="M9" s="56" t="str">
        <f>IFERROR(ROUNDDOWN(표10[[#This Row],[최종배당'[3']]]/표10[[#This Row],[분모]]*100,0)&amp;"%","-")</f>
        <v>-</v>
      </c>
      <c r="N9" s="56"/>
      <c r="O9" s="56" t="str">
        <f>IFERROR(ROUNDDOWN(표10[[#This Row],[최종배당'[4']]]/표10[[#This Row],[분모]]*100,0)&amp;"%","-")</f>
        <v>-</v>
      </c>
      <c r="P9" s="56"/>
      <c r="Q9" s="56" t="str">
        <f>IFERROR(ROUNDDOWN(표10[[#This Row],[최종배당'[5']]]/표10[[#This Row],[분모]]*100,0)&amp;"%","-")</f>
        <v>-</v>
      </c>
      <c r="S9" s="56" t="str">
        <f>IFERROR(VLOOKUP(표7[발견물'[0']],표1[[명칭]:[등급]],4,FALSE),"-")&amp;"급"</f>
        <v>0급</v>
      </c>
      <c r="T9" s="56" t="str">
        <f>IFERROR(VLOOKUP(표7[발견물'[1']],표1[[명칭]:[등급]],4,FALSE),"-")&amp;"급"</f>
        <v>0급</v>
      </c>
      <c r="U9" s="56" t="str">
        <f>IFERROR(VLOOKUP(표7[발견물'[2']],표1[[명칭]:[등급]],4,FALSE),"-")&amp;"급"</f>
        <v>0급</v>
      </c>
      <c r="V9" s="56" t="str">
        <f>IFERROR(VLOOKUP(표7[발견물'[3']],표1[[명칭]:[등급]],4,FALSE),"-")&amp;"급"</f>
        <v>0급</v>
      </c>
      <c r="W9" s="56" t="str">
        <f>IFERROR(VLOOKUP(표7[발견물'[4']],표1[[명칭]:[등급]],4,FALSE),"-")&amp;"급"</f>
        <v>0급</v>
      </c>
      <c r="X9" s="56" t="str">
        <f>IFERROR(VLOOKUP(표7[발견물'[5']],표1[[명칭]:[등급]],4,FALSE),"-")&amp;"급"</f>
        <v>0급</v>
      </c>
      <c r="Y9" s="56" t="str">
        <f>IFERROR(INDEX([1]FishGrade!$I:$I,MATCH(표10[[#This Row],[등급'[0']]],[1]FishGrade!$B:$B,0)),"-")</f>
        <v>-</v>
      </c>
      <c r="Z9" s="56" t="str">
        <f>IFERROR(INDEX([1]FishGrade!$I:$I,MATCH(표10[[#This Row],[등급'[1']]],[1]FishGrade!$B:$B,0)),"-")</f>
        <v>-</v>
      </c>
      <c r="AA9" s="56" t="str">
        <f>IFERROR(INDEX([1]FishGrade!$I:$I,MATCH(표10[[#This Row],[등급'[2']]],[1]FishGrade!$B:$B,0)),"-")</f>
        <v>-</v>
      </c>
      <c r="AB9" s="56" t="str">
        <f>IFERROR(INDEX([1]FishGrade!$I:$I,MATCH(표10[[#This Row],[등급'[3']]],[1]FishGrade!$B:$B,0)),"-")</f>
        <v>-</v>
      </c>
      <c r="AC9" s="56" t="str">
        <f>IFERROR(INDEX([1]FishGrade!$I:$I,MATCH(표10[[#This Row],[등급'[4']]],[1]FishGrade!$B:$B,0)),"-")</f>
        <v>-</v>
      </c>
      <c r="AD9" s="56" t="str">
        <f>IFERROR(INDEX([1]FishGrade!$I:$I,MATCH(표10[[#This Row],[등급'[5']]],[1]FishGrade!$B:$B,0)),"-")</f>
        <v>-</v>
      </c>
      <c r="AE9" s="56">
        <f>IF([1]FishDiscoveryGroup!$I$8="-",0,[1]FishDiscoveryGroup!$I$8)</f>
        <v>0</v>
      </c>
      <c r="AF9" s="56">
        <f>IF([1]FishDiscoveryGroup!$I$8="-",0,[1]FishDiscoveryGroup!$L$8)</f>
        <v>0</v>
      </c>
      <c r="AG9" s="56">
        <f>IF([1]FishDiscoveryGroup!$I$8="-",0,[1]FishDiscoveryGroup!$O$8)</f>
        <v>0</v>
      </c>
      <c r="AH9" s="56">
        <f>IF([1]FishDiscoveryGroup!$I$8="-",0,[1]FishDiscoveryGroup!$R$8)</f>
        <v>0</v>
      </c>
      <c r="AI9" s="56">
        <f>IF([1]FishDiscoveryGroup!$I$8="-",0,[1]FishDiscoveryGroup!$U$8)</f>
        <v>0</v>
      </c>
      <c r="AJ9" s="56">
        <f>IF([1]FishDiscoveryGroup!$I$8="-",0,[1]FishDiscoveryGroup!$X$8)</f>
        <v>0</v>
      </c>
      <c r="AK9" s="56">
        <f>IF(표10[[#This Row],[배당'[0']]]="-",0,표10[[#This Row],[배당'[0']]])+표10[[#This Row],[PROB'[0']]]</f>
        <v>0</v>
      </c>
      <c r="AL9" s="56">
        <f>IF(표10[[#This Row],[배당'[1']]]="-",0,표10[[#This Row],[배당'[1']]])+표10[[#This Row],[PROB'[1']]]</f>
        <v>0</v>
      </c>
      <c r="AM9" s="56">
        <f>IF(표10[[#This Row],[배당'[2']]]="-",0,표10[[#This Row],[배당'[2']]])+표10[[#This Row],[PROB'[2']]]</f>
        <v>0</v>
      </c>
      <c r="AN9" s="56">
        <f>IF(표10[[#This Row],[배당'[3']]]="-",0,표10[[#This Row],[배당'[3']]])+표10[[#This Row],[PROB'[3']]]</f>
        <v>0</v>
      </c>
      <c r="AO9" s="56">
        <f>IF(표10[[#This Row],[배당'[4']]]="-",0,표10[[#This Row],[배당'[4']]])+표10[[#This Row],[PROB'[4']]]</f>
        <v>0</v>
      </c>
      <c r="AP9" s="56">
        <f>IF(표10[[#This Row],[배당'[5']]]="-",0,표10[[#This Row],[배당'[5']]])+표10[[#This Row],[PROB'[5']]]</f>
        <v>0</v>
      </c>
      <c r="AQ9" s="56">
        <f>SUM(표10[[#This Row],[최종배당'[0']]:[최종배당'[5']]])</f>
        <v>0</v>
      </c>
    </row>
    <row r="10" spans="2:43" x14ac:dyDescent="0.3">
      <c r="B10" s="56" t="str">
        <f>[1]FishOceanTile!B15</f>
        <v>하와이 앞바다</v>
      </c>
      <c r="C10" s="56" t="str">
        <f>IFERROR(VLOOKUP(표7[[#This Row],[낚시 타일]],[3]!표1_67[[이름]:[선단 LV]],6,FALSE),"-")</f>
        <v>-</v>
      </c>
      <c r="D10" s="56" t="str">
        <f>IFERROR(VLOOKUP(표7[[#This Row],[낚시 타일]],[3]!표1_67[[이름]:[위도]],3,FALSE),"-")</f>
        <v>-</v>
      </c>
      <c r="E10" s="56" t="str">
        <f>IFERROR(VLOOKUP(표7[[#This Row],[낚시 타일]],[3]!표1_67[[이름]:[위도]],2,FALSE),"-")</f>
        <v>-</v>
      </c>
      <c r="F10" s="56"/>
      <c r="G10" s="56" t="str">
        <f>IFERROR(ROUNDDOWN(표10[[#This Row],[최종배당'[0']]]/표10[[#This Row],[분모]]*100,0)&amp;"%","-")</f>
        <v>-</v>
      </c>
      <c r="H10" s="56"/>
      <c r="I10" s="56" t="str">
        <f>IFERROR(ROUNDDOWN(표10[[#This Row],[최종배당'[1']]]/표10[[#This Row],[분모]]*100,0)&amp;"%","-")</f>
        <v>-</v>
      </c>
      <c r="J10" s="56"/>
      <c r="K10" s="56" t="str">
        <f>IFERROR(ROUNDDOWN(표10[[#This Row],[최종배당'[2']]]/표10[[#This Row],[분모]]*100,0)&amp;"%","-")</f>
        <v>-</v>
      </c>
      <c r="L10" s="56"/>
      <c r="M10" s="56" t="str">
        <f>IFERROR(ROUNDDOWN(표10[[#This Row],[최종배당'[3']]]/표10[[#This Row],[분모]]*100,0)&amp;"%","-")</f>
        <v>-</v>
      </c>
      <c r="N10" s="56"/>
      <c r="O10" s="56" t="str">
        <f>IFERROR(ROUNDDOWN(표10[[#This Row],[최종배당'[4']]]/표10[[#This Row],[분모]]*100,0)&amp;"%","-")</f>
        <v>-</v>
      </c>
      <c r="P10" s="56"/>
      <c r="Q10" s="56" t="str">
        <f>IFERROR(ROUNDDOWN(표10[[#This Row],[최종배당'[5']]]/표10[[#This Row],[분모]]*100,0)&amp;"%","-")</f>
        <v>-</v>
      </c>
      <c r="S10" s="56" t="str">
        <f>IFERROR(VLOOKUP(표7[발견물'[0']],표1[[명칭]:[등급]],4,FALSE),"-")&amp;"급"</f>
        <v>0급</v>
      </c>
      <c r="T10" s="56" t="str">
        <f>IFERROR(VLOOKUP(표7[발견물'[1']],표1[[명칭]:[등급]],4,FALSE),"-")&amp;"급"</f>
        <v>0급</v>
      </c>
      <c r="U10" s="56" t="str">
        <f>IFERROR(VLOOKUP(표7[발견물'[2']],표1[[명칭]:[등급]],4,FALSE),"-")&amp;"급"</f>
        <v>0급</v>
      </c>
      <c r="V10" s="56" t="str">
        <f>IFERROR(VLOOKUP(표7[발견물'[3']],표1[[명칭]:[등급]],4,FALSE),"-")&amp;"급"</f>
        <v>0급</v>
      </c>
      <c r="W10" s="56" t="str">
        <f>IFERROR(VLOOKUP(표7[발견물'[4']],표1[[명칭]:[등급]],4,FALSE),"-")&amp;"급"</f>
        <v>0급</v>
      </c>
      <c r="X10" s="56" t="str">
        <f>IFERROR(VLOOKUP(표7[발견물'[5']],표1[[명칭]:[등급]],4,FALSE),"-")&amp;"급"</f>
        <v>0급</v>
      </c>
      <c r="Y10" s="56" t="str">
        <f>IFERROR(INDEX([1]FishGrade!$I:$I,MATCH(표10[[#This Row],[등급'[0']]],[1]FishGrade!$B:$B,0)),"-")</f>
        <v>-</v>
      </c>
      <c r="Z10" s="56" t="str">
        <f>IFERROR(INDEX([1]FishGrade!$I:$I,MATCH(표10[[#This Row],[등급'[1']]],[1]FishGrade!$B:$B,0)),"-")</f>
        <v>-</v>
      </c>
      <c r="AA10" s="56" t="str">
        <f>IFERROR(INDEX([1]FishGrade!$I:$I,MATCH(표10[[#This Row],[등급'[2']]],[1]FishGrade!$B:$B,0)),"-")</f>
        <v>-</v>
      </c>
      <c r="AB10" s="56" t="str">
        <f>IFERROR(INDEX([1]FishGrade!$I:$I,MATCH(표10[[#This Row],[등급'[3']]],[1]FishGrade!$B:$B,0)),"-")</f>
        <v>-</v>
      </c>
      <c r="AC10" s="56" t="str">
        <f>IFERROR(INDEX([1]FishGrade!$I:$I,MATCH(표10[[#This Row],[등급'[4']]],[1]FishGrade!$B:$B,0)),"-")</f>
        <v>-</v>
      </c>
      <c r="AD10" s="56" t="str">
        <f>IFERROR(INDEX([1]FishGrade!$I:$I,MATCH(표10[[#This Row],[등급'[5']]],[1]FishGrade!$B:$B,0)),"-")</f>
        <v>-</v>
      </c>
      <c r="AE10" s="56">
        <f>IF([1]FishDiscoveryGroup!$I$8="-",0,[1]FishDiscoveryGroup!$I$8)</f>
        <v>0</v>
      </c>
      <c r="AF10" s="56">
        <f>IF([1]FishDiscoveryGroup!$I$8="-",0,[1]FishDiscoveryGroup!$L$8)</f>
        <v>0</v>
      </c>
      <c r="AG10" s="56">
        <f>IF([1]FishDiscoveryGroup!$I$8="-",0,[1]FishDiscoveryGroup!$O$8)</f>
        <v>0</v>
      </c>
      <c r="AH10" s="56">
        <f>IF([1]FishDiscoveryGroup!$I$8="-",0,[1]FishDiscoveryGroup!$R$8)</f>
        <v>0</v>
      </c>
      <c r="AI10" s="56">
        <f>IF([1]FishDiscoveryGroup!$I$8="-",0,[1]FishDiscoveryGroup!$U$8)</f>
        <v>0</v>
      </c>
      <c r="AJ10" s="56">
        <f>IF([1]FishDiscoveryGroup!$I$8="-",0,[1]FishDiscoveryGroup!$X$8)</f>
        <v>0</v>
      </c>
      <c r="AK10" s="56">
        <f>IF(표10[[#This Row],[배당'[0']]]="-",0,표10[[#This Row],[배당'[0']]])+표10[[#This Row],[PROB'[0']]]</f>
        <v>0</v>
      </c>
      <c r="AL10" s="56">
        <f>IF(표10[[#This Row],[배당'[1']]]="-",0,표10[[#This Row],[배당'[1']]])+표10[[#This Row],[PROB'[1']]]</f>
        <v>0</v>
      </c>
      <c r="AM10" s="56">
        <f>IF(표10[[#This Row],[배당'[2']]]="-",0,표10[[#This Row],[배당'[2']]])+표10[[#This Row],[PROB'[2']]]</f>
        <v>0</v>
      </c>
      <c r="AN10" s="56">
        <f>IF(표10[[#This Row],[배당'[3']]]="-",0,표10[[#This Row],[배당'[3']]])+표10[[#This Row],[PROB'[3']]]</f>
        <v>0</v>
      </c>
      <c r="AO10" s="56">
        <f>IF(표10[[#This Row],[배당'[4']]]="-",0,표10[[#This Row],[배당'[4']]])+표10[[#This Row],[PROB'[4']]]</f>
        <v>0</v>
      </c>
      <c r="AP10" s="56">
        <f>IF(표10[[#This Row],[배당'[5']]]="-",0,표10[[#This Row],[배당'[5']]])+표10[[#This Row],[PROB'[5']]]</f>
        <v>0</v>
      </c>
      <c r="AQ10" s="56">
        <f>SUM(표10[[#This Row],[최종배당'[0']]:[최종배당'[5']]])</f>
        <v>0</v>
      </c>
    </row>
    <row r="11" spans="2:43" x14ac:dyDescent="0.3">
      <c r="B11" s="56" t="str">
        <f>[1]FishOceanTile!B16</f>
        <v>캘리포니아만</v>
      </c>
      <c r="C11" s="56" t="str">
        <f>IFERROR(VLOOKUP(표7[[#This Row],[낚시 타일]],[3]!표1_67[[이름]:[선단 LV]],6,FALSE),"-")</f>
        <v>-</v>
      </c>
      <c r="D11" s="56" t="str">
        <f>IFERROR(VLOOKUP(표7[[#This Row],[낚시 타일]],[3]!표1_67[[이름]:[위도]],3,FALSE),"-")</f>
        <v>-</v>
      </c>
      <c r="E11" s="56" t="str">
        <f>IFERROR(VLOOKUP(표7[[#This Row],[낚시 타일]],[3]!표1_67[[이름]:[위도]],2,FALSE),"-")</f>
        <v>-</v>
      </c>
      <c r="F11" s="56"/>
      <c r="G11" s="56" t="str">
        <f>IFERROR(ROUNDDOWN(표10[[#This Row],[최종배당'[0']]]/표10[[#This Row],[분모]]*100,0)&amp;"%","-")</f>
        <v>-</v>
      </c>
      <c r="H11" s="56"/>
      <c r="I11" s="56" t="str">
        <f>IFERROR(ROUNDDOWN(표10[[#This Row],[최종배당'[1']]]/표10[[#This Row],[분모]]*100,0)&amp;"%","-")</f>
        <v>-</v>
      </c>
      <c r="J11" s="56"/>
      <c r="K11" s="56" t="str">
        <f>IFERROR(ROUNDDOWN(표10[[#This Row],[최종배당'[2']]]/표10[[#This Row],[분모]]*100,0)&amp;"%","-")</f>
        <v>-</v>
      </c>
      <c r="L11" s="56"/>
      <c r="M11" s="56" t="str">
        <f>IFERROR(ROUNDDOWN(표10[[#This Row],[최종배당'[3']]]/표10[[#This Row],[분모]]*100,0)&amp;"%","-")</f>
        <v>-</v>
      </c>
      <c r="N11" s="56"/>
      <c r="O11" s="56" t="str">
        <f>IFERROR(ROUNDDOWN(표10[[#This Row],[최종배당'[4']]]/표10[[#This Row],[분모]]*100,0)&amp;"%","-")</f>
        <v>-</v>
      </c>
      <c r="P11" s="56"/>
      <c r="Q11" s="56" t="str">
        <f>IFERROR(ROUNDDOWN(표10[[#This Row],[최종배당'[5']]]/표10[[#This Row],[분모]]*100,0)&amp;"%","-")</f>
        <v>-</v>
      </c>
      <c r="S11" s="56" t="str">
        <f>IFERROR(VLOOKUP(표7[발견물'[0']],표1[[명칭]:[등급]],4,FALSE),"-")&amp;"급"</f>
        <v>0급</v>
      </c>
      <c r="T11" s="56" t="str">
        <f>IFERROR(VLOOKUP(표7[발견물'[1']],표1[[명칭]:[등급]],4,FALSE),"-")&amp;"급"</f>
        <v>0급</v>
      </c>
      <c r="U11" s="56" t="str">
        <f>IFERROR(VLOOKUP(표7[발견물'[2']],표1[[명칭]:[등급]],4,FALSE),"-")&amp;"급"</f>
        <v>0급</v>
      </c>
      <c r="V11" s="56" t="str">
        <f>IFERROR(VLOOKUP(표7[발견물'[3']],표1[[명칭]:[등급]],4,FALSE),"-")&amp;"급"</f>
        <v>0급</v>
      </c>
      <c r="W11" s="56" t="str">
        <f>IFERROR(VLOOKUP(표7[발견물'[4']],표1[[명칭]:[등급]],4,FALSE),"-")&amp;"급"</f>
        <v>0급</v>
      </c>
      <c r="X11" s="56" t="str">
        <f>IFERROR(VLOOKUP(표7[발견물'[5']],표1[[명칭]:[등급]],4,FALSE),"-")&amp;"급"</f>
        <v>0급</v>
      </c>
      <c r="Y11" s="56" t="str">
        <f>IFERROR(INDEX([1]FishGrade!$I:$I,MATCH(표10[[#This Row],[등급'[0']]],[1]FishGrade!$B:$B,0)),"-")</f>
        <v>-</v>
      </c>
      <c r="Z11" s="56" t="str">
        <f>IFERROR(INDEX([1]FishGrade!$I:$I,MATCH(표10[[#This Row],[등급'[1']]],[1]FishGrade!$B:$B,0)),"-")</f>
        <v>-</v>
      </c>
      <c r="AA11" s="56" t="str">
        <f>IFERROR(INDEX([1]FishGrade!$I:$I,MATCH(표10[[#This Row],[등급'[2']]],[1]FishGrade!$B:$B,0)),"-")</f>
        <v>-</v>
      </c>
      <c r="AB11" s="56" t="str">
        <f>IFERROR(INDEX([1]FishGrade!$I:$I,MATCH(표10[[#This Row],[등급'[3']]],[1]FishGrade!$B:$B,0)),"-")</f>
        <v>-</v>
      </c>
      <c r="AC11" s="56" t="str">
        <f>IFERROR(INDEX([1]FishGrade!$I:$I,MATCH(표10[[#This Row],[등급'[4']]],[1]FishGrade!$B:$B,0)),"-")</f>
        <v>-</v>
      </c>
      <c r="AD11" s="56" t="str">
        <f>IFERROR(INDEX([1]FishGrade!$I:$I,MATCH(표10[[#This Row],[등급'[5']]],[1]FishGrade!$B:$B,0)),"-")</f>
        <v>-</v>
      </c>
      <c r="AE11" s="56">
        <f>IF([1]FishDiscoveryGroup!$I$8="-",0,[1]FishDiscoveryGroup!$I$8)</f>
        <v>0</v>
      </c>
      <c r="AF11" s="56">
        <f>IF([1]FishDiscoveryGroup!$I$8="-",0,[1]FishDiscoveryGroup!$L$8)</f>
        <v>0</v>
      </c>
      <c r="AG11" s="56">
        <f>IF([1]FishDiscoveryGroup!$I$8="-",0,[1]FishDiscoveryGroup!$O$8)</f>
        <v>0</v>
      </c>
      <c r="AH11" s="56">
        <f>IF([1]FishDiscoveryGroup!$I$8="-",0,[1]FishDiscoveryGroup!$R$8)</f>
        <v>0</v>
      </c>
      <c r="AI11" s="56">
        <f>IF([1]FishDiscoveryGroup!$I$8="-",0,[1]FishDiscoveryGroup!$U$8)</f>
        <v>0</v>
      </c>
      <c r="AJ11" s="56">
        <f>IF([1]FishDiscoveryGroup!$I$8="-",0,[1]FishDiscoveryGroup!$X$8)</f>
        <v>0</v>
      </c>
      <c r="AK11" s="56">
        <f>IF(표10[[#This Row],[배당'[0']]]="-",0,표10[[#This Row],[배당'[0']]])+표10[[#This Row],[PROB'[0']]]</f>
        <v>0</v>
      </c>
      <c r="AL11" s="56">
        <f>IF(표10[[#This Row],[배당'[1']]]="-",0,표10[[#This Row],[배당'[1']]])+표10[[#This Row],[PROB'[1']]]</f>
        <v>0</v>
      </c>
      <c r="AM11" s="56">
        <f>IF(표10[[#This Row],[배당'[2']]]="-",0,표10[[#This Row],[배당'[2']]])+표10[[#This Row],[PROB'[2']]]</f>
        <v>0</v>
      </c>
      <c r="AN11" s="56">
        <f>IF(표10[[#This Row],[배당'[3']]]="-",0,표10[[#This Row],[배당'[3']]])+표10[[#This Row],[PROB'[3']]]</f>
        <v>0</v>
      </c>
      <c r="AO11" s="56">
        <f>IF(표10[[#This Row],[배당'[4']]]="-",0,표10[[#This Row],[배당'[4']]])+표10[[#This Row],[PROB'[4']]]</f>
        <v>0</v>
      </c>
      <c r="AP11" s="56">
        <f>IF(표10[[#This Row],[배당'[5']]]="-",0,표10[[#This Row],[배당'[5']]])+표10[[#This Row],[PROB'[5']]]</f>
        <v>0</v>
      </c>
      <c r="AQ11" s="56">
        <f>SUM(표10[[#This Row],[최종배당'[0']]:[최종배당'[5']]])</f>
        <v>0</v>
      </c>
    </row>
    <row r="12" spans="2:43" x14ac:dyDescent="0.3">
      <c r="B12" s="56" t="str">
        <f>[1]FishOceanTile!B17</f>
        <v>중앙 태평양 서쪽</v>
      </c>
      <c r="C12" s="56" t="str">
        <f>IFERROR(VLOOKUP(표7[[#This Row],[낚시 타일]],[3]!표1_67[[이름]:[선단 LV]],6,FALSE),"-")</f>
        <v>-</v>
      </c>
      <c r="D12" s="56" t="str">
        <f>IFERROR(VLOOKUP(표7[[#This Row],[낚시 타일]],[3]!표1_67[[이름]:[위도]],3,FALSE),"-")</f>
        <v>-</v>
      </c>
      <c r="E12" s="56" t="str">
        <f>IFERROR(VLOOKUP(표7[[#This Row],[낚시 타일]],[3]!표1_67[[이름]:[위도]],2,FALSE),"-")</f>
        <v>-</v>
      </c>
      <c r="F12" s="56"/>
      <c r="G12" s="56" t="str">
        <f>IFERROR(ROUNDDOWN(표10[[#This Row],[최종배당'[0']]]/표10[[#This Row],[분모]]*100,0)&amp;"%","-")</f>
        <v>-</v>
      </c>
      <c r="H12" s="56"/>
      <c r="I12" s="56" t="str">
        <f>IFERROR(ROUNDDOWN(표10[[#This Row],[최종배당'[1']]]/표10[[#This Row],[분모]]*100,0)&amp;"%","-")</f>
        <v>-</v>
      </c>
      <c r="J12" s="56"/>
      <c r="K12" s="56" t="str">
        <f>IFERROR(ROUNDDOWN(표10[[#This Row],[최종배당'[2']]]/표10[[#This Row],[분모]]*100,0)&amp;"%","-")</f>
        <v>-</v>
      </c>
      <c r="L12" s="56"/>
      <c r="M12" s="56" t="str">
        <f>IFERROR(ROUNDDOWN(표10[[#This Row],[최종배당'[3']]]/표10[[#This Row],[분모]]*100,0)&amp;"%","-")</f>
        <v>-</v>
      </c>
      <c r="N12" s="56"/>
      <c r="O12" s="56" t="str">
        <f>IFERROR(ROUNDDOWN(표10[[#This Row],[최종배당'[4']]]/표10[[#This Row],[분모]]*100,0)&amp;"%","-")</f>
        <v>-</v>
      </c>
      <c r="P12" s="56"/>
      <c r="Q12" s="56" t="str">
        <f>IFERROR(ROUNDDOWN(표10[[#This Row],[최종배당'[5']]]/표10[[#This Row],[분모]]*100,0)&amp;"%","-")</f>
        <v>-</v>
      </c>
      <c r="S12" s="56" t="str">
        <f>IFERROR(VLOOKUP(표7[발견물'[0']],표1[[명칭]:[등급]],4,FALSE),"-")&amp;"급"</f>
        <v>0급</v>
      </c>
      <c r="T12" s="56" t="str">
        <f>IFERROR(VLOOKUP(표7[발견물'[1']],표1[[명칭]:[등급]],4,FALSE),"-")&amp;"급"</f>
        <v>0급</v>
      </c>
      <c r="U12" s="56" t="str">
        <f>IFERROR(VLOOKUP(표7[발견물'[2']],표1[[명칭]:[등급]],4,FALSE),"-")&amp;"급"</f>
        <v>0급</v>
      </c>
      <c r="V12" s="56" t="str">
        <f>IFERROR(VLOOKUP(표7[발견물'[3']],표1[[명칭]:[등급]],4,FALSE),"-")&amp;"급"</f>
        <v>0급</v>
      </c>
      <c r="W12" s="56" t="str">
        <f>IFERROR(VLOOKUP(표7[발견물'[4']],표1[[명칭]:[등급]],4,FALSE),"-")&amp;"급"</f>
        <v>0급</v>
      </c>
      <c r="X12" s="56" t="str">
        <f>IFERROR(VLOOKUP(표7[발견물'[5']],표1[[명칭]:[등급]],4,FALSE),"-")&amp;"급"</f>
        <v>0급</v>
      </c>
      <c r="Y12" s="56" t="str">
        <f>IFERROR(INDEX([1]FishGrade!$I:$I,MATCH(표10[[#This Row],[등급'[0']]],[1]FishGrade!$B:$B,0)),"-")</f>
        <v>-</v>
      </c>
      <c r="Z12" s="56" t="str">
        <f>IFERROR(INDEX([1]FishGrade!$I:$I,MATCH(표10[[#This Row],[등급'[1']]],[1]FishGrade!$B:$B,0)),"-")</f>
        <v>-</v>
      </c>
      <c r="AA12" s="56" t="str">
        <f>IFERROR(INDEX([1]FishGrade!$I:$I,MATCH(표10[[#This Row],[등급'[2']]],[1]FishGrade!$B:$B,0)),"-")</f>
        <v>-</v>
      </c>
      <c r="AB12" s="56" t="str">
        <f>IFERROR(INDEX([1]FishGrade!$I:$I,MATCH(표10[[#This Row],[등급'[3']]],[1]FishGrade!$B:$B,0)),"-")</f>
        <v>-</v>
      </c>
      <c r="AC12" s="56" t="str">
        <f>IFERROR(INDEX([1]FishGrade!$I:$I,MATCH(표10[[#This Row],[등급'[4']]],[1]FishGrade!$B:$B,0)),"-")</f>
        <v>-</v>
      </c>
      <c r="AD12" s="56" t="str">
        <f>IFERROR(INDEX([1]FishGrade!$I:$I,MATCH(표10[[#This Row],[등급'[5']]],[1]FishGrade!$B:$B,0)),"-")</f>
        <v>-</v>
      </c>
      <c r="AE12" s="56">
        <f>IF([1]FishDiscoveryGroup!$I$8="-",0,[1]FishDiscoveryGroup!$I$8)</f>
        <v>0</v>
      </c>
      <c r="AF12" s="56">
        <f>IF([1]FishDiscoveryGroup!$I$8="-",0,[1]FishDiscoveryGroup!$L$8)</f>
        <v>0</v>
      </c>
      <c r="AG12" s="56">
        <f>IF([1]FishDiscoveryGroup!$I$8="-",0,[1]FishDiscoveryGroup!$O$8)</f>
        <v>0</v>
      </c>
      <c r="AH12" s="56">
        <f>IF([1]FishDiscoveryGroup!$I$8="-",0,[1]FishDiscoveryGroup!$R$8)</f>
        <v>0</v>
      </c>
      <c r="AI12" s="56">
        <f>IF([1]FishDiscoveryGroup!$I$8="-",0,[1]FishDiscoveryGroup!$U$8)</f>
        <v>0</v>
      </c>
      <c r="AJ12" s="56">
        <f>IF([1]FishDiscoveryGroup!$I$8="-",0,[1]FishDiscoveryGroup!$X$8)</f>
        <v>0</v>
      </c>
      <c r="AK12" s="56">
        <f>IF(표10[[#This Row],[배당'[0']]]="-",0,표10[[#This Row],[배당'[0']]])+표10[[#This Row],[PROB'[0']]]</f>
        <v>0</v>
      </c>
      <c r="AL12" s="56">
        <f>IF(표10[[#This Row],[배당'[1']]]="-",0,표10[[#This Row],[배당'[1']]])+표10[[#This Row],[PROB'[1']]]</f>
        <v>0</v>
      </c>
      <c r="AM12" s="56">
        <f>IF(표10[[#This Row],[배당'[2']]]="-",0,표10[[#This Row],[배당'[2']]])+표10[[#This Row],[PROB'[2']]]</f>
        <v>0</v>
      </c>
      <c r="AN12" s="56">
        <f>IF(표10[[#This Row],[배당'[3']]]="-",0,표10[[#This Row],[배당'[3']]])+표10[[#This Row],[PROB'[3']]]</f>
        <v>0</v>
      </c>
      <c r="AO12" s="56">
        <f>IF(표10[[#This Row],[배당'[4']]]="-",0,표10[[#This Row],[배당'[4']]])+표10[[#This Row],[PROB'[4']]]</f>
        <v>0</v>
      </c>
      <c r="AP12" s="56">
        <f>IF(표10[[#This Row],[배당'[5']]]="-",0,표10[[#This Row],[배당'[5']]])+표10[[#This Row],[PROB'[5']]]</f>
        <v>0</v>
      </c>
      <c r="AQ12" s="56">
        <f>SUM(표10[[#This Row],[최종배당'[0']]:[최종배당'[5']]])</f>
        <v>0</v>
      </c>
    </row>
    <row r="13" spans="2:43" x14ac:dyDescent="0.3">
      <c r="B13" s="56" t="str">
        <f>[1]FishOceanTile!B18</f>
        <v>중앙 태평양</v>
      </c>
      <c r="C13" s="56" t="str">
        <f>IFERROR(VLOOKUP(표7[[#This Row],[낚시 타일]],[3]!표1_67[[이름]:[선단 LV]],6,FALSE),"-")</f>
        <v>-</v>
      </c>
      <c r="D13" s="56" t="str">
        <f>IFERROR(VLOOKUP(표7[[#This Row],[낚시 타일]],[3]!표1_67[[이름]:[위도]],3,FALSE),"-")</f>
        <v>-</v>
      </c>
      <c r="E13" s="56" t="str">
        <f>IFERROR(VLOOKUP(표7[[#This Row],[낚시 타일]],[3]!표1_67[[이름]:[위도]],2,FALSE),"-")</f>
        <v>-</v>
      </c>
      <c r="F13" s="56"/>
      <c r="G13" s="56" t="str">
        <f>IFERROR(ROUNDDOWN(표10[[#This Row],[최종배당'[0']]]/표10[[#This Row],[분모]]*100,0)&amp;"%","-")</f>
        <v>-</v>
      </c>
      <c r="H13" s="56"/>
      <c r="I13" s="56" t="str">
        <f>IFERROR(ROUNDDOWN(표10[[#This Row],[최종배당'[1']]]/표10[[#This Row],[분모]]*100,0)&amp;"%","-")</f>
        <v>-</v>
      </c>
      <c r="J13" s="56"/>
      <c r="K13" s="56" t="str">
        <f>IFERROR(ROUNDDOWN(표10[[#This Row],[최종배당'[2']]]/표10[[#This Row],[분모]]*100,0)&amp;"%","-")</f>
        <v>-</v>
      </c>
      <c r="L13" s="56"/>
      <c r="M13" s="56" t="str">
        <f>IFERROR(ROUNDDOWN(표10[[#This Row],[최종배당'[3']]]/표10[[#This Row],[분모]]*100,0)&amp;"%","-")</f>
        <v>-</v>
      </c>
      <c r="N13" s="56"/>
      <c r="O13" s="56" t="str">
        <f>IFERROR(ROUNDDOWN(표10[[#This Row],[최종배당'[4']]]/표10[[#This Row],[분모]]*100,0)&amp;"%","-")</f>
        <v>-</v>
      </c>
      <c r="P13" s="56"/>
      <c r="Q13" s="56" t="str">
        <f>IFERROR(ROUNDDOWN(표10[[#This Row],[최종배당'[5']]]/표10[[#This Row],[분모]]*100,0)&amp;"%","-")</f>
        <v>-</v>
      </c>
      <c r="S13" s="56" t="str">
        <f>IFERROR(VLOOKUP(표7[발견물'[0']],표1[[명칭]:[등급]],4,FALSE),"-")&amp;"급"</f>
        <v>0급</v>
      </c>
      <c r="T13" s="56" t="str">
        <f>IFERROR(VLOOKUP(표7[발견물'[1']],표1[[명칭]:[등급]],4,FALSE),"-")&amp;"급"</f>
        <v>0급</v>
      </c>
      <c r="U13" s="56" t="str">
        <f>IFERROR(VLOOKUP(표7[발견물'[2']],표1[[명칭]:[등급]],4,FALSE),"-")&amp;"급"</f>
        <v>0급</v>
      </c>
      <c r="V13" s="56" t="str">
        <f>IFERROR(VLOOKUP(표7[발견물'[3']],표1[[명칭]:[등급]],4,FALSE),"-")&amp;"급"</f>
        <v>0급</v>
      </c>
      <c r="W13" s="56" t="str">
        <f>IFERROR(VLOOKUP(표7[발견물'[4']],표1[[명칭]:[등급]],4,FALSE),"-")&amp;"급"</f>
        <v>0급</v>
      </c>
      <c r="X13" s="56" t="str">
        <f>IFERROR(VLOOKUP(표7[발견물'[5']],표1[[명칭]:[등급]],4,FALSE),"-")&amp;"급"</f>
        <v>0급</v>
      </c>
      <c r="Y13" s="56" t="str">
        <f>IFERROR(INDEX([1]FishGrade!$I:$I,MATCH(표10[[#This Row],[등급'[0']]],[1]FishGrade!$B:$B,0)),"-")</f>
        <v>-</v>
      </c>
      <c r="Z13" s="56" t="str">
        <f>IFERROR(INDEX([1]FishGrade!$I:$I,MATCH(표10[[#This Row],[등급'[1']]],[1]FishGrade!$B:$B,0)),"-")</f>
        <v>-</v>
      </c>
      <c r="AA13" s="56" t="str">
        <f>IFERROR(INDEX([1]FishGrade!$I:$I,MATCH(표10[[#This Row],[등급'[2']]],[1]FishGrade!$B:$B,0)),"-")</f>
        <v>-</v>
      </c>
      <c r="AB13" s="56" t="str">
        <f>IFERROR(INDEX([1]FishGrade!$I:$I,MATCH(표10[[#This Row],[등급'[3']]],[1]FishGrade!$B:$B,0)),"-")</f>
        <v>-</v>
      </c>
      <c r="AC13" s="56" t="str">
        <f>IFERROR(INDEX([1]FishGrade!$I:$I,MATCH(표10[[#This Row],[등급'[4']]],[1]FishGrade!$B:$B,0)),"-")</f>
        <v>-</v>
      </c>
      <c r="AD13" s="56" t="str">
        <f>IFERROR(INDEX([1]FishGrade!$I:$I,MATCH(표10[[#This Row],[등급'[5']]],[1]FishGrade!$B:$B,0)),"-")</f>
        <v>-</v>
      </c>
      <c r="AE13" s="56">
        <f>IF([1]FishDiscoveryGroup!$I$8="-",0,[1]FishDiscoveryGroup!$I$8)</f>
        <v>0</v>
      </c>
      <c r="AF13" s="56">
        <f>IF([1]FishDiscoveryGroup!$I$8="-",0,[1]FishDiscoveryGroup!$L$8)</f>
        <v>0</v>
      </c>
      <c r="AG13" s="56">
        <f>IF([1]FishDiscoveryGroup!$I$8="-",0,[1]FishDiscoveryGroup!$O$8)</f>
        <v>0</v>
      </c>
      <c r="AH13" s="56">
        <f>IF([1]FishDiscoveryGroup!$I$8="-",0,[1]FishDiscoveryGroup!$R$8)</f>
        <v>0</v>
      </c>
      <c r="AI13" s="56">
        <f>IF([1]FishDiscoveryGroup!$I$8="-",0,[1]FishDiscoveryGroup!$U$8)</f>
        <v>0</v>
      </c>
      <c r="AJ13" s="56">
        <f>IF([1]FishDiscoveryGroup!$I$8="-",0,[1]FishDiscoveryGroup!$X$8)</f>
        <v>0</v>
      </c>
      <c r="AK13" s="56">
        <f>IF(표10[[#This Row],[배당'[0']]]="-",0,표10[[#This Row],[배당'[0']]])+표10[[#This Row],[PROB'[0']]]</f>
        <v>0</v>
      </c>
      <c r="AL13" s="56">
        <f>IF(표10[[#This Row],[배당'[1']]]="-",0,표10[[#This Row],[배당'[1']]])+표10[[#This Row],[PROB'[1']]]</f>
        <v>0</v>
      </c>
      <c r="AM13" s="56">
        <f>IF(표10[[#This Row],[배당'[2']]]="-",0,표10[[#This Row],[배당'[2']]])+표10[[#This Row],[PROB'[2']]]</f>
        <v>0</v>
      </c>
      <c r="AN13" s="56">
        <f>IF(표10[[#This Row],[배당'[3']]]="-",0,표10[[#This Row],[배당'[3']]])+표10[[#This Row],[PROB'[3']]]</f>
        <v>0</v>
      </c>
      <c r="AO13" s="56">
        <f>IF(표10[[#This Row],[배당'[4']]]="-",0,표10[[#This Row],[배당'[4']]])+표10[[#This Row],[PROB'[4']]]</f>
        <v>0</v>
      </c>
      <c r="AP13" s="56">
        <f>IF(표10[[#This Row],[배당'[5']]]="-",0,표10[[#This Row],[배당'[5']]])+표10[[#This Row],[PROB'[5']]]</f>
        <v>0</v>
      </c>
      <c r="AQ13" s="56">
        <f>SUM(표10[[#This Row],[최종배당'[0']]:[최종배당'[5']]])</f>
        <v>0</v>
      </c>
    </row>
    <row r="14" spans="2:43" x14ac:dyDescent="0.3">
      <c r="B14" s="56" t="str">
        <f>[1]FishOceanTile!B19</f>
        <v>중앙 태평양 동쪽</v>
      </c>
      <c r="C14" s="56" t="str">
        <f>IFERROR(VLOOKUP(표7[[#This Row],[낚시 타일]],[3]!표1_67[[이름]:[선단 LV]],6,FALSE),"-")</f>
        <v>-</v>
      </c>
      <c r="D14" s="56" t="str">
        <f>IFERROR(VLOOKUP(표7[[#This Row],[낚시 타일]],[3]!표1_67[[이름]:[위도]],3,FALSE),"-")</f>
        <v>-</v>
      </c>
      <c r="E14" s="56" t="str">
        <f>IFERROR(VLOOKUP(표7[[#This Row],[낚시 타일]],[3]!표1_67[[이름]:[위도]],2,FALSE),"-")</f>
        <v>-</v>
      </c>
      <c r="F14" s="56"/>
      <c r="G14" s="56" t="str">
        <f>IFERROR(ROUNDDOWN(표10[[#This Row],[최종배당'[0']]]/표10[[#This Row],[분모]]*100,0)&amp;"%","-")</f>
        <v>-</v>
      </c>
      <c r="H14" s="56"/>
      <c r="I14" s="56" t="str">
        <f>IFERROR(ROUNDDOWN(표10[[#This Row],[최종배당'[1']]]/표10[[#This Row],[분모]]*100,0)&amp;"%","-")</f>
        <v>-</v>
      </c>
      <c r="J14" s="56"/>
      <c r="K14" s="56" t="str">
        <f>IFERROR(ROUNDDOWN(표10[[#This Row],[최종배당'[2']]]/표10[[#This Row],[분모]]*100,0)&amp;"%","-")</f>
        <v>-</v>
      </c>
      <c r="L14" s="56"/>
      <c r="M14" s="56" t="str">
        <f>IFERROR(ROUNDDOWN(표10[[#This Row],[최종배당'[3']]]/표10[[#This Row],[분모]]*100,0)&amp;"%","-")</f>
        <v>-</v>
      </c>
      <c r="N14" s="56"/>
      <c r="O14" s="56" t="str">
        <f>IFERROR(ROUNDDOWN(표10[[#This Row],[최종배당'[4']]]/표10[[#This Row],[분모]]*100,0)&amp;"%","-")</f>
        <v>-</v>
      </c>
      <c r="P14" s="56"/>
      <c r="Q14" s="56" t="str">
        <f>IFERROR(ROUNDDOWN(표10[[#This Row],[최종배당'[5']]]/표10[[#This Row],[분모]]*100,0)&amp;"%","-")</f>
        <v>-</v>
      </c>
      <c r="S14" s="56" t="str">
        <f>IFERROR(VLOOKUP(표7[발견물'[0']],표1[[명칭]:[등급]],4,FALSE),"-")&amp;"급"</f>
        <v>0급</v>
      </c>
      <c r="T14" s="56" t="str">
        <f>IFERROR(VLOOKUP(표7[발견물'[1']],표1[[명칭]:[등급]],4,FALSE),"-")&amp;"급"</f>
        <v>0급</v>
      </c>
      <c r="U14" s="56" t="str">
        <f>IFERROR(VLOOKUP(표7[발견물'[2']],표1[[명칭]:[등급]],4,FALSE),"-")&amp;"급"</f>
        <v>0급</v>
      </c>
      <c r="V14" s="56" t="str">
        <f>IFERROR(VLOOKUP(표7[발견물'[3']],표1[[명칭]:[등급]],4,FALSE),"-")&amp;"급"</f>
        <v>0급</v>
      </c>
      <c r="W14" s="56" t="str">
        <f>IFERROR(VLOOKUP(표7[발견물'[4']],표1[[명칭]:[등급]],4,FALSE),"-")&amp;"급"</f>
        <v>0급</v>
      </c>
      <c r="X14" s="56" t="str">
        <f>IFERROR(VLOOKUP(표7[발견물'[5']],표1[[명칭]:[등급]],4,FALSE),"-")&amp;"급"</f>
        <v>0급</v>
      </c>
      <c r="Y14" s="56" t="str">
        <f>IFERROR(INDEX([1]FishGrade!$I:$I,MATCH(표10[[#This Row],[등급'[0']]],[1]FishGrade!$B:$B,0)),"-")</f>
        <v>-</v>
      </c>
      <c r="Z14" s="56" t="str">
        <f>IFERROR(INDEX([1]FishGrade!$I:$I,MATCH(표10[[#This Row],[등급'[1']]],[1]FishGrade!$B:$B,0)),"-")</f>
        <v>-</v>
      </c>
      <c r="AA14" s="56" t="str">
        <f>IFERROR(INDEX([1]FishGrade!$I:$I,MATCH(표10[[#This Row],[등급'[2']]],[1]FishGrade!$B:$B,0)),"-")</f>
        <v>-</v>
      </c>
      <c r="AB14" s="56" t="str">
        <f>IFERROR(INDEX([1]FishGrade!$I:$I,MATCH(표10[[#This Row],[등급'[3']]],[1]FishGrade!$B:$B,0)),"-")</f>
        <v>-</v>
      </c>
      <c r="AC14" s="56" t="str">
        <f>IFERROR(INDEX([1]FishGrade!$I:$I,MATCH(표10[[#This Row],[등급'[4']]],[1]FishGrade!$B:$B,0)),"-")</f>
        <v>-</v>
      </c>
      <c r="AD14" s="56" t="str">
        <f>IFERROR(INDEX([1]FishGrade!$I:$I,MATCH(표10[[#This Row],[등급'[5']]],[1]FishGrade!$B:$B,0)),"-")</f>
        <v>-</v>
      </c>
      <c r="AE14" s="56">
        <f>IF([1]FishDiscoveryGroup!$I$8="-",0,[1]FishDiscoveryGroup!$I$8)</f>
        <v>0</v>
      </c>
      <c r="AF14" s="56">
        <f>IF([1]FishDiscoveryGroup!$I$8="-",0,[1]FishDiscoveryGroup!$L$8)</f>
        <v>0</v>
      </c>
      <c r="AG14" s="56">
        <f>IF([1]FishDiscoveryGroup!$I$8="-",0,[1]FishDiscoveryGroup!$O$8)</f>
        <v>0</v>
      </c>
      <c r="AH14" s="56">
        <f>IF([1]FishDiscoveryGroup!$I$8="-",0,[1]FishDiscoveryGroup!$R$8)</f>
        <v>0</v>
      </c>
      <c r="AI14" s="56">
        <f>IF([1]FishDiscoveryGroup!$I$8="-",0,[1]FishDiscoveryGroup!$U$8)</f>
        <v>0</v>
      </c>
      <c r="AJ14" s="56">
        <f>IF([1]FishDiscoveryGroup!$I$8="-",0,[1]FishDiscoveryGroup!$X$8)</f>
        <v>0</v>
      </c>
      <c r="AK14" s="56">
        <f>IF(표10[[#This Row],[배당'[0']]]="-",0,표10[[#This Row],[배당'[0']]])+표10[[#This Row],[PROB'[0']]]</f>
        <v>0</v>
      </c>
      <c r="AL14" s="56">
        <f>IF(표10[[#This Row],[배당'[1']]]="-",0,표10[[#This Row],[배당'[1']]])+표10[[#This Row],[PROB'[1']]]</f>
        <v>0</v>
      </c>
      <c r="AM14" s="56">
        <f>IF(표10[[#This Row],[배당'[2']]]="-",0,표10[[#This Row],[배당'[2']]])+표10[[#This Row],[PROB'[2']]]</f>
        <v>0</v>
      </c>
      <c r="AN14" s="56">
        <f>IF(표10[[#This Row],[배당'[3']]]="-",0,표10[[#This Row],[배당'[3']]])+표10[[#This Row],[PROB'[3']]]</f>
        <v>0</v>
      </c>
      <c r="AO14" s="56">
        <f>IF(표10[[#This Row],[배당'[4']]]="-",0,표10[[#This Row],[배당'[4']]])+표10[[#This Row],[PROB'[4']]]</f>
        <v>0</v>
      </c>
      <c r="AP14" s="56">
        <f>IF(표10[[#This Row],[배당'[5']]]="-",0,표10[[#This Row],[배당'[5']]])+표10[[#This Row],[PROB'[5']]]</f>
        <v>0</v>
      </c>
      <c r="AQ14" s="56">
        <f>SUM(표10[[#This Row],[최종배당'[0']]:[최종배당'[5']]])</f>
        <v>0</v>
      </c>
    </row>
    <row r="15" spans="2:43" x14ac:dyDescent="0.3">
      <c r="B15" s="56" t="str">
        <f>[1]FishOceanTile!B20</f>
        <v>남 태평양 북쪽</v>
      </c>
      <c r="C15" s="56" t="str">
        <f>IFERROR(VLOOKUP(표7[[#This Row],[낚시 타일]],[3]!표1_67[[이름]:[선단 LV]],6,FALSE),"-")</f>
        <v>-</v>
      </c>
      <c r="D15" s="56" t="str">
        <f>IFERROR(VLOOKUP(표7[[#This Row],[낚시 타일]],[3]!표1_67[[이름]:[위도]],3,FALSE),"-")</f>
        <v>-</v>
      </c>
      <c r="E15" s="56" t="str">
        <f>IFERROR(VLOOKUP(표7[[#This Row],[낚시 타일]],[3]!표1_67[[이름]:[위도]],2,FALSE),"-")</f>
        <v>-</v>
      </c>
      <c r="F15" s="56"/>
      <c r="G15" s="56" t="str">
        <f>IFERROR(ROUNDDOWN(표10[[#This Row],[최종배당'[0']]]/표10[[#This Row],[분모]]*100,0)&amp;"%","-")</f>
        <v>-</v>
      </c>
      <c r="H15" s="56"/>
      <c r="I15" s="56" t="str">
        <f>IFERROR(ROUNDDOWN(표10[[#This Row],[최종배당'[1']]]/표10[[#This Row],[분모]]*100,0)&amp;"%","-")</f>
        <v>-</v>
      </c>
      <c r="J15" s="56"/>
      <c r="K15" s="56" t="str">
        <f>IFERROR(ROUNDDOWN(표10[[#This Row],[최종배당'[2']]]/표10[[#This Row],[분모]]*100,0)&amp;"%","-")</f>
        <v>-</v>
      </c>
      <c r="L15" s="56"/>
      <c r="M15" s="56" t="str">
        <f>IFERROR(ROUNDDOWN(표10[[#This Row],[최종배당'[3']]]/표10[[#This Row],[분모]]*100,0)&amp;"%","-")</f>
        <v>-</v>
      </c>
      <c r="N15" s="56"/>
      <c r="O15" s="56" t="str">
        <f>IFERROR(ROUNDDOWN(표10[[#This Row],[최종배당'[4']]]/표10[[#This Row],[분모]]*100,0)&amp;"%","-")</f>
        <v>-</v>
      </c>
      <c r="P15" s="56"/>
      <c r="Q15" s="56" t="str">
        <f>IFERROR(ROUNDDOWN(표10[[#This Row],[최종배당'[5']]]/표10[[#This Row],[분모]]*100,0)&amp;"%","-")</f>
        <v>-</v>
      </c>
      <c r="S15" s="56" t="str">
        <f>IFERROR(VLOOKUP(표7[발견물'[0']],표1[[명칭]:[등급]],4,FALSE),"-")&amp;"급"</f>
        <v>0급</v>
      </c>
      <c r="T15" s="56" t="str">
        <f>IFERROR(VLOOKUP(표7[발견물'[1']],표1[[명칭]:[등급]],4,FALSE),"-")&amp;"급"</f>
        <v>0급</v>
      </c>
      <c r="U15" s="56" t="str">
        <f>IFERROR(VLOOKUP(표7[발견물'[2']],표1[[명칭]:[등급]],4,FALSE),"-")&amp;"급"</f>
        <v>0급</v>
      </c>
      <c r="V15" s="56" t="str">
        <f>IFERROR(VLOOKUP(표7[발견물'[3']],표1[[명칭]:[등급]],4,FALSE),"-")&amp;"급"</f>
        <v>0급</v>
      </c>
      <c r="W15" s="56" t="str">
        <f>IFERROR(VLOOKUP(표7[발견물'[4']],표1[[명칭]:[등급]],4,FALSE),"-")&amp;"급"</f>
        <v>0급</v>
      </c>
      <c r="X15" s="56" t="str">
        <f>IFERROR(VLOOKUP(표7[발견물'[5']],표1[[명칭]:[등급]],4,FALSE),"-")&amp;"급"</f>
        <v>0급</v>
      </c>
      <c r="Y15" s="56" t="str">
        <f>IFERROR(INDEX([1]FishGrade!$I:$I,MATCH(표10[[#This Row],[등급'[0']]],[1]FishGrade!$B:$B,0)),"-")</f>
        <v>-</v>
      </c>
      <c r="Z15" s="56" t="str">
        <f>IFERROR(INDEX([1]FishGrade!$I:$I,MATCH(표10[[#This Row],[등급'[1']]],[1]FishGrade!$B:$B,0)),"-")</f>
        <v>-</v>
      </c>
      <c r="AA15" s="56" t="str">
        <f>IFERROR(INDEX([1]FishGrade!$I:$I,MATCH(표10[[#This Row],[등급'[2']]],[1]FishGrade!$B:$B,0)),"-")</f>
        <v>-</v>
      </c>
      <c r="AB15" s="56" t="str">
        <f>IFERROR(INDEX([1]FishGrade!$I:$I,MATCH(표10[[#This Row],[등급'[3']]],[1]FishGrade!$B:$B,0)),"-")</f>
        <v>-</v>
      </c>
      <c r="AC15" s="56" t="str">
        <f>IFERROR(INDEX([1]FishGrade!$I:$I,MATCH(표10[[#This Row],[등급'[4']]],[1]FishGrade!$B:$B,0)),"-")</f>
        <v>-</v>
      </c>
      <c r="AD15" s="56" t="str">
        <f>IFERROR(INDEX([1]FishGrade!$I:$I,MATCH(표10[[#This Row],[등급'[5']]],[1]FishGrade!$B:$B,0)),"-")</f>
        <v>-</v>
      </c>
      <c r="AE15" s="56">
        <f>IF([1]FishDiscoveryGroup!$I$8="-",0,[1]FishDiscoveryGroup!$I$8)</f>
        <v>0</v>
      </c>
      <c r="AF15" s="56">
        <f>IF([1]FishDiscoveryGroup!$I$8="-",0,[1]FishDiscoveryGroup!$L$8)</f>
        <v>0</v>
      </c>
      <c r="AG15" s="56">
        <f>IF([1]FishDiscoveryGroup!$I$8="-",0,[1]FishDiscoveryGroup!$O$8)</f>
        <v>0</v>
      </c>
      <c r="AH15" s="56">
        <f>IF([1]FishDiscoveryGroup!$I$8="-",0,[1]FishDiscoveryGroup!$R$8)</f>
        <v>0</v>
      </c>
      <c r="AI15" s="56">
        <f>IF([1]FishDiscoveryGroup!$I$8="-",0,[1]FishDiscoveryGroup!$U$8)</f>
        <v>0</v>
      </c>
      <c r="AJ15" s="56">
        <f>IF([1]FishDiscoveryGroup!$I$8="-",0,[1]FishDiscoveryGroup!$X$8)</f>
        <v>0</v>
      </c>
      <c r="AK15" s="56">
        <f>IF(표10[[#This Row],[배당'[0']]]="-",0,표10[[#This Row],[배당'[0']]])+표10[[#This Row],[PROB'[0']]]</f>
        <v>0</v>
      </c>
      <c r="AL15" s="56">
        <f>IF(표10[[#This Row],[배당'[1']]]="-",0,표10[[#This Row],[배당'[1']]])+표10[[#This Row],[PROB'[1']]]</f>
        <v>0</v>
      </c>
      <c r="AM15" s="56">
        <f>IF(표10[[#This Row],[배당'[2']]]="-",0,표10[[#This Row],[배당'[2']]])+표10[[#This Row],[PROB'[2']]]</f>
        <v>0</v>
      </c>
      <c r="AN15" s="56">
        <f>IF(표10[[#This Row],[배당'[3']]]="-",0,표10[[#This Row],[배당'[3']]])+표10[[#This Row],[PROB'[3']]]</f>
        <v>0</v>
      </c>
      <c r="AO15" s="56">
        <f>IF(표10[[#This Row],[배당'[4']]]="-",0,표10[[#This Row],[배당'[4']]])+표10[[#This Row],[PROB'[4']]]</f>
        <v>0</v>
      </c>
      <c r="AP15" s="56">
        <f>IF(표10[[#This Row],[배당'[5']]]="-",0,표10[[#This Row],[배당'[5']]])+표10[[#This Row],[PROB'[5']]]</f>
        <v>0</v>
      </c>
      <c r="AQ15" s="56">
        <f>SUM(표10[[#This Row],[최종배당'[0']]:[최종배당'[5']]])</f>
        <v>0</v>
      </c>
    </row>
    <row r="16" spans="2:43" x14ac:dyDescent="0.3">
      <c r="B16" s="56" t="str">
        <f>[1]FishOceanTile!B21</f>
        <v>남 태평양 서쪽</v>
      </c>
      <c r="C16" s="56" t="str">
        <f>IFERROR(VLOOKUP(표7[[#This Row],[낚시 타일]],[3]!표1_67[[이름]:[선단 LV]],6,FALSE),"-")</f>
        <v>-</v>
      </c>
      <c r="D16" s="56" t="str">
        <f>IFERROR(VLOOKUP(표7[[#This Row],[낚시 타일]],[3]!표1_67[[이름]:[위도]],3,FALSE),"-")</f>
        <v>-</v>
      </c>
      <c r="E16" s="56" t="str">
        <f>IFERROR(VLOOKUP(표7[[#This Row],[낚시 타일]],[3]!표1_67[[이름]:[위도]],2,FALSE),"-")</f>
        <v>-</v>
      </c>
      <c r="F16" s="56"/>
      <c r="G16" s="56" t="str">
        <f>IFERROR(ROUNDDOWN(표10[[#This Row],[최종배당'[0']]]/표10[[#This Row],[분모]]*100,0)&amp;"%","-")</f>
        <v>-</v>
      </c>
      <c r="H16" s="56"/>
      <c r="I16" s="56" t="str">
        <f>IFERROR(ROUNDDOWN(표10[[#This Row],[최종배당'[1']]]/표10[[#This Row],[분모]]*100,0)&amp;"%","-")</f>
        <v>-</v>
      </c>
      <c r="J16" s="56"/>
      <c r="K16" s="56" t="str">
        <f>IFERROR(ROUNDDOWN(표10[[#This Row],[최종배당'[2']]]/표10[[#This Row],[분모]]*100,0)&amp;"%","-")</f>
        <v>-</v>
      </c>
      <c r="L16" s="56"/>
      <c r="M16" s="56" t="str">
        <f>IFERROR(ROUNDDOWN(표10[[#This Row],[최종배당'[3']]]/표10[[#This Row],[분모]]*100,0)&amp;"%","-")</f>
        <v>-</v>
      </c>
      <c r="N16" s="56"/>
      <c r="O16" s="56" t="str">
        <f>IFERROR(ROUNDDOWN(표10[[#This Row],[최종배당'[4']]]/표10[[#This Row],[분모]]*100,0)&amp;"%","-")</f>
        <v>-</v>
      </c>
      <c r="P16" s="56"/>
      <c r="Q16" s="56" t="str">
        <f>IFERROR(ROUNDDOWN(표10[[#This Row],[최종배당'[5']]]/표10[[#This Row],[분모]]*100,0)&amp;"%","-")</f>
        <v>-</v>
      </c>
      <c r="S16" s="56" t="str">
        <f>IFERROR(VLOOKUP(표7[발견물'[0']],표1[[명칭]:[등급]],4,FALSE),"-")&amp;"급"</f>
        <v>0급</v>
      </c>
      <c r="T16" s="56" t="str">
        <f>IFERROR(VLOOKUP(표7[발견물'[1']],표1[[명칭]:[등급]],4,FALSE),"-")&amp;"급"</f>
        <v>0급</v>
      </c>
      <c r="U16" s="56" t="str">
        <f>IFERROR(VLOOKUP(표7[발견물'[2']],표1[[명칭]:[등급]],4,FALSE),"-")&amp;"급"</f>
        <v>0급</v>
      </c>
      <c r="V16" s="56" t="str">
        <f>IFERROR(VLOOKUP(표7[발견물'[3']],표1[[명칭]:[등급]],4,FALSE),"-")&amp;"급"</f>
        <v>0급</v>
      </c>
      <c r="W16" s="56" t="str">
        <f>IFERROR(VLOOKUP(표7[발견물'[4']],표1[[명칭]:[등급]],4,FALSE),"-")&amp;"급"</f>
        <v>0급</v>
      </c>
      <c r="X16" s="56" t="str">
        <f>IFERROR(VLOOKUP(표7[발견물'[5']],표1[[명칭]:[등급]],4,FALSE),"-")&amp;"급"</f>
        <v>0급</v>
      </c>
      <c r="Y16" s="56" t="str">
        <f>IFERROR(INDEX([1]FishGrade!$I:$I,MATCH(표10[[#This Row],[등급'[0']]],[1]FishGrade!$B:$B,0)),"-")</f>
        <v>-</v>
      </c>
      <c r="Z16" s="56" t="str">
        <f>IFERROR(INDEX([1]FishGrade!$I:$I,MATCH(표10[[#This Row],[등급'[1']]],[1]FishGrade!$B:$B,0)),"-")</f>
        <v>-</v>
      </c>
      <c r="AA16" s="56" t="str">
        <f>IFERROR(INDEX([1]FishGrade!$I:$I,MATCH(표10[[#This Row],[등급'[2']]],[1]FishGrade!$B:$B,0)),"-")</f>
        <v>-</v>
      </c>
      <c r="AB16" s="56" t="str">
        <f>IFERROR(INDEX([1]FishGrade!$I:$I,MATCH(표10[[#This Row],[등급'[3']]],[1]FishGrade!$B:$B,0)),"-")</f>
        <v>-</v>
      </c>
      <c r="AC16" s="56" t="str">
        <f>IFERROR(INDEX([1]FishGrade!$I:$I,MATCH(표10[[#This Row],[등급'[4']]],[1]FishGrade!$B:$B,0)),"-")</f>
        <v>-</v>
      </c>
      <c r="AD16" s="56" t="str">
        <f>IFERROR(INDEX([1]FishGrade!$I:$I,MATCH(표10[[#This Row],[등급'[5']]],[1]FishGrade!$B:$B,0)),"-")</f>
        <v>-</v>
      </c>
      <c r="AE16" s="56">
        <f>IF([1]FishDiscoveryGroup!$I$8="-",0,[1]FishDiscoveryGroup!$I$8)</f>
        <v>0</v>
      </c>
      <c r="AF16" s="56">
        <f>IF([1]FishDiscoveryGroup!$I$8="-",0,[1]FishDiscoveryGroup!$L$8)</f>
        <v>0</v>
      </c>
      <c r="AG16" s="56">
        <f>IF([1]FishDiscoveryGroup!$I$8="-",0,[1]FishDiscoveryGroup!$O$8)</f>
        <v>0</v>
      </c>
      <c r="AH16" s="56">
        <f>IF([1]FishDiscoveryGroup!$I$8="-",0,[1]FishDiscoveryGroup!$R$8)</f>
        <v>0</v>
      </c>
      <c r="AI16" s="56">
        <f>IF([1]FishDiscoveryGroup!$I$8="-",0,[1]FishDiscoveryGroup!$U$8)</f>
        <v>0</v>
      </c>
      <c r="AJ16" s="56">
        <f>IF([1]FishDiscoveryGroup!$I$8="-",0,[1]FishDiscoveryGroup!$X$8)</f>
        <v>0</v>
      </c>
      <c r="AK16" s="56">
        <f>IF(표10[[#This Row],[배당'[0']]]="-",0,표10[[#This Row],[배당'[0']]])+표10[[#This Row],[PROB'[0']]]</f>
        <v>0</v>
      </c>
      <c r="AL16" s="56">
        <f>IF(표10[[#This Row],[배당'[1']]]="-",0,표10[[#This Row],[배당'[1']]])+표10[[#This Row],[PROB'[1']]]</f>
        <v>0</v>
      </c>
      <c r="AM16" s="56">
        <f>IF(표10[[#This Row],[배당'[2']]]="-",0,표10[[#This Row],[배당'[2']]])+표10[[#This Row],[PROB'[2']]]</f>
        <v>0</v>
      </c>
      <c r="AN16" s="56">
        <f>IF(표10[[#This Row],[배당'[3']]]="-",0,표10[[#This Row],[배당'[3']]])+표10[[#This Row],[PROB'[3']]]</f>
        <v>0</v>
      </c>
      <c r="AO16" s="56">
        <f>IF(표10[[#This Row],[배당'[4']]]="-",0,표10[[#This Row],[배당'[4']]])+표10[[#This Row],[PROB'[4']]]</f>
        <v>0</v>
      </c>
      <c r="AP16" s="56">
        <f>IF(표10[[#This Row],[배당'[5']]]="-",0,표10[[#This Row],[배당'[5']]])+표10[[#This Row],[PROB'[5']]]</f>
        <v>0</v>
      </c>
      <c r="AQ16" s="56">
        <f>SUM(표10[[#This Row],[최종배당'[0']]:[최종배당'[5']]])</f>
        <v>0</v>
      </c>
    </row>
    <row r="17" spans="2:43" x14ac:dyDescent="0.3">
      <c r="B17" s="56" t="str">
        <f>[1]FishOceanTile!B22</f>
        <v>남 태평양 남쪽</v>
      </c>
      <c r="C17" s="56" t="str">
        <f>IFERROR(VLOOKUP(표7[[#This Row],[낚시 타일]],[3]!표1_67[[이름]:[선단 LV]],6,FALSE),"-")</f>
        <v>-</v>
      </c>
      <c r="D17" s="56" t="str">
        <f>IFERROR(VLOOKUP(표7[[#This Row],[낚시 타일]],[3]!표1_67[[이름]:[위도]],3,FALSE),"-")</f>
        <v>-</v>
      </c>
      <c r="E17" s="56" t="str">
        <f>IFERROR(VLOOKUP(표7[[#This Row],[낚시 타일]],[3]!표1_67[[이름]:[위도]],2,FALSE),"-")</f>
        <v>-</v>
      </c>
      <c r="F17" s="56"/>
      <c r="G17" s="56" t="str">
        <f>IFERROR(ROUNDDOWN(표10[[#This Row],[최종배당'[0']]]/표10[[#This Row],[분모]]*100,0)&amp;"%","-")</f>
        <v>-</v>
      </c>
      <c r="H17" s="56"/>
      <c r="I17" s="56" t="str">
        <f>IFERROR(ROUNDDOWN(표10[[#This Row],[최종배당'[1']]]/표10[[#This Row],[분모]]*100,0)&amp;"%","-")</f>
        <v>-</v>
      </c>
      <c r="J17" s="56"/>
      <c r="K17" s="56" t="str">
        <f>IFERROR(ROUNDDOWN(표10[[#This Row],[최종배당'[2']]]/표10[[#This Row],[분모]]*100,0)&amp;"%","-")</f>
        <v>-</v>
      </c>
      <c r="L17" s="56"/>
      <c r="M17" s="56" t="str">
        <f>IFERROR(ROUNDDOWN(표10[[#This Row],[최종배당'[3']]]/표10[[#This Row],[분모]]*100,0)&amp;"%","-")</f>
        <v>-</v>
      </c>
      <c r="N17" s="56"/>
      <c r="O17" s="56" t="str">
        <f>IFERROR(ROUNDDOWN(표10[[#This Row],[최종배당'[4']]]/표10[[#This Row],[분모]]*100,0)&amp;"%","-")</f>
        <v>-</v>
      </c>
      <c r="P17" s="56"/>
      <c r="Q17" s="56" t="str">
        <f>IFERROR(ROUNDDOWN(표10[[#This Row],[최종배당'[5']]]/표10[[#This Row],[분모]]*100,0)&amp;"%","-")</f>
        <v>-</v>
      </c>
      <c r="S17" s="56" t="str">
        <f>IFERROR(VLOOKUP(표7[발견물'[0']],표1[[명칭]:[등급]],4,FALSE),"-")&amp;"급"</f>
        <v>0급</v>
      </c>
      <c r="T17" s="56" t="str">
        <f>IFERROR(VLOOKUP(표7[발견물'[1']],표1[[명칭]:[등급]],4,FALSE),"-")&amp;"급"</f>
        <v>0급</v>
      </c>
      <c r="U17" s="56" t="str">
        <f>IFERROR(VLOOKUP(표7[발견물'[2']],표1[[명칭]:[등급]],4,FALSE),"-")&amp;"급"</f>
        <v>0급</v>
      </c>
      <c r="V17" s="56" t="str">
        <f>IFERROR(VLOOKUP(표7[발견물'[3']],표1[[명칭]:[등급]],4,FALSE),"-")&amp;"급"</f>
        <v>0급</v>
      </c>
      <c r="W17" s="56" t="str">
        <f>IFERROR(VLOOKUP(표7[발견물'[4']],표1[[명칭]:[등급]],4,FALSE),"-")&amp;"급"</f>
        <v>0급</v>
      </c>
      <c r="X17" s="56" t="str">
        <f>IFERROR(VLOOKUP(표7[발견물'[5']],표1[[명칭]:[등급]],4,FALSE),"-")&amp;"급"</f>
        <v>0급</v>
      </c>
      <c r="Y17" s="56" t="str">
        <f>IFERROR(INDEX([1]FishGrade!$I:$I,MATCH(표10[[#This Row],[등급'[0']]],[1]FishGrade!$B:$B,0)),"-")</f>
        <v>-</v>
      </c>
      <c r="Z17" s="56" t="str">
        <f>IFERROR(INDEX([1]FishGrade!$I:$I,MATCH(표10[[#This Row],[등급'[1']]],[1]FishGrade!$B:$B,0)),"-")</f>
        <v>-</v>
      </c>
      <c r="AA17" s="56" t="str">
        <f>IFERROR(INDEX([1]FishGrade!$I:$I,MATCH(표10[[#This Row],[등급'[2']]],[1]FishGrade!$B:$B,0)),"-")</f>
        <v>-</v>
      </c>
      <c r="AB17" s="56" t="str">
        <f>IFERROR(INDEX([1]FishGrade!$I:$I,MATCH(표10[[#This Row],[등급'[3']]],[1]FishGrade!$B:$B,0)),"-")</f>
        <v>-</v>
      </c>
      <c r="AC17" s="56" t="str">
        <f>IFERROR(INDEX([1]FishGrade!$I:$I,MATCH(표10[[#This Row],[등급'[4']]],[1]FishGrade!$B:$B,0)),"-")</f>
        <v>-</v>
      </c>
      <c r="AD17" s="56" t="str">
        <f>IFERROR(INDEX([1]FishGrade!$I:$I,MATCH(표10[[#This Row],[등급'[5']]],[1]FishGrade!$B:$B,0)),"-")</f>
        <v>-</v>
      </c>
      <c r="AE17" s="56">
        <f>IF([1]FishDiscoveryGroup!$I$8="-",0,[1]FishDiscoveryGroup!$I$8)</f>
        <v>0</v>
      </c>
      <c r="AF17" s="56">
        <f>IF([1]FishDiscoveryGroup!$I$8="-",0,[1]FishDiscoveryGroup!$L$8)</f>
        <v>0</v>
      </c>
      <c r="AG17" s="56">
        <f>IF([1]FishDiscoveryGroup!$I$8="-",0,[1]FishDiscoveryGroup!$O$8)</f>
        <v>0</v>
      </c>
      <c r="AH17" s="56">
        <f>IF([1]FishDiscoveryGroup!$I$8="-",0,[1]FishDiscoveryGroup!$R$8)</f>
        <v>0</v>
      </c>
      <c r="AI17" s="56">
        <f>IF([1]FishDiscoveryGroup!$I$8="-",0,[1]FishDiscoveryGroup!$U$8)</f>
        <v>0</v>
      </c>
      <c r="AJ17" s="56">
        <f>IF([1]FishDiscoveryGroup!$I$8="-",0,[1]FishDiscoveryGroup!$X$8)</f>
        <v>0</v>
      </c>
      <c r="AK17" s="56">
        <f>IF(표10[[#This Row],[배당'[0']]]="-",0,표10[[#This Row],[배당'[0']]])+표10[[#This Row],[PROB'[0']]]</f>
        <v>0</v>
      </c>
      <c r="AL17" s="56">
        <f>IF(표10[[#This Row],[배당'[1']]]="-",0,표10[[#This Row],[배당'[1']]])+표10[[#This Row],[PROB'[1']]]</f>
        <v>0</v>
      </c>
      <c r="AM17" s="56">
        <f>IF(표10[[#This Row],[배당'[2']]]="-",0,표10[[#This Row],[배당'[2']]])+표10[[#This Row],[PROB'[2']]]</f>
        <v>0</v>
      </c>
      <c r="AN17" s="56">
        <f>IF(표10[[#This Row],[배당'[3']]]="-",0,표10[[#This Row],[배당'[3']]])+표10[[#This Row],[PROB'[3']]]</f>
        <v>0</v>
      </c>
      <c r="AO17" s="56">
        <f>IF(표10[[#This Row],[배당'[4']]]="-",0,표10[[#This Row],[배당'[4']]])+표10[[#This Row],[PROB'[4']]]</f>
        <v>0</v>
      </c>
      <c r="AP17" s="56">
        <f>IF(표10[[#This Row],[배당'[5']]]="-",0,표10[[#This Row],[배당'[5']]])+표10[[#This Row],[PROB'[5']]]</f>
        <v>0</v>
      </c>
      <c r="AQ17" s="56">
        <f>SUM(표10[[#This Row],[최종배당'[0']]:[최종배당'[5']]])</f>
        <v>0</v>
      </c>
    </row>
    <row r="18" spans="2:43" x14ac:dyDescent="0.3">
      <c r="B18" s="56" t="str">
        <f>[1]FishOceanTile!B23</f>
        <v>남 태평양 동쪽</v>
      </c>
      <c r="C18" s="56" t="str">
        <f>IFERROR(VLOOKUP(표7[[#This Row],[낚시 타일]],[3]!표1_67[[이름]:[선단 LV]],6,FALSE),"-")</f>
        <v>-</v>
      </c>
      <c r="D18" s="56" t="str">
        <f>IFERROR(VLOOKUP(표7[[#This Row],[낚시 타일]],[3]!표1_67[[이름]:[위도]],3,FALSE),"-")</f>
        <v>-</v>
      </c>
      <c r="E18" s="56" t="str">
        <f>IFERROR(VLOOKUP(표7[[#This Row],[낚시 타일]],[3]!표1_67[[이름]:[위도]],2,FALSE),"-")</f>
        <v>-</v>
      </c>
      <c r="F18" s="56"/>
      <c r="G18" s="56" t="str">
        <f>IFERROR(ROUNDDOWN(표10[[#This Row],[최종배당'[0']]]/표10[[#This Row],[분모]]*100,0)&amp;"%","-")</f>
        <v>-</v>
      </c>
      <c r="H18" s="56"/>
      <c r="I18" s="56" t="str">
        <f>IFERROR(ROUNDDOWN(표10[[#This Row],[최종배당'[1']]]/표10[[#This Row],[분모]]*100,0)&amp;"%","-")</f>
        <v>-</v>
      </c>
      <c r="J18" s="56"/>
      <c r="K18" s="56" t="str">
        <f>IFERROR(ROUNDDOWN(표10[[#This Row],[최종배당'[2']]]/표10[[#This Row],[분모]]*100,0)&amp;"%","-")</f>
        <v>-</v>
      </c>
      <c r="L18" s="56"/>
      <c r="M18" s="56" t="str">
        <f>IFERROR(ROUNDDOWN(표10[[#This Row],[최종배당'[3']]]/표10[[#This Row],[분모]]*100,0)&amp;"%","-")</f>
        <v>-</v>
      </c>
      <c r="N18" s="56"/>
      <c r="O18" s="56" t="str">
        <f>IFERROR(ROUNDDOWN(표10[[#This Row],[최종배당'[4']]]/표10[[#This Row],[분모]]*100,0)&amp;"%","-")</f>
        <v>-</v>
      </c>
      <c r="P18" s="56"/>
      <c r="Q18" s="56" t="str">
        <f>IFERROR(ROUNDDOWN(표10[[#This Row],[최종배당'[5']]]/표10[[#This Row],[분모]]*100,0)&amp;"%","-")</f>
        <v>-</v>
      </c>
      <c r="S18" s="56" t="str">
        <f>IFERROR(VLOOKUP(표7[발견물'[0']],표1[[명칭]:[등급]],4,FALSE),"-")&amp;"급"</f>
        <v>0급</v>
      </c>
      <c r="T18" s="56" t="str">
        <f>IFERROR(VLOOKUP(표7[발견물'[1']],표1[[명칭]:[등급]],4,FALSE),"-")&amp;"급"</f>
        <v>0급</v>
      </c>
      <c r="U18" s="56" t="str">
        <f>IFERROR(VLOOKUP(표7[발견물'[2']],표1[[명칭]:[등급]],4,FALSE),"-")&amp;"급"</f>
        <v>0급</v>
      </c>
      <c r="V18" s="56" t="str">
        <f>IFERROR(VLOOKUP(표7[발견물'[3']],표1[[명칭]:[등급]],4,FALSE),"-")&amp;"급"</f>
        <v>0급</v>
      </c>
      <c r="W18" s="56" t="str">
        <f>IFERROR(VLOOKUP(표7[발견물'[4']],표1[[명칭]:[등급]],4,FALSE),"-")&amp;"급"</f>
        <v>0급</v>
      </c>
      <c r="X18" s="56" t="str">
        <f>IFERROR(VLOOKUP(표7[발견물'[5']],표1[[명칭]:[등급]],4,FALSE),"-")&amp;"급"</f>
        <v>0급</v>
      </c>
      <c r="Y18" s="56" t="str">
        <f>IFERROR(INDEX([1]FishGrade!$I:$I,MATCH(표10[[#This Row],[등급'[0']]],[1]FishGrade!$B:$B,0)),"-")</f>
        <v>-</v>
      </c>
      <c r="Z18" s="56" t="str">
        <f>IFERROR(INDEX([1]FishGrade!$I:$I,MATCH(표10[[#This Row],[등급'[1']]],[1]FishGrade!$B:$B,0)),"-")</f>
        <v>-</v>
      </c>
      <c r="AA18" s="56" t="str">
        <f>IFERROR(INDEX([1]FishGrade!$I:$I,MATCH(표10[[#This Row],[등급'[2']]],[1]FishGrade!$B:$B,0)),"-")</f>
        <v>-</v>
      </c>
      <c r="AB18" s="56" t="str">
        <f>IFERROR(INDEX([1]FishGrade!$I:$I,MATCH(표10[[#This Row],[등급'[3']]],[1]FishGrade!$B:$B,0)),"-")</f>
        <v>-</v>
      </c>
      <c r="AC18" s="56" t="str">
        <f>IFERROR(INDEX([1]FishGrade!$I:$I,MATCH(표10[[#This Row],[등급'[4']]],[1]FishGrade!$B:$B,0)),"-")</f>
        <v>-</v>
      </c>
      <c r="AD18" s="56" t="str">
        <f>IFERROR(INDEX([1]FishGrade!$I:$I,MATCH(표10[[#This Row],[등급'[5']]],[1]FishGrade!$B:$B,0)),"-")</f>
        <v>-</v>
      </c>
      <c r="AE18" s="56">
        <f>IF([1]FishDiscoveryGroup!$I$8="-",0,[1]FishDiscoveryGroup!$I$8)</f>
        <v>0</v>
      </c>
      <c r="AF18" s="56">
        <f>IF([1]FishDiscoveryGroup!$I$8="-",0,[1]FishDiscoveryGroup!$L$8)</f>
        <v>0</v>
      </c>
      <c r="AG18" s="56">
        <f>IF([1]FishDiscoveryGroup!$I$8="-",0,[1]FishDiscoveryGroup!$O$8)</f>
        <v>0</v>
      </c>
      <c r="AH18" s="56">
        <f>IF([1]FishDiscoveryGroup!$I$8="-",0,[1]FishDiscoveryGroup!$R$8)</f>
        <v>0</v>
      </c>
      <c r="AI18" s="56">
        <f>IF([1]FishDiscoveryGroup!$I$8="-",0,[1]FishDiscoveryGroup!$U$8)</f>
        <v>0</v>
      </c>
      <c r="AJ18" s="56">
        <f>IF([1]FishDiscoveryGroup!$I$8="-",0,[1]FishDiscoveryGroup!$X$8)</f>
        <v>0</v>
      </c>
      <c r="AK18" s="56">
        <f>IF(표10[[#This Row],[배당'[0']]]="-",0,표10[[#This Row],[배당'[0']]])+표10[[#This Row],[PROB'[0']]]</f>
        <v>0</v>
      </c>
      <c r="AL18" s="56">
        <f>IF(표10[[#This Row],[배당'[1']]]="-",0,표10[[#This Row],[배당'[1']]])+표10[[#This Row],[PROB'[1']]]</f>
        <v>0</v>
      </c>
      <c r="AM18" s="56">
        <f>IF(표10[[#This Row],[배당'[2']]]="-",0,표10[[#This Row],[배당'[2']]])+표10[[#This Row],[PROB'[2']]]</f>
        <v>0</v>
      </c>
      <c r="AN18" s="56">
        <f>IF(표10[[#This Row],[배당'[3']]]="-",0,표10[[#This Row],[배당'[3']]])+표10[[#This Row],[PROB'[3']]]</f>
        <v>0</v>
      </c>
      <c r="AO18" s="56">
        <f>IF(표10[[#This Row],[배당'[4']]]="-",0,표10[[#This Row],[배당'[4']]])+표10[[#This Row],[PROB'[4']]]</f>
        <v>0</v>
      </c>
      <c r="AP18" s="56">
        <f>IF(표10[[#This Row],[배당'[5']]]="-",0,표10[[#This Row],[배당'[5']]])+표10[[#This Row],[PROB'[5']]]</f>
        <v>0</v>
      </c>
      <c r="AQ18" s="56">
        <f>SUM(표10[[#This Row],[최종배당'[0']]:[최종배당'[5']]])</f>
        <v>0</v>
      </c>
    </row>
    <row r="19" spans="2:43" x14ac:dyDescent="0.3">
      <c r="B19" s="56" t="str">
        <f>[1]FishOceanTile!B24</f>
        <v>중앙 아메리카</v>
      </c>
      <c r="C19" s="56" t="str">
        <f>IFERROR(VLOOKUP(표7[[#This Row],[낚시 타일]],[3]!표1_67[[이름]:[선단 LV]],6,FALSE),"-")</f>
        <v>-</v>
      </c>
      <c r="D19" s="56" t="str">
        <f>IFERROR(VLOOKUP(표7[[#This Row],[낚시 타일]],[3]!표1_67[[이름]:[위도]],3,FALSE),"-")</f>
        <v>-</v>
      </c>
      <c r="E19" s="56" t="str">
        <f>IFERROR(VLOOKUP(표7[[#This Row],[낚시 타일]],[3]!표1_67[[이름]:[위도]],2,FALSE),"-")</f>
        <v>-</v>
      </c>
      <c r="F19" s="56"/>
      <c r="G19" s="56" t="str">
        <f>IFERROR(ROUNDDOWN(표10[[#This Row],[최종배당'[0']]]/표10[[#This Row],[분모]]*100,0)&amp;"%","-")</f>
        <v>-</v>
      </c>
      <c r="H19" s="56"/>
      <c r="I19" s="56" t="str">
        <f>IFERROR(ROUNDDOWN(표10[[#This Row],[최종배당'[1']]]/표10[[#This Row],[분모]]*100,0)&amp;"%","-")</f>
        <v>-</v>
      </c>
      <c r="J19" s="56"/>
      <c r="K19" s="56" t="str">
        <f>IFERROR(ROUNDDOWN(표10[[#This Row],[최종배당'[2']]]/표10[[#This Row],[분모]]*100,0)&amp;"%","-")</f>
        <v>-</v>
      </c>
      <c r="L19" s="56"/>
      <c r="M19" s="56" t="str">
        <f>IFERROR(ROUNDDOWN(표10[[#This Row],[최종배당'[3']]]/표10[[#This Row],[분모]]*100,0)&amp;"%","-")</f>
        <v>-</v>
      </c>
      <c r="N19" s="56"/>
      <c r="O19" s="56" t="str">
        <f>IFERROR(ROUNDDOWN(표10[[#This Row],[최종배당'[4']]]/표10[[#This Row],[분모]]*100,0)&amp;"%","-")</f>
        <v>-</v>
      </c>
      <c r="P19" s="56"/>
      <c r="Q19" s="56" t="str">
        <f>IFERROR(ROUNDDOWN(표10[[#This Row],[최종배당'[5']]]/표10[[#This Row],[분모]]*100,0)&amp;"%","-")</f>
        <v>-</v>
      </c>
      <c r="S19" s="56" t="str">
        <f>IFERROR(VLOOKUP(표7[발견물'[0']],표1[[명칭]:[등급]],4,FALSE),"-")&amp;"급"</f>
        <v>0급</v>
      </c>
      <c r="T19" s="56" t="str">
        <f>IFERROR(VLOOKUP(표7[발견물'[1']],표1[[명칭]:[등급]],4,FALSE),"-")&amp;"급"</f>
        <v>0급</v>
      </c>
      <c r="U19" s="56" t="str">
        <f>IFERROR(VLOOKUP(표7[발견물'[2']],표1[[명칭]:[등급]],4,FALSE),"-")&amp;"급"</f>
        <v>0급</v>
      </c>
      <c r="V19" s="56" t="str">
        <f>IFERROR(VLOOKUP(표7[발견물'[3']],표1[[명칭]:[등급]],4,FALSE),"-")&amp;"급"</f>
        <v>0급</v>
      </c>
      <c r="W19" s="56" t="str">
        <f>IFERROR(VLOOKUP(표7[발견물'[4']],표1[[명칭]:[등급]],4,FALSE),"-")&amp;"급"</f>
        <v>0급</v>
      </c>
      <c r="X19" s="56" t="str">
        <f>IFERROR(VLOOKUP(표7[발견물'[5']],표1[[명칭]:[등급]],4,FALSE),"-")&amp;"급"</f>
        <v>0급</v>
      </c>
      <c r="Y19" s="56" t="str">
        <f>IFERROR(INDEX([1]FishGrade!$I:$I,MATCH(표10[[#This Row],[등급'[0']]],[1]FishGrade!$B:$B,0)),"-")</f>
        <v>-</v>
      </c>
      <c r="Z19" s="56" t="str">
        <f>IFERROR(INDEX([1]FishGrade!$I:$I,MATCH(표10[[#This Row],[등급'[1']]],[1]FishGrade!$B:$B,0)),"-")</f>
        <v>-</v>
      </c>
      <c r="AA19" s="56" t="str">
        <f>IFERROR(INDEX([1]FishGrade!$I:$I,MATCH(표10[[#This Row],[등급'[2']]],[1]FishGrade!$B:$B,0)),"-")</f>
        <v>-</v>
      </c>
      <c r="AB19" s="56" t="str">
        <f>IFERROR(INDEX([1]FishGrade!$I:$I,MATCH(표10[[#This Row],[등급'[3']]],[1]FishGrade!$B:$B,0)),"-")</f>
        <v>-</v>
      </c>
      <c r="AC19" s="56" t="str">
        <f>IFERROR(INDEX([1]FishGrade!$I:$I,MATCH(표10[[#This Row],[등급'[4']]],[1]FishGrade!$B:$B,0)),"-")</f>
        <v>-</v>
      </c>
      <c r="AD19" s="56" t="str">
        <f>IFERROR(INDEX([1]FishGrade!$I:$I,MATCH(표10[[#This Row],[등급'[5']]],[1]FishGrade!$B:$B,0)),"-")</f>
        <v>-</v>
      </c>
      <c r="AE19" s="56">
        <f>IF([1]FishDiscoveryGroup!$I$8="-",0,[1]FishDiscoveryGroup!$I$8)</f>
        <v>0</v>
      </c>
      <c r="AF19" s="56">
        <f>IF([1]FishDiscoveryGroup!$I$8="-",0,[1]FishDiscoveryGroup!$L$8)</f>
        <v>0</v>
      </c>
      <c r="AG19" s="56">
        <f>IF([1]FishDiscoveryGroup!$I$8="-",0,[1]FishDiscoveryGroup!$O$8)</f>
        <v>0</v>
      </c>
      <c r="AH19" s="56">
        <f>IF([1]FishDiscoveryGroup!$I$8="-",0,[1]FishDiscoveryGroup!$R$8)</f>
        <v>0</v>
      </c>
      <c r="AI19" s="56">
        <f>IF([1]FishDiscoveryGroup!$I$8="-",0,[1]FishDiscoveryGroup!$U$8)</f>
        <v>0</v>
      </c>
      <c r="AJ19" s="56">
        <f>IF([1]FishDiscoveryGroup!$I$8="-",0,[1]FishDiscoveryGroup!$X$8)</f>
        <v>0</v>
      </c>
      <c r="AK19" s="56">
        <f>IF(표10[[#This Row],[배당'[0']]]="-",0,표10[[#This Row],[배당'[0']]])+표10[[#This Row],[PROB'[0']]]</f>
        <v>0</v>
      </c>
      <c r="AL19" s="56">
        <f>IF(표10[[#This Row],[배당'[1']]]="-",0,표10[[#This Row],[배당'[1']]])+표10[[#This Row],[PROB'[1']]]</f>
        <v>0</v>
      </c>
      <c r="AM19" s="56">
        <f>IF(표10[[#This Row],[배당'[2']]]="-",0,표10[[#This Row],[배당'[2']]])+표10[[#This Row],[PROB'[2']]]</f>
        <v>0</v>
      </c>
      <c r="AN19" s="56">
        <f>IF(표10[[#This Row],[배당'[3']]]="-",0,표10[[#This Row],[배당'[3']]])+표10[[#This Row],[PROB'[3']]]</f>
        <v>0</v>
      </c>
      <c r="AO19" s="56">
        <f>IF(표10[[#This Row],[배당'[4']]]="-",0,표10[[#This Row],[배당'[4']]])+표10[[#This Row],[PROB'[4']]]</f>
        <v>0</v>
      </c>
      <c r="AP19" s="56">
        <f>IF(표10[[#This Row],[배당'[5']]]="-",0,표10[[#This Row],[배당'[5']]])+표10[[#This Row],[PROB'[5']]]</f>
        <v>0</v>
      </c>
      <c r="AQ19" s="56">
        <f>SUM(표10[[#This Row],[최종배당'[0']]:[최종배당'[5']]])</f>
        <v>0</v>
      </c>
    </row>
    <row r="20" spans="2:43" x14ac:dyDescent="0.3">
      <c r="B20" s="56" t="str">
        <f>[1]FishOceanTile!B25</f>
        <v>남 아메리카 서해안</v>
      </c>
      <c r="C20" s="56" t="str">
        <f>IFERROR(VLOOKUP(표7[[#This Row],[낚시 타일]],[3]!표1_67[[이름]:[선단 LV]],6,FALSE),"-")</f>
        <v>-</v>
      </c>
      <c r="D20" s="56" t="str">
        <f>IFERROR(VLOOKUP(표7[[#This Row],[낚시 타일]],[3]!표1_67[[이름]:[위도]],3,FALSE),"-")</f>
        <v>-</v>
      </c>
      <c r="E20" s="56" t="str">
        <f>IFERROR(VLOOKUP(표7[[#This Row],[낚시 타일]],[3]!표1_67[[이름]:[위도]],2,FALSE),"-")</f>
        <v>-</v>
      </c>
      <c r="F20" s="56"/>
      <c r="G20" s="56" t="str">
        <f>IFERROR(ROUNDDOWN(표10[[#This Row],[최종배당'[0']]]/표10[[#This Row],[분모]]*100,0)&amp;"%","-")</f>
        <v>-</v>
      </c>
      <c r="H20" s="56"/>
      <c r="I20" s="56" t="str">
        <f>IFERROR(ROUNDDOWN(표10[[#This Row],[최종배당'[1']]]/표10[[#This Row],[분모]]*100,0)&amp;"%","-")</f>
        <v>-</v>
      </c>
      <c r="J20" s="56"/>
      <c r="K20" s="56" t="str">
        <f>IFERROR(ROUNDDOWN(표10[[#This Row],[최종배당'[2']]]/표10[[#This Row],[분모]]*100,0)&amp;"%","-")</f>
        <v>-</v>
      </c>
      <c r="L20" s="56"/>
      <c r="M20" s="56" t="str">
        <f>IFERROR(ROUNDDOWN(표10[[#This Row],[최종배당'[3']]]/표10[[#This Row],[분모]]*100,0)&amp;"%","-")</f>
        <v>-</v>
      </c>
      <c r="N20" s="56"/>
      <c r="O20" s="56" t="str">
        <f>IFERROR(ROUNDDOWN(표10[[#This Row],[최종배당'[4']]]/표10[[#This Row],[분모]]*100,0)&amp;"%","-")</f>
        <v>-</v>
      </c>
      <c r="P20" s="56"/>
      <c r="Q20" s="56" t="str">
        <f>IFERROR(ROUNDDOWN(표10[[#This Row],[최종배당'[5']]]/표10[[#This Row],[분모]]*100,0)&amp;"%","-")</f>
        <v>-</v>
      </c>
      <c r="S20" s="56" t="str">
        <f>IFERROR(VLOOKUP(표7[발견물'[0']],표1[[명칭]:[등급]],4,FALSE),"-")&amp;"급"</f>
        <v>0급</v>
      </c>
      <c r="T20" s="56" t="str">
        <f>IFERROR(VLOOKUP(표7[발견물'[1']],표1[[명칭]:[등급]],4,FALSE),"-")&amp;"급"</f>
        <v>0급</v>
      </c>
      <c r="U20" s="56" t="str">
        <f>IFERROR(VLOOKUP(표7[발견물'[2']],표1[[명칭]:[등급]],4,FALSE),"-")&amp;"급"</f>
        <v>0급</v>
      </c>
      <c r="V20" s="56" t="str">
        <f>IFERROR(VLOOKUP(표7[발견물'[3']],표1[[명칭]:[등급]],4,FALSE),"-")&amp;"급"</f>
        <v>0급</v>
      </c>
      <c r="W20" s="56" t="str">
        <f>IFERROR(VLOOKUP(표7[발견물'[4']],표1[[명칭]:[등급]],4,FALSE),"-")&amp;"급"</f>
        <v>0급</v>
      </c>
      <c r="X20" s="56" t="str">
        <f>IFERROR(VLOOKUP(표7[발견물'[5']],표1[[명칭]:[등급]],4,FALSE),"-")&amp;"급"</f>
        <v>0급</v>
      </c>
      <c r="Y20" s="56" t="str">
        <f>IFERROR(INDEX([1]FishGrade!$I:$I,MATCH(표10[[#This Row],[등급'[0']]],[1]FishGrade!$B:$B,0)),"-")</f>
        <v>-</v>
      </c>
      <c r="Z20" s="56" t="str">
        <f>IFERROR(INDEX([1]FishGrade!$I:$I,MATCH(표10[[#This Row],[등급'[1']]],[1]FishGrade!$B:$B,0)),"-")</f>
        <v>-</v>
      </c>
      <c r="AA20" s="56" t="str">
        <f>IFERROR(INDEX([1]FishGrade!$I:$I,MATCH(표10[[#This Row],[등급'[2']]],[1]FishGrade!$B:$B,0)),"-")</f>
        <v>-</v>
      </c>
      <c r="AB20" s="56" t="str">
        <f>IFERROR(INDEX([1]FishGrade!$I:$I,MATCH(표10[[#This Row],[등급'[3']]],[1]FishGrade!$B:$B,0)),"-")</f>
        <v>-</v>
      </c>
      <c r="AC20" s="56" t="str">
        <f>IFERROR(INDEX([1]FishGrade!$I:$I,MATCH(표10[[#This Row],[등급'[4']]],[1]FishGrade!$B:$B,0)),"-")</f>
        <v>-</v>
      </c>
      <c r="AD20" s="56" t="str">
        <f>IFERROR(INDEX([1]FishGrade!$I:$I,MATCH(표10[[#This Row],[등급'[5']]],[1]FishGrade!$B:$B,0)),"-")</f>
        <v>-</v>
      </c>
      <c r="AE20" s="56">
        <f>IF([1]FishDiscoveryGroup!$I$8="-",0,[1]FishDiscoveryGroup!$I$8)</f>
        <v>0</v>
      </c>
      <c r="AF20" s="56">
        <f>IF([1]FishDiscoveryGroup!$I$8="-",0,[1]FishDiscoveryGroup!$L$8)</f>
        <v>0</v>
      </c>
      <c r="AG20" s="56">
        <f>IF([1]FishDiscoveryGroup!$I$8="-",0,[1]FishDiscoveryGroup!$O$8)</f>
        <v>0</v>
      </c>
      <c r="AH20" s="56">
        <f>IF([1]FishDiscoveryGroup!$I$8="-",0,[1]FishDiscoveryGroup!$R$8)</f>
        <v>0</v>
      </c>
      <c r="AI20" s="56">
        <f>IF([1]FishDiscoveryGroup!$I$8="-",0,[1]FishDiscoveryGroup!$U$8)</f>
        <v>0</v>
      </c>
      <c r="AJ20" s="56">
        <f>IF([1]FishDiscoveryGroup!$I$8="-",0,[1]FishDiscoveryGroup!$X$8)</f>
        <v>0</v>
      </c>
      <c r="AK20" s="56">
        <f>IF(표10[[#This Row],[배당'[0']]]="-",0,표10[[#This Row],[배당'[0']]])+표10[[#This Row],[PROB'[0']]]</f>
        <v>0</v>
      </c>
      <c r="AL20" s="56">
        <f>IF(표10[[#This Row],[배당'[1']]]="-",0,표10[[#This Row],[배당'[1']]])+표10[[#This Row],[PROB'[1']]]</f>
        <v>0</v>
      </c>
      <c r="AM20" s="56">
        <f>IF(표10[[#This Row],[배당'[2']]]="-",0,표10[[#This Row],[배당'[2']]])+표10[[#This Row],[PROB'[2']]]</f>
        <v>0</v>
      </c>
      <c r="AN20" s="56">
        <f>IF(표10[[#This Row],[배당'[3']]]="-",0,표10[[#This Row],[배당'[3']]])+표10[[#This Row],[PROB'[3']]]</f>
        <v>0</v>
      </c>
      <c r="AO20" s="56">
        <f>IF(표10[[#This Row],[배당'[4']]]="-",0,표10[[#This Row],[배당'[4']]])+표10[[#This Row],[PROB'[4']]]</f>
        <v>0</v>
      </c>
      <c r="AP20" s="56">
        <f>IF(표10[[#This Row],[배당'[5']]]="-",0,표10[[#This Row],[배당'[5']]])+표10[[#This Row],[PROB'[5']]]</f>
        <v>0</v>
      </c>
      <c r="AQ20" s="56">
        <f>SUM(표10[[#This Row],[최종배당'[0']]:[최종배당'[5']]])</f>
        <v>0</v>
      </c>
    </row>
    <row r="21" spans="2:43" x14ac:dyDescent="0.3">
      <c r="B21" s="56" t="str">
        <f>[1]FishOceanTile!B26</f>
        <v>남 아메리카 서해안 남쪽</v>
      </c>
      <c r="C21" s="56" t="str">
        <f>IFERROR(VLOOKUP(표7[[#This Row],[낚시 타일]],[3]!표1_67[[이름]:[선단 LV]],6,FALSE),"-")</f>
        <v>-</v>
      </c>
      <c r="D21" s="56" t="str">
        <f>IFERROR(VLOOKUP(표7[[#This Row],[낚시 타일]],[3]!표1_67[[이름]:[위도]],3,FALSE),"-")</f>
        <v>-</v>
      </c>
      <c r="E21" s="56" t="str">
        <f>IFERROR(VLOOKUP(표7[[#This Row],[낚시 타일]],[3]!표1_67[[이름]:[위도]],2,FALSE),"-")</f>
        <v>-</v>
      </c>
      <c r="F21" s="56"/>
      <c r="G21" s="56" t="str">
        <f>IFERROR(ROUNDDOWN(표10[[#This Row],[최종배당'[0']]]/표10[[#This Row],[분모]]*100,0)&amp;"%","-")</f>
        <v>-</v>
      </c>
      <c r="H21" s="56"/>
      <c r="I21" s="56" t="str">
        <f>IFERROR(ROUNDDOWN(표10[[#This Row],[최종배당'[1']]]/표10[[#This Row],[분모]]*100,0)&amp;"%","-")</f>
        <v>-</v>
      </c>
      <c r="J21" s="56"/>
      <c r="K21" s="56" t="str">
        <f>IFERROR(ROUNDDOWN(표10[[#This Row],[최종배당'[2']]]/표10[[#This Row],[분모]]*100,0)&amp;"%","-")</f>
        <v>-</v>
      </c>
      <c r="L21" s="56"/>
      <c r="M21" s="56" t="str">
        <f>IFERROR(ROUNDDOWN(표10[[#This Row],[최종배당'[3']]]/표10[[#This Row],[분모]]*100,0)&amp;"%","-")</f>
        <v>-</v>
      </c>
      <c r="N21" s="56"/>
      <c r="O21" s="56" t="str">
        <f>IFERROR(ROUNDDOWN(표10[[#This Row],[최종배당'[4']]]/표10[[#This Row],[분모]]*100,0)&amp;"%","-")</f>
        <v>-</v>
      </c>
      <c r="P21" s="56"/>
      <c r="Q21" s="56" t="str">
        <f>IFERROR(ROUNDDOWN(표10[[#This Row],[최종배당'[5']]]/표10[[#This Row],[분모]]*100,0)&amp;"%","-")</f>
        <v>-</v>
      </c>
      <c r="S21" s="56" t="str">
        <f>IFERROR(VLOOKUP(표7[발견물'[0']],표1[[명칭]:[등급]],4,FALSE),"-")&amp;"급"</f>
        <v>0급</v>
      </c>
      <c r="T21" s="56" t="str">
        <f>IFERROR(VLOOKUP(표7[발견물'[1']],표1[[명칭]:[등급]],4,FALSE),"-")&amp;"급"</f>
        <v>0급</v>
      </c>
      <c r="U21" s="56" t="str">
        <f>IFERROR(VLOOKUP(표7[발견물'[2']],표1[[명칭]:[등급]],4,FALSE),"-")&amp;"급"</f>
        <v>0급</v>
      </c>
      <c r="V21" s="56" t="str">
        <f>IFERROR(VLOOKUP(표7[발견물'[3']],표1[[명칭]:[등급]],4,FALSE),"-")&amp;"급"</f>
        <v>0급</v>
      </c>
      <c r="W21" s="56" t="str">
        <f>IFERROR(VLOOKUP(표7[발견물'[4']],표1[[명칭]:[등급]],4,FALSE),"-")&amp;"급"</f>
        <v>0급</v>
      </c>
      <c r="X21" s="56" t="str">
        <f>IFERROR(VLOOKUP(표7[발견물'[5']],표1[[명칭]:[등급]],4,FALSE),"-")&amp;"급"</f>
        <v>0급</v>
      </c>
      <c r="Y21" s="56" t="str">
        <f>IFERROR(INDEX([1]FishGrade!$I:$I,MATCH(표10[[#This Row],[등급'[0']]],[1]FishGrade!$B:$B,0)),"-")</f>
        <v>-</v>
      </c>
      <c r="Z21" s="56" t="str">
        <f>IFERROR(INDEX([1]FishGrade!$I:$I,MATCH(표10[[#This Row],[등급'[1']]],[1]FishGrade!$B:$B,0)),"-")</f>
        <v>-</v>
      </c>
      <c r="AA21" s="56" t="str">
        <f>IFERROR(INDEX([1]FishGrade!$I:$I,MATCH(표10[[#This Row],[등급'[2']]],[1]FishGrade!$B:$B,0)),"-")</f>
        <v>-</v>
      </c>
      <c r="AB21" s="56" t="str">
        <f>IFERROR(INDEX([1]FishGrade!$I:$I,MATCH(표10[[#This Row],[등급'[3']]],[1]FishGrade!$B:$B,0)),"-")</f>
        <v>-</v>
      </c>
      <c r="AC21" s="56" t="str">
        <f>IFERROR(INDEX([1]FishGrade!$I:$I,MATCH(표10[[#This Row],[등급'[4']]],[1]FishGrade!$B:$B,0)),"-")</f>
        <v>-</v>
      </c>
      <c r="AD21" s="56" t="str">
        <f>IFERROR(INDEX([1]FishGrade!$I:$I,MATCH(표10[[#This Row],[등급'[5']]],[1]FishGrade!$B:$B,0)),"-")</f>
        <v>-</v>
      </c>
      <c r="AE21" s="56">
        <f>IF([1]FishDiscoveryGroup!$I$8="-",0,[1]FishDiscoveryGroup!$I$8)</f>
        <v>0</v>
      </c>
      <c r="AF21" s="56">
        <f>IF([1]FishDiscoveryGroup!$I$8="-",0,[1]FishDiscoveryGroup!$L$8)</f>
        <v>0</v>
      </c>
      <c r="AG21" s="56">
        <f>IF([1]FishDiscoveryGroup!$I$8="-",0,[1]FishDiscoveryGroup!$O$8)</f>
        <v>0</v>
      </c>
      <c r="AH21" s="56">
        <f>IF([1]FishDiscoveryGroup!$I$8="-",0,[1]FishDiscoveryGroup!$R$8)</f>
        <v>0</v>
      </c>
      <c r="AI21" s="56">
        <f>IF([1]FishDiscoveryGroup!$I$8="-",0,[1]FishDiscoveryGroup!$U$8)</f>
        <v>0</v>
      </c>
      <c r="AJ21" s="56">
        <f>IF([1]FishDiscoveryGroup!$I$8="-",0,[1]FishDiscoveryGroup!$X$8)</f>
        <v>0</v>
      </c>
      <c r="AK21" s="56">
        <f>IF(표10[[#This Row],[배당'[0']]]="-",0,표10[[#This Row],[배당'[0']]])+표10[[#This Row],[PROB'[0']]]</f>
        <v>0</v>
      </c>
      <c r="AL21" s="56">
        <f>IF(표10[[#This Row],[배당'[1']]]="-",0,표10[[#This Row],[배당'[1']]])+표10[[#This Row],[PROB'[1']]]</f>
        <v>0</v>
      </c>
      <c r="AM21" s="56">
        <f>IF(표10[[#This Row],[배당'[2']]]="-",0,표10[[#This Row],[배당'[2']]])+표10[[#This Row],[PROB'[2']]]</f>
        <v>0</v>
      </c>
      <c r="AN21" s="56">
        <f>IF(표10[[#This Row],[배당'[3']]]="-",0,표10[[#This Row],[배당'[3']]])+표10[[#This Row],[PROB'[3']]]</f>
        <v>0</v>
      </c>
      <c r="AO21" s="56">
        <f>IF(표10[[#This Row],[배당'[4']]]="-",0,표10[[#This Row],[배당'[4']]])+표10[[#This Row],[PROB'[4']]]</f>
        <v>0</v>
      </c>
      <c r="AP21" s="56">
        <f>IF(표10[[#This Row],[배당'[5']]]="-",0,표10[[#This Row],[배당'[5']]])+표10[[#This Row],[PROB'[5']]]</f>
        <v>0</v>
      </c>
      <c r="AQ21" s="56">
        <f>SUM(표10[[#This Row],[최종배당'[0']]:[최종배당'[5']]])</f>
        <v>0</v>
      </c>
    </row>
    <row r="22" spans="2:43" x14ac:dyDescent="0.3">
      <c r="B22" s="56" t="str">
        <f>[1]FishOceanTile!B27</f>
        <v>드레이크 해협</v>
      </c>
      <c r="C22" s="56" t="str">
        <f>IFERROR(VLOOKUP(표7[[#This Row],[낚시 타일]],[3]!표1_67[[이름]:[선단 LV]],6,FALSE),"-")</f>
        <v>-</v>
      </c>
      <c r="D22" s="56" t="str">
        <f>IFERROR(VLOOKUP(표7[[#This Row],[낚시 타일]],[3]!표1_67[[이름]:[위도]],3,FALSE),"-")</f>
        <v>-</v>
      </c>
      <c r="E22" s="56" t="str">
        <f>IFERROR(VLOOKUP(표7[[#This Row],[낚시 타일]],[3]!표1_67[[이름]:[위도]],2,FALSE),"-")</f>
        <v>-</v>
      </c>
      <c r="F22" s="56"/>
      <c r="G22" s="56" t="str">
        <f>IFERROR(ROUNDDOWN(표10[[#This Row],[최종배당'[0']]]/표10[[#This Row],[분모]]*100,0)&amp;"%","-")</f>
        <v>-</v>
      </c>
      <c r="H22" s="56"/>
      <c r="I22" s="56" t="str">
        <f>IFERROR(ROUNDDOWN(표10[[#This Row],[최종배당'[1']]]/표10[[#This Row],[분모]]*100,0)&amp;"%","-")</f>
        <v>-</v>
      </c>
      <c r="J22" s="56"/>
      <c r="K22" s="56" t="str">
        <f>IFERROR(ROUNDDOWN(표10[[#This Row],[최종배당'[2']]]/표10[[#This Row],[분모]]*100,0)&amp;"%","-")</f>
        <v>-</v>
      </c>
      <c r="L22" s="56"/>
      <c r="M22" s="56" t="str">
        <f>IFERROR(ROUNDDOWN(표10[[#This Row],[최종배당'[3']]]/표10[[#This Row],[분모]]*100,0)&amp;"%","-")</f>
        <v>-</v>
      </c>
      <c r="N22" s="56"/>
      <c r="O22" s="56" t="str">
        <f>IFERROR(ROUNDDOWN(표10[[#This Row],[최종배당'[4']]]/표10[[#This Row],[분모]]*100,0)&amp;"%","-")</f>
        <v>-</v>
      </c>
      <c r="P22" s="56"/>
      <c r="Q22" s="56" t="str">
        <f>IFERROR(ROUNDDOWN(표10[[#This Row],[최종배당'[5']]]/표10[[#This Row],[분모]]*100,0)&amp;"%","-")</f>
        <v>-</v>
      </c>
      <c r="S22" s="56" t="str">
        <f>IFERROR(VLOOKUP(표7[발견물'[0']],표1[[명칭]:[등급]],4,FALSE),"-")&amp;"급"</f>
        <v>0급</v>
      </c>
      <c r="T22" s="56" t="str">
        <f>IFERROR(VLOOKUP(표7[발견물'[1']],표1[[명칭]:[등급]],4,FALSE),"-")&amp;"급"</f>
        <v>0급</v>
      </c>
      <c r="U22" s="56" t="str">
        <f>IFERROR(VLOOKUP(표7[발견물'[2']],표1[[명칭]:[등급]],4,FALSE),"-")&amp;"급"</f>
        <v>0급</v>
      </c>
      <c r="V22" s="56" t="str">
        <f>IFERROR(VLOOKUP(표7[발견물'[3']],표1[[명칭]:[등급]],4,FALSE),"-")&amp;"급"</f>
        <v>0급</v>
      </c>
      <c r="W22" s="56" t="str">
        <f>IFERROR(VLOOKUP(표7[발견물'[4']],표1[[명칭]:[등급]],4,FALSE),"-")&amp;"급"</f>
        <v>0급</v>
      </c>
      <c r="X22" s="56" t="str">
        <f>IFERROR(VLOOKUP(표7[발견물'[5']],표1[[명칭]:[등급]],4,FALSE),"-")&amp;"급"</f>
        <v>0급</v>
      </c>
      <c r="Y22" s="56" t="str">
        <f>IFERROR(INDEX([1]FishGrade!$I:$I,MATCH(표10[[#This Row],[등급'[0']]],[1]FishGrade!$B:$B,0)),"-")</f>
        <v>-</v>
      </c>
      <c r="Z22" s="56" t="str">
        <f>IFERROR(INDEX([1]FishGrade!$I:$I,MATCH(표10[[#This Row],[등급'[1']]],[1]FishGrade!$B:$B,0)),"-")</f>
        <v>-</v>
      </c>
      <c r="AA22" s="56" t="str">
        <f>IFERROR(INDEX([1]FishGrade!$I:$I,MATCH(표10[[#This Row],[등급'[2']]],[1]FishGrade!$B:$B,0)),"-")</f>
        <v>-</v>
      </c>
      <c r="AB22" s="56" t="str">
        <f>IFERROR(INDEX([1]FishGrade!$I:$I,MATCH(표10[[#This Row],[등급'[3']]],[1]FishGrade!$B:$B,0)),"-")</f>
        <v>-</v>
      </c>
      <c r="AC22" s="56" t="str">
        <f>IFERROR(INDEX([1]FishGrade!$I:$I,MATCH(표10[[#This Row],[등급'[4']]],[1]FishGrade!$B:$B,0)),"-")</f>
        <v>-</v>
      </c>
      <c r="AD22" s="56" t="str">
        <f>IFERROR(INDEX([1]FishGrade!$I:$I,MATCH(표10[[#This Row],[등급'[5']]],[1]FishGrade!$B:$B,0)),"-")</f>
        <v>-</v>
      </c>
      <c r="AE22" s="56">
        <f>IF([1]FishDiscoveryGroup!$I$8="-",0,[1]FishDiscoveryGroup!$I$8)</f>
        <v>0</v>
      </c>
      <c r="AF22" s="56">
        <f>IF([1]FishDiscoveryGroup!$I$8="-",0,[1]FishDiscoveryGroup!$L$8)</f>
        <v>0</v>
      </c>
      <c r="AG22" s="56">
        <f>IF([1]FishDiscoveryGroup!$I$8="-",0,[1]FishDiscoveryGroup!$O$8)</f>
        <v>0</v>
      </c>
      <c r="AH22" s="56">
        <f>IF([1]FishDiscoveryGroup!$I$8="-",0,[1]FishDiscoveryGroup!$R$8)</f>
        <v>0</v>
      </c>
      <c r="AI22" s="56">
        <f>IF([1]FishDiscoveryGroup!$I$8="-",0,[1]FishDiscoveryGroup!$U$8)</f>
        <v>0</v>
      </c>
      <c r="AJ22" s="56">
        <f>IF([1]FishDiscoveryGroup!$I$8="-",0,[1]FishDiscoveryGroup!$X$8)</f>
        <v>0</v>
      </c>
      <c r="AK22" s="56">
        <f>IF(표10[[#This Row],[배당'[0']]]="-",0,표10[[#This Row],[배당'[0']]])+표10[[#This Row],[PROB'[0']]]</f>
        <v>0</v>
      </c>
      <c r="AL22" s="56">
        <f>IF(표10[[#This Row],[배당'[1']]]="-",0,표10[[#This Row],[배당'[1']]])+표10[[#This Row],[PROB'[1']]]</f>
        <v>0</v>
      </c>
      <c r="AM22" s="56">
        <f>IF(표10[[#This Row],[배당'[2']]]="-",0,표10[[#This Row],[배당'[2']]])+표10[[#This Row],[PROB'[2']]]</f>
        <v>0</v>
      </c>
      <c r="AN22" s="56">
        <f>IF(표10[[#This Row],[배당'[3']]]="-",0,표10[[#This Row],[배당'[3']]])+표10[[#This Row],[PROB'[3']]]</f>
        <v>0</v>
      </c>
      <c r="AO22" s="56">
        <f>IF(표10[[#This Row],[배당'[4']]]="-",0,표10[[#This Row],[배당'[4']]])+표10[[#This Row],[PROB'[4']]]</f>
        <v>0</v>
      </c>
      <c r="AP22" s="56">
        <f>IF(표10[[#This Row],[배당'[5']]]="-",0,표10[[#This Row],[배당'[5']]])+표10[[#This Row],[PROB'[5']]]</f>
        <v>0</v>
      </c>
      <c r="AQ22" s="56">
        <f>SUM(표10[[#This Row],[최종배당'[0']]:[최종배당'[5']]])</f>
        <v>0</v>
      </c>
    </row>
    <row r="23" spans="2:43" x14ac:dyDescent="0.3">
      <c r="B23" s="56" t="str">
        <f>[1]FishOceanTile!B28</f>
        <v>남아메리카 강</v>
      </c>
      <c r="C23" s="56" t="str">
        <f>IFERROR(VLOOKUP(표7[[#This Row],[낚시 타일]],[3]!표1_67[[이름]:[선단 LV]],6,FALSE),"-")</f>
        <v>-</v>
      </c>
      <c r="D23" s="56" t="str">
        <f>IFERROR(VLOOKUP(표7[[#This Row],[낚시 타일]],[3]!표1_67[[이름]:[위도]],3,FALSE),"-")</f>
        <v>-</v>
      </c>
      <c r="E23" s="56" t="str">
        <f>IFERROR(VLOOKUP(표7[[#This Row],[낚시 타일]],[3]!표1_67[[이름]:[위도]],2,FALSE),"-")</f>
        <v>-</v>
      </c>
      <c r="F23" s="56"/>
      <c r="G23" s="56" t="str">
        <f>IFERROR(ROUNDDOWN(표10[[#This Row],[최종배당'[0']]]/표10[[#This Row],[분모]]*100,0)&amp;"%","-")</f>
        <v>-</v>
      </c>
      <c r="H23" s="56"/>
      <c r="I23" s="56" t="str">
        <f>IFERROR(ROUNDDOWN(표10[[#This Row],[최종배당'[1']]]/표10[[#This Row],[분모]]*100,0)&amp;"%","-")</f>
        <v>-</v>
      </c>
      <c r="J23" s="56"/>
      <c r="K23" s="56" t="str">
        <f>IFERROR(ROUNDDOWN(표10[[#This Row],[최종배당'[2']]]/표10[[#This Row],[분모]]*100,0)&amp;"%","-")</f>
        <v>-</v>
      </c>
      <c r="L23" s="56"/>
      <c r="M23" s="56" t="str">
        <f>IFERROR(ROUNDDOWN(표10[[#This Row],[최종배당'[3']]]/표10[[#This Row],[분모]]*100,0)&amp;"%","-")</f>
        <v>-</v>
      </c>
      <c r="N23" s="56"/>
      <c r="O23" s="56" t="str">
        <f>IFERROR(ROUNDDOWN(표10[[#This Row],[최종배당'[4']]]/표10[[#This Row],[분모]]*100,0)&amp;"%","-")</f>
        <v>-</v>
      </c>
      <c r="P23" s="56"/>
      <c r="Q23" s="56" t="str">
        <f>IFERROR(ROUNDDOWN(표10[[#This Row],[최종배당'[5']]]/표10[[#This Row],[분모]]*100,0)&amp;"%","-")</f>
        <v>-</v>
      </c>
      <c r="S23" s="56" t="str">
        <f>IFERROR(VLOOKUP(표7[발견물'[0']],표1[[명칭]:[등급]],4,FALSE),"-")&amp;"급"</f>
        <v>0급</v>
      </c>
      <c r="T23" s="56" t="str">
        <f>IFERROR(VLOOKUP(표7[발견물'[1']],표1[[명칭]:[등급]],4,FALSE),"-")&amp;"급"</f>
        <v>0급</v>
      </c>
      <c r="U23" s="56" t="str">
        <f>IFERROR(VLOOKUP(표7[발견물'[2']],표1[[명칭]:[등급]],4,FALSE),"-")&amp;"급"</f>
        <v>0급</v>
      </c>
      <c r="V23" s="56" t="str">
        <f>IFERROR(VLOOKUP(표7[발견물'[3']],표1[[명칭]:[등급]],4,FALSE),"-")&amp;"급"</f>
        <v>0급</v>
      </c>
      <c r="W23" s="56" t="str">
        <f>IFERROR(VLOOKUP(표7[발견물'[4']],표1[[명칭]:[등급]],4,FALSE),"-")&amp;"급"</f>
        <v>0급</v>
      </c>
      <c r="X23" s="56" t="str">
        <f>IFERROR(VLOOKUP(표7[발견물'[5']],표1[[명칭]:[등급]],4,FALSE),"-")&amp;"급"</f>
        <v>0급</v>
      </c>
      <c r="Y23" s="56" t="str">
        <f>IFERROR(INDEX([1]FishGrade!$I:$I,MATCH(표10[[#This Row],[등급'[0']]],[1]FishGrade!$B:$B,0)),"-")</f>
        <v>-</v>
      </c>
      <c r="Z23" s="56" t="str">
        <f>IFERROR(INDEX([1]FishGrade!$I:$I,MATCH(표10[[#This Row],[등급'[1']]],[1]FishGrade!$B:$B,0)),"-")</f>
        <v>-</v>
      </c>
      <c r="AA23" s="56" t="str">
        <f>IFERROR(INDEX([1]FishGrade!$I:$I,MATCH(표10[[#This Row],[등급'[2']]],[1]FishGrade!$B:$B,0)),"-")</f>
        <v>-</v>
      </c>
      <c r="AB23" s="56" t="str">
        <f>IFERROR(INDEX([1]FishGrade!$I:$I,MATCH(표10[[#This Row],[등급'[3']]],[1]FishGrade!$B:$B,0)),"-")</f>
        <v>-</v>
      </c>
      <c r="AC23" s="56" t="str">
        <f>IFERROR(INDEX([1]FishGrade!$I:$I,MATCH(표10[[#This Row],[등급'[4']]],[1]FishGrade!$B:$B,0)),"-")</f>
        <v>-</v>
      </c>
      <c r="AD23" s="56" t="str">
        <f>IFERROR(INDEX([1]FishGrade!$I:$I,MATCH(표10[[#This Row],[등급'[5']]],[1]FishGrade!$B:$B,0)),"-")</f>
        <v>-</v>
      </c>
      <c r="AE23" s="56">
        <f>IF([1]FishDiscoveryGroup!$I$8="-",0,[1]FishDiscoveryGroup!$I$8)</f>
        <v>0</v>
      </c>
      <c r="AF23" s="56">
        <f>IF([1]FishDiscoveryGroup!$I$8="-",0,[1]FishDiscoveryGroup!$L$8)</f>
        <v>0</v>
      </c>
      <c r="AG23" s="56">
        <f>IF([1]FishDiscoveryGroup!$I$8="-",0,[1]FishDiscoveryGroup!$O$8)</f>
        <v>0</v>
      </c>
      <c r="AH23" s="56">
        <f>IF([1]FishDiscoveryGroup!$I$8="-",0,[1]FishDiscoveryGroup!$R$8)</f>
        <v>0</v>
      </c>
      <c r="AI23" s="56">
        <f>IF([1]FishDiscoveryGroup!$I$8="-",0,[1]FishDiscoveryGroup!$U$8)</f>
        <v>0</v>
      </c>
      <c r="AJ23" s="56">
        <f>IF([1]FishDiscoveryGroup!$I$8="-",0,[1]FishDiscoveryGroup!$X$8)</f>
        <v>0</v>
      </c>
      <c r="AK23" s="56">
        <f>IF(표10[[#This Row],[배당'[0']]]="-",0,표10[[#This Row],[배당'[0']]])+표10[[#This Row],[PROB'[0']]]</f>
        <v>0</v>
      </c>
      <c r="AL23" s="56">
        <f>IF(표10[[#This Row],[배당'[1']]]="-",0,표10[[#This Row],[배당'[1']]])+표10[[#This Row],[PROB'[1']]]</f>
        <v>0</v>
      </c>
      <c r="AM23" s="56">
        <f>IF(표10[[#This Row],[배당'[2']]]="-",0,표10[[#This Row],[배당'[2']]])+표10[[#This Row],[PROB'[2']]]</f>
        <v>0</v>
      </c>
      <c r="AN23" s="56">
        <f>IF(표10[[#This Row],[배당'[3']]]="-",0,표10[[#This Row],[배당'[3']]])+표10[[#This Row],[PROB'[3']]]</f>
        <v>0</v>
      </c>
      <c r="AO23" s="56">
        <f>IF(표10[[#This Row],[배당'[4']]]="-",0,표10[[#This Row],[배당'[4']]])+표10[[#This Row],[PROB'[4']]]</f>
        <v>0</v>
      </c>
      <c r="AP23" s="56">
        <f>IF(표10[[#This Row],[배당'[5']]]="-",0,표10[[#This Row],[배당'[5']]])+표10[[#This Row],[PROB'[5']]]</f>
        <v>0</v>
      </c>
      <c r="AQ23" s="56">
        <f>SUM(표10[[#This Row],[최종배당'[0']]:[최종배당'[5']]])</f>
        <v>0</v>
      </c>
    </row>
    <row r="24" spans="2:43" x14ac:dyDescent="0.3">
      <c r="B24" s="56" t="str">
        <f>[1]FishOceanTile!B29</f>
        <v>남서 대서양</v>
      </c>
      <c r="C24" s="56" t="str">
        <f>IFERROR(VLOOKUP(표7[[#This Row],[낚시 타일]],[3]!표1_67[[이름]:[선단 LV]],6,FALSE),"-")</f>
        <v>-</v>
      </c>
      <c r="D24" s="56" t="str">
        <f>IFERROR(VLOOKUP(표7[[#This Row],[낚시 타일]],[3]!표1_67[[이름]:[위도]],3,FALSE),"-")</f>
        <v>-</v>
      </c>
      <c r="E24" s="56" t="str">
        <f>IFERROR(VLOOKUP(표7[[#This Row],[낚시 타일]],[3]!표1_67[[이름]:[위도]],2,FALSE),"-")</f>
        <v>-</v>
      </c>
      <c r="F24" s="56"/>
      <c r="G24" s="56" t="str">
        <f>IFERROR(ROUNDDOWN(표10[[#This Row],[최종배당'[0']]]/표10[[#This Row],[분모]]*100,0)&amp;"%","-")</f>
        <v>-</v>
      </c>
      <c r="H24" s="56"/>
      <c r="I24" s="56" t="str">
        <f>IFERROR(ROUNDDOWN(표10[[#This Row],[최종배당'[1']]]/표10[[#This Row],[분모]]*100,0)&amp;"%","-")</f>
        <v>-</v>
      </c>
      <c r="J24" s="56"/>
      <c r="K24" s="56" t="str">
        <f>IFERROR(ROUNDDOWN(표10[[#This Row],[최종배당'[2']]]/표10[[#This Row],[분모]]*100,0)&amp;"%","-")</f>
        <v>-</v>
      </c>
      <c r="L24" s="56"/>
      <c r="M24" s="56" t="str">
        <f>IFERROR(ROUNDDOWN(표10[[#This Row],[최종배당'[3']]]/표10[[#This Row],[분모]]*100,0)&amp;"%","-")</f>
        <v>-</v>
      </c>
      <c r="N24" s="56"/>
      <c r="O24" s="56" t="str">
        <f>IFERROR(ROUNDDOWN(표10[[#This Row],[최종배당'[4']]]/표10[[#This Row],[분모]]*100,0)&amp;"%","-")</f>
        <v>-</v>
      </c>
      <c r="P24" s="56"/>
      <c r="Q24" s="56" t="str">
        <f>IFERROR(ROUNDDOWN(표10[[#This Row],[최종배당'[5']]]/표10[[#This Row],[분모]]*100,0)&amp;"%","-")</f>
        <v>-</v>
      </c>
      <c r="S24" s="56" t="str">
        <f>IFERROR(VLOOKUP(표7[발견물'[0']],표1[[명칭]:[등급]],4,FALSE),"-")&amp;"급"</f>
        <v>0급</v>
      </c>
      <c r="T24" s="56" t="str">
        <f>IFERROR(VLOOKUP(표7[발견물'[1']],표1[[명칭]:[등급]],4,FALSE),"-")&amp;"급"</f>
        <v>0급</v>
      </c>
      <c r="U24" s="56" t="str">
        <f>IFERROR(VLOOKUP(표7[발견물'[2']],표1[[명칭]:[등급]],4,FALSE),"-")&amp;"급"</f>
        <v>0급</v>
      </c>
      <c r="V24" s="56" t="str">
        <f>IFERROR(VLOOKUP(표7[발견물'[3']],표1[[명칭]:[등급]],4,FALSE),"-")&amp;"급"</f>
        <v>0급</v>
      </c>
      <c r="W24" s="56" t="str">
        <f>IFERROR(VLOOKUP(표7[발견물'[4']],표1[[명칭]:[등급]],4,FALSE),"-")&amp;"급"</f>
        <v>0급</v>
      </c>
      <c r="X24" s="56" t="str">
        <f>IFERROR(VLOOKUP(표7[발견물'[5']],표1[[명칭]:[등급]],4,FALSE),"-")&amp;"급"</f>
        <v>0급</v>
      </c>
      <c r="Y24" s="56" t="str">
        <f>IFERROR(INDEX([1]FishGrade!$I:$I,MATCH(표10[[#This Row],[등급'[0']]],[1]FishGrade!$B:$B,0)),"-")</f>
        <v>-</v>
      </c>
      <c r="Z24" s="56" t="str">
        <f>IFERROR(INDEX([1]FishGrade!$I:$I,MATCH(표10[[#This Row],[등급'[1']]],[1]FishGrade!$B:$B,0)),"-")</f>
        <v>-</v>
      </c>
      <c r="AA24" s="56" t="str">
        <f>IFERROR(INDEX([1]FishGrade!$I:$I,MATCH(표10[[#This Row],[등급'[2']]],[1]FishGrade!$B:$B,0)),"-")</f>
        <v>-</v>
      </c>
      <c r="AB24" s="56" t="str">
        <f>IFERROR(INDEX([1]FishGrade!$I:$I,MATCH(표10[[#This Row],[등급'[3']]],[1]FishGrade!$B:$B,0)),"-")</f>
        <v>-</v>
      </c>
      <c r="AC24" s="56" t="str">
        <f>IFERROR(INDEX([1]FishGrade!$I:$I,MATCH(표10[[#This Row],[등급'[4']]],[1]FishGrade!$B:$B,0)),"-")</f>
        <v>-</v>
      </c>
      <c r="AD24" s="56" t="str">
        <f>IFERROR(INDEX([1]FishGrade!$I:$I,MATCH(표10[[#This Row],[등급'[5']]],[1]FishGrade!$B:$B,0)),"-")</f>
        <v>-</v>
      </c>
      <c r="AE24" s="56">
        <f>IF([1]FishDiscoveryGroup!$I$8="-",0,[1]FishDiscoveryGroup!$I$8)</f>
        <v>0</v>
      </c>
      <c r="AF24" s="56">
        <f>IF([1]FishDiscoveryGroup!$I$8="-",0,[1]FishDiscoveryGroup!$L$8)</f>
        <v>0</v>
      </c>
      <c r="AG24" s="56">
        <f>IF([1]FishDiscoveryGroup!$I$8="-",0,[1]FishDiscoveryGroup!$O$8)</f>
        <v>0</v>
      </c>
      <c r="AH24" s="56">
        <f>IF([1]FishDiscoveryGroup!$I$8="-",0,[1]FishDiscoveryGroup!$R$8)</f>
        <v>0</v>
      </c>
      <c r="AI24" s="56">
        <f>IF([1]FishDiscoveryGroup!$I$8="-",0,[1]FishDiscoveryGroup!$U$8)</f>
        <v>0</v>
      </c>
      <c r="AJ24" s="56">
        <f>IF([1]FishDiscoveryGroup!$I$8="-",0,[1]FishDiscoveryGroup!$X$8)</f>
        <v>0</v>
      </c>
      <c r="AK24" s="56">
        <f>IF(표10[[#This Row],[배당'[0']]]="-",0,표10[[#This Row],[배당'[0']]])+표10[[#This Row],[PROB'[0']]]</f>
        <v>0</v>
      </c>
      <c r="AL24" s="56">
        <f>IF(표10[[#This Row],[배당'[1']]]="-",0,표10[[#This Row],[배당'[1']]])+표10[[#This Row],[PROB'[1']]]</f>
        <v>0</v>
      </c>
      <c r="AM24" s="56">
        <f>IF(표10[[#This Row],[배당'[2']]]="-",0,표10[[#This Row],[배당'[2']]])+표10[[#This Row],[PROB'[2']]]</f>
        <v>0</v>
      </c>
      <c r="AN24" s="56">
        <f>IF(표10[[#This Row],[배당'[3']]]="-",0,표10[[#This Row],[배당'[3']]])+표10[[#This Row],[PROB'[3']]]</f>
        <v>0</v>
      </c>
      <c r="AO24" s="56">
        <f>IF(표10[[#This Row],[배당'[4']]]="-",0,표10[[#This Row],[배당'[4']]])+표10[[#This Row],[PROB'[4']]]</f>
        <v>0</v>
      </c>
      <c r="AP24" s="56">
        <f>IF(표10[[#This Row],[배당'[5']]]="-",0,표10[[#This Row],[배당'[5']]])+표10[[#This Row],[PROB'[5']]]</f>
        <v>0</v>
      </c>
      <c r="AQ24" s="56">
        <f>SUM(표10[[#This Row],[최종배당'[0']]:[최종배당'[5']]])</f>
        <v>0</v>
      </c>
    </row>
    <row r="25" spans="2:43" x14ac:dyDescent="0.3">
      <c r="B25" s="56" t="str">
        <f>[1]FishOceanTile!B30</f>
        <v>남 대서양</v>
      </c>
      <c r="C25" s="56" t="str">
        <f>IFERROR(VLOOKUP(표7[[#This Row],[낚시 타일]],[3]!표1_67[[이름]:[선단 LV]],6,FALSE),"-")</f>
        <v>-</v>
      </c>
      <c r="D25" s="56" t="str">
        <f>IFERROR(VLOOKUP(표7[[#This Row],[낚시 타일]],[3]!표1_67[[이름]:[위도]],3,FALSE),"-")</f>
        <v>-</v>
      </c>
      <c r="E25" s="56" t="str">
        <f>IFERROR(VLOOKUP(표7[[#This Row],[낚시 타일]],[3]!표1_67[[이름]:[위도]],2,FALSE),"-")</f>
        <v>-</v>
      </c>
      <c r="F25" s="56"/>
      <c r="G25" s="56" t="str">
        <f>IFERROR(ROUNDDOWN(표10[[#This Row],[최종배당'[0']]]/표10[[#This Row],[분모]]*100,0)&amp;"%","-")</f>
        <v>-</v>
      </c>
      <c r="H25" s="56"/>
      <c r="I25" s="56" t="str">
        <f>IFERROR(ROUNDDOWN(표10[[#This Row],[최종배당'[1']]]/표10[[#This Row],[분모]]*100,0)&amp;"%","-")</f>
        <v>-</v>
      </c>
      <c r="J25" s="56"/>
      <c r="K25" s="56" t="str">
        <f>IFERROR(ROUNDDOWN(표10[[#This Row],[최종배당'[2']]]/표10[[#This Row],[분모]]*100,0)&amp;"%","-")</f>
        <v>-</v>
      </c>
      <c r="L25" s="56"/>
      <c r="M25" s="56" t="str">
        <f>IFERROR(ROUNDDOWN(표10[[#This Row],[최종배당'[3']]]/표10[[#This Row],[분모]]*100,0)&amp;"%","-")</f>
        <v>-</v>
      </c>
      <c r="N25" s="56"/>
      <c r="O25" s="56" t="str">
        <f>IFERROR(ROUNDDOWN(표10[[#This Row],[최종배당'[4']]]/표10[[#This Row],[분모]]*100,0)&amp;"%","-")</f>
        <v>-</v>
      </c>
      <c r="P25" s="56"/>
      <c r="Q25" s="56" t="str">
        <f>IFERROR(ROUNDDOWN(표10[[#This Row],[최종배당'[5']]]/표10[[#This Row],[분모]]*100,0)&amp;"%","-")</f>
        <v>-</v>
      </c>
      <c r="S25" s="56" t="str">
        <f>IFERROR(VLOOKUP(표7[발견물'[0']],표1[[명칭]:[등급]],4,FALSE),"-")&amp;"급"</f>
        <v>0급</v>
      </c>
      <c r="T25" s="56" t="str">
        <f>IFERROR(VLOOKUP(표7[발견물'[1']],표1[[명칭]:[등급]],4,FALSE),"-")&amp;"급"</f>
        <v>0급</v>
      </c>
      <c r="U25" s="56" t="str">
        <f>IFERROR(VLOOKUP(표7[발견물'[2']],표1[[명칭]:[등급]],4,FALSE),"-")&amp;"급"</f>
        <v>0급</v>
      </c>
      <c r="V25" s="56" t="str">
        <f>IFERROR(VLOOKUP(표7[발견물'[3']],표1[[명칭]:[등급]],4,FALSE),"-")&amp;"급"</f>
        <v>0급</v>
      </c>
      <c r="W25" s="56" t="str">
        <f>IFERROR(VLOOKUP(표7[발견물'[4']],표1[[명칭]:[등급]],4,FALSE),"-")&amp;"급"</f>
        <v>0급</v>
      </c>
      <c r="X25" s="56" t="str">
        <f>IFERROR(VLOOKUP(표7[발견물'[5']],표1[[명칭]:[등급]],4,FALSE),"-")&amp;"급"</f>
        <v>0급</v>
      </c>
      <c r="Y25" s="56" t="str">
        <f>IFERROR(INDEX([1]FishGrade!$I:$I,MATCH(표10[[#This Row],[등급'[0']]],[1]FishGrade!$B:$B,0)),"-")</f>
        <v>-</v>
      </c>
      <c r="Z25" s="56" t="str">
        <f>IFERROR(INDEX([1]FishGrade!$I:$I,MATCH(표10[[#This Row],[등급'[1']]],[1]FishGrade!$B:$B,0)),"-")</f>
        <v>-</v>
      </c>
      <c r="AA25" s="56" t="str">
        <f>IFERROR(INDEX([1]FishGrade!$I:$I,MATCH(표10[[#This Row],[등급'[2']]],[1]FishGrade!$B:$B,0)),"-")</f>
        <v>-</v>
      </c>
      <c r="AB25" s="56" t="str">
        <f>IFERROR(INDEX([1]FishGrade!$I:$I,MATCH(표10[[#This Row],[등급'[3']]],[1]FishGrade!$B:$B,0)),"-")</f>
        <v>-</v>
      </c>
      <c r="AC25" s="56" t="str">
        <f>IFERROR(INDEX([1]FishGrade!$I:$I,MATCH(표10[[#This Row],[등급'[4']]],[1]FishGrade!$B:$B,0)),"-")</f>
        <v>-</v>
      </c>
      <c r="AD25" s="56" t="str">
        <f>IFERROR(INDEX([1]FishGrade!$I:$I,MATCH(표10[[#This Row],[등급'[5']]],[1]FishGrade!$B:$B,0)),"-")</f>
        <v>-</v>
      </c>
      <c r="AE25" s="56">
        <f>IF([1]FishDiscoveryGroup!$I$8="-",0,[1]FishDiscoveryGroup!$I$8)</f>
        <v>0</v>
      </c>
      <c r="AF25" s="56">
        <f>IF([1]FishDiscoveryGroup!$I$8="-",0,[1]FishDiscoveryGroup!$L$8)</f>
        <v>0</v>
      </c>
      <c r="AG25" s="56">
        <f>IF([1]FishDiscoveryGroup!$I$8="-",0,[1]FishDiscoveryGroup!$O$8)</f>
        <v>0</v>
      </c>
      <c r="AH25" s="56">
        <f>IF([1]FishDiscoveryGroup!$I$8="-",0,[1]FishDiscoveryGroup!$R$8)</f>
        <v>0</v>
      </c>
      <c r="AI25" s="56">
        <f>IF([1]FishDiscoveryGroup!$I$8="-",0,[1]FishDiscoveryGroup!$U$8)</f>
        <v>0</v>
      </c>
      <c r="AJ25" s="56">
        <f>IF([1]FishDiscoveryGroup!$I$8="-",0,[1]FishDiscoveryGroup!$X$8)</f>
        <v>0</v>
      </c>
      <c r="AK25" s="56">
        <f>IF(표10[[#This Row],[배당'[0']]]="-",0,표10[[#This Row],[배당'[0']]])+표10[[#This Row],[PROB'[0']]]</f>
        <v>0</v>
      </c>
      <c r="AL25" s="56">
        <f>IF(표10[[#This Row],[배당'[1']]]="-",0,표10[[#This Row],[배당'[1']]])+표10[[#This Row],[PROB'[1']]]</f>
        <v>0</v>
      </c>
      <c r="AM25" s="56">
        <f>IF(표10[[#This Row],[배당'[2']]]="-",0,표10[[#This Row],[배당'[2']]])+표10[[#This Row],[PROB'[2']]]</f>
        <v>0</v>
      </c>
      <c r="AN25" s="56">
        <f>IF(표10[[#This Row],[배당'[3']]]="-",0,표10[[#This Row],[배당'[3']]])+표10[[#This Row],[PROB'[3']]]</f>
        <v>0</v>
      </c>
      <c r="AO25" s="56">
        <f>IF(표10[[#This Row],[배당'[4']]]="-",0,표10[[#This Row],[배당'[4']]])+표10[[#This Row],[PROB'[4']]]</f>
        <v>0</v>
      </c>
      <c r="AP25" s="56">
        <f>IF(표10[[#This Row],[배당'[5']]]="-",0,표10[[#This Row],[배당'[5']]])+표10[[#This Row],[PROB'[5']]]</f>
        <v>0</v>
      </c>
      <c r="AQ25" s="56">
        <f>SUM(표10[[#This Row],[최종배당'[0']]:[최종배당'[5']]])</f>
        <v>0</v>
      </c>
    </row>
    <row r="26" spans="2:43" x14ac:dyDescent="0.3">
      <c r="B26" s="56" t="str">
        <f>[1]FishOceanTile!B31</f>
        <v>스코샤해</v>
      </c>
      <c r="C26" s="56" t="str">
        <f>IFERROR(VLOOKUP(표7[[#This Row],[낚시 타일]],[3]!표1_67[[이름]:[선단 LV]],6,FALSE),"-")</f>
        <v>-</v>
      </c>
      <c r="D26" s="56" t="str">
        <f>IFERROR(VLOOKUP(표7[[#This Row],[낚시 타일]],[3]!표1_67[[이름]:[위도]],3,FALSE),"-")</f>
        <v>-</v>
      </c>
      <c r="E26" s="56" t="str">
        <f>IFERROR(VLOOKUP(표7[[#This Row],[낚시 타일]],[3]!표1_67[[이름]:[위도]],2,FALSE),"-")</f>
        <v>-</v>
      </c>
      <c r="F26" s="56"/>
      <c r="G26" s="56" t="str">
        <f>IFERROR(ROUNDDOWN(표10[[#This Row],[최종배당'[0']]]/표10[[#This Row],[분모]]*100,0)&amp;"%","-")</f>
        <v>-</v>
      </c>
      <c r="H26" s="56"/>
      <c r="I26" s="56" t="str">
        <f>IFERROR(ROUNDDOWN(표10[[#This Row],[최종배당'[1']]]/표10[[#This Row],[분모]]*100,0)&amp;"%","-")</f>
        <v>-</v>
      </c>
      <c r="J26" s="56"/>
      <c r="K26" s="56" t="str">
        <f>IFERROR(ROUNDDOWN(표10[[#This Row],[최종배당'[2']]]/표10[[#This Row],[분모]]*100,0)&amp;"%","-")</f>
        <v>-</v>
      </c>
      <c r="L26" s="56"/>
      <c r="M26" s="56" t="str">
        <f>IFERROR(ROUNDDOWN(표10[[#This Row],[최종배당'[3']]]/표10[[#This Row],[분모]]*100,0)&amp;"%","-")</f>
        <v>-</v>
      </c>
      <c r="N26" s="56"/>
      <c r="O26" s="56" t="str">
        <f>IFERROR(ROUNDDOWN(표10[[#This Row],[최종배당'[4']]]/표10[[#This Row],[분모]]*100,0)&amp;"%","-")</f>
        <v>-</v>
      </c>
      <c r="P26" s="56"/>
      <c r="Q26" s="56" t="str">
        <f>IFERROR(ROUNDDOWN(표10[[#This Row],[최종배당'[5']]]/표10[[#This Row],[분모]]*100,0)&amp;"%","-")</f>
        <v>-</v>
      </c>
      <c r="S26" s="56" t="str">
        <f>IFERROR(VLOOKUP(표7[발견물'[0']],표1[[명칭]:[등급]],4,FALSE),"-")&amp;"급"</f>
        <v>0급</v>
      </c>
      <c r="T26" s="56" t="str">
        <f>IFERROR(VLOOKUP(표7[발견물'[1']],표1[[명칭]:[등급]],4,FALSE),"-")&amp;"급"</f>
        <v>0급</v>
      </c>
      <c r="U26" s="56" t="str">
        <f>IFERROR(VLOOKUP(표7[발견물'[2']],표1[[명칭]:[등급]],4,FALSE),"-")&amp;"급"</f>
        <v>0급</v>
      </c>
      <c r="V26" s="56" t="str">
        <f>IFERROR(VLOOKUP(표7[발견물'[3']],표1[[명칭]:[등급]],4,FALSE),"-")&amp;"급"</f>
        <v>0급</v>
      </c>
      <c r="W26" s="56" t="str">
        <f>IFERROR(VLOOKUP(표7[발견물'[4']],표1[[명칭]:[등급]],4,FALSE),"-")&amp;"급"</f>
        <v>0급</v>
      </c>
      <c r="X26" s="56" t="str">
        <f>IFERROR(VLOOKUP(표7[발견물'[5']],표1[[명칭]:[등급]],4,FALSE),"-")&amp;"급"</f>
        <v>0급</v>
      </c>
      <c r="Y26" s="56" t="str">
        <f>IFERROR(INDEX([1]FishGrade!$I:$I,MATCH(표10[[#This Row],[등급'[0']]],[1]FishGrade!$B:$B,0)),"-")</f>
        <v>-</v>
      </c>
      <c r="Z26" s="56" t="str">
        <f>IFERROR(INDEX([1]FishGrade!$I:$I,MATCH(표10[[#This Row],[등급'[1']]],[1]FishGrade!$B:$B,0)),"-")</f>
        <v>-</v>
      </c>
      <c r="AA26" s="56" t="str">
        <f>IFERROR(INDEX([1]FishGrade!$I:$I,MATCH(표10[[#This Row],[등급'[2']]],[1]FishGrade!$B:$B,0)),"-")</f>
        <v>-</v>
      </c>
      <c r="AB26" s="56" t="str">
        <f>IFERROR(INDEX([1]FishGrade!$I:$I,MATCH(표10[[#This Row],[등급'[3']]],[1]FishGrade!$B:$B,0)),"-")</f>
        <v>-</v>
      </c>
      <c r="AC26" s="56" t="str">
        <f>IFERROR(INDEX([1]FishGrade!$I:$I,MATCH(표10[[#This Row],[등급'[4']]],[1]FishGrade!$B:$B,0)),"-")</f>
        <v>-</v>
      </c>
      <c r="AD26" s="56" t="str">
        <f>IFERROR(INDEX([1]FishGrade!$I:$I,MATCH(표10[[#This Row],[등급'[5']]],[1]FishGrade!$B:$B,0)),"-")</f>
        <v>-</v>
      </c>
      <c r="AE26" s="56">
        <f>IF([1]FishDiscoveryGroup!$I$8="-",0,[1]FishDiscoveryGroup!$I$8)</f>
        <v>0</v>
      </c>
      <c r="AF26" s="56">
        <f>IF([1]FishDiscoveryGroup!$I$8="-",0,[1]FishDiscoveryGroup!$L$8)</f>
        <v>0</v>
      </c>
      <c r="AG26" s="56">
        <f>IF([1]FishDiscoveryGroup!$I$8="-",0,[1]FishDiscoveryGroup!$O$8)</f>
        <v>0</v>
      </c>
      <c r="AH26" s="56">
        <f>IF([1]FishDiscoveryGroup!$I$8="-",0,[1]FishDiscoveryGroup!$R$8)</f>
        <v>0</v>
      </c>
      <c r="AI26" s="56">
        <f>IF([1]FishDiscoveryGroup!$I$8="-",0,[1]FishDiscoveryGroup!$U$8)</f>
        <v>0</v>
      </c>
      <c r="AJ26" s="56">
        <f>IF([1]FishDiscoveryGroup!$I$8="-",0,[1]FishDiscoveryGroup!$X$8)</f>
        <v>0</v>
      </c>
      <c r="AK26" s="56">
        <f>IF(표10[[#This Row],[배당'[0']]]="-",0,표10[[#This Row],[배당'[0']]])+표10[[#This Row],[PROB'[0']]]</f>
        <v>0</v>
      </c>
      <c r="AL26" s="56">
        <f>IF(표10[[#This Row],[배당'[1']]]="-",0,표10[[#This Row],[배당'[1']]])+표10[[#This Row],[PROB'[1']]]</f>
        <v>0</v>
      </c>
      <c r="AM26" s="56">
        <f>IF(표10[[#This Row],[배당'[2']]]="-",0,표10[[#This Row],[배당'[2']]])+표10[[#This Row],[PROB'[2']]]</f>
        <v>0</v>
      </c>
      <c r="AN26" s="56">
        <f>IF(표10[[#This Row],[배당'[3']]]="-",0,표10[[#This Row],[배당'[3']]])+표10[[#This Row],[PROB'[3']]]</f>
        <v>0</v>
      </c>
      <c r="AO26" s="56">
        <f>IF(표10[[#This Row],[배당'[4']]]="-",0,표10[[#This Row],[배당'[4']]])+표10[[#This Row],[PROB'[4']]]</f>
        <v>0</v>
      </c>
      <c r="AP26" s="56">
        <f>IF(표10[[#This Row],[배당'[5']]]="-",0,표10[[#This Row],[배당'[5']]])+표10[[#This Row],[PROB'[5']]]</f>
        <v>0</v>
      </c>
      <c r="AQ26" s="56">
        <f>SUM(표10[[#This Row],[최종배당'[0']]:[최종배당'[5']]])</f>
        <v>0</v>
      </c>
    </row>
    <row r="27" spans="2:43" x14ac:dyDescent="0.3">
      <c r="B27" s="56" t="str">
        <f>[1]FishOceanTile!B32</f>
        <v>중앙 대서양</v>
      </c>
      <c r="C27" s="56" t="str">
        <f>IFERROR(VLOOKUP(표7[[#This Row],[낚시 타일]],[3]!표1_67[[이름]:[선단 LV]],6,FALSE),"-")</f>
        <v>-</v>
      </c>
      <c r="D27" s="56" t="str">
        <f>IFERROR(VLOOKUP(표7[[#This Row],[낚시 타일]],[3]!표1_67[[이름]:[위도]],3,FALSE),"-")</f>
        <v>-</v>
      </c>
      <c r="E27" s="56" t="str">
        <f>IFERROR(VLOOKUP(표7[[#This Row],[낚시 타일]],[3]!표1_67[[이름]:[위도]],2,FALSE),"-")</f>
        <v>-</v>
      </c>
      <c r="F27" s="56"/>
      <c r="G27" s="56" t="str">
        <f>IFERROR(ROUNDDOWN(표10[[#This Row],[최종배당'[0']]]/표10[[#This Row],[분모]]*100,0)&amp;"%","-")</f>
        <v>-</v>
      </c>
      <c r="H27" s="56"/>
      <c r="I27" s="56" t="str">
        <f>IFERROR(ROUNDDOWN(표10[[#This Row],[최종배당'[1']]]/표10[[#This Row],[분모]]*100,0)&amp;"%","-")</f>
        <v>-</v>
      </c>
      <c r="J27" s="56"/>
      <c r="K27" s="56" t="str">
        <f>IFERROR(ROUNDDOWN(표10[[#This Row],[최종배당'[2']]]/표10[[#This Row],[분모]]*100,0)&amp;"%","-")</f>
        <v>-</v>
      </c>
      <c r="L27" s="56"/>
      <c r="M27" s="56" t="str">
        <f>IFERROR(ROUNDDOWN(표10[[#This Row],[최종배당'[3']]]/표10[[#This Row],[분모]]*100,0)&amp;"%","-")</f>
        <v>-</v>
      </c>
      <c r="N27" s="56"/>
      <c r="O27" s="56" t="str">
        <f>IFERROR(ROUNDDOWN(표10[[#This Row],[최종배당'[4']]]/표10[[#This Row],[분모]]*100,0)&amp;"%","-")</f>
        <v>-</v>
      </c>
      <c r="P27" s="56"/>
      <c r="Q27" s="56" t="str">
        <f>IFERROR(ROUNDDOWN(표10[[#This Row],[최종배당'[5']]]/표10[[#This Row],[분모]]*100,0)&amp;"%","-")</f>
        <v>-</v>
      </c>
      <c r="S27" s="56" t="str">
        <f>IFERROR(VLOOKUP(표7[발견물'[0']],표1[[명칭]:[등급]],4,FALSE),"-")&amp;"급"</f>
        <v>0급</v>
      </c>
      <c r="T27" s="56" t="str">
        <f>IFERROR(VLOOKUP(표7[발견물'[1']],표1[[명칭]:[등급]],4,FALSE),"-")&amp;"급"</f>
        <v>0급</v>
      </c>
      <c r="U27" s="56" t="str">
        <f>IFERROR(VLOOKUP(표7[발견물'[2']],표1[[명칭]:[등급]],4,FALSE),"-")&amp;"급"</f>
        <v>0급</v>
      </c>
      <c r="V27" s="56" t="str">
        <f>IFERROR(VLOOKUP(표7[발견물'[3']],표1[[명칭]:[등급]],4,FALSE),"-")&amp;"급"</f>
        <v>0급</v>
      </c>
      <c r="W27" s="56" t="str">
        <f>IFERROR(VLOOKUP(표7[발견물'[4']],표1[[명칭]:[등급]],4,FALSE),"-")&amp;"급"</f>
        <v>0급</v>
      </c>
      <c r="X27" s="56" t="str">
        <f>IFERROR(VLOOKUP(표7[발견물'[5']],표1[[명칭]:[등급]],4,FALSE),"-")&amp;"급"</f>
        <v>0급</v>
      </c>
      <c r="Y27" s="56" t="str">
        <f>IFERROR(INDEX([1]FishGrade!$I:$I,MATCH(표10[[#This Row],[등급'[0']]],[1]FishGrade!$B:$B,0)),"-")</f>
        <v>-</v>
      </c>
      <c r="Z27" s="56" t="str">
        <f>IFERROR(INDEX([1]FishGrade!$I:$I,MATCH(표10[[#This Row],[등급'[1']]],[1]FishGrade!$B:$B,0)),"-")</f>
        <v>-</v>
      </c>
      <c r="AA27" s="56" t="str">
        <f>IFERROR(INDEX([1]FishGrade!$I:$I,MATCH(표10[[#This Row],[등급'[2']]],[1]FishGrade!$B:$B,0)),"-")</f>
        <v>-</v>
      </c>
      <c r="AB27" s="56" t="str">
        <f>IFERROR(INDEX([1]FishGrade!$I:$I,MATCH(표10[[#This Row],[등급'[3']]],[1]FishGrade!$B:$B,0)),"-")</f>
        <v>-</v>
      </c>
      <c r="AC27" s="56" t="str">
        <f>IFERROR(INDEX([1]FishGrade!$I:$I,MATCH(표10[[#This Row],[등급'[4']]],[1]FishGrade!$B:$B,0)),"-")</f>
        <v>-</v>
      </c>
      <c r="AD27" s="56" t="str">
        <f>IFERROR(INDEX([1]FishGrade!$I:$I,MATCH(표10[[#This Row],[등급'[5']]],[1]FishGrade!$B:$B,0)),"-")</f>
        <v>-</v>
      </c>
      <c r="AE27" s="56">
        <f>IF([1]FishDiscoveryGroup!$I$8="-",0,[1]FishDiscoveryGroup!$I$8)</f>
        <v>0</v>
      </c>
      <c r="AF27" s="56">
        <f>IF([1]FishDiscoveryGroup!$I$8="-",0,[1]FishDiscoveryGroup!$L$8)</f>
        <v>0</v>
      </c>
      <c r="AG27" s="56">
        <f>IF([1]FishDiscoveryGroup!$I$8="-",0,[1]FishDiscoveryGroup!$O$8)</f>
        <v>0</v>
      </c>
      <c r="AH27" s="56">
        <f>IF([1]FishDiscoveryGroup!$I$8="-",0,[1]FishDiscoveryGroup!$R$8)</f>
        <v>0</v>
      </c>
      <c r="AI27" s="56">
        <f>IF([1]FishDiscoveryGroup!$I$8="-",0,[1]FishDiscoveryGroup!$U$8)</f>
        <v>0</v>
      </c>
      <c r="AJ27" s="56">
        <f>IF([1]FishDiscoveryGroup!$I$8="-",0,[1]FishDiscoveryGroup!$X$8)</f>
        <v>0</v>
      </c>
      <c r="AK27" s="56">
        <f>IF(표10[[#This Row],[배당'[0']]]="-",0,표10[[#This Row],[배당'[0']]])+표10[[#This Row],[PROB'[0']]]</f>
        <v>0</v>
      </c>
      <c r="AL27" s="56">
        <f>IF(표10[[#This Row],[배당'[1']]]="-",0,표10[[#This Row],[배당'[1']]])+표10[[#This Row],[PROB'[1']]]</f>
        <v>0</v>
      </c>
      <c r="AM27" s="56">
        <f>IF(표10[[#This Row],[배당'[2']]]="-",0,표10[[#This Row],[배당'[2']]])+표10[[#This Row],[PROB'[2']]]</f>
        <v>0</v>
      </c>
      <c r="AN27" s="56">
        <f>IF(표10[[#This Row],[배당'[3']]]="-",0,표10[[#This Row],[배당'[3']]])+표10[[#This Row],[PROB'[3']]]</f>
        <v>0</v>
      </c>
      <c r="AO27" s="56">
        <f>IF(표10[[#This Row],[배당'[4']]]="-",0,표10[[#This Row],[배당'[4']]])+표10[[#This Row],[PROB'[4']]]</f>
        <v>0</v>
      </c>
      <c r="AP27" s="56">
        <f>IF(표10[[#This Row],[배당'[5']]]="-",0,표10[[#This Row],[배당'[5']]])+표10[[#This Row],[PROB'[5']]]</f>
        <v>0</v>
      </c>
      <c r="AQ27" s="56">
        <f>SUM(표10[[#This Row],[최종배당'[0']]:[최종배당'[5']]])</f>
        <v>0</v>
      </c>
    </row>
    <row r="28" spans="2:43" x14ac:dyDescent="0.3">
      <c r="B28" s="56" t="str">
        <f>[1]FishOceanTile!B33</f>
        <v>아마존강 유역</v>
      </c>
      <c r="C28" s="56" t="str">
        <f>IFERROR(VLOOKUP(표7[[#This Row],[낚시 타일]],[3]!표1_67[[이름]:[선단 LV]],6,FALSE),"-")</f>
        <v>-</v>
      </c>
      <c r="D28" s="56" t="str">
        <f>IFERROR(VLOOKUP(표7[[#This Row],[낚시 타일]],[3]!표1_67[[이름]:[위도]],3,FALSE),"-")</f>
        <v>-</v>
      </c>
      <c r="E28" s="56" t="str">
        <f>IFERROR(VLOOKUP(표7[[#This Row],[낚시 타일]],[3]!표1_67[[이름]:[위도]],2,FALSE),"-")</f>
        <v>-</v>
      </c>
      <c r="F28" s="56"/>
      <c r="G28" s="56" t="str">
        <f>IFERROR(ROUNDDOWN(표10[[#This Row],[최종배당'[0']]]/표10[[#This Row],[분모]]*100,0)&amp;"%","-")</f>
        <v>-</v>
      </c>
      <c r="H28" s="56"/>
      <c r="I28" s="56" t="str">
        <f>IFERROR(ROUNDDOWN(표10[[#This Row],[최종배당'[1']]]/표10[[#This Row],[분모]]*100,0)&amp;"%","-")</f>
        <v>-</v>
      </c>
      <c r="J28" s="56"/>
      <c r="K28" s="56" t="str">
        <f>IFERROR(ROUNDDOWN(표10[[#This Row],[최종배당'[2']]]/표10[[#This Row],[분모]]*100,0)&amp;"%","-")</f>
        <v>-</v>
      </c>
      <c r="L28" s="56"/>
      <c r="M28" s="56" t="str">
        <f>IFERROR(ROUNDDOWN(표10[[#This Row],[최종배당'[3']]]/표10[[#This Row],[분모]]*100,0)&amp;"%","-")</f>
        <v>-</v>
      </c>
      <c r="N28" s="56"/>
      <c r="O28" s="56" t="str">
        <f>IFERROR(ROUNDDOWN(표10[[#This Row],[최종배당'[4']]]/표10[[#This Row],[분모]]*100,0)&amp;"%","-")</f>
        <v>-</v>
      </c>
      <c r="P28" s="56"/>
      <c r="Q28" s="56" t="str">
        <f>IFERROR(ROUNDDOWN(표10[[#This Row],[최종배당'[5']]]/표10[[#This Row],[분모]]*100,0)&amp;"%","-")</f>
        <v>-</v>
      </c>
      <c r="S28" s="56" t="str">
        <f>IFERROR(VLOOKUP(표7[발견물'[0']],표1[[명칭]:[등급]],4,FALSE),"-")&amp;"급"</f>
        <v>0급</v>
      </c>
      <c r="T28" s="56" t="str">
        <f>IFERROR(VLOOKUP(표7[발견물'[1']],표1[[명칭]:[등급]],4,FALSE),"-")&amp;"급"</f>
        <v>0급</v>
      </c>
      <c r="U28" s="56" t="str">
        <f>IFERROR(VLOOKUP(표7[발견물'[2']],표1[[명칭]:[등급]],4,FALSE),"-")&amp;"급"</f>
        <v>0급</v>
      </c>
      <c r="V28" s="56" t="str">
        <f>IFERROR(VLOOKUP(표7[발견물'[3']],표1[[명칭]:[등급]],4,FALSE),"-")&amp;"급"</f>
        <v>0급</v>
      </c>
      <c r="W28" s="56" t="str">
        <f>IFERROR(VLOOKUP(표7[발견물'[4']],표1[[명칭]:[등급]],4,FALSE),"-")&amp;"급"</f>
        <v>0급</v>
      </c>
      <c r="X28" s="56" t="str">
        <f>IFERROR(VLOOKUP(표7[발견물'[5']],표1[[명칭]:[등급]],4,FALSE),"-")&amp;"급"</f>
        <v>0급</v>
      </c>
      <c r="Y28" s="56" t="str">
        <f>IFERROR(INDEX([1]FishGrade!$I:$I,MATCH(표10[[#This Row],[등급'[0']]],[1]FishGrade!$B:$B,0)),"-")</f>
        <v>-</v>
      </c>
      <c r="Z28" s="56" t="str">
        <f>IFERROR(INDEX([1]FishGrade!$I:$I,MATCH(표10[[#This Row],[등급'[1']]],[1]FishGrade!$B:$B,0)),"-")</f>
        <v>-</v>
      </c>
      <c r="AA28" s="56" t="str">
        <f>IFERROR(INDEX([1]FishGrade!$I:$I,MATCH(표10[[#This Row],[등급'[2']]],[1]FishGrade!$B:$B,0)),"-")</f>
        <v>-</v>
      </c>
      <c r="AB28" s="56" t="str">
        <f>IFERROR(INDEX([1]FishGrade!$I:$I,MATCH(표10[[#This Row],[등급'[3']]],[1]FishGrade!$B:$B,0)),"-")</f>
        <v>-</v>
      </c>
      <c r="AC28" s="56" t="str">
        <f>IFERROR(INDEX([1]FishGrade!$I:$I,MATCH(표10[[#This Row],[등급'[4']]],[1]FishGrade!$B:$B,0)),"-")</f>
        <v>-</v>
      </c>
      <c r="AD28" s="56" t="str">
        <f>IFERROR(INDEX([1]FishGrade!$I:$I,MATCH(표10[[#This Row],[등급'[5']]],[1]FishGrade!$B:$B,0)),"-")</f>
        <v>-</v>
      </c>
      <c r="AE28" s="56">
        <f>IF([1]FishDiscoveryGroup!$I$8="-",0,[1]FishDiscoveryGroup!$I$8)</f>
        <v>0</v>
      </c>
      <c r="AF28" s="56">
        <f>IF([1]FishDiscoveryGroup!$I$8="-",0,[1]FishDiscoveryGroup!$L$8)</f>
        <v>0</v>
      </c>
      <c r="AG28" s="56">
        <f>IF([1]FishDiscoveryGroup!$I$8="-",0,[1]FishDiscoveryGroup!$O$8)</f>
        <v>0</v>
      </c>
      <c r="AH28" s="56">
        <f>IF([1]FishDiscoveryGroup!$I$8="-",0,[1]FishDiscoveryGroup!$R$8)</f>
        <v>0</v>
      </c>
      <c r="AI28" s="56">
        <f>IF([1]FishDiscoveryGroup!$I$8="-",0,[1]FishDiscoveryGroup!$U$8)</f>
        <v>0</v>
      </c>
      <c r="AJ28" s="56">
        <f>IF([1]FishDiscoveryGroup!$I$8="-",0,[1]FishDiscoveryGroup!$X$8)</f>
        <v>0</v>
      </c>
      <c r="AK28" s="56">
        <f>IF(표10[[#This Row],[배당'[0']]]="-",0,표10[[#This Row],[배당'[0']]])+표10[[#This Row],[PROB'[0']]]</f>
        <v>0</v>
      </c>
      <c r="AL28" s="56">
        <f>IF(표10[[#This Row],[배당'[1']]]="-",0,표10[[#This Row],[배당'[1']]])+표10[[#This Row],[PROB'[1']]]</f>
        <v>0</v>
      </c>
      <c r="AM28" s="56">
        <f>IF(표10[[#This Row],[배당'[2']]]="-",0,표10[[#This Row],[배당'[2']]])+표10[[#This Row],[PROB'[2']]]</f>
        <v>0</v>
      </c>
      <c r="AN28" s="56">
        <f>IF(표10[[#This Row],[배당'[3']]]="-",0,표10[[#This Row],[배당'[3']]])+표10[[#This Row],[PROB'[3']]]</f>
        <v>0</v>
      </c>
      <c r="AO28" s="56">
        <f>IF(표10[[#This Row],[배당'[4']]]="-",0,표10[[#This Row],[배당'[4']]])+표10[[#This Row],[PROB'[4']]]</f>
        <v>0</v>
      </c>
      <c r="AP28" s="56">
        <f>IF(표10[[#This Row],[배당'[5']]]="-",0,표10[[#This Row],[배당'[5']]])+표10[[#This Row],[PROB'[5']]]</f>
        <v>0</v>
      </c>
      <c r="AQ28" s="56">
        <f>SUM(표10[[#This Row],[최종배당'[0']]:[최종배당'[5']]])</f>
        <v>0</v>
      </c>
    </row>
    <row r="29" spans="2:43" x14ac:dyDescent="0.3">
      <c r="B29" s="56" t="str">
        <f>[1]FishOceanTile!B34</f>
        <v>카리브해</v>
      </c>
      <c r="C29" s="56" t="str">
        <f>IFERROR(VLOOKUP(표7[[#This Row],[낚시 타일]],[3]!표1_67[[이름]:[선단 LV]],6,FALSE),"-")</f>
        <v>-</v>
      </c>
      <c r="D29" s="56" t="str">
        <f>IFERROR(VLOOKUP(표7[[#This Row],[낚시 타일]],[3]!표1_67[[이름]:[위도]],3,FALSE),"-")</f>
        <v>-</v>
      </c>
      <c r="E29" s="56" t="str">
        <f>IFERROR(VLOOKUP(표7[[#This Row],[낚시 타일]],[3]!표1_67[[이름]:[위도]],2,FALSE),"-")</f>
        <v>-</v>
      </c>
      <c r="F29" s="56"/>
      <c r="G29" s="56" t="str">
        <f>IFERROR(ROUNDDOWN(표10[[#This Row],[최종배당'[0']]]/표10[[#This Row],[분모]]*100,0)&amp;"%","-")</f>
        <v>-</v>
      </c>
      <c r="H29" s="56"/>
      <c r="I29" s="56" t="str">
        <f>IFERROR(ROUNDDOWN(표10[[#This Row],[최종배당'[1']]]/표10[[#This Row],[분모]]*100,0)&amp;"%","-")</f>
        <v>-</v>
      </c>
      <c r="J29" s="56"/>
      <c r="K29" s="56" t="str">
        <f>IFERROR(ROUNDDOWN(표10[[#This Row],[최종배당'[2']]]/표10[[#This Row],[분모]]*100,0)&amp;"%","-")</f>
        <v>-</v>
      </c>
      <c r="L29" s="56"/>
      <c r="M29" s="56" t="str">
        <f>IFERROR(ROUNDDOWN(표10[[#This Row],[최종배당'[3']]]/표10[[#This Row],[분모]]*100,0)&amp;"%","-")</f>
        <v>-</v>
      </c>
      <c r="N29" s="56"/>
      <c r="O29" s="56" t="str">
        <f>IFERROR(ROUNDDOWN(표10[[#This Row],[최종배당'[4']]]/표10[[#This Row],[분모]]*100,0)&amp;"%","-")</f>
        <v>-</v>
      </c>
      <c r="P29" s="56"/>
      <c r="Q29" s="56" t="str">
        <f>IFERROR(ROUNDDOWN(표10[[#This Row],[최종배당'[5']]]/표10[[#This Row],[분모]]*100,0)&amp;"%","-")</f>
        <v>-</v>
      </c>
      <c r="S29" s="56" t="str">
        <f>IFERROR(VLOOKUP(표7[발견물'[0']],표1[[명칭]:[등급]],4,FALSE),"-")&amp;"급"</f>
        <v>0급</v>
      </c>
      <c r="T29" s="56" t="str">
        <f>IFERROR(VLOOKUP(표7[발견물'[1']],표1[[명칭]:[등급]],4,FALSE),"-")&amp;"급"</f>
        <v>0급</v>
      </c>
      <c r="U29" s="56" t="str">
        <f>IFERROR(VLOOKUP(표7[발견물'[2']],표1[[명칭]:[등급]],4,FALSE),"-")&amp;"급"</f>
        <v>0급</v>
      </c>
      <c r="V29" s="56" t="str">
        <f>IFERROR(VLOOKUP(표7[발견물'[3']],표1[[명칭]:[등급]],4,FALSE),"-")&amp;"급"</f>
        <v>0급</v>
      </c>
      <c r="W29" s="56" t="str">
        <f>IFERROR(VLOOKUP(표7[발견물'[4']],표1[[명칭]:[등급]],4,FALSE),"-")&amp;"급"</f>
        <v>0급</v>
      </c>
      <c r="X29" s="56" t="str">
        <f>IFERROR(VLOOKUP(표7[발견물'[5']],표1[[명칭]:[등급]],4,FALSE),"-")&amp;"급"</f>
        <v>0급</v>
      </c>
      <c r="Y29" s="56" t="str">
        <f>IFERROR(INDEX([1]FishGrade!$I:$I,MATCH(표10[[#This Row],[등급'[0']]],[1]FishGrade!$B:$B,0)),"-")</f>
        <v>-</v>
      </c>
      <c r="Z29" s="56" t="str">
        <f>IFERROR(INDEX([1]FishGrade!$I:$I,MATCH(표10[[#This Row],[등급'[1']]],[1]FishGrade!$B:$B,0)),"-")</f>
        <v>-</v>
      </c>
      <c r="AA29" s="56" t="str">
        <f>IFERROR(INDEX([1]FishGrade!$I:$I,MATCH(표10[[#This Row],[등급'[2']]],[1]FishGrade!$B:$B,0)),"-")</f>
        <v>-</v>
      </c>
      <c r="AB29" s="56" t="str">
        <f>IFERROR(INDEX([1]FishGrade!$I:$I,MATCH(표10[[#This Row],[등급'[3']]],[1]FishGrade!$B:$B,0)),"-")</f>
        <v>-</v>
      </c>
      <c r="AC29" s="56" t="str">
        <f>IFERROR(INDEX([1]FishGrade!$I:$I,MATCH(표10[[#This Row],[등급'[4']]],[1]FishGrade!$B:$B,0)),"-")</f>
        <v>-</v>
      </c>
      <c r="AD29" s="56" t="str">
        <f>IFERROR(INDEX([1]FishGrade!$I:$I,MATCH(표10[[#This Row],[등급'[5']]],[1]FishGrade!$B:$B,0)),"-")</f>
        <v>-</v>
      </c>
      <c r="AE29" s="56">
        <f>IF([1]FishDiscoveryGroup!$I$8="-",0,[1]FishDiscoveryGroup!$I$8)</f>
        <v>0</v>
      </c>
      <c r="AF29" s="56">
        <f>IF([1]FishDiscoveryGroup!$I$8="-",0,[1]FishDiscoveryGroup!$L$8)</f>
        <v>0</v>
      </c>
      <c r="AG29" s="56">
        <f>IF([1]FishDiscoveryGroup!$I$8="-",0,[1]FishDiscoveryGroup!$O$8)</f>
        <v>0</v>
      </c>
      <c r="AH29" s="56">
        <f>IF([1]FishDiscoveryGroup!$I$8="-",0,[1]FishDiscoveryGroup!$R$8)</f>
        <v>0</v>
      </c>
      <c r="AI29" s="56">
        <f>IF([1]FishDiscoveryGroup!$I$8="-",0,[1]FishDiscoveryGroup!$U$8)</f>
        <v>0</v>
      </c>
      <c r="AJ29" s="56">
        <f>IF([1]FishDiscoveryGroup!$I$8="-",0,[1]FishDiscoveryGroup!$X$8)</f>
        <v>0</v>
      </c>
      <c r="AK29" s="56">
        <f>IF(표10[[#This Row],[배당'[0']]]="-",0,표10[[#This Row],[배당'[0']]])+표10[[#This Row],[PROB'[0']]]</f>
        <v>0</v>
      </c>
      <c r="AL29" s="56">
        <f>IF(표10[[#This Row],[배당'[1']]]="-",0,표10[[#This Row],[배당'[1']]])+표10[[#This Row],[PROB'[1']]]</f>
        <v>0</v>
      </c>
      <c r="AM29" s="56">
        <f>IF(표10[[#This Row],[배당'[2']]]="-",0,표10[[#This Row],[배당'[2']]])+표10[[#This Row],[PROB'[2']]]</f>
        <v>0</v>
      </c>
      <c r="AN29" s="56">
        <f>IF(표10[[#This Row],[배당'[3']]]="-",0,표10[[#This Row],[배당'[3']]])+표10[[#This Row],[PROB'[3']]]</f>
        <v>0</v>
      </c>
      <c r="AO29" s="56">
        <f>IF(표10[[#This Row],[배당'[4']]]="-",0,표10[[#This Row],[배당'[4']]])+표10[[#This Row],[PROB'[4']]]</f>
        <v>0</v>
      </c>
      <c r="AP29" s="56">
        <f>IF(표10[[#This Row],[배당'[5']]]="-",0,표10[[#This Row],[배당'[5']]])+표10[[#This Row],[PROB'[5']]]</f>
        <v>0</v>
      </c>
      <c r="AQ29" s="56">
        <f>SUM(표10[[#This Row],[최종배당'[0']]:[최종배당'[5']]])</f>
        <v>0</v>
      </c>
    </row>
    <row r="30" spans="2:43" x14ac:dyDescent="0.3">
      <c r="B30" s="56" t="str">
        <f>[1]FishOceanTile!B35</f>
        <v>북아메리카 강</v>
      </c>
      <c r="C30" s="56" t="str">
        <f>IFERROR(VLOOKUP(표7[[#This Row],[낚시 타일]],[3]!표1_67[[이름]:[선단 LV]],6,FALSE),"-")</f>
        <v>-</v>
      </c>
      <c r="D30" s="56" t="str">
        <f>IFERROR(VLOOKUP(표7[[#This Row],[낚시 타일]],[3]!표1_67[[이름]:[위도]],3,FALSE),"-")</f>
        <v>-</v>
      </c>
      <c r="E30" s="56" t="str">
        <f>IFERROR(VLOOKUP(표7[[#This Row],[낚시 타일]],[3]!표1_67[[이름]:[위도]],2,FALSE),"-")</f>
        <v>-</v>
      </c>
      <c r="F30" s="56"/>
      <c r="G30" s="56" t="str">
        <f>IFERROR(ROUNDDOWN(표10[[#This Row],[최종배당'[0']]]/표10[[#This Row],[분모]]*100,0)&amp;"%","-")</f>
        <v>-</v>
      </c>
      <c r="H30" s="56"/>
      <c r="I30" s="56" t="str">
        <f>IFERROR(ROUNDDOWN(표10[[#This Row],[최종배당'[1']]]/표10[[#This Row],[분모]]*100,0)&amp;"%","-")</f>
        <v>-</v>
      </c>
      <c r="J30" s="56"/>
      <c r="K30" s="56" t="str">
        <f>IFERROR(ROUNDDOWN(표10[[#This Row],[최종배당'[2']]]/표10[[#This Row],[분모]]*100,0)&amp;"%","-")</f>
        <v>-</v>
      </c>
      <c r="L30" s="56"/>
      <c r="M30" s="56" t="str">
        <f>IFERROR(ROUNDDOWN(표10[[#This Row],[최종배당'[3']]]/표10[[#This Row],[분모]]*100,0)&amp;"%","-")</f>
        <v>-</v>
      </c>
      <c r="N30" s="56"/>
      <c r="O30" s="56" t="str">
        <f>IFERROR(ROUNDDOWN(표10[[#This Row],[최종배당'[4']]]/표10[[#This Row],[분모]]*100,0)&amp;"%","-")</f>
        <v>-</v>
      </c>
      <c r="P30" s="56"/>
      <c r="Q30" s="56" t="str">
        <f>IFERROR(ROUNDDOWN(표10[[#This Row],[최종배당'[5']]]/표10[[#This Row],[분모]]*100,0)&amp;"%","-")</f>
        <v>-</v>
      </c>
      <c r="S30" s="56" t="str">
        <f>IFERROR(VLOOKUP(표7[발견물'[0']],표1[[명칭]:[등급]],4,FALSE),"-")&amp;"급"</f>
        <v>0급</v>
      </c>
      <c r="T30" s="56" t="str">
        <f>IFERROR(VLOOKUP(표7[발견물'[1']],표1[[명칭]:[등급]],4,FALSE),"-")&amp;"급"</f>
        <v>0급</v>
      </c>
      <c r="U30" s="56" t="str">
        <f>IFERROR(VLOOKUP(표7[발견물'[2']],표1[[명칭]:[등급]],4,FALSE),"-")&amp;"급"</f>
        <v>0급</v>
      </c>
      <c r="V30" s="56" t="str">
        <f>IFERROR(VLOOKUP(표7[발견물'[3']],표1[[명칭]:[등급]],4,FALSE),"-")&amp;"급"</f>
        <v>0급</v>
      </c>
      <c r="W30" s="56" t="str">
        <f>IFERROR(VLOOKUP(표7[발견물'[4']],표1[[명칭]:[등급]],4,FALSE),"-")&amp;"급"</f>
        <v>0급</v>
      </c>
      <c r="X30" s="56" t="str">
        <f>IFERROR(VLOOKUP(표7[발견물'[5']],표1[[명칭]:[등급]],4,FALSE),"-")&amp;"급"</f>
        <v>0급</v>
      </c>
      <c r="Y30" s="56" t="str">
        <f>IFERROR(INDEX([1]FishGrade!$I:$I,MATCH(표10[[#This Row],[등급'[0']]],[1]FishGrade!$B:$B,0)),"-")</f>
        <v>-</v>
      </c>
      <c r="Z30" s="56" t="str">
        <f>IFERROR(INDEX([1]FishGrade!$I:$I,MATCH(표10[[#This Row],[등급'[1']]],[1]FishGrade!$B:$B,0)),"-")</f>
        <v>-</v>
      </c>
      <c r="AA30" s="56" t="str">
        <f>IFERROR(INDEX([1]FishGrade!$I:$I,MATCH(표10[[#This Row],[등급'[2']]],[1]FishGrade!$B:$B,0)),"-")</f>
        <v>-</v>
      </c>
      <c r="AB30" s="56" t="str">
        <f>IFERROR(INDEX([1]FishGrade!$I:$I,MATCH(표10[[#This Row],[등급'[3']]],[1]FishGrade!$B:$B,0)),"-")</f>
        <v>-</v>
      </c>
      <c r="AC30" s="56" t="str">
        <f>IFERROR(INDEX([1]FishGrade!$I:$I,MATCH(표10[[#This Row],[등급'[4']]],[1]FishGrade!$B:$B,0)),"-")</f>
        <v>-</v>
      </c>
      <c r="AD30" s="56" t="str">
        <f>IFERROR(INDEX([1]FishGrade!$I:$I,MATCH(표10[[#This Row],[등급'[5']]],[1]FishGrade!$B:$B,0)),"-")</f>
        <v>-</v>
      </c>
      <c r="AE30" s="56">
        <f>IF([1]FishDiscoveryGroup!$I$8="-",0,[1]FishDiscoveryGroup!$I$8)</f>
        <v>0</v>
      </c>
      <c r="AF30" s="56">
        <f>IF([1]FishDiscoveryGroup!$I$8="-",0,[1]FishDiscoveryGroup!$L$8)</f>
        <v>0</v>
      </c>
      <c r="AG30" s="56">
        <f>IF([1]FishDiscoveryGroup!$I$8="-",0,[1]FishDiscoveryGroup!$O$8)</f>
        <v>0</v>
      </c>
      <c r="AH30" s="56">
        <f>IF([1]FishDiscoveryGroup!$I$8="-",0,[1]FishDiscoveryGroup!$R$8)</f>
        <v>0</v>
      </c>
      <c r="AI30" s="56">
        <f>IF([1]FishDiscoveryGroup!$I$8="-",0,[1]FishDiscoveryGroup!$U$8)</f>
        <v>0</v>
      </c>
      <c r="AJ30" s="56">
        <f>IF([1]FishDiscoveryGroup!$I$8="-",0,[1]FishDiscoveryGroup!$X$8)</f>
        <v>0</v>
      </c>
      <c r="AK30" s="56">
        <f>IF(표10[[#This Row],[배당'[0']]]="-",0,표10[[#This Row],[배당'[0']]])+표10[[#This Row],[PROB'[0']]]</f>
        <v>0</v>
      </c>
      <c r="AL30" s="56">
        <f>IF(표10[[#This Row],[배당'[1']]]="-",0,표10[[#This Row],[배당'[1']]])+표10[[#This Row],[PROB'[1']]]</f>
        <v>0</v>
      </c>
      <c r="AM30" s="56">
        <f>IF(표10[[#This Row],[배당'[2']]]="-",0,표10[[#This Row],[배당'[2']]])+표10[[#This Row],[PROB'[2']]]</f>
        <v>0</v>
      </c>
      <c r="AN30" s="56">
        <f>IF(표10[[#This Row],[배당'[3']]]="-",0,표10[[#This Row],[배당'[3']]])+표10[[#This Row],[PROB'[3']]]</f>
        <v>0</v>
      </c>
      <c r="AO30" s="56">
        <f>IF(표10[[#This Row],[배당'[4']]]="-",0,표10[[#This Row],[배당'[4']]])+표10[[#This Row],[PROB'[4']]]</f>
        <v>0</v>
      </c>
      <c r="AP30" s="56">
        <f>IF(표10[[#This Row],[배당'[5']]]="-",0,표10[[#This Row],[배당'[5']]])+표10[[#This Row],[PROB'[5']]]</f>
        <v>0</v>
      </c>
      <c r="AQ30" s="56">
        <f>SUM(표10[[#This Row],[최종배당'[0']]:[최종배당'[5']]])</f>
        <v>0</v>
      </c>
    </row>
    <row r="31" spans="2:43" x14ac:dyDescent="0.3">
      <c r="B31" s="56" t="str">
        <f>[1]FishOceanTile!B36</f>
        <v>버뮤다 제도</v>
      </c>
      <c r="C31" s="56" t="str">
        <f>IFERROR(VLOOKUP(표7[[#This Row],[낚시 타일]],[3]!표1_67[[이름]:[선단 LV]],6,FALSE),"-")</f>
        <v>-</v>
      </c>
      <c r="D31" s="56" t="str">
        <f>IFERROR(VLOOKUP(표7[[#This Row],[낚시 타일]],[3]!표1_67[[이름]:[위도]],3,FALSE),"-")</f>
        <v>-</v>
      </c>
      <c r="E31" s="56" t="str">
        <f>IFERROR(VLOOKUP(표7[[#This Row],[낚시 타일]],[3]!표1_67[[이름]:[위도]],2,FALSE),"-")</f>
        <v>-</v>
      </c>
      <c r="F31" s="56"/>
      <c r="G31" s="56" t="str">
        <f>IFERROR(ROUNDDOWN(표10[[#This Row],[최종배당'[0']]]/표10[[#This Row],[분모]]*100,0)&amp;"%","-")</f>
        <v>-</v>
      </c>
      <c r="H31" s="56"/>
      <c r="I31" s="56" t="str">
        <f>IFERROR(ROUNDDOWN(표10[[#This Row],[최종배당'[1']]]/표10[[#This Row],[분모]]*100,0)&amp;"%","-")</f>
        <v>-</v>
      </c>
      <c r="J31" s="56"/>
      <c r="K31" s="56" t="str">
        <f>IFERROR(ROUNDDOWN(표10[[#This Row],[최종배당'[2']]]/표10[[#This Row],[분모]]*100,0)&amp;"%","-")</f>
        <v>-</v>
      </c>
      <c r="L31" s="56"/>
      <c r="M31" s="56" t="str">
        <f>IFERROR(ROUNDDOWN(표10[[#This Row],[최종배당'[3']]]/표10[[#This Row],[분모]]*100,0)&amp;"%","-")</f>
        <v>-</v>
      </c>
      <c r="N31" s="56"/>
      <c r="O31" s="56" t="str">
        <f>IFERROR(ROUNDDOWN(표10[[#This Row],[최종배당'[4']]]/표10[[#This Row],[분모]]*100,0)&amp;"%","-")</f>
        <v>-</v>
      </c>
      <c r="P31" s="56"/>
      <c r="Q31" s="56" t="str">
        <f>IFERROR(ROUNDDOWN(표10[[#This Row],[최종배당'[5']]]/표10[[#This Row],[분모]]*100,0)&amp;"%","-")</f>
        <v>-</v>
      </c>
      <c r="S31" s="56" t="str">
        <f>IFERROR(VLOOKUP(표7[발견물'[0']],표1[[명칭]:[등급]],4,FALSE),"-")&amp;"급"</f>
        <v>0급</v>
      </c>
      <c r="T31" s="56" t="str">
        <f>IFERROR(VLOOKUP(표7[발견물'[1']],표1[[명칭]:[등급]],4,FALSE),"-")&amp;"급"</f>
        <v>0급</v>
      </c>
      <c r="U31" s="56" t="str">
        <f>IFERROR(VLOOKUP(표7[발견물'[2']],표1[[명칭]:[등급]],4,FALSE),"-")&amp;"급"</f>
        <v>0급</v>
      </c>
      <c r="V31" s="56" t="str">
        <f>IFERROR(VLOOKUP(표7[발견물'[3']],표1[[명칭]:[등급]],4,FALSE),"-")&amp;"급"</f>
        <v>0급</v>
      </c>
      <c r="W31" s="56" t="str">
        <f>IFERROR(VLOOKUP(표7[발견물'[4']],표1[[명칭]:[등급]],4,FALSE),"-")&amp;"급"</f>
        <v>0급</v>
      </c>
      <c r="X31" s="56" t="str">
        <f>IFERROR(VLOOKUP(표7[발견물'[5']],표1[[명칭]:[등급]],4,FALSE),"-")&amp;"급"</f>
        <v>0급</v>
      </c>
      <c r="Y31" s="56" t="str">
        <f>IFERROR(INDEX([1]FishGrade!$I:$I,MATCH(표10[[#This Row],[등급'[0']]],[1]FishGrade!$B:$B,0)),"-")</f>
        <v>-</v>
      </c>
      <c r="Z31" s="56" t="str">
        <f>IFERROR(INDEX([1]FishGrade!$I:$I,MATCH(표10[[#This Row],[등급'[1']]],[1]FishGrade!$B:$B,0)),"-")</f>
        <v>-</v>
      </c>
      <c r="AA31" s="56" t="str">
        <f>IFERROR(INDEX([1]FishGrade!$I:$I,MATCH(표10[[#This Row],[등급'[2']]],[1]FishGrade!$B:$B,0)),"-")</f>
        <v>-</v>
      </c>
      <c r="AB31" s="56" t="str">
        <f>IFERROR(INDEX([1]FishGrade!$I:$I,MATCH(표10[[#This Row],[등급'[3']]],[1]FishGrade!$B:$B,0)),"-")</f>
        <v>-</v>
      </c>
      <c r="AC31" s="56" t="str">
        <f>IFERROR(INDEX([1]FishGrade!$I:$I,MATCH(표10[[#This Row],[등급'[4']]],[1]FishGrade!$B:$B,0)),"-")</f>
        <v>-</v>
      </c>
      <c r="AD31" s="56" t="str">
        <f>IFERROR(INDEX([1]FishGrade!$I:$I,MATCH(표10[[#This Row],[등급'[5']]],[1]FishGrade!$B:$B,0)),"-")</f>
        <v>-</v>
      </c>
      <c r="AE31" s="56">
        <f>IF([1]FishDiscoveryGroup!$I$8="-",0,[1]FishDiscoveryGroup!$I$8)</f>
        <v>0</v>
      </c>
      <c r="AF31" s="56">
        <f>IF([1]FishDiscoveryGroup!$I$8="-",0,[1]FishDiscoveryGroup!$L$8)</f>
        <v>0</v>
      </c>
      <c r="AG31" s="56">
        <f>IF([1]FishDiscoveryGroup!$I$8="-",0,[1]FishDiscoveryGroup!$O$8)</f>
        <v>0</v>
      </c>
      <c r="AH31" s="56">
        <f>IF([1]FishDiscoveryGroup!$I$8="-",0,[1]FishDiscoveryGroup!$R$8)</f>
        <v>0</v>
      </c>
      <c r="AI31" s="56">
        <f>IF([1]FishDiscoveryGroup!$I$8="-",0,[1]FishDiscoveryGroup!$U$8)</f>
        <v>0</v>
      </c>
      <c r="AJ31" s="56">
        <f>IF([1]FishDiscoveryGroup!$I$8="-",0,[1]FishDiscoveryGroup!$X$8)</f>
        <v>0</v>
      </c>
      <c r="AK31" s="56">
        <f>IF(표10[[#This Row],[배당'[0']]]="-",0,표10[[#This Row],[배당'[0']]])+표10[[#This Row],[PROB'[0']]]</f>
        <v>0</v>
      </c>
      <c r="AL31" s="56">
        <f>IF(표10[[#This Row],[배당'[1']]]="-",0,표10[[#This Row],[배당'[1']]])+표10[[#This Row],[PROB'[1']]]</f>
        <v>0</v>
      </c>
      <c r="AM31" s="56">
        <f>IF(표10[[#This Row],[배당'[2']]]="-",0,표10[[#This Row],[배당'[2']]])+표10[[#This Row],[PROB'[2']]]</f>
        <v>0</v>
      </c>
      <c r="AN31" s="56">
        <f>IF(표10[[#This Row],[배당'[3']]]="-",0,표10[[#This Row],[배당'[3']]])+표10[[#This Row],[PROB'[3']]]</f>
        <v>0</v>
      </c>
      <c r="AO31" s="56">
        <f>IF(표10[[#This Row],[배당'[4']]]="-",0,표10[[#This Row],[배당'[4']]])+표10[[#This Row],[PROB'[4']]]</f>
        <v>0</v>
      </c>
      <c r="AP31" s="56">
        <f>IF(표10[[#This Row],[배당'[5']]]="-",0,표10[[#This Row],[배당'[5']]])+표10[[#This Row],[PROB'[5']]]</f>
        <v>0</v>
      </c>
      <c r="AQ31" s="56">
        <f>SUM(표10[[#This Row],[최종배당'[0']]:[최종배당'[5']]])</f>
        <v>0</v>
      </c>
    </row>
    <row r="32" spans="2:43" x14ac:dyDescent="0.3">
      <c r="B32" s="56" t="str">
        <f>[1]FishOceanTile!B37</f>
        <v>서 대서양</v>
      </c>
      <c r="C32" s="56" t="str">
        <f>IFERROR(VLOOKUP(표7[[#This Row],[낚시 타일]],[3]!표1_67[[이름]:[선단 LV]],6,FALSE),"-")</f>
        <v>-</v>
      </c>
      <c r="D32" s="56" t="str">
        <f>IFERROR(VLOOKUP(표7[[#This Row],[낚시 타일]],[3]!표1_67[[이름]:[위도]],3,FALSE),"-")</f>
        <v>-</v>
      </c>
      <c r="E32" s="56" t="str">
        <f>IFERROR(VLOOKUP(표7[[#This Row],[낚시 타일]],[3]!표1_67[[이름]:[위도]],2,FALSE),"-")</f>
        <v>-</v>
      </c>
      <c r="F32" s="56"/>
      <c r="G32" s="56" t="str">
        <f>IFERROR(ROUNDDOWN(표10[[#This Row],[최종배당'[0']]]/표10[[#This Row],[분모]]*100,0)&amp;"%","-")</f>
        <v>-</v>
      </c>
      <c r="H32" s="56"/>
      <c r="I32" s="56" t="str">
        <f>IFERROR(ROUNDDOWN(표10[[#This Row],[최종배당'[1']]]/표10[[#This Row],[분모]]*100,0)&amp;"%","-")</f>
        <v>-</v>
      </c>
      <c r="J32" s="56"/>
      <c r="K32" s="56" t="str">
        <f>IFERROR(ROUNDDOWN(표10[[#This Row],[최종배당'[2']]]/표10[[#This Row],[분모]]*100,0)&amp;"%","-")</f>
        <v>-</v>
      </c>
      <c r="L32" s="56"/>
      <c r="M32" s="56" t="str">
        <f>IFERROR(ROUNDDOWN(표10[[#This Row],[최종배당'[3']]]/표10[[#This Row],[분모]]*100,0)&amp;"%","-")</f>
        <v>-</v>
      </c>
      <c r="N32" s="56"/>
      <c r="O32" s="56" t="str">
        <f>IFERROR(ROUNDDOWN(표10[[#This Row],[최종배당'[4']]]/표10[[#This Row],[분모]]*100,0)&amp;"%","-")</f>
        <v>-</v>
      </c>
      <c r="P32" s="56"/>
      <c r="Q32" s="56" t="str">
        <f>IFERROR(ROUNDDOWN(표10[[#This Row],[최종배당'[5']]]/표10[[#This Row],[분모]]*100,0)&amp;"%","-")</f>
        <v>-</v>
      </c>
      <c r="S32" s="56" t="str">
        <f>IFERROR(VLOOKUP(표7[발견물'[0']],표1[[명칭]:[등급]],4,FALSE),"-")&amp;"급"</f>
        <v>0급</v>
      </c>
      <c r="T32" s="56" t="str">
        <f>IFERROR(VLOOKUP(표7[발견물'[1']],표1[[명칭]:[등급]],4,FALSE),"-")&amp;"급"</f>
        <v>0급</v>
      </c>
      <c r="U32" s="56" t="str">
        <f>IFERROR(VLOOKUP(표7[발견물'[2']],표1[[명칭]:[등급]],4,FALSE),"-")&amp;"급"</f>
        <v>0급</v>
      </c>
      <c r="V32" s="56" t="str">
        <f>IFERROR(VLOOKUP(표7[발견물'[3']],표1[[명칭]:[등급]],4,FALSE),"-")&amp;"급"</f>
        <v>0급</v>
      </c>
      <c r="W32" s="56" t="str">
        <f>IFERROR(VLOOKUP(표7[발견물'[4']],표1[[명칭]:[등급]],4,FALSE),"-")&amp;"급"</f>
        <v>0급</v>
      </c>
      <c r="X32" s="56" t="str">
        <f>IFERROR(VLOOKUP(표7[발견물'[5']],표1[[명칭]:[등급]],4,FALSE),"-")&amp;"급"</f>
        <v>0급</v>
      </c>
      <c r="Y32" s="56" t="str">
        <f>IFERROR(INDEX([1]FishGrade!$I:$I,MATCH(표10[[#This Row],[등급'[0']]],[1]FishGrade!$B:$B,0)),"-")</f>
        <v>-</v>
      </c>
      <c r="Z32" s="56" t="str">
        <f>IFERROR(INDEX([1]FishGrade!$I:$I,MATCH(표10[[#This Row],[등급'[1']]],[1]FishGrade!$B:$B,0)),"-")</f>
        <v>-</v>
      </c>
      <c r="AA32" s="56" t="str">
        <f>IFERROR(INDEX([1]FishGrade!$I:$I,MATCH(표10[[#This Row],[등급'[2']]],[1]FishGrade!$B:$B,0)),"-")</f>
        <v>-</v>
      </c>
      <c r="AB32" s="56" t="str">
        <f>IFERROR(INDEX([1]FishGrade!$I:$I,MATCH(표10[[#This Row],[등급'[3']]],[1]FishGrade!$B:$B,0)),"-")</f>
        <v>-</v>
      </c>
      <c r="AC32" s="56" t="str">
        <f>IFERROR(INDEX([1]FishGrade!$I:$I,MATCH(표10[[#This Row],[등급'[4']]],[1]FishGrade!$B:$B,0)),"-")</f>
        <v>-</v>
      </c>
      <c r="AD32" s="56" t="str">
        <f>IFERROR(INDEX([1]FishGrade!$I:$I,MATCH(표10[[#This Row],[등급'[5']]],[1]FishGrade!$B:$B,0)),"-")</f>
        <v>-</v>
      </c>
      <c r="AE32" s="56">
        <f>IF([1]FishDiscoveryGroup!$I$8="-",0,[1]FishDiscoveryGroup!$I$8)</f>
        <v>0</v>
      </c>
      <c r="AF32" s="56">
        <f>IF([1]FishDiscoveryGroup!$I$8="-",0,[1]FishDiscoveryGroup!$L$8)</f>
        <v>0</v>
      </c>
      <c r="AG32" s="56">
        <f>IF([1]FishDiscoveryGroup!$I$8="-",0,[1]FishDiscoveryGroup!$O$8)</f>
        <v>0</v>
      </c>
      <c r="AH32" s="56">
        <f>IF([1]FishDiscoveryGroup!$I$8="-",0,[1]FishDiscoveryGroup!$R$8)</f>
        <v>0</v>
      </c>
      <c r="AI32" s="56">
        <f>IF([1]FishDiscoveryGroup!$I$8="-",0,[1]FishDiscoveryGroup!$U$8)</f>
        <v>0</v>
      </c>
      <c r="AJ32" s="56">
        <f>IF([1]FishDiscoveryGroup!$I$8="-",0,[1]FishDiscoveryGroup!$X$8)</f>
        <v>0</v>
      </c>
      <c r="AK32" s="56">
        <f>IF(표10[[#This Row],[배당'[0']]]="-",0,표10[[#This Row],[배당'[0']]])+표10[[#This Row],[PROB'[0']]]</f>
        <v>0</v>
      </c>
      <c r="AL32" s="56">
        <f>IF(표10[[#This Row],[배당'[1']]]="-",0,표10[[#This Row],[배당'[1']]])+표10[[#This Row],[PROB'[1']]]</f>
        <v>0</v>
      </c>
      <c r="AM32" s="56">
        <f>IF(표10[[#This Row],[배당'[2']]]="-",0,표10[[#This Row],[배당'[2']]])+표10[[#This Row],[PROB'[2']]]</f>
        <v>0</v>
      </c>
      <c r="AN32" s="56">
        <f>IF(표10[[#This Row],[배당'[3']]]="-",0,표10[[#This Row],[배당'[3']]])+표10[[#This Row],[PROB'[3']]]</f>
        <v>0</v>
      </c>
      <c r="AO32" s="56">
        <f>IF(표10[[#This Row],[배당'[4']]]="-",0,표10[[#This Row],[배당'[4']]])+표10[[#This Row],[PROB'[4']]]</f>
        <v>0</v>
      </c>
      <c r="AP32" s="56">
        <f>IF(표10[[#This Row],[배당'[5']]]="-",0,표10[[#This Row],[배당'[5']]])+표10[[#This Row],[PROB'[5']]]</f>
        <v>0</v>
      </c>
      <c r="AQ32" s="56">
        <f>SUM(표10[[#This Row],[최종배당'[0']]:[최종배당'[5']]])</f>
        <v>0</v>
      </c>
    </row>
    <row r="33" spans="2:43" x14ac:dyDescent="0.3">
      <c r="B33" s="56" t="str">
        <f>[1]FishOceanTile!B38</f>
        <v>테라노바 앞바다</v>
      </c>
      <c r="C33" s="56" t="str">
        <f>IFERROR(VLOOKUP(표7[[#This Row],[낚시 타일]],[3]!표1_67[[이름]:[선단 LV]],6,FALSE),"-")</f>
        <v>-</v>
      </c>
      <c r="D33" s="56" t="str">
        <f>IFERROR(VLOOKUP(표7[[#This Row],[낚시 타일]],[3]!표1_67[[이름]:[위도]],3,FALSE),"-")</f>
        <v>-</v>
      </c>
      <c r="E33" s="56" t="str">
        <f>IFERROR(VLOOKUP(표7[[#This Row],[낚시 타일]],[3]!표1_67[[이름]:[위도]],2,FALSE),"-")</f>
        <v>-</v>
      </c>
      <c r="F33" s="56"/>
      <c r="G33" s="56" t="str">
        <f>IFERROR(ROUNDDOWN(표10[[#This Row],[최종배당'[0']]]/표10[[#This Row],[분모]]*100,0)&amp;"%","-")</f>
        <v>-</v>
      </c>
      <c r="H33" s="56"/>
      <c r="I33" s="56" t="str">
        <f>IFERROR(ROUNDDOWN(표10[[#This Row],[최종배당'[1']]]/표10[[#This Row],[분모]]*100,0)&amp;"%","-")</f>
        <v>-</v>
      </c>
      <c r="J33" s="56"/>
      <c r="K33" s="56" t="str">
        <f>IFERROR(ROUNDDOWN(표10[[#This Row],[최종배당'[2']]]/표10[[#This Row],[분모]]*100,0)&amp;"%","-")</f>
        <v>-</v>
      </c>
      <c r="L33" s="56"/>
      <c r="M33" s="56" t="str">
        <f>IFERROR(ROUNDDOWN(표10[[#This Row],[최종배당'[3']]]/표10[[#This Row],[분모]]*100,0)&amp;"%","-")</f>
        <v>-</v>
      </c>
      <c r="N33" s="56"/>
      <c r="O33" s="56" t="str">
        <f>IFERROR(ROUNDDOWN(표10[[#This Row],[최종배당'[4']]]/표10[[#This Row],[분모]]*100,0)&amp;"%","-")</f>
        <v>-</v>
      </c>
      <c r="P33" s="56"/>
      <c r="Q33" s="56" t="str">
        <f>IFERROR(ROUNDDOWN(표10[[#This Row],[최종배당'[5']]]/표10[[#This Row],[분모]]*100,0)&amp;"%","-")</f>
        <v>-</v>
      </c>
      <c r="S33" s="56" t="str">
        <f>IFERROR(VLOOKUP(표7[발견물'[0']],표1[[명칭]:[등급]],4,FALSE),"-")&amp;"급"</f>
        <v>0급</v>
      </c>
      <c r="T33" s="56" t="str">
        <f>IFERROR(VLOOKUP(표7[발견물'[1']],표1[[명칭]:[등급]],4,FALSE),"-")&amp;"급"</f>
        <v>0급</v>
      </c>
      <c r="U33" s="56" t="str">
        <f>IFERROR(VLOOKUP(표7[발견물'[2']],표1[[명칭]:[등급]],4,FALSE),"-")&amp;"급"</f>
        <v>0급</v>
      </c>
      <c r="V33" s="56" t="str">
        <f>IFERROR(VLOOKUP(표7[발견물'[3']],표1[[명칭]:[등급]],4,FALSE),"-")&amp;"급"</f>
        <v>0급</v>
      </c>
      <c r="W33" s="56" t="str">
        <f>IFERROR(VLOOKUP(표7[발견물'[4']],표1[[명칭]:[등급]],4,FALSE),"-")&amp;"급"</f>
        <v>0급</v>
      </c>
      <c r="X33" s="56" t="str">
        <f>IFERROR(VLOOKUP(표7[발견물'[5']],표1[[명칭]:[등급]],4,FALSE),"-")&amp;"급"</f>
        <v>0급</v>
      </c>
      <c r="Y33" s="56" t="str">
        <f>IFERROR(INDEX([1]FishGrade!$I:$I,MATCH(표10[[#This Row],[등급'[0']]],[1]FishGrade!$B:$B,0)),"-")</f>
        <v>-</v>
      </c>
      <c r="Z33" s="56" t="str">
        <f>IFERROR(INDEX([1]FishGrade!$I:$I,MATCH(표10[[#This Row],[등급'[1']]],[1]FishGrade!$B:$B,0)),"-")</f>
        <v>-</v>
      </c>
      <c r="AA33" s="56" t="str">
        <f>IFERROR(INDEX([1]FishGrade!$I:$I,MATCH(표10[[#This Row],[등급'[2']]],[1]FishGrade!$B:$B,0)),"-")</f>
        <v>-</v>
      </c>
      <c r="AB33" s="56" t="str">
        <f>IFERROR(INDEX([1]FishGrade!$I:$I,MATCH(표10[[#This Row],[등급'[3']]],[1]FishGrade!$B:$B,0)),"-")</f>
        <v>-</v>
      </c>
      <c r="AC33" s="56" t="str">
        <f>IFERROR(INDEX([1]FishGrade!$I:$I,MATCH(표10[[#This Row],[등급'[4']]],[1]FishGrade!$B:$B,0)),"-")</f>
        <v>-</v>
      </c>
      <c r="AD33" s="56" t="str">
        <f>IFERROR(INDEX([1]FishGrade!$I:$I,MATCH(표10[[#This Row],[등급'[5']]],[1]FishGrade!$B:$B,0)),"-")</f>
        <v>-</v>
      </c>
      <c r="AE33" s="56">
        <f>IF([1]FishDiscoveryGroup!$I$8="-",0,[1]FishDiscoveryGroup!$I$8)</f>
        <v>0</v>
      </c>
      <c r="AF33" s="56">
        <f>IF([1]FishDiscoveryGroup!$I$8="-",0,[1]FishDiscoveryGroup!$L$8)</f>
        <v>0</v>
      </c>
      <c r="AG33" s="56">
        <f>IF([1]FishDiscoveryGroup!$I$8="-",0,[1]FishDiscoveryGroup!$O$8)</f>
        <v>0</v>
      </c>
      <c r="AH33" s="56">
        <f>IF([1]FishDiscoveryGroup!$I$8="-",0,[1]FishDiscoveryGroup!$R$8)</f>
        <v>0</v>
      </c>
      <c r="AI33" s="56">
        <f>IF([1]FishDiscoveryGroup!$I$8="-",0,[1]FishDiscoveryGroup!$U$8)</f>
        <v>0</v>
      </c>
      <c r="AJ33" s="56">
        <f>IF([1]FishDiscoveryGroup!$I$8="-",0,[1]FishDiscoveryGroup!$X$8)</f>
        <v>0</v>
      </c>
      <c r="AK33" s="56">
        <f>IF(표10[[#This Row],[배당'[0']]]="-",0,표10[[#This Row],[배당'[0']]])+표10[[#This Row],[PROB'[0']]]</f>
        <v>0</v>
      </c>
      <c r="AL33" s="56">
        <f>IF(표10[[#This Row],[배당'[1']]]="-",0,표10[[#This Row],[배당'[1']]])+표10[[#This Row],[PROB'[1']]]</f>
        <v>0</v>
      </c>
      <c r="AM33" s="56">
        <f>IF(표10[[#This Row],[배당'[2']]]="-",0,표10[[#This Row],[배당'[2']]])+표10[[#This Row],[PROB'[2']]]</f>
        <v>0</v>
      </c>
      <c r="AN33" s="56">
        <f>IF(표10[[#This Row],[배당'[3']]]="-",0,표10[[#This Row],[배당'[3']]])+표10[[#This Row],[PROB'[3']]]</f>
        <v>0</v>
      </c>
      <c r="AO33" s="56">
        <f>IF(표10[[#This Row],[배당'[4']]]="-",0,표10[[#This Row],[배당'[4']]])+표10[[#This Row],[PROB'[4']]]</f>
        <v>0</v>
      </c>
      <c r="AP33" s="56">
        <f>IF(표10[[#This Row],[배당'[5']]]="-",0,표10[[#This Row],[배당'[5']]])+표10[[#This Row],[PROB'[5']]]</f>
        <v>0</v>
      </c>
      <c r="AQ33" s="56">
        <f>SUM(표10[[#This Row],[최종배당'[0']]:[최종배당'[5']]])</f>
        <v>0</v>
      </c>
    </row>
    <row r="34" spans="2:43" x14ac:dyDescent="0.3">
      <c r="B34" s="56" t="str">
        <f>[1]FishOceanTile!B39</f>
        <v>북 대서양</v>
      </c>
      <c r="C34" s="56" t="str">
        <f>IFERROR(VLOOKUP(표7[[#This Row],[낚시 타일]],[3]!표1_67[[이름]:[선단 LV]],6,FALSE),"-")</f>
        <v>-</v>
      </c>
      <c r="D34" s="56" t="str">
        <f>IFERROR(VLOOKUP(표7[[#This Row],[낚시 타일]],[3]!표1_67[[이름]:[위도]],3,FALSE),"-")</f>
        <v>-</v>
      </c>
      <c r="E34" s="56" t="str">
        <f>IFERROR(VLOOKUP(표7[[#This Row],[낚시 타일]],[3]!표1_67[[이름]:[위도]],2,FALSE),"-")</f>
        <v>-</v>
      </c>
      <c r="F34" s="56"/>
      <c r="G34" s="56" t="str">
        <f>IFERROR(ROUNDDOWN(표10[[#This Row],[최종배당'[0']]]/표10[[#This Row],[분모]]*100,0)&amp;"%","-")</f>
        <v>-</v>
      </c>
      <c r="H34" s="56"/>
      <c r="I34" s="56" t="str">
        <f>IFERROR(ROUNDDOWN(표10[[#This Row],[최종배당'[1']]]/표10[[#This Row],[분모]]*100,0)&amp;"%","-")</f>
        <v>-</v>
      </c>
      <c r="J34" s="56"/>
      <c r="K34" s="56" t="str">
        <f>IFERROR(ROUNDDOWN(표10[[#This Row],[최종배당'[2']]]/표10[[#This Row],[분모]]*100,0)&amp;"%","-")</f>
        <v>-</v>
      </c>
      <c r="L34" s="56"/>
      <c r="M34" s="56" t="str">
        <f>IFERROR(ROUNDDOWN(표10[[#This Row],[최종배당'[3']]]/표10[[#This Row],[분모]]*100,0)&amp;"%","-")</f>
        <v>-</v>
      </c>
      <c r="N34" s="56"/>
      <c r="O34" s="56" t="str">
        <f>IFERROR(ROUNDDOWN(표10[[#This Row],[최종배당'[4']]]/표10[[#This Row],[분모]]*100,0)&amp;"%","-")</f>
        <v>-</v>
      </c>
      <c r="P34" s="56"/>
      <c r="Q34" s="56" t="str">
        <f>IFERROR(ROUNDDOWN(표10[[#This Row],[최종배당'[5']]]/표10[[#This Row],[분모]]*100,0)&amp;"%","-")</f>
        <v>-</v>
      </c>
      <c r="S34" s="56" t="str">
        <f>IFERROR(VLOOKUP(표7[발견물'[0']],표1[[명칭]:[등급]],4,FALSE),"-")&amp;"급"</f>
        <v>0급</v>
      </c>
      <c r="T34" s="56" t="str">
        <f>IFERROR(VLOOKUP(표7[발견물'[1']],표1[[명칭]:[등급]],4,FALSE),"-")&amp;"급"</f>
        <v>0급</v>
      </c>
      <c r="U34" s="56" t="str">
        <f>IFERROR(VLOOKUP(표7[발견물'[2']],표1[[명칭]:[등급]],4,FALSE),"-")&amp;"급"</f>
        <v>0급</v>
      </c>
      <c r="V34" s="56" t="str">
        <f>IFERROR(VLOOKUP(표7[발견물'[3']],표1[[명칭]:[등급]],4,FALSE),"-")&amp;"급"</f>
        <v>0급</v>
      </c>
      <c r="W34" s="56" t="str">
        <f>IFERROR(VLOOKUP(표7[발견물'[4']],표1[[명칭]:[등급]],4,FALSE),"-")&amp;"급"</f>
        <v>0급</v>
      </c>
      <c r="X34" s="56" t="str">
        <f>IFERROR(VLOOKUP(표7[발견물'[5']],표1[[명칭]:[등급]],4,FALSE),"-")&amp;"급"</f>
        <v>0급</v>
      </c>
      <c r="Y34" s="56" t="str">
        <f>IFERROR(INDEX([1]FishGrade!$I:$I,MATCH(표10[[#This Row],[등급'[0']]],[1]FishGrade!$B:$B,0)),"-")</f>
        <v>-</v>
      </c>
      <c r="Z34" s="56" t="str">
        <f>IFERROR(INDEX([1]FishGrade!$I:$I,MATCH(표10[[#This Row],[등급'[1']]],[1]FishGrade!$B:$B,0)),"-")</f>
        <v>-</v>
      </c>
      <c r="AA34" s="56" t="str">
        <f>IFERROR(INDEX([1]FishGrade!$I:$I,MATCH(표10[[#This Row],[등급'[2']]],[1]FishGrade!$B:$B,0)),"-")</f>
        <v>-</v>
      </c>
      <c r="AB34" s="56" t="str">
        <f>IFERROR(INDEX([1]FishGrade!$I:$I,MATCH(표10[[#This Row],[등급'[3']]],[1]FishGrade!$B:$B,0)),"-")</f>
        <v>-</v>
      </c>
      <c r="AC34" s="56" t="str">
        <f>IFERROR(INDEX([1]FishGrade!$I:$I,MATCH(표10[[#This Row],[등급'[4']]],[1]FishGrade!$B:$B,0)),"-")</f>
        <v>-</v>
      </c>
      <c r="AD34" s="56" t="str">
        <f>IFERROR(INDEX([1]FishGrade!$I:$I,MATCH(표10[[#This Row],[등급'[5']]],[1]FishGrade!$B:$B,0)),"-")</f>
        <v>-</v>
      </c>
      <c r="AE34" s="56">
        <f>IF([1]FishDiscoveryGroup!$I$8="-",0,[1]FishDiscoveryGroup!$I$8)</f>
        <v>0</v>
      </c>
      <c r="AF34" s="56">
        <f>IF([1]FishDiscoveryGroup!$I$8="-",0,[1]FishDiscoveryGroup!$L$8)</f>
        <v>0</v>
      </c>
      <c r="AG34" s="56">
        <f>IF([1]FishDiscoveryGroup!$I$8="-",0,[1]FishDiscoveryGroup!$O$8)</f>
        <v>0</v>
      </c>
      <c r="AH34" s="56">
        <f>IF([1]FishDiscoveryGroup!$I$8="-",0,[1]FishDiscoveryGroup!$R$8)</f>
        <v>0</v>
      </c>
      <c r="AI34" s="56">
        <f>IF([1]FishDiscoveryGroup!$I$8="-",0,[1]FishDiscoveryGroup!$U$8)</f>
        <v>0</v>
      </c>
      <c r="AJ34" s="56">
        <f>IF([1]FishDiscoveryGroup!$I$8="-",0,[1]FishDiscoveryGroup!$X$8)</f>
        <v>0</v>
      </c>
      <c r="AK34" s="56">
        <f>IF(표10[[#This Row],[배당'[0']]]="-",0,표10[[#This Row],[배당'[0']]])+표10[[#This Row],[PROB'[0']]]</f>
        <v>0</v>
      </c>
      <c r="AL34" s="56">
        <f>IF(표10[[#This Row],[배당'[1']]]="-",0,표10[[#This Row],[배당'[1']]])+표10[[#This Row],[PROB'[1']]]</f>
        <v>0</v>
      </c>
      <c r="AM34" s="56">
        <f>IF(표10[[#This Row],[배당'[2']]]="-",0,표10[[#This Row],[배당'[2']]])+표10[[#This Row],[PROB'[2']]]</f>
        <v>0</v>
      </c>
      <c r="AN34" s="56">
        <f>IF(표10[[#This Row],[배당'[3']]]="-",0,표10[[#This Row],[배당'[3']]])+표10[[#This Row],[PROB'[3']]]</f>
        <v>0</v>
      </c>
      <c r="AO34" s="56">
        <f>IF(표10[[#This Row],[배당'[4']]]="-",0,표10[[#This Row],[배당'[4']]])+표10[[#This Row],[PROB'[4']]]</f>
        <v>0</v>
      </c>
      <c r="AP34" s="56">
        <f>IF(표10[[#This Row],[배당'[5']]]="-",0,표10[[#This Row],[배당'[5']]])+표10[[#This Row],[PROB'[5']]]</f>
        <v>0</v>
      </c>
      <c r="AQ34" s="56">
        <f>SUM(표10[[#This Row],[최종배당'[0']]:[최종배당'[5']]])</f>
        <v>0</v>
      </c>
    </row>
    <row r="35" spans="2:43" x14ac:dyDescent="0.3">
      <c r="B35" s="56" t="str">
        <f>[1]FishOceanTile!B40</f>
        <v>레브라도해</v>
      </c>
      <c r="C35" s="56" t="str">
        <f>IFERROR(VLOOKUP(표7[[#This Row],[낚시 타일]],[3]!표1_67[[이름]:[선단 LV]],6,FALSE),"-")</f>
        <v>-</v>
      </c>
      <c r="D35" s="56" t="str">
        <f>IFERROR(VLOOKUP(표7[[#This Row],[낚시 타일]],[3]!표1_67[[이름]:[위도]],3,FALSE),"-")</f>
        <v>-</v>
      </c>
      <c r="E35" s="56" t="str">
        <f>IFERROR(VLOOKUP(표7[[#This Row],[낚시 타일]],[3]!표1_67[[이름]:[위도]],2,FALSE),"-")</f>
        <v>-</v>
      </c>
      <c r="F35" s="56"/>
      <c r="G35" s="56" t="str">
        <f>IFERROR(ROUNDDOWN(표10[[#This Row],[최종배당'[0']]]/표10[[#This Row],[분모]]*100,0)&amp;"%","-")</f>
        <v>-</v>
      </c>
      <c r="H35" s="56"/>
      <c r="I35" s="56" t="str">
        <f>IFERROR(ROUNDDOWN(표10[[#This Row],[최종배당'[1']]]/표10[[#This Row],[분모]]*100,0)&amp;"%","-")</f>
        <v>-</v>
      </c>
      <c r="J35" s="56"/>
      <c r="K35" s="56" t="str">
        <f>IFERROR(ROUNDDOWN(표10[[#This Row],[최종배당'[2']]]/표10[[#This Row],[분모]]*100,0)&amp;"%","-")</f>
        <v>-</v>
      </c>
      <c r="L35" s="56"/>
      <c r="M35" s="56" t="str">
        <f>IFERROR(ROUNDDOWN(표10[[#This Row],[최종배당'[3']]]/표10[[#This Row],[분모]]*100,0)&amp;"%","-")</f>
        <v>-</v>
      </c>
      <c r="N35" s="56"/>
      <c r="O35" s="56" t="str">
        <f>IFERROR(ROUNDDOWN(표10[[#This Row],[최종배당'[4']]]/표10[[#This Row],[분모]]*100,0)&amp;"%","-")</f>
        <v>-</v>
      </c>
      <c r="P35" s="56"/>
      <c r="Q35" s="56" t="str">
        <f>IFERROR(ROUNDDOWN(표10[[#This Row],[최종배당'[5']]]/표10[[#This Row],[분모]]*100,0)&amp;"%","-")</f>
        <v>-</v>
      </c>
      <c r="S35" s="56" t="str">
        <f>IFERROR(VLOOKUP(표7[발견물'[0']],표1[[명칭]:[등급]],4,FALSE),"-")&amp;"급"</f>
        <v>0급</v>
      </c>
      <c r="T35" s="56" t="str">
        <f>IFERROR(VLOOKUP(표7[발견물'[1']],표1[[명칭]:[등급]],4,FALSE),"-")&amp;"급"</f>
        <v>0급</v>
      </c>
      <c r="U35" s="56" t="str">
        <f>IFERROR(VLOOKUP(표7[발견물'[2']],표1[[명칭]:[등급]],4,FALSE),"-")&amp;"급"</f>
        <v>0급</v>
      </c>
      <c r="V35" s="56" t="str">
        <f>IFERROR(VLOOKUP(표7[발견물'[3']],표1[[명칭]:[등급]],4,FALSE),"-")&amp;"급"</f>
        <v>0급</v>
      </c>
      <c r="W35" s="56" t="str">
        <f>IFERROR(VLOOKUP(표7[발견물'[4']],표1[[명칭]:[등급]],4,FALSE),"-")&amp;"급"</f>
        <v>0급</v>
      </c>
      <c r="X35" s="56" t="str">
        <f>IFERROR(VLOOKUP(표7[발견물'[5']],표1[[명칭]:[등급]],4,FALSE),"-")&amp;"급"</f>
        <v>0급</v>
      </c>
      <c r="Y35" s="56" t="str">
        <f>IFERROR(INDEX([1]FishGrade!$I:$I,MATCH(표10[[#This Row],[등급'[0']]],[1]FishGrade!$B:$B,0)),"-")</f>
        <v>-</v>
      </c>
      <c r="Z35" s="56" t="str">
        <f>IFERROR(INDEX([1]FishGrade!$I:$I,MATCH(표10[[#This Row],[등급'[1']]],[1]FishGrade!$B:$B,0)),"-")</f>
        <v>-</v>
      </c>
      <c r="AA35" s="56" t="str">
        <f>IFERROR(INDEX([1]FishGrade!$I:$I,MATCH(표10[[#This Row],[등급'[2']]],[1]FishGrade!$B:$B,0)),"-")</f>
        <v>-</v>
      </c>
      <c r="AB35" s="56" t="str">
        <f>IFERROR(INDEX([1]FishGrade!$I:$I,MATCH(표10[[#This Row],[등급'[3']]],[1]FishGrade!$B:$B,0)),"-")</f>
        <v>-</v>
      </c>
      <c r="AC35" s="56" t="str">
        <f>IFERROR(INDEX([1]FishGrade!$I:$I,MATCH(표10[[#This Row],[등급'[4']]],[1]FishGrade!$B:$B,0)),"-")</f>
        <v>-</v>
      </c>
      <c r="AD35" s="56" t="str">
        <f>IFERROR(INDEX([1]FishGrade!$I:$I,MATCH(표10[[#This Row],[등급'[5']]],[1]FishGrade!$B:$B,0)),"-")</f>
        <v>-</v>
      </c>
      <c r="AE35" s="56">
        <f>IF([1]FishDiscoveryGroup!$I$8="-",0,[1]FishDiscoveryGroup!$I$8)</f>
        <v>0</v>
      </c>
      <c r="AF35" s="56">
        <f>IF([1]FishDiscoveryGroup!$I$8="-",0,[1]FishDiscoveryGroup!$L$8)</f>
        <v>0</v>
      </c>
      <c r="AG35" s="56">
        <f>IF([1]FishDiscoveryGroup!$I$8="-",0,[1]FishDiscoveryGroup!$O$8)</f>
        <v>0</v>
      </c>
      <c r="AH35" s="56">
        <f>IF([1]FishDiscoveryGroup!$I$8="-",0,[1]FishDiscoveryGroup!$R$8)</f>
        <v>0</v>
      </c>
      <c r="AI35" s="56">
        <f>IF([1]FishDiscoveryGroup!$I$8="-",0,[1]FishDiscoveryGroup!$U$8)</f>
        <v>0</v>
      </c>
      <c r="AJ35" s="56">
        <f>IF([1]FishDiscoveryGroup!$I$8="-",0,[1]FishDiscoveryGroup!$X$8)</f>
        <v>0</v>
      </c>
      <c r="AK35" s="56">
        <f>IF(표10[[#This Row],[배당'[0']]]="-",0,표10[[#This Row],[배당'[0']]])+표10[[#This Row],[PROB'[0']]]</f>
        <v>0</v>
      </c>
      <c r="AL35" s="56">
        <f>IF(표10[[#This Row],[배당'[1']]]="-",0,표10[[#This Row],[배당'[1']]])+표10[[#This Row],[PROB'[1']]]</f>
        <v>0</v>
      </c>
      <c r="AM35" s="56">
        <f>IF(표10[[#This Row],[배당'[2']]]="-",0,표10[[#This Row],[배당'[2']]])+표10[[#This Row],[PROB'[2']]]</f>
        <v>0</v>
      </c>
      <c r="AN35" s="56">
        <f>IF(표10[[#This Row],[배당'[3']]]="-",0,표10[[#This Row],[배당'[3']]])+표10[[#This Row],[PROB'[3']]]</f>
        <v>0</v>
      </c>
      <c r="AO35" s="56">
        <f>IF(표10[[#This Row],[배당'[4']]]="-",0,표10[[#This Row],[배당'[4']]])+표10[[#This Row],[PROB'[4']]]</f>
        <v>0</v>
      </c>
      <c r="AP35" s="56">
        <f>IF(표10[[#This Row],[배당'[5']]]="-",0,표10[[#This Row],[배당'[5']]])+표10[[#This Row],[PROB'[5']]]</f>
        <v>0</v>
      </c>
      <c r="AQ35" s="56">
        <f>SUM(표10[[#This Row],[최종배당'[0']]:[최종배당'[5']]])</f>
        <v>0</v>
      </c>
    </row>
    <row r="36" spans="2:43" x14ac:dyDescent="0.3">
      <c r="B36" s="56" t="str">
        <f>[1]FishOceanTile!B41</f>
        <v>허드슨만</v>
      </c>
      <c r="C36" s="56" t="str">
        <f>IFERROR(VLOOKUP(표7[[#This Row],[낚시 타일]],[3]!표1_67[[이름]:[선단 LV]],6,FALSE),"-")</f>
        <v>-</v>
      </c>
      <c r="D36" s="56" t="str">
        <f>IFERROR(VLOOKUP(표7[[#This Row],[낚시 타일]],[3]!표1_67[[이름]:[위도]],3,FALSE),"-")</f>
        <v>-</v>
      </c>
      <c r="E36" s="56" t="str">
        <f>IFERROR(VLOOKUP(표7[[#This Row],[낚시 타일]],[3]!표1_67[[이름]:[위도]],2,FALSE),"-")</f>
        <v>-</v>
      </c>
      <c r="F36" s="56"/>
      <c r="G36" s="56" t="str">
        <f>IFERROR(ROUNDDOWN(표10[[#This Row],[최종배당'[0']]]/표10[[#This Row],[분모]]*100,0)&amp;"%","-")</f>
        <v>-</v>
      </c>
      <c r="H36" s="56"/>
      <c r="I36" s="56" t="str">
        <f>IFERROR(ROUNDDOWN(표10[[#This Row],[최종배당'[1']]]/표10[[#This Row],[분모]]*100,0)&amp;"%","-")</f>
        <v>-</v>
      </c>
      <c r="J36" s="56"/>
      <c r="K36" s="56" t="str">
        <f>IFERROR(ROUNDDOWN(표10[[#This Row],[최종배당'[2']]]/표10[[#This Row],[분모]]*100,0)&amp;"%","-")</f>
        <v>-</v>
      </c>
      <c r="L36" s="56"/>
      <c r="M36" s="56" t="str">
        <f>IFERROR(ROUNDDOWN(표10[[#This Row],[최종배당'[3']]]/표10[[#This Row],[분모]]*100,0)&amp;"%","-")</f>
        <v>-</v>
      </c>
      <c r="N36" s="56"/>
      <c r="O36" s="56" t="str">
        <f>IFERROR(ROUNDDOWN(표10[[#This Row],[최종배당'[4']]]/표10[[#This Row],[분모]]*100,0)&amp;"%","-")</f>
        <v>-</v>
      </c>
      <c r="P36" s="56"/>
      <c r="Q36" s="56" t="str">
        <f>IFERROR(ROUNDDOWN(표10[[#This Row],[최종배당'[5']]]/표10[[#This Row],[분모]]*100,0)&amp;"%","-")</f>
        <v>-</v>
      </c>
      <c r="S36" s="56" t="str">
        <f>IFERROR(VLOOKUP(표7[발견물'[0']],표1[[명칭]:[등급]],4,FALSE),"-")&amp;"급"</f>
        <v>0급</v>
      </c>
      <c r="T36" s="56" t="str">
        <f>IFERROR(VLOOKUP(표7[발견물'[1']],표1[[명칭]:[등급]],4,FALSE),"-")&amp;"급"</f>
        <v>0급</v>
      </c>
      <c r="U36" s="56" t="str">
        <f>IFERROR(VLOOKUP(표7[발견물'[2']],표1[[명칭]:[등급]],4,FALSE),"-")&amp;"급"</f>
        <v>0급</v>
      </c>
      <c r="V36" s="56" t="str">
        <f>IFERROR(VLOOKUP(표7[발견물'[3']],표1[[명칭]:[등급]],4,FALSE),"-")&amp;"급"</f>
        <v>0급</v>
      </c>
      <c r="W36" s="56" t="str">
        <f>IFERROR(VLOOKUP(표7[발견물'[4']],표1[[명칭]:[등급]],4,FALSE),"-")&amp;"급"</f>
        <v>0급</v>
      </c>
      <c r="X36" s="56" t="str">
        <f>IFERROR(VLOOKUP(표7[발견물'[5']],표1[[명칭]:[등급]],4,FALSE),"-")&amp;"급"</f>
        <v>0급</v>
      </c>
      <c r="Y36" s="56" t="str">
        <f>IFERROR(INDEX([1]FishGrade!$I:$I,MATCH(표10[[#This Row],[등급'[0']]],[1]FishGrade!$B:$B,0)),"-")</f>
        <v>-</v>
      </c>
      <c r="Z36" s="56" t="str">
        <f>IFERROR(INDEX([1]FishGrade!$I:$I,MATCH(표10[[#This Row],[등급'[1']]],[1]FishGrade!$B:$B,0)),"-")</f>
        <v>-</v>
      </c>
      <c r="AA36" s="56" t="str">
        <f>IFERROR(INDEX([1]FishGrade!$I:$I,MATCH(표10[[#This Row],[등급'[2']]],[1]FishGrade!$B:$B,0)),"-")</f>
        <v>-</v>
      </c>
      <c r="AB36" s="56" t="str">
        <f>IFERROR(INDEX([1]FishGrade!$I:$I,MATCH(표10[[#This Row],[등급'[3']]],[1]FishGrade!$B:$B,0)),"-")</f>
        <v>-</v>
      </c>
      <c r="AC36" s="56" t="str">
        <f>IFERROR(INDEX([1]FishGrade!$I:$I,MATCH(표10[[#This Row],[등급'[4']]],[1]FishGrade!$B:$B,0)),"-")</f>
        <v>-</v>
      </c>
      <c r="AD36" s="56" t="str">
        <f>IFERROR(INDEX([1]FishGrade!$I:$I,MATCH(표10[[#This Row],[등급'[5']]],[1]FishGrade!$B:$B,0)),"-")</f>
        <v>-</v>
      </c>
      <c r="AE36" s="56">
        <f>IF([1]FishDiscoveryGroup!$I$8="-",0,[1]FishDiscoveryGroup!$I$8)</f>
        <v>0</v>
      </c>
      <c r="AF36" s="56">
        <f>IF([1]FishDiscoveryGroup!$I$8="-",0,[1]FishDiscoveryGroup!$L$8)</f>
        <v>0</v>
      </c>
      <c r="AG36" s="56">
        <f>IF([1]FishDiscoveryGroup!$I$8="-",0,[1]FishDiscoveryGroup!$O$8)</f>
        <v>0</v>
      </c>
      <c r="AH36" s="56">
        <f>IF([1]FishDiscoveryGroup!$I$8="-",0,[1]FishDiscoveryGroup!$R$8)</f>
        <v>0</v>
      </c>
      <c r="AI36" s="56">
        <f>IF([1]FishDiscoveryGroup!$I$8="-",0,[1]FishDiscoveryGroup!$U$8)</f>
        <v>0</v>
      </c>
      <c r="AJ36" s="56">
        <f>IF([1]FishDiscoveryGroup!$I$8="-",0,[1]FishDiscoveryGroup!$X$8)</f>
        <v>0</v>
      </c>
      <c r="AK36" s="56">
        <f>IF(표10[[#This Row],[배당'[0']]]="-",0,표10[[#This Row],[배당'[0']]])+표10[[#This Row],[PROB'[0']]]</f>
        <v>0</v>
      </c>
      <c r="AL36" s="56">
        <f>IF(표10[[#This Row],[배당'[1']]]="-",0,표10[[#This Row],[배당'[1']]])+표10[[#This Row],[PROB'[1']]]</f>
        <v>0</v>
      </c>
      <c r="AM36" s="56">
        <f>IF(표10[[#This Row],[배당'[2']]]="-",0,표10[[#This Row],[배당'[2']]])+표10[[#This Row],[PROB'[2']]]</f>
        <v>0</v>
      </c>
      <c r="AN36" s="56">
        <f>IF(표10[[#This Row],[배당'[3']]]="-",0,표10[[#This Row],[배당'[3']]])+표10[[#This Row],[PROB'[3']]]</f>
        <v>0</v>
      </c>
      <c r="AO36" s="56">
        <f>IF(표10[[#This Row],[배당'[4']]]="-",0,표10[[#This Row],[배당'[4']]])+표10[[#This Row],[PROB'[4']]]</f>
        <v>0</v>
      </c>
      <c r="AP36" s="56">
        <f>IF(표10[[#This Row],[배당'[5']]]="-",0,표10[[#This Row],[배당'[5']]])+표10[[#This Row],[PROB'[5']]]</f>
        <v>0</v>
      </c>
      <c r="AQ36" s="56">
        <f>SUM(표10[[#This Row],[최종배당'[0']]:[최종배당'[5']]])</f>
        <v>0</v>
      </c>
    </row>
    <row r="37" spans="2:43" x14ac:dyDescent="0.3">
      <c r="B37" s="56" t="str">
        <f>[1]FishOceanTile!B42</f>
        <v>북극제도 앞바다</v>
      </c>
      <c r="C37" s="56" t="str">
        <f>IFERROR(VLOOKUP(표7[[#This Row],[낚시 타일]],[3]!표1_67[[이름]:[선단 LV]],6,FALSE),"-")</f>
        <v>-</v>
      </c>
      <c r="D37" s="56" t="str">
        <f>IFERROR(VLOOKUP(표7[[#This Row],[낚시 타일]],[3]!표1_67[[이름]:[위도]],3,FALSE),"-")</f>
        <v>-</v>
      </c>
      <c r="E37" s="56" t="str">
        <f>IFERROR(VLOOKUP(표7[[#This Row],[낚시 타일]],[3]!표1_67[[이름]:[위도]],2,FALSE),"-")</f>
        <v>-</v>
      </c>
      <c r="F37" s="56"/>
      <c r="G37" s="56" t="str">
        <f>IFERROR(ROUNDDOWN(표10[[#This Row],[최종배당'[0']]]/표10[[#This Row],[분모]]*100,0)&amp;"%","-")</f>
        <v>-</v>
      </c>
      <c r="H37" s="56"/>
      <c r="I37" s="56" t="str">
        <f>IFERROR(ROUNDDOWN(표10[[#This Row],[최종배당'[1']]]/표10[[#This Row],[분모]]*100,0)&amp;"%","-")</f>
        <v>-</v>
      </c>
      <c r="J37" s="56"/>
      <c r="K37" s="56" t="str">
        <f>IFERROR(ROUNDDOWN(표10[[#This Row],[최종배당'[2']]]/표10[[#This Row],[분모]]*100,0)&amp;"%","-")</f>
        <v>-</v>
      </c>
      <c r="L37" s="56"/>
      <c r="M37" s="56" t="str">
        <f>IFERROR(ROUNDDOWN(표10[[#This Row],[최종배당'[3']]]/표10[[#This Row],[분모]]*100,0)&amp;"%","-")</f>
        <v>-</v>
      </c>
      <c r="N37" s="56"/>
      <c r="O37" s="56" t="str">
        <f>IFERROR(ROUNDDOWN(표10[[#This Row],[최종배당'[4']]]/표10[[#This Row],[분모]]*100,0)&amp;"%","-")</f>
        <v>-</v>
      </c>
      <c r="P37" s="56"/>
      <c r="Q37" s="56" t="str">
        <f>IFERROR(ROUNDDOWN(표10[[#This Row],[최종배당'[5']]]/표10[[#This Row],[분모]]*100,0)&amp;"%","-")</f>
        <v>-</v>
      </c>
      <c r="S37" s="56" t="str">
        <f>IFERROR(VLOOKUP(표7[발견물'[0']],표1[[명칭]:[등급]],4,FALSE),"-")&amp;"급"</f>
        <v>0급</v>
      </c>
      <c r="T37" s="56" t="str">
        <f>IFERROR(VLOOKUP(표7[발견물'[1']],표1[[명칭]:[등급]],4,FALSE),"-")&amp;"급"</f>
        <v>0급</v>
      </c>
      <c r="U37" s="56" t="str">
        <f>IFERROR(VLOOKUP(표7[발견물'[2']],표1[[명칭]:[등급]],4,FALSE),"-")&amp;"급"</f>
        <v>0급</v>
      </c>
      <c r="V37" s="56" t="str">
        <f>IFERROR(VLOOKUP(표7[발견물'[3']],표1[[명칭]:[등급]],4,FALSE),"-")&amp;"급"</f>
        <v>0급</v>
      </c>
      <c r="W37" s="56" t="str">
        <f>IFERROR(VLOOKUP(표7[발견물'[4']],표1[[명칭]:[등급]],4,FALSE),"-")&amp;"급"</f>
        <v>0급</v>
      </c>
      <c r="X37" s="56" t="str">
        <f>IFERROR(VLOOKUP(표7[발견물'[5']],표1[[명칭]:[등급]],4,FALSE),"-")&amp;"급"</f>
        <v>0급</v>
      </c>
      <c r="Y37" s="56" t="str">
        <f>IFERROR(INDEX([1]FishGrade!$I:$I,MATCH(표10[[#This Row],[등급'[0']]],[1]FishGrade!$B:$B,0)),"-")</f>
        <v>-</v>
      </c>
      <c r="Z37" s="56" t="str">
        <f>IFERROR(INDEX([1]FishGrade!$I:$I,MATCH(표10[[#This Row],[등급'[1']]],[1]FishGrade!$B:$B,0)),"-")</f>
        <v>-</v>
      </c>
      <c r="AA37" s="56" t="str">
        <f>IFERROR(INDEX([1]FishGrade!$I:$I,MATCH(표10[[#This Row],[등급'[2']]],[1]FishGrade!$B:$B,0)),"-")</f>
        <v>-</v>
      </c>
      <c r="AB37" s="56" t="str">
        <f>IFERROR(INDEX([1]FishGrade!$I:$I,MATCH(표10[[#This Row],[등급'[3']]],[1]FishGrade!$B:$B,0)),"-")</f>
        <v>-</v>
      </c>
      <c r="AC37" s="56" t="str">
        <f>IFERROR(INDEX([1]FishGrade!$I:$I,MATCH(표10[[#This Row],[등급'[4']]],[1]FishGrade!$B:$B,0)),"-")</f>
        <v>-</v>
      </c>
      <c r="AD37" s="56" t="str">
        <f>IFERROR(INDEX([1]FishGrade!$I:$I,MATCH(표10[[#This Row],[등급'[5']]],[1]FishGrade!$B:$B,0)),"-")</f>
        <v>-</v>
      </c>
      <c r="AE37" s="56">
        <f>IF([1]FishDiscoveryGroup!$I$8="-",0,[1]FishDiscoveryGroup!$I$8)</f>
        <v>0</v>
      </c>
      <c r="AF37" s="56">
        <f>IF([1]FishDiscoveryGroup!$I$8="-",0,[1]FishDiscoveryGroup!$L$8)</f>
        <v>0</v>
      </c>
      <c r="AG37" s="56">
        <f>IF([1]FishDiscoveryGroup!$I$8="-",0,[1]FishDiscoveryGroup!$O$8)</f>
        <v>0</v>
      </c>
      <c r="AH37" s="56">
        <f>IF([1]FishDiscoveryGroup!$I$8="-",0,[1]FishDiscoveryGroup!$R$8)</f>
        <v>0</v>
      </c>
      <c r="AI37" s="56">
        <f>IF([1]FishDiscoveryGroup!$I$8="-",0,[1]FishDiscoveryGroup!$U$8)</f>
        <v>0</v>
      </c>
      <c r="AJ37" s="56">
        <f>IF([1]FishDiscoveryGroup!$I$8="-",0,[1]FishDiscoveryGroup!$X$8)</f>
        <v>0</v>
      </c>
      <c r="AK37" s="56">
        <f>IF(표10[[#This Row],[배당'[0']]]="-",0,표10[[#This Row],[배당'[0']]])+표10[[#This Row],[PROB'[0']]]</f>
        <v>0</v>
      </c>
      <c r="AL37" s="56">
        <f>IF(표10[[#This Row],[배당'[1']]]="-",0,표10[[#This Row],[배당'[1']]])+표10[[#This Row],[PROB'[1']]]</f>
        <v>0</v>
      </c>
      <c r="AM37" s="56">
        <f>IF(표10[[#This Row],[배당'[2']]]="-",0,표10[[#This Row],[배당'[2']]])+표10[[#This Row],[PROB'[2']]]</f>
        <v>0</v>
      </c>
      <c r="AN37" s="56">
        <f>IF(표10[[#This Row],[배당'[3']]]="-",0,표10[[#This Row],[배당'[3']]])+표10[[#This Row],[PROB'[3']]]</f>
        <v>0</v>
      </c>
      <c r="AO37" s="56">
        <f>IF(표10[[#This Row],[배당'[4']]]="-",0,표10[[#This Row],[배당'[4']]])+표10[[#This Row],[PROB'[4']]]</f>
        <v>0</v>
      </c>
      <c r="AP37" s="56">
        <f>IF(표10[[#This Row],[배당'[5']]]="-",0,표10[[#This Row],[배당'[5']]])+표10[[#This Row],[PROB'[5']]]</f>
        <v>0</v>
      </c>
      <c r="AQ37" s="56">
        <f>SUM(표10[[#This Row],[최종배당'[0']]:[최종배당'[5']]])</f>
        <v>0</v>
      </c>
    </row>
    <row r="38" spans="2:43" x14ac:dyDescent="0.3">
      <c r="B38" s="56" t="str">
        <f>[1]FishOceanTile!B43</f>
        <v>북 대서양 북쪽</v>
      </c>
      <c r="C38" s="56" t="str">
        <f>IFERROR(VLOOKUP(표7[[#This Row],[낚시 타일]],[3]!표1_67[[이름]:[선단 LV]],6,FALSE),"-")</f>
        <v>-</v>
      </c>
      <c r="D38" s="56" t="str">
        <f>IFERROR(VLOOKUP(표7[[#This Row],[낚시 타일]],[3]!표1_67[[이름]:[위도]],3,FALSE),"-")</f>
        <v>-</v>
      </c>
      <c r="E38" s="56" t="str">
        <f>IFERROR(VLOOKUP(표7[[#This Row],[낚시 타일]],[3]!표1_67[[이름]:[위도]],2,FALSE),"-")</f>
        <v>-</v>
      </c>
      <c r="F38" s="56"/>
      <c r="G38" s="56" t="str">
        <f>IFERROR(ROUNDDOWN(표10[[#This Row],[최종배당'[0']]]/표10[[#This Row],[분모]]*100,0)&amp;"%","-")</f>
        <v>-</v>
      </c>
      <c r="H38" s="56"/>
      <c r="I38" s="56" t="str">
        <f>IFERROR(ROUNDDOWN(표10[[#This Row],[최종배당'[1']]]/표10[[#This Row],[분모]]*100,0)&amp;"%","-")</f>
        <v>-</v>
      </c>
      <c r="J38" s="56"/>
      <c r="K38" s="56" t="str">
        <f>IFERROR(ROUNDDOWN(표10[[#This Row],[최종배당'[2']]]/표10[[#This Row],[분모]]*100,0)&amp;"%","-")</f>
        <v>-</v>
      </c>
      <c r="L38" s="56"/>
      <c r="M38" s="56" t="str">
        <f>IFERROR(ROUNDDOWN(표10[[#This Row],[최종배당'[3']]]/표10[[#This Row],[분모]]*100,0)&amp;"%","-")</f>
        <v>-</v>
      </c>
      <c r="N38" s="56"/>
      <c r="O38" s="56" t="str">
        <f>IFERROR(ROUNDDOWN(표10[[#This Row],[최종배당'[4']]]/표10[[#This Row],[분모]]*100,0)&amp;"%","-")</f>
        <v>-</v>
      </c>
      <c r="P38" s="56"/>
      <c r="Q38" s="56" t="str">
        <f>IFERROR(ROUNDDOWN(표10[[#This Row],[최종배당'[5']]]/표10[[#This Row],[분모]]*100,0)&amp;"%","-")</f>
        <v>-</v>
      </c>
      <c r="S38" s="56" t="str">
        <f>IFERROR(VLOOKUP(표7[발견물'[0']],표1[[명칭]:[등급]],4,FALSE),"-")&amp;"급"</f>
        <v>0급</v>
      </c>
      <c r="T38" s="56" t="str">
        <f>IFERROR(VLOOKUP(표7[발견물'[1']],표1[[명칭]:[등급]],4,FALSE),"-")&amp;"급"</f>
        <v>0급</v>
      </c>
      <c r="U38" s="56" t="str">
        <f>IFERROR(VLOOKUP(표7[발견물'[2']],표1[[명칭]:[등급]],4,FALSE),"-")&amp;"급"</f>
        <v>0급</v>
      </c>
      <c r="V38" s="56" t="str">
        <f>IFERROR(VLOOKUP(표7[발견물'[3']],표1[[명칭]:[등급]],4,FALSE),"-")&amp;"급"</f>
        <v>0급</v>
      </c>
      <c r="W38" s="56" t="str">
        <f>IFERROR(VLOOKUP(표7[발견물'[4']],표1[[명칭]:[등급]],4,FALSE),"-")&amp;"급"</f>
        <v>0급</v>
      </c>
      <c r="X38" s="56" t="str">
        <f>IFERROR(VLOOKUP(표7[발견물'[5']],표1[[명칭]:[등급]],4,FALSE),"-")&amp;"급"</f>
        <v>0급</v>
      </c>
      <c r="Y38" s="56" t="str">
        <f>IFERROR(INDEX([1]FishGrade!$I:$I,MATCH(표10[[#This Row],[등급'[0']]],[1]FishGrade!$B:$B,0)),"-")</f>
        <v>-</v>
      </c>
      <c r="Z38" s="56" t="str">
        <f>IFERROR(INDEX([1]FishGrade!$I:$I,MATCH(표10[[#This Row],[등급'[1']]],[1]FishGrade!$B:$B,0)),"-")</f>
        <v>-</v>
      </c>
      <c r="AA38" s="56" t="str">
        <f>IFERROR(INDEX([1]FishGrade!$I:$I,MATCH(표10[[#This Row],[등급'[2']]],[1]FishGrade!$B:$B,0)),"-")</f>
        <v>-</v>
      </c>
      <c r="AB38" s="56" t="str">
        <f>IFERROR(INDEX([1]FishGrade!$I:$I,MATCH(표10[[#This Row],[등급'[3']]],[1]FishGrade!$B:$B,0)),"-")</f>
        <v>-</v>
      </c>
      <c r="AC38" s="56" t="str">
        <f>IFERROR(INDEX([1]FishGrade!$I:$I,MATCH(표10[[#This Row],[등급'[4']]],[1]FishGrade!$B:$B,0)),"-")</f>
        <v>-</v>
      </c>
      <c r="AD38" s="56" t="str">
        <f>IFERROR(INDEX([1]FishGrade!$I:$I,MATCH(표10[[#This Row],[등급'[5']]],[1]FishGrade!$B:$B,0)),"-")</f>
        <v>-</v>
      </c>
      <c r="AE38" s="56">
        <f>IF([1]FishDiscoveryGroup!$I$8="-",0,[1]FishDiscoveryGroup!$I$8)</f>
        <v>0</v>
      </c>
      <c r="AF38" s="56">
        <f>IF([1]FishDiscoveryGroup!$I$8="-",0,[1]FishDiscoveryGroup!$L$8)</f>
        <v>0</v>
      </c>
      <c r="AG38" s="56">
        <f>IF([1]FishDiscoveryGroup!$I$8="-",0,[1]FishDiscoveryGroup!$O$8)</f>
        <v>0</v>
      </c>
      <c r="AH38" s="56">
        <f>IF([1]FishDiscoveryGroup!$I$8="-",0,[1]FishDiscoveryGroup!$R$8)</f>
        <v>0</v>
      </c>
      <c r="AI38" s="56">
        <f>IF([1]FishDiscoveryGroup!$I$8="-",0,[1]FishDiscoveryGroup!$U$8)</f>
        <v>0</v>
      </c>
      <c r="AJ38" s="56">
        <f>IF([1]FishDiscoveryGroup!$I$8="-",0,[1]FishDiscoveryGroup!$X$8)</f>
        <v>0</v>
      </c>
      <c r="AK38" s="56">
        <f>IF(표10[[#This Row],[배당'[0']]]="-",0,표10[[#This Row],[배당'[0']]])+표10[[#This Row],[PROB'[0']]]</f>
        <v>0</v>
      </c>
      <c r="AL38" s="56">
        <f>IF(표10[[#This Row],[배당'[1']]]="-",0,표10[[#This Row],[배당'[1']]])+표10[[#This Row],[PROB'[1']]]</f>
        <v>0</v>
      </c>
      <c r="AM38" s="56">
        <f>IF(표10[[#This Row],[배당'[2']]]="-",0,표10[[#This Row],[배당'[2']]])+표10[[#This Row],[PROB'[2']]]</f>
        <v>0</v>
      </c>
      <c r="AN38" s="56">
        <f>IF(표10[[#This Row],[배당'[3']]]="-",0,표10[[#This Row],[배당'[3']]])+표10[[#This Row],[PROB'[3']]]</f>
        <v>0</v>
      </c>
      <c r="AO38" s="56">
        <f>IF(표10[[#This Row],[배당'[4']]]="-",0,표10[[#This Row],[배당'[4']]])+표10[[#This Row],[PROB'[4']]]</f>
        <v>0</v>
      </c>
      <c r="AP38" s="56">
        <f>IF(표10[[#This Row],[배당'[5']]]="-",0,표10[[#This Row],[배당'[5']]])+표10[[#This Row],[PROB'[5']]]</f>
        <v>0</v>
      </c>
      <c r="AQ38" s="56">
        <f>SUM(표10[[#This Row],[최종배당'[0']]:[최종배당'[5']]])</f>
        <v>0</v>
      </c>
    </row>
    <row r="39" spans="2:43" x14ac:dyDescent="0.3">
      <c r="B39" s="56" t="str">
        <f>[1]FishOceanTile!B44</f>
        <v>그린란드해</v>
      </c>
      <c r="C39" s="56" t="str">
        <f>IFERROR(VLOOKUP(표7[[#This Row],[낚시 타일]],[3]!표1_67[[이름]:[선단 LV]],6,FALSE),"-")</f>
        <v>-</v>
      </c>
      <c r="D39" s="56" t="str">
        <f>IFERROR(VLOOKUP(표7[[#This Row],[낚시 타일]],[3]!표1_67[[이름]:[위도]],3,FALSE),"-")</f>
        <v>-</v>
      </c>
      <c r="E39" s="56" t="str">
        <f>IFERROR(VLOOKUP(표7[[#This Row],[낚시 타일]],[3]!표1_67[[이름]:[위도]],2,FALSE),"-")</f>
        <v>-</v>
      </c>
      <c r="F39" s="56"/>
      <c r="G39" s="56" t="str">
        <f>IFERROR(ROUNDDOWN(표10[[#This Row],[최종배당'[0']]]/표10[[#This Row],[분모]]*100,0)&amp;"%","-")</f>
        <v>-</v>
      </c>
      <c r="H39" s="56"/>
      <c r="I39" s="56" t="str">
        <f>IFERROR(ROUNDDOWN(표10[[#This Row],[최종배당'[1']]]/표10[[#This Row],[분모]]*100,0)&amp;"%","-")</f>
        <v>-</v>
      </c>
      <c r="J39" s="56"/>
      <c r="K39" s="56" t="str">
        <f>IFERROR(ROUNDDOWN(표10[[#This Row],[최종배당'[2']]]/표10[[#This Row],[분모]]*100,0)&amp;"%","-")</f>
        <v>-</v>
      </c>
      <c r="L39" s="56"/>
      <c r="M39" s="56" t="str">
        <f>IFERROR(ROUNDDOWN(표10[[#This Row],[최종배당'[3']]]/표10[[#This Row],[분모]]*100,0)&amp;"%","-")</f>
        <v>-</v>
      </c>
      <c r="N39" s="56"/>
      <c r="O39" s="56" t="str">
        <f>IFERROR(ROUNDDOWN(표10[[#This Row],[최종배당'[4']]]/표10[[#This Row],[분모]]*100,0)&amp;"%","-")</f>
        <v>-</v>
      </c>
      <c r="P39" s="56"/>
      <c r="Q39" s="56" t="str">
        <f>IFERROR(ROUNDDOWN(표10[[#This Row],[최종배당'[5']]]/표10[[#This Row],[분모]]*100,0)&amp;"%","-")</f>
        <v>-</v>
      </c>
      <c r="S39" s="56" t="str">
        <f>IFERROR(VLOOKUP(표7[발견물'[0']],표1[[명칭]:[등급]],4,FALSE),"-")&amp;"급"</f>
        <v>0급</v>
      </c>
      <c r="T39" s="56" t="str">
        <f>IFERROR(VLOOKUP(표7[발견물'[1']],표1[[명칭]:[등급]],4,FALSE),"-")&amp;"급"</f>
        <v>0급</v>
      </c>
      <c r="U39" s="56" t="str">
        <f>IFERROR(VLOOKUP(표7[발견물'[2']],표1[[명칭]:[등급]],4,FALSE),"-")&amp;"급"</f>
        <v>0급</v>
      </c>
      <c r="V39" s="56" t="str">
        <f>IFERROR(VLOOKUP(표7[발견물'[3']],표1[[명칭]:[등급]],4,FALSE),"-")&amp;"급"</f>
        <v>0급</v>
      </c>
      <c r="W39" s="56" t="str">
        <f>IFERROR(VLOOKUP(표7[발견물'[4']],표1[[명칭]:[등급]],4,FALSE),"-")&amp;"급"</f>
        <v>0급</v>
      </c>
      <c r="X39" s="56" t="str">
        <f>IFERROR(VLOOKUP(표7[발견물'[5']],표1[[명칭]:[등급]],4,FALSE),"-")&amp;"급"</f>
        <v>0급</v>
      </c>
      <c r="Y39" s="56" t="str">
        <f>IFERROR(INDEX([1]FishGrade!$I:$I,MATCH(표10[[#This Row],[등급'[0']]],[1]FishGrade!$B:$B,0)),"-")</f>
        <v>-</v>
      </c>
      <c r="Z39" s="56" t="str">
        <f>IFERROR(INDEX([1]FishGrade!$I:$I,MATCH(표10[[#This Row],[등급'[1']]],[1]FishGrade!$B:$B,0)),"-")</f>
        <v>-</v>
      </c>
      <c r="AA39" s="56" t="str">
        <f>IFERROR(INDEX([1]FishGrade!$I:$I,MATCH(표10[[#This Row],[등급'[2']]],[1]FishGrade!$B:$B,0)),"-")</f>
        <v>-</v>
      </c>
      <c r="AB39" s="56" t="str">
        <f>IFERROR(INDEX([1]FishGrade!$I:$I,MATCH(표10[[#This Row],[등급'[3']]],[1]FishGrade!$B:$B,0)),"-")</f>
        <v>-</v>
      </c>
      <c r="AC39" s="56" t="str">
        <f>IFERROR(INDEX([1]FishGrade!$I:$I,MATCH(표10[[#This Row],[등급'[4']]],[1]FishGrade!$B:$B,0)),"-")</f>
        <v>-</v>
      </c>
      <c r="AD39" s="56" t="str">
        <f>IFERROR(INDEX([1]FishGrade!$I:$I,MATCH(표10[[#This Row],[등급'[5']]],[1]FishGrade!$B:$B,0)),"-")</f>
        <v>-</v>
      </c>
      <c r="AE39" s="56">
        <f>IF([1]FishDiscoveryGroup!$I$8="-",0,[1]FishDiscoveryGroup!$I$8)</f>
        <v>0</v>
      </c>
      <c r="AF39" s="56">
        <f>IF([1]FishDiscoveryGroup!$I$8="-",0,[1]FishDiscoveryGroup!$L$8)</f>
        <v>0</v>
      </c>
      <c r="AG39" s="56">
        <f>IF([1]FishDiscoveryGroup!$I$8="-",0,[1]FishDiscoveryGroup!$O$8)</f>
        <v>0</v>
      </c>
      <c r="AH39" s="56">
        <f>IF([1]FishDiscoveryGroup!$I$8="-",0,[1]FishDiscoveryGroup!$R$8)</f>
        <v>0</v>
      </c>
      <c r="AI39" s="56">
        <f>IF([1]FishDiscoveryGroup!$I$8="-",0,[1]FishDiscoveryGroup!$U$8)</f>
        <v>0</v>
      </c>
      <c r="AJ39" s="56">
        <f>IF([1]FishDiscoveryGroup!$I$8="-",0,[1]FishDiscoveryGroup!$X$8)</f>
        <v>0</v>
      </c>
      <c r="AK39" s="56">
        <f>IF(표10[[#This Row],[배당'[0']]]="-",0,표10[[#This Row],[배당'[0']]])+표10[[#This Row],[PROB'[0']]]</f>
        <v>0</v>
      </c>
      <c r="AL39" s="56">
        <f>IF(표10[[#This Row],[배당'[1']]]="-",0,표10[[#This Row],[배당'[1']]])+표10[[#This Row],[PROB'[1']]]</f>
        <v>0</v>
      </c>
      <c r="AM39" s="56">
        <f>IF(표10[[#This Row],[배당'[2']]]="-",0,표10[[#This Row],[배당'[2']]])+표10[[#This Row],[PROB'[2']]]</f>
        <v>0</v>
      </c>
      <c r="AN39" s="56">
        <f>IF(표10[[#This Row],[배당'[3']]]="-",0,표10[[#This Row],[배당'[3']]])+표10[[#This Row],[PROB'[3']]]</f>
        <v>0</v>
      </c>
      <c r="AO39" s="56">
        <f>IF(표10[[#This Row],[배당'[4']]]="-",0,표10[[#This Row],[배당'[4']]])+표10[[#This Row],[PROB'[4']]]</f>
        <v>0</v>
      </c>
      <c r="AP39" s="56">
        <f>IF(표10[[#This Row],[배당'[5']]]="-",0,표10[[#This Row],[배당'[5']]])+표10[[#This Row],[PROB'[5']]]</f>
        <v>0</v>
      </c>
      <c r="AQ39" s="56">
        <f>SUM(표10[[#This Row],[최종배당'[0']]:[최종배당'[5']]])</f>
        <v>0</v>
      </c>
    </row>
    <row r="40" spans="2:43" x14ac:dyDescent="0.3">
      <c r="B40" s="56" t="str">
        <f>[1]FishOceanTile!B45</f>
        <v>노르웨이해</v>
      </c>
      <c r="C40" s="56" t="str">
        <f>IFERROR(VLOOKUP(표7[[#This Row],[낚시 타일]],[3]!표1_67[[이름]:[선단 LV]],6,FALSE),"-")</f>
        <v>-</v>
      </c>
      <c r="D40" s="56" t="str">
        <f>IFERROR(VLOOKUP(표7[[#This Row],[낚시 타일]],[3]!표1_67[[이름]:[위도]],3,FALSE),"-")</f>
        <v>-</v>
      </c>
      <c r="E40" s="56" t="str">
        <f>IFERROR(VLOOKUP(표7[[#This Row],[낚시 타일]],[3]!표1_67[[이름]:[위도]],2,FALSE),"-")</f>
        <v>-</v>
      </c>
      <c r="F40" s="56"/>
      <c r="G40" s="56" t="str">
        <f>IFERROR(ROUNDDOWN(표10[[#This Row],[최종배당'[0']]]/표10[[#This Row],[분모]]*100,0)&amp;"%","-")</f>
        <v>-</v>
      </c>
      <c r="H40" s="56"/>
      <c r="I40" s="56" t="str">
        <f>IFERROR(ROUNDDOWN(표10[[#This Row],[최종배당'[1']]]/표10[[#This Row],[분모]]*100,0)&amp;"%","-")</f>
        <v>-</v>
      </c>
      <c r="J40" s="56"/>
      <c r="K40" s="56" t="str">
        <f>IFERROR(ROUNDDOWN(표10[[#This Row],[최종배당'[2']]]/표10[[#This Row],[분모]]*100,0)&amp;"%","-")</f>
        <v>-</v>
      </c>
      <c r="L40" s="56"/>
      <c r="M40" s="56" t="str">
        <f>IFERROR(ROUNDDOWN(표10[[#This Row],[최종배당'[3']]]/표10[[#This Row],[분모]]*100,0)&amp;"%","-")</f>
        <v>-</v>
      </c>
      <c r="N40" s="56"/>
      <c r="O40" s="56" t="str">
        <f>IFERROR(ROUNDDOWN(표10[[#This Row],[최종배당'[4']]]/표10[[#This Row],[분모]]*100,0)&amp;"%","-")</f>
        <v>-</v>
      </c>
      <c r="P40" s="56"/>
      <c r="Q40" s="56" t="str">
        <f>IFERROR(ROUNDDOWN(표10[[#This Row],[최종배당'[5']]]/표10[[#This Row],[분모]]*100,0)&amp;"%","-")</f>
        <v>-</v>
      </c>
      <c r="S40" s="56" t="str">
        <f>IFERROR(VLOOKUP(표7[발견물'[0']],표1[[명칭]:[등급]],4,FALSE),"-")&amp;"급"</f>
        <v>0급</v>
      </c>
      <c r="T40" s="56" t="str">
        <f>IFERROR(VLOOKUP(표7[발견물'[1']],표1[[명칭]:[등급]],4,FALSE),"-")&amp;"급"</f>
        <v>0급</v>
      </c>
      <c r="U40" s="56" t="str">
        <f>IFERROR(VLOOKUP(표7[발견물'[2']],표1[[명칭]:[등급]],4,FALSE),"-")&amp;"급"</f>
        <v>0급</v>
      </c>
      <c r="V40" s="56" t="str">
        <f>IFERROR(VLOOKUP(표7[발견물'[3']],표1[[명칭]:[등급]],4,FALSE),"-")&amp;"급"</f>
        <v>0급</v>
      </c>
      <c r="W40" s="56" t="str">
        <f>IFERROR(VLOOKUP(표7[발견물'[4']],표1[[명칭]:[등급]],4,FALSE),"-")&amp;"급"</f>
        <v>0급</v>
      </c>
      <c r="X40" s="56" t="str">
        <f>IFERROR(VLOOKUP(표7[발견물'[5']],표1[[명칭]:[등급]],4,FALSE),"-")&amp;"급"</f>
        <v>0급</v>
      </c>
      <c r="Y40" s="56" t="str">
        <f>IFERROR(INDEX([1]FishGrade!$I:$I,MATCH(표10[[#This Row],[등급'[0']]],[1]FishGrade!$B:$B,0)),"-")</f>
        <v>-</v>
      </c>
      <c r="Z40" s="56" t="str">
        <f>IFERROR(INDEX([1]FishGrade!$I:$I,MATCH(표10[[#This Row],[등급'[1']]],[1]FishGrade!$B:$B,0)),"-")</f>
        <v>-</v>
      </c>
      <c r="AA40" s="56" t="str">
        <f>IFERROR(INDEX([1]FishGrade!$I:$I,MATCH(표10[[#This Row],[등급'[2']]],[1]FishGrade!$B:$B,0)),"-")</f>
        <v>-</v>
      </c>
      <c r="AB40" s="56" t="str">
        <f>IFERROR(INDEX([1]FishGrade!$I:$I,MATCH(표10[[#This Row],[등급'[3']]],[1]FishGrade!$B:$B,0)),"-")</f>
        <v>-</v>
      </c>
      <c r="AC40" s="56" t="str">
        <f>IFERROR(INDEX([1]FishGrade!$I:$I,MATCH(표10[[#This Row],[등급'[4']]],[1]FishGrade!$B:$B,0)),"-")</f>
        <v>-</v>
      </c>
      <c r="AD40" s="56" t="str">
        <f>IFERROR(INDEX([1]FishGrade!$I:$I,MATCH(표10[[#This Row],[등급'[5']]],[1]FishGrade!$B:$B,0)),"-")</f>
        <v>-</v>
      </c>
      <c r="AE40" s="56">
        <f>IF([1]FishDiscoveryGroup!$I$8="-",0,[1]FishDiscoveryGroup!$I$8)</f>
        <v>0</v>
      </c>
      <c r="AF40" s="56">
        <f>IF([1]FishDiscoveryGroup!$I$8="-",0,[1]FishDiscoveryGroup!$L$8)</f>
        <v>0</v>
      </c>
      <c r="AG40" s="56">
        <f>IF([1]FishDiscoveryGroup!$I$8="-",0,[1]FishDiscoveryGroup!$O$8)</f>
        <v>0</v>
      </c>
      <c r="AH40" s="56">
        <f>IF([1]FishDiscoveryGroup!$I$8="-",0,[1]FishDiscoveryGroup!$R$8)</f>
        <v>0</v>
      </c>
      <c r="AI40" s="56">
        <f>IF([1]FishDiscoveryGroup!$I$8="-",0,[1]FishDiscoveryGroup!$U$8)</f>
        <v>0</v>
      </c>
      <c r="AJ40" s="56">
        <f>IF([1]FishDiscoveryGroup!$I$8="-",0,[1]FishDiscoveryGroup!$X$8)</f>
        <v>0</v>
      </c>
      <c r="AK40" s="56">
        <f>IF(표10[[#This Row],[배당'[0']]]="-",0,표10[[#This Row],[배당'[0']]])+표10[[#This Row],[PROB'[0']]]</f>
        <v>0</v>
      </c>
      <c r="AL40" s="56">
        <f>IF(표10[[#This Row],[배당'[1']]]="-",0,표10[[#This Row],[배당'[1']]])+표10[[#This Row],[PROB'[1']]]</f>
        <v>0</v>
      </c>
      <c r="AM40" s="56">
        <f>IF(표10[[#This Row],[배당'[2']]]="-",0,표10[[#This Row],[배당'[2']]])+표10[[#This Row],[PROB'[2']]]</f>
        <v>0</v>
      </c>
      <c r="AN40" s="56">
        <f>IF(표10[[#This Row],[배당'[3']]]="-",0,표10[[#This Row],[배당'[3']]])+표10[[#This Row],[PROB'[3']]]</f>
        <v>0</v>
      </c>
      <c r="AO40" s="56">
        <f>IF(표10[[#This Row],[배당'[4']]]="-",0,표10[[#This Row],[배당'[4']]])+표10[[#This Row],[PROB'[4']]]</f>
        <v>0</v>
      </c>
      <c r="AP40" s="56">
        <f>IF(표10[[#This Row],[배당'[5']]]="-",0,표10[[#This Row],[배당'[5']]])+표10[[#This Row],[PROB'[5']]]</f>
        <v>0</v>
      </c>
      <c r="AQ40" s="56">
        <f>SUM(표10[[#This Row],[최종배당'[0']]:[최종배당'[5']]])</f>
        <v>0</v>
      </c>
    </row>
    <row r="41" spans="2:43" x14ac:dyDescent="0.3">
      <c r="B41" s="56" t="str">
        <f>[1]FishOceanTile!B46</f>
        <v>발트해</v>
      </c>
      <c r="C41" s="56" t="str">
        <f>IFERROR(VLOOKUP(표7[[#This Row],[낚시 타일]],[3]!표1_67[[이름]:[선단 LV]],6,FALSE),"-")</f>
        <v>-</v>
      </c>
      <c r="D41" s="56" t="str">
        <f>IFERROR(VLOOKUP(표7[[#This Row],[낚시 타일]],[3]!표1_67[[이름]:[위도]],3,FALSE),"-")</f>
        <v>-</v>
      </c>
      <c r="E41" s="56" t="str">
        <f>IFERROR(VLOOKUP(표7[[#This Row],[낚시 타일]],[3]!표1_67[[이름]:[위도]],2,FALSE),"-")</f>
        <v>-</v>
      </c>
      <c r="F41" s="56"/>
      <c r="G41" s="56" t="str">
        <f>IFERROR(ROUNDDOWN(표10[[#This Row],[최종배당'[0']]]/표10[[#This Row],[분모]]*100,0)&amp;"%","-")</f>
        <v>-</v>
      </c>
      <c r="H41" s="56"/>
      <c r="I41" s="56" t="str">
        <f>IFERROR(ROUNDDOWN(표10[[#This Row],[최종배당'[1']]]/표10[[#This Row],[분모]]*100,0)&amp;"%","-")</f>
        <v>-</v>
      </c>
      <c r="J41" s="56"/>
      <c r="K41" s="56" t="str">
        <f>IFERROR(ROUNDDOWN(표10[[#This Row],[최종배당'[2']]]/표10[[#This Row],[분모]]*100,0)&amp;"%","-")</f>
        <v>-</v>
      </c>
      <c r="L41" s="56"/>
      <c r="M41" s="56" t="str">
        <f>IFERROR(ROUNDDOWN(표10[[#This Row],[최종배당'[3']]]/표10[[#This Row],[분모]]*100,0)&amp;"%","-")</f>
        <v>-</v>
      </c>
      <c r="N41" s="56"/>
      <c r="O41" s="56" t="str">
        <f>IFERROR(ROUNDDOWN(표10[[#This Row],[최종배당'[4']]]/표10[[#This Row],[분모]]*100,0)&amp;"%","-")</f>
        <v>-</v>
      </c>
      <c r="P41" s="56"/>
      <c r="Q41" s="56" t="str">
        <f>IFERROR(ROUNDDOWN(표10[[#This Row],[최종배당'[5']]]/표10[[#This Row],[분모]]*100,0)&amp;"%","-")</f>
        <v>-</v>
      </c>
      <c r="S41" s="56" t="str">
        <f>IFERROR(VLOOKUP(표7[발견물'[0']],표1[[명칭]:[등급]],4,FALSE),"-")&amp;"급"</f>
        <v>0급</v>
      </c>
      <c r="T41" s="56" t="str">
        <f>IFERROR(VLOOKUP(표7[발견물'[1']],표1[[명칭]:[등급]],4,FALSE),"-")&amp;"급"</f>
        <v>0급</v>
      </c>
      <c r="U41" s="56" t="str">
        <f>IFERROR(VLOOKUP(표7[발견물'[2']],표1[[명칭]:[등급]],4,FALSE),"-")&amp;"급"</f>
        <v>0급</v>
      </c>
      <c r="V41" s="56" t="str">
        <f>IFERROR(VLOOKUP(표7[발견물'[3']],표1[[명칭]:[등급]],4,FALSE),"-")&amp;"급"</f>
        <v>0급</v>
      </c>
      <c r="W41" s="56" t="str">
        <f>IFERROR(VLOOKUP(표7[발견물'[4']],표1[[명칭]:[등급]],4,FALSE),"-")&amp;"급"</f>
        <v>0급</v>
      </c>
      <c r="X41" s="56" t="str">
        <f>IFERROR(VLOOKUP(표7[발견물'[5']],표1[[명칭]:[등급]],4,FALSE),"-")&amp;"급"</f>
        <v>0급</v>
      </c>
      <c r="Y41" s="56" t="str">
        <f>IFERROR(INDEX([1]FishGrade!$I:$I,MATCH(표10[[#This Row],[등급'[0']]],[1]FishGrade!$B:$B,0)),"-")</f>
        <v>-</v>
      </c>
      <c r="Z41" s="56" t="str">
        <f>IFERROR(INDEX([1]FishGrade!$I:$I,MATCH(표10[[#This Row],[등급'[1']]],[1]FishGrade!$B:$B,0)),"-")</f>
        <v>-</v>
      </c>
      <c r="AA41" s="56" t="str">
        <f>IFERROR(INDEX([1]FishGrade!$I:$I,MATCH(표10[[#This Row],[등급'[2']]],[1]FishGrade!$B:$B,0)),"-")</f>
        <v>-</v>
      </c>
      <c r="AB41" s="56" t="str">
        <f>IFERROR(INDEX([1]FishGrade!$I:$I,MATCH(표10[[#This Row],[등급'[3']]],[1]FishGrade!$B:$B,0)),"-")</f>
        <v>-</v>
      </c>
      <c r="AC41" s="56" t="str">
        <f>IFERROR(INDEX([1]FishGrade!$I:$I,MATCH(표10[[#This Row],[등급'[4']]],[1]FishGrade!$B:$B,0)),"-")</f>
        <v>-</v>
      </c>
      <c r="AD41" s="56" t="str">
        <f>IFERROR(INDEX([1]FishGrade!$I:$I,MATCH(표10[[#This Row],[등급'[5']]],[1]FishGrade!$B:$B,0)),"-")</f>
        <v>-</v>
      </c>
      <c r="AE41" s="56">
        <f>IF([1]FishDiscoveryGroup!$I$8="-",0,[1]FishDiscoveryGroup!$I$8)</f>
        <v>0</v>
      </c>
      <c r="AF41" s="56">
        <f>IF([1]FishDiscoveryGroup!$I$8="-",0,[1]FishDiscoveryGroup!$L$8)</f>
        <v>0</v>
      </c>
      <c r="AG41" s="56">
        <f>IF([1]FishDiscoveryGroup!$I$8="-",0,[1]FishDiscoveryGroup!$O$8)</f>
        <v>0</v>
      </c>
      <c r="AH41" s="56">
        <f>IF([1]FishDiscoveryGroup!$I$8="-",0,[1]FishDiscoveryGroup!$R$8)</f>
        <v>0</v>
      </c>
      <c r="AI41" s="56">
        <f>IF([1]FishDiscoveryGroup!$I$8="-",0,[1]FishDiscoveryGroup!$U$8)</f>
        <v>0</v>
      </c>
      <c r="AJ41" s="56">
        <f>IF([1]FishDiscoveryGroup!$I$8="-",0,[1]FishDiscoveryGroup!$X$8)</f>
        <v>0</v>
      </c>
      <c r="AK41" s="56">
        <f>IF(표10[[#This Row],[배당'[0']]]="-",0,표10[[#This Row],[배당'[0']]])+표10[[#This Row],[PROB'[0']]]</f>
        <v>0</v>
      </c>
      <c r="AL41" s="56">
        <f>IF(표10[[#This Row],[배당'[1']]]="-",0,표10[[#This Row],[배당'[1']]])+표10[[#This Row],[PROB'[1']]]</f>
        <v>0</v>
      </c>
      <c r="AM41" s="56">
        <f>IF(표10[[#This Row],[배당'[2']]]="-",0,표10[[#This Row],[배당'[2']]])+표10[[#This Row],[PROB'[2']]]</f>
        <v>0</v>
      </c>
      <c r="AN41" s="56">
        <f>IF(표10[[#This Row],[배당'[3']]]="-",0,표10[[#This Row],[배당'[3']]])+표10[[#This Row],[PROB'[3']]]</f>
        <v>0</v>
      </c>
      <c r="AO41" s="56">
        <f>IF(표10[[#This Row],[배당'[4']]]="-",0,표10[[#This Row],[배당'[4']]])+표10[[#This Row],[PROB'[4']]]</f>
        <v>0</v>
      </c>
      <c r="AP41" s="56">
        <f>IF(표10[[#This Row],[배당'[5']]]="-",0,표10[[#This Row],[배당'[5']]])+표10[[#This Row],[PROB'[5']]]</f>
        <v>0</v>
      </c>
      <c r="AQ41" s="56">
        <f>SUM(표10[[#This Row],[최종배당'[0']]:[최종배당'[5']]])</f>
        <v>0</v>
      </c>
    </row>
    <row r="42" spans="2:43" x14ac:dyDescent="0.3">
      <c r="B42" s="56" t="str">
        <f>[1]FishOceanTile!B47</f>
        <v>북해</v>
      </c>
      <c r="C42" s="56" t="str">
        <f>IFERROR(VLOOKUP(표7[[#This Row],[낚시 타일]],[3]!표1_67[[이름]:[선단 LV]],6,FALSE),"-")</f>
        <v>-</v>
      </c>
      <c r="D42" s="56" t="str">
        <f>IFERROR(VLOOKUP(표7[[#This Row],[낚시 타일]],[3]!표1_67[[이름]:[위도]],3,FALSE),"-")</f>
        <v>-</v>
      </c>
      <c r="E42" s="56" t="str">
        <f>IFERROR(VLOOKUP(표7[[#This Row],[낚시 타일]],[3]!표1_67[[이름]:[위도]],2,FALSE),"-")</f>
        <v>-</v>
      </c>
      <c r="F42" s="56"/>
      <c r="G42" s="56" t="str">
        <f>IFERROR(ROUNDDOWN(표10[[#This Row],[최종배당'[0']]]/표10[[#This Row],[분모]]*100,0)&amp;"%","-")</f>
        <v>-</v>
      </c>
      <c r="H42" s="56"/>
      <c r="I42" s="56" t="str">
        <f>IFERROR(ROUNDDOWN(표10[[#This Row],[최종배당'[1']]]/표10[[#This Row],[분모]]*100,0)&amp;"%","-")</f>
        <v>-</v>
      </c>
      <c r="J42" s="56"/>
      <c r="K42" s="56" t="str">
        <f>IFERROR(ROUNDDOWN(표10[[#This Row],[최종배당'[2']]]/표10[[#This Row],[분모]]*100,0)&amp;"%","-")</f>
        <v>-</v>
      </c>
      <c r="L42" s="56"/>
      <c r="M42" s="56" t="str">
        <f>IFERROR(ROUNDDOWN(표10[[#This Row],[최종배당'[3']]]/표10[[#This Row],[분모]]*100,0)&amp;"%","-")</f>
        <v>-</v>
      </c>
      <c r="N42" s="56"/>
      <c r="O42" s="56" t="str">
        <f>IFERROR(ROUNDDOWN(표10[[#This Row],[최종배당'[4']]]/표10[[#This Row],[분모]]*100,0)&amp;"%","-")</f>
        <v>-</v>
      </c>
      <c r="P42" s="56"/>
      <c r="Q42" s="56" t="str">
        <f>IFERROR(ROUNDDOWN(표10[[#This Row],[최종배당'[5']]]/표10[[#This Row],[분모]]*100,0)&amp;"%","-")</f>
        <v>-</v>
      </c>
      <c r="S42" s="56" t="str">
        <f>IFERROR(VLOOKUP(표7[발견물'[0']],표1[[명칭]:[등급]],4,FALSE),"-")&amp;"급"</f>
        <v>0급</v>
      </c>
      <c r="T42" s="56" t="str">
        <f>IFERROR(VLOOKUP(표7[발견물'[1']],표1[[명칭]:[등급]],4,FALSE),"-")&amp;"급"</f>
        <v>0급</v>
      </c>
      <c r="U42" s="56" t="str">
        <f>IFERROR(VLOOKUP(표7[발견물'[2']],표1[[명칭]:[등급]],4,FALSE),"-")&amp;"급"</f>
        <v>0급</v>
      </c>
      <c r="V42" s="56" t="str">
        <f>IFERROR(VLOOKUP(표7[발견물'[3']],표1[[명칭]:[등급]],4,FALSE),"-")&amp;"급"</f>
        <v>0급</v>
      </c>
      <c r="W42" s="56" t="str">
        <f>IFERROR(VLOOKUP(표7[발견물'[4']],표1[[명칭]:[등급]],4,FALSE),"-")&amp;"급"</f>
        <v>0급</v>
      </c>
      <c r="X42" s="56" t="str">
        <f>IFERROR(VLOOKUP(표7[발견물'[5']],표1[[명칭]:[등급]],4,FALSE),"-")&amp;"급"</f>
        <v>0급</v>
      </c>
      <c r="Y42" s="56" t="str">
        <f>IFERROR(INDEX([1]FishGrade!$I:$I,MATCH(표10[[#This Row],[등급'[0']]],[1]FishGrade!$B:$B,0)),"-")</f>
        <v>-</v>
      </c>
      <c r="Z42" s="56" t="str">
        <f>IFERROR(INDEX([1]FishGrade!$I:$I,MATCH(표10[[#This Row],[등급'[1']]],[1]FishGrade!$B:$B,0)),"-")</f>
        <v>-</v>
      </c>
      <c r="AA42" s="56" t="str">
        <f>IFERROR(INDEX([1]FishGrade!$I:$I,MATCH(표10[[#This Row],[등급'[2']]],[1]FishGrade!$B:$B,0)),"-")</f>
        <v>-</v>
      </c>
      <c r="AB42" s="56" t="str">
        <f>IFERROR(INDEX([1]FishGrade!$I:$I,MATCH(표10[[#This Row],[등급'[3']]],[1]FishGrade!$B:$B,0)),"-")</f>
        <v>-</v>
      </c>
      <c r="AC42" s="56" t="str">
        <f>IFERROR(INDEX([1]FishGrade!$I:$I,MATCH(표10[[#This Row],[등급'[4']]],[1]FishGrade!$B:$B,0)),"-")</f>
        <v>-</v>
      </c>
      <c r="AD42" s="56" t="str">
        <f>IFERROR(INDEX([1]FishGrade!$I:$I,MATCH(표10[[#This Row],[등급'[5']]],[1]FishGrade!$B:$B,0)),"-")</f>
        <v>-</v>
      </c>
      <c r="AE42" s="56">
        <f>IF([1]FishDiscoveryGroup!$I$8="-",0,[1]FishDiscoveryGroup!$I$8)</f>
        <v>0</v>
      </c>
      <c r="AF42" s="56">
        <f>IF([1]FishDiscoveryGroup!$I$8="-",0,[1]FishDiscoveryGroup!$L$8)</f>
        <v>0</v>
      </c>
      <c r="AG42" s="56">
        <f>IF([1]FishDiscoveryGroup!$I$8="-",0,[1]FishDiscoveryGroup!$O$8)</f>
        <v>0</v>
      </c>
      <c r="AH42" s="56">
        <f>IF([1]FishDiscoveryGroup!$I$8="-",0,[1]FishDiscoveryGroup!$R$8)</f>
        <v>0</v>
      </c>
      <c r="AI42" s="56">
        <f>IF([1]FishDiscoveryGroup!$I$8="-",0,[1]FishDiscoveryGroup!$U$8)</f>
        <v>0</v>
      </c>
      <c r="AJ42" s="56">
        <f>IF([1]FishDiscoveryGroup!$I$8="-",0,[1]FishDiscoveryGroup!$X$8)</f>
        <v>0</v>
      </c>
      <c r="AK42" s="56">
        <f>IF(표10[[#This Row],[배당'[0']]]="-",0,표10[[#This Row],[배당'[0']]])+표10[[#This Row],[PROB'[0']]]</f>
        <v>0</v>
      </c>
      <c r="AL42" s="56">
        <f>IF(표10[[#This Row],[배당'[1']]]="-",0,표10[[#This Row],[배당'[1']]])+표10[[#This Row],[PROB'[1']]]</f>
        <v>0</v>
      </c>
      <c r="AM42" s="56">
        <f>IF(표10[[#This Row],[배당'[2']]]="-",0,표10[[#This Row],[배당'[2']]])+표10[[#This Row],[PROB'[2']]]</f>
        <v>0</v>
      </c>
      <c r="AN42" s="56">
        <f>IF(표10[[#This Row],[배당'[3']]]="-",0,표10[[#This Row],[배당'[3']]])+표10[[#This Row],[PROB'[3']]]</f>
        <v>0</v>
      </c>
      <c r="AO42" s="56">
        <f>IF(표10[[#This Row],[배당'[4']]]="-",0,표10[[#This Row],[배당'[4']]])+표10[[#This Row],[PROB'[4']]]</f>
        <v>0</v>
      </c>
      <c r="AP42" s="56">
        <f>IF(표10[[#This Row],[배당'[5']]]="-",0,표10[[#This Row],[배당'[5']]])+표10[[#This Row],[PROB'[5']]]</f>
        <v>0</v>
      </c>
      <c r="AQ42" s="56">
        <f>SUM(표10[[#This Row],[최종배당'[0']]:[최종배당'[5']]])</f>
        <v>0</v>
      </c>
    </row>
    <row r="43" spans="2:43" x14ac:dyDescent="0.3">
      <c r="B43" s="56" t="str">
        <f>[1]FishOceanTile!B48</f>
        <v>북동 대서양</v>
      </c>
      <c r="C43" s="56" t="str">
        <f>IFERROR(VLOOKUP(표7[[#This Row],[낚시 타일]],[3]!표1_67[[이름]:[선단 LV]],6,FALSE),"-")</f>
        <v>-</v>
      </c>
      <c r="D43" s="56" t="str">
        <f>IFERROR(VLOOKUP(표7[[#This Row],[낚시 타일]],[3]!표1_67[[이름]:[위도]],3,FALSE),"-")</f>
        <v>-</v>
      </c>
      <c r="E43" s="56" t="str">
        <f>IFERROR(VLOOKUP(표7[[#This Row],[낚시 타일]],[3]!표1_67[[이름]:[위도]],2,FALSE),"-")</f>
        <v>-</v>
      </c>
      <c r="F43" s="56"/>
      <c r="G43" s="56" t="str">
        <f>IFERROR(ROUNDDOWN(표10[[#This Row],[최종배당'[0']]]/표10[[#This Row],[분모]]*100,0)&amp;"%","-")</f>
        <v>-</v>
      </c>
      <c r="H43" s="56"/>
      <c r="I43" s="56" t="str">
        <f>IFERROR(ROUNDDOWN(표10[[#This Row],[최종배당'[1']]]/표10[[#This Row],[분모]]*100,0)&amp;"%","-")</f>
        <v>-</v>
      </c>
      <c r="J43" s="56"/>
      <c r="K43" s="56" t="str">
        <f>IFERROR(ROUNDDOWN(표10[[#This Row],[최종배당'[2']]]/표10[[#This Row],[분모]]*100,0)&amp;"%","-")</f>
        <v>-</v>
      </c>
      <c r="L43" s="56"/>
      <c r="M43" s="56" t="str">
        <f>IFERROR(ROUNDDOWN(표10[[#This Row],[최종배당'[3']]]/표10[[#This Row],[분모]]*100,0)&amp;"%","-")</f>
        <v>-</v>
      </c>
      <c r="N43" s="56"/>
      <c r="O43" s="56" t="str">
        <f>IFERROR(ROUNDDOWN(표10[[#This Row],[최종배당'[4']]]/표10[[#This Row],[분모]]*100,0)&amp;"%","-")</f>
        <v>-</v>
      </c>
      <c r="P43" s="56"/>
      <c r="Q43" s="56" t="str">
        <f>IFERROR(ROUNDDOWN(표10[[#This Row],[최종배당'[5']]]/표10[[#This Row],[분모]]*100,0)&amp;"%","-")</f>
        <v>-</v>
      </c>
      <c r="S43" s="56" t="str">
        <f>IFERROR(VLOOKUP(표7[발견물'[0']],표1[[명칭]:[등급]],4,FALSE),"-")&amp;"급"</f>
        <v>0급</v>
      </c>
      <c r="T43" s="56" t="str">
        <f>IFERROR(VLOOKUP(표7[발견물'[1']],표1[[명칭]:[등급]],4,FALSE),"-")&amp;"급"</f>
        <v>0급</v>
      </c>
      <c r="U43" s="56" t="str">
        <f>IFERROR(VLOOKUP(표7[발견물'[2']],표1[[명칭]:[등급]],4,FALSE),"-")&amp;"급"</f>
        <v>0급</v>
      </c>
      <c r="V43" s="56" t="str">
        <f>IFERROR(VLOOKUP(표7[발견물'[3']],표1[[명칭]:[등급]],4,FALSE),"-")&amp;"급"</f>
        <v>0급</v>
      </c>
      <c r="W43" s="56" t="str">
        <f>IFERROR(VLOOKUP(표7[발견물'[4']],표1[[명칭]:[등급]],4,FALSE),"-")&amp;"급"</f>
        <v>0급</v>
      </c>
      <c r="X43" s="56" t="str">
        <f>IFERROR(VLOOKUP(표7[발견물'[5']],표1[[명칭]:[등급]],4,FALSE),"-")&amp;"급"</f>
        <v>0급</v>
      </c>
      <c r="Y43" s="56" t="str">
        <f>IFERROR(INDEX([1]FishGrade!$I:$I,MATCH(표10[[#This Row],[등급'[0']]],[1]FishGrade!$B:$B,0)),"-")</f>
        <v>-</v>
      </c>
      <c r="Z43" s="56" t="str">
        <f>IFERROR(INDEX([1]FishGrade!$I:$I,MATCH(표10[[#This Row],[등급'[1']]],[1]FishGrade!$B:$B,0)),"-")</f>
        <v>-</v>
      </c>
      <c r="AA43" s="56" t="str">
        <f>IFERROR(INDEX([1]FishGrade!$I:$I,MATCH(표10[[#This Row],[등급'[2']]],[1]FishGrade!$B:$B,0)),"-")</f>
        <v>-</v>
      </c>
      <c r="AB43" s="56" t="str">
        <f>IFERROR(INDEX([1]FishGrade!$I:$I,MATCH(표10[[#This Row],[등급'[3']]],[1]FishGrade!$B:$B,0)),"-")</f>
        <v>-</v>
      </c>
      <c r="AC43" s="56" t="str">
        <f>IFERROR(INDEX([1]FishGrade!$I:$I,MATCH(표10[[#This Row],[등급'[4']]],[1]FishGrade!$B:$B,0)),"-")</f>
        <v>-</v>
      </c>
      <c r="AD43" s="56" t="str">
        <f>IFERROR(INDEX([1]FishGrade!$I:$I,MATCH(표10[[#This Row],[등급'[5']]],[1]FishGrade!$B:$B,0)),"-")</f>
        <v>-</v>
      </c>
      <c r="AE43" s="56">
        <f>IF([1]FishDiscoveryGroup!$I$8="-",0,[1]FishDiscoveryGroup!$I$8)</f>
        <v>0</v>
      </c>
      <c r="AF43" s="56">
        <f>IF([1]FishDiscoveryGroup!$I$8="-",0,[1]FishDiscoveryGroup!$L$8)</f>
        <v>0</v>
      </c>
      <c r="AG43" s="56">
        <f>IF([1]FishDiscoveryGroup!$I$8="-",0,[1]FishDiscoveryGroup!$O$8)</f>
        <v>0</v>
      </c>
      <c r="AH43" s="56">
        <f>IF([1]FishDiscoveryGroup!$I$8="-",0,[1]FishDiscoveryGroup!$R$8)</f>
        <v>0</v>
      </c>
      <c r="AI43" s="56">
        <f>IF([1]FishDiscoveryGroup!$I$8="-",0,[1]FishDiscoveryGroup!$U$8)</f>
        <v>0</v>
      </c>
      <c r="AJ43" s="56">
        <f>IF([1]FishDiscoveryGroup!$I$8="-",0,[1]FishDiscoveryGroup!$X$8)</f>
        <v>0</v>
      </c>
      <c r="AK43" s="56">
        <f>IF(표10[[#This Row],[배당'[0']]]="-",0,표10[[#This Row],[배당'[0']]])+표10[[#This Row],[PROB'[0']]]</f>
        <v>0</v>
      </c>
      <c r="AL43" s="56">
        <f>IF(표10[[#This Row],[배당'[1']]]="-",0,표10[[#This Row],[배당'[1']]])+표10[[#This Row],[PROB'[1']]]</f>
        <v>0</v>
      </c>
      <c r="AM43" s="56">
        <f>IF(표10[[#This Row],[배당'[2']]]="-",0,표10[[#This Row],[배당'[2']]])+표10[[#This Row],[PROB'[2']]]</f>
        <v>0</v>
      </c>
      <c r="AN43" s="56">
        <f>IF(표10[[#This Row],[배당'[3']]]="-",0,표10[[#This Row],[배당'[3']]])+표10[[#This Row],[PROB'[3']]]</f>
        <v>0</v>
      </c>
      <c r="AO43" s="56">
        <f>IF(표10[[#This Row],[배당'[4']]]="-",0,표10[[#This Row],[배당'[4']]])+표10[[#This Row],[PROB'[4']]]</f>
        <v>0</v>
      </c>
      <c r="AP43" s="56">
        <f>IF(표10[[#This Row],[배당'[5']]]="-",0,표10[[#This Row],[배당'[5']]])+표10[[#This Row],[PROB'[5']]]</f>
        <v>0</v>
      </c>
      <c r="AQ43" s="56">
        <f>SUM(표10[[#This Row],[최종배당'[0']]:[최종배당'[5']]])</f>
        <v>0</v>
      </c>
    </row>
    <row r="44" spans="2:43" x14ac:dyDescent="0.3">
      <c r="B44" s="56" t="str">
        <f>[1]FishOceanTile!B49</f>
        <v>동 대서양</v>
      </c>
      <c r="C44" s="56" t="str">
        <f>IFERROR(VLOOKUP(표7[[#This Row],[낚시 타일]],[3]!표1_67[[이름]:[선단 LV]],6,FALSE),"-")</f>
        <v>-</v>
      </c>
      <c r="D44" s="56" t="str">
        <f>IFERROR(VLOOKUP(표7[[#This Row],[낚시 타일]],[3]!표1_67[[이름]:[위도]],3,FALSE),"-")</f>
        <v>-</v>
      </c>
      <c r="E44" s="56" t="str">
        <f>IFERROR(VLOOKUP(표7[[#This Row],[낚시 타일]],[3]!표1_67[[이름]:[위도]],2,FALSE),"-")</f>
        <v>-</v>
      </c>
      <c r="F44" s="56"/>
      <c r="G44" s="56" t="str">
        <f>IFERROR(ROUNDDOWN(표10[[#This Row],[최종배당'[0']]]/표10[[#This Row],[분모]]*100,0)&amp;"%","-")</f>
        <v>-</v>
      </c>
      <c r="H44" s="56"/>
      <c r="I44" s="56" t="str">
        <f>IFERROR(ROUNDDOWN(표10[[#This Row],[최종배당'[1']]]/표10[[#This Row],[분모]]*100,0)&amp;"%","-")</f>
        <v>-</v>
      </c>
      <c r="J44" s="56"/>
      <c r="K44" s="56" t="str">
        <f>IFERROR(ROUNDDOWN(표10[[#This Row],[최종배당'[2']]]/표10[[#This Row],[분모]]*100,0)&amp;"%","-")</f>
        <v>-</v>
      </c>
      <c r="L44" s="56"/>
      <c r="M44" s="56" t="str">
        <f>IFERROR(ROUNDDOWN(표10[[#This Row],[최종배당'[3']]]/표10[[#This Row],[분모]]*100,0)&amp;"%","-")</f>
        <v>-</v>
      </c>
      <c r="N44" s="56"/>
      <c r="O44" s="56" t="str">
        <f>IFERROR(ROUNDDOWN(표10[[#This Row],[최종배당'[4']]]/표10[[#This Row],[분모]]*100,0)&amp;"%","-")</f>
        <v>-</v>
      </c>
      <c r="P44" s="56"/>
      <c r="Q44" s="56" t="str">
        <f>IFERROR(ROUNDDOWN(표10[[#This Row],[최종배당'[5']]]/표10[[#This Row],[분모]]*100,0)&amp;"%","-")</f>
        <v>-</v>
      </c>
      <c r="S44" s="56" t="str">
        <f>IFERROR(VLOOKUP(표7[발견물'[0']],표1[[명칭]:[등급]],4,FALSE),"-")&amp;"급"</f>
        <v>0급</v>
      </c>
      <c r="T44" s="56" t="str">
        <f>IFERROR(VLOOKUP(표7[발견물'[1']],표1[[명칭]:[등급]],4,FALSE),"-")&amp;"급"</f>
        <v>0급</v>
      </c>
      <c r="U44" s="56" t="str">
        <f>IFERROR(VLOOKUP(표7[발견물'[2']],표1[[명칭]:[등급]],4,FALSE),"-")&amp;"급"</f>
        <v>0급</v>
      </c>
      <c r="V44" s="56" t="str">
        <f>IFERROR(VLOOKUP(표7[발견물'[3']],표1[[명칭]:[등급]],4,FALSE),"-")&amp;"급"</f>
        <v>0급</v>
      </c>
      <c r="W44" s="56" t="str">
        <f>IFERROR(VLOOKUP(표7[발견물'[4']],표1[[명칭]:[등급]],4,FALSE),"-")&amp;"급"</f>
        <v>0급</v>
      </c>
      <c r="X44" s="56" t="str">
        <f>IFERROR(VLOOKUP(표7[발견물'[5']],표1[[명칭]:[등급]],4,FALSE),"-")&amp;"급"</f>
        <v>0급</v>
      </c>
      <c r="Y44" s="56" t="str">
        <f>IFERROR(INDEX([1]FishGrade!$I:$I,MATCH(표10[[#This Row],[등급'[0']]],[1]FishGrade!$B:$B,0)),"-")</f>
        <v>-</v>
      </c>
      <c r="Z44" s="56" t="str">
        <f>IFERROR(INDEX([1]FishGrade!$I:$I,MATCH(표10[[#This Row],[등급'[1']]],[1]FishGrade!$B:$B,0)),"-")</f>
        <v>-</v>
      </c>
      <c r="AA44" s="56" t="str">
        <f>IFERROR(INDEX([1]FishGrade!$I:$I,MATCH(표10[[#This Row],[등급'[2']]],[1]FishGrade!$B:$B,0)),"-")</f>
        <v>-</v>
      </c>
      <c r="AB44" s="56" t="str">
        <f>IFERROR(INDEX([1]FishGrade!$I:$I,MATCH(표10[[#This Row],[등급'[3']]],[1]FishGrade!$B:$B,0)),"-")</f>
        <v>-</v>
      </c>
      <c r="AC44" s="56" t="str">
        <f>IFERROR(INDEX([1]FishGrade!$I:$I,MATCH(표10[[#This Row],[등급'[4']]],[1]FishGrade!$B:$B,0)),"-")</f>
        <v>-</v>
      </c>
      <c r="AD44" s="56" t="str">
        <f>IFERROR(INDEX([1]FishGrade!$I:$I,MATCH(표10[[#This Row],[등급'[5']]],[1]FishGrade!$B:$B,0)),"-")</f>
        <v>-</v>
      </c>
      <c r="AE44" s="56">
        <f>IF([1]FishDiscoveryGroup!$I$8="-",0,[1]FishDiscoveryGroup!$I$8)</f>
        <v>0</v>
      </c>
      <c r="AF44" s="56">
        <f>IF([1]FishDiscoveryGroup!$I$8="-",0,[1]FishDiscoveryGroup!$L$8)</f>
        <v>0</v>
      </c>
      <c r="AG44" s="56">
        <f>IF([1]FishDiscoveryGroup!$I$8="-",0,[1]FishDiscoveryGroup!$O$8)</f>
        <v>0</v>
      </c>
      <c r="AH44" s="56">
        <f>IF([1]FishDiscoveryGroup!$I$8="-",0,[1]FishDiscoveryGroup!$R$8)</f>
        <v>0</v>
      </c>
      <c r="AI44" s="56">
        <f>IF([1]FishDiscoveryGroup!$I$8="-",0,[1]FishDiscoveryGroup!$U$8)</f>
        <v>0</v>
      </c>
      <c r="AJ44" s="56">
        <f>IF([1]FishDiscoveryGroup!$I$8="-",0,[1]FishDiscoveryGroup!$X$8)</f>
        <v>0</v>
      </c>
      <c r="AK44" s="56">
        <f>IF(표10[[#This Row],[배당'[0']]]="-",0,표10[[#This Row],[배당'[0']]])+표10[[#This Row],[PROB'[0']]]</f>
        <v>0</v>
      </c>
      <c r="AL44" s="56">
        <f>IF(표10[[#This Row],[배당'[1']]]="-",0,표10[[#This Row],[배당'[1']]])+표10[[#This Row],[PROB'[1']]]</f>
        <v>0</v>
      </c>
      <c r="AM44" s="56">
        <f>IF(표10[[#This Row],[배당'[2']]]="-",0,표10[[#This Row],[배당'[2']]])+표10[[#This Row],[PROB'[2']]]</f>
        <v>0</v>
      </c>
      <c r="AN44" s="56">
        <f>IF(표10[[#This Row],[배당'[3']]]="-",0,표10[[#This Row],[배당'[3']]])+표10[[#This Row],[PROB'[3']]]</f>
        <v>0</v>
      </c>
      <c r="AO44" s="56">
        <f>IF(표10[[#This Row],[배당'[4']]]="-",0,표10[[#This Row],[배당'[4']]])+표10[[#This Row],[PROB'[4']]]</f>
        <v>0</v>
      </c>
      <c r="AP44" s="56">
        <f>IF(표10[[#This Row],[배당'[5']]]="-",0,표10[[#This Row],[배당'[5']]])+표10[[#This Row],[PROB'[5']]]</f>
        <v>0</v>
      </c>
      <c r="AQ44" s="56">
        <f>SUM(표10[[#This Row],[최종배당'[0']]:[최종배당'[5']]])</f>
        <v>0</v>
      </c>
    </row>
    <row r="45" spans="2:43" x14ac:dyDescent="0.3">
      <c r="B45" s="56" t="str">
        <f>[1]FishOceanTile!B50</f>
        <v>리스본 앞바다</v>
      </c>
      <c r="C45" s="56" t="str">
        <f>IFERROR(VLOOKUP(표7[[#This Row],[낚시 타일]],[3]!표1_67[[이름]:[선단 LV]],6,FALSE),"-")</f>
        <v>-</v>
      </c>
      <c r="D45" s="56" t="str">
        <f>IFERROR(VLOOKUP(표7[[#This Row],[낚시 타일]],[3]!표1_67[[이름]:[위도]],3,FALSE),"-")</f>
        <v>-</v>
      </c>
      <c r="E45" s="56" t="str">
        <f>IFERROR(VLOOKUP(표7[[#This Row],[낚시 타일]],[3]!표1_67[[이름]:[위도]],2,FALSE),"-")</f>
        <v>-</v>
      </c>
      <c r="F45" s="56"/>
      <c r="G45" s="56" t="str">
        <f>IFERROR(ROUNDDOWN(표10[[#This Row],[최종배당'[0']]]/표10[[#This Row],[분모]]*100,0)&amp;"%","-")</f>
        <v>-</v>
      </c>
      <c r="H45" s="56"/>
      <c r="I45" s="56" t="str">
        <f>IFERROR(ROUNDDOWN(표10[[#This Row],[최종배당'[1']]]/표10[[#This Row],[분모]]*100,0)&amp;"%","-")</f>
        <v>-</v>
      </c>
      <c r="J45" s="56"/>
      <c r="K45" s="56" t="str">
        <f>IFERROR(ROUNDDOWN(표10[[#This Row],[최종배당'[2']]]/표10[[#This Row],[분모]]*100,0)&amp;"%","-")</f>
        <v>-</v>
      </c>
      <c r="L45" s="56"/>
      <c r="M45" s="56" t="str">
        <f>IFERROR(ROUNDDOWN(표10[[#This Row],[최종배당'[3']]]/표10[[#This Row],[분모]]*100,0)&amp;"%","-")</f>
        <v>-</v>
      </c>
      <c r="N45" s="56"/>
      <c r="O45" s="56" t="str">
        <f>IFERROR(ROUNDDOWN(표10[[#This Row],[최종배당'[4']]]/표10[[#This Row],[분모]]*100,0)&amp;"%","-")</f>
        <v>-</v>
      </c>
      <c r="P45" s="56"/>
      <c r="Q45" s="56" t="str">
        <f>IFERROR(ROUNDDOWN(표10[[#This Row],[최종배당'[5']]]/표10[[#This Row],[분모]]*100,0)&amp;"%","-")</f>
        <v>-</v>
      </c>
      <c r="S45" s="56" t="str">
        <f>IFERROR(VLOOKUP(표7[발견물'[0']],표1[[명칭]:[등급]],4,FALSE),"-")&amp;"급"</f>
        <v>0급</v>
      </c>
      <c r="T45" s="56" t="str">
        <f>IFERROR(VLOOKUP(표7[발견물'[1']],표1[[명칭]:[등급]],4,FALSE),"-")&amp;"급"</f>
        <v>0급</v>
      </c>
      <c r="U45" s="56" t="str">
        <f>IFERROR(VLOOKUP(표7[발견물'[2']],표1[[명칭]:[등급]],4,FALSE),"-")&amp;"급"</f>
        <v>0급</v>
      </c>
      <c r="V45" s="56" t="str">
        <f>IFERROR(VLOOKUP(표7[발견물'[3']],표1[[명칭]:[등급]],4,FALSE),"-")&amp;"급"</f>
        <v>0급</v>
      </c>
      <c r="W45" s="56" t="str">
        <f>IFERROR(VLOOKUP(표7[발견물'[4']],표1[[명칭]:[등급]],4,FALSE),"-")&amp;"급"</f>
        <v>0급</v>
      </c>
      <c r="X45" s="56" t="str">
        <f>IFERROR(VLOOKUP(표7[발견물'[5']],표1[[명칭]:[등급]],4,FALSE),"-")&amp;"급"</f>
        <v>0급</v>
      </c>
      <c r="Y45" s="56" t="str">
        <f>IFERROR(INDEX([1]FishGrade!$I:$I,MATCH(표10[[#This Row],[등급'[0']]],[1]FishGrade!$B:$B,0)),"-")</f>
        <v>-</v>
      </c>
      <c r="Z45" s="56" t="str">
        <f>IFERROR(INDEX([1]FishGrade!$I:$I,MATCH(표10[[#This Row],[등급'[1']]],[1]FishGrade!$B:$B,0)),"-")</f>
        <v>-</v>
      </c>
      <c r="AA45" s="56" t="str">
        <f>IFERROR(INDEX([1]FishGrade!$I:$I,MATCH(표10[[#This Row],[등급'[2']]],[1]FishGrade!$B:$B,0)),"-")</f>
        <v>-</v>
      </c>
      <c r="AB45" s="56" t="str">
        <f>IFERROR(INDEX([1]FishGrade!$I:$I,MATCH(표10[[#This Row],[등급'[3']]],[1]FishGrade!$B:$B,0)),"-")</f>
        <v>-</v>
      </c>
      <c r="AC45" s="56" t="str">
        <f>IFERROR(INDEX([1]FishGrade!$I:$I,MATCH(표10[[#This Row],[등급'[4']]],[1]FishGrade!$B:$B,0)),"-")</f>
        <v>-</v>
      </c>
      <c r="AD45" s="56" t="str">
        <f>IFERROR(INDEX([1]FishGrade!$I:$I,MATCH(표10[[#This Row],[등급'[5']]],[1]FishGrade!$B:$B,0)),"-")</f>
        <v>-</v>
      </c>
      <c r="AE45" s="56">
        <f>IF([1]FishDiscoveryGroup!$I$8="-",0,[1]FishDiscoveryGroup!$I$8)</f>
        <v>0</v>
      </c>
      <c r="AF45" s="56">
        <f>IF([1]FishDiscoveryGroup!$I$8="-",0,[1]FishDiscoveryGroup!$L$8)</f>
        <v>0</v>
      </c>
      <c r="AG45" s="56">
        <f>IF([1]FishDiscoveryGroup!$I$8="-",0,[1]FishDiscoveryGroup!$O$8)</f>
        <v>0</v>
      </c>
      <c r="AH45" s="56">
        <f>IF([1]FishDiscoveryGroup!$I$8="-",0,[1]FishDiscoveryGroup!$R$8)</f>
        <v>0</v>
      </c>
      <c r="AI45" s="56">
        <f>IF([1]FishDiscoveryGroup!$I$8="-",0,[1]FishDiscoveryGroup!$U$8)</f>
        <v>0</v>
      </c>
      <c r="AJ45" s="56">
        <f>IF([1]FishDiscoveryGroup!$I$8="-",0,[1]FishDiscoveryGroup!$X$8)</f>
        <v>0</v>
      </c>
      <c r="AK45" s="56">
        <f>IF(표10[[#This Row],[배당'[0']]]="-",0,표10[[#This Row],[배당'[0']]])+표10[[#This Row],[PROB'[0']]]</f>
        <v>0</v>
      </c>
      <c r="AL45" s="56">
        <f>IF(표10[[#This Row],[배당'[1']]]="-",0,표10[[#This Row],[배당'[1']]])+표10[[#This Row],[PROB'[1']]]</f>
        <v>0</v>
      </c>
      <c r="AM45" s="56">
        <f>IF(표10[[#This Row],[배당'[2']]]="-",0,표10[[#This Row],[배당'[2']]])+표10[[#This Row],[PROB'[2']]]</f>
        <v>0</v>
      </c>
      <c r="AN45" s="56">
        <f>IF(표10[[#This Row],[배당'[3']]]="-",0,표10[[#This Row],[배당'[3']]])+표10[[#This Row],[PROB'[3']]]</f>
        <v>0</v>
      </c>
      <c r="AO45" s="56">
        <f>IF(표10[[#This Row],[배당'[4']]]="-",0,표10[[#This Row],[배당'[4']]])+표10[[#This Row],[PROB'[4']]]</f>
        <v>0</v>
      </c>
      <c r="AP45" s="56">
        <f>IF(표10[[#This Row],[배당'[5']]]="-",0,표10[[#This Row],[배당'[5']]])+표10[[#This Row],[PROB'[5']]]</f>
        <v>0</v>
      </c>
      <c r="AQ45" s="56">
        <f>SUM(표10[[#This Row],[최종배당'[0']]:[최종배당'[5']]])</f>
        <v>0</v>
      </c>
    </row>
    <row r="46" spans="2:43" x14ac:dyDescent="0.3">
      <c r="B46" s="56" t="str">
        <f>[1]FishOceanTile!B51</f>
        <v>서 지중해</v>
      </c>
      <c r="C46" s="56" t="str">
        <f>IFERROR(VLOOKUP(표7[[#This Row],[낚시 타일]],[3]!표1_67[[이름]:[선단 LV]],6,FALSE),"-")</f>
        <v>-</v>
      </c>
      <c r="D46" s="56" t="str">
        <f>IFERROR(VLOOKUP(표7[[#This Row],[낚시 타일]],[3]!표1_67[[이름]:[위도]],3,FALSE),"-")</f>
        <v>-</v>
      </c>
      <c r="E46" s="56" t="str">
        <f>IFERROR(VLOOKUP(표7[[#This Row],[낚시 타일]],[3]!표1_67[[이름]:[위도]],2,FALSE),"-")</f>
        <v>-</v>
      </c>
      <c r="F46" s="56"/>
      <c r="G46" s="56" t="str">
        <f>IFERROR(ROUNDDOWN(표10[[#This Row],[최종배당'[0']]]/표10[[#This Row],[분모]]*100,0)&amp;"%","-")</f>
        <v>-</v>
      </c>
      <c r="H46" s="56"/>
      <c r="I46" s="56" t="str">
        <f>IFERROR(ROUNDDOWN(표10[[#This Row],[최종배당'[1']]]/표10[[#This Row],[분모]]*100,0)&amp;"%","-")</f>
        <v>-</v>
      </c>
      <c r="J46" s="56"/>
      <c r="K46" s="56" t="str">
        <f>IFERROR(ROUNDDOWN(표10[[#This Row],[최종배당'[2']]]/표10[[#This Row],[분모]]*100,0)&amp;"%","-")</f>
        <v>-</v>
      </c>
      <c r="L46" s="56"/>
      <c r="M46" s="56" t="str">
        <f>IFERROR(ROUNDDOWN(표10[[#This Row],[최종배당'[3']]]/표10[[#This Row],[분모]]*100,0)&amp;"%","-")</f>
        <v>-</v>
      </c>
      <c r="N46" s="56"/>
      <c r="O46" s="56" t="str">
        <f>IFERROR(ROUNDDOWN(표10[[#This Row],[최종배당'[4']]]/표10[[#This Row],[분모]]*100,0)&amp;"%","-")</f>
        <v>-</v>
      </c>
      <c r="P46" s="56"/>
      <c r="Q46" s="56" t="str">
        <f>IFERROR(ROUNDDOWN(표10[[#This Row],[최종배당'[5']]]/표10[[#This Row],[분모]]*100,0)&amp;"%","-")</f>
        <v>-</v>
      </c>
      <c r="S46" s="56" t="str">
        <f>IFERROR(VLOOKUP(표7[발견물'[0']],표1[[명칭]:[등급]],4,FALSE),"-")&amp;"급"</f>
        <v>0급</v>
      </c>
      <c r="T46" s="56" t="str">
        <f>IFERROR(VLOOKUP(표7[발견물'[1']],표1[[명칭]:[등급]],4,FALSE),"-")&amp;"급"</f>
        <v>0급</v>
      </c>
      <c r="U46" s="56" t="str">
        <f>IFERROR(VLOOKUP(표7[발견물'[2']],표1[[명칭]:[등급]],4,FALSE),"-")&amp;"급"</f>
        <v>0급</v>
      </c>
      <c r="V46" s="56" t="str">
        <f>IFERROR(VLOOKUP(표7[발견물'[3']],표1[[명칭]:[등급]],4,FALSE),"-")&amp;"급"</f>
        <v>0급</v>
      </c>
      <c r="W46" s="56" t="str">
        <f>IFERROR(VLOOKUP(표7[발견물'[4']],표1[[명칭]:[등급]],4,FALSE),"-")&amp;"급"</f>
        <v>0급</v>
      </c>
      <c r="X46" s="56" t="str">
        <f>IFERROR(VLOOKUP(표7[발견물'[5']],표1[[명칭]:[등급]],4,FALSE),"-")&amp;"급"</f>
        <v>0급</v>
      </c>
      <c r="Y46" s="56" t="str">
        <f>IFERROR(INDEX([1]FishGrade!$I:$I,MATCH(표10[[#This Row],[등급'[0']]],[1]FishGrade!$B:$B,0)),"-")</f>
        <v>-</v>
      </c>
      <c r="Z46" s="56" t="str">
        <f>IFERROR(INDEX([1]FishGrade!$I:$I,MATCH(표10[[#This Row],[등급'[1']]],[1]FishGrade!$B:$B,0)),"-")</f>
        <v>-</v>
      </c>
      <c r="AA46" s="56" t="str">
        <f>IFERROR(INDEX([1]FishGrade!$I:$I,MATCH(표10[[#This Row],[등급'[2']]],[1]FishGrade!$B:$B,0)),"-")</f>
        <v>-</v>
      </c>
      <c r="AB46" s="56" t="str">
        <f>IFERROR(INDEX([1]FishGrade!$I:$I,MATCH(표10[[#This Row],[등급'[3']]],[1]FishGrade!$B:$B,0)),"-")</f>
        <v>-</v>
      </c>
      <c r="AC46" s="56" t="str">
        <f>IFERROR(INDEX([1]FishGrade!$I:$I,MATCH(표10[[#This Row],[등급'[4']]],[1]FishGrade!$B:$B,0)),"-")</f>
        <v>-</v>
      </c>
      <c r="AD46" s="56" t="str">
        <f>IFERROR(INDEX([1]FishGrade!$I:$I,MATCH(표10[[#This Row],[등급'[5']]],[1]FishGrade!$B:$B,0)),"-")</f>
        <v>-</v>
      </c>
      <c r="AE46" s="56">
        <f>IF([1]FishDiscoveryGroup!$I$8="-",0,[1]FishDiscoveryGroup!$I$8)</f>
        <v>0</v>
      </c>
      <c r="AF46" s="56">
        <f>IF([1]FishDiscoveryGroup!$I$8="-",0,[1]FishDiscoveryGroup!$L$8)</f>
        <v>0</v>
      </c>
      <c r="AG46" s="56">
        <f>IF([1]FishDiscoveryGroup!$I$8="-",0,[1]FishDiscoveryGroup!$O$8)</f>
        <v>0</v>
      </c>
      <c r="AH46" s="56">
        <f>IF([1]FishDiscoveryGroup!$I$8="-",0,[1]FishDiscoveryGroup!$R$8)</f>
        <v>0</v>
      </c>
      <c r="AI46" s="56">
        <f>IF([1]FishDiscoveryGroup!$I$8="-",0,[1]FishDiscoveryGroup!$U$8)</f>
        <v>0</v>
      </c>
      <c r="AJ46" s="56">
        <f>IF([1]FishDiscoveryGroup!$I$8="-",0,[1]FishDiscoveryGroup!$X$8)</f>
        <v>0</v>
      </c>
      <c r="AK46" s="56">
        <f>IF(표10[[#This Row],[배당'[0']]]="-",0,표10[[#This Row],[배당'[0']]])+표10[[#This Row],[PROB'[0']]]</f>
        <v>0</v>
      </c>
      <c r="AL46" s="56">
        <f>IF(표10[[#This Row],[배당'[1']]]="-",0,표10[[#This Row],[배당'[1']]])+표10[[#This Row],[PROB'[1']]]</f>
        <v>0</v>
      </c>
      <c r="AM46" s="56">
        <f>IF(표10[[#This Row],[배당'[2']]]="-",0,표10[[#This Row],[배당'[2']]])+표10[[#This Row],[PROB'[2']]]</f>
        <v>0</v>
      </c>
      <c r="AN46" s="56">
        <f>IF(표10[[#This Row],[배당'[3']]]="-",0,표10[[#This Row],[배당'[3']]])+표10[[#This Row],[PROB'[3']]]</f>
        <v>0</v>
      </c>
      <c r="AO46" s="56">
        <f>IF(표10[[#This Row],[배당'[4']]]="-",0,표10[[#This Row],[배당'[4']]])+표10[[#This Row],[PROB'[4']]]</f>
        <v>0</v>
      </c>
      <c r="AP46" s="56">
        <f>IF(표10[[#This Row],[배당'[5']]]="-",0,표10[[#This Row],[배당'[5']]])+표10[[#This Row],[PROB'[5']]]</f>
        <v>0</v>
      </c>
      <c r="AQ46" s="56">
        <f>SUM(표10[[#This Row],[최종배당'[0']]:[최종배당'[5']]])</f>
        <v>0</v>
      </c>
    </row>
    <row r="47" spans="2:43" x14ac:dyDescent="0.3">
      <c r="B47" s="56" t="str">
        <f>[1]FishOceanTile!B52</f>
        <v>아오니아해</v>
      </c>
      <c r="C47" s="56" t="str">
        <f>IFERROR(VLOOKUP(표7[[#This Row],[낚시 타일]],[3]!표1_67[[이름]:[선단 LV]],6,FALSE),"-")</f>
        <v>-</v>
      </c>
      <c r="D47" s="56" t="str">
        <f>IFERROR(VLOOKUP(표7[[#This Row],[낚시 타일]],[3]!표1_67[[이름]:[위도]],3,FALSE),"-")</f>
        <v>-</v>
      </c>
      <c r="E47" s="56" t="str">
        <f>IFERROR(VLOOKUP(표7[[#This Row],[낚시 타일]],[3]!표1_67[[이름]:[위도]],2,FALSE),"-")</f>
        <v>-</v>
      </c>
      <c r="F47" s="56"/>
      <c r="G47" s="56" t="str">
        <f>IFERROR(ROUNDDOWN(표10[[#This Row],[최종배당'[0']]]/표10[[#This Row],[분모]]*100,0)&amp;"%","-")</f>
        <v>-</v>
      </c>
      <c r="H47" s="56"/>
      <c r="I47" s="56" t="str">
        <f>IFERROR(ROUNDDOWN(표10[[#This Row],[최종배당'[1']]]/표10[[#This Row],[분모]]*100,0)&amp;"%","-")</f>
        <v>-</v>
      </c>
      <c r="J47" s="56"/>
      <c r="K47" s="56" t="str">
        <f>IFERROR(ROUNDDOWN(표10[[#This Row],[최종배당'[2']]]/표10[[#This Row],[분모]]*100,0)&amp;"%","-")</f>
        <v>-</v>
      </c>
      <c r="L47" s="56"/>
      <c r="M47" s="56" t="str">
        <f>IFERROR(ROUNDDOWN(표10[[#This Row],[최종배당'[3']]]/표10[[#This Row],[분모]]*100,0)&amp;"%","-")</f>
        <v>-</v>
      </c>
      <c r="N47" s="56"/>
      <c r="O47" s="56" t="str">
        <f>IFERROR(ROUNDDOWN(표10[[#This Row],[최종배당'[4']]]/표10[[#This Row],[분모]]*100,0)&amp;"%","-")</f>
        <v>-</v>
      </c>
      <c r="P47" s="56"/>
      <c r="Q47" s="56" t="str">
        <f>IFERROR(ROUNDDOWN(표10[[#This Row],[최종배당'[5']]]/표10[[#This Row],[분모]]*100,0)&amp;"%","-")</f>
        <v>-</v>
      </c>
      <c r="S47" s="56" t="str">
        <f>IFERROR(VLOOKUP(표7[발견물'[0']],표1[[명칭]:[등급]],4,FALSE),"-")&amp;"급"</f>
        <v>0급</v>
      </c>
      <c r="T47" s="56" t="str">
        <f>IFERROR(VLOOKUP(표7[발견물'[1']],표1[[명칭]:[등급]],4,FALSE),"-")&amp;"급"</f>
        <v>0급</v>
      </c>
      <c r="U47" s="56" t="str">
        <f>IFERROR(VLOOKUP(표7[발견물'[2']],표1[[명칭]:[등급]],4,FALSE),"-")&amp;"급"</f>
        <v>0급</v>
      </c>
      <c r="V47" s="56" t="str">
        <f>IFERROR(VLOOKUP(표7[발견물'[3']],표1[[명칭]:[등급]],4,FALSE),"-")&amp;"급"</f>
        <v>0급</v>
      </c>
      <c r="W47" s="56" t="str">
        <f>IFERROR(VLOOKUP(표7[발견물'[4']],표1[[명칭]:[등급]],4,FALSE),"-")&amp;"급"</f>
        <v>0급</v>
      </c>
      <c r="X47" s="56" t="str">
        <f>IFERROR(VLOOKUP(표7[발견물'[5']],표1[[명칭]:[등급]],4,FALSE),"-")&amp;"급"</f>
        <v>0급</v>
      </c>
      <c r="Y47" s="56" t="str">
        <f>IFERROR(INDEX([1]FishGrade!$I:$I,MATCH(표10[[#This Row],[등급'[0']]],[1]FishGrade!$B:$B,0)),"-")</f>
        <v>-</v>
      </c>
      <c r="Z47" s="56" t="str">
        <f>IFERROR(INDEX([1]FishGrade!$I:$I,MATCH(표10[[#This Row],[등급'[1']]],[1]FishGrade!$B:$B,0)),"-")</f>
        <v>-</v>
      </c>
      <c r="AA47" s="56" t="str">
        <f>IFERROR(INDEX([1]FishGrade!$I:$I,MATCH(표10[[#This Row],[등급'[2']]],[1]FishGrade!$B:$B,0)),"-")</f>
        <v>-</v>
      </c>
      <c r="AB47" s="56" t="str">
        <f>IFERROR(INDEX([1]FishGrade!$I:$I,MATCH(표10[[#This Row],[등급'[3']]],[1]FishGrade!$B:$B,0)),"-")</f>
        <v>-</v>
      </c>
      <c r="AC47" s="56" t="str">
        <f>IFERROR(INDEX([1]FishGrade!$I:$I,MATCH(표10[[#This Row],[등급'[4']]],[1]FishGrade!$B:$B,0)),"-")</f>
        <v>-</v>
      </c>
      <c r="AD47" s="56" t="str">
        <f>IFERROR(INDEX([1]FishGrade!$I:$I,MATCH(표10[[#This Row],[등급'[5']]],[1]FishGrade!$B:$B,0)),"-")</f>
        <v>-</v>
      </c>
      <c r="AE47" s="56">
        <f>IF([1]FishDiscoveryGroup!$I$8="-",0,[1]FishDiscoveryGroup!$I$8)</f>
        <v>0</v>
      </c>
      <c r="AF47" s="56">
        <f>IF([1]FishDiscoveryGroup!$I$8="-",0,[1]FishDiscoveryGroup!$L$8)</f>
        <v>0</v>
      </c>
      <c r="AG47" s="56">
        <f>IF([1]FishDiscoveryGroup!$I$8="-",0,[1]FishDiscoveryGroup!$O$8)</f>
        <v>0</v>
      </c>
      <c r="AH47" s="56">
        <f>IF([1]FishDiscoveryGroup!$I$8="-",0,[1]FishDiscoveryGroup!$R$8)</f>
        <v>0</v>
      </c>
      <c r="AI47" s="56">
        <f>IF([1]FishDiscoveryGroup!$I$8="-",0,[1]FishDiscoveryGroup!$U$8)</f>
        <v>0</v>
      </c>
      <c r="AJ47" s="56">
        <f>IF([1]FishDiscoveryGroup!$I$8="-",0,[1]FishDiscoveryGroup!$X$8)</f>
        <v>0</v>
      </c>
      <c r="AK47" s="56">
        <f>IF(표10[[#This Row],[배당'[0']]]="-",0,표10[[#This Row],[배당'[0']]])+표10[[#This Row],[PROB'[0']]]</f>
        <v>0</v>
      </c>
      <c r="AL47" s="56">
        <f>IF(표10[[#This Row],[배당'[1']]]="-",0,표10[[#This Row],[배당'[1']]])+표10[[#This Row],[PROB'[1']]]</f>
        <v>0</v>
      </c>
      <c r="AM47" s="56">
        <f>IF(표10[[#This Row],[배당'[2']]]="-",0,표10[[#This Row],[배당'[2']]])+표10[[#This Row],[PROB'[2']]]</f>
        <v>0</v>
      </c>
      <c r="AN47" s="56">
        <f>IF(표10[[#This Row],[배당'[3']]]="-",0,표10[[#This Row],[배당'[3']]])+표10[[#This Row],[PROB'[3']]]</f>
        <v>0</v>
      </c>
      <c r="AO47" s="56">
        <f>IF(표10[[#This Row],[배당'[4']]]="-",0,표10[[#This Row],[배당'[4']]])+표10[[#This Row],[PROB'[4']]]</f>
        <v>0</v>
      </c>
      <c r="AP47" s="56">
        <f>IF(표10[[#This Row],[배당'[5']]]="-",0,표10[[#This Row],[배당'[5']]])+표10[[#This Row],[PROB'[5']]]</f>
        <v>0</v>
      </c>
      <c r="AQ47" s="56">
        <f>SUM(표10[[#This Row],[최종배당'[0']]:[최종배당'[5']]])</f>
        <v>0</v>
      </c>
    </row>
    <row r="48" spans="2:43" x14ac:dyDescent="0.3">
      <c r="B48" s="56" t="str">
        <f>[1]FishOceanTile!B53</f>
        <v>동 지중해</v>
      </c>
      <c r="C48" s="56" t="str">
        <f>IFERROR(VLOOKUP(표7[[#This Row],[낚시 타일]],[3]!표1_67[[이름]:[선단 LV]],6,FALSE),"-")</f>
        <v>-</v>
      </c>
      <c r="D48" s="56" t="str">
        <f>IFERROR(VLOOKUP(표7[[#This Row],[낚시 타일]],[3]!표1_67[[이름]:[위도]],3,FALSE),"-")</f>
        <v>-</v>
      </c>
      <c r="E48" s="56" t="str">
        <f>IFERROR(VLOOKUP(표7[[#This Row],[낚시 타일]],[3]!표1_67[[이름]:[위도]],2,FALSE),"-")</f>
        <v>-</v>
      </c>
      <c r="F48" s="56"/>
      <c r="G48" s="56" t="str">
        <f>IFERROR(ROUNDDOWN(표10[[#This Row],[최종배당'[0']]]/표10[[#This Row],[분모]]*100,0)&amp;"%","-")</f>
        <v>-</v>
      </c>
      <c r="H48" s="56"/>
      <c r="I48" s="56" t="str">
        <f>IFERROR(ROUNDDOWN(표10[[#This Row],[최종배당'[1']]]/표10[[#This Row],[분모]]*100,0)&amp;"%","-")</f>
        <v>-</v>
      </c>
      <c r="J48" s="56"/>
      <c r="K48" s="56" t="str">
        <f>IFERROR(ROUNDDOWN(표10[[#This Row],[최종배당'[2']]]/표10[[#This Row],[분모]]*100,0)&amp;"%","-")</f>
        <v>-</v>
      </c>
      <c r="L48" s="56"/>
      <c r="M48" s="56" t="str">
        <f>IFERROR(ROUNDDOWN(표10[[#This Row],[최종배당'[3']]]/표10[[#This Row],[분모]]*100,0)&amp;"%","-")</f>
        <v>-</v>
      </c>
      <c r="N48" s="56"/>
      <c r="O48" s="56" t="str">
        <f>IFERROR(ROUNDDOWN(표10[[#This Row],[최종배당'[4']]]/표10[[#This Row],[분모]]*100,0)&amp;"%","-")</f>
        <v>-</v>
      </c>
      <c r="P48" s="56"/>
      <c r="Q48" s="56" t="str">
        <f>IFERROR(ROUNDDOWN(표10[[#This Row],[최종배당'[5']]]/표10[[#This Row],[분모]]*100,0)&amp;"%","-")</f>
        <v>-</v>
      </c>
      <c r="S48" s="56" t="str">
        <f>IFERROR(VLOOKUP(표7[발견물'[0']],표1[[명칭]:[등급]],4,FALSE),"-")&amp;"급"</f>
        <v>0급</v>
      </c>
      <c r="T48" s="56" t="str">
        <f>IFERROR(VLOOKUP(표7[발견물'[1']],표1[[명칭]:[등급]],4,FALSE),"-")&amp;"급"</f>
        <v>0급</v>
      </c>
      <c r="U48" s="56" t="str">
        <f>IFERROR(VLOOKUP(표7[발견물'[2']],표1[[명칭]:[등급]],4,FALSE),"-")&amp;"급"</f>
        <v>0급</v>
      </c>
      <c r="V48" s="56" t="str">
        <f>IFERROR(VLOOKUP(표7[발견물'[3']],표1[[명칭]:[등급]],4,FALSE),"-")&amp;"급"</f>
        <v>0급</v>
      </c>
      <c r="W48" s="56" t="str">
        <f>IFERROR(VLOOKUP(표7[발견물'[4']],표1[[명칭]:[등급]],4,FALSE),"-")&amp;"급"</f>
        <v>0급</v>
      </c>
      <c r="X48" s="56" t="str">
        <f>IFERROR(VLOOKUP(표7[발견물'[5']],표1[[명칭]:[등급]],4,FALSE),"-")&amp;"급"</f>
        <v>0급</v>
      </c>
      <c r="Y48" s="56" t="str">
        <f>IFERROR(INDEX([1]FishGrade!$I:$I,MATCH(표10[[#This Row],[등급'[0']]],[1]FishGrade!$B:$B,0)),"-")</f>
        <v>-</v>
      </c>
      <c r="Z48" s="56" t="str">
        <f>IFERROR(INDEX([1]FishGrade!$I:$I,MATCH(표10[[#This Row],[등급'[1']]],[1]FishGrade!$B:$B,0)),"-")</f>
        <v>-</v>
      </c>
      <c r="AA48" s="56" t="str">
        <f>IFERROR(INDEX([1]FishGrade!$I:$I,MATCH(표10[[#This Row],[등급'[2']]],[1]FishGrade!$B:$B,0)),"-")</f>
        <v>-</v>
      </c>
      <c r="AB48" s="56" t="str">
        <f>IFERROR(INDEX([1]FishGrade!$I:$I,MATCH(표10[[#This Row],[등급'[3']]],[1]FishGrade!$B:$B,0)),"-")</f>
        <v>-</v>
      </c>
      <c r="AC48" s="56" t="str">
        <f>IFERROR(INDEX([1]FishGrade!$I:$I,MATCH(표10[[#This Row],[등급'[4']]],[1]FishGrade!$B:$B,0)),"-")</f>
        <v>-</v>
      </c>
      <c r="AD48" s="56" t="str">
        <f>IFERROR(INDEX([1]FishGrade!$I:$I,MATCH(표10[[#This Row],[등급'[5']]],[1]FishGrade!$B:$B,0)),"-")</f>
        <v>-</v>
      </c>
      <c r="AE48" s="56">
        <f>IF([1]FishDiscoveryGroup!$I$8="-",0,[1]FishDiscoveryGroup!$I$8)</f>
        <v>0</v>
      </c>
      <c r="AF48" s="56">
        <f>IF([1]FishDiscoveryGroup!$I$8="-",0,[1]FishDiscoveryGroup!$L$8)</f>
        <v>0</v>
      </c>
      <c r="AG48" s="56">
        <f>IF([1]FishDiscoveryGroup!$I$8="-",0,[1]FishDiscoveryGroup!$O$8)</f>
        <v>0</v>
      </c>
      <c r="AH48" s="56">
        <f>IF([1]FishDiscoveryGroup!$I$8="-",0,[1]FishDiscoveryGroup!$R$8)</f>
        <v>0</v>
      </c>
      <c r="AI48" s="56">
        <f>IF([1]FishDiscoveryGroup!$I$8="-",0,[1]FishDiscoveryGroup!$U$8)</f>
        <v>0</v>
      </c>
      <c r="AJ48" s="56">
        <f>IF([1]FishDiscoveryGroup!$I$8="-",0,[1]FishDiscoveryGroup!$X$8)</f>
        <v>0</v>
      </c>
      <c r="AK48" s="56">
        <f>IF(표10[[#This Row],[배당'[0']]]="-",0,표10[[#This Row],[배당'[0']]])+표10[[#This Row],[PROB'[0']]]</f>
        <v>0</v>
      </c>
      <c r="AL48" s="56">
        <f>IF(표10[[#This Row],[배당'[1']]]="-",0,표10[[#This Row],[배당'[1']]])+표10[[#This Row],[PROB'[1']]]</f>
        <v>0</v>
      </c>
      <c r="AM48" s="56">
        <f>IF(표10[[#This Row],[배당'[2']]]="-",0,표10[[#This Row],[배당'[2']]])+표10[[#This Row],[PROB'[2']]]</f>
        <v>0</v>
      </c>
      <c r="AN48" s="56">
        <f>IF(표10[[#This Row],[배당'[3']]]="-",0,표10[[#This Row],[배당'[3']]])+표10[[#This Row],[PROB'[3']]]</f>
        <v>0</v>
      </c>
      <c r="AO48" s="56">
        <f>IF(표10[[#This Row],[배당'[4']]]="-",0,표10[[#This Row],[배당'[4']]])+표10[[#This Row],[PROB'[4']]]</f>
        <v>0</v>
      </c>
      <c r="AP48" s="56">
        <f>IF(표10[[#This Row],[배당'[5']]]="-",0,표10[[#This Row],[배당'[5']]])+표10[[#This Row],[PROB'[5']]]</f>
        <v>0</v>
      </c>
      <c r="AQ48" s="56">
        <f>SUM(표10[[#This Row],[최종배당'[0']]:[최종배당'[5']]])</f>
        <v>0</v>
      </c>
    </row>
    <row r="49" spans="2:43" x14ac:dyDescent="0.3">
      <c r="B49" s="56" t="str">
        <f>[1]FishOceanTile!B54</f>
        <v>흑해</v>
      </c>
      <c r="C49" s="56" t="str">
        <f>IFERROR(VLOOKUP(표7[[#This Row],[낚시 타일]],[3]!표1_67[[이름]:[선단 LV]],6,FALSE),"-")</f>
        <v>-</v>
      </c>
      <c r="D49" s="56" t="str">
        <f>IFERROR(VLOOKUP(표7[[#This Row],[낚시 타일]],[3]!표1_67[[이름]:[위도]],3,FALSE),"-")</f>
        <v>-</v>
      </c>
      <c r="E49" s="56" t="str">
        <f>IFERROR(VLOOKUP(표7[[#This Row],[낚시 타일]],[3]!표1_67[[이름]:[위도]],2,FALSE),"-")</f>
        <v>-</v>
      </c>
      <c r="F49" s="56"/>
      <c r="G49" s="56" t="str">
        <f>IFERROR(ROUNDDOWN(표10[[#This Row],[최종배당'[0']]]/표10[[#This Row],[분모]]*100,0)&amp;"%","-")</f>
        <v>-</v>
      </c>
      <c r="H49" s="56"/>
      <c r="I49" s="56" t="str">
        <f>IFERROR(ROUNDDOWN(표10[[#This Row],[최종배당'[1']]]/표10[[#This Row],[분모]]*100,0)&amp;"%","-")</f>
        <v>-</v>
      </c>
      <c r="J49" s="56"/>
      <c r="K49" s="56" t="str">
        <f>IFERROR(ROUNDDOWN(표10[[#This Row],[최종배당'[2']]]/표10[[#This Row],[분모]]*100,0)&amp;"%","-")</f>
        <v>-</v>
      </c>
      <c r="L49" s="56"/>
      <c r="M49" s="56" t="str">
        <f>IFERROR(ROUNDDOWN(표10[[#This Row],[최종배당'[3']]]/표10[[#This Row],[분모]]*100,0)&amp;"%","-")</f>
        <v>-</v>
      </c>
      <c r="N49" s="56"/>
      <c r="O49" s="56" t="str">
        <f>IFERROR(ROUNDDOWN(표10[[#This Row],[최종배당'[4']]]/표10[[#This Row],[분모]]*100,0)&amp;"%","-")</f>
        <v>-</v>
      </c>
      <c r="P49" s="56"/>
      <c r="Q49" s="56" t="str">
        <f>IFERROR(ROUNDDOWN(표10[[#This Row],[최종배당'[5']]]/표10[[#This Row],[분모]]*100,0)&amp;"%","-")</f>
        <v>-</v>
      </c>
      <c r="S49" s="56" t="str">
        <f>IFERROR(VLOOKUP(표7[발견물'[0']],표1[[명칭]:[등급]],4,FALSE),"-")&amp;"급"</f>
        <v>0급</v>
      </c>
      <c r="T49" s="56" t="str">
        <f>IFERROR(VLOOKUP(표7[발견물'[1']],표1[[명칭]:[등급]],4,FALSE),"-")&amp;"급"</f>
        <v>0급</v>
      </c>
      <c r="U49" s="56" t="str">
        <f>IFERROR(VLOOKUP(표7[발견물'[2']],표1[[명칭]:[등급]],4,FALSE),"-")&amp;"급"</f>
        <v>0급</v>
      </c>
      <c r="V49" s="56" t="str">
        <f>IFERROR(VLOOKUP(표7[발견물'[3']],표1[[명칭]:[등급]],4,FALSE),"-")&amp;"급"</f>
        <v>0급</v>
      </c>
      <c r="W49" s="56" t="str">
        <f>IFERROR(VLOOKUP(표7[발견물'[4']],표1[[명칭]:[등급]],4,FALSE),"-")&amp;"급"</f>
        <v>0급</v>
      </c>
      <c r="X49" s="56" t="str">
        <f>IFERROR(VLOOKUP(표7[발견물'[5']],표1[[명칭]:[등급]],4,FALSE),"-")&amp;"급"</f>
        <v>0급</v>
      </c>
      <c r="Y49" s="56" t="str">
        <f>IFERROR(INDEX([1]FishGrade!$I:$I,MATCH(표10[[#This Row],[등급'[0']]],[1]FishGrade!$B:$B,0)),"-")</f>
        <v>-</v>
      </c>
      <c r="Z49" s="56" t="str">
        <f>IFERROR(INDEX([1]FishGrade!$I:$I,MATCH(표10[[#This Row],[등급'[1']]],[1]FishGrade!$B:$B,0)),"-")</f>
        <v>-</v>
      </c>
      <c r="AA49" s="56" t="str">
        <f>IFERROR(INDEX([1]FishGrade!$I:$I,MATCH(표10[[#This Row],[등급'[2']]],[1]FishGrade!$B:$B,0)),"-")</f>
        <v>-</v>
      </c>
      <c r="AB49" s="56" t="str">
        <f>IFERROR(INDEX([1]FishGrade!$I:$I,MATCH(표10[[#This Row],[등급'[3']]],[1]FishGrade!$B:$B,0)),"-")</f>
        <v>-</v>
      </c>
      <c r="AC49" s="56" t="str">
        <f>IFERROR(INDEX([1]FishGrade!$I:$I,MATCH(표10[[#This Row],[등급'[4']]],[1]FishGrade!$B:$B,0)),"-")</f>
        <v>-</v>
      </c>
      <c r="AD49" s="56" t="str">
        <f>IFERROR(INDEX([1]FishGrade!$I:$I,MATCH(표10[[#This Row],[등급'[5']]],[1]FishGrade!$B:$B,0)),"-")</f>
        <v>-</v>
      </c>
      <c r="AE49" s="56">
        <f>IF([1]FishDiscoveryGroup!$I$8="-",0,[1]FishDiscoveryGroup!$I$8)</f>
        <v>0</v>
      </c>
      <c r="AF49" s="56">
        <f>IF([1]FishDiscoveryGroup!$I$8="-",0,[1]FishDiscoveryGroup!$L$8)</f>
        <v>0</v>
      </c>
      <c r="AG49" s="56">
        <f>IF([1]FishDiscoveryGroup!$I$8="-",0,[1]FishDiscoveryGroup!$O$8)</f>
        <v>0</v>
      </c>
      <c r="AH49" s="56">
        <f>IF([1]FishDiscoveryGroup!$I$8="-",0,[1]FishDiscoveryGroup!$R$8)</f>
        <v>0</v>
      </c>
      <c r="AI49" s="56">
        <f>IF([1]FishDiscoveryGroup!$I$8="-",0,[1]FishDiscoveryGroup!$U$8)</f>
        <v>0</v>
      </c>
      <c r="AJ49" s="56">
        <f>IF([1]FishDiscoveryGroup!$I$8="-",0,[1]FishDiscoveryGroup!$X$8)</f>
        <v>0</v>
      </c>
      <c r="AK49" s="56">
        <f>IF(표10[[#This Row],[배당'[0']]]="-",0,표10[[#This Row],[배당'[0']]])+표10[[#This Row],[PROB'[0']]]</f>
        <v>0</v>
      </c>
      <c r="AL49" s="56">
        <f>IF(표10[[#This Row],[배당'[1']]]="-",0,표10[[#This Row],[배당'[1']]])+표10[[#This Row],[PROB'[1']]]</f>
        <v>0</v>
      </c>
      <c r="AM49" s="56">
        <f>IF(표10[[#This Row],[배당'[2']]]="-",0,표10[[#This Row],[배당'[2']]])+표10[[#This Row],[PROB'[2']]]</f>
        <v>0</v>
      </c>
      <c r="AN49" s="56">
        <f>IF(표10[[#This Row],[배당'[3']]]="-",0,표10[[#This Row],[배당'[3']]])+표10[[#This Row],[PROB'[3']]]</f>
        <v>0</v>
      </c>
      <c r="AO49" s="56">
        <f>IF(표10[[#This Row],[배당'[4']]]="-",0,표10[[#This Row],[배당'[4']]])+표10[[#This Row],[PROB'[4']]]</f>
        <v>0</v>
      </c>
      <c r="AP49" s="56">
        <f>IF(표10[[#This Row],[배당'[5']]]="-",0,표10[[#This Row],[배당'[5']]])+표10[[#This Row],[PROB'[5']]]</f>
        <v>0</v>
      </c>
      <c r="AQ49" s="56">
        <f>SUM(표10[[#This Row],[최종배당'[0']]:[최종배당'[5']]])</f>
        <v>0</v>
      </c>
    </row>
    <row r="50" spans="2:43" x14ac:dyDescent="0.3">
      <c r="B50" s="56" t="str">
        <f>[1]FishOceanTile!B55</f>
        <v>곡물 해안</v>
      </c>
      <c r="C50" s="56" t="str">
        <f>IFERROR(VLOOKUP(표7[[#This Row],[낚시 타일]],[3]!표1_67[[이름]:[선단 LV]],6,FALSE),"-")</f>
        <v>-</v>
      </c>
      <c r="D50" s="56" t="str">
        <f>IFERROR(VLOOKUP(표7[[#This Row],[낚시 타일]],[3]!표1_67[[이름]:[위도]],3,FALSE),"-")</f>
        <v>-</v>
      </c>
      <c r="E50" s="56" t="str">
        <f>IFERROR(VLOOKUP(표7[[#This Row],[낚시 타일]],[3]!표1_67[[이름]:[위도]],2,FALSE),"-")</f>
        <v>-</v>
      </c>
      <c r="F50" s="56"/>
      <c r="G50" s="56" t="str">
        <f>IFERROR(ROUNDDOWN(표10[[#This Row],[최종배당'[0']]]/표10[[#This Row],[분모]]*100,0)&amp;"%","-")</f>
        <v>-</v>
      </c>
      <c r="H50" s="56"/>
      <c r="I50" s="56" t="str">
        <f>IFERROR(ROUNDDOWN(표10[[#This Row],[최종배당'[1']]]/표10[[#This Row],[분모]]*100,0)&amp;"%","-")</f>
        <v>-</v>
      </c>
      <c r="J50" s="56"/>
      <c r="K50" s="56" t="str">
        <f>IFERROR(ROUNDDOWN(표10[[#This Row],[최종배당'[2']]]/표10[[#This Row],[분모]]*100,0)&amp;"%","-")</f>
        <v>-</v>
      </c>
      <c r="L50" s="56"/>
      <c r="M50" s="56" t="str">
        <f>IFERROR(ROUNDDOWN(표10[[#This Row],[최종배당'[3']]]/표10[[#This Row],[분모]]*100,0)&amp;"%","-")</f>
        <v>-</v>
      </c>
      <c r="N50" s="56"/>
      <c r="O50" s="56" t="str">
        <f>IFERROR(ROUNDDOWN(표10[[#This Row],[최종배당'[4']]]/표10[[#This Row],[분모]]*100,0)&amp;"%","-")</f>
        <v>-</v>
      </c>
      <c r="P50" s="56"/>
      <c r="Q50" s="56" t="str">
        <f>IFERROR(ROUNDDOWN(표10[[#This Row],[최종배당'[5']]]/표10[[#This Row],[분모]]*100,0)&amp;"%","-")</f>
        <v>-</v>
      </c>
      <c r="S50" s="56" t="str">
        <f>IFERROR(VLOOKUP(표7[발견물'[0']],표1[[명칭]:[등급]],4,FALSE),"-")&amp;"급"</f>
        <v>0급</v>
      </c>
      <c r="T50" s="56" t="str">
        <f>IFERROR(VLOOKUP(표7[발견물'[1']],표1[[명칭]:[등급]],4,FALSE),"-")&amp;"급"</f>
        <v>0급</v>
      </c>
      <c r="U50" s="56" t="str">
        <f>IFERROR(VLOOKUP(표7[발견물'[2']],표1[[명칭]:[등급]],4,FALSE),"-")&amp;"급"</f>
        <v>0급</v>
      </c>
      <c r="V50" s="56" t="str">
        <f>IFERROR(VLOOKUP(표7[발견물'[3']],표1[[명칭]:[등급]],4,FALSE),"-")&amp;"급"</f>
        <v>0급</v>
      </c>
      <c r="W50" s="56" t="str">
        <f>IFERROR(VLOOKUP(표7[발견물'[4']],표1[[명칭]:[등급]],4,FALSE),"-")&amp;"급"</f>
        <v>0급</v>
      </c>
      <c r="X50" s="56" t="str">
        <f>IFERROR(VLOOKUP(표7[발견물'[5']],표1[[명칭]:[등급]],4,FALSE),"-")&amp;"급"</f>
        <v>0급</v>
      </c>
      <c r="Y50" s="56" t="str">
        <f>IFERROR(INDEX([1]FishGrade!$I:$I,MATCH(표10[[#This Row],[등급'[0']]],[1]FishGrade!$B:$B,0)),"-")</f>
        <v>-</v>
      </c>
      <c r="Z50" s="56" t="str">
        <f>IFERROR(INDEX([1]FishGrade!$I:$I,MATCH(표10[[#This Row],[등급'[1']]],[1]FishGrade!$B:$B,0)),"-")</f>
        <v>-</v>
      </c>
      <c r="AA50" s="56" t="str">
        <f>IFERROR(INDEX([1]FishGrade!$I:$I,MATCH(표10[[#This Row],[등급'[2']]],[1]FishGrade!$B:$B,0)),"-")</f>
        <v>-</v>
      </c>
      <c r="AB50" s="56" t="str">
        <f>IFERROR(INDEX([1]FishGrade!$I:$I,MATCH(표10[[#This Row],[등급'[3']]],[1]FishGrade!$B:$B,0)),"-")</f>
        <v>-</v>
      </c>
      <c r="AC50" s="56" t="str">
        <f>IFERROR(INDEX([1]FishGrade!$I:$I,MATCH(표10[[#This Row],[등급'[4']]],[1]FishGrade!$B:$B,0)),"-")</f>
        <v>-</v>
      </c>
      <c r="AD50" s="56" t="str">
        <f>IFERROR(INDEX([1]FishGrade!$I:$I,MATCH(표10[[#This Row],[등급'[5']]],[1]FishGrade!$B:$B,0)),"-")</f>
        <v>-</v>
      </c>
      <c r="AE50" s="56">
        <f>IF([1]FishDiscoveryGroup!$I$8="-",0,[1]FishDiscoveryGroup!$I$8)</f>
        <v>0</v>
      </c>
      <c r="AF50" s="56">
        <f>IF([1]FishDiscoveryGroup!$I$8="-",0,[1]FishDiscoveryGroup!$L$8)</f>
        <v>0</v>
      </c>
      <c r="AG50" s="56">
        <f>IF([1]FishDiscoveryGroup!$I$8="-",0,[1]FishDiscoveryGroup!$O$8)</f>
        <v>0</v>
      </c>
      <c r="AH50" s="56">
        <f>IF([1]FishDiscoveryGroup!$I$8="-",0,[1]FishDiscoveryGroup!$R$8)</f>
        <v>0</v>
      </c>
      <c r="AI50" s="56">
        <f>IF([1]FishDiscoveryGroup!$I$8="-",0,[1]FishDiscoveryGroup!$U$8)</f>
        <v>0</v>
      </c>
      <c r="AJ50" s="56">
        <f>IF([1]FishDiscoveryGroup!$I$8="-",0,[1]FishDiscoveryGroup!$X$8)</f>
        <v>0</v>
      </c>
      <c r="AK50" s="56">
        <f>IF(표10[[#This Row],[배당'[0']]]="-",0,표10[[#This Row],[배당'[0']]])+표10[[#This Row],[PROB'[0']]]</f>
        <v>0</v>
      </c>
      <c r="AL50" s="56">
        <f>IF(표10[[#This Row],[배당'[1']]]="-",0,표10[[#This Row],[배당'[1']]])+표10[[#This Row],[PROB'[1']]]</f>
        <v>0</v>
      </c>
      <c r="AM50" s="56">
        <f>IF(표10[[#This Row],[배당'[2']]]="-",0,표10[[#This Row],[배당'[2']]])+표10[[#This Row],[PROB'[2']]]</f>
        <v>0</v>
      </c>
      <c r="AN50" s="56">
        <f>IF(표10[[#This Row],[배당'[3']]]="-",0,표10[[#This Row],[배당'[3']]])+표10[[#This Row],[PROB'[3']]]</f>
        <v>0</v>
      </c>
      <c r="AO50" s="56">
        <f>IF(표10[[#This Row],[배당'[4']]]="-",0,표10[[#This Row],[배당'[4']]])+표10[[#This Row],[PROB'[4']]]</f>
        <v>0</v>
      </c>
      <c r="AP50" s="56">
        <f>IF(표10[[#This Row],[배당'[5']]]="-",0,표10[[#This Row],[배당'[5']]])+표10[[#This Row],[PROB'[5']]]</f>
        <v>0</v>
      </c>
      <c r="AQ50" s="56">
        <f>SUM(표10[[#This Row],[최종배당'[0']]:[최종배당'[5']]])</f>
        <v>0</v>
      </c>
    </row>
    <row r="51" spans="2:43" x14ac:dyDescent="0.3">
      <c r="B51" s="56" t="str">
        <f>[1]FishOceanTile!B56</f>
        <v>황금 해안</v>
      </c>
      <c r="C51" s="56" t="str">
        <f>IFERROR(VLOOKUP(표7[[#This Row],[낚시 타일]],[3]!표1_67[[이름]:[선단 LV]],6,FALSE),"-")</f>
        <v>-</v>
      </c>
      <c r="D51" s="56" t="str">
        <f>IFERROR(VLOOKUP(표7[[#This Row],[낚시 타일]],[3]!표1_67[[이름]:[위도]],3,FALSE),"-")</f>
        <v>-</v>
      </c>
      <c r="E51" s="56" t="str">
        <f>IFERROR(VLOOKUP(표7[[#This Row],[낚시 타일]],[3]!표1_67[[이름]:[위도]],2,FALSE),"-")</f>
        <v>-</v>
      </c>
      <c r="F51" s="56"/>
      <c r="G51" s="56" t="str">
        <f>IFERROR(ROUNDDOWN(표10[[#This Row],[최종배당'[0']]]/표10[[#This Row],[분모]]*100,0)&amp;"%","-")</f>
        <v>-</v>
      </c>
      <c r="H51" s="56"/>
      <c r="I51" s="56" t="str">
        <f>IFERROR(ROUNDDOWN(표10[[#This Row],[최종배당'[1']]]/표10[[#This Row],[분모]]*100,0)&amp;"%","-")</f>
        <v>-</v>
      </c>
      <c r="J51" s="56"/>
      <c r="K51" s="56" t="str">
        <f>IFERROR(ROUNDDOWN(표10[[#This Row],[최종배당'[2']]]/표10[[#This Row],[분모]]*100,0)&amp;"%","-")</f>
        <v>-</v>
      </c>
      <c r="L51" s="56"/>
      <c r="M51" s="56" t="str">
        <f>IFERROR(ROUNDDOWN(표10[[#This Row],[최종배당'[3']]]/표10[[#This Row],[분모]]*100,0)&amp;"%","-")</f>
        <v>-</v>
      </c>
      <c r="N51" s="56"/>
      <c r="O51" s="56" t="str">
        <f>IFERROR(ROUNDDOWN(표10[[#This Row],[최종배당'[4']]]/표10[[#This Row],[분모]]*100,0)&amp;"%","-")</f>
        <v>-</v>
      </c>
      <c r="P51" s="56"/>
      <c r="Q51" s="56" t="str">
        <f>IFERROR(ROUNDDOWN(표10[[#This Row],[최종배당'[5']]]/표10[[#This Row],[분모]]*100,0)&amp;"%","-")</f>
        <v>-</v>
      </c>
      <c r="S51" s="56" t="str">
        <f>IFERROR(VLOOKUP(표7[발견물'[0']],표1[[명칭]:[등급]],4,FALSE),"-")&amp;"급"</f>
        <v>0급</v>
      </c>
      <c r="T51" s="56" t="str">
        <f>IFERROR(VLOOKUP(표7[발견물'[1']],표1[[명칭]:[등급]],4,FALSE),"-")&amp;"급"</f>
        <v>0급</v>
      </c>
      <c r="U51" s="56" t="str">
        <f>IFERROR(VLOOKUP(표7[발견물'[2']],표1[[명칭]:[등급]],4,FALSE),"-")&amp;"급"</f>
        <v>0급</v>
      </c>
      <c r="V51" s="56" t="str">
        <f>IFERROR(VLOOKUP(표7[발견물'[3']],표1[[명칭]:[등급]],4,FALSE),"-")&amp;"급"</f>
        <v>0급</v>
      </c>
      <c r="W51" s="56" t="str">
        <f>IFERROR(VLOOKUP(표7[발견물'[4']],표1[[명칭]:[등급]],4,FALSE),"-")&amp;"급"</f>
        <v>0급</v>
      </c>
      <c r="X51" s="56" t="str">
        <f>IFERROR(VLOOKUP(표7[발견물'[5']],표1[[명칭]:[등급]],4,FALSE),"-")&amp;"급"</f>
        <v>0급</v>
      </c>
      <c r="Y51" s="56" t="str">
        <f>IFERROR(INDEX([1]FishGrade!$I:$I,MATCH(표10[[#This Row],[등급'[0']]],[1]FishGrade!$B:$B,0)),"-")</f>
        <v>-</v>
      </c>
      <c r="Z51" s="56" t="str">
        <f>IFERROR(INDEX([1]FishGrade!$I:$I,MATCH(표10[[#This Row],[등급'[1']]],[1]FishGrade!$B:$B,0)),"-")</f>
        <v>-</v>
      </c>
      <c r="AA51" s="56" t="str">
        <f>IFERROR(INDEX([1]FishGrade!$I:$I,MATCH(표10[[#This Row],[등급'[2']]],[1]FishGrade!$B:$B,0)),"-")</f>
        <v>-</v>
      </c>
      <c r="AB51" s="56" t="str">
        <f>IFERROR(INDEX([1]FishGrade!$I:$I,MATCH(표10[[#This Row],[등급'[3']]],[1]FishGrade!$B:$B,0)),"-")</f>
        <v>-</v>
      </c>
      <c r="AC51" s="56" t="str">
        <f>IFERROR(INDEX([1]FishGrade!$I:$I,MATCH(표10[[#This Row],[등급'[4']]],[1]FishGrade!$B:$B,0)),"-")</f>
        <v>-</v>
      </c>
      <c r="AD51" s="56" t="str">
        <f>IFERROR(INDEX([1]FishGrade!$I:$I,MATCH(표10[[#This Row],[등급'[5']]],[1]FishGrade!$B:$B,0)),"-")</f>
        <v>-</v>
      </c>
      <c r="AE51" s="56">
        <f>IF([1]FishDiscoveryGroup!$I$8="-",0,[1]FishDiscoveryGroup!$I$8)</f>
        <v>0</v>
      </c>
      <c r="AF51" s="56">
        <f>IF([1]FishDiscoveryGroup!$I$8="-",0,[1]FishDiscoveryGroup!$L$8)</f>
        <v>0</v>
      </c>
      <c r="AG51" s="56">
        <f>IF([1]FishDiscoveryGroup!$I$8="-",0,[1]FishDiscoveryGroup!$O$8)</f>
        <v>0</v>
      </c>
      <c r="AH51" s="56">
        <f>IF([1]FishDiscoveryGroup!$I$8="-",0,[1]FishDiscoveryGroup!$R$8)</f>
        <v>0</v>
      </c>
      <c r="AI51" s="56">
        <f>IF([1]FishDiscoveryGroup!$I$8="-",0,[1]FishDiscoveryGroup!$U$8)</f>
        <v>0</v>
      </c>
      <c r="AJ51" s="56">
        <f>IF([1]FishDiscoveryGroup!$I$8="-",0,[1]FishDiscoveryGroup!$X$8)</f>
        <v>0</v>
      </c>
      <c r="AK51" s="56">
        <f>IF(표10[[#This Row],[배당'[0']]]="-",0,표10[[#This Row],[배당'[0']]])+표10[[#This Row],[PROB'[0']]]</f>
        <v>0</v>
      </c>
      <c r="AL51" s="56">
        <f>IF(표10[[#This Row],[배당'[1']]]="-",0,표10[[#This Row],[배당'[1']]])+표10[[#This Row],[PROB'[1']]]</f>
        <v>0</v>
      </c>
      <c r="AM51" s="56">
        <f>IF(표10[[#This Row],[배당'[2']]]="-",0,표10[[#This Row],[배당'[2']]])+표10[[#This Row],[PROB'[2']]]</f>
        <v>0</v>
      </c>
      <c r="AN51" s="56">
        <f>IF(표10[[#This Row],[배당'[3']]]="-",0,표10[[#This Row],[배당'[3']]])+표10[[#This Row],[PROB'[3']]]</f>
        <v>0</v>
      </c>
      <c r="AO51" s="56">
        <f>IF(표10[[#This Row],[배당'[4']]]="-",0,표10[[#This Row],[배당'[4']]])+표10[[#This Row],[PROB'[4']]]</f>
        <v>0</v>
      </c>
      <c r="AP51" s="56">
        <f>IF(표10[[#This Row],[배당'[5']]]="-",0,표10[[#This Row],[배당'[5']]])+표10[[#This Row],[PROB'[5']]]</f>
        <v>0</v>
      </c>
      <c r="AQ51" s="56">
        <f>SUM(표10[[#This Row],[최종배당'[0']]:[최종배당'[5']]])</f>
        <v>0</v>
      </c>
    </row>
    <row r="52" spans="2:43" x14ac:dyDescent="0.3">
      <c r="B52" s="56" t="str">
        <f>[1]FishOceanTile!B57</f>
        <v>나미비아 앞바다</v>
      </c>
      <c r="C52" s="56" t="str">
        <f>IFERROR(VLOOKUP(표7[[#This Row],[낚시 타일]],[3]!표1_67[[이름]:[선단 LV]],6,FALSE),"-")</f>
        <v>-</v>
      </c>
      <c r="D52" s="56" t="str">
        <f>IFERROR(VLOOKUP(표7[[#This Row],[낚시 타일]],[3]!표1_67[[이름]:[위도]],3,FALSE),"-")</f>
        <v>-</v>
      </c>
      <c r="E52" s="56" t="str">
        <f>IFERROR(VLOOKUP(표7[[#This Row],[낚시 타일]],[3]!표1_67[[이름]:[위도]],2,FALSE),"-")</f>
        <v>-</v>
      </c>
      <c r="F52" s="56"/>
      <c r="G52" s="56" t="str">
        <f>IFERROR(ROUNDDOWN(표10[[#This Row],[최종배당'[0']]]/표10[[#This Row],[분모]]*100,0)&amp;"%","-")</f>
        <v>-</v>
      </c>
      <c r="H52" s="56"/>
      <c r="I52" s="56" t="str">
        <f>IFERROR(ROUNDDOWN(표10[[#This Row],[최종배당'[1']]]/표10[[#This Row],[분모]]*100,0)&amp;"%","-")</f>
        <v>-</v>
      </c>
      <c r="J52" s="56"/>
      <c r="K52" s="56" t="str">
        <f>IFERROR(ROUNDDOWN(표10[[#This Row],[최종배당'[2']]]/표10[[#This Row],[분모]]*100,0)&amp;"%","-")</f>
        <v>-</v>
      </c>
      <c r="L52" s="56"/>
      <c r="M52" s="56" t="str">
        <f>IFERROR(ROUNDDOWN(표10[[#This Row],[최종배당'[3']]]/표10[[#This Row],[분모]]*100,0)&amp;"%","-")</f>
        <v>-</v>
      </c>
      <c r="N52" s="56"/>
      <c r="O52" s="56" t="str">
        <f>IFERROR(ROUNDDOWN(표10[[#This Row],[최종배당'[4']]]/표10[[#This Row],[분모]]*100,0)&amp;"%","-")</f>
        <v>-</v>
      </c>
      <c r="P52" s="56"/>
      <c r="Q52" s="56" t="str">
        <f>IFERROR(ROUNDDOWN(표10[[#This Row],[최종배당'[5']]]/표10[[#This Row],[분모]]*100,0)&amp;"%","-")</f>
        <v>-</v>
      </c>
      <c r="S52" s="56" t="str">
        <f>IFERROR(VLOOKUP(표7[발견물'[0']],표1[[명칭]:[등급]],4,FALSE),"-")&amp;"급"</f>
        <v>0급</v>
      </c>
      <c r="T52" s="56" t="str">
        <f>IFERROR(VLOOKUP(표7[발견물'[1']],표1[[명칭]:[등급]],4,FALSE),"-")&amp;"급"</f>
        <v>0급</v>
      </c>
      <c r="U52" s="56" t="str">
        <f>IFERROR(VLOOKUP(표7[발견물'[2']],표1[[명칭]:[등급]],4,FALSE),"-")&amp;"급"</f>
        <v>0급</v>
      </c>
      <c r="V52" s="56" t="str">
        <f>IFERROR(VLOOKUP(표7[발견물'[3']],표1[[명칭]:[등급]],4,FALSE),"-")&amp;"급"</f>
        <v>0급</v>
      </c>
      <c r="W52" s="56" t="str">
        <f>IFERROR(VLOOKUP(표7[발견물'[4']],표1[[명칭]:[등급]],4,FALSE),"-")&amp;"급"</f>
        <v>0급</v>
      </c>
      <c r="X52" s="56" t="str">
        <f>IFERROR(VLOOKUP(표7[발견물'[5']],표1[[명칭]:[등급]],4,FALSE),"-")&amp;"급"</f>
        <v>0급</v>
      </c>
      <c r="Y52" s="56" t="str">
        <f>IFERROR(INDEX([1]FishGrade!$I:$I,MATCH(표10[[#This Row],[등급'[0']]],[1]FishGrade!$B:$B,0)),"-")</f>
        <v>-</v>
      </c>
      <c r="Z52" s="56" t="str">
        <f>IFERROR(INDEX([1]FishGrade!$I:$I,MATCH(표10[[#This Row],[등급'[1']]],[1]FishGrade!$B:$B,0)),"-")</f>
        <v>-</v>
      </c>
      <c r="AA52" s="56" t="str">
        <f>IFERROR(INDEX([1]FishGrade!$I:$I,MATCH(표10[[#This Row],[등급'[2']]],[1]FishGrade!$B:$B,0)),"-")</f>
        <v>-</v>
      </c>
      <c r="AB52" s="56" t="str">
        <f>IFERROR(INDEX([1]FishGrade!$I:$I,MATCH(표10[[#This Row],[등급'[3']]],[1]FishGrade!$B:$B,0)),"-")</f>
        <v>-</v>
      </c>
      <c r="AC52" s="56" t="str">
        <f>IFERROR(INDEX([1]FishGrade!$I:$I,MATCH(표10[[#This Row],[등급'[4']]],[1]FishGrade!$B:$B,0)),"-")</f>
        <v>-</v>
      </c>
      <c r="AD52" s="56" t="str">
        <f>IFERROR(INDEX([1]FishGrade!$I:$I,MATCH(표10[[#This Row],[등급'[5']]],[1]FishGrade!$B:$B,0)),"-")</f>
        <v>-</v>
      </c>
      <c r="AE52" s="56">
        <f>IF([1]FishDiscoveryGroup!$I$8="-",0,[1]FishDiscoveryGroup!$I$8)</f>
        <v>0</v>
      </c>
      <c r="AF52" s="56">
        <f>IF([1]FishDiscoveryGroup!$I$8="-",0,[1]FishDiscoveryGroup!$L$8)</f>
        <v>0</v>
      </c>
      <c r="AG52" s="56">
        <f>IF([1]FishDiscoveryGroup!$I$8="-",0,[1]FishDiscoveryGroup!$O$8)</f>
        <v>0</v>
      </c>
      <c r="AH52" s="56">
        <f>IF([1]FishDiscoveryGroup!$I$8="-",0,[1]FishDiscoveryGroup!$R$8)</f>
        <v>0</v>
      </c>
      <c r="AI52" s="56">
        <f>IF([1]FishDiscoveryGroup!$I$8="-",0,[1]FishDiscoveryGroup!$U$8)</f>
        <v>0</v>
      </c>
      <c r="AJ52" s="56">
        <f>IF([1]FishDiscoveryGroup!$I$8="-",0,[1]FishDiscoveryGroup!$X$8)</f>
        <v>0</v>
      </c>
      <c r="AK52" s="56">
        <f>IF(표10[[#This Row],[배당'[0']]]="-",0,표10[[#This Row],[배당'[0']]])+표10[[#This Row],[PROB'[0']]]</f>
        <v>0</v>
      </c>
      <c r="AL52" s="56">
        <f>IF(표10[[#This Row],[배당'[1']]]="-",0,표10[[#This Row],[배당'[1']]])+표10[[#This Row],[PROB'[1']]]</f>
        <v>0</v>
      </c>
      <c r="AM52" s="56">
        <f>IF(표10[[#This Row],[배당'[2']]]="-",0,표10[[#This Row],[배당'[2']]])+표10[[#This Row],[PROB'[2']]]</f>
        <v>0</v>
      </c>
      <c r="AN52" s="56">
        <f>IF(표10[[#This Row],[배당'[3']]]="-",0,표10[[#This Row],[배당'[3']]])+표10[[#This Row],[PROB'[3']]]</f>
        <v>0</v>
      </c>
      <c r="AO52" s="56">
        <f>IF(표10[[#This Row],[배당'[4']]]="-",0,표10[[#This Row],[배당'[4']]])+표10[[#This Row],[PROB'[4']]]</f>
        <v>0</v>
      </c>
      <c r="AP52" s="56">
        <f>IF(표10[[#This Row],[배당'[5']]]="-",0,표10[[#This Row],[배당'[5']]])+표10[[#This Row],[PROB'[5']]]</f>
        <v>0</v>
      </c>
      <c r="AQ52" s="56">
        <f>SUM(표10[[#This Row],[최종배당'[0']]:[최종배당'[5']]])</f>
        <v>0</v>
      </c>
    </row>
    <row r="53" spans="2:43" x14ac:dyDescent="0.3">
      <c r="B53" s="56" t="str">
        <f>[1]FishOceanTile!B58</f>
        <v>희망봉 앞바다</v>
      </c>
      <c r="C53" s="56" t="str">
        <f>IFERROR(VLOOKUP(표7[[#This Row],[낚시 타일]],[3]!표1_67[[이름]:[선단 LV]],6,FALSE),"-")</f>
        <v>-</v>
      </c>
      <c r="D53" s="56" t="str">
        <f>IFERROR(VLOOKUP(표7[[#This Row],[낚시 타일]],[3]!표1_67[[이름]:[위도]],3,FALSE),"-")</f>
        <v>-</v>
      </c>
      <c r="E53" s="56" t="str">
        <f>IFERROR(VLOOKUP(표7[[#This Row],[낚시 타일]],[3]!표1_67[[이름]:[위도]],2,FALSE),"-")</f>
        <v>-</v>
      </c>
      <c r="F53" s="56"/>
      <c r="G53" s="56" t="str">
        <f>IFERROR(ROUNDDOWN(표10[[#This Row],[최종배당'[0']]]/표10[[#This Row],[분모]]*100,0)&amp;"%","-")</f>
        <v>-</v>
      </c>
      <c r="H53" s="56"/>
      <c r="I53" s="56" t="str">
        <f>IFERROR(ROUNDDOWN(표10[[#This Row],[최종배당'[1']]]/표10[[#This Row],[분모]]*100,0)&amp;"%","-")</f>
        <v>-</v>
      </c>
      <c r="J53" s="56"/>
      <c r="K53" s="56" t="str">
        <f>IFERROR(ROUNDDOWN(표10[[#This Row],[최종배당'[2']]]/표10[[#This Row],[분모]]*100,0)&amp;"%","-")</f>
        <v>-</v>
      </c>
      <c r="L53" s="56"/>
      <c r="M53" s="56" t="str">
        <f>IFERROR(ROUNDDOWN(표10[[#This Row],[최종배당'[3']]]/표10[[#This Row],[분모]]*100,0)&amp;"%","-")</f>
        <v>-</v>
      </c>
      <c r="N53" s="56"/>
      <c r="O53" s="56" t="str">
        <f>IFERROR(ROUNDDOWN(표10[[#This Row],[최종배당'[4']]]/표10[[#This Row],[분모]]*100,0)&amp;"%","-")</f>
        <v>-</v>
      </c>
      <c r="P53" s="56"/>
      <c r="Q53" s="56" t="str">
        <f>IFERROR(ROUNDDOWN(표10[[#This Row],[최종배당'[5']]]/표10[[#This Row],[분모]]*100,0)&amp;"%","-")</f>
        <v>-</v>
      </c>
      <c r="S53" s="56" t="str">
        <f>IFERROR(VLOOKUP(표7[발견물'[0']],표1[[명칭]:[등급]],4,FALSE),"-")&amp;"급"</f>
        <v>0급</v>
      </c>
      <c r="T53" s="56" t="str">
        <f>IFERROR(VLOOKUP(표7[발견물'[1']],표1[[명칭]:[등급]],4,FALSE),"-")&amp;"급"</f>
        <v>0급</v>
      </c>
      <c r="U53" s="56" t="str">
        <f>IFERROR(VLOOKUP(표7[발견물'[2']],표1[[명칭]:[등급]],4,FALSE),"-")&amp;"급"</f>
        <v>0급</v>
      </c>
      <c r="V53" s="56" t="str">
        <f>IFERROR(VLOOKUP(표7[발견물'[3']],표1[[명칭]:[등급]],4,FALSE),"-")&amp;"급"</f>
        <v>0급</v>
      </c>
      <c r="W53" s="56" t="str">
        <f>IFERROR(VLOOKUP(표7[발견물'[4']],표1[[명칭]:[등급]],4,FALSE),"-")&amp;"급"</f>
        <v>0급</v>
      </c>
      <c r="X53" s="56" t="str">
        <f>IFERROR(VLOOKUP(표7[발견물'[5']],표1[[명칭]:[등급]],4,FALSE),"-")&amp;"급"</f>
        <v>0급</v>
      </c>
      <c r="Y53" s="56" t="str">
        <f>IFERROR(INDEX([1]FishGrade!$I:$I,MATCH(표10[[#This Row],[등급'[0']]],[1]FishGrade!$B:$B,0)),"-")</f>
        <v>-</v>
      </c>
      <c r="Z53" s="56" t="str">
        <f>IFERROR(INDEX([1]FishGrade!$I:$I,MATCH(표10[[#This Row],[등급'[1']]],[1]FishGrade!$B:$B,0)),"-")</f>
        <v>-</v>
      </c>
      <c r="AA53" s="56" t="str">
        <f>IFERROR(INDEX([1]FishGrade!$I:$I,MATCH(표10[[#This Row],[등급'[2']]],[1]FishGrade!$B:$B,0)),"-")</f>
        <v>-</v>
      </c>
      <c r="AB53" s="56" t="str">
        <f>IFERROR(INDEX([1]FishGrade!$I:$I,MATCH(표10[[#This Row],[등급'[3']]],[1]FishGrade!$B:$B,0)),"-")</f>
        <v>-</v>
      </c>
      <c r="AC53" s="56" t="str">
        <f>IFERROR(INDEX([1]FishGrade!$I:$I,MATCH(표10[[#This Row],[등급'[4']]],[1]FishGrade!$B:$B,0)),"-")</f>
        <v>-</v>
      </c>
      <c r="AD53" s="56" t="str">
        <f>IFERROR(INDEX([1]FishGrade!$I:$I,MATCH(표10[[#This Row],[등급'[5']]],[1]FishGrade!$B:$B,0)),"-")</f>
        <v>-</v>
      </c>
      <c r="AE53" s="56">
        <f>IF([1]FishDiscoveryGroup!$I$8="-",0,[1]FishDiscoveryGroup!$I$8)</f>
        <v>0</v>
      </c>
      <c r="AF53" s="56">
        <f>IF([1]FishDiscoveryGroup!$I$8="-",0,[1]FishDiscoveryGroup!$L$8)</f>
        <v>0</v>
      </c>
      <c r="AG53" s="56">
        <f>IF([1]FishDiscoveryGroup!$I$8="-",0,[1]FishDiscoveryGroup!$O$8)</f>
        <v>0</v>
      </c>
      <c r="AH53" s="56">
        <f>IF([1]FishDiscoveryGroup!$I$8="-",0,[1]FishDiscoveryGroup!$R$8)</f>
        <v>0</v>
      </c>
      <c r="AI53" s="56">
        <f>IF([1]FishDiscoveryGroup!$I$8="-",0,[1]FishDiscoveryGroup!$U$8)</f>
        <v>0</v>
      </c>
      <c r="AJ53" s="56">
        <f>IF([1]FishDiscoveryGroup!$I$8="-",0,[1]FishDiscoveryGroup!$X$8)</f>
        <v>0</v>
      </c>
      <c r="AK53" s="56">
        <f>IF(표10[[#This Row],[배당'[0']]]="-",0,표10[[#This Row],[배당'[0']]])+표10[[#This Row],[PROB'[0']]]</f>
        <v>0</v>
      </c>
      <c r="AL53" s="56">
        <f>IF(표10[[#This Row],[배당'[1']]]="-",0,표10[[#This Row],[배당'[1']]])+표10[[#This Row],[PROB'[1']]]</f>
        <v>0</v>
      </c>
      <c r="AM53" s="56">
        <f>IF(표10[[#This Row],[배당'[2']]]="-",0,표10[[#This Row],[배당'[2']]])+표10[[#This Row],[PROB'[2']]]</f>
        <v>0</v>
      </c>
      <c r="AN53" s="56">
        <f>IF(표10[[#This Row],[배당'[3']]]="-",0,표10[[#This Row],[배당'[3']]])+표10[[#This Row],[PROB'[3']]]</f>
        <v>0</v>
      </c>
      <c r="AO53" s="56">
        <f>IF(표10[[#This Row],[배당'[4']]]="-",0,표10[[#This Row],[배당'[4']]])+표10[[#This Row],[PROB'[4']]]</f>
        <v>0</v>
      </c>
      <c r="AP53" s="56">
        <f>IF(표10[[#This Row],[배당'[5']]]="-",0,표10[[#This Row],[배당'[5']]])+표10[[#This Row],[PROB'[5']]]</f>
        <v>0</v>
      </c>
      <c r="AQ53" s="56">
        <f>SUM(표10[[#This Row],[최종배당'[0']]:[최종배당'[5']]])</f>
        <v>0</v>
      </c>
    </row>
    <row r="54" spans="2:43" x14ac:dyDescent="0.3">
      <c r="B54" s="56" t="str">
        <f>[1]FishOceanTile!B59</f>
        <v>케이프 해저분지</v>
      </c>
      <c r="C54" s="56" t="str">
        <f>IFERROR(VLOOKUP(표7[[#This Row],[낚시 타일]],[3]!표1_67[[이름]:[선단 LV]],6,FALSE),"-")</f>
        <v>-</v>
      </c>
      <c r="D54" s="56" t="str">
        <f>IFERROR(VLOOKUP(표7[[#This Row],[낚시 타일]],[3]!표1_67[[이름]:[위도]],3,FALSE),"-")</f>
        <v>-</v>
      </c>
      <c r="E54" s="56" t="str">
        <f>IFERROR(VLOOKUP(표7[[#This Row],[낚시 타일]],[3]!표1_67[[이름]:[위도]],2,FALSE),"-")</f>
        <v>-</v>
      </c>
      <c r="F54" s="56"/>
      <c r="G54" s="56" t="str">
        <f>IFERROR(ROUNDDOWN(표10[[#This Row],[최종배당'[0']]]/표10[[#This Row],[분모]]*100,0)&amp;"%","-")</f>
        <v>-</v>
      </c>
      <c r="H54" s="56"/>
      <c r="I54" s="56" t="str">
        <f>IFERROR(ROUNDDOWN(표10[[#This Row],[최종배당'[1']]]/표10[[#This Row],[분모]]*100,0)&amp;"%","-")</f>
        <v>-</v>
      </c>
      <c r="J54" s="56"/>
      <c r="K54" s="56" t="str">
        <f>IFERROR(ROUNDDOWN(표10[[#This Row],[최종배당'[2']]]/표10[[#This Row],[분모]]*100,0)&amp;"%","-")</f>
        <v>-</v>
      </c>
      <c r="L54" s="56"/>
      <c r="M54" s="56" t="str">
        <f>IFERROR(ROUNDDOWN(표10[[#This Row],[최종배당'[3']]]/표10[[#This Row],[분모]]*100,0)&amp;"%","-")</f>
        <v>-</v>
      </c>
      <c r="N54" s="56"/>
      <c r="O54" s="56" t="str">
        <f>IFERROR(ROUNDDOWN(표10[[#This Row],[최종배당'[4']]]/표10[[#This Row],[분모]]*100,0)&amp;"%","-")</f>
        <v>-</v>
      </c>
      <c r="P54" s="56"/>
      <c r="Q54" s="56" t="str">
        <f>IFERROR(ROUNDDOWN(표10[[#This Row],[최종배당'[5']]]/표10[[#This Row],[분모]]*100,0)&amp;"%","-")</f>
        <v>-</v>
      </c>
      <c r="S54" s="56" t="str">
        <f>IFERROR(VLOOKUP(표7[발견물'[0']],표1[[명칭]:[등급]],4,FALSE),"-")&amp;"급"</f>
        <v>0급</v>
      </c>
      <c r="T54" s="56" t="str">
        <f>IFERROR(VLOOKUP(표7[발견물'[1']],표1[[명칭]:[등급]],4,FALSE),"-")&amp;"급"</f>
        <v>0급</v>
      </c>
      <c r="U54" s="56" t="str">
        <f>IFERROR(VLOOKUP(표7[발견물'[2']],표1[[명칭]:[등급]],4,FALSE),"-")&amp;"급"</f>
        <v>0급</v>
      </c>
      <c r="V54" s="56" t="str">
        <f>IFERROR(VLOOKUP(표7[발견물'[3']],표1[[명칭]:[등급]],4,FALSE),"-")&amp;"급"</f>
        <v>0급</v>
      </c>
      <c r="W54" s="56" t="str">
        <f>IFERROR(VLOOKUP(표7[발견물'[4']],표1[[명칭]:[등급]],4,FALSE),"-")&amp;"급"</f>
        <v>0급</v>
      </c>
      <c r="X54" s="56" t="str">
        <f>IFERROR(VLOOKUP(표7[발견물'[5']],표1[[명칭]:[등급]],4,FALSE),"-")&amp;"급"</f>
        <v>0급</v>
      </c>
      <c r="Y54" s="56" t="str">
        <f>IFERROR(INDEX([1]FishGrade!$I:$I,MATCH(표10[[#This Row],[등급'[0']]],[1]FishGrade!$B:$B,0)),"-")</f>
        <v>-</v>
      </c>
      <c r="Z54" s="56" t="str">
        <f>IFERROR(INDEX([1]FishGrade!$I:$I,MATCH(표10[[#This Row],[등급'[1']]],[1]FishGrade!$B:$B,0)),"-")</f>
        <v>-</v>
      </c>
      <c r="AA54" s="56" t="str">
        <f>IFERROR(INDEX([1]FishGrade!$I:$I,MATCH(표10[[#This Row],[등급'[2']]],[1]FishGrade!$B:$B,0)),"-")</f>
        <v>-</v>
      </c>
      <c r="AB54" s="56" t="str">
        <f>IFERROR(INDEX([1]FishGrade!$I:$I,MATCH(표10[[#This Row],[등급'[3']]],[1]FishGrade!$B:$B,0)),"-")</f>
        <v>-</v>
      </c>
      <c r="AC54" s="56" t="str">
        <f>IFERROR(INDEX([1]FishGrade!$I:$I,MATCH(표10[[#This Row],[등급'[4']]],[1]FishGrade!$B:$B,0)),"-")</f>
        <v>-</v>
      </c>
      <c r="AD54" s="56" t="str">
        <f>IFERROR(INDEX([1]FishGrade!$I:$I,MATCH(표10[[#This Row],[등급'[5']]],[1]FishGrade!$B:$B,0)),"-")</f>
        <v>-</v>
      </c>
      <c r="AE54" s="56">
        <f>IF([1]FishDiscoveryGroup!$I$8="-",0,[1]FishDiscoveryGroup!$I$8)</f>
        <v>0</v>
      </c>
      <c r="AF54" s="56">
        <f>IF([1]FishDiscoveryGroup!$I$8="-",0,[1]FishDiscoveryGroup!$L$8)</f>
        <v>0</v>
      </c>
      <c r="AG54" s="56">
        <f>IF([1]FishDiscoveryGroup!$I$8="-",0,[1]FishDiscoveryGroup!$O$8)</f>
        <v>0</v>
      </c>
      <c r="AH54" s="56">
        <f>IF([1]FishDiscoveryGroup!$I$8="-",0,[1]FishDiscoveryGroup!$R$8)</f>
        <v>0</v>
      </c>
      <c r="AI54" s="56">
        <f>IF([1]FishDiscoveryGroup!$I$8="-",0,[1]FishDiscoveryGroup!$U$8)</f>
        <v>0</v>
      </c>
      <c r="AJ54" s="56">
        <f>IF([1]FishDiscoveryGroup!$I$8="-",0,[1]FishDiscoveryGroup!$X$8)</f>
        <v>0</v>
      </c>
      <c r="AK54" s="56">
        <f>IF(표10[[#This Row],[배당'[0']]]="-",0,표10[[#This Row],[배당'[0']]])+표10[[#This Row],[PROB'[0']]]</f>
        <v>0</v>
      </c>
      <c r="AL54" s="56">
        <f>IF(표10[[#This Row],[배당'[1']]]="-",0,표10[[#This Row],[배당'[1']]])+표10[[#This Row],[PROB'[1']]]</f>
        <v>0</v>
      </c>
      <c r="AM54" s="56">
        <f>IF(표10[[#This Row],[배당'[2']]]="-",0,표10[[#This Row],[배당'[2']]])+표10[[#This Row],[PROB'[2']]]</f>
        <v>0</v>
      </c>
      <c r="AN54" s="56">
        <f>IF(표10[[#This Row],[배당'[3']]]="-",0,표10[[#This Row],[배당'[3']]])+표10[[#This Row],[PROB'[3']]]</f>
        <v>0</v>
      </c>
      <c r="AO54" s="56">
        <f>IF(표10[[#This Row],[배당'[4']]]="-",0,표10[[#This Row],[배당'[4']]])+표10[[#This Row],[PROB'[4']]]</f>
        <v>0</v>
      </c>
      <c r="AP54" s="56">
        <f>IF(표10[[#This Row],[배당'[5']]]="-",0,표10[[#This Row],[배당'[5']]])+표10[[#This Row],[PROB'[5']]]</f>
        <v>0</v>
      </c>
      <c r="AQ54" s="56">
        <f>SUM(표10[[#This Row],[최종배당'[0']]:[최종배당'[5']]])</f>
        <v>0</v>
      </c>
    </row>
    <row r="55" spans="2:43" x14ac:dyDescent="0.3">
      <c r="B55" s="56" t="str">
        <f>[1]FishOceanTile!B60</f>
        <v>모잠비크 해협</v>
      </c>
      <c r="C55" s="56" t="str">
        <f>IFERROR(VLOOKUP(표7[[#This Row],[낚시 타일]],[3]!표1_67[[이름]:[선단 LV]],6,FALSE),"-")</f>
        <v>-</v>
      </c>
      <c r="D55" s="56" t="str">
        <f>IFERROR(VLOOKUP(표7[[#This Row],[낚시 타일]],[3]!표1_67[[이름]:[위도]],3,FALSE),"-")</f>
        <v>-</v>
      </c>
      <c r="E55" s="56" t="str">
        <f>IFERROR(VLOOKUP(표7[[#This Row],[낚시 타일]],[3]!표1_67[[이름]:[위도]],2,FALSE),"-")</f>
        <v>-</v>
      </c>
      <c r="F55" s="56"/>
      <c r="G55" s="56" t="str">
        <f>IFERROR(ROUNDDOWN(표10[[#This Row],[최종배당'[0']]]/표10[[#This Row],[분모]]*100,0)&amp;"%","-")</f>
        <v>-</v>
      </c>
      <c r="H55" s="56"/>
      <c r="I55" s="56" t="str">
        <f>IFERROR(ROUNDDOWN(표10[[#This Row],[최종배당'[1']]]/표10[[#This Row],[분모]]*100,0)&amp;"%","-")</f>
        <v>-</v>
      </c>
      <c r="J55" s="56"/>
      <c r="K55" s="56" t="str">
        <f>IFERROR(ROUNDDOWN(표10[[#This Row],[최종배당'[2']]]/표10[[#This Row],[분모]]*100,0)&amp;"%","-")</f>
        <v>-</v>
      </c>
      <c r="L55" s="56"/>
      <c r="M55" s="56" t="str">
        <f>IFERROR(ROUNDDOWN(표10[[#This Row],[최종배당'[3']]]/표10[[#This Row],[분모]]*100,0)&amp;"%","-")</f>
        <v>-</v>
      </c>
      <c r="N55" s="56"/>
      <c r="O55" s="56" t="str">
        <f>IFERROR(ROUNDDOWN(표10[[#This Row],[최종배당'[4']]]/표10[[#This Row],[분모]]*100,0)&amp;"%","-")</f>
        <v>-</v>
      </c>
      <c r="P55" s="56"/>
      <c r="Q55" s="56" t="str">
        <f>IFERROR(ROUNDDOWN(표10[[#This Row],[최종배당'[5']]]/표10[[#This Row],[분모]]*100,0)&amp;"%","-")</f>
        <v>-</v>
      </c>
      <c r="S55" s="56" t="str">
        <f>IFERROR(VLOOKUP(표7[발견물'[0']],표1[[명칭]:[등급]],4,FALSE),"-")&amp;"급"</f>
        <v>0급</v>
      </c>
      <c r="T55" s="56" t="str">
        <f>IFERROR(VLOOKUP(표7[발견물'[1']],표1[[명칭]:[등급]],4,FALSE),"-")&amp;"급"</f>
        <v>0급</v>
      </c>
      <c r="U55" s="56" t="str">
        <f>IFERROR(VLOOKUP(표7[발견물'[2']],표1[[명칭]:[등급]],4,FALSE),"-")&amp;"급"</f>
        <v>0급</v>
      </c>
      <c r="V55" s="56" t="str">
        <f>IFERROR(VLOOKUP(표7[발견물'[3']],표1[[명칭]:[등급]],4,FALSE),"-")&amp;"급"</f>
        <v>0급</v>
      </c>
      <c r="W55" s="56" t="str">
        <f>IFERROR(VLOOKUP(표7[발견물'[4']],표1[[명칭]:[등급]],4,FALSE),"-")&amp;"급"</f>
        <v>0급</v>
      </c>
      <c r="X55" s="56" t="str">
        <f>IFERROR(VLOOKUP(표7[발견물'[5']],표1[[명칭]:[등급]],4,FALSE),"-")&amp;"급"</f>
        <v>0급</v>
      </c>
      <c r="Y55" s="56" t="str">
        <f>IFERROR(INDEX([1]FishGrade!$I:$I,MATCH(표10[[#This Row],[등급'[0']]],[1]FishGrade!$B:$B,0)),"-")</f>
        <v>-</v>
      </c>
      <c r="Z55" s="56" t="str">
        <f>IFERROR(INDEX([1]FishGrade!$I:$I,MATCH(표10[[#This Row],[등급'[1']]],[1]FishGrade!$B:$B,0)),"-")</f>
        <v>-</v>
      </c>
      <c r="AA55" s="56" t="str">
        <f>IFERROR(INDEX([1]FishGrade!$I:$I,MATCH(표10[[#This Row],[등급'[2']]],[1]FishGrade!$B:$B,0)),"-")</f>
        <v>-</v>
      </c>
      <c r="AB55" s="56" t="str">
        <f>IFERROR(INDEX([1]FishGrade!$I:$I,MATCH(표10[[#This Row],[등급'[3']]],[1]FishGrade!$B:$B,0)),"-")</f>
        <v>-</v>
      </c>
      <c r="AC55" s="56" t="str">
        <f>IFERROR(INDEX([1]FishGrade!$I:$I,MATCH(표10[[#This Row],[등급'[4']]],[1]FishGrade!$B:$B,0)),"-")</f>
        <v>-</v>
      </c>
      <c r="AD55" s="56" t="str">
        <f>IFERROR(INDEX([1]FishGrade!$I:$I,MATCH(표10[[#This Row],[등급'[5']]],[1]FishGrade!$B:$B,0)),"-")</f>
        <v>-</v>
      </c>
      <c r="AE55" s="56">
        <f>IF([1]FishDiscoveryGroup!$I$8="-",0,[1]FishDiscoveryGroup!$I$8)</f>
        <v>0</v>
      </c>
      <c r="AF55" s="56">
        <f>IF([1]FishDiscoveryGroup!$I$8="-",0,[1]FishDiscoveryGroup!$L$8)</f>
        <v>0</v>
      </c>
      <c r="AG55" s="56">
        <f>IF([1]FishDiscoveryGroup!$I$8="-",0,[1]FishDiscoveryGroup!$O$8)</f>
        <v>0</v>
      </c>
      <c r="AH55" s="56">
        <f>IF([1]FishDiscoveryGroup!$I$8="-",0,[1]FishDiscoveryGroup!$R$8)</f>
        <v>0</v>
      </c>
      <c r="AI55" s="56">
        <f>IF([1]FishDiscoveryGroup!$I$8="-",0,[1]FishDiscoveryGroup!$U$8)</f>
        <v>0</v>
      </c>
      <c r="AJ55" s="56">
        <f>IF([1]FishDiscoveryGroup!$I$8="-",0,[1]FishDiscoveryGroup!$X$8)</f>
        <v>0</v>
      </c>
      <c r="AK55" s="56">
        <f>IF(표10[[#This Row],[배당'[0']]]="-",0,표10[[#This Row],[배당'[0']]])+표10[[#This Row],[PROB'[0']]]</f>
        <v>0</v>
      </c>
      <c r="AL55" s="56">
        <f>IF(표10[[#This Row],[배당'[1']]]="-",0,표10[[#This Row],[배당'[1']]])+표10[[#This Row],[PROB'[1']]]</f>
        <v>0</v>
      </c>
      <c r="AM55" s="56">
        <f>IF(표10[[#This Row],[배당'[2']]]="-",0,표10[[#This Row],[배당'[2']]])+표10[[#This Row],[PROB'[2']]]</f>
        <v>0</v>
      </c>
      <c r="AN55" s="56">
        <f>IF(표10[[#This Row],[배당'[3']]]="-",0,표10[[#This Row],[배당'[3']]])+표10[[#This Row],[PROB'[3']]]</f>
        <v>0</v>
      </c>
      <c r="AO55" s="56">
        <f>IF(표10[[#This Row],[배당'[4']]]="-",0,표10[[#This Row],[배당'[4']]])+표10[[#This Row],[PROB'[4']]]</f>
        <v>0</v>
      </c>
      <c r="AP55" s="56">
        <f>IF(표10[[#This Row],[배당'[5']]]="-",0,표10[[#This Row],[배당'[5']]])+표10[[#This Row],[PROB'[5']]]</f>
        <v>0</v>
      </c>
      <c r="AQ55" s="56">
        <f>SUM(표10[[#This Row],[최종배당'[0']]:[최종배당'[5']]])</f>
        <v>0</v>
      </c>
    </row>
    <row r="56" spans="2:43" x14ac:dyDescent="0.3">
      <c r="B56" s="56" t="str">
        <f>[1]FishOceanTile!B61</f>
        <v>아굴라스 해저분지</v>
      </c>
      <c r="C56" s="56" t="str">
        <f>IFERROR(VLOOKUP(표7[[#This Row],[낚시 타일]],[3]!표1_67[[이름]:[선단 LV]],6,FALSE),"-")</f>
        <v>-</v>
      </c>
      <c r="D56" s="56" t="str">
        <f>IFERROR(VLOOKUP(표7[[#This Row],[낚시 타일]],[3]!표1_67[[이름]:[위도]],3,FALSE),"-")</f>
        <v>-</v>
      </c>
      <c r="E56" s="56" t="str">
        <f>IFERROR(VLOOKUP(표7[[#This Row],[낚시 타일]],[3]!표1_67[[이름]:[위도]],2,FALSE),"-")</f>
        <v>-</v>
      </c>
      <c r="F56" s="56"/>
      <c r="G56" s="56" t="str">
        <f>IFERROR(ROUNDDOWN(표10[[#This Row],[최종배당'[0']]]/표10[[#This Row],[분모]]*100,0)&amp;"%","-")</f>
        <v>-</v>
      </c>
      <c r="H56" s="56"/>
      <c r="I56" s="56" t="str">
        <f>IFERROR(ROUNDDOWN(표10[[#This Row],[최종배당'[1']]]/표10[[#This Row],[분모]]*100,0)&amp;"%","-")</f>
        <v>-</v>
      </c>
      <c r="J56" s="56"/>
      <c r="K56" s="56" t="str">
        <f>IFERROR(ROUNDDOWN(표10[[#This Row],[최종배당'[2']]]/표10[[#This Row],[분모]]*100,0)&amp;"%","-")</f>
        <v>-</v>
      </c>
      <c r="L56" s="56"/>
      <c r="M56" s="56" t="str">
        <f>IFERROR(ROUNDDOWN(표10[[#This Row],[최종배당'[3']]]/표10[[#This Row],[분모]]*100,0)&amp;"%","-")</f>
        <v>-</v>
      </c>
      <c r="N56" s="56"/>
      <c r="O56" s="56" t="str">
        <f>IFERROR(ROUNDDOWN(표10[[#This Row],[최종배당'[4']]]/표10[[#This Row],[분모]]*100,0)&amp;"%","-")</f>
        <v>-</v>
      </c>
      <c r="P56" s="56"/>
      <c r="Q56" s="56" t="str">
        <f>IFERROR(ROUNDDOWN(표10[[#This Row],[최종배당'[5']]]/표10[[#This Row],[분모]]*100,0)&amp;"%","-")</f>
        <v>-</v>
      </c>
      <c r="S56" s="56" t="str">
        <f>IFERROR(VLOOKUP(표7[발견물'[0']],표1[[명칭]:[등급]],4,FALSE),"-")&amp;"급"</f>
        <v>0급</v>
      </c>
      <c r="T56" s="56" t="str">
        <f>IFERROR(VLOOKUP(표7[발견물'[1']],표1[[명칭]:[등급]],4,FALSE),"-")&amp;"급"</f>
        <v>0급</v>
      </c>
      <c r="U56" s="56" t="str">
        <f>IFERROR(VLOOKUP(표7[발견물'[2']],표1[[명칭]:[등급]],4,FALSE),"-")&amp;"급"</f>
        <v>0급</v>
      </c>
      <c r="V56" s="56" t="str">
        <f>IFERROR(VLOOKUP(표7[발견물'[3']],표1[[명칭]:[등급]],4,FALSE),"-")&amp;"급"</f>
        <v>0급</v>
      </c>
      <c r="W56" s="56" t="str">
        <f>IFERROR(VLOOKUP(표7[발견물'[4']],표1[[명칭]:[등급]],4,FALSE),"-")&amp;"급"</f>
        <v>0급</v>
      </c>
      <c r="X56" s="56" t="str">
        <f>IFERROR(VLOOKUP(표7[발견물'[5']],표1[[명칭]:[등급]],4,FALSE),"-")&amp;"급"</f>
        <v>0급</v>
      </c>
      <c r="Y56" s="56" t="str">
        <f>IFERROR(INDEX([1]FishGrade!$I:$I,MATCH(표10[[#This Row],[등급'[0']]],[1]FishGrade!$B:$B,0)),"-")</f>
        <v>-</v>
      </c>
      <c r="Z56" s="56" t="str">
        <f>IFERROR(INDEX([1]FishGrade!$I:$I,MATCH(표10[[#This Row],[등급'[1']]],[1]FishGrade!$B:$B,0)),"-")</f>
        <v>-</v>
      </c>
      <c r="AA56" s="56" t="str">
        <f>IFERROR(INDEX([1]FishGrade!$I:$I,MATCH(표10[[#This Row],[등급'[2']]],[1]FishGrade!$B:$B,0)),"-")</f>
        <v>-</v>
      </c>
      <c r="AB56" s="56" t="str">
        <f>IFERROR(INDEX([1]FishGrade!$I:$I,MATCH(표10[[#This Row],[등급'[3']]],[1]FishGrade!$B:$B,0)),"-")</f>
        <v>-</v>
      </c>
      <c r="AC56" s="56" t="str">
        <f>IFERROR(INDEX([1]FishGrade!$I:$I,MATCH(표10[[#This Row],[등급'[4']]],[1]FishGrade!$B:$B,0)),"-")</f>
        <v>-</v>
      </c>
      <c r="AD56" s="56" t="str">
        <f>IFERROR(INDEX([1]FishGrade!$I:$I,MATCH(표10[[#This Row],[등급'[5']]],[1]FishGrade!$B:$B,0)),"-")</f>
        <v>-</v>
      </c>
      <c r="AE56" s="56">
        <f>IF([1]FishDiscoveryGroup!$I$8="-",0,[1]FishDiscoveryGroup!$I$8)</f>
        <v>0</v>
      </c>
      <c r="AF56" s="56">
        <f>IF([1]FishDiscoveryGroup!$I$8="-",0,[1]FishDiscoveryGroup!$L$8)</f>
        <v>0</v>
      </c>
      <c r="AG56" s="56">
        <f>IF([1]FishDiscoveryGroup!$I$8="-",0,[1]FishDiscoveryGroup!$O$8)</f>
        <v>0</v>
      </c>
      <c r="AH56" s="56">
        <f>IF([1]FishDiscoveryGroup!$I$8="-",0,[1]FishDiscoveryGroup!$R$8)</f>
        <v>0</v>
      </c>
      <c r="AI56" s="56">
        <f>IF([1]FishDiscoveryGroup!$I$8="-",0,[1]FishDiscoveryGroup!$U$8)</f>
        <v>0</v>
      </c>
      <c r="AJ56" s="56">
        <f>IF([1]FishDiscoveryGroup!$I$8="-",0,[1]FishDiscoveryGroup!$X$8)</f>
        <v>0</v>
      </c>
      <c r="AK56" s="56">
        <f>IF(표10[[#This Row],[배당'[0']]]="-",0,표10[[#This Row],[배당'[0']]])+표10[[#This Row],[PROB'[0']]]</f>
        <v>0</v>
      </c>
      <c r="AL56" s="56">
        <f>IF(표10[[#This Row],[배당'[1']]]="-",0,표10[[#This Row],[배당'[1']]])+표10[[#This Row],[PROB'[1']]]</f>
        <v>0</v>
      </c>
      <c r="AM56" s="56">
        <f>IF(표10[[#This Row],[배당'[2']]]="-",0,표10[[#This Row],[배당'[2']]])+표10[[#This Row],[PROB'[2']]]</f>
        <v>0</v>
      </c>
      <c r="AN56" s="56">
        <f>IF(표10[[#This Row],[배당'[3']]]="-",0,표10[[#This Row],[배당'[3']]])+표10[[#This Row],[PROB'[3']]]</f>
        <v>0</v>
      </c>
      <c r="AO56" s="56">
        <f>IF(표10[[#This Row],[배당'[4']]]="-",0,표10[[#This Row],[배당'[4']]])+표10[[#This Row],[PROB'[4']]]</f>
        <v>0</v>
      </c>
      <c r="AP56" s="56">
        <f>IF(표10[[#This Row],[배당'[5']]]="-",0,표10[[#This Row],[배당'[5']]])+표10[[#This Row],[PROB'[5']]]</f>
        <v>0</v>
      </c>
      <c r="AQ56" s="56">
        <f>SUM(표10[[#This Row],[최종배당'[0']]:[최종배당'[5']]])</f>
        <v>0</v>
      </c>
    </row>
    <row r="57" spans="2:43" x14ac:dyDescent="0.3">
      <c r="B57" s="56" t="str">
        <f>[1]FishOceanTile!B62</f>
        <v>남서 인도양</v>
      </c>
      <c r="C57" s="56" t="str">
        <f>IFERROR(VLOOKUP(표7[[#This Row],[낚시 타일]],[3]!표1_67[[이름]:[선단 LV]],6,FALSE),"-")</f>
        <v>-</v>
      </c>
      <c r="D57" s="56" t="str">
        <f>IFERROR(VLOOKUP(표7[[#This Row],[낚시 타일]],[3]!표1_67[[이름]:[위도]],3,FALSE),"-")</f>
        <v>-</v>
      </c>
      <c r="E57" s="56" t="str">
        <f>IFERROR(VLOOKUP(표7[[#This Row],[낚시 타일]],[3]!표1_67[[이름]:[위도]],2,FALSE),"-")</f>
        <v>-</v>
      </c>
      <c r="F57" s="56"/>
      <c r="G57" s="56" t="str">
        <f>IFERROR(ROUNDDOWN(표10[[#This Row],[최종배당'[0']]]/표10[[#This Row],[분모]]*100,0)&amp;"%","-")</f>
        <v>-</v>
      </c>
      <c r="H57" s="56"/>
      <c r="I57" s="56" t="str">
        <f>IFERROR(ROUNDDOWN(표10[[#This Row],[최종배당'[1']]]/표10[[#This Row],[분모]]*100,0)&amp;"%","-")</f>
        <v>-</v>
      </c>
      <c r="J57" s="56"/>
      <c r="K57" s="56" t="str">
        <f>IFERROR(ROUNDDOWN(표10[[#This Row],[최종배당'[2']]]/표10[[#This Row],[분모]]*100,0)&amp;"%","-")</f>
        <v>-</v>
      </c>
      <c r="L57" s="56"/>
      <c r="M57" s="56" t="str">
        <f>IFERROR(ROUNDDOWN(표10[[#This Row],[최종배당'[3']]]/표10[[#This Row],[분모]]*100,0)&amp;"%","-")</f>
        <v>-</v>
      </c>
      <c r="N57" s="56"/>
      <c r="O57" s="56" t="str">
        <f>IFERROR(ROUNDDOWN(표10[[#This Row],[최종배당'[4']]]/표10[[#This Row],[분모]]*100,0)&amp;"%","-")</f>
        <v>-</v>
      </c>
      <c r="P57" s="56"/>
      <c r="Q57" s="56" t="str">
        <f>IFERROR(ROUNDDOWN(표10[[#This Row],[최종배당'[5']]]/표10[[#This Row],[분모]]*100,0)&amp;"%","-")</f>
        <v>-</v>
      </c>
      <c r="S57" s="56" t="str">
        <f>IFERROR(VLOOKUP(표7[발견물'[0']],표1[[명칭]:[등급]],4,FALSE),"-")&amp;"급"</f>
        <v>0급</v>
      </c>
      <c r="T57" s="56" t="str">
        <f>IFERROR(VLOOKUP(표7[발견물'[1']],표1[[명칭]:[등급]],4,FALSE),"-")&amp;"급"</f>
        <v>0급</v>
      </c>
      <c r="U57" s="56" t="str">
        <f>IFERROR(VLOOKUP(표7[발견물'[2']],표1[[명칭]:[등급]],4,FALSE),"-")&amp;"급"</f>
        <v>0급</v>
      </c>
      <c r="V57" s="56" t="str">
        <f>IFERROR(VLOOKUP(표7[발견물'[3']],표1[[명칭]:[등급]],4,FALSE),"-")&amp;"급"</f>
        <v>0급</v>
      </c>
      <c r="W57" s="56" t="str">
        <f>IFERROR(VLOOKUP(표7[발견물'[4']],표1[[명칭]:[등급]],4,FALSE),"-")&amp;"급"</f>
        <v>0급</v>
      </c>
      <c r="X57" s="56" t="str">
        <f>IFERROR(VLOOKUP(표7[발견물'[5']],표1[[명칭]:[등급]],4,FALSE),"-")&amp;"급"</f>
        <v>0급</v>
      </c>
      <c r="Y57" s="56" t="str">
        <f>IFERROR(INDEX([1]FishGrade!$I:$I,MATCH(표10[[#This Row],[등급'[0']]],[1]FishGrade!$B:$B,0)),"-")</f>
        <v>-</v>
      </c>
      <c r="Z57" s="56" t="str">
        <f>IFERROR(INDEX([1]FishGrade!$I:$I,MATCH(표10[[#This Row],[등급'[1']]],[1]FishGrade!$B:$B,0)),"-")</f>
        <v>-</v>
      </c>
      <c r="AA57" s="56" t="str">
        <f>IFERROR(INDEX([1]FishGrade!$I:$I,MATCH(표10[[#This Row],[등급'[2']]],[1]FishGrade!$B:$B,0)),"-")</f>
        <v>-</v>
      </c>
      <c r="AB57" s="56" t="str">
        <f>IFERROR(INDEX([1]FishGrade!$I:$I,MATCH(표10[[#This Row],[등급'[3']]],[1]FishGrade!$B:$B,0)),"-")</f>
        <v>-</v>
      </c>
      <c r="AC57" s="56" t="str">
        <f>IFERROR(INDEX([1]FishGrade!$I:$I,MATCH(표10[[#This Row],[등급'[4']]],[1]FishGrade!$B:$B,0)),"-")</f>
        <v>-</v>
      </c>
      <c r="AD57" s="56" t="str">
        <f>IFERROR(INDEX([1]FishGrade!$I:$I,MATCH(표10[[#This Row],[등급'[5']]],[1]FishGrade!$B:$B,0)),"-")</f>
        <v>-</v>
      </c>
      <c r="AE57" s="56">
        <f>IF([1]FishDiscoveryGroup!$I$8="-",0,[1]FishDiscoveryGroup!$I$8)</f>
        <v>0</v>
      </c>
      <c r="AF57" s="56">
        <f>IF([1]FishDiscoveryGroup!$I$8="-",0,[1]FishDiscoveryGroup!$L$8)</f>
        <v>0</v>
      </c>
      <c r="AG57" s="56">
        <f>IF([1]FishDiscoveryGroup!$I$8="-",0,[1]FishDiscoveryGroup!$O$8)</f>
        <v>0</v>
      </c>
      <c r="AH57" s="56">
        <f>IF([1]FishDiscoveryGroup!$I$8="-",0,[1]FishDiscoveryGroup!$R$8)</f>
        <v>0</v>
      </c>
      <c r="AI57" s="56">
        <f>IF([1]FishDiscoveryGroup!$I$8="-",0,[1]FishDiscoveryGroup!$U$8)</f>
        <v>0</v>
      </c>
      <c r="AJ57" s="56">
        <f>IF([1]FishDiscoveryGroup!$I$8="-",0,[1]FishDiscoveryGroup!$X$8)</f>
        <v>0</v>
      </c>
      <c r="AK57" s="56">
        <f>IF(표10[[#This Row],[배당'[0']]]="-",0,표10[[#This Row],[배당'[0']]])+표10[[#This Row],[PROB'[0']]]</f>
        <v>0</v>
      </c>
      <c r="AL57" s="56">
        <f>IF(표10[[#This Row],[배당'[1']]]="-",0,표10[[#This Row],[배당'[1']]])+표10[[#This Row],[PROB'[1']]]</f>
        <v>0</v>
      </c>
      <c r="AM57" s="56">
        <f>IF(표10[[#This Row],[배당'[2']]]="-",0,표10[[#This Row],[배당'[2']]])+표10[[#This Row],[PROB'[2']]]</f>
        <v>0</v>
      </c>
      <c r="AN57" s="56">
        <f>IF(표10[[#This Row],[배당'[3']]]="-",0,표10[[#This Row],[배당'[3']]])+표10[[#This Row],[PROB'[3']]]</f>
        <v>0</v>
      </c>
      <c r="AO57" s="56">
        <f>IF(표10[[#This Row],[배당'[4']]]="-",0,표10[[#This Row],[배당'[4']]])+표10[[#This Row],[PROB'[4']]]</f>
        <v>0</v>
      </c>
      <c r="AP57" s="56">
        <f>IF(표10[[#This Row],[배당'[5']]]="-",0,표10[[#This Row],[배당'[5']]])+표10[[#This Row],[PROB'[5']]]</f>
        <v>0</v>
      </c>
      <c r="AQ57" s="56">
        <f>SUM(표10[[#This Row],[최종배당'[0']]:[최종배당'[5']]])</f>
        <v>0</v>
      </c>
    </row>
    <row r="58" spans="2:43" x14ac:dyDescent="0.3">
      <c r="B58" s="56" t="str">
        <f>[1]FishOceanTile!B63</f>
        <v>남 인도양</v>
      </c>
      <c r="C58" s="56" t="str">
        <f>IFERROR(VLOOKUP(표7[[#This Row],[낚시 타일]],[3]!표1_67[[이름]:[선단 LV]],6,FALSE),"-")</f>
        <v>-</v>
      </c>
      <c r="D58" s="56" t="str">
        <f>IFERROR(VLOOKUP(표7[[#This Row],[낚시 타일]],[3]!표1_67[[이름]:[위도]],3,FALSE),"-")</f>
        <v>-</v>
      </c>
      <c r="E58" s="56" t="str">
        <f>IFERROR(VLOOKUP(표7[[#This Row],[낚시 타일]],[3]!표1_67[[이름]:[위도]],2,FALSE),"-")</f>
        <v>-</v>
      </c>
      <c r="F58" s="56"/>
      <c r="G58" s="56" t="str">
        <f>IFERROR(ROUNDDOWN(표10[[#This Row],[최종배당'[0']]]/표10[[#This Row],[분모]]*100,0)&amp;"%","-")</f>
        <v>-</v>
      </c>
      <c r="H58" s="56"/>
      <c r="I58" s="56" t="str">
        <f>IFERROR(ROUNDDOWN(표10[[#This Row],[최종배당'[1']]]/표10[[#This Row],[분모]]*100,0)&amp;"%","-")</f>
        <v>-</v>
      </c>
      <c r="J58" s="56"/>
      <c r="K58" s="56" t="str">
        <f>IFERROR(ROUNDDOWN(표10[[#This Row],[최종배당'[2']]]/표10[[#This Row],[분모]]*100,0)&amp;"%","-")</f>
        <v>-</v>
      </c>
      <c r="L58" s="56"/>
      <c r="M58" s="56" t="str">
        <f>IFERROR(ROUNDDOWN(표10[[#This Row],[최종배당'[3']]]/표10[[#This Row],[분모]]*100,0)&amp;"%","-")</f>
        <v>-</v>
      </c>
      <c r="N58" s="56"/>
      <c r="O58" s="56" t="str">
        <f>IFERROR(ROUNDDOWN(표10[[#This Row],[최종배당'[4']]]/표10[[#This Row],[분모]]*100,0)&amp;"%","-")</f>
        <v>-</v>
      </c>
      <c r="P58" s="56"/>
      <c r="Q58" s="56" t="str">
        <f>IFERROR(ROUNDDOWN(표10[[#This Row],[최종배당'[5']]]/표10[[#This Row],[분모]]*100,0)&amp;"%","-")</f>
        <v>-</v>
      </c>
      <c r="S58" s="56" t="str">
        <f>IFERROR(VLOOKUP(표7[발견물'[0']],표1[[명칭]:[등급]],4,FALSE),"-")&amp;"급"</f>
        <v>0급</v>
      </c>
      <c r="T58" s="56" t="str">
        <f>IFERROR(VLOOKUP(표7[발견물'[1']],표1[[명칭]:[등급]],4,FALSE),"-")&amp;"급"</f>
        <v>0급</v>
      </c>
      <c r="U58" s="56" t="str">
        <f>IFERROR(VLOOKUP(표7[발견물'[2']],표1[[명칭]:[등급]],4,FALSE),"-")&amp;"급"</f>
        <v>0급</v>
      </c>
      <c r="V58" s="56" t="str">
        <f>IFERROR(VLOOKUP(표7[발견물'[3']],표1[[명칭]:[등급]],4,FALSE),"-")&amp;"급"</f>
        <v>0급</v>
      </c>
      <c r="W58" s="56" t="str">
        <f>IFERROR(VLOOKUP(표7[발견물'[4']],표1[[명칭]:[등급]],4,FALSE),"-")&amp;"급"</f>
        <v>0급</v>
      </c>
      <c r="X58" s="56" t="str">
        <f>IFERROR(VLOOKUP(표7[발견물'[5']],표1[[명칭]:[등급]],4,FALSE),"-")&amp;"급"</f>
        <v>0급</v>
      </c>
      <c r="Y58" s="56" t="str">
        <f>IFERROR(INDEX([1]FishGrade!$I:$I,MATCH(표10[[#This Row],[등급'[0']]],[1]FishGrade!$B:$B,0)),"-")</f>
        <v>-</v>
      </c>
      <c r="Z58" s="56" t="str">
        <f>IFERROR(INDEX([1]FishGrade!$I:$I,MATCH(표10[[#This Row],[등급'[1']]],[1]FishGrade!$B:$B,0)),"-")</f>
        <v>-</v>
      </c>
      <c r="AA58" s="56" t="str">
        <f>IFERROR(INDEX([1]FishGrade!$I:$I,MATCH(표10[[#This Row],[등급'[2']]],[1]FishGrade!$B:$B,0)),"-")</f>
        <v>-</v>
      </c>
      <c r="AB58" s="56" t="str">
        <f>IFERROR(INDEX([1]FishGrade!$I:$I,MATCH(표10[[#This Row],[등급'[3']]],[1]FishGrade!$B:$B,0)),"-")</f>
        <v>-</v>
      </c>
      <c r="AC58" s="56" t="str">
        <f>IFERROR(INDEX([1]FishGrade!$I:$I,MATCH(표10[[#This Row],[등급'[4']]],[1]FishGrade!$B:$B,0)),"-")</f>
        <v>-</v>
      </c>
      <c r="AD58" s="56" t="str">
        <f>IFERROR(INDEX([1]FishGrade!$I:$I,MATCH(표10[[#This Row],[등급'[5']]],[1]FishGrade!$B:$B,0)),"-")</f>
        <v>-</v>
      </c>
      <c r="AE58" s="56">
        <f>IF([1]FishDiscoveryGroup!$I$8="-",0,[1]FishDiscoveryGroup!$I$8)</f>
        <v>0</v>
      </c>
      <c r="AF58" s="56">
        <f>IF([1]FishDiscoveryGroup!$I$8="-",0,[1]FishDiscoveryGroup!$L$8)</f>
        <v>0</v>
      </c>
      <c r="AG58" s="56">
        <f>IF([1]FishDiscoveryGroup!$I$8="-",0,[1]FishDiscoveryGroup!$O$8)</f>
        <v>0</v>
      </c>
      <c r="AH58" s="56">
        <f>IF([1]FishDiscoveryGroup!$I$8="-",0,[1]FishDiscoveryGroup!$R$8)</f>
        <v>0</v>
      </c>
      <c r="AI58" s="56">
        <f>IF([1]FishDiscoveryGroup!$I$8="-",0,[1]FishDiscoveryGroup!$U$8)</f>
        <v>0</v>
      </c>
      <c r="AJ58" s="56">
        <f>IF([1]FishDiscoveryGroup!$I$8="-",0,[1]FishDiscoveryGroup!$X$8)</f>
        <v>0</v>
      </c>
      <c r="AK58" s="56">
        <f>IF(표10[[#This Row],[배당'[0']]]="-",0,표10[[#This Row],[배당'[0']]])+표10[[#This Row],[PROB'[0']]]</f>
        <v>0</v>
      </c>
      <c r="AL58" s="56">
        <f>IF(표10[[#This Row],[배당'[1']]]="-",0,표10[[#This Row],[배당'[1']]])+표10[[#This Row],[PROB'[1']]]</f>
        <v>0</v>
      </c>
      <c r="AM58" s="56">
        <f>IF(표10[[#This Row],[배당'[2']]]="-",0,표10[[#This Row],[배당'[2']]])+표10[[#This Row],[PROB'[2']]]</f>
        <v>0</v>
      </c>
      <c r="AN58" s="56">
        <f>IF(표10[[#This Row],[배당'[3']]]="-",0,표10[[#This Row],[배당'[3']]])+표10[[#This Row],[PROB'[3']]]</f>
        <v>0</v>
      </c>
      <c r="AO58" s="56">
        <f>IF(표10[[#This Row],[배당'[4']]]="-",0,표10[[#This Row],[배당'[4']]])+표10[[#This Row],[PROB'[4']]]</f>
        <v>0</v>
      </c>
      <c r="AP58" s="56">
        <f>IF(표10[[#This Row],[배당'[5']]]="-",0,표10[[#This Row],[배당'[5']]])+표10[[#This Row],[PROB'[5']]]</f>
        <v>0</v>
      </c>
      <c r="AQ58" s="56">
        <f>SUM(표10[[#This Row],[최종배당'[0']]:[최종배당'[5']]])</f>
        <v>0</v>
      </c>
    </row>
    <row r="59" spans="2:43" x14ac:dyDescent="0.3">
      <c r="B59" s="56" t="str">
        <f>[1]FishOceanTile!B64</f>
        <v>서 인도양</v>
      </c>
      <c r="C59" s="56" t="str">
        <f>IFERROR(VLOOKUP(표7[[#This Row],[낚시 타일]],[3]!표1_67[[이름]:[선단 LV]],6,FALSE),"-")</f>
        <v>-</v>
      </c>
      <c r="D59" s="56" t="str">
        <f>IFERROR(VLOOKUP(표7[[#This Row],[낚시 타일]],[3]!표1_67[[이름]:[위도]],3,FALSE),"-")</f>
        <v>-</v>
      </c>
      <c r="E59" s="56" t="str">
        <f>IFERROR(VLOOKUP(표7[[#This Row],[낚시 타일]],[3]!표1_67[[이름]:[위도]],2,FALSE),"-")</f>
        <v>-</v>
      </c>
      <c r="F59" s="56"/>
      <c r="G59" s="56" t="str">
        <f>IFERROR(ROUNDDOWN(표10[[#This Row],[최종배당'[0']]]/표10[[#This Row],[분모]]*100,0)&amp;"%","-")</f>
        <v>-</v>
      </c>
      <c r="H59" s="56"/>
      <c r="I59" s="56" t="str">
        <f>IFERROR(ROUNDDOWN(표10[[#This Row],[최종배당'[1']]]/표10[[#This Row],[분모]]*100,0)&amp;"%","-")</f>
        <v>-</v>
      </c>
      <c r="J59" s="56"/>
      <c r="K59" s="56" t="str">
        <f>IFERROR(ROUNDDOWN(표10[[#This Row],[최종배당'[2']]]/표10[[#This Row],[분모]]*100,0)&amp;"%","-")</f>
        <v>-</v>
      </c>
      <c r="L59" s="56"/>
      <c r="M59" s="56" t="str">
        <f>IFERROR(ROUNDDOWN(표10[[#This Row],[최종배당'[3']]]/표10[[#This Row],[분모]]*100,0)&amp;"%","-")</f>
        <v>-</v>
      </c>
      <c r="N59" s="56"/>
      <c r="O59" s="56" t="str">
        <f>IFERROR(ROUNDDOWN(표10[[#This Row],[최종배당'[4']]]/표10[[#This Row],[분모]]*100,0)&amp;"%","-")</f>
        <v>-</v>
      </c>
      <c r="P59" s="56"/>
      <c r="Q59" s="56" t="str">
        <f>IFERROR(ROUNDDOWN(표10[[#This Row],[최종배당'[5']]]/표10[[#This Row],[분모]]*100,0)&amp;"%","-")</f>
        <v>-</v>
      </c>
      <c r="S59" s="56" t="str">
        <f>IFERROR(VLOOKUP(표7[발견물'[0']],표1[[명칭]:[등급]],4,FALSE),"-")&amp;"급"</f>
        <v>0급</v>
      </c>
      <c r="T59" s="56" t="str">
        <f>IFERROR(VLOOKUP(표7[발견물'[1']],표1[[명칭]:[등급]],4,FALSE),"-")&amp;"급"</f>
        <v>0급</v>
      </c>
      <c r="U59" s="56" t="str">
        <f>IFERROR(VLOOKUP(표7[발견물'[2']],표1[[명칭]:[등급]],4,FALSE),"-")&amp;"급"</f>
        <v>0급</v>
      </c>
      <c r="V59" s="56" t="str">
        <f>IFERROR(VLOOKUP(표7[발견물'[3']],표1[[명칭]:[등급]],4,FALSE),"-")&amp;"급"</f>
        <v>0급</v>
      </c>
      <c r="W59" s="56" t="str">
        <f>IFERROR(VLOOKUP(표7[발견물'[4']],표1[[명칭]:[등급]],4,FALSE),"-")&amp;"급"</f>
        <v>0급</v>
      </c>
      <c r="X59" s="56" t="str">
        <f>IFERROR(VLOOKUP(표7[발견물'[5']],표1[[명칭]:[등급]],4,FALSE),"-")&amp;"급"</f>
        <v>0급</v>
      </c>
      <c r="Y59" s="56" t="str">
        <f>IFERROR(INDEX([1]FishGrade!$I:$I,MATCH(표10[[#This Row],[등급'[0']]],[1]FishGrade!$B:$B,0)),"-")</f>
        <v>-</v>
      </c>
      <c r="Z59" s="56" t="str">
        <f>IFERROR(INDEX([1]FishGrade!$I:$I,MATCH(표10[[#This Row],[등급'[1']]],[1]FishGrade!$B:$B,0)),"-")</f>
        <v>-</v>
      </c>
      <c r="AA59" s="56" t="str">
        <f>IFERROR(INDEX([1]FishGrade!$I:$I,MATCH(표10[[#This Row],[등급'[2']]],[1]FishGrade!$B:$B,0)),"-")</f>
        <v>-</v>
      </c>
      <c r="AB59" s="56" t="str">
        <f>IFERROR(INDEX([1]FishGrade!$I:$I,MATCH(표10[[#This Row],[등급'[3']]],[1]FishGrade!$B:$B,0)),"-")</f>
        <v>-</v>
      </c>
      <c r="AC59" s="56" t="str">
        <f>IFERROR(INDEX([1]FishGrade!$I:$I,MATCH(표10[[#This Row],[등급'[4']]],[1]FishGrade!$B:$B,0)),"-")</f>
        <v>-</v>
      </c>
      <c r="AD59" s="56" t="str">
        <f>IFERROR(INDEX([1]FishGrade!$I:$I,MATCH(표10[[#This Row],[등급'[5']]],[1]FishGrade!$B:$B,0)),"-")</f>
        <v>-</v>
      </c>
      <c r="AE59" s="56">
        <f>IF([1]FishDiscoveryGroup!$I$8="-",0,[1]FishDiscoveryGroup!$I$8)</f>
        <v>0</v>
      </c>
      <c r="AF59" s="56">
        <f>IF([1]FishDiscoveryGroup!$I$8="-",0,[1]FishDiscoveryGroup!$L$8)</f>
        <v>0</v>
      </c>
      <c r="AG59" s="56">
        <f>IF([1]FishDiscoveryGroup!$I$8="-",0,[1]FishDiscoveryGroup!$O$8)</f>
        <v>0</v>
      </c>
      <c r="AH59" s="56">
        <f>IF([1]FishDiscoveryGroup!$I$8="-",0,[1]FishDiscoveryGroup!$R$8)</f>
        <v>0</v>
      </c>
      <c r="AI59" s="56">
        <f>IF([1]FishDiscoveryGroup!$I$8="-",0,[1]FishDiscoveryGroup!$U$8)</f>
        <v>0</v>
      </c>
      <c r="AJ59" s="56">
        <f>IF([1]FishDiscoveryGroup!$I$8="-",0,[1]FishDiscoveryGroup!$X$8)</f>
        <v>0</v>
      </c>
      <c r="AK59" s="56">
        <f>IF(표10[[#This Row],[배당'[0']]]="-",0,표10[[#This Row],[배당'[0']]])+표10[[#This Row],[PROB'[0']]]</f>
        <v>0</v>
      </c>
      <c r="AL59" s="56">
        <f>IF(표10[[#This Row],[배당'[1']]]="-",0,표10[[#This Row],[배당'[1']]])+표10[[#This Row],[PROB'[1']]]</f>
        <v>0</v>
      </c>
      <c r="AM59" s="56">
        <f>IF(표10[[#This Row],[배당'[2']]]="-",0,표10[[#This Row],[배당'[2']]])+표10[[#This Row],[PROB'[2']]]</f>
        <v>0</v>
      </c>
      <c r="AN59" s="56">
        <f>IF(표10[[#This Row],[배당'[3']]]="-",0,표10[[#This Row],[배당'[3']]])+표10[[#This Row],[PROB'[3']]]</f>
        <v>0</v>
      </c>
      <c r="AO59" s="56">
        <f>IF(표10[[#This Row],[배당'[4']]]="-",0,표10[[#This Row],[배당'[4']]])+표10[[#This Row],[PROB'[4']]]</f>
        <v>0</v>
      </c>
      <c r="AP59" s="56">
        <f>IF(표10[[#This Row],[배당'[5']]]="-",0,표10[[#This Row],[배당'[5']]])+표10[[#This Row],[PROB'[5']]]</f>
        <v>0</v>
      </c>
      <c r="AQ59" s="56">
        <f>SUM(표10[[#This Row],[최종배당'[0']]:[최종배당'[5']]])</f>
        <v>0</v>
      </c>
    </row>
    <row r="60" spans="2:43" x14ac:dyDescent="0.3">
      <c r="B60" s="56" t="str">
        <f>[1]FishOceanTile!B65</f>
        <v>아프리카 강</v>
      </c>
      <c r="C60" s="56" t="str">
        <f>IFERROR(VLOOKUP(표7[[#This Row],[낚시 타일]],[3]!표1_67[[이름]:[선단 LV]],6,FALSE),"-")</f>
        <v>-</v>
      </c>
      <c r="D60" s="56" t="str">
        <f>IFERROR(VLOOKUP(표7[[#This Row],[낚시 타일]],[3]!표1_67[[이름]:[위도]],3,FALSE),"-")</f>
        <v>-</v>
      </c>
      <c r="E60" s="56" t="str">
        <f>IFERROR(VLOOKUP(표7[[#This Row],[낚시 타일]],[3]!표1_67[[이름]:[위도]],2,FALSE),"-")</f>
        <v>-</v>
      </c>
      <c r="F60" s="56"/>
      <c r="G60" s="56" t="str">
        <f>IFERROR(ROUNDDOWN(표10[[#This Row],[최종배당'[0']]]/표10[[#This Row],[분모]]*100,0)&amp;"%","-")</f>
        <v>-</v>
      </c>
      <c r="H60" s="56"/>
      <c r="I60" s="56" t="str">
        <f>IFERROR(ROUNDDOWN(표10[[#This Row],[최종배당'[1']]]/표10[[#This Row],[분모]]*100,0)&amp;"%","-")</f>
        <v>-</v>
      </c>
      <c r="J60" s="56"/>
      <c r="K60" s="56" t="str">
        <f>IFERROR(ROUNDDOWN(표10[[#This Row],[최종배당'[2']]]/표10[[#This Row],[분모]]*100,0)&amp;"%","-")</f>
        <v>-</v>
      </c>
      <c r="L60" s="56"/>
      <c r="M60" s="56" t="str">
        <f>IFERROR(ROUNDDOWN(표10[[#This Row],[최종배당'[3']]]/표10[[#This Row],[분모]]*100,0)&amp;"%","-")</f>
        <v>-</v>
      </c>
      <c r="N60" s="56"/>
      <c r="O60" s="56" t="str">
        <f>IFERROR(ROUNDDOWN(표10[[#This Row],[최종배당'[4']]]/표10[[#This Row],[분모]]*100,0)&amp;"%","-")</f>
        <v>-</v>
      </c>
      <c r="P60" s="56"/>
      <c r="Q60" s="56" t="str">
        <f>IFERROR(ROUNDDOWN(표10[[#This Row],[최종배당'[5']]]/표10[[#This Row],[분모]]*100,0)&amp;"%","-")</f>
        <v>-</v>
      </c>
      <c r="S60" s="56" t="str">
        <f>IFERROR(VLOOKUP(표7[발견물'[0']],표1[[명칭]:[등급]],4,FALSE),"-")&amp;"급"</f>
        <v>0급</v>
      </c>
      <c r="T60" s="56" t="str">
        <f>IFERROR(VLOOKUP(표7[발견물'[1']],표1[[명칭]:[등급]],4,FALSE),"-")&amp;"급"</f>
        <v>0급</v>
      </c>
      <c r="U60" s="56" t="str">
        <f>IFERROR(VLOOKUP(표7[발견물'[2']],표1[[명칭]:[등급]],4,FALSE),"-")&amp;"급"</f>
        <v>0급</v>
      </c>
      <c r="V60" s="56" t="str">
        <f>IFERROR(VLOOKUP(표7[발견물'[3']],표1[[명칭]:[등급]],4,FALSE),"-")&amp;"급"</f>
        <v>0급</v>
      </c>
      <c r="W60" s="56" t="str">
        <f>IFERROR(VLOOKUP(표7[발견물'[4']],표1[[명칭]:[등급]],4,FALSE),"-")&amp;"급"</f>
        <v>0급</v>
      </c>
      <c r="X60" s="56" t="str">
        <f>IFERROR(VLOOKUP(표7[발견물'[5']],표1[[명칭]:[등급]],4,FALSE),"-")&amp;"급"</f>
        <v>0급</v>
      </c>
      <c r="Y60" s="56" t="str">
        <f>IFERROR(INDEX([1]FishGrade!$I:$I,MATCH(표10[[#This Row],[등급'[0']]],[1]FishGrade!$B:$B,0)),"-")</f>
        <v>-</v>
      </c>
      <c r="Z60" s="56" t="str">
        <f>IFERROR(INDEX([1]FishGrade!$I:$I,MATCH(표10[[#This Row],[등급'[1']]],[1]FishGrade!$B:$B,0)),"-")</f>
        <v>-</v>
      </c>
      <c r="AA60" s="56" t="str">
        <f>IFERROR(INDEX([1]FishGrade!$I:$I,MATCH(표10[[#This Row],[등급'[2']]],[1]FishGrade!$B:$B,0)),"-")</f>
        <v>-</v>
      </c>
      <c r="AB60" s="56" t="str">
        <f>IFERROR(INDEX([1]FishGrade!$I:$I,MATCH(표10[[#This Row],[등급'[3']]],[1]FishGrade!$B:$B,0)),"-")</f>
        <v>-</v>
      </c>
      <c r="AC60" s="56" t="str">
        <f>IFERROR(INDEX([1]FishGrade!$I:$I,MATCH(표10[[#This Row],[등급'[4']]],[1]FishGrade!$B:$B,0)),"-")</f>
        <v>-</v>
      </c>
      <c r="AD60" s="56" t="str">
        <f>IFERROR(INDEX([1]FishGrade!$I:$I,MATCH(표10[[#This Row],[등급'[5']]],[1]FishGrade!$B:$B,0)),"-")</f>
        <v>-</v>
      </c>
      <c r="AE60" s="56">
        <f>IF([1]FishDiscoveryGroup!$I$8="-",0,[1]FishDiscoveryGroup!$I$8)</f>
        <v>0</v>
      </c>
      <c r="AF60" s="56">
        <f>IF([1]FishDiscoveryGroup!$I$8="-",0,[1]FishDiscoveryGroup!$L$8)</f>
        <v>0</v>
      </c>
      <c r="AG60" s="56">
        <f>IF([1]FishDiscoveryGroup!$I$8="-",0,[1]FishDiscoveryGroup!$O$8)</f>
        <v>0</v>
      </c>
      <c r="AH60" s="56">
        <f>IF([1]FishDiscoveryGroup!$I$8="-",0,[1]FishDiscoveryGroup!$R$8)</f>
        <v>0</v>
      </c>
      <c r="AI60" s="56">
        <f>IF([1]FishDiscoveryGroup!$I$8="-",0,[1]FishDiscoveryGroup!$U$8)</f>
        <v>0</v>
      </c>
      <c r="AJ60" s="56">
        <f>IF([1]FishDiscoveryGroup!$I$8="-",0,[1]FishDiscoveryGroup!$X$8)</f>
        <v>0</v>
      </c>
      <c r="AK60" s="56">
        <f>IF(표10[[#This Row],[배당'[0']]]="-",0,표10[[#This Row],[배당'[0']]])+표10[[#This Row],[PROB'[0']]]</f>
        <v>0</v>
      </c>
      <c r="AL60" s="56">
        <f>IF(표10[[#This Row],[배당'[1']]]="-",0,표10[[#This Row],[배당'[1']]])+표10[[#This Row],[PROB'[1']]]</f>
        <v>0</v>
      </c>
      <c r="AM60" s="56">
        <f>IF(표10[[#This Row],[배당'[2']]]="-",0,표10[[#This Row],[배당'[2']]])+표10[[#This Row],[PROB'[2']]]</f>
        <v>0</v>
      </c>
      <c r="AN60" s="56">
        <f>IF(표10[[#This Row],[배당'[3']]]="-",0,표10[[#This Row],[배당'[3']]])+표10[[#This Row],[PROB'[3']]]</f>
        <v>0</v>
      </c>
      <c r="AO60" s="56">
        <f>IF(표10[[#This Row],[배당'[4']]]="-",0,표10[[#This Row],[배당'[4']]])+표10[[#This Row],[PROB'[4']]]</f>
        <v>0</v>
      </c>
      <c r="AP60" s="56">
        <f>IF(표10[[#This Row],[배당'[5']]]="-",0,표10[[#This Row],[배당'[5']]])+표10[[#This Row],[PROB'[5']]]</f>
        <v>0</v>
      </c>
      <c r="AQ60" s="56">
        <f>SUM(표10[[#This Row],[최종배당'[0']]:[최종배당'[5']]])</f>
        <v>0</v>
      </c>
    </row>
    <row r="61" spans="2:43" x14ac:dyDescent="0.3">
      <c r="B61" s="56" t="str">
        <f>[1]FishOceanTile!B66</f>
        <v>잔지바르 앞바다</v>
      </c>
      <c r="C61" s="56" t="str">
        <f>IFERROR(VLOOKUP(표7[[#This Row],[낚시 타일]],[3]!표1_67[[이름]:[선단 LV]],6,FALSE),"-")</f>
        <v>-</v>
      </c>
      <c r="D61" s="56" t="str">
        <f>IFERROR(VLOOKUP(표7[[#This Row],[낚시 타일]],[3]!표1_67[[이름]:[위도]],3,FALSE),"-")</f>
        <v>-</v>
      </c>
      <c r="E61" s="56" t="str">
        <f>IFERROR(VLOOKUP(표7[[#This Row],[낚시 타일]],[3]!표1_67[[이름]:[위도]],2,FALSE),"-")</f>
        <v>-</v>
      </c>
      <c r="F61" s="56"/>
      <c r="G61" s="56" t="str">
        <f>IFERROR(ROUNDDOWN(표10[[#This Row],[최종배당'[0']]]/표10[[#This Row],[분모]]*100,0)&amp;"%","-")</f>
        <v>-</v>
      </c>
      <c r="H61" s="56"/>
      <c r="I61" s="56" t="str">
        <f>IFERROR(ROUNDDOWN(표10[[#This Row],[최종배당'[1']]]/표10[[#This Row],[분모]]*100,0)&amp;"%","-")</f>
        <v>-</v>
      </c>
      <c r="J61" s="56"/>
      <c r="K61" s="56" t="str">
        <f>IFERROR(ROUNDDOWN(표10[[#This Row],[최종배당'[2']]]/표10[[#This Row],[분모]]*100,0)&amp;"%","-")</f>
        <v>-</v>
      </c>
      <c r="L61" s="56"/>
      <c r="M61" s="56" t="str">
        <f>IFERROR(ROUNDDOWN(표10[[#This Row],[최종배당'[3']]]/표10[[#This Row],[분모]]*100,0)&amp;"%","-")</f>
        <v>-</v>
      </c>
      <c r="N61" s="56"/>
      <c r="O61" s="56" t="str">
        <f>IFERROR(ROUNDDOWN(표10[[#This Row],[최종배당'[4']]]/표10[[#This Row],[분모]]*100,0)&amp;"%","-")</f>
        <v>-</v>
      </c>
      <c r="P61" s="56"/>
      <c r="Q61" s="56" t="str">
        <f>IFERROR(ROUNDDOWN(표10[[#This Row],[최종배당'[5']]]/표10[[#This Row],[분모]]*100,0)&amp;"%","-")</f>
        <v>-</v>
      </c>
      <c r="S61" s="56" t="str">
        <f>IFERROR(VLOOKUP(표7[발견물'[0']],표1[[명칭]:[등급]],4,FALSE),"-")&amp;"급"</f>
        <v>0급</v>
      </c>
      <c r="T61" s="56" t="str">
        <f>IFERROR(VLOOKUP(표7[발견물'[1']],표1[[명칭]:[등급]],4,FALSE),"-")&amp;"급"</f>
        <v>0급</v>
      </c>
      <c r="U61" s="56" t="str">
        <f>IFERROR(VLOOKUP(표7[발견물'[2']],표1[[명칭]:[등급]],4,FALSE),"-")&amp;"급"</f>
        <v>0급</v>
      </c>
      <c r="V61" s="56" t="str">
        <f>IFERROR(VLOOKUP(표7[발견물'[3']],표1[[명칭]:[등급]],4,FALSE),"-")&amp;"급"</f>
        <v>0급</v>
      </c>
      <c r="W61" s="56" t="str">
        <f>IFERROR(VLOOKUP(표7[발견물'[4']],표1[[명칭]:[등급]],4,FALSE),"-")&amp;"급"</f>
        <v>0급</v>
      </c>
      <c r="X61" s="56" t="str">
        <f>IFERROR(VLOOKUP(표7[발견물'[5']],표1[[명칭]:[등급]],4,FALSE),"-")&amp;"급"</f>
        <v>0급</v>
      </c>
      <c r="Y61" s="56" t="str">
        <f>IFERROR(INDEX([1]FishGrade!$I:$I,MATCH(표10[[#This Row],[등급'[0']]],[1]FishGrade!$B:$B,0)),"-")</f>
        <v>-</v>
      </c>
      <c r="Z61" s="56" t="str">
        <f>IFERROR(INDEX([1]FishGrade!$I:$I,MATCH(표10[[#This Row],[등급'[1']]],[1]FishGrade!$B:$B,0)),"-")</f>
        <v>-</v>
      </c>
      <c r="AA61" s="56" t="str">
        <f>IFERROR(INDEX([1]FishGrade!$I:$I,MATCH(표10[[#This Row],[등급'[2']]],[1]FishGrade!$B:$B,0)),"-")</f>
        <v>-</v>
      </c>
      <c r="AB61" s="56" t="str">
        <f>IFERROR(INDEX([1]FishGrade!$I:$I,MATCH(표10[[#This Row],[등급'[3']]],[1]FishGrade!$B:$B,0)),"-")</f>
        <v>-</v>
      </c>
      <c r="AC61" s="56" t="str">
        <f>IFERROR(INDEX([1]FishGrade!$I:$I,MATCH(표10[[#This Row],[등급'[4']]],[1]FishGrade!$B:$B,0)),"-")</f>
        <v>-</v>
      </c>
      <c r="AD61" s="56" t="str">
        <f>IFERROR(INDEX([1]FishGrade!$I:$I,MATCH(표10[[#This Row],[등급'[5']]],[1]FishGrade!$B:$B,0)),"-")</f>
        <v>-</v>
      </c>
      <c r="AE61" s="56">
        <f>IF([1]FishDiscoveryGroup!$I$8="-",0,[1]FishDiscoveryGroup!$I$8)</f>
        <v>0</v>
      </c>
      <c r="AF61" s="56">
        <f>IF([1]FishDiscoveryGroup!$I$8="-",0,[1]FishDiscoveryGroup!$L$8)</f>
        <v>0</v>
      </c>
      <c r="AG61" s="56">
        <f>IF([1]FishDiscoveryGroup!$I$8="-",0,[1]FishDiscoveryGroup!$O$8)</f>
        <v>0</v>
      </c>
      <c r="AH61" s="56">
        <f>IF([1]FishDiscoveryGroup!$I$8="-",0,[1]FishDiscoveryGroup!$R$8)</f>
        <v>0</v>
      </c>
      <c r="AI61" s="56">
        <f>IF([1]FishDiscoveryGroup!$I$8="-",0,[1]FishDiscoveryGroup!$U$8)</f>
        <v>0</v>
      </c>
      <c r="AJ61" s="56">
        <f>IF([1]FishDiscoveryGroup!$I$8="-",0,[1]FishDiscoveryGroup!$X$8)</f>
        <v>0</v>
      </c>
      <c r="AK61" s="56">
        <f>IF(표10[[#This Row],[배당'[0']]]="-",0,표10[[#This Row],[배당'[0']]])+표10[[#This Row],[PROB'[0']]]</f>
        <v>0</v>
      </c>
      <c r="AL61" s="56">
        <f>IF(표10[[#This Row],[배당'[1']]]="-",0,표10[[#This Row],[배당'[1']]])+표10[[#This Row],[PROB'[1']]]</f>
        <v>0</v>
      </c>
      <c r="AM61" s="56">
        <f>IF(표10[[#This Row],[배당'[2']]]="-",0,표10[[#This Row],[배당'[2']]])+표10[[#This Row],[PROB'[2']]]</f>
        <v>0</v>
      </c>
      <c r="AN61" s="56">
        <f>IF(표10[[#This Row],[배당'[3']]]="-",0,표10[[#This Row],[배당'[3']]])+표10[[#This Row],[PROB'[3']]]</f>
        <v>0</v>
      </c>
      <c r="AO61" s="56">
        <f>IF(표10[[#This Row],[배당'[4']]]="-",0,표10[[#This Row],[배당'[4']]])+표10[[#This Row],[PROB'[4']]]</f>
        <v>0</v>
      </c>
      <c r="AP61" s="56">
        <f>IF(표10[[#This Row],[배당'[5']]]="-",0,표10[[#This Row],[배당'[5']]])+표10[[#This Row],[PROB'[5']]]</f>
        <v>0</v>
      </c>
      <c r="AQ61" s="56">
        <f>SUM(표10[[#This Row],[최종배당'[0']]:[최종배당'[5']]])</f>
        <v>0</v>
      </c>
    </row>
    <row r="62" spans="2:43" x14ac:dyDescent="0.3">
      <c r="B62" s="56" t="str">
        <f>[1]FishOceanTile!B67</f>
        <v>나일강</v>
      </c>
      <c r="C62" s="56" t="str">
        <f>IFERROR(VLOOKUP(표7[[#This Row],[낚시 타일]],[3]!표1_67[[이름]:[선단 LV]],6,FALSE),"-")</f>
        <v>-</v>
      </c>
      <c r="D62" s="56" t="str">
        <f>IFERROR(VLOOKUP(표7[[#This Row],[낚시 타일]],[3]!표1_67[[이름]:[위도]],3,FALSE),"-")</f>
        <v>-</v>
      </c>
      <c r="E62" s="56" t="str">
        <f>IFERROR(VLOOKUP(표7[[#This Row],[낚시 타일]],[3]!표1_67[[이름]:[위도]],2,FALSE),"-")</f>
        <v>-</v>
      </c>
      <c r="F62" s="56"/>
      <c r="G62" s="56" t="str">
        <f>IFERROR(ROUNDDOWN(표10[[#This Row],[최종배당'[0']]]/표10[[#This Row],[분모]]*100,0)&amp;"%","-")</f>
        <v>-</v>
      </c>
      <c r="H62" s="56"/>
      <c r="I62" s="56" t="str">
        <f>IFERROR(ROUNDDOWN(표10[[#This Row],[최종배당'[1']]]/표10[[#This Row],[분모]]*100,0)&amp;"%","-")</f>
        <v>-</v>
      </c>
      <c r="J62" s="56"/>
      <c r="K62" s="56" t="str">
        <f>IFERROR(ROUNDDOWN(표10[[#This Row],[최종배당'[2']]]/표10[[#This Row],[분모]]*100,0)&amp;"%","-")</f>
        <v>-</v>
      </c>
      <c r="L62" s="56"/>
      <c r="M62" s="56" t="str">
        <f>IFERROR(ROUNDDOWN(표10[[#This Row],[최종배당'[3']]]/표10[[#This Row],[분모]]*100,0)&amp;"%","-")</f>
        <v>-</v>
      </c>
      <c r="N62" s="56"/>
      <c r="O62" s="56" t="str">
        <f>IFERROR(ROUNDDOWN(표10[[#This Row],[최종배당'[4']]]/표10[[#This Row],[분모]]*100,0)&amp;"%","-")</f>
        <v>-</v>
      </c>
      <c r="P62" s="56"/>
      <c r="Q62" s="56" t="str">
        <f>IFERROR(ROUNDDOWN(표10[[#This Row],[최종배당'[5']]]/표10[[#This Row],[분모]]*100,0)&amp;"%","-")</f>
        <v>-</v>
      </c>
      <c r="S62" s="56" t="str">
        <f>IFERROR(VLOOKUP(표7[발견물'[0']],표1[[명칭]:[등급]],4,FALSE),"-")&amp;"급"</f>
        <v>0급</v>
      </c>
      <c r="T62" s="56" t="str">
        <f>IFERROR(VLOOKUP(표7[발견물'[1']],표1[[명칭]:[등급]],4,FALSE),"-")&amp;"급"</f>
        <v>0급</v>
      </c>
      <c r="U62" s="56" t="str">
        <f>IFERROR(VLOOKUP(표7[발견물'[2']],표1[[명칭]:[등급]],4,FALSE),"-")&amp;"급"</f>
        <v>0급</v>
      </c>
      <c r="V62" s="56" t="str">
        <f>IFERROR(VLOOKUP(표7[발견물'[3']],표1[[명칭]:[등급]],4,FALSE),"-")&amp;"급"</f>
        <v>0급</v>
      </c>
      <c r="W62" s="56" t="str">
        <f>IFERROR(VLOOKUP(표7[발견물'[4']],표1[[명칭]:[등급]],4,FALSE),"-")&amp;"급"</f>
        <v>0급</v>
      </c>
      <c r="X62" s="56" t="str">
        <f>IFERROR(VLOOKUP(표7[발견물'[5']],표1[[명칭]:[등급]],4,FALSE),"-")&amp;"급"</f>
        <v>0급</v>
      </c>
      <c r="Y62" s="56" t="str">
        <f>IFERROR(INDEX([1]FishGrade!$I:$I,MATCH(표10[[#This Row],[등급'[0']]],[1]FishGrade!$B:$B,0)),"-")</f>
        <v>-</v>
      </c>
      <c r="Z62" s="56" t="str">
        <f>IFERROR(INDEX([1]FishGrade!$I:$I,MATCH(표10[[#This Row],[등급'[1']]],[1]FishGrade!$B:$B,0)),"-")</f>
        <v>-</v>
      </c>
      <c r="AA62" s="56" t="str">
        <f>IFERROR(INDEX([1]FishGrade!$I:$I,MATCH(표10[[#This Row],[등급'[2']]],[1]FishGrade!$B:$B,0)),"-")</f>
        <v>-</v>
      </c>
      <c r="AB62" s="56" t="str">
        <f>IFERROR(INDEX([1]FishGrade!$I:$I,MATCH(표10[[#This Row],[등급'[3']]],[1]FishGrade!$B:$B,0)),"-")</f>
        <v>-</v>
      </c>
      <c r="AC62" s="56" t="str">
        <f>IFERROR(INDEX([1]FishGrade!$I:$I,MATCH(표10[[#This Row],[등급'[4']]],[1]FishGrade!$B:$B,0)),"-")</f>
        <v>-</v>
      </c>
      <c r="AD62" s="56" t="str">
        <f>IFERROR(INDEX([1]FishGrade!$I:$I,MATCH(표10[[#This Row],[등급'[5']]],[1]FishGrade!$B:$B,0)),"-")</f>
        <v>-</v>
      </c>
      <c r="AE62" s="56">
        <f>IF([1]FishDiscoveryGroup!$I$8="-",0,[1]FishDiscoveryGroup!$I$8)</f>
        <v>0</v>
      </c>
      <c r="AF62" s="56">
        <f>IF([1]FishDiscoveryGroup!$I$8="-",0,[1]FishDiscoveryGroup!$L$8)</f>
        <v>0</v>
      </c>
      <c r="AG62" s="56">
        <f>IF([1]FishDiscoveryGroup!$I$8="-",0,[1]FishDiscoveryGroup!$O$8)</f>
        <v>0</v>
      </c>
      <c r="AH62" s="56">
        <f>IF([1]FishDiscoveryGroup!$I$8="-",0,[1]FishDiscoveryGroup!$R$8)</f>
        <v>0</v>
      </c>
      <c r="AI62" s="56">
        <f>IF([1]FishDiscoveryGroup!$I$8="-",0,[1]FishDiscoveryGroup!$U$8)</f>
        <v>0</v>
      </c>
      <c r="AJ62" s="56">
        <f>IF([1]FishDiscoveryGroup!$I$8="-",0,[1]FishDiscoveryGroup!$X$8)</f>
        <v>0</v>
      </c>
      <c r="AK62" s="56">
        <f>IF(표10[[#This Row],[배당'[0']]]="-",0,표10[[#This Row],[배당'[0']]])+표10[[#This Row],[PROB'[0']]]</f>
        <v>0</v>
      </c>
      <c r="AL62" s="56">
        <f>IF(표10[[#This Row],[배당'[1']]]="-",0,표10[[#This Row],[배당'[1']]])+표10[[#This Row],[PROB'[1']]]</f>
        <v>0</v>
      </c>
      <c r="AM62" s="56">
        <f>IF(표10[[#This Row],[배당'[2']]]="-",0,표10[[#This Row],[배당'[2']]])+표10[[#This Row],[PROB'[2']]]</f>
        <v>0</v>
      </c>
      <c r="AN62" s="56">
        <f>IF(표10[[#This Row],[배당'[3']]]="-",0,표10[[#This Row],[배당'[3']]])+표10[[#This Row],[PROB'[3']]]</f>
        <v>0</v>
      </c>
      <c r="AO62" s="56">
        <f>IF(표10[[#This Row],[배당'[4']]]="-",0,표10[[#This Row],[배당'[4']]])+표10[[#This Row],[PROB'[4']]]</f>
        <v>0</v>
      </c>
      <c r="AP62" s="56">
        <f>IF(표10[[#This Row],[배당'[5']]]="-",0,표10[[#This Row],[배당'[5']]])+표10[[#This Row],[PROB'[5']]]</f>
        <v>0</v>
      </c>
      <c r="AQ62" s="56">
        <f>SUM(표10[[#This Row],[최종배당'[0']]:[최종배당'[5']]])</f>
        <v>0</v>
      </c>
    </row>
    <row r="63" spans="2:43" x14ac:dyDescent="0.3">
      <c r="B63" s="56" t="str">
        <f>[1]FishOceanTile!B68</f>
        <v>아라비아해</v>
      </c>
      <c r="C63" s="56" t="str">
        <f>IFERROR(VLOOKUP(표7[[#This Row],[낚시 타일]],[3]!표1_67[[이름]:[선단 LV]],6,FALSE),"-")</f>
        <v>-</v>
      </c>
      <c r="D63" s="56" t="str">
        <f>IFERROR(VLOOKUP(표7[[#This Row],[낚시 타일]],[3]!표1_67[[이름]:[위도]],3,FALSE),"-")</f>
        <v>-</v>
      </c>
      <c r="E63" s="56" t="str">
        <f>IFERROR(VLOOKUP(표7[[#This Row],[낚시 타일]],[3]!표1_67[[이름]:[위도]],2,FALSE),"-")</f>
        <v>-</v>
      </c>
      <c r="F63" s="56"/>
      <c r="G63" s="56" t="str">
        <f>IFERROR(ROUNDDOWN(표10[[#This Row],[최종배당'[0']]]/표10[[#This Row],[분모]]*100,0)&amp;"%","-")</f>
        <v>-</v>
      </c>
      <c r="H63" s="56"/>
      <c r="I63" s="56" t="str">
        <f>IFERROR(ROUNDDOWN(표10[[#This Row],[최종배당'[1']]]/표10[[#This Row],[분모]]*100,0)&amp;"%","-")</f>
        <v>-</v>
      </c>
      <c r="J63" s="56"/>
      <c r="K63" s="56" t="str">
        <f>IFERROR(ROUNDDOWN(표10[[#This Row],[최종배당'[2']]]/표10[[#This Row],[분모]]*100,0)&amp;"%","-")</f>
        <v>-</v>
      </c>
      <c r="L63" s="56"/>
      <c r="M63" s="56" t="str">
        <f>IFERROR(ROUNDDOWN(표10[[#This Row],[최종배당'[3']]]/표10[[#This Row],[분모]]*100,0)&amp;"%","-")</f>
        <v>-</v>
      </c>
      <c r="N63" s="56"/>
      <c r="O63" s="56" t="str">
        <f>IFERROR(ROUNDDOWN(표10[[#This Row],[최종배당'[4']]]/표10[[#This Row],[분모]]*100,0)&amp;"%","-")</f>
        <v>-</v>
      </c>
      <c r="P63" s="56"/>
      <c r="Q63" s="56" t="str">
        <f>IFERROR(ROUNDDOWN(표10[[#This Row],[최종배당'[5']]]/표10[[#This Row],[분모]]*100,0)&amp;"%","-")</f>
        <v>-</v>
      </c>
      <c r="S63" s="56" t="str">
        <f>IFERROR(VLOOKUP(표7[발견물'[0']],표1[[명칭]:[등급]],4,FALSE),"-")&amp;"급"</f>
        <v>0급</v>
      </c>
      <c r="T63" s="56" t="str">
        <f>IFERROR(VLOOKUP(표7[발견물'[1']],표1[[명칭]:[등급]],4,FALSE),"-")&amp;"급"</f>
        <v>0급</v>
      </c>
      <c r="U63" s="56" t="str">
        <f>IFERROR(VLOOKUP(표7[발견물'[2']],표1[[명칭]:[등급]],4,FALSE),"-")&amp;"급"</f>
        <v>0급</v>
      </c>
      <c r="V63" s="56" t="str">
        <f>IFERROR(VLOOKUP(표7[발견물'[3']],표1[[명칭]:[등급]],4,FALSE),"-")&amp;"급"</f>
        <v>0급</v>
      </c>
      <c r="W63" s="56" t="str">
        <f>IFERROR(VLOOKUP(표7[발견물'[4']],표1[[명칭]:[등급]],4,FALSE),"-")&amp;"급"</f>
        <v>0급</v>
      </c>
      <c r="X63" s="56" t="str">
        <f>IFERROR(VLOOKUP(표7[발견물'[5']],표1[[명칭]:[등급]],4,FALSE),"-")&amp;"급"</f>
        <v>0급</v>
      </c>
      <c r="Y63" s="56" t="str">
        <f>IFERROR(INDEX([1]FishGrade!$I:$I,MATCH(표10[[#This Row],[등급'[0']]],[1]FishGrade!$B:$B,0)),"-")</f>
        <v>-</v>
      </c>
      <c r="Z63" s="56" t="str">
        <f>IFERROR(INDEX([1]FishGrade!$I:$I,MATCH(표10[[#This Row],[등급'[1']]],[1]FishGrade!$B:$B,0)),"-")</f>
        <v>-</v>
      </c>
      <c r="AA63" s="56" t="str">
        <f>IFERROR(INDEX([1]FishGrade!$I:$I,MATCH(표10[[#This Row],[등급'[2']]],[1]FishGrade!$B:$B,0)),"-")</f>
        <v>-</v>
      </c>
      <c r="AB63" s="56" t="str">
        <f>IFERROR(INDEX([1]FishGrade!$I:$I,MATCH(표10[[#This Row],[등급'[3']]],[1]FishGrade!$B:$B,0)),"-")</f>
        <v>-</v>
      </c>
      <c r="AC63" s="56" t="str">
        <f>IFERROR(INDEX([1]FishGrade!$I:$I,MATCH(표10[[#This Row],[등급'[4']]],[1]FishGrade!$B:$B,0)),"-")</f>
        <v>-</v>
      </c>
      <c r="AD63" s="56" t="str">
        <f>IFERROR(INDEX([1]FishGrade!$I:$I,MATCH(표10[[#This Row],[등급'[5']]],[1]FishGrade!$B:$B,0)),"-")</f>
        <v>-</v>
      </c>
      <c r="AE63" s="56">
        <f>IF([1]FishDiscoveryGroup!$I$8="-",0,[1]FishDiscoveryGroup!$I$8)</f>
        <v>0</v>
      </c>
      <c r="AF63" s="56">
        <f>IF([1]FishDiscoveryGroup!$I$8="-",0,[1]FishDiscoveryGroup!$L$8)</f>
        <v>0</v>
      </c>
      <c r="AG63" s="56">
        <f>IF([1]FishDiscoveryGroup!$I$8="-",0,[1]FishDiscoveryGroup!$O$8)</f>
        <v>0</v>
      </c>
      <c r="AH63" s="56">
        <f>IF([1]FishDiscoveryGroup!$I$8="-",0,[1]FishDiscoveryGroup!$R$8)</f>
        <v>0</v>
      </c>
      <c r="AI63" s="56">
        <f>IF([1]FishDiscoveryGroup!$I$8="-",0,[1]FishDiscoveryGroup!$U$8)</f>
        <v>0</v>
      </c>
      <c r="AJ63" s="56">
        <f>IF([1]FishDiscoveryGroup!$I$8="-",0,[1]FishDiscoveryGroup!$X$8)</f>
        <v>0</v>
      </c>
      <c r="AK63" s="56">
        <f>IF(표10[[#This Row],[배당'[0']]]="-",0,표10[[#This Row],[배당'[0']]])+표10[[#This Row],[PROB'[0']]]</f>
        <v>0</v>
      </c>
      <c r="AL63" s="56">
        <f>IF(표10[[#This Row],[배당'[1']]]="-",0,표10[[#This Row],[배당'[1']]])+표10[[#This Row],[PROB'[1']]]</f>
        <v>0</v>
      </c>
      <c r="AM63" s="56">
        <f>IF(표10[[#This Row],[배당'[2']]]="-",0,표10[[#This Row],[배당'[2']]])+표10[[#This Row],[PROB'[2']]]</f>
        <v>0</v>
      </c>
      <c r="AN63" s="56">
        <f>IF(표10[[#This Row],[배당'[3']]]="-",0,표10[[#This Row],[배당'[3']]])+표10[[#This Row],[PROB'[3']]]</f>
        <v>0</v>
      </c>
      <c r="AO63" s="56">
        <f>IF(표10[[#This Row],[배당'[4']]]="-",0,표10[[#This Row],[배당'[4']]])+표10[[#This Row],[PROB'[4']]]</f>
        <v>0</v>
      </c>
      <c r="AP63" s="56">
        <f>IF(표10[[#This Row],[배당'[5']]]="-",0,표10[[#This Row],[배당'[5']]])+표10[[#This Row],[PROB'[5']]]</f>
        <v>0</v>
      </c>
      <c r="AQ63" s="56">
        <f>SUM(표10[[#This Row],[최종배당'[0']]:[최종배당'[5']]])</f>
        <v>0</v>
      </c>
    </row>
    <row r="64" spans="2:43" x14ac:dyDescent="0.3">
      <c r="B64" s="56" t="str">
        <f>[1]FishOceanTile!B69</f>
        <v>페르시아만</v>
      </c>
      <c r="C64" s="56" t="str">
        <f>IFERROR(VLOOKUP(표7[[#This Row],[낚시 타일]],[3]!표1_67[[이름]:[선단 LV]],6,FALSE),"-")</f>
        <v>-</v>
      </c>
      <c r="D64" s="56" t="str">
        <f>IFERROR(VLOOKUP(표7[[#This Row],[낚시 타일]],[3]!표1_67[[이름]:[위도]],3,FALSE),"-")</f>
        <v>-</v>
      </c>
      <c r="E64" s="56" t="str">
        <f>IFERROR(VLOOKUP(표7[[#This Row],[낚시 타일]],[3]!표1_67[[이름]:[위도]],2,FALSE),"-")</f>
        <v>-</v>
      </c>
      <c r="F64" s="56"/>
      <c r="G64" s="56" t="str">
        <f>IFERROR(ROUNDDOWN(표10[[#This Row],[최종배당'[0']]]/표10[[#This Row],[분모]]*100,0)&amp;"%","-")</f>
        <v>-</v>
      </c>
      <c r="H64" s="56"/>
      <c r="I64" s="56" t="str">
        <f>IFERROR(ROUNDDOWN(표10[[#This Row],[최종배당'[1']]]/표10[[#This Row],[분모]]*100,0)&amp;"%","-")</f>
        <v>-</v>
      </c>
      <c r="J64" s="56"/>
      <c r="K64" s="56" t="str">
        <f>IFERROR(ROUNDDOWN(표10[[#This Row],[최종배당'[2']]]/표10[[#This Row],[분모]]*100,0)&amp;"%","-")</f>
        <v>-</v>
      </c>
      <c r="L64" s="56"/>
      <c r="M64" s="56" t="str">
        <f>IFERROR(ROUNDDOWN(표10[[#This Row],[최종배당'[3']]]/표10[[#This Row],[분모]]*100,0)&amp;"%","-")</f>
        <v>-</v>
      </c>
      <c r="N64" s="56"/>
      <c r="O64" s="56" t="str">
        <f>IFERROR(ROUNDDOWN(표10[[#This Row],[최종배당'[4']]]/표10[[#This Row],[분모]]*100,0)&amp;"%","-")</f>
        <v>-</v>
      </c>
      <c r="P64" s="56"/>
      <c r="Q64" s="56" t="str">
        <f>IFERROR(ROUNDDOWN(표10[[#This Row],[최종배당'[5']]]/표10[[#This Row],[분모]]*100,0)&amp;"%","-")</f>
        <v>-</v>
      </c>
      <c r="S64" s="56" t="str">
        <f>IFERROR(VLOOKUP(표7[발견물'[0']],표1[[명칭]:[등급]],4,FALSE),"-")&amp;"급"</f>
        <v>0급</v>
      </c>
      <c r="T64" s="56" t="str">
        <f>IFERROR(VLOOKUP(표7[발견물'[1']],표1[[명칭]:[등급]],4,FALSE),"-")&amp;"급"</f>
        <v>0급</v>
      </c>
      <c r="U64" s="56" t="str">
        <f>IFERROR(VLOOKUP(표7[발견물'[2']],표1[[명칭]:[등급]],4,FALSE),"-")&amp;"급"</f>
        <v>0급</v>
      </c>
      <c r="V64" s="56" t="str">
        <f>IFERROR(VLOOKUP(표7[발견물'[3']],표1[[명칭]:[등급]],4,FALSE),"-")&amp;"급"</f>
        <v>0급</v>
      </c>
      <c r="W64" s="56" t="str">
        <f>IFERROR(VLOOKUP(표7[발견물'[4']],표1[[명칭]:[등급]],4,FALSE),"-")&amp;"급"</f>
        <v>0급</v>
      </c>
      <c r="X64" s="56" t="str">
        <f>IFERROR(VLOOKUP(표7[발견물'[5']],표1[[명칭]:[등급]],4,FALSE),"-")&amp;"급"</f>
        <v>0급</v>
      </c>
      <c r="Y64" s="56" t="str">
        <f>IFERROR(INDEX([1]FishGrade!$I:$I,MATCH(표10[[#This Row],[등급'[0']]],[1]FishGrade!$B:$B,0)),"-")</f>
        <v>-</v>
      </c>
      <c r="Z64" s="56" t="str">
        <f>IFERROR(INDEX([1]FishGrade!$I:$I,MATCH(표10[[#This Row],[등급'[1']]],[1]FishGrade!$B:$B,0)),"-")</f>
        <v>-</v>
      </c>
      <c r="AA64" s="56" t="str">
        <f>IFERROR(INDEX([1]FishGrade!$I:$I,MATCH(표10[[#This Row],[등급'[2']]],[1]FishGrade!$B:$B,0)),"-")</f>
        <v>-</v>
      </c>
      <c r="AB64" s="56" t="str">
        <f>IFERROR(INDEX([1]FishGrade!$I:$I,MATCH(표10[[#This Row],[등급'[3']]],[1]FishGrade!$B:$B,0)),"-")</f>
        <v>-</v>
      </c>
      <c r="AC64" s="56" t="str">
        <f>IFERROR(INDEX([1]FishGrade!$I:$I,MATCH(표10[[#This Row],[등급'[4']]],[1]FishGrade!$B:$B,0)),"-")</f>
        <v>-</v>
      </c>
      <c r="AD64" s="56" t="str">
        <f>IFERROR(INDEX([1]FishGrade!$I:$I,MATCH(표10[[#This Row],[등급'[5']]],[1]FishGrade!$B:$B,0)),"-")</f>
        <v>-</v>
      </c>
      <c r="AE64" s="56">
        <f>IF([1]FishDiscoveryGroup!$I$8="-",0,[1]FishDiscoveryGroup!$I$8)</f>
        <v>0</v>
      </c>
      <c r="AF64" s="56">
        <f>IF([1]FishDiscoveryGroup!$I$8="-",0,[1]FishDiscoveryGroup!$L$8)</f>
        <v>0</v>
      </c>
      <c r="AG64" s="56">
        <f>IF([1]FishDiscoveryGroup!$I$8="-",0,[1]FishDiscoveryGroup!$O$8)</f>
        <v>0</v>
      </c>
      <c r="AH64" s="56">
        <f>IF([1]FishDiscoveryGroup!$I$8="-",0,[1]FishDiscoveryGroup!$R$8)</f>
        <v>0</v>
      </c>
      <c r="AI64" s="56">
        <f>IF([1]FishDiscoveryGroup!$I$8="-",0,[1]FishDiscoveryGroup!$U$8)</f>
        <v>0</v>
      </c>
      <c r="AJ64" s="56">
        <f>IF([1]FishDiscoveryGroup!$I$8="-",0,[1]FishDiscoveryGroup!$X$8)</f>
        <v>0</v>
      </c>
      <c r="AK64" s="56">
        <f>IF(표10[[#This Row],[배당'[0']]]="-",0,표10[[#This Row],[배당'[0']]])+표10[[#This Row],[PROB'[0']]]</f>
        <v>0</v>
      </c>
      <c r="AL64" s="56">
        <f>IF(표10[[#This Row],[배당'[1']]]="-",0,표10[[#This Row],[배당'[1']]])+표10[[#This Row],[PROB'[1']]]</f>
        <v>0</v>
      </c>
      <c r="AM64" s="56">
        <f>IF(표10[[#This Row],[배당'[2']]]="-",0,표10[[#This Row],[배당'[2']]])+표10[[#This Row],[PROB'[2']]]</f>
        <v>0</v>
      </c>
      <c r="AN64" s="56">
        <f>IF(표10[[#This Row],[배당'[3']]]="-",0,표10[[#This Row],[배당'[3']]])+표10[[#This Row],[PROB'[3']]]</f>
        <v>0</v>
      </c>
      <c r="AO64" s="56">
        <f>IF(표10[[#This Row],[배당'[4']]]="-",0,표10[[#This Row],[배당'[4']]])+표10[[#This Row],[PROB'[4']]]</f>
        <v>0</v>
      </c>
      <c r="AP64" s="56">
        <f>IF(표10[[#This Row],[배당'[5']]]="-",0,표10[[#This Row],[배당'[5']]])+표10[[#This Row],[PROB'[5']]]</f>
        <v>0</v>
      </c>
      <c r="AQ64" s="56">
        <f>SUM(표10[[#This Row],[최종배당'[0']]:[최종배당'[5']]])</f>
        <v>0</v>
      </c>
    </row>
    <row r="65" spans="2:43" x14ac:dyDescent="0.3">
      <c r="B65" s="56" t="str">
        <f>[1]FishOceanTile!B70</f>
        <v>인도 남쪽</v>
      </c>
      <c r="C65" s="56" t="str">
        <f>IFERROR(VLOOKUP(표7[[#This Row],[낚시 타일]],[3]!표1_67[[이름]:[선단 LV]],6,FALSE),"-")</f>
        <v>-</v>
      </c>
      <c r="D65" s="56" t="str">
        <f>IFERROR(VLOOKUP(표7[[#This Row],[낚시 타일]],[3]!표1_67[[이름]:[위도]],3,FALSE),"-")</f>
        <v>-</v>
      </c>
      <c r="E65" s="56" t="str">
        <f>IFERROR(VLOOKUP(표7[[#This Row],[낚시 타일]],[3]!표1_67[[이름]:[위도]],2,FALSE),"-")</f>
        <v>-</v>
      </c>
      <c r="F65" s="56"/>
      <c r="G65" s="56" t="str">
        <f>IFERROR(ROUNDDOWN(표10[[#This Row],[최종배당'[0']]]/표10[[#This Row],[분모]]*100,0)&amp;"%","-")</f>
        <v>-</v>
      </c>
      <c r="H65" s="56"/>
      <c r="I65" s="56" t="str">
        <f>IFERROR(ROUNDDOWN(표10[[#This Row],[최종배당'[1']]]/표10[[#This Row],[분모]]*100,0)&amp;"%","-")</f>
        <v>-</v>
      </c>
      <c r="J65" s="56"/>
      <c r="K65" s="56" t="str">
        <f>IFERROR(ROUNDDOWN(표10[[#This Row],[최종배당'[2']]]/표10[[#This Row],[분모]]*100,0)&amp;"%","-")</f>
        <v>-</v>
      </c>
      <c r="L65" s="56"/>
      <c r="M65" s="56" t="str">
        <f>IFERROR(ROUNDDOWN(표10[[#This Row],[최종배당'[3']]]/표10[[#This Row],[분모]]*100,0)&amp;"%","-")</f>
        <v>-</v>
      </c>
      <c r="N65" s="56"/>
      <c r="O65" s="56" t="str">
        <f>IFERROR(ROUNDDOWN(표10[[#This Row],[최종배당'[4']]]/표10[[#This Row],[분모]]*100,0)&amp;"%","-")</f>
        <v>-</v>
      </c>
      <c r="P65" s="56"/>
      <c r="Q65" s="56" t="str">
        <f>IFERROR(ROUNDDOWN(표10[[#This Row],[최종배당'[5']]]/표10[[#This Row],[분모]]*100,0)&amp;"%","-")</f>
        <v>-</v>
      </c>
      <c r="S65" s="56" t="str">
        <f>IFERROR(VLOOKUP(표7[발견물'[0']],표1[[명칭]:[등급]],4,FALSE),"-")&amp;"급"</f>
        <v>0급</v>
      </c>
      <c r="T65" s="56" t="str">
        <f>IFERROR(VLOOKUP(표7[발견물'[1']],표1[[명칭]:[등급]],4,FALSE),"-")&amp;"급"</f>
        <v>0급</v>
      </c>
      <c r="U65" s="56" t="str">
        <f>IFERROR(VLOOKUP(표7[발견물'[2']],표1[[명칭]:[등급]],4,FALSE),"-")&amp;"급"</f>
        <v>0급</v>
      </c>
      <c r="V65" s="56" t="str">
        <f>IFERROR(VLOOKUP(표7[발견물'[3']],표1[[명칭]:[등급]],4,FALSE),"-")&amp;"급"</f>
        <v>0급</v>
      </c>
      <c r="W65" s="56" t="str">
        <f>IFERROR(VLOOKUP(표7[발견물'[4']],표1[[명칭]:[등급]],4,FALSE),"-")&amp;"급"</f>
        <v>0급</v>
      </c>
      <c r="X65" s="56" t="str">
        <f>IFERROR(VLOOKUP(표7[발견물'[5']],표1[[명칭]:[등급]],4,FALSE),"-")&amp;"급"</f>
        <v>0급</v>
      </c>
      <c r="Y65" s="56" t="str">
        <f>IFERROR(INDEX([1]FishGrade!$I:$I,MATCH(표10[[#This Row],[등급'[0']]],[1]FishGrade!$B:$B,0)),"-")</f>
        <v>-</v>
      </c>
      <c r="Z65" s="56" t="str">
        <f>IFERROR(INDEX([1]FishGrade!$I:$I,MATCH(표10[[#This Row],[등급'[1']]],[1]FishGrade!$B:$B,0)),"-")</f>
        <v>-</v>
      </c>
      <c r="AA65" s="56" t="str">
        <f>IFERROR(INDEX([1]FishGrade!$I:$I,MATCH(표10[[#This Row],[등급'[2']]],[1]FishGrade!$B:$B,0)),"-")</f>
        <v>-</v>
      </c>
      <c r="AB65" s="56" t="str">
        <f>IFERROR(INDEX([1]FishGrade!$I:$I,MATCH(표10[[#This Row],[등급'[3']]],[1]FishGrade!$B:$B,0)),"-")</f>
        <v>-</v>
      </c>
      <c r="AC65" s="56" t="str">
        <f>IFERROR(INDEX([1]FishGrade!$I:$I,MATCH(표10[[#This Row],[등급'[4']]],[1]FishGrade!$B:$B,0)),"-")</f>
        <v>-</v>
      </c>
      <c r="AD65" s="56" t="str">
        <f>IFERROR(INDEX([1]FishGrade!$I:$I,MATCH(표10[[#This Row],[등급'[5']]],[1]FishGrade!$B:$B,0)),"-")</f>
        <v>-</v>
      </c>
      <c r="AE65" s="56">
        <f>IF([1]FishDiscoveryGroup!$I$8="-",0,[1]FishDiscoveryGroup!$I$8)</f>
        <v>0</v>
      </c>
      <c r="AF65" s="56">
        <f>IF([1]FishDiscoveryGroup!$I$8="-",0,[1]FishDiscoveryGroup!$L$8)</f>
        <v>0</v>
      </c>
      <c r="AG65" s="56">
        <f>IF([1]FishDiscoveryGroup!$I$8="-",0,[1]FishDiscoveryGroup!$O$8)</f>
        <v>0</v>
      </c>
      <c r="AH65" s="56">
        <f>IF([1]FishDiscoveryGroup!$I$8="-",0,[1]FishDiscoveryGroup!$R$8)</f>
        <v>0</v>
      </c>
      <c r="AI65" s="56">
        <f>IF([1]FishDiscoveryGroup!$I$8="-",0,[1]FishDiscoveryGroup!$U$8)</f>
        <v>0</v>
      </c>
      <c r="AJ65" s="56">
        <f>IF([1]FishDiscoveryGroup!$I$8="-",0,[1]FishDiscoveryGroup!$X$8)</f>
        <v>0</v>
      </c>
      <c r="AK65" s="56">
        <f>IF(표10[[#This Row],[배당'[0']]]="-",0,표10[[#This Row],[배당'[0']]])+표10[[#This Row],[PROB'[0']]]</f>
        <v>0</v>
      </c>
      <c r="AL65" s="56">
        <f>IF(표10[[#This Row],[배당'[1']]]="-",0,표10[[#This Row],[배당'[1']]])+표10[[#This Row],[PROB'[1']]]</f>
        <v>0</v>
      </c>
      <c r="AM65" s="56">
        <f>IF(표10[[#This Row],[배당'[2']]]="-",0,표10[[#This Row],[배당'[2']]])+표10[[#This Row],[PROB'[2']]]</f>
        <v>0</v>
      </c>
      <c r="AN65" s="56">
        <f>IF(표10[[#This Row],[배당'[3']]]="-",0,표10[[#This Row],[배당'[3']]])+표10[[#This Row],[PROB'[3']]]</f>
        <v>0</v>
      </c>
      <c r="AO65" s="56">
        <f>IF(표10[[#This Row],[배당'[4']]]="-",0,표10[[#This Row],[배당'[4']]])+표10[[#This Row],[PROB'[4']]]</f>
        <v>0</v>
      </c>
      <c r="AP65" s="56">
        <f>IF(표10[[#This Row],[배당'[5']]]="-",0,표10[[#This Row],[배당'[5']]])+표10[[#This Row],[PROB'[5']]]</f>
        <v>0</v>
      </c>
      <c r="AQ65" s="56">
        <f>SUM(표10[[#This Row],[최종배당'[0']]:[최종배당'[5']]])</f>
        <v>0</v>
      </c>
    </row>
    <row r="66" spans="2:43" x14ac:dyDescent="0.3">
      <c r="B66" s="56" t="str">
        <f>[1]FishOceanTile!B71</f>
        <v>안다만해</v>
      </c>
      <c r="C66" s="56" t="str">
        <f>IFERROR(VLOOKUP(표7[[#This Row],[낚시 타일]],[3]!표1_67[[이름]:[선단 LV]],6,FALSE),"-")</f>
        <v>-</v>
      </c>
      <c r="D66" s="56" t="str">
        <f>IFERROR(VLOOKUP(표7[[#This Row],[낚시 타일]],[3]!표1_67[[이름]:[위도]],3,FALSE),"-")</f>
        <v>-</v>
      </c>
      <c r="E66" s="56" t="str">
        <f>IFERROR(VLOOKUP(표7[[#This Row],[낚시 타일]],[3]!표1_67[[이름]:[위도]],2,FALSE),"-")</f>
        <v>-</v>
      </c>
      <c r="F66" s="56"/>
      <c r="G66" s="56" t="str">
        <f>IFERROR(ROUNDDOWN(표10[[#This Row],[최종배당'[0']]]/표10[[#This Row],[분모]]*100,0)&amp;"%","-")</f>
        <v>-</v>
      </c>
      <c r="H66" s="56"/>
      <c r="I66" s="56" t="str">
        <f>IFERROR(ROUNDDOWN(표10[[#This Row],[최종배당'[1']]]/표10[[#This Row],[분모]]*100,0)&amp;"%","-")</f>
        <v>-</v>
      </c>
      <c r="J66" s="56"/>
      <c r="K66" s="56" t="str">
        <f>IFERROR(ROUNDDOWN(표10[[#This Row],[최종배당'[2']]]/표10[[#This Row],[분모]]*100,0)&amp;"%","-")</f>
        <v>-</v>
      </c>
      <c r="L66" s="56"/>
      <c r="M66" s="56" t="str">
        <f>IFERROR(ROUNDDOWN(표10[[#This Row],[최종배당'[3']]]/표10[[#This Row],[분모]]*100,0)&amp;"%","-")</f>
        <v>-</v>
      </c>
      <c r="N66" s="56"/>
      <c r="O66" s="56" t="str">
        <f>IFERROR(ROUNDDOWN(표10[[#This Row],[최종배당'[4']]]/표10[[#This Row],[분모]]*100,0)&amp;"%","-")</f>
        <v>-</v>
      </c>
      <c r="P66" s="56"/>
      <c r="Q66" s="56" t="str">
        <f>IFERROR(ROUNDDOWN(표10[[#This Row],[최종배당'[5']]]/표10[[#This Row],[분모]]*100,0)&amp;"%","-")</f>
        <v>-</v>
      </c>
      <c r="S66" s="56" t="str">
        <f>IFERROR(VLOOKUP(표7[발견물'[0']],표1[[명칭]:[등급]],4,FALSE),"-")&amp;"급"</f>
        <v>0급</v>
      </c>
      <c r="T66" s="56" t="str">
        <f>IFERROR(VLOOKUP(표7[발견물'[1']],표1[[명칭]:[등급]],4,FALSE),"-")&amp;"급"</f>
        <v>0급</v>
      </c>
      <c r="U66" s="56" t="str">
        <f>IFERROR(VLOOKUP(표7[발견물'[2']],표1[[명칭]:[등급]],4,FALSE),"-")&amp;"급"</f>
        <v>0급</v>
      </c>
      <c r="V66" s="56" t="str">
        <f>IFERROR(VLOOKUP(표7[발견물'[3']],표1[[명칭]:[등급]],4,FALSE),"-")&amp;"급"</f>
        <v>0급</v>
      </c>
      <c r="W66" s="56" t="str">
        <f>IFERROR(VLOOKUP(표7[발견물'[4']],표1[[명칭]:[등급]],4,FALSE),"-")&amp;"급"</f>
        <v>0급</v>
      </c>
      <c r="X66" s="56" t="str">
        <f>IFERROR(VLOOKUP(표7[발견물'[5']],표1[[명칭]:[등급]],4,FALSE),"-")&amp;"급"</f>
        <v>0급</v>
      </c>
      <c r="Y66" s="56" t="str">
        <f>IFERROR(INDEX([1]FishGrade!$I:$I,MATCH(표10[[#This Row],[등급'[0']]],[1]FishGrade!$B:$B,0)),"-")</f>
        <v>-</v>
      </c>
      <c r="Z66" s="56" t="str">
        <f>IFERROR(INDEX([1]FishGrade!$I:$I,MATCH(표10[[#This Row],[등급'[1']]],[1]FishGrade!$B:$B,0)),"-")</f>
        <v>-</v>
      </c>
      <c r="AA66" s="56" t="str">
        <f>IFERROR(INDEX([1]FishGrade!$I:$I,MATCH(표10[[#This Row],[등급'[2']]],[1]FishGrade!$B:$B,0)),"-")</f>
        <v>-</v>
      </c>
      <c r="AB66" s="56" t="str">
        <f>IFERROR(INDEX([1]FishGrade!$I:$I,MATCH(표10[[#This Row],[등급'[3']]],[1]FishGrade!$B:$B,0)),"-")</f>
        <v>-</v>
      </c>
      <c r="AC66" s="56" t="str">
        <f>IFERROR(INDEX([1]FishGrade!$I:$I,MATCH(표10[[#This Row],[등급'[4']]],[1]FishGrade!$B:$B,0)),"-")</f>
        <v>-</v>
      </c>
      <c r="AD66" s="56" t="str">
        <f>IFERROR(INDEX([1]FishGrade!$I:$I,MATCH(표10[[#This Row],[등급'[5']]],[1]FishGrade!$B:$B,0)),"-")</f>
        <v>-</v>
      </c>
      <c r="AE66" s="56">
        <f>IF([1]FishDiscoveryGroup!$I$8="-",0,[1]FishDiscoveryGroup!$I$8)</f>
        <v>0</v>
      </c>
      <c r="AF66" s="56">
        <f>IF([1]FishDiscoveryGroup!$I$8="-",0,[1]FishDiscoveryGroup!$L$8)</f>
        <v>0</v>
      </c>
      <c r="AG66" s="56">
        <f>IF([1]FishDiscoveryGroup!$I$8="-",0,[1]FishDiscoveryGroup!$O$8)</f>
        <v>0</v>
      </c>
      <c r="AH66" s="56">
        <f>IF([1]FishDiscoveryGroup!$I$8="-",0,[1]FishDiscoveryGroup!$R$8)</f>
        <v>0</v>
      </c>
      <c r="AI66" s="56">
        <f>IF([1]FishDiscoveryGroup!$I$8="-",0,[1]FishDiscoveryGroup!$U$8)</f>
        <v>0</v>
      </c>
      <c r="AJ66" s="56">
        <f>IF([1]FishDiscoveryGroup!$I$8="-",0,[1]FishDiscoveryGroup!$X$8)</f>
        <v>0</v>
      </c>
      <c r="AK66" s="56">
        <f>IF(표10[[#This Row],[배당'[0']]]="-",0,표10[[#This Row],[배당'[0']]])+표10[[#This Row],[PROB'[0']]]</f>
        <v>0</v>
      </c>
      <c r="AL66" s="56">
        <f>IF(표10[[#This Row],[배당'[1']]]="-",0,표10[[#This Row],[배당'[1']]])+표10[[#This Row],[PROB'[1']]]</f>
        <v>0</v>
      </c>
      <c r="AM66" s="56">
        <f>IF(표10[[#This Row],[배당'[2']]]="-",0,표10[[#This Row],[배당'[2']]])+표10[[#This Row],[PROB'[2']]]</f>
        <v>0</v>
      </c>
      <c r="AN66" s="56">
        <f>IF(표10[[#This Row],[배당'[3']]]="-",0,표10[[#This Row],[배당'[3']]])+표10[[#This Row],[PROB'[3']]]</f>
        <v>0</v>
      </c>
      <c r="AO66" s="56">
        <f>IF(표10[[#This Row],[배당'[4']]]="-",0,표10[[#This Row],[배당'[4']]])+표10[[#This Row],[PROB'[4']]]</f>
        <v>0</v>
      </c>
      <c r="AP66" s="56">
        <f>IF(표10[[#This Row],[배당'[5']]]="-",0,표10[[#This Row],[배당'[5']]])+표10[[#This Row],[PROB'[5']]]</f>
        <v>0</v>
      </c>
      <c r="AQ66" s="56">
        <f>SUM(표10[[#This Row],[최종배당'[0']]:[최종배당'[5']]])</f>
        <v>0</v>
      </c>
    </row>
    <row r="67" spans="2:43" x14ac:dyDescent="0.3">
      <c r="B67" s="56" t="str">
        <f>[1]FishOceanTile!B72</f>
        <v>중앙 인도양</v>
      </c>
      <c r="C67" s="56" t="str">
        <f>IFERROR(VLOOKUP(표7[[#This Row],[낚시 타일]],[3]!표1_67[[이름]:[선단 LV]],6,FALSE),"-")</f>
        <v>-</v>
      </c>
      <c r="D67" s="56" t="str">
        <f>IFERROR(VLOOKUP(표7[[#This Row],[낚시 타일]],[3]!표1_67[[이름]:[위도]],3,FALSE),"-")</f>
        <v>-</v>
      </c>
      <c r="E67" s="56" t="str">
        <f>IFERROR(VLOOKUP(표7[[#This Row],[낚시 타일]],[3]!표1_67[[이름]:[위도]],2,FALSE),"-")</f>
        <v>-</v>
      </c>
      <c r="F67" s="56"/>
      <c r="G67" s="56" t="str">
        <f>IFERROR(ROUNDDOWN(표10[[#This Row],[최종배당'[0']]]/표10[[#This Row],[분모]]*100,0)&amp;"%","-")</f>
        <v>-</v>
      </c>
      <c r="H67" s="56"/>
      <c r="I67" s="56" t="str">
        <f>IFERROR(ROUNDDOWN(표10[[#This Row],[최종배당'[1']]]/표10[[#This Row],[분모]]*100,0)&amp;"%","-")</f>
        <v>-</v>
      </c>
      <c r="J67" s="56"/>
      <c r="K67" s="56" t="str">
        <f>IFERROR(ROUNDDOWN(표10[[#This Row],[최종배당'[2']]]/표10[[#This Row],[분모]]*100,0)&amp;"%","-")</f>
        <v>-</v>
      </c>
      <c r="L67" s="56"/>
      <c r="M67" s="56" t="str">
        <f>IFERROR(ROUNDDOWN(표10[[#This Row],[최종배당'[3']]]/표10[[#This Row],[분모]]*100,0)&amp;"%","-")</f>
        <v>-</v>
      </c>
      <c r="N67" s="56"/>
      <c r="O67" s="56" t="str">
        <f>IFERROR(ROUNDDOWN(표10[[#This Row],[최종배당'[4']]]/표10[[#This Row],[분모]]*100,0)&amp;"%","-")</f>
        <v>-</v>
      </c>
      <c r="P67" s="56"/>
      <c r="Q67" s="56" t="str">
        <f>IFERROR(ROUNDDOWN(표10[[#This Row],[최종배당'[5']]]/표10[[#This Row],[분모]]*100,0)&amp;"%","-")</f>
        <v>-</v>
      </c>
      <c r="S67" s="56" t="str">
        <f>IFERROR(VLOOKUP(표7[발견물'[0']],표1[[명칭]:[등급]],4,FALSE),"-")&amp;"급"</f>
        <v>0급</v>
      </c>
      <c r="T67" s="56" t="str">
        <f>IFERROR(VLOOKUP(표7[발견물'[1']],표1[[명칭]:[등급]],4,FALSE),"-")&amp;"급"</f>
        <v>0급</v>
      </c>
      <c r="U67" s="56" t="str">
        <f>IFERROR(VLOOKUP(표7[발견물'[2']],표1[[명칭]:[등급]],4,FALSE),"-")&amp;"급"</f>
        <v>0급</v>
      </c>
      <c r="V67" s="56" t="str">
        <f>IFERROR(VLOOKUP(표7[발견물'[3']],표1[[명칭]:[등급]],4,FALSE),"-")&amp;"급"</f>
        <v>0급</v>
      </c>
      <c r="W67" s="56" t="str">
        <f>IFERROR(VLOOKUP(표7[발견물'[4']],표1[[명칭]:[등급]],4,FALSE),"-")&amp;"급"</f>
        <v>0급</v>
      </c>
      <c r="X67" s="56" t="str">
        <f>IFERROR(VLOOKUP(표7[발견물'[5']],표1[[명칭]:[등급]],4,FALSE),"-")&amp;"급"</f>
        <v>0급</v>
      </c>
      <c r="Y67" s="56" t="str">
        <f>IFERROR(INDEX([1]FishGrade!$I:$I,MATCH(표10[[#This Row],[등급'[0']]],[1]FishGrade!$B:$B,0)),"-")</f>
        <v>-</v>
      </c>
      <c r="Z67" s="56" t="str">
        <f>IFERROR(INDEX([1]FishGrade!$I:$I,MATCH(표10[[#This Row],[등급'[1']]],[1]FishGrade!$B:$B,0)),"-")</f>
        <v>-</v>
      </c>
      <c r="AA67" s="56" t="str">
        <f>IFERROR(INDEX([1]FishGrade!$I:$I,MATCH(표10[[#This Row],[등급'[2']]],[1]FishGrade!$B:$B,0)),"-")</f>
        <v>-</v>
      </c>
      <c r="AB67" s="56" t="str">
        <f>IFERROR(INDEX([1]FishGrade!$I:$I,MATCH(표10[[#This Row],[등급'[3']]],[1]FishGrade!$B:$B,0)),"-")</f>
        <v>-</v>
      </c>
      <c r="AC67" s="56" t="str">
        <f>IFERROR(INDEX([1]FishGrade!$I:$I,MATCH(표10[[#This Row],[등급'[4']]],[1]FishGrade!$B:$B,0)),"-")</f>
        <v>-</v>
      </c>
      <c r="AD67" s="56" t="str">
        <f>IFERROR(INDEX([1]FishGrade!$I:$I,MATCH(표10[[#This Row],[등급'[5']]],[1]FishGrade!$B:$B,0)),"-")</f>
        <v>-</v>
      </c>
      <c r="AE67" s="56">
        <f>IF([1]FishDiscoveryGroup!$I$8="-",0,[1]FishDiscoveryGroup!$I$8)</f>
        <v>0</v>
      </c>
      <c r="AF67" s="56">
        <f>IF([1]FishDiscoveryGroup!$I$8="-",0,[1]FishDiscoveryGroup!$L$8)</f>
        <v>0</v>
      </c>
      <c r="AG67" s="56">
        <f>IF([1]FishDiscoveryGroup!$I$8="-",0,[1]FishDiscoveryGroup!$O$8)</f>
        <v>0</v>
      </c>
      <c r="AH67" s="56">
        <f>IF([1]FishDiscoveryGroup!$I$8="-",0,[1]FishDiscoveryGroup!$R$8)</f>
        <v>0</v>
      </c>
      <c r="AI67" s="56">
        <f>IF([1]FishDiscoveryGroup!$I$8="-",0,[1]FishDiscoveryGroup!$U$8)</f>
        <v>0</v>
      </c>
      <c r="AJ67" s="56">
        <f>IF([1]FishDiscoveryGroup!$I$8="-",0,[1]FishDiscoveryGroup!$X$8)</f>
        <v>0</v>
      </c>
      <c r="AK67" s="56">
        <f>IF(표10[[#This Row],[배당'[0']]]="-",0,표10[[#This Row],[배당'[0']]])+표10[[#This Row],[PROB'[0']]]</f>
        <v>0</v>
      </c>
      <c r="AL67" s="56">
        <f>IF(표10[[#This Row],[배당'[1']]]="-",0,표10[[#This Row],[배당'[1']]])+표10[[#This Row],[PROB'[1']]]</f>
        <v>0</v>
      </c>
      <c r="AM67" s="56">
        <f>IF(표10[[#This Row],[배당'[2']]]="-",0,표10[[#This Row],[배당'[2']]])+표10[[#This Row],[PROB'[2']]]</f>
        <v>0</v>
      </c>
      <c r="AN67" s="56">
        <f>IF(표10[[#This Row],[배당'[3']]]="-",0,표10[[#This Row],[배당'[3']]])+표10[[#This Row],[PROB'[3']]]</f>
        <v>0</v>
      </c>
      <c r="AO67" s="56">
        <f>IF(표10[[#This Row],[배당'[4']]]="-",0,표10[[#This Row],[배당'[4']]])+표10[[#This Row],[PROB'[4']]]</f>
        <v>0</v>
      </c>
      <c r="AP67" s="56">
        <f>IF(표10[[#This Row],[배당'[5']]]="-",0,표10[[#This Row],[배당'[5']]])+표10[[#This Row],[PROB'[5']]]</f>
        <v>0</v>
      </c>
      <c r="AQ67" s="56">
        <f>SUM(표10[[#This Row],[최종배당'[0']]:[최종배당'[5']]])</f>
        <v>0</v>
      </c>
    </row>
    <row r="68" spans="2:43" x14ac:dyDescent="0.3">
      <c r="B68" s="56" t="str">
        <f>[1]FishOceanTile!B73</f>
        <v>동 인도양</v>
      </c>
      <c r="C68" s="56" t="str">
        <f>IFERROR(VLOOKUP(표7[[#This Row],[낚시 타일]],[3]!표1_67[[이름]:[선단 LV]],6,FALSE),"-")</f>
        <v>-</v>
      </c>
      <c r="D68" s="56" t="str">
        <f>IFERROR(VLOOKUP(표7[[#This Row],[낚시 타일]],[3]!표1_67[[이름]:[위도]],3,FALSE),"-")</f>
        <v>-</v>
      </c>
      <c r="E68" s="56" t="str">
        <f>IFERROR(VLOOKUP(표7[[#This Row],[낚시 타일]],[3]!표1_67[[이름]:[위도]],2,FALSE),"-")</f>
        <v>-</v>
      </c>
      <c r="F68" s="56"/>
      <c r="G68" s="56" t="str">
        <f>IFERROR(ROUNDDOWN(표10[[#This Row],[최종배당'[0']]]/표10[[#This Row],[분모]]*100,0)&amp;"%","-")</f>
        <v>-</v>
      </c>
      <c r="H68" s="56"/>
      <c r="I68" s="56" t="str">
        <f>IFERROR(ROUNDDOWN(표10[[#This Row],[최종배당'[1']]]/표10[[#This Row],[분모]]*100,0)&amp;"%","-")</f>
        <v>-</v>
      </c>
      <c r="J68" s="56"/>
      <c r="K68" s="56" t="str">
        <f>IFERROR(ROUNDDOWN(표10[[#This Row],[최종배당'[2']]]/표10[[#This Row],[분모]]*100,0)&amp;"%","-")</f>
        <v>-</v>
      </c>
      <c r="L68" s="56"/>
      <c r="M68" s="56" t="str">
        <f>IFERROR(ROUNDDOWN(표10[[#This Row],[최종배당'[3']]]/표10[[#This Row],[분모]]*100,0)&amp;"%","-")</f>
        <v>-</v>
      </c>
      <c r="N68" s="56"/>
      <c r="O68" s="56" t="str">
        <f>IFERROR(ROUNDDOWN(표10[[#This Row],[최종배당'[4']]]/표10[[#This Row],[분모]]*100,0)&amp;"%","-")</f>
        <v>-</v>
      </c>
      <c r="P68" s="56"/>
      <c r="Q68" s="56" t="str">
        <f>IFERROR(ROUNDDOWN(표10[[#This Row],[최종배당'[5']]]/표10[[#This Row],[분모]]*100,0)&amp;"%","-")</f>
        <v>-</v>
      </c>
      <c r="S68" s="56" t="str">
        <f>IFERROR(VLOOKUP(표7[발견물'[0']],표1[[명칭]:[등급]],4,FALSE),"-")&amp;"급"</f>
        <v>0급</v>
      </c>
      <c r="T68" s="56" t="str">
        <f>IFERROR(VLOOKUP(표7[발견물'[1']],표1[[명칭]:[등급]],4,FALSE),"-")&amp;"급"</f>
        <v>0급</v>
      </c>
      <c r="U68" s="56" t="str">
        <f>IFERROR(VLOOKUP(표7[발견물'[2']],표1[[명칭]:[등급]],4,FALSE),"-")&amp;"급"</f>
        <v>0급</v>
      </c>
      <c r="V68" s="56" t="str">
        <f>IFERROR(VLOOKUP(표7[발견물'[3']],표1[[명칭]:[등급]],4,FALSE),"-")&amp;"급"</f>
        <v>0급</v>
      </c>
      <c r="W68" s="56" t="str">
        <f>IFERROR(VLOOKUP(표7[발견물'[4']],표1[[명칭]:[등급]],4,FALSE),"-")&amp;"급"</f>
        <v>0급</v>
      </c>
      <c r="X68" s="56" t="str">
        <f>IFERROR(VLOOKUP(표7[발견물'[5']],표1[[명칭]:[등급]],4,FALSE),"-")&amp;"급"</f>
        <v>0급</v>
      </c>
      <c r="Y68" s="56" t="str">
        <f>IFERROR(INDEX([1]FishGrade!$I:$I,MATCH(표10[[#This Row],[등급'[0']]],[1]FishGrade!$B:$B,0)),"-")</f>
        <v>-</v>
      </c>
      <c r="Z68" s="56" t="str">
        <f>IFERROR(INDEX([1]FishGrade!$I:$I,MATCH(표10[[#This Row],[등급'[1']]],[1]FishGrade!$B:$B,0)),"-")</f>
        <v>-</v>
      </c>
      <c r="AA68" s="56" t="str">
        <f>IFERROR(INDEX([1]FishGrade!$I:$I,MATCH(표10[[#This Row],[등급'[2']]],[1]FishGrade!$B:$B,0)),"-")</f>
        <v>-</v>
      </c>
      <c r="AB68" s="56" t="str">
        <f>IFERROR(INDEX([1]FishGrade!$I:$I,MATCH(표10[[#This Row],[등급'[3']]],[1]FishGrade!$B:$B,0)),"-")</f>
        <v>-</v>
      </c>
      <c r="AC68" s="56" t="str">
        <f>IFERROR(INDEX([1]FishGrade!$I:$I,MATCH(표10[[#This Row],[등급'[4']]],[1]FishGrade!$B:$B,0)),"-")</f>
        <v>-</v>
      </c>
      <c r="AD68" s="56" t="str">
        <f>IFERROR(INDEX([1]FishGrade!$I:$I,MATCH(표10[[#This Row],[등급'[5']]],[1]FishGrade!$B:$B,0)),"-")</f>
        <v>-</v>
      </c>
      <c r="AE68" s="56">
        <f>IF([1]FishDiscoveryGroup!$I$8="-",0,[1]FishDiscoveryGroup!$I$8)</f>
        <v>0</v>
      </c>
      <c r="AF68" s="56">
        <f>IF([1]FishDiscoveryGroup!$I$8="-",0,[1]FishDiscoveryGroup!$L$8)</f>
        <v>0</v>
      </c>
      <c r="AG68" s="56">
        <f>IF([1]FishDiscoveryGroup!$I$8="-",0,[1]FishDiscoveryGroup!$O$8)</f>
        <v>0</v>
      </c>
      <c r="AH68" s="56">
        <f>IF([1]FishDiscoveryGroup!$I$8="-",0,[1]FishDiscoveryGroup!$R$8)</f>
        <v>0</v>
      </c>
      <c r="AI68" s="56">
        <f>IF([1]FishDiscoveryGroup!$I$8="-",0,[1]FishDiscoveryGroup!$U$8)</f>
        <v>0</v>
      </c>
      <c r="AJ68" s="56">
        <f>IF([1]FishDiscoveryGroup!$I$8="-",0,[1]FishDiscoveryGroup!$X$8)</f>
        <v>0</v>
      </c>
      <c r="AK68" s="56">
        <f>IF(표10[[#This Row],[배당'[0']]]="-",0,표10[[#This Row],[배당'[0']]])+표10[[#This Row],[PROB'[0']]]</f>
        <v>0</v>
      </c>
      <c r="AL68" s="56">
        <f>IF(표10[[#This Row],[배당'[1']]]="-",0,표10[[#This Row],[배당'[1']]])+표10[[#This Row],[PROB'[1']]]</f>
        <v>0</v>
      </c>
      <c r="AM68" s="56">
        <f>IF(표10[[#This Row],[배당'[2']]]="-",0,표10[[#This Row],[배당'[2']]])+표10[[#This Row],[PROB'[2']]]</f>
        <v>0</v>
      </c>
      <c r="AN68" s="56">
        <f>IF(표10[[#This Row],[배당'[3']]]="-",0,표10[[#This Row],[배당'[3']]])+표10[[#This Row],[PROB'[3']]]</f>
        <v>0</v>
      </c>
      <c r="AO68" s="56">
        <f>IF(표10[[#This Row],[배당'[4']]]="-",0,표10[[#This Row],[배당'[4']]])+표10[[#This Row],[PROB'[4']]]</f>
        <v>0</v>
      </c>
      <c r="AP68" s="56">
        <f>IF(표10[[#This Row],[배당'[5']]]="-",0,표10[[#This Row],[배당'[5']]])+표10[[#This Row],[PROB'[5']]]</f>
        <v>0</v>
      </c>
      <c r="AQ68" s="56">
        <f>SUM(표10[[#This Row],[최종배당'[0']]:[최종배당'[5']]])</f>
        <v>0</v>
      </c>
    </row>
    <row r="69" spans="2:43" x14ac:dyDescent="0.3">
      <c r="B69" s="56" t="str">
        <f>[1]FishOceanTile!B74</f>
        <v>남동 인도양</v>
      </c>
      <c r="C69" s="56" t="str">
        <f>IFERROR(VLOOKUP(표7[[#This Row],[낚시 타일]],[3]!표1_67[[이름]:[선단 LV]],6,FALSE),"-")</f>
        <v>-</v>
      </c>
      <c r="D69" s="56" t="str">
        <f>IFERROR(VLOOKUP(표7[[#This Row],[낚시 타일]],[3]!표1_67[[이름]:[위도]],3,FALSE),"-")</f>
        <v>-</v>
      </c>
      <c r="E69" s="56" t="str">
        <f>IFERROR(VLOOKUP(표7[[#This Row],[낚시 타일]],[3]!표1_67[[이름]:[위도]],2,FALSE),"-")</f>
        <v>-</v>
      </c>
      <c r="F69" s="56"/>
      <c r="G69" s="56" t="str">
        <f>IFERROR(ROUNDDOWN(표10[[#This Row],[최종배당'[0']]]/표10[[#This Row],[분모]]*100,0)&amp;"%","-")</f>
        <v>-</v>
      </c>
      <c r="H69" s="56"/>
      <c r="I69" s="56" t="str">
        <f>IFERROR(ROUNDDOWN(표10[[#This Row],[최종배당'[1']]]/표10[[#This Row],[분모]]*100,0)&amp;"%","-")</f>
        <v>-</v>
      </c>
      <c r="J69" s="56"/>
      <c r="K69" s="56" t="str">
        <f>IFERROR(ROUNDDOWN(표10[[#This Row],[최종배당'[2']]]/표10[[#This Row],[분모]]*100,0)&amp;"%","-")</f>
        <v>-</v>
      </c>
      <c r="L69" s="56"/>
      <c r="M69" s="56" t="str">
        <f>IFERROR(ROUNDDOWN(표10[[#This Row],[최종배당'[3']]]/표10[[#This Row],[분모]]*100,0)&amp;"%","-")</f>
        <v>-</v>
      </c>
      <c r="N69" s="56"/>
      <c r="O69" s="56" t="str">
        <f>IFERROR(ROUNDDOWN(표10[[#This Row],[최종배당'[4']]]/표10[[#This Row],[분모]]*100,0)&amp;"%","-")</f>
        <v>-</v>
      </c>
      <c r="P69" s="56"/>
      <c r="Q69" s="56" t="str">
        <f>IFERROR(ROUNDDOWN(표10[[#This Row],[최종배당'[5']]]/표10[[#This Row],[분모]]*100,0)&amp;"%","-")</f>
        <v>-</v>
      </c>
      <c r="S69" s="56" t="str">
        <f>IFERROR(VLOOKUP(표7[발견물'[0']],표1[[명칭]:[등급]],4,FALSE),"-")&amp;"급"</f>
        <v>0급</v>
      </c>
      <c r="T69" s="56" t="str">
        <f>IFERROR(VLOOKUP(표7[발견물'[1']],표1[[명칭]:[등급]],4,FALSE),"-")&amp;"급"</f>
        <v>0급</v>
      </c>
      <c r="U69" s="56" t="str">
        <f>IFERROR(VLOOKUP(표7[발견물'[2']],표1[[명칭]:[등급]],4,FALSE),"-")&amp;"급"</f>
        <v>0급</v>
      </c>
      <c r="V69" s="56" t="str">
        <f>IFERROR(VLOOKUP(표7[발견물'[3']],표1[[명칭]:[등급]],4,FALSE),"-")&amp;"급"</f>
        <v>0급</v>
      </c>
      <c r="W69" s="56" t="str">
        <f>IFERROR(VLOOKUP(표7[발견물'[4']],표1[[명칭]:[등급]],4,FALSE),"-")&amp;"급"</f>
        <v>0급</v>
      </c>
      <c r="X69" s="56" t="str">
        <f>IFERROR(VLOOKUP(표7[발견물'[5']],표1[[명칭]:[등급]],4,FALSE),"-")&amp;"급"</f>
        <v>0급</v>
      </c>
      <c r="Y69" s="56" t="str">
        <f>IFERROR(INDEX([1]FishGrade!$I:$I,MATCH(표10[[#This Row],[등급'[0']]],[1]FishGrade!$B:$B,0)),"-")</f>
        <v>-</v>
      </c>
      <c r="Z69" s="56" t="str">
        <f>IFERROR(INDEX([1]FishGrade!$I:$I,MATCH(표10[[#This Row],[등급'[1']]],[1]FishGrade!$B:$B,0)),"-")</f>
        <v>-</v>
      </c>
      <c r="AA69" s="56" t="str">
        <f>IFERROR(INDEX([1]FishGrade!$I:$I,MATCH(표10[[#This Row],[등급'[2']]],[1]FishGrade!$B:$B,0)),"-")</f>
        <v>-</v>
      </c>
      <c r="AB69" s="56" t="str">
        <f>IFERROR(INDEX([1]FishGrade!$I:$I,MATCH(표10[[#This Row],[등급'[3']]],[1]FishGrade!$B:$B,0)),"-")</f>
        <v>-</v>
      </c>
      <c r="AC69" s="56" t="str">
        <f>IFERROR(INDEX([1]FishGrade!$I:$I,MATCH(표10[[#This Row],[등급'[4']]],[1]FishGrade!$B:$B,0)),"-")</f>
        <v>-</v>
      </c>
      <c r="AD69" s="56" t="str">
        <f>IFERROR(INDEX([1]FishGrade!$I:$I,MATCH(표10[[#This Row],[등급'[5']]],[1]FishGrade!$B:$B,0)),"-")</f>
        <v>-</v>
      </c>
      <c r="AE69" s="56">
        <f>IF([1]FishDiscoveryGroup!$I$8="-",0,[1]FishDiscoveryGroup!$I$8)</f>
        <v>0</v>
      </c>
      <c r="AF69" s="56">
        <f>IF([1]FishDiscoveryGroup!$I$8="-",0,[1]FishDiscoveryGroup!$L$8)</f>
        <v>0</v>
      </c>
      <c r="AG69" s="56">
        <f>IF([1]FishDiscoveryGroup!$I$8="-",0,[1]FishDiscoveryGroup!$O$8)</f>
        <v>0</v>
      </c>
      <c r="AH69" s="56">
        <f>IF([1]FishDiscoveryGroup!$I$8="-",0,[1]FishDiscoveryGroup!$R$8)</f>
        <v>0</v>
      </c>
      <c r="AI69" s="56">
        <f>IF([1]FishDiscoveryGroup!$I$8="-",0,[1]FishDiscoveryGroup!$U$8)</f>
        <v>0</v>
      </c>
      <c r="AJ69" s="56">
        <f>IF([1]FishDiscoveryGroup!$I$8="-",0,[1]FishDiscoveryGroup!$X$8)</f>
        <v>0</v>
      </c>
      <c r="AK69" s="56">
        <f>IF(표10[[#This Row],[배당'[0']]]="-",0,표10[[#This Row],[배당'[0']]])+표10[[#This Row],[PROB'[0']]]</f>
        <v>0</v>
      </c>
      <c r="AL69" s="56">
        <f>IF(표10[[#This Row],[배당'[1']]]="-",0,표10[[#This Row],[배당'[1']]])+표10[[#This Row],[PROB'[1']]]</f>
        <v>0</v>
      </c>
      <c r="AM69" s="56">
        <f>IF(표10[[#This Row],[배당'[2']]]="-",0,표10[[#This Row],[배당'[2']]])+표10[[#This Row],[PROB'[2']]]</f>
        <v>0</v>
      </c>
      <c r="AN69" s="56">
        <f>IF(표10[[#This Row],[배당'[3']]]="-",0,표10[[#This Row],[배당'[3']]])+표10[[#This Row],[PROB'[3']]]</f>
        <v>0</v>
      </c>
      <c r="AO69" s="56">
        <f>IF(표10[[#This Row],[배당'[4']]]="-",0,표10[[#This Row],[배당'[4']]])+표10[[#This Row],[PROB'[4']]]</f>
        <v>0</v>
      </c>
      <c r="AP69" s="56">
        <f>IF(표10[[#This Row],[배당'[5']]]="-",0,표10[[#This Row],[배당'[5']]])+표10[[#This Row],[PROB'[5']]]</f>
        <v>0</v>
      </c>
      <c r="AQ69" s="56">
        <f>SUM(표10[[#This Row],[최종배당'[0']]:[최종배당'[5']]])</f>
        <v>0</v>
      </c>
    </row>
    <row r="70" spans="2:43" x14ac:dyDescent="0.3">
      <c r="B70" s="56" t="str">
        <f>[1]FishOceanTile!B75</f>
        <v>퍼스 해저분지</v>
      </c>
      <c r="C70" s="56" t="str">
        <f>IFERROR(VLOOKUP(표7[[#This Row],[낚시 타일]],[3]!표1_67[[이름]:[선단 LV]],6,FALSE),"-")</f>
        <v>-</v>
      </c>
      <c r="D70" s="56" t="str">
        <f>IFERROR(VLOOKUP(표7[[#This Row],[낚시 타일]],[3]!표1_67[[이름]:[위도]],3,FALSE),"-")</f>
        <v>-</v>
      </c>
      <c r="E70" s="56" t="str">
        <f>IFERROR(VLOOKUP(표7[[#This Row],[낚시 타일]],[3]!표1_67[[이름]:[위도]],2,FALSE),"-")</f>
        <v>-</v>
      </c>
      <c r="F70" s="56"/>
      <c r="G70" s="56" t="str">
        <f>IFERROR(ROUNDDOWN(표10[[#This Row],[최종배당'[0']]]/표10[[#This Row],[분모]]*100,0)&amp;"%","-")</f>
        <v>-</v>
      </c>
      <c r="H70" s="56"/>
      <c r="I70" s="56" t="str">
        <f>IFERROR(ROUNDDOWN(표10[[#This Row],[최종배당'[1']]]/표10[[#This Row],[분모]]*100,0)&amp;"%","-")</f>
        <v>-</v>
      </c>
      <c r="J70" s="56"/>
      <c r="K70" s="56" t="str">
        <f>IFERROR(ROUNDDOWN(표10[[#This Row],[최종배당'[2']]]/표10[[#This Row],[분모]]*100,0)&amp;"%","-")</f>
        <v>-</v>
      </c>
      <c r="L70" s="56"/>
      <c r="M70" s="56" t="str">
        <f>IFERROR(ROUNDDOWN(표10[[#This Row],[최종배당'[3']]]/표10[[#This Row],[분모]]*100,0)&amp;"%","-")</f>
        <v>-</v>
      </c>
      <c r="N70" s="56"/>
      <c r="O70" s="56" t="str">
        <f>IFERROR(ROUNDDOWN(표10[[#This Row],[최종배당'[4']]]/표10[[#This Row],[분모]]*100,0)&amp;"%","-")</f>
        <v>-</v>
      </c>
      <c r="P70" s="56"/>
      <c r="Q70" s="56" t="str">
        <f>IFERROR(ROUNDDOWN(표10[[#This Row],[최종배당'[5']]]/표10[[#This Row],[분모]]*100,0)&amp;"%","-")</f>
        <v>-</v>
      </c>
      <c r="S70" s="56" t="str">
        <f>IFERROR(VLOOKUP(표7[발견물'[0']],표1[[명칭]:[등급]],4,FALSE),"-")&amp;"급"</f>
        <v>0급</v>
      </c>
      <c r="T70" s="56" t="str">
        <f>IFERROR(VLOOKUP(표7[발견물'[1']],표1[[명칭]:[등급]],4,FALSE),"-")&amp;"급"</f>
        <v>0급</v>
      </c>
      <c r="U70" s="56" t="str">
        <f>IFERROR(VLOOKUP(표7[발견물'[2']],표1[[명칭]:[등급]],4,FALSE),"-")&amp;"급"</f>
        <v>0급</v>
      </c>
      <c r="V70" s="56" t="str">
        <f>IFERROR(VLOOKUP(표7[발견물'[3']],표1[[명칭]:[등급]],4,FALSE),"-")&amp;"급"</f>
        <v>0급</v>
      </c>
      <c r="W70" s="56" t="str">
        <f>IFERROR(VLOOKUP(표7[발견물'[4']],표1[[명칭]:[등급]],4,FALSE),"-")&amp;"급"</f>
        <v>0급</v>
      </c>
      <c r="X70" s="56" t="str">
        <f>IFERROR(VLOOKUP(표7[발견물'[5']],표1[[명칭]:[등급]],4,FALSE),"-")&amp;"급"</f>
        <v>0급</v>
      </c>
      <c r="Y70" s="56" t="str">
        <f>IFERROR(INDEX([1]FishGrade!$I:$I,MATCH(표10[[#This Row],[등급'[0']]],[1]FishGrade!$B:$B,0)),"-")</f>
        <v>-</v>
      </c>
      <c r="Z70" s="56" t="str">
        <f>IFERROR(INDEX([1]FishGrade!$I:$I,MATCH(표10[[#This Row],[등급'[1']]],[1]FishGrade!$B:$B,0)),"-")</f>
        <v>-</v>
      </c>
      <c r="AA70" s="56" t="str">
        <f>IFERROR(INDEX([1]FishGrade!$I:$I,MATCH(표10[[#This Row],[등급'[2']]],[1]FishGrade!$B:$B,0)),"-")</f>
        <v>-</v>
      </c>
      <c r="AB70" s="56" t="str">
        <f>IFERROR(INDEX([1]FishGrade!$I:$I,MATCH(표10[[#This Row],[등급'[3']]],[1]FishGrade!$B:$B,0)),"-")</f>
        <v>-</v>
      </c>
      <c r="AC70" s="56" t="str">
        <f>IFERROR(INDEX([1]FishGrade!$I:$I,MATCH(표10[[#This Row],[등급'[4']]],[1]FishGrade!$B:$B,0)),"-")</f>
        <v>-</v>
      </c>
      <c r="AD70" s="56" t="str">
        <f>IFERROR(INDEX([1]FishGrade!$I:$I,MATCH(표10[[#This Row],[등급'[5']]],[1]FishGrade!$B:$B,0)),"-")</f>
        <v>-</v>
      </c>
      <c r="AE70" s="56">
        <f>IF([1]FishDiscoveryGroup!$I$8="-",0,[1]FishDiscoveryGroup!$I$8)</f>
        <v>0</v>
      </c>
      <c r="AF70" s="56">
        <f>IF([1]FishDiscoveryGroup!$I$8="-",0,[1]FishDiscoveryGroup!$L$8)</f>
        <v>0</v>
      </c>
      <c r="AG70" s="56">
        <f>IF([1]FishDiscoveryGroup!$I$8="-",0,[1]FishDiscoveryGroup!$O$8)</f>
        <v>0</v>
      </c>
      <c r="AH70" s="56">
        <f>IF([1]FishDiscoveryGroup!$I$8="-",0,[1]FishDiscoveryGroup!$R$8)</f>
        <v>0</v>
      </c>
      <c r="AI70" s="56">
        <f>IF([1]FishDiscoveryGroup!$I$8="-",0,[1]FishDiscoveryGroup!$U$8)</f>
        <v>0</v>
      </c>
      <c r="AJ70" s="56">
        <f>IF([1]FishDiscoveryGroup!$I$8="-",0,[1]FishDiscoveryGroup!$X$8)</f>
        <v>0</v>
      </c>
      <c r="AK70" s="56">
        <f>IF(표10[[#This Row],[배당'[0']]]="-",0,표10[[#This Row],[배당'[0']]])+표10[[#This Row],[PROB'[0']]]</f>
        <v>0</v>
      </c>
      <c r="AL70" s="56">
        <f>IF(표10[[#This Row],[배당'[1']]]="-",0,표10[[#This Row],[배당'[1']]])+표10[[#This Row],[PROB'[1']]]</f>
        <v>0</v>
      </c>
      <c r="AM70" s="56">
        <f>IF(표10[[#This Row],[배당'[2']]]="-",0,표10[[#This Row],[배당'[2']]])+표10[[#This Row],[PROB'[2']]]</f>
        <v>0</v>
      </c>
      <c r="AN70" s="56">
        <f>IF(표10[[#This Row],[배당'[3']]]="-",0,표10[[#This Row],[배당'[3']]])+표10[[#This Row],[PROB'[3']]]</f>
        <v>0</v>
      </c>
      <c r="AO70" s="56">
        <f>IF(표10[[#This Row],[배당'[4']]]="-",0,표10[[#This Row],[배당'[4']]])+표10[[#This Row],[PROB'[4']]]</f>
        <v>0</v>
      </c>
      <c r="AP70" s="56">
        <f>IF(표10[[#This Row],[배당'[5']]]="-",0,표10[[#This Row],[배당'[5']]])+표10[[#This Row],[PROB'[5']]]</f>
        <v>0</v>
      </c>
      <c r="AQ70" s="56">
        <f>SUM(표10[[#This Row],[최종배당'[0']]:[최종배당'[5']]])</f>
        <v>0</v>
      </c>
    </row>
    <row r="71" spans="2:43" x14ac:dyDescent="0.3">
      <c r="B71" s="56" t="str">
        <f>[1]FishOceanTile!B76</f>
        <v>호주 남부</v>
      </c>
      <c r="C71" s="56" t="str">
        <f>IFERROR(VLOOKUP(표7[[#This Row],[낚시 타일]],[3]!표1_67[[이름]:[선단 LV]],6,FALSE),"-")</f>
        <v>-</v>
      </c>
      <c r="D71" s="56" t="str">
        <f>IFERROR(VLOOKUP(표7[[#This Row],[낚시 타일]],[3]!표1_67[[이름]:[위도]],3,FALSE),"-")</f>
        <v>-</v>
      </c>
      <c r="E71" s="56" t="str">
        <f>IFERROR(VLOOKUP(표7[[#This Row],[낚시 타일]],[3]!표1_67[[이름]:[위도]],2,FALSE),"-")</f>
        <v>-</v>
      </c>
      <c r="F71" s="56"/>
      <c r="G71" s="56" t="str">
        <f>IFERROR(ROUNDDOWN(표10[[#This Row],[최종배당'[0']]]/표10[[#This Row],[분모]]*100,0)&amp;"%","-")</f>
        <v>-</v>
      </c>
      <c r="H71" s="56"/>
      <c r="I71" s="56" t="str">
        <f>IFERROR(ROUNDDOWN(표10[[#This Row],[최종배당'[1']]]/표10[[#This Row],[분모]]*100,0)&amp;"%","-")</f>
        <v>-</v>
      </c>
      <c r="J71" s="56"/>
      <c r="K71" s="56" t="str">
        <f>IFERROR(ROUNDDOWN(표10[[#This Row],[최종배당'[2']]]/표10[[#This Row],[분모]]*100,0)&amp;"%","-")</f>
        <v>-</v>
      </c>
      <c r="L71" s="56"/>
      <c r="M71" s="56" t="str">
        <f>IFERROR(ROUNDDOWN(표10[[#This Row],[최종배당'[3']]]/표10[[#This Row],[분모]]*100,0)&amp;"%","-")</f>
        <v>-</v>
      </c>
      <c r="N71" s="56"/>
      <c r="O71" s="56" t="str">
        <f>IFERROR(ROUNDDOWN(표10[[#This Row],[최종배당'[4']]]/표10[[#This Row],[분모]]*100,0)&amp;"%","-")</f>
        <v>-</v>
      </c>
      <c r="P71" s="56"/>
      <c r="Q71" s="56" t="str">
        <f>IFERROR(ROUNDDOWN(표10[[#This Row],[최종배당'[5']]]/표10[[#This Row],[분모]]*100,0)&amp;"%","-")</f>
        <v>-</v>
      </c>
      <c r="S71" s="56" t="str">
        <f>IFERROR(VLOOKUP(표7[발견물'[0']],표1[[명칭]:[등급]],4,FALSE),"-")&amp;"급"</f>
        <v>0급</v>
      </c>
      <c r="T71" s="56" t="str">
        <f>IFERROR(VLOOKUP(표7[발견물'[1']],표1[[명칭]:[등급]],4,FALSE),"-")&amp;"급"</f>
        <v>0급</v>
      </c>
      <c r="U71" s="56" t="str">
        <f>IFERROR(VLOOKUP(표7[발견물'[2']],표1[[명칭]:[등급]],4,FALSE),"-")&amp;"급"</f>
        <v>0급</v>
      </c>
      <c r="V71" s="56" t="str">
        <f>IFERROR(VLOOKUP(표7[발견물'[3']],표1[[명칭]:[등급]],4,FALSE),"-")&amp;"급"</f>
        <v>0급</v>
      </c>
      <c r="W71" s="56" t="str">
        <f>IFERROR(VLOOKUP(표7[발견물'[4']],표1[[명칭]:[등급]],4,FALSE),"-")&amp;"급"</f>
        <v>0급</v>
      </c>
      <c r="X71" s="56" t="str">
        <f>IFERROR(VLOOKUP(표7[발견물'[5']],표1[[명칭]:[등급]],4,FALSE),"-")&amp;"급"</f>
        <v>0급</v>
      </c>
      <c r="Y71" s="56" t="str">
        <f>IFERROR(INDEX([1]FishGrade!$I:$I,MATCH(표10[[#This Row],[등급'[0']]],[1]FishGrade!$B:$B,0)),"-")</f>
        <v>-</v>
      </c>
      <c r="Z71" s="56" t="str">
        <f>IFERROR(INDEX([1]FishGrade!$I:$I,MATCH(표10[[#This Row],[등급'[1']]],[1]FishGrade!$B:$B,0)),"-")</f>
        <v>-</v>
      </c>
      <c r="AA71" s="56" t="str">
        <f>IFERROR(INDEX([1]FishGrade!$I:$I,MATCH(표10[[#This Row],[등급'[2']]],[1]FishGrade!$B:$B,0)),"-")</f>
        <v>-</v>
      </c>
      <c r="AB71" s="56" t="str">
        <f>IFERROR(INDEX([1]FishGrade!$I:$I,MATCH(표10[[#This Row],[등급'[3']]],[1]FishGrade!$B:$B,0)),"-")</f>
        <v>-</v>
      </c>
      <c r="AC71" s="56" t="str">
        <f>IFERROR(INDEX([1]FishGrade!$I:$I,MATCH(표10[[#This Row],[등급'[4']]],[1]FishGrade!$B:$B,0)),"-")</f>
        <v>-</v>
      </c>
      <c r="AD71" s="56" t="str">
        <f>IFERROR(INDEX([1]FishGrade!$I:$I,MATCH(표10[[#This Row],[등급'[5']]],[1]FishGrade!$B:$B,0)),"-")</f>
        <v>-</v>
      </c>
      <c r="AE71" s="56">
        <f>IF([1]FishDiscoveryGroup!$I$8="-",0,[1]FishDiscoveryGroup!$I$8)</f>
        <v>0</v>
      </c>
      <c r="AF71" s="56">
        <f>IF([1]FishDiscoveryGroup!$I$8="-",0,[1]FishDiscoveryGroup!$L$8)</f>
        <v>0</v>
      </c>
      <c r="AG71" s="56">
        <f>IF([1]FishDiscoveryGroup!$I$8="-",0,[1]FishDiscoveryGroup!$O$8)</f>
        <v>0</v>
      </c>
      <c r="AH71" s="56">
        <f>IF([1]FishDiscoveryGroup!$I$8="-",0,[1]FishDiscoveryGroup!$R$8)</f>
        <v>0</v>
      </c>
      <c r="AI71" s="56">
        <f>IF([1]FishDiscoveryGroup!$I$8="-",0,[1]FishDiscoveryGroup!$U$8)</f>
        <v>0</v>
      </c>
      <c r="AJ71" s="56">
        <f>IF([1]FishDiscoveryGroup!$I$8="-",0,[1]FishDiscoveryGroup!$X$8)</f>
        <v>0</v>
      </c>
      <c r="AK71" s="56">
        <f>IF(표10[[#This Row],[배당'[0']]]="-",0,표10[[#This Row],[배당'[0']]])+표10[[#This Row],[PROB'[0']]]</f>
        <v>0</v>
      </c>
      <c r="AL71" s="56">
        <f>IF(표10[[#This Row],[배당'[1']]]="-",0,표10[[#This Row],[배당'[1']]])+표10[[#This Row],[PROB'[1']]]</f>
        <v>0</v>
      </c>
      <c r="AM71" s="56">
        <f>IF(표10[[#This Row],[배당'[2']]]="-",0,표10[[#This Row],[배당'[2']]])+표10[[#This Row],[PROB'[2']]]</f>
        <v>0</v>
      </c>
      <c r="AN71" s="56">
        <f>IF(표10[[#This Row],[배당'[3']]]="-",0,표10[[#This Row],[배당'[3']]])+표10[[#This Row],[PROB'[3']]]</f>
        <v>0</v>
      </c>
      <c r="AO71" s="56">
        <f>IF(표10[[#This Row],[배당'[4']]]="-",0,표10[[#This Row],[배당'[4']]])+표10[[#This Row],[PROB'[4']]]</f>
        <v>0</v>
      </c>
      <c r="AP71" s="56">
        <f>IF(표10[[#This Row],[배당'[5']]]="-",0,표10[[#This Row],[배당'[5']]])+표10[[#This Row],[PROB'[5']]]</f>
        <v>0</v>
      </c>
      <c r="AQ71" s="56">
        <f>SUM(표10[[#This Row],[최종배당'[0']]:[최종배당'[5']]])</f>
        <v>0</v>
      </c>
    </row>
    <row r="72" spans="2:43" x14ac:dyDescent="0.3">
      <c r="B72" s="56" t="str">
        <f>[1]FishOceanTile!B77</f>
        <v>호주 서부</v>
      </c>
      <c r="C72" s="56" t="str">
        <f>IFERROR(VLOOKUP(표7[[#This Row],[낚시 타일]],[3]!표1_67[[이름]:[선단 LV]],6,FALSE),"-")</f>
        <v>-</v>
      </c>
      <c r="D72" s="56" t="str">
        <f>IFERROR(VLOOKUP(표7[[#This Row],[낚시 타일]],[3]!표1_67[[이름]:[위도]],3,FALSE),"-")</f>
        <v>-</v>
      </c>
      <c r="E72" s="56" t="str">
        <f>IFERROR(VLOOKUP(표7[[#This Row],[낚시 타일]],[3]!표1_67[[이름]:[위도]],2,FALSE),"-")</f>
        <v>-</v>
      </c>
      <c r="F72" s="56"/>
      <c r="G72" s="56" t="str">
        <f>IFERROR(ROUNDDOWN(표10[[#This Row],[최종배당'[0']]]/표10[[#This Row],[분모]]*100,0)&amp;"%","-")</f>
        <v>-</v>
      </c>
      <c r="H72" s="56"/>
      <c r="I72" s="56" t="str">
        <f>IFERROR(ROUNDDOWN(표10[[#This Row],[최종배당'[1']]]/표10[[#This Row],[분모]]*100,0)&amp;"%","-")</f>
        <v>-</v>
      </c>
      <c r="J72" s="56"/>
      <c r="K72" s="56" t="str">
        <f>IFERROR(ROUNDDOWN(표10[[#This Row],[최종배당'[2']]]/표10[[#This Row],[분모]]*100,0)&amp;"%","-")</f>
        <v>-</v>
      </c>
      <c r="L72" s="56"/>
      <c r="M72" s="56" t="str">
        <f>IFERROR(ROUNDDOWN(표10[[#This Row],[최종배당'[3']]]/표10[[#This Row],[분모]]*100,0)&amp;"%","-")</f>
        <v>-</v>
      </c>
      <c r="N72" s="56"/>
      <c r="O72" s="56" t="str">
        <f>IFERROR(ROUNDDOWN(표10[[#This Row],[최종배당'[4']]]/표10[[#This Row],[분모]]*100,0)&amp;"%","-")</f>
        <v>-</v>
      </c>
      <c r="P72" s="56"/>
      <c r="Q72" s="56" t="str">
        <f>IFERROR(ROUNDDOWN(표10[[#This Row],[최종배당'[5']]]/표10[[#This Row],[분모]]*100,0)&amp;"%","-")</f>
        <v>-</v>
      </c>
      <c r="S72" s="56" t="str">
        <f>IFERROR(VLOOKUP(표7[발견물'[0']],표1[[명칭]:[등급]],4,FALSE),"-")&amp;"급"</f>
        <v>0급</v>
      </c>
      <c r="T72" s="56" t="str">
        <f>IFERROR(VLOOKUP(표7[발견물'[1']],표1[[명칭]:[등급]],4,FALSE),"-")&amp;"급"</f>
        <v>0급</v>
      </c>
      <c r="U72" s="56" t="str">
        <f>IFERROR(VLOOKUP(표7[발견물'[2']],표1[[명칭]:[등급]],4,FALSE),"-")&amp;"급"</f>
        <v>0급</v>
      </c>
      <c r="V72" s="56" t="str">
        <f>IFERROR(VLOOKUP(표7[발견물'[3']],표1[[명칭]:[등급]],4,FALSE),"-")&amp;"급"</f>
        <v>0급</v>
      </c>
      <c r="W72" s="56" t="str">
        <f>IFERROR(VLOOKUP(표7[발견물'[4']],표1[[명칭]:[등급]],4,FALSE),"-")&amp;"급"</f>
        <v>0급</v>
      </c>
      <c r="X72" s="56" t="str">
        <f>IFERROR(VLOOKUP(표7[발견물'[5']],표1[[명칭]:[등급]],4,FALSE),"-")&amp;"급"</f>
        <v>0급</v>
      </c>
      <c r="Y72" s="56" t="str">
        <f>IFERROR(INDEX([1]FishGrade!$I:$I,MATCH(표10[[#This Row],[등급'[0']]],[1]FishGrade!$B:$B,0)),"-")</f>
        <v>-</v>
      </c>
      <c r="Z72" s="56" t="str">
        <f>IFERROR(INDEX([1]FishGrade!$I:$I,MATCH(표10[[#This Row],[등급'[1']]],[1]FishGrade!$B:$B,0)),"-")</f>
        <v>-</v>
      </c>
      <c r="AA72" s="56" t="str">
        <f>IFERROR(INDEX([1]FishGrade!$I:$I,MATCH(표10[[#This Row],[등급'[2']]],[1]FishGrade!$B:$B,0)),"-")</f>
        <v>-</v>
      </c>
      <c r="AB72" s="56" t="str">
        <f>IFERROR(INDEX([1]FishGrade!$I:$I,MATCH(표10[[#This Row],[등급'[3']]],[1]FishGrade!$B:$B,0)),"-")</f>
        <v>-</v>
      </c>
      <c r="AC72" s="56" t="str">
        <f>IFERROR(INDEX([1]FishGrade!$I:$I,MATCH(표10[[#This Row],[등급'[4']]],[1]FishGrade!$B:$B,0)),"-")</f>
        <v>-</v>
      </c>
      <c r="AD72" s="56" t="str">
        <f>IFERROR(INDEX([1]FishGrade!$I:$I,MATCH(표10[[#This Row],[등급'[5']]],[1]FishGrade!$B:$B,0)),"-")</f>
        <v>-</v>
      </c>
      <c r="AE72" s="56">
        <f>IF([1]FishDiscoveryGroup!$I$8="-",0,[1]FishDiscoveryGroup!$I$8)</f>
        <v>0</v>
      </c>
      <c r="AF72" s="56">
        <f>IF([1]FishDiscoveryGroup!$I$8="-",0,[1]FishDiscoveryGroup!$L$8)</f>
        <v>0</v>
      </c>
      <c r="AG72" s="56">
        <f>IF([1]FishDiscoveryGroup!$I$8="-",0,[1]FishDiscoveryGroup!$O$8)</f>
        <v>0</v>
      </c>
      <c r="AH72" s="56">
        <f>IF([1]FishDiscoveryGroup!$I$8="-",0,[1]FishDiscoveryGroup!$R$8)</f>
        <v>0</v>
      </c>
      <c r="AI72" s="56">
        <f>IF([1]FishDiscoveryGroup!$I$8="-",0,[1]FishDiscoveryGroup!$U$8)</f>
        <v>0</v>
      </c>
      <c r="AJ72" s="56">
        <f>IF([1]FishDiscoveryGroup!$I$8="-",0,[1]FishDiscoveryGroup!$X$8)</f>
        <v>0</v>
      </c>
      <c r="AK72" s="56">
        <f>IF(표10[[#This Row],[배당'[0']]]="-",0,표10[[#This Row],[배당'[0']]])+표10[[#This Row],[PROB'[0']]]</f>
        <v>0</v>
      </c>
      <c r="AL72" s="56">
        <f>IF(표10[[#This Row],[배당'[1']]]="-",0,표10[[#This Row],[배당'[1']]])+표10[[#This Row],[PROB'[1']]]</f>
        <v>0</v>
      </c>
      <c r="AM72" s="56">
        <f>IF(표10[[#This Row],[배당'[2']]]="-",0,표10[[#This Row],[배당'[2']]])+표10[[#This Row],[PROB'[2']]]</f>
        <v>0</v>
      </c>
      <c r="AN72" s="56">
        <f>IF(표10[[#This Row],[배당'[3']]]="-",0,표10[[#This Row],[배당'[3']]])+표10[[#This Row],[PROB'[3']]]</f>
        <v>0</v>
      </c>
      <c r="AO72" s="56">
        <f>IF(표10[[#This Row],[배당'[4']]]="-",0,표10[[#This Row],[배당'[4']]])+표10[[#This Row],[PROB'[4']]]</f>
        <v>0</v>
      </c>
      <c r="AP72" s="56">
        <f>IF(표10[[#This Row],[배당'[5']]]="-",0,표10[[#This Row],[배당'[5']]])+표10[[#This Row],[PROB'[5']]]</f>
        <v>0</v>
      </c>
      <c r="AQ72" s="56">
        <f>SUM(표10[[#This Row],[최종배당'[0']]:[최종배당'[5']]])</f>
        <v>0</v>
      </c>
    </row>
    <row r="73" spans="2:43" x14ac:dyDescent="0.3">
      <c r="B73" s="56" t="str">
        <f>[1]FishOceanTile!B78</f>
        <v>자바해</v>
      </c>
      <c r="C73" s="56" t="str">
        <f>IFERROR(VLOOKUP(표7[[#This Row],[낚시 타일]],[3]!표1_67[[이름]:[선단 LV]],6,FALSE),"-")</f>
        <v>-</v>
      </c>
      <c r="D73" s="56" t="str">
        <f>IFERROR(VLOOKUP(표7[[#This Row],[낚시 타일]],[3]!표1_67[[이름]:[위도]],3,FALSE),"-")</f>
        <v>-</v>
      </c>
      <c r="E73" s="56" t="str">
        <f>IFERROR(VLOOKUP(표7[[#This Row],[낚시 타일]],[3]!표1_67[[이름]:[위도]],2,FALSE),"-")</f>
        <v>-</v>
      </c>
      <c r="F73" s="56"/>
      <c r="G73" s="56" t="str">
        <f>IFERROR(ROUNDDOWN(표10[[#This Row],[최종배당'[0']]]/표10[[#This Row],[분모]]*100,0)&amp;"%","-")</f>
        <v>-</v>
      </c>
      <c r="H73" s="56"/>
      <c r="I73" s="56" t="str">
        <f>IFERROR(ROUNDDOWN(표10[[#This Row],[최종배당'[1']]]/표10[[#This Row],[분모]]*100,0)&amp;"%","-")</f>
        <v>-</v>
      </c>
      <c r="J73" s="56"/>
      <c r="K73" s="56" t="str">
        <f>IFERROR(ROUNDDOWN(표10[[#This Row],[최종배당'[2']]]/표10[[#This Row],[분모]]*100,0)&amp;"%","-")</f>
        <v>-</v>
      </c>
      <c r="L73" s="56"/>
      <c r="M73" s="56" t="str">
        <f>IFERROR(ROUNDDOWN(표10[[#This Row],[최종배당'[3']]]/표10[[#This Row],[분모]]*100,0)&amp;"%","-")</f>
        <v>-</v>
      </c>
      <c r="N73" s="56"/>
      <c r="O73" s="56" t="str">
        <f>IFERROR(ROUNDDOWN(표10[[#This Row],[최종배당'[4']]]/표10[[#This Row],[분모]]*100,0)&amp;"%","-")</f>
        <v>-</v>
      </c>
      <c r="P73" s="56"/>
      <c r="Q73" s="56" t="str">
        <f>IFERROR(ROUNDDOWN(표10[[#This Row],[최종배당'[5']]]/표10[[#This Row],[분모]]*100,0)&amp;"%","-")</f>
        <v>-</v>
      </c>
      <c r="S73" s="56" t="str">
        <f>IFERROR(VLOOKUP(표7[발견물'[0']],표1[[명칭]:[등급]],4,FALSE),"-")&amp;"급"</f>
        <v>0급</v>
      </c>
      <c r="T73" s="56" t="str">
        <f>IFERROR(VLOOKUP(표7[발견물'[1']],표1[[명칭]:[등급]],4,FALSE),"-")&amp;"급"</f>
        <v>0급</v>
      </c>
      <c r="U73" s="56" t="str">
        <f>IFERROR(VLOOKUP(표7[발견물'[2']],표1[[명칭]:[등급]],4,FALSE),"-")&amp;"급"</f>
        <v>0급</v>
      </c>
      <c r="V73" s="56" t="str">
        <f>IFERROR(VLOOKUP(표7[발견물'[3']],표1[[명칭]:[등급]],4,FALSE),"-")&amp;"급"</f>
        <v>0급</v>
      </c>
      <c r="W73" s="56" t="str">
        <f>IFERROR(VLOOKUP(표7[발견물'[4']],표1[[명칭]:[등급]],4,FALSE),"-")&amp;"급"</f>
        <v>0급</v>
      </c>
      <c r="X73" s="56" t="str">
        <f>IFERROR(VLOOKUP(표7[발견물'[5']],표1[[명칭]:[등급]],4,FALSE),"-")&amp;"급"</f>
        <v>0급</v>
      </c>
      <c r="Y73" s="56" t="str">
        <f>IFERROR(INDEX([1]FishGrade!$I:$I,MATCH(표10[[#This Row],[등급'[0']]],[1]FishGrade!$B:$B,0)),"-")</f>
        <v>-</v>
      </c>
      <c r="Z73" s="56" t="str">
        <f>IFERROR(INDEX([1]FishGrade!$I:$I,MATCH(표10[[#This Row],[등급'[1']]],[1]FishGrade!$B:$B,0)),"-")</f>
        <v>-</v>
      </c>
      <c r="AA73" s="56" t="str">
        <f>IFERROR(INDEX([1]FishGrade!$I:$I,MATCH(표10[[#This Row],[등급'[2']]],[1]FishGrade!$B:$B,0)),"-")</f>
        <v>-</v>
      </c>
      <c r="AB73" s="56" t="str">
        <f>IFERROR(INDEX([1]FishGrade!$I:$I,MATCH(표10[[#This Row],[등급'[3']]],[1]FishGrade!$B:$B,0)),"-")</f>
        <v>-</v>
      </c>
      <c r="AC73" s="56" t="str">
        <f>IFERROR(INDEX([1]FishGrade!$I:$I,MATCH(표10[[#This Row],[등급'[4']]],[1]FishGrade!$B:$B,0)),"-")</f>
        <v>-</v>
      </c>
      <c r="AD73" s="56" t="str">
        <f>IFERROR(INDEX([1]FishGrade!$I:$I,MATCH(표10[[#This Row],[등급'[5']]],[1]FishGrade!$B:$B,0)),"-")</f>
        <v>-</v>
      </c>
      <c r="AE73" s="56">
        <f>IF([1]FishDiscoveryGroup!$I$8="-",0,[1]FishDiscoveryGroup!$I$8)</f>
        <v>0</v>
      </c>
      <c r="AF73" s="56">
        <f>IF([1]FishDiscoveryGroup!$I$8="-",0,[1]FishDiscoveryGroup!$L$8)</f>
        <v>0</v>
      </c>
      <c r="AG73" s="56">
        <f>IF([1]FishDiscoveryGroup!$I$8="-",0,[1]FishDiscoveryGroup!$O$8)</f>
        <v>0</v>
      </c>
      <c r="AH73" s="56">
        <f>IF([1]FishDiscoveryGroup!$I$8="-",0,[1]FishDiscoveryGroup!$R$8)</f>
        <v>0</v>
      </c>
      <c r="AI73" s="56">
        <f>IF([1]FishDiscoveryGroup!$I$8="-",0,[1]FishDiscoveryGroup!$U$8)</f>
        <v>0</v>
      </c>
      <c r="AJ73" s="56">
        <f>IF([1]FishDiscoveryGroup!$I$8="-",0,[1]FishDiscoveryGroup!$X$8)</f>
        <v>0</v>
      </c>
      <c r="AK73" s="56">
        <f>IF(표10[[#This Row],[배당'[0']]]="-",0,표10[[#This Row],[배당'[0']]])+표10[[#This Row],[PROB'[0']]]</f>
        <v>0</v>
      </c>
      <c r="AL73" s="56">
        <f>IF(표10[[#This Row],[배당'[1']]]="-",0,표10[[#This Row],[배당'[1']]])+표10[[#This Row],[PROB'[1']]]</f>
        <v>0</v>
      </c>
      <c r="AM73" s="56">
        <f>IF(표10[[#This Row],[배당'[2']]]="-",0,표10[[#This Row],[배당'[2']]])+표10[[#This Row],[PROB'[2']]]</f>
        <v>0</v>
      </c>
      <c r="AN73" s="56">
        <f>IF(표10[[#This Row],[배당'[3']]]="-",0,표10[[#This Row],[배당'[3']]])+표10[[#This Row],[PROB'[3']]]</f>
        <v>0</v>
      </c>
      <c r="AO73" s="56">
        <f>IF(표10[[#This Row],[배당'[4']]]="-",0,표10[[#This Row],[배당'[4']]])+표10[[#This Row],[PROB'[4']]]</f>
        <v>0</v>
      </c>
      <c r="AP73" s="56">
        <f>IF(표10[[#This Row],[배당'[5']]]="-",0,표10[[#This Row],[배당'[5']]])+표10[[#This Row],[PROB'[5']]]</f>
        <v>0</v>
      </c>
      <c r="AQ73" s="56">
        <f>SUM(표10[[#This Row],[최종배당'[0']]:[최종배당'[5']]])</f>
        <v>0</v>
      </c>
    </row>
    <row r="74" spans="2:43" x14ac:dyDescent="0.3">
      <c r="B74" s="56" t="str">
        <f>[1]FishOceanTile!B79</f>
        <v>반다해</v>
      </c>
      <c r="C74" s="56" t="str">
        <f>IFERROR(VLOOKUP(표7[[#This Row],[낚시 타일]],[3]!표1_67[[이름]:[선단 LV]],6,FALSE),"-")</f>
        <v>-</v>
      </c>
      <c r="D74" s="56" t="str">
        <f>IFERROR(VLOOKUP(표7[[#This Row],[낚시 타일]],[3]!표1_67[[이름]:[위도]],3,FALSE),"-")</f>
        <v>-</v>
      </c>
      <c r="E74" s="56" t="str">
        <f>IFERROR(VLOOKUP(표7[[#This Row],[낚시 타일]],[3]!표1_67[[이름]:[위도]],2,FALSE),"-")</f>
        <v>-</v>
      </c>
      <c r="F74" s="56"/>
      <c r="G74" s="56" t="str">
        <f>IFERROR(ROUNDDOWN(표10[[#This Row],[최종배당'[0']]]/표10[[#This Row],[분모]]*100,0)&amp;"%","-")</f>
        <v>-</v>
      </c>
      <c r="H74" s="56"/>
      <c r="I74" s="56" t="str">
        <f>IFERROR(ROUNDDOWN(표10[[#This Row],[최종배당'[1']]]/표10[[#This Row],[분모]]*100,0)&amp;"%","-")</f>
        <v>-</v>
      </c>
      <c r="J74" s="56"/>
      <c r="K74" s="56" t="str">
        <f>IFERROR(ROUNDDOWN(표10[[#This Row],[최종배당'[2']]]/표10[[#This Row],[분모]]*100,0)&amp;"%","-")</f>
        <v>-</v>
      </c>
      <c r="L74" s="56"/>
      <c r="M74" s="56" t="str">
        <f>IFERROR(ROUNDDOWN(표10[[#This Row],[최종배당'[3']]]/표10[[#This Row],[분모]]*100,0)&amp;"%","-")</f>
        <v>-</v>
      </c>
      <c r="N74" s="56"/>
      <c r="O74" s="56" t="str">
        <f>IFERROR(ROUNDDOWN(표10[[#This Row],[최종배당'[4']]]/표10[[#This Row],[분모]]*100,0)&amp;"%","-")</f>
        <v>-</v>
      </c>
      <c r="P74" s="56"/>
      <c r="Q74" s="56" t="str">
        <f>IFERROR(ROUNDDOWN(표10[[#This Row],[최종배당'[5']]]/표10[[#This Row],[분모]]*100,0)&amp;"%","-")</f>
        <v>-</v>
      </c>
      <c r="S74" s="56" t="str">
        <f>IFERROR(VLOOKUP(표7[발견물'[0']],표1[[명칭]:[등급]],4,FALSE),"-")&amp;"급"</f>
        <v>0급</v>
      </c>
      <c r="T74" s="56" t="str">
        <f>IFERROR(VLOOKUP(표7[발견물'[1']],표1[[명칭]:[등급]],4,FALSE),"-")&amp;"급"</f>
        <v>0급</v>
      </c>
      <c r="U74" s="56" t="str">
        <f>IFERROR(VLOOKUP(표7[발견물'[2']],표1[[명칭]:[등급]],4,FALSE),"-")&amp;"급"</f>
        <v>0급</v>
      </c>
      <c r="V74" s="56" t="str">
        <f>IFERROR(VLOOKUP(표7[발견물'[3']],표1[[명칭]:[등급]],4,FALSE),"-")&amp;"급"</f>
        <v>0급</v>
      </c>
      <c r="W74" s="56" t="str">
        <f>IFERROR(VLOOKUP(표7[발견물'[4']],표1[[명칭]:[등급]],4,FALSE),"-")&amp;"급"</f>
        <v>0급</v>
      </c>
      <c r="X74" s="56" t="str">
        <f>IFERROR(VLOOKUP(표7[발견물'[5']],표1[[명칭]:[등급]],4,FALSE),"-")&amp;"급"</f>
        <v>0급</v>
      </c>
      <c r="Y74" s="56" t="str">
        <f>IFERROR(INDEX([1]FishGrade!$I:$I,MATCH(표10[[#This Row],[등급'[0']]],[1]FishGrade!$B:$B,0)),"-")</f>
        <v>-</v>
      </c>
      <c r="Z74" s="56" t="str">
        <f>IFERROR(INDEX([1]FishGrade!$I:$I,MATCH(표10[[#This Row],[등급'[1']]],[1]FishGrade!$B:$B,0)),"-")</f>
        <v>-</v>
      </c>
      <c r="AA74" s="56" t="str">
        <f>IFERROR(INDEX([1]FishGrade!$I:$I,MATCH(표10[[#This Row],[등급'[2']]],[1]FishGrade!$B:$B,0)),"-")</f>
        <v>-</v>
      </c>
      <c r="AB74" s="56" t="str">
        <f>IFERROR(INDEX([1]FishGrade!$I:$I,MATCH(표10[[#This Row],[등급'[3']]],[1]FishGrade!$B:$B,0)),"-")</f>
        <v>-</v>
      </c>
      <c r="AC74" s="56" t="str">
        <f>IFERROR(INDEX([1]FishGrade!$I:$I,MATCH(표10[[#This Row],[등급'[4']]],[1]FishGrade!$B:$B,0)),"-")</f>
        <v>-</v>
      </c>
      <c r="AD74" s="56" t="str">
        <f>IFERROR(INDEX([1]FishGrade!$I:$I,MATCH(표10[[#This Row],[등급'[5']]],[1]FishGrade!$B:$B,0)),"-")</f>
        <v>-</v>
      </c>
      <c r="AE74" s="56">
        <f>IF([1]FishDiscoveryGroup!$I$8="-",0,[1]FishDiscoveryGroup!$I$8)</f>
        <v>0</v>
      </c>
      <c r="AF74" s="56">
        <f>IF([1]FishDiscoveryGroup!$I$8="-",0,[1]FishDiscoveryGroup!$L$8)</f>
        <v>0</v>
      </c>
      <c r="AG74" s="56">
        <f>IF([1]FishDiscoveryGroup!$I$8="-",0,[1]FishDiscoveryGroup!$O$8)</f>
        <v>0</v>
      </c>
      <c r="AH74" s="56">
        <f>IF([1]FishDiscoveryGroup!$I$8="-",0,[1]FishDiscoveryGroup!$R$8)</f>
        <v>0</v>
      </c>
      <c r="AI74" s="56">
        <f>IF([1]FishDiscoveryGroup!$I$8="-",0,[1]FishDiscoveryGroup!$U$8)</f>
        <v>0</v>
      </c>
      <c r="AJ74" s="56">
        <f>IF([1]FishDiscoveryGroup!$I$8="-",0,[1]FishDiscoveryGroup!$X$8)</f>
        <v>0</v>
      </c>
      <c r="AK74" s="56">
        <f>IF(표10[[#This Row],[배당'[0']]]="-",0,표10[[#This Row],[배당'[0']]])+표10[[#This Row],[PROB'[0']]]</f>
        <v>0</v>
      </c>
      <c r="AL74" s="56">
        <f>IF(표10[[#This Row],[배당'[1']]]="-",0,표10[[#This Row],[배당'[1']]])+표10[[#This Row],[PROB'[1']]]</f>
        <v>0</v>
      </c>
      <c r="AM74" s="56">
        <f>IF(표10[[#This Row],[배당'[2']]]="-",0,표10[[#This Row],[배당'[2']]])+표10[[#This Row],[PROB'[2']]]</f>
        <v>0</v>
      </c>
      <c r="AN74" s="56">
        <f>IF(표10[[#This Row],[배당'[3']]]="-",0,표10[[#This Row],[배당'[3']]])+표10[[#This Row],[PROB'[3']]]</f>
        <v>0</v>
      </c>
      <c r="AO74" s="56">
        <f>IF(표10[[#This Row],[배당'[4']]]="-",0,표10[[#This Row],[배당'[4']]])+표10[[#This Row],[PROB'[4']]]</f>
        <v>0</v>
      </c>
      <c r="AP74" s="56">
        <f>IF(표10[[#This Row],[배당'[5']]]="-",0,표10[[#This Row],[배당'[5']]])+표10[[#This Row],[PROB'[5']]]</f>
        <v>0</v>
      </c>
      <c r="AQ74" s="56">
        <f>SUM(표10[[#This Row],[최종배당'[0']]:[최종배당'[5']]])</f>
        <v>0</v>
      </c>
    </row>
    <row r="75" spans="2:43" x14ac:dyDescent="0.3">
      <c r="B75" s="56" t="str">
        <f>[1]FishOceanTile!B80</f>
        <v>셀레베스해</v>
      </c>
      <c r="C75" s="56" t="str">
        <f>IFERROR(VLOOKUP(표7[[#This Row],[낚시 타일]],[3]!표1_67[[이름]:[선단 LV]],6,FALSE),"-")</f>
        <v>-</v>
      </c>
      <c r="D75" s="56" t="str">
        <f>IFERROR(VLOOKUP(표7[[#This Row],[낚시 타일]],[3]!표1_67[[이름]:[위도]],3,FALSE),"-")</f>
        <v>-</v>
      </c>
      <c r="E75" s="56" t="str">
        <f>IFERROR(VLOOKUP(표7[[#This Row],[낚시 타일]],[3]!표1_67[[이름]:[위도]],2,FALSE),"-")</f>
        <v>-</v>
      </c>
      <c r="F75" s="56"/>
      <c r="G75" s="56" t="str">
        <f>IFERROR(ROUNDDOWN(표10[[#This Row],[최종배당'[0']]]/표10[[#This Row],[분모]]*100,0)&amp;"%","-")</f>
        <v>-</v>
      </c>
      <c r="H75" s="56"/>
      <c r="I75" s="56" t="str">
        <f>IFERROR(ROUNDDOWN(표10[[#This Row],[최종배당'[1']]]/표10[[#This Row],[분모]]*100,0)&amp;"%","-")</f>
        <v>-</v>
      </c>
      <c r="J75" s="56"/>
      <c r="K75" s="56" t="str">
        <f>IFERROR(ROUNDDOWN(표10[[#This Row],[최종배당'[2']]]/표10[[#This Row],[분모]]*100,0)&amp;"%","-")</f>
        <v>-</v>
      </c>
      <c r="L75" s="56"/>
      <c r="M75" s="56" t="str">
        <f>IFERROR(ROUNDDOWN(표10[[#This Row],[최종배당'[3']]]/표10[[#This Row],[분모]]*100,0)&amp;"%","-")</f>
        <v>-</v>
      </c>
      <c r="N75" s="56"/>
      <c r="O75" s="56" t="str">
        <f>IFERROR(ROUNDDOWN(표10[[#This Row],[최종배당'[4']]]/표10[[#This Row],[분모]]*100,0)&amp;"%","-")</f>
        <v>-</v>
      </c>
      <c r="P75" s="56"/>
      <c r="Q75" s="56" t="str">
        <f>IFERROR(ROUNDDOWN(표10[[#This Row],[최종배당'[5']]]/표10[[#This Row],[분모]]*100,0)&amp;"%","-")</f>
        <v>-</v>
      </c>
      <c r="S75" s="56" t="str">
        <f>IFERROR(VLOOKUP(표7[발견물'[0']],표1[[명칭]:[등급]],4,FALSE),"-")&amp;"급"</f>
        <v>0급</v>
      </c>
      <c r="T75" s="56" t="str">
        <f>IFERROR(VLOOKUP(표7[발견물'[1']],표1[[명칭]:[등급]],4,FALSE),"-")&amp;"급"</f>
        <v>0급</v>
      </c>
      <c r="U75" s="56" t="str">
        <f>IFERROR(VLOOKUP(표7[발견물'[2']],표1[[명칭]:[등급]],4,FALSE),"-")&amp;"급"</f>
        <v>0급</v>
      </c>
      <c r="V75" s="56" t="str">
        <f>IFERROR(VLOOKUP(표7[발견물'[3']],표1[[명칭]:[등급]],4,FALSE),"-")&amp;"급"</f>
        <v>0급</v>
      </c>
      <c r="W75" s="56" t="str">
        <f>IFERROR(VLOOKUP(표7[발견물'[4']],표1[[명칭]:[등급]],4,FALSE),"-")&amp;"급"</f>
        <v>0급</v>
      </c>
      <c r="X75" s="56" t="str">
        <f>IFERROR(VLOOKUP(표7[발견물'[5']],표1[[명칭]:[등급]],4,FALSE),"-")&amp;"급"</f>
        <v>0급</v>
      </c>
      <c r="Y75" s="56" t="str">
        <f>IFERROR(INDEX([1]FishGrade!$I:$I,MATCH(표10[[#This Row],[등급'[0']]],[1]FishGrade!$B:$B,0)),"-")</f>
        <v>-</v>
      </c>
      <c r="Z75" s="56" t="str">
        <f>IFERROR(INDEX([1]FishGrade!$I:$I,MATCH(표10[[#This Row],[등급'[1']]],[1]FishGrade!$B:$B,0)),"-")</f>
        <v>-</v>
      </c>
      <c r="AA75" s="56" t="str">
        <f>IFERROR(INDEX([1]FishGrade!$I:$I,MATCH(표10[[#This Row],[등급'[2']]],[1]FishGrade!$B:$B,0)),"-")</f>
        <v>-</v>
      </c>
      <c r="AB75" s="56" t="str">
        <f>IFERROR(INDEX([1]FishGrade!$I:$I,MATCH(표10[[#This Row],[등급'[3']]],[1]FishGrade!$B:$B,0)),"-")</f>
        <v>-</v>
      </c>
      <c r="AC75" s="56" t="str">
        <f>IFERROR(INDEX([1]FishGrade!$I:$I,MATCH(표10[[#This Row],[등급'[4']]],[1]FishGrade!$B:$B,0)),"-")</f>
        <v>-</v>
      </c>
      <c r="AD75" s="56" t="str">
        <f>IFERROR(INDEX([1]FishGrade!$I:$I,MATCH(표10[[#This Row],[등급'[5']]],[1]FishGrade!$B:$B,0)),"-")</f>
        <v>-</v>
      </c>
      <c r="AE75" s="56">
        <f>IF([1]FishDiscoveryGroup!$I$8="-",0,[1]FishDiscoveryGroup!$I$8)</f>
        <v>0</v>
      </c>
      <c r="AF75" s="56">
        <f>IF([1]FishDiscoveryGroup!$I$8="-",0,[1]FishDiscoveryGroup!$L$8)</f>
        <v>0</v>
      </c>
      <c r="AG75" s="56">
        <f>IF([1]FishDiscoveryGroup!$I$8="-",0,[1]FishDiscoveryGroup!$O$8)</f>
        <v>0</v>
      </c>
      <c r="AH75" s="56">
        <f>IF([1]FishDiscoveryGroup!$I$8="-",0,[1]FishDiscoveryGroup!$R$8)</f>
        <v>0</v>
      </c>
      <c r="AI75" s="56">
        <f>IF([1]FishDiscoveryGroup!$I$8="-",0,[1]FishDiscoveryGroup!$U$8)</f>
        <v>0</v>
      </c>
      <c r="AJ75" s="56">
        <f>IF([1]FishDiscoveryGroup!$I$8="-",0,[1]FishDiscoveryGroup!$X$8)</f>
        <v>0</v>
      </c>
      <c r="AK75" s="56">
        <f>IF(표10[[#This Row],[배당'[0']]]="-",0,표10[[#This Row],[배당'[0']]])+표10[[#This Row],[PROB'[0']]]</f>
        <v>0</v>
      </c>
      <c r="AL75" s="56">
        <f>IF(표10[[#This Row],[배당'[1']]]="-",0,표10[[#This Row],[배당'[1']]])+표10[[#This Row],[PROB'[1']]]</f>
        <v>0</v>
      </c>
      <c r="AM75" s="56">
        <f>IF(표10[[#This Row],[배당'[2']]]="-",0,표10[[#This Row],[배당'[2']]])+표10[[#This Row],[PROB'[2']]]</f>
        <v>0</v>
      </c>
      <c r="AN75" s="56">
        <f>IF(표10[[#This Row],[배당'[3']]]="-",0,표10[[#This Row],[배당'[3']]])+표10[[#This Row],[PROB'[3']]]</f>
        <v>0</v>
      </c>
      <c r="AO75" s="56">
        <f>IF(표10[[#This Row],[배당'[4']]]="-",0,표10[[#This Row],[배당'[4']]])+표10[[#This Row],[PROB'[4']]]</f>
        <v>0</v>
      </c>
      <c r="AP75" s="56">
        <f>IF(표10[[#This Row],[배당'[5']]]="-",0,표10[[#This Row],[배당'[5']]])+표10[[#This Row],[PROB'[5']]]</f>
        <v>0</v>
      </c>
      <c r="AQ75" s="56">
        <f>SUM(표10[[#This Row],[최종배당'[0']]:[최종배당'[5']]])</f>
        <v>0</v>
      </c>
    </row>
    <row r="76" spans="2:43" x14ac:dyDescent="0.3">
      <c r="B76" s="56" t="str">
        <f>[1]FishOceanTile!B81</f>
        <v>남중국해</v>
      </c>
      <c r="C76" s="56" t="str">
        <f>IFERROR(VLOOKUP(표7[[#This Row],[낚시 타일]],[3]!표1_67[[이름]:[선단 LV]],6,FALSE),"-")</f>
        <v>-</v>
      </c>
      <c r="D76" s="56" t="str">
        <f>IFERROR(VLOOKUP(표7[[#This Row],[낚시 타일]],[3]!표1_67[[이름]:[위도]],3,FALSE),"-")</f>
        <v>-</v>
      </c>
      <c r="E76" s="56" t="str">
        <f>IFERROR(VLOOKUP(표7[[#This Row],[낚시 타일]],[3]!표1_67[[이름]:[위도]],2,FALSE),"-")</f>
        <v>-</v>
      </c>
      <c r="F76" s="56"/>
      <c r="G76" s="56" t="str">
        <f>IFERROR(ROUNDDOWN(표10[[#This Row],[최종배당'[0']]]/표10[[#This Row],[분모]]*100,0)&amp;"%","-")</f>
        <v>-</v>
      </c>
      <c r="H76" s="56"/>
      <c r="I76" s="56" t="str">
        <f>IFERROR(ROUNDDOWN(표10[[#This Row],[최종배당'[1']]]/표10[[#This Row],[분모]]*100,0)&amp;"%","-")</f>
        <v>-</v>
      </c>
      <c r="J76" s="56"/>
      <c r="K76" s="56" t="str">
        <f>IFERROR(ROUNDDOWN(표10[[#This Row],[최종배당'[2']]]/표10[[#This Row],[분모]]*100,0)&amp;"%","-")</f>
        <v>-</v>
      </c>
      <c r="L76" s="56"/>
      <c r="M76" s="56" t="str">
        <f>IFERROR(ROUNDDOWN(표10[[#This Row],[최종배당'[3']]]/표10[[#This Row],[분모]]*100,0)&amp;"%","-")</f>
        <v>-</v>
      </c>
      <c r="N76" s="56"/>
      <c r="O76" s="56" t="str">
        <f>IFERROR(ROUNDDOWN(표10[[#This Row],[최종배당'[4']]]/표10[[#This Row],[분모]]*100,0)&amp;"%","-")</f>
        <v>-</v>
      </c>
      <c r="P76" s="56"/>
      <c r="Q76" s="56" t="str">
        <f>IFERROR(ROUNDDOWN(표10[[#This Row],[최종배당'[5']]]/표10[[#This Row],[분모]]*100,0)&amp;"%","-")</f>
        <v>-</v>
      </c>
      <c r="S76" s="56" t="str">
        <f>IFERROR(VLOOKUP(표7[발견물'[0']],표1[[명칭]:[등급]],4,FALSE),"-")&amp;"급"</f>
        <v>0급</v>
      </c>
      <c r="T76" s="56" t="str">
        <f>IFERROR(VLOOKUP(표7[발견물'[1']],표1[[명칭]:[등급]],4,FALSE),"-")&amp;"급"</f>
        <v>0급</v>
      </c>
      <c r="U76" s="56" t="str">
        <f>IFERROR(VLOOKUP(표7[발견물'[2']],표1[[명칭]:[등급]],4,FALSE),"-")&amp;"급"</f>
        <v>0급</v>
      </c>
      <c r="V76" s="56" t="str">
        <f>IFERROR(VLOOKUP(표7[발견물'[3']],표1[[명칭]:[등급]],4,FALSE),"-")&amp;"급"</f>
        <v>0급</v>
      </c>
      <c r="W76" s="56" t="str">
        <f>IFERROR(VLOOKUP(표7[발견물'[4']],표1[[명칭]:[등급]],4,FALSE),"-")&amp;"급"</f>
        <v>0급</v>
      </c>
      <c r="X76" s="56" t="str">
        <f>IFERROR(VLOOKUP(표7[발견물'[5']],표1[[명칭]:[등급]],4,FALSE),"-")&amp;"급"</f>
        <v>0급</v>
      </c>
      <c r="Y76" s="56" t="str">
        <f>IFERROR(INDEX([1]FishGrade!$I:$I,MATCH(표10[[#This Row],[등급'[0']]],[1]FishGrade!$B:$B,0)),"-")</f>
        <v>-</v>
      </c>
      <c r="Z76" s="56" t="str">
        <f>IFERROR(INDEX([1]FishGrade!$I:$I,MATCH(표10[[#This Row],[등급'[1']]],[1]FishGrade!$B:$B,0)),"-")</f>
        <v>-</v>
      </c>
      <c r="AA76" s="56" t="str">
        <f>IFERROR(INDEX([1]FishGrade!$I:$I,MATCH(표10[[#This Row],[등급'[2']]],[1]FishGrade!$B:$B,0)),"-")</f>
        <v>-</v>
      </c>
      <c r="AB76" s="56" t="str">
        <f>IFERROR(INDEX([1]FishGrade!$I:$I,MATCH(표10[[#This Row],[등급'[3']]],[1]FishGrade!$B:$B,0)),"-")</f>
        <v>-</v>
      </c>
      <c r="AC76" s="56" t="str">
        <f>IFERROR(INDEX([1]FishGrade!$I:$I,MATCH(표10[[#This Row],[등급'[4']]],[1]FishGrade!$B:$B,0)),"-")</f>
        <v>-</v>
      </c>
      <c r="AD76" s="56" t="str">
        <f>IFERROR(INDEX([1]FishGrade!$I:$I,MATCH(표10[[#This Row],[등급'[5']]],[1]FishGrade!$B:$B,0)),"-")</f>
        <v>-</v>
      </c>
      <c r="AE76" s="56">
        <f>IF([1]FishDiscoveryGroup!$I$8="-",0,[1]FishDiscoveryGroup!$I$8)</f>
        <v>0</v>
      </c>
      <c r="AF76" s="56">
        <f>IF([1]FishDiscoveryGroup!$I$8="-",0,[1]FishDiscoveryGroup!$L$8)</f>
        <v>0</v>
      </c>
      <c r="AG76" s="56">
        <f>IF([1]FishDiscoveryGroup!$I$8="-",0,[1]FishDiscoveryGroup!$O$8)</f>
        <v>0</v>
      </c>
      <c r="AH76" s="56">
        <f>IF([1]FishDiscoveryGroup!$I$8="-",0,[1]FishDiscoveryGroup!$R$8)</f>
        <v>0</v>
      </c>
      <c r="AI76" s="56">
        <f>IF([1]FishDiscoveryGroup!$I$8="-",0,[1]FishDiscoveryGroup!$U$8)</f>
        <v>0</v>
      </c>
      <c r="AJ76" s="56">
        <f>IF([1]FishDiscoveryGroup!$I$8="-",0,[1]FishDiscoveryGroup!$X$8)</f>
        <v>0</v>
      </c>
      <c r="AK76" s="56">
        <f>IF(표10[[#This Row],[배당'[0']]]="-",0,표10[[#This Row],[배당'[0']]])+표10[[#This Row],[PROB'[0']]]</f>
        <v>0</v>
      </c>
      <c r="AL76" s="56">
        <f>IF(표10[[#This Row],[배당'[1']]]="-",0,표10[[#This Row],[배당'[1']]])+표10[[#This Row],[PROB'[1']]]</f>
        <v>0</v>
      </c>
      <c r="AM76" s="56">
        <f>IF(표10[[#This Row],[배당'[2']]]="-",0,표10[[#This Row],[배당'[2']]])+표10[[#This Row],[PROB'[2']]]</f>
        <v>0</v>
      </c>
      <c r="AN76" s="56">
        <f>IF(표10[[#This Row],[배당'[3']]]="-",0,표10[[#This Row],[배당'[3']]])+표10[[#This Row],[PROB'[3']]]</f>
        <v>0</v>
      </c>
      <c r="AO76" s="56">
        <f>IF(표10[[#This Row],[배당'[4']]]="-",0,표10[[#This Row],[배당'[4']]])+표10[[#This Row],[PROB'[4']]]</f>
        <v>0</v>
      </c>
      <c r="AP76" s="56">
        <f>IF(표10[[#This Row],[배당'[5']]]="-",0,표10[[#This Row],[배당'[5']]])+표10[[#This Row],[PROB'[5']]]</f>
        <v>0</v>
      </c>
      <c r="AQ76" s="56">
        <f>SUM(표10[[#This Row],[최종배당'[0']]:[최종배당'[5']]])</f>
        <v>0</v>
      </c>
    </row>
    <row r="77" spans="2:43" x14ac:dyDescent="0.3">
      <c r="B77" s="56" t="str">
        <f>[1]FishOceanTile!B82</f>
        <v>중국 내륙 강</v>
      </c>
      <c r="C77" s="56" t="str">
        <f>IFERROR(VLOOKUP(표7[[#This Row],[낚시 타일]],[3]!표1_67[[이름]:[선단 LV]],6,FALSE),"-")</f>
        <v>-</v>
      </c>
      <c r="D77" s="56" t="str">
        <f>IFERROR(VLOOKUP(표7[[#This Row],[낚시 타일]],[3]!표1_67[[이름]:[위도]],3,FALSE),"-")</f>
        <v>-</v>
      </c>
      <c r="E77" s="56" t="str">
        <f>IFERROR(VLOOKUP(표7[[#This Row],[낚시 타일]],[3]!표1_67[[이름]:[위도]],2,FALSE),"-")</f>
        <v>-</v>
      </c>
      <c r="F77" s="56"/>
      <c r="G77" s="56" t="str">
        <f>IFERROR(ROUNDDOWN(표10[[#This Row],[최종배당'[0']]]/표10[[#This Row],[분모]]*100,0)&amp;"%","-")</f>
        <v>-</v>
      </c>
      <c r="H77" s="56"/>
      <c r="I77" s="56" t="str">
        <f>IFERROR(ROUNDDOWN(표10[[#This Row],[최종배당'[1']]]/표10[[#This Row],[분모]]*100,0)&amp;"%","-")</f>
        <v>-</v>
      </c>
      <c r="J77" s="56"/>
      <c r="K77" s="56" t="str">
        <f>IFERROR(ROUNDDOWN(표10[[#This Row],[최종배당'[2']]]/표10[[#This Row],[분모]]*100,0)&amp;"%","-")</f>
        <v>-</v>
      </c>
      <c r="L77" s="56"/>
      <c r="M77" s="56" t="str">
        <f>IFERROR(ROUNDDOWN(표10[[#This Row],[최종배당'[3']]]/표10[[#This Row],[분모]]*100,0)&amp;"%","-")</f>
        <v>-</v>
      </c>
      <c r="N77" s="56"/>
      <c r="O77" s="56" t="str">
        <f>IFERROR(ROUNDDOWN(표10[[#This Row],[최종배당'[4']]]/표10[[#This Row],[분모]]*100,0)&amp;"%","-")</f>
        <v>-</v>
      </c>
      <c r="P77" s="56"/>
      <c r="Q77" s="56" t="str">
        <f>IFERROR(ROUNDDOWN(표10[[#This Row],[최종배당'[5']]]/표10[[#This Row],[분모]]*100,0)&amp;"%","-")</f>
        <v>-</v>
      </c>
      <c r="S77" s="56" t="str">
        <f>IFERROR(VLOOKUP(표7[발견물'[0']],표1[[명칭]:[등급]],4,FALSE),"-")&amp;"급"</f>
        <v>0급</v>
      </c>
      <c r="T77" s="56" t="str">
        <f>IFERROR(VLOOKUP(표7[발견물'[1']],표1[[명칭]:[등급]],4,FALSE),"-")&amp;"급"</f>
        <v>0급</v>
      </c>
      <c r="U77" s="56" t="str">
        <f>IFERROR(VLOOKUP(표7[발견물'[2']],표1[[명칭]:[등급]],4,FALSE),"-")&amp;"급"</f>
        <v>0급</v>
      </c>
      <c r="V77" s="56" t="str">
        <f>IFERROR(VLOOKUP(표7[발견물'[3']],표1[[명칭]:[등급]],4,FALSE),"-")&amp;"급"</f>
        <v>0급</v>
      </c>
      <c r="W77" s="56" t="str">
        <f>IFERROR(VLOOKUP(표7[발견물'[4']],표1[[명칭]:[등급]],4,FALSE),"-")&amp;"급"</f>
        <v>0급</v>
      </c>
      <c r="X77" s="56" t="str">
        <f>IFERROR(VLOOKUP(표7[발견물'[5']],표1[[명칭]:[등급]],4,FALSE),"-")&amp;"급"</f>
        <v>0급</v>
      </c>
      <c r="Y77" s="56" t="str">
        <f>IFERROR(INDEX([1]FishGrade!$I:$I,MATCH(표10[[#This Row],[등급'[0']]],[1]FishGrade!$B:$B,0)),"-")</f>
        <v>-</v>
      </c>
      <c r="Z77" s="56" t="str">
        <f>IFERROR(INDEX([1]FishGrade!$I:$I,MATCH(표10[[#This Row],[등급'[1']]],[1]FishGrade!$B:$B,0)),"-")</f>
        <v>-</v>
      </c>
      <c r="AA77" s="56" t="str">
        <f>IFERROR(INDEX([1]FishGrade!$I:$I,MATCH(표10[[#This Row],[등급'[2']]],[1]FishGrade!$B:$B,0)),"-")</f>
        <v>-</v>
      </c>
      <c r="AB77" s="56" t="str">
        <f>IFERROR(INDEX([1]FishGrade!$I:$I,MATCH(표10[[#This Row],[등급'[3']]],[1]FishGrade!$B:$B,0)),"-")</f>
        <v>-</v>
      </c>
      <c r="AC77" s="56" t="str">
        <f>IFERROR(INDEX([1]FishGrade!$I:$I,MATCH(표10[[#This Row],[등급'[4']]],[1]FishGrade!$B:$B,0)),"-")</f>
        <v>-</v>
      </c>
      <c r="AD77" s="56" t="str">
        <f>IFERROR(INDEX([1]FishGrade!$I:$I,MATCH(표10[[#This Row],[등급'[5']]],[1]FishGrade!$B:$B,0)),"-")</f>
        <v>-</v>
      </c>
      <c r="AE77" s="56">
        <f>IF([1]FishDiscoveryGroup!$I$8="-",0,[1]FishDiscoveryGroup!$I$8)</f>
        <v>0</v>
      </c>
      <c r="AF77" s="56">
        <f>IF([1]FishDiscoveryGroup!$I$8="-",0,[1]FishDiscoveryGroup!$L$8)</f>
        <v>0</v>
      </c>
      <c r="AG77" s="56">
        <f>IF([1]FishDiscoveryGroup!$I$8="-",0,[1]FishDiscoveryGroup!$O$8)</f>
        <v>0</v>
      </c>
      <c r="AH77" s="56">
        <f>IF([1]FishDiscoveryGroup!$I$8="-",0,[1]FishDiscoveryGroup!$R$8)</f>
        <v>0</v>
      </c>
      <c r="AI77" s="56">
        <f>IF([1]FishDiscoveryGroup!$I$8="-",0,[1]FishDiscoveryGroup!$U$8)</f>
        <v>0</v>
      </c>
      <c r="AJ77" s="56">
        <f>IF([1]FishDiscoveryGroup!$I$8="-",0,[1]FishDiscoveryGroup!$X$8)</f>
        <v>0</v>
      </c>
      <c r="AK77" s="56">
        <f>IF(표10[[#This Row],[배당'[0']]]="-",0,표10[[#This Row],[배당'[0']]])+표10[[#This Row],[PROB'[0']]]</f>
        <v>0</v>
      </c>
      <c r="AL77" s="56">
        <f>IF(표10[[#This Row],[배당'[1']]]="-",0,표10[[#This Row],[배당'[1']]])+표10[[#This Row],[PROB'[1']]]</f>
        <v>0</v>
      </c>
      <c r="AM77" s="56">
        <f>IF(표10[[#This Row],[배당'[2']]]="-",0,표10[[#This Row],[배당'[2']]])+표10[[#This Row],[PROB'[2']]]</f>
        <v>0</v>
      </c>
      <c r="AN77" s="56">
        <f>IF(표10[[#This Row],[배당'[3']]]="-",0,표10[[#This Row],[배당'[3']]])+표10[[#This Row],[PROB'[3']]]</f>
        <v>0</v>
      </c>
      <c r="AO77" s="56">
        <f>IF(표10[[#This Row],[배당'[4']]]="-",0,표10[[#This Row],[배당'[4']]])+표10[[#This Row],[PROB'[4']]]</f>
        <v>0</v>
      </c>
      <c r="AP77" s="56">
        <f>IF(표10[[#This Row],[배당'[5']]]="-",0,표10[[#This Row],[배당'[5']]])+표10[[#This Row],[PROB'[5']]]</f>
        <v>0</v>
      </c>
      <c r="AQ77" s="56">
        <f>SUM(표10[[#This Row],[최종배당'[0']]:[최종배당'[5']]])</f>
        <v>0</v>
      </c>
    </row>
    <row r="78" spans="2:43" x14ac:dyDescent="0.3">
      <c r="B78" s="56" t="str">
        <f>[1]FishOceanTile!B83</f>
        <v>동중국해</v>
      </c>
      <c r="C78" s="56" t="str">
        <f>IFERROR(VLOOKUP(표7[[#This Row],[낚시 타일]],[3]!표1_67[[이름]:[선단 LV]],6,FALSE),"-")</f>
        <v>-</v>
      </c>
      <c r="D78" s="56" t="str">
        <f>IFERROR(VLOOKUP(표7[[#This Row],[낚시 타일]],[3]!표1_67[[이름]:[위도]],3,FALSE),"-")</f>
        <v>-</v>
      </c>
      <c r="E78" s="56" t="str">
        <f>IFERROR(VLOOKUP(표7[[#This Row],[낚시 타일]],[3]!표1_67[[이름]:[위도]],2,FALSE),"-")</f>
        <v>-</v>
      </c>
      <c r="F78" s="56"/>
      <c r="G78" s="56" t="str">
        <f>IFERROR(ROUNDDOWN(표10[[#This Row],[최종배당'[0']]]/표10[[#This Row],[분모]]*100,0)&amp;"%","-")</f>
        <v>-</v>
      </c>
      <c r="H78" s="56"/>
      <c r="I78" s="56" t="str">
        <f>IFERROR(ROUNDDOWN(표10[[#This Row],[최종배당'[1']]]/표10[[#This Row],[분모]]*100,0)&amp;"%","-")</f>
        <v>-</v>
      </c>
      <c r="J78" s="56"/>
      <c r="K78" s="56" t="str">
        <f>IFERROR(ROUNDDOWN(표10[[#This Row],[최종배당'[2']]]/표10[[#This Row],[분모]]*100,0)&amp;"%","-")</f>
        <v>-</v>
      </c>
      <c r="L78" s="56"/>
      <c r="M78" s="56" t="str">
        <f>IFERROR(ROUNDDOWN(표10[[#This Row],[최종배당'[3']]]/표10[[#This Row],[분모]]*100,0)&amp;"%","-")</f>
        <v>-</v>
      </c>
      <c r="N78" s="56"/>
      <c r="O78" s="56" t="str">
        <f>IFERROR(ROUNDDOWN(표10[[#This Row],[최종배당'[4']]]/표10[[#This Row],[분모]]*100,0)&amp;"%","-")</f>
        <v>-</v>
      </c>
      <c r="P78" s="56"/>
      <c r="Q78" s="56" t="str">
        <f>IFERROR(ROUNDDOWN(표10[[#This Row],[최종배당'[5']]]/표10[[#This Row],[분모]]*100,0)&amp;"%","-")</f>
        <v>-</v>
      </c>
      <c r="S78" s="56" t="str">
        <f>IFERROR(VLOOKUP(표7[발견물'[0']],표1[[명칭]:[등급]],4,FALSE),"-")&amp;"급"</f>
        <v>0급</v>
      </c>
      <c r="T78" s="56" t="str">
        <f>IFERROR(VLOOKUP(표7[발견물'[1']],표1[[명칭]:[등급]],4,FALSE),"-")&amp;"급"</f>
        <v>0급</v>
      </c>
      <c r="U78" s="56" t="str">
        <f>IFERROR(VLOOKUP(표7[발견물'[2']],표1[[명칭]:[등급]],4,FALSE),"-")&amp;"급"</f>
        <v>0급</v>
      </c>
      <c r="V78" s="56" t="str">
        <f>IFERROR(VLOOKUP(표7[발견물'[3']],표1[[명칭]:[등급]],4,FALSE),"-")&amp;"급"</f>
        <v>0급</v>
      </c>
      <c r="W78" s="56" t="str">
        <f>IFERROR(VLOOKUP(표7[발견물'[4']],표1[[명칭]:[등급]],4,FALSE),"-")&amp;"급"</f>
        <v>0급</v>
      </c>
      <c r="X78" s="56" t="str">
        <f>IFERROR(VLOOKUP(표7[발견물'[5']],표1[[명칭]:[등급]],4,FALSE),"-")&amp;"급"</f>
        <v>0급</v>
      </c>
      <c r="Y78" s="56" t="str">
        <f>IFERROR(INDEX([1]FishGrade!$I:$I,MATCH(표10[[#This Row],[등급'[0']]],[1]FishGrade!$B:$B,0)),"-")</f>
        <v>-</v>
      </c>
      <c r="Z78" s="56" t="str">
        <f>IFERROR(INDEX([1]FishGrade!$I:$I,MATCH(표10[[#This Row],[등급'[1']]],[1]FishGrade!$B:$B,0)),"-")</f>
        <v>-</v>
      </c>
      <c r="AA78" s="56" t="str">
        <f>IFERROR(INDEX([1]FishGrade!$I:$I,MATCH(표10[[#This Row],[등급'[2']]],[1]FishGrade!$B:$B,0)),"-")</f>
        <v>-</v>
      </c>
      <c r="AB78" s="56" t="str">
        <f>IFERROR(INDEX([1]FishGrade!$I:$I,MATCH(표10[[#This Row],[등급'[3']]],[1]FishGrade!$B:$B,0)),"-")</f>
        <v>-</v>
      </c>
      <c r="AC78" s="56" t="str">
        <f>IFERROR(INDEX([1]FishGrade!$I:$I,MATCH(표10[[#This Row],[등급'[4']]],[1]FishGrade!$B:$B,0)),"-")</f>
        <v>-</v>
      </c>
      <c r="AD78" s="56" t="str">
        <f>IFERROR(INDEX([1]FishGrade!$I:$I,MATCH(표10[[#This Row],[등급'[5']]],[1]FishGrade!$B:$B,0)),"-")</f>
        <v>-</v>
      </c>
      <c r="AE78" s="56">
        <f>IF([1]FishDiscoveryGroup!$I$8="-",0,[1]FishDiscoveryGroup!$I$8)</f>
        <v>0</v>
      </c>
      <c r="AF78" s="56">
        <f>IF([1]FishDiscoveryGroup!$I$8="-",0,[1]FishDiscoveryGroup!$L$8)</f>
        <v>0</v>
      </c>
      <c r="AG78" s="56">
        <f>IF([1]FishDiscoveryGroup!$I$8="-",0,[1]FishDiscoveryGroup!$O$8)</f>
        <v>0</v>
      </c>
      <c r="AH78" s="56">
        <f>IF([1]FishDiscoveryGroup!$I$8="-",0,[1]FishDiscoveryGroup!$R$8)</f>
        <v>0</v>
      </c>
      <c r="AI78" s="56">
        <f>IF([1]FishDiscoveryGroup!$I$8="-",0,[1]FishDiscoveryGroup!$U$8)</f>
        <v>0</v>
      </c>
      <c r="AJ78" s="56">
        <f>IF([1]FishDiscoveryGroup!$I$8="-",0,[1]FishDiscoveryGroup!$X$8)</f>
        <v>0</v>
      </c>
      <c r="AK78" s="56">
        <f>IF(표10[[#This Row],[배당'[0']]]="-",0,표10[[#This Row],[배당'[0']]])+표10[[#This Row],[PROB'[0']]]</f>
        <v>0</v>
      </c>
      <c r="AL78" s="56">
        <f>IF(표10[[#This Row],[배당'[1']]]="-",0,표10[[#This Row],[배당'[1']]])+표10[[#This Row],[PROB'[1']]]</f>
        <v>0</v>
      </c>
      <c r="AM78" s="56">
        <f>IF(표10[[#This Row],[배당'[2']]]="-",0,표10[[#This Row],[배당'[2']]])+표10[[#This Row],[PROB'[2']]]</f>
        <v>0</v>
      </c>
      <c r="AN78" s="56">
        <f>IF(표10[[#This Row],[배당'[3']]]="-",0,표10[[#This Row],[배당'[3']]])+표10[[#This Row],[PROB'[3']]]</f>
        <v>0</v>
      </c>
      <c r="AO78" s="56">
        <f>IF(표10[[#This Row],[배당'[4']]]="-",0,표10[[#This Row],[배당'[4']]])+표10[[#This Row],[PROB'[4']]]</f>
        <v>0</v>
      </c>
      <c r="AP78" s="56">
        <f>IF(표10[[#This Row],[배당'[5']]]="-",0,표10[[#This Row],[배당'[5']]])+표10[[#This Row],[PROB'[5']]]</f>
        <v>0</v>
      </c>
      <c r="AQ78" s="56">
        <f>SUM(표10[[#This Row],[최종배당'[0']]:[최종배당'[5']]])</f>
        <v>0</v>
      </c>
    </row>
    <row r="79" spans="2:43" x14ac:dyDescent="0.3">
      <c r="B79" s="56" t="str">
        <f>[1]FishOceanTile!B84</f>
        <v>황해</v>
      </c>
      <c r="C79" s="56" t="str">
        <f>IFERROR(VLOOKUP(표7[[#This Row],[낚시 타일]],[3]!표1_67[[이름]:[선단 LV]],6,FALSE),"-")</f>
        <v>-</v>
      </c>
      <c r="D79" s="56" t="str">
        <f>IFERROR(VLOOKUP(표7[[#This Row],[낚시 타일]],[3]!표1_67[[이름]:[위도]],3,FALSE),"-")</f>
        <v>-</v>
      </c>
      <c r="E79" s="56" t="str">
        <f>IFERROR(VLOOKUP(표7[[#This Row],[낚시 타일]],[3]!표1_67[[이름]:[위도]],2,FALSE),"-")</f>
        <v>-</v>
      </c>
      <c r="F79" s="56"/>
      <c r="G79" s="56" t="str">
        <f>IFERROR(ROUNDDOWN(표10[[#This Row],[최종배당'[0']]]/표10[[#This Row],[분모]]*100,0)&amp;"%","-")</f>
        <v>-</v>
      </c>
      <c r="H79" s="56"/>
      <c r="I79" s="56" t="str">
        <f>IFERROR(ROUNDDOWN(표10[[#This Row],[최종배당'[1']]]/표10[[#This Row],[분모]]*100,0)&amp;"%","-")</f>
        <v>-</v>
      </c>
      <c r="J79" s="56"/>
      <c r="K79" s="56" t="str">
        <f>IFERROR(ROUNDDOWN(표10[[#This Row],[최종배당'[2']]]/표10[[#This Row],[분모]]*100,0)&amp;"%","-")</f>
        <v>-</v>
      </c>
      <c r="L79" s="56"/>
      <c r="M79" s="56" t="str">
        <f>IFERROR(ROUNDDOWN(표10[[#This Row],[최종배당'[3']]]/표10[[#This Row],[분모]]*100,0)&amp;"%","-")</f>
        <v>-</v>
      </c>
      <c r="N79" s="56"/>
      <c r="O79" s="56" t="str">
        <f>IFERROR(ROUNDDOWN(표10[[#This Row],[최종배당'[4']]]/표10[[#This Row],[분모]]*100,0)&amp;"%","-")</f>
        <v>-</v>
      </c>
      <c r="P79" s="56"/>
      <c r="Q79" s="56" t="str">
        <f>IFERROR(ROUNDDOWN(표10[[#This Row],[최종배당'[5']]]/표10[[#This Row],[분모]]*100,0)&amp;"%","-")</f>
        <v>-</v>
      </c>
      <c r="S79" s="56" t="str">
        <f>IFERROR(VLOOKUP(표7[발견물'[0']],표1[[명칭]:[등급]],4,FALSE),"-")&amp;"급"</f>
        <v>0급</v>
      </c>
      <c r="T79" s="56" t="str">
        <f>IFERROR(VLOOKUP(표7[발견물'[1']],표1[[명칭]:[등급]],4,FALSE),"-")&amp;"급"</f>
        <v>0급</v>
      </c>
      <c r="U79" s="56" t="str">
        <f>IFERROR(VLOOKUP(표7[발견물'[2']],표1[[명칭]:[등급]],4,FALSE),"-")&amp;"급"</f>
        <v>0급</v>
      </c>
      <c r="V79" s="56" t="str">
        <f>IFERROR(VLOOKUP(표7[발견물'[3']],표1[[명칭]:[등급]],4,FALSE),"-")&amp;"급"</f>
        <v>0급</v>
      </c>
      <c r="W79" s="56" t="str">
        <f>IFERROR(VLOOKUP(표7[발견물'[4']],표1[[명칭]:[등급]],4,FALSE),"-")&amp;"급"</f>
        <v>0급</v>
      </c>
      <c r="X79" s="56" t="str">
        <f>IFERROR(VLOOKUP(표7[발견물'[5']],표1[[명칭]:[등급]],4,FALSE),"-")&amp;"급"</f>
        <v>0급</v>
      </c>
      <c r="Y79" s="56" t="str">
        <f>IFERROR(INDEX([1]FishGrade!$I:$I,MATCH(표10[[#This Row],[등급'[0']]],[1]FishGrade!$B:$B,0)),"-")</f>
        <v>-</v>
      </c>
      <c r="Z79" s="56" t="str">
        <f>IFERROR(INDEX([1]FishGrade!$I:$I,MATCH(표10[[#This Row],[등급'[1']]],[1]FishGrade!$B:$B,0)),"-")</f>
        <v>-</v>
      </c>
      <c r="AA79" s="56" t="str">
        <f>IFERROR(INDEX([1]FishGrade!$I:$I,MATCH(표10[[#This Row],[등급'[2']]],[1]FishGrade!$B:$B,0)),"-")</f>
        <v>-</v>
      </c>
      <c r="AB79" s="56" t="str">
        <f>IFERROR(INDEX([1]FishGrade!$I:$I,MATCH(표10[[#This Row],[등급'[3']]],[1]FishGrade!$B:$B,0)),"-")</f>
        <v>-</v>
      </c>
      <c r="AC79" s="56" t="str">
        <f>IFERROR(INDEX([1]FishGrade!$I:$I,MATCH(표10[[#This Row],[등급'[4']]],[1]FishGrade!$B:$B,0)),"-")</f>
        <v>-</v>
      </c>
      <c r="AD79" s="56" t="str">
        <f>IFERROR(INDEX([1]FishGrade!$I:$I,MATCH(표10[[#This Row],[등급'[5']]],[1]FishGrade!$B:$B,0)),"-")</f>
        <v>-</v>
      </c>
      <c r="AE79" s="56">
        <f>IF([1]FishDiscoveryGroup!$I$8="-",0,[1]FishDiscoveryGroup!$I$8)</f>
        <v>0</v>
      </c>
      <c r="AF79" s="56">
        <f>IF([1]FishDiscoveryGroup!$I$8="-",0,[1]FishDiscoveryGroup!$L$8)</f>
        <v>0</v>
      </c>
      <c r="AG79" s="56">
        <f>IF([1]FishDiscoveryGroup!$I$8="-",0,[1]FishDiscoveryGroup!$O$8)</f>
        <v>0</v>
      </c>
      <c r="AH79" s="56">
        <f>IF([1]FishDiscoveryGroup!$I$8="-",0,[1]FishDiscoveryGroup!$R$8)</f>
        <v>0</v>
      </c>
      <c r="AI79" s="56">
        <f>IF([1]FishDiscoveryGroup!$I$8="-",0,[1]FishDiscoveryGroup!$U$8)</f>
        <v>0</v>
      </c>
      <c r="AJ79" s="56">
        <f>IF([1]FishDiscoveryGroup!$I$8="-",0,[1]FishDiscoveryGroup!$X$8)</f>
        <v>0</v>
      </c>
      <c r="AK79" s="56">
        <f>IF(표10[[#This Row],[배당'[0']]]="-",0,표10[[#This Row],[배당'[0']]])+표10[[#This Row],[PROB'[0']]]</f>
        <v>0</v>
      </c>
      <c r="AL79" s="56">
        <f>IF(표10[[#This Row],[배당'[1']]]="-",0,표10[[#This Row],[배당'[1']]])+표10[[#This Row],[PROB'[1']]]</f>
        <v>0</v>
      </c>
      <c r="AM79" s="56">
        <f>IF(표10[[#This Row],[배당'[2']]]="-",0,표10[[#This Row],[배당'[2']]])+표10[[#This Row],[PROB'[2']]]</f>
        <v>0</v>
      </c>
      <c r="AN79" s="56">
        <f>IF(표10[[#This Row],[배당'[3']]]="-",0,표10[[#This Row],[배당'[3']]])+표10[[#This Row],[PROB'[3']]]</f>
        <v>0</v>
      </c>
      <c r="AO79" s="56">
        <f>IF(표10[[#This Row],[배당'[4']]]="-",0,표10[[#This Row],[배당'[4']]])+표10[[#This Row],[PROB'[4']]]</f>
        <v>0</v>
      </c>
      <c r="AP79" s="56">
        <f>IF(표10[[#This Row],[배당'[5']]]="-",0,표10[[#This Row],[배당'[5']]])+표10[[#This Row],[PROB'[5']]]</f>
        <v>0</v>
      </c>
      <c r="AQ79" s="56">
        <f>SUM(표10[[#This Row],[최종배당'[0']]:[최종배당'[5']]])</f>
        <v>0</v>
      </c>
    </row>
    <row r="80" spans="2:43" x14ac:dyDescent="0.3">
      <c r="B80" s="56" t="str">
        <f>[1]FishOceanTile!B85</f>
        <v>동해</v>
      </c>
      <c r="C80" s="56" t="str">
        <f>IFERROR(VLOOKUP(표7[[#This Row],[낚시 타일]],[3]!표1_67[[이름]:[선단 LV]],6,FALSE),"-")</f>
        <v>-</v>
      </c>
      <c r="D80" s="56" t="str">
        <f>IFERROR(VLOOKUP(표7[[#This Row],[낚시 타일]],[3]!표1_67[[이름]:[위도]],3,FALSE),"-")</f>
        <v>-</v>
      </c>
      <c r="E80" s="56" t="str">
        <f>IFERROR(VLOOKUP(표7[[#This Row],[낚시 타일]],[3]!표1_67[[이름]:[위도]],2,FALSE),"-")</f>
        <v>-</v>
      </c>
      <c r="F80" s="56"/>
      <c r="G80" s="56" t="str">
        <f>IFERROR(ROUNDDOWN(표10[[#This Row],[최종배당'[0']]]/표10[[#This Row],[분모]]*100,0)&amp;"%","-")</f>
        <v>-</v>
      </c>
      <c r="H80" s="56"/>
      <c r="I80" s="56" t="str">
        <f>IFERROR(ROUNDDOWN(표10[[#This Row],[최종배당'[1']]]/표10[[#This Row],[분모]]*100,0)&amp;"%","-")</f>
        <v>-</v>
      </c>
      <c r="J80" s="56"/>
      <c r="K80" s="56" t="str">
        <f>IFERROR(ROUNDDOWN(표10[[#This Row],[최종배당'[2']]]/표10[[#This Row],[분모]]*100,0)&amp;"%","-")</f>
        <v>-</v>
      </c>
      <c r="L80" s="56"/>
      <c r="M80" s="56" t="str">
        <f>IFERROR(ROUNDDOWN(표10[[#This Row],[최종배당'[3']]]/표10[[#This Row],[분모]]*100,0)&amp;"%","-")</f>
        <v>-</v>
      </c>
      <c r="N80" s="56"/>
      <c r="O80" s="56" t="str">
        <f>IFERROR(ROUNDDOWN(표10[[#This Row],[최종배당'[4']]]/표10[[#This Row],[분모]]*100,0)&amp;"%","-")</f>
        <v>-</v>
      </c>
      <c r="P80" s="56"/>
      <c r="Q80" s="56" t="str">
        <f>IFERROR(ROUNDDOWN(표10[[#This Row],[최종배당'[5']]]/표10[[#This Row],[분모]]*100,0)&amp;"%","-")</f>
        <v>-</v>
      </c>
      <c r="S80" s="56" t="str">
        <f>IFERROR(VLOOKUP(표7[발견물'[0']],표1[[명칭]:[등급]],4,FALSE),"-")&amp;"급"</f>
        <v>0급</v>
      </c>
      <c r="T80" s="56" t="str">
        <f>IFERROR(VLOOKUP(표7[발견물'[1']],표1[[명칭]:[등급]],4,FALSE),"-")&amp;"급"</f>
        <v>0급</v>
      </c>
      <c r="U80" s="56" t="str">
        <f>IFERROR(VLOOKUP(표7[발견물'[2']],표1[[명칭]:[등급]],4,FALSE),"-")&amp;"급"</f>
        <v>0급</v>
      </c>
      <c r="V80" s="56" t="str">
        <f>IFERROR(VLOOKUP(표7[발견물'[3']],표1[[명칭]:[등급]],4,FALSE),"-")&amp;"급"</f>
        <v>0급</v>
      </c>
      <c r="W80" s="56" t="str">
        <f>IFERROR(VLOOKUP(표7[발견물'[4']],표1[[명칭]:[등급]],4,FALSE),"-")&amp;"급"</f>
        <v>0급</v>
      </c>
      <c r="X80" s="56" t="str">
        <f>IFERROR(VLOOKUP(표7[발견물'[5']],표1[[명칭]:[등급]],4,FALSE),"-")&amp;"급"</f>
        <v>0급</v>
      </c>
      <c r="Y80" s="56" t="str">
        <f>IFERROR(INDEX([1]FishGrade!$I:$I,MATCH(표10[[#This Row],[등급'[0']]],[1]FishGrade!$B:$B,0)),"-")</f>
        <v>-</v>
      </c>
      <c r="Z80" s="56" t="str">
        <f>IFERROR(INDEX([1]FishGrade!$I:$I,MATCH(표10[[#This Row],[등급'[1']]],[1]FishGrade!$B:$B,0)),"-")</f>
        <v>-</v>
      </c>
      <c r="AA80" s="56" t="str">
        <f>IFERROR(INDEX([1]FishGrade!$I:$I,MATCH(표10[[#This Row],[등급'[2']]],[1]FishGrade!$B:$B,0)),"-")</f>
        <v>-</v>
      </c>
      <c r="AB80" s="56" t="str">
        <f>IFERROR(INDEX([1]FishGrade!$I:$I,MATCH(표10[[#This Row],[등급'[3']]],[1]FishGrade!$B:$B,0)),"-")</f>
        <v>-</v>
      </c>
      <c r="AC80" s="56" t="str">
        <f>IFERROR(INDEX([1]FishGrade!$I:$I,MATCH(표10[[#This Row],[등급'[4']]],[1]FishGrade!$B:$B,0)),"-")</f>
        <v>-</v>
      </c>
      <c r="AD80" s="56" t="str">
        <f>IFERROR(INDEX([1]FishGrade!$I:$I,MATCH(표10[[#This Row],[등급'[5']]],[1]FishGrade!$B:$B,0)),"-")</f>
        <v>-</v>
      </c>
      <c r="AE80" s="56">
        <f>IF([1]FishDiscoveryGroup!$I$8="-",0,[1]FishDiscoveryGroup!$I$8)</f>
        <v>0</v>
      </c>
      <c r="AF80" s="56">
        <f>IF([1]FishDiscoveryGroup!$I$8="-",0,[1]FishDiscoveryGroup!$L$8)</f>
        <v>0</v>
      </c>
      <c r="AG80" s="56">
        <f>IF([1]FishDiscoveryGroup!$I$8="-",0,[1]FishDiscoveryGroup!$O$8)</f>
        <v>0</v>
      </c>
      <c r="AH80" s="56">
        <f>IF([1]FishDiscoveryGroup!$I$8="-",0,[1]FishDiscoveryGroup!$R$8)</f>
        <v>0</v>
      </c>
      <c r="AI80" s="56">
        <f>IF([1]FishDiscoveryGroup!$I$8="-",0,[1]FishDiscoveryGroup!$U$8)</f>
        <v>0</v>
      </c>
      <c r="AJ80" s="56">
        <f>IF([1]FishDiscoveryGroup!$I$8="-",0,[1]FishDiscoveryGroup!$X$8)</f>
        <v>0</v>
      </c>
      <c r="AK80" s="56">
        <f>IF(표10[[#This Row],[배당'[0']]]="-",0,표10[[#This Row],[배당'[0']]])+표10[[#This Row],[PROB'[0']]]</f>
        <v>0</v>
      </c>
      <c r="AL80" s="56">
        <f>IF(표10[[#This Row],[배당'[1']]]="-",0,표10[[#This Row],[배당'[1']]])+표10[[#This Row],[PROB'[1']]]</f>
        <v>0</v>
      </c>
      <c r="AM80" s="56">
        <f>IF(표10[[#This Row],[배당'[2']]]="-",0,표10[[#This Row],[배당'[2']]])+표10[[#This Row],[PROB'[2']]]</f>
        <v>0</v>
      </c>
      <c r="AN80" s="56">
        <f>IF(표10[[#This Row],[배당'[3']]]="-",0,표10[[#This Row],[배당'[3']]])+표10[[#This Row],[PROB'[3']]]</f>
        <v>0</v>
      </c>
      <c r="AO80" s="56">
        <f>IF(표10[[#This Row],[배당'[4']]]="-",0,표10[[#This Row],[배당'[4']]])+표10[[#This Row],[PROB'[4']]]</f>
        <v>0</v>
      </c>
      <c r="AP80" s="56">
        <f>IF(표10[[#This Row],[배당'[5']]]="-",0,표10[[#This Row],[배당'[5']]])+표10[[#This Row],[PROB'[5']]]</f>
        <v>0</v>
      </c>
      <c r="AQ80" s="56">
        <f>SUM(표10[[#This Row],[최종배당'[0']]:[최종배당'[5']]])</f>
        <v>0</v>
      </c>
    </row>
    <row r="81" spans="2:43" x14ac:dyDescent="0.3">
      <c r="B81" s="56" t="str">
        <f>[1]FishOceanTile!B86</f>
        <v>동아시아 동부</v>
      </c>
      <c r="C81" s="56" t="str">
        <f>IFERROR(VLOOKUP(표7[[#This Row],[낚시 타일]],[3]!표1_67[[이름]:[선단 LV]],6,FALSE),"-")</f>
        <v>-</v>
      </c>
      <c r="D81" s="56" t="str">
        <f>IFERROR(VLOOKUP(표7[[#This Row],[낚시 타일]],[3]!표1_67[[이름]:[위도]],3,FALSE),"-")</f>
        <v>-</v>
      </c>
      <c r="E81" s="56" t="str">
        <f>IFERROR(VLOOKUP(표7[[#This Row],[낚시 타일]],[3]!표1_67[[이름]:[위도]],2,FALSE),"-")</f>
        <v>-</v>
      </c>
      <c r="F81" s="56"/>
      <c r="G81" s="56" t="str">
        <f>IFERROR(ROUNDDOWN(표10[[#This Row],[최종배당'[0']]]/표10[[#This Row],[분모]]*100,0)&amp;"%","-")</f>
        <v>-</v>
      </c>
      <c r="H81" s="56"/>
      <c r="I81" s="56" t="str">
        <f>IFERROR(ROUNDDOWN(표10[[#This Row],[최종배당'[1']]]/표10[[#This Row],[분모]]*100,0)&amp;"%","-")</f>
        <v>-</v>
      </c>
      <c r="J81" s="56"/>
      <c r="K81" s="56" t="str">
        <f>IFERROR(ROUNDDOWN(표10[[#This Row],[최종배당'[2']]]/표10[[#This Row],[분모]]*100,0)&amp;"%","-")</f>
        <v>-</v>
      </c>
      <c r="L81" s="56"/>
      <c r="M81" s="56" t="str">
        <f>IFERROR(ROUNDDOWN(표10[[#This Row],[최종배당'[3']]]/표10[[#This Row],[분모]]*100,0)&amp;"%","-")</f>
        <v>-</v>
      </c>
      <c r="N81" s="56"/>
      <c r="O81" s="56" t="str">
        <f>IFERROR(ROUNDDOWN(표10[[#This Row],[최종배당'[4']]]/표10[[#This Row],[분모]]*100,0)&amp;"%","-")</f>
        <v>-</v>
      </c>
      <c r="P81" s="56"/>
      <c r="Q81" s="56" t="str">
        <f>IFERROR(ROUNDDOWN(표10[[#This Row],[최종배당'[5']]]/표10[[#This Row],[분모]]*100,0)&amp;"%","-")</f>
        <v>-</v>
      </c>
      <c r="S81" s="56" t="str">
        <f>IFERROR(VLOOKUP(표7[발견물'[0']],표1[[명칭]:[등급]],4,FALSE),"-")&amp;"급"</f>
        <v>0급</v>
      </c>
      <c r="T81" s="56" t="str">
        <f>IFERROR(VLOOKUP(표7[발견물'[1']],표1[[명칭]:[등급]],4,FALSE),"-")&amp;"급"</f>
        <v>0급</v>
      </c>
      <c r="U81" s="56" t="str">
        <f>IFERROR(VLOOKUP(표7[발견물'[2']],표1[[명칭]:[등급]],4,FALSE),"-")&amp;"급"</f>
        <v>0급</v>
      </c>
      <c r="V81" s="56" t="str">
        <f>IFERROR(VLOOKUP(표7[발견물'[3']],표1[[명칭]:[등급]],4,FALSE),"-")&amp;"급"</f>
        <v>0급</v>
      </c>
      <c r="W81" s="56" t="str">
        <f>IFERROR(VLOOKUP(표7[발견물'[4']],표1[[명칭]:[등급]],4,FALSE),"-")&amp;"급"</f>
        <v>0급</v>
      </c>
      <c r="X81" s="56" t="str">
        <f>IFERROR(VLOOKUP(표7[발견물'[5']],표1[[명칭]:[등급]],4,FALSE),"-")&amp;"급"</f>
        <v>0급</v>
      </c>
      <c r="Y81" s="56" t="str">
        <f>IFERROR(INDEX([1]FishGrade!$I:$I,MATCH(표10[[#This Row],[등급'[0']]],[1]FishGrade!$B:$B,0)),"-")</f>
        <v>-</v>
      </c>
      <c r="Z81" s="56" t="str">
        <f>IFERROR(INDEX([1]FishGrade!$I:$I,MATCH(표10[[#This Row],[등급'[1']]],[1]FishGrade!$B:$B,0)),"-")</f>
        <v>-</v>
      </c>
      <c r="AA81" s="56" t="str">
        <f>IFERROR(INDEX([1]FishGrade!$I:$I,MATCH(표10[[#This Row],[등급'[2']]],[1]FishGrade!$B:$B,0)),"-")</f>
        <v>-</v>
      </c>
      <c r="AB81" s="56" t="str">
        <f>IFERROR(INDEX([1]FishGrade!$I:$I,MATCH(표10[[#This Row],[등급'[3']]],[1]FishGrade!$B:$B,0)),"-")</f>
        <v>-</v>
      </c>
      <c r="AC81" s="56" t="str">
        <f>IFERROR(INDEX([1]FishGrade!$I:$I,MATCH(표10[[#This Row],[등급'[4']]],[1]FishGrade!$B:$B,0)),"-")</f>
        <v>-</v>
      </c>
      <c r="AD81" s="56" t="str">
        <f>IFERROR(INDEX([1]FishGrade!$I:$I,MATCH(표10[[#This Row],[등급'[5']]],[1]FishGrade!$B:$B,0)),"-")</f>
        <v>-</v>
      </c>
      <c r="AE81" s="56">
        <f>IF([1]FishDiscoveryGroup!$I$8="-",0,[1]FishDiscoveryGroup!$I$8)</f>
        <v>0</v>
      </c>
      <c r="AF81" s="56">
        <f>IF([1]FishDiscoveryGroup!$I$8="-",0,[1]FishDiscoveryGroup!$L$8)</f>
        <v>0</v>
      </c>
      <c r="AG81" s="56">
        <f>IF([1]FishDiscoveryGroup!$I$8="-",0,[1]FishDiscoveryGroup!$O$8)</f>
        <v>0</v>
      </c>
      <c r="AH81" s="56">
        <f>IF([1]FishDiscoveryGroup!$I$8="-",0,[1]FishDiscoveryGroup!$R$8)</f>
        <v>0</v>
      </c>
      <c r="AI81" s="56">
        <f>IF([1]FishDiscoveryGroup!$I$8="-",0,[1]FishDiscoveryGroup!$U$8)</f>
        <v>0</v>
      </c>
      <c r="AJ81" s="56">
        <f>IF([1]FishDiscoveryGroup!$I$8="-",0,[1]FishDiscoveryGroup!$X$8)</f>
        <v>0</v>
      </c>
      <c r="AK81" s="56">
        <f>IF(표10[[#This Row],[배당'[0']]]="-",0,표10[[#This Row],[배당'[0']]])+표10[[#This Row],[PROB'[0']]]</f>
        <v>0</v>
      </c>
      <c r="AL81" s="56">
        <f>IF(표10[[#This Row],[배당'[1']]]="-",0,표10[[#This Row],[배당'[1']]])+표10[[#This Row],[PROB'[1']]]</f>
        <v>0</v>
      </c>
      <c r="AM81" s="56">
        <f>IF(표10[[#This Row],[배당'[2']]]="-",0,표10[[#This Row],[배당'[2']]])+표10[[#This Row],[PROB'[2']]]</f>
        <v>0</v>
      </c>
      <c r="AN81" s="56">
        <f>IF(표10[[#This Row],[배당'[3']]]="-",0,표10[[#This Row],[배당'[3']]])+표10[[#This Row],[PROB'[3']]]</f>
        <v>0</v>
      </c>
      <c r="AO81" s="56">
        <f>IF(표10[[#This Row],[배당'[4']]]="-",0,표10[[#This Row],[배당'[4']]])+표10[[#This Row],[PROB'[4']]]</f>
        <v>0</v>
      </c>
      <c r="AP81" s="56">
        <f>IF(표10[[#This Row],[배당'[5']]]="-",0,표10[[#This Row],[배당'[5']]])+표10[[#This Row],[PROB'[5']]]</f>
        <v>0</v>
      </c>
      <c r="AQ81" s="56">
        <f>SUM(표10[[#This Row],[최종배당'[0']]:[최종배당'[5']]])</f>
        <v>0</v>
      </c>
    </row>
    <row r="82" spans="2:43" x14ac:dyDescent="0.3">
      <c r="B82" s="56" t="str">
        <f>[1]FishOceanTile!B87</f>
        <v>서 캐롤린 해저</v>
      </c>
      <c r="C82" s="56" t="str">
        <f>IFERROR(VLOOKUP(표7[[#This Row],[낚시 타일]],[3]!표1_67[[이름]:[선단 LV]],6,FALSE),"-")</f>
        <v>-</v>
      </c>
      <c r="D82" s="56" t="str">
        <f>IFERROR(VLOOKUP(표7[[#This Row],[낚시 타일]],[3]!표1_67[[이름]:[위도]],3,FALSE),"-")</f>
        <v>-</v>
      </c>
      <c r="E82" s="56" t="str">
        <f>IFERROR(VLOOKUP(표7[[#This Row],[낚시 타일]],[3]!표1_67[[이름]:[위도]],2,FALSE),"-")</f>
        <v>-</v>
      </c>
      <c r="F82" s="56"/>
      <c r="G82" s="56" t="str">
        <f>IFERROR(ROUNDDOWN(표10[[#This Row],[최종배당'[0']]]/표10[[#This Row],[분모]]*100,0)&amp;"%","-")</f>
        <v>-</v>
      </c>
      <c r="H82" s="56"/>
      <c r="I82" s="56" t="str">
        <f>IFERROR(ROUNDDOWN(표10[[#This Row],[최종배당'[1']]]/표10[[#This Row],[분모]]*100,0)&amp;"%","-")</f>
        <v>-</v>
      </c>
      <c r="J82" s="56"/>
      <c r="K82" s="56" t="str">
        <f>IFERROR(ROUNDDOWN(표10[[#This Row],[최종배당'[2']]]/표10[[#This Row],[분모]]*100,0)&amp;"%","-")</f>
        <v>-</v>
      </c>
      <c r="L82" s="56"/>
      <c r="M82" s="56" t="str">
        <f>IFERROR(ROUNDDOWN(표10[[#This Row],[최종배당'[3']]]/표10[[#This Row],[분모]]*100,0)&amp;"%","-")</f>
        <v>-</v>
      </c>
      <c r="N82" s="56"/>
      <c r="O82" s="56" t="str">
        <f>IFERROR(ROUNDDOWN(표10[[#This Row],[최종배당'[4']]]/표10[[#This Row],[분모]]*100,0)&amp;"%","-")</f>
        <v>-</v>
      </c>
      <c r="P82" s="56"/>
      <c r="Q82" s="56" t="str">
        <f>IFERROR(ROUNDDOWN(표10[[#This Row],[최종배당'[5']]]/표10[[#This Row],[분모]]*100,0)&amp;"%","-")</f>
        <v>-</v>
      </c>
      <c r="S82" s="56" t="str">
        <f>IFERROR(VLOOKUP(표7[발견물'[0']],표1[[명칭]:[등급]],4,FALSE),"-")&amp;"급"</f>
        <v>0급</v>
      </c>
      <c r="T82" s="56" t="str">
        <f>IFERROR(VLOOKUP(표7[발견물'[1']],표1[[명칭]:[등급]],4,FALSE),"-")&amp;"급"</f>
        <v>0급</v>
      </c>
      <c r="U82" s="56" t="str">
        <f>IFERROR(VLOOKUP(표7[발견물'[2']],표1[[명칭]:[등급]],4,FALSE),"-")&amp;"급"</f>
        <v>0급</v>
      </c>
      <c r="V82" s="56" t="str">
        <f>IFERROR(VLOOKUP(표7[발견물'[3']],표1[[명칭]:[등급]],4,FALSE),"-")&amp;"급"</f>
        <v>0급</v>
      </c>
      <c r="W82" s="56" t="str">
        <f>IFERROR(VLOOKUP(표7[발견물'[4']],표1[[명칭]:[등급]],4,FALSE),"-")&amp;"급"</f>
        <v>0급</v>
      </c>
      <c r="X82" s="56" t="str">
        <f>IFERROR(VLOOKUP(표7[발견물'[5']],표1[[명칭]:[등급]],4,FALSE),"-")&amp;"급"</f>
        <v>0급</v>
      </c>
      <c r="Y82" s="56" t="str">
        <f>IFERROR(INDEX([1]FishGrade!$I:$I,MATCH(표10[[#This Row],[등급'[0']]],[1]FishGrade!$B:$B,0)),"-")</f>
        <v>-</v>
      </c>
      <c r="Z82" s="56" t="str">
        <f>IFERROR(INDEX([1]FishGrade!$I:$I,MATCH(표10[[#This Row],[등급'[1']]],[1]FishGrade!$B:$B,0)),"-")</f>
        <v>-</v>
      </c>
      <c r="AA82" s="56" t="str">
        <f>IFERROR(INDEX([1]FishGrade!$I:$I,MATCH(표10[[#This Row],[등급'[2']]],[1]FishGrade!$B:$B,0)),"-")</f>
        <v>-</v>
      </c>
      <c r="AB82" s="56" t="str">
        <f>IFERROR(INDEX([1]FishGrade!$I:$I,MATCH(표10[[#This Row],[등급'[3']]],[1]FishGrade!$B:$B,0)),"-")</f>
        <v>-</v>
      </c>
      <c r="AC82" s="56" t="str">
        <f>IFERROR(INDEX([1]FishGrade!$I:$I,MATCH(표10[[#This Row],[등급'[4']]],[1]FishGrade!$B:$B,0)),"-")</f>
        <v>-</v>
      </c>
      <c r="AD82" s="56" t="str">
        <f>IFERROR(INDEX([1]FishGrade!$I:$I,MATCH(표10[[#This Row],[등급'[5']]],[1]FishGrade!$B:$B,0)),"-")</f>
        <v>-</v>
      </c>
      <c r="AE82" s="56">
        <f>IF([1]FishDiscoveryGroup!$I$8="-",0,[1]FishDiscoveryGroup!$I$8)</f>
        <v>0</v>
      </c>
      <c r="AF82" s="56">
        <f>IF([1]FishDiscoveryGroup!$I$8="-",0,[1]FishDiscoveryGroup!$L$8)</f>
        <v>0</v>
      </c>
      <c r="AG82" s="56">
        <f>IF([1]FishDiscoveryGroup!$I$8="-",0,[1]FishDiscoveryGroup!$O$8)</f>
        <v>0</v>
      </c>
      <c r="AH82" s="56">
        <f>IF([1]FishDiscoveryGroup!$I$8="-",0,[1]FishDiscoveryGroup!$R$8)</f>
        <v>0</v>
      </c>
      <c r="AI82" s="56">
        <f>IF([1]FishDiscoveryGroup!$I$8="-",0,[1]FishDiscoveryGroup!$U$8)</f>
        <v>0</v>
      </c>
      <c r="AJ82" s="56">
        <f>IF([1]FishDiscoveryGroup!$I$8="-",0,[1]FishDiscoveryGroup!$X$8)</f>
        <v>0</v>
      </c>
      <c r="AK82" s="56">
        <f>IF(표10[[#This Row],[배당'[0']]]="-",0,표10[[#This Row],[배당'[0']]])+표10[[#This Row],[PROB'[0']]]</f>
        <v>0</v>
      </c>
      <c r="AL82" s="56">
        <f>IF(표10[[#This Row],[배당'[1']]]="-",0,표10[[#This Row],[배당'[1']]])+표10[[#This Row],[PROB'[1']]]</f>
        <v>0</v>
      </c>
      <c r="AM82" s="56">
        <f>IF(표10[[#This Row],[배당'[2']]]="-",0,표10[[#This Row],[배당'[2']]])+표10[[#This Row],[PROB'[2']]]</f>
        <v>0</v>
      </c>
      <c r="AN82" s="56">
        <f>IF(표10[[#This Row],[배당'[3']]]="-",0,표10[[#This Row],[배당'[3']]])+표10[[#This Row],[PROB'[3']]]</f>
        <v>0</v>
      </c>
      <c r="AO82" s="56">
        <f>IF(표10[[#This Row],[배당'[4']]]="-",0,표10[[#This Row],[배당'[4']]])+표10[[#This Row],[PROB'[4']]]</f>
        <v>0</v>
      </c>
      <c r="AP82" s="56">
        <f>IF(표10[[#This Row],[배당'[5']]]="-",0,표10[[#This Row],[배당'[5']]])+표10[[#This Row],[PROB'[5']]]</f>
        <v>0</v>
      </c>
      <c r="AQ82" s="56">
        <f>SUM(표10[[#This Row],[최종배당'[0']]:[최종배당'[5']]])</f>
        <v>0</v>
      </c>
    </row>
    <row r="83" spans="2:43" x14ac:dyDescent="0.3">
      <c r="B83" s="56" t="str">
        <f>[1]FishOceanTile!B88</f>
        <v>오호츠크해</v>
      </c>
      <c r="C83" s="56" t="str">
        <f>IFERROR(VLOOKUP(표7[[#This Row],[낚시 타일]],[3]!표1_67[[이름]:[선단 LV]],6,FALSE),"-")</f>
        <v>-</v>
      </c>
      <c r="D83" s="56" t="str">
        <f>IFERROR(VLOOKUP(표7[[#This Row],[낚시 타일]],[3]!표1_67[[이름]:[위도]],3,FALSE),"-")</f>
        <v>-</v>
      </c>
      <c r="E83" s="56" t="str">
        <f>IFERROR(VLOOKUP(표7[[#This Row],[낚시 타일]],[3]!표1_67[[이름]:[위도]],2,FALSE),"-")</f>
        <v>-</v>
      </c>
      <c r="F83" s="56"/>
      <c r="G83" s="56" t="str">
        <f>IFERROR(ROUNDDOWN(표10[[#This Row],[최종배당'[0']]]/표10[[#This Row],[분모]]*100,0)&amp;"%","-")</f>
        <v>-</v>
      </c>
      <c r="H83" s="56"/>
      <c r="I83" s="56" t="str">
        <f>IFERROR(ROUNDDOWN(표10[[#This Row],[최종배당'[1']]]/표10[[#This Row],[분모]]*100,0)&amp;"%","-")</f>
        <v>-</v>
      </c>
      <c r="J83" s="56"/>
      <c r="K83" s="56" t="str">
        <f>IFERROR(ROUNDDOWN(표10[[#This Row],[최종배당'[2']]]/표10[[#This Row],[분모]]*100,0)&amp;"%","-")</f>
        <v>-</v>
      </c>
      <c r="L83" s="56"/>
      <c r="M83" s="56" t="str">
        <f>IFERROR(ROUNDDOWN(표10[[#This Row],[최종배당'[3']]]/표10[[#This Row],[분모]]*100,0)&amp;"%","-")</f>
        <v>-</v>
      </c>
      <c r="N83" s="56"/>
      <c r="O83" s="56" t="str">
        <f>IFERROR(ROUNDDOWN(표10[[#This Row],[최종배당'[4']]]/표10[[#This Row],[분모]]*100,0)&amp;"%","-")</f>
        <v>-</v>
      </c>
      <c r="P83" s="56"/>
      <c r="Q83" s="56" t="str">
        <f>IFERROR(ROUNDDOWN(표10[[#This Row],[최종배당'[5']]]/표10[[#This Row],[분모]]*100,0)&amp;"%","-")</f>
        <v>-</v>
      </c>
      <c r="S83" s="56" t="str">
        <f>IFERROR(VLOOKUP(표7[발견물'[0']],표1[[명칭]:[등급]],4,FALSE),"-")&amp;"급"</f>
        <v>0급</v>
      </c>
      <c r="T83" s="56" t="str">
        <f>IFERROR(VLOOKUP(표7[발견물'[1']],표1[[명칭]:[등급]],4,FALSE),"-")&amp;"급"</f>
        <v>0급</v>
      </c>
      <c r="U83" s="56" t="str">
        <f>IFERROR(VLOOKUP(표7[발견물'[2']],표1[[명칭]:[등급]],4,FALSE),"-")&amp;"급"</f>
        <v>0급</v>
      </c>
      <c r="V83" s="56" t="str">
        <f>IFERROR(VLOOKUP(표7[발견물'[3']],표1[[명칭]:[등급]],4,FALSE),"-")&amp;"급"</f>
        <v>0급</v>
      </c>
      <c r="W83" s="56" t="str">
        <f>IFERROR(VLOOKUP(표7[발견물'[4']],표1[[명칭]:[등급]],4,FALSE),"-")&amp;"급"</f>
        <v>0급</v>
      </c>
      <c r="X83" s="56" t="str">
        <f>IFERROR(VLOOKUP(표7[발견물'[5']],표1[[명칭]:[등급]],4,FALSE),"-")&amp;"급"</f>
        <v>0급</v>
      </c>
      <c r="Y83" s="56" t="str">
        <f>IFERROR(INDEX([1]FishGrade!$I:$I,MATCH(표10[[#This Row],[등급'[0']]],[1]FishGrade!$B:$B,0)),"-")</f>
        <v>-</v>
      </c>
      <c r="Z83" s="56" t="str">
        <f>IFERROR(INDEX([1]FishGrade!$I:$I,MATCH(표10[[#This Row],[등급'[1']]],[1]FishGrade!$B:$B,0)),"-")</f>
        <v>-</v>
      </c>
      <c r="AA83" s="56" t="str">
        <f>IFERROR(INDEX([1]FishGrade!$I:$I,MATCH(표10[[#This Row],[등급'[2']]],[1]FishGrade!$B:$B,0)),"-")</f>
        <v>-</v>
      </c>
      <c r="AB83" s="56" t="str">
        <f>IFERROR(INDEX([1]FishGrade!$I:$I,MATCH(표10[[#This Row],[등급'[3']]],[1]FishGrade!$B:$B,0)),"-")</f>
        <v>-</v>
      </c>
      <c r="AC83" s="56" t="str">
        <f>IFERROR(INDEX([1]FishGrade!$I:$I,MATCH(표10[[#This Row],[등급'[4']]],[1]FishGrade!$B:$B,0)),"-")</f>
        <v>-</v>
      </c>
      <c r="AD83" s="56" t="str">
        <f>IFERROR(INDEX([1]FishGrade!$I:$I,MATCH(표10[[#This Row],[등급'[5']]],[1]FishGrade!$B:$B,0)),"-")</f>
        <v>-</v>
      </c>
      <c r="AE83" s="56">
        <f>IF([1]FishDiscoveryGroup!$I$8="-",0,[1]FishDiscoveryGroup!$I$8)</f>
        <v>0</v>
      </c>
      <c r="AF83" s="56">
        <f>IF([1]FishDiscoveryGroup!$I$8="-",0,[1]FishDiscoveryGroup!$L$8)</f>
        <v>0</v>
      </c>
      <c r="AG83" s="56">
        <f>IF([1]FishDiscoveryGroup!$I$8="-",0,[1]FishDiscoveryGroup!$O$8)</f>
        <v>0</v>
      </c>
      <c r="AH83" s="56">
        <f>IF([1]FishDiscoveryGroup!$I$8="-",0,[1]FishDiscoveryGroup!$R$8)</f>
        <v>0</v>
      </c>
      <c r="AI83" s="56">
        <f>IF([1]FishDiscoveryGroup!$I$8="-",0,[1]FishDiscoveryGroup!$U$8)</f>
        <v>0</v>
      </c>
      <c r="AJ83" s="56">
        <f>IF([1]FishDiscoveryGroup!$I$8="-",0,[1]FishDiscoveryGroup!$X$8)</f>
        <v>0</v>
      </c>
      <c r="AK83" s="56">
        <f>IF(표10[[#This Row],[배당'[0']]]="-",0,표10[[#This Row],[배당'[0']]])+표10[[#This Row],[PROB'[0']]]</f>
        <v>0</v>
      </c>
      <c r="AL83" s="56">
        <f>IF(표10[[#This Row],[배당'[1']]]="-",0,표10[[#This Row],[배당'[1']]])+표10[[#This Row],[PROB'[1']]]</f>
        <v>0</v>
      </c>
      <c r="AM83" s="56">
        <f>IF(표10[[#This Row],[배당'[2']]]="-",0,표10[[#This Row],[배당'[2']]])+표10[[#This Row],[PROB'[2']]]</f>
        <v>0</v>
      </c>
      <c r="AN83" s="56">
        <f>IF(표10[[#This Row],[배당'[3']]]="-",0,표10[[#This Row],[배당'[3']]])+표10[[#This Row],[PROB'[3']]]</f>
        <v>0</v>
      </c>
      <c r="AO83" s="56">
        <f>IF(표10[[#This Row],[배당'[4']]]="-",0,표10[[#This Row],[배당'[4']]])+표10[[#This Row],[PROB'[4']]]</f>
        <v>0</v>
      </c>
      <c r="AP83" s="56">
        <f>IF(표10[[#This Row],[배당'[5']]]="-",0,표10[[#This Row],[배당'[5']]])+표10[[#This Row],[PROB'[5']]]</f>
        <v>0</v>
      </c>
      <c r="AQ83" s="56">
        <f>SUM(표10[[#This Row],[최종배당'[0']]:[최종배당'[5']]])</f>
        <v>0</v>
      </c>
    </row>
    <row r="84" spans="2:43" x14ac:dyDescent="0.3">
      <c r="B84" s="56" t="str">
        <f>[1]FishOceanTile!B89</f>
        <v>북서 태평양</v>
      </c>
      <c r="C84" s="56" t="str">
        <f>IFERROR(VLOOKUP(표7[[#This Row],[낚시 타일]],[3]!표1_67[[이름]:[선단 LV]],6,FALSE),"-")</f>
        <v>-</v>
      </c>
      <c r="D84" s="56" t="str">
        <f>IFERROR(VLOOKUP(표7[[#This Row],[낚시 타일]],[3]!표1_67[[이름]:[위도]],3,FALSE),"-")</f>
        <v>-</v>
      </c>
      <c r="E84" s="56" t="str">
        <f>IFERROR(VLOOKUP(표7[[#This Row],[낚시 타일]],[3]!표1_67[[이름]:[위도]],2,FALSE),"-")</f>
        <v>-</v>
      </c>
      <c r="F84" s="56"/>
      <c r="G84" s="56" t="str">
        <f>IFERROR(ROUNDDOWN(표10[[#This Row],[최종배당'[0']]]/표10[[#This Row],[분모]]*100,0)&amp;"%","-")</f>
        <v>-</v>
      </c>
      <c r="H84" s="56"/>
      <c r="I84" s="56" t="str">
        <f>IFERROR(ROUNDDOWN(표10[[#This Row],[최종배당'[1']]]/표10[[#This Row],[분모]]*100,0)&amp;"%","-")</f>
        <v>-</v>
      </c>
      <c r="J84" s="56"/>
      <c r="K84" s="56" t="str">
        <f>IFERROR(ROUNDDOWN(표10[[#This Row],[최종배당'[2']]]/표10[[#This Row],[분모]]*100,0)&amp;"%","-")</f>
        <v>-</v>
      </c>
      <c r="L84" s="56"/>
      <c r="M84" s="56" t="str">
        <f>IFERROR(ROUNDDOWN(표10[[#This Row],[최종배당'[3']]]/표10[[#This Row],[분모]]*100,0)&amp;"%","-")</f>
        <v>-</v>
      </c>
      <c r="N84" s="56"/>
      <c r="O84" s="56" t="str">
        <f>IFERROR(ROUNDDOWN(표10[[#This Row],[최종배당'[4']]]/표10[[#This Row],[분모]]*100,0)&amp;"%","-")</f>
        <v>-</v>
      </c>
      <c r="P84" s="56"/>
      <c r="Q84" s="56" t="str">
        <f>IFERROR(ROUNDDOWN(표10[[#This Row],[최종배당'[5']]]/표10[[#This Row],[분모]]*100,0)&amp;"%","-")</f>
        <v>-</v>
      </c>
      <c r="S84" s="56" t="str">
        <f>IFERROR(VLOOKUP(표7[발견물'[0']],표1[[명칭]:[등급]],4,FALSE),"-")&amp;"급"</f>
        <v>0급</v>
      </c>
      <c r="T84" s="56" t="str">
        <f>IFERROR(VLOOKUP(표7[발견물'[1']],표1[[명칭]:[등급]],4,FALSE),"-")&amp;"급"</f>
        <v>0급</v>
      </c>
      <c r="U84" s="56" t="str">
        <f>IFERROR(VLOOKUP(표7[발견물'[2']],표1[[명칭]:[등급]],4,FALSE),"-")&amp;"급"</f>
        <v>0급</v>
      </c>
      <c r="V84" s="56" t="str">
        <f>IFERROR(VLOOKUP(표7[발견물'[3']],표1[[명칭]:[등급]],4,FALSE),"-")&amp;"급"</f>
        <v>0급</v>
      </c>
      <c r="W84" s="56" t="str">
        <f>IFERROR(VLOOKUP(표7[발견물'[4']],표1[[명칭]:[등급]],4,FALSE),"-")&amp;"급"</f>
        <v>0급</v>
      </c>
      <c r="X84" s="56" t="str">
        <f>IFERROR(VLOOKUP(표7[발견물'[5']],표1[[명칭]:[등급]],4,FALSE),"-")&amp;"급"</f>
        <v>0급</v>
      </c>
      <c r="Y84" s="56" t="str">
        <f>IFERROR(INDEX([1]FishGrade!$I:$I,MATCH(표10[[#This Row],[등급'[0']]],[1]FishGrade!$B:$B,0)),"-")</f>
        <v>-</v>
      </c>
      <c r="Z84" s="56" t="str">
        <f>IFERROR(INDEX([1]FishGrade!$I:$I,MATCH(표10[[#This Row],[등급'[1']]],[1]FishGrade!$B:$B,0)),"-")</f>
        <v>-</v>
      </c>
      <c r="AA84" s="56" t="str">
        <f>IFERROR(INDEX([1]FishGrade!$I:$I,MATCH(표10[[#This Row],[등급'[2']]],[1]FishGrade!$B:$B,0)),"-")</f>
        <v>-</v>
      </c>
      <c r="AB84" s="56" t="str">
        <f>IFERROR(INDEX([1]FishGrade!$I:$I,MATCH(표10[[#This Row],[등급'[3']]],[1]FishGrade!$B:$B,0)),"-")</f>
        <v>-</v>
      </c>
      <c r="AC84" s="56" t="str">
        <f>IFERROR(INDEX([1]FishGrade!$I:$I,MATCH(표10[[#This Row],[등급'[4']]],[1]FishGrade!$B:$B,0)),"-")</f>
        <v>-</v>
      </c>
      <c r="AD84" s="56" t="str">
        <f>IFERROR(INDEX([1]FishGrade!$I:$I,MATCH(표10[[#This Row],[등급'[5']]],[1]FishGrade!$B:$B,0)),"-")</f>
        <v>-</v>
      </c>
      <c r="AE84" s="56">
        <f>IF([1]FishDiscoveryGroup!$I$8="-",0,[1]FishDiscoveryGroup!$I$8)</f>
        <v>0</v>
      </c>
      <c r="AF84" s="56">
        <f>IF([1]FishDiscoveryGroup!$I$8="-",0,[1]FishDiscoveryGroup!$L$8)</f>
        <v>0</v>
      </c>
      <c r="AG84" s="56">
        <f>IF([1]FishDiscoveryGroup!$I$8="-",0,[1]FishDiscoveryGroup!$O$8)</f>
        <v>0</v>
      </c>
      <c r="AH84" s="56">
        <f>IF([1]FishDiscoveryGroup!$I$8="-",0,[1]FishDiscoveryGroup!$R$8)</f>
        <v>0</v>
      </c>
      <c r="AI84" s="56">
        <f>IF([1]FishDiscoveryGroup!$I$8="-",0,[1]FishDiscoveryGroup!$U$8)</f>
        <v>0</v>
      </c>
      <c r="AJ84" s="56">
        <f>IF([1]FishDiscoveryGroup!$I$8="-",0,[1]FishDiscoveryGroup!$X$8)</f>
        <v>0</v>
      </c>
      <c r="AK84" s="56">
        <f>IF(표10[[#This Row],[배당'[0']]]="-",0,표10[[#This Row],[배당'[0']]])+표10[[#This Row],[PROB'[0']]]</f>
        <v>0</v>
      </c>
      <c r="AL84" s="56">
        <f>IF(표10[[#This Row],[배당'[1']]]="-",0,표10[[#This Row],[배당'[1']]])+표10[[#This Row],[PROB'[1']]]</f>
        <v>0</v>
      </c>
      <c r="AM84" s="56">
        <f>IF(표10[[#This Row],[배당'[2']]]="-",0,표10[[#This Row],[배당'[2']]])+표10[[#This Row],[PROB'[2']]]</f>
        <v>0</v>
      </c>
      <c r="AN84" s="56">
        <f>IF(표10[[#This Row],[배당'[3']]]="-",0,표10[[#This Row],[배당'[3']]])+표10[[#This Row],[PROB'[3']]]</f>
        <v>0</v>
      </c>
      <c r="AO84" s="56">
        <f>IF(표10[[#This Row],[배당'[4']]]="-",0,표10[[#This Row],[배당'[4']]])+표10[[#This Row],[PROB'[4']]]</f>
        <v>0</v>
      </c>
      <c r="AP84" s="56">
        <f>IF(표10[[#This Row],[배당'[5']]]="-",0,표10[[#This Row],[배당'[5']]])+표10[[#This Row],[PROB'[5']]]</f>
        <v>0</v>
      </c>
      <c r="AQ84" s="56">
        <f>SUM(표10[[#This Row],[최종배당'[0']]:[최종배당'[5']]])</f>
        <v>0</v>
      </c>
    </row>
    <row r="85" spans="2:43" x14ac:dyDescent="0.3">
      <c r="B85" s="56" t="str">
        <f>[1]FishOceanTile!B90</f>
        <v>멜라네시아</v>
      </c>
      <c r="C85" s="56" t="str">
        <f>IFERROR(VLOOKUP(표7[[#This Row],[낚시 타일]],[3]!표1_67[[이름]:[선단 LV]],6,FALSE),"-")</f>
        <v>-</v>
      </c>
      <c r="D85" s="56" t="str">
        <f>IFERROR(VLOOKUP(표7[[#This Row],[낚시 타일]],[3]!표1_67[[이름]:[위도]],3,FALSE),"-")</f>
        <v>-</v>
      </c>
      <c r="E85" s="56" t="str">
        <f>IFERROR(VLOOKUP(표7[[#This Row],[낚시 타일]],[3]!표1_67[[이름]:[위도]],2,FALSE),"-")</f>
        <v>-</v>
      </c>
      <c r="F85" s="56"/>
      <c r="G85" s="56" t="str">
        <f>IFERROR(ROUNDDOWN(표10[[#This Row],[최종배당'[0']]]/표10[[#This Row],[분모]]*100,0)&amp;"%","-")</f>
        <v>-</v>
      </c>
      <c r="H85" s="56"/>
      <c r="I85" s="56" t="str">
        <f>IFERROR(ROUNDDOWN(표10[[#This Row],[최종배당'[1']]]/표10[[#This Row],[분모]]*100,0)&amp;"%","-")</f>
        <v>-</v>
      </c>
      <c r="J85" s="56"/>
      <c r="K85" s="56" t="str">
        <f>IFERROR(ROUNDDOWN(표10[[#This Row],[최종배당'[2']]]/표10[[#This Row],[분모]]*100,0)&amp;"%","-")</f>
        <v>-</v>
      </c>
      <c r="L85" s="56"/>
      <c r="M85" s="56" t="str">
        <f>IFERROR(ROUNDDOWN(표10[[#This Row],[최종배당'[3']]]/표10[[#This Row],[분모]]*100,0)&amp;"%","-")</f>
        <v>-</v>
      </c>
      <c r="N85" s="56"/>
      <c r="O85" s="56" t="str">
        <f>IFERROR(ROUNDDOWN(표10[[#This Row],[최종배당'[4']]]/표10[[#This Row],[분모]]*100,0)&amp;"%","-")</f>
        <v>-</v>
      </c>
      <c r="P85" s="56"/>
      <c r="Q85" s="56" t="str">
        <f>IFERROR(ROUNDDOWN(표10[[#This Row],[최종배당'[5']]]/표10[[#This Row],[분모]]*100,0)&amp;"%","-")</f>
        <v>-</v>
      </c>
      <c r="S85" s="56" t="str">
        <f>IFERROR(VLOOKUP(표7[발견물'[0']],표1[[명칭]:[등급]],4,FALSE),"-")&amp;"급"</f>
        <v>0급</v>
      </c>
      <c r="T85" s="56" t="str">
        <f>IFERROR(VLOOKUP(표7[발견물'[1']],표1[[명칭]:[등급]],4,FALSE),"-")&amp;"급"</f>
        <v>0급</v>
      </c>
      <c r="U85" s="56" t="str">
        <f>IFERROR(VLOOKUP(표7[발견물'[2']],표1[[명칭]:[등급]],4,FALSE),"-")&amp;"급"</f>
        <v>0급</v>
      </c>
      <c r="V85" s="56" t="str">
        <f>IFERROR(VLOOKUP(표7[발견물'[3']],표1[[명칭]:[등급]],4,FALSE),"-")&amp;"급"</f>
        <v>0급</v>
      </c>
      <c r="W85" s="56" t="str">
        <f>IFERROR(VLOOKUP(표7[발견물'[4']],표1[[명칭]:[등급]],4,FALSE),"-")&amp;"급"</f>
        <v>0급</v>
      </c>
      <c r="X85" s="56" t="str">
        <f>IFERROR(VLOOKUP(표7[발견물'[5']],표1[[명칭]:[등급]],4,FALSE),"-")&amp;"급"</f>
        <v>0급</v>
      </c>
      <c r="Y85" s="56" t="str">
        <f>IFERROR(INDEX([1]FishGrade!$I:$I,MATCH(표10[[#This Row],[등급'[0']]],[1]FishGrade!$B:$B,0)),"-")</f>
        <v>-</v>
      </c>
      <c r="Z85" s="56" t="str">
        <f>IFERROR(INDEX([1]FishGrade!$I:$I,MATCH(표10[[#This Row],[등급'[1']]],[1]FishGrade!$B:$B,0)),"-")</f>
        <v>-</v>
      </c>
      <c r="AA85" s="56" t="str">
        <f>IFERROR(INDEX([1]FishGrade!$I:$I,MATCH(표10[[#This Row],[등급'[2']]],[1]FishGrade!$B:$B,0)),"-")</f>
        <v>-</v>
      </c>
      <c r="AB85" s="56" t="str">
        <f>IFERROR(INDEX([1]FishGrade!$I:$I,MATCH(표10[[#This Row],[등급'[3']]],[1]FishGrade!$B:$B,0)),"-")</f>
        <v>-</v>
      </c>
      <c r="AC85" s="56" t="str">
        <f>IFERROR(INDEX([1]FishGrade!$I:$I,MATCH(표10[[#This Row],[등급'[4']]],[1]FishGrade!$B:$B,0)),"-")</f>
        <v>-</v>
      </c>
      <c r="AD85" s="56" t="str">
        <f>IFERROR(INDEX([1]FishGrade!$I:$I,MATCH(표10[[#This Row],[등급'[5']]],[1]FishGrade!$B:$B,0)),"-")</f>
        <v>-</v>
      </c>
      <c r="AE85" s="56">
        <f>IF([1]FishDiscoveryGroup!$I$8="-",0,[1]FishDiscoveryGroup!$I$8)</f>
        <v>0</v>
      </c>
      <c r="AF85" s="56">
        <f>IF([1]FishDiscoveryGroup!$I$8="-",0,[1]FishDiscoveryGroup!$L$8)</f>
        <v>0</v>
      </c>
      <c r="AG85" s="56">
        <f>IF([1]FishDiscoveryGroup!$I$8="-",0,[1]FishDiscoveryGroup!$O$8)</f>
        <v>0</v>
      </c>
      <c r="AH85" s="56">
        <f>IF([1]FishDiscoveryGroup!$I$8="-",0,[1]FishDiscoveryGroup!$R$8)</f>
        <v>0</v>
      </c>
      <c r="AI85" s="56">
        <f>IF([1]FishDiscoveryGroup!$I$8="-",0,[1]FishDiscoveryGroup!$U$8)</f>
        <v>0</v>
      </c>
      <c r="AJ85" s="56">
        <f>IF([1]FishDiscoveryGroup!$I$8="-",0,[1]FishDiscoveryGroup!$X$8)</f>
        <v>0</v>
      </c>
      <c r="AK85" s="56">
        <f>IF(표10[[#This Row],[배당'[0']]]="-",0,표10[[#This Row],[배당'[0']]])+표10[[#This Row],[PROB'[0']]]</f>
        <v>0</v>
      </c>
      <c r="AL85" s="56">
        <f>IF(표10[[#This Row],[배당'[1']]]="-",0,표10[[#This Row],[배당'[1']]])+표10[[#This Row],[PROB'[1']]]</f>
        <v>0</v>
      </c>
      <c r="AM85" s="56">
        <f>IF(표10[[#This Row],[배당'[2']]]="-",0,표10[[#This Row],[배당'[2']]])+표10[[#This Row],[PROB'[2']]]</f>
        <v>0</v>
      </c>
      <c r="AN85" s="56">
        <f>IF(표10[[#This Row],[배당'[3']]]="-",0,표10[[#This Row],[배당'[3']]])+표10[[#This Row],[PROB'[3']]]</f>
        <v>0</v>
      </c>
      <c r="AO85" s="56">
        <f>IF(표10[[#This Row],[배당'[4']]]="-",0,표10[[#This Row],[배당'[4']]])+표10[[#This Row],[PROB'[4']]]</f>
        <v>0</v>
      </c>
      <c r="AP85" s="56">
        <f>IF(표10[[#This Row],[배당'[5']]]="-",0,표10[[#This Row],[배당'[5']]])+표10[[#This Row],[PROB'[5']]]</f>
        <v>0</v>
      </c>
      <c r="AQ85" s="56">
        <f>SUM(표10[[#This Row],[최종배당'[0']]:[최종배당'[5']]])</f>
        <v>0</v>
      </c>
    </row>
    <row r="86" spans="2:43" x14ac:dyDescent="0.3">
      <c r="B86" s="56" t="str">
        <f>[1]FishOceanTile!B91</f>
        <v>동 캐롤린 해저</v>
      </c>
      <c r="C86" s="56" t="str">
        <f>IFERROR(VLOOKUP(표7[[#This Row],[낚시 타일]],[3]!표1_67[[이름]:[선단 LV]],6,FALSE),"-")</f>
        <v>-</v>
      </c>
      <c r="D86" s="56" t="str">
        <f>IFERROR(VLOOKUP(표7[[#This Row],[낚시 타일]],[3]!표1_67[[이름]:[위도]],3,FALSE),"-")</f>
        <v>-</v>
      </c>
      <c r="E86" s="56" t="str">
        <f>IFERROR(VLOOKUP(표7[[#This Row],[낚시 타일]],[3]!표1_67[[이름]:[위도]],2,FALSE),"-")</f>
        <v>-</v>
      </c>
      <c r="F86" s="56"/>
      <c r="G86" s="56" t="str">
        <f>IFERROR(ROUNDDOWN(표10[[#This Row],[최종배당'[0']]]/표10[[#This Row],[분모]]*100,0)&amp;"%","-")</f>
        <v>-</v>
      </c>
      <c r="H86" s="56"/>
      <c r="I86" s="56" t="str">
        <f>IFERROR(ROUNDDOWN(표10[[#This Row],[최종배당'[1']]]/표10[[#This Row],[분모]]*100,0)&amp;"%","-")</f>
        <v>-</v>
      </c>
      <c r="J86" s="56"/>
      <c r="K86" s="56" t="str">
        <f>IFERROR(ROUNDDOWN(표10[[#This Row],[최종배당'[2']]]/표10[[#This Row],[분모]]*100,0)&amp;"%","-")</f>
        <v>-</v>
      </c>
      <c r="L86" s="56"/>
      <c r="M86" s="56" t="str">
        <f>IFERROR(ROUNDDOWN(표10[[#This Row],[최종배당'[3']]]/표10[[#This Row],[분모]]*100,0)&amp;"%","-")</f>
        <v>-</v>
      </c>
      <c r="N86" s="56"/>
      <c r="O86" s="56" t="str">
        <f>IFERROR(ROUNDDOWN(표10[[#This Row],[최종배당'[4']]]/표10[[#This Row],[분모]]*100,0)&amp;"%","-")</f>
        <v>-</v>
      </c>
      <c r="P86" s="56"/>
      <c r="Q86" s="56" t="str">
        <f>IFERROR(ROUNDDOWN(표10[[#This Row],[최종배당'[5']]]/표10[[#This Row],[분모]]*100,0)&amp;"%","-")</f>
        <v>-</v>
      </c>
      <c r="S86" s="56" t="str">
        <f>IFERROR(VLOOKUP(표7[발견물'[0']],표1[[명칭]:[등급]],4,FALSE),"-")&amp;"급"</f>
        <v>0급</v>
      </c>
      <c r="T86" s="56" t="str">
        <f>IFERROR(VLOOKUP(표7[발견물'[1']],표1[[명칭]:[등급]],4,FALSE),"-")&amp;"급"</f>
        <v>0급</v>
      </c>
      <c r="U86" s="56" t="str">
        <f>IFERROR(VLOOKUP(표7[발견물'[2']],표1[[명칭]:[등급]],4,FALSE),"-")&amp;"급"</f>
        <v>0급</v>
      </c>
      <c r="V86" s="56" t="str">
        <f>IFERROR(VLOOKUP(표7[발견물'[3']],표1[[명칭]:[등급]],4,FALSE),"-")&amp;"급"</f>
        <v>0급</v>
      </c>
      <c r="W86" s="56" t="str">
        <f>IFERROR(VLOOKUP(표7[발견물'[4']],표1[[명칭]:[등급]],4,FALSE),"-")&amp;"급"</f>
        <v>0급</v>
      </c>
      <c r="X86" s="56" t="str">
        <f>IFERROR(VLOOKUP(표7[발견물'[5']],표1[[명칭]:[등급]],4,FALSE),"-")&amp;"급"</f>
        <v>0급</v>
      </c>
      <c r="Y86" s="56" t="str">
        <f>IFERROR(INDEX([1]FishGrade!$I:$I,MATCH(표10[[#This Row],[등급'[0']]],[1]FishGrade!$B:$B,0)),"-")</f>
        <v>-</v>
      </c>
      <c r="Z86" s="56" t="str">
        <f>IFERROR(INDEX([1]FishGrade!$I:$I,MATCH(표10[[#This Row],[등급'[1']]],[1]FishGrade!$B:$B,0)),"-")</f>
        <v>-</v>
      </c>
      <c r="AA86" s="56" t="str">
        <f>IFERROR(INDEX([1]FishGrade!$I:$I,MATCH(표10[[#This Row],[등급'[2']]],[1]FishGrade!$B:$B,0)),"-")</f>
        <v>-</v>
      </c>
      <c r="AB86" s="56" t="str">
        <f>IFERROR(INDEX([1]FishGrade!$I:$I,MATCH(표10[[#This Row],[등급'[3']]],[1]FishGrade!$B:$B,0)),"-")</f>
        <v>-</v>
      </c>
      <c r="AC86" s="56" t="str">
        <f>IFERROR(INDEX([1]FishGrade!$I:$I,MATCH(표10[[#This Row],[등급'[4']]],[1]FishGrade!$B:$B,0)),"-")</f>
        <v>-</v>
      </c>
      <c r="AD86" s="56" t="str">
        <f>IFERROR(INDEX([1]FishGrade!$I:$I,MATCH(표10[[#This Row],[등급'[5']]],[1]FishGrade!$B:$B,0)),"-")</f>
        <v>-</v>
      </c>
      <c r="AE86" s="56">
        <f>IF([1]FishDiscoveryGroup!$I$8="-",0,[1]FishDiscoveryGroup!$I$8)</f>
        <v>0</v>
      </c>
      <c r="AF86" s="56">
        <f>IF([1]FishDiscoveryGroup!$I$8="-",0,[1]FishDiscoveryGroup!$L$8)</f>
        <v>0</v>
      </c>
      <c r="AG86" s="56">
        <f>IF([1]FishDiscoveryGroup!$I$8="-",0,[1]FishDiscoveryGroup!$O$8)</f>
        <v>0</v>
      </c>
      <c r="AH86" s="56">
        <f>IF([1]FishDiscoveryGroup!$I$8="-",0,[1]FishDiscoveryGroup!$R$8)</f>
        <v>0</v>
      </c>
      <c r="AI86" s="56">
        <f>IF([1]FishDiscoveryGroup!$I$8="-",0,[1]FishDiscoveryGroup!$U$8)</f>
        <v>0</v>
      </c>
      <c r="AJ86" s="56">
        <f>IF([1]FishDiscoveryGroup!$I$8="-",0,[1]FishDiscoveryGroup!$X$8)</f>
        <v>0</v>
      </c>
      <c r="AK86" s="56">
        <f>IF(표10[[#This Row],[배당'[0']]]="-",0,표10[[#This Row],[배당'[0']]])+표10[[#This Row],[PROB'[0']]]</f>
        <v>0</v>
      </c>
      <c r="AL86" s="56">
        <f>IF(표10[[#This Row],[배당'[1']]]="-",0,표10[[#This Row],[배당'[1']]])+표10[[#This Row],[PROB'[1']]]</f>
        <v>0</v>
      </c>
      <c r="AM86" s="56">
        <f>IF(표10[[#This Row],[배당'[2']]]="-",0,표10[[#This Row],[배당'[2']]])+표10[[#This Row],[PROB'[2']]]</f>
        <v>0</v>
      </c>
      <c r="AN86" s="56">
        <f>IF(표10[[#This Row],[배당'[3']]]="-",0,표10[[#This Row],[배당'[3']]])+표10[[#This Row],[PROB'[3']]]</f>
        <v>0</v>
      </c>
      <c r="AO86" s="56">
        <f>IF(표10[[#This Row],[배당'[4']]]="-",0,표10[[#This Row],[배당'[4']]])+표10[[#This Row],[PROB'[4']]]</f>
        <v>0</v>
      </c>
      <c r="AP86" s="56">
        <f>IF(표10[[#This Row],[배당'[5']]]="-",0,표10[[#This Row],[배당'[5']]])+표10[[#This Row],[PROB'[5']]]</f>
        <v>0</v>
      </c>
      <c r="AQ86" s="56">
        <f>SUM(표10[[#This Row],[최종배당'[0']]:[최종배당'[5']]])</f>
        <v>0</v>
      </c>
    </row>
    <row r="87" spans="2:43" x14ac:dyDescent="0.3">
      <c r="B87" s="56" t="str">
        <f>[1]FishOceanTile!B92</f>
        <v>서 태평양</v>
      </c>
      <c r="C87" s="56" t="str">
        <f>IFERROR(VLOOKUP(표7[[#This Row],[낚시 타일]],[3]!표1_67[[이름]:[선단 LV]],6,FALSE),"-")</f>
        <v>-</v>
      </c>
      <c r="D87" s="56" t="str">
        <f>IFERROR(VLOOKUP(표7[[#This Row],[낚시 타일]],[3]!표1_67[[이름]:[위도]],3,FALSE),"-")</f>
        <v>-</v>
      </c>
      <c r="E87" s="56" t="str">
        <f>IFERROR(VLOOKUP(표7[[#This Row],[낚시 타일]],[3]!표1_67[[이름]:[위도]],2,FALSE),"-")</f>
        <v>-</v>
      </c>
      <c r="F87" s="56"/>
      <c r="G87" s="56" t="str">
        <f>IFERROR(ROUNDDOWN(표10[[#This Row],[최종배당'[0']]]/표10[[#This Row],[분모]]*100,0)&amp;"%","-")</f>
        <v>-</v>
      </c>
      <c r="H87" s="56"/>
      <c r="I87" s="56" t="str">
        <f>IFERROR(ROUNDDOWN(표10[[#This Row],[최종배당'[1']]]/표10[[#This Row],[분모]]*100,0)&amp;"%","-")</f>
        <v>-</v>
      </c>
      <c r="J87" s="56"/>
      <c r="K87" s="56" t="str">
        <f>IFERROR(ROUNDDOWN(표10[[#This Row],[최종배당'[2']]]/표10[[#This Row],[분모]]*100,0)&amp;"%","-")</f>
        <v>-</v>
      </c>
      <c r="L87" s="56"/>
      <c r="M87" s="56" t="str">
        <f>IFERROR(ROUNDDOWN(표10[[#This Row],[최종배당'[3']]]/표10[[#This Row],[분모]]*100,0)&amp;"%","-")</f>
        <v>-</v>
      </c>
      <c r="N87" s="56"/>
      <c r="O87" s="56" t="str">
        <f>IFERROR(ROUNDDOWN(표10[[#This Row],[최종배당'[4']]]/표10[[#This Row],[분모]]*100,0)&amp;"%","-")</f>
        <v>-</v>
      </c>
      <c r="P87" s="56"/>
      <c r="Q87" s="56" t="str">
        <f>IFERROR(ROUNDDOWN(표10[[#This Row],[최종배당'[5']]]/표10[[#This Row],[분모]]*100,0)&amp;"%","-")</f>
        <v>-</v>
      </c>
      <c r="S87" s="56" t="str">
        <f>IFERROR(VLOOKUP(표7[발견물'[0']],표1[[명칭]:[등급]],4,FALSE),"-")&amp;"급"</f>
        <v>0급</v>
      </c>
      <c r="T87" s="56" t="str">
        <f>IFERROR(VLOOKUP(표7[발견물'[1']],표1[[명칭]:[등급]],4,FALSE),"-")&amp;"급"</f>
        <v>0급</v>
      </c>
      <c r="U87" s="56" t="str">
        <f>IFERROR(VLOOKUP(표7[발견물'[2']],표1[[명칭]:[등급]],4,FALSE),"-")&amp;"급"</f>
        <v>0급</v>
      </c>
      <c r="V87" s="56" t="str">
        <f>IFERROR(VLOOKUP(표7[발견물'[3']],표1[[명칭]:[등급]],4,FALSE),"-")&amp;"급"</f>
        <v>0급</v>
      </c>
      <c r="W87" s="56" t="str">
        <f>IFERROR(VLOOKUP(표7[발견물'[4']],표1[[명칭]:[등급]],4,FALSE),"-")&amp;"급"</f>
        <v>0급</v>
      </c>
      <c r="X87" s="56" t="str">
        <f>IFERROR(VLOOKUP(표7[발견물'[5']],표1[[명칭]:[등급]],4,FALSE),"-")&amp;"급"</f>
        <v>0급</v>
      </c>
      <c r="Y87" s="56" t="str">
        <f>IFERROR(INDEX([1]FishGrade!$I:$I,MATCH(표10[[#This Row],[등급'[0']]],[1]FishGrade!$B:$B,0)),"-")</f>
        <v>-</v>
      </c>
      <c r="Z87" s="56" t="str">
        <f>IFERROR(INDEX([1]FishGrade!$I:$I,MATCH(표10[[#This Row],[등급'[1']]],[1]FishGrade!$B:$B,0)),"-")</f>
        <v>-</v>
      </c>
      <c r="AA87" s="56" t="str">
        <f>IFERROR(INDEX([1]FishGrade!$I:$I,MATCH(표10[[#This Row],[등급'[2']]],[1]FishGrade!$B:$B,0)),"-")</f>
        <v>-</v>
      </c>
      <c r="AB87" s="56" t="str">
        <f>IFERROR(INDEX([1]FishGrade!$I:$I,MATCH(표10[[#This Row],[등급'[3']]],[1]FishGrade!$B:$B,0)),"-")</f>
        <v>-</v>
      </c>
      <c r="AC87" s="56" t="str">
        <f>IFERROR(INDEX([1]FishGrade!$I:$I,MATCH(표10[[#This Row],[등급'[4']]],[1]FishGrade!$B:$B,0)),"-")</f>
        <v>-</v>
      </c>
      <c r="AD87" s="56" t="str">
        <f>IFERROR(INDEX([1]FishGrade!$I:$I,MATCH(표10[[#This Row],[등급'[5']]],[1]FishGrade!$B:$B,0)),"-")</f>
        <v>-</v>
      </c>
      <c r="AE87" s="56">
        <f>IF([1]FishDiscoveryGroup!$I$8="-",0,[1]FishDiscoveryGroup!$I$8)</f>
        <v>0</v>
      </c>
      <c r="AF87" s="56">
        <f>IF([1]FishDiscoveryGroup!$I$8="-",0,[1]FishDiscoveryGroup!$L$8)</f>
        <v>0</v>
      </c>
      <c r="AG87" s="56">
        <f>IF([1]FishDiscoveryGroup!$I$8="-",0,[1]FishDiscoveryGroup!$O$8)</f>
        <v>0</v>
      </c>
      <c r="AH87" s="56">
        <f>IF([1]FishDiscoveryGroup!$I$8="-",0,[1]FishDiscoveryGroup!$R$8)</f>
        <v>0</v>
      </c>
      <c r="AI87" s="56">
        <f>IF([1]FishDiscoveryGroup!$I$8="-",0,[1]FishDiscoveryGroup!$U$8)</f>
        <v>0</v>
      </c>
      <c r="AJ87" s="56">
        <f>IF([1]FishDiscoveryGroup!$I$8="-",0,[1]FishDiscoveryGroup!$X$8)</f>
        <v>0</v>
      </c>
      <c r="AK87" s="56">
        <f>IF(표10[[#This Row],[배당'[0']]]="-",0,표10[[#This Row],[배당'[0']]])+표10[[#This Row],[PROB'[0']]]</f>
        <v>0</v>
      </c>
      <c r="AL87" s="56">
        <f>IF(표10[[#This Row],[배당'[1']]]="-",0,표10[[#This Row],[배당'[1']]])+표10[[#This Row],[PROB'[1']]]</f>
        <v>0</v>
      </c>
      <c r="AM87" s="56">
        <f>IF(표10[[#This Row],[배당'[2']]]="-",0,표10[[#This Row],[배당'[2']]])+표10[[#This Row],[PROB'[2']]]</f>
        <v>0</v>
      </c>
      <c r="AN87" s="56">
        <f>IF(표10[[#This Row],[배당'[3']]]="-",0,표10[[#This Row],[배당'[3']]])+표10[[#This Row],[PROB'[3']]]</f>
        <v>0</v>
      </c>
      <c r="AO87" s="56">
        <f>IF(표10[[#This Row],[배당'[4']]]="-",0,표10[[#This Row],[배당'[4']]])+표10[[#This Row],[PROB'[4']]]</f>
        <v>0</v>
      </c>
      <c r="AP87" s="56">
        <f>IF(표10[[#This Row],[배당'[5']]]="-",0,표10[[#This Row],[배당'[5']]])+표10[[#This Row],[PROB'[5']]]</f>
        <v>0</v>
      </c>
      <c r="AQ87" s="56">
        <f>SUM(표10[[#This Row],[최종배당'[0']]:[최종배당'[5']]])</f>
        <v>0</v>
      </c>
    </row>
    <row r="88" spans="2:43" x14ac:dyDescent="0.3">
      <c r="B88" s="56" t="str">
        <f>[1]FishOceanTile!B93</f>
        <v>아라푸라해</v>
      </c>
      <c r="C88" s="56" t="str">
        <f>IFERROR(VLOOKUP(표7[[#This Row],[낚시 타일]],[3]!표1_67[[이름]:[선단 LV]],6,FALSE),"-")</f>
        <v>-</v>
      </c>
      <c r="D88" s="56" t="str">
        <f>IFERROR(VLOOKUP(표7[[#This Row],[낚시 타일]],[3]!표1_67[[이름]:[위도]],3,FALSE),"-")</f>
        <v>-</v>
      </c>
      <c r="E88" s="56" t="str">
        <f>IFERROR(VLOOKUP(표7[[#This Row],[낚시 타일]],[3]!표1_67[[이름]:[위도]],2,FALSE),"-")</f>
        <v>-</v>
      </c>
      <c r="F88" s="56"/>
      <c r="G88" s="56" t="str">
        <f>IFERROR(ROUNDDOWN(표10[[#This Row],[최종배당'[0']]]/표10[[#This Row],[분모]]*100,0)&amp;"%","-")</f>
        <v>-</v>
      </c>
      <c r="H88" s="56"/>
      <c r="I88" s="56" t="str">
        <f>IFERROR(ROUNDDOWN(표10[[#This Row],[최종배당'[1']]]/표10[[#This Row],[분모]]*100,0)&amp;"%","-")</f>
        <v>-</v>
      </c>
      <c r="J88" s="56"/>
      <c r="K88" s="56" t="str">
        <f>IFERROR(ROUNDDOWN(표10[[#This Row],[최종배당'[2']]]/표10[[#This Row],[분모]]*100,0)&amp;"%","-")</f>
        <v>-</v>
      </c>
      <c r="L88" s="56"/>
      <c r="M88" s="56" t="str">
        <f>IFERROR(ROUNDDOWN(표10[[#This Row],[최종배당'[3']]]/표10[[#This Row],[분모]]*100,0)&amp;"%","-")</f>
        <v>-</v>
      </c>
      <c r="N88" s="56"/>
      <c r="O88" s="56" t="str">
        <f>IFERROR(ROUNDDOWN(표10[[#This Row],[최종배당'[4']]]/표10[[#This Row],[분모]]*100,0)&amp;"%","-")</f>
        <v>-</v>
      </c>
      <c r="P88" s="56"/>
      <c r="Q88" s="56" t="str">
        <f>IFERROR(ROUNDDOWN(표10[[#This Row],[최종배당'[5']]]/표10[[#This Row],[분모]]*100,0)&amp;"%","-")</f>
        <v>-</v>
      </c>
      <c r="S88" s="56" t="str">
        <f>IFERROR(VLOOKUP(표7[발견물'[0']],표1[[명칭]:[등급]],4,FALSE),"-")&amp;"급"</f>
        <v>0급</v>
      </c>
      <c r="T88" s="56" t="str">
        <f>IFERROR(VLOOKUP(표7[발견물'[1']],표1[[명칭]:[등급]],4,FALSE),"-")&amp;"급"</f>
        <v>0급</v>
      </c>
      <c r="U88" s="56" t="str">
        <f>IFERROR(VLOOKUP(표7[발견물'[2']],표1[[명칭]:[등급]],4,FALSE),"-")&amp;"급"</f>
        <v>0급</v>
      </c>
      <c r="V88" s="56" t="str">
        <f>IFERROR(VLOOKUP(표7[발견물'[3']],표1[[명칭]:[등급]],4,FALSE),"-")&amp;"급"</f>
        <v>0급</v>
      </c>
      <c r="W88" s="56" t="str">
        <f>IFERROR(VLOOKUP(표7[발견물'[4']],표1[[명칭]:[등급]],4,FALSE),"-")&amp;"급"</f>
        <v>0급</v>
      </c>
      <c r="X88" s="56" t="str">
        <f>IFERROR(VLOOKUP(표7[발견물'[5']],표1[[명칭]:[등급]],4,FALSE),"-")&amp;"급"</f>
        <v>0급</v>
      </c>
      <c r="Y88" s="56" t="str">
        <f>IFERROR(INDEX([1]FishGrade!$I:$I,MATCH(표10[[#This Row],[등급'[0']]],[1]FishGrade!$B:$B,0)),"-")</f>
        <v>-</v>
      </c>
      <c r="Z88" s="56" t="str">
        <f>IFERROR(INDEX([1]FishGrade!$I:$I,MATCH(표10[[#This Row],[등급'[1']]],[1]FishGrade!$B:$B,0)),"-")</f>
        <v>-</v>
      </c>
      <c r="AA88" s="56" t="str">
        <f>IFERROR(INDEX([1]FishGrade!$I:$I,MATCH(표10[[#This Row],[등급'[2']]],[1]FishGrade!$B:$B,0)),"-")</f>
        <v>-</v>
      </c>
      <c r="AB88" s="56" t="str">
        <f>IFERROR(INDEX([1]FishGrade!$I:$I,MATCH(표10[[#This Row],[등급'[3']]],[1]FishGrade!$B:$B,0)),"-")</f>
        <v>-</v>
      </c>
      <c r="AC88" s="56" t="str">
        <f>IFERROR(INDEX([1]FishGrade!$I:$I,MATCH(표10[[#This Row],[등급'[4']]],[1]FishGrade!$B:$B,0)),"-")</f>
        <v>-</v>
      </c>
      <c r="AD88" s="56" t="str">
        <f>IFERROR(INDEX([1]FishGrade!$I:$I,MATCH(표10[[#This Row],[등급'[5']]],[1]FishGrade!$B:$B,0)),"-")</f>
        <v>-</v>
      </c>
      <c r="AE88" s="56">
        <f>IF([1]FishDiscoveryGroup!$I$8="-",0,[1]FishDiscoveryGroup!$I$8)</f>
        <v>0</v>
      </c>
      <c r="AF88" s="56">
        <f>IF([1]FishDiscoveryGroup!$I$8="-",0,[1]FishDiscoveryGroup!$L$8)</f>
        <v>0</v>
      </c>
      <c r="AG88" s="56">
        <f>IF([1]FishDiscoveryGroup!$I$8="-",0,[1]FishDiscoveryGroup!$O$8)</f>
        <v>0</v>
      </c>
      <c r="AH88" s="56">
        <f>IF([1]FishDiscoveryGroup!$I$8="-",0,[1]FishDiscoveryGroup!$R$8)</f>
        <v>0</v>
      </c>
      <c r="AI88" s="56">
        <f>IF([1]FishDiscoveryGroup!$I$8="-",0,[1]FishDiscoveryGroup!$U$8)</f>
        <v>0</v>
      </c>
      <c r="AJ88" s="56">
        <f>IF([1]FishDiscoveryGroup!$I$8="-",0,[1]FishDiscoveryGroup!$X$8)</f>
        <v>0</v>
      </c>
      <c r="AK88" s="56">
        <f>IF(표10[[#This Row],[배당'[0']]]="-",0,표10[[#This Row],[배당'[0']]])+표10[[#This Row],[PROB'[0']]]</f>
        <v>0</v>
      </c>
      <c r="AL88" s="56">
        <f>IF(표10[[#This Row],[배당'[1']]]="-",0,표10[[#This Row],[배당'[1']]])+표10[[#This Row],[PROB'[1']]]</f>
        <v>0</v>
      </c>
      <c r="AM88" s="56">
        <f>IF(표10[[#This Row],[배당'[2']]]="-",0,표10[[#This Row],[배당'[2']]])+표10[[#This Row],[PROB'[2']]]</f>
        <v>0</v>
      </c>
      <c r="AN88" s="56">
        <f>IF(표10[[#This Row],[배당'[3']]]="-",0,표10[[#This Row],[배당'[3']]])+표10[[#This Row],[PROB'[3']]]</f>
        <v>0</v>
      </c>
      <c r="AO88" s="56">
        <f>IF(표10[[#This Row],[배당'[4']]]="-",0,표10[[#This Row],[배당'[4']]])+표10[[#This Row],[PROB'[4']]]</f>
        <v>0</v>
      </c>
      <c r="AP88" s="56">
        <f>IF(표10[[#This Row],[배당'[5']]]="-",0,표10[[#This Row],[배당'[5']]])+표10[[#This Row],[PROB'[5']]]</f>
        <v>0</v>
      </c>
      <c r="AQ88" s="56">
        <f>SUM(표10[[#This Row],[최종배당'[0']]:[최종배당'[5']]])</f>
        <v>0</v>
      </c>
    </row>
    <row r="89" spans="2:43" x14ac:dyDescent="0.3">
      <c r="B89" s="56" t="str">
        <f>[1]FishOceanTile!B94</f>
        <v>산호해</v>
      </c>
      <c r="C89" s="56" t="str">
        <f>IFERROR(VLOOKUP(표7[[#This Row],[낚시 타일]],[3]!표1_67[[이름]:[선단 LV]],6,FALSE),"-")</f>
        <v>-</v>
      </c>
      <c r="D89" s="56" t="str">
        <f>IFERROR(VLOOKUP(표7[[#This Row],[낚시 타일]],[3]!표1_67[[이름]:[위도]],3,FALSE),"-")</f>
        <v>-</v>
      </c>
      <c r="E89" s="56" t="str">
        <f>IFERROR(VLOOKUP(표7[[#This Row],[낚시 타일]],[3]!표1_67[[이름]:[위도]],2,FALSE),"-")</f>
        <v>-</v>
      </c>
      <c r="F89" s="56"/>
      <c r="G89" s="56" t="str">
        <f>IFERROR(ROUNDDOWN(표10[[#This Row],[최종배당'[0']]]/표10[[#This Row],[분모]]*100,0)&amp;"%","-")</f>
        <v>-</v>
      </c>
      <c r="H89" s="56"/>
      <c r="I89" s="56" t="str">
        <f>IFERROR(ROUNDDOWN(표10[[#This Row],[최종배당'[1']]]/표10[[#This Row],[분모]]*100,0)&amp;"%","-")</f>
        <v>-</v>
      </c>
      <c r="J89" s="56"/>
      <c r="K89" s="56" t="str">
        <f>IFERROR(ROUNDDOWN(표10[[#This Row],[최종배당'[2']]]/표10[[#This Row],[분모]]*100,0)&amp;"%","-")</f>
        <v>-</v>
      </c>
      <c r="L89" s="56"/>
      <c r="M89" s="56" t="str">
        <f>IFERROR(ROUNDDOWN(표10[[#This Row],[최종배당'[3']]]/표10[[#This Row],[분모]]*100,0)&amp;"%","-")</f>
        <v>-</v>
      </c>
      <c r="N89" s="56"/>
      <c r="O89" s="56" t="str">
        <f>IFERROR(ROUNDDOWN(표10[[#This Row],[최종배당'[4']]]/표10[[#This Row],[분모]]*100,0)&amp;"%","-")</f>
        <v>-</v>
      </c>
      <c r="P89" s="56"/>
      <c r="Q89" s="56" t="str">
        <f>IFERROR(ROUNDDOWN(표10[[#This Row],[최종배당'[5']]]/표10[[#This Row],[분모]]*100,0)&amp;"%","-")</f>
        <v>-</v>
      </c>
      <c r="S89" s="56" t="str">
        <f>IFERROR(VLOOKUP(표7[발견물'[0']],표1[[명칭]:[등급]],4,FALSE),"-")&amp;"급"</f>
        <v>0급</v>
      </c>
      <c r="T89" s="56" t="str">
        <f>IFERROR(VLOOKUP(표7[발견물'[1']],표1[[명칭]:[등급]],4,FALSE),"-")&amp;"급"</f>
        <v>0급</v>
      </c>
      <c r="U89" s="56" t="str">
        <f>IFERROR(VLOOKUP(표7[발견물'[2']],표1[[명칭]:[등급]],4,FALSE),"-")&amp;"급"</f>
        <v>0급</v>
      </c>
      <c r="V89" s="56" t="str">
        <f>IFERROR(VLOOKUP(표7[발견물'[3']],표1[[명칭]:[등급]],4,FALSE),"-")&amp;"급"</f>
        <v>0급</v>
      </c>
      <c r="W89" s="56" t="str">
        <f>IFERROR(VLOOKUP(표7[발견물'[4']],표1[[명칭]:[등급]],4,FALSE),"-")&amp;"급"</f>
        <v>0급</v>
      </c>
      <c r="X89" s="56" t="str">
        <f>IFERROR(VLOOKUP(표7[발견물'[5']],표1[[명칭]:[등급]],4,FALSE),"-")&amp;"급"</f>
        <v>0급</v>
      </c>
      <c r="Y89" s="56" t="str">
        <f>IFERROR(INDEX([1]FishGrade!$I:$I,MATCH(표10[[#This Row],[등급'[0']]],[1]FishGrade!$B:$B,0)),"-")</f>
        <v>-</v>
      </c>
      <c r="Z89" s="56" t="str">
        <f>IFERROR(INDEX([1]FishGrade!$I:$I,MATCH(표10[[#This Row],[등급'[1']]],[1]FishGrade!$B:$B,0)),"-")</f>
        <v>-</v>
      </c>
      <c r="AA89" s="56" t="str">
        <f>IFERROR(INDEX([1]FishGrade!$I:$I,MATCH(표10[[#This Row],[등급'[2']]],[1]FishGrade!$B:$B,0)),"-")</f>
        <v>-</v>
      </c>
      <c r="AB89" s="56" t="str">
        <f>IFERROR(INDEX([1]FishGrade!$I:$I,MATCH(표10[[#This Row],[등급'[3']]],[1]FishGrade!$B:$B,0)),"-")</f>
        <v>-</v>
      </c>
      <c r="AC89" s="56" t="str">
        <f>IFERROR(INDEX([1]FishGrade!$I:$I,MATCH(표10[[#This Row],[등급'[4']]],[1]FishGrade!$B:$B,0)),"-")</f>
        <v>-</v>
      </c>
      <c r="AD89" s="56" t="str">
        <f>IFERROR(INDEX([1]FishGrade!$I:$I,MATCH(표10[[#This Row],[등급'[5']]],[1]FishGrade!$B:$B,0)),"-")</f>
        <v>-</v>
      </c>
      <c r="AE89" s="56">
        <f>IF([1]FishDiscoveryGroup!$I$8="-",0,[1]FishDiscoveryGroup!$I$8)</f>
        <v>0</v>
      </c>
      <c r="AF89" s="56">
        <f>IF([1]FishDiscoveryGroup!$I$8="-",0,[1]FishDiscoveryGroup!$L$8)</f>
        <v>0</v>
      </c>
      <c r="AG89" s="56">
        <f>IF([1]FishDiscoveryGroup!$I$8="-",0,[1]FishDiscoveryGroup!$O$8)</f>
        <v>0</v>
      </c>
      <c r="AH89" s="56">
        <f>IF([1]FishDiscoveryGroup!$I$8="-",0,[1]FishDiscoveryGroup!$R$8)</f>
        <v>0</v>
      </c>
      <c r="AI89" s="56">
        <f>IF([1]FishDiscoveryGroup!$I$8="-",0,[1]FishDiscoveryGroup!$U$8)</f>
        <v>0</v>
      </c>
      <c r="AJ89" s="56">
        <f>IF([1]FishDiscoveryGroup!$I$8="-",0,[1]FishDiscoveryGroup!$X$8)</f>
        <v>0</v>
      </c>
      <c r="AK89" s="56">
        <f>IF(표10[[#This Row],[배당'[0']]]="-",0,표10[[#This Row],[배당'[0']]])+표10[[#This Row],[PROB'[0']]]</f>
        <v>0</v>
      </c>
      <c r="AL89" s="56">
        <f>IF(표10[[#This Row],[배당'[1']]]="-",0,표10[[#This Row],[배당'[1']]])+표10[[#This Row],[PROB'[1']]]</f>
        <v>0</v>
      </c>
      <c r="AM89" s="56">
        <f>IF(표10[[#This Row],[배당'[2']]]="-",0,표10[[#This Row],[배당'[2']]])+표10[[#This Row],[PROB'[2']]]</f>
        <v>0</v>
      </c>
      <c r="AN89" s="56">
        <f>IF(표10[[#This Row],[배당'[3']]]="-",0,표10[[#This Row],[배당'[3']]])+표10[[#This Row],[PROB'[3']]]</f>
        <v>0</v>
      </c>
      <c r="AO89" s="56">
        <f>IF(표10[[#This Row],[배당'[4']]]="-",0,표10[[#This Row],[배당'[4']]])+표10[[#This Row],[PROB'[4']]]</f>
        <v>0</v>
      </c>
      <c r="AP89" s="56">
        <f>IF(표10[[#This Row],[배당'[5']]]="-",0,표10[[#This Row],[배당'[5']]])+표10[[#This Row],[PROB'[5']]]</f>
        <v>0</v>
      </c>
      <c r="AQ89" s="56">
        <f>SUM(표10[[#This Row],[최종배당'[0']]:[최종배당'[5']]])</f>
        <v>0</v>
      </c>
    </row>
    <row r="90" spans="2:43" x14ac:dyDescent="0.3">
      <c r="B90" s="56" t="str">
        <f>[1]FishOceanTile!B95</f>
        <v>태즈먼해</v>
      </c>
      <c r="C90" s="56" t="str">
        <f>IFERROR(VLOOKUP(표7[[#This Row],[낚시 타일]],[3]!표1_67[[이름]:[선단 LV]],6,FALSE),"-")</f>
        <v>-</v>
      </c>
      <c r="D90" s="56" t="str">
        <f>IFERROR(VLOOKUP(표7[[#This Row],[낚시 타일]],[3]!표1_67[[이름]:[위도]],3,FALSE),"-")</f>
        <v>-</v>
      </c>
      <c r="E90" s="56" t="str">
        <f>IFERROR(VLOOKUP(표7[[#This Row],[낚시 타일]],[3]!표1_67[[이름]:[위도]],2,FALSE),"-")</f>
        <v>-</v>
      </c>
      <c r="F90" s="56"/>
      <c r="G90" s="56" t="str">
        <f>IFERROR(ROUNDDOWN(표10[[#This Row],[최종배당'[0']]]/표10[[#This Row],[분모]]*100,0)&amp;"%","-")</f>
        <v>-</v>
      </c>
      <c r="H90" s="56"/>
      <c r="I90" s="56" t="str">
        <f>IFERROR(ROUNDDOWN(표10[[#This Row],[최종배당'[1']]]/표10[[#This Row],[분모]]*100,0)&amp;"%","-")</f>
        <v>-</v>
      </c>
      <c r="J90" s="56"/>
      <c r="K90" s="56" t="str">
        <f>IFERROR(ROUNDDOWN(표10[[#This Row],[최종배당'[2']]]/표10[[#This Row],[분모]]*100,0)&amp;"%","-")</f>
        <v>-</v>
      </c>
      <c r="L90" s="56"/>
      <c r="M90" s="56" t="str">
        <f>IFERROR(ROUNDDOWN(표10[[#This Row],[최종배당'[3']]]/표10[[#This Row],[분모]]*100,0)&amp;"%","-")</f>
        <v>-</v>
      </c>
      <c r="N90" s="56"/>
      <c r="O90" s="56" t="str">
        <f>IFERROR(ROUNDDOWN(표10[[#This Row],[최종배당'[4']]]/표10[[#This Row],[분모]]*100,0)&amp;"%","-")</f>
        <v>-</v>
      </c>
      <c r="P90" s="56"/>
      <c r="Q90" s="56" t="str">
        <f>IFERROR(ROUNDDOWN(표10[[#This Row],[최종배당'[5']]]/표10[[#This Row],[분모]]*100,0)&amp;"%","-")</f>
        <v>-</v>
      </c>
      <c r="S90" s="56" t="str">
        <f>IFERROR(VLOOKUP(표7[발견물'[0']],표1[[명칭]:[등급]],4,FALSE),"-")&amp;"급"</f>
        <v>0급</v>
      </c>
      <c r="T90" s="56" t="str">
        <f>IFERROR(VLOOKUP(표7[발견물'[1']],표1[[명칭]:[등급]],4,FALSE),"-")&amp;"급"</f>
        <v>0급</v>
      </c>
      <c r="U90" s="56" t="str">
        <f>IFERROR(VLOOKUP(표7[발견물'[2']],표1[[명칭]:[등급]],4,FALSE),"-")&amp;"급"</f>
        <v>0급</v>
      </c>
      <c r="V90" s="56" t="str">
        <f>IFERROR(VLOOKUP(표7[발견물'[3']],표1[[명칭]:[등급]],4,FALSE),"-")&amp;"급"</f>
        <v>0급</v>
      </c>
      <c r="W90" s="56" t="str">
        <f>IFERROR(VLOOKUP(표7[발견물'[4']],표1[[명칭]:[등급]],4,FALSE),"-")&amp;"급"</f>
        <v>0급</v>
      </c>
      <c r="X90" s="56" t="str">
        <f>IFERROR(VLOOKUP(표7[발견물'[5']],표1[[명칭]:[등급]],4,FALSE),"-")&amp;"급"</f>
        <v>0급</v>
      </c>
      <c r="Y90" s="56" t="str">
        <f>IFERROR(INDEX([1]FishGrade!$I:$I,MATCH(표10[[#This Row],[등급'[0']]],[1]FishGrade!$B:$B,0)),"-")</f>
        <v>-</v>
      </c>
      <c r="Z90" s="56" t="str">
        <f>IFERROR(INDEX([1]FishGrade!$I:$I,MATCH(표10[[#This Row],[등급'[1']]],[1]FishGrade!$B:$B,0)),"-")</f>
        <v>-</v>
      </c>
      <c r="AA90" s="56" t="str">
        <f>IFERROR(INDEX([1]FishGrade!$I:$I,MATCH(표10[[#This Row],[등급'[2']]],[1]FishGrade!$B:$B,0)),"-")</f>
        <v>-</v>
      </c>
      <c r="AB90" s="56" t="str">
        <f>IFERROR(INDEX([1]FishGrade!$I:$I,MATCH(표10[[#This Row],[등급'[3']]],[1]FishGrade!$B:$B,0)),"-")</f>
        <v>-</v>
      </c>
      <c r="AC90" s="56" t="str">
        <f>IFERROR(INDEX([1]FishGrade!$I:$I,MATCH(표10[[#This Row],[등급'[4']]],[1]FishGrade!$B:$B,0)),"-")</f>
        <v>-</v>
      </c>
      <c r="AD90" s="56" t="str">
        <f>IFERROR(INDEX([1]FishGrade!$I:$I,MATCH(표10[[#This Row],[등급'[5']]],[1]FishGrade!$B:$B,0)),"-")</f>
        <v>-</v>
      </c>
      <c r="AE90" s="56">
        <f>IF([1]FishDiscoveryGroup!$I$8="-",0,[1]FishDiscoveryGroup!$I$8)</f>
        <v>0</v>
      </c>
      <c r="AF90" s="56">
        <f>IF([1]FishDiscoveryGroup!$I$8="-",0,[1]FishDiscoveryGroup!$L$8)</f>
        <v>0</v>
      </c>
      <c r="AG90" s="56">
        <f>IF([1]FishDiscoveryGroup!$I$8="-",0,[1]FishDiscoveryGroup!$O$8)</f>
        <v>0</v>
      </c>
      <c r="AH90" s="56">
        <f>IF([1]FishDiscoveryGroup!$I$8="-",0,[1]FishDiscoveryGroup!$R$8)</f>
        <v>0</v>
      </c>
      <c r="AI90" s="56">
        <f>IF([1]FishDiscoveryGroup!$I$8="-",0,[1]FishDiscoveryGroup!$U$8)</f>
        <v>0</v>
      </c>
      <c r="AJ90" s="56">
        <f>IF([1]FishDiscoveryGroup!$I$8="-",0,[1]FishDiscoveryGroup!$X$8)</f>
        <v>0</v>
      </c>
      <c r="AK90" s="56">
        <f>IF(표10[[#This Row],[배당'[0']]]="-",0,표10[[#This Row],[배당'[0']]])+표10[[#This Row],[PROB'[0']]]</f>
        <v>0</v>
      </c>
      <c r="AL90" s="56">
        <f>IF(표10[[#This Row],[배당'[1']]]="-",0,표10[[#This Row],[배당'[1']]])+표10[[#This Row],[PROB'[1']]]</f>
        <v>0</v>
      </c>
      <c r="AM90" s="56">
        <f>IF(표10[[#This Row],[배당'[2']]]="-",0,표10[[#This Row],[배당'[2']]])+표10[[#This Row],[PROB'[2']]]</f>
        <v>0</v>
      </c>
      <c r="AN90" s="56">
        <f>IF(표10[[#This Row],[배당'[3']]]="-",0,표10[[#This Row],[배당'[3']]])+표10[[#This Row],[PROB'[3']]]</f>
        <v>0</v>
      </c>
      <c r="AO90" s="56">
        <f>IF(표10[[#This Row],[배당'[4']]]="-",0,표10[[#This Row],[배당'[4']]])+표10[[#This Row],[PROB'[4']]]</f>
        <v>0</v>
      </c>
      <c r="AP90" s="56">
        <f>IF(표10[[#This Row],[배당'[5']]]="-",0,표10[[#This Row],[배당'[5']]])+표10[[#This Row],[PROB'[5']]]</f>
        <v>0</v>
      </c>
      <c r="AQ90" s="56">
        <f>SUM(표10[[#This Row],[최종배당'[0']]:[최종배당'[5']]])</f>
        <v>0</v>
      </c>
    </row>
    <row r="91" spans="2:43" x14ac:dyDescent="0.3">
      <c r="B91" s="56" t="str">
        <f>[1]FishOceanTile!B96</f>
        <v>사모아섬</v>
      </c>
      <c r="C91" s="56" t="str">
        <f>IFERROR(VLOOKUP(표7[[#This Row],[낚시 타일]],[3]!표1_67[[이름]:[선단 LV]],6,FALSE),"-")</f>
        <v>-</v>
      </c>
      <c r="D91" s="56" t="str">
        <f>IFERROR(VLOOKUP(표7[[#This Row],[낚시 타일]],[3]!표1_67[[이름]:[위도]],3,FALSE),"-")</f>
        <v>-</v>
      </c>
      <c r="E91" s="56" t="str">
        <f>IFERROR(VLOOKUP(표7[[#This Row],[낚시 타일]],[3]!표1_67[[이름]:[위도]],2,FALSE),"-")</f>
        <v>-</v>
      </c>
      <c r="F91" s="56"/>
      <c r="G91" s="56" t="str">
        <f>IFERROR(ROUNDDOWN(표10[[#This Row],[최종배당'[0']]]/표10[[#This Row],[분모]]*100,0)&amp;"%","-")</f>
        <v>-</v>
      </c>
      <c r="H91" s="56"/>
      <c r="I91" s="56" t="str">
        <f>IFERROR(ROUNDDOWN(표10[[#This Row],[최종배당'[1']]]/표10[[#This Row],[분모]]*100,0)&amp;"%","-")</f>
        <v>-</v>
      </c>
      <c r="J91" s="56"/>
      <c r="K91" s="56" t="str">
        <f>IFERROR(ROUNDDOWN(표10[[#This Row],[최종배당'[2']]]/표10[[#This Row],[분모]]*100,0)&amp;"%","-")</f>
        <v>-</v>
      </c>
      <c r="L91" s="56"/>
      <c r="M91" s="56" t="str">
        <f>IFERROR(ROUNDDOWN(표10[[#This Row],[최종배당'[3']]]/표10[[#This Row],[분모]]*100,0)&amp;"%","-")</f>
        <v>-</v>
      </c>
      <c r="N91" s="56"/>
      <c r="O91" s="56" t="str">
        <f>IFERROR(ROUNDDOWN(표10[[#This Row],[최종배당'[4']]]/표10[[#This Row],[분모]]*100,0)&amp;"%","-")</f>
        <v>-</v>
      </c>
      <c r="P91" s="56"/>
      <c r="Q91" s="56" t="str">
        <f>IFERROR(ROUNDDOWN(표10[[#This Row],[최종배당'[5']]]/표10[[#This Row],[분모]]*100,0)&amp;"%","-")</f>
        <v>-</v>
      </c>
      <c r="S91" s="56" t="str">
        <f>IFERROR(VLOOKUP(표7[발견물'[0']],표1[[명칭]:[등급]],4,FALSE),"-")&amp;"급"</f>
        <v>0급</v>
      </c>
      <c r="T91" s="56" t="str">
        <f>IFERROR(VLOOKUP(표7[발견물'[1']],표1[[명칭]:[등급]],4,FALSE),"-")&amp;"급"</f>
        <v>0급</v>
      </c>
      <c r="U91" s="56" t="str">
        <f>IFERROR(VLOOKUP(표7[발견물'[2']],표1[[명칭]:[등급]],4,FALSE),"-")&amp;"급"</f>
        <v>0급</v>
      </c>
      <c r="V91" s="56" t="str">
        <f>IFERROR(VLOOKUP(표7[발견물'[3']],표1[[명칭]:[등급]],4,FALSE),"-")&amp;"급"</f>
        <v>0급</v>
      </c>
      <c r="W91" s="56" t="str">
        <f>IFERROR(VLOOKUP(표7[발견물'[4']],표1[[명칭]:[등급]],4,FALSE),"-")&amp;"급"</f>
        <v>0급</v>
      </c>
      <c r="X91" s="56" t="str">
        <f>IFERROR(VLOOKUP(표7[발견물'[5']],표1[[명칭]:[등급]],4,FALSE),"-")&amp;"급"</f>
        <v>0급</v>
      </c>
      <c r="Y91" s="56" t="str">
        <f>IFERROR(INDEX([1]FishGrade!$I:$I,MATCH(표10[[#This Row],[등급'[0']]],[1]FishGrade!$B:$B,0)),"-")</f>
        <v>-</v>
      </c>
      <c r="Z91" s="56" t="str">
        <f>IFERROR(INDEX([1]FishGrade!$I:$I,MATCH(표10[[#This Row],[등급'[1']]],[1]FishGrade!$B:$B,0)),"-")</f>
        <v>-</v>
      </c>
      <c r="AA91" s="56" t="str">
        <f>IFERROR(INDEX([1]FishGrade!$I:$I,MATCH(표10[[#This Row],[등급'[2']]],[1]FishGrade!$B:$B,0)),"-")</f>
        <v>-</v>
      </c>
      <c r="AB91" s="56" t="str">
        <f>IFERROR(INDEX([1]FishGrade!$I:$I,MATCH(표10[[#This Row],[등급'[3']]],[1]FishGrade!$B:$B,0)),"-")</f>
        <v>-</v>
      </c>
      <c r="AC91" s="56" t="str">
        <f>IFERROR(INDEX([1]FishGrade!$I:$I,MATCH(표10[[#This Row],[등급'[4']]],[1]FishGrade!$B:$B,0)),"-")</f>
        <v>-</v>
      </c>
      <c r="AD91" s="56" t="str">
        <f>IFERROR(INDEX([1]FishGrade!$I:$I,MATCH(표10[[#This Row],[등급'[5']]],[1]FishGrade!$B:$B,0)),"-")</f>
        <v>-</v>
      </c>
      <c r="AE91" s="56">
        <f>IF([1]FishDiscoveryGroup!$I$8="-",0,[1]FishDiscoveryGroup!$I$8)</f>
        <v>0</v>
      </c>
      <c r="AF91" s="56">
        <f>IF([1]FishDiscoveryGroup!$I$8="-",0,[1]FishDiscoveryGroup!$L$8)</f>
        <v>0</v>
      </c>
      <c r="AG91" s="56">
        <f>IF([1]FishDiscoveryGroup!$I$8="-",0,[1]FishDiscoveryGroup!$O$8)</f>
        <v>0</v>
      </c>
      <c r="AH91" s="56">
        <f>IF([1]FishDiscoveryGroup!$I$8="-",0,[1]FishDiscoveryGroup!$R$8)</f>
        <v>0</v>
      </c>
      <c r="AI91" s="56">
        <f>IF([1]FishDiscoveryGroup!$I$8="-",0,[1]FishDiscoveryGroup!$U$8)</f>
        <v>0</v>
      </c>
      <c r="AJ91" s="56">
        <f>IF([1]FishDiscoveryGroup!$I$8="-",0,[1]FishDiscoveryGroup!$X$8)</f>
        <v>0</v>
      </c>
      <c r="AK91" s="56">
        <f>IF(표10[[#This Row],[배당'[0']]]="-",0,표10[[#This Row],[배당'[0']]])+표10[[#This Row],[PROB'[0']]]</f>
        <v>0</v>
      </c>
      <c r="AL91" s="56">
        <f>IF(표10[[#This Row],[배당'[1']]]="-",0,표10[[#This Row],[배당'[1']]])+표10[[#This Row],[PROB'[1']]]</f>
        <v>0</v>
      </c>
      <c r="AM91" s="56">
        <f>IF(표10[[#This Row],[배당'[2']]]="-",0,표10[[#This Row],[배당'[2']]])+표10[[#This Row],[PROB'[2']]]</f>
        <v>0</v>
      </c>
      <c r="AN91" s="56">
        <f>IF(표10[[#This Row],[배당'[3']]]="-",0,표10[[#This Row],[배당'[3']]])+표10[[#This Row],[PROB'[3']]]</f>
        <v>0</v>
      </c>
      <c r="AO91" s="56">
        <f>IF(표10[[#This Row],[배당'[4']]]="-",0,표10[[#This Row],[배당'[4']]])+표10[[#This Row],[PROB'[4']]]</f>
        <v>0</v>
      </c>
      <c r="AP91" s="56">
        <f>IF(표10[[#This Row],[배당'[5']]]="-",0,표10[[#This Row],[배당'[5']]])+표10[[#This Row],[PROB'[5']]]</f>
        <v>0</v>
      </c>
      <c r="AQ91" s="56">
        <f>SUM(표10[[#This Row],[최종배당'[0']]:[최종배당'[5']]])</f>
        <v>0</v>
      </c>
    </row>
    <row r="92" spans="2:43" x14ac:dyDescent="0.3">
      <c r="B92" s="56" t="str">
        <f>[1]FishOceanTile!B97</f>
        <v>서 베링해</v>
      </c>
      <c r="C92" s="56" t="str">
        <f>IFERROR(VLOOKUP(표7[[#This Row],[낚시 타일]],[3]!표1_67[[이름]:[선단 LV]],6,FALSE),"-")</f>
        <v>-</v>
      </c>
      <c r="D92" s="56" t="str">
        <f>IFERROR(VLOOKUP(표7[[#This Row],[낚시 타일]],[3]!표1_67[[이름]:[위도]],3,FALSE),"-")</f>
        <v>-</v>
      </c>
      <c r="E92" s="56" t="str">
        <f>IFERROR(VLOOKUP(표7[[#This Row],[낚시 타일]],[3]!표1_67[[이름]:[위도]],2,FALSE),"-")</f>
        <v>-</v>
      </c>
      <c r="F92" s="56"/>
      <c r="G92" s="56" t="str">
        <f>IFERROR(ROUNDDOWN(표10[[#This Row],[최종배당'[0']]]/표10[[#This Row],[분모]]*100,0)&amp;"%","-")</f>
        <v>-</v>
      </c>
      <c r="H92" s="56"/>
      <c r="I92" s="56" t="str">
        <f>IFERROR(ROUNDDOWN(표10[[#This Row],[최종배당'[1']]]/표10[[#This Row],[분모]]*100,0)&amp;"%","-")</f>
        <v>-</v>
      </c>
      <c r="J92" s="56"/>
      <c r="K92" s="56" t="str">
        <f>IFERROR(ROUNDDOWN(표10[[#This Row],[최종배당'[2']]]/표10[[#This Row],[분모]]*100,0)&amp;"%","-")</f>
        <v>-</v>
      </c>
      <c r="L92" s="56"/>
      <c r="M92" s="56" t="str">
        <f>IFERROR(ROUNDDOWN(표10[[#This Row],[최종배당'[3']]]/표10[[#This Row],[분모]]*100,0)&amp;"%","-")</f>
        <v>-</v>
      </c>
      <c r="N92" s="56"/>
      <c r="O92" s="56" t="str">
        <f>IFERROR(ROUNDDOWN(표10[[#This Row],[최종배당'[4']]]/표10[[#This Row],[분모]]*100,0)&amp;"%","-")</f>
        <v>-</v>
      </c>
      <c r="P92" s="56"/>
      <c r="Q92" s="56" t="str">
        <f>IFERROR(ROUNDDOWN(표10[[#This Row],[최종배당'[5']]]/표10[[#This Row],[분모]]*100,0)&amp;"%","-")</f>
        <v>-</v>
      </c>
      <c r="S92" s="56" t="str">
        <f>IFERROR(VLOOKUP(표7[발견물'[0']],표1[[명칭]:[등급]],4,FALSE),"-")&amp;"급"</f>
        <v>0급</v>
      </c>
      <c r="T92" s="56" t="str">
        <f>IFERROR(VLOOKUP(표7[발견물'[1']],표1[[명칭]:[등급]],4,FALSE),"-")&amp;"급"</f>
        <v>0급</v>
      </c>
      <c r="U92" s="56" t="str">
        <f>IFERROR(VLOOKUP(표7[발견물'[2']],표1[[명칭]:[등급]],4,FALSE),"-")&amp;"급"</f>
        <v>0급</v>
      </c>
      <c r="V92" s="56" t="str">
        <f>IFERROR(VLOOKUP(표7[발견물'[3']],표1[[명칭]:[등급]],4,FALSE),"-")&amp;"급"</f>
        <v>0급</v>
      </c>
      <c r="W92" s="56" t="str">
        <f>IFERROR(VLOOKUP(표7[발견물'[4']],표1[[명칭]:[등급]],4,FALSE),"-")&amp;"급"</f>
        <v>0급</v>
      </c>
      <c r="X92" s="56" t="str">
        <f>IFERROR(VLOOKUP(표7[발견물'[5']],표1[[명칭]:[등급]],4,FALSE),"-")&amp;"급"</f>
        <v>0급</v>
      </c>
      <c r="Y92" s="56" t="str">
        <f>IFERROR(INDEX([1]FishGrade!$I:$I,MATCH(표10[[#This Row],[등급'[0']]],[1]FishGrade!$B:$B,0)),"-")</f>
        <v>-</v>
      </c>
      <c r="Z92" s="56" t="str">
        <f>IFERROR(INDEX([1]FishGrade!$I:$I,MATCH(표10[[#This Row],[등급'[1']]],[1]FishGrade!$B:$B,0)),"-")</f>
        <v>-</v>
      </c>
      <c r="AA92" s="56" t="str">
        <f>IFERROR(INDEX([1]FishGrade!$I:$I,MATCH(표10[[#This Row],[등급'[2']]],[1]FishGrade!$B:$B,0)),"-")</f>
        <v>-</v>
      </c>
      <c r="AB92" s="56" t="str">
        <f>IFERROR(INDEX([1]FishGrade!$I:$I,MATCH(표10[[#This Row],[등급'[3']]],[1]FishGrade!$B:$B,0)),"-")</f>
        <v>-</v>
      </c>
      <c r="AC92" s="56" t="str">
        <f>IFERROR(INDEX([1]FishGrade!$I:$I,MATCH(표10[[#This Row],[등급'[4']]],[1]FishGrade!$B:$B,0)),"-")</f>
        <v>-</v>
      </c>
      <c r="AD92" s="56" t="str">
        <f>IFERROR(INDEX([1]FishGrade!$I:$I,MATCH(표10[[#This Row],[등급'[5']]],[1]FishGrade!$B:$B,0)),"-")</f>
        <v>-</v>
      </c>
      <c r="AE92" s="56">
        <f>IF([1]FishDiscoveryGroup!$I$8="-",0,[1]FishDiscoveryGroup!$I$8)</f>
        <v>0</v>
      </c>
      <c r="AF92" s="56">
        <f>IF([1]FishDiscoveryGroup!$I$8="-",0,[1]FishDiscoveryGroup!$L$8)</f>
        <v>0</v>
      </c>
      <c r="AG92" s="56">
        <f>IF([1]FishDiscoveryGroup!$I$8="-",0,[1]FishDiscoveryGroup!$O$8)</f>
        <v>0</v>
      </c>
      <c r="AH92" s="56">
        <f>IF([1]FishDiscoveryGroup!$I$8="-",0,[1]FishDiscoveryGroup!$R$8)</f>
        <v>0</v>
      </c>
      <c r="AI92" s="56">
        <f>IF([1]FishDiscoveryGroup!$I$8="-",0,[1]FishDiscoveryGroup!$U$8)</f>
        <v>0</v>
      </c>
      <c r="AJ92" s="56">
        <f>IF([1]FishDiscoveryGroup!$I$8="-",0,[1]FishDiscoveryGroup!$X$8)</f>
        <v>0</v>
      </c>
      <c r="AK92" s="56">
        <f>IF(표10[[#This Row],[배당'[0']]]="-",0,표10[[#This Row],[배당'[0']]])+표10[[#This Row],[PROB'[0']]]</f>
        <v>0</v>
      </c>
      <c r="AL92" s="56">
        <f>IF(표10[[#This Row],[배당'[1']]]="-",0,표10[[#This Row],[배당'[1']]])+표10[[#This Row],[PROB'[1']]]</f>
        <v>0</v>
      </c>
      <c r="AM92" s="56">
        <f>IF(표10[[#This Row],[배당'[2']]]="-",0,표10[[#This Row],[배당'[2']]])+표10[[#This Row],[PROB'[2']]]</f>
        <v>0</v>
      </c>
      <c r="AN92" s="56">
        <f>IF(표10[[#This Row],[배당'[3']]]="-",0,표10[[#This Row],[배당'[3']]])+표10[[#This Row],[PROB'[3']]]</f>
        <v>0</v>
      </c>
      <c r="AO92" s="56">
        <f>IF(표10[[#This Row],[배당'[4']]]="-",0,표10[[#This Row],[배당'[4']]])+표10[[#This Row],[PROB'[4']]]</f>
        <v>0</v>
      </c>
      <c r="AP92" s="56">
        <f>IF(표10[[#This Row],[배당'[5']]]="-",0,표10[[#This Row],[배당'[5']]])+표10[[#This Row],[PROB'[5']]]</f>
        <v>0</v>
      </c>
      <c r="AQ92" s="56">
        <f>SUM(표10[[#This Row],[최종배당'[0']]:[최종배당'[5']]])</f>
        <v>0</v>
      </c>
    </row>
    <row r="93" spans="2:43" x14ac:dyDescent="0.3">
      <c r="B93" s="56" t="str">
        <f>[1]FishOceanTile!B98</f>
        <v>동 시베리아해</v>
      </c>
      <c r="C93" s="56" t="str">
        <f>IFERROR(VLOOKUP(표7[[#This Row],[낚시 타일]],[3]!표1_67[[이름]:[선단 LV]],6,FALSE),"-")</f>
        <v>-</v>
      </c>
      <c r="D93" s="56" t="str">
        <f>IFERROR(VLOOKUP(표7[[#This Row],[낚시 타일]],[3]!표1_67[[이름]:[위도]],3,FALSE),"-")</f>
        <v>-</v>
      </c>
      <c r="E93" s="56" t="str">
        <f>IFERROR(VLOOKUP(표7[[#This Row],[낚시 타일]],[3]!표1_67[[이름]:[위도]],2,FALSE),"-")</f>
        <v>-</v>
      </c>
      <c r="F93" s="56"/>
      <c r="G93" s="56" t="str">
        <f>IFERROR(ROUNDDOWN(표10[[#This Row],[최종배당'[0']]]/표10[[#This Row],[분모]]*100,0)&amp;"%","-")</f>
        <v>-</v>
      </c>
      <c r="H93" s="56"/>
      <c r="I93" s="56" t="str">
        <f>IFERROR(ROUNDDOWN(표10[[#This Row],[최종배당'[1']]]/표10[[#This Row],[분모]]*100,0)&amp;"%","-")</f>
        <v>-</v>
      </c>
      <c r="J93" s="56"/>
      <c r="K93" s="56" t="str">
        <f>IFERROR(ROUNDDOWN(표10[[#This Row],[최종배당'[2']]]/표10[[#This Row],[분모]]*100,0)&amp;"%","-")</f>
        <v>-</v>
      </c>
      <c r="L93" s="56"/>
      <c r="M93" s="56" t="str">
        <f>IFERROR(ROUNDDOWN(표10[[#This Row],[최종배당'[3']]]/표10[[#This Row],[분모]]*100,0)&amp;"%","-")</f>
        <v>-</v>
      </c>
      <c r="N93" s="56"/>
      <c r="O93" s="56" t="str">
        <f>IFERROR(ROUNDDOWN(표10[[#This Row],[최종배당'[4']]]/표10[[#This Row],[분모]]*100,0)&amp;"%","-")</f>
        <v>-</v>
      </c>
      <c r="P93" s="56"/>
      <c r="Q93" s="56" t="str">
        <f>IFERROR(ROUNDDOWN(표10[[#This Row],[최종배당'[5']]]/표10[[#This Row],[분모]]*100,0)&amp;"%","-")</f>
        <v>-</v>
      </c>
      <c r="S93" s="56" t="str">
        <f>IFERROR(VLOOKUP(표7[발견물'[0']],표1[[명칭]:[등급]],4,FALSE),"-")&amp;"급"</f>
        <v>0급</v>
      </c>
      <c r="T93" s="56" t="str">
        <f>IFERROR(VLOOKUP(표7[발견물'[1']],표1[[명칭]:[등급]],4,FALSE),"-")&amp;"급"</f>
        <v>0급</v>
      </c>
      <c r="U93" s="56" t="str">
        <f>IFERROR(VLOOKUP(표7[발견물'[2']],표1[[명칭]:[등급]],4,FALSE),"-")&amp;"급"</f>
        <v>0급</v>
      </c>
      <c r="V93" s="56" t="str">
        <f>IFERROR(VLOOKUP(표7[발견물'[3']],표1[[명칭]:[등급]],4,FALSE),"-")&amp;"급"</f>
        <v>0급</v>
      </c>
      <c r="W93" s="56" t="str">
        <f>IFERROR(VLOOKUP(표7[발견물'[4']],표1[[명칭]:[등급]],4,FALSE),"-")&amp;"급"</f>
        <v>0급</v>
      </c>
      <c r="X93" s="56" t="str">
        <f>IFERROR(VLOOKUP(표7[발견물'[5']],표1[[명칭]:[등급]],4,FALSE),"-")&amp;"급"</f>
        <v>0급</v>
      </c>
      <c r="Y93" s="56" t="str">
        <f>IFERROR(INDEX([1]FishGrade!$I:$I,MATCH(표10[[#This Row],[등급'[0']]],[1]FishGrade!$B:$B,0)),"-")</f>
        <v>-</v>
      </c>
      <c r="Z93" s="56" t="str">
        <f>IFERROR(INDEX([1]FishGrade!$I:$I,MATCH(표10[[#This Row],[등급'[1']]],[1]FishGrade!$B:$B,0)),"-")</f>
        <v>-</v>
      </c>
      <c r="AA93" s="56" t="str">
        <f>IFERROR(INDEX([1]FishGrade!$I:$I,MATCH(표10[[#This Row],[등급'[2']]],[1]FishGrade!$B:$B,0)),"-")</f>
        <v>-</v>
      </c>
      <c r="AB93" s="56" t="str">
        <f>IFERROR(INDEX([1]FishGrade!$I:$I,MATCH(표10[[#This Row],[등급'[3']]],[1]FishGrade!$B:$B,0)),"-")</f>
        <v>-</v>
      </c>
      <c r="AC93" s="56" t="str">
        <f>IFERROR(INDEX([1]FishGrade!$I:$I,MATCH(표10[[#This Row],[등급'[4']]],[1]FishGrade!$B:$B,0)),"-")</f>
        <v>-</v>
      </c>
      <c r="AD93" s="56" t="str">
        <f>IFERROR(INDEX([1]FishGrade!$I:$I,MATCH(표10[[#This Row],[등급'[5']]],[1]FishGrade!$B:$B,0)),"-")</f>
        <v>-</v>
      </c>
      <c r="AE93" s="56">
        <f>IF([1]FishDiscoveryGroup!$I$8="-",0,[1]FishDiscoveryGroup!$I$8)</f>
        <v>0</v>
      </c>
      <c r="AF93" s="56">
        <f>IF([1]FishDiscoveryGroup!$I$8="-",0,[1]FishDiscoveryGroup!$L$8)</f>
        <v>0</v>
      </c>
      <c r="AG93" s="56">
        <f>IF([1]FishDiscoveryGroup!$I$8="-",0,[1]FishDiscoveryGroup!$O$8)</f>
        <v>0</v>
      </c>
      <c r="AH93" s="56">
        <f>IF([1]FishDiscoveryGroup!$I$8="-",0,[1]FishDiscoveryGroup!$R$8)</f>
        <v>0</v>
      </c>
      <c r="AI93" s="56">
        <f>IF([1]FishDiscoveryGroup!$I$8="-",0,[1]FishDiscoveryGroup!$U$8)</f>
        <v>0</v>
      </c>
      <c r="AJ93" s="56">
        <f>IF([1]FishDiscoveryGroup!$I$8="-",0,[1]FishDiscoveryGroup!$X$8)</f>
        <v>0</v>
      </c>
      <c r="AK93" s="56">
        <f>IF(표10[[#This Row],[배당'[0']]]="-",0,표10[[#This Row],[배당'[0']]])+표10[[#This Row],[PROB'[0']]]</f>
        <v>0</v>
      </c>
      <c r="AL93" s="56">
        <f>IF(표10[[#This Row],[배당'[1']]]="-",0,표10[[#This Row],[배당'[1']]])+표10[[#This Row],[PROB'[1']]]</f>
        <v>0</v>
      </c>
      <c r="AM93" s="56">
        <f>IF(표10[[#This Row],[배당'[2']]]="-",0,표10[[#This Row],[배당'[2']]])+표10[[#This Row],[PROB'[2']]]</f>
        <v>0</v>
      </c>
      <c r="AN93" s="56">
        <f>IF(표10[[#This Row],[배당'[3']]]="-",0,표10[[#This Row],[배당'[3']]])+표10[[#This Row],[PROB'[3']]]</f>
        <v>0</v>
      </c>
      <c r="AO93" s="56">
        <f>IF(표10[[#This Row],[배당'[4']]]="-",0,표10[[#This Row],[배당'[4']]])+표10[[#This Row],[PROB'[4']]]</f>
        <v>0</v>
      </c>
      <c r="AP93" s="56">
        <f>IF(표10[[#This Row],[배당'[5']]]="-",0,표10[[#This Row],[배당'[5']]])+표10[[#This Row],[PROB'[5']]]</f>
        <v>0</v>
      </c>
      <c r="AQ93" s="56">
        <f>SUM(표10[[#This Row],[최종배당'[0']]:[최종배당'[5']]])</f>
        <v>0</v>
      </c>
    </row>
    <row r="94" spans="2:43" x14ac:dyDescent="0.3">
      <c r="B94" s="56" t="str">
        <f>[1]FishOceanTile!B99</f>
        <v>바렌츠해</v>
      </c>
      <c r="C94" s="56" t="str">
        <f>IFERROR(VLOOKUP(표7[[#This Row],[낚시 타일]],[3]!표1_67[[이름]:[선단 LV]],6,FALSE),"-")</f>
        <v>-</v>
      </c>
      <c r="D94" s="56" t="str">
        <f>IFERROR(VLOOKUP(표7[[#This Row],[낚시 타일]],[3]!표1_67[[이름]:[위도]],3,FALSE),"-")</f>
        <v>-</v>
      </c>
      <c r="E94" s="56" t="str">
        <f>IFERROR(VLOOKUP(표7[[#This Row],[낚시 타일]],[3]!표1_67[[이름]:[위도]],2,FALSE),"-")</f>
        <v>-</v>
      </c>
      <c r="F94" s="56"/>
      <c r="G94" s="56" t="str">
        <f>IFERROR(ROUNDDOWN(표10[[#This Row],[최종배당'[0']]]/표10[[#This Row],[분모]]*100,0)&amp;"%","-")</f>
        <v>-</v>
      </c>
      <c r="H94" s="56"/>
      <c r="I94" s="56" t="str">
        <f>IFERROR(ROUNDDOWN(표10[[#This Row],[최종배당'[1']]]/표10[[#This Row],[분모]]*100,0)&amp;"%","-")</f>
        <v>-</v>
      </c>
      <c r="J94" s="56"/>
      <c r="K94" s="56" t="str">
        <f>IFERROR(ROUNDDOWN(표10[[#This Row],[최종배당'[2']]]/표10[[#This Row],[분모]]*100,0)&amp;"%","-")</f>
        <v>-</v>
      </c>
      <c r="L94" s="56"/>
      <c r="M94" s="56" t="str">
        <f>IFERROR(ROUNDDOWN(표10[[#This Row],[최종배당'[3']]]/표10[[#This Row],[분모]]*100,0)&amp;"%","-")</f>
        <v>-</v>
      </c>
      <c r="N94" s="56"/>
      <c r="O94" s="56" t="str">
        <f>IFERROR(ROUNDDOWN(표10[[#This Row],[최종배당'[4']]]/표10[[#This Row],[분모]]*100,0)&amp;"%","-")</f>
        <v>-</v>
      </c>
      <c r="P94" s="56"/>
      <c r="Q94" s="56" t="str">
        <f>IFERROR(ROUNDDOWN(표10[[#This Row],[최종배당'[5']]]/표10[[#This Row],[분모]]*100,0)&amp;"%","-")</f>
        <v>-</v>
      </c>
      <c r="S94" s="56" t="str">
        <f>IFERROR(VLOOKUP(표7[발견물'[0']],표1[[명칭]:[등급]],4,FALSE),"-")&amp;"급"</f>
        <v>0급</v>
      </c>
      <c r="T94" s="56" t="str">
        <f>IFERROR(VLOOKUP(표7[발견물'[1']],표1[[명칭]:[등급]],4,FALSE),"-")&amp;"급"</f>
        <v>0급</v>
      </c>
      <c r="U94" s="56" t="str">
        <f>IFERROR(VLOOKUP(표7[발견물'[2']],표1[[명칭]:[등급]],4,FALSE),"-")&amp;"급"</f>
        <v>0급</v>
      </c>
      <c r="V94" s="56" t="str">
        <f>IFERROR(VLOOKUP(표7[발견물'[3']],표1[[명칭]:[등급]],4,FALSE),"-")&amp;"급"</f>
        <v>0급</v>
      </c>
      <c r="W94" s="56" t="str">
        <f>IFERROR(VLOOKUP(표7[발견물'[4']],표1[[명칭]:[등급]],4,FALSE),"-")&amp;"급"</f>
        <v>0급</v>
      </c>
      <c r="X94" s="56" t="str">
        <f>IFERROR(VLOOKUP(표7[발견물'[5']],표1[[명칭]:[등급]],4,FALSE),"-")&amp;"급"</f>
        <v>0급</v>
      </c>
      <c r="Y94" s="56" t="str">
        <f>IFERROR(INDEX([1]FishGrade!$I:$I,MATCH(표10[[#This Row],[등급'[0']]],[1]FishGrade!$B:$B,0)),"-")</f>
        <v>-</v>
      </c>
      <c r="Z94" s="56" t="str">
        <f>IFERROR(INDEX([1]FishGrade!$I:$I,MATCH(표10[[#This Row],[등급'[1']]],[1]FishGrade!$B:$B,0)),"-")</f>
        <v>-</v>
      </c>
      <c r="AA94" s="56" t="str">
        <f>IFERROR(INDEX([1]FishGrade!$I:$I,MATCH(표10[[#This Row],[등급'[2']]],[1]FishGrade!$B:$B,0)),"-")</f>
        <v>-</v>
      </c>
      <c r="AB94" s="56" t="str">
        <f>IFERROR(INDEX([1]FishGrade!$I:$I,MATCH(표10[[#This Row],[등급'[3']]],[1]FishGrade!$B:$B,0)),"-")</f>
        <v>-</v>
      </c>
      <c r="AC94" s="56" t="str">
        <f>IFERROR(INDEX([1]FishGrade!$I:$I,MATCH(표10[[#This Row],[등급'[4']]],[1]FishGrade!$B:$B,0)),"-")</f>
        <v>-</v>
      </c>
      <c r="AD94" s="56" t="str">
        <f>IFERROR(INDEX([1]FishGrade!$I:$I,MATCH(표10[[#This Row],[등급'[5']]],[1]FishGrade!$B:$B,0)),"-")</f>
        <v>-</v>
      </c>
      <c r="AE94" s="56">
        <f>IF([1]FishDiscoveryGroup!$I$8="-",0,[1]FishDiscoveryGroup!$I$8)</f>
        <v>0</v>
      </c>
      <c r="AF94" s="56">
        <f>IF([1]FishDiscoveryGroup!$I$8="-",0,[1]FishDiscoveryGroup!$L$8)</f>
        <v>0</v>
      </c>
      <c r="AG94" s="56">
        <f>IF([1]FishDiscoveryGroup!$I$8="-",0,[1]FishDiscoveryGroup!$O$8)</f>
        <v>0</v>
      </c>
      <c r="AH94" s="56">
        <f>IF([1]FishDiscoveryGroup!$I$8="-",0,[1]FishDiscoveryGroup!$R$8)</f>
        <v>0</v>
      </c>
      <c r="AI94" s="56">
        <f>IF([1]FishDiscoveryGroup!$I$8="-",0,[1]FishDiscoveryGroup!$U$8)</f>
        <v>0</v>
      </c>
      <c r="AJ94" s="56">
        <f>IF([1]FishDiscoveryGroup!$I$8="-",0,[1]FishDiscoveryGroup!$X$8)</f>
        <v>0</v>
      </c>
      <c r="AK94" s="56">
        <f>IF(표10[[#This Row],[배당'[0']]]="-",0,표10[[#This Row],[배당'[0']]])+표10[[#This Row],[PROB'[0']]]</f>
        <v>0</v>
      </c>
      <c r="AL94" s="56">
        <f>IF(표10[[#This Row],[배당'[1']]]="-",0,표10[[#This Row],[배당'[1']]])+표10[[#This Row],[PROB'[1']]]</f>
        <v>0</v>
      </c>
      <c r="AM94" s="56">
        <f>IF(표10[[#This Row],[배당'[2']]]="-",0,표10[[#This Row],[배당'[2']]])+표10[[#This Row],[PROB'[2']]]</f>
        <v>0</v>
      </c>
      <c r="AN94" s="56">
        <f>IF(표10[[#This Row],[배당'[3']]]="-",0,표10[[#This Row],[배당'[3']]])+표10[[#This Row],[PROB'[3']]]</f>
        <v>0</v>
      </c>
      <c r="AO94" s="56">
        <f>IF(표10[[#This Row],[배당'[4']]]="-",0,표10[[#This Row],[배당'[4']]])+표10[[#This Row],[PROB'[4']]]</f>
        <v>0</v>
      </c>
      <c r="AP94" s="56">
        <f>IF(표10[[#This Row],[배당'[5']]]="-",0,표10[[#This Row],[배당'[5']]])+표10[[#This Row],[PROB'[5']]]</f>
        <v>0</v>
      </c>
      <c r="AQ94" s="56">
        <f>SUM(표10[[#This Row],[최종배당'[0']]:[최종배당'[5']]])</f>
        <v>0</v>
      </c>
    </row>
    <row r="95" spans="2:43" x14ac:dyDescent="0.3">
      <c r="B95" s="56" t="str">
        <f>[1]FishOceanTile!B100</f>
        <v>러시아 강</v>
      </c>
      <c r="C95" s="56" t="str">
        <f>IFERROR(VLOOKUP(표7[[#This Row],[낚시 타일]],[3]!표1_67[[이름]:[선단 LV]],6,FALSE),"-")</f>
        <v>-</v>
      </c>
      <c r="D95" s="56" t="str">
        <f>IFERROR(VLOOKUP(표7[[#This Row],[낚시 타일]],[3]!표1_67[[이름]:[위도]],3,FALSE),"-")</f>
        <v>-</v>
      </c>
      <c r="E95" s="56" t="str">
        <f>IFERROR(VLOOKUP(표7[[#This Row],[낚시 타일]],[3]!표1_67[[이름]:[위도]],2,FALSE),"-")</f>
        <v>-</v>
      </c>
      <c r="F95" s="56"/>
      <c r="G95" s="56" t="str">
        <f>IFERROR(ROUNDDOWN(표10[[#This Row],[최종배당'[0']]]/표10[[#This Row],[분모]]*100,0)&amp;"%","-")</f>
        <v>-</v>
      </c>
      <c r="H95" s="56"/>
      <c r="I95" s="56" t="str">
        <f>IFERROR(ROUNDDOWN(표10[[#This Row],[최종배당'[1']]]/표10[[#This Row],[분모]]*100,0)&amp;"%","-")</f>
        <v>-</v>
      </c>
      <c r="J95" s="56"/>
      <c r="K95" s="56" t="str">
        <f>IFERROR(ROUNDDOWN(표10[[#This Row],[최종배당'[2']]]/표10[[#This Row],[분모]]*100,0)&amp;"%","-")</f>
        <v>-</v>
      </c>
      <c r="L95" s="56"/>
      <c r="M95" s="56" t="str">
        <f>IFERROR(ROUNDDOWN(표10[[#This Row],[최종배당'[3']]]/표10[[#This Row],[분모]]*100,0)&amp;"%","-")</f>
        <v>-</v>
      </c>
      <c r="N95" s="56"/>
      <c r="O95" s="56" t="str">
        <f>IFERROR(ROUNDDOWN(표10[[#This Row],[최종배당'[4']]]/표10[[#This Row],[분모]]*100,0)&amp;"%","-")</f>
        <v>-</v>
      </c>
      <c r="P95" s="56"/>
      <c r="Q95" s="56" t="str">
        <f>IFERROR(ROUNDDOWN(표10[[#This Row],[최종배당'[5']]]/표10[[#This Row],[분모]]*100,0)&amp;"%","-")</f>
        <v>-</v>
      </c>
      <c r="S95" s="56" t="str">
        <f>IFERROR(VLOOKUP(표7[발견물'[0']],표1[[명칭]:[등급]],4,FALSE),"-")&amp;"급"</f>
        <v>0급</v>
      </c>
      <c r="T95" s="56" t="str">
        <f>IFERROR(VLOOKUP(표7[발견물'[1']],표1[[명칭]:[등급]],4,FALSE),"-")&amp;"급"</f>
        <v>0급</v>
      </c>
      <c r="U95" s="56" t="str">
        <f>IFERROR(VLOOKUP(표7[발견물'[2']],표1[[명칭]:[등급]],4,FALSE),"-")&amp;"급"</f>
        <v>0급</v>
      </c>
      <c r="V95" s="56" t="str">
        <f>IFERROR(VLOOKUP(표7[발견물'[3']],표1[[명칭]:[등급]],4,FALSE),"-")&amp;"급"</f>
        <v>0급</v>
      </c>
      <c r="W95" s="56" t="str">
        <f>IFERROR(VLOOKUP(표7[발견물'[4']],표1[[명칭]:[등급]],4,FALSE),"-")&amp;"급"</f>
        <v>0급</v>
      </c>
      <c r="X95" s="56" t="str">
        <f>IFERROR(VLOOKUP(표7[발견물'[5']],표1[[명칭]:[등급]],4,FALSE),"-")&amp;"급"</f>
        <v>0급</v>
      </c>
      <c r="Y95" s="56" t="str">
        <f>IFERROR(INDEX([1]FishGrade!$I:$I,MATCH(표10[[#This Row],[등급'[0']]],[1]FishGrade!$B:$B,0)),"-")</f>
        <v>-</v>
      </c>
      <c r="Z95" s="56" t="str">
        <f>IFERROR(INDEX([1]FishGrade!$I:$I,MATCH(표10[[#This Row],[등급'[1']]],[1]FishGrade!$B:$B,0)),"-")</f>
        <v>-</v>
      </c>
      <c r="AA95" s="56" t="str">
        <f>IFERROR(INDEX([1]FishGrade!$I:$I,MATCH(표10[[#This Row],[등급'[2']]],[1]FishGrade!$B:$B,0)),"-")</f>
        <v>-</v>
      </c>
      <c r="AB95" s="56" t="str">
        <f>IFERROR(INDEX([1]FishGrade!$I:$I,MATCH(표10[[#This Row],[등급'[3']]],[1]FishGrade!$B:$B,0)),"-")</f>
        <v>-</v>
      </c>
      <c r="AC95" s="56" t="str">
        <f>IFERROR(INDEX([1]FishGrade!$I:$I,MATCH(표10[[#This Row],[등급'[4']]],[1]FishGrade!$B:$B,0)),"-")</f>
        <v>-</v>
      </c>
      <c r="AD95" s="56" t="str">
        <f>IFERROR(INDEX([1]FishGrade!$I:$I,MATCH(표10[[#This Row],[등급'[5']]],[1]FishGrade!$B:$B,0)),"-")</f>
        <v>-</v>
      </c>
      <c r="AE95" s="56">
        <f>IF([1]FishDiscoveryGroup!$I$8="-",0,[1]FishDiscoveryGroup!$I$8)</f>
        <v>0</v>
      </c>
      <c r="AF95" s="56">
        <f>IF([1]FishDiscoveryGroup!$I$8="-",0,[1]FishDiscoveryGroup!$L$8)</f>
        <v>0</v>
      </c>
      <c r="AG95" s="56">
        <f>IF([1]FishDiscoveryGroup!$I$8="-",0,[1]FishDiscoveryGroup!$O$8)</f>
        <v>0</v>
      </c>
      <c r="AH95" s="56">
        <f>IF([1]FishDiscoveryGroup!$I$8="-",0,[1]FishDiscoveryGroup!$R$8)</f>
        <v>0</v>
      </c>
      <c r="AI95" s="56">
        <f>IF([1]FishDiscoveryGroup!$I$8="-",0,[1]FishDiscoveryGroup!$U$8)</f>
        <v>0</v>
      </c>
      <c r="AJ95" s="56">
        <f>IF([1]FishDiscoveryGroup!$I$8="-",0,[1]FishDiscoveryGroup!$X$8)</f>
        <v>0</v>
      </c>
      <c r="AK95" s="56">
        <f>IF(표10[[#This Row],[배당'[0']]]="-",0,표10[[#This Row],[배당'[0']]])+표10[[#This Row],[PROB'[0']]]</f>
        <v>0</v>
      </c>
      <c r="AL95" s="56">
        <f>IF(표10[[#This Row],[배당'[1']]]="-",0,표10[[#This Row],[배당'[1']]])+표10[[#This Row],[PROB'[1']]]</f>
        <v>0</v>
      </c>
      <c r="AM95" s="56">
        <f>IF(표10[[#This Row],[배당'[2']]]="-",0,표10[[#This Row],[배당'[2']]])+표10[[#This Row],[PROB'[2']]]</f>
        <v>0</v>
      </c>
      <c r="AN95" s="56">
        <f>IF(표10[[#This Row],[배당'[3']]]="-",0,표10[[#This Row],[배당'[3']]])+표10[[#This Row],[PROB'[3']]]</f>
        <v>0</v>
      </c>
      <c r="AO95" s="56">
        <f>IF(표10[[#This Row],[배당'[4']]]="-",0,표10[[#This Row],[배당'[4']]])+표10[[#This Row],[PROB'[4']]]</f>
        <v>0</v>
      </c>
      <c r="AP95" s="56">
        <f>IF(표10[[#This Row],[배당'[5']]]="-",0,표10[[#This Row],[배당'[5']]])+표10[[#This Row],[PROB'[5']]]</f>
        <v>0</v>
      </c>
      <c r="AQ95" s="56">
        <f>SUM(표10[[#This Row],[최종배당'[0']]:[최종배당'[5']]])</f>
        <v>0</v>
      </c>
    </row>
    <row r="96" spans="2:43" x14ac:dyDescent="0.3">
      <c r="B96" s="56" t="str">
        <f>[1]FishOceanTile!B101</f>
        <v>남극</v>
      </c>
      <c r="C96" s="56" t="str">
        <f>IFERROR(VLOOKUP(표7[[#This Row],[낚시 타일]],[3]!표1_67[[이름]:[선단 LV]],6,FALSE),"-")</f>
        <v>-</v>
      </c>
      <c r="D96" s="56" t="str">
        <f>IFERROR(VLOOKUP(표7[[#This Row],[낚시 타일]],[3]!표1_67[[이름]:[위도]],3,FALSE),"-")</f>
        <v>-</v>
      </c>
      <c r="E96" s="56" t="str">
        <f>IFERROR(VLOOKUP(표7[[#This Row],[낚시 타일]],[3]!표1_67[[이름]:[위도]],2,FALSE),"-")</f>
        <v>-</v>
      </c>
      <c r="F96" s="56"/>
      <c r="G96" s="56" t="str">
        <f>IFERROR(ROUNDDOWN(표10[[#This Row],[최종배당'[0']]]/표10[[#This Row],[분모]]*100,0)&amp;"%","-")</f>
        <v>-</v>
      </c>
      <c r="H96" s="56"/>
      <c r="I96" s="56" t="str">
        <f>IFERROR(ROUNDDOWN(표10[[#This Row],[최종배당'[1']]]/표10[[#This Row],[분모]]*100,0)&amp;"%","-")</f>
        <v>-</v>
      </c>
      <c r="J96" s="56"/>
      <c r="K96" s="56" t="str">
        <f>IFERROR(ROUNDDOWN(표10[[#This Row],[최종배당'[2']]]/표10[[#This Row],[분모]]*100,0)&amp;"%","-")</f>
        <v>-</v>
      </c>
      <c r="L96" s="56"/>
      <c r="M96" s="56" t="str">
        <f>IFERROR(ROUNDDOWN(표10[[#This Row],[최종배당'[3']]]/표10[[#This Row],[분모]]*100,0)&amp;"%","-")</f>
        <v>-</v>
      </c>
      <c r="N96" s="56"/>
      <c r="O96" s="56" t="str">
        <f>IFERROR(ROUNDDOWN(표10[[#This Row],[최종배당'[4']]]/표10[[#This Row],[분모]]*100,0)&amp;"%","-")</f>
        <v>-</v>
      </c>
      <c r="P96" s="56"/>
      <c r="Q96" s="56" t="str">
        <f>IFERROR(ROUNDDOWN(표10[[#This Row],[최종배당'[5']]]/표10[[#This Row],[분모]]*100,0)&amp;"%","-")</f>
        <v>-</v>
      </c>
      <c r="S96" s="56" t="str">
        <f>IFERROR(VLOOKUP(표7[발견물'[0']],표1[[명칭]:[등급]],4,FALSE),"-")&amp;"급"</f>
        <v>0급</v>
      </c>
      <c r="T96" s="56" t="str">
        <f>IFERROR(VLOOKUP(표7[발견물'[1']],표1[[명칭]:[등급]],4,FALSE),"-")&amp;"급"</f>
        <v>0급</v>
      </c>
      <c r="U96" s="56" t="str">
        <f>IFERROR(VLOOKUP(표7[발견물'[2']],표1[[명칭]:[등급]],4,FALSE),"-")&amp;"급"</f>
        <v>0급</v>
      </c>
      <c r="V96" s="56" t="str">
        <f>IFERROR(VLOOKUP(표7[발견물'[3']],표1[[명칭]:[등급]],4,FALSE),"-")&amp;"급"</f>
        <v>0급</v>
      </c>
      <c r="W96" s="56" t="str">
        <f>IFERROR(VLOOKUP(표7[발견물'[4']],표1[[명칭]:[등급]],4,FALSE),"-")&amp;"급"</f>
        <v>0급</v>
      </c>
      <c r="X96" s="56" t="str">
        <f>IFERROR(VLOOKUP(표7[발견물'[5']],표1[[명칭]:[등급]],4,FALSE),"-")&amp;"급"</f>
        <v>0급</v>
      </c>
      <c r="Y96" s="56" t="str">
        <f>IFERROR(INDEX([1]FishGrade!$I:$I,MATCH(표10[[#This Row],[등급'[0']]],[1]FishGrade!$B:$B,0)),"-")</f>
        <v>-</v>
      </c>
      <c r="Z96" s="56" t="str">
        <f>IFERROR(INDEX([1]FishGrade!$I:$I,MATCH(표10[[#This Row],[등급'[1']]],[1]FishGrade!$B:$B,0)),"-")</f>
        <v>-</v>
      </c>
      <c r="AA96" s="56" t="str">
        <f>IFERROR(INDEX([1]FishGrade!$I:$I,MATCH(표10[[#This Row],[등급'[2']]],[1]FishGrade!$B:$B,0)),"-")</f>
        <v>-</v>
      </c>
      <c r="AB96" s="56" t="str">
        <f>IFERROR(INDEX([1]FishGrade!$I:$I,MATCH(표10[[#This Row],[등급'[3']]],[1]FishGrade!$B:$B,0)),"-")</f>
        <v>-</v>
      </c>
      <c r="AC96" s="56" t="str">
        <f>IFERROR(INDEX([1]FishGrade!$I:$I,MATCH(표10[[#This Row],[등급'[4']]],[1]FishGrade!$B:$B,0)),"-")</f>
        <v>-</v>
      </c>
      <c r="AD96" s="56" t="str">
        <f>IFERROR(INDEX([1]FishGrade!$I:$I,MATCH(표10[[#This Row],[등급'[5']]],[1]FishGrade!$B:$B,0)),"-")</f>
        <v>-</v>
      </c>
      <c r="AE96" s="56">
        <f>IF([1]FishDiscoveryGroup!$I$8="-",0,[1]FishDiscoveryGroup!$I$8)</f>
        <v>0</v>
      </c>
      <c r="AF96" s="56">
        <f>IF([1]FishDiscoveryGroup!$I$8="-",0,[1]FishDiscoveryGroup!$L$8)</f>
        <v>0</v>
      </c>
      <c r="AG96" s="56">
        <f>IF([1]FishDiscoveryGroup!$I$8="-",0,[1]FishDiscoveryGroup!$O$8)</f>
        <v>0</v>
      </c>
      <c r="AH96" s="56">
        <f>IF([1]FishDiscoveryGroup!$I$8="-",0,[1]FishDiscoveryGroup!$R$8)</f>
        <v>0</v>
      </c>
      <c r="AI96" s="56">
        <f>IF([1]FishDiscoveryGroup!$I$8="-",0,[1]FishDiscoveryGroup!$U$8)</f>
        <v>0</v>
      </c>
      <c r="AJ96" s="56">
        <f>IF([1]FishDiscoveryGroup!$I$8="-",0,[1]FishDiscoveryGroup!$X$8)</f>
        <v>0</v>
      </c>
      <c r="AK96" s="56">
        <f>IF(표10[[#This Row],[배당'[0']]]="-",0,표10[[#This Row],[배당'[0']]])+표10[[#This Row],[PROB'[0']]]</f>
        <v>0</v>
      </c>
      <c r="AL96" s="56">
        <f>IF(표10[[#This Row],[배당'[1']]]="-",0,표10[[#This Row],[배당'[1']]])+표10[[#This Row],[PROB'[1']]]</f>
        <v>0</v>
      </c>
      <c r="AM96" s="56">
        <f>IF(표10[[#This Row],[배당'[2']]]="-",0,표10[[#This Row],[배당'[2']]])+표10[[#This Row],[PROB'[2']]]</f>
        <v>0</v>
      </c>
      <c r="AN96" s="56">
        <f>IF(표10[[#This Row],[배당'[3']]]="-",0,표10[[#This Row],[배당'[3']]])+표10[[#This Row],[PROB'[3']]]</f>
        <v>0</v>
      </c>
      <c r="AO96" s="56">
        <f>IF(표10[[#This Row],[배당'[4']]]="-",0,표10[[#This Row],[배당'[4']]])+표10[[#This Row],[PROB'[4']]]</f>
        <v>0</v>
      </c>
      <c r="AP96" s="56">
        <f>IF(표10[[#This Row],[배당'[5']]]="-",0,표10[[#This Row],[배당'[5']]])+표10[[#This Row],[PROB'[5']]]</f>
        <v>0</v>
      </c>
      <c r="AQ96" s="56">
        <f>SUM(표10[[#This Row],[최종배당'[0']]:[최종배당'[5']]])</f>
        <v>0</v>
      </c>
    </row>
    <row r="97" spans="2:43" x14ac:dyDescent="0.3">
      <c r="B97" s="56" t="str">
        <f>[1]FishOceanTile!B102</f>
        <v>실러캔스</v>
      </c>
      <c r="C97" s="56" t="str">
        <f>IFERROR(VLOOKUP(표7[[#This Row],[낚시 타일]],[3]!표1_67[[이름]:[선단 LV]],6,FALSE),"-")</f>
        <v>-</v>
      </c>
      <c r="D97" s="56" t="str">
        <f>IFERROR(VLOOKUP(표7[[#This Row],[낚시 타일]],[3]!표1_67[[이름]:[위도]],3,FALSE),"-")</f>
        <v>-</v>
      </c>
      <c r="E97" s="56" t="str">
        <f>IFERROR(VLOOKUP(표7[[#This Row],[낚시 타일]],[3]!표1_67[[이름]:[위도]],2,FALSE),"-")</f>
        <v>-</v>
      </c>
      <c r="F97" s="56"/>
      <c r="G97" s="56" t="str">
        <f>IFERROR(ROUNDDOWN(표10[[#This Row],[최종배당'[0']]]/표10[[#This Row],[분모]]*100,0)&amp;"%","-")</f>
        <v>-</v>
      </c>
      <c r="H97" s="56"/>
      <c r="I97" s="56" t="str">
        <f>IFERROR(ROUNDDOWN(표10[[#This Row],[최종배당'[1']]]/표10[[#This Row],[분모]]*100,0)&amp;"%","-")</f>
        <v>-</v>
      </c>
      <c r="J97" s="56"/>
      <c r="K97" s="56" t="str">
        <f>IFERROR(ROUNDDOWN(표10[[#This Row],[최종배당'[2']]]/표10[[#This Row],[분모]]*100,0)&amp;"%","-")</f>
        <v>-</v>
      </c>
      <c r="L97" s="56"/>
      <c r="M97" s="56" t="str">
        <f>IFERROR(ROUNDDOWN(표10[[#This Row],[최종배당'[3']]]/표10[[#This Row],[분모]]*100,0)&amp;"%","-")</f>
        <v>-</v>
      </c>
      <c r="N97" s="56"/>
      <c r="O97" s="56" t="str">
        <f>IFERROR(ROUNDDOWN(표10[[#This Row],[최종배당'[4']]]/표10[[#This Row],[분모]]*100,0)&amp;"%","-")</f>
        <v>-</v>
      </c>
      <c r="P97" s="56"/>
      <c r="Q97" s="56" t="str">
        <f>IFERROR(ROUNDDOWN(표10[[#This Row],[최종배당'[5']]]/표10[[#This Row],[분모]]*100,0)&amp;"%","-")</f>
        <v>-</v>
      </c>
      <c r="S97" s="56" t="str">
        <f>IFERROR(VLOOKUP(표7[발견물'[0']],표1[[명칭]:[등급]],4,FALSE),"-")&amp;"급"</f>
        <v>0급</v>
      </c>
      <c r="T97" s="56" t="str">
        <f>IFERROR(VLOOKUP(표7[발견물'[1']],표1[[명칭]:[등급]],4,FALSE),"-")&amp;"급"</f>
        <v>0급</v>
      </c>
      <c r="U97" s="56" t="str">
        <f>IFERROR(VLOOKUP(표7[발견물'[2']],표1[[명칭]:[등급]],4,FALSE),"-")&amp;"급"</f>
        <v>0급</v>
      </c>
      <c r="V97" s="56" t="str">
        <f>IFERROR(VLOOKUP(표7[발견물'[3']],표1[[명칭]:[등급]],4,FALSE),"-")&amp;"급"</f>
        <v>0급</v>
      </c>
      <c r="W97" s="56" t="str">
        <f>IFERROR(VLOOKUP(표7[발견물'[4']],표1[[명칭]:[등급]],4,FALSE),"-")&amp;"급"</f>
        <v>0급</v>
      </c>
      <c r="X97" s="56" t="str">
        <f>IFERROR(VLOOKUP(표7[발견물'[5']],표1[[명칭]:[등급]],4,FALSE),"-")&amp;"급"</f>
        <v>0급</v>
      </c>
      <c r="Y97" s="56" t="str">
        <f>IFERROR(INDEX([1]FishGrade!$I:$I,MATCH(표10[[#This Row],[등급'[0']]],[1]FishGrade!$B:$B,0)),"-")</f>
        <v>-</v>
      </c>
      <c r="Z97" s="56" t="str">
        <f>IFERROR(INDEX([1]FishGrade!$I:$I,MATCH(표10[[#This Row],[등급'[1']]],[1]FishGrade!$B:$B,0)),"-")</f>
        <v>-</v>
      </c>
      <c r="AA97" s="56" t="str">
        <f>IFERROR(INDEX([1]FishGrade!$I:$I,MATCH(표10[[#This Row],[등급'[2']]],[1]FishGrade!$B:$B,0)),"-")</f>
        <v>-</v>
      </c>
      <c r="AB97" s="56" t="str">
        <f>IFERROR(INDEX([1]FishGrade!$I:$I,MATCH(표10[[#This Row],[등급'[3']]],[1]FishGrade!$B:$B,0)),"-")</f>
        <v>-</v>
      </c>
      <c r="AC97" s="56" t="str">
        <f>IFERROR(INDEX([1]FishGrade!$I:$I,MATCH(표10[[#This Row],[등급'[4']]],[1]FishGrade!$B:$B,0)),"-")</f>
        <v>-</v>
      </c>
      <c r="AD97" s="56" t="str">
        <f>IFERROR(INDEX([1]FishGrade!$I:$I,MATCH(표10[[#This Row],[등급'[5']]],[1]FishGrade!$B:$B,0)),"-")</f>
        <v>-</v>
      </c>
      <c r="AE97" s="56">
        <f>IF([1]FishDiscoveryGroup!$I$8="-",0,[1]FishDiscoveryGroup!$I$8)</f>
        <v>0</v>
      </c>
      <c r="AF97" s="56">
        <f>IF([1]FishDiscoveryGroup!$I$8="-",0,[1]FishDiscoveryGroup!$L$8)</f>
        <v>0</v>
      </c>
      <c r="AG97" s="56">
        <f>IF([1]FishDiscoveryGroup!$I$8="-",0,[1]FishDiscoveryGroup!$O$8)</f>
        <v>0</v>
      </c>
      <c r="AH97" s="56">
        <f>IF([1]FishDiscoveryGroup!$I$8="-",0,[1]FishDiscoveryGroup!$R$8)</f>
        <v>0</v>
      </c>
      <c r="AI97" s="56">
        <f>IF([1]FishDiscoveryGroup!$I$8="-",0,[1]FishDiscoveryGroup!$U$8)</f>
        <v>0</v>
      </c>
      <c r="AJ97" s="56">
        <f>IF([1]FishDiscoveryGroup!$I$8="-",0,[1]FishDiscoveryGroup!$X$8)</f>
        <v>0</v>
      </c>
      <c r="AK97" s="56">
        <f>IF(표10[[#This Row],[배당'[0']]]="-",0,표10[[#This Row],[배당'[0']]])+표10[[#This Row],[PROB'[0']]]</f>
        <v>0</v>
      </c>
      <c r="AL97" s="56">
        <f>IF(표10[[#This Row],[배당'[1']]]="-",0,표10[[#This Row],[배당'[1']]])+표10[[#This Row],[PROB'[1']]]</f>
        <v>0</v>
      </c>
      <c r="AM97" s="56">
        <f>IF(표10[[#This Row],[배당'[2']]]="-",0,표10[[#This Row],[배당'[2']]])+표10[[#This Row],[PROB'[2']]]</f>
        <v>0</v>
      </c>
      <c r="AN97" s="56">
        <f>IF(표10[[#This Row],[배당'[3']]]="-",0,표10[[#This Row],[배당'[3']]])+표10[[#This Row],[PROB'[3']]]</f>
        <v>0</v>
      </c>
      <c r="AO97" s="56">
        <f>IF(표10[[#This Row],[배당'[4']]]="-",0,표10[[#This Row],[배당'[4']]])+표10[[#This Row],[PROB'[4']]]</f>
        <v>0</v>
      </c>
      <c r="AP97" s="56">
        <f>IF(표10[[#This Row],[배당'[5']]]="-",0,표10[[#This Row],[배당'[5']]])+표10[[#This Row],[PROB'[5']]]</f>
        <v>0</v>
      </c>
      <c r="AQ97" s="56">
        <f>SUM(표10[[#This Row],[최종배당'[0']]:[최종배당'[5']]])</f>
        <v>0</v>
      </c>
    </row>
    <row r="98" spans="2:43" x14ac:dyDescent="0.3">
      <c r="B98" s="56" t="str">
        <f>[1]FishOceanTile!B103</f>
        <v>녹새치</v>
      </c>
      <c r="C98" s="56" t="str">
        <f>IFERROR(VLOOKUP(표7[[#This Row],[낚시 타일]],[3]!표1_67[[이름]:[선단 LV]],6,FALSE),"-")</f>
        <v>-</v>
      </c>
      <c r="D98" s="56" t="str">
        <f>IFERROR(VLOOKUP(표7[[#This Row],[낚시 타일]],[3]!표1_67[[이름]:[위도]],3,FALSE),"-")</f>
        <v>-</v>
      </c>
      <c r="E98" s="56" t="str">
        <f>IFERROR(VLOOKUP(표7[[#This Row],[낚시 타일]],[3]!표1_67[[이름]:[위도]],2,FALSE),"-")</f>
        <v>-</v>
      </c>
      <c r="F98" s="56"/>
      <c r="G98" s="56" t="str">
        <f>IFERROR(ROUNDDOWN(표10[[#This Row],[최종배당'[0']]]/표10[[#This Row],[분모]]*100,0)&amp;"%","-")</f>
        <v>-</v>
      </c>
      <c r="H98" s="56"/>
      <c r="I98" s="56" t="str">
        <f>IFERROR(ROUNDDOWN(표10[[#This Row],[최종배당'[1']]]/표10[[#This Row],[분모]]*100,0)&amp;"%","-")</f>
        <v>-</v>
      </c>
      <c r="J98" s="56"/>
      <c r="K98" s="56" t="str">
        <f>IFERROR(ROUNDDOWN(표10[[#This Row],[최종배당'[2']]]/표10[[#This Row],[분모]]*100,0)&amp;"%","-")</f>
        <v>-</v>
      </c>
      <c r="L98" s="56"/>
      <c r="M98" s="56" t="str">
        <f>IFERROR(ROUNDDOWN(표10[[#This Row],[최종배당'[3']]]/표10[[#This Row],[분모]]*100,0)&amp;"%","-")</f>
        <v>-</v>
      </c>
      <c r="N98" s="56"/>
      <c r="O98" s="56" t="str">
        <f>IFERROR(ROUNDDOWN(표10[[#This Row],[최종배당'[4']]]/표10[[#This Row],[분모]]*100,0)&amp;"%","-")</f>
        <v>-</v>
      </c>
      <c r="P98" s="56"/>
      <c r="Q98" s="56" t="str">
        <f>IFERROR(ROUNDDOWN(표10[[#This Row],[최종배당'[5']]]/표10[[#This Row],[분모]]*100,0)&amp;"%","-")</f>
        <v>-</v>
      </c>
      <c r="S98" s="56" t="str">
        <f>IFERROR(VLOOKUP(표7[발견물'[0']],표1[[명칭]:[등급]],4,FALSE),"-")&amp;"급"</f>
        <v>0급</v>
      </c>
      <c r="T98" s="56" t="str">
        <f>IFERROR(VLOOKUP(표7[발견물'[1']],표1[[명칭]:[등급]],4,FALSE),"-")&amp;"급"</f>
        <v>0급</v>
      </c>
      <c r="U98" s="56" t="str">
        <f>IFERROR(VLOOKUP(표7[발견물'[2']],표1[[명칭]:[등급]],4,FALSE),"-")&amp;"급"</f>
        <v>0급</v>
      </c>
      <c r="V98" s="56" t="str">
        <f>IFERROR(VLOOKUP(표7[발견물'[3']],표1[[명칭]:[등급]],4,FALSE),"-")&amp;"급"</f>
        <v>0급</v>
      </c>
      <c r="W98" s="56" t="str">
        <f>IFERROR(VLOOKUP(표7[발견물'[4']],표1[[명칭]:[등급]],4,FALSE),"-")&amp;"급"</f>
        <v>0급</v>
      </c>
      <c r="X98" s="56" t="str">
        <f>IFERROR(VLOOKUP(표7[발견물'[5']],표1[[명칭]:[등급]],4,FALSE),"-")&amp;"급"</f>
        <v>0급</v>
      </c>
      <c r="Y98" s="56" t="str">
        <f>IFERROR(INDEX([1]FishGrade!$I:$I,MATCH(표10[[#This Row],[등급'[0']]],[1]FishGrade!$B:$B,0)),"-")</f>
        <v>-</v>
      </c>
      <c r="Z98" s="56" t="str">
        <f>IFERROR(INDEX([1]FishGrade!$I:$I,MATCH(표10[[#This Row],[등급'[1']]],[1]FishGrade!$B:$B,0)),"-")</f>
        <v>-</v>
      </c>
      <c r="AA98" s="56" t="str">
        <f>IFERROR(INDEX([1]FishGrade!$I:$I,MATCH(표10[[#This Row],[등급'[2']]],[1]FishGrade!$B:$B,0)),"-")</f>
        <v>-</v>
      </c>
      <c r="AB98" s="56" t="str">
        <f>IFERROR(INDEX([1]FishGrade!$I:$I,MATCH(표10[[#This Row],[등급'[3']]],[1]FishGrade!$B:$B,0)),"-")</f>
        <v>-</v>
      </c>
      <c r="AC98" s="56" t="str">
        <f>IFERROR(INDEX([1]FishGrade!$I:$I,MATCH(표10[[#This Row],[등급'[4']]],[1]FishGrade!$B:$B,0)),"-")</f>
        <v>-</v>
      </c>
      <c r="AD98" s="56" t="str">
        <f>IFERROR(INDEX([1]FishGrade!$I:$I,MATCH(표10[[#This Row],[등급'[5']]],[1]FishGrade!$B:$B,0)),"-")</f>
        <v>-</v>
      </c>
      <c r="AE98" s="56">
        <f>IF([1]FishDiscoveryGroup!$I$8="-",0,[1]FishDiscoveryGroup!$I$8)</f>
        <v>0</v>
      </c>
      <c r="AF98" s="56">
        <f>IF([1]FishDiscoveryGroup!$I$8="-",0,[1]FishDiscoveryGroup!$L$8)</f>
        <v>0</v>
      </c>
      <c r="AG98" s="56">
        <f>IF([1]FishDiscoveryGroup!$I$8="-",0,[1]FishDiscoveryGroup!$O$8)</f>
        <v>0</v>
      </c>
      <c r="AH98" s="56">
        <f>IF([1]FishDiscoveryGroup!$I$8="-",0,[1]FishDiscoveryGroup!$R$8)</f>
        <v>0</v>
      </c>
      <c r="AI98" s="56">
        <f>IF([1]FishDiscoveryGroup!$I$8="-",0,[1]FishDiscoveryGroup!$U$8)</f>
        <v>0</v>
      </c>
      <c r="AJ98" s="56">
        <f>IF([1]FishDiscoveryGroup!$I$8="-",0,[1]FishDiscoveryGroup!$X$8)</f>
        <v>0</v>
      </c>
      <c r="AK98" s="56">
        <f>IF(표10[[#This Row],[배당'[0']]]="-",0,표10[[#This Row],[배당'[0']]])+표10[[#This Row],[PROB'[0']]]</f>
        <v>0</v>
      </c>
      <c r="AL98" s="56">
        <f>IF(표10[[#This Row],[배당'[1']]]="-",0,표10[[#This Row],[배당'[1']]])+표10[[#This Row],[PROB'[1']]]</f>
        <v>0</v>
      </c>
      <c r="AM98" s="56">
        <f>IF(표10[[#This Row],[배당'[2']]]="-",0,표10[[#This Row],[배당'[2']]])+표10[[#This Row],[PROB'[2']]]</f>
        <v>0</v>
      </c>
      <c r="AN98" s="56">
        <f>IF(표10[[#This Row],[배당'[3']]]="-",0,표10[[#This Row],[배당'[3']]])+표10[[#This Row],[PROB'[3']]]</f>
        <v>0</v>
      </c>
      <c r="AO98" s="56">
        <f>IF(표10[[#This Row],[배당'[4']]]="-",0,표10[[#This Row],[배당'[4']]])+표10[[#This Row],[PROB'[4']]]</f>
        <v>0</v>
      </c>
      <c r="AP98" s="56">
        <f>IF(표10[[#This Row],[배당'[5']]]="-",0,표10[[#This Row],[배당'[5']]])+표10[[#This Row],[PROB'[5']]]</f>
        <v>0</v>
      </c>
      <c r="AQ98" s="56">
        <f>SUM(표10[[#This Row],[최종배당'[0']]:[최종배당'[5']]])</f>
        <v>0</v>
      </c>
    </row>
    <row r="99" spans="2:43" x14ac:dyDescent="0.3">
      <c r="B99" s="56" t="str">
        <f>[1]FishOceanTile!B104</f>
        <v>대왕 오징어</v>
      </c>
      <c r="C99" s="56" t="str">
        <f>IFERROR(VLOOKUP(표7[[#This Row],[낚시 타일]],[3]!표1_67[[이름]:[선단 LV]],6,FALSE),"-")</f>
        <v>-</v>
      </c>
      <c r="D99" s="56" t="str">
        <f>IFERROR(VLOOKUP(표7[[#This Row],[낚시 타일]],[3]!표1_67[[이름]:[위도]],3,FALSE),"-")</f>
        <v>-</v>
      </c>
      <c r="E99" s="56" t="str">
        <f>IFERROR(VLOOKUP(표7[[#This Row],[낚시 타일]],[3]!표1_67[[이름]:[위도]],2,FALSE),"-")</f>
        <v>-</v>
      </c>
      <c r="F99" s="56"/>
      <c r="G99" s="56" t="str">
        <f>IFERROR(ROUNDDOWN(표10[[#This Row],[최종배당'[0']]]/표10[[#This Row],[분모]]*100,0)&amp;"%","-")</f>
        <v>-</v>
      </c>
      <c r="H99" s="56"/>
      <c r="I99" s="56" t="str">
        <f>IFERROR(ROUNDDOWN(표10[[#This Row],[최종배당'[1']]]/표10[[#This Row],[분모]]*100,0)&amp;"%","-")</f>
        <v>-</v>
      </c>
      <c r="J99" s="56"/>
      <c r="K99" s="56" t="str">
        <f>IFERROR(ROUNDDOWN(표10[[#This Row],[최종배당'[2']]]/표10[[#This Row],[분모]]*100,0)&amp;"%","-")</f>
        <v>-</v>
      </c>
      <c r="L99" s="56"/>
      <c r="M99" s="56" t="str">
        <f>IFERROR(ROUNDDOWN(표10[[#This Row],[최종배당'[3']]]/표10[[#This Row],[분모]]*100,0)&amp;"%","-")</f>
        <v>-</v>
      </c>
      <c r="N99" s="56"/>
      <c r="O99" s="56" t="str">
        <f>IFERROR(ROUNDDOWN(표10[[#This Row],[최종배당'[4']]]/표10[[#This Row],[분모]]*100,0)&amp;"%","-")</f>
        <v>-</v>
      </c>
      <c r="P99" s="56"/>
      <c r="Q99" s="56" t="str">
        <f>IFERROR(ROUNDDOWN(표10[[#This Row],[최종배당'[5']]]/표10[[#This Row],[분모]]*100,0)&amp;"%","-")</f>
        <v>-</v>
      </c>
      <c r="S99" s="56" t="str">
        <f>IFERROR(VLOOKUP(표7[발견물'[0']],표1[[명칭]:[등급]],4,FALSE),"-")&amp;"급"</f>
        <v>0급</v>
      </c>
      <c r="T99" s="56" t="str">
        <f>IFERROR(VLOOKUP(표7[발견물'[1']],표1[[명칭]:[등급]],4,FALSE),"-")&amp;"급"</f>
        <v>0급</v>
      </c>
      <c r="U99" s="56" t="str">
        <f>IFERROR(VLOOKUP(표7[발견물'[2']],표1[[명칭]:[등급]],4,FALSE),"-")&amp;"급"</f>
        <v>0급</v>
      </c>
      <c r="V99" s="56" t="str">
        <f>IFERROR(VLOOKUP(표7[발견물'[3']],표1[[명칭]:[등급]],4,FALSE),"-")&amp;"급"</f>
        <v>0급</v>
      </c>
      <c r="W99" s="56" t="str">
        <f>IFERROR(VLOOKUP(표7[발견물'[4']],표1[[명칭]:[등급]],4,FALSE),"-")&amp;"급"</f>
        <v>0급</v>
      </c>
      <c r="X99" s="56" t="str">
        <f>IFERROR(VLOOKUP(표7[발견물'[5']],표1[[명칭]:[등급]],4,FALSE),"-")&amp;"급"</f>
        <v>0급</v>
      </c>
      <c r="Y99" s="56" t="str">
        <f>IFERROR(INDEX([1]FishGrade!$I:$I,MATCH(표10[[#This Row],[등급'[0']]],[1]FishGrade!$B:$B,0)),"-")</f>
        <v>-</v>
      </c>
      <c r="Z99" s="56" t="str">
        <f>IFERROR(INDEX([1]FishGrade!$I:$I,MATCH(표10[[#This Row],[등급'[1']]],[1]FishGrade!$B:$B,0)),"-")</f>
        <v>-</v>
      </c>
      <c r="AA99" s="56" t="str">
        <f>IFERROR(INDEX([1]FishGrade!$I:$I,MATCH(표10[[#This Row],[등급'[2']]],[1]FishGrade!$B:$B,0)),"-")</f>
        <v>-</v>
      </c>
      <c r="AB99" s="56" t="str">
        <f>IFERROR(INDEX([1]FishGrade!$I:$I,MATCH(표10[[#This Row],[등급'[3']]],[1]FishGrade!$B:$B,0)),"-")</f>
        <v>-</v>
      </c>
      <c r="AC99" s="56" t="str">
        <f>IFERROR(INDEX([1]FishGrade!$I:$I,MATCH(표10[[#This Row],[등급'[4']]],[1]FishGrade!$B:$B,0)),"-")</f>
        <v>-</v>
      </c>
      <c r="AD99" s="56" t="str">
        <f>IFERROR(INDEX([1]FishGrade!$I:$I,MATCH(표10[[#This Row],[등급'[5']]],[1]FishGrade!$B:$B,0)),"-")</f>
        <v>-</v>
      </c>
      <c r="AE99" s="56">
        <f>IF([1]FishDiscoveryGroup!$I$8="-",0,[1]FishDiscoveryGroup!$I$8)</f>
        <v>0</v>
      </c>
      <c r="AF99" s="56">
        <f>IF([1]FishDiscoveryGroup!$I$8="-",0,[1]FishDiscoveryGroup!$L$8)</f>
        <v>0</v>
      </c>
      <c r="AG99" s="56">
        <f>IF([1]FishDiscoveryGroup!$I$8="-",0,[1]FishDiscoveryGroup!$O$8)</f>
        <v>0</v>
      </c>
      <c r="AH99" s="56">
        <f>IF([1]FishDiscoveryGroup!$I$8="-",0,[1]FishDiscoveryGroup!$R$8)</f>
        <v>0</v>
      </c>
      <c r="AI99" s="56">
        <f>IF([1]FishDiscoveryGroup!$I$8="-",0,[1]FishDiscoveryGroup!$U$8)</f>
        <v>0</v>
      </c>
      <c r="AJ99" s="56">
        <f>IF([1]FishDiscoveryGroup!$I$8="-",0,[1]FishDiscoveryGroup!$X$8)</f>
        <v>0</v>
      </c>
      <c r="AK99" s="56">
        <f>IF(표10[[#This Row],[배당'[0']]]="-",0,표10[[#This Row],[배당'[0']]])+표10[[#This Row],[PROB'[0']]]</f>
        <v>0</v>
      </c>
      <c r="AL99" s="56">
        <f>IF(표10[[#This Row],[배당'[1']]]="-",0,표10[[#This Row],[배당'[1']]])+표10[[#This Row],[PROB'[1']]]</f>
        <v>0</v>
      </c>
      <c r="AM99" s="56">
        <f>IF(표10[[#This Row],[배당'[2']]]="-",0,표10[[#This Row],[배당'[2']]])+표10[[#This Row],[PROB'[2']]]</f>
        <v>0</v>
      </c>
      <c r="AN99" s="56">
        <f>IF(표10[[#This Row],[배당'[3']]]="-",0,표10[[#This Row],[배당'[3']]])+표10[[#This Row],[PROB'[3']]]</f>
        <v>0</v>
      </c>
      <c r="AO99" s="56">
        <f>IF(표10[[#This Row],[배당'[4']]]="-",0,표10[[#This Row],[배당'[4']]])+표10[[#This Row],[PROB'[4']]]</f>
        <v>0</v>
      </c>
      <c r="AP99" s="56">
        <f>IF(표10[[#This Row],[배당'[5']]]="-",0,표10[[#This Row],[배당'[5']]])+표10[[#This Row],[PROB'[5']]]</f>
        <v>0</v>
      </c>
      <c r="AQ99" s="56">
        <f>SUM(표10[[#This Row],[최종배당'[0']]:[최종배당'[5']]])</f>
        <v>0</v>
      </c>
    </row>
    <row r="100" spans="2:43" x14ac:dyDescent="0.3">
      <c r="B100" s="56" t="str">
        <f>[1]FishOceanTile!B105</f>
        <v>백상아리</v>
      </c>
      <c r="C100" s="56" t="str">
        <f>IFERROR(VLOOKUP(표7[[#This Row],[낚시 타일]],[3]!표1_67[[이름]:[선단 LV]],6,FALSE),"-")</f>
        <v>-</v>
      </c>
      <c r="D100" s="56" t="str">
        <f>IFERROR(VLOOKUP(표7[[#This Row],[낚시 타일]],[3]!표1_67[[이름]:[위도]],3,FALSE),"-")</f>
        <v>-</v>
      </c>
      <c r="E100" s="56" t="str">
        <f>IFERROR(VLOOKUP(표7[[#This Row],[낚시 타일]],[3]!표1_67[[이름]:[위도]],2,FALSE),"-")</f>
        <v>-</v>
      </c>
      <c r="F100" s="56"/>
      <c r="G100" s="56" t="str">
        <f>IFERROR(ROUNDDOWN(표10[[#This Row],[최종배당'[0']]]/표10[[#This Row],[분모]]*100,0)&amp;"%","-")</f>
        <v>-</v>
      </c>
      <c r="H100" s="56"/>
      <c r="I100" s="56" t="str">
        <f>IFERROR(ROUNDDOWN(표10[[#This Row],[최종배당'[1']]]/표10[[#This Row],[분모]]*100,0)&amp;"%","-")</f>
        <v>-</v>
      </c>
      <c r="J100" s="56"/>
      <c r="K100" s="56" t="str">
        <f>IFERROR(ROUNDDOWN(표10[[#This Row],[최종배당'[2']]]/표10[[#This Row],[분모]]*100,0)&amp;"%","-")</f>
        <v>-</v>
      </c>
      <c r="L100" s="56"/>
      <c r="M100" s="56" t="str">
        <f>IFERROR(ROUNDDOWN(표10[[#This Row],[최종배당'[3']]]/표10[[#This Row],[분모]]*100,0)&amp;"%","-")</f>
        <v>-</v>
      </c>
      <c r="N100" s="56"/>
      <c r="O100" s="56" t="str">
        <f>IFERROR(ROUNDDOWN(표10[[#This Row],[최종배당'[4']]]/표10[[#This Row],[분모]]*100,0)&amp;"%","-")</f>
        <v>-</v>
      </c>
      <c r="P100" s="56"/>
      <c r="Q100" s="56" t="str">
        <f>IFERROR(ROUNDDOWN(표10[[#This Row],[최종배당'[5']]]/표10[[#This Row],[분모]]*100,0)&amp;"%","-")</f>
        <v>-</v>
      </c>
      <c r="S100" s="56" t="str">
        <f>IFERROR(VLOOKUP(표7[발견물'[0']],표1[[명칭]:[등급]],4,FALSE),"-")&amp;"급"</f>
        <v>0급</v>
      </c>
      <c r="T100" s="56" t="str">
        <f>IFERROR(VLOOKUP(표7[발견물'[1']],표1[[명칭]:[등급]],4,FALSE),"-")&amp;"급"</f>
        <v>0급</v>
      </c>
      <c r="U100" s="56" t="str">
        <f>IFERROR(VLOOKUP(표7[발견물'[2']],표1[[명칭]:[등급]],4,FALSE),"-")&amp;"급"</f>
        <v>0급</v>
      </c>
      <c r="V100" s="56" t="str">
        <f>IFERROR(VLOOKUP(표7[발견물'[3']],표1[[명칭]:[등급]],4,FALSE),"-")&amp;"급"</f>
        <v>0급</v>
      </c>
      <c r="W100" s="56" t="str">
        <f>IFERROR(VLOOKUP(표7[발견물'[4']],표1[[명칭]:[등급]],4,FALSE),"-")&amp;"급"</f>
        <v>0급</v>
      </c>
      <c r="X100" s="56" t="str">
        <f>IFERROR(VLOOKUP(표7[발견물'[5']],표1[[명칭]:[등급]],4,FALSE),"-")&amp;"급"</f>
        <v>0급</v>
      </c>
      <c r="Y100" s="56" t="str">
        <f>IFERROR(INDEX([1]FishGrade!$I:$I,MATCH(표10[[#This Row],[등급'[0']]],[1]FishGrade!$B:$B,0)),"-")</f>
        <v>-</v>
      </c>
      <c r="Z100" s="56" t="str">
        <f>IFERROR(INDEX([1]FishGrade!$I:$I,MATCH(표10[[#This Row],[등급'[1']]],[1]FishGrade!$B:$B,0)),"-")</f>
        <v>-</v>
      </c>
      <c r="AA100" s="56" t="str">
        <f>IFERROR(INDEX([1]FishGrade!$I:$I,MATCH(표10[[#This Row],[등급'[2']]],[1]FishGrade!$B:$B,0)),"-")</f>
        <v>-</v>
      </c>
      <c r="AB100" s="56" t="str">
        <f>IFERROR(INDEX([1]FishGrade!$I:$I,MATCH(표10[[#This Row],[등급'[3']]],[1]FishGrade!$B:$B,0)),"-")</f>
        <v>-</v>
      </c>
      <c r="AC100" s="56" t="str">
        <f>IFERROR(INDEX([1]FishGrade!$I:$I,MATCH(표10[[#This Row],[등급'[4']]],[1]FishGrade!$B:$B,0)),"-")</f>
        <v>-</v>
      </c>
      <c r="AD100" s="56" t="str">
        <f>IFERROR(INDEX([1]FishGrade!$I:$I,MATCH(표10[[#This Row],[등급'[5']]],[1]FishGrade!$B:$B,0)),"-")</f>
        <v>-</v>
      </c>
      <c r="AE100" s="56">
        <f>IF([1]FishDiscoveryGroup!$I$8="-",0,[1]FishDiscoveryGroup!$I$8)</f>
        <v>0</v>
      </c>
      <c r="AF100" s="56">
        <f>IF([1]FishDiscoveryGroup!$I$8="-",0,[1]FishDiscoveryGroup!$L$8)</f>
        <v>0</v>
      </c>
      <c r="AG100" s="56">
        <f>IF([1]FishDiscoveryGroup!$I$8="-",0,[1]FishDiscoveryGroup!$O$8)</f>
        <v>0</v>
      </c>
      <c r="AH100" s="56">
        <f>IF([1]FishDiscoveryGroup!$I$8="-",0,[1]FishDiscoveryGroup!$R$8)</f>
        <v>0</v>
      </c>
      <c r="AI100" s="56">
        <f>IF([1]FishDiscoveryGroup!$I$8="-",0,[1]FishDiscoveryGroup!$U$8)</f>
        <v>0</v>
      </c>
      <c r="AJ100" s="56">
        <f>IF([1]FishDiscoveryGroup!$I$8="-",0,[1]FishDiscoveryGroup!$X$8)</f>
        <v>0</v>
      </c>
      <c r="AK100" s="56">
        <f>IF(표10[[#This Row],[배당'[0']]]="-",0,표10[[#This Row],[배당'[0']]])+표10[[#This Row],[PROB'[0']]]</f>
        <v>0</v>
      </c>
      <c r="AL100" s="56">
        <f>IF(표10[[#This Row],[배당'[1']]]="-",0,표10[[#This Row],[배당'[1']]])+표10[[#This Row],[PROB'[1']]]</f>
        <v>0</v>
      </c>
      <c r="AM100" s="56">
        <f>IF(표10[[#This Row],[배당'[2']]]="-",0,표10[[#This Row],[배당'[2']]])+표10[[#This Row],[PROB'[2']]]</f>
        <v>0</v>
      </c>
      <c r="AN100" s="56">
        <f>IF(표10[[#This Row],[배당'[3']]]="-",0,표10[[#This Row],[배당'[3']]])+표10[[#This Row],[PROB'[3']]]</f>
        <v>0</v>
      </c>
      <c r="AO100" s="56">
        <f>IF(표10[[#This Row],[배당'[4']]]="-",0,표10[[#This Row],[배당'[4']]])+표10[[#This Row],[PROB'[4']]]</f>
        <v>0</v>
      </c>
      <c r="AP100" s="56">
        <f>IF(표10[[#This Row],[배당'[5']]]="-",0,표10[[#This Row],[배당'[5']]])+표10[[#This Row],[PROB'[5']]]</f>
        <v>0</v>
      </c>
      <c r="AQ100" s="56">
        <f>SUM(표10[[#This Row],[최종배당'[0']]:[최종배당'[5']]])</f>
        <v>0</v>
      </c>
    </row>
    <row r="101" spans="2:43" x14ac:dyDescent="0.3">
      <c r="B101" s="56" t="str">
        <f>[1]FishOceanTile!B106</f>
        <v>청상아리</v>
      </c>
      <c r="C101" s="56" t="str">
        <f>IFERROR(VLOOKUP(표7[[#This Row],[낚시 타일]],[3]!표1_67[[이름]:[선단 LV]],6,FALSE),"-")</f>
        <v>-</v>
      </c>
      <c r="D101" s="56" t="str">
        <f>IFERROR(VLOOKUP(표7[[#This Row],[낚시 타일]],[3]!표1_67[[이름]:[위도]],3,FALSE),"-")</f>
        <v>-</v>
      </c>
      <c r="E101" s="56" t="str">
        <f>IFERROR(VLOOKUP(표7[[#This Row],[낚시 타일]],[3]!표1_67[[이름]:[위도]],2,FALSE),"-")</f>
        <v>-</v>
      </c>
      <c r="F101" s="56"/>
      <c r="G101" s="56" t="str">
        <f>IFERROR(ROUNDDOWN(표10[[#This Row],[최종배당'[0']]]/표10[[#This Row],[분모]]*100,0)&amp;"%","-")</f>
        <v>-</v>
      </c>
      <c r="H101" s="56"/>
      <c r="I101" s="56" t="str">
        <f>IFERROR(ROUNDDOWN(표10[[#This Row],[최종배당'[1']]]/표10[[#This Row],[분모]]*100,0)&amp;"%","-")</f>
        <v>-</v>
      </c>
      <c r="J101" s="56"/>
      <c r="K101" s="56" t="str">
        <f>IFERROR(ROUNDDOWN(표10[[#This Row],[최종배당'[2']]]/표10[[#This Row],[분모]]*100,0)&amp;"%","-")</f>
        <v>-</v>
      </c>
      <c r="L101" s="56"/>
      <c r="M101" s="56" t="str">
        <f>IFERROR(ROUNDDOWN(표10[[#This Row],[최종배당'[3']]]/표10[[#This Row],[분모]]*100,0)&amp;"%","-")</f>
        <v>-</v>
      </c>
      <c r="N101" s="56"/>
      <c r="O101" s="56" t="str">
        <f>IFERROR(ROUNDDOWN(표10[[#This Row],[최종배당'[4']]]/표10[[#This Row],[분모]]*100,0)&amp;"%","-")</f>
        <v>-</v>
      </c>
      <c r="P101" s="56"/>
      <c r="Q101" s="56" t="str">
        <f>IFERROR(ROUNDDOWN(표10[[#This Row],[최종배당'[5']]]/표10[[#This Row],[분모]]*100,0)&amp;"%","-")</f>
        <v>-</v>
      </c>
      <c r="S101" s="56" t="str">
        <f>IFERROR(VLOOKUP(표7[발견물'[0']],표1[[명칭]:[등급]],4,FALSE),"-")&amp;"급"</f>
        <v>0급</v>
      </c>
      <c r="T101" s="56" t="str">
        <f>IFERROR(VLOOKUP(표7[발견물'[1']],표1[[명칭]:[등급]],4,FALSE),"-")&amp;"급"</f>
        <v>0급</v>
      </c>
      <c r="U101" s="56" t="str">
        <f>IFERROR(VLOOKUP(표7[발견물'[2']],표1[[명칭]:[등급]],4,FALSE),"-")&amp;"급"</f>
        <v>0급</v>
      </c>
      <c r="V101" s="56" t="str">
        <f>IFERROR(VLOOKUP(표7[발견물'[3']],표1[[명칭]:[등급]],4,FALSE),"-")&amp;"급"</f>
        <v>0급</v>
      </c>
      <c r="W101" s="56" t="str">
        <f>IFERROR(VLOOKUP(표7[발견물'[4']],표1[[명칭]:[등급]],4,FALSE),"-")&amp;"급"</f>
        <v>0급</v>
      </c>
      <c r="X101" s="56" t="str">
        <f>IFERROR(VLOOKUP(표7[발견물'[5']],표1[[명칭]:[등급]],4,FALSE),"-")&amp;"급"</f>
        <v>0급</v>
      </c>
      <c r="Y101" s="56" t="str">
        <f>IFERROR(INDEX([1]FishGrade!$I:$I,MATCH(표10[[#This Row],[등급'[0']]],[1]FishGrade!$B:$B,0)),"-")</f>
        <v>-</v>
      </c>
      <c r="Z101" s="56" t="str">
        <f>IFERROR(INDEX([1]FishGrade!$I:$I,MATCH(표10[[#This Row],[등급'[1']]],[1]FishGrade!$B:$B,0)),"-")</f>
        <v>-</v>
      </c>
      <c r="AA101" s="56" t="str">
        <f>IFERROR(INDEX([1]FishGrade!$I:$I,MATCH(표10[[#This Row],[등급'[2']]],[1]FishGrade!$B:$B,0)),"-")</f>
        <v>-</v>
      </c>
      <c r="AB101" s="56" t="str">
        <f>IFERROR(INDEX([1]FishGrade!$I:$I,MATCH(표10[[#This Row],[등급'[3']]],[1]FishGrade!$B:$B,0)),"-")</f>
        <v>-</v>
      </c>
      <c r="AC101" s="56" t="str">
        <f>IFERROR(INDEX([1]FishGrade!$I:$I,MATCH(표10[[#This Row],[등급'[4']]],[1]FishGrade!$B:$B,0)),"-")</f>
        <v>-</v>
      </c>
      <c r="AD101" s="56" t="str">
        <f>IFERROR(INDEX([1]FishGrade!$I:$I,MATCH(표10[[#This Row],[등급'[5']]],[1]FishGrade!$B:$B,0)),"-")</f>
        <v>-</v>
      </c>
      <c r="AE101" s="56">
        <f>IF([1]FishDiscoveryGroup!$I$8="-",0,[1]FishDiscoveryGroup!$I$8)</f>
        <v>0</v>
      </c>
      <c r="AF101" s="56">
        <f>IF([1]FishDiscoveryGroup!$I$8="-",0,[1]FishDiscoveryGroup!$L$8)</f>
        <v>0</v>
      </c>
      <c r="AG101" s="56">
        <f>IF([1]FishDiscoveryGroup!$I$8="-",0,[1]FishDiscoveryGroup!$O$8)</f>
        <v>0</v>
      </c>
      <c r="AH101" s="56">
        <f>IF([1]FishDiscoveryGroup!$I$8="-",0,[1]FishDiscoveryGroup!$R$8)</f>
        <v>0</v>
      </c>
      <c r="AI101" s="56">
        <f>IF([1]FishDiscoveryGroup!$I$8="-",0,[1]FishDiscoveryGroup!$U$8)</f>
        <v>0</v>
      </c>
      <c r="AJ101" s="56">
        <f>IF([1]FishDiscoveryGroup!$I$8="-",0,[1]FishDiscoveryGroup!$X$8)</f>
        <v>0</v>
      </c>
      <c r="AK101" s="56">
        <f>IF(표10[[#This Row],[배당'[0']]]="-",0,표10[[#This Row],[배당'[0']]])+표10[[#This Row],[PROB'[0']]]</f>
        <v>0</v>
      </c>
      <c r="AL101" s="56">
        <f>IF(표10[[#This Row],[배당'[1']]]="-",0,표10[[#This Row],[배당'[1']]])+표10[[#This Row],[PROB'[1']]]</f>
        <v>0</v>
      </c>
      <c r="AM101" s="56">
        <f>IF(표10[[#This Row],[배당'[2']]]="-",0,표10[[#This Row],[배당'[2']]])+표10[[#This Row],[PROB'[2']]]</f>
        <v>0</v>
      </c>
      <c r="AN101" s="56">
        <f>IF(표10[[#This Row],[배당'[3']]]="-",0,표10[[#This Row],[배당'[3']]])+표10[[#This Row],[PROB'[3']]]</f>
        <v>0</v>
      </c>
      <c r="AO101" s="56">
        <f>IF(표10[[#This Row],[배당'[4']]]="-",0,표10[[#This Row],[배당'[4']]])+표10[[#This Row],[PROB'[4']]]</f>
        <v>0</v>
      </c>
      <c r="AP101" s="56">
        <f>IF(표10[[#This Row],[배당'[5']]]="-",0,표10[[#This Row],[배당'[5']]])+표10[[#This Row],[PROB'[5']]]</f>
        <v>0</v>
      </c>
      <c r="AQ101" s="56">
        <f>SUM(표10[[#This Row],[최종배당'[0']]:[최종배당'[5']]])</f>
        <v>0</v>
      </c>
    </row>
    <row r="102" spans="2:43" x14ac:dyDescent="0.3">
      <c r="B102" s="56" t="str">
        <f>[1]FishOceanTile!B107</f>
        <v>향유고래</v>
      </c>
      <c r="C102" s="56" t="str">
        <f>IFERROR(VLOOKUP(표7[[#This Row],[낚시 타일]],[3]!표1_67[[이름]:[선단 LV]],6,FALSE),"-")</f>
        <v>-</v>
      </c>
      <c r="D102" s="56" t="str">
        <f>IFERROR(VLOOKUP(표7[[#This Row],[낚시 타일]],[3]!표1_67[[이름]:[위도]],3,FALSE),"-")</f>
        <v>-</v>
      </c>
      <c r="E102" s="56" t="str">
        <f>IFERROR(VLOOKUP(표7[[#This Row],[낚시 타일]],[3]!표1_67[[이름]:[위도]],2,FALSE),"-")</f>
        <v>-</v>
      </c>
      <c r="F102" s="56"/>
      <c r="G102" s="56" t="str">
        <f>IFERROR(ROUNDDOWN(표10[[#This Row],[최종배당'[0']]]/표10[[#This Row],[분모]]*100,0)&amp;"%","-")</f>
        <v>-</v>
      </c>
      <c r="H102" s="56"/>
      <c r="I102" s="56" t="str">
        <f>IFERROR(ROUNDDOWN(표10[[#This Row],[최종배당'[1']]]/표10[[#This Row],[분모]]*100,0)&amp;"%","-")</f>
        <v>-</v>
      </c>
      <c r="J102" s="56"/>
      <c r="K102" s="56" t="str">
        <f>IFERROR(ROUNDDOWN(표10[[#This Row],[최종배당'[2']]]/표10[[#This Row],[분모]]*100,0)&amp;"%","-")</f>
        <v>-</v>
      </c>
      <c r="L102" s="56"/>
      <c r="M102" s="56" t="str">
        <f>IFERROR(ROUNDDOWN(표10[[#This Row],[최종배당'[3']]]/표10[[#This Row],[분모]]*100,0)&amp;"%","-")</f>
        <v>-</v>
      </c>
      <c r="N102" s="56"/>
      <c r="O102" s="56" t="str">
        <f>IFERROR(ROUNDDOWN(표10[[#This Row],[최종배당'[4']]]/표10[[#This Row],[분모]]*100,0)&amp;"%","-")</f>
        <v>-</v>
      </c>
      <c r="P102" s="56"/>
      <c r="Q102" s="56" t="str">
        <f>IFERROR(ROUNDDOWN(표10[[#This Row],[최종배당'[5']]]/표10[[#This Row],[분모]]*100,0)&amp;"%","-")</f>
        <v>-</v>
      </c>
      <c r="S102" s="56" t="str">
        <f>IFERROR(VLOOKUP(표7[발견물'[0']],표1[[명칭]:[등급]],4,FALSE),"-")&amp;"급"</f>
        <v>0급</v>
      </c>
      <c r="T102" s="56" t="str">
        <f>IFERROR(VLOOKUP(표7[발견물'[1']],표1[[명칭]:[등급]],4,FALSE),"-")&amp;"급"</f>
        <v>0급</v>
      </c>
      <c r="U102" s="56" t="str">
        <f>IFERROR(VLOOKUP(표7[발견물'[2']],표1[[명칭]:[등급]],4,FALSE),"-")&amp;"급"</f>
        <v>0급</v>
      </c>
      <c r="V102" s="56" t="str">
        <f>IFERROR(VLOOKUP(표7[발견물'[3']],표1[[명칭]:[등급]],4,FALSE),"-")&amp;"급"</f>
        <v>0급</v>
      </c>
      <c r="W102" s="56" t="str">
        <f>IFERROR(VLOOKUP(표7[발견물'[4']],표1[[명칭]:[등급]],4,FALSE),"-")&amp;"급"</f>
        <v>0급</v>
      </c>
      <c r="X102" s="56" t="str">
        <f>IFERROR(VLOOKUP(표7[발견물'[5']],표1[[명칭]:[등급]],4,FALSE),"-")&amp;"급"</f>
        <v>0급</v>
      </c>
      <c r="Y102" s="56" t="str">
        <f>IFERROR(INDEX([1]FishGrade!$I:$I,MATCH(표10[[#This Row],[등급'[0']]],[1]FishGrade!$B:$B,0)),"-")</f>
        <v>-</v>
      </c>
      <c r="Z102" s="56" t="str">
        <f>IFERROR(INDEX([1]FishGrade!$I:$I,MATCH(표10[[#This Row],[등급'[1']]],[1]FishGrade!$B:$B,0)),"-")</f>
        <v>-</v>
      </c>
      <c r="AA102" s="56" t="str">
        <f>IFERROR(INDEX([1]FishGrade!$I:$I,MATCH(표10[[#This Row],[등급'[2']]],[1]FishGrade!$B:$B,0)),"-")</f>
        <v>-</v>
      </c>
      <c r="AB102" s="56" t="str">
        <f>IFERROR(INDEX([1]FishGrade!$I:$I,MATCH(표10[[#This Row],[등급'[3']]],[1]FishGrade!$B:$B,0)),"-")</f>
        <v>-</v>
      </c>
      <c r="AC102" s="56" t="str">
        <f>IFERROR(INDEX([1]FishGrade!$I:$I,MATCH(표10[[#This Row],[등급'[4']]],[1]FishGrade!$B:$B,0)),"-")</f>
        <v>-</v>
      </c>
      <c r="AD102" s="56" t="str">
        <f>IFERROR(INDEX([1]FishGrade!$I:$I,MATCH(표10[[#This Row],[등급'[5']]],[1]FishGrade!$B:$B,0)),"-")</f>
        <v>-</v>
      </c>
      <c r="AE102" s="56">
        <f>IF([1]FishDiscoveryGroup!$I$8="-",0,[1]FishDiscoveryGroup!$I$8)</f>
        <v>0</v>
      </c>
      <c r="AF102" s="56">
        <f>IF([1]FishDiscoveryGroup!$I$8="-",0,[1]FishDiscoveryGroup!$L$8)</f>
        <v>0</v>
      </c>
      <c r="AG102" s="56">
        <f>IF([1]FishDiscoveryGroup!$I$8="-",0,[1]FishDiscoveryGroup!$O$8)</f>
        <v>0</v>
      </c>
      <c r="AH102" s="56">
        <f>IF([1]FishDiscoveryGroup!$I$8="-",0,[1]FishDiscoveryGroup!$R$8)</f>
        <v>0</v>
      </c>
      <c r="AI102" s="56">
        <f>IF([1]FishDiscoveryGroup!$I$8="-",0,[1]FishDiscoveryGroup!$U$8)</f>
        <v>0</v>
      </c>
      <c r="AJ102" s="56">
        <f>IF([1]FishDiscoveryGroup!$I$8="-",0,[1]FishDiscoveryGroup!$X$8)</f>
        <v>0</v>
      </c>
      <c r="AK102" s="56">
        <f>IF(표10[[#This Row],[배당'[0']]]="-",0,표10[[#This Row],[배당'[0']]])+표10[[#This Row],[PROB'[0']]]</f>
        <v>0</v>
      </c>
      <c r="AL102" s="56">
        <f>IF(표10[[#This Row],[배당'[1']]]="-",0,표10[[#This Row],[배당'[1']]])+표10[[#This Row],[PROB'[1']]]</f>
        <v>0</v>
      </c>
      <c r="AM102" s="56">
        <f>IF(표10[[#This Row],[배당'[2']]]="-",0,표10[[#This Row],[배당'[2']]])+표10[[#This Row],[PROB'[2']]]</f>
        <v>0</v>
      </c>
      <c r="AN102" s="56">
        <f>IF(표10[[#This Row],[배당'[3']]]="-",0,표10[[#This Row],[배당'[3']]])+표10[[#This Row],[PROB'[3']]]</f>
        <v>0</v>
      </c>
      <c r="AO102" s="56">
        <f>IF(표10[[#This Row],[배당'[4']]]="-",0,표10[[#This Row],[배당'[4']]])+표10[[#This Row],[PROB'[4']]]</f>
        <v>0</v>
      </c>
      <c r="AP102" s="56">
        <f>IF(표10[[#This Row],[배당'[5']]]="-",0,표10[[#This Row],[배당'[5']]])+표10[[#This Row],[PROB'[5']]]</f>
        <v>0</v>
      </c>
      <c r="AQ102" s="56">
        <f>SUM(표10[[#This Row],[최종배당'[0']]:[최종배당'[5']]])</f>
        <v>0</v>
      </c>
    </row>
    <row r="103" spans="2:43" x14ac:dyDescent="0.3">
      <c r="B103" s="56">
        <f>[1]FishOceanTile!B108</f>
        <v>0</v>
      </c>
      <c r="C103" s="56" t="str">
        <f>IFERROR(VLOOKUP(표7[[#This Row],[낚시 타일]],[3]!표1_67[[이름]:[선단 LV]],6,FALSE),"-")</f>
        <v>-</v>
      </c>
      <c r="D103" s="56" t="str">
        <f>IFERROR(VLOOKUP(표7[[#This Row],[낚시 타일]],[3]!표1_67[[이름]:[위도]],3,FALSE),"-")</f>
        <v>-</v>
      </c>
      <c r="E103" s="56" t="str">
        <f>IFERROR(VLOOKUP(표7[[#This Row],[낚시 타일]],[3]!표1_67[[이름]:[위도]],2,FALSE),"-")</f>
        <v>-</v>
      </c>
      <c r="F103" s="56"/>
      <c r="G103" s="56" t="str">
        <f>IFERROR(ROUNDDOWN(표10[[#This Row],[최종배당'[0']]]/표10[[#This Row],[분모]]*100,0)&amp;"%","-")</f>
        <v>-</v>
      </c>
      <c r="H103" s="56"/>
      <c r="I103" s="56" t="str">
        <f>IFERROR(ROUNDDOWN(표10[[#This Row],[최종배당'[1']]]/표10[[#This Row],[분모]]*100,0)&amp;"%","-")</f>
        <v>-</v>
      </c>
      <c r="J103" s="56"/>
      <c r="K103" s="56" t="str">
        <f>IFERROR(ROUNDDOWN(표10[[#This Row],[최종배당'[2']]]/표10[[#This Row],[분모]]*100,0)&amp;"%","-")</f>
        <v>-</v>
      </c>
      <c r="L103" s="56"/>
      <c r="M103" s="56" t="str">
        <f>IFERROR(ROUNDDOWN(표10[[#This Row],[최종배당'[3']]]/표10[[#This Row],[분모]]*100,0)&amp;"%","-")</f>
        <v>-</v>
      </c>
      <c r="N103" s="56"/>
      <c r="O103" s="56" t="str">
        <f>IFERROR(ROUNDDOWN(표10[[#This Row],[최종배당'[4']]]/표10[[#This Row],[분모]]*100,0)&amp;"%","-")</f>
        <v>-</v>
      </c>
      <c r="P103" s="56"/>
      <c r="Q103" s="56" t="str">
        <f>IFERROR(ROUNDDOWN(표10[[#This Row],[최종배당'[5']]]/표10[[#This Row],[분모]]*100,0)&amp;"%","-")</f>
        <v>-</v>
      </c>
      <c r="S103" s="56" t="str">
        <f>IFERROR(VLOOKUP(표7[발견물'[0']],표1[[명칭]:[등급]],4,FALSE),"-")&amp;"급"</f>
        <v>0급</v>
      </c>
      <c r="T103" s="56" t="str">
        <f>IFERROR(VLOOKUP(표7[발견물'[1']],표1[[명칭]:[등급]],4,FALSE),"-")&amp;"급"</f>
        <v>0급</v>
      </c>
      <c r="U103" s="56" t="str">
        <f>IFERROR(VLOOKUP(표7[발견물'[2']],표1[[명칭]:[등급]],4,FALSE),"-")&amp;"급"</f>
        <v>0급</v>
      </c>
      <c r="V103" s="56" t="str">
        <f>IFERROR(VLOOKUP(표7[발견물'[3']],표1[[명칭]:[등급]],4,FALSE),"-")&amp;"급"</f>
        <v>0급</v>
      </c>
      <c r="W103" s="56" t="str">
        <f>IFERROR(VLOOKUP(표7[발견물'[4']],표1[[명칭]:[등급]],4,FALSE),"-")&amp;"급"</f>
        <v>0급</v>
      </c>
      <c r="X103" s="56" t="str">
        <f>IFERROR(VLOOKUP(표7[발견물'[5']],표1[[명칭]:[등급]],4,FALSE),"-")&amp;"급"</f>
        <v>0급</v>
      </c>
      <c r="Y103" s="56" t="str">
        <f>IFERROR(INDEX([1]FishGrade!$I:$I,MATCH(표10[[#This Row],[등급'[0']]],[1]FishGrade!$B:$B,0)),"-")</f>
        <v>-</v>
      </c>
      <c r="Z103" s="56" t="str">
        <f>IFERROR(INDEX([1]FishGrade!$I:$I,MATCH(표10[[#This Row],[등급'[1']]],[1]FishGrade!$B:$B,0)),"-")</f>
        <v>-</v>
      </c>
      <c r="AA103" s="56" t="str">
        <f>IFERROR(INDEX([1]FishGrade!$I:$I,MATCH(표10[[#This Row],[등급'[2']]],[1]FishGrade!$B:$B,0)),"-")</f>
        <v>-</v>
      </c>
      <c r="AB103" s="56" t="str">
        <f>IFERROR(INDEX([1]FishGrade!$I:$I,MATCH(표10[[#This Row],[등급'[3']]],[1]FishGrade!$B:$B,0)),"-")</f>
        <v>-</v>
      </c>
      <c r="AC103" s="56" t="str">
        <f>IFERROR(INDEX([1]FishGrade!$I:$I,MATCH(표10[[#This Row],[등급'[4']]],[1]FishGrade!$B:$B,0)),"-")</f>
        <v>-</v>
      </c>
      <c r="AD103" s="56" t="str">
        <f>IFERROR(INDEX([1]FishGrade!$I:$I,MATCH(표10[[#This Row],[등급'[5']]],[1]FishGrade!$B:$B,0)),"-")</f>
        <v>-</v>
      </c>
      <c r="AE103" s="56">
        <f>IF([1]FishDiscoveryGroup!$I$8="-",0,[1]FishDiscoveryGroup!$I$8)</f>
        <v>0</v>
      </c>
      <c r="AF103" s="56">
        <f>IF([1]FishDiscoveryGroup!$I$8="-",0,[1]FishDiscoveryGroup!$L$8)</f>
        <v>0</v>
      </c>
      <c r="AG103" s="56">
        <f>IF([1]FishDiscoveryGroup!$I$8="-",0,[1]FishDiscoveryGroup!$O$8)</f>
        <v>0</v>
      </c>
      <c r="AH103" s="56">
        <f>IF([1]FishDiscoveryGroup!$I$8="-",0,[1]FishDiscoveryGroup!$R$8)</f>
        <v>0</v>
      </c>
      <c r="AI103" s="56">
        <f>IF([1]FishDiscoveryGroup!$I$8="-",0,[1]FishDiscoveryGroup!$U$8)</f>
        <v>0</v>
      </c>
      <c r="AJ103" s="56">
        <f>IF([1]FishDiscoveryGroup!$I$8="-",0,[1]FishDiscoveryGroup!$X$8)</f>
        <v>0</v>
      </c>
      <c r="AK103" s="56">
        <f>IF(표10[[#This Row],[배당'[0']]]="-",0,표10[[#This Row],[배당'[0']]])+표10[[#This Row],[PROB'[0']]]</f>
        <v>0</v>
      </c>
      <c r="AL103" s="56">
        <f>IF(표10[[#This Row],[배당'[1']]]="-",0,표10[[#This Row],[배당'[1']]])+표10[[#This Row],[PROB'[1']]]</f>
        <v>0</v>
      </c>
      <c r="AM103" s="56">
        <f>IF(표10[[#This Row],[배당'[2']]]="-",0,표10[[#This Row],[배당'[2']]])+표10[[#This Row],[PROB'[2']]]</f>
        <v>0</v>
      </c>
      <c r="AN103" s="56">
        <f>IF(표10[[#This Row],[배당'[3']]]="-",0,표10[[#This Row],[배당'[3']]])+표10[[#This Row],[PROB'[3']]]</f>
        <v>0</v>
      </c>
      <c r="AO103" s="56">
        <f>IF(표10[[#This Row],[배당'[4']]]="-",0,표10[[#This Row],[배당'[4']]])+표10[[#This Row],[PROB'[4']]]</f>
        <v>0</v>
      </c>
      <c r="AP103" s="56">
        <f>IF(표10[[#This Row],[배당'[5']]]="-",0,표10[[#This Row],[배당'[5']]])+표10[[#This Row],[PROB'[5']]]</f>
        <v>0</v>
      </c>
      <c r="AQ103" s="56">
        <f>SUM(표10[[#This Row],[최종배당'[0']]:[최종배당'[5']]])</f>
        <v>0</v>
      </c>
    </row>
    <row r="104" spans="2:43" x14ac:dyDescent="0.3">
      <c r="B104" s="56">
        <f>[1]FishOceanTile!B109</f>
        <v>0</v>
      </c>
      <c r="C104" s="56" t="str">
        <f>IFERROR(VLOOKUP(표7[[#This Row],[낚시 타일]],[3]!표1_67[[이름]:[선단 LV]],6,FALSE),"-")</f>
        <v>-</v>
      </c>
      <c r="D104" s="56" t="str">
        <f>IFERROR(VLOOKUP(표7[[#This Row],[낚시 타일]],[3]!표1_67[[이름]:[위도]],3,FALSE),"-")</f>
        <v>-</v>
      </c>
      <c r="E104" s="56" t="str">
        <f>IFERROR(VLOOKUP(표7[[#This Row],[낚시 타일]],[3]!표1_67[[이름]:[위도]],2,FALSE),"-")</f>
        <v>-</v>
      </c>
      <c r="F104" s="56"/>
      <c r="G104" s="56" t="str">
        <f>IFERROR(ROUNDDOWN(표10[[#This Row],[최종배당'[0']]]/표10[[#This Row],[분모]]*100,0)&amp;"%","-")</f>
        <v>-</v>
      </c>
      <c r="H104" s="56"/>
      <c r="I104" s="56" t="str">
        <f>IFERROR(ROUNDDOWN(표10[[#This Row],[최종배당'[1']]]/표10[[#This Row],[분모]]*100,0)&amp;"%","-")</f>
        <v>-</v>
      </c>
      <c r="J104" s="56"/>
      <c r="K104" s="56" t="str">
        <f>IFERROR(ROUNDDOWN(표10[[#This Row],[최종배당'[2']]]/표10[[#This Row],[분모]]*100,0)&amp;"%","-")</f>
        <v>-</v>
      </c>
      <c r="L104" s="56"/>
      <c r="M104" s="56" t="str">
        <f>IFERROR(ROUNDDOWN(표10[[#This Row],[최종배당'[3']]]/표10[[#This Row],[분모]]*100,0)&amp;"%","-")</f>
        <v>-</v>
      </c>
      <c r="N104" s="56"/>
      <c r="O104" s="56" t="str">
        <f>IFERROR(ROUNDDOWN(표10[[#This Row],[최종배당'[4']]]/표10[[#This Row],[분모]]*100,0)&amp;"%","-")</f>
        <v>-</v>
      </c>
      <c r="P104" s="56"/>
      <c r="Q104" s="56" t="str">
        <f>IFERROR(ROUNDDOWN(표10[[#This Row],[최종배당'[5']]]/표10[[#This Row],[분모]]*100,0)&amp;"%","-")</f>
        <v>-</v>
      </c>
      <c r="S104" s="56" t="str">
        <f>IFERROR(VLOOKUP(표7[발견물'[0']],표1[[명칭]:[등급]],4,FALSE),"-")&amp;"급"</f>
        <v>0급</v>
      </c>
      <c r="T104" s="56" t="str">
        <f>IFERROR(VLOOKUP(표7[발견물'[1']],표1[[명칭]:[등급]],4,FALSE),"-")&amp;"급"</f>
        <v>0급</v>
      </c>
      <c r="U104" s="56" t="str">
        <f>IFERROR(VLOOKUP(표7[발견물'[2']],표1[[명칭]:[등급]],4,FALSE),"-")&amp;"급"</f>
        <v>0급</v>
      </c>
      <c r="V104" s="56" t="str">
        <f>IFERROR(VLOOKUP(표7[발견물'[3']],표1[[명칭]:[등급]],4,FALSE),"-")&amp;"급"</f>
        <v>0급</v>
      </c>
      <c r="W104" s="56" t="str">
        <f>IFERROR(VLOOKUP(표7[발견물'[4']],표1[[명칭]:[등급]],4,FALSE),"-")&amp;"급"</f>
        <v>0급</v>
      </c>
      <c r="X104" s="56" t="str">
        <f>IFERROR(VLOOKUP(표7[발견물'[5']],표1[[명칭]:[등급]],4,FALSE),"-")&amp;"급"</f>
        <v>0급</v>
      </c>
      <c r="Y104" s="56" t="str">
        <f>IFERROR(INDEX([1]FishGrade!$I:$I,MATCH(표10[[#This Row],[등급'[0']]],[1]FishGrade!$B:$B,0)),"-")</f>
        <v>-</v>
      </c>
      <c r="Z104" s="56" t="str">
        <f>IFERROR(INDEX([1]FishGrade!$I:$I,MATCH(표10[[#This Row],[등급'[1']]],[1]FishGrade!$B:$B,0)),"-")</f>
        <v>-</v>
      </c>
      <c r="AA104" s="56" t="str">
        <f>IFERROR(INDEX([1]FishGrade!$I:$I,MATCH(표10[[#This Row],[등급'[2']]],[1]FishGrade!$B:$B,0)),"-")</f>
        <v>-</v>
      </c>
      <c r="AB104" s="56" t="str">
        <f>IFERROR(INDEX([1]FishGrade!$I:$I,MATCH(표10[[#This Row],[등급'[3']]],[1]FishGrade!$B:$B,0)),"-")</f>
        <v>-</v>
      </c>
      <c r="AC104" s="56" t="str">
        <f>IFERROR(INDEX([1]FishGrade!$I:$I,MATCH(표10[[#This Row],[등급'[4']]],[1]FishGrade!$B:$B,0)),"-")</f>
        <v>-</v>
      </c>
      <c r="AD104" s="56" t="str">
        <f>IFERROR(INDEX([1]FishGrade!$I:$I,MATCH(표10[[#This Row],[등급'[5']]],[1]FishGrade!$B:$B,0)),"-")</f>
        <v>-</v>
      </c>
      <c r="AE104" s="56">
        <f>IF([1]FishDiscoveryGroup!$I$8="-",0,[1]FishDiscoveryGroup!$I$8)</f>
        <v>0</v>
      </c>
      <c r="AF104" s="56">
        <f>IF([1]FishDiscoveryGroup!$I$8="-",0,[1]FishDiscoveryGroup!$L$8)</f>
        <v>0</v>
      </c>
      <c r="AG104" s="56">
        <f>IF([1]FishDiscoveryGroup!$I$8="-",0,[1]FishDiscoveryGroup!$O$8)</f>
        <v>0</v>
      </c>
      <c r="AH104" s="56">
        <f>IF([1]FishDiscoveryGroup!$I$8="-",0,[1]FishDiscoveryGroup!$R$8)</f>
        <v>0</v>
      </c>
      <c r="AI104" s="56">
        <f>IF([1]FishDiscoveryGroup!$I$8="-",0,[1]FishDiscoveryGroup!$U$8)</f>
        <v>0</v>
      </c>
      <c r="AJ104" s="56">
        <f>IF([1]FishDiscoveryGroup!$I$8="-",0,[1]FishDiscoveryGroup!$X$8)</f>
        <v>0</v>
      </c>
      <c r="AK104" s="56">
        <f>IF(표10[[#This Row],[배당'[0']]]="-",0,표10[[#This Row],[배당'[0']]])+표10[[#This Row],[PROB'[0']]]</f>
        <v>0</v>
      </c>
      <c r="AL104" s="56">
        <f>IF(표10[[#This Row],[배당'[1']]]="-",0,표10[[#This Row],[배당'[1']]])+표10[[#This Row],[PROB'[1']]]</f>
        <v>0</v>
      </c>
      <c r="AM104" s="56">
        <f>IF(표10[[#This Row],[배당'[2']]]="-",0,표10[[#This Row],[배당'[2']]])+표10[[#This Row],[PROB'[2']]]</f>
        <v>0</v>
      </c>
      <c r="AN104" s="56">
        <f>IF(표10[[#This Row],[배당'[3']]]="-",0,표10[[#This Row],[배당'[3']]])+표10[[#This Row],[PROB'[3']]]</f>
        <v>0</v>
      </c>
      <c r="AO104" s="56">
        <f>IF(표10[[#This Row],[배당'[4']]]="-",0,표10[[#This Row],[배당'[4']]])+표10[[#This Row],[PROB'[4']]]</f>
        <v>0</v>
      </c>
      <c r="AP104" s="56">
        <f>IF(표10[[#This Row],[배당'[5']]]="-",0,표10[[#This Row],[배당'[5']]])+표10[[#This Row],[PROB'[5']]]</f>
        <v>0</v>
      </c>
      <c r="AQ104" s="56">
        <f>SUM(표10[[#This Row],[최종배당'[0']]:[최종배당'[5']]])</f>
        <v>0</v>
      </c>
    </row>
    <row r="105" spans="2:43" x14ac:dyDescent="0.3">
      <c r="B105" s="56">
        <f>[1]FishOceanTile!B110</f>
        <v>0</v>
      </c>
      <c r="C105" s="56" t="str">
        <f>IFERROR(VLOOKUP(표7[[#This Row],[낚시 타일]],[3]!표1_67[[이름]:[선단 LV]],6,FALSE),"-")</f>
        <v>-</v>
      </c>
      <c r="D105" s="56" t="str">
        <f>IFERROR(VLOOKUP(표7[[#This Row],[낚시 타일]],[3]!표1_67[[이름]:[위도]],3,FALSE),"-")</f>
        <v>-</v>
      </c>
      <c r="E105" s="56" t="str">
        <f>IFERROR(VLOOKUP(표7[[#This Row],[낚시 타일]],[3]!표1_67[[이름]:[위도]],2,FALSE),"-")</f>
        <v>-</v>
      </c>
      <c r="F105" s="56"/>
      <c r="G105" s="56" t="str">
        <f>IFERROR(ROUNDDOWN(표10[[#This Row],[최종배당'[0']]]/표10[[#This Row],[분모]]*100,0)&amp;"%","-")</f>
        <v>-</v>
      </c>
      <c r="H105" s="56"/>
      <c r="I105" s="56" t="str">
        <f>IFERROR(ROUNDDOWN(표10[[#This Row],[최종배당'[1']]]/표10[[#This Row],[분모]]*100,0)&amp;"%","-")</f>
        <v>-</v>
      </c>
      <c r="J105" s="56"/>
      <c r="K105" s="56" t="str">
        <f>IFERROR(ROUNDDOWN(표10[[#This Row],[최종배당'[2']]]/표10[[#This Row],[분모]]*100,0)&amp;"%","-")</f>
        <v>-</v>
      </c>
      <c r="L105" s="56"/>
      <c r="M105" s="56" t="str">
        <f>IFERROR(ROUNDDOWN(표10[[#This Row],[최종배당'[3']]]/표10[[#This Row],[분모]]*100,0)&amp;"%","-")</f>
        <v>-</v>
      </c>
      <c r="N105" s="56"/>
      <c r="O105" s="56" t="str">
        <f>IFERROR(ROUNDDOWN(표10[[#This Row],[최종배당'[4']]]/표10[[#This Row],[분모]]*100,0)&amp;"%","-")</f>
        <v>-</v>
      </c>
      <c r="P105" s="56"/>
      <c r="Q105" s="56" t="str">
        <f>IFERROR(ROUNDDOWN(표10[[#This Row],[최종배당'[5']]]/표10[[#This Row],[분모]]*100,0)&amp;"%","-")</f>
        <v>-</v>
      </c>
      <c r="S105" s="56" t="str">
        <f>IFERROR(VLOOKUP(표7[발견물'[0']],표1[[명칭]:[등급]],4,FALSE),"-")&amp;"급"</f>
        <v>0급</v>
      </c>
      <c r="T105" s="56" t="str">
        <f>IFERROR(VLOOKUP(표7[발견물'[1']],표1[[명칭]:[등급]],4,FALSE),"-")&amp;"급"</f>
        <v>0급</v>
      </c>
      <c r="U105" s="56" t="str">
        <f>IFERROR(VLOOKUP(표7[발견물'[2']],표1[[명칭]:[등급]],4,FALSE),"-")&amp;"급"</f>
        <v>0급</v>
      </c>
      <c r="V105" s="56" t="str">
        <f>IFERROR(VLOOKUP(표7[발견물'[3']],표1[[명칭]:[등급]],4,FALSE),"-")&amp;"급"</f>
        <v>0급</v>
      </c>
      <c r="W105" s="56" t="str">
        <f>IFERROR(VLOOKUP(표7[발견물'[4']],표1[[명칭]:[등급]],4,FALSE),"-")&amp;"급"</f>
        <v>0급</v>
      </c>
      <c r="X105" s="56" t="str">
        <f>IFERROR(VLOOKUP(표7[발견물'[5']],표1[[명칭]:[등급]],4,FALSE),"-")&amp;"급"</f>
        <v>0급</v>
      </c>
      <c r="Y105" s="56" t="str">
        <f>IFERROR(INDEX([1]FishGrade!$I:$I,MATCH(표10[[#This Row],[등급'[0']]],[1]FishGrade!$B:$B,0)),"-")</f>
        <v>-</v>
      </c>
      <c r="Z105" s="56" t="str">
        <f>IFERROR(INDEX([1]FishGrade!$I:$I,MATCH(표10[[#This Row],[등급'[1']]],[1]FishGrade!$B:$B,0)),"-")</f>
        <v>-</v>
      </c>
      <c r="AA105" s="56" t="str">
        <f>IFERROR(INDEX([1]FishGrade!$I:$I,MATCH(표10[[#This Row],[등급'[2']]],[1]FishGrade!$B:$B,0)),"-")</f>
        <v>-</v>
      </c>
      <c r="AB105" s="56" t="str">
        <f>IFERROR(INDEX([1]FishGrade!$I:$I,MATCH(표10[[#This Row],[등급'[3']]],[1]FishGrade!$B:$B,0)),"-")</f>
        <v>-</v>
      </c>
      <c r="AC105" s="56" t="str">
        <f>IFERROR(INDEX([1]FishGrade!$I:$I,MATCH(표10[[#This Row],[등급'[4']]],[1]FishGrade!$B:$B,0)),"-")</f>
        <v>-</v>
      </c>
      <c r="AD105" s="56" t="str">
        <f>IFERROR(INDEX([1]FishGrade!$I:$I,MATCH(표10[[#This Row],[등급'[5']]],[1]FishGrade!$B:$B,0)),"-")</f>
        <v>-</v>
      </c>
      <c r="AE105" s="56">
        <f>IF([1]FishDiscoveryGroup!$I$8="-",0,[1]FishDiscoveryGroup!$I$8)</f>
        <v>0</v>
      </c>
      <c r="AF105" s="56">
        <f>IF([1]FishDiscoveryGroup!$I$8="-",0,[1]FishDiscoveryGroup!$L$8)</f>
        <v>0</v>
      </c>
      <c r="AG105" s="56">
        <f>IF([1]FishDiscoveryGroup!$I$8="-",0,[1]FishDiscoveryGroup!$O$8)</f>
        <v>0</v>
      </c>
      <c r="AH105" s="56">
        <f>IF([1]FishDiscoveryGroup!$I$8="-",0,[1]FishDiscoveryGroup!$R$8)</f>
        <v>0</v>
      </c>
      <c r="AI105" s="56">
        <f>IF([1]FishDiscoveryGroup!$I$8="-",0,[1]FishDiscoveryGroup!$U$8)</f>
        <v>0</v>
      </c>
      <c r="AJ105" s="56">
        <f>IF([1]FishDiscoveryGroup!$I$8="-",0,[1]FishDiscoveryGroup!$X$8)</f>
        <v>0</v>
      </c>
      <c r="AK105" s="56">
        <f>IF(표10[[#This Row],[배당'[0']]]="-",0,표10[[#This Row],[배당'[0']]])+표10[[#This Row],[PROB'[0']]]</f>
        <v>0</v>
      </c>
      <c r="AL105" s="56">
        <f>IF(표10[[#This Row],[배당'[1']]]="-",0,표10[[#This Row],[배당'[1']]])+표10[[#This Row],[PROB'[1']]]</f>
        <v>0</v>
      </c>
      <c r="AM105" s="56">
        <f>IF(표10[[#This Row],[배당'[2']]]="-",0,표10[[#This Row],[배당'[2']]])+표10[[#This Row],[PROB'[2']]]</f>
        <v>0</v>
      </c>
      <c r="AN105" s="56">
        <f>IF(표10[[#This Row],[배당'[3']]]="-",0,표10[[#This Row],[배당'[3']]])+표10[[#This Row],[PROB'[3']]]</f>
        <v>0</v>
      </c>
      <c r="AO105" s="56">
        <f>IF(표10[[#This Row],[배당'[4']]]="-",0,표10[[#This Row],[배당'[4']]])+표10[[#This Row],[PROB'[4']]]</f>
        <v>0</v>
      </c>
      <c r="AP105" s="56">
        <f>IF(표10[[#This Row],[배당'[5']]]="-",0,표10[[#This Row],[배당'[5']]])+표10[[#This Row],[PROB'[5']]]</f>
        <v>0</v>
      </c>
      <c r="AQ105" s="56">
        <f>SUM(표10[[#This Row],[최종배당'[0']]:[최종배당'[5']]])</f>
        <v>0</v>
      </c>
    </row>
    <row r="106" spans="2:43" x14ac:dyDescent="0.3">
      <c r="B106" s="56">
        <f>[1]FishOceanTile!B111</f>
        <v>0</v>
      </c>
      <c r="C106" s="56" t="str">
        <f>IFERROR(VLOOKUP(표7[[#This Row],[낚시 타일]],[3]!표1_67[[이름]:[선단 LV]],6,FALSE),"-")</f>
        <v>-</v>
      </c>
      <c r="D106" s="56" t="str">
        <f>IFERROR(VLOOKUP(표7[[#This Row],[낚시 타일]],[3]!표1_67[[이름]:[위도]],3,FALSE),"-")</f>
        <v>-</v>
      </c>
      <c r="E106" s="56" t="str">
        <f>IFERROR(VLOOKUP(표7[[#This Row],[낚시 타일]],[3]!표1_67[[이름]:[위도]],2,FALSE),"-")</f>
        <v>-</v>
      </c>
      <c r="F106" s="56"/>
      <c r="G106" s="56" t="str">
        <f>IFERROR(ROUNDDOWN(표10[[#This Row],[최종배당'[0']]]/표10[[#This Row],[분모]]*100,0)&amp;"%","-")</f>
        <v>-</v>
      </c>
      <c r="H106" s="56"/>
      <c r="I106" s="56" t="str">
        <f>IFERROR(ROUNDDOWN(표10[[#This Row],[최종배당'[1']]]/표10[[#This Row],[분모]]*100,0)&amp;"%","-")</f>
        <v>-</v>
      </c>
      <c r="J106" s="56"/>
      <c r="K106" s="56" t="str">
        <f>IFERROR(ROUNDDOWN(표10[[#This Row],[최종배당'[2']]]/표10[[#This Row],[분모]]*100,0)&amp;"%","-")</f>
        <v>-</v>
      </c>
      <c r="L106" s="56"/>
      <c r="M106" s="56" t="str">
        <f>IFERROR(ROUNDDOWN(표10[[#This Row],[최종배당'[3']]]/표10[[#This Row],[분모]]*100,0)&amp;"%","-")</f>
        <v>-</v>
      </c>
      <c r="N106" s="56"/>
      <c r="O106" s="56" t="str">
        <f>IFERROR(ROUNDDOWN(표10[[#This Row],[최종배당'[4']]]/표10[[#This Row],[분모]]*100,0)&amp;"%","-")</f>
        <v>-</v>
      </c>
      <c r="P106" s="56"/>
      <c r="Q106" s="56" t="str">
        <f>IFERROR(ROUNDDOWN(표10[[#This Row],[최종배당'[5']]]/표10[[#This Row],[분모]]*100,0)&amp;"%","-")</f>
        <v>-</v>
      </c>
      <c r="S106" s="56" t="str">
        <f>IFERROR(VLOOKUP(표7[발견물'[0']],표1[[명칭]:[등급]],4,FALSE),"-")&amp;"급"</f>
        <v>0급</v>
      </c>
      <c r="T106" s="56" t="str">
        <f>IFERROR(VLOOKUP(표7[발견물'[1']],표1[[명칭]:[등급]],4,FALSE),"-")&amp;"급"</f>
        <v>0급</v>
      </c>
      <c r="U106" s="56" t="str">
        <f>IFERROR(VLOOKUP(표7[발견물'[2']],표1[[명칭]:[등급]],4,FALSE),"-")&amp;"급"</f>
        <v>0급</v>
      </c>
      <c r="V106" s="56" t="str">
        <f>IFERROR(VLOOKUP(표7[발견물'[3']],표1[[명칭]:[등급]],4,FALSE),"-")&amp;"급"</f>
        <v>0급</v>
      </c>
      <c r="W106" s="56" t="str">
        <f>IFERROR(VLOOKUP(표7[발견물'[4']],표1[[명칭]:[등급]],4,FALSE),"-")&amp;"급"</f>
        <v>0급</v>
      </c>
      <c r="X106" s="56" t="str">
        <f>IFERROR(VLOOKUP(표7[발견물'[5']],표1[[명칭]:[등급]],4,FALSE),"-")&amp;"급"</f>
        <v>0급</v>
      </c>
      <c r="Y106" s="56" t="str">
        <f>IFERROR(INDEX([1]FishGrade!$I:$I,MATCH(표10[[#This Row],[등급'[0']]],[1]FishGrade!$B:$B,0)),"-")</f>
        <v>-</v>
      </c>
      <c r="Z106" s="56" t="str">
        <f>IFERROR(INDEX([1]FishGrade!$I:$I,MATCH(표10[[#This Row],[등급'[1']]],[1]FishGrade!$B:$B,0)),"-")</f>
        <v>-</v>
      </c>
      <c r="AA106" s="56" t="str">
        <f>IFERROR(INDEX([1]FishGrade!$I:$I,MATCH(표10[[#This Row],[등급'[2']]],[1]FishGrade!$B:$B,0)),"-")</f>
        <v>-</v>
      </c>
      <c r="AB106" s="56" t="str">
        <f>IFERROR(INDEX([1]FishGrade!$I:$I,MATCH(표10[[#This Row],[등급'[3']]],[1]FishGrade!$B:$B,0)),"-")</f>
        <v>-</v>
      </c>
      <c r="AC106" s="56" t="str">
        <f>IFERROR(INDEX([1]FishGrade!$I:$I,MATCH(표10[[#This Row],[등급'[4']]],[1]FishGrade!$B:$B,0)),"-")</f>
        <v>-</v>
      </c>
      <c r="AD106" s="56" t="str">
        <f>IFERROR(INDEX([1]FishGrade!$I:$I,MATCH(표10[[#This Row],[등급'[5']]],[1]FishGrade!$B:$B,0)),"-")</f>
        <v>-</v>
      </c>
      <c r="AE106" s="56">
        <f>IF([1]FishDiscoveryGroup!$I$8="-",0,[1]FishDiscoveryGroup!$I$8)</f>
        <v>0</v>
      </c>
      <c r="AF106" s="56">
        <f>IF([1]FishDiscoveryGroup!$I$8="-",0,[1]FishDiscoveryGroup!$L$8)</f>
        <v>0</v>
      </c>
      <c r="AG106" s="56">
        <f>IF([1]FishDiscoveryGroup!$I$8="-",0,[1]FishDiscoveryGroup!$O$8)</f>
        <v>0</v>
      </c>
      <c r="AH106" s="56">
        <f>IF([1]FishDiscoveryGroup!$I$8="-",0,[1]FishDiscoveryGroup!$R$8)</f>
        <v>0</v>
      </c>
      <c r="AI106" s="56">
        <f>IF([1]FishDiscoveryGroup!$I$8="-",0,[1]FishDiscoveryGroup!$U$8)</f>
        <v>0</v>
      </c>
      <c r="AJ106" s="56">
        <f>IF([1]FishDiscoveryGroup!$I$8="-",0,[1]FishDiscoveryGroup!$X$8)</f>
        <v>0</v>
      </c>
      <c r="AK106" s="56">
        <f>IF(표10[[#This Row],[배당'[0']]]="-",0,표10[[#This Row],[배당'[0']]])+표10[[#This Row],[PROB'[0']]]</f>
        <v>0</v>
      </c>
      <c r="AL106" s="56">
        <f>IF(표10[[#This Row],[배당'[1']]]="-",0,표10[[#This Row],[배당'[1']]])+표10[[#This Row],[PROB'[1']]]</f>
        <v>0</v>
      </c>
      <c r="AM106" s="56">
        <f>IF(표10[[#This Row],[배당'[2']]]="-",0,표10[[#This Row],[배당'[2']]])+표10[[#This Row],[PROB'[2']]]</f>
        <v>0</v>
      </c>
      <c r="AN106" s="56">
        <f>IF(표10[[#This Row],[배당'[3']]]="-",0,표10[[#This Row],[배당'[3']]])+표10[[#This Row],[PROB'[3']]]</f>
        <v>0</v>
      </c>
      <c r="AO106" s="56">
        <f>IF(표10[[#This Row],[배당'[4']]]="-",0,표10[[#This Row],[배당'[4']]])+표10[[#This Row],[PROB'[4']]]</f>
        <v>0</v>
      </c>
      <c r="AP106" s="56">
        <f>IF(표10[[#This Row],[배당'[5']]]="-",0,표10[[#This Row],[배당'[5']]])+표10[[#This Row],[PROB'[5']]]</f>
        <v>0</v>
      </c>
      <c r="AQ106" s="56">
        <f>SUM(표10[[#This Row],[최종배당'[0']]:[최종배당'[5']]])</f>
        <v>0</v>
      </c>
    </row>
    <row r="107" spans="2:43" x14ac:dyDescent="0.3">
      <c r="B107" s="56">
        <f>[1]FishOceanTile!B112</f>
        <v>0</v>
      </c>
      <c r="C107" s="56" t="str">
        <f>IFERROR(VLOOKUP(표7[[#This Row],[낚시 타일]],[3]!표1_67[[이름]:[선단 LV]],6,FALSE),"-")</f>
        <v>-</v>
      </c>
      <c r="D107" s="56" t="str">
        <f>IFERROR(VLOOKUP(표7[[#This Row],[낚시 타일]],[3]!표1_67[[이름]:[위도]],3,FALSE),"-")</f>
        <v>-</v>
      </c>
      <c r="E107" s="56" t="str">
        <f>IFERROR(VLOOKUP(표7[[#This Row],[낚시 타일]],[3]!표1_67[[이름]:[위도]],2,FALSE),"-")</f>
        <v>-</v>
      </c>
      <c r="F107" s="56"/>
      <c r="G107" s="56" t="str">
        <f>IFERROR(ROUNDDOWN(표10[[#This Row],[최종배당'[0']]]/표10[[#This Row],[분모]]*100,0)&amp;"%","-")</f>
        <v>-</v>
      </c>
      <c r="H107" s="56"/>
      <c r="I107" s="56" t="str">
        <f>IFERROR(ROUNDDOWN(표10[[#This Row],[최종배당'[1']]]/표10[[#This Row],[분모]]*100,0)&amp;"%","-")</f>
        <v>-</v>
      </c>
      <c r="J107" s="56"/>
      <c r="K107" s="56" t="str">
        <f>IFERROR(ROUNDDOWN(표10[[#This Row],[최종배당'[2']]]/표10[[#This Row],[분모]]*100,0)&amp;"%","-")</f>
        <v>-</v>
      </c>
      <c r="L107" s="56"/>
      <c r="M107" s="56" t="str">
        <f>IFERROR(ROUNDDOWN(표10[[#This Row],[최종배당'[3']]]/표10[[#This Row],[분모]]*100,0)&amp;"%","-")</f>
        <v>-</v>
      </c>
      <c r="N107" s="56"/>
      <c r="O107" s="56" t="str">
        <f>IFERROR(ROUNDDOWN(표10[[#This Row],[최종배당'[4']]]/표10[[#This Row],[분모]]*100,0)&amp;"%","-")</f>
        <v>-</v>
      </c>
      <c r="P107" s="56"/>
      <c r="Q107" s="56" t="str">
        <f>IFERROR(ROUNDDOWN(표10[[#This Row],[최종배당'[5']]]/표10[[#This Row],[분모]]*100,0)&amp;"%","-")</f>
        <v>-</v>
      </c>
      <c r="S107" s="56" t="str">
        <f>IFERROR(VLOOKUP(표7[발견물'[0']],표1[[명칭]:[등급]],4,FALSE),"-")&amp;"급"</f>
        <v>0급</v>
      </c>
      <c r="T107" s="56" t="str">
        <f>IFERROR(VLOOKUP(표7[발견물'[1']],표1[[명칭]:[등급]],4,FALSE),"-")&amp;"급"</f>
        <v>0급</v>
      </c>
      <c r="U107" s="56" t="str">
        <f>IFERROR(VLOOKUP(표7[발견물'[2']],표1[[명칭]:[등급]],4,FALSE),"-")&amp;"급"</f>
        <v>0급</v>
      </c>
      <c r="V107" s="56" t="str">
        <f>IFERROR(VLOOKUP(표7[발견물'[3']],표1[[명칭]:[등급]],4,FALSE),"-")&amp;"급"</f>
        <v>0급</v>
      </c>
      <c r="W107" s="56" t="str">
        <f>IFERROR(VLOOKUP(표7[발견물'[4']],표1[[명칭]:[등급]],4,FALSE),"-")&amp;"급"</f>
        <v>0급</v>
      </c>
      <c r="X107" s="56" t="str">
        <f>IFERROR(VLOOKUP(표7[발견물'[5']],표1[[명칭]:[등급]],4,FALSE),"-")&amp;"급"</f>
        <v>0급</v>
      </c>
      <c r="Y107" s="56" t="str">
        <f>IFERROR(INDEX([1]FishGrade!$I:$I,MATCH(표10[[#This Row],[등급'[0']]],[1]FishGrade!$B:$B,0)),"-")</f>
        <v>-</v>
      </c>
      <c r="Z107" s="56" t="str">
        <f>IFERROR(INDEX([1]FishGrade!$I:$I,MATCH(표10[[#This Row],[등급'[1']]],[1]FishGrade!$B:$B,0)),"-")</f>
        <v>-</v>
      </c>
      <c r="AA107" s="56" t="str">
        <f>IFERROR(INDEX([1]FishGrade!$I:$I,MATCH(표10[[#This Row],[등급'[2']]],[1]FishGrade!$B:$B,0)),"-")</f>
        <v>-</v>
      </c>
      <c r="AB107" s="56" t="str">
        <f>IFERROR(INDEX([1]FishGrade!$I:$I,MATCH(표10[[#This Row],[등급'[3']]],[1]FishGrade!$B:$B,0)),"-")</f>
        <v>-</v>
      </c>
      <c r="AC107" s="56" t="str">
        <f>IFERROR(INDEX([1]FishGrade!$I:$I,MATCH(표10[[#This Row],[등급'[4']]],[1]FishGrade!$B:$B,0)),"-")</f>
        <v>-</v>
      </c>
      <c r="AD107" s="56" t="str">
        <f>IFERROR(INDEX([1]FishGrade!$I:$I,MATCH(표10[[#This Row],[등급'[5']]],[1]FishGrade!$B:$B,0)),"-")</f>
        <v>-</v>
      </c>
      <c r="AE107" s="56">
        <f>IF([1]FishDiscoveryGroup!$I$8="-",0,[1]FishDiscoveryGroup!$I$8)</f>
        <v>0</v>
      </c>
      <c r="AF107" s="56">
        <f>IF([1]FishDiscoveryGroup!$I$8="-",0,[1]FishDiscoveryGroup!$L$8)</f>
        <v>0</v>
      </c>
      <c r="AG107" s="56">
        <f>IF([1]FishDiscoveryGroup!$I$8="-",0,[1]FishDiscoveryGroup!$O$8)</f>
        <v>0</v>
      </c>
      <c r="AH107" s="56">
        <f>IF([1]FishDiscoveryGroup!$I$8="-",0,[1]FishDiscoveryGroup!$R$8)</f>
        <v>0</v>
      </c>
      <c r="AI107" s="56">
        <f>IF([1]FishDiscoveryGroup!$I$8="-",0,[1]FishDiscoveryGroup!$U$8)</f>
        <v>0</v>
      </c>
      <c r="AJ107" s="56">
        <f>IF([1]FishDiscoveryGroup!$I$8="-",0,[1]FishDiscoveryGroup!$X$8)</f>
        <v>0</v>
      </c>
      <c r="AK107" s="56">
        <f>IF(표10[[#This Row],[배당'[0']]]="-",0,표10[[#This Row],[배당'[0']]])+표10[[#This Row],[PROB'[0']]]</f>
        <v>0</v>
      </c>
      <c r="AL107" s="56">
        <f>IF(표10[[#This Row],[배당'[1']]]="-",0,표10[[#This Row],[배당'[1']]])+표10[[#This Row],[PROB'[1']]]</f>
        <v>0</v>
      </c>
      <c r="AM107" s="56">
        <f>IF(표10[[#This Row],[배당'[2']]]="-",0,표10[[#This Row],[배당'[2']]])+표10[[#This Row],[PROB'[2']]]</f>
        <v>0</v>
      </c>
      <c r="AN107" s="56">
        <f>IF(표10[[#This Row],[배당'[3']]]="-",0,표10[[#This Row],[배당'[3']]])+표10[[#This Row],[PROB'[3']]]</f>
        <v>0</v>
      </c>
      <c r="AO107" s="56">
        <f>IF(표10[[#This Row],[배당'[4']]]="-",0,표10[[#This Row],[배당'[4']]])+표10[[#This Row],[PROB'[4']]]</f>
        <v>0</v>
      </c>
      <c r="AP107" s="56">
        <f>IF(표10[[#This Row],[배당'[5']]]="-",0,표10[[#This Row],[배당'[5']]])+표10[[#This Row],[PROB'[5']]]</f>
        <v>0</v>
      </c>
      <c r="AQ107" s="56">
        <f>SUM(표10[[#This Row],[최종배당'[0']]:[최종배당'[5']]])</f>
        <v>0</v>
      </c>
    </row>
    <row r="108" spans="2:43" x14ac:dyDescent="0.3">
      <c r="B108" s="56">
        <f>[1]FishOceanTile!B113</f>
        <v>0</v>
      </c>
      <c r="C108" s="56" t="str">
        <f>IFERROR(VLOOKUP(표7[[#This Row],[낚시 타일]],[3]!표1_67[[이름]:[선단 LV]],6,FALSE),"-")</f>
        <v>-</v>
      </c>
      <c r="D108" s="56" t="str">
        <f>IFERROR(VLOOKUP(표7[[#This Row],[낚시 타일]],[3]!표1_67[[이름]:[위도]],3,FALSE),"-")</f>
        <v>-</v>
      </c>
      <c r="E108" s="56" t="str">
        <f>IFERROR(VLOOKUP(표7[[#This Row],[낚시 타일]],[3]!표1_67[[이름]:[위도]],2,FALSE),"-")</f>
        <v>-</v>
      </c>
      <c r="F108" s="56"/>
      <c r="G108" s="56" t="str">
        <f>IFERROR(ROUNDDOWN(표10[[#This Row],[최종배당'[0']]]/표10[[#This Row],[분모]]*100,0)&amp;"%","-")</f>
        <v>-</v>
      </c>
      <c r="H108" s="56"/>
      <c r="I108" s="56" t="str">
        <f>IFERROR(ROUNDDOWN(표10[[#This Row],[최종배당'[1']]]/표10[[#This Row],[분모]]*100,0)&amp;"%","-")</f>
        <v>-</v>
      </c>
      <c r="J108" s="56"/>
      <c r="K108" s="56" t="str">
        <f>IFERROR(ROUNDDOWN(표10[[#This Row],[최종배당'[2']]]/표10[[#This Row],[분모]]*100,0)&amp;"%","-")</f>
        <v>-</v>
      </c>
      <c r="L108" s="56"/>
      <c r="M108" s="56" t="str">
        <f>IFERROR(ROUNDDOWN(표10[[#This Row],[최종배당'[3']]]/표10[[#This Row],[분모]]*100,0)&amp;"%","-")</f>
        <v>-</v>
      </c>
      <c r="N108" s="56"/>
      <c r="O108" s="56" t="str">
        <f>IFERROR(ROUNDDOWN(표10[[#This Row],[최종배당'[4']]]/표10[[#This Row],[분모]]*100,0)&amp;"%","-")</f>
        <v>-</v>
      </c>
      <c r="P108" s="56"/>
      <c r="Q108" s="56" t="str">
        <f>IFERROR(ROUNDDOWN(표10[[#This Row],[최종배당'[5']]]/표10[[#This Row],[분모]]*100,0)&amp;"%","-")</f>
        <v>-</v>
      </c>
      <c r="S108" s="56" t="str">
        <f>IFERROR(VLOOKUP(표7[발견물'[0']],표1[[명칭]:[등급]],4,FALSE),"-")&amp;"급"</f>
        <v>0급</v>
      </c>
      <c r="T108" s="56" t="str">
        <f>IFERROR(VLOOKUP(표7[발견물'[1']],표1[[명칭]:[등급]],4,FALSE),"-")&amp;"급"</f>
        <v>0급</v>
      </c>
      <c r="U108" s="56" t="str">
        <f>IFERROR(VLOOKUP(표7[발견물'[2']],표1[[명칭]:[등급]],4,FALSE),"-")&amp;"급"</f>
        <v>0급</v>
      </c>
      <c r="V108" s="56" t="str">
        <f>IFERROR(VLOOKUP(표7[발견물'[3']],표1[[명칭]:[등급]],4,FALSE),"-")&amp;"급"</f>
        <v>0급</v>
      </c>
      <c r="W108" s="56" t="str">
        <f>IFERROR(VLOOKUP(표7[발견물'[4']],표1[[명칭]:[등급]],4,FALSE),"-")&amp;"급"</f>
        <v>0급</v>
      </c>
      <c r="X108" s="56" t="str">
        <f>IFERROR(VLOOKUP(표7[발견물'[5']],표1[[명칭]:[등급]],4,FALSE),"-")&amp;"급"</f>
        <v>0급</v>
      </c>
      <c r="Y108" s="56" t="str">
        <f>IFERROR(INDEX([1]FishGrade!$I:$I,MATCH(표10[[#This Row],[등급'[0']]],[1]FishGrade!$B:$B,0)),"-")</f>
        <v>-</v>
      </c>
      <c r="Z108" s="56" t="str">
        <f>IFERROR(INDEX([1]FishGrade!$I:$I,MATCH(표10[[#This Row],[등급'[1']]],[1]FishGrade!$B:$B,0)),"-")</f>
        <v>-</v>
      </c>
      <c r="AA108" s="56" t="str">
        <f>IFERROR(INDEX([1]FishGrade!$I:$I,MATCH(표10[[#This Row],[등급'[2']]],[1]FishGrade!$B:$B,0)),"-")</f>
        <v>-</v>
      </c>
      <c r="AB108" s="56" t="str">
        <f>IFERROR(INDEX([1]FishGrade!$I:$I,MATCH(표10[[#This Row],[등급'[3']]],[1]FishGrade!$B:$B,0)),"-")</f>
        <v>-</v>
      </c>
      <c r="AC108" s="56" t="str">
        <f>IFERROR(INDEX([1]FishGrade!$I:$I,MATCH(표10[[#This Row],[등급'[4']]],[1]FishGrade!$B:$B,0)),"-")</f>
        <v>-</v>
      </c>
      <c r="AD108" s="56" t="str">
        <f>IFERROR(INDEX([1]FishGrade!$I:$I,MATCH(표10[[#This Row],[등급'[5']]],[1]FishGrade!$B:$B,0)),"-")</f>
        <v>-</v>
      </c>
      <c r="AE108" s="56">
        <f>IF([1]FishDiscoveryGroup!$I$8="-",0,[1]FishDiscoveryGroup!$I$8)</f>
        <v>0</v>
      </c>
      <c r="AF108" s="56">
        <f>IF([1]FishDiscoveryGroup!$I$8="-",0,[1]FishDiscoveryGroup!$L$8)</f>
        <v>0</v>
      </c>
      <c r="AG108" s="56">
        <f>IF([1]FishDiscoveryGroup!$I$8="-",0,[1]FishDiscoveryGroup!$O$8)</f>
        <v>0</v>
      </c>
      <c r="AH108" s="56">
        <f>IF([1]FishDiscoveryGroup!$I$8="-",0,[1]FishDiscoveryGroup!$R$8)</f>
        <v>0</v>
      </c>
      <c r="AI108" s="56">
        <f>IF([1]FishDiscoveryGroup!$I$8="-",0,[1]FishDiscoveryGroup!$U$8)</f>
        <v>0</v>
      </c>
      <c r="AJ108" s="56">
        <f>IF([1]FishDiscoveryGroup!$I$8="-",0,[1]FishDiscoveryGroup!$X$8)</f>
        <v>0</v>
      </c>
      <c r="AK108" s="56">
        <f>IF(표10[[#This Row],[배당'[0']]]="-",0,표10[[#This Row],[배당'[0']]])+표10[[#This Row],[PROB'[0']]]</f>
        <v>0</v>
      </c>
      <c r="AL108" s="56">
        <f>IF(표10[[#This Row],[배당'[1']]]="-",0,표10[[#This Row],[배당'[1']]])+표10[[#This Row],[PROB'[1']]]</f>
        <v>0</v>
      </c>
      <c r="AM108" s="56">
        <f>IF(표10[[#This Row],[배당'[2']]]="-",0,표10[[#This Row],[배당'[2']]])+표10[[#This Row],[PROB'[2']]]</f>
        <v>0</v>
      </c>
      <c r="AN108" s="56">
        <f>IF(표10[[#This Row],[배당'[3']]]="-",0,표10[[#This Row],[배당'[3']]])+표10[[#This Row],[PROB'[3']]]</f>
        <v>0</v>
      </c>
      <c r="AO108" s="56">
        <f>IF(표10[[#This Row],[배당'[4']]]="-",0,표10[[#This Row],[배당'[4']]])+표10[[#This Row],[PROB'[4']]]</f>
        <v>0</v>
      </c>
      <c r="AP108" s="56">
        <f>IF(표10[[#This Row],[배당'[5']]]="-",0,표10[[#This Row],[배당'[5']]])+표10[[#This Row],[PROB'[5']]]</f>
        <v>0</v>
      </c>
      <c r="AQ108" s="56">
        <f>SUM(표10[[#This Row],[최종배당'[0']]:[최종배당'[5']]])</f>
        <v>0</v>
      </c>
    </row>
    <row r="109" spans="2:43" x14ac:dyDescent="0.3">
      <c r="B109" s="56">
        <f>[1]FishOceanTile!B114</f>
        <v>0</v>
      </c>
      <c r="C109" s="56" t="str">
        <f>IFERROR(VLOOKUP(표7[[#This Row],[낚시 타일]],[3]!표1_67[[이름]:[선단 LV]],6,FALSE),"-")</f>
        <v>-</v>
      </c>
      <c r="D109" s="56" t="str">
        <f>IFERROR(VLOOKUP(표7[[#This Row],[낚시 타일]],[3]!표1_67[[이름]:[위도]],3,FALSE),"-")</f>
        <v>-</v>
      </c>
      <c r="E109" s="56" t="str">
        <f>IFERROR(VLOOKUP(표7[[#This Row],[낚시 타일]],[3]!표1_67[[이름]:[위도]],2,FALSE),"-")</f>
        <v>-</v>
      </c>
      <c r="F109" s="56"/>
      <c r="G109" s="56" t="str">
        <f>IFERROR(ROUNDDOWN(표10[[#This Row],[최종배당'[0']]]/표10[[#This Row],[분모]]*100,0)&amp;"%","-")</f>
        <v>-</v>
      </c>
      <c r="H109" s="56"/>
      <c r="I109" s="56" t="str">
        <f>IFERROR(ROUNDDOWN(표10[[#This Row],[최종배당'[1']]]/표10[[#This Row],[분모]]*100,0)&amp;"%","-")</f>
        <v>-</v>
      </c>
      <c r="J109" s="56"/>
      <c r="K109" s="56" t="str">
        <f>IFERROR(ROUNDDOWN(표10[[#This Row],[최종배당'[2']]]/표10[[#This Row],[분모]]*100,0)&amp;"%","-")</f>
        <v>-</v>
      </c>
      <c r="L109" s="56"/>
      <c r="M109" s="56" t="str">
        <f>IFERROR(ROUNDDOWN(표10[[#This Row],[최종배당'[3']]]/표10[[#This Row],[분모]]*100,0)&amp;"%","-")</f>
        <v>-</v>
      </c>
      <c r="N109" s="56"/>
      <c r="O109" s="56" t="str">
        <f>IFERROR(ROUNDDOWN(표10[[#This Row],[최종배당'[4']]]/표10[[#This Row],[분모]]*100,0)&amp;"%","-")</f>
        <v>-</v>
      </c>
      <c r="P109" s="56"/>
      <c r="Q109" s="56" t="str">
        <f>IFERROR(ROUNDDOWN(표10[[#This Row],[최종배당'[5']]]/표10[[#This Row],[분모]]*100,0)&amp;"%","-")</f>
        <v>-</v>
      </c>
      <c r="S109" s="56" t="str">
        <f>IFERROR(VLOOKUP(표7[발견물'[0']],표1[[명칭]:[등급]],4,FALSE),"-")&amp;"급"</f>
        <v>0급</v>
      </c>
      <c r="T109" s="56" t="str">
        <f>IFERROR(VLOOKUP(표7[발견물'[1']],표1[[명칭]:[등급]],4,FALSE),"-")&amp;"급"</f>
        <v>0급</v>
      </c>
      <c r="U109" s="56" t="str">
        <f>IFERROR(VLOOKUP(표7[발견물'[2']],표1[[명칭]:[등급]],4,FALSE),"-")&amp;"급"</f>
        <v>0급</v>
      </c>
      <c r="V109" s="56" t="str">
        <f>IFERROR(VLOOKUP(표7[발견물'[3']],표1[[명칭]:[등급]],4,FALSE),"-")&amp;"급"</f>
        <v>0급</v>
      </c>
      <c r="W109" s="56" t="str">
        <f>IFERROR(VLOOKUP(표7[발견물'[4']],표1[[명칭]:[등급]],4,FALSE),"-")&amp;"급"</f>
        <v>0급</v>
      </c>
      <c r="X109" s="56" t="str">
        <f>IFERROR(VLOOKUP(표7[발견물'[5']],표1[[명칭]:[등급]],4,FALSE),"-")&amp;"급"</f>
        <v>0급</v>
      </c>
      <c r="Y109" s="56" t="str">
        <f>IFERROR(INDEX([1]FishGrade!$I:$I,MATCH(표10[[#This Row],[등급'[0']]],[1]FishGrade!$B:$B,0)),"-")</f>
        <v>-</v>
      </c>
      <c r="Z109" s="56" t="str">
        <f>IFERROR(INDEX([1]FishGrade!$I:$I,MATCH(표10[[#This Row],[등급'[1']]],[1]FishGrade!$B:$B,0)),"-")</f>
        <v>-</v>
      </c>
      <c r="AA109" s="56" t="str">
        <f>IFERROR(INDEX([1]FishGrade!$I:$I,MATCH(표10[[#This Row],[등급'[2']]],[1]FishGrade!$B:$B,0)),"-")</f>
        <v>-</v>
      </c>
      <c r="AB109" s="56" t="str">
        <f>IFERROR(INDEX([1]FishGrade!$I:$I,MATCH(표10[[#This Row],[등급'[3']]],[1]FishGrade!$B:$B,0)),"-")</f>
        <v>-</v>
      </c>
      <c r="AC109" s="56" t="str">
        <f>IFERROR(INDEX([1]FishGrade!$I:$I,MATCH(표10[[#This Row],[등급'[4']]],[1]FishGrade!$B:$B,0)),"-")</f>
        <v>-</v>
      </c>
      <c r="AD109" s="56" t="str">
        <f>IFERROR(INDEX([1]FishGrade!$I:$I,MATCH(표10[[#This Row],[등급'[5']]],[1]FishGrade!$B:$B,0)),"-")</f>
        <v>-</v>
      </c>
      <c r="AE109" s="56">
        <f>IF([1]FishDiscoveryGroup!$I$8="-",0,[1]FishDiscoveryGroup!$I$8)</f>
        <v>0</v>
      </c>
      <c r="AF109" s="56">
        <f>IF([1]FishDiscoveryGroup!$I$8="-",0,[1]FishDiscoveryGroup!$L$8)</f>
        <v>0</v>
      </c>
      <c r="AG109" s="56">
        <f>IF([1]FishDiscoveryGroup!$I$8="-",0,[1]FishDiscoveryGroup!$O$8)</f>
        <v>0</v>
      </c>
      <c r="AH109" s="56">
        <f>IF([1]FishDiscoveryGroup!$I$8="-",0,[1]FishDiscoveryGroup!$R$8)</f>
        <v>0</v>
      </c>
      <c r="AI109" s="56">
        <f>IF([1]FishDiscoveryGroup!$I$8="-",0,[1]FishDiscoveryGroup!$U$8)</f>
        <v>0</v>
      </c>
      <c r="AJ109" s="56">
        <f>IF([1]FishDiscoveryGroup!$I$8="-",0,[1]FishDiscoveryGroup!$X$8)</f>
        <v>0</v>
      </c>
      <c r="AK109" s="56">
        <f>IF(표10[[#This Row],[배당'[0']]]="-",0,표10[[#This Row],[배당'[0']]])+표10[[#This Row],[PROB'[0']]]</f>
        <v>0</v>
      </c>
      <c r="AL109" s="56">
        <f>IF(표10[[#This Row],[배당'[1']]]="-",0,표10[[#This Row],[배당'[1']]])+표10[[#This Row],[PROB'[1']]]</f>
        <v>0</v>
      </c>
      <c r="AM109" s="56">
        <f>IF(표10[[#This Row],[배당'[2']]]="-",0,표10[[#This Row],[배당'[2']]])+표10[[#This Row],[PROB'[2']]]</f>
        <v>0</v>
      </c>
      <c r="AN109" s="56">
        <f>IF(표10[[#This Row],[배당'[3']]]="-",0,표10[[#This Row],[배당'[3']]])+표10[[#This Row],[PROB'[3']]]</f>
        <v>0</v>
      </c>
      <c r="AO109" s="56">
        <f>IF(표10[[#This Row],[배당'[4']]]="-",0,표10[[#This Row],[배당'[4']]])+표10[[#This Row],[PROB'[4']]]</f>
        <v>0</v>
      </c>
      <c r="AP109" s="56">
        <f>IF(표10[[#This Row],[배당'[5']]]="-",0,표10[[#This Row],[배당'[5']]])+표10[[#This Row],[PROB'[5']]]</f>
        <v>0</v>
      </c>
      <c r="AQ109" s="56">
        <f>SUM(표10[[#This Row],[최종배당'[0']]:[최종배당'[5']]])</f>
        <v>0</v>
      </c>
    </row>
    <row r="110" spans="2:43" x14ac:dyDescent="0.3">
      <c r="B110" s="56">
        <f>[1]FishOceanTile!B115</f>
        <v>0</v>
      </c>
      <c r="C110" s="56" t="str">
        <f>IFERROR(VLOOKUP(표7[[#This Row],[낚시 타일]],[3]!표1_67[[이름]:[선단 LV]],6,FALSE),"-")</f>
        <v>-</v>
      </c>
      <c r="D110" s="56" t="str">
        <f>IFERROR(VLOOKUP(표7[[#This Row],[낚시 타일]],[3]!표1_67[[이름]:[위도]],3,FALSE),"-")</f>
        <v>-</v>
      </c>
      <c r="E110" s="56" t="str">
        <f>IFERROR(VLOOKUP(표7[[#This Row],[낚시 타일]],[3]!표1_67[[이름]:[위도]],2,FALSE),"-")</f>
        <v>-</v>
      </c>
      <c r="F110" s="56"/>
      <c r="G110" s="56" t="str">
        <f>IFERROR(ROUNDDOWN(표10[[#This Row],[최종배당'[0']]]/표10[[#This Row],[분모]]*100,0)&amp;"%","-")</f>
        <v>-</v>
      </c>
      <c r="H110" s="56"/>
      <c r="I110" s="56" t="str">
        <f>IFERROR(ROUNDDOWN(표10[[#This Row],[최종배당'[1']]]/표10[[#This Row],[분모]]*100,0)&amp;"%","-")</f>
        <v>-</v>
      </c>
      <c r="J110" s="56"/>
      <c r="K110" s="56" t="str">
        <f>IFERROR(ROUNDDOWN(표10[[#This Row],[최종배당'[2']]]/표10[[#This Row],[분모]]*100,0)&amp;"%","-")</f>
        <v>-</v>
      </c>
      <c r="L110" s="56"/>
      <c r="M110" s="56" t="str">
        <f>IFERROR(ROUNDDOWN(표10[[#This Row],[최종배당'[3']]]/표10[[#This Row],[분모]]*100,0)&amp;"%","-")</f>
        <v>-</v>
      </c>
      <c r="N110" s="56"/>
      <c r="O110" s="56" t="str">
        <f>IFERROR(ROUNDDOWN(표10[[#This Row],[최종배당'[4']]]/표10[[#This Row],[분모]]*100,0)&amp;"%","-")</f>
        <v>-</v>
      </c>
      <c r="P110" s="56"/>
      <c r="Q110" s="56" t="str">
        <f>IFERROR(ROUNDDOWN(표10[[#This Row],[최종배당'[5']]]/표10[[#This Row],[분모]]*100,0)&amp;"%","-")</f>
        <v>-</v>
      </c>
      <c r="S110" s="56" t="str">
        <f>IFERROR(VLOOKUP(표7[발견물'[0']],표1[[명칭]:[등급]],4,FALSE),"-")&amp;"급"</f>
        <v>0급</v>
      </c>
      <c r="T110" s="56" t="str">
        <f>IFERROR(VLOOKUP(표7[발견물'[1']],표1[[명칭]:[등급]],4,FALSE),"-")&amp;"급"</f>
        <v>0급</v>
      </c>
      <c r="U110" s="56" t="str">
        <f>IFERROR(VLOOKUP(표7[발견물'[2']],표1[[명칭]:[등급]],4,FALSE),"-")&amp;"급"</f>
        <v>0급</v>
      </c>
      <c r="V110" s="56" t="str">
        <f>IFERROR(VLOOKUP(표7[발견물'[3']],표1[[명칭]:[등급]],4,FALSE),"-")&amp;"급"</f>
        <v>0급</v>
      </c>
      <c r="W110" s="56" t="str">
        <f>IFERROR(VLOOKUP(표7[발견물'[4']],표1[[명칭]:[등급]],4,FALSE),"-")&amp;"급"</f>
        <v>0급</v>
      </c>
      <c r="X110" s="56" t="str">
        <f>IFERROR(VLOOKUP(표7[발견물'[5']],표1[[명칭]:[등급]],4,FALSE),"-")&amp;"급"</f>
        <v>0급</v>
      </c>
      <c r="Y110" s="56" t="str">
        <f>IFERROR(INDEX([1]FishGrade!$I:$I,MATCH(표10[[#This Row],[등급'[0']]],[1]FishGrade!$B:$B,0)),"-")</f>
        <v>-</v>
      </c>
      <c r="Z110" s="56" t="str">
        <f>IFERROR(INDEX([1]FishGrade!$I:$I,MATCH(표10[[#This Row],[등급'[1']]],[1]FishGrade!$B:$B,0)),"-")</f>
        <v>-</v>
      </c>
      <c r="AA110" s="56" t="str">
        <f>IFERROR(INDEX([1]FishGrade!$I:$I,MATCH(표10[[#This Row],[등급'[2']]],[1]FishGrade!$B:$B,0)),"-")</f>
        <v>-</v>
      </c>
      <c r="AB110" s="56" t="str">
        <f>IFERROR(INDEX([1]FishGrade!$I:$I,MATCH(표10[[#This Row],[등급'[3']]],[1]FishGrade!$B:$B,0)),"-")</f>
        <v>-</v>
      </c>
      <c r="AC110" s="56" t="str">
        <f>IFERROR(INDEX([1]FishGrade!$I:$I,MATCH(표10[[#This Row],[등급'[4']]],[1]FishGrade!$B:$B,0)),"-")</f>
        <v>-</v>
      </c>
      <c r="AD110" s="56" t="str">
        <f>IFERROR(INDEX([1]FishGrade!$I:$I,MATCH(표10[[#This Row],[등급'[5']]],[1]FishGrade!$B:$B,0)),"-")</f>
        <v>-</v>
      </c>
      <c r="AE110" s="56">
        <f>IF([1]FishDiscoveryGroup!$I$8="-",0,[1]FishDiscoveryGroup!$I$8)</f>
        <v>0</v>
      </c>
      <c r="AF110" s="56">
        <f>IF([1]FishDiscoveryGroup!$I$8="-",0,[1]FishDiscoveryGroup!$L$8)</f>
        <v>0</v>
      </c>
      <c r="AG110" s="56">
        <f>IF([1]FishDiscoveryGroup!$I$8="-",0,[1]FishDiscoveryGroup!$O$8)</f>
        <v>0</v>
      </c>
      <c r="AH110" s="56">
        <f>IF([1]FishDiscoveryGroup!$I$8="-",0,[1]FishDiscoveryGroup!$R$8)</f>
        <v>0</v>
      </c>
      <c r="AI110" s="56">
        <f>IF([1]FishDiscoveryGroup!$I$8="-",0,[1]FishDiscoveryGroup!$U$8)</f>
        <v>0</v>
      </c>
      <c r="AJ110" s="56">
        <f>IF([1]FishDiscoveryGroup!$I$8="-",0,[1]FishDiscoveryGroup!$X$8)</f>
        <v>0</v>
      </c>
      <c r="AK110" s="56">
        <f>IF(표10[[#This Row],[배당'[0']]]="-",0,표10[[#This Row],[배당'[0']]])+표10[[#This Row],[PROB'[0']]]</f>
        <v>0</v>
      </c>
      <c r="AL110" s="56">
        <f>IF(표10[[#This Row],[배당'[1']]]="-",0,표10[[#This Row],[배당'[1']]])+표10[[#This Row],[PROB'[1']]]</f>
        <v>0</v>
      </c>
      <c r="AM110" s="56">
        <f>IF(표10[[#This Row],[배당'[2']]]="-",0,표10[[#This Row],[배당'[2']]])+표10[[#This Row],[PROB'[2']]]</f>
        <v>0</v>
      </c>
      <c r="AN110" s="56">
        <f>IF(표10[[#This Row],[배당'[3']]]="-",0,표10[[#This Row],[배당'[3']]])+표10[[#This Row],[PROB'[3']]]</f>
        <v>0</v>
      </c>
      <c r="AO110" s="56">
        <f>IF(표10[[#This Row],[배당'[4']]]="-",0,표10[[#This Row],[배당'[4']]])+표10[[#This Row],[PROB'[4']]]</f>
        <v>0</v>
      </c>
      <c r="AP110" s="56">
        <f>IF(표10[[#This Row],[배당'[5']]]="-",0,표10[[#This Row],[배당'[5']]])+표10[[#This Row],[PROB'[5']]]</f>
        <v>0</v>
      </c>
      <c r="AQ110" s="56">
        <f>SUM(표10[[#This Row],[최종배당'[0']]:[최종배당'[5']]])</f>
        <v>0</v>
      </c>
    </row>
    <row r="111" spans="2:43" x14ac:dyDescent="0.3">
      <c r="B111" s="56">
        <f>[1]FishOceanTile!B116</f>
        <v>0</v>
      </c>
      <c r="C111" s="56" t="str">
        <f>IFERROR(VLOOKUP(표7[[#This Row],[낚시 타일]],[3]!표1_67[[이름]:[선단 LV]],6,FALSE),"-")</f>
        <v>-</v>
      </c>
      <c r="D111" s="56" t="str">
        <f>IFERROR(VLOOKUP(표7[[#This Row],[낚시 타일]],[3]!표1_67[[이름]:[위도]],3,FALSE),"-")</f>
        <v>-</v>
      </c>
      <c r="E111" s="56" t="str">
        <f>IFERROR(VLOOKUP(표7[[#This Row],[낚시 타일]],[3]!표1_67[[이름]:[위도]],2,FALSE),"-")</f>
        <v>-</v>
      </c>
      <c r="F111" s="56"/>
      <c r="G111" s="56" t="str">
        <f>IFERROR(ROUNDDOWN(표10[[#This Row],[최종배당'[0']]]/표10[[#This Row],[분모]]*100,0)&amp;"%","-")</f>
        <v>-</v>
      </c>
      <c r="H111" s="56"/>
      <c r="I111" s="56" t="str">
        <f>IFERROR(ROUNDDOWN(표10[[#This Row],[최종배당'[1']]]/표10[[#This Row],[분모]]*100,0)&amp;"%","-")</f>
        <v>-</v>
      </c>
      <c r="J111" s="56"/>
      <c r="K111" s="56" t="str">
        <f>IFERROR(ROUNDDOWN(표10[[#This Row],[최종배당'[2']]]/표10[[#This Row],[분모]]*100,0)&amp;"%","-")</f>
        <v>-</v>
      </c>
      <c r="L111" s="56"/>
      <c r="M111" s="56" t="str">
        <f>IFERROR(ROUNDDOWN(표10[[#This Row],[최종배당'[3']]]/표10[[#This Row],[분모]]*100,0)&amp;"%","-")</f>
        <v>-</v>
      </c>
      <c r="N111" s="56"/>
      <c r="O111" s="56" t="str">
        <f>IFERROR(ROUNDDOWN(표10[[#This Row],[최종배당'[4']]]/표10[[#This Row],[분모]]*100,0)&amp;"%","-")</f>
        <v>-</v>
      </c>
      <c r="P111" s="56"/>
      <c r="Q111" s="56" t="str">
        <f>IFERROR(ROUNDDOWN(표10[[#This Row],[최종배당'[5']]]/표10[[#This Row],[분모]]*100,0)&amp;"%","-")</f>
        <v>-</v>
      </c>
      <c r="S111" s="56" t="str">
        <f>IFERROR(VLOOKUP(표7[발견물'[0']],표1[[명칭]:[등급]],4,FALSE),"-")&amp;"급"</f>
        <v>0급</v>
      </c>
      <c r="T111" s="56" t="str">
        <f>IFERROR(VLOOKUP(표7[발견물'[1']],표1[[명칭]:[등급]],4,FALSE),"-")&amp;"급"</f>
        <v>0급</v>
      </c>
      <c r="U111" s="56" t="str">
        <f>IFERROR(VLOOKUP(표7[발견물'[2']],표1[[명칭]:[등급]],4,FALSE),"-")&amp;"급"</f>
        <v>0급</v>
      </c>
      <c r="V111" s="56" t="str">
        <f>IFERROR(VLOOKUP(표7[발견물'[3']],표1[[명칭]:[등급]],4,FALSE),"-")&amp;"급"</f>
        <v>0급</v>
      </c>
      <c r="W111" s="56" t="str">
        <f>IFERROR(VLOOKUP(표7[발견물'[4']],표1[[명칭]:[등급]],4,FALSE),"-")&amp;"급"</f>
        <v>0급</v>
      </c>
      <c r="X111" s="56" t="str">
        <f>IFERROR(VLOOKUP(표7[발견물'[5']],표1[[명칭]:[등급]],4,FALSE),"-")&amp;"급"</f>
        <v>0급</v>
      </c>
      <c r="Y111" s="56" t="str">
        <f>IFERROR(INDEX([1]FishGrade!$I:$I,MATCH(표10[[#This Row],[등급'[0']]],[1]FishGrade!$B:$B,0)),"-")</f>
        <v>-</v>
      </c>
      <c r="Z111" s="56" t="str">
        <f>IFERROR(INDEX([1]FishGrade!$I:$I,MATCH(표10[[#This Row],[등급'[1']]],[1]FishGrade!$B:$B,0)),"-")</f>
        <v>-</v>
      </c>
      <c r="AA111" s="56" t="str">
        <f>IFERROR(INDEX([1]FishGrade!$I:$I,MATCH(표10[[#This Row],[등급'[2']]],[1]FishGrade!$B:$B,0)),"-")</f>
        <v>-</v>
      </c>
      <c r="AB111" s="56" t="str">
        <f>IFERROR(INDEX([1]FishGrade!$I:$I,MATCH(표10[[#This Row],[등급'[3']]],[1]FishGrade!$B:$B,0)),"-")</f>
        <v>-</v>
      </c>
      <c r="AC111" s="56" t="str">
        <f>IFERROR(INDEX([1]FishGrade!$I:$I,MATCH(표10[[#This Row],[등급'[4']]],[1]FishGrade!$B:$B,0)),"-")</f>
        <v>-</v>
      </c>
      <c r="AD111" s="56" t="str">
        <f>IFERROR(INDEX([1]FishGrade!$I:$I,MATCH(표10[[#This Row],[등급'[5']]],[1]FishGrade!$B:$B,0)),"-")</f>
        <v>-</v>
      </c>
      <c r="AE111" s="56">
        <f>IF([1]FishDiscoveryGroup!$I$8="-",0,[1]FishDiscoveryGroup!$I$8)</f>
        <v>0</v>
      </c>
      <c r="AF111" s="56">
        <f>IF([1]FishDiscoveryGroup!$I$8="-",0,[1]FishDiscoveryGroup!$L$8)</f>
        <v>0</v>
      </c>
      <c r="AG111" s="56">
        <f>IF([1]FishDiscoveryGroup!$I$8="-",0,[1]FishDiscoveryGroup!$O$8)</f>
        <v>0</v>
      </c>
      <c r="AH111" s="56">
        <f>IF([1]FishDiscoveryGroup!$I$8="-",0,[1]FishDiscoveryGroup!$R$8)</f>
        <v>0</v>
      </c>
      <c r="AI111" s="56">
        <f>IF([1]FishDiscoveryGroup!$I$8="-",0,[1]FishDiscoveryGroup!$U$8)</f>
        <v>0</v>
      </c>
      <c r="AJ111" s="56">
        <f>IF([1]FishDiscoveryGroup!$I$8="-",0,[1]FishDiscoveryGroup!$X$8)</f>
        <v>0</v>
      </c>
      <c r="AK111" s="56">
        <f>IF(표10[[#This Row],[배당'[0']]]="-",0,표10[[#This Row],[배당'[0']]])+표10[[#This Row],[PROB'[0']]]</f>
        <v>0</v>
      </c>
      <c r="AL111" s="56">
        <f>IF(표10[[#This Row],[배당'[1']]]="-",0,표10[[#This Row],[배당'[1']]])+표10[[#This Row],[PROB'[1']]]</f>
        <v>0</v>
      </c>
      <c r="AM111" s="56">
        <f>IF(표10[[#This Row],[배당'[2']]]="-",0,표10[[#This Row],[배당'[2']]])+표10[[#This Row],[PROB'[2']]]</f>
        <v>0</v>
      </c>
      <c r="AN111" s="56">
        <f>IF(표10[[#This Row],[배당'[3']]]="-",0,표10[[#This Row],[배당'[3']]])+표10[[#This Row],[PROB'[3']]]</f>
        <v>0</v>
      </c>
      <c r="AO111" s="56">
        <f>IF(표10[[#This Row],[배당'[4']]]="-",0,표10[[#This Row],[배당'[4']]])+표10[[#This Row],[PROB'[4']]]</f>
        <v>0</v>
      </c>
      <c r="AP111" s="56">
        <f>IF(표10[[#This Row],[배당'[5']]]="-",0,표10[[#This Row],[배당'[5']]])+표10[[#This Row],[PROB'[5']]]</f>
        <v>0</v>
      </c>
      <c r="AQ111" s="56">
        <f>SUM(표10[[#This Row],[최종배당'[0']]:[최종배당'[5']]])</f>
        <v>0</v>
      </c>
    </row>
    <row r="112" spans="2:43" x14ac:dyDescent="0.3">
      <c r="B112" s="56">
        <f>[1]FishOceanTile!B117</f>
        <v>0</v>
      </c>
      <c r="C112" s="56" t="str">
        <f>IFERROR(VLOOKUP(표7[[#This Row],[낚시 타일]],[3]!표1_67[[이름]:[선단 LV]],6,FALSE),"-")</f>
        <v>-</v>
      </c>
      <c r="D112" s="56" t="str">
        <f>IFERROR(VLOOKUP(표7[[#This Row],[낚시 타일]],[3]!표1_67[[이름]:[위도]],3,FALSE),"-")</f>
        <v>-</v>
      </c>
      <c r="E112" s="56" t="str">
        <f>IFERROR(VLOOKUP(표7[[#This Row],[낚시 타일]],[3]!표1_67[[이름]:[위도]],2,FALSE),"-")</f>
        <v>-</v>
      </c>
      <c r="F112" s="56"/>
      <c r="G112" s="56" t="str">
        <f>IFERROR(ROUNDDOWN(표10[[#This Row],[최종배당'[0']]]/표10[[#This Row],[분모]]*100,0)&amp;"%","-")</f>
        <v>-</v>
      </c>
      <c r="H112" s="56"/>
      <c r="I112" s="56" t="str">
        <f>IFERROR(ROUNDDOWN(표10[[#This Row],[최종배당'[1']]]/표10[[#This Row],[분모]]*100,0)&amp;"%","-")</f>
        <v>-</v>
      </c>
      <c r="J112" s="56"/>
      <c r="K112" s="56" t="str">
        <f>IFERROR(ROUNDDOWN(표10[[#This Row],[최종배당'[2']]]/표10[[#This Row],[분모]]*100,0)&amp;"%","-")</f>
        <v>-</v>
      </c>
      <c r="L112" s="56"/>
      <c r="M112" s="56" t="str">
        <f>IFERROR(ROUNDDOWN(표10[[#This Row],[최종배당'[3']]]/표10[[#This Row],[분모]]*100,0)&amp;"%","-")</f>
        <v>-</v>
      </c>
      <c r="N112" s="56"/>
      <c r="O112" s="56" t="str">
        <f>IFERROR(ROUNDDOWN(표10[[#This Row],[최종배당'[4']]]/표10[[#This Row],[분모]]*100,0)&amp;"%","-")</f>
        <v>-</v>
      </c>
      <c r="P112" s="56"/>
      <c r="Q112" s="56" t="str">
        <f>IFERROR(ROUNDDOWN(표10[[#This Row],[최종배당'[5']]]/표10[[#This Row],[분모]]*100,0)&amp;"%","-")</f>
        <v>-</v>
      </c>
      <c r="S112" s="56" t="str">
        <f>IFERROR(VLOOKUP(표7[발견물'[0']],표1[[명칭]:[등급]],4,FALSE),"-")&amp;"급"</f>
        <v>0급</v>
      </c>
      <c r="T112" s="56" t="str">
        <f>IFERROR(VLOOKUP(표7[발견물'[1']],표1[[명칭]:[등급]],4,FALSE),"-")&amp;"급"</f>
        <v>0급</v>
      </c>
      <c r="U112" s="56" t="str">
        <f>IFERROR(VLOOKUP(표7[발견물'[2']],표1[[명칭]:[등급]],4,FALSE),"-")&amp;"급"</f>
        <v>0급</v>
      </c>
      <c r="V112" s="56" t="str">
        <f>IFERROR(VLOOKUP(표7[발견물'[3']],표1[[명칭]:[등급]],4,FALSE),"-")&amp;"급"</f>
        <v>0급</v>
      </c>
      <c r="W112" s="56" t="str">
        <f>IFERROR(VLOOKUP(표7[발견물'[4']],표1[[명칭]:[등급]],4,FALSE),"-")&amp;"급"</f>
        <v>0급</v>
      </c>
      <c r="X112" s="56" t="str">
        <f>IFERROR(VLOOKUP(표7[발견물'[5']],표1[[명칭]:[등급]],4,FALSE),"-")&amp;"급"</f>
        <v>0급</v>
      </c>
      <c r="Y112" s="56" t="str">
        <f>IFERROR(INDEX([1]FishGrade!$I:$I,MATCH(표10[[#This Row],[등급'[0']]],[1]FishGrade!$B:$B,0)),"-")</f>
        <v>-</v>
      </c>
      <c r="Z112" s="56" t="str">
        <f>IFERROR(INDEX([1]FishGrade!$I:$I,MATCH(표10[[#This Row],[등급'[1']]],[1]FishGrade!$B:$B,0)),"-")</f>
        <v>-</v>
      </c>
      <c r="AA112" s="56" t="str">
        <f>IFERROR(INDEX([1]FishGrade!$I:$I,MATCH(표10[[#This Row],[등급'[2']]],[1]FishGrade!$B:$B,0)),"-")</f>
        <v>-</v>
      </c>
      <c r="AB112" s="56" t="str">
        <f>IFERROR(INDEX([1]FishGrade!$I:$I,MATCH(표10[[#This Row],[등급'[3']]],[1]FishGrade!$B:$B,0)),"-")</f>
        <v>-</v>
      </c>
      <c r="AC112" s="56" t="str">
        <f>IFERROR(INDEX([1]FishGrade!$I:$I,MATCH(표10[[#This Row],[등급'[4']]],[1]FishGrade!$B:$B,0)),"-")</f>
        <v>-</v>
      </c>
      <c r="AD112" s="56" t="str">
        <f>IFERROR(INDEX([1]FishGrade!$I:$I,MATCH(표10[[#This Row],[등급'[5']]],[1]FishGrade!$B:$B,0)),"-")</f>
        <v>-</v>
      </c>
      <c r="AE112" s="56">
        <f>IF([1]FishDiscoveryGroup!$I$8="-",0,[1]FishDiscoveryGroup!$I$8)</f>
        <v>0</v>
      </c>
      <c r="AF112" s="56">
        <f>IF([1]FishDiscoveryGroup!$I$8="-",0,[1]FishDiscoveryGroup!$L$8)</f>
        <v>0</v>
      </c>
      <c r="AG112" s="56">
        <f>IF([1]FishDiscoveryGroup!$I$8="-",0,[1]FishDiscoveryGroup!$O$8)</f>
        <v>0</v>
      </c>
      <c r="AH112" s="56">
        <f>IF([1]FishDiscoveryGroup!$I$8="-",0,[1]FishDiscoveryGroup!$R$8)</f>
        <v>0</v>
      </c>
      <c r="AI112" s="56">
        <f>IF([1]FishDiscoveryGroup!$I$8="-",0,[1]FishDiscoveryGroup!$U$8)</f>
        <v>0</v>
      </c>
      <c r="AJ112" s="56">
        <f>IF([1]FishDiscoveryGroup!$I$8="-",0,[1]FishDiscoveryGroup!$X$8)</f>
        <v>0</v>
      </c>
      <c r="AK112" s="56">
        <f>IF(표10[[#This Row],[배당'[0']]]="-",0,표10[[#This Row],[배당'[0']]])+표10[[#This Row],[PROB'[0']]]</f>
        <v>0</v>
      </c>
      <c r="AL112" s="56">
        <f>IF(표10[[#This Row],[배당'[1']]]="-",0,표10[[#This Row],[배당'[1']]])+표10[[#This Row],[PROB'[1']]]</f>
        <v>0</v>
      </c>
      <c r="AM112" s="56">
        <f>IF(표10[[#This Row],[배당'[2']]]="-",0,표10[[#This Row],[배당'[2']]])+표10[[#This Row],[PROB'[2']]]</f>
        <v>0</v>
      </c>
      <c r="AN112" s="56">
        <f>IF(표10[[#This Row],[배당'[3']]]="-",0,표10[[#This Row],[배당'[3']]])+표10[[#This Row],[PROB'[3']]]</f>
        <v>0</v>
      </c>
      <c r="AO112" s="56">
        <f>IF(표10[[#This Row],[배당'[4']]]="-",0,표10[[#This Row],[배당'[4']]])+표10[[#This Row],[PROB'[4']]]</f>
        <v>0</v>
      </c>
      <c r="AP112" s="56">
        <f>IF(표10[[#This Row],[배당'[5']]]="-",0,표10[[#This Row],[배당'[5']]])+표10[[#This Row],[PROB'[5']]]</f>
        <v>0</v>
      </c>
      <c r="AQ112" s="56">
        <f>SUM(표10[[#This Row],[최종배당'[0']]:[최종배당'[5']]])</f>
        <v>0</v>
      </c>
    </row>
    <row r="113" spans="2:43" x14ac:dyDescent="0.3">
      <c r="B113" s="56">
        <f>[1]FishOceanTile!B118</f>
        <v>0</v>
      </c>
      <c r="C113" s="56" t="str">
        <f>IFERROR(VLOOKUP(표7[[#This Row],[낚시 타일]],[3]!표1_67[[이름]:[선단 LV]],6,FALSE),"-")</f>
        <v>-</v>
      </c>
      <c r="D113" s="56" t="str">
        <f>IFERROR(VLOOKUP(표7[[#This Row],[낚시 타일]],[3]!표1_67[[이름]:[위도]],3,FALSE),"-")</f>
        <v>-</v>
      </c>
      <c r="E113" s="56" t="str">
        <f>IFERROR(VLOOKUP(표7[[#This Row],[낚시 타일]],[3]!표1_67[[이름]:[위도]],2,FALSE),"-")</f>
        <v>-</v>
      </c>
      <c r="F113" s="56"/>
      <c r="G113" s="56" t="str">
        <f>IFERROR(ROUNDDOWN(표10[[#This Row],[최종배당'[0']]]/표10[[#This Row],[분모]]*100,0)&amp;"%","-")</f>
        <v>-</v>
      </c>
      <c r="H113" s="56"/>
      <c r="I113" s="56" t="str">
        <f>IFERROR(ROUNDDOWN(표10[[#This Row],[최종배당'[1']]]/표10[[#This Row],[분모]]*100,0)&amp;"%","-")</f>
        <v>-</v>
      </c>
      <c r="J113" s="56"/>
      <c r="K113" s="56" t="str">
        <f>IFERROR(ROUNDDOWN(표10[[#This Row],[최종배당'[2']]]/표10[[#This Row],[분모]]*100,0)&amp;"%","-")</f>
        <v>-</v>
      </c>
      <c r="L113" s="56"/>
      <c r="M113" s="56" t="str">
        <f>IFERROR(ROUNDDOWN(표10[[#This Row],[최종배당'[3']]]/표10[[#This Row],[분모]]*100,0)&amp;"%","-")</f>
        <v>-</v>
      </c>
      <c r="N113" s="56"/>
      <c r="O113" s="56" t="str">
        <f>IFERROR(ROUNDDOWN(표10[[#This Row],[최종배당'[4']]]/표10[[#This Row],[분모]]*100,0)&amp;"%","-")</f>
        <v>-</v>
      </c>
      <c r="P113" s="56"/>
      <c r="Q113" s="56" t="str">
        <f>IFERROR(ROUNDDOWN(표10[[#This Row],[최종배당'[5']]]/표10[[#This Row],[분모]]*100,0)&amp;"%","-")</f>
        <v>-</v>
      </c>
      <c r="S113" s="56" t="str">
        <f>IFERROR(VLOOKUP(표7[발견물'[0']],표1[[명칭]:[등급]],4,FALSE),"-")&amp;"급"</f>
        <v>0급</v>
      </c>
      <c r="T113" s="56" t="str">
        <f>IFERROR(VLOOKUP(표7[발견물'[1']],표1[[명칭]:[등급]],4,FALSE),"-")&amp;"급"</f>
        <v>0급</v>
      </c>
      <c r="U113" s="56" t="str">
        <f>IFERROR(VLOOKUP(표7[발견물'[2']],표1[[명칭]:[등급]],4,FALSE),"-")&amp;"급"</f>
        <v>0급</v>
      </c>
      <c r="V113" s="56" t="str">
        <f>IFERROR(VLOOKUP(표7[발견물'[3']],표1[[명칭]:[등급]],4,FALSE),"-")&amp;"급"</f>
        <v>0급</v>
      </c>
      <c r="W113" s="56" t="str">
        <f>IFERROR(VLOOKUP(표7[발견물'[4']],표1[[명칭]:[등급]],4,FALSE),"-")&amp;"급"</f>
        <v>0급</v>
      </c>
      <c r="X113" s="56" t="str">
        <f>IFERROR(VLOOKUP(표7[발견물'[5']],표1[[명칭]:[등급]],4,FALSE),"-")&amp;"급"</f>
        <v>0급</v>
      </c>
      <c r="Y113" s="56" t="str">
        <f>IFERROR(INDEX([1]FishGrade!$I:$I,MATCH(표10[[#This Row],[등급'[0']]],[1]FishGrade!$B:$B,0)),"-")</f>
        <v>-</v>
      </c>
      <c r="Z113" s="56" t="str">
        <f>IFERROR(INDEX([1]FishGrade!$I:$I,MATCH(표10[[#This Row],[등급'[1']]],[1]FishGrade!$B:$B,0)),"-")</f>
        <v>-</v>
      </c>
      <c r="AA113" s="56" t="str">
        <f>IFERROR(INDEX([1]FishGrade!$I:$I,MATCH(표10[[#This Row],[등급'[2']]],[1]FishGrade!$B:$B,0)),"-")</f>
        <v>-</v>
      </c>
      <c r="AB113" s="56" t="str">
        <f>IFERROR(INDEX([1]FishGrade!$I:$I,MATCH(표10[[#This Row],[등급'[3']]],[1]FishGrade!$B:$B,0)),"-")</f>
        <v>-</v>
      </c>
      <c r="AC113" s="56" t="str">
        <f>IFERROR(INDEX([1]FishGrade!$I:$I,MATCH(표10[[#This Row],[등급'[4']]],[1]FishGrade!$B:$B,0)),"-")</f>
        <v>-</v>
      </c>
      <c r="AD113" s="56" t="str">
        <f>IFERROR(INDEX([1]FishGrade!$I:$I,MATCH(표10[[#This Row],[등급'[5']]],[1]FishGrade!$B:$B,0)),"-")</f>
        <v>-</v>
      </c>
      <c r="AE113" s="56">
        <f>IF([1]FishDiscoveryGroup!$I$8="-",0,[1]FishDiscoveryGroup!$I$8)</f>
        <v>0</v>
      </c>
      <c r="AF113" s="56">
        <f>IF([1]FishDiscoveryGroup!$I$8="-",0,[1]FishDiscoveryGroup!$L$8)</f>
        <v>0</v>
      </c>
      <c r="AG113" s="56">
        <f>IF([1]FishDiscoveryGroup!$I$8="-",0,[1]FishDiscoveryGroup!$O$8)</f>
        <v>0</v>
      </c>
      <c r="AH113" s="56">
        <f>IF([1]FishDiscoveryGroup!$I$8="-",0,[1]FishDiscoveryGroup!$R$8)</f>
        <v>0</v>
      </c>
      <c r="AI113" s="56">
        <f>IF([1]FishDiscoveryGroup!$I$8="-",0,[1]FishDiscoveryGroup!$U$8)</f>
        <v>0</v>
      </c>
      <c r="AJ113" s="56">
        <f>IF([1]FishDiscoveryGroup!$I$8="-",0,[1]FishDiscoveryGroup!$X$8)</f>
        <v>0</v>
      </c>
      <c r="AK113" s="56">
        <f>IF(표10[[#This Row],[배당'[0']]]="-",0,표10[[#This Row],[배당'[0']]])+표10[[#This Row],[PROB'[0']]]</f>
        <v>0</v>
      </c>
      <c r="AL113" s="56">
        <f>IF(표10[[#This Row],[배당'[1']]]="-",0,표10[[#This Row],[배당'[1']]])+표10[[#This Row],[PROB'[1']]]</f>
        <v>0</v>
      </c>
      <c r="AM113" s="56">
        <f>IF(표10[[#This Row],[배당'[2']]]="-",0,표10[[#This Row],[배당'[2']]])+표10[[#This Row],[PROB'[2']]]</f>
        <v>0</v>
      </c>
      <c r="AN113" s="56">
        <f>IF(표10[[#This Row],[배당'[3']]]="-",0,표10[[#This Row],[배당'[3']]])+표10[[#This Row],[PROB'[3']]]</f>
        <v>0</v>
      </c>
      <c r="AO113" s="56">
        <f>IF(표10[[#This Row],[배당'[4']]]="-",0,표10[[#This Row],[배당'[4']]])+표10[[#This Row],[PROB'[4']]]</f>
        <v>0</v>
      </c>
      <c r="AP113" s="56">
        <f>IF(표10[[#This Row],[배당'[5']]]="-",0,표10[[#This Row],[배당'[5']]])+표10[[#This Row],[PROB'[5']]]</f>
        <v>0</v>
      </c>
      <c r="AQ113" s="56">
        <f>SUM(표10[[#This Row],[최종배당'[0']]:[최종배당'[5']]])</f>
        <v>0</v>
      </c>
    </row>
    <row r="114" spans="2:43" x14ac:dyDescent="0.3">
      <c r="B114" s="56">
        <f>[1]FishOceanTile!B119</f>
        <v>0</v>
      </c>
      <c r="C114" s="56" t="str">
        <f>IFERROR(VLOOKUP(표7[[#This Row],[낚시 타일]],[3]!표1_67[[이름]:[선단 LV]],6,FALSE),"-")</f>
        <v>-</v>
      </c>
      <c r="D114" s="56" t="str">
        <f>IFERROR(VLOOKUP(표7[[#This Row],[낚시 타일]],[3]!표1_67[[이름]:[위도]],3,FALSE),"-")</f>
        <v>-</v>
      </c>
      <c r="E114" s="56" t="str">
        <f>IFERROR(VLOOKUP(표7[[#This Row],[낚시 타일]],[3]!표1_67[[이름]:[위도]],2,FALSE),"-")</f>
        <v>-</v>
      </c>
      <c r="F114" s="56"/>
      <c r="G114" s="56" t="str">
        <f>IFERROR(ROUNDDOWN(표10[[#This Row],[최종배당'[0']]]/표10[[#This Row],[분모]]*100,0)&amp;"%","-")</f>
        <v>-</v>
      </c>
      <c r="H114" s="56"/>
      <c r="I114" s="56" t="str">
        <f>IFERROR(ROUNDDOWN(표10[[#This Row],[최종배당'[1']]]/표10[[#This Row],[분모]]*100,0)&amp;"%","-")</f>
        <v>-</v>
      </c>
      <c r="J114" s="56"/>
      <c r="K114" s="56" t="str">
        <f>IFERROR(ROUNDDOWN(표10[[#This Row],[최종배당'[2']]]/표10[[#This Row],[분모]]*100,0)&amp;"%","-")</f>
        <v>-</v>
      </c>
      <c r="L114" s="56"/>
      <c r="M114" s="56" t="str">
        <f>IFERROR(ROUNDDOWN(표10[[#This Row],[최종배당'[3']]]/표10[[#This Row],[분모]]*100,0)&amp;"%","-")</f>
        <v>-</v>
      </c>
      <c r="N114" s="56"/>
      <c r="O114" s="56" t="str">
        <f>IFERROR(ROUNDDOWN(표10[[#This Row],[최종배당'[4']]]/표10[[#This Row],[분모]]*100,0)&amp;"%","-")</f>
        <v>-</v>
      </c>
      <c r="P114" s="56"/>
      <c r="Q114" s="56" t="str">
        <f>IFERROR(ROUNDDOWN(표10[[#This Row],[최종배당'[5']]]/표10[[#This Row],[분모]]*100,0)&amp;"%","-")</f>
        <v>-</v>
      </c>
      <c r="S114" s="56" t="str">
        <f>IFERROR(VLOOKUP(표7[발견물'[0']],표1[[명칭]:[등급]],4,FALSE),"-")&amp;"급"</f>
        <v>0급</v>
      </c>
      <c r="T114" s="56" t="str">
        <f>IFERROR(VLOOKUP(표7[발견물'[1']],표1[[명칭]:[등급]],4,FALSE),"-")&amp;"급"</f>
        <v>0급</v>
      </c>
      <c r="U114" s="56" t="str">
        <f>IFERROR(VLOOKUP(표7[발견물'[2']],표1[[명칭]:[등급]],4,FALSE),"-")&amp;"급"</f>
        <v>0급</v>
      </c>
      <c r="V114" s="56" t="str">
        <f>IFERROR(VLOOKUP(표7[발견물'[3']],표1[[명칭]:[등급]],4,FALSE),"-")&amp;"급"</f>
        <v>0급</v>
      </c>
      <c r="W114" s="56" t="str">
        <f>IFERROR(VLOOKUP(표7[발견물'[4']],표1[[명칭]:[등급]],4,FALSE),"-")&amp;"급"</f>
        <v>0급</v>
      </c>
      <c r="X114" s="56" t="str">
        <f>IFERROR(VLOOKUP(표7[발견물'[5']],표1[[명칭]:[등급]],4,FALSE),"-")&amp;"급"</f>
        <v>0급</v>
      </c>
      <c r="Y114" s="56" t="str">
        <f>IFERROR(INDEX([1]FishGrade!$I:$I,MATCH(표10[[#This Row],[등급'[0']]],[1]FishGrade!$B:$B,0)),"-")</f>
        <v>-</v>
      </c>
      <c r="Z114" s="56" t="str">
        <f>IFERROR(INDEX([1]FishGrade!$I:$I,MATCH(표10[[#This Row],[등급'[1']]],[1]FishGrade!$B:$B,0)),"-")</f>
        <v>-</v>
      </c>
      <c r="AA114" s="56" t="str">
        <f>IFERROR(INDEX([1]FishGrade!$I:$I,MATCH(표10[[#This Row],[등급'[2']]],[1]FishGrade!$B:$B,0)),"-")</f>
        <v>-</v>
      </c>
      <c r="AB114" s="56" t="str">
        <f>IFERROR(INDEX([1]FishGrade!$I:$I,MATCH(표10[[#This Row],[등급'[3']]],[1]FishGrade!$B:$B,0)),"-")</f>
        <v>-</v>
      </c>
      <c r="AC114" s="56" t="str">
        <f>IFERROR(INDEX([1]FishGrade!$I:$I,MATCH(표10[[#This Row],[등급'[4']]],[1]FishGrade!$B:$B,0)),"-")</f>
        <v>-</v>
      </c>
      <c r="AD114" s="56" t="str">
        <f>IFERROR(INDEX([1]FishGrade!$I:$I,MATCH(표10[[#This Row],[등급'[5']]],[1]FishGrade!$B:$B,0)),"-")</f>
        <v>-</v>
      </c>
      <c r="AE114" s="56">
        <f>IF([1]FishDiscoveryGroup!$I$8="-",0,[1]FishDiscoveryGroup!$I$8)</f>
        <v>0</v>
      </c>
      <c r="AF114" s="56">
        <f>IF([1]FishDiscoveryGroup!$I$8="-",0,[1]FishDiscoveryGroup!$L$8)</f>
        <v>0</v>
      </c>
      <c r="AG114" s="56">
        <f>IF([1]FishDiscoveryGroup!$I$8="-",0,[1]FishDiscoveryGroup!$O$8)</f>
        <v>0</v>
      </c>
      <c r="AH114" s="56">
        <f>IF([1]FishDiscoveryGroup!$I$8="-",0,[1]FishDiscoveryGroup!$R$8)</f>
        <v>0</v>
      </c>
      <c r="AI114" s="56">
        <f>IF([1]FishDiscoveryGroup!$I$8="-",0,[1]FishDiscoveryGroup!$U$8)</f>
        <v>0</v>
      </c>
      <c r="AJ114" s="56">
        <f>IF([1]FishDiscoveryGroup!$I$8="-",0,[1]FishDiscoveryGroup!$X$8)</f>
        <v>0</v>
      </c>
      <c r="AK114" s="56">
        <f>IF(표10[[#This Row],[배당'[0']]]="-",0,표10[[#This Row],[배당'[0']]])+표10[[#This Row],[PROB'[0']]]</f>
        <v>0</v>
      </c>
      <c r="AL114" s="56">
        <f>IF(표10[[#This Row],[배당'[1']]]="-",0,표10[[#This Row],[배당'[1']]])+표10[[#This Row],[PROB'[1']]]</f>
        <v>0</v>
      </c>
      <c r="AM114" s="56">
        <f>IF(표10[[#This Row],[배당'[2']]]="-",0,표10[[#This Row],[배당'[2']]])+표10[[#This Row],[PROB'[2']]]</f>
        <v>0</v>
      </c>
      <c r="AN114" s="56">
        <f>IF(표10[[#This Row],[배당'[3']]]="-",0,표10[[#This Row],[배당'[3']]])+표10[[#This Row],[PROB'[3']]]</f>
        <v>0</v>
      </c>
      <c r="AO114" s="56">
        <f>IF(표10[[#This Row],[배당'[4']]]="-",0,표10[[#This Row],[배당'[4']]])+표10[[#This Row],[PROB'[4']]]</f>
        <v>0</v>
      </c>
      <c r="AP114" s="56">
        <f>IF(표10[[#This Row],[배당'[5']]]="-",0,표10[[#This Row],[배당'[5']]])+표10[[#This Row],[PROB'[5']]]</f>
        <v>0</v>
      </c>
      <c r="AQ114" s="56">
        <f>SUM(표10[[#This Row],[최종배당'[0']]:[최종배당'[5']]])</f>
        <v>0</v>
      </c>
    </row>
    <row r="115" spans="2:43" x14ac:dyDescent="0.3">
      <c r="B115" s="56">
        <f>[1]FishOceanTile!B120</f>
        <v>0</v>
      </c>
      <c r="C115" s="56" t="str">
        <f>IFERROR(VLOOKUP(표7[[#This Row],[낚시 타일]],[3]!표1_67[[이름]:[선단 LV]],6,FALSE),"-")</f>
        <v>-</v>
      </c>
      <c r="D115" s="56" t="str">
        <f>IFERROR(VLOOKUP(표7[[#This Row],[낚시 타일]],[3]!표1_67[[이름]:[위도]],3,FALSE),"-")</f>
        <v>-</v>
      </c>
      <c r="E115" s="56" t="str">
        <f>IFERROR(VLOOKUP(표7[[#This Row],[낚시 타일]],[3]!표1_67[[이름]:[위도]],2,FALSE),"-")</f>
        <v>-</v>
      </c>
      <c r="F115" s="56"/>
      <c r="G115" s="56" t="str">
        <f>IFERROR(ROUNDDOWN(표10[[#This Row],[최종배당'[0']]]/표10[[#This Row],[분모]]*100,0)&amp;"%","-")</f>
        <v>-</v>
      </c>
      <c r="H115" s="56"/>
      <c r="I115" s="56" t="str">
        <f>IFERROR(ROUNDDOWN(표10[[#This Row],[최종배당'[1']]]/표10[[#This Row],[분모]]*100,0)&amp;"%","-")</f>
        <v>-</v>
      </c>
      <c r="J115" s="56"/>
      <c r="K115" s="56" t="str">
        <f>IFERROR(ROUNDDOWN(표10[[#This Row],[최종배당'[2']]]/표10[[#This Row],[분모]]*100,0)&amp;"%","-")</f>
        <v>-</v>
      </c>
      <c r="L115" s="56"/>
      <c r="M115" s="56" t="str">
        <f>IFERROR(ROUNDDOWN(표10[[#This Row],[최종배당'[3']]]/표10[[#This Row],[분모]]*100,0)&amp;"%","-")</f>
        <v>-</v>
      </c>
      <c r="N115" s="56"/>
      <c r="O115" s="56" t="str">
        <f>IFERROR(ROUNDDOWN(표10[[#This Row],[최종배당'[4']]]/표10[[#This Row],[분모]]*100,0)&amp;"%","-")</f>
        <v>-</v>
      </c>
      <c r="P115" s="56"/>
      <c r="Q115" s="56" t="str">
        <f>IFERROR(ROUNDDOWN(표10[[#This Row],[최종배당'[5']]]/표10[[#This Row],[분모]]*100,0)&amp;"%","-")</f>
        <v>-</v>
      </c>
      <c r="S115" s="56" t="str">
        <f>IFERROR(VLOOKUP(표7[발견물'[0']],표1[[명칭]:[등급]],4,FALSE),"-")&amp;"급"</f>
        <v>0급</v>
      </c>
      <c r="T115" s="56" t="str">
        <f>IFERROR(VLOOKUP(표7[발견물'[1']],표1[[명칭]:[등급]],4,FALSE),"-")&amp;"급"</f>
        <v>0급</v>
      </c>
      <c r="U115" s="56" t="str">
        <f>IFERROR(VLOOKUP(표7[발견물'[2']],표1[[명칭]:[등급]],4,FALSE),"-")&amp;"급"</f>
        <v>0급</v>
      </c>
      <c r="V115" s="56" t="str">
        <f>IFERROR(VLOOKUP(표7[발견물'[3']],표1[[명칭]:[등급]],4,FALSE),"-")&amp;"급"</f>
        <v>0급</v>
      </c>
      <c r="W115" s="56" t="str">
        <f>IFERROR(VLOOKUP(표7[발견물'[4']],표1[[명칭]:[등급]],4,FALSE),"-")&amp;"급"</f>
        <v>0급</v>
      </c>
      <c r="X115" s="56" t="str">
        <f>IFERROR(VLOOKUP(표7[발견물'[5']],표1[[명칭]:[등급]],4,FALSE),"-")&amp;"급"</f>
        <v>0급</v>
      </c>
      <c r="Y115" s="56" t="str">
        <f>IFERROR(INDEX([1]FishGrade!$I:$I,MATCH(표10[[#This Row],[등급'[0']]],[1]FishGrade!$B:$B,0)),"-")</f>
        <v>-</v>
      </c>
      <c r="Z115" s="56" t="str">
        <f>IFERROR(INDEX([1]FishGrade!$I:$I,MATCH(표10[[#This Row],[등급'[1']]],[1]FishGrade!$B:$B,0)),"-")</f>
        <v>-</v>
      </c>
      <c r="AA115" s="56" t="str">
        <f>IFERROR(INDEX([1]FishGrade!$I:$I,MATCH(표10[[#This Row],[등급'[2']]],[1]FishGrade!$B:$B,0)),"-")</f>
        <v>-</v>
      </c>
      <c r="AB115" s="56" t="str">
        <f>IFERROR(INDEX([1]FishGrade!$I:$I,MATCH(표10[[#This Row],[등급'[3']]],[1]FishGrade!$B:$B,0)),"-")</f>
        <v>-</v>
      </c>
      <c r="AC115" s="56" t="str">
        <f>IFERROR(INDEX([1]FishGrade!$I:$I,MATCH(표10[[#This Row],[등급'[4']]],[1]FishGrade!$B:$B,0)),"-")</f>
        <v>-</v>
      </c>
      <c r="AD115" s="56" t="str">
        <f>IFERROR(INDEX([1]FishGrade!$I:$I,MATCH(표10[[#This Row],[등급'[5']]],[1]FishGrade!$B:$B,0)),"-")</f>
        <v>-</v>
      </c>
      <c r="AE115" s="56">
        <f>IF([1]FishDiscoveryGroup!$I$8="-",0,[1]FishDiscoveryGroup!$I$8)</f>
        <v>0</v>
      </c>
      <c r="AF115" s="56">
        <f>IF([1]FishDiscoveryGroup!$I$8="-",0,[1]FishDiscoveryGroup!$L$8)</f>
        <v>0</v>
      </c>
      <c r="AG115" s="56">
        <f>IF([1]FishDiscoveryGroup!$I$8="-",0,[1]FishDiscoveryGroup!$O$8)</f>
        <v>0</v>
      </c>
      <c r="AH115" s="56">
        <f>IF([1]FishDiscoveryGroup!$I$8="-",0,[1]FishDiscoveryGroup!$R$8)</f>
        <v>0</v>
      </c>
      <c r="AI115" s="56">
        <f>IF([1]FishDiscoveryGroup!$I$8="-",0,[1]FishDiscoveryGroup!$U$8)</f>
        <v>0</v>
      </c>
      <c r="AJ115" s="56">
        <f>IF([1]FishDiscoveryGroup!$I$8="-",0,[1]FishDiscoveryGroup!$X$8)</f>
        <v>0</v>
      </c>
      <c r="AK115" s="56">
        <f>IF(표10[[#This Row],[배당'[0']]]="-",0,표10[[#This Row],[배당'[0']]])+표10[[#This Row],[PROB'[0']]]</f>
        <v>0</v>
      </c>
      <c r="AL115" s="56">
        <f>IF(표10[[#This Row],[배당'[1']]]="-",0,표10[[#This Row],[배당'[1']]])+표10[[#This Row],[PROB'[1']]]</f>
        <v>0</v>
      </c>
      <c r="AM115" s="56">
        <f>IF(표10[[#This Row],[배당'[2']]]="-",0,표10[[#This Row],[배당'[2']]])+표10[[#This Row],[PROB'[2']]]</f>
        <v>0</v>
      </c>
      <c r="AN115" s="56">
        <f>IF(표10[[#This Row],[배당'[3']]]="-",0,표10[[#This Row],[배당'[3']]])+표10[[#This Row],[PROB'[3']]]</f>
        <v>0</v>
      </c>
      <c r="AO115" s="56">
        <f>IF(표10[[#This Row],[배당'[4']]]="-",0,표10[[#This Row],[배당'[4']]])+표10[[#This Row],[PROB'[4']]]</f>
        <v>0</v>
      </c>
      <c r="AP115" s="56">
        <f>IF(표10[[#This Row],[배당'[5']]]="-",0,표10[[#This Row],[배당'[5']]])+표10[[#This Row],[PROB'[5']]]</f>
        <v>0</v>
      </c>
      <c r="AQ115" s="56">
        <f>SUM(표10[[#This Row],[최종배당'[0']]:[최종배당'[5']]])</f>
        <v>0</v>
      </c>
    </row>
  </sheetData>
  <phoneticPr fontId="1" type="noConversion"/>
  <conditionalFormatting sqref="C3:C1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B9CF-1E86-4A5D-B35F-180AC0811EA6}">
  <dimension ref="B2:B224"/>
  <sheetViews>
    <sheetView topLeftCell="A61" workbookViewId="0">
      <selection activeCell="E9" sqref="E9"/>
    </sheetView>
  </sheetViews>
  <sheetFormatPr defaultRowHeight="16.5" x14ac:dyDescent="0.3"/>
  <cols>
    <col min="2" max="2" width="20.625" bestFit="1" customWidth="1"/>
  </cols>
  <sheetData>
    <row r="2" spans="2:2" x14ac:dyDescent="0.3">
      <c r="B2" t="s">
        <v>225</v>
      </c>
    </row>
    <row r="3" spans="2:2" x14ac:dyDescent="0.3">
      <c r="B3" t="s">
        <v>226</v>
      </c>
    </row>
    <row r="4" spans="2:2" x14ac:dyDescent="0.3">
      <c r="B4" t="s">
        <v>227</v>
      </c>
    </row>
    <row r="5" spans="2:2" x14ac:dyDescent="0.3">
      <c r="B5" t="s">
        <v>228</v>
      </c>
    </row>
    <row r="6" spans="2:2" x14ac:dyDescent="0.3">
      <c r="B6" t="s">
        <v>229</v>
      </c>
    </row>
    <row r="7" spans="2:2" x14ac:dyDescent="0.3">
      <c r="B7" t="s">
        <v>230</v>
      </c>
    </row>
    <row r="8" spans="2:2" x14ac:dyDescent="0.3">
      <c r="B8" t="s">
        <v>231</v>
      </c>
    </row>
    <row r="9" spans="2:2" x14ac:dyDescent="0.3">
      <c r="B9" t="s">
        <v>232</v>
      </c>
    </row>
    <row r="10" spans="2:2" x14ac:dyDescent="0.3">
      <c r="B10" t="s">
        <v>233</v>
      </c>
    </row>
    <row r="11" spans="2:2" x14ac:dyDescent="0.3">
      <c r="B11" t="s">
        <v>234</v>
      </c>
    </row>
    <row r="12" spans="2:2" x14ac:dyDescent="0.3">
      <c r="B12" t="s">
        <v>235</v>
      </c>
    </row>
    <row r="13" spans="2:2" x14ac:dyDescent="0.3">
      <c r="B13" t="s">
        <v>236</v>
      </c>
    </row>
    <row r="14" spans="2:2" x14ac:dyDescent="0.3">
      <c r="B14" t="s">
        <v>237</v>
      </c>
    </row>
    <row r="15" spans="2:2" x14ac:dyDescent="0.3">
      <c r="B15" t="s">
        <v>238</v>
      </c>
    </row>
    <row r="16" spans="2:2" x14ac:dyDescent="0.3">
      <c r="B16" t="s">
        <v>239</v>
      </c>
    </row>
    <row r="17" spans="2:2" x14ac:dyDescent="0.3">
      <c r="B17" t="s">
        <v>240</v>
      </c>
    </row>
    <row r="18" spans="2:2" x14ac:dyDescent="0.3">
      <c r="B18" t="s">
        <v>241</v>
      </c>
    </row>
    <row r="19" spans="2:2" x14ac:dyDescent="0.3">
      <c r="B19" t="s">
        <v>242</v>
      </c>
    </row>
    <row r="20" spans="2:2" x14ac:dyDescent="0.3">
      <c r="B20" t="s">
        <v>243</v>
      </c>
    </row>
    <row r="21" spans="2:2" x14ac:dyDescent="0.3">
      <c r="B21" t="s">
        <v>244</v>
      </c>
    </row>
    <row r="22" spans="2:2" x14ac:dyDescent="0.3">
      <c r="B22" t="s">
        <v>245</v>
      </c>
    </row>
    <row r="23" spans="2:2" x14ac:dyDescent="0.3">
      <c r="B23" t="s">
        <v>246</v>
      </c>
    </row>
    <row r="24" spans="2:2" x14ac:dyDescent="0.3">
      <c r="B24" t="s">
        <v>247</v>
      </c>
    </row>
    <row r="25" spans="2:2" x14ac:dyDescent="0.3">
      <c r="B25" t="s">
        <v>248</v>
      </c>
    </row>
    <row r="26" spans="2:2" x14ac:dyDescent="0.3">
      <c r="B26" t="s">
        <v>249</v>
      </c>
    </row>
    <row r="27" spans="2:2" x14ac:dyDescent="0.3">
      <c r="B27" t="s">
        <v>250</v>
      </c>
    </row>
    <row r="28" spans="2:2" x14ac:dyDescent="0.3">
      <c r="B28" t="s">
        <v>251</v>
      </c>
    </row>
    <row r="29" spans="2:2" x14ac:dyDescent="0.3">
      <c r="B29" t="s">
        <v>252</v>
      </c>
    </row>
    <row r="30" spans="2:2" x14ac:dyDescent="0.3">
      <c r="B30" t="s">
        <v>253</v>
      </c>
    </row>
    <row r="31" spans="2:2" x14ac:dyDescent="0.3">
      <c r="B31" t="s">
        <v>254</v>
      </c>
    </row>
    <row r="32" spans="2:2" x14ac:dyDescent="0.3">
      <c r="B32" t="s">
        <v>255</v>
      </c>
    </row>
    <row r="33" spans="2:2" x14ac:dyDescent="0.3">
      <c r="B33" t="s">
        <v>256</v>
      </c>
    </row>
    <row r="34" spans="2:2" x14ac:dyDescent="0.3">
      <c r="B34" t="s">
        <v>257</v>
      </c>
    </row>
    <row r="35" spans="2:2" x14ac:dyDescent="0.3">
      <c r="B35" t="s">
        <v>258</v>
      </c>
    </row>
    <row r="36" spans="2:2" x14ac:dyDescent="0.3">
      <c r="B36" t="s">
        <v>259</v>
      </c>
    </row>
    <row r="37" spans="2:2" x14ac:dyDescent="0.3">
      <c r="B37" t="s">
        <v>260</v>
      </c>
    </row>
    <row r="38" spans="2:2" x14ac:dyDescent="0.3">
      <c r="B38" t="s">
        <v>261</v>
      </c>
    </row>
    <row r="39" spans="2:2" x14ac:dyDescent="0.3">
      <c r="B39" t="s">
        <v>262</v>
      </c>
    </row>
    <row r="40" spans="2:2" x14ac:dyDescent="0.3">
      <c r="B40" t="s">
        <v>263</v>
      </c>
    </row>
    <row r="41" spans="2:2" x14ac:dyDescent="0.3">
      <c r="B41" t="s">
        <v>264</v>
      </c>
    </row>
    <row r="42" spans="2:2" x14ac:dyDescent="0.3">
      <c r="B42" t="s">
        <v>265</v>
      </c>
    </row>
    <row r="43" spans="2:2" x14ac:dyDescent="0.3">
      <c r="B43" t="s">
        <v>266</v>
      </c>
    </row>
    <row r="44" spans="2:2" x14ac:dyDescent="0.3">
      <c r="B44" t="s">
        <v>267</v>
      </c>
    </row>
    <row r="45" spans="2:2" x14ac:dyDescent="0.3">
      <c r="B45" t="s">
        <v>268</v>
      </c>
    </row>
    <row r="46" spans="2:2" x14ac:dyDescent="0.3">
      <c r="B46" t="s">
        <v>269</v>
      </c>
    </row>
    <row r="47" spans="2:2" x14ac:dyDescent="0.3">
      <c r="B47" t="s">
        <v>270</v>
      </c>
    </row>
    <row r="48" spans="2:2" x14ac:dyDescent="0.3">
      <c r="B48" t="s">
        <v>271</v>
      </c>
    </row>
    <row r="49" spans="2:2" x14ac:dyDescent="0.3">
      <c r="B49" t="s">
        <v>272</v>
      </c>
    </row>
    <row r="50" spans="2:2" x14ac:dyDescent="0.3">
      <c r="B50" t="s">
        <v>273</v>
      </c>
    </row>
    <row r="51" spans="2:2" x14ac:dyDescent="0.3">
      <c r="B51" t="s">
        <v>274</v>
      </c>
    </row>
    <row r="52" spans="2:2" x14ac:dyDescent="0.3">
      <c r="B52" t="s">
        <v>275</v>
      </c>
    </row>
    <row r="53" spans="2:2" x14ac:dyDescent="0.3">
      <c r="B53" t="s">
        <v>276</v>
      </c>
    </row>
    <row r="54" spans="2:2" x14ac:dyDescent="0.3">
      <c r="B54" t="s">
        <v>277</v>
      </c>
    </row>
    <row r="55" spans="2:2" x14ac:dyDescent="0.3">
      <c r="B55" t="s">
        <v>278</v>
      </c>
    </row>
    <row r="56" spans="2:2" x14ac:dyDescent="0.3">
      <c r="B56" t="s">
        <v>279</v>
      </c>
    </row>
    <row r="57" spans="2:2" x14ac:dyDescent="0.3">
      <c r="B57" t="s">
        <v>280</v>
      </c>
    </row>
    <row r="58" spans="2:2" x14ac:dyDescent="0.3">
      <c r="B58" t="s">
        <v>281</v>
      </c>
    </row>
    <row r="59" spans="2:2" x14ac:dyDescent="0.3">
      <c r="B59" t="s">
        <v>282</v>
      </c>
    </row>
    <row r="60" spans="2:2" x14ac:dyDescent="0.3">
      <c r="B60" t="s">
        <v>283</v>
      </c>
    </row>
    <row r="61" spans="2:2" x14ac:dyDescent="0.3">
      <c r="B61" t="s">
        <v>284</v>
      </c>
    </row>
    <row r="62" spans="2:2" x14ac:dyDescent="0.3">
      <c r="B62" t="s">
        <v>285</v>
      </c>
    </row>
    <row r="63" spans="2:2" x14ac:dyDescent="0.3">
      <c r="B63" t="s">
        <v>286</v>
      </c>
    </row>
    <row r="64" spans="2:2" x14ac:dyDescent="0.3">
      <c r="B64" t="s">
        <v>287</v>
      </c>
    </row>
    <row r="65" spans="2:2" x14ac:dyDescent="0.3">
      <c r="B65" t="s">
        <v>288</v>
      </c>
    </row>
    <row r="66" spans="2:2" x14ac:dyDescent="0.3">
      <c r="B66" t="s">
        <v>289</v>
      </c>
    </row>
    <row r="67" spans="2:2" x14ac:dyDescent="0.3">
      <c r="B67" t="s">
        <v>290</v>
      </c>
    </row>
    <row r="68" spans="2:2" x14ac:dyDescent="0.3">
      <c r="B68" t="s">
        <v>291</v>
      </c>
    </row>
    <row r="69" spans="2:2" x14ac:dyDescent="0.3">
      <c r="B69" t="s">
        <v>292</v>
      </c>
    </row>
    <row r="70" spans="2:2" x14ac:dyDescent="0.3">
      <c r="B70" t="s">
        <v>293</v>
      </c>
    </row>
    <row r="71" spans="2:2" x14ac:dyDescent="0.3">
      <c r="B71" t="s">
        <v>294</v>
      </c>
    </row>
    <row r="72" spans="2:2" x14ac:dyDescent="0.3">
      <c r="B72" t="s">
        <v>295</v>
      </c>
    </row>
    <row r="73" spans="2:2" x14ac:dyDescent="0.3">
      <c r="B73" t="s">
        <v>296</v>
      </c>
    </row>
    <row r="74" spans="2:2" x14ac:dyDescent="0.3">
      <c r="B74" t="s">
        <v>297</v>
      </c>
    </row>
    <row r="75" spans="2:2" x14ac:dyDescent="0.3">
      <c r="B75" t="s">
        <v>298</v>
      </c>
    </row>
    <row r="76" spans="2:2" x14ac:dyDescent="0.3">
      <c r="B76" t="s">
        <v>299</v>
      </c>
    </row>
    <row r="77" spans="2:2" x14ac:dyDescent="0.3">
      <c r="B77" t="s">
        <v>300</v>
      </c>
    </row>
    <row r="78" spans="2:2" x14ac:dyDescent="0.3">
      <c r="B78" t="s">
        <v>301</v>
      </c>
    </row>
    <row r="79" spans="2:2" x14ac:dyDescent="0.3">
      <c r="B79" t="s">
        <v>302</v>
      </c>
    </row>
    <row r="80" spans="2:2" x14ac:dyDescent="0.3">
      <c r="B80" t="s">
        <v>303</v>
      </c>
    </row>
    <row r="81" spans="2:2" x14ac:dyDescent="0.3">
      <c r="B81" t="s">
        <v>304</v>
      </c>
    </row>
    <row r="82" spans="2:2" x14ac:dyDescent="0.3">
      <c r="B82" t="s">
        <v>305</v>
      </c>
    </row>
    <row r="83" spans="2:2" x14ac:dyDescent="0.3">
      <c r="B83" t="s">
        <v>306</v>
      </c>
    </row>
    <row r="84" spans="2:2" x14ac:dyDescent="0.3">
      <c r="B84" t="s">
        <v>307</v>
      </c>
    </row>
    <row r="85" spans="2:2" x14ac:dyDescent="0.3">
      <c r="B85" t="s">
        <v>308</v>
      </c>
    </row>
    <row r="86" spans="2:2" x14ac:dyDescent="0.3">
      <c r="B86" t="s">
        <v>309</v>
      </c>
    </row>
    <row r="87" spans="2:2" x14ac:dyDescent="0.3">
      <c r="B87" t="s">
        <v>310</v>
      </c>
    </row>
    <row r="88" spans="2:2" x14ac:dyDescent="0.3">
      <c r="B88" t="s">
        <v>311</v>
      </c>
    </row>
    <row r="89" spans="2:2" x14ac:dyDescent="0.3">
      <c r="B89" t="s">
        <v>312</v>
      </c>
    </row>
    <row r="90" spans="2:2" x14ac:dyDescent="0.3">
      <c r="B90" t="s">
        <v>313</v>
      </c>
    </row>
    <row r="91" spans="2:2" x14ac:dyDescent="0.3">
      <c r="B91" t="s">
        <v>314</v>
      </c>
    </row>
    <row r="92" spans="2:2" x14ac:dyDescent="0.3">
      <c r="B92" t="s">
        <v>315</v>
      </c>
    </row>
    <row r="93" spans="2:2" x14ac:dyDescent="0.3">
      <c r="B93" t="s">
        <v>316</v>
      </c>
    </row>
    <row r="94" spans="2:2" x14ac:dyDescent="0.3">
      <c r="B94" t="s">
        <v>317</v>
      </c>
    </row>
    <row r="95" spans="2:2" x14ac:dyDescent="0.3">
      <c r="B95" t="s">
        <v>318</v>
      </c>
    </row>
    <row r="96" spans="2:2" x14ac:dyDescent="0.3">
      <c r="B96" t="s">
        <v>319</v>
      </c>
    </row>
    <row r="97" spans="2:2" x14ac:dyDescent="0.3">
      <c r="B97" t="s">
        <v>320</v>
      </c>
    </row>
    <row r="98" spans="2:2" x14ac:dyDescent="0.3">
      <c r="B98" t="s">
        <v>321</v>
      </c>
    </row>
    <row r="99" spans="2:2" x14ac:dyDescent="0.3">
      <c r="B99" t="s">
        <v>322</v>
      </c>
    </row>
    <row r="100" spans="2:2" x14ac:dyDescent="0.3">
      <c r="B100" t="s">
        <v>323</v>
      </c>
    </row>
    <row r="101" spans="2:2" x14ac:dyDescent="0.3">
      <c r="B101" t="s">
        <v>324</v>
      </c>
    </row>
    <row r="102" spans="2:2" x14ac:dyDescent="0.3">
      <c r="B102" t="s">
        <v>325</v>
      </c>
    </row>
    <row r="103" spans="2:2" x14ac:dyDescent="0.3">
      <c r="B103" t="s">
        <v>326</v>
      </c>
    </row>
    <row r="104" spans="2:2" x14ac:dyDescent="0.3">
      <c r="B104" t="s">
        <v>327</v>
      </c>
    </row>
    <row r="105" spans="2:2" x14ac:dyDescent="0.3">
      <c r="B105" t="s">
        <v>328</v>
      </c>
    </row>
    <row r="106" spans="2:2" x14ac:dyDescent="0.3">
      <c r="B106" t="s">
        <v>329</v>
      </c>
    </row>
    <row r="107" spans="2:2" x14ac:dyDescent="0.3">
      <c r="B107" t="s">
        <v>330</v>
      </c>
    </row>
    <row r="108" spans="2:2" x14ac:dyDescent="0.3">
      <c r="B108" t="s">
        <v>331</v>
      </c>
    </row>
    <row r="109" spans="2:2" x14ac:dyDescent="0.3">
      <c r="B109" t="s">
        <v>332</v>
      </c>
    </row>
    <row r="110" spans="2:2" x14ac:dyDescent="0.3">
      <c r="B110" t="s">
        <v>333</v>
      </c>
    </row>
    <row r="111" spans="2:2" x14ac:dyDescent="0.3">
      <c r="B111" t="s">
        <v>334</v>
      </c>
    </row>
    <row r="112" spans="2:2" x14ac:dyDescent="0.3">
      <c r="B112" t="s">
        <v>335</v>
      </c>
    </row>
    <row r="113" spans="2:2" x14ac:dyDescent="0.3">
      <c r="B113" t="s">
        <v>336</v>
      </c>
    </row>
    <row r="114" spans="2:2" x14ac:dyDescent="0.3">
      <c r="B114" t="s">
        <v>337</v>
      </c>
    </row>
    <row r="115" spans="2:2" x14ac:dyDescent="0.3">
      <c r="B115" t="s">
        <v>338</v>
      </c>
    </row>
    <row r="116" spans="2:2" x14ac:dyDescent="0.3">
      <c r="B116" t="s">
        <v>339</v>
      </c>
    </row>
    <row r="117" spans="2:2" x14ac:dyDescent="0.3">
      <c r="B117" t="s">
        <v>340</v>
      </c>
    </row>
    <row r="118" spans="2:2" x14ac:dyDescent="0.3">
      <c r="B118" t="s">
        <v>341</v>
      </c>
    </row>
    <row r="119" spans="2:2" x14ac:dyDescent="0.3">
      <c r="B119" t="s">
        <v>342</v>
      </c>
    </row>
    <row r="120" spans="2:2" x14ac:dyDescent="0.3">
      <c r="B120" t="s">
        <v>343</v>
      </c>
    </row>
    <row r="121" spans="2:2" x14ac:dyDescent="0.3">
      <c r="B121" t="s">
        <v>344</v>
      </c>
    </row>
    <row r="122" spans="2:2" x14ac:dyDescent="0.3">
      <c r="B122" t="s">
        <v>345</v>
      </c>
    </row>
    <row r="123" spans="2:2" x14ac:dyDescent="0.3">
      <c r="B123" t="s">
        <v>346</v>
      </c>
    </row>
    <row r="124" spans="2:2" x14ac:dyDescent="0.3">
      <c r="B124" t="s">
        <v>347</v>
      </c>
    </row>
    <row r="125" spans="2:2" x14ac:dyDescent="0.3">
      <c r="B125" t="s">
        <v>348</v>
      </c>
    </row>
    <row r="126" spans="2:2" x14ac:dyDescent="0.3">
      <c r="B126" t="s">
        <v>349</v>
      </c>
    </row>
    <row r="127" spans="2:2" x14ac:dyDescent="0.3">
      <c r="B127" t="s">
        <v>350</v>
      </c>
    </row>
    <row r="128" spans="2:2" x14ac:dyDescent="0.3">
      <c r="B128" t="s">
        <v>351</v>
      </c>
    </row>
    <row r="129" spans="2:2" x14ac:dyDescent="0.3">
      <c r="B129" t="s">
        <v>352</v>
      </c>
    </row>
    <row r="130" spans="2:2" x14ac:dyDescent="0.3">
      <c r="B130" t="s">
        <v>353</v>
      </c>
    </row>
    <row r="131" spans="2:2" x14ac:dyDescent="0.3">
      <c r="B131" t="s">
        <v>354</v>
      </c>
    </row>
    <row r="132" spans="2:2" x14ac:dyDescent="0.3">
      <c r="B132" t="s">
        <v>355</v>
      </c>
    </row>
    <row r="133" spans="2:2" x14ac:dyDescent="0.3">
      <c r="B133" t="s">
        <v>34</v>
      </c>
    </row>
    <row r="134" spans="2:2" x14ac:dyDescent="0.3">
      <c r="B134" t="s">
        <v>35</v>
      </c>
    </row>
    <row r="135" spans="2:2" x14ac:dyDescent="0.3">
      <c r="B135" t="s">
        <v>36</v>
      </c>
    </row>
    <row r="136" spans="2:2" x14ac:dyDescent="0.3">
      <c r="B136" t="s">
        <v>37</v>
      </c>
    </row>
    <row r="137" spans="2:2" x14ac:dyDescent="0.3">
      <c r="B137" t="s">
        <v>38</v>
      </c>
    </row>
    <row r="138" spans="2:2" x14ac:dyDescent="0.3">
      <c r="B138" t="s">
        <v>39</v>
      </c>
    </row>
    <row r="139" spans="2:2" x14ac:dyDescent="0.3">
      <c r="B139" t="s">
        <v>40</v>
      </c>
    </row>
    <row r="140" spans="2:2" x14ac:dyDescent="0.3">
      <c r="B140" t="s">
        <v>41</v>
      </c>
    </row>
    <row r="141" spans="2:2" x14ac:dyDescent="0.3">
      <c r="B141" t="s">
        <v>42</v>
      </c>
    </row>
    <row r="142" spans="2:2" x14ac:dyDescent="0.3">
      <c r="B142" t="s">
        <v>43</v>
      </c>
    </row>
    <row r="143" spans="2:2" x14ac:dyDescent="0.3">
      <c r="B143" t="s">
        <v>44</v>
      </c>
    </row>
    <row r="144" spans="2:2" x14ac:dyDescent="0.3">
      <c r="B144" t="s">
        <v>45</v>
      </c>
    </row>
    <row r="145" spans="2:2" x14ac:dyDescent="0.3">
      <c r="B145" t="s">
        <v>46</v>
      </c>
    </row>
    <row r="146" spans="2:2" x14ac:dyDescent="0.3">
      <c r="B146" t="s">
        <v>47</v>
      </c>
    </row>
    <row r="147" spans="2:2" x14ac:dyDescent="0.3">
      <c r="B147" t="s">
        <v>48</v>
      </c>
    </row>
    <row r="148" spans="2:2" x14ac:dyDescent="0.3">
      <c r="B148" t="s">
        <v>49</v>
      </c>
    </row>
    <row r="149" spans="2:2" x14ac:dyDescent="0.3">
      <c r="B149" t="s">
        <v>50</v>
      </c>
    </row>
    <row r="150" spans="2:2" x14ac:dyDescent="0.3">
      <c r="B150" t="s">
        <v>51</v>
      </c>
    </row>
    <row r="151" spans="2:2" x14ac:dyDescent="0.3">
      <c r="B151" t="s">
        <v>52</v>
      </c>
    </row>
    <row r="152" spans="2:2" x14ac:dyDescent="0.3">
      <c r="B152" t="s">
        <v>53</v>
      </c>
    </row>
    <row r="153" spans="2:2" x14ac:dyDescent="0.3">
      <c r="B153" t="s">
        <v>54</v>
      </c>
    </row>
    <row r="154" spans="2:2" x14ac:dyDescent="0.3">
      <c r="B154" t="s">
        <v>55</v>
      </c>
    </row>
    <row r="155" spans="2:2" x14ac:dyDescent="0.3">
      <c r="B155" t="s">
        <v>56</v>
      </c>
    </row>
    <row r="156" spans="2:2" x14ac:dyDescent="0.3">
      <c r="B156" t="s">
        <v>57</v>
      </c>
    </row>
    <row r="157" spans="2:2" x14ac:dyDescent="0.3">
      <c r="B157" t="s">
        <v>58</v>
      </c>
    </row>
    <row r="158" spans="2:2" x14ac:dyDescent="0.3">
      <c r="B158" t="s">
        <v>59</v>
      </c>
    </row>
    <row r="159" spans="2:2" x14ac:dyDescent="0.3">
      <c r="B159" t="s">
        <v>60</v>
      </c>
    </row>
    <row r="160" spans="2:2" x14ac:dyDescent="0.3">
      <c r="B160" t="s">
        <v>61</v>
      </c>
    </row>
    <row r="161" spans="2:2" x14ac:dyDescent="0.3">
      <c r="B161" t="s">
        <v>62</v>
      </c>
    </row>
    <row r="162" spans="2:2" x14ac:dyDescent="0.3">
      <c r="B162" t="s">
        <v>63</v>
      </c>
    </row>
    <row r="163" spans="2:2" x14ac:dyDescent="0.3">
      <c r="B163" t="s">
        <v>64</v>
      </c>
    </row>
    <row r="164" spans="2:2" x14ac:dyDescent="0.3">
      <c r="B164" t="s">
        <v>65</v>
      </c>
    </row>
    <row r="165" spans="2:2" x14ac:dyDescent="0.3">
      <c r="B165" t="s">
        <v>66</v>
      </c>
    </row>
    <row r="166" spans="2:2" x14ac:dyDescent="0.3">
      <c r="B166" t="s">
        <v>67</v>
      </c>
    </row>
    <row r="167" spans="2:2" x14ac:dyDescent="0.3">
      <c r="B167" t="s">
        <v>68</v>
      </c>
    </row>
    <row r="168" spans="2:2" x14ac:dyDescent="0.3">
      <c r="B168" t="s">
        <v>69</v>
      </c>
    </row>
    <row r="169" spans="2:2" x14ac:dyDescent="0.3">
      <c r="B169" t="s">
        <v>70</v>
      </c>
    </row>
    <row r="170" spans="2:2" x14ac:dyDescent="0.3">
      <c r="B170" t="s">
        <v>71</v>
      </c>
    </row>
    <row r="171" spans="2:2" x14ac:dyDescent="0.3">
      <c r="B171" t="s">
        <v>72</v>
      </c>
    </row>
    <row r="172" spans="2:2" x14ac:dyDescent="0.3">
      <c r="B172" t="s">
        <v>73</v>
      </c>
    </row>
    <row r="173" spans="2:2" x14ac:dyDescent="0.3">
      <c r="B173" t="s">
        <v>74</v>
      </c>
    </row>
    <row r="174" spans="2:2" x14ac:dyDescent="0.3">
      <c r="B174" t="s">
        <v>75</v>
      </c>
    </row>
    <row r="175" spans="2:2" x14ac:dyDescent="0.3">
      <c r="B175" t="s">
        <v>76</v>
      </c>
    </row>
    <row r="176" spans="2:2" x14ac:dyDescent="0.3">
      <c r="B176" t="s">
        <v>77</v>
      </c>
    </row>
    <row r="177" spans="2:2" x14ac:dyDescent="0.3">
      <c r="B177" t="s">
        <v>78</v>
      </c>
    </row>
    <row r="178" spans="2:2" x14ac:dyDescent="0.3">
      <c r="B178" t="s">
        <v>79</v>
      </c>
    </row>
    <row r="179" spans="2:2" x14ac:dyDescent="0.3">
      <c r="B179" t="s">
        <v>80</v>
      </c>
    </row>
    <row r="180" spans="2:2" x14ac:dyDescent="0.3">
      <c r="B180" t="s">
        <v>81</v>
      </c>
    </row>
    <row r="181" spans="2:2" x14ac:dyDescent="0.3">
      <c r="B181" t="s">
        <v>82</v>
      </c>
    </row>
    <row r="182" spans="2:2" x14ac:dyDescent="0.3">
      <c r="B182" t="s">
        <v>83</v>
      </c>
    </row>
    <row r="183" spans="2:2" x14ac:dyDescent="0.3">
      <c r="B183" t="s">
        <v>84</v>
      </c>
    </row>
    <row r="184" spans="2:2" x14ac:dyDescent="0.3">
      <c r="B184" t="s">
        <v>85</v>
      </c>
    </row>
    <row r="185" spans="2:2" x14ac:dyDescent="0.3">
      <c r="B185" t="s">
        <v>86</v>
      </c>
    </row>
    <row r="186" spans="2:2" x14ac:dyDescent="0.3">
      <c r="B186" t="s">
        <v>87</v>
      </c>
    </row>
    <row r="187" spans="2:2" x14ac:dyDescent="0.3">
      <c r="B187" t="s">
        <v>88</v>
      </c>
    </row>
    <row r="188" spans="2:2" x14ac:dyDescent="0.3">
      <c r="B188" t="s">
        <v>89</v>
      </c>
    </row>
    <row r="189" spans="2:2" x14ac:dyDescent="0.3">
      <c r="B189" t="s">
        <v>90</v>
      </c>
    </row>
    <row r="190" spans="2:2" x14ac:dyDescent="0.3">
      <c r="B190" t="s">
        <v>91</v>
      </c>
    </row>
    <row r="191" spans="2:2" x14ac:dyDescent="0.3">
      <c r="B191" t="s">
        <v>92</v>
      </c>
    </row>
    <row r="192" spans="2:2" x14ac:dyDescent="0.3">
      <c r="B192" t="s">
        <v>93</v>
      </c>
    </row>
    <row r="193" spans="2:2" x14ac:dyDescent="0.3">
      <c r="B193" t="s">
        <v>94</v>
      </c>
    </row>
    <row r="194" spans="2:2" x14ac:dyDescent="0.3">
      <c r="B194" t="s">
        <v>95</v>
      </c>
    </row>
    <row r="195" spans="2:2" x14ac:dyDescent="0.3">
      <c r="B195" t="s">
        <v>96</v>
      </c>
    </row>
    <row r="196" spans="2:2" x14ac:dyDescent="0.3">
      <c r="B196" t="s">
        <v>97</v>
      </c>
    </row>
    <row r="197" spans="2:2" x14ac:dyDescent="0.3">
      <c r="B197" t="s">
        <v>98</v>
      </c>
    </row>
    <row r="198" spans="2:2" x14ac:dyDescent="0.3">
      <c r="B198" t="s">
        <v>99</v>
      </c>
    </row>
    <row r="199" spans="2:2" x14ac:dyDescent="0.3">
      <c r="B199" t="s">
        <v>100</v>
      </c>
    </row>
    <row r="200" spans="2:2" x14ac:dyDescent="0.3">
      <c r="B200" t="s">
        <v>101</v>
      </c>
    </row>
    <row r="201" spans="2:2" x14ac:dyDescent="0.3">
      <c r="B201" t="s">
        <v>102</v>
      </c>
    </row>
    <row r="202" spans="2:2" x14ac:dyDescent="0.3">
      <c r="B202" t="s">
        <v>103</v>
      </c>
    </row>
    <row r="203" spans="2:2" x14ac:dyDescent="0.3">
      <c r="B203" t="s">
        <v>104</v>
      </c>
    </row>
    <row r="204" spans="2:2" x14ac:dyDescent="0.3">
      <c r="B204" t="s">
        <v>105</v>
      </c>
    </row>
    <row r="205" spans="2:2" x14ac:dyDescent="0.3">
      <c r="B205" t="s">
        <v>106</v>
      </c>
    </row>
    <row r="206" spans="2:2" x14ac:dyDescent="0.3">
      <c r="B206" t="s">
        <v>107</v>
      </c>
    </row>
    <row r="207" spans="2:2" x14ac:dyDescent="0.3">
      <c r="B207" t="s">
        <v>108</v>
      </c>
    </row>
    <row r="208" spans="2:2" x14ac:dyDescent="0.3">
      <c r="B208" t="s">
        <v>109</v>
      </c>
    </row>
    <row r="209" spans="2:2" x14ac:dyDescent="0.3">
      <c r="B209" t="s">
        <v>110</v>
      </c>
    </row>
    <row r="210" spans="2:2" x14ac:dyDescent="0.3">
      <c r="B210" t="s">
        <v>111</v>
      </c>
    </row>
    <row r="211" spans="2:2" x14ac:dyDescent="0.3">
      <c r="B211" t="s">
        <v>112</v>
      </c>
    </row>
    <row r="212" spans="2:2" x14ac:dyDescent="0.3">
      <c r="B212" t="s">
        <v>113</v>
      </c>
    </row>
    <row r="213" spans="2:2" x14ac:dyDescent="0.3">
      <c r="B213" t="s">
        <v>114</v>
      </c>
    </row>
    <row r="214" spans="2:2" x14ac:dyDescent="0.3">
      <c r="B214" t="s">
        <v>115</v>
      </c>
    </row>
    <row r="215" spans="2:2" x14ac:dyDescent="0.3">
      <c r="B215" t="s">
        <v>116</v>
      </c>
    </row>
    <row r="216" spans="2:2" x14ac:dyDescent="0.3">
      <c r="B216" t="s">
        <v>117</v>
      </c>
    </row>
    <row r="217" spans="2:2" x14ac:dyDescent="0.3">
      <c r="B217" t="s">
        <v>118</v>
      </c>
    </row>
    <row r="218" spans="2:2" x14ac:dyDescent="0.3">
      <c r="B218" t="s">
        <v>119</v>
      </c>
    </row>
    <row r="219" spans="2:2" x14ac:dyDescent="0.3">
      <c r="B219" t="s">
        <v>120</v>
      </c>
    </row>
    <row r="220" spans="2:2" x14ac:dyDescent="0.3">
      <c r="B220" t="s">
        <v>121</v>
      </c>
    </row>
    <row r="221" spans="2:2" x14ac:dyDescent="0.3">
      <c r="B221" t="s">
        <v>122</v>
      </c>
    </row>
    <row r="222" spans="2:2" x14ac:dyDescent="0.3">
      <c r="B222" t="s">
        <v>123</v>
      </c>
    </row>
    <row r="223" spans="2:2" x14ac:dyDescent="0.3">
      <c r="B223" t="s">
        <v>124</v>
      </c>
    </row>
    <row r="224" spans="2:2" x14ac:dyDescent="0.3">
      <c r="B224" t="s">
        <v>124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ReadMe</vt:lpstr>
      <vt:lpstr>발견물</vt:lpstr>
      <vt:lpstr>문화권 정리</vt:lpstr>
      <vt:lpstr>발견물 통계</vt:lpstr>
      <vt:lpstr>해양 오브젝트 배치</vt:lpstr>
      <vt:lpstr>육지 배치</vt:lpstr>
      <vt:lpstr>마을 배치</vt:lpstr>
      <vt:lpstr>낚시 배치</vt:lpstr>
      <vt:lpstr>퀘스트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Oh-Taekseong</dc:creator>
  <cp:lastModifiedBy>Oh-Taekseong</cp:lastModifiedBy>
  <dcterms:created xsi:type="dcterms:W3CDTF">2022-05-12T02:06:33Z</dcterms:created>
  <dcterms:modified xsi:type="dcterms:W3CDTF">2022-10-25T11:55:43Z</dcterms:modified>
</cp:coreProperties>
</file>